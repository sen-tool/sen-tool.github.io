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설정" sheetId="2" state="visible" r:id="rId4"/>
    <sheet name="보유목록" sheetId="3" state="visible" r:id="rId5"/>
    <sheet name="실물목록" sheetId="4" state="visible" r:id="rId6"/>
    <sheet name="위치별요약" sheetId="5" state="visible" r:id="rId7"/>
  </sheets>
  <definedNames>
    <definedName function="false" hidden="true" localSheetId="2" name="_xlnm._FilterDatabase" vbProcedure="false">보유목록!$A$1:$G$3001</definedName>
    <definedName function="false" hidden="true" localSheetId="3" name="_xlnm._FilterDatabase" vbProcedure="false">실물목록!$A$1:$N$1001</definedName>
  </definedNames>
  <calcPr iterateCount="100" refMode="A1" iterate="false" iterateDelta="0.0001" calcMode="auto" fullCalcOnLoad="1" forceFullCalc="1"/>
  <extLst>
    <ext uri="{7626C862-2A13-11E5-B345-FEFF819CDC9F}">
      <ns2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Noto Sans CJK SC"/>
            <family val="2"/>
          </rPr>
          <t xml:space="preserve">연도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Noto Sans CJK SC"/>
            <family val="2"/>
          </rPr>
          <t xml:space="preserve">자리만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예</t>
        </r>
        <r>
          <rPr>
            <sz val="10"/>
            <rFont val="Arial"/>
            <family val="2"/>
          </rPr>
          <t xml:space="preserve">: 2019). </t>
        </r>
        <r>
          <rPr>
            <sz val="10"/>
            <rFont val="Noto Sans CJK SC"/>
            <family val="2"/>
          </rPr>
          <t xml:space="preserve">날짜 형식이면 연도만 남겨주세요</t>
        </r>
        <r>
          <rPr>
            <sz val="10"/>
            <rFont val="Arial"/>
            <family val="2"/>
          </rPr>
          <t xml:space="preserve">.</t>
        </r>
      </text>
    </comment>
    <comment ref="F1" authorId="0">
      <text>
        <r>
          <rPr>
            <sz val="10"/>
            <rFont val="Noto Sans CJK SC"/>
            <family val="2"/>
          </rPr>
          <t xml:space="preserve">실물목록의 학교명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검색키워드가 이 제목에 들어 있는지로 찾습니다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자동 계산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고치지 마세요</t>
        </r>
        <r>
          <rPr>
            <sz val="10"/>
            <rFont val="Arial"/>
            <family val="2"/>
          </rPr>
          <t xml:space="preserve">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Noto Sans CJK SC"/>
            <family val="2"/>
          </rPr>
          <t xml:space="preserve">짧게 적을수록 잘 잡힙니다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가나초</t>
        </r>
        <r>
          <rPr>
            <sz val="10"/>
            <rFont val="Arial"/>
            <family val="2"/>
          </rPr>
          <t xml:space="preserve">). '</t>
        </r>
        <r>
          <rPr>
            <sz val="10"/>
            <rFont val="Noto Sans CJK SC"/>
            <family val="2"/>
          </rPr>
          <t xml:space="preserve">가나초등학교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Noto Sans CJK SC"/>
            <family val="2"/>
          </rPr>
          <t xml:space="preserve">로 적으면 보유목록의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Noto Sans CJK SC"/>
            <family val="2"/>
          </rPr>
          <t xml:space="preserve">가나초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Noto Sans CJK SC"/>
            <family val="2"/>
          </rPr>
          <t xml:space="preserve">는 못 찾습니다</t>
        </r>
        <r>
          <rPr>
            <sz val="10"/>
            <rFont val="Arial"/>
            <family val="2"/>
          </rPr>
          <t xml:space="preserve">.</t>
        </r>
      </text>
    </comment>
    <comment ref="E1" authorId="0">
      <text>
        <r>
          <rPr>
            <sz val="10"/>
            <rFont val="Noto Sans CJK SC"/>
            <family val="2"/>
          </rPr>
          <t xml:space="preserve">띄어쓰기 없는 한 단어로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환기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석면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방수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비워두면 학교명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연도로만 찾습니다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<sst xmlns="http://schemas.openxmlformats.org/spreadsheetml/2006/main" count="92" uniqueCount="81">
  <si>
    <r>
      <rPr>
        <b val="true"/>
        <sz val="14"/>
        <rFont val="Noto Sans CJK SC"/>
        <family val="2"/>
      </rPr>
      <t xml:space="preserve">기록물 실물</t>
    </r>
    <r>
      <rPr>
        <b val="true"/>
        <sz val="14"/>
        <rFont val="맑은 고딕"/>
        <family val="0"/>
        <charset val="1"/>
      </rPr>
      <t xml:space="preserve">-</t>
    </r>
    <r>
      <rPr>
        <b val="true"/>
        <sz val="14"/>
        <rFont val="Noto Sans CJK SC"/>
        <family val="2"/>
      </rPr>
      <t xml:space="preserve">보유목록 대조표</t>
    </r>
  </si>
  <si>
    <r>
      <rPr>
        <sz val="11"/>
        <rFont val="Noto Sans CJK SC"/>
        <family val="2"/>
      </rPr>
      <t xml:space="preserve">이 파일은 회사 </t>
    </r>
    <r>
      <rPr>
        <sz val="11"/>
        <rFont val="맑은 고딕"/>
        <family val="0"/>
        <charset val="1"/>
      </rPr>
      <t xml:space="preserve">PC</t>
    </r>
    <r>
      <rPr>
        <sz val="11"/>
        <rFont val="Noto Sans CJK SC"/>
        <family val="2"/>
      </rPr>
      <t xml:space="preserve">에서만 쓰면 됩니다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자료를 외부로 보낼 필요 없이 엑셀 안에서 자동 대조됩니다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</si>
  <si>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맑은 고딕"/>
        <family val="0"/>
        <charset val="1"/>
      </rPr>
      <t xml:space="preserve">1. [</t>
    </r>
    <r>
      <rPr>
        <sz val="11"/>
        <rFont val="Noto Sans CJK SC"/>
        <family val="2"/>
      </rPr>
      <t xml:space="preserve">설정</t>
    </r>
    <r>
      <rPr>
        <sz val="11"/>
        <rFont val="맑은 고딕"/>
        <family val="0"/>
        <charset val="1"/>
      </rPr>
      <t xml:space="preserve">] </t>
    </r>
    <r>
      <rPr>
        <sz val="11"/>
        <rFont val="Noto Sans CJK SC"/>
        <family val="2"/>
      </rPr>
      <t xml:space="preserve">시트 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보관위치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캐비닛</t>
    </r>
    <r>
      <rPr>
        <sz val="11"/>
        <rFont val="맑은 고딕"/>
        <family val="0"/>
        <charset val="1"/>
      </rPr>
      <t xml:space="preserve">A, </t>
    </r>
    <r>
      <rPr>
        <sz val="11"/>
        <rFont val="Noto Sans CJK SC"/>
        <family val="2"/>
      </rPr>
      <t xml:space="preserve">서고 </t>
    </r>
    <r>
      <rPr>
        <sz val="11"/>
        <rFont val="맑은 고딕"/>
        <family val="0"/>
        <charset val="1"/>
      </rPr>
      <t xml:space="preserve">2</t>
    </r>
    <r>
      <rPr>
        <sz val="11"/>
        <rFont val="Noto Sans CJK SC"/>
        <family val="2"/>
      </rPr>
      <t xml:space="preserve">번 선반 등</t>
    </r>
    <r>
      <rPr>
        <sz val="11"/>
        <rFont val="맑은 고딕"/>
        <family val="0"/>
        <charset val="1"/>
      </rPr>
      <t xml:space="preserve">)</t>
    </r>
    <r>
      <rPr>
        <sz val="11"/>
        <rFont val="Noto Sans CJK SC"/>
        <family val="2"/>
      </rPr>
      <t xml:space="preserve">와 문서종류를 적어두세요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실물목록 드롭다운에 나옵니다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</si>
  <si>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맑은 고딕"/>
        <family val="0"/>
        <charset val="1"/>
      </rPr>
      <t xml:space="preserve">2. [</t>
    </r>
    <r>
      <rPr>
        <sz val="11"/>
        <rFont val="Noto Sans CJK SC"/>
        <family val="2"/>
      </rPr>
      <t xml:space="preserve">보유목록</t>
    </r>
    <r>
      <rPr>
        <sz val="11"/>
        <rFont val="맑은 고딕"/>
        <family val="0"/>
        <charset val="1"/>
      </rPr>
      <t xml:space="preserve">] </t>
    </r>
    <r>
      <rPr>
        <sz val="11"/>
        <rFont val="Noto Sans CJK SC"/>
        <family val="2"/>
      </rPr>
      <t xml:space="preserve">시트 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기록물 보유목록 엑셀에서 생산연도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기록물철 제목 등을 복사해 노란 칸에 붙여넣으세요 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최대 </t>
    </r>
    <r>
      <rPr>
        <sz val="11"/>
        <rFont val="맑은 고딕"/>
        <family val="0"/>
        <charset val="1"/>
      </rPr>
      <t xml:space="preserve">3,000</t>
    </r>
    <r>
      <rPr>
        <sz val="11"/>
        <rFont val="Noto Sans CJK SC"/>
        <family val="2"/>
      </rPr>
      <t xml:space="preserve">행</t>
    </r>
    <r>
      <rPr>
        <sz val="11"/>
        <rFont val="맑은 고딕"/>
        <family val="0"/>
        <charset val="1"/>
      </rPr>
      <t xml:space="preserve">).</t>
    </r>
  </si>
  <si>
    <r>
      <rPr>
        <sz val="11"/>
        <rFont val="맑은 고딕"/>
        <family val="0"/>
        <charset val="1"/>
      </rPr>
      <t xml:space="preserve">     - </t>
    </r>
    <r>
      <rPr>
        <sz val="11"/>
        <rFont val="Noto Sans CJK SC"/>
        <family val="2"/>
      </rPr>
      <t xml:space="preserve">생산연도는 </t>
    </r>
    <r>
      <rPr>
        <sz val="11"/>
        <rFont val="맑은 고딕"/>
        <family val="0"/>
        <charset val="1"/>
      </rPr>
      <t xml:space="preserve">'2019'</t>
    </r>
    <r>
      <rPr>
        <sz val="11"/>
        <rFont val="Noto Sans CJK SC"/>
        <family val="2"/>
      </rPr>
      <t xml:space="preserve">처럼 연도 </t>
    </r>
    <r>
      <rPr>
        <sz val="11"/>
        <rFont val="맑은 고딕"/>
        <family val="0"/>
        <charset val="1"/>
      </rPr>
      <t xml:space="preserve">4</t>
    </r>
    <r>
      <rPr>
        <sz val="11"/>
        <rFont val="Noto Sans CJK SC"/>
        <family val="2"/>
      </rPr>
      <t xml:space="preserve">자리만 들어가야 대조됩니다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날짜 형식이면 연도만 남겨주세요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</si>
  <si>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맑은 고딕"/>
        <family val="0"/>
        <charset val="1"/>
      </rPr>
      <t xml:space="preserve">3. [</t>
    </r>
    <r>
      <rPr>
        <sz val="11"/>
        <rFont val="Noto Sans CJK SC"/>
        <family val="2"/>
      </rPr>
      <t xml:space="preserve">실물목록</t>
    </r>
    <r>
      <rPr>
        <sz val="11"/>
        <rFont val="맑은 고딕"/>
        <family val="0"/>
        <charset val="1"/>
      </rPr>
      <t xml:space="preserve">] </t>
    </r>
    <r>
      <rPr>
        <sz val="11"/>
        <rFont val="Noto Sans CJK SC"/>
        <family val="2"/>
      </rPr>
      <t xml:space="preserve">시트 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캐비닛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선반을 돌면서 노란 칸만 채우세요 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최대 </t>
    </r>
    <r>
      <rPr>
        <sz val="11"/>
        <rFont val="맑은 고딕"/>
        <family val="0"/>
        <charset val="1"/>
      </rPr>
      <t xml:space="preserve">1,000</t>
    </r>
    <r>
      <rPr>
        <sz val="11"/>
        <rFont val="Noto Sans CJK SC"/>
        <family val="2"/>
      </rPr>
      <t xml:space="preserve">행</t>
    </r>
    <r>
      <rPr>
        <sz val="11"/>
        <rFont val="맑은 고딕"/>
        <family val="0"/>
        <charset val="1"/>
      </rPr>
      <t xml:space="preserve">). </t>
    </r>
    <r>
      <rPr>
        <sz val="11"/>
        <rFont val="Noto Sans CJK SC"/>
        <family val="2"/>
      </rPr>
      <t xml:space="preserve">파란 칸은 자동 계산됩니다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</si>
  <si>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맑은 고딕"/>
        <family val="0"/>
        <charset val="1"/>
      </rPr>
      <t xml:space="preserve">     - </t>
    </r>
    <r>
      <rPr>
        <sz val="11"/>
        <rFont val="Noto Sans CJK SC"/>
        <family val="2"/>
      </rPr>
      <t xml:space="preserve">학교명은 짧게 </t>
    </r>
    <r>
      <rPr>
        <sz val="11"/>
        <rFont val="맑은 고딕"/>
        <family val="0"/>
        <charset val="1"/>
      </rPr>
      <t xml:space="preserve">: '○○</t>
    </r>
    <r>
      <rPr>
        <sz val="11"/>
        <rFont val="Noto Sans CJK SC"/>
        <family val="2"/>
      </rPr>
      <t xml:space="preserve">초</t>
    </r>
    <r>
      <rPr>
        <sz val="11"/>
        <rFont val="맑은 고딕"/>
        <family val="0"/>
        <charset val="1"/>
      </rPr>
      <t xml:space="preserve">', '○○</t>
    </r>
    <r>
      <rPr>
        <sz val="11"/>
        <rFont val="Noto Sans CJK SC"/>
        <family val="2"/>
      </rPr>
      <t xml:space="preserve">중</t>
    </r>
    <r>
      <rPr>
        <sz val="11"/>
        <rFont val="맑은 고딕"/>
        <family val="0"/>
        <charset val="1"/>
      </rPr>
      <t xml:space="preserve">'</t>
    </r>
    <r>
      <rPr>
        <sz val="11"/>
        <rFont val="Noto Sans CJK SC"/>
        <family val="2"/>
      </rPr>
      <t xml:space="preserve">처럼 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보유목록의 </t>
    </r>
    <r>
      <rPr>
        <sz val="11"/>
        <rFont val="맑은 고딕"/>
        <family val="0"/>
        <charset val="1"/>
      </rPr>
      <t xml:space="preserve">'○○</t>
    </r>
    <r>
      <rPr>
        <sz val="11"/>
        <rFont val="Noto Sans CJK SC"/>
        <family val="2"/>
      </rPr>
      <t xml:space="preserve">초등학교</t>
    </r>
    <r>
      <rPr>
        <sz val="11"/>
        <rFont val="맑은 고딕"/>
        <family val="0"/>
        <charset val="1"/>
      </rPr>
      <t xml:space="preserve">'</t>
    </r>
    <r>
      <rPr>
        <sz val="11"/>
        <rFont val="Noto Sans CJK SC"/>
        <family val="2"/>
      </rPr>
      <t xml:space="preserve">도 같이 잡힙니다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</si>
  <si>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맑은 고딕"/>
        <family val="0"/>
        <charset val="1"/>
      </rPr>
      <t xml:space="preserve">     - </t>
    </r>
    <r>
      <rPr>
        <sz val="11"/>
        <rFont val="Noto Sans CJK SC"/>
        <family val="2"/>
      </rPr>
      <t xml:space="preserve">검색키워드는 띄어쓰기 없는 한 단어 </t>
    </r>
    <r>
      <rPr>
        <sz val="11"/>
        <rFont val="맑은 고딕"/>
        <family val="0"/>
        <charset val="1"/>
      </rPr>
      <t xml:space="preserve">: '</t>
    </r>
    <r>
      <rPr>
        <sz val="11"/>
        <rFont val="Noto Sans CJK SC"/>
        <family val="2"/>
      </rPr>
      <t xml:space="preserve">환기</t>
    </r>
    <r>
      <rPr>
        <sz val="11"/>
        <rFont val="맑은 고딕"/>
        <family val="0"/>
        <charset val="1"/>
      </rPr>
      <t xml:space="preserve">', '</t>
    </r>
    <r>
      <rPr>
        <sz val="11"/>
        <rFont val="Noto Sans CJK SC"/>
        <family val="2"/>
      </rPr>
      <t xml:space="preserve">석면</t>
    </r>
    <r>
      <rPr>
        <sz val="11"/>
        <rFont val="맑은 고딕"/>
        <family val="0"/>
        <charset val="1"/>
      </rPr>
      <t xml:space="preserve">', '</t>
    </r>
    <r>
      <rPr>
        <sz val="11"/>
        <rFont val="Noto Sans CJK SC"/>
        <family val="2"/>
      </rPr>
      <t xml:space="preserve">방수</t>
    </r>
    <r>
      <rPr>
        <sz val="11"/>
        <rFont val="맑은 고딕"/>
        <family val="0"/>
        <charset val="1"/>
      </rPr>
      <t xml:space="preserve">', '</t>
    </r>
    <r>
      <rPr>
        <sz val="11"/>
        <rFont val="Noto Sans CJK SC"/>
        <family val="2"/>
      </rPr>
      <t xml:space="preserve">냉난방</t>
    </r>
    <r>
      <rPr>
        <sz val="11"/>
        <rFont val="맑은 고딕"/>
        <family val="0"/>
        <charset val="1"/>
      </rPr>
      <t xml:space="preserve">' </t>
    </r>
    <r>
      <rPr>
        <sz val="11"/>
        <rFont val="Noto Sans CJK SC"/>
        <family val="2"/>
      </rPr>
      <t xml:space="preserve">등</t>
    </r>
  </si>
  <si>
    <r>
      <rPr>
        <b val="true"/>
        <sz val="11"/>
        <rFont val="맑은 고딕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대조결과 읽는 법</t>
    </r>
  </si>
  <si>
    <r>
      <rPr>
        <sz val="11"/>
        <rFont val="Noto Sans CJK SC"/>
        <family val="2"/>
      </rPr>
      <t xml:space="preserve">     있음 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같은 학교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키워드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연도의 철이 보유목록에 있음 → 폐기 후보 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원본</t>
    </r>
    <r>
      <rPr>
        <sz val="11"/>
        <rFont val="맑은 고딕"/>
        <family val="0"/>
        <charset val="1"/>
      </rPr>
      <t xml:space="preserve">/</t>
    </r>
    <r>
      <rPr>
        <sz val="11"/>
        <rFont val="Noto Sans CJK SC"/>
        <family val="2"/>
      </rPr>
      <t xml:space="preserve">사본 확인 후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</si>
  <si>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     확인필요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연도다름</t>
    </r>
    <r>
      <rPr>
        <sz val="11"/>
        <rFont val="맑은 고딕"/>
        <family val="0"/>
        <charset val="1"/>
      </rPr>
      <t xml:space="preserve">) : </t>
    </r>
    <r>
      <rPr>
        <sz val="11"/>
        <rFont val="Noto Sans CJK SC"/>
        <family val="2"/>
      </rPr>
      <t xml:space="preserve">학교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키워드는 맞는데 연도가 다름 → 연도 표기 확인</t>
    </r>
  </si>
  <si>
    <r>
      <rPr>
        <sz val="11"/>
        <rFont val="Noto Sans CJK SC"/>
        <family val="2"/>
      </rPr>
      <t xml:space="preserve">     확인필요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같은학교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같은연도</t>
    </r>
    <r>
      <rPr>
        <sz val="11"/>
        <rFont val="맑은 고딕"/>
        <family val="0"/>
        <charset val="1"/>
      </rPr>
      <t xml:space="preserve">) : </t>
    </r>
    <r>
      <rPr>
        <sz val="11"/>
        <rFont val="Noto Sans CJK SC"/>
        <family val="2"/>
      </rPr>
      <t xml:space="preserve">키워드는 안 맞지만 같은 학교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연도 철이 있음 → 제목 표기가 다를 수 있음</t>
    </r>
  </si>
  <si>
    <r>
      <rPr>
        <sz val="11"/>
        <rFont val="Noto Sans CJK SC"/>
        <family val="2"/>
      </rPr>
      <t xml:space="preserve">     없음 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보유목록에서 못 찾음 → 보관 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원본이면 등록 누락인지 확인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</si>
  <si>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맑은 고딕"/>
        <family val="0"/>
        <charset val="1"/>
      </rPr>
      <t xml:space="preserve">5. </t>
    </r>
    <r>
      <rPr>
        <sz val="11"/>
        <rFont val="Noto Sans CJK SC"/>
        <family val="2"/>
      </rPr>
      <t xml:space="preserve">처리구분 칸에서 최종 결정을 드롭다운으로 고르면 </t>
    </r>
    <r>
      <rPr>
        <sz val="11"/>
        <rFont val="맑은 고딕"/>
        <family val="0"/>
        <charset val="1"/>
      </rPr>
      <t xml:space="preserve">[</t>
    </r>
    <r>
      <rPr>
        <sz val="11"/>
        <rFont val="Noto Sans CJK SC"/>
        <family val="2"/>
      </rPr>
      <t xml:space="preserve">위치별요약</t>
    </r>
    <r>
      <rPr>
        <sz val="11"/>
        <rFont val="맑은 고딕"/>
        <family val="0"/>
        <charset val="1"/>
      </rPr>
      <t xml:space="preserve">]</t>
    </r>
    <r>
      <rPr>
        <sz val="11"/>
        <rFont val="Noto Sans CJK SC"/>
        <family val="2"/>
      </rPr>
      <t xml:space="preserve">에 집계됩니다</t>
    </r>
    <r>
      <rPr>
        <sz val="11"/>
        <rFont val="맑은 고딕"/>
        <family val="0"/>
        <charset val="1"/>
      </rPr>
      <t xml:space="preserve">.</t>
    </r>
  </si>
  <si>
    <r>
      <rPr>
        <b val="true"/>
        <sz val="11"/>
        <rFont val="맑은 고딕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반대 방향 확인 </t>
    </r>
    <r>
      <rPr>
        <b val="true"/>
        <sz val="11"/>
        <rFont val="맑은 고딕"/>
        <family val="0"/>
        <charset val="1"/>
      </rPr>
      <t xml:space="preserve">: [</t>
    </r>
    <r>
      <rPr>
        <b val="true"/>
        <sz val="11"/>
        <rFont val="Noto Sans CJK SC"/>
        <family val="2"/>
      </rPr>
      <t xml:space="preserve">보유목록</t>
    </r>
    <r>
      <rPr>
        <b val="true"/>
        <sz val="11"/>
        <rFont val="맑은 고딕"/>
        <family val="0"/>
        <charset val="1"/>
      </rPr>
      <t xml:space="preserve">] F</t>
    </r>
    <r>
      <rPr>
        <b val="true"/>
        <sz val="11"/>
        <rFont val="Noto Sans CJK SC"/>
        <family val="2"/>
      </rPr>
      <t xml:space="preserve">열 「실물 확인」에 목록에는 있는데 실물을 못 찾은 철이 표시됩니다</t>
    </r>
    <r>
      <rPr>
        <b val="true"/>
        <sz val="11"/>
        <rFont val="맑은 고딕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</si>
  <si>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     실물 있음 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같은 학교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키워드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연도의 실물이 있음</t>
    </r>
  </si>
  <si>
    <r>
      <rPr>
        <sz val="11"/>
        <rFont val="Noto Sans CJK SC"/>
        <family val="2"/>
      </rPr>
      <t xml:space="preserve">     확인필요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연도다름</t>
    </r>
    <r>
      <rPr>
        <sz val="11"/>
        <rFont val="맑은 고딕"/>
        <family val="0"/>
        <charset val="1"/>
      </rPr>
      <t xml:space="preserve">) : </t>
    </r>
    <r>
      <rPr>
        <sz val="11"/>
        <rFont val="Noto Sans CJK SC"/>
        <family val="2"/>
      </rPr>
      <t xml:space="preserve">학교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키워드는 맞는데 연도가 다름</t>
    </r>
  </si>
  <si>
    <r>
      <rPr>
        <sz val="11"/>
        <rFont val="Noto Sans CJK SC"/>
        <family val="2"/>
      </rPr>
      <t xml:space="preserve">     실물 없음 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실물목록에서 못 찾음 → 다른 곳에 있는지</t>
    </r>
    <r>
      <rPr>
        <sz val="11"/>
        <rFont val="맑은 고딕"/>
        <family val="0"/>
        <charset val="1"/>
      </rPr>
      <t xml:space="preserve">, </t>
    </r>
    <r>
      <rPr>
        <sz val="11"/>
        <rFont val="Noto Sans CJK SC"/>
        <family val="2"/>
      </rPr>
      <t xml:space="preserve">이관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폐기됐는지 확인</t>
    </r>
  </si>
  <si>
    <r>
      <rPr>
        <sz val="11"/>
        <rFont val="Noto Sans CJK SC"/>
        <family val="2"/>
      </rPr>
      <t xml:space="preserve">     ※ 옛 서고 목록을 </t>
    </r>
    <r>
      <rPr>
        <sz val="11"/>
        <rFont val="맑은 고딕"/>
        <family val="0"/>
        <charset val="1"/>
      </rPr>
      <t xml:space="preserve">[</t>
    </r>
    <r>
      <rPr>
        <sz val="11"/>
        <rFont val="Noto Sans CJK SC"/>
        <family val="2"/>
      </rPr>
      <t xml:space="preserve">보유목록</t>
    </r>
    <r>
      <rPr>
        <sz val="11"/>
        <rFont val="맑은 고딕"/>
        <family val="0"/>
        <charset val="1"/>
      </rPr>
      <t xml:space="preserve">]</t>
    </r>
    <r>
      <rPr>
        <sz val="11"/>
        <rFont val="Noto Sans CJK SC"/>
        <family val="2"/>
      </rPr>
      <t xml:space="preserve">에 붙여 넣으면 「대조결과 없음」</t>
    </r>
    <r>
      <rPr>
        <sz val="11"/>
        <rFont val="맑은 고딕"/>
        <family val="0"/>
        <charset val="1"/>
      </rPr>
      <t xml:space="preserve">= </t>
    </r>
    <r>
      <rPr>
        <sz val="11"/>
        <rFont val="Noto Sans CJK SC"/>
        <family val="2"/>
      </rPr>
      <t xml:space="preserve">새로 들어온 것</t>
    </r>
    <r>
      <rPr>
        <sz val="11"/>
        <rFont val="맑은 고딕"/>
        <family val="0"/>
        <charset val="1"/>
      </rPr>
      <t xml:space="preserve">, </t>
    </r>
    <r>
      <rPr>
        <sz val="11"/>
        <rFont val="Noto Sans CJK SC"/>
        <family val="2"/>
      </rPr>
      <t xml:space="preserve">「실물 없음」</t>
    </r>
    <r>
      <rPr>
        <sz val="11"/>
        <rFont val="맑은 고딕"/>
        <family val="0"/>
        <charset val="1"/>
      </rPr>
      <t xml:space="preserve">= </t>
    </r>
    <r>
      <rPr>
        <sz val="11"/>
        <rFont val="Noto Sans CJK SC"/>
        <family val="2"/>
      </rPr>
      <t xml:space="preserve">빠져나간 것</t>
    </r>
  </si>
  <si>
    <r>
      <rPr>
        <b val="true"/>
        <sz val="11"/>
        <rFont val="Noto Sans CJK SC"/>
        <family val="2"/>
      </rPr>
      <t xml:space="preserve">※ 폐기는 기록관 폐기 절차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심의</t>
    </r>
    <r>
      <rPr>
        <b val="true"/>
        <sz val="11"/>
        <rFont val="맑은 고딕"/>
        <family val="0"/>
        <charset val="1"/>
      </rPr>
      <t xml:space="preserve">)</t>
    </r>
    <r>
      <rPr>
        <b val="true"/>
        <sz val="11"/>
        <rFont val="Noto Sans CJK SC"/>
        <family val="2"/>
      </rPr>
      <t xml:space="preserve">를 거쳐야 합니다</t>
    </r>
    <r>
      <rPr>
        <b val="true"/>
        <sz val="11"/>
        <rFont val="맑은 고딕"/>
        <family val="0"/>
        <charset val="1"/>
      </rPr>
      <t xml:space="preserve">. </t>
    </r>
    <r>
      <rPr>
        <b val="true"/>
        <sz val="11"/>
        <rFont val="Noto Sans CJK SC"/>
        <family val="2"/>
      </rPr>
      <t xml:space="preserve">원본</t>
    </r>
    <r>
      <rPr>
        <b val="true"/>
        <sz val="11"/>
        <rFont val="맑은 고딕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사본 여부는 기록물관리 담당자 기준을 확인하세요</t>
    </r>
    <r>
      <rPr>
        <b val="true"/>
        <sz val="11"/>
        <rFont val="맑은 고딕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</si>
  <si>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※ 회색 줄은 예시입니다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실제 작성 전에 지워주세요</t>
    </r>
    <r>
      <rPr>
        <sz val="11"/>
        <rFont val="맑은 고딕"/>
        <family val="0"/>
        <charset val="1"/>
      </rPr>
      <t xml:space="preserve">.</t>
    </r>
  </si>
  <si>
    <t xml:space="preserve">보관위치</t>
  </si>
  <si>
    <t xml:space="preserve">문서종류</t>
  </si>
  <si>
    <t xml:space="preserve">처리구분</t>
  </si>
  <si>
    <r>
      <rPr>
        <sz val="11"/>
        <color rgb="FF7F7F7F"/>
        <rFont val="Noto Sans CJK SC"/>
        <family val="2"/>
      </rPr>
      <t xml:space="preserve">노란 칸은 자유롭게 고치거나 추가하세요 </t>
    </r>
    <r>
      <rPr>
        <sz val="11"/>
        <color rgb="FF7F7F7F"/>
        <rFont val="맑은 고딕"/>
        <family val="0"/>
        <charset val="1"/>
      </rPr>
      <t xml:space="preserve">(</t>
    </r>
    <r>
      <rPr>
        <sz val="11"/>
        <color rgb="FF7F7F7F"/>
        <rFont val="Noto Sans CJK SC"/>
        <family val="2"/>
      </rPr>
      <t xml:space="preserve">보관위치 </t>
    </r>
    <r>
      <rPr>
        <sz val="11"/>
        <color rgb="FF7F7F7F"/>
        <rFont val="맑은 고딕"/>
        <family val="0"/>
        <charset val="1"/>
      </rPr>
      <t xml:space="preserve">30</t>
    </r>
    <r>
      <rPr>
        <sz val="11"/>
        <color rgb="FF7F7F7F"/>
        <rFont val="Noto Sans CJK SC"/>
        <family val="2"/>
      </rPr>
      <t xml:space="preserve">개</t>
    </r>
    <r>
      <rPr>
        <sz val="11"/>
        <color rgb="FF7F7F7F"/>
        <rFont val="맑은 고딕"/>
        <family val="0"/>
        <charset val="1"/>
      </rPr>
      <t xml:space="preserve">, </t>
    </r>
    <r>
      <rPr>
        <sz val="11"/>
        <color rgb="FF7F7F7F"/>
        <rFont val="Noto Sans CJK SC"/>
        <family val="2"/>
      </rPr>
      <t xml:space="preserve">문서종류 </t>
    </r>
    <r>
      <rPr>
        <sz val="11"/>
        <color rgb="FF7F7F7F"/>
        <rFont val="맑은 고딕"/>
        <family val="0"/>
        <charset val="1"/>
      </rPr>
      <t xml:space="preserve">20</t>
    </r>
    <r>
      <rPr>
        <sz val="11"/>
        <color rgb="FF7F7F7F"/>
        <rFont val="Noto Sans CJK SC"/>
        <family val="2"/>
      </rPr>
      <t xml:space="preserve">개까지</t>
    </r>
    <r>
      <rPr>
        <sz val="11"/>
        <color rgb="FF7F7F7F"/>
        <rFont val="맑은 고딕"/>
        <family val="0"/>
        <charset val="1"/>
      </rPr>
      <t xml:space="preserve">).</t>
    </r>
  </si>
  <si>
    <r>
      <rPr>
        <sz val="11"/>
        <rFont val="Noto Sans CJK SC"/>
        <family val="2"/>
      </rPr>
      <t xml:space="preserve">사무실 캐비닛</t>
    </r>
    <r>
      <rPr>
        <sz val="11"/>
        <rFont val="맑은 고딕"/>
        <family val="0"/>
        <charset val="1"/>
      </rPr>
      <t xml:space="preserve">A</t>
    </r>
  </si>
  <si>
    <t xml:space="preserve">준공도면</t>
  </si>
  <si>
    <t xml:space="preserve">폐기후보</t>
  </si>
  <si>
    <r>
      <rPr>
        <sz val="11"/>
        <rFont val="Noto Sans CJK SC"/>
        <family val="2"/>
      </rPr>
      <t xml:space="preserve">사무실 캐비닛</t>
    </r>
    <r>
      <rPr>
        <sz val="11"/>
        <rFont val="맑은 고딕"/>
        <family val="0"/>
        <charset val="1"/>
      </rPr>
      <t xml:space="preserve">B</t>
    </r>
  </si>
  <si>
    <t xml:space="preserve">설계도면</t>
  </si>
  <si>
    <t xml:space="preserve">보관</t>
  </si>
  <si>
    <r>
      <rPr>
        <sz val="11"/>
        <rFont val="Noto Sans CJK SC"/>
        <family val="2"/>
      </rPr>
      <t xml:space="preserve">서고 </t>
    </r>
    <r>
      <rPr>
        <sz val="11"/>
        <rFont val="맑은 고딕"/>
        <family val="0"/>
        <charset val="1"/>
      </rPr>
      <t xml:space="preserve">1</t>
    </r>
    <r>
      <rPr>
        <sz val="11"/>
        <rFont val="Noto Sans CJK SC"/>
        <family val="2"/>
      </rPr>
      <t xml:space="preserve">번 선반</t>
    </r>
  </si>
  <si>
    <t xml:space="preserve">설계보고서</t>
  </si>
  <si>
    <t xml:space="preserve">등록요청</t>
  </si>
  <si>
    <r>
      <rPr>
        <sz val="11"/>
        <rFont val="Noto Sans CJK SC"/>
        <family val="2"/>
      </rPr>
      <t xml:space="preserve">서고 </t>
    </r>
    <r>
      <rPr>
        <sz val="11"/>
        <rFont val="맑은 고딕"/>
        <family val="0"/>
        <charset val="1"/>
      </rPr>
      <t xml:space="preserve">2</t>
    </r>
    <r>
      <rPr>
        <sz val="11"/>
        <rFont val="Noto Sans CJK SC"/>
        <family val="2"/>
      </rPr>
      <t xml:space="preserve">번 선반</t>
    </r>
  </si>
  <si>
    <t xml:space="preserve">준공보고서</t>
  </si>
  <si>
    <t xml:space="preserve">확인필요</t>
  </si>
  <si>
    <t xml:space="preserve">감리보고서</t>
  </si>
  <si>
    <t xml:space="preserve">계약서류</t>
  </si>
  <si>
    <t xml:space="preserve">사진대지</t>
  </si>
  <si>
    <t xml:space="preserve">기타</t>
  </si>
  <si>
    <t xml:space="preserve">생산연도</t>
  </si>
  <si>
    <t xml:space="preserve">기록물철 제목</t>
  </si>
  <si>
    <t xml:space="preserve">보존기간</t>
  </si>
  <si>
    <r>
      <rPr>
        <b val="true"/>
        <sz val="11"/>
        <color rgb="FFFFFFFF"/>
        <rFont val="Noto Sans CJK SC"/>
        <family val="2"/>
      </rPr>
      <t xml:space="preserve">관리번호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철번호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</si>
  <si>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비고</t>
  </si>
  <si>
    <t xml:space="preserve">실물 확인</t>
  </si>
  <si>
    <t xml:space="preserve">실물 건수</t>
  </si>
  <si>
    <t xml:space="preserve">2019</t>
  </si>
  <si>
    <t xml:space="preserve">가나초등학교 급식실 환기개선공사 준공도면</t>
  </si>
  <si>
    <r>
      <rPr>
        <sz val="11"/>
        <rFont val="맑은 고딕"/>
        <family val="0"/>
        <charset val="1"/>
      </rPr>
      <t xml:space="preserve">30</t>
    </r>
    <r>
      <rPr>
        <sz val="11"/>
        <rFont val="Noto Sans CJK SC"/>
        <family val="2"/>
      </rPr>
      <t xml:space="preserve">년</t>
    </r>
  </si>
  <si>
    <r>
      <rPr>
        <sz val="11"/>
        <rFont val="Noto Sans CJK SC"/>
        <family val="2"/>
      </rPr>
      <t xml:space="preserve">예시</t>
    </r>
    <r>
      <rPr>
        <sz val="11"/>
        <rFont val="맑은 고딕"/>
        <family val="0"/>
        <charset val="1"/>
      </rPr>
      <t xml:space="preserve">-0001</t>
    </r>
  </si>
  <si>
    <r>
      <rPr>
        <sz val="11"/>
        <rFont val="Noto Sans CJK SC"/>
        <family val="2"/>
      </rPr>
      <t xml:space="preserve">예시 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지워주세요</t>
    </r>
    <r>
      <rPr>
        <sz val="11"/>
        <rFont val="맑은 고딕"/>
        <family val="0"/>
        <charset val="1"/>
      </rPr>
      <t xml:space="preserve">)</t>
    </r>
  </si>
  <si>
    <t xml:space="preserve">번호</t>
  </si>
  <si>
    <t xml:space="preserve">학교명</t>
  </si>
  <si>
    <t xml:space="preserve">검색키워드</t>
  </si>
  <si>
    <r>
      <rPr>
        <b val="true"/>
        <sz val="11"/>
        <color rgb="FFFFFFFF"/>
        <rFont val="Noto Sans CJK SC"/>
        <family val="2"/>
      </rPr>
      <t xml:space="preserve">실물 제목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바인더 표기 그대로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</si>
  <si>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권수</t>
  </si>
  <si>
    <r>
      <rPr>
        <b val="true"/>
        <sz val="11"/>
        <color rgb="FFFFFFFF"/>
        <rFont val="Noto Sans CJK SC"/>
        <family val="2"/>
      </rPr>
      <t xml:space="preserve">원본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사본</t>
    </r>
  </si>
  <si>
    <t xml:space="preserve">메모</t>
  </si>
  <si>
    <t xml:space="preserve">대조결과</t>
  </si>
  <si>
    <t xml:space="preserve">일치 건수</t>
  </si>
  <si>
    <t xml:space="preserve">보유목록 후보 제목</t>
  </si>
  <si>
    <t xml:space="preserve">가나초</t>
  </si>
  <si>
    <t xml:space="preserve">환기</t>
  </si>
  <si>
    <t xml:space="preserve">가나초 급식실 환기개선 준공도면</t>
  </si>
  <si>
    <t xml:space="preserve">사본</t>
  </si>
  <si>
    <r>
      <rPr>
        <b val="true"/>
        <sz val="11"/>
        <color rgb="FFFFFFFF"/>
        <rFont val="Noto Sans CJK SC"/>
        <family val="2"/>
      </rPr>
      <t xml:space="preserve">전체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권수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</si>
  <si>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있음</t>
  </si>
  <si>
    <t xml:space="preserve">없음</t>
  </si>
  <si>
    <t xml:space="preserve">→ 폐기후보</t>
  </si>
  <si>
    <t xml:space="preserve">→ 보관</t>
  </si>
  <si>
    <t xml:space="preserve">→ 등록요청</t>
  </si>
  <si>
    <t xml:space="preserve">→ 확인필요</t>
  </si>
  <si>
    <t xml:space="preserve">처리구분 미정</t>
  </si>
  <si>
    <t xml:space="preserve">합계</t>
  </si>
  <si>
    <r>
      <rPr>
        <sz val="11"/>
        <color rgb="FF7F7F7F"/>
        <rFont val="Noto Sans CJK SC"/>
        <family val="2"/>
      </rPr>
      <t xml:space="preserve">숫자는 권수</t>
    </r>
    <r>
      <rPr>
        <sz val="11"/>
        <color rgb="FF7F7F7F"/>
        <rFont val="맑은 고딕"/>
        <family val="0"/>
        <charset val="1"/>
      </rPr>
      <t xml:space="preserve">(</t>
    </r>
    <r>
      <rPr>
        <sz val="11"/>
        <color rgb="FF7F7F7F"/>
        <rFont val="Noto Sans CJK SC"/>
        <family val="2"/>
      </rPr>
      <t xml:space="preserve">실물목록 </t>
    </r>
    <r>
      <rPr>
        <sz val="11"/>
        <color rgb="FF7F7F7F"/>
        <rFont val="맑은 고딕"/>
        <family val="0"/>
        <charset val="1"/>
      </rPr>
      <t xml:space="preserve">'</t>
    </r>
    <r>
      <rPr>
        <sz val="11"/>
        <color rgb="FF7F7F7F"/>
        <rFont val="Noto Sans CJK SC"/>
        <family val="2"/>
      </rPr>
      <t xml:space="preserve">권수</t>
    </r>
    <r>
      <rPr>
        <sz val="11"/>
        <color rgb="FF7F7F7F"/>
        <rFont val="맑은 고딕"/>
        <family val="0"/>
        <charset val="1"/>
      </rPr>
      <t xml:space="preserve">' </t>
    </r>
    <r>
      <rPr>
        <sz val="11"/>
        <color rgb="FF7F7F7F"/>
        <rFont val="Noto Sans CJK SC"/>
        <family val="2"/>
      </rPr>
      <t xml:space="preserve">칸 합계</t>
    </r>
    <r>
      <rPr>
        <sz val="11"/>
        <color rgb="FF7F7F7F"/>
        <rFont val="맑은 고딕"/>
        <family val="0"/>
        <charset val="1"/>
      </rPr>
      <t xml:space="preserve">) </t>
    </r>
    <r>
      <rPr>
        <sz val="11"/>
        <color rgb="FF7F7F7F"/>
        <rFont val="Noto Sans CJK SC"/>
        <family val="2"/>
      </rPr>
      <t xml:space="preserve">기준입니다</t>
    </r>
    <r>
      <rPr>
        <sz val="11"/>
        <color rgb="FF7F7F7F"/>
        <rFont val="맑은 고딕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</si>
  <si>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보유목록 쪽에서 본 결과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철 수</t>
    </r>
    <r>
      <rPr>
        <b val="true"/>
        <sz val="11"/>
        <rFont val="맑은 고딕"/>
        <family val="0"/>
        <charset val="1"/>
      </rPr>
      <t xml:space="preserve">)</t>
    </r>
  </si>
  <si>
    <t xml:space="preserve">실물 있음</t>
  </si>
  <si>
    <r>
      <rPr>
        <sz val="11"/>
        <rFont val="Noto Sans CJK SC"/>
        <family val="2"/>
      </rPr>
      <t xml:space="preserve">확인필요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연도다름</t>
    </r>
    <r>
      <rPr>
        <sz val="11"/>
        <rFont val="맑은 고딕"/>
        <family val="0"/>
        <charset val="1"/>
      </rPr>
      <t xml:space="preserve">)</t>
    </r>
  </si>
  <si>
    <t xml:space="preserve">실물 없음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</si>
</sst>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맑은 고딕"/>
      <family val="0"/>
      <charset val="1"/>
    </font>
    <font>
      <sz val="11"/>
      <name val="맑은 고딕"/>
      <family val="0"/>
      <charset val="1"/>
    </font>
    <font>
      <sz val="11"/>
      <name val="Noto Sans CJK SC"/>
      <family val="2"/>
    </font>
    <font>
      <b val="true"/>
      <sz val="11"/>
      <name val="맑은 고딕"/>
      <family val="0"/>
      <charset val="1"/>
    </font>
    <font>
      <b val="true"/>
      <sz val="11"/>
      <name val="Noto Sans CJK SC"/>
      <family val="2"/>
    </font>
    <font>
      <b val="true"/>
      <sz val="11"/>
      <color rgb="FFFFFFFF"/>
      <name val="Noto Sans CJK SC"/>
      <family val="2"/>
    </font>
    <font>
      <sz val="11"/>
      <color rgb="FF7F7F7F"/>
      <name val="Noto Sans CJK SC"/>
      <family val="2"/>
    </font>
    <font>
      <sz val="11"/>
      <color rgb="FF7F7F7F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sz val="10"/>
      <name val="Noto Sans CJK SC"/>
      <family val="2"/>
    </font>
    <font>
      <sz val="10"/>
      <name val="Arial"/>
      <family val="2"/>
    </font>
    <font>
      <sz val="11"/>
      <color rgb="FFC00000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9DB"/>
        <bgColor rgb="FFF2F2F2"/>
      </patternFill>
    </fill>
    <fill>
      <patternFill patternType="solid">
        <fgColor rgb="FF2F75B5"/>
        <bgColor rgb="FF0066CC"/>
      </patternFill>
    </fill>
    <fill>
      <patternFill patternType="solid">
        <fgColor rgb="FFF2F2F2"/>
        <bgColor rgb="FFEAF1FB"/>
      </patternFill>
    </fill>
    <fill>
      <patternFill patternType="solid">
        <fgColor rgb="FFEAF1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맑은 고딕"/>
        <charset val="1"/>
        <family val="0"/>
        <b val="1"/>
        <color rgb="FFC00000"/>
      </font>
      <fill>
        <patternFill>
          <bgColor rgb="FFF8CBAD"/>
        </patternFill>
      </fill>
    </dxf>
    <dxf>
      <font>
        <name val="맑은 고딕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맑은 고딕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9DB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699"/>
      <rgbColor rgb="FF99CCFF"/>
      <rgbColor rgb="FFFF99CC"/>
      <rgbColor rgb="FFCC99FF"/>
      <rgbColor rgb="FFF8CBAD"/>
      <rgbColor rgb="FF2F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7.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2" t="s">
        <v>2</v>
      </c>
    </row>
    <row r="6" customFormat="false" ht="17.15" hidden="false" customHeight="false" outlineLevel="0" collapsed="false">
      <c r="A6" s="2" t="s">
        <v>3</v>
      </c>
    </row>
    <row r="7" customFormat="false" ht="17.15" hidden="false" customHeight="false" outlineLevel="0" collapsed="false">
      <c r="A7" t="str" s="2">
        <v>     - 생산연도: 1900~2099의 4자리. 숫자·텍스트·주변 공백·년 표기를 정리해 대조합니다. 날짜·두 자리·오인식 연도는 입력누락으로 확인하세요.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4" t="s">
        <v>8</v>
      </c>
    </row>
    <row r="12" customFormat="false" ht="17.15" hidden="false" customHeight="false" outlineLevel="0" collapsed="false">
      <c r="A12" t="str" s="3">
        <v>     있음 : 같은 학교·키워드·연도의 보유 후보가 있음. 문서종류·관리번호·실제 철을 확인한 뒤 처리구분을 정하세요.</v>
      </c>
    </row>
    <row r="13" customFormat="false" ht="17.15" hidden="false" customHeight="false" outlineLevel="0" collapsed="false">
      <c r="A13" s="3" t="s">
        <v>10</v>
      </c>
    </row>
    <row r="14" customFormat="false" ht="17.15" hidden="false" customHeight="false" outlineLevel="0" collapsed="false">
      <c r="A14" s="3" t="s">
        <v>11</v>
      </c>
    </row>
    <row r="15" customFormat="false" ht="17.15" hidden="false" customHeight="false" outlineLevel="0" collapsed="false">
      <c r="A15" s="3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7.15" hidden="false" customHeight="false" outlineLevel="0" collapsed="false">
      <c r="A17" s="4" t="s">
        <v>14</v>
      </c>
    </row>
    <row r="18" customFormat="false" ht="17.15" hidden="false" customHeight="false" outlineLevel="0" collapsed="false">
      <c r="A18" t="str" s="3">
        <v>     실물 있음 : 같은 학교·키워드·연도의 실물 후보가 있음 (문서종류·실제 철의 일치까지 확정한 것은 아님)</v>
      </c>
    </row>
    <row r="19" customFormat="false" ht="17.15" hidden="false" customHeight="false" outlineLevel="0" collapsed="false">
      <c r="A19" t="str" s="3">
        <v>     확인필요 : 연도다름 또는 입력누락. 빈 학교명·키워드·연도는 일치로 인정하지 않습니다.</v>
      </c>
    </row>
    <row r="20" customFormat="false" ht="17.15" hidden="false" customHeight="false" outlineLevel="0" collapsed="false">
      <c r="A20" t="str" s="3">
        <v>     실물 없음 : 유효한 실물 입력에서 못 찾음. 입력누락 행이 남아 있으면 실물이 없다고 확정하지 마세요.</v>
      </c>
    </row>
    <row r="21" customFormat="false" ht="17.15" hidden="false" customHeight="false" outlineLevel="0" collapsed="false">
      <c r="A21" t="str" s="3">
        <v>     G열 동일연도 후보 수는 권수가 아닌 실물 행 수입니다. 중복 사진·분할 행을 정리하세요. 범위 밖 실물 1002행~/보유 3002행~은 대조하지 않습니다.</v>
      </c>
    </row>
    <row r="22" customFormat="false" ht="15" hidden="false" customHeight="false" outlineLevel="0" collapsed="false">
      <c r="A22" s="2"/>
    </row>
    <row r="23" customFormat="false" ht="17.15" hidden="false" customHeight="false" outlineLevel="0" collapsed="false">
      <c r="A23" s="5" t="s">
        <v>19</v>
      </c>
    </row>
    <row r="24" customFormat="false" ht="17.15" hidden="false" customHeight="false" outlineLevel="0" collapsed="false">
      <c r="A24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3" style="0" width="18"/>
    <col collapsed="false" customWidth="true" hidden="false" outlineLevel="0" max="5" min="5" style="0" width="14"/>
  </cols>
  <sheetData>
    <row r="1" customFormat="false" ht="17.15" hidden="false" customHeight="false" outlineLevel="0" collapsed="false">
      <c r="A1" s="6" t="s">
        <v>21</v>
      </c>
      <c r="C1" s="6" t="s">
        <v>22</v>
      </c>
      <c r="E1" s="6" t="s">
        <v>23</v>
      </c>
      <c r="G1" s="7" t="s">
        <v>24</v>
      </c>
    </row>
    <row r="2" customFormat="false" ht="17.15" hidden="false" customHeight="false" outlineLevel="0" collapsed="false">
      <c r="A2" s="8" t="s">
        <v>25</v>
      </c>
      <c r="C2" s="8" t="s">
        <v>26</v>
      </c>
      <c r="E2" s="9" t="s">
        <v>27</v>
      </c>
    </row>
    <row r="3" customFormat="false" ht="17.15" hidden="false" customHeight="false" outlineLevel="0" collapsed="false">
      <c r="A3" s="8" t="s">
        <v>28</v>
      </c>
      <c r="C3" s="8" t="s">
        <v>29</v>
      </c>
      <c r="E3" s="9" t="s">
        <v>30</v>
      </c>
    </row>
    <row r="4" customFormat="false" ht="17.15" hidden="false" customHeight="false" outlineLevel="0" collapsed="false">
      <c r="A4" s="8" t="s">
        <v>31</v>
      </c>
      <c r="C4" s="8" t="s">
        <v>32</v>
      </c>
      <c r="E4" s="9" t="s">
        <v>33</v>
      </c>
    </row>
    <row r="5" customFormat="false" ht="17.15" hidden="false" customHeight="false" outlineLevel="0" collapsed="false">
      <c r="A5" s="8" t="s">
        <v>34</v>
      </c>
      <c r="C5" s="8" t="s">
        <v>35</v>
      </c>
      <c r="E5" s="9" t="s">
        <v>36</v>
      </c>
    </row>
    <row r="6" customFormat="false" ht="15" hidden="false" customHeight="false" outlineLevel="0" collapsed="false">
      <c r="A6" s="8"/>
      <c r="C6" s="8" t="s">
        <v>37</v>
      </c>
    </row>
    <row r="7" customFormat="false" ht="15" hidden="false" customHeight="false" outlineLevel="0" collapsed="false">
      <c r="A7" s="8"/>
      <c r="C7" s="8" t="s">
        <v>38</v>
      </c>
    </row>
    <row r="8" customFormat="false" ht="15" hidden="false" customHeight="false" outlineLevel="0" collapsed="false">
      <c r="A8" s="8"/>
      <c r="C8" s="8" t="s">
        <v>39</v>
      </c>
    </row>
    <row r="9" customFormat="false" ht="15" hidden="false" customHeight="false" outlineLevel="0" collapsed="false">
      <c r="A9" s="8"/>
      <c r="C9" s="8" t="s">
        <v>40</v>
      </c>
    </row>
    <row r="10" customFormat="false" ht="15" hidden="false" customHeight="false" outlineLevel="0" collapsed="false">
      <c r="A10" s="8"/>
      <c r="C10" s="10"/>
    </row>
    <row r="11" customFormat="false" ht="15" hidden="false" customHeight="false" outlineLevel="0" collapsed="false">
      <c r="A11" s="8"/>
      <c r="C11" s="10"/>
    </row>
    <row r="12" customFormat="false" ht="15" hidden="false" customHeight="false" outlineLevel="0" collapsed="false">
      <c r="A12" s="8"/>
      <c r="C12" s="10"/>
    </row>
    <row r="13" customFormat="false" ht="15" hidden="false" customHeight="false" outlineLevel="0" collapsed="false">
      <c r="A13" s="8"/>
      <c r="C13" s="10"/>
    </row>
    <row r="14" customFormat="false" ht="15" hidden="false" customHeight="false" outlineLevel="0" collapsed="false">
      <c r="A14" s="8"/>
      <c r="C14" s="10"/>
    </row>
    <row r="15" customFormat="false" ht="15" hidden="false" customHeight="false" outlineLevel="0" collapsed="false">
      <c r="A15" s="8"/>
      <c r="C15" s="10"/>
    </row>
    <row r="16" customFormat="false" ht="15" hidden="false" customHeight="false" outlineLevel="0" collapsed="false">
      <c r="A16" s="8"/>
      <c r="C16" s="10"/>
    </row>
    <row r="17" customFormat="false" ht="15" hidden="false" customHeight="false" outlineLevel="0" collapsed="false">
      <c r="A17" s="8"/>
      <c r="C17" s="10"/>
    </row>
    <row r="18" customFormat="false" ht="15" hidden="false" customHeight="false" outlineLevel="0" collapsed="false">
      <c r="A18" s="8"/>
      <c r="C18" s="10"/>
    </row>
    <row r="19" customFormat="false" ht="15" hidden="false" customHeight="false" outlineLevel="0" collapsed="false">
      <c r="A19" s="8"/>
      <c r="C19" s="10"/>
    </row>
    <row r="20" customFormat="false" ht="15" hidden="false" customHeight="false" outlineLevel="0" collapsed="false">
      <c r="A20" s="8"/>
      <c r="C20" s="10"/>
    </row>
    <row r="21" customFormat="false" ht="15" hidden="false" customHeight="false" outlineLevel="0" collapsed="false">
      <c r="A21" s="8"/>
      <c r="C21" s="10"/>
    </row>
    <row r="22" customFormat="false" ht="15" hidden="false" customHeight="false" outlineLevel="0" collapsed="false">
      <c r="A22" s="8"/>
    </row>
    <row r="23" customFormat="false" ht="15" hidden="false" customHeight="false" outlineLevel="0" collapsed="false">
      <c r="A23" s="8"/>
    </row>
    <row r="24" customFormat="false" ht="15" hidden="false" customHeight="false" outlineLevel="0" collapsed="false">
      <c r="A24" s="8"/>
    </row>
    <row r="25" customFormat="false" ht="15" hidden="false" customHeight="false" outlineLevel="0" collapsed="false">
      <c r="A25" s="8"/>
    </row>
    <row r="26" customFormat="false" ht="15" hidden="false" customHeight="false" outlineLevel="0" collapsed="false">
      <c r="A26" s="8"/>
    </row>
    <row r="27" customFormat="false" ht="15" hidden="false" customHeight="false" outlineLevel="0" collapsed="false">
      <c r="A27" s="8"/>
    </row>
    <row r="28" customFormat="false" ht="15" hidden="false" customHeight="false" outlineLevel="0" collapsed="false">
      <c r="A28" s="8"/>
    </row>
    <row r="29" customFormat="false" ht="15" hidden="false" customHeight="false" outlineLevel="0" collapsed="false">
      <c r="A29" s="8"/>
    </row>
    <row r="30" customFormat="false" ht="15" hidden="false" customHeight="false" outlineLevel="0" collapsed="false">
      <c r="A30" s="8"/>
    </row>
    <row r="31" customFormat="false" ht="15" hidden="false" customHeight="false" outlineLevel="0" collapsed="false">
      <c r="A3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0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9"/>
    <col min="8" max="9" hidden="1" width="12" customWidth="1"/>
  </cols>
  <sheetData>
    <row r="1" customFormat="false" ht="17.15" hidden="false" customHeight="false" outlineLevel="0" collapsed="false">
      <c r="A1" s="11" t="s">
        <v>41</v>
      </c>
      <c r="B1" s="11" t="s">
        <v>42</v>
      </c>
      <c r="C1" s="11" t="s">
        <v>43</v>
      </c>
      <c r="D1" s="11" t="s">
        <v>44</v>
      </c>
      <c r="E1" s="11" t="s">
        <v>45</v>
      </c>
      <c r="F1" s="12" t="s">
        <v>46</v>
      </c>
      <c r="G1" t="str" s="12">
        <v>동년 후보</v>
      </c>
      <c r="H1" t="str">
        <v>대조용 연도</v>
      </c>
      <c r="I1" t="str">
        <v>대조용 제목</v>
      </c>
    </row>
    <row r="2" customFormat="false" ht="17.15" hidden="false" customHeight="false" outlineLevel="0" collapsed="false">
      <c r="A2" s="13" t="s">
        <v>48</v>
      </c>
      <c r="B2" s="14" t="s">
        <v>49</v>
      </c>
      <c r="C2" s="13" t="s">
        <v>50</v>
      </c>
      <c r="D2" s="14" t="s">
        <v>51</v>
      </c>
      <c r="E2" s="14" t="s">
        <v>52</v>
      </c>
      <c r="F2" t="str" s="15">
        <f aca="0">IF(B2="","",IF(H2="","확인필요(입력누락)",IF(SUMPRODUCT((실물목록!$P$2:$P$1001&lt;&gt;"")*ISNUMBER(SEARCH(실물목록!$P$2:$P$1001,I2))*(실물목록!$Q$2:$Q$1001&lt;&gt;"")*ISNUMBER(SEARCH(실물목록!$Q$2:$Q$1001,I2))*(실물목록!$R$2:$R$1001="")*(실물목록!$O$2:$O$1001&lt;&gt;"")*(실물목록!$O$2:$O$1001=H2))&gt;0,"실물 있음",IF(SUMPRODUCT((실물목록!$P$2:$P$1001&lt;&gt;"")*ISNUMBER(SEARCH(실물목록!$P$2:$P$1001,I2))*(실물목록!$R$2:$R$1001&lt;&gt;""))&gt;0,"확인필요(입력누락)",IF(SUMPRODUCT((실물목록!$P$2:$P$1001&lt;&gt;"")*ISNUMBER(SEARCH(실물목록!$P$2:$P$1001,I2))*(실물목록!$Q$2:$Q$1001&lt;&gt;"")*ISNUMBER(SEARCH(실물목록!$Q$2:$Q$1001,I2))*(실물목록!$R$2:$R$1001="")*(실물목록!$O$2:$O$1001&lt;&gt;""))&gt;0,"확인필요(연도다름)","실물 없음")))))</f>
      </c>
      <c r="G2" t="n" s="16">
        <f aca="0">IF(B2="","",SUMPRODUCT((실물목록!$P$2:$P$1001&lt;&gt;"")*ISNUMBER(SEARCH(실물목록!$P$2:$P$1001,I2))*(실물목록!$Q$2:$Q$1001&lt;&gt;"")*ISNUMBER(SEARCH(실물목록!$Q$2:$Q$1001,I2))*(실물목록!$R$2:$R$1001="")*(실물목록!$O$2:$O$1001&lt;&gt;"")*(실물목록!$O$2:$O$1001=H2)))</f>
      </c>
      <c r="H2" t="str">
        <f>IFERROR(IF(AND(LEN(SUBSTITUTE(SUBSTITUTE(SUBSTITUTE(TRIM(A2&amp;""),CHAR(160),"")," ",""),"년",""))=4,VALUE(SUBSTITUTE(SUBSTITUTE(SUBSTITUTE(TRIM(A2&amp;""),CHAR(160),"")," ",""),"년",""))&gt;=1900,VALUE(SUBSTITUTE(SUBSTITUTE(SUBSTITUTE(TRIM(A2&amp;""),CHAR(160),"")," ",""),"년",""))&lt;=2099,TEXT(VALUE(SUBSTITUTE(SUBSTITUTE(SUBSTITUTE(TRIM(A2&amp;""),CHAR(160),"")," ",""),"년","")),"0000")=SUBSTITUTE(SUBSTITUTE(SUBSTITUTE(TRIM(A2&amp;""),CHAR(160),"")," ",""),"년","")),SUBSTITUTE(SUBSTITUTE(SUBSTITUTE(TRIM(A2&amp;""),CHAR(160),"")," ",""),"년",""),""),"")</f>
      </c>
      <c r="I2" t="str">
        <f>SUBSTITUTE(SUBSTITUTE(SUBSTITUTE(SUBSTITUTE(SUBSTITUTE(TRIM(B2&amp;""),CHAR(160),"")," ",""),"초등학교","초"),"중학교","중"),"고등학교","고")</f>
      </c>
    </row>
    <row r="3" customFormat="false" ht="15" hidden="false" customHeight="false" outlineLevel="0" collapsed="false">
      <c r="A3" s="8"/>
      <c r="B3" s="8"/>
      <c r="C3" s="8"/>
      <c r="D3" s="8"/>
      <c r="E3" s="8"/>
      <c r="F3" t="str" s="15">
        <f aca="0">IF(B3="","",IF(H3="","확인필요(입력누락)",IF(SUMPRODUCT((실물목록!$P$2:$P$1001&lt;&gt;"")*ISNUMBER(SEARCH(실물목록!$P$2:$P$1001,I3))*(실물목록!$Q$2:$Q$1001&lt;&gt;"")*ISNUMBER(SEARCH(실물목록!$Q$2:$Q$1001,I3))*(실물목록!$R$2:$R$1001="")*(실물목록!$O$2:$O$1001&lt;&gt;"")*(실물목록!$O$2:$O$1001=H3))&gt;0,"실물 있음",IF(SUMPRODUCT((실물목록!$P$2:$P$1001&lt;&gt;"")*ISNUMBER(SEARCH(실물목록!$P$2:$P$1001,I3))*(실물목록!$R$2:$R$1001&lt;&gt;""))&gt;0,"확인필요(입력누락)",IF(SUMPRODUCT((실물목록!$P$2:$P$1001&lt;&gt;"")*ISNUMBER(SEARCH(실물목록!$P$2:$P$1001,I3))*(실물목록!$Q$2:$Q$1001&lt;&gt;"")*ISNUMBER(SEARCH(실물목록!$Q$2:$Q$1001,I3))*(실물목록!$R$2:$R$1001="")*(실물목록!$O$2:$O$1001&lt;&gt;""))&gt;0,"확인필요(연도다름)","실물 없음")))))</f>
      </c>
      <c r="G3" t="n" s="16">
        <f aca="0">IF(B3="","",SUMPRODUCT((실물목록!$P$2:$P$1001&lt;&gt;"")*ISNUMBER(SEARCH(실물목록!$P$2:$P$1001,I3))*(실물목록!$Q$2:$Q$1001&lt;&gt;"")*ISNUMBER(SEARCH(실물목록!$Q$2:$Q$1001,I3))*(실물목록!$R$2:$R$1001="")*(실물목록!$O$2:$O$1001&lt;&gt;"")*(실물목록!$O$2:$O$1001=H3)))</f>
      </c>
      <c r="H3" t="str">
        <f>IFERROR(IF(AND(LEN(SUBSTITUTE(SUBSTITUTE(SUBSTITUTE(TRIM(A3&amp;""),CHAR(160),"")," ",""),"년",""))=4,VALUE(SUBSTITUTE(SUBSTITUTE(SUBSTITUTE(TRIM(A3&amp;""),CHAR(160),"")," ",""),"년",""))&gt;=1900,VALUE(SUBSTITUTE(SUBSTITUTE(SUBSTITUTE(TRIM(A3&amp;""),CHAR(160),"")," ",""),"년",""))&lt;=2099,TEXT(VALUE(SUBSTITUTE(SUBSTITUTE(SUBSTITUTE(TRIM(A3&amp;""),CHAR(160),"")," ",""),"년","")),"0000")=SUBSTITUTE(SUBSTITUTE(SUBSTITUTE(TRIM(A3&amp;""),CHAR(160),"")," ",""),"년","")),SUBSTITUTE(SUBSTITUTE(SUBSTITUTE(TRIM(A3&amp;""),CHAR(160),"")," ",""),"년",""),""),"")</f>
      </c>
      <c r="I3" t="str">
        <f>SUBSTITUTE(SUBSTITUTE(SUBSTITUTE(SUBSTITUTE(SUBSTITUTE(TRIM(B3&amp;""),CHAR(160),"")," ",""),"초등학교","초"),"중학교","중"),"고등학교","고")</f>
      </c>
    </row>
    <row r="4" customFormat="false" ht="15" hidden="false" customHeight="false" outlineLevel="0" collapsed="false">
      <c r="A4" s="8"/>
      <c r="B4" s="8"/>
      <c r="C4" s="8"/>
      <c r="D4" s="8"/>
      <c r="E4" s="8"/>
      <c r="F4" t="str" s="15">
        <f aca="0">IF(B4="","",IF(H4="","확인필요(입력누락)",IF(SUMPRODUCT((실물목록!$P$2:$P$1001&lt;&gt;"")*ISNUMBER(SEARCH(실물목록!$P$2:$P$1001,I4))*(실물목록!$Q$2:$Q$1001&lt;&gt;"")*ISNUMBER(SEARCH(실물목록!$Q$2:$Q$1001,I4))*(실물목록!$R$2:$R$1001="")*(실물목록!$O$2:$O$1001&lt;&gt;"")*(실물목록!$O$2:$O$1001=H4))&gt;0,"실물 있음",IF(SUMPRODUCT((실물목록!$P$2:$P$1001&lt;&gt;"")*ISNUMBER(SEARCH(실물목록!$P$2:$P$1001,I4))*(실물목록!$R$2:$R$1001&lt;&gt;""))&gt;0,"확인필요(입력누락)",IF(SUMPRODUCT((실물목록!$P$2:$P$1001&lt;&gt;"")*ISNUMBER(SEARCH(실물목록!$P$2:$P$1001,I4))*(실물목록!$Q$2:$Q$1001&lt;&gt;"")*ISNUMBER(SEARCH(실물목록!$Q$2:$Q$1001,I4))*(실물목록!$R$2:$R$1001="")*(실물목록!$O$2:$O$1001&lt;&gt;""))&gt;0,"확인필요(연도다름)","실물 없음")))))</f>
      </c>
      <c r="G4" t="n" s="16">
        <f aca="0">IF(B4="","",SUMPRODUCT((실물목록!$P$2:$P$1001&lt;&gt;"")*ISNUMBER(SEARCH(실물목록!$P$2:$P$1001,I4))*(실물목록!$Q$2:$Q$1001&lt;&gt;"")*ISNUMBER(SEARCH(실물목록!$Q$2:$Q$1001,I4))*(실물목록!$R$2:$R$1001="")*(실물목록!$O$2:$O$1001&lt;&gt;"")*(실물목록!$O$2:$O$1001=H4)))</f>
      </c>
      <c r="H4" t="str">
        <f>IFERROR(IF(AND(LEN(SUBSTITUTE(SUBSTITUTE(SUBSTITUTE(TRIM(A4&amp;""),CHAR(160),"")," ",""),"년",""))=4,VALUE(SUBSTITUTE(SUBSTITUTE(SUBSTITUTE(TRIM(A4&amp;""),CHAR(160),"")," ",""),"년",""))&gt;=1900,VALUE(SUBSTITUTE(SUBSTITUTE(SUBSTITUTE(TRIM(A4&amp;""),CHAR(160),"")," ",""),"년",""))&lt;=2099,TEXT(VALUE(SUBSTITUTE(SUBSTITUTE(SUBSTITUTE(TRIM(A4&amp;""),CHAR(160),"")," ",""),"년","")),"0000")=SUBSTITUTE(SUBSTITUTE(SUBSTITUTE(TRIM(A4&amp;""),CHAR(160),"")," ",""),"년","")),SUBSTITUTE(SUBSTITUTE(SUBSTITUTE(TRIM(A4&amp;""),CHAR(160),"")," ",""),"년",""),""),"")</f>
      </c>
      <c r="I4" t="str">
        <f>SUBSTITUTE(SUBSTITUTE(SUBSTITUTE(SUBSTITUTE(SUBSTITUTE(TRIM(B4&amp;""),CHAR(160),"")," ",""),"초등학교","초"),"중학교","중"),"고등학교","고")</f>
      </c>
    </row>
    <row r="5" customFormat="false" ht="15" hidden="false" customHeight="false" outlineLevel="0" collapsed="false">
      <c r="A5" s="8"/>
      <c r="B5" s="8"/>
      <c r="C5" s="8"/>
      <c r="D5" s="8"/>
      <c r="E5" s="8"/>
      <c r="F5" t="str" s="15">
        <f aca="0">IF(B5="","",IF(H5="","확인필요(입력누락)",IF(SUMPRODUCT((실물목록!$P$2:$P$1001&lt;&gt;"")*ISNUMBER(SEARCH(실물목록!$P$2:$P$1001,I5))*(실물목록!$Q$2:$Q$1001&lt;&gt;"")*ISNUMBER(SEARCH(실물목록!$Q$2:$Q$1001,I5))*(실물목록!$R$2:$R$1001="")*(실물목록!$O$2:$O$1001&lt;&gt;"")*(실물목록!$O$2:$O$1001=H5))&gt;0,"실물 있음",IF(SUMPRODUCT((실물목록!$P$2:$P$1001&lt;&gt;"")*ISNUMBER(SEARCH(실물목록!$P$2:$P$1001,I5))*(실물목록!$R$2:$R$1001&lt;&gt;""))&gt;0,"확인필요(입력누락)",IF(SUMPRODUCT((실물목록!$P$2:$P$1001&lt;&gt;"")*ISNUMBER(SEARCH(실물목록!$P$2:$P$1001,I5))*(실물목록!$Q$2:$Q$1001&lt;&gt;"")*ISNUMBER(SEARCH(실물목록!$Q$2:$Q$1001,I5))*(실물목록!$R$2:$R$1001="")*(실물목록!$O$2:$O$1001&lt;&gt;""))&gt;0,"확인필요(연도다름)","실물 없음")))))</f>
      </c>
      <c r="G5" t="n" s="16">
        <f aca="0">IF(B5="","",SUMPRODUCT((실물목록!$P$2:$P$1001&lt;&gt;"")*ISNUMBER(SEARCH(실물목록!$P$2:$P$1001,I5))*(실물목록!$Q$2:$Q$1001&lt;&gt;"")*ISNUMBER(SEARCH(실물목록!$Q$2:$Q$1001,I5))*(실물목록!$R$2:$R$1001="")*(실물목록!$O$2:$O$1001&lt;&gt;"")*(실물목록!$O$2:$O$1001=H5)))</f>
      </c>
      <c r="H5" t="str">
        <f>IFERROR(IF(AND(LEN(SUBSTITUTE(SUBSTITUTE(SUBSTITUTE(TRIM(A5&amp;""),CHAR(160),"")," ",""),"년",""))=4,VALUE(SUBSTITUTE(SUBSTITUTE(SUBSTITUTE(TRIM(A5&amp;""),CHAR(160),"")," ",""),"년",""))&gt;=1900,VALUE(SUBSTITUTE(SUBSTITUTE(SUBSTITUTE(TRIM(A5&amp;""),CHAR(160),"")," ",""),"년",""))&lt;=2099,TEXT(VALUE(SUBSTITUTE(SUBSTITUTE(SUBSTITUTE(TRIM(A5&amp;""),CHAR(160),"")," ",""),"년","")),"0000")=SUBSTITUTE(SUBSTITUTE(SUBSTITUTE(TRIM(A5&amp;""),CHAR(160),"")," ",""),"년","")),SUBSTITUTE(SUBSTITUTE(SUBSTITUTE(TRIM(A5&amp;""),CHAR(160),"")," ",""),"년",""),""),"")</f>
      </c>
      <c r="I5" t="str">
        <f>SUBSTITUTE(SUBSTITUTE(SUBSTITUTE(SUBSTITUTE(SUBSTITUTE(TRIM(B5&amp;""),CHAR(160),"")," ",""),"초등학교","초"),"중학교","중"),"고등학교","고")</f>
      </c>
    </row>
    <row r="6" customFormat="false" ht="15" hidden="false" customHeight="false" outlineLevel="0" collapsed="false">
      <c r="A6" s="8"/>
      <c r="B6" s="8"/>
      <c r="C6" s="8"/>
      <c r="D6" s="8"/>
      <c r="E6" s="8"/>
      <c r="F6" t="str" s="15">
        <f aca="0">IF(B6="","",IF(H6="","확인필요(입력누락)",IF(SUMPRODUCT((실물목록!$P$2:$P$1001&lt;&gt;"")*ISNUMBER(SEARCH(실물목록!$P$2:$P$1001,I6))*(실물목록!$Q$2:$Q$1001&lt;&gt;"")*ISNUMBER(SEARCH(실물목록!$Q$2:$Q$1001,I6))*(실물목록!$R$2:$R$1001="")*(실물목록!$O$2:$O$1001&lt;&gt;"")*(실물목록!$O$2:$O$1001=H6))&gt;0,"실물 있음",IF(SUMPRODUCT((실물목록!$P$2:$P$1001&lt;&gt;"")*ISNUMBER(SEARCH(실물목록!$P$2:$P$1001,I6))*(실물목록!$R$2:$R$1001&lt;&gt;""))&gt;0,"확인필요(입력누락)",IF(SUMPRODUCT((실물목록!$P$2:$P$1001&lt;&gt;"")*ISNUMBER(SEARCH(실물목록!$P$2:$P$1001,I6))*(실물목록!$Q$2:$Q$1001&lt;&gt;"")*ISNUMBER(SEARCH(실물목록!$Q$2:$Q$1001,I6))*(실물목록!$R$2:$R$1001="")*(실물목록!$O$2:$O$1001&lt;&gt;""))&gt;0,"확인필요(연도다름)","실물 없음")))))</f>
      </c>
      <c r="G6" t="n" s="16">
        <f aca="0">IF(B6="","",SUMPRODUCT((실물목록!$P$2:$P$1001&lt;&gt;"")*ISNUMBER(SEARCH(실물목록!$P$2:$P$1001,I6))*(실물목록!$Q$2:$Q$1001&lt;&gt;"")*ISNUMBER(SEARCH(실물목록!$Q$2:$Q$1001,I6))*(실물목록!$R$2:$R$1001="")*(실물목록!$O$2:$O$1001&lt;&gt;"")*(실물목록!$O$2:$O$1001=H6)))</f>
      </c>
      <c r="H6" t="str">
        <f>IFERROR(IF(AND(LEN(SUBSTITUTE(SUBSTITUTE(SUBSTITUTE(TRIM(A6&amp;""),CHAR(160),"")," ",""),"년",""))=4,VALUE(SUBSTITUTE(SUBSTITUTE(SUBSTITUTE(TRIM(A6&amp;""),CHAR(160),"")," ",""),"년",""))&gt;=1900,VALUE(SUBSTITUTE(SUBSTITUTE(SUBSTITUTE(TRIM(A6&amp;""),CHAR(160),"")," ",""),"년",""))&lt;=2099,TEXT(VALUE(SUBSTITUTE(SUBSTITUTE(SUBSTITUTE(TRIM(A6&amp;""),CHAR(160),"")," ",""),"년","")),"0000")=SUBSTITUTE(SUBSTITUTE(SUBSTITUTE(TRIM(A6&amp;""),CHAR(160),"")," ",""),"년","")),SUBSTITUTE(SUBSTITUTE(SUBSTITUTE(TRIM(A6&amp;""),CHAR(160),"")," ",""),"년",""),""),"")</f>
      </c>
      <c r="I6" t="str">
        <f>SUBSTITUTE(SUBSTITUTE(SUBSTITUTE(SUBSTITUTE(SUBSTITUTE(TRIM(B6&amp;""),CHAR(160),"")," ",""),"초등학교","초"),"중학교","중"),"고등학교","고")</f>
      </c>
    </row>
    <row r="7" customFormat="false" ht="15" hidden="false" customHeight="false" outlineLevel="0" collapsed="false">
      <c r="A7" s="8"/>
      <c r="B7" s="8"/>
      <c r="C7" s="8"/>
      <c r="D7" s="8"/>
      <c r="E7" s="8"/>
      <c r="F7" t="str" s="15">
        <f aca="0">IF(B7="","",IF(H7="","확인필요(입력누락)",IF(SUMPRODUCT((실물목록!$P$2:$P$1001&lt;&gt;"")*ISNUMBER(SEARCH(실물목록!$P$2:$P$1001,I7))*(실물목록!$Q$2:$Q$1001&lt;&gt;"")*ISNUMBER(SEARCH(실물목록!$Q$2:$Q$1001,I7))*(실물목록!$R$2:$R$1001="")*(실물목록!$O$2:$O$1001&lt;&gt;"")*(실물목록!$O$2:$O$1001=H7))&gt;0,"실물 있음",IF(SUMPRODUCT((실물목록!$P$2:$P$1001&lt;&gt;"")*ISNUMBER(SEARCH(실물목록!$P$2:$P$1001,I7))*(실물목록!$R$2:$R$1001&lt;&gt;""))&gt;0,"확인필요(입력누락)",IF(SUMPRODUCT((실물목록!$P$2:$P$1001&lt;&gt;"")*ISNUMBER(SEARCH(실물목록!$P$2:$P$1001,I7))*(실물목록!$Q$2:$Q$1001&lt;&gt;"")*ISNUMBER(SEARCH(실물목록!$Q$2:$Q$1001,I7))*(실물목록!$R$2:$R$1001="")*(실물목록!$O$2:$O$1001&lt;&gt;""))&gt;0,"확인필요(연도다름)","실물 없음")))))</f>
      </c>
      <c r="G7" t="n" s="16">
        <f aca="0">IF(B7="","",SUMPRODUCT((실물목록!$P$2:$P$1001&lt;&gt;"")*ISNUMBER(SEARCH(실물목록!$P$2:$P$1001,I7))*(실물목록!$Q$2:$Q$1001&lt;&gt;"")*ISNUMBER(SEARCH(실물목록!$Q$2:$Q$1001,I7))*(실물목록!$R$2:$R$1001="")*(실물목록!$O$2:$O$1001&lt;&gt;"")*(실물목록!$O$2:$O$1001=H7)))</f>
      </c>
      <c r="H7" t="str">
        <f>IFERROR(IF(AND(LEN(SUBSTITUTE(SUBSTITUTE(SUBSTITUTE(TRIM(A7&amp;""),CHAR(160),"")," ",""),"년",""))=4,VALUE(SUBSTITUTE(SUBSTITUTE(SUBSTITUTE(TRIM(A7&amp;""),CHAR(160),"")," ",""),"년",""))&gt;=1900,VALUE(SUBSTITUTE(SUBSTITUTE(SUBSTITUTE(TRIM(A7&amp;""),CHAR(160),"")," ",""),"년",""))&lt;=2099,TEXT(VALUE(SUBSTITUTE(SUBSTITUTE(SUBSTITUTE(TRIM(A7&amp;""),CHAR(160),"")," ",""),"년","")),"0000")=SUBSTITUTE(SUBSTITUTE(SUBSTITUTE(TRIM(A7&amp;""),CHAR(160),"")," ",""),"년","")),SUBSTITUTE(SUBSTITUTE(SUBSTITUTE(TRIM(A7&amp;""),CHAR(160),"")," ",""),"년",""),""),"")</f>
      </c>
      <c r="I7" t="str">
        <f>SUBSTITUTE(SUBSTITUTE(SUBSTITUTE(SUBSTITUTE(SUBSTITUTE(TRIM(B7&amp;""),CHAR(160),"")," ",""),"초등학교","초"),"중학교","중"),"고등학교","고")</f>
      </c>
    </row>
    <row r="8" customFormat="false" ht="15" hidden="false" customHeight="false" outlineLevel="0" collapsed="false">
      <c r="A8" s="8"/>
      <c r="B8" s="8"/>
      <c r="C8" s="8"/>
      <c r="D8" s="8"/>
      <c r="E8" s="8"/>
      <c r="F8" t="str" s="15">
        <f aca="0">IF(B8="","",IF(H8="","확인필요(입력누락)",IF(SUMPRODUCT((실물목록!$P$2:$P$1001&lt;&gt;"")*ISNUMBER(SEARCH(실물목록!$P$2:$P$1001,I8))*(실물목록!$Q$2:$Q$1001&lt;&gt;"")*ISNUMBER(SEARCH(실물목록!$Q$2:$Q$1001,I8))*(실물목록!$R$2:$R$1001="")*(실물목록!$O$2:$O$1001&lt;&gt;"")*(실물목록!$O$2:$O$1001=H8))&gt;0,"실물 있음",IF(SUMPRODUCT((실물목록!$P$2:$P$1001&lt;&gt;"")*ISNUMBER(SEARCH(실물목록!$P$2:$P$1001,I8))*(실물목록!$R$2:$R$1001&lt;&gt;""))&gt;0,"확인필요(입력누락)",IF(SUMPRODUCT((실물목록!$P$2:$P$1001&lt;&gt;"")*ISNUMBER(SEARCH(실물목록!$P$2:$P$1001,I8))*(실물목록!$Q$2:$Q$1001&lt;&gt;"")*ISNUMBER(SEARCH(실물목록!$Q$2:$Q$1001,I8))*(실물목록!$R$2:$R$1001="")*(실물목록!$O$2:$O$1001&lt;&gt;""))&gt;0,"확인필요(연도다름)","실물 없음")))))</f>
      </c>
      <c r="G8" t="n" s="16">
        <f aca="0">IF(B8="","",SUMPRODUCT((실물목록!$P$2:$P$1001&lt;&gt;"")*ISNUMBER(SEARCH(실물목록!$P$2:$P$1001,I8))*(실물목록!$Q$2:$Q$1001&lt;&gt;"")*ISNUMBER(SEARCH(실물목록!$Q$2:$Q$1001,I8))*(실물목록!$R$2:$R$1001="")*(실물목록!$O$2:$O$1001&lt;&gt;"")*(실물목록!$O$2:$O$1001=H8)))</f>
      </c>
      <c r="H8" t="str">
        <f>IFERROR(IF(AND(LEN(SUBSTITUTE(SUBSTITUTE(SUBSTITUTE(TRIM(A8&amp;""),CHAR(160),"")," ",""),"년",""))=4,VALUE(SUBSTITUTE(SUBSTITUTE(SUBSTITUTE(TRIM(A8&amp;""),CHAR(160),"")," ",""),"년",""))&gt;=1900,VALUE(SUBSTITUTE(SUBSTITUTE(SUBSTITUTE(TRIM(A8&amp;""),CHAR(160),"")," ",""),"년",""))&lt;=2099,TEXT(VALUE(SUBSTITUTE(SUBSTITUTE(SUBSTITUTE(TRIM(A8&amp;""),CHAR(160),"")," ",""),"년","")),"0000")=SUBSTITUTE(SUBSTITUTE(SUBSTITUTE(TRIM(A8&amp;""),CHAR(160),"")," ",""),"년","")),SUBSTITUTE(SUBSTITUTE(SUBSTITUTE(TRIM(A8&amp;""),CHAR(160),"")," ",""),"년",""),""),"")</f>
      </c>
      <c r="I8" t="str">
        <f>SUBSTITUTE(SUBSTITUTE(SUBSTITUTE(SUBSTITUTE(SUBSTITUTE(TRIM(B8&amp;""),CHAR(160),"")," ",""),"초등학교","초"),"중학교","중"),"고등학교","고")</f>
      </c>
    </row>
    <row r="9" customFormat="false" ht="15" hidden="false" customHeight="false" outlineLevel="0" collapsed="false">
      <c r="A9" s="8"/>
      <c r="B9" s="8"/>
      <c r="C9" s="8"/>
      <c r="D9" s="8"/>
      <c r="E9" s="8"/>
      <c r="F9" t="str" s="15">
        <f aca="0">IF(B9="","",IF(H9="","확인필요(입력누락)",IF(SUMPRODUCT((실물목록!$P$2:$P$1001&lt;&gt;"")*ISNUMBER(SEARCH(실물목록!$P$2:$P$1001,I9))*(실물목록!$Q$2:$Q$1001&lt;&gt;"")*ISNUMBER(SEARCH(실물목록!$Q$2:$Q$1001,I9))*(실물목록!$R$2:$R$1001="")*(실물목록!$O$2:$O$1001&lt;&gt;"")*(실물목록!$O$2:$O$1001=H9))&gt;0,"실물 있음",IF(SUMPRODUCT((실물목록!$P$2:$P$1001&lt;&gt;"")*ISNUMBER(SEARCH(실물목록!$P$2:$P$1001,I9))*(실물목록!$R$2:$R$1001&lt;&gt;""))&gt;0,"확인필요(입력누락)",IF(SUMPRODUCT((실물목록!$P$2:$P$1001&lt;&gt;"")*ISNUMBER(SEARCH(실물목록!$P$2:$P$1001,I9))*(실물목록!$Q$2:$Q$1001&lt;&gt;"")*ISNUMBER(SEARCH(실물목록!$Q$2:$Q$1001,I9))*(실물목록!$R$2:$R$1001="")*(실물목록!$O$2:$O$1001&lt;&gt;""))&gt;0,"확인필요(연도다름)","실물 없음")))))</f>
      </c>
      <c r="G9" t="n" s="16">
        <f aca="0">IF(B9="","",SUMPRODUCT((실물목록!$P$2:$P$1001&lt;&gt;"")*ISNUMBER(SEARCH(실물목록!$P$2:$P$1001,I9))*(실물목록!$Q$2:$Q$1001&lt;&gt;"")*ISNUMBER(SEARCH(실물목록!$Q$2:$Q$1001,I9))*(실물목록!$R$2:$R$1001="")*(실물목록!$O$2:$O$1001&lt;&gt;"")*(실물목록!$O$2:$O$1001=H9)))</f>
      </c>
      <c r="H9" t="str">
        <f>IFERROR(IF(AND(LEN(SUBSTITUTE(SUBSTITUTE(SUBSTITUTE(TRIM(A9&amp;""),CHAR(160),"")," ",""),"년",""))=4,VALUE(SUBSTITUTE(SUBSTITUTE(SUBSTITUTE(TRIM(A9&amp;""),CHAR(160),"")," ",""),"년",""))&gt;=1900,VALUE(SUBSTITUTE(SUBSTITUTE(SUBSTITUTE(TRIM(A9&amp;""),CHAR(160),"")," ",""),"년",""))&lt;=2099,TEXT(VALUE(SUBSTITUTE(SUBSTITUTE(SUBSTITUTE(TRIM(A9&amp;""),CHAR(160),"")," ",""),"년","")),"0000")=SUBSTITUTE(SUBSTITUTE(SUBSTITUTE(TRIM(A9&amp;""),CHAR(160),"")," ",""),"년","")),SUBSTITUTE(SUBSTITUTE(SUBSTITUTE(TRIM(A9&amp;""),CHAR(160),"")," ",""),"년",""),""),"")</f>
      </c>
      <c r="I9" t="str">
        <f>SUBSTITUTE(SUBSTITUTE(SUBSTITUTE(SUBSTITUTE(SUBSTITUTE(TRIM(B9&amp;""),CHAR(160),"")," ",""),"초등학교","초"),"중학교","중"),"고등학교","고")</f>
      </c>
    </row>
    <row r="10" customFormat="false" ht="15" hidden="false" customHeight="false" outlineLevel="0" collapsed="false">
      <c r="A10" s="8"/>
      <c r="B10" s="8"/>
      <c r="C10" s="8"/>
      <c r="D10" s="8"/>
      <c r="E10" s="8"/>
      <c r="F10" t="str" s="15">
        <f aca="0">IF(B10="","",IF(H10="","확인필요(입력누락)",IF(SUMPRODUCT((실물목록!$P$2:$P$1001&lt;&gt;"")*ISNUMBER(SEARCH(실물목록!$P$2:$P$1001,I10))*(실물목록!$Q$2:$Q$1001&lt;&gt;"")*ISNUMBER(SEARCH(실물목록!$Q$2:$Q$1001,I10))*(실물목록!$R$2:$R$1001="")*(실물목록!$O$2:$O$1001&lt;&gt;"")*(실물목록!$O$2:$O$1001=H10))&gt;0,"실물 있음",IF(SUMPRODUCT((실물목록!$P$2:$P$1001&lt;&gt;"")*ISNUMBER(SEARCH(실물목록!$P$2:$P$1001,I10))*(실물목록!$R$2:$R$1001&lt;&gt;""))&gt;0,"확인필요(입력누락)",IF(SUMPRODUCT((실물목록!$P$2:$P$1001&lt;&gt;"")*ISNUMBER(SEARCH(실물목록!$P$2:$P$1001,I10))*(실물목록!$Q$2:$Q$1001&lt;&gt;"")*ISNUMBER(SEARCH(실물목록!$Q$2:$Q$1001,I10))*(실물목록!$R$2:$R$1001="")*(실물목록!$O$2:$O$1001&lt;&gt;""))&gt;0,"확인필요(연도다름)","실물 없음")))))</f>
      </c>
      <c r="G10" t="n" s="16">
        <f aca="0">IF(B10="","",SUMPRODUCT((실물목록!$P$2:$P$1001&lt;&gt;"")*ISNUMBER(SEARCH(실물목록!$P$2:$P$1001,I10))*(실물목록!$Q$2:$Q$1001&lt;&gt;"")*ISNUMBER(SEARCH(실물목록!$Q$2:$Q$1001,I10))*(실물목록!$R$2:$R$1001="")*(실물목록!$O$2:$O$1001&lt;&gt;"")*(실물목록!$O$2:$O$1001=H10)))</f>
      </c>
      <c r="H10" t="str">
        <f>IFERROR(IF(AND(LEN(SUBSTITUTE(SUBSTITUTE(SUBSTITUTE(TRIM(A10&amp;""),CHAR(160),"")," ",""),"년",""))=4,VALUE(SUBSTITUTE(SUBSTITUTE(SUBSTITUTE(TRIM(A10&amp;""),CHAR(160),"")," ",""),"년",""))&gt;=1900,VALUE(SUBSTITUTE(SUBSTITUTE(SUBSTITUTE(TRIM(A10&amp;""),CHAR(160),"")," ",""),"년",""))&lt;=2099,TEXT(VALUE(SUBSTITUTE(SUBSTITUTE(SUBSTITUTE(TRIM(A10&amp;""),CHAR(160),"")," ",""),"년","")),"0000")=SUBSTITUTE(SUBSTITUTE(SUBSTITUTE(TRIM(A10&amp;""),CHAR(160),"")," ",""),"년","")),SUBSTITUTE(SUBSTITUTE(SUBSTITUTE(TRIM(A10&amp;""),CHAR(160),"")," ",""),"년",""),""),"")</f>
      </c>
      <c r="I10" t="str">
        <f>SUBSTITUTE(SUBSTITUTE(SUBSTITUTE(SUBSTITUTE(SUBSTITUTE(TRIM(B10&amp;""),CHAR(160),"")," ",""),"초등학교","초"),"중학교","중"),"고등학교","고")</f>
      </c>
    </row>
    <row r="11" customFormat="false" ht="15" hidden="false" customHeight="false" outlineLevel="0" collapsed="false">
      <c r="A11" s="8"/>
      <c r="B11" s="8"/>
      <c r="C11" s="8"/>
      <c r="D11" s="8"/>
      <c r="E11" s="8"/>
      <c r="F11" t="str" s="15">
        <f aca="0">IF(B11="","",IF(H11="","확인필요(입력누락)",IF(SUMPRODUCT((실물목록!$P$2:$P$1001&lt;&gt;"")*ISNUMBER(SEARCH(실물목록!$P$2:$P$1001,I11))*(실물목록!$Q$2:$Q$1001&lt;&gt;"")*ISNUMBER(SEARCH(실물목록!$Q$2:$Q$1001,I11))*(실물목록!$R$2:$R$1001="")*(실물목록!$O$2:$O$1001&lt;&gt;"")*(실물목록!$O$2:$O$1001=H11))&gt;0,"실물 있음",IF(SUMPRODUCT((실물목록!$P$2:$P$1001&lt;&gt;"")*ISNUMBER(SEARCH(실물목록!$P$2:$P$1001,I11))*(실물목록!$R$2:$R$1001&lt;&gt;""))&gt;0,"확인필요(입력누락)",IF(SUMPRODUCT((실물목록!$P$2:$P$1001&lt;&gt;"")*ISNUMBER(SEARCH(실물목록!$P$2:$P$1001,I11))*(실물목록!$Q$2:$Q$1001&lt;&gt;"")*ISNUMBER(SEARCH(실물목록!$Q$2:$Q$1001,I11))*(실물목록!$R$2:$R$1001="")*(실물목록!$O$2:$O$1001&lt;&gt;""))&gt;0,"확인필요(연도다름)","실물 없음")))))</f>
      </c>
      <c r="G11" t="n" s="16">
        <f aca="0">IF(B11="","",SUMPRODUCT((실물목록!$P$2:$P$1001&lt;&gt;"")*ISNUMBER(SEARCH(실물목록!$P$2:$P$1001,I11))*(실물목록!$Q$2:$Q$1001&lt;&gt;"")*ISNUMBER(SEARCH(실물목록!$Q$2:$Q$1001,I11))*(실물목록!$R$2:$R$1001="")*(실물목록!$O$2:$O$1001&lt;&gt;"")*(실물목록!$O$2:$O$1001=H11)))</f>
      </c>
      <c r="H11" t="str">
        <f>IFERROR(IF(AND(LEN(SUBSTITUTE(SUBSTITUTE(SUBSTITUTE(TRIM(A11&amp;""),CHAR(160),"")," ",""),"년",""))=4,VALUE(SUBSTITUTE(SUBSTITUTE(SUBSTITUTE(TRIM(A11&amp;""),CHAR(160),"")," ",""),"년",""))&gt;=1900,VALUE(SUBSTITUTE(SUBSTITUTE(SUBSTITUTE(TRIM(A11&amp;""),CHAR(160),"")," ",""),"년",""))&lt;=2099,TEXT(VALUE(SUBSTITUTE(SUBSTITUTE(SUBSTITUTE(TRIM(A11&amp;""),CHAR(160),"")," ",""),"년","")),"0000")=SUBSTITUTE(SUBSTITUTE(SUBSTITUTE(TRIM(A11&amp;""),CHAR(160),"")," ",""),"년","")),SUBSTITUTE(SUBSTITUTE(SUBSTITUTE(TRIM(A11&amp;""),CHAR(160),"")," ",""),"년",""),""),"")</f>
      </c>
      <c r="I11" t="str">
        <f>SUBSTITUTE(SUBSTITUTE(SUBSTITUTE(SUBSTITUTE(SUBSTITUTE(TRIM(B11&amp;""),CHAR(160),"")," ",""),"초등학교","초"),"중학교","중"),"고등학교","고")</f>
      </c>
    </row>
    <row r="12" customFormat="false" ht="15" hidden="false" customHeight="false" outlineLevel="0" collapsed="false">
      <c r="A12" s="8"/>
      <c r="B12" s="8"/>
      <c r="C12" s="8"/>
      <c r="D12" s="8"/>
      <c r="E12" s="8"/>
      <c r="F12" t="str" s="15">
        <f aca="0">IF(B12="","",IF(H12="","확인필요(입력누락)",IF(SUMPRODUCT((실물목록!$P$2:$P$1001&lt;&gt;"")*ISNUMBER(SEARCH(실물목록!$P$2:$P$1001,I12))*(실물목록!$Q$2:$Q$1001&lt;&gt;"")*ISNUMBER(SEARCH(실물목록!$Q$2:$Q$1001,I12))*(실물목록!$R$2:$R$1001="")*(실물목록!$O$2:$O$1001&lt;&gt;"")*(실물목록!$O$2:$O$1001=H12))&gt;0,"실물 있음",IF(SUMPRODUCT((실물목록!$P$2:$P$1001&lt;&gt;"")*ISNUMBER(SEARCH(실물목록!$P$2:$P$1001,I12))*(실물목록!$R$2:$R$1001&lt;&gt;""))&gt;0,"확인필요(입력누락)",IF(SUMPRODUCT((실물목록!$P$2:$P$1001&lt;&gt;"")*ISNUMBER(SEARCH(실물목록!$P$2:$P$1001,I12))*(실물목록!$Q$2:$Q$1001&lt;&gt;"")*ISNUMBER(SEARCH(실물목록!$Q$2:$Q$1001,I12))*(실물목록!$R$2:$R$1001="")*(실물목록!$O$2:$O$1001&lt;&gt;""))&gt;0,"확인필요(연도다름)","실물 없음")))))</f>
      </c>
      <c r="G12" t="n" s="16">
        <f aca="0">IF(B12="","",SUMPRODUCT((실물목록!$P$2:$P$1001&lt;&gt;"")*ISNUMBER(SEARCH(실물목록!$P$2:$P$1001,I12))*(실물목록!$Q$2:$Q$1001&lt;&gt;"")*ISNUMBER(SEARCH(실물목록!$Q$2:$Q$1001,I12))*(실물목록!$R$2:$R$1001="")*(실물목록!$O$2:$O$1001&lt;&gt;"")*(실물목록!$O$2:$O$1001=H12)))</f>
      </c>
      <c r="H12" t="str">
        <f>IFERROR(IF(AND(LEN(SUBSTITUTE(SUBSTITUTE(SUBSTITUTE(TRIM(A12&amp;""),CHAR(160),"")," ",""),"년",""))=4,VALUE(SUBSTITUTE(SUBSTITUTE(SUBSTITUTE(TRIM(A12&amp;""),CHAR(160),"")," ",""),"년",""))&gt;=1900,VALUE(SUBSTITUTE(SUBSTITUTE(SUBSTITUTE(TRIM(A12&amp;""),CHAR(160),"")," ",""),"년",""))&lt;=2099,TEXT(VALUE(SUBSTITUTE(SUBSTITUTE(SUBSTITUTE(TRIM(A12&amp;""),CHAR(160),"")," ",""),"년","")),"0000")=SUBSTITUTE(SUBSTITUTE(SUBSTITUTE(TRIM(A12&amp;""),CHAR(160),"")," ",""),"년","")),SUBSTITUTE(SUBSTITUTE(SUBSTITUTE(TRIM(A12&amp;""),CHAR(160),"")," ",""),"년",""),""),"")</f>
      </c>
      <c r="I12" t="str">
        <f>SUBSTITUTE(SUBSTITUTE(SUBSTITUTE(SUBSTITUTE(SUBSTITUTE(TRIM(B12&amp;""),CHAR(160),"")," ",""),"초등학교","초"),"중학교","중"),"고등학교","고")</f>
      </c>
    </row>
    <row r="13" customFormat="false" ht="15" hidden="false" customHeight="false" outlineLevel="0" collapsed="false">
      <c r="A13" s="8"/>
      <c r="B13" s="8"/>
      <c r="C13" s="8"/>
      <c r="D13" s="8"/>
      <c r="E13" s="8"/>
      <c r="F13" t="str" s="15">
        <f aca="0">IF(B13="","",IF(H13="","확인필요(입력누락)",IF(SUMPRODUCT((실물목록!$P$2:$P$1001&lt;&gt;"")*ISNUMBER(SEARCH(실물목록!$P$2:$P$1001,I13))*(실물목록!$Q$2:$Q$1001&lt;&gt;"")*ISNUMBER(SEARCH(실물목록!$Q$2:$Q$1001,I13))*(실물목록!$R$2:$R$1001="")*(실물목록!$O$2:$O$1001&lt;&gt;"")*(실물목록!$O$2:$O$1001=H13))&gt;0,"실물 있음",IF(SUMPRODUCT((실물목록!$P$2:$P$1001&lt;&gt;"")*ISNUMBER(SEARCH(실물목록!$P$2:$P$1001,I13))*(실물목록!$R$2:$R$1001&lt;&gt;""))&gt;0,"확인필요(입력누락)",IF(SUMPRODUCT((실물목록!$P$2:$P$1001&lt;&gt;"")*ISNUMBER(SEARCH(실물목록!$P$2:$P$1001,I13))*(실물목록!$Q$2:$Q$1001&lt;&gt;"")*ISNUMBER(SEARCH(실물목록!$Q$2:$Q$1001,I13))*(실물목록!$R$2:$R$1001="")*(실물목록!$O$2:$O$1001&lt;&gt;""))&gt;0,"확인필요(연도다름)","실물 없음")))))</f>
      </c>
      <c r="G13" t="n" s="16">
        <f aca="0">IF(B13="","",SUMPRODUCT((실물목록!$P$2:$P$1001&lt;&gt;"")*ISNUMBER(SEARCH(실물목록!$P$2:$P$1001,I13))*(실물목록!$Q$2:$Q$1001&lt;&gt;"")*ISNUMBER(SEARCH(실물목록!$Q$2:$Q$1001,I13))*(실물목록!$R$2:$R$1001="")*(실물목록!$O$2:$O$1001&lt;&gt;"")*(실물목록!$O$2:$O$1001=H13)))</f>
      </c>
      <c r="H13" t="str">
        <f>IFERROR(IF(AND(LEN(SUBSTITUTE(SUBSTITUTE(SUBSTITUTE(TRIM(A13&amp;""),CHAR(160),"")," ",""),"년",""))=4,VALUE(SUBSTITUTE(SUBSTITUTE(SUBSTITUTE(TRIM(A13&amp;""),CHAR(160),"")," ",""),"년",""))&gt;=1900,VALUE(SUBSTITUTE(SUBSTITUTE(SUBSTITUTE(TRIM(A13&amp;""),CHAR(160),"")," ",""),"년",""))&lt;=2099,TEXT(VALUE(SUBSTITUTE(SUBSTITUTE(SUBSTITUTE(TRIM(A13&amp;""),CHAR(160),"")," ",""),"년","")),"0000")=SUBSTITUTE(SUBSTITUTE(SUBSTITUTE(TRIM(A13&amp;""),CHAR(160),"")," ",""),"년","")),SUBSTITUTE(SUBSTITUTE(SUBSTITUTE(TRIM(A13&amp;""),CHAR(160),"")," ",""),"년",""),""),"")</f>
      </c>
      <c r="I13" t="str">
        <f>SUBSTITUTE(SUBSTITUTE(SUBSTITUTE(SUBSTITUTE(SUBSTITUTE(TRIM(B13&amp;""),CHAR(160),"")," ",""),"초등학교","초"),"중학교","중"),"고등학교","고")</f>
      </c>
    </row>
    <row r="14" customFormat="false" ht="15" hidden="false" customHeight="false" outlineLevel="0" collapsed="false">
      <c r="A14" s="8"/>
      <c r="B14" s="8"/>
      <c r="C14" s="8"/>
      <c r="D14" s="8"/>
      <c r="E14" s="8"/>
      <c r="F14" t="str" s="15">
        <f aca="0">IF(B14="","",IF(H14="","확인필요(입력누락)",IF(SUMPRODUCT((실물목록!$P$2:$P$1001&lt;&gt;"")*ISNUMBER(SEARCH(실물목록!$P$2:$P$1001,I14))*(실물목록!$Q$2:$Q$1001&lt;&gt;"")*ISNUMBER(SEARCH(실물목록!$Q$2:$Q$1001,I14))*(실물목록!$R$2:$R$1001="")*(실물목록!$O$2:$O$1001&lt;&gt;"")*(실물목록!$O$2:$O$1001=H14))&gt;0,"실물 있음",IF(SUMPRODUCT((실물목록!$P$2:$P$1001&lt;&gt;"")*ISNUMBER(SEARCH(실물목록!$P$2:$P$1001,I14))*(실물목록!$R$2:$R$1001&lt;&gt;""))&gt;0,"확인필요(입력누락)",IF(SUMPRODUCT((실물목록!$P$2:$P$1001&lt;&gt;"")*ISNUMBER(SEARCH(실물목록!$P$2:$P$1001,I14))*(실물목록!$Q$2:$Q$1001&lt;&gt;"")*ISNUMBER(SEARCH(실물목록!$Q$2:$Q$1001,I14))*(실물목록!$R$2:$R$1001="")*(실물목록!$O$2:$O$1001&lt;&gt;""))&gt;0,"확인필요(연도다름)","실물 없음")))))</f>
      </c>
      <c r="G14" t="n" s="16">
        <f aca="0">IF(B14="","",SUMPRODUCT((실물목록!$P$2:$P$1001&lt;&gt;"")*ISNUMBER(SEARCH(실물목록!$P$2:$P$1001,I14))*(실물목록!$Q$2:$Q$1001&lt;&gt;"")*ISNUMBER(SEARCH(실물목록!$Q$2:$Q$1001,I14))*(실물목록!$R$2:$R$1001="")*(실물목록!$O$2:$O$1001&lt;&gt;"")*(실물목록!$O$2:$O$1001=H14)))</f>
      </c>
      <c r="H14" t="str">
        <f>IFERROR(IF(AND(LEN(SUBSTITUTE(SUBSTITUTE(SUBSTITUTE(TRIM(A14&amp;""),CHAR(160),"")," ",""),"년",""))=4,VALUE(SUBSTITUTE(SUBSTITUTE(SUBSTITUTE(TRIM(A14&amp;""),CHAR(160),"")," ",""),"년",""))&gt;=1900,VALUE(SUBSTITUTE(SUBSTITUTE(SUBSTITUTE(TRIM(A14&amp;""),CHAR(160),"")," ",""),"년",""))&lt;=2099,TEXT(VALUE(SUBSTITUTE(SUBSTITUTE(SUBSTITUTE(TRIM(A14&amp;""),CHAR(160),"")," ",""),"년","")),"0000")=SUBSTITUTE(SUBSTITUTE(SUBSTITUTE(TRIM(A14&amp;""),CHAR(160),"")," ",""),"년","")),SUBSTITUTE(SUBSTITUTE(SUBSTITUTE(TRIM(A14&amp;""),CHAR(160),"")," ",""),"년",""),""),"")</f>
      </c>
      <c r="I14" t="str">
        <f>SUBSTITUTE(SUBSTITUTE(SUBSTITUTE(SUBSTITUTE(SUBSTITUTE(TRIM(B14&amp;""),CHAR(160),"")," ",""),"초등학교","초"),"중학교","중"),"고등학교","고")</f>
      </c>
    </row>
    <row r="15" customFormat="false" ht="15" hidden="false" customHeight="false" outlineLevel="0" collapsed="false">
      <c r="A15" s="8"/>
      <c r="B15" s="8"/>
      <c r="C15" s="8"/>
      <c r="D15" s="8"/>
      <c r="E15" s="8"/>
      <c r="F15" t="str" s="15">
        <f aca="0">IF(B15="","",IF(H15="","확인필요(입력누락)",IF(SUMPRODUCT((실물목록!$P$2:$P$1001&lt;&gt;"")*ISNUMBER(SEARCH(실물목록!$P$2:$P$1001,I15))*(실물목록!$Q$2:$Q$1001&lt;&gt;"")*ISNUMBER(SEARCH(실물목록!$Q$2:$Q$1001,I15))*(실물목록!$R$2:$R$1001="")*(실물목록!$O$2:$O$1001&lt;&gt;"")*(실물목록!$O$2:$O$1001=H15))&gt;0,"실물 있음",IF(SUMPRODUCT((실물목록!$P$2:$P$1001&lt;&gt;"")*ISNUMBER(SEARCH(실물목록!$P$2:$P$1001,I15))*(실물목록!$R$2:$R$1001&lt;&gt;""))&gt;0,"확인필요(입력누락)",IF(SUMPRODUCT((실물목록!$P$2:$P$1001&lt;&gt;"")*ISNUMBER(SEARCH(실물목록!$P$2:$P$1001,I15))*(실물목록!$Q$2:$Q$1001&lt;&gt;"")*ISNUMBER(SEARCH(실물목록!$Q$2:$Q$1001,I15))*(실물목록!$R$2:$R$1001="")*(실물목록!$O$2:$O$1001&lt;&gt;""))&gt;0,"확인필요(연도다름)","실물 없음")))))</f>
      </c>
      <c r="G15" t="n" s="16">
        <f aca="0">IF(B15="","",SUMPRODUCT((실물목록!$P$2:$P$1001&lt;&gt;"")*ISNUMBER(SEARCH(실물목록!$P$2:$P$1001,I15))*(실물목록!$Q$2:$Q$1001&lt;&gt;"")*ISNUMBER(SEARCH(실물목록!$Q$2:$Q$1001,I15))*(실물목록!$R$2:$R$1001="")*(실물목록!$O$2:$O$1001&lt;&gt;"")*(실물목록!$O$2:$O$1001=H15)))</f>
      </c>
      <c r="H15" t="str">
        <f>IFERROR(IF(AND(LEN(SUBSTITUTE(SUBSTITUTE(SUBSTITUTE(TRIM(A15&amp;""),CHAR(160),"")," ",""),"년",""))=4,VALUE(SUBSTITUTE(SUBSTITUTE(SUBSTITUTE(TRIM(A15&amp;""),CHAR(160),"")," ",""),"년",""))&gt;=1900,VALUE(SUBSTITUTE(SUBSTITUTE(SUBSTITUTE(TRIM(A15&amp;""),CHAR(160),"")," ",""),"년",""))&lt;=2099,TEXT(VALUE(SUBSTITUTE(SUBSTITUTE(SUBSTITUTE(TRIM(A15&amp;""),CHAR(160),"")," ",""),"년","")),"0000")=SUBSTITUTE(SUBSTITUTE(SUBSTITUTE(TRIM(A15&amp;""),CHAR(160),"")," ",""),"년","")),SUBSTITUTE(SUBSTITUTE(SUBSTITUTE(TRIM(A15&amp;""),CHAR(160),"")," ",""),"년",""),""),"")</f>
      </c>
      <c r="I15" t="str">
        <f>SUBSTITUTE(SUBSTITUTE(SUBSTITUTE(SUBSTITUTE(SUBSTITUTE(TRIM(B15&amp;""),CHAR(160),"")," ",""),"초등학교","초"),"중학교","중"),"고등학교","고")</f>
      </c>
    </row>
    <row r="16" customFormat="false" ht="15" hidden="false" customHeight="false" outlineLevel="0" collapsed="false">
      <c r="A16" s="8"/>
      <c r="B16" s="8"/>
      <c r="C16" s="8"/>
      <c r="D16" s="8"/>
      <c r="E16" s="8"/>
      <c r="F16" t="str" s="15">
        <f aca="0">IF(B16="","",IF(H16="","확인필요(입력누락)",IF(SUMPRODUCT((실물목록!$P$2:$P$1001&lt;&gt;"")*ISNUMBER(SEARCH(실물목록!$P$2:$P$1001,I16))*(실물목록!$Q$2:$Q$1001&lt;&gt;"")*ISNUMBER(SEARCH(실물목록!$Q$2:$Q$1001,I16))*(실물목록!$R$2:$R$1001="")*(실물목록!$O$2:$O$1001&lt;&gt;"")*(실물목록!$O$2:$O$1001=H16))&gt;0,"실물 있음",IF(SUMPRODUCT((실물목록!$P$2:$P$1001&lt;&gt;"")*ISNUMBER(SEARCH(실물목록!$P$2:$P$1001,I16))*(실물목록!$R$2:$R$1001&lt;&gt;""))&gt;0,"확인필요(입력누락)",IF(SUMPRODUCT((실물목록!$P$2:$P$1001&lt;&gt;"")*ISNUMBER(SEARCH(실물목록!$P$2:$P$1001,I16))*(실물목록!$Q$2:$Q$1001&lt;&gt;"")*ISNUMBER(SEARCH(실물목록!$Q$2:$Q$1001,I16))*(실물목록!$R$2:$R$1001="")*(실물목록!$O$2:$O$1001&lt;&gt;""))&gt;0,"확인필요(연도다름)","실물 없음")))))</f>
      </c>
      <c r="G16" t="n" s="16">
        <f aca="0">IF(B16="","",SUMPRODUCT((실물목록!$P$2:$P$1001&lt;&gt;"")*ISNUMBER(SEARCH(실물목록!$P$2:$P$1001,I16))*(실물목록!$Q$2:$Q$1001&lt;&gt;"")*ISNUMBER(SEARCH(실물목록!$Q$2:$Q$1001,I16))*(실물목록!$R$2:$R$1001="")*(실물목록!$O$2:$O$1001&lt;&gt;"")*(실물목록!$O$2:$O$1001=H16)))</f>
      </c>
      <c r="H16" t="str">
        <f>IFERROR(IF(AND(LEN(SUBSTITUTE(SUBSTITUTE(SUBSTITUTE(TRIM(A16&amp;""),CHAR(160),"")," ",""),"년",""))=4,VALUE(SUBSTITUTE(SUBSTITUTE(SUBSTITUTE(TRIM(A16&amp;""),CHAR(160),"")," ",""),"년",""))&gt;=1900,VALUE(SUBSTITUTE(SUBSTITUTE(SUBSTITUTE(TRIM(A16&amp;""),CHAR(160),"")," ",""),"년",""))&lt;=2099,TEXT(VALUE(SUBSTITUTE(SUBSTITUTE(SUBSTITUTE(TRIM(A16&amp;""),CHAR(160),"")," ",""),"년","")),"0000")=SUBSTITUTE(SUBSTITUTE(SUBSTITUTE(TRIM(A16&amp;""),CHAR(160),"")," ",""),"년","")),SUBSTITUTE(SUBSTITUTE(SUBSTITUTE(TRIM(A16&amp;""),CHAR(160),"")," ",""),"년",""),""),"")</f>
      </c>
      <c r="I16" t="str">
        <f>SUBSTITUTE(SUBSTITUTE(SUBSTITUTE(SUBSTITUTE(SUBSTITUTE(TRIM(B16&amp;""),CHAR(160),"")," ",""),"초등학교","초"),"중학교","중"),"고등학교","고")</f>
      </c>
    </row>
    <row r="17" customFormat="false" ht="15" hidden="false" customHeight="false" outlineLevel="0" collapsed="false">
      <c r="A17" s="8"/>
      <c r="B17" s="8"/>
      <c r="C17" s="8"/>
      <c r="D17" s="8"/>
      <c r="E17" s="8"/>
      <c r="F17" t="str" s="15">
        <f aca="0">IF(B17="","",IF(H17="","확인필요(입력누락)",IF(SUMPRODUCT((실물목록!$P$2:$P$1001&lt;&gt;"")*ISNUMBER(SEARCH(실물목록!$P$2:$P$1001,I17))*(실물목록!$Q$2:$Q$1001&lt;&gt;"")*ISNUMBER(SEARCH(실물목록!$Q$2:$Q$1001,I17))*(실물목록!$R$2:$R$1001="")*(실물목록!$O$2:$O$1001&lt;&gt;"")*(실물목록!$O$2:$O$1001=H17))&gt;0,"실물 있음",IF(SUMPRODUCT((실물목록!$P$2:$P$1001&lt;&gt;"")*ISNUMBER(SEARCH(실물목록!$P$2:$P$1001,I17))*(실물목록!$R$2:$R$1001&lt;&gt;""))&gt;0,"확인필요(입력누락)",IF(SUMPRODUCT((실물목록!$P$2:$P$1001&lt;&gt;"")*ISNUMBER(SEARCH(실물목록!$P$2:$P$1001,I17))*(실물목록!$Q$2:$Q$1001&lt;&gt;"")*ISNUMBER(SEARCH(실물목록!$Q$2:$Q$1001,I17))*(실물목록!$R$2:$R$1001="")*(실물목록!$O$2:$O$1001&lt;&gt;""))&gt;0,"확인필요(연도다름)","실물 없음")))))</f>
      </c>
      <c r="G17" t="n" s="16">
        <f aca="0">IF(B17="","",SUMPRODUCT((실물목록!$P$2:$P$1001&lt;&gt;"")*ISNUMBER(SEARCH(실물목록!$P$2:$P$1001,I17))*(실물목록!$Q$2:$Q$1001&lt;&gt;"")*ISNUMBER(SEARCH(실물목록!$Q$2:$Q$1001,I17))*(실물목록!$R$2:$R$1001="")*(실물목록!$O$2:$O$1001&lt;&gt;"")*(실물목록!$O$2:$O$1001=H17)))</f>
      </c>
      <c r="H17" t="str">
        <f>IFERROR(IF(AND(LEN(SUBSTITUTE(SUBSTITUTE(SUBSTITUTE(TRIM(A17&amp;""),CHAR(160),"")," ",""),"년",""))=4,VALUE(SUBSTITUTE(SUBSTITUTE(SUBSTITUTE(TRIM(A17&amp;""),CHAR(160),"")," ",""),"년",""))&gt;=1900,VALUE(SUBSTITUTE(SUBSTITUTE(SUBSTITUTE(TRIM(A17&amp;""),CHAR(160),"")," ",""),"년",""))&lt;=2099,TEXT(VALUE(SUBSTITUTE(SUBSTITUTE(SUBSTITUTE(TRIM(A17&amp;""),CHAR(160),"")," ",""),"년","")),"0000")=SUBSTITUTE(SUBSTITUTE(SUBSTITUTE(TRIM(A17&amp;""),CHAR(160),"")," ",""),"년","")),SUBSTITUTE(SUBSTITUTE(SUBSTITUTE(TRIM(A17&amp;""),CHAR(160),"")," ",""),"년",""),""),"")</f>
      </c>
      <c r="I17" t="str">
        <f>SUBSTITUTE(SUBSTITUTE(SUBSTITUTE(SUBSTITUTE(SUBSTITUTE(TRIM(B17&amp;""),CHAR(160),"")," ",""),"초등학교","초"),"중학교","중"),"고등학교","고")</f>
      </c>
    </row>
    <row r="18" customFormat="false" ht="15" hidden="false" customHeight="false" outlineLevel="0" collapsed="false">
      <c r="A18" s="8"/>
      <c r="B18" s="8"/>
      <c r="C18" s="8"/>
      <c r="D18" s="8"/>
      <c r="E18" s="8"/>
      <c r="F18" t="str" s="15">
        <f aca="0">IF(B18="","",IF(H18="","확인필요(입력누락)",IF(SUMPRODUCT((실물목록!$P$2:$P$1001&lt;&gt;"")*ISNUMBER(SEARCH(실물목록!$P$2:$P$1001,I18))*(실물목록!$Q$2:$Q$1001&lt;&gt;"")*ISNUMBER(SEARCH(실물목록!$Q$2:$Q$1001,I18))*(실물목록!$R$2:$R$1001="")*(실물목록!$O$2:$O$1001&lt;&gt;"")*(실물목록!$O$2:$O$1001=H18))&gt;0,"실물 있음",IF(SUMPRODUCT((실물목록!$P$2:$P$1001&lt;&gt;"")*ISNUMBER(SEARCH(실물목록!$P$2:$P$1001,I18))*(실물목록!$R$2:$R$1001&lt;&gt;""))&gt;0,"확인필요(입력누락)",IF(SUMPRODUCT((실물목록!$P$2:$P$1001&lt;&gt;"")*ISNUMBER(SEARCH(실물목록!$P$2:$P$1001,I18))*(실물목록!$Q$2:$Q$1001&lt;&gt;"")*ISNUMBER(SEARCH(실물목록!$Q$2:$Q$1001,I18))*(실물목록!$R$2:$R$1001="")*(실물목록!$O$2:$O$1001&lt;&gt;""))&gt;0,"확인필요(연도다름)","실물 없음")))))</f>
      </c>
      <c r="G18" t="n" s="16">
        <f aca="0">IF(B18="","",SUMPRODUCT((실물목록!$P$2:$P$1001&lt;&gt;"")*ISNUMBER(SEARCH(실물목록!$P$2:$P$1001,I18))*(실물목록!$Q$2:$Q$1001&lt;&gt;"")*ISNUMBER(SEARCH(실물목록!$Q$2:$Q$1001,I18))*(실물목록!$R$2:$R$1001="")*(실물목록!$O$2:$O$1001&lt;&gt;"")*(실물목록!$O$2:$O$1001=H18)))</f>
      </c>
      <c r="H18" t="str">
        <f>IFERROR(IF(AND(LEN(SUBSTITUTE(SUBSTITUTE(SUBSTITUTE(TRIM(A18&amp;""),CHAR(160),"")," ",""),"년",""))=4,VALUE(SUBSTITUTE(SUBSTITUTE(SUBSTITUTE(TRIM(A18&amp;""),CHAR(160),"")," ",""),"년",""))&gt;=1900,VALUE(SUBSTITUTE(SUBSTITUTE(SUBSTITUTE(TRIM(A18&amp;""),CHAR(160),"")," ",""),"년",""))&lt;=2099,TEXT(VALUE(SUBSTITUTE(SUBSTITUTE(SUBSTITUTE(TRIM(A18&amp;""),CHAR(160),"")," ",""),"년","")),"0000")=SUBSTITUTE(SUBSTITUTE(SUBSTITUTE(TRIM(A18&amp;""),CHAR(160),"")," ",""),"년","")),SUBSTITUTE(SUBSTITUTE(SUBSTITUTE(TRIM(A18&amp;""),CHAR(160),"")," ",""),"년",""),""),"")</f>
      </c>
      <c r="I18" t="str">
        <f>SUBSTITUTE(SUBSTITUTE(SUBSTITUTE(SUBSTITUTE(SUBSTITUTE(TRIM(B18&amp;""),CHAR(160),"")," ",""),"초등학교","초"),"중학교","중"),"고등학교","고")</f>
      </c>
    </row>
    <row r="19" customFormat="false" ht="15" hidden="false" customHeight="false" outlineLevel="0" collapsed="false">
      <c r="A19" s="8"/>
      <c r="B19" s="8"/>
      <c r="C19" s="8"/>
      <c r="D19" s="8"/>
      <c r="E19" s="8"/>
      <c r="F19" t="str" s="15">
        <f aca="0">IF(B19="","",IF(H19="","확인필요(입력누락)",IF(SUMPRODUCT((실물목록!$P$2:$P$1001&lt;&gt;"")*ISNUMBER(SEARCH(실물목록!$P$2:$P$1001,I19))*(실물목록!$Q$2:$Q$1001&lt;&gt;"")*ISNUMBER(SEARCH(실물목록!$Q$2:$Q$1001,I19))*(실물목록!$R$2:$R$1001="")*(실물목록!$O$2:$O$1001&lt;&gt;"")*(실물목록!$O$2:$O$1001=H19))&gt;0,"실물 있음",IF(SUMPRODUCT((실물목록!$P$2:$P$1001&lt;&gt;"")*ISNUMBER(SEARCH(실물목록!$P$2:$P$1001,I19))*(실물목록!$R$2:$R$1001&lt;&gt;""))&gt;0,"확인필요(입력누락)",IF(SUMPRODUCT((실물목록!$P$2:$P$1001&lt;&gt;"")*ISNUMBER(SEARCH(실물목록!$P$2:$P$1001,I19))*(실물목록!$Q$2:$Q$1001&lt;&gt;"")*ISNUMBER(SEARCH(실물목록!$Q$2:$Q$1001,I19))*(실물목록!$R$2:$R$1001="")*(실물목록!$O$2:$O$1001&lt;&gt;""))&gt;0,"확인필요(연도다름)","실물 없음")))))</f>
      </c>
      <c r="G19" t="n" s="16">
        <f aca="0">IF(B19="","",SUMPRODUCT((실물목록!$P$2:$P$1001&lt;&gt;"")*ISNUMBER(SEARCH(실물목록!$P$2:$P$1001,I19))*(실물목록!$Q$2:$Q$1001&lt;&gt;"")*ISNUMBER(SEARCH(실물목록!$Q$2:$Q$1001,I19))*(실물목록!$R$2:$R$1001="")*(실물목록!$O$2:$O$1001&lt;&gt;"")*(실물목록!$O$2:$O$1001=H19)))</f>
      </c>
      <c r="H19" t="str">
        <f>IFERROR(IF(AND(LEN(SUBSTITUTE(SUBSTITUTE(SUBSTITUTE(TRIM(A19&amp;""),CHAR(160),"")," ",""),"년",""))=4,VALUE(SUBSTITUTE(SUBSTITUTE(SUBSTITUTE(TRIM(A19&amp;""),CHAR(160),"")," ",""),"년",""))&gt;=1900,VALUE(SUBSTITUTE(SUBSTITUTE(SUBSTITUTE(TRIM(A19&amp;""),CHAR(160),"")," ",""),"년",""))&lt;=2099,TEXT(VALUE(SUBSTITUTE(SUBSTITUTE(SUBSTITUTE(TRIM(A19&amp;""),CHAR(160),"")," ",""),"년","")),"0000")=SUBSTITUTE(SUBSTITUTE(SUBSTITUTE(TRIM(A19&amp;""),CHAR(160),"")," ",""),"년","")),SUBSTITUTE(SUBSTITUTE(SUBSTITUTE(TRIM(A19&amp;""),CHAR(160),"")," ",""),"년",""),""),"")</f>
      </c>
      <c r="I19" t="str">
        <f>SUBSTITUTE(SUBSTITUTE(SUBSTITUTE(SUBSTITUTE(SUBSTITUTE(TRIM(B19&amp;""),CHAR(160),"")," ",""),"초등학교","초"),"중학교","중"),"고등학교","고")</f>
      </c>
    </row>
    <row r="20" customFormat="false" ht="15" hidden="false" customHeight="false" outlineLevel="0" collapsed="false">
      <c r="A20" s="8"/>
      <c r="B20" s="8"/>
      <c r="C20" s="8"/>
      <c r="D20" s="8"/>
      <c r="E20" s="8"/>
      <c r="F20" t="str" s="15">
        <f aca="0">IF(B20="","",IF(H20="","확인필요(입력누락)",IF(SUMPRODUCT((실물목록!$P$2:$P$1001&lt;&gt;"")*ISNUMBER(SEARCH(실물목록!$P$2:$P$1001,I20))*(실물목록!$Q$2:$Q$1001&lt;&gt;"")*ISNUMBER(SEARCH(실물목록!$Q$2:$Q$1001,I20))*(실물목록!$R$2:$R$1001="")*(실물목록!$O$2:$O$1001&lt;&gt;"")*(실물목록!$O$2:$O$1001=H20))&gt;0,"실물 있음",IF(SUMPRODUCT((실물목록!$P$2:$P$1001&lt;&gt;"")*ISNUMBER(SEARCH(실물목록!$P$2:$P$1001,I20))*(실물목록!$R$2:$R$1001&lt;&gt;""))&gt;0,"확인필요(입력누락)",IF(SUMPRODUCT((실물목록!$P$2:$P$1001&lt;&gt;"")*ISNUMBER(SEARCH(실물목록!$P$2:$P$1001,I20))*(실물목록!$Q$2:$Q$1001&lt;&gt;"")*ISNUMBER(SEARCH(실물목록!$Q$2:$Q$1001,I20))*(실물목록!$R$2:$R$1001="")*(실물목록!$O$2:$O$1001&lt;&gt;""))&gt;0,"확인필요(연도다름)","실물 없음")))))</f>
      </c>
      <c r="G20" t="n" s="16">
        <f aca="0">IF(B20="","",SUMPRODUCT((실물목록!$P$2:$P$1001&lt;&gt;"")*ISNUMBER(SEARCH(실물목록!$P$2:$P$1001,I20))*(실물목록!$Q$2:$Q$1001&lt;&gt;"")*ISNUMBER(SEARCH(실물목록!$Q$2:$Q$1001,I20))*(실물목록!$R$2:$R$1001="")*(실물목록!$O$2:$O$1001&lt;&gt;"")*(실물목록!$O$2:$O$1001=H20)))</f>
      </c>
      <c r="H20" t="str">
        <f>IFERROR(IF(AND(LEN(SUBSTITUTE(SUBSTITUTE(SUBSTITUTE(TRIM(A20&amp;""),CHAR(160),"")," ",""),"년",""))=4,VALUE(SUBSTITUTE(SUBSTITUTE(SUBSTITUTE(TRIM(A20&amp;""),CHAR(160),"")," ",""),"년",""))&gt;=1900,VALUE(SUBSTITUTE(SUBSTITUTE(SUBSTITUTE(TRIM(A20&amp;""),CHAR(160),"")," ",""),"년",""))&lt;=2099,TEXT(VALUE(SUBSTITUTE(SUBSTITUTE(SUBSTITUTE(TRIM(A20&amp;""),CHAR(160),"")," ",""),"년","")),"0000")=SUBSTITUTE(SUBSTITUTE(SUBSTITUTE(TRIM(A20&amp;""),CHAR(160),"")," ",""),"년","")),SUBSTITUTE(SUBSTITUTE(SUBSTITUTE(TRIM(A20&amp;""),CHAR(160),"")," ",""),"년",""),""),"")</f>
      </c>
      <c r="I20" t="str">
        <f>SUBSTITUTE(SUBSTITUTE(SUBSTITUTE(SUBSTITUTE(SUBSTITUTE(TRIM(B20&amp;""),CHAR(160),"")," ",""),"초등학교","초"),"중학교","중"),"고등학교","고")</f>
      </c>
    </row>
    <row r="21" customFormat="false" ht="15" hidden="false" customHeight="false" outlineLevel="0" collapsed="false">
      <c r="A21" s="8"/>
      <c r="B21" s="8"/>
      <c r="C21" s="8"/>
      <c r="D21" s="8"/>
      <c r="E21" s="8"/>
      <c r="F21" t="str" s="15">
        <f aca="0">IF(B21="","",IF(H21="","확인필요(입력누락)",IF(SUMPRODUCT((실물목록!$P$2:$P$1001&lt;&gt;"")*ISNUMBER(SEARCH(실물목록!$P$2:$P$1001,I21))*(실물목록!$Q$2:$Q$1001&lt;&gt;"")*ISNUMBER(SEARCH(실물목록!$Q$2:$Q$1001,I21))*(실물목록!$R$2:$R$1001="")*(실물목록!$O$2:$O$1001&lt;&gt;"")*(실물목록!$O$2:$O$1001=H21))&gt;0,"실물 있음",IF(SUMPRODUCT((실물목록!$P$2:$P$1001&lt;&gt;"")*ISNUMBER(SEARCH(실물목록!$P$2:$P$1001,I21))*(실물목록!$R$2:$R$1001&lt;&gt;""))&gt;0,"확인필요(입력누락)",IF(SUMPRODUCT((실물목록!$P$2:$P$1001&lt;&gt;"")*ISNUMBER(SEARCH(실물목록!$P$2:$P$1001,I21))*(실물목록!$Q$2:$Q$1001&lt;&gt;"")*ISNUMBER(SEARCH(실물목록!$Q$2:$Q$1001,I21))*(실물목록!$R$2:$R$1001="")*(실물목록!$O$2:$O$1001&lt;&gt;""))&gt;0,"확인필요(연도다름)","실물 없음")))))</f>
      </c>
      <c r="G21" t="n" s="16">
        <f aca="0">IF(B21="","",SUMPRODUCT((실물목록!$P$2:$P$1001&lt;&gt;"")*ISNUMBER(SEARCH(실물목록!$P$2:$P$1001,I21))*(실물목록!$Q$2:$Q$1001&lt;&gt;"")*ISNUMBER(SEARCH(실물목록!$Q$2:$Q$1001,I21))*(실물목록!$R$2:$R$1001="")*(실물목록!$O$2:$O$1001&lt;&gt;"")*(실물목록!$O$2:$O$1001=H21)))</f>
      </c>
      <c r="H21" t="str">
        <f>IFERROR(IF(AND(LEN(SUBSTITUTE(SUBSTITUTE(SUBSTITUTE(TRIM(A21&amp;""),CHAR(160),"")," ",""),"년",""))=4,VALUE(SUBSTITUTE(SUBSTITUTE(SUBSTITUTE(TRIM(A21&amp;""),CHAR(160),"")," ",""),"년",""))&gt;=1900,VALUE(SUBSTITUTE(SUBSTITUTE(SUBSTITUTE(TRIM(A21&amp;""),CHAR(160),"")," ",""),"년",""))&lt;=2099,TEXT(VALUE(SUBSTITUTE(SUBSTITUTE(SUBSTITUTE(TRIM(A21&amp;""),CHAR(160),"")," ",""),"년","")),"0000")=SUBSTITUTE(SUBSTITUTE(SUBSTITUTE(TRIM(A21&amp;""),CHAR(160),"")," ",""),"년","")),SUBSTITUTE(SUBSTITUTE(SUBSTITUTE(TRIM(A21&amp;""),CHAR(160),"")," ",""),"년",""),""),"")</f>
      </c>
      <c r="I21" t="str">
        <f>SUBSTITUTE(SUBSTITUTE(SUBSTITUTE(SUBSTITUTE(SUBSTITUTE(TRIM(B21&amp;""),CHAR(160),"")," ",""),"초등학교","초"),"중학교","중"),"고등학교","고")</f>
      </c>
    </row>
    <row r="22" customFormat="false" ht="15" hidden="false" customHeight="false" outlineLevel="0" collapsed="false">
      <c r="A22" s="8"/>
      <c r="B22" s="8"/>
      <c r="C22" s="8"/>
      <c r="D22" s="8"/>
      <c r="E22" s="8"/>
      <c r="F22" t="str" s="15">
        <f aca="0">IF(B22="","",IF(H22="","확인필요(입력누락)",IF(SUMPRODUCT((실물목록!$P$2:$P$1001&lt;&gt;"")*ISNUMBER(SEARCH(실물목록!$P$2:$P$1001,I22))*(실물목록!$Q$2:$Q$1001&lt;&gt;"")*ISNUMBER(SEARCH(실물목록!$Q$2:$Q$1001,I22))*(실물목록!$R$2:$R$1001="")*(실물목록!$O$2:$O$1001&lt;&gt;"")*(실물목록!$O$2:$O$1001=H22))&gt;0,"실물 있음",IF(SUMPRODUCT((실물목록!$P$2:$P$1001&lt;&gt;"")*ISNUMBER(SEARCH(실물목록!$P$2:$P$1001,I22))*(실물목록!$R$2:$R$1001&lt;&gt;""))&gt;0,"확인필요(입력누락)",IF(SUMPRODUCT((실물목록!$P$2:$P$1001&lt;&gt;"")*ISNUMBER(SEARCH(실물목록!$P$2:$P$1001,I22))*(실물목록!$Q$2:$Q$1001&lt;&gt;"")*ISNUMBER(SEARCH(실물목록!$Q$2:$Q$1001,I22))*(실물목록!$R$2:$R$1001="")*(실물목록!$O$2:$O$1001&lt;&gt;""))&gt;0,"확인필요(연도다름)","실물 없음")))))</f>
      </c>
      <c r="G22" t="n" s="16">
        <f aca="0">IF(B22="","",SUMPRODUCT((실물목록!$P$2:$P$1001&lt;&gt;"")*ISNUMBER(SEARCH(실물목록!$P$2:$P$1001,I22))*(실물목록!$Q$2:$Q$1001&lt;&gt;"")*ISNUMBER(SEARCH(실물목록!$Q$2:$Q$1001,I22))*(실물목록!$R$2:$R$1001="")*(실물목록!$O$2:$O$1001&lt;&gt;"")*(실물목록!$O$2:$O$1001=H22)))</f>
      </c>
      <c r="H22" t="str">
        <f>IFERROR(IF(AND(LEN(SUBSTITUTE(SUBSTITUTE(SUBSTITUTE(TRIM(A22&amp;""),CHAR(160),"")," ",""),"년",""))=4,VALUE(SUBSTITUTE(SUBSTITUTE(SUBSTITUTE(TRIM(A22&amp;""),CHAR(160),"")," ",""),"년",""))&gt;=1900,VALUE(SUBSTITUTE(SUBSTITUTE(SUBSTITUTE(TRIM(A22&amp;""),CHAR(160),"")," ",""),"년",""))&lt;=2099,TEXT(VALUE(SUBSTITUTE(SUBSTITUTE(SUBSTITUTE(TRIM(A22&amp;""),CHAR(160),"")," ",""),"년","")),"0000")=SUBSTITUTE(SUBSTITUTE(SUBSTITUTE(TRIM(A22&amp;""),CHAR(160),"")," ",""),"년","")),SUBSTITUTE(SUBSTITUTE(SUBSTITUTE(TRIM(A22&amp;""),CHAR(160),"")," ",""),"년",""),""),"")</f>
      </c>
      <c r="I22" t="str">
        <f>SUBSTITUTE(SUBSTITUTE(SUBSTITUTE(SUBSTITUTE(SUBSTITUTE(TRIM(B22&amp;""),CHAR(160),"")," ",""),"초등학교","초"),"중학교","중"),"고등학교","고")</f>
      </c>
    </row>
    <row r="23" customFormat="false" ht="15" hidden="false" customHeight="false" outlineLevel="0" collapsed="false">
      <c r="A23" s="8"/>
      <c r="B23" s="8"/>
      <c r="C23" s="8"/>
      <c r="D23" s="8"/>
      <c r="E23" s="8"/>
      <c r="F23" t="str" s="15">
        <f aca="0">IF(B23="","",IF(H23="","확인필요(입력누락)",IF(SUMPRODUCT((실물목록!$P$2:$P$1001&lt;&gt;"")*ISNUMBER(SEARCH(실물목록!$P$2:$P$1001,I23))*(실물목록!$Q$2:$Q$1001&lt;&gt;"")*ISNUMBER(SEARCH(실물목록!$Q$2:$Q$1001,I23))*(실물목록!$R$2:$R$1001="")*(실물목록!$O$2:$O$1001&lt;&gt;"")*(실물목록!$O$2:$O$1001=H23))&gt;0,"실물 있음",IF(SUMPRODUCT((실물목록!$P$2:$P$1001&lt;&gt;"")*ISNUMBER(SEARCH(실물목록!$P$2:$P$1001,I23))*(실물목록!$R$2:$R$1001&lt;&gt;""))&gt;0,"확인필요(입력누락)",IF(SUMPRODUCT((실물목록!$P$2:$P$1001&lt;&gt;"")*ISNUMBER(SEARCH(실물목록!$P$2:$P$1001,I23))*(실물목록!$Q$2:$Q$1001&lt;&gt;"")*ISNUMBER(SEARCH(실물목록!$Q$2:$Q$1001,I23))*(실물목록!$R$2:$R$1001="")*(실물목록!$O$2:$O$1001&lt;&gt;""))&gt;0,"확인필요(연도다름)","실물 없음")))))</f>
      </c>
      <c r="G23" t="n" s="16">
        <f aca="0">IF(B23="","",SUMPRODUCT((실물목록!$P$2:$P$1001&lt;&gt;"")*ISNUMBER(SEARCH(실물목록!$P$2:$P$1001,I23))*(실물목록!$Q$2:$Q$1001&lt;&gt;"")*ISNUMBER(SEARCH(실물목록!$Q$2:$Q$1001,I23))*(실물목록!$R$2:$R$1001="")*(실물목록!$O$2:$O$1001&lt;&gt;"")*(실물목록!$O$2:$O$1001=H23)))</f>
      </c>
      <c r="H23" t="str">
        <f>IFERROR(IF(AND(LEN(SUBSTITUTE(SUBSTITUTE(SUBSTITUTE(TRIM(A23&amp;""),CHAR(160),"")," ",""),"년",""))=4,VALUE(SUBSTITUTE(SUBSTITUTE(SUBSTITUTE(TRIM(A23&amp;""),CHAR(160),"")," ",""),"년",""))&gt;=1900,VALUE(SUBSTITUTE(SUBSTITUTE(SUBSTITUTE(TRIM(A23&amp;""),CHAR(160),"")," ",""),"년",""))&lt;=2099,TEXT(VALUE(SUBSTITUTE(SUBSTITUTE(SUBSTITUTE(TRIM(A23&amp;""),CHAR(160),"")," ",""),"년","")),"0000")=SUBSTITUTE(SUBSTITUTE(SUBSTITUTE(TRIM(A23&amp;""),CHAR(160),"")," ",""),"년","")),SUBSTITUTE(SUBSTITUTE(SUBSTITUTE(TRIM(A23&amp;""),CHAR(160),"")," ",""),"년",""),""),"")</f>
      </c>
      <c r="I23" t="str">
        <f>SUBSTITUTE(SUBSTITUTE(SUBSTITUTE(SUBSTITUTE(SUBSTITUTE(TRIM(B23&amp;""),CHAR(160),"")," ",""),"초등학교","초"),"중학교","중"),"고등학교","고")</f>
      </c>
    </row>
    <row r="24" customFormat="false" ht="15" hidden="false" customHeight="false" outlineLevel="0" collapsed="false">
      <c r="A24" s="8"/>
      <c r="B24" s="8"/>
      <c r="C24" s="8"/>
      <c r="D24" s="8"/>
      <c r="E24" s="8"/>
      <c r="F24" t="str" s="15">
        <f aca="0">IF(B24="","",IF(H24="","확인필요(입력누락)",IF(SUMPRODUCT((실물목록!$P$2:$P$1001&lt;&gt;"")*ISNUMBER(SEARCH(실물목록!$P$2:$P$1001,I24))*(실물목록!$Q$2:$Q$1001&lt;&gt;"")*ISNUMBER(SEARCH(실물목록!$Q$2:$Q$1001,I24))*(실물목록!$R$2:$R$1001="")*(실물목록!$O$2:$O$1001&lt;&gt;"")*(실물목록!$O$2:$O$1001=H24))&gt;0,"실물 있음",IF(SUMPRODUCT((실물목록!$P$2:$P$1001&lt;&gt;"")*ISNUMBER(SEARCH(실물목록!$P$2:$P$1001,I24))*(실물목록!$R$2:$R$1001&lt;&gt;""))&gt;0,"확인필요(입력누락)",IF(SUMPRODUCT((실물목록!$P$2:$P$1001&lt;&gt;"")*ISNUMBER(SEARCH(실물목록!$P$2:$P$1001,I24))*(실물목록!$Q$2:$Q$1001&lt;&gt;"")*ISNUMBER(SEARCH(실물목록!$Q$2:$Q$1001,I24))*(실물목록!$R$2:$R$1001="")*(실물목록!$O$2:$O$1001&lt;&gt;""))&gt;0,"확인필요(연도다름)","실물 없음")))))</f>
      </c>
      <c r="G24" t="n" s="16">
        <f aca="0">IF(B24="","",SUMPRODUCT((실물목록!$P$2:$P$1001&lt;&gt;"")*ISNUMBER(SEARCH(실물목록!$P$2:$P$1001,I24))*(실물목록!$Q$2:$Q$1001&lt;&gt;"")*ISNUMBER(SEARCH(실물목록!$Q$2:$Q$1001,I24))*(실물목록!$R$2:$R$1001="")*(실물목록!$O$2:$O$1001&lt;&gt;"")*(실물목록!$O$2:$O$1001=H24)))</f>
      </c>
      <c r="H24" t="str">
        <f>IFERROR(IF(AND(LEN(SUBSTITUTE(SUBSTITUTE(SUBSTITUTE(TRIM(A24&amp;""),CHAR(160),"")," ",""),"년",""))=4,VALUE(SUBSTITUTE(SUBSTITUTE(SUBSTITUTE(TRIM(A24&amp;""),CHAR(160),"")," ",""),"년",""))&gt;=1900,VALUE(SUBSTITUTE(SUBSTITUTE(SUBSTITUTE(TRIM(A24&amp;""),CHAR(160),"")," ",""),"년",""))&lt;=2099,TEXT(VALUE(SUBSTITUTE(SUBSTITUTE(SUBSTITUTE(TRIM(A24&amp;""),CHAR(160),"")," ",""),"년","")),"0000")=SUBSTITUTE(SUBSTITUTE(SUBSTITUTE(TRIM(A24&amp;""),CHAR(160),"")," ",""),"년","")),SUBSTITUTE(SUBSTITUTE(SUBSTITUTE(TRIM(A24&amp;""),CHAR(160),"")," ",""),"년",""),""),"")</f>
      </c>
      <c r="I24" t="str">
        <f>SUBSTITUTE(SUBSTITUTE(SUBSTITUTE(SUBSTITUTE(SUBSTITUTE(TRIM(B24&amp;""),CHAR(160),"")," ",""),"초등학교","초"),"중학교","중"),"고등학교","고")</f>
      </c>
    </row>
    <row r="25" customFormat="false" ht="15" hidden="false" customHeight="false" outlineLevel="0" collapsed="false">
      <c r="A25" s="8"/>
      <c r="B25" s="8"/>
      <c r="C25" s="8"/>
      <c r="D25" s="8"/>
      <c r="E25" s="8"/>
      <c r="F25" t="str" s="15">
        <f aca="0">IF(B25="","",IF(H25="","확인필요(입력누락)",IF(SUMPRODUCT((실물목록!$P$2:$P$1001&lt;&gt;"")*ISNUMBER(SEARCH(실물목록!$P$2:$P$1001,I25))*(실물목록!$Q$2:$Q$1001&lt;&gt;"")*ISNUMBER(SEARCH(실물목록!$Q$2:$Q$1001,I25))*(실물목록!$R$2:$R$1001="")*(실물목록!$O$2:$O$1001&lt;&gt;"")*(실물목록!$O$2:$O$1001=H25))&gt;0,"실물 있음",IF(SUMPRODUCT((실물목록!$P$2:$P$1001&lt;&gt;"")*ISNUMBER(SEARCH(실물목록!$P$2:$P$1001,I25))*(실물목록!$R$2:$R$1001&lt;&gt;""))&gt;0,"확인필요(입력누락)",IF(SUMPRODUCT((실물목록!$P$2:$P$1001&lt;&gt;"")*ISNUMBER(SEARCH(실물목록!$P$2:$P$1001,I25))*(실물목록!$Q$2:$Q$1001&lt;&gt;"")*ISNUMBER(SEARCH(실물목록!$Q$2:$Q$1001,I25))*(실물목록!$R$2:$R$1001="")*(실물목록!$O$2:$O$1001&lt;&gt;""))&gt;0,"확인필요(연도다름)","실물 없음")))))</f>
      </c>
      <c r="G25" t="n" s="16">
        <f aca="0">IF(B25="","",SUMPRODUCT((실물목록!$P$2:$P$1001&lt;&gt;"")*ISNUMBER(SEARCH(실물목록!$P$2:$P$1001,I25))*(실물목록!$Q$2:$Q$1001&lt;&gt;"")*ISNUMBER(SEARCH(실물목록!$Q$2:$Q$1001,I25))*(실물목록!$R$2:$R$1001="")*(실물목록!$O$2:$O$1001&lt;&gt;"")*(실물목록!$O$2:$O$1001=H25)))</f>
      </c>
      <c r="H25" t="str">
        <f>IFERROR(IF(AND(LEN(SUBSTITUTE(SUBSTITUTE(SUBSTITUTE(TRIM(A25&amp;""),CHAR(160),"")," ",""),"년",""))=4,VALUE(SUBSTITUTE(SUBSTITUTE(SUBSTITUTE(TRIM(A25&amp;""),CHAR(160),"")," ",""),"년",""))&gt;=1900,VALUE(SUBSTITUTE(SUBSTITUTE(SUBSTITUTE(TRIM(A25&amp;""),CHAR(160),"")," ",""),"년",""))&lt;=2099,TEXT(VALUE(SUBSTITUTE(SUBSTITUTE(SUBSTITUTE(TRIM(A25&amp;""),CHAR(160),"")," ",""),"년","")),"0000")=SUBSTITUTE(SUBSTITUTE(SUBSTITUTE(TRIM(A25&amp;""),CHAR(160),"")," ",""),"년","")),SUBSTITUTE(SUBSTITUTE(SUBSTITUTE(TRIM(A25&amp;""),CHAR(160),"")," ",""),"년",""),""),"")</f>
      </c>
      <c r="I25" t="str">
        <f>SUBSTITUTE(SUBSTITUTE(SUBSTITUTE(SUBSTITUTE(SUBSTITUTE(TRIM(B25&amp;""),CHAR(160),"")," ",""),"초등학교","초"),"중학교","중"),"고등학교","고")</f>
      </c>
    </row>
    <row r="26" customFormat="false" ht="15" hidden="false" customHeight="false" outlineLevel="0" collapsed="false">
      <c r="A26" s="8"/>
      <c r="B26" s="8"/>
      <c r="C26" s="8"/>
      <c r="D26" s="8"/>
      <c r="E26" s="8"/>
      <c r="F26" t="str" s="15">
        <f aca="0">IF(B26="","",IF(H26="","확인필요(입력누락)",IF(SUMPRODUCT((실물목록!$P$2:$P$1001&lt;&gt;"")*ISNUMBER(SEARCH(실물목록!$P$2:$P$1001,I26))*(실물목록!$Q$2:$Q$1001&lt;&gt;"")*ISNUMBER(SEARCH(실물목록!$Q$2:$Q$1001,I26))*(실물목록!$R$2:$R$1001="")*(실물목록!$O$2:$O$1001&lt;&gt;"")*(실물목록!$O$2:$O$1001=H26))&gt;0,"실물 있음",IF(SUMPRODUCT((실물목록!$P$2:$P$1001&lt;&gt;"")*ISNUMBER(SEARCH(실물목록!$P$2:$P$1001,I26))*(실물목록!$R$2:$R$1001&lt;&gt;""))&gt;0,"확인필요(입력누락)",IF(SUMPRODUCT((실물목록!$P$2:$P$1001&lt;&gt;"")*ISNUMBER(SEARCH(실물목록!$P$2:$P$1001,I26))*(실물목록!$Q$2:$Q$1001&lt;&gt;"")*ISNUMBER(SEARCH(실물목록!$Q$2:$Q$1001,I26))*(실물목록!$R$2:$R$1001="")*(실물목록!$O$2:$O$1001&lt;&gt;""))&gt;0,"확인필요(연도다름)","실물 없음")))))</f>
      </c>
      <c r="G26" t="n" s="16">
        <f aca="0">IF(B26="","",SUMPRODUCT((실물목록!$P$2:$P$1001&lt;&gt;"")*ISNUMBER(SEARCH(실물목록!$P$2:$P$1001,I26))*(실물목록!$Q$2:$Q$1001&lt;&gt;"")*ISNUMBER(SEARCH(실물목록!$Q$2:$Q$1001,I26))*(실물목록!$R$2:$R$1001="")*(실물목록!$O$2:$O$1001&lt;&gt;"")*(실물목록!$O$2:$O$1001=H26)))</f>
      </c>
      <c r="H26" t="str">
        <f>IFERROR(IF(AND(LEN(SUBSTITUTE(SUBSTITUTE(SUBSTITUTE(TRIM(A26&amp;""),CHAR(160),"")," ",""),"년",""))=4,VALUE(SUBSTITUTE(SUBSTITUTE(SUBSTITUTE(TRIM(A26&amp;""),CHAR(160),"")," ",""),"년",""))&gt;=1900,VALUE(SUBSTITUTE(SUBSTITUTE(SUBSTITUTE(TRIM(A26&amp;""),CHAR(160),"")," ",""),"년",""))&lt;=2099,TEXT(VALUE(SUBSTITUTE(SUBSTITUTE(SUBSTITUTE(TRIM(A26&amp;""),CHAR(160),"")," ",""),"년","")),"0000")=SUBSTITUTE(SUBSTITUTE(SUBSTITUTE(TRIM(A26&amp;""),CHAR(160),"")," ",""),"년","")),SUBSTITUTE(SUBSTITUTE(SUBSTITUTE(TRIM(A26&amp;""),CHAR(160),"")," ",""),"년",""),""),"")</f>
      </c>
      <c r="I26" t="str">
        <f>SUBSTITUTE(SUBSTITUTE(SUBSTITUTE(SUBSTITUTE(SUBSTITUTE(TRIM(B26&amp;""),CHAR(160),"")," ",""),"초등학교","초"),"중학교","중"),"고등학교","고")</f>
      </c>
    </row>
    <row r="27" customFormat="false" ht="15" hidden="false" customHeight="false" outlineLevel="0" collapsed="false">
      <c r="A27" s="8"/>
      <c r="B27" s="8"/>
      <c r="C27" s="8"/>
      <c r="D27" s="8"/>
      <c r="E27" s="8"/>
      <c r="F27" t="str" s="15">
        <f aca="0">IF(B27="","",IF(H27="","확인필요(입력누락)",IF(SUMPRODUCT((실물목록!$P$2:$P$1001&lt;&gt;"")*ISNUMBER(SEARCH(실물목록!$P$2:$P$1001,I27))*(실물목록!$Q$2:$Q$1001&lt;&gt;"")*ISNUMBER(SEARCH(실물목록!$Q$2:$Q$1001,I27))*(실물목록!$R$2:$R$1001="")*(실물목록!$O$2:$O$1001&lt;&gt;"")*(실물목록!$O$2:$O$1001=H27))&gt;0,"실물 있음",IF(SUMPRODUCT((실물목록!$P$2:$P$1001&lt;&gt;"")*ISNUMBER(SEARCH(실물목록!$P$2:$P$1001,I27))*(실물목록!$R$2:$R$1001&lt;&gt;""))&gt;0,"확인필요(입력누락)",IF(SUMPRODUCT((실물목록!$P$2:$P$1001&lt;&gt;"")*ISNUMBER(SEARCH(실물목록!$P$2:$P$1001,I27))*(실물목록!$Q$2:$Q$1001&lt;&gt;"")*ISNUMBER(SEARCH(실물목록!$Q$2:$Q$1001,I27))*(실물목록!$R$2:$R$1001="")*(실물목록!$O$2:$O$1001&lt;&gt;""))&gt;0,"확인필요(연도다름)","실물 없음")))))</f>
      </c>
      <c r="G27" t="n" s="16">
        <f aca="0">IF(B27="","",SUMPRODUCT((실물목록!$P$2:$P$1001&lt;&gt;"")*ISNUMBER(SEARCH(실물목록!$P$2:$P$1001,I27))*(실물목록!$Q$2:$Q$1001&lt;&gt;"")*ISNUMBER(SEARCH(실물목록!$Q$2:$Q$1001,I27))*(실물목록!$R$2:$R$1001="")*(실물목록!$O$2:$O$1001&lt;&gt;"")*(실물목록!$O$2:$O$1001=H27)))</f>
      </c>
      <c r="H27" t="str">
        <f>IFERROR(IF(AND(LEN(SUBSTITUTE(SUBSTITUTE(SUBSTITUTE(TRIM(A27&amp;""),CHAR(160),"")," ",""),"년",""))=4,VALUE(SUBSTITUTE(SUBSTITUTE(SUBSTITUTE(TRIM(A27&amp;""),CHAR(160),"")," ",""),"년",""))&gt;=1900,VALUE(SUBSTITUTE(SUBSTITUTE(SUBSTITUTE(TRIM(A27&amp;""),CHAR(160),"")," ",""),"년",""))&lt;=2099,TEXT(VALUE(SUBSTITUTE(SUBSTITUTE(SUBSTITUTE(TRIM(A27&amp;""),CHAR(160),"")," ",""),"년","")),"0000")=SUBSTITUTE(SUBSTITUTE(SUBSTITUTE(TRIM(A27&amp;""),CHAR(160),"")," ",""),"년","")),SUBSTITUTE(SUBSTITUTE(SUBSTITUTE(TRIM(A27&amp;""),CHAR(160),"")," ",""),"년",""),""),"")</f>
      </c>
      <c r="I27" t="str">
        <f>SUBSTITUTE(SUBSTITUTE(SUBSTITUTE(SUBSTITUTE(SUBSTITUTE(TRIM(B27&amp;""),CHAR(160),"")," ",""),"초등학교","초"),"중학교","중"),"고등학교","고")</f>
      </c>
    </row>
    <row r="28" customFormat="false" ht="15" hidden="false" customHeight="false" outlineLevel="0" collapsed="false">
      <c r="A28" s="8"/>
      <c r="B28" s="8"/>
      <c r="C28" s="8"/>
      <c r="D28" s="8"/>
      <c r="E28" s="8"/>
      <c r="F28" t="str" s="15">
        <f aca="0">IF(B28="","",IF(H28="","확인필요(입력누락)",IF(SUMPRODUCT((실물목록!$P$2:$P$1001&lt;&gt;"")*ISNUMBER(SEARCH(실물목록!$P$2:$P$1001,I28))*(실물목록!$Q$2:$Q$1001&lt;&gt;"")*ISNUMBER(SEARCH(실물목록!$Q$2:$Q$1001,I28))*(실물목록!$R$2:$R$1001="")*(실물목록!$O$2:$O$1001&lt;&gt;"")*(실물목록!$O$2:$O$1001=H28))&gt;0,"실물 있음",IF(SUMPRODUCT((실물목록!$P$2:$P$1001&lt;&gt;"")*ISNUMBER(SEARCH(실물목록!$P$2:$P$1001,I28))*(실물목록!$R$2:$R$1001&lt;&gt;""))&gt;0,"확인필요(입력누락)",IF(SUMPRODUCT((실물목록!$P$2:$P$1001&lt;&gt;"")*ISNUMBER(SEARCH(실물목록!$P$2:$P$1001,I28))*(실물목록!$Q$2:$Q$1001&lt;&gt;"")*ISNUMBER(SEARCH(실물목록!$Q$2:$Q$1001,I28))*(실물목록!$R$2:$R$1001="")*(실물목록!$O$2:$O$1001&lt;&gt;""))&gt;0,"확인필요(연도다름)","실물 없음")))))</f>
      </c>
      <c r="G28" t="n" s="16">
        <f aca="0">IF(B28="","",SUMPRODUCT((실물목록!$P$2:$P$1001&lt;&gt;"")*ISNUMBER(SEARCH(실물목록!$P$2:$P$1001,I28))*(실물목록!$Q$2:$Q$1001&lt;&gt;"")*ISNUMBER(SEARCH(실물목록!$Q$2:$Q$1001,I28))*(실물목록!$R$2:$R$1001="")*(실물목록!$O$2:$O$1001&lt;&gt;"")*(실물목록!$O$2:$O$1001=H28)))</f>
      </c>
      <c r="H28" t="str">
        <f>IFERROR(IF(AND(LEN(SUBSTITUTE(SUBSTITUTE(SUBSTITUTE(TRIM(A28&amp;""),CHAR(160),"")," ",""),"년",""))=4,VALUE(SUBSTITUTE(SUBSTITUTE(SUBSTITUTE(TRIM(A28&amp;""),CHAR(160),"")," ",""),"년",""))&gt;=1900,VALUE(SUBSTITUTE(SUBSTITUTE(SUBSTITUTE(TRIM(A28&amp;""),CHAR(160),"")," ",""),"년",""))&lt;=2099,TEXT(VALUE(SUBSTITUTE(SUBSTITUTE(SUBSTITUTE(TRIM(A28&amp;""),CHAR(160),"")," ",""),"년","")),"0000")=SUBSTITUTE(SUBSTITUTE(SUBSTITUTE(TRIM(A28&amp;""),CHAR(160),"")," ",""),"년","")),SUBSTITUTE(SUBSTITUTE(SUBSTITUTE(TRIM(A28&amp;""),CHAR(160),"")," ",""),"년",""),""),"")</f>
      </c>
      <c r="I28" t="str">
        <f>SUBSTITUTE(SUBSTITUTE(SUBSTITUTE(SUBSTITUTE(SUBSTITUTE(TRIM(B28&amp;""),CHAR(160),"")," ",""),"초등학교","초"),"중학교","중"),"고등학교","고")</f>
      </c>
    </row>
    <row r="29" customFormat="false" ht="15" hidden="false" customHeight="false" outlineLevel="0" collapsed="false">
      <c r="A29" s="8"/>
      <c r="B29" s="8"/>
      <c r="C29" s="8"/>
      <c r="D29" s="8"/>
      <c r="E29" s="8"/>
      <c r="F29" t="str" s="15">
        <f aca="0">IF(B29="","",IF(H29="","확인필요(입력누락)",IF(SUMPRODUCT((실물목록!$P$2:$P$1001&lt;&gt;"")*ISNUMBER(SEARCH(실물목록!$P$2:$P$1001,I29))*(실물목록!$Q$2:$Q$1001&lt;&gt;"")*ISNUMBER(SEARCH(실물목록!$Q$2:$Q$1001,I29))*(실물목록!$R$2:$R$1001="")*(실물목록!$O$2:$O$1001&lt;&gt;"")*(실물목록!$O$2:$O$1001=H29))&gt;0,"실물 있음",IF(SUMPRODUCT((실물목록!$P$2:$P$1001&lt;&gt;"")*ISNUMBER(SEARCH(실물목록!$P$2:$P$1001,I29))*(실물목록!$R$2:$R$1001&lt;&gt;""))&gt;0,"확인필요(입력누락)",IF(SUMPRODUCT((실물목록!$P$2:$P$1001&lt;&gt;"")*ISNUMBER(SEARCH(실물목록!$P$2:$P$1001,I29))*(실물목록!$Q$2:$Q$1001&lt;&gt;"")*ISNUMBER(SEARCH(실물목록!$Q$2:$Q$1001,I29))*(실물목록!$R$2:$R$1001="")*(실물목록!$O$2:$O$1001&lt;&gt;""))&gt;0,"확인필요(연도다름)","실물 없음")))))</f>
      </c>
      <c r="G29" t="n" s="16">
        <f aca="0">IF(B29="","",SUMPRODUCT((실물목록!$P$2:$P$1001&lt;&gt;"")*ISNUMBER(SEARCH(실물목록!$P$2:$P$1001,I29))*(실물목록!$Q$2:$Q$1001&lt;&gt;"")*ISNUMBER(SEARCH(실물목록!$Q$2:$Q$1001,I29))*(실물목록!$R$2:$R$1001="")*(실물목록!$O$2:$O$1001&lt;&gt;"")*(실물목록!$O$2:$O$1001=H29)))</f>
      </c>
      <c r="H29" t="str">
        <f>IFERROR(IF(AND(LEN(SUBSTITUTE(SUBSTITUTE(SUBSTITUTE(TRIM(A29&amp;""),CHAR(160),"")," ",""),"년",""))=4,VALUE(SUBSTITUTE(SUBSTITUTE(SUBSTITUTE(TRIM(A29&amp;""),CHAR(160),"")," ",""),"년",""))&gt;=1900,VALUE(SUBSTITUTE(SUBSTITUTE(SUBSTITUTE(TRIM(A29&amp;""),CHAR(160),"")," ",""),"년",""))&lt;=2099,TEXT(VALUE(SUBSTITUTE(SUBSTITUTE(SUBSTITUTE(TRIM(A29&amp;""),CHAR(160),"")," ",""),"년","")),"0000")=SUBSTITUTE(SUBSTITUTE(SUBSTITUTE(TRIM(A29&amp;""),CHAR(160),"")," ",""),"년","")),SUBSTITUTE(SUBSTITUTE(SUBSTITUTE(TRIM(A29&amp;""),CHAR(160),"")," ",""),"년",""),""),"")</f>
      </c>
      <c r="I29" t="str">
        <f>SUBSTITUTE(SUBSTITUTE(SUBSTITUTE(SUBSTITUTE(SUBSTITUTE(TRIM(B29&amp;""),CHAR(160),"")," ",""),"초등학교","초"),"중학교","중"),"고등학교","고")</f>
      </c>
    </row>
    <row r="30" customFormat="false" ht="15" hidden="false" customHeight="false" outlineLevel="0" collapsed="false">
      <c r="A30" s="8"/>
      <c r="B30" s="8"/>
      <c r="C30" s="8"/>
      <c r="D30" s="8"/>
      <c r="E30" s="8"/>
      <c r="F30" t="str" s="15">
        <f aca="0">IF(B30="","",IF(H30="","확인필요(입력누락)",IF(SUMPRODUCT((실물목록!$P$2:$P$1001&lt;&gt;"")*ISNUMBER(SEARCH(실물목록!$P$2:$P$1001,I30))*(실물목록!$Q$2:$Q$1001&lt;&gt;"")*ISNUMBER(SEARCH(실물목록!$Q$2:$Q$1001,I30))*(실물목록!$R$2:$R$1001="")*(실물목록!$O$2:$O$1001&lt;&gt;"")*(실물목록!$O$2:$O$1001=H30))&gt;0,"실물 있음",IF(SUMPRODUCT((실물목록!$P$2:$P$1001&lt;&gt;"")*ISNUMBER(SEARCH(실물목록!$P$2:$P$1001,I30))*(실물목록!$R$2:$R$1001&lt;&gt;""))&gt;0,"확인필요(입력누락)",IF(SUMPRODUCT((실물목록!$P$2:$P$1001&lt;&gt;"")*ISNUMBER(SEARCH(실물목록!$P$2:$P$1001,I30))*(실물목록!$Q$2:$Q$1001&lt;&gt;"")*ISNUMBER(SEARCH(실물목록!$Q$2:$Q$1001,I30))*(실물목록!$R$2:$R$1001="")*(실물목록!$O$2:$O$1001&lt;&gt;""))&gt;0,"확인필요(연도다름)","실물 없음")))))</f>
      </c>
      <c r="G30" t="n" s="16">
        <f aca="0">IF(B30="","",SUMPRODUCT((실물목록!$P$2:$P$1001&lt;&gt;"")*ISNUMBER(SEARCH(실물목록!$P$2:$P$1001,I30))*(실물목록!$Q$2:$Q$1001&lt;&gt;"")*ISNUMBER(SEARCH(실물목록!$Q$2:$Q$1001,I30))*(실물목록!$R$2:$R$1001="")*(실물목록!$O$2:$O$1001&lt;&gt;"")*(실물목록!$O$2:$O$1001=H30)))</f>
      </c>
      <c r="H30" t="str">
        <f>IFERROR(IF(AND(LEN(SUBSTITUTE(SUBSTITUTE(SUBSTITUTE(TRIM(A30&amp;""),CHAR(160),"")," ",""),"년",""))=4,VALUE(SUBSTITUTE(SUBSTITUTE(SUBSTITUTE(TRIM(A30&amp;""),CHAR(160),"")," ",""),"년",""))&gt;=1900,VALUE(SUBSTITUTE(SUBSTITUTE(SUBSTITUTE(TRIM(A30&amp;""),CHAR(160),"")," ",""),"년",""))&lt;=2099,TEXT(VALUE(SUBSTITUTE(SUBSTITUTE(SUBSTITUTE(TRIM(A30&amp;""),CHAR(160),"")," ",""),"년","")),"0000")=SUBSTITUTE(SUBSTITUTE(SUBSTITUTE(TRIM(A30&amp;""),CHAR(160),"")," ",""),"년","")),SUBSTITUTE(SUBSTITUTE(SUBSTITUTE(TRIM(A30&amp;""),CHAR(160),"")," ",""),"년",""),""),"")</f>
      </c>
      <c r="I30" t="str">
        <f>SUBSTITUTE(SUBSTITUTE(SUBSTITUTE(SUBSTITUTE(SUBSTITUTE(TRIM(B30&amp;""),CHAR(160),"")," ",""),"초등학교","초"),"중학교","중"),"고등학교","고")</f>
      </c>
    </row>
    <row r="31" customFormat="false" ht="15" hidden="false" customHeight="false" outlineLevel="0" collapsed="false">
      <c r="A31" s="8"/>
      <c r="B31" s="8"/>
      <c r="C31" s="8"/>
      <c r="D31" s="8"/>
      <c r="E31" s="8"/>
      <c r="F31" t="str" s="15">
        <f aca="0">IF(B31="","",IF(H31="","확인필요(입력누락)",IF(SUMPRODUCT((실물목록!$P$2:$P$1001&lt;&gt;"")*ISNUMBER(SEARCH(실물목록!$P$2:$P$1001,I31))*(실물목록!$Q$2:$Q$1001&lt;&gt;"")*ISNUMBER(SEARCH(실물목록!$Q$2:$Q$1001,I31))*(실물목록!$R$2:$R$1001="")*(실물목록!$O$2:$O$1001&lt;&gt;"")*(실물목록!$O$2:$O$1001=H31))&gt;0,"실물 있음",IF(SUMPRODUCT((실물목록!$P$2:$P$1001&lt;&gt;"")*ISNUMBER(SEARCH(실물목록!$P$2:$P$1001,I31))*(실물목록!$R$2:$R$1001&lt;&gt;""))&gt;0,"확인필요(입력누락)",IF(SUMPRODUCT((실물목록!$P$2:$P$1001&lt;&gt;"")*ISNUMBER(SEARCH(실물목록!$P$2:$P$1001,I31))*(실물목록!$Q$2:$Q$1001&lt;&gt;"")*ISNUMBER(SEARCH(실물목록!$Q$2:$Q$1001,I31))*(실물목록!$R$2:$R$1001="")*(실물목록!$O$2:$O$1001&lt;&gt;""))&gt;0,"확인필요(연도다름)","실물 없음")))))</f>
      </c>
      <c r="G31" t="n" s="16">
        <f aca="0">IF(B31="","",SUMPRODUCT((실물목록!$P$2:$P$1001&lt;&gt;"")*ISNUMBER(SEARCH(실물목록!$P$2:$P$1001,I31))*(실물목록!$Q$2:$Q$1001&lt;&gt;"")*ISNUMBER(SEARCH(실물목록!$Q$2:$Q$1001,I31))*(실물목록!$R$2:$R$1001="")*(실물목록!$O$2:$O$1001&lt;&gt;"")*(실물목록!$O$2:$O$1001=H31)))</f>
      </c>
      <c r="H31" t="str">
        <f>IFERROR(IF(AND(LEN(SUBSTITUTE(SUBSTITUTE(SUBSTITUTE(TRIM(A31&amp;""),CHAR(160),"")," ",""),"년",""))=4,VALUE(SUBSTITUTE(SUBSTITUTE(SUBSTITUTE(TRIM(A31&amp;""),CHAR(160),"")," ",""),"년",""))&gt;=1900,VALUE(SUBSTITUTE(SUBSTITUTE(SUBSTITUTE(TRIM(A31&amp;""),CHAR(160),"")," ",""),"년",""))&lt;=2099,TEXT(VALUE(SUBSTITUTE(SUBSTITUTE(SUBSTITUTE(TRIM(A31&amp;""),CHAR(160),"")," ",""),"년","")),"0000")=SUBSTITUTE(SUBSTITUTE(SUBSTITUTE(TRIM(A31&amp;""),CHAR(160),"")," ",""),"년","")),SUBSTITUTE(SUBSTITUTE(SUBSTITUTE(TRIM(A31&amp;""),CHAR(160),"")," ",""),"년",""),""),"")</f>
      </c>
      <c r="I31" t="str">
        <f>SUBSTITUTE(SUBSTITUTE(SUBSTITUTE(SUBSTITUTE(SUBSTITUTE(TRIM(B31&amp;""),CHAR(160),"")," ",""),"초등학교","초"),"중학교","중"),"고등학교","고")</f>
      </c>
    </row>
    <row r="32" customFormat="false" ht="15" hidden="false" customHeight="false" outlineLevel="0" collapsed="false">
      <c r="A32" s="8"/>
      <c r="B32" s="8"/>
      <c r="C32" s="8"/>
      <c r="D32" s="8"/>
      <c r="E32" s="8"/>
      <c r="F32" t="str" s="15">
        <f aca="0">IF(B32="","",IF(H32="","확인필요(입력누락)",IF(SUMPRODUCT((실물목록!$P$2:$P$1001&lt;&gt;"")*ISNUMBER(SEARCH(실물목록!$P$2:$P$1001,I32))*(실물목록!$Q$2:$Q$1001&lt;&gt;"")*ISNUMBER(SEARCH(실물목록!$Q$2:$Q$1001,I32))*(실물목록!$R$2:$R$1001="")*(실물목록!$O$2:$O$1001&lt;&gt;"")*(실물목록!$O$2:$O$1001=H32))&gt;0,"실물 있음",IF(SUMPRODUCT((실물목록!$P$2:$P$1001&lt;&gt;"")*ISNUMBER(SEARCH(실물목록!$P$2:$P$1001,I32))*(실물목록!$R$2:$R$1001&lt;&gt;""))&gt;0,"확인필요(입력누락)",IF(SUMPRODUCT((실물목록!$P$2:$P$1001&lt;&gt;"")*ISNUMBER(SEARCH(실물목록!$P$2:$P$1001,I32))*(실물목록!$Q$2:$Q$1001&lt;&gt;"")*ISNUMBER(SEARCH(실물목록!$Q$2:$Q$1001,I32))*(실물목록!$R$2:$R$1001="")*(실물목록!$O$2:$O$1001&lt;&gt;""))&gt;0,"확인필요(연도다름)","실물 없음")))))</f>
      </c>
      <c r="G32" t="n" s="16">
        <f aca="0">IF(B32="","",SUMPRODUCT((실물목록!$P$2:$P$1001&lt;&gt;"")*ISNUMBER(SEARCH(실물목록!$P$2:$P$1001,I32))*(실물목록!$Q$2:$Q$1001&lt;&gt;"")*ISNUMBER(SEARCH(실물목록!$Q$2:$Q$1001,I32))*(실물목록!$R$2:$R$1001="")*(실물목록!$O$2:$O$1001&lt;&gt;"")*(실물목록!$O$2:$O$1001=H32)))</f>
      </c>
      <c r="H32" t="str">
        <f>IFERROR(IF(AND(LEN(SUBSTITUTE(SUBSTITUTE(SUBSTITUTE(TRIM(A32&amp;""),CHAR(160),"")," ",""),"년",""))=4,VALUE(SUBSTITUTE(SUBSTITUTE(SUBSTITUTE(TRIM(A32&amp;""),CHAR(160),"")," ",""),"년",""))&gt;=1900,VALUE(SUBSTITUTE(SUBSTITUTE(SUBSTITUTE(TRIM(A32&amp;""),CHAR(160),"")," ",""),"년",""))&lt;=2099,TEXT(VALUE(SUBSTITUTE(SUBSTITUTE(SUBSTITUTE(TRIM(A32&amp;""),CHAR(160),"")," ",""),"년","")),"0000")=SUBSTITUTE(SUBSTITUTE(SUBSTITUTE(TRIM(A32&amp;""),CHAR(160),"")," ",""),"년","")),SUBSTITUTE(SUBSTITUTE(SUBSTITUTE(TRIM(A32&amp;""),CHAR(160),"")," ",""),"년",""),""),"")</f>
      </c>
      <c r="I32" t="str">
        <f>SUBSTITUTE(SUBSTITUTE(SUBSTITUTE(SUBSTITUTE(SUBSTITUTE(TRIM(B32&amp;""),CHAR(160),"")," ",""),"초등학교","초"),"중학교","중"),"고등학교","고")</f>
      </c>
    </row>
    <row r="33" customFormat="false" ht="15" hidden="false" customHeight="false" outlineLevel="0" collapsed="false">
      <c r="A33" s="8"/>
      <c r="B33" s="8"/>
      <c r="C33" s="8"/>
      <c r="D33" s="8"/>
      <c r="E33" s="8"/>
      <c r="F33" t="str" s="15">
        <f aca="0">IF(B33="","",IF(H33="","확인필요(입력누락)",IF(SUMPRODUCT((실물목록!$P$2:$P$1001&lt;&gt;"")*ISNUMBER(SEARCH(실물목록!$P$2:$P$1001,I33))*(실물목록!$Q$2:$Q$1001&lt;&gt;"")*ISNUMBER(SEARCH(실물목록!$Q$2:$Q$1001,I33))*(실물목록!$R$2:$R$1001="")*(실물목록!$O$2:$O$1001&lt;&gt;"")*(실물목록!$O$2:$O$1001=H33))&gt;0,"실물 있음",IF(SUMPRODUCT((실물목록!$P$2:$P$1001&lt;&gt;"")*ISNUMBER(SEARCH(실물목록!$P$2:$P$1001,I33))*(실물목록!$R$2:$R$1001&lt;&gt;""))&gt;0,"확인필요(입력누락)",IF(SUMPRODUCT((실물목록!$P$2:$P$1001&lt;&gt;"")*ISNUMBER(SEARCH(실물목록!$P$2:$P$1001,I33))*(실물목록!$Q$2:$Q$1001&lt;&gt;"")*ISNUMBER(SEARCH(실물목록!$Q$2:$Q$1001,I33))*(실물목록!$R$2:$R$1001="")*(실물목록!$O$2:$O$1001&lt;&gt;""))&gt;0,"확인필요(연도다름)","실물 없음")))))</f>
      </c>
      <c r="G33" t="n" s="16">
        <f aca="0">IF(B33="","",SUMPRODUCT((실물목록!$P$2:$P$1001&lt;&gt;"")*ISNUMBER(SEARCH(실물목록!$P$2:$P$1001,I33))*(실물목록!$Q$2:$Q$1001&lt;&gt;"")*ISNUMBER(SEARCH(실물목록!$Q$2:$Q$1001,I33))*(실물목록!$R$2:$R$1001="")*(실물목록!$O$2:$O$1001&lt;&gt;"")*(실물목록!$O$2:$O$1001=H33)))</f>
      </c>
      <c r="H33" t="str">
        <f>IFERROR(IF(AND(LEN(SUBSTITUTE(SUBSTITUTE(SUBSTITUTE(TRIM(A33&amp;""),CHAR(160),"")," ",""),"년",""))=4,VALUE(SUBSTITUTE(SUBSTITUTE(SUBSTITUTE(TRIM(A33&amp;""),CHAR(160),"")," ",""),"년",""))&gt;=1900,VALUE(SUBSTITUTE(SUBSTITUTE(SUBSTITUTE(TRIM(A33&amp;""),CHAR(160),"")," ",""),"년",""))&lt;=2099,TEXT(VALUE(SUBSTITUTE(SUBSTITUTE(SUBSTITUTE(TRIM(A33&amp;""),CHAR(160),"")," ",""),"년","")),"0000")=SUBSTITUTE(SUBSTITUTE(SUBSTITUTE(TRIM(A33&amp;""),CHAR(160),"")," ",""),"년","")),SUBSTITUTE(SUBSTITUTE(SUBSTITUTE(TRIM(A33&amp;""),CHAR(160),"")," ",""),"년",""),""),"")</f>
      </c>
      <c r="I33" t="str">
        <f>SUBSTITUTE(SUBSTITUTE(SUBSTITUTE(SUBSTITUTE(SUBSTITUTE(TRIM(B33&amp;""),CHAR(160),"")," ",""),"초등학교","초"),"중학교","중"),"고등학교","고")</f>
      </c>
    </row>
    <row r="34" customFormat="false" ht="15" hidden="false" customHeight="false" outlineLevel="0" collapsed="false">
      <c r="A34" s="8"/>
      <c r="B34" s="8"/>
      <c r="C34" s="8"/>
      <c r="D34" s="8"/>
      <c r="E34" s="8"/>
      <c r="F34" t="str" s="15">
        <f aca="0">IF(B34="","",IF(H34="","확인필요(입력누락)",IF(SUMPRODUCT((실물목록!$P$2:$P$1001&lt;&gt;"")*ISNUMBER(SEARCH(실물목록!$P$2:$P$1001,I34))*(실물목록!$Q$2:$Q$1001&lt;&gt;"")*ISNUMBER(SEARCH(실물목록!$Q$2:$Q$1001,I34))*(실물목록!$R$2:$R$1001="")*(실물목록!$O$2:$O$1001&lt;&gt;"")*(실물목록!$O$2:$O$1001=H34))&gt;0,"실물 있음",IF(SUMPRODUCT((실물목록!$P$2:$P$1001&lt;&gt;"")*ISNUMBER(SEARCH(실물목록!$P$2:$P$1001,I34))*(실물목록!$R$2:$R$1001&lt;&gt;""))&gt;0,"확인필요(입력누락)",IF(SUMPRODUCT((실물목록!$P$2:$P$1001&lt;&gt;"")*ISNUMBER(SEARCH(실물목록!$P$2:$P$1001,I34))*(실물목록!$Q$2:$Q$1001&lt;&gt;"")*ISNUMBER(SEARCH(실물목록!$Q$2:$Q$1001,I34))*(실물목록!$R$2:$R$1001="")*(실물목록!$O$2:$O$1001&lt;&gt;""))&gt;0,"확인필요(연도다름)","실물 없음")))))</f>
      </c>
      <c r="G34" t="n" s="16">
        <f aca="0">IF(B34="","",SUMPRODUCT((실물목록!$P$2:$P$1001&lt;&gt;"")*ISNUMBER(SEARCH(실물목록!$P$2:$P$1001,I34))*(실물목록!$Q$2:$Q$1001&lt;&gt;"")*ISNUMBER(SEARCH(실물목록!$Q$2:$Q$1001,I34))*(실물목록!$R$2:$R$1001="")*(실물목록!$O$2:$O$1001&lt;&gt;"")*(실물목록!$O$2:$O$1001=H34)))</f>
      </c>
      <c r="H34" t="str">
        <f>IFERROR(IF(AND(LEN(SUBSTITUTE(SUBSTITUTE(SUBSTITUTE(TRIM(A34&amp;""),CHAR(160),"")," ",""),"년",""))=4,VALUE(SUBSTITUTE(SUBSTITUTE(SUBSTITUTE(TRIM(A34&amp;""),CHAR(160),"")," ",""),"년",""))&gt;=1900,VALUE(SUBSTITUTE(SUBSTITUTE(SUBSTITUTE(TRIM(A34&amp;""),CHAR(160),"")," ",""),"년",""))&lt;=2099,TEXT(VALUE(SUBSTITUTE(SUBSTITUTE(SUBSTITUTE(TRIM(A34&amp;""),CHAR(160),"")," ",""),"년","")),"0000")=SUBSTITUTE(SUBSTITUTE(SUBSTITUTE(TRIM(A34&amp;""),CHAR(160),"")," ",""),"년","")),SUBSTITUTE(SUBSTITUTE(SUBSTITUTE(TRIM(A34&amp;""),CHAR(160),"")," ",""),"년",""),""),"")</f>
      </c>
      <c r="I34" t="str">
        <f>SUBSTITUTE(SUBSTITUTE(SUBSTITUTE(SUBSTITUTE(SUBSTITUTE(TRIM(B34&amp;""),CHAR(160),"")," ",""),"초등학교","초"),"중학교","중"),"고등학교","고")</f>
      </c>
    </row>
    <row r="35" customFormat="false" ht="15" hidden="false" customHeight="false" outlineLevel="0" collapsed="false">
      <c r="A35" s="8"/>
      <c r="B35" s="8"/>
      <c r="C35" s="8"/>
      <c r="D35" s="8"/>
      <c r="E35" s="8"/>
      <c r="F35" t="str" s="15">
        <f aca="0">IF(B35="","",IF(H35="","확인필요(입력누락)",IF(SUMPRODUCT((실물목록!$P$2:$P$1001&lt;&gt;"")*ISNUMBER(SEARCH(실물목록!$P$2:$P$1001,I35))*(실물목록!$Q$2:$Q$1001&lt;&gt;"")*ISNUMBER(SEARCH(실물목록!$Q$2:$Q$1001,I35))*(실물목록!$R$2:$R$1001="")*(실물목록!$O$2:$O$1001&lt;&gt;"")*(실물목록!$O$2:$O$1001=H35))&gt;0,"실물 있음",IF(SUMPRODUCT((실물목록!$P$2:$P$1001&lt;&gt;"")*ISNUMBER(SEARCH(실물목록!$P$2:$P$1001,I35))*(실물목록!$R$2:$R$1001&lt;&gt;""))&gt;0,"확인필요(입력누락)",IF(SUMPRODUCT((실물목록!$P$2:$P$1001&lt;&gt;"")*ISNUMBER(SEARCH(실물목록!$P$2:$P$1001,I35))*(실물목록!$Q$2:$Q$1001&lt;&gt;"")*ISNUMBER(SEARCH(실물목록!$Q$2:$Q$1001,I35))*(실물목록!$R$2:$R$1001="")*(실물목록!$O$2:$O$1001&lt;&gt;""))&gt;0,"확인필요(연도다름)","실물 없음")))))</f>
      </c>
      <c r="G35" t="n" s="16">
        <f aca="0">IF(B35="","",SUMPRODUCT((실물목록!$P$2:$P$1001&lt;&gt;"")*ISNUMBER(SEARCH(실물목록!$P$2:$P$1001,I35))*(실물목록!$Q$2:$Q$1001&lt;&gt;"")*ISNUMBER(SEARCH(실물목록!$Q$2:$Q$1001,I35))*(실물목록!$R$2:$R$1001="")*(실물목록!$O$2:$O$1001&lt;&gt;"")*(실물목록!$O$2:$O$1001=H35)))</f>
      </c>
      <c r="H35" t="str">
        <f>IFERROR(IF(AND(LEN(SUBSTITUTE(SUBSTITUTE(SUBSTITUTE(TRIM(A35&amp;""),CHAR(160),"")," ",""),"년",""))=4,VALUE(SUBSTITUTE(SUBSTITUTE(SUBSTITUTE(TRIM(A35&amp;""),CHAR(160),"")," ",""),"년",""))&gt;=1900,VALUE(SUBSTITUTE(SUBSTITUTE(SUBSTITUTE(TRIM(A35&amp;""),CHAR(160),"")," ",""),"년",""))&lt;=2099,TEXT(VALUE(SUBSTITUTE(SUBSTITUTE(SUBSTITUTE(TRIM(A35&amp;""),CHAR(160),"")," ",""),"년","")),"0000")=SUBSTITUTE(SUBSTITUTE(SUBSTITUTE(TRIM(A35&amp;""),CHAR(160),"")," ",""),"년","")),SUBSTITUTE(SUBSTITUTE(SUBSTITUTE(TRIM(A35&amp;""),CHAR(160),"")," ",""),"년",""),""),"")</f>
      </c>
      <c r="I35" t="str">
        <f>SUBSTITUTE(SUBSTITUTE(SUBSTITUTE(SUBSTITUTE(SUBSTITUTE(TRIM(B35&amp;""),CHAR(160),"")," ",""),"초등학교","초"),"중학교","중"),"고등학교","고")</f>
      </c>
    </row>
    <row r="36" customFormat="false" ht="15" hidden="false" customHeight="false" outlineLevel="0" collapsed="false">
      <c r="A36" s="8"/>
      <c r="B36" s="8"/>
      <c r="C36" s="8"/>
      <c r="D36" s="8"/>
      <c r="E36" s="8"/>
      <c r="F36" t="str" s="15">
        <f aca="0">IF(B36="","",IF(H36="","확인필요(입력누락)",IF(SUMPRODUCT((실물목록!$P$2:$P$1001&lt;&gt;"")*ISNUMBER(SEARCH(실물목록!$P$2:$P$1001,I36))*(실물목록!$Q$2:$Q$1001&lt;&gt;"")*ISNUMBER(SEARCH(실물목록!$Q$2:$Q$1001,I36))*(실물목록!$R$2:$R$1001="")*(실물목록!$O$2:$O$1001&lt;&gt;"")*(실물목록!$O$2:$O$1001=H36))&gt;0,"실물 있음",IF(SUMPRODUCT((실물목록!$P$2:$P$1001&lt;&gt;"")*ISNUMBER(SEARCH(실물목록!$P$2:$P$1001,I36))*(실물목록!$R$2:$R$1001&lt;&gt;""))&gt;0,"확인필요(입력누락)",IF(SUMPRODUCT((실물목록!$P$2:$P$1001&lt;&gt;"")*ISNUMBER(SEARCH(실물목록!$P$2:$P$1001,I36))*(실물목록!$Q$2:$Q$1001&lt;&gt;"")*ISNUMBER(SEARCH(실물목록!$Q$2:$Q$1001,I36))*(실물목록!$R$2:$R$1001="")*(실물목록!$O$2:$O$1001&lt;&gt;""))&gt;0,"확인필요(연도다름)","실물 없음")))))</f>
      </c>
      <c r="G36" t="n" s="16">
        <f aca="0">IF(B36="","",SUMPRODUCT((실물목록!$P$2:$P$1001&lt;&gt;"")*ISNUMBER(SEARCH(실물목록!$P$2:$P$1001,I36))*(실물목록!$Q$2:$Q$1001&lt;&gt;"")*ISNUMBER(SEARCH(실물목록!$Q$2:$Q$1001,I36))*(실물목록!$R$2:$R$1001="")*(실물목록!$O$2:$O$1001&lt;&gt;"")*(실물목록!$O$2:$O$1001=H36)))</f>
      </c>
      <c r="H36" t="str">
        <f>IFERROR(IF(AND(LEN(SUBSTITUTE(SUBSTITUTE(SUBSTITUTE(TRIM(A36&amp;""),CHAR(160),"")," ",""),"년",""))=4,VALUE(SUBSTITUTE(SUBSTITUTE(SUBSTITUTE(TRIM(A36&amp;""),CHAR(160),"")," ",""),"년",""))&gt;=1900,VALUE(SUBSTITUTE(SUBSTITUTE(SUBSTITUTE(TRIM(A36&amp;""),CHAR(160),"")," ",""),"년",""))&lt;=2099,TEXT(VALUE(SUBSTITUTE(SUBSTITUTE(SUBSTITUTE(TRIM(A36&amp;""),CHAR(160),"")," ",""),"년","")),"0000")=SUBSTITUTE(SUBSTITUTE(SUBSTITUTE(TRIM(A36&amp;""),CHAR(160),"")," ",""),"년","")),SUBSTITUTE(SUBSTITUTE(SUBSTITUTE(TRIM(A36&amp;""),CHAR(160),"")," ",""),"년",""),""),"")</f>
      </c>
      <c r="I36" t="str">
        <f>SUBSTITUTE(SUBSTITUTE(SUBSTITUTE(SUBSTITUTE(SUBSTITUTE(TRIM(B36&amp;""),CHAR(160),"")," ",""),"초등학교","초"),"중학교","중"),"고등학교","고")</f>
      </c>
    </row>
    <row r="37" customFormat="false" ht="15" hidden="false" customHeight="false" outlineLevel="0" collapsed="false">
      <c r="A37" s="8"/>
      <c r="B37" s="8"/>
      <c r="C37" s="8"/>
      <c r="D37" s="8"/>
      <c r="E37" s="8"/>
      <c r="F37" t="str" s="15">
        <f aca="0">IF(B37="","",IF(H37="","확인필요(입력누락)",IF(SUMPRODUCT((실물목록!$P$2:$P$1001&lt;&gt;"")*ISNUMBER(SEARCH(실물목록!$P$2:$P$1001,I37))*(실물목록!$Q$2:$Q$1001&lt;&gt;"")*ISNUMBER(SEARCH(실물목록!$Q$2:$Q$1001,I37))*(실물목록!$R$2:$R$1001="")*(실물목록!$O$2:$O$1001&lt;&gt;"")*(실물목록!$O$2:$O$1001=H37))&gt;0,"실물 있음",IF(SUMPRODUCT((실물목록!$P$2:$P$1001&lt;&gt;"")*ISNUMBER(SEARCH(실물목록!$P$2:$P$1001,I37))*(실물목록!$R$2:$R$1001&lt;&gt;""))&gt;0,"확인필요(입력누락)",IF(SUMPRODUCT((실물목록!$P$2:$P$1001&lt;&gt;"")*ISNUMBER(SEARCH(실물목록!$P$2:$P$1001,I37))*(실물목록!$Q$2:$Q$1001&lt;&gt;"")*ISNUMBER(SEARCH(실물목록!$Q$2:$Q$1001,I37))*(실물목록!$R$2:$R$1001="")*(실물목록!$O$2:$O$1001&lt;&gt;""))&gt;0,"확인필요(연도다름)","실물 없음")))))</f>
      </c>
      <c r="G37" t="n" s="16">
        <f aca="0">IF(B37="","",SUMPRODUCT((실물목록!$P$2:$P$1001&lt;&gt;"")*ISNUMBER(SEARCH(실물목록!$P$2:$P$1001,I37))*(실물목록!$Q$2:$Q$1001&lt;&gt;"")*ISNUMBER(SEARCH(실물목록!$Q$2:$Q$1001,I37))*(실물목록!$R$2:$R$1001="")*(실물목록!$O$2:$O$1001&lt;&gt;"")*(실물목록!$O$2:$O$1001=H37)))</f>
      </c>
      <c r="H37" t="str">
        <f>IFERROR(IF(AND(LEN(SUBSTITUTE(SUBSTITUTE(SUBSTITUTE(TRIM(A37&amp;""),CHAR(160),"")," ",""),"년",""))=4,VALUE(SUBSTITUTE(SUBSTITUTE(SUBSTITUTE(TRIM(A37&amp;""),CHAR(160),"")," ",""),"년",""))&gt;=1900,VALUE(SUBSTITUTE(SUBSTITUTE(SUBSTITUTE(TRIM(A37&amp;""),CHAR(160),"")," ",""),"년",""))&lt;=2099,TEXT(VALUE(SUBSTITUTE(SUBSTITUTE(SUBSTITUTE(TRIM(A37&amp;""),CHAR(160),"")," ",""),"년","")),"0000")=SUBSTITUTE(SUBSTITUTE(SUBSTITUTE(TRIM(A37&amp;""),CHAR(160),"")," ",""),"년","")),SUBSTITUTE(SUBSTITUTE(SUBSTITUTE(TRIM(A37&amp;""),CHAR(160),"")," ",""),"년",""),""),"")</f>
      </c>
      <c r="I37" t="str">
        <f>SUBSTITUTE(SUBSTITUTE(SUBSTITUTE(SUBSTITUTE(SUBSTITUTE(TRIM(B37&amp;""),CHAR(160),"")," ",""),"초등학교","초"),"중학교","중"),"고등학교","고")</f>
      </c>
    </row>
    <row r="38" customFormat="false" ht="15" hidden="false" customHeight="false" outlineLevel="0" collapsed="false">
      <c r="A38" s="8"/>
      <c r="B38" s="8"/>
      <c r="C38" s="8"/>
      <c r="D38" s="8"/>
      <c r="E38" s="8"/>
      <c r="F38" t="str" s="15">
        <f aca="0">IF(B38="","",IF(H38="","확인필요(입력누락)",IF(SUMPRODUCT((실물목록!$P$2:$P$1001&lt;&gt;"")*ISNUMBER(SEARCH(실물목록!$P$2:$P$1001,I38))*(실물목록!$Q$2:$Q$1001&lt;&gt;"")*ISNUMBER(SEARCH(실물목록!$Q$2:$Q$1001,I38))*(실물목록!$R$2:$R$1001="")*(실물목록!$O$2:$O$1001&lt;&gt;"")*(실물목록!$O$2:$O$1001=H38))&gt;0,"실물 있음",IF(SUMPRODUCT((실물목록!$P$2:$P$1001&lt;&gt;"")*ISNUMBER(SEARCH(실물목록!$P$2:$P$1001,I38))*(실물목록!$R$2:$R$1001&lt;&gt;""))&gt;0,"확인필요(입력누락)",IF(SUMPRODUCT((실물목록!$P$2:$P$1001&lt;&gt;"")*ISNUMBER(SEARCH(실물목록!$P$2:$P$1001,I38))*(실물목록!$Q$2:$Q$1001&lt;&gt;"")*ISNUMBER(SEARCH(실물목록!$Q$2:$Q$1001,I38))*(실물목록!$R$2:$R$1001="")*(실물목록!$O$2:$O$1001&lt;&gt;""))&gt;0,"확인필요(연도다름)","실물 없음")))))</f>
      </c>
      <c r="G38" t="n" s="16">
        <f aca="0">IF(B38="","",SUMPRODUCT((실물목록!$P$2:$P$1001&lt;&gt;"")*ISNUMBER(SEARCH(실물목록!$P$2:$P$1001,I38))*(실물목록!$Q$2:$Q$1001&lt;&gt;"")*ISNUMBER(SEARCH(실물목록!$Q$2:$Q$1001,I38))*(실물목록!$R$2:$R$1001="")*(실물목록!$O$2:$O$1001&lt;&gt;"")*(실물목록!$O$2:$O$1001=H38)))</f>
      </c>
      <c r="H38" t="str">
        <f>IFERROR(IF(AND(LEN(SUBSTITUTE(SUBSTITUTE(SUBSTITUTE(TRIM(A38&amp;""),CHAR(160),"")," ",""),"년",""))=4,VALUE(SUBSTITUTE(SUBSTITUTE(SUBSTITUTE(TRIM(A38&amp;""),CHAR(160),"")," ",""),"년",""))&gt;=1900,VALUE(SUBSTITUTE(SUBSTITUTE(SUBSTITUTE(TRIM(A38&amp;""),CHAR(160),"")," ",""),"년",""))&lt;=2099,TEXT(VALUE(SUBSTITUTE(SUBSTITUTE(SUBSTITUTE(TRIM(A38&amp;""),CHAR(160),"")," ",""),"년","")),"0000")=SUBSTITUTE(SUBSTITUTE(SUBSTITUTE(TRIM(A38&amp;""),CHAR(160),"")," ",""),"년","")),SUBSTITUTE(SUBSTITUTE(SUBSTITUTE(TRIM(A38&amp;""),CHAR(160),"")," ",""),"년",""),""),"")</f>
      </c>
      <c r="I38" t="str">
        <f>SUBSTITUTE(SUBSTITUTE(SUBSTITUTE(SUBSTITUTE(SUBSTITUTE(TRIM(B38&amp;""),CHAR(160),"")," ",""),"초등학교","초"),"중학교","중"),"고등학교","고")</f>
      </c>
    </row>
    <row r="39" customFormat="false" ht="15" hidden="false" customHeight="false" outlineLevel="0" collapsed="false">
      <c r="A39" s="8"/>
      <c r="B39" s="8"/>
      <c r="C39" s="8"/>
      <c r="D39" s="8"/>
      <c r="E39" s="8"/>
      <c r="F39" t="str" s="15">
        <f aca="0">IF(B39="","",IF(H39="","확인필요(입력누락)",IF(SUMPRODUCT((실물목록!$P$2:$P$1001&lt;&gt;"")*ISNUMBER(SEARCH(실물목록!$P$2:$P$1001,I39))*(실물목록!$Q$2:$Q$1001&lt;&gt;"")*ISNUMBER(SEARCH(실물목록!$Q$2:$Q$1001,I39))*(실물목록!$R$2:$R$1001="")*(실물목록!$O$2:$O$1001&lt;&gt;"")*(실물목록!$O$2:$O$1001=H39))&gt;0,"실물 있음",IF(SUMPRODUCT((실물목록!$P$2:$P$1001&lt;&gt;"")*ISNUMBER(SEARCH(실물목록!$P$2:$P$1001,I39))*(실물목록!$R$2:$R$1001&lt;&gt;""))&gt;0,"확인필요(입력누락)",IF(SUMPRODUCT((실물목록!$P$2:$P$1001&lt;&gt;"")*ISNUMBER(SEARCH(실물목록!$P$2:$P$1001,I39))*(실물목록!$Q$2:$Q$1001&lt;&gt;"")*ISNUMBER(SEARCH(실물목록!$Q$2:$Q$1001,I39))*(실물목록!$R$2:$R$1001="")*(실물목록!$O$2:$O$1001&lt;&gt;""))&gt;0,"확인필요(연도다름)","실물 없음")))))</f>
      </c>
      <c r="G39" t="n" s="16">
        <f aca="0">IF(B39="","",SUMPRODUCT((실물목록!$P$2:$P$1001&lt;&gt;"")*ISNUMBER(SEARCH(실물목록!$P$2:$P$1001,I39))*(실물목록!$Q$2:$Q$1001&lt;&gt;"")*ISNUMBER(SEARCH(실물목록!$Q$2:$Q$1001,I39))*(실물목록!$R$2:$R$1001="")*(실물목록!$O$2:$O$1001&lt;&gt;"")*(실물목록!$O$2:$O$1001=H39)))</f>
      </c>
      <c r="H39" t="str">
        <f>IFERROR(IF(AND(LEN(SUBSTITUTE(SUBSTITUTE(SUBSTITUTE(TRIM(A39&amp;""),CHAR(160),"")," ",""),"년",""))=4,VALUE(SUBSTITUTE(SUBSTITUTE(SUBSTITUTE(TRIM(A39&amp;""),CHAR(160),"")," ",""),"년",""))&gt;=1900,VALUE(SUBSTITUTE(SUBSTITUTE(SUBSTITUTE(TRIM(A39&amp;""),CHAR(160),"")," ",""),"년",""))&lt;=2099,TEXT(VALUE(SUBSTITUTE(SUBSTITUTE(SUBSTITUTE(TRIM(A39&amp;""),CHAR(160),"")," ",""),"년","")),"0000")=SUBSTITUTE(SUBSTITUTE(SUBSTITUTE(TRIM(A39&amp;""),CHAR(160),"")," ",""),"년","")),SUBSTITUTE(SUBSTITUTE(SUBSTITUTE(TRIM(A39&amp;""),CHAR(160),"")," ",""),"년",""),""),"")</f>
      </c>
      <c r="I39" t="str">
        <f>SUBSTITUTE(SUBSTITUTE(SUBSTITUTE(SUBSTITUTE(SUBSTITUTE(TRIM(B39&amp;""),CHAR(160),"")," ",""),"초등학교","초"),"중학교","중"),"고등학교","고")</f>
      </c>
    </row>
    <row r="40" customFormat="false" ht="15" hidden="false" customHeight="false" outlineLevel="0" collapsed="false">
      <c r="A40" s="8"/>
      <c r="B40" s="8"/>
      <c r="C40" s="8"/>
      <c r="D40" s="8"/>
      <c r="E40" s="8"/>
      <c r="F40" t="str" s="15">
        <f aca="0">IF(B40="","",IF(H40="","확인필요(입력누락)",IF(SUMPRODUCT((실물목록!$P$2:$P$1001&lt;&gt;"")*ISNUMBER(SEARCH(실물목록!$P$2:$P$1001,I40))*(실물목록!$Q$2:$Q$1001&lt;&gt;"")*ISNUMBER(SEARCH(실물목록!$Q$2:$Q$1001,I40))*(실물목록!$R$2:$R$1001="")*(실물목록!$O$2:$O$1001&lt;&gt;"")*(실물목록!$O$2:$O$1001=H40))&gt;0,"실물 있음",IF(SUMPRODUCT((실물목록!$P$2:$P$1001&lt;&gt;"")*ISNUMBER(SEARCH(실물목록!$P$2:$P$1001,I40))*(실물목록!$R$2:$R$1001&lt;&gt;""))&gt;0,"확인필요(입력누락)",IF(SUMPRODUCT((실물목록!$P$2:$P$1001&lt;&gt;"")*ISNUMBER(SEARCH(실물목록!$P$2:$P$1001,I40))*(실물목록!$Q$2:$Q$1001&lt;&gt;"")*ISNUMBER(SEARCH(실물목록!$Q$2:$Q$1001,I40))*(실물목록!$R$2:$R$1001="")*(실물목록!$O$2:$O$1001&lt;&gt;""))&gt;0,"확인필요(연도다름)","실물 없음")))))</f>
      </c>
      <c r="G40" t="n" s="16">
        <f aca="0">IF(B40="","",SUMPRODUCT((실물목록!$P$2:$P$1001&lt;&gt;"")*ISNUMBER(SEARCH(실물목록!$P$2:$P$1001,I40))*(실물목록!$Q$2:$Q$1001&lt;&gt;"")*ISNUMBER(SEARCH(실물목록!$Q$2:$Q$1001,I40))*(실물목록!$R$2:$R$1001="")*(실물목록!$O$2:$O$1001&lt;&gt;"")*(실물목록!$O$2:$O$1001=H40)))</f>
      </c>
      <c r="H40" t="str">
        <f>IFERROR(IF(AND(LEN(SUBSTITUTE(SUBSTITUTE(SUBSTITUTE(TRIM(A40&amp;""),CHAR(160),"")," ",""),"년",""))=4,VALUE(SUBSTITUTE(SUBSTITUTE(SUBSTITUTE(TRIM(A40&amp;""),CHAR(160),"")," ",""),"년",""))&gt;=1900,VALUE(SUBSTITUTE(SUBSTITUTE(SUBSTITUTE(TRIM(A40&amp;""),CHAR(160),"")," ",""),"년",""))&lt;=2099,TEXT(VALUE(SUBSTITUTE(SUBSTITUTE(SUBSTITUTE(TRIM(A40&amp;""),CHAR(160),"")," ",""),"년","")),"0000")=SUBSTITUTE(SUBSTITUTE(SUBSTITUTE(TRIM(A40&amp;""),CHAR(160),"")," ",""),"년","")),SUBSTITUTE(SUBSTITUTE(SUBSTITUTE(TRIM(A40&amp;""),CHAR(160),"")," ",""),"년",""),""),"")</f>
      </c>
      <c r="I40" t="str">
        <f>SUBSTITUTE(SUBSTITUTE(SUBSTITUTE(SUBSTITUTE(SUBSTITUTE(TRIM(B40&amp;""),CHAR(160),"")," ",""),"초등학교","초"),"중학교","중"),"고등학교","고")</f>
      </c>
    </row>
    <row r="41" customFormat="false" ht="15" hidden="false" customHeight="false" outlineLevel="0" collapsed="false">
      <c r="A41" s="8"/>
      <c r="B41" s="8"/>
      <c r="C41" s="8"/>
      <c r="D41" s="8"/>
      <c r="E41" s="8"/>
      <c r="F41" t="str" s="15">
        <f aca="0">IF(B41="","",IF(H41="","확인필요(입력누락)",IF(SUMPRODUCT((실물목록!$P$2:$P$1001&lt;&gt;"")*ISNUMBER(SEARCH(실물목록!$P$2:$P$1001,I41))*(실물목록!$Q$2:$Q$1001&lt;&gt;"")*ISNUMBER(SEARCH(실물목록!$Q$2:$Q$1001,I41))*(실물목록!$R$2:$R$1001="")*(실물목록!$O$2:$O$1001&lt;&gt;"")*(실물목록!$O$2:$O$1001=H41))&gt;0,"실물 있음",IF(SUMPRODUCT((실물목록!$P$2:$P$1001&lt;&gt;"")*ISNUMBER(SEARCH(실물목록!$P$2:$P$1001,I41))*(실물목록!$R$2:$R$1001&lt;&gt;""))&gt;0,"확인필요(입력누락)",IF(SUMPRODUCT((실물목록!$P$2:$P$1001&lt;&gt;"")*ISNUMBER(SEARCH(실물목록!$P$2:$P$1001,I41))*(실물목록!$Q$2:$Q$1001&lt;&gt;"")*ISNUMBER(SEARCH(실물목록!$Q$2:$Q$1001,I41))*(실물목록!$R$2:$R$1001="")*(실물목록!$O$2:$O$1001&lt;&gt;""))&gt;0,"확인필요(연도다름)","실물 없음")))))</f>
      </c>
      <c r="G41" t="n" s="16">
        <f aca="0">IF(B41="","",SUMPRODUCT((실물목록!$P$2:$P$1001&lt;&gt;"")*ISNUMBER(SEARCH(실물목록!$P$2:$P$1001,I41))*(실물목록!$Q$2:$Q$1001&lt;&gt;"")*ISNUMBER(SEARCH(실물목록!$Q$2:$Q$1001,I41))*(실물목록!$R$2:$R$1001="")*(실물목록!$O$2:$O$1001&lt;&gt;"")*(실물목록!$O$2:$O$1001=H41)))</f>
      </c>
      <c r="H41" t="str">
        <f>IFERROR(IF(AND(LEN(SUBSTITUTE(SUBSTITUTE(SUBSTITUTE(TRIM(A41&amp;""),CHAR(160),"")," ",""),"년",""))=4,VALUE(SUBSTITUTE(SUBSTITUTE(SUBSTITUTE(TRIM(A41&amp;""),CHAR(160),"")," ",""),"년",""))&gt;=1900,VALUE(SUBSTITUTE(SUBSTITUTE(SUBSTITUTE(TRIM(A41&amp;""),CHAR(160),"")," ",""),"년",""))&lt;=2099,TEXT(VALUE(SUBSTITUTE(SUBSTITUTE(SUBSTITUTE(TRIM(A41&amp;""),CHAR(160),"")," ",""),"년","")),"0000")=SUBSTITUTE(SUBSTITUTE(SUBSTITUTE(TRIM(A41&amp;""),CHAR(160),"")," ",""),"년","")),SUBSTITUTE(SUBSTITUTE(SUBSTITUTE(TRIM(A41&amp;""),CHAR(160),"")," ",""),"년",""),""),"")</f>
      </c>
      <c r="I41" t="str">
        <f>SUBSTITUTE(SUBSTITUTE(SUBSTITUTE(SUBSTITUTE(SUBSTITUTE(TRIM(B41&amp;""),CHAR(160),"")," ",""),"초등학교","초"),"중학교","중"),"고등학교","고")</f>
      </c>
    </row>
    <row r="42" customFormat="false" ht="15" hidden="false" customHeight="false" outlineLevel="0" collapsed="false">
      <c r="A42" s="8"/>
      <c r="B42" s="8"/>
      <c r="C42" s="8"/>
      <c r="D42" s="8"/>
      <c r="E42" s="8"/>
      <c r="F42" t="str" s="15">
        <f aca="0">IF(B42="","",IF(H42="","확인필요(입력누락)",IF(SUMPRODUCT((실물목록!$P$2:$P$1001&lt;&gt;"")*ISNUMBER(SEARCH(실물목록!$P$2:$P$1001,I42))*(실물목록!$Q$2:$Q$1001&lt;&gt;"")*ISNUMBER(SEARCH(실물목록!$Q$2:$Q$1001,I42))*(실물목록!$R$2:$R$1001="")*(실물목록!$O$2:$O$1001&lt;&gt;"")*(실물목록!$O$2:$O$1001=H42))&gt;0,"실물 있음",IF(SUMPRODUCT((실물목록!$P$2:$P$1001&lt;&gt;"")*ISNUMBER(SEARCH(실물목록!$P$2:$P$1001,I42))*(실물목록!$R$2:$R$1001&lt;&gt;""))&gt;0,"확인필요(입력누락)",IF(SUMPRODUCT((실물목록!$P$2:$P$1001&lt;&gt;"")*ISNUMBER(SEARCH(실물목록!$P$2:$P$1001,I42))*(실물목록!$Q$2:$Q$1001&lt;&gt;"")*ISNUMBER(SEARCH(실물목록!$Q$2:$Q$1001,I42))*(실물목록!$R$2:$R$1001="")*(실물목록!$O$2:$O$1001&lt;&gt;""))&gt;0,"확인필요(연도다름)","실물 없음")))))</f>
      </c>
      <c r="G42" t="n" s="16">
        <f aca="0">IF(B42="","",SUMPRODUCT((실물목록!$P$2:$P$1001&lt;&gt;"")*ISNUMBER(SEARCH(실물목록!$P$2:$P$1001,I42))*(실물목록!$Q$2:$Q$1001&lt;&gt;"")*ISNUMBER(SEARCH(실물목록!$Q$2:$Q$1001,I42))*(실물목록!$R$2:$R$1001="")*(실물목록!$O$2:$O$1001&lt;&gt;"")*(실물목록!$O$2:$O$1001=H42)))</f>
      </c>
      <c r="H42" t="str">
        <f>IFERROR(IF(AND(LEN(SUBSTITUTE(SUBSTITUTE(SUBSTITUTE(TRIM(A42&amp;""),CHAR(160),"")," ",""),"년",""))=4,VALUE(SUBSTITUTE(SUBSTITUTE(SUBSTITUTE(TRIM(A42&amp;""),CHAR(160),"")," ",""),"년",""))&gt;=1900,VALUE(SUBSTITUTE(SUBSTITUTE(SUBSTITUTE(TRIM(A42&amp;""),CHAR(160),"")," ",""),"년",""))&lt;=2099,TEXT(VALUE(SUBSTITUTE(SUBSTITUTE(SUBSTITUTE(TRIM(A42&amp;""),CHAR(160),"")," ",""),"년","")),"0000")=SUBSTITUTE(SUBSTITUTE(SUBSTITUTE(TRIM(A42&amp;""),CHAR(160),"")," ",""),"년","")),SUBSTITUTE(SUBSTITUTE(SUBSTITUTE(TRIM(A42&amp;""),CHAR(160),"")," ",""),"년",""),""),"")</f>
      </c>
      <c r="I42" t="str">
        <f>SUBSTITUTE(SUBSTITUTE(SUBSTITUTE(SUBSTITUTE(SUBSTITUTE(TRIM(B42&amp;""),CHAR(160),"")," ",""),"초등학교","초"),"중학교","중"),"고등학교","고")</f>
      </c>
    </row>
    <row r="43" customFormat="false" ht="15" hidden="false" customHeight="false" outlineLevel="0" collapsed="false">
      <c r="A43" s="8"/>
      <c r="B43" s="8"/>
      <c r="C43" s="8"/>
      <c r="D43" s="8"/>
      <c r="E43" s="8"/>
      <c r="F43" t="str" s="15">
        <f aca="0">IF(B43="","",IF(H43="","확인필요(입력누락)",IF(SUMPRODUCT((실물목록!$P$2:$P$1001&lt;&gt;"")*ISNUMBER(SEARCH(실물목록!$P$2:$P$1001,I43))*(실물목록!$Q$2:$Q$1001&lt;&gt;"")*ISNUMBER(SEARCH(실물목록!$Q$2:$Q$1001,I43))*(실물목록!$R$2:$R$1001="")*(실물목록!$O$2:$O$1001&lt;&gt;"")*(실물목록!$O$2:$O$1001=H43))&gt;0,"실물 있음",IF(SUMPRODUCT((실물목록!$P$2:$P$1001&lt;&gt;"")*ISNUMBER(SEARCH(실물목록!$P$2:$P$1001,I43))*(실물목록!$R$2:$R$1001&lt;&gt;""))&gt;0,"확인필요(입력누락)",IF(SUMPRODUCT((실물목록!$P$2:$P$1001&lt;&gt;"")*ISNUMBER(SEARCH(실물목록!$P$2:$P$1001,I43))*(실물목록!$Q$2:$Q$1001&lt;&gt;"")*ISNUMBER(SEARCH(실물목록!$Q$2:$Q$1001,I43))*(실물목록!$R$2:$R$1001="")*(실물목록!$O$2:$O$1001&lt;&gt;""))&gt;0,"확인필요(연도다름)","실물 없음")))))</f>
      </c>
      <c r="G43" t="n" s="16">
        <f aca="0">IF(B43="","",SUMPRODUCT((실물목록!$P$2:$P$1001&lt;&gt;"")*ISNUMBER(SEARCH(실물목록!$P$2:$P$1001,I43))*(실물목록!$Q$2:$Q$1001&lt;&gt;"")*ISNUMBER(SEARCH(실물목록!$Q$2:$Q$1001,I43))*(실물목록!$R$2:$R$1001="")*(실물목록!$O$2:$O$1001&lt;&gt;"")*(실물목록!$O$2:$O$1001=H43)))</f>
      </c>
      <c r="H43" t="str">
        <f>IFERROR(IF(AND(LEN(SUBSTITUTE(SUBSTITUTE(SUBSTITUTE(TRIM(A43&amp;""),CHAR(160),"")," ",""),"년",""))=4,VALUE(SUBSTITUTE(SUBSTITUTE(SUBSTITUTE(TRIM(A43&amp;""),CHAR(160),"")," ",""),"년",""))&gt;=1900,VALUE(SUBSTITUTE(SUBSTITUTE(SUBSTITUTE(TRIM(A43&amp;""),CHAR(160),"")," ",""),"년",""))&lt;=2099,TEXT(VALUE(SUBSTITUTE(SUBSTITUTE(SUBSTITUTE(TRIM(A43&amp;""),CHAR(160),"")," ",""),"년","")),"0000")=SUBSTITUTE(SUBSTITUTE(SUBSTITUTE(TRIM(A43&amp;""),CHAR(160),"")," ",""),"년","")),SUBSTITUTE(SUBSTITUTE(SUBSTITUTE(TRIM(A43&amp;""),CHAR(160),"")," ",""),"년",""),""),"")</f>
      </c>
      <c r="I43" t="str">
        <f>SUBSTITUTE(SUBSTITUTE(SUBSTITUTE(SUBSTITUTE(SUBSTITUTE(TRIM(B43&amp;""),CHAR(160),"")," ",""),"초등학교","초"),"중학교","중"),"고등학교","고")</f>
      </c>
    </row>
    <row r="44" customFormat="false" ht="15" hidden="false" customHeight="false" outlineLevel="0" collapsed="false">
      <c r="A44" s="8"/>
      <c r="B44" s="8"/>
      <c r="C44" s="8"/>
      <c r="D44" s="8"/>
      <c r="E44" s="8"/>
      <c r="F44" t="str" s="15">
        <f aca="0">IF(B44="","",IF(H44="","확인필요(입력누락)",IF(SUMPRODUCT((실물목록!$P$2:$P$1001&lt;&gt;"")*ISNUMBER(SEARCH(실물목록!$P$2:$P$1001,I44))*(실물목록!$Q$2:$Q$1001&lt;&gt;"")*ISNUMBER(SEARCH(실물목록!$Q$2:$Q$1001,I44))*(실물목록!$R$2:$R$1001="")*(실물목록!$O$2:$O$1001&lt;&gt;"")*(실물목록!$O$2:$O$1001=H44))&gt;0,"실물 있음",IF(SUMPRODUCT((실물목록!$P$2:$P$1001&lt;&gt;"")*ISNUMBER(SEARCH(실물목록!$P$2:$P$1001,I44))*(실물목록!$R$2:$R$1001&lt;&gt;""))&gt;0,"확인필요(입력누락)",IF(SUMPRODUCT((실물목록!$P$2:$P$1001&lt;&gt;"")*ISNUMBER(SEARCH(실물목록!$P$2:$P$1001,I44))*(실물목록!$Q$2:$Q$1001&lt;&gt;"")*ISNUMBER(SEARCH(실물목록!$Q$2:$Q$1001,I44))*(실물목록!$R$2:$R$1001="")*(실물목록!$O$2:$O$1001&lt;&gt;""))&gt;0,"확인필요(연도다름)","실물 없음")))))</f>
      </c>
      <c r="G44" t="n" s="16">
        <f aca="0">IF(B44="","",SUMPRODUCT((실물목록!$P$2:$P$1001&lt;&gt;"")*ISNUMBER(SEARCH(실물목록!$P$2:$P$1001,I44))*(실물목록!$Q$2:$Q$1001&lt;&gt;"")*ISNUMBER(SEARCH(실물목록!$Q$2:$Q$1001,I44))*(실물목록!$R$2:$R$1001="")*(실물목록!$O$2:$O$1001&lt;&gt;"")*(실물목록!$O$2:$O$1001=H44)))</f>
      </c>
      <c r="H44" t="str">
        <f>IFERROR(IF(AND(LEN(SUBSTITUTE(SUBSTITUTE(SUBSTITUTE(TRIM(A44&amp;""),CHAR(160),"")," ",""),"년",""))=4,VALUE(SUBSTITUTE(SUBSTITUTE(SUBSTITUTE(TRIM(A44&amp;""),CHAR(160),"")," ",""),"년",""))&gt;=1900,VALUE(SUBSTITUTE(SUBSTITUTE(SUBSTITUTE(TRIM(A44&amp;""),CHAR(160),"")," ",""),"년",""))&lt;=2099,TEXT(VALUE(SUBSTITUTE(SUBSTITUTE(SUBSTITUTE(TRIM(A44&amp;""),CHAR(160),"")," ",""),"년","")),"0000")=SUBSTITUTE(SUBSTITUTE(SUBSTITUTE(TRIM(A44&amp;""),CHAR(160),"")," ",""),"년","")),SUBSTITUTE(SUBSTITUTE(SUBSTITUTE(TRIM(A44&amp;""),CHAR(160),"")," ",""),"년",""),""),"")</f>
      </c>
      <c r="I44" t="str">
        <f>SUBSTITUTE(SUBSTITUTE(SUBSTITUTE(SUBSTITUTE(SUBSTITUTE(TRIM(B44&amp;""),CHAR(160),"")," ",""),"초등학교","초"),"중학교","중"),"고등학교","고")</f>
      </c>
    </row>
    <row r="45" customFormat="false" ht="15" hidden="false" customHeight="false" outlineLevel="0" collapsed="false">
      <c r="A45" s="8"/>
      <c r="B45" s="8"/>
      <c r="C45" s="8"/>
      <c r="D45" s="8"/>
      <c r="E45" s="8"/>
      <c r="F45" t="str" s="15">
        <f aca="0">IF(B45="","",IF(H45="","확인필요(입력누락)",IF(SUMPRODUCT((실물목록!$P$2:$P$1001&lt;&gt;"")*ISNUMBER(SEARCH(실물목록!$P$2:$P$1001,I45))*(실물목록!$Q$2:$Q$1001&lt;&gt;"")*ISNUMBER(SEARCH(실물목록!$Q$2:$Q$1001,I45))*(실물목록!$R$2:$R$1001="")*(실물목록!$O$2:$O$1001&lt;&gt;"")*(실물목록!$O$2:$O$1001=H45))&gt;0,"실물 있음",IF(SUMPRODUCT((실물목록!$P$2:$P$1001&lt;&gt;"")*ISNUMBER(SEARCH(실물목록!$P$2:$P$1001,I45))*(실물목록!$R$2:$R$1001&lt;&gt;""))&gt;0,"확인필요(입력누락)",IF(SUMPRODUCT((실물목록!$P$2:$P$1001&lt;&gt;"")*ISNUMBER(SEARCH(실물목록!$P$2:$P$1001,I45))*(실물목록!$Q$2:$Q$1001&lt;&gt;"")*ISNUMBER(SEARCH(실물목록!$Q$2:$Q$1001,I45))*(실물목록!$R$2:$R$1001="")*(실물목록!$O$2:$O$1001&lt;&gt;""))&gt;0,"확인필요(연도다름)","실물 없음")))))</f>
      </c>
      <c r="G45" t="n" s="16">
        <f aca="0">IF(B45="","",SUMPRODUCT((실물목록!$P$2:$P$1001&lt;&gt;"")*ISNUMBER(SEARCH(실물목록!$P$2:$P$1001,I45))*(실물목록!$Q$2:$Q$1001&lt;&gt;"")*ISNUMBER(SEARCH(실물목록!$Q$2:$Q$1001,I45))*(실물목록!$R$2:$R$1001="")*(실물목록!$O$2:$O$1001&lt;&gt;"")*(실물목록!$O$2:$O$1001=H45)))</f>
      </c>
      <c r="H45" t="str">
        <f>IFERROR(IF(AND(LEN(SUBSTITUTE(SUBSTITUTE(SUBSTITUTE(TRIM(A45&amp;""),CHAR(160),"")," ",""),"년",""))=4,VALUE(SUBSTITUTE(SUBSTITUTE(SUBSTITUTE(TRIM(A45&amp;""),CHAR(160),"")," ",""),"년",""))&gt;=1900,VALUE(SUBSTITUTE(SUBSTITUTE(SUBSTITUTE(TRIM(A45&amp;""),CHAR(160),"")," ",""),"년",""))&lt;=2099,TEXT(VALUE(SUBSTITUTE(SUBSTITUTE(SUBSTITUTE(TRIM(A45&amp;""),CHAR(160),"")," ",""),"년","")),"0000")=SUBSTITUTE(SUBSTITUTE(SUBSTITUTE(TRIM(A45&amp;""),CHAR(160),"")," ",""),"년","")),SUBSTITUTE(SUBSTITUTE(SUBSTITUTE(TRIM(A45&amp;""),CHAR(160),"")," ",""),"년",""),""),"")</f>
      </c>
      <c r="I45" t="str">
        <f>SUBSTITUTE(SUBSTITUTE(SUBSTITUTE(SUBSTITUTE(SUBSTITUTE(TRIM(B45&amp;""),CHAR(160),"")," ",""),"초등학교","초"),"중학교","중"),"고등학교","고")</f>
      </c>
    </row>
    <row r="46" customFormat="false" ht="15" hidden="false" customHeight="false" outlineLevel="0" collapsed="false">
      <c r="A46" s="8"/>
      <c r="B46" s="8"/>
      <c r="C46" s="8"/>
      <c r="D46" s="8"/>
      <c r="E46" s="8"/>
      <c r="F46" t="str" s="15">
        <f aca="0">IF(B46="","",IF(H46="","확인필요(입력누락)",IF(SUMPRODUCT((실물목록!$P$2:$P$1001&lt;&gt;"")*ISNUMBER(SEARCH(실물목록!$P$2:$P$1001,I46))*(실물목록!$Q$2:$Q$1001&lt;&gt;"")*ISNUMBER(SEARCH(실물목록!$Q$2:$Q$1001,I46))*(실물목록!$R$2:$R$1001="")*(실물목록!$O$2:$O$1001&lt;&gt;"")*(실물목록!$O$2:$O$1001=H46))&gt;0,"실물 있음",IF(SUMPRODUCT((실물목록!$P$2:$P$1001&lt;&gt;"")*ISNUMBER(SEARCH(실물목록!$P$2:$P$1001,I46))*(실물목록!$R$2:$R$1001&lt;&gt;""))&gt;0,"확인필요(입력누락)",IF(SUMPRODUCT((실물목록!$P$2:$P$1001&lt;&gt;"")*ISNUMBER(SEARCH(실물목록!$P$2:$P$1001,I46))*(실물목록!$Q$2:$Q$1001&lt;&gt;"")*ISNUMBER(SEARCH(실물목록!$Q$2:$Q$1001,I46))*(실물목록!$R$2:$R$1001="")*(실물목록!$O$2:$O$1001&lt;&gt;""))&gt;0,"확인필요(연도다름)","실물 없음")))))</f>
      </c>
      <c r="G46" t="n" s="16">
        <f aca="0">IF(B46="","",SUMPRODUCT((실물목록!$P$2:$P$1001&lt;&gt;"")*ISNUMBER(SEARCH(실물목록!$P$2:$P$1001,I46))*(실물목록!$Q$2:$Q$1001&lt;&gt;"")*ISNUMBER(SEARCH(실물목록!$Q$2:$Q$1001,I46))*(실물목록!$R$2:$R$1001="")*(실물목록!$O$2:$O$1001&lt;&gt;"")*(실물목록!$O$2:$O$1001=H46)))</f>
      </c>
      <c r="H46" t="str">
        <f>IFERROR(IF(AND(LEN(SUBSTITUTE(SUBSTITUTE(SUBSTITUTE(TRIM(A46&amp;""),CHAR(160),"")," ",""),"년",""))=4,VALUE(SUBSTITUTE(SUBSTITUTE(SUBSTITUTE(TRIM(A46&amp;""),CHAR(160),"")," ",""),"년",""))&gt;=1900,VALUE(SUBSTITUTE(SUBSTITUTE(SUBSTITUTE(TRIM(A46&amp;""),CHAR(160),"")," ",""),"년",""))&lt;=2099,TEXT(VALUE(SUBSTITUTE(SUBSTITUTE(SUBSTITUTE(TRIM(A46&amp;""),CHAR(160),"")," ",""),"년","")),"0000")=SUBSTITUTE(SUBSTITUTE(SUBSTITUTE(TRIM(A46&amp;""),CHAR(160),"")," ",""),"년","")),SUBSTITUTE(SUBSTITUTE(SUBSTITUTE(TRIM(A46&amp;""),CHAR(160),"")," ",""),"년",""),""),"")</f>
      </c>
      <c r="I46" t="str">
        <f>SUBSTITUTE(SUBSTITUTE(SUBSTITUTE(SUBSTITUTE(SUBSTITUTE(TRIM(B46&amp;""),CHAR(160),"")," ",""),"초등학교","초"),"중학교","중"),"고등학교","고")</f>
      </c>
    </row>
    <row r="47" customFormat="false" ht="15" hidden="false" customHeight="false" outlineLevel="0" collapsed="false">
      <c r="A47" s="8"/>
      <c r="B47" s="8"/>
      <c r="C47" s="8"/>
      <c r="D47" s="8"/>
      <c r="E47" s="8"/>
      <c r="F47" t="str" s="15">
        <f aca="0">IF(B47="","",IF(H47="","확인필요(입력누락)",IF(SUMPRODUCT((실물목록!$P$2:$P$1001&lt;&gt;"")*ISNUMBER(SEARCH(실물목록!$P$2:$P$1001,I47))*(실물목록!$Q$2:$Q$1001&lt;&gt;"")*ISNUMBER(SEARCH(실물목록!$Q$2:$Q$1001,I47))*(실물목록!$R$2:$R$1001="")*(실물목록!$O$2:$O$1001&lt;&gt;"")*(실물목록!$O$2:$O$1001=H47))&gt;0,"실물 있음",IF(SUMPRODUCT((실물목록!$P$2:$P$1001&lt;&gt;"")*ISNUMBER(SEARCH(실물목록!$P$2:$P$1001,I47))*(실물목록!$R$2:$R$1001&lt;&gt;""))&gt;0,"확인필요(입력누락)",IF(SUMPRODUCT((실물목록!$P$2:$P$1001&lt;&gt;"")*ISNUMBER(SEARCH(실물목록!$P$2:$P$1001,I47))*(실물목록!$Q$2:$Q$1001&lt;&gt;"")*ISNUMBER(SEARCH(실물목록!$Q$2:$Q$1001,I47))*(실물목록!$R$2:$R$1001="")*(실물목록!$O$2:$O$1001&lt;&gt;""))&gt;0,"확인필요(연도다름)","실물 없음")))))</f>
      </c>
      <c r="G47" t="n" s="16">
        <f aca="0">IF(B47="","",SUMPRODUCT((실물목록!$P$2:$P$1001&lt;&gt;"")*ISNUMBER(SEARCH(실물목록!$P$2:$P$1001,I47))*(실물목록!$Q$2:$Q$1001&lt;&gt;"")*ISNUMBER(SEARCH(실물목록!$Q$2:$Q$1001,I47))*(실물목록!$R$2:$R$1001="")*(실물목록!$O$2:$O$1001&lt;&gt;"")*(실물목록!$O$2:$O$1001=H47)))</f>
      </c>
      <c r="H47" t="str">
        <f>IFERROR(IF(AND(LEN(SUBSTITUTE(SUBSTITUTE(SUBSTITUTE(TRIM(A47&amp;""),CHAR(160),"")," ",""),"년",""))=4,VALUE(SUBSTITUTE(SUBSTITUTE(SUBSTITUTE(TRIM(A47&amp;""),CHAR(160),"")," ",""),"년",""))&gt;=1900,VALUE(SUBSTITUTE(SUBSTITUTE(SUBSTITUTE(TRIM(A47&amp;""),CHAR(160),"")," ",""),"년",""))&lt;=2099,TEXT(VALUE(SUBSTITUTE(SUBSTITUTE(SUBSTITUTE(TRIM(A47&amp;""),CHAR(160),"")," ",""),"년","")),"0000")=SUBSTITUTE(SUBSTITUTE(SUBSTITUTE(TRIM(A47&amp;""),CHAR(160),"")," ",""),"년","")),SUBSTITUTE(SUBSTITUTE(SUBSTITUTE(TRIM(A47&amp;""),CHAR(160),"")," ",""),"년",""),""),"")</f>
      </c>
      <c r="I47" t="str">
        <f>SUBSTITUTE(SUBSTITUTE(SUBSTITUTE(SUBSTITUTE(SUBSTITUTE(TRIM(B47&amp;""),CHAR(160),"")," ",""),"초등학교","초"),"중학교","중"),"고등학교","고")</f>
      </c>
    </row>
    <row r="48" customFormat="false" ht="15" hidden="false" customHeight="false" outlineLevel="0" collapsed="false">
      <c r="A48" s="8"/>
      <c r="B48" s="8"/>
      <c r="C48" s="8"/>
      <c r="D48" s="8"/>
      <c r="E48" s="8"/>
      <c r="F48" t="str" s="15">
        <f aca="0">IF(B48="","",IF(H48="","확인필요(입력누락)",IF(SUMPRODUCT((실물목록!$P$2:$P$1001&lt;&gt;"")*ISNUMBER(SEARCH(실물목록!$P$2:$P$1001,I48))*(실물목록!$Q$2:$Q$1001&lt;&gt;"")*ISNUMBER(SEARCH(실물목록!$Q$2:$Q$1001,I48))*(실물목록!$R$2:$R$1001="")*(실물목록!$O$2:$O$1001&lt;&gt;"")*(실물목록!$O$2:$O$1001=H48))&gt;0,"실물 있음",IF(SUMPRODUCT((실물목록!$P$2:$P$1001&lt;&gt;"")*ISNUMBER(SEARCH(실물목록!$P$2:$P$1001,I48))*(실물목록!$R$2:$R$1001&lt;&gt;""))&gt;0,"확인필요(입력누락)",IF(SUMPRODUCT((실물목록!$P$2:$P$1001&lt;&gt;"")*ISNUMBER(SEARCH(실물목록!$P$2:$P$1001,I48))*(실물목록!$Q$2:$Q$1001&lt;&gt;"")*ISNUMBER(SEARCH(실물목록!$Q$2:$Q$1001,I48))*(실물목록!$R$2:$R$1001="")*(실물목록!$O$2:$O$1001&lt;&gt;""))&gt;0,"확인필요(연도다름)","실물 없음")))))</f>
      </c>
      <c r="G48" t="n" s="16">
        <f aca="0">IF(B48="","",SUMPRODUCT((실물목록!$P$2:$P$1001&lt;&gt;"")*ISNUMBER(SEARCH(실물목록!$P$2:$P$1001,I48))*(실물목록!$Q$2:$Q$1001&lt;&gt;"")*ISNUMBER(SEARCH(실물목록!$Q$2:$Q$1001,I48))*(실물목록!$R$2:$R$1001="")*(실물목록!$O$2:$O$1001&lt;&gt;"")*(실물목록!$O$2:$O$1001=H48)))</f>
      </c>
      <c r="H48" t="str">
        <f>IFERROR(IF(AND(LEN(SUBSTITUTE(SUBSTITUTE(SUBSTITUTE(TRIM(A48&amp;""),CHAR(160),"")," ",""),"년",""))=4,VALUE(SUBSTITUTE(SUBSTITUTE(SUBSTITUTE(TRIM(A48&amp;""),CHAR(160),"")," ",""),"년",""))&gt;=1900,VALUE(SUBSTITUTE(SUBSTITUTE(SUBSTITUTE(TRIM(A48&amp;""),CHAR(160),"")," ",""),"년",""))&lt;=2099,TEXT(VALUE(SUBSTITUTE(SUBSTITUTE(SUBSTITUTE(TRIM(A48&amp;""),CHAR(160),"")," ",""),"년","")),"0000")=SUBSTITUTE(SUBSTITUTE(SUBSTITUTE(TRIM(A48&amp;""),CHAR(160),"")," ",""),"년","")),SUBSTITUTE(SUBSTITUTE(SUBSTITUTE(TRIM(A48&amp;""),CHAR(160),"")," ",""),"년",""),""),"")</f>
      </c>
      <c r="I48" t="str">
        <f>SUBSTITUTE(SUBSTITUTE(SUBSTITUTE(SUBSTITUTE(SUBSTITUTE(TRIM(B48&amp;""),CHAR(160),"")," ",""),"초등학교","초"),"중학교","중"),"고등학교","고")</f>
      </c>
    </row>
    <row r="49" customFormat="false" ht="15" hidden="false" customHeight="false" outlineLevel="0" collapsed="false">
      <c r="A49" s="8"/>
      <c r="B49" s="8"/>
      <c r="C49" s="8"/>
      <c r="D49" s="8"/>
      <c r="E49" s="8"/>
      <c r="F49" t="str" s="15">
        <f aca="0">IF(B49="","",IF(H49="","확인필요(입력누락)",IF(SUMPRODUCT((실물목록!$P$2:$P$1001&lt;&gt;"")*ISNUMBER(SEARCH(실물목록!$P$2:$P$1001,I49))*(실물목록!$Q$2:$Q$1001&lt;&gt;"")*ISNUMBER(SEARCH(실물목록!$Q$2:$Q$1001,I49))*(실물목록!$R$2:$R$1001="")*(실물목록!$O$2:$O$1001&lt;&gt;"")*(실물목록!$O$2:$O$1001=H49))&gt;0,"실물 있음",IF(SUMPRODUCT((실물목록!$P$2:$P$1001&lt;&gt;"")*ISNUMBER(SEARCH(실물목록!$P$2:$P$1001,I49))*(실물목록!$R$2:$R$1001&lt;&gt;""))&gt;0,"확인필요(입력누락)",IF(SUMPRODUCT((실물목록!$P$2:$P$1001&lt;&gt;"")*ISNUMBER(SEARCH(실물목록!$P$2:$P$1001,I49))*(실물목록!$Q$2:$Q$1001&lt;&gt;"")*ISNUMBER(SEARCH(실물목록!$Q$2:$Q$1001,I49))*(실물목록!$R$2:$R$1001="")*(실물목록!$O$2:$O$1001&lt;&gt;""))&gt;0,"확인필요(연도다름)","실물 없음")))))</f>
      </c>
      <c r="G49" t="n" s="16">
        <f aca="0">IF(B49="","",SUMPRODUCT((실물목록!$P$2:$P$1001&lt;&gt;"")*ISNUMBER(SEARCH(실물목록!$P$2:$P$1001,I49))*(실물목록!$Q$2:$Q$1001&lt;&gt;"")*ISNUMBER(SEARCH(실물목록!$Q$2:$Q$1001,I49))*(실물목록!$R$2:$R$1001="")*(실물목록!$O$2:$O$1001&lt;&gt;"")*(실물목록!$O$2:$O$1001=H49)))</f>
      </c>
      <c r="H49" t="str">
        <f>IFERROR(IF(AND(LEN(SUBSTITUTE(SUBSTITUTE(SUBSTITUTE(TRIM(A49&amp;""),CHAR(160),"")," ",""),"년",""))=4,VALUE(SUBSTITUTE(SUBSTITUTE(SUBSTITUTE(TRIM(A49&amp;""),CHAR(160),"")," ",""),"년",""))&gt;=1900,VALUE(SUBSTITUTE(SUBSTITUTE(SUBSTITUTE(TRIM(A49&amp;""),CHAR(160),"")," ",""),"년",""))&lt;=2099,TEXT(VALUE(SUBSTITUTE(SUBSTITUTE(SUBSTITUTE(TRIM(A49&amp;""),CHAR(160),"")," ",""),"년","")),"0000")=SUBSTITUTE(SUBSTITUTE(SUBSTITUTE(TRIM(A49&amp;""),CHAR(160),"")," ",""),"년","")),SUBSTITUTE(SUBSTITUTE(SUBSTITUTE(TRIM(A49&amp;""),CHAR(160),"")," ",""),"년",""),""),"")</f>
      </c>
      <c r="I49" t="str">
        <f>SUBSTITUTE(SUBSTITUTE(SUBSTITUTE(SUBSTITUTE(SUBSTITUTE(TRIM(B49&amp;""),CHAR(160),"")," ",""),"초등학교","초"),"중학교","중"),"고등학교","고")</f>
      </c>
    </row>
    <row r="50" customFormat="false" ht="15" hidden="false" customHeight="false" outlineLevel="0" collapsed="false">
      <c r="A50" s="8"/>
      <c r="B50" s="8"/>
      <c r="C50" s="8"/>
      <c r="D50" s="8"/>
      <c r="E50" s="8"/>
      <c r="F50" t="str" s="15">
        <f aca="0">IF(B50="","",IF(H50="","확인필요(입력누락)",IF(SUMPRODUCT((실물목록!$P$2:$P$1001&lt;&gt;"")*ISNUMBER(SEARCH(실물목록!$P$2:$P$1001,I50))*(실물목록!$Q$2:$Q$1001&lt;&gt;"")*ISNUMBER(SEARCH(실물목록!$Q$2:$Q$1001,I50))*(실물목록!$R$2:$R$1001="")*(실물목록!$O$2:$O$1001&lt;&gt;"")*(실물목록!$O$2:$O$1001=H50))&gt;0,"실물 있음",IF(SUMPRODUCT((실물목록!$P$2:$P$1001&lt;&gt;"")*ISNUMBER(SEARCH(실물목록!$P$2:$P$1001,I50))*(실물목록!$R$2:$R$1001&lt;&gt;""))&gt;0,"확인필요(입력누락)",IF(SUMPRODUCT((실물목록!$P$2:$P$1001&lt;&gt;"")*ISNUMBER(SEARCH(실물목록!$P$2:$P$1001,I50))*(실물목록!$Q$2:$Q$1001&lt;&gt;"")*ISNUMBER(SEARCH(실물목록!$Q$2:$Q$1001,I50))*(실물목록!$R$2:$R$1001="")*(실물목록!$O$2:$O$1001&lt;&gt;""))&gt;0,"확인필요(연도다름)","실물 없음")))))</f>
      </c>
      <c r="G50" t="n" s="16">
        <f aca="0">IF(B50="","",SUMPRODUCT((실물목록!$P$2:$P$1001&lt;&gt;"")*ISNUMBER(SEARCH(실물목록!$P$2:$P$1001,I50))*(실물목록!$Q$2:$Q$1001&lt;&gt;"")*ISNUMBER(SEARCH(실물목록!$Q$2:$Q$1001,I50))*(실물목록!$R$2:$R$1001="")*(실물목록!$O$2:$O$1001&lt;&gt;"")*(실물목록!$O$2:$O$1001=H50)))</f>
      </c>
      <c r="H50" t="str">
        <f>IFERROR(IF(AND(LEN(SUBSTITUTE(SUBSTITUTE(SUBSTITUTE(TRIM(A50&amp;""),CHAR(160),"")," ",""),"년",""))=4,VALUE(SUBSTITUTE(SUBSTITUTE(SUBSTITUTE(TRIM(A50&amp;""),CHAR(160),"")," ",""),"년",""))&gt;=1900,VALUE(SUBSTITUTE(SUBSTITUTE(SUBSTITUTE(TRIM(A50&amp;""),CHAR(160),"")," ",""),"년",""))&lt;=2099,TEXT(VALUE(SUBSTITUTE(SUBSTITUTE(SUBSTITUTE(TRIM(A50&amp;""),CHAR(160),"")," ",""),"년","")),"0000")=SUBSTITUTE(SUBSTITUTE(SUBSTITUTE(TRIM(A50&amp;""),CHAR(160),"")," ",""),"년","")),SUBSTITUTE(SUBSTITUTE(SUBSTITUTE(TRIM(A50&amp;""),CHAR(160),"")," ",""),"년",""),""),"")</f>
      </c>
      <c r="I50" t="str">
        <f>SUBSTITUTE(SUBSTITUTE(SUBSTITUTE(SUBSTITUTE(SUBSTITUTE(TRIM(B50&amp;""),CHAR(160),"")," ",""),"초등학교","초"),"중학교","중"),"고등학교","고")</f>
      </c>
    </row>
    <row r="51" customFormat="false" ht="15" hidden="false" customHeight="false" outlineLevel="0" collapsed="false">
      <c r="A51" s="8"/>
      <c r="B51" s="8"/>
      <c r="C51" s="8"/>
      <c r="D51" s="8"/>
      <c r="E51" s="8"/>
      <c r="F51" t="str" s="15">
        <f aca="0">IF(B51="","",IF(H51="","확인필요(입력누락)",IF(SUMPRODUCT((실물목록!$P$2:$P$1001&lt;&gt;"")*ISNUMBER(SEARCH(실물목록!$P$2:$P$1001,I51))*(실물목록!$Q$2:$Q$1001&lt;&gt;"")*ISNUMBER(SEARCH(실물목록!$Q$2:$Q$1001,I51))*(실물목록!$R$2:$R$1001="")*(실물목록!$O$2:$O$1001&lt;&gt;"")*(실물목록!$O$2:$O$1001=H51))&gt;0,"실물 있음",IF(SUMPRODUCT((실물목록!$P$2:$P$1001&lt;&gt;"")*ISNUMBER(SEARCH(실물목록!$P$2:$P$1001,I51))*(실물목록!$R$2:$R$1001&lt;&gt;""))&gt;0,"확인필요(입력누락)",IF(SUMPRODUCT((실물목록!$P$2:$P$1001&lt;&gt;"")*ISNUMBER(SEARCH(실물목록!$P$2:$P$1001,I51))*(실물목록!$Q$2:$Q$1001&lt;&gt;"")*ISNUMBER(SEARCH(실물목록!$Q$2:$Q$1001,I51))*(실물목록!$R$2:$R$1001="")*(실물목록!$O$2:$O$1001&lt;&gt;""))&gt;0,"확인필요(연도다름)","실물 없음")))))</f>
      </c>
      <c r="G51" t="n" s="16">
        <f aca="0">IF(B51="","",SUMPRODUCT((실물목록!$P$2:$P$1001&lt;&gt;"")*ISNUMBER(SEARCH(실물목록!$P$2:$P$1001,I51))*(실물목록!$Q$2:$Q$1001&lt;&gt;"")*ISNUMBER(SEARCH(실물목록!$Q$2:$Q$1001,I51))*(실물목록!$R$2:$R$1001="")*(실물목록!$O$2:$O$1001&lt;&gt;"")*(실물목록!$O$2:$O$1001=H51)))</f>
      </c>
      <c r="H51" t="str">
        <f>IFERROR(IF(AND(LEN(SUBSTITUTE(SUBSTITUTE(SUBSTITUTE(TRIM(A51&amp;""),CHAR(160),"")," ",""),"년",""))=4,VALUE(SUBSTITUTE(SUBSTITUTE(SUBSTITUTE(TRIM(A51&amp;""),CHAR(160),"")," ",""),"년",""))&gt;=1900,VALUE(SUBSTITUTE(SUBSTITUTE(SUBSTITUTE(TRIM(A51&amp;""),CHAR(160),"")," ",""),"년",""))&lt;=2099,TEXT(VALUE(SUBSTITUTE(SUBSTITUTE(SUBSTITUTE(TRIM(A51&amp;""),CHAR(160),"")," ",""),"년","")),"0000")=SUBSTITUTE(SUBSTITUTE(SUBSTITUTE(TRIM(A51&amp;""),CHAR(160),"")," ",""),"년","")),SUBSTITUTE(SUBSTITUTE(SUBSTITUTE(TRIM(A51&amp;""),CHAR(160),"")," ",""),"년",""),""),"")</f>
      </c>
      <c r="I51" t="str">
        <f>SUBSTITUTE(SUBSTITUTE(SUBSTITUTE(SUBSTITUTE(SUBSTITUTE(TRIM(B51&amp;""),CHAR(160),"")," ",""),"초등학교","초"),"중학교","중"),"고등학교","고")</f>
      </c>
    </row>
    <row r="52" customFormat="false" ht="15" hidden="false" customHeight="false" outlineLevel="0" collapsed="false">
      <c r="A52" s="8"/>
      <c r="B52" s="8"/>
      <c r="C52" s="8"/>
      <c r="D52" s="8"/>
      <c r="E52" s="8"/>
      <c r="F52" t="str" s="15">
        <f aca="0">IF(B52="","",IF(H52="","확인필요(입력누락)",IF(SUMPRODUCT((실물목록!$P$2:$P$1001&lt;&gt;"")*ISNUMBER(SEARCH(실물목록!$P$2:$P$1001,I52))*(실물목록!$Q$2:$Q$1001&lt;&gt;"")*ISNUMBER(SEARCH(실물목록!$Q$2:$Q$1001,I52))*(실물목록!$R$2:$R$1001="")*(실물목록!$O$2:$O$1001&lt;&gt;"")*(실물목록!$O$2:$O$1001=H52))&gt;0,"실물 있음",IF(SUMPRODUCT((실물목록!$P$2:$P$1001&lt;&gt;"")*ISNUMBER(SEARCH(실물목록!$P$2:$P$1001,I52))*(실물목록!$R$2:$R$1001&lt;&gt;""))&gt;0,"확인필요(입력누락)",IF(SUMPRODUCT((실물목록!$P$2:$P$1001&lt;&gt;"")*ISNUMBER(SEARCH(실물목록!$P$2:$P$1001,I52))*(실물목록!$Q$2:$Q$1001&lt;&gt;"")*ISNUMBER(SEARCH(실물목록!$Q$2:$Q$1001,I52))*(실물목록!$R$2:$R$1001="")*(실물목록!$O$2:$O$1001&lt;&gt;""))&gt;0,"확인필요(연도다름)","실물 없음")))))</f>
      </c>
      <c r="G52" t="n" s="16">
        <f aca="0">IF(B52="","",SUMPRODUCT((실물목록!$P$2:$P$1001&lt;&gt;"")*ISNUMBER(SEARCH(실물목록!$P$2:$P$1001,I52))*(실물목록!$Q$2:$Q$1001&lt;&gt;"")*ISNUMBER(SEARCH(실물목록!$Q$2:$Q$1001,I52))*(실물목록!$R$2:$R$1001="")*(실물목록!$O$2:$O$1001&lt;&gt;"")*(실물목록!$O$2:$O$1001=H52)))</f>
      </c>
      <c r="H52" t="str">
        <f>IFERROR(IF(AND(LEN(SUBSTITUTE(SUBSTITUTE(SUBSTITUTE(TRIM(A52&amp;""),CHAR(160),"")," ",""),"년",""))=4,VALUE(SUBSTITUTE(SUBSTITUTE(SUBSTITUTE(TRIM(A52&amp;""),CHAR(160),"")," ",""),"년",""))&gt;=1900,VALUE(SUBSTITUTE(SUBSTITUTE(SUBSTITUTE(TRIM(A52&amp;""),CHAR(160),"")," ",""),"년",""))&lt;=2099,TEXT(VALUE(SUBSTITUTE(SUBSTITUTE(SUBSTITUTE(TRIM(A52&amp;""),CHAR(160),"")," ",""),"년","")),"0000")=SUBSTITUTE(SUBSTITUTE(SUBSTITUTE(TRIM(A52&amp;""),CHAR(160),"")," ",""),"년","")),SUBSTITUTE(SUBSTITUTE(SUBSTITUTE(TRIM(A52&amp;""),CHAR(160),"")," ",""),"년",""),""),"")</f>
      </c>
      <c r="I52" t="str">
        <f>SUBSTITUTE(SUBSTITUTE(SUBSTITUTE(SUBSTITUTE(SUBSTITUTE(TRIM(B52&amp;""),CHAR(160),"")," ",""),"초등학교","초"),"중학교","중"),"고등학교","고")</f>
      </c>
    </row>
    <row r="53" customFormat="false" ht="15" hidden="false" customHeight="false" outlineLevel="0" collapsed="false">
      <c r="A53" s="8"/>
      <c r="B53" s="8"/>
      <c r="C53" s="8"/>
      <c r="D53" s="8"/>
      <c r="E53" s="8"/>
      <c r="F53" t="str" s="15">
        <f aca="0">IF(B53="","",IF(H53="","확인필요(입력누락)",IF(SUMPRODUCT((실물목록!$P$2:$P$1001&lt;&gt;"")*ISNUMBER(SEARCH(실물목록!$P$2:$P$1001,I53))*(실물목록!$Q$2:$Q$1001&lt;&gt;"")*ISNUMBER(SEARCH(실물목록!$Q$2:$Q$1001,I53))*(실물목록!$R$2:$R$1001="")*(실물목록!$O$2:$O$1001&lt;&gt;"")*(실물목록!$O$2:$O$1001=H53))&gt;0,"실물 있음",IF(SUMPRODUCT((실물목록!$P$2:$P$1001&lt;&gt;"")*ISNUMBER(SEARCH(실물목록!$P$2:$P$1001,I53))*(실물목록!$R$2:$R$1001&lt;&gt;""))&gt;0,"확인필요(입력누락)",IF(SUMPRODUCT((실물목록!$P$2:$P$1001&lt;&gt;"")*ISNUMBER(SEARCH(실물목록!$P$2:$P$1001,I53))*(실물목록!$Q$2:$Q$1001&lt;&gt;"")*ISNUMBER(SEARCH(실물목록!$Q$2:$Q$1001,I53))*(실물목록!$R$2:$R$1001="")*(실물목록!$O$2:$O$1001&lt;&gt;""))&gt;0,"확인필요(연도다름)","실물 없음")))))</f>
      </c>
      <c r="G53" t="n" s="16">
        <f aca="0">IF(B53="","",SUMPRODUCT((실물목록!$P$2:$P$1001&lt;&gt;"")*ISNUMBER(SEARCH(실물목록!$P$2:$P$1001,I53))*(실물목록!$Q$2:$Q$1001&lt;&gt;"")*ISNUMBER(SEARCH(실물목록!$Q$2:$Q$1001,I53))*(실물목록!$R$2:$R$1001="")*(실물목록!$O$2:$O$1001&lt;&gt;"")*(실물목록!$O$2:$O$1001=H53)))</f>
      </c>
      <c r="H53" t="str">
        <f>IFERROR(IF(AND(LEN(SUBSTITUTE(SUBSTITUTE(SUBSTITUTE(TRIM(A53&amp;""),CHAR(160),"")," ",""),"년",""))=4,VALUE(SUBSTITUTE(SUBSTITUTE(SUBSTITUTE(TRIM(A53&amp;""),CHAR(160),"")," ",""),"년",""))&gt;=1900,VALUE(SUBSTITUTE(SUBSTITUTE(SUBSTITUTE(TRIM(A53&amp;""),CHAR(160),"")," ",""),"년",""))&lt;=2099,TEXT(VALUE(SUBSTITUTE(SUBSTITUTE(SUBSTITUTE(TRIM(A53&amp;""),CHAR(160),"")," ",""),"년","")),"0000")=SUBSTITUTE(SUBSTITUTE(SUBSTITUTE(TRIM(A53&amp;""),CHAR(160),"")," ",""),"년","")),SUBSTITUTE(SUBSTITUTE(SUBSTITUTE(TRIM(A53&amp;""),CHAR(160),"")," ",""),"년",""),""),"")</f>
      </c>
      <c r="I53" t="str">
        <f>SUBSTITUTE(SUBSTITUTE(SUBSTITUTE(SUBSTITUTE(SUBSTITUTE(TRIM(B53&amp;""),CHAR(160),"")," ",""),"초등학교","초"),"중학교","중"),"고등학교","고")</f>
      </c>
    </row>
    <row r="54" customFormat="false" ht="15" hidden="false" customHeight="false" outlineLevel="0" collapsed="false">
      <c r="A54" s="8"/>
      <c r="B54" s="8"/>
      <c r="C54" s="8"/>
      <c r="D54" s="8"/>
      <c r="E54" s="8"/>
      <c r="F54" t="str" s="15">
        <f aca="0">IF(B54="","",IF(H54="","확인필요(입력누락)",IF(SUMPRODUCT((실물목록!$P$2:$P$1001&lt;&gt;"")*ISNUMBER(SEARCH(실물목록!$P$2:$P$1001,I54))*(실물목록!$Q$2:$Q$1001&lt;&gt;"")*ISNUMBER(SEARCH(실물목록!$Q$2:$Q$1001,I54))*(실물목록!$R$2:$R$1001="")*(실물목록!$O$2:$O$1001&lt;&gt;"")*(실물목록!$O$2:$O$1001=H54))&gt;0,"실물 있음",IF(SUMPRODUCT((실물목록!$P$2:$P$1001&lt;&gt;"")*ISNUMBER(SEARCH(실물목록!$P$2:$P$1001,I54))*(실물목록!$R$2:$R$1001&lt;&gt;""))&gt;0,"확인필요(입력누락)",IF(SUMPRODUCT((실물목록!$P$2:$P$1001&lt;&gt;"")*ISNUMBER(SEARCH(실물목록!$P$2:$P$1001,I54))*(실물목록!$Q$2:$Q$1001&lt;&gt;"")*ISNUMBER(SEARCH(실물목록!$Q$2:$Q$1001,I54))*(실물목록!$R$2:$R$1001="")*(실물목록!$O$2:$O$1001&lt;&gt;""))&gt;0,"확인필요(연도다름)","실물 없음")))))</f>
      </c>
      <c r="G54" t="n" s="16">
        <f aca="0">IF(B54="","",SUMPRODUCT((실물목록!$P$2:$P$1001&lt;&gt;"")*ISNUMBER(SEARCH(실물목록!$P$2:$P$1001,I54))*(실물목록!$Q$2:$Q$1001&lt;&gt;"")*ISNUMBER(SEARCH(실물목록!$Q$2:$Q$1001,I54))*(실물목록!$R$2:$R$1001="")*(실물목록!$O$2:$O$1001&lt;&gt;"")*(실물목록!$O$2:$O$1001=H54)))</f>
      </c>
      <c r="H54" t="str">
        <f>IFERROR(IF(AND(LEN(SUBSTITUTE(SUBSTITUTE(SUBSTITUTE(TRIM(A54&amp;""),CHAR(160),"")," ",""),"년",""))=4,VALUE(SUBSTITUTE(SUBSTITUTE(SUBSTITUTE(TRIM(A54&amp;""),CHAR(160),"")," ",""),"년",""))&gt;=1900,VALUE(SUBSTITUTE(SUBSTITUTE(SUBSTITUTE(TRIM(A54&amp;""),CHAR(160),"")," ",""),"년",""))&lt;=2099,TEXT(VALUE(SUBSTITUTE(SUBSTITUTE(SUBSTITUTE(TRIM(A54&amp;""),CHAR(160),"")," ",""),"년","")),"0000")=SUBSTITUTE(SUBSTITUTE(SUBSTITUTE(TRIM(A54&amp;""),CHAR(160),"")," ",""),"년","")),SUBSTITUTE(SUBSTITUTE(SUBSTITUTE(TRIM(A54&amp;""),CHAR(160),"")," ",""),"년",""),""),"")</f>
      </c>
      <c r="I54" t="str">
        <f>SUBSTITUTE(SUBSTITUTE(SUBSTITUTE(SUBSTITUTE(SUBSTITUTE(TRIM(B54&amp;""),CHAR(160),"")," ",""),"초등학교","초"),"중학교","중"),"고등학교","고")</f>
      </c>
    </row>
    <row r="55" customFormat="false" ht="15" hidden="false" customHeight="false" outlineLevel="0" collapsed="false">
      <c r="A55" s="8"/>
      <c r="B55" s="8"/>
      <c r="C55" s="8"/>
      <c r="D55" s="8"/>
      <c r="E55" s="8"/>
      <c r="F55" t="str" s="15">
        <f aca="0">IF(B55="","",IF(H55="","확인필요(입력누락)",IF(SUMPRODUCT((실물목록!$P$2:$P$1001&lt;&gt;"")*ISNUMBER(SEARCH(실물목록!$P$2:$P$1001,I55))*(실물목록!$Q$2:$Q$1001&lt;&gt;"")*ISNUMBER(SEARCH(실물목록!$Q$2:$Q$1001,I55))*(실물목록!$R$2:$R$1001="")*(실물목록!$O$2:$O$1001&lt;&gt;"")*(실물목록!$O$2:$O$1001=H55))&gt;0,"실물 있음",IF(SUMPRODUCT((실물목록!$P$2:$P$1001&lt;&gt;"")*ISNUMBER(SEARCH(실물목록!$P$2:$P$1001,I55))*(실물목록!$R$2:$R$1001&lt;&gt;""))&gt;0,"확인필요(입력누락)",IF(SUMPRODUCT((실물목록!$P$2:$P$1001&lt;&gt;"")*ISNUMBER(SEARCH(실물목록!$P$2:$P$1001,I55))*(실물목록!$Q$2:$Q$1001&lt;&gt;"")*ISNUMBER(SEARCH(실물목록!$Q$2:$Q$1001,I55))*(실물목록!$R$2:$R$1001="")*(실물목록!$O$2:$O$1001&lt;&gt;""))&gt;0,"확인필요(연도다름)","실물 없음")))))</f>
      </c>
      <c r="G55" t="n" s="16">
        <f aca="0">IF(B55="","",SUMPRODUCT((실물목록!$P$2:$P$1001&lt;&gt;"")*ISNUMBER(SEARCH(실물목록!$P$2:$P$1001,I55))*(실물목록!$Q$2:$Q$1001&lt;&gt;"")*ISNUMBER(SEARCH(실물목록!$Q$2:$Q$1001,I55))*(실물목록!$R$2:$R$1001="")*(실물목록!$O$2:$O$1001&lt;&gt;"")*(실물목록!$O$2:$O$1001=H55)))</f>
      </c>
      <c r="H55" t="str">
        <f>IFERROR(IF(AND(LEN(SUBSTITUTE(SUBSTITUTE(SUBSTITUTE(TRIM(A55&amp;""),CHAR(160),"")," ",""),"년",""))=4,VALUE(SUBSTITUTE(SUBSTITUTE(SUBSTITUTE(TRIM(A55&amp;""),CHAR(160),"")," ",""),"년",""))&gt;=1900,VALUE(SUBSTITUTE(SUBSTITUTE(SUBSTITUTE(TRIM(A55&amp;""),CHAR(160),"")," ",""),"년",""))&lt;=2099,TEXT(VALUE(SUBSTITUTE(SUBSTITUTE(SUBSTITUTE(TRIM(A55&amp;""),CHAR(160),"")," ",""),"년","")),"0000")=SUBSTITUTE(SUBSTITUTE(SUBSTITUTE(TRIM(A55&amp;""),CHAR(160),"")," ",""),"년","")),SUBSTITUTE(SUBSTITUTE(SUBSTITUTE(TRIM(A55&amp;""),CHAR(160),"")," ",""),"년",""),""),"")</f>
      </c>
      <c r="I55" t="str">
        <f>SUBSTITUTE(SUBSTITUTE(SUBSTITUTE(SUBSTITUTE(SUBSTITUTE(TRIM(B55&amp;""),CHAR(160),"")," ",""),"초등학교","초"),"중학교","중"),"고등학교","고")</f>
      </c>
    </row>
    <row r="56" customFormat="false" ht="15" hidden="false" customHeight="false" outlineLevel="0" collapsed="false">
      <c r="A56" s="8"/>
      <c r="B56" s="8"/>
      <c r="C56" s="8"/>
      <c r="D56" s="8"/>
      <c r="E56" s="8"/>
      <c r="F56" t="str" s="15">
        <f aca="0">IF(B56="","",IF(H56="","확인필요(입력누락)",IF(SUMPRODUCT((실물목록!$P$2:$P$1001&lt;&gt;"")*ISNUMBER(SEARCH(실물목록!$P$2:$P$1001,I56))*(실물목록!$Q$2:$Q$1001&lt;&gt;"")*ISNUMBER(SEARCH(실물목록!$Q$2:$Q$1001,I56))*(실물목록!$R$2:$R$1001="")*(실물목록!$O$2:$O$1001&lt;&gt;"")*(실물목록!$O$2:$O$1001=H56))&gt;0,"실물 있음",IF(SUMPRODUCT((실물목록!$P$2:$P$1001&lt;&gt;"")*ISNUMBER(SEARCH(실물목록!$P$2:$P$1001,I56))*(실물목록!$R$2:$R$1001&lt;&gt;""))&gt;0,"확인필요(입력누락)",IF(SUMPRODUCT((실물목록!$P$2:$P$1001&lt;&gt;"")*ISNUMBER(SEARCH(실물목록!$P$2:$P$1001,I56))*(실물목록!$Q$2:$Q$1001&lt;&gt;"")*ISNUMBER(SEARCH(실물목록!$Q$2:$Q$1001,I56))*(실물목록!$R$2:$R$1001="")*(실물목록!$O$2:$O$1001&lt;&gt;""))&gt;0,"확인필요(연도다름)","실물 없음")))))</f>
      </c>
      <c r="G56" t="n" s="16">
        <f aca="0">IF(B56="","",SUMPRODUCT((실물목록!$P$2:$P$1001&lt;&gt;"")*ISNUMBER(SEARCH(실물목록!$P$2:$P$1001,I56))*(실물목록!$Q$2:$Q$1001&lt;&gt;"")*ISNUMBER(SEARCH(실물목록!$Q$2:$Q$1001,I56))*(실물목록!$R$2:$R$1001="")*(실물목록!$O$2:$O$1001&lt;&gt;"")*(실물목록!$O$2:$O$1001=H56)))</f>
      </c>
      <c r="H56" t="str">
        <f>IFERROR(IF(AND(LEN(SUBSTITUTE(SUBSTITUTE(SUBSTITUTE(TRIM(A56&amp;""),CHAR(160),"")," ",""),"년",""))=4,VALUE(SUBSTITUTE(SUBSTITUTE(SUBSTITUTE(TRIM(A56&amp;""),CHAR(160),"")," ",""),"년",""))&gt;=1900,VALUE(SUBSTITUTE(SUBSTITUTE(SUBSTITUTE(TRIM(A56&amp;""),CHAR(160),"")," ",""),"년",""))&lt;=2099,TEXT(VALUE(SUBSTITUTE(SUBSTITUTE(SUBSTITUTE(TRIM(A56&amp;""),CHAR(160),"")," ",""),"년","")),"0000")=SUBSTITUTE(SUBSTITUTE(SUBSTITUTE(TRIM(A56&amp;""),CHAR(160),"")," ",""),"년","")),SUBSTITUTE(SUBSTITUTE(SUBSTITUTE(TRIM(A56&amp;""),CHAR(160),"")," ",""),"년",""),""),"")</f>
      </c>
      <c r="I56" t="str">
        <f>SUBSTITUTE(SUBSTITUTE(SUBSTITUTE(SUBSTITUTE(SUBSTITUTE(TRIM(B56&amp;""),CHAR(160),"")," ",""),"초등학교","초"),"중학교","중"),"고등학교","고")</f>
      </c>
    </row>
    <row r="57" customFormat="false" ht="15" hidden="false" customHeight="false" outlineLevel="0" collapsed="false">
      <c r="A57" s="8"/>
      <c r="B57" s="8"/>
      <c r="C57" s="8"/>
      <c r="D57" s="8"/>
      <c r="E57" s="8"/>
      <c r="F57" t="str" s="15">
        <f aca="0">IF(B57="","",IF(H57="","확인필요(입력누락)",IF(SUMPRODUCT((실물목록!$P$2:$P$1001&lt;&gt;"")*ISNUMBER(SEARCH(실물목록!$P$2:$P$1001,I57))*(실물목록!$Q$2:$Q$1001&lt;&gt;"")*ISNUMBER(SEARCH(실물목록!$Q$2:$Q$1001,I57))*(실물목록!$R$2:$R$1001="")*(실물목록!$O$2:$O$1001&lt;&gt;"")*(실물목록!$O$2:$O$1001=H57))&gt;0,"실물 있음",IF(SUMPRODUCT((실물목록!$P$2:$P$1001&lt;&gt;"")*ISNUMBER(SEARCH(실물목록!$P$2:$P$1001,I57))*(실물목록!$R$2:$R$1001&lt;&gt;""))&gt;0,"확인필요(입력누락)",IF(SUMPRODUCT((실물목록!$P$2:$P$1001&lt;&gt;"")*ISNUMBER(SEARCH(실물목록!$P$2:$P$1001,I57))*(실물목록!$Q$2:$Q$1001&lt;&gt;"")*ISNUMBER(SEARCH(실물목록!$Q$2:$Q$1001,I57))*(실물목록!$R$2:$R$1001="")*(실물목록!$O$2:$O$1001&lt;&gt;""))&gt;0,"확인필요(연도다름)","실물 없음")))))</f>
      </c>
      <c r="G57" t="n" s="16">
        <f aca="0">IF(B57="","",SUMPRODUCT((실물목록!$P$2:$P$1001&lt;&gt;"")*ISNUMBER(SEARCH(실물목록!$P$2:$P$1001,I57))*(실물목록!$Q$2:$Q$1001&lt;&gt;"")*ISNUMBER(SEARCH(실물목록!$Q$2:$Q$1001,I57))*(실물목록!$R$2:$R$1001="")*(실물목록!$O$2:$O$1001&lt;&gt;"")*(실물목록!$O$2:$O$1001=H57)))</f>
      </c>
      <c r="H57" t="str">
        <f>IFERROR(IF(AND(LEN(SUBSTITUTE(SUBSTITUTE(SUBSTITUTE(TRIM(A57&amp;""),CHAR(160),"")," ",""),"년",""))=4,VALUE(SUBSTITUTE(SUBSTITUTE(SUBSTITUTE(TRIM(A57&amp;""),CHAR(160),"")," ",""),"년",""))&gt;=1900,VALUE(SUBSTITUTE(SUBSTITUTE(SUBSTITUTE(TRIM(A57&amp;""),CHAR(160),"")," ",""),"년",""))&lt;=2099,TEXT(VALUE(SUBSTITUTE(SUBSTITUTE(SUBSTITUTE(TRIM(A57&amp;""),CHAR(160),"")," ",""),"년","")),"0000")=SUBSTITUTE(SUBSTITUTE(SUBSTITUTE(TRIM(A57&amp;""),CHAR(160),"")," ",""),"년","")),SUBSTITUTE(SUBSTITUTE(SUBSTITUTE(TRIM(A57&amp;""),CHAR(160),"")," ",""),"년",""),""),"")</f>
      </c>
      <c r="I57" t="str">
        <f>SUBSTITUTE(SUBSTITUTE(SUBSTITUTE(SUBSTITUTE(SUBSTITUTE(TRIM(B57&amp;""),CHAR(160),"")," ",""),"초등학교","초"),"중학교","중"),"고등학교","고")</f>
      </c>
    </row>
    <row r="58" customFormat="false" ht="15" hidden="false" customHeight="false" outlineLevel="0" collapsed="false">
      <c r="A58" s="8"/>
      <c r="B58" s="8"/>
      <c r="C58" s="8"/>
      <c r="D58" s="8"/>
      <c r="E58" s="8"/>
      <c r="F58" t="str" s="15">
        <f aca="0">IF(B58="","",IF(H58="","확인필요(입력누락)",IF(SUMPRODUCT((실물목록!$P$2:$P$1001&lt;&gt;"")*ISNUMBER(SEARCH(실물목록!$P$2:$P$1001,I58))*(실물목록!$Q$2:$Q$1001&lt;&gt;"")*ISNUMBER(SEARCH(실물목록!$Q$2:$Q$1001,I58))*(실물목록!$R$2:$R$1001="")*(실물목록!$O$2:$O$1001&lt;&gt;"")*(실물목록!$O$2:$O$1001=H58))&gt;0,"실물 있음",IF(SUMPRODUCT((실물목록!$P$2:$P$1001&lt;&gt;"")*ISNUMBER(SEARCH(실물목록!$P$2:$P$1001,I58))*(실물목록!$R$2:$R$1001&lt;&gt;""))&gt;0,"확인필요(입력누락)",IF(SUMPRODUCT((실물목록!$P$2:$P$1001&lt;&gt;"")*ISNUMBER(SEARCH(실물목록!$P$2:$P$1001,I58))*(실물목록!$Q$2:$Q$1001&lt;&gt;"")*ISNUMBER(SEARCH(실물목록!$Q$2:$Q$1001,I58))*(실물목록!$R$2:$R$1001="")*(실물목록!$O$2:$O$1001&lt;&gt;""))&gt;0,"확인필요(연도다름)","실물 없음")))))</f>
      </c>
      <c r="G58" t="n" s="16">
        <f aca="0">IF(B58="","",SUMPRODUCT((실물목록!$P$2:$P$1001&lt;&gt;"")*ISNUMBER(SEARCH(실물목록!$P$2:$P$1001,I58))*(실물목록!$Q$2:$Q$1001&lt;&gt;"")*ISNUMBER(SEARCH(실물목록!$Q$2:$Q$1001,I58))*(실물목록!$R$2:$R$1001="")*(실물목록!$O$2:$O$1001&lt;&gt;"")*(실물목록!$O$2:$O$1001=H58)))</f>
      </c>
      <c r="H58" t="str">
        <f>IFERROR(IF(AND(LEN(SUBSTITUTE(SUBSTITUTE(SUBSTITUTE(TRIM(A58&amp;""),CHAR(160),"")," ",""),"년",""))=4,VALUE(SUBSTITUTE(SUBSTITUTE(SUBSTITUTE(TRIM(A58&amp;""),CHAR(160),"")," ",""),"년",""))&gt;=1900,VALUE(SUBSTITUTE(SUBSTITUTE(SUBSTITUTE(TRIM(A58&amp;""),CHAR(160),"")," ",""),"년",""))&lt;=2099,TEXT(VALUE(SUBSTITUTE(SUBSTITUTE(SUBSTITUTE(TRIM(A58&amp;""),CHAR(160),"")," ",""),"년","")),"0000")=SUBSTITUTE(SUBSTITUTE(SUBSTITUTE(TRIM(A58&amp;""),CHAR(160),"")," ",""),"년","")),SUBSTITUTE(SUBSTITUTE(SUBSTITUTE(TRIM(A58&amp;""),CHAR(160),"")," ",""),"년",""),""),"")</f>
      </c>
      <c r="I58" t="str">
        <f>SUBSTITUTE(SUBSTITUTE(SUBSTITUTE(SUBSTITUTE(SUBSTITUTE(TRIM(B58&amp;""),CHAR(160),"")," ",""),"초등학교","초"),"중학교","중"),"고등학교","고")</f>
      </c>
    </row>
    <row r="59" customFormat="false" ht="15" hidden="false" customHeight="false" outlineLevel="0" collapsed="false">
      <c r="A59" s="8"/>
      <c r="B59" s="8"/>
      <c r="C59" s="8"/>
      <c r="D59" s="8"/>
      <c r="E59" s="8"/>
      <c r="F59" t="str" s="15">
        <f aca="0">IF(B59="","",IF(H59="","확인필요(입력누락)",IF(SUMPRODUCT((실물목록!$P$2:$P$1001&lt;&gt;"")*ISNUMBER(SEARCH(실물목록!$P$2:$P$1001,I59))*(실물목록!$Q$2:$Q$1001&lt;&gt;"")*ISNUMBER(SEARCH(실물목록!$Q$2:$Q$1001,I59))*(실물목록!$R$2:$R$1001="")*(실물목록!$O$2:$O$1001&lt;&gt;"")*(실물목록!$O$2:$O$1001=H59))&gt;0,"실물 있음",IF(SUMPRODUCT((실물목록!$P$2:$P$1001&lt;&gt;"")*ISNUMBER(SEARCH(실물목록!$P$2:$P$1001,I59))*(실물목록!$R$2:$R$1001&lt;&gt;""))&gt;0,"확인필요(입력누락)",IF(SUMPRODUCT((실물목록!$P$2:$P$1001&lt;&gt;"")*ISNUMBER(SEARCH(실물목록!$P$2:$P$1001,I59))*(실물목록!$Q$2:$Q$1001&lt;&gt;"")*ISNUMBER(SEARCH(실물목록!$Q$2:$Q$1001,I59))*(실물목록!$R$2:$R$1001="")*(실물목록!$O$2:$O$1001&lt;&gt;""))&gt;0,"확인필요(연도다름)","실물 없음")))))</f>
      </c>
      <c r="G59" t="n" s="16">
        <f aca="0">IF(B59="","",SUMPRODUCT((실물목록!$P$2:$P$1001&lt;&gt;"")*ISNUMBER(SEARCH(실물목록!$P$2:$P$1001,I59))*(실물목록!$Q$2:$Q$1001&lt;&gt;"")*ISNUMBER(SEARCH(실물목록!$Q$2:$Q$1001,I59))*(실물목록!$R$2:$R$1001="")*(실물목록!$O$2:$O$1001&lt;&gt;"")*(실물목록!$O$2:$O$1001=H59)))</f>
      </c>
      <c r="H59" t="str">
        <f>IFERROR(IF(AND(LEN(SUBSTITUTE(SUBSTITUTE(SUBSTITUTE(TRIM(A59&amp;""),CHAR(160),"")," ",""),"년",""))=4,VALUE(SUBSTITUTE(SUBSTITUTE(SUBSTITUTE(TRIM(A59&amp;""),CHAR(160),"")," ",""),"년",""))&gt;=1900,VALUE(SUBSTITUTE(SUBSTITUTE(SUBSTITUTE(TRIM(A59&amp;""),CHAR(160),"")," ",""),"년",""))&lt;=2099,TEXT(VALUE(SUBSTITUTE(SUBSTITUTE(SUBSTITUTE(TRIM(A59&amp;""),CHAR(160),"")," ",""),"년","")),"0000")=SUBSTITUTE(SUBSTITUTE(SUBSTITUTE(TRIM(A59&amp;""),CHAR(160),"")," ",""),"년","")),SUBSTITUTE(SUBSTITUTE(SUBSTITUTE(TRIM(A59&amp;""),CHAR(160),"")," ",""),"년",""),""),"")</f>
      </c>
      <c r="I59" t="str">
        <f>SUBSTITUTE(SUBSTITUTE(SUBSTITUTE(SUBSTITUTE(SUBSTITUTE(TRIM(B59&amp;""),CHAR(160),"")," ",""),"초등학교","초"),"중학교","중"),"고등학교","고")</f>
      </c>
    </row>
    <row r="60" customFormat="false" ht="15" hidden="false" customHeight="false" outlineLevel="0" collapsed="false">
      <c r="A60" s="8"/>
      <c r="B60" s="8"/>
      <c r="C60" s="8"/>
      <c r="D60" s="8"/>
      <c r="E60" s="8"/>
      <c r="F60" t="str" s="15">
        <f aca="0">IF(B60="","",IF(H60="","확인필요(입력누락)",IF(SUMPRODUCT((실물목록!$P$2:$P$1001&lt;&gt;"")*ISNUMBER(SEARCH(실물목록!$P$2:$P$1001,I60))*(실물목록!$Q$2:$Q$1001&lt;&gt;"")*ISNUMBER(SEARCH(실물목록!$Q$2:$Q$1001,I60))*(실물목록!$R$2:$R$1001="")*(실물목록!$O$2:$O$1001&lt;&gt;"")*(실물목록!$O$2:$O$1001=H60))&gt;0,"실물 있음",IF(SUMPRODUCT((실물목록!$P$2:$P$1001&lt;&gt;"")*ISNUMBER(SEARCH(실물목록!$P$2:$P$1001,I60))*(실물목록!$R$2:$R$1001&lt;&gt;""))&gt;0,"확인필요(입력누락)",IF(SUMPRODUCT((실물목록!$P$2:$P$1001&lt;&gt;"")*ISNUMBER(SEARCH(실물목록!$P$2:$P$1001,I60))*(실물목록!$Q$2:$Q$1001&lt;&gt;"")*ISNUMBER(SEARCH(실물목록!$Q$2:$Q$1001,I60))*(실물목록!$R$2:$R$1001="")*(실물목록!$O$2:$O$1001&lt;&gt;""))&gt;0,"확인필요(연도다름)","실물 없음")))))</f>
      </c>
      <c r="G60" t="n" s="16">
        <f aca="0">IF(B60="","",SUMPRODUCT((실물목록!$P$2:$P$1001&lt;&gt;"")*ISNUMBER(SEARCH(실물목록!$P$2:$P$1001,I60))*(실물목록!$Q$2:$Q$1001&lt;&gt;"")*ISNUMBER(SEARCH(실물목록!$Q$2:$Q$1001,I60))*(실물목록!$R$2:$R$1001="")*(실물목록!$O$2:$O$1001&lt;&gt;"")*(실물목록!$O$2:$O$1001=H60)))</f>
      </c>
      <c r="H60" t="str">
        <f>IFERROR(IF(AND(LEN(SUBSTITUTE(SUBSTITUTE(SUBSTITUTE(TRIM(A60&amp;""),CHAR(160),"")," ",""),"년",""))=4,VALUE(SUBSTITUTE(SUBSTITUTE(SUBSTITUTE(TRIM(A60&amp;""),CHAR(160),"")," ",""),"년",""))&gt;=1900,VALUE(SUBSTITUTE(SUBSTITUTE(SUBSTITUTE(TRIM(A60&amp;""),CHAR(160),"")," ",""),"년",""))&lt;=2099,TEXT(VALUE(SUBSTITUTE(SUBSTITUTE(SUBSTITUTE(TRIM(A60&amp;""),CHAR(160),"")," ",""),"년","")),"0000")=SUBSTITUTE(SUBSTITUTE(SUBSTITUTE(TRIM(A60&amp;""),CHAR(160),"")," ",""),"년","")),SUBSTITUTE(SUBSTITUTE(SUBSTITUTE(TRIM(A60&amp;""),CHAR(160),"")," ",""),"년",""),""),"")</f>
      </c>
      <c r="I60" t="str">
        <f>SUBSTITUTE(SUBSTITUTE(SUBSTITUTE(SUBSTITUTE(SUBSTITUTE(TRIM(B60&amp;""),CHAR(160),"")," ",""),"초등학교","초"),"중학교","중"),"고등학교","고")</f>
      </c>
    </row>
    <row r="61" customFormat="false" ht="15" hidden="false" customHeight="false" outlineLevel="0" collapsed="false">
      <c r="A61" s="8"/>
      <c r="B61" s="8"/>
      <c r="C61" s="8"/>
      <c r="D61" s="8"/>
      <c r="E61" s="8"/>
      <c r="F61" t="str" s="15">
        <f aca="0">IF(B61="","",IF(H61="","확인필요(입력누락)",IF(SUMPRODUCT((실물목록!$P$2:$P$1001&lt;&gt;"")*ISNUMBER(SEARCH(실물목록!$P$2:$P$1001,I61))*(실물목록!$Q$2:$Q$1001&lt;&gt;"")*ISNUMBER(SEARCH(실물목록!$Q$2:$Q$1001,I61))*(실물목록!$R$2:$R$1001="")*(실물목록!$O$2:$O$1001&lt;&gt;"")*(실물목록!$O$2:$O$1001=H61))&gt;0,"실물 있음",IF(SUMPRODUCT((실물목록!$P$2:$P$1001&lt;&gt;"")*ISNUMBER(SEARCH(실물목록!$P$2:$P$1001,I61))*(실물목록!$R$2:$R$1001&lt;&gt;""))&gt;0,"확인필요(입력누락)",IF(SUMPRODUCT((실물목록!$P$2:$P$1001&lt;&gt;"")*ISNUMBER(SEARCH(실물목록!$P$2:$P$1001,I61))*(실물목록!$Q$2:$Q$1001&lt;&gt;"")*ISNUMBER(SEARCH(실물목록!$Q$2:$Q$1001,I61))*(실물목록!$R$2:$R$1001="")*(실물목록!$O$2:$O$1001&lt;&gt;""))&gt;0,"확인필요(연도다름)","실물 없음")))))</f>
      </c>
      <c r="G61" t="n" s="16">
        <f aca="0">IF(B61="","",SUMPRODUCT((실물목록!$P$2:$P$1001&lt;&gt;"")*ISNUMBER(SEARCH(실물목록!$P$2:$P$1001,I61))*(실물목록!$Q$2:$Q$1001&lt;&gt;"")*ISNUMBER(SEARCH(실물목록!$Q$2:$Q$1001,I61))*(실물목록!$R$2:$R$1001="")*(실물목록!$O$2:$O$1001&lt;&gt;"")*(실물목록!$O$2:$O$1001=H61)))</f>
      </c>
      <c r="H61" t="str">
        <f>IFERROR(IF(AND(LEN(SUBSTITUTE(SUBSTITUTE(SUBSTITUTE(TRIM(A61&amp;""),CHAR(160),"")," ",""),"년",""))=4,VALUE(SUBSTITUTE(SUBSTITUTE(SUBSTITUTE(TRIM(A61&amp;""),CHAR(160),"")," ",""),"년",""))&gt;=1900,VALUE(SUBSTITUTE(SUBSTITUTE(SUBSTITUTE(TRIM(A61&amp;""),CHAR(160),"")," ",""),"년",""))&lt;=2099,TEXT(VALUE(SUBSTITUTE(SUBSTITUTE(SUBSTITUTE(TRIM(A61&amp;""),CHAR(160),"")," ",""),"년","")),"0000")=SUBSTITUTE(SUBSTITUTE(SUBSTITUTE(TRIM(A61&amp;""),CHAR(160),"")," ",""),"년","")),SUBSTITUTE(SUBSTITUTE(SUBSTITUTE(TRIM(A61&amp;""),CHAR(160),"")," ",""),"년",""),""),"")</f>
      </c>
      <c r="I61" t="str">
        <f>SUBSTITUTE(SUBSTITUTE(SUBSTITUTE(SUBSTITUTE(SUBSTITUTE(TRIM(B61&amp;""),CHAR(160),"")," ",""),"초등학교","초"),"중학교","중"),"고등학교","고")</f>
      </c>
    </row>
    <row r="62" customFormat="false" ht="15" hidden="false" customHeight="false" outlineLevel="0" collapsed="false">
      <c r="A62" s="8"/>
      <c r="B62" s="8"/>
      <c r="C62" s="8"/>
      <c r="D62" s="8"/>
      <c r="E62" s="8"/>
      <c r="F62" t="str" s="15">
        <f aca="0">IF(B62="","",IF(H62="","확인필요(입력누락)",IF(SUMPRODUCT((실물목록!$P$2:$P$1001&lt;&gt;"")*ISNUMBER(SEARCH(실물목록!$P$2:$P$1001,I62))*(실물목록!$Q$2:$Q$1001&lt;&gt;"")*ISNUMBER(SEARCH(실물목록!$Q$2:$Q$1001,I62))*(실물목록!$R$2:$R$1001="")*(실물목록!$O$2:$O$1001&lt;&gt;"")*(실물목록!$O$2:$O$1001=H62))&gt;0,"실물 있음",IF(SUMPRODUCT((실물목록!$P$2:$P$1001&lt;&gt;"")*ISNUMBER(SEARCH(실물목록!$P$2:$P$1001,I62))*(실물목록!$R$2:$R$1001&lt;&gt;""))&gt;0,"확인필요(입력누락)",IF(SUMPRODUCT((실물목록!$P$2:$P$1001&lt;&gt;"")*ISNUMBER(SEARCH(실물목록!$P$2:$P$1001,I62))*(실물목록!$Q$2:$Q$1001&lt;&gt;"")*ISNUMBER(SEARCH(실물목록!$Q$2:$Q$1001,I62))*(실물목록!$R$2:$R$1001="")*(실물목록!$O$2:$O$1001&lt;&gt;""))&gt;0,"확인필요(연도다름)","실물 없음")))))</f>
      </c>
      <c r="G62" t="n" s="16">
        <f aca="0">IF(B62="","",SUMPRODUCT((실물목록!$P$2:$P$1001&lt;&gt;"")*ISNUMBER(SEARCH(실물목록!$P$2:$P$1001,I62))*(실물목록!$Q$2:$Q$1001&lt;&gt;"")*ISNUMBER(SEARCH(실물목록!$Q$2:$Q$1001,I62))*(실물목록!$R$2:$R$1001="")*(실물목록!$O$2:$O$1001&lt;&gt;"")*(실물목록!$O$2:$O$1001=H62)))</f>
      </c>
      <c r="H62" t="str">
        <f>IFERROR(IF(AND(LEN(SUBSTITUTE(SUBSTITUTE(SUBSTITUTE(TRIM(A62&amp;""),CHAR(160),"")," ",""),"년",""))=4,VALUE(SUBSTITUTE(SUBSTITUTE(SUBSTITUTE(TRIM(A62&amp;""),CHAR(160),"")," ",""),"년",""))&gt;=1900,VALUE(SUBSTITUTE(SUBSTITUTE(SUBSTITUTE(TRIM(A62&amp;""),CHAR(160),"")," ",""),"년",""))&lt;=2099,TEXT(VALUE(SUBSTITUTE(SUBSTITUTE(SUBSTITUTE(TRIM(A62&amp;""),CHAR(160),"")," ",""),"년","")),"0000")=SUBSTITUTE(SUBSTITUTE(SUBSTITUTE(TRIM(A62&amp;""),CHAR(160),"")," ",""),"년","")),SUBSTITUTE(SUBSTITUTE(SUBSTITUTE(TRIM(A62&amp;""),CHAR(160),"")," ",""),"년",""),""),"")</f>
      </c>
      <c r="I62" t="str">
        <f>SUBSTITUTE(SUBSTITUTE(SUBSTITUTE(SUBSTITUTE(SUBSTITUTE(TRIM(B62&amp;""),CHAR(160),"")," ",""),"초등학교","초"),"중학교","중"),"고등학교","고")</f>
      </c>
    </row>
    <row r="63" customFormat="false" ht="15" hidden="false" customHeight="false" outlineLevel="0" collapsed="false">
      <c r="A63" s="8"/>
      <c r="B63" s="8"/>
      <c r="C63" s="8"/>
      <c r="D63" s="8"/>
      <c r="E63" s="8"/>
      <c r="F63" t="str" s="15">
        <f aca="0">IF(B63="","",IF(H63="","확인필요(입력누락)",IF(SUMPRODUCT((실물목록!$P$2:$P$1001&lt;&gt;"")*ISNUMBER(SEARCH(실물목록!$P$2:$P$1001,I63))*(실물목록!$Q$2:$Q$1001&lt;&gt;"")*ISNUMBER(SEARCH(실물목록!$Q$2:$Q$1001,I63))*(실물목록!$R$2:$R$1001="")*(실물목록!$O$2:$O$1001&lt;&gt;"")*(실물목록!$O$2:$O$1001=H63))&gt;0,"실물 있음",IF(SUMPRODUCT((실물목록!$P$2:$P$1001&lt;&gt;"")*ISNUMBER(SEARCH(실물목록!$P$2:$P$1001,I63))*(실물목록!$R$2:$R$1001&lt;&gt;""))&gt;0,"확인필요(입력누락)",IF(SUMPRODUCT((실물목록!$P$2:$P$1001&lt;&gt;"")*ISNUMBER(SEARCH(실물목록!$P$2:$P$1001,I63))*(실물목록!$Q$2:$Q$1001&lt;&gt;"")*ISNUMBER(SEARCH(실물목록!$Q$2:$Q$1001,I63))*(실물목록!$R$2:$R$1001="")*(실물목록!$O$2:$O$1001&lt;&gt;""))&gt;0,"확인필요(연도다름)","실물 없음")))))</f>
      </c>
      <c r="G63" t="n" s="16">
        <f aca="0">IF(B63="","",SUMPRODUCT((실물목록!$P$2:$P$1001&lt;&gt;"")*ISNUMBER(SEARCH(실물목록!$P$2:$P$1001,I63))*(실물목록!$Q$2:$Q$1001&lt;&gt;"")*ISNUMBER(SEARCH(실물목록!$Q$2:$Q$1001,I63))*(실물목록!$R$2:$R$1001="")*(실물목록!$O$2:$O$1001&lt;&gt;"")*(실물목록!$O$2:$O$1001=H63)))</f>
      </c>
      <c r="H63" t="str">
        <f>IFERROR(IF(AND(LEN(SUBSTITUTE(SUBSTITUTE(SUBSTITUTE(TRIM(A63&amp;""),CHAR(160),"")," ",""),"년",""))=4,VALUE(SUBSTITUTE(SUBSTITUTE(SUBSTITUTE(TRIM(A63&amp;""),CHAR(160),"")," ",""),"년",""))&gt;=1900,VALUE(SUBSTITUTE(SUBSTITUTE(SUBSTITUTE(TRIM(A63&amp;""),CHAR(160),"")," ",""),"년",""))&lt;=2099,TEXT(VALUE(SUBSTITUTE(SUBSTITUTE(SUBSTITUTE(TRIM(A63&amp;""),CHAR(160),"")," ",""),"년","")),"0000")=SUBSTITUTE(SUBSTITUTE(SUBSTITUTE(TRIM(A63&amp;""),CHAR(160),"")," ",""),"년","")),SUBSTITUTE(SUBSTITUTE(SUBSTITUTE(TRIM(A63&amp;""),CHAR(160),"")," ",""),"년",""),""),"")</f>
      </c>
      <c r="I63" t="str">
        <f>SUBSTITUTE(SUBSTITUTE(SUBSTITUTE(SUBSTITUTE(SUBSTITUTE(TRIM(B63&amp;""),CHAR(160),"")," ",""),"초등학교","초"),"중학교","중"),"고등학교","고")</f>
      </c>
    </row>
    <row r="64" customFormat="false" ht="15" hidden="false" customHeight="false" outlineLevel="0" collapsed="false">
      <c r="A64" s="8"/>
      <c r="B64" s="8"/>
      <c r="C64" s="8"/>
      <c r="D64" s="8"/>
      <c r="E64" s="8"/>
      <c r="F64" t="str" s="15">
        <f aca="0">IF(B64="","",IF(H64="","확인필요(입력누락)",IF(SUMPRODUCT((실물목록!$P$2:$P$1001&lt;&gt;"")*ISNUMBER(SEARCH(실물목록!$P$2:$P$1001,I64))*(실물목록!$Q$2:$Q$1001&lt;&gt;"")*ISNUMBER(SEARCH(실물목록!$Q$2:$Q$1001,I64))*(실물목록!$R$2:$R$1001="")*(실물목록!$O$2:$O$1001&lt;&gt;"")*(실물목록!$O$2:$O$1001=H64))&gt;0,"실물 있음",IF(SUMPRODUCT((실물목록!$P$2:$P$1001&lt;&gt;"")*ISNUMBER(SEARCH(실물목록!$P$2:$P$1001,I64))*(실물목록!$R$2:$R$1001&lt;&gt;""))&gt;0,"확인필요(입력누락)",IF(SUMPRODUCT((실물목록!$P$2:$P$1001&lt;&gt;"")*ISNUMBER(SEARCH(실물목록!$P$2:$P$1001,I64))*(실물목록!$Q$2:$Q$1001&lt;&gt;"")*ISNUMBER(SEARCH(실물목록!$Q$2:$Q$1001,I64))*(실물목록!$R$2:$R$1001="")*(실물목록!$O$2:$O$1001&lt;&gt;""))&gt;0,"확인필요(연도다름)","실물 없음")))))</f>
      </c>
      <c r="G64" t="n" s="16">
        <f aca="0">IF(B64="","",SUMPRODUCT((실물목록!$P$2:$P$1001&lt;&gt;"")*ISNUMBER(SEARCH(실물목록!$P$2:$P$1001,I64))*(실물목록!$Q$2:$Q$1001&lt;&gt;"")*ISNUMBER(SEARCH(실물목록!$Q$2:$Q$1001,I64))*(실물목록!$R$2:$R$1001="")*(실물목록!$O$2:$O$1001&lt;&gt;"")*(실물목록!$O$2:$O$1001=H64)))</f>
      </c>
      <c r="H64" t="str">
        <f>IFERROR(IF(AND(LEN(SUBSTITUTE(SUBSTITUTE(SUBSTITUTE(TRIM(A64&amp;""),CHAR(160),"")," ",""),"년",""))=4,VALUE(SUBSTITUTE(SUBSTITUTE(SUBSTITUTE(TRIM(A64&amp;""),CHAR(160),"")," ",""),"년",""))&gt;=1900,VALUE(SUBSTITUTE(SUBSTITUTE(SUBSTITUTE(TRIM(A64&amp;""),CHAR(160),"")," ",""),"년",""))&lt;=2099,TEXT(VALUE(SUBSTITUTE(SUBSTITUTE(SUBSTITUTE(TRIM(A64&amp;""),CHAR(160),"")," ",""),"년","")),"0000")=SUBSTITUTE(SUBSTITUTE(SUBSTITUTE(TRIM(A64&amp;""),CHAR(160),"")," ",""),"년","")),SUBSTITUTE(SUBSTITUTE(SUBSTITUTE(TRIM(A64&amp;""),CHAR(160),"")," ",""),"년",""),""),"")</f>
      </c>
      <c r="I64" t="str">
        <f>SUBSTITUTE(SUBSTITUTE(SUBSTITUTE(SUBSTITUTE(SUBSTITUTE(TRIM(B64&amp;""),CHAR(160),"")," ",""),"초등학교","초"),"중학교","중"),"고등학교","고")</f>
      </c>
    </row>
    <row r="65" customFormat="false" ht="15" hidden="false" customHeight="false" outlineLevel="0" collapsed="false">
      <c r="A65" s="8"/>
      <c r="B65" s="8"/>
      <c r="C65" s="8"/>
      <c r="D65" s="8"/>
      <c r="E65" s="8"/>
      <c r="F65" t="str" s="15">
        <f aca="0">IF(B65="","",IF(H65="","확인필요(입력누락)",IF(SUMPRODUCT((실물목록!$P$2:$P$1001&lt;&gt;"")*ISNUMBER(SEARCH(실물목록!$P$2:$P$1001,I65))*(실물목록!$Q$2:$Q$1001&lt;&gt;"")*ISNUMBER(SEARCH(실물목록!$Q$2:$Q$1001,I65))*(실물목록!$R$2:$R$1001="")*(실물목록!$O$2:$O$1001&lt;&gt;"")*(실물목록!$O$2:$O$1001=H65))&gt;0,"실물 있음",IF(SUMPRODUCT((실물목록!$P$2:$P$1001&lt;&gt;"")*ISNUMBER(SEARCH(실물목록!$P$2:$P$1001,I65))*(실물목록!$R$2:$R$1001&lt;&gt;""))&gt;0,"확인필요(입력누락)",IF(SUMPRODUCT((실물목록!$P$2:$P$1001&lt;&gt;"")*ISNUMBER(SEARCH(실물목록!$P$2:$P$1001,I65))*(실물목록!$Q$2:$Q$1001&lt;&gt;"")*ISNUMBER(SEARCH(실물목록!$Q$2:$Q$1001,I65))*(실물목록!$R$2:$R$1001="")*(실물목록!$O$2:$O$1001&lt;&gt;""))&gt;0,"확인필요(연도다름)","실물 없음")))))</f>
      </c>
      <c r="G65" t="n" s="16">
        <f aca="0">IF(B65="","",SUMPRODUCT((실물목록!$P$2:$P$1001&lt;&gt;"")*ISNUMBER(SEARCH(실물목록!$P$2:$P$1001,I65))*(실물목록!$Q$2:$Q$1001&lt;&gt;"")*ISNUMBER(SEARCH(실물목록!$Q$2:$Q$1001,I65))*(실물목록!$R$2:$R$1001="")*(실물목록!$O$2:$O$1001&lt;&gt;"")*(실물목록!$O$2:$O$1001=H65)))</f>
      </c>
      <c r="H65" t="str">
        <f>IFERROR(IF(AND(LEN(SUBSTITUTE(SUBSTITUTE(SUBSTITUTE(TRIM(A65&amp;""),CHAR(160),"")," ",""),"년",""))=4,VALUE(SUBSTITUTE(SUBSTITUTE(SUBSTITUTE(TRIM(A65&amp;""),CHAR(160),"")," ",""),"년",""))&gt;=1900,VALUE(SUBSTITUTE(SUBSTITUTE(SUBSTITUTE(TRIM(A65&amp;""),CHAR(160),"")," ",""),"년",""))&lt;=2099,TEXT(VALUE(SUBSTITUTE(SUBSTITUTE(SUBSTITUTE(TRIM(A65&amp;""),CHAR(160),"")," ",""),"년","")),"0000")=SUBSTITUTE(SUBSTITUTE(SUBSTITUTE(TRIM(A65&amp;""),CHAR(160),"")," ",""),"년","")),SUBSTITUTE(SUBSTITUTE(SUBSTITUTE(TRIM(A65&amp;""),CHAR(160),"")," ",""),"년",""),""),"")</f>
      </c>
      <c r="I65" t="str">
        <f>SUBSTITUTE(SUBSTITUTE(SUBSTITUTE(SUBSTITUTE(SUBSTITUTE(TRIM(B65&amp;""),CHAR(160),"")," ",""),"초등학교","초"),"중학교","중"),"고등학교","고")</f>
      </c>
    </row>
    <row r="66" customFormat="false" ht="15" hidden="false" customHeight="false" outlineLevel="0" collapsed="false">
      <c r="A66" s="8"/>
      <c r="B66" s="8"/>
      <c r="C66" s="8"/>
      <c r="D66" s="8"/>
      <c r="E66" s="8"/>
      <c r="F66" t="str" s="15">
        <f aca="0">IF(B66="","",IF(H66="","확인필요(입력누락)",IF(SUMPRODUCT((실물목록!$P$2:$P$1001&lt;&gt;"")*ISNUMBER(SEARCH(실물목록!$P$2:$P$1001,I66))*(실물목록!$Q$2:$Q$1001&lt;&gt;"")*ISNUMBER(SEARCH(실물목록!$Q$2:$Q$1001,I66))*(실물목록!$R$2:$R$1001="")*(실물목록!$O$2:$O$1001&lt;&gt;"")*(실물목록!$O$2:$O$1001=H66))&gt;0,"실물 있음",IF(SUMPRODUCT((실물목록!$P$2:$P$1001&lt;&gt;"")*ISNUMBER(SEARCH(실물목록!$P$2:$P$1001,I66))*(실물목록!$R$2:$R$1001&lt;&gt;""))&gt;0,"확인필요(입력누락)",IF(SUMPRODUCT((실물목록!$P$2:$P$1001&lt;&gt;"")*ISNUMBER(SEARCH(실물목록!$P$2:$P$1001,I66))*(실물목록!$Q$2:$Q$1001&lt;&gt;"")*ISNUMBER(SEARCH(실물목록!$Q$2:$Q$1001,I66))*(실물목록!$R$2:$R$1001="")*(실물목록!$O$2:$O$1001&lt;&gt;""))&gt;0,"확인필요(연도다름)","실물 없음")))))</f>
      </c>
      <c r="G66" t="n" s="16">
        <f aca="0">IF(B66="","",SUMPRODUCT((실물목록!$P$2:$P$1001&lt;&gt;"")*ISNUMBER(SEARCH(실물목록!$P$2:$P$1001,I66))*(실물목록!$Q$2:$Q$1001&lt;&gt;"")*ISNUMBER(SEARCH(실물목록!$Q$2:$Q$1001,I66))*(실물목록!$R$2:$R$1001="")*(실물목록!$O$2:$O$1001&lt;&gt;"")*(실물목록!$O$2:$O$1001=H66)))</f>
      </c>
      <c r="H66" t="str">
        <f>IFERROR(IF(AND(LEN(SUBSTITUTE(SUBSTITUTE(SUBSTITUTE(TRIM(A66&amp;""),CHAR(160),"")," ",""),"년",""))=4,VALUE(SUBSTITUTE(SUBSTITUTE(SUBSTITUTE(TRIM(A66&amp;""),CHAR(160),"")," ",""),"년",""))&gt;=1900,VALUE(SUBSTITUTE(SUBSTITUTE(SUBSTITUTE(TRIM(A66&amp;""),CHAR(160),"")," ",""),"년",""))&lt;=2099,TEXT(VALUE(SUBSTITUTE(SUBSTITUTE(SUBSTITUTE(TRIM(A66&amp;""),CHAR(160),"")," ",""),"년","")),"0000")=SUBSTITUTE(SUBSTITUTE(SUBSTITUTE(TRIM(A66&amp;""),CHAR(160),"")," ",""),"년","")),SUBSTITUTE(SUBSTITUTE(SUBSTITUTE(TRIM(A66&amp;""),CHAR(160),"")," ",""),"년",""),""),"")</f>
      </c>
      <c r="I66" t="str">
        <f>SUBSTITUTE(SUBSTITUTE(SUBSTITUTE(SUBSTITUTE(SUBSTITUTE(TRIM(B66&amp;""),CHAR(160),"")," ",""),"초등학교","초"),"중학교","중"),"고등학교","고")</f>
      </c>
    </row>
    <row r="67" customFormat="false" ht="15" hidden="false" customHeight="false" outlineLevel="0" collapsed="false">
      <c r="A67" s="8"/>
      <c r="B67" s="8"/>
      <c r="C67" s="8"/>
      <c r="D67" s="8"/>
      <c r="E67" s="8"/>
      <c r="F67" t="str" s="15">
        <f aca="0">IF(B67="","",IF(H67="","확인필요(입력누락)",IF(SUMPRODUCT((실물목록!$P$2:$P$1001&lt;&gt;"")*ISNUMBER(SEARCH(실물목록!$P$2:$P$1001,I67))*(실물목록!$Q$2:$Q$1001&lt;&gt;"")*ISNUMBER(SEARCH(실물목록!$Q$2:$Q$1001,I67))*(실물목록!$R$2:$R$1001="")*(실물목록!$O$2:$O$1001&lt;&gt;"")*(실물목록!$O$2:$O$1001=H67))&gt;0,"실물 있음",IF(SUMPRODUCT((실물목록!$P$2:$P$1001&lt;&gt;"")*ISNUMBER(SEARCH(실물목록!$P$2:$P$1001,I67))*(실물목록!$R$2:$R$1001&lt;&gt;""))&gt;0,"확인필요(입력누락)",IF(SUMPRODUCT((실물목록!$P$2:$P$1001&lt;&gt;"")*ISNUMBER(SEARCH(실물목록!$P$2:$P$1001,I67))*(실물목록!$Q$2:$Q$1001&lt;&gt;"")*ISNUMBER(SEARCH(실물목록!$Q$2:$Q$1001,I67))*(실물목록!$R$2:$R$1001="")*(실물목록!$O$2:$O$1001&lt;&gt;""))&gt;0,"확인필요(연도다름)","실물 없음")))))</f>
      </c>
      <c r="G67" t="n" s="16">
        <f aca="0">IF(B67="","",SUMPRODUCT((실물목록!$P$2:$P$1001&lt;&gt;"")*ISNUMBER(SEARCH(실물목록!$P$2:$P$1001,I67))*(실물목록!$Q$2:$Q$1001&lt;&gt;"")*ISNUMBER(SEARCH(실물목록!$Q$2:$Q$1001,I67))*(실물목록!$R$2:$R$1001="")*(실물목록!$O$2:$O$1001&lt;&gt;"")*(실물목록!$O$2:$O$1001=H67)))</f>
      </c>
      <c r="H67" t="str">
        <f>IFERROR(IF(AND(LEN(SUBSTITUTE(SUBSTITUTE(SUBSTITUTE(TRIM(A67&amp;""),CHAR(160),"")," ",""),"년",""))=4,VALUE(SUBSTITUTE(SUBSTITUTE(SUBSTITUTE(TRIM(A67&amp;""),CHAR(160),"")," ",""),"년",""))&gt;=1900,VALUE(SUBSTITUTE(SUBSTITUTE(SUBSTITUTE(TRIM(A67&amp;""),CHAR(160),"")," ",""),"년",""))&lt;=2099,TEXT(VALUE(SUBSTITUTE(SUBSTITUTE(SUBSTITUTE(TRIM(A67&amp;""),CHAR(160),"")," ",""),"년","")),"0000")=SUBSTITUTE(SUBSTITUTE(SUBSTITUTE(TRIM(A67&amp;""),CHAR(160),"")," ",""),"년","")),SUBSTITUTE(SUBSTITUTE(SUBSTITUTE(TRIM(A67&amp;""),CHAR(160),"")," ",""),"년",""),""),"")</f>
      </c>
      <c r="I67" t="str">
        <f>SUBSTITUTE(SUBSTITUTE(SUBSTITUTE(SUBSTITUTE(SUBSTITUTE(TRIM(B67&amp;""),CHAR(160),"")," ",""),"초등학교","초"),"중학교","중"),"고등학교","고")</f>
      </c>
    </row>
    <row r="68" customFormat="false" ht="15" hidden="false" customHeight="false" outlineLevel="0" collapsed="false">
      <c r="A68" s="8"/>
      <c r="B68" s="8"/>
      <c r="C68" s="8"/>
      <c r="D68" s="8"/>
      <c r="E68" s="8"/>
      <c r="F68" t="str" s="15">
        <f aca="0">IF(B68="","",IF(H68="","확인필요(입력누락)",IF(SUMPRODUCT((실물목록!$P$2:$P$1001&lt;&gt;"")*ISNUMBER(SEARCH(실물목록!$P$2:$P$1001,I68))*(실물목록!$Q$2:$Q$1001&lt;&gt;"")*ISNUMBER(SEARCH(실물목록!$Q$2:$Q$1001,I68))*(실물목록!$R$2:$R$1001="")*(실물목록!$O$2:$O$1001&lt;&gt;"")*(실물목록!$O$2:$O$1001=H68))&gt;0,"실물 있음",IF(SUMPRODUCT((실물목록!$P$2:$P$1001&lt;&gt;"")*ISNUMBER(SEARCH(실물목록!$P$2:$P$1001,I68))*(실물목록!$R$2:$R$1001&lt;&gt;""))&gt;0,"확인필요(입력누락)",IF(SUMPRODUCT((실물목록!$P$2:$P$1001&lt;&gt;"")*ISNUMBER(SEARCH(실물목록!$P$2:$P$1001,I68))*(실물목록!$Q$2:$Q$1001&lt;&gt;"")*ISNUMBER(SEARCH(실물목록!$Q$2:$Q$1001,I68))*(실물목록!$R$2:$R$1001="")*(실물목록!$O$2:$O$1001&lt;&gt;""))&gt;0,"확인필요(연도다름)","실물 없음")))))</f>
      </c>
      <c r="G68" t="n" s="16">
        <f aca="0">IF(B68="","",SUMPRODUCT((실물목록!$P$2:$P$1001&lt;&gt;"")*ISNUMBER(SEARCH(실물목록!$P$2:$P$1001,I68))*(실물목록!$Q$2:$Q$1001&lt;&gt;"")*ISNUMBER(SEARCH(실물목록!$Q$2:$Q$1001,I68))*(실물목록!$R$2:$R$1001="")*(실물목록!$O$2:$O$1001&lt;&gt;"")*(실물목록!$O$2:$O$1001=H68)))</f>
      </c>
      <c r="H68" t="str">
        <f>IFERROR(IF(AND(LEN(SUBSTITUTE(SUBSTITUTE(SUBSTITUTE(TRIM(A68&amp;""),CHAR(160),"")," ",""),"년",""))=4,VALUE(SUBSTITUTE(SUBSTITUTE(SUBSTITUTE(TRIM(A68&amp;""),CHAR(160),"")," ",""),"년",""))&gt;=1900,VALUE(SUBSTITUTE(SUBSTITUTE(SUBSTITUTE(TRIM(A68&amp;""),CHAR(160),"")," ",""),"년",""))&lt;=2099,TEXT(VALUE(SUBSTITUTE(SUBSTITUTE(SUBSTITUTE(TRIM(A68&amp;""),CHAR(160),"")," ",""),"년","")),"0000")=SUBSTITUTE(SUBSTITUTE(SUBSTITUTE(TRIM(A68&amp;""),CHAR(160),"")," ",""),"년","")),SUBSTITUTE(SUBSTITUTE(SUBSTITUTE(TRIM(A68&amp;""),CHAR(160),"")," ",""),"년",""),""),"")</f>
      </c>
      <c r="I68" t="str">
        <f>SUBSTITUTE(SUBSTITUTE(SUBSTITUTE(SUBSTITUTE(SUBSTITUTE(TRIM(B68&amp;""),CHAR(160),"")," ",""),"초등학교","초"),"중학교","중"),"고등학교","고")</f>
      </c>
    </row>
    <row r="69" customFormat="false" ht="15" hidden="false" customHeight="false" outlineLevel="0" collapsed="false">
      <c r="A69" s="8"/>
      <c r="B69" s="8"/>
      <c r="C69" s="8"/>
      <c r="D69" s="8"/>
      <c r="E69" s="8"/>
      <c r="F69" t="str" s="15">
        <f aca="0">IF(B69="","",IF(H69="","확인필요(입력누락)",IF(SUMPRODUCT((실물목록!$P$2:$P$1001&lt;&gt;"")*ISNUMBER(SEARCH(실물목록!$P$2:$P$1001,I69))*(실물목록!$Q$2:$Q$1001&lt;&gt;"")*ISNUMBER(SEARCH(실물목록!$Q$2:$Q$1001,I69))*(실물목록!$R$2:$R$1001="")*(실물목록!$O$2:$O$1001&lt;&gt;"")*(실물목록!$O$2:$O$1001=H69))&gt;0,"실물 있음",IF(SUMPRODUCT((실물목록!$P$2:$P$1001&lt;&gt;"")*ISNUMBER(SEARCH(실물목록!$P$2:$P$1001,I69))*(실물목록!$R$2:$R$1001&lt;&gt;""))&gt;0,"확인필요(입력누락)",IF(SUMPRODUCT((실물목록!$P$2:$P$1001&lt;&gt;"")*ISNUMBER(SEARCH(실물목록!$P$2:$P$1001,I69))*(실물목록!$Q$2:$Q$1001&lt;&gt;"")*ISNUMBER(SEARCH(실물목록!$Q$2:$Q$1001,I69))*(실물목록!$R$2:$R$1001="")*(실물목록!$O$2:$O$1001&lt;&gt;""))&gt;0,"확인필요(연도다름)","실물 없음")))))</f>
      </c>
      <c r="G69" t="n" s="16">
        <f aca="0">IF(B69="","",SUMPRODUCT((실물목록!$P$2:$P$1001&lt;&gt;"")*ISNUMBER(SEARCH(실물목록!$P$2:$P$1001,I69))*(실물목록!$Q$2:$Q$1001&lt;&gt;"")*ISNUMBER(SEARCH(실물목록!$Q$2:$Q$1001,I69))*(실물목록!$R$2:$R$1001="")*(실물목록!$O$2:$O$1001&lt;&gt;"")*(실물목록!$O$2:$O$1001=H69)))</f>
      </c>
      <c r="H69" t="str">
        <f>IFERROR(IF(AND(LEN(SUBSTITUTE(SUBSTITUTE(SUBSTITUTE(TRIM(A69&amp;""),CHAR(160),"")," ",""),"년",""))=4,VALUE(SUBSTITUTE(SUBSTITUTE(SUBSTITUTE(TRIM(A69&amp;""),CHAR(160),"")," ",""),"년",""))&gt;=1900,VALUE(SUBSTITUTE(SUBSTITUTE(SUBSTITUTE(TRIM(A69&amp;""),CHAR(160),"")," ",""),"년",""))&lt;=2099,TEXT(VALUE(SUBSTITUTE(SUBSTITUTE(SUBSTITUTE(TRIM(A69&amp;""),CHAR(160),"")," ",""),"년","")),"0000")=SUBSTITUTE(SUBSTITUTE(SUBSTITUTE(TRIM(A69&amp;""),CHAR(160),"")," ",""),"년","")),SUBSTITUTE(SUBSTITUTE(SUBSTITUTE(TRIM(A69&amp;""),CHAR(160),"")," ",""),"년",""),""),"")</f>
      </c>
      <c r="I69" t="str">
        <f>SUBSTITUTE(SUBSTITUTE(SUBSTITUTE(SUBSTITUTE(SUBSTITUTE(TRIM(B69&amp;""),CHAR(160),"")," ",""),"초등학교","초"),"중학교","중"),"고등학교","고")</f>
      </c>
    </row>
    <row r="70" customFormat="false" ht="15" hidden="false" customHeight="false" outlineLevel="0" collapsed="false">
      <c r="A70" s="8"/>
      <c r="B70" s="8"/>
      <c r="C70" s="8"/>
      <c r="D70" s="8"/>
      <c r="E70" s="8"/>
      <c r="F70" t="str" s="15">
        <f aca="0">IF(B70="","",IF(H70="","확인필요(입력누락)",IF(SUMPRODUCT((실물목록!$P$2:$P$1001&lt;&gt;"")*ISNUMBER(SEARCH(실물목록!$P$2:$P$1001,I70))*(실물목록!$Q$2:$Q$1001&lt;&gt;"")*ISNUMBER(SEARCH(실물목록!$Q$2:$Q$1001,I70))*(실물목록!$R$2:$R$1001="")*(실물목록!$O$2:$O$1001&lt;&gt;"")*(실물목록!$O$2:$O$1001=H70))&gt;0,"실물 있음",IF(SUMPRODUCT((실물목록!$P$2:$P$1001&lt;&gt;"")*ISNUMBER(SEARCH(실물목록!$P$2:$P$1001,I70))*(실물목록!$R$2:$R$1001&lt;&gt;""))&gt;0,"확인필요(입력누락)",IF(SUMPRODUCT((실물목록!$P$2:$P$1001&lt;&gt;"")*ISNUMBER(SEARCH(실물목록!$P$2:$P$1001,I70))*(실물목록!$Q$2:$Q$1001&lt;&gt;"")*ISNUMBER(SEARCH(실물목록!$Q$2:$Q$1001,I70))*(실물목록!$R$2:$R$1001="")*(실물목록!$O$2:$O$1001&lt;&gt;""))&gt;0,"확인필요(연도다름)","실물 없음")))))</f>
      </c>
      <c r="G70" t="n" s="16">
        <f aca="0">IF(B70="","",SUMPRODUCT((실물목록!$P$2:$P$1001&lt;&gt;"")*ISNUMBER(SEARCH(실물목록!$P$2:$P$1001,I70))*(실물목록!$Q$2:$Q$1001&lt;&gt;"")*ISNUMBER(SEARCH(실물목록!$Q$2:$Q$1001,I70))*(실물목록!$R$2:$R$1001="")*(실물목록!$O$2:$O$1001&lt;&gt;"")*(실물목록!$O$2:$O$1001=H70)))</f>
      </c>
      <c r="H70" t="str">
        <f>IFERROR(IF(AND(LEN(SUBSTITUTE(SUBSTITUTE(SUBSTITUTE(TRIM(A70&amp;""),CHAR(160),"")," ",""),"년",""))=4,VALUE(SUBSTITUTE(SUBSTITUTE(SUBSTITUTE(TRIM(A70&amp;""),CHAR(160),"")," ",""),"년",""))&gt;=1900,VALUE(SUBSTITUTE(SUBSTITUTE(SUBSTITUTE(TRIM(A70&amp;""),CHAR(160),"")," ",""),"년",""))&lt;=2099,TEXT(VALUE(SUBSTITUTE(SUBSTITUTE(SUBSTITUTE(TRIM(A70&amp;""),CHAR(160),"")," ",""),"년","")),"0000")=SUBSTITUTE(SUBSTITUTE(SUBSTITUTE(TRIM(A70&amp;""),CHAR(160),"")," ",""),"년","")),SUBSTITUTE(SUBSTITUTE(SUBSTITUTE(TRIM(A70&amp;""),CHAR(160),"")," ",""),"년",""),""),"")</f>
      </c>
      <c r="I70" t="str">
        <f>SUBSTITUTE(SUBSTITUTE(SUBSTITUTE(SUBSTITUTE(SUBSTITUTE(TRIM(B70&amp;""),CHAR(160),"")," ",""),"초등학교","초"),"중학교","중"),"고등학교","고")</f>
      </c>
    </row>
    <row r="71" customFormat="false" ht="15" hidden="false" customHeight="false" outlineLevel="0" collapsed="false">
      <c r="A71" s="8"/>
      <c r="B71" s="8"/>
      <c r="C71" s="8"/>
      <c r="D71" s="8"/>
      <c r="E71" s="8"/>
      <c r="F71" t="str" s="15">
        <f aca="0">IF(B71="","",IF(H71="","확인필요(입력누락)",IF(SUMPRODUCT((실물목록!$P$2:$P$1001&lt;&gt;"")*ISNUMBER(SEARCH(실물목록!$P$2:$P$1001,I71))*(실물목록!$Q$2:$Q$1001&lt;&gt;"")*ISNUMBER(SEARCH(실물목록!$Q$2:$Q$1001,I71))*(실물목록!$R$2:$R$1001="")*(실물목록!$O$2:$O$1001&lt;&gt;"")*(실물목록!$O$2:$O$1001=H71))&gt;0,"실물 있음",IF(SUMPRODUCT((실물목록!$P$2:$P$1001&lt;&gt;"")*ISNUMBER(SEARCH(실물목록!$P$2:$P$1001,I71))*(실물목록!$R$2:$R$1001&lt;&gt;""))&gt;0,"확인필요(입력누락)",IF(SUMPRODUCT((실물목록!$P$2:$P$1001&lt;&gt;"")*ISNUMBER(SEARCH(실물목록!$P$2:$P$1001,I71))*(실물목록!$Q$2:$Q$1001&lt;&gt;"")*ISNUMBER(SEARCH(실물목록!$Q$2:$Q$1001,I71))*(실물목록!$R$2:$R$1001="")*(실물목록!$O$2:$O$1001&lt;&gt;""))&gt;0,"확인필요(연도다름)","실물 없음")))))</f>
      </c>
      <c r="G71" t="n" s="16">
        <f aca="0">IF(B71="","",SUMPRODUCT((실물목록!$P$2:$P$1001&lt;&gt;"")*ISNUMBER(SEARCH(실물목록!$P$2:$P$1001,I71))*(실물목록!$Q$2:$Q$1001&lt;&gt;"")*ISNUMBER(SEARCH(실물목록!$Q$2:$Q$1001,I71))*(실물목록!$R$2:$R$1001="")*(실물목록!$O$2:$O$1001&lt;&gt;"")*(실물목록!$O$2:$O$1001=H71)))</f>
      </c>
      <c r="H71" t="str">
        <f>IFERROR(IF(AND(LEN(SUBSTITUTE(SUBSTITUTE(SUBSTITUTE(TRIM(A71&amp;""),CHAR(160),"")," ",""),"년",""))=4,VALUE(SUBSTITUTE(SUBSTITUTE(SUBSTITUTE(TRIM(A71&amp;""),CHAR(160),"")," ",""),"년",""))&gt;=1900,VALUE(SUBSTITUTE(SUBSTITUTE(SUBSTITUTE(TRIM(A71&amp;""),CHAR(160),"")," ",""),"년",""))&lt;=2099,TEXT(VALUE(SUBSTITUTE(SUBSTITUTE(SUBSTITUTE(TRIM(A71&amp;""),CHAR(160),"")," ",""),"년","")),"0000")=SUBSTITUTE(SUBSTITUTE(SUBSTITUTE(TRIM(A71&amp;""),CHAR(160),"")," ",""),"년","")),SUBSTITUTE(SUBSTITUTE(SUBSTITUTE(TRIM(A71&amp;""),CHAR(160),"")," ",""),"년",""),""),"")</f>
      </c>
      <c r="I71" t="str">
        <f>SUBSTITUTE(SUBSTITUTE(SUBSTITUTE(SUBSTITUTE(SUBSTITUTE(TRIM(B71&amp;""),CHAR(160),"")," ",""),"초등학교","초"),"중학교","중"),"고등학교","고")</f>
      </c>
    </row>
    <row r="72" customFormat="false" ht="15" hidden="false" customHeight="false" outlineLevel="0" collapsed="false">
      <c r="A72" s="8"/>
      <c r="B72" s="8"/>
      <c r="C72" s="8"/>
      <c r="D72" s="8"/>
      <c r="E72" s="8"/>
      <c r="F72" t="str" s="15">
        <f aca="0">IF(B72="","",IF(H72="","확인필요(입력누락)",IF(SUMPRODUCT((실물목록!$P$2:$P$1001&lt;&gt;"")*ISNUMBER(SEARCH(실물목록!$P$2:$P$1001,I72))*(실물목록!$Q$2:$Q$1001&lt;&gt;"")*ISNUMBER(SEARCH(실물목록!$Q$2:$Q$1001,I72))*(실물목록!$R$2:$R$1001="")*(실물목록!$O$2:$O$1001&lt;&gt;"")*(실물목록!$O$2:$O$1001=H72))&gt;0,"실물 있음",IF(SUMPRODUCT((실물목록!$P$2:$P$1001&lt;&gt;"")*ISNUMBER(SEARCH(실물목록!$P$2:$P$1001,I72))*(실물목록!$R$2:$R$1001&lt;&gt;""))&gt;0,"확인필요(입력누락)",IF(SUMPRODUCT((실물목록!$P$2:$P$1001&lt;&gt;"")*ISNUMBER(SEARCH(실물목록!$P$2:$P$1001,I72))*(실물목록!$Q$2:$Q$1001&lt;&gt;"")*ISNUMBER(SEARCH(실물목록!$Q$2:$Q$1001,I72))*(실물목록!$R$2:$R$1001="")*(실물목록!$O$2:$O$1001&lt;&gt;""))&gt;0,"확인필요(연도다름)","실물 없음")))))</f>
      </c>
      <c r="G72" t="n" s="16">
        <f aca="0">IF(B72="","",SUMPRODUCT((실물목록!$P$2:$P$1001&lt;&gt;"")*ISNUMBER(SEARCH(실물목록!$P$2:$P$1001,I72))*(실물목록!$Q$2:$Q$1001&lt;&gt;"")*ISNUMBER(SEARCH(실물목록!$Q$2:$Q$1001,I72))*(실물목록!$R$2:$R$1001="")*(실물목록!$O$2:$O$1001&lt;&gt;"")*(실물목록!$O$2:$O$1001=H72)))</f>
      </c>
      <c r="H72" t="str">
        <f>IFERROR(IF(AND(LEN(SUBSTITUTE(SUBSTITUTE(SUBSTITUTE(TRIM(A72&amp;""),CHAR(160),"")," ",""),"년",""))=4,VALUE(SUBSTITUTE(SUBSTITUTE(SUBSTITUTE(TRIM(A72&amp;""),CHAR(160),"")," ",""),"년",""))&gt;=1900,VALUE(SUBSTITUTE(SUBSTITUTE(SUBSTITUTE(TRIM(A72&amp;""),CHAR(160),"")," ",""),"년",""))&lt;=2099,TEXT(VALUE(SUBSTITUTE(SUBSTITUTE(SUBSTITUTE(TRIM(A72&amp;""),CHAR(160),"")," ",""),"년","")),"0000")=SUBSTITUTE(SUBSTITUTE(SUBSTITUTE(TRIM(A72&amp;""),CHAR(160),"")," ",""),"년","")),SUBSTITUTE(SUBSTITUTE(SUBSTITUTE(TRIM(A72&amp;""),CHAR(160),"")," ",""),"년",""),""),"")</f>
      </c>
      <c r="I72" t="str">
        <f>SUBSTITUTE(SUBSTITUTE(SUBSTITUTE(SUBSTITUTE(SUBSTITUTE(TRIM(B72&amp;""),CHAR(160),"")," ",""),"초등학교","초"),"중학교","중"),"고등학교","고")</f>
      </c>
    </row>
    <row r="73" customFormat="false" ht="15" hidden="false" customHeight="false" outlineLevel="0" collapsed="false">
      <c r="A73" s="8"/>
      <c r="B73" s="8"/>
      <c r="C73" s="8"/>
      <c r="D73" s="8"/>
      <c r="E73" s="8"/>
      <c r="F73" t="str" s="15">
        <f aca="0">IF(B73="","",IF(H73="","확인필요(입력누락)",IF(SUMPRODUCT((실물목록!$P$2:$P$1001&lt;&gt;"")*ISNUMBER(SEARCH(실물목록!$P$2:$P$1001,I73))*(실물목록!$Q$2:$Q$1001&lt;&gt;"")*ISNUMBER(SEARCH(실물목록!$Q$2:$Q$1001,I73))*(실물목록!$R$2:$R$1001="")*(실물목록!$O$2:$O$1001&lt;&gt;"")*(실물목록!$O$2:$O$1001=H73))&gt;0,"실물 있음",IF(SUMPRODUCT((실물목록!$P$2:$P$1001&lt;&gt;"")*ISNUMBER(SEARCH(실물목록!$P$2:$P$1001,I73))*(실물목록!$R$2:$R$1001&lt;&gt;""))&gt;0,"확인필요(입력누락)",IF(SUMPRODUCT((실물목록!$P$2:$P$1001&lt;&gt;"")*ISNUMBER(SEARCH(실물목록!$P$2:$P$1001,I73))*(실물목록!$Q$2:$Q$1001&lt;&gt;"")*ISNUMBER(SEARCH(실물목록!$Q$2:$Q$1001,I73))*(실물목록!$R$2:$R$1001="")*(실물목록!$O$2:$O$1001&lt;&gt;""))&gt;0,"확인필요(연도다름)","실물 없음")))))</f>
      </c>
      <c r="G73" t="n" s="16">
        <f aca="0">IF(B73="","",SUMPRODUCT((실물목록!$P$2:$P$1001&lt;&gt;"")*ISNUMBER(SEARCH(실물목록!$P$2:$P$1001,I73))*(실물목록!$Q$2:$Q$1001&lt;&gt;"")*ISNUMBER(SEARCH(실물목록!$Q$2:$Q$1001,I73))*(실물목록!$R$2:$R$1001="")*(실물목록!$O$2:$O$1001&lt;&gt;"")*(실물목록!$O$2:$O$1001=H73)))</f>
      </c>
      <c r="H73" t="str">
        <f>IFERROR(IF(AND(LEN(SUBSTITUTE(SUBSTITUTE(SUBSTITUTE(TRIM(A73&amp;""),CHAR(160),"")," ",""),"년",""))=4,VALUE(SUBSTITUTE(SUBSTITUTE(SUBSTITUTE(TRIM(A73&amp;""),CHAR(160),"")," ",""),"년",""))&gt;=1900,VALUE(SUBSTITUTE(SUBSTITUTE(SUBSTITUTE(TRIM(A73&amp;""),CHAR(160),"")," ",""),"년",""))&lt;=2099,TEXT(VALUE(SUBSTITUTE(SUBSTITUTE(SUBSTITUTE(TRIM(A73&amp;""),CHAR(160),"")," ",""),"년","")),"0000")=SUBSTITUTE(SUBSTITUTE(SUBSTITUTE(TRIM(A73&amp;""),CHAR(160),"")," ",""),"년","")),SUBSTITUTE(SUBSTITUTE(SUBSTITUTE(TRIM(A73&amp;""),CHAR(160),"")," ",""),"년",""),""),"")</f>
      </c>
      <c r="I73" t="str">
        <f>SUBSTITUTE(SUBSTITUTE(SUBSTITUTE(SUBSTITUTE(SUBSTITUTE(TRIM(B73&amp;""),CHAR(160),"")," ",""),"초등학교","초"),"중학교","중"),"고등학교","고")</f>
      </c>
    </row>
    <row r="74" customFormat="false" ht="15" hidden="false" customHeight="false" outlineLevel="0" collapsed="false">
      <c r="A74" s="8"/>
      <c r="B74" s="8"/>
      <c r="C74" s="8"/>
      <c r="D74" s="8"/>
      <c r="E74" s="8"/>
      <c r="F74" t="str" s="15">
        <f aca="0">IF(B74="","",IF(H74="","확인필요(입력누락)",IF(SUMPRODUCT((실물목록!$P$2:$P$1001&lt;&gt;"")*ISNUMBER(SEARCH(실물목록!$P$2:$P$1001,I74))*(실물목록!$Q$2:$Q$1001&lt;&gt;"")*ISNUMBER(SEARCH(실물목록!$Q$2:$Q$1001,I74))*(실물목록!$R$2:$R$1001="")*(실물목록!$O$2:$O$1001&lt;&gt;"")*(실물목록!$O$2:$O$1001=H74))&gt;0,"실물 있음",IF(SUMPRODUCT((실물목록!$P$2:$P$1001&lt;&gt;"")*ISNUMBER(SEARCH(실물목록!$P$2:$P$1001,I74))*(실물목록!$R$2:$R$1001&lt;&gt;""))&gt;0,"확인필요(입력누락)",IF(SUMPRODUCT((실물목록!$P$2:$P$1001&lt;&gt;"")*ISNUMBER(SEARCH(실물목록!$P$2:$P$1001,I74))*(실물목록!$Q$2:$Q$1001&lt;&gt;"")*ISNUMBER(SEARCH(실물목록!$Q$2:$Q$1001,I74))*(실물목록!$R$2:$R$1001="")*(실물목록!$O$2:$O$1001&lt;&gt;""))&gt;0,"확인필요(연도다름)","실물 없음")))))</f>
      </c>
      <c r="G74" t="n" s="16">
        <f aca="0">IF(B74="","",SUMPRODUCT((실물목록!$P$2:$P$1001&lt;&gt;"")*ISNUMBER(SEARCH(실물목록!$P$2:$P$1001,I74))*(실물목록!$Q$2:$Q$1001&lt;&gt;"")*ISNUMBER(SEARCH(실물목록!$Q$2:$Q$1001,I74))*(실물목록!$R$2:$R$1001="")*(실물목록!$O$2:$O$1001&lt;&gt;"")*(실물목록!$O$2:$O$1001=H74)))</f>
      </c>
      <c r="H74" t="str">
        <f>IFERROR(IF(AND(LEN(SUBSTITUTE(SUBSTITUTE(SUBSTITUTE(TRIM(A74&amp;""),CHAR(160),"")," ",""),"년",""))=4,VALUE(SUBSTITUTE(SUBSTITUTE(SUBSTITUTE(TRIM(A74&amp;""),CHAR(160),"")," ",""),"년",""))&gt;=1900,VALUE(SUBSTITUTE(SUBSTITUTE(SUBSTITUTE(TRIM(A74&amp;""),CHAR(160),"")," ",""),"년",""))&lt;=2099,TEXT(VALUE(SUBSTITUTE(SUBSTITUTE(SUBSTITUTE(TRIM(A74&amp;""),CHAR(160),"")," ",""),"년","")),"0000")=SUBSTITUTE(SUBSTITUTE(SUBSTITUTE(TRIM(A74&amp;""),CHAR(160),"")," ",""),"년","")),SUBSTITUTE(SUBSTITUTE(SUBSTITUTE(TRIM(A74&amp;""),CHAR(160),"")," ",""),"년",""),""),"")</f>
      </c>
      <c r="I74" t="str">
        <f>SUBSTITUTE(SUBSTITUTE(SUBSTITUTE(SUBSTITUTE(SUBSTITUTE(TRIM(B74&amp;""),CHAR(160),"")," ",""),"초등학교","초"),"중학교","중"),"고등학교","고")</f>
      </c>
    </row>
    <row r="75" customFormat="false" ht="15" hidden="false" customHeight="false" outlineLevel="0" collapsed="false">
      <c r="A75" s="8"/>
      <c r="B75" s="8"/>
      <c r="C75" s="8"/>
      <c r="D75" s="8"/>
      <c r="E75" s="8"/>
      <c r="F75" t="str" s="15">
        <f aca="0">IF(B75="","",IF(H75="","확인필요(입력누락)",IF(SUMPRODUCT((실물목록!$P$2:$P$1001&lt;&gt;"")*ISNUMBER(SEARCH(실물목록!$P$2:$P$1001,I75))*(실물목록!$Q$2:$Q$1001&lt;&gt;"")*ISNUMBER(SEARCH(실물목록!$Q$2:$Q$1001,I75))*(실물목록!$R$2:$R$1001="")*(실물목록!$O$2:$O$1001&lt;&gt;"")*(실물목록!$O$2:$O$1001=H75))&gt;0,"실물 있음",IF(SUMPRODUCT((실물목록!$P$2:$P$1001&lt;&gt;"")*ISNUMBER(SEARCH(실물목록!$P$2:$P$1001,I75))*(실물목록!$R$2:$R$1001&lt;&gt;""))&gt;0,"확인필요(입력누락)",IF(SUMPRODUCT((실물목록!$P$2:$P$1001&lt;&gt;"")*ISNUMBER(SEARCH(실물목록!$P$2:$P$1001,I75))*(실물목록!$Q$2:$Q$1001&lt;&gt;"")*ISNUMBER(SEARCH(실물목록!$Q$2:$Q$1001,I75))*(실물목록!$R$2:$R$1001="")*(실물목록!$O$2:$O$1001&lt;&gt;""))&gt;0,"확인필요(연도다름)","실물 없음")))))</f>
      </c>
      <c r="G75" t="n" s="16">
        <f aca="0">IF(B75="","",SUMPRODUCT((실물목록!$P$2:$P$1001&lt;&gt;"")*ISNUMBER(SEARCH(실물목록!$P$2:$P$1001,I75))*(실물목록!$Q$2:$Q$1001&lt;&gt;"")*ISNUMBER(SEARCH(실물목록!$Q$2:$Q$1001,I75))*(실물목록!$R$2:$R$1001="")*(실물목록!$O$2:$O$1001&lt;&gt;"")*(실물목록!$O$2:$O$1001=H75)))</f>
      </c>
      <c r="H75" t="str">
        <f>IFERROR(IF(AND(LEN(SUBSTITUTE(SUBSTITUTE(SUBSTITUTE(TRIM(A75&amp;""),CHAR(160),"")," ",""),"년",""))=4,VALUE(SUBSTITUTE(SUBSTITUTE(SUBSTITUTE(TRIM(A75&amp;""),CHAR(160),"")," ",""),"년",""))&gt;=1900,VALUE(SUBSTITUTE(SUBSTITUTE(SUBSTITUTE(TRIM(A75&amp;""),CHAR(160),"")," ",""),"년",""))&lt;=2099,TEXT(VALUE(SUBSTITUTE(SUBSTITUTE(SUBSTITUTE(TRIM(A75&amp;""),CHAR(160),"")," ",""),"년","")),"0000")=SUBSTITUTE(SUBSTITUTE(SUBSTITUTE(TRIM(A75&amp;""),CHAR(160),"")," ",""),"년","")),SUBSTITUTE(SUBSTITUTE(SUBSTITUTE(TRIM(A75&amp;""),CHAR(160),"")," ",""),"년",""),""),"")</f>
      </c>
      <c r="I75" t="str">
        <f>SUBSTITUTE(SUBSTITUTE(SUBSTITUTE(SUBSTITUTE(SUBSTITUTE(TRIM(B75&amp;""),CHAR(160),"")," ",""),"초등학교","초"),"중학교","중"),"고등학교","고")</f>
      </c>
    </row>
    <row r="76" customFormat="false" ht="15" hidden="false" customHeight="false" outlineLevel="0" collapsed="false">
      <c r="A76" s="8"/>
      <c r="B76" s="8"/>
      <c r="C76" s="8"/>
      <c r="D76" s="8"/>
      <c r="E76" s="8"/>
      <c r="F76" t="str" s="15">
        <f aca="0">IF(B76="","",IF(H76="","확인필요(입력누락)",IF(SUMPRODUCT((실물목록!$P$2:$P$1001&lt;&gt;"")*ISNUMBER(SEARCH(실물목록!$P$2:$P$1001,I76))*(실물목록!$Q$2:$Q$1001&lt;&gt;"")*ISNUMBER(SEARCH(실물목록!$Q$2:$Q$1001,I76))*(실물목록!$R$2:$R$1001="")*(실물목록!$O$2:$O$1001&lt;&gt;"")*(실물목록!$O$2:$O$1001=H76))&gt;0,"실물 있음",IF(SUMPRODUCT((실물목록!$P$2:$P$1001&lt;&gt;"")*ISNUMBER(SEARCH(실물목록!$P$2:$P$1001,I76))*(실물목록!$R$2:$R$1001&lt;&gt;""))&gt;0,"확인필요(입력누락)",IF(SUMPRODUCT((실물목록!$P$2:$P$1001&lt;&gt;"")*ISNUMBER(SEARCH(실물목록!$P$2:$P$1001,I76))*(실물목록!$Q$2:$Q$1001&lt;&gt;"")*ISNUMBER(SEARCH(실물목록!$Q$2:$Q$1001,I76))*(실물목록!$R$2:$R$1001="")*(실물목록!$O$2:$O$1001&lt;&gt;""))&gt;0,"확인필요(연도다름)","실물 없음")))))</f>
      </c>
      <c r="G76" t="n" s="16">
        <f aca="0">IF(B76="","",SUMPRODUCT((실물목록!$P$2:$P$1001&lt;&gt;"")*ISNUMBER(SEARCH(실물목록!$P$2:$P$1001,I76))*(실물목록!$Q$2:$Q$1001&lt;&gt;"")*ISNUMBER(SEARCH(실물목록!$Q$2:$Q$1001,I76))*(실물목록!$R$2:$R$1001="")*(실물목록!$O$2:$O$1001&lt;&gt;"")*(실물목록!$O$2:$O$1001=H76)))</f>
      </c>
      <c r="H76" t="str">
        <f>IFERROR(IF(AND(LEN(SUBSTITUTE(SUBSTITUTE(SUBSTITUTE(TRIM(A76&amp;""),CHAR(160),"")," ",""),"년",""))=4,VALUE(SUBSTITUTE(SUBSTITUTE(SUBSTITUTE(TRIM(A76&amp;""),CHAR(160),"")," ",""),"년",""))&gt;=1900,VALUE(SUBSTITUTE(SUBSTITUTE(SUBSTITUTE(TRIM(A76&amp;""),CHAR(160),"")," ",""),"년",""))&lt;=2099,TEXT(VALUE(SUBSTITUTE(SUBSTITUTE(SUBSTITUTE(TRIM(A76&amp;""),CHAR(160),"")," ",""),"년","")),"0000")=SUBSTITUTE(SUBSTITUTE(SUBSTITUTE(TRIM(A76&amp;""),CHAR(160),"")," ",""),"년","")),SUBSTITUTE(SUBSTITUTE(SUBSTITUTE(TRIM(A76&amp;""),CHAR(160),"")," ",""),"년",""),""),"")</f>
      </c>
      <c r="I76" t="str">
        <f>SUBSTITUTE(SUBSTITUTE(SUBSTITUTE(SUBSTITUTE(SUBSTITUTE(TRIM(B76&amp;""),CHAR(160),"")," ",""),"초등학교","초"),"중학교","중"),"고등학교","고")</f>
      </c>
    </row>
    <row r="77" customFormat="false" ht="15" hidden="false" customHeight="false" outlineLevel="0" collapsed="false">
      <c r="A77" s="8"/>
      <c r="B77" s="8"/>
      <c r="C77" s="8"/>
      <c r="D77" s="8"/>
      <c r="E77" s="8"/>
      <c r="F77" t="str" s="15">
        <f aca="0">IF(B77="","",IF(H77="","확인필요(입력누락)",IF(SUMPRODUCT((실물목록!$P$2:$P$1001&lt;&gt;"")*ISNUMBER(SEARCH(실물목록!$P$2:$P$1001,I77))*(실물목록!$Q$2:$Q$1001&lt;&gt;"")*ISNUMBER(SEARCH(실물목록!$Q$2:$Q$1001,I77))*(실물목록!$R$2:$R$1001="")*(실물목록!$O$2:$O$1001&lt;&gt;"")*(실물목록!$O$2:$O$1001=H77))&gt;0,"실물 있음",IF(SUMPRODUCT((실물목록!$P$2:$P$1001&lt;&gt;"")*ISNUMBER(SEARCH(실물목록!$P$2:$P$1001,I77))*(실물목록!$R$2:$R$1001&lt;&gt;""))&gt;0,"확인필요(입력누락)",IF(SUMPRODUCT((실물목록!$P$2:$P$1001&lt;&gt;"")*ISNUMBER(SEARCH(실물목록!$P$2:$P$1001,I77))*(실물목록!$Q$2:$Q$1001&lt;&gt;"")*ISNUMBER(SEARCH(실물목록!$Q$2:$Q$1001,I77))*(실물목록!$R$2:$R$1001="")*(실물목록!$O$2:$O$1001&lt;&gt;""))&gt;0,"확인필요(연도다름)","실물 없음")))))</f>
      </c>
      <c r="G77" t="n" s="16">
        <f aca="0">IF(B77="","",SUMPRODUCT((실물목록!$P$2:$P$1001&lt;&gt;"")*ISNUMBER(SEARCH(실물목록!$P$2:$P$1001,I77))*(실물목록!$Q$2:$Q$1001&lt;&gt;"")*ISNUMBER(SEARCH(실물목록!$Q$2:$Q$1001,I77))*(실물목록!$R$2:$R$1001="")*(실물목록!$O$2:$O$1001&lt;&gt;"")*(실물목록!$O$2:$O$1001=H77)))</f>
      </c>
      <c r="H77" t="str">
        <f>IFERROR(IF(AND(LEN(SUBSTITUTE(SUBSTITUTE(SUBSTITUTE(TRIM(A77&amp;""),CHAR(160),"")," ",""),"년",""))=4,VALUE(SUBSTITUTE(SUBSTITUTE(SUBSTITUTE(TRIM(A77&amp;""),CHAR(160),"")," ",""),"년",""))&gt;=1900,VALUE(SUBSTITUTE(SUBSTITUTE(SUBSTITUTE(TRIM(A77&amp;""),CHAR(160),"")," ",""),"년",""))&lt;=2099,TEXT(VALUE(SUBSTITUTE(SUBSTITUTE(SUBSTITUTE(TRIM(A77&amp;""),CHAR(160),"")," ",""),"년","")),"0000")=SUBSTITUTE(SUBSTITUTE(SUBSTITUTE(TRIM(A77&amp;""),CHAR(160),"")," ",""),"년","")),SUBSTITUTE(SUBSTITUTE(SUBSTITUTE(TRIM(A77&amp;""),CHAR(160),"")," ",""),"년",""),""),"")</f>
      </c>
      <c r="I77" t="str">
        <f>SUBSTITUTE(SUBSTITUTE(SUBSTITUTE(SUBSTITUTE(SUBSTITUTE(TRIM(B77&amp;""),CHAR(160),"")," ",""),"초등학교","초"),"중학교","중"),"고등학교","고")</f>
      </c>
    </row>
    <row r="78" customFormat="false" ht="15" hidden="false" customHeight="false" outlineLevel="0" collapsed="false">
      <c r="A78" s="8"/>
      <c r="B78" s="8"/>
      <c r="C78" s="8"/>
      <c r="D78" s="8"/>
      <c r="E78" s="8"/>
      <c r="F78" t="str" s="15">
        <f aca="0">IF(B78="","",IF(H78="","확인필요(입력누락)",IF(SUMPRODUCT((실물목록!$P$2:$P$1001&lt;&gt;"")*ISNUMBER(SEARCH(실물목록!$P$2:$P$1001,I78))*(실물목록!$Q$2:$Q$1001&lt;&gt;"")*ISNUMBER(SEARCH(실물목록!$Q$2:$Q$1001,I78))*(실물목록!$R$2:$R$1001="")*(실물목록!$O$2:$O$1001&lt;&gt;"")*(실물목록!$O$2:$O$1001=H78))&gt;0,"실물 있음",IF(SUMPRODUCT((실물목록!$P$2:$P$1001&lt;&gt;"")*ISNUMBER(SEARCH(실물목록!$P$2:$P$1001,I78))*(실물목록!$R$2:$R$1001&lt;&gt;""))&gt;0,"확인필요(입력누락)",IF(SUMPRODUCT((실물목록!$P$2:$P$1001&lt;&gt;"")*ISNUMBER(SEARCH(실물목록!$P$2:$P$1001,I78))*(실물목록!$Q$2:$Q$1001&lt;&gt;"")*ISNUMBER(SEARCH(실물목록!$Q$2:$Q$1001,I78))*(실물목록!$R$2:$R$1001="")*(실물목록!$O$2:$O$1001&lt;&gt;""))&gt;0,"확인필요(연도다름)","실물 없음")))))</f>
      </c>
      <c r="G78" t="n" s="16">
        <f aca="0">IF(B78="","",SUMPRODUCT((실물목록!$P$2:$P$1001&lt;&gt;"")*ISNUMBER(SEARCH(실물목록!$P$2:$P$1001,I78))*(실물목록!$Q$2:$Q$1001&lt;&gt;"")*ISNUMBER(SEARCH(실물목록!$Q$2:$Q$1001,I78))*(실물목록!$R$2:$R$1001="")*(실물목록!$O$2:$O$1001&lt;&gt;"")*(실물목록!$O$2:$O$1001=H78)))</f>
      </c>
      <c r="H78" t="str">
        <f>IFERROR(IF(AND(LEN(SUBSTITUTE(SUBSTITUTE(SUBSTITUTE(TRIM(A78&amp;""),CHAR(160),"")," ",""),"년",""))=4,VALUE(SUBSTITUTE(SUBSTITUTE(SUBSTITUTE(TRIM(A78&amp;""),CHAR(160),"")," ",""),"년",""))&gt;=1900,VALUE(SUBSTITUTE(SUBSTITUTE(SUBSTITUTE(TRIM(A78&amp;""),CHAR(160),"")," ",""),"년",""))&lt;=2099,TEXT(VALUE(SUBSTITUTE(SUBSTITUTE(SUBSTITUTE(TRIM(A78&amp;""),CHAR(160),"")," ",""),"년","")),"0000")=SUBSTITUTE(SUBSTITUTE(SUBSTITUTE(TRIM(A78&amp;""),CHAR(160),"")," ",""),"년","")),SUBSTITUTE(SUBSTITUTE(SUBSTITUTE(TRIM(A78&amp;""),CHAR(160),"")," ",""),"년",""),""),"")</f>
      </c>
      <c r="I78" t="str">
        <f>SUBSTITUTE(SUBSTITUTE(SUBSTITUTE(SUBSTITUTE(SUBSTITUTE(TRIM(B78&amp;""),CHAR(160),"")," ",""),"초등학교","초"),"중학교","중"),"고등학교","고")</f>
      </c>
    </row>
    <row r="79" customFormat="false" ht="15" hidden="false" customHeight="false" outlineLevel="0" collapsed="false">
      <c r="A79" s="8"/>
      <c r="B79" s="8"/>
      <c r="C79" s="8"/>
      <c r="D79" s="8"/>
      <c r="E79" s="8"/>
      <c r="F79" t="str" s="15">
        <f aca="0">IF(B79="","",IF(H79="","확인필요(입력누락)",IF(SUMPRODUCT((실물목록!$P$2:$P$1001&lt;&gt;"")*ISNUMBER(SEARCH(실물목록!$P$2:$P$1001,I79))*(실물목록!$Q$2:$Q$1001&lt;&gt;"")*ISNUMBER(SEARCH(실물목록!$Q$2:$Q$1001,I79))*(실물목록!$R$2:$R$1001="")*(실물목록!$O$2:$O$1001&lt;&gt;"")*(실물목록!$O$2:$O$1001=H79))&gt;0,"실물 있음",IF(SUMPRODUCT((실물목록!$P$2:$P$1001&lt;&gt;"")*ISNUMBER(SEARCH(실물목록!$P$2:$P$1001,I79))*(실물목록!$R$2:$R$1001&lt;&gt;""))&gt;0,"확인필요(입력누락)",IF(SUMPRODUCT((실물목록!$P$2:$P$1001&lt;&gt;"")*ISNUMBER(SEARCH(실물목록!$P$2:$P$1001,I79))*(실물목록!$Q$2:$Q$1001&lt;&gt;"")*ISNUMBER(SEARCH(실물목록!$Q$2:$Q$1001,I79))*(실물목록!$R$2:$R$1001="")*(실물목록!$O$2:$O$1001&lt;&gt;""))&gt;0,"확인필요(연도다름)","실물 없음")))))</f>
      </c>
      <c r="G79" t="n" s="16">
        <f aca="0">IF(B79="","",SUMPRODUCT((실물목록!$P$2:$P$1001&lt;&gt;"")*ISNUMBER(SEARCH(실물목록!$P$2:$P$1001,I79))*(실물목록!$Q$2:$Q$1001&lt;&gt;"")*ISNUMBER(SEARCH(실물목록!$Q$2:$Q$1001,I79))*(실물목록!$R$2:$R$1001="")*(실물목록!$O$2:$O$1001&lt;&gt;"")*(실물목록!$O$2:$O$1001=H79)))</f>
      </c>
      <c r="H79" t="str">
        <f>IFERROR(IF(AND(LEN(SUBSTITUTE(SUBSTITUTE(SUBSTITUTE(TRIM(A79&amp;""),CHAR(160),"")," ",""),"년",""))=4,VALUE(SUBSTITUTE(SUBSTITUTE(SUBSTITUTE(TRIM(A79&amp;""),CHAR(160),"")," ",""),"년",""))&gt;=1900,VALUE(SUBSTITUTE(SUBSTITUTE(SUBSTITUTE(TRIM(A79&amp;""),CHAR(160),"")," ",""),"년",""))&lt;=2099,TEXT(VALUE(SUBSTITUTE(SUBSTITUTE(SUBSTITUTE(TRIM(A79&amp;""),CHAR(160),"")," ",""),"년","")),"0000")=SUBSTITUTE(SUBSTITUTE(SUBSTITUTE(TRIM(A79&amp;""),CHAR(160),"")," ",""),"년","")),SUBSTITUTE(SUBSTITUTE(SUBSTITUTE(TRIM(A79&amp;""),CHAR(160),"")," ",""),"년",""),""),"")</f>
      </c>
      <c r="I79" t="str">
        <f>SUBSTITUTE(SUBSTITUTE(SUBSTITUTE(SUBSTITUTE(SUBSTITUTE(TRIM(B79&amp;""),CHAR(160),"")," ",""),"초등학교","초"),"중학교","중"),"고등학교","고")</f>
      </c>
    </row>
    <row r="80" customFormat="false" ht="15" hidden="false" customHeight="false" outlineLevel="0" collapsed="false">
      <c r="A80" s="8"/>
      <c r="B80" s="8"/>
      <c r="C80" s="8"/>
      <c r="D80" s="8"/>
      <c r="E80" s="8"/>
      <c r="F80" t="str" s="15">
        <f aca="0">IF(B80="","",IF(H80="","확인필요(입력누락)",IF(SUMPRODUCT((실물목록!$P$2:$P$1001&lt;&gt;"")*ISNUMBER(SEARCH(실물목록!$P$2:$P$1001,I80))*(실물목록!$Q$2:$Q$1001&lt;&gt;"")*ISNUMBER(SEARCH(실물목록!$Q$2:$Q$1001,I80))*(실물목록!$R$2:$R$1001="")*(실물목록!$O$2:$O$1001&lt;&gt;"")*(실물목록!$O$2:$O$1001=H80))&gt;0,"실물 있음",IF(SUMPRODUCT((실물목록!$P$2:$P$1001&lt;&gt;"")*ISNUMBER(SEARCH(실물목록!$P$2:$P$1001,I80))*(실물목록!$R$2:$R$1001&lt;&gt;""))&gt;0,"확인필요(입력누락)",IF(SUMPRODUCT((실물목록!$P$2:$P$1001&lt;&gt;"")*ISNUMBER(SEARCH(실물목록!$P$2:$P$1001,I80))*(실물목록!$Q$2:$Q$1001&lt;&gt;"")*ISNUMBER(SEARCH(실물목록!$Q$2:$Q$1001,I80))*(실물목록!$R$2:$R$1001="")*(실물목록!$O$2:$O$1001&lt;&gt;""))&gt;0,"확인필요(연도다름)","실물 없음")))))</f>
      </c>
      <c r="G80" t="n" s="16">
        <f aca="0">IF(B80="","",SUMPRODUCT((실물목록!$P$2:$P$1001&lt;&gt;"")*ISNUMBER(SEARCH(실물목록!$P$2:$P$1001,I80))*(실물목록!$Q$2:$Q$1001&lt;&gt;"")*ISNUMBER(SEARCH(실물목록!$Q$2:$Q$1001,I80))*(실물목록!$R$2:$R$1001="")*(실물목록!$O$2:$O$1001&lt;&gt;"")*(실물목록!$O$2:$O$1001=H80)))</f>
      </c>
      <c r="H80" t="str">
        <f>IFERROR(IF(AND(LEN(SUBSTITUTE(SUBSTITUTE(SUBSTITUTE(TRIM(A80&amp;""),CHAR(160),"")," ",""),"년",""))=4,VALUE(SUBSTITUTE(SUBSTITUTE(SUBSTITUTE(TRIM(A80&amp;""),CHAR(160),"")," ",""),"년",""))&gt;=1900,VALUE(SUBSTITUTE(SUBSTITUTE(SUBSTITUTE(TRIM(A80&amp;""),CHAR(160),"")," ",""),"년",""))&lt;=2099,TEXT(VALUE(SUBSTITUTE(SUBSTITUTE(SUBSTITUTE(TRIM(A80&amp;""),CHAR(160),"")," ",""),"년","")),"0000")=SUBSTITUTE(SUBSTITUTE(SUBSTITUTE(TRIM(A80&amp;""),CHAR(160),"")," ",""),"년","")),SUBSTITUTE(SUBSTITUTE(SUBSTITUTE(TRIM(A80&amp;""),CHAR(160),"")," ",""),"년",""),""),"")</f>
      </c>
      <c r="I80" t="str">
        <f>SUBSTITUTE(SUBSTITUTE(SUBSTITUTE(SUBSTITUTE(SUBSTITUTE(TRIM(B80&amp;""),CHAR(160),"")," ",""),"초등학교","초"),"중학교","중"),"고등학교","고")</f>
      </c>
    </row>
    <row r="81" customFormat="false" ht="15" hidden="false" customHeight="false" outlineLevel="0" collapsed="false">
      <c r="A81" s="8"/>
      <c r="B81" s="8"/>
      <c r="C81" s="8"/>
      <c r="D81" s="8"/>
      <c r="E81" s="8"/>
      <c r="F81" t="str" s="15">
        <f aca="0">IF(B81="","",IF(H81="","확인필요(입력누락)",IF(SUMPRODUCT((실물목록!$P$2:$P$1001&lt;&gt;"")*ISNUMBER(SEARCH(실물목록!$P$2:$P$1001,I81))*(실물목록!$Q$2:$Q$1001&lt;&gt;"")*ISNUMBER(SEARCH(실물목록!$Q$2:$Q$1001,I81))*(실물목록!$R$2:$R$1001="")*(실물목록!$O$2:$O$1001&lt;&gt;"")*(실물목록!$O$2:$O$1001=H81))&gt;0,"실물 있음",IF(SUMPRODUCT((실물목록!$P$2:$P$1001&lt;&gt;"")*ISNUMBER(SEARCH(실물목록!$P$2:$P$1001,I81))*(실물목록!$R$2:$R$1001&lt;&gt;""))&gt;0,"확인필요(입력누락)",IF(SUMPRODUCT((실물목록!$P$2:$P$1001&lt;&gt;"")*ISNUMBER(SEARCH(실물목록!$P$2:$P$1001,I81))*(실물목록!$Q$2:$Q$1001&lt;&gt;"")*ISNUMBER(SEARCH(실물목록!$Q$2:$Q$1001,I81))*(실물목록!$R$2:$R$1001="")*(실물목록!$O$2:$O$1001&lt;&gt;""))&gt;0,"확인필요(연도다름)","실물 없음")))))</f>
      </c>
      <c r="G81" t="n" s="16">
        <f aca="0">IF(B81="","",SUMPRODUCT((실물목록!$P$2:$P$1001&lt;&gt;"")*ISNUMBER(SEARCH(실물목록!$P$2:$P$1001,I81))*(실물목록!$Q$2:$Q$1001&lt;&gt;"")*ISNUMBER(SEARCH(실물목록!$Q$2:$Q$1001,I81))*(실물목록!$R$2:$R$1001="")*(실물목록!$O$2:$O$1001&lt;&gt;"")*(실물목록!$O$2:$O$1001=H81)))</f>
      </c>
      <c r="H81" t="str">
        <f>IFERROR(IF(AND(LEN(SUBSTITUTE(SUBSTITUTE(SUBSTITUTE(TRIM(A81&amp;""),CHAR(160),"")," ",""),"년",""))=4,VALUE(SUBSTITUTE(SUBSTITUTE(SUBSTITUTE(TRIM(A81&amp;""),CHAR(160),"")," ",""),"년",""))&gt;=1900,VALUE(SUBSTITUTE(SUBSTITUTE(SUBSTITUTE(TRIM(A81&amp;""),CHAR(160),"")," ",""),"년",""))&lt;=2099,TEXT(VALUE(SUBSTITUTE(SUBSTITUTE(SUBSTITUTE(TRIM(A81&amp;""),CHAR(160),"")," ",""),"년","")),"0000")=SUBSTITUTE(SUBSTITUTE(SUBSTITUTE(TRIM(A81&amp;""),CHAR(160),"")," ",""),"년","")),SUBSTITUTE(SUBSTITUTE(SUBSTITUTE(TRIM(A81&amp;""),CHAR(160),"")," ",""),"년",""),""),"")</f>
      </c>
      <c r="I81" t="str">
        <f>SUBSTITUTE(SUBSTITUTE(SUBSTITUTE(SUBSTITUTE(SUBSTITUTE(TRIM(B81&amp;""),CHAR(160),"")," ",""),"초등학교","초"),"중학교","중"),"고등학교","고")</f>
      </c>
    </row>
    <row r="82" customFormat="false" ht="15" hidden="false" customHeight="false" outlineLevel="0" collapsed="false">
      <c r="A82" s="8"/>
      <c r="B82" s="8"/>
      <c r="C82" s="8"/>
      <c r="D82" s="8"/>
      <c r="E82" s="8"/>
      <c r="F82" t="str" s="15">
        <f aca="0">IF(B82="","",IF(H82="","확인필요(입력누락)",IF(SUMPRODUCT((실물목록!$P$2:$P$1001&lt;&gt;"")*ISNUMBER(SEARCH(실물목록!$P$2:$P$1001,I82))*(실물목록!$Q$2:$Q$1001&lt;&gt;"")*ISNUMBER(SEARCH(실물목록!$Q$2:$Q$1001,I82))*(실물목록!$R$2:$R$1001="")*(실물목록!$O$2:$O$1001&lt;&gt;"")*(실물목록!$O$2:$O$1001=H82))&gt;0,"실물 있음",IF(SUMPRODUCT((실물목록!$P$2:$P$1001&lt;&gt;"")*ISNUMBER(SEARCH(실물목록!$P$2:$P$1001,I82))*(실물목록!$R$2:$R$1001&lt;&gt;""))&gt;0,"확인필요(입력누락)",IF(SUMPRODUCT((실물목록!$P$2:$P$1001&lt;&gt;"")*ISNUMBER(SEARCH(실물목록!$P$2:$P$1001,I82))*(실물목록!$Q$2:$Q$1001&lt;&gt;"")*ISNUMBER(SEARCH(실물목록!$Q$2:$Q$1001,I82))*(실물목록!$R$2:$R$1001="")*(실물목록!$O$2:$O$1001&lt;&gt;""))&gt;0,"확인필요(연도다름)","실물 없음")))))</f>
      </c>
      <c r="G82" t="n" s="16">
        <f aca="0">IF(B82="","",SUMPRODUCT((실물목록!$P$2:$P$1001&lt;&gt;"")*ISNUMBER(SEARCH(실물목록!$P$2:$P$1001,I82))*(실물목록!$Q$2:$Q$1001&lt;&gt;"")*ISNUMBER(SEARCH(실물목록!$Q$2:$Q$1001,I82))*(실물목록!$R$2:$R$1001="")*(실물목록!$O$2:$O$1001&lt;&gt;"")*(실물목록!$O$2:$O$1001=H82)))</f>
      </c>
      <c r="H82" t="str">
        <f>IFERROR(IF(AND(LEN(SUBSTITUTE(SUBSTITUTE(SUBSTITUTE(TRIM(A82&amp;""),CHAR(160),"")," ",""),"년",""))=4,VALUE(SUBSTITUTE(SUBSTITUTE(SUBSTITUTE(TRIM(A82&amp;""),CHAR(160),"")," ",""),"년",""))&gt;=1900,VALUE(SUBSTITUTE(SUBSTITUTE(SUBSTITUTE(TRIM(A82&amp;""),CHAR(160),"")," ",""),"년",""))&lt;=2099,TEXT(VALUE(SUBSTITUTE(SUBSTITUTE(SUBSTITUTE(TRIM(A82&amp;""),CHAR(160),"")," ",""),"년","")),"0000")=SUBSTITUTE(SUBSTITUTE(SUBSTITUTE(TRIM(A82&amp;""),CHAR(160),"")," ",""),"년","")),SUBSTITUTE(SUBSTITUTE(SUBSTITUTE(TRIM(A82&amp;""),CHAR(160),"")," ",""),"년",""),""),"")</f>
      </c>
      <c r="I82" t="str">
        <f>SUBSTITUTE(SUBSTITUTE(SUBSTITUTE(SUBSTITUTE(SUBSTITUTE(TRIM(B82&amp;""),CHAR(160),"")," ",""),"초등학교","초"),"중학교","중"),"고등학교","고")</f>
      </c>
    </row>
    <row r="83" customFormat="false" ht="15" hidden="false" customHeight="false" outlineLevel="0" collapsed="false">
      <c r="A83" s="8"/>
      <c r="B83" s="8"/>
      <c r="C83" s="8"/>
      <c r="D83" s="8"/>
      <c r="E83" s="8"/>
      <c r="F83" t="str" s="15">
        <f aca="0">IF(B83="","",IF(H83="","확인필요(입력누락)",IF(SUMPRODUCT((실물목록!$P$2:$P$1001&lt;&gt;"")*ISNUMBER(SEARCH(실물목록!$P$2:$P$1001,I83))*(실물목록!$Q$2:$Q$1001&lt;&gt;"")*ISNUMBER(SEARCH(실물목록!$Q$2:$Q$1001,I83))*(실물목록!$R$2:$R$1001="")*(실물목록!$O$2:$O$1001&lt;&gt;"")*(실물목록!$O$2:$O$1001=H83))&gt;0,"실물 있음",IF(SUMPRODUCT((실물목록!$P$2:$P$1001&lt;&gt;"")*ISNUMBER(SEARCH(실물목록!$P$2:$P$1001,I83))*(실물목록!$R$2:$R$1001&lt;&gt;""))&gt;0,"확인필요(입력누락)",IF(SUMPRODUCT((실물목록!$P$2:$P$1001&lt;&gt;"")*ISNUMBER(SEARCH(실물목록!$P$2:$P$1001,I83))*(실물목록!$Q$2:$Q$1001&lt;&gt;"")*ISNUMBER(SEARCH(실물목록!$Q$2:$Q$1001,I83))*(실물목록!$R$2:$R$1001="")*(실물목록!$O$2:$O$1001&lt;&gt;""))&gt;0,"확인필요(연도다름)","실물 없음")))))</f>
      </c>
      <c r="G83" t="n" s="16">
        <f aca="0">IF(B83="","",SUMPRODUCT((실물목록!$P$2:$P$1001&lt;&gt;"")*ISNUMBER(SEARCH(실물목록!$P$2:$P$1001,I83))*(실물목록!$Q$2:$Q$1001&lt;&gt;"")*ISNUMBER(SEARCH(실물목록!$Q$2:$Q$1001,I83))*(실물목록!$R$2:$R$1001="")*(실물목록!$O$2:$O$1001&lt;&gt;"")*(실물목록!$O$2:$O$1001=H83)))</f>
      </c>
      <c r="H83" t="str">
        <f>IFERROR(IF(AND(LEN(SUBSTITUTE(SUBSTITUTE(SUBSTITUTE(TRIM(A83&amp;""),CHAR(160),"")," ",""),"년",""))=4,VALUE(SUBSTITUTE(SUBSTITUTE(SUBSTITUTE(TRIM(A83&amp;""),CHAR(160),"")," ",""),"년",""))&gt;=1900,VALUE(SUBSTITUTE(SUBSTITUTE(SUBSTITUTE(TRIM(A83&amp;""),CHAR(160),"")," ",""),"년",""))&lt;=2099,TEXT(VALUE(SUBSTITUTE(SUBSTITUTE(SUBSTITUTE(TRIM(A83&amp;""),CHAR(160),"")," ",""),"년","")),"0000")=SUBSTITUTE(SUBSTITUTE(SUBSTITUTE(TRIM(A83&amp;""),CHAR(160),"")," ",""),"년","")),SUBSTITUTE(SUBSTITUTE(SUBSTITUTE(TRIM(A83&amp;""),CHAR(160),"")," ",""),"년",""),""),"")</f>
      </c>
      <c r="I83" t="str">
        <f>SUBSTITUTE(SUBSTITUTE(SUBSTITUTE(SUBSTITUTE(SUBSTITUTE(TRIM(B83&amp;""),CHAR(160),"")," ",""),"초등학교","초"),"중학교","중"),"고등학교","고")</f>
      </c>
    </row>
    <row r="84" customFormat="false" ht="15" hidden="false" customHeight="false" outlineLevel="0" collapsed="false">
      <c r="A84" s="8"/>
      <c r="B84" s="8"/>
      <c r="C84" s="8"/>
      <c r="D84" s="8"/>
      <c r="E84" s="8"/>
      <c r="F84" t="str" s="15">
        <f aca="0">IF(B84="","",IF(H84="","확인필요(입력누락)",IF(SUMPRODUCT((실물목록!$P$2:$P$1001&lt;&gt;"")*ISNUMBER(SEARCH(실물목록!$P$2:$P$1001,I84))*(실물목록!$Q$2:$Q$1001&lt;&gt;"")*ISNUMBER(SEARCH(실물목록!$Q$2:$Q$1001,I84))*(실물목록!$R$2:$R$1001="")*(실물목록!$O$2:$O$1001&lt;&gt;"")*(실물목록!$O$2:$O$1001=H84))&gt;0,"실물 있음",IF(SUMPRODUCT((실물목록!$P$2:$P$1001&lt;&gt;"")*ISNUMBER(SEARCH(실물목록!$P$2:$P$1001,I84))*(실물목록!$R$2:$R$1001&lt;&gt;""))&gt;0,"확인필요(입력누락)",IF(SUMPRODUCT((실물목록!$P$2:$P$1001&lt;&gt;"")*ISNUMBER(SEARCH(실물목록!$P$2:$P$1001,I84))*(실물목록!$Q$2:$Q$1001&lt;&gt;"")*ISNUMBER(SEARCH(실물목록!$Q$2:$Q$1001,I84))*(실물목록!$R$2:$R$1001="")*(실물목록!$O$2:$O$1001&lt;&gt;""))&gt;0,"확인필요(연도다름)","실물 없음")))))</f>
      </c>
      <c r="G84" t="n" s="16">
        <f aca="0">IF(B84="","",SUMPRODUCT((실물목록!$P$2:$P$1001&lt;&gt;"")*ISNUMBER(SEARCH(실물목록!$P$2:$P$1001,I84))*(실물목록!$Q$2:$Q$1001&lt;&gt;"")*ISNUMBER(SEARCH(실물목록!$Q$2:$Q$1001,I84))*(실물목록!$R$2:$R$1001="")*(실물목록!$O$2:$O$1001&lt;&gt;"")*(실물목록!$O$2:$O$1001=H84)))</f>
      </c>
      <c r="H84" t="str">
        <f>IFERROR(IF(AND(LEN(SUBSTITUTE(SUBSTITUTE(SUBSTITUTE(TRIM(A84&amp;""),CHAR(160),"")," ",""),"년",""))=4,VALUE(SUBSTITUTE(SUBSTITUTE(SUBSTITUTE(TRIM(A84&amp;""),CHAR(160),"")," ",""),"년",""))&gt;=1900,VALUE(SUBSTITUTE(SUBSTITUTE(SUBSTITUTE(TRIM(A84&amp;""),CHAR(160),"")," ",""),"년",""))&lt;=2099,TEXT(VALUE(SUBSTITUTE(SUBSTITUTE(SUBSTITUTE(TRIM(A84&amp;""),CHAR(160),"")," ",""),"년","")),"0000")=SUBSTITUTE(SUBSTITUTE(SUBSTITUTE(TRIM(A84&amp;""),CHAR(160),"")," ",""),"년","")),SUBSTITUTE(SUBSTITUTE(SUBSTITUTE(TRIM(A84&amp;""),CHAR(160),"")," ",""),"년",""),""),"")</f>
      </c>
      <c r="I84" t="str">
        <f>SUBSTITUTE(SUBSTITUTE(SUBSTITUTE(SUBSTITUTE(SUBSTITUTE(TRIM(B84&amp;""),CHAR(160),"")," ",""),"초등학교","초"),"중학교","중"),"고등학교","고")</f>
      </c>
    </row>
    <row r="85" customFormat="false" ht="15" hidden="false" customHeight="false" outlineLevel="0" collapsed="false">
      <c r="A85" s="8"/>
      <c r="B85" s="8"/>
      <c r="C85" s="8"/>
      <c r="D85" s="8"/>
      <c r="E85" s="8"/>
      <c r="F85" t="str" s="15">
        <f aca="0">IF(B85="","",IF(H85="","확인필요(입력누락)",IF(SUMPRODUCT((실물목록!$P$2:$P$1001&lt;&gt;"")*ISNUMBER(SEARCH(실물목록!$P$2:$P$1001,I85))*(실물목록!$Q$2:$Q$1001&lt;&gt;"")*ISNUMBER(SEARCH(실물목록!$Q$2:$Q$1001,I85))*(실물목록!$R$2:$R$1001="")*(실물목록!$O$2:$O$1001&lt;&gt;"")*(실물목록!$O$2:$O$1001=H85))&gt;0,"실물 있음",IF(SUMPRODUCT((실물목록!$P$2:$P$1001&lt;&gt;"")*ISNUMBER(SEARCH(실물목록!$P$2:$P$1001,I85))*(실물목록!$R$2:$R$1001&lt;&gt;""))&gt;0,"확인필요(입력누락)",IF(SUMPRODUCT((실물목록!$P$2:$P$1001&lt;&gt;"")*ISNUMBER(SEARCH(실물목록!$P$2:$P$1001,I85))*(실물목록!$Q$2:$Q$1001&lt;&gt;"")*ISNUMBER(SEARCH(실물목록!$Q$2:$Q$1001,I85))*(실물목록!$R$2:$R$1001="")*(실물목록!$O$2:$O$1001&lt;&gt;""))&gt;0,"확인필요(연도다름)","실물 없음")))))</f>
      </c>
      <c r="G85" t="n" s="16">
        <f aca="0">IF(B85="","",SUMPRODUCT((실물목록!$P$2:$P$1001&lt;&gt;"")*ISNUMBER(SEARCH(실물목록!$P$2:$P$1001,I85))*(실물목록!$Q$2:$Q$1001&lt;&gt;"")*ISNUMBER(SEARCH(실물목록!$Q$2:$Q$1001,I85))*(실물목록!$R$2:$R$1001="")*(실물목록!$O$2:$O$1001&lt;&gt;"")*(실물목록!$O$2:$O$1001=H85)))</f>
      </c>
      <c r="H85" t="str">
        <f>IFERROR(IF(AND(LEN(SUBSTITUTE(SUBSTITUTE(SUBSTITUTE(TRIM(A85&amp;""),CHAR(160),"")," ",""),"년",""))=4,VALUE(SUBSTITUTE(SUBSTITUTE(SUBSTITUTE(TRIM(A85&amp;""),CHAR(160),"")," ",""),"년",""))&gt;=1900,VALUE(SUBSTITUTE(SUBSTITUTE(SUBSTITUTE(TRIM(A85&amp;""),CHAR(160),"")," ",""),"년",""))&lt;=2099,TEXT(VALUE(SUBSTITUTE(SUBSTITUTE(SUBSTITUTE(TRIM(A85&amp;""),CHAR(160),"")," ",""),"년","")),"0000")=SUBSTITUTE(SUBSTITUTE(SUBSTITUTE(TRIM(A85&amp;""),CHAR(160),"")," ",""),"년","")),SUBSTITUTE(SUBSTITUTE(SUBSTITUTE(TRIM(A85&amp;""),CHAR(160),"")," ",""),"년",""),""),"")</f>
      </c>
      <c r="I85" t="str">
        <f>SUBSTITUTE(SUBSTITUTE(SUBSTITUTE(SUBSTITUTE(SUBSTITUTE(TRIM(B85&amp;""),CHAR(160),"")," ",""),"초등학교","초"),"중학교","중"),"고등학교","고")</f>
      </c>
    </row>
    <row r="86" customFormat="false" ht="15" hidden="false" customHeight="false" outlineLevel="0" collapsed="false">
      <c r="A86" s="8"/>
      <c r="B86" s="8"/>
      <c r="C86" s="8"/>
      <c r="D86" s="8"/>
      <c r="E86" s="8"/>
      <c r="F86" t="str" s="15">
        <f aca="0">IF(B86="","",IF(H86="","확인필요(입력누락)",IF(SUMPRODUCT((실물목록!$P$2:$P$1001&lt;&gt;"")*ISNUMBER(SEARCH(실물목록!$P$2:$P$1001,I86))*(실물목록!$Q$2:$Q$1001&lt;&gt;"")*ISNUMBER(SEARCH(실물목록!$Q$2:$Q$1001,I86))*(실물목록!$R$2:$R$1001="")*(실물목록!$O$2:$O$1001&lt;&gt;"")*(실물목록!$O$2:$O$1001=H86))&gt;0,"실물 있음",IF(SUMPRODUCT((실물목록!$P$2:$P$1001&lt;&gt;"")*ISNUMBER(SEARCH(실물목록!$P$2:$P$1001,I86))*(실물목록!$R$2:$R$1001&lt;&gt;""))&gt;0,"확인필요(입력누락)",IF(SUMPRODUCT((실물목록!$P$2:$P$1001&lt;&gt;"")*ISNUMBER(SEARCH(실물목록!$P$2:$P$1001,I86))*(실물목록!$Q$2:$Q$1001&lt;&gt;"")*ISNUMBER(SEARCH(실물목록!$Q$2:$Q$1001,I86))*(실물목록!$R$2:$R$1001="")*(실물목록!$O$2:$O$1001&lt;&gt;""))&gt;0,"확인필요(연도다름)","실물 없음")))))</f>
      </c>
      <c r="G86" t="n" s="16">
        <f aca="0">IF(B86="","",SUMPRODUCT((실물목록!$P$2:$P$1001&lt;&gt;"")*ISNUMBER(SEARCH(실물목록!$P$2:$P$1001,I86))*(실물목록!$Q$2:$Q$1001&lt;&gt;"")*ISNUMBER(SEARCH(실물목록!$Q$2:$Q$1001,I86))*(실물목록!$R$2:$R$1001="")*(실물목록!$O$2:$O$1001&lt;&gt;"")*(실물목록!$O$2:$O$1001=H86)))</f>
      </c>
      <c r="H86" t="str">
        <f>IFERROR(IF(AND(LEN(SUBSTITUTE(SUBSTITUTE(SUBSTITUTE(TRIM(A86&amp;""),CHAR(160),"")," ",""),"년",""))=4,VALUE(SUBSTITUTE(SUBSTITUTE(SUBSTITUTE(TRIM(A86&amp;""),CHAR(160),"")," ",""),"년",""))&gt;=1900,VALUE(SUBSTITUTE(SUBSTITUTE(SUBSTITUTE(TRIM(A86&amp;""),CHAR(160),"")," ",""),"년",""))&lt;=2099,TEXT(VALUE(SUBSTITUTE(SUBSTITUTE(SUBSTITUTE(TRIM(A86&amp;""),CHAR(160),"")," ",""),"년","")),"0000")=SUBSTITUTE(SUBSTITUTE(SUBSTITUTE(TRIM(A86&amp;""),CHAR(160),"")," ",""),"년","")),SUBSTITUTE(SUBSTITUTE(SUBSTITUTE(TRIM(A86&amp;""),CHAR(160),"")," ",""),"년",""),""),"")</f>
      </c>
      <c r="I86" t="str">
        <f>SUBSTITUTE(SUBSTITUTE(SUBSTITUTE(SUBSTITUTE(SUBSTITUTE(TRIM(B86&amp;""),CHAR(160),"")," ",""),"초등학교","초"),"중학교","중"),"고등학교","고")</f>
      </c>
    </row>
    <row r="87" customFormat="false" ht="15" hidden="false" customHeight="false" outlineLevel="0" collapsed="false">
      <c r="A87" s="8"/>
      <c r="B87" s="8"/>
      <c r="C87" s="8"/>
      <c r="D87" s="8"/>
      <c r="E87" s="8"/>
      <c r="F87" t="str" s="15">
        <f aca="0">IF(B87="","",IF(H87="","확인필요(입력누락)",IF(SUMPRODUCT((실물목록!$P$2:$P$1001&lt;&gt;"")*ISNUMBER(SEARCH(실물목록!$P$2:$P$1001,I87))*(실물목록!$Q$2:$Q$1001&lt;&gt;"")*ISNUMBER(SEARCH(실물목록!$Q$2:$Q$1001,I87))*(실물목록!$R$2:$R$1001="")*(실물목록!$O$2:$O$1001&lt;&gt;"")*(실물목록!$O$2:$O$1001=H87))&gt;0,"실물 있음",IF(SUMPRODUCT((실물목록!$P$2:$P$1001&lt;&gt;"")*ISNUMBER(SEARCH(실물목록!$P$2:$P$1001,I87))*(실물목록!$R$2:$R$1001&lt;&gt;""))&gt;0,"확인필요(입력누락)",IF(SUMPRODUCT((실물목록!$P$2:$P$1001&lt;&gt;"")*ISNUMBER(SEARCH(실물목록!$P$2:$P$1001,I87))*(실물목록!$Q$2:$Q$1001&lt;&gt;"")*ISNUMBER(SEARCH(실물목록!$Q$2:$Q$1001,I87))*(실물목록!$R$2:$R$1001="")*(실물목록!$O$2:$O$1001&lt;&gt;""))&gt;0,"확인필요(연도다름)","실물 없음")))))</f>
      </c>
      <c r="G87" t="n" s="16">
        <f aca="0">IF(B87="","",SUMPRODUCT((실물목록!$P$2:$P$1001&lt;&gt;"")*ISNUMBER(SEARCH(실물목록!$P$2:$P$1001,I87))*(실물목록!$Q$2:$Q$1001&lt;&gt;"")*ISNUMBER(SEARCH(실물목록!$Q$2:$Q$1001,I87))*(실물목록!$R$2:$R$1001="")*(실물목록!$O$2:$O$1001&lt;&gt;"")*(실물목록!$O$2:$O$1001=H87)))</f>
      </c>
      <c r="H87" t="str">
        <f>IFERROR(IF(AND(LEN(SUBSTITUTE(SUBSTITUTE(SUBSTITUTE(TRIM(A87&amp;""),CHAR(160),"")," ",""),"년",""))=4,VALUE(SUBSTITUTE(SUBSTITUTE(SUBSTITUTE(TRIM(A87&amp;""),CHAR(160),"")," ",""),"년",""))&gt;=1900,VALUE(SUBSTITUTE(SUBSTITUTE(SUBSTITUTE(TRIM(A87&amp;""),CHAR(160),"")," ",""),"년",""))&lt;=2099,TEXT(VALUE(SUBSTITUTE(SUBSTITUTE(SUBSTITUTE(TRIM(A87&amp;""),CHAR(160),"")," ",""),"년","")),"0000")=SUBSTITUTE(SUBSTITUTE(SUBSTITUTE(TRIM(A87&amp;""),CHAR(160),"")," ",""),"년","")),SUBSTITUTE(SUBSTITUTE(SUBSTITUTE(TRIM(A87&amp;""),CHAR(160),"")," ",""),"년",""),""),"")</f>
      </c>
      <c r="I87" t="str">
        <f>SUBSTITUTE(SUBSTITUTE(SUBSTITUTE(SUBSTITUTE(SUBSTITUTE(TRIM(B87&amp;""),CHAR(160),"")," ",""),"초등학교","초"),"중학교","중"),"고등학교","고")</f>
      </c>
    </row>
    <row r="88" customFormat="false" ht="15" hidden="false" customHeight="false" outlineLevel="0" collapsed="false">
      <c r="A88" s="8"/>
      <c r="B88" s="8"/>
      <c r="C88" s="8"/>
      <c r="D88" s="8"/>
      <c r="E88" s="8"/>
      <c r="F88" t="str" s="15">
        <f aca="0">IF(B88="","",IF(H88="","확인필요(입력누락)",IF(SUMPRODUCT((실물목록!$P$2:$P$1001&lt;&gt;"")*ISNUMBER(SEARCH(실물목록!$P$2:$P$1001,I88))*(실물목록!$Q$2:$Q$1001&lt;&gt;"")*ISNUMBER(SEARCH(실물목록!$Q$2:$Q$1001,I88))*(실물목록!$R$2:$R$1001="")*(실물목록!$O$2:$O$1001&lt;&gt;"")*(실물목록!$O$2:$O$1001=H88))&gt;0,"실물 있음",IF(SUMPRODUCT((실물목록!$P$2:$P$1001&lt;&gt;"")*ISNUMBER(SEARCH(실물목록!$P$2:$P$1001,I88))*(실물목록!$R$2:$R$1001&lt;&gt;""))&gt;0,"확인필요(입력누락)",IF(SUMPRODUCT((실물목록!$P$2:$P$1001&lt;&gt;"")*ISNUMBER(SEARCH(실물목록!$P$2:$P$1001,I88))*(실물목록!$Q$2:$Q$1001&lt;&gt;"")*ISNUMBER(SEARCH(실물목록!$Q$2:$Q$1001,I88))*(실물목록!$R$2:$R$1001="")*(실물목록!$O$2:$O$1001&lt;&gt;""))&gt;0,"확인필요(연도다름)","실물 없음")))))</f>
      </c>
      <c r="G88" t="n" s="16">
        <f aca="0">IF(B88="","",SUMPRODUCT((실물목록!$P$2:$P$1001&lt;&gt;"")*ISNUMBER(SEARCH(실물목록!$P$2:$P$1001,I88))*(실물목록!$Q$2:$Q$1001&lt;&gt;"")*ISNUMBER(SEARCH(실물목록!$Q$2:$Q$1001,I88))*(실물목록!$R$2:$R$1001="")*(실물목록!$O$2:$O$1001&lt;&gt;"")*(실물목록!$O$2:$O$1001=H88)))</f>
      </c>
      <c r="H88" t="str">
        <f>IFERROR(IF(AND(LEN(SUBSTITUTE(SUBSTITUTE(SUBSTITUTE(TRIM(A88&amp;""),CHAR(160),"")," ",""),"년",""))=4,VALUE(SUBSTITUTE(SUBSTITUTE(SUBSTITUTE(TRIM(A88&amp;""),CHAR(160),"")," ",""),"년",""))&gt;=1900,VALUE(SUBSTITUTE(SUBSTITUTE(SUBSTITUTE(TRIM(A88&amp;""),CHAR(160),"")," ",""),"년",""))&lt;=2099,TEXT(VALUE(SUBSTITUTE(SUBSTITUTE(SUBSTITUTE(TRIM(A88&amp;""),CHAR(160),"")," ",""),"년","")),"0000")=SUBSTITUTE(SUBSTITUTE(SUBSTITUTE(TRIM(A88&amp;""),CHAR(160),"")," ",""),"년","")),SUBSTITUTE(SUBSTITUTE(SUBSTITUTE(TRIM(A88&amp;""),CHAR(160),"")," ",""),"년",""),""),"")</f>
      </c>
      <c r="I88" t="str">
        <f>SUBSTITUTE(SUBSTITUTE(SUBSTITUTE(SUBSTITUTE(SUBSTITUTE(TRIM(B88&amp;""),CHAR(160),"")," ",""),"초등학교","초"),"중학교","중"),"고등학교","고")</f>
      </c>
    </row>
    <row r="89" customFormat="false" ht="15" hidden="false" customHeight="false" outlineLevel="0" collapsed="false">
      <c r="A89" s="8"/>
      <c r="B89" s="8"/>
      <c r="C89" s="8"/>
      <c r="D89" s="8"/>
      <c r="E89" s="8"/>
      <c r="F89" t="str" s="15">
        <f aca="0">IF(B89="","",IF(H89="","확인필요(입력누락)",IF(SUMPRODUCT((실물목록!$P$2:$P$1001&lt;&gt;"")*ISNUMBER(SEARCH(실물목록!$P$2:$P$1001,I89))*(실물목록!$Q$2:$Q$1001&lt;&gt;"")*ISNUMBER(SEARCH(실물목록!$Q$2:$Q$1001,I89))*(실물목록!$R$2:$R$1001="")*(실물목록!$O$2:$O$1001&lt;&gt;"")*(실물목록!$O$2:$O$1001=H89))&gt;0,"실물 있음",IF(SUMPRODUCT((실물목록!$P$2:$P$1001&lt;&gt;"")*ISNUMBER(SEARCH(실물목록!$P$2:$P$1001,I89))*(실물목록!$R$2:$R$1001&lt;&gt;""))&gt;0,"확인필요(입력누락)",IF(SUMPRODUCT((실물목록!$P$2:$P$1001&lt;&gt;"")*ISNUMBER(SEARCH(실물목록!$P$2:$P$1001,I89))*(실물목록!$Q$2:$Q$1001&lt;&gt;"")*ISNUMBER(SEARCH(실물목록!$Q$2:$Q$1001,I89))*(실물목록!$R$2:$R$1001="")*(실물목록!$O$2:$O$1001&lt;&gt;""))&gt;0,"확인필요(연도다름)","실물 없음")))))</f>
      </c>
      <c r="G89" t="n" s="16">
        <f aca="0">IF(B89="","",SUMPRODUCT((실물목록!$P$2:$P$1001&lt;&gt;"")*ISNUMBER(SEARCH(실물목록!$P$2:$P$1001,I89))*(실물목록!$Q$2:$Q$1001&lt;&gt;"")*ISNUMBER(SEARCH(실물목록!$Q$2:$Q$1001,I89))*(실물목록!$R$2:$R$1001="")*(실물목록!$O$2:$O$1001&lt;&gt;"")*(실물목록!$O$2:$O$1001=H89)))</f>
      </c>
      <c r="H89" t="str">
        <f>IFERROR(IF(AND(LEN(SUBSTITUTE(SUBSTITUTE(SUBSTITUTE(TRIM(A89&amp;""),CHAR(160),"")," ",""),"년",""))=4,VALUE(SUBSTITUTE(SUBSTITUTE(SUBSTITUTE(TRIM(A89&amp;""),CHAR(160),"")," ",""),"년",""))&gt;=1900,VALUE(SUBSTITUTE(SUBSTITUTE(SUBSTITUTE(TRIM(A89&amp;""),CHAR(160),"")," ",""),"년",""))&lt;=2099,TEXT(VALUE(SUBSTITUTE(SUBSTITUTE(SUBSTITUTE(TRIM(A89&amp;""),CHAR(160),"")," ",""),"년","")),"0000")=SUBSTITUTE(SUBSTITUTE(SUBSTITUTE(TRIM(A89&amp;""),CHAR(160),"")," ",""),"년","")),SUBSTITUTE(SUBSTITUTE(SUBSTITUTE(TRIM(A89&amp;""),CHAR(160),"")," ",""),"년",""),""),"")</f>
      </c>
      <c r="I89" t="str">
        <f>SUBSTITUTE(SUBSTITUTE(SUBSTITUTE(SUBSTITUTE(SUBSTITUTE(TRIM(B89&amp;""),CHAR(160),"")," ",""),"초등학교","초"),"중학교","중"),"고등학교","고")</f>
      </c>
    </row>
    <row r="90" customFormat="false" ht="15" hidden="false" customHeight="false" outlineLevel="0" collapsed="false">
      <c r="A90" s="8"/>
      <c r="B90" s="8"/>
      <c r="C90" s="8"/>
      <c r="D90" s="8"/>
      <c r="E90" s="8"/>
      <c r="F90" t="str" s="15">
        <f aca="0">IF(B90="","",IF(H90="","확인필요(입력누락)",IF(SUMPRODUCT((실물목록!$P$2:$P$1001&lt;&gt;"")*ISNUMBER(SEARCH(실물목록!$P$2:$P$1001,I90))*(실물목록!$Q$2:$Q$1001&lt;&gt;"")*ISNUMBER(SEARCH(실물목록!$Q$2:$Q$1001,I90))*(실물목록!$R$2:$R$1001="")*(실물목록!$O$2:$O$1001&lt;&gt;"")*(실물목록!$O$2:$O$1001=H90))&gt;0,"실물 있음",IF(SUMPRODUCT((실물목록!$P$2:$P$1001&lt;&gt;"")*ISNUMBER(SEARCH(실물목록!$P$2:$P$1001,I90))*(실물목록!$R$2:$R$1001&lt;&gt;""))&gt;0,"확인필요(입력누락)",IF(SUMPRODUCT((실물목록!$P$2:$P$1001&lt;&gt;"")*ISNUMBER(SEARCH(실물목록!$P$2:$P$1001,I90))*(실물목록!$Q$2:$Q$1001&lt;&gt;"")*ISNUMBER(SEARCH(실물목록!$Q$2:$Q$1001,I90))*(실물목록!$R$2:$R$1001="")*(실물목록!$O$2:$O$1001&lt;&gt;""))&gt;0,"확인필요(연도다름)","실물 없음")))))</f>
      </c>
      <c r="G90" t="n" s="16">
        <f aca="0">IF(B90="","",SUMPRODUCT((실물목록!$P$2:$P$1001&lt;&gt;"")*ISNUMBER(SEARCH(실물목록!$P$2:$P$1001,I90))*(실물목록!$Q$2:$Q$1001&lt;&gt;"")*ISNUMBER(SEARCH(실물목록!$Q$2:$Q$1001,I90))*(실물목록!$R$2:$R$1001="")*(실물목록!$O$2:$O$1001&lt;&gt;"")*(실물목록!$O$2:$O$1001=H90)))</f>
      </c>
      <c r="H90" t="str">
        <f>IFERROR(IF(AND(LEN(SUBSTITUTE(SUBSTITUTE(SUBSTITUTE(TRIM(A90&amp;""),CHAR(160),"")," ",""),"년",""))=4,VALUE(SUBSTITUTE(SUBSTITUTE(SUBSTITUTE(TRIM(A90&amp;""),CHAR(160),"")," ",""),"년",""))&gt;=1900,VALUE(SUBSTITUTE(SUBSTITUTE(SUBSTITUTE(TRIM(A90&amp;""),CHAR(160),"")," ",""),"년",""))&lt;=2099,TEXT(VALUE(SUBSTITUTE(SUBSTITUTE(SUBSTITUTE(TRIM(A90&amp;""),CHAR(160),"")," ",""),"년","")),"0000")=SUBSTITUTE(SUBSTITUTE(SUBSTITUTE(TRIM(A90&amp;""),CHAR(160),"")," ",""),"년","")),SUBSTITUTE(SUBSTITUTE(SUBSTITUTE(TRIM(A90&amp;""),CHAR(160),"")," ",""),"년",""),""),"")</f>
      </c>
      <c r="I90" t="str">
        <f>SUBSTITUTE(SUBSTITUTE(SUBSTITUTE(SUBSTITUTE(SUBSTITUTE(TRIM(B90&amp;""),CHAR(160),"")," ",""),"초등학교","초"),"중학교","중"),"고등학교","고")</f>
      </c>
    </row>
    <row r="91" customFormat="false" ht="15" hidden="false" customHeight="false" outlineLevel="0" collapsed="false">
      <c r="A91" s="8"/>
      <c r="B91" s="8"/>
      <c r="C91" s="8"/>
      <c r="D91" s="8"/>
      <c r="E91" s="8"/>
      <c r="F91" t="str" s="15">
        <f aca="0">IF(B91="","",IF(H91="","확인필요(입력누락)",IF(SUMPRODUCT((실물목록!$P$2:$P$1001&lt;&gt;"")*ISNUMBER(SEARCH(실물목록!$P$2:$P$1001,I91))*(실물목록!$Q$2:$Q$1001&lt;&gt;"")*ISNUMBER(SEARCH(실물목록!$Q$2:$Q$1001,I91))*(실물목록!$R$2:$R$1001="")*(실물목록!$O$2:$O$1001&lt;&gt;"")*(실물목록!$O$2:$O$1001=H91))&gt;0,"실물 있음",IF(SUMPRODUCT((실물목록!$P$2:$P$1001&lt;&gt;"")*ISNUMBER(SEARCH(실물목록!$P$2:$P$1001,I91))*(실물목록!$R$2:$R$1001&lt;&gt;""))&gt;0,"확인필요(입력누락)",IF(SUMPRODUCT((실물목록!$P$2:$P$1001&lt;&gt;"")*ISNUMBER(SEARCH(실물목록!$P$2:$P$1001,I91))*(실물목록!$Q$2:$Q$1001&lt;&gt;"")*ISNUMBER(SEARCH(실물목록!$Q$2:$Q$1001,I91))*(실물목록!$R$2:$R$1001="")*(실물목록!$O$2:$O$1001&lt;&gt;""))&gt;0,"확인필요(연도다름)","실물 없음")))))</f>
      </c>
      <c r="G91" t="n" s="16">
        <f aca="0">IF(B91="","",SUMPRODUCT((실물목록!$P$2:$P$1001&lt;&gt;"")*ISNUMBER(SEARCH(실물목록!$P$2:$P$1001,I91))*(실물목록!$Q$2:$Q$1001&lt;&gt;"")*ISNUMBER(SEARCH(실물목록!$Q$2:$Q$1001,I91))*(실물목록!$R$2:$R$1001="")*(실물목록!$O$2:$O$1001&lt;&gt;"")*(실물목록!$O$2:$O$1001=H91)))</f>
      </c>
      <c r="H91" t="str">
        <f>IFERROR(IF(AND(LEN(SUBSTITUTE(SUBSTITUTE(SUBSTITUTE(TRIM(A91&amp;""),CHAR(160),"")," ",""),"년",""))=4,VALUE(SUBSTITUTE(SUBSTITUTE(SUBSTITUTE(TRIM(A91&amp;""),CHAR(160),"")," ",""),"년",""))&gt;=1900,VALUE(SUBSTITUTE(SUBSTITUTE(SUBSTITUTE(TRIM(A91&amp;""),CHAR(160),"")," ",""),"년",""))&lt;=2099,TEXT(VALUE(SUBSTITUTE(SUBSTITUTE(SUBSTITUTE(TRIM(A91&amp;""),CHAR(160),"")," ",""),"년","")),"0000")=SUBSTITUTE(SUBSTITUTE(SUBSTITUTE(TRIM(A91&amp;""),CHAR(160),"")," ",""),"년","")),SUBSTITUTE(SUBSTITUTE(SUBSTITUTE(TRIM(A91&amp;""),CHAR(160),"")," ",""),"년",""),""),"")</f>
      </c>
      <c r="I91" t="str">
        <f>SUBSTITUTE(SUBSTITUTE(SUBSTITUTE(SUBSTITUTE(SUBSTITUTE(TRIM(B91&amp;""),CHAR(160),"")," ",""),"초등학교","초"),"중학교","중"),"고등학교","고")</f>
      </c>
    </row>
    <row r="92" customFormat="false" ht="15" hidden="false" customHeight="false" outlineLevel="0" collapsed="false">
      <c r="A92" s="8"/>
      <c r="B92" s="8"/>
      <c r="C92" s="8"/>
      <c r="D92" s="8"/>
      <c r="E92" s="8"/>
      <c r="F92" t="str" s="15">
        <f aca="0">IF(B92="","",IF(H92="","확인필요(입력누락)",IF(SUMPRODUCT((실물목록!$P$2:$P$1001&lt;&gt;"")*ISNUMBER(SEARCH(실물목록!$P$2:$P$1001,I92))*(실물목록!$Q$2:$Q$1001&lt;&gt;"")*ISNUMBER(SEARCH(실물목록!$Q$2:$Q$1001,I92))*(실물목록!$R$2:$R$1001="")*(실물목록!$O$2:$O$1001&lt;&gt;"")*(실물목록!$O$2:$O$1001=H92))&gt;0,"실물 있음",IF(SUMPRODUCT((실물목록!$P$2:$P$1001&lt;&gt;"")*ISNUMBER(SEARCH(실물목록!$P$2:$P$1001,I92))*(실물목록!$R$2:$R$1001&lt;&gt;""))&gt;0,"확인필요(입력누락)",IF(SUMPRODUCT((실물목록!$P$2:$P$1001&lt;&gt;"")*ISNUMBER(SEARCH(실물목록!$P$2:$P$1001,I92))*(실물목록!$Q$2:$Q$1001&lt;&gt;"")*ISNUMBER(SEARCH(실물목록!$Q$2:$Q$1001,I92))*(실물목록!$R$2:$R$1001="")*(실물목록!$O$2:$O$1001&lt;&gt;""))&gt;0,"확인필요(연도다름)","실물 없음")))))</f>
      </c>
      <c r="G92" t="n" s="16">
        <f aca="0">IF(B92="","",SUMPRODUCT((실물목록!$P$2:$P$1001&lt;&gt;"")*ISNUMBER(SEARCH(실물목록!$P$2:$P$1001,I92))*(실물목록!$Q$2:$Q$1001&lt;&gt;"")*ISNUMBER(SEARCH(실물목록!$Q$2:$Q$1001,I92))*(실물목록!$R$2:$R$1001="")*(실물목록!$O$2:$O$1001&lt;&gt;"")*(실물목록!$O$2:$O$1001=H92)))</f>
      </c>
      <c r="H92" t="str">
        <f>IFERROR(IF(AND(LEN(SUBSTITUTE(SUBSTITUTE(SUBSTITUTE(TRIM(A92&amp;""),CHAR(160),"")," ",""),"년",""))=4,VALUE(SUBSTITUTE(SUBSTITUTE(SUBSTITUTE(TRIM(A92&amp;""),CHAR(160),"")," ",""),"년",""))&gt;=1900,VALUE(SUBSTITUTE(SUBSTITUTE(SUBSTITUTE(TRIM(A92&amp;""),CHAR(160),"")," ",""),"년",""))&lt;=2099,TEXT(VALUE(SUBSTITUTE(SUBSTITUTE(SUBSTITUTE(TRIM(A92&amp;""),CHAR(160),"")," ",""),"년","")),"0000")=SUBSTITUTE(SUBSTITUTE(SUBSTITUTE(TRIM(A92&amp;""),CHAR(160),"")," ",""),"년","")),SUBSTITUTE(SUBSTITUTE(SUBSTITUTE(TRIM(A92&amp;""),CHAR(160),"")," ",""),"년",""),""),"")</f>
      </c>
      <c r="I92" t="str">
        <f>SUBSTITUTE(SUBSTITUTE(SUBSTITUTE(SUBSTITUTE(SUBSTITUTE(TRIM(B92&amp;""),CHAR(160),"")," ",""),"초등학교","초"),"중학교","중"),"고등학교","고")</f>
      </c>
    </row>
    <row r="93" customFormat="false" ht="15" hidden="false" customHeight="false" outlineLevel="0" collapsed="false">
      <c r="A93" s="8"/>
      <c r="B93" s="8"/>
      <c r="C93" s="8"/>
      <c r="D93" s="8"/>
      <c r="E93" s="8"/>
      <c r="F93" t="str" s="15">
        <f aca="0">IF(B93="","",IF(H93="","확인필요(입력누락)",IF(SUMPRODUCT((실물목록!$P$2:$P$1001&lt;&gt;"")*ISNUMBER(SEARCH(실물목록!$P$2:$P$1001,I93))*(실물목록!$Q$2:$Q$1001&lt;&gt;"")*ISNUMBER(SEARCH(실물목록!$Q$2:$Q$1001,I93))*(실물목록!$R$2:$R$1001="")*(실물목록!$O$2:$O$1001&lt;&gt;"")*(실물목록!$O$2:$O$1001=H93))&gt;0,"실물 있음",IF(SUMPRODUCT((실물목록!$P$2:$P$1001&lt;&gt;"")*ISNUMBER(SEARCH(실물목록!$P$2:$P$1001,I93))*(실물목록!$R$2:$R$1001&lt;&gt;""))&gt;0,"확인필요(입력누락)",IF(SUMPRODUCT((실물목록!$P$2:$P$1001&lt;&gt;"")*ISNUMBER(SEARCH(실물목록!$P$2:$P$1001,I93))*(실물목록!$Q$2:$Q$1001&lt;&gt;"")*ISNUMBER(SEARCH(실물목록!$Q$2:$Q$1001,I93))*(실물목록!$R$2:$R$1001="")*(실물목록!$O$2:$O$1001&lt;&gt;""))&gt;0,"확인필요(연도다름)","실물 없음")))))</f>
      </c>
      <c r="G93" t="n" s="16">
        <f aca="0">IF(B93="","",SUMPRODUCT((실물목록!$P$2:$P$1001&lt;&gt;"")*ISNUMBER(SEARCH(실물목록!$P$2:$P$1001,I93))*(실물목록!$Q$2:$Q$1001&lt;&gt;"")*ISNUMBER(SEARCH(실물목록!$Q$2:$Q$1001,I93))*(실물목록!$R$2:$R$1001="")*(실물목록!$O$2:$O$1001&lt;&gt;"")*(실물목록!$O$2:$O$1001=H93)))</f>
      </c>
      <c r="H93" t="str">
        <f>IFERROR(IF(AND(LEN(SUBSTITUTE(SUBSTITUTE(SUBSTITUTE(TRIM(A93&amp;""),CHAR(160),"")," ",""),"년",""))=4,VALUE(SUBSTITUTE(SUBSTITUTE(SUBSTITUTE(TRIM(A93&amp;""),CHAR(160),"")," ",""),"년",""))&gt;=1900,VALUE(SUBSTITUTE(SUBSTITUTE(SUBSTITUTE(TRIM(A93&amp;""),CHAR(160),"")," ",""),"년",""))&lt;=2099,TEXT(VALUE(SUBSTITUTE(SUBSTITUTE(SUBSTITUTE(TRIM(A93&amp;""),CHAR(160),"")," ",""),"년","")),"0000")=SUBSTITUTE(SUBSTITUTE(SUBSTITUTE(TRIM(A93&amp;""),CHAR(160),"")," ",""),"년","")),SUBSTITUTE(SUBSTITUTE(SUBSTITUTE(TRIM(A93&amp;""),CHAR(160),"")," ",""),"년",""),""),"")</f>
      </c>
      <c r="I93" t="str">
        <f>SUBSTITUTE(SUBSTITUTE(SUBSTITUTE(SUBSTITUTE(SUBSTITUTE(TRIM(B93&amp;""),CHAR(160),"")," ",""),"초등학교","초"),"중학교","중"),"고등학교","고")</f>
      </c>
    </row>
    <row r="94" customFormat="false" ht="15" hidden="false" customHeight="false" outlineLevel="0" collapsed="false">
      <c r="A94" s="8"/>
      <c r="B94" s="8"/>
      <c r="C94" s="8"/>
      <c r="D94" s="8"/>
      <c r="E94" s="8"/>
      <c r="F94" t="str" s="15">
        <f aca="0">IF(B94="","",IF(H94="","확인필요(입력누락)",IF(SUMPRODUCT((실물목록!$P$2:$P$1001&lt;&gt;"")*ISNUMBER(SEARCH(실물목록!$P$2:$P$1001,I94))*(실물목록!$Q$2:$Q$1001&lt;&gt;"")*ISNUMBER(SEARCH(실물목록!$Q$2:$Q$1001,I94))*(실물목록!$R$2:$R$1001="")*(실물목록!$O$2:$O$1001&lt;&gt;"")*(실물목록!$O$2:$O$1001=H94))&gt;0,"실물 있음",IF(SUMPRODUCT((실물목록!$P$2:$P$1001&lt;&gt;"")*ISNUMBER(SEARCH(실물목록!$P$2:$P$1001,I94))*(실물목록!$R$2:$R$1001&lt;&gt;""))&gt;0,"확인필요(입력누락)",IF(SUMPRODUCT((실물목록!$P$2:$P$1001&lt;&gt;"")*ISNUMBER(SEARCH(실물목록!$P$2:$P$1001,I94))*(실물목록!$Q$2:$Q$1001&lt;&gt;"")*ISNUMBER(SEARCH(실물목록!$Q$2:$Q$1001,I94))*(실물목록!$R$2:$R$1001="")*(실물목록!$O$2:$O$1001&lt;&gt;""))&gt;0,"확인필요(연도다름)","실물 없음")))))</f>
      </c>
      <c r="G94" t="n" s="16">
        <f aca="0">IF(B94="","",SUMPRODUCT((실물목록!$P$2:$P$1001&lt;&gt;"")*ISNUMBER(SEARCH(실물목록!$P$2:$P$1001,I94))*(실물목록!$Q$2:$Q$1001&lt;&gt;"")*ISNUMBER(SEARCH(실물목록!$Q$2:$Q$1001,I94))*(실물목록!$R$2:$R$1001="")*(실물목록!$O$2:$O$1001&lt;&gt;"")*(실물목록!$O$2:$O$1001=H94)))</f>
      </c>
      <c r="H94" t="str">
        <f>IFERROR(IF(AND(LEN(SUBSTITUTE(SUBSTITUTE(SUBSTITUTE(TRIM(A94&amp;""),CHAR(160),"")," ",""),"년",""))=4,VALUE(SUBSTITUTE(SUBSTITUTE(SUBSTITUTE(TRIM(A94&amp;""),CHAR(160),"")," ",""),"년",""))&gt;=1900,VALUE(SUBSTITUTE(SUBSTITUTE(SUBSTITUTE(TRIM(A94&amp;""),CHAR(160),"")," ",""),"년",""))&lt;=2099,TEXT(VALUE(SUBSTITUTE(SUBSTITUTE(SUBSTITUTE(TRIM(A94&amp;""),CHAR(160),"")," ",""),"년","")),"0000")=SUBSTITUTE(SUBSTITUTE(SUBSTITUTE(TRIM(A94&amp;""),CHAR(160),"")," ",""),"년","")),SUBSTITUTE(SUBSTITUTE(SUBSTITUTE(TRIM(A94&amp;""),CHAR(160),"")," ",""),"년",""),""),"")</f>
      </c>
      <c r="I94" t="str">
        <f>SUBSTITUTE(SUBSTITUTE(SUBSTITUTE(SUBSTITUTE(SUBSTITUTE(TRIM(B94&amp;""),CHAR(160),"")," ",""),"초등학교","초"),"중학교","중"),"고등학교","고")</f>
      </c>
    </row>
    <row r="95" customFormat="false" ht="15" hidden="false" customHeight="false" outlineLevel="0" collapsed="false">
      <c r="A95" s="8"/>
      <c r="B95" s="8"/>
      <c r="C95" s="8"/>
      <c r="D95" s="8"/>
      <c r="E95" s="8"/>
      <c r="F95" t="str" s="15">
        <f aca="0">IF(B95="","",IF(H95="","확인필요(입력누락)",IF(SUMPRODUCT((실물목록!$P$2:$P$1001&lt;&gt;"")*ISNUMBER(SEARCH(실물목록!$P$2:$P$1001,I95))*(실물목록!$Q$2:$Q$1001&lt;&gt;"")*ISNUMBER(SEARCH(실물목록!$Q$2:$Q$1001,I95))*(실물목록!$R$2:$R$1001="")*(실물목록!$O$2:$O$1001&lt;&gt;"")*(실물목록!$O$2:$O$1001=H95))&gt;0,"실물 있음",IF(SUMPRODUCT((실물목록!$P$2:$P$1001&lt;&gt;"")*ISNUMBER(SEARCH(실물목록!$P$2:$P$1001,I95))*(실물목록!$R$2:$R$1001&lt;&gt;""))&gt;0,"확인필요(입력누락)",IF(SUMPRODUCT((실물목록!$P$2:$P$1001&lt;&gt;"")*ISNUMBER(SEARCH(실물목록!$P$2:$P$1001,I95))*(실물목록!$Q$2:$Q$1001&lt;&gt;"")*ISNUMBER(SEARCH(실물목록!$Q$2:$Q$1001,I95))*(실물목록!$R$2:$R$1001="")*(실물목록!$O$2:$O$1001&lt;&gt;""))&gt;0,"확인필요(연도다름)","실물 없음")))))</f>
      </c>
      <c r="G95" t="n" s="16">
        <f aca="0">IF(B95="","",SUMPRODUCT((실물목록!$P$2:$P$1001&lt;&gt;"")*ISNUMBER(SEARCH(실물목록!$P$2:$P$1001,I95))*(실물목록!$Q$2:$Q$1001&lt;&gt;"")*ISNUMBER(SEARCH(실물목록!$Q$2:$Q$1001,I95))*(실물목록!$R$2:$R$1001="")*(실물목록!$O$2:$O$1001&lt;&gt;"")*(실물목록!$O$2:$O$1001=H95)))</f>
      </c>
      <c r="H95" t="str">
        <f>IFERROR(IF(AND(LEN(SUBSTITUTE(SUBSTITUTE(SUBSTITUTE(TRIM(A95&amp;""),CHAR(160),"")," ",""),"년",""))=4,VALUE(SUBSTITUTE(SUBSTITUTE(SUBSTITUTE(TRIM(A95&amp;""),CHAR(160),"")," ",""),"년",""))&gt;=1900,VALUE(SUBSTITUTE(SUBSTITUTE(SUBSTITUTE(TRIM(A95&amp;""),CHAR(160),"")," ",""),"년",""))&lt;=2099,TEXT(VALUE(SUBSTITUTE(SUBSTITUTE(SUBSTITUTE(TRIM(A95&amp;""),CHAR(160),"")," ",""),"년","")),"0000")=SUBSTITUTE(SUBSTITUTE(SUBSTITUTE(TRIM(A95&amp;""),CHAR(160),"")," ",""),"년","")),SUBSTITUTE(SUBSTITUTE(SUBSTITUTE(TRIM(A95&amp;""),CHAR(160),"")," ",""),"년",""),""),"")</f>
      </c>
      <c r="I95" t="str">
        <f>SUBSTITUTE(SUBSTITUTE(SUBSTITUTE(SUBSTITUTE(SUBSTITUTE(TRIM(B95&amp;""),CHAR(160),"")," ",""),"초등학교","초"),"중학교","중"),"고등학교","고")</f>
      </c>
    </row>
    <row r="96" customFormat="false" ht="15" hidden="false" customHeight="false" outlineLevel="0" collapsed="false">
      <c r="A96" s="8"/>
      <c r="B96" s="8"/>
      <c r="C96" s="8"/>
      <c r="D96" s="8"/>
      <c r="E96" s="8"/>
      <c r="F96" t="str" s="15">
        <f aca="0">IF(B96="","",IF(H96="","확인필요(입력누락)",IF(SUMPRODUCT((실물목록!$P$2:$P$1001&lt;&gt;"")*ISNUMBER(SEARCH(실물목록!$P$2:$P$1001,I96))*(실물목록!$Q$2:$Q$1001&lt;&gt;"")*ISNUMBER(SEARCH(실물목록!$Q$2:$Q$1001,I96))*(실물목록!$R$2:$R$1001="")*(실물목록!$O$2:$O$1001&lt;&gt;"")*(실물목록!$O$2:$O$1001=H96))&gt;0,"실물 있음",IF(SUMPRODUCT((실물목록!$P$2:$P$1001&lt;&gt;"")*ISNUMBER(SEARCH(실물목록!$P$2:$P$1001,I96))*(실물목록!$R$2:$R$1001&lt;&gt;""))&gt;0,"확인필요(입력누락)",IF(SUMPRODUCT((실물목록!$P$2:$P$1001&lt;&gt;"")*ISNUMBER(SEARCH(실물목록!$P$2:$P$1001,I96))*(실물목록!$Q$2:$Q$1001&lt;&gt;"")*ISNUMBER(SEARCH(실물목록!$Q$2:$Q$1001,I96))*(실물목록!$R$2:$R$1001="")*(실물목록!$O$2:$O$1001&lt;&gt;""))&gt;0,"확인필요(연도다름)","실물 없음")))))</f>
      </c>
      <c r="G96" t="n" s="16">
        <f aca="0">IF(B96="","",SUMPRODUCT((실물목록!$P$2:$P$1001&lt;&gt;"")*ISNUMBER(SEARCH(실물목록!$P$2:$P$1001,I96))*(실물목록!$Q$2:$Q$1001&lt;&gt;"")*ISNUMBER(SEARCH(실물목록!$Q$2:$Q$1001,I96))*(실물목록!$R$2:$R$1001="")*(실물목록!$O$2:$O$1001&lt;&gt;"")*(실물목록!$O$2:$O$1001=H96)))</f>
      </c>
      <c r="H96" t="str">
        <f>IFERROR(IF(AND(LEN(SUBSTITUTE(SUBSTITUTE(SUBSTITUTE(TRIM(A96&amp;""),CHAR(160),"")," ",""),"년",""))=4,VALUE(SUBSTITUTE(SUBSTITUTE(SUBSTITUTE(TRIM(A96&amp;""),CHAR(160),"")," ",""),"년",""))&gt;=1900,VALUE(SUBSTITUTE(SUBSTITUTE(SUBSTITUTE(TRIM(A96&amp;""),CHAR(160),"")," ",""),"년",""))&lt;=2099,TEXT(VALUE(SUBSTITUTE(SUBSTITUTE(SUBSTITUTE(TRIM(A96&amp;""),CHAR(160),"")," ",""),"년","")),"0000")=SUBSTITUTE(SUBSTITUTE(SUBSTITUTE(TRIM(A96&amp;""),CHAR(160),"")," ",""),"년","")),SUBSTITUTE(SUBSTITUTE(SUBSTITUTE(TRIM(A96&amp;""),CHAR(160),"")," ",""),"년",""),""),"")</f>
      </c>
      <c r="I96" t="str">
        <f>SUBSTITUTE(SUBSTITUTE(SUBSTITUTE(SUBSTITUTE(SUBSTITUTE(TRIM(B96&amp;""),CHAR(160),"")," ",""),"초등학교","초"),"중학교","중"),"고등학교","고")</f>
      </c>
    </row>
    <row r="97" customFormat="false" ht="15" hidden="false" customHeight="false" outlineLevel="0" collapsed="false">
      <c r="A97" s="8"/>
      <c r="B97" s="8"/>
      <c r="C97" s="8"/>
      <c r="D97" s="8"/>
      <c r="E97" s="8"/>
      <c r="F97" t="str" s="15">
        <f aca="0">IF(B97="","",IF(H97="","확인필요(입력누락)",IF(SUMPRODUCT((실물목록!$P$2:$P$1001&lt;&gt;"")*ISNUMBER(SEARCH(실물목록!$P$2:$P$1001,I97))*(실물목록!$Q$2:$Q$1001&lt;&gt;"")*ISNUMBER(SEARCH(실물목록!$Q$2:$Q$1001,I97))*(실물목록!$R$2:$R$1001="")*(실물목록!$O$2:$O$1001&lt;&gt;"")*(실물목록!$O$2:$O$1001=H97))&gt;0,"실물 있음",IF(SUMPRODUCT((실물목록!$P$2:$P$1001&lt;&gt;"")*ISNUMBER(SEARCH(실물목록!$P$2:$P$1001,I97))*(실물목록!$R$2:$R$1001&lt;&gt;""))&gt;0,"확인필요(입력누락)",IF(SUMPRODUCT((실물목록!$P$2:$P$1001&lt;&gt;"")*ISNUMBER(SEARCH(실물목록!$P$2:$P$1001,I97))*(실물목록!$Q$2:$Q$1001&lt;&gt;"")*ISNUMBER(SEARCH(실물목록!$Q$2:$Q$1001,I97))*(실물목록!$R$2:$R$1001="")*(실물목록!$O$2:$O$1001&lt;&gt;""))&gt;0,"확인필요(연도다름)","실물 없음")))))</f>
      </c>
      <c r="G97" t="n" s="16">
        <f aca="0">IF(B97="","",SUMPRODUCT((실물목록!$P$2:$P$1001&lt;&gt;"")*ISNUMBER(SEARCH(실물목록!$P$2:$P$1001,I97))*(실물목록!$Q$2:$Q$1001&lt;&gt;"")*ISNUMBER(SEARCH(실물목록!$Q$2:$Q$1001,I97))*(실물목록!$R$2:$R$1001="")*(실물목록!$O$2:$O$1001&lt;&gt;"")*(실물목록!$O$2:$O$1001=H97)))</f>
      </c>
      <c r="H97" t="str">
        <f>IFERROR(IF(AND(LEN(SUBSTITUTE(SUBSTITUTE(SUBSTITUTE(TRIM(A97&amp;""),CHAR(160),"")," ",""),"년",""))=4,VALUE(SUBSTITUTE(SUBSTITUTE(SUBSTITUTE(TRIM(A97&amp;""),CHAR(160),"")," ",""),"년",""))&gt;=1900,VALUE(SUBSTITUTE(SUBSTITUTE(SUBSTITUTE(TRIM(A97&amp;""),CHAR(160),"")," ",""),"년",""))&lt;=2099,TEXT(VALUE(SUBSTITUTE(SUBSTITUTE(SUBSTITUTE(TRIM(A97&amp;""),CHAR(160),"")," ",""),"년","")),"0000")=SUBSTITUTE(SUBSTITUTE(SUBSTITUTE(TRIM(A97&amp;""),CHAR(160),"")," ",""),"년","")),SUBSTITUTE(SUBSTITUTE(SUBSTITUTE(TRIM(A97&amp;""),CHAR(160),"")," ",""),"년",""),""),"")</f>
      </c>
      <c r="I97" t="str">
        <f>SUBSTITUTE(SUBSTITUTE(SUBSTITUTE(SUBSTITUTE(SUBSTITUTE(TRIM(B97&amp;""),CHAR(160),"")," ",""),"초등학교","초"),"중학교","중"),"고등학교","고")</f>
      </c>
    </row>
    <row r="98" customFormat="false" ht="15" hidden="false" customHeight="false" outlineLevel="0" collapsed="false">
      <c r="A98" s="8"/>
      <c r="B98" s="8"/>
      <c r="C98" s="8"/>
      <c r="D98" s="8"/>
      <c r="E98" s="8"/>
      <c r="F98" t="str" s="15">
        <f aca="0">IF(B98="","",IF(H98="","확인필요(입력누락)",IF(SUMPRODUCT((실물목록!$P$2:$P$1001&lt;&gt;"")*ISNUMBER(SEARCH(실물목록!$P$2:$P$1001,I98))*(실물목록!$Q$2:$Q$1001&lt;&gt;"")*ISNUMBER(SEARCH(실물목록!$Q$2:$Q$1001,I98))*(실물목록!$R$2:$R$1001="")*(실물목록!$O$2:$O$1001&lt;&gt;"")*(실물목록!$O$2:$O$1001=H98))&gt;0,"실물 있음",IF(SUMPRODUCT((실물목록!$P$2:$P$1001&lt;&gt;"")*ISNUMBER(SEARCH(실물목록!$P$2:$P$1001,I98))*(실물목록!$R$2:$R$1001&lt;&gt;""))&gt;0,"확인필요(입력누락)",IF(SUMPRODUCT((실물목록!$P$2:$P$1001&lt;&gt;"")*ISNUMBER(SEARCH(실물목록!$P$2:$P$1001,I98))*(실물목록!$Q$2:$Q$1001&lt;&gt;"")*ISNUMBER(SEARCH(실물목록!$Q$2:$Q$1001,I98))*(실물목록!$R$2:$R$1001="")*(실물목록!$O$2:$O$1001&lt;&gt;""))&gt;0,"확인필요(연도다름)","실물 없음")))))</f>
      </c>
      <c r="G98" t="n" s="16">
        <f aca="0">IF(B98="","",SUMPRODUCT((실물목록!$P$2:$P$1001&lt;&gt;"")*ISNUMBER(SEARCH(실물목록!$P$2:$P$1001,I98))*(실물목록!$Q$2:$Q$1001&lt;&gt;"")*ISNUMBER(SEARCH(실물목록!$Q$2:$Q$1001,I98))*(실물목록!$R$2:$R$1001="")*(실물목록!$O$2:$O$1001&lt;&gt;"")*(실물목록!$O$2:$O$1001=H98)))</f>
      </c>
      <c r="H98" t="str">
        <f>IFERROR(IF(AND(LEN(SUBSTITUTE(SUBSTITUTE(SUBSTITUTE(TRIM(A98&amp;""),CHAR(160),"")," ",""),"년",""))=4,VALUE(SUBSTITUTE(SUBSTITUTE(SUBSTITUTE(TRIM(A98&amp;""),CHAR(160),"")," ",""),"년",""))&gt;=1900,VALUE(SUBSTITUTE(SUBSTITUTE(SUBSTITUTE(TRIM(A98&amp;""),CHAR(160),"")," ",""),"년",""))&lt;=2099,TEXT(VALUE(SUBSTITUTE(SUBSTITUTE(SUBSTITUTE(TRIM(A98&amp;""),CHAR(160),"")," ",""),"년","")),"0000")=SUBSTITUTE(SUBSTITUTE(SUBSTITUTE(TRIM(A98&amp;""),CHAR(160),"")," ",""),"년","")),SUBSTITUTE(SUBSTITUTE(SUBSTITUTE(TRIM(A98&amp;""),CHAR(160),"")," ",""),"년",""),""),"")</f>
      </c>
      <c r="I98" t="str">
        <f>SUBSTITUTE(SUBSTITUTE(SUBSTITUTE(SUBSTITUTE(SUBSTITUTE(TRIM(B98&amp;""),CHAR(160),"")," ",""),"초등학교","초"),"중학교","중"),"고등학교","고")</f>
      </c>
    </row>
    <row r="99" customFormat="false" ht="15" hidden="false" customHeight="false" outlineLevel="0" collapsed="false">
      <c r="A99" s="8"/>
      <c r="B99" s="8"/>
      <c r="C99" s="8"/>
      <c r="D99" s="8"/>
      <c r="E99" s="8"/>
      <c r="F99" t="str" s="15">
        <f aca="0">IF(B99="","",IF(H99="","확인필요(입력누락)",IF(SUMPRODUCT((실물목록!$P$2:$P$1001&lt;&gt;"")*ISNUMBER(SEARCH(실물목록!$P$2:$P$1001,I99))*(실물목록!$Q$2:$Q$1001&lt;&gt;"")*ISNUMBER(SEARCH(실물목록!$Q$2:$Q$1001,I99))*(실물목록!$R$2:$R$1001="")*(실물목록!$O$2:$O$1001&lt;&gt;"")*(실물목록!$O$2:$O$1001=H99))&gt;0,"실물 있음",IF(SUMPRODUCT((실물목록!$P$2:$P$1001&lt;&gt;"")*ISNUMBER(SEARCH(실물목록!$P$2:$P$1001,I99))*(실물목록!$R$2:$R$1001&lt;&gt;""))&gt;0,"확인필요(입력누락)",IF(SUMPRODUCT((실물목록!$P$2:$P$1001&lt;&gt;"")*ISNUMBER(SEARCH(실물목록!$P$2:$P$1001,I99))*(실물목록!$Q$2:$Q$1001&lt;&gt;"")*ISNUMBER(SEARCH(실물목록!$Q$2:$Q$1001,I99))*(실물목록!$R$2:$R$1001="")*(실물목록!$O$2:$O$1001&lt;&gt;""))&gt;0,"확인필요(연도다름)","실물 없음")))))</f>
      </c>
      <c r="G99" t="n" s="16">
        <f aca="0">IF(B99="","",SUMPRODUCT((실물목록!$P$2:$P$1001&lt;&gt;"")*ISNUMBER(SEARCH(실물목록!$P$2:$P$1001,I99))*(실물목록!$Q$2:$Q$1001&lt;&gt;"")*ISNUMBER(SEARCH(실물목록!$Q$2:$Q$1001,I99))*(실물목록!$R$2:$R$1001="")*(실물목록!$O$2:$O$1001&lt;&gt;"")*(실물목록!$O$2:$O$1001=H99)))</f>
      </c>
      <c r="H99" t="str">
        <f>IFERROR(IF(AND(LEN(SUBSTITUTE(SUBSTITUTE(SUBSTITUTE(TRIM(A99&amp;""),CHAR(160),"")," ",""),"년",""))=4,VALUE(SUBSTITUTE(SUBSTITUTE(SUBSTITUTE(TRIM(A99&amp;""),CHAR(160),"")," ",""),"년",""))&gt;=1900,VALUE(SUBSTITUTE(SUBSTITUTE(SUBSTITUTE(TRIM(A99&amp;""),CHAR(160),"")," ",""),"년",""))&lt;=2099,TEXT(VALUE(SUBSTITUTE(SUBSTITUTE(SUBSTITUTE(TRIM(A99&amp;""),CHAR(160),"")," ",""),"년","")),"0000")=SUBSTITUTE(SUBSTITUTE(SUBSTITUTE(TRIM(A99&amp;""),CHAR(160),"")," ",""),"년","")),SUBSTITUTE(SUBSTITUTE(SUBSTITUTE(TRIM(A99&amp;""),CHAR(160),"")," ",""),"년",""),""),"")</f>
      </c>
      <c r="I99" t="str">
        <f>SUBSTITUTE(SUBSTITUTE(SUBSTITUTE(SUBSTITUTE(SUBSTITUTE(TRIM(B99&amp;""),CHAR(160),"")," ",""),"초등학교","초"),"중학교","중"),"고등학교","고")</f>
      </c>
    </row>
    <row r="100" customFormat="false" ht="15" hidden="false" customHeight="false" outlineLevel="0" collapsed="false">
      <c r="A100" s="8"/>
      <c r="B100" s="8"/>
      <c r="C100" s="8"/>
      <c r="D100" s="8"/>
      <c r="E100" s="8"/>
      <c r="F100" t="str" s="15">
        <f aca="0">IF(B100="","",IF(H100="","확인필요(입력누락)",IF(SUMPRODUCT((실물목록!$P$2:$P$1001&lt;&gt;"")*ISNUMBER(SEARCH(실물목록!$P$2:$P$1001,I100))*(실물목록!$Q$2:$Q$1001&lt;&gt;"")*ISNUMBER(SEARCH(실물목록!$Q$2:$Q$1001,I100))*(실물목록!$R$2:$R$1001="")*(실물목록!$O$2:$O$1001&lt;&gt;"")*(실물목록!$O$2:$O$1001=H100))&gt;0,"실물 있음",IF(SUMPRODUCT((실물목록!$P$2:$P$1001&lt;&gt;"")*ISNUMBER(SEARCH(실물목록!$P$2:$P$1001,I100))*(실물목록!$R$2:$R$1001&lt;&gt;""))&gt;0,"확인필요(입력누락)",IF(SUMPRODUCT((실물목록!$P$2:$P$1001&lt;&gt;"")*ISNUMBER(SEARCH(실물목록!$P$2:$P$1001,I100))*(실물목록!$Q$2:$Q$1001&lt;&gt;"")*ISNUMBER(SEARCH(실물목록!$Q$2:$Q$1001,I100))*(실물목록!$R$2:$R$1001="")*(실물목록!$O$2:$O$1001&lt;&gt;""))&gt;0,"확인필요(연도다름)","실물 없음")))))</f>
      </c>
      <c r="G100" t="n" s="16">
        <f aca="0">IF(B100="","",SUMPRODUCT((실물목록!$P$2:$P$1001&lt;&gt;"")*ISNUMBER(SEARCH(실물목록!$P$2:$P$1001,I100))*(실물목록!$Q$2:$Q$1001&lt;&gt;"")*ISNUMBER(SEARCH(실물목록!$Q$2:$Q$1001,I100))*(실물목록!$R$2:$R$1001="")*(실물목록!$O$2:$O$1001&lt;&gt;"")*(실물목록!$O$2:$O$1001=H100)))</f>
      </c>
      <c r="H100" t="str">
        <f>IFERROR(IF(AND(LEN(SUBSTITUTE(SUBSTITUTE(SUBSTITUTE(TRIM(A100&amp;""),CHAR(160),"")," ",""),"년",""))=4,VALUE(SUBSTITUTE(SUBSTITUTE(SUBSTITUTE(TRIM(A100&amp;""),CHAR(160),"")," ",""),"년",""))&gt;=1900,VALUE(SUBSTITUTE(SUBSTITUTE(SUBSTITUTE(TRIM(A100&amp;""),CHAR(160),"")," ",""),"년",""))&lt;=2099,TEXT(VALUE(SUBSTITUTE(SUBSTITUTE(SUBSTITUTE(TRIM(A100&amp;""),CHAR(160),"")," ",""),"년","")),"0000")=SUBSTITUTE(SUBSTITUTE(SUBSTITUTE(TRIM(A100&amp;""),CHAR(160),"")," ",""),"년","")),SUBSTITUTE(SUBSTITUTE(SUBSTITUTE(TRIM(A100&amp;""),CHAR(160),"")," ",""),"년",""),""),"")</f>
      </c>
      <c r="I100" t="str">
        <f>SUBSTITUTE(SUBSTITUTE(SUBSTITUTE(SUBSTITUTE(SUBSTITUTE(TRIM(B100&amp;""),CHAR(160),"")," ",""),"초등학교","초"),"중학교","중"),"고등학교","고")</f>
      </c>
    </row>
    <row r="101" customFormat="false" ht="15" hidden="false" customHeight="false" outlineLevel="0" collapsed="false">
      <c r="A101" s="8"/>
      <c r="B101" s="8"/>
      <c r="C101" s="8"/>
      <c r="D101" s="8"/>
      <c r="E101" s="8"/>
      <c r="F101" t="str" s="15">
        <f aca="0">IF(B101="","",IF(H101="","확인필요(입력누락)",IF(SUMPRODUCT((실물목록!$P$2:$P$1001&lt;&gt;"")*ISNUMBER(SEARCH(실물목록!$P$2:$P$1001,I101))*(실물목록!$Q$2:$Q$1001&lt;&gt;"")*ISNUMBER(SEARCH(실물목록!$Q$2:$Q$1001,I101))*(실물목록!$R$2:$R$1001="")*(실물목록!$O$2:$O$1001&lt;&gt;"")*(실물목록!$O$2:$O$1001=H101))&gt;0,"실물 있음",IF(SUMPRODUCT((실물목록!$P$2:$P$1001&lt;&gt;"")*ISNUMBER(SEARCH(실물목록!$P$2:$P$1001,I101))*(실물목록!$R$2:$R$1001&lt;&gt;""))&gt;0,"확인필요(입력누락)",IF(SUMPRODUCT((실물목록!$P$2:$P$1001&lt;&gt;"")*ISNUMBER(SEARCH(실물목록!$P$2:$P$1001,I101))*(실물목록!$Q$2:$Q$1001&lt;&gt;"")*ISNUMBER(SEARCH(실물목록!$Q$2:$Q$1001,I101))*(실물목록!$R$2:$R$1001="")*(실물목록!$O$2:$O$1001&lt;&gt;""))&gt;0,"확인필요(연도다름)","실물 없음")))))</f>
      </c>
      <c r="G101" t="n" s="16">
        <f aca="0">IF(B101="","",SUMPRODUCT((실물목록!$P$2:$P$1001&lt;&gt;"")*ISNUMBER(SEARCH(실물목록!$P$2:$P$1001,I101))*(실물목록!$Q$2:$Q$1001&lt;&gt;"")*ISNUMBER(SEARCH(실물목록!$Q$2:$Q$1001,I101))*(실물목록!$R$2:$R$1001="")*(실물목록!$O$2:$O$1001&lt;&gt;"")*(실물목록!$O$2:$O$1001=H101)))</f>
      </c>
      <c r="H101" t="str">
        <f>IFERROR(IF(AND(LEN(SUBSTITUTE(SUBSTITUTE(SUBSTITUTE(TRIM(A101&amp;""),CHAR(160),"")," ",""),"년",""))=4,VALUE(SUBSTITUTE(SUBSTITUTE(SUBSTITUTE(TRIM(A101&amp;""),CHAR(160),"")," ",""),"년",""))&gt;=1900,VALUE(SUBSTITUTE(SUBSTITUTE(SUBSTITUTE(TRIM(A101&amp;""),CHAR(160),"")," ",""),"년",""))&lt;=2099,TEXT(VALUE(SUBSTITUTE(SUBSTITUTE(SUBSTITUTE(TRIM(A101&amp;""),CHAR(160),"")," ",""),"년","")),"0000")=SUBSTITUTE(SUBSTITUTE(SUBSTITUTE(TRIM(A101&amp;""),CHAR(160),"")," ",""),"년","")),SUBSTITUTE(SUBSTITUTE(SUBSTITUTE(TRIM(A101&amp;""),CHAR(160),"")," ",""),"년",""),""),"")</f>
      </c>
      <c r="I101" t="str">
        <f>SUBSTITUTE(SUBSTITUTE(SUBSTITUTE(SUBSTITUTE(SUBSTITUTE(TRIM(B101&amp;""),CHAR(160),"")," ",""),"초등학교","초"),"중학교","중"),"고등학교","고")</f>
      </c>
    </row>
    <row r="102" customFormat="false" ht="15" hidden="false" customHeight="false" outlineLevel="0" collapsed="false">
      <c r="A102" s="8"/>
      <c r="B102" s="8"/>
      <c r="C102" s="8"/>
      <c r="D102" s="8"/>
      <c r="E102" s="8"/>
      <c r="F102" t="str" s="15">
        <f aca="0">IF(B102="","",IF(H102="","확인필요(입력누락)",IF(SUMPRODUCT((실물목록!$P$2:$P$1001&lt;&gt;"")*ISNUMBER(SEARCH(실물목록!$P$2:$P$1001,I102))*(실물목록!$Q$2:$Q$1001&lt;&gt;"")*ISNUMBER(SEARCH(실물목록!$Q$2:$Q$1001,I102))*(실물목록!$R$2:$R$1001="")*(실물목록!$O$2:$O$1001&lt;&gt;"")*(실물목록!$O$2:$O$1001=H102))&gt;0,"실물 있음",IF(SUMPRODUCT((실물목록!$P$2:$P$1001&lt;&gt;"")*ISNUMBER(SEARCH(실물목록!$P$2:$P$1001,I102))*(실물목록!$R$2:$R$1001&lt;&gt;""))&gt;0,"확인필요(입력누락)",IF(SUMPRODUCT((실물목록!$P$2:$P$1001&lt;&gt;"")*ISNUMBER(SEARCH(실물목록!$P$2:$P$1001,I102))*(실물목록!$Q$2:$Q$1001&lt;&gt;"")*ISNUMBER(SEARCH(실물목록!$Q$2:$Q$1001,I102))*(실물목록!$R$2:$R$1001="")*(실물목록!$O$2:$O$1001&lt;&gt;""))&gt;0,"확인필요(연도다름)","실물 없음")))))</f>
      </c>
      <c r="G102" t="n" s="16">
        <f aca="0">IF(B102="","",SUMPRODUCT((실물목록!$P$2:$P$1001&lt;&gt;"")*ISNUMBER(SEARCH(실물목록!$P$2:$P$1001,I102))*(실물목록!$Q$2:$Q$1001&lt;&gt;"")*ISNUMBER(SEARCH(실물목록!$Q$2:$Q$1001,I102))*(실물목록!$R$2:$R$1001="")*(실물목록!$O$2:$O$1001&lt;&gt;"")*(실물목록!$O$2:$O$1001=H102)))</f>
      </c>
      <c r="H102" t="str">
        <f>IFERROR(IF(AND(LEN(SUBSTITUTE(SUBSTITUTE(SUBSTITUTE(TRIM(A102&amp;""),CHAR(160),"")," ",""),"년",""))=4,VALUE(SUBSTITUTE(SUBSTITUTE(SUBSTITUTE(TRIM(A102&amp;""),CHAR(160),"")," ",""),"년",""))&gt;=1900,VALUE(SUBSTITUTE(SUBSTITUTE(SUBSTITUTE(TRIM(A102&amp;""),CHAR(160),"")," ",""),"년",""))&lt;=2099,TEXT(VALUE(SUBSTITUTE(SUBSTITUTE(SUBSTITUTE(TRIM(A102&amp;""),CHAR(160),"")," ",""),"년","")),"0000")=SUBSTITUTE(SUBSTITUTE(SUBSTITUTE(TRIM(A102&amp;""),CHAR(160),"")," ",""),"년","")),SUBSTITUTE(SUBSTITUTE(SUBSTITUTE(TRIM(A102&amp;""),CHAR(160),"")," ",""),"년",""),""),"")</f>
      </c>
      <c r="I102" t="str">
        <f>SUBSTITUTE(SUBSTITUTE(SUBSTITUTE(SUBSTITUTE(SUBSTITUTE(TRIM(B102&amp;""),CHAR(160),"")," ",""),"초등학교","초"),"중학교","중"),"고등학교","고")</f>
      </c>
    </row>
    <row r="103" customFormat="false" ht="15" hidden="false" customHeight="false" outlineLevel="0" collapsed="false">
      <c r="A103" s="8"/>
      <c r="B103" s="8"/>
      <c r="C103" s="8"/>
      <c r="D103" s="8"/>
      <c r="E103" s="8"/>
      <c r="F103" t="str" s="15">
        <f aca="0">IF(B103="","",IF(H103="","확인필요(입력누락)",IF(SUMPRODUCT((실물목록!$P$2:$P$1001&lt;&gt;"")*ISNUMBER(SEARCH(실물목록!$P$2:$P$1001,I103))*(실물목록!$Q$2:$Q$1001&lt;&gt;"")*ISNUMBER(SEARCH(실물목록!$Q$2:$Q$1001,I103))*(실물목록!$R$2:$R$1001="")*(실물목록!$O$2:$O$1001&lt;&gt;"")*(실물목록!$O$2:$O$1001=H103))&gt;0,"실물 있음",IF(SUMPRODUCT((실물목록!$P$2:$P$1001&lt;&gt;"")*ISNUMBER(SEARCH(실물목록!$P$2:$P$1001,I103))*(실물목록!$R$2:$R$1001&lt;&gt;""))&gt;0,"확인필요(입력누락)",IF(SUMPRODUCT((실물목록!$P$2:$P$1001&lt;&gt;"")*ISNUMBER(SEARCH(실물목록!$P$2:$P$1001,I103))*(실물목록!$Q$2:$Q$1001&lt;&gt;"")*ISNUMBER(SEARCH(실물목록!$Q$2:$Q$1001,I103))*(실물목록!$R$2:$R$1001="")*(실물목록!$O$2:$O$1001&lt;&gt;""))&gt;0,"확인필요(연도다름)","실물 없음")))))</f>
      </c>
      <c r="G103" t="n" s="16">
        <f aca="0">IF(B103="","",SUMPRODUCT((실물목록!$P$2:$P$1001&lt;&gt;"")*ISNUMBER(SEARCH(실물목록!$P$2:$P$1001,I103))*(실물목록!$Q$2:$Q$1001&lt;&gt;"")*ISNUMBER(SEARCH(실물목록!$Q$2:$Q$1001,I103))*(실물목록!$R$2:$R$1001="")*(실물목록!$O$2:$O$1001&lt;&gt;"")*(실물목록!$O$2:$O$1001=H103)))</f>
      </c>
      <c r="H103" t="str">
        <f>IFERROR(IF(AND(LEN(SUBSTITUTE(SUBSTITUTE(SUBSTITUTE(TRIM(A103&amp;""),CHAR(160),"")," ",""),"년",""))=4,VALUE(SUBSTITUTE(SUBSTITUTE(SUBSTITUTE(TRIM(A103&amp;""),CHAR(160),"")," ",""),"년",""))&gt;=1900,VALUE(SUBSTITUTE(SUBSTITUTE(SUBSTITUTE(TRIM(A103&amp;""),CHAR(160),"")," ",""),"년",""))&lt;=2099,TEXT(VALUE(SUBSTITUTE(SUBSTITUTE(SUBSTITUTE(TRIM(A103&amp;""),CHAR(160),"")," ",""),"년","")),"0000")=SUBSTITUTE(SUBSTITUTE(SUBSTITUTE(TRIM(A103&amp;""),CHAR(160),"")," ",""),"년","")),SUBSTITUTE(SUBSTITUTE(SUBSTITUTE(TRIM(A103&amp;""),CHAR(160),"")," ",""),"년",""),""),"")</f>
      </c>
      <c r="I103" t="str">
        <f>SUBSTITUTE(SUBSTITUTE(SUBSTITUTE(SUBSTITUTE(SUBSTITUTE(TRIM(B103&amp;""),CHAR(160),"")," ",""),"초등학교","초"),"중학교","중"),"고등학교","고")</f>
      </c>
    </row>
    <row r="104" customFormat="false" ht="15" hidden="false" customHeight="false" outlineLevel="0" collapsed="false">
      <c r="A104" s="8"/>
      <c r="B104" s="8"/>
      <c r="C104" s="8"/>
      <c r="D104" s="8"/>
      <c r="E104" s="8"/>
      <c r="F104" t="str" s="15">
        <f aca="0">IF(B104="","",IF(H104="","확인필요(입력누락)",IF(SUMPRODUCT((실물목록!$P$2:$P$1001&lt;&gt;"")*ISNUMBER(SEARCH(실물목록!$P$2:$P$1001,I104))*(실물목록!$Q$2:$Q$1001&lt;&gt;"")*ISNUMBER(SEARCH(실물목록!$Q$2:$Q$1001,I104))*(실물목록!$R$2:$R$1001="")*(실물목록!$O$2:$O$1001&lt;&gt;"")*(실물목록!$O$2:$O$1001=H104))&gt;0,"실물 있음",IF(SUMPRODUCT((실물목록!$P$2:$P$1001&lt;&gt;"")*ISNUMBER(SEARCH(실물목록!$P$2:$P$1001,I104))*(실물목록!$R$2:$R$1001&lt;&gt;""))&gt;0,"확인필요(입력누락)",IF(SUMPRODUCT((실물목록!$P$2:$P$1001&lt;&gt;"")*ISNUMBER(SEARCH(실물목록!$P$2:$P$1001,I104))*(실물목록!$Q$2:$Q$1001&lt;&gt;"")*ISNUMBER(SEARCH(실물목록!$Q$2:$Q$1001,I104))*(실물목록!$R$2:$R$1001="")*(실물목록!$O$2:$O$1001&lt;&gt;""))&gt;0,"확인필요(연도다름)","실물 없음")))))</f>
      </c>
      <c r="G104" t="n" s="16">
        <f aca="0">IF(B104="","",SUMPRODUCT((실물목록!$P$2:$P$1001&lt;&gt;"")*ISNUMBER(SEARCH(실물목록!$P$2:$P$1001,I104))*(실물목록!$Q$2:$Q$1001&lt;&gt;"")*ISNUMBER(SEARCH(실물목록!$Q$2:$Q$1001,I104))*(실물목록!$R$2:$R$1001="")*(실물목록!$O$2:$O$1001&lt;&gt;"")*(실물목록!$O$2:$O$1001=H104)))</f>
      </c>
      <c r="H104" t="str">
        <f>IFERROR(IF(AND(LEN(SUBSTITUTE(SUBSTITUTE(SUBSTITUTE(TRIM(A104&amp;""),CHAR(160),"")," ",""),"년",""))=4,VALUE(SUBSTITUTE(SUBSTITUTE(SUBSTITUTE(TRIM(A104&amp;""),CHAR(160),"")," ",""),"년",""))&gt;=1900,VALUE(SUBSTITUTE(SUBSTITUTE(SUBSTITUTE(TRIM(A104&amp;""),CHAR(160),"")," ",""),"년",""))&lt;=2099,TEXT(VALUE(SUBSTITUTE(SUBSTITUTE(SUBSTITUTE(TRIM(A104&amp;""),CHAR(160),"")," ",""),"년","")),"0000")=SUBSTITUTE(SUBSTITUTE(SUBSTITUTE(TRIM(A104&amp;""),CHAR(160),"")," ",""),"년","")),SUBSTITUTE(SUBSTITUTE(SUBSTITUTE(TRIM(A104&amp;""),CHAR(160),"")," ",""),"년",""),""),"")</f>
      </c>
      <c r="I104" t="str">
        <f>SUBSTITUTE(SUBSTITUTE(SUBSTITUTE(SUBSTITUTE(SUBSTITUTE(TRIM(B104&amp;""),CHAR(160),"")," ",""),"초등학교","초"),"중학교","중"),"고등학교","고")</f>
      </c>
    </row>
    <row r="105" customFormat="false" ht="15" hidden="false" customHeight="false" outlineLevel="0" collapsed="false">
      <c r="A105" s="8"/>
      <c r="B105" s="8"/>
      <c r="C105" s="8"/>
      <c r="D105" s="8"/>
      <c r="E105" s="8"/>
      <c r="F105" t="str" s="15">
        <f aca="0">IF(B105="","",IF(H105="","확인필요(입력누락)",IF(SUMPRODUCT((실물목록!$P$2:$P$1001&lt;&gt;"")*ISNUMBER(SEARCH(실물목록!$P$2:$P$1001,I105))*(실물목록!$Q$2:$Q$1001&lt;&gt;"")*ISNUMBER(SEARCH(실물목록!$Q$2:$Q$1001,I105))*(실물목록!$R$2:$R$1001="")*(실물목록!$O$2:$O$1001&lt;&gt;"")*(실물목록!$O$2:$O$1001=H105))&gt;0,"실물 있음",IF(SUMPRODUCT((실물목록!$P$2:$P$1001&lt;&gt;"")*ISNUMBER(SEARCH(실물목록!$P$2:$P$1001,I105))*(실물목록!$R$2:$R$1001&lt;&gt;""))&gt;0,"확인필요(입력누락)",IF(SUMPRODUCT((실물목록!$P$2:$P$1001&lt;&gt;"")*ISNUMBER(SEARCH(실물목록!$P$2:$P$1001,I105))*(실물목록!$Q$2:$Q$1001&lt;&gt;"")*ISNUMBER(SEARCH(실물목록!$Q$2:$Q$1001,I105))*(실물목록!$R$2:$R$1001="")*(실물목록!$O$2:$O$1001&lt;&gt;""))&gt;0,"확인필요(연도다름)","실물 없음")))))</f>
      </c>
      <c r="G105" t="n" s="16">
        <f aca="0">IF(B105="","",SUMPRODUCT((실물목록!$P$2:$P$1001&lt;&gt;"")*ISNUMBER(SEARCH(실물목록!$P$2:$P$1001,I105))*(실물목록!$Q$2:$Q$1001&lt;&gt;"")*ISNUMBER(SEARCH(실물목록!$Q$2:$Q$1001,I105))*(실물목록!$R$2:$R$1001="")*(실물목록!$O$2:$O$1001&lt;&gt;"")*(실물목록!$O$2:$O$1001=H105)))</f>
      </c>
      <c r="H105" t="str">
        <f>IFERROR(IF(AND(LEN(SUBSTITUTE(SUBSTITUTE(SUBSTITUTE(TRIM(A105&amp;""),CHAR(160),"")," ",""),"년",""))=4,VALUE(SUBSTITUTE(SUBSTITUTE(SUBSTITUTE(TRIM(A105&amp;""),CHAR(160),"")," ",""),"년",""))&gt;=1900,VALUE(SUBSTITUTE(SUBSTITUTE(SUBSTITUTE(TRIM(A105&amp;""),CHAR(160),"")," ",""),"년",""))&lt;=2099,TEXT(VALUE(SUBSTITUTE(SUBSTITUTE(SUBSTITUTE(TRIM(A105&amp;""),CHAR(160),"")," ",""),"년","")),"0000")=SUBSTITUTE(SUBSTITUTE(SUBSTITUTE(TRIM(A105&amp;""),CHAR(160),"")," ",""),"년","")),SUBSTITUTE(SUBSTITUTE(SUBSTITUTE(TRIM(A105&amp;""),CHAR(160),"")," ",""),"년",""),""),"")</f>
      </c>
      <c r="I105" t="str">
        <f>SUBSTITUTE(SUBSTITUTE(SUBSTITUTE(SUBSTITUTE(SUBSTITUTE(TRIM(B105&amp;""),CHAR(160),"")," ",""),"초등학교","초"),"중학교","중"),"고등학교","고")</f>
      </c>
    </row>
    <row r="106" customFormat="false" ht="15" hidden="false" customHeight="false" outlineLevel="0" collapsed="false">
      <c r="A106" s="8"/>
      <c r="B106" s="8"/>
      <c r="C106" s="8"/>
      <c r="D106" s="8"/>
      <c r="E106" s="8"/>
      <c r="F106" t="str" s="15">
        <f aca="0">IF(B106="","",IF(H106="","확인필요(입력누락)",IF(SUMPRODUCT((실물목록!$P$2:$P$1001&lt;&gt;"")*ISNUMBER(SEARCH(실물목록!$P$2:$P$1001,I106))*(실물목록!$Q$2:$Q$1001&lt;&gt;"")*ISNUMBER(SEARCH(실물목록!$Q$2:$Q$1001,I106))*(실물목록!$R$2:$R$1001="")*(실물목록!$O$2:$O$1001&lt;&gt;"")*(실물목록!$O$2:$O$1001=H106))&gt;0,"실물 있음",IF(SUMPRODUCT((실물목록!$P$2:$P$1001&lt;&gt;"")*ISNUMBER(SEARCH(실물목록!$P$2:$P$1001,I106))*(실물목록!$R$2:$R$1001&lt;&gt;""))&gt;0,"확인필요(입력누락)",IF(SUMPRODUCT((실물목록!$P$2:$P$1001&lt;&gt;"")*ISNUMBER(SEARCH(실물목록!$P$2:$P$1001,I106))*(실물목록!$Q$2:$Q$1001&lt;&gt;"")*ISNUMBER(SEARCH(실물목록!$Q$2:$Q$1001,I106))*(실물목록!$R$2:$R$1001="")*(실물목록!$O$2:$O$1001&lt;&gt;""))&gt;0,"확인필요(연도다름)","실물 없음")))))</f>
      </c>
      <c r="G106" t="n" s="16">
        <f aca="0">IF(B106="","",SUMPRODUCT((실물목록!$P$2:$P$1001&lt;&gt;"")*ISNUMBER(SEARCH(실물목록!$P$2:$P$1001,I106))*(실물목록!$Q$2:$Q$1001&lt;&gt;"")*ISNUMBER(SEARCH(실물목록!$Q$2:$Q$1001,I106))*(실물목록!$R$2:$R$1001="")*(실물목록!$O$2:$O$1001&lt;&gt;"")*(실물목록!$O$2:$O$1001=H106)))</f>
      </c>
      <c r="H106" t="str">
        <f>IFERROR(IF(AND(LEN(SUBSTITUTE(SUBSTITUTE(SUBSTITUTE(TRIM(A106&amp;""),CHAR(160),"")," ",""),"년",""))=4,VALUE(SUBSTITUTE(SUBSTITUTE(SUBSTITUTE(TRIM(A106&amp;""),CHAR(160),"")," ",""),"년",""))&gt;=1900,VALUE(SUBSTITUTE(SUBSTITUTE(SUBSTITUTE(TRIM(A106&amp;""),CHAR(160),"")," ",""),"년",""))&lt;=2099,TEXT(VALUE(SUBSTITUTE(SUBSTITUTE(SUBSTITUTE(TRIM(A106&amp;""),CHAR(160),"")," ",""),"년","")),"0000")=SUBSTITUTE(SUBSTITUTE(SUBSTITUTE(TRIM(A106&amp;""),CHAR(160),"")," ",""),"년","")),SUBSTITUTE(SUBSTITUTE(SUBSTITUTE(TRIM(A106&amp;""),CHAR(160),"")," ",""),"년",""),""),"")</f>
      </c>
      <c r="I106" t="str">
        <f>SUBSTITUTE(SUBSTITUTE(SUBSTITUTE(SUBSTITUTE(SUBSTITUTE(TRIM(B106&amp;""),CHAR(160),"")," ",""),"초등학교","초"),"중학교","중"),"고등학교","고")</f>
      </c>
    </row>
    <row r="107" customFormat="false" ht="15" hidden="false" customHeight="false" outlineLevel="0" collapsed="false">
      <c r="A107" s="8"/>
      <c r="B107" s="8"/>
      <c r="C107" s="8"/>
      <c r="D107" s="8"/>
      <c r="E107" s="8"/>
      <c r="F107" t="str" s="15">
        <f aca="0">IF(B107="","",IF(H107="","확인필요(입력누락)",IF(SUMPRODUCT((실물목록!$P$2:$P$1001&lt;&gt;"")*ISNUMBER(SEARCH(실물목록!$P$2:$P$1001,I107))*(실물목록!$Q$2:$Q$1001&lt;&gt;"")*ISNUMBER(SEARCH(실물목록!$Q$2:$Q$1001,I107))*(실물목록!$R$2:$R$1001="")*(실물목록!$O$2:$O$1001&lt;&gt;"")*(실물목록!$O$2:$O$1001=H107))&gt;0,"실물 있음",IF(SUMPRODUCT((실물목록!$P$2:$P$1001&lt;&gt;"")*ISNUMBER(SEARCH(실물목록!$P$2:$P$1001,I107))*(실물목록!$R$2:$R$1001&lt;&gt;""))&gt;0,"확인필요(입력누락)",IF(SUMPRODUCT((실물목록!$P$2:$P$1001&lt;&gt;"")*ISNUMBER(SEARCH(실물목록!$P$2:$P$1001,I107))*(실물목록!$Q$2:$Q$1001&lt;&gt;"")*ISNUMBER(SEARCH(실물목록!$Q$2:$Q$1001,I107))*(실물목록!$R$2:$R$1001="")*(실물목록!$O$2:$O$1001&lt;&gt;""))&gt;0,"확인필요(연도다름)","실물 없음")))))</f>
      </c>
      <c r="G107" t="n" s="16">
        <f aca="0">IF(B107="","",SUMPRODUCT((실물목록!$P$2:$P$1001&lt;&gt;"")*ISNUMBER(SEARCH(실물목록!$P$2:$P$1001,I107))*(실물목록!$Q$2:$Q$1001&lt;&gt;"")*ISNUMBER(SEARCH(실물목록!$Q$2:$Q$1001,I107))*(실물목록!$R$2:$R$1001="")*(실물목록!$O$2:$O$1001&lt;&gt;"")*(실물목록!$O$2:$O$1001=H107)))</f>
      </c>
      <c r="H107" t="str">
        <f>IFERROR(IF(AND(LEN(SUBSTITUTE(SUBSTITUTE(SUBSTITUTE(TRIM(A107&amp;""),CHAR(160),"")," ",""),"년",""))=4,VALUE(SUBSTITUTE(SUBSTITUTE(SUBSTITUTE(TRIM(A107&amp;""),CHAR(160),"")," ",""),"년",""))&gt;=1900,VALUE(SUBSTITUTE(SUBSTITUTE(SUBSTITUTE(TRIM(A107&amp;""),CHAR(160),"")," ",""),"년",""))&lt;=2099,TEXT(VALUE(SUBSTITUTE(SUBSTITUTE(SUBSTITUTE(TRIM(A107&amp;""),CHAR(160),"")," ",""),"년","")),"0000")=SUBSTITUTE(SUBSTITUTE(SUBSTITUTE(TRIM(A107&amp;""),CHAR(160),"")," ",""),"년","")),SUBSTITUTE(SUBSTITUTE(SUBSTITUTE(TRIM(A107&amp;""),CHAR(160),"")," ",""),"년",""),""),"")</f>
      </c>
      <c r="I107" t="str">
        <f>SUBSTITUTE(SUBSTITUTE(SUBSTITUTE(SUBSTITUTE(SUBSTITUTE(TRIM(B107&amp;""),CHAR(160),"")," ",""),"초등학교","초"),"중학교","중"),"고등학교","고")</f>
      </c>
    </row>
    <row r="108" customFormat="false" ht="15" hidden="false" customHeight="false" outlineLevel="0" collapsed="false">
      <c r="A108" s="8"/>
      <c r="B108" s="8"/>
      <c r="C108" s="8"/>
      <c r="D108" s="8"/>
      <c r="E108" s="8"/>
      <c r="F108" t="str" s="15">
        <f aca="0">IF(B108="","",IF(H108="","확인필요(입력누락)",IF(SUMPRODUCT((실물목록!$P$2:$P$1001&lt;&gt;"")*ISNUMBER(SEARCH(실물목록!$P$2:$P$1001,I108))*(실물목록!$Q$2:$Q$1001&lt;&gt;"")*ISNUMBER(SEARCH(실물목록!$Q$2:$Q$1001,I108))*(실물목록!$R$2:$R$1001="")*(실물목록!$O$2:$O$1001&lt;&gt;"")*(실물목록!$O$2:$O$1001=H108))&gt;0,"실물 있음",IF(SUMPRODUCT((실물목록!$P$2:$P$1001&lt;&gt;"")*ISNUMBER(SEARCH(실물목록!$P$2:$P$1001,I108))*(실물목록!$R$2:$R$1001&lt;&gt;""))&gt;0,"확인필요(입력누락)",IF(SUMPRODUCT((실물목록!$P$2:$P$1001&lt;&gt;"")*ISNUMBER(SEARCH(실물목록!$P$2:$P$1001,I108))*(실물목록!$Q$2:$Q$1001&lt;&gt;"")*ISNUMBER(SEARCH(실물목록!$Q$2:$Q$1001,I108))*(실물목록!$R$2:$R$1001="")*(실물목록!$O$2:$O$1001&lt;&gt;""))&gt;0,"확인필요(연도다름)","실물 없음")))))</f>
      </c>
      <c r="G108" t="n" s="16">
        <f aca="0">IF(B108="","",SUMPRODUCT((실물목록!$P$2:$P$1001&lt;&gt;"")*ISNUMBER(SEARCH(실물목록!$P$2:$P$1001,I108))*(실물목록!$Q$2:$Q$1001&lt;&gt;"")*ISNUMBER(SEARCH(실물목록!$Q$2:$Q$1001,I108))*(실물목록!$R$2:$R$1001="")*(실물목록!$O$2:$O$1001&lt;&gt;"")*(실물목록!$O$2:$O$1001=H108)))</f>
      </c>
      <c r="H108" t="str">
        <f>IFERROR(IF(AND(LEN(SUBSTITUTE(SUBSTITUTE(SUBSTITUTE(TRIM(A108&amp;""),CHAR(160),"")," ",""),"년",""))=4,VALUE(SUBSTITUTE(SUBSTITUTE(SUBSTITUTE(TRIM(A108&amp;""),CHAR(160),"")," ",""),"년",""))&gt;=1900,VALUE(SUBSTITUTE(SUBSTITUTE(SUBSTITUTE(TRIM(A108&amp;""),CHAR(160),"")," ",""),"년",""))&lt;=2099,TEXT(VALUE(SUBSTITUTE(SUBSTITUTE(SUBSTITUTE(TRIM(A108&amp;""),CHAR(160),"")," ",""),"년","")),"0000")=SUBSTITUTE(SUBSTITUTE(SUBSTITUTE(TRIM(A108&amp;""),CHAR(160),"")," ",""),"년","")),SUBSTITUTE(SUBSTITUTE(SUBSTITUTE(TRIM(A108&amp;""),CHAR(160),"")," ",""),"년",""),""),"")</f>
      </c>
      <c r="I108" t="str">
        <f>SUBSTITUTE(SUBSTITUTE(SUBSTITUTE(SUBSTITUTE(SUBSTITUTE(TRIM(B108&amp;""),CHAR(160),"")," ",""),"초등학교","초"),"중학교","중"),"고등학교","고")</f>
      </c>
    </row>
    <row r="109" customFormat="false" ht="15" hidden="false" customHeight="false" outlineLevel="0" collapsed="false">
      <c r="A109" s="8"/>
      <c r="B109" s="8"/>
      <c r="C109" s="8"/>
      <c r="D109" s="8"/>
      <c r="E109" s="8"/>
      <c r="F109" t="str" s="15">
        <f aca="0">IF(B109="","",IF(H109="","확인필요(입력누락)",IF(SUMPRODUCT((실물목록!$P$2:$P$1001&lt;&gt;"")*ISNUMBER(SEARCH(실물목록!$P$2:$P$1001,I109))*(실물목록!$Q$2:$Q$1001&lt;&gt;"")*ISNUMBER(SEARCH(실물목록!$Q$2:$Q$1001,I109))*(실물목록!$R$2:$R$1001="")*(실물목록!$O$2:$O$1001&lt;&gt;"")*(실물목록!$O$2:$O$1001=H109))&gt;0,"실물 있음",IF(SUMPRODUCT((실물목록!$P$2:$P$1001&lt;&gt;"")*ISNUMBER(SEARCH(실물목록!$P$2:$P$1001,I109))*(실물목록!$R$2:$R$1001&lt;&gt;""))&gt;0,"확인필요(입력누락)",IF(SUMPRODUCT((실물목록!$P$2:$P$1001&lt;&gt;"")*ISNUMBER(SEARCH(실물목록!$P$2:$P$1001,I109))*(실물목록!$Q$2:$Q$1001&lt;&gt;"")*ISNUMBER(SEARCH(실물목록!$Q$2:$Q$1001,I109))*(실물목록!$R$2:$R$1001="")*(실물목록!$O$2:$O$1001&lt;&gt;""))&gt;0,"확인필요(연도다름)","실물 없음")))))</f>
      </c>
      <c r="G109" t="n" s="16">
        <f aca="0">IF(B109="","",SUMPRODUCT((실물목록!$P$2:$P$1001&lt;&gt;"")*ISNUMBER(SEARCH(실물목록!$P$2:$P$1001,I109))*(실물목록!$Q$2:$Q$1001&lt;&gt;"")*ISNUMBER(SEARCH(실물목록!$Q$2:$Q$1001,I109))*(실물목록!$R$2:$R$1001="")*(실물목록!$O$2:$O$1001&lt;&gt;"")*(실물목록!$O$2:$O$1001=H109)))</f>
      </c>
      <c r="H109" t="str">
        <f>IFERROR(IF(AND(LEN(SUBSTITUTE(SUBSTITUTE(SUBSTITUTE(TRIM(A109&amp;""),CHAR(160),"")," ",""),"년",""))=4,VALUE(SUBSTITUTE(SUBSTITUTE(SUBSTITUTE(TRIM(A109&amp;""),CHAR(160),"")," ",""),"년",""))&gt;=1900,VALUE(SUBSTITUTE(SUBSTITUTE(SUBSTITUTE(TRIM(A109&amp;""),CHAR(160),"")," ",""),"년",""))&lt;=2099,TEXT(VALUE(SUBSTITUTE(SUBSTITUTE(SUBSTITUTE(TRIM(A109&amp;""),CHAR(160),"")," ",""),"년","")),"0000")=SUBSTITUTE(SUBSTITUTE(SUBSTITUTE(TRIM(A109&amp;""),CHAR(160),"")," ",""),"년","")),SUBSTITUTE(SUBSTITUTE(SUBSTITUTE(TRIM(A109&amp;""),CHAR(160),"")," ",""),"년",""),""),"")</f>
      </c>
      <c r="I109" t="str">
        <f>SUBSTITUTE(SUBSTITUTE(SUBSTITUTE(SUBSTITUTE(SUBSTITUTE(TRIM(B109&amp;""),CHAR(160),"")," ",""),"초등학교","초"),"중학교","중"),"고등학교","고")</f>
      </c>
    </row>
    <row r="110" customFormat="false" ht="15" hidden="false" customHeight="false" outlineLevel="0" collapsed="false">
      <c r="A110" s="8"/>
      <c r="B110" s="8"/>
      <c r="C110" s="8"/>
      <c r="D110" s="8"/>
      <c r="E110" s="8"/>
      <c r="F110" t="str" s="15">
        <f aca="0">IF(B110="","",IF(H110="","확인필요(입력누락)",IF(SUMPRODUCT((실물목록!$P$2:$P$1001&lt;&gt;"")*ISNUMBER(SEARCH(실물목록!$P$2:$P$1001,I110))*(실물목록!$Q$2:$Q$1001&lt;&gt;"")*ISNUMBER(SEARCH(실물목록!$Q$2:$Q$1001,I110))*(실물목록!$R$2:$R$1001="")*(실물목록!$O$2:$O$1001&lt;&gt;"")*(실물목록!$O$2:$O$1001=H110))&gt;0,"실물 있음",IF(SUMPRODUCT((실물목록!$P$2:$P$1001&lt;&gt;"")*ISNUMBER(SEARCH(실물목록!$P$2:$P$1001,I110))*(실물목록!$R$2:$R$1001&lt;&gt;""))&gt;0,"확인필요(입력누락)",IF(SUMPRODUCT((실물목록!$P$2:$P$1001&lt;&gt;"")*ISNUMBER(SEARCH(실물목록!$P$2:$P$1001,I110))*(실물목록!$Q$2:$Q$1001&lt;&gt;"")*ISNUMBER(SEARCH(실물목록!$Q$2:$Q$1001,I110))*(실물목록!$R$2:$R$1001="")*(실물목록!$O$2:$O$1001&lt;&gt;""))&gt;0,"확인필요(연도다름)","실물 없음")))))</f>
      </c>
      <c r="G110" t="n" s="16">
        <f aca="0">IF(B110="","",SUMPRODUCT((실물목록!$P$2:$P$1001&lt;&gt;"")*ISNUMBER(SEARCH(실물목록!$P$2:$P$1001,I110))*(실물목록!$Q$2:$Q$1001&lt;&gt;"")*ISNUMBER(SEARCH(실물목록!$Q$2:$Q$1001,I110))*(실물목록!$R$2:$R$1001="")*(실물목록!$O$2:$O$1001&lt;&gt;"")*(실물목록!$O$2:$O$1001=H110)))</f>
      </c>
      <c r="H110" t="str">
        <f>IFERROR(IF(AND(LEN(SUBSTITUTE(SUBSTITUTE(SUBSTITUTE(TRIM(A110&amp;""),CHAR(160),"")," ",""),"년",""))=4,VALUE(SUBSTITUTE(SUBSTITUTE(SUBSTITUTE(TRIM(A110&amp;""),CHAR(160),"")," ",""),"년",""))&gt;=1900,VALUE(SUBSTITUTE(SUBSTITUTE(SUBSTITUTE(TRIM(A110&amp;""),CHAR(160),"")," ",""),"년",""))&lt;=2099,TEXT(VALUE(SUBSTITUTE(SUBSTITUTE(SUBSTITUTE(TRIM(A110&amp;""),CHAR(160),"")," ",""),"년","")),"0000")=SUBSTITUTE(SUBSTITUTE(SUBSTITUTE(TRIM(A110&amp;""),CHAR(160),"")," ",""),"년","")),SUBSTITUTE(SUBSTITUTE(SUBSTITUTE(TRIM(A110&amp;""),CHAR(160),"")," ",""),"년",""),""),"")</f>
      </c>
      <c r="I110" t="str">
        <f>SUBSTITUTE(SUBSTITUTE(SUBSTITUTE(SUBSTITUTE(SUBSTITUTE(TRIM(B110&amp;""),CHAR(160),"")," ",""),"초등학교","초"),"중학교","중"),"고등학교","고")</f>
      </c>
    </row>
    <row r="111" customFormat="false" ht="15" hidden="false" customHeight="false" outlineLevel="0" collapsed="false">
      <c r="A111" s="8"/>
      <c r="B111" s="8"/>
      <c r="C111" s="8"/>
      <c r="D111" s="8"/>
      <c r="E111" s="8"/>
      <c r="F111" t="str" s="15">
        <f aca="0">IF(B111="","",IF(H111="","확인필요(입력누락)",IF(SUMPRODUCT((실물목록!$P$2:$P$1001&lt;&gt;"")*ISNUMBER(SEARCH(실물목록!$P$2:$P$1001,I111))*(실물목록!$Q$2:$Q$1001&lt;&gt;"")*ISNUMBER(SEARCH(실물목록!$Q$2:$Q$1001,I111))*(실물목록!$R$2:$R$1001="")*(실물목록!$O$2:$O$1001&lt;&gt;"")*(실물목록!$O$2:$O$1001=H111))&gt;0,"실물 있음",IF(SUMPRODUCT((실물목록!$P$2:$P$1001&lt;&gt;"")*ISNUMBER(SEARCH(실물목록!$P$2:$P$1001,I111))*(실물목록!$R$2:$R$1001&lt;&gt;""))&gt;0,"확인필요(입력누락)",IF(SUMPRODUCT((실물목록!$P$2:$P$1001&lt;&gt;"")*ISNUMBER(SEARCH(실물목록!$P$2:$P$1001,I111))*(실물목록!$Q$2:$Q$1001&lt;&gt;"")*ISNUMBER(SEARCH(실물목록!$Q$2:$Q$1001,I111))*(실물목록!$R$2:$R$1001="")*(실물목록!$O$2:$O$1001&lt;&gt;""))&gt;0,"확인필요(연도다름)","실물 없음")))))</f>
      </c>
      <c r="G111" t="n" s="16">
        <f aca="0">IF(B111="","",SUMPRODUCT((실물목록!$P$2:$P$1001&lt;&gt;"")*ISNUMBER(SEARCH(실물목록!$P$2:$P$1001,I111))*(실물목록!$Q$2:$Q$1001&lt;&gt;"")*ISNUMBER(SEARCH(실물목록!$Q$2:$Q$1001,I111))*(실물목록!$R$2:$R$1001="")*(실물목록!$O$2:$O$1001&lt;&gt;"")*(실물목록!$O$2:$O$1001=H111)))</f>
      </c>
      <c r="H111" t="str">
        <f>IFERROR(IF(AND(LEN(SUBSTITUTE(SUBSTITUTE(SUBSTITUTE(TRIM(A111&amp;""),CHAR(160),"")," ",""),"년",""))=4,VALUE(SUBSTITUTE(SUBSTITUTE(SUBSTITUTE(TRIM(A111&amp;""),CHAR(160),"")," ",""),"년",""))&gt;=1900,VALUE(SUBSTITUTE(SUBSTITUTE(SUBSTITUTE(TRIM(A111&amp;""),CHAR(160),"")," ",""),"년",""))&lt;=2099,TEXT(VALUE(SUBSTITUTE(SUBSTITUTE(SUBSTITUTE(TRIM(A111&amp;""),CHAR(160),"")," ",""),"년","")),"0000")=SUBSTITUTE(SUBSTITUTE(SUBSTITUTE(TRIM(A111&amp;""),CHAR(160),"")," ",""),"년","")),SUBSTITUTE(SUBSTITUTE(SUBSTITUTE(TRIM(A111&amp;""),CHAR(160),"")," ",""),"년",""),""),"")</f>
      </c>
      <c r="I111" t="str">
        <f>SUBSTITUTE(SUBSTITUTE(SUBSTITUTE(SUBSTITUTE(SUBSTITUTE(TRIM(B111&amp;""),CHAR(160),"")," ",""),"초등학교","초"),"중학교","중"),"고등학교","고")</f>
      </c>
    </row>
    <row r="112" customFormat="false" ht="15" hidden="false" customHeight="false" outlineLevel="0" collapsed="false">
      <c r="A112" s="8"/>
      <c r="B112" s="8"/>
      <c r="C112" s="8"/>
      <c r="D112" s="8"/>
      <c r="E112" s="8"/>
      <c r="F112" t="str" s="15">
        <f aca="0">IF(B112="","",IF(H112="","확인필요(입력누락)",IF(SUMPRODUCT((실물목록!$P$2:$P$1001&lt;&gt;"")*ISNUMBER(SEARCH(실물목록!$P$2:$P$1001,I112))*(실물목록!$Q$2:$Q$1001&lt;&gt;"")*ISNUMBER(SEARCH(실물목록!$Q$2:$Q$1001,I112))*(실물목록!$R$2:$R$1001="")*(실물목록!$O$2:$O$1001&lt;&gt;"")*(실물목록!$O$2:$O$1001=H112))&gt;0,"실물 있음",IF(SUMPRODUCT((실물목록!$P$2:$P$1001&lt;&gt;"")*ISNUMBER(SEARCH(실물목록!$P$2:$P$1001,I112))*(실물목록!$R$2:$R$1001&lt;&gt;""))&gt;0,"확인필요(입력누락)",IF(SUMPRODUCT((실물목록!$P$2:$P$1001&lt;&gt;"")*ISNUMBER(SEARCH(실물목록!$P$2:$P$1001,I112))*(실물목록!$Q$2:$Q$1001&lt;&gt;"")*ISNUMBER(SEARCH(실물목록!$Q$2:$Q$1001,I112))*(실물목록!$R$2:$R$1001="")*(실물목록!$O$2:$O$1001&lt;&gt;""))&gt;0,"확인필요(연도다름)","실물 없음")))))</f>
      </c>
      <c r="G112" t="n" s="16">
        <f aca="0">IF(B112="","",SUMPRODUCT((실물목록!$P$2:$P$1001&lt;&gt;"")*ISNUMBER(SEARCH(실물목록!$P$2:$P$1001,I112))*(실물목록!$Q$2:$Q$1001&lt;&gt;"")*ISNUMBER(SEARCH(실물목록!$Q$2:$Q$1001,I112))*(실물목록!$R$2:$R$1001="")*(실물목록!$O$2:$O$1001&lt;&gt;"")*(실물목록!$O$2:$O$1001=H112)))</f>
      </c>
      <c r="H112" t="str">
        <f>IFERROR(IF(AND(LEN(SUBSTITUTE(SUBSTITUTE(SUBSTITUTE(TRIM(A112&amp;""),CHAR(160),"")," ",""),"년",""))=4,VALUE(SUBSTITUTE(SUBSTITUTE(SUBSTITUTE(TRIM(A112&amp;""),CHAR(160),"")," ",""),"년",""))&gt;=1900,VALUE(SUBSTITUTE(SUBSTITUTE(SUBSTITUTE(TRIM(A112&amp;""),CHAR(160),"")," ",""),"년",""))&lt;=2099,TEXT(VALUE(SUBSTITUTE(SUBSTITUTE(SUBSTITUTE(TRIM(A112&amp;""),CHAR(160),"")," ",""),"년","")),"0000")=SUBSTITUTE(SUBSTITUTE(SUBSTITUTE(TRIM(A112&amp;""),CHAR(160),"")," ",""),"년","")),SUBSTITUTE(SUBSTITUTE(SUBSTITUTE(TRIM(A112&amp;""),CHAR(160),"")," ",""),"년",""),""),"")</f>
      </c>
      <c r="I112" t="str">
        <f>SUBSTITUTE(SUBSTITUTE(SUBSTITUTE(SUBSTITUTE(SUBSTITUTE(TRIM(B112&amp;""),CHAR(160),"")," ",""),"초등학교","초"),"중학교","중"),"고등학교","고")</f>
      </c>
    </row>
    <row r="113" customFormat="false" ht="15" hidden="false" customHeight="false" outlineLevel="0" collapsed="false">
      <c r="A113" s="8"/>
      <c r="B113" s="8"/>
      <c r="C113" s="8"/>
      <c r="D113" s="8"/>
      <c r="E113" s="8"/>
      <c r="F113" t="str" s="15">
        <f aca="0">IF(B113="","",IF(H113="","확인필요(입력누락)",IF(SUMPRODUCT((실물목록!$P$2:$P$1001&lt;&gt;"")*ISNUMBER(SEARCH(실물목록!$P$2:$P$1001,I113))*(실물목록!$Q$2:$Q$1001&lt;&gt;"")*ISNUMBER(SEARCH(실물목록!$Q$2:$Q$1001,I113))*(실물목록!$R$2:$R$1001="")*(실물목록!$O$2:$O$1001&lt;&gt;"")*(실물목록!$O$2:$O$1001=H113))&gt;0,"실물 있음",IF(SUMPRODUCT((실물목록!$P$2:$P$1001&lt;&gt;"")*ISNUMBER(SEARCH(실물목록!$P$2:$P$1001,I113))*(실물목록!$R$2:$R$1001&lt;&gt;""))&gt;0,"확인필요(입력누락)",IF(SUMPRODUCT((실물목록!$P$2:$P$1001&lt;&gt;"")*ISNUMBER(SEARCH(실물목록!$P$2:$P$1001,I113))*(실물목록!$Q$2:$Q$1001&lt;&gt;"")*ISNUMBER(SEARCH(실물목록!$Q$2:$Q$1001,I113))*(실물목록!$R$2:$R$1001="")*(실물목록!$O$2:$O$1001&lt;&gt;""))&gt;0,"확인필요(연도다름)","실물 없음")))))</f>
      </c>
      <c r="G113" t="n" s="16">
        <f aca="0">IF(B113="","",SUMPRODUCT((실물목록!$P$2:$P$1001&lt;&gt;"")*ISNUMBER(SEARCH(실물목록!$P$2:$P$1001,I113))*(실물목록!$Q$2:$Q$1001&lt;&gt;"")*ISNUMBER(SEARCH(실물목록!$Q$2:$Q$1001,I113))*(실물목록!$R$2:$R$1001="")*(실물목록!$O$2:$O$1001&lt;&gt;"")*(실물목록!$O$2:$O$1001=H113)))</f>
      </c>
      <c r="H113" t="str">
        <f>IFERROR(IF(AND(LEN(SUBSTITUTE(SUBSTITUTE(SUBSTITUTE(TRIM(A113&amp;""),CHAR(160),"")," ",""),"년",""))=4,VALUE(SUBSTITUTE(SUBSTITUTE(SUBSTITUTE(TRIM(A113&amp;""),CHAR(160),"")," ",""),"년",""))&gt;=1900,VALUE(SUBSTITUTE(SUBSTITUTE(SUBSTITUTE(TRIM(A113&amp;""),CHAR(160),"")," ",""),"년",""))&lt;=2099,TEXT(VALUE(SUBSTITUTE(SUBSTITUTE(SUBSTITUTE(TRIM(A113&amp;""),CHAR(160),"")," ",""),"년","")),"0000")=SUBSTITUTE(SUBSTITUTE(SUBSTITUTE(TRIM(A113&amp;""),CHAR(160),"")," ",""),"년","")),SUBSTITUTE(SUBSTITUTE(SUBSTITUTE(TRIM(A113&amp;""),CHAR(160),"")," ",""),"년",""),""),"")</f>
      </c>
      <c r="I113" t="str">
        <f>SUBSTITUTE(SUBSTITUTE(SUBSTITUTE(SUBSTITUTE(SUBSTITUTE(TRIM(B113&amp;""),CHAR(160),"")," ",""),"초등학교","초"),"중학교","중"),"고등학교","고")</f>
      </c>
    </row>
    <row r="114" customFormat="false" ht="15" hidden="false" customHeight="false" outlineLevel="0" collapsed="false">
      <c r="A114" s="8"/>
      <c r="B114" s="8"/>
      <c r="C114" s="8"/>
      <c r="D114" s="8"/>
      <c r="E114" s="8"/>
      <c r="F114" t="str" s="15">
        <f aca="0">IF(B114="","",IF(H114="","확인필요(입력누락)",IF(SUMPRODUCT((실물목록!$P$2:$P$1001&lt;&gt;"")*ISNUMBER(SEARCH(실물목록!$P$2:$P$1001,I114))*(실물목록!$Q$2:$Q$1001&lt;&gt;"")*ISNUMBER(SEARCH(실물목록!$Q$2:$Q$1001,I114))*(실물목록!$R$2:$R$1001="")*(실물목록!$O$2:$O$1001&lt;&gt;"")*(실물목록!$O$2:$O$1001=H114))&gt;0,"실물 있음",IF(SUMPRODUCT((실물목록!$P$2:$P$1001&lt;&gt;"")*ISNUMBER(SEARCH(실물목록!$P$2:$P$1001,I114))*(실물목록!$R$2:$R$1001&lt;&gt;""))&gt;0,"확인필요(입력누락)",IF(SUMPRODUCT((실물목록!$P$2:$P$1001&lt;&gt;"")*ISNUMBER(SEARCH(실물목록!$P$2:$P$1001,I114))*(실물목록!$Q$2:$Q$1001&lt;&gt;"")*ISNUMBER(SEARCH(실물목록!$Q$2:$Q$1001,I114))*(실물목록!$R$2:$R$1001="")*(실물목록!$O$2:$O$1001&lt;&gt;""))&gt;0,"확인필요(연도다름)","실물 없음")))))</f>
      </c>
      <c r="G114" t="n" s="16">
        <f aca="0">IF(B114="","",SUMPRODUCT((실물목록!$P$2:$P$1001&lt;&gt;"")*ISNUMBER(SEARCH(실물목록!$P$2:$P$1001,I114))*(실물목록!$Q$2:$Q$1001&lt;&gt;"")*ISNUMBER(SEARCH(실물목록!$Q$2:$Q$1001,I114))*(실물목록!$R$2:$R$1001="")*(실물목록!$O$2:$O$1001&lt;&gt;"")*(실물목록!$O$2:$O$1001=H114)))</f>
      </c>
      <c r="H114" t="str">
        <f>IFERROR(IF(AND(LEN(SUBSTITUTE(SUBSTITUTE(SUBSTITUTE(TRIM(A114&amp;""),CHAR(160),"")," ",""),"년",""))=4,VALUE(SUBSTITUTE(SUBSTITUTE(SUBSTITUTE(TRIM(A114&amp;""),CHAR(160),"")," ",""),"년",""))&gt;=1900,VALUE(SUBSTITUTE(SUBSTITUTE(SUBSTITUTE(TRIM(A114&amp;""),CHAR(160),"")," ",""),"년",""))&lt;=2099,TEXT(VALUE(SUBSTITUTE(SUBSTITUTE(SUBSTITUTE(TRIM(A114&amp;""),CHAR(160),"")," ",""),"년","")),"0000")=SUBSTITUTE(SUBSTITUTE(SUBSTITUTE(TRIM(A114&amp;""),CHAR(160),"")," ",""),"년","")),SUBSTITUTE(SUBSTITUTE(SUBSTITUTE(TRIM(A114&amp;""),CHAR(160),"")," ",""),"년",""),""),"")</f>
      </c>
      <c r="I114" t="str">
        <f>SUBSTITUTE(SUBSTITUTE(SUBSTITUTE(SUBSTITUTE(SUBSTITUTE(TRIM(B114&amp;""),CHAR(160),"")," ",""),"초등학교","초"),"중학교","중"),"고등학교","고")</f>
      </c>
    </row>
    <row r="115" customFormat="false" ht="15" hidden="false" customHeight="false" outlineLevel="0" collapsed="false">
      <c r="A115" s="8"/>
      <c r="B115" s="8"/>
      <c r="C115" s="8"/>
      <c r="D115" s="8"/>
      <c r="E115" s="8"/>
      <c r="F115" t="str" s="15">
        <f aca="0">IF(B115="","",IF(H115="","확인필요(입력누락)",IF(SUMPRODUCT((실물목록!$P$2:$P$1001&lt;&gt;"")*ISNUMBER(SEARCH(실물목록!$P$2:$P$1001,I115))*(실물목록!$Q$2:$Q$1001&lt;&gt;"")*ISNUMBER(SEARCH(실물목록!$Q$2:$Q$1001,I115))*(실물목록!$R$2:$R$1001="")*(실물목록!$O$2:$O$1001&lt;&gt;"")*(실물목록!$O$2:$O$1001=H115))&gt;0,"실물 있음",IF(SUMPRODUCT((실물목록!$P$2:$P$1001&lt;&gt;"")*ISNUMBER(SEARCH(실물목록!$P$2:$P$1001,I115))*(실물목록!$R$2:$R$1001&lt;&gt;""))&gt;0,"확인필요(입력누락)",IF(SUMPRODUCT((실물목록!$P$2:$P$1001&lt;&gt;"")*ISNUMBER(SEARCH(실물목록!$P$2:$P$1001,I115))*(실물목록!$Q$2:$Q$1001&lt;&gt;"")*ISNUMBER(SEARCH(실물목록!$Q$2:$Q$1001,I115))*(실물목록!$R$2:$R$1001="")*(실물목록!$O$2:$O$1001&lt;&gt;""))&gt;0,"확인필요(연도다름)","실물 없음")))))</f>
      </c>
      <c r="G115" t="n" s="16">
        <f aca="0">IF(B115="","",SUMPRODUCT((실물목록!$P$2:$P$1001&lt;&gt;"")*ISNUMBER(SEARCH(실물목록!$P$2:$P$1001,I115))*(실물목록!$Q$2:$Q$1001&lt;&gt;"")*ISNUMBER(SEARCH(실물목록!$Q$2:$Q$1001,I115))*(실물목록!$R$2:$R$1001="")*(실물목록!$O$2:$O$1001&lt;&gt;"")*(실물목록!$O$2:$O$1001=H115)))</f>
      </c>
      <c r="H115" t="str">
        <f>IFERROR(IF(AND(LEN(SUBSTITUTE(SUBSTITUTE(SUBSTITUTE(TRIM(A115&amp;""),CHAR(160),"")," ",""),"년",""))=4,VALUE(SUBSTITUTE(SUBSTITUTE(SUBSTITUTE(TRIM(A115&amp;""),CHAR(160),"")," ",""),"년",""))&gt;=1900,VALUE(SUBSTITUTE(SUBSTITUTE(SUBSTITUTE(TRIM(A115&amp;""),CHAR(160),"")," ",""),"년",""))&lt;=2099,TEXT(VALUE(SUBSTITUTE(SUBSTITUTE(SUBSTITUTE(TRIM(A115&amp;""),CHAR(160),"")," ",""),"년","")),"0000")=SUBSTITUTE(SUBSTITUTE(SUBSTITUTE(TRIM(A115&amp;""),CHAR(160),"")," ",""),"년","")),SUBSTITUTE(SUBSTITUTE(SUBSTITUTE(TRIM(A115&amp;""),CHAR(160),"")," ",""),"년",""),""),"")</f>
      </c>
      <c r="I115" t="str">
        <f>SUBSTITUTE(SUBSTITUTE(SUBSTITUTE(SUBSTITUTE(SUBSTITUTE(TRIM(B115&amp;""),CHAR(160),"")," ",""),"초등학교","초"),"중학교","중"),"고등학교","고")</f>
      </c>
    </row>
    <row r="116" customFormat="false" ht="15" hidden="false" customHeight="false" outlineLevel="0" collapsed="false">
      <c r="A116" s="8"/>
      <c r="B116" s="8"/>
      <c r="C116" s="8"/>
      <c r="D116" s="8"/>
      <c r="E116" s="8"/>
      <c r="F116" t="str" s="15">
        <f aca="0">IF(B116="","",IF(H116="","확인필요(입력누락)",IF(SUMPRODUCT((실물목록!$P$2:$P$1001&lt;&gt;"")*ISNUMBER(SEARCH(실물목록!$P$2:$P$1001,I116))*(실물목록!$Q$2:$Q$1001&lt;&gt;"")*ISNUMBER(SEARCH(실물목록!$Q$2:$Q$1001,I116))*(실물목록!$R$2:$R$1001="")*(실물목록!$O$2:$O$1001&lt;&gt;"")*(실물목록!$O$2:$O$1001=H116))&gt;0,"실물 있음",IF(SUMPRODUCT((실물목록!$P$2:$P$1001&lt;&gt;"")*ISNUMBER(SEARCH(실물목록!$P$2:$P$1001,I116))*(실물목록!$R$2:$R$1001&lt;&gt;""))&gt;0,"확인필요(입력누락)",IF(SUMPRODUCT((실물목록!$P$2:$P$1001&lt;&gt;"")*ISNUMBER(SEARCH(실물목록!$P$2:$P$1001,I116))*(실물목록!$Q$2:$Q$1001&lt;&gt;"")*ISNUMBER(SEARCH(실물목록!$Q$2:$Q$1001,I116))*(실물목록!$R$2:$R$1001="")*(실물목록!$O$2:$O$1001&lt;&gt;""))&gt;0,"확인필요(연도다름)","실물 없음")))))</f>
      </c>
      <c r="G116" t="n" s="16">
        <f aca="0">IF(B116="","",SUMPRODUCT((실물목록!$P$2:$P$1001&lt;&gt;"")*ISNUMBER(SEARCH(실물목록!$P$2:$P$1001,I116))*(실물목록!$Q$2:$Q$1001&lt;&gt;"")*ISNUMBER(SEARCH(실물목록!$Q$2:$Q$1001,I116))*(실물목록!$R$2:$R$1001="")*(실물목록!$O$2:$O$1001&lt;&gt;"")*(실물목록!$O$2:$O$1001=H116)))</f>
      </c>
      <c r="H116" t="str">
        <f>IFERROR(IF(AND(LEN(SUBSTITUTE(SUBSTITUTE(SUBSTITUTE(TRIM(A116&amp;""),CHAR(160),"")," ",""),"년",""))=4,VALUE(SUBSTITUTE(SUBSTITUTE(SUBSTITUTE(TRIM(A116&amp;""),CHAR(160),"")," ",""),"년",""))&gt;=1900,VALUE(SUBSTITUTE(SUBSTITUTE(SUBSTITUTE(TRIM(A116&amp;""),CHAR(160),"")," ",""),"년",""))&lt;=2099,TEXT(VALUE(SUBSTITUTE(SUBSTITUTE(SUBSTITUTE(TRIM(A116&amp;""),CHAR(160),"")," ",""),"년","")),"0000")=SUBSTITUTE(SUBSTITUTE(SUBSTITUTE(TRIM(A116&amp;""),CHAR(160),"")," ",""),"년","")),SUBSTITUTE(SUBSTITUTE(SUBSTITUTE(TRIM(A116&amp;""),CHAR(160),"")," ",""),"년",""),""),"")</f>
      </c>
      <c r="I116" t="str">
        <f>SUBSTITUTE(SUBSTITUTE(SUBSTITUTE(SUBSTITUTE(SUBSTITUTE(TRIM(B116&amp;""),CHAR(160),"")," ",""),"초등학교","초"),"중학교","중"),"고등학교","고")</f>
      </c>
    </row>
    <row r="117" customFormat="false" ht="15" hidden="false" customHeight="false" outlineLevel="0" collapsed="false">
      <c r="A117" s="8"/>
      <c r="B117" s="8"/>
      <c r="C117" s="8"/>
      <c r="D117" s="8"/>
      <c r="E117" s="8"/>
      <c r="F117" t="str" s="15">
        <f aca="0">IF(B117="","",IF(H117="","확인필요(입력누락)",IF(SUMPRODUCT((실물목록!$P$2:$P$1001&lt;&gt;"")*ISNUMBER(SEARCH(실물목록!$P$2:$P$1001,I117))*(실물목록!$Q$2:$Q$1001&lt;&gt;"")*ISNUMBER(SEARCH(실물목록!$Q$2:$Q$1001,I117))*(실물목록!$R$2:$R$1001="")*(실물목록!$O$2:$O$1001&lt;&gt;"")*(실물목록!$O$2:$O$1001=H117))&gt;0,"실물 있음",IF(SUMPRODUCT((실물목록!$P$2:$P$1001&lt;&gt;"")*ISNUMBER(SEARCH(실물목록!$P$2:$P$1001,I117))*(실물목록!$R$2:$R$1001&lt;&gt;""))&gt;0,"확인필요(입력누락)",IF(SUMPRODUCT((실물목록!$P$2:$P$1001&lt;&gt;"")*ISNUMBER(SEARCH(실물목록!$P$2:$P$1001,I117))*(실물목록!$Q$2:$Q$1001&lt;&gt;"")*ISNUMBER(SEARCH(실물목록!$Q$2:$Q$1001,I117))*(실물목록!$R$2:$R$1001="")*(실물목록!$O$2:$O$1001&lt;&gt;""))&gt;0,"확인필요(연도다름)","실물 없음")))))</f>
      </c>
      <c r="G117" t="n" s="16">
        <f aca="0">IF(B117="","",SUMPRODUCT((실물목록!$P$2:$P$1001&lt;&gt;"")*ISNUMBER(SEARCH(실물목록!$P$2:$P$1001,I117))*(실물목록!$Q$2:$Q$1001&lt;&gt;"")*ISNUMBER(SEARCH(실물목록!$Q$2:$Q$1001,I117))*(실물목록!$R$2:$R$1001="")*(실물목록!$O$2:$O$1001&lt;&gt;"")*(실물목록!$O$2:$O$1001=H117)))</f>
      </c>
      <c r="H117" t="str">
        <f>IFERROR(IF(AND(LEN(SUBSTITUTE(SUBSTITUTE(SUBSTITUTE(TRIM(A117&amp;""),CHAR(160),"")," ",""),"년",""))=4,VALUE(SUBSTITUTE(SUBSTITUTE(SUBSTITUTE(TRIM(A117&amp;""),CHAR(160),"")," ",""),"년",""))&gt;=1900,VALUE(SUBSTITUTE(SUBSTITUTE(SUBSTITUTE(TRIM(A117&amp;""),CHAR(160),"")," ",""),"년",""))&lt;=2099,TEXT(VALUE(SUBSTITUTE(SUBSTITUTE(SUBSTITUTE(TRIM(A117&amp;""),CHAR(160),"")," ",""),"년","")),"0000")=SUBSTITUTE(SUBSTITUTE(SUBSTITUTE(TRIM(A117&amp;""),CHAR(160),"")," ",""),"년","")),SUBSTITUTE(SUBSTITUTE(SUBSTITUTE(TRIM(A117&amp;""),CHAR(160),"")," ",""),"년",""),""),"")</f>
      </c>
      <c r="I117" t="str">
        <f>SUBSTITUTE(SUBSTITUTE(SUBSTITUTE(SUBSTITUTE(SUBSTITUTE(TRIM(B117&amp;""),CHAR(160),"")," ",""),"초등학교","초"),"중학교","중"),"고등학교","고")</f>
      </c>
    </row>
    <row r="118" customFormat="false" ht="15" hidden="false" customHeight="false" outlineLevel="0" collapsed="false">
      <c r="A118" s="8"/>
      <c r="B118" s="8"/>
      <c r="C118" s="8"/>
      <c r="D118" s="8"/>
      <c r="E118" s="8"/>
      <c r="F118" t="str" s="15">
        <f aca="0">IF(B118="","",IF(H118="","확인필요(입력누락)",IF(SUMPRODUCT((실물목록!$P$2:$P$1001&lt;&gt;"")*ISNUMBER(SEARCH(실물목록!$P$2:$P$1001,I118))*(실물목록!$Q$2:$Q$1001&lt;&gt;"")*ISNUMBER(SEARCH(실물목록!$Q$2:$Q$1001,I118))*(실물목록!$R$2:$R$1001="")*(실물목록!$O$2:$O$1001&lt;&gt;"")*(실물목록!$O$2:$O$1001=H118))&gt;0,"실물 있음",IF(SUMPRODUCT((실물목록!$P$2:$P$1001&lt;&gt;"")*ISNUMBER(SEARCH(실물목록!$P$2:$P$1001,I118))*(실물목록!$R$2:$R$1001&lt;&gt;""))&gt;0,"확인필요(입력누락)",IF(SUMPRODUCT((실물목록!$P$2:$P$1001&lt;&gt;"")*ISNUMBER(SEARCH(실물목록!$P$2:$P$1001,I118))*(실물목록!$Q$2:$Q$1001&lt;&gt;"")*ISNUMBER(SEARCH(실물목록!$Q$2:$Q$1001,I118))*(실물목록!$R$2:$R$1001="")*(실물목록!$O$2:$O$1001&lt;&gt;""))&gt;0,"확인필요(연도다름)","실물 없음")))))</f>
      </c>
      <c r="G118" t="n" s="16">
        <f aca="0">IF(B118="","",SUMPRODUCT((실물목록!$P$2:$P$1001&lt;&gt;"")*ISNUMBER(SEARCH(실물목록!$P$2:$P$1001,I118))*(실물목록!$Q$2:$Q$1001&lt;&gt;"")*ISNUMBER(SEARCH(실물목록!$Q$2:$Q$1001,I118))*(실물목록!$R$2:$R$1001="")*(실물목록!$O$2:$O$1001&lt;&gt;"")*(실물목록!$O$2:$O$1001=H118)))</f>
      </c>
      <c r="H118" t="str">
        <f>IFERROR(IF(AND(LEN(SUBSTITUTE(SUBSTITUTE(SUBSTITUTE(TRIM(A118&amp;""),CHAR(160),"")," ",""),"년",""))=4,VALUE(SUBSTITUTE(SUBSTITUTE(SUBSTITUTE(TRIM(A118&amp;""),CHAR(160),"")," ",""),"년",""))&gt;=1900,VALUE(SUBSTITUTE(SUBSTITUTE(SUBSTITUTE(TRIM(A118&amp;""),CHAR(160),"")," ",""),"년",""))&lt;=2099,TEXT(VALUE(SUBSTITUTE(SUBSTITUTE(SUBSTITUTE(TRIM(A118&amp;""),CHAR(160),"")," ",""),"년","")),"0000")=SUBSTITUTE(SUBSTITUTE(SUBSTITUTE(TRIM(A118&amp;""),CHAR(160),"")," ",""),"년","")),SUBSTITUTE(SUBSTITUTE(SUBSTITUTE(TRIM(A118&amp;""),CHAR(160),"")," ",""),"년",""),""),"")</f>
      </c>
      <c r="I118" t="str">
        <f>SUBSTITUTE(SUBSTITUTE(SUBSTITUTE(SUBSTITUTE(SUBSTITUTE(TRIM(B118&amp;""),CHAR(160),"")," ",""),"초등학교","초"),"중학교","중"),"고등학교","고")</f>
      </c>
    </row>
    <row r="119" customFormat="false" ht="15" hidden="false" customHeight="false" outlineLevel="0" collapsed="false">
      <c r="A119" s="8"/>
      <c r="B119" s="8"/>
      <c r="C119" s="8"/>
      <c r="D119" s="8"/>
      <c r="E119" s="8"/>
      <c r="F119" t="str" s="15">
        <f aca="0">IF(B119="","",IF(H119="","확인필요(입력누락)",IF(SUMPRODUCT((실물목록!$P$2:$P$1001&lt;&gt;"")*ISNUMBER(SEARCH(실물목록!$P$2:$P$1001,I119))*(실물목록!$Q$2:$Q$1001&lt;&gt;"")*ISNUMBER(SEARCH(실물목록!$Q$2:$Q$1001,I119))*(실물목록!$R$2:$R$1001="")*(실물목록!$O$2:$O$1001&lt;&gt;"")*(실물목록!$O$2:$O$1001=H119))&gt;0,"실물 있음",IF(SUMPRODUCT((실물목록!$P$2:$P$1001&lt;&gt;"")*ISNUMBER(SEARCH(실물목록!$P$2:$P$1001,I119))*(실물목록!$R$2:$R$1001&lt;&gt;""))&gt;0,"확인필요(입력누락)",IF(SUMPRODUCT((실물목록!$P$2:$P$1001&lt;&gt;"")*ISNUMBER(SEARCH(실물목록!$P$2:$P$1001,I119))*(실물목록!$Q$2:$Q$1001&lt;&gt;"")*ISNUMBER(SEARCH(실물목록!$Q$2:$Q$1001,I119))*(실물목록!$R$2:$R$1001="")*(실물목록!$O$2:$O$1001&lt;&gt;""))&gt;0,"확인필요(연도다름)","실물 없음")))))</f>
      </c>
      <c r="G119" t="n" s="16">
        <f aca="0">IF(B119="","",SUMPRODUCT((실물목록!$P$2:$P$1001&lt;&gt;"")*ISNUMBER(SEARCH(실물목록!$P$2:$P$1001,I119))*(실물목록!$Q$2:$Q$1001&lt;&gt;"")*ISNUMBER(SEARCH(실물목록!$Q$2:$Q$1001,I119))*(실물목록!$R$2:$R$1001="")*(실물목록!$O$2:$O$1001&lt;&gt;"")*(실물목록!$O$2:$O$1001=H119)))</f>
      </c>
      <c r="H119" t="str">
        <f>IFERROR(IF(AND(LEN(SUBSTITUTE(SUBSTITUTE(SUBSTITUTE(TRIM(A119&amp;""),CHAR(160),"")," ",""),"년",""))=4,VALUE(SUBSTITUTE(SUBSTITUTE(SUBSTITUTE(TRIM(A119&amp;""),CHAR(160),"")," ",""),"년",""))&gt;=1900,VALUE(SUBSTITUTE(SUBSTITUTE(SUBSTITUTE(TRIM(A119&amp;""),CHAR(160),"")," ",""),"년",""))&lt;=2099,TEXT(VALUE(SUBSTITUTE(SUBSTITUTE(SUBSTITUTE(TRIM(A119&amp;""),CHAR(160),"")," ",""),"년","")),"0000")=SUBSTITUTE(SUBSTITUTE(SUBSTITUTE(TRIM(A119&amp;""),CHAR(160),"")," ",""),"년","")),SUBSTITUTE(SUBSTITUTE(SUBSTITUTE(TRIM(A119&amp;""),CHAR(160),"")," ",""),"년",""),""),"")</f>
      </c>
      <c r="I119" t="str">
        <f>SUBSTITUTE(SUBSTITUTE(SUBSTITUTE(SUBSTITUTE(SUBSTITUTE(TRIM(B119&amp;""),CHAR(160),"")," ",""),"초등학교","초"),"중학교","중"),"고등학교","고")</f>
      </c>
    </row>
    <row r="120" customFormat="false" ht="15" hidden="false" customHeight="false" outlineLevel="0" collapsed="false">
      <c r="A120" s="8"/>
      <c r="B120" s="8"/>
      <c r="C120" s="8"/>
      <c r="D120" s="8"/>
      <c r="E120" s="8"/>
      <c r="F120" t="str" s="15">
        <f aca="0">IF(B120="","",IF(H120="","확인필요(입력누락)",IF(SUMPRODUCT((실물목록!$P$2:$P$1001&lt;&gt;"")*ISNUMBER(SEARCH(실물목록!$P$2:$P$1001,I120))*(실물목록!$Q$2:$Q$1001&lt;&gt;"")*ISNUMBER(SEARCH(실물목록!$Q$2:$Q$1001,I120))*(실물목록!$R$2:$R$1001="")*(실물목록!$O$2:$O$1001&lt;&gt;"")*(실물목록!$O$2:$O$1001=H120))&gt;0,"실물 있음",IF(SUMPRODUCT((실물목록!$P$2:$P$1001&lt;&gt;"")*ISNUMBER(SEARCH(실물목록!$P$2:$P$1001,I120))*(실물목록!$R$2:$R$1001&lt;&gt;""))&gt;0,"확인필요(입력누락)",IF(SUMPRODUCT((실물목록!$P$2:$P$1001&lt;&gt;"")*ISNUMBER(SEARCH(실물목록!$P$2:$P$1001,I120))*(실물목록!$Q$2:$Q$1001&lt;&gt;"")*ISNUMBER(SEARCH(실물목록!$Q$2:$Q$1001,I120))*(실물목록!$R$2:$R$1001="")*(실물목록!$O$2:$O$1001&lt;&gt;""))&gt;0,"확인필요(연도다름)","실물 없음")))))</f>
      </c>
      <c r="G120" t="n" s="16">
        <f aca="0">IF(B120="","",SUMPRODUCT((실물목록!$P$2:$P$1001&lt;&gt;"")*ISNUMBER(SEARCH(실물목록!$P$2:$P$1001,I120))*(실물목록!$Q$2:$Q$1001&lt;&gt;"")*ISNUMBER(SEARCH(실물목록!$Q$2:$Q$1001,I120))*(실물목록!$R$2:$R$1001="")*(실물목록!$O$2:$O$1001&lt;&gt;"")*(실물목록!$O$2:$O$1001=H120)))</f>
      </c>
      <c r="H120" t="str">
        <f>IFERROR(IF(AND(LEN(SUBSTITUTE(SUBSTITUTE(SUBSTITUTE(TRIM(A120&amp;""),CHAR(160),"")," ",""),"년",""))=4,VALUE(SUBSTITUTE(SUBSTITUTE(SUBSTITUTE(TRIM(A120&amp;""),CHAR(160),"")," ",""),"년",""))&gt;=1900,VALUE(SUBSTITUTE(SUBSTITUTE(SUBSTITUTE(TRIM(A120&amp;""),CHAR(160),"")," ",""),"년",""))&lt;=2099,TEXT(VALUE(SUBSTITUTE(SUBSTITUTE(SUBSTITUTE(TRIM(A120&amp;""),CHAR(160),"")," ",""),"년","")),"0000")=SUBSTITUTE(SUBSTITUTE(SUBSTITUTE(TRIM(A120&amp;""),CHAR(160),"")," ",""),"년","")),SUBSTITUTE(SUBSTITUTE(SUBSTITUTE(TRIM(A120&amp;""),CHAR(160),"")," ",""),"년",""),""),"")</f>
      </c>
      <c r="I120" t="str">
        <f>SUBSTITUTE(SUBSTITUTE(SUBSTITUTE(SUBSTITUTE(SUBSTITUTE(TRIM(B120&amp;""),CHAR(160),"")," ",""),"초등학교","초"),"중학교","중"),"고등학교","고")</f>
      </c>
    </row>
    <row r="121" customFormat="false" ht="15" hidden="false" customHeight="false" outlineLevel="0" collapsed="false">
      <c r="A121" s="8"/>
      <c r="B121" s="8"/>
      <c r="C121" s="8"/>
      <c r="D121" s="8"/>
      <c r="E121" s="8"/>
      <c r="F121" t="str" s="15">
        <f aca="0">IF(B121="","",IF(H121="","확인필요(입력누락)",IF(SUMPRODUCT((실물목록!$P$2:$P$1001&lt;&gt;"")*ISNUMBER(SEARCH(실물목록!$P$2:$P$1001,I121))*(실물목록!$Q$2:$Q$1001&lt;&gt;"")*ISNUMBER(SEARCH(실물목록!$Q$2:$Q$1001,I121))*(실물목록!$R$2:$R$1001="")*(실물목록!$O$2:$O$1001&lt;&gt;"")*(실물목록!$O$2:$O$1001=H121))&gt;0,"실물 있음",IF(SUMPRODUCT((실물목록!$P$2:$P$1001&lt;&gt;"")*ISNUMBER(SEARCH(실물목록!$P$2:$P$1001,I121))*(실물목록!$R$2:$R$1001&lt;&gt;""))&gt;0,"확인필요(입력누락)",IF(SUMPRODUCT((실물목록!$P$2:$P$1001&lt;&gt;"")*ISNUMBER(SEARCH(실물목록!$P$2:$P$1001,I121))*(실물목록!$Q$2:$Q$1001&lt;&gt;"")*ISNUMBER(SEARCH(실물목록!$Q$2:$Q$1001,I121))*(실물목록!$R$2:$R$1001="")*(실물목록!$O$2:$O$1001&lt;&gt;""))&gt;0,"확인필요(연도다름)","실물 없음")))))</f>
      </c>
      <c r="G121" t="n" s="16">
        <f aca="0">IF(B121="","",SUMPRODUCT((실물목록!$P$2:$P$1001&lt;&gt;"")*ISNUMBER(SEARCH(실물목록!$P$2:$P$1001,I121))*(실물목록!$Q$2:$Q$1001&lt;&gt;"")*ISNUMBER(SEARCH(실물목록!$Q$2:$Q$1001,I121))*(실물목록!$R$2:$R$1001="")*(실물목록!$O$2:$O$1001&lt;&gt;"")*(실물목록!$O$2:$O$1001=H121)))</f>
      </c>
      <c r="H121" t="str">
        <f>IFERROR(IF(AND(LEN(SUBSTITUTE(SUBSTITUTE(SUBSTITUTE(TRIM(A121&amp;""),CHAR(160),"")," ",""),"년",""))=4,VALUE(SUBSTITUTE(SUBSTITUTE(SUBSTITUTE(TRIM(A121&amp;""),CHAR(160),"")," ",""),"년",""))&gt;=1900,VALUE(SUBSTITUTE(SUBSTITUTE(SUBSTITUTE(TRIM(A121&amp;""),CHAR(160),"")," ",""),"년",""))&lt;=2099,TEXT(VALUE(SUBSTITUTE(SUBSTITUTE(SUBSTITUTE(TRIM(A121&amp;""),CHAR(160),"")," ",""),"년","")),"0000")=SUBSTITUTE(SUBSTITUTE(SUBSTITUTE(TRIM(A121&amp;""),CHAR(160),"")," ",""),"년","")),SUBSTITUTE(SUBSTITUTE(SUBSTITUTE(TRIM(A121&amp;""),CHAR(160),"")," ",""),"년",""),""),"")</f>
      </c>
      <c r="I121" t="str">
        <f>SUBSTITUTE(SUBSTITUTE(SUBSTITUTE(SUBSTITUTE(SUBSTITUTE(TRIM(B121&amp;""),CHAR(160),"")," ",""),"초등학교","초"),"중학교","중"),"고등학교","고")</f>
      </c>
    </row>
    <row r="122" customFormat="false" ht="15" hidden="false" customHeight="false" outlineLevel="0" collapsed="false">
      <c r="A122" s="8"/>
      <c r="B122" s="8"/>
      <c r="C122" s="8"/>
      <c r="D122" s="8"/>
      <c r="E122" s="8"/>
      <c r="F122" t="str" s="15">
        <f aca="0">IF(B122="","",IF(H122="","확인필요(입력누락)",IF(SUMPRODUCT((실물목록!$P$2:$P$1001&lt;&gt;"")*ISNUMBER(SEARCH(실물목록!$P$2:$P$1001,I122))*(실물목록!$Q$2:$Q$1001&lt;&gt;"")*ISNUMBER(SEARCH(실물목록!$Q$2:$Q$1001,I122))*(실물목록!$R$2:$R$1001="")*(실물목록!$O$2:$O$1001&lt;&gt;"")*(실물목록!$O$2:$O$1001=H122))&gt;0,"실물 있음",IF(SUMPRODUCT((실물목록!$P$2:$P$1001&lt;&gt;"")*ISNUMBER(SEARCH(실물목록!$P$2:$P$1001,I122))*(실물목록!$R$2:$R$1001&lt;&gt;""))&gt;0,"확인필요(입력누락)",IF(SUMPRODUCT((실물목록!$P$2:$P$1001&lt;&gt;"")*ISNUMBER(SEARCH(실물목록!$P$2:$P$1001,I122))*(실물목록!$Q$2:$Q$1001&lt;&gt;"")*ISNUMBER(SEARCH(실물목록!$Q$2:$Q$1001,I122))*(실물목록!$R$2:$R$1001="")*(실물목록!$O$2:$O$1001&lt;&gt;""))&gt;0,"확인필요(연도다름)","실물 없음")))))</f>
      </c>
      <c r="G122" t="n" s="16">
        <f aca="0">IF(B122="","",SUMPRODUCT((실물목록!$P$2:$P$1001&lt;&gt;"")*ISNUMBER(SEARCH(실물목록!$P$2:$P$1001,I122))*(실물목록!$Q$2:$Q$1001&lt;&gt;"")*ISNUMBER(SEARCH(실물목록!$Q$2:$Q$1001,I122))*(실물목록!$R$2:$R$1001="")*(실물목록!$O$2:$O$1001&lt;&gt;"")*(실물목록!$O$2:$O$1001=H122)))</f>
      </c>
      <c r="H122" t="str">
        <f>IFERROR(IF(AND(LEN(SUBSTITUTE(SUBSTITUTE(SUBSTITUTE(TRIM(A122&amp;""),CHAR(160),"")," ",""),"년",""))=4,VALUE(SUBSTITUTE(SUBSTITUTE(SUBSTITUTE(TRIM(A122&amp;""),CHAR(160),"")," ",""),"년",""))&gt;=1900,VALUE(SUBSTITUTE(SUBSTITUTE(SUBSTITUTE(TRIM(A122&amp;""),CHAR(160),"")," ",""),"년",""))&lt;=2099,TEXT(VALUE(SUBSTITUTE(SUBSTITUTE(SUBSTITUTE(TRIM(A122&amp;""),CHAR(160),"")," ",""),"년","")),"0000")=SUBSTITUTE(SUBSTITUTE(SUBSTITUTE(TRIM(A122&amp;""),CHAR(160),"")," ",""),"년","")),SUBSTITUTE(SUBSTITUTE(SUBSTITUTE(TRIM(A122&amp;""),CHAR(160),"")," ",""),"년",""),""),"")</f>
      </c>
      <c r="I122" t="str">
        <f>SUBSTITUTE(SUBSTITUTE(SUBSTITUTE(SUBSTITUTE(SUBSTITUTE(TRIM(B122&amp;""),CHAR(160),"")," ",""),"초등학교","초"),"중학교","중"),"고등학교","고")</f>
      </c>
    </row>
    <row r="123" customFormat="false" ht="15" hidden="false" customHeight="false" outlineLevel="0" collapsed="false">
      <c r="A123" s="8"/>
      <c r="B123" s="8"/>
      <c r="C123" s="8"/>
      <c r="D123" s="8"/>
      <c r="E123" s="8"/>
      <c r="F123" t="str" s="15">
        <f aca="0">IF(B123="","",IF(H123="","확인필요(입력누락)",IF(SUMPRODUCT((실물목록!$P$2:$P$1001&lt;&gt;"")*ISNUMBER(SEARCH(실물목록!$P$2:$P$1001,I123))*(실물목록!$Q$2:$Q$1001&lt;&gt;"")*ISNUMBER(SEARCH(실물목록!$Q$2:$Q$1001,I123))*(실물목록!$R$2:$R$1001="")*(실물목록!$O$2:$O$1001&lt;&gt;"")*(실물목록!$O$2:$O$1001=H123))&gt;0,"실물 있음",IF(SUMPRODUCT((실물목록!$P$2:$P$1001&lt;&gt;"")*ISNUMBER(SEARCH(실물목록!$P$2:$P$1001,I123))*(실물목록!$R$2:$R$1001&lt;&gt;""))&gt;0,"확인필요(입력누락)",IF(SUMPRODUCT((실물목록!$P$2:$P$1001&lt;&gt;"")*ISNUMBER(SEARCH(실물목록!$P$2:$P$1001,I123))*(실물목록!$Q$2:$Q$1001&lt;&gt;"")*ISNUMBER(SEARCH(실물목록!$Q$2:$Q$1001,I123))*(실물목록!$R$2:$R$1001="")*(실물목록!$O$2:$O$1001&lt;&gt;""))&gt;0,"확인필요(연도다름)","실물 없음")))))</f>
      </c>
      <c r="G123" t="n" s="16">
        <f aca="0">IF(B123="","",SUMPRODUCT((실물목록!$P$2:$P$1001&lt;&gt;"")*ISNUMBER(SEARCH(실물목록!$P$2:$P$1001,I123))*(실물목록!$Q$2:$Q$1001&lt;&gt;"")*ISNUMBER(SEARCH(실물목록!$Q$2:$Q$1001,I123))*(실물목록!$R$2:$R$1001="")*(실물목록!$O$2:$O$1001&lt;&gt;"")*(실물목록!$O$2:$O$1001=H123)))</f>
      </c>
      <c r="H123" t="str">
        <f>IFERROR(IF(AND(LEN(SUBSTITUTE(SUBSTITUTE(SUBSTITUTE(TRIM(A123&amp;""),CHAR(160),"")," ",""),"년",""))=4,VALUE(SUBSTITUTE(SUBSTITUTE(SUBSTITUTE(TRIM(A123&amp;""),CHAR(160),"")," ",""),"년",""))&gt;=1900,VALUE(SUBSTITUTE(SUBSTITUTE(SUBSTITUTE(TRIM(A123&amp;""),CHAR(160),"")," ",""),"년",""))&lt;=2099,TEXT(VALUE(SUBSTITUTE(SUBSTITUTE(SUBSTITUTE(TRIM(A123&amp;""),CHAR(160),"")," ",""),"년","")),"0000")=SUBSTITUTE(SUBSTITUTE(SUBSTITUTE(TRIM(A123&amp;""),CHAR(160),"")," ",""),"년","")),SUBSTITUTE(SUBSTITUTE(SUBSTITUTE(TRIM(A123&amp;""),CHAR(160),"")," ",""),"년",""),""),"")</f>
      </c>
      <c r="I123" t="str">
        <f>SUBSTITUTE(SUBSTITUTE(SUBSTITUTE(SUBSTITUTE(SUBSTITUTE(TRIM(B123&amp;""),CHAR(160),"")," ",""),"초등학교","초"),"중학교","중"),"고등학교","고")</f>
      </c>
    </row>
    <row r="124" customFormat="false" ht="15" hidden="false" customHeight="false" outlineLevel="0" collapsed="false">
      <c r="A124" s="8"/>
      <c r="B124" s="8"/>
      <c r="C124" s="8"/>
      <c r="D124" s="8"/>
      <c r="E124" s="8"/>
      <c r="F124" t="str" s="15">
        <f aca="0">IF(B124="","",IF(H124="","확인필요(입력누락)",IF(SUMPRODUCT((실물목록!$P$2:$P$1001&lt;&gt;"")*ISNUMBER(SEARCH(실물목록!$P$2:$P$1001,I124))*(실물목록!$Q$2:$Q$1001&lt;&gt;"")*ISNUMBER(SEARCH(실물목록!$Q$2:$Q$1001,I124))*(실물목록!$R$2:$R$1001="")*(실물목록!$O$2:$O$1001&lt;&gt;"")*(실물목록!$O$2:$O$1001=H124))&gt;0,"실물 있음",IF(SUMPRODUCT((실물목록!$P$2:$P$1001&lt;&gt;"")*ISNUMBER(SEARCH(실물목록!$P$2:$P$1001,I124))*(실물목록!$R$2:$R$1001&lt;&gt;""))&gt;0,"확인필요(입력누락)",IF(SUMPRODUCT((실물목록!$P$2:$P$1001&lt;&gt;"")*ISNUMBER(SEARCH(실물목록!$P$2:$P$1001,I124))*(실물목록!$Q$2:$Q$1001&lt;&gt;"")*ISNUMBER(SEARCH(실물목록!$Q$2:$Q$1001,I124))*(실물목록!$R$2:$R$1001="")*(실물목록!$O$2:$O$1001&lt;&gt;""))&gt;0,"확인필요(연도다름)","실물 없음")))))</f>
      </c>
      <c r="G124" t="n" s="16">
        <f aca="0">IF(B124="","",SUMPRODUCT((실물목록!$P$2:$P$1001&lt;&gt;"")*ISNUMBER(SEARCH(실물목록!$P$2:$P$1001,I124))*(실물목록!$Q$2:$Q$1001&lt;&gt;"")*ISNUMBER(SEARCH(실물목록!$Q$2:$Q$1001,I124))*(실물목록!$R$2:$R$1001="")*(실물목록!$O$2:$O$1001&lt;&gt;"")*(실물목록!$O$2:$O$1001=H124)))</f>
      </c>
      <c r="H124" t="str">
        <f>IFERROR(IF(AND(LEN(SUBSTITUTE(SUBSTITUTE(SUBSTITUTE(TRIM(A124&amp;""),CHAR(160),"")," ",""),"년",""))=4,VALUE(SUBSTITUTE(SUBSTITUTE(SUBSTITUTE(TRIM(A124&amp;""),CHAR(160),"")," ",""),"년",""))&gt;=1900,VALUE(SUBSTITUTE(SUBSTITUTE(SUBSTITUTE(TRIM(A124&amp;""),CHAR(160),"")," ",""),"년",""))&lt;=2099,TEXT(VALUE(SUBSTITUTE(SUBSTITUTE(SUBSTITUTE(TRIM(A124&amp;""),CHAR(160),"")," ",""),"년","")),"0000")=SUBSTITUTE(SUBSTITUTE(SUBSTITUTE(TRIM(A124&amp;""),CHAR(160),"")," ",""),"년","")),SUBSTITUTE(SUBSTITUTE(SUBSTITUTE(TRIM(A124&amp;""),CHAR(160),"")," ",""),"년",""),""),"")</f>
      </c>
      <c r="I124" t="str">
        <f>SUBSTITUTE(SUBSTITUTE(SUBSTITUTE(SUBSTITUTE(SUBSTITUTE(TRIM(B124&amp;""),CHAR(160),"")," ",""),"초등학교","초"),"중학교","중"),"고등학교","고")</f>
      </c>
    </row>
    <row r="125" customFormat="false" ht="15" hidden="false" customHeight="false" outlineLevel="0" collapsed="false">
      <c r="A125" s="8"/>
      <c r="B125" s="8"/>
      <c r="C125" s="8"/>
      <c r="D125" s="8"/>
      <c r="E125" s="8"/>
      <c r="F125" t="str" s="15">
        <f aca="0">IF(B125="","",IF(H125="","확인필요(입력누락)",IF(SUMPRODUCT((실물목록!$P$2:$P$1001&lt;&gt;"")*ISNUMBER(SEARCH(실물목록!$P$2:$P$1001,I125))*(실물목록!$Q$2:$Q$1001&lt;&gt;"")*ISNUMBER(SEARCH(실물목록!$Q$2:$Q$1001,I125))*(실물목록!$R$2:$R$1001="")*(실물목록!$O$2:$O$1001&lt;&gt;"")*(실물목록!$O$2:$O$1001=H125))&gt;0,"실물 있음",IF(SUMPRODUCT((실물목록!$P$2:$P$1001&lt;&gt;"")*ISNUMBER(SEARCH(실물목록!$P$2:$P$1001,I125))*(실물목록!$R$2:$R$1001&lt;&gt;""))&gt;0,"확인필요(입력누락)",IF(SUMPRODUCT((실물목록!$P$2:$P$1001&lt;&gt;"")*ISNUMBER(SEARCH(실물목록!$P$2:$P$1001,I125))*(실물목록!$Q$2:$Q$1001&lt;&gt;"")*ISNUMBER(SEARCH(실물목록!$Q$2:$Q$1001,I125))*(실물목록!$R$2:$R$1001="")*(실물목록!$O$2:$O$1001&lt;&gt;""))&gt;0,"확인필요(연도다름)","실물 없음")))))</f>
      </c>
      <c r="G125" t="n" s="16">
        <f aca="0">IF(B125="","",SUMPRODUCT((실물목록!$P$2:$P$1001&lt;&gt;"")*ISNUMBER(SEARCH(실물목록!$P$2:$P$1001,I125))*(실물목록!$Q$2:$Q$1001&lt;&gt;"")*ISNUMBER(SEARCH(실물목록!$Q$2:$Q$1001,I125))*(실물목록!$R$2:$R$1001="")*(실물목록!$O$2:$O$1001&lt;&gt;"")*(실물목록!$O$2:$O$1001=H125)))</f>
      </c>
      <c r="H125" t="str">
        <f>IFERROR(IF(AND(LEN(SUBSTITUTE(SUBSTITUTE(SUBSTITUTE(TRIM(A125&amp;""),CHAR(160),"")," ",""),"년",""))=4,VALUE(SUBSTITUTE(SUBSTITUTE(SUBSTITUTE(TRIM(A125&amp;""),CHAR(160),"")," ",""),"년",""))&gt;=1900,VALUE(SUBSTITUTE(SUBSTITUTE(SUBSTITUTE(TRIM(A125&amp;""),CHAR(160),"")," ",""),"년",""))&lt;=2099,TEXT(VALUE(SUBSTITUTE(SUBSTITUTE(SUBSTITUTE(TRIM(A125&amp;""),CHAR(160),"")," ",""),"년","")),"0000")=SUBSTITUTE(SUBSTITUTE(SUBSTITUTE(TRIM(A125&amp;""),CHAR(160),"")," ",""),"년","")),SUBSTITUTE(SUBSTITUTE(SUBSTITUTE(TRIM(A125&amp;""),CHAR(160),"")," ",""),"년",""),""),"")</f>
      </c>
      <c r="I125" t="str">
        <f>SUBSTITUTE(SUBSTITUTE(SUBSTITUTE(SUBSTITUTE(SUBSTITUTE(TRIM(B125&amp;""),CHAR(160),"")," ",""),"초등학교","초"),"중학교","중"),"고등학교","고")</f>
      </c>
    </row>
    <row r="126" customFormat="false" ht="15" hidden="false" customHeight="false" outlineLevel="0" collapsed="false">
      <c r="A126" s="8"/>
      <c r="B126" s="8"/>
      <c r="C126" s="8"/>
      <c r="D126" s="8"/>
      <c r="E126" s="8"/>
      <c r="F126" t="str" s="15">
        <f aca="0">IF(B126="","",IF(H126="","확인필요(입력누락)",IF(SUMPRODUCT((실물목록!$P$2:$P$1001&lt;&gt;"")*ISNUMBER(SEARCH(실물목록!$P$2:$P$1001,I126))*(실물목록!$Q$2:$Q$1001&lt;&gt;"")*ISNUMBER(SEARCH(실물목록!$Q$2:$Q$1001,I126))*(실물목록!$R$2:$R$1001="")*(실물목록!$O$2:$O$1001&lt;&gt;"")*(실물목록!$O$2:$O$1001=H126))&gt;0,"실물 있음",IF(SUMPRODUCT((실물목록!$P$2:$P$1001&lt;&gt;"")*ISNUMBER(SEARCH(실물목록!$P$2:$P$1001,I126))*(실물목록!$R$2:$R$1001&lt;&gt;""))&gt;0,"확인필요(입력누락)",IF(SUMPRODUCT((실물목록!$P$2:$P$1001&lt;&gt;"")*ISNUMBER(SEARCH(실물목록!$P$2:$P$1001,I126))*(실물목록!$Q$2:$Q$1001&lt;&gt;"")*ISNUMBER(SEARCH(실물목록!$Q$2:$Q$1001,I126))*(실물목록!$R$2:$R$1001="")*(실물목록!$O$2:$O$1001&lt;&gt;""))&gt;0,"확인필요(연도다름)","실물 없음")))))</f>
      </c>
      <c r="G126" t="n" s="16">
        <f aca="0">IF(B126="","",SUMPRODUCT((실물목록!$P$2:$P$1001&lt;&gt;"")*ISNUMBER(SEARCH(실물목록!$P$2:$P$1001,I126))*(실물목록!$Q$2:$Q$1001&lt;&gt;"")*ISNUMBER(SEARCH(실물목록!$Q$2:$Q$1001,I126))*(실물목록!$R$2:$R$1001="")*(실물목록!$O$2:$O$1001&lt;&gt;"")*(실물목록!$O$2:$O$1001=H126)))</f>
      </c>
      <c r="H126" t="str">
        <f>IFERROR(IF(AND(LEN(SUBSTITUTE(SUBSTITUTE(SUBSTITUTE(TRIM(A126&amp;""),CHAR(160),"")," ",""),"년",""))=4,VALUE(SUBSTITUTE(SUBSTITUTE(SUBSTITUTE(TRIM(A126&amp;""),CHAR(160),"")," ",""),"년",""))&gt;=1900,VALUE(SUBSTITUTE(SUBSTITUTE(SUBSTITUTE(TRIM(A126&amp;""),CHAR(160),"")," ",""),"년",""))&lt;=2099,TEXT(VALUE(SUBSTITUTE(SUBSTITUTE(SUBSTITUTE(TRIM(A126&amp;""),CHAR(160),"")," ",""),"년","")),"0000")=SUBSTITUTE(SUBSTITUTE(SUBSTITUTE(TRIM(A126&amp;""),CHAR(160),"")," ",""),"년","")),SUBSTITUTE(SUBSTITUTE(SUBSTITUTE(TRIM(A126&amp;""),CHAR(160),"")," ",""),"년",""),""),"")</f>
      </c>
      <c r="I126" t="str">
        <f>SUBSTITUTE(SUBSTITUTE(SUBSTITUTE(SUBSTITUTE(SUBSTITUTE(TRIM(B126&amp;""),CHAR(160),"")," ",""),"초등학교","초"),"중학교","중"),"고등학교","고")</f>
      </c>
    </row>
    <row r="127" customFormat="false" ht="15" hidden="false" customHeight="false" outlineLevel="0" collapsed="false">
      <c r="A127" s="8"/>
      <c r="B127" s="8"/>
      <c r="C127" s="8"/>
      <c r="D127" s="8"/>
      <c r="E127" s="8"/>
      <c r="F127" t="str" s="15">
        <f aca="0">IF(B127="","",IF(H127="","확인필요(입력누락)",IF(SUMPRODUCT((실물목록!$P$2:$P$1001&lt;&gt;"")*ISNUMBER(SEARCH(실물목록!$P$2:$P$1001,I127))*(실물목록!$Q$2:$Q$1001&lt;&gt;"")*ISNUMBER(SEARCH(실물목록!$Q$2:$Q$1001,I127))*(실물목록!$R$2:$R$1001="")*(실물목록!$O$2:$O$1001&lt;&gt;"")*(실물목록!$O$2:$O$1001=H127))&gt;0,"실물 있음",IF(SUMPRODUCT((실물목록!$P$2:$P$1001&lt;&gt;"")*ISNUMBER(SEARCH(실물목록!$P$2:$P$1001,I127))*(실물목록!$R$2:$R$1001&lt;&gt;""))&gt;0,"확인필요(입력누락)",IF(SUMPRODUCT((실물목록!$P$2:$P$1001&lt;&gt;"")*ISNUMBER(SEARCH(실물목록!$P$2:$P$1001,I127))*(실물목록!$Q$2:$Q$1001&lt;&gt;"")*ISNUMBER(SEARCH(실물목록!$Q$2:$Q$1001,I127))*(실물목록!$R$2:$R$1001="")*(실물목록!$O$2:$O$1001&lt;&gt;""))&gt;0,"확인필요(연도다름)","실물 없음")))))</f>
      </c>
      <c r="G127" t="n" s="16">
        <f aca="0">IF(B127="","",SUMPRODUCT((실물목록!$P$2:$P$1001&lt;&gt;"")*ISNUMBER(SEARCH(실물목록!$P$2:$P$1001,I127))*(실물목록!$Q$2:$Q$1001&lt;&gt;"")*ISNUMBER(SEARCH(실물목록!$Q$2:$Q$1001,I127))*(실물목록!$R$2:$R$1001="")*(실물목록!$O$2:$O$1001&lt;&gt;"")*(실물목록!$O$2:$O$1001=H127)))</f>
      </c>
      <c r="H127" t="str">
        <f>IFERROR(IF(AND(LEN(SUBSTITUTE(SUBSTITUTE(SUBSTITUTE(TRIM(A127&amp;""),CHAR(160),"")," ",""),"년",""))=4,VALUE(SUBSTITUTE(SUBSTITUTE(SUBSTITUTE(TRIM(A127&amp;""),CHAR(160),"")," ",""),"년",""))&gt;=1900,VALUE(SUBSTITUTE(SUBSTITUTE(SUBSTITUTE(TRIM(A127&amp;""),CHAR(160),"")," ",""),"년",""))&lt;=2099,TEXT(VALUE(SUBSTITUTE(SUBSTITUTE(SUBSTITUTE(TRIM(A127&amp;""),CHAR(160),"")," ",""),"년","")),"0000")=SUBSTITUTE(SUBSTITUTE(SUBSTITUTE(TRIM(A127&amp;""),CHAR(160),"")," ",""),"년","")),SUBSTITUTE(SUBSTITUTE(SUBSTITUTE(TRIM(A127&amp;""),CHAR(160),"")," ",""),"년",""),""),"")</f>
      </c>
      <c r="I127" t="str">
        <f>SUBSTITUTE(SUBSTITUTE(SUBSTITUTE(SUBSTITUTE(SUBSTITUTE(TRIM(B127&amp;""),CHAR(160),"")," ",""),"초등학교","초"),"중학교","중"),"고등학교","고")</f>
      </c>
    </row>
    <row r="128" customFormat="false" ht="15" hidden="false" customHeight="false" outlineLevel="0" collapsed="false">
      <c r="A128" s="8"/>
      <c r="B128" s="8"/>
      <c r="C128" s="8"/>
      <c r="D128" s="8"/>
      <c r="E128" s="8"/>
      <c r="F128" t="str" s="15">
        <f aca="0">IF(B128="","",IF(H128="","확인필요(입력누락)",IF(SUMPRODUCT((실물목록!$P$2:$P$1001&lt;&gt;"")*ISNUMBER(SEARCH(실물목록!$P$2:$P$1001,I128))*(실물목록!$Q$2:$Q$1001&lt;&gt;"")*ISNUMBER(SEARCH(실물목록!$Q$2:$Q$1001,I128))*(실물목록!$R$2:$R$1001="")*(실물목록!$O$2:$O$1001&lt;&gt;"")*(실물목록!$O$2:$O$1001=H128))&gt;0,"실물 있음",IF(SUMPRODUCT((실물목록!$P$2:$P$1001&lt;&gt;"")*ISNUMBER(SEARCH(실물목록!$P$2:$P$1001,I128))*(실물목록!$R$2:$R$1001&lt;&gt;""))&gt;0,"확인필요(입력누락)",IF(SUMPRODUCT((실물목록!$P$2:$P$1001&lt;&gt;"")*ISNUMBER(SEARCH(실물목록!$P$2:$P$1001,I128))*(실물목록!$Q$2:$Q$1001&lt;&gt;"")*ISNUMBER(SEARCH(실물목록!$Q$2:$Q$1001,I128))*(실물목록!$R$2:$R$1001="")*(실물목록!$O$2:$O$1001&lt;&gt;""))&gt;0,"확인필요(연도다름)","실물 없음")))))</f>
      </c>
      <c r="G128" t="n" s="16">
        <f aca="0">IF(B128="","",SUMPRODUCT((실물목록!$P$2:$P$1001&lt;&gt;"")*ISNUMBER(SEARCH(실물목록!$P$2:$P$1001,I128))*(실물목록!$Q$2:$Q$1001&lt;&gt;"")*ISNUMBER(SEARCH(실물목록!$Q$2:$Q$1001,I128))*(실물목록!$R$2:$R$1001="")*(실물목록!$O$2:$O$1001&lt;&gt;"")*(실물목록!$O$2:$O$1001=H128)))</f>
      </c>
      <c r="H128" t="str">
        <f>IFERROR(IF(AND(LEN(SUBSTITUTE(SUBSTITUTE(SUBSTITUTE(TRIM(A128&amp;""),CHAR(160),"")," ",""),"년",""))=4,VALUE(SUBSTITUTE(SUBSTITUTE(SUBSTITUTE(TRIM(A128&amp;""),CHAR(160),"")," ",""),"년",""))&gt;=1900,VALUE(SUBSTITUTE(SUBSTITUTE(SUBSTITUTE(TRIM(A128&amp;""),CHAR(160),"")," ",""),"년",""))&lt;=2099,TEXT(VALUE(SUBSTITUTE(SUBSTITUTE(SUBSTITUTE(TRIM(A128&amp;""),CHAR(160),"")," ",""),"년","")),"0000")=SUBSTITUTE(SUBSTITUTE(SUBSTITUTE(TRIM(A128&amp;""),CHAR(160),"")," ",""),"년","")),SUBSTITUTE(SUBSTITUTE(SUBSTITUTE(TRIM(A128&amp;""),CHAR(160),"")," ",""),"년",""),""),"")</f>
      </c>
      <c r="I128" t="str">
        <f>SUBSTITUTE(SUBSTITUTE(SUBSTITUTE(SUBSTITUTE(SUBSTITUTE(TRIM(B128&amp;""),CHAR(160),"")," ",""),"초등학교","초"),"중학교","중"),"고등학교","고")</f>
      </c>
    </row>
    <row r="129" customFormat="false" ht="15" hidden="false" customHeight="false" outlineLevel="0" collapsed="false">
      <c r="A129" s="8"/>
      <c r="B129" s="8"/>
      <c r="C129" s="8"/>
      <c r="D129" s="8"/>
      <c r="E129" s="8"/>
      <c r="F129" t="str" s="15">
        <f aca="0">IF(B129="","",IF(H129="","확인필요(입력누락)",IF(SUMPRODUCT((실물목록!$P$2:$P$1001&lt;&gt;"")*ISNUMBER(SEARCH(실물목록!$P$2:$P$1001,I129))*(실물목록!$Q$2:$Q$1001&lt;&gt;"")*ISNUMBER(SEARCH(실물목록!$Q$2:$Q$1001,I129))*(실물목록!$R$2:$R$1001="")*(실물목록!$O$2:$O$1001&lt;&gt;"")*(실물목록!$O$2:$O$1001=H129))&gt;0,"실물 있음",IF(SUMPRODUCT((실물목록!$P$2:$P$1001&lt;&gt;"")*ISNUMBER(SEARCH(실물목록!$P$2:$P$1001,I129))*(실물목록!$R$2:$R$1001&lt;&gt;""))&gt;0,"확인필요(입력누락)",IF(SUMPRODUCT((실물목록!$P$2:$P$1001&lt;&gt;"")*ISNUMBER(SEARCH(실물목록!$P$2:$P$1001,I129))*(실물목록!$Q$2:$Q$1001&lt;&gt;"")*ISNUMBER(SEARCH(실물목록!$Q$2:$Q$1001,I129))*(실물목록!$R$2:$R$1001="")*(실물목록!$O$2:$O$1001&lt;&gt;""))&gt;0,"확인필요(연도다름)","실물 없음")))))</f>
      </c>
      <c r="G129" t="n" s="16">
        <f aca="0">IF(B129="","",SUMPRODUCT((실물목록!$P$2:$P$1001&lt;&gt;"")*ISNUMBER(SEARCH(실물목록!$P$2:$P$1001,I129))*(실물목록!$Q$2:$Q$1001&lt;&gt;"")*ISNUMBER(SEARCH(실물목록!$Q$2:$Q$1001,I129))*(실물목록!$R$2:$R$1001="")*(실물목록!$O$2:$O$1001&lt;&gt;"")*(실물목록!$O$2:$O$1001=H129)))</f>
      </c>
      <c r="H129" t="str">
        <f>IFERROR(IF(AND(LEN(SUBSTITUTE(SUBSTITUTE(SUBSTITUTE(TRIM(A129&amp;""),CHAR(160),"")," ",""),"년",""))=4,VALUE(SUBSTITUTE(SUBSTITUTE(SUBSTITUTE(TRIM(A129&amp;""),CHAR(160),"")," ",""),"년",""))&gt;=1900,VALUE(SUBSTITUTE(SUBSTITUTE(SUBSTITUTE(TRIM(A129&amp;""),CHAR(160),"")," ",""),"년",""))&lt;=2099,TEXT(VALUE(SUBSTITUTE(SUBSTITUTE(SUBSTITUTE(TRIM(A129&amp;""),CHAR(160),"")," ",""),"년","")),"0000")=SUBSTITUTE(SUBSTITUTE(SUBSTITUTE(TRIM(A129&amp;""),CHAR(160),"")," ",""),"년","")),SUBSTITUTE(SUBSTITUTE(SUBSTITUTE(TRIM(A129&amp;""),CHAR(160),"")," ",""),"년",""),""),"")</f>
      </c>
      <c r="I129" t="str">
        <f>SUBSTITUTE(SUBSTITUTE(SUBSTITUTE(SUBSTITUTE(SUBSTITUTE(TRIM(B129&amp;""),CHAR(160),"")," ",""),"초등학교","초"),"중학교","중"),"고등학교","고")</f>
      </c>
    </row>
    <row r="130" customFormat="false" ht="15" hidden="false" customHeight="false" outlineLevel="0" collapsed="false">
      <c r="A130" s="8"/>
      <c r="B130" s="8"/>
      <c r="C130" s="8"/>
      <c r="D130" s="8"/>
      <c r="E130" s="8"/>
      <c r="F130" t="str" s="15">
        <f aca="0">IF(B130="","",IF(H130="","확인필요(입력누락)",IF(SUMPRODUCT((실물목록!$P$2:$P$1001&lt;&gt;"")*ISNUMBER(SEARCH(실물목록!$P$2:$P$1001,I130))*(실물목록!$Q$2:$Q$1001&lt;&gt;"")*ISNUMBER(SEARCH(실물목록!$Q$2:$Q$1001,I130))*(실물목록!$R$2:$R$1001="")*(실물목록!$O$2:$O$1001&lt;&gt;"")*(실물목록!$O$2:$O$1001=H130))&gt;0,"실물 있음",IF(SUMPRODUCT((실물목록!$P$2:$P$1001&lt;&gt;"")*ISNUMBER(SEARCH(실물목록!$P$2:$P$1001,I130))*(실물목록!$R$2:$R$1001&lt;&gt;""))&gt;0,"확인필요(입력누락)",IF(SUMPRODUCT((실물목록!$P$2:$P$1001&lt;&gt;"")*ISNUMBER(SEARCH(실물목록!$P$2:$P$1001,I130))*(실물목록!$Q$2:$Q$1001&lt;&gt;"")*ISNUMBER(SEARCH(실물목록!$Q$2:$Q$1001,I130))*(실물목록!$R$2:$R$1001="")*(실물목록!$O$2:$O$1001&lt;&gt;""))&gt;0,"확인필요(연도다름)","실물 없음")))))</f>
      </c>
      <c r="G130" t="n" s="16">
        <f aca="0">IF(B130="","",SUMPRODUCT((실물목록!$P$2:$P$1001&lt;&gt;"")*ISNUMBER(SEARCH(실물목록!$P$2:$P$1001,I130))*(실물목록!$Q$2:$Q$1001&lt;&gt;"")*ISNUMBER(SEARCH(실물목록!$Q$2:$Q$1001,I130))*(실물목록!$R$2:$R$1001="")*(실물목록!$O$2:$O$1001&lt;&gt;"")*(실물목록!$O$2:$O$1001=H130)))</f>
      </c>
      <c r="H130" t="str">
        <f>IFERROR(IF(AND(LEN(SUBSTITUTE(SUBSTITUTE(SUBSTITUTE(TRIM(A130&amp;""),CHAR(160),"")," ",""),"년",""))=4,VALUE(SUBSTITUTE(SUBSTITUTE(SUBSTITUTE(TRIM(A130&amp;""),CHAR(160),"")," ",""),"년",""))&gt;=1900,VALUE(SUBSTITUTE(SUBSTITUTE(SUBSTITUTE(TRIM(A130&amp;""),CHAR(160),"")," ",""),"년",""))&lt;=2099,TEXT(VALUE(SUBSTITUTE(SUBSTITUTE(SUBSTITUTE(TRIM(A130&amp;""),CHAR(160),"")," ",""),"년","")),"0000")=SUBSTITUTE(SUBSTITUTE(SUBSTITUTE(TRIM(A130&amp;""),CHAR(160),"")," ",""),"년","")),SUBSTITUTE(SUBSTITUTE(SUBSTITUTE(TRIM(A130&amp;""),CHAR(160),"")," ",""),"년",""),""),"")</f>
      </c>
      <c r="I130" t="str">
        <f>SUBSTITUTE(SUBSTITUTE(SUBSTITUTE(SUBSTITUTE(SUBSTITUTE(TRIM(B130&amp;""),CHAR(160),"")," ",""),"초등학교","초"),"중학교","중"),"고등학교","고")</f>
      </c>
    </row>
    <row r="131" customFormat="false" ht="15" hidden="false" customHeight="false" outlineLevel="0" collapsed="false">
      <c r="A131" s="8"/>
      <c r="B131" s="8"/>
      <c r="C131" s="8"/>
      <c r="D131" s="8"/>
      <c r="E131" s="8"/>
      <c r="F131" t="str" s="15">
        <f aca="0">IF(B131="","",IF(H131="","확인필요(입력누락)",IF(SUMPRODUCT((실물목록!$P$2:$P$1001&lt;&gt;"")*ISNUMBER(SEARCH(실물목록!$P$2:$P$1001,I131))*(실물목록!$Q$2:$Q$1001&lt;&gt;"")*ISNUMBER(SEARCH(실물목록!$Q$2:$Q$1001,I131))*(실물목록!$R$2:$R$1001="")*(실물목록!$O$2:$O$1001&lt;&gt;"")*(실물목록!$O$2:$O$1001=H131))&gt;0,"실물 있음",IF(SUMPRODUCT((실물목록!$P$2:$P$1001&lt;&gt;"")*ISNUMBER(SEARCH(실물목록!$P$2:$P$1001,I131))*(실물목록!$R$2:$R$1001&lt;&gt;""))&gt;0,"확인필요(입력누락)",IF(SUMPRODUCT((실물목록!$P$2:$P$1001&lt;&gt;"")*ISNUMBER(SEARCH(실물목록!$P$2:$P$1001,I131))*(실물목록!$Q$2:$Q$1001&lt;&gt;"")*ISNUMBER(SEARCH(실물목록!$Q$2:$Q$1001,I131))*(실물목록!$R$2:$R$1001="")*(실물목록!$O$2:$O$1001&lt;&gt;""))&gt;0,"확인필요(연도다름)","실물 없음")))))</f>
      </c>
      <c r="G131" t="n" s="16">
        <f aca="0">IF(B131="","",SUMPRODUCT((실물목록!$P$2:$P$1001&lt;&gt;"")*ISNUMBER(SEARCH(실물목록!$P$2:$P$1001,I131))*(실물목록!$Q$2:$Q$1001&lt;&gt;"")*ISNUMBER(SEARCH(실물목록!$Q$2:$Q$1001,I131))*(실물목록!$R$2:$R$1001="")*(실물목록!$O$2:$O$1001&lt;&gt;"")*(실물목록!$O$2:$O$1001=H131)))</f>
      </c>
      <c r="H131" t="str">
        <f>IFERROR(IF(AND(LEN(SUBSTITUTE(SUBSTITUTE(SUBSTITUTE(TRIM(A131&amp;""),CHAR(160),"")," ",""),"년",""))=4,VALUE(SUBSTITUTE(SUBSTITUTE(SUBSTITUTE(TRIM(A131&amp;""),CHAR(160),"")," ",""),"년",""))&gt;=1900,VALUE(SUBSTITUTE(SUBSTITUTE(SUBSTITUTE(TRIM(A131&amp;""),CHAR(160),"")," ",""),"년",""))&lt;=2099,TEXT(VALUE(SUBSTITUTE(SUBSTITUTE(SUBSTITUTE(TRIM(A131&amp;""),CHAR(160),"")," ",""),"년","")),"0000")=SUBSTITUTE(SUBSTITUTE(SUBSTITUTE(TRIM(A131&amp;""),CHAR(160),"")," ",""),"년","")),SUBSTITUTE(SUBSTITUTE(SUBSTITUTE(TRIM(A131&amp;""),CHAR(160),"")," ",""),"년",""),""),"")</f>
      </c>
      <c r="I131" t="str">
        <f>SUBSTITUTE(SUBSTITUTE(SUBSTITUTE(SUBSTITUTE(SUBSTITUTE(TRIM(B131&amp;""),CHAR(160),"")," ",""),"초등학교","초"),"중학교","중"),"고등학교","고")</f>
      </c>
    </row>
    <row r="132" customFormat="false" ht="15" hidden="false" customHeight="false" outlineLevel="0" collapsed="false">
      <c r="A132" s="8"/>
      <c r="B132" s="8"/>
      <c r="C132" s="8"/>
      <c r="D132" s="8"/>
      <c r="E132" s="8"/>
      <c r="F132" t="str" s="15">
        <f aca="0">IF(B132="","",IF(H132="","확인필요(입력누락)",IF(SUMPRODUCT((실물목록!$P$2:$P$1001&lt;&gt;"")*ISNUMBER(SEARCH(실물목록!$P$2:$P$1001,I132))*(실물목록!$Q$2:$Q$1001&lt;&gt;"")*ISNUMBER(SEARCH(실물목록!$Q$2:$Q$1001,I132))*(실물목록!$R$2:$R$1001="")*(실물목록!$O$2:$O$1001&lt;&gt;"")*(실물목록!$O$2:$O$1001=H132))&gt;0,"실물 있음",IF(SUMPRODUCT((실물목록!$P$2:$P$1001&lt;&gt;"")*ISNUMBER(SEARCH(실물목록!$P$2:$P$1001,I132))*(실물목록!$R$2:$R$1001&lt;&gt;""))&gt;0,"확인필요(입력누락)",IF(SUMPRODUCT((실물목록!$P$2:$P$1001&lt;&gt;"")*ISNUMBER(SEARCH(실물목록!$P$2:$P$1001,I132))*(실물목록!$Q$2:$Q$1001&lt;&gt;"")*ISNUMBER(SEARCH(실물목록!$Q$2:$Q$1001,I132))*(실물목록!$R$2:$R$1001="")*(실물목록!$O$2:$O$1001&lt;&gt;""))&gt;0,"확인필요(연도다름)","실물 없음")))))</f>
      </c>
      <c r="G132" t="n" s="16">
        <f aca="0">IF(B132="","",SUMPRODUCT((실물목록!$P$2:$P$1001&lt;&gt;"")*ISNUMBER(SEARCH(실물목록!$P$2:$P$1001,I132))*(실물목록!$Q$2:$Q$1001&lt;&gt;"")*ISNUMBER(SEARCH(실물목록!$Q$2:$Q$1001,I132))*(실물목록!$R$2:$R$1001="")*(실물목록!$O$2:$O$1001&lt;&gt;"")*(실물목록!$O$2:$O$1001=H132)))</f>
      </c>
      <c r="H132" t="str">
        <f>IFERROR(IF(AND(LEN(SUBSTITUTE(SUBSTITUTE(SUBSTITUTE(TRIM(A132&amp;""),CHAR(160),"")," ",""),"년",""))=4,VALUE(SUBSTITUTE(SUBSTITUTE(SUBSTITUTE(TRIM(A132&amp;""),CHAR(160),"")," ",""),"년",""))&gt;=1900,VALUE(SUBSTITUTE(SUBSTITUTE(SUBSTITUTE(TRIM(A132&amp;""),CHAR(160),"")," ",""),"년",""))&lt;=2099,TEXT(VALUE(SUBSTITUTE(SUBSTITUTE(SUBSTITUTE(TRIM(A132&amp;""),CHAR(160),"")," ",""),"년","")),"0000")=SUBSTITUTE(SUBSTITUTE(SUBSTITUTE(TRIM(A132&amp;""),CHAR(160),"")," ",""),"년","")),SUBSTITUTE(SUBSTITUTE(SUBSTITUTE(TRIM(A132&amp;""),CHAR(160),"")," ",""),"년",""),""),"")</f>
      </c>
      <c r="I132" t="str">
        <f>SUBSTITUTE(SUBSTITUTE(SUBSTITUTE(SUBSTITUTE(SUBSTITUTE(TRIM(B132&amp;""),CHAR(160),"")," ",""),"초등학교","초"),"중학교","중"),"고등학교","고")</f>
      </c>
    </row>
    <row r="133" customFormat="false" ht="15" hidden="false" customHeight="false" outlineLevel="0" collapsed="false">
      <c r="A133" s="8"/>
      <c r="B133" s="8"/>
      <c r="C133" s="8"/>
      <c r="D133" s="8"/>
      <c r="E133" s="8"/>
      <c r="F133" t="str" s="15">
        <f aca="0">IF(B133="","",IF(H133="","확인필요(입력누락)",IF(SUMPRODUCT((실물목록!$P$2:$P$1001&lt;&gt;"")*ISNUMBER(SEARCH(실물목록!$P$2:$P$1001,I133))*(실물목록!$Q$2:$Q$1001&lt;&gt;"")*ISNUMBER(SEARCH(실물목록!$Q$2:$Q$1001,I133))*(실물목록!$R$2:$R$1001="")*(실물목록!$O$2:$O$1001&lt;&gt;"")*(실물목록!$O$2:$O$1001=H133))&gt;0,"실물 있음",IF(SUMPRODUCT((실물목록!$P$2:$P$1001&lt;&gt;"")*ISNUMBER(SEARCH(실물목록!$P$2:$P$1001,I133))*(실물목록!$R$2:$R$1001&lt;&gt;""))&gt;0,"확인필요(입력누락)",IF(SUMPRODUCT((실물목록!$P$2:$P$1001&lt;&gt;"")*ISNUMBER(SEARCH(실물목록!$P$2:$P$1001,I133))*(실물목록!$Q$2:$Q$1001&lt;&gt;"")*ISNUMBER(SEARCH(실물목록!$Q$2:$Q$1001,I133))*(실물목록!$R$2:$R$1001="")*(실물목록!$O$2:$O$1001&lt;&gt;""))&gt;0,"확인필요(연도다름)","실물 없음")))))</f>
      </c>
      <c r="G133" t="n" s="16">
        <f aca="0">IF(B133="","",SUMPRODUCT((실물목록!$P$2:$P$1001&lt;&gt;"")*ISNUMBER(SEARCH(실물목록!$P$2:$P$1001,I133))*(실물목록!$Q$2:$Q$1001&lt;&gt;"")*ISNUMBER(SEARCH(실물목록!$Q$2:$Q$1001,I133))*(실물목록!$R$2:$R$1001="")*(실물목록!$O$2:$O$1001&lt;&gt;"")*(실물목록!$O$2:$O$1001=H133)))</f>
      </c>
      <c r="H133" t="str">
        <f>IFERROR(IF(AND(LEN(SUBSTITUTE(SUBSTITUTE(SUBSTITUTE(TRIM(A133&amp;""),CHAR(160),"")," ",""),"년",""))=4,VALUE(SUBSTITUTE(SUBSTITUTE(SUBSTITUTE(TRIM(A133&amp;""),CHAR(160),"")," ",""),"년",""))&gt;=1900,VALUE(SUBSTITUTE(SUBSTITUTE(SUBSTITUTE(TRIM(A133&amp;""),CHAR(160),"")," ",""),"년",""))&lt;=2099,TEXT(VALUE(SUBSTITUTE(SUBSTITUTE(SUBSTITUTE(TRIM(A133&amp;""),CHAR(160),"")," ",""),"년","")),"0000")=SUBSTITUTE(SUBSTITUTE(SUBSTITUTE(TRIM(A133&amp;""),CHAR(160),"")," ",""),"년","")),SUBSTITUTE(SUBSTITUTE(SUBSTITUTE(TRIM(A133&amp;""),CHAR(160),"")," ",""),"년",""),""),"")</f>
      </c>
      <c r="I133" t="str">
        <f>SUBSTITUTE(SUBSTITUTE(SUBSTITUTE(SUBSTITUTE(SUBSTITUTE(TRIM(B133&amp;""),CHAR(160),"")," ",""),"초등학교","초"),"중학교","중"),"고등학교","고")</f>
      </c>
    </row>
    <row r="134" customFormat="false" ht="15" hidden="false" customHeight="false" outlineLevel="0" collapsed="false">
      <c r="A134" s="8"/>
      <c r="B134" s="8"/>
      <c r="C134" s="8"/>
      <c r="D134" s="8"/>
      <c r="E134" s="8"/>
      <c r="F134" t="str" s="15">
        <f aca="0">IF(B134="","",IF(H134="","확인필요(입력누락)",IF(SUMPRODUCT((실물목록!$P$2:$P$1001&lt;&gt;"")*ISNUMBER(SEARCH(실물목록!$P$2:$P$1001,I134))*(실물목록!$Q$2:$Q$1001&lt;&gt;"")*ISNUMBER(SEARCH(실물목록!$Q$2:$Q$1001,I134))*(실물목록!$R$2:$R$1001="")*(실물목록!$O$2:$O$1001&lt;&gt;"")*(실물목록!$O$2:$O$1001=H134))&gt;0,"실물 있음",IF(SUMPRODUCT((실물목록!$P$2:$P$1001&lt;&gt;"")*ISNUMBER(SEARCH(실물목록!$P$2:$P$1001,I134))*(실물목록!$R$2:$R$1001&lt;&gt;""))&gt;0,"확인필요(입력누락)",IF(SUMPRODUCT((실물목록!$P$2:$P$1001&lt;&gt;"")*ISNUMBER(SEARCH(실물목록!$P$2:$P$1001,I134))*(실물목록!$Q$2:$Q$1001&lt;&gt;"")*ISNUMBER(SEARCH(실물목록!$Q$2:$Q$1001,I134))*(실물목록!$R$2:$R$1001="")*(실물목록!$O$2:$O$1001&lt;&gt;""))&gt;0,"확인필요(연도다름)","실물 없음")))))</f>
      </c>
      <c r="G134" t="n" s="16">
        <f aca="0">IF(B134="","",SUMPRODUCT((실물목록!$P$2:$P$1001&lt;&gt;"")*ISNUMBER(SEARCH(실물목록!$P$2:$P$1001,I134))*(실물목록!$Q$2:$Q$1001&lt;&gt;"")*ISNUMBER(SEARCH(실물목록!$Q$2:$Q$1001,I134))*(실물목록!$R$2:$R$1001="")*(실물목록!$O$2:$O$1001&lt;&gt;"")*(실물목록!$O$2:$O$1001=H134)))</f>
      </c>
      <c r="H134" t="str">
        <f>IFERROR(IF(AND(LEN(SUBSTITUTE(SUBSTITUTE(SUBSTITUTE(TRIM(A134&amp;""),CHAR(160),"")," ",""),"년",""))=4,VALUE(SUBSTITUTE(SUBSTITUTE(SUBSTITUTE(TRIM(A134&amp;""),CHAR(160),"")," ",""),"년",""))&gt;=1900,VALUE(SUBSTITUTE(SUBSTITUTE(SUBSTITUTE(TRIM(A134&amp;""),CHAR(160),"")," ",""),"년",""))&lt;=2099,TEXT(VALUE(SUBSTITUTE(SUBSTITUTE(SUBSTITUTE(TRIM(A134&amp;""),CHAR(160),"")," ",""),"년","")),"0000")=SUBSTITUTE(SUBSTITUTE(SUBSTITUTE(TRIM(A134&amp;""),CHAR(160),"")," ",""),"년","")),SUBSTITUTE(SUBSTITUTE(SUBSTITUTE(TRIM(A134&amp;""),CHAR(160),"")," ",""),"년",""),""),"")</f>
      </c>
      <c r="I134" t="str">
        <f>SUBSTITUTE(SUBSTITUTE(SUBSTITUTE(SUBSTITUTE(SUBSTITUTE(TRIM(B134&amp;""),CHAR(160),"")," ",""),"초등학교","초"),"중학교","중"),"고등학교","고")</f>
      </c>
    </row>
    <row r="135" customFormat="false" ht="15" hidden="false" customHeight="false" outlineLevel="0" collapsed="false">
      <c r="A135" s="8"/>
      <c r="B135" s="8"/>
      <c r="C135" s="8"/>
      <c r="D135" s="8"/>
      <c r="E135" s="8"/>
      <c r="F135" t="str" s="15">
        <f aca="0">IF(B135="","",IF(H135="","확인필요(입력누락)",IF(SUMPRODUCT((실물목록!$P$2:$P$1001&lt;&gt;"")*ISNUMBER(SEARCH(실물목록!$P$2:$P$1001,I135))*(실물목록!$Q$2:$Q$1001&lt;&gt;"")*ISNUMBER(SEARCH(실물목록!$Q$2:$Q$1001,I135))*(실물목록!$R$2:$R$1001="")*(실물목록!$O$2:$O$1001&lt;&gt;"")*(실물목록!$O$2:$O$1001=H135))&gt;0,"실물 있음",IF(SUMPRODUCT((실물목록!$P$2:$P$1001&lt;&gt;"")*ISNUMBER(SEARCH(실물목록!$P$2:$P$1001,I135))*(실물목록!$R$2:$R$1001&lt;&gt;""))&gt;0,"확인필요(입력누락)",IF(SUMPRODUCT((실물목록!$P$2:$P$1001&lt;&gt;"")*ISNUMBER(SEARCH(실물목록!$P$2:$P$1001,I135))*(실물목록!$Q$2:$Q$1001&lt;&gt;"")*ISNUMBER(SEARCH(실물목록!$Q$2:$Q$1001,I135))*(실물목록!$R$2:$R$1001="")*(실물목록!$O$2:$O$1001&lt;&gt;""))&gt;0,"확인필요(연도다름)","실물 없음")))))</f>
      </c>
      <c r="G135" t="n" s="16">
        <f aca="0">IF(B135="","",SUMPRODUCT((실물목록!$P$2:$P$1001&lt;&gt;"")*ISNUMBER(SEARCH(실물목록!$P$2:$P$1001,I135))*(실물목록!$Q$2:$Q$1001&lt;&gt;"")*ISNUMBER(SEARCH(실물목록!$Q$2:$Q$1001,I135))*(실물목록!$R$2:$R$1001="")*(실물목록!$O$2:$O$1001&lt;&gt;"")*(실물목록!$O$2:$O$1001=H135)))</f>
      </c>
      <c r="H135" t="str">
        <f>IFERROR(IF(AND(LEN(SUBSTITUTE(SUBSTITUTE(SUBSTITUTE(TRIM(A135&amp;""),CHAR(160),"")," ",""),"년",""))=4,VALUE(SUBSTITUTE(SUBSTITUTE(SUBSTITUTE(TRIM(A135&amp;""),CHAR(160),"")," ",""),"년",""))&gt;=1900,VALUE(SUBSTITUTE(SUBSTITUTE(SUBSTITUTE(TRIM(A135&amp;""),CHAR(160),"")," ",""),"년",""))&lt;=2099,TEXT(VALUE(SUBSTITUTE(SUBSTITUTE(SUBSTITUTE(TRIM(A135&amp;""),CHAR(160),"")," ",""),"년","")),"0000")=SUBSTITUTE(SUBSTITUTE(SUBSTITUTE(TRIM(A135&amp;""),CHAR(160),"")," ",""),"년","")),SUBSTITUTE(SUBSTITUTE(SUBSTITUTE(TRIM(A135&amp;""),CHAR(160),"")," ",""),"년",""),""),"")</f>
      </c>
      <c r="I135" t="str">
        <f>SUBSTITUTE(SUBSTITUTE(SUBSTITUTE(SUBSTITUTE(SUBSTITUTE(TRIM(B135&amp;""),CHAR(160),"")," ",""),"초등학교","초"),"중학교","중"),"고등학교","고")</f>
      </c>
    </row>
    <row r="136" customFormat="false" ht="15" hidden="false" customHeight="false" outlineLevel="0" collapsed="false">
      <c r="A136" s="8"/>
      <c r="B136" s="8"/>
      <c r="C136" s="8"/>
      <c r="D136" s="8"/>
      <c r="E136" s="8"/>
      <c r="F136" t="str" s="15">
        <f aca="0">IF(B136="","",IF(H136="","확인필요(입력누락)",IF(SUMPRODUCT((실물목록!$P$2:$P$1001&lt;&gt;"")*ISNUMBER(SEARCH(실물목록!$P$2:$P$1001,I136))*(실물목록!$Q$2:$Q$1001&lt;&gt;"")*ISNUMBER(SEARCH(실물목록!$Q$2:$Q$1001,I136))*(실물목록!$R$2:$R$1001="")*(실물목록!$O$2:$O$1001&lt;&gt;"")*(실물목록!$O$2:$O$1001=H136))&gt;0,"실물 있음",IF(SUMPRODUCT((실물목록!$P$2:$P$1001&lt;&gt;"")*ISNUMBER(SEARCH(실물목록!$P$2:$P$1001,I136))*(실물목록!$R$2:$R$1001&lt;&gt;""))&gt;0,"확인필요(입력누락)",IF(SUMPRODUCT((실물목록!$P$2:$P$1001&lt;&gt;"")*ISNUMBER(SEARCH(실물목록!$P$2:$P$1001,I136))*(실물목록!$Q$2:$Q$1001&lt;&gt;"")*ISNUMBER(SEARCH(실물목록!$Q$2:$Q$1001,I136))*(실물목록!$R$2:$R$1001="")*(실물목록!$O$2:$O$1001&lt;&gt;""))&gt;0,"확인필요(연도다름)","실물 없음")))))</f>
      </c>
      <c r="G136" t="n" s="16">
        <f aca="0">IF(B136="","",SUMPRODUCT((실물목록!$P$2:$P$1001&lt;&gt;"")*ISNUMBER(SEARCH(실물목록!$P$2:$P$1001,I136))*(실물목록!$Q$2:$Q$1001&lt;&gt;"")*ISNUMBER(SEARCH(실물목록!$Q$2:$Q$1001,I136))*(실물목록!$R$2:$R$1001="")*(실물목록!$O$2:$O$1001&lt;&gt;"")*(실물목록!$O$2:$O$1001=H136)))</f>
      </c>
      <c r="H136" t="str">
        <f>IFERROR(IF(AND(LEN(SUBSTITUTE(SUBSTITUTE(SUBSTITUTE(TRIM(A136&amp;""),CHAR(160),"")," ",""),"년",""))=4,VALUE(SUBSTITUTE(SUBSTITUTE(SUBSTITUTE(TRIM(A136&amp;""),CHAR(160),"")," ",""),"년",""))&gt;=1900,VALUE(SUBSTITUTE(SUBSTITUTE(SUBSTITUTE(TRIM(A136&amp;""),CHAR(160),"")," ",""),"년",""))&lt;=2099,TEXT(VALUE(SUBSTITUTE(SUBSTITUTE(SUBSTITUTE(TRIM(A136&amp;""),CHAR(160),"")," ",""),"년","")),"0000")=SUBSTITUTE(SUBSTITUTE(SUBSTITUTE(TRIM(A136&amp;""),CHAR(160),"")," ",""),"년","")),SUBSTITUTE(SUBSTITUTE(SUBSTITUTE(TRIM(A136&amp;""),CHAR(160),"")," ",""),"년",""),""),"")</f>
      </c>
      <c r="I136" t="str">
        <f>SUBSTITUTE(SUBSTITUTE(SUBSTITUTE(SUBSTITUTE(SUBSTITUTE(TRIM(B136&amp;""),CHAR(160),"")," ",""),"초등학교","초"),"중학교","중"),"고등학교","고")</f>
      </c>
    </row>
    <row r="137" customFormat="false" ht="15" hidden="false" customHeight="false" outlineLevel="0" collapsed="false">
      <c r="A137" s="8"/>
      <c r="B137" s="8"/>
      <c r="C137" s="8"/>
      <c r="D137" s="8"/>
      <c r="E137" s="8"/>
      <c r="F137" t="str" s="15">
        <f aca="0">IF(B137="","",IF(H137="","확인필요(입력누락)",IF(SUMPRODUCT((실물목록!$P$2:$P$1001&lt;&gt;"")*ISNUMBER(SEARCH(실물목록!$P$2:$P$1001,I137))*(실물목록!$Q$2:$Q$1001&lt;&gt;"")*ISNUMBER(SEARCH(실물목록!$Q$2:$Q$1001,I137))*(실물목록!$R$2:$R$1001="")*(실물목록!$O$2:$O$1001&lt;&gt;"")*(실물목록!$O$2:$O$1001=H137))&gt;0,"실물 있음",IF(SUMPRODUCT((실물목록!$P$2:$P$1001&lt;&gt;"")*ISNUMBER(SEARCH(실물목록!$P$2:$P$1001,I137))*(실물목록!$R$2:$R$1001&lt;&gt;""))&gt;0,"확인필요(입력누락)",IF(SUMPRODUCT((실물목록!$P$2:$P$1001&lt;&gt;"")*ISNUMBER(SEARCH(실물목록!$P$2:$P$1001,I137))*(실물목록!$Q$2:$Q$1001&lt;&gt;"")*ISNUMBER(SEARCH(실물목록!$Q$2:$Q$1001,I137))*(실물목록!$R$2:$R$1001="")*(실물목록!$O$2:$O$1001&lt;&gt;""))&gt;0,"확인필요(연도다름)","실물 없음")))))</f>
      </c>
      <c r="G137" t="n" s="16">
        <f aca="0">IF(B137="","",SUMPRODUCT((실물목록!$P$2:$P$1001&lt;&gt;"")*ISNUMBER(SEARCH(실물목록!$P$2:$P$1001,I137))*(실물목록!$Q$2:$Q$1001&lt;&gt;"")*ISNUMBER(SEARCH(실물목록!$Q$2:$Q$1001,I137))*(실물목록!$R$2:$R$1001="")*(실물목록!$O$2:$O$1001&lt;&gt;"")*(실물목록!$O$2:$O$1001=H137)))</f>
      </c>
      <c r="H137" t="str">
        <f>IFERROR(IF(AND(LEN(SUBSTITUTE(SUBSTITUTE(SUBSTITUTE(TRIM(A137&amp;""),CHAR(160),"")," ",""),"년",""))=4,VALUE(SUBSTITUTE(SUBSTITUTE(SUBSTITUTE(TRIM(A137&amp;""),CHAR(160),"")," ",""),"년",""))&gt;=1900,VALUE(SUBSTITUTE(SUBSTITUTE(SUBSTITUTE(TRIM(A137&amp;""),CHAR(160),"")," ",""),"년",""))&lt;=2099,TEXT(VALUE(SUBSTITUTE(SUBSTITUTE(SUBSTITUTE(TRIM(A137&amp;""),CHAR(160),"")," ",""),"년","")),"0000")=SUBSTITUTE(SUBSTITUTE(SUBSTITUTE(TRIM(A137&amp;""),CHAR(160),"")," ",""),"년","")),SUBSTITUTE(SUBSTITUTE(SUBSTITUTE(TRIM(A137&amp;""),CHAR(160),"")," ",""),"년",""),""),"")</f>
      </c>
      <c r="I137" t="str">
        <f>SUBSTITUTE(SUBSTITUTE(SUBSTITUTE(SUBSTITUTE(SUBSTITUTE(TRIM(B137&amp;""),CHAR(160),"")," ",""),"초등학교","초"),"중학교","중"),"고등학교","고")</f>
      </c>
    </row>
    <row r="138" customFormat="false" ht="15" hidden="false" customHeight="false" outlineLevel="0" collapsed="false">
      <c r="A138" s="8"/>
      <c r="B138" s="8"/>
      <c r="C138" s="8"/>
      <c r="D138" s="8"/>
      <c r="E138" s="8"/>
      <c r="F138" t="str" s="15">
        <f aca="0">IF(B138="","",IF(H138="","확인필요(입력누락)",IF(SUMPRODUCT((실물목록!$P$2:$P$1001&lt;&gt;"")*ISNUMBER(SEARCH(실물목록!$P$2:$P$1001,I138))*(실물목록!$Q$2:$Q$1001&lt;&gt;"")*ISNUMBER(SEARCH(실물목록!$Q$2:$Q$1001,I138))*(실물목록!$R$2:$R$1001="")*(실물목록!$O$2:$O$1001&lt;&gt;"")*(실물목록!$O$2:$O$1001=H138))&gt;0,"실물 있음",IF(SUMPRODUCT((실물목록!$P$2:$P$1001&lt;&gt;"")*ISNUMBER(SEARCH(실물목록!$P$2:$P$1001,I138))*(실물목록!$R$2:$R$1001&lt;&gt;""))&gt;0,"확인필요(입력누락)",IF(SUMPRODUCT((실물목록!$P$2:$P$1001&lt;&gt;"")*ISNUMBER(SEARCH(실물목록!$P$2:$P$1001,I138))*(실물목록!$Q$2:$Q$1001&lt;&gt;"")*ISNUMBER(SEARCH(실물목록!$Q$2:$Q$1001,I138))*(실물목록!$R$2:$R$1001="")*(실물목록!$O$2:$O$1001&lt;&gt;""))&gt;0,"확인필요(연도다름)","실물 없음")))))</f>
      </c>
      <c r="G138" t="n" s="16">
        <f aca="0">IF(B138="","",SUMPRODUCT((실물목록!$P$2:$P$1001&lt;&gt;"")*ISNUMBER(SEARCH(실물목록!$P$2:$P$1001,I138))*(실물목록!$Q$2:$Q$1001&lt;&gt;"")*ISNUMBER(SEARCH(실물목록!$Q$2:$Q$1001,I138))*(실물목록!$R$2:$R$1001="")*(실물목록!$O$2:$O$1001&lt;&gt;"")*(실물목록!$O$2:$O$1001=H138)))</f>
      </c>
      <c r="H138" t="str">
        <f>IFERROR(IF(AND(LEN(SUBSTITUTE(SUBSTITUTE(SUBSTITUTE(TRIM(A138&amp;""),CHAR(160),"")," ",""),"년",""))=4,VALUE(SUBSTITUTE(SUBSTITUTE(SUBSTITUTE(TRIM(A138&amp;""),CHAR(160),"")," ",""),"년",""))&gt;=1900,VALUE(SUBSTITUTE(SUBSTITUTE(SUBSTITUTE(TRIM(A138&amp;""),CHAR(160),"")," ",""),"년",""))&lt;=2099,TEXT(VALUE(SUBSTITUTE(SUBSTITUTE(SUBSTITUTE(TRIM(A138&amp;""),CHAR(160),"")," ",""),"년","")),"0000")=SUBSTITUTE(SUBSTITUTE(SUBSTITUTE(TRIM(A138&amp;""),CHAR(160),"")," ",""),"년","")),SUBSTITUTE(SUBSTITUTE(SUBSTITUTE(TRIM(A138&amp;""),CHAR(160),"")," ",""),"년",""),""),"")</f>
      </c>
      <c r="I138" t="str">
        <f>SUBSTITUTE(SUBSTITUTE(SUBSTITUTE(SUBSTITUTE(SUBSTITUTE(TRIM(B138&amp;""),CHAR(160),"")," ",""),"초등학교","초"),"중학교","중"),"고등학교","고")</f>
      </c>
    </row>
    <row r="139" customFormat="false" ht="15" hidden="false" customHeight="false" outlineLevel="0" collapsed="false">
      <c r="A139" s="8"/>
      <c r="B139" s="8"/>
      <c r="C139" s="8"/>
      <c r="D139" s="8"/>
      <c r="E139" s="8"/>
      <c r="F139" t="str" s="15">
        <f aca="0">IF(B139="","",IF(H139="","확인필요(입력누락)",IF(SUMPRODUCT((실물목록!$P$2:$P$1001&lt;&gt;"")*ISNUMBER(SEARCH(실물목록!$P$2:$P$1001,I139))*(실물목록!$Q$2:$Q$1001&lt;&gt;"")*ISNUMBER(SEARCH(실물목록!$Q$2:$Q$1001,I139))*(실물목록!$R$2:$R$1001="")*(실물목록!$O$2:$O$1001&lt;&gt;"")*(실물목록!$O$2:$O$1001=H139))&gt;0,"실물 있음",IF(SUMPRODUCT((실물목록!$P$2:$P$1001&lt;&gt;"")*ISNUMBER(SEARCH(실물목록!$P$2:$P$1001,I139))*(실물목록!$R$2:$R$1001&lt;&gt;""))&gt;0,"확인필요(입력누락)",IF(SUMPRODUCT((실물목록!$P$2:$P$1001&lt;&gt;"")*ISNUMBER(SEARCH(실물목록!$P$2:$P$1001,I139))*(실물목록!$Q$2:$Q$1001&lt;&gt;"")*ISNUMBER(SEARCH(실물목록!$Q$2:$Q$1001,I139))*(실물목록!$R$2:$R$1001="")*(실물목록!$O$2:$O$1001&lt;&gt;""))&gt;0,"확인필요(연도다름)","실물 없음")))))</f>
      </c>
      <c r="G139" t="n" s="16">
        <f aca="0">IF(B139="","",SUMPRODUCT((실물목록!$P$2:$P$1001&lt;&gt;"")*ISNUMBER(SEARCH(실물목록!$P$2:$P$1001,I139))*(실물목록!$Q$2:$Q$1001&lt;&gt;"")*ISNUMBER(SEARCH(실물목록!$Q$2:$Q$1001,I139))*(실물목록!$R$2:$R$1001="")*(실물목록!$O$2:$O$1001&lt;&gt;"")*(실물목록!$O$2:$O$1001=H139)))</f>
      </c>
      <c r="H139" t="str">
        <f>IFERROR(IF(AND(LEN(SUBSTITUTE(SUBSTITUTE(SUBSTITUTE(TRIM(A139&amp;""),CHAR(160),"")," ",""),"년",""))=4,VALUE(SUBSTITUTE(SUBSTITUTE(SUBSTITUTE(TRIM(A139&amp;""),CHAR(160),"")," ",""),"년",""))&gt;=1900,VALUE(SUBSTITUTE(SUBSTITUTE(SUBSTITUTE(TRIM(A139&amp;""),CHAR(160),"")," ",""),"년",""))&lt;=2099,TEXT(VALUE(SUBSTITUTE(SUBSTITUTE(SUBSTITUTE(TRIM(A139&amp;""),CHAR(160),"")," ",""),"년","")),"0000")=SUBSTITUTE(SUBSTITUTE(SUBSTITUTE(TRIM(A139&amp;""),CHAR(160),"")," ",""),"년","")),SUBSTITUTE(SUBSTITUTE(SUBSTITUTE(TRIM(A139&amp;""),CHAR(160),"")," ",""),"년",""),""),"")</f>
      </c>
      <c r="I139" t="str">
        <f>SUBSTITUTE(SUBSTITUTE(SUBSTITUTE(SUBSTITUTE(SUBSTITUTE(TRIM(B139&amp;""),CHAR(160),"")," ",""),"초등학교","초"),"중학교","중"),"고등학교","고")</f>
      </c>
    </row>
    <row r="140" customFormat="false" ht="15" hidden="false" customHeight="false" outlineLevel="0" collapsed="false">
      <c r="A140" s="8"/>
      <c r="B140" s="8"/>
      <c r="C140" s="8"/>
      <c r="D140" s="8"/>
      <c r="E140" s="8"/>
      <c r="F140" t="str" s="15">
        <f aca="0">IF(B140="","",IF(H140="","확인필요(입력누락)",IF(SUMPRODUCT((실물목록!$P$2:$P$1001&lt;&gt;"")*ISNUMBER(SEARCH(실물목록!$P$2:$P$1001,I140))*(실물목록!$Q$2:$Q$1001&lt;&gt;"")*ISNUMBER(SEARCH(실물목록!$Q$2:$Q$1001,I140))*(실물목록!$R$2:$R$1001="")*(실물목록!$O$2:$O$1001&lt;&gt;"")*(실물목록!$O$2:$O$1001=H140))&gt;0,"실물 있음",IF(SUMPRODUCT((실물목록!$P$2:$P$1001&lt;&gt;"")*ISNUMBER(SEARCH(실물목록!$P$2:$P$1001,I140))*(실물목록!$R$2:$R$1001&lt;&gt;""))&gt;0,"확인필요(입력누락)",IF(SUMPRODUCT((실물목록!$P$2:$P$1001&lt;&gt;"")*ISNUMBER(SEARCH(실물목록!$P$2:$P$1001,I140))*(실물목록!$Q$2:$Q$1001&lt;&gt;"")*ISNUMBER(SEARCH(실물목록!$Q$2:$Q$1001,I140))*(실물목록!$R$2:$R$1001="")*(실물목록!$O$2:$O$1001&lt;&gt;""))&gt;0,"확인필요(연도다름)","실물 없음")))))</f>
      </c>
      <c r="G140" t="n" s="16">
        <f aca="0">IF(B140="","",SUMPRODUCT((실물목록!$P$2:$P$1001&lt;&gt;"")*ISNUMBER(SEARCH(실물목록!$P$2:$P$1001,I140))*(실물목록!$Q$2:$Q$1001&lt;&gt;"")*ISNUMBER(SEARCH(실물목록!$Q$2:$Q$1001,I140))*(실물목록!$R$2:$R$1001="")*(실물목록!$O$2:$O$1001&lt;&gt;"")*(실물목록!$O$2:$O$1001=H140)))</f>
      </c>
      <c r="H140" t="str">
        <f>IFERROR(IF(AND(LEN(SUBSTITUTE(SUBSTITUTE(SUBSTITUTE(TRIM(A140&amp;""),CHAR(160),"")," ",""),"년",""))=4,VALUE(SUBSTITUTE(SUBSTITUTE(SUBSTITUTE(TRIM(A140&amp;""),CHAR(160),"")," ",""),"년",""))&gt;=1900,VALUE(SUBSTITUTE(SUBSTITUTE(SUBSTITUTE(TRIM(A140&amp;""),CHAR(160),"")," ",""),"년",""))&lt;=2099,TEXT(VALUE(SUBSTITUTE(SUBSTITUTE(SUBSTITUTE(TRIM(A140&amp;""),CHAR(160),"")," ",""),"년","")),"0000")=SUBSTITUTE(SUBSTITUTE(SUBSTITUTE(TRIM(A140&amp;""),CHAR(160),"")," ",""),"년","")),SUBSTITUTE(SUBSTITUTE(SUBSTITUTE(TRIM(A140&amp;""),CHAR(160),"")," ",""),"년",""),""),"")</f>
      </c>
      <c r="I140" t="str">
        <f>SUBSTITUTE(SUBSTITUTE(SUBSTITUTE(SUBSTITUTE(SUBSTITUTE(TRIM(B140&amp;""),CHAR(160),"")," ",""),"초등학교","초"),"중학교","중"),"고등학교","고")</f>
      </c>
    </row>
    <row r="141" customFormat="false" ht="15" hidden="false" customHeight="false" outlineLevel="0" collapsed="false">
      <c r="A141" s="8"/>
      <c r="B141" s="8"/>
      <c r="C141" s="8"/>
      <c r="D141" s="8"/>
      <c r="E141" s="8"/>
      <c r="F141" t="str" s="15">
        <f aca="0">IF(B141="","",IF(H141="","확인필요(입력누락)",IF(SUMPRODUCT((실물목록!$P$2:$P$1001&lt;&gt;"")*ISNUMBER(SEARCH(실물목록!$P$2:$P$1001,I141))*(실물목록!$Q$2:$Q$1001&lt;&gt;"")*ISNUMBER(SEARCH(실물목록!$Q$2:$Q$1001,I141))*(실물목록!$R$2:$R$1001="")*(실물목록!$O$2:$O$1001&lt;&gt;"")*(실물목록!$O$2:$O$1001=H141))&gt;0,"실물 있음",IF(SUMPRODUCT((실물목록!$P$2:$P$1001&lt;&gt;"")*ISNUMBER(SEARCH(실물목록!$P$2:$P$1001,I141))*(실물목록!$R$2:$R$1001&lt;&gt;""))&gt;0,"확인필요(입력누락)",IF(SUMPRODUCT((실물목록!$P$2:$P$1001&lt;&gt;"")*ISNUMBER(SEARCH(실물목록!$P$2:$P$1001,I141))*(실물목록!$Q$2:$Q$1001&lt;&gt;"")*ISNUMBER(SEARCH(실물목록!$Q$2:$Q$1001,I141))*(실물목록!$R$2:$R$1001="")*(실물목록!$O$2:$O$1001&lt;&gt;""))&gt;0,"확인필요(연도다름)","실물 없음")))))</f>
      </c>
      <c r="G141" t="n" s="16">
        <f aca="0">IF(B141="","",SUMPRODUCT((실물목록!$P$2:$P$1001&lt;&gt;"")*ISNUMBER(SEARCH(실물목록!$P$2:$P$1001,I141))*(실물목록!$Q$2:$Q$1001&lt;&gt;"")*ISNUMBER(SEARCH(실물목록!$Q$2:$Q$1001,I141))*(실물목록!$R$2:$R$1001="")*(실물목록!$O$2:$O$1001&lt;&gt;"")*(실물목록!$O$2:$O$1001=H141)))</f>
      </c>
      <c r="H141" t="str">
        <f>IFERROR(IF(AND(LEN(SUBSTITUTE(SUBSTITUTE(SUBSTITUTE(TRIM(A141&amp;""),CHAR(160),"")," ",""),"년",""))=4,VALUE(SUBSTITUTE(SUBSTITUTE(SUBSTITUTE(TRIM(A141&amp;""),CHAR(160),"")," ",""),"년",""))&gt;=1900,VALUE(SUBSTITUTE(SUBSTITUTE(SUBSTITUTE(TRIM(A141&amp;""),CHAR(160),"")," ",""),"년",""))&lt;=2099,TEXT(VALUE(SUBSTITUTE(SUBSTITUTE(SUBSTITUTE(TRIM(A141&amp;""),CHAR(160),"")," ",""),"년","")),"0000")=SUBSTITUTE(SUBSTITUTE(SUBSTITUTE(TRIM(A141&amp;""),CHAR(160),"")," ",""),"년","")),SUBSTITUTE(SUBSTITUTE(SUBSTITUTE(TRIM(A141&amp;""),CHAR(160),"")," ",""),"년",""),""),"")</f>
      </c>
      <c r="I141" t="str">
        <f>SUBSTITUTE(SUBSTITUTE(SUBSTITUTE(SUBSTITUTE(SUBSTITUTE(TRIM(B141&amp;""),CHAR(160),"")," ",""),"초등학교","초"),"중학교","중"),"고등학교","고")</f>
      </c>
    </row>
    <row r="142" customFormat="false" ht="15" hidden="false" customHeight="false" outlineLevel="0" collapsed="false">
      <c r="A142" s="8"/>
      <c r="B142" s="8"/>
      <c r="C142" s="8"/>
      <c r="D142" s="8"/>
      <c r="E142" s="8"/>
      <c r="F142" t="str" s="15">
        <f aca="0">IF(B142="","",IF(H142="","확인필요(입력누락)",IF(SUMPRODUCT((실물목록!$P$2:$P$1001&lt;&gt;"")*ISNUMBER(SEARCH(실물목록!$P$2:$P$1001,I142))*(실물목록!$Q$2:$Q$1001&lt;&gt;"")*ISNUMBER(SEARCH(실물목록!$Q$2:$Q$1001,I142))*(실물목록!$R$2:$R$1001="")*(실물목록!$O$2:$O$1001&lt;&gt;"")*(실물목록!$O$2:$O$1001=H142))&gt;0,"실물 있음",IF(SUMPRODUCT((실물목록!$P$2:$P$1001&lt;&gt;"")*ISNUMBER(SEARCH(실물목록!$P$2:$P$1001,I142))*(실물목록!$R$2:$R$1001&lt;&gt;""))&gt;0,"확인필요(입력누락)",IF(SUMPRODUCT((실물목록!$P$2:$P$1001&lt;&gt;"")*ISNUMBER(SEARCH(실물목록!$P$2:$P$1001,I142))*(실물목록!$Q$2:$Q$1001&lt;&gt;"")*ISNUMBER(SEARCH(실물목록!$Q$2:$Q$1001,I142))*(실물목록!$R$2:$R$1001="")*(실물목록!$O$2:$O$1001&lt;&gt;""))&gt;0,"확인필요(연도다름)","실물 없음")))))</f>
      </c>
      <c r="G142" t="n" s="16">
        <f aca="0">IF(B142="","",SUMPRODUCT((실물목록!$P$2:$P$1001&lt;&gt;"")*ISNUMBER(SEARCH(실물목록!$P$2:$P$1001,I142))*(실물목록!$Q$2:$Q$1001&lt;&gt;"")*ISNUMBER(SEARCH(실물목록!$Q$2:$Q$1001,I142))*(실물목록!$R$2:$R$1001="")*(실물목록!$O$2:$O$1001&lt;&gt;"")*(실물목록!$O$2:$O$1001=H142)))</f>
      </c>
      <c r="H142" t="str">
        <f>IFERROR(IF(AND(LEN(SUBSTITUTE(SUBSTITUTE(SUBSTITUTE(TRIM(A142&amp;""),CHAR(160),"")," ",""),"년",""))=4,VALUE(SUBSTITUTE(SUBSTITUTE(SUBSTITUTE(TRIM(A142&amp;""),CHAR(160),"")," ",""),"년",""))&gt;=1900,VALUE(SUBSTITUTE(SUBSTITUTE(SUBSTITUTE(TRIM(A142&amp;""),CHAR(160),"")," ",""),"년",""))&lt;=2099,TEXT(VALUE(SUBSTITUTE(SUBSTITUTE(SUBSTITUTE(TRIM(A142&amp;""),CHAR(160),"")," ",""),"년","")),"0000")=SUBSTITUTE(SUBSTITUTE(SUBSTITUTE(TRIM(A142&amp;""),CHAR(160),"")," ",""),"년","")),SUBSTITUTE(SUBSTITUTE(SUBSTITUTE(TRIM(A142&amp;""),CHAR(160),"")," ",""),"년",""),""),"")</f>
      </c>
      <c r="I142" t="str">
        <f>SUBSTITUTE(SUBSTITUTE(SUBSTITUTE(SUBSTITUTE(SUBSTITUTE(TRIM(B142&amp;""),CHAR(160),"")," ",""),"초등학교","초"),"중학교","중"),"고등학교","고")</f>
      </c>
    </row>
    <row r="143" customFormat="false" ht="15" hidden="false" customHeight="false" outlineLevel="0" collapsed="false">
      <c r="A143" s="8"/>
      <c r="B143" s="8"/>
      <c r="C143" s="8"/>
      <c r="D143" s="8"/>
      <c r="E143" s="8"/>
      <c r="F143" t="str" s="15">
        <f aca="0">IF(B143="","",IF(H143="","확인필요(입력누락)",IF(SUMPRODUCT((실물목록!$P$2:$P$1001&lt;&gt;"")*ISNUMBER(SEARCH(실물목록!$P$2:$P$1001,I143))*(실물목록!$Q$2:$Q$1001&lt;&gt;"")*ISNUMBER(SEARCH(실물목록!$Q$2:$Q$1001,I143))*(실물목록!$R$2:$R$1001="")*(실물목록!$O$2:$O$1001&lt;&gt;"")*(실물목록!$O$2:$O$1001=H143))&gt;0,"실물 있음",IF(SUMPRODUCT((실물목록!$P$2:$P$1001&lt;&gt;"")*ISNUMBER(SEARCH(실물목록!$P$2:$P$1001,I143))*(실물목록!$R$2:$R$1001&lt;&gt;""))&gt;0,"확인필요(입력누락)",IF(SUMPRODUCT((실물목록!$P$2:$P$1001&lt;&gt;"")*ISNUMBER(SEARCH(실물목록!$P$2:$P$1001,I143))*(실물목록!$Q$2:$Q$1001&lt;&gt;"")*ISNUMBER(SEARCH(실물목록!$Q$2:$Q$1001,I143))*(실물목록!$R$2:$R$1001="")*(실물목록!$O$2:$O$1001&lt;&gt;""))&gt;0,"확인필요(연도다름)","실물 없음")))))</f>
      </c>
      <c r="G143" t="n" s="16">
        <f aca="0">IF(B143="","",SUMPRODUCT((실물목록!$P$2:$P$1001&lt;&gt;"")*ISNUMBER(SEARCH(실물목록!$P$2:$P$1001,I143))*(실물목록!$Q$2:$Q$1001&lt;&gt;"")*ISNUMBER(SEARCH(실물목록!$Q$2:$Q$1001,I143))*(실물목록!$R$2:$R$1001="")*(실물목록!$O$2:$O$1001&lt;&gt;"")*(실물목록!$O$2:$O$1001=H143)))</f>
      </c>
      <c r="H143" t="str">
        <f>IFERROR(IF(AND(LEN(SUBSTITUTE(SUBSTITUTE(SUBSTITUTE(TRIM(A143&amp;""),CHAR(160),"")," ",""),"년",""))=4,VALUE(SUBSTITUTE(SUBSTITUTE(SUBSTITUTE(TRIM(A143&amp;""),CHAR(160),"")," ",""),"년",""))&gt;=1900,VALUE(SUBSTITUTE(SUBSTITUTE(SUBSTITUTE(TRIM(A143&amp;""),CHAR(160),"")," ",""),"년",""))&lt;=2099,TEXT(VALUE(SUBSTITUTE(SUBSTITUTE(SUBSTITUTE(TRIM(A143&amp;""),CHAR(160),"")," ",""),"년","")),"0000")=SUBSTITUTE(SUBSTITUTE(SUBSTITUTE(TRIM(A143&amp;""),CHAR(160),"")," ",""),"년","")),SUBSTITUTE(SUBSTITUTE(SUBSTITUTE(TRIM(A143&amp;""),CHAR(160),"")," ",""),"년",""),""),"")</f>
      </c>
      <c r="I143" t="str">
        <f>SUBSTITUTE(SUBSTITUTE(SUBSTITUTE(SUBSTITUTE(SUBSTITUTE(TRIM(B143&amp;""),CHAR(160),"")," ",""),"초등학교","초"),"중학교","중"),"고등학교","고")</f>
      </c>
    </row>
    <row r="144" customFormat="false" ht="15" hidden="false" customHeight="false" outlineLevel="0" collapsed="false">
      <c r="A144" s="8"/>
      <c r="B144" s="8"/>
      <c r="C144" s="8"/>
      <c r="D144" s="8"/>
      <c r="E144" s="8"/>
      <c r="F144" t="str" s="15">
        <f aca="0">IF(B144="","",IF(H144="","확인필요(입력누락)",IF(SUMPRODUCT((실물목록!$P$2:$P$1001&lt;&gt;"")*ISNUMBER(SEARCH(실물목록!$P$2:$P$1001,I144))*(실물목록!$Q$2:$Q$1001&lt;&gt;"")*ISNUMBER(SEARCH(실물목록!$Q$2:$Q$1001,I144))*(실물목록!$R$2:$R$1001="")*(실물목록!$O$2:$O$1001&lt;&gt;"")*(실물목록!$O$2:$O$1001=H144))&gt;0,"실물 있음",IF(SUMPRODUCT((실물목록!$P$2:$P$1001&lt;&gt;"")*ISNUMBER(SEARCH(실물목록!$P$2:$P$1001,I144))*(실물목록!$R$2:$R$1001&lt;&gt;""))&gt;0,"확인필요(입력누락)",IF(SUMPRODUCT((실물목록!$P$2:$P$1001&lt;&gt;"")*ISNUMBER(SEARCH(실물목록!$P$2:$P$1001,I144))*(실물목록!$Q$2:$Q$1001&lt;&gt;"")*ISNUMBER(SEARCH(실물목록!$Q$2:$Q$1001,I144))*(실물목록!$R$2:$R$1001="")*(실물목록!$O$2:$O$1001&lt;&gt;""))&gt;0,"확인필요(연도다름)","실물 없음")))))</f>
      </c>
      <c r="G144" t="n" s="16">
        <f aca="0">IF(B144="","",SUMPRODUCT((실물목록!$P$2:$P$1001&lt;&gt;"")*ISNUMBER(SEARCH(실물목록!$P$2:$P$1001,I144))*(실물목록!$Q$2:$Q$1001&lt;&gt;"")*ISNUMBER(SEARCH(실물목록!$Q$2:$Q$1001,I144))*(실물목록!$R$2:$R$1001="")*(실물목록!$O$2:$O$1001&lt;&gt;"")*(실물목록!$O$2:$O$1001=H144)))</f>
      </c>
      <c r="H144" t="str">
        <f>IFERROR(IF(AND(LEN(SUBSTITUTE(SUBSTITUTE(SUBSTITUTE(TRIM(A144&amp;""),CHAR(160),"")," ",""),"년",""))=4,VALUE(SUBSTITUTE(SUBSTITUTE(SUBSTITUTE(TRIM(A144&amp;""),CHAR(160),"")," ",""),"년",""))&gt;=1900,VALUE(SUBSTITUTE(SUBSTITUTE(SUBSTITUTE(TRIM(A144&amp;""),CHAR(160),"")," ",""),"년",""))&lt;=2099,TEXT(VALUE(SUBSTITUTE(SUBSTITUTE(SUBSTITUTE(TRIM(A144&amp;""),CHAR(160),"")," ",""),"년","")),"0000")=SUBSTITUTE(SUBSTITUTE(SUBSTITUTE(TRIM(A144&amp;""),CHAR(160),"")," ",""),"년","")),SUBSTITUTE(SUBSTITUTE(SUBSTITUTE(TRIM(A144&amp;""),CHAR(160),"")," ",""),"년",""),""),"")</f>
      </c>
      <c r="I144" t="str">
        <f>SUBSTITUTE(SUBSTITUTE(SUBSTITUTE(SUBSTITUTE(SUBSTITUTE(TRIM(B144&amp;""),CHAR(160),"")," ",""),"초등학교","초"),"중학교","중"),"고등학교","고")</f>
      </c>
    </row>
    <row r="145" customFormat="false" ht="15" hidden="false" customHeight="false" outlineLevel="0" collapsed="false">
      <c r="A145" s="8"/>
      <c r="B145" s="8"/>
      <c r="C145" s="8"/>
      <c r="D145" s="8"/>
      <c r="E145" s="8"/>
      <c r="F145" t="str" s="15">
        <f aca="0">IF(B145="","",IF(H145="","확인필요(입력누락)",IF(SUMPRODUCT((실물목록!$P$2:$P$1001&lt;&gt;"")*ISNUMBER(SEARCH(실물목록!$P$2:$P$1001,I145))*(실물목록!$Q$2:$Q$1001&lt;&gt;"")*ISNUMBER(SEARCH(실물목록!$Q$2:$Q$1001,I145))*(실물목록!$R$2:$R$1001="")*(실물목록!$O$2:$O$1001&lt;&gt;"")*(실물목록!$O$2:$O$1001=H145))&gt;0,"실물 있음",IF(SUMPRODUCT((실물목록!$P$2:$P$1001&lt;&gt;"")*ISNUMBER(SEARCH(실물목록!$P$2:$P$1001,I145))*(실물목록!$R$2:$R$1001&lt;&gt;""))&gt;0,"확인필요(입력누락)",IF(SUMPRODUCT((실물목록!$P$2:$P$1001&lt;&gt;"")*ISNUMBER(SEARCH(실물목록!$P$2:$P$1001,I145))*(실물목록!$Q$2:$Q$1001&lt;&gt;"")*ISNUMBER(SEARCH(실물목록!$Q$2:$Q$1001,I145))*(실물목록!$R$2:$R$1001="")*(실물목록!$O$2:$O$1001&lt;&gt;""))&gt;0,"확인필요(연도다름)","실물 없음")))))</f>
      </c>
      <c r="G145" t="n" s="16">
        <f aca="0">IF(B145="","",SUMPRODUCT((실물목록!$P$2:$P$1001&lt;&gt;"")*ISNUMBER(SEARCH(실물목록!$P$2:$P$1001,I145))*(실물목록!$Q$2:$Q$1001&lt;&gt;"")*ISNUMBER(SEARCH(실물목록!$Q$2:$Q$1001,I145))*(실물목록!$R$2:$R$1001="")*(실물목록!$O$2:$O$1001&lt;&gt;"")*(실물목록!$O$2:$O$1001=H145)))</f>
      </c>
      <c r="H145" t="str">
        <f>IFERROR(IF(AND(LEN(SUBSTITUTE(SUBSTITUTE(SUBSTITUTE(TRIM(A145&amp;""),CHAR(160),"")," ",""),"년",""))=4,VALUE(SUBSTITUTE(SUBSTITUTE(SUBSTITUTE(TRIM(A145&amp;""),CHAR(160),"")," ",""),"년",""))&gt;=1900,VALUE(SUBSTITUTE(SUBSTITUTE(SUBSTITUTE(TRIM(A145&amp;""),CHAR(160),"")," ",""),"년",""))&lt;=2099,TEXT(VALUE(SUBSTITUTE(SUBSTITUTE(SUBSTITUTE(TRIM(A145&amp;""),CHAR(160),"")," ",""),"년","")),"0000")=SUBSTITUTE(SUBSTITUTE(SUBSTITUTE(TRIM(A145&amp;""),CHAR(160),"")," ",""),"년","")),SUBSTITUTE(SUBSTITUTE(SUBSTITUTE(TRIM(A145&amp;""),CHAR(160),"")," ",""),"년",""),""),"")</f>
      </c>
      <c r="I145" t="str">
        <f>SUBSTITUTE(SUBSTITUTE(SUBSTITUTE(SUBSTITUTE(SUBSTITUTE(TRIM(B145&amp;""),CHAR(160),"")," ",""),"초등학교","초"),"중학교","중"),"고등학교","고")</f>
      </c>
    </row>
    <row r="146" customFormat="false" ht="15" hidden="false" customHeight="false" outlineLevel="0" collapsed="false">
      <c r="A146" s="8"/>
      <c r="B146" s="8"/>
      <c r="C146" s="8"/>
      <c r="D146" s="8"/>
      <c r="E146" s="8"/>
      <c r="F146" t="str" s="15">
        <f aca="0">IF(B146="","",IF(H146="","확인필요(입력누락)",IF(SUMPRODUCT((실물목록!$P$2:$P$1001&lt;&gt;"")*ISNUMBER(SEARCH(실물목록!$P$2:$P$1001,I146))*(실물목록!$Q$2:$Q$1001&lt;&gt;"")*ISNUMBER(SEARCH(실물목록!$Q$2:$Q$1001,I146))*(실물목록!$R$2:$R$1001="")*(실물목록!$O$2:$O$1001&lt;&gt;"")*(실물목록!$O$2:$O$1001=H146))&gt;0,"실물 있음",IF(SUMPRODUCT((실물목록!$P$2:$P$1001&lt;&gt;"")*ISNUMBER(SEARCH(실물목록!$P$2:$P$1001,I146))*(실물목록!$R$2:$R$1001&lt;&gt;""))&gt;0,"확인필요(입력누락)",IF(SUMPRODUCT((실물목록!$P$2:$P$1001&lt;&gt;"")*ISNUMBER(SEARCH(실물목록!$P$2:$P$1001,I146))*(실물목록!$Q$2:$Q$1001&lt;&gt;"")*ISNUMBER(SEARCH(실물목록!$Q$2:$Q$1001,I146))*(실물목록!$R$2:$R$1001="")*(실물목록!$O$2:$O$1001&lt;&gt;""))&gt;0,"확인필요(연도다름)","실물 없음")))))</f>
      </c>
      <c r="G146" t="n" s="16">
        <f aca="0">IF(B146="","",SUMPRODUCT((실물목록!$P$2:$P$1001&lt;&gt;"")*ISNUMBER(SEARCH(실물목록!$P$2:$P$1001,I146))*(실물목록!$Q$2:$Q$1001&lt;&gt;"")*ISNUMBER(SEARCH(실물목록!$Q$2:$Q$1001,I146))*(실물목록!$R$2:$R$1001="")*(실물목록!$O$2:$O$1001&lt;&gt;"")*(실물목록!$O$2:$O$1001=H146)))</f>
      </c>
      <c r="H146" t="str">
        <f>IFERROR(IF(AND(LEN(SUBSTITUTE(SUBSTITUTE(SUBSTITUTE(TRIM(A146&amp;""),CHAR(160),"")," ",""),"년",""))=4,VALUE(SUBSTITUTE(SUBSTITUTE(SUBSTITUTE(TRIM(A146&amp;""),CHAR(160),"")," ",""),"년",""))&gt;=1900,VALUE(SUBSTITUTE(SUBSTITUTE(SUBSTITUTE(TRIM(A146&amp;""),CHAR(160),"")," ",""),"년",""))&lt;=2099,TEXT(VALUE(SUBSTITUTE(SUBSTITUTE(SUBSTITUTE(TRIM(A146&amp;""),CHAR(160),"")," ",""),"년","")),"0000")=SUBSTITUTE(SUBSTITUTE(SUBSTITUTE(TRIM(A146&amp;""),CHAR(160),"")," ",""),"년","")),SUBSTITUTE(SUBSTITUTE(SUBSTITUTE(TRIM(A146&amp;""),CHAR(160),"")," ",""),"년",""),""),"")</f>
      </c>
      <c r="I146" t="str">
        <f>SUBSTITUTE(SUBSTITUTE(SUBSTITUTE(SUBSTITUTE(SUBSTITUTE(TRIM(B146&amp;""),CHAR(160),"")," ",""),"초등학교","초"),"중학교","중"),"고등학교","고")</f>
      </c>
    </row>
    <row r="147" customFormat="false" ht="15" hidden="false" customHeight="false" outlineLevel="0" collapsed="false">
      <c r="A147" s="8"/>
      <c r="B147" s="8"/>
      <c r="C147" s="8"/>
      <c r="D147" s="8"/>
      <c r="E147" s="8"/>
      <c r="F147" t="str" s="15">
        <f aca="0">IF(B147="","",IF(H147="","확인필요(입력누락)",IF(SUMPRODUCT((실물목록!$P$2:$P$1001&lt;&gt;"")*ISNUMBER(SEARCH(실물목록!$P$2:$P$1001,I147))*(실물목록!$Q$2:$Q$1001&lt;&gt;"")*ISNUMBER(SEARCH(실물목록!$Q$2:$Q$1001,I147))*(실물목록!$R$2:$R$1001="")*(실물목록!$O$2:$O$1001&lt;&gt;"")*(실물목록!$O$2:$O$1001=H147))&gt;0,"실물 있음",IF(SUMPRODUCT((실물목록!$P$2:$P$1001&lt;&gt;"")*ISNUMBER(SEARCH(실물목록!$P$2:$P$1001,I147))*(실물목록!$R$2:$R$1001&lt;&gt;""))&gt;0,"확인필요(입력누락)",IF(SUMPRODUCT((실물목록!$P$2:$P$1001&lt;&gt;"")*ISNUMBER(SEARCH(실물목록!$P$2:$P$1001,I147))*(실물목록!$Q$2:$Q$1001&lt;&gt;"")*ISNUMBER(SEARCH(실물목록!$Q$2:$Q$1001,I147))*(실물목록!$R$2:$R$1001="")*(실물목록!$O$2:$O$1001&lt;&gt;""))&gt;0,"확인필요(연도다름)","실물 없음")))))</f>
      </c>
      <c r="G147" t="n" s="16">
        <f aca="0">IF(B147="","",SUMPRODUCT((실물목록!$P$2:$P$1001&lt;&gt;"")*ISNUMBER(SEARCH(실물목록!$P$2:$P$1001,I147))*(실물목록!$Q$2:$Q$1001&lt;&gt;"")*ISNUMBER(SEARCH(실물목록!$Q$2:$Q$1001,I147))*(실물목록!$R$2:$R$1001="")*(실물목록!$O$2:$O$1001&lt;&gt;"")*(실물목록!$O$2:$O$1001=H147)))</f>
      </c>
      <c r="H147" t="str">
        <f>IFERROR(IF(AND(LEN(SUBSTITUTE(SUBSTITUTE(SUBSTITUTE(TRIM(A147&amp;""),CHAR(160),"")," ",""),"년",""))=4,VALUE(SUBSTITUTE(SUBSTITUTE(SUBSTITUTE(TRIM(A147&amp;""),CHAR(160),"")," ",""),"년",""))&gt;=1900,VALUE(SUBSTITUTE(SUBSTITUTE(SUBSTITUTE(TRIM(A147&amp;""),CHAR(160),"")," ",""),"년",""))&lt;=2099,TEXT(VALUE(SUBSTITUTE(SUBSTITUTE(SUBSTITUTE(TRIM(A147&amp;""),CHAR(160),"")," ",""),"년","")),"0000")=SUBSTITUTE(SUBSTITUTE(SUBSTITUTE(TRIM(A147&amp;""),CHAR(160),"")," ",""),"년","")),SUBSTITUTE(SUBSTITUTE(SUBSTITUTE(TRIM(A147&amp;""),CHAR(160),"")," ",""),"년",""),""),"")</f>
      </c>
      <c r="I147" t="str">
        <f>SUBSTITUTE(SUBSTITUTE(SUBSTITUTE(SUBSTITUTE(SUBSTITUTE(TRIM(B147&amp;""),CHAR(160),"")," ",""),"초등학교","초"),"중학교","중"),"고등학교","고")</f>
      </c>
    </row>
    <row r="148" customFormat="false" ht="15" hidden="false" customHeight="false" outlineLevel="0" collapsed="false">
      <c r="A148" s="8"/>
      <c r="B148" s="8"/>
      <c r="C148" s="8"/>
      <c r="D148" s="8"/>
      <c r="E148" s="8"/>
      <c r="F148" t="str" s="15">
        <f aca="0">IF(B148="","",IF(H148="","확인필요(입력누락)",IF(SUMPRODUCT((실물목록!$P$2:$P$1001&lt;&gt;"")*ISNUMBER(SEARCH(실물목록!$P$2:$P$1001,I148))*(실물목록!$Q$2:$Q$1001&lt;&gt;"")*ISNUMBER(SEARCH(실물목록!$Q$2:$Q$1001,I148))*(실물목록!$R$2:$R$1001="")*(실물목록!$O$2:$O$1001&lt;&gt;"")*(실물목록!$O$2:$O$1001=H148))&gt;0,"실물 있음",IF(SUMPRODUCT((실물목록!$P$2:$P$1001&lt;&gt;"")*ISNUMBER(SEARCH(실물목록!$P$2:$P$1001,I148))*(실물목록!$R$2:$R$1001&lt;&gt;""))&gt;0,"확인필요(입력누락)",IF(SUMPRODUCT((실물목록!$P$2:$P$1001&lt;&gt;"")*ISNUMBER(SEARCH(실물목록!$P$2:$P$1001,I148))*(실물목록!$Q$2:$Q$1001&lt;&gt;"")*ISNUMBER(SEARCH(실물목록!$Q$2:$Q$1001,I148))*(실물목록!$R$2:$R$1001="")*(실물목록!$O$2:$O$1001&lt;&gt;""))&gt;0,"확인필요(연도다름)","실물 없음")))))</f>
      </c>
      <c r="G148" t="n" s="16">
        <f aca="0">IF(B148="","",SUMPRODUCT((실물목록!$P$2:$P$1001&lt;&gt;"")*ISNUMBER(SEARCH(실물목록!$P$2:$P$1001,I148))*(실물목록!$Q$2:$Q$1001&lt;&gt;"")*ISNUMBER(SEARCH(실물목록!$Q$2:$Q$1001,I148))*(실물목록!$R$2:$R$1001="")*(실물목록!$O$2:$O$1001&lt;&gt;"")*(실물목록!$O$2:$O$1001=H148)))</f>
      </c>
      <c r="H148" t="str">
        <f>IFERROR(IF(AND(LEN(SUBSTITUTE(SUBSTITUTE(SUBSTITUTE(TRIM(A148&amp;""),CHAR(160),"")," ",""),"년",""))=4,VALUE(SUBSTITUTE(SUBSTITUTE(SUBSTITUTE(TRIM(A148&amp;""),CHAR(160),"")," ",""),"년",""))&gt;=1900,VALUE(SUBSTITUTE(SUBSTITUTE(SUBSTITUTE(TRIM(A148&amp;""),CHAR(160),"")," ",""),"년",""))&lt;=2099,TEXT(VALUE(SUBSTITUTE(SUBSTITUTE(SUBSTITUTE(TRIM(A148&amp;""),CHAR(160),"")," ",""),"년","")),"0000")=SUBSTITUTE(SUBSTITUTE(SUBSTITUTE(TRIM(A148&amp;""),CHAR(160),"")," ",""),"년","")),SUBSTITUTE(SUBSTITUTE(SUBSTITUTE(TRIM(A148&amp;""),CHAR(160),"")," ",""),"년",""),""),"")</f>
      </c>
      <c r="I148" t="str">
        <f>SUBSTITUTE(SUBSTITUTE(SUBSTITUTE(SUBSTITUTE(SUBSTITUTE(TRIM(B148&amp;""),CHAR(160),"")," ",""),"초등학교","초"),"중학교","중"),"고등학교","고")</f>
      </c>
    </row>
    <row r="149" customFormat="false" ht="15" hidden="false" customHeight="false" outlineLevel="0" collapsed="false">
      <c r="A149" s="8"/>
      <c r="B149" s="8"/>
      <c r="C149" s="8"/>
      <c r="D149" s="8"/>
      <c r="E149" s="8"/>
      <c r="F149" t="str" s="15">
        <f aca="0">IF(B149="","",IF(H149="","확인필요(입력누락)",IF(SUMPRODUCT((실물목록!$P$2:$P$1001&lt;&gt;"")*ISNUMBER(SEARCH(실물목록!$P$2:$P$1001,I149))*(실물목록!$Q$2:$Q$1001&lt;&gt;"")*ISNUMBER(SEARCH(실물목록!$Q$2:$Q$1001,I149))*(실물목록!$R$2:$R$1001="")*(실물목록!$O$2:$O$1001&lt;&gt;"")*(실물목록!$O$2:$O$1001=H149))&gt;0,"실물 있음",IF(SUMPRODUCT((실물목록!$P$2:$P$1001&lt;&gt;"")*ISNUMBER(SEARCH(실물목록!$P$2:$P$1001,I149))*(실물목록!$R$2:$R$1001&lt;&gt;""))&gt;0,"확인필요(입력누락)",IF(SUMPRODUCT((실물목록!$P$2:$P$1001&lt;&gt;"")*ISNUMBER(SEARCH(실물목록!$P$2:$P$1001,I149))*(실물목록!$Q$2:$Q$1001&lt;&gt;"")*ISNUMBER(SEARCH(실물목록!$Q$2:$Q$1001,I149))*(실물목록!$R$2:$R$1001="")*(실물목록!$O$2:$O$1001&lt;&gt;""))&gt;0,"확인필요(연도다름)","실물 없음")))))</f>
      </c>
      <c r="G149" t="n" s="16">
        <f aca="0">IF(B149="","",SUMPRODUCT((실물목록!$P$2:$P$1001&lt;&gt;"")*ISNUMBER(SEARCH(실물목록!$P$2:$P$1001,I149))*(실물목록!$Q$2:$Q$1001&lt;&gt;"")*ISNUMBER(SEARCH(실물목록!$Q$2:$Q$1001,I149))*(실물목록!$R$2:$R$1001="")*(실물목록!$O$2:$O$1001&lt;&gt;"")*(실물목록!$O$2:$O$1001=H149)))</f>
      </c>
      <c r="H149" t="str">
        <f>IFERROR(IF(AND(LEN(SUBSTITUTE(SUBSTITUTE(SUBSTITUTE(TRIM(A149&amp;""),CHAR(160),"")," ",""),"년",""))=4,VALUE(SUBSTITUTE(SUBSTITUTE(SUBSTITUTE(TRIM(A149&amp;""),CHAR(160),"")," ",""),"년",""))&gt;=1900,VALUE(SUBSTITUTE(SUBSTITUTE(SUBSTITUTE(TRIM(A149&amp;""),CHAR(160),"")," ",""),"년",""))&lt;=2099,TEXT(VALUE(SUBSTITUTE(SUBSTITUTE(SUBSTITUTE(TRIM(A149&amp;""),CHAR(160),"")," ",""),"년","")),"0000")=SUBSTITUTE(SUBSTITUTE(SUBSTITUTE(TRIM(A149&amp;""),CHAR(160),"")," ",""),"년","")),SUBSTITUTE(SUBSTITUTE(SUBSTITUTE(TRIM(A149&amp;""),CHAR(160),"")," ",""),"년",""),""),"")</f>
      </c>
      <c r="I149" t="str">
        <f>SUBSTITUTE(SUBSTITUTE(SUBSTITUTE(SUBSTITUTE(SUBSTITUTE(TRIM(B149&amp;""),CHAR(160),"")," ",""),"초등학교","초"),"중학교","중"),"고등학교","고")</f>
      </c>
    </row>
    <row r="150" customFormat="false" ht="15" hidden="false" customHeight="false" outlineLevel="0" collapsed="false">
      <c r="A150" s="8"/>
      <c r="B150" s="8"/>
      <c r="C150" s="8"/>
      <c r="D150" s="8"/>
      <c r="E150" s="8"/>
      <c r="F150" t="str" s="15">
        <f aca="0">IF(B150="","",IF(H150="","확인필요(입력누락)",IF(SUMPRODUCT((실물목록!$P$2:$P$1001&lt;&gt;"")*ISNUMBER(SEARCH(실물목록!$P$2:$P$1001,I150))*(실물목록!$Q$2:$Q$1001&lt;&gt;"")*ISNUMBER(SEARCH(실물목록!$Q$2:$Q$1001,I150))*(실물목록!$R$2:$R$1001="")*(실물목록!$O$2:$O$1001&lt;&gt;"")*(실물목록!$O$2:$O$1001=H150))&gt;0,"실물 있음",IF(SUMPRODUCT((실물목록!$P$2:$P$1001&lt;&gt;"")*ISNUMBER(SEARCH(실물목록!$P$2:$P$1001,I150))*(실물목록!$R$2:$R$1001&lt;&gt;""))&gt;0,"확인필요(입력누락)",IF(SUMPRODUCT((실물목록!$P$2:$P$1001&lt;&gt;"")*ISNUMBER(SEARCH(실물목록!$P$2:$P$1001,I150))*(실물목록!$Q$2:$Q$1001&lt;&gt;"")*ISNUMBER(SEARCH(실물목록!$Q$2:$Q$1001,I150))*(실물목록!$R$2:$R$1001="")*(실물목록!$O$2:$O$1001&lt;&gt;""))&gt;0,"확인필요(연도다름)","실물 없음")))))</f>
      </c>
      <c r="G150" t="n" s="16">
        <f aca="0">IF(B150="","",SUMPRODUCT((실물목록!$P$2:$P$1001&lt;&gt;"")*ISNUMBER(SEARCH(실물목록!$P$2:$P$1001,I150))*(실물목록!$Q$2:$Q$1001&lt;&gt;"")*ISNUMBER(SEARCH(실물목록!$Q$2:$Q$1001,I150))*(실물목록!$R$2:$R$1001="")*(실물목록!$O$2:$O$1001&lt;&gt;"")*(실물목록!$O$2:$O$1001=H150)))</f>
      </c>
      <c r="H150" t="str">
        <f>IFERROR(IF(AND(LEN(SUBSTITUTE(SUBSTITUTE(SUBSTITUTE(TRIM(A150&amp;""),CHAR(160),"")," ",""),"년",""))=4,VALUE(SUBSTITUTE(SUBSTITUTE(SUBSTITUTE(TRIM(A150&amp;""),CHAR(160),"")," ",""),"년",""))&gt;=1900,VALUE(SUBSTITUTE(SUBSTITUTE(SUBSTITUTE(TRIM(A150&amp;""),CHAR(160),"")," ",""),"년",""))&lt;=2099,TEXT(VALUE(SUBSTITUTE(SUBSTITUTE(SUBSTITUTE(TRIM(A150&amp;""),CHAR(160),"")," ",""),"년","")),"0000")=SUBSTITUTE(SUBSTITUTE(SUBSTITUTE(TRIM(A150&amp;""),CHAR(160),"")," ",""),"년","")),SUBSTITUTE(SUBSTITUTE(SUBSTITUTE(TRIM(A150&amp;""),CHAR(160),"")," ",""),"년",""),""),"")</f>
      </c>
      <c r="I150" t="str">
        <f>SUBSTITUTE(SUBSTITUTE(SUBSTITUTE(SUBSTITUTE(SUBSTITUTE(TRIM(B150&amp;""),CHAR(160),"")," ",""),"초등학교","초"),"중학교","중"),"고등학교","고")</f>
      </c>
    </row>
    <row r="151" customFormat="false" ht="15" hidden="false" customHeight="false" outlineLevel="0" collapsed="false">
      <c r="A151" s="8"/>
      <c r="B151" s="8"/>
      <c r="C151" s="8"/>
      <c r="D151" s="8"/>
      <c r="E151" s="8"/>
      <c r="F151" t="str" s="15">
        <f aca="0">IF(B151="","",IF(H151="","확인필요(입력누락)",IF(SUMPRODUCT((실물목록!$P$2:$P$1001&lt;&gt;"")*ISNUMBER(SEARCH(실물목록!$P$2:$P$1001,I151))*(실물목록!$Q$2:$Q$1001&lt;&gt;"")*ISNUMBER(SEARCH(실물목록!$Q$2:$Q$1001,I151))*(실물목록!$R$2:$R$1001="")*(실물목록!$O$2:$O$1001&lt;&gt;"")*(실물목록!$O$2:$O$1001=H151))&gt;0,"실물 있음",IF(SUMPRODUCT((실물목록!$P$2:$P$1001&lt;&gt;"")*ISNUMBER(SEARCH(실물목록!$P$2:$P$1001,I151))*(실물목록!$R$2:$R$1001&lt;&gt;""))&gt;0,"확인필요(입력누락)",IF(SUMPRODUCT((실물목록!$P$2:$P$1001&lt;&gt;"")*ISNUMBER(SEARCH(실물목록!$P$2:$P$1001,I151))*(실물목록!$Q$2:$Q$1001&lt;&gt;"")*ISNUMBER(SEARCH(실물목록!$Q$2:$Q$1001,I151))*(실물목록!$R$2:$R$1001="")*(실물목록!$O$2:$O$1001&lt;&gt;""))&gt;0,"확인필요(연도다름)","실물 없음")))))</f>
      </c>
      <c r="G151" t="n" s="16">
        <f aca="0">IF(B151="","",SUMPRODUCT((실물목록!$P$2:$P$1001&lt;&gt;"")*ISNUMBER(SEARCH(실물목록!$P$2:$P$1001,I151))*(실물목록!$Q$2:$Q$1001&lt;&gt;"")*ISNUMBER(SEARCH(실물목록!$Q$2:$Q$1001,I151))*(실물목록!$R$2:$R$1001="")*(실물목록!$O$2:$O$1001&lt;&gt;"")*(실물목록!$O$2:$O$1001=H151)))</f>
      </c>
      <c r="H151" t="str">
        <f>IFERROR(IF(AND(LEN(SUBSTITUTE(SUBSTITUTE(SUBSTITUTE(TRIM(A151&amp;""),CHAR(160),"")," ",""),"년",""))=4,VALUE(SUBSTITUTE(SUBSTITUTE(SUBSTITUTE(TRIM(A151&amp;""),CHAR(160),"")," ",""),"년",""))&gt;=1900,VALUE(SUBSTITUTE(SUBSTITUTE(SUBSTITUTE(TRIM(A151&amp;""),CHAR(160),"")," ",""),"년",""))&lt;=2099,TEXT(VALUE(SUBSTITUTE(SUBSTITUTE(SUBSTITUTE(TRIM(A151&amp;""),CHAR(160),"")," ",""),"년","")),"0000")=SUBSTITUTE(SUBSTITUTE(SUBSTITUTE(TRIM(A151&amp;""),CHAR(160),"")," ",""),"년","")),SUBSTITUTE(SUBSTITUTE(SUBSTITUTE(TRIM(A151&amp;""),CHAR(160),"")," ",""),"년",""),""),"")</f>
      </c>
      <c r="I151" t="str">
        <f>SUBSTITUTE(SUBSTITUTE(SUBSTITUTE(SUBSTITUTE(SUBSTITUTE(TRIM(B151&amp;""),CHAR(160),"")," ",""),"초등학교","초"),"중학교","중"),"고등학교","고")</f>
      </c>
    </row>
    <row r="152" customFormat="false" ht="15" hidden="false" customHeight="false" outlineLevel="0" collapsed="false">
      <c r="A152" s="8"/>
      <c r="B152" s="8"/>
      <c r="C152" s="8"/>
      <c r="D152" s="8"/>
      <c r="E152" s="8"/>
      <c r="F152" t="str" s="15">
        <f aca="0">IF(B152="","",IF(H152="","확인필요(입력누락)",IF(SUMPRODUCT((실물목록!$P$2:$P$1001&lt;&gt;"")*ISNUMBER(SEARCH(실물목록!$P$2:$P$1001,I152))*(실물목록!$Q$2:$Q$1001&lt;&gt;"")*ISNUMBER(SEARCH(실물목록!$Q$2:$Q$1001,I152))*(실물목록!$R$2:$R$1001="")*(실물목록!$O$2:$O$1001&lt;&gt;"")*(실물목록!$O$2:$O$1001=H152))&gt;0,"실물 있음",IF(SUMPRODUCT((실물목록!$P$2:$P$1001&lt;&gt;"")*ISNUMBER(SEARCH(실물목록!$P$2:$P$1001,I152))*(실물목록!$R$2:$R$1001&lt;&gt;""))&gt;0,"확인필요(입력누락)",IF(SUMPRODUCT((실물목록!$P$2:$P$1001&lt;&gt;"")*ISNUMBER(SEARCH(실물목록!$P$2:$P$1001,I152))*(실물목록!$Q$2:$Q$1001&lt;&gt;"")*ISNUMBER(SEARCH(실물목록!$Q$2:$Q$1001,I152))*(실물목록!$R$2:$R$1001="")*(실물목록!$O$2:$O$1001&lt;&gt;""))&gt;0,"확인필요(연도다름)","실물 없음")))))</f>
      </c>
      <c r="G152" t="n" s="16">
        <f aca="0">IF(B152="","",SUMPRODUCT((실물목록!$P$2:$P$1001&lt;&gt;"")*ISNUMBER(SEARCH(실물목록!$P$2:$P$1001,I152))*(실물목록!$Q$2:$Q$1001&lt;&gt;"")*ISNUMBER(SEARCH(실물목록!$Q$2:$Q$1001,I152))*(실물목록!$R$2:$R$1001="")*(실물목록!$O$2:$O$1001&lt;&gt;"")*(실물목록!$O$2:$O$1001=H152)))</f>
      </c>
      <c r="H152" t="str">
        <f>IFERROR(IF(AND(LEN(SUBSTITUTE(SUBSTITUTE(SUBSTITUTE(TRIM(A152&amp;""),CHAR(160),"")," ",""),"년",""))=4,VALUE(SUBSTITUTE(SUBSTITUTE(SUBSTITUTE(TRIM(A152&amp;""),CHAR(160),"")," ",""),"년",""))&gt;=1900,VALUE(SUBSTITUTE(SUBSTITUTE(SUBSTITUTE(TRIM(A152&amp;""),CHAR(160),"")," ",""),"년",""))&lt;=2099,TEXT(VALUE(SUBSTITUTE(SUBSTITUTE(SUBSTITUTE(TRIM(A152&amp;""),CHAR(160),"")," ",""),"년","")),"0000")=SUBSTITUTE(SUBSTITUTE(SUBSTITUTE(TRIM(A152&amp;""),CHAR(160),"")," ",""),"년","")),SUBSTITUTE(SUBSTITUTE(SUBSTITUTE(TRIM(A152&amp;""),CHAR(160),"")," ",""),"년",""),""),"")</f>
      </c>
      <c r="I152" t="str">
        <f>SUBSTITUTE(SUBSTITUTE(SUBSTITUTE(SUBSTITUTE(SUBSTITUTE(TRIM(B152&amp;""),CHAR(160),"")," ",""),"초등학교","초"),"중학교","중"),"고등학교","고")</f>
      </c>
    </row>
    <row r="153" customFormat="false" ht="15" hidden="false" customHeight="false" outlineLevel="0" collapsed="false">
      <c r="A153" s="8"/>
      <c r="B153" s="8"/>
      <c r="C153" s="8"/>
      <c r="D153" s="8"/>
      <c r="E153" s="8"/>
      <c r="F153" t="str" s="15">
        <f aca="0">IF(B153="","",IF(H153="","확인필요(입력누락)",IF(SUMPRODUCT((실물목록!$P$2:$P$1001&lt;&gt;"")*ISNUMBER(SEARCH(실물목록!$P$2:$P$1001,I153))*(실물목록!$Q$2:$Q$1001&lt;&gt;"")*ISNUMBER(SEARCH(실물목록!$Q$2:$Q$1001,I153))*(실물목록!$R$2:$R$1001="")*(실물목록!$O$2:$O$1001&lt;&gt;"")*(실물목록!$O$2:$O$1001=H153))&gt;0,"실물 있음",IF(SUMPRODUCT((실물목록!$P$2:$P$1001&lt;&gt;"")*ISNUMBER(SEARCH(실물목록!$P$2:$P$1001,I153))*(실물목록!$R$2:$R$1001&lt;&gt;""))&gt;0,"확인필요(입력누락)",IF(SUMPRODUCT((실물목록!$P$2:$P$1001&lt;&gt;"")*ISNUMBER(SEARCH(실물목록!$P$2:$P$1001,I153))*(실물목록!$Q$2:$Q$1001&lt;&gt;"")*ISNUMBER(SEARCH(실물목록!$Q$2:$Q$1001,I153))*(실물목록!$R$2:$R$1001="")*(실물목록!$O$2:$O$1001&lt;&gt;""))&gt;0,"확인필요(연도다름)","실물 없음")))))</f>
      </c>
      <c r="G153" t="n" s="16">
        <f aca="0">IF(B153="","",SUMPRODUCT((실물목록!$P$2:$P$1001&lt;&gt;"")*ISNUMBER(SEARCH(실물목록!$P$2:$P$1001,I153))*(실물목록!$Q$2:$Q$1001&lt;&gt;"")*ISNUMBER(SEARCH(실물목록!$Q$2:$Q$1001,I153))*(실물목록!$R$2:$R$1001="")*(실물목록!$O$2:$O$1001&lt;&gt;"")*(실물목록!$O$2:$O$1001=H153)))</f>
      </c>
      <c r="H153" t="str">
        <f>IFERROR(IF(AND(LEN(SUBSTITUTE(SUBSTITUTE(SUBSTITUTE(TRIM(A153&amp;""),CHAR(160),"")," ",""),"년",""))=4,VALUE(SUBSTITUTE(SUBSTITUTE(SUBSTITUTE(TRIM(A153&amp;""),CHAR(160),"")," ",""),"년",""))&gt;=1900,VALUE(SUBSTITUTE(SUBSTITUTE(SUBSTITUTE(TRIM(A153&amp;""),CHAR(160),"")," ",""),"년",""))&lt;=2099,TEXT(VALUE(SUBSTITUTE(SUBSTITUTE(SUBSTITUTE(TRIM(A153&amp;""),CHAR(160),"")," ",""),"년","")),"0000")=SUBSTITUTE(SUBSTITUTE(SUBSTITUTE(TRIM(A153&amp;""),CHAR(160),"")," ",""),"년","")),SUBSTITUTE(SUBSTITUTE(SUBSTITUTE(TRIM(A153&amp;""),CHAR(160),"")," ",""),"년",""),""),"")</f>
      </c>
      <c r="I153" t="str">
        <f>SUBSTITUTE(SUBSTITUTE(SUBSTITUTE(SUBSTITUTE(SUBSTITUTE(TRIM(B153&amp;""),CHAR(160),"")," ",""),"초등학교","초"),"중학교","중"),"고등학교","고")</f>
      </c>
    </row>
    <row r="154" customFormat="false" ht="15" hidden="false" customHeight="false" outlineLevel="0" collapsed="false">
      <c r="A154" s="8"/>
      <c r="B154" s="8"/>
      <c r="C154" s="8"/>
      <c r="D154" s="8"/>
      <c r="E154" s="8"/>
      <c r="F154" t="str" s="15">
        <f aca="0">IF(B154="","",IF(H154="","확인필요(입력누락)",IF(SUMPRODUCT((실물목록!$P$2:$P$1001&lt;&gt;"")*ISNUMBER(SEARCH(실물목록!$P$2:$P$1001,I154))*(실물목록!$Q$2:$Q$1001&lt;&gt;"")*ISNUMBER(SEARCH(실물목록!$Q$2:$Q$1001,I154))*(실물목록!$R$2:$R$1001="")*(실물목록!$O$2:$O$1001&lt;&gt;"")*(실물목록!$O$2:$O$1001=H154))&gt;0,"실물 있음",IF(SUMPRODUCT((실물목록!$P$2:$P$1001&lt;&gt;"")*ISNUMBER(SEARCH(실물목록!$P$2:$P$1001,I154))*(실물목록!$R$2:$R$1001&lt;&gt;""))&gt;0,"확인필요(입력누락)",IF(SUMPRODUCT((실물목록!$P$2:$P$1001&lt;&gt;"")*ISNUMBER(SEARCH(실물목록!$P$2:$P$1001,I154))*(실물목록!$Q$2:$Q$1001&lt;&gt;"")*ISNUMBER(SEARCH(실물목록!$Q$2:$Q$1001,I154))*(실물목록!$R$2:$R$1001="")*(실물목록!$O$2:$O$1001&lt;&gt;""))&gt;0,"확인필요(연도다름)","실물 없음")))))</f>
      </c>
      <c r="G154" t="n" s="16">
        <f aca="0">IF(B154="","",SUMPRODUCT((실물목록!$P$2:$P$1001&lt;&gt;"")*ISNUMBER(SEARCH(실물목록!$P$2:$P$1001,I154))*(실물목록!$Q$2:$Q$1001&lt;&gt;"")*ISNUMBER(SEARCH(실물목록!$Q$2:$Q$1001,I154))*(실물목록!$R$2:$R$1001="")*(실물목록!$O$2:$O$1001&lt;&gt;"")*(실물목록!$O$2:$O$1001=H154)))</f>
      </c>
      <c r="H154" t="str">
        <f>IFERROR(IF(AND(LEN(SUBSTITUTE(SUBSTITUTE(SUBSTITUTE(TRIM(A154&amp;""),CHAR(160),"")," ",""),"년",""))=4,VALUE(SUBSTITUTE(SUBSTITUTE(SUBSTITUTE(TRIM(A154&amp;""),CHAR(160),"")," ",""),"년",""))&gt;=1900,VALUE(SUBSTITUTE(SUBSTITUTE(SUBSTITUTE(TRIM(A154&amp;""),CHAR(160),"")," ",""),"년",""))&lt;=2099,TEXT(VALUE(SUBSTITUTE(SUBSTITUTE(SUBSTITUTE(TRIM(A154&amp;""),CHAR(160),"")," ",""),"년","")),"0000")=SUBSTITUTE(SUBSTITUTE(SUBSTITUTE(TRIM(A154&amp;""),CHAR(160),"")," ",""),"년","")),SUBSTITUTE(SUBSTITUTE(SUBSTITUTE(TRIM(A154&amp;""),CHAR(160),"")," ",""),"년",""),""),"")</f>
      </c>
      <c r="I154" t="str">
        <f>SUBSTITUTE(SUBSTITUTE(SUBSTITUTE(SUBSTITUTE(SUBSTITUTE(TRIM(B154&amp;""),CHAR(160),"")," ",""),"초등학교","초"),"중학교","중"),"고등학교","고")</f>
      </c>
    </row>
    <row r="155" customFormat="false" ht="15" hidden="false" customHeight="false" outlineLevel="0" collapsed="false">
      <c r="A155" s="8"/>
      <c r="B155" s="8"/>
      <c r="C155" s="8"/>
      <c r="D155" s="8"/>
      <c r="E155" s="8"/>
      <c r="F155" t="str" s="15">
        <f aca="0">IF(B155="","",IF(H155="","확인필요(입력누락)",IF(SUMPRODUCT((실물목록!$P$2:$P$1001&lt;&gt;"")*ISNUMBER(SEARCH(실물목록!$P$2:$P$1001,I155))*(실물목록!$Q$2:$Q$1001&lt;&gt;"")*ISNUMBER(SEARCH(실물목록!$Q$2:$Q$1001,I155))*(실물목록!$R$2:$R$1001="")*(실물목록!$O$2:$O$1001&lt;&gt;"")*(실물목록!$O$2:$O$1001=H155))&gt;0,"실물 있음",IF(SUMPRODUCT((실물목록!$P$2:$P$1001&lt;&gt;"")*ISNUMBER(SEARCH(실물목록!$P$2:$P$1001,I155))*(실물목록!$R$2:$R$1001&lt;&gt;""))&gt;0,"확인필요(입력누락)",IF(SUMPRODUCT((실물목록!$P$2:$P$1001&lt;&gt;"")*ISNUMBER(SEARCH(실물목록!$P$2:$P$1001,I155))*(실물목록!$Q$2:$Q$1001&lt;&gt;"")*ISNUMBER(SEARCH(실물목록!$Q$2:$Q$1001,I155))*(실물목록!$R$2:$R$1001="")*(실물목록!$O$2:$O$1001&lt;&gt;""))&gt;0,"확인필요(연도다름)","실물 없음")))))</f>
      </c>
      <c r="G155" t="n" s="16">
        <f aca="0">IF(B155="","",SUMPRODUCT((실물목록!$P$2:$P$1001&lt;&gt;"")*ISNUMBER(SEARCH(실물목록!$P$2:$P$1001,I155))*(실물목록!$Q$2:$Q$1001&lt;&gt;"")*ISNUMBER(SEARCH(실물목록!$Q$2:$Q$1001,I155))*(실물목록!$R$2:$R$1001="")*(실물목록!$O$2:$O$1001&lt;&gt;"")*(실물목록!$O$2:$O$1001=H155)))</f>
      </c>
      <c r="H155" t="str">
        <f>IFERROR(IF(AND(LEN(SUBSTITUTE(SUBSTITUTE(SUBSTITUTE(TRIM(A155&amp;""),CHAR(160),"")," ",""),"년",""))=4,VALUE(SUBSTITUTE(SUBSTITUTE(SUBSTITUTE(TRIM(A155&amp;""),CHAR(160),"")," ",""),"년",""))&gt;=1900,VALUE(SUBSTITUTE(SUBSTITUTE(SUBSTITUTE(TRIM(A155&amp;""),CHAR(160),"")," ",""),"년",""))&lt;=2099,TEXT(VALUE(SUBSTITUTE(SUBSTITUTE(SUBSTITUTE(TRIM(A155&amp;""),CHAR(160),"")," ",""),"년","")),"0000")=SUBSTITUTE(SUBSTITUTE(SUBSTITUTE(TRIM(A155&amp;""),CHAR(160),"")," ",""),"년","")),SUBSTITUTE(SUBSTITUTE(SUBSTITUTE(TRIM(A155&amp;""),CHAR(160),"")," ",""),"년",""),""),"")</f>
      </c>
      <c r="I155" t="str">
        <f>SUBSTITUTE(SUBSTITUTE(SUBSTITUTE(SUBSTITUTE(SUBSTITUTE(TRIM(B155&amp;""),CHAR(160),"")," ",""),"초등학교","초"),"중학교","중"),"고등학교","고")</f>
      </c>
    </row>
    <row r="156" customFormat="false" ht="15" hidden="false" customHeight="false" outlineLevel="0" collapsed="false">
      <c r="A156" s="8"/>
      <c r="B156" s="8"/>
      <c r="C156" s="8"/>
      <c r="D156" s="8"/>
      <c r="E156" s="8"/>
      <c r="F156" t="str" s="15">
        <f aca="0">IF(B156="","",IF(H156="","확인필요(입력누락)",IF(SUMPRODUCT((실물목록!$P$2:$P$1001&lt;&gt;"")*ISNUMBER(SEARCH(실물목록!$P$2:$P$1001,I156))*(실물목록!$Q$2:$Q$1001&lt;&gt;"")*ISNUMBER(SEARCH(실물목록!$Q$2:$Q$1001,I156))*(실물목록!$R$2:$R$1001="")*(실물목록!$O$2:$O$1001&lt;&gt;"")*(실물목록!$O$2:$O$1001=H156))&gt;0,"실물 있음",IF(SUMPRODUCT((실물목록!$P$2:$P$1001&lt;&gt;"")*ISNUMBER(SEARCH(실물목록!$P$2:$P$1001,I156))*(실물목록!$R$2:$R$1001&lt;&gt;""))&gt;0,"확인필요(입력누락)",IF(SUMPRODUCT((실물목록!$P$2:$P$1001&lt;&gt;"")*ISNUMBER(SEARCH(실물목록!$P$2:$P$1001,I156))*(실물목록!$Q$2:$Q$1001&lt;&gt;"")*ISNUMBER(SEARCH(실물목록!$Q$2:$Q$1001,I156))*(실물목록!$R$2:$R$1001="")*(실물목록!$O$2:$O$1001&lt;&gt;""))&gt;0,"확인필요(연도다름)","실물 없음")))))</f>
      </c>
      <c r="G156" t="n" s="16">
        <f aca="0">IF(B156="","",SUMPRODUCT((실물목록!$P$2:$P$1001&lt;&gt;"")*ISNUMBER(SEARCH(실물목록!$P$2:$P$1001,I156))*(실물목록!$Q$2:$Q$1001&lt;&gt;"")*ISNUMBER(SEARCH(실물목록!$Q$2:$Q$1001,I156))*(실물목록!$R$2:$R$1001="")*(실물목록!$O$2:$O$1001&lt;&gt;"")*(실물목록!$O$2:$O$1001=H156)))</f>
      </c>
      <c r="H156" t="str">
        <f>IFERROR(IF(AND(LEN(SUBSTITUTE(SUBSTITUTE(SUBSTITUTE(TRIM(A156&amp;""),CHAR(160),"")," ",""),"년",""))=4,VALUE(SUBSTITUTE(SUBSTITUTE(SUBSTITUTE(TRIM(A156&amp;""),CHAR(160),"")," ",""),"년",""))&gt;=1900,VALUE(SUBSTITUTE(SUBSTITUTE(SUBSTITUTE(TRIM(A156&amp;""),CHAR(160),"")," ",""),"년",""))&lt;=2099,TEXT(VALUE(SUBSTITUTE(SUBSTITUTE(SUBSTITUTE(TRIM(A156&amp;""),CHAR(160),"")," ",""),"년","")),"0000")=SUBSTITUTE(SUBSTITUTE(SUBSTITUTE(TRIM(A156&amp;""),CHAR(160),"")," ",""),"년","")),SUBSTITUTE(SUBSTITUTE(SUBSTITUTE(TRIM(A156&amp;""),CHAR(160),"")," ",""),"년",""),""),"")</f>
      </c>
      <c r="I156" t="str">
        <f>SUBSTITUTE(SUBSTITUTE(SUBSTITUTE(SUBSTITUTE(SUBSTITUTE(TRIM(B156&amp;""),CHAR(160),"")," ",""),"초등학교","초"),"중학교","중"),"고등학교","고")</f>
      </c>
    </row>
    <row r="157" customFormat="false" ht="15" hidden="false" customHeight="false" outlineLevel="0" collapsed="false">
      <c r="A157" s="8"/>
      <c r="B157" s="8"/>
      <c r="C157" s="8"/>
      <c r="D157" s="8"/>
      <c r="E157" s="8"/>
      <c r="F157" t="str" s="15">
        <f aca="0">IF(B157="","",IF(H157="","확인필요(입력누락)",IF(SUMPRODUCT((실물목록!$P$2:$P$1001&lt;&gt;"")*ISNUMBER(SEARCH(실물목록!$P$2:$P$1001,I157))*(실물목록!$Q$2:$Q$1001&lt;&gt;"")*ISNUMBER(SEARCH(실물목록!$Q$2:$Q$1001,I157))*(실물목록!$R$2:$R$1001="")*(실물목록!$O$2:$O$1001&lt;&gt;"")*(실물목록!$O$2:$O$1001=H157))&gt;0,"실물 있음",IF(SUMPRODUCT((실물목록!$P$2:$P$1001&lt;&gt;"")*ISNUMBER(SEARCH(실물목록!$P$2:$P$1001,I157))*(실물목록!$R$2:$R$1001&lt;&gt;""))&gt;0,"확인필요(입력누락)",IF(SUMPRODUCT((실물목록!$P$2:$P$1001&lt;&gt;"")*ISNUMBER(SEARCH(실물목록!$P$2:$P$1001,I157))*(실물목록!$Q$2:$Q$1001&lt;&gt;"")*ISNUMBER(SEARCH(실물목록!$Q$2:$Q$1001,I157))*(실물목록!$R$2:$R$1001="")*(실물목록!$O$2:$O$1001&lt;&gt;""))&gt;0,"확인필요(연도다름)","실물 없음")))))</f>
      </c>
      <c r="G157" t="n" s="16">
        <f aca="0">IF(B157="","",SUMPRODUCT((실물목록!$P$2:$P$1001&lt;&gt;"")*ISNUMBER(SEARCH(실물목록!$P$2:$P$1001,I157))*(실물목록!$Q$2:$Q$1001&lt;&gt;"")*ISNUMBER(SEARCH(실물목록!$Q$2:$Q$1001,I157))*(실물목록!$R$2:$R$1001="")*(실물목록!$O$2:$O$1001&lt;&gt;"")*(실물목록!$O$2:$O$1001=H157)))</f>
      </c>
      <c r="H157" t="str">
        <f>IFERROR(IF(AND(LEN(SUBSTITUTE(SUBSTITUTE(SUBSTITUTE(TRIM(A157&amp;""),CHAR(160),"")," ",""),"년",""))=4,VALUE(SUBSTITUTE(SUBSTITUTE(SUBSTITUTE(TRIM(A157&amp;""),CHAR(160),"")," ",""),"년",""))&gt;=1900,VALUE(SUBSTITUTE(SUBSTITUTE(SUBSTITUTE(TRIM(A157&amp;""),CHAR(160),"")," ",""),"년",""))&lt;=2099,TEXT(VALUE(SUBSTITUTE(SUBSTITUTE(SUBSTITUTE(TRIM(A157&amp;""),CHAR(160),"")," ",""),"년","")),"0000")=SUBSTITUTE(SUBSTITUTE(SUBSTITUTE(TRIM(A157&amp;""),CHAR(160),"")," ",""),"년","")),SUBSTITUTE(SUBSTITUTE(SUBSTITUTE(TRIM(A157&amp;""),CHAR(160),"")," ",""),"년",""),""),"")</f>
      </c>
      <c r="I157" t="str">
        <f>SUBSTITUTE(SUBSTITUTE(SUBSTITUTE(SUBSTITUTE(SUBSTITUTE(TRIM(B157&amp;""),CHAR(160),"")," ",""),"초등학교","초"),"중학교","중"),"고등학교","고")</f>
      </c>
    </row>
    <row r="158" customFormat="false" ht="15" hidden="false" customHeight="false" outlineLevel="0" collapsed="false">
      <c r="A158" s="8"/>
      <c r="B158" s="8"/>
      <c r="C158" s="8"/>
      <c r="D158" s="8"/>
      <c r="E158" s="8"/>
      <c r="F158" t="str" s="15">
        <f aca="0">IF(B158="","",IF(H158="","확인필요(입력누락)",IF(SUMPRODUCT((실물목록!$P$2:$P$1001&lt;&gt;"")*ISNUMBER(SEARCH(실물목록!$P$2:$P$1001,I158))*(실물목록!$Q$2:$Q$1001&lt;&gt;"")*ISNUMBER(SEARCH(실물목록!$Q$2:$Q$1001,I158))*(실물목록!$R$2:$R$1001="")*(실물목록!$O$2:$O$1001&lt;&gt;"")*(실물목록!$O$2:$O$1001=H158))&gt;0,"실물 있음",IF(SUMPRODUCT((실물목록!$P$2:$P$1001&lt;&gt;"")*ISNUMBER(SEARCH(실물목록!$P$2:$P$1001,I158))*(실물목록!$R$2:$R$1001&lt;&gt;""))&gt;0,"확인필요(입력누락)",IF(SUMPRODUCT((실물목록!$P$2:$P$1001&lt;&gt;"")*ISNUMBER(SEARCH(실물목록!$P$2:$P$1001,I158))*(실물목록!$Q$2:$Q$1001&lt;&gt;"")*ISNUMBER(SEARCH(실물목록!$Q$2:$Q$1001,I158))*(실물목록!$R$2:$R$1001="")*(실물목록!$O$2:$O$1001&lt;&gt;""))&gt;0,"확인필요(연도다름)","실물 없음")))))</f>
      </c>
      <c r="G158" t="n" s="16">
        <f aca="0">IF(B158="","",SUMPRODUCT((실물목록!$P$2:$P$1001&lt;&gt;"")*ISNUMBER(SEARCH(실물목록!$P$2:$P$1001,I158))*(실물목록!$Q$2:$Q$1001&lt;&gt;"")*ISNUMBER(SEARCH(실물목록!$Q$2:$Q$1001,I158))*(실물목록!$R$2:$R$1001="")*(실물목록!$O$2:$O$1001&lt;&gt;"")*(실물목록!$O$2:$O$1001=H158)))</f>
      </c>
      <c r="H158" t="str">
        <f>IFERROR(IF(AND(LEN(SUBSTITUTE(SUBSTITUTE(SUBSTITUTE(TRIM(A158&amp;""),CHAR(160),"")," ",""),"년",""))=4,VALUE(SUBSTITUTE(SUBSTITUTE(SUBSTITUTE(TRIM(A158&amp;""),CHAR(160),"")," ",""),"년",""))&gt;=1900,VALUE(SUBSTITUTE(SUBSTITUTE(SUBSTITUTE(TRIM(A158&amp;""),CHAR(160),"")," ",""),"년",""))&lt;=2099,TEXT(VALUE(SUBSTITUTE(SUBSTITUTE(SUBSTITUTE(TRIM(A158&amp;""),CHAR(160),"")," ",""),"년","")),"0000")=SUBSTITUTE(SUBSTITUTE(SUBSTITUTE(TRIM(A158&amp;""),CHAR(160),"")," ",""),"년","")),SUBSTITUTE(SUBSTITUTE(SUBSTITUTE(TRIM(A158&amp;""),CHAR(160),"")," ",""),"년",""),""),"")</f>
      </c>
      <c r="I158" t="str">
        <f>SUBSTITUTE(SUBSTITUTE(SUBSTITUTE(SUBSTITUTE(SUBSTITUTE(TRIM(B158&amp;""),CHAR(160),"")," ",""),"초등학교","초"),"중학교","중"),"고등학교","고")</f>
      </c>
    </row>
    <row r="159" customFormat="false" ht="15" hidden="false" customHeight="false" outlineLevel="0" collapsed="false">
      <c r="A159" s="8"/>
      <c r="B159" s="8"/>
      <c r="C159" s="8"/>
      <c r="D159" s="8"/>
      <c r="E159" s="8"/>
      <c r="F159" t="str" s="15">
        <f aca="0">IF(B159="","",IF(H159="","확인필요(입력누락)",IF(SUMPRODUCT((실물목록!$P$2:$P$1001&lt;&gt;"")*ISNUMBER(SEARCH(실물목록!$P$2:$P$1001,I159))*(실물목록!$Q$2:$Q$1001&lt;&gt;"")*ISNUMBER(SEARCH(실물목록!$Q$2:$Q$1001,I159))*(실물목록!$R$2:$R$1001="")*(실물목록!$O$2:$O$1001&lt;&gt;"")*(실물목록!$O$2:$O$1001=H159))&gt;0,"실물 있음",IF(SUMPRODUCT((실물목록!$P$2:$P$1001&lt;&gt;"")*ISNUMBER(SEARCH(실물목록!$P$2:$P$1001,I159))*(실물목록!$R$2:$R$1001&lt;&gt;""))&gt;0,"확인필요(입력누락)",IF(SUMPRODUCT((실물목록!$P$2:$P$1001&lt;&gt;"")*ISNUMBER(SEARCH(실물목록!$P$2:$P$1001,I159))*(실물목록!$Q$2:$Q$1001&lt;&gt;"")*ISNUMBER(SEARCH(실물목록!$Q$2:$Q$1001,I159))*(실물목록!$R$2:$R$1001="")*(실물목록!$O$2:$O$1001&lt;&gt;""))&gt;0,"확인필요(연도다름)","실물 없음")))))</f>
      </c>
      <c r="G159" t="n" s="16">
        <f aca="0">IF(B159="","",SUMPRODUCT((실물목록!$P$2:$P$1001&lt;&gt;"")*ISNUMBER(SEARCH(실물목록!$P$2:$P$1001,I159))*(실물목록!$Q$2:$Q$1001&lt;&gt;"")*ISNUMBER(SEARCH(실물목록!$Q$2:$Q$1001,I159))*(실물목록!$R$2:$R$1001="")*(실물목록!$O$2:$O$1001&lt;&gt;"")*(실물목록!$O$2:$O$1001=H159)))</f>
      </c>
      <c r="H159" t="str">
        <f>IFERROR(IF(AND(LEN(SUBSTITUTE(SUBSTITUTE(SUBSTITUTE(TRIM(A159&amp;""),CHAR(160),"")," ",""),"년",""))=4,VALUE(SUBSTITUTE(SUBSTITUTE(SUBSTITUTE(TRIM(A159&amp;""),CHAR(160),"")," ",""),"년",""))&gt;=1900,VALUE(SUBSTITUTE(SUBSTITUTE(SUBSTITUTE(TRIM(A159&amp;""),CHAR(160),"")," ",""),"년",""))&lt;=2099,TEXT(VALUE(SUBSTITUTE(SUBSTITUTE(SUBSTITUTE(TRIM(A159&amp;""),CHAR(160),"")," ",""),"년","")),"0000")=SUBSTITUTE(SUBSTITUTE(SUBSTITUTE(TRIM(A159&amp;""),CHAR(160),"")," ",""),"년","")),SUBSTITUTE(SUBSTITUTE(SUBSTITUTE(TRIM(A159&amp;""),CHAR(160),"")," ",""),"년",""),""),"")</f>
      </c>
      <c r="I159" t="str">
        <f>SUBSTITUTE(SUBSTITUTE(SUBSTITUTE(SUBSTITUTE(SUBSTITUTE(TRIM(B159&amp;""),CHAR(160),"")," ",""),"초등학교","초"),"중학교","중"),"고등학교","고")</f>
      </c>
    </row>
    <row r="160" customFormat="false" ht="15" hidden="false" customHeight="false" outlineLevel="0" collapsed="false">
      <c r="A160" s="8"/>
      <c r="B160" s="8"/>
      <c r="C160" s="8"/>
      <c r="D160" s="8"/>
      <c r="E160" s="8"/>
      <c r="F160" t="str" s="15">
        <f aca="0">IF(B160="","",IF(H160="","확인필요(입력누락)",IF(SUMPRODUCT((실물목록!$P$2:$P$1001&lt;&gt;"")*ISNUMBER(SEARCH(실물목록!$P$2:$P$1001,I160))*(실물목록!$Q$2:$Q$1001&lt;&gt;"")*ISNUMBER(SEARCH(실물목록!$Q$2:$Q$1001,I160))*(실물목록!$R$2:$R$1001="")*(실물목록!$O$2:$O$1001&lt;&gt;"")*(실물목록!$O$2:$O$1001=H160))&gt;0,"실물 있음",IF(SUMPRODUCT((실물목록!$P$2:$P$1001&lt;&gt;"")*ISNUMBER(SEARCH(실물목록!$P$2:$P$1001,I160))*(실물목록!$R$2:$R$1001&lt;&gt;""))&gt;0,"확인필요(입력누락)",IF(SUMPRODUCT((실물목록!$P$2:$P$1001&lt;&gt;"")*ISNUMBER(SEARCH(실물목록!$P$2:$P$1001,I160))*(실물목록!$Q$2:$Q$1001&lt;&gt;"")*ISNUMBER(SEARCH(실물목록!$Q$2:$Q$1001,I160))*(실물목록!$R$2:$R$1001="")*(실물목록!$O$2:$O$1001&lt;&gt;""))&gt;0,"확인필요(연도다름)","실물 없음")))))</f>
      </c>
      <c r="G160" t="n" s="16">
        <f aca="0">IF(B160="","",SUMPRODUCT((실물목록!$P$2:$P$1001&lt;&gt;"")*ISNUMBER(SEARCH(실물목록!$P$2:$P$1001,I160))*(실물목록!$Q$2:$Q$1001&lt;&gt;"")*ISNUMBER(SEARCH(실물목록!$Q$2:$Q$1001,I160))*(실물목록!$R$2:$R$1001="")*(실물목록!$O$2:$O$1001&lt;&gt;"")*(실물목록!$O$2:$O$1001=H160)))</f>
      </c>
      <c r="H160" t="str">
        <f>IFERROR(IF(AND(LEN(SUBSTITUTE(SUBSTITUTE(SUBSTITUTE(TRIM(A160&amp;""),CHAR(160),"")," ",""),"년",""))=4,VALUE(SUBSTITUTE(SUBSTITUTE(SUBSTITUTE(TRIM(A160&amp;""),CHAR(160),"")," ",""),"년",""))&gt;=1900,VALUE(SUBSTITUTE(SUBSTITUTE(SUBSTITUTE(TRIM(A160&amp;""),CHAR(160),"")," ",""),"년",""))&lt;=2099,TEXT(VALUE(SUBSTITUTE(SUBSTITUTE(SUBSTITUTE(TRIM(A160&amp;""),CHAR(160),"")," ",""),"년","")),"0000")=SUBSTITUTE(SUBSTITUTE(SUBSTITUTE(TRIM(A160&amp;""),CHAR(160),"")," ",""),"년","")),SUBSTITUTE(SUBSTITUTE(SUBSTITUTE(TRIM(A160&amp;""),CHAR(160),"")," ",""),"년",""),""),"")</f>
      </c>
      <c r="I160" t="str">
        <f>SUBSTITUTE(SUBSTITUTE(SUBSTITUTE(SUBSTITUTE(SUBSTITUTE(TRIM(B160&amp;""),CHAR(160),"")," ",""),"초등학교","초"),"중학교","중"),"고등학교","고")</f>
      </c>
    </row>
    <row r="161" customFormat="false" ht="15" hidden="false" customHeight="false" outlineLevel="0" collapsed="false">
      <c r="A161" s="8"/>
      <c r="B161" s="8"/>
      <c r="C161" s="8"/>
      <c r="D161" s="8"/>
      <c r="E161" s="8"/>
      <c r="F161" t="str" s="15">
        <f aca="0">IF(B161="","",IF(H161="","확인필요(입력누락)",IF(SUMPRODUCT((실물목록!$P$2:$P$1001&lt;&gt;"")*ISNUMBER(SEARCH(실물목록!$P$2:$P$1001,I161))*(실물목록!$Q$2:$Q$1001&lt;&gt;"")*ISNUMBER(SEARCH(실물목록!$Q$2:$Q$1001,I161))*(실물목록!$R$2:$R$1001="")*(실물목록!$O$2:$O$1001&lt;&gt;"")*(실물목록!$O$2:$O$1001=H161))&gt;0,"실물 있음",IF(SUMPRODUCT((실물목록!$P$2:$P$1001&lt;&gt;"")*ISNUMBER(SEARCH(실물목록!$P$2:$P$1001,I161))*(실물목록!$R$2:$R$1001&lt;&gt;""))&gt;0,"확인필요(입력누락)",IF(SUMPRODUCT((실물목록!$P$2:$P$1001&lt;&gt;"")*ISNUMBER(SEARCH(실물목록!$P$2:$P$1001,I161))*(실물목록!$Q$2:$Q$1001&lt;&gt;"")*ISNUMBER(SEARCH(실물목록!$Q$2:$Q$1001,I161))*(실물목록!$R$2:$R$1001="")*(실물목록!$O$2:$O$1001&lt;&gt;""))&gt;0,"확인필요(연도다름)","실물 없음")))))</f>
      </c>
      <c r="G161" t="n" s="16">
        <f aca="0">IF(B161="","",SUMPRODUCT((실물목록!$P$2:$P$1001&lt;&gt;"")*ISNUMBER(SEARCH(실물목록!$P$2:$P$1001,I161))*(실물목록!$Q$2:$Q$1001&lt;&gt;"")*ISNUMBER(SEARCH(실물목록!$Q$2:$Q$1001,I161))*(실물목록!$R$2:$R$1001="")*(실물목록!$O$2:$O$1001&lt;&gt;"")*(실물목록!$O$2:$O$1001=H161)))</f>
      </c>
      <c r="H161" t="str">
        <f>IFERROR(IF(AND(LEN(SUBSTITUTE(SUBSTITUTE(SUBSTITUTE(TRIM(A161&amp;""),CHAR(160),"")," ",""),"년",""))=4,VALUE(SUBSTITUTE(SUBSTITUTE(SUBSTITUTE(TRIM(A161&amp;""),CHAR(160),"")," ",""),"년",""))&gt;=1900,VALUE(SUBSTITUTE(SUBSTITUTE(SUBSTITUTE(TRIM(A161&amp;""),CHAR(160),"")," ",""),"년",""))&lt;=2099,TEXT(VALUE(SUBSTITUTE(SUBSTITUTE(SUBSTITUTE(TRIM(A161&amp;""),CHAR(160),"")," ",""),"년","")),"0000")=SUBSTITUTE(SUBSTITUTE(SUBSTITUTE(TRIM(A161&amp;""),CHAR(160),"")," ",""),"년","")),SUBSTITUTE(SUBSTITUTE(SUBSTITUTE(TRIM(A161&amp;""),CHAR(160),"")," ",""),"년",""),""),"")</f>
      </c>
      <c r="I161" t="str">
        <f>SUBSTITUTE(SUBSTITUTE(SUBSTITUTE(SUBSTITUTE(SUBSTITUTE(TRIM(B161&amp;""),CHAR(160),"")," ",""),"초등학교","초"),"중학교","중"),"고등학교","고")</f>
      </c>
    </row>
    <row r="162" customFormat="false" ht="15" hidden="false" customHeight="false" outlineLevel="0" collapsed="false">
      <c r="A162" s="8"/>
      <c r="B162" s="8"/>
      <c r="C162" s="8"/>
      <c r="D162" s="8"/>
      <c r="E162" s="8"/>
      <c r="F162" t="str" s="15">
        <f aca="0">IF(B162="","",IF(H162="","확인필요(입력누락)",IF(SUMPRODUCT((실물목록!$P$2:$P$1001&lt;&gt;"")*ISNUMBER(SEARCH(실물목록!$P$2:$P$1001,I162))*(실물목록!$Q$2:$Q$1001&lt;&gt;"")*ISNUMBER(SEARCH(실물목록!$Q$2:$Q$1001,I162))*(실물목록!$R$2:$R$1001="")*(실물목록!$O$2:$O$1001&lt;&gt;"")*(실물목록!$O$2:$O$1001=H162))&gt;0,"실물 있음",IF(SUMPRODUCT((실물목록!$P$2:$P$1001&lt;&gt;"")*ISNUMBER(SEARCH(실물목록!$P$2:$P$1001,I162))*(실물목록!$R$2:$R$1001&lt;&gt;""))&gt;0,"확인필요(입력누락)",IF(SUMPRODUCT((실물목록!$P$2:$P$1001&lt;&gt;"")*ISNUMBER(SEARCH(실물목록!$P$2:$P$1001,I162))*(실물목록!$Q$2:$Q$1001&lt;&gt;"")*ISNUMBER(SEARCH(실물목록!$Q$2:$Q$1001,I162))*(실물목록!$R$2:$R$1001="")*(실물목록!$O$2:$O$1001&lt;&gt;""))&gt;0,"확인필요(연도다름)","실물 없음")))))</f>
      </c>
      <c r="G162" t="n" s="16">
        <f aca="0">IF(B162="","",SUMPRODUCT((실물목록!$P$2:$P$1001&lt;&gt;"")*ISNUMBER(SEARCH(실물목록!$P$2:$P$1001,I162))*(실물목록!$Q$2:$Q$1001&lt;&gt;"")*ISNUMBER(SEARCH(실물목록!$Q$2:$Q$1001,I162))*(실물목록!$R$2:$R$1001="")*(실물목록!$O$2:$O$1001&lt;&gt;"")*(실물목록!$O$2:$O$1001=H162)))</f>
      </c>
      <c r="H162" t="str">
        <f>IFERROR(IF(AND(LEN(SUBSTITUTE(SUBSTITUTE(SUBSTITUTE(TRIM(A162&amp;""),CHAR(160),"")," ",""),"년",""))=4,VALUE(SUBSTITUTE(SUBSTITUTE(SUBSTITUTE(TRIM(A162&amp;""),CHAR(160),"")," ",""),"년",""))&gt;=1900,VALUE(SUBSTITUTE(SUBSTITUTE(SUBSTITUTE(TRIM(A162&amp;""),CHAR(160),"")," ",""),"년",""))&lt;=2099,TEXT(VALUE(SUBSTITUTE(SUBSTITUTE(SUBSTITUTE(TRIM(A162&amp;""),CHAR(160),"")," ",""),"년","")),"0000")=SUBSTITUTE(SUBSTITUTE(SUBSTITUTE(TRIM(A162&amp;""),CHAR(160),"")," ",""),"년","")),SUBSTITUTE(SUBSTITUTE(SUBSTITUTE(TRIM(A162&amp;""),CHAR(160),"")," ",""),"년",""),""),"")</f>
      </c>
      <c r="I162" t="str">
        <f>SUBSTITUTE(SUBSTITUTE(SUBSTITUTE(SUBSTITUTE(SUBSTITUTE(TRIM(B162&amp;""),CHAR(160),"")," ",""),"초등학교","초"),"중학교","중"),"고등학교","고")</f>
      </c>
    </row>
    <row r="163" customFormat="false" ht="15" hidden="false" customHeight="false" outlineLevel="0" collapsed="false">
      <c r="A163" s="8"/>
      <c r="B163" s="8"/>
      <c r="C163" s="8"/>
      <c r="D163" s="8"/>
      <c r="E163" s="8"/>
      <c r="F163" t="str" s="15">
        <f aca="0">IF(B163="","",IF(H163="","확인필요(입력누락)",IF(SUMPRODUCT((실물목록!$P$2:$P$1001&lt;&gt;"")*ISNUMBER(SEARCH(실물목록!$P$2:$P$1001,I163))*(실물목록!$Q$2:$Q$1001&lt;&gt;"")*ISNUMBER(SEARCH(실물목록!$Q$2:$Q$1001,I163))*(실물목록!$R$2:$R$1001="")*(실물목록!$O$2:$O$1001&lt;&gt;"")*(실물목록!$O$2:$O$1001=H163))&gt;0,"실물 있음",IF(SUMPRODUCT((실물목록!$P$2:$P$1001&lt;&gt;"")*ISNUMBER(SEARCH(실물목록!$P$2:$P$1001,I163))*(실물목록!$R$2:$R$1001&lt;&gt;""))&gt;0,"확인필요(입력누락)",IF(SUMPRODUCT((실물목록!$P$2:$P$1001&lt;&gt;"")*ISNUMBER(SEARCH(실물목록!$P$2:$P$1001,I163))*(실물목록!$Q$2:$Q$1001&lt;&gt;"")*ISNUMBER(SEARCH(실물목록!$Q$2:$Q$1001,I163))*(실물목록!$R$2:$R$1001="")*(실물목록!$O$2:$O$1001&lt;&gt;""))&gt;0,"확인필요(연도다름)","실물 없음")))))</f>
      </c>
      <c r="G163" t="n" s="16">
        <f aca="0">IF(B163="","",SUMPRODUCT((실물목록!$P$2:$P$1001&lt;&gt;"")*ISNUMBER(SEARCH(실물목록!$P$2:$P$1001,I163))*(실물목록!$Q$2:$Q$1001&lt;&gt;"")*ISNUMBER(SEARCH(실물목록!$Q$2:$Q$1001,I163))*(실물목록!$R$2:$R$1001="")*(실물목록!$O$2:$O$1001&lt;&gt;"")*(실물목록!$O$2:$O$1001=H163)))</f>
      </c>
      <c r="H163" t="str">
        <f>IFERROR(IF(AND(LEN(SUBSTITUTE(SUBSTITUTE(SUBSTITUTE(TRIM(A163&amp;""),CHAR(160),"")," ",""),"년",""))=4,VALUE(SUBSTITUTE(SUBSTITUTE(SUBSTITUTE(TRIM(A163&amp;""),CHAR(160),"")," ",""),"년",""))&gt;=1900,VALUE(SUBSTITUTE(SUBSTITUTE(SUBSTITUTE(TRIM(A163&amp;""),CHAR(160),"")," ",""),"년",""))&lt;=2099,TEXT(VALUE(SUBSTITUTE(SUBSTITUTE(SUBSTITUTE(TRIM(A163&amp;""),CHAR(160),"")," ",""),"년","")),"0000")=SUBSTITUTE(SUBSTITUTE(SUBSTITUTE(TRIM(A163&amp;""),CHAR(160),"")," ",""),"년","")),SUBSTITUTE(SUBSTITUTE(SUBSTITUTE(TRIM(A163&amp;""),CHAR(160),"")," ",""),"년",""),""),"")</f>
      </c>
      <c r="I163" t="str">
        <f>SUBSTITUTE(SUBSTITUTE(SUBSTITUTE(SUBSTITUTE(SUBSTITUTE(TRIM(B163&amp;""),CHAR(160),"")," ",""),"초등학교","초"),"중학교","중"),"고등학교","고")</f>
      </c>
    </row>
    <row r="164" customFormat="false" ht="15" hidden="false" customHeight="false" outlineLevel="0" collapsed="false">
      <c r="A164" s="8"/>
      <c r="B164" s="8"/>
      <c r="C164" s="8"/>
      <c r="D164" s="8"/>
      <c r="E164" s="8"/>
      <c r="F164" t="str" s="15">
        <f aca="0">IF(B164="","",IF(H164="","확인필요(입력누락)",IF(SUMPRODUCT((실물목록!$P$2:$P$1001&lt;&gt;"")*ISNUMBER(SEARCH(실물목록!$P$2:$P$1001,I164))*(실물목록!$Q$2:$Q$1001&lt;&gt;"")*ISNUMBER(SEARCH(실물목록!$Q$2:$Q$1001,I164))*(실물목록!$R$2:$R$1001="")*(실물목록!$O$2:$O$1001&lt;&gt;"")*(실물목록!$O$2:$O$1001=H164))&gt;0,"실물 있음",IF(SUMPRODUCT((실물목록!$P$2:$P$1001&lt;&gt;"")*ISNUMBER(SEARCH(실물목록!$P$2:$P$1001,I164))*(실물목록!$R$2:$R$1001&lt;&gt;""))&gt;0,"확인필요(입력누락)",IF(SUMPRODUCT((실물목록!$P$2:$P$1001&lt;&gt;"")*ISNUMBER(SEARCH(실물목록!$P$2:$P$1001,I164))*(실물목록!$Q$2:$Q$1001&lt;&gt;"")*ISNUMBER(SEARCH(실물목록!$Q$2:$Q$1001,I164))*(실물목록!$R$2:$R$1001="")*(실물목록!$O$2:$O$1001&lt;&gt;""))&gt;0,"확인필요(연도다름)","실물 없음")))))</f>
      </c>
      <c r="G164" t="n" s="16">
        <f aca="0">IF(B164="","",SUMPRODUCT((실물목록!$P$2:$P$1001&lt;&gt;"")*ISNUMBER(SEARCH(실물목록!$P$2:$P$1001,I164))*(실물목록!$Q$2:$Q$1001&lt;&gt;"")*ISNUMBER(SEARCH(실물목록!$Q$2:$Q$1001,I164))*(실물목록!$R$2:$R$1001="")*(실물목록!$O$2:$O$1001&lt;&gt;"")*(실물목록!$O$2:$O$1001=H164)))</f>
      </c>
      <c r="H164" t="str">
        <f>IFERROR(IF(AND(LEN(SUBSTITUTE(SUBSTITUTE(SUBSTITUTE(TRIM(A164&amp;""),CHAR(160),"")," ",""),"년",""))=4,VALUE(SUBSTITUTE(SUBSTITUTE(SUBSTITUTE(TRIM(A164&amp;""),CHAR(160),"")," ",""),"년",""))&gt;=1900,VALUE(SUBSTITUTE(SUBSTITUTE(SUBSTITUTE(TRIM(A164&amp;""),CHAR(160),"")," ",""),"년",""))&lt;=2099,TEXT(VALUE(SUBSTITUTE(SUBSTITUTE(SUBSTITUTE(TRIM(A164&amp;""),CHAR(160),"")," ",""),"년","")),"0000")=SUBSTITUTE(SUBSTITUTE(SUBSTITUTE(TRIM(A164&amp;""),CHAR(160),"")," ",""),"년","")),SUBSTITUTE(SUBSTITUTE(SUBSTITUTE(TRIM(A164&amp;""),CHAR(160),"")," ",""),"년",""),""),"")</f>
      </c>
      <c r="I164" t="str">
        <f>SUBSTITUTE(SUBSTITUTE(SUBSTITUTE(SUBSTITUTE(SUBSTITUTE(TRIM(B164&amp;""),CHAR(160),"")," ",""),"초등학교","초"),"중학교","중"),"고등학교","고")</f>
      </c>
    </row>
    <row r="165" customFormat="false" ht="15" hidden="false" customHeight="false" outlineLevel="0" collapsed="false">
      <c r="A165" s="8"/>
      <c r="B165" s="8"/>
      <c r="C165" s="8"/>
      <c r="D165" s="8"/>
      <c r="E165" s="8"/>
      <c r="F165" t="str" s="15">
        <f aca="0">IF(B165="","",IF(H165="","확인필요(입력누락)",IF(SUMPRODUCT((실물목록!$P$2:$P$1001&lt;&gt;"")*ISNUMBER(SEARCH(실물목록!$P$2:$P$1001,I165))*(실물목록!$Q$2:$Q$1001&lt;&gt;"")*ISNUMBER(SEARCH(실물목록!$Q$2:$Q$1001,I165))*(실물목록!$R$2:$R$1001="")*(실물목록!$O$2:$O$1001&lt;&gt;"")*(실물목록!$O$2:$O$1001=H165))&gt;0,"실물 있음",IF(SUMPRODUCT((실물목록!$P$2:$P$1001&lt;&gt;"")*ISNUMBER(SEARCH(실물목록!$P$2:$P$1001,I165))*(실물목록!$R$2:$R$1001&lt;&gt;""))&gt;0,"확인필요(입력누락)",IF(SUMPRODUCT((실물목록!$P$2:$P$1001&lt;&gt;"")*ISNUMBER(SEARCH(실물목록!$P$2:$P$1001,I165))*(실물목록!$Q$2:$Q$1001&lt;&gt;"")*ISNUMBER(SEARCH(실물목록!$Q$2:$Q$1001,I165))*(실물목록!$R$2:$R$1001="")*(실물목록!$O$2:$O$1001&lt;&gt;""))&gt;0,"확인필요(연도다름)","실물 없음")))))</f>
      </c>
      <c r="G165" t="n" s="16">
        <f aca="0">IF(B165="","",SUMPRODUCT((실물목록!$P$2:$P$1001&lt;&gt;"")*ISNUMBER(SEARCH(실물목록!$P$2:$P$1001,I165))*(실물목록!$Q$2:$Q$1001&lt;&gt;"")*ISNUMBER(SEARCH(실물목록!$Q$2:$Q$1001,I165))*(실물목록!$R$2:$R$1001="")*(실물목록!$O$2:$O$1001&lt;&gt;"")*(실물목록!$O$2:$O$1001=H165)))</f>
      </c>
      <c r="H165" t="str">
        <f>IFERROR(IF(AND(LEN(SUBSTITUTE(SUBSTITUTE(SUBSTITUTE(TRIM(A165&amp;""),CHAR(160),"")," ",""),"년",""))=4,VALUE(SUBSTITUTE(SUBSTITUTE(SUBSTITUTE(TRIM(A165&amp;""),CHAR(160),"")," ",""),"년",""))&gt;=1900,VALUE(SUBSTITUTE(SUBSTITUTE(SUBSTITUTE(TRIM(A165&amp;""),CHAR(160),"")," ",""),"년",""))&lt;=2099,TEXT(VALUE(SUBSTITUTE(SUBSTITUTE(SUBSTITUTE(TRIM(A165&amp;""),CHAR(160),"")," ",""),"년","")),"0000")=SUBSTITUTE(SUBSTITUTE(SUBSTITUTE(TRIM(A165&amp;""),CHAR(160),"")," ",""),"년","")),SUBSTITUTE(SUBSTITUTE(SUBSTITUTE(TRIM(A165&amp;""),CHAR(160),"")," ",""),"년",""),""),"")</f>
      </c>
      <c r="I165" t="str">
        <f>SUBSTITUTE(SUBSTITUTE(SUBSTITUTE(SUBSTITUTE(SUBSTITUTE(TRIM(B165&amp;""),CHAR(160),"")," ",""),"초등학교","초"),"중학교","중"),"고등학교","고")</f>
      </c>
    </row>
    <row r="166" customFormat="false" ht="15" hidden="false" customHeight="false" outlineLevel="0" collapsed="false">
      <c r="A166" s="8"/>
      <c r="B166" s="8"/>
      <c r="C166" s="8"/>
      <c r="D166" s="8"/>
      <c r="E166" s="8"/>
      <c r="F166" t="str" s="15">
        <f aca="0">IF(B166="","",IF(H166="","확인필요(입력누락)",IF(SUMPRODUCT((실물목록!$P$2:$P$1001&lt;&gt;"")*ISNUMBER(SEARCH(실물목록!$P$2:$P$1001,I166))*(실물목록!$Q$2:$Q$1001&lt;&gt;"")*ISNUMBER(SEARCH(실물목록!$Q$2:$Q$1001,I166))*(실물목록!$R$2:$R$1001="")*(실물목록!$O$2:$O$1001&lt;&gt;"")*(실물목록!$O$2:$O$1001=H166))&gt;0,"실물 있음",IF(SUMPRODUCT((실물목록!$P$2:$P$1001&lt;&gt;"")*ISNUMBER(SEARCH(실물목록!$P$2:$P$1001,I166))*(실물목록!$R$2:$R$1001&lt;&gt;""))&gt;0,"확인필요(입력누락)",IF(SUMPRODUCT((실물목록!$P$2:$P$1001&lt;&gt;"")*ISNUMBER(SEARCH(실물목록!$P$2:$P$1001,I166))*(실물목록!$Q$2:$Q$1001&lt;&gt;"")*ISNUMBER(SEARCH(실물목록!$Q$2:$Q$1001,I166))*(실물목록!$R$2:$R$1001="")*(실물목록!$O$2:$O$1001&lt;&gt;""))&gt;0,"확인필요(연도다름)","실물 없음")))))</f>
      </c>
      <c r="G166" t="n" s="16">
        <f aca="0">IF(B166="","",SUMPRODUCT((실물목록!$P$2:$P$1001&lt;&gt;"")*ISNUMBER(SEARCH(실물목록!$P$2:$P$1001,I166))*(실물목록!$Q$2:$Q$1001&lt;&gt;"")*ISNUMBER(SEARCH(실물목록!$Q$2:$Q$1001,I166))*(실물목록!$R$2:$R$1001="")*(실물목록!$O$2:$O$1001&lt;&gt;"")*(실물목록!$O$2:$O$1001=H166)))</f>
      </c>
      <c r="H166" t="str">
        <f>IFERROR(IF(AND(LEN(SUBSTITUTE(SUBSTITUTE(SUBSTITUTE(TRIM(A166&amp;""),CHAR(160),"")," ",""),"년",""))=4,VALUE(SUBSTITUTE(SUBSTITUTE(SUBSTITUTE(TRIM(A166&amp;""),CHAR(160),"")," ",""),"년",""))&gt;=1900,VALUE(SUBSTITUTE(SUBSTITUTE(SUBSTITUTE(TRIM(A166&amp;""),CHAR(160),"")," ",""),"년",""))&lt;=2099,TEXT(VALUE(SUBSTITUTE(SUBSTITUTE(SUBSTITUTE(TRIM(A166&amp;""),CHAR(160),"")," ",""),"년","")),"0000")=SUBSTITUTE(SUBSTITUTE(SUBSTITUTE(TRIM(A166&amp;""),CHAR(160),"")," ",""),"년","")),SUBSTITUTE(SUBSTITUTE(SUBSTITUTE(TRIM(A166&amp;""),CHAR(160),"")," ",""),"년",""),""),"")</f>
      </c>
      <c r="I166" t="str">
        <f>SUBSTITUTE(SUBSTITUTE(SUBSTITUTE(SUBSTITUTE(SUBSTITUTE(TRIM(B166&amp;""),CHAR(160),"")," ",""),"초등학교","초"),"중학교","중"),"고등학교","고")</f>
      </c>
    </row>
    <row r="167" customFormat="false" ht="15" hidden="false" customHeight="false" outlineLevel="0" collapsed="false">
      <c r="A167" s="8"/>
      <c r="B167" s="8"/>
      <c r="C167" s="8"/>
      <c r="D167" s="8"/>
      <c r="E167" s="8"/>
      <c r="F167" t="str" s="15">
        <f aca="0">IF(B167="","",IF(H167="","확인필요(입력누락)",IF(SUMPRODUCT((실물목록!$P$2:$P$1001&lt;&gt;"")*ISNUMBER(SEARCH(실물목록!$P$2:$P$1001,I167))*(실물목록!$Q$2:$Q$1001&lt;&gt;"")*ISNUMBER(SEARCH(실물목록!$Q$2:$Q$1001,I167))*(실물목록!$R$2:$R$1001="")*(실물목록!$O$2:$O$1001&lt;&gt;"")*(실물목록!$O$2:$O$1001=H167))&gt;0,"실물 있음",IF(SUMPRODUCT((실물목록!$P$2:$P$1001&lt;&gt;"")*ISNUMBER(SEARCH(실물목록!$P$2:$P$1001,I167))*(실물목록!$R$2:$R$1001&lt;&gt;""))&gt;0,"확인필요(입력누락)",IF(SUMPRODUCT((실물목록!$P$2:$P$1001&lt;&gt;"")*ISNUMBER(SEARCH(실물목록!$P$2:$P$1001,I167))*(실물목록!$Q$2:$Q$1001&lt;&gt;"")*ISNUMBER(SEARCH(실물목록!$Q$2:$Q$1001,I167))*(실물목록!$R$2:$R$1001="")*(실물목록!$O$2:$O$1001&lt;&gt;""))&gt;0,"확인필요(연도다름)","실물 없음")))))</f>
      </c>
      <c r="G167" t="n" s="16">
        <f aca="0">IF(B167="","",SUMPRODUCT((실물목록!$P$2:$P$1001&lt;&gt;"")*ISNUMBER(SEARCH(실물목록!$P$2:$P$1001,I167))*(실물목록!$Q$2:$Q$1001&lt;&gt;"")*ISNUMBER(SEARCH(실물목록!$Q$2:$Q$1001,I167))*(실물목록!$R$2:$R$1001="")*(실물목록!$O$2:$O$1001&lt;&gt;"")*(실물목록!$O$2:$O$1001=H167)))</f>
      </c>
      <c r="H167" t="str">
        <f>IFERROR(IF(AND(LEN(SUBSTITUTE(SUBSTITUTE(SUBSTITUTE(TRIM(A167&amp;""),CHAR(160),"")," ",""),"년",""))=4,VALUE(SUBSTITUTE(SUBSTITUTE(SUBSTITUTE(TRIM(A167&amp;""),CHAR(160),"")," ",""),"년",""))&gt;=1900,VALUE(SUBSTITUTE(SUBSTITUTE(SUBSTITUTE(TRIM(A167&amp;""),CHAR(160),"")," ",""),"년",""))&lt;=2099,TEXT(VALUE(SUBSTITUTE(SUBSTITUTE(SUBSTITUTE(TRIM(A167&amp;""),CHAR(160),"")," ",""),"년","")),"0000")=SUBSTITUTE(SUBSTITUTE(SUBSTITUTE(TRIM(A167&amp;""),CHAR(160),"")," ",""),"년","")),SUBSTITUTE(SUBSTITUTE(SUBSTITUTE(TRIM(A167&amp;""),CHAR(160),"")," ",""),"년",""),""),"")</f>
      </c>
      <c r="I167" t="str">
        <f>SUBSTITUTE(SUBSTITUTE(SUBSTITUTE(SUBSTITUTE(SUBSTITUTE(TRIM(B167&amp;""),CHAR(160),"")," ",""),"초등학교","초"),"중학교","중"),"고등학교","고")</f>
      </c>
    </row>
    <row r="168" customFormat="false" ht="15" hidden="false" customHeight="false" outlineLevel="0" collapsed="false">
      <c r="A168" s="8"/>
      <c r="B168" s="8"/>
      <c r="C168" s="8"/>
      <c r="D168" s="8"/>
      <c r="E168" s="8"/>
      <c r="F168" t="str" s="15">
        <f aca="0">IF(B168="","",IF(H168="","확인필요(입력누락)",IF(SUMPRODUCT((실물목록!$P$2:$P$1001&lt;&gt;"")*ISNUMBER(SEARCH(실물목록!$P$2:$P$1001,I168))*(실물목록!$Q$2:$Q$1001&lt;&gt;"")*ISNUMBER(SEARCH(실물목록!$Q$2:$Q$1001,I168))*(실물목록!$R$2:$R$1001="")*(실물목록!$O$2:$O$1001&lt;&gt;"")*(실물목록!$O$2:$O$1001=H168))&gt;0,"실물 있음",IF(SUMPRODUCT((실물목록!$P$2:$P$1001&lt;&gt;"")*ISNUMBER(SEARCH(실물목록!$P$2:$P$1001,I168))*(실물목록!$R$2:$R$1001&lt;&gt;""))&gt;0,"확인필요(입력누락)",IF(SUMPRODUCT((실물목록!$P$2:$P$1001&lt;&gt;"")*ISNUMBER(SEARCH(실물목록!$P$2:$P$1001,I168))*(실물목록!$Q$2:$Q$1001&lt;&gt;"")*ISNUMBER(SEARCH(실물목록!$Q$2:$Q$1001,I168))*(실물목록!$R$2:$R$1001="")*(실물목록!$O$2:$O$1001&lt;&gt;""))&gt;0,"확인필요(연도다름)","실물 없음")))))</f>
      </c>
      <c r="G168" t="n" s="16">
        <f aca="0">IF(B168="","",SUMPRODUCT((실물목록!$P$2:$P$1001&lt;&gt;"")*ISNUMBER(SEARCH(실물목록!$P$2:$P$1001,I168))*(실물목록!$Q$2:$Q$1001&lt;&gt;"")*ISNUMBER(SEARCH(실물목록!$Q$2:$Q$1001,I168))*(실물목록!$R$2:$R$1001="")*(실물목록!$O$2:$O$1001&lt;&gt;"")*(실물목록!$O$2:$O$1001=H168)))</f>
      </c>
      <c r="H168" t="str">
        <f>IFERROR(IF(AND(LEN(SUBSTITUTE(SUBSTITUTE(SUBSTITUTE(TRIM(A168&amp;""),CHAR(160),"")," ",""),"년",""))=4,VALUE(SUBSTITUTE(SUBSTITUTE(SUBSTITUTE(TRIM(A168&amp;""),CHAR(160),"")," ",""),"년",""))&gt;=1900,VALUE(SUBSTITUTE(SUBSTITUTE(SUBSTITUTE(TRIM(A168&amp;""),CHAR(160),"")," ",""),"년",""))&lt;=2099,TEXT(VALUE(SUBSTITUTE(SUBSTITUTE(SUBSTITUTE(TRIM(A168&amp;""),CHAR(160),"")," ",""),"년","")),"0000")=SUBSTITUTE(SUBSTITUTE(SUBSTITUTE(TRIM(A168&amp;""),CHAR(160),"")," ",""),"년","")),SUBSTITUTE(SUBSTITUTE(SUBSTITUTE(TRIM(A168&amp;""),CHAR(160),"")," ",""),"년",""),""),"")</f>
      </c>
      <c r="I168" t="str">
        <f>SUBSTITUTE(SUBSTITUTE(SUBSTITUTE(SUBSTITUTE(SUBSTITUTE(TRIM(B168&amp;""),CHAR(160),"")," ",""),"초등학교","초"),"중학교","중"),"고등학교","고")</f>
      </c>
    </row>
    <row r="169" customFormat="false" ht="15" hidden="false" customHeight="false" outlineLevel="0" collapsed="false">
      <c r="A169" s="8"/>
      <c r="B169" s="8"/>
      <c r="C169" s="8"/>
      <c r="D169" s="8"/>
      <c r="E169" s="8"/>
      <c r="F169" t="str" s="15">
        <f aca="0">IF(B169="","",IF(H169="","확인필요(입력누락)",IF(SUMPRODUCT((실물목록!$P$2:$P$1001&lt;&gt;"")*ISNUMBER(SEARCH(실물목록!$P$2:$P$1001,I169))*(실물목록!$Q$2:$Q$1001&lt;&gt;"")*ISNUMBER(SEARCH(실물목록!$Q$2:$Q$1001,I169))*(실물목록!$R$2:$R$1001="")*(실물목록!$O$2:$O$1001&lt;&gt;"")*(실물목록!$O$2:$O$1001=H169))&gt;0,"실물 있음",IF(SUMPRODUCT((실물목록!$P$2:$P$1001&lt;&gt;"")*ISNUMBER(SEARCH(실물목록!$P$2:$P$1001,I169))*(실물목록!$R$2:$R$1001&lt;&gt;""))&gt;0,"확인필요(입력누락)",IF(SUMPRODUCT((실물목록!$P$2:$P$1001&lt;&gt;"")*ISNUMBER(SEARCH(실물목록!$P$2:$P$1001,I169))*(실물목록!$Q$2:$Q$1001&lt;&gt;"")*ISNUMBER(SEARCH(실물목록!$Q$2:$Q$1001,I169))*(실물목록!$R$2:$R$1001="")*(실물목록!$O$2:$O$1001&lt;&gt;""))&gt;0,"확인필요(연도다름)","실물 없음")))))</f>
      </c>
      <c r="G169" t="n" s="16">
        <f aca="0">IF(B169="","",SUMPRODUCT((실물목록!$P$2:$P$1001&lt;&gt;"")*ISNUMBER(SEARCH(실물목록!$P$2:$P$1001,I169))*(실물목록!$Q$2:$Q$1001&lt;&gt;"")*ISNUMBER(SEARCH(실물목록!$Q$2:$Q$1001,I169))*(실물목록!$R$2:$R$1001="")*(실물목록!$O$2:$O$1001&lt;&gt;"")*(실물목록!$O$2:$O$1001=H169)))</f>
      </c>
      <c r="H169" t="str">
        <f>IFERROR(IF(AND(LEN(SUBSTITUTE(SUBSTITUTE(SUBSTITUTE(TRIM(A169&amp;""),CHAR(160),"")," ",""),"년",""))=4,VALUE(SUBSTITUTE(SUBSTITUTE(SUBSTITUTE(TRIM(A169&amp;""),CHAR(160),"")," ",""),"년",""))&gt;=1900,VALUE(SUBSTITUTE(SUBSTITUTE(SUBSTITUTE(TRIM(A169&amp;""),CHAR(160),"")," ",""),"년",""))&lt;=2099,TEXT(VALUE(SUBSTITUTE(SUBSTITUTE(SUBSTITUTE(TRIM(A169&amp;""),CHAR(160),"")," ",""),"년","")),"0000")=SUBSTITUTE(SUBSTITUTE(SUBSTITUTE(TRIM(A169&amp;""),CHAR(160),"")," ",""),"년","")),SUBSTITUTE(SUBSTITUTE(SUBSTITUTE(TRIM(A169&amp;""),CHAR(160),"")," ",""),"년",""),""),"")</f>
      </c>
      <c r="I169" t="str">
        <f>SUBSTITUTE(SUBSTITUTE(SUBSTITUTE(SUBSTITUTE(SUBSTITUTE(TRIM(B169&amp;""),CHAR(160),"")," ",""),"초등학교","초"),"중학교","중"),"고등학교","고")</f>
      </c>
    </row>
    <row r="170" customFormat="false" ht="15" hidden="false" customHeight="false" outlineLevel="0" collapsed="false">
      <c r="A170" s="8"/>
      <c r="B170" s="8"/>
      <c r="C170" s="8"/>
      <c r="D170" s="8"/>
      <c r="E170" s="8"/>
      <c r="F170" t="str" s="15">
        <f aca="0">IF(B170="","",IF(H170="","확인필요(입력누락)",IF(SUMPRODUCT((실물목록!$P$2:$P$1001&lt;&gt;"")*ISNUMBER(SEARCH(실물목록!$P$2:$P$1001,I170))*(실물목록!$Q$2:$Q$1001&lt;&gt;"")*ISNUMBER(SEARCH(실물목록!$Q$2:$Q$1001,I170))*(실물목록!$R$2:$R$1001="")*(실물목록!$O$2:$O$1001&lt;&gt;"")*(실물목록!$O$2:$O$1001=H170))&gt;0,"실물 있음",IF(SUMPRODUCT((실물목록!$P$2:$P$1001&lt;&gt;"")*ISNUMBER(SEARCH(실물목록!$P$2:$P$1001,I170))*(실물목록!$R$2:$R$1001&lt;&gt;""))&gt;0,"확인필요(입력누락)",IF(SUMPRODUCT((실물목록!$P$2:$P$1001&lt;&gt;"")*ISNUMBER(SEARCH(실물목록!$P$2:$P$1001,I170))*(실물목록!$Q$2:$Q$1001&lt;&gt;"")*ISNUMBER(SEARCH(실물목록!$Q$2:$Q$1001,I170))*(실물목록!$R$2:$R$1001="")*(실물목록!$O$2:$O$1001&lt;&gt;""))&gt;0,"확인필요(연도다름)","실물 없음")))))</f>
      </c>
      <c r="G170" t="n" s="16">
        <f aca="0">IF(B170="","",SUMPRODUCT((실물목록!$P$2:$P$1001&lt;&gt;"")*ISNUMBER(SEARCH(실물목록!$P$2:$P$1001,I170))*(실물목록!$Q$2:$Q$1001&lt;&gt;"")*ISNUMBER(SEARCH(실물목록!$Q$2:$Q$1001,I170))*(실물목록!$R$2:$R$1001="")*(실물목록!$O$2:$O$1001&lt;&gt;"")*(실물목록!$O$2:$O$1001=H170)))</f>
      </c>
      <c r="H170" t="str">
        <f>IFERROR(IF(AND(LEN(SUBSTITUTE(SUBSTITUTE(SUBSTITUTE(TRIM(A170&amp;""),CHAR(160),"")," ",""),"년",""))=4,VALUE(SUBSTITUTE(SUBSTITUTE(SUBSTITUTE(TRIM(A170&amp;""),CHAR(160),"")," ",""),"년",""))&gt;=1900,VALUE(SUBSTITUTE(SUBSTITUTE(SUBSTITUTE(TRIM(A170&amp;""),CHAR(160),"")," ",""),"년",""))&lt;=2099,TEXT(VALUE(SUBSTITUTE(SUBSTITUTE(SUBSTITUTE(TRIM(A170&amp;""),CHAR(160),"")," ",""),"년","")),"0000")=SUBSTITUTE(SUBSTITUTE(SUBSTITUTE(TRIM(A170&amp;""),CHAR(160),"")," ",""),"년","")),SUBSTITUTE(SUBSTITUTE(SUBSTITUTE(TRIM(A170&amp;""),CHAR(160),"")," ",""),"년",""),""),"")</f>
      </c>
      <c r="I170" t="str">
        <f>SUBSTITUTE(SUBSTITUTE(SUBSTITUTE(SUBSTITUTE(SUBSTITUTE(TRIM(B170&amp;""),CHAR(160),"")," ",""),"초등학교","초"),"중학교","중"),"고등학교","고")</f>
      </c>
    </row>
    <row r="171" customFormat="false" ht="15" hidden="false" customHeight="false" outlineLevel="0" collapsed="false">
      <c r="A171" s="8"/>
      <c r="B171" s="8"/>
      <c r="C171" s="8"/>
      <c r="D171" s="8"/>
      <c r="E171" s="8"/>
      <c r="F171" t="str" s="15">
        <f aca="0">IF(B171="","",IF(H171="","확인필요(입력누락)",IF(SUMPRODUCT((실물목록!$P$2:$P$1001&lt;&gt;"")*ISNUMBER(SEARCH(실물목록!$P$2:$P$1001,I171))*(실물목록!$Q$2:$Q$1001&lt;&gt;"")*ISNUMBER(SEARCH(실물목록!$Q$2:$Q$1001,I171))*(실물목록!$R$2:$R$1001="")*(실물목록!$O$2:$O$1001&lt;&gt;"")*(실물목록!$O$2:$O$1001=H171))&gt;0,"실물 있음",IF(SUMPRODUCT((실물목록!$P$2:$P$1001&lt;&gt;"")*ISNUMBER(SEARCH(실물목록!$P$2:$P$1001,I171))*(실물목록!$R$2:$R$1001&lt;&gt;""))&gt;0,"확인필요(입력누락)",IF(SUMPRODUCT((실물목록!$P$2:$P$1001&lt;&gt;"")*ISNUMBER(SEARCH(실물목록!$P$2:$P$1001,I171))*(실물목록!$Q$2:$Q$1001&lt;&gt;"")*ISNUMBER(SEARCH(실물목록!$Q$2:$Q$1001,I171))*(실물목록!$R$2:$R$1001="")*(실물목록!$O$2:$O$1001&lt;&gt;""))&gt;0,"확인필요(연도다름)","실물 없음")))))</f>
      </c>
      <c r="G171" t="n" s="16">
        <f aca="0">IF(B171="","",SUMPRODUCT((실물목록!$P$2:$P$1001&lt;&gt;"")*ISNUMBER(SEARCH(실물목록!$P$2:$P$1001,I171))*(실물목록!$Q$2:$Q$1001&lt;&gt;"")*ISNUMBER(SEARCH(실물목록!$Q$2:$Q$1001,I171))*(실물목록!$R$2:$R$1001="")*(실물목록!$O$2:$O$1001&lt;&gt;"")*(실물목록!$O$2:$O$1001=H171)))</f>
      </c>
      <c r="H171" t="str">
        <f>IFERROR(IF(AND(LEN(SUBSTITUTE(SUBSTITUTE(SUBSTITUTE(TRIM(A171&amp;""),CHAR(160),"")," ",""),"년",""))=4,VALUE(SUBSTITUTE(SUBSTITUTE(SUBSTITUTE(TRIM(A171&amp;""),CHAR(160),"")," ",""),"년",""))&gt;=1900,VALUE(SUBSTITUTE(SUBSTITUTE(SUBSTITUTE(TRIM(A171&amp;""),CHAR(160),"")," ",""),"년",""))&lt;=2099,TEXT(VALUE(SUBSTITUTE(SUBSTITUTE(SUBSTITUTE(TRIM(A171&amp;""),CHAR(160),"")," ",""),"년","")),"0000")=SUBSTITUTE(SUBSTITUTE(SUBSTITUTE(TRIM(A171&amp;""),CHAR(160),"")," ",""),"년","")),SUBSTITUTE(SUBSTITUTE(SUBSTITUTE(TRIM(A171&amp;""),CHAR(160),"")," ",""),"년",""),""),"")</f>
      </c>
      <c r="I171" t="str">
        <f>SUBSTITUTE(SUBSTITUTE(SUBSTITUTE(SUBSTITUTE(SUBSTITUTE(TRIM(B171&amp;""),CHAR(160),"")," ",""),"초등학교","초"),"중학교","중"),"고등학교","고")</f>
      </c>
    </row>
    <row r="172" customFormat="false" ht="15" hidden="false" customHeight="false" outlineLevel="0" collapsed="false">
      <c r="A172" s="8"/>
      <c r="B172" s="8"/>
      <c r="C172" s="8"/>
      <c r="D172" s="8"/>
      <c r="E172" s="8"/>
      <c r="F172" t="str" s="15">
        <f aca="0">IF(B172="","",IF(H172="","확인필요(입력누락)",IF(SUMPRODUCT((실물목록!$P$2:$P$1001&lt;&gt;"")*ISNUMBER(SEARCH(실물목록!$P$2:$P$1001,I172))*(실물목록!$Q$2:$Q$1001&lt;&gt;"")*ISNUMBER(SEARCH(실물목록!$Q$2:$Q$1001,I172))*(실물목록!$R$2:$R$1001="")*(실물목록!$O$2:$O$1001&lt;&gt;"")*(실물목록!$O$2:$O$1001=H172))&gt;0,"실물 있음",IF(SUMPRODUCT((실물목록!$P$2:$P$1001&lt;&gt;"")*ISNUMBER(SEARCH(실물목록!$P$2:$P$1001,I172))*(실물목록!$R$2:$R$1001&lt;&gt;""))&gt;0,"확인필요(입력누락)",IF(SUMPRODUCT((실물목록!$P$2:$P$1001&lt;&gt;"")*ISNUMBER(SEARCH(실물목록!$P$2:$P$1001,I172))*(실물목록!$Q$2:$Q$1001&lt;&gt;"")*ISNUMBER(SEARCH(실물목록!$Q$2:$Q$1001,I172))*(실물목록!$R$2:$R$1001="")*(실물목록!$O$2:$O$1001&lt;&gt;""))&gt;0,"확인필요(연도다름)","실물 없음")))))</f>
      </c>
      <c r="G172" t="n" s="16">
        <f aca="0">IF(B172="","",SUMPRODUCT((실물목록!$P$2:$P$1001&lt;&gt;"")*ISNUMBER(SEARCH(실물목록!$P$2:$P$1001,I172))*(실물목록!$Q$2:$Q$1001&lt;&gt;"")*ISNUMBER(SEARCH(실물목록!$Q$2:$Q$1001,I172))*(실물목록!$R$2:$R$1001="")*(실물목록!$O$2:$O$1001&lt;&gt;"")*(실물목록!$O$2:$O$1001=H172)))</f>
      </c>
      <c r="H172" t="str">
        <f>IFERROR(IF(AND(LEN(SUBSTITUTE(SUBSTITUTE(SUBSTITUTE(TRIM(A172&amp;""),CHAR(160),"")," ",""),"년",""))=4,VALUE(SUBSTITUTE(SUBSTITUTE(SUBSTITUTE(TRIM(A172&amp;""),CHAR(160),"")," ",""),"년",""))&gt;=1900,VALUE(SUBSTITUTE(SUBSTITUTE(SUBSTITUTE(TRIM(A172&amp;""),CHAR(160),"")," ",""),"년",""))&lt;=2099,TEXT(VALUE(SUBSTITUTE(SUBSTITUTE(SUBSTITUTE(TRIM(A172&amp;""),CHAR(160),"")," ",""),"년","")),"0000")=SUBSTITUTE(SUBSTITUTE(SUBSTITUTE(TRIM(A172&amp;""),CHAR(160),"")," ",""),"년","")),SUBSTITUTE(SUBSTITUTE(SUBSTITUTE(TRIM(A172&amp;""),CHAR(160),"")," ",""),"년",""),""),"")</f>
      </c>
      <c r="I172" t="str">
        <f>SUBSTITUTE(SUBSTITUTE(SUBSTITUTE(SUBSTITUTE(SUBSTITUTE(TRIM(B172&amp;""),CHAR(160),"")," ",""),"초등학교","초"),"중학교","중"),"고등학교","고")</f>
      </c>
    </row>
    <row r="173" customFormat="false" ht="15" hidden="false" customHeight="false" outlineLevel="0" collapsed="false">
      <c r="A173" s="8"/>
      <c r="B173" s="8"/>
      <c r="C173" s="8"/>
      <c r="D173" s="8"/>
      <c r="E173" s="8"/>
      <c r="F173" t="str" s="15">
        <f aca="0">IF(B173="","",IF(H173="","확인필요(입력누락)",IF(SUMPRODUCT((실물목록!$P$2:$P$1001&lt;&gt;"")*ISNUMBER(SEARCH(실물목록!$P$2:$P$1001,I173))*(실물목록!$Q$2:$Q$1001&lt;&gt;"")*ISNUMBER(SEARCH(실물목록!$Q$2:$Q$1001,I173))*(실물목록!$R$2:$R$1001="")*(실물목록!$O$2:$O$1001&lt;&gt;"")*(실물목록!$O$2:$O$1001=H173))&gt;0,"실물 있음",IF(SUMPRODUCT((실물목록!$P$2:$P$1001&lt;&gt;"")*ISNUMBER(SEARCH(실물목록!$P$2:$P$1001,I173))*(실물목록!$R$2:$R$1001&lt;&gt;""))&gt;0,"확인필요(입력누락)",IF(SUMPRODUCT((실물목록!$P$2:$P$1001&lt;&gt;"")*ISNUMBER(SEARCH(실물목록!$P$2:$P$1001,I173))*(실물목록!$Q$2:$Q$1001&lt;&gt;"")*ISNUMBER(SEARCH(실물목록!$Q$2:$Q$1001,I173))*(실물목록!$R$2:$R$1001="")*(실물목록!$O$2:$O$1001&lt;&gt;""))&gt;0,"확인필요(연도다름)","실물 없음")))))</f>
      </c>
      <c r="G173" t="n" s="16">
        <f aca="0">IF(B173="","",SUMPRODUCT((실물목록!$P$2:$P$1001&lt;&gt;"")*ISNUMBER(SEARCH(실물목록!$P$2:$P$1001,I173))*(실물목록!$Q$2:$Q$1001&lt;&gt;"")*ISNUMBER(SEARCH(실물목록!$Q$2:$Q$1001,I173))*(실물목록!$R$2:$R$1001="")*(실물목록!$O$2:$O$1001&lt;&gt;"")*(실물목록!$O$2:$O$1001=H173)))</f>
      </c>
      <c r="H173" t="str">
        <f>IFERROR(IF(AND(LEN(SUBSTITUTE(SUBSTITUTE(SUBSTITUTE(TRIM(A173&amp;""),CHAR(160),"")," ",""),"년",""))=4,VALUE(SUBSTITUTE(SUBSTITUTE(SUBSTITUTE(TRIM(A173&amp;""),CHAR(160),"")," ",""),"년",""))&gt;=1900,VALUE(SUBSTITUTE(SUBSTITUTE(SUBSTITUTE(TRIM(A173&amp;""),CHAR(160),"")," ",""),"년",""))&lt;=2099,TEXT(VALUE(SUBSTITUTE(SUBSTITUTE(SUBSTITUTE(TRIM(A173&amp;""),CHAR(160),"")," ",""),"년","")),"0000")=SUBSTITUTE(SUBSTITUTE(SUBSTITUTE(TRIM(A173&amp;""),CHAR(160),"")," ",""),"년","")),SUBSTITUTE(SUBSTITUTE(SUBSTITUTE(TRIM(A173&amp;""),CHAR(160),"")," ",""),"년",""),""),"")</f>
      </c>
      <c r="I173" t="str">
        <f>SUBSTITUTE(SUBSTITUTE(SUBSTITUTE(SUBSTITUTE(SUBSTITUTE(TRIM(B173&amp;""),CHAR(160),"")," ",""),"초등학교","초"),"중학교","중"),"고등학교","고")</f>
      </c>
    </row>
    <row r="174" customFormat="false" ht="15" hidden="false" customHeight="false" outlineLevel="0" collapsed="false">
      <c r="A174" s="8"/>
      <c r="B174" s="8"/>
      <c r="C174" s="8"/>
      <c r="D174" s="8"/>
      <c r="E174" s="8"/>
      <c r="F174" t="str" s="15">
        <f aca="0">IF(B174="","",IF(H174="","확인필요(입력누락)",IF(SUMPRODUCT((실물목록!$P$2:$P$1001&lt;&gt;"")*ISNUMBER(SEARCH(실물목록!$P$2:$P$1001,I174))*(실물목록!$Q$2:$Q$1001&lt;&gt;"")*ISNUMBER(SEARCH(실물목록!$Q$2:$Q$1001,I174))*(실물목록!$R$2:$R$1001="")*(실물목록!$O$2:$O$1001&lt;&gt;"")*(실물목록!$O$2:$O$1001=H174))&gt;0,"실물 있음",IF(SUMPRODUCT((실물목록!$P$2:$P$1001&lt;&gt;"")*ISNUMBER(SEARCH(실물목록!$P$2:$P$1001,I174))*(실물목록!$R$2:$R$1001&lt;&gt;""))&gt;0,"확인필요(입력누락)",IF(SUMPRODUCT((실물목록!$P$2:$P$1001&lt;&gt;"")*ISNUMBER(SEARCH(실물목록!$P$2:$P$1001,I174))*(실물목록!$Q$2:$Q$1001&lt;&gt;"")*ISNUMBER(SEARCH(실물목록!$Q$2:$Q$1001,I174))*(실물목록!$R$2:$R$1001="")*(실물목록!$O$2:$O$1001&lt;&gt;""))&gt;0,"확인필요(연도다름)","실물 없음")))))</f>
      </c>
      <c r="G174" t="n" s="16">
        <f aca="0">IF(B174="","",SUMPRODUCT((실물목록!$P$2:$P$1001&lt;&gt;"")*ISNUMBER(SEARCH(실물목록!$P$2:$P$1001,I174))*(실물목록!$Q$2:$Q$1001&lt;&gt;"")*ISNUMBER(SEARCH(실물목록!$Q$2:$Q$1001,I174))*(실물목록!$R$2:$R$1001="")*(실물목록!$O$2:$O$1001&lt;&gt;"")*(실물목록!$O$2:$O$1001=H174)))</f>
      </c>
      <c r="H174" t="str">
        <f>IFERROR(IF(AND(LEN(SUBSTITUTE(SUBSTITUTE(SUBSTITUTE(TRIM(A174&amp;""),CHAR(160),"")," ",""),"년",""))=4,VALUE(SUBSTITUTE(SUBSTITUTE(SUBSTITUTE(TRIM(A174&amp;""),CHAR(160),"")," ",""),"년",""))&gt;=1900,VALUE(SUBSTITUTE(SUBSTITUTE(SUBSTITUTE(TRIM(A174&amp;""),CHAR(160),"")," ",""),"년",""))&lt;=2099,TEXT(VALUE(SUBSTITUTE(SUBSTITUTE(SUBSTITUTE(TRIM(A174&amp;""),CHAR(160),"")," ",""),"년","")),"0000")=SUBSTITUTE(SUBSTITUTE(SUBSTITUTE(TRIM(A174&amp;""),CHAR(160),"")," ",""),"년","")),SUBSTITUTE(SUBSTITUTE(SUBSTITUTE(TRIM(A174&amp;""),CHAR(160),"")," ",""),"년",""),""),"")</f>
      </c>
      <c r="I174" t="str">
        <f>SUBSTITUTE(SUBSTITUTE(SUBSTITUTE(SUBSTITUTE(SUBSTITUTE(TRIM(B174&amp;""),CHAR(160),"")," ",""),"초등학교","초"),"중학교","중"),"고등학교","고")</f>
      </c>
    </row>
    <row r="175" customFormat="false" ht="15" hidden="false" customHeight="false" outlineLevel="0" collapsed="false">
      <c r="A175" s="8"/>
      <c r="B175" s="8"/>
      <c r="C175" s="8"/>
      <c r="D175" s="8"/>
      <c r="E175" s="8"/>
      <c r="F175" t="str" s="15">
        <f aca="0">IF(B175="","",IF(H175="","확인필요(입력누락)",IF(SUMPRODUCT((실물목록!$P$2:$P$1001&lt;&gt;"")*ISNUMBER(SEARCH(실물목록!$P$2:$P$1001,I175))*(실물목록!$Q$2:$Q$1001&lt;&gt;"")*ISNUMBER(SEARCH(실물목록!$Q$2:$Q$1001,I175))*(실물목록!$R$2:$R$1001="")*(실물목록!$O$2:$O$1001&lt;&gt;"")*(실물목록!$O$2:$O$1001=H175))&gt;0,"실물 있음",IF(SUMPRODUCT((실물목록!$P$2:$P$1001&lt;&gt;"")*ISNUMBER(SEARCH(실물목록!$P$2:$P$1001,I175))*(실물목록!$R$2:$R$1001&lt;&gt;""))&gt;0,"확인필요(입력누락)",IF(SUMPRODUCT((실물목록!$P$2:$P$1001&lt;&gt;"")*ISNUMBER(SEARCH(실물목록!$P$2:$P$1001,I175))*(실물목록!$Q$2:$Q$1001&lt;&gt;"")*ISNUMBER(SEARCH(실물목록!$Q$2:$Q$1001,I175))*(실물목록!$R$2:$R$1001="")*(실물목록!$O$2:$O$1001&lt;&gt;""))&gt;0,"확인필요(연도다름)","실물 없음")))))</f>
      </c>
      <c r="G175" t="n" s="16">
        <f aca="0">IF(B175="","",SUMPRODUCT((실물목록!$P$2:$P$1001&lt;&gt;"")*ISNUMBER(SEARCH(실물목록!$P$2:$P$1001,I175))*(실물목록!$Q$2:$Q$1001&lt;&gt;"")*ISNUMBER(SEARCH(실물목록!$Q$2:$Q$1001,I175))*(실물목록!$R$2:$R$1001="")*(실물목록!$O$2:$O$1001&lt;&gt;"")*(실물목록!$O$2:$O$1001=H175)))</f>
      </c>
      <c r="H175" t="str">
        <f>IFERROR(IF(AND(LEN(SUBSTITUTE(SUBSTITUTE(SUBSTITUTE(TRIM(A175&amp;""),CHAR(160),"")," ",""),"년",""))=4,VALUE(SUBSTITUTE(SUBSTITUTE(SUBSTITUTE(TRIM(A175&amp;""),CHAR(160),"")," ",""),"년",""))&gt;=1900,VALUE(SUBSTITUTE(SUBSTITUTE(SUBSTITUTE(TRIM(A175&amp;""),CHAR(160),"")," ",""),"년",""))&lt;=2099,TEXT(VALUE(SUBSTITUTE(SUBSTITUTE(SUBSTITUTE(TRIM(A175&amp;""),CHAR(160),"")," ",""),"년","")),"0000")=SUBSTITUTE(SUBSTITUTE(SUBSTITUTE(TRIM(A175&amp;""),CHAR(160),"")," ",""),"년","")),SUBSTITUTE(SUBSTITUTE(SUBSTITUTE(TRIM(A175&amp;""),CHAR(160),"")," ",""),"년",""),""),"")</f>
      </c>
      <c r="I175" t="str">
        <f>SUBSTITUTE(SUBSTITUTE(SUBSTITUTE(SUBSTITUTE(SUBSTITUTE(TRIM(B175&amp;""),CHAR(160),"")," ",""),"초등학교","초"),"중학교","중"),"고등학교","고")</f>
      </c>
    </row>
    <row r="176" customFormat="false" ht="15" hidden="false" customHeight="false" outlineLevel="0" collapsed="false">
      <c r="A176" s="8"/>
      <c r="B176" s="8"/>
      <c r="C176" s="8"/>
      <c r="D176" s="8"/>
      <c r="E176" s="8"/>
      <c r="F176" t="str" s="15">
        <f aca="0">IF(B176="","",IF(H176="","확인필요(입력누락)",IF(SUMPRODUCT((실물목록!$P$2:$P$1001&lt;&gt;"")*ISNUMBER(SEARCH(실물목록!$P$2:$P$1001,I176))*(실물목록!$Q$2:$Q$1001&lt;&gt;"")*ISNUMBER(SEARCH(실물목록!$Q$2:$Q$1001,I176))*(실물목록!$R$2:$R$1001="")*(실물목록!$O$2:$O$1001&lt;&gt;"")*(실물목록!$O$2:$O$1001=H176))&gt;0,"실물 있음",IF(SUMPRODUCT((실물목록!$P$2:$P$1001&lt;&gt;"")*ISNUMBER(SEARCH(실물목록!$P$2:$P$1001,I176))*(실물목록!$R$2:$R$1001&lt;&gt;""))&gt;0,"확인필요(입력누락)",IF(SUMPRODUCT((실물목록!$P$2:$P$1001&lt;&gt;"")*ISNUMBER(SEARCH(실물목록!$P$2:$P$1001,I176))*(실물목록!$Q$2:$Q$1001&lt;&gt;"")*ISNUMBER(SEARCH(실물목록!$Q$2:$Q$1001,I176))*(실물목록!$R$2:$R$1001="")*(실물목록!$O$2:$O$1001&lt;&gt;""))&gt;0,"확인필요(연도다름)","실물 없음")))))</f>
      </c>
      <c r="G176" t="n" s="16">
        <f aca="0">IF(B176="","",SUMPRODUCT((실물목록!$P$2:$P$1001&lt;&gt;"")*ISNUMBER(SEARCH(실물목록!$P$2:$P$1001,I176))*(실물목록!$Q$2:$Q$1001&lt;&gt;"")*ISNUMBER(SEARCH(실물목록!$Q$2:$Q$1001,I176))*(실물목록!$R$2:$R$1001="")*(실물목록!$O$2:$O$1001&lt;&gt;"")*(실물목록!$O$2:$O$1001=H176)))</f>
      </c>
      <c r="H176" t="str">
        <f>IFERROR(IF(AND(LEN(SUBSTITUTE(SUBSTITUTE(SUBSTITUTE(TRIM(A176&amp;""),CHAR(160),"")," ",""),"년",""))=4,VALUE(SUBSTITUTE(SUBSTITUTE(SUBSTITUTE(TRIM(A176&amp;""),CHAR(160),"")," ",""),"년",""))&gt;=1900,VALUE(SUBSTITUTE(SUBSTITUTE(SUBSTITUTE(TRIM(A176&amp;""),CHAR(160),"")," ",""),"년",""))&lt;=2099,TEXT(VALUE(SUBSTITUTE(SUBSTITUTE(SUBSTITUTE(TRIM(A176&amp;""),CHAR(160),"")," ",""),"년","")),"0000")=SUBSTITUTE(SUBSTITUTE(SUBSTITUTE(TRIM(A176&amp;""),CHAR(160),"")," ",""),"년","")),SUBSTITUTE(SUBSTITUTE(SUBSTITUTE(TRIM(A176&amp;""),CHAR(160),"")," ",""),"년",""),""),"")</f>
      </c>
      <c r="I176" t="str">
        <f>SUBSTITUTE(SUBSTITUTE(SUBSTITUTE(SUBSTITUTE(SUBSTITUTE(TRIM(B176&amp;""),CHAR(160),"")," ",""),"초등학교","초"),"중학교","중"),"고등학교","고")</f>
      </c>
    </row>
    <row r="177" customFormat="false" ht="15" hidden="false" customHeight="false" outlineLevel="0" collapsed="false">
      <c r="A177" s="8"/>
      <c r="B177" s="8"/>
      <c r="C177" s="8"/>
      <c r="D177" s="8"/>
      <c r="E177" s="8"/>
      <c r="F177" t="str" s="15">
        <f aca="0">IF(B177="","",IF(H177="","확인필요(입력누락)",IF(SUMPRODUCT((실물목록!$P$2:$P$1001&lt;&gt;"")*ISNUMBER(SEARCH(실물목록!$P$2:$P$1001,I177))*(실물목록!$Q$2:$Q$1001&lt;&gt;"")*ISNUMBER(SEARCH(실물목록!$Q$2:$Q$1001,I177))*(실물목록!$R$2:$R$1001="")*(실물목록!$O$2:$O$1001&lt;&gt;"")*(실물목록!$O$2:$O$1001=H177))&gt;0,"실물 있음",IF(SUMPRODUCT((실물목록!$P$2:$P$1001&lt;&gt;"")*ISNUMBER(SEARCH(실물목록!$P$2:$P$1001,I177))*(실물목록!$R$2:$R$1001&lt;&gt;""))&gt;0,"확인필요(입력누락)",IF(SUMPRODUCT((실물목록!$P$2:$P$1001&lt;&gt;"")*ISNUMBER(SEARCH(실물목록!$P$2:$P$1001,I177))*(실물목록!$Q$2:$Q$1001&lt;&gt;"")*ISNUMBER(SEARCH(실물목록!$Q$2:$Q$1001,I177))*(실물목록!$R$2:$R$1001="")*(실물목록!$O$2:$O$1001&lt;&gt;""))&gt;0,"확인필요(연도다름)","실물 없음")))))</f>
      </c>
      <c r="G177" t="n" s="16">
        <f aca="0">IF(B177="","",SUMPRODUCT((실물목록!$P$2:$P$1001&lt;&gt;"")*ISNUMBER(SEARCH(실물목록!$P$2:$P$1001,I177))*(실물목록!$Q$2:$Q$1001&lt;&gt;"")*ISNUMBER(SEARCH(실물목록!$Q$2:$Q$1001,I177))*(실물목록!$R$2:$R$1001="")*(실물목록!$O$2:$O$1001&lt;&gt;"")*(실물목록!$O$2:$O$1001=H177)))</f>
      </c>
      <c r="H177" t="str">
        <f>IFERROR(IF(AND(LEN(SUBSTITUTE(SUBSTITUTE(SUBSTITUTE(TRIM(A177&amp;""),CHAR(160),"")," ",""),"년",""))=4,VALUE(SUBSTITUTE(SUBSTITUTE(SUBSTITUTE(TRIM(A177&amp;""),CHAR(160),"")," ",""),"년",""))&gt;=1900,VALUE(SUBSTITUTE(SUBSTITUTE(SUBSTITUTE(TRIM(A177&amp;""),CHAR(160),"")," ",""),"년",""))&lt;=2099,TEXT(VALUE(SUBSTITUTE(SUBSTITUTE(SUBSTITUTE(TRIM(A177&amp;""),CHAR(160),"")," ",""),"년","")),"0000")=SUBSTITUTE(SUBSTITUTE(SUBSTITUTE(TRIM(A177&amp;""),CHAR(160),"")," ",""),"년","")),SUBSTITUTE(SUBSTITUTE(SUBSTITUTE(TRIM(A177&amp;""),CHAR(160),"")," ",""),"년",""),""),"")</f>
      </c>
      <c r="I177" t="str">
        <f>SUBSTITUTE(SUBSTITUTE(SUBSTITUTE(SUBSTITUTE(SUBSTITUTE(TRIM(B177&amp;""),CHAR(160),"")," ",""),"초등학교","초"),"중학교","중"),"고등학교","고")</f>
      </c>
    </row>
    <row r="178" customFormat="false" ht="15" hidden="false" customHeight="false" outlineLevel="0" collapsed="false">
      <c r="A178" s="8"/>
      <c r="B178" s="8"/>
      <c r="C178" s="8"/>
      <c r="D178" s="8"/>
      <c r="E178" s="8"/>
      <c r="F178" t="str" s="15">
        <f aca="0">IF(B178="","",IF(H178="","확인필요(입력누락)",IF(SUMPRODUCT((실물목록!$P$2:$P$1001&lt;&gt;"")*ISNUMBER(SEARCH(실물목록!$P$2:$P$1001,I178))*(실물목록!$Q$2:$Q$1001&lt;&gt;"")*ISNUMBER(SEARCH(실물목록!$Q$2:$Q$1001,I178))*(실물목록!$R$2:$R$1001="")*(실물목록!$O$2:$O$1001&lt;&gt;"")*(실물목록!$O$2:$O$1001=H178))&gt;0,"실물 있음",IF(SUMPRODUCT((실물목록!$P$2:$P$1001&lt;&gt;"")*ISNUMBER(SEARCH(실물목록!$P$2:$P$1001,I178))*(실물목록!$R$2:$R$1001&lt;&gt;""))&gt;0,"확인필요(입력누락)",IF(SUMPRODUCT((실물목록!$P$2:$P$1001&lt;&gt;"")*ISNUMBER(SEARCH(실물목록!$P$2:$P$1001,I178))*(실물목록!$Q$2:$Q$1001&lt;&gt;"")*ISNUMBER(SEARCH(실물목록!$Q$2:$Q$1001,I178))*(실물목록!$R$2:$R$1001="")*(실물목록!$O$2:$O$1001&lt;&gt;""))&gt;0,"확인필요(연도다름)","실물 없음")))))</f>
      </c>
      <c r="G178" t="n" s="16">
        <f aca="0">IF(B178="","",SUMPRODUCT((실물목록!$P$2:$P$1001&lt;&gt;"")*ISNUMBER(SEARCH(실물목록!$P$2:$P$1001,I178))*(실물목록!$Q$2:$Q$1001&lt;&gt;"")*ISNUMBER(SEARCH(실물목록!$Q$2:$Q$1001,I178))*(실물목록!$R$2:$R$1001="")*(실물목록!$O$2:$O$1001&lt;&gt;"")*(실물목록!$O$2:$O$1001=H178)))</f>
      </c>
      <c r="H178" t="str">
        <f>IFERROR(IF(AND(LEN(SUBSTITUTE(SUBSTITUTE(SUBSTITUTE(TRIM(A178&amp;""),CHAR(160),"")," ",""),"년",""))=4,VALUE(SUBSTITUTE(SUBSTITUTE(SUBSTITUTE(TRIM(A178&amp;""),CHAR(160),"")," ",""),"년",""))&gt;=1900,VALUE(SUBSTITUTE(SUBSTITUTE(SUBSTITUTE(TRIM(A178&amp;""),CHAR(160),"")," ",""),"년",""))&lt;=2099,TEXT(VALUE(SUBSTITUTE(SUBSTITUTE(SUBSTITUTE(TRIM(A178&amp;""),CHAR(160),"")," ",""),"년","")),"0000")=SUBSTITUTE(SUBSTITUTE(SUBSTITUTE(TRIM(A178&amp;""),CHAR(160),"")," ",""),"년","")),SUBSTITUTE(SUBSTITUTE(SUBSTITUTE(TRIM(A178&amp;""),CHAR(160),"")," ",""),"년",""),""),"")</f>
      </c>
      <c r="I178" t="str">
        <f>SUBSTITUTE(SUBSTITUTE(SUBSTITUTE(SUBSTITUTE(SUBSTITUTE(TRIM(B178&amp;""),CHAR(160),"")," ",""),"초등학교","초"),"중학교","중"),"고등학교","고")</f>
      </c>
    </row>
    <row r="179" customFormat="false" ht="15" hidden="false" customHeight="false" outlineLevel="0" collapsed="false">
      <c r="A179" s="8"/>
      <c r="B179" s="8"/>
      <c r="C179" s="8"/>
      <c r="D179" s="8"/>
      <c r="E179" s="8"/>
      <c r="F179" t="str" s="15">
        <f aca="0">IF(B179="","",IF(H179="","확인필요(입력누락)",IF(SUMPRODUCT((실물목록!$P$2:$P$1001&lt;&gt;"")*ISNUMBER(SEARCH(실물목록!$P$2:$P$1001,I179))*(실물목록!$Q$2:$Q$1001&lt;&gt;"")*ISNUMBER(SEARCH(실물목록!$Q$2:$Q$1001,I179))*(실물목록!$R$2:$R$1001="")*(실물목록!$O$2:$O$1001&lt;&gt;"")*(실물목록!$O$2:$O$1001=H179))&gt;0,"실물 있음",IF(SUMPRODUCT((실물목록!$P$2:$P$1001&lt;&gt;"")*ISNUMBER(SEARCH(실물목록!$P$2:$P$1001,I179))*(실물목록!$R$2:$R$1001&lt;&gt;""))&gt;0,"확인필요(입력누락)",IF(SUMPRODUCT((실물목록!$P$2:$P$1001&lt;&gt;"")*ISNUMBER(SEARCH(실물목록!$P$2:$P$1001,I179))*(실물목록!$Q$2:$Q$1001&lt;&gt;"")*ISNUMBER(SEARCH(실물목록!$Q$2:$Q$1001,I179))*(실물목록!$R$2:$R$1001="")*(실물목록!$O$2:$O$1001&lt;&gt;""))&gt;0,"확인필요(연도다름)","실물 없음")))))</f>
      </c>
      <c r="G179" t="n" s="16">
        <f aca="0">IF(B179="","",SUMPRODUCT((실물목록!$P$2:$P$1001&lt;&gt;"")*ISNUMBER(SEARCH(실물목록!$P$2:$P$1001,I179))*(실물목록!$Q$2:$Q$1001&lt;&gt;"")*ISNUMBER(SEARCH(실물목록!$Q$2:$Q$1001,I179))*(실물목록!$R$2:$R$1001="")*(실물목록!$O$2:$O$1001&lt;&gt;"")*(실물목록!$O$2:$O$1001=H179)))</f>
      </c>
      <c r="H179" t="str">
        <f>IFERROR(IF(AND(LEN(SUBSTITUTE(SUBSTITUTE(SUBSTITUTE(TRIM(A179&amp;""),CHAR(160),"")," ",""),"년",""))=4,VALUE(SUBSTITUTE(SUBSTITUTE(SUBSTITUTE(TRIM(A179&amp;""),CHAR(160),"")," ",""),"년",""))&gt;=1900,VALUE(SUBSTITUTE(SUBSTITUTE(SUBSTITUTE(TRIM(A179&amp;""),CHAR(160),"")," ",""),"년",""))&lt;=2099,TEXT(VALUE(SUBSTITUTE(SUBSTITUTE(SUBSTITUTE(TRIM(A179&amp;""),CHAR(160),"")," ",""),"년","")),"0000")=SUBSTITUTE(SUBSTITUTE(SUBSTITUTE(TRIM(A179&amp;""),CHAR(160),"")," ",""),"년","")),SUBSTITUTE(SUBSTITUTE(SUBSTITUTE(TRIM(A179&amp;""),CHAR(160),"")," ",""),"년",""),""),"")</f>
      </c>
      <c r="I179" t="str">
        <f>SUBSTITUTE(SUBSTITUTE(SUBSTITUTE(SUBSTITUTE(SUBSTITUTE(TRIM(B179&amp;""),CHAR(160),"")," ",""),"초등학교","초"),"중학교","중"),"고등학교","고")</f>
      </c>
    </row>
    <row r="180" customFormat="false" ht="15" hidden="false" customHeight="false" outlineLevel="0" collapsed="false">
      <c r="A180" s="8"/>
      <c r="B180" s="8"/>
      <c r="C180" s="8"/>
      <c r="D180" s="8"/>
      <c r="E180" s="8"/>
      <c r="F180" t="str" s="15">
        <f aca="0">IF(B180="","",IF(H180="","확인필요(입력누락)",IF(SUMPRODUCT((실물목록!$P$2:$P$1001&lt;&gt;"")*ISNUMBER(SEARCH(실물목록!$P$2:$P$1001,I180))*(실물목록!$Q$2:$Q$1001&lt;&gt;"")*ISNUMBER(SEARCH(실물목록!$Q$2:$Q$1001,I180))*(실물목록!$R$2:$R$1001="")*(실물목록!$O$2:$O$1001&lt;&gt;"")*(실물목록!$O$2:$O$1001=H180))&gt;0,"실물 있음",IF(SUMPRODUCT((실물목록!$P$2:$P$1001&lt;&gt;"")*ISNUMBER(SEARCH(실물목록!$P$2:$P$1001,I180))*(실물목록!$R$2:$R$1001&lt;&gt;""))&gt;0,"확인필요(입력누락)",IF(SUMPRODUCT((실물목록!$P$2:$P$1001&lt;&gt;"")*ISNUMBER(SEARCH(실물목록!$P$2:$P$1001,I180))*(실물목록!$Q$2:$Q$1001&lt;&gt;"")*ISNUMBER(SEARCH(실물목록!$Q$2:$Q$1001,I180))*(실물목록!$R$2:$R$1001="")*(실물목록!$O$2:$O$1001&lt;&gt;""))&gt;0,"확인필요(연도다름)","실물 없음")))))</f>
      </c>
      <c r="G180" t="n" s="16">
        <f aca="0">IF(B180="","",SUMPRODUCT((실물목록!$P$2:$P$1001&lt;&gt;"")*ISNUMBER(SEARCH(실물목록!$P$2:$P$1001,I180))*(실물목록!$Q$2:$Q$1001&lt;&gt;"")*ISNUMBER(SEARCH(실물목록!$Q$2:$Q$1001,I180))*(실물목록!$R$2:$R$1001="")*(실물목록!$O$2:$O$1001&lt;&gt;"")*(실물목록!$O$2:$O$1001=H180)))</f>
      </c>
      <c r="H180" t="str">
        <f>IFERROR(IF(AND(LEN(SUBSTITUTE(SUBSTITUTE(SUBSTITUTE(TRIM(A180&amp;""),CHAR(160),"")," ",""),"년",""))=4,VALUE(SUBSTITUTE(SUBSTITUTE(SUBSTITUTE(TRIM(A180&amp;""),CHAR(160),"")," ",""),"년",""))&gt;=1900,VALUE(SUBSTITUTE(SUBSTITUTE(SUBSTITUTE(TRIM(A180&amp;""),CHAR(160),"")," ",""),"년",""))&lt;=2099,TEXT(VALUE(SUBSTITUTE(SUBSTITUTE(SUBSTITUTE(TRIM(A180&amp;""),CHAR(160),"")," ",""),"년","")),"0000")=SUBSTITUTE(SUBSTITUTE(SUBSTITUTE(TRIM(A180&amp;""),CHAR(160),"")," ",""),"년","")),SUBSTITUTE(SUBSTITUTE(SUBSTITUTE(TRIM(A180&amp;""),CHAR(160),"")," ",""),"년",""),""),"")</f>
      </c>
      <c r="I180" t="str">
        <f>SUBSTITUTE(SUBSTITUTE(SUBSTITUTE(SUBSTITUTE(SUBSTITUTE(TRIM(B180&amp;""),CHAR(160),"")," ",""),"초등학교","초"),"중학교","중"),"고등학교","고")</f>
      </c>
    </row>
    <row r="181" customFormat="false" ht="15" hidden="false" customHeight="false" outlineLevel="0" collapsed="false">
      <c r="A181" s="8"/>
      <c r="B181" s="8"/>
      <c r="C181" s="8"/>
      <c r="D181" s="8"/>
      <c r="E181" s="8"/>
      <c r="F181" t="str" s="15">
        <f aca="0">IF(B181="","",IF(H181="","확인필요(입력누락)",IF(SUMPRODUCT((실물목록!$P$2:$P$1001&lt;&gt;"")*ISNUMBER(SEARCH(실물목록!$P$2:$P$1001,I181))*(실물목록!$Q$2:$Q$1001&lt;&gt;"")*ISNUMBER(SEARCH(실물목록!$Q$2:$Q$1001,I181))*(실물목록!$R$2:$R$1001="")*(실물목록!$O$2:$O$1001&lt;&gt;"")*(실물목록!$O$2:$O$1001=H181))&gt;0,"실물 있음",IF(SUMPRODUCT((실물목록!$P$2:$P$1001&lt;&gt;"")*ISNUMBER(SEARCH(실물목록!$P$2:$P$1001,I181))*(실물목록!$R$2:$R$1001&lt;&gt;""))&gt;0,"확인필요(입력누락)",IF(SUMPRODUCT((실물목록!$P$2:$P$1001&lt;&gt;"")*ISNUMBER(SEARCH(실물목록!$P$2:$P$1001,I181))*(실물목록!$Q$2:$Q$1001&lt;&gt;"")*ISNUMBER(SEARCH(실물목록!$Q$2:$Q$1001,I181))*(실물목록!$R$2:$R$1001="")*(실물목록!$O$2:$O$1001&lt;&gt;""))&gt;0,"확인필요(연도다름)","실물 없음")))))</f>
      </c>
      <c r="G181" t="n" s="16">
        <f aca="0">IF(B181="","",SUMPRODUCT((실물목록!$P$2:$P$1001&lt;&gt;"")*ISNUMBER(SEARCH(실물목록!$P$2:$P$1001,I181))*(실물목록!$Q$2:$Q$1001&lt;&gt;"")*ISNUMBER(SEARCH(실물목록!$Q$2:$Q$1001,I181))*(실물목록!$R$2:$R$1001="")*(실물목록!$O$2:$O$1001&lt;&gt;"")*(실물목록!$O$2:$O$1001=H181)))</f>
      </c>
      <c r="H181" t="str">
        <f>IFERROR(IF(AND(LEN(SUBSTITUTE(SUBSTITUTE(SUBSTITUTE(TRIM(A181&amp;""),CHAR(160),"")," ",""),"년",""))=4,VALUE(SUBSTITUTE(SUBSTITUTE(SUBSTITUTE(TRIM(A181&amp;""),CHAR(160),"")," ",""),"년",""))&gt;=1900,VALUE(SUBSTITUTE(SUBSTITUTE(SUBSTITUTE(TRIM(A181&amp;""),CHAR(160),"")," ",""),"년",""))&lt;=2099,TEXT(VALUE(SUBSTITUTE(SUBSTITUTE(SUBSTITUTE(TRIM(A181&amp;""),CHAR(160),"")," ",""),"년","")),"0000")=SUBSTITUTE(SUBSTITUTE(SUBSTITUTE(TRIM(A181&amp;""),CHAR(160),"")," ",""),"년","")),SUBSTITUTE(SUBSTITUTE(SUBSTITUTE(TRIM(A181&amp;""),CHAR(160),"")," ",""),"년",""),""),"")</f>
      </c>
      <c r="I181" t="str">
        <f>SUBSTITUTE(SUBSTITUTE(SUBSTITUTE(SUBSTITUTE(SUBSTITUTE(TRIM(B181&amp;""),CHAR(160),"")," ",""),"초등학교","초"),"중학교","중"),"고등학교","고")</f>
      </c>
    </row>
    <row r="182" customFormat="false" ht="15" hidden="false" customHeight="false" outlineLevel="0" collapsed="false">
      <c r="A182" s="8"/>
      <c r="B182" s="8"/>
      <c r="C182" s="8"/>
      <c r="D182" s="8"/>
      <c r="E182" s="8"/>
      <c r="F182" t="str" s="15">
        <f aca="0">IF(B182="","",IF(H182="","확인필요(입력누락)",IF(SUMPRODUCT((실물목록!$P$2:$P$1001&lt;&gt;"")*ISNUMBER(SEARCH(실물목록!$P$2:$P$1001,I182))*(실물목록!$Q$2:$Q$1001&lt;&gt;"")*ISNUMBER(SEARCH(실물목록!$Q$2:$Q$1001,I182))*(실물목록!$R$2:$R$1001="")*(실물목록!$O$2:$O$1001&lt;&gt;"")*(실물목록!$O$2:$O$1001=H182))&gt;0,"실물 있음",IF(SUMPRODUCT((실물목록!$P$2:$P$1001&lt;&gt;"")*ISNUMBER(SEARCH(실물목록!$P$2:$P$1001,I182))*(실물목록!$R$2:$R$1001&lt;&gt;""))&gt;0,"확인필요(입력누락)",IF(SUMPRODUCT((실물목록!$P$2:$P$1001&lt;&gt;"")*ISNUMBER(SEARCH(실물목록!$P$2:$P$1001,I182))*(실물목록!$Q$2:$Q$1001&lt;&gt;"")*ISNUMBER(SEARCH(실물목록!$Q$2:$Q$1001,I182))*(실물목록!$R$2:$R$1001="")*(실물목록!$O$2:$O$1001&lt;&gt;""))&gt;0,"확인필요(연도다름)","실물 없음")))))</f>
      </c>
      <c r="G182" t="n" s="16">
        <f aca="0">IF(B182="","",SUMPRODUCT((실물목록!$P$2:$P$1001&lt;&gt;"")*ISNUMBER(SEARCH(실물목록!$P$2:$P$1001,I182))*(실물목록!$Q$2:$Q$1001&lt;&gt;"")*ISNUMBER(SEARCH(실물목록!$Q$2:$Q$1001,I182))*(실물목록!$R$2:$R$1001="")*(실물목록!$O$2:$O$1001&lt;&gt;"")*(실물목록!$O$2:$O$1001=H182)))</f>
      </c>
      <c r="H182" t="str">
        <f>IFERROR(IF(AND(LEN(SUBSTITUTE(SUBSTITUTE(SUBSTITUTE(TRIM(A182&amp;""),CHAR(160),"")," ",""),"년",""))=4,VALUE(SUBSTITUTE(SUBSTITUTE(SUBSTITUTE(TRIM(A182&amp;""),CHAR(160),"")," ",""),"년",""))&gt;=1900,VALUE(SUBSTITUTE(SUBSTITUTE(SUBSTITUTE(TRIM(A182&amp;""),CHAR(160),"")," ",""),"년",""))&lt;=2099,TEXT(VALUE(SUBSTITUTE(SUBSTITUTE(SUBSTITUTE(TRIM(A182&amp;""),CHAR(160),"")," ",""),"년","")),"0000")=SUBSTITUTE(SUBSTITUTE(SUBSTITUTE(TRIM(A182&amp;""),CHAR(160),"")," ",""),"년","")),SUBSTITUTE(SUBSTITUTE(SUBSTITUTE(TRIM(A182&amp;""),CHAR(160),"")," ",""),"년",""),""),"")</f>
      </c>
      <c r="I182" t="str">
        <f>SUBSTITUTE(SUBSTITUTE(SUBSTITUTE(SUBSTITUTE(SUBSTITUTE(TRIM(B182&amp;""),CHAR(160),"")," ",""),"초등학교","초"),"중학교","중"),"고등학교","고")</f>
      </c>
    </row>
    <row r="183" customFormat="false" ht="15" hidden="false" customHeight="false" outlineLevel="0" collapsed="false">
      <c r="A183" s="8"/>
      <c r="B183" s="8"/>
      <c r="C183" s="8"/>
      <c r="D183" s="8"/>
      <c r="E183" s="8"/>
      <c r="F183" t="str" s="15">
        <f aca="0">IF(B183="","",IF(H183="","확인필요(입력누락)",IF(SUMPRODUCT((실물목록!$P$2:$P$1001&lt;&gt;"")*ISNUMBER(SEARCH(실물목록!$P$2:$P$1001,I183))*(실물목록!$Q$2:$Q$1001&lt;&gt;"")*ISNUMBER(SEARCH(실물목록!$Q$2:$Q$1001,I183))*(실물목록!$R$2:$R$1001="")*(실물목록!$O$2:$O$1001&lt;&gt;"")*(실물목록!$O$2:$O$1001=H183))&gt;0,"실물 있음",IF(SUMPRODUCT((실물목록!$P$2:$P$1001&lt;&gt;"")*ISNUMBER(SEARCH(실물목록!$P$2:$P$1001,I183))*(실물목록!$R$2:$R$1001&lt;&gt;""))&gt;0,"확인필요(입력누락)",IF(SUMPRODUCT((실물목록!$P$2:$P$1001&lt;&gt;"")*ISNUMBER(SEARCH(실물목록!$P$2:$P$1001,I183))*(실물목록!$Q$2:$Q$1001&lt;&gt;"")*ISNUMBER(SEARCH(실물목록!$Q$2:$Q$1001,I183))*(실물목록!$R$2:$R$1001="")*(실물목록!$O$2:$O$1001&lt;&gt;""))&gt;0,"확인필요(연도다름)","실물 없음")))))</f>
      </c>
      <c r="G183" t="n" s="16">
        <f aca="0">IF(B183="","",SUMPRODUCT((실물목록!$P$2:$P$1001&lt;&gt;"")*ISNUMBER(SEARCH(실물목록!$P$2:$P$1001,I183))*(실물목록!$Q$2:$Q$1001&lt;&gt;"")*ISNUMBER(SEARCH(실물목록!$Q$2:$Q$1001,I183))*(실물목록!$R$2:$R$1001="")*(실물목록!$O$2:$O$1001&lt;&gt;"")*(실물목록!$O$2:$O$1001=H183)))</f>
      </c>
      <c r="H183" t="str">
        <f>IFERROR(IF(AND(LEN(SUBSTITUTE(SUBSTITUTE(SUBSTITUTE(TRIM(A183&amp;""),CHAR(160),"")," ",""),"년",""))=4,VALUE(SUBSTITUTE(SUBSTITUTE(SUBSTITUTE(TRIM(A183&amp;""),CHAR(160),"")," ",""),"년",""))&gt;=1900,VALUE(SUBSTITUTE(SUBSTITUTE(SUBSTITUTE(TRIM(A183&amp;""),CHAR(160),"")," ",""),"년",""))&lt;=2099,TEXT(VALUE(SUBSTITUTE(SUBSTITUTE(SUBSTITUTE(TRIM(A183&amp;""),CHAR(160),"")," ",""),"년","")),"0000")=SUBSTITUTE(SUBSTITUTE(SUBSTITUTE(TRIM(A183&amp;""),CHAR(160),"")," ",""),"년","")),SUBSTITUTE(SUBSTITUTE(SUBSTITUTE(TRIM(A183&amp;""),CHAR(160),"")," ",""),"년",""),""),"")</f>
      </c>
      <c r="I183" t="str">
        <f>SUBSTITUTE(SUBSTITUTE(SUBSTITUTE(SUBSTITUTE(SUBSTITUTE(TRIM(B183&amp;""),CHAR(160),"")," ",""),"초등학교","초"),"중학교","중"),"고등학교","고")</f>
      </c>
    </row>
    <row r="184" customFormat="false" ht="15" hidden="false" customHeight="false" outlineLevel="0" collapsed="false">
      <c r="A184" s="8"/>
      <c r="B184" s="8"/>
      <c r="C184" s="8"/>
      <c r="D184" s="8"/>
      <c r="E184" s="8"/>
      <c r="F184" t="str" s="15">
        <f aca="0">IF(B184="","",IF(H184="","확인필요(입력누락)",IF(SUMPRODUCT((실물목록!$P$2:$P$1001&lt;&gt;"")*ISNUMBER(SEARCH(실물목록!$P$2:$P$1001,I184))*(실물목록!$Q$2:$Q$1001&lt;&gt;"")*ISNUMBER(SEARCH(실물목록!$Q$2:$Q$1001,I184))*(실물목록!$R$2:$R$1001="")*(실물목록!$O$2:$O$1001&lt;&gt;"")*(실물목록!$O$2:$O$1001=H184))&gt;0,"실물 있음",IF(SUMPRODUCT((실물목록!$P$2:$P$1001&lt;&gt;"")*ISNUMBER(SEARCH(실물목록!$P$2:$P$1001,I184))*(실물목록!$R$2:$R$1001&lt;&gt;""))&gt;0,"확인필요(입력누락)",IF(SUMPRODUCT((실물목록!$P$2:$P$1001&lt;&gt;"")*ISNUMBER(SEARCH(실물목록!$P$2:$P$1001,I184))*(실물목록!$Q$2:$Q$1001&lt;&gt;"")*ISNUMBER(SEARCH(실물목록!$Q$2:$Q$1001,I184))*(실물목록!$R$2:$R$1001="")*(실물목록!$O$2:$O$1001&lt;&gt;""))&gt;0,"확인필요(연도다름)","실물 없음")))))</f>
      </c>
      <c r="G184" t="n" s="16">
        <f aca="0">IF(B184="","",SUMPRODUCT((실물목록!$P$2:$P$1001&lt;&gt;"")*ISNUMBER(SEARCH(실물목록!$P$2:$P$1001,I184))*(실물목록!$Q$2:$Q$1001&lt;&gt;"")*ISNUMBER(SEARCH(실물목록!$Q$2:$Q$1001,I184))*(실물목록!$R$2:$R$1001="")*(실물목록!$O$2:$O$1001&lt;&gt;"")*(실물목록!$O$2:$O$1001=H184)))</f>
      </c>
      <c r="H184" t="str">
        <f>IFERROR(IF(AND(LEN(SUBSTITUTE(SUBSTITUTE(SUBSTITUTE(TRIM(A184&amp;""),CHAR(160),"")," ",""),"년",""))=4,VALUE(SUBSTITUTE(SUBSTITUTE(SUBSTITUTE(TRIM(A184&amp;""),CHAR(160),"")," ",""),"년",""))&gt;=1900,VALUE(SUBSTITUTE(SUBSTITUTE(SUBSTITUTE(TRIM(A184&amp;""),CHAR(160),"")," ",""),"년",""))&lt;=2099,TEXT(VALUE(SUBSTITUTE(SUBSTITUTE(SUBSTITUTE(TRIM(A184&amp;""),CHAR(160),"")," ",""),"년","")),"0000")=SUBSTITUTE(SUBSTITUTE(SUBSTITUTE(TRIM(A184&amp;""),CHAR(160),"")," ",""),"년","")),SUBSTITUTE(SUBSTITUTE(SUBSTITUTE(TRIM(A184&amp;""),CHAR(160),"")," ",""),"년",""),""),"")</f>
      </c>
      <c r="I184" t="str">
        <f>SUBSTITUTE(SUBSTITUTE(SUBSTITUTE(SUBSTITUTE(SUBSTITUTE(TRIM(B184&amp;""),CHAR(160),"")," ",""),"초등학교","초"),"중학교","중"),"고등학교","고")</f>
      </c>
    </row>
    <row r="185" customFormat="false" ht="15" hidden="false" customHeight="false" outlineLevel="0" collapsed="false">
      <c r="A185" s="8"/>
      <c r="B185" s="8"/>
      <c r="C185" s="8"/>
      <c r="D185" s="8"/>
      <c r="E185" s="8"/>
      <c r="F185" t="str" s="15">
        <f aca="0">IF(B185="","",IF(H185="","확인필요(입력누락)",IF(SUMPRODUCT((실물목록!$P$2:$P$1001&lt;&gt;"")*ISNUMBER(SEARCH(실물목록!$P$2:$P$1001,I185))*(실물목록!$Q$2:$Q$1001&lt;&gt;"")*ISNUMBER(SEARCH(실물목록!$Q$2:$Q$1001,I185))*(실물목록!$R$2:$R$1001="")*(실물목록!$O$2:$O$1001&lt;&gt;"")*(실물목록!$O$2:$O$1001=H185))&gt;0,"실물 있음",IF(SUMPRODUCT((실물목록!$P$2:$P$1001&lt;&gt;"")*ISNUMBER(SEARCH(실물목록!$P$2:$P$1001,I185))*(실물목록!$R$2:$R$1001&lt;&gt;""))&gt;0,"확인필요(입력누락)",IF(SUMPRODUCT((실물목록!$P$2:$P$1001&lt;&gt;"")*ISNUMBER(SEARCH(실물목록!$P$2:$P$1001,I185))*(실물목록!$Q$2:$Q$1001&lt;&gt;"")*ISNUMBER(SEARCH(실물목록!$Q$2:$Q$1001,I185))*(실물목록!$R$2:$R$1001="")*(실물목록!$O$2:$O$1001&lt;&gt;""))&gt;0,"확인필요(연도다름)","실물 없음")))))</f>
      </c>
      <c r="G185" t="n" s="16">
        <f aca="0">IF(B185="","",SUMPRODUCT((실물목록!$P$2:$P$1001&lt;&gt;"")*ISNUMBER(SEARCH(실물목록!$P$2:$P$1001,I185))*(실물목록!$Q$2:$Q$1001&lt;&gt;"")*ISNUMBER(SEARCH(실물목록!$Q$2:$Q$1001,I185))*(실물목록!$R$2:$R$1001="")*(실물목록!$O$2:$O$1001&lt;&gt;"")*(실물목록!$O$2:$O$1001=H185)))</f>
      </c>
      <c r="H185" t="str">
        <f>IFERROR(IF(AND(LEN(SUBSTITUTE(SUBSTITUTE(SUBSTITUTE(TRIM(A185&amp;""),CHAR(160),"")," ",""),"년",""))=4,VALUE(SUBSTITUTE(SUBSTITUTE(SUBSTITUTE(TRIM(A185&amp;""),CHAR(160),"")," ",""),"년",""))&gt;=1900,VALUE(SUBSTITUTE(SUBSTITUTE(SUBSTITUTE(TRIM(A185&amp;""),CHAR(160),"")," ",""),"년",""))&lt;=2099,TEXT(VALUE(SUBSTITUTE(SUBSTITUTE(SUBSTITUTE(TRIM(A185&amp;""),CHAR(160),"")," ",""),"년","")),"0000")=SUBSTITUTE(SUBSTITUTE(SUBSTITUTE(TRIM(A185&amp;""),CHAR(160),"")," ",""),"년","")),SUBSTITUTE(SUBSTITUTE(SUBSTITUTE(TRIM(A185&amp;""),CHAR(160),"")," ",""),"년",""),""),"")</f>
      </c>
      <c r="I185" t="str">
        <f>SUBSTITUTE(SUBSTITUTE(SUBSTITUTE(SUBSTITUTE(SUBSTITUTE(TRIM(B185&amp;""),CHAR(160),"")," ",""),"초등학교","초"),"중학교","중"),"고등학교","고")</f>
      </c>
    </row>
    <row r="186" customFormat="false" ht="15" hidden="false" customHeight="false" outlineLevel="0" collapsed="false">
      <c r="A186" s="8"/>
      <c r="B186" s="8"/>
      <c r="C186" s="8"/>
      <c r="D186" s="8"/>
      <c r="E186" s="8"/>
      <c r="F186" t="str" s="15">
        <f aca="0">IF(B186="","",IF(H186="","확인필요(입력누락)",IF(SUMPRODUCT((실물목록!$P$2:$P$1001&lt;&gt;"")*ISNUMBER(SEARCH(실물목록!$P$2:$P$1001,I186))*(실물목록!$Q$2:$Q$1001&lt;&gt;"")*ISNUMBER(SEARCH(실물목록!$Q$2:$Q$1001,I186))*(실물목록!$R$2:$R$1001="")*(실물목록!$O$2:$O$1001&lt;&gt;"")*(실물목록!$O$2:$O$1001=H186))&gt;0,"실물 있음",IF(SUMPRODUCT((실물목록!$P$2:$P$1001&lt;&gt;"")*ISNUMBER(SEARCH(실물목록!$P$2:$P$1001,I186))*(실물목록!$R$2:$R$1001&lt;&gt;""))&gt;0,"확인필요(입력누락)",IF(SUMPRODUCT((실물목록!$P$2:$P$1001&lt;&gt;"")*ISNUMBER(SEARCH(실물목록!$P$2:$P$1001,I186))*(실물목록!$Q$2:$Q$1001&lt;&gt;"")*ISNUMBER(SEARCH(실물목록!$Q$2:$Q$1001,I186))*(실물목록!$R$2:$R$1001="")*(실물목록!$O$2:$O$1001&lt;&gt;""))&gt;0,"확인필요(연도다름)","실물 없음")))))</f>
      </c>
      <c r="G186" t="n" s="16">
        <f aca="0">IF(B186="","",SUMPRODUCT((실물목록!$P$2:$P$1001&lt;&gt;"")*ISNUMBER(SEARCH(실물목록!$P$2:$P$1001,I186))*(실물목록!$Q$2:$Q$1001&lt;&gt;"")*ISNUMBER(SEARCH(실물목록!$Q$2:$Q$1001,I186))*(실물목록!$R$2:$R$1001="")*(실물목록!$O$2:$O$1001&lt;&gt;"")*(실물목록!$O$2:$O$1001=H186)))</f>
      </c>
      <c r="H186" t="str">
        <f>IFERROR(IF(AND(LEN(SUBSTITUTE(SUBSTITUTE(SUBSTITUTE(TRIM(A186&amp;""),CHAR(160),"")," ",""),"년",""))=4,VALUE(SUBSTITUTE(SUBSTITUTE(SUBSTITUTE(TRIM(A186&amp;""),CHAR(160),"")," ",""),"년",""))&gt;=1900,VALUE(SUBSTITUTE(SUBSTITUTE(SUBSTITUTE(TRIM(A186&amp;""),CHAR(160),"")," ",""),"년",""))&lt;=2099,TEXT(VALUE(SUBSTITUTE(SUBSTITUTE(SUBSTITUTE(TRIM(A186&amp;""),CHAR(160),"")," ",""),"년","")),"0000")=SUBSTITUTE(SUBSTITUTE(SUBSTITUTE(TRIM(A186&amp;""),CHAR(160),"")," ",""),"년","")),SUBSTITUTE(SUBSTITUTE(SUBSTITUTE(TRIM(A186&amp;""),CHAR(160),"")," ",""),"년",""),""),"")</f>
      </c>
      <c r="I186" t="str">
        <f>SUBSTITUTE(SUBSTITUTE(SUBSTITUTE(SUBSTITUTE(SUBSTITUTE(TRIM(B186&amp;""),CHAR(160),"")," ",""),"초등학교","초"),"중학교","중"),"고등학교","고")</f>
      </c>
    </row>
    <row r="187" customFormat="false" ht="15" hidden="false" customHeight="false" outlineLevel="0" collapsed="false">
      <c r="A187" s="8"/>
      <c r="B187" s="8"/>
      <c r="C187" s="8"/>
      <c r="D187" s="8"/>
      <c r="E187" s="8"/>
      <c r="F187" t="str" s="15">
        <f aca="0">IF(B187="","",IF(H187="","확인필요(입력누락)",IF(SUMPRODUCT((실물목록!$P$2:$P$1001&lt;&gt;"")*ISNUMBER(SEARCH(실물목록!$P$2:$P$1001,I187))*(실물목록!$Q$2:$Q$1001&lt;&gt;"")*ISNUMBER(SEARCH(실물목록!$Q$2:$Q$1001,I187))*(실물목록!$R$2:$R$1001="")*(실물목록!$O$2:$O$1001&lt;&gt;"")*(실물목록!$O$2:$O$1001=H187))&gt;0,"실물 있음",IF(SUMPRODUCT((실물목록!$P$2:$P$1001&lt;&gt;"")*ISNUMBER(SEARCH(실물목록!$P$2:$P$1001,I187))*(실물목록!$R$2:$R$1001&lt;&gt;""))&gt;0,"확인필요(입력누락)",IF(SUMPRODUCT((실물목록!$P$2:$P$1001&lt;&gt;"")*ISNUMBER(SEARCH(실물목록!$P$2:$P$1001,I187))*(실물목록!$Q$2:$Q$1001&lt;&gt;"")*ISNUMBER(SEARCH(실물목록!$Q$2:$Q$1001,I187))*(실물목록!$R$2:$R$1001="")*(실물목록!$O$2:$O$1001&lt;&gt;""))&gt;0,"확인필요(연도다름)","실물 없음")))))</f>
      </c>
      <c r="G187" t="n" s="16">
        <f aca="0">IF(B187="","",SUMPRODUCT((실물목록!$P$2:$P$1001&lt;&gt;"")*ISNUMBER(SEARCH(실물목록!$P$2:$P$1001,I187))*(실물목록!$Q$2:$Q$1001&lt;&gt;"")*ISNUMBER(SEARCH(실물목록!$Q$2:$Q$1001,I187))*(실물목록!$R$2:$R$1001="")*(실물목록!$O$2:$O$1001&lt;&gt;"")*(실물목록!$O$2:$O$1001=H187)))</f>
      </c>
      <c r="H187" t="str">
        <f>IFERROR(IF(AND(LEN(SUBSTITUTE(SUBSTITUTE(SUBSTITUTE(TRIM(A187&amp;""),CHAR(160),"")," ",""),"년",""))=4,VALUE(SUBSTITUTE(SUBSTITUTE(SUBSTITUTE(TRIM(A187&amp;""),CHAR(160),"")," ",""),"년",""))&gt;=1900,VALUE(SUBSTITUTE(SUBSTITUTE(SUBSTITUTE(TRIM(A187&amp;""),CHAR(160),"")," ",""),"년",""))&lt;=2099,TEXT(VALUE(SUBSTITUTE(SUBSTITUTE(SUBSTITUTE(TRIM(A187&amp;""),CHAR(160),"")," ",""),"년","")),"0000")=SUBSTITUTE(SUBSTITUTE(SUBSTITUTE(TRIM(A187&amp;""),CHAR(160),"")," ",""),"년","")),SUBSTITUTE(SUBSTITUTE(SUBSTITUTE(TRIM(A187&amp;""),CHAR(160),"")," ",""),"년",""),""),"")</f>
      </c>
      <c r="I187" t="str">
        <f>SUBSTITUTE(SUBSTITUTE(SUBSTITUTE(SUBSTITUTE(SUBSTITUTE(TRIM(B187&amp;""),CHAR(160),"")," ",""),"초등학교","초"),"중학교","중"),"고등학교","고")</f>
      </c>
    </row>
    <row r="188" customFormat="false" ht="15" hidden="false" customHeight="false" outlineLevel="0" collapsed="false">
      <c r="A188" s="8"/>
      <c r="B188" s="8"/>
      <c r="C188" s="8"/>
      <c r="D188" s="8"/>
      <c r="E188" s="8"/>
      <c r="F188" t="str" s="15">
        <f aca="0">IF(B188="","",IF(H188="","확인필요(입력누락)",IF(SUMPRODUCT((실물목록!$P$2:$P$1001&lt;&gt;"")*ISNUMBER(SEARCH(실물목록!$P$2:$P$1001,I188))*(실물목록!$Q$2:$Q$1001&lt;&gt;"")*ISNUMBER(SEARCH(실물목록!$Q$2:$Q$1001,I188))*(실물목록!$R$2:$R$1001="")*(실물목록!$O$2:$O$1001&lt;&gt;"")*(실물목록!$O$2:$O$1001=H188))&gt;0,"실물 있음",IF(SUMPRODUCT((실물목록!$P$2:$P$1001&lt;&gt;"")*ISNUMBER(SEARCH(실물목록!$P$2:$P$1001,I188))*(실물목록!$R$2:$R$1001&lt;&gt;""))&gt;0,"확인필요(입력누락)",IF(SUMPRODUCT((실물목록!$P$2:$P$1001&lt;&gt;"")*ISNUMBER(SEARCH(실물목록!$P$2:$P$1001,I188))*(실물목록!$Q$2:$Q$1001&lt;&gt;"")*ISNUMBER(SEARCH(실물목록!$Q$2:$Q$1001,I188))*(실물목록!$R$2:$R$1001="")*(실물목록!$O$2:$O$1001&lt;&gt;""))&gt;0,"확인필요(연도다름)","실물 없음")))))</f>
      </c>
      <c r="G188" t="n" s="16">
        <f aca="0">IF(B188="","",SUMPRODUCT((실물목록!$P$2:$P$1001&lt;&gt;"")*ISNUMBER(SEARCH(실물목록!$P$2:$P$1001,I188))*(실물목록!$Q$2:$Q$1001&lt;&gt;"")*ISNUMBER(SEARCH(실물목록!$Q$2:$Q$1001,I188))*(실물목록!$R$2:$R$1001="")*(실물목록!$O$2:$O$1001&lt;&gt;"")*(실물목록!$O$2:$O$1001=H188)))</f>
      </c>
      <c r="H188" t="str">
        <f>IFERROR(IF(AND(LEN(SUBSTITUTE(SUBSTITUTE(SUBSTITUTE(TRIM(A188&amp;""),CHAR(160),"")," ",""),"년",""))=4,VALUE(SUBSTITUTE(SUBSTITUTE(SUBSTITUTE(TRIM(A188&amp;""),CHAR(160),"")," ",""),"년",""))&gt;=1900,VALUE(SUBSTITUTE(SUBSTITUTE(SUBSTITUTE(TRIM(A188&amp;""),CHAR(160),"")," ",""),"년",""))&lt;=2099,TEXT(VALUE(SUBSTITUTE(SUBSTITUTE(SUBSTITUTE(TRIM(A188&amp;""),CHAR(160),"")," ",""),"년","")),"0000")=SUBSTITUTE(SUBSTITUTE(SUBSTITUTE(TRIM(A188&amp;""),CHAR(160),"")," ",""),"년","")),SUBSTITUTE(SUBSTITUTE(SUBSTITUTE(TRIM(A188&amp;""),CHAR(160),"")," ",""),"년",""),""),"")</f>
      </c>
      <c r="I188" t="str">
        <f>SUBSTITUTE(SUBSTITUTE(SUBSTITUTE(SUBSTITUTE(SUBSTITUTE(TRIM(B188&amp;""),CHAR(160),"")," ",""),"초등학교","초"),"중학교","중"),"고등학교","고")</f>
      </c>
    </row>
    <row r="189" customFormat="false" ht="15" hidden="false" customHeight="false" outlineLevel="0" collapsed="false">
      <c r="A189" s="8"/>
      <c r="B189" s="8"/>
      <c r="C189" s="8"/>
      <c r="D189" s="8"/>
      <c r="E189" s="8"/>
      <c r="F189" t="str" s="15">
        <f aca="0">IF(B189="","",IF(H189="","확인필요(입력누락)",IF(SUMPRODUCT((실물목록!$P$2:$P$1001&lt;&gt;"")*ISNUMBER(SEARCH(실물목록!$P$2:$P$1001,I189))*(실물목록!$Q$2:$Q$1001&lt;&gt;"")*ISNUMBER(SEARCH(실물목록!$Q$2:$Q$1001,I189))*(실물목록!$R$2:$R$1001="")*(실물목록!$O$2:$O$1001&lt;&gt;"")*(실물목록!$O$2:$O$1001=H189))&gt;0,"실물 있음",IF(SUMPRODUCT((실물목록!$P$2:$P$1001&lt;&gt;"")*ISNUMBER(SEARCH(실물목록!$P$2:$P$1001,I189))*(실물목록!$R$2:$R$1001&lt;&gt;""))&gt;0,"확인필요(입력누락)",IF(SUMPRODUCT((실물목록!$P$2:$P$1001&lt;&gt;"")*ISNUMBER(SEARCH(실물목록!$P$2:$P$1001,I189))*(실물목록!$Q$2:$Q$1001&lt;&gt;"")*ISNUMBER(SEARCH(실물목록!$Q$2:$Q$1001,I189))*(실물목록!$R$2:$R$1001="")*(실물목록!$O$2:$O$1001&lt;&gt;""))&gt;0,"확인필요(연도다름)","실물 없음")))))</f>
      </c>
      <c r="G189" t="n" s="16">
        <f aca="0">IF(B189="","",SUMPRODUCT((실물목록!$P$2:$P$1001&lt;&gt;"")*ISNUMBER(SEARCH(실물목록!$P$2:$P$1001,I189))*(실물목록!$Q$2:$Q$1001&lt;&gt;"")*ISNUMBER(SEARCH(실물목록!$Q$2:$Q$1001,I189))*(실물목록!$R$2:$R$1001="")*(실물목록!$O$2:$O$1001&lt;&gt;"")*(실물목록!$O$2:$O$1001=H189)))</f>
      </c>
      <c r="H189" t="str">
        <f>IFERROR(IF(AND(LEN(SUBSTITUTE(SUBSTITUTE(SUBSTITUTE(TRIM(A189&amp;""),CHAR(160),"")," ",""),"년",""))=4,VALUE(SUBSTITUTE(SUBSTITUTE(SUBSTITUTE(TRIM(A189&amp;""),CHAR(160),"")," ",""),"년",""))&gt;=1900,VALUE(SUBSTITUTE(SUBSTITUTE(SUBSTITUTE(TRIM(A189&amp;""),CHAR(160),"")," ",""),"년",""))&lt;=2099,TEXT(VALUE(SUBSTITUTE(SUBSTITUTE(SUBSTITUTE(TRIM(A189&amp;""),CHAR(160),"")," ",""),"년","")),"0000")=SUBSTITUTE(SUBSTITUTE(SUBSTITUTE(TRIM(A189&amp;""),CHAR(160),"")," ",""),"년","")),SUBSTITUTE(SUBSTITUTE(SUBSTITUTE(TRIM(A189&amp;""),CHAR(160),"")," ",""),"년",""),""),"")</f>
      </c>
      <c r="I189" t="str">
        <f>SUBSTITUTE(SUBSTITUTE(SUBSTITUTE(SUBSTITUTE(SUBSTITUTE(TRIM(B189&amp;""),CHAR(160),"")," ",""),"초등학교","초"),"중학교","중"),"고등학교","고")</f>
      </c>
    </row>
    <row r="190" customFormat="false" ht="15" hidden="false" customHeight="false" outlineLevel="0" collapsed="false">
      <c r="A190" s="8"/>
      <c r="B190" s="8"/>
      <c r="C190" s="8"/>
      <c r="D190" s="8"/>
      <c r="E190" s="8"/>
      <c r="F190" t="str" s="15">
        <f aca="0">IF(B190="","",IF(H190="","확인필요(입력누락)",IF(SUMPRODUCT((실물목록!$P$2:$P$1001&lt;&gt;"")*ISNUMBER(SEARCH(실물목록!$P$2:$P$1001,I190))*(실물목록!$Q$2:$Q$1001&lt;&gt;"")*ISNUMBER(SEARCH(실물목록!$Q$2:$Q$1001,I190))*(실물목록!$R$2:$R$1001="")*(실물목록!$O$2:$O$1001&lt;&gt;"")*(실물목록!$O$2:$O$1001=H190))&gt;0,"실물 있음",IF(SUMPRODUCT((실물목록!$P$2:$P$1001&lt;&gt;"")*ISNUMBER(SEARCH(실물목록!$P$2:$P$1001,I190))*(실물목록!$R$2:$R$1001&lt;&gt;""))&gt;0,"확인필요(입력누락)",IF(SUMPRODUCT((실물목록!$P$2:$P$1001&lt;&gt;"")*ISNUMBER(SEARCH(실물목록!$P$2:$P$1001,I190))*(실물목록!$Q$2:$Q$1001&lt;&gt;"")*ISNUMBER(SEARCH(실물목록!$Q$2:$Q$1001,I190))*(실물목록!$R$2:$R$1001="")*(실물목록!$O$2:$O$1001&lt;&gt;""))&gt;0,"확인필요(연도다름)","실물 없음")))))</f>
      </c>
      <c r="G190" t="n" s="16">
        <f aca="0">IF(B190="","",SUMPRODUCT((실물목록!$P$2:$P$1001&lt;&gt;"")*ISNUMBER(SEARCH(실물목록!$P$2:$P$1001,I190))*(실물목록!$Q$2:$Q$1001&lt;&gt;"")*ISNUMBER(SEARCH(실물목록!$Q$2:$Q$1001,I190))*(실물목록!$R$2:$R$1001="")*(실물목록!$O$2:$O$1001&lt;&gt;"")*(실물목록!$O$2:$O$1001=H190)))</f>
      </c>
      <c r="H190" t="str">
        <f>IFERROR(IF(AND(LEN(SUBSTITUTE(SUBSTITUTE(SUBSTITUTE(TRIM(A190&amp;""),CHAR(160),"")," ",""),"년",""))=4,VALUE(SUBSTITUTE(SUBSTITUTE(SUBSTITUTE(TRIM(A190&amp;""),CHAR(160),"")," ",""),"년",""))&gt;=1900,VALUE(SUBSTITUTE(SUBSTITUTE(SUBSTITUTE(TRIM(A190&amp;""),CHAR(160),"")," ",""),"년",""))&lt;=2099,TEXT(VALUE(SUBSTITUTE(SUBSTITUTE(SUBSTITUTE(TRIM(A190&amp;""),CHAR(160),"")," ",""),"년","")),"0000")=SUBSTITUTE(SUBSTITUTE(SUBSTITUTE(TRIM(A190&amp;""),CHAR(160),"")," ",""),"년","")),SUBSTITUTE(SUBSTITUTE(SUBSTITUTE(TRIM(A190&amp;""),CHAR(160),"")," ",""),"년",""),""),"")</f>
      </c>
      <c r="I190" t="str">
        <f>SUBSTITUTE(SUBSTITUTE(SUBSTITUTE(SUBSTITUTE(SUBSTITUTE(TRIM(B190&amp;""),CHAR(160),"")," ",""),"초등학교","초"),"중학교","중"),"고등학교","고")</f>
      </c>
    </row>
    <row r="191" customFormat="false" ht="15" hidden="false" customHeight="false" outlineLevel="0" collapsed="false">
      <c r="A191" s="8"/>
      <c r="B191" s="8"/>
      <c r="C191" s="8"/>
      <c r="D191" s="8"/>
      <c r="E191" s="8"/>
      <c r="F191" t="str" s="15">
        <f aca="0">IF(B191="","",IF(H191="","확인필요(입력누락)",IF(SUMPRODUCT((실물목록!$P$2:$P$1001&lt;&gt;"")*ISNUMBER(SEARCH(실물목록!$P$2:$P$1001,I191))*(실물목록!$Q$2:$Q$1001&lt;&gt;"")*ISNUMBER(SEARCH(실물목록!$Q$2:$Q$1001,I191))*(실물목록!$R$2:$R$1001="")*(실물목록!$O$2:$O$1001&lt;&gt;"")*(실물목록!$O$2:$O$1001=H191))&gt;0,"실물 있음",IF(SUMPRODUCT((실물목록!$P$2:$P$1001&lt;&gt;"")*ISNUMBER(SEARCH(실물목록!$P$2:$P$1001,I191))*(실물목록!$R$2:$R$1001&lt;&gt;""))&gt;0,"확인필요(입력누락)",IF(SUMPRODUCT((실물목록!$P$2:$P$1001&lt;&gt;"")*ISNUMBER(SEARCH(실물목록!$P$2:$P$1001,I191))*(실물목록!$Q$2:$Q$1001&lt;&gt;"")*ISNUMBER(SEARCH(실물목록!$Q$2:$Q$1001,I191))*(실물목록!$R$2:$R$1001="")*(실물목록!$O$2:$O$1001&lt;&gt;""))&gt;0,"확인필요(연도다름)","실물 없음")))))</f>
      </c>
      <c r="G191" t="n" s="16">
        <f aca="0">IF(B191="","",SUMPRODUCT((실물목록!$P$2:$P$1001&lt;&gt;"")*ISNUMBER(SEARCH(실물목록!$P$2:$P$1001,I191))*(실물목록!$Q$2:$Q$1001&lt;&gt;"")*ISNUMBER(SEARCH(실물목록!$Q$2:$Q$1001,I191))*(실물목록!$R$2:$R$1001="")*(실물목록!$O$2:$O$1001&lt;&gt;"")*(실물목록!$O$2:$O$1001=H191)))</f>
      </c>
      <c r="H191" t="str">
        <f>IFERROR(IF(AND(LEN(SUBSTITUTE(SUBSTITUTE(SUBSTITUTE(TRIM(A191&amp;""),CHAR(160),"")," ",""),"년",""))=4,VALUE(SUBSTITUTE(SUBSTITUTE(SUBSTITUTE(TRIM(A191&amp;""),CHAR(160),"")," ",""),"년",""))&gt;=1900,VALUE(SUBSTITUTE(SUBSTITUTE(SUBSTITUTE(TRIM(A191&amp;""),CHAR(160),"")," ",""),"년",""))&lt;=2099,TEXT(VALUE(SUBSTITUTE(SUBSTITUTE(SUBSTITUTE(TRIM(A191&amp;""),CHAR(160),"")," ",""),"년","")),"0000")=SUBSTITUTE(SUBSTITUTE(SUBSTITUTE(TRIM(A191&amp;""),CHAR(160),"")," ",""),"년","")),SUBSTITUTE(SUBSTITUTE(SUBSTITUTE(TRIM(A191&amp;""),CHAR(160),"")," ",""),"년",""),""),"")</f>
      </c>
      <c r="I191" t="str">
        <f>SUBSTITUTE(SUBSTITUTE(SUBSTITUTE(SUBSTITUTE(SUBSTITUTE(TRIM(B191&amp;""),CHAR(160),"")," ",""),"초등학교","초"),"중학교","중"),"고등학교","고")</f>
      </c>
    </row>
    <row r="192" customFormat="false" ht="15" hidden="false" customHeight="false" outlineLevel="0" collapsed="false">
      <c r="A192" s="8"/>
      <c r="B192" s="8"/>
      <c r="C192" s="8"/>
      <c r="D192" s="8"/>
      <c r="E192" s="8"/>
      <c r="F192" t="str" s="15">
        <f aca="0">IF(B192="","",IF(H192="","확인필요(입력누락)",IF(SUMPRODUCT((실물목록!$P$2:$P$1001&lt;&gt;"")*ISNUMBER(SEARCH(실물목록!$P$2:$P$1001,I192))*(실물목록!$Q$2:$Q$1001&lt;&gt;"")*ISNUMBER(SEARCH(실물목록!$Q$2:$Q$1001,I192))*(실물목록!$R$2:$R$1001="")*(실물목록!$O$2:$O$1001&lt;&gt;"")*(실물목록!$O$2:$O$1001=H192))&gt;0,"실물 있음",IF(SUMPRODUCT((실물목록!$P$2:$P$1001&lt;&gt;"")*ISNUMBER(SEARCH(실물목록!$P$2:$P$1001,I192))*(실물목록!$R$2:$R$1001&lt;&gt;""))&gt;0,"확인필요(입력누락)",IF(SUMPRODUCT((실물목록!$P$2:$P$1001&lt;&gt;"")*ISNUMBER(SEARCH(실물목록!$P$2:$P$1001,I192))*(실물목록!$Q$2:$Q$1001&lt;&gt;"")*ISNUMBER(SEARCH(실물목록!$Q$2:$Q$1001,I192))*(실물목록!$R$2:$R$1001="")*(실물목록!$O$2:$O$1001&lt;&gt;""))&gt;0,"확인필요(연도다름)","실물 없음")))))</f>
      </c>
      <c r="G192" t="n" s="16">
        <f aca="0">IF(B192="","",SUMPRODUCT((실물목록!$P$2:$P$1001&lt;&gt;"")*ISNUMBER(SEARCH(실물목록!$P$2:$P$1001,I192))*(실물목록!$Q$2:$Q$1001&lt;&gt;"")*ISNUMBER(SEARCH(실물목록!$Q$2:$Q$1001,I192))*(실물목록!$R$2:$R$1001="")*(실물목록!$O$2:$O$1001&lt;&gt;"")*(실물목록!$O$2:$O$1001=H192)))</f>
      </c>
      <c r="H192" t="str">
        <f>IFERROR(IF(AND(LEN(SUBSTITUTE(SUBSTITUTE(SUBSTITUTE(TRIM(A192&amp;""),CHAR(160),"")," ",""),"년",""))=4,VALUE(SUBSTITUTE(SUBSTITUTE(SUBSTITUTE(TRIM(A192&amp;""),CHAR(160),"")," ",""),"년",""))&gt;=1900,VALUE(SUBSTITUTE(SUBSTITUTE(SUBSTITUTE(TRIM(A192&amp;""),CHAR(160),"")," ",""),"년",""))&lt;=2099,TEXT(VALUE(SUBSTITUTE(SUBSTITUTE(SUBSTITUTE(TRIM(A192&amp;""),CHAR(160),"")," ",""),"년","")),"0000")=SUBSTITUTE(SUBSTITUTE(SUBSTITUTE(TRIM(A192&amp;""),CHAR(160),"")," ",""),"년","")),SUBSTITUTE(SUBSTITUTE(SUBSTITUTE(TRIM(A192&amp;""),CHAR(160),"")," ",""),"년",""),""),"")</f>
      </c>
      <c r="I192" t="str">
        <f>SUBSTITUTE(SUBSTITUTE(SUBSTITUTE(SUBSTITUTE(SUBSTITUTE(TRIM(B192&amp;""),CHAR(160),"")," ",""),"초등학교","초"),"중학교","중"),"고등학교","고")</f>
      </c>
    </row>
    <row r="193" customFormat="false" ht="15" hidden="false" customHeight="false" outlineLevel="0" collapsed="false">
      <c r="A193" s="8"/>
      <c r="B193" s="8"/>
      <c r="C193" s="8"/>
      <c r="D193" s="8"/>
      <c r="E193" s="8"/>
      <c r="F193" t="str" s="15">
        <f aca="0">IF(B193="","",IF(H193="","확인필요(입력누락)",IF(SUMPRODUCT((실물목록!$P$2:$P$1001&lt;&gt;"")*ISNUMBER(SEARCH(실물목록!$P$2:$P$1001,I193))*(실물목록!$Q$2:$Q$1001&lt;&gt;"")*ISNUMBER(SEARCH(실물목록!$Q$2:$Q$1001,I193))*(실물목록!$R$2:$R$1001="")*(실물목록!$O$2:$O$1001&lt;&gt;"")*(실물목록!$O$2:$O$1001=H193))&gt;0,"실물 있음",IF(SUMPRODUCT((실물목록!$P$2:$P$1001&lt;&gt;"")*ISNUMBER(SEARCH(실물목록!$P$2:$P$1001,I193))*(실물목록!$R$2:$R$1001&lt;&gt;""))&gt;0,"확인필요(입력누락)",IF(SUMPRODUCT((실물목록!$P$2:$P$1001&lt;&gt;"")*ISNUMBER(SEARCH(실물목록!$P$2:$P$1001,I193))*(실물목록!$Q$2:$Q$1001&lt;&gt;"")*ISNUMBER(SEARCH(실물목록!$Q$2:$Q$1001,I193))*(실물목록!$R$2:$R$1001="")*(실물목록!$O$2:$O$1001&lt;&gt;""))&gt;0,"확인필요(연도다름)","실물 없음")))))</f>
      </c>
      <c r="G193" t="n" s="16">
        <f aca="0">IF(B193="","",SUMPRODUCT((실물목록!$P$2:$P$1001&lt;&gt;"")*ISNUMBER(SEARCH(실물목록!$P$2:$P$1001,I193))*(실물목록!$Q$2:$Q$1001&lt;&gt;"")*ISNUMBER(SEARCH(실물목록!$Q$2:$Q$1001,I193))*(실물목록!$R$2:$R$1001="")*(실물목록!$O$2:$O$1001&lt;&gt;"")*(실물목록!$O$2:$O$1001=H193)))</f>
      </c>
      <c r="H193" t="str">
        <f>IFERROR(IF(AND(LEN(SUBSTITUTE(SUBSTITUTE(SUBSTITUTE(TRIM(A193&amp;""),CHAR(160),"")," ",""),"년",""))=4,VALUE(SUBSTITUTE(SUBSTITUTE(SUBSTITUTE(TRIM(A193&amp;""),CHAR(160),"")," ",""),"년",""))&gt;=1900,VALUE(SUBSTITUTE(SUBSTITUTE(SUBSTITUTE(TRIM(A193&amp;""),CHAR(160),"")," ",""),"년",""))&lt;=2099,TEXT(VALUE(SUBSTITUTE(SUBSTITUTE(SUBSTITUTE(TRIM(A193&amp;""),CHAR(160),"")," ",""),"년","")),"0000")=SUBSTITUTE(SUBSTITUTE(SUBSTITUTE(TRIM(A193&amp;""),CHAR(160),"")," ",""),"년","")),SUBSTITUTE(SUBSTITUTE(SUBSTITUTE(TRIM(A193&amp;""),CHAR(160),"")," ",""),"년",""),""),"")</f>
      </c>
      <c r="I193" t="str">
        <f>SUBSTITUTE(SUBSTITUTE(SUBSTITUTE(SUBSTITUTE(SUBSTITUTE(TRIM(B193&amp;""),CHAR(160),"")," ",""),"초등학교","초"),"중학교","중"),"고등학교","고")</f>
      </c>
    </row>
    <row r="194" customFormat="false" ht="15" hidden="false" customHeight="false" outlineLevel="0" collapsed="false">
      <c r="A194" s="8"/>
      <c r="B194" s="8"/>
      <c r="C194" s="8"/>
      <c r="D194" s="8"/>
      <c r="E194" s="8"/>
      <c r="F194" t="str" s="15">
        <f aca="0">IF(B194="","",IF(H194="","확인필요(입력누락)",IF(SUMPRODUCT((실물목록!$P$2:$P$1001&lt;&gt;"")*ISNUMBER(SEARCH(실물목록!$P$2:$P$1001,I194))*(실물목록!$Q$2:$Q$1001&lt;&gt;"")*ISNUMBER(SEARCH(실물목록!$Q$2:$Q$1001,I194))*(실물목록!$R$2:$R$1001="")*(실물목록!$O$2:$O$1001&lt;&gt;"")*(실물목록!$O$2:$O$1001=H194))&gt;0,"실물 있음",IF(SUMPRODUCT((실물목록!$P$2:$P$1001&lt;&gt;"")*ISNUMBER(SEARCH(실물목록!$P$2:$P$1001,I194))*(실물목록!$R$2:$R$1001&lt;&gt;""))&gt;0,"확인필요(입력누락)",IF(SUMPRODUCT((실물목록!$P$2:$P$1001&lt;&gt;"")*ISNUMBER(SEARCH(실물목록!$P$2:$P$1001,I194))*(실물목록!$Q$2:$Q$1001&lt;&gt;"")*ISNUMBER(SEARCH(실물목록!$Q$2:$Q$1001,I194))*(실물목록!$R$2:$R$1001="")*(실물목록!$O$2:$O$1001&lt;&gt;""))&gt;0,"확인필요(연도다름)","실물 없음")))))</f>
      </c>
      <c r="G194" t="n" s="16">
        <f aca="0">IF(B194="","",SUMPRODUCT((실물목록!$P$2:$P$1001&lt;&gt;"")*ISNUMBER(SEARCH(실물목록!$P$2:$P$1001,I194))*(실물목록!$Q$2:$Q$1001&lt;&gt;"")*ISNUMBER(SEARCH(실물목록!$Q$2:$Q$1001,I194))*(실물목록!$R$2:$R$1001="")*(실물목록!$O$2:$O$1001&lt;&gt;"")*(실물목록!$O$2:$O$1001=H194)))</f>
      </c>
      <c r="H194" t="str">
        <f>IFERROR(IF(AND(LEN(SUBSTITUTE(SUBSTITUTE(SUBSTITUTE(TRIM(A194&amp;""),CHAR(160),"")," ",""),"년",""))=4,VALUE(SUBSTITUTE(SUBSTITUTE(SUBSTITUTE(TRIM(A194&amp;""),CHAR(160),"")," ",""),"년",""))&gt;=1900,VALUE(SUBSTITUTE(SUBSTITUTE(SUBSTITUTE(TRIM(A194&amp;""),CHAR(160),"")," ",""),"년",""))&lt;=2099,TEXT(VALUE(SUBSTITUTE(SUBSTITUTE(SUBSTITUTE(TRIM(A194&amp;""),CHAR(160),"")," ",""),"년","")),"0000")=SUBSTITUTE(SUBSTITUTE(SUBSTITUTE(TRIM(A194&amp;""),CHAR(160),"")," ",""),"년","")),SUBSTITUTE(SUBSTITUTE(SUBSTITUTE(TRIM(A194&amp;""),CHAR(160),"")," ",""),"년",""),""),"")</f>
      </c>
      <c r="I194" t="str">
        <f>SUBSTITUTE(SUBSTITUTE(SUBSTITUTE(SUBSTITUTE(SUBSTITUTE(TRIM(B194&amp;""),CHAR(160),"")," ",""),"초등학교","초"),"중학교","중"),"고등학교","고")</f>
      </c>
    </row>
    <row r="195" customFormat="false" ht="15" hidden="false" customHeight="false" outlineLevel="0" collapsed="false">
      <c r="A195" s="8"/>
      <c r="B195" s="8"/>
      <c r="C195" s="8"/>
      <c r="D195" s="8"/>
      <c r="E195" s="8"/>
      <c r="F195" t="str" s="15">
        <f aca="0">IF(B195="","",IF(H195="","확인필요(입력누락)",IF(SUMPRODUCT((실물목록!$P$2:$P$1001&lt;&gt;"")*ISNUMBER(SEARCH(실물목록!$P$2:$P$1001,I195))*(실물목록!$Q$2:$Q$1001&lt;&gt;"")*ISNUMBER(SEARCH(실물목록!$Q$2:$Q$1001,I195))*(실물목록!$R$2:$R$1001="")*(실물목록!$O$2:$O$1001&lt;&gt;"")*(실물목록!$O$2:$O$1001=H195))&gt;0,"실물 있음",IF(SUMPRODUCT((실물목록!$P$2:$P$1001&lt;&gt;"")*ISNUMBER(SEARCH(실물목록!$P$2:$P$1001,I195))*(실물목록!$R$2:$R$1001&lt;&gt;""))&gt;0,"확인필요(입력누락)",IF(SUMPRODUCT((실물목록!$P$2:$P$1001&lt;&gt;"")*ISNUMBER(SEARCH(실물목록!$P$2:$P$1001,I195))*(실물목록!$Q$2:$Q$1001&lt;&gt;"")*ISNUMBER(SEARCH(실물목록!$Q$2:$Q$1001,I195))*(실물목록!$R$2:$R$1001="")*(실물목록!$O$2:$O$1001&lt;&gt;""))&gt;0,"확인필요(연도다름)","실물 없음")))))</f>
      </c>
      <c r="G195" t="n" s="16">
        <f aca="0">IF(B195="","",SUMPRODUCT((실물목록!$P$2:$P$1001&lt;&gt;"")*ISNUMBER(SEARCH(실물목록!$P$2:$P$1001,I195))*(실물목록!$Q$2:$Q$1001&lt;&gt;"")*ISNUMBER(SEARCH(실물목록!$Q$2:$Q$1001,I195))*(실물목록!$R$2:$R$1001="")*(실물목록!$O$2:$O$1001&lt;&gt;"")*(실물목록!$O$2:$O$1001=H195)))</f>
      </c>
      <c r="H195" t="str">
        <f>IFERROR(IF(AND(LEN(SUBSTITUTE(SUBSTITUTE(SUBSTITUTE(TRIM(A195&amp;""),CHAR(160),"")," ",""),"년",""))=4,VALUE(SUBSTITUTE(SUBSTITUTE(SUBSTITUTE(TRIM(A195&amp;""),CHAR(160),"")," ",""),"년",""))&gt;=1900,VALUE(SUBSTITUTE(SUBSTITUTE(SUBSTITUTE(TRIM(A195&amp;""),CHAR(160),"")," ",""),"년",""))&lt;=2099,TEXT(VALUE(SUBSTITUTE(SUBSTITUTE(SUBSTITUTE(TRIM(A195&amp;""),CHAR(160),"")," ",""),"년","")),"0000")=SUBSTITUTE(SUBSTITUTE(SUBSTITUTE(TRIM(A195&amp;""),CHAR(160),"")," ",""),"년","")),SUBSTITUTE(SUBSTITUTE(SUBSTITUTE(TRIM(A195&amp;""),CHAR(160),"")," ",""),"년",""),""),"")</f>
      </c>
      <c r="I195" t="str">
        <f>SUBSTITUTE(SUBSTITUTE(SUBSTITUTE(SUBSTITUTE(SUBSTITUTE(TRIM(B195&amp;""),CHAR(160),"")," ",""),"초등학교","초"),"중학교","중"),"고등학교","고")</f>
      </c>
    </row>
    <row r="196" customFormat="false" ht="15" hidden="false" customHeight="false" outlineLevel="0" collapsed="false">
      <c r="A196" s="8"/>
      <c r="B196" s="8"/>
      <c r="C196" s="8"/>
      <c r="D196" s="8"/>
      <c r="E196" s="8"/>
      <c r="F196" t="str" s="15">
        <f aca="0">IF(B196="","",IF(H196="","확인필요(입력누락)",IF(SUMPRODUCT((실물목록!$P$2:$P$1001&lt;&gt;"")*ISNUMBER(SEARCH(실물목록!$P$2:$P$1001,I196))*(실물목록!$Q$2:$Q$1001&lt;&gt;"")*ISNUMBER(SEARCH(실물목록!$Q$2:$Q$1001,I196))*(실물목록!$R$2:$R$1001="")*(실물목록!$O$2:$O$1001&lt;&gt;"")*(실물목록!$O$2:$O$1001=H196))&gt;0,"실물 있음",IF(SUMPRODUCT((실물목록!$P$2:$P$1001&lt;&gt;"")*ISNUMBER(SEARCH(실물목록!$P$2:$P$1001,I196))*(실물목록!$R$2:$R$1001&lt;&gt;""))&gt;0,"확인필요(입력누락)",IF(SUMPRODUCT((실물목록!$P$2:$P$1001&lt;&gt;"")*ISNUMBER(SEARCH(실물목록!$P$2:$P$1001,I196))*(실물목록!$Q$2:$Q$1001&lt;&gt;"")*ISNUMBER(SEARCH(실물목록!$Q$2:$Q$1001,I196))*(실물목록!$R$2:$R$1001="")*(실물목록!$O$2:$O$1001&lt;&gt;""))&gt;0,"확인필요(연도다름)","실물 없음")))))</f>
      </c>
      <c r="G196" t="n" s="16">
        <f aca="0">IF(B196="","",SUMPRODUCT((실물목록!$P$2:$P$1001&lt;&gt;"")*ISNUMBER(SEARCH(실물목록!$P$2:$P$1001,I196))*(실물목록!$Q$2:$Q$1001&lt;&gt;"")*ISNUMBER(SEARCH(실물목록!$Q$2:$Q$1001,I196))*(실물목록!$R$2:$R$1001="")*(실물목록!$O$2:$O$1001&lt;&gt;"")*(실물목록!$O$2:$O$1001=H196)))</f>
      </c>
      <c r="H196" t="str">
        <f>IFERROR(IF(AND(LEN(SUBSTITUTE(SUBSTITUTE(SUBSTITUTE(TRIM(A196&amp;""),CHAR(160),"")," ",""),"년",""))=4,VALUE(SUBSTITUTE(SUBSTITUTE(SUBSTITUTE(TRIM(A196&amp;""),CHAR(160),"")," ",""),"년",""))&gt;=1900,VALUE(SUBSTITUTE(SUBSTITUTE(SUBSTITUTE(TRIM(A196&amp;""),CHAR(160),"")," ",""),"년",""))&lt;=2099,TEXT(VALUE(SUBSTITUTE(SUBSTITUTE(SUBSTITUTE(TRIM(A196&amp;""),CHAR(160),"")," ",""),"년","")),"0000")=SUBSTITUTE(SUBSTITUTE(SUBSTITUTE(TRIM(A196&amp;""),CHAR(160),"")," ",""),"년","")),SUBSTITUTE(SUBSTITUTE(SUBSTITUTE(TRIM(A196&amp;""),CHAR(160),"")," ",""),"년",""),""),"")</f>
      </c>
      <c r="I196" t="str">
        <f>SUBSTITUTE(SUBSTITUTE(SUBSTITUTE(SUBSTITUTE(SUBSTITUTE(TRIM(B196&amp;""),CHAR(160),"")," ",""),"초등학교","초"),"중학교","중"),"고등학교","고")</f>
      </c>
    </row>
    <row r="197" customFormat="false" ht="15" hidden="false" customHeight="false" outlineLevel="0" collapsed="false">
      <c r="A197" s="8"/>
      <c r="B197" s="8"/>
      <c r="C197" s="8"/>
      <c r="D197" s="8"/>
      <c r="E197" s="8"/>
      <c r="F197" t="str" s="15">
        <f aca="0">IF(B197="","",IF(H197="","확인필요(입력누락)",IF(SUMPRODUCT((실물목록!$P$2:$P$1001&lt;&gt;"")*ISNUMBER(SEARCH(실물목록!$P$2:$P$1001,I197))*(실물목록!$Q$2:$Q$1001&lt;&gt;"")*ISNUMBER(SEARCH(실물목록!$Q$2:$Q$1001,I197))*(실물목록!$R$2:$R$1001="")*(실물목록!$O$2:$O$1001&lt;&gt;"")*(실물목록!$O$2:$O$1001=H197))&gt;0,"실물 있음",IF(SUMPRODUCT((실물목록!$P$2:$P$1001&lt;&gt;"")*ISNUMBER(SEARCH(실물목록!$P$2:$P$1001,I197))*(실물목록!$R$2:$R$1001&lt;&gt;""))&gt;0,"확인필요(입력누락)",IF(SUMPRODUCT((실물목록!$P$2:$P$1001&lt;&gt;"")*ISNUMBER(SEARCH(실물목록!$P$2:$P$1001,I197))*(실물목록!$Q$2:$Q$1001&lt;&gt;"")*ISNUMBER(SEARCH(실물목록!$Q$2:$Q$1001,I197))*(실물목록!$R$2:$R$1001="")*(실물목록!$O$2:$O$1001&lt;&gt;""))&gt;0,"확인필요(연도다름)","실물 없음")))))</f>
      </c>
      <c r="G197" t="n" s="16">
        <f aca="0">IF(B197="","",SUMPRODUCT((실물목록!$P$2:$P$1001&lt;&gt;"")*ISNUMBER(SEARCH(실물목록!$P$2:$P$1001,I197))*(실물목록!$Q$2:$Q$1001&lt;&gt;"")*ISNUMBER(SEARCH(실물목록!$Q$2:$Q$1001,I197))*(실물목록!$R$2:$R$1001="")*(실물목록!$O$2:$O$1001&lt;&gt;"")*(실물목록!$O$2:$O$1001=H197)))</f>
      </c>
      <c r="H197" t="str">
        <f>IFERROR(IF(AND(LEN(SUBSTITUTE(SUBSTITUTE(SUBSTITUTE(TRIM(A197&amp;""),CHAR(160),"")," ",""),"년",""))=4,VALUE(SUBSTITUTE(SUBSTITUTE(SUBSTITUTE(TRIM(A197&amp;""),CHAR(160),"")," ",""),"년",""))&gt;=1900,VALUE(SUBSTITUTE(SUBSTITUTE(SUBSTITUTE(TRIM(A197&amp;""),CHAR(160),"")," ",""),"년",""))&lt;=2099,TEXT(VALUE(SUBSTITUTE(SUBSTITUTE(SUBSTITUTE(TRIM(A197&amp;""),CHAR(160),"")," ",""),"년","")),"0000")=SUBSTITUTE(SUBSTITUTE(SUBSTITUTE(TRIM(A197&amp;""),CHAR(160),"")," ",""),"년","")),SUBSTITUTE(SUBSTITUTE(SUBSTITUTE(TRIM(A197&amp;""),CHAR(160),"")," ",""),"년",""),""),"")</f>
      </c>
      <c r="I197" t="str">
        <f>SUBSTITUTE(SUBSTITUTE(SUBSTITUTE(SUBSTITUTE(SUBSTITUTE(TRIM(B197&amp;""),CHAR(160),"")," ",""),"초등학교","초"),"중학교","중"),"고등학교","고")</f>
      </c>
    </row>
    <row r="198" customFormat="false" ht="15" hidden="false" customHeight="false" outlineLevel="0" collapsed="false">
      <c r="A198" s="8"/>
      <c r="B198" s="8"/>
      <c r="C198" s="8"/>
      <c r="D198" s="8"/>
      <c r="E198" s="8"/>
      <c r="F198" t="str" s="15">
        <f aca="0">IF(B198="","",IF(H198="","확인필요(입력누락)",IF(SUMPRODUCT((실물목록!$P$2:$P$1001&lt;&gt;"")*ISNUMBER(SEARCH(실물목록!$P$2:$P$1001,I198))*(실물목록!$Q$2:$Q$1001&lt;&gt;"")*ISNUMBER(SEARCH(실물목록!$Q$2:$Q$1001,I198))*(실물목록!$R$2:$R$1001="")*(실물목록!$O$2:$O$1001&lt;&gt;"")*(실물목록!$O$2:$O$1001=H198))&gt;0,"실물 있음",IF(SUMPRODUCT((실물목록!$P$2:$P$1001&lt;&gt;"")*ISNUMBER(SEARCH(실물목록!$P$2:$P$1001,I198))*(실물목록!$R$2:$R$1001&lt;&gt;""))&gt;0,"확인필요(입력누락)",IF(SUMPRODUCT((실물목록!$P$2:$P$1001&lt;&gt;"")*ISNUMBER(SEARCH(실물목록!$P$2:$P$1001,I198))*(실물목록!$Q$2:$Q$1001&lt;&gt;"")*ISNUMBER(SEARCH(실물목록!$Q$2:$Q$1001,I198))*(실물목록!$R$2:$R$1001="")*(실물목록!$O$2:$O$1001&lt;&gt;""))&gt;0,"확인필요(연도다름)","실물 없음")))))</f>
      </c>
      <c r="G198" t="n" s="16">
        <f aca="0">IF(B198="","",SUMPRODUCT((실물목록!$P$2:$P$1001&lt;&gt;"")*ISNUMBER(SEARCH(실물목록!$P$2:$P$1001,I198))*(실물목록!$Q$2:$Q$1001&lt;&gt;"")*ISNUMBER(SEARCH(실물목록!$Q$2:$Q$1001,I198))*(실물목록!$R$2:$R$1001="")*(실물목록!$O$2:$O$1001&lt;&gt;"")*(실물목록!$O$2:$O$1001=H198)))</f>
      </c>
      <c r="H198" t="str">
        <f>IFERROR(IF(AND(LEN(SUBSTITUTE(SUBSTITUTE(SUBSTITUTE(TRIM(A198&amp;""),CHAR(160),"")," ",""),"년",""))=4,VALUE(SUBSTITUTE(SUBSTITUTE(SUBSTITUTE(TRIM(A198&amp;""),CHAR(160),"")," ",""),"년",""))&gt;=1900,VALUE(SUBSTITUTE(SUBSTITUTE(SUBSTITUTE(TRIM(A198&amp;""),CHAR(160),"")," ",""),"년",""))&lt;=2099,TEXT(VALUE(SUBSTITUTE(SUBSTITUTE(SUBSTITUTE(TRIM(A198&amp;""),CHAR(160),"")," ",""),"년","")),"0000")=SUBSTITUTE(SUBSTITUTE(SUBSTITUTE(TRIM(A198&amp;""),CHAR(160),"")," ",""),"년","")),SUBSTITUTE(SUBSTITUTE(SUBSTITUTE(TRIM(A198&amp;""),CHAR(160),"")," ",""),"년",""),""),"")</f>
      </c>
      <c r="I198" t="str">
        <f>SUBSTITUTE(SUBSTITUTE(SUBSTITUTE(SUBSTITUTE(SUBSTITUTE(TRIM(B198&amp;""),CHAR(160),"")," ",""),"초등학교","초"),"중학교","중"),"고등학교","고")</f>
      </c>
    </row>
    <row r="199" customFormat="false" ht="15" hidden="false" customHeight="false" outlineLevel="0" collapsed="false">
      <c r="A199" s="8"/>
      <c r="B199" s="8"/>
      <c r="C199" s="8"/>
      <c r="D199" s="8"/>
      <c r="E199" s="8"/>
      <c r="F199" t="str" s="15">
        <f aca="0">IF(B199="","",IF(H199="","확인필요(입력누락)",IF(SUMPRODUCT((실물목록!$P$2:$P$1001&lt;&gt;"")*ISNUMBER(SEARCH(실물목록!$P$2:$P$1001,I199))*(실물목록!$Q$2:$Q$1001&lt;&gt;"")*ISNUMBER(SEARCH(실물목록!$Q$2:$Q$1001,I199))*(실물목록!$R$2:$R$1001="")*(실물목록!$O$2:$O$1001&lt;&gt;"")*(실물목록!$O$2:$O$1001=H199))&gt;0,"실물 있음",IF(SUMPRODUCT((실물목록!$P$2:$P$1001&lt;&gt;"")*ISNUMBER(SEARCH(실물목록!$P$2:$P$1001,I199))*(실물목록!$R$2:$R$1001&lt;&gt;""))&gt;0,"확인필요(입력누락)",IF(SUMPRODUCT((실물목록!$P$2:$P$1001&lt;&gt;"")*ISNUMBER(SEARCH(실물목록!$P$2:$P$1001,I199))*(실물목록!$Q$2:$Q$1001&lt;&gt;"")*ISNUMBER(SEARCH(실물목록!$Q$2:$Q$1001,I199))*(실물목록!$R$2:$R$1001="")*(실물목록!$O$2:$O$1001&lt;&gt;""))&gt;0,"확인필요(연도다름)","실물 없음")))))</f>
      </c>
      <c r="G199" t="n" s="16">
        <f aca="0">IF(B199="","",SUMPRODUCT((실물목록!$P$2:$P$1001&lt;&gt;"")*ISNUMBER(SEARCH(실물목록!$P$2:$P$1001,I199))*(실물목록!$Q$2:$Q$1001&lt;&gt;"")*ISNUMBER(SEARCH(실물목록!$Q$2:$Q$1001,I199))*(실물목록!$R$2:$R$1001="")*(실물목록!$O$2:$O$1001&lt;&gt;"")*(실물목록!$O$2:$O$1001=H199)))</f>
      </c>
      <c r="H199" t="str">
        <f>IFERROR(IF(AND(LEN(SUBSTITUTE(SUBSTITUTE(SUBSTITUTE(TRIM(A199&amp;""),CHAR(160),"")," ",""),"년",""))=4,VALUE(SUBSTITUTE(SUBSTITUTE(SUBSTITUTE(TRIM(A199&amp;""),CHAR(160),"")," ",""),"년",""))&gt;=1900,VALUE(SUBSTITUTE(SUBSTITUTE(SUBSTITUTE(TRIM(A199&amp;""),CHAR(160),"")," ",""),"년",""))&lt;=2099,TEXT(VALUE(SUBSTITUTE(SUBSTITUTE(SUBSTITUTE(TRIM(A199&amp;""),CHAR(160),"")," ",""),"년","")),"0000")=SUBSTITUTE(SUBSTITUTE(SUBSTITUTE(TRIM(A199&amp;""),CHAR(160),"")," ",""),"년","")),SUBSTITUTE(SUBSTITUTE(SUBSTITUTE(TRIM(A199&amp;""),CHAR(160),"")," ",""),"년",""),""),"")</f>
      </c>
      <c r="I199" t="str">
        <f>SUBSTITUTE(SUBSTITUTE(SUBSTITUTE(SUBSTITUTE(SUBSTITUTE(TRIM(B199&amp;""),CHAR(160),"")," ",""),"초등학교","초"),"중학교","중"),"고등학교","고")</f>
      </c>
    </row>
    <row r="200" customFormat="false" ht="15" hidden="false" customHeight="false" outlineLevel="0" collapsed="false">
      <c r="A200" s="8"/>
      <c r="B200" s="8"/>
      <c r="C200" s="8"/>
      <c r="D200" s="8"/>
      <c r="E200" s="8"/>
      <c r="F200" t="str" s="15">
        <f aca="0">IF(B200="","",IF(H200="","확인필요(입력누락)",IF(SUMPRODUCT((실물목록!$P$2:$P$1001&lt;&gt;"")*ISNUMBER(SEARCH(실물목록!$P$2:$P$1001,I200))*(실물목록!$Q$2:$Q$1001&lt;&gt;"")*ISNUMBER(SEARCH(실물목록!$Q$2:$Q$1001,I200))*(실물목록!$R$2:$R$1001="")*(실물목록!$O$2:$O$1001&lt;&gt;"")*(실물목록!$O$2:$O$1001=H200))&gt;0,"실물 있음",IF(SUMPRODUCT((실물목록!$P$2:$P$1001&lt;&gt;"")*ISNUMBER(SEARCH(실물목록!$P$2:$P$1001,I200))*(실물목록!$R$2:$R$1001&lt;&gt;""))&gt;0,"확인필요(입력누락)",IF(SUMPRODUCT((실물목록!$P$2:$P$1001&lt;&gt;"")*ISNUMBER(SEARCH(실물목록!$P$2:$P$1001,I200))*(실물목록!$Q$2:$Q$1001&lt;&gt;"")*ISNUMBER(SEARCH(실물목록!$Q$2:$Q$1001,I200))*(실물목록!$R$2:$R$1001="")*(실물목록!$O$2:$O$1001&lt;&gt;""))&gt;0,"확인필요(연도다름)","실물 없음")))))</f>
      </c>
      <c r="G200" t="n" s="16">
        <f aca="0">IF(B200="","",SUMPRODUCT((실물목록!$P$2:$P$1001&lt;&gt;"")*ISNUMBER(SEARCH(실물목록!$P$2:$P$1001,I200))*(실물목록!$Q$2:$Q$1001&lt;&gt;"")*ISNUMBER(SEARCH(실물목록!$Q$2:$Q$1001,I200))*(실물목록!$R$2:$R$1001="")*(실물목록!$O$2:$O$1001&lt;&gt;"")*(실물목록!$O$2:$O$1001=H200)))</f>
      </c>
      <c r="H200" t="str">
        <f>IFERROR(IF(AND(LEN(SUBSTITUTE(SUBSTITUTE(SUBSTITUTE(TRIM(A200&amp;""),CHAR(160),"")," ",""),"년",""))=4,VALUE(SUBSTITUTE(SUBSTITUTE(SUBSTITUTE(TRIM(A200&amp;""),CHAR(160),"")," ",""),"년",""))&gt;=1900,VALUE(SUBSTITUTE(SUBSTITUTE(SUBSTITUTE(TRIM(A200&amp;""),CHAR(160),"")," ",""),"년",""))&lt;=2099,TEXT(VALUE(SUBSTITUTE(SUBSTITUTE(SUBSTITUTE(TRIM(A200&amp;""),CHAR(160),"")," ",""),"년","")),"0000")=SUBSTITUTE(SUBSTITUTE(SUBSTITUTE(TRIM(A200&amp;""),CHAR(160),"")," ",""),"년","")),SUBSTITUTE(SUBSTITUTE(SUBSTITUTE(TRIM(A200&amp;""),CHAR(160),"")," ",""),"년",""),""),"")</f>
      </c>
      <c r="I200" t="str">
        <f>SUBSTITUTE(SUBSTITUTE(SUBSTITUTE(SUBSTITUTE(SUBSTITUTE(TRIM(B200&amp;""),CHAR(160),"")," ",""),"초등학교","초"),"중학교","중"),"고등학교","고")</f>
      </c>
    </row>
    <row r="201" customFormat="false" ht="15" hidden="false" customHeight="false" outlineLevel="0" collapsed="false">
      <c r="A201" s="8"/>
      <c r="B201" s="8"/>
      <c r="C201" s="8"/>
      <c r="D201" s="8"/>
      <c r="E201" s="8"/>
      <c r="F201" t="str" s="15">
        <f aca="0">IF(B201="","",IF(H201="","확인필요(입력누락)",IF(SUMPRODUCT((실물목록!$P$2:$P$1001&lt;&gt;"")*ISNUMBER(SEARCH(실물목록!$P$2:$P$1001,I201))*(실물목록!$Q$2:$Q$1001&lt;&gt;"")*ISNUMBER(SEARCH(실물목록!$Q$2:$Q$1001,I201))*(실물목록!$R$2:$R$1001="")*(실물목록!$O$2:$O$1001&lt;&gt;"")*(실물목록!$O$2:$O$1001=H201))&gt;0,"실물 있음",IF(SUMPRODUCT((실물목록!$P$2:$P$1001&lt;&gt;"")*ISNUMBER(SEARCH(실물목록!$P$2:$P$1001,I201))*(실물목록!$R$2:$R$1001&lt;&gt;""))&gt;0,"확인필요(입력누락)",IF(SUMPRODUCT((실물목록!$P$2:$P$1001&lt;&gt;"")*ISNUMBER(SEARCH(실물목록!$P$2:$P$1001,I201))*(실물목록!$Q$2:$Q$1001&lt;&gt;"")*ISNUMBER(SEARCH(실물목록!$Q$2:$Q$1001,I201))*(실물목록!$R$2:$R$1001="")*(실물목록!$O$2:$O$1001&lt;&gt;""))&gt;0,"확인필요(연도다름)","실물 없음")))))</f>
      </c>
      <c r="G201" t="n" s="16">
        <f aca="0">IF(B201="","",SUMPRODUCT((실물목록!$P$2:$P$1001&lt;&gt;"")*ISNUMBER(SEARCH(실물목록!$P$2:$P$1001,I201))*(실물목록!$Q$2:$Q$1001&lt;&gt;"")*ISNUMBER(SEARCH(실물목록!$Q$2:$Q$1001,I201))*(실물목록!$R$2:$R$1001="")*(실물목록!$O$2:$O$1001&lt;&gt;"")*(실물목록!$O$2:$O$1001=H201)))</f>
      </c>
      <c r="H201" t="str">
        <f>IFERROR(IF(AND(LEN(SUBSTITUTE(SUBSTITUTE(SUBSTITUTE(TRIM(A201&amp;""),CHAR(160),"")," ",""),"년",""))=4,VALUE(SUBSTITUTE(SUBSTITUTE(SUBSTITUTE(TRIM(A201&amp;""),CHAR(160),"")," ",""),"년",""))&gt;=1900,VALUE(SUBSTITUTE(SUBSTITUTE(SUBSTITUTE(TRIM(A201&amp;""),CHAR(160),"")," ",""),"년",""))&lt;=2099,TEXT(VALUE(SUBSTITUTE(SUBSTITUTE(SUBSTITUTE(TRIM(A201&amp;""),CHAR(160),"")," ",""),"년","")),"0000")=SUBSTITUTE(SUBSTITUTE(SUBSTITUTE(TRIM(A201&amp;""),CHAR(160),"")," ",""),"년","")),SUBSTITUTE(SUBSTITUTE(SUBSTITUTE(TRIM(A201&amp;""),CHAR(160),"")," ",""),"년",""),""),"")</f>
      </c>
      <c r="I201" t="str">
        <f>SUBSTITUTE(SUBSTITUTE(SUBSTITUTE(SUBSTITUTE(SUBSTITUTE(TRIM(B201&amp;""),CHAR(160),"")," ",""),"초등학교","초"),"중학교","중"),"고등학교","고")</f>
      </c>
    </row>
    <row r="202" customFormat="false" ht="15" hidden="false" customHeight="false" outlineLevel="0" collapsed="false">
      <c r="A202" s="8"/>
      <c r="B202" s="8"/>
      <c r="C202" s="8"/>
      <c r="D202" s="8"/>
      <c r="E202" s="8"/>
      <c r="F202" t="str" s="15">
        <f aca="0">IF(B202="","",IF(H202="","확인필요(입력누락)",IF(SUMPRODUCT((실물목록!$P$2:$P$1001&lt;&gt;"")*ISNUMBER(SEARCH(실물목록!$P$2:$P$1001,I202))*(실물목록!$Q$2:$Q$1001&lt;&gt;"")*ISNUMBER(SEARCH(실물목록!$Q$2:$Q$1001,I202))*(실물목록!$R$2:$R$1001="")*(실물목록!$O$2:$O$1001&lt;&gt;"")*(실물목록!$O$2:$O$1001=H202))&gt;0,"실물 있음",IF(SUMPRODUCT((실물목록!$P$2:$P$1001&lt;&gt;"")*ISNUMBER(SEARCH(실물목록!$P$2:$P$1001,I202))*(실물목록!$R$2:$R$1001&lt;&gt;""))&gt;0,"확인필요(입력누락)",IF(SUMPRODUCT((실물목록!$P$2:$P$1001&lt;&gt;"")*ISNUMBER(SEARCH(실물목록!$P$2:$P$1001,I202))*(실물목록!$Q$2:$Q$1001&lt;&gt;"")*ISNUMBER(SEARCH(실물목록!$Q$2:$Q$1001,I202))*(실물목록!$R$2:$R$1001="")*(실물목록!$O$2:$O$1001&lt;&gt;""))&gt;0,"확인필요(연도다름)","실물 없음")))))</f>
      </c>
      <c r="G202" t="n" s="16">
        <f aca="0">IF(B202="","",SUMPRODUCT((실물목록!$P$2:$P$1001&lt;&gt;"")*ISNUMBER(SEARCH(실물목록!$P$2:$P$1001,I202))*(실물목록!$Q$2:$Q$1001&lt;&gt;"")*ISNUMBER(SEARCH(실물목록!$Q$2:$Q$1001,I202))*(실물목록!$R$2:$R$1001="")*(실물목록!$O$2:$O$1001&lt;&gt;"")*(실물목록!$O$2:$O$1001=H202)))</f>
      </c>
      <c r="H202" t="str">
        <f>IFERROR(IF(AND(LEN(SUBSTITUTE(SUBSTITUTE(SUBSTITUTE(TRIM(A202&amp;""),CHAR(160),"")," ",""),"년",""))=4,VALUE(SUBSTITUTE(SUBSTITUTE(SUBSTITUTE(TRIM(A202&amp;""),CHAR(160),"")," ",""),"년",""))&gt;=1900,VALUE(SUBSTITUTE(SUBSTITUTE(SUBSTITUTE(TRIM(A202&amp;""),CHAR(160),"")," ",""),"년",""))&lt;=2099,TEXT(VALUE(SUBSTITUTE(SUBSTITUTE(SUBSTITUTE(TRIM(A202&amp;""),CHAR(160),"")," ",""),"년","")),"0000")=SUBSTITUTE(SUBSTITUTE(SUBSTITUTE(TRIM(A202&amp;""),CHAR(160),"")," ",""),"년","")),SUBSTITUTE(SUBSTITUTE(SUBSTITUTE(TRIM(A202&amp;""),CHAR(160),"")," ",""),"년",""),""),"")</f>
      </c>
      <c r="I202" t="str">
        <f>SUBSTITUTE(SUBSTITUTE(SUBSTITUTE(SUBSTITUTE(SUBSTITUTE(TRIM(B202&amp;""),CHAR(160),"")," ",""),"초등학교","초"),"중학교","중"),"고등학교","고")</f>
      </c>
    </row>
    <row r="203" customFormat="false" ht="15" hidden="false" customHeight="false" outlineLevel="0" collapsed="false">
      <c r="A203" s="8"/>
      <c r="B203" s="8"/>
      <c r="C203" s="8"/>
      <c r="D203" s="8"/>
      <c r="E203" s="8"/>
      <c r="F203" t="str" s="15">
        <f aca="0">IF(B203="","",IF(H203="","확인필요(입력누락)",IF(SUMPRODUCT((실물목록!$P$2:$P$1001&lt;&gt;"")*ISNUMBER(SEARCH(실물목록!$P$2:$P$1001,I203))*(실물목록!$Q$2:$Q$1001&lt;&gt;"")*ISNUMBER(SEARCH(실물목록!$Q$2:$Q$1001,I203))*(실물목록!$R$2:$R$1001="")*(실물목록!$O$2:$O$1001&lt;&gt;"")*(실물목록!$O$2:$O$1001=H203))&gt;0,"실물 있음",IF(SUMPRODUCT((실물목록!$P$2:$P$1001&lt;&gt;"")*ISNUMBER(SEARCH(실물목록!$P$2:$P$1001,I203))*(실물목록!$R$2:$R$1001&lt;&gt;""))&gt;0,"확인필요(입력누락)",IF(SUMPRODUCT((실물목록!$P$2:$P$1001&lt;&gt;"")*ISNUMBER(SEARCH(실물목록!$P$2:$P$1001,I203))*(실물목록!$Q$2:$Q$1001&lt;&gt;"")*ISNUMBER(SEARCH(실물목록!$Q$2:$Q$1001,I203))*(실물목록!$R$2:$R$1001="")*(실물목록!$O$2:$O$1001&lt;&gt;""))&gt;0,"확인필요(연도다름)","실물 없음")))))</f>
      </c>
      <c r="G203" t="n" s="16">
        <f aca="0">IF(B203="","",SUMPRODUCT((실물목록!$P$2:$P$1001&lt;&gt;"")*ISNUMBER(SEARCH(실물목록!$P$2:$P$1001,I203))*(실물목록!$Q$2:$Q$1001&lt;&gt;"")*ISNUMBER(SEARCH(실물목록!$Q$2:$Q$1001,I203))*(실물목록!$R$2:$R$1001="")*(실물목록!$O$2:$O$1001&lt;&gt;"")*(실물목록!$O$2:$O$1001=H203)))</f>
      </c>
      <c r="H203" t="str">
        <f>IFERROR(IF(AND(LEN(SUBSTITUTE(SUBSTITUTE(SUBSTITUTE(TRIM(A203&amp;""),CHAR(160),"")," ",""),"년",""))=4,VALUE(SUBSTITUTE(SUBSTITUTE(SUBSTITUTE(TRIM(A203&amp;""),CHAR(160),"")," ",""),"년",""))&gt;=1900,VALUE(SUBSTITUTE(SUBSTITUTE(SUBSTITUTE(TRIM(A203&amp;""),CHAR(160),"")," ",""),"년",""))&lt;=2099,TEXT(VALUE(SUBSTITUTE(SUBSTITUTE(SUBSTITUTE(TRIM(A203&amp;""),CHAR(160),"")," ",""),"년","")),"0000")=SUBSTITUTE(SUBSTITUTE(SUBSTITUTE(TRIM(A203&amp;""),CHAR(160),"")," ",""),"년","")),SUBSTITUTE(SUBSTITUTE(SUBSTITUTE(TRIM(A203&amp;""),CHAR(160),"")," ",""),"년",""),""),"")</f>
      </c>
      <c r="I203" t="str">
        <f>SUBSTITUTE(SUBSTITUTE(SUBSTITUTE(SUBSTITUTE(SUBSTITUTE(TRIM(B203&amp;""),CHAR(160),"")," ",""),"초등학교","초"),"중학교","중"),"고등학교","고")</f>
      </c>
    </row>
    <row r="204" customFormat="false" ht="15" hidden="false" customHeight="false" outlineLevel="0" collapsed="false">
      <c r="A204" s="8"/>
      <c r="B204" s="8"/>
      <c r="C204" s="8"/>
      <c r="D204" s="8"/>
      <c r="E204" s="8"/>
      <c r="F204" t="str" s="15">
        <f aca="0">IF(B204="","",IF(H204="","확인필요(입력누락)",IF(SUMPRODUCT((실물목록!$P$2:$P$1001&lt;&gt;"")*ISNUMBER(SEARCH(실물목록!$P$2:$P$1001,I204))*(실물목록!$Q$2:$Q$1001&lt;&gt;"")*ISNUMBER(SEARCH(실물목록!$Q$2:$Q$1001,I204))*(실물목록!$R$2:$R$1001="")*(실물목록!$O$2:$O$1001&lt;&gt;"")*(실물목록!$O$2:$O$1001=H204))&gt;0,"실물 있음",IF(SUMPRODUCT((실물목록!$P$2:$P$1001&lt;&gt;"")*ISNUMBER(SEARCH(실물목록!$P$2:$P$1001,I204))*(실물목록!$R$2:$R$1001&lt;&gt;""))&gt;0,"확인필요(입력누락)",IF(SUMPRODUCT((실물목록!$P$2:$P$1001&lt;&gt;"")*ISNUMBER(SEARCH(실물목록!$P$2:$P$1001,I204))*(실물목록!$Q$2:$Q$1001&lt;&gt;"")*ISNUMBER(SEARCH(실물목록!$Q$2:$Q$1001,I204))*(실물목록!$R$2:$R$1001="")*(실물목록!$O$2:$O$1001&lt;&gt;""))&gt;0,"확인필요(연도다름)","실물 없음")))))</f>
      </c>
      <c r="G204" t="n" s="16">
        <f aca="0">IF(B204="","",SUMPRODUCT((실물목록!$P$2:$P$1001&lt;&gt;"")*ISNUMBER(SEARCH(실물목록!$P$2:$P$1001,I204))*(실물목록!$Q$2:$Q$1001&lt;&gt;"")*ISNUMBER(SEARCH(실물목록!$Q$2:$Q$1001,I204))*(실물목록!$R$2:$R$1001="")*(실물목록!$O$2:$O$1001&lt;&gt;"")*(실물목록!$O$2:$O$1001=H204)))</f>
      </c>
      <c r="H204" t="str">
        <f>IFERROR(IF(AND(LEN(SUBSTITUTE(SUBSTITUTE(SUBSTITUTE(TRIM(A204&amp;""),CHAR(160),"")," ",""),"년",""))=4,VALUE(SUBSTITUTE(SUBSTITUTE(SUBSTITUTE(TRIM(A204&amp;""),CHAR(160),"")," ",""),"년",""))&gt;=1900,VALUE(SUBSTITUTE(SUBSTITUTE(SUBSTITUTE(TRIM(A204&amp;""),CHAR(160),"")," ",""),"년",""))&lt;=2099,TEXT(VALUE(SUBSTITUTE(SUBSTITUTE(SUBSTITUTE(TRIM(A204&amp;""),CHAR(160),"")," ",""),"년","")),"0000")=SUBSTITUTE(SUBSTITUTE(SUBSTITUTE(TRIM(A204&amp;""),CHAR(160),"")," ",""),"년","")),SUBSTITUTE(SUBSTITUTE(SUBSTITUTE(TRIM(A204&amp;""),CHAR(160),"")," ",""),"년",""),""),"")</f>
      </c>
      <c r="I204" t="str">
        <f>SUBSTITUTE(SUBSTITUTE(SUBSTITUTE(SUBSTITUTE(SUBSTITUTE(TRIM(B204&amp;""),CHAR(160),"")," ",""),"초등학교","초"),"중학교","중"),"고등학교","고")</f>
      </c>
    </row>
    <row r="205" customFormat="false" ht="15" hidden="false" customHeight="false" outlineLevel="0" collapsed="false">
      <c r="A205" s="8"/>
      <c r="B205" s="8"/>
      <c r="C205" s="8"/>
      <c r="D205" s="8"/>
      <c r="E205" s="8"/>
      <c r="F205" t="str" s="15">
        <f aca="0">IF(B205="","",IF(H205="","확인필요(입력누락)",IF(SUMPRODUCT((실물목록!$P$2:$P$1001&lt;&gt;"")*ISNUMBER(SEARCH(실물목록!$P$2:$P$1001,I205))*(실물목록!$Q$2:$Q$1001&lt;&gt;"")*ISNUMBER(SEARCH(실물목록!$Q$2:$Q$1001,I205))*(실물목록!$R$2:$R$1001="")*(실물목록!$O$2:$O$1001&lt;&gt;"")*(실물목록!$O$2:$O$1001=H205))&gt;0,"실물 있음",IF(SUMPRODUCT((실물목록!$P$2:$P$1001&lt;&gt;"")*ISNUMBER(SEARCH(실물목록!$P$2:$P$1001,I205))*(실물목록!$R$2:$R$1001&lt;&gt;""))&gt;0,"확인필요(입력누락)",IF(SUMPRODUCT((실물목록!$P$2:$P$1001&lt;&gt;"")*ISNUMBER(SEARCH(실물목록!$P$2:$P$1001,I205))*(실물목록!$Q$2:$Q$1001&lt;&gt;"")*ISNUMBER(SEARCH(실물목록!$Q$2:$Q$1001,I205))*(실물목록!$R$2:$R$1001="")*(실물목록!$O$2:$O$1001&lt;&gt;""))&gt;0,"확인필요(연도다름)","실물 없음")))))</f>
      </c>
      <c r="G205" t="n" s="16">
        <f aca="0">IF(B205="","",SUMPRODUCT((실물목록!$P$2:$P$1001&lt;&gt;"")*ISNUMBER(SEARCH(실물목록!$P$2:$P$1001,I205))*(실물목록!$Q$2:$Q$1001&lt;&gt;"")*ISNUMBER(SEARCH(실물목록!$Q$2:$Q$1001,I205))*(실물목록!$R$2:$R$1001="")*(실물목록!$O$2:$O$1001&lt;&gt;"")*(실물목록!$O$2:$O$1001=H205)))</f>
      </c>
      <c r="H205" t="str">
        <f>IFERROR(IF(AND(LEN(SUBSTITUTE(SUBSTITUTE(SUBSTITUTE(TRIM(A205&amp;""),CHAR(160),"")," ",""),"년",""))=4,VALUE(SUBSTITUTE(SUBSTITUTE(SUBSTITUTE(TRIM(A205&amp;""),CHAR(160),"")," ",""),"년",""))&gt;=1900,VALUE(SUBSTITUTE(SUBSTITUTE(SUBSTITUTE(TRIM(A205&amp;""),CHAR(160),"")," ",""),"년",""))&lt;=2099,TEXT(VALUE(SUBSTITUTE(SUBSTITUTE(SUBSTITUTE(TRIM(A205&amp;""),CHAR(160),"")," ",""),"년","")),"0000")=SUBSTITUTE(SUBSTITUTE(SUBSTITUTE(TRIM(A205&amp;""),CHAR(160),"")," ",""),"년","")),SUBSTITUTE(SUBSTITUTE(SUBSTITUTE(TRIM(A205&amp;""),CHAR(160),"")," ",""),"년",""),""),"")</f>
      </c>
      <c r="I205" t="str">
        <f>SUBSTITUTE(SUBSTITUTE(SUBSTITUTE(SUBSTITUTE(SUBSTITUTE(TRIM(B205&amp;""),CHAR(160),"")," ",""),"초등학교","초"),"중학교","중"),"고등학교","고")</f>
      </c>
    </row>
    <row r="206" customFormat="false" ht="15" hidden="false" customHeight="false" outlineLevel="0" collapsed="false">
      <c r="A206" s="8"/>
      <c r="B206" s="8"/>
      <c r="C206" s="8"/>
      <c r="D206" s="8"/>
      <c r="E206" s="8"/>
      <c r="F206" t="str" s="15">
        <f aca="0">IF(B206="","",IF(H206="","확인필요(입력누락)",IF(SUMPRODUCT((실물목록!$P$2:$P$1001&lt;&gt;"")*ISNUMBER(SEARCH(실물목록!$P$2:$P$1001,I206))*(실물목록!$Q$2:$Q$1001&lt;&gt;"")*ISNUMBER(SEARCH(실물목록!$Q$2:$Q$1001,I206))*(실물목록!$R$2:$R$1001="")*(실물목록!$O$2:$O$1001&lt;&gt;"")*(실물목록!$O$2:$O$1001=H206))&gt;0,"실물 있음",IF(SUMPRODUCT((실물목록!$P$2:$P$1001&lt;&gt;"")*ISNUMBER(SEARCH(실물목록!$P$2:$P$1001,I206))*(실물목록!$R$2:$R$1001&lt;&gt;""))&gt;0,"확인필요(입력누락)",IF(SUMPRODUCT((실물목록!$P$2:$P$1001&lt;&gt;"")*ISNUMBER(SEARCH(실물목록!$P$2:$P$1001,I206))*(실물목록!$Q$2:$Q$1001&lt;&gt;"")*ISNUMBER(SEARCH(실물목록!$Q$2:$Q$1001,I206))*(실물목록!$R$2:$R$1001="")*(실물목록!$O$2:$O$1001&lt;&gt;""))&gt;0,"확인필요(연도다름)","실물 없음")))))</f>
      </c>
      <c r="G206" t="n" s="16">
        <f aca="0">IF(B206="","",SUMPRODUCT((실물목록!$P$2:$P$1001&lt;&gt;"")*ISNUMBER(SEARCH(실물목록!$P$2:$P$1001,I206))*(실물목록!$Q$2:$Q$1001&lt;&gt;"")*ISNUMBER(SEARCH(실물목록!$Q$2:$Q$1001,I206))*(실물목록!$R$2:$R$1001="")*(실물목록!$O$2:$O$1001&lt;&gt;"")*(실물목록!$O$2:$O$1001=H206)))</f>
      </c>
      <c r="H206" t="str">
        <f>IFERROR(IF(AND(LEN(SUBSTITUTE(SUBSTITUTE(SUBSTITUTE(TRIM(A206&amp;""),CHAR(160),"")," ",""),"년",""))=4,VALUE(SUBSTITUTE(SUBSTITUTE(SUBSTITUTE(TRIM(A206&amp;""),CHAR(160),"")," ",""),"년",""))&gt;=1900,VALUE(SUBSTITUTE(SUBSTITUTE(SUBSTITUTE(TRIM(A206&amp;""),CHAR(160),"")," ",""),"년",""))&lt;=2099,TEXT(VALUE(SUBSTITUTE(SUBSTITUTE(SUBSTITUTE(TRIM(A206&amp;""),CHAR(160),"")," ",""),"년","")),"0000")=SUBSTITUTE(SUBSTITUTE(SUBSTITUTE(TRIM(A206&amp;""),CHAR(160),"")," ",""),"년","")),SUBSTITUTE(SUBSTITUTE(SUBSTITUTE(TRIM(A206&amp;""),CHAR(160),"")," ",""),"년",""),""),"")</f>
      </c>
      <c r="I206" t="str">
        <f>SUBSTITUTE(SUBSTITUTE(SUBSTITUTE(SUBSTITUTE(SUBSTITUTE(TRIM(B206&amp;""),CHAR(160),"")," ",""),"초등학교","초"),"중학교","중"),"고등학교","고")</f>
      </c>
    </row>
    <row r="207" customFormat="false" ht="15" hidden="false" customHeight="false" outlineLevel="0" collapsed="false">
      <c r="A207" s="8"/>
      <c r="B207" s="8"/>
      <c r="C207" s="8"/>
      <c r="D207" s="8"/>
      <c r="E207" s="8"/>
      <c r="F207" t="str" s="15">
        <f aca="0">IF(B207="","",IF(H207="","확인필요(입력누락)",IF(SUMPRODUCT((실물목록!$P$2:$P$1001&lt;&gt;"")*ISNUMBER(SEARCH(실물목록!$P$2:$P$1001,I207))*(실물목록!$Q$2:$Q$1001&lt;&gt;"")*ISNUMBER(SEARCH(실물목록!$Q$2:$Q$1001,I207))*(실물목록!$R$2:$R$1001="")*(실물목록!$O$2:$O$1001&lt;&gt;"")*(실물목록!$O$2:$O$1001=H207))&gt;0,"실물 있음",IF(SUMPRODUCT((실물목록!$P$2:$P$1001&lt;&gt;"")*ISNUMBER(SEARCH(실물목록!$P$2:$P$1001,I207))*(실물목록!$R$2:$R$1001&lt;&gt;""))&gt;0,"확인필요(입력누락)",IF(SUMPRODUCT((실물목록!$P$2:$P$1001&lt;&gt;"")*ISNUMBER(SEARCH(실물목록!$P$2:$P$1001,I207))*(실물목록!$Q$2:$Q$1001&lt;&gt;"")*ISNUMBER(SEARCH(실물목록!$Q$2:$Q$1001,I207))*(실물목록!$R$2:$R$1001="")*(실물목록!$O$2:$O$1001&lt;&gt;""))&gt;0,"확인필요(연도다름)","실물 없음")))))</f>
      </c>
      <c r="G207" t="n" s="16">
        <f aca="0">IF(B207="","",SUMPRODUCT((실물목록!$P$2:$P$1001&lt;&gt;"")*ISNUMBER(SEARCH(실물목록!$P$2:$P$1001,I207))*(실물목록!$Q$2:$Q$1001&lt;&gt;"")*ISNUMBER(SEARCH(실물목록!$Q$2:$Q$1001,I207))*(실물목록!$R$2:$R$1001="")*(실물목록!$O$2:$O$1001&lt;&gt;"")*(실물목록!$O$2:$O$1001=H207)))</f>
      </c>
      <c r="H207" t="str">
        <f>IFERROR(IF(AND(LEN(SUBSTITUTE(SUBSTITUTE(SUBSTITUTE(TRIM(A207&amp;""),CHAR(160),"")," ",""),"년",""))=4,VALUE(SUBSTITUTE(SUBSTITUTE(SUBSTITUTE(TRIM(A207&amp;""),CHAR(160),"")," ",""),"년",""))&gt;=1900,VALUE(SUBSTITUTE(SUBSTITUTE(SUBSTITUTE(TRIM(A207&amp;""),CHAR(160),"")," ",""),"년",""))&lt;=2099,TEXT(VALUE(SUBSTITUTE(SUBSTITUTE(SUBSTITUTE(TRIM(A207&amp;""),CHAR(160),"")," ",""),"년","")),"0000")=SUBSTITUTE(SUBSTITUTE(SUBSTITUTE(TRIM(A207&amp;""),CHAR(160),"")," ",""),"년","")),SUBSTITUTE(SUBSTITUTE(SUBSTITUTE(TRIM(A207&amp;""),CHAR(160),"")," ",""),"년",""),""),"")</f>
      </c>
      <c r="I207" t="str">
        <f>SUBSTITUTE(SUBSTITUTE(SUBSTITUTE(SUBSTITUTE(SUBSTITUTE(TRIM(B207&amp;""),CHAR(160),"")," ",""),"초등학교","초"),"중학교","중"),"고등학교","고")</f>
      </c>
    </row>
    <row r="208" customFormat="false" ht="15" hidden="false" customHeight="false" outlineLevel="0" collapsed="false">
      <c r="A208" s="8"/>
      <c r="B208" s="8"/>
      <c r="C208" s="8"/>
      <c r="D208" s="8"/>
      <c r="E208" s="8"/>
      <c r="F208" t="str" s="15">
        <f aca="0">IF(B208="","",IF(H208="","확인필요(입력누락)",IF(SUMPRODUCT((실물목록!$P$2:$P$1001&lt;&gt;"")*ISNUMBER(SEARCH(실물목록!$P$2:$P$1001,I208))*(실물목록!$Q$2:$Q$1001&lt;&gt;"")*ISNUMBER(SEARCH(실물목록!$Q$2:$Q$1001,I208))*(실물목록!$R$2:$R$1001="")*(실물목록!$O$2:$O$1001&lt;&gt;"")*(실물목록!$O$2:$O$1001=H208))&gt;0,"실물 있음",IF(SUMPRODUCT((실물목록!$P$2:$P$1001&lt;&gt;"")*ISNUMBER(SEARCH(실물목록!$P$2:$P$1001,I208))*(실물목록!$R$2:$R$1001&lt;&gt;""))&gt;0,"확인필요(입력누락)",IF(SUMPRODUCT((실물목록!$P$2:$P$1001&lt;&gt;"")*ISNUMBER(SEARCH(실물목록!$P$2:$P$1001,I208))*(실물목록!$Q$2:$Q$1001&lt;&gt;"")*ISNUMBER(SEARCH(실물목록!$Q$2:$Q$1001,I208))*(실물목록!$R$2:$R$1001="")*(실물목록!$O$2:$O$1001&lt;&gt;""))&gt;0,"확인필요(연도다름)","실물 없음")))))</f>
      </c>
      <c r="G208" t="n" s="16">
        <f aca="0">IF(B208="","",SUMPRODUCT((실물목록!$P$2:$P$1001&lt;&gt;"")*ISNUMBER(SEARCH(실물목록!$P$2:$P$1001,I208))*(실물목록!$Q$2:$Q$1001&lt;&gt;"")*ISNUMBER(SEARCH(실물목록!$Q$2:$Q$1001,I208))*(실물목록!$R$2:$R$1001="")*(실물목록!$O$2:$O$1001&lt;&gt;"")*(실물목록!$O$2:$O$1001=H208)))</f>
      </c>
      <c r="H208" t="str">
        <f>IFERROR(IF(AND(LEN(SUBSTITUTE(SUBSTITUTE(SUBSTITUTE(TRIM(A208&amp;""),CHAR(160),"")," ",""),"년",""))=4,VALUE(SUBSTITUTE(SUBSTITUTE(SUBSTITUTE(TRIM(A208&amp;""),CHAR(160),"")," ",""),"년",""))&gt;=1900,VALUE(SUBSTITUTE(SUBSTITUTE(SUBSTITUTE(TRIM(A208&amp;""),CHAR(160),"")," ",""),"년",""))&lt;=2099,TEXT(VALUE(SUBSTITUTE(SUBSTITUTE(SUBSTITUTE(TRIM(A208&amp;""),CHAR(160),"")," ",""),"년","")),"0000")=SUBSTITUTE(SUBSTITUTE(SUBSTITUTE(TRIM(A208&amp;""),CHAR(160),"")," ",""),"년","")),SUBSTITUTE(SUBSTITUTE(SUBSTITUTE(TRIM(A208&amp;""),CHAR(160),"")," ",""),"년",""),""),"")</f>
      </c>
      <c r="I208" t="str">
        <f>SUBSTITUTE(SUBSTITUTE(SUBSTITUTE(SUBSTITUTE(SUBSTITUTE(TRIM(B208&amp;""),CHAR(160),"")," ",""),"초등학교","초"),"중학교","중"),"고등학교","고")</f>
      </c>
    </row>
    <row r="209" customFormat="false" ht="15" hidden="false" customHeight="false" outlineLevel="0" collapsed="false">
      <c r="A209" s="8"/>
      <c r="B209" s="8"/>
      <c r="C209" s="8"/>
      <c r="D209" s="8"/>
      <c r="E209" s="8"/>
      <c r="F209" t="str" s="15">
        <f aca="0">IF(B209="","",IF(H209="","확인필요(입력누락)",IF(SUMPRODUCT((실물목록!$P$2:$P$1001&lt;&gt;"")*ISNUMBER(SEARCH(실물목록!$P$2:$P$1001,I209))*(실물목록!$Q$2:$Q$1001&lt;&gt;"")*ISNUMBER(SEARCH(실물목록!$Q$2:$Q$1001,I209))*(실물목록!$R$2:$R$1001="")*(실물목록!$O$2:$O$1001&lt;&gt;"")*(실물목록!$O$2:$O$1001=H209))&gt;0,"실물 있음",IF(SUMPRODUCT((실물목록!$P$2:$P$1001&lt;&gt;"")*ISNUMBER(SEARCH(실물목록!$P$2:$P$1001,I209))*(실물목록!$R$2:$R$1001&lt;&gt;""))&gt;0,"확인필요(입력누락)",IF(SUMPRODUCT((실물목록!$P$2:$P$1001&lt;&gt;"")*ISNUMBER(SEARCH(실물목록!$P$2:$P$1001,I209))*(실물목록!$Q$2:$Q$1001&lt;&gt;"")*ISNUMBER(SEARCH(실물목록!$Q$2:$Q$1001,I209))*(실물목록!$R$2:$R$1001="")*(실물목록!$O$2:$O$1001&lt;&gt;""))&gt;0,"확인필요(연도다름)","실물 없음")))))</f>
      </c>
      <c r="G209" t="n" s="16">
        <f aca="0">IF(B209="","",SUMPRODUCT((실물목록!$P$2:$P$1001&lt;&gt;"")*ISNUMBER(SEARCH(실물목록!$P$2:$P$1001,I209))*(실물목록!$Q$2:$Q$1001&lt;&gt;"")*ISNUMBER(SEARCH(실물목록!$Q$2:$Q$1001,I209))*(실물목록!$R$2:$R$1001="")*(실물목록!$O$2:$O$1001&lt;&gt;"")*(실물목록!$O$2:$O$1001=H209)))</f>
      </c>
      <c r="H209" t="str">
        <f>IFERROR(IF(AND(LEN(SUBSTITUTE(SUBSTITUTE(SUBSTITUTE(TRIM(A209&amp;""),CHAR(160),"")," ",""),"년",""))=4,VALUE(SUBSTITUTE(SUBSTITUTE(SUBSTITUTE(TRIM(A209&amp;""),CHAR(160),"")," ",""),"년",""))&gt;=1900,VALUE(SUBSTITUTE(SUBSTITUTE(SUBSTITUTE(TRIM(A209&amp;""),CHAR(160),"")," ",""),"년",""))&lt;=2099,TEXT(VALUE(SUBSTITUTE(SUBSTITUTE(SUBSTITUTE(TRIM(A209&amp;""),CHAR(160),"")," ",""),"년","")),"0000")=SUBSTITUTE(SUBSTITUTE(SUBSTITUTE(TRIM(A209&amp;""),CHAR(160),"")," ",""),"년","")),SUBSTITUTE(SUBSTITUTE(SUBSTITUTE(TRIM(A209&amp;""),CHAR(160),"")," ",""),"년",""),""),"")</f>
      </c>
      <c r="I209" t="str">
        <f>SUBSTITUTE(SUBSTITUTE(SUBSTITUTE(SUBSTITUTE(SUBSTITUTE(TRIM(B209&amp;""),CHAR(160),"")," ",""),"초등학교","초"),"중학교","중"),"고등학교","고")</f>
      </c>
    </row>
    <row r="210" customFormat="false" ht="15" hidden="false" customHeight="false" outlineLevel="0" collapsed="false">
      <c r="A210" s="8"/>
      <c r="B210" s="8"/>
      <c r="C210" s="8"/>
      <c r="D210" s="8"/>
      <c r="E210" s="8"/>
      <c r="F210" t="str" s="15">
        <f aca="0">IF(B210="","",IF(H210="","확인필요(입력누락)",IF(SUMPRODUCT((실물목록!$P$2:$P$1001&lt;&gt;"")*ISNUMBER(SEARCH(실물목록!$P$2:$P$1001,I210))*(실물목록!$Q$2:$Q$1001&lt;&gt;"")*ISNUMBER(SEARCH(실물목록!$Q$2:$Q$1001,I210))*(실물목록!$R$2:$R$1001="")*(실물목록!$O$2:$O$1001&lt;&gt;"")*(실물목록!$O$2:$O$1001=H210))&gt;0,"실물 있음",IF(SUMPRODUCT((실물목록!$P$2:$P$1001&lt;&gt;"")*ISNUMBER(SEARCH(실물목록!$P$2:$P$1001,I210))*(실물목록!$R$2:$R$1001&lt;&gt;""))&gt;0,"확인필요(입력누락)",IF(SUMPRODUCT((실물목록!$P$2:$P$1001&lt;&gt;"")*ISNUMBER(SEARCH(실물목록!$P$2:$P$1001,I210))*(실물목록!$Q$2:$Q$1001&lt;&gt;"")*ISNUMBER(SEARCH(실물목록!$Q$2:$Q$1001,I210))*(실물목록!$R$2:$R$1001="")*(실물목록!$O$2:$O$1001&lt;&gt;""))&gt;0,"확인필요(연도다름)","실물 없음")))))</f>
      </c>
      <c r="G210" t="n" s="16">
        <f aca="0">IF(B210="","",SUMPRODUCT((실물목록!$P$2:$P$1001&lt;&gt;"")*ISNUMBER(SEARCH(실물목록!$P$2:$P$1001,I210))*(실물목록!$Q$2:$Q$1001&lt;&gt;"")*ISNUMBER(SEARCH(실물목록!$Q$2:$Q$1001,I210))*(실물목록!$R$2:$R$1001="")*(실물목록!$O$2:$O$1001&lt;&gt;"")*(실물목록!$O$2:$O$1001=H210)))</f>
      </c>
      <c r="H210" t="str">
        <f>IFERROR(IF(AND(LEN(SUBSTITUTE(SUBSTITUTE(SUBSTITUTE(TRIM(A210&amp;""),CHAR(160),"")," ",""),"년",""))=4,VALUE(SUBSTITUTE(SUBSTITUTE(SUBSTITUTE(TRIM(A210&amp;""),CHAR(160),"")," ",""),"년",""))&gt;=1900,VALUE(SUBSTITUTE(SUBSTITUTE(SUBSTITUTE(TRIM(A210&amp;""),CHAR(160),"")," ",""),"년",""))&lt;=2099,TEXT(VALUE(SUBSTITUTE(SUBSTITUTE(SUBSTITUTE(TRIM(A210&amp;""),CHAR(160),"")," ",""),"년","")),"0000")=SUBSTITUTE(SUBSTITUTE(SUBSTITUTE(TRIM(A210&amp;""),CHAR(160),"")," ",""),"년","")),SUBSTITUTE(SUBSTITUTE(SUBSTITUTE(TRIM(A210&amp;""),CHAR(160),"")," ",""),"년",""),""),"")</f>
      </c>
      <c r="I210" t="str">
        <f>SUBSTITUTE(SUBSTITUTE(SUBSTITUTE(SUBSTITUTE(SUBSTITUTE(TRIM(B210&amp;""),CHAR(160),"")," ",""),"초등학교","초"),"중학교","중"),"고등학교","고")</f>
      </c>
    </row>
    <row r="211" customFormat="false" ht="15" hidden="false" customHeight="false" outlineLevel="0" collapsed="false">
      <c r="A211" s="8"/>
      <c r="B211" s="8"/>
      <c r="C211" s="8"/>
      <c r="D211" s="8"/>
      <c r="E211" s="8"/>
      <c r="F211" t="str" s="15">
        <f aca="0">IF(B211="","",IF(H211="","확인필요(입력누락)",IF(SUMPRODUCT((실물목록!$P$2:$P$1001&lt;&gt;"")*ISNUMBER(SEARCH(실물목록!$P$2:$P$1001,I211))*(실물목록!$Q$2:$Q$1001&lt;&gt;"")*ISNUMBER(SEARCH(실물목록!$Q$2:$Q$1001,I211))*(실물목록!$R$2:$R$1001="")*(실물목록!$O$2:$O$1001&lt;&gt;"")*(실물목록!$O$2:$O$1001=H211))&gt;0,"실물 있음",IF(SUMPRODUCT((실물목록!$P$2:$P$1001&lt;&gt;"")*ISNUMBER(SEARCH(실물목록!$P$2:$P$1001,I211))*(실물목록!$R$2:$R$1001&lt;&gt;""))&gt;0,"확인필요(입력누락)",IF(SUMPRODUCT((실물목록!$P$2:$P$1001&lt;&gt;"")*ISNUMBER(SEARCH(실물목록!$P$2:$P$1001,I211))*(실물목록!$Q$2:$Q$1001&lt;&gt;"")*ISNUMBER(SEARCH(실물목록!$Q$2:$Q$1001,I211))*(실물목록!$R$2:$R$1001="")*(실물목록!$O$2:$O$1001&lt;&gt;""))&gt;0,"확인필요(연도다름)","실물 없음")))))</f>
      </c>
      <c r="G211" t="n" s="16">
        <f aca="0">IF(B211="","",SUMPRODUCT((실물목록!$P$2:$P$1001&lt;&gt;"")*ISNUMBER(SEARCH(실물목록!$P$2:$P$1001,I211))*(실물목록!$Q$2:$Q$1001&lt;&gt;"")*ISNUMBER(SEARCH(실물목록!$Q$2:$Q$1001,I211))*(실물목록!$R$2:$R$1001="")*(실물목록!$O$2:$O$1001&lt;&gt;"")*(실물목록!$O$2:$O$1001=H211)))</f>
      </c>
      <c r="H211" t="str">
        <f>IFERROR(IF(AND(LEN(SUBSTITUTE(SUBSTITUTE(SUBSTITUTE(TRIM(A211&amp;""),CHAR(160),"")," ",""),"년",""))=4,VALUE(SUBSTITUTE(SUBSTITUTE(SUBSTITUTE(TRIM(A211&amp;""),CHAR(160),"")," ",""),"년",""))&gt;=1900,VALUE(SUBSTITUTE(SUBSTITUTE(SUBSTITUTE(TRIM(A211&amp;""),CHAR(160),"")," ",""),"년",""))&lt;=2099,TEXT(VALUE(SUBSTITUTE(SUBSTITUTE(SUBSTITUTE(TRIM(A211&amp;""),CHAR(160),"")," ",""),"년","")),"0000")=SUBSTITUTE(SUBSTITUTE(SUBSTITUTE(TRIM(A211&amp;""),CHAR(160),"")," ",""),"년","")),SUBSTITUTE(SUBSTITUTE(SUBSTITUTE(TRIM(A211&amp;""),CHAR(160),"")," ",""),"년",""),""),"")</f>
      </c>
      <c r="I211" t="str">
        <f>SUBSTITUTE(SUBSTITUTE(SUBSTITUTE(SUBSTITUTE(SUBSTITUTE(TRIM(B211&amp;""),CHAR(160),"")," ",""),"초등학교","초"),"중학교","중"),"고등학교","고")</f>
      </c>
    </row>
    <row r="212" customFormat="false" ht="15" hidden="false" customHeight="false" outlineLevel="0" collapsed="false">
      <c r="A212" s="8"/>
      <c r="B212" s="8"/>
      <c r="C212" s="8"/>
      <c r="D212" s="8"/>
      <c r="E212" s="8"/>
      <c r="F212" t="str" s="15">
        <f aca="0">IF(B212="","",IF(H212="","확인필요(입력누락)",IF(SUMPRODUCT((실물목록!$P$2:$P$1001&lt;&gt;"")*ISNUMBER(SEARCH(실물목록!$P$2:$P$1001,I212))*(실물목록!$Q$2:$Q$1001&lt;&gt;"")*ISNUMBER(SEARCH(실물목록!$Q$2:$Q$1001,I212))*(실물목록!$R$2:$R$1001="")*(실물목록!$O$2:$O$1001&lt;&gt;"")*(실물목록!$O$2:$O$1001=H212))&gt;0,"실물 있음",IF(SUMPRODUCT((실물목록!$P$2:$P$1001&lt;&gt;"")*ISNUMBER(SEARCH(실물목록!$P$2:$P$1001,I212))*(실물목록!$R$2:$R$1001&lt;&gt;""))&gt;0,"확인필요(입력누락)",IF(SUMPRODUCT((실물목록!$P$2:$P$1001&lt;&gt;"")*ISNUMBER(SEARCH(실물목록!$P$2:$P$1001,I212))*(실물목록!$Q$2:$Q$1001&lt;&gt;"")*ISNUMBER(SEARCH(실물목록!$Q$2:$Q$1001,I212))*(실물목록!$R$2:$R$1001="")*(실물목록!$O$2:$O$1001&lt;&gt;""))&gt;0,"확인필요(연도다름)","실물 없음")))))</f>
      </c>
      <c r="G212" t="n" s="16">
        <f aca="0">IF(B212="","",SUMPRODUCT((실물목록!$P$2:$P$1001&lt;&gt;"")*ISNUMBER(SEARCH(실물목록!$P$2:$P$1001,I212))*(실물목록!$Q$2:$Q$1001&lt;&gt;"")*ISNUMBER(SEARCH(실물목록!$Q$2:$Q$1001,I212))*(실물목록!$R$2:$R$1001="")*(실물목록!$O$2:$O$1001&lt;&gt;"")*(실물목록!$O$2:$O$1001=H212)))</f>
      </c>
      <c r="H212" t="str">
        <f>IFERROR(IF(AND(LEN(SUBSTITUTE(SUBSTITUTE(SUBSTITUTE(TRIM(A212&amp;""),CHAR(160),"")," ",""),"년",""))=4,VALUE(SUBSTITUTE(SUBSTITUTE(SUBSTITUTE(TRIM(A212&amp;""),CHAR(160),"")," ",""),"년",""))&gt;=1900,VALUE(SUBSTITUTE(SUBSTITUTE(SUBSTITUTE(TRIM(A212&amp;""),CHAR(160),"")," ",""),"년",""))&lt;=2099,TEXT(VALUE(SUBSTITUTE(SUBSTITUTE(SUBSTITUTE(TRIM(A212&amp;""),CHAR(160),"")," ",""),"년","")),"0000")=SUBSTITUTE(SUBSTITUTE(SUBSTITUTE(TRIM(A212&amp;""),CHAR(160),"")," ",""),"년","")),SUBSTITUTE(SUBSTITUTE(SUBSTITUTE(TRIM(A212&amp;""),CHAR(160),"")," ",""),"년",""),""),"")</f>
      </c>
      <c r="I212" t="str">
        <f>SUBSTITUTE(SUBSTITUTE(SUBSTITUTE(SUBSTITUTE(SUBSTITUTE(TRIM(B212&amp;""),CHAR(160),"")," ",""),"초등학교","초"),"중학교","중"),"고등학교","고")</f>
      </c>
    </row>
    <row r="213" customFormat="false" ht="15" hidden="false" customHeight="false" outlineLevel="0" collapsed="false">
      <c r="A213" s="8"/>
      <c r="B213" s="8"/>
      <c r="C213" s="8"/>
      <c r="D213" s="8"/>
      <c r="E213" s="8"/>
      <c r="F213" t="str" s="15">
        <f aca="0">IF(B213="","",IF(H213="","확인필요(입력누락)",IF(SUMPRODUCT((실물목록!$P$2:$P$1001&lt;&gt;"")*ISNUMBER(SEARCH(실물목록!$P$2:$P$1001,I213))*(실물목록!$Q$2:$Q$1001&lt;&gt;"")*ISNUMBER(SEARCH(실물목록!$Q$2:$Q$1001,I213))*(실물목록!$R$2:$R$1001="")*(실물목록!$O$2:$O$1001&lt;&gt;"")*(실물목록!$O$2:$O$1001=H213))&gt;0,"실물 있음",IF(SUMPRODUCT((실물목록!$P$2:$P$1001&lt;&gt;"")*ISNUMBER(SEARCH(실물목록!$P$2:$P$1001,I213))*(실물목록!$R$2:$R$1001&lt;&gt;""))&gt;0,"확인필요(입력누락)",IF(SUMPRODUCT((실물목록!$P$2:$P$1001&lt;&gt;"")*ISNUMBER(SEARCH(실물목록!$P$2:$P$1001,I213))*(실물목록!$Q$2:$Q$1001&lt;&gt;"")*ISNUMBER(SEARCH(실물목록!$Q$2:$Q$1001,I213))*(실물목록!$R$2:$R$1001="")*(실물목록!$O$2:$O$1001&lt;&gt;""))&gt;0,"확인필요(연도다름)","실물 없음")))))</f>
      </c>
      <c r="G213" t="n" s="16">
        <f aca="0">IF(B213="","",SUMPRODUCT((실물목록!$P$2:$P$1001&lt;&gt;"")*ISNUMBER(SEARCH(실물목록!$P$2:$P$1001,I213))*(실물목록!$Q$2:$Q$1001&lt;&gt;"")*ISNUMBER(SEARCH(실물목록!$Q$2:$Q$1001,I213))*(실물목록!$R$2:$R$1001="")*(실물목록!$O$2:$O$1001&lt;&gt;"")*(실물목록!$O$2:$O$1001=H213)))</f>
      </c>
      <c r="H213" t="str">
        <f>IFERROR(IF(AND(LEN(SUBSTITUTE(SUBSTITUTE(SUBSTITUTE(TRIM(A213&amp;""),CHAR(160),"")," ",""),"년",""))=4,VALUE(SUBSTITUTE(SUBSTITUTE(SUBSTITUTE(TRIM(A213&amp;""),CHAR(160),"")," ",""),"년",""))&gt;=1900,VALUE(SUBSTITUTE(SUBSTITUTE(SUBSTITUTE(TRIM(A213&amp;""),CHAR(160),"")," ",""),"년",""))&lt;=2099,TEXT(VALUE(SUBSTITUTE(SUBSTITUTE(SUBSTITUTE(TRIM(A213&amp;""),CHAR(160),"")," ",""),"년","")),"0000")=SUBSTITUTE(SUBSTITUTE(SUBSTITUTE(TRIM(A213&amp;""),CHAR(160),"")," ",""),"년","")),SUBSTITUTE(SUBSTITUTE(SUBSTITUTE(TRIM(A213&amp;""),CHAR(160),"")," ",""),"년",""),""),"")</f>
      </c>
      <c r="I213" t="str">
        <f>SUBSTITUTE(SUBSTITUTE(SUBSTITUTE(SUBSTITUTE(SUBSTITUTE(TRIM(B213&amp;""),CHAR(160),"")," ",""),"초등학교","초"),"중학교","중"),"고등학교","고")</f>
      </c>
    </row>
    <row r="214" customFormat="false" ht="15" hidden="false" customHeight="false" outlineLevel="0" collapsed="false">
      <c r="A214" s="8"/>
      <c r="B214" s="8"/>
      <c r="C214" s="8"/>
      <c r="D214" s="8"/>
      <c r="E214" s="8"/>
      <c r="F214" t="str" s="15">
        <f aca="0">IF(B214="","",IF(H214="","확인필요(입력누락)",IF(SUMPRODUCT((실물목록!$P$2:$P$1001&lt;&gt;"")*ISNUMBER(SEARCH(실물목록!$P$2:$P$1001,I214))*(실물목록!$Q$2:$Q$1001&lt;&gt;"")*ISNUMBER(SEARCH(실물목록!$Q$2:$Q$1001,I214))*(실물목록!$R$2:$R$1001="")*(실물목록!$O$2:$O$1001&lt;&gt;"")*(실물목록!$O$2:$O$1001=H214))&gt;0,"실물 있음",IF(SUMPRODUCT((실물목록!$P$2:$P$1001&lt;&gt;"")*ISNUMBER(SEARCH(실물목록!$P$2:$P$1001,I214))*(실물목록!$R$2:$R$1001&lt;&gt;""))&gt;0,"확인필요(입력누락)",IF(SUMPRODUCT((실물목록!$P$2:$P$1001&lt;&gt;"")*ISNUMBER(SEARCH(실물목록!$P$2:$P$1001,I214))*(실물목록!$Q$2:$Q$1001&lt;&gt;"")*ISNUMBER(SEARCH(실물목록!$Q$2:$Q$1001,I214))*(실물목록!$R$2:$R$1001="")*(실물목록!$O$2:$O$1001&lt;&gt;""))&gt;0,"확인필요(연도다름)","실물 없음")))))</f>
      </c>
      <c r="G214" t="n" s="16">
        <f aca="0">IF(B214="","",SUMPRODUCT((실물목록!$P$2:$P$1001&lt;&gt;"")*ISNUMBER(SEARCH(실물목록!$P$2:$P$1001,I214))*(실물목록!$Q$2:$Q$1001&lt;&gt;"")*ISNUMBER(SEARCH(실물목록!$Q$2:$Q$1001,I214))*(실물목록!$R$2:$R$1001="")*(실물목록!$O$2:$O$1001&lt;&gt;"")*(실물목록!$O$2:$O$1001=H214)))</f>
      </c>
      <c r="H214" t="str">
        <f>IFERROR(IF(AND(LEN(SUBSTITUTE(SUBSTITUTE(SUBSTITUTE(TRIM(A214&amp;""),CHAR(160),"")," ",""),"년",""))=4,VALUE(SUBSTITUTE(SUBSTITUTE(SUBSTITUTE(TRIM(A214&amp;""),CHAR(160),"")," ",""),"년",""))&gt;=1900,VALUE(SUBSTITUTE(SUBSTITUTE(SUBSTITUTE(TRIM(A214&amp;""),CHAR(160),"")," ",""),"년",""))&lt;=2099,TEXT(VALUE(SUBSTITUTE(SUBSTITUTE(SUBSTITUTE(TRIM(A214&amp;""),CHAR(160),"")," ",""),"년","")),"0000")=SUBSTITUTE(SUBSTITUTE(SUBSTITUTE(TRIM(A214&amp;""),CHAR(160),"")," ",""),"년","")),SUBSTITUTE(SUBSTITUTE(SUBSTITUTE(TRIM(A214&amp;""),CHAR(160),"")," ",""),"년",""),""),"")</f>
      </c>
      <c r="I214" t="str">
        <f>SUBSTITUTE(SUBSTITUTE(SUBSTITUTE(SUBSTITUTE(SUBSTITUTE(TRIM(B214&amp;""),CHAR(160),"")," ",""),"초등학교","초"),"중학교","중"),"고등학교","고")</f>
      </c>
    </row>
    <row r="215" customFormat="false" ht="15" hidden="false" customHeight="false" outlineLevel="0" collapsed="false">
      <c r="A215" s="8"/>
      <c r="B215" s="8"/>
      <c r="C215" s="8"/>
      <c r="D215" s="8"/>
      <c r="E215" s="8"/>
      <c r="F215" t="str" s="15">
        <f aca="0">IF(B215="","",IF(H215="","확인필요(입력누락)",IF(SUMPRODUCT((실물목록!$P$2:$P$1001&lt;&gt;"")*ISNUMBER(SEARCH(실물목록!$P$2:$P$1001,I215))*(실물목록!$Q$2:$Q$1001&lt;&gt;"")*ISNUMBER(SEARCH(실물목록!$Q$2:$Q$1001,I215))*(실물목록!$R$2:$R$1001="")*(실물목록!$O$2:$O$1001&lt;&gt;"")*(실물목록!$O$2:$O$1001=H215))&gt;0,"실물 있음",IF(SUMPRODUCT((실물목록!$P$2:$P$1001&lt;&gt;"")*ISNUMBER(SEARCH(실물목록!$P$2:$P$1001,I215))*(실물목록!$R$2:$R$1001&lt;&gt;""))&gt;0,"확인필요(입력누락)",IF(SUMPRODUCT((실물목록!$P$2:$P$1001&lt;&gt;"")*ISNUMBER(SEARCH(실물목록!$P$2:$P$1001,I215))*(실물목록!$Q$2:$Q$1001&lt;&gt;"")*ISNUMBER(SEARCH(실물목록!$Q$2:$Q$1001,I215))*(실물목록!$R$2:$R$1001="")*(실물목록!$O$2:$O$1001&lt;&gt;""))&gt;0,"확인필요(연도다름)","실물 없음")))))</f>
      </c>
      <c r="G215" t="n" s="16">
        <f aca="0">IF(B215="","",SUMPRODUCT((실물목록!$P$2:$P$1001&lt;&gt;"")*ISNUMBER(SEARCH(실물목록!$P$2:$P$1001,I215))*(실물목록!$Q$2:$Q$1001&lt;&gt;"")*ISNUMBER(SEARCH(실물목록!$Q$2:$Q$1001,I215))*(실물목록!$R$2:$R$1001="")*(실물목록!$O$2:$O$1001&lt;&gt;"")*(실물목록!$O$2:$O$1001=H215)))</f>
      </c>
      <c r="H215" t="str">
        <f>IFERROR(IF(AND(LEN(SUBSTITUTE(SUBSTITUTE(SUBSTITUTE(TRIM(A215&amp;""),CHAR(160),"")," ",""),"년",""))=4,VALUE(SUBSTITUTE(SUBSTITUTE(SUBSTITUTE(TRIM(A215&amp;""),CHAR(160),"")," ",""),"년",""))&gt;=1900,VALUE(SUBSTITUTE(SUBSTITUTE(SUBSTITUTE(TRIM(A215&amp;""),CHAR(160),"")," ",""),"년",""))&lt;=2099,TEXT(VALUE(SUBSTITUTE(SUBSTITUTE(SUBSTITUTE(TRIM(A215&amp;""),CHAR(160),"")," ",""),"년","")),"0000")=SUBSTITUTE(SUBSTITUTE(SUBSTITUTE(TRIM(A215&amp;""),CHAR(160),"")," ",""),"년","")),SUBSTITUTE(SUBSTITUTE(SUBSTITUTE(TRIM(A215&amp;""),CHAR(160),"")," ",""),"년",""),""),"")</f>
      </c>
      <c r="I215" t="str">
        <f>SUBSTITUTE(SUBSTITUTE(SUBSTITUTE(SUBSTITUTE(SUBSTITUTE(TRIM(B215&amp;""),CHAR(160),"")," ",""),"초등학교","초"),"중학교","중"),"고등학교","고")</f>
      </c>
    </row>
    <row r="216" customFormat="false" ht="15" hidden="false" customHeight="false" outlineLevel="0" collapsed="false">
      <c r="A216" s="8"/>
      <c r="B216" s="8"/>
      <c r="C216" s="8"/>
      <c r="D216" s="8"/>
      <c r="E216" s="8"/>
      <c r="F216" t="str" s="15">
        <f aca="0">IF(B216="","",IF(H216="","확인필요(입력누락)",IF(SUMPRODUCT((실물목록!$P$2:$P$1001&lt;&gt;"")*ISNUMBER(SEARCH(실물목록!$P$2:$P$1001,I216))*(실물목록!$Q$2:$Q$1001&lt;&gt;"")*ISNUMBER(SEARCH(실물목록!$Q$2:$Q$1001,I216))*(실물목록!$R$2:$R$1001="")*(실물목록!$O$2:$O$1001&lt;&gt;"")*(실물목록!$O$2:$O$1001=H216))&gt;0,"실물 있음",IF(SUMPRODUCT((실물목록!$P$2:$P$1001&lt;&gt;"")*ISNUMBER(SEARCH(실물목록!$P$2:$P$1001,I216))*(실물목록!$R$2:$R$1001&lt;&gt;""))&gt;0,"확인필요(입력누락)",IF(SUMPRODUCT((실물목록!$P$2:$P$1001&lt;&gt;"")*ISNUMBER(SEARCH(실물목록!$P$2:$P$1001,I216))*(실물목록!$Q$2:$Q$1001&lt;&gt;"")*ISNUMBER(SEARCH(실물목록!$Q$2:$Q$1001,I216))*(실물목록!$R$2:$R$1001="")*(실물목록!$O$2:$O$1001&lt;&gt;""))&gt;0,"확인필요(연도다름)","실물 없음")))))</f>
      </c>
      <c r="G216" t="n" s="16">
        <f aca="0">IF(B216="","",SUMPRODUCT((실물목록!$P$2:$P$1001&lt;&gt;"")*ISNUMBER(SEARCH(실물목록!$P$2:$P$1001,I216))*(실물목록!$Q$2:$Q$1001&lt;&gt;"")*ISNUMBER(SEARCH(실물목록!$Q$2:$Q$1001,I216))*(실물목록!$R$2:$R$1001="")*(실물목록!$O$2:$O$1001&lt;&gt;"")*(실물목록!$O$2:$O$1001=H216)))</f>
      </c>
      <c r="H216" t="str">
        <f>IFERROR(IF(AND(LEN(SUBSTITUTE(SUBSTITUTE(SUBSTITUTE(TRIM(A216&amp;""),CHAR(160),"")," ",""),"년",""))=4,VALUE(SUBSTITUTE(SUBSTITUTE(SUBSTITUTE(TRIM(A216&amp;""),CHAR(160),"")," ",""),"년",""))&gt;=1900,VALUE(SUBSTITUTE(SUBSTITUTE(SUBSTITUTE(TRIM(A216&amp;""),CHAR(160),"")," ",""),"년",""))&lt;=2099,TEXT(VALUE(SUBSTITUTE(SUBSTITUTE(SUBSTITUTE(TRIM(A216&amp;""),CHAR(160),"")," ",""),"년","")),"0000")=SUBSTITUTE(SUBSTITUTE(SUBSTITUTE(TRIM(A216&amp;""),CHAR(160),"")," ",""),"년","")),SUBSTITUTE(SUBSTITUTE(SUBSTITUTE(TRIM(A216&amp;""),CHAR(160),"")," ",""),"년",""),""),"")</f>
      </c>
      <c r="I216" t="str">
        <f>SUBSTITUTE(SUBSTITUTE(SUBSTITUTE(SUBSTITUTE(SUBSTITUTE(TRIM(B216&amp;""),CHAR(160),"")," ",""),"초등학교","초"),"중학교","중"),"고등학교","고")</f>
      </c>
    </row>
    <row r="217" customFormat="false" ht="15" hidden="false" customHeight="false" outlineLevel="0" collapsed="false">
      <c r="A217" s="8"/>
      <c r="B217" s="8"/>
      <c r="C217" s="8"/>
      <c r="D217" s="8"/>
      <c r="E217" s="8"/>
      <c r="F217" t="str" s="15">
        <f aca="0">IF(B217="","",IF(H217="","확인필요(입력누락)",IF(SUMPRODUCT((실물목록!$P$2:$P$1001&lt;&gt;"")*ISNUMBER(SEARCH(실물목록!$P$2:$P$1001,I217))*(실물목록!$Q$2:$Q$1001&lt;&gt;"")*ISNUMBER(SEARCH(실물목록!$Q$2:$Q$1001,I217))*(실물목록!$R$2:$R$1001="")*(실물목록!$O$2:$O$1001&lt;&gt;"")*(실물목록!$O$2:$O$1001=H217))&gt;0,"실물 있음",IF(SUMPRODUCT((실물목록!$P$2:$P$1001&lt;&gt;"")*ISNUMBER(SEARCH(실물목록!$P$2:$P$1001,I217))*(실물목록!$R$2:$R$1001&lt;&gt;""))&gt;0,"확인필요(입력누락)",IF(SUMPRODUCT((실물목록!$P$2:$P$1001&lt;&gt;"")*ISNUMBER(SEARCH(실물목록!$P$2:$P$1001,I217))*(실물목록!$Q$2:$Q$1001&lt;&gt;"")*ISNUMBER(SEARCH(실물목록!$Q$2:$Q$1001,I217))*(실물목록!$R$2:$R$1001="")*(실물목록!$O$2:$O$1001&lt;&gt;""))&gt;0,"확인필요(연도다름)","실물 없음")))))</f>
      </c>
      <c r="G217" t="n" s="16">
        <f aca="0">IF(B217="","",SUMPRODUCT((실물목록!$P$2:$P$1001&lt;&gt;"")*ISNUMBER(SEARCH(실물목록!$P$2:$P$1001,I217))*(실물목록!$Q$2:$Q$1001&lt;&gt;"")*ISNUMBER(SEARCH(실물목록!$Q$2:$Q$1001,I217))*(실물목록!$R$2:$R$1001="")*(실물목록!$O$2:$O$1001&lt;&gt;"")*(실물목록!$O$2:$O$1001=H217)))</f>
      </c>
      <c r="H217" t="str">
        <f>IFERROR(IF(AND(LEN(SUBSTITUTE(SUBSTITUTE(SUBSTITUTE(TRIM(A217&amp;""),CHAR(160),"")," ",""),"년",""))=4,VALUE(SUBSTITUTE(SUBSTITUTE(SUBSTITUTE(TRIM(A217&amp;""),CHAR(160),"")," ",""),"년",""))&gt;=1900,VALUE(SUBSTITUTE(SUBSTITUTE(SUBSTITUTE(TRIM(A217&amp;""),CHAR(160),"")," ",""),"년",""))&lt;=2099,TEXT(VALUE(SUBSTITUTE(SUBSTITUTE(SUBSTITUTE(TRIM(A217&amp;""),CHAR(160),"")," ",""),"년","")),"0000")=SUBSTITUTE(SUBSTITUTE(SUBSTITUTE(TRIM(A217&amp;""),CHAR(160),"")," ",""),"년","")),SUBSTITUTE(SUBSTITUTE(SUBSTITUTE(TRIM(A217&amp;""),CHAR(160),"")," ",""),"년",""),""),"")</f>
      </c>
      <c r="I217" t="str">
        <f>SUBSTITUTE(SUBSTITUTE(SUBSTITUTE(SUBSTITUTE(SUBSTITUTE(TRIM(B217&amp;""),CHAR(160),"")," ",""),"초등학교","초"),"중학교","중"),"고등학교","고")</f>
      </c>
    </row>
    <row r="218" customFormat="false" ht="15" hidden="false" customHeight="false" outlineLevel="0" collapsed="false">
      <c r="A218" s="8"/>
      <c r="B218" s="8"/>
      <c r="C218" s="8"/>
      <c r="D218" s="8"/>
      <c r="E218" s="8"/>
      <c r="F218" t="str" s="15">
        <f aca="0">IF(B218="","",IF(H218="","확인필요(입력누락)",IF(SUMPRODUCT((실물목록!$P$2:$P$1001&lt;&gt;"")*ISNUMBER(SEARCH(실물목록!$P$2:$P$1001,I218))*(실물목록!$Q$2:$Q$1001&lt;&gt;"")*ISNUMBER(SEARCH(실물목록!$Q$2:$Q$1001,I218))*(실물목록!$R$2:$R$1001="")*(실물목록!$O$2:$O$1001&lt;&gt;"")*(실물목록!$O$2:$O$1001=H218))&gt;0,"실물 있음",IF(SUMPRODUCT((실물목록!$P$2:$P$1001&lt;&gt;"")*ISNUMBER(SEARCH(실물목록!$P$2:$P$1001,I218))*(실물목록!$R$2:$R$1001&lt;&gt;""))&gt;0,"확인필요(입력누락)",IF(SUMPRODUCT((실물목록!$P$2:$P$1001&lt;&gt;"")*ISNUMBER(SEARCH(실물목록!$P$2:$P$1001,I218))*(실물목록!$Q$2:$Q$1001&lt;&gt;"")*ISNUMBER(SEARCH(실물목록!$Q$2:$Q$1001,I218))*(실물목록!$R$2:$R$1001="")*(실물목록!$O$2:$O$1001&lt;&gt;""))&gt;0,"확인필요(연도다름)","실물 없음")))))</f>
      </c>
      <c r="G218" t="n" s="16">
        <f aca="0">IF(B218="","",SUMPRODUCT((실물목록!$P$2:$P$1001&lt;&gt;"")*ISNUMBER(SEARCH(실물목록!$P$2:$P$1001,I218))*(실물목록!$Q$2:$Q$1001&lt;&gt;"")*ISNUMBER(SEARCH(실물목록!$Q$2:$Q$1001,I218))*(실물목록!$R$2:$R$1001="")*(실물목록!$O$2:$O$1001&lt;&gt;"")*(실물목록!$O$2:$O$1001=H218)))</f>
      </c>
      <c r="H218" t="str">
        <f>IFERROR(IF(AND(LEN(SUBSTITUTE(SUBSTITUTE(SUBSTITUTE(TRIM(A218&amp;""),CHAR(160),"")," ",""),"년",""))=4,VALUE(SUBSTITUTE(SUBSTITUTE(SUBSTITUTE(TRIM(A218&amp;""),CHAR(160),"")," ",""),"년",""))&gt;=1900,VALUE(SUBSTITUTE(SUBSTITUTE(SUBSTITUTE(TRIM(A218&amp;""),CHAR(160),"")," ",""),"년",""))&lt;=2099,TEXT(VALUE(SUBSTITUTE(SUBSTITUTE(SUBSTITUTE(TRIM(A218&amp;""),CHAR(160),"")," ",""),"년","")),"0000")=SUBSTITUTE(SUBSTITUTE(SUBSTITUTE(TRIM(A218&amp;""),CHAR(160),"")," ",""),"년","")),SUBSTITUTE(SUBSTITUTE(SUBSTITUTE(TRIM(A218&amp;""),CHAR(160),"")," ",""),"년",""),""),"")</f>
      </c>
      <c r="I218" t="str">
        <f>SUBSTITUTE(SUBSTITUTE(SUBSTITUTE(SUBSTITUTE(SUBSTITUTE(TRIM(B218&amp;""),CHAR(160),"")," ",""),"초등학교","초"),"중학교","중"),"고등학교","고")</f>
      </c>
    </row>
    <row r="219" customFormat="false" ht="15" hidden="false" customHeight="false" outlineLevel="0" collapsed="false">
      <c r="A219" s="8"/>
      <c r="B219" s="8"/>
      <c r="C219" s="8"/>
      <c r="D219" s="8"/>
      <c r="E219" s="8"/>
      <c r="F219" t="str" s="15">
        <f aca="0">IF(B219="","",IF(H219="","확인필요(입력누락)",IF(SUMPRODUCT((실물목록!$P$2:$P$1001&lt;&gt;"")*ISNUMBER(SEARCH(실물목록!$P$2:$P$1001,I219))*(실물목록!$Q$2:$Q$1001&lt;&gt;"")*ISNUMBER(SEARCH(실물목록!$Q$2:$Q$1001,I219))*(실물목록!$R$2:$R$1001="")*(실물목록!$O$2:$O$1001&lt;&gt;"")*(실물목록!$O$2:$O$1001=H219))&gt;0,"실물 있음",IF(SUMPRODUCT((실물목록!$P$2:$P$1001&lt;&gt;"")*ISNUMBER(SEARCH(실물목록!$P$2:$P$1001,I219))*(실물목록!$R$2:$R$1001&lt;&gt;""))&gt;0,"확인필요(입력누락)",IF(SUMPRODUCT((실물목록!$P$2:$P$1001&lt;&gt;"")*ISNUMBER(SEARCH(실물목록!$P$2:$P$1001,I219))*(실물목록!$Q$2:$Q$1001&lt;&gt;"")*ISNUMBER(SEARCH(실물목록!$Q$2:$Q$1001,I219))*(실물목록!$R$2:$R$1001="")*(실물목록!$O$2:$O$1001&lt;&gt;""))&gt;0,"확인필요(연도다름)","실물 없음")))))</f>
      </c>
      <c r="G219" t="n" s="16">
        <f aca="0">IF(B219="","",SUMPRODUCT((실물목록!$P$2:$P$1001&lt;&gt;"")*ISNUMBER(SEARCH(실물목록!$P$2:$P$1001,I219))*(실물목록!$Q$2:$Q$1001&lt;&gt;"")*ISNUMBER(SEARCH(실물목록!$Q$2:$Q$1001,I219))*(실물목록!$R$2:$R$1001="")*(실물목록!$O$2:$O$1001&lt;&gt;"")*(실물목록!$O$2:$O$1001=H219)))</f>
      </c>
      <c r="H219" t="str">
        <f>IFERROR(IF(AND(LEN(SUBSTITUTE(SUBSTITUTE(SUBSTITUTE(TRIM(A219&amp;""),CHAR(160),"")," ",""),"년",""))=4,VALUE(SUBSTITUTE(SUBSTITUTE(SUBSTITUTE(TRIM(A219&amp;""),CHAR(160),"")," ",""),"년",""))&gt;=1900,VALUE(SUBSTITUTE(SUBSTITUTE(SUBSTITUTE(TRIM(A219&amp;""),CHAR(160),"")," ",""),"년",""))&lt;=2099,TEXT(VALUE(SUBSTITUTE(SUBSTITUTE(SUBSTITUTE(TRIM(A219&amp;""),CHAR(160),"")," ",""),"년","")),"0000")=SUBSTITUTE(SUBSTITUTE(SUBSTITUTE(TRIM(A219&amp;""),CHAR(160),"")," ",""),"년","")),SUBSTITUTE(SUBSTITUTE(SUBSTITUTE(TRIM(A219&amp;""),CHAR(160),"")," ",""),"년",""),""),"")</f>
      </c>
      <c r="I219" t="str">
        <f>SUBSTITUTE(SUBSTITUTE(SUBSTITUTE(SUBSTITUTE(SUBSTITUTE(TRIM(B219&amp;""),CHAR(160),"")," ",""),"초등학교","초"),"중학교","중"),"고등학교","고")</f>
      </c>
    </row>
    <row r="220" customFormat="false" ht="15" hidden="false" customHeight="false" outlineLevel="0" collapsed="false">
      <c r="A220" s="8"/>
      <c r="B220" s="8"/>
      <c r="C220" s="8"/>
      <c r="D220" s="8"/>
      <c r="E220" s="8"/>
      <c r="F220" t="str" s="15">
        <f aca="0">IF(B220="","",IF(H220="","확인필요(입력누락)",IF(SUMPRODUCT((실물목록!$P$2:$P$1001&lt;&gt;"")*ISNUMBER(SEARCH(실물목록!$P$2:$P$1001,I220))*(실물목록!$Q$2:$Q$1001&lt;&gt;"")*ISNUMBER(SEARCH(실물목록!$Q$2:$Q$1001,I220))*(실물목록!$R$2:$R$1001="")*(실물목록!$O$2:$O$1001&lt;&gt;"")*(실물목록!$O$2:$O$1001=H220))&gt;0,"실물 있음",IF(SUMPRODUCT((실물목록!$P$2:$P$1001&lt;&gt;"")*ISNUMBER(SEARCH(실물목록!$P$2:$P$1001,I220))*(실물목록!$R$2:$R$1001&lt;&gt;""))&gt;0,"확인필요(입력누락)",IF(SUMPRODUCT((실물목록!$P$2:$P$1001&lt;&gt;"")*ISNUMBER(SEARCH(실물목록!$P$2:$P$1001,I220))*(실물목록!$Q$2:$Q$1001&lt;&gt;"")*ISNUMBER(SEARCH(실물목록!$Q$2:$Q$1001,I220))*(실물목록!$R$2:$R$1001="")*(실물목록!$O$2:$O$1001&lt;&gt;""))&gt;0,"확인필요(연도다름)","실물 없음")))))</f>
      </c>
      <c r="G220" t="n" s="16">
        <f aca="0">IF(B220="","",SUMPRODUCT((실물목록!$P$2:$P$1001&lt;&gt;"")*ISNUMBER(SEARCH(실물목록!$P$2:$P$1001,I220))*(실물목록!$Q$2:$Q$1001&lt;&gt;"")*ISNUMBER(SEARCH(실물목록!$Q$2:$Q$1001,I220))*(실물목록!$R$2:$R$1001="")*(실물목록!$O$2:$O$1001&lt;&gt;"")*(실물목록!$O$2:$O$1001=H220)))</f>
      </c>
      <c r="H220" t="str">
        <f>IFERROR(IF(AND(LEN(SUBSTITUTE(SUBSTITUTE(SUBSTITUTE(TRIM(A220&amp;""),CHAR(160),"")," ",""),"년",""))=4,VALUE(SUBSTITUTE(SUBSTITUTE(SUBSTITUTE(TRIM(A220&amp;""),CHAR(160),"")," ",""),"년",""))&gt;=1900,VALUE(SUBSTITUTE(SUBSTITUTE(SUBSTITUTE(TRIM(A220&amp;""),CHAR(160),"")," ",""),"년",""))&lt;=2099,TEXT(VALUE(SUBSTITUTE(SUBSTITUTE(SUBSTITUTE(TRIM(A220&amp;""),CHAR(160),"")," ",""),"년","")),"0000")=SUBSTITUTE(SUBSTITUTE(SUBSTITUTE(TRIM(A220&amp;""),CHAR(160),"")," ",""),"년","")),SUBSTITUTE(SUBSTITUTE(SUBSTITUTE(TRIM(A220&amp;""),CHAR(160),"")," ",""),"년",""),""),"")</f>
      </c>
      <c r="I220" t="str">
        <f>SUBSTITUTE(SUBSTITUTE(SUBSTITUTE(SUBSTITUTE(SUBSTITUTE(TRIM(B220&amp;""),CHAR(160),"")," ",""),"초등학교","초"),"중학교","중"),"고등학교","고")</f>
      </c>
    </row>
    <row r="221" customFormat="false" ht="15" hidden="false" customHeight="false" outlineLevel="0" collapsed="false">
      <c r="A221" s="8"/>
      <c r="B221" s="8"/>
      <c r="C221" s="8"/>
      <c r="D221" s="8"/>
      <c r="E221" s="8"/>
      <c r="F221" t="str" s="15">
        <f aca="0">IF(B221="","",IF(H221="","확인필요(입력누락)",IF(SUMPRODUCT((실물목록!$P$2:$P$1001&lt;&gt;"")*ISNUMBER(SEARCH(실물목록!$P$2:$P$1001,I221))*(실물목록!$Q$2:$Q$1001&lt;&gt;"")*ISNUMBER(SEARCH(실물목록!$Q$2:$Q$1001,I221))*(실물목록!$R$2:$R$1001="")*(실물목록!$O$2:$O$1001&lt;&gt;"")*(실물목록!$O$2:$O$1001=H221))&gt;0,"실물 있음",IF(SUMPRODUCT((실물목록!$P$2:$P$1001&lt;&gt;"")*ISNUMBER(SEARCH(실물목록!$P$2:$P$1001,I221))*(실물목록!$R$2:$R$1001&lt;&gt;""))&gt;0,"확인필요(입력누락)",IF(SUMPRODUCT((실물목록!$P$2:$P$1001&lt;&gt;"")*ISNUMBER(SEARCH(실물목록!$P$2:$P$1001,I221))*(실물목록!$Q$2:$Q$1001&lt;&gt;"")*ISNUMBER(SEARCH(실물목록!$Q$2:$Q$1001,I221))*(실물목록!$R$2:$R$1001="")*(실물목록!$O$2:$O$1001&lt;&gt;""))&gt;0,"확인필요(연도다름)","실물 없음")))))</f>
      </c>
      <c r="G221" t="n" s="16">
        <f aca="0">IF(B221="","",SUMPRODUCT((실물목록!$P$2:$P$1001&lt;&gt;"")*ISNUMBER(SEARCH(실물목록!$P$2:$P$1001,I221))*(실물목록!$Q$2:$Q$1001&lt;&gt;"")*ISNUMBER(SEARCH(실물목록!$Q$2:$Q$1001,I221))*(실물목록!$R$2:$R$1001="")*(실물목록!$O$2:$O$1001&lt;&gt;"")*(실물목록!$O$2:$O$1001=H221)))</f>
      </c>
      <c r="H221" t="str">
        <f>IFERROR(IF(AND(LEN(SUBSTITUTE(SUBSTITUTE(SUBSTITUTE(TRIM(A221&amp;""),CHAR(160),"")," ",""),"년",""))=4,VALUE(SUBSTITUTE(SUBSTITUTE(SUBSTITUTE(TRIM(A221&amp;""),CHAR(160),"")," ",""),"년",""))&gt;=1900,VALUE(SUBSTITUTE(SUBSTITUTE(SUBSTITUTE(TRIM(A221&amp;""),CHAR(160),"")," ",""),"년",""))&lt;=2099,TEXT(VALUE(SUBSTITUTE(SUBSTITUTE(SUBSTITUTE(TRIM(A221&amp;""),CHAR(160),"")," ",""),"년","")),"0000")=SUBSTITUTE(SUBSTITUTE(SUBSTITUTE(TRIM(A221&amp;""),CHAR(160),"")," ",""),"년","")),SUBSTITUTE(SUBSTITUTE(SUBSTITUTE(TRIM(A221&amp;""),CHAR(160),"")," ",""),"년",""),""),"")</f>
      </c>
      <c r="I221" t="str">
        <f>SUBSTITUTE(SUBSTITUTE(SUBSTITUTE(SUBSTITUTE(SUBSTITUTE(TRIM(B221&amp;""),CHAR(160),"")," ",""),"초등학교","초"),"중학교","중"),"고등학교","고")</f>
      </c>
    </row>
    <row r="222" customFormat="false" ht="15" hidden="false" customHeight="false" outlineLevel="0" collapsed="false">
      <c r="A222" s="8"/>
      <c r="B222" s="8"/>
      <c r="C222" s="8"/>
      <c r="D222" s="8"/>
      <c r="E222" s="8"/>
      <c r="F222" t="str" s="15">
        <f aca="0">IF(B222="","",IF(H222="","확인필요(입력누락)",IF(SUMPRODUCT((실물목록!$P$2:$P$1001&lt;&gt;"")*ISNUMBER(SEARCH(실물목록!$P$2:$P$1001,I222))*(실물목록!$Q$2:$Q$1001&lt;&gt;"")*ISNUMBER(SEARCH(실물목록!$Q$2:$Q$1001,I222))*(실물목록!$R$2:$R$1001="")*(실물목록!$O$2:$O$1001&lt;&gt;"")*(실물목록!$O$2:$O$1001=H222))&gt;0,"실물 있음",IF(SUMPRODUCT((실물목록!$P$2:$P$1001&lt;&gt;"")*ISNUMBER(SEARCH(실물목록!$P$2:$P$1001,I222))*(실물목록!$R$2:$R$1001&lt;&gt;""))&gt;0,"확인필요(입력누락)",IF(SUMPRODUCT((실물목록!$P$2:$P$1001&lt;&gt;"")*ISNUMBER(SEARCH(실물목록!$P$2:$P$1001,I222))*(실물목록!$Q$2:$Q$1001&lt;&gt;"")*ISNUMBER(SEARCH(실물목록!$Q$2:$Q$1001,I222))*(실물목록!$R$2:$R$1001="")*(실물목록!$O$2:$O$1001&lt;&gt;""))&gt;0,"확인필요(연도다름)","실물 없음")))))</f>
      </c>
      <c r="G222" t="n" s="16">
        <f aca="0">IF(B222="","",SUMPRODUCT((실물목록!$P$2:$P$1001&lt;&gt;"")*ISNUMBER(SEARCH(실물목록!$P$2:$P$1001,I222))*(실물목록!$Q$2:$Q$1001&lt;&gt;"")*ISNUMBER(SEARCH(실물목록!$Q$2:$Q$1001,I222))*(실물목록!$R$2:$R$1001="")*(실물목록!$O$2:$O$1001&lt;&gt;"")*(실물목록!$O$2:$O$1001=H222)))</f>
      </c>
      <c r="H222" t="str">
        <f>IFERROR(IF(AND(LEN(SUBSTITUTE(SUBSTITUTE(SUBSTITUTE(TRIM(A222&amp;""),CHAR(160),"")," ",""),"년",""))=4,VALUE(SUBSTITUTE(SUBSTITUTE(SUBSTITUTE(TRIM(A222&amp;""),CHAR(160),"")," ",""),"년",""))&gt;=1900,VALUE(SUBSTITUTE(SUBSTITUTE(SUBSTITUTE(TRIM(A222&amp;""),CHAR(160),"")," ",""),"년",""))&lt;=2099,TEXT(VALUE(SUBSTITUTE(SUBSTITUTE(SUBSTITUTE(TRIM(A222&amp;""),CHAR(160),"")," ",""),"년","")),"0000")=SUBSTITUTE(SUBSTITUTE(SUBSTITUTE(TRIM(A222&amp;""),CHAR(160),"")," ",""),"년","")),SUBSTITUTE(SUBSTITUTE(SUBSTITUTE(TRIM(A222&amp;""),CHAR(160),"")," ",""),"년",""),""),"")</f>
      </c>
      <c r="I222" t="str">
        <f>SUBSTITUTE(SUBSTITUTE(SUBSTITUTE(SUBSTITUTE(SUBSTITUTE(TRIM(B222&amp;""),CHAR(160),"")," ",""),"초등학교","초"),"중학교","중"),"고등학교","고")</f>
      </c>
    </row>
    <row r="223" customFormat="false" ht="15" hidden="false" customHeight="false" outlineLevel="0" collapsed="false">
      <c r="A223" s="8"/>
      <c r="B223" s="8"/>
      <c r="C223" s="8"/>
      <c r="D223" s="8"/>
      <c r="E223" s="8"/>
      <c r="F223" t="str" s="15">
        <f aca="0">IF(B223="","",IF(H223="","확인필요(입력누락)",IF(SUMPRODUCT((실물목록!$P$2:$P$1001&lt;&gt;"")*ISNUMBER(SEARCH(실물목록!$P$2:$P$1001,I223))*(실물목록!$Q$2:$Q$1001&lt;&gt;"")*ISNUMBER(SEARCH(실물목록!$Q$2:$Q$1001,I223))*(실물목록!$R$2:$R$1001="")*(실물목록!$O$2:$O$1001&lt;&gt;"")*(실물목록!$O$2:$O$1001=H223))&gt;0,"실물 있음",IF(SUMPRODUCT((실물목록!$P$2:$P$1001&lt;&gt;"")*ISNUMBER(SEARCH(실물목록!$P$2:$P$1001,I223))*(실물목록!$R$2:$R$1001&lt;&gt;""))&gt;0,"확인필요(입력누락)",IF(SUMPRODUCT((실물목록!$P$2:$P$1001&lt;&gt;"")*ISNUMBER(SEARCH(실물목록!$P$2:$P$1001,I223))*(실물목록!$Q$2:$Q$1001&lt;&gt;"")*ISNUMBER(SEARCH(실물목록!$Q$2:$Q$1001,I223))*(실물목록!$R$2:$R$1001="")*(실물목록!$O$2:$O$1001&lt;&gt;""))&gt;0,"확인필요(연도다름)","실물 없음")))))</f>
      </c>
      <c r="G223" t="n" s="16">
        <f aca="0">IF(B223="","",SUMPRODUCT((실물목록!$P$2:$P$1001&lt;&gt;"")*ISNUMBER(SEARCH(실물목록!$P$2:$P$1001,I223))*(실물목록!$Q$2:$Q$1001&lt;&gt;"")*ISNUMBER(SEARCH(실물목록!$Q$2:$Q$1001,I223))*(실물목록!$R$2:$R$1001="")*(실물목록!$O$2:$O$1001&lt;&gt;"")*(실물목록!$O$2:$O$1001=H223)))</f>
      </c>
      <c r="H223" t="str">
        <f>IFERROR(IF(AND(LEN(SUBSTITUTE(SUBSTITUTE(SUBSTITUTE(TRIM(A223&amp;""),CHAR(160),"")," ",""),"년",""))=4,VALUE(SUBSTITUTE(SUBSTITUTE(SUBSTITUTE(TRIM(A223&amp;""),CHAR(160),"")," ",""),"년",""))&gt;=1900,VALUE(SUBSTITUTE(SUBSTITUTE(SUBSTITUTE(TRIM(A223&amp;""),CHAR(160),"")," ",""),"년",""))&lt;=2099,TEXT(VALUE(SUBSTITUTE(SUBSTITUTE(SUBSTITUTE(TRIM(A223&amp;""),CHAR(160),"")," ",""),"년","")),"0000")=SUBSTITUTE(SUBSTITUTE(SUBSTITUTE(TRIM(A223&amp;""),CHAR(160),"")," ",""),"년","")),SUBSTITUTE(SUBSTITUTE(SUBSTITUTE(TRIM(A223&amp;""),CHAR(160),"")," ",""),"년",""),""),"")</f>
      </c>
      <c r="I223" t="str">
        <f>SUBSTITUTE(SUBSTITUTE(SUBSTITUTE(SUBSTITUTE(SUBSTITUTE(TRIM(B223&amp;""),CHAR(160),"")," ",""),"초등학교","초"),"중학교","중"),"고등학교","고")</f>
      </c>
    </row>
    <row r="224" customFormat="false" ht="15" hidden="false" customHeight="false" outlineLevel="0" collapsed="false">
      <c r="A224" s="8"/>
      <c r="B224" s="8"/>
      <c r="C224" s="8"/>
      <c r="D224" s="8"/>
      <c r="E224" s="8"/>
      <c r="F224" t="str" s="15">
        <f aca="0">IF(B224="","",IF(H224="","확인필요(입력누락)",IF(SUMPRODUCT((실물목록!$P$2:$P$1001&lt;&gt;"")*ISNUMBER(SEARCH(실물목록!$P$2:$P$1001,I224))*(실물목록!$Q$2:$Q$1001&lt;&gt;"")*ISNUMBER(SEARCH(실물목록!$Q$2:$Q$1001,I224))*(실물목록!$R$2:$R$1001="")*(실물목록!$O$2:$O$1001&lt;&gt;"")*(실물목록!$O$2:$O$1001=H224))&gt;0,"실물 있음",IF(SUMPRODUCT((실물목록!$P$2:$P$1001&lt;&gt;"")*ISNUMBER(SEARCH(실물목록!$P$2:$P$1001,I224))*(실물목록!$R$2:$R$1001&lt;&gt;""))&gt;0,"확인필요(입력누락)",IF(SUMPRODUCT((실물목록!$P$2:$P$1001&lt;&gt;"")*ISNUMBER(SEARCH(실물목록!$P$2:$P$1001,I224))*(실물목록!$Q$2:$Q$1001&lt;&gt;"")*ISNUMBER(SEARCH(실물목록!$Q$2:$Q$1001,I224))*(실물목록!$R$2:$R$1001="")*(실물목록!$O$2:$O$1001&lt;&gt;""))&gt;0,"확인필요(연도다름)","실물 없음")))))</f>
      </c>
      <c r="G224" t="n" s="16">
        <f aca="0">IF(B224="","",SUMPRODUCT((실물목록!$P$2:$P$1001&lt;&gt;"")*ISNUMBER(SEARCH(실물목록!$P$2:$P$1001,I224))*(실물목록!$Q$2:$Q$1001&lt;&gt;"")*ISNUMBER(SEARCH(실물목록!$Q$2:$Q$1001,I224))*(실물목록!$R$2:$R$1001="")*(실물목록!$O$2:$O$1001&lt;&gt;"")*(실물목록!$O$2:$O$1001=H224)))</f>
      </c>
      <c r="H224" t="str">
        <f>IFERROR(IF(AND(LEN(SUBSTITUTE(SUBSTITUTE(SUBSTITUTE(TRIM(A224&amp;""),CHAR(160),"")," ",""),"년",""))=4,VALUE(SUBSTITUTE(SUBSTITUTE(SUBSTITUTE(TRIM(A224&amp;""),CHAR(160),"")," ",""),"년",""))&gt;=1900,VALUE(SUBSTITUTE(SUBSTITUTE(SUBSTITUTE(TRIM(A224&amp;""),CHAR(160),"")," ",""),"년",""))&lt;=2099,TEXT(VALUE(SUBSTITUTE(SUBSTITUTE(SUBSTITUTE(TRIM(A224&amp;""),CHAR(160),"")," ",""),"년","")),"0000")=SUBSTITUTE(SUBSTITUTE(SUBSTITUTE(TRIM(A224&amp;""),CHAR(160),"")," ",""),"년","")),SUBSTITUTE(SUBSTITUTE(SUBSTITUTE(TRIM(A224&amp;""),CHAR(160),"")," ",""),"년",""),""),"")</f>
      </c>
      <c r="I224" t="str">
        <f>SUBSTITUTE(SUBSTITUTE(SUBSTITUTE(SUBSTITUTE(SUBSTITUTE(TRIM(B224&amp;""),CHAR(160),"")," ",""),"초등학교","초"),"중학교","중"),"고등학교","고")</f>
      </c>
    </row>
    <row r="225" customFormat="false" ht="15" hidden="false" customHeight="false" outlineLevel="0" collapsed="false">
      <c r="A225" s="8"/>
      <c r="B225" s="8"/>
      <c r="C225" s="8"/>
      <c r="D225" s="8"/>
      <c r="E225" s="8"/>
      <c r="F225" t="str" s="15">
        <f aca="0">IF(B225="","",IF(H225="","확인필요(입력누락)",IF(SUMPRODUCT((실물목록!$P$2:$P$1001&lt;&gt;"")*ISNUMBER(SEARCH(실물목록!$P$2:$P$1001,I225))*(실물목록!$Q$2:$Q$1001&lt;&gt;"")*ISNUMBER(SEARCH(실물목록!$Q$2:$Q$1001,I225))*(실물목록!$R$2:$R$1001="")*(실물목록!$O$2:$O$1001&lt;&gt;"")*(실물목록!$O$2:$O$1001=H225))&gt;0,"실물 있음",IF(SUMPRODUCT((실물목록!$P$2:$P$1001&lt;&gt;"")*ISNUMBER(SEARCH(실물목록!$P$2:$P$1001,I225))*(실물목록!$R$2:$R$1001&lt;&gt;""))&gt;0,"확인필요(입력누락)",IF(SUMPRODUCT((실물목록!$P$2:$P$1001&lt;&gt;"")*ISNUMBER(SEARCH(실물목록!$P$2:$P$1001,I225))*(실물목록!$Q$2:$Q$1001&lt;&gt;"")*ISNUMBER(SEARCH(실물목록!$Q$2:$Q$1001,I225))*(실물목록!$R$2:$R$1001="")*(실물목록!$O$2:$O$1001&lt;&gt;""))&gt;0,"확인필요(연도다름)","실물 없음")))))</f>
      </c>
      <c r="G225" t="n" s="16">
        <f aca="0">IF(B225="","",SUMPRODUCT((실물목록!$P$2:$P$1001&lt;&gt;"")*ISNUMBER(SEARCH(실물목록!$P$2:$P$1001,I225))*(실물목록!$Q$2:$Q$1001&lt;&gt;"")*ISNUMBER(SEARCH(실물목록!$Q$2:$Q$1001,I225))*(실물목록!$R$2:$R$1001="")*(실물목록!$O$2:$O$1001&lt;&gt;"")*(실물목록!$O$2:$O$1001=H225)))</f>
      </c>
      <c r="H225" t="str">
        <f>IFERROR(IF(AND(LEN(SUBSTITUTE(SUBSTITUTE(SUBSTITUTE(TRIM(A225&amp;""),CHAR(160),"")," ",""),"년",""))=4,VALUE(SUBSTITUTE(SUBSTITUTE(SUBSTITUTE(TRIM(A225&amp;""),CHAR(160),"")," ",""),"년",""))&gt;=1900,VALUE(SUBSTITUTE(SUBSTITUTE(SUBSTITUTE(TRIM(A225&amp;""),CHAR(160),"")," ",""),"년",""))&lt;=2099,TEXT(VALUE(SUBSTITUTE(SUBSTITUTE(SUBSTITUTE(TRIM(A225&amp;""),CHAR(160),"")," ",""),"년","")),"0000")=SUBSTITUTE(SUBSTITUTE(SUBSTITUTE(TRIM(A225&amp;""),CHAR(160),"")," ",""),"년","")),SUBSTITUTE(SUBSTITUTE(SUBSTITUTE(TRIM(A225&amp;""),CHAR(160),"")," ",""),"년",""),""),"")</f>
      </c>
      <c r="I225" t="str">
        <f>SUBSTITUTE(SUBSTITUTE(SUBSTITUTE(SUBSTITUTE(SUBSTITUTE(TRIM(B225&amp;""),CHAR(160),"")," ",""),"초등학교","초"),"중학교","중"),"고등학교","고")</f>
      </c>
    </row>
    <row r="226" customFormat="false" ht="15" hidden="false" customHeight="false" outlineLevel="0" collapsed="false">
      <c r="A226" s="8"/>
      <c r="B226" s="8"/>
      <c r="C226" s="8"/>
      <c r="D226" s="8"/>
      <c r="E226" s="8"/>
      <c r="F226" t="str" s="15">
        <f aca="0">IF(B226="","",IF(H226="","확인필요(입력누락)",IF(SUMPRODUCT((실물목록!$P$2:$P$1001&lt;&gt;"")*ISNUMBER(SEARCH(실물목록!$P$2:$P$1001,I226))*(실물목록!$Q$2:$Q$1001&lt;&gt;"")*ISNUMBER(SEARCH(실물목록!$Q$2:$Q$1001,I226))*(실물목록!$R$2:$R$1001="")*(실물목록!$O$2:$O$1001&lt;&gt;"")*(실물목록!$O$2:$O$1001=H226))&gt;0,"실물 있음",IF(SUMPRODUCT((실물목록!$P$2:$P$1001&lt;&gt;"")*ISNUMBER(SEARCH(실물목록!$P$2:$P$1001,I226))*(실물목록!$R$2:$R$1001&lt;&gt;""))&gt;0,"확인필요(입력누락)",IF(SUMPRODUCT((실물목록!$P$2:$P$1001&lt;&gt;"")*ISNUMBER(SEARCH(실물목록!$P$2:$P$1001,I226))*(실물목록!$Q$2:$Q$1001&lt;&gt;"")*ISNUMBER(SEARCH(실물목록!$Q$2:$Q$1001,I226))*(실물목록!$R$2:$R$1001="")*(실물목록!$O$2:$O$1001&lt;&gt;""))&gt;0,"확인필요(연도다름)","실물 없음")))))</f>
      </c>
      <c r="G226" t="n" s="16">
        <f aca="0">IF(B226="","",SUMPRODUCT((실물목록!$P$2:$P$1001&lt;&gt;"")*ISNUMBER(SEARCH(실물목록!$P$2:$P$1001,I226))*(실물목록!$Q$2:$Q$1001&lt;&gt;"")*ISNUMBER(SEARCH(실물목록!$Q$2:$Q$1001,I226))*(실물목록!$R$2:$R$1001="")*(실물목록!$O$2:$O$1001&lt;&gt;"")*(실물목록!$O$2:$O$1001=H226)))</f>
      </c>
      <c r="H226" t="str">
        <f>IFERROR(IF(AND(LEN(SUBSTITUTE(SUBSTITUTE(SUBSTITUTE(TRIM(A226&amp;""),CHAR(160),"")," ",""),"년",""))=4,VALUE(SUBSTITUTE(SUBSTITUTE(SUBSTITUTE(TRIM(A226&amp;""),CHAR(160),"")," ",""),"년",""))&gt;=1900,VALUE(SUBSTITUTE(SUBSTITUTE(SUBSTITUTE(TRIM(A226&amp;""),CHAR(160),"")," ",""),"년",""))&lt;=2099,TEXT(VALUE(SUBSTITUTE(SUBSTITUTE(SUBSTITUTE(TRIM(A226&amp;""),CHAR(160),"")," ",""),"년","")),"0000")=SUBSTITUTE(SUBSTITUTE(SUBSTITUTE(TRIM(A226&amp;""),CHAR(160),"")," ",""),"년","")),SUBSTITUTE(SUBSTITUTE(SUBSTITUTE(TRIM(A226&amp;""),CHAR(160),"")," ",""),"년",""),""),"")</f>
      </c>
      <c r="I226" t="str">
        <f>SUBSTITUTE(SUBSTITUTE(SUBSTITUTE(SUBSTITUTE(SUBSTITUTE(TRIM(B226&amp;""),CHAR(160),"")," ",""),"초등학교","초"),"중학교","중"),"고등학교","고")</f>
      </c>
    </row>
    <row r="227" customFormat="false" ht="15" hidden="false" customHeight="false" outlineLevel="0" collapsed="false">
      <c r="A227" s="8"/>
      <c r="B227" s="8"/>
      <c r="C227" s="8"/>
      <c r="D227" s="8"/>
      <c r="E227" s="8"/>
      <c r="F227" t="str" s="15">
        <f aca="0">IF(B227="","",IF(H227="","확인필요(입력누락)",IF(SUMPRODUCT((실물목록!$P$2:$P$1001&lt;&gt;"")*ISNUMBER(SEARCH(실물목록!$P$2:$P$1001,I227))*(실물목록!$Q$2:$Q$1001&lt;&gt;"")*ISNUMBER(SEARCH(실물목록!$Q$2:$Q$1001,I227))*(실물목록!$R$2:$R$1001="")*(실물목록!$O$2:$O$1001&lt;&gt;"")*(실물목록!$O$2:$O$1001=H227))&gt;0,"실물 있음",IF(SUMPRODUCT((실물목록!$P$2:$P$1001&lt;&gt;"")*ISNUMBER(SEARCH(실물목록!$P$2:$P$1001,I227))*(실물목록!$R$2:$R$1001&lt;&gt;""))&gt;0,"확인필요(입력누락)",IF(SUMPRODUCT((실물목록!$P$2:$P$1001&lt;&gt;"")*ISNUMBER(SEARCH(실물목록!$P$2:$P$1001,I227))*(실물목록!$Q$2:$Q$1001&lt;&gt;"")*ISNUMBER(SEARCH(실물목록!$Q$2:$Q$1001,I227))*(실물목록!$R$2:$R$1001="")*(실물목록!$O$2:$O$1001&lt;&gt;""))&gt;0,"확인필요(연도다름)","실물 없음")))))</f>
      </c>
      <c r="G227" t="n" s="16">
        <f aca="0">IF(B227="","",SUMPRODUCT((실물목록!$P$2:$P$1001&lt;&gt;"")*ISNUMBER(SEARCH(실물목록!$P$2:$P$1001,I227))*(실물목록!$Q$2:$Q$1001&lt;&gt;"")*ISNUMBER(SEARCH(실물목록!$Q$2:$Q$1001,I227))*(실물목록!$R$2:$R$1001="")*(실물목록!$O$2:$O$1001&lt;&gt;"")*(실물목록!$O$2:$O$1001=H227)))</f>
      </c>
      <c r="H227" t="str">
        <f>IFERROR(IF(AND(LEN(SUBSTITUTE(SUBSTITUTE(SUBSTITUTE(TRIM(A227&amp;""),CHAR(160),"")," ",""),"년",""))=4,VALUE(SUBSTITUTE(SUBSTITUTE(SUBSTITUTE(TRIM(A227&amp;""),CHAR(160),"")," ",""),"년",""))&gt;=1900,VALUE(SUBSTITUTE(SUBSTITUTE(SUBSTITUTE(TRIM(A227&amp;""),CHAR(160),"")," ",""),"년",""))&lt;=2099,TEXT(VALUE(SUBSTITUTE(SUBSTITUTE(SUBSTITUTE(TRIM(A227&amp;""),CHAR(160),"")," ",""),"년","")),"0000")=SUBSTITUTE(SUBSTITUTE(SUBSTITUTE(TRIM(A227&amp;""),CHAR(160),"")," ",""),"년","")),SUBSTITUTE(SUBSTITUTE(SUBSTITUTE(TRIM(A227&amp;""),CHAR(160),"")," ",""),"년",""),""),"")</f>
      </c>
      <c r="I227" t="str">
        <f>SUBSTITUTE(SUBSTITUTE(SUBSTITUTE(SUBSTITUTE(SUBSTITUTE(TRIM(B227&amp;""),CHAR(160),"")," ",""),"초등학교","초"),"중학교","중"),"고등학교","고")</f>
      </c>
    </row>
    <row r="228" customFormat="false" ht="15" hidden="false" customHeight="false" outlineLevel="0" collapsed="false">
      <c r="A228" s="8"/>
      <c r="B228" s="8"/>
      <c r="C228" s="8"/>
      <c r="D228" s="8"/>
      <c r="E228" s="8"/>
      <c r="F228" t="str" s="15">
        <f aca="0">IF(B228="","",IF(H228="","확인필요(입력누락)",IF(SUMPRODUCT((실물목록!$P$2:$P$1001&lt;&gt;"")*ISNUMBER(SEARCH(실물목록!$P$2:$P$1001,I228))*(실물목록!$Q$2:$Q$1001&lt;&gt;"")*ISNUMBER(SEARCH(실물목록!$Q$2:$Q$1001,I228))*(실물목록!$R$2:$R$1001="")*(실물목록!$O$2:$O$1001&lt;&gt;"")*(실물목록!$O$2:$O$1001=H228))&gt;0,"실물 있음",IF(SUMPRODUCT((실물목록!$P$2:$P$1001&lt;&gt;"")*ISNUMBER(SEARCH(실물목록!$P$2:$P$1001,I228))*(실물목록!$R$2:$R$1001&lt;&gt;""))&gt;0,"확인필요(입력누락)",IF(SUMPRODUCT((실물목록!$P$2:$P$1001&lt;&gt;"")*ISNUMBER(SEARCH(실물목록!$P$2:$P$1001,I228))*(실물목록!$Q$2:$Q$1001&lt;&gt;"")*ISNUMBER(SEARCH(실물목록!$Q$2:$Q$1001,I228))*(실물목록!$R$2:$R$1001="")*(실물목록!$O$2:$O$1001&lt;&gt;""))&gt;0,"확인필요(연도다름)","실물 없음")))))</f>
      </c>
      <c r="G228" t="n" s="16">
        <f aca="0">IF(B228="","",SUMPRODUCT((실물목록!$P$2:$P$1001&lt;&gt;"")*ISNUMBER(SEARCH(실물목록!$P$2:$P$1001,I228))*(실물목록!$Q$2:$Q$1001&lt;&gt;"")*ISNUMBER(SEARCH(실물목록!$Q$2:$Q$1001,I228))*(실물목록!$R$2:$R$1001="")*(실물목록!$O$2:$O$1001&lt;&gt;"")*(실물목록!$O$2:$O$1001=H228)))</f>
      </c>
      <c r="H228" t="str">
        <f>IFERROR(IF(AND(LEN(SUBSTITUTE(SUBSTITUTE(SUBSTITUTE(TRIM(A228&amp;""),CHAR(160),"")," ",""),"년",""))=4,VALUE(SUBSTITUTE(SUBSTITUTE(SUBSTITUTE(TRIM(A228&amp;""),CHAR(160),"")," ",""),"년",""))&gt;=1900,VALUE(SUBSTITUTE(SUBSTITUTE(SUBSTITUTE(TRIM(A228&amp;""),CHAR(160),"")," ",""),"년",""))&lt;=2099,TEXT(VALUE(SUBSTITUTE(SUBSTITUTE(SUBSTITUTE(TRIM(A228&amp;""),CHAR(160),"")," ",""),"년","")),"0000")=SUBSTITUTE(SUBSTITUTE(SUBSTITUTE(TRIM(A228&amp;""),CHAR(160),"")," ",""),"년","")),SUBSTITUTE(SUBSTITUTE(SUBSTITUTE(TRIM(A228&amp;""),CHAR(160),"")," ",""),"년",""),""),"")</f>
      </c>
      <c r="I228" t="str">
        <f>SUBSTITUTE(SUBSTITUTE(SUBSTITUTE(SUBSTITUTE(SUBSTITUTE(TRIM(B228&amp;""),CHAR(160),"")," ",""),"초등학교","초"),"중학교","중"),"고등학교","고")</f>
      </c>
    </row>
    <row r="229" customFormat="false" ht="15" hidden="false" customHeight="false" outlineLevel="0" collapsed="false">
      <c r="A229" s="8"/>
      <c r="B229" s="8"/>
      <c r="C229" s="8"/>
      <c r="D229" s="8"/>
      <c r="E229" s="8"/>
      <c r="F229" t="str" s="15">
        <f aca="0">IF(B229="","",IF(H229="","확인필요(입력누락)",IF(SUMPRODUCT((실물목록!$P$2:$P$1001&lt;&gt;"")*ISNUMBER(SEARCH(실물목록!$P$2:$P$1001,I229))*(실물목록!$Q$2:$Q$1001&lt;&gt;"")*ISNUMBER(SEARCH(실물목록!$Q$2:$Q$1001,I229))*(실물목록!$R$2:$R$1001="")*(실물목록!$O$2:$O$1001&lt;&gt;"")*(실물목록!$O$2:$O$1001=H229))&gt;0,"실물 있음",IF(SUMPRODUCT((실물목록!$P$2:$P$1001&lt;&gt;"")*ISNUMBER(SEARCH(실물목록!$P$2:$P$1001,I229))*(실물목록!$R$2:$R$1001&lt;&gt;""))&gt;0,"확인필요(입력누락)",IF(SUMPRODUCT((실물목록!$P$2:$P$1001&lt;&gt;"")*ISNUMBER(SEARCH(실물목록!$P$2:$P$1001,I229))*(실물목록!$Q$2:$Q$1001&lt;&gt;"")*ISNUMBER(SEARCH(실물목록!$Q$2:$Q$1001,I229))*(실물목록!$R$2:$R$1001="")*(실물목록!$O$2:$O$1001&lt;&gt;""))&gt;0,"확인필요(연도다름)","실물 없음")))))</f>
      </c>
      <c r="G229" t="n" s="16">
        <f aca="0">IF(B229="","",SUMPRODUCT((실물목록!$P$2:$P$1001&lt;&gt;"")*ISNUMBER(SEARCH(실물목록!$P$2:$P$1001,I229))*(실물목록!$Q$2:$Q$1001&lt;&gt;"")*ISNUMBER(SEARCH(실물목록!$Q$2:$Q$1001,I229))*(실물목록!$R$2:$R$1001="")*(실물목록!$O$2:$O$1001&lt;&gt;"")*(실물목록!$O$2:$O$1001=H229)))</f>
      </c>
      <c r="H229" t="str">
        <f>IFERROR(IF(AND(LEN(SUBSTITUTE(SUBSTITUTE(SUBSTITUTE(TRIM(A229&amp;""),CHAR(160),"")," ",""),"년",""))=4,VALUE(SUBSTITUTE(SUBSTITUTE(SUBSTITUTE(TRIM(A229&amp;""),CHAR(160),"")," ",""),"년",""))&gt;=1900,VALUE(SUBSTITUTE(SUBSTITUTE(SUBSTITUTE(TRIM(A229&amp;""),CHAR(160),"")," ",""),"년",""))&lt;=2099,TEXT(VALUE(SUBSTITUTE(SUBSTITUTE(SUBSTITUTE(TRIM(A229&amp;""),CHAR(160),"")," ",""),"년","")),"0000")=SUBSTITUTE(SUBSTITUTE(SUBSTITUTE(TRIM(A229&amp;""),CHAR(160),"")," ",""),"년","")),SUBSTITUTE(SUBSTITUTE(SUBSTITUTE(TRIM(A229&amp;""),CHAR(160),"")," ",""),"년",""),""),"")</f>
      </c>
      <c r="I229" t="str">
        <f>SUBSTITUTE(SUBSTITUTE(SUBSTITUTE(SUBSTITUTE(SUBSTITUTE(TRIM(B229&amp;""),CHAR(160),"")," ",""),"초등학교","초"),"중학교","중"),"고등학교","고")</f>
      </c>
    </row>
    <row r="230" customFormat="false" ht="15" hidden="false" customHeight="false" outlineLevel="0" collapsed="false">
      <c r="A230" s="8"/>
      <c r="B230" s="8"/>
      <c r="C230" s="8"/>
      <c r="D230" s="8"/>
      <c r="E230" s="8"/>
      <c r="F230" t="str" s="15">
        <f aca="0">IF(B230="","",IF(H230="","확인필요(입력누락)",IF(SUMPRODUCT((실물목록!$P$2:$P$1001&lt;&gt;"")*ISNUMBER(SEARCH(실물목록!$P$2:$P$1001,I230))*(실물목록!$Q$2:$Q$1001&lt;&gt;"")*ISNUMBER(SEARCH(실물목록!$Q$2:$Q$1001,I230))*(실물목록!$R$2:$R$1001="")*(실물목록!$O$2:$O$1001&lt;&gt;"")*(실물목록!$O$2:$O$1001=H230))&gt;0,"실물 있음",IF(SUMPRODUCT((실물목록!$P$2:$P$1001&lt;&gt;"")*ISNUMBER(SEARCH(실물목록!$P$2:$P$1001,I230))*(실물목록!$R$2:$R$1001&lt;&gt;""))&gt;0,"확인필요(입력누락)",IF(SUMPRODUCT((실물목록!$P$2:$P$1001&lt;&gt;"")*ISNUMBER(SEARCH(실물목록!$P$2:$P$1001,I230))*(실물목록!$Q$2:$Q$1001&lt;&gt;"")*ISNUMBER(SEARCH(실물목록!$Q$2:$Q$1001,I230))*(실물목록!$R$2:$R$1001="")*(실물목록!$O$2:$O$1001&lt;&gt;""))&gt;0,"확인필요(연도다름)","실물 없음")))))</f>
      </c>
      <c r="G230" t="n" s="16">
        <f aca="0">IF(B230="","",SUMPRODUCT((실물목록!$P$2:$P$1001&lt;&gt;"")*ISNUMBER(SEARCH(실물목록!$P$2:$P$1001,I230))*(실물목록!$Q$2:$Q$1001&lt;&gt;"")*ISNUMBER(SEARCH(실물목록!$Q$2:$Q$1001,I230))*(실물목록!$R$2:$R$1001="")*(실물목록!$O$2:$O$1001&lt;&gt;"")*(실물목록!$O$2:$O$1001=H230)))</f>
      </c>
      <c r="H230" t="str">
        <f>IFERROR(IF(AND(LEN(SUBSTITUTE(SUBSTITUTE(SUBSTITUTE(TRIM(A230&amp;""),CHAR(160),"")," ",""),"년",""))=4,VALUE(SUBSTITUTE(SUBSTITUTE(SUBSTITUTE(TRIM(A230&amp;""),CHAR(160),"")," ",""),"년",""))&gt;=1900,VALUE(SUBSTITUTE(SUBSTITUTE(SUBSTITUTE(TRIM(A230&amp;""),CHAR(160),"")," ",""),"년",""))&lt;=2099,TEXT(VALUE(SUBSTITUTE(SUBSTITUTE(SUBSTITUTE(TRIM(A230&amp;""),CHAR(160),"")," ",""),"년","")),"0000")=SUBSTITUTE(SUBSTITUTE(SUBSTITUTE(TRIM(A230&amp;""),CHAR(160),"")," ",""),"년","")),SUBSTITUTE(SUBSTITUTE(SUBSTITUTE(TRIM(A230&amp;""),CHAR(160),"")," ",""),"년",""),""),"")</f>
      </c>
      <c r="I230" t="str">
        <f>SUBSTITUTE(SUBSTITUTE(SUBSTITUTE(SUBSTITUTE(SUBSTITUTE(TRIM(B230&amp;""),CHAR(160),"")," ",""),"초등학교","초"),"중학교","중"),"고등학교","고")</f>
      </c>
    </row>
    <row r="231" customFormat="false" ht="15" hidden="false" customHeight="false" outlineLevel="0" collapsed="false">
      <c r="A231" s="8"/>
      <c r="B231" s="8"/>
      <c r="C231" s="8"/>
      <c r="D231" s="8"/>
      <c r="E231" s="8"/>
      <c r="F231" t="str" s="15">
        <f aca="0">IF(B231="","",IF(H231="","확인필요(입력누락)",IF(SUMPRODUCT((실물목록!$P$2:$P$1001&lt;&gt;"")*ISNUMBER(SEARCH(실물목록!$P$2:$P$1001,I231))*(실물목록!$Q$2:$Q$1001&lt;&gt;"")*ISNUMBER(SEARCH(실물목록!$Q$2:$Q$1001,I231))*(실물목록!$R$2:$R$1001="")*(실물목록!$O$2:$O$1001&lt;&gt;"")*(실물목록!$O$2:$O$1001=H231))&gt;0,"실물 있음",IF(SUMPRODUCT((실물목록!$P$2:$P$1001&lt;&gt;"")*ISNUMBER(SEARCH(실물목록!$P$2:$P$1001,I231))*(실물목록!$R$2:$R$1001&lt;&gt;""))&gt;0,"확인필요(입력누락)",IF(SUMPRODUCT((실물목록!$P$2:$P$1001&lt;&gt;"")*ISNUMBER(SEARCH(실물목록!$P$2:$P$1001,I231))*(실물목록!$Q$2:$Q$1001&lt;&gt;"")*ISNUMBER(SEARCH(실물목록!$Q$2:$Q$1001,I231))*(실물목록!$R$2:$R$1001="")*(실물목록!$O$2:$O$1001&lt;&gt;""))&gt;0,"확인필요(연도다름)","실물 없음")))))</f>
      </c>
      <c r="G231" t="n" s="16">
        <f aca="0">IF(B231="","",SUMPRODUCT((실물목록!$P$2:$P$1001&lt;&gt;"")*ISNUMBER(SEARCH(실물목록!$P$2:$P$1001,I231))*(실물목록!$Q$2:$Q$1001&lt;&gt;"")*ISNUMBER(SEARCH(실물목록!$Q$2:$Q$1001,I231))*(실물목록!$R$2:$R$1001="")*(실물목록!$O$2:$O$1001&lt;&gt;"")*(실물목록!$O$2:$O$1001=H231)))</f>
      </c>
      <c r="H231" t="str">
        <f>IFERROR(IF(AND(LEN(SUBSTITUTE(SUBSTITUTE(SUBSTITUTE(TRIM(A231&amp;""),CHAR(160),"")," ",""),"년",""))=4,VALUE(SUBSTITUTE(SUBSTITUTE(SUBSTITUTE(TRIM(A231&amp;""),CHAR(160),"")," ",""),"년",""))&gt;=1900,VALUE(SUBSTITUTE(SUBSTITUTE(SUBSTITUTE(TRIM(A231&amp;""),CHAR(160),"")," ",""),"년",""))&lt;=2099,TEXT(VALUE(SUBSTITUTE(SUBSTITUTE(SUBSTITUTE(TRIM(A231&amp;""),CHAR(160),"")," ",""),"년","")),"0000")=SUBSTITUTE(SUBSTITUTE(SUBSTITUTE(TRIM(A231&amp;""),CHAR(160),"")," ",""),"년","")),SUBSTITUTE(SUBSTITUTE(SUBSTITUTE(TRIM(A231&amp;""),CHAR(160),"")," ",""),"년",""),""),"")</f>
      </c>
      <c r="I231" t="str">
        <f>SUBSTITUTE(SUBSTITUTE(SUBSTITUTE(SUBSTITUTE(SUBSTITUTE(TRIM(B231&amp;""),CHAR(160),"")," ",""),"초등학교","초"),"중학교","중"),"고등학교","고")</f>
      </c>
    </row>
    <row r="232" customFormat="false" ht="15" hidden="false" customHeight="false" outlineLevel="0" collapsed="false">
      <c r="A232" s="8"/>
      <c r="B232" s="8"/>
      <c r="C232" s="8"/>
      <c r="D232" s="8"/>
      <c r="E232" s="8"/>
      <c r="F232" t="str" s="15">
        <f aca="0">IF(B232="","",IF(H232="","확인필요(입력누락)",IF(SUMPRODUCT((실물목록!$P$2:$P$1001&lt;&gt;"")*ISNUMBER(SEARCH(실물목록!$P$2:$P$1001,I232))*(실물목록!$Q$2:$Q$1001&lt;&gt;"")*ISNUMBER(SEARCH(실물목록!$Q$2:$Q$1001,I232))*(실물목록!$R$2:$R$1001="")*(실물목록!$O$2:$O$1001&lt;&gt;"")*(실물목록!$O$2:$O$1001=H232))&gt;0,"실물 있음",IF(SUMPRODUCT((실물목록!$P$2:$P$1001&lt;&gt;"")*ISNUMBER(SEARCH(실물목록!$P$2:$P$1001,I232))*(실물목록!$R$2:$R$1001&lt;&gt;""))&gt;0,"확인필요(입력누락)",IF(SUMPRODUCT((실물목록!$P$2:$P$1001&lt;&gt;"")*ISNUMBER(SEARCH(실물목록!$P$2:$P$1001,I232))*(실물목록!$Q$2:$Q$1001&lt;&gt;"")*ISNUMBER(SEARCH(실물목록!$Q$2:$Q$1001,I232))*(실물목록!$R$2:$R$1001="")*(실물목록!$O$2:$O$1001&lt;&gt;""))&gt;0,"확인필요(연도다름)","실물 없음")))))</f>
      </c>
      <c r="G232" t="n" s="16">
        <f aca="0">IF(B232="","",SUMPRODUCT((실물목록!$P$2:$P$1001&lt;&gt;"")*ISNUMBER(SEARCH(실물목록!$P$2:$P$1001,I232))*(실물목록!$Q$2:$Q$1001&lt;&gt;"")*ISNUMBER(SEARCH(실물목록!$Q$2:$Q$1001,I232))*(실물목록!$R$2:$R$1001="")*(실물목록!$O$2:$O$1001&lt;&gt;"")*(실물목록!$O$2:$O$1001=H232)))</f>
      </c>
      <c r="H232" t="str">
        <f>IFERROR(IF(AND(LEN(SUBSTITUTE(SUBSTITUTE(SUBSTITUTE(TRIM(A232&amp;""),CHAR(160),"")," ",""),"년",""))=4,VALUE(SUBSTITUTE(SUBSTITUTE(SUBSTITUTE(TRIM(A232&amp;""),CHAR(160),"")," ",""),"년",""))&gt;=1900,VALUE(SUBSTITUTE(SUBSTITUTE(SUBSTITUTE(TRIM(A232&amp;""),CHAR(160),"")," ",""),"년",""))&lt;=2099,TEXT(VALUE(SUBSTITUTE(SUBSTITUTE(SUBSTITUTE(TRIM(A232&amp;""),CHAR(160),"")," ",""),"년","")),"0000")=SUBSTITUTE(SUBSTITUTE(SUBSTITUTE(TRIM(A232&amp;""),CHAR(160),"")," ",""),"년","")),SUBSTITUTE(SUBSTITUTE(SUBSTITUTE(TRIM(A232&amp;""),CHAR(160),"")," ",""),"년",""),""),"")</f>
      </c>
      <c r="I232" t="str">
        <f>SUBSTITUTE(SUBSTITUTE(SUBSTITUTE(SUBSTITUTE(SUBSTITUTE(TRIM(B232&amp;""),CHAR(160),"")," ",""),"초등학교","초"),"중학교","중"),"고등학교","고")</f>
      </c>
    </row>
    <row r="233" customFormat="false" ht="15" hidden="false" customHeight="false" outlineLevel="0" collapsed="false">
      <c r="A233" s="8"/>
      <c r="B233" s="8"/>
      <c r="C233" s="8"/>
      <c r="D233" s="8"/>
      <c r="E233" s="8"/>
      <c r="F233" t="str" s="15">
        <f aca="0">IF(B233="","",IF(H233="","확인필요(입력누락)",IF(SUMPRODUCT((실물목록!$P$2:$P$1001&lt;&gt;"")*ISNUMBER(SEARCH(실물목록!$P$2:$P$1001,I233))*(실물목록!$Q$2:$Q$1001&lt;&gt;"")*ISNUMBER(SEARCH(실물목록!$Q$2:$Q$1001,I233))*(실물목록!$R$2:$R$1001="")*(실물목록!$O$2:$O$1001&lt;&gt;"")*(실물목록!$O$2:$O$1001=H233))&gt;0,"실물 있음",IF(SUMPRODUCT((실물목록!$P$2:$P$1001&lt;&gt;"")*ISNUMBER(SEARCH(실물목록!$P$2:$P$1001,I233))*(실물목록!$R$2:$R$1001&lt;&gt;""))&gt;0,"확인필요(입력누락)",IF(SUMPRODUCT((실물목록!$P$2:$P$1001&lt;&gt;"")*ISNUMBER(SEARCH(실물목록!$P$2:$P$1001,I233))*(실물목록!$Q$2:$Q$1001&lt;&gt;"")*ISNUMBER(SEARCH(실물목록!$Q$2:$Q$1001,I233))*(실물목록!$R$2:$R$1001="")*(실물목록!$O$2:$O$1001&lt;&gt;""))&gt;0,"확인필요(연도다름)","실물 없음")))))</f>
      </c>
      <c r="G233" t="n" s="16">
        <f aca="0">IF(B233="","",SUMPRODUCT((실물목록!$P$2:$P$1001&lt;&gt;"")*ISNUMBER(SEARCH(실물목록!$P$2:$P$1001,I233))*(실물목록!$Q$2:$Q$1001&lt;&gt;"")*ISNUMBER(SEARCH(실물목록!$Q$2:$Q$1001,I233))*(실물목록!$R$2:$R$1001="")*(실물목록!$O$2:$O$1001&lt;&gt;"")*(실물목록!$O$2:$O$1001=H233)))</f>
      </c>
      <c r="H233" t="str">
        <f>IFERROR(IF(AND(LEN(SUBSTITUTE(SUBSTITUTE(SUBSTITUTE(TRIM(A233&amp;""),CHAR(160),"")," ",""),"년",""))=4,VALUE(SUBSTITUTE(SUBSTITUTE(SUBSTITUTE(TRIM(A233&amp;""),CHAR(160),"")," ",""),"년",""))&gt;=1900,VALUE(SUBSTITUTE(SUBSTITUTE(SUBSTITUTE(TRIM(A233&amp;""),CHAR(160),"")," ",""),"년",""))&lt;=2099,TEXT(VALUE(SUBSTITUTE(SUBSTITUTE(SUBSTITUTE(TRIM(A233&amp;""),CHAR(160),"")," ",""),"년","")),"0000")=SUBSTITUTE(SUBSTITUTE(SUBSTITUTE(TRIM(A233&amp;""),CHAR(160),"")," ",""),"년","")),SUBSTITUTE(SUBSTITUTE(SUBSTITUTE(TRIM(A233&amp;""),CHAR(160),"")," ",""),"년",""),""),"")</f>
      </c>
      <c r="I233" t="str">
        <f>SUBSTITUTE(SUBSTITUTE(SUBSTITUTE(SUBSTITUTE(SUBSTITUTE(TRIM(B233&amp;""),CHAR(160),"")," ",""),"초등학교","초"),"중학교","중"),"고등학교","고")</f>
      </c>
    </row>
    <row r="234" customFormat="false" ht="15" hidden="false" customHeight="false" outlineLevel="0" collapsed="false">
      <c r="A234" s="8"/>
      <c r="B234" s="8"/>
      <c r="C234" s="8"/>
      <c r="D234" s="8"/>
      <c r="E234" s="8"/>
      <c r="F234" t="str" s="15">
        <f aca="0">IF(B234="","",IF(H234="","확인필요(입력누락)",IF(SUMPRODUCT((실물목록!$P$2:$P$1001&lt;&gt;"")*ISNUMBER(SEARCH(실물목록!$P$2:$P$1001,I234))*(실물목록!$Q$2:$Q$1001&lt;&gt;"")*ISNUMBER(SEARCH(실물목록!$Q$2:$Q$1001,I234))*(실물목록!$R$2:$R$1001="")*(실물목록!$O$2:$O$1001&lt;&gt;"")*(실물목록!$O$2:$O$1001=H234))&gt;0,"실물 있음",IF(SUMPRODUCT((실물목록!$P$2:$P$1001&lt;&gt;"")*ISNUMBER(SEARCH(실물목록!$P$2:$P$1001,I234))*(실물목록!$R$2:$R$1001&lt;&gt;""))&gt;0,"확인필요(입력누락)",IF(SUMPRODUCT((실물목록!$P$2:$P$1001&lt;&gt;"")*ISNUMBER(SEARCH(실물목록!$P$2:$P$1001,I234))*(실물목록!$Q$2:$Q$1001&lt;&gt;"")*ISNUMBER(SEARCH(실물목록!$Q$2:$Q$1001,I234))*(실물목록!$R$2:$R$1001="")*(실물목록!$O$2:$O$1001&lt;&gt;""))&gt;0,"확인필요(연도다름)","실물 없음")))))</f>
      </c>
      <c r="G234" t="n" s="16">
        <f aca="0">IF(B234="","",SUMPRODUCT((실물목록!$P$2:$P$1001&lt;&gt;"")*ISNUMBER(SEARCH(실물목록!$P$2:$P$1001,I234))*(실물목록!$Q$2:$Q$1001&lt;&gt;"")*ISNUMBER(SEARCH(실물목록!$Q$2:$Q$1001,I234))*(실물목록!$R$2:$R$1001="")*(실물목록!$O$2:$O$1001&lt;&gt;"")*(실물목록!$O$2:$O$1001=H234)))</f>
      </c>
      <c r="H234" t="str">
        <f>IFERROR(IF(AND(LEN(SUBSTITUTE(SUBSTITUTE(SUBSTITUTE(TRIM(A234&amp;""),CHAR(160),"")," ",""),"년",""))=4,VALUE(SUBSTITUTE(SUBSTITUTE(SUBSTITUTE(TRIM(A234&amp;""),CHAR(160),"")," ",""),"년",""))&gt;=1900,VALUE(SUBSTITUTE(SUBSTITUTE(SUBSTITUTE(TRIM(A234&amp;""),CHAR(160),"")," ",""),"년",""))&lt;=2099,TEXT(VALUE(SUBSTITUTE(SUBSTITUTE(SUBSTITUTE(TRIM(A234&amp;""),CHAR(160),"")," ",""),"년","")),"0000")=SUBSTITUTE(SUBSTITUTE(SUBSTITUTE(TRIM(A234&amp;""),CHAR(160),"")," ",""),"년","")),SUBSTITUTE(SUBSTITUTE(SUBSTITUTE(TRIM(A234&amp;""),CHAR(160),"")," ",""),"년",""),""),"")</f>
      </c>
      <c r="I234" t="str">
        <f>SUBSTITUTE(SUBSTITUTE(SUBSTITUTE(SUBSTITUTE(SUBSTITUTE(TRIM(B234&amp;""),CHAR(160),"")," ",""),"초등학교","초"),"중학교","중"),"고등학교","고")</f>
      </c>
    </row>
    <row r="235" customFormat="false" ht="15" hidden="false" customHeight="false" outlineLevel="0" collapsed="false">
      <c r="A235" s="8"/>
      <c r="B235" s="8"/>
      <c r="C235" s="8"/>
      <c r="D235" s="8"/>
      <c r="E235" s="8"/>
      <c r="F235" t="str" s="15">
        <f aca="0">IF(B235="","",IF(H235="","확인필요(입력누락)",IF(SUMPRODUCT((실물목록!$P$2:$P$1001&lt;&gt;"")*ISNUMBER(SEARCH(실물목록!$P$2:$P$1001,I235))*(실물목록!$Q$2:$Q$1001&lt;&gt;"")*ISNUMBER(SEARCH(실물목록!$Q$2:$Q$1001,I235))*(실물목록!$R$2:$R$1001="")*(실물목록!$O$2:$O$1001&lt;&gt;"")*(실물목록!$O$2:$O$1001=H235))&gt;0,"실물 있음",IF(SUMPRODUCT((실물목록!$P$2:$P$1001&lt;&gt;"")*ISNUMBER(SEARCH(실물목록!$P$2:$P$1001,I235))*(실물목록!$R$2:$R$1001&lt;&gt;""))&gt;0,"확인필요(입력누락)",IF(SUMPRODUCT((실물목록!$P$2:$P$1001&lt;&gt;"")*ISNUMBER(SEARCH(실물목록!$P$2:$P$1001,I235))*(실물목록!$Q$2:$Q$1001&lt;&gt;"")*ISNUMBER(SEARCH(실물목록!$Q$2:$Q$1001,I235))*(실물목록!$R$2:$R$1001="")*(실물목록!$O$2:$O$1001&lt;&gt;""))&gt;0,"확인필요(연도다름)","실물 없음")))))</f>
      </c>
      <c r="G235" t="n" s="16">
        <f aca="0">IF(B235="","",SUMPRODUCT((실물목록!$P$2:$P$1001&lt;&gt;"")*ISNUMBER(SEARCH(실물목록!$P$2:$P$1001,I235))*(실물목록!$Q$2:$Q$1001&lt;&gt;"")*ISNUMBER(SEARCH(실물목록!$Q$2:$Q$1001,I235))*(실물목록!$R$2:$R$1001="")*(실물목록!$O$2:$O$1001&lt;&gt;"")*(실물목록!$O$2:$O$1001=H235)))</f>
      </c>
      <c r="H235" t="str">
        <f>IFERROR(IF(AND(LEN(SUBSTITUTE(SUBSTITUTE(SUBSTITUTE(TRIM(A235&amp;""),CHAR(160),"")," ",""),"년",""))=4,VALUE(SUBSTITUTE(SUBSTITUTE(SUBSTITUTE(TRIM(A235&amp;""),CHAR(160),"")," ",""),"년",""))&gt;=1900,VALUE(SUBSTITUTE(SUBSTITUTE(SUBSTITUTE(TRIM(A235&amp;""),CHAR(160),"")," ",""),"년",""))&lt;=2099,TEXT(VALUE(SUBSTITUTE(SUBSTITUTE(SUBSTITUTE(TRIM(A235&amp;""),CHAR(160),"")," ",""),"년","")),"0000")=SUBSTITUTE(SUBSTITUTE(SUBSTITUTE(TRIM(A235&amp;""),CHAR(160),"")," ",""),"년","")),SUBSTITUTE(SUBSTITUTE(SUBSTITUTE(TRIM(A235&amp;""),CHAR(160),"")," ",""),"년",""),""),"")</f>
      </c>
      <c r="I235" t="str">
        <f>SUBSTITUTE(SUBSTITUTE(SUBSTITUTE(SUBSTITUTE(SUBSTITUTE(TRIM(B235&amp;""),CHAR(160),"")," ",""),"초등학교","초"),"중학교","중"),"고등학교","고")</f>
      </c>
    </row>
    <row r="236" customFormat="false" ht="15" hidden="false" customHeight="false" outlineLevel="0" collapsed="false">
      <c r="A236" s="8"/>
      <c r="B236" s="8"/>
      <c r="C236" s="8"/>
      <c r="D236" s="8"/>
      <c r="E236" s="8"/>
      <c r="F236" t="str" s="15">
        <f aca="0">IF(B236="","",IF(H236="","확인필요(입력누락)",IF(SUMPRODUCT((실물목록!$P$2:$P$1001&lt;&gt;"")*ISNUMBER(SEARCH(실물목록!$P$2:$P$1001,I236))*(실물목록!$Q$2:$Q$1001&lt;&gt;"")*ISNUMBER(SEARCH(실물목록!$Q$2:$Q$1001,I236))*(실물목록!$R$2:$R$1001="")*(실물목록!$O$2:$O$1001&lt;&gt;"")*(실물목록!$O$2:$O$1001=H236))&gt;0,"실물 있음",IF(SUMPRODUCT((실물목록!$P$2:$P$1001&lt;&gt;"")*ISNUMBER(SEARCH(실물목록!$P$2:$P$1001,I236))*(실물목록!$R$2:$R$1001&lt;&gt;""))&gt;0,"확인필요(입력누락)",IF(SUMPRODUCT((실물목록!$P$2:$P$1001&lt;&gt;"")*ISNUMBER(SEARCH(실물목록!$P$2:$P$1001,I236))*(실물목록!$Q$2:$Q$1001&lt;&gt;"")*ISNUMBER(SEARCH(실물목록!$Q$2:$Q$1001,I236))*(실물목록!$R$2:$R$1001="")*(실물목록!$O$2:$O$1001&lt;&gt;""))&gt;0,"확인필요(연도다름)","실물 없음")))))</f>
      </c>
      <c r="G236" t="n" s="16">
        <f aca="0">IF(B236="","",SUMPRODUCT((실물목록!$P$2:$P$1001&lt;&gt;"")*ISNUMBER(SEARCH(실물목록!$P$2:$P$1001,I236))*(실물목록!$Q$2:$Q$1001&lt;&gt;"")*ISNUMBER(SEARCH(실물목록!$Q$2:$Q$1001,I236))*(실물목록!$R$2:$R$1001="")*(실물목록!$O$2:$O$1001&lt;&gt;"")*(실물목록!$O$2:$O$1001=H236)))</f>
      </c>
      <c r="H236" t="str">
        <f>IFERROR(IF(AND(LEN(SUBSTITUTE(SUBSTITUTE(SUBSTITUTE(TRIM(A236&amp;""),CHAR(160),"")," ",""),"년",""))=4,VALUE(SUBSTITUTE(SUBSTITUTE(SUBSTITUTE(TRIM(A236&amp;""),CHAR(160),"")," ",""),"년",""))&gt;=1900,VALUE(SUBSTITUTE(SUBSTITUTE(SUBSTITUTE(TRIM(A236&amp;""),CHAR(160),"")," ",""),"년",""))&lt;=2099,TEXT(VALUE(SUBSTITUTE(SUBSTITUTE(SUBSTITUTE(TRIM(A236&amp;""),CHAR(160),"")," ",""),"년","")),"0000")=SUBSTITUTE(SUBSTITUTE(SUBSTITUTE(TRIM(A236&amp;""),CHAR(160),"")," ",""),"년","")),SUBSTITUTE(SUBSTITUTE(SUBSTITUTE(TRIM(A236&amp;""),CHAR(160),"")," ",""),"년",""),""),"")</f>
      </c>
      <c r="I236" t="str">
        <f>SUBSTITUTE(SUBSTITUTE(SUBSTITUTE(SUBSTITUTE(SUBSTITUTE(TRIM(B236&amp;""),CHAR(160),"")," ",""),"초등학교","초"),"중학교","중"),"고등학교","고")</f>
      </c>
    </row>
    <row r="237" customFormat="false" ht="15" hidden="false" customHeight="false" outlineLevel="0" collapsed="false">
      <c r="A237" s="8"/>
      <c r="B237" s="8"/>
      <c r="C237" s="8"/>
      <c r="D237" s="8"/>
      <c r="E237" s="8"/>
      <c r="F237" t="str" s="15">
        <f aca="0">IF(B237="","",IF(H237="","확인필요(입력누락)",IF(SUMPRODUCT((실물목록!$P$2:$P$1001&lt;&gt;"")*ISNUMBER(SEARCH(실물목록!$P$2:$P$1001,I237))*(실물목록!$Q$2:$Q$1001&lt;&gt;"")*ISNUMBER(SEARCH(실물목록!$Q$2:$Q$1001,I237))*(실물목록!$R$2:$R$1001="")*(실물목록!$O$2:$O$1001&lt;&gt;"")*(실물목록!$O$2:$O$1001=H237))&gt;0,"실물 있음",IF(SUMPRODUCT((실물목록!$P$2:$P$1001&lt;&gt;"")*ISNUMBER(SEARCH(실물목록!$P$2:$P$1001,I237))*(실물목록!$R$2:$R$1001&lt;&gt;""))&gt;0,"확인필요(입력누락)",IF(SUMPRODUCT((실물목록!$P$2:$P$1001&lt;&gt;"")*ISNUMBER(SEARCH(실물목록!$P$2:$P$1001,I237))*(실물목록!$Q$2:$Q$1001&lt;&gt;"")*ISNUMBER(SEARCH(실물목록!$Q$2:$Q$1001,I237))*(실물목록!$R$2:$R$1001="")*(실물목록!$O$2:$O$1001&lt;&gt;""))&gt;0,"확인필요(연도다름)","실물 없음")))))</f>
      </c>
      <c r="G237" t="n" s="16">
        <f aca="0">IF(B237="","",SUMPRODUCT((실물목록!$P$2:$P$1001&lt;&gt;"")*ISNUMBER(SEARCH(실물목록!$P$2:$P$1001,I237))*(실물목록!$Q$2:$Q$1001&lt;&gt;"")*ISNUMBER(SEARCH(실물목록!$Q$2:$Q$1001,I237))*(실물목록!$R$2:$R$1001="")*(실물목록!$O$2:$O$1001&lt;&gt;"")*(실물목록!$O$2:$O$1001=H237)))</f>
      </c>
      <c r="H237" t="str">
        <f>IFERROR(IF(AND(LEN(SUBSTITUTE(SUBSTITUTE(SUBSTITUTE(TRIM(A237&amp;""),CHAR(160),"")," ",""),"년",""))=4,VALUE(SUBSTITUTE(SUBSTITUTE(SUBSTITUTE(TRIM(A237&amp;""),CHAR(160),"")," ",""),"년",""))&gt;=1900,VALUE(SUBSTITUTE(SUBSTITUTE(SUBSTITUTE(TRIM(A237&amp;""),CHAR(160),"")," ",""),"년",""))&lt;=2099,TEXT(VALUE(SUBSTITUTE(SUBSTITUTE(SUBSTITUTE(TRIM(A237&amp;""),CHAR(160),"")," ",""),"년","")),"0000")=SUBSTITUTE(SUBSTITUTE(SUBSTITUTE(TRIM(A237&amp;""),CHAR(160),"")," ",""),"년","")),SUBSTITUTE(SUBSTITUTE(SUBSTITUTE(TRIM(A237&amp;""),CHAR(160),"")," ",""),"년",""),""),"")</f>
      </c>
      <c r="I237" t="str">
        <f>SUBSTITUTE(SUBSTITUTE(SUBSTITUTE(SUBSTITUTE(SUBSTITUTE(TRIM(B237&amp;""),CHAR(160),"")," ",""),"초등학교","초"),"중학교","중"),"고등학교","고")</f>
      </c>
    </row>
    <row r="238" customFormat="false" ht="15" hidden="false" customHeight="false" outlineLevel="0" collapsed="false">
      <c r="A238" s="8"/>
      <c r="B238" s="8"/>
      <c r="C238" s="8"/>
      <c r="D238" s="8"/>
      <c r="E238" s="8"/>
      <c r="F238" t="str" s="15">
        <f aca="0">IF(B238="","",IF(H238="","확인필요(입력누락)",IF(SUMPRODUCT((실물목록!$P$2:$P$1001&lt;&gt;"")*ISNUMBER(SEARCH(실물목록!$P$2:$P$1001,I238))*(실물목록!$Q$2:$Q$1001&lt;&gt;"")*ISNUMBER(SEARCH(실물목록!$Q$2:$Q$1001,I238))*(실물목록!$R$2:$R$1001="")*(실물목록!$O$2:$O$1001&lt;&gt;"")*(실물목록!$O$2:$O$1001=H238))&gt;0,"실물 있음",IF(SUMPRODUCT((실물목록!$P$2:$P$1001&lt;&gt;"")*ISNUMBER(SEARCH(실물목록!$P$2:$P$1001,I238))*(실물목록!$R$2:$R$1001&lt;&gt;""))&gt;0,"확인필요(입력누락)",IF(SUMPRODUCT((실물목록!$P$2:$P$1001&lt;&gt;"")*ISNUMBER(SEARCH(실물목록!$P$2:$P$1001,I238))*(실물목록!$Q$2:$Q$1001&lt;&gt;"")*ISNUMBER(SEARCH(실물목록!$Q$2:$Q$1001,I238))*(실물목록!$R$2:$R$1001="")*(실물목록!$O$2:$O$1001&lt;&gt;""))&gt;0,"확인필요(연도다름)","실물 없음")))))</f>
      </c>
      <c r="G238" t="n" s="16">
        <f aca="0">IF(B238="","",SUMPRODUCT((실물목록!$P$2:$P$1001&lt;&gt;"")*ISNUMBER(SEARCH(실물목록!$P$2:$P$1001,I238))*(실물목록!$Q$2:$Q$1001&lt;&gt;"")*ISNUMBER(SEARCH(실물목록!$Q$2:$Q$1001,I238))*(실물목록!$R$2:$R$1001="")*(실물목록!$O$2:$O$1001&lt;&gt;"")*(실물목록!$O$2:$O$1001=H238)))</f>
      </c>
      <c r="H238" t="str">
        <f>IFERROR(IF(AND(LEN(SUBSTITUTE(SUBSTITUTE(SUBSTITUTE(TRIM(A238&amp;""),CHAR(160),"")," ",""),"년",""))=4,VALUE(SUBSTITUTE(SUBSTITUTE(SUBSTITUTE(TRIM(A238&amp;""),CHAR(160),"")," ",""),"년",""))&gt;=1900,VALUE(SUBSTITUTE(SUBSTITUTE(SUBSTITUTE(TRIM(A238&amp;""),CHAR(160),"")," ",""),"년",""))&lt;=2099,TEXT(VALUE(SUBSTITUTE(SUBSTITUTE(SUBSTITUTE(TRIM(A238&amp;""),CHAR(160),"")," ",""),"년","")),"0000")=SUBSTITUTE(SUBSTITUTE(SUBSTITUTE(TRIM(A238&amp;""),CHAR(160),"")," ",""),"년","")),SUBSTITUTE(SUBSTITUTE(SUBSTITUTE(TRIM(A238&amp;""),CHAR(160),"")," ",""),"년",""),""),"")</f>
      </c>
      <c r="I238" t="str">
        <f>SUBSTITUTE(SUBSTITUTE(SUBSTITUTE(SUBSTITUTE(SUBSTITUTE(TRIM(B238&amp;""),CHAR(160),"")," ",""),"초등학교","초"),"중학교","중"),"고등학교","고")</f>
      </c>
    </row>
    <row r="239" customFormat="false" ht="15" hidden="false" customHeight="false" outlineLevel="0" collapsed="false">
      <c r="A239" s="8"/>
      <c r="B239" s="8"/>
      <c r="C239" s="8"/>
      <c r="D239" s="8"/>
      <c r="E239" s="8"/>
      <c r="F239" t="str" s="15">
        <f aca="0">IF(B239="","",IF(H239="","확인필요(입력누락)",IF(SUMPRODUCT((실물목록!$P$2:$P$1001&lt;&gt;"")*ISNUMBER(SEARCH(실물목록!$P$2:$P$1001,I239))*(실물목록!$Q$2:$Q$1001&lt;&gt;"")*ISNUMBER(SEARCH(실물목록!$Q$2:$Q$1001,I239))*(실물목록!$R$2:$R$1001="")*(실물목록!$O$2:$O$1001&lt;&gt;"")*(실물목록!$O$2:$O$1001=H239))&gt;0,"실물 있음",IF(SUMPRODUCT((실물목록!$P$2:$P$1001&lt;&gt;"")*ISNUMBER(SEARCH(실물목록!$P$2:$P$1001,I239))*(실물목록!$R$2:$R$1001&lt;&gt;""))&gt;0,"확인필요(입력누락)",IF(SUMPRODUCT((실물목록!$P$2:$P$1001&lt;&gt;"")*ISNUMBER(SEARCH(실물목록!$P$2:$P$1001,I239))*(실물목록!$Q$2:$Q$1001&lt;&gt;"")*ISNUMBER(SEARCH(실물목록!$Q$2:$Q$1001,I239))*(실물목록!$R$2:$R$1001="")*(실물목록!$O$2:$O$1001&lt;&gt;""))&gt;0,"확인필요(연도다름)","실물 없음")))))</f>
      </c>
      <c r="G239" t="n" s="16">
        <f aca="0">IF(B239="","",SUMPRODUCT((실물목록!$P$2:$P$1001&lt;&gt;"")*ISNUMBER(SEARCH(실물목록!$P$2:$P$1001,I239))*(실물목록!$Q$2:$Q$1001&lt;&gt;"")*ISNUMBER(SEARCH(실물목록!$Q$2:$Q$1001,I239))*(실물목록!$R$2:$R$1001="")*(실물목록!$O$2:$O$1001&lt;&gt;"")*(실물목록!$O$2:$O$1001=H239)))</f>
      </c>
      <c r="H239" t="str">
        <f>IFERROR(IF(AND(LEN(SUBSTITUTE(SUBSTITUTE(SUBSTITUTE(TRIM(A239&amp;""),CHAR(160),"")," ",""),"년",""))=4,VALUE(SUBSTITUTE(SUBSTITUTE(SUBSTITUTE(TRIM(A239&amp;""),CHAR(160),"")," ",""),"년",""))&gt;=1900,VALUE(SUBSTITUTE(SUBSTITUTE(SUBSTITUTE(TRIM(A239&amp;""),CHAR(160),"")," ",""),"년",""))&lt;=2099,TEXT(VALUE(SUBSTITUTE(SUBSTITUTE(SUBSTITUTE(TRIM(A239&amp;""),CHAR(160),"")," ",""),"년","")),"0000")=SUBSTITUTE(SUBSTITUTE(SUBSTITUTE(TRIM(A239&amp;""),CHAR(160),"")," ",""),"년","")),SUBSTITUTE(SUBSTITUTE(SUBSTITUTE(TRIM(A239&amp;""),CHAR(160),"")," ",""),"년",""),""),"")</f>
      </c>
      <c r="I239" t="str">
        <f>SUBSTITUTE(SUBSTITUTE(SUBSTITUTE(SUBSTITUTE(SUBSTITUTE(TRIM(B239&amp;""),CHAR(160),"")," ",""),"초등학교","초"),"중학교","중"),"고등학교","고")</f>
      </c>
    </row>
    <row r="240" customFormat="false" ht="15" hidden="false" customHeight="false" outlineLevel="0" collapsed="false">
      <c r="A240" s="8"/>
      <c r="B240" s="8"/>
      <c r="C240" s="8"/>
      <c r="D240" s="8"/>
      <c r="E240" s="8"/>
      <c r="F240" t="str" s="15">
        <f aca="0">IF(B240="","",IF(H240="","확인필요(입력누락)",IF(SUMPRODUCT((실물목록!$P$2:$P$1001&lt;&gt;"")*ISNUMBER(SEARCH(실물목록!$P$2:$P$1001,I240))*(실물목록!$Q$2:$Q$1001&lt;&gt;"")*ISNUMBER(SEARCH(실물목록!$Q$2:$Q$1001,I240))*(실물목록!$R$2:$R$1001="")*(실물목록!$O$2:$O$1001&lt;&gt;"")*(실물목록!$O$2:$O$1001=H240))&gt;0,"실물 있음",IF(SUMPRODUCT((실물목록!$P$2:$P$1001&lt;&gt;"")*ISNUMBER(SEARCH(실물목록!$P$2:$P$1001,I240))*(실물목록!$R$2:$R$1001&lt;&gt;""))&gt;0,"확인필요(입력누락)",IF(SUMPRODUCT((실물목록!$P$2:$P$1001&lt;&gt;"")*ISNUMBER(SEARCH(실물목록!$P$2:$P$1001,I240))*(실물목록!$Q$2:$Q$1001&lt;&gt;"")*ISNUMBER(SEARCH(실물목록!$Q$2:$Q$1001,I240))*(실물목록!$R$2:$R$1001="")*(실물목록!$O$2:$O$1001&lt;&gt;""))&gt;0,"확인필요(연도다름)","실물 없음")))))</f>
      </c>
      <c r="G240" t="n" s="16">
        <f aca="0">IF(B240="","",SUMPRODUCT((실물목록!$P$2:$P$1001&lt;&gt;"")*ISNUMBER(SEARCH(실물목록!$P$2:$P$1001,I240))*(실물목록!$Q$2:$Q$1001&lt;&gt;"")*ISNUMBER(SEARCH(실물목록!$Q$2:$Q$1001,I240))*(실물목록!$R$2:$R$1001="")*(실물목록!$O$2:$O$1001&lt;&gt;"")*(실물목록!$O$2:$O$1001=H240)))</f>
      </c>
      <c r="H240" t="str">
        <f>IFERROR(IF(AND(LEN(SUBSTITUTE(SUBSTITUTE(SUBSTITUTE(TRIM(A240&amp;""),CHAR(160),"")," ",""),"년",""))=4,VALUE(SUBSTITUTE(SUBSTITUTE(SUBSTITUTE(TRIM(A240&amp;""),CHAR(160),"")," ",""),"년",""))&gt;=1900,VALUE(SUBSTITUTE(SUBSTITUTE(SUBSTITUTE(TRIM(A240&amp;""),CHAR(160),"")," ",""),"년",""))&lt;=2099,TEXT(VALUE(SUBSTITUTE(SUBSTITUTE(SUBSTITUTE(TRIM(A240&amp;""),CHAR(160),"")," ",""),"년","")),"0000")=SUBSTITUTE(SUBSTITUTE(SUBSTITUTE(TRIM(A240&amp;""),CHAR(160),"")," ",""),"년","")),SUBSTITUTE(SUBSTITUTE(SUBSTITUTE(TRIM(A240&amp;""),CHAR(160),"")," ",""),"년",""),""),"")</f>
      </c>
      <c r="I240" t="str">
        <f>SUBSTITUTE(SUBSTITUTE(SUBSTITUTE(SUBSTITUTE(SUBSTITUTE(TRIM(B240&amp;""),CHAR(160),"")," ",""),"초등학교","초"),"중학교","중"),"고등학교","고")</f>
      </c>
    </row>
    <row r="241" customFormat="false" ht="15" hidden="false" customHeight="false" outlineLevel="0" collapsed="false">
      <c r="A241" s="8"/>
      <c r="B241" s="8"/>
      <c r="C241" s="8"/>
      <c r="D241" s="8"/>
      <c r="E241" s="8"/>
      <c r="F241" t="str" s="15">
        <f aca="0">IF(B241="","",IF(H241="","확인필요(입력누락)",IF(SUMPRODUCT((실물목록!$P$2:$P$1001&lt;&gt;"")*ISNUMBER(SEARCH(실물목록!$P$2:$P$1001,I241))*(실물목록!$Q$2:$Q$1001&lt;&gt;"")*ISNUMBER(SEARCH(실물목록!$Q$2:$Q$1001,I241))*(실물목록!$R$2:$R$1001="")*(실물목록!$O$2:$O$1001&lt;&gt;"")*(실물목록!$O$2:$O$1001=H241))&gt;0,"실물 있음",IF(SUMPRODUCT((실물목록!$P$2:$P$1001&lt;&gt;"")*ISNUMBER(SEARCH(실물목록!$P$2:$P$1001,I241))*(실물목록!$R$2:$R$1001&lt;&gt;""))&gt;0,"확인필요(입력누락)",IF(SUMPRODUCT((실물목록!$P$2:$P$1001&lt;&gt;"")*ISNUMBER(SEARCH(실물목록!$P$2:$P$1001,I241))*(실물목록!$Q$2:$Q$1001&lt;&gt;"")*ISNUMBER(SEARCH(실물목록!$Q$2:$Q$1001,I241))*(실물목록!$R$2:$R$1001="")*(실물목록!$O$2:$O$1001&lt;&gt;""))&gt;0,"확인필요(연도다름)","실물 없음")))))</f>
      </c>
      <c r="G241" t="n" s="16">
        <f aca="0">IF(B241="","",SUMPRODUCT((실물목록!$P$2:$P$1001&lt;&gt;"")*ISNUMBER(SEARCH(실물목록!$P$2:$P$1001,I241))*(실물목록!$Q$2:$Q$1001&lt;&gt;"")*ISNUMBER(SEARCH(실물목록!$Q$2:$Q$1001,I241))*(실물목록!$R$2:$R$1001="")*(실물목록!$O$2:$O$1001&lt;&gt;"")*(실물목록!$O$2:$O$1001=H241)))</f>
      </c>
      <c r="H241" t="str">
        <f>IFERROR(IF(AND(LEN(SUBSTITUTE(SUBSTITUTE(SUBSTITUTE(TRIM(A241&amp;""),CHAR(160),"")," ",""),"년",""))=4,VALUE(SUBSTITUTE(SUBSTITUTE(SUBSTITUTE(TRIM(A241&amp;""),CHAR(160),"")," ",""),"년",""))&gt;=1900,VALUE(SUBSTITUTE(SUBSTITUTE(SUBSTITUTE(TRIM(A241&amp;""),CHAR(160),"")," ",""),"년",""))&lt;=2099,TEXT(VALUE(SUBSTITUTE(SUBSTITUTE(SUBSTITUTE(TRIM(A241&amp;""),CHAR(160),"")," ",""),"년","")),"0000")=SUBSTITUTE(SUBSTITUTE(SUBSTITUTE(TRIM(A241&amp;""),CHAR(160),"")," ",""),"년","")),SUBSTITUTE(SUBSTITUTE(SUBSTITUTE(TRIM(A241&amp;""),CHAR(160),"")," ",""),"년",""),""),"")</f>
      </c>
      <c r="I241" t="str">
        <f>SUBSTITUTE(SUBSTITUTE(SUBSTITUTE(SUBSTITUTE(SUBSTITUTE(TRIM(B241&amp;""),CHAR(160),"")," ",""),"초등학교","초"),"중학교","중"),"고등학교","고")</f>
      </c>
    </row>
    <row r="242" customFormat="false" ht="15" hidden="false" customHeight="false" outlineLevel="0" collapsed="false">
      <c r="A242" s="8"/>
      <c r="B242" s="8"/>
      <c r="C242" s="8"/>
      <c r="D242" s="8"/>
      <c r="E242" s="8"/>
      <c r="F242" t="str" s="15">
        <f aca="0">IF(B242="","",IF(H242="","확인필요(입력누락)",IF(SUMPRODUCT((실물목록!$P$2:$P$1001&lt;&gt;"")*ISNUMBER(SEARCH(실물목록!$P$2:$P$1001,I242))*(실물목록!$Q$2:$Q$1001&lt;&gt;"")*ISNUMBER(SEARCH(실물목록!$Q$2:$Q$1001,I242))*(실물목록!$R$2:$R$1001="")*(실물목록!$O$2:$O$1001&lt;&gt;"")*(실물목록!$O$2:$O$1001=H242))&gt;0,"실물 있음",IF(SUMPRODUCT((실물목록!$P$2:$P$1001&lt;&gt;"")*ISNUMBER(SEARCH(실물목록!$P$2:$P$1001,I242))*(실물목록!$R$2:$R$1001&lt;&gt;""))&gt;0,"확인필요(입력누락)",IF(SUMPRODUCT((실물목록!$P$2:$P$1001&lt;&gt;"")*ISNUMBER(SEARCH(실물목록!$P$2:$P$1001,I242))*(실물목록!$Q$2:$Q$1001&lt;&gt;"")*ISNUMBER(SEARCH(실물목록!$Q$2:$Q$1001,I242))*(실물목록!$R$2:$R$1001="")*(실물목록!$O$2:$O$1001&lt;&gt;""))&gt;0,"확인필요(연도다름)","실물 없음")))))</f>
      </c>
      <c r="G242" t="n" s="16">
        <f aca="0">IF(B242="","",SUMPRODUCT((실물목록!$P$2:$P$1001&lt;&gt;"")*ISNUMBER(SEARCH(실물목록!$P$2:$P$1001,I242))*(실물목록!$Q$2:$Q$1001&lt;&gt;"")*ISNUMBER(SEARCH(실물목록!$Q$2:$Q$1001,I242))*(실물목록!$R$2:$R$1001="")*(실물목록!$O$2:$O$1001&lt;&gt;"")*(실물목록!$O$2:$O$1001=H242)))</f>
      </c>
      <c r="H242" t="str">
        <f>IFERROR(IF(AND(LEN(SUBSTITUTE(SUBSTITUTE(SUBSTITUTE(TRIM(A242&amp;""),CHAR(160),"")," ",""),"년",""))=4,VALUE(SUBSTITUTE(SUBSTITUTE(SUBSTITUTE(TRIM(A242&amp;""),CHAR(160),"")," ",""),"년",""))&gt;=1900,VALUE(SUBSTITUTE(SUBSTITUTE(SUBSTITUTE(TRIM(A242&amp;""),CHAR(160),"")," ",""),"년",""))&lt;=2099,TEXT(VALUE(SUBSTITUTE(SUBSTITUTE(SUBSTITUTE(TRIM(A242&amp;""),CHAR(160),"")," ",""),"년","")),"0000")=SUBSTITUTE(SUBSTITUTE(SUBSTITUTE(TRIM(A242&amp;""),CHAR(160),"")," ",""),"년","")),SUBSTITUTE(SUBSTITUTE(SUBSTITUTE(TRIM(A242&amp;""),CHAR(160),"")," ",""),"년",""),""),"")</f>
      </c>
      <c r="I242" t="str">
        <f>SUBSTITUTE(SUBSTITUTE(SUBSTITUTE(SUBSTITUTE(SUBSTITUTE(TRIM(B242&amp;""),CHAR(160),"")," ",""),"초등학교","초"),"중학교","중"),"고등학교","고")</f>
      </c>
    </row>
    <row r="243" customFormat="false" ht="15" hidden="false" customHeight="false" outlineLevel="0" collapsed="false">
      <c r="A243" s="8"/>
      <c r="B243" s="8"/>
      <c r="C243" s="8"/>
      <c r="D243" s="8"/>
      <c r="E243" s="8"/>
      <c r="F243" t="str" s="15">
        <f aca="0">IF(B243="","",IF(H243="","확인필요(입력누락)",IF(SUMPRODUCT((실물목록!$P$2:$P$1001&lt;&gt;"")*ISNUMBER(SEARCH(실물목록!$P$2:$P$1001,I243))*(실물목록!$Q$2:$Q$1001&lt;&gt;"")*ISNUMBER(SEARCH(실물목록!$Q$2:$Q$1001,I243))*(실물목록!$R$2:$R$1001="")*(실물목록!$O$2:$O$1001&lt;&gt;"")*(실물목록!$O$2:$O$1001=H243))&gt;0,"실물 있음",IF(SUMPRODUCT((실물목록!$P$2:$P$1001&lt;&gt;"")*ISNUMBER(SEARCH(실물목록!$P$2:$P$1001,I243))*(실물목록!$R$2:$R$1001&lt;&gt;""))&gt;0,"확인필요(입력누락)",IF(SUMPRODUCT((실물목록!$P$2:$P$1001&lt;&gt;"")*ISNUMBER(SEARCH(실물목록!$P$2:$P$1001,I243))*(실물목록!$Q$2:$Q$1001&lt;&gt;"")*ISNUMBER(SEARCH(실물목록!$Q$2:$Q$1001,I243))*(실물목록!$R$2:$R$1001="")*(실물목록!$O$2:$O$1001&lt;&gt;""))&gt;0,"확인필요(연도다름)","실물 없음")))))</f>
      </c>
      <c r="G243" t="n" s="16">
        <f aca="0">IF(B243="","",SUMPRODUCT((실물목록!$P$2:$P$1001&lt;&gt;"")*ISNUMBER(SEARCH(실물목록!$P$2:$P$1001,I243))*(실물목록!$Q$2:$Q$1001&lt;&gt;"")*ISNUMBER(SEARCH(실물목록!$Q$2:$Q$1001,I243))*(실물목록!$R$2:$R$1001="")*(실물목록!$O$2:$O$1001&lt;&gt;"")*(실물목록!$O$2:$O$1001=H243)))</f>
      </c>
      <c r="H243" t="str">
        <f>IFERROR(IF(AND(LEN(SUBSTITUTE(SUBSTITUTE(SUBSTITUTE(TRIM(A243&amp;""),CHAR(160),"")," ",""),"년",""))=4,VALUE(SUBSTITUTE(SUBSTITUTE(SUBSTITUTE(TRIM(A243&amp;""),CHAR(160),"")," ",""),"년",""))&gt;=1900,VALUE(SUBSTITUTE(SUBSTITUTE(SUBSTITUTE(TRIM(A243&amp;""),CHAR(160),"")," ",""),"년",""))&lt;=2099,TEXT(VALUE(SUBSTITUTE(SUBSTITUTE(SUBSTITUTE(TRIM(A243&amp;""),CHAR(160),"")," ",""),"년","")),"0000")=SUBSTITUTE(SUBSTITUTE(SUBSTITUTE(TRIM(A243&amp;""),CHAR(160),"")," ",""),"년","")),SUBSTITUTE(SUBSTITUTE(SUBSTITUTE(TRIM(A243&amp;""),CHAR(160),"")," ",""),"년",""),""),"")</f>
      </c>
      <c r="I243" t="str">
        <f>SUBSTITUTE(SUBSTITUTE(SUBSTITUTE(SUBSTITUTE(SUBSTITUTE(TRIM(B243&amp;""),CHAR(160),"")," ",""),"초등학교","초"),"중학교","중"),"고등학교","고")</f>
      </c>
    </row>
    <row r="244" customFormat="false" ht="15" hidden="false" customHeight="false" outlineLevel="0" collapsed="false">
      <c r="A244" s="8"/>
      <c r="B244" s="8"/>
      <c r="C244" s="8"/>
      <c r="D244" s="8"/>
      <c r="E244" s="8"/>
      <c r="F244" t="str" s="15">
        <f aca="0">IF(B244="","",IF(H244="","확인필요(입력누락)",IF(SUMPRODUCT((실물목록!$P$2:$P$1001&lt;&gt;"")*ISNUMBER(SEARCH(실물목록!$P$2:$P$1001,I244))*(실물목록!$Q$2:$Q$1001&lt;&gt;"")*ISNUMBER(SEARCH(실물목록!$Q$2:$Q$1001,I244))*(실물목록!$R$2:$R$1001="")*(실물목록!$O$2:$O$1001&lt;&gt;"")*(실물목록!$O$2:$O$1001=H244))&gt;0,"실물 있음",IF(SUMPRODUCT((실물목록!$P$2:$P$1001&lt;&gt;"")*ISNUMBER(SEARCH(실물목록!$P$2:$P$1001,I244))*(실물목록!$R$2:$R$1001&lt;&gt;""))&gt;0,"확인필요(입력누락)",IF(SUMPRODUCT((실물목록!$P$2:$P$1001&lt;&gt;"")*ISNUMBER(SEARCH(실물목록!$P$2:$P$1001,I244))*(실물목록!$Q$2:$Q$1001&lt;&gt;"")*ISNUMBER(SEARCH(실물목록!$Q$2:$Q$1001,I244))*(실물목록!$R$2:$R$1001="")*(실물목록!$O$2:$O$1001&lt;&gt;""))&gt;0,"확인필요(연도다름)","실물 없음")))))</f>
      </c>
      <c r="G244" t="n" s="16">
        <f aca="0">IF(B244="","",SUMPRODUCT((실물목록!$P$2:$P$1001&lt;&gt;"")*ISNUMBER(SEARCH(실물목록!$P$2:$P$1001,I244))*(실물목록!$Q$2:$Q$1001&lt;&gt;"")*ISNUMBER(SEARCH(실물목록!$Q$2:$Q$1001,I244))*(실물목록!$R$2:$R$1001="")*(실물목록!$O$2:$O$1001&lt;&gt;"")*(실물목록!$O$2:$O$1001=H244)))</f>
      </c>
      <c r="H244" t="str">
        <f>IFERROR(IF(AND(LEN(SUBSTITUTE(SUBSTITUTE(SUBSTITUTE(TRIM(A244&amp;""),CHAR(160),"")," ",""),"년",""))=4,VALUE(SUBSTITUTE(SUBSTITUTE(SUBSTITUTE(TRIM(A244&amp;""),CHAR(160),"")," ",""),"년",""))&gt;=1900,VALUE(SUBSTITUTE(SUBSTITUTE(SUBSTITUTE(TRIM(A244&amp;""),CHAR(160),"")," ",""),"년",""))&lt;=2099,TEXT(VALUE(SUBSTITUTE(SUBSTITUTE(SUBSTITUTE(TRIM(A244&amp;""),CHAR(160),"")," ",""),"년","")),"0000")=SUBSTITUTE(SUBSTITUTE(SUBSTITUTE(TRIM(A244&amp;""),CHAR(160),"")," ",""),"년","")),SUBSTITUTE(SUBSTITUTE(SUBSTITUTE(TRIM(A244&amp;""),CHAR(160),"")," ",""),"년",""),""),"")</f>
      </c>
      <c r="I244" t="str">
        <f>SUBSTITUTE(SUBSTITUTE(SUBSTITUTE(SUBSTITUTE(SUBSTITUTE(TRIM(B244&amp;""),CHAR(160),"")," ",""),"초등학교","초"),"중학교","중"),"고등학교","고")</f>
      </c>
    </row>
    <row r="245" customFormat="false" ht="15" hidden="false" customHeight="false" outlineLevel="0" collapsed="false">
      <c r="A245" s="8"/>
      <c r="B245" s="8"/>
      <c r="C245" s="8"/>
      <c r="D245" s="8"/>
      <c r="E245" s="8"/>
      <c r="F245" t="str" s="15">
        <f aca="0">IF(B245="","",IF(H245="","확인필요(입력누락)",IF(SUMPRODUCT((실물목록!$P$2:$P$1001&lt;&gt;"")*ISNUMBER(SEARCH(실물목록!$P$2:$P$1001,I245))*(실물목록!$Q$2:$Q$1001&lt;&gt;"")*ISNUMBER(SEARCH(실물목록!$Q$2:$Q$1001,I245))*(실물목록!$R$2:$R$1001="")*(실물목록!$O$2:$O$1001&lt;&gt;"")*(실물목록!$O$2:$O$1001=H245))&gt;0,"실물 있음",IF(SUMPRODUCT((실물목록!$P$2:$P$1001&lt;&gt;"")*ISNUMBER(SEARCH(실물목록!$P$2:$P$1001,I245))*(실물목록!$R$2:$R$1001&lt;&gt;""))&gt;0,"확인필요(입력누락)",IF(SUMPRODUCT((실물목록!$P$2:$P$1001&lt;&gt;"")*ISNUMBER(SEARCH(실물목록!$P$2:$P$1001,I245))*(실물목록!$Q$2:$Q$1001&lt;&gt;"")*ISNUMBER(SEARCH(실물목록!$Q$2:$Q$1001,I245))*(실물목록!$R$2:$R$1001="")*(실물목록!$O$2:$O$1001&lt;&gt;""))&gt;0,"확인필요(연도다름)","실물 없음")))))</f>
      </c>
      <c r="G245" t="n" s="16">
        <f aca="0">IF(B245="","",SUMPRODUCT((실물목록!$P$2:$P$1001&lt;&gt;"")*ISNUMBER(SEARCH(실물목록!$P$2:$P$1001,I245))*(실물목록!$Q$2:$Q$1001&lt;&gt;"")*ISNUMBER(SEARCH(실물목록!$Q$2:$Q$1001,I245))*(실물목록!$R$2:$R$1001="")*(실물목록!$O$2:$O$1001&lt;&gt;"")*(실물목록!$O$2:$O$1001=H245)))</f>
      </c>
      <c r="H245" t="str">
        <f>IFERROR(IF(AND(LEN(SUBSTITUTE(SUBSTITUTE(SUBSTITUTE(TRIM(A245&amp;""),CHAR(160),"")," ",""),"년",""))=4,VALUE(SUBSTITUTE(SUBSTITUTE(SUBSTITUTE(TRIM(A245&amp;""),CHAR(160),"")," ",""),"년",""))&gt;=1900,VALUE(SUBSTITUTE(SUBSTITUTE(SUBSTITUTE(TRIM(A245&amp;""),CHAR(160),"")," ",""),"년",""))&lt;=2099,TEXT(VALUE(SUBSTITUTE(SUBSTITUTE(SUBSTITUTE(TRIM(A245&amp;""),CHAR(160),"")," ",""),"년","")),"0000")=SUBSTITUTE(SUBSTITUTE(SUBSTITUTE(TRIM(A245&amp;""),CHAR(160),"")," ",""),"년","")),SUBSTITUTE(SUBSTITUTE(SUBSTITUTE(TRIM(A245&amp;""),CHAR(160),"")," ",""),"년",""),""),"")</f>
      </c>
      <c r="I245" t="str">
        <f>SUBSTITUTE(SUBSTITUTE(SUBSTITUTE(SUBSTITUTE(SUBSTITUTE(TRIM(B245&amp;""),CHAR(160),"")," ",""),"초등학교","초"),"중학교","중"),"고등학교","고")</f>
      </c>
    </row>
    <row r="246" customFormat="false" ht="15" hidden="false" customHeight="false" outlineLevel="0" collapsed="false">
      <c r="A246" s="8"/>
      <c r="B246" s="8"/>
      <c r="C246" s="8"/>
      <c r="D246" s="8"/>
      <c r="E246" s="8"/>
      <c r="F246" t="str" s="15">
        <f aca="0">IF(B246="","",IF(H246="","확인필요(입력누락)",IF(SUMPRODUCT((실물목록!$P$2:$P$1001&lt;&gt;"")*ISNUMBER(SEARCH(실물목록!$P$2:$P$1001,I246))*(실물목록!$Q$2:$Q$1001&lt;&gt;"")*ISNUMBER(SEARCH(실물목록!$Q$2:$Q$1001,I246))*(실물목록!$R$2:$R$1001="")*(실물목록!$O$2:$O$1001&lt;&gt;"")*(실물목록!$O$2:$O$1001=H246))&gt;0,"실물 있음",IF(SUMPRODUCT((실물목록!$P$2:$P$1001&lt;&gt;"")*ISNUMBER(SEARCH(실물목록!$P$2:$P$1001,I246))*(실물목록!$R$2:$R$1001&lt;&gt;""))&gt;0,"확인필요(입력누락)",IF(SUMPRODUCT((실물목록!$P$2:$P$1001&lt;&gt;"")*ISNUMBER(SEARCH(실물목록!$P$2:$P$1001,I246))*(실물목록!$Q$2:$Q$1001&lt;&gt;"")*ISNUMBER(SEARCH(실물목록!$Q$2:$Q$1001,I246))*(실물목록!$R$2:$R$1001="")*(실물목록!$O$2:$O$1001&lt;&gt;""))&gt;0,"확인필요(연도다름)","실물 없음")))))</f>
      </c>
      <c r="G246" t="n" s="16">
        <f aca="0">IF(B246="","",SUMPRODUCT((실물목록!$P$2:$P$1001&lt;&gt;"")*ISNUMBER(SEARCH(실물목록!$P$2:$P$1001,I246))*(실물목록!$Q$2:$Q$1001&lt;&gt;"")*ISNUMBER(SEARCH(실물목록!$Q$2:$Q$1001,I246))*(실물목록!$R$2:$R$1001="")*(실물목록!$O$2:$O$1001&lt;&gt;"")*(실물목록!$O$2:$O$1001=H246)))</f>
      </c>
      <c r="H246" t="str">
        <f>IFERROR(IF(AND(LEN(SUBSTITUTE(SUBSTITUTE(SUBSTITUTE(TRIM(A246&amp;""),CHAR(160),"")," ",""),"년",""))=4,VALUE(SUBSTITUTE(SUBSTITUTE(SUBSTITUTE(TRIM(A246&amp;""),CHAR(160),"")," ",""),"년",""))&gt;=1900,VALUE(SUBSTITUTE(SUBSTITUTE(SUBSTITUTE(TRIM(A246&amp;""),CHAR(160),"")," ",""),"년",""))&lt;=2099,TEXT(VALUE(SUBSTITUTE(SUBSTITUTE(SUBSTITUTE(TRIM(A246&amp;""),CHAR(160),"")," ",""),"년","")),"0000")=SUBSTITUTE(SUBSTITUTE(SUBSTITUTE(TRIM(A246&amp;""),CHAR(160),"")," ",""),"년","")),SUBSTITUTE(SUBSTITUTE(SUBSTITUTE(TRIM(A246&amp;""),CHAR(160),"")," ",""),"년",""),""),"")</f>
      </c>
      <c r="I246" t="str">
        <f>SUBSTITUTE(SUBSTITUTE(SUBSTITUTE(SUBSTITUTE(SUBSTITUTE(TRIM(B246&amp;""),CHAR(160),"")," ",""),"초등학교","초"),"중학교","중"),"고등학교","고")</f>
      </c>
    </row>
    <row r="247" customFormat="false" ht="15" hidden="false" customHeight="false" outlineLevel="0" collapsed="false">
      <c r="A247" s="8"/>
      <c r="B247" s="8"/>
      <c r="C247" s="8"/>
      <c r="D247" s="8"/>
      <c r="E247" s="8"/>
      <c r="F247" t="str" s="15">
        <f aca="0">IF(B247="","",IF(H247="","확인필요(입력누락)",IF(SUMPRODUCT((실물목록!$P$2:$P$1001&lt;&gt;"")*ISNUMBER(SEARCH(실물목록!$P$2:$P$1001,I247))*(실물목록!$Q$2:$Q$1001&lt;&gt;"")*ISNUMBER(SEARCH(실물목록!$Q$2:$Q$1001,I247))*(실물목록!$R$2:$R$1001="")*(실물목록!$O$2:$O$1001&lt;&gt;"")*(실물목록!$O$2:$O$1001=H247))&gt;0,"실물 있음",IF(SUMPRODUCT((실물목록!$P$2:$P$1001&lt;&gt;"")*ISNUMBER(SEARCH(실물목록!$P$2:$P$1001,I247))*(실물목록!$R$2:$R$1001&lt;&gt;""))&gt;0,"확인필요(입력누락)",IF(SUMPRODUCT((실물목록!$P$2:$P$1001&lt;&gt;"")*ISNUMBER(SEARCH(실물목록!$P$2:$P$1001,I247))*(실물목록!$Q$2:$Q$1001&lt;&gt;"")*ISNUMBER(SEARCH(실물목록!$Q$2:$Q$1001,I247))*(실물목록!$R$2:$R$1001="")*(실물목록!$O$2:$O$1001&lt;&gt;""))&gt;0,"확인필요(연도다름)","실물 없음")))))</f>
      </c>
      <c r="G247" t="n" s="16">
        <f aca="0">IF(B247="","",SUMPRODUCT((실물목록!$P$2:$P$1001&lt;&gt;"")*ISNUMBER(SEARCH(실물목록!$P$2:$P$1001,I247))*(실물목록!$Q$2:$Q$1001&lt;&gt;"")*ISNUMBER(SEARCH(실물목록!$Q$2:$Q$1001,I247))*(실물목록!$R$2:$R$1001="")*(실물목록!$O$2:$O$1001&lt;&gt;"")*(실물목록!$O$2:$O$1001=H247)))</f>
      </c>
      <c r="H247" t="str">
        <f>IFERROR(IF(AND(LEN(SUBSTITUTE(SUBSTITUTE(SUBSTITUTE(TRIM(A247&amp;""),CHAR(160),"")," ",""),"년",""))=4,VALUE(SUBSTITUTE(SUBSTITUTE(SUBSTITUTE(TRIM(A247&amp;""),CHAR(160),"")," ",""),"년",""))&gt;=1900,VALUE(SUBSTITUTE(SUBSTITUTE(SUBSTITUTE(TRIM(A247&amp;""),CHAR(160),"")," ",""),"년",""))&lt;=2099,TEXT(VALUE(SUBSTITUTE(SUBSTITUTE(SUBSTITUTE(TRIM(A247&amp;""),CHAR(160),"")," ",""),"년","")),"0000")=SUBSTITUTE(SUBSTITUTE(SUBSTITUTE(TRIM(A247&amp;""),CHAR(160),"")," ",""),"년","")),SUBSTITUTE(SUBSTITUTE(SUBSTITUTE(TRIM(A247&amp;""),CHAR(160),"")," ",""),"년",""),""),"")</f>
      </c>
      <c r="I247" t="str">
        <f>SUBSTITUTE(SUBSTITUTE(SUBSTITUTE(SUBSTITUTE(SUBSTITUTE(TRIM(B247&amp;""),CHAR(160),"")," ",""),"초등학교","초"),"중학교","중"),"고등학교","고")</f>
      </c>
    </row>
    <row r="248" customFormat="false" ht="15" hidden="false" customHeight="false" outlineLevel="0" collapsed="false">
      <c r="A248" s="8"/>
      <c r="B248" s="8"/>
      <c r="C248" s="8"/>
      <c r="D248" s="8"/>
      <c r="E248" s="8"/>
      <c r="F248" t="str" s="15">
        <f aca="0">IF(B248="","",IF(H248="","확인필요(입력누락)",IF(SUMPRODUCT((실물목록!$P$2:$P$1001&lt;&gt;"")*ISNUMBER(SEARCH(실물목록!$P$2:$P$1001,I248))*(실물목록!$Q$2:$Q$1001&lt;&gt;"")*ISNUMBER(SEARCH(실물목록!$Q$2:$Q$1001,I248))*(실물목록!$R$2:$R$1001="")*(실물목록!$O$2:$O$1001&lt;&gt;"")*(실물목록!$O$2:$O$1001=H248))&gt;0,"실물 있음",IF(SUMPRODUCT((실물목록!$P$2:$P$1001&lt;&gt;"")*ISNUMBER(SEARCH(실물목록!$P$2:$P$1001,I248))*(실물목록!$R$2:$R$1001&lt;&gt;""))&gt;0,"확인필요(입력누락)",IF(SUMPRODUCT((실물목록!$P$2:$P$1001&lt;&gt;"")*ISNUMBER(SEARCH(실물목록!$P$2:$P$1001,I248))*(실물목록!$Q$2:$Q$1001&lt;&gt;"")*ISNUMBER(SEARCH(실물목록!$Q$2:$Q$1001,I248))*(실물목록!$R$2:$R$1001="")*(실물목록!$O$2:$O$1001&lt;&gt;""))&gt;0,"확인필요(연도다름)","실물 없음")))))</f>
      </c>
      <c r="G248" t="n" s="16">
        <f aca="0">IF(B248="","",SUMPRODUCT((실물목록!$P$2:$P$1001&lt;&gt;"")*ISNUMBER(SEARCH(실물목록!$P$2:$P$1001,I248))*(실물목록!$Q$2:$Q$1001&lt;&gt;"")*ISNUMBER(SEARCH(실물목록!$Q$2:$Q$1001,I248))*(실물목록!$R$2:$R$1001="")*(실물목록!$O$2:$O$1001&lt;&gt;"")*(실물목록!$O$2:$O$1001=H248)))</f>
      </c>
      <c r="H248" t="str">
        <f>IFERROR(IF(AND(LEN(SUBSTITUTE(SUBSTITUTE(SUBSTITUTE(TRIM(A248&amp;""),CHAR(160),"")," ",""),"년",""))=4,VALUE(SUBSTITUTE(SUBSTITUTE(SUBSTITUTE(TRIM(A248&amp;""),CHAR(160),"")," ",""),"년",""))&gt;=1900,VALUE(SUBSTITUTE(SUBSTITUTE(SUBSTITUTE(TRIM(A248&amp;""),CHAR(160),"")," ",""),"년",""))&lt;=2099,TEXT(VALUE(SUBSTITUTE(SUBSTITUTE(SUBSTITUTE(TRIM(A248&amp;""),CHAR(160),"")," ",""),"년","")),"0000")=SUBSTITUTE(SUBSTITUTE(SUBSTITUTE(TRIM(A248&amp;""),CHAR(160),"")," ",""),"년","")),SUBSTITUTE(SUBSTITUTE(SUBSTITUTE(TRIM(A248&amp;""),CHAR(160),"")," ",""),"년",""),""),"")</f>
      </c>
      <c r="I248" t="str">
        <f>SUBSTITUTE(SUBSTITUTE(SUBSTITUTE(SUBSTITUTE(SUBSTITUTE(TRIM(B248&amp;""),CHAR(160),"")," ",""),"초등학교","초"),"중학교","중"),"고등학교","고")</f>
      </c>
    </row>
    <row r="249" customFormat="false" ht="15" hidden="false" customHeight="false" outlineLevel="0" collapsed="false">
      <c r="A249" s="8"/>
      <c r="B249" s="8"/>
      <c r="C249" s="8"/>
      <c r="D249" s="8"/>
      <c r="E249" s="8"/>
      <c r="F249" t="str" s="15">
        <f aca="0">IF(B249="","",IF(H249="","확인필요(입력누락)",IF(SUMPRODUCT((실물목록!$P$2:$P$1001&lt;&gt;"")*ISNUMBER(SEARCH(실물목록!$P$2:$P$1001,I249))*(실물목록!$Q$2:$Q$1001&lt;&gt;"")*ISNUMBER(SEARCH(실물목록!$Q$2:$Q$1001,I249))*(실물목록!$R$2:$R$1001="")*(실물목록!$O$2:$O$1001&lt;&gt;"")*(실물목록!$O$2:$O$1001=H249))&gt;0,"실물 있음",IF(SUMPRODUCT((실물목록!$P$2:$P$1001&lt;&gt;"")*ISNUMBER(SEARCH(실물목록!$P$2:$P$1001,I249))*(실물목록!$R$2:$R$1001&lt;&gt;""))&gt;0,"확인필요(입력누락)",IF(SUMPRODUCT((실물목록!$P$2:$P$1001&lt;&gt;"")*ISNUMBER(SEARCH(실물목록!$P$2:$P$1001,I249))*(실물목록!$Q$2:$Q$1001&lt;&gt;"")*ISNUMBER(SEARCH(실물목록!$Q$2:$Q$1001,I249))*(실물목록!$R$2:$R$1001="")*(실물목록!$O$2:$O$1001&lt;&gt;""))&gt;0,"확인필요(연도다름)","실물 없음")))))</f>
      </c>
      <c r="G249" t="n" s="16">
        <f aca="0">IF(B249="","",SUMPRODUCT((실물목록!$P$2:$P$1001&lt;&gt;"")*ISNUMBER(SEARCH(실물목록!$P$2:$P$1001,I249))*(실물목록!$Q$2:$Q$1001&lt;&gt;"")*ISNUMBER(SEARCH(실물목록!$Q$2:$Q$1001,I249))*(실물목록!$R$2:$R$1001="")*(실물목록!$O$2:$O$1001&lt;&gt;"")*(실물목록!$O$2:$O$1001=H249)))</f>
      </c>
      <c r="H249" t="str">
        <f>IFERROR(IF(AND(LEN(SUBSTITUTE(SUBSTITUTE(SUBSTITUTE(TRIM(A249&amp;""),CHAR(160),"")," ",""),"년",""))=4,VALUE(SUBSTITUTE(SUBSTITUTE(SUBSTITUTE(TRIM(A249&amp;""),CHAR(160),"")," ",""),"년",""))&gt;=1900,VALUE(SUBSTITUTE(SUBSTITUTE(SUBSTITUTE(TRIM(A249&amp;""),CHAR(160),"")," ",""),"년",""))&lt;=2099,TEXT(VALUE(SUBSTITUTE(SUBSTITUTE(SUBSTITUTE(TRIM(A249&amp;""),CHAR(160),"")," ",""),"년","")),"0000")=SUBSTITUTE(SUBSTITUTE(SUBSTITUTE(TRIM(A249&amp;""),CHAR(160),"")," ",""),"년","")),SUBSTITUTE(SUBSTITUTE(SUBSTITUTE(TRIM(A249&amp;""),CHAR(160),"")," ",""),"년",""),""),"")</f>
      </c>
      <c r="I249" t="str">
        <f>SUBSTITUTE(SUBSTITUTE(SUBSTITUTE(SUBSTITUTE(SUBSTITUTE(TRIM(B249&amp;""),CHAR(160),"")," ",""),"초등학교","초"),"중학교","중"),"고등학교","고")</f>
      </c>
    </row>
    <row r="250" customFormat="false" ht="15" hidden="false" customHeight="false" outlineLevel="0" collapsed="false">
      <c r="A250" s="8"/>
      <c r="B250" s="8"/>
      <c r="C250" s="8"/>
      <c r="D250" s="8"/>
      <c r="E250" s="8"/>
      <c r="F250" t="str" s="15">
        <f aca="0">IF(B250="","",IF(H250="","확인필요(입력누락)",IF(SUMPRODUCT((실물목록!$P$2:$P$1001&lt;&gt;"")*ISNUMBER(SEARCH(실물목록!$P$2:$P$1001,I250))*(실물목록!$Q$2:$Q$1001&lt;&gt;"")*ISNUMBER(SEARCH(실물목록!$Q$2:$Q$1001,I250))*(실물목록!$R$2:$R$1001="")*(실물목록!$O$2:$O$1001&lt;&gt;"")*(실물목록!$O$2:$O$1001=H250))&gt;0,"실물 있음",IF(SUMPRODUCT((실물목록!$P$2:$P$1001&lt;&gt;"")*ISNUMBER(SEARCH(실물목록!$P$2:$P$1001,I250))*(실물목록!$R$2:$R$1001&lt;&gt;""))&gt;0,"확인필요(입력누락)",IF(SUMPRODUCT((실물목록!$P$2:$P$1001&lt;&gt;"")*ISNUMBER(SEARCH(실물목록!$P$2:$P$1001,I250))*(실물목록!$Q$2:$Q$1001&lt;&gt;"")*ISNUMBER(SEARCH(실물목록!$Q$2:$Q$1001,I250))*(실물목록!$R$2:$R$1001="")*(실물목록!$O$2:$O$1001&lt;&gt;""))&gt;0,"확인필요(연도다름)","실물 없음")))))</f>
      </c>
      <c r="G250" t="n" s="16">
        <f aca="0">IF(B250="","",SUMPRODUCT((실물목록!$P$2:$P$1001&lt;&gt;"")*ISNUMBER(SEARCH(실물목록!$P$2:$P$1001,I250))*(실물목록!$Q$2:$Q$1001&lt;&gt;"")*ISNUMBER(SEARCH(실물목록!$Q$2:$Q$1001,I250))*(실물목록!$R$2:$R$1001="")*(실물목록!$O$2:$O$1001&lt;&gt;"")*(실물목록!$O$2:$O$1001=H250)))</f>
      </c>
      <c r="H250" t="str">
        <f>IFERROR(IF(AND(LEN(SUBSTITUTE(SUBSTITUTE(SUBSTITUTE(TRIM(A250&amp;""),CHAR(160),"")," ",""),"년",""))=4,VALUE(SUBSTITUTE(SUBSTITUTE(SUBSTITUTE(TRIM(A250&amp;""),CHAR(160),"")," ",""),"년",""))&gt;=1900,VALUE(SUBSTITUTE(SUBSTITUTE(SUBSTITUTE(TRIM(A250&amp;""),CHAR(160),"")," ",""),"년",""))&lt;=2099,TEXT(VALUE(SUBSTITUTE(SUBSTITUTE(SUBSTITUTE(TRIM(A250&amp;""),CHAR(160),"")," ",""),"년","")),"0000")=SUBSTITUTE(SUBSTITUTE(SUBSTITUTE(TRIM(A250&amp;""),CHAR(160),"")," ",""),"년","")),SUBSTITUTE(SUBSTITUTE(SUBSTITUTE(TRIM(A250&amp;""),CHAR(160),"")," ",""),"년",""),""),"")</f>
      </c>
      <c r="I250" t="str">
        <f>SUBSTITUTE(SUBSTITUTE(SUBSTITUTE(SUBSTITUTE(SUBSTITUTE(TRIM(B250&amp;""),CHAR(160),"")," ",""),"초등학교","초"),"중학교","중"),"고등학교","고")</f>
      </c>
    </row>
    <row r="251" customFormat="false" ht="15" hidden="false" customHeight="false" outlineLevel="0" collapsed="false">
      <c r="A251" s="8"/>
      <c r="B251" s="8"/>
      <c r="C251" s="8"/>
      <c r="D251" s="8"/>
      <c r="E251" s="8"/>
      <c r="F251" t="str" s="15">
        <f aca="0">IF(B251="","",IF(H251="","확인필요(입력누락)",IF(SUMPRODUCT((실물목록!$P$2:$P$1001&lt;&gt;"")*ISNUMBER(SEARCH(실물목록!$P$2:$P$1001,I251))*(실물목록!$Q$2:$Q$1001&lt;&gt;"")*ISNUMBER(SEARCH(실물목록!$Q$2:$Q$1001,I251))*(실물목록!$R$2:$R$1001="")*(실물목록!$O$2:$O$1001&lt;&gt;"")*(실물목록!$O$2:$O$1001=H251))&gt;0,"실물 있음",IF(SUMPRODUCT((실물목록!$P$2:$P$1001&lt;&gt;"")*ISNUMBER(SEARCH(실물목록!$P$2:$P$1001,I251))*(실물목록!$R$2:$R$1001&lt;&gt;""))&gt;0,"확인필요(입력누락)",IF(SUMPRODUCT((실물목록!$P$2:$P$1001&lt;&gt;"")*ISNUMBER(SEARCH(실물목록!$P$2:$P$1001,I251))*(실물목록!$Q$2:$Q$1001&lt;&gt;"")*ISNUMBER(SEARCH(실물목록!$Q$2:$Q$1001,I251))*(실물목록!$R$2:$R$1001="")*(실물목록!$O$2:$O$1001&lt;&gt;""))&gt;0,"확인필요(연도다름)","실물 없음")))))</f>
      </c>
      <c r="G251" t="n" s="16">
        <f aca="0">IF(B251="","",SUMPRODUCT((실물목록!$P$2:$P$1001&lt;&gt;"")*ISNUMBER(SEARCH(실물목록!$P$2:$P$1001,I251))*(실물목록!$Q$2:$Q$1001&lt;&gt;"")*ISNUMBER(SEARCH(실물목록!$Q$2:$Q$1001,I251))*(실물목록!$R$2:$R$1001="")*(실물목록!$O$2:$O$1001&lt;&gt;"")*(실물목록!$O$2:$O$1001=H251)))</f>
      </c>
      <c r="H251" t="str">
        <f>IFERROR(IF(AND(LEN(SUBSTITUTE(SUBSTITUTE(SUBSTITUTE(TRIM(A251&amp;""),CHAR(160),"")," ",""),"년",""))=4,VALUE(SUBSTITUTE(SUBSTITUTE(SUBSTITUTE(TRIM(A251&amp;""),CHAR(160),"")," ",""),"년",""))&gt;=1900,VALUE(SUBSTITUTE(SUBSTITUTE(SUBSTITUTE(TRIM(A251&amp;""),CHAR(160),"")," ",""),"년",""))&lt;=2099,TEXT(VALUE(SUBSTITUTE(SUBSTITUTE(SUBSTITUTE(TRIM(A251&amp;""),CHAR(160),"")," ",""),"년","")),"0000")=SUBSTITUTE(SUBSTITUTE(SUBSTITUTE(TRIM(A251&amp;""),CHAR(160),"")," ",""),"년","")),SUBSTITUTE(SUBSTITUTE(SUBSTITUTE(TRIM(A251&amp;""),CHAR(160),"")," ",""),"년",""),""),"")</f>
      </c>
      <c r="I251" t="str">
        <f>SUBSTITUTE(SUBSTITUTE(SUBSTITUTE(SUBSTITUTE(SUBSTITUTE(TRIM(B251&amp;""),CHAR(160),"")," ",""),"초등학교","초"),"중학교","중"),"고등학교","고")</f>
      </c>
    </row>
    <row r="252" customFormat="false" ht="15" hidden="false" customHeight="false" outlineLevel="0" collapsed="false">
      <c r="A252" s="8"/>
      <c r="B252" s="8"/>
      <c r="C252" s="8"/>
      <c r="D252" s="8"/>
      <c r="E252" s="8"/>
      <c r="F252" t="str" s="15">
        <f aca="0">IF(B252="","",IF(H252="","확인필요(입력누락)",IF(SUMPRODUCT((실물목록!$P$2:$P$1001&lt;&gt;"")*ISNUMBER(SEARCH(실물목록!$P$2:$P$1001,I252))*(실물목록!$Q$2:$Q$1001&lt;&gt;"")*ISNUMBER(SEARCH(실물목록!$Q$2:$Q$1001,I252))*(실물목록!$R$2:$R$1001="")*(실물목록!$O$2:$O$1001&lt;&gt;"")*(실물목록!$O$2:$O$1001=H252))&gt;0,"실물 있음",IF(SUMPRODUCT((실물목록!$P$2:$P$1001&lt;&gt;"")*ISNUMBER(SEARCH(실물목록!$P$2:$P$1001,I252))*(실물목록!$R$2:$R$1001&lt;&gt;""))&gt;0,"확인필요(입력누락)",IF(SUMPRODUCT((실물목록!$P$2:$P$1001&lt;&gt;"")*ISNUMBER(SEARCH(실물목록!$P$2:$P$1001,I252))*(실물목록!$Q$2:$Q$1001&lt;&gt;"")*ISNUMBER(SEARCH(실물목록!$Q$2:$Q$1001,I252))*(실물목록!$R$2:$R$1001="")*(실물목록!$O$2:$O$1001&lt;&gt;""))&gt;0,"확인필요(연도다름)","실물 없음")))))</f>
      </c>
      <c r="G252" t="n" s="16">
        <f aca="0">IF(B252="","",SUMPRODUCT((실물목록!$P$2:$P$1001&lt;&gt;"")*ISNUMBER(SEARCH(실물목록!$P$2:$P$1001,I252))*(실물목록!$Q$2:$Q$1001&lt;&gt;"")*ISNUMBER(SEARCH(실물목록!$Q$2:$Q$1001,I252))*(실물목록!$R$2:$R$1001="")*(실물목록!$O$2:$O$1001&lt;&gt;"")*(실물목록!$O$2:$O$1001=H252)))</f>
      </c>
      <c r="H252" t="str">
        <f>IFERROR(IF(AND(LEN(SUBSTITUTE(SUBSTITUTE(SUBSTITUTE(TRIM(A252&amp;""),CHAR(160),"")," ",""),"년",""))=4,VALUE(SUBSTITUTE(SUBSTITUTE(SUBSTITUTE(TRIM(A252&amp;""),CHAR(160),"")," ",""),"년",""))&gt;=1900,VALUE(SUBSTITUTE(SUBSTITUTE(SUBSTITUTE(TRIM(A252&amp;""),CHAR(160),"")," ",""),"년",""))&lt;=2099,TEXT(VALUE(SUBSTITUTE(SUBSTITUTE(SUBSTITUTE(TRIM(A252&amp;""),CHAR(160),"")," ",""),"년","")),"0000")=SUBSTITUTE(SUBSTITUTE(SUBSTITUTE(TRIM(A252&amp;""),CHAR(160),"")," ",""),"년","")),SUBSTITUTE(SUBSTITUTE(SUBSTITUTE(TRIM(A252&amp;""),CHAR(160),"")," ",""),"년",""),""),"")</f>
      </c>
      <c r="I252" t="str">
        <f>SUBSTITUTE(SUBSTITUTE(SUBSTITUTE(SUBSTITUTE(SUBSTITUTE(TRIM(B252&amp;""),CHAR(160),"")," ",""),"초등학교","초"),"중학교","중"),"고등학교","고")</f>
      </c>
    </row>
    <row r="253" customFormat="false" ht="15" hidden="false" customHeight="false" outlineLevel="0" collapsed="false">
      <c r="A253" s="8"/>
      <c r="B253" s="8"/>
      <c r="C253" s="8"/>
      <c r="D253" s="8"/>
      <c r="E253" s="8"/>
      <c r="F253" t="str" s="15">
        <f aca="0">IF(B253="","",IF(H253="","확인필요(입력누락)",IF(SUMPRODUCT((실물목록!$P$2:$P$1001&lt;&gt;"")*ISNUMBER(SEARCH(실물목록!$P$2:$P$1001,I253))*(실물목록!$Q$2:$Q$1001&lt;&gt;"")*ISNUMBER(SEARCH(실물목록!$Q$2:$Q$1001,I253))*(실물목록!$R$2:$R$1001="")*(실물목록!$O$2:$O$1001&lt;&gt;"")*(실물목록!$O$2:$O$1001=H253))&gt;0,"실물 있음",IF(SUMPRODUCT((실물목록!$P$2:$P$1001&lt;&gt;"")*ISNUMBER(SEARCH(실물목록!$P$2:$P$1001,I253))*(실물목록!$R$2:$R$1001&lt;&gt;""))&gt;0,"확인필요(입력누락)",IF(SUMPRODUCT((실물목록!$P$2:$P$1001&lt;&gt;"")*ISNUMBER(SEARCH(실물목록!$P$2:$P$1001,I253))*(실물목록!$Q$2:$Q$1001&lt;&gt;"")*ISNUMBER(SEARCH(실물목록!$Q$2:$Q$1001,I253))*(실물목록!$R$2:$R$1001="")*(실물목록!$O$2:$O$1001&lt;&gt;""))&gt;0,"확인필요(연도다름)","실물 없음")))))</f>
      </c>
      <c r="G253" t="n" s="16">
        <f aca="0">IF(B253="","",SUMPRODUCT((실물목록!$P$2:$P$1001&lt;&gt;"")*ISNUMBER(SEARCH(실물목록!$P$2:$P$1001,I253))*(실물목록!$Q$2:$Q$1001&lt;&gt;"")*ISNUMBER(SEARCH(실물목록!$Q$2:$Q$1001,I253))*(실물목록!$R$2:$R$1001="")*(실물목록!$O$2:$O$1001&lt;&gt;"")*(실물목록!$O$2:$O$1001=H253)))</f>
      </c>
      <c r="H253" t="str">
        <f>IFERROR(IF(AND(LEN(SUBSTITUTE(SUBSTITUTE(SUBSTITUTE(TRIM(A253&amp;""),CHAR(160),"")," ",""),"년",""))=4,VALUE(SUBSTITUTE(SUBSTITUTE(SUBSTITUTE(TRIM(A253&amp;""),CHAR(160),"")," ",""),"년",""))&gt;=1900,VALUE(SUBSTITUTE(SUBSTITUTE(SUBSTITUTE(TRIM(A253&amp;""),CHAR(160),"")," ",""),"년",""))&lt;=2099,TEXT(VALUE(SUBSTITUTE(SUBSTITUTE(SUBSTITUTE(TRIM(A253&amp;""),CHAR(160),"")," ",""),"년","")),"0000")=SUBSTITUTE(SUBSTITUTE(SUBSTITUTE(TRIM(A253&amp;""),CHAR(160),"")," ",""),"년","")),SUBSTITUTE(SUBSTITUTE(SUBSTITUTE(TRIM(A253&amp;""),CHAR(160),"")," ",""),"년",""),""),"")</f>
      </c>
      <c r="I253" t="str">
        <f>SUBSTITUTE(SUBSTITUTE(SUBSTITUTE(SUBSTITUTE(SUBSTITUTE(TRIM(B253&amp;""),CHAR(160),"")," ",""),"초등학교","초"),"중학교","중"),"고등학교","고")</f>
      </c>
    </row>
    <row r="254" customFormat="false" ht="15" hidden="false" customHeight="false" outlineLevel="0" collapsed="false">
      <c r="A254" s="8"/>
      <c r="B254" s="8"/>
      <c r="C254" s="8"/>
      <c r="D254" s="8"/>
      <c r="E254" s="8"/>
      <c r="F254" t="str" s="15">
        <f aca="0">IF(B254="","",IF(H254="","확인필요(입력누락)",IF(SUMPRODUCT((실물목록!$P$2:$P$1001&lt;&gt;"")*ISNUMBER(SEARCH(실물목록!$P$2:$P$1001,I254))*(실물목록!$Q$2:$Q$1001&lt;&gt;"")*ISNUMBER(SEARCH(실물목록!$Q$2:$Q$1001,I254))*(실물목록!$R$2:$R$1001="")*(실물목록!$O$2:$O$1001&lt;&gt;"")*(실물목록!$O$2:$O$1001=H254))&gt;0,"실물 있음",IF(SUMPRODUCT((실물목록!$P$2:$P$1001&lt;&gt;"")*ISNUMBER(SEARCH(실물목록!$P$2:$P$1001,I254))*(실물목록!$R$2:$R$1001&lt;&gt;""))&gt;0,"확인필요(입력누락)",IF(SUMPRODUCT((실물목록!$P$2:$P$1001&lt;&gt;"")*ISNUMBER(SEARCH(실물목록!$P$2:$P$1001,I254))*(실물목록!$Q$2:$Q$1001&lt;&gt;"")*ISNUMBER(SEARCH(실물목록!$Q$2:$Q$1001,I254))*(실물목록!$R$2:$R$1001="")*(실물목록!$O$2:$O$1001&lt;&gt;""))&gt;0,"확인필요(연도다름)","실물 없음")))))</f>
      </c>
      <c r="G254" t="n" s="16">
        <f aca="0">IF(B254="","",SUMPRODUCT((실물목록!$P$2:$P$1001&lt;&gt;"")*ISNUMBER(SEARCH(실물목록!$P$2:$P$1001,I254))*(실물목록!$Q$2:$Q$1001&lt;&gt;"")*ISNUMBER(SEARCH(실물목록!$Q$2:$Q$1001,I254))*(실물목록!$R$2:$R$1001="")*(실물목록!$O$2:$O$1001&lt;&gt;"")*(실물목록!$O$2:$O$1001=H254)))</f>
      </c>
      <c r="H254" t="str">
        <f>IFERROR(IF(AND(LEN(SUBSTITUTE(SUBSTITUTE(SUBSTITUTE(TRIM(A254&amp;""),CHAR(160),"")," ",""),"년",""))=4,VALUE(SUBSTITUTE(SUBSTITUTE(SUBSTITUTE(TRIM(A254&amp;""),CHAR(160),"")," ",""),"년",""))&gt;=1900,VALUE(SUBSTITUTE(SUBSTITUTE(SUBSTITUTE(TRIM(A254&amp;""),CHAR(160),"")," ",""),"년",""))&lt;=2099,TEXT(VALUE(SUBSTITUTE(SUBSTITUTE(SUBSTITUTE(TRIM(A254&amp;""),CHAR(160),"")," ",""),"년","")),"0000")=SUBSTITUTE(SUBSTITUTE(SUBSTITUTE(TRIM(A254&amp;""),CHAR(160),"")," ",""),"년","")),SUBSTITUTE(SUBSTITUTE(SUBSTITUTE(TRIM(A254&amp;""),CHAR(160),"")," ",""),"년",""),""),"")</f>
      </c>
      <c r="I254" t="str">
        <f>SUBSTITUTE(SUBSTITUTE(SUBSTITUTE(SUBSTITUTE(SUBSTITUTE(TRIM(B254&amp;""),CHAR(160),"")," ",""),"초등학교","초"),"중학교","중"),"고등학교","고")</f>
      </c>
    </row>
    <row r="255" customFormat="false" ht="15" hidden="false" customHeight="false" outlineLevel="0" collapsed="false">
      <c r="A255" s="8"/>
      <c r="B255" s="8"/>
      <c r="C255" s="8"/>
      <c r="D255" s="8"/>
      <c r="E255" s="8"/>
      <c r="F255" t="str" s="15">
        <f aca="0">IF(B255="","",IF(H255="","확인필요(입력누락)",IF(SUMPRODUCT((실물목록!$P$2:$P$1001&lt;&gt;"")*ISNUMBER(SEARCH(실물목록!$P$2:$P$1001,I255))*(실물목록!$Q$2:$Q$1001&lt;&gt;"")*ISNUMBER(SEARCH(실물목록!$Q$2:$Q$1001,I255))*(실물목록!$R$2:$R$1001="")*(실물목록!$O$2:$O$1001&lt;&gt;"")*(실물목록!$O$2:$O$1001=H255))&gt;0,"실물 있음",IF(SUMPRODUCT((실물목록!$P$2:$P$1001&lt;&gt;"")*ISNUMBER(SEARCH(실물목록!$P$2:$P$1001,I255))*(실물목록!$R$2:$R$1001&lt;&gt;""))&gt;0,"확인필요(입력누락)",IF(SUMPRODUCT((실물목록!$P$2:$P$1001&lt;&gt;"")*ISNUMBER(SEARCH(실물목록!$P$2:$P$1001,I255))*(실물목록!$Q$2:$Q$1001&lt;&gt;"")*ISNUMBER(SEARCH(실물목록!$Q$2:$Q$1001,I255))*(실물목록!$R$2:$R$1001="")*(실물목록!$O$2:$O$1001&lt;&gt;""))&gt;0,"확인필요(연도다름)","실물 없음")))))</f>
      </c>
      <c r="G255" t="n" s="16">
        <f aca="0">IF(B255="","",SUMPRODUCT((실물목록!$P$2:$P$1001&lt;&gt;"")*ISNUMBER(SEARCH(실물목록!$P$2:$P$1001,I255))*(실물목록!$Q$2:$Q$1001&lt;&gt;"")*ISNUMBER(SEARCH(실물목록!$Q$2:$Q$1001,I255))*(실물목록!$R$2:$R$1001="")*(실물목록!$O$2:$O$1001&lt;&gt;"")*(실물목록!$O$2:$O$1001=H255)))</f>
      </c>
      <c r="H255" t="str">
        <f>IFERROR(IF(AND(LEN(SUBSTITUTE(SUBSTITUTE(SUBSTITUTE(TRIM(A255&amp;""),CHAR(160),"")," ",""),"년",""))=4,VALUE(SUBSTITUTE(SUBSTITUTE(SUBSTITUTE(TRIM(A255&amp;""),CHAR(160),"")," ",""),"년",""))&gt;=1900,VALUE(SUBSTITUTE(SUBSTITUTE(SUBSTITUTE(TRIM(A255&amp;""),CHAR(160),"")," ",""),"년",""))&lt;=2099,TEXT(VALUE(SUBSTITUTE(SUBSTITUTE(SUBSTITUTE(TRIM(A255&amp;""),CHAR(160),"")," ",""),"년","")),"0000")=SUBSTITUTE(SUBSTITUTE(SUBSTITUTE(TRIM(A255&amp;""),CHAR(160),"")," ",""),"년","")),SUBSTITUTE(SUBSTITUTE(SUBSTITUTE(TRIM(A255&amp;""),CHAR(160),"")," ",""),"년",""),""),"")</f>
      </c>
      <c r="I255" t="str">
        <f>SUBSTITUTE(SUBSTITUTE(SUBSTITUTE(SUBSTITUTE(SUBSTITUTE(TRIM(B255&amp;""),CHAR(160),"")," ",""),"초등학교","초"),"중학교","중"),"고등학교","고")</f>
      </c>
    </row>
    <row r="256" customFormat="false" ht="15" hidden="false" customHeight="false" outlineLevel="0" collapsed="false">
      <c r="A256" s="8"/>
      <c r="B256" s="8"/>
      <c r="C256" s="8"/>
      <c r="D256" s="8"/>
      <c r="E256" s="8"/>
      <c r="F256" t="str" s="15">
        <f aca="0">IF(B256="","",IF(H256="","확인필요(입력누락)",IF(SUMPRODUCT((실물목록!$P$2:$P$1001&lt;&gt;"")*ISNUMBER(SEARCH(실물목록!$P$2:$P$1001,I256))*(실물목록!$Q$2:$Q$1001&lt;&gt;"")*ISNUMBER(SEARCH(실물목록!$Q$2:$Q$1001,I256))*(실물목록!$R$2:$R$1001="")*(실물목록!$O$2:$O$1001&lt;&gt;"")*(실물목록!$O$2:$O$1001=H256))&gt;0,"실물 있음",IF(SUMPRODUCT((실물목록!$P$2:$P$1001&lt;&gt;"")*ISNUMBER(SEARCH(실물목록!$P$2:$P$1001,I256))*(실물목록!$R$2:$R$1001&lt;&gt;""))&gt;0,"확인필요(입력누락)",IF(SUMPRODUCT((실물목록!$P$2:$P$1001&lt;&gt;"")*ISNUMBER(SEARCH(실물목록!$P$2:$P$1001,I256))*(실물목록!$Q$2:$Q$1001&lt;&gt;"")*ISNUMBER(SEARCH(실물목록!$Q$2:$Q$1001,I256))*(실물목록!$R$2:$R$1001="")*(실물목록!$O$2:$O$1001&lt;&gt;""))&gt;0,"확인필요(연도다름)","실물 없음")))))</f>
      </c>
      <c r="G256" t="n" s="16">
        <f aca="0">IF(B256="","",SUMPRODUCT((실물목록!$P$2:$P$1001&lt;&gt;"")*ISNUMBER(SEARCH(실물목록!$P$2:$P$1001,I256))*(실물목록!$Q$2:$Q$1001&lt;&gt;"")*ISNUMBER(SEARCH(실물목록!$Q$2:$Q$1001,I256))*(실물목록!$R$2:$R$1001="")*(실물목록!$O$2:$O$1001&lt;&gt;"")*(실물목록!$O$2:$O$1001=H256)))</f>
      </c>
      <c r="H256" t="str">
        <f>IFERROR(IF(AND(LEN(SUBSTITUTE(SUBSTITUTE(SUBSTITUTE(TRIM(A256&amp;""),CHAR(160),"")," ",""),"년",""))=4,VALUE(SUBSTITUTE(SUBSTITUTE(SUBSTITUTE(TRIM(A256&amp;""),CHAR(160),"")," ",""),"년",""))&gt;=1900,VALUE(SUBSTITUTE(SUBSTITUTE(SUBSTITUTE(TRIM(A256&amp;""),CHAR(160),"")," ",""),"년",""))&lt;=2099,TEXT(VALUE(SUBSTITUTE(SUBSTITUTE(SUBSTITUTE(TRIM(A256&amp;""),CHAR(160),"")," ",""),"년","")),"0000")=SUBSTITUTE(SUBSTITUTE(SUBSTITUTE(TRIM(A256&amp;""),CHAR(160),"")," ",""),"년","")),SUBSTITUTE(SUBSTITUTE(SUBSTITUTE(TRIM(A256&amp;""),CHAR(160),"")," ",""),"년",""),""),"")</f>
      </c>
      <c r="I256" t="str">
        <f>SUBSTITUTE(SUBSTITUTE(SUBSTITUTE(SUBSTITUTE(SUBSTITUTE(TRIM(B256&amp;""),CHAR(160),"")," ",""),"초등학교","초"),"중학교","중"),"고등학교","고")</f>
      </c>
    </row>
    <row r="257" customFormat="false" ht="15" hidden="false" customHeight="false" outlineLevel="0" collapsed="false">
      <c r="A257" s="8"/>
      <c r="B257" s="8"/>
      <c r="C257" s="8"/>
      <c r="D257" s="8"/>
      <c r="E257" s="8"/>
      <c r="F257" t="str" s="15">
        <f aca="0">IF(B257="","",IF(H257="","확인필요(입력누락)",IF(SUMPRODUCT((실물목록!$P$2:$P$1001&lt;&gt;"")*ISNUMBER(SEARCH(실물목록!$P$2:$P$1001,I257))*(실물목록!$Q$2:$Q$1001&lt;&gt;"")*ISNUMBER(SEARCH(실물목록!$Q$2:$Q$1001,I257))*(실물목록!$R$2:$R$1001="")*(실물목록!$O$2:$O$1001&lt;&gt;"")*(실물목록!$O$2:$O$1001=H257))&gt;0,"실물 있음",IF(SUMPRODUCT((실물목록!$P$2:$P$1001&lt;&gt;"")*ISNUMBER(SEARCH(실물목록!$P$2:$P$1001,I257))*(실물목록!$R$2:$R$1001&lt;&gt;""))&gt;0,"확인필요(입력누락)",IF(SUMPRODUCT((실물목록!$P$2:$P$1001&lt;&gt;"")*ISNUMBER(SEARCH(실물목록!$P$2:$P$1001,I257))*(실물목록!$Q$2:$Q$1001&lt;&gt;"")*ISNUMBER(SEARCH(실물목록!$Q$2:$Q$1001,I257))*(실물목록!$R$2:$R$1001="")*(실물목록!$O$2:$O$1001&lt;&gt;""))&gt;0,"확인필요(연도다름)","실물 없음")))))</f>
      </c>
      <c r="G257" t="n" s="16">
        <f aca="0">IF(B257="","",SUMPRODUCT((실물목록!$P$2:$P$1001&lt;&gt;"")*ISNUMBER(SEARCH(실물목록!$P$2:$P$1001,I257))*(실물목록!$Q$2:$Q$1001&lt;&gt;"")*ISNUMBER(SEARCH(실물목록!$Q$2:$Q$1001,I257))*(실물목록!$R$2:$R$1001="")*(실물목록!$O$2:$O$1001&lt;&gt;"")*(실물목록!$O$2:$O$1001=H257)))</f>
      </c>
      <c r="H257" t="str">
        <f>IFERROR(IF(AND(LEN(SUBSTITUTE(SUBSTITUTE(SUBSTITUTE(TRIM(A257&amp;""),CHAR(160),"")," ",""),"년",""))=4,VALUE(SUBSTITUTE(SUBSTITUTE(SUBSTITUTE(TRIM(A257&amp;""),CHAR(160),"")," ",""),"년",""))&gt;=1900,VALUE(SUBSTITUTE(SUBSTITUTE(SUBSTITUTE(TRIM(A257&amp;""),CHAR(160),"")," ",""),"년",""))&lt;=2099,TEXT(VALUE(SUBSTITUTE(SUBSTITUTE(SUBSTITUTE(TRIM(A257&amp;""),CHAR(160),"")," ",""),"년","")),"0000")=SUBSTITUTE(SUBSTITUTE(SUBSTITUTE(TRIM(A257&amp;""),CHAR(160),"")," ",""),"년","")),SUBSTITUTE(SUBSTITUTE(SUBSTITUTE(TRIM(A257&amp;""),CHAR(160),"")," ",""),"년",""),""),"")</f>
      </c>
      <c r="I257" t="str">
        <f>SUBSTITUTE(SUBSTITUTE(SUBSTITUTE(SUBSTITUTE(SUBSTITUTE(TRIM(B257&amp;""),CHAR(160),"")," ",""),"초등학교","초"),"중학교","중"),"고등학교","고")</f>
      </c>
    </row>
    <row r="258" customFormat="false" ht="15" hidden="false" customHeight="false" outlineLevel="0" collapsed="false">
      <c r="A258" s="8"/>
      <c r="B258" s="8"/>
      <c r="C258" s="8"/>
      <c r="D258" s="8"/>
      <c r="E258" s="8"/>
      <c r="F258" t="str" s="15">
        <f aca="0">IF(B258="","",IF(H258="","확인필요(입력누락)",IF(SUMPRODUCT((실물목록!$P$2:$P$1001&lt;&gt;"")*ISNUMBER(SEARCH(실물목록!$P$2:$P$1001,I258))*(실물목록!$Q$2:$Q$1001&lt;&gt;"")*ISNUMBER(SEARCH(실물목록!$Q$2:$Q$1001,I258))*(실물목록!$R$2:$R$1001="")*(실물목록!$O$2:$O$1001&lt;&gt;"")*(실물목록!$O$2:$O$1001=H258))&gt;0,"실물 있음",IF(SUMPRODUCT((실물목록!$P$2:$P$1001&lt;&gt;"")*ISNUMBER(SEARCH(실물목록!$P$2:$P$1001,I258))*(실물목록!$R$2:$R$1001&lt;&gt;""))&gt;0,"확인필요(입력누락)",IF(SUMPRODUCT((실물목록!$P$2:$P$1001&lt;&gt;"")*ISNUMBER(SEARCH(실물목록!$P$2:$P$1001,I258))*(실물목록!$Q$2:$Q$1001&lt;&gt;"")*ISNUMBER(SEARCH(실물목록!$Q$2:$Q$1001,I258))*(실물목록!$R$2:$R$1001="")*(실물목록!$O$2:$O$1001&lt;&gt;""))&gt;0,"확인필요(연도다름)","실물 없음")))))</f>
      </c>
      <c r="G258" t="n" s="16">
        <f aca="0">IF(B258="","",SUMPRODUCT((실물목록!$P$2:$P$1001&lt;&gt;"")*ISNUMBER(SEARCH(실물목록!$P$2:$P$1001,I258))*(실물목록!$Q$2:$Q$1001&lt;&gt;"")*ISNUMBER(SEARCH(실물목록!$Q$2:$Q$1001,I258))*(실물목록!$R$2:$R$1001="")*(실물목록!$O$2:$O$1001&lt;&gt;"")*(실물목록!$O$2:$O$1001=H258)))</f>
      </c>
      <c r="H258" t="str">
        <f>IFERROR(IF(AND(LEN(SUBSTITUTE(SUBSTITUTE(SUBSTITUTE(TRIM(A258&amp;""),CHAR(160),"")," ",""),"년",""))=4,VALUE(SUBSTITUTE(SUBSTITUTE(SUBSTITUTE(TRIM(A258&amp;""),CHAR(160),"")," ",""),"년",""))&gt;=1900,VALUE(SUBSTITUTE(SUBSTITUTE(SUBSTITUTE(TRIM(A258&amp;""),CHAR(160),"")," ",""),"년",""))&lt;=2099,TEXT(VALUE(SUBSTITUTE(SUBSTITUTE(SUBSTITUTE(TRIM(A258&amp;""),CHAR(160),"")," ",""),"년","")),"0000")=SUBSTITUTE(SUBSTITUTE(SUBSTITUTE(TRIM(A258&amp;""),CHAR(160),"")," ",""),"년","")),SUBSTITUTE(SUBSTITUTE(SUBSTITUTE(TRIM(A258&amp;""),CHAR(160),"")," ",""),"년",""),""),"")</f>
      </c>
      <c r="I258" t="str">
        <f>SUBSTITUTE(SUBSTITUTE(SUBSTITUTE(SUBSTITUTE(SUBSTITUTE(TRIM(B258&amp;""),CHAR(160),"")," ",""),"초등학교","초"),"중학교","중"),"고등학교","고")</f>
      </c>
    </row>
    <row r="259" customFormat="false" ht="15" hidden="false" customHeight="false" outlineLevel="0" collapsed="false">
      <c r="A259" s="8"/>
      <c r="B259" s="8"/>
      <c r="C259" s="8"/>
      <c r="D259" s="8"/>
      <c r="E259" s="8"/>
      <c r="F259" t="str" s="15">
        <f aca="0">IF(B259="","",IF(H259="","확인필요(입력누락)",IF(SUMPRODUCT((실물목록!$P$2:$P$1001&lt;&gt;"")*ISNUMBER(SEARCH(실물목록!$P$2:$P$1001,I259))*(실물목록!$Q$2:$Q$1001&lt;&gt;"")*ISNUMBER(SEARCH(실물목록!$Q$2:$Q$1001,I259))*(실물목록!$R$2:$R$1001="")*(실물목록!$O$2:$O$1001&lt;&gt;"")*(실물목록!$O$2:$O$1001=H259))&gt;0,"실물 있음",IF(SUMPRODUCT((실물목록!$P$2:$P$1001&lt;&gt;"")*ISNUMBER(SEARCH(실물목록!$P$2:$P$1001,I259))*(실물목록!$R$2:$R$1001&lt;&gt;""))&gt;0,"확인필요(입력누락)",IF(SUMPRODUCT((실물목록!$P$2:$P$1001&lt;&gt;"")*ISNUMBER(SEARCH(실물목록!$P$2:$P$1001,I259))*(실물목록!$Q$2:$Q$1001&lt;&gt;"")*ISNUMBER(SEARCH(실물목록!$Q$2:$Q$1001,I259))*(실물목록!$R$2:$R$1001="")*(실물목록!$O$2:$O$1001&lt;&gt;""))&gt;0,"확인필요(연도다름)","실물 없음")))))</f>
      </c>
      <c r="G259" t="n" s="16">
        <f aca="0">IF(B259="","",SUMPRODUCT((실물목록!$P$2:$P$1001&lt;&gt;"")*ISNUMBER(SEARCH(실물목록!$P$2:$P$1001,I259))*(실물목록!$Q$2:$Q$1001&lt;&gt;"")*ISNUMBER(SEARCH(실물목록!$Q$2:$Q$1001,I259))*(실물목록!$R$2:$R$1001="")*(실물목록!$O$2:$O$1001&lt;&gt;"")*(실물목록!$O$2:$O$1001=H259)))</f>
      </c>
      <c r="H259" t="str">
        <f>IFERROR(IF(AND(LEN(SUBSTITUTE(SUBSTITUTE(SUBSTITUTE(TRIM(A259&amp;""),CHAR(160),"")," ",""),"년",""))=4,VALUE(SUBSTITUTE(SUBSTITUTE(SUBSTITUTE(TRIM(A259&amp;""),CHAR(160),"")," ",""),"년",""))&gt;=1900,VALUE(SUBSTITUTE(SUBSTITUTE(SUBSTITUTE(TRIM(A259&amp;""),CHAR(160),"")," ",""),"년",""))&lt;=2099,TEXT(VALUE(SUBSTITUTE(SUBSTITUTE(SUBSTITUTE(TRIM(A259&amp;""),CHAR(160),"")," ",""),"년","")),"0000")=SUBSTITUTE(SUBSTITUTE(SUBSTITUTE(TRIM(A259&amp;""),CHAR(160),"")," ",""),"년","")),SUBSTITUTE(SUBSTITUTE(SUBSTITUTE(TRIM(A259&amp;""),CHAR(160),"")," ",""),"년",""),""),"")</f>
      </c>
      <c r="I259" t="str">
        <f>SUBSTITUTE(SUBSTITUTE(SUBSTITUTE(SUBSTITUTE(SUBSTITUTE(TRIM(B259&amp;""),CHAR(160),"")," ",""),"초등학교","초"),"중학교","중"),"고등학교","고")</f>
      </c>
    </row>
    <row r="260" customFormat="false" ht="15" hidden="false" customHeight="false" outlineLevel="0" collapsed="false">
      <c r="A260" s="8"/>
      <c r="B260" s="8"/>
      <c r="C260" s="8"/>
      <c r="D260" s="8"/>
      <c r="E260" s="8"/>
      <c r="F260" t="str" s="15">
        <f aca="0">IF(B260="","",IF(H260="","확인필요(입력누락)",IF(SUMPRODUCT((실물목록!$P$2:$P$1001&lt;&gt;"")*ISNUMBER(SEARCH(실물목록!$P$2:$P$1001,I260))*(실물목록!$Q$2:$Q$1001&lt;&gt;"")*ISNUMBER(SEARCH(실물목록!$Q$2:$Q$1001,I260))*(실물목록!$R$2:$R$1001="")*(실물목록!$O$2:$O$1001&lt;&gt;"")*(실물목록!$O$2:$O$1001=H260))&gt;0,"실물 있음",IF(SUMPRODUCT((실물목록!$P$2:$P$1001&lt;&gt;"")*ISNUMBER(SEARCH(실물목록!$P$2:$P$1001,I260))*(실물목록!$R$2:$R$1001&lt;&gt;""))&gt;0,"확인필요(입력누락)",IF(SUMPRODUCT((실물목록!$P$2:$P$1001&lt;&gt;"")*ISNUMBER(SEARCH(실물목록!$P$2:$P$1001,I260))*(실물목록!$Q$2:$Q$1001&lt;&gt;"")*ISNUMBER(SEARCH(실물목록!$Q$2:$Q$1001,I260))*(실물목록!$R$2:$R$1001="")*(실물목록!$O$2:$O$1001&lt;&gt;""))&gt;0,"확인필요(연도다름)","실물 없음")))))</f>
      </c>
      <c r="G260" t="n" s="16">
        <f aca="0">IF(B260="","",SUMPRODUCT((실물목록!$P$2:$P$1001&lt;&gt;"")*ISNUMBER(SEARCH(실물목록!$P$2:$P$1001,I260))*(실물목록!$Q$2:$Q$1001&lt;&gt;"")*ISNUMBER(SEARCH(실물목록!$Q$2:$Q$1001,I260))*(실물목록!$R$2:$R$1001="")*(실물목록!$O$2:$O$1001&lt;&gt;"")*(실물목록!$O$2:$O$1001=H260)))</f>
      </c>
      <c r="H260" t="str">
        <f>IFERROR(IF(AND(LEN(SUBSTITUTE(SUBSTITUTE(SUBSTITUTE(TRIM(A260&amp;""),CHAR(160),"")," ",""),"년",""))=4,VALUE(SUBSTITUTE(SUBSTITUTE(SUBSTITUTE(TRIM(A260&amp;""),CHAR(160),"")," ",""),"년",""))&gt;=1900,VALUE(SUBSTITUTE(SUBSTITUTE(SUBSTITUTE(TRIM(A260&amp;""),CHAR(160),"")," ",""),"년",""))&lt;=2099,TEXT(VALUE(SUBSTITUTE(SUBSTITUTE(SUBSTITUTE(TRIM(A260&amp;""),CHAR(160),"")," ",""),"년","")),"0000")=SUBSTITUTE(SUBSTITUTE(SUBSTITUTE(TRIM(A260&amp;""),CHAR(160),"")," ",""),"년","")),SUBSTITUTE(SUBSTITUTE(SUBSTITUTE(TRIM(A260&amp;""),CHAR(160),"")," ",""),"년",""),""),"")</f>
      </c>
      <c r="I260" t="str">
        <f>SUBSTITUTE(SUBSTITUTE(SUBSTITUTE(SUBSTITUTE(SUBSTITUTE(TRIM(B260&amp;""),CHAR(160),"")," ",""),"초등학교","초"),"중학교","중"),"고등학교","고")</f>
      </c>
    </row>
    <row r="261" customFormat="false" ht="15" hidden="false" customHeight="false" outlineLevel="0" collapsed="false">
      <c r="A261" s="8"/>
      <c r="B261" s="8"/>
      <c r="C261" s="8"/>
      <c r="D261" s="8"/>
      <c r="E261" s="8"/>
      <c r="F261" t="str" s="15">
        <f aca="0">IF(B261="","",IF(H261="","확인필요(입력누락)",IF(SUMPRODUCT((실물목록!$P$2:$P$1001&lt;&gt;"")*ISNUMBER(SEARCH(실물목록!$P$2:$P$1001,I261))*(실물목록!$Q$2:$Q$1001&lt;&gt;"")*ISNUMBER(SEARCH(실물목록!$Q$2:$Q$1001,I261))*(실물목록!$R$2:$R$1001="")*(실물목록!$O$2:$O$1001&lt;&gt;"")*(실물목록!$O$2:$O$1001=H261))&gt;0,"실물 있음",IF(SUMPRODUCT((실물목록!$P$2:$P$1001&lt;&gt;"")*ISNUMBER(SEARCH(실물목록!$P$2:$P$1001,I261))*(실물목록!$R$2:$R$1001&lt;&gt;""))&gt;0,"확인필요(입력누락)",IF(SUMPRODUCT((실물목록!$P$2:$P$1001&lt;&gt;"")*ISNUMBER(SEARCH(실물목록!$P$2:$P$1001,I261))*(실물목록!$Q$2:$Q$1001&lt;&gt;"")*ISNUMBER(SEARCH(실물목록!$Q$2:$Q$1001,I261))*(실물목록!$R$2:$R$1001="")*(실물목록!$O$2:$O$1001&lt;&gt;""))&gt;0,"확인필요(연도다름)","실물 없음")))))</f>
      </c>
      <c r="G261" t="n" s="16">
        <f aca="0">IF(B261="","",SUMPRODUCT((실물목록!$P$2:$P$1001&lt;&gt;"")*ISNUMBER(SEARCH(실물목록!$P$2:$P$1001,I261))*(실물목록!$Q$2:$Q$1001&lt;&gt;"")*ISNUMBER(SEARCH(실물목록!$Q$2:$Q$1001,I261))*(실물목록!$R$2:$R$1001="")*(실물목록!$O$2:$O$1001&lt;&gt;"")*(실물목록!$O$2:$O$1001=H261)))</f>
      </c>
      <c r="H261" t="str">
        <f>IFERROR(IF(AND(LEN(SUBSTITUTE(SUBSTITUTE(SUBSTITUTE(TRIM(A261&amp;""),CHAR(160),"")," ",""),"년",""))=4,VALUE(SUBSTITUTE(SUBSTITUTE(SUBSTITUTE(TRIM(A261&amp;""),CHAR(160),"")," ",""),"년",""))&gt;=1900,VALUE(SUBSTITUTE(SUBSTITUTE(SUBSTITUTE(TRIM(A261&amp;""),CHAR(160),"")," ",""),"년",""))&lt;=2099,TEXT(VALUE(SUBSTITUTE(SUBSTITUTE(SUBSTITUTE(TRIM(A261&amp;""),CHAR(160),"")," ",""),"년","")),"0000")=SUBSTITUTE(SUBSTITUTE(SUBSTITUTE(TRIM(A261&amp;""),CHAR(160),"")," ",""),"년","")),SUBSTITUTE(SUBSTITUTE(SUBSTITUTE(TRIM(A261&amp;""),CHAR(160),"")," ",""),"년",""),""),"")</f>
      </c>
      <c r="I261" t="str">
        <f>SUBSTITUTE(SUBSTITUTE(SUBSTITUTE(SUBSTITUTE(SUBSTITUTE(TRIM(B261&amp;""),CHAR(160),"")," ",""),"초등학교","초"),"중학교","중"),"고등학교","고")</f>
      </c>
    </row>
    <row r="262" customFormat="false" ht="15" hidden="false" customHeight="false" outlineLevel="0" collapsed="false">
      <c r="A262" s="8"/>
      <c r="B262" s="8"/>
      <c r="C262" s="8"/>
      <c r="D262" s="8"/>
      <c r="E262" s="8"/>
      <c r="F262" t="str" s="15">
        <f aca="0">IF(B262="","",IF(H262="","확인필요(입력누락)",IF(SUMPRODUCT((실물목록!$P$2:$P$1001&lt;&gt;"")*ISNUMBER(SEARCH(실물목록!$P$2:$P$1001,I262))*(실물목록!$Q$2:$Q$1001&lt;&gt;"")*ISNUMBER(SEARCH(실물목록!$Q$2:$Q$1001,I262))*(실물목록!$R$2:$R$1001="")*(실물목록!$O$2:$O$1001&lt;&gt;"")*(실물목록!$O$2:$O$1001=H262))&gt;0,"실물 있음",IF(SUMPRODUCT((실물목록!$P$2:$P$1001&lt;&gt;"")*ISNUMBER(SEARCH(실물목록!$P$2:$P$1001,I262))*(실물목록!$R$2:$R$1001&lt;&gt;""))&gt;0,"확인필요(입력누락)",IF(SUMPRODUCT((실물목록!$P$2:$P$1001&lt;&gt;"")*ISNUMBER(SEARCH(실물목록!$P$2:$P$1001,I262))*(실물목록!$Q$2:$Q$1001&lt;&gt;"")*ISNUMBER(SEARCH(실물목록!$Q$2:$Q$1001,I262))*(실물목록!$R$2:$R$1001="")*(실물목록!$O$2:$O$1001&lt;&gt;""))&gt;0,"확인필요(연도다름)","실물 없음")))))</f>
      </c>
      <c r="G262" t="n" s="16">
        <f aca="0">IF(B262="","",SUMPRODUCT((실물목록!$P$2:$P$1001&lt;&gt;"")*ISNUMBER(SEARCH(실물목록!$P$2:$P$1001,I262))*(실물목록!$Q$2:$Q$1001&lt;&gt;"")*ISNUMBER(SEARCH(실물목록!$Q$2:$Q$1001,I262))*(실물목록!$R$2:$R$1001="")*(실물목록!$O$2:$O$1001&lt;&gt;"")*(실물목록!$O$2:$O$1001=H262)))</f>
      </c>
      <c r="H262" t="str">
        <f>IFERROR(IF(AND(LEN(SUBSTITUTE(SUBSTITUTE(SUBSTITUTE(TRIM(A262&amp;""),CHAR(160),"")," ",""),"년",""))=4,VALUE(SUBSTITUTE(SUBSTITUTE(SUBSTITUTE(TRIM(A262&amp;""),CHAR(160),"")," ",""),"년",""))&gt;=1900,VALUE(SUBSTITUTE(SUBSTITUTE(SUBSTITUTE(TRIM(A262&amp;""),CHAR(160),"")," ",""),"년",""))&lt;=2099,TEXT(VALUE(SUBSTITUTE(SUBSTITUTE(SUBSTITUTE(TRIM(A262&amp;""),CHAR(160),"")," ",""),"년","")),"0000")=SUBSTITUTE(SUBSTITUTE(SUBSTITUTE(TRIM(A262&amp;""),CHAR(160),"")," ",""),"년","")),SUBSTITUTE(SUBSTITUTE(SUBSTITUTE(TRIM(A262&amp;""),CHAR(160),"")," ",""),"년",""),""),"")</f>
      </c>
      <c r="I262" t="str">
        <f>SUBSTITUTE(SUBSTITUTE(SUBSTITUTE(SUBSTITUTE(SUBSTITUTE(TRIM(B262&amp;""),CHAR(160),"")," ",""),"초등학교","초"),"중학교","중"),"고등학교","고")</f>
      </c>
    </row>
    <row r="263" customFormat="false" ht="15" hidden="false" customHeight="false" outlineLevel="0" collapsed="false">
      <c r="A263" s="8"/>
      <c r="B263" s="8"/>
      <c r="C263" s="8"/>
      <c r="D263" s="8"/>
      <c r="E263" s="8"/>
      <c r="F263" t="str" s="15">
        <f aca="0">IF(B263="","",IF(H263="","확인필요(입력누락)",IF(SUMPRODUCT((실물목록!$P$2:$P$1001&lt;&gt;"")*ISNUMBER(SEARCH(실물목록!$P$2:$P$1001,I263))*(실물목록!$Q$2:$Q$1001&lt;&gt;"")*ISNUMBER(SEARCH(실물목록!$Q$2:$Q$1001,I263))*(실물목록!$R$2:$R$1001="")*(실물목록!$O$2:$O$1001&lt;&gt;"")*(실물목록!$O$2:$O$1001=H263))&gt;0,"실물 있음",IF(SUMPRODUCT((실물목록!$P$2:$P$1001&lt;&gt;"")*ISNUMBER(SEARCH(실물목록!$P$2:$P$1001,I263))*(실물목록!$R$2:$R$1001&lt;&gt;""))&gt;0,"확인필요(입력누락)",IF(SUMPRODUCT((실물목록!$P$2:$P$1001&lt;&gt;"")*ISNUMBER(SEARCH(실물목록!$P$2:$P$1001,I263))*(실물목록!$Q$2:$Q$1001&lt;&gt;"")*ISNUMBER(SEARCH(실물목록!$Q$2:$Q$1001,I263))*(실물목록!$R$2:$R$1001="")*(실물목록!$O$2:$O$1001&lt;&gt;""))&gt;0,"확인필요(연도다름)","실물 없음")))))</f>
      </c>
      <c r="G263" t="n" s="16">
        <f aca="0">IF(B263="","",SUMPRODUCT((실물목록!$P$2:$P$1001&lt;&gt;"")*ISNUMBER(SEARCH(실물목록!$P$2:$P$1001,I263))*(실물목록!$Q$2:$Q$1001&lt;&gt;"")*ISNUMBER(SEARCH(실물목록!$Q$2:$Q$1001,I263))*(실물목록!$R$2:$R$1001="")*(실물목록!$O$2:$O$1001&lt;&gt;"")*(실물목록!$O$2:$O$1001=H263)))</f>
      </c>
      <c r="H263" t="str">
        <f>IFERROR(IF(AND(LEN(SUBSTITUTE(SUBSTITUTE(SUBSTITUTE(TRIM(A263&amp;""),CHAR(160),"")," ",""),"년",""))=4,VALUE(SUBSTITUTE(SUBSTITUTE(SUBSTITUTE(TRIM(A263&amp;""),CHAR(160),"")," ",""),"년",""))&gt;=1900,VALUE(SUBSTITUTE(SUBSTITUTE(SUBSTITUTE(TRIM(A263&amp;""),CHAR(160),"")," ",""),"년",""))&lt;=2099,TEXT(VALUE(SUBSTITUTE(SUBSTITUTE(SUBSTITUTE(TRIM(A263&amp;""),CHAR(160),"")," ",""),"년","")),"0000")=SUBSTITUTE(SUBSTITUTE(SUBSTITUTE(TRIM(A263&amp;""),CHAR(160),"")," ",""),"년","")),SUBSTITUTE(SUBSTITUTE(SUBSTITUTE(TRIM(A263&amp;""),CHAR(160),"")," ",""),"년",""),""),"")</f>
      </c>
      <c r="I263" t="str">
        <f>SUBSTITUTE(SUBSTITUTE(SUBSTITUTE(SUBSTITUTE(SUBSTITUTE(TRIM(B263&amp;""),CHAR(160),"")," ",""),"초등학교","초"),"중학교","중"),"고등학교","고")</f>
      </c>
    </row>
    <row r="264" customFormat="false" ht="15" hidden="false" customHeight="false" outlineLevel="0" collapsed="false">
      <c r="A264" s="8"/>
      <c r="B264" s="8"/>
      <c r="C264" s="8"/>
      <c r="D264" s="8"/>
      <c r="E264" s="8"/>
      <c r="F264" t="str" s="15">
        <f aca="0">IF(B264="","",IF(H264="","확인필요(입력누락)",IF(SUMPRODUCT((실물목록!$P$2:$P$1001&lt;&gt;"")*ISNUMBER(SEARCH(실물목록!$P$2:$P$1001,I264))*(실물목록!$Q$2:$Q$1001&lt;&gt;"")*ISNUMBER(SEARCH(실물목록!$Q$2:$Q$1001,I264))*(실물목록!$R$2:$R$1001="")*(실물목록!$O$2:$O$1001&lt;&gt;"")*(실물목록!$O$2:$O$1001=H264))&gt;0,"실물 있음",IF(SUMPRODUCT((실물목록!$P$2:$P$1001&lt;&gt;"")*ISNUMBER(SEARCH(실물목록!$P$2:$P$1001,I264))*(실물목록!$R$2:$R$1001&lt;&gt;""))&gt;0,"확인필요(입력누락)",IF(SUMPRODUCT((실물목록!$P$2:$P$1001&lt;&gt;"")*ISNUMBER(SEARCH(실물목록!$P$2:$P$1001,I264))*(실물목록!$Q$2:$Q$1001&lt;&gt;"")*ISNUMBER(SEARCH(실물목록!$Q$2:$Q$1001,I264))*(실물목록!$R$2:$R$1001="")*(실물목록!$O$2:$O$1001&lt;&gt;""))&gt;0,"확인필요(연도다름)","실물 없음")))))</f>
      </c>
      <c r="G264" t="n" s="16">
        <f aca="0">IF(B264="","",SUMPRODUCT((실물목록!$P$2:$P$1001&lt;&gt;"")*ISNUMBER(SEARCH(실물목록!$P$2:$P$1001,I264))*(실물목록!$Q$2:$Q$1001&lt;&gt;"")*ISNUMBER(SEARCH(실물목록!$Q$2:$Q$1001,I264))*(실물목록!$R$2:$R$1001="")*(실물목록!$O$2:$O$1001&lt;&gt;"")*(실물목록!$O$2:$O$1001=H264)))</f>
      </c>
      <c r="H264" t="str">
        <f>IFERROR(IF(AND(LEN(SUBSTITUTE(SUBSTITUTE(SUBSTITUTE(TRIM(A264&amp;""),CHAR(160),"")," ",""),"년",""))=4,VALUE(SUBSTITUTE(SUBSTITUTE(SUBSTITUTE(TRIM(A264&amp;""),CHAR(160),"")," ",""),"년",""))&gt;=1900,VALUE(SUBSTITUTE(SUBSTITUTE(SUBSTITUTE(TRIM(A264&amp;""),CHAR(160),"")," ",""),"년",""))&lt;=2099,TEXT(VALUE(SUBSTITUTE(SUBSTITUTE(SUBSTITUTE(TRIM(A264&amp;""),CHAR(160),"")," ",""),"년","")),"0000")=SUBSTITUTE(SUBSTITUTE(SUBSTITUTE(TRIM(A264&amp;""),CHAR(160),"")," ",""),"년","")),SUBSTITUTE(SUBSTITUTE(SUBSTITUTE(TRIM(A264&amp;""),CHAR(160),"")," ",""),"년",""),""),"")</f>
      </c>
      <c r="I264" t="str">
        <f>SUBSTITUTE(SUBSTITUTE(SUBSTITUTE(SUBSTITUTE(SUBSTITUTE(TRIM(B264&amp;""),CHAR(160),"")," ",""),"초등학교","초"),"중학교","중"),"고등학교","고")</f>
      </c>
    </row>
    <row r="265" customFormat="false" ht="15" hidden="false" customHeight="false" outlineLevel="0" collapsed="false">
      <c r="A265" s="8"/>
      <c r="B265" s="8"/>
      <c r="C265" s="8"/>
      <c r="D265" s="8"/>
      <c r="E265" s="8"/>
      <c r="F265" t="str" s="15">
        <f aca="0">IF(B265="","",IF(H265="","확인필요(입력누락)",IF(SUMPRODUCT((실물목록!$P$2:$P$1001&lt;&gt;"")*ISNUMBER(SEARCH(실물목록!$P$2:$P$1001,I265))*(실물목록!$Q$2:$Q$1001&lt;&gt;"")*ISNUMBER(SEARCH(실물목록!$Q$2:$Q$1001,I265))*(실물목록!$R$2:$R$1001="")*(실물목록!$O$2:$O$1001&lt;&gt;"")*(실물목록!$O$2:$O$1001=H265))&gt;0,"실물 있음",IF(SUMPRODUCT((실물목록!$P$2:$P$1001&lt;&gt;"")*ISNUMBER(SEARCH(실물목록!$P$2:$P$1001,I265))*(실물목록!$R$2:$R$1001&lt;&gt;""))&gt;0,"확인필요(입력누락)",IF(SUMPRODUCT((실물목록!$P$2:$P$1001&lt;&gt;"")*ISNUMBER(SEARCH(실물목록!$P$2:$P$1001,I265))*(실물목록!$Q$2:$Q$1001&lt;&gt;"")*ISNUMBER(SEARCH(실물목록!$Q$2:$Q$1001,I265))*(실물목록!$R$2:$R$1001="")*(실물목록!$O$2:$O$1001&lt;&gt;""))&gt;0,"확인필요(연도다름)","실물 없음")))))</f>
      </c>
      <c r="G265" t="n" s="16">
        <f aca="0">IF(B265="","",SUMPRODUCT((실물목록!$P$2:$P$1001&lt;&gt;"")*ISNUMBER(SEARCH(실물목록!$P$2:$P$1001,I265))*(실물목록!$Q$2:$Q$1001&lt;&gt;"")*ISNUMBER(SEARCH(실물목록!$Q$2:$Q$1001,I265))*(실물목록!$R$2:$R$1001="")*(실물목록!$O$2:$O$1001&lt;&gt;"")*(실물목록!$O$2:$O$1001=H265)))</f>
      </c>
      <c r="H265" t="str">
        <f>IFERROR(IF(AND(LEN(SUBSTITUTE(SUBSTITUTE(SUBSTITUTE(TRIM(A265&amp;""),CHAR(160),"")," ",""),"년",""))=4,VALUE(SUBSTITUTE(SUBSTITUTE(SUBSTITUTE(TRIM(A265&amp;""),CHAR(160),"")," ",""),"년",""))&gt;=1900,VALUE(SUBSTITUTE(SUBSTITUTE(SUBSTITUTE(TRIM(A265&amp;""),CHAR(160),"")," ",""),"년",""))&lt;=2099,TEXT(VALUE(SUBSTITUTE(SUBSTITUTE(SUBSTITUTE(TRIM(A265&amp;""),CHAR(160),"")," ",""),"년","")),"0000")=SUBSTITUTE(SUBSTITUTE(SUBSTITUTE(TRIM(A265&amp;""),CHAR(160),"")," ",""),"년","")),SUBSTITUTE(SUBSTITUTE(SUBSTITUTE(TRIM(A265&amp;""),CHAR(160),"")," ",""),"년",""),""),"")</f>
      </c>
      <c r="I265" t="str">
        <f>SUBSTITUTE(SUBSTITUTE(SUBSTITUTE(SUBSTITUTE(SUBSTITUTE(TRIM(B265&amp;""),CHAR(160),"")," ",""),"초등학교","초"),"중학교","중"),"고등학교","고")</f>
      </c>
    </row>
    <row r="266" customFormat="false" ht="15" hidden="false" customHeight="false" outlineLevel="0" collapsed="false">
      <c r="A266" s="8"/>
      <c r="B266" s="8"/>
      <c r="C266" s="8"/>
      <c r="D266" s="8"/>
      <c r="E266" s="8"/>
      <c r="F266" t="str" s="15">
        <f aca="0">IF(B266="","",IF(H266="","확인필요(입력누락)",IF(SUMPRODUCT((실물목록!$P$2:$P$1001&lt;&gt;"")*ISNUMBER(SEARCH(실물목록!$P$2:$P$1001,I266))*(실물목록!$Q$2:$Q$1001&lt;&gt;"")*ISNUMBER(SEARCH(실물목록!$Q$2:$Q$1001,I266))*(실물목록!$R$2:$R$1001="")*(실물목록!$O$2:$O$1001&lt;&gt;"")*(실물목록!$O$2:$O$1001=H266))&gt;0,"실물 있음",IF(SUMPRODUCT((실물목록!$P$2:$P$1001&lt;&gt;"")*ISNUMBER(SEARCH(실물목록!$P$2:$P$1001,I266))*(실물목록!$R$2:$R$1001&lt;&gt;""))&gt;0,"확인필요(입력누락)",IF(SUMPRODUCT((실물목록!$P$2:$P$1001&lt;&gt;"")*ISNUMBER(SEARCH(실물목록!$P$2:$P$1001,I266))*(실물목록!$Q$2:$Q$1001&lt;&gt;"")*ISNUMBER(SEARCH(실물목록!$Q$2:$Q$1001,I266))*(실물목록!$R$2:$R$1001="")*(실물목록!$O$2:$O$1001&lt;&gt;""))&gt;0,"확인필요(연도다름)","실물 없음")))))</f>
      </c>
      <c r="G266" t="n" s="16">
        <f aca="0">IF(B266="","",SUMPRODUCT((실물목록!$P$2:$P$1001&lt;&gt;"")*ISNUMBER(SEARCH(실물목록!$P$2:$P$1001,I266))*(실물목록!$Q$2:$Q$1001&lt;&gt;"")*ISNUMBER(SEARCH(실물목록!$Q$2:$Q$1001,I266))*(실물목록!$R$2:$R$1001="")*(실물목록!$O$2:$O$1001&lt;&gt;"")*(실물목록!$O$2:$O$1001=H266)))</f>
      </c>
      <c r="H266" t="str">
        <f>IFERROR(IF(AND(LEN(SUBSTITUTE(SUBSTITUTE(SUBSTITUTE(TRIM(A266&amp;""),CHAR(160),"")," ",""),"년",""))=4,VALUE(SUBSTITUTE(SUBSTITUTE(SUBSTITUTE(TRIM(A266&amp;""),CHAR(160),"")," ",""),"년",""))&gt;=1900,VALUE(SUBSTITUTE(SUBSTITUTE(SUBSTITUTE(TRIM(A266&amp;""),CHAR(160),"")," ",""),"년",""))&lt;=2099,TEXT(VALUE(SUBSTITUTE(SUBSTITUTE(SUBSTITUTE(TRIM(A266&amp;""),CHAR(160),"")," ",""),"년","")),"0000")=SUBSTITUTE(SUBSTITUTE(SUBSTITUTE(TRIM(A266&amp;""),CHAR(160),"")," ",""),"년","")),SUBSTITUTE(SUBSTITUTE(SUBSTITUTE(TRIM(A266&amp;""),CHAR(160),"")," ",""),"년",""),""),"")</f>
      </c>
      <c r="I266" t="str">
        <f>SUBSTITUTE(SUBSTITUTE(SUBSTITUTE(SUBSTITUTE(SUBSTITUTE(TRIM(B266&amp;""),CHAR(160),"")," ",""),"초등학교","초"),"중학교","중"),"고등학교","고")</f>
      </c>
    </row>
    <row r="267" customFormat="false" ht="15" hidden="false" customHeight="false" outlineLevel="0" collapsed="false">
      <c r="A267" s="8"/>
      <c r="B267" s="8"/>
      <c r="C267" s="8"/>
      <c r="D267" s="8"/>
      <c r="E267" s="8"/>
      <c r="F267" t="str" s="15">
        <f aca="0">IF(B267="","",IF(H267="","확인필요(입력누락)",IF(SUMPRODUCT((실물목록!$P$2:$P$1001&lt;&gt;"")*ISNUMBER(SEARCH(실물목록!$P$2:$P$1001,I267))*(실물목록!$Q$2:$Q$1001&lt;&gt;"")*ISNUMBER(SEARCH(실물목록!$Q$2:$Q$1001,I267))*(실물목록!$R$2:$R$1001="")*(실물목록!$O$2:$O$1001&lt;&gt;"")*(실물목록!$O$2:$O$1001=H267))&gt;0,"실물 있음",IF(SUMPRODUCT((실물목록!$P$2:$P$1001&lt;&gt;"")*ISNUMBER(SEARCH(실물목록!$P$2:$P$1001,I267))*(실물목록!$R$2:$R$1001&lt;&gt;""))&gt;0,"확인필요(입력누락)",IF(SUMPRODUCT((실물목록!$P$2:$P$1001&lt;&gt;"")*ISNUMBER(SEARCH(실물목록!$P$2:$P$1001,I267))*(실물목록!$Q$2:$Q$1001&lt;&gt;"")*ISNUMBER(SEARCH(실물목록!$Q$2:$Q$1001,I267))*(실물목록!$R$2:$R$1001="")*(실물목록!$O$2:$O$1001&lt;&gt;""))&gt;0,"확인필요(연도다름)","실물 없음")))))</f>
      </c>
      <c r="G267" t="n" s="16">
        <f aca="0">IF(B267="","",SUMPRODUCT((실물목록!$P$2:$P$1001&lt;&gt;"")*ISNUMBER(SEARCH(실물목록!$P$2:$P$1001,I267))*(실물목록!$Q$2:$Q$1001&lt;&gt;"")*ISNUMBER(SEARCH(실물목록!$Q$2:$Q$1001,I267))*(실물목록!$R$2:$R$1001="")*(실물목록!$O$2:$O$1001&lt;&gt;"")*(실물목록!$O$2:$O$1001=H267)))</f>
      </c>
      <c r="H267" t="str">
        <f>IFERROR(IF(AND(LEN(SUBSTITUTE(SUBSTITUTE(SUBSTITUTE(TRIM(A267&amp;""),CHAR(160),"")," ",""),"년",""))=4,VALUE(SUBSTITUTE(SUBSTITUTE(SUBSTITUTE(TRIM(A267&amp;""),CHAR(160),"")," ",""),"년",""))&gt;=1900,VALUE(SUBSTITUTE(SUBSTITUTE(SUBSTITUTE(TRIM(A267&amp;""),CHAR(160),"")," ",""),"년",""))&lt;=2099,TEXT(VALUE(SUBSTITUTE(SUBSTITUTE(SUBSTITUTE(TRIM(A267&amp;""),CHAR(160),"")," ",""),"년","")),"0000")=SUBSTITUTE(SUBSTITUTE(SUBSTITUTE(TRIM(A267&amp;""),CHAR(160),"")," ",""),"년","")),SUBSTITUTE(SUBSTITUTE(SUBSTITUTE(TRIM(A267&amp;""),CHAR(160),"")," ",""),"년",""),""),"")</f>
      </c>
      <c r="I267" t="str">
        <f>SUBSTITUTE(SUBSTITUTE(SUBSTITUTE(SUBSTITUTE(SUBSTITUTE(TRIM(B267&amp;""),CHAR(160),"")," ",""),"초등학교","초"),"중학교","중"),"고등학교","고")</f>
      </c>
    </row>
    <row r="268" customFormat="false" ht="15" hidden="false" customHeight="false" outlineLevel="0" collapsed="false">
      <c r="A268" s="8"/>
      <c r="B268" s="8"/>
      <c r="C268" s="8"/>
      <c r="D268" s="8"/>
      <c r="E268" s="8"/>
      <c r="F268" t="str" s="15">
        <f aca="0">IF(B268="","",IF(H268="","확인필요(입력누락)",IF(SUMPRODUCT((실물목록!$P$2:$P$1001&lt;&gt;"")*ISNUMBER(SEARCH(실물목록!$P$2:$P$1001,I268))*(실물목록!$Q$2:$Q$1001&lt;&gt;"")*ISNUMBER(SEARCH(실물목록!$Q$2:$Q$1001,I268))*(실물목록!$R$2:$R$1001="")*(실물목록!$O$2:$O$1001&lt;&gt;"")*(실물목록!$O$2:$O$1001=H268))&gt;0,"실물 있음",IF(SUMPRODUCT((실물목록!$P$2:$P$1001&lt;&gt;"")*ISNUMBER(SEARCH(실물목록!$P$2:$P$1001,I268))*(실물목록!$R$2:$R$1001&lt;&gt;""))&gt;0,"확인필요(입력누락)",IF(SUMPRODUCT((실물목록!$P$2:$P$1001&lt;&gt;"")*ISNUMBER(SEARCH(실물목록!$P$2:$P$1001,I268))*(실물목록!$Q$2:$Q$1001&lt;&gt;"")*ISNUMBER(SEARCH(실물목록!$Q$2:$Q$1001,I268))*(실물목록!$R$2:$R$1001="")*(실물목록!$O$2:$O$1001&lt;&gt;""))&gt;0,"확인필요(연도다름)","실물 없음")))))</f>
      </c>
      <c r="G268" t="n" s="16">
        <f aca="0">IF(B268="","",SUMPRODUCT((실물목록!$P$2:$P$1001&lt;&gt;"")*ISNUMBER(SEARCH(실물목록!$P$2:$P$1001,I268))*(실물목록!$Q$2:$Q$1001&lt;&gt;"")*ISNUMBER(SEARCH(실물목록!$Q$2:$Q$1001,I268))*(실물목록!$R$2:$R$1001="")*(실물목록!$O$2:$O$1001&lt;&gt;"")*(실물목록!$O$2:$O$1001=H268)))</f>
      </c>
      <c r="H268" t="str">
        <f>IFERROR(IF(AND(LEN(SUBSTITUTE(SUBSTITUTE(SUBSTITUTE(TRIM(A268&amp;""),CHAR(160),"")," ",""),"년",""))=4,VALUE(SUBSTITUTE(SUBSTITUTE(SUBSTITUTE(TRIM(A268&amp;""),CHAR(160),"")," ",""),"년",""))&gt;=1900,VALUE(SUBSTITUTE(SUBSTITUTE(SUBSTITUTE(TRIM(A268&amp;""),CHAR(160),"")," ",""),"년",""))&lt;=2099,TEXT(VALUE(SUBSTITUTE(SUBSTITUTE(SUBSTITUTE(TRIM(A268&amp;""),CHAR(160),"")," ",""),"년","")),"0000")=SUBSTITUTE(SUBSTITUTE(SUBSTITUTE(TRIM(A268&amp;""),CHAR(160),"")," ",""),"년","")),SUBSTITUTE(SUBSTITUTE(SUBSTITUTE(TRIM(A268&amp;""),CHAR(160),"")," ",""),"년",""),""),"")</f>
      </c>
      <c r="I268" t="str">
        <f>SUBSTITUTE(SUBSTITUTE(SUBSTITUTE(SUBSTITUTE(SUBSTITUTE(TRIM(B268&amp;""),CHAR(160),"")," ",""),"초등학교","초"),"중학교","중"),"고등학교","고")</f>
      </c>
    </row>
    <row r="269" customFormat="false" ht="15" hidden="false" customHeight="false" outlineLevel="0" collapsed="false">
      <c r="A269" s="8"/>
      <c r="B269" s="8"/>
      <c r="C269" s="8"/>
      <c r="D269" s="8"/>
      <c r="E269" s="8"/>
      <c r="F269" t="str" s="15">
        <f aca="0">IF(B269="","",IF(H269="","확인필요(입력누락)",IF(SUMPRODUCT((실물목록!$P$2:$P$1001&lt;&gt;"")*ISNUMBER(SEARCH(실물목록!$P$2:$P$1001,I269))*(실물목록!$Q$2:$Q$1001&lt;&gt;"")*ISNUMBER(SEARCH(실물목록!$Q$2:$Q$1001,I269))*(실물목록!$R$2:$R$1001="")*(실물목록!$O$2:$O$1001&lt;&gt;"")*(실물목록!$O$2:$O$1001=H269))&gt;0,"실물 있음",IF(SUMPRODUCT((실물목록!$P$2:$P$1001&lt;&gt;"")*ISNUMBER(SEARCH(실물목록!$P$2:$P$1001,I269))*(실물목록!$R$2:$R$1001&lt;&gt;""))&gt;0,"확인필요(입력누락)",IF(SUMPRODUCT((실물목록!$P$2:$P$1001&lt;&gt;"")*ISNUMBER(SEARCH(실물목록!$P$2:$P$1001,I269))*(실물목록!$Q$2:$Q$1001&lt;&gt;"")*ISNUMBER(SEARCH(실물목록!$Q$2:$Q$1001,I269))*(실물목록!$R$2:$R$1001="")*(실물목록!$O$2:$O$1001&lt;&gt;""))&gt;0,"확인필요(연도다름)","실물 없음")))))</f>
      </c>
      <c r="G269" t="n" s="16">
        <f aca="0">IF(B269="","",SUMPRODUCT((실물목록!$P$2:$P$1001&lt;&gt;"")*ISNUMBER(SEARCH(실물목록!$P$2:$P$1001,I269))*(실물목록!$Q$2:$Q$1001&lt;&gt;"")*ISNUMBER(SEARCH(실물목록!$Q$2:$Q$1001,I269))*(실물목록!$R$2:$R$1001="")*(실물목록!$O$2:$O$1001&lt;&gt;"")*(실물목록!$O$2:$O$1001=H269)))</f>
      </c>
      <c r="H269" t="str">
        <f>IFERROR(IF(AND(LEN(SUBSTITUTE(SUBSTITUTE(SUBSTITUTE(TRIM(A269&amp;""),CHAR(160),"")," ",""),"년",""))=4,VALUE(SUBSTITUTE(SUBSTITUTE(SUBSTITUTE(TRIM(A269&amp;""),CHAR(160),"")," ",""),"년",""))&gt;=1900,VALUE(SUBSTITUTE(SUBSTITUTE(SUBSTITUTE(TRIM(A269&amp;""),CHAR(160),"")," ",""),"년",""))&lt;=2099,TEXT(VALUE(SUBSTITUTE(SUBSTITUTE(SUBSTITUTE(TRIM(A269&amp;""),CHAR(160),"")," ",""),"년","")),"0000")=SUBSTITUTE(SUBSTITUTE(SUBSTITUTE(TRIM(A269&amp;""),CHAR(160),"")," ",""),"년","")),SUBSTITUTE(SUBSTITUTE(SUBSTITUTE(TRIM(A269&amp;""),CHAR(160),"")," ",""),"년",""),""),"")</f>
      </c>
      <c r="I269" t="str">
        <f>SUBSTITUTE(SUBSTITUTE(SUBSTITUTE(SUBSTITUTE(SUBSTITUTE(TRIM(B269&amp;""),CHAR(160),"")," ",""),"초등학교","초"),"중학교","중"),"고등학교","고")</f>
      </c>
    </row>
    <row r="270" customFormat="false" ht="15" hidden="false" customHeight="false" outlineLevel="0" collapsed="false">
      <c r="A270" s="8"/>
      <c r="B270" s="8"/>
      <c r="C270" s="8"/>
      <c r="D270" s="8"/>
      <c r="E270" s="8"/>
      <c r="F270" t="str" s="15">
        <f aca="0">IF(B270="","",IF(H270="","확인필요(입력누락)",IF(SUMPRODUCT((실물목록!$P$2:$P$1001&lt;&gt;"")*ISNUMBER(SEARCH(실물목록!$P$2:$P$1001,I270))*(실물목록!$Q$2:$Q$1001&lt;&gt;"")*ISNUMBER(SEARCH(실물목록!$Q$2:$Q$1001,I270))*(실물목록!$R$2:$R$1001="")*(실물목록!$O$2:$O$1001&lt;&gt;"")*(실물목록!$O$2:$O$1001=H270))&gt;0,"실물 있음",IF(SUMPRODUCT((실물목록!$P$2:$P$1001&lt;&gt;"")*ISNUMBER(SEARCH(실물목록!$P$2:$P$1001,I270))*(실물목록!$R$2:$R$1001&lt;&gt;""))&gt;0,"확인필요(입력누락)",IF(SUMPRODUCT((실물목록!$P$2:$P$1001&lt;&gt;"")*ISNUMBER(SEARCH(실물목록!$P$2:$P$1001,I270))*(실물목록!$Q$2:$Q$1001&lt;&gt;"")*ISNUMBER(SEARCH(실물목록!$Q$2:$Q$1001,I270))*(실물목록!$R$2:$R$1001="")*(실물목록!$O$2:$O$1001&lt;&gt;""))&gt;0,"확인필요(연도다름)","실물 없음")))))</f>
      </c>
      <c r="G270" t="n" s="16">
        <f aca="0">IF(B270="","",SUMPRODUCT((실물목록!$P$2:$P$1001&lt;&gt;"")*ISNUMBER(SEARCH(실물목록!$P$2:$P$1001,I270))*(실물목록!$Q$2:$Q$1001&lt;&gt;"")*ISNUMBER(SEARCH(실물목록!$Q$2:$Q$1001,I270))*(실물목록!$R$2:$R$1001="")*(실물목록!$O$2:$O$1001&lt;&gt;"")*(실물목록!$O$2:$O$1001=H270)))</f>
      </c>
      <c r="H270" t="str">
        <f>IFERROR(IF(AND(LEN(SUBSTITUTE(SUBSTITUTE(SUBSTITUTE(TRIM(A270&amp;""),CHAR(160),"")," ",""),"년",""))=4,VALUE(SUBSTITUTE(SUBSTITUTE(SUBSTITUTE(TRIM(A270&amp;""),CHAR(160),"")," ",""),"년",""))&gt;=1900,VALUE(SUBSTITUTE(SUBSTITUTE(SUBSTITUTE(TRIM(A270&amp;""),CHAR(160),"")," ",""),"년",""))&lt;=2099,TEXT(VALUE(SUBSTITUTE(SUBSTITUTE(SUBSTITUTE(TRIM(A270&amp;""),CHAR(160),"")," ",""),"년","")),"0000")=SUBSTITUTE(SUBSTITUTE(SUBSTITUTE(TRIM(A270&amp;""),CHAR(160),"")," ",""),"년","")),SUBSTITUTE(SUBSTITUTE(SUBSTITUTE(TRIM(A270&amp;""),CHAR(160),"")," ",""),"년",""),""),"")</f>
      </c>
      <c r="I270" t="str">
        <f>SUBSTITUTE(SUBSTITUTE(SUBSTITUTE(SUBSTITUTE(SUBSTITUTE(TRIM(B270&amp;""),CHAR(160),"")," ",""),"초등학교","초"),"중학교","중"),"고등학교","고")</f>
      </c>
    </row>
    <row r="271" customFormat="false" ht="15" hidden="false" customHeight="false" outlineLevel="0" collapsed="false">
      <c r="A271" s="8"/>
      <c r="B271" s="8"/>
      <c r="C271" s="8"/>
      <c r="D271" s="8"/>
      <c r="E271" s="8"/>
      <c r="F271" t="str" s="15">
        <f aca="0">IF(B271="","",IF(H271="","확인필요(입력누락)",IF(SUMPRODUCT((실물목록!$P$2:$P$1001&lt;&gt;"")*ISNUMBER(SEARCH(실물목록!$P$2:$P$1001,I271))*(실물목록!$Q$2:$Q$1001&lt;&gt;"")*ISNUMBER(SEARCH(실물목록!$Q$2:$Q$1001,I271))*(실물목록!$R$2:$R$1001="")*(실물목록!$O$2:$O$1001&lt;&gt;"")*(실물목록!$O$2:$O$1001=H271))&gt;0,"실물 있음",IF(SUMPRODUCT((실물목록!$P$2:$P$1001&lt;&gt;"")*ISNUMBER(SEARCH(실물목록!$P$2:$P$1001,I271))*(실물목록!$R$2:$R$1001&lt;&gt;""))&gt;0,"확인필요(입력누락)",IF(SUMPRODUCT((실물목록!$P$2:$P$1001&lt;&gt;"")*ISNUMBER(SEARCH(실물목록!$P$2:$P$1001,I271))*(실물목록!$Q$2:$Q$1001&lt;&gt;"")*ISNUMBER(SEARCH(실물목록!$Q$2:$Q$1001,I271))*(실물목록!$R$2:$R$1001="")*(실물목록!$O$2:$O$1001&lt;&gt;""))&gt;0,"확인필요(연도다름)","실물 없음")))))</f>
      </c>
      <c r="G271" t="n" s="16">
        <f aca="0">IF(B271="","",SUMPRODUCT((실물목록!$P$2:$P$1001&lt;&gt;"")*ISNUMBER(SEARCH(실물목록!$P$2:$P$1001,I271))*(실물목록!$Q$2:$Q$1001&lt;&gt;"")*ISNUMBER(SEARCH(실물목록!$Q$2:$Q$1001,I271))*(실물목록!$R$2:$R$1001="")*(실물목록!$O$2:$O$1001&lt;&gt;"")*(실물목록!$O$2:$O$1001=H271)))</f>
      </c>
      <c r="H271" t="str">
        <f>IFERROR(IF(AND(LEN(SUBSTITUTE(SUBSTITUTE(SUBSTITUTE(TRIM(A271&amp;""),CHAR(160),"")," ",""),"년",""))=4,VALUE(SUBSTITUTE(SUBSTITUTE(SUBSTITUTE(TRIM(A271&amp;""),CHAR(160),"")," ",""),"년",""))&gt;=1900,VALUE(SUBSTITUTE(SUBSTITUTE(SUBSTITUTE(TRIM(A271&amp;""),CHAR(160),"")," ",""),"년",""))&lt;=2099,TEXT(VALUE(SUBSTITUTE(SUBSTITUTE(SUBSTITUTE(TRIM(A271&amp;""),CHAR(160),"")," ",""),"년","")),"0000")=SUBSTITUTE(SUBSTITUTE(SUBSTITUTE(TRIM(A271&amp;""),CHAR(160),"")," ",""),"년","")),SUBSTITUTE(SUBSTITUTE(SUBSTITUTE(TRIM(A271&amp;""),CHAR(160),"")," ",""),"년",""),""),"")</f>
      </c>
      <c r="I271" t="str">
        <f>SUBSTITUTE(SUBSTITUTE(SUBSTITUTE(SUBSTITUTE(SUBSTITUTE(TRIM(B271&amp;""),CHAR(160),"")," ",""),"초등학교","초"),"중학교","중"),"고등학교","고")</f>
      </c>
    </row>
    <row r="272" customFormat="false" ht="15" hidden="false" customHeight="false" outlineLevel="0" collapsed="false">
      <c r="A272" s="8"/>
      <c r="B272" s="8"/>
      <c r="C272" s="8"/>
      <c r="D272" s="8"/>
      <c r="E272" s="8"/>
      <c r="F272" t="str" s="15">
        <f aca="0">IF(B272="","",IF(H272="","확인필요(입력누락)",IF(SUMPRODUCT((실물목록!$P$2:$P$1001&lt;&gt;"")*ISNUMBER(SEARCH(실물목록!$P$2:$P$1001,I272))*(실물목록!$Q$2:$Q$1001&lt;&gt;"")*ISNUMBER(SEARCH(실물목록!$Q$2:$Q$1001,I272))*(실물목록!$R$2:$R$1001="")*(실물목록!$O$2:$O$1001&lt;&gt;"")*(실물목록!$O$2:$O$1001=H272))&gt;0,"실물 있음",IF(SUMPRODUCT((실물목록!$P$2:$P$1001&lt;&gt;"")*ISNUMBER(SEARCH(실물목록!$P$2:$P$1001,I272))*(실물목록!$R$2:$R$1001&lt;&gt;""))&gt;0,"확인필요(입력누락)",IF(SUMPRODUCT((실물목록!$P$2:$P$1001&lt;&gt;"")*ISNUMBER(SEARCH(실물목록!$P$2:$P$1001,I272))*(실물목록!$Q$2:$Q$1001&lt;&gt;"")*ISNUMBER(SEARCH(실물목록!$Q$2:$Q$1001,I272))*(실물목록!$R$2:$R$1001="")*(실물목록!$O$2:$O$1001&lt;&gt;""))&gt;0,"확인필요(연도다름)","실물 없음")))))</f>
      </c>
      <c r="G272" t="n" s="16">
        <f aca="0">IF(B272="","",SUMPRODUCT((실물목록!$P$2:$P$1001&lt;&gt;"")*ISNUMBER(SEARCH(실물목록!$P$2:$P$1001,I272))*(실물목록!$Q$2:$Q$1001&lt;&gt;"")*ISNUMBER(SEARCH(실물목록!$Q$2:$Q$1001,I272))*(실물목록!$R$2:$R$1001="")*(실물목록!$O$2:$O$1001&lt;&gt;"")*(실물목록!$O$2:$O$1001=H272)))</f>
      </c>
      <c r="H272" t="str">
        <f>IFERROR(IF(AND(LEN(SUBSTITUTE(SUBSTITUTE(SUBSTITUTE(TRIM(A272&amp;""),CHAR(160),"")," ",""),"년",""))=4,VALUE(SUBSTITUTE(SUBSTITUTE(SUBSTITUTE(TRIM(A272&amp;""),CHAR(160),"")," ",""),"년",""))&gt;=1900,VALUE(SUBSTITUTE(SUBSTITUTE(SUBSTITUTE(TRIM(A272&amp;""),CHAR(160),"")," ",""),"년",""))&lt;=2099,TEXT(VALUE(SUBSTITUTE(SUBSTITUTE(SUBSTITUTE(TRIM(A272&amp;""),CHAR(160),"")," ",""),"년","")),"0000")=SUBSTITUTE(SUBSTITUTE(SUBSTITUTE(TRIM(A272&amp;""),CHAR(160),"")," ",""),"년","")),SUBSTITUTE(SUBSTITUTE(SUBSTITUTE(TRIM(A272&amp;""),CHAR(160),"")," ",""),"년",""),""),"")</f>
      </c>
      <c r="I272" t="str">
        <f>SUBSTITUTE(SUBSTITUTE(SUBSTITUTE(SUBSTITUTE(SUBSTITUTE(TRIM(B272&amp;""),CHAR(160),"")," ",""),"초등학교","초"),"중학교","중"),"고등학교","고")</f>
      </c>
    </row>
    <row r="273" customFormat="false" ht="15" hidden="false" customHeight="false" outlineLevel="0" collapsed="false">
      <c r="A273" s="8"/>
      <c r="B273" s="8"/>
      <c r="C273" s="8"/>
      <c r="D273" s="8"/>
      <c r="E273" s="8"/>
      <c r="F273" t="str" s="15">
        <f aca="0">IF(B273="","",IF(H273="","확인필요(입력누락)",IF(SUMPRODUCT((실물목록!$P$2:$P$1001&lt;&gt;"")*ISNUMBER(SEARCH(실물목록!$P$2:$P$1001,I273))*(실물목록!$Q$2:$Q$1001&lt;&gt;"")*ISNUMBER(SEARCH(실물목록!$Q$2:$Q$1001,I273))*(실물목록!$R$2:$R$1001="")*(실물목록!$O$2:$O$1001&lt;&gt;"")*(실물목록!$O$2:$O$1001=H273))&gt;0,"실물 있음",IF(SUMPRODUCT((실물목록!$P$2:$P$1001&lt;&gt;"")*ISNUMBER(SEARCH(실물목록!$P$2:$P$1001,I273))*(실물목록!$R$2:$R$1001&lt;&gt;""))&gt;0,"확인필요(입력누락)",IF(SUMPRODUCT((실물목록!$P$2:$P$1001&lt;&gt;"")*ISNUMBER(SEARCH(실물목록!$P$2:$P$1001,I273))*(실물목록!$Q$2:$Q$1001&lt;&gt;"")*ISNUMBER(SEARCH(실물목록!$Q$2:$Q$1001,I273))*(실물목록!$R$2:$R$1001="")*(실물목록!$O$2:$O$1001&lt;&gt;""))&gt;0,"확인필요(연도다름)","실물 없음")))))</f>
      </c>
      <c r="G273" t="n" s="16">
        <f aca="0">IF(B273="","",SUMPRODUCT((실물목록!$P$2:$P$1001&lt;&gt;"")*ISNUMBER(SEARCH(실물목록!$P$2:$P$1001,I273))*(실물목록!$Q$2:$Q$1001&lt;&gt;"")*ISNUMBER(SEARCH(실물목록!$Q$2:$Q$1001,I273))*(실물목록!$R$2:$R$1001="")*(실물목록!$O$2:$O$1001&lt;&gt;"")*(실물목록!$O$2:$O$1001=H273)))</f>
      </c>
      <c r="H273" t="str">
        <f>IFERROR(IF(AND(LEN(SUBSTITUTE(SUBSTITUTE(SUBSTITUTE(TRIM(A273&amp;""),CHAR(160),"")," ",""),"년",""))=4,VALUE(SUBSTITUTE(SUBSTITUTE(SUBSTITUTE(TRIM(A273&amp;""),CHAR(160),"")," ",""),"년",""))&gt;=1900,VALUE(SUBSTITUTE(SUBSTITUTE(SUBSTITUTE(TRIM(A273&amp;""),CHAR(160),"")," ",""),"년",""))&lt;=2099,TEXT(VALUE(SUBSTITUTE(SUBSTITUTE(SUBSTITUTE(TRIM(A273&amp;""),CHAR(160),"")," ",""),"년","")),"0000")=SUBSTITUTE(SUBSTITUTE(SUBSTITUTE(TRIM(A273&amp;""),CHAR(160),"")," ",""),"년","")),SUBSTITUTE(SUBSTITUTE(SUBSTITUTE(TRIM(A273&amp;""),CHAR(160),"")," ",""),"년",""),""),"")</f>
      </c>
      <c r="I273" t="str">
        <f>SUBSTITUTE(SUBSTITUTE(SUBSTITUTE(SUBSTITUTE(SUBSTITUTE(TRIM(B273&amp;""),CHAR(160),"")," ",""),"초등학교","초"),"중학교","중"),"고등학교","고")</f>
      </c>
    </row>
    <row r="274" customFormat="false" ht="15" hidden="false" customHeight="false" outlineLevel="0" collapsed="false">
      <c r="A274" s="8"/>
      <c r="B274" s="8"/>
      <c r="C274" s="8"/>
      <c r="D274" s="8"/>
      <c r="E274" s="8"/>
      <c r="F274" t="str" s="15">
        <f aca="0">IF(B274="","",IF(H274="","확인필요(입력누락)",IF(SUMPRODUCT((실물목록!$P$2:$P$1001&lt;&gt;"")*ISNUMBER(SEARCH(실물목록!$P$2:$P$1001,I274))*(실물목록!$Q$2:$Q$1001&lt;&gt;"")*ISNUMBER(SEARCH(실물목록!$Q$2:$Q$1001,I274))*(실물목록!$R$2:$R$1001="")*(실물목록!$O$2:$O$1001&lt;&gt;"")*(실물목록!$O$2:$O$1001=H274))&gt;0,"실물 있음",IF(SUMPRODUCT((실물목록!$P$2:$P$1001&lt;&gt;"")*ISNUMBER(SEARCH(실물목록!$P$2:$P$1001,I274))*(실물목록!$R$2:$R$1001&lt;&gt;""))&gt;0,"확인필요(입력누락)",IF(SUMPRODUCT((실물목록!$P$2:$P$1001&lt;&gt;"")*ISNUMBER(SEARCH(실물목록!$P$2:$P$1001,I274))*(실물목록!$Q$2:$Q$1001&lt;&gt;"")*ISNUMBER(SEARCH(실물목록!$Q$2:$Q$1001,I274))*(실물목록!$R$2:$R$1001="")*(실물목록!$O$2:$O$1001&lt;&gt;""))&gt;0,"확인필요(연도다름)","실물 없음")))))</f>
      </c>
      <c r="G274" t="n" s="16">
        <f aca="0">IF(B274="","",SUMPRODUCT((실물목록!$P$2:$P$1001&lt;&gt;"")*ISNUMBER(SEARCH(실물목록!$P$2:$P$1001,I274))*(실물목록!$Q$2:$Q$1001&lt;&gt;"")*ISNUMBER(SEARCH(실물목록!$Q$2:$Q$1001,I274))*(실물목록!$R$2:$R$1001="")*(실물목록!$O$2:$O$1001&lt;&gt;"")*(실물목록!$O$2:$O$1001=H274)))</f>
      </c>
      <c r="H274" t="str">
        <f>IFERROR(IF(AND(LEN(SUBSTITUTE(SUBSTITUTE(SUBSTITUTE(TRIM(A274&amp;""),CHAR(160),"")," ",""),"년",""))=4,VALUE(SUBSTITUTE(SUBSTITUTE(SUBSTITUTE(TRIM(A274&amp;""),CHAR(160),"")," ",""),"년",""))&gt;=1900,VALUE(SUBSTITUTE(SUBSTITUTE(SUBSTITUTE(TRIM(A274&amp;""),CHAR(160),"")," ",""),"년",""))&lt;=2099,TEXT(VALUE(SUBSTITUTE(SUBSTITUTE(SUBSTITUTE(TRIM(A274&amp;""),CHAR(160),"")," ",""),"년","")),"0000")=SUBSTITUTE(SUBSTITUTE(SUBSTITUTE(TRIM(A274&amp;""),CHAR(160),"")," ",""),"년","")),SUBSTITUTE(SUBSTITUTE(SUBSTITUTE(TRIM(A274&amp;""),CHAR(160),"")," ",""),"년",""),""),"")</f>
      </c>
      <c r="I274" t="str">
        <f>SUBSTITUTE(SUBSTITUTE(SUBSTITUTE(SUBSTITUTE(SUBSTITUTE(TRIM(B274&amp;""),CHAR(160),"")," ",""),"초등학교","초"),"중학교","중"),"고등학교","고")</f>
      </c>
    </row>
    <row r="275" customFormat="false" ht="15" hidden="false" customHeight="false" outlineLevel="0" collapsed="false">
      <c r="A275" s="8"/>
      <c r="B275" s="8"/>
      <c r="C275" s="8"/>
      <c r="D275" s="8"/>
      <c r="E275" s="8"/>
      <c r="F275" t="str" s="15">
        <f aca="0">IF(B275="","",IF(H275="","확인필요(입력누락)",IF(SUMPRODUCT((실물목록!$P$2:$P$1001&lt;&gt;"")*ISNUMBER(SEARCH(실물목록!$P$2:$P$1001,I275))*(실물목록!$Q$2:$Q$1001&lt;&gt;"")*ISNUMBER(SEARCH(실물목록!$Q$2:$Q$1001,I275))*(실물목록!$R$2:$R$1001="")*(실물목록!$O$2:$O$1001&lt;&gt;"")*(실물목록!$O$2:$O$1001=H275))&gt;0,"실물 있음",IF(SUMPRODUCT((실물목록!$P$2:$P$1001&lt;&gt;"")*ISNUMBER(SEARCH(실물목록!$P$2:$P$1001,I275))*(실물목록!$R$2:$R$1001&lt;&gt;""))&gt;0,"확인필요(입력누락)",IF(SUMPRODUCT((실물목록!$P$2:$P$1001&lt;&gt;"")*ISNUMBER(SEARCH(실물목록!$P$2:$P$1001,I275))*(실물목록!$Q$2:$Q$1001&lt;&gt;"")*ISNUMBER(SEARCH(실물목록!$Q$2:$Q$1001,I275))*(실물목록!$R$2:$R$1001="")*(실물목록!$O$2:$O$1001&lt;&gt;""))&gt;0,"확인필요(연도다름)","실물 없음")))))</f>
      </c>
      <c r="G275" t="n" s="16">
        <f aca="0">IF(B275="","",SUMPRODUCT((실물목록!$P$2:$P$1001&lt;&gt;"")*ISNUMBER(SEARCH(실물목록!$P$2:$P$1001,I275))*(실물목록!$Q$2:$Q$1001&lt;&gt;"")*ISNUMBER(SEARCH(실물목록!$Q$2:$Q$1001,I275))*(실물목록!$R$2:$R$1001="")*(실물목록!$O$2:$O$1001&lt;&gt;"")*(실물목록!$O$2:$O$1001=H275)))</f>
      </c>
      <c r="H275" t="str">
        <f>IFERROR(IF(AND(LEN(SUBSTITUTE(SUBSTITUTE(SUBSTITUTE(TRIM(A275&amp;""),CHAR(160),"")," ",""),"년",""))=4,VALUE(SUBSTITUTE(SUBSTITUTE(SUBSTITUTE(TRIM(A275&amp;""),CHAR(160),"")," ",""),"년",""))&gt;=1900,VALUE(SUBSTITUTE(SUBSTITUTE(SUBSTITUTE(TRIM(A275&amp;""),CHAR(160),"")," ",""),"년",""))&lt;=2099,TEXT(VALUE(SUBSTITUTE(SUBSTITUTE(SUBSTITUTE(TRIM(A275&amp;""),CHAR(160),"")," ",""),"년","")),"0000")=SUBSTITUTE(SUBSTITUTE(SUBSTITUTE(TRIM(A275&amp;""),CHAR(160),"")," ",""),"년","")),SUBSTITUTE(SUBSTITUTE(SUBSTITUTE(TRIM(A275&amp;""),CHAR(160),"")," ",""),"년",""),""),"")</f>
      </c>
      <c r="I275" t="str">
        <f>SUBSTITUTE(SUBSTITUTE(SUBSTITUTE(SUBSTITUTE(SUBSTITUTE(TRIM(B275&amp;""),CHAR(160),"")," ",""),"초등학교","초"),"중학교","중"),"고등학교","고")</f>
      </c>
    </row>
    <row r="276" customFormat="false" ht="15" hidden="false" customHeight="false" outlineLevel="0" collapsed="false">
      <c r="A276" s="8"/>
      <c r="B276" s="8"/>
      <c r="C276" s="8"/>
      <c r="D276" s="8"/>
      <c r="E276" s="8"/>
      <c r="F276" t="str" s="15">
        <f aca="0">IF(B276="","",IF(H276="","확인필요(입력누락)",IF(SUMPRODUCT((실물목록!$P$2:$P$1001&lt;&gt;"")*ISNUMBER(SEARCH(실물목록!$P$2:$P$1001,I276))*(실물목록!$Q$2:$Q$1001&lt;&gt;"")*ISNUMBER(SEARCH(실물목록!$Q$2:$Q$1001,I276))*(실물목록!$R$2:$R$1001="")*(실물목록!$O$2:$O$1001&lt;&gt;"")*(실물목록!$O$2:$O$1001=H276))&gt;0,"실물 있음",IF(SUMPRODUCT((실물목록!$P$2:$P$1001&lt;&gt;"")*ISNUMBER(SEARCH(실물목록!$P$2:$P$1001,I276))*(실물목록!$R$2:$R$1001&lt;&gt;""))&gt;0,"확인필요(입력누락)",IF(SUMPRODUCT((실물목록!$P$2:$P$1001&lt;&gt;"")*ISNUMBER(SEARCH(실물목록!$P$2:$P$1001,I276))*(실물목록!$Q$2:$Q$1001&lt;&gt;"")*ISNUMBER(SEARCH(실물목록!$Q$2:$Q$1001,I276))*(실물목록!$R$2:$R$1001="")*(실물목록!$O$2:$O$1001&lt;&gt;""))&gt;0,"확인필요(연도다름)","실물 없음")))))</f>
      </c>
      <c r="G276" t="n" s="16">
        <f aca="0">IF(B276="","",SUMPRODUCT((실물목록!$P$2:$P$1001&lt;&gt;"")*ISNUMBER(SEARCH(실물목록!$P$2:$P$1001,I276))*(실물목록!$Q$2:$Q$1001&lt;&gt;"")*ISNUMBER(SEARCH(실물목록!$Q$2:$Q$1001,I276))*(실물목록!$R$2:$R$1001="")*(실물목록!$O$2:$O$1001&lt;&gt;"")*(실물목록!$O$2:$O$1001=H276)))</f>
      </c>
      <c r="H276" t="str">
        <f>IFERROR(IF(AND(LEN(SUBSTITUTE(SUBSTITUTE(SUBSTITUTE(TRIM(A276&amp;""),CHAR(160),"")," ",""),"년",""))=4,VALUE(SUBSTITUTE(SUBSTITUTE(SUBSTITUTE(TRIM(A276&amp;""),CHAR(160),"")," ",""),"년",""))&gt;=1900,VALUE(SUBSTITUTE(SUBSTITUTE(SUBSTITUTE(TRIM(A276&amp;""),CHAR(160),"")," ",""),"년",""))&lt;=2099,TEXT(VALUE(SUBSTITUTE(SUBSTITUTE(SUBSTITUTE(TRIM(A276&amp;""),CHAR(160),"")," ",""),"년","")),"0000")=SUBSTITUTE(SUBSTITUTE(SUBSTITUTE(TRIM(A276&amp;""),CHAR(160),"")," ",""),"년","")),SUBSTITUTE(SUBSTITUTE(SUBSTITUTE(TRIM(A276&amp;""),CHAR(160),"")," ",""),"년",""),""),"")</f>
      </c>
      <c r="I276" t="str">
        <f>SUBSTITUTE(SUBSTITUTE(SUBSTITUTE(SUBSTITUTE(SUBSTITUTE(TRIM(B276&amp;""),CHAR(160),"")," ",""),"초등학교","초"),"중학교","중"),"고등학교","고")</f>
      </c>
    </row>
    <row r="277" customFormat="false" ht="15" hidden="false" customHeight="false" outlineLevel="0" collapsed="false">
      <c r="A277" s="8"/>
      <c r="B277" s="8"/>
      <c r="C277" s="8"/>
      <c r="D277" s="8"/>
      <c r="E277" s="8"/>
      <c r="F277" t="str" s="15">
        <f aca="0">IF(B277="","",IF(H277="","확인필요(입력누락)",IF(SUMPRODUCT((실물목록!$P$2:$P$1001&lt;&gt;"")*ISNUMBER(SEARCH(실물목록!$P$2:$P$1001,I277))*(실물목록!$Q$2:$Q$1001&lt;&gt;"")*ISNUMBER(SEARCH(실물목록!$Q$2:$Q$1001,I277))*(실물목록!$R$2:$R$1001="")*(실물목록!$O$2:$O$1001&lt;&gt;"")*(실물목록!$O$2:$O$1001=H277))&gt;0,"실물 있음",IF(SUMPRODUCT((실물목록!$P$2:$P$1001&lt;&gt;"")*ISNUMBER(SEARCH(실물목록!$P$2:$P$1001,I277))*(실물목록!$R$2:$R$1001&lt;&gt;""))&gt;0,"확인필요(입력누락)",IF(SUMPRODUCT((실물목록!$P$2:$P$1001&lt;&gt;"")*ISNUMBER(SEARCH(실물목록!$P$2:$P$1001,I277))*(실물목록!$Q$2:$Q$1001&lt;&gt;"")*ISNUMBER(SEARCH(실물목록!$Q$2:$Q$1001,I277))*(실물목록!$R$2:$R$1001="")*(실물목록!$O$2:$O$1001&lt;&gt;""))&gt;0,"확인필요(연도다름)","실물 없음")))))</f>
      </c>
      <c r="G277" t="n" s="16">
        <f aca="0">IF(B277="","",SUMPRODUCT((실물목록!$P$2:$P$1001&lt;&gt;"")*ISNUMBER(SEARCH(실물목록!$P$2:$P$1001,I277))*(실물목록!$Q$2:$Q$1001&lt;&gt;"")*ISNUMBER(SEARCH(실물목록!$Q$2:$Q$1001,I277))*(실물목록!$R$2:$R$1001="")*(실물목록!$O$2:$O$1001&lt;&gt;"")*(실물목록!$O$2:$O$1001=H277)))</f>
      </c>
      <c r="H277" t="str">
        <f>IFERROR(IF(AND(LEN(SUBSTITUTE(SUBSTITUTE(SUBSTITUTE(TRIM(A277&amp;""),CHAR(160),"")," ",""),"년",""))=4,VALUE(SUBSTITUTE(SUBSTITUTE(SUBSTITUTE(TRIM(A277&amp;""),CHAR(160),"")," ",""),"년",""))&gt;=1900,VALUE(SUBSTITUTE(SUBSTITUTE(SUBSTITUTE(TRIM(A277&amp;""),CHAR(160),"")," ",""),"년",""))&lt;=2099,TEXT(VALUE(SUBSTITUTE(SUBSTITUTE(SUBSTITUTE(TRIM(A277&amp;""),CHAR(160),"")," ",""),"년","")),"0000")=SUBSTITUTE(SUBSTITUTE(SUBSTITUTE(TRIM(A277&amp;""),CHAR(160),"")," ",""),"년","")),SUBSTITUTE(SUBSTITUTE(SUBSTITUTE(TRIM(A277&amp;""),CHAR(160),"")," ",""),"년",""),""),"")</f>
      </c>
      <c r="I277" t="str">
        <f>SUBSTITUTE(SUBSTITUTE(SUBSTITUTE(SUBSTITUTE(SUBSTITUTE(TRIM(B277&amp;""),CHAR(160),"")," ",""),"초등학교","초"),"중학교","중"),"고등학교","고")</f>
      </c>
    </row>
    <row r="278" customFormat="false" ht="15" hidden="false" customHeight="false" outlineLevel="0" collapsed="false">
      <c r="A278" s="8"/>
      <c r="B278" s="8"/>
      <c r="C278" s="8"/>
      <c r="D278" s="8"/>
      <c r="E278" s="8"/>
      <c r="F278" t="str" s="15">
        <f aca="0">IF(B278="","",IF(H278="","확인필요(입력누락)",IF(SUMPRODUCT((실물목록!$P$2:$P$1001&lt;&gt;"")*ISNUMBER(SEARCH(실물목록!$P$2:$P$1001,I278))*(실물목록!$Q$2:$Q$1001&lt;&gt;"")*ISNUMBER(SEARCH(실물목록!$Q$2:$Q$1001,I278))*(실물목록!$R$2:$R$1001="")*(실물목록!$O$2:$O$1001&lt;&gt;"")*(실물목록!$O$2:$O$1001=H278))&gt;0,"실물 있음",IF(SUMPRODUCT((실물목록!$P$2:$P$1001&lt;&gt;"")*ISNUMBER(SEARCH(실물목록!$P$2:$P$1001,I278))*(실물목록!$R$2:$R$1001&lt;&gt;""))&gt;0,"확인필요(입력누락)",IF(SUMPRODUCT((실물목록!$P$2:$P$1001&lt;&gt;"")*ISNUMBER(SEARCH(실물목록!$P$2:$P$1001,I278))*(실물목록!$Q$2:$Q$1001&lt;&gt;"")*ISNUMBER(SEARCH(실물목록!$Q$2:$Q$1001,I278))*(실물목록!$R$2:$R$1001="")*(실물목록!$O$2:$O$1001&lt;&gt;""))&gt;0,"확인필요(연도다름)","실물 없음")))))</f>
      </c>
      <c r="G278" t="n" s="16">
        <f aca="0">IF(B278="","",SUMPRODUCT((실물목록!$P$2:$P$1001&lt;&gt;"")*ISNUMBER(SEARCH(실물목록!$P$2:$P$1001,I278))*(실물목록!$Q$2:$Q$1001&lt;&gt;"")*ISNUMBER(SEARCH(실물목록!$Q$2:$Q$1001,I278))*(실물목록!$R$2:$R$1001="")*(실물목록!$O$2:$O$1001&lt;&gt;"")*(실물목록!$O$2:$O$1001=H278)))</f>
      </c>
      <c r="H278" t="str">
        <f>IFERROR(IF(AND(LEN(SUBSTITUTE(SUBSTITUTE(SUBSTITUTE(TRIM(A278&amp;""),CHAR(160),"")," ",""),"년",""))=4,VALUE(SUBSTITUTE(SUBSTITUTE(SUBSTITUTE(TRIM(A278&amp;""),CHAR(160),"")," ",""),"년",""))&gt;=1900,VALUE(SUBSTITUTE(SUBSTITUTE(SUBSTITUTE(TRIM(A278&amp;""),CHAR(160),"")," ",""),"년",""))&lt;=2099,TEXT(VALUE(SUBSTITUTE(SUBSTITUTE(SUBSTITUTE(TRIM(A278&amp;""),CHAR(160),"")," ",""),"년","")),"0000")=SUBSTITUTE(SUBSTITUTE(SUBSTITUTE(TRIM(A278&amp;""),CHAR(160),"")," ",""),"년","")),SUBSTITUTE(SUBSTITUTE(SUBSTITUTE(TRIM(A278&amp;""),CHAR(160),"")," ",""),"년",""),""),"")</f>
      </c>
      <c r="I278" t="str">
        <f>SUBSTITUTE(SUBSTITUTE(SUBSTITUTE(SUBSTITUTE(SUBSTITUTE(TRIM(B278&amp;""),CHAR(160),"")," ",""),"초등학교","초"),"중학교","중"),"고등학교","고")</f>
      </c>
    </row>
    <row r="279" customFormat="false" ht="15" hidden="false" customHeight="false" outlineLevel="0" collapsed="false">
      <c r="A279" s="8"/>
      <c r="B279" s="8"/>
      <c r="C279" s="8"/>
      <c r="D279" s="8"/>
      <c r="E279" s="8"/>
      <c r="F279" t="str" s="15">
        <f aca="0">IF(B279="","",IF(H279="","확인필요(입력누락)",IF(SUMPRODUCT((실물목록!$P$2:$P$1001&lt;&gt;"")*ISNUMBER(SEARCH(실물목록!$P$2:$P$1001,I279))*(실물목록!$Q$2:$Q$1001&lt;&gt;"")*ISNUMBER(SEARCH(실물목록!$Q$2:$Q$1001,I279))*(실물목록!$R$2:$R$1001="")*(실물목록!$O$2:$O$1001&lt;&gt;"")*(실물목록!$O$2:$O$1001=H279))&gt;0,"실물 있음",IF(SUMPRODUCT((실물목록!$P$2:$P$1001&lt;&gt;"")*ISNUMBER(SEARCH(실물목록!$P$2:$P$1001,I279))*(실물목록!$R$2:$R$1001&lt;&gt;""))&gt;0,"확인필요(입력누락)",IF(SUMPRODUCT((실물목록!$P$2:$P$1001&lt;&gt;"")*ISNUMBER(SEARCH(실물목록!$P$2:$P$1001,I279))*(실물목록!$Q$2:$Q$1001&lt;&gt;"")*ISNUMBER(SEARCH(실물목록!$Q$2:$Q$1001,I279))*(실물목록!$R$2:$R$1001="")*(실물목록!$O$2:$O$1001&lt;&gt;""))&gt;0,"확인필요(연도다름)","실물 없음")))))</f>
      </c>
      <c r="G279" t="n" s="16">
        <f aca="0">IF(B279="","",SUMPRODUCT((실물목록!$P$2:$P$1001&lt;&gt;"")*ISNUMBER(SEARCH(실물목록!$P$2:$P$1001,I279))*(실물목록!$Q$2:$Q$1001&lt;&gt;"")*ISNUMBER(SEARCH(실물목록!$Q$2:$Q$1001,I279))*(실물목록!$R$2:$R$1001="")*(실물목록!$O$2:$O$1001&lt;&gt;"")*(실물목록!$O$2:$O$1001=H279)))</f>
      </c>
      <c r="H279" t="str">
        <f>IFERROR(IF(AND(LEN(SUBSTITUTE(SUBSTITUTE(SUBSTITUTE(TRIM(A279&amp;""),CHAR(160),"")," ",""),"년",""))=4,VALUE(SUBSTITUTE(SUBSTITUTE(SUBSTITUTE(TRIM(A279&amp;""),CHAR(160),"")," ",""),"년",""))&gt;=1900,VALUE(SUBSTITUTE(SUBSTITUTE(SUBSTITUTE(TRIM(A279&amp;""),CHAR(160),"")," ",""),"년",""))&lt;=2099,TEXT(VALUE(SUBSTITUTE(SUBSTITUTE(SUBSTITUTE(TRIM(A279&amp;""),CHAR(160),"")," ",""),"년","")),"0000")=SUBSTITUTE(SUBSTITUTE(SUBSTITUTE(TRIM(A279&amp;""),CHAR(160),"")," ",""),"년","")),SUBSTITUTE(SUBSTITUTE(SUBSTITUTE(TRIM(A279&amp;""),CHAR(160),"")," ",""),"년",""),""),"")</f>
      </c>
      <c r="I279" t="str">
        <f>SUBSTITUTE(SUBSTITUTE(SUBSTITUTE(SUBSTITUTE(SUBSTITUTE(TRIM(B279&amp;""),CHAR(160),"")," ",""),"초등학교","초"),"중학교","중"),"고등학교","고")</f>
      </c>
    </row>
    <row r="280" customFormat="false" ht="15" hidden="false" customHeight="false" outlineLevel="0" collapsed="false">
      <c r="A280" s="8"/>
      <c r="B280" s="8"/>
      <c r="C280" s="8"/>
      <c r="D280" s="8"/>
      <c r="E280" s="8"/>
      <c r="F280" t="str" s="15">
        <f aca="0">IF(B280="","",IF(H280="","확인필요(입력누락)",IF(SUMPRODUCT((실물목록!$P$2:$P$1001&lt;&gt;"")*ISNUMBER(SEARCH(실물목록!$P$2:$P$1001,I280))*(실물목록!$Q$2:$Q$1001&lt;&gt;"")*ISNUMBER(SEARCH(실물목록!$Q$2:$Q$1001,I280))*(실물목록!$R$2:$R$1001="")*(실물목록!$O$2:$O$1001&lt;&gt;"")*(실물목록!$O$2:$O$1001=H280))&gt;0,"실물 있음",IF(SUMPRODUCT((실물목록!$P$2:$P$1001&lt;&gt;"")*ISNUMBER(SEARCH(실물목록!$P$2:$P$1001,I280))*(실물목록!$R$2:$R$1001&lt;&gt;""))&gt;0,"확인필요(입력누락)",IF(SUMPRODUCT((실물목록!$P$2:$P$1001&lt;&gt;"")*ISNUMBER(SEARCH(실물목록!$P$2:$P$1001,I280))*(실물목록!$Q$2:$Q$1001&lt;&gt;"")*ISNUMBER(SEARCH(실물목록!$Q$2:$Q$1001,I280))*(실물목록!$R$2:$R$1001="")*(실물목록!$O$2:$O$1001&lt;&gt;""))&gt;0,"확인필요(연도다름)","실물 없음")))))</f>
      </c>
      <c r="G280" t="n" s="16">
        <f aca="0">IF(B280="","",SUMPRODUCT((실물목록!$P$2:$P$1001&lt;&gt;"")*ISNUMBER(SEARCH(실물목록!$P$2:$P$1001,I280))*(실물목록!$Q$2:$Q$1001&lt;&gt;"")*ISNUMBER(SEARCH(실물목록!$Q$2:$Q$1001,I280))*(실물목록!$R$2:$R$1001="")*(실물목록!$O$2:$O$1001&lt;&gt;"")*(실물목록!$O$2:$O$1001=H280)))</f>
      </c>
      <c r="H280" t="str">
        <f>IFERROR(IF(AND(LEN(SUBSTITUTE(SUBSTITUTE(SUBSTITUTE(TRIM(A280&amp;""),CHAR(160),"")," ",""),"년",""))=4,VALUE(SUBSTITUTE(SUBSTITUTE(SUBSTITUTE(TRIM(A280&amp;""),CHAR(160),"")," ",""),"년",""))&gt;=1900,VALUE(SUBSTITUTE(SUBSTITUTE(SUBSTITUTE(TRIM(A280&amp;""),CHAR(160),"")," ",""),"년",""))&lt;=2099,TEXT(VALUE(SUBSTITUTE(SUBSTITUTE(SUBSTITUTE(TRIM(A280&amp;""),CHAR(160),"")," ",""),"년","")),"0000")=SUBSTITUTE(SUBSTITUTE(SUBSTITUTE(TRIM(A280&amp;""),CHAR(160),"")," ",""),"년","")),SUBSTITUTE(SUBSTITUTE(SUBSTITUTE(TRIM(A280&amp;""),CHAR(160),"")," ",""),"년",""),""),"")</f>
      </c>
      <c r="I280" t="str">
        <f>SUBSTITUTE(SUBSTITUTE(SUBSTITUTE(SUBSTITUTE(SUBSTITUTE(TRIM(B280&amp;""),CHAR(160),"")," ",""),"초등학교","초"),"중학교","중"),"고등학교","고")</f>
      </c>
    </row>
    <row r="281" customFormat="false" ht="15" hidden="false" customHeight="false" outlineLevel="0" collapsed="false">
      <c r="A281" s="8"/>
      <c r="B281" s="8"/>
      <c r="C281" s="8"/>
      <c r="D281" s="8"/>
      <c r="E281" s="8"/>
      <c r="F281" t="str" s="15">
        <f aca="0">IF(B281="","",IF(H281="","확인필요(입력누락)",IF(SUMPRODUCT((실물목록!$P$2:$P$1001&lt;&gt;"")*ISNUMBER(SEARCH(실물목록!$P$2:$P$1001,I281))*(실물목록!$Q$2:$Q$1001&lt;&gt;"")*ISNUMBER(SEARCH(실물목록!$Q$2:$Q$1001,I281))*(실물목록!$R$2:$R$1001="")*(실물목록!$O$2:$O$1001&lt;&gt;"")*(실물목록!$O$2:$O$1001=H281))&gt;0,"실물 있음",IF(SUMPRODUCT((실물목록!$P$2:$P$1001&lt;&gt;"")*ISNUMBER(SEARCH(실물목록!$P$2:$P$1001,I281))*(실물목록!$R$2:$R$1001&lt;&gt;""))&gt;0,"확인필요(입력누락)",IF(SUMPRODUCT((실물목록!$P$2:$P$1001&lt;&gt;"")*ISNUMBER(SEARCH(실물목록!$P$2:$P$1001,I281))*(실물목록!$Q$2:$Q$1001&lt;&gt;"")*ISNUMBER(SEARCH(실물목록!$Q$2:$Q$1001,I281))*(실물목록!$R$2:$R$1001="")*(실물목록!$O$2:$O$1001&lt;&gt;""))&gt;0,"확인필요(연도다름)","실물 없음")))))</f>
      </c>
      <c r="G281" t="n" s="16">
        <f aca="0">IF(B281="","",SUMPRODUCT((실물목록!$P$2:$P$1001&lt;&gt;"")*ISNUMBER(SEARCH(실물목록!$P$2:$P$1001,I281))*(실물목록!$Q$2:$Q$1001&lt;&gt;"")*ISNUMBER(SEARCH(실물목록!$Q$2:$Q$1001,I281))*(실물목록!$R$2:$R$1001="")*(실물목록!$O$2:$O$1001&lt;&gt;"")*(실물목록!$O$2:$O$1001=H281)))</f>
      </c>
      <c r="H281" t="str">
        <f>IFERROR(IF(AND(LEN(SUBSTITUTE(SUBSTITUTE(SUBSTITUTE(TRIM(A281&amp;""),CHAR(160),"")," ",""),"년",""))=4,VALUE(SUBSTITUTE(SUBSTITUTE(SUBSTITUTE(TRIM(A281&amp;""),CHAR(160),"")," ",""),"년",""))&gt;=1900,VALUE(SUBSTITUTE(SUBSTITUTE(SUBSTITUTE(TRIM(A281&amp;""),CHAR(160),"")," ",""),"년",""))&lt;=2099,TEXT(VALUE(SUBSTITUTE(SUBSTITUTE(SUBSTITUTE(TRIM(A281&amp;""),CHAR(160),"")," ",""),"년","")),"0000")=SUBSTITUTE(SUBSTITUTE(SUBSTITUTE(TRIM(A281&amp;""),CHAR(160),"")," ",""),"년","")),SUBSTITUTE(SUBSTITUTE(SUBSTITUTE(TRIM(A281&amp;""),CHAR(160),"")," ",""),"년",""),""),"")</f>
      </c>
      <c r="I281" t="str">
        <f>SUBSTITUTE(SUBSTITUTE(SUBSTITUTE(SUBSTITUTE(SUBSTITUTE(TRIM(B281&amp;""),CHAR(160),"")," ",""),"초등학교","초"),"중학교","중"),"고등학교","고")</f>
      </c>
    </row>
    <row r="282" customFormat="false" ht="15" hidden="false" customHeight="false" outlineLevel="0" collapsed="false">
      <c r="A282" s="8"/>
      <c r="B282" s="8"/>
      <c r="C282" s="8"/>
      <c r="D282" s="8"/>
      <c r="E282" s="8"/>
      <c r="F282" t="str" s="15">
        <f aca="0">IF(B282="","",IF(H282="","확인필요(입력누락)",IF(SUMPRODUCT((실물목록!$P$2:$P$1001&lt;&gt;"")*ISNUMBER(SEARCH(실물목록!$P$2:$P$1001,I282))*(실물목록!$Q$2:$Q$1001&lt;&gt;"")*ISNUMBER(SEARCH(실물목록!$Q$2:$Q$1001,I282))*(실물목록!$R$2:$R$1001="")*(실물목록!$O$2:$O$1001&lt;&gt;"")*(실물목록!$O$2:$O$1001=H282))&gt;0,"실물 있음",IF(SUMPRODUCT((실물목록!$P$2:$P$1001&lt;&gt;"")*ISNUMBER(SEARCH(실물목록!$P$2:$P$1001,I282))*(실물목록!$R$2:$R$1001&lt;&gt;""))&gt;0,"확인필요(입력누락)",IF(SUMPRODUCT((실물목록!$P$2:$P$1001&lt;&gt;"")*ISNUMBER(SEARCH(실물목록!$P$2:$P$1001,I282))*(실물목록!$Q$2:$Q$1001&lt;&gt;"")*ISNUMBER(SEARCH(실물목록!$Q$2:$Q$1001,I282))*(실물목록!$R$2:$R$1001="")*(실물목록!$O$2:$O$1001&lt;&gt;""))&gt;0,"확인필요(연도다름)","실물 없음")))))</f>
      </c>
      <c r="G282" t="n" s="16">
        <f aca="0">IF(B282="","",SUMPRODUCT((실물목록!$P$2:$P$1001&lt;&gt;"")*ISNUMBER(SEARCH(실물목록!$P$2:$P$1001,I282))*(실물목록!$Q$2:$Q$1001&lt;&gt;"")*ISNUMBER(SEARCH(실물목록!$Q$2:$Q$1001,I282))*(실물목록!$R$2:$R$1001="")*(실물목록!$O$2:$O$1001&lt;&gt;"")*(실물목록!$O$2:$O$1001=H282)))</f>
      </c>
      <c r="H282" t="str">
        <f>IFERROR(IF(AND(LEN(SUBSTITUTE(SUBSTITUTE(SUBSTITUTE(TRIM(A282&amp;""),CHAR(160),"")," ",""),"년",""))=4,VALUE(SUBSTITUTE(SUBSTITUTE(SUBSTITUTE(TRIM(A282&amp;""),CHAR(160),"")," ",""),"년",""))&gt;=1900,VALUE(SUBSTITUTE(SUBSTITUTE(SUBSTITUTE(TRIM(A282&amp;""),CHAR(160),"")," ",""),"년",""))&lt;=2099,TEXT(VALUE(SUBSTITUTE(SUBSTITUTE(SUBSTITUTE(TRIM(A282&amp;""),CHAR(160),"")," ",""),"년","")),"0000")=SUBSTITUTE(SUBSTITUTE(SUBSTITUTE(TRIM(A282&amp;""),CHAR(160),"")," ",""),"년","")),SUBSTITUTE(SUBSTITUTE(SUBSTITUTE(TRIM(A282&amp;""),CHAR(160),"")," ",""),"년",""),""),"")</f>
      </c>
      <c r="I282" t="str">
        <f>SUBSTITUTE(SUBSTITUTE(SUBSTITUTE(SUBSTITUTE(SUBSTITUTE(TRIM(B282&amp;""),CHAR(160),"")," ",""),"초등학교","초"),"중학교","중"),"고등학교","고")</f>
      </c>
    </row>
    <row r="283" customFormat="false" ht="15" hidden="false" customHeight="false" outlineLevel="0" collapsed="false">
      <c r="A283" s="8"/>
      <c r="B283" s="8"/>
      <c r="C283" s="8"/>
      <c r="D283" s="8"/>
      <c r="E283" s="8"/>
      <c r="F283" t="str" s="15">
        <f aca="0">IF(B283="","",IF(H283="","확인필요(입력누락)",IF(SUMPRODUCT((실물목록!$P$2:$P$1001&lt;&gt;"")*ISNUMBER(SEARCH(실물목록!$P$2:$P$1001,I283))*(실물목록!$Q$2:$Q$1001&lt;&gt;"")*ISNUMBER(SEARCH(실물목록!$Q$2:$Q$1001,I283))*(실물목록!$R$2:$R$1001="")*(실물목록!$O$2:$O$1001&lt;&gt;"")*(실물목록!$O$2:$O$1001=H283))&gt;0,"실물 있음",IF(SUMPRODUCT((실물목록!$P$2:$P$1001&lt;&gt;"")*ISNUMBER(SEARCH(실물목록!$P$2:$P$1001,I283))*(실물목록!$R$2:$R$1001&lt;&gt;""))&gt;0,"확인필요(입력누락)",IF(SUMPRODUCT((실물목록!$P$2:$P$1001&lt;&gt;"")*ISNUMBER(SEARCH(실물목록!$P$2:$P$1001,I283))*(실물목록!$Q$2:$Q$1001&lt;&gt;"")*ISNUMBER(SEARCH(실물목록!$Q$2:$Q$1001,I283))*(실물목록!$R$2:$R$1001="")*(실물목록!$O$2:$O$1001&lt;&gt;""))&gt;0,"확인필요(연도다름)","실물 없음")))))</f>
      </c>
      <c r="G283" t="n" s="16">
        <f aca="0">IF(B283="","",SUMPRODUCT((실물목록!$P$2:$P$1001&lt;&gt;"")*ISNUMBER(SEARCH(실물목록!$P$2:$P$1001,I283))*(실물목록!$Q$2:$Q$1001&lt;&gt;"")*ISNUMBER(SEARCH(실물목록!$Q$2:$Q$1001,I283))*(실물목록!$R$2:$R$1001="")*(실물목록!$O$2:$O$1001&lt;&gt;"")*(실물목록!$O$2:$O$1001=H283)))</f>
      </c>
      <c r="H283" t="str">
        <f>IFERROR(IF(AND(LEN(SUBSTITUTE(SUBSTITUTE(SUBSTITUTE(TRIM(A283&amp;""),CHAR(160),"")," ",""),"년",""))=4,VALUE(SUBSTITUTE(SUBSTITUTE(SUBSTITUTE(TRIM(A283&amp;""),CHAR(160),"")," ",""),"년",""))&gt;=1900,VALUE(SUBSTITUTE(SUBSTITUTE(SUBSTITUTE(TRIM(A283&amp;""),CHAR(160),"")," ",""),"년",""))&lt;=2099,TEXT(VALUE(SUBSTITUTE(SUBSTITUTE(SUBSTITUTE(TRIM(A283&amp;""),CHAR(160),"")," ",""),"년","")),"0000")=SUBSTITUTE(SUBSTITUTE(SUBSTITUTE(TRIM(A283&amp;""),CHAR(160),"")," ",""),"년","")),SUBSTITUTE(SUBSTITUTE(SUBSTITUTE(TRIM(A283&amp;""),CHAR(160),"")," ",""),"년",""),""),"")</f>
      </c>
      <c r="I283" t="str">
        <f>SUBSTITUTE(SUBSTITUTE(SUBSTITUTE(SUBSTITUTE(SUBSTITUTE(TRIM(B283&amp;""),CHAR(160),"")," ",""),"초등학교","초"),"중학교","중"),"고등학교","고")</f>
      </c>
    </row>
    <row r="284" customFormat="false" ht="15" hidden="false" customHeight="false" outlineLevel="0" collapsed="false">
      <c r="A284" s="8"/>
      <c r="B284" s="8"/>
      <c r="C284" s="8"/>
      <c r="D284" s="8"/>
      <c r="E284" s="8"/>
      <c r="F284" t="str" s="15">
        <f aca="0">IF(B284="","",IF(H284="","확인필요(입력누락)",IF(SUMPRODUCT((실물목록!$P$2:$P$1001&lt;&gt;"")*ISNUMBER(SEARCH(실물목록!$P$2:$P$1001,I284))*(실물목록!$Q$2:$Q$1001&lt;&gt;"")*ISNUMBER(SEARCH(실물목록!$Q$2:$Q$1001,I284))*(실물목록!$R$2:$R$1001="")*(실물목록!$O$2:$O$1001&lt;&gt;"")*(실물목록!$O$2:$O$1001=H284))&gt;0,"실물 있음",IF(SUMPRODUCT((실물목록!$P$2:$P$1001&lt;&gt;"")*ISNUMBER(SEARCH(실물목록!$P$2:$P$1001,I284))*(실물목록!$R$2:$R$1001&lt;&gt;""))&gt;0,"확인필요(입력누락)",IF(SUMPRODUCT((실물목록!$P$2:$P$1001&lt;&gt;"")*ISNUMBER(SEARCH(실물목록!$P$2:$P$1001,I284))*(실물목록!$Q$2:$Q$1001&lt;&gt;"")*ISNUMBER(SEARCH(실물목록!$Q$2:$Q$1001,I284))*(실물목록!$R$2:$R$1001="")*(실물목록!$O$2:$O$1001&lt;&gt;""))&gt;0,"확인필요(연도다름)","실물 없음")))))</f>
      </c>
      <c r="G284" t="n" s="16">
        <f aca="0">IF(B284="","",SUMPRODUCT((실물목록!$P$2:$P$1001&lt;&gt;"")*ISNUMBER(SEARCH(실물목록!$P$2:$P$1001,I284))*(실물목록!$Q$2:$Q$1001&lt;&gt;"")*ISNUMBER(SEARCH(실물목록!$Q$2:$Q$1001,I284))*(실물목록!$R$2:$R$1001="")*(실물목록!$O$2:$O$1001&lt;&gt;"")*(실물목록!$O$2:$O$1001=H284)))</f>
      </c>
      <c r="H284" t="str">
        <f>IFERROR(IF(AND(LEN(SUBSTITUTE(SUBSTITUTE(SUBSTITUTE(TRIM(A284&amp;""),CHAR(160),"")," ",""),"년",""))=4,VALUE(SUBSTITUTE(SUBSTITUTE(SUBSTITUTE(TRIM(A284&amp;""),CHAR(160),"")," ",""),"년",""))&gt;=1900,VALUE(SUBSTITUTE(SUBSTITUTE(SUBSTITUTE(TRIM(A284&amp;""),CHAR(160),"")," ",""),"년",""))&lt;=2099,TEXT(VALUE(SUBSTITUTE(SUBSTITUTE(SUBSTITUTE(TRIM(A284&amp;""),CHAR(160),"")," ",""),"년","")),"0000")=SUBSTITUTE(SUBSTITUTE(SUBSTITUTE(TRIM(A284&amp;""),CHAR(160),"")," ",""),"년","")),SUBSTITUTE(SUBSTITUTE(SUBSTITUTE(TRIM(A284&amp;""),CHAR(160),"")," ",""),"년",""),""),"")</f>
      </c>
      <c r="I284" t="str">
        <f>SUBSTITUTE(SUBSTITUTE(SUBSTITUTE(SUBSTITUTE(SUBSTITUTE(TRIM(B284&amp;""),CHAR(160),"")," ",""),"초등학교","초"),"중학교","중"),"고등학교","고")</f>
      </c>
    </row>
    <row r="285" customFormat="false" ht="15" hidden="false" customHeight="false" outlineLevel="0" collapsed="false">
      <c r="A285" s="8"/>
      <c r="B285" s="8"/>
      <c r="C285" s="8"/>
      <c r="D285" s="8"/>
      <c r="E285" s="8"/>
      <c r="F285" t="str" s="15">
        <f aca="0">IF(B285="","",IF(H285="","확인필요(입력누락)",IF(SUMPRODUCT((실물목록!$P$2:$P$1001&lt;&gt;"")*ISNUMBER(SEARCH(실물목록!$P$2:$P$1001,I285))*(실물목록!$Q$2:$Q$1001&lt;&gt;"")*ISNUMBER(SEARCH(실물목록!$Q$2:$Q$1001,I285))*(실물목록!$R$2:$R$1001="")*(실물목록!$O$2:$O$1001&lt;&gt;"")*(실물목록!$O$2:$O$1001=H285))&gt;0,"실물 있음",IF(SUMPRODUCT((실물목록!$P$2:$P$1001&lt;&gt;"")*ISNUMBER(SEARCH(실물목록!$P$2:$P$1001,I285))*(실물목록!$R$2:$R$1001&lt;&gt;""))&gt;0,"확인필요(입력누락)",IF(SUMPRODUCT((실물목록!$P$2:$P$1001&lt;&gt;"")*ISNUMBER(SEARCH(실물목록!$P$2:$P$1001,I285))*(실물목록!$Q$2:$Q$1001&lt;&gt;"")*ISNUMBER(SEARCH(실물목록!$Q$2:$Q$1001,I285))*(실물목록!$R$2:$R$1001="")*(실물목록!$O$2:$O$1001&lt;&gt;""))&gt;0,"확인필요(연도다름)","실물 없음")))))</f>
      </c>
      <c r="G285" t="n" s="16">
        <f aca="0">IF(B285="","",SUMPRODUCT((실물목록!$P$2:$P$1001&lt;&gt;"")*ISNUMBER(SEARCH(실물목록!$P$2:$P$1001,I285))*(실물목록!$Q$2:$Q$1001&lt;&gt;"")*ISNUMBER(SEARCH(실물목록!$Q$2:$Q$1001,I285))*(실물목록!$R$2:$R$1001="")*(실물목록!$O$2:$O$1001&lt;&gt;"")*(실물목록!$O$2:$O$1001=H285)))</f>
      </c>
      <c r="H285" t="str">
        <f>IFERROR(IF(AND(LEN(SUBSTITUTE(SUBSTITUTE(SUBSTITUTE(TRIM(A285&amp;""),CHAR(160),"")," ",""),"년",""))=4,VALUE(SUBSTITUTE(SUBSTITUTE(SUBSTITUTE(TRIM(A285&amp;""),CHAR(160),"")," ",""),"년",""))&gt;=1900,VALUE(SUBSTITUTE(SUBSTITUTE(SUBSTITUTE(TRIM(A285&amp;""),CHAR(160),"")," ",""),"년",""))&lt;=2099,TEXT(VALUE(SUBSTITUTE(SUBSTITUTE(SUBSTITUTE(TRIM(A285&amp;""),CHAR(160),"")," ",""),"년","")),"0000")=SUBSTITUTE(SUBSTITUTE(SUBSTITUTE(TRIM(A285&amp;""),CHAR(160),"")," ",""),"년","")),SUBSTITUTE(SUBSTITUTE(SUBSTITUTE(TRIM(A285&amp;""),CHAR(160),"")," ",""),"년",""),""),"")</f>
      </c>
      <c r="I285" t="str">
        <f>SUBSTITUTE(SUBSTITUTE(SUBSTITUTE(SUBSTITUTE(SUBSTITUTE(TRIM(B285&amp;""),CHAR(160),"")," ",""),"초등학교","초"),"중학교","중"),"고등학교","고")</f>
      </c>
    </row>
    <row r="286" customFormat="false" ht="15" hidden="false" customHeight="false" outlineLevel="0" collapsed="false">
      <c r="A286" s="8"/>
      <c r="B286" s="8"/>
      <c r="C286" s="8"/>
      <c r="D286" s="8"/>
      <c r="E286" s="8"/>
      <c r="F286" t="str" s="15">
        <f aca="0">IF(B286="","",IF(H286="","확인필요(입력누락)",IF(SUMPRODUCT((실물목록!$P$2:$P$1001&lt;&gt;"")*ISNUMBER(SEARCH(실물목록!$P$2:$P$1001,I286))*(실물목록!$Q$2:$Q$1001&lt;&gt;"")*ISNUMBER(SEARCH(실물목록!$Q$2:$Q$1001,I286))*(실물목록!$R$2:$R$1001="")*(실물목록!$O$2:$O$1001&lt;&gt;"")*(실물목록!$O$2:$O$1001=H286))&gt;0,"실물 있음",IF(SUMPRODUCT((실물목록!$P$2:$P$1001&lt;&gt;"")*ISNUMBER(SEARCH(실물목록!$P$2:$P$1001,I286))*(실물목록!$R$2:$R$1001&lt;&gt;""))&gt;0,"확인필요(입력누락)",IF(SUMPRODUCT((실물목록!$P$2:$P$1001&lt;&gt;"")*ISNUMBER(SEARCH(실물목록!$P$2:$P$1001,I286))*(실물목록!$Q$2:$Q$1001&lt;&gt;"")*ISNUMBER(SEARCH(실물목록!$Q$2:$Q$1001,I286))*(실물목록!$R$2:$R$1001="")*(실물목록!$O$2:$O$1001&lt;&gt;""))&gt;0,"확인필요(연도다름)","실물 없음")))))</f>
      </c>
      <c r="G286" t="n" s="16">
        <f aca="0">IF(B286="","",SUMPRODUCT((실물목록!$P$2:$P$1001&lt;&gt;"")*ISNUMBER(SEARCH(실물목록!$P$2:$P$1001,I286))*(실물목록!$Q$2:$Q$1001&lt;&gt;"")*ISNUMBER(SEARCH(실물목록!$Q$2:$Q$1001,I286))*(실물목록!$R$2:$R$1001="")*(실물목록!$O$2:$O$1001&lt;&gt;"")*(실물목록!$O$2:$O$1001=H286)))</f>
      </c>
      <c r="H286" t="str">
        <f>IFERROR(IF(AND(LEN(SUBSTITUTE(SUBSTITUTE(SUBSTITUTE(TRIM(A286&amp;""),CHAR(160),"")," ",""),"년",""))=4,VALUE(SUBSTITUTE(SUBSTITUTE(SUBSTITUTE(TRIM(A286&amp;""),CHAR(160),"")," ",""),"년",""))&gt;=1900,VALUE(SUBSTITUTE(SUBSTITUTE(SUBSTITUTE(TRIM(A286&amp;""),CHAR(160),"")," ",""),"년",""))&lt;=2099,TEXT(VALUE(SUBSTITUTE(SUBSTITUTE(SUBSTITUTE(TRIM(A286&amp;""),CHAR(160),"")," ",""),"년","")),"0000")=SUBSTITUTE(SUBSTITUTE(SUBSTITUTE(TRIM(A286&amp;""),CHAR(160),"")," ",""),"년","")),SUBSTITUTE(SUBSTITUTE(SUBSTITUTE(TRIM(A286&amp;""),CHAR(160),"")," ",""),"년",""),""),"")</f>
      </c>
      <c r="I286" t="str">
        <f>SUBSTITUTE(SUBSTITUTE(SUBSTITUTE(SUBSTITUTE(SUBSTITUTE(TRIM(B286&amp;""),CHAR(160),"")," ",""),"초등학교","초"),"중학교","중"),"고등학교","고")</f>
      </c>
    </row>
    <row r="287" customFormat="false" ht="15" hidden="false" customHeight="false" outlineLevel="0" collapsed="false">
      <c r="A287" s="8"/>
      <c r="B287" s="8"/>
      <c r="C287" s="8"/>
      <c r="D287" s="8"/>
      <c r="E287" s="8"/>
      <c r="F287" t="str" s="15">
        <f aca="0">IF(B287="","",IF(H287="","확인필요(입력누락)",IF(SUMPRODUCT((실물목록!$P$2:$P$1001&lt;&gt;"")*ISNUMBER(SEARCH(실물목록!$P$2:$P$1001,I287))*(실물목록!$Q$2:$Q$1001&lt;&gt;"")*ISNUMBER(SEARCH(실물목록!$Q$2:$Q$1001,I287))*(실물목록!$R$2:$R$1001="")*(실물목록!$O$2:$O$1001&lt;&gt;"")*(실물목록!$O$2:$O$1001=H287))&gt;0,"실물 있음",IF(SUMPRODUCT((실물목록!$P$2:$P$1001&lt;&gt;"")*ISNUMBER(SEARCH(실물목록!$P$2:$P$1001,I287))*(실물목록!$R$2:$R$1001&lt;&gt;""))&gt;0,"확인필요(입력누락)",IF(SUMPRODUCT((실물목록!$P$2:$P$1001&lt;&gt;"")*ISNUMBER(SEARCH(실물목록!$P$2:$P$1001,I287))*(실물목록!$Q$2:$Q$1001&lt;&gt;"")*ISNUMBER(SEARCH(실물목록!$Q$2:$Q$1001,I287))*(실물목록!$R$2:$R$1001="")*(실물목록!$O$2:$O$1001&lt;&gt;""))&gt;0,"확인필요(연도다름)","실물 없음")))))</f>
      </c>
      <c r="G287" t="n" s="16">
        <f aca="0">IF(B287="","",SUMPRODUCT((실물목록!$P$2:$P$1001&lt;&gt;"")*ISNUMBER(SEARCH(실물목록!$P$2:$P$1001,I287))*(실물목록!$Q$2:$Q$1001&lt;&gt;"")*ISNUMBER(SEARCH(실물목록!$Q$2:$Q$1001,I287))*(실물목록!$R$2:$R$1001="")*(실물목록!$O$2:$O$1001&lt;&gt;"")*(실물목록!$O$2:$O$1001=H287)))</f>
      </c>
      <c r="H287" t="str">
        <f>IFERROR(IF(AND(LEN(SUBSTITUTE(SUBSTITUTE(SUBSTITUTE(TRIM(A287&amp;""),CHAR(160),"")," ",""),"년",""))=4,VALUE(SUBSTITUTE(SUBSTITUTE(SUBSTITUTE(TRIM(A287&amp;""),CHAR(160),"")," ",""),"년",""))&gt;=1900,VALUE(SUBSTITUTE(SUBSTITUTE(SUBSTITUTE(TRIM(A287&amp;""),CHAR(160),"")," ",""),"년",""))&lt;=2099,TEXT(VALUE(SUBSTITUTE(SUBSTITUTE(SUBSTITUTE(TRIM(A287&amp;""),CHAR(160),"")," ",""),"년","")),"0000")=SUBSTITUTE(SUBSTITUTE(SUBSTITUTE(TRIM(A287&amp;""),CHAR(160),"")," ",""),"년","")),SUBSTITUTE(SUBSTITUTE(SUBSTITUTE(TRIM(A287&amp;""),CHAR(160),"")," ",""),"년",""),""),"")</f>
      </c>
      <c r="I287" t="str">
        <f>SUBSTITUTE(SUBSTITUTE(SUBSTITUTE(SUBSTITUTE(SUBSTITUTE(TRIM(B287&amp;""),CHAR(160),"")," ",""),"초등학교","초"),"중학교","중"),"고등학교","고")</f>
      </c>
    </row>
    <row r="288" customFormat="false" ht="15" hidden="false" customHeight="false" outlineLevel="0" collapsed="false">
      <c r="A288" s="8"/>
      <c r="B288" s="8"/>
      <c r="C288" s="8"/>
      <c r="D288" s="8"/>
      <c r="E288" s="8"/>
      <c r="F288" t="str" s="15">
        <f aca="0">IF(B288="","",IF(H288="","확인필요(입력누락)",IF(SUMPRODUCT((실물목록!$P$2:$P$1001&lt;&gt;"")*ISNUMBER(SEARCH(실물목록!$P$2:$P$1001,I288))*(실물목록!$Q$2:$Q$1001&lt;&gt;"")*ISNUMBER(SEARCH(실물목록!$Q$2:$Q$1001,I288))*(실물목록!$R$2:$R$1001="")*(실물목록!$O$2:$O$1001&lt;&gt;"")*(실물목록!$O$2:$O$1001=H288))&gt;0,"실물 있음",IF(SUMPRODUCT((실물목록!$P$2:$P$1001&lt;&gt;"")*ISNUMBER(SEARCH(실물목록!$P$2:$P$1001,I288))*(실물목록!$R$2:$R$1001&lt;&gt;""))&gt;0,"확인필요(입력누락)",IF(SUMPRODUCT((실물목록!$P$2:$P$1001&lt;&gt;"")*ISNUMBER(SEARCH(실물목록!$P$2:$P$1001,I288))*(실물목록!$Q$2:$Q$1001&lt;&gt;"")*ISNUMBER(SEARCH(실물목록!$Q$2:$Q$1001,I288))*(실물목록!$R$2:$R$1001="")*(실물목록!$O$2:$O$1001&lt;&gt;""))&gt;0,"확인필요(연도다름)","실물 없음")))))</f>
      </c>
      <c r="G288" t="n" s="16">
        <f aca="0">IF(B288="","",SUMPRODUCT((실물목록!$P$2:$P$1001&lt;&gt;"")*ISNUMBER(SEARCH(실물목록!$P$2:$P$1001,I288))*(실물목록!$Q$2:$Q$1001&lt;&gt;"")*ISNUMBER(SEARCH(실물목록!$Q$2:$Q$1001,I288))*(실물목록!$R$2:$R$1001="")*(실물목록!$O$2:$O$1001&lt;&gt;"")*(실물목록!$O$2:$O$1001=H288)))</f>
      </c>
      <c r="H288" t="str">
        <f>IFERROR(IF(AND(LEN(SUBSTITUTE(SUBSTITUTE(SUBSTITUTE(TRIM(A288&amp;""),CHAR(160),"")," ",""),"년",""))=4,VALUE(SUBSTITUTE(SUBSTITUTE(SUBSTITUTE(TRIM(A288&amp;""),CHAR(160),"")," ",""),"년",""))&gt;=1900,VALUE(SUBSTITUTE(SUBSTITUTE(SUBSTITUTE(TRIM(A288&amp;""),CHAR(160),"")," ",""),"년",""))&lt;=2099,TEXT(VALUE(SUBSTITUTE(SUBSTITUTE(SUBSTITUTE(TRIM(A288&amp;""),CHAR(160),"")," ",""),"년","")),"0000")=SUBSTITUTE(SUBSTITUTE(SUBSTITUTE(TRIM(A288&amp;""),CHAR(160),"")," ",""),"년","")),SUBSTITUTE(SUBSTITUTE(SUBSTITUTE(TRIM(A288&amp;""),CHAR(160),"")," ",""),"년",""),""),"")</f>
      </c>
      <c r="I288" t="str">
        <f>SUBSTITUTE(SUBSTITUTE(SUBSTITUTE(SUBSTITUTE(SUBSTITUTE(TRIM(B288&amp;""),CHAR(160),"")," ",""),"초등학교","초"),"중학교","중"),"고등학교","고")</f>
      </c>
    </row>
    <row r="289" customFormat="false" ht="15" hidden="false" customHeight="false" outlineLevel="0" collapsed="false">
      <c r="A289" s="8"/>
      <c r="B289" s="8"/>
      <c r="C289" s="8"/>
      <c r="D289" s="8"/>
      <c r="E289" s="8"/>
      <c r="F289" t="str" s="15">
        <f aca="0">IF(B289="","",IF(H289="","확인필요(입력누락)",IF(SUMPRODUCT((실물목록!$P$2:$P$1001&lt;&gt;"")*ISNUMBER(SEARCH(실물목록!$P$2:$P$1001,I289))*(실물목록!$Q$2:$Q$1001&lt;&gt;"")*ISNUMBER(SEARCH(실물목록!$Q$2:$Q$1001,I289))*(실물목록!$R$2:$R$1001="")*(실물목록!$O$2:$O$1001&lt;&gt;"")*(실물목록!$O$2:$O$1001=H289))&gt;0,"실물 있음",IF(SUMPRODUCT((실물목록!$P$2:$P$1001&lt;&gt;"")*ISNUMBER(SEARCH(실물목록!$P$2:$P$1001,I289))*(실물목록!$R$2:$R$1001&lt;&gt;""))&gt;0,"확인필요(입력누락)",IF(SUMPRODUCT((실물목록!$P$2:$P$1001&lt;&gt;"")*ISNUMBER(SEARCH(실물목록!$P$2:$P$1001,I289))*(실물목록!$Q$2:$Q$1001&lt;&gt;"")*ISNUMBER(SEARCH(실물목록!$Q$2:$Q$1001,I289))*(실물목록!$R$2:$R$1001="")*(실물목록!$O$2:$O$1001&lt;&gt;""))&gt;0,"확인필요(연도다름)","실물 없음")))))</f>
      </c>
      <c r="G289" t="n" s="16">
        <f aca="0">IF(B289="","",SUMPRODUCT((실물목록!$P$2:$P$1001&lt;&gt;"")*ISNUMBER(SEARCH(실물목록!$P$2:$P$1001,I289))*(실물목록!$Q$2:$Q$1001&lt;&gt;"")*ISNUMBER(SEARCH(실물목록!$Q$2:$Q$1001,I289))*(실물목록!$R$2:$R$1001="")*(실물목록!$O$2:$O$1001&lt;&gt;"")*(실물목록!$O$2:$O$1001=H289)))</f>
      </c>
      <c r="H289" t="str">
        <f>IFERROR(IF(AND(LEN(SUBSTITUTE(SUBSTITUTE(SUBSTITUTE(TRIM(A289&amp;""),CHAR(160),"")," ",""),"년",""))=4,VALUE(SUBSTITUTE(SUBSTITUTE(SUBSTITUTE(TRIM(A289&amp;""),CHAR(160),"")," ",""),"년",""))&gt;=1900,VALUE(SUBSTITUTE(SUBSTITUTE(SUBSTITUTE(TRIM(A289&amp;""),CHAR(160),"")," ",""),"년",""))&lt;=2099,TEXT(VALUE(SUBSTITUTE(SUBSTITUTE(SUBSTITUTE(TRIM(A289&amp;""),CHAR(160),"")," ",""),"년","")),"0000")=SUBSTITUTE(SUBSTITUTE(SUBSTITUTE(TRIM(A289&amp;""),CHAR(160),"")," ",""),"년","")),SUBSTITUTE(SUBSTITUTE(SUBSTITUTE(TRIM(A289&amp;""),CHAR(160),"")," ",""),"년",""),""),"")</f>
      </c>
      <c r="I289" t="str">
        <f>SUBSTITUTE(SUBSTITUTE(SUBSTITUTE(SUBSTITUTE(SUBSTITUTE(TRIM(B289&amp;""),CHAR(160),"")," ",""),"초등학교","초"),"중학교","중"),"고등학교","고")</f>
      </c>
    </row>
    <row r="290" customFormat="false" ht="15" hidden="false" customHeight="false" outlineLevel="0" collapsed="false">
      <c r="A290" s="8"/>
      <c r="B290" s="8"/>
      <c r="C290" s="8"/>
      <c r="D290" s="8"/>
      <c r="E290" s="8"/>
      <c r="F290" t="str" s="15">
        <f aca="0">IF(B290="","",IF(H290="","확인필요(입력누락)",IF(SUMPRODUCT((실물목록!$P$2:$P$1001&lt;&gt;"")*ISNUMBER(SEARCH(실물목록!$P$2:$P$1001,I290))*(실물목록!$Q$2:$Q$1001&lt;&gt;"")*ISNUMBER(SEARCH(실물목록!$Q$2:$Q$1001,I290))*(실물목록!$R$2:$R$1001="")*(실물목록!$O$2:$O$1001&lt;&gt;"")*(실물목록!$O$2:$O$1001=H290))&gt;0,"실물 있음",IF(SUMPRODUCT((실물목록!$P$2:$P$1001&lt;&gt;"")*ISNUMBER(SEARCH(실물목록!$P$2:$P$1001,I290))*(실물목록!$R$2:$R$1001&lt;&gt;""))&gt;0,"확인필요(입력누락)",IF(SUMPRODUCT((실물목록!$P$2:$P$1001&lt;&gt;"")*ISNUMBER(SEARCH(실물목록!$P$2:$P$1001,I290))*(실물목록!$Q$2:$Q$1001&lt;&gt;"")*ISNUMBER(SEARCH(실물목록!$Q$2:$Q$1001,I290))*(실물목록!$R$2:$R$1001="")*(실물목록!$O$2:$O$1001&lt;&gt;""))&gt;0,"확인필요(연도다름)","실물 없음")))))</f>
      </c>
      <c r="G290" t="n" s="16">
        <f aca="0">IF(B290="","",SUMPRODUCT((실물목록!$P$2:$P$1001&lt;&gt;"")*ISNUMBER(SEARCH(실물목록!$P$2:$P$1001,I290))*(실물목록!$Q$2:$Q$1001&lt;&gt;"")*ISNUMBER(SEARCH(실물목록!$Q$2:$Q$1001,I290))*(실물목록!$R$2:$R$1001="")*(실물목록!$O$2:$O$1001&lt;&gt;"")*(실물목록!$O$2:$O$1001=H290)))</f>
      </c>
      <c r="H290" t="str">
        <f>IFERROR(IF(AND(LEN(SUBSTITUTE(SUBSTITUTE(SUBSTITUTE(TRIM(A290&amp;""),CHAR(160),"")," ",""),"년",""))=4,VALUE(SUBSTITUTE(SUBSTITUTE(SUBSTITUTE(TRIM(A290&amp;""),CHAR(160),"")," ",""),"년",""))&gt;=1900,VALUE(SUBSTITUTE(SUBSTITUTE(SUBSTITUTE(TRIM(A290&amp;""),CHAR(160),"")," ",""),"년",""))&lt;=2099,TEXT(VALUE(SUBSTITUTE(SUBSTITUTE(SUBSTITUTE(TRIM(A290&amp;""),CHAR(160),"")," ",""),"년","")),"0000")=SUBSTITUTE(SUBSTITUTE(SUBSTITUTE(TRIM(A290&amp;""),CHAR(160),"")," ",""),"년","")),SUBSTITUTE(SUBSTITUTE(SUBSTITUTE(TRIM(A290&amp;""),CHAR(160),"")," ",""),"년",""),""),"")</f>
      </c>
      <c r="I290" t="str">
        <f>SUBSTITUTE(SUBSTITUTE(SUBSTITUTE(SUBSTITUTE(SUBSTITUTE(TRIM(B290&amp;""),CHAR(160),"")," ",""),"초등학교","초"),"중학교","중"),"고등학교","고")</f>
      </c>
    </row>
    <row r="291" customFormat="false" ht="15" hidden="false" customHeight="false" outlineLevel="0" collapsed="false">
      <c r="A291" s="8"/>
      <c r="B291" s="8"/>
      <c r="C291" s="8"/>
      <c r="D291" s="8"/>
      <c r="E291" s="8"/>
      <c r="F291" t="str" s="15">
        <f aca="0">IF(B291="","",IF(H291="","확인필요(입력누락)",IF(SUMPRODUCT((실물목록!$P$2:$P$1001&lt;&gt;"")*ISNUMBER(SEARCH(실물목록!$P$2:$P$1001,I291))*(실물목록!$Q$2:$Q$1001&lt;&gt;"")*ISNUMBER(SEARCH(실물목록!$Q$2:$Q$1001,I291))*(실물목록!$R$2:$R$1001="")*(실물목록!$O$2:$O$1001&lt;&gt;"")*(실물목록!$O$2:$O$1001=H291))&gt;0,"실물 있음",IF(SUMPRODUCT((실물목록!$P$2:$P$1001&lt;&gt;"")*ISNUMBER(SEARCH(실물목록!$P$2:$P$1001,I291))*(실물목록!$R$2:$R$1001&lt;&gt;""))&gt;0,"확인필요(입력누락)",IF(SUMPRODUCT((실물목록!$P$2:$P$1001&lt;&gt;"")*ISNUMBER(SEARCH(실물목록!$P$2:$P$1001,I291))*(실물목록!$Q$2:$Q$1001&lt;&gt;"")*ISNUMBER(SEARCH(실물목록!$Q$2:$Q$1001,I291))*(실물목록!$R$2:$R$1001="")*(실물목록!$O$2:$O$1001&lt;&gt;""))&gt;0,"확인필요(연도다름)","실물 없음")))))</f>
      </c>
      <c r="G291" t="n" s="16">
        <f aca="0">IF(B291="","",SUMPRODUCT((실물목록!$P$2:$P$1001&lt;&gt;"")*ISNUMBER(SEARCH(실물목록!$P$2:$P$1001,I291))*(실물목록!$Q$2:$Q$1001&lt;&gt;"")*ISNUMBER(SEARCH(실물목록!$Q$2:$Q$1001,I291))*(실물목록!$R$2:$R$1001="")*(실물목록!$O$2:$O$1001&lt;&gt;"")*(실물목록!$O$2:$O$1001=H291)))</f>
      </c>
      <c r="H291" t="str">
        <f>IFERROR(IF(AND(LEN(SUBSTITUTE(SUBSTITUTE(SUBSTITUTE(TRIM(A291&amp;""),CHAR(160),"")," ",""),"년",""))=4,VALUE(SUBSTITUTE(SUBSTITUTE(SUBSTITUTE(TRIM(A291&amp;""),CHAR(160),"")," ",""),"년",""))&gt;=1900,VALUE(SUBSTITUTE(SUBSTITUTE(SUBSTITUTE(TRIM(A291&amp;""),CHAR(160),"")," ",""),"년",""))&lt;=2099,TEXT(VALUE(SUBSTITUTE(SUBSTITUTE(SUBSTITUTE(TRIM(A291&amp;""),CHAR(160),"")," ",""),"년","")),"0000")=SUBSTITUTE(SUBSTITUTE(SUBSTITUTE(TRIM(A291&amp;""),CHAR(160),"")," ",""),"년","")),SUBSTITUTE(SUBSTITUTE(SUBSTITUTE(TRIM(A291&amp;""),CHAR(160),"")," ",""),"년",""),""),"")</f>
      </c>
      <c r="I291" t="str">
        <f>SUBSTITUTE(SUBSTITUTE(SUBSTITUTE(SUBSTITUTE(SUBSTITUTE(TRIM(B291&amp;""),CHAR(160),"")," ",""),"초등학교","초"),"중학교","중"),"고등학교","고")</f>
      </c>
    </row>
    <row r="292" customFormat="false" ht="15" hidden="false" customHeight="false" outlineLevel="0" collapsed="false">
      <c r="A292" s="8"/>
      <c r="B292" s="8"/>
      <c r="C292" s="8"/>
      <c r="D292" s="8"/>
      <c r="E292" s="8"/>
      <c r="F292" t="str" s="15">
        <f aca="0">IF(B292="","",IF(H292="","확인필요(입력누락)",IF(SUMPRODUCT((실물목록!$P$2:$P$1001&lt;&gt;"")*ISNUMBER(SEARCH(실물목록!$P$2:$P$1001,I292))*(실물목록!$Q$2:$Q$1001&lt;&gt;"")*ISNUMBER(SEARCH(실물목록!$Q$2:$Q$1001,I292))*(실물목록!$R$2:$R$1001="")*(실물목록!$O$2:$O$1001&lt;&gt;"")*(실물목록!$O$2:$O$1001=H292))&gt;0,"실물 있음",IF(SUMPRODUCT((실물목록!$P$2:$P$1001&lt;&gt;"")*ISNUMBER(SEARCH(실물목록!$P$2:$P$1001,I292))*(실물목록!$R$2:$R$1001&lt;&gt;""))&gt;0,"확인필요(입력누락)",IF(SUMPRODUCT((실물목록!$P$2:$P$1001&lt;&gt;"")*ISNUMBER(SEARCH(실물목록!$P$2:$P$1001,I292))*(실물목록!$Q$2:$Q$1001&lt;&gt;"")*ISNUMBER(SEARCH(실물목록!$Q$2:$Q$1001,I292))*(실물목록!$R$2:$R$1001="")*(실물목록!$O$2:$O$1001&lt;&gt;""))&gt;0,"확인필요(연도다름)","실물 없음")))))</f>
      </c>
      <c r="G292" t="n" s="16">
        <f aca="0">IF(B292="","",SUMPRODUCT((실물목록!$P$2:$P$1001&lt;&gt;"")*ISNUMBER(SEARCH(실물목록!$P$2:$P$1001,I292))*(실물목록!$Q$2:$Q$1001&lt;&gt;"")*ISNUMBER(SEARCH(실물목록!$Q$2:$Q$1001,I292))*(실물목록!$R$2:$R$1001="")*(실물목록!$O$2:$O$1001&lt;&gt;"")*(실물목록!$O$2:$O$1001=H292)))</f>
      </c>
      <c r="H292" t="str">
        <f>IFERROR(IF(AND(LEN(SUBSTITUTE(SUBSTITUTE(SUBSTITUTE(TRIM(A292&amp;""),CHAR(160),"")," ",""),"년",""))=4,VALUE(SUBSTITUTE(SUBSTITUTE(SUBSTITUTE(TRIM(A292&amp;""),CHAR(160),"")," ",""),"년",""))&gt;=1900,VALUE(SUBSTITUTE(SUBSTITUTE(SUBSTITUTE(TRIM(A292&amp;""),CHAR(160),"")," ",""),"년",""))&lt;=2099,TEXT(VALUE(SUBSTITUTE(SUBSTITUTE(SUBSTITUTE(TRIM(A292&amp;""),CHAR(160),"")," ",""),"년","")),"0000")=SUBSTITUTE(SUBSTITUTE(SUBSTITUTE(TRIM(A292&amp;""),CHAR(160),"")," ",""),"년","")),SUBSTITUTE(SUBSTITUTE(SUBSTITUTE(TRIM(A292&amp;""),CHAR(160),"")," ",""),"년",""),""),"")</f>
      </c>
      <c r="I292" t="str">
        <f>SUBSTITUTE(SUBSTITUTE(SUBSTITUTE(SUBSTITUTE(SUBSTITUTE(TRIM(B292&amp;""),CHAR(160),"")," ",""),"초등학교","초"),"중학교","중"),"고등학교","고")</f>
      </c>
    </row>
    <row r="293" customFormat="false" ht="15" hidden="false" customHeight="false" outlineLevel="0" collapsed="false">
      <c r="A293" s="8"/>
      <c r="B293" s="8"/>
      <c r="C293" s="8"/>
      <c r="D293" s="8"/>
      <c r="E293" s="8"/>
      <c r="F293" t="str" s="15">
        <f aca="0">IF(B293="","",IF(H293="","확인필요(입력누락)",IF(SUMPRODUCT((실물목록!$P$2:$P$1001&lt;&gt;"")*ISNUMBER(SEARCH(실물목록!$P$2:$P$1001,I293))*(실물목록!$Q$2:$Q$1001&lt;&gt;"")*ISNUMBER(SEARCH(실물목록!$Q$2:$Q$1001,I293))*(실물목록!$R$2:$R$1001="")*(실물목록!$O$2:$O$1001&lt;&gt;"")*(실물목록!$O$2:$O$1001=H293))&gt;0,"실물 있음",IF(SUMPRODUCT((실물목록!$P$2:$P$1001&lt;&gt;"")*ISNUMBER(SEARCH(실물목록!$P$2:$P$1001,I293))*(실물목록!$R$2:$R$1001&lt;&gt;""))&gt;0,"확인필요(입력누락)",IF(SUMPRODUCT((실물목록!$P$2:$P$1001&lt;&gt;"")*ISNUMBER(SEARCH(실물목록!$P$2:$P$1001,I293))*(실물목록!$Q$2:$Q$1001&lt;&gt;"")*ISNUMBER(SEARCH(실물목록!$Q$2:$Q$1001,I293))*(실물목록!$R$2:$R$1001="")*(실물목록!$O$2:$O$1001&lt;&gt;""))&gt;0,"확인필요(연도다름)","실물 없음")))))</f>
      </c>
      <c r="G293" t="n" s="16">
        <f aca="0">IF(B293="","",SUMPRODUCT((실물목록!$P$2:$P$1001&lt;&gt;"")*ISNUMBER(SEARCH(실물목록!$P$2:$P$1001,I293))*(실물목록!$Q$2:$Q$1001&lt;&gt;"")*ISNUMBER(SEARCH(실물목록!$Q$2:$Q$1001,I293))*(실물목록!$R$2:$R$1001="")*(실물목록!$O$2:$O$1001&lt;&gt;"")*(실물목록!$O$2:$O$1001=H293)))</f>
      </c>
      <c r="H293" t="str">
        <f>IFERROR(IF(AND(LEN(SUBSTITUTE(SUBSTITUTE(SUBSTITUTE(TRIM(A293&amp;""),CHAR(160),"")," ",""),"년",""))=4,VALUE(SUBSTITUTE(SUBSTITUTE(SUBSTITUTE(TRIM(A293&amp;""),CHAR(160),"")," ",""),"년",""))&gt;=1900,VALUE(SUBSTITUTE(SUBSTITUTE(SUBSTITUTE(TRIM(A293&amp;""),CHAR(160),"")," ",""),"년",""))&lt;=2099,TEXT(VALUE(SUBSTITUTE(SUBSTITUTE(SUBSTITUTE(TRIM(A293&amp;""),CHAR(160),"")," ",""),"년","")),"0000")=SUBSTITUTE(SUBSTITUTE(SUBSTITUTE(TRIM(A293&amp;""),CHAR(160),"")," ",""),"년","")),SUBSTITUTE(SUBSTITUTE(SUBSTITUTE(TRIM(A293&amp;""),CHAR(160),"")," ",""),"년",""),""),"")</f>
      </c>
      <c r="I293" t="str">
        <f>SUBSTITUTE(SUBSTITUTE(SUBSTITUTE(SUBSTITUTE(SUBSTITUTE(TRIM(B293&amp;""),CHAR(160),"")," ",""),"초등학교","초"),"중학교","중"),"고등학교","고")</f>
      </c>
    </row>
    <row r="294" customFormat="false" ht="15" hidden="false" customHeight="false" outlineLevel="0" collapsed="false">
      <c r="A294" s="8"/>
      <c r="B294" s="8"/>
      <c r="C294" s="8"/>
      <c r="D294" s="8"/>
      <c r="E294" s="8"/>
      <c r="F294" t="str" s="15">
        <f aca="0">IF(B294="","",IF(H294="","확인필요(입력누락)",IF(SUMPRODUCT((실물목록!$P$2:$P$1001&lt;&gt;"")*ISNUMBER(SEARCH(실물목록!$P$2:$P$1001,I294))*(실물목록!$Q$2:$Q$1001&lt;&gt;"")*ISNUMBER(SEARCH(실물목록!$Q$2:$Q$1001,I294))*(실물목록!$R$2:$R$1001="")*(실물목록!$O$2:$O$1001&lt;&gt;"")*(실물목록!$O$2:$O$1001=H294))&gt;0,"실물 있음",IF(SUMPRODUCT((실물목록!$P$2:$P$1001&lt;&gt;"")*ISNUMBER(SEARCH(실물목록!$P$2:$P$1001,I294))*(실물목록!$R$2:$R$1001&lt;&gt;""))&gt;0,"확인필요(입력누락)",IF(SUMPRODUCT((실물목록!$P$2:$P$1001&lt;&gt;"")*ISNUMBER(SEARCH(실물목록!$P$2:$P$1001,I294))*(실물목록!$Q$2:$Q$1001&lt;&gt;"")*ISNUMBER(SEARCH(실물목록!$Q$2:$Q$1001,I294))*(실물목록!$R$2:$R$1001="")*(실물목록!$O$2:$O$1001&lt;&gt;""))&gt;0,"확인필요(연도다름)","실물 없음")))))</f>
      </c>
      <c r="G294" t="n" s="16">
        <f aca="0">IF(B294="","",SUMPRODUCT((실물목록!$P$2:$P$1001&lt;&gt;"")*ISNUMBER(SEARCH(실물목록!$P$2:$P$1001,I294))*(실물목록!$Q$2:$Q$1001&lt;&gt;"")*ISNUMBER(SEARCH(실물목록!$Q$2:$Q$1001,I294))*(실물목록!$R$2:$R$1001="")*(실물목록!$O$2:$O$1001&lt;&gt;"")*(실물목록!$O$2:$O$1001=H294)))</f>
      </c>
      <c r="H294" t="str">
        <f>IFERROR(IF(AND(LEN(SUBSTITUTE(SUBSTITUTE(SUBSTITUTE(TRIM(A294&amp;""),CHAR(160),"")," ",""),"년",""))=4,VALUE(SUBSTITUTE(SUBSTITUTE(SUBSTITUTE(TRIM(A294&amp;""),CHAR(160),"")," ",""),"년",""))&gt;=1900,VALUE(SUBSTITUTE(SUBSTITUTE(SUBSTITUTE(TRIM(A294&amp;""),CHAR(160),"")," ",""),"년",""))&lt;=2099,TEXT(VALUE(SUBSTITUTE(SUBSTITUTE(SUBSTITUTE(TRIM(A294&amp;""),CHAR(160),"")," ",""),"년","")),"0000")=SUBSTITUTE(SUBSTITUTE(SUBSTITUTE(TRIM(A294&amp;""),CHAR(160),"")," ",""),"년","")),SUBSTITUTE(SUBSTITUTE(SUBSTITUTE(TRIM(A294&amp;""),CHAR(160),"")," ",""),"년",""),""),"")</f>
      </c>
      <c r="I294" t="str">
        <f>SUBSTITUTE(SUBSTITUTE(SUBSTITUTE(SUBSTITUTE(SUBSTITUTE(TRIM(B294&amp;""),CHAR(160),"")," ",""),"초등학교","초"),"중학교","중"),"고등학교","고")</f>
      </c>
    </row>
    <row r="295" customFormat="false" ht="15" hidden="false" customHeight="false" outlineLevel="0" collapsed="false">
      <c r="A295" s="8"/>
      <c r="B295" s="8"/>
      <c r="C295" s="8"/>
      <c r="D295" s="8"/>
      <c r="E295" s="8"/>
      <c r="F295" t="str" s="15">
        <f aca="0">IF(B295="","",IF(H295="","확인필요(입력누락)",IF(SUMPRODUCT((실물목록!$P$2:$P$1001&lt;&gt;"")*ISNUMBER(SEARCH(실물목록!$P$2:$P$1001,I295))*(실물목록!$Q$2:$Q$1001&lt;&gt;"")*ISNUMBER(SEARCH(실물목록!$Q$2:$Q$1001,I295))*(실물목록!$R$2:$R$1001="")*(실물목록!$O$2:$O$1001&lt;&gt;"")*(실물목록!$O$2:$O$1001=H295))&gt;0,"실물 있음",IF(SUMPRODUCT((실물목록!$P$2:$P$1001&lt;&gt;"")*ISNUMBER(SEARCH(실물목록!$P$2:$P$1001,I295))*(실물목록!$R$2:$R$1001&lt;&gt;""))&gt;0,"확인필요(입력누락)",IF(SUMPRODUCT((실물목록!$P$2:$P$1001&lt;&gt;"")*ISNUMBER(SEARCH(실물목록!$P$2:$P$1001,I295))*(실물목록!$Q$2:$Q$1001&lt;&gt;"")*ISNUMBER(SEARCH(실물목록!$Q$2:$Q$1001,I295))*(실물목록!$R$2:$R$1001="")*(실물목록!$O$2:$O$1001&lt;&gt;""))&gt;0,"확인필요(연도다름)","실물 없음")))))</f>
      </c>
      <c r="G295" t="n" s="16">
        <f aca="0">IF(B295="","",SUMPRODUCT((실물목록!$P$2:$P$1001&lt;&gt;"")*ISNUMBER(SEARCH(실물목록!$P$2:$P$1001,I295))*(실물목록!$Q$2:$Q$1001&lt;&gt;"")*ISNUMBER(SEARCH(실물목록!$Q$2:$Q$1001,I295))*(실물목록!$R$2:$R$1001="")*(실물목록!$O$2:$O$1001&lt;&gt;"")*(실물목록!$O$2:$O$1001=H295)))</f>
      </c>
      <c r="H295" t="str">
        <f>IFERROR(IF(AND(LEN(SUBSTITUTE(SUBSTITUTE(SUBSTITUTE(TRIM(A295&amp;""),CHAR(160),"")," ",""),"년",""))=4,VALUE(SUBSTITUTE(SUBSTITUTE(SUBSTITUTE(TRIM(A295&amp;""),CHAR(160),"")," ",""),"년",""))&gt;=1900,VALUE(SUBSTITUTE(SUBSTITUTE(SUBSTITUTE(TRIM(A295&amp;""),CHAR(160),"")," ",""),"년",""))&lt;=2099,TEXT(VALUE(SUBSTITUTE(SUBSTITUTE(SUBSTITUTE(TRIM(A295&amp;""),CHAR(160),"")," ",""),"년","")),"0000")=SUBSTITUTE(SUBSTITUTE(SUBSTITUTE(TRIM(A295&amp;""),CHAR(160),"")," ",""),"년","")),SUBSTITUTE(SUBSTITUTE(SUBSTITUTE(TRIM(A295&amp;""),CHAR(160),"")," ",""),"년",""),""),"")</f>
      </c>
      <c r="I295" t="str">
        <f>SUBSTITUTE(SUBSTITUTE(SUBSTITUTE(SUBSTITUTE(SUBSTITUTE(TRIM(B295&amp;""),CHAR(160),"")," ",""),"초등학교","초"),"중학교","중"),"고등학교","고")</f>
      </c>
    </row>
    <row r="296" customFormat="false" ht="15" hidden="false" customHeight="false" outlineLevel="0" collapsed="false">
      <c r="A296" s="8"/>
      <c r="B296" s="8"/>
      <c r="C296" s="8"/>
      <c r="D296" s="8"/>
      <c r="E296" s="8"/>
      <c r="F296" t="str" s="15">
        <f aca="0">IF(B296="","",IF(H296="","확인필요(입력누락)",IF(SUMPRODUCT((실물목록!$P$2:$P$1001&lt;&gt;"")*ISNUMBER(SEARCH(실물목록!$P$2:$P$1001,I296))*(실물목록!$Q$2:$Q$1001&lt;&gt;"")*ISNUMBER(SEARCH(실물목록!$Q$2:$Q$1001,I296))*(실물목록!$R$2:$R$1001="")*(실물목록!$O$2:$O$1001&lt;&gt;"")*(실물목록!$O$2:$O$1001=H296))&gt;0,"실물 있음",IF(SUMPRODUCT((실물목록!$P$2:$P$1001&lt;&gt;"")*ISNUMBER(SEARCH(실물목록!$P$2:$P$1001,I296))*(실물목록!$R$2:$R$1001&lt;&gt;""))&gt;0,"확인필요(입력누락)",IF(SUMPRODUCT((실물목록!$P$2:$P$1001&lt;&gt;"")*ISNUMBER(SEARCH(실물목록!$P$2:$P$1001,I296))*(실물목록!$Q$2:$Q$1001&lt;&gt;"")*ISNUMBER(SEARCH(실물목록!$Q$2:$Q$1001,I296))*(실물목록!$R$2:$R$1001="")*(실물목록!$O$2:$O$1001&lt;&gt;""))&gt;0,"확인필요(연도다름)","실물 없음")))))</f>
      </c>
      <c r="G296" t="n" s="16">
        <f aca="0">IF(B296="","",SUMPRODUCT((실물목록!$P$2:$P$1001&lt;&gt;"")*ISNUMBER(SEARCH(실물목록!$P$2:$P$1001,I296))*(실물목록!$Q$2:$Q$1001&lt;&gt;"")*ISNUMBER(SEARCH(실물목록!$Q$2:$Q$1001,I296))*(실물목록!$R$2:$R$1001="")*(실물목록!$O$2:$O$1001&lt;&gt;"")*(실물목록!$O$2:$O$1001=H296)))</f>
      </c>
      <c r="H296" t="str">
        <f>IFERROR(IF(AND(LEN(SUBSTITUTE(SUBSTITUTE(SUBSTITUTE(TRIM(A296&amp;""),CHAR(160),"")," ",""),"년",""))=4,VALUE(SUBSTITUTE(SUBSTITUTE(SUBSTITUTE(TRIM(A296&amp;""),CHAR(160),"")," ",""),"년",""))&gt;=1900,VALUE(SUBSTITUTE(SUBSTITUTE(SUBSTITUTE(TRIM(A296&amp;""),CHAR(160),"")," ",""),"년",""))&lt;=2099,TEXT(VALUE(SUBSTITUTE(SUBSTITUTE(SUBSTITUTE(TRIM(A296&amp;""),CHAR(160),"")," ",""),"년","")),"0000")=SUBSTITUTE(SUBSTITUTE(SUBSTITUTE(TRIM(A296&amp;""),CHAR(160),"")," ",""),"년","")),SUBSTITUTE(SUBSTITUTE(SUBSTITUTE(TRIM(A296&amp;""),CHAR(160),"")," ",""),"년",""),""),"")</f>
      </c>
      <c r="I296" t="str">
        <f>SUBSTITUTE(SUBSTITUTE(SUBSTITUTE(SUBSTITUTE(SUBSTITUTE(TRIM(B296&amp;""),CHAR(160),"")," ",""),"초등학교","초"),"중학교","중"),"고등학교","고")</f>
      </c>
    </row>
    <row r="297" customFormat="false" ht="15" hidden="false" customHeight="false" outlineLevel="0" collapsed="false">
      <c r="A297" s="8"/>
      <c r="B297" s="8"/>
      <c r="C297" s="8"/>
      <c r="D297" s="8"/>
      <c r="E297" s="8"/>
      <c r="F297" t="str" s="15">
        <f aca="0">IF(B297="","",IF(H297="","확인필요(입력누락)",IF(SUMPRODUCT((실물목록!$P$2:$P$1001&lt;&gt;"")*ISNUMBER(SEARCH(실물목록!$P$2:$P$1001,I297))*(실물목록!$Q$2:$Q$1001&lt;&gt;"")*ISNUMBER(SEARCH(실물목록!$Q$2:$Q$1001,I297))*(실물목록!$R$2:$R$1001="")*(실물목록!$O$2:$O$1001&lt;&gt;"")*(실물목록!$O$2:$O$1001=H297))&gt;0,"실물 있음",IF(SUMPRODUCT((실물목록!$P$2:$P$1001&lt;&gt;"")*ISNUMBER(SEARCH(실물목록!$P$2:$P$1001,I297))*(실물목록!$R$2:$R$1001&lt;&gt;""))&gt;0,"확인필요(입력누락)",IF(SUMPRODUCT((실물목록!$P$2:$P$1001&lt;&gt;"")*ISNUMBER(SEARCH(실물목록!$P$2:$P$1001,I297))*(실물목록!$Q$2:$Q$1001&lt;&gt;"")*ISNUMBER(SEARCH(실물목록!$Q$2:$Q$1001,I297))*(실물목록!$R$2:$R$1001="")*(실물목록!$O$2:$O$1001&lt;&gt;""))&gt;0,"확인필요(연도다름)","실물 없음")))))</f>
      </c>
      <c r="G297" t="n" s="16">
        <f aca="0">IF(B297="","",SUMPRODUCT((실물목록!$P$2:$P$1001&lt;&gt;"")*ISNUMBER(SEARCH(실물목록!$P$2:$P$1001,I297))*(실물목록!$Q$2:$Q$1001&lt;&gt;"")*ISNUMBER(SEARCH(실물목록!$Q$2:$Q$1001,I297))*(실물목록!$R$2:$R$1001="")*(실물목록!$O$2:$O$1001&lt;&gt;"")*(실물목록!$O$2:$O$1001=H297)))</f>
      </c>
      <c r="H297" t="str">
        <f>IFERROR(IF(AND(LEN(SUBSTITUTE(SUBSTITUTE(SUBSTITUTE(TRIM(A297&amp;""),CHAR(160),"")," ",""),"년",""))=4,VALUE(SUBSTITUTE(SUBSTITUTE(SUBSTITUTE(TRIM(A297&amp;""),CHAR(160),"")," ",""),"년",""))&gt;=1900,VALUE(SUBSTITUTE(SUBSTITUTE(SUBSTITUTE(TRIM(A297&amp;""),CHAR(160),"")," ",""),"년",""))&lt;=2099,TEXT(VALUE(SUBSTITUTE(SUBSTITUTE(SUBSTITUTE(TRIM(A297&amp;""),CHAR(160),"")," ",""),"년","")),"0000")=SUBSTITUTE(SUBSTITUTE(SUBSTITUTE(TRIM(A297&amp;""),CHAR(160),"")," ",""),"년","")),SUBSTITUTE(SUBSTITUTE(SUBSTITUTE(TRIM(A297&amp;""),CHAR(160),"")," ",""),"년",""),""),"")</f>
      </c>
      <c r="I297" t="str">
        <f>SUBSTITUTE(SUBSTITUTE(SUBSTITUTE(SUBSTITUTE(SUBSTITUTE(TRIM(B297&amp;""),CHAR(160),"")," ",""),"초등학교","초"),"중학교","중"),"고등학교","고")</f>
      </c>
    </row>
    <row r="298" customFormat="false" ht="15" hidden="false" customHeight="false" outlineLevel="0" collapsed="false">
      <c r="A298" s="8"/>
      <c r="B298" s="8"/>
      <c r="C298" s="8"/>
      <c r="D298" s="8"/>
      <c r="E298" s="8"/>
      <c r="F298" t="str" s="15">
        <f aca="0">IF(B298="","",IF(H298="","확인필요(입력누락)",IF(SUMPRODUCT((실물목록!$P$2:$P$1001&lt;&gt;"")*ISNUMBER(SEARCH(실물목록!$P$2:$P$1001,I298))*(실물목록!$Q$2:$Q$1001&lt;&gt;"")*ISNUMBER(SEARCH(실물목록!$Q$2:$Q$1001,I298))*(실물목록!$R$2:$R$1001="")*(실물목록!$O$2:$O$1001&lt;&gt;"")*(실물목록!$O$2:$O$1001=H298))&gt;0,"실물 있음",IF(SUMPRODUCT((실물목록!$P$2:$P$1001&lt;&gt;"")*ISNUMBER(SEARCH(실물목록!$P$2:$P$1001,I298))*(실물목록!$R$2:$R$1001&lt;&gt;""))&gt;0,"확인필요(입력누락)",IF(SUMPRODUCT((실물목록!$P$2:$P$1001&lt;&gt;"")*ISNUMBER(SEARCH(실물목록!$P$2:$P$1001,I298))*(실물목록!$Q$2:$Q$1001&lt;&gt;"")*ISNUMBER(SEARCH(실물목록!$Q$2:$Q$1001,I298))*(실물목록!$R$2:$R$1001="")*(실물목록!$O$2:$O$1001&lt;&gt;""))&gt;0,"확인필요(연도다름)","실물 없음")))))</f>
      </c>
      <c r="G298" t="n" s="16">
        <f aca="0">IF(B298="","",SUMPRODUCT((실물목록!$P$2:$P$1001&lt;&gt;"")*ISNUMBER(SEARCH(실물목록!$P$2:$P$1001,I298))*(실물목록!$Q$2:$Q$1001&lt;&gt;"")*ISNUMBER(SEARCH(실물목록!$Q$2:$Q$1001,I298))*(실물목록!$R$2:$R$1001="")*(실물목록!$O$2:$O$1001&lt;&gt;"")*(실물목록!$O$2:$O$1001=H298)))</f>
      </c>
      <c r="H298" t="str">
        <f>IFERROR(IF(AND(LEN(SUBSTITUTE(SUBSTITUTE(SUBSTITUTE(TRIM(A298&amp;""),CHAR(160),"")," ",""),"년",""))=4,VALUE(SUBSTITUTE(SUBSTITUTE(SUBSTITUTE(TRIM(A298&amp;""),CHAR(160),"")," ",""),"년",""))&gt;=1900,VALUE(SUBSTITUTE(SUBSTITUTE(SUBSTITUTE(TRIM(A298&amp;""),CHAR(160),"")," ",""),"년",""))&lt;=2099,TEXT(VALUE(SUBSTITUTE(SUBSTITUTE(SUBSTITUTE(TRIM(A298&amp;""),CHAR(160),"")," ",""),"년","")),"0000")=SUBSTITUTE(SUBSTITUTE(SUBSTITUTE(TRIM(A298&amp;""),CHAR(160),"")," ",""),"년","")),SUBSTITUTE(SUBSTITUTE(SUBSTITUTE(TRIM(A298&amp;""),CHAR(160),"")," ",""),"년",""),""),"")</f>
      </c>
      <c r="I298" t="str">
        <f>SUBSTITUTE(SUBSTITUTE(SUBSTITUTE(SUBSTITUTE(SUBSTITUTE(TRIM(B298&amp;""),CHAR(160),"")," ",""),"초등학교","초"),"중학교","중"),"고등학교","고")</f>
      </c>
    </row>
    <row r="299" customFormat="false" ht="15" hidden="false" customHeight="false" outlineLevel="0" collapsed="false">
      <c r="A299" s="8"/>
      <c r="B299" s="8"/>
      <c r="C299" s="8"/>
      <c r="D299" s="8"/>
      <c r="E299" s="8"/>
      <c r="F299" t="str" s="15">
        <f aca="0">IF(B299="","",IF(H299="","확인필요(입력누락)",IF(SUMPRODUCT((실물목록!$P$2:$P$1001&lt;&gt;"")*ISNUMBER(SEARCH(실물목록!$P$2:$P$1001,I299))*(실물목록!$Q$2:$Q$1001&lt;&gt;"")*ISNUMBER(SEARCH(실물목록!$Q$2:$Q$1001,I299))*(실물목록!$R$2:$R$1001="")*(실물목록!$O$2:$O$1001&lt;&gt;"")*(실물목록!$O$2:$O$1001=H299))&gt;0,"실물 있음",IF(SUMPRODUCT((실물목록!$P$2:$P$1001&lt;&gt;"")*ISNUMBER(SEARCH(실물목록!$P$2:$P$1001,I299))*(실물목록!$R$2:$R$1001&lt;&gt;""))&gt;0,"확인필요(입력누락)",IF(SUMPRODUCT((실물목록!$P$2:$P$1001&lt;&gt;"")*ISNUMBER(SEARCH(실물목록!$P$2:$P$1001,I299))*(실물목록!$Q$2:$Q$1001&lt;&gt;"")*ISNUMBER(SEARCH(실물목록!$Q$2:$Q$1001,I299))*(실물목록!$R$2:$R$1001="")*(실물목록!$O$2:$O$1001&lt;&gt;""))&gt;0,"확인필요(연도다름)","실물 없음")))))</f>
      </c>
      <c r="G299" t="n" s="16">
        <f aca="0">IF(B299="","",SUMPRODUCT((실물목록!$P$2:$P$1001&lt;&gt;"")*ISNUMBER(SEARCH(실물목록!$P$2:$P$1001,I299))*(실물목록!$Q$2:$Q$1001&lt;&gt;"")*ISNUMBER(SEARCH(실물목록!$Q$2:$Q$1001,I299))*(실물목록!$R$2:$R$1001="")*(실물목록!$O$2:$O$1001&lt;&gt;"")*(실물목록!$O$2:$O$1001=H299)))</f>
      </c>
      <c r="H299" t="str">
        <f>IFERROR(IF(AND(LEN(SUBSTITUTE(SUBSTITUTE(SUBSTITUTE(TRIM(A299&amp;""),CHAR(160),"")," ",""),"년",""))=4,VALUE(SUBSTITUTE(SUBSTITUTE(SUBSTITUTE(TRIM(A299&amp;""),CHAR(160),"")," ",""),"년",""))&gt;=1900,VALUE(SUBSTITUTE(SUBSTITUTE(SUBSTITUTE(TRIM(A299&amp;""),CHAR(160),"")," ",""),"년",""))&lt;=2099,TEXT(VALUE(SUBSTITUTE(SUBSTITUTE(SUBSTITUTE(TRIM(A299&amp;""),CHAR(160),"")," ",""),"년","")),"0000")=SUBSTITUTE(SUBSTITUTE(SUBSTITUTE(TRIM(A299&amp;""),CHAR(160),"")," ",""),"년","")),SUBSTITUTE(SUBSTITUTE(SUBSTITUTE(TRIM(A299&amp;""),CHAR(160),"")," ",""),"년",""),""),"")</f>
      </c>
      <c r="I299" t="str">
        <f>SUBSTITUTE(SUBSTITUTE(SUBSTITUTE(SUBSTITUTE(SUBSTITUTE(TRIM(B299&amp;""),CHAR(160),"")," ",""),"초등학교","초"),"중학교","중"),"고등학교","고")</f>
      </c>
    </row>
    <row r="300" customFormat="false" ht="15" hidden="false" customHeight="false" outlineLevel="0" collapsed="false">
      <c r="A300" s="8"/>
      <c r="B300" s="8"/>
      <c r="C300" s="8"/>
      <c r="D300" s="8"/>
      <c r="E300" s="8"/>
      <c r="F300" t="str" s="15">
        <f aca="0">IF(B300="","",IF(H300="","확인필요(입력누락)",IF(SUMPRODUCT((실물목록!$P$2:$P$1001&lt;&gt;"")*ISNUMBER(SEARCH(실물목록!$P$2:$P$1001,I300))*(실물목록!$Q$2:$Q$1001&lt;&gt;"")*ISNUMBER(SEARCH(실물목록!$Q$2:$Q$1001,I300))*(실물목록!$R$2:$R$1001="")*(실물목록!$O$2:$O$1001&lt;&gt;"")*(실물목록!$O$2:$O$1001=H300))&gt;0,"실물 있음",IF(SUMPRODUCT((실물목록!$P$2:$P$1001&lt;&gt;"")*ISNUMBER(SEARCH(실물목록!$P$2:$P$1001,I300))*(실물목록!$R$2:$R$1001&lt;&gt;""))&gt;0,"확인필요(입력누락)",IF(SUMPRODUCT((실물목록!$P$2:$P$1001&lt;&gt;"")*ISNUMBER(SEARCH(실물목록!$P$2:$P$1001,I300))*(실물목록!$Q$2:$Q$1001&lt;&gt;"")*ISNUMBER(SEARCH(실물목록!$Q$2:$Q$1001,I300))*(실물목록!$R$2:$R$1001="")*(실물목록!$O$2:$O$1001&lt;&gt;""))&gt;0,"확인필요(연도다름)","실물 없음")))))</f>
      </c>
      <c r="G300" t="n" s="16">
        <f aca="0">IF(B300="","",SUMPRODUCT((실물목록!$P$2:$P$1001&lt;&gt;"")*ISNUMBER(SEARCH(실물목록!$P$2:$P$1001,I300))*(실물목록!$Q$2:$Q$1001&lt;&gt;"")*ISNUMBER(SEARCH(실물목록!$Q$2:$Q$1001,I300))*(실물목록!$R$2:$R$1001="")*(실물목록!$O$2:$O$1001&lt;&gt;"")*(실물목록!$O$2:$O$1001=H300)))</f>
      </c>
      <c r="H300" t="str">
        <f>IFERROR(IF(AND(LEN(SUBSTITUTE(SUBSTITUTE(SUBSTITUTE(TRIM(A300&amp;""),CHAR(160),"")," ",""),"년",""))=4,VALUE(SUBSTITUTE(SUBSTITUTE(SUBSTITUTE(TRIM(A300&amp;""),CHAR(160),"")," ",""),"년",""))&gt;=1900,VALUE(SUBSTITUTE(SUBSTITUTE(SUBSTITUTE(TRIM(A300&amp;""),CHAR(160),"")," ",""),"년",""))&lt;=2099,TEXT(VALUE(SUBSTITUTE(SUBSTITUTE(SUBSTITUTE(TRIM(A300&amp;""),CHAR(160),"")," ",""),"년","")),"0000")=SUBSTITUTE(SUBSTITUTE(SUBSTITUTE(TRIM(A300&amp;""),CHAR(160),"")," ",""),"년","")),SUBSTITUTE(SUBSTITUTE(SUBSTITUTE(TRIM(A300&amp;""),CHAR(160),"")," ",""),"년",""),""),"")</f>
      </c>
      <c r="I300" t="str">
        <f>SUBSTITUTE(SUBSTITUTE(SUBSTITUTE(SUBSTITUTE(SUBSTITUTE(TRIM(B300&amp;""),CHAR(160),"")," ",""),"초등학교","초"),"중학교","중"),"고등학교","고")</f>
      </c>
    </row>
    <row r="301" customFormat="false" ht="15" hidden="false" customHeight="false" outlineLevel="0" collapsed="false">
      <c r="A301" s="8"/>
      <c r="B301" s="8"/>
      <c r="C301" s="8"/>
      <c r="D301" s="8"/>
      <c r="E301" s="8"/>
      <c r="F301" t="str" s="15">
        <f aca="0">IF(B301="","",IF(H301="","확인필요(입력누락)",IF(SUMPRODUCT((실물목록!$P$2:$P$1001&lt;&gt;"")*ISNUMBER(SEARCH(실물목록!$P$2:$P$1001,I301))*(실물목록!$Q$2:$Q$1001&lt;&gt;"")*ISNUMBER(SEARCH(실물목록!$Q$2:$Q$1001,I301))*(실물목록!$R$2:$R$1001="")*(실물목록!$O$2:$O$1001&lt;&gt;"")*(실물목록!$O$2:$O$1001=H301))&gt;0,"실물 있음",IF(SUMPRODUCT((실물목록!$P$2:$P$1001&lt;&gt;"")*ISNUMBER(SEARCH(실물목록!$P$2:$P$1001,I301))*(실물목록!$R$2:$R$1001&lt;&gt;""))&gt;0,"확인필요(입력누락)",IF(SUMPRODUCT((실물목록!$P$2:$P$1001&lt;&gt;"")*ISNUMBER(SEARCH(실물목록!$P$2:$P$1001,I301))*(실물목록!$Q$2:$Q$1001&lt;&gt;"")*ISNUMBER(SEARCH(실물목록!$Q$2:$Q$1001,I301))*(실물목록!$R$2:$R$1001="")*(실물목록!$O$2:$O$1001&lt;&gt;""))&gt;0,"확인필요(연도다름)","실물 없음")))))</f>
      </c>
      <c r="G301" t="n" s="16">
        <f aca="0">IF(B301="","",SUMPRODUCT((실물목록!$P$2:$P$1001&lt;&gt;"")*ISNUMBER(SEARCH(실물목록!$P$2:$P$1001,I301))*(실물목록!$Q$2:$Q$1001&lt;&gt;"")*ISNUMBER(SEARCH(실물목록!$Q$2:$Q$1001,I301))*(실물목록!$R$2:$R$1001="")*(실물목록!$O$2:$O$1001&lt;&gt;"")*(실물목록!$O$2:$O$1001=H301)))</f>
      </c>
      <c r="H301" t="str">
        <f>IFERROR(IF(AND(LEN(SUBSTITUTE(SUBSTITUTE(SUBSTITUTE(TRIM(A301&amp;""),CHAR(160),"")," ",""),"년",""))=4,VALUE(SUBSTITUTE(SUBSTITUTE(SUBSTITUTE(TRIM(A301&amp;""),CHAR(160),"")," ",""),"년",""))&gt;=1900,VALUE(SUBSTITUTE(SUBSTITUTE(SUBSTITUTE(TRIM(A301&amp;""),CHAR(160),"")," ",""),"년",""))&lt;=2099,TEXT(VALUE(SUBSTITUTE(SUBSTITUTE(SUBSTITUTE(TRIM(A301&amp;""),CHAR(160),"")," ",""),"년","")),"0000")=SUBSTITUTE(SUBSTITUTE(SUBSTITUTE(TRIM(A301&amp;""),CHAR(160),"")," ",""),"년","")),SUBSTITUTE(SUBSTITUTE(SUBSTITUTE(TRIM(A301&amp;""),CHAR(160),"")," ",""),"년",""),""),"")</f>
      </c>
      <c r="I301" t="str">
        <f>SUBSTITUTE(SUBSTITUTE(SUBSTITUTE(SUBSTITUTE(SUBSTITUTE(TRIM(B301&amp;""),CHAR(160),"")," ",""),"초등학교","초"),"중학교","중"),"고등학교","고")</f>
      </c>
    </row>
    <row r="302" customFormat="false" ht="15" hidden="false" customHeight="false" outlineLevel="0" collapsed="false">
      <c r="A302" s="8"/>
      <c r="B302" s="8"/>
      <c r="C302" s="8"/>
      <c r="D302" s="8"/>
      <c r="E302" s="8"/>
      <c r="F302" t="str" s="15">
        <f aca="0">IF(B302="","",IF(H302="","확인필요(입력누락)",IF(SUMPRODUCT((실물목록!$P$2:$P$1001&lt;&gt;"")*ISNUMBER(SEARCH(실물목록!$P$2:$P$1001,I302))*(실물목록!$Q$2:$Q$1001&lt;&gt;"")*ISNUMBER(SEARCH(실물목록!$Q$2:$Q$1001,I302))*(실물목록!$R$2:$R$1001="")*(실물목록!$O$2:$O$1001&lt;&gt;"")*(실물목록!$O$2:$O$1001=H302))&gt;0,"실물 있음",IF(SUMPRODUCT((실물목록!$P$2:$P$1001&lt;&gt;"")*ISNUMBER(SEARCH(실물목록!$P$2:$P$1001,I302))*(실물목록!$R$2:$R$1001&lt;&gt;""))&gt;0,"확인필요(입력누락)",IF(SUMPRODUCT((실물목록!$P$2:$P$1001&lt;&gt;"")*ISNUMBER(SEARCH(실물목록!$P$2:$P$1001,I302))*(실물목록!$Q$2:$Q$1001&lt;&gt;"")*ISNUMBER(SEARCH(실물목록!$Q$2:$Q$1001,I302))*(실물목록!$R$2:$R$1001="")*(실물목록!$O$2:$O$1001&lt;&gt;""))&gt;0,"확인필요(연도다름)","실물 없음")))))</f>
      </c>
      <c r="G302" t="n" s="16">
        <f aca="0">IF(B302="","",SUMPRODUCT((실물목록!$P$2:$P$1001&lt;&gt;"")*ISNUMBER(SEARCH(실물목록!$P$2:$P$1001,I302))*(실물목록!$Q$2:$Q$1001&lt;&gt;"")*ISNUMBER(SEARCH(실물목록!$Q$2:$Q$1001,I302))*(실물목록!$R$2:$R$1001="")*(실물목록!$O$2:$O$1001&lt;&gt;"")*(실물목록!$O$2:$O$1001=H302)))</f>
      </c>
      <c r="H302" t="str">
        <f>IFERROR(IF(AND(LEN(SUBSTITUTE(SUBSTITUTE(SUBSTITUTE(TRIM(A302&amp;""),CHAR(160),"")," ",""),"년",""))=4,VALUE(SUBSTITUTE(SUBSTITUTE(SUBSTITUTE(TRIM(A302&amp;""),CHAR(160),"")," ",""),"년",""))&gt;=1900,VALUE(SUBSTITUTE(SUBSTITUTE(SUBSTITUTE(TRIM(A302&amp;""),CHAR(160),"")," ",""),"년",""))&lt;=2099,TEXT(VALUE(SUBSTITUTE(SUBSTITUTE(SUBSTITUTE(TRIM(A302&amp;""),CHAR(160),"")," ",""),"년","")),"0000")=SUBSTITUTE(SUBSTITUTE(SUBSTITUTE(TRIM(A302&amp;""),CHAR(160),"")," ",""),"년","")),SUBSTITUTE(SUBSTITUTE(SUBSTITUTE(TRIM(A302&amp;""),CHAR(160),"")," ",""),"년",""),""),"")</f>
      </c>
      <c r="I302" t="str">
        <f>SUBSTITUTE(SUBSTITUTE(SUBSTITUTE(SUBSTITUTE(SUBSTITUTE(TRIM(B302&amp;""),CHAR(160),"")," ",""),"초등학교","초"),"중학교","중"),"고등학교","고")</f>
      </c>
    </row>
    <row r="303" customFormat="false" ht="15" hidden="false" customHeight="false" outlineLevel="0" collapsed="false">
      <c r="A303" s="8"/>
      <c r="B303" s="8"/>
      <c r="C303" s="8"/>
      <c r="D303" s="8"/>
      <c r="E303" s="8"/>
      <c r="F303" t="str" s="15">
        <f aca="0">IF(B303="","",IF(H303="","확인필요(입력누락)",IF(SUMPRODUCT((실물목록!$P$2:$P$1001&lt;&gt;"")*ISNUMBER(SEARCH(실물목록!$P$2:$P$1001,I303))*(실물목록!$Q$2:$Q$1001&lt;&gt;"")*ISNUMBER(SEARCH(실물목록!$Q$2:$Q$1001,I303))*(실물목록!$R$2:$R$1001="")*(실물목록!$O$2:$O$1001&lt;&gt;"")*(실물목록!$O$2:$O$1001=H303))&gt;0,"실물 있음",IF(SUMPRODUCT((실물목록!$P$2:$P$1001&lt;&gt;"")*ISNUMBER(SEARCH(실물목록!$P$2:$P$1001,I303))*(실물목록!$R$2:$R$1001&lt;&gt;""))&gt;0,"확인필요(입력누락)",IF(SUMPRODUCT((실물목록!$P$2:$P$1001&lt;&gt;"")*ISNUMBER(SEARCH(실물목록!$P$2:$P$1001,I303))*(실물목록!$Q$2:$Q$1001&lt;&gt;"")*ISNUMBER(SEARCH(실물목록!$Q$2:$Q$1001,I303))*(실물목록!$R$2:$R$1001="")*(실물목록!$O$2:$O$1001&lt;&gt;""))&gt;0,"확인필요(연도다름)","실물 없음")))))</f>
      </c>
      <c r="G303" t="n" s="16">
        <f aca="0">IF(B303="","",SUMPRODUCT((실물목록!$P$2:$P$1001&lt;&gt;"")*ISNUMBER(SEARCH(실물목록!$P$2:$P$1001,I303))*(실물목록!$Q$2:$Q$1001&lt;&gt;"")*ISNUMBER(SEARCH(실물목록!$Q$2:$Q$1001,I303))*(실물목록!$R$2:$R$1001="")*(실물목록!$O$2:$O$1001&lt;&gt;"")*(실물목록!$O$2:$O$1001=H303)))</f>
      </c>
      <c r="H303" t="str">
        <f>IFERROR(IF(AND(LEN(SUBSTITUTE(SUBSTITUTE(SUBSTITUTE(TRIM(A303&amp;""),CHAR(160),"")," ",""),"년",""))=4,VALUE(SUBSTITUTE(SUBSTITUTE(SUBSTITUTE(TRIM(A303&amp;""),CHAR(160),"")," ",""),"년",""))&gt;=1900,VALUE(SUBSTITUTE(SUBSTITUTE(SUBSTITUTE(TRIM(A303&amp;""),CHAR(160),"")," ",""),"년",""))&lt;=2099,TEXT(VALUE(SUBSTITUTE(SUBSTITUTE(SUBSTITUTE(TRIM(A303&amp;""),CHAR(160),"")," ",""),"년","")),"0000")=SUBSTITUTE(SUBSTITUTE(SUBSTITUTE(TRIM(A303&amp;""),CHAR(160),"")," ",""),"년","")),SUBSTITUTE(SUBSTITUTE(SUBSTITUTE(TRIM(A303&amp;""),CHAR(160),"")," ",""),"년",""),""),"")</f>
      </c>
      <c r="I303" t="str">
        <f>SUBSTITUTE(SUBSTITUTE(SUBSTITUTE(SUBSTITUTE(SUBSTITUTE(TRIM(B303&amp;""),CHAR(160),"")," ",""),"초등학교","초"),"중학교","중"),"고등학교","고")</f>
      </c>
    </row>
    <row r="304" customFormat="false" ht="15" hidden="false" customHeight="false" outlineLevel="0" collapsed="false">
      <c r="A304" s="8"/>
      <c r="B304" s="8"/>
      <c r="C304" s="8"/>
      <c r="D304" s="8"/>
      <c r="E304" s="8"/>
      <c r="F304" t="str" s="15">
        <f aca="0">IF(B304="","",IF(H304="","확인필요(입력누락)",IF(SUMPRODUCT((실물목록!$P$2:$P$1001&lt;&gt;"")*ISNUMBER(SEARCH(실물목록!$P$2:$P$1001,I304))*(실물목록!$Q$2:$Q$1001&lt;&gt;"")*ISNUMBER(SEARCH(실물목록!$Q$2:$Q$1001,I304))*(실물목록!$R$2:$R$1001="")*(실물목록!$O$2:$O$1001&lt;&gt;"")*(실물목록!$O$2:$O$1001=H304))&gt;0,"실물 있음",IF(SUMPRODUCT((실물목록!$P$2:$P$1001&lt;&gt;"")*ISNUMBER(SEARCH(실물목록!$P$2:$P$1001,I304))*(실물목록!$R$2:$R$1001&lt;&gt;""))&gt;0,"확인필요(입력누락)",IF(SUMPRODUCT((실물목록!$P$2:$P$1001&lt;&gt;"")*ISNUMBER(SEARCH(실물목록!$P$2:$P$1001,I304))*(실물목록!$Q$2:$Q$1001&lt;&gt;"")*ISNUMBER(SEARCH(실물목록!$Q$2:$Q$1001,I304))*(실물목록!$R$2:$R$1001="")*(실물목록!$O$2:$O$1001&lt;&gt;""))&gt;0,"확인필요(연도다름)","실물 없음")))))</f>
      </c>
      <c r="G304" t="n" s="16">
        <f aca="0">IF(B304="","",SUMPRODUCT((실물목록!$P$2:$P$1001&lt;&gt;"")*ISNUMBER(SEARCH(실물목록!$P$2:$P$1001,I304))*(실물목록!$Q$2:$Q$1001&lt;&gt;"")*ISNUMBER(SEARCH(실물목록!$Q$2:$Q$1001,I304))*(실물목록!$R$2:$R$1001="")*(실물목록!$O$2:$O$1001&lt;&gt;"")*(실물목록!$O$2:$O$1001=H304)))</f>
      </c>
      <c r="H304" t="str">
        <f>IFERROR(IF(AND(LEN(SUBSTITUTE(SUBSTITUTE(SUBSTITUTE(TRIM(A304&amp;""),CHAR(160),"")," ",""),"년",""))=4,VALUE(SUBSTITUTE(SUBSTITUTE(SUBSTITUTE(TRIM(A304&amp;""),CHAR(160),"")," ",""),"년",""))&gt;=1900,VALUE(SUBSTITUTE(SUBSTITUTE(SUBSTITUTE(TRIM(A304&amp;""),CHAR(160),"")," ",""),"년",""))&lt;=2099,TEXT(VALUE(SUBSTITUTE(SUBSTITUTE(SUBSTITUTE(TRIM(A304&amp;""),CHAR(160),"")," ",""),"년","")),"0000")=SUBSTITUTE(SUBSTITUTE(SUBSTITUTE(TRIM(A304&amp;""),CHAR(160),"")," ",""),"년","")),SUBSTITUTE(SUBSTITUTE(SUBSTITUTE(TRIM(A304&amp;""),CHAR(160),"")," ",""),"년",""),""),"")</f>
      </c>
      <c r="I304" t="str">
        <f>SUBSTITUTE(SUBSTITUTE(SUBSTITUTE(SUBSTITUTE(SUBSTITUTE(TRIM(B304&amp;""),CHAR(160),"")," ",""),"초등학교","초"),"중학교","중"),"고등학교","고")</f>
      </c>
    </row>
    <row r="305" customFormat="false" ht="15" hidden="false" customHeight="false" outlineLevel="0" collapsed="false">
      <c r="A305" s="8"/>
      <c r="B305" s="8"/>
      <c r="C305" s="8"/>
      <c r="D305" s="8"/>
      <c r="E305" s="8"/>
      <c r="F305" t="str" s="15">
        <f aca="0">IF(B305="","",IF(H305="","확인필요(입력누락)",IF(SUMPRODUCT((실물목록!$P$2:$P$1001&lt;&gt;"")*ISNUMBER(SEARCH(실물목록!$P$2:$P$1001,I305))*(실물목록!$Q$2:$Q$1001&lt;&gt;"")*ISNUMBER(SEARCH(실물목록!$Q$2:$Q$1001,I305))*(실물목록!$R$2:$R$1001="")*(실물목록!$O$2:$O$1001&lt;&gt;"")*(실물목록!$O$2:$O$1001=H305))&gt;0,"실물 있음",IF(SUMPRODUCT((실물목록!$P$2:$P$1001&lt;&gt;"")*ISNUMBER(SEARCH(실물목록!$P$2:$P$1001,I305))*(실물목록!$R$2:$R$1001&lt;&gt;""))&gt;0,"확인필요(입력누락)",IF(SUMPRODUCT((실물목록!$P$2:$P$1001&lt;&gt;"")*ISNUMBER(SEARCH(실물목록!$P$2:$P$1001,I305))*(실물목록!$Q$2:$Q$1001&lt;&gt;"")*ISNUMBER(SEARCH(실물목록!$Q$2:$Q$1001,I305))*(실물목록!$R$2:$R$1001="")*(실물목록!$O$2:$O$1001&lt;&gt;""))&gt;0,"확인필요(연도다름)","실물 없음")))))</f>
      </c>
      <c r="G305" t="n" s="16">
        <f aca="0">IF(B305="","",SUMPRODUCT((실물목록!$P$2:$P$1001&lt;&gt;"")*ISNUMBER(SEARCH(실물목록!$P$2:$P$1001,I305))*(실물목록!$Q$2:$Q$1001&lt;&gt;"")*ISNUMBER(SEARCH(실물목록!$Q$2:$Q$1001,I305))*(실물목록!$R$2:$R$1001="")*(실물목록!$O$2:$O$1001&lt;&gt;"")*(실물목록!$O$2:$O$1001=H305)))</f>
      </c>
      <c r="H305" t="str">
        <f>IFERROR(IF(AND(LEN(SUBSTITUTE(SUBSTITUTE(SUBSTITUTE(TRIM(A305&amp;""),CHAR(160),"")," ",""),"년",""))=4,VALUE(SUBSTITUTE(SUBSTITUTE(SUBSTITUTE(TRIM(A305&amp;""),CHAR(160),"")," ",""),"년",""))&gt;=1900,VALUE(SUBSTITUTE(SUBSTITUTE(SUBSTITUTE(TRIM(A305&amp;""),CHAR(160),"")," ",""),"년",""))&lt;=2099,TEXT(VALUE(SUBSTITUTE(SUBSTITUTE(SUBSTITUTE(TRIM(A305&amp;""),CHAR(160),"")," ",""),"년","")),"0000")=SUBSTITUTE(SUBSTITUTE(SUBSTITUTE(TRIM(A305&amp;""),CHAR(160),"")," ",""),"년","")),SUBSTITUTE(SUBSTITUTE(SUBSTITUTE(TRIM(A305&amp;""),CHAR(160),"")," ",""),"년",""),""),"")</f>
      </c>
      <c r="I305" t="str">
        <f>SUBSTITUTE(SUBSTITUTE(SUBSTITUTE(SUBSTITUTE(SUBSTITUTE(TRIM(B305&amp;""),CHAR(160),"")," ",""),"초등학교","초"),"중학교","중"),"고등학교","고")</f>
      </c>
    </row>
    <row r="306" customFormat="false" ht="15" hidden="false" customHeight="false" outlineLevel="0" collapsed="false">
      <c r="A306" s="8"/>
      <c r="B306" s="8"/>
      <c r="C306" s="8"/>
      <c r="D306" s="8"/>
      <c r="E306" s="8"/>
      <c r="F306" t="str" s="15">
        <f aca="0">IF(B306="","",IF(H306="","확인필요(입력누락)",IF(SUMPRODUCT((실물목록!$P$2:$P$1001&lt;&gt;"")*ISNUMBER(SEARCH(실물목록!$P$2:$P$1001,I306))*(실물목록!$Q$2:$Q$1001&lt;&gt;"")*ISNUMBER(SEARCH(실물목록!$Q$2:$Q$1001,I306))*(실물목록!$R$2:$R$1001="")*(실물목록!$O$2:$O$1001&lt;&gt;"")*(실물목록!$O$2:$O$1001=H306))&gt;0,"실물 있음",IF(SUMPRODUCT((실물목록!$P$2:$P$1001&lt;&gt;"")*ISNUMBER(SEARCH(실물목록!$P$2:$P$1001,I306))*(실물목록!$R$2:$R$1001&lt;&gt;""))&gt;0,"확인필요(입력누락)",IF(SUMPRODUCT((실물목록!$P$2:$P$1001&lt;&gt;"")*ISNUMBER(SEARCH(실물목록!$P$2:$P$1001,I306))*(실물목록!$Q$2:$Q$1001&lt;&gt;"")*ISNUMBER(SEARCH(실물목록!$Q$2:$Q$1001,I306))*(실물목록!$R$2:$R$1001="")*(실물목록!$O$2:$O$1001&lt;&gt;""))&gt;0,"확인필요(연도다름)","실물 없음")))))</f>
      </c>
      <c r="G306" t="n" s="16">
        <f aca="0">IF(B306="","",SUMPRODUCT((실물목록!$P$2:$P$1001&lt;&gt;"")*ISNUMBER(SEARCH(실물목록!$P$2:$P$1001,I306))*(실물목록!$Q$2:$Q$1001&lt;&gt;"")*ISNUMBER(SEARCH(실물목록!$Q$2:$Q$1001,I306))*(실물목록!$R$2:$R$1001="")*(실물목록!$O$2:$O$1001&lt;&gt;"")*(실물목록!$O$2:$O$1001=H306)))</f>
      </c>
      <c r="H306" t="str">
        <f>IFERROR(IF(AND(LEN(SUBSTITUTE(SUBSTITUTE(SUBSTITUTE(TRIM(A306&amp;""),CHAR(160),"")," ",""),"년",""))=4,VALUE(SUBSTITUTE(SUBSTITUTE(SUBSTITUTE(TRIM(A306&amp;""),CHAR(160),"")," ",""),"년",""))&gt;=1900,VALUE(SUBSTITUTE(SUBSTITUTE(SUBSTITUTE(TRIM(A306&amp;""),CHAR(160),"")," ",""),"년",""))&lt;=2099,TEXT(VALUE(SUBSTITUTE(SUBSTITUTE(SUBSTITUTE(TRIM(A306&amp;""),CHAR(160),"")," ",""),"년","")),"0000")=SUBSTITUTE(SUBSTITUTE(SUBSTITUTE(TRIM(A306&amp;""),CHAR(160),"")," ",""),"년","")),SUBSTITUTE(SUBSTITUTE(SUBSTITUTE(TRIM(A306&amp;""),CHAR(160),"")," ",""),"년",""),""),"")</f>
      </c>
      <c r="I306" t="str">
        <f>SUBSTITUTE(SUBSTITUTE(SUBSTITUTE(SUBSTITUTE(SUBSTITUTE(TRIM(B306&amp;""),CHAR(160),"")," ",""),"초등학교","초"),"중학교","중"),"고등학교","고")</f>
      </c>
    </row>
    <row r="307" customFormat="false" ht="15" hidden="false" customHeight="false" outlineLevel="0" collapsed="false">
      <c r="A307" s="8"/>
      <c r="B307" s="8"/>
      <c r="C307" s="8"/>
      <c r="D307" s="8"/>
      <c r="E307" s="8"/>
      <c r="F307" t="str" s="15">
        <f aca="0">IF(B307="","",IF(H307="","확인필요(입력누락)",IF(SUMPRODUCT((실물목록!$P$2:$P$1001&lt;&gt;"")*ISNUMBER(SEARCH(실물목록!$P$2:$P$1001,I307))*(실물목록!$Q$2:$Q$1001&lt;&gt;"")*ISNUMBER(SEARCH(실물목록!$Q$2:$Q$1001,I307))*(실물목록!$R$2:$R$1001="")*(실물목록!$O$2:$O$1001&lt;&gt;"")*(실물목록!$O$2:$O$1001=H307))&gt;0,"실물 있음",IF(SUMPRODUCT((실물목록!$P$2:$P$1001&lt;&gt;"")*ISNUMBER(SEARCH(실물목록!$P$2:$P$1001,I307))*(실물목록!$R$2:$R$1001&lt;&gt;""))&gt;0,"확인필요(입력누락)",IF(SUMPRODUCT((실물목록!$P$2:$P$1001&lt;&gt;"")*ISNUMBER(SEARCH(실물목록!$P$2:$P$1001,I307))*(실물목록!$Q$2:$Q$1001&lt;&gt;"")*ISNUMBER(SEARCH(실물목록!$Q$2:$Q$1001,I307))*(실물목록!$R$2:$R$1001="")*(실물목록!$O$2:$O$1001&lt;&gt;""))&gt;0,"확인필요(연도다름)","실물 없음")))))</f>
      </c>
      <c r="G307" t="n" s="16">
        <f aca="0">IF(B307="","",SUMPRODUCT((실물목록!$P$2:$P$1001&lt;&gt;"")*ISNUMBER(SEARCH(실물목록!$P$2:$P$1001,I307))*(실물목록!$Q$2:$Q$1001&lt;&gt;"")*ISNUMBER(SEARCH(실물목록!$Q$2:$Q$1001,I307))*(실물목록!$R$2:$R$1001="")*(실물목록!$O$2:$O$1001&lt;&gt;"")*(실물목록!$O$2:$O$1001=H307)))</f>
      </c>
      <c r="H307" t="str">
        <f>IFERROR(IF(AND(LEN(SUBSTITUTE(SUBSTITUTE(SUBSTITUTE(TRIM(A307&amp;""),CHAR(160),"")," ",""),"년",""))=4,VALUE(SUBSTITUTE(SUBSTITUTE(SUBSTITUTE(TRIM(A307&amp;""),CHAR(160),"")," ",""),"년",""))&gt;=1900,VALUE(SUBSTITUTE(SUBSTITUTE(SUBSTITUTE(TRIM(A307&amp;""),CHAR(160),"")," ",""),"년",""))&lt;=2099,TEXT(VALUE(SUBSTITUTE(SUBSTITUTE(SUBSTITUTE(TRIM(A307&amp;""),CHAR(160),"")," ",""),"년","")),"0000")=SUBSTITUTE(SUBSTITUTE(SUBSTITUTE(TRIM(A307&amp;""),CHAR(160),"")," ",""),"년","")),SUBSTITUTE(SUBSTITUTE(SUBSTITUTE(TRIM(A307&amp;""),CHAR(160),"")," ",""),"년",""),""),"")</f>
      </c>
      <c r="I307" t="str">
        <f>SUBSTITUTE(SUBSTITUTE(SUBSTITUTE(SUBSTITUTE(SUBSTITUTE(TRIM(B307&amp;""),CHAR(160),"")," ",""),"초등학교","초"),"중학교","중"),"고등학교","고")</f>
      </c>
    </row>
    <row r="308" customFormat="false" ht="15" hidden="false" customHeight="false" outlineLevel="0" collapsed="false">
      <c r="A308" s="8"/>
      <c r="B308" s="8"/>
      <c r="C308" s="8"/>
      <c r="D308" s="8"/>
      <c r="E308" s="8"/>
      <c r="F308" t="str" s="15">
        <f aca="0">IF(B308="","",IF(H308="","확인필요(입력누락)",IF(SUMPRODUCT((실물목록!$P$2:$P$1001&lt;&gt;"")*ISNUMBER(SEARCH(실물목록!$P$2:$P$1001,I308))*(실물목록!$Q$2:$Q$1001&lt;&gt;"")*ISNUMBER(SEARCH(실물목록!$Q$2:$Q$1001,I308))*(실물목록!$R$2:$R$1001="")*(실물목록!$O$2:$O$1001&lt;&gt;"")*(실물목록!$O$2:$O$1001=H308))&gt;0,"실물 있음",IF(SUMPRODUCT((실물목록!$P$2:$P$1001&lt;&gt;"")*ISNUMBER(SEARCH(실물목록!$P$2:$P$1001,I308))*(실물목록!$R$2:$R$1001&lt;&gt;""))&gt;0,"확인필요(입력누락)",IF(SUMPRODUCT((실물목록!$P$2:$P$1001&lt;&gt;"")*ISNUMBER(SEARCH(실물목록!$P$2:$P$1001,I308))*(실물목록!$Q$2:$Q$1001&lt;&gt;"")*ISNUMBER(SEARCH(실물목록!$Q$2:$Q$1001,I308))*(실물목록!$R$2:$R$1001="")*(실물목록!$O$2:$O$1001&lt;&gt;""))&gt;0,"확인필요(연도다름)","실물 없음")))))</f>
      </c>
      <c r="G308" t="n" s="16">
        <f aca="0">IF(B308="","",SUMPRODUCT((실물목록!$P$2:$P$1001&lt;&gt;"")*ISNUMBER(SEARCH(실물목록!$P$2:$P$1001,I308))*(실물목록!$Q$2:$Q$1001&lt;&gt;"")*ISNUMBER(SEARCH(실물목록!$Q$2:$Q$1001,I308))*(실물목록!$R$2:$R$1001="")*(실물목록!$O$2:$O$1001&lt;&gt;"")*(실물목록!$O$2:$O$1001=H308)))</f>
      </c>
      <c r="H308" t="str">
        <f>IFERROR(IF(AND(LEN(SUBSTITUTE(SUBSTITUTE(SUBSTITUTE(TRIM(A308&amp;""),CHAR(160),"")," ",""),"년",""))=4,VALUE(SUBSTITUTE(SUBSTITUTE(SUBSTITUTE(TRIM(A308&amp;""),CHAR(160),"")," ",""),"년",""))&gt;=1900,VALUE(SUBSTITUTE(SUBSTITUTE(SUBSTITUTE(TRIM(A308&amp;""),CHAR(160),"")," ",""),"년",""))&lt;=2099,TEXT(VALUE(SUBSTITUTE(SUBSTITUTE(SUBSTITUTE(TRIM(A308&amp;""),CHAR(160),"")," ",""),"년","")),"0000")=SUBSTITUTE(SUBSTITUTE(SUBSTITUTE(TRIM(A308&amp;""),CHAR(160),"")," ",""),"년","")),SUBSTITUTE(SUBSTITUTE(SUBSTITUTE(TRIM(A308&amp;""),CHAR(160),"")," ",""),"년",""),""),"")</f>
      </c>
      <c r="I308" t="str">
        <f>SUBSTITUTE(SUBSTITUTE(SUBSTITUTE(SUBSTITUTE(SUBSTITUTE(TRIM(B308&amp;""),CHAR(160),"")," ",""),"초등학교","초"),"중학교","중"),"고등학교","고")</f>
      </c>
    </row>
    <row r="309" customFormat="false" ht="15" hidden="false" customHeight="false" outlineLevel="0" collapsed="false">
      <c r="A309" s="8"/>
      <c r="B309" s="8"/>
      <c r="C309" s="8"/>
      <c r="D309" s="8"/>
      <c r="E309" s="8"/>
      <c r="F309" t="str" s="15">
        <f aca="0">IF(B309="","",IF(H309="","확인필요(입력누락)",IF(SUMPRODUCT((실물목록!$P$2:$P$1001&lt;&gt;"")*ISNUMBER(SEARCH(실물목록!$P$2:$P$1001,I309))*(실물목록!$Q$2:$Q$1001&lt;&gt;"")*ISNUMBER(SEARCH(실물목록!$Q$2:$Q$1001,I309))*(실물목록!$R$2:$R$1001="")*(실물목록!$O$2:$O$1001&lt;&gt;"")*(실물목록!$O$2:$O$1001=H309))&gt;0,"실물 있음",IF(SUMPRODUCT((실물목록!$P$2:$P$1001&lt;&gt;"")*ISNUMBER(SEARCH(실물목록!$P$2:$P$1001,I309))*(실물목록!$R$2:$R$1001&lt;&gt;""))&gt;0,"확인필요(입력누락)",IF(SUMPRODUCT((실물목록!$P$2:$P$1001&lt;&gt;"")*ISNUMBER(SEARCH(실물목록!$P$2:$P$1001,I309))*(실물목록!$Q$2:$Q$1001&lt;&gt;"")*ISNUMBER(SEARCH(실물목록!$Q$2:$Q$1001,I309))*(실물목록!$R$2:$R$1001="")*(실물목록!$O$2:$O$1001&lt;&gt;""))&gt;0,"확인필요(연도다름)","실물 없음")))))</f>
      </c>
      <c r="G309" t="n" s="16">
        <f aca="0">IF(B309="","",SUMPRODUCT((실물목록!$P$2:$P$1001&lt;&gt;"")*ISNUMBER(SEARCH(실물목록!$P$2:$P$1001,I309))*(실물목록!$Q$2:$Q$1001&lt;&gt;"")*ISNUMBER(SEARCH(실물목록!$Q$2:$Q$1001,I309))*(실물목록!$R$2:$R$1001="")*(실물목록!$O$2:$O$1001&lt;&gt;"")*(실물목록!$O$2:$O$1001=H309)))</f>
      </c>
      <c r="H309" t="str">
        <f>IFERROR(IF(AND(LEN(SUBSTITUTE(SUBSTITUTE(SUBSTITUTE(TRIM(A309&amp;""),CHAR(160),"")," ",""),"년",""))=4,VALUE(SUBSTITUTE(SUBSTITUTE(SUBSTITUTE(TRIM(A309&amp;""),CHAR(160),"")," ",""),"년",""))&gt;=1900,VALUE(SUBSTITUTE(SUBSTITUTE(SUBSTITUTE(TRIM(A309&amp;""),CHAR(160),"")," ",""),"년",""))&lt;=2099,TEXT(VALUE(SUBSTITUTE(SUBSTITUTE(SUBSTITUTE(TRIM(A309&amp;""),CHAR(160),"")," ",""),"년","")),"0000")=SUBSTITUTE(SUBSTITUTE(SUBSTITUTE(TRIM(A309&amp;""),CHAR(160),"")," ",""),"년","")),SUBSTITUTE(SUBSTITUTE(SUBSTITUTE(TRIM(A309&amp;""),CHAR(160),"")," ",""),"년",""),""),"")</f>
      </c>
      <c r="I309" t="str">
        <f>SUBSTITUTE(SUBSTITUTE(SUBSTITUTE(SUBSTITUTE(SUBSTITUTE(TRIM(B309&amp;""),CHAR(160),"")," ",""),"초등학교","초"),"중학교","중"),"고등학교","고")</f>
      </c>
    </row>
    <row r="310" customFormat="false" ht="15" hidden="false" customHeight="false" outlineLevel="0" collapsed="false">
      <c r="A310" s="8"/>
      <c r="B310" s="8"/>
      <c r="C310" s="8"/>
      <c r="D310" s="8"/>
      <c r="E310" s="8"/>
      <c r="F310" t="str" s="15">
        <f aca="0">IF(B310="","",IF(H310="","확인필요(입력누락)",IF(SUMPRODUCT((실물목록!$P$2:$P$1001&lt;&gt;"")*ISNUMBER(SEARCH(실물목록!$P$2:$P$1001,I310))*(실물목록!$Q$2:$Q$1001&lt;&gt;"")*ISNUMBER(SEARCH(실물목록!$Q$2:$Q$1001,I310))*(실물목록!$R$2:$R$1001="")*(실물목록!$O$2:$O$1001&lt;&gt;"")*(실물목록!$O$2:$O$1001=H310))&gt;0,"실물 있음",IF(SUMPRODUCT((실물목록!$P$2:$P$1001&lt;&gt;"")*ISNUMBER(SEARCH(실물목록!$P$2:$P$1001,I310))*(실물목록!$R$2:$R$1001&lt;&gt;""))&gt;0,"확인필요(입력누락)",IF(SUMPRODUCT((실물목록!$P$2:$P$1001&lt;&gt;"")*ISNUMBER(SEARCH(실물목록!$P$2:$P$1001,I310))*(실물목록!$Q$2:$Q$1001&lt;&gt;"")*ISNUMBER(SEARCH(실물목록!$Q$2:$Q$1001,I310))*(실물목록!$R$2:$R$1001="")*(실물목록!$O$2:$O$1001&lt;&gt;""))&gt;0,"확인필요(연도다름)","실물 없음")))))</f>
      </c>
      <c r="G310" t="n" s="16">
        <f aca="0">IF(B310="","",SUMPRODUCT((실물목록!$P$2:$P$1001&lt;&gt;"")*ISNUMBER(SEARCH(실물목록!$P$2:$P$1001,I310))*(실물목록!$Q$2:$Q$1001&lt;&gt;"")*ISNUMBER(SEARCH(실물목록!$Q$2:$Q$1001,I310))*(실물목록!$R$2:$R$1001="")*(실물목록!$O$2:$O$1001&lt;&gt;"")*(실물목록!$O$2:$O$1001=H310)))</f>
      </c>
      <c r="H310" t="str">
        <f>IFERROR(IF(AND(LEN(SUBSTITUTE(SUBSTITUTE(SUBSTITUTE(TRIM(A310&amp;""),CHAR(160),"")," ",""),"년",""))=4,VALUE(SUBSTITUTE(SUBSTITUTE(SUBSTITUTE(TRIM(A310&amp;""),CHAR(160),"")," ",""),"년",""))&gt;=1900,VALUE(SUBSTITUTE(SUBSTITUTE(SUBSTITUTE(TRIM(A310&amp;""),CHAR(160),"")," ",""),"년",""))&lt;=2099,TEXT(VALUE(SUBSTITUTE(SUBSTITUTE(SUBSTITUTE(TRIM(A310&amp;""),CHAR(160),"")," ",""),"년","")),"0000")=SUBSTITUTE(SUBSTITUTE(SUBSTITUTE(TRIM(A310&amp;""),CHAR(160),"")," ",""),"년","")),SUBSTITUTE(SUBSTITUTE(SUBSTITUTE(TRIM(A310&amp;""),CHAR(160),"")," ",""),"년",""),""),"")</f>
      </c>
      <c r="I310" t="str">
        <f>SUBSTITUTE(SUBSTITUTE(SUBSTITUTE(SUBSTITUTE(SUBSTITUTE(TRIM(B310&amp;""),CHAR(160),"")," ",""),"초등학교","초"),"중학교","중"),"고등학교","고")</f>
      </c>
    </row>
    <row r="311" customFormat="false" ht="15" hidden="false" customHeight="false" outlineLevel="0" collapsed="false">
      <c r="A311" s="8"/>
      <c r="B311" s="8"/>
      <c r="C311" s="8"/>
      <c r="D311" s="8"/>
      <c r="E311" s="8"/>
      <c r="F311" t="str" s="15">
        <f aca="0">IF(B311="","",IF(H311="","확인필요(입력누락)",IF(SUMPRODUCT((실물목록!$P$2:$P$1001&lt;&gt;"")*ISNUMBER(SEARCH(실물목록!$P$2:$P$1001,I311))*(실물목록!$Q$2:$Q$1001&lt;&gt;"")*ISNUMBER(SEARCH(실물목록!$Q$2:$Q$1001,I311))*(실물목록!$R$2:$R$1001="")*(실물목록!$O$2:$O$1001&lt;&gt;"")*(실물목록!$O$2:$O$1001=H311))&gt;0,"실물 있음",IF(SUMPRODUCT((실물목록!$P$2:$P$1001&lt;&gt;"")*ISNUMBER(SEARCH(실물목록!$P$2:$P$1001,I311))*(실물목록!$R$2:$R$1001&lt;&gt;""))&gt;0,"확인필요(입력누락)",IF(SUMPRODUCT((실물목록!$P$2:$P$1001&lt;&gt;"")*ISNUMBER(SEARCH(실물목록!$P$2:$P$1001,I311))*(실물목록!$Q$2:$Q$1001&lt;&gt;"")*ISNUMBER(SEARCH(실물목록!$Q$2:$Q$1001,I311))*(실물목록!$R$2:$R$1001="")*(실물목록!$O$2:$O$1001&lt;&gt;""))&gt;0,"확인필요(연도다름)","실물 없음")))))</f>
      </c>
      <c r="G311" t="n" s="16">
        <f aca="0">IF(B311="","",SUMPRODUCT((실물목록!$P$2:$P$1001&lt;&gt;"")*ISNUMBER(SEARCH(실물목록!$P$2:$P$1001,I311))*(실물목록!$Q$2:$Q$1001&lt;&gt;"")*ISNUMBER(SEARCH(실물목록!$Q$2:$Q$1001,I311))*(실물목록!$R$2:$R$1001="")*(실물목록!$O$2:$O$1001&lt;&gt;"")*(실물목록!$O$2:$O$1001=H311)))</f>
      </c>
      <c r="H311" t="str">
        <f>IFERROR(IF(AND(LEN(SUBSTITUTE(SUBSTITUTE(SUBSTITUTE(TRIM(A311&amp;""),CHAR(160),"")," ",""),"년",""))=4,VALUE(SUBSTITUTE(SUBSTITUTE(SUBSTITUTE(TRIM(A311&amp;""),CHAR(160),"")," ",""),"년",""))&gt;=1900,VALUE(SUBSTITUTE(SUBSTITUTE(SUBSTITUTE(TRIM(A311&amp;""),CHAR(160),"")," ",""),"년",""))&lt;=2099,TEXT(VALUE(SUBSTITUTE(SUBSTITUTE(SUBSTITUTE(TRIM(A311&amp;""),CHAR(160),"")," ",""),"년","")),"0000")=SUBSTITUTE(SUBSTITUTE(SUBSTITUTE(TRIM(A311&amp;""),CHAR(160),"")," ",""),"년","")),SUBSTITUTE(SUBSTITUTE(SUBSTITUTE(TRIM(A311&amp;""),CHAR(160),"")," ",""),"년",""),""),"")</f>
      </c>
      <c r="I311" t="str">
        <f>SUBSTITUTE(SUBSTITUTE(SUBSTITUTE(SUBSTITUTE(SUBSTITUTE(TRIM(B311&amp;""),CHAR(160),"")," ",""),"초등학교","초"),"중학교","중"),"고등학교","고")</f>
      </c>
    </row>
    <row r="312" customFormat="false" ht="15" hidden="false" customHeight="false" outlineLevel="0" collapsed="false">
      <c r="A312" s="8"/>
      <c r="B312" s="8"/>
      <c r="C312" s="8"/>
      <c r="D312" s="8"/>
      <c r="E312" s="8"/>
      <c r="F312" t="str" s="15">
        <f aca="0">IF(B312="","",IF(H312="","확인필요(입력누락)",IF(SUMPRODUCT((실물목록!$P$2:$P$1001&lt;&gt;"")*ISNUMBER(SEARCH(실물목록!$P$2:$P$1001,I312))*(실물목록!$Q$2:$Q$1001&lt;&gt;"")*ISNUMBER(SEARCH(실물목록!$Q$2:$Q$1001,I312))*(실물목록!$R$2:$R$1001="")*(실물목록!$O$2:$O$1001&lt;&gt;"")*(실물목록!$O$2:$O$1001=H312))&gt;0,"실물 있음",IF(SUMPRODUCT((실물목록!$P$2:$P$1001&lt;&gt;"")*ISNUMBER(SEARCH(실물목록!$P$2:$P$1001,I312))*(실물목록!$R$2:$R$1001&lt;&gt;""))&gt;0,"확인필요(입력누락)",IF(SUMPRODUCT((실물목록!$P$2:$P$1001&lt;&gt;"")*ISNUMBER(SEARCH(실물목록!$P$2:$P$1001,I312))*(실물목록!$Q$2:$Q$1001&lt;&gt;"")*ISNUMBER(SEARCH(실물목록!$Q$2:$Q$1001,I312))*(실물목록!$R$2:$R$1001="")*(실물목록!$O$2:$O$1001&lt;&gt;""))&gt;0,"확인필요(연도다름)","실물 없음")))))</f>
      </c>
      <c r="G312" t="n" s="16">
        <f aca="0">IF(B312="","",SUMPRODUCT((실물목록!$P$2:$P$1001&lt;&gt;"")*ISNUMBER(SEARCH(실물목록!$P$2:$P$1001,I312))*(실물목록!$Q$2:$Q$1001&lt;&gt;"")*ISNUMBER(SEARCH(실물목록!$Q$2:$Q$1001,I312))*(실물목록!$R$2:$R$1001="")*(실물목록!$O$2:$O$1001&lt;&gt;"")*(실물목록!$O$2:$O$1001=H312)))</f>
      </c>
      <c r="H312" t="str">
        <f>IFERROR(IF(AND(LEN(SUBSTITUTE(SUBSTITUTE(SUBSTITUTE(TRIM(A312&amp;""),CHAR(160),"")," ",""),"년",""))=4,VALUE(SUBSTITUTE(SUBSTITUTE(SUBSTITUTE(TRIM(A312&amp;""),CHAR(160),"")," ",""),"년",""))&gt;=1900,VALUE(SUBSTITUTE(SUBSTITUTE(SUBSTITUTE(TRIM(A312&amp;""),CHAR(160),"")," ",""),"년",""))&lt;=2099,TEXT(VALUE(SUBSTITUTE(SUBSTITUTE(SUBSTITUTE(TRIM(A312&amp;""),CHAR(160),"")," ",""),"년","")),"0000")=SUBSTITUTE(SUBSTITUTE(SUBSTITUTE(TRIM(A312&amp;""),CHAR(160),"")," ",""),"년","")),SUBSTITUTE(SUBSTITUTE(SUBSTITUTE(TRIM(A312&amp;""),CHAR(160),"")," ",""),"년",""),""),"")</f>
      </c>
      <c r="I312" t="str">
        <f>SUBSTITUTE(SUBSTITUTE(SUBSTITUTE(SUBSTITUTE(SUBSTITUTE(TRIM(B312&amp;""),CHAR(160),"")," ",""),"초등학교","초"),"중학교","중"),"고등학교","고")</f>
      </c>
    </row>
    <row r="313" customFormat="false" ht="15" hidden="false" customHeight="false" outlineLevel="0" collapsed="false">
      <c r="A313" s="8"/>
      <c r="B313" s="8"/>
      <c r="C313" s="8"/>
      <c r="D313" s="8"/>
      <c r="E313" s="8"/>
      <c r="F313" t="str" s="15">
        <f aca="0">IF(B313="","",IF(H313="","확인필요(입력누락)",IF(SUMPRODUCT((실물목록!$P$2:$P$1001&lt;&gt;"")*ISNUMBER(SEARCH(실물목록!$P$2:$P$1001,I313))*(실물목록!$Q$2:$Q$1001&lt;&gt;"")*ISNUMBER(SEARCH(실물목록!$Q$2:$Q$1001,I313))*(실물목록!$R$2:$R$1001="")*(실물목록!$O$2:$O$1001&lt;&gt;"")*(실물목록!$O$2:$O$1001=H313))&gt;0,"실물 있음",IF(SUMPRODUCT((실물목록!$P$2:$P$1001&lt;&gt;"")*ISNUMBER(SEARCH(실물목록!$P$2:$P$1001,I313))*(실물목록!$R$2:$R$1001&lt;&gt;""))&gt;0,"확인필요(입력누락)",IF(SUMPRODUCT((실물목록!$P$2:$P$1001&lt;&gt;"")*ISNUMBER(SEARCH(실물목록!$P$2:$P$1001,I313))*(실물목록!$Q$2:$Q$1001&lt;&gt;"")*ISNUMBER(SEARCH(실물목록!$Q$2:$Q$1001,I313))*(실물목록!$R$2:$R$1001="")*(실물목록!$O$2:$O$1001&lt;&gt;""))&gt;0,"확인필요(연도다름)","실물 없음")))))</f>
      </c>
      <c r="G313" t="n" s="16">
        <f aca="0">IF(B313="","",SUMPRODUCT((실물목록!$P$2:$P$1001&lt;&gt;"")*ISNUMBER(SEARCH(실물목록!$P$2:$P$1001,I313))*(실물목록!$Q$2:$Q$1001&lt;&gt;"")*ISNUMBER(SEARCH(실물목록!$Q$2:$Q$1001,I313))*(실물목록!$R$2:$R$1001="")*(실물목록!$O$2:$O$1001&lt;&gt;"")*(실물목록!$O$2:$O$1001=H313)))</f>
      </c>
      <c r="H313" t="str">
        <f>IFERROR(IF(AND(LEN(SUBSTITUTE(SUBSTITUTE(SUBSTITUTE(TRIM(A313&amp;""),CHAR(160),"")," ",""),"년",""))=4,VALUE(SUBSTITUTE(SUBSTITUTE(SUBSTITUTE(TRIM(A313&amp;""),CHAR(160),"")," ",""),"년",""))&gt;=1900,VALUE(SUBSTITUTE(SUBSTITUTE(SUBSTITUTE(TRIM(A313&amp;""),CHAR(160),"")," ",""),"년",""))&lt;=2099,TEXT(VALUE(SUBSTITUTE(SUBSTITUTE(SUBSTITUTE(TRIM(A313&amp;""),CHAR(160),"")," ",""),"년","")),"0000")=SUBSTITUTE(SUBSTITUTE(SUBSTITUTE(TRIM(A313&amp;""),CHAR(160),"")," ",""),"년","")),SUBSTITUTE(SUBSTITUTE(SUBSTITUTE(TRIM(A313&amp;""),CHAR(160),"")," ",""),"년",""),""),"")</f>
      </c>
      <c r="I313" t="str">
        <f>SUBSTITUTE(SUBSTITUTE(SUBSTITUTE(SUBSTITUTE(SUBSTITUTE(TRIM(B313&amp;""),CHAR(160),"")," ",""),"초등학교","초"),"중학교","중"),"고등학교","고")</f>
      </c>
    </row>
    <row r="314" customFormat="false" ht="15" hidden="false" customHeight="false" outlineLevel="0" collapsed="false">
      <c r="A314" s="8"/>
      <c r="B314" s="8"/>
      <c r="C314" s="8"/>
      <c r="D314" s="8"/>
      <c r="E314" s="8"/>
      <c r="F314" t="str" s="15">
        <f aca="0">IF(B314="","",IF(H314="","확인필요(입력누락)",IF(SUMPRODUCT((실물목록!$P$2:$P$1001&lt;&gt;"")*ISNUMBER(SEARCH(실물목록!$P$2:$P$1001,I314))*(실물목록!$Q$2:$Q$1001&lt;&gt;"")*ISNUMBER(SEARCH(실물목록!$Q$2:$Q$1001,I314))*(실물목록!$R$2:$R$1001="")*(실물목록!$O$2:$O$1001&lt;&gt;"")*(실물목록!$O$2:$O$1001=H314))&gt;0,"실물 있음",IF(SUMPRODUCT((실물목록!$P$2:$P$1001&lt;&gt;"")*ISNUMBER(SEARCH(실물목록!$P$2:$P$1001,I314))*(실물목록!$R$2:$R$1001&lt;&gt;""))&gt;0,"확인필요(입력누락)",IF(SUMPRODUCT((실물목록!$P$2:$P$1001&lt;&gt;"")*ISNUMBER(SEARCH(실물목록!$P$2:$P$1001,I314))*(실물목록!$Q$2:$Q$1001&lt;&gt;"")*ISNUMBER(SEARCH(실물목록!$Q$2:$Q$1001,I314))*(실물목록!$R$2:$R$1001="")*(실물목록!$O$2:$O$1001&lt;&gt;""))&gt;0,"확인필요(연도다름)","실물 없음")))))</f>
      </c>
      <c r="G314" t="n" s="16">
        <f aca="0">IF(B314="","",SUMPRODUCT((실물목록!$P$2:$P$1001&lt;&gt;"")*ISNUMBER(SEARCH(실물목록!$P$2:$P$1001,I314))*(실물목록!$Q$2:$Q$1001&lt;&gt;"")*ISNUMBER(SEARCH(실물목록!$Q$2:$Q$1001,I314))*(실물목록!$R$2:$R$1001="")*(실물목록!$O$2:$O$1001&lt;&gt;"")*(실물목록!$O$2:$O$1001=H314)))</f>
      </c>
      <c r="H314" t="str">
        <f>IFERROR(IF(AND(LEN(SUBSTITUTE(SUBSTITUTE(SUBSTITUTE(TRIM(A314&amp;""),CHAR(160),"")," ",""),"년",""))=4,VALUE(SUBSTITUTE(SUBSTITUTE(SUBSTITUTE(TRIM(A314&amp;""),CHAR(160),"")," ",""),"년",""))&gt;=1900,VALUE(SUBSTITUTE(SUBSTITUTE(SUBSTITUTE(TRIM(A314&amp;""),CHAR(160),"")," ",""),"년",""))&lt;=2099,TEXT(VALUE(SUBSTITUTE(SUBSTITUTE(SUBSTITUTE(TRIM(A314&amp;""),CHAR(160),"")," ",""),"년","")),"0000")=SUBSTITUTE(SUBSTITUTE(SUBSTITUTE(TRIM(A314&amp;""),CHAR(160),"")," ",""),"년","")),SUBSTITUTE(SUBSTITUTE(SUBSTITUTE(TRIM(A314&amp;""),CHAR(160),"")," ",""),"년",""),""),"")</f>
      </c>
      <c r="I314" t="str">
        <f>SUBSTITUTE(SUBSTITUTE(SUBSTITUTE(SUBSTITUTE(SUBSTITUTE(TRIM(B314&amp;""),CHAR(160),"")," ",""),"초등학교","초"),"중학교","중"),"고등학교","고")</f>
      </c>
    </row>
    <row r="315" customFormat="false" ht="15" hidden="false" customHeight="false" outlineLevel="0" collapsed="false">
      <c r="A315" s="8"/>
      <c r="B315" s="8"/>
      <c r="C315" s="8"/>
      <c r="D315" s="8"/>
      <c r="E315" s="8"/>
      <c r="F315" t="str" s="15">
        <f aca="0">IF(B315="","",IF(H315="","확인필요(입력누락)",IF(SUMPRODUCT((실물목록!$P$2:$P$1001&lt;&gt;"")*ISNUMBER(SEARCH(실물목록!$P$2:$P$1001,I315))*(실물목록!$Q$2:$Q$1001&lt;&gt;"")*ISNUMBER(SEARCH(실물목록!$Q$2:$Q$1001,I315))*(실물목록!$R$2:$R$1001="")*(실물목록!$O$2:$O$1001&lt;&gt;"")*(실물목록!$O$2:$O$1001=H315))&gt;0,"실물 있음",IF(SUMPRODUCT((실물목록!$P$2:$P$1001&lt;&gt;"")*ISNUMBER(SEARCH(실물목록!$P$2:$P$1001,I315))*(실물목록!$R$2:$R$1001&lt;&gt;""))&gt;0,"확인필요(입력누락)",IF(SUMPRODUCT((실물목록!$P$2:$P$1001&lt;&gt;"")*ISNUMBER(SEARCH(실물목록!$P$2:$P$1001,I315))*(실물목록!$Q$2:$Q$1001&lt;&gt;"")*ISNUMBER(SEARCH(실물목록!$Q$2:$Q$1001,I315))*(실물목록!$R$2:$R$1001="")*(실물목록!$O$2:$O$1001&lt;&gt;""))&gt;0,"확인필요(연도다름)","실물 없음")))))</f>
      </c>
      <c r="G315" t="n" s="16">
        <f aca="0">IF(B315="","",SUMPRODUCT((실물목록!$P$2:$P$1001&lt;&gt;"")*ISNUMBER(SEARCH(실물목록!$P$2:$P$1001,I315))*(실물목록!$Q$2:$Q$1001&lt;&gt;"")*ISNUMBER(SEARCH(실물목록!$Q$2:$Q$1001,I315))*(실물목록!$R$2:$R$1001="")*(실물목록!$O$2:$O$1001&lt;&gt;"")*(실물목록!$O$2:$O$1001=H315)))</f>
      </c>
      <c r="H315" t="str">
        <f>IFERROR(IF(AND(LEN(SUBSTITUTE(SUBSTITUTE(SUBSTITUTE(TRIM(A315&amp;""),CHAR(160),"")," ",""),"년",""))=4,VALUE(SUBSTITUTE(SUBSTITUTE(SUBSTITUTE(TRIM(A315&amp;""),CHAR(160),"")," ",""),"년",""))&gt;=1900,VALUE(SUBSTITUTE(SUBSTITUTE(SUBSTITUTE(TRIM(A315&amp;""),CHAR(160),"")," ",""),"년",""))&lt;=2099,TEXT(VALUE(SUBSTITUTE(SUBSTITUTE(SUBSTITUTE(TRIM(A315&amp;""),CHAR(160),"")," ",""),"년","")),"0000")=SUBSTITUTE(SUBSTITUTE(SUBSTITUTE(TRIM(A315&amp;""),CHAR(160),"")," ",""),"년","")),SUBSTITUTE(SUBSTITUTE(SUBSTITUTE(TRIM(A315&amp;""),CHAR(160),"")," ",""),"년",""),""),"")</f>
      </c>
      <c r="I315" t="str">
        <f>SUBSTITUTE(SUBSTITUTE(SUBSTITUTE(SUBSTITUTE(SUBSTITUTE(TRIM(B315&amp;""),CHAR(160),"")," ",""),"초등학교","초"),"중학교","중"),"고등학교","고")</f>
      </c>
    </row>
    <row r="316" customFormat="false" ht="15" hidden="false" customHeight="false" outlineLevel="0" collapsed="false">
      <c r="A316" s="8"/>
      <c r="B316" s="8"/>
      <c r="C316" s="8"/>
      <c r="D316" s="8"/>
      <c r="E316" s="8"/>
      <c r="F316" t="str" s="15">
        <f aca="0">IF(B316="","",IF(H316="","확인필요(입력누락)",IF(SUMPRODUCT((실물목록!$P$2:$P$1001&lt;&gt;"")*ISNUMBER(SEARCH(실물목록!$P$2:$P$1001,I316))*(실물목록!$Q$2:$Q$1001&lt;&gt;"")*ISNUMBER(SEARCH(실물목록!$Q$2:$Q$1001,I316))*(실물목록!$R$2:$R$1001="")*(실물목록!$O$2:$O$1001&lt;&gt;"")*(실물목록!$O$2:$O$1001=H316))&gt;0,"실물 있음",IF(SUMPRODUCT((실물목록!$P$2:$P$1001&lt;&gt;"")*ISNUMBER(SEARCH(실물목록!$P$2:$P$1001,I316))*(실물목록!$R$2:$R$1001&lt;&gt;""))&gt;0,"확인필요(입력누락)",IF(SUMPRODUCT((실물목록!$P$2:$P$1001&lt;&gt;"")*ISNUMBER(SEARCH(실물목록!$P$2:$P$1001,I316))*(실물목록!$Q$2:$Q$1001&lt;&gt;"")*ISNUMBER(SEARCH(실물목록!$Q$2:$Q$1001,I316))*(실물목록!$R$2:$R$1001="")*(실물목록!$O$2:$O$1001&lt;&gt;""))&gt;0,"확인필요(연도다름)","실물 없음")))))</f>
      </c>
      <c r="G316" t="n" s="16">
        <f aca="0">IF(B316="","",SUMPRODUCT((실물목록!$P$2:$P$1001&lt;&gt;"")*ISNUMBER(SEARCH(실물목록!$P$2:$P$1001,I316))*(실물목록!$Q$2:$Q$1001&lt;&gt;"")*ISNUMBER(SEARCH(실물목록!$Q$2:$Q$1001,I316))*(실물목록!$R$2:$R$1001="")*(실물목록!$O$2:$O$1001&lt;&gt;"")*(실물목록!$O$2:$O$1001=H316)))</f>
      </c>
      <c r="H316" t="str">
        <f>IFERROR(IF(AND(LEN(SUBSTITUTE(SUBSTITUTE(SUBSTITUTE(TRIM(A316&amp;""),CHAR(160),"")," ",""),"년",""))=4,VALUE(SUBSTITUTE(SUBSTITUTE(SUBSTITUTE(TRIM(A316&amp;""),CHAR(160),"")," ",""),"년",""))&gt;=1900,VALUE(SUBSTITUTE(SUBSTITUTE(SUBSTITUTE(TRIM(A316&amp;""),CHAR(160),"")," ",""),"년",""))&lt;=2099,TEXT(VALUE(SUBSTITUTE(SUBSTITUTE(SUBSTITUTE(TRIM(A316&amp;""),CHAR(160),"")," ",""),"년","")),"0000")=SUBSTITUTE(SUBSTITUTE(SUBSTITUTE(TRIM(A316&amp;""),CHAR(160),"")," ",""),"년","")),SUBSTITUTE(SUBSTITUTE(SUBSTITUTE(TRIM(A316&amp;""),CHAR(160),"")," ",""),"년",""),""),"")</f>
      </c>
      <c r="I316" t="str">
        <f>SUBSTITUTE(SUBSTITUTE(SUBSTITUTE(SUBSTITUTE(SUBSTITUTE(TRIM(B316&amp;""),CHAR(160),"")," ",""),"초등학교","초"),"중학교","중"),"고등학교","고")</f>
      </c>
    </row>
    <row r="317" customFormat="false" ht="15" hidden="false" customHeight="false" outlineLevel="0" collapsed="false">
      <c r="A317" s="8"/>
      <c r="B317" s="8"/>
      <c r="C317" s="8"/>
      <c r="D317" s="8"/>
      <c r="E317" s="8"/>
      <c r="F317" t="str" s="15">
        <f aca="0">IF(B317="","",IF(H317="","확인필요(입력누락)",IF(SUMPRODUCT((실물목록!$P$2:$P$1001&lt;&gt;"")*ISNUMBER(SEARCH(실물목록!$P$2:$P$1001,I317))*(실물목록!$Q$2:$Q$1001&lt;&gt;"")*ISNUMBER(SEARCH(실물목록!$Q$2:$Q$1001,I317))*(실물목록!$R$2:$R$1001="")*(실물목록!$O$2:$O$1001&lt;&gt;"")*(실물목록!$O$2:$O$1001=H317))&gt;0,"실물 있음",IF(SUMPRODUCT((실물목록!$P$2:$P$1001&lt;&gt;"")*ISNUMBER(SEARCH(실물목록!$P$2:$P$1001,I317))*(실물목록!$R$2:$R$1001&lt;&gt;""))&gt;0,"확인필요(입력누락)",IF(SUMPRODUCT((실물목록!$P$2:$P$1001&lt;&gt;"")*ISNUMBER(SEARCH(실물목록!$P$2:$P$1001,I317))*(실물목록!$Q$2:$Q$1001&lt;&gt;"")*ISNUMBER(SEARCH(실물목록!$Q$2:$Q$1001,I317))*(실물목록!$R$2:$R$1001="")*(실물목록!$O$2:$O$1001&lt;&gt;""))&gt;0,"확인필요(연도다름)","실물 없음")))))</f>
      </c>
      <c r="G317" t="n" s="16">
        <f aca="0">IF(B317="","",SUMPRODUCT((실물목록!$P$2:$P$1001&lt;&gt;"")*ISNUMBER(SEARCH(실물목록!$P$2:$P$1001,I317))*(실물목록!$Q$2:$Q$1001&lt;&gt;"")*ISNUMBER(SEARCH(실물목록!$Q$2:$Q$1001,I317))*(실물목록!$R$2:$R$1001="")*(실물목록!$O$2:$O$1001&lt;&gt;"")*(실물목록!$O$2:$O$1001=H317)))</f>
      </c>
      <c r="H317" t="str">
        <f>IFERROR(IF(AND(LEN(SUBSTITUTE(SUBSTITUTE(SUBSTITUTE(TRIM(A317&amp;""),CHAR(160),"")," ",""),"년",""))=4,VALUE(SUBSTITUTE(SUBSTITUTE(SUBSTITUTE(TRIM(A317&amp;""),CHAR(160),"")," ",""),"년",""))&gt;=1900,VALUE(SUBSTITUTE(SUBSTITUTE(SUBSTITUTE(TRIM(A317&amp;""),CHAR(160),"")," ",""),"년",""))&lt;=2099,TEXT(VALUE(SUBSTITUTE(SUBSTITUTE(SUBSTITUTE(TRIM(A317&amp;""),CHAR(160),"")," ",""),"년","")),"0000")=SUBSTITUTE(SUBSTITUTE(SUBSTITUTE(TRIM(A317&amp;""),CHAR(160),"")," ",""),"년","")),SUBSTITUTE(SUBSTITUTE(SUBSTITUTE(TRIM(A317&amp;""),CHAR(160),"")," ",""),"년",""),""),"")</f>
      </c>
      <c r="I317" t="str">
        <f>SUBSTITUTE(SUBSTITUTE(SUBSTITUTE(SUBSTITUTE(SUBSTITUTE(TRIM(B317&amp;""),CHAR(160),"")," ",""),"초등학교","초"),"중학교","중"),"고등학교","고")</f>
      </c>
    </row>
    <row r="318" customFormat="false" ht="15" hidden="false" customHeight="false" outlineLevel="0" collapsed="false">
      <c r="A318" s="8"/>
      <c r="B318" s="8"/>
      <c r="C318" s="8"/>
      <c r="D318" s="8"/>
      <c r="E318" s="8"/>
      <c r="F318" t="str" s="15">
        <f aca="0">IF(B318="","",IF(H318="","확인필요(입력누락)",IF(SUMPRODUCT((실물목록!$P$2:$P$1001&lt;&gt;"")*ISNUMBER(SEARCH(실물목록!$P$2:$P$1001,I318))*(실물목록!$Q$2:$Q$1001&lt;&gt;"")*ISNUMBER(SEARCH(실물목록!$Q$2:$Q$1001,I318))*(실물목록!$R$2:$R$1001="")*(실물목록!$O$2:$O$1001&lt;&gt;"")*(실물목록!$O$2:$O$1001=H318))&gt;0,"실물 있음",IF(SUMPRODUCT((실물목록!$P$2:$P$1001&lt;&gt;"")*ISNUMBER(SEARCH(실물목록!$P$2:$P$1001,I318))*(실물목록!$R$2:$R$1001&lt;&gt;""))&gt;0,"확인필요(입력누락)",IF(SUMPRODUCT((실물목록!$P$2:$P$1001&lt;&gt;"")*ISNUMBER(SEARCH(실물목록!$P$2:$P$1001,I318))*(실물목록!$Q$2:$Q$1001&lt;&gt;"")*ISNUMBER(SEARCH(실물목록!$Q$2:$Q$1001,I318))*(실물목록!$R$2:$R$1001="")*(실물목록!$O$2:$O$1001&lt;&gt;""))&gt;0,"확인필요(연도다름)","실물 없음")))))</f>
      </c>
      <c r="G318" t="n" s="16">
        <f aca="0">IF(B318="","",SUMPRODUCT((실물목록!$P$2:$P$1001&lt;&gt;"")*ISNUMBER(SEARCH(실물목록!$P$2:$P$1001,I318))*(실물목록!$Q$2:$Q$1001&lt;&gt;"")*ISNUMBER(SEARCH(실물목록!$Q$2:$Q$1001,I318))*(실물목록!$R$2:$R$1001="")*(실물목록!$O$2:$O$1001&lt;&gt;"")*(실물목록!$O$2:$O$1001=H318)))</f>
      </c>
      <c r="H318" t="str">
        <f>IFERROR(IF(AND(LEN(SUBSTITUTE(SUBSTITUTE(SUBSTITUTE(TRIM(A318&amp;""),CHAR(160),"")," ",""),"년",""))=4,VALUE(SUBSTITUTE(SUBSTITUTE(SUBSTITUTE(TRIM(A318&amp;""),CHAR(160),"")," ",""),"년",""))&gt;=1900,VALUE(SUBSTITUTE(SUBSTITUTE(SUBSTITUTE(TRIM(A318&amp;""),CHAR(160),"")," ",""),"년",""))&lt;=2099,TEXT(VALUE(SUBSTITUTE(SUBSTITUTE(SUBSTITUTE(TRIM(A318&amp;""),CHAR(160),"")," ",""),"년","")),"0000")=SUBSTITUTE(SUBSTITUTE(SUBSTITUTE(TRIM(A318&amp;""),CHAR(160),"")," ",""),"년","")),SUBSTITUTE(SUBSTITUTE(SUBSTITUTE(TRIM(A318&amp;""),CHAR(160),"")," ",""),"년",""),""),"")</f>
      </c>
      <c r="I318" t="str">
        <f>SUBSTITUTE(SUBSTITUTE(SUBSTITUTE(SUBSTITUTE(SUBSTITUTE(TRIM(B318&amp;""),CHAR(160),"")," ",""),"초등학교","초"),"중학교","중"),"고등학교","고")</f>
      </c>
    </row>
    <row r="319" customFormat="false" ht="15" hidden="false" customHeight="false" outlineLevel="0" collapsed="false">
      <c r="A319" s="8"/>
      <c r="B319" s="8"/>
      <c r="C319" s="8"/>
      <c r="D319" s="8"/>
      <c r="E319" s="8"/>
      <c r="F319" t="str" s="15">
        <f aca="0">IF(B319="","",IF(H319="","확인필요(입력누락)",IF(SUMPRODUCT((실물목록!$P$2:$P$1001&lt;&gt;"")*ISNUMBER(SEARCH(실물목록!$P$2:$P$1001,I319))*(실물목록!$Q$2:$Q$1001&lt;&gt;"")*ISNUMBER(SEARCH(실물목록!$Q$2:$Q$1001,I319))*(실물목록!$R$2:$R$1001="")*(실물목록!$O$2:$O$1001&lt;&gt;"")*(실물목록!$O$2:$O$1001=H319))&gt;0,"실물 있음",IF(SUMPRODUCT((실물목록!$P$2:$P$1001&lt;&gt;"")*ISNUMBER(SEARCH(실물목록!$P$2:$P$1001,I319))*(실물목록!$R$2:$R$1001&lt;&gt;""))&gt;0,"확인필요(입력누락)",IF(SUMPRODUCT((실물목록!$P$2:$P$1001&lt;&gt;"")*ISNUMBER(SEARCH(실물목록!$P$2:$P$1001,I319))*(실물목록!$Q$2:$Q$1001&lt;&gt;"")*ISNUMBER(SEARCH(실물목록!$Q$2:$Q$1001,I319))*(실물목록!$R$2:$R$1001="")*(실물목록!$O$2:$O$1001&lt;&gt;""))&gt;0,"확인필요(연도다름)","실물 없음")))))</f>
      </c>
      <c r="G319" t="n" s="16">
        <f aca="0">IF(B319="","",SUMPRODUCT((실물목록!$P$2:$P$1001&lt;&gt;"")*ISNUMBER(SEARCH(실물목록!$P$2:$P$1001,I319))*(실물목록!$Q$2:$Q$1001&lt;&gt;"")*ISNUMBER(SEARCH(실물목록!$Q$2:$Q$1001,I319))*(실물목록!$R$2:$R$1001="")*(실물목록!$O$2:$O$1001&lt;&gt;"")*(실물목록!$O$2:$O$1001=H319)))</f>
      </c>
      <c r="H319" t="str">
        <f>IFERROR(IF(AND(LEN(SUBSTITUTE(SUBSTITUTE(SUBSTITUTE(TRIM(A319&amp;""),CHAR(160),"")," ",""),"년",""))=4,VALUE(SUBSTITUTE(SUBSTITUTE(SUBSTITUTE(TRIM(A319&amp;""),CHAR(160),"")," ",""),"년",""))&gt;=1900,VALUE(SUBSTITUTE(SUBSTITUTE(SUBSTITUTE(TRIM(A319&amp;""),CHAR(160),"")," ",""),"년",""))&lt;=2099,TEXT(VALUE(SUBSTITUTE(SUBSTITUTE(SUBSTITUTE(TRIM(A319&amp;""),CHAR(160),"")," ",""),"년","")),"0000")=SUBSTITUTE(SUBSTITUTE(SUBSTITUTE(TRIM(A319&amp;""),CHAR(160),"")," ",""),"년","")),SUBSTITUTE(SUBSTITUTE(SUBSTITUTE(TRIM(A319&amp;""),CHAR(160),"")," ",""),"년",""),""),"")</f>
      </c>
      <c r="I319" t="str">
        <f>SUBSTITUTE(SUBSTITUTE(SUBSTITUTE(SUBSTITUTE(SUBSTITUTE(TRIM(B319&amp;""),CHAR(160),"")," ",""),"초등학교","초"),"중학교","중"),"고등학교","고")</f>
      </c>
    </row>
    <row r="320" customFormat="false" ht="15" hidden="false" customHeight="false" outlineLevel="0" collapsed="false">
      <c r="A320" s="8"/>
      <c r="B320" s="8"/>
      <c r="C320" s="8"/>
      <c r="D320" s="8"/>
      <c r="E320" s="8"/>
      <c r="F320" t="str" s="15">
        <f aca="0">IF(B320="","",IF(H320="","확인필요(입력누락)",IF(SUMPRODUCT((실물목록!$P$2:$P$1001&lt;&gt;"")*ISNUMBER(SEARCH(실물목록!$P$2:$P$1001,I320))*(실물목록!$Q$2:$Q$1001&lt;&gt;"")*ISNUMBER(SEARCH(실물목록!$Q$2:$Q$1001,I320))*(실물목록!$R$2:$R$1001="")*(실물목록!$O$2:$O$1001&lt;&gt;"")*(실물목록!$O$2:$O$1001=H320))&gt;0,"실물 있음",IF(SUMPRODUCT((실물목록!$P$2:$P$1001&lt;&gt;"")*ISNUMBER(SEARCH(실물목록!$P$2:$P$1001,I320))*(실물목록!$R$2:$R$1001&lt;&gt;""))&gt;0,"확인필요(입력누락)",IF(SUMPRODUCT((실물목록!$P$2:$P$1001&lt;&gt;"")*ISNUMBER(SEARCH(실물목록!$P$2:$P$1001,I320))*(실물목록!$Q$2:$Q$1001&lt;&gt;"")*ISNUMBER(SEARCH(실물목록!$Q$2:$Q$1001,I320))*(실물목록!$R$2:$R$1001="")*(실물목록!$O$2:$O$1001&lt;&gt;""))&gt;0,"확인필요(연도다름)","실물 없음")))))</f>
      </c>
      <c r="G320" t="n" s="16">
        <f aca="0">IF(B320="","",SUMPRODUCT((실물목록!$P$2:$P$1001&lt;&gt;"")*ISNUMBER(SEARCH(실물목록!$P$2:$P$1001,I320))*(실물목록!$Q$2:$Q$1001&lt;&gt;"")*ISNUMBER(SEARCH(실물목록!$Q$2:$Q$1001,I320))*(실물목록!$R$2:$R$1001="")*(실물목록!$O$2:$O$1001&lt;&gt;"")*(실물목록!$O$2:$O$1001=H320)))</f>
      </c>
      <c r="H320" t="str">
        <f>IFERROR(IF(AND(LEN(SUBSTITUTE(SUBSTITUTE(SUBSTITUTE(TRIM(A320&amp;""),CHAR(160),"")," ",""),"년",""))=4,VALUE(SUBSTITUTE(SUBSTITUTE(SUBSTITUTE(TRIM(A320&amp;""),CHAR(160),"")," ",""),"년",""))&gt;=1900,VALUE(SUBSTITUTE(SUBSTITUTE(SUBSTITUTE(TRIM(A320&amp;""),CHAR(160),"")," ",""),"년",""))&lt;=2099,TEXT(VALUE(SUBSTITUTE(SUBSTITUTE(SUBSTITUTE(TRIM(A320&amp;""),CHAR(160),"")," ",""),"년","")),"0000")=SUBSTITUTE(SUBSTITUTE(SUBSTITUTE(TRIM(A320&amp;""),CHAR(160),"")," ",""),"년","")),SUBSTITUTE(SUBSTITUTE(SUBSTITUTE(TRIM(A320&amp;""),CHAR(160),"")," ",""),"년",""),""),"")</f>
      </c>
      <c r="I320" t="str">
        <f>SUBSTITUTE(SUBSTITUTE(SUBSTITUTE(SUBSTITUTE(SUBSTITUTE(TRIM(B320&amp;""),CHAR(160),"")," ",""),"초등학교","초"),"중학교","중"),"고등학교","고")</f>
      </c>
    </row>
    <row r="321" customFormat="false" ht="15" hidden="false" customHeight="false" outlineLevel="0" collapsed="false">
      <c r="A321" s="8"/>
      <c r="B321" s="8"/>
      <c r="C321" s="8"/>
      <c r="D321" s="8"/>
      <c r="E321" s="8"/>
      <c r="F321" t="str" s="15">
        <f aca="0">IF(B321="","",IF(H321="","확인필요(입력누락)",IF(SUMPRODUCT((실물목록!$P$2:$P$1001&lt;&gt;"")*ISNUMBER(SEARCH(실물목록!$P$2:$P$1001,I321))*(실물목록!$Q$2:$Q$1001&lt;&gt;"")*ISNUMBER(SEARCH(실물목록!$Q$2:$Q$1001,I321))*(실물목록!$R$2:$R$1001="")*(실물목록!$O$2:$O$1001&lt;&gt;"")*(실물목록!$O$2:$O$1001=H321))&gt;0,"실물 있음",IF(SUMPRODUCT((실물목록!$P$2:$P$1001&lt;&gt;"")*ISNUMBER(SEARCH(실물목록!$P$2:$P$1001,I321))*(실물목록!$R$2:$R$1001&lt;&gt;""))&gt;0,"확인필요(입력누락)",IF(SUMPRODUCT((실물목록!$P$2:$P$1001&lt;&gt;"")*ISNUMBER(SEARCH(실물목록!$P$2:$P$1001,I321))*(실물목록!$Q$2:$Q$1001&lt;&gt;"")*ISNUMBER(SEARCH(실물목록!$Q$2:$Q$1001,I321))*(실물목록!$R$2:$R$1001="")*(실물목록!$O$2:$O$1001&lt;&gt;""))&gt;0,"확인필요(연도다름)","실물 없음")))))</f>
      </c>
      <c r="G321" t="n" s="16">
        <f aca="0">IF(B321="","",SUMPRODUCT((실물목록!$P$2:$P$1001&lt;&gt;"")*ISNUMBER(SEARCH(실물목록!$P$2:$P$1001,I321))*(실물목록!$Q$2:$Q$1001&lt;&gt;"")*ISNUMBER(SEARCH(실물목록!$Q$2:$Q$1001,I321))*(실물목록!$R$2:$R$1001="")*(실물목록!$O$2:$O$1001&lt;&gt;"")*(실물목록!$O$2:$O$1001=H321)))</f>
      </c>
      <c r="H321" t="str">
        <f>IFERROR(IF(AND(LEN(SUBSTITUTE(SUBSTITUTE(SUBSTITUTE(TRIM(A321&amp;""),CHAR(160),"")," ",""),"년",""))=4,VALUE(SUBSTITUTE(SUBSTITUTE(SUBSTITUTE(TRIM(A321&amp;""),CHAR(160),"")," ",""),"년",""))&gt;=1900,VALUE(SUBSTITUTE(SUBSTITUTE(SUBSTITUTE(TRIM(A321&amp;""),CHAR(160),"")," ",""),"년",""))&lt;=2099,TEXT(VALUE(SUBSTITUTE(SUBSTITUTE(SUBSTITUTE(TRIM(A321&amp;""),CHAR(160),"")," ",""),"년","")),"0000")=SUBSTITUTE(SUBSTITUTE(SUBSTITUTE(TRIM(A321&amp;""),CHAR(160),"")," ",""),"년","")),SUBSTITUTE(SUBSTITUTE(SUBSTITUTE(TRIM(A321&amp;""),CHAR(160),"")," ",""),"년",""),""),"")</f>
      </c>
      <c r="I321" t="str">
        <f>SUBSTITUTE(SUBSTITUTE(SUBSTITUTE(SUBSTITUTE(SUBSTITUTE(TRIM(B321&amp;""),CHAR(160),"")," ",""),"초등학교","초"),"중학교","중"),"고등학교","고")</f>
      </c>
    </row>
    <row r="322" customFormat="false" ht="15" hidden="false" customHeight="false" outlineLevel="0" collapsed="false">
      <c r="A322" s="8"/>
      <c r="B322" s="8"/>
      <c r="C322" s="8"/>
      <c r="D322" s="8"/>
      <c r="E322" s="8"/>
      <c r="F322" t="str" s="15">
        <f aca="0">IF(B322="","",IF(H322="","확인필요(입력누락)",IF(SUMPRODUCT((실물목록!$P$2:$P$1001&lt;&gt;"")*ISNUMBER(SEARCH(실물목록!$P$2:$P$1001,I322))*(실물목록!$Q$2:$Q$1001&lt;&gt;"")*ISNUMBER(SEARCH(실물목록!$Q$2:$Q$1001,I322))*(실물목록!$R$2:$R$1001="")*(실물목록!$O$2:$O$1001&lt;&gt;"")*(실물목록!$O$2:$O$1001=H322))&gt;0,"실물 있음",IF(SUMPRODUCT((실물목록!$P$2:$P$1001&lt;&gt;"")*ISNUMBER(SEARCH(실물목록!$P$2:$P$1001,I322))*(실물목록!$R$2:$R$1001&lt;&gt;""))&gt;0,"확인필요(입력누락)",IF(SUMPRODUCT((실물목록!$P$2:$P$1001&lt;&gt;"")*ISNUMBER(SEARCH(실물목록!$P$2:$P$1001,I322))*(실물목록!$Q$2:$Q$1001&lt;&gt;"")*ISNUMBER(SEARCH(실물목록!$Q$2:$Q$1001,I322))*(실물목록!$R$2:$R$1001="")*(실물목록!$O$2:$O$1001&lt;&gt;""))&gt;0,"확인필요(연도다름)","실물 없음")))))</f>
      </c>
      <c r="G322" t="n" s="16">
        <f aca="0">IF(B322="","",SUMPRODUCT((실물목록!$P$2:$P$1001&lt;&gt;"")*ISNUMBER(SEARCH(실물목록!$P$2:$P$1001,I322))*(실물목록!$Q$2:$Q$1001&lt;&gt;"")*ISNUMBER(SEARCH(실물목록!$Q$2:$Q$1001,I322))*(실물목록!$R$2:$R$1001="")*(실물목록!$O$2:$O$1001&lt;&gt;"")*(실물목록!$O$2:$O$1001=H322)))</f>
      </c>
      <c r="H322" t="str">
        <f>IFERROR(IF(AND(LEN(SUBSTITUTE(SUBSTITUTE(SUBSTITUTE(TRIM(A322&amp;""),CHAR(160),"")," ",""),"년",""))=4,VALUE(SUBSTITUTE(SUBSTITUTE(SUBSTITUTE(TRIM(A322&amp;""),CHAR(160),"")," ",""),"년",""))&gt;=1900,VALUE(SUBSTITUTE(SUBSTITUTE(SUBSTITUTE(TRIM(A322&amp;""),CHAR(160),"")," ",""),"년",""))&lt;=2099,TEXT(VALUE(SUBSTITUTE(SUBSTITUTE(SUBSTITUTE(TRIM(A322&amp;""),CHAR(160),"")," ",""),"년","")),"0000")=SUBSTITUTE(SUBSTITUTE(SUBSTITUTE(TRIM(A322&amp;""),CHAR(160),"")," ",""),"년","")),SUBSTITUTE(SUBSTITUTE(SUBSTITUTE(TRIM(A322&amp;""),CHAR(160),"")," ",""),"년",""),""),"")</f>
      </c>
      <c r="I322" t="str">
        <f>SUBSTITUTE(SUBSTITUTE(SUBSTITUTE(SUBSTITUTE(SUBSTITUTE(TRIM(B322&amp;""),CHAR(160),"")," ",""),"초등학교","초"),"중학교","중"),"고등학교","고")</f>
      </c>
    </row>
    <row r="323" customFormat="false" ht="15" hidden="false" customHeight="false" outlineLevel="0" collapsed="false">
      <c r="A323" s="8"/>
      <c r="B323" s="8"/>
      <c r="C323" s="8"/>
      <c r="D323" s="8"/>
      <c r="E323" s="8"/>
      <c r="F323" t="str" s="15">
        <f aca="0">IF(B323="","",IF(H323="","확인필요(입력누락)",IF(SUMPRODUCT((실물목록!$P$2:$P$1001&lt;&gt;"")*ISNUMBER(SEARCH(실물목록!$P$2:$P$1001,I323))*(실물목록!$Q$2:$Q$1001&lt;&gt;"")*ISNUMBER(SEARCH(실물목록!$Q$2:$Q$1001,I323))*(실물목록!$R$2:$R$1001="")*(실물목록!$O$2:$O$1001&lt;&gt;"")*(실물목록!$O$2:$O$1001=H323))&gt;0,"실물 있음",IF(SUMPRODUCT((실물목록!$P$2:$P$1001&lt;&gt;"")*ISNUMBER(SEARCH(실물목록!$P$2:$P$1001,I323))*(실물목록!$R$2:$R$1001&lt;&gt;""))&gt;0,"확인필요(입력누락)",IF(SUMPRODUCT((실물목록!$P$2:$P$1001&lt;&gt;"")*ISNUMBER(SEARCH(실물목록!$P$2:$P$1001,I323))*(실물목록!$Q$2:$Q$1001&lt;&gt;"")*ISNUMBER(SEARCH(실물목록!$Q$2:$Q$1001,I323))*(실물목록!$R$2:$R$1001="")*(실물목록!$O$2:$O$1001&lt;&gt;""))&gt;0,"확인필요(연도다름)","실물 없음")))))</f>
      </c>
      <c r="G323" t="n" s="16">
        <f aca="0">IF(B323="","",SUMPRODUCT((실물목록!$P$2:$P$1001&lt;&gt;"")*ISNUMBER(SEARCH(실물목록!$P$2:$P$1001,I323))*(실물목록!$Q$2:$Q$1001&lt;&gt;"")*ISNUMBER(SEARCH(실물목록!$Q$2:$Q$1001,I323))*(실물목록!$R$2:$R$1001="")*(실물목록!$O$2:$O$1001&lt;&gt;"")*(실물목록!$O$2:$O$1001=H323)))</f>
      </c>
      <c r="H323" t="str">
        <f>IFERROR(IF(AND(LEN(SUBSTITUTE(SUBSTITUTE(SUBSTITUTE(TRIM(A323&amp;""),CHAR(160),"")," ",""),"년",""))=4,VALUE(SUBSTITUTE(SUBSTITUTE(SUBSTITUTE(TRIM(A323&amp;""),CHAR(160),"")," ",""),"년",""))&gt;=1900,VALUE(SUBSTITUTE(SUBSTITUTE(SUBSTITUTE(TRIM(A323&amp;""),CHAR(160),"")," ",""),"년",""))&lt;=2099,TEXT(VALUE(SUBSTITUTE(SUBSTITUTE(SUBSTITUTE(TRIM(A323&amp;""),CHAR(160),"")," ",""),"년","")),"0000")=SUBSTITUTE(SUBSTITUTE(SUBSTITUTE(TRIM(A323&amp;""),CHAR(160),"")," ",""),"년","")),SUBSTITUTE(SUBSTITUTE(SUBSTITUTE(TRIM(A323&amp;""),CHAR(160),"")," ",""),"년",""),""),"")</f>
      </c>
      <c r="I323" t="str">
        <f>SUBSTITUTE(SUBSTITUTE(SUBSTITUTE(SUBSTITUTE(SUBSTITUTE(TRIM(B323&amp;""),CHAR(160),"")," ",""),"초등학교","초"),"중학교","중"),"고등학교","고")</f>
      </c>
    </row>
    <row r="324" customFormat="false" ht="15" hidden="false" customHeight="false" outlineLevel="0" collapsed="false">
      <c r="A324" s="8"/>
      <c r="B324" s="8"/>
      <c r="C324" s="8"/>
      <c r="D324" s="8"/>
      <c r="E324" s="8"/>
      <c r="F324" t="str" s="15">
        <f aca="0">IF(B324="","",IF(H324="","확인필요(입력누락)",IF(SUMPRODUCT((실물목록!$P$2:$P$1001&lt;&gt;"")*ISNUMBER(SEARCH(실물목록!$P$2:$P$1001,I324))*(실물목록!$Q$2:$Q$1001&lt;&gt;"")*ISNUMBER(SEARCH(실물목록!$Q$2:$Q$1001,I324))*(실물목록!$R$2:$R$1001="")*(실물목록!$O$2:$O$1001&lt;&gt;"")*(실물목록!$O$2:$O$1001=H324))&gt;0,"실물 있음",IF(SUMPRODUCT((실물목록!$P$2:$P$1001&lt;&gt;"")*ISNUMBER(SEARCH(실물목록!$P$2:$P$1001,I324))*(실물목록!$R$2:$R$1001&lt;&gt;""))&gt;0,"확인필요(입력누락)",IF(SUMPRODUCT((실물목록!$P$2:$P$1001&lt;&gt;"")*ISNUMBER(SEARCH(실물목록!$P$2:$P$1001,I324))*(실물목록!$Q$2:$Q$1001&lt;&gt;"")*ISNUMBER(SEARCH(실물목록!$Q$2:$Q$1001,I324))*(실물목록!$R$2:$R$1001="")*(실물목록!$O$2:$O$1001&lt;&gt;""))&gt;0,"확인필요(연도다름)","실물 없음")))))</f>
      </c>
      <c r="G324" t="n" s="16">
        <f aca="0">IF(B324="","",SUMPRODUCT((실물목록!$P$2:$P$1001&lt;&gt;"")*ISNUMBER(SEARCH(실물목록!$P$2:$P$1001,I324))*(실물목록!$Q$2:$Q$1001&lt;&gt;"")*ISNUMBER(SEARCH(실물목록!$Q$2:$Q$1001,I324))*(실물목록!$R$2:$R$1001="")*(실물목록!$O$2:$O$1001&lt;&gt;"")*(실물목록!$O$2:$O$1001=H324)))</f>
      </c>
      <c r="H324" t="str">
        <f>IFERROR(IF(AND(LEN(SUBSTITUTE(SUBSTITUTE(SUBSTITUTE(TRIM(A324&amp;""),CHAR(160),"")," ",""),"년",""))=4,VALUE(SUBSTITUTE(SUBSTITUTE(SUBSTITUTE(TRIM(A324&amp;""),CHAR(160),"")," ",""),"년",""))&gt;=1900,VALUE(SUBSTITUTE(SUBSTITUTE(SUBSTITUTE(TRIM(A324&amp;""),CHAR(160),"")," ",""),"년",""))&lt;=2099,TEXT(VALUE(SUBSTITUTE(SUBSTITUTE(SUBSTITUTE(TRIM(A324&amp;""),CHAR(160),"")," ",""),"년","")),"0000")=SUBSTITUTE(SUBSTITUTE(SUBSTITUTE(TRIM(A324&amp;""),CHAR(160),"")," ",""),"년","")),SUBSTITUTE(SUBSTITUTE(SUBSTITUTE(TRIM(A324&amp;""),CHAR(160),"")," ",""),"년",""),""),"")</f>
      </c>
      <c r="I324" t="str">
        <f>SUBSTITUTE(SUBSTITUTE(SUBSTITUTE(SUBSTITUTE(SUBSTITUTE(TRIM(B324&amp;""),CHAR(160),"")," ",""),"초등학교","초"),"중학교","중"),"고등학교","고")</f>
      </c>
    </row>
    <row r="325" customFormat="false" ht="15" hidden="false" customHeight="false" outlineLevel="0" collapsed="false">
      <c r="A325" s="8"/>
      <c r="B325" s="8"/>
      <c r="C325" s="8"/>
      <c r="D325" s="8"/>
      <c r="E325" s="8"/>
      <c r="F325" t="str" s="15">
        <f aca="0">IF(B325="","",IF(H325="","확인필요(입력누락)",IF(SUMPRODUCT((실물목록!$P$2:$P$1001&lt;&gt;"")*ISNUMBER(SEARCH(실물목록!$P$2:$P$1001,I325))*(실물목록!$Q$2:$Q$1001&lt;&gt;"")*ISNUMBER(SEARCH(실물목록!$Q$2:$Q$1001,I325))*(실물목록!$R$2:$R$1001="")*(실물목록!$O$2:$O$1001&lt;&gt;"")*(실물목록!$O$2:$O$1001=H325))&gt;0,"실물 있음",IF(SUMPRODUCT((실물목록!$P$2:$P$1001&lt;&gt;"")*ISNUMBER(SEARCH(실물목록!$P$2:$P$1001,I325))*(실물목록!$R$2:$R$1001&lt;&gt;""))&gt;0,"확인필요(입력누락)",IF(SUMPRODUCT((실물목록!$P$2:$P$1001&lt;&gt;"")*ISNUMBER(SEARCH(실물목록!$P$2:$P$1001,I325))*(실물목록!$Q$2:$Q$1001&lt;&gt;"")*ISNUMBER(SEARCH(실물목록!$Q$2:$Q$1001,I325))*(실물목록!$R$2:$R$1001="")*(실물목록!$O$2:$O$1001&lt;&gt;""))&gt;0,"확인필요(연도다름)","실물 없음")))))</f>
      </c>
      <c r="G325" t="n" s="16">
        <f aca="0">IF(B325="","",SUMPRODUCT((실물목록!$P$2:$P$1001&lt;&gt;"")*ISNUMBER(SEARCH(실물목록!$P$2:$P$1001,I325))*(실물목록!$Q$2:$Q$1001&lt;&gt;"")*ISNUMBER(SEARCH(실물목록!$Q$2:$Q$1001,I325))*(실물목록!$R$2:$R$1001="")*(실물목록!$O$2:$O$1001&lt;&gt;"")*(실물목록!$O$2:$O$1001=H325)))</f>
      </c>
      <c r="H325" t="str">
        <f>IFERROR(IF(AND(LEN(SUBSTITUTE(SUBSTITUTE(SUBSTITUTE(TRIM(A325&amp;""),CHAR(160),"")," ",""),"년",""))=4,VALUE(SUBSTITUTE(SUBSTITUTE(SUBSTITUTE(TRIM(A325&amp;""),CHAR(160),"")," ",""),"년",""))&gt;=1900,VALUE(SUBSTITUTE(SUBSTITUTE(SUBSTITUTE(TRIM(A325&amp;""),CHAR(160),"")," ",""),"년",""))&lt;=2099,TEXT(VALUE(SUBSTITUTE(SUBSTITUTE(SUBSTITUTE(TRIM(A325&amp;""),CHAR(160),"")," ",""),"년","")),"0000")=SUBSTITUTE(SUBSTITUTE(SUBSTITUTE(TRIM(A325&amp;""),CHAR(160),"")," ",""),"년","")),SUBSTITUTE(SUBSTITUTE(SUBSTITUTE(TRIM(A325&amp;""),CHAR(160),"")," ",""),"년",""),""),"")</f>
      </c>
      <c r="I325" t="str">
        <f>SUBSTITUTE(SUBSTITUTE(SUBSTITUTE(SUBSTITUTE(SUBSTITUTE(TRIM(B325&amp;""),CHAR(160),"")," ",""),"초등학교","초"),"중학교","중"),"고등학교","고")</f>
      </c>
    </row>
    <row r="326" customFormat="false" ht="15" hidden="false" customHeight="false" outlineLevel="0" collapsed="false">
      <c r="A326" s="8"/>
      <c r="B326" s="8"/>
      <c r="C326" s="8"/>
      <c r="D326" s="8"/>
      <c r="E326" s="8"/>
      <c r="F326" t="str" s="15">
        <f aca="0">IF(B326="","",IF(H326="","확인필요(입력누락)",IF(SUMPRODUCT((실물목록!$P$2:$P$1001&lt;&gt;"")*ISNUMBER(SEARCH(실물목록!$P$2:$P$1001,I326))*(실물목록!$Q$2:$Q$1001&lt;&gt;"")*ISNUMBER(SEARCH(실물목록!$Q$2:$Q$1001,I326))*(실물목록!$R$2:$R$1001="")*(실물목록!$O$2:$O$1001&lt;&gt;"")*(실물목록!$O$2:$O$1001=H326))&gt;0,"실물 있음",IF(SUMPRODUCT((실물목록!$P$2:$P$1001&lt;&gt;"")*ISNUMBER(SEARCH(실물목록!$P$2:$P$1001,I326))*(실물목록!$R$2:$R$1001&lt;&gt;""))&gt;0,"확인필요(입력누락)",IF(SUMPRODUCT((실물목록!$P$2:$P$1001&lt;&gt;"")*ISNUMBER(SEARCH(실물목록!$P$2:$P$1001,I326))*(실물목록!$Q$2:$Q$1001&lt;&gt;"")*ISNUMBER(SEARCH(실물목록!$Q$2:$Q$1001,I326))*(실물목록!$R$2:$R$1001="")*(실물목록!$O$2:$O$1001&lt;&gt;""))&gt;0,"확인필요(연도다름)","실물 없음")))))</f>
      </c>
      <c r="G326" t="n" s="16">
        <f aca="0">IF(B326="","",SUMPRODUCT((실물목록!$P$2:$P$1001&lt;&gt;"")*ISNUMBER(SEARCH(실물목록!$P$2:$P$1001,I326))*(실물목록!$Q$2:$Q$1001&lt;&gt;"")*ISNUMBER(SEARCH(실물목록!$Q$2:$Q$1001,I326))*(실물목록!$R$2:$R$1001="")*(실물목록!$O$2:$O$1001&lt;&gt;"")*(실물목록!$O$2:$O$1001=H326)))</f>
      </c>
      <c r="H326" t="str">
        <f>IFERROR(IF(AND(LEN(SUBSTITUTE(SUBSTITUTE(SUBSTITUTE(TRIM(A326&amp;""),CHAR(160),"")," ",""),"년",""))=4,VALUE(SUBSTITUTE(SUBSTITUTE(SUBSTITUTE(TRIM(A326&amp;""),CHAR(160),"")," ",""),"년",""))&gt;=1900,VALUE(SUBSTITUTE(SUBSTITUTE(SUBSTITUTE(TRIM(A326&amp;""),CHAR(160),"")," ",""),"년",""))&lt;=2099,TEXT(VALUE(SUBSTITUTE(SUBSTITUTE(SUBSTITUTE(TRIM(A326&amp;""),CHAR(160),"")," ",""),"년","")),"0000")=SUBSTITUTE(SUBSTITUTE(SUBSTITUTE(TRIM(A326&amp;""),CHAR(160),"")," ",""),"년","")),SUBSTITUTE(SUBSTITUTE(SUBSTITUTE(TRIM(A326&amp;""),CHAR(160),"")," ",""),"년",""),""),"")</f>
      </c>
      <c r="I326" t="str">
        <f>SUBSTITUTE(SUBSTITUTE(SUBSTITUTE(SUBSTITUTE(SUBSTITUTE(TRIM(B326&amp;""),CHAR(160),"")," ",""),"초등학교","초"),"중학교","중"),"고등학교","고")</f>
      </c>
    </row>
    <row r="327" customFormat="false" ht="15" hidden="false" customHeight="false" outlineLevel="0" collapsed="false">
      <c r="A327" s="8"/>
      <c r="B327" s="8"/>
      <c r="C327" s="8"/>
      <c r="D327" s="8"/>
      <c r="E327" s="8"/>
      <c r="F327" t="str" s="15">
        <f aca="0">IF(B327="","",IF(H327="","확인필요(입력누락)",IF(SUMPRODUCT((실물목록!$P$2:$P$1001&lt;&gt;"")*ISNUMBER(SEARCH(실물목록!$P$2:$P$1001,I327))*(실물목록!$Q$2:$Q$1001&lt;&gt;"")*ISNUMBER(SEARCH(실물목록!$Q$2:$Q$1001,I327))*(실물목록!$R$2:$R$1001="")*(실물목록!$O$2:$O$1001&lt;&gt;"")*(실물목록!$O$2:$O$1001=H327))&gt;0,"실물 있음",IF(SUMPRODUCT((실물목록!$P$2:$P$1001&lt;&gt;"")*ISNUMBER(SEARCH(실물목록!$P$2:$P$1001,I327))*(실물목록!$R$2:$R$1001&lt;&gt;""))&gt;0,"확인필요(입력누락)",IF(SUMPRODUCT((실물목록!$P$2:$P$1001&lt;&gt;"")*ISNUMBER(SEARCH(실물목록!$P$2:$P$1001,I327))*(실물목록!$Q$2:$Q$1001&lt;&gt;"")*ISNUMBER(SEARCH(실물목록!$Q$2:$Q$1001,I327))*(실물목록!$R$2:$R$1001="")*(실물목록!$O$2:$O$1001&lt;&gt;""))&gt;0,"확인필요(연도다름)","실물 없음")))))</f>
      </c>
      <c r="G327" t="n" s="16">
        <f aca="0">IF(B327="","",SUMPRODUCT((실물목록!$P$2:$P$1001&lt;&gt;"")*ISNUMBER(SEARCH(실물목록!$P$2:$P$1001,I327))*(실물목록!$Q$2:$Q$1001&lt;&gt;"")*ISNUMBER(SEARCH(실물목록!$Q$2:$Q$1001,I327))*(실물목록!$R$2:$R$1001="")*(실물목록!$O$2:$O$1001&lt;&gt;"")*(실물목록!$O$2:$O$1001=H327)))</f>
      </c>
      <c r="H327" t="str">
        <f>IFERROR(IF(AND(LEN(SUBSTITUTE(SUBSTITUTE(SUBSTITUTE(TRIM(A327&amp;""),CHAR(160),"")," ",""),"년",""))=4,VALUE(SUBSTITUTE(SUBSTITUTE(SUBSTITUTE(TRIM(A327&amp;""),CHAR(160),"")," ",""),"년",""))&gt;=1900,VALUE(SUBSTITUTE(SUBSTITUTE(SUBSTITUTE(TRIM(A327&amp;""),CHAR(160),"")," ",""),"년",""))&lt;=2099,TEXT(VALUE(SUBSTITUTE(SUBSTITUTE(SUBSTITUTE(TRIM(A327&amp;""),CHAR(160),"")," ",""),"년","")),"0000")=SUBSTITUTE(SUBSTITUTE(SUBSTITUTE(TRIM(A327&amp;""),CHAR(160),"")," ",""),"년","")),SUBSTITUTE(SUBSTITUTE(SUBSTITUTE(TRIM(A327&amp;""),CHAR(160),"")," ",""),"년",""),""),"")</f>
      </c>
      <c r="I327" t="str">
        <f>SUBSTITUTE(SUBSTITUTE(SUBSTITUTE(SUBSTITUTE(SUBSTITUTE(TRIM(B327&amp;""),CHAR(160),"")," ",""),"초등학교","초"),"중학교","중"),"고등학교","고")</f>
      </c>
    </row>
    <row r="328" customFormat="false" ht="15" hidden="false" customHeight="false" outlineLevel="0" collapsed="false">
      <c r="A328" s="8"/>
      <c r="B328" s="8"/>
      <c r="C328" s="8"/>
      <c r="D328" s="8"/>
      <c r="E328" s="8"/>
      <c r="F328" t="str" s="15">
        <f aca="0">IF(B328="","",IF(H328="","확인필요(입력누락)",IF(SUMPRODUCT((실물목록!$P$2:$P$1001&lt;&gt;"")*ISNUMBER(SEARCH(실물목록!$P$2:$P$1001,I328))*(실물목록!$Q$2:$Q$1001&lt;&gt;"")*ISNUMBER(SEARCH(실물목록!$Q$2:$Q$1001,I328))*(실물목록!$R$2:$R$1001="")*(실물목록!$O$2:$O$1001&lt;&gt;"")*(실물목록!$O$2:$O$1001=H328))&gt;0,"실물 있음",IF(SUMPRODUCT((실물목록!$P$2:$P$1001&lt;&gt;"")*ISNUMBER(SEARCH(실물목록!$P$2:$P$1001,I328))*(실물목록!$R$2:$R$1001&lt;&gt;""))&gt;0,"확인필요(입력누락)",IF(SUMPRODUCT((실물목록!$P$2:$P$1001&lt;&gt;"")*ISNUMBER(SEARCH(실물목록!$P$2:$P$1001,I328))*(실물목록!$Q$2:$Q$1001&lt;&gt;"")*ISNUMBER(SEARCH(실물목록!$Q$2:$Q$1001,I328))*(실물목록!$R$2:$R$1001="")*(실물목록!$O$2:$O$1001&lt;&gt;""))&gt;0,"확인필요(연도다름)","실물 없음")))))</f>
      </c>
      <c r="G328" t="n" s="16">
        <f aca="0">IF(B328="","",SUMPRODUCT((실물목록!$P$2:$P$1001&lt;&gt;"")*ISNUMBER(SEARCH(실물목록!$P$2:$P$1001,I328))*(실물목록!$Q$2:$Q$1001&lt;&gt;"")*ISNUMBER(SEARCH(실물목록!$Q$2:$Q$1001,I328))*(실물목록!$R$2:$R$1001="")*(실물목록!$O$2:$O$1001&lt;&gt;"")*(실물목록!$O$2:$O$1001=H328)))</f>
      </c>
      <c r="H328" t="str">
        <f>IFERROR(IF(AND(LEN(SUBSTITUTE(SUBSTITUTE(SUBSTITUTE(TRIM(A328&amp;""),CHAR(160),"")," ",""),"년",""))=4,VALUE(SUBSTITUTE(SUBSTITUTE(SUBSTITUTE(TRIM(A328&amp;""),CHAR(160),"")," ",""),"년",""))&gt;=1900,VALUE(SUBSTITUTE(SUBSTITUTE(SUBSTITUTE(TRIM(A328&amp;""),CHAR(160),"")," ",""),"년",""))&lt;=2099,TEXT(VALUE(SUBSTITUTE(SUBSTITUTE(SUBSTITUTE(TRIM(A328&amp;""),CHAR(160),"")," ",""),"년","")),"0000")=SUBSTITUTE(SUBSTITUTE(SUBSTITUTE(TRIM(A328&amp;""),CHAR(160),"")," ",""),"년","")),SUBSTITUTE(SUBSTITUTE(SUBSTITUTE(TRIM(A328&amp;""),CHAR(160),"")," ",""),"년",""),""),"")</f>
      </c>
      <c r="I328" t="str">
        <f>SUBSTITUTE(SUBSTITUTE(SUBSTITUTE(SUBSTITUTE(SUBSTITUTE(TRIM(B328&amp;""),CHAR(160),"")," ",""),"초등학교","초"),"중학교","중"),"고등학교","고")</f>
      </c>
    </row>
    <row r="329" customFormat="false" ht="15" hidden="false" customHeight="false" outlineLevel="0" collapsed="false">
      <c r="A329" s="8"/>
      <c r="B329" s="8"/>
      <c r="C329" s="8"/>
      <c r="D329" s="8"/>
      <c r="E329" s="8"/>
      <c r="F329" t="str" s="15">
        <f aca="0">IF(B329="","",IF(H329="","확인필요(입력누락)",IF(SUMPRODUCT((실물목록!$P$2:$P$1001&lt;&gt;"")*ISNUMBER(SEARCH(실물목록!$P$2:$P$1001,I329))*(실물목록!$Q$2:$Q$1001&lt;&gt;"")*ISNUMBER(SEARCH(실물목록!$Q$2:$Q$1001,I329))*(실물목록!$R$2:$R$1001="")*(실물목록!$O$2:$O$1001&lt;&gt;"")*(실물목록!$O$2:$O$1001=H329))&gt;0,"실물 있음",IF(SUMPRODUCT((실물목록!$P$2:$P$1001&lt;&gt;"")*ISNUMBER(SEARCH(실물목록!$P$2:$P$1001,I329))*(실물목록!$R$2:$R$1001&lt;&gt;""))&gt;0,"확인필요(입력누락)",IF(SUMPRODUCT((실물목록!$P$2:$P$1001&lt;&gt;"")*ISNUMBER(SEARCH(실물목록!$P$2:$P$1001,I329))*(실물목록!$Q$2:$Q$1001&lt;&gt;"")*ISNUMBER(SEARCH(실물목록!$Q$2:$Q$1001,I329))*(실물목록!$R$2:$R$1001="")*(실물목록!$O$2:$O$1001&lt;&gt;""))&gt;0,"확인필요(연도다름)","실물 없음")))))</f>
      </c>
      <c r="G329" t="n" s="16">
        <f aca="0">IF(B329="","",SUMPRODUCT((실물목록!$P$2:$P$1001&lt;&gt;"")*ISNUMBER(SEARCH(실물목록!$P$2:$P$1001,I329))*(실물목록!$Q$2:$Q$1001&lt;&gt;"")*ISNUMBER(SEARCH(실물목록!$Q$2:$Q$1001,I329))*(실물목록!$R$2:$R$1001="")*(실물목록!$O$2:$O$1001&lt;&gt;"")*(실물목록!$O$2:$O$1001=H329)))</f>
      </c>
      <c r="H329" t="str">
        <f>IFERROR(IF(AND(LEN(SUBSTITUTE(SUBSTITUTE(SUBSTITUTE(TRIM(A329&amp;""),CHAR(160),"")," ",""),"년",""))=4,VALUE(SUBSTITUTE(SUBSTITUTE(SUBSTITUTE(TRIM(A329&amp;""),CHAR(160),"")," ",""),"년",""))&gt;=1900,VALUE(SUBSTITUTE(SUBSTITUTE(SUBSTITUTE(TRIM(A329&amp;""),CHAR(160),"")," ",""),"년",""))&lt;=2099,TEXT(VALUE(SUBSTITUTE(SUBSTITUTE(SUBSTITUTE(TRIM(A329&amp;""),CHAR(160),"")," ",""),"년","")),"0000")=SUBSTITUTE(SUBSTITUTE(SUBSTITUTE(TRIM(A329&amp;""),CHAR(160),"")," ",""),"년","")),SUBSTITUTE(SUBSTITUTE(SUBSTITUTE(TRIM(A329&amp;""),CHAR(160),"")," ",""),"년",""),""),"")</f>
      </c>
      <c r="I329" t="str">
        <f>SUBSTITUTE(SUBSTITUTE(SUBSTITUTE(SUBSTITUTE(SUBSTITUTE(TRIM(B329&amp;""),CHAR(160),"")," ",""),"초등학교","초"),"중학교","중"),"고등학교","고")</f>
      </c>
    </row>
    <row r="330" customFormat="false" ht="15" hidden="false" customHeight="false" outlineLevel="0" collapsed="false">
      <c r="A330" s="8"/>
      <c r="B330" s="8"/>
      <c r="C330" s="8"/>
      <c r="D330" s="8"/>
      <c r="E330" s="8"/>
      <c r="F330" t="str" s="15">
        <f aca="0">IF(B330="","",IF(H330="","확인필요(입력누락)",IF(SUMPRODUCT((실물목록!$P$2:$P$1001&lt;&gt;"")*ISNUMBER(SEARCH(실물목록!$P$2:$P$1001,I330))*(실물목록!$Q$2:$Q$1001&lt;&gt;"")*ISNUMBER(SEARCH(실물목록!$Q$2:$Q$1001,I330))*(실물목록!$R$2:$R$1001="")*(실물목록!$O$2:$O$1001&lt;&gt;"")*(실물목록!$O$2:$O$1001=H330))&gt;0,"실물 있음",IF(SUMPRODUCT((실물목록!$P$2:$P$1001&lt;&gt;"")*ISNUMBER(SEARCH(실물목록!$P$2:$P$1001,I330))*(실물목록!$R$2:$R$1001&lt;&gt;""))&gt;0,"확인필요(입력누락)",IF(SUMPRODUCT((실물목록!$P$2:$P$1001&lt;&gt;"")*ISNUMBER(SEARCH(실물목록!$P$2:$P$1001,I330))*(실물목록!$Q$2:$Q$1001&lt;&gt;"")*ISNUMBER(SEARCH(실물목록!$Q$2:$Q$1001,I330))*(실물목록!$R$2:$R$1001="")*(실물목록!$O$2:$O$1001&lt;&gt;""))&gt;0,"확인필요(연도다름)","실물 없음")))))</f>
      </c>
      <c r="G330" t="n" s="16">
        <f aca="0">IF(B330="","",SUMPRODUCT((실물목록!$P$2:$P$1001&lt;&gt;"")*ISNUMBER(SEARCH(실물목록!$P$2:$P$1001,I330))*(실물목록!$Q$2:$Q$1001&lt;&gt;"")*ISNUMBER(SEARCH(실물목록!$Q$2:$Q$1001,I330))*(실물목록!$R$2:$R$1001="")*(실물목록!$O$2:$O$1001&lt;&gt;"")*(실물목록!$O$2:$O$1001=H330)))</f>
      </c>
      <c r="H330" t="str">
        <f>IFERROR(IF(AND(LEN(SUBSTITUTE(SUBSTITUTE(SUBSTITUTE(TRIM(A330&amp;""),CHAR(160),"")," ",""),"년",""))=4,VALUE(SUBSTITUTE(SUBSTITUTE(SUBSTITUTE(TRIM(A330&amp;""),CHAR(160),"")," ",""),"년",""))&gt;=1900,VALUE(SUBSTITUTE(SUBSTITUTE(SUBSTITUTE(TRIM(A330&amp;""),CHAR(160),"")," ",""),"년",""))&lt;=2099,TEXT(VALUE(SUBSTITUTE(SUBSTITUTE(SUBSTITUTE(TRIM(A330&amp;""),CHAR(160),"")," ",""),"년","")),"0000")=SUBSTITUTE(SUBSTITUTE(SUBSTITUTE(TRIM(A330&amp;""),CHAR(160),"")," ",""),"년","")),SUBSTITUTE(SUBSTITUTE(SUBSTITUTE(TRIM(A330&amp;""),CHAR(160),"")," ",""),"년",""),""),"")</f>
      </c>
      <c r="I330" t="str">
        <f>SUBSTITUTE(SUBSTITUTE(SUBSTITUTE(SUBSTITUTE(SUBSTITUTE(TRIM(B330&amp;""),CHAR(160),"")," ",""),"초등학교","초"),"중학교","중"),"고등학교","고")</f>
      </c>
    </row>
    <row r="331" customFormat="false" ht="15" hidden="false" customHeight="false" outlineLevel="0" collapsed="false">
      <c r="A331" s="8"/>
      <c r="B331" s="8"/>
      <c r="C331" s="8"/>
      <c r="D331" s="8"/>
      <c r="E331" s="8"/>
      <c r="F331" t="str" s="15">
        <f aca="0">IF(B331="","",IF(H331="","확인필요(입력누락)",IF(SUMPRODUCT((실물목록!$P$2:$P$1001&lt;&gt;"")*ISNUMBER(SEARCH(실물목록!$P$2:$P$1001,I331))*(실물목록!$Q$2:$Q$1001&lt;&gt;"")*ISNUMBER(SEARCH(실물목록!$Q$2:$Q$1001,I331))*(실물목록!$R$2:$R$1001="")*(실물목록!$O$2:$O$1001&lt;&gt;"")*(실물목록!$O$2:$O$1001=H331))&gt;0,"실물 있음",IF(SUMPRODUCT((실물목록!$P$2:$P$1001&lt;&gt;"")*ISNUMBER(SEARCH(실물목록!$P$2:$P$1001,I331))*(실물목록!$R$2:$R$1001&lt;&gt;""))&gt;0,"확인필요(입력누락)",IF(SUMPRODUCT((실물목록!$P$2:$P$1001&lt;&gt;"")*ISNUMBER(SEARCH(실물목록!$P$2:$P$1001,I331))*(실물목록!$Q$2:$Q$1001&lt;&gt;"")*ISNUMBER(SEARCH(실물목록!$Q$2:$Q$1001,I331))*(실물목록!$R$2:$R$1001="")*(실물목록!$O$2:$O$1001&lt;&gt;""))&gt;0,"확인필요(연도다름)","실물 없음")))))</f>
      </c>
      <c r="G331" t="n" s="16">
        <f aca="0">IF(B331="","",SUMPRODUCT((실물목록!$P$2:$P$1001&lt;&gt;"")*ISNUMBER(SEARCH(실물목록!$P$2:$P$1001,I331))*(실물목록!$Q$2:$Q$1001&lt;&gt;"")*ISNUMBER(SEARCH(실물목록!$Q$2:$Q$1001,I331))*(실물목록!$R$2:$R$1001="")*(실물목록!$O$2:$O$1001&lt;&gt;"")*(실물목록!$O$2:$O$1001=H331)))</f>
      </c>
      <c r="H331" t="str">
        <f>IFERROR(IF(AND(LEN(SUBSTITUTE(SUBSTITUTE(SUBSTITUTE(TRIM(A331&amp;""),CHAR(160),"")," ",""),"년",""))=4,VALUE(SUBSTITUTE(SUBSTITUTE(SUBSTITUTE(TRIM(A331&amp;""),CHAR(160),"")," ",""),"년",""))&gt;=1900,VALUE(SUBSTITUTE(SUBSTITUTE(SUBSTITUTE(TRIM(A331&amp;""),CHAR(160),"")," ",""),"년",""))&lt;=2099,TEXT(VALUE(SUBSTITUTE(SUBSTITUTE(SUBSTITUTE(TRIM(A331&amp;""),CHAR(160),"")," ",""),"년","")),"0000")=SUBSTITUTE(SUBSTITUTE(SUBSTITUTE(TRIM(A331&amp;""),CHAR(160),"")," ",""),"년","")),SUBSTITUTE(SUBSTITUTE(SUBSTITUTE(TRIM(A331&amp;""),CHAR(160),"")," ",""),"년",""),""),"")</f>
      </c>
      <c r="I331" t="str">
        <f>SUBSTITUTE(SUBSTITUTE(SUBSTITUTE(SUBSTITUTE(SUBSTITUTE(TRIM(B331&amp;""),CHAR(160),"")," ",""),"초등학교","초"),"중학교","중"),"고등학교","고")</f>
      </c>
    </row>
    <row r="332" customFormat="false" ht="15" hidden="false" customHeight="false" outlineLevel="0" collapsed="false">
      <c r="A332" s="8"/>
      <c r="B332" s="8"/>
      <c r="C332" s="8"/>
      <c r="D332" s="8"/>
      <c r="E332" s="8"/>
      <c r="F332" t="str" s="15">
        <f aca="0">IF(B332="","",IF(H332="","확인필요(입력누락)",IF(SUMPRODUCT((실물목록!$P$2:$P$1001&lt;&gt;"")*ISNUMBER(SEARCH(실물목록!$P$2:$P$1001,I332))*(실물목록!$Q$2:$Q$1001&lt;&gt;"")*ISNUMBER(SEARCH(실물목록!$Q$2:$Q$1001,I332))*(실물목록!$R$2:$R$1001="")*(실물목록!$O$2:$O$1001&lt;&gt;"")*(실물목록!$O$2:$O$1001=H332))&gt;0,"실물 있음",IF(SUMPRODUCT((실물목록!$P$2:$P$1001&lt;&gt;"")*ISNUMBER(SEARCH(실물목록!$P$2:$P$1001,I332))*(실물목록!$R$2:$R$1001&lt;&gt;""))&gt;0,"확인필요(입력누락)",IF(SUMPRODUCT((실물목록!$P$2:$P$1001&lt;&gt;"")*ISNUMBER(SEARCH(실물목록!$P$2:$P$1001,I332))*(실물목록!$Q$2:$Q$1001&lt;&gt;"")*ISNUMBER(SEARCH(실물목록!$Q$2:$Q$1001,I332))*(실물목록!$R$2:$R$1001="")*(실물목록!$O$2:$O$1001&lt;&gt;""))&gt;0,"확인필요(연도다름)","실물 없음")))))</f>
      </c>
      <c r="G332" t="n" s="16">
        <f aca="0">IF(B332="","",SUMPRODUCT((실물목록!$P$2:$P$1001&lt;&gt;"")*ISNUMBER(SEARCH(실물목록!$P$2:$P$1001,I332))*(실물목록!$Q$2:$Q$1001&lt;&gt;"")*ISNUMBER(SEARCH(실물목록!$Q$2:$Q$1001,I332))*(실물목록!$R$2:$R$1001="")*(실물목록!$O$2:$O$1001&lt;&gt;"")*(실물목록!$O$2:$O$1001=H332)))</f>
      </c>
      <c r="H332" t="str">
        <f>IFERROR(IF(AND(LEN(SUBSTITUTE(SUBSTITUTE(SUBSTITUTE(TRIM(A332&amp;""),CHAR(160),"")," ",""),"년",""))=4,VALUE(SUBSTITUTE(SUBSTITUTE(SUBSTITUTE(TRIM(A332&amp;""),CHAR(160),"")," ",""),"년",""))&gt;=1900,VALUE(SUBSTITUTE(SUBSTITUTE(SUBSTITUTE(TRIM(A332&amp;""),CHAR(160),"")," ",""),"년",""))&lt;=2099,TEXT(VALUE(SUBSTITUTE(SUBSTITUTE(SUBSTITUTE(TRIM(A332&amp;""),CHAR(160),"")," ",""),"년","")),"0000")=SUBSTITUTE(SUBSTITUTE(SUBSTITUTE(TRIM(A332&amp;""),CHAR(160),"")," ",""),"년","")),SUBSTITUTE(SUBSTITUTE(SUBSTITUTE(TRIM(A332&amp;""),CHAR(160),"")," ",""),"년",""),""),"")</f>
      </c>
      <c r="I332" t="str">
        <f>SUBSTITUTE(SUBSTITUTE(SUBSTITUTE(SUBSTITUTE(SUBSTITUTE(TRIM(B332&amp;""),CHAR(160),"")," ",""),"초등학교","초"),"중학교","중"),"고등학교","고")</f>
      </c>
    </row>
    <row r="333" customFormat="false" ht="15" hidden="false" customHeight="false" outlineLevel="0" collapsed="false">
      <c r="A333" s="8"/>
      <c r="B333" s="8"/>
      <c r="C333" s="8"/>
      <c r="D333" s="8"/>
      <c r="E333" s="8"/>
      <c r="F333" t="str" s="15">
        <f aca="0">IF(B333="","",IF(H333="","확인필요(입력누락)",IF(SUMPRODUCT((실물목록!$P$2:$P$1001&lt;&gt;"")*ISNUMBER(SEARCH(실물목록!$P$2:$P$1001,I333))*(실물목록!$Q$2:$Q$1001&lt;&gt;"")*ISNUMBER(SEARCH(실물목록!$Q$2:$Q$1001,I333))*(실물목록!$R$2:$R$1001="")*(실물목록!$O$2:$O$1001&lt;&gt;"")*(실물목록!$O$2:$O$1001=H333))&gt;0,"실물 있음",IF(SUMPRODUCT((실물목록!$P$2:$P$1001&lt;&gt;"")*ISNUMBER(SEARCH(실물목록!$P$2:$P$1001,I333))*(실물목록!$R$2:$R$1001&lt;&gt;""))&gt;0,"확인필요(입력누락)",IF(SUMPRODUCT((실물목록!$P$2:$P$1001&lt;&gt;"")*ISNUMBER(SEARCH(실물목록!$P$2:$P$1001,I333))*(실물목록!$Q$2:$Q$1001&lt;&gt;"")*ISNUMBER(SEARCH(실물목록!$Q$2:$Q$1001,I333))*(실물목록!$R$2:$R$1001="")*(실물목록!$O$2:$O$1001&lt;&gt;""))&gt;0,"확인필요(연도다름)","실물 없음")))))</f>
      </c>
      <c r="G333" t="n" s="16">
        <f aca="0">IF(B333="","",SUMPRODUCT((실물목록!$P$2:$P$1001&lt;&gt;"")*ISNUMBER(SEARCH(실물목록!$P$2:$P$1001,I333))*(실물목록!$Q$2:$Q$1001&lt;&gt;"")*ISNUMBER(SEARCH(실물목록!$Q$2:$Q$1001,I333))*(실물목록!$R$2:$R$1001="")*(실물목록!$O$2:$O$1001&lt;&gt;"")*(실물목록!$O$2:$O$1001=H333)))</f>
      </c>
      <c r="H333" t="str">
        <f>IFERROR(IF(AND(LEN(SUBSTITUTE(SUBSTITUTE(SUBSTITUTE(TRIM(A333&amp;""),CHAR(160),"")," ",""),"년",""))=4,VALUE(SUBSTITUTE(SUBSTITUTE(SUBSTITUTE(TRIM(A333&amp;""),CHAR(160),"")," ",""),"년",""))&gt;=1900,VALUE(SUBSTITUTE(SUBSTITUTE(SUBSTITUTE(TRIM(A333&amp;""),CHAR(160),"")," ",""),"년",""))&lt;=2099,TEXT(VALUE(SUBSTITUTE(SUBSTITUTE(SUBSTITUTE(TRIM(A333&amp;""),CHAR(160),"")," ",""),"년","")),"0000")=SUBSTITUTE(SUBSTITUTE(SUBSTITUTE(TRIM(A333&amp;""),CHAR(160),"")," ",""),"년","")),SUBSTITUTE(SUBSTITUTE(SUBSTITUTE(TRIM(A333&amp;""),CHAR(160),"")," ",""),"년",""),""),"")</f>
      </c>
      <c r="I333" t="str">
        <f>SUBSTITUTE(SUBSTITUTE(SUBSTITUTE(SUBSTITUTE(SUBSTITUTE(TRIM(B333&amp;""),CHAR(160),"")," ",""),"초등학교","초"),"중학교","중"),"고등학교","고")</f>
      </c>
    </row>
    <row r="334" customFormat="false" ht="15" hidden="false" customHeight="false" outlineLevel="0" collapsed="false">
      <c r="A334" s="8"/>
      <c r="B334" s="8"/>
      <c r="C334" s="8"/>
      <c r="D334" s="8"/>
      <c r="E334" s="8"/>
      <c r="F334" t="str" s="15">
        <f aca="0">IF(B334="","",IF(H334="","확인필요(입력누락)",IF(SUMPRODUCT((실물목록!$P$2:$P$1001&lt;&gt;"")*ISNUMBER(SEARCH(실물목록!$P$2:$P$1001,I334))*(실물목록!$Q$2:$Q$1001&lt;&gt;"")*ISNUMBER(SEARCH(실물목록!$Q$2:$Q$1001,I334))*(실물목록!$R$2:$R$1001="")*(실물목록!$O$2:$O$1001&lt;&gt;"")*(실물목록!$O$2:$O$1001=H334))&gt;0,"실물 있음",IF(SUMPRODUCT((실물목록!$P$2:$P$1001&lt;&gt;"")*ISNUMBER(SEARCH(실물목록!$P$2:$P$1001,I334))*(실물목록!$R$2:$R$1001&lt;&gt;""))&gt;0,"확인필요(입력누락)",IF(SUMPRODUCT((실물목록!$P$2:$P$1001&lt;&gt;"")*ISNUMBER(SEARCH(실물목록!$P$2:$P$1001,I334))*(실물목록!$Q$2:$Q$1001&lt;&gt;"")*ISNUMBER(SEARCH(실물목록!$Q$2:$Q$1001,I334))*(실물목록!$R$2:$R$1001="")*(실물목록!$O$2:$O$1001&lt;&gt;""))&gt;0,"확인필요(연도다름)","실물 없음")))))</f>
      </c>
      <c r="G334" t="n" s="16">
        <f aca="0">IF(B334="","",SUMPRODUCT((실물목록!$P$2:$P$1001&lt;&gt;"")*ISNUMBER(SEARCH(실물목록!$P$2:$P$1001,I334))*(실물목록!$Q$2:$Q$1001&lt;&gt;"")*ISNUMBER(SEARCH(실물목록!$Q$2:$Q$1001,I334))*(실물목록!$R$2:$R$1001="")*(실물목록!$O$2:$O$1001&lt;&gt;"")*(실물목록!$O$2:$O$1001=H334)))</f>
      </c>
      <c r="H334" t="str">
        <f>IFERROR(IF(AND(LEN(SUBSTITUTE(SUBSTITUTE(SUBSTITUTE(TRIM(A334&amp;""),CHAR(160),"")," ",""),"년",""))=4,VALUE(SUBSTITUTE(SUBSTITUTE(SUBSTITUTE(TRIM(A334&amp;""),CHAR(160),"")," ",""),"년",""))&gt;=1900,VALUE(SUBSTITUTE(SUBSTITUTE(SUBSTITUTE(TRIM(A334&amp;""),CHAR(160),"")," ",""),"년",""))&lt;=2099,TEXT(VALUE(SUBSTITUTE(SUBSTITUTE(SUBSTITUTE(TRIM(A334&amp;""),CHAR(160),"")," ",""),"년","")),"0000")=SUBSTITUTE(SUBSTITUTE(SUBSTITUTE(TRIM(A334&amp;""),CHAR(160),"")," ",""),"년","")),SUBSTITUTE(SUBSTITUTE(SUBSTITUTE(TRIM(A334&amp;""),CHAR(160),"")," ",""),"년",""),""),"")</f>
      </c>
      <c r="I334" t="str">
        <f>SUBSTITUTE(SUBSTITUTE(SUBSTITUTE(SUBSTITUTE(SUBSTITUTE(TRIM(B334&amp;""),CHAR(160),"")," ",""),"초등학교","초"),"중학교","중"),"고등학교","고")</f>
      </c>
    </row>
    <row r="335" customFormat="false" ht="15" hidden="false" customHeight="false" outlineLevel="0" collapsed="false">
      <c r="A335" s="8"/>
      <c r="B335" s="8"/>
      <c r="C335" s="8"/>
      <c r="D335" s="8"/>
      <c r="E335" s="8"/>
      <c r="F335" t="str" s="15">
        <f aca="0">IF(B335="","",IF(H335="","확인필요(입력누락)",IF(SUMPRODUCT((실물목록!$P$2:$P$1001&lt;&gt;"")*ISNUMBER(SEARCH(실물목록!$P$2:$P$1001,I335))*(실물목록!$Q$2:$Q$1001&lt;&gt;"")*ISNUMBER(SEARCH(실물목록!$Q$2:$Q$1001,I335))*(실물목록!$R$2:$R$1001="")*(실물목록!$O$2:$O$1001&lt;&gt;"")*(실물목록!$O$2:$O$1001=H335))&gt;0,"실물 있음",IF(SUMPRODUCT((실물목록!$P$2:$P$1001&lt;&gt;"")*ISNUMBER(SEARCH(실물목록!$P$2:$P$1001,I335))*(실물목록!$R$2:$R$1001&lt;&gt;""))&gt;0,"확인필요(입력누락)",IF(SUMPRODUCT((실물목록!$P$2:$P$1001&lt;&gt;"")*ISNUMBER(SEARCH(실물목록!$P$2:$P$1001,I335))*(실물목록!$Q$2:$Q$1001&lt;&gt;"")*ISNUMBER(SEARCH(실물목록!$Q$2:$Q$1001,I335))*(실물목록!$R$2:$R$1001="")*(실물목록!$O$2:$O$1001&lt;&gt;""))&gt;0,"확인필요(연도다름)","실물 없음")))))</f>
      </c>
      <c r="G335" t="n" s="16">
        <f aca="0">IF(B335="","",SUMPRODUCT((실물목록!$P$2:$P$1001&lt;&gt;"")*ISNUMBER(SEARCH(실물목록!$P$2:$P$1001,I335))*(실물목록!$Q$2:$Q$1001&lt;&gt;"")*ISNUMBER(SEARCH(실물목록!$Q$2:$Q$1001,I335))*(실물목록!$R$2:$R$1001="")*(실물목록!$O$2:$O$1001&lt;&gt;"")*(실물목록!$O$2:$O$1001=H335)))</f>
      </c>
      <c r="H335" t="str">
        <f>IFERROR(IF(AND(LEN(SUBSTITUTE(SUBSTITUTE(SUBSTITUTE(TRIM(A335&amp;""),CHAR(160),"")," ",""),"년",""))=4,VALUE(SUBSTITUTE(SUBSTITUTE(SUBSTITUTE(TRIM(A335&amp;""),CHAR(160),"")," ",""),"년",""))&gt;=1900,VALUE(SUBSTITUTE(SUBSTITUTE(SUBSTITUTE(TRIM(A335&amp;""),CHAR(160),"")," ",""),"년",""))&lt;=2099,TEXT(VALUE(SUBSTITUTE(SUBSTITUTE(SUBSTITUTE(TRIM(A335&amp;""),CHAR(160),"")," ",""),"년","")),"0000")=SUBSTITUTE(SUBSTITUTE(SUBSTITUTE(TRIM(A335&amp;""),CHAR(160),"")," ",""),"년","")),SUBSTITUTE(SUBSTITUTE(SUBSTITUTE(TRIM(A335&amp;""),CHAR(160),"")," ",""),"년",""),""),"")</f>
      </c>
      <c r="I335" t="str">
        <f>SUBSTITUTE(SUBSTITUTE(SUBSTITUTE(SUBSTITUTE(SUBSTITUTE(TRIM(B335&amp;""),CHAR(160),"")," ",""),"초등학교","초"),"중학교","중"),"고등학교","고")</f>
      </c>
    </row>
    <row r="336" customFormat="false" ht="15" hidden="false" customHeight="false" outlineLevel="0" collapsed="false">
      <c r="A336" s="8"/>
      <c r="B336" s="8"/>
      <c r="C336" s="8"/>
      <c r="D336" s="8"/>
      <c r="E336" s="8"/>
      <c r="F336" t="str" s="15">
        <f aca="0">IF(B336="","",IF(H336="","확인필요(입력누락)",IF(SUMPRODUCT((실물목록!$P$2:$P$1001&lt;&gt;"")*ISNUMBER(SEARCH(실물목록!$P$2:$P$1001,I336))*(실물목록!$Q$2:$Q$1001&lt;&gt;"")*ISNUMBER(SEARCH(실물목록!$Q$2:$Q$1001,I336))*(실물목록!$R$2:$R$1001="")*(실물목록!$O$2:$O$1001&lt;&gt;"")*(실물목록!$O$2:$O$1001=H336))&gt;0,"실물 있음",IF(SUMPRODUCT((실물목록!$P$2:$P$1001&lt;&gt;"")*ISNUMBER(SEARCH(실물목록!$P$2:$P$1001,I336))*(실물목록!$R$2:$R$1001&lt;&gt;""))&gt;0,"확인필요(입력누락)",IF(SUMPRODUCT((실물목록!$P$2:$P$1001&lt;&gt;"")*ISNUMBER(SEARCH(실물목록!$P$2:$P$1001,I336))*(실물목록!$Q$2:$Q$1001&lt;&gt;"")*ISNUMBER(SEARCH(실물목록!$Q$2:$Q$1001,I336))*(실물목록!$R$2:$R$1001="")*(실물목록!$O$2:$O$1001&lt;&gt;""))&gt;0,"확인필요(연도다름)","실물 없음")))))</f>
      </c>
      <c r="G336" t="n" s="16">
        <f aca="0">IF(B336="","",SUMPRODUCT((실물목록!$P$2:$P$1001&lt;&gt;"")*ISNUMBER(SEARCH(실물목록!$P$2:$P$1001,I336))*(실물목록!$Q$2:$Q$1001&lt;&gt;"")*ISNUMBER(SEARCH(실물목록!$Q$2:$Q$1001,I336))*(실물목록!$R$2:$R$1001="")*(실물목록!$O$2:$O$1001&lt;&gt;"")*(실물목록!$O$2:$O$1001=H336)))</f>
      </c>
      <c r="H336" t="str">
        <f>IFERROR(IF(AND(LEN(SUBSTITUTE(SUBSTITUTE(SUBSTITUTE(TRIM(A336&amp;""),CHAR(160),"")," ",""),"년",""))=4,VALUE(SUBSTITUTE(SUBSTITUTE(SUBSTITUTE(TRIM(A336&amp;""),CHAR(160),"")," ",""),"년",""))&gt;=1900,VALUE(SUBSTITUTE(SUBSTITUTE(SUBSTITUTE(TRIM(A336&amp;""),CHAR(160),"")," ",""),"년",""))&lt;=2099,TEXT(VALUE(SUBSTITUTE(SUBSTITUTE(SUBSTITUTE(TRIM(A336&amp;""),CHAR(160),"")," ",""),"년","")),"0000")=SUBSTITUTE(SUBSTITUTE(SUBSTITUTE(TRIM(A336&amp;""),CHAR(160),"")," ",""),"년","")),SUBSTITUTE(SUBSTITUTE(SUBSTITUTE(TRIM(A336&amp;""),CHAR(160),"")," ",""),"년",""),""),"")</f>
      </c>
      <c r="I336" t="str">
        <f>SUBSTITUTE(SUBSTITUTE(SUBSTITUTE(SUBSTITUTE(SUBSTITUTE(TRIM(B336&amp;""),CHAR(160),"")," ",""),"초등학교","초"),"중학교","중"),"고등학교","고")</f>
      </c>
    </row>
    <row r="337" customFormat="false" ht="15" hidden="false" customHeight="false" outlineLevel="0" collapsed="false">
      <c r="A337" s="8"/>
      <c r="B337" s="8"/>
      <c r="C337" s="8"/>
      <c r="D337" s="8"/>
      <c r="E337" s="8"/>
      <c r="F337" t="str" s="15">
        <f aca="0">IF(B337="","",IF(H337="","확인필요(입력누락)",IF(SUMPRODUCT((실물목록!$P$2:$P$1001&lt;&gt;"")*ISNUMBER(SEARCH(실물목록!$P$2:$P$1001,I337))*(실물목록!$Q$2:$Q$1001&lt;&gt;"")*ISNUMBER(SEARCH(실물목록!$Q$2:$Q$1001,I337))*(실물목록!$R$2:$R$1001="")*(실물목록!$O$2:$O$1001&lt;&gt;"")*(실물목록!$O$2:$O$1001=H337))&gt;0,"실물 있음",IF(SUMPRODUCT((실물목록!$P$2:$P$1001&lt;&gt;"")*ISNUMBER(SEARCH(실물목록!$P$2:$P$1001,I337))*(실물목록!$R$2:$R$1001&lt;&gt;""))&gt;0,"확인필요(입력누락)",IF(SUMPRODUCT((실물목록!$P$2:$P$1001&lt;&gt;"")*ISNUMBER(SEARCH(실물목록!$P$2:$P$1001,I337))*(실물목록!$Q$2:$Q$1001&lt;&gt;"")*ISNUMBER(SEARCH(실물목록!$Q$2:$Q$1001,I337))*(실물목록!$R$2:$R$1001="")*(실물목록!$O$2:$O$1001&lt;&gt;""))&gt;0,"확인필요(연도다름)","실물 없음")))))</f>
      </c>
      <c r="G337" t="n" s="16">
        <f aca="0">IF(B337="","",SUMPRODUCT((실물목록!$P$2:$P$1001&lt;&gt;"")*ISNUMBER(SEARCH(실물목록!$P$2:$P$1001,I337))*(실물목록!$Q$2:$Q$1001&lt;&gt;"")*ISNUMBER(SEARCH(실물목록!$Q$2:$Q$1001,I337))*(실물목록!$R$2:$R$1001="")*(실물목록!$O$2:$O$1001&lt;&gt;"")*(실물목록!$O$2:$O$1001=H337)))</f>
      </c>
      <c r="H337" t="str">
        <f>IFERROR(IF(AND(LEN(SUBSTITUTE(SUBSTITUTE(SUBSTITUTE(TRIM(A337&amp;""),CHAR(160),"")," ",""),"년",""))=4,VALUE(SUBSTITUTE(SUBSTITUTE(SUBSTITUTE(TRIM(A337&amp;""),CHAR(160),"")," ",""),"년",""))&gt;=1900,VALUE(SUBSTITUTE(SUBSTITUTE(SUBSTITUTE(TRIM(A337&amp;""),CHAR(160),"")," ",""),"년",""))&lt;=2099,TEXT(VALUE(SUBSTITUTE(SUBSTITUTE(SUBSTITUTE(TRIM(A337&amp;""),CHAR(160),"")," ",""),"년","")),"0000")=SUBSTITUTE(SUBSTITUTE(SUBSTITUTE(TRIM(A337&amp;""),CHAR(160),"")," ",""),"년","")),SUBSTITUTE(SUBSTITUTE(SUBSTITUTE(TRIM(A337&amp;""),CHAR(160),"")," ",""),"년",""),""),"")</f>
      </c>
      <c r="I337" t="str">
        <f>SUBSTITUTE(SUBSTITUTE(SUBSTITUTE(SUBSTITUTE(SUBSTITUTE(TRIM(B337&amp;""),CHAR(160),"")," ",""),"초등학교","초"),"중학교","중"),"고등학교","고")</f>
      </c>
    </row>
    <row r="338" customFormat="false" ht="15" hidden="false" customHeight="false" outlineLevel="0" collapsed="false">
      <c r="A338" s="8"/>
      <c r="B338" s="8"/>
      <c r="C338" s="8"/>
      <c r="D338" s="8"/>
      <c r="E338" s="8"/>
      <c r="F338" t="str" s="15">
        <f aca="0">IF(B338="","",IF(H338="","확인필요(입력누락)",IF(SUMPRODUCT((실물목록!$P$2:$P$1001&lt;&gt;"")*ISNUMBER(SEARCH(실물목록!$P$2:$P$1001,I338))*(실물목록!$Q$2:$Q$1001&lt;&gt;"")*ISNUMBER(SEARCH(실물목록!$Q$2:$Q$1001,I338))*(실물목록!$R$2:$R$1001="")*(실물목록!$O$2:$O$1001&lt;&gt;"")*(실물목록!$O$2:$O$1001=H338))&gt;0,"실물 있음",IF(SUMPRODUCT((실물목록!$P$2:$P$1001&lt;&gt;"")*ISNUMBER(SEARCH(실물목록!$P$2:$P$1001,I338))*(실물목록!$R$2:$R$1001&lt;&gt;""))&gt;0,"확인필요(입력누락)",IF(SUMPRODUCT((실물목록!$P$2:$P$1001&lt;&gt;"")*ISNUMBER(SEARCH(실물목록!$P$2:$P$1001,I338))*(실물목록!$Q$2:$Q$1001&lt;&gt;"")*ISNUMBER(SEARCH(실물목록!$Q$2:$Q$1001,I338))*(실물목록!$R$2:$R$1001="")*(실물목록!$O$2:$O$1001&lt;&gt;""))&gt;0,"확인필요(연도다름)","실물 없음")))))</f>
      </c>
      <c r="G338" t="n" s="16">
        <f aca="0">IF(B338="","",SUMPRODUCT((실물목록!$P$2:$P$1001&lt;&gt;"")*ISNUMBER(SEARCH(실물목록!$P$2:$P$1001,I338))*(실물목록!$Q$2:$Q$1001&lt;&gt;"")*ISNUMBER(SEARCH(실물목록!$Q$2:$Q$1001,I338))*(실물목록!$R$2:$R$1001="")*(실물목록!$O$2:$O$1001&lt;&gt;"")*(실물목록!$O$2:$O$1001=H338)))</f>
      </c>
      <c r="H338" t="str">
        <f>IFERROR(IF(AND(LEN(SUBSTITUTE(SUBSTITUTE(SUBSTITUTE(TRIM(A338&amp;""),CHAR(160),"")," ",""),"년",""))=4,VALUE(SUBSTITUTE(SUBSTITUTE(SUBSTITUTE(TRIM(A338&amp;""),CHAR(160),"")," ",""),"년",""))&gt;=1900,VALUE(SUBSTITUTE(SUBSTITUTE(SUBSTITUTE(TRIM(A338&amp;""),CHAR(160),"")," ",""),"년",""))&lt;=2099,TEXT(VALUE(SUBSTITUTE(SUBSTITUTE(SUBSTITUTE(TRIM(A338&amp;""),CHAR(160),"")," ",""),"년","")),"0000")=SUBSTITUTE(SUBSTITUTE(SUBSTITUTE(TRIM(A338&amp;""),CHAR(160),"")," ",""),"년","")),SUBSTITUTE(SUBSTITUTE(SUBSTITUTE(TRIM(A338&amp;""),CHAR(160),"")," ",""),"년",""),""),"")</f>
      </c>
      <c r="I338" t="str">
        <f>SUBSTITUTE(SUBSTITUTE(SUBSTITUTE(SUBSTITUTE(SUBSTITUTE(TRIM(B338&amp;""),CHAR(160),"")," ",""),"초등학교","초"),"중학교","중"),"고등학교","고")</f>
      </c>
    </row>
    <row r="339" customFormat="false" ht="15" hidden="false" customHeight="false" outlineLevel="0" collapsed="false">
      <c r="A339" s="8"/>
      <c r="B339" s="8"/>
      <c r="C339" s="8"/>
      <c r="D339" s="8"/>
      <c r="E339" s="8"/>
      <c r="F339" t="str" s="15">
        <f aca="0">IF(B339="","",IF(H339="","확인필요(입력누락)",IF(SUMPRODUCT((실물목록!$P$2:$P$1001&lt;&gt;"")*ISNUMBER(SEARCH(실물목록!$P$2:$P$1001,I339))*(실물목록!$Q$2:$Q$1001&lt;&gt;"")*ISNUMBER(SEARCH(실물목록!$Q$2:$Q$1001,I339))*(실물목록!$R$2:$R$1001="")*(실물목록!$O$2:$O$1001&lt;&gt;"")*(실물목록!$O$2:$O$1001=H339))&gt;0,"실물 있음",IF(SUMPRODUCT((실물목록!$P$2:$P$1001&lt;&gt;"")*ISNUMBER(SEARCH(실물목록!$P$2:$P$1001,I339))*(실물목록!$R$2:$R$1001&lt;&gt;""))&gt;0,"확인필요(입력누락)",IF(SUMPRODUCT((실물목록!$P$2:$P$1001&lt;&gt;"")*ISNUMBER(SEARCH(실물목록!$P$2:$P$1001,I339))*(실물목록!$Q$2:$Q$1001&lt;&gt;"")*ISNUMBER(SEARCH(실물목록!$Q$2:$Q$1001,I339))*(실물목록!$R$2:$R$1001="")*(실물목록!$O$2:$O$1001&lt;&gt;""))&gt;0,"확인필요(연도다름)","실물 없음")))))</f>
      </c>
      <c r="G339" t="n" s="16">
        <f aca="0">IF(B339="","",SUMPRODUCT((실물목록!$P$2:$P$1001&lt;&gt;"")*ISNUMBER(SEARCH(실물목록!$P$2:$P$1001,I339))*(실물목록!$Q$2:$Q$1001&lt;&gt;"")*ISNUMBER(SEARCH(실물목록!$Q$2:$Q$1001,I339))*(실물목록!$R$2:$R$1001="")*(실물목록!$O$2:$O$1001&lt;&gt;"")*(실물목록!$O$2:$O$1001=H339)))</f>
      </c>
      <c r="H339" t="str">
        <f>IFERROR(IF(AND(LEN(SUBSTITUTE(SUBSTITUTE(SUBSTITUTE(TRIM(A339&amp;""),CHAR(160),"")," ",""),"년",""))=4,VALUE(SUBSTITUTE(SUBSTITUTE(SUBSTITUTE(TRIM(A339&amp;""),CHAR(160),"")," ",""),"년",""))&gt;=1900,VALUE(SUBSTITUTE(SUBSTITUTE(SUBSTITUTE(TRIM(A339&amp;""),CHAR(160),"")," ",""),"년",""))&lt;=2099,TEXT(VALUE(SUBSTITUTE(SUBSTITUTE(SUBSTITUTE(TRIM(A339&amp;""),CHAR(160),"")," ",""),"년","")),"0000")=SUBSTITUTE(SUBSTITUTE(SUBSTITUTE(TRIM(A339&amp;""),CHAR(160),"")," ",""),"년","")),SUBSTITUTE(SUBSTITUTE(SUBSTITUTE(TRIM(A339&amp;""),CHAR(160),"")," ",""),"년",""),""),"")</f>
      </c>
      <c r="I339" t="str">
        <f>SUBSTITUTE(SUBSTITUTE(SUBSTITUTE(SUBSTITUTE(SUBSTITUTE(TRIM(B339&amp;""),CHAR(160),"")," ",""),"초등학교","초"),"중학교","중"),"고등학교","고")</f>
      </c>
    </row>
    <row r="340" customFormat="false" ht="15" hidden="false" customHeight="false" outlineLevel="0" collapsed="false">
      <c r="A340" s="8"/>
      <c r="B340" s="8"/>
      <c r="C340" s="8"/>
      <c r="D340" s="8"/>
      <c r="E340" s="8"/>
      <c r="F340" t="str" s="15">
        <f aca="0">IF(B340="","",IF(H340="","확인필요(입력누락)",IF(SUMPRODUCT((실물목록!$P$2:$P$1001&lt;&gt;"")*ISNUMBER(SEARCH(실물목록!$P$2:$P$1001,I340))*(실물목록!$Q$2:$Q$1001&lt;&gt;"")*ISNUMBER(SEARCH(실물목록!$Q$2:$Q$1001,I340))*(실물목록!$R$2:$R$1001="")*(실물목록!$O$2:$O$1001&lt;&gt;"")*(실물목록!$O$2:$O$1001=H340))&gt;0,"실물 있음",IF(SUMPRODUCT((실물목록!$P$2:$P$1001&lt;&gt;"")*ISNUMBER(SEARCH(실물목록!$P$2:$P$1001,I340))*(실물목록!$R$2:$R$1001&lt;&gt;""))&gt;0,"확인필요(입력누락)",IF(SUMPRODUCT((실물목록!$P$2:$P$1001&lt;&gt;"")*ISNUMBER(SEARCH(실물목록!$P$2:$P$1001,I340))*(실물목록!$Q$2:$Q$1001&lt;&gt;"")*ISNUMBER(SEARCH(실물목록!$Q$2:$Q$1001,I340))*(실물목록!$R$2:$R$1001="")*(실물목록!$O$2:$O$1001&lt;&gt;""))&gt;0,"확인필요(연도다름)","실물 없음")))))</f>
      </c>
      <c r="G340" t="n" s="16">
        <f aca="0">IF(B340="","",SUMPRODUCT((실물목록!$P$2:$P$1001&lt;&gt;"")*ISNUMBER(SEARCH(실물목록!$P$2:$P$1001,I340))*(실물목록!$Q$2:$Q$1001&lt;&gt;"")*ISNUMBER(SEARCH(실물목록!$Q$2:$Q$1001,I340))*(실물목록!$R$2:$R$1001="")*(실물목록!$O$2:$O$1001&lt;&gt;"")*(실물목록!$O$2:$O$1001=H340)))</f>
      </c>
      <c r="H340" t="str">
        <f>IFERROR(IF(AND(LEN(SUBSTITUTE(SUBSTITUTE(SUBSTITUTE(TRIM(A340&amp;""),CHAR(160),"")," ",""),"년",""))=4,VALUE(SUBSTITUTE(SUBSTITUTE(SUBSTITUTE(TRIM(A340&amp;""),CHAR(160),"")," ",""),"년",""))&gt;=1900,VALUE(SUBSTITUTE(SUBSTITUTE(SUBSTITUTE(TRIM(A340&amp;""),CHAR(160),"")," ",""),"년",""))&lt;=2099,TEXT(VALUE(SUBSTITUTE(SUBSTITUTE(SUBSTITUTE(TRIM(A340&amp;""),CHAR(160),"")," ",""),"년","")),"0000")=SUBSTITUTE(SUBSTITUTE(SUBSTITUTE(TRIM(A340&amp;""),CHAR(160),"")," ",""),"년","")),SUBSTITUTE(SUBSTITUTE(SUBSTITUTE(TRIM(A340&amp;""),CHAR(160),"")," ",""),"년",""),""),"")</f>
      </c>
      <c r="I340" t="str">
        <f>SUBSTITUTE(SUBSTITUTE(SUBSTITUTE(SUBSTITUTE(SUBSTITUTE(TRIM(B340&amp;""),CHAR(160),"")," ",""),"초등학교","초"),"중학교","중"),"고등학교","고")</f>
      </c>
    </row>
    <row r="341" customFormat="false" ht="15" hidden="false" customHeight="false" outlineLevel="0" collapsed="false">
      <c r="A341" s="8"/>
      <c r="B341" s="8"/>
      <c r="C341" s="8"/>
      <c r="D341" s="8"/>
      <c r="E341" s="8"/>
      <c r="F341" t="str" s="15">
        <f aca="0">IF(B341="","",IF(H341="","확인필요(입력누락)",IF(SUMPRODUCT((실물목록!$P$2:$P$1001&lt;&gt;"")*ISNUMBER(SEARCH(실물목록!$P$2:$P$1001,I341))*(실물목록!$Q$2:$Q$1001&lt;&gt;"")*ISNUMBER(SEARCH(실물목록!$Q$2:$Q$1001,I341))*(실물목록!$R$2:$R$1001="")*(실물목록!$O$2:$O$1001&lt;&gt;"")*(실물목록!$O$2:$O$1001=H341))&gt;0,"실물 있음",IF(SUMPRODUCT((실물목록!$P$2:$P$1001&lt;&gt;"")*ISNUMBER(SEARCH(실물목록!$P$2:$P$1001,I341))*(실물목록!$R$2:$R$1001&lt;&gt;""))&gt;0,"확인필요(입력누락)",IF(SUMPRODUCT((실물목록!$P$2:$P$1001&lt;&gt;"")*ISNUMBER(SEARCH(실물목록!$P$2:$P$1001,I341))*(실물목록!$Q$2:$Q$1001&lt;&gt;"")*ISNUMBER(SEARCH(실물목록!$Q$2:$Q$1001,I341))*(실물목록!$R$2:$R$1001="")*(실물목록!$O$2:$O$1001&lt;&gt;""))&gt;0,"확인필요(연도다름)","실물 없음")))))</f>
      </c>
      <c r="G341" t="n" s="16">
        <f aca="0">IF(B341="","",SUMPRODUCT((실물목록!$P$2:$P$1001&lt;&gt;"")*ISNUMBER(SEARCH(실물목록!$P$2:$P$1001,I341))*(실물목록!$Q$2:$Q$1001&lt;&gt;"")*ISNUMBER(SEARCH(실물목록!$Q$2:$Q$1001,I341))*(실물목록!$R$2:$R$1001="")*(실물목록!$O$2:$O$1001&lt;&gt;"")*(실물목록!$O$2:$O$1001=H341)))</f>
      </c>
      <c r="H341" t="str">
        <f>IFERROR(IF(AND(LEN(SUBSTITUTE(SUBSTITUTE(SUBSTITUTE(TRIM(A341&amp;""),CHAR(160),"")," ",""),"년",""))=4,VALUE(SUBSTITUTE(SUBSTITUTE(SUBSTITUTE(TRIM(A341&amp;""),CHAR(160),"")," ",""),"년",""))&gt;=1900,VALUE(SUBSTITUTE(SUBSTITUTE(SUBSTITUTE(TRIM(A341&amp;""),CHAR(160),"")," ",""),"년",""))&lt;=2099,TEXT(VALUE(SUBSTITUTE(SUBSTITUTE(SUBSTITUTE(TRIM(A341&amp;""),CHAR(160),"")," ",""),"년","")),"0000")=SUBSTITUTE(SUBSTITUTE(SUBSTITUTE(TRIM(A341&amp;""),CHAR(160),"")," ",""),"년","")),SUBSTITUTE(SUBSTITUTE(SUBSTITUTE(TRIM(A341&amp;""),CHAR(160),"")," ",""),"년",""),""),"")</f>
      </c>
      <c r="I341" t="str">
        <f>SUBSTITUTE(SUBSTITUTE(SUBSTITUTE(SUBSTITUTE(SUBSTITUTE(TRIM(B341&amp;""),CHAR(160),"")," ",""),"초등학교","초"),"중학교","중"),"고등학교","고")</f>
      </c>
    </row>
    <row r="342" customFormat="false" ht="15" hidden="false" customHeight="false" outlineLevel="0" collapsed="false">
      <c r="A342" s="8"/>
      <c r="B342" s="8"/>
      <c r="C342" s="8"/>
      <c r="D342" s="8"/>
      <c r="E342" s="8"/>
      <c r="F342" t="str" s="15">
        <f aca="0">IF(B342="","",IF(H342="","확인필요(입력누락)",IF(SUMPRODUCT((실물목록!$P$2:$P$1001&lt;&gt;"")*ISNUMBER(SEARCH(실물목록!$P$2:$P$1001,I342))*(실물목록!$Q$2:$Q$1001&lt;&gt;"")*ISNUMBER(SEARCH(실물목록!$Q$2:$Q$1001,I342))*(실물목록!$R$2:$R$1001="")*(실물목록!$O$2:$O$1001&lt;&gt;"")*(실물목록!$O$2:$O$1001=H342))&gt;0,"실물 있음",IF(SUMPRODUCT((실물목록!$P$2:$P$1001&lt;&gt;"")*ISNUMBER(SEARCH(실물목록!$P$2:$P$1001,I342))*(실물목록!$R$2:$R$1001&lt;&gt;""))&gt;0,"확인필요(입력누락)",IF(SUMPRODUCT((실물목록!$P$2:$P$1001&lt;&gt;"")*ISNUMBER(SEARCH(실물목록!$P$2:$P$1001,I342))*(실물목록!$Q$2:$Q$1001&lt;&gt;"")*ISNUMBER(SEARCH(실물목록!$Q$2:$Q$1001,I342))*(실물목록!$R$2:$R$1001="")*(실물목록!$O$2:$O$1001&lt;&gt;""))&gt;0,"확인필요(연도다름)","실물 없음")))))</f>
      </c>
      <c r="G342" t="n" s="16">
        <f aca="0">IF(B342="","",SUMPRODUCT((실물목록!$P$2:$P$1001&lt;&gt;"")*ISNUMBER(SEARCH(실물목록!$P$2:$P$1001,I342))*(실물목록!$Q$2:$Q$1001&lt;&gt;"")*ISNUMBER(SEARCH(실물목록!$Q$2:$Q$1001,I342))*(실물목록!$R$2:$R$1001="")*(실물목록!$O$2:$O$1001&lt;&gt;"")*(실물목록!$O$2:$O$1001=H342)))</f>
      </c>
      <c r="H342" t="str">
        <f>IFERROR(IF(AND(LEN(SUBSTITUTE(SUBSTITUTE(SUBSTITUTE(TRIM(A342&amp;""),CHAR(160),"")," ",""),"년",""))=4,VALUE(SUBSTITUTE(SUBSTITUTE(SUBSTITUTE(TRIM(A342&amp;""),CHAR(160),"")," ",""),"년",""))&gt;=1900,VALUE(SUBSTITUTE(SUBSTITUTE(SUBSTITUTE(TRIM(A342&amp;""),CHAR(160),"")," ",""),"년",""))&lt;=2099,TEXT(VALUE(SUBSTITUTE(SUBSTITUTE(SUBSTITUTE(TRIM(A342&amp;""),CHAR(160),"")," ",""),"년","")),"0000")=SUBSTITUTE(SUBSTITUTE(SUBSTITUTE(TRIM(A342&amp;""),CHAR(160),"")," ",""),"년","")),SUBSTITUTE(SUBSTITUTE(SUBSTITUTE(TRIM(A342&amp;""),CHAR(160),"")," ",""),"년",""),""),"")</f>
      </c>
      <c r="I342" t="str">
        <f>SUBSTITUTE(SUBSTITUTE(SUBSTITUTE(SUBSTITUTE(SUBSTITUTE(TRIM(B342&amp;""),CHAR(160),"")," ",""),"초등학교","초"),"중학교","중"),"고등학교","고")</f>
      </c>
    </row>
    <row r="343" customFormat="false" ht="15" hidden="false" customHeight="false" outlineLevel="0" collapsed="false">
      <c r="A343" s="8"/>
      <c r="B343" s="8"/>
      <c r="C343" s="8"/>
      <c r="D343" s="8"/>
      <c r="E343" s="8"/>
      <c r="F343" t="str" s="15">
        <f aca="0">IF(B343="","",IF(H343="","확인필요(입력누락)",IF(SUMPRODUCT((실물목록!$P$2:$P$1001&lt;&gt;"")*ISNUMBER(SEARCH(실물목록!$P$2:$P$1001,I343))*(실물목록!$Q$2:$Q$1001&lt;&gt;"")*ISNUMBER(SEARCH(실물목록!$Q$2:$Q$1001,I343))*(실물목록!$R$2:$R$1001="")*(실물목록!$O$2:$O$1001&lt;&gt;"")*(실물목록!$O$2:$O$1001=H343))&gt;0,"실물 있음",IF(SUMPRODUCT((실물목록!$P$2:$P$1001&lt;&gt;"")*ISNUMBER(SEARCH(실물목록!$P$2:$P$1001,I343))*(실물목록!$R$2:$R$1001&lt;&gt;""))&gt;0,"확인필요(입력누락)",IF(SUMPRODUCT((실물목록!$P$2:$P$1001&lt;&gt;"")*ISNUMBER(SEARCH(실물목록!$P$2:$P$1001,I343))*(실물목록!$Q$2:$Q$1001&lt;&gt;"")*ISNUMBER(SEARCH(실물목록!$Q$2:$Q$1001,I343))*(실물목록!$R$2:$R$1001="")*(실물목록!$O$2:$O$1001&lt;&gt;""))&gt;0,"확인필요(연도다름)","실물 없음")))))</f>
      </c>
      <c r="G343" t="n" s="16">
        <f aca="0">IF(B343="","",SUMPRODUCT((실물목록!$P$2:$P$1001&lt;&gt;"")*ISNUMBER(SEARCH(실물목록!$P$2:$P$1001,I343))*(실물목록!$Q$2:$Q$1001&lt;&gt;"")*ISNUMBER(SEARCH(실물목록!$Q$2:$Q$1001,I343))*(실물목록!$R$2:$R$1001="")*(실물목록!$O$2:$O$1001&lt;&gt;"")*(실물목록!$O$2:$O$1001=H343)))</f>
      </c>
      <c r="H343" t="str">
        <f>IFERROR(IF(AND(LEN(SUBSTITUTE(SUBSTITUTE(SUBSTITUTE(TRIM(A343&amp;""),CHAR(160),"")," ",""),"년",""))=4,VALUE(SUBSTITUTE(SUBSTITUTE(SUBSTITUTE(TRIM(A343&amp;""),CHAR(160),"")," ",""),"년",""))&gt;=1900,VALUE(SUBSTITUTE(SUBSTITUTE(SUBSTITUTE(TRIM(A343&amp;""),CHAR(160),"")," ",""),"년",""))&lt;=2099,TEXT(VALUE(SUBSTITUTE(SUBSTITUTE(SUBSTITUTE(TRIM(A343&amp;""),CHAR(160),"")," ",""),"년","")),"0000")=SUBSTITUTE(SUBSTITUTE(SUBSTITUTE(TRIM(A343&amp;""),CHAR(160),"")," ",""),"년","")),SUBSTITUTE(SUBSTITUTE(SUBSTITUTE(TRIM(A343&amp;""),CHAR(160),"")," ",""),"년",""),""),"")</f>
      </c>
      <c r="I343" t="str">
        <f>SUBSTITUTE(SUBSTITUTE(SUBSTITUTE(SUBSTITUTE(SUBSTITUTE(TRIM(B343&amp;""),CHAR(160),"")," ",""),"초등학교","초"),"중학교","중"),"고등학교","고")</f>
      </c>
    </row>
    <row r="344" customFormat="false" ht="15" hidden="false" customHeight="false" outlineLevel="0" collapsed="false">
      <c r="A344" s="8"/>
      <c r="B344" s="8"/>
      <c r="C344" s="8"/>
      <c r="D344" s="8"/>
      <c r="E344" s="8"/>
      <c r="F344" t="str" s="15">
        <f aca="0">IF(B344="","",IF(H344="","확인필요(입력누락)",IF(SUMPRODUCT((실물목록!$P$2:$P$1001&lt;&gt;"")*ISNUMBER(SEARCH(실물목록!$P$2:$P$1001,I344))*(실물목록!$Q$2:$Q$1001&lt;&gt;"")*ISNUMBER(SEARCH(실물목록!$Q$2:$Q$1001,I344))*(실물목록!$R$2:$R$1001="")*(실물목록!$O$2:$O$1001&lt;&gt;"")*(실물목록!$O$2:$O$1001=H344))&gt;0,"실물 있음",IF(SUMPRODUCT((실물목록!$P$2:$P$1001&lt;&gt;"")*ISNUMBER(SEARCH(실물목록!$P$2:$P$1001,I344))*(실물목록!$R$2:$R$1001&lt;&gt;""))&gt;0,"확인필요(입력누락)",IF(SUMPRODUCT((실물목록!$P$2:$P$1001&lt;&gt;"")*ISNUMBER(SEARCH(실물목록!$P$2:$P$1001,I344))*(실물목록!$Q$2:$Q$1001&lt;&gt;"")*ISNUMBER(SEARCH(실물목록!$Q$2:$Q$1001,I344))*(실물목록!$R$2:$R$1001="")*(실물목록!$O$2:$O$1001&lt;&gt;""))&gt;0,"확인필요(연도다름)","실물 없음")))))</f>
      </c>
      <c r="G344" t="n" s="16">
        <f aca="0">IF(B344="","",SUMPRODUCT((실물목록!$P$2:$P$1001&lt;&gt;"")*ISNUMBER(SEARCH(실물목록!$P$2:$P$1001,I344))*(실물목록!$Q$2:$Q$1001&lt;&gt;"")*ISNUMBER(SEARCH(실물목록!$Q$2:$Q$1001,I344))*(실물목록!$R$2:$R$1001="")*(실물목록!$O$2:$O$1001&lt;&gt;"")*(실물목록!$O$2:$O$1001=H344)))</f>
      </c>
      <c r="H344" t="str">
        <f>IFERROR(IF(AND(LEN(SUBSTITUTE(SUBSTITUTE(SUBSTITUTE(TRIM(A344&amp;""),CHAR(160),"")," ",""),"년",""))=4,VALUE(SUBSTITUTE(SUBSTITUTE(SUBSTITUTE(TRIM(A344&amp;""),CHAR(160),"")," ",""),"년",""))&gt;=1900,VALUE(SUBSTITUTE(SUBSTITUTE(SUBSTITUTE(TRIM(A344&amp;""),CHAR(160),"")," ",""),"년",""))&lt;=2099,TEXT(VALUE(SUBSTITUTE(SUBSTITUTE(SUBSTITUTE(TRIM(A344&amp;""),CHAR(160),"")," ",""),"년","")),"0000")=SUBSTITUTE(SUBSTITUTE(SUBSTITUTE(TRIM(A344&amp;""),CHAR(160),"")," ",""),"년","")),SUBSTITUTE(SUBSTITUTE(SUBSTITUTE(TRIM(A344&amp;""),CHAR(160),"")," ",""),"년",""),""),"")</f>
      </c>
      <c r="I344" t="str">
        <f>SUBSTITUTE(SUBSTITUTE(SUBSTITUTE(SUBSTITUTE(SUBSTITUTE(TRIM(B344&amp;""),CHAR(160),"")," ",""),"초등학교","초"),"중학교","중"),"고등학교","고")</f>
      </c>
    </row>
    <row r="345" customFormat="false" ht="15" hidden="false" customHeight="false" outlineLevel="0" collapsed="false">
      <c r="A345" s="8"/>
      <c r="B345" s="8"/>
      <c r="C345" s="8"/>
      <c r="D345" s="8"/>
      <c r="E345" s="8"/>
      <c r="F345" t="str" s="15">
        <f aca="0">IF(B345="","",IF(H345="","확인필요(입력누락)",IF(SUMPRODUCT((실물목록!$P$2:$P$1001&lt;&gt;"")*ISNUMBER(SEARCH(실물목록!$P$2:$P$1001,I345))*(실물목록!$Q$2:$Q$1001&lt;&gt;"")*ISNUMBER(SEARCH(실물목록!$Q$2:$Q$1001,I345))*(실물목록!$R$2:$R$1001="")*(실물목록!$O$2:$O$1001&lt;&gt;"")*(실물목록!$O$2:$O$1001=H345))&gt;0,"실물 있음",IF(SUMPRODUCT((실물목록!$P$2:$P$1001&lt;&gt;"")*ISNUMBER(SEARCH(실물목록!$P$2:$P$1001,I345))*(실물목록!$R$2:$R$1001&lt;&gt;""))&gt;0,"확인필요(입력누락)",IF(SUMPRODUCT((실물목록!$P$2:$P$1001&lt;&gt;"")*ISNUMBER(SEARCH(실물목록!$P$2:$P$1001,I345))*(실물목록!$Q$2:$Q$1001&lt;&gt;"")*ISNUMBER(SEARCH(실물목록!$Q$2:$Q$1001,I345))*(실물목록!$R$2:$R$1001="")*(실물목록!$O$2:$O$1001&lt;&gt;""))&gt;0,"확인필요(연도다름)","실물 없음")))))</f>
      </c>
      <c r="G345" t="n" s="16">
        <f aca="0">IF(B345="","",SUMPRODUCT((실물목록!$P$2:$P$1001&lt;&gt;"")*ISNUMBER(SEARCH(실물목록!$P$2:$P$1001,I345))*(실물목록!$Q$2:$Q$1001&lt;&gt;"")*ISNUMBER(SEARCH(실물목록!$Q$2:$Q$1001,I345))*(실물목록!$R$2:$R$1001="")*(실물목록!$O$2:$O$1001&lt;&gt;"")*(실물목록!$O$2:$O$1001=H345)))</f>
      </c>
      <c r="H345" t="str">
        <f>IFERROR(IF(AND(LEN(SUBSTITUTE(SUBSTITUTE(SUBSTITUTE(TRIM(A345&amp;""),CHAR(160),"")," ",""),"년",""))=4,VALUE(SUBSTITUTE(SUBSTITUTE(SUBSTITUTE(TRIM(A345&amp;""),CHAR(160),"")," ",""),"년",""))&gt;=1900,VALUE(SUBSTITUTE(SUBSTITUTE(SUBSTITUTE(TRIM(A345&amp;""),CHAR(160),"")," ",""),"년",""))&lt;=2099,TEXT(VALUE(SUBSTITUTE(SUBSTITUTE(SUBSTITUTE(TRIM(A345&amp;""),CHAR(160),"")," ",""),"년","")),"0000")=SUBSTITUTE(SUBSTITUTE(SUBSTITUTE(TRIM(A345&amp;""),CHAR(160),"")," ",""),"년","")),SUBSTITUTE(SUBSTITUTE(SUBSTITUTE(TRIM(A345&amp;""),CHAR(160),"")," ",""),"년",""),""),"")</f>
      </c>
      <c r="I345" t="str">
        <f>SUBSTITUTE(SUBSTITUTE(SUBSTITUTE(SUBSTITUTE(SUBSTITUTE(TRIM(B345&amp;""),CHAR(160),"")," ",""),"초등학교","초"),"중학교","중"),"고등학교","고")</f>
      </c>
    </row>
    <row r="346" customFormat="false" ht="15" hidden="false" customHeight="false" outlineLevel="0" collapsed="false">
      <c r="A346" s="8"/>
      <c r="B346" s="8"/>
      <c r="C346" s="8"/>
      <c r="D346" s="8"/>
      <c r="E346" s="8"/>
      <c r="F346" t="str" s="15">
        <f aca="0">IF(B346="","",IF(H346="","확인필요(입력누락)",IF(SUMPRODUCT((실물목록!$P$2:$P$1001&lt;&gt;"")*ISNUMBER(SEARCH(실물목록!$P$2:$P$1001,I346))*(실물목록!$Q$2:$Q$1001&lt;&gt;"")*ISNUMBER(SEARCH(실물목록!$Q$2:$Q$1001,I346))*(실물목록!$R$2:$R$1001="")*(실물목록!$O$2:$O$1001&lt;&gt;"")*(실물목록!$O$2:$O$1001=H346))&gt;0,"실물 있음",IF(SUMPRODUCT((실물목록!$P$2:$P$1001&lt;&gt;"")*ISNUMBER(SEARCH(실물목록!$P$2:$P$1001,I346))*(실물목록!$R$2:$R$1001&lt;&gt;""))&gt;0,"확인필요(입력누락)",IF(SUMPRODUCT((실물목록!$P$2:$P$1001&lt;&gt;"")*ISNUMBER(SEARCH(실물목록!$P$2:$P$1001,I346))*(실물목록!$Q$2:$Q$1001&lt;&gt;"")*ISNUMBER(SEARCH(실물목록!$Q$2:$Q$1001,I346))*(실물목록!$R$2:$R$1001="")*(실물목록!$O$2:$O$1001&lt;&gt;""))&gt;0,"확인필요(연도다름)","실물 없음")))))</f>
      </c>
      <c r="G346" t="n" s="16">
        <f aca="0">IF(B346="","",SUMPRODUCT((실물목록!$P$2:$P$1001&lt;&gt;"")*ISNUMBER(SEARCH(실물목록!$P$2:$P$1001,I346))*(실물목록!$Q$2:$Q$1001&lt;&gt;"")*ISNUMBER(SEARCH(실물목록!$Q$2:$Q$1001,I346))*(실물목록!$R$2:$R$1001="")*(실물목록!$O$2:$O$1001&lt;&gt;"")*(실물목록!$O$2:$O$1001=H346)))</f>
      </c>
      <c r="H346" t="str">
        <f>IFERROR(IF(AND(LEN(SUBSTITUTE(SUBSTITUTE(SUBSTITUTE(TRIM(A346&amp;""),CHAR(160),"")," ",""),"년",""))=4,VALUE(SUBSTITUTE(SUBSTITUTE(SUBSTITUTE(TRIM(A346&amp;""),CHAR(160),"")," ",""),"년",""))&gt;=1900,VALUE(SUBSTITUTE(SUBSTITUTE(SUBSTITUTE(TRIM(A346&amp;""),CHAR(160),"")," ",""),"년",""))&lt;=2099,TEXT(VALUE(SUBSTITUTE(SUBSTITUTE(SUBSTITUTE(TRIM(A346&amp;""),CHAR(160),"")," ",""),"년","")),"0000")=SUBSTITUTE(SUBSTITUTE(SUBSTITUTE(TRIM(A346&amp;""),CHAR(160),"")," ",""),"년","")),SUBSTITUTE(SUBSTITUTE(SUBSTITUTE(TRIM(A346&amp;""),CHAR(160),"")," ",""),"년",""),""),"")</f>
      </c>
      <c r="I346" t="str">
        <f>SUBSTITUTE(SUBSTITUTE(SUBSTITUTE(SUBSTITUTE(SUBSTITUTE(TRIM(B346&amp;""),CHAR(160),"")," ",""),"초등학교","초"),"중학교","중"),"고등학교","고")</f>
      </c>
    </row>
    <row r="347" customFormat="false" ht="15" hidden="false" customHeight="false" outlineLevel="0" collapsed="false">
      <c r="A347" s="8"/>
      <c r="B347" s="8"/>
      <c r="C347" s="8"/>
      <c r="D347" s="8"/>
      <c r="E347" s="8"/>
      <c r="F347" t="str" s="15">
        <f aca="0">IF(B347="","",IF(H347="","확인필요(입력누락)",IF(SUMPRODUCT((실물목록!$P$2:$P$1001&lt;&gt;"")*ISNUMBER(SEARCH(실물목록!$P$2:$P$1001,I347))*(실물목록!$Q$2:$Q$1001&lt;&gt;"")*ISNUMBER(SEARCH(실물목록!$Q$2:$Q$1001,I347))*(실물목록!$R$2:$R$1001="")*(실물목록!$O$2:$O$1001&lt;&gt;"")*(실물목록!$O$2:$O$1001=H347))&gt;0,"실물 있음",IF(SUMPRODUCT((실물목록!$P$2:$P$1001&lt;&gt;"")*ISNUMBER(SEARCH(실물목록!$P$2:$P$1001,I347))*(실물목록!$R$2:$R$1001&lt;&gt;""))&gt;0,"확인필요(입력누락)",IF(SUMPRODUCT((실물목록!$P$2:$P$1001&lt;&gt;"")*ISNUMBER(SEARCH(실물목록!$P$2:$P$1001,I347))*(실물목록!$Q$2:$Q$1001&lt;&gt;"")*ISNUMBER(SEARCH(실물목록!$Q$2:$Q$1001,I347))*(실물목록!$R$2:$R$1001="")*(실물목록!$O$2:$O$1001&lt;&gt;""))&gt;0,"확인필요(연도다름)","실물 없음")))))</f>
      </c>
      <c r="G347" t="n" s="16">
        <f aca="0">IF(B347="","",SUMPRODUCT((실물목록!$P$2:$P$1001&lt;&gt;"")*ISNUMBER(SEARCH(실물목록!$P$2:$P$1001,I347))*(실물목록!$Q$2:$Q$1001&lt;&gt;"")*ISNUMBER(SEARCH(실물목록!$Q$2:$Q$1001,I347))*(실물목록!$R$2:$R$1001="")*(실물목록!$O$2:$O$1001&lt;&gt;"")*(실물목록!$O$2:$O$1001=H347)))</f>
      </c>
      <c r="H347" t="str">
        <f>IFERROR(IF(AND(LEN(SUBSTITUTE(SUBSTITUTE(SUBSTITUTE(TRIM(A347&amp;""),CHAR(160),"")," ",""),"년",""))=4,VALUE(SUBSTITUTE(SUBSTITUTE(SUBSTITUTE(TRIM(A347&amp;""),CHAR(160),"")," ",""),"년",""))&gt;=1900,VALUE(SUBSTITUTE(SUBSTITUTE(SUBSTITUTE(TRIM(A347&amp;""),CHAR(160),"")," ",""),"년",""))&lt;=2099,TEXT(VALUE(SUBSTITUTE(SUBSTITUTE(SUBSTITUTE(TRIM(A347&amp;""),CHAR(160),"")," ",""),"년","")),"0000")=SUBSTITUTE(SUBSTITUTE(SUBSTITUTE(TRIM(A347&amp;""),CHAR(160),"")," ",""),"년","")),SUBSTITUTE(SUBSTITUTE(SUBSTITUTE(TRIM(A347&amp;""),CHAR(160),"")," ",""),"년",""),""),"")</f>
      </c>
      <c r="I347" t="str">
        <f>SUBSTITUTE(SUBSTITUTE(SUBSTITUTE(SUBSTITUTE(SUBSTITUTE(TRIM(B347&amp;""),CHAR(160),"")," ",""),"초등학교","초"),"중학교","중"),"고등학교","고")</f>
      </c>
    </row>
    <row r="348" customFormat="false" ht="15" hidden="false" customHeight="false" outlineLevel="0" collapsed="false">
      <c r="A348" s="8"/>
      <c r="B348" s="8"/>
      <c r="C348" s="8"/>
      <c r="D348" s="8"/>
      <c r="E348" s="8"/>
      <c r="F348" t="str" s="15">
        <f aca="0">IF(B348="","",IF(H348="","확인필요(입력누락)",IF(SUMPRODUCT((실물목록!$P$2:$P$1001&lt;&gt;"")*ISNUMBER(SEARCH(실물목록!$P$2:$P$1001,I348))*(실물목록!$Q$2:$Q$1001&lt;&gt;"")*ISNUMBER(SEARCH(실물목록!$Q$2:$Q$1001,I348))*(실물목록!$R$2:$R$1001="")*(실물목록!$O$2:$O$1001&lt;&gt;"")*(실물목록!$O$2:$O$1001=H348))&gt;0,"실물 있음",IF(SUMPRODUCT((실물목록!$P$2:$P$1001&lt;&gt;"")*ISNUMBER(SEARCH(실물목록!$P$2:$P$1001,I348))*(실물목록!$R$2:$R$1001&lt;&gt;""))&gt;0,"확인필요(입력누락)",IF(SUMPRODUCT((실물목록!$P$2:$P$1001&lt;&gt;"")*ISNUMBER(SEARCH(실물목록!$P$2:$P$1001,I348))*(실물목록!$Q$2:$Q$1001&lt;&gt;"")*ISNUMBER(SEARCH(실물목록!$Q$2:$Q$1001,I348))*(실물목록!$R$2:$R$1001="")*(실물목록!$O$2:$O$1001&lt;&gt;""))&gt;0,"확인필요(연도다름)","실물 없음")))))</f>
      </c>
      <c r="G348" t="n" s="16">
        <f aca="0">IF(B348="","",SUMPRODUCT((실물목록!$P$2:$P$1001&lt;&gt;"")*ISNUMBER(SEARCH(실물목록!$P$2:$P$1001,I348))*(실물목록!$Q$2:$Q$1001&lt;&gt;"")*ISNUMBER(SEARCH(실물목록!$Q$2:$Q$1001,I348))*(실물목록!$R$2:$R$1001="")*(실물목록!$O$2:$O$1001&lt;&gt;"")*(실물목록!$O$2:$O$1001=H348)))</f>
      </c>
      <c r="H348" t="str">
        <f>IFERROR(IF(AND(LEN(SUBSTITUTE(SUBSTITUTE(SUBSTITUTE(TRIM(A348&amp;""),CHAR(160),"")," ",""),"년",""))=4,VALUE(SUBSTITUTE(SUBSTITUTE(SUBSTITUTE(TRIM(A348&amp;""),CHAR(160),"")," ",""),"년",""))&gt;=1900,VALUE(SUBSTITUTE(SUBSTITUTE(SUBSTITUTE(TRIM(A348&amp;""),CHAR(160),"")," ",""),"년",""))&lt;=2099,TEXT(VALUE(SUBSTITUTE(SUBSTITUTE(SUBSTITUTE(TRIM(A348&amp;""),CHAR(160),"")," ",""),"년","")),"0000")=SUBSTITUTE(SUBSTITUTE(SUBSTITUTE(TRIM(A348&amp;""),CHAR(160),"")," ",""),"년","")),SUBSTITUTE(SUBSTITUTE(SUBSTITUTE(TRIM(A348&amp;""),CHAR(160),"")," ",""),"년",""),""),"")</f>
      </c>
      <c r="I348" t="str">
        <f>SUBSTITUTE(SUBSTITUTE(SUBSTITUTE(SUBSTITUTE(SUBSTITUTE(TRIM(B348&amp;""),CHAR(160),"")," ",""),"초등학교","초"),"중학교","중"),"고등학교","고")</f>
      </c>
    </row>
    <row r="349" customFormat="false" ht="15" hidden="false" customHeight="false" outlineLevel="0" collapsed="false">
      <c r="A349" s="8"/>
      <c r="B349" s="8"/>
      <c r="C349" s="8"/>
      <c r="D349" s="8"/>
      <c r="E349" s="8"/>
      <c r="F349" t="str" s="15">
        <f aca="0">IF(B349="","",IF(H349="","확인필요(입력누락)",IF(SUMPRODUCT((실물목록!$P$2:$P$1001&lt;&gt;"")*ISNUMBER(SEARCH(실물목록!$P$2:$P$1001,I349))*(실물목록!$Q$2:$Q$1001&lt;&gt;"")*ISNUMBER(SEARCH(실물목록!$Q$2:$Q$1001,I349))*(실물목록!$R$2:$R$1001="")*(실물목록!$O$2:$O$1001&lt;&gt;"")*(실물목록!$O$2:$O$1001=H349))&gt;0,"실물 있음",IF(SUMPRODUCT((실물목록!$P$2:$P$1001&lt;&gt;"")*ISNUMBER(SEARCH(실물목록!$P$2:$P$1001,I349))*(실물목록!$R$2:$R$1001&lt;&gt;""))&gt;0,"확인필요(입력누락)",IF(SUMPRODUCT((실물목록!$P$2:$P$1001&lt;&gt;"")*ISNUMBER(SEARCH(실물목록!$P$2:$P$1001,I349))*(실물목록!$Q$2:$Q$1001&lt;&gt;"")*ISNUMBER(SEARCH(실물목록!$Q$2:$Q$1001,I349))*(실물목록!$R$2:$R$1001="")*(실물목록!$O$2:$O$1001&lt;&gt;""))&gt;0,"확인필요(연도다름)","실물 없음")))))</f>
      </c>
      <c r="G349" t="n" s="16">
        <f aca="0">IF(B349="","",SUMPRODUCT((실물목록!$P$2:$P$1001&lt;&gt;"")*ISNUMBER(SEARCH(실물목록!$P$2:$P$1001,I349))*(실물목록!$Q$2:$Q$1001&lt;&gt;"")*ISNUMBER(SEARCH(실물목록!$Q$2:$Q$1001,I349))*(실물목록!$R$2:$R$1001="")*(실물목록!$O$2:$O$1001&lt;&gt;"")*(실물목록!$O$2:$O$1001=H349)))</f>
      </c>
      <c r="H349" t="str">
        <f>IFERROR(IF(AND(LEN(SUBSTITUTE(SUBSTITUTE(SUBSTITUTE(TRIM(A349&amp;""),CHAR(160),"")," ",""),"년",""))=4,VALUE(SUBSTITUTE(SUBSTITUTE(SUBSTITUTE(TRIM(A349&amp;""),CHAR(160),"")," ",""),"년",""))&gt;=1900,VALUE(SUBSTITUTE(SUBSTITUTE(SUBSTITUTE(TRIM(A349&amp;""),CHAR(160),"")," ",""),"년",""))&lt;=2099,TEXT(VALUE(SUBSTITUTE(SUBSTITUTE(SUBSTITUTE(TRIM(A349&amp;""),CHAR(160),"")," ",""),"년","")),"0000")=SUBSTITUTE(SUBSTITUTE(SUBSTITUTE(TRIM(A349&amp;""),CHAR(160),"")," ",""),"년","")),SUBSTITUTE(SUBSTITUTE(SUBSTITUTE(TRIM(A349&amp;""),CHAR(160),"")," ",""),"년",""),""),"")</f>
      </c>
      <c r="I349" t="str">
        <f>SUBSTITUTE(SUBSTITUTE(SUBSTITUTE(SUBSTITUTE(SUBSTITUTE(TRIM(B349&amp;""),CHAR(160),"")," ",""),"초등학교","초"),"중학교","중"),"고등학교","고")</f>
      </c>
    </row>
    <row r="350" customFormat="false" ht="15" hidden="false" customHeight="false" outlineLevel="0" collapsed="false">
      <c r="A350" s="8"/>
      <c r="B350" s="8"/>
      <c r="C350" s="8"/>
      <c r="D350" s="8"/>
      <c r="E350" s="8"/>
      <c r="F350" t="str" s="15">
        <f aca="0">IF(B350="","",IF(H350="","확인필요(입력누락)",IF(SUMPRODUCT((실물목록!$P$2:$P$1001&lt;&gt;"")*ISNUMBER(SEARCH(실물목록!$P$2:$P$1001,I350))*(실물목록!$Q$2:$Q$1001&lt;&gt;"")*ISNUMBER(SEARCH(실물목록!$Q$2:$Q$1001,I350))*(실물목록!$R$2:$R$1001="")*(실물목록!$O$2:$O$1001&lt;&gt;"")*(실물목록!$O$2:$O$1001=H350))&gt;0,"실물 있음",IF(SUMPRODUCT((실물목록!$P$2:$P$1001&lt;&gt;"")*ISNUMBER(SEARCH(실물목록!$P$2:$P$1001,I350))*(실물목록!$R$2:$R$1001&lt;&gt;""))&gt;0,"확인필요(입력누락)",IF(SUMPRODUCT((실물목록!$P$2:$P$1001&lt;&gt;"")*ISNUMBER(SEARCH(실물목록!$P$2:$P$1001,I350))*(실물목록!$Q$2:$Q$1001&lt;&gt;"")*ISNUMBER(SEARCH(실물목록!$Q$2:$Q$1001,I350))*(실물목록!$R$2:$R$1001="")*(실물목록!$O$2:$O$1001&lt;&gt;""))&gt;0,"확인필요(연도다름)","실물 없음")))))</f>
      </c>
      <c r="G350" t="n" s="16">
        <f aca="0">IF(B350="","",SUMPRODUCT((실물목록!$P$2:$P$1001&lt;&gt;"")*ISNUMBER(SEARCH(실물목록!$P$2:$P$1001,I350))*(실물목록!$Q$2:$Q$1001&lt;&gt;"")*ISNUMBER(SEARCH(실물목록!$Q$2:$Q$1001,I350))*(실물목록!$R$2:$R$1001="")*(실물목록!$O$2:$O$1001&lt;&gt;"")*(실물목록!$O$2:$O$1001=H350)))</f>
      </c>
      <c r="H350" t="str">
        <f>IFERROR(IF(AND(LEN(SUBSTITUTE(SUBSTITUTE(SUBSTITUTE(TRIM(A350&amp;""),CHAR(160),"")," ",""),"년",""))=4,VALUE(SUBSTITUTE(SUBSTITUTE(SUBSTITUTE(TRIM(A350&amp;""),CHAR(160),"")," ",""),"년",""))&gt;=1900,VALUE(SUBSTITUTE(SUBSTITUTE(SUBSTITUTE(TRIM(A350&amp;""),CHAR(160),"")," ",""),"년",""))&lt;=2099,TEXT(VALUE(SUBSTITUTE(SUBSTITUTE(SUBSTITUTE(TRIM(A350&amp;""),CHAR(160),"")," ",""),"년","")),"0000")=SUBSTITUTE(SUBSTITUTE(SUBSTITUTE(TRIM(A350&amp;""),CHAR(160),"")," ",""),"년","")),SUBSTITUTE(SUBSTITUTE(SUBSTITUTE(TRIM(A350&amp;""),CHAR(160),"")," ",""),"년",""),""),"")</f>
      </c>
      <c r="I350" t="str">
        <f>SUBSTITUTE(SUBSTITUTE(SUBSTITUTE(SUBSTITUTE(SUBSTITUTE(TRIM(B350&amp;""),CHAR(160),"")," ",""),"초등학교","초"),"중학교","중"),"고등학교","고")</f>
      </c>
    </row>
    <row r="351" customFormat="false" ht="15" hidden="false" customHeight="false" outlineLevel="0" collapsed="false">
      <c r="A351" s="8"/>
      <c r="B351" s="8"/>
      <c r="C351" s="8"/>
      <c r="D351" s="8"/>
      <c r="E351" s="8"/>
      <c r="F351" t="str" s="15">
        <f aca="0">IF(B351="","",IF(H351="","확인필요(입력누락)",IF(SUMPRODUCT((실물목록!$P$2:$P$1001&lt;&gt;"")*ISNUMBER(SEARCH(실물목록!$P$2:$P$1001,I351))*(실물목록!$Q$2:$Q$1001&lt;&gt;"")*ISNUMBER(SEARCH(실물목록!$Q$2:$Q$1001,I351))*(실물목록!$R$2:$R$1001="")*(실물목록!$O$2:$O$1001&lt;&gt;"")*(실물목록!$O$2:$O$1001=H351))&gt;0,"실물 있음",IF(SUMPRODUCT((실물목록!$P$2:$P$1001&lt;&gt;"")*ISNUMBER(SEARCH(실물목록!$P$2:$P$1001,I351))*(실물목록!$R$2:$R$1001&lt;&gt;""))&gt;0,"확인필요(입력누락)",IF(SUMPRODUCT((실물목록!$P$2:$P$1001&lt;&gt;"")*ISNUMBER(SEARCH(실물목록!$P$2:$P$1001,I351))*(실물목록!$Q$2:$Q$1001&lt;&gt;"")*ISNUMBER(SEARCH(실물목록!$Q$2:$Q$1001,I351))*(실물목록!$R$2:$R$1001="")*(실물목록!$O$2:$O$1001&lt;&gt;""))&gt;0,"확인필요(연도다름)","실물 없음")))))</f>
      </c>
      <c r="G351" t="n" s="16">
        <f aca="0">IF(B351="","",SUMPRODUCT((실물목록!$P$2:$P$1001&lt;&gt;"")*ISNUMBER(SEARCH(실물목록!$P$2:$P$1001,I351))*(실물목록!$Q$2:$Q$1001&lt;&gt;"")*ISNUMBER(SEARCH(실물목록!$Q$2:$Q$1001,I351))*(실물목록!$R$2:$R$1001="")*(실물목록!$O$2:$O$1001&lt;&gt;"")*(실물목록!$O$2:$O$1001=H351)))</f>
      </c>
      <c r="H351" t="str">
        <f>IFERROR(IF(AND(LEN(SUBSTITUTE(SUBSTITUTE(SUBSTITUTE(TRIM(A351&amp;""),CHAR(160),"")," ",""),"년",""))=4,VALUE(SUBSTITUTE(SUBSTITUTE(SUBSTITUTE(TRIM(A351&amp;""),CHAR(160),"")," ",""),"년",""))&gt;=1900,VALUE(SUBSTITUTE(SUBSTITUTE(SUBSTITUTE(TRIM(A351&amp;""),CHAR(160),"")," ",""),"년",""))&lt;=2099,TEXT(VALUE(SUBSTITUTE(SUBSTITUTE(SUBSTITUTE(TRIM(A351&amp;""),CHAR(160),"")," ",""),"년","")),"0000")=SUBSTITUTE(SUBSTITUTE(SUBSTITUTE(TRIM(A351&amp;""),CHAR(160),"")," ",""),"년","")),SUBSTITUTE(SUBSTITUTE(SUBSTITUTE(TRIM(A351&amp;""),CHAR(160),"")," ",""),"년",""),""),"")</f>
      </c>
      <c r="I351" t="str">
        <f>SUBSTITUTE(SUBSTITUTE(SUBSTITUTE(SUBSTITUTE(SUBSTITUTE(TRIM(B351&amp;""),CHAR(160),"")," ",""),"초등학교","초"),"중학교","중"),"고등학교","고")</f>
      </c>
    </row>
    <row r="352" customFormat="false" ht="15" hidden="false" customHeight="false" outlineLevel="0" collapsed="false">
      <c r="A352" s="8"/>
      <c r="B352" s="8"/>
      <c r="C352" s="8"/>
      <c r="D352" s="8"/>
      <c r="E352" s="8"/>
      <c r="F352" t="str" s="15">
        <f aca="0">IF(B352="","",IF(H352="","확인필요(입력누락)",IF(SUMPRODUCT((실물목록!$P$2:$P$1001&lt;&gt;"")*ISNUMBER(SEARCH(실물목록!$P$2:$P$1001,I352))*(실물목록!$Q$2:$Q$1001&lt;&gt;"")*ISNUMBER(SEARCH(실물목록!$Q$2:$Q$1001,I352))*(실물목록!$R$2:$R$1001="")*(실물목록!$O$2:$O$1001&lt;&gt;"")*(실물목록!$O$2:$O$1001=H352))&gt;0,"실물 있음",IF(SUMPRODUCT((실물목록!$P$2:$P$1001&lt;&gt;"")*ISNUMBER(SEARCH(실물목록!$P$2:$P$1001,I352))*(실물목록!$R$2:$R$1001&lt;&gt;""))&gt;0,"확인필요(입력누락)",IF(SUMPRODUCT((실물목록!$P$2:$P$1001&lt;&gt;"")*ISNUMBER(SEARCH(실물목록!$P$2:$P$1001,I352))*(실물목록!$Q$2:$Q$1001&lt;&gt;"")*ISNUMBER(SEARCH(실물목록!$Q$2:$Q$1001,I352))*(실물목록!$R$2:$R$1001="")*(실물목록!$O$2:$O$1001&lt;&gt;""))&gt;0,"확인필요(연도다름)","실물 없음")))))</f>
      </c>
      <c r="G352" t="n" s="16">
        <f aca="0">IF(B352="","",SUMPRODUCT((실물목록!$P$2:$P$1001&lt;&gt;"")*ISNUMBER(SEARCH(실물목록!$P$2:$P$1001,I352))*(실물목록!$Q$2:$Q$1001&lt;&gt;"")*ISNUMBER(SEARCH(실물목록!$Q$2:$Q$1001,I352))*(실물목록!$R$2:$R$1001="")*(실물목록!$O$2:$O$1001&lt;&gt;"")*(실물목록!$O$2:$O$1001=H352)))</f>
      </c>
      <c r="H352" t="str">
        <f>IFERROR(IF(AND(LEN(SUBSTITUTE(SUBSTITUTE(SUBSTITUTE(TRIM(A352&amp;""),CHAR(160),"")," ",""),"년",""))=4,VALUE(SUBSTITUTE(SUBSTITUTE(SUBSTITUTE(TRIM(A352&amp;""),CHAR(160),"")," ",""),"년",""))&gt;=1900,VALUE(SUBSTITUTE(SUBSTITUTE(SUBSTITUTE(TRIM(A352&amp;""),CHAR(160),"")," ",""),"년",""))&lt;=2099,TEXT(VALUE(SUBSTITUTE(SUBSTITUTE(SUBSTITUTE(TRIM(A352&amp;""),CHAR(160),"")," ",""),"년","")),"0000")=SUBSTITUTE(SUBSTITUTE(SUBSTITUTE(TRIM(A352&amp;""),CHAR(160),"")," ",""),"년","")),SUBSTITUTE(SUBSTITUTE(SUBSTITUTE(TRIM(A352&amp;""),CHAR(160),"")," ",""),"년",""),""),"")</f>
      </c>
      <c r="I352" t="str">
        <f>SUBSTITUTE(SUBSTITUTE(SUBSTITUTE(SUBSTITUTE(SUBSTITUTE(TRIM(B352&amp;""),CHAR(160),"")," ",""),"초등학교","초"),"중학교","중"),"고등학교","고")</f>
      </c>
    </row>
    <row r="353" customFormat="false" ht="15" hidden="false" customHeight="false" outlineLevel="0" collapsed="false">
      <c r="A353" s="8"/>
      <c r="B353" s="8"/>
      <c r="C353" s="8"/>
      <c r="D353" s="8"/>
      <c r="E353" s="8"/>
      <c r="F353" t="str" s="15">
        <f aca="0">IF(B353="","",IF(H353="","확인필요(입력누락)",IF(SUMPRODUCT((실물목록!$P$2:$P$1001&lt;&gt;"")*ISNUMBER(SEARCH(실물목록!$P$2:$P$1001,I353))*(실물목록!$Q$2:$Q$1001&lt;&gt;"")*ISNUMBER(SEARCH(실물목록!$Q$2:$Q$1001,I353))*(실물목록!$R$2:$R$1001="")*(실물목록!$O$2:$O$1001&lt;&gt;"")*(실물목록!$O$2:$O$1001=H353))&gt;0,"실물 있음",IF(SUMPRODUCT((실물목록!$P$2:$P$1001&lt;&gt;"")*ISNUMBER(SEARCH(실물목록!$P$2:$P$1001,I353))*(실물목록!$R$2:$R$1001&lt;&gt;""))&gt;0,"확인필요(입력누락)",IF(SUMPRODUCT((실물목록!$P$2:$P$1001&lt;&gt;"")*ISNUMBER(SEARCH(실물목록!$P$2:$P$1001,I353))*(실물목록!$Q$2:$Q$1001&lt;&gt;"")*ISNUMBER(SEARCH(실물목록!$Q$2:$Q$1001,I353))*(실물목록!$R$2:$R$1001="")*(실물목록!$O$2:$O$1001&lt;&gt;""))&gt;0,"확인필요(연도다름)","실물 없음")))))</f>
      </c>
      <c r="G353" t="n" s="16">
        <f aca="0">IF(B353="","",SUMPRODUCT((실물목록!$P$2:$P$1001&lt;&gt;"")*ISNUMBER(SEARCH(실물목록!$P$2:$P$1001,I353))*(실물목록!$Q$2:$Q$1001&lt;&gt;"")*ISNUMBER(SEARCH(실물목록!$Q$2:$Q$1001,I353))*(실물목록!$R$2:$R$1001="")*(실물목록!$O$2:$O$1001&lt;&gt;"")*(실물목록!$O$2:$O$1001=H353)))</f>
      </c>
      <c r="H353" t="str">
        <f>IFERROR(IF(AND(LEN(SUBSTITUTE(SUBSTITUTE(SUBSTITUTE(TRIM(A353&amp;""),CHAR(160),"")," ",""),"년",""))=4,VALUE(SUBSTITUTE(SUBSTITUTE(SUBSTITUTE(TRIM(A353&amp;""),CHAR(160),"")," ",""),"년",""))&gt;=1900,VALUE(SUBSTITUTE(SUBSTITUTE(SUBSTITUTE(TRIM(A353&amp;""),CHAR(160),"")," ",""),"년",""))&lt;=2099,TEXT(VALUE(SUBSTITUTE(SUBSTITUTE(SUBSTITUTE(TRIM(A353&amp;""),CHAR(160),"")," ",""),"년","")),"0000")=SUBSTITUTE(SUBSTITUTE(SUBSTITUTE(TRIM(A353&amp;""),CHAR(160),"")," ",""),"년","")),SUBSTITUTE(SUBSTITUTE(SUBSTITUTE(TRIM(A353&amp;""),CHAR(160),"")," ",""),"년",""),""),"")</f>
      </c>
      <c r="I353" t="str">
        <f>SUBSTITUTE(SUBSTITUTE(SUBSTITUTE(SUBSTITUTE(SUBSTITUTE(TRIM(B353&amp;""),CHAR(160),"")," ",""),"초등학교","초"),"중학교","중"),"고등학교","고")</f>
      </c>
    </row>
    <row r="354" customFormat="false" ht="15" hidden="false" customHeight="false" outlineLevel="0" collapsed="false">
      <c r="A354" s="8"/>
      <c r="B354" s="8"/>
      <c r="C354" s="8"/>
      <c r="D354" s="8"/>
      <c r="E354" s="8"/>
      <c r="F354" t="str" s="15">
        <f aca="0">IF(B354="","",IF(H354="","확인필요(입력누락)",IF(SUMPRODUCT((실물목록!$P$2:$P$1001&lt;&gt;"")*ISNUMBER(SEARCH(실물목록!$P$2:$P$1001,I354))*(실물목록!$Q$2:$Q$1001&lt;&gt;"")*ISNUMBER(SEARCH(실물목록!$Q$2:$Q$1001,I354))*(실물목록!$R$2:$R$1001="")*(실물목록!$O$2:$O$1001&lt;&gt;"")*(실물목록!$O$2:$O$1001=H354))&gt;0,"실물 있음",IF(SUMPRODUCT((실물목록!$P$2:$P$1001&lt;&gt;"")*ISNUMBER(SEARCH(실물목록!$P$2:$P$1001,I354))*(실물목록!$R$2:$R$1001&lt;&gt;""))&gt;0,"확인필요(입력누락)",IF(SUMPRODUCT((실물목록!$P$2:$P$1001&lt;&gt;"")*ISNUMBER(SEARCH(실물목록!$P$2:$P$1001,I354))*(실물목록!$Q$2:$Q$1001&lt;&gt;"")*ISNUMBER(SEARCH(실물목록!$Q$2:$Q$1001,I354))*(실물목록!$R$2:$R$1001="")*(실물목록!$O$2:$O$1001&lt;&gt;""))&gt;0,"확인필요(연도다름)","실물 없음")))))</f>
      </c>
      <c r="G354" t="n" s="16">
        <f aca="0">IF(B354="","",SUMPRODUCT((실물목록!$P$2:$P$1001&lt;&gt;"")*ISNUMBER(SEARCH(실물목록!$P$2:$P$1001,I354))*(실물목록!$Q$2:$Q$1001&lt;&gt;"")*ISNUMBER(SEARCH(실물목록!$Q$2:$Q$1001,I354))*(실물목록!$R$2:$R$1001="")*(실물목록!$O$2:$O$1001&lt;&gt;"")*(실물목록!$O$2:$O$1001=H354)))</f>
      </c>
      <c r="H354" t="str">
        <f>IFERROR(IF(AND(LEN(SUBSTITUTE(SUBSTITUTE(SUBSTITUTE(TRIM(A354&amp;""),CHAR(160),"")," ",""),"년",""))=4,VALUE(SUBSTITUTE(SUBSTITUTE(SUBSTITUTE(TRIM(A354&amp;""),CHAR(160),"")," ",""),"년",""))&gt;=1900,VALUE(SUBSTITUTE(SUBSTITUTE(SUBSTITUTE(TRIM(A354&amp;""),CHAR(160),"")," ",""),"년",""))&lt;=2099,TEXT(VALUE(SUBSTITUTE(SUBSTITUTE(SUBSTITUTE(TRIM(A354&amp;""),CHAR(160),"")," ",""),"년","")),"0000")=SUBSTITUTE(SUBSTITUTE(SUBSTITUTE(TRIM(A354&amp;""),CHAR(160),"")," ",""),"년","")),SUBSTITUTE(SUBSTITUTE(SUBSTITUTE(TRIM(A354&amp;""),CHAR(160),"")," ",""),"년",""),""),"")</f>
      </c>
      <c r="I354" t="str">
        <f>SUBSTITUTE(SUBSTITUTE(SUBSTITUTE(SUBSTITUTE(SUBSTITUTE(TRIM(B354&amp;""),CHAR(160),"")," ",""),"초등학교","초"),"중학교","중"),"고등학교","고")</f>
      </c>
    </row>
    <row r="355" customFormat="false" ht="15" hidden="false" customHeight="false" outlineLevel="0" collapsed="false">
      <c r="A355" s="8"/>
      <c r="B355" s="8"/>
      <c r="C355" s="8"/>
      <c r="D355" s="8"/>
      <c r="E355" s="8"/>
      <c r="F355" t="str" s="15">
        <f aca="0">IF(B355="","",IF(H355="","확인필요(입력누락)",IF(SUMPRODUCT((실물목록!$P$2:$P$1001&lt;&gt;"")*ISNUMBER(SEARCH(실물목록!$P$2:$P$1001,I355))*(실물목록!$Q$2:$Q$1001&lt;&gt;"")*ISNUMBER(SEARCH(실물목록!$Q$2:$Q$1001,I355))*(실물목록!$R$2:$R$1001="")*(실물목록!$O$2:$O$1001&lt;&gt;"")*(실물목록!$O$2:$O$1001=H355))&gt;0,"실물 있음",IF(SUMPRODUCT((실물목록!$P$2:$P$1001&lt;&gt;"")*ISNUMBER(SEARCH(실물목록!$P$2:$P$1001,I355))*(실물목록!$R$2:$R$1001&lt;&gt;""))&gt;0,"확인필요(입력누락)",IF(SUMPRODUCT((실물목록!$P$2:$P$1001&lt;&gt;"")*ISNUMBER(SEARCH(실물목록!$P$2:$P$1001,I355))*(실물목록!$Q$2:$Q$1001&lt;&gt;"")*ISNUMBER(SEARCH(실물목록!$Q$2:$Q$1001,I355))*(실물목록!$R$2:$R$1001="")*(실물목록!$O$2:$O$1001&lt;&gt;""))&gt;0,"확인필요(연도다름)","실물 없음")))))</f>
      </c>
      <c r="G355" t="n" s="16">
        <f aca="0">IF(B355="","",SUMPRODUCT((실물목록!$P$2:$P$1001&lt;&gt;"")*ISNUMBER(SEARCH(실물목록!$P$2:$P$1001,I355))*(실물목록!$Q$2:$Q$1001&lt;&gt;"")*ISNUMBER(SEARCH(실물목록!$Q$2:$Q$1001,I355))*(실물목록!$R$2:$R$1001="")*(실물목록!$O$2:$O$1001&lt;&gt;"")*(실물목록!$O$2:$O$1001=H355)))</f>
      </c>
      <c r="H355" t="str">
        <f>IFERROR(IF(AND(LEN(SUBSTITUTE(SUBSTITUTE(SUBSTITUTE(TRIM(A355&amp;""),CHAR(160),"")," ",""),"년",""))=4,VALUE(SUBSTITUTE(SUBSTITUTE(SUBSTITUTE(TRIM(A355&amp;""),CHAR(160),"")," ",""),"년",""))&gt;=1900,VALUE(SUBSTITUTE(SUBSTITUTE(SUBSTITUTE(TRIM(A355&amp;""),CHAR(160),"")," ",""),"년",""))&lt;=2099,TEXT(VALUE(SUBSTITUTE(SUBSTITUTE(SUBSTITUTE(TRIM(A355&amp;""),CHAR(160),"")," ",""),"년","")),"0000")=SUBSTITUTE(SUBSTITUTE(SUBSTITUTE(TRIM(A355&amp;""),CHAR(160),"")," ",""),"년","")),SUBSTITUTE(SUBSTITUTE(SUBSTITUTE(TRIM(A355&amp;""),CHAR(160),"")," ",""),"년",""),""),"")</f>
      </c>
      <c r="I355" t="str">
        <f>SUBSTITUTE(SUBSTITUTE(SUBSTITUTE(SUBSTITUTE(SUBSTITUTE(TRIM(B355&amp;""),CHAR(160),"")," ",""),"초등학교","초"),"중학교","중"),"고등학교","고")</f>
      </c>
    </row>
    <row r="356" customFormat="false" ht="15" hidden="false" customHeight="false" outlineLevel="0" collapsed="false">
      <c r="A356" s="8"/>
      <c r="B356" s="8"/>
      <c r="C356" s="8"/>
      <c r="D356" s="8"/>
      <c r="E356" s="8"/>
      <c r="F356" t="str" s="15">
        <f aca="0">IF(B356="","",IF(H356="","확인필요(입력누락)",IF(SUMPRODUCT((실물목록!$P$2:$P$1001&lt;&gt;"")*ISNUMBER(SEARCH(실물목록!$P$2:$P$1001,I356))*(실물목록!$Q$2:$Q$1001&lt;&gt;"")*ISNUMBER(SEARCH(실물목록!$Q$2:$Q$1001,I356))*(실물목록!$R$2:$R$1001="")*(실물목록!$O$2:$O$1001&lt;&gt;"")*(실물목록!$O$2:$O$1001=H356))&gt;0,"실물 있음",IF(SUMPRODUCT((실물목록!$P$2:$P$1001&lt;&gt;"")*ISNUMBER(SEARCH(실물목록!$P$2:$P$1001,I356))*(실물목록!$R$2:$R$1001&lt;&gt;""))&gt;0,"확인필요(입력누락)",IF(SUMPRODUCT((실물목록!$P$2:$P$1001&lt;&gt;"")*ISNUMBER(SEARCH(실물목록!$P$2:$P$1001,I356))*(실물목록!$Q$2:$Q$1001&lt;&gt;"")*ISNUMBER(SEARCH(실물목록!$Q$2:$Q$1001,I356))*(실물목록!$R$2:$R$1001="")*(실물목록!$O$2:$O$1001&lt;&gt;""))&gt;0,"확인필요(연도다름)","실물 없음")))))</f>
      </c>
      <c r="G356" t="n" s="16">
        <f aca="0">IF(B356="","",SUMPRODUCT((실물목록!$P$2:$P$1001&lt;&gt;"")*ISNUMBER(SEARCH(실물목록!$P$2:$P$1001,I356))*(실물목록!$Q$2:$Q$1001&lt;&gt;"")*ISNUMBER(SEARCH(실물목록!$Q$2:$Q$1001,I356))*(실물목록!$R$2:$R$1001="")*(실물목록!$O$2:$O$1001&lt;&gt;"")*(실물목록!$O$2:$O$1001=H356)))</f>
      </c>
      <c r="H356" t="str">
        <f>IFERROR(IF(AND(LEN(SUBSTITUTE(SUBSTITUTE(SUBSTITUTE(TRIM(A356&amp;""),CHAR(160),"")," ",""),"년",""))=4,VALUE(SUBSTITUTE(SUBSTITUTE(SUBSTITUTE(TRIM(A356&amp;""),CHAR(160),"")," ",""),"년",""))&gt;=1900,VALUE(SUBSTITUTE(SUBSTITUTE(SUBSTITUTE(TRIM(A356&amp;""),CHAR(160),"")," ",""),"년",""))&lt;=2099,TEXT(VALUE(SUBSTITUTE(SUBSTITUTE(SUBSTITUTE(TRIM(A356&amp;""),CHAR(160),"")," ",""),"년","")),"0000")=SUBSTITUTE(SUBSTITUTE(SUBSTITUTE(TRIM(A356&amp;""),CHAR(160),"")," ",""),"년","")),SUBSTITUTE(SUBSTITUTE(SUBSTITUTE(TRIM(A356&amp;""),CHAR(160),"")," ",""),"년",""),""),"")</f>
      </c>
      <c r="I356" t="str">
        <f>SUBSTITUTE(SUBSTITUTE(SUBSTITUTE(SUBSTITUTE(SUBSTITUTE(TRIM(B356&amp;""),CHAR(160),"")," ",""),"초등학교","초"),"중학교","중"),"고등학교","고")</f>
      </c>
    </row>
    <row r="357" customFormat="false" ht="15" hidden="false" customHeight="false" outlineLevel="0" collapsed="false">
      <c r="A357" s="8"/>
      <c r="B357" s="8"/>
      <c r="C357" s="8"/>
      <c r="D357" s="8"/>
      <c r="E357" s="8"/>
      <c r="F357" t="str" s="15">
        <f aca="0">IF(B357="","",IF(H357="","확인필요(입력누락)",IF(SUMPRODUCT((실물목록!$P$2:$P$1001&lt;&gt;"")*ISNUMBER(SEARCH(실물목록!$P$2:$P$1001,I357))*(실물목록!$Q$2:$Q$1001&lt;&gt;"")*ISNUMBER(SEARCH(실물목록!$Q$2:$Q$1001,I357))*(실물목록!$R$2:$R$1001="")*(실물목록!$O$2:$O$1001&lt;&gt;"")*(실물목록!$O$2:$O$1001=H357))&gt;0,"실물 있음",IF(SUMPRODUCT((실물목록!$P$2:$P$1001&lt;&gt;"")*ISNUMBER(SEARCH(실물목록!$P$2:$P$1001,I357))*(실물목록!$R$2:$R$1001&lt;&gt;""))&gt;0,"확인필요(입력누락)",IF(SUMPRODUCT((실물목록!$P$2:$P$1001&lt;&gt;"")*ISNUMBER(SEARCH(실물목록!$P$2:$P$1001,I357))*(실물목록!$Q$2:$Q$1001&lt;&gt;"")*ISNUMBER(SEARCH(실물목록!$Q$2:$Q$1001,I357))*(실물목록!$R$2:$R$1001="")*(실물목록!$O$2:$O$1001&lt;&gt;""))&gt;0,"확인필요(연도다름)","실물 없음")))))</f>
      </c>
      <c r="G357" t="n" s="16">
        <f aca="0">IF(B357="","",SUMPRODUCT((실물목록!$P$2:$P$1001&lt;&gt;"")*ISNUMBER(SEARCH(실물목록!$P$2:$P$1001,I357))*(실물목록!$Q$2:$Q$1001&lt;&gt;"")*ISNUMBER(SEARCH(실물목록!$Q$2:$Q$1001,I357))*(실물목록!$R$2:$R$1001="")*(실물목록!$O$2:$O$1001&lt;&gt;"")*(실물목록!$O$2:$O$1001=H357)))</f>
      </c>
      <c r="H357" t="str">
        <f>IFERROR(IF(AND(LEN(SUBSTITUTE(SUBSTITUTE(SUBSTITUTE(TRIM(A357&amp;""),CHAR(160),"")," ",""),"년",""))=4,VALUE(SUBSTITUTE(SUBSTITUTE(SUBSTITUTE(TRIM(A357&amp;""),CHAR(160),"")," ",""),"년",""))&gt;=1900,VALUE(SUBSTITUTE(SUBSTITUTE(SUBSTITUTE(TRIM(A357&amp;""),CHAR(160),"")," ",""),"년",""))&lt;=2099,TEXT(VALUE(SUBSTITUTE(SUBSTITUTE(SUBSTITUTE(TRIM(A357&amp;""),CHAR(160),"")," ",""),"년","")),"0000")=SUBSTITUTE(SUBSTITUTE(SUBSTITUTE(TRIM(A357&amp;""),CHAR(160),"")," ",""),"년","")),SUBSTITUTE(SUBSTITUTE(SUBSTITUTE(TRIM(A357&amp;""),CHAR(160),"")," ",""),"년",""),""),"")</f>
      </c>
      <c r="I357" t="str">
        <f>SUBSTITUTE(SUBSTITUTE(SUBSTITUTE(SUBSTITUTE(SUBSTITUTE(TRIM(B357&amp;""),CHAR(160),"")," ",""),"초등학교","초"),"중학교","중"),"고등학교","고")</f>
      </c>
    </row>
    <row r="358" customFormat="false" ht="15" hidden="false" customHeight="false" outlineLevel="0" collapsed="false">
      <c r="A358" s="8"/>
      <c r="B358" s="8"/>
      <c r="C358" s="8"/>
      <c r="D358" s="8"/>
      <c r="E358" s="8"/>
      <c r="F358" t="str" s="15">
        <f aca="0">IF(B358="","",IF(H358="","확인필요(입력누락)",IF(SUMPRODUCT((실물목록!$P$2:$P$1001&lt;&gt;"")*ISNUMBER(SEARCH(실물목록!$P$2:$P$1001,I358))*(실물목록!$Q$2:$Q$1001&lt;&gt;"")*ISNUMBER(SEARCH(실물목록!$Q$2:$Q$1001,I358))*(실물목록!$R$2:$R$1001="")*(실물목록!$O$2:$O$1001&lt;&gt;"")*(실물목록!$O$2:$O$1001=H358))&gt;0,"실물 있음",IF(SUMPRODUCT((실물목록!$P$2:$P$1001&lt;&gt;"")*ISNUMBER(SEARCH(실물목록!$P$2:$P$1001,I358))*(실물목록!$R$2:$R$1001&lt;&gt;""))&gt;0,"확인필요(입력누락)",IF(SUMPRODUCT((실물목록!$P$2:$P$1001&lt;&gt;"")*ISNUMBER(SEARCH(실물목록!$P$2:$P$1001,I358))*(실물목록!$Q$2:$Q$1001&lt;&gt;"")*ISNUMBER(SEARCH(실물목록!$Q$2:$Q$1001,I358))*(실물목록!$R$2:$R$1001="")*(실물목록!$O$2:$O$1001&lt;&gt;""))&gt;0,"확인필요(연도다름)","실물 없음")))))</f>
      </c>
      <c r="G358" t="n" s="16">
        <f aca="0">IF(B358="","",SUMPRODUCT((실물목록!$P$2:$P$1001&lt;&gt;"")*ISNUMBER(SEARCH(실물목록!$P$2:$P$1001,I358))*(실물목록!$Q$2:$Q$1001&lt;&gt;"")*ISNUMBER(SEARCH(실물목록!$Q$2:$Q$1001,I358))*(실물목록!$R$2:$R$1001="")*(실물목록!$O$2:$O$1001&lt;&gt;"")*(실물목록!$O$2:$O$1001=H358)))</f>
      </c>
      <c r="H358" t="str">
        <f>IFERROR(IF(AND(LEN(SUBSTITUTE(SUBSTITUTE(SUBSTITUTE(TRIM(A358&amp;""),CHAR(160),"")," ",""),"년",""))=4,VALUE(SUBSTITUTE(SUBSTITUTE(SUBSTITUTE(TRIM(A358&amp;""),CHAR(160),"")," ",""),"년",""))&gt;=1900,VALUE(SUBSTITUTE(SUBSTITUTE(SUBSTITUTE(TRIM(A358&amp;""),CHAR(160),"")," ",""),"년",""))&lt;=2099,TEXT(VALUE(SUBSTITUTE(SUBSTITUTE(SUBSTITUTE(TRIM(A358&amp;""),CHAR(160),"")," ",""),"년","")),"0000")=SUBSTITUTE(SUBSTITUTE(SUBSTITUTE(TRIM(A358&amp;""),CHAR(160),"")," ",""),"년","")),SUBSTITUTE(SUBSTITUTE(SUBSTITUTE(TRIM(A358&amp;""),CHAR(160),"")," ",""),"년",""),""),"")</f>
      </c>
      <c r="I358" t="str">
        <f>SUBSTITUTE(SUBSTITUTE(SUBSTITUTE(SUBSTITUTE(SUBSTITUTE(TRIM(B358&amp;""),CHAR(160),"")," ",""),"초등학교","초"),"중학교","중"),"고등학교","고")</f>
      </c>
    </row>
    <row r="359" customFormat="false" ht="15" hidden="false" customHeight="false" outlineLevel="0" collapsed="false">
      <c r="A359" s="8"/>
      <c r="B359" s="8"/>
      <c r="C359" s="8"/>
      <c r="D359" s="8"/>
      <c r="E359" s="8"/>
      <c r="F359" t="str" s="15">
        <f aca="0">IF(B359="","",IF(H359="","확인필요(입력누락)",IF(SUMPRODUCT((실물목록!$P$2:$P$1001&lt;&gt;"")*ISNUMBER(SEARCH(실물목록!$P$2:$P$1001,I359))*(실물목록!$Q$2:$Q$1001&lt;&gt;"")*ISNUMBER(SEARCH(실물목록!$Q$2:$Q$1001,I359))*(실물목록!$R$2:$R$1001="")*(실물목록!$O$2:$O$1001&lt;&gt;"")*(실물목록!$O$2:$O$1001=H359))&gt;0,"실물 있음",IF(SUMPRODUCT((실물목록!$P$2:$P$1001&lt;&gt;"")*ISNUMBER(SEARCH(실물목록!$P$2:$P$1001,I359))*(실물목록!$R$2:$R$1001&lt;&gt;""))&gt;0,"확인필요(입력누락)",IF(SUMPRODUCT((실물목록!$P$2:$P$1001&lt;&gt;"")*ISNUMBER(SEARCH(실물목록!$P$2:$P$1001,I359))*(실물목록!$Q$2:$Q$1001&lt;&gt;"")*ISNUMBER(SEARCH(실물목록!$Q$2:$Q$1001,I359))*(실물목록!$R$2:$R$1001="")*(실물목록!$O$2:$O$1001&lt;&gt;""))&gt;0,"확인필요(연도다름)","실물 없음")))))</f>
      </c>
      <c r="G359" t="n" s="16">
        <f aca="0">IF(B359="","",SUMPRODUCT((실물목록!$P$2:$P$1001&lt;&gt;"")*ISNUMBER(SEARCH(실물목록!$P$2:$P$1001,I359))*(실물목록!$Q$2:$Q$1001&lt;&gt;"")*ISNUMBER(SEARCH(실물목록!$Q$2:$Q$1001,I359))*(실물목록!$R$2:$R$1001="")*(실물목록!$O$2:$O$1001&lt;&gt;"")*(실물목록!$O$2:$O$1001=H359)))</f>
      </c>
      <c r="H359" t="str">
        <f>IFERROR(IF(AND(LEN(SUBSTITUTE(SUBSTITUTE(SUBSTITUTE(TRIM(A359&amp;""),CHAR(160),"")," ",""),"년",""))=4,VALUE(SUBSTITUTE(SUBSTITUTE(SUBSTITUTE(TRIM(A359&amp;""),CHAR(160),"")," ",""),"년",""))&gt;=1900,VALUE(SUBSTITUTE(SUBSTITUTE(SUBSTITUTE(TRIM(A359&amp;""),CHAR(160),"")," ",""),"년",""))&lt;=2099,TEXT(VALUE(SUBSTITUTE(SUBSTITUTE(SUBSTITUTE(TRIM(A359&amp;""),CHAR(160),"")," ",""),"년","")),"0000")=SUBSTITUTE(SUBSTITUTE(SUBSTITUTE(TRIM(A359&amp;""),CHAR(160),"")," ",""),"년","")),SUBSTITUTE(SUBSTITUTE(SUBSTITUTE(TRIM(A359&amp;""),CHAR(160),"")," ",""),"년",""),""),"")</f>
      </c>
      <c r="I359" t="str">
        <f>SUBSTITUTE(SUBSTITUTE(SUBSTITUTE(SUBSTITUTE(SUBSTITUTE(TRIM(B359&amp;""),CHAR(160),"")," ",""),"초등학교","초"),"중학교","중"),"고등학교","고")</f>
      </c>
    </row>
    <row r="360" customFormat="false" ht="15" hidden="false" customHeight="false" outlineLevel="0" collapsed="false">
      <c r="A360" s="8"/>
      <c r="B360" s="8"/>
      <c r="C360" s="8"/>
      <c r="D360" s="8"/>
      <c r="E360" s="8"/>
      <c r="F360" t="str" s="15">
        <f aca="0">IF(B360="","",IF(H360="","확인필요(입력누락)",IF(SUMPRODUCT((실물목록!$P$2:$P$1001&lt;&gt;"")*ISNUMBER(SEARCH(실물목록!$P$2:$P$1001,I360))*(실물목록!$Q$2:$Q$1001&lt;&gt;"")*ISNUMBER(SEARCH(실물목록!$Q$2:$Q$1001,I360))*(실물목록!$R$2:$R$1001="")*(실물목록!$O$2:$O$1001&lt;&gt;"")*(실물목록!$O$2:$O$1001=H360))&gt;0,"실물 있음",IF(SUMPRODUCT((실물목록!$P$2:$P$1001&lt;&gt;"")*ISNUMBER(SEARCH(실물목록!$P$2:$P$1001,I360))*(실물목록!$R$2:$R$1001&lt;&gt;""))&gt;0,"확인필요(입력누락)",IF(SUMPRODUCT((실물목록!$P$2:$P$1001&lt;&gt;"")*ISNUMBER(SEARCH(실물목록!$P$2:$P$1001,I360))*(실물목록!$Q$2:$Q$1001&lt;&gt;"")*ISNUMBER(SEARCH(실물목록!$Q$2:$Q$1001,I360))*(실물목록!$R$2:$R$1001="")*(실물목록!$O$2:$O$1001&lt;&gt;""))&gt;0,"확인필요(연도다름)","실물 없음")))))</f>
      </c>
      <c r="G360" t="n" s="16">
        <f aca="0">IF(B360="","",SUMPRODUCT((실물목록!$P$2:$P$1001&lt;&gt;"")*ISNUMBER(SEARCH(실물목록!$P$2:$P$1001,I360))*(실물목록!$Q$2:$Q$1001&lt;&gt;"")*ISNUMBER(SEARCH(실물목록!$Q$2:$Q$1001,I360))*(실물목록!$R$2:$R$1001="")*(실물목록!$O$2:$O$1001&lt;&gt;"")*(실물목록!$O$2:$O$1001=H360)))</f>
      </c>
      <c r="H360" t="str">
        <f>IFERROR(IF(AND(LEN(SUBSTITUTE(SUBSTITUTE(SUBSTITUTE(TRIM(A360&amp;""),CHAR(160),"")," ",""),"년",""))=4,VALUE(SUBSTITUTE(SUBSTITUTE(SUBSTITUTE(TRIM(A360&amp;""),CHAR(160),"")," ",""),"년",""))&gt;=1900,VALUE(SUBSTITUTE(SUBSTITUTE(SUBSTITUTE(TRIM(A360&amp;""),CHAR(160),"")," ",""),"년",""))&lt;=2099,TEXT(VALUE(SUBSTITUTE(SUBSTITUTE(SUBSTITUTE(TRIM(A360&amp;""),CHAR(160),"")," ",""),"년","")),"0000")=SUBSTITUTE(SUBSTITUTE(SUBSTITUTE(TRIM(A360&amp;""),CHAR(160),"")," ",""),"년","")),SUBSTITUTE(SUBSTITUTE(SUBSTITUTE(TRIM(A360&amp;""),CHAR(160),"")," ",""),"년",""),""),"")</f>
      </c>
      <c r="I360" t="str">
        <f>SUBSTITUTE(SUBSTITUTE(SUBSTITUTE(SUBSTITUTE(SUBSTITUTE(TRIM(B360&amp;""),CHAR(160),"")," ",""),"초등학교","초"),"중학교","중"),"고등학교","고")</f>
      </c>
    </row>
    <row r="361" customFormat="false" ht="15" hidden="false" customHeight="false" outlineLevel="0" collapsed="false">
      <c r="A361" s="8"/>
      <c r="B361" s="8"/>
      <c r="C361" s="8"/>
      <c r="D361" s="8"/>
      <c r="E361" s="8"/>
      <c r="F361" t="str" s="15">
        <f aca="0">IF(B361="","",IF(H361="","확인필요(입력누락)",IF(SUMPRODUCT((실물목록!$P$2:$P$1001&lt;&gt;"")*ISNUMBER(SEARCH(실물목록!$P$2:$P$1001,I361))*(실물목록!$Q$2:$Q$1001&lt;&gt;"")*ISNUMBER(SEARCH(실물목록!$Q$2:$Q$1001,I361))*(실물목록!$R$2:$R$1001="")*(실물목록!$O$2:$O$1001&lt;&gt;"")*(실물목록!$O$2:$O$1001=H361))&gt;0,"실물 있음",IF(SUMPRODUCT((실물목록!$P$2:$P$1001&lt;&gt;"")*ISNUMBER(SEARCH(실물목록!$P$2:$P$1001,I361))*(실물목록!$R$2:$R$1001&lt;&gt;""))&gt;0,"확인필요(입력누락)",IF(SUMPRODUCT((실물목록!$P$2:$P$1001&lt;&gt;"")*ISNUMBER(SEARCH(실물목록!$P$2:$P$1001,I361))*(실물목록!$Q$2:$Q$1001&lt;&gt;"")*ISNUMBER(SEARCH(실물목록!$Q$2:$Q$1001,I361))*(실물목록!$R$2:$R$1001="")*(실물목록!$O$2:$O$1001&lt;&gt;""))&gt;0,"확인필요(연도다름)","실물 없음")))))</f>
      </c>
      <c r="G361" t="n" s="16">
        <f aca="0">IF(B361="","",SUMPRODUCT((실물목록!$P$2:$P$1001&lt;&gt;"")*ISNUMBER(SEARCH(실물목록!$P$2:$P$1001,I361))*(실물목록!$Q$2:$Q$1001&lt;&gt;"")*ISNUMBER(SEARCH(실물목록!$Q$2:$Q$1001,I361))*(실물목록!$R$2:$R$1001="")*(실물목록!$O$2:$O$1001&lt;&gt;"")*(실물목록!$O$2:$O$1001=H361)))</f>
      </c>
      <c r="H361" t="str">
        <f>IFERROR(IF(AND(LEN(SUBSTITUTE(SUBSTITUTE(SUBSTITUTE(TRIM(A361&amp;""),CHAR(160),"")," ",""),"년",""))=4,VALUE(SUBSTITUTE(SUBSTITUTE(SUBSTITUTE(TRIM(A361&amp;""),CHAR(160),"")," ",""),"년",""))&gt;=1900,VALUE(SUBSTITUTE(SUBSTITUTE(SUBSTITUTE(TRIM(A361&amp;""),CHAR(160),"")," ",""),"년",""))&lt;=2099,TEXT(VALUE(SUBSTITUTE(SUBSTITUTE(SUBSTITUTE(TRIM(A361&amp;""),CHAR(160),"")," ",""),"년","")),"0000")=SUBSTITUTE(SUBSTITUTE(SUBSTITUTE(TRIM(A361&amp;""),CHAR(160),"")," ",""),"년","")),SUBSTITUTE(SUBSTITUTE(SUBSTITUTE(TRIM(A361&amp;""),CHAR(160),"")," ",""),"년",""),""),"")</f>
      </c>
      <c r="I361" t="str">
        <f>SUBSTITUTE(SUBSTITUTE(SUBSTITUTE(SUBSTITUTE(SUBSTITUTE(TRIM(B361&amp;""),CHAR(160),"")," ",""),"초등학교","초"),"중학교","중"),"고등학교","고")</f>
      </c>
    </row>
    <row r="362" customFormat="false" ht="15" hidden="false" customHeight="false" outlineLevel="0" collapsed="false">
      <c r="A362" s="8"/>
      <c r="B362" s="8"/>
      <c r="C362" s="8"/>
      <c r="D362" s="8"/>
      <c r="E362" s="8"/>
      <c r="F362" t="str" s="15">
        <f aca="0">IF(B362="","",IF(H362="","확인필요(입력누락)",IF(SUMPRODUCT((실물목록!$P$2:$P$1001&lt;&gt;"")*ISNUMBER(SEARCH(실물목록!$P$2:$P$1001,I362))*(실물목록!$Q$2:$Q$1001&lt;&gt;"")*ISNUMBER(SEARCH(실물목록!$Q$2:$Q$1001,I362))*(실물목록!$R$2:$R$1001="")*(실물목록!$O$2:$O$1001&lt;&gt;"")*(실물목록!$O$2:$O$1001=H362))&gt;0,"실물 있음",IF(SUMPRODUCT((실물목록!$P$2:$P$1001&lt;&gt;"")*ISNUMBER(SEARCH(실물목록!$P$2:$P$1001,I362))*(실물목록!$R$2:$R$1001&lt;&gt;""))&gt;0,"확인필요(입력누락)",IF(SUMPRODUCT((실물목록!$P$2:$P$1001&lt;&gt;"")*ISNUMBER(SEARCH(실물목록!$P$2:$P$1001,I362))*(실물목록!$Q$2:$Q$1001&lt;&gt;"")*ISNUMBER(SEARCH(실물목록!$Q$2:$Q$1001,I362))*(실물목록!$R$2:$R$1001="")*(실물목록!$O$2:$O$1001&lt;&gt;""))&gt;0,"확인필요(연도다름)","실물 없음")))))</f>
      </c>
      <c r="G362" t="n" s="16">
        <f aca="0">IF(B362="","",SUMPRODUCT((실물목록!$P$2:$P$1001&lt;&gt;"")*ISNUMBER(SEARCH(실물목록!$P$2:$P$1001,I362))*(실물목록!$Q$2:$Q$1001&lt;&gt;"")*ISNUMBER(SEARCH(실물목록!$Q$2:$Q$1001,I362))*(실물목록!$R$2:$R$1001="")*(실물목록!$O$2:$O$1001&lt;&gt;"")*(실물목록!$O$2:$O$1001=H362)))</f>
      </c>
      <c r="H362" t="str">
        <f>IFERROR(IF(AND(LEN(SUBSTITUTE(SUBSTITUTE(SUBSTITUTE(TRIM(A362&amp;""),CHAR(160),"")," ",""),"년",""))=4,VALUE(SUBSTITUTE(SUBSTITUTE(SUBSTITUTE(TRIM(A362&amp;""),CHAR(160),"")," ",""),"년",""))&gt;=1900,VALUE(SUBSTITUTE(SUBSTITUTE(SUBSTITUTE(TRIM(A362&amp;""),CHAR(160),"")," ",""),"년",""))&lt;=2099,TEXT(VALUE(SUBSTITUTE(SUBSTITUTE(SUBSTITUTE(TRIM(A362&amp;""),CHAR(160),"")," ",""),"년","")),"0000")=SUBSTITUTE(SUBSTITUTE(SUBSTITUTE(TRIM(A362&amp;""),CHAR(160),"")," ",""),"년","")),SUBSTITUTE(SUBSTITUTE(SUBSTITUTE(TRIM(A362&amp;""),CHAR(160),"")," ",""),"년",""),""),"")</f>
      </c>
      <c r="I362" t="str">
        <f>SUBSTITUTE(SUBSTITUTE(SUBSTITUTE(SUBSTITUTE(SUBSTITUTE(TRIM(B362&amp;""),CHAR(160),"")," ",""),"초등학교","초"),"중학교","중"),"고등학교","고")</f>
      </c>
    </row>
    <row r="363" customFormat="false" ht="15" hidden="false" customHeight="false" outlineLevel="0" collapsed="false">
      <c r="A363" s="8"/>
      <c r="B363" s="8"/>
      <c r="C363" s="8"/>
      <c r="D363" s="8"/>
      <c r="E363" s="8"/>
      <c r="F363" t="str" s="15">
        <f aca="0">IF(B363="","",IF(H363="","확인필요(입력누락)",IF(SUMPRODUCT((실물목록!$P$2:$P$1001&lt;&gt;"")*ISNUMBER(SEARCH(실물목록!$P$2:$P$1001,I363))*(실물목록!$Q$2:$Q$1001&lt;&gt;"")*ISNUMBER(SEARCH(실물목록!$Q$2:$Q$1001,I363))*(실물목록!$R$2:$R$1001="")*(실물목록!$O$2:$O$1001&lt;&gt;"")*(실물목록!$O$2:$O$1001=H363))&gt;0,"실물 있음",IF(SUMPRODUCT((실물목록!$P$2:$P$1001&lt;&gt;"")*ISNUMBER(SEARCH(실물목록!$P$2:$P$1001,I363))*(실물목록!$R$2:$R$1001&lt;&gt;""))&gt;0,"확인필요(입력누락)",IF(SUMPRODUCT((실물목록!$P$2:$P$1001&lt;&gt;"")*ISNUMBER(SEARCH(실물목록!$P$2:$P$1001,I363))*(실물목록!$Q$2:$Q$1001&lt;&gt;"")*ISNUMBER(SEARCH(실물목록!$Q$2:$Q$1001,I363))*(실물목록!$R$2:$R$1001="")*(실물목록!$O$2:$O$1001&lt;&gt;""))&gt;0,"확인필요(연도다름)","실물 없음")))))</f>
      </c>
      <c r="G363" t="n" s="16">
        <f aca="0">IF(B363="","",SUMPRODUCT((실물목록!$P$2:$P$1001&lt;&gt;"")*ISNUMBER(SEARCH(실물목록!$P$2:$P$1001,I363))*(실물목록!$Q$2:$Q$1001&lt;&gt;"")*ISNUMBER(SEARCH(실물목록!$Q$2:$Q$1001,I363))*(실물목록!$R$2:$R$1001="")*(실물목록!$O$2:$O$1001&lt;&gt;"")*(실물목록!$O$2:$O$1001=H363)))</f>
      </c>
      <c r="H363" t="str">
        <f>IFERROR(IF(AND(LEN(SUBSTITUTE(SUBSTITUTE(SUBSTITUTE(TRIM(A363&amp;""),CHAR(160),"")," ",""),"년",""))=4,VALUE(SUBSTITUTE(SUBSTITUTE(SUBSTITUTE(TRIM(A363&amp;""),CHAR(160),"")," ",""),"년",""))&gt;=1900,VALUE(SUBSTITUTE(SUBSTITUTE(SUBSTITUTE(TRIM(A363&amp;""),CHAR(160),"")," ",""),"년",""))&lt;=2099,TEXT(VALUE(SUBSTITUTE(SUBSTITUTE(SUBSTITUTE(TRIM(A363&amp;""),CHAR(160),"")," ",""),"년","")),"0000")=SUBSTITUTE(SUBSTITUTE(SUBSTITUTE(TRIM(A363&amp;""),CHAR(160),"")," ",""),"년","")),SUBSTITUTE(SUBSTITUTE(SUBSTITUTE(TRIM(A363&amp;""),CHAR(160),"")," ",""),"년",""),""),"")</f>
      </c>
      <c r="I363" t="str">
        <f>SUBSTITUTE(SUBSTITUTE(SUBSTITUTE(SUBSTITUTE(SUBSTITUTE(TRIM(B363&amp;""),CHAR(160),"")," ",""),"초등학교","초"),"중학교","중"),"고등학교","고")</f>
      </c>
    </row>
    <row r="364" customFormat="false" ht="15" hidden="false" customHeight="false" outlineLevel="0" collapsed="false">
      <c r="A364" s="8"/>
      <c r="B364" s="8"/>
      <c r="C364" s="8"/>
      <c r="D364" s="8"/>
      <c r="E364" s="8"/>
      <c r="F364" t="str" s="15">
        <f aca="0">IF(B364="","",IF(H364="","확인필요(입력누락)",IF(SUMPRODUCT((실물목록!$P$2:$P$1001&lt;&gt;"")*ISNUMBER(SEARCH(실물목록!$P$2:$P$1001,I364))*(실물목록!$Q$2:$Q$1001&lt;&gt;"")*ISNUMBER(SEARCH(실물목록!$Q$2:$Q$1001,I364))*(실물목록!$R$2:$R$1001="")*(실물목록!$O$2:$O$1001&lt;&gt;"")*(실물목록!$O$2:$O$1001=H364))&gt;0,"실물 있음",IF(SUMPRODUCT((실물목록!$P$2:$P$1001&lt;&gt;"")*ISNUMBER(SEARCH(실물목록!$P$2:$P$1001,I364))*(실물목록!$R$2:$R$1001&lt;&gt;""))&gt;0,"확인필요(입력누락)",IF(SUMPRODUCT((실물목록!$P$2:$P$1001&lt;&gt;"")*ISNUMBER(SEARCH(실물목록!$P$2:$P$1001,I364))*(실물목록!$Q$2:$Q$1001&lt;&gt;"")*ISNUMBER(SEARCH(실물목록!$Q$2:$Q$1001,I364))*(실물목록!$R$2:$R$1001="")*(실물목록!$O$2:$O$1001&lt;&gt;""))&gt;0,"확인필요(연도다름)","실물 없음")))))</f>
      </c>
      <c r="G364" t="n" s="16">
        <f aca="0">IF(B364="","",SUMPRODUCT((실물목록!$P$2:$P$1001&lt;&gt;"")*ISNUMBER(SEARCH(실물목록!$P$2:$P$1001,I364))*(실물목록!$Q$2:$Q$1001&lt;&gt;"")*ISNUMBER(SEARCH(실물목록!$Q$2:$Q$1001,I364))*(실물목록!$R$2:$R$1001="")*(실물목록!$O$2:$O$1001&lt;&gt;"")*(실물목록!$O$2:$O$1001=H364)))</f>
      </c>
      <c r="H364" t="str">
        <f>IFERROR(IF(AND(LEN(SUBSTITUTE(SUBSTITUTE(SUBSTITUTE(TRIM(A364&amp;""),CHAR(160),"")," ",""),"년",""))=4,VALUE(SUBSTITUTE(SUBSTITUTE(SUBSTITUTE(TRIM(A364&amp;""),CHAR(160),"")," ",""),"년",""))&gt;=1900,VALUE(SUBSTITUTE(SUBSTITUTE(SUBSTITUTE(TRIM(A364&amp;""),CHAR(160),"")," ",""),"년",""))&lt;=2099,TEXT(VALUE(SUBSTITUTE(SUBSTITUTE(SUBSTITUTE(TRIM(A364&amp;""),CHAR(160),"")," ",""),"년","")),"0000")=SUBSTITUTE(SUBSTITUTE(SUBSTITUTE(TRIM(A364&amp;""),CHAR(160),"")," ",""),"년","")),SUBSTITUTE(SUBSTITUTE(SUBSTITUTE(TRIM(A364&amp;""),CHAR(160),"")," ",""),"년",""),""),"")</f>
      </c>
      <c r="I364" t="str">
        <f>SUBSTITUTE(SUBSTITUTE(SUBSTITUTE(SUBSTITUTE(SUBSTITUTE(TRIM(B364&amp;""),CHAR(160),"")," ",""),"초등학교","초"),"중학교","중"),"고등학교","고")</f>
      </c>
    </row>
    <row r="365" customFormat="false" ht="15" hidden="false" customHeight="false" outlineLevel="0" collapsed="false">
      <c r="A365" s="8"/>
      <c r="B365" s="8"/>
      <c r="C365" s="8"/>
      <c r="D365" s="8"/>
      <c r="E365" s="8"/>
      <c r="F365" t="str" s="15">
        <f aca="0">IF(B365="","",IF(H365="","확인필요(입력누락)",IF(SUMPRODUCT((실물목록!$P$2:$P$1001&lt;&gt;"")*ISNUMBER(SEARCH(실물목록!$P$2:$P$1001,I365))*(실물목록!$Q$2:$Q$1001&lt;&gt;"")*ISNUMBER(SEARCH(실물목록!$Q$2:$Q$1001,I365))*(실물목록!$R$2:$R$1001="")*(실물목록!$O$2:$O$1001&lt;&gt;"")*(실물목록!$O$2:$O$1001=H365))&gt;0,"실물 있음",IF(SUMPRODUCT((실물목록!$P$2:$P$1001&lt;&gt;"")*ISNUMBER(SEARCH(실물목록!$P$2:$P$1001,I365))*(실물목록!$R$2:$R$1001&lt;&gt;""))&gt;0,"확인필요(입력누락)",IF(SUMPRODUCT((실물목록!$P$2:$P$1001&lt;&gt;"")*ISNUMBER(SEARCH(실물목록!$P$2:$P$1001,I365))*(실물목록!$Q$2:$Q$1001&lt;&gt;"")*ISNUMBER(SEARCH(실물목록!$Q$2:$Q$1001,I365))*(실물목록!$R$2:$R$1001="")*(실물목록!$O$2:$O$1001&lt;&gt;""))&gt;0,"확인필요(연도다름)","실물 없음")))))</f>
      </c>
      <c r="G365" t="n" s="16">
        <f aca="0">IF(B365="","",SUMPRODUCT((실물목록!$P$2:$P$1001&lt;&gt;"")*ISNUMBER(SEARCH(실물목록!$P$2:$P$1001,I365))*(실물목록!$Q$2:$Q$1001&lt;&gt;"")*ISNUMBER(SEARCH(실물목록!$Q$2:$Q$1001,I365))*(실물목록!$R$2:$R$1001="")*(실물목록!$O$2:$O$1001&lt;&gt;"")*(실물목록!$O$2:$O$1001=H365)))</f>
      </c>
      <c r="H365" t="str">
        <f>IFERROR(IF(AND(LEN(SUBSTITUTE(SUBSTITUTE(SUBSTITUTE(TRIM(A365&amp;""),CHAR(160),"")," ",""),"년",""))=4,VALUE(SUBSTITUTE(SUBSTITUTE(SUBSTITUTE(TRIM(A365&amp;""),CHAR(160),"")," ",""),"년",""))&gt;=1900,VALUE(SUBSTITUTE(SUBSTITUTE(SUBSTITUTE(TRIM(A365&amp;""),CHAR(160),"")," ",""),"년",""))&lt;=2099,TEXT(VALUE(SUBSTITUTE(SUBSTITUTE(SUBSTITUTE(TRIM(A365&amp;""),CHAR(160),"")," ",""),"년","")),"0000")=SUBSTITUTE(SUBSTITUTE(SUBSTITUTE(TRIM(A365&amp;""),CHAR(160),"")," ",""),"년","")),SUBSTITUTE(SUBSTITUTE(SUBSTITUTE(TRIM(A365&amp;""),CHAR(160),"")," ",""),"년",""),""),"")</f>
      </c>
      <c r="I365" t="str">
        <f>SUBSTITUTE(SUBSTITUTE(SUBSTITUTE(SUBSTITUTE(SUBSTITUTE(TRIM(B365&amp;""),CHAR(160),"")," ",""),"초등학교","초"),"중학교","중"),"고등학교","고")</f>
      </c>
    </row>
    <row r="366" customFormat="false" ht="15" hidden="false" customHeight="false" outlineLevel="0" collapsed="false">
      <c r="A366" s="8"/>
      <c r="B366" s="8"/>
      <c r="C366" s="8"/>
      <c r="D366" s="8"/>
      <c r="E366" s="8"/>
      <c r="F366" t="str" s="15">
        <f aca="0">IF(B366="","",IF(H366="","확인필요(입력누락)",IF(SUMPRODUCT((실물목록!$P$2:$P$1001&lt;&gt;"")*ISNUMBER(SEARCH(실물목록!$P$2:$P$1001,I366))*(실물목록!$Q$2:$Q$1001&lt;&gt;"")*ISNUMBER(SEARCH(실물목록!$Q$2:$Q$1001,I366))*(실물목록!$R$2:$R$1001="")*(실물목록!$O$2:$O$1001&lt;&gt;"")*(실물목록!$O$2:$O$1001=H366))&gt;0,"실물 있음",IF(SUMPRODUCT((실물목록!$P$2:$P$1001&lt;&gt;"")*ISNUMBER(SEARCH(실물목록!$P$2:$P$1001,I366))*(실물목록!$R$2:$R$1001&lt;&gt;""))&gt;0,"확인필요(입력누락)",IF(SUMPRODUCT((실물목록!$P$2:$P$1001&lt;&gt;"")*ISNUMBER(SEARCH(실물목록!$P$2:$P$1001,I366))*(실물목록!$Q$2:$Q$1001&lt;&gt;"")*ISNUMBER(SEARCH(실물목록!$Q$2:$Q$1001,I366))*(실물목록!$R$2:$R$1001="")*(실물목록!$O$2:$O$1001&lt;&gt;""))&gt;0,"확인필요(연도다름)","실물 없음")))))</f>
      </c>
      <c r="G366" t="n" s="16">
        <f aca="0">IF(B366="","",SUMPRODUCT((실물목록!$P$2:$P$1001&lt;&gt;"")*ISNUMBER(SEARCH(실물목록!$P$2:$P$1001,I366))*(실물목록!$Q$2:$Q$1001&lt;&gt;"")*ISNUMBER(SEARCH(실물목록!$Q$2:$Q$1001,I366))*(실물목록!$R$2:$R$1001="")*(실물목록!$O$2:$O$1001&lt;&gt;"")*(실물목록!$O$2:$O$1001=H366)))</f>
      </c>
      <c r="H366" t="str">
        <f>IFERROR(IF(AND(LEN(SUBSTITUTE(SUBSTITUTE(SUBSTITUTE(TRIM(A366&amp;""),CHAR(160),"")," ",""),"년",""))=4,VALUE(SUBSTITUTE(SUBSTITUTE(SUBSTITUTE(TRIM(A366&amp;""),CHAR(160),"")," ",""),"년",""))&gt;=1900,VALUE(SUBSTITUTE(SUBSTITUTE(SUBSTITUTE(TRIM(A366&amp;""),CHAR(160),"")," ",""),"년",""))&lt;=2099,TEXT(VALUE(SUBSTITUTE(SUBSTITUTE(SUBSTITUTE(TRIM(A366&amp;""),CHAR(160),"")," ",""),"년","")),"0000")=SUBSTITUTE(SUBSTITUTE(SUBSTITUTE(TRIM(A366&amp;""),CHAR(160),"")," ",""),"년","")),SUBSTITUTE(SUBSTITUTE(SUBSTITUTE(TRIM(A366&amp;""),CHAR(160),"")," ",""),"년",""),""),"")</f>
      </c>
      <c r="I366" t="str">
        <f>SUBSTITUTE(SUBSTITUTE(SUBSTITUTE(SUBSTITUTE(SUBSTITUTE(TRIM(B366&amp;""),CHAR(160),"")," ",""),"초등학교","초"),"중학교","중"),"고등학교","고")</f>
      </c>
    </row>
    <row r="367" customFormat="false" ht="15" hidden="false" customHeight="false" outlineLevel="0" collapsed="false">
      <c r="A367" s="8"/>
      <c r="B367" s="8"/>
      <c r="C367" s="8"/>
      <c r="D367" s="8"/>
      <c r="E367" s="8"/>
      <c r="F367" t="str" s="15">
        <f aca="0">IF(B367="","",IF(H367="","확인필요(입력누락)",IF(SUMPRODUCT((실물목록!$P$2:$P$1001&lt;&gt;"")*ISNUMBER(SEARCH(실물목록!$P$2:$P$1001,I367))*(실물목록!$Q$2:$Q$1001&lt;&gt;"")*ISNUMBER(SEARCH(실물목록!$Q$2:$Q$1001,I367))*(실물목록!$R$2:$R$1001="")*(실물목록!$O$2:$O$1001&lt;&gt;"")*(실물목록!$O$2:$O$1001=H367))&gt;0,"실물 있음",IF(SUMPRODUCT((실물목록!$P$2:$P$1001&lt;&gt;"")*ISNUMBER(SEARCH(실물목록!$P$2:$P$1001,I367))*(실물목록!$R$2:$R$1001&lt;&gt;""))&gt;0,"확인필요(입력누락)",IF(SUMPRODUCT((실물목록!$P$2:$P$1001&lt;&gt;"")*ISNUMBER(SEARCH(실물목록!$P$2:$P$1001,I367))*(실물목록!$Q$2:$Q$1001&lt;&gt;"")*ISNUMBER(SEARCH(실물목록!$Q$2:$Q$1001,I367))*(실물목록!$R$2:$R$1001="")*(실물목록!$O$2:$O$1001&lt;&gt;""))&gt;0,"확인필요(연도다름)","실물 없음")))))</f>
      </c>
      <c r="G367" t="n" s="16">
        <f aca="0">IF(B367="","",SUMPRODUCT((실물목록!$P$2:$P$1001&lt;&gt;"")*ISNUMBER(SEARCH(실물목록!$P$2:$P$1001,I367))*(실물목록!$Q$2:$Q$1001&lt;&gt;"")*ISNUMBER(SEARCH(실물목록!$Q$2:$Q$1001,I367))*(실물목록!$R$2:$R$1001="")*(실물목록!$O$2:$O$1001&lt;&gt;"")*(실물목록!$O$2:$O$1001=H367)))</f>
      </c>
      <c r="H367" t="str">
        <f>IFERROR(IF(AND(LEN(SUBSTITUTE(SUBSTITUTE(SUBSTITUTE(TRIM(A367&amp;""),CHAR(160),"")," ",""),"년",""))=4,VALUE(SUBSTITUTE(SUBSTITUTE(SUBSTITUTE(TRIM(A367&amp;""),CHAR(160),"")," ",""),"년",""))&gt;=1900,VALUE(SUBSTITUTE(SUBSTITUTE(SUBSTITUTE(TRIM(A367&amp;""),CHAR(160),"")," ",""),"년",""))&lt;=2099,TEXT(VALUE(SUBSTITUTE(SUBSTITUTE(SUBSTITUTE(TRIM(A367&amp;""),CHAR(160),"")," ",""),"년","")),"0000")=SUBSTITUTE(SUBSTITUTE(SUBSTITUTE(TRIM(A367&amp;""),CHAR(160),"")," ",""),"년","")),SUBSTITUTE(SUBSTITUTE(SUBSTITUTE(TRIM(A367&amp;""),CHAR(160),"")," ",""),"년",""),""),"")</f>
      </c>
      <c r="I367" t="str">
        <f>SUBSTITUTE(SUBSTITUTE(SUBSTITUTE(SUBSTITUTE(SUBSTITUTE(TRIM(B367&amp;""),CHAR(160),"")," ",""),"초등학교","초"),"중학교","중"),"고등학교","고")</f>
      </c>
    </row>
    <row r="368" customFormat="false" ht="15" hidden="false" customHeight="false" outlineLevel="0" collapsed="false">
      <c r="A368" s="8"/>
      <c r="B368" s="8"/>
      <c r="C368" s="8"/>
      <c r="D368" s="8"/>
      <c r="E368" s="8"/>
      <c r="F368" t="str" s="15">
        <f aca="0">IF(B368="","",IF(H368="","확인필요(입력누락)",IF(SUMPRODUCT((실물목록!$P$2:$P$1001&lt;&gt;"")*ISNUMBER(SEARCH(실물목록!$P$2:$P$1001,I368))*(실물목록!$Q$2:$Q$1001&lt;&gt;"")*ISNUMBER(SEARCH(실물목록!$Q$2:$Q$1001,I368))*(실물목록!$R$2:$R$1001="")*(실물목록!$O$2:$O$1001&lt;&gt;"")*(실물목록!$O$2:$O$1001=H368))&gt;0,"실물 있음",IF(SUMPRODUCT((실물목록!$P$2:$P$1001&lt;&gt;"")*ISNUMBER(SEARCH(실물목록!$P$2:$P$1001,I368))*(실물목록!$R$2:$R$1001&lt;&gt;""))&gt;0,"확인필요(입력누락)",IF(SUMPRODUCT((실물목록!$P$2:$P$1001&lt;&gt;"")*ISNUMBER(SEARCH(실물목록!$P$2:$P$1001,I368))*(실물목록!$Q$2:$Q$1001&lt;&gt;"")*ISNUMBER(SEARCH(실물목록!$Q$2:$Q$1001,I368))*(실물목록!$R$2:$R$1001="")*(실물목록!$O$2:$O$1001&lt;&gt;""))&gt;0,"확인필요(연도다름)","실물 없음")))))</f>
      </c>
      <c r="G368" t="n" s="16">
        <f aca="0">IF(B368="","",SUMPRODUCT((실물목록!$P$2:$P$1001&lt;&gt;"")*ISNUMBER(SEARCH(실물목록!$P$2:$P$1001,I368))*(실물목록!$Q$2:$Q$1001&lt;&gt;"")*ISNUMBER(SEARCH(실물목록!$Q$2:$Q$1001,I368))*(실물목록!$R$2:$R$1001="")*(실물목록!$O$2:$O$1001&lt;&gt;"")*(실물목록!$O$2:$O$1001=H368)))</f>
      </c>
      <c r="H368" t="str">
        <f>IFERROR(IF(AND(LEN(SUBSTITUTE(SUBSTITUTE(SUBSTITUTE(TRIM(A368&amp;""),CHAR(160),"")," ",""),"년",""))=4,VALUE(SUBSTITUTE(SUBSTITUTE(SUBSTITUTE(TRIM(A368&amp;""),CHAR(160),"")," ",""),"년",""))&gt;=1900,VALUE(SUBSTITUTE(SUBSTITUTE(SUBSTITUTE(TRIM(A368&amp;""),CHAR(160),"")," ",""),"년",""))&lt;=2099,TEXT(VALUE(SUBSTITUTE(SUBSTITUTE(SUBSTITUTE(TRIM(A368&amp;""),CHAR(160),"")," ",""),"년","")),"0000")=SUBSTITUTE(SUBSTITUTE(SUBSTITUTE(TRIM(A368&amp;""),CHAR(160),"")," ",""),"년","")),SUBSTITUTE(SUBSTITUTE(SUBSTITUTE(TRIM(A368&amp;""),CHAR(160),"")," ",""),"년",""),""),"")</f>
      </c>
      <c r="I368" t="str">
        <f>SUBSTITUTE(SUBSTITUTE(SUBSTITUTE(SUBSTITUTE(SUBSTITUTE(TRIM(B368&amp;""),CHAR(160),"")," ",""),"초등학교","초"),"중학교","중"),"고등학교","고")</f>
      </c>
    </row>
    <row r="369" customFormat="false" ht="15" hidden="false" customHeight="false" outlineLevel="0" collapsed="false">
      <c r="A369" s="8"/>
      <c r="B369" s="8"/>
      <c r="C369" s="8"/>
      <c r="D369" s="8"/>
      <c r="E369" s="8"/>
      <c r="F369" t="str" s="15">
        <f aca="0">IF(B369="","",IF(H369="","확인필요(입력누락)",IF(SUMPRODUCT((실물목록!$P$2:$P$1001&lt;&gt;"")*ISNUMBER(SEARCH(실물목록!$P$2:$P$1001,I369))*(실물목록!$Q$2:$Q$1001&lt;&gt;"")*ISNUMBER(SEARCH(실물목록!$Q$2:$Q$1001,I369))*(실물목록!$R$2:$R$1001="")*(실물목록!$O$2:$O$1001&lt;&gt;"")*(실물목록!$O$2:$O$1001=H369))&gt;0,"실물 있음",IF(SUMPRODUCT((실물목록!$P$2:$P$1001&lt;&gt;"")*ISNUMBER(SEARCH(실물목록!$P$2:$P$1001,I369))*(실물목록!$R$2:$R$1001&lt;&gt;""))&gt;0,"확인필요(입력누락)",IF(SUMPRODUCT((실물목록!$P$2:$P$1001&lt;&gt;"")*ISNUMBER(SEARCH(실물목록!$P$2:$P$1001,I369))*(실물목록!$Q$2:$Q$1001&lt;&gt;"")*ISNUMBER(SEARCH(실물목록!$Q$2:$Q$1001,I369))*(실물목록!$R$2:$R$1001="")*(실물목록!$O$2:$O$1001&lt;&gt;""))&gt;0,"확인필요(연도다름)","실물 없음")))))</f>
      </c>
      <c r="G369" t="n" s="16">
        <f aca="0">IF(B369="","",SUMPRODUCT((실물목록!$P$2:$P$1001&lt;&gt;"")*ISNUMBER(SEARCH(실물목록!$P$2:$P$1001,I369))*(실물목록!$Q$2:$Q$1001&lt;&gt;"")*ISNUMBER(SEARCH(실물목록!$Q$2:$Q$1001,I369))*(실물목록!$R$2:$R$1001="")*(실물목록!$O$2:$O$1001&lt;&gt;"")*(실물목록!$O$2:$O$1001=H369)))</f>
      </c>
      <c r="H369" t="str">
        <f>IFERROR(IF(AND(LEN(SUBSTITUTE(SUBSTITUTE(SUBSTITUTE(TRIM(A369&amp;""),CHAR(160),"")," ",""),"년",""))=4,VALUE(SUBSTITUTE(SUBSTITUTE(SUBSTITUTE(TRIM(A369&amp;""),CHAR(160),"")," ",""),"년",""))&gt;=1900,VALUE(SUBSTITUTE(SUBSTITUTE(SUBSTITUTE(TRIM(A369&amp;""),CHAR(160),"")," ",""),"년",""))&lt;=2099,TEXT(VALUE(SUBSTITUTE(SUBSTITUTE(SUBSTITUTE(TRIM(A369&amp;""),CHAR(160),"")," ",""),"년","")),"0000")=SUBSTITUTE(SUBSTITUTE(SUBSTITUTE(TRIM(A369&amp;""),CHAR(160),"")," ",""),"년","")),SUBSTITUTE(SUBSTITUTE(SUBSTITUTE(TRIM(A369&amp;""),CHAR(160),"")," ",""),"년",""),""),"")</f>
      </c>
      <c r="I369" t="str">
        <f>SUBSTITUTE(SUBSTITUTE(SUBSTITUTE(SUBSTITUTE(SUBSTITUTE(TRIM(B369&amp;""),CHAR(160),"")," ",""),"초등학교","초"),"중학교","중"),"고등학교","고")</f>
      </c>
    </row>
    <row r="370" customFormat="false" ht="15" hidden="false" customHeight="false" outlineLevel="0" collapsed="false">
      <c r="A370" s="8"/>
      <c r="B370" s="8"/>
      <c r="C370" s="8"/>
      <c r="D370" s="8"/>
      <c r="E370" s="8"/>
      <c r="F370" t="str" s="15">
        <f aca="0">IF(B370="","",IF(H370="","확인필요(입력누락)",IF(SUMPRODUCT((실물목록!$P$2:$P$1001&lt;&gt;"")*ISNUMBER(SEARCH(실물목록!$P$2:$P$1001,I370))*(실물목록!$Q$2:$Q$1001&lt;&gt;"")*ISNUMBER(SEARCH(실물목록!$Q$2:$Q$1001,I370))*(실물목록!$R$2:$R$1001="")*(실물목록!$O$2:$O$1001&lt;&gt;"")*(실물목록!$O$2:$O$1001=H370))&gt;0,"실물 있음",IF(SUMPRODUCT((실물목록!$P$2:$P$1001&lt;&gt;"")*ISNUMBER(SEARCH(실물목록!$P$2:$P$1001,I370))*(실물목록!$R$2:$R$1001&lt;&gt;""))&gt;0,"확인필요(입력누락)",IF(SUMPRODUCT((실물목록!$P$2:$P$1001&lt;&gt;"")*ISNUMBER(SEARCH(실물목록!$P$2:$P$1001,I370))*(실물목록!$Q$2:$Q$1001&lt;&gt;"")*ISNUMBER(SEARCH(실물목록!$Q$2:$Q$1001,I370))*(실물목록!$R$2:$R$1001="")*(실물목록!$O$2:$O$1001&lt;&gt;""))&gt;0,"확인필요(연도다름)","실물 없음")))))</f>
      </c>
      <c r="G370" t="n" s="16">
        <f aca="0">IF(B370="","",SUMPRODUCT((실물목록!$P$2:$P$1001&lt;&gt;"")*ISNUMBER(SEARCH(실물목록!$P$2:$P$1001,I370))*(실물목록!$Q$2:$Q$1001&lt;&gt;"")*ISNUMBER(SEARCH(실물목록!$Q$2:$Q$1001,I370))*(실물목록!$R$2:$R$1001="")*(실물목록!$O$2:$O$1001&lt;&gt;"")*(실물목록!$O$2:$O$1001=H370)))</f>
      </c>
      <c r="H370" t="str">
        <f>IFERROR(IF(AND(LEN(SUBSTITUTE(SUBSTITUTE(SUBSTITUTE(TRIM(A370&amp;""),CHAR(160),"")," ",""),"년",""))=4,VALUE(SUBSTITUTE(SUBSTITUTE(SUBSTITUTE(TRIM(A370&amp;""),CHAR(160),"")," ",""),"년",""))&gt;=1900,VALUE(SUBSTITUTE(SUBSTITUTE(SUBSTITUTE(TRIM(A370&amp;""),CHAR(160),"")," ",""),"년",""))&lt;=2099,TEXT(VALUE(SUBSTITUTE(SUBSTITUTE(SUBSTITUTE(TRIM(A370&amp;""),CHAR(160),"")," ",""),"년","")),"0000")=SUBSTITUTE(SUBSTITUTE(SUBSTITUTE(TRIM(A370&amp;""),CHAR(160),"")," ",""),"년","")),SUBSTITUTE(SUBSTITUTE(SUBSTITUTE(TRIM(A370&amp;""),CHAR(160),"")," ",""),"년",""),""),"")</f>
      </c>
      <c r="I370" t="str">
        <f>SUBSTITUTE(SUBSTITUTE(SUBSTITUTE(SUBSTITUTE(SUBSTITUTE(TRIM(B370&amp;""),CHAR(160),"")," ",""),"초등학교","초"),"중학교","중"),"고등학교","고")</f>
      </c>
    </row>
    <row r="371" customFormat="false" ht="15" hidden="false" customHeight="false" outlineLevel="0" collapsed="false">
      <c r="A371" s="8"/>
      <c r="B371" s="8"/>
      <c r="C371" s="8"/>
      <c r="D371" s="8"/>
      <c r="E371" s="8"/>
      <c r="F371" t="str" s="15">
        <f aca="0">IF(B371="","",IF(H371="","확인필요(입력누락)",IF(SUMPRODUCT((실물목록!$P$2:$P$1001&lt;&gt;"")*ISNUMBER(SEARCH(실물목록!$P$2:$P$1001,I371))*(실물목록!$Q$2:$Q$1001&lt;&gt;"")*ISNUMBER(SEARCH(실물목록!$Q$2:$Q$1001,I371))*(실물목록!$R$2:$R$1001="")*(실물목록!$O$2:$O$1001&lt;&gt;"")*(실물목록!$O$2:$O$1001=H371))&gt;0,"실물 있음",IF(SUMPRODUCT((실물목록!$P$2:$P$1001&lt;&gt;"")*ISNUMBER(SEARCH(실물목록!$P$2:$P$1001,I371))*(실물목록!$R$2:$R$1001&lt;&gt;""))&gt;0,"확인필요(입력누락)",IF(SUMPRODUCT((실물목록!$P$2:$P$1001&lt;&gt;"")*ISNUMBER(SEARCH(실물목록!$P$2:$P$1001,I371))*(실물목록!$Q$2:$Q$1001&lt;&gt;"")*ISNUMBER(SEARCH(실물목록!$Q$2:$Q$1001,I371))*(실물목록!$R$2:$R$1001="")*(실물목록!$O$2:$O$1001&lt;&gt;""))&gt;0,"확인필요(연도다름)","실물 없음")))))</f>
      </c>
      <c r="G371" t="n" s="16">
        <f aca="0">IF(B371="","",SUMPRODUCT((실물목록!$P$2:$P$1001&lt;&gt;"")*ISNUMBER(SEARCH(실물목록!$P$2:$P$1001,I371))*(실물목록!$Q$2:$Q$1001&lt;&gt;"")*ISNUMBER(SEARCH(실물목록!$Q$2:$Q$1001,I371))*(실물목록!$R$2:$R$1001="")*(실물목록!$O$2:$O$1001&lt;&gt;"")*(실물목록!$O$2:$O$1001=H371)))</f>
      </c>
      <c r="H371" t="str">
        <f>IFERROR(IF(AND(LEN(SUBSTITUTE(SUBSTITUTE(SUBSTITUTE(TRIM(A371&amp;""),CHAR(160),"")," ",""),"년",""))=4,VALUE(SUBSTITUTE(SUBSTITUTE(SUBSTITUTE(TRIM(A371&amp;""),CHAR(160),"")," ",""),"년",""))&gt;=1900,VALUE(SUBSTITUTE(SUBSTITUTE(SUBSTITUTE(TRIM(A371&amp;""),CHAR(160),"")," ",""),"년",""))&lt;=2099,TEXT(VALUE(SUBSTITUTE(SUBSTITUTE(SUBSTITUTE(TRIM(A371&amp;""),CHAR(160),"")," ",""),"년","")),"0000")=SUBSTITUTE(SUBSTITUTE(SUBSTITUTE(TRIM(A371&amp;""),CHAR(160),"")," ",""),"년","")),SUBSTITUTE(SUBSTITUTE(SUBSTITUTE(TRIM(A371&amp;""),CHAR(160),"")," ",""),"년",""),""),"")</f>
      </c>
      <c r="I371" t="str">
        <f>SUBSTITUTE(SUBSTITUTE(SUBSTITUTE(SUBSTITUTE(SUBSTITUTE(TRIM(B371&amp;""),CHAR(160),"")," ",""),"초등학교","초"),"중학교","중"),"고등학교","고")</f>
      </c>
    </row>
    <row r="372" customFormat="false" ht="15" hidden="false" customHeight="false" outlineLevel="0" collapsed="false">
      <c r="A372" s="8"/>
      <c r="B372" s="8"/>
      <c r="C372" s="8"/>
      <c r="D372" s="8"/>
      <c r="E372" s="8"/>
      <c r="F372" t="str" s="15">
        <f aca="0">IF(B372="","",IF(H372="","확인필요(입력누락)",IF(SUMPRODUCT((실물목록!$P$2:$P$1001&lt;&gt;"")*ISNUMBER(SEARCH(실물목록!$P$2:$P$1001,I372))*(실물목록!$Q$2:$Q$1001&lt;&gt;"")*ISNUMBER(SEARCH(실물목록!$Q$2:$Q$1001,I372))*(실물목록!$R$2:$R$1001="")*(실물목록!$O$2:$O$1001&lt;&gt;"")*(실물목록!$O$2:$O$1001=H372))&gt;0,"실물 있음",IF(SUMPRODUCT((실물목록!$P$2:$P$1001&lt;&gt;"")*ISNUMBER(SEARCH(실물목록!$P$2:$P$1001,I372))*(실물목록!$R$2:$R$1001&lt;&gt;""))&gt;0,"확인필요(입력누락)",IF(SUMPRODUCT((실물목록!$P$2:$P$1001&lt;&gt;"")*ISNUMBER(SEARCH(실물목록!$P$2:$P$1001,I372))*(실물목록!$Q$2:$Q$1001&lt;&gt;"")*ISNUMBER(SEARCH(실물목록!$Q$2:$Q$1001,I372))*(실물목록!$R$2:$R$1001="")*(실물목록!$O$2:$O$1001&lt;&gt;""))&gt;0,"확인필요(연도다름)","실물 없음")))))</f>
      </c>
      <c r="G372" t="n" s="16">
        <f aca="0">IF(B372="","",SUMPRODUCT((실물목록!$P$2:$P$1001&lt;&gt;"")*ISNUMBER(SEARCH(실물목록!$P$2:$P$1001,I372))*(실물목록!$Q$2:$Q$1001&lt;&gt;"")*ISNUMBER(SEARCH(실물목록!$Q$2:$Q$1001,I372))*(실물목록!$R$2:$R$1001="")*(실물목록!$O$2:$O$1001&lt;&gt;"")*(실물목록!$O$2:$O$1001=H372)))</f>
      </c>
      <c r="H372" t="str">
        <f>IFERROR(IF(AND(LEN(SUBSTITUTE(SUBSTITUTE(SUBSTITUTE(TRIM(A372&amp;""),CHAR(160),"")," ",""),"년",""))=4,VALUE(SUBSTITUTE(SUBSTITUTE(SUBSTITUTE(TRIM(A372&amp;""),CHAR(160),"")," ",""),"년",""))&gt;=1900,VALUE(SUBSTITUTE(SUBSTITUTE(SUBSTITUTE(TRIM(A372&amp;""),CHAR(160),"")," ",""),"년",""))&lt;=2099,TEXT(VALUE(SUBSTITUTE(SUBSTITUTE(SUBSTITUTE(TRIM(A372&amp;""),CHAR(160),"")," ",""),"년","")),"0000")=SUBSTITUTE(SUBSTITUTE(SUBSTITUTE(TRIM(A372&amp;""),CHAR(160),"")," ",""),"년","")),SUBSTITUTE(SUBSTITUTE(SUBSTITUTE(TRIM(A372&amp;""),CHAR(160),"")," ",""),"년",""),""),"")</f>
      </c>
      <c r="I372" t="str">
        <f>SUBSTITUTE(SUBSTITUTE(SUBSTITUTE(SUBSTITUTE(SUBSTITUTE(TRIM(B372&amp;""),CHAR(160),"")," ",""),"초등학교","초"),"중학교","중"),"고등학교","고")</f>
      </c>
    </row>
    <row r="373" customFormat="false" ht="15" hidden="false" customHeight="false" outlineLevel="0" collapsed="false">
      <c r="A373" s="8"/>
      <c r="B373" s="8"/>
      <c r="C373" s="8"/>
      <c r="D373" s="8"/>
      <c r="E373" s="8"/>
      <c r="F373" t="str" s="15">
        <f aca="0">IF(B373="","",IF(H373="","확인필요(입력누락)",IF(SUMPRODUCT((실물목록!$P$2:$P$1001&lt;&gt;"")*ISNUMBER(SEARCH(실물목록!$P$2:$P$1001,I373))*(실물목록!$Q$2:$Q$1001&lt;&gt;"")*ISNUMBER(SEARCH(실물목록!$Q$2:$Q$1001,I373))*(실물목록!$R$2:$R$1001="")*(실물목록!$O$2:$O$1001&lt;&gt;"")*(실물목록!$O$2:$O$1001=H373))&gt;0,"실물 있음",IF(SUMPRODUCT((실물목록!$P$2:$P$1001&lt;&gt;"")*ISNUMBER(SEARCH(실물목록!$P$2:$P$1001,I373))*(실물목록!$R$2:$R$1001&lt;&gt;""))&gt;0,"확인필요(입력누락)",IF(SUMPRODUCT((실물목록!$P$2:$P$1001&lt;&gt;"")*ISNUMBER(SEARCH(실물목록!$P$2:$P$1001,I373))*(실물목록!$Q$2:$Q$1001&lt;&gt;"")*ISNUMBER(SEARCH(실물목록!$Q$2:$Q$1001,I373))*(실물목록!$R$2:$R$1001="")*(실물목록!$O$2:$O$1001&lt;&gt;""))&gt;0,"확인필요(연도다름)","실물 없음")))))</f>
      </c>
      <c r="G373" t="n" s="16">
        <f aca="0">IF(B373="","",SUMPRODUCT((실물목록!$P$2:$P$1001&lt;&gt;"")*ISNUMBER(SEARCH(실물목록!$P$2:$P$1001,I373))*(실물목록!$Q$2:$Q$1001&lt;&gt;"")*ISNUMBER(SEARCH(실물목록!$Q$2:$Q$1001,I373))*(실물목록!$R$2:$R$1001="")*(실물목록!$O$2:$O$1001&lt;&gt;"")*(실물목록!$O$2:$O$1001=H373)))</f>
      </c>
      <c r="H373" t="str">
        <f>IFERROR(IF(AND(LEN(SUBSTITUTE(SUBSTITUTE(SUBSTITUTE(TRIM(A373&amp;""),CHAR(160),"")," ",""),"년",""))=4,VALUE(SUBSTITUTE(SUBSTITUTE(SUBSTITUTE(TRIM(A373&amp;""),CHAR(160),"")," ",""),"년",""))&gt;=1900,VALUE(SUBSTITUTE(SUBSTITUTE(SUBSTITUTE(TRIM(A373&amp;""),CHAR(160),"")," ",""),"년",""))&lt;=2099,TEXT(VALUE(SUBSTITUTE(SUBSTITUTE(SUBSTITUTE(TRIM(A373&amp;""),CHAR(160),"")," ",""),"년","")),"0000")=SUBSTITUTE(SUBSTITUTE(SUBSTITUTE(TRIM(A373&amp;""),CHAR(160),"")," ",""),"년","")),SUBSTITUTE(SUBSTITUTE(SUBSTITUTE(TRIM(A373&amp;""),CHAR(160),"")," ",""),"년",""),""),"")</f>
      </c>
      <c r="I373" t="str">
        <f>SUBSTITUTE(SUBSTITUTE(SUBSTITUTE(SUBSTITUTE(SUBSTITUTE(TRIM(B373&amp;""),CHAR(160),"")," ",""),"초등학교","초"),"중학교","중"),"고등학교","고")</f>
      </c>
    </row>
    <row r="374" customFormat="false" ht="15" hidden="false" customHeight="false" outlineLevel="0" collapsed="false">
      <c r="A374" s="8"/>
      <c r="B374" s="8"/>
      <c r="C374" s="8"/>
      <c r="D374" s="8"/>
      <c r="E374" s="8"/>
      <c r="F374" t="str" s="15">
        <f aca="0">IF(B374="","",IF(H374="","확인필요(입력누락)",IF(SUMPRODUCT((실물목록!$P$2:$P$1001&lt;&gt;"")*ISNUMBER(SEARCH(실물목록!$P$2:$P$1001,I374))*(실물목록!$Q$2:$Q$1001&lt;&gt;"")*ISNUMBER(SEARCH(실물목록!$Q$2:$Q$1001,I374))*(실물목록!$R$2:$R$1001="")*(실물목록!$O$2:$O$1001&lt;&gt;"")*(실물목록!$O$2:$O$1001=H374))&gt;0,"실물 있음",IF(SUMPRODUCT((실물목록!$P$2:$P$1001&lt;&gt;"")*ISNUMBER(SEARCH(실물목록!$P$2:$P$1001,I374))*(실물목록!$R$2:$R$1001&lt;&gt;""))&gt;0,"확인필요(입력누락)",IF(SUMPRODUCT((실물목록!$P$2:$P$1001&lt;&gt;"")*ISNUMBER(SEARCH(실물목록!$P$2:$P$1001,I374))*(실물목록!$Q$2:$Q$1001&lt;&gt;"")*ISNUMBER(SEARCH(실물목록!$Q$2:$Q$1001,I374))*(실물목록!$R$2:$R$1001="")*(실물목록!$O$2:$O$1001&lt;&gt;""))&gt;0,"확인필요(연도다름)","실물 없음")))))</f>
      </c>
      <c r="G374" t="n" s="16">
        <f aca="0">IF(B374="","",SUMPRODUCT((실물목록!$P$2:$P$1001&lt;&gt;"")*ISNUMBER(SEARCH(실물목록!$P$2:$P$1001,I374))*(실물목록!$Q$2:$Q$1001&lt;&gt;"")*ISNUMBER(SEARCH(실물목록!$Q$2:$Q$1001,I374))*(실물목록!$R$2:$R$1001="")*(실물목록!$O$2:$O$1001&lt;&gt;"")*(실물목록!$O$2:$O$1001=H374)))</f>
      </c>
      <c r="H374" t="str">
        <f>IFERROR(IF(AND(LEN(SUBSTITUTE(SUBSTITUTE(SUBSTITUTE(TRIM(A374&amp;""),CHAR(160),"")," ",""),"년",""))=4,VALUE(SUBSTITUTE(SUBSTITUTE(SUBSTITUTE(TRIM(A374&amp;""),CHAR(160),"")," ",""),"년",""))&gt;=1900,VALUE(SUBSTITUTE(SUBSTITUTE(SUBSTITUTE(TRIM(A374&amp;""),CHAR(160),"")," ",""),"년",""))&lt;=2099,TEXT(VALUE(SUBSTITUTE(SUBSTITUTE(SUBSTITUTE(TRIM(A374&amp;""),CHAR(160),"")," ",""),"년","")),"0000")=SUBSTITUTE(SUBSTITUTE(SUBSTITUTE(TRIM(A374&amp;""),CHAR(160),"")," ",""),"년","")),SUBSTITUTE(SUBSTITUTE(SUBSTITUTE(TRIM(A374&amp;""),CHAR(160),"")," ",""),"년",""),""),"")</f>
      </c>
      <c r="I374" t="str">
        <f>SUBSTITUTE(SUBSTITUTE(SUBSTITUTE(SUBSTITUTE(SUBSTITUTE(TRIM(B374&amp;""),CHAR(160),"")," ",""),"초등학교","초"),"중학교","중"),"고등학교","고")</f>
      </c>
    </row>
    <row r="375" customFormat="false" ht="15" hidden="false" customHeight="false" outlineLevel="0" collapsed="false">
      <c r="A375" s="8"/>
      <c r="B375" s="8"/>
      <c r="C375" s="8"/>
      <c r="D375" s="8"/>
      <c r="E375" s="8"/>
      <c r="F375" t="str" s="15">
        <f aca="0">IF(B375="","",IF(H375="","확인필요(입력누락)",IF(SUMPRODUCT((실물목록!$P$2:$P$1001&lt;&gt;"")*ISNUMBER(SEARCH(실물목록!$P$2:$P$1001,I375))*(실물목록!$Q$2:$Q$1001&lt;&gt;"")*ISNUMBER(SEARCH(실물목록!$Q$2:$Q$1001,I375))*(실물목록!$R$2:$R$1001="")*(실물목록!$O$2:$O$1001&lt;&gt;"")*(실물목록!$O$2:$O$1001=H375))&gt;0,"실물 있음",IF(SUMPRODUCT((실물목록!$P$2:$P$1001&lt;&gt;"")*ISNUMBER(SEARCH(실물목록!$P$2:$P$1001,I375))*(실물목록!$R$2:$R$1001&lt;&gt;""))&gt;0,"확인필요(입력누락)",IF(SUMPRODUCT((실물목록!$P$2:$P$1001&lt;&gt;"")*ISNUMBER(SEARCH(실물목록!$P$2:$P$1001,I375))*(실물목록!$Q$2:$Q$1001&lt;&gt;"")*ISNUMBER(SEARCH(실물목록!$Q$2:$Q$1001,I375))*(실물목록!$R$2:$R$1001="")*(실물목록!$O$2:$O$1001&lt;&gt;""))&gt;0,"확인필요(연도다름)","실물 없음")))))</f>
      </c>
      <c r="G375" t="n" s="16">
        <f aca="0">IF(B375="","",SUMPRODUCT((실물목록!$P$2:$P$1001&lt;&gt;"")*ISNUMBER(SEARCH(실물목록!$P$2:$P$1001,I375))*(실물목록!$Q$2:$Q$1001&lt;&gt;"")*ISNUMBER(SEARCH(실물목록!$Q$2:$Q$1001,I375))*(실물목록!$R$2:$R$1001="")*(실물목록!$O$2:$O$1001&lt;&gt;"")*(실물목록!$O$2:$O$1001=H375)))</f>
      </c>
      <c r="H375" t="str">
        <f>IFERROR(IF(AND(LEN(SUBSTITUTE(SUBSTITUTE(SUBSTITUTE(TRIM(A375&amp;""),CHAR(160),"")," ",""),"년",""))=4,VALUE(SUBSTITUTE(SUBSTITUTE(SUBSTITUTE(TRIM(A375&amp;""),CHAR(160),"")," ",""),"년",""))&gt;=1900,VALUE(SUBSTITUTE(SUBSTITUTE(SUBSTITUTE(TRIM(A375&amp;""),CHAR(160),"")," ",""),"년",""))&lt;=2099,TEXT(VALUE(SUBSTITUTE(SUBSTITUTE(SUBSTITUTE(TRIM(A375&amp;""),CHAR(160),"")," ",""),"년","")),"0000")=SUBSTITUTE(SUBSTITUTE(SUBSTITUTE(TRIM(A375&amp;""),CHAR(160),"")," ",""),"년","")),SUBSTITUTE(SUBSTITUTE(SUBSTITUTE(TRIM(A375&amp;""),CHAR(160),"")," ",""),"년",""),""),"")</f>
      </c>
      <c r="I375" t="str">
        <f>SUBSTITUTE(SUBSTITUTE(SUBSTITUTE(SUBSTITUTE(SUBSTITUTE(TRIM(B375&amp;""),CHAR(160),"")," ",""),"초등학교","초"),"중학교","중"),"고등학교","고")</f>
      </c>
    </row>
    <row r="376" customFormat="false" ht="15" hidden="false" customHeight="false" outlineLevel="0" collapsed="false">
      <c r="A376" s="8"/>
      <c r="B376" s="8"/>
      <c r="C376" s="8"/>
      <c r="D376" s="8"/>
      <c r="E376" s="8"/>
      <c r="F376" t="str" s="15">
        <f aca="0">IF(B376="","",IF(H376="","확인필요(입력누락)",IF(SUMPRODUCT((실물목록!$P$2:$P$1001&lt;&gt;"")*ISNUMBER(SEARCH(실물목록!$P$2:$P$1001,I376))*(실물목록!$Q$2:$Q$1001&lt;&gt;"")*ISNUMBER(SEARCH(실물목록!$Q$2:$Q$1001,I376))*(실물목록!$R$2:$R$1001="")*(실물목록!$O$2:$O$1001&lt;&gt;"")*(실물목록!$O$2:$O$1001=H376))&gt;0,"실물 있음",IF(SUMPRODUCT((실물목록!$P$2:$P$1001&lt;&gt;"")*ISNUMBER(SEARCH(실물목록!$P$2:$P$1001,I376))*(실물목록!$R$2:$R$1001&lt;&gt;""))&gt;0,"확인필요(입력누락)",IF(SUMPRODUCT((실물목록!$P$2:$P$1001&lt;&gt;"")*ISNUMBER(SEARCH(실물목록!$P$2:$P$1001,I376))*(실물목록!$Q$2:$Q$1001&lt;&gt;"")*ISNUMBER(SEARCH(실물목록!$Q$2:$Q$1001,I376))*(실물목록!$R$2:$R$1001="")*(실물목록!$O$2:$O$1001&lt;&gt;""))&gt;0,"확인필요(연도다름)","실물 없음")))))</f>
      </c>
      <c r="G376" t="n" s="16">
        <f aca="0">IF(B376="","",SUMPRODUCT((실물목록!$P$2:$P$1001&lt;&gt;"")*ISNUMBER(SEARCH(실물목록!$P$2:$P$1001,I376))*(실물목록!$Q$2:$Q$1001&lt;&gt;"")*ISNUMBER(SEARCH(실물목록!$Q$2:$Q$1001,I376))*(실물목록!$R$2:$R$1001="")*(실물목록!$O$2:$O$1001&lt;&gt;"")*(실물목록!$O$2:$O$1001=H376)))</f>
      </c>
      <c r="H376" t="str">
        <f>IFERROR(IF(AND(LEN(SUBSTITUTE(SUBSTITUTE(SUBSTITUTE(TRIM(A376&amp;""),CHAR(160),"")," ",""),"년",""))=4,VALUE(SUBSTITUTE(SUBSTITUTE(SUBSTITUTE(TRIM(A376&amp;""),CHAR(160),"")," ",""),"년",""))&gt;=1900,VALUE(SUBSTITUTE(SUBSTITUTE(SUBSTITUTE(TRIM(A376&amp;""),CHAR(160),"")," ",""),"년",""))&lt;=2099,TEXT(VALUE(SUBSTITUTE(SUBSTITUTE(SUBSTITUTE(TRIM(A376&amp;""),CHAR(160),"")," ",""),"년","")),"0000")=SUBSTITUTE(SUBSTITUTE(SUBSTITUTE(TRIM(A376&amp;""),CHAR(160),"")," ",""),"년","")),SUBSTITUTE(SUBSTITUTE(SUBSTITUTE(TRIM(A376&amp;""),CHAR(160),"")," ",""),"년",""),""),"")</f>
      </c>
      <c r="I376" t="str">
        <f>SUBSTITUTE(SUBSTITUTE(SUBSTITUTE(SUBSTITUTE(SUBSTITUTE(TRIM(B376&amp;""),CHAR(160),"")," ",""),"초등학교","초"),"중학교","중"),"고등학교","고")</f>
      </c>
    </row>
    <row r="377" customFormat="false" ht="15" hidden="false" customHeight="false" outlineLevel="0" collapsed="false">
      <c r="A377" s="8"/>
      <c r="B377" s="8"/>
      <c r="C377" s="8"/>
      <c r="D377" s="8"/>
      <c r="E377" s="8"/>
      <c r="F377" t="str" s="15">
        <f aca="0">IF(B377="","",IF(H377="","확인필요(입력누락)",IF(SUMPRODUCT((실물목록!$P$2:$P$1001&lt;&gt;"")*ISNUMBER(SEARCH(실물목록!$P$2:$P$1001,I377))*(실물목록!$Q$2:$Q$1001&lt;&gt;"")*ISNUMBER(SEARCH(실물목록!$Q$2:$Q$1001,I377))*(실물목록!$R$2:$R$1001="")*(실물목록!$O$2:$O$1001&lt;&gt;"")*(실물목록!$O$2:$O$1001=H377))&gt;0,"실물 있음",IF(SUMPRODUCT((실물목록!$P$2:$P$1001&lt;&gt;"")*ISNUMBER(SEARCH(실물목록!$P$2:$P$1001,I377))*(실물목록!$R$2:$R$1001&lt;&gt;""))&gt;0,"확인필요(입력누락)",IF(SUMPRODUCT((실물목록!$P$2:$P$1001&lt;&gt;"")*ISNUMBER(SEARCH(실물목록!$P$2:$P$1001,I377))*(실물목록!$Q$2:$Q$1001&lt;&gt;"")*ISNUMBER(SEARCH(실물목록!$Q$2:$Q$1001,I377))*(실물목록!$R$2:$R$1001="")*(실물목록!$O$2:$O$1001&lt;&gt;""))&gt;0,"확인필요(연도다름)","실물 없음")))))</f>
      </c>
      <c r="G377" t="n" s="16">
        <f aca="0">IF(B377="","",SUMPRODUCT((실물목록!$P$2:$P$1001&lt;&gt;"")*ISNUMBER(SEARCH(실물목록!$P$2:$P$1001,I377))*(실물목록!$Q$2:$Q$1001&lt;&gt;"")*ISNUMBER(SEARCH(실물목록!$Q$2:$Q$1001,I377))*(실물목록!$R$2:$R$1001="")*(실물목록!$O$2:$O$1001&lt;&gt;"")*(실물목록!$O$2:$O$1001=H377)))</f>
      </c>
      <c r="H377" t="str">
        <f>IFERROR(IF(AND(LEN(SUBSTITUTE(SUBSTITUTE(SUBSTITUTE(TRIM(A377&amp;""),CHAR(160),"")," ",""),"년",""))=4,VALUE(SUBSTITUTE(SUBSTITUTE(SUBSTITUTE(TRIM(A377&amp;""),CHAR(160),"")," ",""),"년",""))&gt;=1900,VALUE(SUBSTITUTE(SUBSTITUTE(SUBSTITUTE(TRIM(A377&amp;""),CHAR(160),"")," ",""),"년",""))&lt;=2099,TEXT(VALUE(SUBSTITUTE(SUBSTITUTE(SUBSTITUTE(TRIM(A377&amp;""),CHAR(160),"")," ",""),"년","")),"0000")=SUBSTITUTE(SUBSTITUTE(SUBSTITUTE(TRIM(A377&amp;""),CHAR(160),"")," ",""),"년","")),SUBSTITUTE(SUBSTITUTE(SUBSTITUTE(TRIM(A377&amp;""),CHAR(160),"")," ",""),"년",""),""),"")</f>
      </c>
      <c r="I377" t="str">
        <f>SUBSTITUTE(SUBSTITUTE(SUBSTITUTE(SUBSTITUTE(SUBSTITUTE(TRIM(B377&amp;""),CHAR(160),"")," ",""),"초등학교","초"),"중학교","중"),"고등학교","고")</f>
      </c>
    </row>
    <row r="378" customFormat="false" ht="15" hidden="false" customHeight="false" outlineLevel="0" collapsed="false">
      <c r="A378" s="8"/>
      <c r="B378" s="8"/>
      <c r="C378" s="8"/>
      <c r="D378" s="8"/>
      <c r="E378" s="8"/>
      <c r="F378" t="str" s="15">
        <f aca="0">IF(B378="","",IF(H378="","확인필요(입력누락)",IF(SUMPRODUCT((실물목록!$P$2:$P$1001&lt;&gt;"")*ISNUMBER(SEARCH(실물목록!$P$2:$P$1001,I378))*(실물목록!$Q$2:$Q$1001&lt;&gt;"")*ISNUMBER(SEARCH(실물목록!$Q$2:$Q$1001,I378))*(실물목록!$R$2:$R$1001="")*(실물목록!$O$2:$O$1001&lt;&gt;"")*(실물목록!$O$2:$O$1001=H378))&gt;0,"실물 있음",IF(SUMPRODUCT((실물목록!$P$2:$P$1001&lt;&gt;"")*ISNUMBER(SEARCH(실물목록!$P$2:$P$1001,I378))*(실물목록!$R$2:$R$1001&lt;&gt;""))&gt;0,"확인필요(입력누락)",IF(SUMPRODUCT((실물목록!$P$2:$P$1001&lt;&gt;"")*ISNUMBER(SEARCH(실물목록!$P$2:$P$1001,I378))*(실물목록!$Q$2:$Q$1001&lt;&gt;"")*ISNUMBER(SEARCH(실물목록!$Q$2:$Q$1001,I378))*(실물목록!$R$2:$R$1001="")*(실물목록!$O$2:$O$1001&lt;&gt;""))&gt;0,"확인필요(연도다름)","실물 없음")))))</f>
      </c>
      <c r="G378" t="n" s="16">
        <f aca="0">IF(B378="","",SUMPRODUCT((실물목록!$P$2:$P$1001&lt;&gt;"")*ISNUMBER(SEARCH(실물목록!$P$2:$P$1001,I378))*(실물목록!$Q$2:$Q$1001&lt;&gt;"")*ISNUMBER(SEARCH(실물목록!$Q$2:$Q$1001,I378))*(실물목록!$R$2:$R$1001="")*(실물목록!$O$2:$O$1001&lt;&gt;"")*(실물목록!$O$2:$O$1001=H378)))</f>
      </c>
      <c r="H378" t="str">
        <f>IFERROR(IF(AND(LEN(SUBSTITUTE(SUBSTITUTE(SUBSTITUTE(TRIM(A378&amp;""),CHAR(160),"")," ",""),"년",""))=4,VALUE(SUBSTITUTE(SUBSTITUTE(SUBSTITUTE(TRIM(A378&amp;""),CHAR(160),"")," ",""),"년",""))&gt;=1900,VALUE(SUBSTITUTE(SUBSTITUTE(SUBSTITUTE(TRIM(A378&amp;""),CHAR(160),"")," ",""),"년",""))&lt;=2099,TEXT(VALUE(SUBSTITUTE(SUBSTITUTE(SUBSTITUTE(TRIM(A378&amp;""),CHAR(160),"")," ",""),"년","")),"0000")=SUBSTITUTE(SUBSTITUTE(SUBSTITUTE(TRIM(A378&amp;""),CHAR(160),"")," ",""),"년","")),SUBSTITUTE(SUBSTITUTE(SUBSTITUTE(TRIM(A378&amp;""),CHAR(160),"")," ",""),"년",""),""),"")</f>
      </c>
      <c r="I378" t="str">
        <f>SUBSTITUTE(SUBSTITUTE(SUBSTITUTE(SUBSTITUTE(SUBSTITUTE(TRIM(B378&amp;""),CHAR(160),"")," ",""),"초등학교","초"),"중학교","중"),"고등학교","고")</f>
      </c>
    </row>
    <row r="379" customFormat="false" ht="15" hidden="false" customHeight="false" outlineLevel="0" collapsed="false">
      <c r="A379" s="8"/>
      <c r="B379" s="8"/>
      <c r="C379" s="8"/>
      <c r="D379" s="8"/>
      <c r="E379" s="8"/>
      <c r="F379" t="str" s="15">
        <f aca="0">IF(B379="","",IF(H379="","확인필요(입력누락)",IF(SUMPRODUCT((실물목록!$P$2:$P$1001&lt;&gt;"")*ISNUMBER(SEARCH(실물목록!$P$2:$P$1001,I379))*(실물목록!$Q$2:$Q$1001&lt;&gt;"")*ISNUMBER(SEARCH(실물목록!$Q$2:$Q$1001,I379))*(실물목록!$R$2:$R$1001="")*(실물목록!$O$2:$O$1001&lt;&gt;"")*(실물목록!$O$2:$O$1001=H379))&gt;0,"실물 있음",IF(SUMPRODUCT((실물목록!$P$2:$P$1001&lt;&gt;"")*ISNUMBER(SEARCH(실물목록!$P$2:$P$1001,I379))*(실물목록!$R$2:$R$1001&lt;&gt;""))&gt;0,"확인필요(입력누락)",IF(SUMPRODUCT((실물목록!$P$2:$P$1001&lt;&gt;"")*ISNUMBER(SEARCH(실물목록!$P$2:$P$1001,I379))*(실물목록!$Q$2:$Q$1001&lt;&gt;"")*ISNUMBER(SEARCH(실물목록!$Q$2:$Q$1001,I379))*(실물목록!$R$2:$R$1001="")*(실물목록!$O$2:$O$1001&lt;&gt;""))&gt;0,"확인필요(연도다름)","실물 없음")))))</f>
      </c>
      <c r="G379" t="n" s="16">
        <f aca="0">IF(B379="","",SUMPRODUCT((실물목록!$P$2:$P$1001&lt;&gt;"")*ISNUMBER(SEARCH(실물목록!$P$2:$P$1001,I379))*(실물목록!$Q$2:$Q$1001&lt;&gt;"")*ISNUMBER(SEARCH(실물목록!$Q$2:$Q$1001,I379))*(실물목록!$R$2:$R$1001="")*(실물목록!$O$2:$O$1001&lt;&gt;"")*(실물목록!$O$2:$O$1001=H379)))</f>
      </c>
      <c r="H379" t="str">
        <f>IFERROR(IF(AND(LEN(SUBSTITUTE(SUBSTITUTE(SUBSTITUTE(TRIM(A379&amp;""),CHAR(160),"")," ",""),"년",""))=4,VALUE(SUBSTITUTE(SUBSTITUTE(SUBSTITUTE(TRIM(A379&amp;""),CHAR(160),"")," ",""),"년",""))&gt;=1900,VALUE(SUBSTITUTE(SUBSTITUTE(SUBSTITUTE(TRIM(A379&amp;""),CHAR(160),"")," ",""),"년",""))&lt;=2099,TEXT(VALUE(SUBSTITUTE(SUBSTITUTE(SUBSTITUTE(TRIM(A379&amp;""),CHAR(160),"")," ",""),"년","")),"0000")=SUBSTITUTE(SUBSTITUTE(SUBSTITUTE(TRIM(A379&amp;""),CHAR(160),"")," ",""),"년","")),SUBSTITUTE(SUBSTITUTE(SUBSTITUTE(TRIM(A379&amp;""),CHAR(160),"")," ",""),"년",""),""),"")</f>
      </c>
      <c r="I379" t="str">
        <f>SUBSTITUTE(SUBSTITUTE(SUBSTITUTE(SUBSTITUTE(SUBSTITUTE(TRIM(B379&amp;""),CHAR(160),"")," ",""),"초등학교","초"),"중학교","중"),"고등학교","고")</f>
      </c>
    </row>
    <row r="380" customFormat="false" ht="15" hidden="false" customHeight="false" outlineLevel="0" collapsed="false">
      <c r="A380" s="8"/>
      <c r="B380" s="8"/>
      <c r="C380" s="8"/>
      <c r="D380" s="8"/>
      <c r="E380" s="8"/>
      <c r="F380" t="str" s="15">
        <f aca="0">IF(B380="","",IF(H380="","확인필요(입력누락)",IF(SUMPRODUCT((실물목록!$P$2:$P$1001&lt;&gt;"")*ISNUMBER(SEARCH(실물목록!$P$2:$P$1001,I380))*(실물목록!$Q$2:$Q$1001&lt;&gt;"")*ISNUMBER(SEARCH(실물목록!$Q$2:$Q$1001,I380))*(실물목록!$R$2:$R$1001="")*(실물목록!$O$2:$O$1001&lt;&gt;"")*(실물목록!$O$2:$O$1001=H380))&gt;0,"실물 있음",IF(SUMPRODUCT((실물목록!$P$2:$P$1001&lt;&gt;"")*ISNUMBER(SEARCH(실물목록!$P$2:$P$1001,I380))*(실물목록!$R$2:$R$1001&lt;&gt;""))&gt;0,"확인필요(입력누락)",IF(SUMPRODUCT((실물목록!$P$2:$P$1001&lt;&gt;"")*ISNUMBER(SEARCH(실물목록!$P$2:$P$1001,I380))*(실물목록!$Q$2:$Q$1001&lt;&gt;"")*ISNUMBER(SEARCH(실물목록!$Q$2:$Q$1001,I380))*(실물목록!$R$2:$R$1001="")*(실물목록!$O$2:$O$1001&lt;&gt;""))&gt;0,"확인필요(연도다름)","실물 없음")))))</f>
      </c>
      <c r="G380" t="n" s="16">
        <f aca="0">IF(B380="","",SUMPRODUCT((실물목록!$P$2:$P$1001&lt;&gt;"")*ISNUMBER(SEARCH(실물목록!$P$2:$P$1001,I380))*(실물목록!$Q$2:$Q$1001&lt;&gt;"")*ISNUMBER(SEARCH(실물목록!$Q$2:$Q$1001,I380))*(실물목록!$R$2:$R$1001="")*(실물목록!$O$2:$O$1001&lt;&gt;"")*(실물목록!$O$2:$O$1001=H380)))</f>
      </c>
      <c r="H380" t="str">
        <f>IFERROR(IF(AND(LEN(SUBSTITUTE(SUBSTITUTE(SUBSTITUTE(TRIM(A380&amp;""),CHAR(160),"")," ",""),"년",""))=4,VALUE(SUBSTITUTE(SUBSTITUTE(SUBSTITUTE(TRIM(A380&amp;""),CHAR(160),"")," ",""),"년",""))&gt;=1900,VALUE(SUBSTITUTE(SUBSTITUTE(SUBSTITUTE(TRIM(A380&amp;""),CHAR(160),"")," ",""),"년",""))&lt;=2099,TEXT(VALUE(SUBSTITUTE(SUBSTITUTE(SUBSTITUTE(TRIM(A380&amp;""),CHAR(160),"")," ",""),"년","")),"0000")=SUBSTITUTE(SUBSTITUTE(SUBSTITUTE(TRIM(A380&amp;""),CHAR(160),"")," ",""),"년","")),SUBSTITUTE(SUBSTITUTE(SUBSTITUTE(TRIM(A380&amp;""),CHAR(160),"")," ",""),"년",""),""),"")</f>
      </c>
      <c r="I380" t="str">
        <f>SUBSTITUTE(SUBSTITUTE(SUBSTITUTE(SUBSTITUTE(SUBSTITUTE(TRIM(B380&amp;""),CHAR(160),"")," ",""),"초등학교","초"),"중학교","중"),"고등학교","고")</f>
      </c>
    </row>
    <row r="381" customFormat="false" ht="15" hidden="false" customHeight="false" outlineLevel="0" collapsed="false">
      <c r="A381" s="8"/>
      <c r="B381" s="8"/>
      <c r="C381" s="8"/>
      <c r="D381" s="8"/>
      <c r="E381" s="8"/>
      <c r="F381" t="str" s="15">
        <f aca="0">IF(B381="","",IF(H381="","확인필요(입력누락)",IF(SUMPRODUCT((실물목록!$P$2:$P$1001&lt;&gt;"")*ISNUMBER(SEARCH(실물목록!$P$2:$P$1001,I381))*(실물목록!$Q$2:$Q$1001&lt;&gt;"")*ISNUMBER(SEARCH(실물목록!$Q$2:$Q$1001,I381))*(실물목록!$R$2:$R$1001="")*(실물목록!$O$2:$O$1001&lt;&gt;"")*(실물목록!$O$2:$O$1001=H381))&gt;0,"실물 있음",IF(SUMPRODUCT((실물목록!$P$2:$P$1001&lt;&gt;"")*ISNUMBER(SEARCH(실물목록!$P$2:$P$1001,I381))*(실물목록!$R$2:$R$1001&lt;&gt;""))&gt;0,"확인필요(입력누락)",IF(SUMPRODUCT((실물목록!$P$2:$P$1001&lt;&gt;"")*ISNUMBER(SEARCH(실물목록!$P$2:$P$1001,I381))*(실물목록!$Q$2:$Q$1001&lt;&gt;"")*ISNUMBER(SEARCH(실물목록!$Q$2:$Q$1001,I381))*(실물목록!$R$2:$R$1001="")*(실물목록!$O$2:$O$1001&lt;&gt;""))&gt;0,"확인필요(연도다름)","실물 없음")))))</f>
      </c>
      <c r="G381" t="n" s="16">
        <f aca="0">IF(B381="","",SUMPRODUCT((실물목록!$P$2:$P$1001&lt;&gt;"")*ISNUMBER(SEARCH(실물목록!$P$2:$P$1001,I381))*(실물목록!$Q$2:$Q$1001&lt;&gt;"")*ISNUMBER(SEARCH(실물목록!$Q$2:$Q$1001,I381))*(실물목록!$R$2:$R$1001="")*(실물목록!$O$2:$O$1001&lt;&gt;"")*(실물목록!$O$2:$O$1001=H381)))</f>
      </c>
      <c r="H381" t="str">
        <f>IFERROR(IF(AND(LEN(SUBSTITUTE(SUBSTITUTE(SUBSTITUTE(TRIM(A381&amp;""),CHAR(160),"")," ",""),"년",""))=4,VALUE(SUBSTITUTE(SUBSTITUTE(SUBSTITUTE(TRIM(A381&amp;""),CHAR(160),"")," ",""),"년",""))&gt;=1900,VALUE(SUBSTITUTE(SUBSTITUTE(SUBSTITUTE(TRIM(A381&amp;""),CHAR(160),"")," ",""),"년",""))&lt;=2099,TEXT(VALUE(SUBSTITUTE(SUBSTITUTE(SUBSTITUTE(TRIM(A381&amp;""),CHAR(160),"")," ",""),"년","")),"0000")=SUBSTITUTE(SUBSTITUTE(SUBSTITUTE(TRIM(A381&amp;""),CHAR(160),"")," ",""),"년","")),SUBSTITUTE(SUBSTITUTE(SUBSTITUTE(TRIM(A381&amp;""),CHAR(160),"")," ",""),"년",""),""),"")</f>
      </c>
      <c r="I381" t="str">
        <f>SUBSTITUTE(SUBSTITUTE(SUBSTITUTE(SUBSTITUTE(SUBSTITUTE(TRIM(B381&amp;""),CHAR(160),"")," ",""),"초등학교","초"),"중학교","중"),"고등학교","고")</f>
      </c>
    </row>
    <row r="382" customFormat="false" ht="15" hidden="false" customHeight="false" outlineLevel="0" collapsed="false">
      <c r="A382" s="8"/>
      <c r="B382" s="8"/>
      <c r="C382" s="8"/>
      <c r="D382" s="8"/>
      <c r="E382" s="8"/>
      <c r="F382" t="str" s="15">
        <f aca="0">IF(B382="","",IF(H382="","확인필요(입력누락)",IF(SUMPRODUCT((실물목록!$P$2:$P$1001&lt;&gt;"")*ISNUMBER(SEARCH(실물목록!$P$2:$P$1001,I382))*(실물목록!$Q$2:$Q$1001&lt;&gt;"")*ISNUMBER(SEARCH(실물목록!$Q$2:$Q$1001,I382))*(실물목록!$R$2:$R$1001="")*(실물목록!$O$2:$O$1001&lt;&gt;"")*(실물목록!$O$2:$O$1001=H382))&gt;0,"실물 있음",IF(SUMPRODUCT((실물목록!$P$2:$P$1001&lt;&gt;"")*ISNUMBER(SEARCH(실물목록!$P$2:$P$1001,I382))*(실물목록!$R$2:$R$1001&lt;&gt;""))&gt;0,"확인필요(입력누락)",IF(SUMPRODUCT((실물목록!$P$2:$P$1001&lt;&gt;"")*ISNUMBER(SEARCH(실물목록!$P$2:$P$1001,I382))*(실물목록!$Q$2:$Q$1001&lt;&gt;"")*ISNUMBER(SEARCH(실물목록!$Q$2:$Q$1001,I382))*(실물목록!$R$2:$R$1001="")*(실물목록!$O$2:$O$1001&lt;&gt;""))&gt;0,"확인필요(연도다름)","실물 없음")))))</f>
      </c>
      <c r="G382" t="n" s="16">
        <f aca="0">IF(B382="","",SUMPRODUCT((실물목록!$P$2:$P$1001&lt;&gt;"")*ISNUMBER(SEARCH(실물목록!$P$2:$P$1001,I382))*(실물목록!$Q$2:$Q$1001&lt;&gt;"")*ISNUMBER(SEARCH(실물목록!$Q$2:$Q$1001,I382))*(실물목록!$R$2:$R$1001="")*(실물목록!$O$2:$O$1001&lt;&gt;"")*(실물목록!$O$2:$O$1001=H382)))</f>
      </c>
      <c r="H382" t="str">
        <f>IFERROR(IF(AND(LEN(SUBSTITUTE(SUBSTITUTE(SUBSTITUTE(TRIM(A382&amp;""),CHAR(160),"")," ",""),"년",""))=4,VALUE(SUBSTITUTE(SUBSTITUTE(SUBSTITUTE(TRIM(A382&amp;""),CHAR(160),"")," ",""),"년",""))&gt;=1900,VALUE(SUBSTITUTE(SUBSTITUTE(SUBSTITUTE(TRIM(A382&amp;""),CHAR(160),"")," ",""),"년",""))&lt;=2099,TEXT(VALUE(SUBSTITUTE(SUBSTITUTE(SUBSTITUTE(TRIM(A382&amp;""),CHAR(160),"")," ",""),"년","")),"0000")=SUBSTITUTE(SUBSTITUTE(SUBSTITUTE(TRIM(A382&amp;""),CHAR(160),"")," ",""),"년","")),SUBSTITUTE(SUBSTITUTE(SUBSTITUTE(TRIM(A382&amp;""),CHAR(160),"")," ",""),"년",""),""),"")</f>
      </c>
      <c r="I382" t="str">
        <f>SUBSTITUTE(SUBSTITUTE(SUBSTITUTE(SUBSTITUTE(SUBSTITUTE(TRIM(B382&amp;""),CHAR(160),"")," ",""),"초등학교","초"),"중학교","중"),"고등학교","고")</f>
      </c>
    </row>
    <row r="383" customFormat="false" ht="15" hidden="false" customHeight="false" outlineLevel="0" collapsed="false">
      <c r="A383" s="8"/>
      <c r="B383" s="8"/>
      <c r="C383" s="8"/>
      <c r="D383" s="8"/>
      <c r="E383" s="8"/>
      <c r="F383" t="str" s="15">
        <f aca="0">IF(B383="","",IF(H383="","확인필요(입력누락)",IF(SUMPRODUCT((실물목록!$P$2:$P$1001&lt;&gt;"")*ISNUMBER(SEARCH(실물목록!$P$2:$P$1001,I383))*(실물목록!$Q$2:$Q$1001&lt;&gt;"")*ISNUMBER(SEARCH(실물목록!$Q$2:$Q$1001,I383))*(실물목록!$R$2:$R$1001="")*(실물목록!$O$2:$O$1001&lt;&gt;"")*(실물목록!$O$2:$O$1001=H383))&gt;0,"실물 있음",IF(SUMPRODUCT((실물목록!$P$2:$P$1001&lt;&gt;"")*ISNUMBER(SEARCH(실물목록!$P$2:$P$1001,I383))*(실물목록!$R$2:$R$1001&lt;&gt;""))&gt;0,"확인필요(입력누락)",IF(SUMPRODUCT((실물목록!$P$2:$P$1001&lt;&gt;"")*ISNUMBER(SEARCH(실물목록!$P$2:$P$1001,I383))*(실물목록!$Q$2:$Q$1001&lt;&gt;"")*ISNUMBER(SEARCH(실물목록!$Q$2:$Q$1001,I383))*(실물목록!$R$2:$R$1001="")*(실물목록!$O$2:$O$1001&lt;&gt;""))&gt;0,"확인필요(연도다름)","실물 없음")))))</f>
      </c>
      <c r="G383" t="n" s="16">
        <f aca="0">IF(B383="","",SUMPRODUCT((실물목록!$P$2:$P$1001&lt;&gt;"")*ISNUMBER(SEARCH(실물목록!$P$2:$P$1001,I383))*(실물목록!$Q$2:$Q$1001&lt;&gt;"")*ISNUMBER(SEARCH(실물목록!$Q$2:$Q$1001,I383))*(실물목록!$R$2:$R$1001="")*(실물목록!$O$2:$O$1001&lt;&gt;"")*(실물목록!$O$2:$O$1001=H383)))</f>
      </c>
      <c r="H383" t="str">
        <f>IFERROR(IF(AND(LEN(SUBSTITUTE(SUBSTITUTE(SUBSTITUTE(TRIM(A383&amp;""),CHAR(160),"")," ",""),"년",""))=4,VALUE(SUBSTITUTE(SUBSTITUTE(SUBSTITUTE(TRIM(A383&amp;""),CHAR(160),"")," ",""),"년",""))&gt;=1900,VALUE(SUBSTITUTE(SUBSTITUTE(SUBSTITUTE(TRIM(A383&amp;""),CHAR(160),"")," ",""),"년",""))&lt;=2099,TEXT(VALUE(SUBSTITUTE(SUBSTITUTE(SUBSTITUTE(TRIM(A383&amp;""),CHAR(160),"")," ",""),"년","")),"0000")=SUBSTITUTE(SUBSTITUTE(SUBSTITUTE(TRIM(A383&amp;""),CHAR(160),"")," ",""),"년","")),SUBSTITUTE(SUBSTITUTE(SUBSTITUTE(TRIM(A383&amp;""),CHAR(160),"")," ",""),"년",""),""),"")</f>
      </c>
      <c r="I383" t="str">
        <f>SUBSTITUTE(SUBSTITUTE(SUBSTITUTE(SUBSTITUTE(SUBSTITUTE(TRIM(B383&amp;""),CHAR(160),"")," ",""),"초등학교","초"),"중학교","중"),"고등학교","고")</f>
      </c>
    </row>
    <row r="384" customFormat="false" ht="15" hidden="false" customHeight="false" outlineLevel="0" collapsed="false">
      <c r="A384" s="8"/>
      <c r="B384" s="8"/>
      <c r="C384" s="8"/>
      <c r="D384" s="8"/>
      <c r="E384" s="8"/>
      <c r="F384" t="str" s="15">
        <f aca="0">IF(B384="","",IF(H384="","확인필요(입력누락)",IF(SUMPRODUCT((실물목록!$P$2:$P$1001&lt;&gt;"")*ISNUMBER(SEARCH(실물목록!$P$2:$P$1001,I384))*(실물목록!$Q$2:$Q$1001&lt;&gt;"")*ISNUMBER(SEARCH(실물목록!$Q$2:$Q$1001,I384))*(실물목록!$R$2:$R$1001="")*(실물목록!$O$2:$O$1001&lt;&gt;"")*(실물목록!$O$2:$O$1001=H384))&gt;0,"실물 있음",IF(SUMPRODUCT((실물목록!$P$2:$P$1001&lt;&gt;"")*ISNUMBER(SEARCH(실물목록!$P$2:$P$1001,I384))*(실물목록!$R$2:$R$1001&lt;&gt;""))&gt;0,"확인필요(입력누락)",IF(SUMPRODUCT((실물목록!$P$2:$P$1001&lt;&gt;"")*ISNUMBER(SEARCH(실물목록!$P$2:$P$1001,I384))*(실물목록!$Q$2:$Q$1001&lt;&gt;"")*ISNUMBER(SEARCH(실물목록!$Q$2:$Q$1001,I384))*(실물목록!$R$2:$R$1001="")*(실물목록!$O$2:$O$1001&lt;&gt;""))&gt;0,"확인필요(연도다름)","실물 없음")))))</f>
      </c>
      <c r="G384" t="n" s="16">
        <f aca="0">IF(B384="","",SUMPRODUCT((실물목록!$P$2:$P$1001&lt;&gt;"")*ISNUMBER(SEARCH(실물목록!$P$2:$P$1001,I384))*(실물목록!$Q$2:$Q$1001&lt;&gt;"")*ISNUMBER(SEARCH(실물목록!$Q$2:$Q$1001,I384))*(실물목록!$R$2:$R$1001="")*(실물목록!$O$2:$O$1001&lt;&gt;"")*(실물목록!$O$2:$O$1001=H384)))</f>
      </c>
      <c r="H384" t="str">
        <f>IFERROR(IF(AND(LEN(SUBSTITUTE(SUBSTITUTE(SUBSTITUTE(TRIM(A384&amp;""),CHAR(160),"")," ",""),"년",""))=4,VALUE(SUBSTITUTE(SUBSTITUTE(SUBSTITUTE(TRIM(A384&amp;""),CHAR(160),"")," ",""),"년",""))&gt;=1900,VALUE(SUBSTITUTE(SUBSTITUTE(SUBSTITUTE(TRIM(A384&amp;""),CHAR(160),"")," ",""),"년",""))&lt;=2099,TEXT(VALUE(SUBSTITUTE(SUBSTITUTE(SUBSTITUTE(TRIM(A384&amp;""),CHAR(160),"")," ",""),"년","")),"0000")=SUBSTITUTE(SUBSTITUTE(SUBSTITUTE(TRIM(A384&amp;""),CHAR(160),"")," ",""),"년","")),SUBSTITUTE(SUBSTITUTE(SUBSTITUTE(TRIM(A384&amp;""),CHAR(160),"")," ",""),"년",""),""),"")</f>
      </c>
      <c r="I384" t="str">
        <f>SUBSTITUTE(SUBSTITUTE(SUBSTITUTE(SUBSTITUTE(SUBSTITUTE(TRIM(B384&amp;""),CHAR(160),"")," ",""),"초등학교","초"),"중학교","중"),"고등학교","고")</f>
      </c>
    </row>
    <row r="385" customFormat="false" ht="15" hidden="false" customHeight="false" outlineLevel="0" collapsed="false">
      <c r="A385" s="8"/>
      <c r="B385" s="8"/>
      <c r="C385" s="8"/>
      <c r="D385" s="8"/>
      <c r="E385" s="8"/>
      <c r="F385" t="str" s="15">
        <f aca="0">IF(B385="","",IF(H385="","확인필요(입력누락)",IF(SUMPRODUCT((실물목록!$P$2:$P$1001&lt;&gt;"")*ISNUMBER(SEARCH(실물목록!$P$2:$P$1001,I385))*(실물목록!$Q$2:$Q$1001&lt;&gt;"")*ISNUMBER(SEARCH(실물목록!$Q$2:$Q$1001,I385))*(실물목록!$R$2:$R$1001="")*(실물목록!$O$2:$O$1001&lt;&gt;"")*(실물목록!$O$2:$O$1001=H385))&gt;0,"실물 있음",IF(SUMPRODUCT((실물목록!$P$2:$P$1001&lt;&gt;"")*ISNUMBER(SEARCH(실물목록!$P$2:$P$1001,I385))*(실물목록!$R$2:$R$1001&lt;&gt;""))&gt;0,"확인필요(입력누락)",IF(SUMPRODUCT((실물목록!$P$2:$P$1001&lt;&gt;"")*ISNUMBER(SEARCH(실물목록!$P$2:$P$1001,I385))*(실물목록!$Q$2:$Q$1001&lt;&gt;"")*ISNUMBER(SEARCH(실물목록!$Q$2:$Q$1001,I385))*(실물목록!$R$2:$R$1001="")*(실물목록!$O$2:$O$1001&lt;&gt;""))&gt;0,"확인필요(연도다름)","실물 없음")))))</f>
      </c>
      <c r="G385" t="n" s="16">
        <f aca="0">IF(B385="","",SUMPRODUCT((실물목록!$P$2:$P$1001&lt;&gt;"")*ISNUMBER(SEARCH(실물목록!$P$2:$P$1001,I385))*(실물목록!$Q$2:$Q$1001&lt;&gt;"")*ISNUMBER(SEARCH(실물목록!$Q$2:$Q$1001,I385))*(실물목록!$R$2:$R$1001="")*(실물목록!$O$2:$O$1001&lt;&gt;"")*(실물목록!$O$2:$O$1001=H385)))</f>
      </c>
      <c r="H385" t="str">
        <f>IFERROR(IF(AND(LEN(SUBSTITUTE(SUBSTITUTE(SUBSTITUTE(TRIM(A385&amp;""),CHAR(160),"")," ",""),"년",""))=4,VALUE(SUBSTITUTE(SUBSTITUTE(SUBSTITUTE(TRIM(A385&amp;""),CHAR(160),"")," ",""),"년",""))&gt;=1900,VALUE(SUBSTITUTE(SUBSTITUTE(SUBSTITUTE(TRIM(A385&amp;""),CHAR(160),"")," ",""),"년",""))&lt;=2099,TEXT(VALUE(SUBSTITUTE(SUBSTITUTE(SUBSTITUTE(TRIM(A385&amp;""),CHAR(160),"")," ",""),"년","")),"0000")=SUBSTITUTE(SUBSTITUTE(SUBSTITUTE(TRIM(A385&amp;""),CHAR(160),"")," ",""),"년","")),SUBSTITUTE(SUBSTITUTE(SUBSTITUTE(TRIM(A385&amp;""),CHAR(160),"")," ",""),"년",""),""),"")</f>
      </c>
      <c r="I385" t="str">
        <f>SUBSTITUTE(SUBSTITUTE(SUBSTITUTE(SUBSTITUTE(SUBSTITUTE(TRIM(B385&amp;""),CHAR(160),"")," ",""),"초등학교","초"),"중학교","중"),"고등학교","고")</f>
      </c>
    </row>
    <row r="386" customFormat="false" ht="15" hidden="false" customHeight="false" outlineLevel="0" collapsed="false">
      <c r="A386" s="8"/>
      <c r="B386" s="8"/>
      <c r="C386" s="8"/>
      <c r="D386" s="8"/>
      <c r="E386" s="8"/>
      <c r="F386" t="str" s="15">
        <f aca="0">IF(B386="","",IF(H386="","확인필요(입력누락)",IF(SUMPRODUCT((실물목록!$P$2:$P$1001&lt;&gt;"")*ISNUMBER(SEARCH(실물목록!$P$2:$P$1001,I386))*(실물목록!$Q$2:$Q$1001&lt;&gt;"")*ISNUMBER(SEARCH(실물목록!$Q$2:$Q$1001,I386))*(실물목록!$R$2:$R$1001="")*(실물목록!$O$2:$O$1001&lt;&gt;"")*(실물목록!$O$2:$O$1001=H386))&gt;0,"실물 있음",IF(SUMPRODUCT((실물목록!$P$2:$P$1001&lt;&gt;"")*ISNUMBER(SEARCH(실물목록!$P$2:$P$1001,I386))*(실물목록!$R$2:$R$1001&lt;&gt;""))&gt;0,"확인필요(입력누락)",IF(SUMPRODUCT((실물목록!$P$2:$P$1001&lt;&gt;"")*ISNUMBER(SEARCH(실물목록!$P$2:$P$1001,I386))*(실물목록!$Q$2:$Q$1001&lt;&gt;"")*ISNUMBER(SEARCH(실물목록!$Q$2:$Q$1001,I386))*(실물목록!$R$2:$R$1001="")*(실물목록!$O$2:$O$1001&lt;&gt;""))&gt;0,"확인필요(연도다름)","실물 없음")))))</f>
      </c>
      <c r="G386" t="n" s="16">
        <f aca="0">IF(B386="","",SUMPRODUCT((실물목록!$P$2:$P$1001&lt;&gt;"")*ISNUMBER(SEARCH(실물목록!$P$2:$P$1001,I386))*(실물목록!$Q$2:$Q$1001&lt;&gt;"")*ISNUMBER(SEARCH(실물목록!$Q$2:$Q$1001,I386))*(실물목록!$R$2:$R$1001="")*(실물목록!$O$2:$O$1001&lt;&gt;"")*(실물목록!$O$2:$O$1001=H386)))</f>
      </c>
      <c r="H386" t="str">
        <f>IFERROR(IF(AND(LEN(SUBSTITUTE(SUBSTITUTE(SUBSTITUTE(TRIM(A386&amp;""),CHAR(160),"")," ",""),"년",""))=4,VALUE(SUBSTITUTE(SUBSTITUTE(SUBSTITUTE(TRIM(A386&amp;""),CHAR(160),"")," ",""),"년",""))&gt;=1900,VALUE(SUBSTITUTE(SUBSTITUTE(SUBSTITUTE(TRIM(A386&amp;""),CHAR(160),"")," ",""),"년",""))&lt;=2099,TEXT(VALUE(SUBSTITUTE(SUBSTITUTE(SUBSTITUTE(TRIM(A386&amp;""),CHAR(160),"")," ",""),"년","")),"0000")=SUBSTITUTE(SUBSTITUTE(SUBSTITUTE(TRIM(A386&amp;""),CHAR(160),"")," ",""),"년","")),SUBSTITUTE(SUBSTITUTE(SUBSTITUTE(TRIM(A386&amp;""),CHAR(160),"")," ",""),"년",""),""),"")</f>
      </c>
      <c r="I386" t="str">
        <f>SUBSTITUTE(SUBSTITUTE(SUBSTITUTE(SUBSTITUTE(SUBSTITUTE(TRIM(B386&amp;""),CHAR(160),"")," ",""),"초등학교","초"),"중학교","중"),"고등학교","고")</f>
      </c>
    </row>
    <row r="387" customFormat="false" ht="15" hidden="false" customHeight="false" outlineLevel="0" collapsed="false">
      <c r="A387" s="8"/>
      <c r="B387" s="8"/>
      <c r="C387" s="8"/>
      <c r="D387" s="8"/>
      <c r="E387" s="8"/>
      <c r="F387" t="str" s="15">
        <f aca="0">IF(B387="","",IF(H387="","확인필요(입력누락)",IF(SUMPRODUCT((실물목록!$P$2:$P$1001&lt;&gt;"")*ISNUMBER(SEARCH(실물목록!$P$2:$P$1001,I387))*(실물목록!$Q$2:$Q$1001&lt;&gt;"")*ISNUMBER(SEARCH(실물목록!$Q$2:$Q$1001,I387))*(실물목록!$R$2:$R$1001="")*(실물목록!$O$2:$O$1001&lt;&gt;"")*(실물목록!$O$2:$O$1001=H387))&gt;0,"실물 있음",IF(SUMPRODUCT((실물목록!$P$2:$P$1001&lt;&gt;"")*ISNUMBER(SEARCH(실물목록!$P$2:$P$1001,I387))*(실물목록!$R$2:$R$1001&lt;&gt;""))&gt;0,"확인필요(입력누락)",IF(SUMPRODUCT((실물목록!$P$2:$P$1001&lt;&gt;"")*ISNUMBER(SEARCH(실물목록!$P$2:$P$1001,I387))*(실물목록!$Q$2:$Q$1001&lt;&gt;"")*ISNUMBER(SEARCH(실물목록!$Q$2:$Q$1001,I387))*(실물목록!$R$2:$R$1001="")*(실물목록!$O$2:$O$1001&lt;&gt;""))&gt;0,"확인필요(연도다름)","실물 없음")))))</f>
      </c>
      <c r="G387" t="n" s="16">
        <f aca="0">IF(B387="","",SUMPRODUCT((실물목록!$P$2:$P$1001&lt;&gt;"")*ISNUMBER(SEARCH(실물목록!$P$2:$P$1001,I387))*(실물목록!$Q$2:$Q$1001&lt;&gt;"")*ISNUMBER(SEARCH(실물목록!$Q$2:$Q$1001,I387))*(실물목록!$R$2:$R$1001="")*(실물목록!$O$2:$O$1001&lt;&gt;"")*(실물목록!$O$2:$O$1001=H387)))</f>
      </c>
      <c r="H387" t="str">
        <f>IFERROR(IF(AND(LEN(SUBSTITUTE(SUBSTITUTE(SUBSTITUTE(TRIM(A387&amp;""),CHAR(160),"")," ",""),"년",""))=4,VALUE(SUBSTITUTE(SUBSTITUTE(SUBSTITUTE(TRIM(A387&amp;""),CHAR(160),"")," ",""),"년",""))&gt;=1900,VALUE(SUBSTITUTE(SUBSTITUTE(SUBSTITUTE(TRIM(A387&amp;""),CHAR(160),"")," ",""),"년",""))&lt;=2099,TEXT(VALUE(SUBSTITUTE(SUBSTITUTE(SUBSTITUTE(TRIM(A387&amp;""),CHAR(160),"")," ",""),"년","")),"0000")=SUBSTITUTE(SUBSTITUTE(SUBSTITUTE(TRIM(A387&amp;""),CHAR(160),"")," ",""),"년","")),SUBSTITUTE(SUBSTITUTE(SUBSTITUTE(TRIM(A387&amp;""),CHAR(160),"")," ",""),"년",""),""),"")</f>
      </c>
      <c r="I387" t="str">
        <f>SUBSTITUTE(SUBSTITUTE(SUBSTITUTE(SUBSTITUTE(SUBSTITUTE(TRIM(B387&amp;""),CHAR(160),"")," ",""),"초등학교","초"),"중학교","중"),"고등학교","고")</f>
      </c>
    </row>
    <row r="388" customFormat="false" ht="15" hidden="false" customHeight="false" outlineLevel="0" collapsed="false">
      <c r="A388" s="8"/>
      <c r="B388" s="8"/>
      <c r="C388" s="8"/>
      <c r="D388" s="8"/>
      <c r="E388" s="8"/>
      <c r="F388" t="str" s="15">
        <f aca="0">IF(B388="","",IF(H388="","확인필요(입력누락)",IF(SUMPRODUCT((실물목록!$P$2:$P$1001&lt;&gt;"")*ISNUMBER(SEARCH(실물목록!$P$2:$P$1001,I388))*(실물목록!$Q$2:$Q$1001&lt;&gt;"")*ISNUMBER(SEARCH(실물목록!$Q$2:$Q$1001,I388))*(실물목록!$R$2:$R$1001="")*(실물목록!$O$2:$O$1001&lt;&gt;"")*(실물목록!$O$2:$O$1001=H388))&gt;0,"실물 있음",IF(SUMPRODUCT((실물목록!$P$2:$P$1001&lt;&gt;"")*ISNUMBER(SEARCH(실물목록!$P$2:$P$1001,I388))*(실물목록!$R$2:$R$1001&lt;&gt;""))&gt;0,"확인필요(입력누락)",IF(SUMPRODUCT((실물목록!$P$2:$P$1001&lt;&gt;"")*ISNUMBER(SEARCH(실물목록!$P$2:$P$1001,I388))*(실물목록!$Q$2:$Q$1001&lt;&gt;"")*ISNUMBER(SEARCH(실물목록!$Q$2:$Q$1001,I388))*(실물목록!$R$2:$R$1001="")*(실물목록!$O$2:$O$1001&lt;&gt;""))&gt;0,"확인필요(연도다름)","실물 없음")))))</f>
      </c>
      <c r="G388" t="n" s="16">
        <f aca="0">IF(B388="","",SUMPRODUCT((실물목록!$P$2:$P$1001&lt;&gt;"")*ISNUMBER(SEARCH(실물목록!$P$2:$P$1001,I388))*(실물목록!$Q$2:$Q$1001&lt;&gt;"")*ISNUMBER(SEARCH(실물목록!$Q$2:$Q$1001,I388))*(실물목록!$R$2:$R$1001="")*(실물목록!$O$2:$O$1001&lt;&gt;"")*(실물목록!$O$2:$O$1001=H388)))</f>
      </c>
      <c r="H388" t="str">
        <f>IFERROR(IF(AND(LEN(SUBSTITUTE(SUBSTITUTE(SUBSTITUTE(TRIM(A388&amp;""),CHAR(160),"")," ",""),"년",""))=4,VALUE(SUBSTITUTE(SUBSTITUTE(SUBSTITUTE(TRIM(A388&amp;""),CHAR(160),"")," ",""),"년",""))&gt;=1900,VALUE(SUBSTITUTE(SUBSTITUTE(SUBSTITUTE(TRIM(A388&amp;""),CHAR(160),"")," ",""),"년",""))&lt;=2099,TEXT(VALUE(SUBSTITUTE(SUBSTITUTE(SUBSTITUTE(TRIM(A388&amp;""),CHAR(160),"")," ",""),"년","")),"0000")=SUBSTITUTE(SUBSTITUTE(SUBSTITUTE(TRIM(A388&amp;""),CHAR(160),"")," ",""),"년","")),SUBSTITUTE(SUBSTITUTE(SUBSTITUTE(TRIM(A388&amp;""),CHAR(160),"")," ",""),"년",""),""),"")</f>
      </c>
      <c r="I388" t="str">
        <f>SUBSTITUTE(SUBSTITUTE(SUBSTITUTE(SUBSTITUTE(SUBSTITUTE(TRIM(B388&amp;""),CHAR(160),"")," ",""),"초등학교","초"),"중학교","중"),"고등학교","고")</f>
      </c>
    </row>
    <row r="389" customFormat="false" ht="15" hidden="false" customHeight="false" outlineLevel="0" collapsed="false">
      <c r="A389" s="8"/>
      <c r="B389" s="8"/>
      <c r="C389" s="8"/>
      <c r="D389" s="8"/>
      <c r="E389" s="8"/>
      <c r="F389" t="str" s="15">
        <f aca="0">IF(B389="","",IF(H389="","확인필요(입력누락)",IF(SUMPRODUCT((실물목록!$P$2:$P$1001&lt;&gt;"")*ISNUMBER(SEARCH(실물목록!$P$2:$P$1001,I389))*(실물목록!$Q$2:$Q$1001&lt;&gt;"")*ISNUMBER(SEARCH(실물목록!$Q$2:$Q$1001,I389))*(실물목록!$R$2:$R$1001="")*(실물목록!$O$2:$O$1001&lt;&gt;"")*(실물목록!$O$2:$O$1001=H389))&gt;0,"실물 있음",IF(SUMPRODUCT((실물목록!$P$2:$P$1001&lt;&gt;"")*ISNUMBER(SEARCH(실물목록!$P$2:$P$1001,I389))*(실물목록!$R$2:$R$1001&lt;&gt;""))&gt;0,"확인필요(입력누락)",IF(SUMPRODUCT((실물목록!$P$2:$P$1001&lt;&gt;"")*ISNUMBER(SEARCH(실물목록!$P$2:$P$1001,I389))*(실물목록!$Q$2:$Q$1001&lt;&gt;"")*ISNUMBER(SEARCH(실물목록!$Q$2:$Q$1001,I389))*(실물목록!$R$2:$R$1001="")*(실물목록!$O$2:$O$1001&lt;&gt;""))&gt;0,"확인필요(연도다름)","실물 없음")))))</f>
      </c>
      <c r="G389" t="n" s="16">
        <f aca="0">IF(B389="","",SUMPRODUCT((실물목록!$P$2:$P$1001&lt;&gt;"")*ISNUMBER(SEARCH(실물목록!$P$2:$P$1001,I389))*(실물목록!$Q$2:$Q$1001&lt;&gt;"")*ISNUMBER(SEARCH(실물목록!$Q$2:$Q$1001,I389))*(실물목록!$R$2:$R$1001="")*(실물목록!$O$2:$O$1001&lt;&gt;"")*(실물목록!$O$2:$O$1001=H389)))</f>
      </c>
      <c r="H389" t="str">
        <f>IFERROR(IF(AND(LEN(SUBSTITUTE(SUBSTITUTE(SUBSTITUTE(TRIM(A389&amp;""),CHAR(160),"")," ",""),"년",""))=4,VALUE(SUBSTITUTE(SUBSTITUTE(SUBSTITUTE(TRIM(A389&amp;""),CHAR(160),"")," ",""),"년",""))&gt;=1900,VALUE(SUBSTITUTE(SUBSTITUTE(SUBSTITUTE(TRIM(A389&amp;""),CHAR(160),"")," ",""),"년",""))&lt;=2099,TEXT(VALUE(SUBSTITUTE(SUBSTITUTE(SUBSTITUTE(TRIM(A389&amp;""),CHAR(160),"")," ",""),"년","")),"0000")=SUBSTITUTE(SUBSTITUTE(SUBSTITUTE(TRIM(A389&amp;""),CHAR(160),"")," ",""),"년","")),SUBSTITUTE(SUBSTITUTE(SUBSTITUTE(TRIM(A389&amp;""),CHAR(160),"")," ",""),"년",""),""),"")</f>
      </c>
      <c r="I389" t="str">
        <f>SUBSTITUTE(SUBSTITUTE(SUBSTITUTE(SUBSTITUTE(SUBSTITUTE(TRIM(B389&amp;""),CHAR(160),"")," ",""),"초등학교","초"),"중학교","중"),"고등학교","고")</f>
      </c>
    </row>
    <row r="390" customFormat="false" ht="15" hidden="false" customHeight="false" outlineLevel="0" collapsed="false">
      <c r="A390" s="8"/>
      <c r="B390" s="8"/>
      <c r="C390" s="8"/>
      <c r="D390" s="8"/>
      <c r="E390" s="8"/>
      <c r="F390" t="str" s="15">
        <f aca="0">IF(B390="","",IF(H390="","확인필요(입력누락)",IF(SUMPRODUCT((실물목록!$P$2:$P$1001&lt;&gt;"")*ISNUMBER(SEARCH(실물목록!$P$2:$P$1001,I390))*(실물목록!$Q$2:$Q$1001&lt;&gt;"")*ISNUMBER(SEARCH(실물목록!$Q$2:$Q$1001,I390))*(실물목록!$R$2:$R$1001="")*(실물목록!$O$2:$O$1001&lt;&gt;"")*(실물목록!$O$2:$O$1001=H390))&gt;0,"실물 있음",IF(SUMPRODUCT((실물목록!$P$2:$P$1001&lt;&gt;"")*ISNUMBER(SEARCH(실물목록!$P$2:$P$1001,I390))*(실물목록!$R$2:$R$1001&lt;&gt;""))&gt;0,"확인필요(입력누락)",IF(SUMPRODUCT((실물목록!$P$2:$P$1001&lt;&gt;"")*ISNUMBER(SEARCH(실물목록!$P$2:$P$1001,I390))*(실물목록!$Q$2:$Q$1001&lt;&gt;"")*ISNUMBER(SEARCH(실물목록!$Q$2:$Q$1001,I390))*(실물목록!$R$2:$R$1001="")*(실물목록!$O$2:$O$1001&lt;&gt;""))&gt;0,"확인필요(연도다름)","실물 없음")))))</f>
      </c>
      <c r="G390" t="n" s="16">
        <f aca="0">IF(B390="","",SUMPRODUCT((실물목록!$P$2:$P$1001&lt;&gt;"")*ISNUMBER(SEARCH(실물목록!$P$2:$P$1001,I390))*(실물목록!$Q$2:$Q$1001&lt;&gt;"")*ISNUMBER(SEARCH(실물목록!$Q$2:$Q$1001,I390))*(실물목록!$R$2:$R$1001="")*(실물목록!$O$2:$O$1001&lt;&gt;"")*(실물목록!$O$2:$O$1001=H390)))</f>
      </c>
      <c r="H390" t="str">
        <f>IFERROR(IF(AND(LEN(SUBSTITUTE(SUBSTITUTE(SUBSTITUTE(TRIM(A390&amp;""),CHAR(160),"")," ",""),"년",""))=4,VALUE(SUBSTITUTE(SUBSTITUTE(SUBSTITUTE(TRIM(A390&amp;""),CHAR(160),"")," ",""),"년",""))&gt;=1900,VALUE(SUBSTITUTE(SUBSTITUTE(SUBSTITUTE(TRIM(A390&amp;""),CHAR(160),"")," ",""),"년",""))&lt;=2099,TEXT(VALUE(SUBSTITUTE(SUBSTITUTE(SUBSTITUTE(TRIM(A390&amp;""),CHAR(160),"")," ",""),"년","")),"0000")=SUBSTITUTE(SUBSTITUTE(SUBSTITUTE(TRIM(A390&amp;""),CHAR(160),"")," ",""),"년","")),SUBSTITUTE(SUBSTITUTE(SUBSTITUTE(TRIM(A390&amp;""),CHAR(160),"")," ",""),"년",""),""),"")</f>
      </c>
      <c r="I390" t="str">
        <f>SUBSTITUTE(SUBSTITUTE(SUBSTITUTE(SUBSTITUTE(SUBSTITUTE(TRIM(B390&amp;""),CHAR(160),"")," ",""),"초등학교","초"),"중학교","중"),"고등학교","고")</f>
      </c>
    </row>
    <row r="391" customFormat="false" ht="15" hidden="false" customHeight="false" outlineLevel="0" collapsed="false">
      <c r="A391" s="8"/>
      <c r="B391" s="8"/>
      <c r="C391" s="8"/>
      <c r="D391" s="8"/>
      <c r="E391" s="8"/>
      <c r="F391" t="str" s="15">
        <f aca="0">IF(B391="","",IF(H391="","확인필요(입력누락)",IF(SUMPRODUCT((실물목록!$P$2:$P$1001&lt;&gt;"")*ISNUMBER(SEARCH(실물목록!$P$2:$P$1001,I391))*(실물목록!$Q$2:$Q$1001&lt;&gt;"")*ISNUMBER(SEARCH(실물목록!$Q$2:$Q$1001,I391))*(실물목록!$R$2:$R$1001="")*(실물목록!$O$2:$O$1001&lt;&gt;"")*(실물목록!$O$2:$O$1001=H391))&gt;0,"실물 있음",IF(SUMPRODUCT((실물목록!$P$2:$P$1001&lt;&gt;"")*ISNUMBER(SEARCH(실물목록!$P$2:$P$1001,I391))*(실물목록!$R$2:$R$1001&lt;&gt;""))&gt;0,"확인필요(입력누락)",IF(SUMPRODUCT((실물목록!$P$2:$P$1001&lt;&gt;"")*ISNUMBER(SEARCH(실물목록!$P$2:$P$1001,I391))*(실물목록!$Q$2:$Q$1001&lt;&gt;"")*ISNUMBER(SEARCH(실물목록!$Q$2:$Q$1001,I391))*(실물목록!$R$2:$R$1001="")*(실물목록!$O$2:$O$1001&lt;&gt;""))&gt;0,"확인필요(연도다름)","실물 없음")))))</f>
      </c>
      <c r="G391" t="n" s="16">
        <f aca="0">IF(B391="","",SUMPRODUCT((실물목록!$P$2:$P$1001&lt;&gt;"")*ISNUMBER(SEARCH(실물목록!$P$2:$P$1001,I391))*(실물목록!$Q$2:$Q$1001&lt;&gt;"")*ISNUMBER(SEARCH(실물목록!$Q$2:$Q$1001,I391))*(실물목록!$R$2:$R$1001="")*(실물목록!$O$2:$O$1001&lt;&gt;"")*(실물목록!$O$2:$O$1001=H391)))</f>
      </c>
      <c r="H391" t="str">
        <f>IFERROR(IF(AND(LEN(SUBSTITUTE(SUBSTITUTE(SUBSTITUTE(TRIM(A391&amp;""),CHAR(160),"")," ",""),"년",""))=4,VALUE(SUBSTITUTE(SUBSTITUTE(SUBSTITUTE(TRIM(A391&amp;""),CHAR(160),"")," ",""),"년",""))&gt;=1900,VALUE(SUBSTITUTE(SUBSTITUTE(SUBSTITUTE(TRIM(A391&amp;""),CHAR(160),"")," ",""),"년",""))&lt;=2099,TEXT(VALUE(SUBSTITUTE(SUBSTITUTE(SUBSTITUTE(TRIM(A391&amp;""),CHAR(160),"")," ",""),"년","")),"0000")=SUBSTITUTE(SUBSTITUTE(SUBSTITUTE(TRIM(A391&amp;""),CHAR(160),"")," ",""),"년","")),SUBSTITUTE(SUBSTITUTE(SUBSTITUTE(TRIM(A391&amp;""),CHAR(160),"")," ",""),"년",""),""),"")</f>
      </c>
      <c r="I391" t="str">
        <f>SUBSTITUTE(SUBSTITUTE(SUBSTITUTE(SUBSTITUTE(SUBSTITUTE(TRIM(B391&amp;""),CHAR(160),"")," ",""),"초등학교","초"),"중학교","중"),"고등학교","고")</f>
      </c>
    </row>
    <row r="392" customFormat="false" ht="15" hidden="false" customHeight="false" outlineLevel="0" collapsed="false">
      <c r="A392" s="8"/>
      <c r="B392" s="8"/>
      <c r="C392" s="8"/>
      <c r="D392" s="8"/>
      <c r="E392" s="8"/>
      <c r="F392" t="str" s="15">
        <f aca="0">IF(B392="","",IF(H392="","확인필요(입력누락)",IF(SUMPRODUCT((실물목록!$P$2:$P$1001&lt;&gt;"")*ISNUMBER(SEARCH(실물목록!$P$2:$P$1001,I392))*(실물목록!$Q$2:$Q$1001&lt;&gt;"")*ISNUMBER(SEARCH(실물목록!$Q$2:$Q$1001,I392))*(실물목록!$R$2:$R$1001="")*(실물목록!$O$2:$O$1001&lt;&gt;"")*(실물목록!$O$2:$O$1001=H392))&gt;0,"실물 있음",IF(SUMPRODUCT((실물목록!$P$2:$P$1001&lt;&gt;"")*ISNUMBER(SEARCH(실물목록!$P$2:$P$1001,I392))*(실물목록!$R$2:$R$1001&lt;&gt;""))&gt;0,"확인필요(입력누락)",IF(SUMPRODUCT((실물목록!$P$2:$P$1001&lt;&gt;"")*ISNUMBER(SEARCH(실물목록!$P$2:$P$1001,I392))*(실물목록!$Q$2:$Q$1001&lt;&gt;"")*ISNUMBER(SEARCH(실물목록!$Q$2:$Q$1001,I392))*(실물목록!$R$2:$R$1001="")*(실물목록!$O$2:$O$1001&lt;&gt;""))&gt;0,"확인필요(연도다름)","실물 없음")))))</f>
      </c>
      <c r="G392" t="n" s="16">
        <f aca="0">IF(B392="","",SUMPRODUCT((실물목록!$P$2:$P$1001&lt;&gt;"")*ISNUMBER(SEARCH(실물목록!$P$2:$P$1001,I392))*(실물목록!$Q$2:$Q$1001&lt;&gt;"")*ISNUMBER(SEARCH(실물목록!$Q$2:$Q$1001,I392))*(실물목록!$R$2:$R$1001="")*(실물목록!$O$2:$O$1001&lt;&gt;"")*(실물목록!$O$2:$O$1001=H392)))</f>
      </c>
      <c r="H392" t="str">
        <f>IFERROR(IF(AND(LEN(SUBSTITUTE(SUBSTITUTE(SUBSTITUTE(TRIM(A392&amp;""),CHAR(160),"")," ",""),"년",""))=4,VALUE(SUBSTITUTE(SUBSTITUTE(SUBSTITUTE(TRIM(A392&amp;""),CHAR(160),"")," ",""),"년",""))&gt;=1900,VALUE(SUBSTITUTE(SUBSTITUTE(SUBSTITUTE(TRIM(A392&amp;""),CHAR(160),"")," ",""),"년",""))&lt;=2099,TEXT(VALUE(SUBSTITUTE(SUBSTITUTE(SUBSTITUTE(TRIM(A392&amp;""),CHAR(160),"")," ",""),"년","")),"0000")=SUBSTITUTE(SUBSTITUTE(SUBSTITUTE(TRIM(A392&amp;""),CHAR(160),"")," ",""),"년","")),SUBSTITUTE(SUBSTITUTE(SUBSTITUTE(TRIM(A392&amp;""),CHAR(160),"")," ",""),"년",""),""),"")</f>
      </c>
      <c r="I392" t="str">
        <f>SUBSTITUTE(SUBSTITUTE(SUBSTITUTE(SUBSTITUTE(SUBSTITUTE(TRIM(B392&amp;""),CHAR(160),"")," ",""),"초등학교","초"),"중학교","중"),"고등학교","고")</f>
      </c>
    </row>
    <row r="393" customFormat="false" ht="15" hidden="false" customHeight="false" outlineLevel="0" collapsed="false">
      <c r="A393" s="8"/>
      <c r="B393" s="8"/>
      <c r="C393" s="8"/>
      <c r="D393" s="8"/>
      <c r="E393" s="8"/>
      <c r="F393" t="str" s="15">
        <f aca="0">IF(B393="","",IF(H393="","확인필요(입력누락)",IF(SUMPRODUCT((실물목록!$P$2:$P$1001&lt;&gt;"")*ISNUMBER(SEARCH(실물목록!$P$2:$P$1001,I393))*(실물목록!$Q$2:$Q$1001&lt;&gt;"")*ISNUMBER(SEARCH(실물목록!$Q$2:$Q$1001,I393))*(실물목록!$R$2:$R$1001="")*(실물목록!$O$2:$O$1001&lt;&gt;"")*(실물목록!$O$2:$O$1001=H393))&gt;0,"실물 있음",IF(SUMPRODUCT((실물목록!$P$2:$P$1001&lt;&gt;"")*ISNUMBER(SEARCH(실물목록!$P$2:$P$1001,I393))*(실물목록!$R$2:$R$1001&lt;&gt;""))&gt;0,"확인필요(입력누락)",IF(SUMPRODUCT((실물목록!$P$2:$P$1001&lt;&gt;"")*ISNUMBER(SEARCH(실물목록!$P$2:$P$1001,I393))*(실물목록!$Q$2:$Q$1001&lt;&gt;"")*ISNUMBER(SEARCH(실물목록!$Q$2:$Q$1001,I393))*(실물목록!$R$2:$R$1001="")*(실물목록!$O$2:$O$1001&lt;&gt;""))&gt;0,"확인필요(연도다름)","실물 없음")))))</f>
      </c>
      <c r="G393" t="n" s="16">
        <f aca="0">IF(B393="","",SUMPRODUCT((실물목록!$P$2:$P$1001&lt;&gt;"")*ISNUMBER(SEARCH(실물목록!$P$2:$P$1001,I393))*(실물목록!$Q$2:$Q$1001&lt;&gt;"")*ISNUMBER(SEARCH(실물목록!$Q$2:$Q$1001,I393))*(실물목록!$R$2:$R$1001="")*(실물목록!$O$2:$O$1001&lt;&gt;"")*(실물목록!$O$2:$O$1001=H393)))</f>
      </c>
      <c r="H393" t="str">
        <f>IFERROR(IF(AND(LEN(SUBSTITUTE(SUBSTITUTE(SUBSTITUTE(TRIM(A393&amp;""),CHAR(160),"")," ",""),"년",""))=4,VALUE(SUBSTITUTE(SUBSTITUTE(SUBSTITUTE(TRIM(A393&amp;""),CHAR(160),"")," ",""),"년",""))&gt;=1900,VALUE(SUBSTITUTE(SUBSTITUTE(SUBSTITUTE(TRIM(A393&amp;""),CHAR(160),"")," ",""),"년",""))&lt;=2099,TEXT(VALUE(SUBSTITUTE(SUBSTITUTE(SUBSTITUTE(TRIM(A393&amp;""),CHAR(160),"")," ",""),"년","")),"0000")=SUBSTITUTE(SUBSTITUTE(SUBSTITUTE(TRIM(A393&amp;""),CHAR(160),"")," ",""),"년","")),SUBSTITUTE(SUBSTITUTE(SUBSTITUTE(TRIM(A393&amp;""),CHAR(160),"")," ",""),"년",""),""),"")</f>
      </c>
      <c r="I393" t="str">
        <f>SUBSTITUTE(SUBSTITUTE(SUBSTITUTE(SUBSTITUTE(SUBSTITUTE(TRIM(B393&amp;""),CHAR(160),"")," ",""),"초등학교","초"),"중학교","중"),"고등학교","고")</f>
      </c>
    </row>
    <row r="394" customFormat="false" ht="15" hidden="false" customHeight="false" outlineLevel="0" collapsed="false">
      <c r="A394" s="8"/>
      <c r="B394" s="8"/>
      <c r="C394" s="8"/>
      <c r="D394" s="8"/>
      <c r="E394" s="8"/>
      <c r="F394" t="str" s="15">
        <f aca="0">IF(B394="","",IF(H394="","확인필요(입력누락)",IF(SUMPRODUCT((실물목록!$P$2:$P$1001&lt;&gt;"")*ISNUMBER(SEARCH(실물목록!$P$2:$P$1001,I394))*(실물목록!$Q$2:$Q$1001&lt;&gt;"")*ISNUMBER(SEARCH(실물목록!$Q$2:$Q$1001,I394))*(실물목록!$R$2:$R$1001="")*(실물목록!$O$2:$O$1001&lt;&gt;"")*(실물목록!$O$2:$O$1001=H394))&gt;0,"실물 있음",IF(SUMPRODUCT((실물목록!$P$2:$P$1001&lt;&gt;"")*ISNUMBER(SEARCH(실물목록!$P$2:$P$1001,I394))*(실물목록!$R$2:$R$1001&lt;&gt;""))&gt;0,"확인필요(입력누락)",IF(SUMPRODUCT((실물목록!$P$2:$P$1001&lt;&gt;"")*ISNUMBER(SEARCH(실물목록!$P$2:$P$1001,I394))*(실물목록!$Q$2:$Q$1001&lt;&gt;"")*ISNUMBER(SEARCH(실물목록!$Q$2:$Q$1001,I394))*(실물목록!$R$2:$R$1001="")*(실물목록!$O$2:$O$1001&lt;&gt;""))&gt;0,"확인필요(연도다름)","실물 없음")))))</f>
      </c>
      <c r="G394" t="n" s="16">
        <f aca="0">IF(B394="","",SUMPRODUCT((실물목록!$P$2:$P$1001&lt;&gt;"")*ISNUMBER(SEARCH(실물목록!$P$2:$P$1001,I394))*(실물목록!$Q$2:$Q$1001&lt;&gt;"")*ISNUMBER(SEARCH(실물목록!$Q$2:$Q$1001,I394))*(실물목록!$R$2:$R$1001="")*(실물목록!$O$2:$O$1001&lt;&gt;"")*(실물목록!$O$2:$O$1001=H394)))</f>
      </c>
      <c r="H394" t="str">
        <f>IFERROR(IF(AND(LEN(SUBSTITUTE(SUBSTITUTE(SUBSTITUTE(TRIM(A394&amp;""),CHAR(160),"")," ",""),"년",""))=4,VALUE(SUBSTITUTE(SUBSTITUTE(SUBSTITUTE(TRIM(A394&amp;""),CHAR(160),"")," ",""),"년",""))&gt;=1900,VALUE(SUBSTITUTE(SUBSTITUTE(SUBSTITUTE(TRIM(A394&amp;""),CHAR(160),"")," ",""),"년",""))&lt;=2099,TEXT(VALUE(SUBSTITUTE(SUBSTITUTE(SUBSTITUTE(TRIM(A394&amp;""),CHAR(160),"")," ",""),"년","")),"0000")=SUBSTITUTE(SUBSTITUTE(SUBSTITUTE(TRIM(A394&amp;""),CHAR(160),"")," ",""),"년","")),SUBSTITUTE(SUBSTITUTE(SUBSTITUTE(TRIM(A394&amp;""),CHAR(160),"")," ",""),"년",""),""),"")</f>
      </c>
      <c r="I394" t="str">
        <f>SUBSTITUTE(SUBSTITUTE(SUBSTITUTE(SUBSTITUTE(SUBSTITUTE(TRIM(B394&amp;""),CHAR(160),"")," ",""),"초등학교","초"),"중학교","중"),"고등학교","고")</f>
      </c>
    </row>
    <row r="395" customFormat="false" ht="15" hidden="false" customHeight="false" outlineLevel="0" collapsed="false">
      <c r="A395" s="8"/>
      <c r="B395" s="8"/>
      <c r="C395" s="8"/>
      <c r="D395" s="8"/>
      <c r="E395" s="8"/>
      <c r="F395" t="str" s="15">
        <f aca="0">IF(B395="","",IF(H395="","확인필요(입력누락)",IF(SUMPRODUCT((실물목록!$P$2:$P$1001&lt;&gt;"")*ISNUMBER(SEARCH(실물목록!$P$2:$P$1001,I395))*(실물목록!$Q$2:$Q$1001&lt;&gt;"")*ISNUMBER(SEARCH(실물목록!$Q$2:$Q$1001,I395))*(실물목록!$R$2:$R$1001="")*(실물목록!$O$2:$O$1001&lt;&gt;"")*(실물목록!$O$2:$O$1001=H395))&gt;0,"실물 있음",IF(SUMPRODUCT((실물목록!$P$2:$P$1001&lt;&gt;"")*ISNUMBER(SEARCH(실물목록!$P$2:$P$1001,I395))*(실물목록!$R$2:$R$1001&lt;&gt;""))&gt;0,"확인필요(입력누락)",IF(SUMPRODUCT((실물목록!$P$2:$P$1001&lt;&gt;"")*ISNUMBER(SEARCH(실물목록!$P$2:$P$1001,I395))*(실물목록!$Q$2:$Q$1001&lt;&gt;"")*ISNUMBER(SEARCH(실물목록!$Q$2:$Q$1001,I395))*(실물목록!$R$2:$R$1001="")*(실물목록!$O$2:$O$1001&lt;&gt;""))&gt;0,"확인필요(연도다름)","실물 없음")))))</f>
      </c>
      <c r="G395" t="n" s="16">
        <f aca="0">IF(B395="","",SUMPRODUCT((실물목록!$P$2:$P$1001&lt;&gt;"")*ISNUMBER(SEARCH(실물목록!$P$2:$P$1001,I395))*(실물목록!$Q$2:$Q$1001&lt;&gt;"")*ISNUMBER(SEARCH(실물목록!$Q$2:$Q$1001,I395))*(실물목록!$R$2:$R$1001="")*(실물목록!$O$2:$O$1001&lt;&gt;"")*(실물목록!$O$2:$O$1001=H395)))</f>
      </c>
      <c r="H395" t="str">
        <f>IFERROR(IF(AND(LEN(SUBSTITUTE(SUBSTITUTE(SUBSTITUTE(TRIM(A395&amp;""),CHAR(160),"")," ",""),"년",""))=4,VALUE(SUBSTITUTE(SUBSTITUTE(SUBSTITUTE(TRIM(A395&amp;""),CHAR(160),"")," ",""),"년",""))&gt;=1900,VALUE(SUBSTITUTE(SUBSTITUTE(SUBSTITUTE(TRIM(A395&amp;""),CHAR(160),"")," ",""),"년",""))&lt;=2099,TEXT(VALUE(SUBSTITUTE(SUBSTITUTE(SUBSTITUTE(TRIM(A395&amp;""),CHAR(160),"")," ",""),"년","")),"0000")=SUBSTITUTE(SUBSTITUTE(SUBSTITUTE(TRIM(A395&amp;""),CHAR(160),"")," ",""),"년","")),SUBSTITUTE(SUBSTITUTE(SUBSTITUTE(TRIM(A395&amp;""),CHAR(160),"")," ",""),"년",""),""),"")</f>
      </c>
      <c r="I395" t="str">
        <f>SUBSTITUTE(SUBSTITUTE(SUBSTITUTE(SUBSTITUTE(SUBSTITUTE(TRIM(B395&amp;""),CHAR(160),"")," ",""),"초등학교","초"),"중학교","중"),"고등학교","고")</f>
      </c>
    </row>
    <row r="396" customFormat="false" ht="15" hidden="false" customHeight="false" outlineLevel="0" collapsed="false">
      <c r="A396" s="8"/>
      <c r="B396" s="8"/>
      <c r="C396" s="8"/>
      <c r="D396" s="8"/>
      <c r="E396" s="8"/>
      <c r="F396" t="str" s="15">
        <f aca="0">IF(B396="","",IF(H396="","확인필요(입력누락)",IF(SUMPRODUCT((실물목록!$P$2:$P$1001&lt;&gt;"")*ISNUMBER(SEARCH(실물목록!$P$2:$P$1001,I396))*(실물목록!$Q$2:$Q$1001&lt;&gt;"")*ISNUMBER(SEARCH(실물목록!$Q$2:$Q$1001,I396))*(실물목록!$R$2:$R$1001="")*(실물목록!$O$2:$O$1001&lt;&gt;"")*(실물목록!$O$2:$O$1001=H396))&gt;0,"실물 있음",IF(SUMPRODUCT((실물목록!$P$2:$P$1001&lt;&gt;"")*ISNUMBER(SEARCH(실물목록!$P$2:$P$1001,I396))*(실물목록!$R$2:$R$1001&lt;&gt;""))&gt;0,"확인필요(입력누락)",IF(SUMPRODUCT((실물목록!$P$2:$P$1001&lt;&gt;"")*ISNUMBER(SEARCH(실물목록!$P$2:$P$1001,I396))*(실물목록!$Q$2:$Q$1001&lt;&gt;"")*ISNUMBER(SEARCH(실물목록!$Q$2:$Q$1001,I396))*(실물목록!$R$2:$R$1001="")*(실물목록!$O$2:$O$1001&lt;&gt;""))&gt;0,"확인필요(연도다름)","실물 없음")))))</f>
      </c>
      <c r="G396" t="n" s="16">
        <f aca="0">IF(B396="","",SUMPRODUCT((실물목록!$P$2:$P$1001&lt;&gt;"")*ISNUMBER(SEARCH(실물목록!$P$2:$P$1001,I396))*(실물목록!$Q$2:$Q$1001&lt;&gt;"")*ISNUMBER(SEARCH(실물목록!$Q$2:$Q$1001,I396))*(실물목록!$R$2:$R$1001="")*(실물목록!$O$2:$O$1001&lt;&gt;"")*(실물목록!$O$2:$O$1001=H396)))</f>
      </c>
      <c r="H396" t="str">
        <f>IFERROR(IF(AND(LEN(SUBSTITUTE(SUBSTITUTE(SUBSTITUTE(TRIM(A396&amp;""),CHAR(160),"")," ",""),"년",""))=4,VALUE(SUBSTITUTE(SUBSTITUTE(SUBSTITUTE(TRIM(A396&amp;""),CHAR(160),"")," ",""),"년",""))&gt;=1900,VALUE(SUBSTITUTE(SUBSTITUTE(SUBSTITUTE(TRIM(A396&amp;""),CHAR(160),"")," ",""),"년",""))&lt;=2099,TEXT(VALUE(SUBSTITUTE(SUBSTITUTE(SUBSTITUTE(TRIM(A396&amp;""),CHAR(160),"")," ",""),"년","")),"0000")=SUBSTITUTE(SUBSTITUTE(SUBSTITUTE(TRIM(A396&amp;""),CHAR(160),"")," ",""),"년","")),SUBSTITUTE(SUBSTITUTE(SUBSTITUTE(TRIM(A396&amp;""),CHAR(160),"")," ",""),"년",""),""),"")</f>
      </c>
      <c r="I396" t="str">
        <f>SUBSTITUTE(SUBSTITUTE(SUBSTITUTE(SUBSTITUTE(SUBSTITUTE(TRIM(B396&amp;""),CHAR(160),"")," ",""),"초등학교","초"),"중학교","중"),"고등학교","고")</f>
      </c>
    </row>
    <row r="397" customFormat="false" ht="15" hidden="false" customHeight="false" outlineLevel="0" collapsed="false">
      <c r="A397" s="8"/>
      <c r="B397" s="8"/>
      <c r="C397" s="8"/>
      <c r="D397" s="8"/>
      <c r="E397" s="8"/>
      <c r="F397" t="str" s="15">
        <f aca="0">IF(B397="","",IF(H397="","확인필요(입력누락)",IF(SUMPRODUCT((실물목록!$P$2:$P$1001&lt;&gt;"")*ISNUMBER(SEARCH(실물목록!$P$2:$P$1001,I397))*(실물목록!$Q$2:$Q$1001&lt;&gt;"")*ISNUMBER(SEARCH(실물목록!$Q$2:$Q$1001,I397))*(실물목록!$R$2:$R$1001="")*(실물목록!$O$2:$O$1001&lt;&gt;"")*(실물목록!$O$2:$O$1001=H397))&gt;0,"실물 있음",IF(SUMPRODUCT((실물목록!$P$2:$P$1001&lt;&gt;"")*ISNUMBER(SEARCH(실물목록!$P$2:$P$1001,I397))*(실물목록!$R$2:$R$1001&lt;&gt;""))&gt;0,"확인필요(입력누락)",IF(SUMPRODUCT((실물목록!$P$2:$P$1001&lt;&gt;"")*ISNUMBER(SEARCH(실물목록!$P$2:$P$1001,I397))*(실물목록!$Q$2:$Q$1001&lt;&gt;"")*ISNUMBER(SEARCH(실물목록!$Q$2:$Q$1001,I397))*(실물목록!$R$2:$R$1001="")*(실물목록!$O$2:$O$1001&lt;&gt;""))&gt;0,"확인필요(연도다름)","실물 없음")))))</f>
      </c>
      <c r="G397" t="n" s="16">
        <f aca="0">IF(B397="","",SUMPRODUCT((실물목록!$P$2:$P$1001&lt;&gt;"")*ISNUMBER(SEARCH(실물목록!$P$2:$P$1001,I397))*(실물목록!$Q$2:$Q$1001&lt;&gt;"")*ISNUMBER(SEARCH(실물목록!$Q$2:$Q$1001,I397))*(실물목록!$R$2:$R$1001="")*(실물목록!$O$2:$O$1001&lt;&gt;"")*(실물목록!$O$2:$O$1001=H397)))</f>
      </c>
      <c r="H397" t="str">
        <f>IFERROR(IF(AND(LEN(SUBSTITUTE(SUBSTITUTE(SUBSTITUTE(TRIM(A397&amp;""),CHAR(160),"")," ",""),"년",""))=4,VALUE(SUBSTITUTE(SUBSTITUTE(SUBSTITUTE(TRIM(A397&amp;""),CHAR(160),"")," ",""),"년",""))&gt;=1900,VALUE(SUBSTITUTE(SUBSTITUTE(SUBSTITUTE(TRIM(A397&amp;""),CHAR(160),"")," ",""),"년",""))&lt;=2099,TEXT(VALUE(SUBSTITUTE(SUBSTITUTE(SUBSTITUTE(TRIM(A397&amp;""),CHAR(160),"")," ",""),"년","")),"0000")=SUBSTITUTE(SUBSTITUTE(SUBSTITUTE(TRIM(A397&amp;""),CHAR(160),"")," ",""),"년","")),SUBSTITUTE(SUBSTITUTE(SUBSTITUTE(TRIM(A397&amp;""),CHAR(160),"")," ",""),"년",""),""),"")</f>
      </c>
      <c r="I397" t="str">
        <f>SUBSTITUTE(SUBSTITUTE(SUBSTITUTE(SUBSTITUTE(SUBSTITUTE(TRIM(B397&amp;""),CHAR(160),"")," ",""),"초등학교","초"),"중학교","중"),"고등학교","고")</f>
      </c>
    </row>
    <row r="398" customFormat="false" ht="15" hidden="false" customHeight="false" outlineLevel="0" collapsed="false">
      <c r="A398" s="8"/>
      <c r="B398" s="8"/>
      <c r="C398" s="8"/>
      <c r="D398" s="8"/>
      <c r="E398" s="8"/>
      <c r="F398" t="str" s="15">
        <f aca="0">IF(B398="","",IF(H398="","확인필요(입력누락)",IF(SUMPRODUCT((실물목록!$P$2:$P$1001&lt;&gt;"")*ISNUMBER(SEARCH(실물목록!$P$2:$P$1001,I398))*(실물목록!$Q$2:$Q$1001&lt;&gt;"")*ISNUMBER(SEARCH(실물목록!$Q$2:$Q$1001,I398))*(실물목록!$R$2:$R$1001="")*(실물목록!$O$2:$O$1001&lt;&gt;"")*(실물목록!$O$2:$O$1001=H398))&gt;0,"실물 있음",IF(SUMPRODUCT((실물목록!$P$2:$P$1001&lt;&gt;"")*ISNUMBER(SEARCH(실물목록!$P$2:$P$1001,I398))*(실물목록!$R$2:$R$1001&lt;&gt;""))&gt;0,"확인필요(입력누락)",IF(SUMPRODUCT((실물목록!$P$2:$P$1001&lt;&gt;"")*ISNUMBER(SEARCH(실물목록!$P$2:$P$1001,I398))*(실물목록!$Q$2:$Q$1001&lt;&gt;"")*ISNUMBER(SEARCH(실물목록!$Q$2:$Q$1001,I398))*(실물목록!$R$2:$R$1001="")*(실물목록!$O$2:$O$1001&lt;&gt;""))&gt;0,"확인필요(연도다름)","실물 없음")))))</f>
      </c>
      <c r="G398" t="n" s="16">
        <f aca="0">IF(B398="","",SUMPRODUCT((실물목록!$P$2:$P$1001&lt;&gt;"")*ISNUMBER(SEARCH(실물목록!$P$2:$P$1001,I398))*(실물목록!$Q$2:$Q$1001&lt;&gt;"")*ISNUMBER(SEARCH(실물목록!$Q$2:$Q$1001,I398))*(실물목록!$R$2:$R$1001="")*(실물목록!$O$2:$O$1001&lt;&gt;"")*(실물목록!$O$2:$O$1001=H398)))</f>
      </c>
      <c r="H398" t="str">
        <f>IFERROR(IF(AND(LEN(SUBSTITUTE(SUBSTITUTE(SUBSTITUTE(TRIM(A398&amp;""),CHAR(160),"")," ",""),"년",""))=4,VALUE(SUBSTITUTE(SUBSTITUTE(SUBSTITUTE(TRIM(A398&amp;""),CHAR(160),"")," ",""),"년",""))&gt;=1900,VALUE(SUBSTITUTE(SUBSTITUTE(SUBSTITUTE(TRIM(A398&amp;""),CHAR(160),"")," ",""),"년",""))&lt;=2099,TEXT(VALUE(SUBSTITUTE(SUBSTITUTE(SUBSTITUTE(TRIM(A398&amp;""),CHAR(160),"")," ",""),"년","")),"0000")=SUBSTITUTE(SUBSTITUTE(SUBSTITUTE(TRIM(A398&amp;""),CHAR(160),"")," ",""),"년","")),SUBSTITUTE(SUBSTITUTE(SUBSTITUTE(TRIM(A398&amp;""),CHAR(160),"")," ",""),"년",""),""),"")</f>
      </c>
      <c r="I398" t="str">
        <f>SUBSTITUTE(SUBSTITUTE(SUBSTITUTE(SUBSTITUTE(SUBSTITUTE(TRIM(B398&amp;""),CHAR(160),"")," ",""),"초등학교","초"),"중학교","중"),"고등학교","고")</f>
      </c>
    </row>
    <row r="399" customFormat="false" ht="15" hidden="false" customHeight="false" outlineLevel="0" collapsed="false">
      <c r="A399" s="8"/>
      <c r="B399" s="8"/>
      <c r="C399" s="8"/>
      <c r="D399" s="8"/>
      <c r="E399" s="8"/>
      <c r="F399" t="str" s="15">
        <f aca="0">IF(B399="","",IF(H399="","확인필요(입력누락)",IF(SUMPRODUCT((실물목록!$P$2:$P$1001&lt;&gt;"")*ISNUMBER(SEARCH(실물목록!$P$2:$P$1001,I399))*(실물목록!$Q$2:$Q$1001&lt;&gt;"")*ISNUMBER(SEARCH(실물목록!$Q$2:$Q$1001,I399))*(실물목록!$R$2:$R$1001="")*(실물목록!$O$2:$O$1001&lt;&gt;"")*(실물목록!$O$2:$O$1001=H399))&gt;0,"실물 있음",IF(SUMPRODUCT((실물목록!$P$2:$P$1001&lt;&gt;"")*ISNUMBER(SEARCH(실물목록!$P$2:$P$1001,I399))*(실물목록!$R$2:$R$1001&lt;&gt;""))&gt;0,"확인필요(입력누락)",IF(SUMPRODUCT((실물목록!$P$2:$P$1001&lt;&gt;"")*ISNUMBER(SEARCH(실물목록!$P$2:$P$1001,I399))*(실물목록!$Q$2:$Q$1001&lt;&gt;"")*ISNUMBER(SEARCH(실물목록!$Q$2:$Q$1001,I399))*(실물목록!$R$2:$R$1001="")*(실물목록!$O$2:$O$1001&lt;&gt;""))&gt;0,"확인필요(연도다름)","실물 없음")))))</f>
      </c>
      <c r="G399" t="n" s="16">
        <f aca="0">IF(B399="","",SUMPRODUCT((실물목록!$P$2:$P$1001&lt;&gt;"")*ISNUMBER(SEARCH(실물목록!$P$2:$P$1001,I399))*(실물목록!$Q$2:$Q$1001&lt;&gt;"")*ISNUMBER(SEARCH(실물목록!$Q$2:$Q$1001,I399))*(실물목록!$R$2:$R$1001="")*(실물목록!$O$2:$O$1001&lt;&gt;"")*(실물목록!$O$2:$O$1001=H399)))</f>
      </c>
      <c r="H399" t="str">
        <f>IFERROR(IF(AND(LEN(SUBSTITUTE(SUBSTITUTE(SUBSTITUTE(TRIM(A399&amp;""),CHAR(160),"")," ",""),"년",""))=4,VALUE(SUBSTITUTE(SUBSTITUTE(SUBSTITUTE(TRIM(A399&amp;""),CHAR(160),"")," ",""),"년",""))&gt;=1900,VALUE(SUBSTITUTE(SUBSTITUTE(SUBSTITUTE(TRIM(A399&amp;""),CHAR(160),"")," ",""),"년",""))&lt;=2099,TEXT(VALUE(SUBSTITUTE(SUBSTITUTE(SUBSTITUTE(TRIM(A399&amp;""),CHAR(160),"")," ",""),"년","")),"0000")=SUBSTITUTE(SUBSTITUTE(SUBSTITUTE(TRIM(A399&amp;""),CHAR(160),"")," ",""),"년","")),SUBSTITUTE(SUBSTITUTE(SUBSTITUTE(TRIM(A399&amp;""),CHAR(160),"")," ",""),"년",""),""),"")</f>
      </c>
      <c r="I399" t="str">
        <f>SUBSTITUTE(SUBSTITUTE(SUBSTITUTE(SUBSTITUTE(SUBSTITUTE(TRIM(B399&amp;""),CHAR(160),"")," ",""),"초등학교","초"),"중학교","중"),"고등학교","고")</f>
      </c>
    </row>
    <row r="400" customFormat="false" ht="15" hidden="false" customHeight="false" outlineLevel="0" collapsed="false">
      <c r="A400" s="8"/>
      <c r="B400" s="8"/>
      <c r="C400" s="8"/>
      <c r="D400" s="8"/>
      <c r="E400" s="8"/>
      <c r="F400" t="str" s="15">
        <f aca="0">IF(B400="","",IF(H400="","확인필요(입력누락)",IF(SUMPRODUCT((실물목록!$P$2:$P$1001&lt;&gt;"")*ISNUMBER(SEARCH(실물목록!$P$2:$P$1001,I400))*(실물목록!$Q$2:$Q$1001&lt;&gt;"")*ISNUMBER(SEARCH(실물목록!$Q$2:$Q$1001,I400))*(실물목록!$R$2:$R$1001="")*(실물목록!$O$2:$O$1001&lt;&gt;"")*(실물목록!$O$2:$O$1001=H400))&gt;0,"실물 있음",IF(SUMPRODUCT((실물목록!$P$2:$P$1001&lt;&gt;"")*ISNUMBER(SEARCH(실물목록!$P$2:$P$1001,I400))*(실물목록!$R$2:$R$1001&lt;&gt;""))&gt;0,"확인필요(입력누락)",IF(SUMPRODUCT((실물목록!$P$2:$P$1001&lt;&gt;"")*ISNUMBER(SEARCH(실물목록!$P$2:$P$1001,I400))*(실물목록!$Q$2:$Q$1001&lt;&gt;"")*ISNUMBER(SEARCH(실물목록!$Q$2:$Q$1001,I400))*(실물목록!$R$2:$R$1001="")*(실물목록!$O$2:$O$1001&lt;&gt;""))&gt;0,"확인필요(연도다름)","실물 없음")))))</f>
      </c>
      <c r="G400" t="n" s="16">
        <f aca="0">IF(B400="","",SUMPRODUCT((실물목록!$P$2:$P$1001&lt;&gt;"")*ISNUMBER(SEARCH(실물목록!$P$2:$P$1001,I400))*(실물목록!$Q$2:$Q$1001&lt;&gt;"")*ISNUMBER(SEARCH(실물목록!$Q$2:$Q$1001,I400))*(실물목록!$R$2:$R$1001="")*(실물목록!$O$2:$O$1001&lt;&gt;"")*(실물목록!$O$2:$O$1001=H400)))</f>
      </c>
      <c r="H400" t="str">
        <f>IFERROR(IF(AND(LEN(SUBSTITUTE(SUBSTITUTE(SUBSTITUTE(TRIM(A400&amp;""),CHAR(160),"")," ",""),"년",""))=4,VALUE(SUBSTITUTE(SUBSTITUTE(SUBSTITUTE(TRIM(A400&amp;""),CHAR(160),"")," ",""),"년",""))&gt;=1900,VALUE(SUBSTITUTE(SUBSTITUTE(SUBSTITUTE(TRIM(A400&amp;""),CHAR(160),"")," ",""),"년",""))&lt;=2099,TEXT(VALUE(SUBSTITUTE(SUBSTITUTE(SUBSTITUTE(TRIM(A400&amp;""),CHAR(160),"")," ",""),"년","")),"0000")=SUBSTITUTE(SUBSTITUTE(SUBSTITUTE(TRIM(A400&amp;""),CHAR(160),"")," ",""),"년","")),SUBSTITUTE(SUBSTITUTE(SUBSTITUTE(TRIM(A400&amp;""),CHAR(160),"")," ",""),"년",""),""),"")</f>
      </c>
      <c r="I400" t="str">
        <f>SUBSTITUTE(SUBSTITUTE(SUBSTITUTE(SUBSTITUTE(SUBSTITUTE(TRIM(B400&amp;""),CHAR(160),"")," ",""),"초등학교","초"),"중학교","중"),"고등학교","고")</f>
      </c>
    </row>
    <row r="401" customFormat="false" ht="15" hidden="false" customHeight="false" outlineLevel="0" collapsed="false">
      <c r="A401" s="8"/>
      <c r="B401" s="8"/>
      <c r="C401" s="8"/>
      <c r="D401" s="8"/>
      <c r="E401" s="8"/>
      <c r="F401" t="str" s="15">
        <f aca="0">IF(B401="","",IF(H401="","확인필요(입력누락)",IF(SUMPRODUCT((실물목록!$P$2:$P$1001&lt;&gt;"")*ISNUMBER(SEARCH(실물목록!$P$2:$P$1001,I401))*(실물목록!$Q$2:$Q$1001&lt;&gt;"")*ISNUMBER(SEARCH(실물목록!$Q$2:$Q$1001,I401))*(실물목록!$R$2:$R$1001="")*(실물목록!$O$2:$O$1001&lt;&gt;"")*(실물목록!$O$2:$O$1001=H401))&gt;0,"실물 있음",IF(SUMPRODUCT((실물목록!$P$2:$P$1001&lt;&gt;"")*ISNUMBER(SEARCH(실물목록!$P$2:$P$1001,I401))*(실물목록!$R$2:$R$1001&lt;&gt;""))&gt;0,"확인필요(입력누락)",IF(SUMPRODUCT((실물목록!$P$2:$P$1001&lt;&gt;"")*ISNUMBER(SEARCH(실물목록!$P$2:$P$1001,I401))*(실물목록!$Q$2:$Q$1001&lt;&gt;"")*ISNUMBER(SEARCH(실물목록!$Q$2:$Q$1001,I401))*(실물목록!$R$2:$R$1001="")*(실물목록!$O$2:$O$1001&lt;&gt;""))&gt;0,"확인필요(연도다름)","실물 없음")))))</f>
      </c>
      <c r="G401" t="n" s="16">
        <f aca="0">IF(B401="","",SUMPRODUCT((실물목록!$P$2:$P$1001&lt;&gt;"")*ISNUMBER(SEARCH(실물목록!$P$2:$P$1001,I401))*(실물목록!$Q$2:$Q$1001&lt;&gt;"")*ISNUMBER(SEARCH(실물목록!$Q$2:$Q$1001,I401))*(실물목록!$R$2:$R$1001="")*(실물목록!$O$2:$O$1001&lt;&gt;"")*(실물목록!$O$2:$O$1001=H401)))</f>
      </c>
      <c r="H401" t="str">
        <f>IFERROR(IF(AND(LEN(SUBSTITUTE(SUBSTITUTE(SUBSTITUTE(TRIM(A401&amp;""),CHAR(160),"")," ",""),"년",""))=4,VALUE(SUBSTITUTE(SUBSTITUTE(SUBSTITUTE(TRIM(A401&amp;""),CHAR(160),"")," ",""),"년",""))&gt;=1900,VALUE(SUBSTITUTE(SUBSTITUTE(SUBSTITUTE(TRIM(A401&amp;""),CHAR(160),"")," ",""),"년",""))&lt;=2099,TEXT(VALUE(SUBSTITUTE(SUBSTITUTE(SUBSTITUTE(TRIM(A401&amp;""),CHAR(160),"")," ",""),"년","")),"0000")=SUBSTITUTE(SUBSTITUTE(SUBSTITUTE(TRIM(A401&amp;""),CHAR(160),"")," ",""),"년","")),SUBSTITUTE(SUBSTITUTE(SUBSTITUTE(TRIM(A401&amp;""),CHAR(160),"")," ",""),"년",""),""),"")</f>
      </c>
      <c r="I401" t="str">
        <f>SUBSTITUTE(SUBSTITUTE(SUBSTITUTE(SUBSTITUTE(SUBSTITUTE(TRIM(B401&amp;""),CHAR(160),"")," ",""),"초등학교","초"),"중학교","중"),"고등학교","고")</f>
      </c>
    </row>
    <row r="402" customFormat="false" ht="15" hidden="false" customHeight="false" outlineLevel="0" collapsed="false">
      <c r="A402" s="8"/>
      <c r="B402" s="8"/>
      <c r="C402" s="8"/>
      <c r="D402" s="8"/>
      <c r="E402" s="8"/>
      <c r="F402" t="str" s="15">
        <f aca="0">IF(B402="","",IF(H402="","확인필요(입력누락)",IF(SUMPRODUCT((실물목록!$P$2:$P$1001&lt;&gt;"")*ISNUMBER(SEARCH(실물목록!$P$2:$P$1001,I402))*(실물목록!$Q$2:$Q$1001&lt;&gt;"")*ISNUMBER(SEARCH(실물목록!$Q$2:$Q$1001,I402))*(실물목록!$R$2:$R$1001="")*(실물목록!$O$2:$O$1001&lt;&gt;"")*(실물목록!$O$2:$O$1001=H402))&gt;0,"실물 있음",IF(SUMPRODUCT((실물목록!$P$2:$P$1001&lt;&gt;"")*ISNUMBER(SEARCH(실물목록!$P$2:$P$1001,I402))*(실물목록!$R$2:$R$1001&lt;&gt;""))&gt;0,"확인필요(입력누락)",IF(SUMPRODUCT((실물목록!$P$2:$P$1001&lt;&gt;"")*ISNUMBER(SEARCH(실물목록!$P$2:$P$1001,I402))*(실물목록!$Q$2:$Q$1001&lt;&gt;"")*ISNUMBER(SEARCH(실물목록!$Q$2:$Q$1001,I402))*(실물목록!$R$2:$R$1001="")*(실물목록!$O$2:$O$1001&lt;&gt;""))&gt;0,"확인필요(연도다름)","실물 없음")))))</f>
      </c>
      <c r="G402" t="n" s="16">
        <f aca="0">IF(B402="","",SUMPRODUCT((실물목록!$P$2:$P$1001&lt;&gt;"")*ISNUMBER(SEARCH(실물목록!$P$2:$P$1001,I402))*(실물목록!$Q$2:$Q$1001&lt;&gt;"")*ISNUMBER(SEARCH(실물목록!$Q$2:$Q$1001,I402))*(실물목록!$R$2:$R$1001="")*(실물목록!$O$2:$O$1001&lt;&gt;"")*(실물목록!$O$2:$O$1001=H402)))</f>
      </c>
      <c r="H402" t="str">
        <f>IFERROR(IF(AND(LEN(SUBSTITUTE(SUBSTITUTE(SUBSTITUTE(TRIM(A402&amp;""),CHAR(160),"")," ",""),"년",""))=4,VALUE(SUBSTITUTE(SUBSTITUTE(SUBSTITUTE(TRIM(A402&amp;""),CHAR(160),"")," ",""),"년",""))&gt;=1900,VALUE(SUBSTITUTE(SUBSTITUTE(SUBSTITUTE(TRIM(A402&amp;""),CHAR(160),"")," ",""),"년",""))&lt;=2099,TEXT(VALUE(SUBSTITUTE(SUBSTITUTE(SUBSTITUTE(TRIM(A402&amp;""),CHAR(160),"")," ",""),"년","")),"0000")=SUBSTITUTE(SUBSTITUTE(SUBSTITUTE(TRIM(A402&amp;""),CHAR(160),"")," ",""),"년","")),SUBSTITUTE(SUBSTITUTE(SUBSTITUTE(TRIM(A402&amp;""),CHAR(160),"")," ",""),"년",""),""),"")</f>
      </c>
      <c r="I402" t="str">
        <f>SUBSTITUTE(SUBSTITUTE(SUBSTITUTE(SUBSTITUTE(SUBSTITUTE(TRIM(B402&amp;""),CHAR(160),"")," ",""),"초등학교","초"),"중학교","중"),"고등학교","고")</f>
      </c>
    </row>
    <row r="403" customFormat="false" ht="15" hidden="false" customHeight="false" outlineLevel="0" collapsed="false">
      <c r="A403" s="8"/>
      <c r="B403" s="8"/>
      <c r="C403" s="8"/>
      <c r="D403" s="8"/>
      <c r="E403" s="8"/>
      <c r="F403" t="str" s="15">
        <f aca="0">IF(B403="","",IF(H403="","확인필요(입력누락)",IF(SUMPRODUCT((실물목록!$P$2:$P$1001&lt;&gt;"")*ISNUMBER(SEARCH(실물목록!$P$2:$P$1001,I403))*(실물목록!$Q$2:$Q$1001&lt;&gt;"")*ISNUMBER(SEARCH(실물목록!$Q$2:$Q$1001,I403))*(실물목록!$R$2:$R$1001="")*(실물목록!$O$2:$O$1001&lt;&gt;"")*(실물목록!$O$2:$O$1001=H403))&gt;0,"실물 있음",IF(SUMPRODUCT((실물목록!$P$2:$P$1001&lt;&gt;"")*ISNUMBER(SEARCH(실물목록!$P$2:$P$1001,I403))*(실물목록!$R$2:$R$1001&lt;&gt;""))&gt;0,"확인필요(입력누락)",IF(SUMPRODUCT((실물목록!$P$2:$P$1001&lt;&gt;"")*ISNUMBER(SEARCH(실물목록!$P$2:$P$1001,I403))*(실물목록!$Q$2:$Q$1001&lt;&gt;"")*ISNUMBER(SEARCH(실물목록!$Q$2:$Q$1001,I403))*(실물목록!$R$2:$R$1001="")*(실물목록!$O$2:$O$1001&lt;&gt;""))&gt;0,"확인필요(연도다름)","실물 없음")))))</f>
      </c>
      <c r="G403" t="n" s="16">
        <f aca="0">IF(B403="","",SUMPRODUCT((실물목록!$P$2:$P$1001&lt;&gt;"")*ISNUMBER(SEARCH(실물목록!$P$2:$P$1001,I403))*(실물목록!$Q$2:$Q$1001&lt;&gt;"")*ISNUMBER(SEARCH(실물목록!$Q$2:$Q$1001,I403))*(실물목록!$R$2:$R$1001="")*(실물목록!$O$2:$O$1001&lt;&gt;"")*(실물목록!$O$2:$O$1001=H403)))</f>
      </c>
      <c r="H403" t="str">
        <f>IFERROR(IF(AND(LEN(SUBSTITUTE(SUBSTITUTE(SUBSTITUTE(TRIM(A403&amp;""),CHAR(160),"")," ",""),"년",""))=4,VALUE(SUBSTITUTE(SUBSTITUTE(SUBSTITUTE(TRIM(A403&amp;""),CHAR(160),"")," ",""),"년",""))&gt;=1900,VALUE(SUBSTITUTE(SUBSTITUTE(SUBSTITUTE(TRIM(A403&amp;""),CHAR(160),"")," ",""),"년",""))&lt;=2099,TEXT(VALUE(SUBSTITUTE(SUBSTITUTE(SUBSTITUTE(TRIM(A403&amp;""),CHAR(160),"")," ",""),"년","")),"0000")=SUBSTITUTE(SUBSTITUTE(SUBSTITUTE(TRIM(A403&amp;""),CHAR(160),"")," ",""),"년","")),SUBSTITUTE(SUBSTITUTE(SUBSTITUTE(TRIM(A403&amp;""),CHAR(160),"")," ",""),"년",""),""),"")</f>
      </c>
      <c r="I403" t="str">
        <f>SUBSTITUTE(SUBSTITUTE(SUBSTITUTE(SUBSTITUTE(SUBSTITUTE(TRIM(B403&amp;""),CHAR(160),"")," ",""),"초등학교","초"),"중학교","중"),"고등학교","고")</f>
      </c>
    </row>
    <row r="404" customFormat="false" ht="15" hidden="false" customHeight="false" outlineLevel="0" collapsed="false">
      <c r="A404" s="8"/>
      <c r="B404" s="8"/>
      <c r="C404" s="8"/>
      <c r="D404" s="8"/>
      <c r="E404" s="8"/>
      <c r="F404" t="str" s="15">
        <f aca="0">IF(B404="","",IF(H404="","확인필요(입력누락)",IF(SUMPRODUCT((실물목록!$P$2:$P$1001&lt;&gt;"")*ISNUMBER(SEARCH(실물목록!$P$2:$P$1001,I404))*(실물목록!$Q$2:$Q$1001&lt;&gt;"")*ISNUMBER(SEARCH(실물목록!$Q$2:$Q$1001,I404))*(실물목록!$R$2:$R$1001="")*(실물목록!$O$2:$O$1001&lt;&gt;"")*(실물목록!$O$2:$O$1001=H404))&gt;0,"실물 있음",IF(SUMPRODUCT((실물목록!$P$2:$P$1001&lt;&gt;"")*ISNUMBER(SEARCH(실물목록!$P$2:$P$1001,I404))*(실물목록!$R$2:$R$1001&lt;&gt;""))&gt;0,"확인필요(입력누락)",IF(SUMPRODUCT((실물목록!$P$2:$P$1001&lt;&gt;"")*ISNUMBER(SEARCH(실물목록!$P$2:$P$1001,I404))*(실물목록!$Q$2:$Q$1001&lt;&gt;"")*ISNUMBER(SEARCH(실물목록!$Q$2:$Q$1001,I404))*(실물목록!$R$2:$R$1001="")*(실물목록!$O$2:$O$1001&lt;&gt;""))&gt;0,"확인필요(연도다름)","실물 없음")))))</f>
      </c>
      <c r="G404" t="n" s="16">
        <f aca="0">IF(B404="","",SUMPRODUCT((실물목록!$P$2:$P$1001&lt;&gt;"")*ISNUMBER(SEARCH(실물목록!$P$2:$P$1001,I404))*(실물목록!$Q$2:$Q$1001&lt;&gt;"")*ISNUMBER(SEARCH(실물목록!$Q$2:$Q$1001,I404))*(실물목록!$R$2:$R$1001="")*(실물목록!$O$2:$O$1001&lt;&gt;"")*(실물목록!$O$2:$O$1001=H404)))</f>
      </c>
      <c r="H404" t="str">
        <f>IFERROR(IF(AND(LEN(SUBSTITUTE(SUBSTITUTE(SUBSTITUTE(TRIM(A404&amp;""),CHAR(160),"")," ",""),"년",""))=4,VALUE(SUBSTITUTE(SUBSTITUTE(SUBSTITUTE(TRIM(A404&amp;""),CHAR(160),"")," ",""),"년",""))&gt;=1900,VALUE(SUBSTITUTE(SUBSTITUTE(SUBSTITUTE(TRIM(A404&amp;""),CHAR(160),"")," ",""),"년",""))&lt;=2099,TEXT(VALUE(SUBSTITUTE(SUBSTITUTE(SUBSTITUTE(TRIM(A404&amp;""),CHAR(160),"")," ",""),"년","")),"0000")=SUBSTITUTE(SUBSTITUTE(SUBSTITUTE(TRIM(A404&amp;""),CHAR(160),"")," ",""),"년","")),SUBSTITUTE(SUBSTITUTE(SUBSTITUTE(TRIM(A404&amp;""),CHAR(160),"")," ",""),"년",""),""),"")</f>
      </c>
      <c r="I404" t="str">
        <f>SUBSTITUTE(SUBSTITUTE(SUBSTITUTE(SUBSTITUTE(SUBSTITUTE(TRIM(B404&amp;""),CHAR(160),"")," ",""),"초등학교","초"),"중학교","중"),"고등학교","고")</f>
      </c>
    </row>
    <row r="405" customFormat="false" ht="15" hidden="false" customHeight="false" outlineLevel="0" collapsed="false">
      <c r="A405" s="8"/>
      <c r="B405" s="8"/>
      <c r="C405" s="8"/>
      <c r="D405" s="8"/>
      <c r="E405" s="8"/>
      <c r="F405" t="str" s="15">
        <f aca="0">IF(B405="","",IF(H405="","확인필요(입력누락)",IF(SUMPRODUCT((실물목록!$P$2:$P$1001&lt;&gt;"")*ISNUMBER(SEARCH(실물목록!$P$2:$P$1001,I405))*(실물목록!$Q$2:$Q$1001&lt;&gt;"")*ISNUMBER(SEARCH(실물목록!$Q$2:$Q$1001,I405))*(실물목록!$R$2:$R$1001="")*(실물목록!$O$2:$O$1001&lt;&gt;"")*(실물목록!$O$2:$O$1001=H405))&gt;0,"실물 있음",IF(SUMPRODUCT((실물목록!$P$2:$P$1001&lt;&gt;"")*ISNUMBER(SEARCH(실물목록!$P$2:$P$1001,I405))*(실물목록!$R$2:$R$1001&lt;&gt;""))&gt;0,"확인필요(입력누락)",IF(SUMPRODUCT((실물목록!$P$2:$P$1001&lt;&gt;"")*ISNUMBER(SEARCH(실물목록!$P$2:$P$1001,I405))*(실물목록!$Q$2:$Q$1001&lt;&gt;"")*ISNUMBER(SEARCH(실물목록!$Q$2:$Q$1001,I405))*(실물목록!$R$2:$R$1001="")*(실물목록!$O$2:$O$1001&lt;&gt;""))&gt;0,"확인필요(연도다름)","실물 없음")))))</f>
      </c>
      <c r="G405" t="n" s="16">
        <f aca="0">IF(B405="","",SUMPRODUCT((실물목록!$P$2:$P$1001&lt;&gt;"")*ISNUMBER(SEARCH(실물목록!$P$2:$P$1001,I405))*(실물목록!$Q$2:$Q$1001&lt;&gt;"")*ISNUMBER(SEARCH(실물목록!$Q$2:$Q$1001,I405))*(실물목록!$R$2:$R$1001="")*(실물목록!$O$2:$O$1001&lt;&gt;"")*(실물목록!$O$2:$O$1001=H405)))</f>
      </c>
      <c r="H405" t="str">
        <f>IFERROR(IF(AND(LEN(SUBSTITUTE(SUBSTITUTE(SUBSTITUTE(TRIM(A405&amp;""),CHAR(160),"")," ",""),"년",""))=4,VALUE(SUBSTITUTE(SUBSTITUTE(SUBSTITUTE(TRIM(A405&amp;""),CHAR(160),"")," ",""),"년",""))&gt;=1900,VALUE(SUBSTITUTE(SUBSTITUTE(SUBSTITUTE(TRIM(A405&amp;""),CHAR(160),"")," ",""),"년",""))&lt;=2099,TEXT(VALUE(SUBSTITUTE(SUBSTITUTE(SUBSTITUTE(TRIM(A405&amp;""),CHAR(160),"")," ",""),"년","")),"0000")=SUBSTITUTE(SUBSTITUTE(SUBSTITUTE(TRIM(A405&amp;""),CHAR(160),"")," ",""),"년","")),SUBSTITUTE(SUBSTITUTE(SUBSTITUTE(TRIM(A405&amp;""),CHAR(160),"")," ",""),"년",""),""),"")</f>
      </c>
      <c r="I405" t="str">
        <f>SUBSTITUTE(SUBSTITUTE(SUBSTITUTE(SUBSTITUTE(SUBSTITUTE(TRIM(B405&amp;""),CHAR(160),"")," ",""),"초등학교","초"),"중학교","중"),"고등학교","고")</f>
      </c>
    </row>
    <row r="406" customFormat="false" ht="15" hidden="false" customHeight="false" outlineLevel="0" collapsed="false">
      <c r="A406" s="8"/>
      <c r="B406" s="8"/>
      <c r="C406" s="8"/>
      <c r="D406" s="8"/>
      <c r="E406" s="8"/>
      <c r="F406" t="str" s="15">
        <f aca="0">IF(B406="","",IF(H406="","확인필요(입력누락)",IF(SUMPRODUCT((실물목록!$P$2:$P$1001&lt;&gt;"")*ISNUMBER(SEARCH(실물목록!$P$2:$P$1001,I406))*(실물목록!$Q$2:$Q$1001&lt;&gt;"")*ISNUMBER(SEARCH(실물목록!$Q$2:$Q$1001,I406))*(실물목록!$R$2:$R$1001="")*(실물목록!$O$2:$O$1001&lt;&gt;"")*(실물목록!$O$2:$O$1001=H406))&gt;0,"실물 있음",IF(SUMPRODUCT((실물목록!$P$2:$P$1001&lt;&gt;"")*ISNUMBER(SEARCH(실물목록!$P$2:$P$1001,I406))*(실물목록!$R$2:$R$1001&lt;&gt;""))&gt;0,"확인필요(입력누락)",IF(SUMPRODUCT((실물목록!$P$2:$P$1001&lt;&gt;"")*ISNUMBER(SEARCH(실물목록!$P$2:$P$1001,I406))*(실물목록!$Q$2:$Q$1001&lt;&gt;"")*ISNUMBER(SEARCH(실물목록!$Q$2:$Q$1001,I406))*(실물목록!$R$2:$R$1001="")*(실물목록!$O$2:$O$1001&lt;&gt;""))&gt;0,"확인필요(연도다름)","실물 없음")))))</f>
      </c>
      <c r="G406" t="n" s="16">
        <f aca="0">IF(B406="","",SUMPRODUCT((실물목록!$P$2:$P$1001&lt;&gt;"")*ISNUMBER(SEARCH(실물목록!$P$2:$P$1001,I406))*(실물목록!$Q$2:$Q$1001&lt;&gt;"")*ISNUMBER(SEARCH(실물목록!$Q$2:$Q$1001,I406))*(실물목록!$R$2:$R$1001="")*(실물목록!$O$2:$O$1001&lt;&gt;"")*(실물목록!$O$2:$O$1001=H406)))</f>
      </c>
      <c r="H406" t="str">
        <f>IFERROR(IF(AND(LEN(SUBSTITUTE(SUBSTITUTE(SUBSTITUTE(TRIM(A406&amp;""),CHAR(160),"")," ",""),"년",""))=4,VALUE(SUBSTITUTE(SUBSTITUTE(SUBSTITUTE(TRIM(A406&amp;""),CHAR(160),"")," ",""),"년",""))&gt;=1900,VALUE(SUBSTITUTE(SUBSTITUTE(SUBSTITUTE(TRIM(A406&amp;""),CHAR(160),"")," ",""),"년",""))&lt;=2099,TEXT(VALUE(SUBSTITUTE(SUBSTITUTE(SUBSTITUTE(TRIM(A406&amp;""),CHAR(160),"")," ",""),"년","")),"0000")=SUBSTITUTE(SUBSTITUTE(SUBSTITUTE(TRIM(A406&amp;""),CHAR(160),"")," ",""),"년","")),SUBSTITUTE(SUBSTITUTE(SUBSTITUTE(TRIM(A406&amp;""),CHAR(160),"")," ",""),"년",""),""),"")</f>
      </c>
      <c r="I406" t="str">
        <f>SUBSTITUTE(SUBSTITUTE(SUBSTITUTE(SUBSTITUTE(SUBSTITUTE(TRIM(B406&amp;""),CHAR(160),"")," ",""),"초등학교","초"),"중학교","중"),"고등학교","고")</f>
      </c>
    </row>
    <row r="407" customFormat="false" ht="15" hidden="false" customHeight="false" outlineLevel="0" collapsed="false">
      <c r="A407" s="8"/>
      <c r="B407" s="8"/>
      <c r="C407" s="8"/>
      <c r="D407" s="8"/>
      <c r="E407" s="8"/>
      <c r="F407" t="str" s="15">
        <f aca="0">IF(B407="","",IF(H407="","확인필요(입력누락)",IF(SUMPRODUCT((실물목록!$P$2:$P$1001&lt;&gt;"")*ISNUMBER(SEARCH(실물목록!$P$2:$P$1001,I407))*(실물목록!$Q$2:$Q$1001&lt;&gt;"")*ISNUMBER(SEARCH(실물목록!$Q$2:$Q$1001,I407))*(실물목록!$R$2:$R$1001="")*(실물목록!$O$2:$O$1001&lt;&gt;"")*(실물목록!$O$2:$O$1001=H407))&gt;0,"실물 있음",IF(SUMPRODUCT((실물목록!$P$2:$P$1001&lt;&gt;"")*ISNUMBER(SEARCH(실물목록!$P$2:$P$1001,I407))*(실물목록!$R$2:$R$1001&lt;&gt;""))&gt;0,"확인필요(입력누락)",IF(SUMPRODUCT((실물목록!$P$2:$P$1001&lt;&gt;"")*ISNUMBER(SEARCH(실물목록!$P$2:$P$1001,I407))*(실물목록!$Q$2:$Q$1001&lt;&gt;"")*ISNUMBER(SEARCH(실물목록!$Q$2:$Q$1001,I407))*(실물목록!$R$2:$R$1001="")*(실물목록!$O$2:$O$1001&lt;&gt;""))&gt;0,"확인필요(연도다름)","실물 없음")))))</f>
      </c>
      <c r="G407" t="n" s="16">
        <f aca="0">IF(B407="","",SUMPRODUCT((실물목록!$P$2:$P$1001&lt;&gt;"")*ISNUMBER(SEARCH(실물목록!$P$2:$P$1001,I407))*(실물목록!$Q$2:$Q$1001&lt;&gt;"")*ISNUMBER(SEARCH(실물목록!$Q$2:$Q$1001,I407))*(실물목록!$R$2:$R$1001="")*(실물목록!$O$2:$O$1001&lt;&gt;"")*(실물목록!$O$2:$O$1001=H407)))</f>
      </c>
      <c r="H407" t="str">
        <f>IFERROR(IF(AND(LEN(SUBSTITUTE(SUBSTITUTE(SUBSTITUTE(TRIM(A407&amp;""),CHAR(160),"")," ",""),"년",""))=4,VALUE(SUBSTITUTE(SUBSTITUTE(SUBSTITUTE(TRIM(A407&amp;""),CHAR(160),"")," ",""),"년",""))&gt;=1900,VALUE(SUBSTITUTE(SUBSTITUTE(SUBSTITUTE(TRIM(A407&amp;""),CHAR(160),"")," ",""),"년",""))&lt;=2099,TEXT(VALUE(SUBSTITUTE(SUBSTITUTE(SUBSTITUTE(TRIM(A407&amp;""),CHAR(160),"")," ",""),"년","")),"0000")=SUBSTITUTE(SUBSTITUTE(SUBSTITUTE(TRIM(A407&amp;""),CHAR(160),"")," ",""),"년","")),SUBSTITUTE(SUBSTITUTE(SUBSTITUTE(TRIM(A407&amp;""),CHAR(160),"")," ",""),"년",""),""),"")</f>
      </c>
      <c r="I407" t="str">
        <f>SUBSTITUTE(SUBSTITUTE(SUBSTITUTE(SUBSTITUTE(SUBSTITUTE(TRIM(B407&amp;""),CHAR(160),"")," ",""),"초등학교","초"),"중학교","중"),"고등학교","고")</f>
      </c>
    </row>
    <row r="408" customFormat="false" ht="15" hidden="false" customHeight="false" outlineLevel="0" collapsed="false">
      <c r="A408" s="8"/>
      <c r="B408" s="8"/>
      <c r="C408" s="8"/>
      <c r="D408" s="8"/>
      <c r="E408" s="8"/>
      <c r="F408" t="str" s="15">
        <f aca="0">IF(B408="","",IF(H408="","확인필요(입력누락)",IF(SUMPRODUCT((실물목록!$P$2:$P$1001&lt;&gt;"")*ISNUMBER(SEARCH(실물목록!$P$2:$P$1001,I408))*(실물목록!$Q$2:$Q$1001&lt;&gt;"")*ISNUMBER(SEARCH(실물목록!$Q$2:$Q$1001,I408))*(실물목록!$R$2:$R$1001="")*(실물목록!$O$2:$O$1001&lt;&gt;"")*(실물목록!$O$2:$O$1001=H408))&gt;0,"실물 있음",IF(SUMPRODUCT((실물목록!$P$2:$P$1001&lt;&gt;"")*ISNUMBER(SEARCH(실물목록!$P$2:$P$1001,I408))*(실물목록!$R$2:$R$1001&lt;&gt;""))&gt;0,"확인필요(입력누락)",IF(SUMPRODUCT((실물목록!$P$2:$P$1001&lt;&gt;"")*ISNUMBER(SEARCH(실물목록!$P$2:$P$1001,I408))*(실물목록!$Q$2:$Q$1001&lt;&gt;"")*ISNUMBER(SEARCH(실물목록!$Q$2:$Q$1001,I408))*(실물목록!$R$2:$R$1001="")*(실물목록!$O$2:$O$1001&lt;&gt;""))&gt;0,"확인필요(연도다름)","실물 없음")))))</f>
      </c>
      <c r="G408" t="n" s="16">
        <f aca="0">IF(B408="","",SUMPRODUCT((실물목록!$P$2:$P$1001&lt;&gt;"")*ISNUMBER(SEARCH(실물목록!$P$2:$P$1001,I408))*(실물목록!$Q$2:$Q$1001&lt;&gt;"")*ISNUMBER(SEARCH(실물목록!$Q$2:$Q$1001,I408))*(실물목록!$R$2:$R$1001="")*(실물목록!$O$2:$O$1001&lt;&gt;"")*(실물목록!$O$2:$O$1001=H408)))</f>
      </c>
      <c r="H408" t="str">
        <f>IFERROR(IF(AND(LEN(SUBSTITUTE(SUBSTITUTE(SUBSTITUTE(TRIM(A408&amp;""),CHAR(160),"")," ",""),"년",""))=4,VALUE(SUBSTITUTE(SUBSTITUTE(SUBSTITUTE(TRIM(A408&amp;""),CHAR(160),"")," ",""),"년",""))&gt;=1900,VALUE(SUBSTITUTE(SUBSTITUTE(SUBSTITUTE(TRIM(A408&amp;""),CHAR(160),"")," ",""),"년",""))&lt;=2099,TEXT(VALUE(SUBSTITUTE(SUBSTITUTE(SUBSTITUTE(TRIM(A408&amp;""),CHAR(160),"")," ",""),"년","")),"0000")=SUBSTITUTE(SUBSTITUTE(SUBSTITUTE(TRIM(A408&amp;""),CHAR(160),"")," ",""),"년","")),SUBSTITUTE(SUBSTITUTE(SUBSTITUTE(TRIM(A408&amp;""),CHAR(160),"")," ",""),"년",""),""),"")</f>
      </c>
      <c r="I408" t="str">
        <f>SUBSTITUTE(SUBSTITUTE(SUBSTITUTE(SUBSTITUTE(SUBSTITUTE(TRIM(B408&amp;""),CHAR(160),"")," ",""),"초등학교","초"),"중학교","중"),"고등학교","고")</f>
      </c>
    </row>
    <row r="409" customFormat="false" ht="15" hidden="false" customHeight="false" outlineLevel="0" collapsed="false">
      <c r="A409" s="8"/>
      <c r="B409" s="8"/>
      <c r="C409" s="8"/>
      <c r="D409" s="8"/>
      <c r="E409" s="8"/>
      <c r="F409" t="str" s="15">
        <f aca="0">IF(B409="","",IF(H409="","확인필요(입력누락)",IF(SUMPRODUCT((실물목록!$P$2:$P$1001&lt;&gt;"")*ISNUMBER(SEARCH(실물목록!$P$2:$P$1001,I409))*(실물목록!$Q$2:$Q$1001&lt;&gt;"")*ISNUMBER(SEARCH(실물목록!$Q$2:$Q$1001,I409))*(실물목록!$R$2:$R$1001="")*(실물목록!$O$2:$O$1001&lt;&gt;"")*(실물목록!$O$2:$O$1001=H409))&gt;0,"실물 있음",IF(SUMPRODUCT((실물목록!$P$2:$P$1001&lt;&gt;"")*ISNUMBER(SEARCH(실물목록!$P$2:$P$1001,I409))*(실물목록!$R$2:$R$1001&lt;&gt;""))&gt;0,"확인필요(입력누락)",IF(SUMPRODUCT((실물목록!$P$2:$P$1001&lt;&gt;"")*ISNUMBER(SEARCH(실물목록!$P$2:$P$1001,I409))*(실물목록!$Q$2:$Q$1001&lt;&gt;"")*ISNUMBER(SEARCH(실물목록!$Q$2:$Q$1001,I409))*(실물목록!$R$2:$R$1001="")*(실물목록!$O$2:$O$1001&lt;&gt;""))&gt;0,"확인필요(연도다름)","실물 없음")))))</f>
      </c>
      <c r="G409" t="n" s="16">
        <f aca="0">IF(B409="","",SUMPRODUCT((실물목록!$P$2:$P$1001&lt;&gt;"")*ISNUMBER(SEARCH(실물목록!$P$2:$P$1001,I409))*(실물목록!$Q$2:$Q$1001&lt;&gt;"")*ISNUMBER(SEARCH(실물목록!$Q$2:$Q$1001,I409))*(실물목록!$R$2:$R$1001="")*(실물목록!$O$2:$O$1001&lt;&gt;"")*(실물목록!$O$2:$O$1001=H409)))</f>
      </c>
      <c r="H409" t="str">
        <f>IFERROR(IF(AND(LEN(SUBSTITUTE(SUBSTITUTE(SUBSTITUTE(TRIM(A409&amp;""),CHAR(160),"")," ",""),"년",""))=4,VALUE(SUBSTITUTE(SUBSTITUTE(SUBSTITUTE(TRIM(A409&amp;""),CHAR(160),"")," ",""),"년",""))&gt;=1900,VALUE(SUBSTITUTE(SUBSTITUTE(SUBSTITUTE(TRIM(A409&amp;""),CHAR(160),"")," ",""),"년",""))&lt;=2099,TEXT(VALUE(SUBSTITUTE(SUBSTITUTE(SUBSTITUTE(TRIM(A409&amp;""),CHAR(160),"")," ",""),"년","")),"0000")=SUBSTITUTE(SUBSTITUTE(SUBSTITUTE(TRIM(A409&amp;""),CHAR(160),"")," ",""),"년","")),SUBSTITUTE(SUBSTITUTE(SUBSTITUTE(TRIM(A409&amp;""),CHAR(160),"")," ",""),"년",""),""),"")</f>
      </c>
      <c r="I409" t="str">
        <f>SUBSTITUTE(SUBSTITUTE(SUBSTITUTE(SUBSTITUTE(SUBSTITUTE(TRIM(B409&amp;""),CHAR(160),"")," ",""),"초등학교","초"),"중학교","중"),"고등학교","고")</f>
      </c>
    </row>
    <row r="410" customFormat="false" ht="15" hidden="false" customHeight="false" outlineLevel="0" collapsed="false">
      <c r="A410" s="8"/>
      <c r="B410" s="8"/>
      <c r="C410" s="8"/>
      <c r="D410" s="8"/>
      <c r="E410" s="8"/>
      <c r="F410" t="str" s="15">
        <f aca="0">IF(B410="","",IF(H410="","확인필요(입력누락)",IF(SUMPRODUCT((실물목록!$P$2:$P$1001&lt;&gt;"")*ISNUMBER(SEARCH(실물목록!$P$2:$P$1001,I410))*(실물목록!$Q$2:$Q$1001&lt;&gt;"")*ISNUMBER(SEARCH(실물목록!$Q$2:$Q$1001,I410))*(실물목록!$R$2:$R$1001="")*(실물목록!$O$2:$O$1001&lt;&gt;"")*(실물목록!$O$2:$O$1001=H410))&gt;0,"실물 있음",IF(SUMPRODUCT((실물목록!$P$2:$P$1001&lt;&gt;"")*ISNUMBER(SEARCH(실물목록!$P$2:$P$1001,I410))*(실물목록!$R$2:$R$1001&lt;&gt;""))&gt;0,"확인필요(입력누락)",IF(SUMPRODUCT((실물목록!$P$2:$P$1001&lt;&gt;"")*ISNUMBER(SEARCH(실물목록!$P$2:$P$1001,I410))*(실물목록!$Q$2:$Q$1001&lt;&gt;"")*ISNUMBER(SEARCH(실물목록!$Q$2:$Q$1001,I410))*(실물목록!$R$2:$R$1001="")*(실물목록!$O$2:$O$1001&lt;&gt;""))&gt;0,"확인필요(연도다름)","실물 없음")))))</f>
      </c>
      <c r="G410" t="n" s="16">
        <f aca="0">IF(B410="","",SUMPRODUCT((실물목록!$P$2:$P$1001&lt;&gt;"")*ISNUMBER(SEARCH(실물목록!$P$2:$P$1001,I410))*(실물목록!$Q$2:$Q$1001&lt;&gt;"")*ISNUMBER(SEARCH(실물목록!$Q$2:$Q$1001,I410))*(실물목록!$R$2:$R$1001="")*(실물목록!$O$2:$O$1001&lt;&gt;"")*(실물목록!$O$2:$O$1001=H410)))</f>
      </c>
      <c r="H410" t="str">
        <f>IFERROR(IF(AND(LEN(SUBSTITUTE(SUBSTITUTE(SUBSTITUTE(TRIM(A410&amp;""),CHAR(160),"")," ",""),"년",""))=4,VALUE(SUBSTITUTE(SUBSTITUTE(SUBSTITUTE(TRIM(A410&amp;""),CHAR(160),"")," ",""),"년",""))&gt;=1900,VALUE(SUBSTITUTE(SUBSTITUTE(SUBSTITUTE(TRIM(A410&amp;""),CHAR(160),"")," ",""),"년",""))&lt;=2099,TEXT(VALUE(SUBSTITUTE(SUBSTITUTE(SUBSTITUTE(TRIM(A410&amp;""),CHAR(160),"")," ",""),"년","")),"0000")=SUBSTITUTE(SUBSTITUTE(SUBSTITUTE(TRIM(A410&amp;""),CHAR(160),"")," ",""),"년","")),SUBSTITUTE(SUBSTITUTE(SUBSTITUTE(TRIM(A410&amp;""),CHAR(160),"")," ",""),"년",""),""),"")</f>
      </c>
      <c r="I410" t="str">
        <f>SUBSTITUTE(SUBSTITUTE(SUBSTITUTE(SUBSTITUTE(SUBSTITUTE(TRIM(B410&amp;""),CHAR(160),"")," ",""),"초등학교","초"),"중학교","중"),"고등학교","고")</f>
      </c>
    </row>
    <row r="411" customFormat="false" ht="15" hidden="false" customHeight="false" outlineLevel="0" collapsed="false">
      <c r="A411" s="8"/>
      <c r="B411" s="8"/>
      <c r="C411" s="8"/>
      <c r="D411" s="8"/>
      <c r="E411" s="8"/>
      <c r="F411" t="str" s="15">
        <f aca="0">IF(B411="","",IF(H411="","확인필요(입력누락)",IF(SUMPRODUCT((실물목록!$P$2:$P$1001&lt;&gt;"")*ISNUMBER(SEARCH(실물목록!$P$2:$P$1001,I411))*(실물목록!$Q$2:$Q$1001&lt;&gt;"")*ISNUMBER(SEARCH(실물목록!$Q$2:$Q$1001,I411))*(실물목록!$R$2:$R$1001="")*(실물목록!$O$2:$O$1001&lt;&gt;"")*(실물목록!$O$2:$O$1001=H411))&gt;0,"실물 있음",IF(SUMPRODUCT((실물목록!$P$2:$P$1001&lt;&gt;"")*ISNUMBER(SEARCH(실물목록!$P$2:$P$1001,I411))*(실물목록!$R$2:$R$1001&lt;&gt;""))&gt;0,"확인필요(입력누락)",IF(SUMPRODUCT((실물목록!$P$2:$P$1001&lt;&gt;"")*ISNUMBER(SEARCH(실물목록!$P$2:$P$1001,I411))*(실물목록!$Q$2:$Q$1001&lt;&gt;"")*ISNUMBER(SEARCH(실물목록!$Q$2:$Q$1001,I411))*(실물목록!$R$2:$R$1001="")*(실물목록!$O$2:$O$1001&lt;&gt;""))&gt;0,"확인필요(연도다름)","실물 없음")))))</f>
      </c>
      <c r="G411" t="n" s="16">
        <f aca="0">IF(B411="","",SUMPRODUCT((실물목록!$P$2:$P$1001&lt;&gt;"")*ISNUMBER(SEARCH(실물목록!$P$2:$P$1001,I411))*(실물목록!$Q$2:$Q$1001&lt;&gt;"")*ISNUMBER(SEARCH(실물목록!$Q$2:$Q$1001,I411))*(실물목록!$R$2:$R$1001="")*(실물목록!$O$2:$O$1001&lt;&gt;"")*(실물목록!$O$2:$O$1001=H411)))</f>
      </c>
      <c r="H411" t="str">
        <f>IFERROR(IF(AND(LEN(SUBSTITUTE(SUBSTITUTE(SUBSTITUTE(TRIM(A411&amp;""),CHAR(160),"")," ",""),"년",""))=4,VALUE(SUBSTITUTE(SUBSTITUTE(SUBSTITUTE(TRIM(A411&amp;""),CHAR(160),"")," ",""),"년",""))&gt;=1900,VALUE(SUBSTITUTE(SUBSTITUTE(SUBSTITUTE(TRIM(A411&amp;""),CHAR(160),"")," ",""),"년",""))&lt;=2099,TEXT(VALUE(SUBSTITUTE(SUBSTITUTE(SUBSTITUTE(TRIM(A411&amp;""),CHAR(160),"")," ",""),"년","")),"0000")=SUBSTITUTE(SUBSTITUTE(SUBSTITUTE(TRIM(A411&amp;""),CHAR(160),"")," ",""),"년","")),SUBSTITUTE(SUBSTITUTE(SUBSTITUTE(TRIM(A411&amp;""),CHAR(160),"")," ",""),"년",""),""),"")</f>
      </c>
      <c r="I411" t="str">
        <f>SUBSTITUTE(SUBSTITUTE(SUBSTITUTE(SUBSTITUTE(SUBSTITUTE(TRIM(B411&amp;""),CHAR(160),"")," ",""),"초등학교","초"),"중학교","중"),"고등학교","고")</f>
      </c>
    </row>
    <row r="412" customFormat="false" ht="15" hidden="false" customHeight="false" outlineLevel="0" collapsed="false">
      <c r="A412" s="8"/>
      <c r="B412" s="8"/>
      <c r="C412" s="8"/>
      <c r="D412" s="8"/>
      <c r="E412" s="8"/>
      <c r="F412" t="str" s="15">
        <f aca="0">IF(B412="","",IF(H412="","확인필요(입력누락)",IF(SUMPRODUCT((실물목록!$P$2:$P$1001&lt;&gt;"")*ISNUMBER(SEARCH(실물목록!$P$2:$P$1001,I412))*(실물목록!$Q$2:$Q$1001&lt;&gt;"")*ISNUMBER(SEARCH(실물목록!$Q$2:$Q$1001,I412))*(실물목록!$R$2:$R$1001="")*(실물목록!$O$2:$O$1001&lt;&gt;"")*(실물목록!$O$2:$O$1001=H412))&gt;0,"실물 있음",IF(SUMPRODUCT((실물목록!$P$2:$P$1001&lt;&gt;"")*ISNUMBER(SEARCH(실물목록!$P$2:$P$1001,I412))*(실물목록!$R$2:$R$1001&lt;&gt;""))&gt;0,"확인필요(입력누락)",IF(SUMPRODUCT((실물목록!$P$2:$P$1001&lt;&gt;"")*ISNUMBER(SEARCH(실물목록!$P$2:$P$1001,I412))*(실물목록!$Q$2:$Q$1001&lt;&gt;"")*ISNUMBER(SEARCH(실물목록!$Q$2:$Q$1001,I412))*(실물목록!$R$2:$R$1001="")*(실물목록!$O$2:$O$1001&lt;&gt;""))&gt;0,"확인필요(연도다름)","실물 없음")))))</f>
      </c>
      <c r="G412" t="n" s="16">
        <f aca="0">IF(B412="","",SUMPRODUCT((실물목록!$P$2:$P$1001&lt;&gt;"")*ISNUMBER(SEARCH(실물목록!$P$2:$P$1001,I412))*(실물목록!$Q$2:$Q$1001&lt;&gt;"")*ISNUMBER(SEARCH(실물목록!$Q$2:$Q$1001,I412))*(실물목록!$R$2:$R$1001="")*(실물목록!$O$2:$O$1001&lt;&gt;"")*(실물목록!$O$2:$O$1001=H412)))</f>
      </c>
      <c r="H412" t="str">
        <f>IFERROR(IF(AND(LEN(SUBSTITUTE(SUBSTITUTE(SUBSTITUTE(TRIM(A412&amp;""),CHAR(160),"")," ",""),"년",""))=4,VALUE(SUBSTITUTE(SUBSTITUTE(SUBSTITUTE(TRIM(A412&amp;""),CHAR(160),"")," ",""),"년",""))&gt;=1900,VALUE(SUBSTITUTE(SUBSTITUTE(SUBSTITUTE(TRIM(A412&amp;""),CHAR(160),"")," ",""),"년",""))&lt;=2099,TEXT(VALUE(SUBSTITUTE(SUBSTITUTE(SUBSTITUTE(TRIM(A412&amp;""),CHAR(160),"")," ",""),"년","")),"0000")=SUBSTITUTE(SUBSTITUTE(SUBSTITUTE(TRIM(A412&amp;""),CHAR(160),"")," ",""),"년","")),SUBSTITUTE(SUBSTITUTE(SUBSTITUTE(TRIM(A412&amp;""),CHAR(160),"")," ",""),"년",""),""),"")</f>
      </c>
      <c r="I412" t="str">
        <f>SUBSTITUTE(SUBSTITUTE(SUBSTITUTE(SUBSTITUTE(SUBSTITUTE(TRIM(B412&amp;""),CHAR(160),"")," ",""),"초등학교","초"),"중학교","중"),"고등학교","고")</f>
      </c>
    </row>
    <row r="413" customFormat="false" ht="15" hidden="false" customHeight="false" outlineLevel="0" collapsed="false">
      <c r="A413" s="8"/>
      <c r="B413" s="8"/>
      <c r="C413" s="8"/>
      <c r="D413" s="8"/>
      <c r="E413" s="8"/>
      <c r="F413" t="str" s="15">
        <f aca="0">IF(B413="","",IF(H413="","확인필요(입력누락)",IF(SUMPRODUCT((실물목록!$P$2:$P$1001&lt;&gt;"")*ISNUMBER(SEARCH(실물목록!$P$2:$P$1001,I413))*(실물목록!$Q$2:$Q$1001&lt;&gt;"")*ISNUMBER(SEARCH(실물목록!$Q$2:$Q$1001,I413))*(실물목록!$R$2:$R$1001="")*(실물목록!$O$2:$O$1001&lt;&gt;"")*(실물목록!$O$2:$O$1001=H413))&gt;0,"실물 있음",IF(SUMPRODUCT((실물목록!$P$2:$P$1001&lt;&gt;"")*ISNUMBER(SEARCH(실물목록!$P$2:$P$1001,I413))*(실물목록!$R$2:$R$1001&lt;&gt;""))&gt;0,"확인필요(입력누락)",IF(SUMPRODUCT((실물목록!$P$2:$P$1001&lt;&gt;"")*ISNUMBER(SEARCH(실물목록!$P$2:$P$1001,I413))*(실물목록!$Q$2:$Q$1001&lt;&gt;"")*ISNUMBER(SEARCH(실물목록!$Q$2:$Q$1001,I413))*(실물목록!$R$2:$R$1001="")*(실물목록!$O$2:$O$1001&lt;&gt;""))&gt;0,"확인필요(연도다름)","실물 없음")))))</f>
      </c>
      <c r="G413" t="n" s="16">
        <f aca="0">IF(B413="","",SUMPRODUCT((실물목록!$P$2:$P$1001&lt;&gt;"")*ISNUMBER(SEARCH(실물목록!$P$2:$P$1001,I413))*(실물목록!$Q$2:$Q$1001&lt;&gt;"")*ISNUMBER(SEARCH(실물목록!$Q$2:$Q$1001,I413))*(실물목록!$R$2:$R$1001="")*(실물목록!$O$2:$O$1001&lt;&gt;"")*(실물목록!$O$2:$O$1001=H413)))</f>
      </c>
      <c r="H413" t="str">
        <f>IFERROR(IF(AND(LEN(SUBSTITUTE(SUBSTITUTE(SUBSTITUTE(TRIM(A413&amp;""),CHAR(160),"")," ",""),"년",""))=4,VALUE(SUBSTITUTE(SUBSTITUTE(SUBSTITUTE(TRIM(A413&amp;""),CHAR(160),"")," ",""),"년",""))&gt;=1900,VALUE(SUBSTITUTE(SUBSTITUTE(SUBSTITUTE(TRIM(A413&amp;""),CHAR(160),"")," ",""),"년",""))&lt;=2099,TEXT(VALUE(SUBSTITUTE(SUBSTITUTE(SUBSTITUTE(TRIM(A413&amp;""),CHAR(160),"")," ",""),"년","")),"0000")=SUBSTITUTE(SUBSTITUTE(SUBSTITUTE(TRIM(A413&amp;""),CHAR(160),"")," ",""),"년","")),SUBSTITUTE(SUBSTITUTE(SUBSTITUTE(TRIM(A413&amp;""),CHAR(160),"")," ",""),"년",""),""),"")</f>
      </c>
      <c r="I413" t="str">
        <f>SUBSTITUTE(SUBSTITUTE(SUBSTITUTE(SUBSTITUTE(SUBSTITUTE(TRIM(B413&amp;""),CHAR(160),"")," ",""),"초등학교","초"),"중학교","중"),"고등학교","고")</f>
      </c>
    </row>
    <row r="414" customFormat="false" ht="15" hidden="false" customHeight="false" outlineLevel="0" collapsed="false">
      <c r="A414" s="8"/>
      <c r="B414" s="8"/>
      <c r="C414" s="8"/>
      <c r="D414" s="8"/>
      <c r="E414" s="8"/>
      <c r="F414" t="str" s="15">
        <f aca="0">IF(B414="","",IF(H414="","확인필요(입력누락)",IF(SUMPRODUCT((실물목록!$P$2:$P$1001&lt;&gt;"")*ISNUMBER(SEARCH(실물목록!$P$2:$P$1001,I414))*(실물목록!$Q$2:$Q$1001&lt;&gt;"")*ISNUMBER(SEARCH(실물목록!$Q$2:$Q$1001,I414))*(실물목록!$R$2:$R$1001="")*(실물목록!$O$2:$O$1001&lt;&gt;"")*(실물목록!$O$2:$O$1001=H414))&gt;0,"실물 있음",IF(SUMPRODUCT((실물목록!$P$2:$P$1001&lt;&gt;"")*ISNUMBER(SEARCH(실물목록!$P$2:$P$1001,I414))*(실물목록!$R$2:$R$1001&lt;&gt;""))&gt;0,"확인필요(입력누락)",IF(SUMPRODUCT((실물목록!$P$2:$P$1001&lt;&gt;"")*ISNUMBER(SEARCH(실물목록!$P$2:$P$1001,I414))*(실물목록!$Q$2:$Q$1001&lt;&gt;"")*ISNUMBER(SEARCH(실물목록!$Q$2:$Q$1001,I414))*(실물목록!$R$2:$R$1001="")*(실물목록!$O$2:$O$1001&lt;&gt;""))&gt;0,"확인필요(연도다름)","실물 없음")))))</f>
      </c>
      <c r="G414" t="n" s="16">
        <f aca="0">IF(B414="","",SUMPRODUCT((실물목록!$P$2:$P$1001&lt;&gt;"")*ISNUMBER(SEARCH(실물목록!$P$2:$P$1001,I414))*(실물목록!$Q$2:$Q$1001&lt;&gt;"")*ISNUMBER(SEARCH(실물목록!$Q$2:$Q$1001,I414))*(실물목록!$R$2:$R$1001="")*(실물목록!$O$2:$O$1001&lt;&gt;"")*(실물목록!$O$2:$O$1001=H414)))</f>
      </c>
      <c r="H414" t="str">
        <f>IFERROR(IF(AND(LEN(SUBSTITUTE(SUBSTITUTE(SUBSTITUTE(TRIM(A414&amp;""),CHAR(160),"")," ",""),"년",""))=4,VALUE(SUBSTITUTE(SUBSTITUTE(SUBSTITUTE(TRIM(A414&amp;""),CHAR(160),"")," ",""),"년",""))&gt;=1900,VALUE(SUBSTITUTE(SUBSTITUTE(SUBSTITUTE(TRIM(A414&amp;""),CHAR(160),"")," ",""),"년",""))&lt;=2099,TEXT(VALUE(SUBSTITUTE(SUBSTITUTE(SUBSTITUTE(TRIM(A414&amp;""),CHAR(160),"")," ",""),"년","")),"0000")=SUBSTITUTE(SUBSTITUTE(SUBSTITUTE(TRIM(A414&amp;""),CHAR(160),"")," ",""),"년","")),SUBSTITUTE(SUBSTITUTE(SUBSTITUTE(TRIM(A414&amp;""),CHAR(160),"")," ",""),"년",""),""),"")</f>
      </c>
      <c r="I414" t="str">
        <f>SUBSTITUTE(SUBSTITUTE(SUBSTITUTE(SUBSTITUTE(SUBSTITUTE(TRIM(B414&amp;""),CHAR(160),"")," ",""),"초등학교","초"),"중학교","중"),"고등학교","고")</f>
      </c>
    </row>
    <row r="415" customFormat="false" ht="15" hidden="false" customHeight="false" outlineLevel="0" collapsed="false">
      <c r="A415" s="8"/>
      <c r="B415" s="8"/>
      <c r="C415" s="8"/>
      <c r="D415" s="8"/>
      <c r="E415" s="8"/>
      <c r="F415" t="str" s="15">
        <f aca="0">IF(B415="","",IF(H415="","확인필요(입력누락)",IF(SUMPRODUCT((실물목록!$P$2:$P$1001&lt;&gt;"")*ISNUMBER(SEARCH(실물목록!$P$2:$P$1001,I415))*(실물목록!$Q$2:$Q$1001&lt;&gt;"")*ISNUMBER(SEARCH(실물목록!$Q$2:$Q$1001,I415))*(실물목록!$R$2:$R$1001="")*(실물목록!$O$2:$O$1001&lt;&gt;"")*(실물목록!$O$2:$O$1001=H415))&gt;0,"실물 있음",IF(SUMPRODUCT((실물목록!$P$2:$P$1001&lt;&gt;"")*ISNUMBER(SEARCH(실물목록!$P$2:$P$1001,I415))*(실물목록!$R$2:$R$1001&lt;&gt;""))&gt;0,"확인필요(입력누락)",IF(SUMPRODUCT((실물목록!$P$2:$P$1001&lt;&gt;"")*ISNUMBER(SEARCH(실물목록!$P$2:$P$1001,I415))*(실물목록!$Q$2:$Q$1001&lt;&gt;"")*ISNUMBER(SEARCH(실물목록!$Q$2:$Q$1001,I415))*(실물목록!$R$2:$R$1001="")*(실물목록!$O$2:$O$1001&lt;&gt;""))&gt;0,"확인필요(연도다름)","실물 없음")))))</f>
      </c>
      <c r="G415" t="n" s="16">
        <f aca="0">IF(B415="","",SUMPRODUCT((실물목록!$P$2:$P$1001&lt;&gt;"")*ISNUMBER(SEARCH(실물목록!$P$2:$P$1001,I415))*(실물목록!$Q$2:$Q$1001&lt;&gt;"")*ISNUMBER(SEARCH(실물목록!$Q$2:$Q$1001,I415))*(실물목록!$R$2:$R$1001="")*(실물목록!$O$2:$O$1001&lt;&gt;"")*(실물목록!$O$2:$O$1001=H415)))</f>
      </c>
      <c r="H415" t="str">
        <f>IFERROR(IF(AND(LEN(SUBSTITUTE(SUBSTITUTE(SUBSTITUTE(TRIM(A415&amp;""),CHAR(160),"")," ",""),"년",""))=4,VALUE(SUBSTITUTE(SUBSTITUTE(SUBSTITUTE(TRIM(A415&amp;""),CHAR(160),"")," ",""),"년",""))&gt;=1900,VALUE(SUBSTITUTE(SUBSTITUTE(SUBSTITUTE(TRIM(A415&amp;""),CHAR(160),"")," ",""),"년",""))&lt;=2099,TEXT(VALUE(SUBSTITUTE(SUBSTITUTE(SUBSTITUTE(TRIM(A415&amp;""),CHAR(160),"")," ",""),"년","")),"0000")=SUBSTITUTE(SUBSTITUTE(SUBSTITUTE(TRIM(A415&amp;""),CHAR(160),"")," ",""),"년","")),SUBSTITUTE(SUBSTITUTE(SUBSTITUTE(TRIM(A415&amp;""),CHAR(160),"")," ",""),"년",""),""),"")</f>
      </c>
      <c r="I415" t="str">
        <f>SUBSTITUTE(SUBSTITUTE(SUBSTITUTE(SUBSTITUTE(SUBSTITUTE(TRIM(B415&amp;""),CHAR(160),"")," ",""),"초등학교","초"),"중학교","중"),"고등학교","고")</f>
      </c>
    </row>
    <row r="416" customFormat="false" ht="15" hidden="false" customHeight="false" outlineLevel="0" collapsed="false">
      <c r="A416" s="8"/>
      <c r="B416" s="8"/>
      <c r="C416" s="8"/>
      <c r="D416" s="8"/>
      <c r="E416" s="8"/>
      <c r="F416" t="str" s="15">
        <f aca="0">IF(B416="","",IF(H416="","확인필요(입력누락)",IF(SUMPRODUCT((실물목록!$P$2:$P$1001&lt;&gt;"")*ISNUMBER(SEARCH(실물목록!$P$2:$P$1001,I416))*(실물목록!$Q$2:$Q$1001&lt;&gt;"")*ISNUMBER(SEARCH(실물목록!$Q$2:$Q$1001,I416))*(실물목록!$R$2:$R$1001="")*(실물목록!$O$2:$O$1001&lt;&gt;"")*(실물목록!$O$2:$O$1001=H416))&gt;0,"실물 있음",IF(SUMPRODUCT((실물목록!$P$2:$P$1001&lt;&gt;"")*ISNUMBER(SEARCH(실물목록!$P$2:$P$1001,I416))*(실물목록!$R$2:$R$1001&lt;&gt;""))&gt;0,"확인필요(입력누락)",IF(SUMPRODUCT((실물목록!$P$2:$P$1001&lt;&gt;"")*ISNUMBER(SEARCH(실물목록!$P$2:$P$1001,I416))*(실물목록!$Q$2:$Q$1001&lt;&gt;"")*ISNUMBER(SEARCH(실물목록!$Q$2:$Q$1001,I416))*(실물목록!$R$2:$R$1001="")*(실물목록!$O$2:$O$1001&lt;&gt;""))&gt;0,"확인필요(연도다름)","실물 없음")))))</f>
      </c>
      <c r="G416" t="n" s="16">
        <f aca="0">IF(B416="","",SUMPRODUCT((실물목록!$P$2:$P$1001&lt;&gt;"")*ISNUMBER(SEARCH(실물목록!$P$2:$P$1001,I416))*(실물목록!$Q$2:$Q$1001&lt;&gt;"")*ISNUMBER(SEARCH(실물목록!$Q$2:$Q$1001,I416))*(실물목록!$R$2:$R$1001="")*(실물목록!$O$2:$O$1001&lt;&gt;"")*(실물목록!$O$2:$O$1001=H416)))</f>
      </c>
      <c r="H416" t="str">
        <f>IFERROR(IF(AND(LEN(SUBSTITUTE(SUBSTITUTE(SUBSTITUTE(TRIM(A416&amp;""),CHAR(160),"")," ",""),"년",""))=4,VALUE(SUBSTITUTE(SUBSTITUTE(SUBSTITUTE(TRIM(A416&amp;""),CHAR(160),"")," ",""),"년",""))&gt;=1900,VALUE(SUBSTITUTE(SUBSTITUTE(SUBSTITUTE(TRIM(A416&amp;""),CHAR(160),"")," ",""),"년",""))&lt;=2099,TEXT(VALUE(SUBSTITUTE(SUBSTITUTE(SUBSTITUTE(TRIM(A416&amp;""),CHAR(160),"")," ",""),"년","")),"0000")=SUBSTITUTE(SUBSTITUTE(SUBSTITUTE(TRIM(A416&amp;""),CHAR(160),"")," ",""),"년","")),SUBSTITUTE(SUBSTITUTE(SUBSTITUTE(TRIM(A416&amp;""),CHAR(160),"")," ",""),"년",""),""),"")</f>
      </c>
      <c r="I416" t="str">
        <f>SUBSTITUTE(SUBSTITUTE(SUBSTITUTE(SUBSTITUTE(SUBSTITUTE(TRIM(B416&amp;""),CHAR(160),"")," ",""),"초등학교","초"),"중학교","중"),"고등학교","고")</f>
      </c>
    </row>
    <row r="417" customFormat="false" ht="15" hidden="false" customHeight="false" outlineLevel="0" collapsed="false">
      <c r="A417" s="8"/>
      <c r="B417" s="8"/>
      <c r="C417" s="8"/>
      <c r="D417" s="8"/>
      <c r="E417" s="8"/>
      <c r="F417" t="str" s="15">
        <f aca="0">IF(B417="","",IF(H417="","확인필요(입력누락)",IF(SUMPRODUCT((실물목록!$P$2:$P$1001&lt;&gt;"")*ISNUMBER(SEARCH(실물목록!$P$2:$P$1001,I417))*(실물목록!$Q$2:$Q$1001&lt;&gt;"")*ISNUMBER(SEARCH(실물목록!$Q$2:$Q$1001,I417))*(실물목록!$R$2:$R$1001="")*(실물목록!$O$2:$O$1001&lt;&gt;"")*(실물목록!$O$2:$O$1001=H417))&gt;0,"실물 있음",IF(SUMPRODUCT((실물목록!$P$2:$P$1001&lt;&gt;"")*ISNUMBER(SEARCH(실물목록!$P$2:$P$1001,I417))*(실물목록!$R$2:$R$1001&lt;&gt;""))&gt;0,"확인필요(입력누락)",IF(SUMPRODUCT((실물목록!$P$2:$P$1001&lt;&gt;"")*ISNUMBER(SEARCH(실물목록!$P$2:$P$1001,I417))*(실물목록!$Q$2:$Q$1001&lt;&gt;"")*ISNUMBER(SEARCH(실물목록!$Q$2:$Q$1001,I417))*(실물목록!$R$2:$R$1001="")*(실물목록!$O$2:$O$1001&lt;&gt;""))&gt;0,"확인필요(연도다름)","실물 없음")))))</f>
      </c>
      <c r="G417" t="n" s="16">
        <f aca="0">IF(B417="","",SUMPRODUCT((실물목록!$P$2:$P$1001&lt;&gt;"")*ISNUMBER(SEARCH(실물목록!$P$2:$P$1001,I417))*(실물목록!$Q$2:$Q$1001&lt;&gt;"")*ISNUMBER(SEARCH(실물목록!$Q$2:$Q$1001,I417))*(실물목록!$R$2:$R$1001="")*(실물목록!$O$2:$O$1001&lt;&gt;"")*(실물목록!$O$2:$O$1001=H417)))</f>
      </c>
      <c r="H417" t="str">
        <f>IFERROR(IF(AND(LEN(SUBSTITUTE(SUBSTITUTE(SUBSTITUTE(TRIM(A417&amp;""),CHAR(160),"")," ",""),"년",""))=4,VALUE(SUBSTITUTE(SUBSTITUTE(SUBSTITUTE(TRIM(A417&amp;""),CHAR(160),"")," ",""),"년",""))&gt;=1900,VALUE(SUBSTITUTE(SUBSTITUTE(SUBSTITUTE(TRIM(A417&amp;""),CHAR(160),"")," ",""),"년",""))&lt;=2099,TEXT(VALUE(SUBSTITUTE(SUBSTITUTE(SUBSTITUTE(TRIM(A417&amp;""),CHAR(160),"")," ",""),"년","")),"0000")=SUBSTITUTE(SUBSTITUTE(SUBSTITUTE(TRIM(A417&amp;""),CHAR(160),"")," ",""),"년","")),SUBSTITUTE(SUBSTITUTE(SUBSTITUTE(TRIM(A417&amp;""),CHAR(160),"")," ",""),"년",""),""),"")</f>
      </c>
      <c r="I417" t="str">
        <f>SUBSTITUTE(SUBSTITUTE(SUBSTITUTE(SUBSTITUTE(SUBSTITUTE(TRIM(B417&amp;""),CHAR(160),"")," ",""),"초등학교","초"),"중학교","중"),"고등학교","고")</f>
      </c>
    </row>
    <row r="418" customFormat="false" ht="15" hidden="false" customHeight="false" outlineLevel="0" collapsed="false">
      <c r="A418" s="8"/>
      <c r="B418" s="8"/>
      <c r="C418" s="8"/>
      <c r="D418" s="8"/>
      <c r="E418" s="8"/>
      <c r="F418" t="str" s="15">
        <f aca="0">IF(B418="","",IF(H418="","확인필요(입력누락)",IF(SUMPRODUCT((실물목록!$P$2:$P$1001&lt;&gt;"")*ISNUMBER(SEARCH(실물목록!$P$2:$P$1001,I418))*(실물목록!$Q$2:$Q$1001&lt;&gt;"")*ISNUMBER(SEARCH(실물목록!$Q$2:$Q$1001,I418))*(실물목록!$R$2:$R$1001="")*(실물목록!$O$2:$O$1001&lt;&gt;"")*(실물목록!$O$2:$O$1001=H418))&gt;0,"실물 있음",IF(SUMPRODUCT((실물목록!$P$2:$P$1001&lt;&gt;"")*ISNUMBER(SEARCH(실물목록!$P$2:$P$1001,I418))*(실물목록!$R$2:$R$1001&lt;&gt;""))&gt;0,"확인필요(입력누락)",IF(SUMPRODUCT((실물목록!$P$2:$P$1001&lt;&gt;"")*ISNUMBER(SEARCH(실물목록!$P$2:$P$1001,I418))*(실물목록!$Q$2:$Q$1001&lt;&gt;"")*ISNUMBER(SEARCH(실물목록!$Q$2:$Q$1001,I418))*(실물목록!$R$2:$R$1001="")*(실물목록!$O$2:$O$1001&lt;&gt;""))&gt;0,"확인필요(연도다름)","실물 없음")))))</f>
      </c>
      <c r="G418" t="n" s="16">
        <f aca="0">IF(B418="","",SUMPRODUCT((실물목록!$P$2:$P$1001&lt;&gt;"")*ISNUMBER(SEARCH(실물목록!$P$2:$P$1001,I418))*(실물목록!$Q$2:$Q$1001&lt;&gt;"")*ISNUMBER(SEARCH(실물목록!$Q$2:$Q$1001,I418))*(실물목록!$R$2:$R$1001="")*(실물목록!$O$2:$O$1001&lt;&gt;"")*(실물목록!$O$2:$O$1001=H418)))</f>
      </c>
      <c r="H418" t="str">
        <f>IFERROR(IF(AND(LEN(SUBSTITUTE(SUBSTITUTE(SUBSTITUTE(TRIM(A418&amp;""),CHAR(160),"")," ",""),"년",""))=4,VALUE(SUBSTITUTE(SUBSTITUTE(SUBSTITUTE(TRIM(A418&amp;""),CHAR(160),"")," ",""),"년",""))&gt;=1900,VALUE(SUBSTITUTE(SUBSTITUTE(SUBSTITUTE(TRIM(A418&amp;""),CHAR(160),"")," ",""),"년",""))&lt;=2099,TEXT(VALUE(SUBSTITUTE(SUBSTITUTE(SUBSTITUTE(TRIM(A418&amp;""),CHAR(160),"")," ",""),"년","")),"0000")=SUBSTITUTE(SUBSTITUTE(SUBSTITUTE(TRIM(A418&amp;""),CHAR(160),"")," ",""),"년","")),SUBSTITUTE(SUBSTITUTE(SUBSTITUTE(TRIM(A418&amp;""),CHAR(160),"")," ",""),"년",""),""),"")</f>
      </c>
      <c r="I418" t="str">
        <f>SUBSTITUTE(SUBSTITUTE(SUBSTITUTE(SUBSTITUTE(SUBSTITUTE(TRIM(B418&amp;""),CHAR(160),"")," ",""),"초등학교","초"),"중학교","중"),"고등학교","고")</f>
      </c>
    </row>
    <row r="419" customFormat="false" ht="15" hidden="false" customHeight="false" outlineLevel="0" collapsed="false">
      <c r="A419" s="8"/>
      <c r="B419" s="8"/>
      <c r="C419" s="8"/>
      <c r="D419" s="8"/>
      <c r="E419" s="8"/>
      <c r="F419" t="str" s="15">
        <f aca="0">IF(B419="","",IF(H419="","확인필요(입력누락)",IF(SUMPRODUCT((실물목록!$P$2:$P$1001&lt;&gt;"")*ISNUMBER(SEARCH(실물목록!$P$2:$P$1001,I419))*(실물목록!$Q$2:$Q$1001&lt;&gt;"")*ISNUMBER(SEARCH(실물목록!$Q$2:$Q$1001,I419))*(실물목록!$R$2:$R$1001="")*(실물목록!$O$2:$O$1001&lt;&gt;"")*(실물목록!$O$2:$O$1001=H419))&gt;0,"실물 있음",IF(SUMPRODUCT((실물목록!$P$2:$P$1001&lt;&gt;"")*ISNUMBER(SEARCH(실물목록!$P$2:$P$1001,I419))*(실물목록!$R$2:$R$1001&lt;&gt;""))&gt;0,"확인필요(입력누락)",IF(SUMPRODUCT((실물목록!$P$2:$P$1001&lt;&gt;"")*ISNUMBER(SEARCH(실물목록!$P$2:$P$1001,I419))*(실물목록!$Q$2:$Q$1001&lt;&gt;"")*ISNUMBER(SEARCH(실물목록!$Q$2:$Q$1001,I419))*(실물목록!$R$2:$R$1001="")*(실물목록!$O$2:$O$1001&lt;&gt;""))&gt;0,"확인필요(연도다름)","실물 없음")))))</f>
      </c>
      <c r="G419" t="n" s="16">
        <f aca="0">IF(B419="","",SUMPRODUCT((실물목록!$P$2:$P$1001&lt;&gt;"")*ISNUMBER(SEARCH(실물목록!$P$2:$P$1001,I419))*(실물목록!$Q$2:$Q$1001&lt;&gt;"")*ISNUMBER(SEARCH(실물목록!$Q$2:$Q$1001,I419))*(실물목록!$R$2:$R$1001="")*(실물목록!$O$2:$O$1001&lt;&gt;"")*(실물목록!$O$2:$O$1001=H419)))</f>
      </c>
      <c r="H419" t="str">
        <f>IFERROR(IF(AND(LEN(SUBSTITUTE(SUBSTITUTE(SUBSTITUTE(TRIM(A419&amp;""),CHAR(160),"")," ",""),"년",""))=4,VALUE(SUBSTITUTE(SUBSTITUTE(SUBSTITUTE(TRIM(A419&amp;""),CHAR(160),"")," ",""),"년",""))&gt;=1900,VALUE(SUBSTITUTE(SUBSTITUTE(SUBSTITUTE(TRIM(A419&amp;""),CHAR(160),"")," ",""),"년",""))&lt;=2099,TEXT(VALUE(SUBSTITUTE(SUBSTITUTE(SUBSTITUTE(TRIM(A419&amp;""),CHAR(160),"")," ",""),"년","")),"0000")=SUBSTITUTE(SUBSTITUTE(SUBSTITUTE(TRIM(A419&amp;""),CHAR(160),"")," ",""),"년","")),SUBSTITUTE(SUBSTITUTE(SUBSTITUTE(TRIM(A419&amp;""),CHAR(160),"")," ",""),"년",""),""),"")</f>
      </c>
      <c r="I419" t="str">
        <f>SUBSTITUTE(SUBSTITUTE(SUBSTITUTE(SUBSTITUTE(SUBSTITUTE(TRIM(B419&amp;""),CHAR(160),"")," ",""),"초등학교","초"),"중학교","중"),"고등학교","고")</f>
      </c>
    </row>
    <row r="420" customFormat="false" ht="15" hidden="false" customHeight="false" outlineLevel="0" collapsed="false">
      <c r="A420" s="8"/>
      <c r="B420" s="8"/>
      <c r="C420" s="8"/>
      <c r="D420" s="8"/>
      <c r="E420" s="8"/>
      <c r="F420" t="str" s="15">
        <f aca="0">IF(B420="","",IF(H420="","확인필요(입력누락)",IF(SUMPRODUCT((실물목록!$P$2:$P$1001&lt;&gt;"")*ISNUMBER(SEARCH(실물목록!$P$2:$P$1001,I420))*(실물목록!$Q$2:$Q$1001&lt;&gt;"")*ISNUMBER(SEARCH(실물목록!$Q$2:$Q$1001,I420))*(실물목록!$R$2:$R$1001="")*(실물목록!$O$2:$O$1001&lt;&gt;"")*(실물목록!$O$2:$O$1001=H420))&gt;0,"실물 있음",IF(SUMPRODUCT((실물목록!$P$2:$P$1001&lt;&gt;"")*ISNUMBER(SEARCH(실물목록!$P$2:$P$1001,I420))*(실물목록!$R$2:$R$1001&lt;&gt;""))&gt;0,"확인필요(입력누락)",IF(SUMPRODUCT((실물목록!$P$2:$P$1001&lt;&gt;"")*ISNUMBER(SEARCH(실물목록!$P$2:$P$1001,I420))*(실물목록!$Q$2:$Q$1001&lt;&gt;"")*ISNUMBER(SEARCH(실물목록!$Q$2:$Q$1001,I420))*(실물목록!$R$2:$R$1001="")*(실물목록!$O$2:$O$1001&lt;&gt;""))&gt;0,"확인필요(연도다름)","실물 없음")))))</f>
      </c>
      <c r="G420" t="n" s="16">
        <f aca="0">IF(B420="","",SUMPRODUCT((실물목록!$P$2:$P$1001&lt;&gt;"")*ISNUMBER(SEARCH(실물목록!$P$2:$P$1001,I420))*(실물목록!$Q$2:$Q$1001&lt;&gt;"")*ISNUMBER(SEARCH(실물목록!$Q$2:$Q$1001,I420))*(실물목록!$R$2:$R$1001="")*(실물목록!$O$2:$O$1001&lt;&gt;"")*(실물목록!$O$2:$O$1001=H420)))</f>
      </c>
      <c r="H420" t="str">
        <f>IFERROR(IF(AND(LEN(SUBSTITUTE(SUBSTITUTE(SUBSTITUTE(TRIM(A420&amp;""),CHAR(160),"")," ",""),"년",""))=4,VALUE(SUBSTITUTE(SUBSTITUTE(SUBSTITUTE(TRIM(A420&amp;""),CHAR(160),"")," ",""),"년",""))&gt;=1900,VALUE(SUBSTITUTE(SUBSTITUTE(SUBSTITUTE(TRIM(A420&amp;""),CHAR(160),"")," ",""),"년",""))&lt;=2099,TEXT(VALUE(SUBSTITUTE(SUBSTITUTE(SUBSTITUTE(TRIM(A420&amp;""),CHAR(160),"")," ",""),"년","")),"0000")=SUBSTITUTE(SUBSTITUTE(SUBSTITUTE(TRIM(A420&amp;""),CHAR(160),"")," ",""),"년","")),SUBSTITUTE(SUBSTITUTE(SUBSTITUTE(TRIM(A420&amp;""),CHAR(160),"")," ",""),"년",""),""),"")</f>
      </c>
      <c r="I420" t="str">
        <f>SUBSTITUTE(SUBSTITUTE(SUBSTITUTE(SUBSTITUTE(SUBSTITUTE(TRIM(B420&amp;""),CHAR(160),"")," ",""),"초등학교","초"),"중학교","중"),"고등학교","고")</f>
      </c>
    </row>
    <row r="421" customFormat="false" ht="15" hidden="false" customHeight="false" outlineLevel="0" collapsed="false">
      <c r="A421" s="8"/>
      <c r="B421" s="8"/>
      <c r="C421" s="8"/>
      <c r="D421" s="8"/>
      <c r="E421" s="8"/>
      <c r="F421" t="str" s="15">
        <f aca="0">IF(B421="","",IF(H421="","확인필요(입력누락)",IF(SUMPRODUCT((실물목록!$P$2:$P$1001&lt;&gt;"")*ISNUMBER(SEARCH(실물목록!$P$2:$P$1001,I421))*(실물목록!$Q$2:$Q$1001&lt;&gt;"")*ISNUMBER(SEARCH(실물목록!$Q$2:$Q$1001,I421))*(실물목록!$R$2:$R$1001="")*(실물목록!$O$2:$O$1001&lt;&gt;"")*(실물목록!$O$2:$O$1001=H421))&gt;0,"실물 있음",IF(SUMPRODUCT((실물목록!$P$2:$P$1001&lt;&gt;"")*ISNUMBER(SEARCH(실물목록!$P$2:$P$1001,I421))*(실물목록!$R$2:$R$1001&lt;&gt;""))&gt;0,"확인필요(입력누락)",IF(SUMPRODUCT((실물목록!$P$2:$P$1001&lt;&gt;"")*ISNUMBER(SEARCH(실물목록!$P$2:$P$1001,I421))*(실물목록!$Q$2:$Q$1001&lt;&gt;"")*ISNUMBER(SEARCH(실물목록!$Q$2:$Q$1001,I421))*(실물목록!$R$2:$R$1001="")*(실물목록!$O$2:$O$1001&lt;&gt;""))&gt;0,"확인필요(연도다름)","실물 없음")))))</f>
      </c>
      <c r="G421" t="n" s="16">
        <f aca="0">IF(B421="","",SUMPRODUCT((실물목록!$P$2:$P$1001&lt;&gt;"")*ISNUMBER(SEARCH(실물목록!$P$2:$P$1001,I421))*(실물목록!$Q$2:$Q$1001&lt;&gt;"")*ISNUMBER(SEARCH(실물목록!$Q$2:$Q$1001,I421))*(실물목록!$R$2:$R$1001="")*(실물목록!$O$2:$O$1001&lt;&gt;"")*(실물목록!$O$2:$O$1001=H421)))</f>
      </c>
      <c r="H421" t="str">
        <f>IFERROR(IF(AND(LEN(SUBSTITUTE(SUBSTITUTE(SUBSTITUTE(TRIM(A421&amp;""),CHAR(160),"")," ",""),"년",""))=4,VALUE(SUBSTITUTE(SUBSTITUTE(SUBSTITUTE(TRIM(A421&amp;""),CHAR(160),"")," ",""),"년",""))&gt;=1900,VALUE(SUBSTITUTE(SUBSTITUTE(SUBSTITUTE(TRIM(A421&amp;""),CHAR(160),"")," ",""),"년",""))&lt;=2099,TEXT(VALUE(SUBSTITUTE(SUBSTITUTE(SUBSTITUTE(TRIM(A421&amp;""),CHAR(160),"")," ",""),"년","")),"0000")=SUBSTITUTE(SUBSTITUTE(SUBSTITUTE(TRIM(A421&amp;""),CHAR(160),"")," ",""),"년","")),SUBSTITUTE(SUBSTITUTE(SUBSTITUTE(TRIM(A421&amp;""),CHAR(160),"")," ",""),"년",""),""),"")</f>
      </c>
      <c r="I421" t="str">
        <f>SUBSTITUTE(SUBSTITUTE(SUBSTITUTE(SUBSTITUTE(SUBSTITUTE(TRIM(B421&amp;""),CHAR(160),"")," ",""),"초등학교","초"),"중학교","중"),"고등학교","고")</f>
      </c>
    </row>
    <row r="422" customFormat="false" ht="15" hidden="false" customHeight="false" outlineLevel="0" collapsed="false">
      <c r="A422" s="8"/>
      <c r="B422" s="8"/>
      <c r="C422" s="8"/>
      <c r="D422" s="8"/>
      <c r="E422" s="8"/>
      <c r="F422" t="str" s="15">
        <f aca="0">IF(B422="","",IF(H422="","확인필요(입력누락)",IF(SUMPRODUCT((실물목록!$P$2:$P$1001&lt;&gt;"")*ISNUMBER(SEARCH(실물목록!$P$2:$P$1001,I422))*(실물목록!$Q$2:$Q$1001&lt;&gt;"")*ISNUMBER(SEARCH(실물목록!$Q$2:$Q$1001,I422))*(실물목록!$R$2:$R$1001="")*(실물목록!$O$2:$O$1001&lt;&gt;"")*(실물목록!$O$2:$O$1001=H422))&gt;0,"실물 있음",IF(SUMPRODUCT((실물목록!$P$2:$P$1001&lt;&gt;"")*ISNUMBER(SEARCH(실물목록!$P$2:$P$1001,I422))*(실물목록!$R$2:$R$1001&lt;&gt;""))&gt;0,"확인필요(입력누락)",IF(SUMPRODUCT((실물목록!$P$2:$P$1001&lt;&gt;"")*ISNUMBER(SEARCH(실물목록!$P$2:$P$1001,I422))*(실물목록!$Q$2:$Q$1001&lt;&gt;"")*ISNUMBER(SEARCH(실물목록!$Q$2:$Q$1001,I422))*(실물목록!$R$2:$R$1001="")*(실물목록!$O$2:$O$1001&lt;&gt;""))&gt;0,"확인필요(연도다름)","실물 없음")))))</f>
      </c>
      <c r="G422" t="n" s="16">
        <f aca="0">IF(B422="","",SUMPRODUCT((실물목록!$P$2:$P$1001&lt;&gt;"")*ISNUMBER(SEARCH(실물목록!$P$2:$P$1001,I422))*(실물목록!$Q$2:$Q$1001&lt;&gt;"")*ISNUMBER(SEARCH(실물목록!$Q$2:$Q$1001,I422))*(실물목록!$R$2:$R$1001="")*(실물목록!$O$2:$O$1001&lt;&gt;"")*(실물목록!$O$2:$O$1001=H422)))</f>
      </c>
      <c r="H422" t="str">
        <f>IFERROR(IF(AND(LEN(SUBSTITUTE(SUBSTITUTE(SUBSTITUTE(TRIM(A422&amp;""),CHAR(160),"")," ",""),"년",""))=4,VALUE(SUBSTITUTE(SUBSTITUTE(SUBSTITUTE(TRIM(A422&amp;""),CHAR(160),"")," ",""),"년",""))&gt;=1900,VALUE(SUBSTITUTE(SUBSTITUTE(SUBSTITUTE(TRIM(A422&amp;""),CHAR(160),"")," ",""),"년",""))&lt;=2099,TEXT(VALUE(SUBSTITUTE(SUBSTITUTE(SUBSTITUTE(TRIM(A422&amp;""),CHAR(160),"")," ",""),"년","")),"0000")=SUBSTITUTE(SUBSTITUTE(SUBSTITUTE(TRIM(A422&amp;""),CHAR(160),"")," ",""),"년","")),SUBSTITUTE(SUBSTITUTE(SUBSTITUTE(TRIM(A422&amp;""),CHAR(160),"")," ",""),"년",""),""),"")</f>
      </c>
      <c r="I422" t="str">
        <f>SUBSTITUTE(SUBSTITUTE(SUBSTITUTE(SUBSTITUTE(SUBSTITUTE(TRIM(B422&amp;""),CHAR(160),"")," ",""),"초등학교","초"),"중학교","중"),"고등학교","고")</f>
      </c>
    </row>
    <row r="423" customFormat="false" ht="15" hidden="false" customHeight="false" outlineLevel="0" collapsed="false">
      <c r="A423" s="8"/>
      <c r="B423" s="8"/>
      <c r="C423" s="8"/>
      <c r="D423" s="8"/>
      <c r="E423" s="8"/>
      <c r="F423" t="str" s="15">
        <f aca="0">IF(B423="","",IF(H423="","확인필요(입력누락)",IF(SUMPRODUCT((실물목록!$P$2:$P$1001&lt;&gt;"")*ISNUMBER(SEARCH(실물목록!$P$2:$P$1001,I423))*(실물목록!$Q$2:$Q$1001&lt;&gt;"")*ISNUMBER(SEARCH(실물목록!$Q$2:$Q$1001,I423))*(실물목록!$R$2:$R$1001="")*(실물목록!$O$2:$O$1001&lt;&gt;"")*(실물목록!$O$2:$O$1001=H423))&gt;0,"실물 있음",IF(SUMPRODUCT((실물목록!$P$2:$P$1001&lt;&gt;"")*ISNUMBER(SEARCH(실물목록!$P$2:$P$1001,I423))*(실물목록!$R$2:$R$1001&lt;&gt;""))&gt;0,"확인필요(입력누락)",IF(SUMPRODUCT((실물목록!$P$2:$P$1001&lt;&gt;"")*ISNUMBER(SEARCH(실물목록!$P$2:$P$1001,I423))*(실물목록!$Q$2:$Q$1001&lt;&gt;"")*ISNUMBER(SEARCH(실물목록!$Q$2:$Q$1001,I423))*(실물목록!$R$2:$R$1001="")*(실물목록!$O$2:$O$1001&lt;&gt;""))&gt;0,"확인필요(연도다름)","실물 없음")))))</f>
      </c>
      <c r="G423" t="n" s="16">
        <f aca="0">IF(B423="","",SUMPRODUCT((실물목록!$P$2:$P$1001&lt;&gt;"")*ISNUMBER(SEARCH(실물목록!$P$2:$P$1001,I423))*(실물목록!$Q$2:$Q$1001&lt;&gt;"")*ISNUMBER(SEARCH(실물목록!$Q$2:$Q$1001,I423))*(실물목록!$R$2:$R$1001="")*(실물목록!$O$2:$O$1001&lt;&gt;"")*(실물목록!$O$2:$O$1001=H423)))</f>
      </c>
      <c r="H423" t="str">
        <f>IFERROR(IF(AND(LEN(SUBSTITUTE(SUBSTITUTE(SUBSTITUTE(TRIM(A423&amp;""),CHAR(160),"")," ",""),"년",""))=4,VALUE(SUBSTITUTE(SUBSTITUTE(SUBSTITUTE(TRIM(A423&amp;""),CHAR(160),"")," ",""),"년",""))&gt;=1900,VALUE(SUBSTITUTE(SUBSTITUTE(SUBSTITUTE(TRIM(A423&amp;""),CHAR(160),"")," ",""),"년",""))&lt;=2099,TEXT(VALUE(SUBSTITUTE(SUBSTITUTE(SUBSTITUTE(TRIM(A423&amp;""),CHAR(160),"")," ",""),"년","")),"0000")=SUBSTITUTE(SUBSTITUTE(SUBSTITUTE(TRIM(A423&amp;""),CHAR(160),"")," ",""),"년","")),SUBSTITUTE(SUBSTITUTE(SUBSTITUTE(TRIM(A423&amp;""),CHAR(160),"")," ",""),"년",""),""),"")</f>
      </c>
      <c r="I423" t="str">
        <f>SUBSTITUTE(SUBSTITUTE(SUBSTITUTE(SUBSTITUTE(SUBSTITUTE(TRIM(B423&amp;""),CHAR(160),"")," ",""),"초등학교","초"),"중학교","중"),"고등학교","고")</f>
      </c>
    </row>
    <row r="424" customFormat="false" ht="15" hidden="false" customHeight="false" outlineLevel="0" collapsed="false">
      <c r="A424" s="8"/>
      <c r="B424" s="8"/>
      <c r="C424" s="8"/>
      <c r="D424" s="8"/>
      <c r="E424" s="8"/>
      <c r="F424" t="str" s="15">
        <f aca="0">IF(B424="","",IF(H424="","확인필요(입력누락)",IF(SUMPRODUCT((실물목록!$P$2:$P$1001&lt;&gt;"")*ISNUMBER(SEARCH(실물목록!$P$2:$P$1001,I424))*(실물목록!$Q$2:$Q$1001&lt;&gt;"")*ISNUMBER(SEARCH(실물목록!$Q$2:$Q$1001,I424))*(실물목록!$R$2:$R$1001="")*(실물목록!$O$2:$O$1001&lt;&gt;"")*(실물목록!$O$2:$O$1001=H424))&gt;0,"실물 있음",IF(SUMPRODUCT((실물목록!$P$2:$P$1001&lt;&gt;"")*ISNUMBER(SEARCH(실물목록!$P$2:$P$1001,I424))*(실물목록!$R$2:$R$1001&lt;&gt;""))&gt;0,"확인필요(입력누락)",IF(SUMPRODUCT((실물목록!$P$2:$P$1001&lt;&gt;"")*ISNUMBER(SEARCH(실물목록!$P$2:$P$1001,I424))*(실물목록!$Q$2:$Q$1001&lt;&gt;"")*ISNUMBER(SEARCH(실물목록!$Q$2:$Q$1001,I424))*(실물목록!$R$2:$R$1001="")*(실물목록!$O$2:$O$1001&lt;&gt;""))&gt;0,"확인필요(연도다름)","실물 없음")))))</f>
      </c>
      <c r="G424" t="n" s="16">
        <f aca="0">IF(B424="","",SUMPRODUCT((실물목록!$P$2:$P$1001&lt;&gt;"")*ISNUMBER(SEARCH(실물목록!$P$2:$P$1001,I424))*(실물목록!$Q$2:$Q$1001&lt;&gt;"")*ISNUMBER(SEARCH(실물목록!$Q$2:$Q$1001,I424))*(실물목록!$R$2:$R$1001="")*(실물목록!$O$2:$O$1001&lt;&gt;"")*(실물목록!$O$2:$O$1001=H424)))</f>
      </c>
      <c r="H424" t="str">
        <f>IFERROR(IF(AND(LEN(SUBSTITUTE(SUBSTITUTE(SUBSTITUTE(TRIM(A424&amp;""),CHAR(160),"")," ",""),"년",""))=4,VALUE(SUBSTITUTE(SUBSTITUTE(SUBSTITUTE(TRIM(A424&amp;""),CHAR(160),"")," ",""),"년",""))&gt;=1900,VALUE(SUBSTITUTE(SUBSTITUTE(SUBSTITUTE(TRIM(A424&amp;""),CHAR(160),"")," ",""),"년",""))&lt;=2099,TEXT(VALUE(SUBSTITUTE(SUBSTITUTE(SUBSTITUTE(TRIM(A424&amp;""),CHAR(160),"")," ",""),"년","")),"0000")=SUBSTITUTE(SUBSTITUTE(SUBSTITUTE(TRIM(A424&amp;""),CHAR(160),"")," ",""),"년","")),SUBSTITUTE(SUBSTITUTE(SUBSTITUTE(TRIM(A424&amp;""),CHAR(160),"")," ",""),"년",""),""),"")</f>
      </c>
      <c r="I424" t="str">
        <f>SUBSTITUTE(SUBSTITUTE(SUBSTITUTE(SUBSTITUTE(SUBSTITUTE(TRIM(B424&amp;""),CHAR(160),"")," ",""),"초등학교","초"),"중학교","중"),"고등학교","고")</f>
      </c>
    </row>
    <row r="425" customFormat="false" ht="15" hidden="false" customHeight="false" outlineLevel="0" collapsed="false">
      <c r="A425" s="8"/>
      <c r="B425" s="8"/>
      <c r="C425" s="8"/>
      <c r="D425" s="8"/>
      <c r="E425" s="8"/>
      <c r="F425" t="str" s="15">
        <f aca="0">IF(B425="","",IF(H425="","확인필요(입력누락)",IF(SUMPRODUCT((실물목록!$P$2:$P$1001&lt;&gt;"")*ISNUMBER(SEARCH(실물목록!$P$2:$P$1001,I425))*(실물목록!$Q$2:$Q$1001&lt;&gt;"")*ISNUMBER(SEARCH(실물목록!$Q$2:$Q$1001,I425))*(실물목록!$R$2:$R$1001="")*(실물목록!$O$2:$O$1001&lt;&gt;"")*(실물목록!$O$2:$O$1001=H425))&gt;0,"실물 있음",IF(SUMPRODUCT((실물목록!$P$2:$P$1001&lt;&gt;"")*ISNUMBER(SEARCH(실물목록!$P$2:$P$1001,I425))*(실물목록!$R$2:$R$1001&lt;&gt;""))&gt;0,"확인필요(입력누락)",IF(SUMPRODUCT((실물목록!$P$2:$P$1001&lt;&gt;"")*ISNUMBER(SEARCH(실물목록!$P$2:$P$1001,I425))*(실물목록!$Q$2:$Q$1001&lt;&gt;"")*ISNUMBER(SEARCH(실물목록!$Q$2:$Q$1001,I425))*(실물목록!$R$2:$R$1001="")*(실물목록!$O$2:$O$1001&lt;&gt;""))&gt;0,"확인필요(연도다름)","실물 없음")))))</f>
      </c>
      <c r="G425" t="n" s="16">
        <f aca="0">IF(B425="","",SUMPRODUCT((실물목록!$P$2:$P$1001&lt;&gt;"")*ISNUMBER(SEARCH(실물목록!$P$2:$P$1001,I425))*(실물목록!$Q$2:$Q$1001&lt;&gt;"")*ISNUMBER(SEARCH(실물목록!$Q$2:$Q$1001,I425))*(실물목록!$R$2:$R$1001="")*(실물목록!$O$2:$O$1001&lt;&gt;"")*(실물목록!$O$2:$O$1001=H425)))</f>
      </c>
      <c r="H425" t="str">
        <f>IFERROR(IF(AND(LEN(SUBSTITUTE(SUBSTITUTE(SUBSTITUTE(TRIM(A425&amp;""),CHAR(160),"")," ",""),"년",""))=4,VALUE(SUBSTITUTE(SUBSTITUTE(SUBSTITUTE(TRIM(A425&amp;""),CHAR(160),"")," ",""),"년",""))&gt;=1900,VALUE(SUBSTITUTE(SUBSTITUTE(SUBSTITUTE(TRIM(A425&amp;""),CHAR(160),"")," ",""),"년",""))&lt;=2099,TEXT(VALUE(SUBSTITUTE(SUBSTITUTE(SUBSTITUTE(TRIM(A425&amp;""),CHAR(160),"")," ",""),"년","")),"0000")=SUBSTITUTE(SUBSTITUTE(SUBSTITUTE(TRIM(A425&amp;""),CHAR(160),"")," ",""),"년","")),SUBSTITUTE(SUBSTITUTE(SUBSTITUTE(TRIM(A425&amp;""),CHAR(160),"")," ",""),"년",""),""),"")</f>
      </c>
      <c r="I425" t="str">
        <f>SUBSTITUTE(SUBSTITUTE(SUBSTITUTE(SUBSTITUTE(SUBSTITUTE(TRIM(B425&amp;""),CHAR(160),"")," ",""),"초등학교","초"),"중학교","중"),"고등학교","고")</f>
      </c>
    </row>
    <row r="426" customFormat="false" ht="15" hidden="false" customHeight="false" outlineLevel="0" collapsed="false">
      <c r="A426" s="8"/>
      <c r="B426" s="8"/>
      <c r="C426" s="8"/>
      <c r="D426" s="8"/>
      <c r="E426" s="8"/>
      <c r="F426" t="str" s="15">
        <f aca="0">IF(B426="","",IF(H426="","확인필요(입력누락)",IF(SUMPRODUCT((실물목록!$P$2:$P$1001&lt;&gt;"")*ISNUMBER(SEARCH(실물목록!$P$2:$P$1001,I426))*(실물목록!$Q$2:$Q$1001&lt;&gt;"")*ISNUMBER(SEARCH(실물목록!$Q$2:$Q$1001,I426))*(실물목록!$R$2:$R$1001="")*(실물목록!$O$2:$O$1001&lt;&gt;"")*(실물목록!$O$2:$O$1001=H426))&gt;0,"실물 있음",IF(SUMPRODUCT((실물목록!$P$2:$P$1001&lt;&gt;"")*ISNUMBER(SEARCH(실물목록!$P$2:$P$1001,I426))*(실물목록!$R$2:$R$1001&lt;&gt;""))&gt;0,"확인필요(입력누락)",IF(SUMPRODUCT((실물목록!$P$2:$P$1001&lt;&gt;"")*ISNUMBER(SEARCH(실물목록!$P$2:$P$1001,I426))*(실물목록!$Q$2:$Q$1001&lt;&gt;"")*ISNUMBER(SEARCH(실물목록!$Q$2:$Q$1001,I426))*(실물목록!$R$2:$R$1001="")*(실물목록!$O$2:$O$1001&lt;&gt;""))&gt;0,"확인필요(연도다름)","실물 없음")))))</f>
      </c>
      <c r="G426" t="n" s="16">
        <f aca="0">IF(B426="","",SUMPRODUCT((실물목록!$P$2:$P$1001&lt;&gt;"")*ISNUMBER(SEARCH(실물목록!$P$2:$P$1001,I426))*(실물목록!$Q$2:$Q$1001&lt;&gt;"")*ISNUMBER(SEARCH(실물목록!$Q$2:$Q$1001,I426))*(실물목록!$R$2:$R$1001="")*(실물목록!$O$2:$O$1001&lt;&gt;"")*(실물목록!$O$2:$O$1001=H426)))</f>
      </c>
      <c r="H426" t="str">
        <f>IFERROR(IF(AND(LEN(SUBSTITUTE(SUBSTITUTE(SUBSTITUTE(TRIM(A426&amp;""),CHAR(160),"")," ",""),"년",""))=4,VALUE(SUBSTITUTE(SUBSTITUTE(SUBSTITUTE(TRIM(A426&amp;""),CHAR(160),"")," ",""),"년",""))&gt;=1900,VALUE(SUBSTITUTE(SUBSTITUTE(SUBSTITUTE(TRIM(A426&amp;""),CHAR(160),"")," ",""),"년",""))&lt;=2099,TEXT(VALUE(SUBSTITUTE(SUBSTITUTE(SUBSTITUTE(TRIM(A426&amp;""),CHAR(160),"")," ",""),"년","")),"0000")=SUBSTITUTE(SUBSTITUTE(SUBSTITUTE(TRIM(A426&amp;""),CHAR(160),"")," ",""),"년","")),SUBSTITUTE(SUBSTITUTE(SUBSTITUTE(TRIM(A426&amp;""),CHAR(160),"")," ",""),"년",""),""),"")</f>
      </c>
      <c r="I426" t="str">
        <f>SUBSTITUTE(SUBSTITUTE(SUBSTITUTE(SUBSTITUTE(SUBSTITUTE(TRIM(B426&amp;""),CHAR(160),"")," ",""),"초등학교","초"),"중학교","중"),"고등학교","고")</f>
      </c>
    </row>
    <row r="427" customFormat="false" ht="15" hidden="false" customHeight="false" outlineLevel="0" collapsed="false">
      <c r="A427" s="8"/>
      <c r="B427" s="8"/>
      <c r="C427" s="8"/>
      <c r="D427" s="8"/>
      <c r="E427" s="8"/>
      <c r="F427" t="str" s="15">
        <f aca="0">IF(B427="","",IF(H427="","확인필요(입력누락)",IF(SUMPRODUCT((실물목록!$P$2:$P$1001&lt;&gt;"")*ISNUMBER(SEARCH(실물목록!$P$2:$P$1001,I427))*(실물목록!$Q$2:$Q$1001&lt;&gt;"")*ISNUMBER(SEARCH(실물목록!$Q$2:$Q$1001,I427))*(실물목록!$R$2:$R$1001="")*(실물목록!$O$2:$O$1001&lt;&gt;"")*(실물목록!$O$2:$O$1001=H427))&gt;0,"실물 있음",IF(SUMPRODUCT((실물목록!$P$2:$P$1001&lt;&gt;"")*ISNUMBER(SEARCH(실물목록!$P$2:$P$1001,I427))*(실물목록!$R$2:$R$1001&lt;&gt;""))&gt;0,"확인필요(입력누락)",IF(SUMPRODUCT((실물목록!$P$2:$P$1001&lt;&gt;"")*ISNUMBER(SEARCH(실물목록!$P$2:$P$1001,I427))*(실물목록!$Q$2:$Q$1001&lt;&gt;"")*ISNUMBER(SEARCH(실물목록!$Q$2:$Q$1001,I427))*(실물목록!$R$2:$R$1001="")*(실물목록!$O$2:$O$1001&lt;&gt;""))&gt;0,"확인필요(연도다름)","실물 없음")))))</f>
      </c>
      <c r="G427" t="n" s="16">
        <f aca="0">IF(B427="","",SUMPRODUCT((실물목록!$P$2:$P$1001&lt;&gt;"")*ISNUMBER(SEARCH(실물목록!$P$2:$P$1001,I427))*(실물목록!$Q$2:$Q$1001&lt;&gt;"")*ISNUMBER(SEARCH(실물목록!$Q$2:$Q$1001,I427))*(실물목록!$R$2:$R$1001="")*(실물목록!$O$2:$O$1001&lt;&gt;"")*(실물목록!$O$2:$O$1001=H427)))</f>
      </c>
      <c r="H427" t="str">
        <f>IFERROR(IF(AND(LEN(SUBSTITUTE(SUBSTITUTE(SUBSTITUTE(TRIM(A427&amp;""),CHAR(160),"")," ",""),"년",""))=4,VALUE(SUBSTITUTE(SUBSTITUTE(SUBSTITUTE(TRIM(A427&amp;""),CHAR(160),"")," ",""),"년",""))&gt;=1900,VALUE(SUBSTITUTE(SUBSTITUTE(SUBSTITUTE(TRIM(A427&amp;""),CHAR(160),"")," ",""),"년",""))&lt;=2099,TEXT(VALUE(SUBSTITUTE(SUBSTITUTE(SUBSTITUTE(TRIM(A427&amp;""),CHAR(160),"")," ",""),"년","")),"0000")=SUBSTITUTE(SUBSTITUTE(SUBSTITUTE(TRIM(A427&amp;""),CHAR(160),"")," ",""),"년","")),SUBSTITUTE(SUBSTITUTE(SUBSTITUTE(TRIM(A427&amp;""),CHAR(160),"")," ",""),"년",""),""),"")</f>
      </c>
      <c r="I427" t="str">
        <f>SUBSTITUTE(SUBSTITUTE(SUBSTITUTE(SUBSTITUTE(SUBSTITUTE(TRIM(B427&amp;""),CHAR(160),"")," ",""),"초등학교","초"),"중학교","중"),"고등학교","고")</f>
      </c>
    </row>
    <row r="428" customFormat="false" ht="15" hidden="false" customHeight="false" outlineLevel="0" collapsed="false">
      <c r="A428" s="8"/>
      <c r="B428" s="8"/>
      <c r="C428" s="8"/>
      <c r="D428" s="8"/>
      <c r="E428" s="8"/>
      <c r="F428" t="str" s="15">
        <f aca="0">IF(B428="","",IF(H428="","확인필요(입력누락)",IF(SUMPRODUCT((실물목록!$P$2:$P$1001&lt;&gt;"")*ISNUMBER(SEARCH(실물목록!$P$2:$P$1001,I428))*(실물목록!$Q$2:$Q$1001&lt;&gt;"")*ISNUMBER(SEARCH(실물목록!$Q$2:$Q$1001,I428))*(실물목록!$R$2:$R$1001="")*(실물목록!$O$2:$O$1001&lt;&gt;"")*(실물목록!$O$2:$O$1001=H428))&gt;0,"실물 있음",IF(SUMPRODUCT((실물목록!$P$2:$P$1001&lt;&gt;"")*ISNUMBER(SEARCH(실물목록!$P$2:$P$1001,I428))*(실물목록!$R$2:$R$1001&lt;&gt;""))&gt;0,"확인필요(입력누락)",IF(SUMPRODUCT((실물목록!$P$2:$P$1001&lt;&gt;"")*ISNUMBER(SEARCH(실물목록!$P$2:$P$1001,I428))*(실물목록!$Q$2:$Q$1001&lt;&gt;"")*ISNUMBER(SEARCH(실물목록!$Q$2:$Q$1001,I428))*(실물목록!$R$2:$R$1001="")*(실물목록!$O$2:$O$1001&lt;&gt;""))&gt;0,"확인필요(연도다름)","실물 없음")))))</f>
      </c>
      <c r="G428" t="n" s="16">
        <f aca="0">IF(B428="","",SUMPRODUCT((실물목록!$P$2:$P$1001&lt;&gt;"")*ISNUMBER(SEARCH(실물목록!$P$2:$P$1001,I428))*(실물목록!$Q$2:$Q$1001&lt;&gt;"")*ISNUMBER(SEARCH(실물목록!$Q$2:$Q$1001,I428))*(실물목록!$R$2:$R$1001="")*(실물목록!$O$2:$O$1001&lt;&gt;"")*(실물목록!$O$2:$O$1001=H428)))</f>
      </c>
      <c r="H428" t="str">
        <f>IFERROR(IF(AND(LEN(SUBSTITUTE(SUBSTITUTE(SUBSTITUTE(TRIM(A428&amp;""),CHAR(160),"")," ",""),"년",""))=4,VALUE(SUBSTITUTE(SUBSTITUTE(SUBSTITUTE(TRIM(A428&amp;""),CHAR(160),"")," ",""),"년",""))&gt;=1900,VALUE(SUBSTITUTE(SUBSTITUTE(SUBSTITUTE(TRIM(A428&amp;""),CHAR(160),"")," ",""),"년",""))&lt;=2099,TEXT(VALUE(SUBSTITUTE(SUBSTITUTE(SUBSTITUTE(TRIM(A428&amp;""),CHAR(160),"")," ",""),"년","")),"0000")=SUBSTITUTE(SUBSTITUTE(SUBSTITUTE(TRIM(A428&amp;""),CHAR(160),"")," ",""),"년","")),SUBSTITUTE(SUBSTITUTE(SUBSTITUTE(TRIM(A428&amp;""),CHAR(160),"")," ",""),"년",""),""),"")</f>
      </c>
      <c r="I428" t="str">
        <f>SUBSTITUTE(SUBSTITUTE(SUBSTITUTE(SUBSTITUTE(SUBSTITUTE(TRIM(B428&amp;""),CHAR(160),"")," ",""),"초등학교","초"),"중학교","중"),"고등학교","고")</f>
      </c>
    </row>
    <row r="429" customFormat="false" ht="15" hidden="false" customHeight="false" outlineLevel="0" collapsed="false">
      <c r="A429" s="8"/>
      <c r="B429" s="8"/>
      <c r="C429" s="8"/>
      <c r="D429" s="8"/>
      <c r="E429" s="8"/>
      <c r="F429" t="str" s="15">
        <f aca="0">IF(B429="","",IF(H429="","확인필요(입력누락)",IF(SUMPRODUCT((실물목록!$P$2:$P$1001&lt;&gt;"")*ISNUMBER(SEARCH(실물목록!$P$2:$P$1001,I429))*(실물목록!$Q$2:$Q$1001&lt;&gt;"")*ISNUMBER(SEARCH(실물목록!$Q$2:$Q$1001,I429))*(실물목록!$R$2:$R$1001="")*(실물목록!$O$2:$O$1001&lt;&gt;"")*(실물목록!$O$2:$O$1001=H429))&gt;0,"실물 있음",IF(SUMPRODUCT((실물목록!$P$2:$P$1001&lt;&gt;"")*ISNUMBER(SEARCH(실물목록!$P$2:$P$1001,I429))*(실물목록!$R$2:$R$1001&lt;&gt;""))&gt;0,"확인필요(입력누락)",IF(SUMPRODUCT((실물목록!$P$2:$P$1001&lt;&gt;"")*ISNUMBER(SEARCH(실물목록!$P$2:$P$1001,I429))*(실물목록!$Q$2:$Q$1001&lt;&gt;"")*ISNUMBER(SEARCH(실물목록!$Q$2:$Q$1001,I429))*(실물목록!$R$2:$R$1001="")*(실물목록!$O$2:$O$1001&lt;&gt;""))&gt;0,"확인필요(연도다름)","실물 없음")))))</f>
      </c>
      <c r="G429" t="n" s="16">
        <f aca="0">IF(B429="","",SUMPRODUCT((실물목록!$P$2:$P$1001&lt;&gt;"")*ISNUMBER(SEARCH(실물목록!$P$2:$P$1001,I429))*(실물목록!$Q$2:$Q$1001&lt;&gt;"")*ISNUMBER(SEARCH(실물목록!$Q$2:$Q$1001,I429))*(실물목록!$R$2:$R$1001="")*(실물목록!$O$2:$O$1001&lt;&gt;"")*(실물목록!$O$2:$O$1001=H429)))</f>
      </c>
      <c r="H429" t="str">
        <f>IFERROR(IF(AND(LEN(SUBSTITUTE(SUBSTITUTE(SUBSTITUTE(TRIM(A429&amp;""),CHAR(160),"")," ",""),"년",""))=4,VALUE(SUBSTITUTE(SUBSTITUTE(SUBSTITUTE(TRIM(A429&amp;""),CHAR(160),"")," ",""),"년",""))&gt;=1900,VALUE(SUBSTITUTE(SUBSTITUTE(SUBSTITUTE(TRIM(A429&amp;""),CHAR(160),"")," ",""),"년",""))&lt;=2099,TEXT(VALUE(SUBSTITUTE(SUBSTITUTE(SUBSTITUTE(TRIM(A429&amp;""),CHAR(160),"")," ",""),"년","")),"0000")=SUBSTITUTE(SUBSTITUTE(SUBSTITUTE(TRIM(A429&amp;""),CHAR(160),"")," ",""),"년","")),SUBSTITUTE(SUBSTITUTE(SUBSTITUTE(TRIM(A429&amp;""),CHAR(160),"")," ",""),"년",""),""),"")</f>
      </c>
      <c r="I429" t="str">
        <f>SUBSTITUTE(SUBSTITUTE(SUBSTITUTE(SUBSTITUTE(SUBSTITUTE(TRIM(B429&amp;""),CHAR(160),"")," ",""),"초등학교","초"),"중학교","중"),"고등학교","고")</f>
      </c>
    </row>
    <row r="430" customFormat="false" ht="15" hidden="false" customHeight="false" outlineLevel="0" collapsed="false">
      <c r="A430" s="8"/>
      <c r="B430" s="8"/>
      <c r="C430" s="8"/>
      <c r="D430" s="8"/>
      <c r="E430" s="8"/>
      <c r="F430" t="str" s="15">
        <f aca="0">IF(B430="","",IF(H430="","확인필요(입력누락)",IF(SUMPRODUCT((실물목록!$P$2:$P$1001&lt;&gt;"")*ISNUMBER(SEARCH(실물목록!$P$2:$P$1001,I430))*(실물목록!$Q$2:$Q$1001&lt;&gt;"")*ISNUMBER(SEARCH(실물목록!$Q$2:$Q$1001,I430))*(실물목록!$R$2:$R$1001="")*(실물목록!$O$2:$O$1001&lt;&gt;"")*(실물목록!$O$2:$O$1001=H430))&gt;0,"실물 있음",IF(SUMPRODUCT((실물목록!$P$2:$P$1001&lt;&gt;"")*ISNUMBER(SEARCH(실물목록!$P$2:$P$1001,I430))*(실물목록!$R$2:$R$1001&lt;&gt;""))&gt;0,"확인필요(입력누락)",IF(SUMPRODUCT((실물목록!$P$2:$P$1001&lt;&gt;"")*ISNUMBER(SEARCH(실물목록!$P$2:$P$1001,I430))*(실물목록!$Q$2:$Q$1001&lt;&gt;"")*ISNUMBER(SEARCH(실물목록!$Q$2:$Q$1001,I430))*(실물목록!$R$2:$R$1001="")*(실물목록!$O$2:$O$1001&lt;&gt;""))&gt;0,"확인필요(연도다름)","실물 없음")))))</f>
      </c>
      <c r="G430" t="n" s="16">
        <f aca="0">IF(B430="","",SUMPRODUCT((실물목록!$P$2:$P$1001&lt;&gt;"")*ISNUMBER(SEARCH(실물목록!$P$2:$P$1001,I430))*(실물목록!$Q$2:$Q$1001&lt;&gt;"")*ISNUMBER(SEARCH(실물목록!$Q$2:$Q$1001,I430))*(실물목록!$R$2:$R$1001="")*(실물목록!$O$2:$O$1001&lt;&gt;"")*(실물목록!$O$2:$O$1001=H430)))</f>
      </c>
      <c r="H430" t="str">
        <f>IFERROR(IF(AND(LEN(SUBSTITUTE(SUBSTITUTE(SUBSTITUTE(TRIM(A430&amp;""),CHAR(160),"")," ",""),"년",""))=4,VALUE(SUBSTITUTE(SUBSTITUTE(SUBSTITUTE(TRIM(A430&amp;""),CHAR(160),"")," ",""),"년",""))&gt;=1900,VALUE(SUBSTITUTE(SUBSTITUTE(SUBSTITUTE(TRIM(A430&amp;""),CHAR(160),"")," ",""),"년",""))&lt;=2099,TEXT(VALUE(SUBSTITUTE(SUBSTITUTE(SUBSTITUTE(TRIM(A430&amp;""),CHAR(160),"")," ",""),"년","")),"0000")=SUBSTITUTE(SUBSTITUTE(SUBSTITUTE(TRIM(A430&amp;""),CHAR(160),"")," ",""),"년","")),SUBSTITUTE(SUBSTITUTE(SUBSTITUTE(TRIM(A430&amp;""),CHAR(160),"")," ",""),"년",""),""),"")</f>
      </c>
      <c r="I430" t="str">
        <f>SUBSTITUTE(SUBSTITUTE(SUBSTITUTE(SUBSTITUTE(SUBSTITUTE(TRIM(B430&amp;""),CHAR(160),"")," ",""),"초등학교","초"),"중학교","중"),"고등학교","고")</f>
      </c>
    </row>
    <row r="431" customFormat="false" ht="15" hidden="false" customHeight="false" outlineLevel="0" collapsed="false">
      <c r="A431" s="8"/>
      <c r="B431" s="8"/>
      <c r="C431" s="8"/>
      <c r="D431" s="8"/>
      <c r="E431" s="8"/>
      <c r="F431" t="str" s="15">
        <f aca="0">IF(B431="","",IF(H431="","확인필요(입력누락)",IF(SUMPRODUCT((실물목록!$P$2:$P$1001&lt;&gt;"")*ISNUMBER(SEARCH(실물목록!$P$2:$P$1001,I431))*(실물목록!$Q$2:$Q$1001&lt;&gt;"")*ISNUMBER(SEARCH(실물목록!$Q$2:$Q$1001,I431))*(실물목록!$R$2:$R$1001="")*(실물목록!$O$2:$O$1001&lt;&gt;"")*(실물목록!$O$2:$O$1001=H431))&gt;0,"실물 있음",IF(SUMPRODUCT((실물목록!$P$2:$P$1001&lt;&gt;"")*ISNUMBER(SEARCH(실물목록!$P$2:$P$1001,I431))*(실물목록!$R$2:$R$1001&lt;&gt;""))&gt;0,"확인필요(입력누락)",IF(SUMPRODUCT((실물목록!$P$2:$P$1001&lt;&gt;"")*ISNUMBER(SEARCH(실물목록!$P$2:$P$1001,I431))*(실물목록!$Q$2:$Q$1001&lt;&gt;"")*ISNUMBER(SEARCH(실물목록!$Q$2:$Q$1001,I431))*(실물목록!$R$2:$R$1001="")*(실물목록!$O$2:$O$1001&lt;&gt;""))&gt;0,"확인필요(연도다름)","실물 없음")))))</f>
      </c>
      <c r="G431" t="n" s="16">
        <f aca="0">IF(B431="","",SUMPRODUCT((실물목록!$P$2:$P$1001&lt;&gt;"")*ISNUMBER(SEARCH(실물목록!$P$2:$P$1001,I431))*(실물목록!$Q$2:$Q$1001&lt;&gt;"")*ISNUMBER(SEARCH(실물목록!$Q$2:$Q$1001,I431))*(실물목록!$R$2:$R$1001="")*(실물목록!$O$2:$O$1001&lt;&gt;"")*(실물목록!$O$2:$O$1001=H431)))</f>
      </c>
      <c r="H431" t="str">
        <f>IFERROR(IF(AND(LEN(SUBSTITUTE(SUBSTITUTE(SUBSTITUTE(TRIM(A431&amp;""),CHAR(160),"")," ",""),"년",""))=4,VALUE(SUBSTITUTE(SUBSTITUTE(SUBSTITUTE(TRIM(A431&amp;""),CHAR(160),"")," ",""),"년",""))&gt;=1900,VALUE(SUBSTITUTE(SUBSTITUTE(SUBSTITUTE(TRIM(A431&amp;""),CHAR(160),"")," ",""),"년",""))&lt;=2099,TEXT(VALUE(SUBSTITUTE(SUBSTITUTE(SUBSTITUTE(TRIM(A431&amp;""),CHAR(160),"")," ",""),"년","")),"0000")=SUBSTITUTE(SUBSTITUTE(SUBSTITUTE(TRIM(A431&amp;""),CHAR(160),"")," ",""),"년","")),SUBSTITUTE(SUBSTITUTE(SUBSTITUTE(TRIM(A431&amp;""),CHAR(160),"")," ",""),"년",""),""),"")</f>
      </c>
      <c r="I431" t="str">
        <f>SUBSTITUTE(SUBSTITUTE(SUBSTITUTE(SUBSTITUTE(SUBSTITUTE(TRIM(B431&amp;""),CHAR(160),"")," ",""),"초등학교","초"),"중학교","중"),"고등학교","고")</f>
      </c>
    </row>
    <row r="432" customFormat="false" ht="15" hidden="false" customHeight="false" outlineLevel="0" collapsed="false">
      <c r="A432" s="8"/>
      <c r="B432" s="8"/>
      <c r="C432" s="8"/>
      <c r="D432" s="8"/>
      <c r="E432" s="8"/>
      <c r="F432" t="str" s="15">
        <f aca="0">IF(B432="","",IF(H432="","확인필요(입력누락)",IF(SUMPRODUCT((실물목록!$P$2:$P$1001&lt;&gt;"")*ISNUMBER(SEARCH(실물목록!$P$2:$P$1001,I432))*(실물목록!$Q$2:$Q$1001&lt;&gt;"")*ISNUMBER(SEARCH(실물목록!$Q$2:$Q$1001,I432))*(실물목록!$R$2:$R$1001="")*(실물목록!$O$2:$O$1001&lt;&gt;"")*(실물목록!$O$2:$O$1001=H432))&gt;0,"실물 있음",IF(SUMPRODUCT((실물목록!$P$2:$P$1001&lt;&gt;"")*ISNUMBER(SEARCH(실물목록!$P$2:$P$1001,I432))*(실물목록!$R$2:$R$1001&lt;&gt;""))&gt;0,"확인필요(입력누락)",IF(SUMPRODUCT((실물목록!$P$2:$P$1001&lt;&gt;"")*ISNUMBER(SEARCH(실물목록!$P$2:$P$1001,I432))*(실물목록!$Q$2:$Q$1001&lt;&gt;"")*ISNUMBER(SEARCH(실물목록!$Q$2:$Q$1001,I432))*(실물목록!$R$2:$R$1001="")*(실물목록!$O$2:$O$1001&lt;&gt;""))&gt;0,"확인필요(연도다름)","실물 없음")))))</f>
      </c>
      <c r="G432" t="n" s="16">
        <f aca="0">IF(B432="","",SUMPRODUCT((실물목록!$P$2:$P$1001&lt;&gt;"")*ISNUMBER(SEARCH(실물목록!$P$2:$P$1001,I432))*(실물목록!$Q$2:$Q$1001&lt;&gt;"")*ISNUMBER(SEARCH(실물목록!$Q$2:$Q$1001,I432))*(실물목록!$R$2:$R$1001="")*(실물목록!$O$2:$O$1001&lt;&gt;"")*(실물목록!$O$2:$O$1001=H432)))</f>
      </c>
      <c r="H432" t="str">
        <f>IFERROR(IF(AND(LEN(SUBSTITUTE(SUBSTITUTE(SUBSTITUTE(TRIM(A432&amp;""),CHAR(160),"")," ",""),"년",""))=4,VALUE(SUBSTITUTE(SUBSTITUTE(SUBSTITUTE(TRIM(A432&amp;""),CHAR(160),"")," ",""),"년",""))&gt;=1900,VALUE(SUBSTITUTE(SUBSTITUTE(SUBSTITUTE(TRIM(A432&amp;""),CHAR(160),"")," ",""),"년",""))&lt;=2099,TEXT(VALUE(SUBSTITUTE(SUBSTITUTE(SUBSTITUTE(TRIM(A432&amp;""),CHAR(160),"")," ",""),"년","")),"0000")=SUBSTITUTE(SUBSTITUTE(SUBSTITUTE(TRIM(A432&amp;""),CHAR(160),"")," ",""),"년","")),SUBSTITUTE(SUBSTITUTE(SUBSTITUTE(TRIM(A432&amp;""),CHAR(160),"")," ",""),"년",""),""),"")</f>
      </c>
      <c r="I432" t="str">
        <f>SUBSTITUTE(SUBSTITUTE(SUBSTITUTE(SUBSTITUTE(SUBSTITUTE(TRIM(B432&amp;""),CHAR(160),"")," ",""),"초등학교","초"),"중학교","중"),"고등학교","고")</f>
      </c>
    </row>
    <row r="433" customFormat="false" ht="15" hidden="false" customHeight="false" outlineLevel="0" collapsed="false">
      <c r="A433" s="8"/>
      <c r="B433" s="8"/>
      <c r="C433" s="8"/>
      <c r="D433" s="8"/>
      <c r="E433" s="8"/>
      <c r="F433" t="str" s="15">
        <f aca="0">IF(B433="","",IF(H433="","확인필요(입력누락)",IF(SUMPRODUCT((실물목록!$P$2:$P$1001&lt;&gt;"")*ISNUMBER(SEARCH(실물목록!$P$2:$P$1001,I433))*(실물목록!$Q$2:$Q$1001&lt;&gt;"")*ISNUMBER(SEARCH(실물목록!$Q$2:$Q$1001,I433))*(실물목록!$R$2:$R$1001="")*(실물목록!$O$2:$O$1001&lt;&gt;"")*(실물목록!$O$2:$O$1001=H433))&gt;0,"실물 있음",IF(SUMPRODUCT((실물목록!$P$2:$P$1001&lt;&gt;"")*ISNUMBER(SEARCH(실물목록!$P$2:$P$1001,I433))*(실물목록!$R$2:$R$1001&lt;&gt;""))&gt;0,"확인필요(입력누락)",IF(SUMPRODUCT((실물목록!$P$2:$P$1001&lt;&gt;"")*ISNUMBER(SEARCH(실물목록!$P$2:$P$1001,I433))*(실물목록!$Q$2:$Q$1001&lt;&gt;"")*ISNUMBER(SEARCH(실물목록!$Q$2:$Q$1001,I433))*(실물목록!$R$2:$R$1001="")*(실물목록!$O$2:$O$1001&lt;&gt;""))&gt;0,"확인필요(연도다름)","실물 없음")))))</f>
      </c>
      <c r="G433" t="n" s="16">
        <f aca="0">IF(B433="","",SUMPRODUCT((실물목록!$P$2:$P$1001&lt;&gt;"")*ISNUMBER(SEARCH(실물목록!$P$2:$P$1001,I433))*(실물목록!$Q$2:$Q$1001&lt;&gt;"")*ISNUMBER(SEARCH(실물목록!$Q$2:$Q$1001,I433))*(실물목록!$R$2:$R$1001="")*(실물목록!$O$2:$O$1001&lt;&gt;"")*(실물목록!$O$2:$O$1001=H433)))</f>
      </c>
      <c r="H433" t="str">
        <f>IFERROR(IF(AND(LEN(SUBSTITUTE(SUBSTITUTE(SUBSTITUTE(TRIM(A433&amp;""),CHAR(160),"")," ",""),"년",""))=4,VALUE(SUBSTITUTE(SUBSTITUTE(SUBSTITUTE(TRIM(A433&amp;""),CHAR(160),"")," ",""),"년",""))&gt;=1900,VALUE(SUBSTITUTE(SUBSTITUTE(SUBSTITUTE(TRIM(A433&amp;""),CHAR(160),"")," ",""),"년",""))&lt;=2099,TEXT(VALUE(SUBSTITUTE(SUBSTITUTE(SUBSTITUTE(TRIM(A433&amp;""),CHAR(160),"")," ",""),"년","")),"0000")=SUBSTITUTE(SUBSTITUTE(SUBSTITUTE(TRIM(A433&amp;""),CHAR(160),"")," ",""),"년","")),SUBSTITUTE(SUBSTITUTE(SUBSTITUTE(TRIM(A433&amp;""),CHAR(160),"")," ",""),"년",""),""),"")</f>
      </c>
      <c r="I433" t="str">
        <f>SUBSTITUTE(SUBSTITUTE(SUBSTITUTE(SUBSTITUTE(SUBSTITUTE(TRIM(B433&amp;""),CHAR(160),"")," ",""),"초등학교","초"),"중학교","중"),"고등학교","고")</f>
      </c>
    </row>
    <row r="434" customFormat="false" ht="15" hidden="false" customHeight="false" outlineLevel="0" collapsed="false">
      <c r="A434" s="8"/>
      <c r="B434" s="8"/>
      <c r="C434" s="8"/>
      <c r="D434" s="8"/>
      <c r="E434" s="8"/>
      <c r="F434" t="str" s="15">
        <f aca="0">IF(B434="","",IF(H434="","확인필요(입력누락)",IF(SUMPRODUCT((실물목록!$P$2:$P$1001&lt;&gt;"")*ISNUMBER(SEARCH(실물목록!$P$2:$P$1001,I434))*(실물목록!$Q$2:$Q$1001&lt;&gt;"")*ISNUMBER(SEARCH(실물목록!$Q$2:$Q$1001,I434))*(실물목록!$R$2:$R$1001="")*(실물목록!$O$2:$O$1001&lt;&gt;"")*(실물목록!$O$2:$O$1001=H434))&gt;0,"실물 있음",IF(SUMPRODUCT((실물목록!$P$2:$P$1001&lt;&gt;"")*ISNUMBER(SEARCH(실물목록!$P$2:$P$1001,I434))*(실물목록!$R$2:$R$1001&lt;&gt;""))&gt;0,"확인필요(입력누락)",IF(SUMPRODUCT((실물목록!$P$2:$P$1001&lt;&gt;"")*ISNUMBER(SEARCH(실물목록!$P$2:$P$1001,I434))*(실물목록!$Q$2:$Q$1001&lt;&gt;"")*ISNUMBER(SEARCH(실물목록!$Q$2:$Q$1001,I434))*(실물목록!$R$2:$R$1001="")*(실물목록!$O$2:$O$1001&lt;&gt;""))&gt;0,"확인필요(연도다름)","실물 없음")))))</f>
      </c>
      <c r="G434" t="n" s="16">
        <f aca="0">IF(B434="","",SUMPRODUCT((실물목록!$P$2:$P$1001&lt;&gt;"")*ISNUMBER(SEARCH(실물목록!$P$2:$P$1001,I434))*(실물목록!$Q$2:$Q$1001&lt;&gt;"")*ISNUMBER(SEARCH(실물목록!$Q$2:$Q$1001,I434))*(실물목록!$R$2:$R$1001="")*(실물목록!$O$2:$O$1001&lt;&gt;"")*(실물목록!$O$2:$O$1001=H434)))</f>
      </c>
      <c r="H434" t="str">
        <f>IFERROR(IF(AND(LEN(SUBSTITUTE(SUBSTITUTE(SUBSTITUTE(TRIM(A434&amp;""),CHAR(160),"")," ",""),"년",""))=4,VALUE(SUBSTITUTE(SUBSTITUTE(SUBSTITUTE(TRIM(A434&amp;""),CHAR(160),"")," ",""),"년",""))&gt;=1900,VALUE(SUBSTITUTE(SUBSTITUTE(SUBSTITUTE(TRIM(A434&amp;""),CHAR(160),"")," ",""),"년",""))&lt;=2099,TEXT(VALUE(SUBSTITUTE(SUBSTITUTE(SUBSTITUTE(TRIM(A434&amp;""),CHAR(160),"")," ",""),"년","")),"0000")=SUBSTITUTE(SUBSTITUTE(SUBSTITUTE(TRIM(A434&amp;""),CHAR(160),"")," ",""),"년","")),SUBSTITUTE(SUBSTITUTE(SUBSTITUTE(TRIM(A434&amp;""),CHAR(160),"")," ",""),"년",""),""),"")</f>
      </c>
      <c r="I434" t="str">
        <f>SUBSTITUTE(SUBSTITUTE(SUBSTITUTE(SUBSTITUTE(SUBSTITUTE(TRIM(B434&amp;""),CHAR(160),"")," ",""),"초등학교","초"),"중학교","중"),"고등학교","고")</f>
      </c>
    </row>
    <row r="435" customFormat="false" ht="15" hidden="false" customHeight="false" outlineLevel="0" collapsed="false">
      <c r="A435" s="8"/>
      <c r="B435" s="8"/>
      <c r="C435" s="8"/>
      <c r="D435" s="8"/>
      <c r="E435" s="8"/>
      <c r="F435" t="str" s="15">
        <f aca="0">IF(B435="","",IF(H435="","확인필요(입력누락)",IF(SUMPRODUCT((실물목록!$P$2:$P$1001&lt;&gt;"")*ISNUMBER(SEARCH(실물목록!$P$2:$P$1001,I435))*(실물목록!$Q$2:$Q$1001&lt;&gt;"")*ISNUMBER(SEARCH(실물목록!$Q$2:$Q$1001,I435))*(실물목록!$R$2:$R$1001="")*(실물목록!$O$2:$O$1001&lt;&gt;"")*(실물목록!$O$2:$O$1001=H435))&gt;0,"실물 있음",IF(SUMPRODUCT((실물목록!$P$2:$P$1001&lt;&gt;"")*ISNUMBER(SEARCH(실물목록!$P$2:$P$1001,I435))*(실물목록!$R$2:$R$1001&lt;&gt;""))&gt;0,"확인필요(입력누락)",IF(SUMPRODUCT((실물목록!$P$2:$P$1001&lt;&gt;"")*ISNUMBER(SEARCH(실물목록!$P$2:$P$1001,I435))*(실물목록!$Q$2:$Q$1001&lt;&gt;"")*ISNUMBER(SEARCH(실물목록!$Q$2:$Q$1001,I435))*(실물목록!$R$2:$R$1001="")*(실물목록!$O$2:$O$1001&lt;&gt;""))&gt;0,"확인필요(연도다름)","실물 없음")))))</f>
      </c>
      <c r="G435" t="n" s="16">
        <f aca="0">IF(B435="","",SUMPRODUCT((실물목록!$P$2:$P$1001&lt;&gt;"")*ISNUMBER(SEARCH(실물목록!$P$2:$P$1001,I435))*(실물목록!$Q$2:$Q$1001&lt;&gt;"")*ISNUMBER(SEARCH(실물목록!$Q$2:$Q$1001,I435))*(실물목록!$R$2:$R$1001="")*(실물목록!$O$2:$O$1001&lt;&gt;"")*(실물목록!$O$2:$O$1001=H435)))</f>
      </c>
      <c r="H435" t="str">
        <f>IFERROR(IF(AND(LEN(SUBSTITUTE(SUBSTITUTE(SUBSTITUTE(TRIM(A435&amp;""),CHAR(160),"")," ",""),"년",""))=4,VALUE(SUBSTITUTE(SUBSTITUTE(SUBSTITUTE(TRIM(A435&amp;""),CHAR(160),"")," ",""),"년",""))&gt;=1900,VALUE(SUBSTITUTE(SUBSTITUTE(SUBSTITUTE(TRIM(A435&amp;""),CHAR(160),"")," ",""),"년",""))&lt;=2099,TEXT(VALUE(SUBSTITUTE(SUBSTITUTE(SUBSTITUTE(TRIM(A435&amp;""),CHAR(160),"")," ",""),"년","")),"0000")=SUBSTITUTE(SUBSTITUTE(SUBSTITUTE(TRIM(A435&amp;""),CHAR(160),"")," ",""),"년","")),SUBSTITUTE(SUBSTITUTE(SUBSTITUTE(TRIM(A435&amp;""),CHAR(160),"")," ",""),"년",""),""),"")</f>
      </c>
      <c r="I435" t="str">
        <f>SUBSTITUTE(SUBSTITUTE(SUBSTITUTE(SUBSTITUTE(SUBSTITUTE(TRIM(B435&amp;""),CHAR(160),"")," ",""),"초등학교","초"),"중학교","중"),"고등학교","고")</f>
      </c>
    </row>
    <row r="436" customFormat="false" ht="15" hidden="false" customHeight="false" outlineLevel="0" collapsed="false">
      <c r="A436" s="8"/>
      <c r="B436" s="8"/>
      <c r="C436" s="8"/>
      <c r="D436" s="8"/>
      <c r="E436" s="8"/>
      <c r="F436" t="str" s="15">
        <f aca="0">IF(B436="","",IF(H436="","확인필요(입력누락)",IF(SUMPRODUCT((실물목록!$P$2:$P$1001&lt;&gt;"")*ISNUMBER(SEARCH(실물목록!$P$2:$P$1001,I436))*(실물목록!$Q$2:$Q$1001&lt;&gt;"")*ISNUMBER(SEARCH(실물목록!$Q$2:$Q$1001,I436))*(실물목록!$R$2:$R$1001="")*(실물목록!$O$2:$O$1001&lt;&gt;"")*(실물목록!$O$2:$O$1001=H436))&gt;0,"실물 있음",IF(SUMPRODUCT((실물목록!$P$2:$P$1001&lt;&gt;"")*ISNUMBER(SEARCH(실물목록!$P$2:$P$1001,I436))*(실물목록!$R$2:$R$1001&lt;&gt;""))&gt;0,"확인필요(입력누락)",IF(SUMPRODUCT((실물목록!$P$2:$P$1001&lt;&gt;"")*ISNUMBER(SEARCH(실물목록!$P$2:$P$1001,I436))*(실물목록!$Q$2:$Q$1001&lt;&gt;"")*ISNUMBER(SEARCH(실물목록!$Q$2:$Q$1001,I436))*(실물목록!$R$2:$R$1001="")*(실물목록!$O$2:$O$1001&lt;&gt;""))&gt;0,"확인필요(연도다름)","실물 없음")))))</f>
      </c>
      <c r="G436" t="n" s="16">
        <f aca="0">IF(B436="","",SUMPRODUCT((실물목록!$P$2:$P$1001&lt;&gt;"")*ISNUMBER(SEARCH(실물목록!$P$2:$P$1001,I436))*(실물목록!$Q$2:$Q$1001&lt;&gt;"")*ISNUMBER(SEARCH(실물목록!$Q$2:$Q$1001,I436))*(실물목록!$R$2:$R$1001="")*(실물목록!$O$2:$O$1001&lt;&gt;"")*(실물목록!$O$2:$O$1001=H436)))</f>
      </c>
      <c r="H436" t="str">
        <f>IFERROR(IF(AND(LEN(SUBSTITUTE(SUBSTITUTE(SUBSTITUTE(TRIM(A436&amp;""),CHAR(160),"")," ",""),"년",""))=4,VALUE(SUBSTITUTE(SUBSTITUTE(SUBSTITUTE(TRIM(A436&amp;""),CHAR(160),"")," ",""),"년",""))&gt;=1900,VALUE(SUBSTITUTE(SUBSTITUTE(SUBSTITUTE(TRIM(A436&amp;""),CHAR(160),"")," ",""),"년",""))&lt;=2099,TEXT(VALUE(SUBSTITUTE(SUBSTITUTE(SUBSTITUTE(TRIM(A436&amp;""),CHAR(160),"")," ",""),"년","")),"0000")=SUBSTITUTE(SUBSTITUTE(SUBSTITUTE(TRIM(A436&amp;""),CHAR(160),"")," ",""),"년","")),SUBSTITUTE(SUBSTITUTE(SUBSTITUTE(TRIM(A436&amp;""),CHAR(160),"")," ",""),"년",""),""),"")</f>
      </c>
      <c r="I436" t="str">
        <f>SUBSTITUTE(SUBSTITUTE(SUBSTITUTE(SUBSTITUTE(SUBSTITUTE(TRIM(B436&amp;""),CHAR(160),"")," ",""),"초등학교","초"),"중학교","중"),"고등학교","고")</f>
      </c>
    </row>
    <row r="437" customFormat="false" ht="15" hidden="false" customHeight="false" outlineLevel="0" collapsed="false">
      <c r="A437" s="8"/>
      <c r="B437" s="8"/>
      <c r="C437" s="8"/>
      <c r="D437" s="8"/>
      <c r="E437" s="8"/>
      <c r="F437" t="str" s="15">
        <f aca="0">IF(B437="","",IF(H437="","확인필요(입력누락)",IF(SUMPRODUCT((실물목록!$P$2:$P$1001&lt;&gt;"")*ISNUMBER(SEARCH(실물목록!$P$2:$P$1001,I437))*(실물목록!$Q$2:$Q$1001&lt;&gt;"")*ISNUMBER(SEARCH(실물목록!$Q$2:$Q$1001,I437))*(실물목록!$R$2:$R$1001="")*(실물목록!$O$2:$O$1001&lt;&gt;"")*(실물목록!$O$2:$O$1001=H437))&gt;0,"실물 있음",IF(SUMPRODUCT((실물목록!$P$2:$P$1001&lt;&gt;"")*ISNUMBER(SEARCH(실물목록!$P$2:$P$1001,I437))*(실물목록!$R$2:$R$1001&lt;&gt;""))&gt;0,"확인필요(입력누락)",IF(SUMPRODUCT((실물목록!$P$2:$P$1001&lt;&gt;"")*ISNUMBER(SEARCH(실물목록!$P$2:$P$1001,I437))*(실물목록!$Q$2:$Q$1001&lt;&gt;"")*ISNUMBER(SEARCH(실물목록!$Q$2:$Q$1001,I437))*(실물목록!$R$2:$R$1001="")*(실물목록!$O$2:$O$1001&lt;&gt;""))&gt;0,"확인필요(연도다름)","실물 없음")))))</f>
      </c>
      <c r="G437" t="n" s="16">
        <f aca="0">IF(B437="","",SUMPRODUCT((실물목록!$P$2:$P$1001&lt;&gt;"")*ISNUMBER(SEARCH(실물목록!$P$2:$P$1001,I437))*(실물목록!$Q$2:$Q$1001&lt;&gt;"")*ISNUMBER(SEARCH(실물목록!$Q$2:$Q$1001,I437))*(실물목록!$R$2:$R$1001="")*(실물목록!$O$2:$O$1001&lt;&gt;"")*(실물목록!$O$2:$O$1001=H437)))</f>
      </c>
      <c r="H437" t="str">
        <f>IFERROR(IF(AND(LEN(SUBSTITUTE(SUBSTITUTE(SUBSTITUTE(TRIM(A437&amp;""),CHAR(160),"")," ",""),"년",""))=4,VALUE(SUBSTITUTE(SUBSTITUTE(SUBSTITUTE(TRIM(A437&amp;""),CHAR(160),"")," ",""),"년",""))&gt;=1900,VALUE(SUBSTITUTE(SUBSTITUTE(SUBSTITUTE(TRIM(A437&amp;""),CHAR(160),"")," ",""),"년",""))&lt;=2099,TEXT(VALUE(SUBSTITUTE(SUBSTITUTE(SUBSTITUTE(TRIM(A437&amp;""),CHAR(160),"")," ",""),"년","")),"0000")=SUBSTITUTE(SUBSTITUTE(SUBSTITUTE(TRIM(A437&amp;""),CHAR(160),"")," ",""),"년","")),SUBSTITUTE(SUBSTITUTE(SUBSTITUTE(TRIM(A437&amp;""),CHAR(160),"")," ",""),"년",""),""),"")</f>
      </c>
      <c r="I437" t="str">
        <f>SUBSTITUTE(SUBSTITUTE(SUBSTITUTE(SUBSTITUTE(SUBSTITUTE(TRIM(B437&amp;""),CHAR(160),"")," ",""),"초등학교","초"),"중학교","중"),"고등학교","고")</f>
      </c>
    </row>
    <row r="438" customFormat="false" ht="15" hidden="false" customHeight="false" outlineLevel="0" collapsed="false">
      <c r="A438" s="8"/>
      <c r="B438" s="8"/>
      <c r="C438" s="8"/>
      <c r="D438" s="8"/>
      <c r="E438" s="8"/>
      <c r="F438" t="str" s="15">
        <f aca="0">IF(B438="","",IF(H438="","확인필요(입력누락)",IF(SUMPRODUCT((실물목록!$P$2:$P$1001&lt;&gt;"")*ISNUMBER(SEARCH(실물목록!$P$2:$P$1001,I438))*(실물목록!$Q$2:$Q$1001&lt;&gt;"")*ISNUMBER(SEARCH(실물목록!$Q$2:$Q$1001,I438))*(실물목록!$R$2:$R$1001="")*(실물목록!$O$2:$O$1001&lt;&gt;"")*(실물목록!$O$2:$O$1001=H438))&gt;0,"실물 있음",IF(SUMPRODUCT((실물목록!$P$2:$P$1001&lt;&gt;"")*ISNUMBER(SEARCH(실물목록!$P$2:$P$1001,I438))*(실물목록!$R$2:$R$1001&lt;&gt;""))&gt;0,"확인필요(입력누락)",IF(SUMPRODUCT((실물목록!$P$2:$P$1001&lt;&gt;"")*ISNUMBER(SEARCH(실물목록!$P$2:$P$1001,I438))*(실물목록!$Q$2:$Q$1001&lt;&gt;"")*ISNUMBER(SEARCH(실물목록!$Q$2:$Q$1001,I438))*(실물목록!$R$2:$R$1001="")*(실물목록!$O$2:$O$1001&lt;&gt;""))&gt;0,"확인필요(연도다름)","실물 없음")))))</f>
      </c>
      <c r="G438" t="n" s="16">
        <f aca="0">IF(B438="","",SUMPRODUCT((실물목록!$P$2:$P$1001&lt;&gt;"")*ISNUMBER(SEARCH(실물목록!$P$2:$P$1001,I438))*(실물목록!$Q$2:$Q$1001&lt;&gt;"")*ISNUMBER(SEARCH(실물목록!$Q$2:$Q$1001,I438))*(실물목록!$R$2:$R$1001="")*(실물목록!$O$2:$O$1001&lt;&gt;"")*(실물목록!$O$2:$O$1001=H438)))</f>
      </c>
      <c r="H438" t="str">
        <f>IFERROR(IF(AND(LEN(SUBSTITUTE(SUBSTITUTE(SUBSTITUTE(TRIM(A438&amp;""),CHAR(160),"")," ",""),"년",""))=4,VALUE(SUBSTITUTE(SUBSTITUTE(SUBSTITUTE(TRIM(A438&amp;""),CHAR(160),"")," ",""),"년",""))&gt;=1900,VALUE(SUBSTITUTE(SUBSTITUTE(SUBSTITUTE(TRIM(A438&amp;""),CHAR(160),"")," ",""),"년",""))&lt;=2099,TEXT(VALUE(SUBSTITUTE(SUBSTITUTE(SUBSTITUTE(TRIM(A438&amp;""),CHAR(160),"")," ",""),"년","")),"0000")=SUBSTITUTE(SUBSTITUTE(SUBSTITUTE(TRIM(A438&amp;""),CHAR(160),"")," ",""),"년","")),SUBSTITUTE(SUBSTITUTE(SUBSTITUTE(TRIM(A438&amp;""),CHAR(160),"")," ",""),"년",""),""),"")</f>
      </c>
      <c r="I438" t="str">
        <f>SUBSTITUTE(SUBSTITUTE(SUBSTITUTE(SUBSTITUTE(SUBSTITUTE(TRIM(B438&amp;""),CHAR(160),"")," ",""),"초등학교","초"),"중학교","중"),"고등학교","고")</f>
      </c>
    </row>
    <row r="439" customFormat="false" ht="15" hidden="false" customHeight="false" outlineLevel="0" collapsed="false">
      <c r="A439" s="8"/>
      <c r="B439" s="8"/>
      <c r="C439" s="8"/>
      <c r="D439" s="8"/>
      <c r="E439" s="8"/>
      <c r="F439" t="str" s="15">
        <f aca="0">IF(B439="","",IF(H439="","확인필요(입력누락)",IF(SUMPRODUCT((실물목록!$P$2:$P$1001&lt;&gt;"")*ISNUMBER(SEARCH(실물목록!$P$2:$P$1001,I439))*(실물목록!$Q$2:$Q$1001&lt;&gt;"")*ISNUMBER(SEARCH(실물목록!$Q$2:$Q$1001,I439))*(실물목록!$R$2:$R$1001="")*(실물목록!$O$2:$O$1001&lt;&gt;"")*(실물목록!$O$2:$O$1001=H439))&gt;0,"실물 있음",IF(SUMPRODUCT((실물목록!$P$2:$P$1001&lt;&gt;"")*ISNUMBER(SEARCH(실물목록!$P$2:$P$1001,I439))*(실물목록!$R$2:$R$1001&lt;&gt;""))&gt;0,"확인필요(입력누락)",IF(SUMPRODUCT((실물목록!$P$2:$P$1001&lt;&gt;"")*ISNUMBER(SEARCH(실물목록!$P$2:$P$1001,I439))*(실물목록!$Q$2:$Q$1001&lt;&gt;"")*ISNUMBER(SEARCH(실물목록!$Q$2:$Q$1001,I439))*(실물목록!$R$2:$R$1001="")*(실물목록!$O$2:$O$1001&lt;&gt;""))&gt;0,"확인필요(연도다름)","실물 없음")))))</f>
      </c>
      <c r="G439" t="n" s="16">
        <f aca="0">IF(B439="","",SUMPRODUCT((실물목록!$P$2:$P$1001&lt;&gt;"")*ISNUMBER(SEARCH(실물목록!$P$2:$P$1001,I439))*(실물목록!$Q$2:$Q$1001&lt;&gt;"")*ISNUMBER(SEARCH(실물목록!$Q$2:$Q$1001,I439))*(실물목록!$R$2:$R$1001="")*(실물목록!$O$2:$O$1001&lt;&gt;"")*(실물목록!$O$2:$O$1001=H439)))</f>
      </c>
      <c r="H439" t="str">
        <f>IFERROR(IF(AND(LEN(SUBSTITUTE(SUBSTITUTE(SUBSTITUTE(TRIM(A439&amp;""),CHAR(160),"")," ",""),"년",""))=4,VALUE(SUBSTITUTE(SUBSTITUTE(SUBSTITUTE(TRIM(A439&amp;""),CHAR(160),"")," ",""),"년",""))&gt;=1900,VALUE(SUBSTITUTE(SUBSTITUTE(SUBSTITUTE(TRIM(A439&amp;""),CHAR(160),"")," ",""),"년",""))&lt;=2099,TEXT(VALUE(SUBSTITUTE(SUBSTITUTE(SUBSTITUTE(TRIM(A439&amp;""),CHAR(160),"")," ",""),"년","")),"0000")=SUBSTITUTE(SUBSTITUTE(SUBSTITUTE(TRIM(A439&amp;""),CHAR(160),"")," ",""),"년","")),SUBSTITUTE(SUBSTITUTE(SUBSTITUTE(TRIM(A439&amp;""),CHAR(160),"")," ",""),"년",""),""),"")</f>
      </c>
      <c r="I439" t="str">
        <f>SUBSTITUTE(SUBSTITUTE(SUBSTITUTE(SUBSTITUTE(SUBSTITUTE(TRIM(B439&amp;""),CHAR(160),"")," ",""),"초등학교","초"),"중학교","중"),"고등학교","고")</f>
      </c>
    </row>
    <row r="440" customFormat="false" ht="15" hidden="false" customHeight="false" outlineLevel="0" collapsed="false">
      <c r="A440" s="8"/>
      <c r="B440" s="8"/>
      <c r="C440" s="8"/>
      <c r="D440" s="8"/>
      <c r="E440" s="8"/>
      <c r="F440" t="str" s="15">
        <f aca="0">IF(B440="","",IF(H440="","확인필요(입력누락)",IF(SUMPRODUCT((실물목록!$P$2:$P$1001&lt;&gt;"")*ISNUMBER(SEARCH(실물목록!$P$2:$P$1001,I440))*(실물목록!$Q$2:$Q$1001&lt;&gt;"")*ISNUMBER(SEARCH(실물목록!$Q$2:$Q$1001,I440))*(실물목록!$R$2:$R$1001="")*(실물목록!$O$2:$O$1001&lt;&gt;"")*(실물목록!$O$2:$O$1001=H440))&gt;0,"실물 있음",IF(SUMPRODUCT((실물목록!$P$2:$P$1001&lt;&gt;"")*ISNUMBER(SEARCH(실물목록!$P$2:$P$1001,I440))*(실물목록!$R$2:$R$1001&lt;&gt;""))&gt;0,"확인필요(입력누락)",IF(SUMPRODUCT((실물목록!$P$2:$P$1001&lt;&gt;"")*ISNUMBER(SEARCH(실물목록!$P$2:$P$1001,I440))*(실물목록!$Q$2:$Q$1001&lt;&gt;"")*ISNUMBER(SEARCH(실물목록!$Q$2:$Q$1001,I440))*(실물목록!$R$2:$R$1001="")*(실물목록!$O$2:$O$1001&lt;&gt;""))&gt;0,"확인필요(연도다름)","실물 없음")))))</f>
      </c>
      <c r="G440" t="n" s="16">
        <f aca="0">IF(B440="","",SUMPRODUCT((실물목록!$P$2:$P$1001&lt;&gt;"")*ISNUMBER(SEARCH(실물목록!$P$2:$P$1001,I440))*(실물목록!$Q$2:$Q$1001&lt;&gt;"")*ISNUMBER(SEARCH(실물목록!$Q$2:$Q$1001,I440))*(실물목록!$R$2:$R$1001="")*(실물목록!$O$2:$O$1001&lt;&gt;"")*(실물목록!$O$2:$O$1001=H440)))</f>
      </c>
      <c r="H440" t="str">
        <f>IFERROR(IF(AND(LEN(SUBSTITUTE(SUBSTITUTE(SUBSTITUTE(TRIM(A440&amp;""),CHAR(160),"")," ",""),"년",""))=4,VALUE(SUBSTITUTE(SUBSTITUTE(SUBSTITUTE(TRIM(A440&amp;""),CHAR(160),"")," ",""),"년",""))&gt;=1900,VALUE(SUBSTITUTE(SUBSTITUTE(SUBSTITUTE(TRIM(A440&amp;""),CHAR(160),"")," ",""),"년",""))&lt;=2099,TEXT(VALUE(SUBSTITUTE(SUBSTITUTE(SUBSTITUTE(TRIM(A440&amp;""),CHAR(160),"")," ",""),"년","")),"0000")=SUBSTITUTE(SUBSTITUTE(SUBSTITUTE(TRIM(A440&amp;""),CHAR(160),"")," ",""),"년","")),SUBSTITUTE(SUBSTITUTE(SUBSTITUTE(TRIM(A440&amp;""),CHAR(160),"")," ",""),"년",""),""),"")</f>
      </c>
      <c r="I440" t="str">
        <f>SUBSTITUTE(SUBSTITUTE(SUBSTITUTE(SUBSTITUTE(SUBSTITUTE(TRIM(B440&amp;""),CHAR(160),"")," ",""),"초등학교","초"),"중학교","중"),"고등학교","고")</f>
      </c>
    </row>
    <row r="441" customFormat="false" ht="15" hidden="false" customHeight="false" outlineLevel="0" collapsed="false">
      <c r="A441" s="8"/>
      <c r="B441" s="8"/>
      <c r="C441" s="8"/>
      <c r="D441" s="8"/>
      <c r="E441" s="8"/>
      <c r="F441" t="str" s="15">
        <f aca="0">IF(B441="","",IF(H441="","확인필요(입력누락)",IF(SUMPRODUCT((실물목록!$P$2:$P$1001&lt;&gt;"")*ISNUMBER(SEARCH(실물목록!$P$2:$P$1001,I441))*(실물목록!$Q$2:$Q$1001&lt;&gt;"")*ISNUMBER(SEARCH(실물목록!$Q$2:$Q$1001,I441))*(실물목록!$R$2:$R$1001="")*(실물목록!$O$2:$O$1001&lt;&gt;"")*(실물목록!$O$2:$O$1001=H441))&gt;0,"실물 있음",IF(SUMPRODUCT((실물목록!$P$2:$P$1001&lt;&gt;"")*ISNUMBER(SEARCH(실물목록!$P$2:$P$1001,I441))*(실물목록!$R$2:$R$1001&lt;&gt;""))&gt;0,"확인필요(입력누락)",IF(SUMPRODUCT((실물목록!$P$2:$P$1001&lt;&gt;"")*ISNUMBER(SEARCH(실물목록!$P$2:$P$1001,I441))*(실물목록!$Q$2:$Q$1001&lt;&gt;"")*ISNUMBER(SEARCH(실물목록!$Q$2:$Q$1001,I441))*(실물목록!$R$2:$R$1001="")*(실물목록!$O$2:$O$1001&lt;&gt;""))&gt;0,"확인필요(연도다름)","실물 없음")))))</f>
      </c>
      <c r="G441" t="n" s="16">
        <f aca="0">IF(B441="","",SUMPRODUCT((실물목록!$P$2:$P$1001&lt;&gt;"")*ISNUMBER(SEARCH(실물목록!$P$2:$P$1001,I441))*(실물목록!$Q$2:$Q$1001&lt;&gt;"")*ISNUMBER(SEARCH(실물목록!$Q$2:$Q$1001,I441))*(실물목록!$R$2:$R$1001="")*(실물목록!$O$2:$O$1001&lt;&gt;"")*(실물목록!$O$2:$O$1001=H441)))</f>
      </c>
      <c r="H441" t="str">
        <f>IFERROR(IF(AND(LEN(SUBSTITUTE(SUBSTITUTE(SUBSTITUTE(TRIM(A441&amp;""),CHAR(160),"")," ",""),"년",""))=4,VALUE(SUBSTITUTE(SUBSTITUTE(SUBSTITUTE(TRIM(A441&amp;""),CHAR(160),"")," ",""),"년",""))&gt;=1900,VALUE(SUBSTITUTE(SUBSTITUTE(SUBSTITUTE(TRIM(A441&amp;""),CHAR(160),"")," ",""),"년",""))&lt;=2099,TEXT(VALUE(SUBSTITUTE(SUBSTITUTE(SUBSTITUTE(TRIM(A441&amp;""),CHAR(160),"")," ",""),"년","")),"0000")=SUBSTITUTE(SUBSTITUTE(SUBSTITUTE(TRIM(A441&amp;""),CHAR(160),"")," ",""),"년","")),SUBSTITUTE(SUBSTITUTE(SUBSTITUTE(TRIM(A441&amp;""),CHAR(160),"")," ",""),"년",""),""),"")</f>
      </c>
      <c r="I441" t="str">
        <f>SUBSTITUTE(SUBSTITUTE(SUBSTITUTE(SUBSTITUTE(SUBSTITUTE(TRIM(B441&amp;""),CHAR(160),"")," ",""),"초등학교","초"),"중학교","중"),"고등학교","고")</f>
      </c>
    </row>
    <row r="442" customFormat="false" ht="15" hidden="false" customHeight="false" outlineLevel="0" collapsed="false">
      <c r="A442" s="8"/>
      <c r="B442" s="8"/>
      <c r="C442" s="8"/>
      <c r="D442" s="8"/>
      <c r="E442" s="8"/>
      <c r="F442" t="str" s="15">
        <f aca="0">IF(B442="","",IF(H442="","확인필요(입력누락)",IF(SUMPRODUCT((실물목록!$P$2:$P$1001&lt;&gt;"")*ISNUMBER(SEARCH(실물목록!$P$2:$P$1001,I442))*(실물목록!$Q$2:$Q$1001&lt;&gt;"")*ISNUMBER(SEARCH(실물목록!$Q$2:$Q$1001,I442))*(실물목록!$R$2:$R$1001="")*(실물목록!$O$2:$O$1001&lt;&gt;"")*(실물목록!$O$2:$O$1001=H442))&gt;0,"실물 있음",IF(SUMPRODUCT((실물목록!$P$2:$P$1001&lt;&gt;"")*ISNUMBER(SEARCH(실물목록!$P$2:$P$1001,I442))*(실물목록!$R$2:$R$1001&lt;&gt;""))&gt;0,"확인필요(입력누락)",IF(SUMPRODUCT((실물목록!$P$2:$P$1001&lt;&gt;"")*ISNUMBER(SEARCH(실물목록!$P$2:$P$1001,I442))*(실물목록!$Q$2:$Q$1001&lt;&gt;"")*ISNUMBER(SEARCH(실물목록!$Q$2:$Q$1001,I442))*(실물목록!$R$2:$R$1001="")*(실물목록!$O$2:$O$1001&lt;&gt;""))&gt;0,"확인필요(연도다름)","실물 없음")))))</f>
      </c>
      <c r="G442" t="n" s="16">
        <f aca="0">IF(B442="","",SUMPRODUCT((실물목록!$P$2:$P$1001&lt;&gt;"")*ISNUMBER(SEARCH(실물목록!$P$2:$P$1001,I442))*(실물목록!$Q$2:$Q$1001&lt;&gt;"")*ISNUMBER(SEARCH(실물목록!$Q$2:$Q$1001,I442))*(실물목록!$R$2:$R$1001="")*(실물목록!$O$2:$O$1001&lt;&gt;"")*(실물목록!$O$2:$O$1001=H442)))</f>
      </c>
      <c r="H442" t="str">
        <f>IFERROR(IF(AND(LEN(SUBSTITUTE(SUBSTITUTE(SUBSTITUTE(TRIM(A442&amp;""),CHAR(160),"")," ",""),"년",""))=4,VALUE(SUBSTITUTE(SUBSTITUTE(SUBSTITUTE(TRIM(A442&amp;""),CHAR(160),"")," ",""),"년",""))&gt;=1900,VALUE(SUBSTITUTE(SUBSTITUTE(SUBSTITUTE(TRIM(A442&amp;""),CHAR(160),"")," ",""),"년",""))&lt;=2099,TEXT(VALUE(SUBSTITUTE(SUBSTITUTE(SUBSTITUTE(TRIM(A442&amp;""),CHAR(160),"")," ",""),"년","")),"0000")=SUBSTITUTE(SUBSTITUTE(SUBSTITUTE(TRIM(A442&amp;""),CHAR(160),"")," ",""),"년","")),SUBSTITUTE(SUBSTITUTE(SUBSTITUTE(TRIM(A442&amp;""),CHAR(160),"")," ",""),"년",""),""),"")</f>
      </c>
      <c r="I442" t="str">
        <f>SUBSTITUTE(SUBSTITUTE(SUBSTITUTE(SUBSTITUTE(SUBSTITUTE(TRIM(B442&amp;""),CHAR(160),"")," ",""),"초등학교","초"),"중학교","중"),"고등학교","고")</f>
      </c>
    </row>
    <row r="443" customFormat="false" ht="15" hidden="false" customHeight="false" outlineLevel="0" collapsed="false">
      <c r="A443" s="8"/>
      <c r="B443" s="8"/>
      <c r="C443" s="8"/>
      <c r="D443" s="8"/>
      <c r="E443" s="8"/>
      <c r="F443" t="str" s="15">
        <f aca="0">IF(B443="","",IF(H443="","확인필요(입력누락)",IF(SUMPRODUCT((실물목록!$P$2:$P$1001&lt;&gt;"")*ISNUMBER(SEARCH(실물목록!$P$2:$P$1001,I443))*(실물목록!$Q$2:$Q$1001&lt;&gt;"")*ISNUMBER(SEARCH(실물목록!$Q$2:$Q$1001,I443))*(실물목록!$R$2:$R$1001="")*(실물목록!$O$2:$O$1001&lt;&gt;"")*(실물목록!$O$2:$O$1001=H443))&gt;0,"실물 있음",IF(SUMPRODUCT((실물목록!$P$2:$P$1001&lt;&gt;"")*ISNUMBER(SEARCH(실물목록!$P$2:$P$1001,I443))*(실물목록!$R$2:$R$1001&lt;&gt;""))&gt;0,"확인필요(입력누락)",IF(SUMPRODUCT((실물목록!$P$2:$P$1001&lt;&gt;"")*ISNUMBER(SEARCH(실물목록!$P$2:$P$1001,I443))*(실물목록!$Q$2:$Q$1001&lt;&gt;"")*ISNUMBER(SEARCH(실물목록!$Q$2:$Q$1001,I443))*(실물목록!$R$2:$R$1001="")*(실물목록!$O$2:$O$1001&lt;&gt;""))&gt;0,"확인필요(연도다름)","실물 없음")))))</f>
      </c>
      <c r="G443" t="n" s="16">
        <f aca="0">IF(B443="","",SUMPRODUCT((실물목록!$P$2:$P$1001&lt;&gt;"")*ISNUMBER(SEARCH(실물목록!$P$2:$P$1001,I443))*(실물목록!$Q$2:$Q$1001&lt;&gt;"")*ISNUMBER(SEARCH(실물목록!$Q$2:$Q$1001,I443))*(실물목록!$R$2:$R$1001="")*(실물목록!$O$2:$O$1001&lt;&gt;"")*(실물목록!$O$2:$O$1001=H443)))</f>
      </c>
      <c r="H443" t="str">
        <f>IFERROR(IF(AND(LEN(SUBSTITUTE(SUBSTITUTE(SUBSTITUTE(TRIM(A443&amp;""),CHAR(160),"")," ",""),"년",""))=4,VALUE(SUBSTITUTE(SUBSTITUTE(SUBSTITUTE(TRIM(A443&amp;""),CHAR(160),"")," ",""),"년",""))&gt;=1900,VALUE(SUBSTITUTE(SUBSTITUTE(SUBSTITUTE(TRIM(A443&amp;""),CHAR(160),"")," ",""),"년",""))&lt;=2099,TEXT(VALUE(SUBSTITUTE(SUBSTITUTE(SUBSTITUTE(TRIM(A443&amp;""),CHAR(160),"")," ",""),"년","")),"0000")=SUBSTITUTE(SUBSTITUTE(SUBSTITUTE(TRIM(A443&amp;""),CHAR(160),"")," ",""),"년","")),SUBSTITUTE(SUBSTITUTE(SUBSTITUTE(TRIM(A443&amp;""),CHAR(160),"")," ",""),"년",""),""),"")</f>
      </c>
      <c r="I443" t="str">
        <f>SUBSTITUTE(SUBSTITUTE(SUBSTITUTE(SUBSTITUTE(SUBSTITUTE(TRIM(B443&amp;""),CHAR(160),"")," ",""),"초등학교","초"),"중학교","중"),"고등학교","고")</f>
      </c>
    </row>
    <row r="444" customFormat="false" ht="15" hidden="false" customHeight="false" outlineLevel="0" collapsed="false">
      <c r="A444" s="8"/>
      <c r="B444" s="8"/>
      <c r="C444" s="8"/>
      <c r="D444" s="8"/>
      <c r="E444" s="8"/>
      <c r="F444" t="str" s="15">
        <f aca="0">IF(B444="","",IF(H444="","확인필요(입력누락)",IF(SUMPRODUCT((실물목록!$P$2:$P$1001&lt;&gt;"")*ISNUMBER(SEARCH(실물목록!$P$2:$P$1001,I444))*(실물목록!$Q$2:$Q$1001&lt;&gt;"")*ISNUMBER(SEARCH(실물목록!$Q$2:$Q$1001,I444))*(실물목록!$R$2:$R$1001="")*(실물목록!$O$2:$O$1001&lt;&gt;"")*(실물목록!$O$2:$O$1001=H444))&gt;0,"실물 있음",IF(SUMPRODUCT((실물목록!$P$2:$P$1001&lt;&gt;"")*ISNUMBER(SEARCH(실물목록!$P$2:$P$1001,I444))*(실물목록!$R$2:$R$1001&lt;&gt;""))&gt;0,"확인필요(입력누락)",IF(SUMPRODUCT((실물목록!$P$2:$P$1001&lt;&gt;"")*ISNUMBER(SEARCH(실물목록!$P$2:$P$1001,I444))*(실물목록!$Q$2:$Q$1001&lt;&gt;"")*ISNUMBER(SEARCH(실물목록!$Q$2:$Q$1001,I444))*(실물목록!$R$2:$R$1001="")*(실물목록!$O$2:$O$1001&lt;&gt;""))&gt;0,"확인필요(연도다름)","실물 없음")))))</f>
      </c>
      <c r="G444" t="n" s="16">
        <f aca="0">IF(B444="","",SUMPRODUCT((실물목록!$P$2:$P$1001&lt;&gt;"")*ISNUMBER(SEARCH(실물목록!$P$2:$P$1001,I444))*(실물목록!$Q$2:$Q$1001&lt;&gt;"")*ISNUMBER(SEARCH(실물목록!$Q$2:$Q$1001,I444))*(실물목록!$R$2:$R$1001="")*(실물목록!$O$2:$O$1001&lt;&gt;"")*(실물목록!$O$2:$O$1001=H444)))</f>
      </c>
      <c r="H444" t="str">
        <f>IFERROR(IF(AND(LEN(SUBSTITUTE(SUBSTITUTE(SUBSTITUTE(TRIM(A444&amp;""),CHAR(160),"")," ",""),"년",""))=4,VALUE(SUBSTITUTE(SUBSTITUTE(SUBSTITUTE(TRIM(A444&amp;""),CHAR(160),"")," ",""),"년",""))&gt;=1900,VALUE(SUBSTITUTE(SUBSTITUTE(SUBSTITUTE(TRIM(A444&amp;""),CHAR(160),"")," ",""),"년",""))&lt;=2099,TEXT(VALUE(SUBSTITUTE(SUBSTITUTE(SUBSTITUTE(TRIM(A444&amp;""),CHAR(160),"")," ",""),"년","")),"0000")=SUBSTITUTE(SUBSTITUTE(SUBSTITUTE(TRIM(A444&amp;""),CHAR(160),"")," ",""),"년","")),SUBSTITUTE(SUBSTITUTE(SUBSTITUTE(TRIM(A444&amp;""),CHAR(160),"")," ",""),"년",""),""),"")</f>
      </c>
      <c r="I444" t="str">
        <f>SUBSTITUTE(SUBSTITUTE(SUBSTITUTE(SUBSTITUTE(SUBSTITUTE(TRIM(B444&amp;""),CHAR(160),"")," ",""),"초등학교","초"),"중학교","중"),"고등학교","고")</f>
      </c>
    </row>
    <row r="445" customFormat="false" ht="15" hidden="false" customHeight="false" outlineLevel="0" collapsed="false">
      <c r="A445" s="8"/>
      <c r="B445" s="8"/>
      <c r="C445" s="8"/>
      <c r="D445" s="8"/>
      <c r="E445" s="8"/>
      <c r="F445" t="str" s="15">
        <f aca="0">IF(B445="","",IF(H445="","확인필요(입력누락)",IF(SUMPRODUCT((실물목록!$P$2:$P$1001&lt;&gt;"")*ISNUMBER(SEARCH(실물목록!$P$2:$P$1001,I445))*(실물목록!$Q$2:$Q$1001&lt;&gt;"")*ISNUMBER(SEARCH(실물목록!$Q$2:$Q$1001,I445))*(실물목록!$R$2:$R$1001="")*(실물목록!$O$2:$O$1001&lt;&gt;"")*(실물목록!$O$2:$O$1001=H445))&gt;0,"실물 있음",IF(SUMPRODUCT((실물목록!$P$2:$P$1001&lt;&gt;"")*ISNUMBER(SEARCH(실물목록!$P$2:$P$1001,I445))*(실물목록!$R$2:$R$1001&lt;&gt;""))&gt;0,"확인필요(입력누락)",IF(SUMPRODUCT((실물목록!$P$2:$P$1001&lt;&gt;"")*ISNUMBER(SEARCH(실물목록!$P$2:$P$1001,I445))*(실물목록!$Q$2:$Q$1001&lt;&gt;"")*ISNUMBER(SEARCH(실물목록!$Q$2:$Q$1001,I445))*(실물목록!$R$2:$R$1001="")*(실물목록!$O$2:$O$1001&lt;&gt;""))&gt;0,"확인필요(연도다름)","실물 없음")))))</f>
      </c>
      <c r="G445" t="n" s="16">
        <f aca="0">IF(B445="","",SUMPRODUCT((실물목록!$P$2:$P$1001&lt;&gt;"")*ISNUMBER(SEARCH(실물목록!$P$2:$P$1001,I445))*(실물목록!$Q$2:$Q$1001&lt;&gt;"")*ISNUMBER(SEARCH(실물목록!$Q$2:$Q$1001,I445))*(실물목록!$R$2:$R$1001="")*(실물목록!$O$2:$O$1001&lt;&gt;"")*(실물목록!$O$2:$O$1001=H445)))</f>
      </c>
      <c r="H445" t="str">
        <f>IFERROR(IF(AND(LEN(SUBSTITUTE(SUBSTITUTE(SUBSTITUTE(TRIM(A445&amp;""),CHAR(160),"")," ",""),"년",""))=4,VALUE(SUBSTITUTE(SUBSTITUTE(SUBSTITUTE(TRIM(A445&amp;""),CHAR(160),"")," ",""),"년",""))&gt;=1900,VALUE(SUBSTITUTE(SUBSTITUTE(SUBSTITUTE(TRIM(A445&amp;""),CHAR(160),"")," ",""),"년",""))&lt;=2099,TEXT(VALUE(SUBSTITUTE(SUBSTITUTE(SUBSTITUTE(TRIM(A445&amp;""),CHAR(160),"")," ",""),"년","")),"0000")=SUBSTITUTE(SUBSTITUTE(SUBSTITUTE(TRIM(A445&amp;""),CHAR(160),"")," ",""),"년","")),SUBSTITUTE(SUBSTITUTE(SUBSTITUTE(TRIM(A445&amp;""),CHAR(160),"")," ",""),"년",""),""),"")</f>
      </c>
      <c r="I445" t="str">
        <f>SUBSTITUTE(SUBSTITUTE(SUBSTITUTE(SUBSTITUTE(SUBSTITUTE(TRIM(B445&amp;""),CHAR(160),"")," ",""),"초등학교","초"),"중학교","중"),"고등학교","고")</f>
      </c>
    </row>
    <row r="446" customFormat="false" ht="15" hidden="false" customHeight="false" outlineLevel="0" collapsed="false">
      <c r="A446" s="8"/>
      <c r="B446" s="8"/>
      <c r="C446" s="8"/>
      <c r="D446" s="8"/>
      <c r="E446" s="8"/>
      <c r="F446" t="str" s="15">
        <f aca="0">IF(B446="","",IF(H446="","확인필요(입력누락)",IF(SUMPRODUCT((실물목록!$P$2:$P$1001&lt;&gt;"")*ISNUMBER(SEARCH(실물목록!$P$2:$P$1001,I446))*(실물목록!$Q$2:$Q$1001&lt;&gt;"")*ISNUMBER(SEARCH(실물목록!$Q$2:$Q$1001,I446))*(실물목록!$R$2:$R$1001="")*(실물목록!$O$2:$O$1001&lt;&gt;"")*(실물목록!$O$2:$O$1001=H446))&gt;0,"실물 있음",IF(SUMPRODUCT((실물목록!$P$2:$P$1001&lt;&gt;"")*ISNUMBER(SEARCH(실물목록!$P$2:$P$1001,I446))*(실물목록!$R$2:$R$1001&lt;&gt;""))&gt;0,"확인필요(입력누락)",IF(SUMPRODUCT((실물목록!$P$2:$P$1001&lt;&gt;"")*ISNUMBER(SEARCH(실물목록!$P$2:$P$1001,I446))*(실물목록!$Q$2:$Q$1001&lt;&gt;"")*ISNUMBER(SEARCH(실물목록!$Q$2:$Q$1001,I446))*(실물목록!$R$2:$R$1001="")*(실물목록!$O$2:$O$1001&lt;&gt;""))&gt;0,"확인필요(연도다름)","실물 없음")))))</f>
      </c>
      <c r="G446" t="n" s="16">
        <f aca="0">IF(B446="","",SUMPRODUCT((실물목록!$P$2:$P$1001&lt;&gt;"")*ISNUMBER(SEARCH(실물목록!$P$2:$P$1001,I446))*(실물목록!$Q$2:$Q$1001&lt;&gt;"")*ISNUMBER(SEARCH(실물목록!$Q$2:$Q$1001,I446))*(실물목록!$R$2:$R$1001="")*(실물목록!$O$2:$O$1001&lt;&gt;"")*(실물목록!$O$2:$O$1001=H446)))</f>
      </c>
      <c r="H446" t="str">
        <f>IFERROR(IF(AND(LEN(SUBSTITUTE(SUBSTITUTE(SUBSTITUTE(TRIM(A446&amp;""),CHAR(160),"")," ",""),"년",""))=4,VALUE(SUBSTITUTE(SUBSTITUTE(SUBSTITUTE(TRIM(A446&amp;""),CHAR(160),"")," ",""),"년",""))&gt;=1900,VALUE(SUBSTITUTE(SUBSTITUTE(SUBSTITUTE(TRIM(A446&amp;""),CHAR(160),"")," ",""),"년",""))&lt;=2099,TEXT(VALUE(SUBSTITUTE(SUBSTITUTE(SUBSTITUTE(TRIM(A446&amp;""),CHAR(160),"")," ",""),"년","")),"0000")=SUBSTITUTE(SUBSTITUTE(SUBSTITUTE(TRIM(A446&amp;""),CHAR(160),"")," ",""),"년","")),SUBSTITUTE(SUBSTITUTE(SUBSTITUTE(TRIM(A446&amp;""),CHAR(160),"")," ",""),"년",""),""),"")</f>
      </c>
      <c r="I446" t="str">
        <f>SUBSTITUTE(SUBSTITUTE(SUBSTITUTE(SUBSTITUTE(SUBSTITUTE(TRIM(B446&amp;""),CHAR(160),"")," ",""),"초등학교","초"),"중학교","중"),"고등학교","고")</f>
      </c>
    </row>
    <row r="447" customFormat="false" ht="15" hidden="false" customHeight="false" outlineLevel="0" collapsed="false">
      <c r="A447" s="8"/>
      <c r="B447" s="8"/>
      <c r="C447" s="8"/>
      <c r="D447" s="8"/>
      <c r="E447" s="8"/>
      <c r="F447" t="str" s="15">
        <f aca="0">IF(B447="","",IF(H447="","확인필요(입력누락)",IF(SUMPRODUCT((실물목록!$P$2:$P$1001&lt;&gt;"")*ISNUMBER(SEARCH(실물목록!$P$2:$P$1001,I447))*(실물목록!$Q$2:$Q$1001&lt;&gt;"")*ISNUMBER(SEARCH(실물목록!$Q$2:$Q$1001,I447))*(실물목록!$R$2:$R$1001="")*(실물목록!$O$2:$O$1001&lt;&gt;"")*(실물목록!$O$2:$O$1001=H447))&gt;0,"실물 있음",IF(SUMPRODUCT((실물목록!$P$2:$P$1001&lt;&gt;"")*ISNUMBER(SEARCH(실물목록!$P$2:$P$1001,I447))*(실물목록!$R$2:$R$1001&lt;&gt;""))&gt;0,"확인필요(입력누락)",IF(SUMPRODUCT((실물목록!$P$2:$P$1001&lt;&gt;"")*ISNUMBER(SEARCH(실물목록!$P$2:$P$1001,I447))*(실물목록!$Q$2:$Q$1001&lt;&gt;"")*ISNUMBER(SEARCH(실물목록!$Q$2:$Q$1001,I447))*(실물목록!$R$2:$R$1001="")*(실물목록!$O$2:$O$1001&lt;&gt;""))&gt;0,"확인필요(연도다름)","실물 없음")))))</f>
      </c>
      <c r="G447" t="n" s="16">
        <f aca="0">IF(B447="","",SUMPRODUCT((실물목록!$P$2:$P$1001&lt;&gt;"")*ISNUMBER(SEARCH(실물목록!$P$2:$P$1001,I447))*(실물목록!$Q$2:$Q$1001&lt;&gt;"")*ISNUMBER(SEARCH(실물목록!$Q$2:$Q$1001,I447))*(실물목록!$R$2:$R$1001="")*(실물목록!$O$2:$O$1001&lt;&gt;"")*(실물목록!$O$2:$O$1001=H447)))</f>
      </c>
      <c r="H447" t="str">
        <f>IFERROR(IF(AND(LEN(SUBSTITUTE(SUBSTITUTE(SUBSTITUTE(TRIM(A447&amp;""),CHAR(160),"")," ",""),"년",""))=4,VALUE(SUBSTITUTE(SUBSTITUTE(SUBSTITUTE(TRIM(A447&amp;""),CHAR(160),"")," ",""),"년",""))&gt;=1900,VALUE(SUBSTITUTE(SUBSTITUTE(SUBSTITUTE(TRIM(A447&amp;""),CHAR(160),"")," ",""),"년",""))&lt;=2099,TEXT(VALUE(SUBSTITUTE(SUBSTITUTE(SUBSTITUTE(TRIM(A447&amp;""),CHAR(160),"")," ",""),"년","")),"0000")=SUBSTITUTE(SUBSTITUTE(SUBSTITUTE(TRIM(A447&amp;""),CHAR(160),"")," ",""),"년","")),SUBSTITUTE(SUBSTITUTE(SUBSTITUTE(TRIM(A447&amp;""),CHAR(160),"")," ",""),"년",""),""),"")</f>
      </c>
      <c r="I447" t="str">
        <f>SUBSTITUTE(SUBSTITUTE(SUBSTITUTE(SUBSTITUTE(SUBSTITUTE(TRIM(B447&amp;""),CHAR(160),"")," ",""),"초등학교","초"),"중학교","중"),"고등학교","고")</f>
      </c>
    </row>
    <row r="448" customFormat="false" ht="15" hidden="false" customHeight="false" outlineLevel="0" collapsed="false">
      <c r="A448" s="8"/>
      <c r="B448" s="8"/>
      <c r="C448" s="8"/>
      <c r="D448" s="8"/>
      <c r="E448" s="8"/>
      <c r="F448" t="str" s="15">
        <f aca="0">IF(B448="","",IF(H448="","확인필요(입력누락)",IF(SUMPRODUCT((실물목록!$P$2:$P$1001&lt;&gt;"")*ISNUMBER(SEARCH(실물목록!$P$2:$P$1001,I448))*(실물목록!$Q$2:$Q$1001&lt;&gt;"")*ISNUMBER(SEARCH(실물목록!$Q$2:$Q$1001,I448))*(실물목록!$R$2:$R$1001="")*(실물목록!$O$2:$O$1001&lt;&gt;"")*(실물목록!$O$2:$O$1001=H448))&gt;0,"실물 있음",IF(SUMPRODUCT((실물목록!$P$2:$P$1001&lt;&gt;"")*ISNUMBER(SEARCH(실물목록!$P$2:$P$1001,I448))*(실물목록!$R$2:$R$1001&lt;&gt;""))&gt;0,"확인필요(입력누락)",IF(SUMPRODUCT((실물목록!$P$2:$P$1001&lt;&gt;"")*ISNUMBER(SEARCH(실물목록!$P$2:$P$1001,I448))*(실물목록!$Q$2:$Q$1001&lt;&gt;"")*ISNUMBER(SEARCH(실물목록!$Q$2:$Q$1001,I448))*(실물목록!$R$2:$R$1001="")*(실물목록!$O$2:$O$1001&lt;&gt;""))&gt;0,"확인필요(연도다름)","실물 없음")))))</f>
      </c>
      <c r="G448" t="n" s="16">
        <f aca="0">IF(B448="","",SUMPRODUCT((실물목록!$P$2:$P$1001&lt;&gt;"")*ISNUMBER(SEARCH(실물목록!$P$2:$P$1001,I448))*(실물목록!$Q$2:$Q$1001&lt;&gt;"")*ISNUMBER(SEARCH(실물목록!$Q$2:$Q$1001,I448))*(실물목록!$R$2:$R$1001="")*(실물목록!$O$2:$O$1001&lt;&gt;"")*(실물목록!$O$2:$O$1001=H448)))</f>
      </c>
      <c r="H448" t="str">
        <f>IFERROR(IF(AND(LEN(SUBSTITUTE(SUBSTITUTE(SUBSTITUTE(TRIM(A448&amp;""),CHAR(160),"")," ",""),"년",""))=4,VALUE(SUBSTITUTE(SUBSTITUTE(SUBSTITUTE(TRIM(A448&amp;""),CHAR(160),"")," ",""),"년",""))&gt;=1900,VALUE(SUBSTITUTE(SUBSTITUTE(SUBSTITUTE(TRIM(A448&amp;""),CHAR(160),"")," ",""),"년",""))&lt;=2099,TEXT(VALUE(SUBSTITUTE(SUBSTITUTE(SUBSTITUTE(TRIM(A448&amp;""),CHAR(160),"")," ",""),"년","")),"0000")=SUBSTITUTE(SUBSTITUTE(SUBSTITUTE(TRIM(A448&amp;""),CHAR(160),"")," ",""),"년","")),SUBSTITUTE(SUBSTITUTE(SUBSTITUTE(TRIM(A448&amp;""),CHAR(160),"")," ",""),"년",""),""),"")</f>
      </c>
      <c r="I448" t="str">
        <f>SUBSTITUTE(SUBSTITUTE(SUBSTITUTE(SUBSTITUTE(SUBSTITUTE(TRIM(B448&amp;""),CHAR(160),"")," ",""),"초등학교","초"),"중학교","중"),"고등학교","고")</f>
      </c>
    </row>
    <row r="449" customFormat="false" ht="15" hidden="false" customHeight="false" outlineLevel="0" collapsed="false">
      <c r="A449" s="8"/>
      <c r="B449" s="8"/>
      <c r="C449" s="8"/>
      <c r="D449" s="8"/>
      <c r="E449" s="8"/>
      <c r="F449" t="str" s="15">
        <f aca="0">IF(B449="","",IF(H449="","확인필요(입력누락)",IF(SUMPRODUCT((실물목록!$P$2:$P$1001&lt;&gt;"")*ISNUMBER(SEARCH(실물목록!$P$2:$P$1001,I449))*(실물목록!$Q$2:$Q$1001&lt;&gt;"")*ISNUMBER(SEARCH(실물목록!$Q$2:$Q$1001,I449))*(실물목록!$R$2:$R$1001="")*(실물목록!$O$2:$O$1001&lt;&gt;"")*(실물목록!$O$2:$O$1001=H449))&gt;0,"실물 있음",IF(SUMPRODUCT((실물목록!$P$2:$P$1001&lt;&gt;"")*ISNUMBER(SEARCH(실물목록!$P$2:$P$1001,I449))*(실물목록!$R$2:$R$1001&lt;&gt;""))&gt;0,"확인필요(입력누락)",IF(SUMPRODUCT((실물목록!$P$2:$P$1001&lt;&gt;"")*ISNUMBER(SEARCH(실물목록!$P$2:$P$1001,I449))*(실물목록!$Q$2:$Q$1001&lt;&gt;"")*ISNUMBER(SEARCH(실물목록!$Q$2:$Q$1001,I449))*(실물목록!$R$2:$R$1001="")*(실물목록!$O$2:$O$1001&lt;&gt;""))&gt;0,"확인필요(연도다름)","실물 없음")))))</f>
      </c>
      <c r="G449" t="n" s="16">
        <f aca="0">IF(B449="","",SUMPRODUCT((실물목록!$P$2:$P$1001&lt;&gt;"")*ISNUMBER(SEARCH(실물목록!$P$2:$P$1001,I449))*(실물목록!$Q$2:$Q$1001&lt;&gt;"")*ISNUMBER(SEARCH(실물목록!$Q$2:$Q$1001,I449))*(실물목록!$R$2:$R$1001="")*(실물목록!$O$2:$O$1001&lt;&gt;"")*(실물목록!$O$2:$O$1001=H449)))</f>
      </c>
      <c r="H449" t="str">
        <f>IFERROR(IF(AND(LEN(SUBSTITUTE(SUBSTITUTE(SUBSTITUTE(TRIM(A449&amp;""),CHAR(160),"")," ",""),"년",""))=4,VALUE(SUBSTITUTE(SUBSTITUTE(SUBSTITUTE(TRIM(A449&amp;""),CHAR(160),"")," ",""),"년",""))&gt;=1900,VALUE(SUBSTITUTE(SUBSTITUTE(SUBSTITUTE(TRIM(A449&amp;""),CHAR(160),"")," ",""),"년",""))&lt;=2099,TEXT(VALUE(SUBSTITUTE(SUBSTITUTE(SUBSTITUTE(TRIM(A449&amp;""),CHAR(160),"")," ",""),"년","")),"0000")=SUBSTITUTE(SUBSTITUTE(SUBSTITUTE(TRIM(A449&amp;""),CHAR(160),"")," ",""),"년","")),SUBSTITUTE(SUBSTITUTE(SUBSTITUTE(TRIM(A449&amp;""),CHAR(160),"")," ",""),"년",""),""),"")</f>
      </c>
      <c r="I449" t="str">
        <f>SUBSTITUTE(SUBSTITUTE(SUBSTITUTE(SUBSTITUTE(SUBSTITUTE(TRIM(B449&amp;""),CHAR(160),"")," ",""),"초등학교","초"),"중학교","중"),"고등학교","고")</f>
      </c>
    </row>
    <row r="450" customFormat="false" ht="15" hidden="false" customHeight="false" outlineLevel="0" collapsed="false">
      <c r="A450" s="8"/>
      <c r="B450" s="8"/>
      <c r="C450" s="8"/>
      <c r="D450" s="8"/>
      <c r="E450" s="8"/>
      <c r="F450" t="str" s="15">
        <f aca="0">IF(B450="","",IF(H450="","확인필요(입력누락)",IF(SUMPRODUCT((실물목록!$P$2:$P$1001&lt;&gt;"")*ISNUMBER(SEARCH(실물목록!$P$2:$P$1001,I450))*(실물목록!$Q$2:$Q$1001&lt;&gt;"")*ISNUMBER(SEARCH(실물목록!$Q$2:$Q$1001,I450))*(실물목록!$R$2:$R$1001="")*(실물목록!$O$2:$O$1001&lt;&gt;"")*(실물목록!$O$2:$O$1001=H450))&gt;0,"실물 있음",IF(SUMPRODUCT((실물목록!$P$2:$P$1001&lt;&gt;"")*ISNUMBER(SEARCH(실물목록!$P$2:$P$1001,I450))*(실물목록!$R$2:$R$1001&lt;&gt;""))&gt;0,"확인필요(입력누락)",IF(SUMPRODUCT((실물목록!$P$2:$P$1001&lt;&gt;"")*ISNUMBER(SEARCH(실물목록!$P$2:$P$1001,I450))*(실물목록!$Q$2:$Q$1001&lt;&gt;"")*ISNUMBER(SEARCH(실물목록!$Q$2:$Q$1001,I450))*(실물목록!$R$2:$R$1001="")*(실물목록!$O$2:$O$1001&lt;&gt;""))&gt;0,"확인필요(연도다름)","실물 없음")))))</f>
      </c>
      <c r="G450" t="n" s="16">
        <f aca="0">IF(B450="","",SUMPRODUCT((실물목록!$P$2:$P$1001&lt;&gt;"")*ISNUMBER(SEARCH(실물목록!$P$2:$P$1001,I450))*(실물목록!$Q$2:$Q$1001&lt;&gt;"")*ISNUMBER(SEARCH(실물목록!$Q$2:$Q$1001,I450))*(실물목록!$R$2:$R$1001="")*(실물목록!$O$2:$O$1001&lt;&gt;"")*(실물목록!$O$2:$O$1001=H450)))</f>
      </c>
      <c r="H450" t="str">
        <f>IFERROR(IF(AND(LEN(SUBSTITUTE(SUBSTITUTE(SUBSTITUTE(TRIM(A450&amp;""),CHAR(160),"")," ",""),"년",""))=4,VALUE(SUBSTITUTE(SUBSTITUTE(SUBSTITUTE(TRIM(A450&amp;""),CHAR(160),"")," ",""),"년",""))&gt;=1900,VALUE(SUBSTITUTE(SUBSTITUTE(SUBSTITUTE(TRIM(A450&amp;""),CHAR(160),"")," ",""),"년",""))&lt;=2099,TEXT(VALUE(SUBSTITUTE(SUBSTITUTE(SUBSTITUTE(TRIM(A450&amp;""),CHAR(160),"")," ",""),"년","")),"0000")=SUBSTITUTE(SUBSTITUTE(SUBSTITUTE(TRIM(A450&amp;""),CHAR(160),"")," ",""),"년","")),SUBSTITUTE(SUBSTITUTE(SUBSTITUTE(TRIM(A450&amp;""),CHAR(160),"")," ",""),"년",""),""),"")</f>
      </c>
      <c r="I450" t="str">
        <f>SUBSTITUTE(SUBSTITUTE(SUBSTITUTE(SUBSTITUTE(SUBSTITUTE(TRIM(B450&amp;""),CHAR(160),"")," ",""),"초등학교","초"),"중학교","중"),"고등학교","고")</f>
      </c>
    </row>
    <row r="451" customFormat="false" ht="15" hidden="false" customHeight="false" outlineLevel="0" collapsed="false">
      <c r="A451" s="8"/>
      <c r="B451" s="8"/>
      <c r="C451" s="8"/>
      <c r="D451" s="8"/>
      <c r="E451" s="8"/>
      <c r="F451" t="str" s="15">
        <f aca="0">IF(B451="","",IF(H451="","확인필요(입력누락)",IF(SUMPRODUCT((실물목록!$P$2:$P$1001&lt;&gt;"")*ISNUMBER(SEARCH(실물목록!$P$2:$P$1001,I451))*(실물목록!$Q$2:$Q$1001&lt;&gt;"")*ISNUMBER(SEARCH(실물목록!$Q$2:$Q$1001,I451))*(실물목록!$R$2:$R$1001="")*(실물목록!$O$2:$O$1001&lt;&gt;"")*(실물목록!$O$2:$O$1001=H451))&gt;0,"실물 있음",IF(SUMPRODUCT((실물목록!$P$2:$P$1001&lt;&gt;"")*ISNUMBER(SEARCH(실물목록!$P$2:$P$1001,I451))*(실물목록!$R$2:$R$1001&lt;&gt;""))&gt;0,"확인필요(입력누락)",IF(SUMPRODUCT((실물목록!$P$2:$P$1001&lt;&gt;"")*ISNUMBER(SEARCH(실물목록!$P$2:$P$1001,I451))*(실물목록!$Q$2:$Q$1001&lt;&gt;"")*ISNUMBER(SEARCH(실물목록!$Q$2:$Q$1001,I451))*(실물목록!$R$2:$R$1001="")*(실물목록!$O$2:$O$1001&lt;&gt;""))&gt;0,"확인필요(연도다름)","실물 없음")))))</f>
      </c>
      <c r="G451" t="n" s="16">
        <f aca="0">IF(B451="","",SUMPRODUCT((실물목록!$P$2:$P$1001&lt;&gt;"")*ISNUMBER(SEARCH(실물목록!$P$2:$P$1001,I451))*(실물목록!$Q$2:$Q$1001&lt;&gt;"")*ISNUMBER(SEARCH(실물목록!$Q$2:$Q$1001,I451))*(실물목록!$R$2:$R$1001="")*(실물목록!$O$2:$O$1001&lt;&gt;"")*(실물목록!$O$2:$O$1001=H451)))</f>
      </c>
      <c r="H451" t="str">
        <f>IFERROR(IF(AND(LEN(SUBSTITUTE(SUBSTITUTE(SUBSTITUTE(TRIM(A451&amp;""),CHAR(160),"")," ",""),"년",""))=4,VALUE(SUBSTITUTE(SUBSTITUTE(SUBSTITUTE(TRIM(A451&amp;""),CHAR(160),"")," ",""),"년",""))&gt;=1900,VALUE(SUBSTITUTE(SUBSTITUTE(SUBSTITUTE(TRIM(A451&amp;""),CHAR(160),"")," ",""),"년",""))&lt;=2099,TEXT(VALUE(SUBSTITUTE(SUBSTITUTE(SUBSTITUTE(TRIM(A451&amp;""),CHAR(160),"")," ",""),"년","")),"0000")=SUBSTITUTE(SUBSTITUTE(SUBSTITUTE(TRIM(A451&amp;""),CHAR(160),"")," ",""),"년","")),SUBSTITUTE(SUBSTITUTE(SUBSTITUTE(TRIM(A451&amp;""),CHAR(160),"")," ",""),"년",""),""),"")</f>
      </c>
      <c r="I451" t="str">
        <f>SUBSTITUTE(SUBSTITUTE(SUBSTITUTE(SUBSTITUTE(SUBSTITUTE(TRIM(B451&amp;""),CHAR(160),"")," ",""),"초등학교","초"),"중학교","중"),"고등학교","고")</f>
      </c>
    </row>
    <row r="452" customFormat="false" ht="15" hidden="false" customHeight="false" outlineLevel="0" collapsed="false">
      <c r="A452" s="8"/>
      <c r="B452" s="8"/>
      <c r="C452" s="8"/>
      <c r="D452" s="8"/>
      <c r="E452" s="8"/>
      <c r="F452" t="str" s="15">
        <f aca="0">IF(B452="","",IF(H452="","확인필요(입력누락)",IF(SUMPRODUCT((실물목록!$P$2:$P$1001&lt;&gt;"")*ISNUMBER(SEARCH(실물목록!$P$2:$P$1001,I452))*(실물목록!$Q$2:$Q$1001&lt;&gt;"")*ISNUMBER(SEARCH(실물목록!$Q$2:$Q$1001,I452))*(실물목록!$R$2:$R$1001="")*(실물목록!$O$2:$O$1001&lt;&gt;"")*(실물목록!$O$2:$O$1001=H452))&gt;0,"실물 있음",IF(SUMPRODUCT((실물목록!$P$2:$P$1001&lt;&gt;"")*ISNUMBER(SEARCH(실물목록!$P$2:$P$1001,I452))*(실물목록!$R$2:$R$1001&lt;&gt;""))&gt;0,"확인필요(입력누락)",IF(SUMPRODUCT((실물목록!$P$2:$P$1001&lt;&gt;"")*ISNUMBER(SEARCH(실물목록!$P$2:$P$1001,I452))*(실물목록!$Q$2:$Q$1001&lt;&gt;"")*ISNUMBER(SEARCH(실물목록!$Q$2:$Q$1001,I452))*(실물목록!$R$2:$R$1001="")*(실물목록!$O$2:$O$1001&lt;&gt;""))&gt;0,"확인필요(연도다름)","실물 없음")))))</f>
      </c>
      <c r="G452" t="n" s="16">
        <f aca="0">IF(B452="","",SUMPRODUCT((실물목록!$P$2:$P$1001&lt;&gt;"")*ISNUMBER(SEARCH(실물목록!$P$2:$P$1001,I452))*(실물목록!$Q$2:$Q$1001&lt;&gt;"")*ISNUMBER(SEARCH(실물목록!$Q$2:$Q$1001,I452))*(실물목록!$R$2:$R$1001="")*(실물목록!$O$2:$O$1001&lt;&gt;"")*(실물목록!$O$2:$O$1001=H452)))</f>
      </c>
      <c r="H452" t="str">
        <f>IFERROR(IF(AND(LEN(SUBSTITUTE(SUBSTITUTE(SUBSTITUTE(TRIM(A452&amp;""),CHAR(160),"")," ",""),"년",""))=4,VALUE(SUBSTITUTE(SUBSTITUTE(SUBSTITUTE(TRIM(A452&amp;""),CHAR(160),"")," ",""),"년",""))&gt;=1900,VALUE(SUBSTITUTE(SUBSTITUTE(SUBSTITUTE(TRIM(A452&amp;""),CHAR(160),"")," ",""),"년",""))&lt;=2099,TEXT(VALUE(SUBSTITUTE(SUBSTITUTE(SUBSTITUTE(TRIM(A452&amp;""),CHAR(160),"")," ",""),"년","")),"0000")=SUBSTITUTE(SUBSTITUTE(SUBSTITUTE(TRIM(A452&amp;""),CHAR(160),"")," ",""),"년","")),SUBSTITUTE(SUBSTITUTE(SUBSTITUTE(TRIM(A452&amp;""),CHAR(160),"")," ",""),"년",""),""),"")</f>
      </c>
      <c r="I452" t="str">
        <f>SUBSTITUTE(SUBSTITUTE(SUBSTITUTE(SUBSTITUTE(SUBSTITUTE(TRIM(B452&amp;""),CHAR(160),"")," ",""),"초등학교","초"),"중학교","중"),"고등학교","고")</f>
      </c>
    </row>
    <row r="453" customFormat="false" ht="15" hidden="false" customHeight="false" outlineLevel="0" collapsed="false">
      <c r="A453" s="8"/>
      <c r="B453" s="8"/>
      <c r="C453" s="8"/>
      <c r="D453" s="8"/>
      <c r="E453" s="8"/>
      <c r="F453" t="str" s="15">
        <f aca="0">IF(B453="","",IF(H453="","확인필요(입력누락)",IF(SUMPRODUCT((실물목록!$P$2:$P$1001&lt;&gt;"")*ISNUMBER(SEARCH(실물목록!$P$2:$P$1001,I453))*(실물목록!$Q$2:$Q$1001&lt;&gt;"")*ISNUMBER(SEARCH(실물목록!$Q$2:$Q$1001,I453))*(실물목록!$R$2:$R$1001="")*(실물목록!$O$2:$O$1001&lt;&gt;"")*(실물목록!$O$2:$O$1001=H453))&gt;0,"실물 있음",IF(SUMPRODUCT((실물목록!$P$2:$P$1001&lt;&gt;"")*ISNUMBER(SEARCH(실물목록!$P$2:$P$1001,I453))*(실물목록!$R$2:$R$1001&lt;&gt;""))&gt;0,"확인필요(입력누락)",IF(SUMPRODUCT((실물목록!$P$2:$P$1001&lt;&gt;"")*ISNUMBER(SEARCH(실물목록!$P$2:$P$1001,I453))*(실물목록!$Q$2:$Q$1001&lt;&gt;"")*ISNUMBER(SEARCH(실물목록!$Q$2:$Q$1001,I453))*(실물목록!$R$2:$R$1001="")*(실물목록!$O$2:$O$1001&lt;&gt;""))&gt;0,"확인필요(연도다름)","실물 없음")))))</f>
      </c>
      <c r="G453" t="n" s="16">
        <f aca="0">IF(B453="","",SUMPRODUCT((실물목록!$P$2:$P$1001&lt;&gt;"")*ISNUMBER(SEARCH(실물목록!$P$2:$P$1001,I453))*(실물목록!$Q$2:$Q$1001&lt;&gt;"")*ISNUMBER(SEARCH(실물목록!$Q$2:$Q$1001,I453))*(실물목록!$R$2:$R$1001="")*(실물목록!$O$2:$O$1001&lt;&gt;"")*(실물목록!$O$2:$O$1001=H453)))</f>
      </c>
      <c r="H453" t="str">
        <f>IFERROR(IF(AND(LEN(SUBSTITUTE(SUBSTITUTE(SUBSTITUTE(TRIM(A453&amp;""),CHAR(160),"")," ",""),"년",""))=4,VALUE(SUBSTITUTE(SUBSTITUTE(SUBSTITUTE(TRIM(A453&amp;""),CHAR(160),"")," ",""),"년",""))&gt;=1900,VALUE(SUBSTITUTE(SUBSTITUTE(SUBSTITUTE(TRIM(A453&amp;""),CHAR(160),"")," ",""),"년",""))&lt;=2099,TEXT(VALUE(SUBSTITUTE(SUBSTITUTE(SUBSTITUTE(TRIM(A453&amp;""),CHAR(160),"")," ",""),"년","")),"0000")=SUBSTITUTE(SUBSTITUTE(SUBSTITUTE(TRIM(A453&amp;""),CHAR(160),"")," ",""),"년","")),SUBSTITUTE(SUBSTITUTE(SUBSTITUTE(TRIM(A453&amp;""),CHAR(160),"")," ",""),"년",""),""),"")</f>
      </c>
      <c r="I453" t="str">
        <f>SUBSTITUTE(SUBSTITUTE(SUBSTITUTE(SUBSTITUTE(SUBSTITUTE(TRIM(B453&amp;""),CHAR(160),"")," ",""),"초등학교","초"),"중학교","중"),"고등학교","고")</f>
      </c>
    </row>
    <row r="454" customFormat="false" ht="15" hidden="false" customHeight="false" outlineLevel="0" collapsed="false">
      <c r="A454" s="8"/>
      <c r="B454" s="8"/>
      <c r="C454" s="8"/>
      <c r="D454" s="8"/>
      <c r="E454" s="8"/>
      <c r="F454" t="str" s="15">
        <f aca="0">IF(B454="","",IF(H454="","확인필요(입력누락)",IF(SUMPRODUCT((실물목록!$P$2:$P$1001&lt;&gt;"")*ISNUMBER(SEARCH(실물목록!$P$2:$P$1001,I454))*(실물목록!$Q$2:$Q$1001&lt;&gt;"")*ISNUMBER(SEARCH(실물목록!$Q$2:$Q$1001,I454))*(실물목록!$R$2:$R$1001="")*(실물목록!$O$2:$O$1001&lt;&gt;"")*(실물목록!$O$2:$O$1001=H454))&gt;0,"실물 있음",IF(SUMPRODUCT((실물목록!$P$2:$P$1001&lt;&gt;"")*ISNUMBER(SEARCH(실물목록!$P$2:$P$1001,I454))*(실물목록!$R$2:$R$1001&lt;&gt;""))&gt;0,"확인필요(입력누락)",IF(SUMPRODUCT((실물목록!$P$2:$P$1001&lt;&gt;"")*ISNUMBER(SEARCH(실물목록!$P$2:$P$1001,I454))*(실물목록!$Q$2:$Q$1001&lt;&gt;"")*ISNUMBER(SEARCH(실물목록!$Q$2:$Q$1001,I454))*(실물목록!$R$2:$R$1001="")*(실물목록!$O$2:$O$1001&lt;&gt;""))&gt;0,"확인필요(연도다름)","실물 없음")))))</f>
      </c>
      <c r="G454" t="n" s="16">
        <f aca="0">IF(B454="","",SUMPRODUCT((실물목록!$P$2:$P$1001&lt;&gt;"")*ISNUMBER(SEARCH(실물목록!$P$2:$P$1001,I454))*(실물목록!$Q$2:$Q$1001&lt;&gt;"")*ISNUMBER(SEARCH(실물목록!$Q$2:$Q$1001,I454))*(실물목록!$R$2:$R$1001="")*(실물목록!$O$2:$O$1001&lt;&gt;"")*(실물목록!$O$2:$O$1001=H454)))</f>
      </c>
      <c r="H454" t="str">
        <f>IFERROR(IF(AND(LEN(SUBSTITUTE(SUBSTITUTE(SUBSTITUTE(TRIM(A454&amp;""),CHAR(160),"")," ",""),"년",""))=4,VALUE(SUBSTITUTE(SUBSTITUTE(SUBSTITUTE(TRIM(A454&amp;""),CHAR(160),"")," ",""),"년",""))&gt;=1900,VALUE(SUBSTITUTE(SUBSTITUTE(SUBSTITUTE(TRIM(A454&amp;""),CHAR(160),"")," ",""),"년",""))&lt;=2099,TEXT(VALUE(SUBSTITUTE(SUBSTITUTE(SUBSTITUTE(TRIM(A454&amp;""),CHAR(160),"")," ",""),"년","")),"0000")=SUBSTITUTE(SUBSTITUTE(SUBSTITUTE(TRIM(A454&amp;""),CHAR(160),"")," ",""),"년","")),SUBSTITUTE(SUBSTITUTE(SUBSTITUTE(TRIM(A454&amp;""),CHAR(160),"")," ",""),"년",""),""),"")</f>
      </c>
      <c r="I454" t="str">
        <f>SUBSTITUTE(SUBSTITUTE(SUBSTITUTE(SUBSTITUTE(SUBSTITUTE(TRIM(B454&amp;""),CHAR(160),"")," ",""),"초등학교","초"),"중학교","중"),"고등학교","고")</f>
      </c>
    </row>
    <row r="455" customFormat="false" ht="15" hidden="false" customHeight="false" outlineLevel="0" collapsed="false">
      <c r="A455" s="8"/>
      <c r="B455" s="8"/>
      <c r="C455" s="8"/>
      <c r="D455" s="8"/>
      <c r="E455" s="8"/>
      <c r="F455" t="str" s="15">
        <f aca="0">IF(B455="","",IF(H455="","확인필요(입력누락)",IF(SUMPRODUCT((실물목록!$P$2:$P$1001&lt;&gt;"")*ISNUMBER(SEARCH(실물목록!$P$2:$P$1001,I455))*(실물목록!$Q$2:$Q$1001&lt;&gt;"")*ISNUMBER(SEARCH(실물목록!$Q$2:$Q$1001,I455))*(실물목록!$R$2:$R$1001="")*(실물목록!$O$2:$O$1001&lt;&gt;"")*(실물목록!$O$2:$O$1001=H455))&gt;0,"실물 있음",IF(SUMPRODUCT((실물목록!$P$2:$P$1001&lt;&gt;"")*ISNUMBER(SEARCH(실물목록!$P$2:$P$1001,I455))*(실물목록!$R$2:$R$1001&lt;&gt;""))&gt;0,"확인필요(입력누락)",IF(SUMPRODUCT((실물목록!$P$2:$P$1001&lt;&gt;"")*ISNUMBER(SEARCH(실물목록!$P$2:$P$1001,I455))*(실물목록!$Q$2:$Q$1001&lt;&gt;"")*ISNUMBER(SEARCH(실물목록!$Q$2:$Q$1001,I455))*(실물목록!$R$2:$R$1001="")*(실물목록!$O$2:$O$1001&lt;&gt;""))&gt;0,"확인필요(연도다름)","실물 없음")))))</f>
      </c>
      <c r="G455" t="n" s="16">
        <f aca="0">IF(B455="","",SUMPRODUCT((실물목록!$P$2:$P$1001&lt;&gt;"")*ISNUMBER(SEARCH(실물목록!$P$2:$P$1001,I455))*(실물목록!$Q$2:$Q$1001&lt;&gt;"")*ISNUMBER(SEARCH(실물목록!$Q$2:$Q$1001,I455))*(실물목록!$R$2:$R$1001="")*(실물목록!$O$2:$O$1001&lt;&gt;"")*(실물목록!$O$2:$O$1001=H455)))</f>
      </c>
      <c r="H455" t="str">
        <f>IFERROR(IF(AND(LEN(SUBSTITUTE(SUBSTITUTE(SUBSTITUTE(TRIM(A455&amp;""),CHAR(160),"")," ",""),"년",""))=4,VALUE(SUBSTITUTE(SUBSTITUTE(SUBSTITUTE(TRIM(A455&amp;""),CHAR(160),"")," ",""),"년",""))&gt;=1900,VALUE(SUBSTITUTE(SUBSTITUTE(SUBSTITUTE(TRIM(A455&amp;""),CHAR(160),"")," ",""),"년",""))&lt;=2099,TEXT(VALUE(SUBSTITUTE(SUBSTITUTE(SUBSTITUTE(TRIM(A455&amp;""),CHAR(160),"")," ",""),"년","")),"0000")=SUBSTITUTE(SUBSTITUTE(SUBSTITUTE(TRIM(A455&amp;""),CHAR(160),"")," ",""),"년","")),SUBSTITUTE(SUBSTITUTE(SUBSTITUTE(TRIM(A455&amp;""),CHAR(160),"")," ",""),"년",""),""),"")</f>
      </c>
      <c r="I455" t="str">
        <f>SUBSTITUTE(SUBSTITUTE(SUBSTITUTE(SUBSTITUTE(SUBSTITUTE(TRIM(B455&amp;""),CHAR(160),"")," ",""),"초등학교","초"),"중학교","중"),"고등학교","고")</f>
      </c>
    </row>
    <row r="456" customFormat="false" ht="15" hidden="false" customHeight="false" outlineLevel="0" collapsed="false">
      <c r="A456" s="8"/>
      <c r="B456" s="8"/>
      <c r="C456" s="8"/>
      <c r="D456" s="8"/>
      <c r="E456" s="8"/>
      <c r="F456" t="str" s="15">
        <f aca="0">IF(B456="","",IF(H456="","확인필요(입력누락)",IF(SUMPRODUCT((실물목록!$P$2:$P$1001&lt;&gt;"")*ISNUMBER(SEARCH(실물목록!$P$2:$P$1001,I456))*(실물목록!$Q$2:$Q$1001&lt;&gt;"")*ISNUMBER(SEARCH(실물목록!$Q$2:$Q$1001,I456))*(실물목록!$R$2:$R$1001="")*(실물목록!$O$2:$O$1001&lt;&gt;"")*(실물목록!$O$2:$O$1001=H456))&gt;0,"실물 있음",IF(SUMPRODUCT((실물목록!$P$2:$P$1001&lt;&gt;"")*ISNUMBER(SEARCH(실물목록!$P$2:$P$1001,I456))*(실물목록!$R$2:$R$1001&lt;&gt;""))&gt;0,"확인필요(입력누락)",IF(SUMPRODUCT((실물목록!$P$2:$P$1001&lt;&gt;"")*ISNUMBER(SEARCH(실물목록!$P$2:$P$1001,I456))*(실물목록!$Q$2:$Q$1001&lt;&gt;"")*ISNUMBER(SEARCH(실물목록!$Q$2:$Q$1001,I456))*(실물목록!$R$2:$R$1001="")*(실물목록!$O$2:$O$1001&lt;&gt;""))&gt;0,"확인필요(연도다름)","실물 없음")))))</f>
      </c>
      <c r="G456" t="n" s="16">
        <f aca="0">IF(B456="","",SUMPRODUCT((실물목록!$P$2:$P$1001&lt;&gt;"")*ISNUMBER(SEARCH(실물목록!$P$2:$P$1001,I456))*(실물목록!$Q$2:$Q$1001&lt;&gt;"")*ISNUMBER(SEARCH(실물목록!$Q$2:$Q$1001,I456))*(실물목록!$R$2:$R$1001="")*(실물목록!$O$2:$O$1001&lt;&gt;"")*(실물목록!$O$2:$O$1001=H456)))</f>
      </c>
      <c r="H456" t="str">
        <f>IFERROR(IF(AND(LEN(SUBSTITUTE(SUBSTITUTE(SUBSTITUTE(TRIM(A456&amp;""),CHAR(160),"")," ",""),"년",""))=4,VALUE(SUBSTITUTE(SUBSTITUTE(SUBSTITUTE(TRIM(A456&amp;""),CHAR(160),"")," ",""),"년",""))&gt;=1900,VALUE(SUBSTITUTE(SUBSTITUTE(SUBSTITUTE(TRIM(A456&amp;""),CHAR(160),"")," ",""),"년",""))&lt;=2099,TEXT(VALUE(SUBSTITUTE(SUBSTITUTE(SUBSTITUTE(TRIM(A456&amp;""),CHAR(160),"")," ",""),"년","")),"0000")=SUBSTITUTE(SUBSTITUTE(SUBSTITUTE(TRIM(A456&amp;""),CHAR(160),"")," ",""),"년","")),SUBSTITUTE(SUBSTITUTE(SUBSTITUTE(TRIM(A456&amp;""),CHAR(160),"")," ",""),"년",""),""),"")</f>
      </c>
      <c r="I456" t="str">
        <f>SUBSTITUTE(SUBSTITUTE(SUBSTITUTE(SUBSTITUTE(SUBSTITUTE(TRIM(B456&amp;""),CHAR(160),"")," ",""),"초등학교","초"),"중학교","중"),"고등학교","고")</f>
      </c>
    </row>
    <row r="457" customFormat="false" ht="15" hidden="false" customHeight="false" outlineLevel="0" collapsed="false">
      <c r="A457" s="8"/>
      <c r="B457" s="8"/>
      <c r="C457" s="8"/>
      <c r="D457" s="8"/>
      <c r="E457" s="8"/>
      <c r="F457" t="str" s="15">
        <f aca="0">IF(B457="","",IF(H457="","확인필요(입력누락)",IF(SUMPRODUCT((실물목록!$P$2:$P$1001&lt;&gt;"")*ISNUMBER(SEARCH(실물목록!$P$2:$P$1001,I457))*(실물목록!$Q$2:$Q$1001&lt;&gt;"")*ISNUMBER(SEARCH(실물목록!$Q$2:$Q$1001,I457))*(실물목록!$R$2:$R$1001="")*(실물목록!$O$2:$O$1001&lt;&gt;"")*(실물목록!$O$2:$O$1001=H457))&gt;0,"실물 있음",IF(SUMPRODUCT((실물목록!$P$2:$P$1001&lt;&gt;"")*ISNUMBER(SEARCH(실물목록!$P$2:$P$1001,I457))*(실물목록!$R$2:$R$1001&lt;&gt;""))&gt;0,"확인필요(입력누락)",IF(SUMPRODUCT((실물목록!$P$2:$P$1001&lt;&gt;"")*ISNUMBER(SEARCH(실물목록!$P$2:$P$1001,I457))*(실물목록!$Q$2:$Q$1001&lt;&gt;"")*ISNUMBER(SEARCH(실물목록!$Q$2:$Q$1001,I457))*(실물목록!$R$2:$R$1001="")*(실물목록!$O$2:$O$1001&lt;&gt;""))&gt;0,"확인필요(연도다름)","실물 없음")))))</f>
      </c>
      <c r="G457" t="n" s="16">
        <f aca="0">IF(B457="","",SUMPRODUCT((실물목록!$P$2:$P$1001&lt;&gt;"")*ISNUMBER(SEARCH(실물목록!$P$2:$P$1001,I457))*(실물목록!$Q$2:$Q$1001&lt;&gt;"")*ISNUMBER(SEARCH(실물목록!$Q$2:$Q$1001,I457))*(실물목록!$R$2:$R$1001="")*(실물목록!$O$2:$O$1001&lt;&gt;"")*(실물목록!$O$2:$O$1001=H457)))</f>
      </c>
      <c r="H457" t="str">
        <f>IFERROR(IF(AND(LEN(SUBSTITUTE(SUBSTITUTE(SUBSTITUTE(TRIM(A457&amp;""),CHAR(160),"")," ",""),"년",""))=4,VALUE(SUBSTITUTE(SUBSTITUTE(SUBSTITUTE(TRIM(A457&amp;""),CHAR(160),"")," ",""),"년",""))&gt;=1900,VALUE(SUBSTITUTE(SUBSTITUTE(SUBSTITUTE(TRIM(A457&amp;""),CHAR(160),"")," ",""),"년",""))&lt;=2099,TEXT(VALUE(SUBSTITUTE(SUBSTITUTE(SUBSTITUTE(TRIM(A457&amp;""),CHAR(160),"")," ",""),"년","")),"0000")=SUBSTITUTE(SUBSTITUTE(SUBSTITUTE(TRIM(A457&amp;""),CHAR(160),"")," ",""),"년","")),SUBSTITUTE(SUBSTITUTE(SUBSTITUTE(TRIM(A457&amp;""),CHAR(160),"")," ",""),"년",""),""),"")</f>
      </c>
      <c r="I457" t="str">
        <f>SUBSTITUTE(SUBSTITUTE(SUBSTITUTE(SUBSTITUTE(SUBSTITUTE(TRIM(B457&amp;""),CHAR(160),"")," ",""),"초등학교","초"),"중학교","중"),"고등학교","고")</f>
      </c>
    </row>
    <row r="458" customFormat="false" ht="15" hidden="false" customHeight="false" outlineLevel="0" collapsed="false">
      <c r="A458" s="8"/>
      <c r="B458" s="8"/>
      <c r="C458" s="8"/>
      <c r="D458" s="8"/>
      <c r="E458" s="8"/>
      <c r="F458" t="str" s="15">
        <f aca="0">IF(B458="","",IF(H458="","확인필요(입력누락)",IF(SUMPRODUCT((실물목록!$P$2:$P$1001&lt;&gt;"")*ISNUMBER(SEARCH(실물목록!$P$2:$P$1001,I458))*(실물목록!$Q$2:$Q$1001&lt;&gt;"")*ISNUMBER(SEARCH(실물목록!$Q$2:$Q$1001,I458))*(실물목록!$R$2:$R$1001="")*(실물목록!$O$2:$O$1001&lt;&gt;"")*(실물목록!$O$2:$O$1001=H458))&gt;0,"실물 있음",IF(SUMPRODUCT((실물목록!$P$2:$P$1001&lt;&gt;"")*ISNUMBER(SEARCH(실물목록!$P$2:$P$1001,I458))*(실물목록!$R$2:$R$1001&lt;&gt;""))&gt;0,"확인필요(입력누락)",IF(SUMPRODUCT((실물목록!$P$2:$P$1001&lt;&gt;"")*ISNUMBER(SEARCH(실물목록!$P$2:$P$1001,I458))*(실물목록!$Q$2:$Q$1001&lt;&gt;"")*ISNUMBER(SEARCH(실물목록!$Q$2:$Q$1001,I458))*(실물목록!$R$2:$R$1001="")*(실물목록!$O$2:$O$1001&lt;&gt;""))&gt;0,"확인필요(연도다름)","실물 없음")))))</f>
      </c>
      <c r="G458" t="n" s="16">
        <f aca="0">IF(B458="","",SUMPRODUCT((실물목록!$P$2:$P$1001&lt;&gt;"")*ISNUMBER(SEARCH(실물목록!$P$2:$P$1001,I458))*(실물목록!$Q$2:$Q$1001&lt;&gt;"")*ISNUMBER(SEARCH(실물목록!$Q$2:$Q$1001,I458))*(실물목록!$R$2:$R$1001="")*(실물목록!$O$2:$O$1001&lt;&gt;"")*(실물목록!$O$2:$O$1001=H458)))</f>
      </c>
      <c r="H458" t="str">
        <f>IFERROR(IF(AND(LEN(SUBSTITUTE(SUBSTITUTE(SUBSTITUTE(TRIM(A458&amp;""),CHAR(160),"")," ",""),"년",""))=4,VALUE(SUBSTITUTE(SUBSTITUTE(SUBSTITUTE(TRIM(A458&amp;""),CHAR(160),"")," ",""),"년",""))&gt;=1900,VALUE(SUBSTITUTE(SUBSTITUTE(SUBSTITUTE(TRIM(A458&amp;""),CHAR(160),"")," ",""),"년",""))&lt;=2099,TEXT(VALUE(SUBSTITUTE(SUBSTITUTE(SUBSTITUTE(TRIM(A458&amp;""),CHAR(160),"")," ",""),"년","")),"0000")=SUBSTITUTE(SUBSTITUTE(SUBSTITUTE(TRIM(A458&amp;""),CHAR(160),"")," ",""),"년","")),SUBSTITUTE(SUBSTITUTE(SUBSTITUTE(TRIM(A458&amp;""),CHAR(160),"")," ",""),"년",""),""),"")</f>
      </c>
      <c r="I458" t="str">
        <f>SUBSTITUTE(SUBSTITUTE(SUBSTITUTE(SUBSTITUTE(SUBSTITUTE(TRIM(B458&amp;""),CHAR(160),"")," ",""),"초등학교","초"),"중학교","중"),"고등학교","고")</f>
      </c>
    </row>
    <row r="459" customFormat="false" ht="15" hidden="false" customHeight="false" outlineLevel="0" collapsed="false">
      <c r="A459" s="8"/>
      <c r="B459" s="8"/>
      <c r="C459" s="8"/>
      <c r="D459" s="8"/>
      <c r="E459" s="8"/>
      <c r="F459" t="str" s="15">
        <f aca="0">IF(B459="","",IF(H459="","확인필요(입력누락)",IF(SUMPRODUCT((실물목록!$P$2:$P$1001&lt;&gt;"")*ISNUMBER(SEARCH(실물목록!$P$2:$P$1001,I459))*(실물목록!$Q$2:$Q$1001&lt;&gt;"")*ISNUMBER(SEARCH(실물목록!$Q$2:$Q$1001,I459))*(실물목록!$R$2:$R$1001="")*(실물목록!$O$2:$O$1001&lt;&gt;"")*(실물목록!$O$2:$O$1001=H459))&gt;0,"실물 있음",IF(SUMPRODUCT((실물목록!$P$2:$P$1001&lt;&gt;"")*ISNUMBER(SEARCH(실물목록!$P$2:$P$1001,I459))*(실물목록!$R$2:$R$1001&lt;&gt;""))&gt;0,"확인필요(입력누락)",IF(SUMPRODUCT((실물목록!$P$2:$P$1001&lt;&gt;"")*ISNUMBER(SEARCH(실물목록!$P$2:$P$1001,I459))*(실물목록!$Q$2:$Q$1001&lt;&gt;"")*ISNUMBER(SEARCH(실물목록!$Q$2:$Q$1001,I459))*(실물목록!$R$2:$R$1001="")*(실물목록!$O$2:$O$1001&lt;&gt;""))&gt;0,"확인필요(연도다름)","실물 없음")))))</f>
      </c>
      <c r="G459" t="n" s="16">
        <f aca="0">IF(B459="","",SUMPRODUCT((실물목록!$P$2:$P$1001&lt;&gt;"")*ISNUMBER(SEARCH(실물목록!$P$2:$P$1001,I459))*(실물목록!$Q$2:$Q$1001&lt;&gt;"")*ISNUMBER(SEARCH(실물목록!$Q$2:$Q$1001,I459))*(실물목록!$R$2:$R$1001="")*(실물목록!$O$2:$O$1001&lt;&gt;"")*(실물목록!$O$2:$O$1001=H459)))</f>
      </c>
      <c r="H459" t="str">
        <f>IFERROR(IF(AND(LEN(SUBSTITUTE(SUBSTITUTE(SUBSTITUTE(TRIM(A459&amp;""),CHAR(160),"")," ",""),"년",""))=4,VALUE(SUBSTITUTE(SUBSTITUTE(SUBSTITUTE(TRIM(A459&amp;""),CHAR(160),"")," ",""),"년",""))&gt;=1900,VALUE(SUBSTITUTE(SUBSTITUTE(SUBSTITUTE(TRIM(A459&amp;""),CHAR(160),"")," ",""),"년",""))&lt;=2099,TEXT(VALUE(SUBSTITUTE(SUBSTITUTE(SUBSTITUTE(TRIM(A459&amp;""),CHAR(160),"")," ",""),"년","")),"0000")=SUBSTITUTE(SUBSTITUTE(SUBSTITUTE(TRIM(A459&amp;""),CHAR(160),"")," ",""),"년","")),SUBSTITUTE(SUBSTITUTE(SUBSTITUTE(TRIM(A459&amp;""),CHAR(160),"")," ",""),"년",""),""),"")</f>
      </c>
      <c r="I459" t="str">
        <f>SUBSTITUTE(SUBSTITUTE(SUBSTITUTE(SUBSTITUTE(SUBSTITUTE(TRIM(B459&amp;""),CHAR(160),"")," ",""),"초등학교","초"),"중학교","중"),"고등학교","고")</f>
      </c>
    </row>
    <row r="460" customFormat="false" ht="15" hidden="false" customHeight="false" outlineLevel="0" collapsed="false">
      <c r="A460" s="8"/>
      <c r="B460" s="8"/>
      <c r="C460" s="8"/>
      <c r="D460" s="8"/>
      <c r="E460" s="8"/>
      <c r="F460" t="str" s="15">
        <f aca="0">IF(B460="","",IF(H460="","확인필요(입력누락)",IF(SUMPRODUCT((실물목록!$P$2:$P$1001&lt;&gt;"")*ISNUMBER(SEARCH(실물목록!$P$2:$P$1001,I460))*(실물목록!$Q$2:$Q$1001&lt;&gt;"")*ISNUMBER(SEARCH(실물목록!$Q$2:$Q$1001,I460))*(실물목록!$R$2:$R$1001="")*(실물목록!$O$2:$O$1001&lt;&gt;"")*(실물목록!$O$2:$O$1001=H460))&gt;0,"실물 있음",IF(SUMPRODUCT((실물목록!$P$2:$P$1001&lt;&gt;"")*ISNUMBER(SEARCH(실물목록!$P$2:$P$1001,I460))*(실물목록!$R$2:$R$1001&lt;&gt;""))&gt;0,"확인필요(입력누락)",IF(SUMPRODUCT((실물목록!$P$2:$P$1001&lt;&gt;"")*ISNUMBER(SEARCH(실물목록!$P$2:$P$1001,I460))*(실물목록!$Q$2:$Q$1001&lt;&gt;"")*ISNUMBER(SEARCH(실물목록!$Q$2:$Q$1001,I460))*(실물목록!$R$2:$R$1001="")*(실물목록!$O$2:$O$1001&lt;&gt;""))&gt;0,"확인필요(연도다름)","실물 없음")))))</f>
      </c>
      <c r="G460" t="n" s="16">
        <f aca="0">IF(B460="","",SUMPRODUCT((실물목록!$P$2:$P$1001&lt;&gt;"")*ISNUMBER(SEARCH(실물목록!$P$2:$P$1001,I460))*(실물목록!$Q$2:$Q$1001&lt;&gt;"")*ISNUMBER(SEARCH(실물목록!$Q$2:$Q$1001,I460))*(실물목록!$R$2:$R$1001="")*(실물목록!$O$2:$O$1001&lt;&gt;"")*(실물목록!$O$2:$O$1001=H460)))</f>
      </c>
      <c r="H460" t="str">
        <f>IFERROR(IF(AND(LEN(SUBSTITUTE(SUBSTITUTE(SUBSTITUTE(TRIM(A460&amp;""),CHAR(160),"")," ",""),"년",""))=4,VALUE(SUBSTITUTE(SUBSTITUTE(SUBSTITUTE(TRIM(A460&amp;""),CHAR(160),"")," ",""),"년",""))&gt;=1900,VALUE(SUBSTITUTE(SUBSTITUTE(SUBSTITUTE(TRIM(A460&amp;""),CHAR(160),"")," ",""),"년",""))&lt;=2099,TEXT(VALUE(SUBSTITUTE(SUBSTITUTE(SUBSTITUTE(TRIM(A460&amp;""),CHAR(160),"")," ",""),"년","")),"0000")=SUBSTITUTE(SUBSTITUTE(SUBSTITUTE(TRIM(A460&amp;""),CHAR(160),"")," ",""),"년","")),SUBSTITUTE(SUBSTITUTE(SUBSTITUTE(TRIM(A460&amp;""),CHAR(160),"")," ",""),"년",""),""),"")</f>
      </c>
      <c r="I460" t="str">
        <f>SUBSTITUTE(SUBSTITUTE(SUBSTITUTE(SUBSTITUTE(SUBSTITUTE(TRIM(B460&amp;""),CHAR(160),"")," ",""),"초등학교","초"),"중학교","중"),"고등학교","고")</f>
      </c>
    </row>
    <row r="461" customFormat="false" ht="15" hidden="false" customHeight="false" outlineLevel="0" collapsed="false">
      <c r="A461" s="8"/>
      <c r="B461" s="8"/>
      <c r="C461" s="8"/>
      <c r="D461" s="8"/>
      <c r="E461" s="8"/>
      <c r="F461" t="str" s="15">
        <f aca="0">IF(B461="","",IF(H461="","확인필요(입력누락)",IF(SUMPRODUCT((실물목록!$P$2:$P$1001&lt;&gt;"")*ISNUMBER(SEARCH(실물목록!$P$2:$P$1001,I461))*(실물목록!$Q$2:$Q$1001&lt;&gt;"")*ISNUMBER(SEARCH(실물목록!$Q$2:$Q$1001,I461))*(실물목록!$R$2:$R$1001="")*(실물목록!$O$2:$O$1001&lt;&gt;"")*(실물목록!$O$2:$O$1001=H461))&gt;0,"실물 있음",IF(SUMPRODUCT((실물목록!$P$2:$P$1001&lt;&gt;"")*ISNUMBER(SEARCH(실물목록!$P$2:$P$1001,I461))*(실물목록!$R$2:$R$1001&lt;&gt;""))&gt;0,"확인필요(입력누락)",IF(SUMPRODUCT((실물목록!$P$2:$P$1001&lt;&gt;"")*ISNUMBER(SEARCH(실물목록!$P$2:$P$1001,I461))*(실물목록!$Q$2:$Q$1001&lt;&gt;"")*ISNUMBER(SEARCH(실물목록!$Q$2:$Q$1001,I461))*(실물목록!$R$2:$R$1001="")*(실물목록!$O$2:$O$1001&lt;&gt;""))&gt;0,"확인필요(연도다름)","실물 없음")))))</f>
      </c>
      <c r="G461" t="n" s="16">
        <f aca="0">IF(B461="","",SUMPRODUCT((실물목록!$P$2:$P$1001&lt;&gt;"")*ISNUMBER(SEARCH(실물목록!$P$2:$P$1001,I461))*(실물목록!$Q$2:$Q$1001&lt;&gt;"")*ISNUMBER(SEARCH(실물목록!$Q$2:$Q$1001,I461))*(실물목록!$R$2:$R$1001="")*(실물목록!$O$2:$O$1001&lt;&gt;"")*(실물목록!$O$2:$O$1001=H461)))</f>
      </c>
      <c r="H461" t="str">
        <f>IFERROR(IF(AND(LEN(SUBSTITUTE(SUBSTITUTE(SUBSTITUTE(TRIM(A461&amp;""),CHAR(160),"")," ",""),"년",""))=4,VALUE(SUBSTITUTE(SUBSTITUTE(SUBSTITUTE(TRIM(A461&amp;""),CHAR(160),"")," ",""),"년",""))&gt;=1900,VALUE(SUBSTITUTE(SUBSTITUTE(SUBSTITUTE(TRIM(A461&amp;""),CHAR(160),"")," ",""),"년",""))&lt;=2099,TEXT(VALUE(SUBSTITUTE(SUBSTITUTE(SUBSTITUTE(TRIM(A461&amp;""),CHAR(160),"")," ",""),"년","")),"0000")=SUBSTITUTE(SUBSTITUTE(SUBSTITUTE(TRIM(A461&amp;""),CHAR(160),"")," ",""),"년","")),SUBSTITUTE(SUBSTITUTE(SUBSTITUTE(TRIM(A461&amp;""),CHAR(160),"")," ",""),"년",""),""),"")</f>
      </c>
      <c r="I461" t="str">
        <f>SUBSTITUTE(SUBSTITUTE(SUBSTITUTE(SUBSTITUTE(SUBSTITUTE(TRIM(B461&amp;""),CHAR(160),"")," ",""),"초등학교","초"),"중학교","중"),"고등학교","고")</f>
      </c>
    </row>
    <row r="462" customFormat="false" ht="15" hidden="false" customHeight="false" outlineLevel="0" collapsed="false">
      <c r="A462" s="8"/>
      <c r="B462" s="8"/>
      <c r="C462" s="8"/>
      <c r="D462" s="8"/>
      <c r="E462" s="8"/>
      <c r="F462" t="str" s="15">
        <f aca="0">IF(B462="","",IF(H462="","확인필요(입력누락)",IF(SUMPRODUCT((실물목록!$P$2:$P$1001&lt;&gt;"")*ISNUMBER(SEARCH(실물목록!$P$2:$P$1001,I462))*(실물목록!$Q$2:$Q$1001&lt;&gt;"")*ISNUMBER(SEARCH(실물목록!$Q$2:$Q$1001,I462))*(실물목록!$R$2:$R$1001="")*(실물목록!$O$2:$O$1001&lt;&gt;"")*(실물목록!$O$2:$O$1001=H462))&gt;0,"실물 있음",IF(SUMPRODUCT((실물목록!$P$2:$P$1001&lt;&gt;"")*ISNUMBER(SEARCH(실물목록!$P$2:$P$1001,I462))*(실물목록!$R$2:$R$1001&lt;&gt;""))&gt;0,"확인필요(입력누락)",IF(SUMPRODUCT((실물목록!$P$2:$P$1001&lt;&gt;"")*ISNUMBER(SEARCH(실물목록!$P$2:$P$1001,I462))*(실물목록!$Q$2:$Q$1001&lt;&gt;"")*ISNUMBER(SEARCH(실물목록!$Q$2:$Q$1001,I462))*(실물목록!$R$2:$R$1001="")*(실물목록!$O$2:$O$1001&lt;&gt;""))&gt;0,"확인필요(연도다름)","실물 없음")))))</f>
      </c>
      <c r="G462" t="n" s="16">
        <f aca="0">IF(B462="","",SUMPRODUCT((실물목록!$P$2:$P$1001&lt;&gt;"")*ISNUMBER(SEARCH(실물목록!$P$2:$P$1001,I462))*(실물목록!$Q$2:$Q$1001&lt;&gt;"")*ISNUMBER(SEARCH(실물목록!$Q$2:$Q$1001,I462))*(실물목록!$R$2:$R$1001="")*(실물목록!$O$2:$O$1001&lt;&gt;"")*(실물목록!$O$2:$O$1001=H462)))</f>
      </c>
      <c r="H462" t="str">
        <f>IFERROR(IF(AND(LEN(SUBSTITUTE(SUBSTITUTE(SUBSTITUTE(TRIM(A462&amp;""),CHAR(160),"")," ",""),"년",""))=4,VALUE(SUBSTITUTE(SUBSTITUTE(SUBSTITUTE(TRIM(A462&amp;""),CHAR(160),"")," ",""),"년",""))&gt;=1900,VALUE(SUBSTITUTE(SUBSTITUTE(SUBSTITUTE(TRIM(A462&amp;""),CHAR(160),"")," ",""),"년",""))&lt;=2099,TEXT(VALUE(SUBSTITUTE(SUBSTITUTE(SUBSTITUTE(TRIM(A462&amp;""),CHAR(160),"")," ",""),"년","")),"0000")=SUBSTITUTE(SUBSTITUTE(SUBSTITUTE(TRIM(A462&amp;""),CHAR(160),"")," ",""),"년","")),SUBSTITUTE(SUBSTITUTE(SUBSTITUTE(TRIM(A462&amp;""),CHAR(160),"")," ",""),"년",""),""),"")</f>
      </c>
      <c r="I462" t="str">
        <f>SUBSTITUTE(SUBSTITUTE(SUBSTITUTE(SUBSTITUTE(SUBSTITUTE(TRIM(B462&amp;""),CHAR(160),"")," ",""),"초등학교","초"),"중학교","중"),"고등학교","고")</f>
      </c>
    </row>
    <row r="463" customFormat="false" ht="15" hidden="false" customHeight="false" outlineLevel="0" collapsed="false">
      <c r="A463" s="8"/>
      <c r="B463" s="8"/>
      <c r="C463" s="8"/>
      <c r="D463" s="8"/>
      <c r="E463" s="8"/>
      <c r="F463" t="str" s="15">
        <f aca="0">IF(B463="","",IF(H463="","확인필요(입력누락)",IF(SUMPRODUCT((실물목록!$P$2:$P$1001&lt;&gt;"")*ISNUMBER(SEARCH(실물목록!$P$2:$P$1001,I463))*(실물목록!$Q$2:$Q$1001&lt;&gt;"")*ISNUMBER(SEARCH(실물목록!$Q$2:$Q$1001,I463))*(실물목록!$R$2:$R$1001="")*(실물목록!$O$2:$O$1001&lt;&gt;"")*(실물목록!$O$2:$O$1001=H463))&gt;0,"실물 있음",IF(SUMPRODUCT((실물목록!$P$2:$P$1001&lt;&gt;"")*ISNUMBER(SEARCH(실물목록!$P$2:$P$1001,I463))*(실물목록!$R$2:$R$1001&lt;&gt;""))&gt;0,"확인필요(입력누락)",IF(SUMPRODUCT((실물목록!$P$2:$P$1001&lt;&gt;"")*ISNUMBER(SEARCH(실물목록!$P$2:$P$1001,I463))*(실물목록!$Q$2:$Q$1001&lt;&gt;"")*ISNUMBER(SEARCH(실물목록!$Q$2:$Q$1001,I463))*(실물목록!$R$2:$R$1001="")*(실물목록!$O$2:$O$1001&lt;&gt;""))&gt;0,"확인필요(연도다름)","실물 없음")))))</f>
      </c>
      <c r="G463" t="n" s="16">
        <f aca="0">IF(B463="","",SUMPRODUCT((실물목록!$P$2:$P$1001&lt;&gt;"")*ISNUMBER(SEARCH(실물목록!$P$2:$P$1001,I463))*(실물목록!$Q$2:$Q$1001&lt;&gt;"")*ISNUMBER(SEARCH(실물목록!$Q$2:$Q$1001,I463))*(실물목록!$R$2:$R$1001="")*(실물목록!$O$2:$O$1001&lt;&gt;"")*(실물목록!$O$2:$O$1001=H463)))</f>
      </c>
      <c r="H463" t="str">
        <f>IFERROR(IF(AND(LEN(SUBSTITUTE(SUBSTITUTE(SUBSTITUTE(TRIM(A463&amp;""),CHAR(160),"")," ",""),"년",""))=4,VALUE(SUBSTITUTE(SUBSTITUTE(SUBSTITUTE(TRIM(A463&amp;""),CHAR(160),"")," ",""),"년",""))&gt;=1900,VALUE(SUBSTITUTE(SUBSTITUTE(SUBSTITUTE(TRIM(A463&amp;""),CHAR(160),"")," ",""),"년",""))&lt;=2099,TEXT(VALUE(SUBSTITUTE(SUBSTITUTE(SUBSTITUTE(TRIM(A463&amp;""),CHAR(160),"")," ",""),"년","")),"0000")=SUBSTITUTE(SUBSTITUTE(SUBSTITUTE(TRIM(A463&amp;""),CHAR(160),"")," ",""),"년","")),SUBSTITUTE(SUBSTITUTE(SUBSTITUTE(TRIM(A463&amp;""),CHAR(160),"")," ",""),"년",""),""),"")</f>
      </c>
      <c r="I463" t="str">
        <f>SUBSTITUTE(SUBSTITUTE(SUBSTITUTE(SUBSTITUTE(SUBSTITUTE(TRIM(B463&amp;""),CHAR(160),"")," ",""),"초등학교","초"),"중학교","중"),"고등학교","고")</f>
      </c>
    </row>
    <row r="464" customFormat="false" ht="15" hidden="false" customHeight="false" outlineLevel="0" collapsed="false">
      <c r="A464" s="8"/>
      <c r="B464" s="8"/>
      <c r="C464" s="8"/>
      <c r="D464" s="8"/>
      <c r="E464" s="8"/>
      <c r="F464" t="str" s="15">
        <f aca="0">IF(B464="","",IF(H464="","확인필요(입력누락)",IF(SUMPRODUCT((실물목록!$P$2:$P$1001&lt;&gt;"")*ISNUMBER(SEARCH(실물목록!$P$2:$P$1001,I464))*(실물목록!$Q$2:$Q$1001&lt;&gt;"")*ISNUMBER(SEARCH(실물목록!$Q$2:$Q$1001,I464))*(실물목록!$R$2:$R$1001="")*(실물목록!$O$2:$O$1001&lt;&gt;"")*(실물목록!$O$2:$O$1001=H464))&gt;0,"실물 있음",IF(SUMPRODUCT((실물목록!$P$2:$P$1001&lt;&gt;"")*ISNUMBER(SEARCH(실물목록!$P$2:$P$1001,I464))*(실물목록!$R$2:$R$1001&lt;&gt;""))&gt;0,"확인필요(입력누락)",IF(SUMPRODUCT((실물목록!$P$2:$P$1001&lt;&gt;"")*ISNUMBER(SEARCH(실물목록!$P$2:$P$1001,I464))*(실물목록!$Q$2:$Q$1001&lt;&gt;"")*ISNUMBER(SEARCH(실물목록!$Q$2:$Q$1001,I464))*(실물목록!$R$2:$R$1001="")*(실물목록!$O$2:$O$1001&lt;&gt;""))&gt;0,"확인필요(연도다름)","실물 없음")))))</f>
      </c>
      <c r="G464" t="n" s="16">
        <f aca="0">IF(B464="","",SUMPRODUCT((실물목록!$P$2:$P$1001&lt;&gt;"")*ISNUMBER(SEARCH(실물목록!$P$2:$P$1001,I464))*(실물목록!$Q$2:$Q$1001&lt;&gt;"")*ISNUMBER(SEARCH(실물목록!$Q$2:$Q$1001,I464))*(실물목록!$R$2:$R$1001="")*(실물목록!$O$2:$O$1001&lt;&gt;"")*(실물목록!$O$2:$O$1001=H464)))</f>
      </c>
      <c r="H464" t="str">
        <f>IFERROR(IF(AND(LEN(SUBSTITUTE(SUBSTITUTE(SUBSTITUTE(TRIM(A464&amp;""),CHAR(160),"")," ",""),"년",""))=4,VALUE(SUBSTITUTE(SUBSTITUTE(SUBSTITUTE(TRIM(A464&amp;""),CHAR(160),"")," ",""),"년",""))&gt;=1900,VALUE(SUBSTITUTE(SUBSTITUTE(SUBSTITUTE(TRIM(A464&amp;""),CHAR(160),"")," ",""),"년",""))&lt;=2099,TEXT(VALUE(SUBSTITUTE(SUBSTITUTE(SUBSTITUTE(TRIM(A464&amp;""),CHAR(160),"")," ",""),"년","")),"0000")=SUBSTITUTE(SUBSTITUTE(SUBSTITUTE(TRIM(A464&amp;""),CHAR(160),"")," ",""),"년","")),SUBSTITUTE(SUBSTITUTE(SUBSTITUTE(TRIM(A464&amp;""),CHAR(160),"")," ",""),"년",""),""),"")</f>
      </c>
      <c r="I464" t="str">
        <f>SUBSTITUTE(SUBSTITUTE(SUBSTITUTE(SUBSTITUTE(SUBSTITUTE(TRIM(B464&amp;""),CHAR(160),"")," ",""),"초등학교","초"),"중학교","중"),"고등학교","고")</f>
      </c>
    </row>
    <row r="465" customFormat="false" ht="15" hidden="false" customHeight="false" outlineLevel="0" collapsed="false">
      <c r="A465" s="8"/>
      <c r="B465" s="8"/>
      <c r="C465" s="8"/>
      <c r="D465" s="8"/>
      <c r="E465" s="8"/>
      <c r="F465" t="str" s="15">
        <f aca="0">IF(B465="","",IF(H465="","확인필요(입력누락)",IF(SUMPRODUCT((실물목록!$P$2:$P$1001&lt;&gt;"")*ISNUMBER(SEARCH(실물목록!$P$2:$P$1001,I465))*(실물목록!$Q$2:$Q$1001&lt;&gt;"")*ISNUMBER(SEARCH(실물목록!$Q$2:$Q$1001,I465))*(실물목록!$R$2:$R$1001="")*(실물목록!$O$2:$O$1001&lt;&gt;"")*(실물목록!$O$2:$O$1001=H465))&gt;0,"실물 있음",IF(SUMPRODUCT((실물목록!$P$2:$P$1001&lt;&gt;"")*ISNUMBER(SEARCH(실물목록!$P$2:$P$1001,I465))*(실물목록!$R$2:$R$1001&lt;&gt;""))&gt;0,"확인필요(입력누락)",IF(SUMPRODUCT((실물목록!$P$2:$P$1001&lt;&gt;"")*ISNUMBER(SEARCH(실물목록!$P$2:$P$1001,I465))*(실물목록!$Q$2:$Q$1001&lt;&gt;"")*ISNUMBER(SEARCH(실물목록!$Q$2:$Q$1001,I465))*(실물목록!$R$2:$R$1001="")*(실물목록!$O$2:$O$1001&lt;&gt;""))&gt;0,"확인필요(연도다름)","실물 없음")))))</f>
      </c>
      <c r="G465" t="n" s="16">
        <f aca="0">IF(B465="","",SUMPRODUCT((실물목록!$P$2:$P$1001&lt;&gt;"")*ISNUMBER(SEARCH(실물목록!$P$2:$P$1001,I465))*(실물목록!$Q$2:$Q$1001&lt;&gt;"")*ISNUMBER(SEARCH(실물목록!$Q$2:$Q$1001,I465))*(실물목록!$R$2:$R$1001="")*(실물목록!$O$2:$O$1001&lt;&gt;"")*(실물목록!$O$2:$O$1001=H465)))</f>
      </c>
      <c r="H465" t="str">
        <f>IFERROR(IF(AND(LEN(SUBSTITUTE(SUBSTITUTE(SUBSTITUTE(TRIM(A465&amp;""),CHAR(160),"")," ",""),"년",""))=4,VALUE(SUBSTITUTE(SUBSTITUTE(SUBSTITUTE(TRIM(A465&amp;""),CHAR(160),"")," ",""),"년",""))&gt;=1900,VALUE(SUBSTITUTE(SUBSTITUTE(SUBSTITUTE(TRIM(A465&amp;""),CHAR(160),"")," ",""),"년",""))&lt;=2099,TEXT(VALUE(SUBSTITUTE(SUBSTITUTE(SUBSTITUTE(TRIM(A465&amp;""),CHAR(160),"")," ",""),"년","")),"0000")=SUBSTITUTE(SUBSTITUTE(SUBSTITUTE(TRIM(A465&amp;""),CHAR(160),"")," ",""),"년","")),SUBSTITUTE(SUBSTITUTE(SUBSTITUTE(TRIM(A465&amp;""),CHAR(160),"")," ",""),"년",""),""),"")</f>
      </c>
      <c r="I465" t="str">
        <f>SUBSTITUTE(SUBSTITUTE(SUBSTITUTE(SUBSTITUTE(SUBSTITUTE(TRIM(B465&amp;""),CHAR(160),"")," ",""),"초등학교","초"),"중학교","중"),"고등학교","고")</f>
      </c>
    </row>
    <row r="466" customFormat="false" ht="15" hidden="false" customHeight="false" outlineLevel="0" collapsed="false">
      <c r="A466" s="8"/>
      <c r="B466" s="8"/>
      <c r="C466" s="8"/>
      <c r="D466" s="8"/>
      <c r="E466" s="8"/>
      <c r="F466" t="str" s="15">
        <f aca="0">IF(B466="","",IF(H466="","확인필요(입력누락)",IF(SUMPRODUCT((실물목록!$P$2:$P$1001&lt;&gt;"")*ISNUMBER(SEARCH(실물목록!$P$2:$P$1001,I466))*(실물목록!$Q$2:$Q$1001&lt;&gt;"")*ISNUMBER(SEARCH(실물목록!$Q$2:$Q$1001,I466))*(실물목록!$R$2:$R$1001="")*(실물목록!$O$2:$O$1001&lt;&gt;"")*(실물목록!$O$2:$O$1001=H466))&gt;0,"실물 있음",IF(SUMPRODUCT((실물목록!$P$2:$P$1001&lt;&gt;"")*ISNUMBER(SEARCH(실물목록!$P$2:$P$1001,I466))*(실물목록!$R$2:$R$1001&lt;&gt;""))&gt;0,"확인필요(입력누락)",IF(SUMPRODUCT((실물목록!$P$2:$P$1001&lt;&gt;"")*ISNUMBER(SEARCH(실물목록!$P$2:$P$1001,I466))*(실물목록!$Q$2:$Q$1001&lt;&gt;"")*ISNUMBER(SEARCH(실물목록!$Q$2:$Q$1001,I466))*(실물목록!$R$2:$R$1001="")*(실물목록!$O$2:$O$1001&lt;&gt;""))&gt;0,"확인필요(연도다름)","실물 없음")))))</f>
      </c>
      <c r="G466" t="n" s="16">
        <f aca="0">IF(B466="","",SUMPRODUCT((실물목록!$P$2:$P$1001&lt;&gt;"")*ISNUMBER(SEARCH(실물목록!$P$2:$P$1001,I466))*(실물목록!$Q$2:$Q$1001&lt;&gt;"")*ISNUMBER(SEARCH(실물목록!$Q$2:$Q$1001,I466))*(실물목록!$R$2:$R$1001="")*(실물목록!$O$2:$O$1001&lt;&gt;"")*(실물목록!$O$2:$O$1001=H466)))</f>
      </c>
      <c r="H466" t="str">
        <f>IFERROR(IF(AND(LEN(SUBSTITUTE(SUBSTITUTE(SUBSTITUTE(TRIM(A466&amp;""),CHAR(160),"")," ",""),"년",""))=4,VALUE(SUBSTITUTE(SUBSTITUTE(SUBSTITUTE(TRIM(A466&amp;""),CHAR(160),"")," ",""),"년",""))&gt;=1900,VALUE(SUBSTITUTE(SUBSTITUTE(SUBSTITUTE(TRIM(A466&amp;""),CHAR(160),"")," ",""),"년",""))&lt;=2099,TEXT(VALUE(SUBSTITUTE(SUBSTITUTE(SUBSTITUTE(TRIM(A466&amp;""),CHAR(160),"")," ",""),"년","")),"0000")=SUBSTITUTE(SUBSTITUTE(SUBSTITUTE(TRIM(A466&amp;""),CHAR(160),"")," ",""),"년","")),SUBSTITUTE(SUBSTITUTE(SUBSTITUTE(TRIM(A466&amp;""),CHAR(160),"")," ",""),"년",""),""),"")</f>
      </c>
      <c r="I466" t="str">
        <f>SUBSTITUTE(SUBSTITUTE(SUBSTITUTE(SUBSTITUTE(SUBSTITUTE(TRIM(B466&amp;""),CHAR(160),"")," ",""),"초등학교","초"),"중학교","중"),"고등학교","고")</f>
      </c>
    </row>
    <row r="467" customFormat="false" ht="15" hidden="false" customHeight="false" outlineLevel="0" collapsed="false">
      <c r="A467" s="8"/>
      <c r="B467" s="8"/>
      <c r="C467" s="8"/>
      <c r="D467" s="8"/>
      <c r="E467" s="8"/>
      <c r="F467" t="str" s="15">
        <f aca="0">IF(B467="","",IF(H467="","확인필요(입력누락)",IF(SUMPRODUCT((실물목록!$P$2:$P$1001&lt;&gt;"")*ISNUMBER(SEARCH(실물목록!$P$2:$P$1001,I467))*(실물목록!$Q$2:$Q$1001&lt;&gt;"")*ISNUMBER(SEARCH(실물목록!$Q$2:$Q$1001,I467))*(실물목록!$R$2:$R$1001="")*(실물목록!$O$2:$O$1001&lt;&gt;"")*(실물목록!$O$2:$O$1001=H467))&gt;0,"실물 있음",IF(SUMPRODUCT((실물목록!$P$2:$P$1001&lt;&gt;"")*ISNUMBER(SEARCH(실물목록!$P$2:$P$1001,I467))*(실물목록!$R$2:$R$1001&lt;&gt;""))&gt;0,"확인필요(입력누락)",IF(SUMPRODUCT((실물목록!$P$2:$P$1001&lt;&gt;"")*ISNUMBER(SEARCH(실물목록!$P$2:$P$1001,I467))*(실물목록!$Q$2:$Q$1001&lt;&gt;"")*ISNUMBER(SEARCH(실물목록!$Q$2:$Q$1001,I467))*(실물목록!$R$2:$R$1001="")*(실물목록!$O$2:$O$1001&lt;&gt;""))&gt;0,"확인필요(연도다름)","실물 없음")))))</f>
      </c>
      <c r="G467" t="n" s="16">
        <f aca="0">IF(B467="","",SUMPRODUCT((실물목록!$P$2:$P$1001&lt;&gt;"")*ISNUMBER(SEARCH(실물목록!$P$2:$P$1001,I467))*(실물목록!$Q$2:$Q$1001&lt;&gt;"")*ISNUMBER(SEARCH(실물목록!$Q$2:$Q$1001,I467))*(실물목록!$R$2:$R$1001="")*(실물목록!$O$2:$O$1001&lt;&gt;"")*(실물목록!$O$2:$O$1001=H467)))</f>
      </c>
      <c r="H467" t="str">
        <f>IFERROR(IF(AND(LEN(SUBSTITUTE(SUBSTITUTE(SUBSTITUTE(TRIM(A467&amp;""),CHAR(160),"")," ",""),"년",""))=4,VALUE(SUBSTITUTE(SUBSTITUTE(SUBSTITUTE(TRIM(A467&amp;""),CHAR(160),"")," ",""),"년",""))&gt;=1900,VALUE(SUBSTITUTE(SUBSTITUTE(SUBSTITUTE(TRIM(A467&amp;""),CHAR(160),"")," ",""),"년",""))&lt;=2099,TEXT(VALUE(SUBSTITUTE(SUBSTITUTE(SUBSTITUTE(TRIM(A467&amp;""),CHAR(160),"")," ",""),"년","")),"0000")=SUBSTITUTE(SUBSTITUTE(SUBSTITUTE(TRIM(A467&amp;""),CHAR(160),"")," ",""),"년","")),SUBSTITUTE(SUBSTITUTE(SUBSTITUTE(TRIM(A467&amp;""),CHAR(160),"")," ",""),"년",""),""),"")</f>
      </c>
      <c r="I467" t="str">
        <f>SUBSTITUTE(SUBSTITUTE(SUBSTITUTE(SUBSTITUTE(SUBSTITUTE(TRIM(B467&amp;""),CHAR(160),"")," ",""),"초등학교","초"),"중학교","중"),"고등학교","고")</f>
      </c>
    </row>
    <row r="468" customFormat="false" ht="15" hidden="false" customHeight="false" outlineLevel="0" collapsed="false">
      <c r="A468" s="8"/>
      <c r="B468" s="8"/>
      <c r="C468" s="8"/>
      <c r="D468" s="8"/>
      <c r="E468" s="8"/>
      <c r="F468" t="str" s="15">
        <f aca="0">IF(B468="","",IF(H468="","확인필요(입력누락)",IF(SUMPRODUCT((실물목록!$P$2:$P$1001&lt;&gt;"")*ISNUMBER(SEARCH(실물목록!$P$2:$P$1001,I468))*(실물목록!$Q$2:$Q$1001&lt;&gt;"")*ISNUMBER(SEARCH(실물목록!$Q$2:$Q$1001,I468))*(실물목록!$R$2:$R$1001="")*(실물목록!$O$2:$O$1001&lt;&gt;"")*(실물목록!$O$2:$O$1001=H468))&gt;0,"실물 있음",IF(SUMPRODUCT((실물목록!$P$2:$P$1001&lt;&gt;"")*ISNUMBER(SEARCH(실물목록!$P$2:$P$1001,I468))*(실물목록!$R$2:$R$1001&lt;&gt;""))&gt;0,"확인필요(입력누락)",IF(SUMPRODUCT((실물목록!$P$2:$P$1001&lt;&gt;"")*ISNUMBER(SEARCH(실물목록!$P$2:$P$1001,I468))*(실물목록!$Q$2:$Q$1001&lt;&gt;"")*ISNUMBER(SEARCH(실물목록!$Q$2:$Q$1001,I468))*(실물목록!$R$2:$R$1001="")*(실물목록!$O$2:$O$1001&lt;&gt;""))&gt;0,"확인필요(연도다름)","실물 없음")))))</f>
      </c>
      <c r="G468" t="n" s="16">
        <f aca="0">IF(B468="","",SUMPRODUCT((실물목록!$P$2:$P$1001&lt;&gt;"")*ISNUMBER(SEARCH(실물목록!$P$2:$P$1001,I468))*(실물목록!$Q$2:$Q$1001&lt;&gt;"")*ISNUMBER(SEARCH(실물목록!$Q$2:$Q$1001,I468))*(실물목록!$R$2:$R$1001="")*(실물목록!$O$2:$O$1001&lt;&gt;"")*(실물목록!$O$2:$O$1001=H468)))</f>
      </c>
      <c r="H468" t="str">
        <f>IFERROR(IF(AND(LEN(SUBSTITUTE(SUBSTITUTE(SUBSTITUTE(TRIM(A468&amp;""),CHAR(160),"")," ",""),"년",""))=4,VALUE(SUBSTITUTE(SUBSTITUTE(SUBSTITUTE(TRIM(A468&amp;""),CHAR(160),"")," ",""),"년",""))&gt;=1900,VALUE(SUBSTITUTE(SUBSTITUTE(SUBSTITUTE(TRIM(A468&amp;""),CHAR(160),"")," ",""),"년",""))&lt;=2099,TEXT(VALUE(SUBSTITUTE(SUBSTITUTE(SUBSTITUTE(TRIM(A468&amp;""),CHAR(160),"")," ",""),"년","")),"0000")=SUBSTITUTE(SUBSTITUTE(SUBSTITUTE(TRIM(A468&amp;""),CHAR(160),"")," ",""),"년","")),SUBSTITUTE(SUBSTITUTE(SUBSTITUTE(TRIM(A468&amp;""),CHAR(160),"")," ",""),"년",""),""),"")</f>
      </c>
      <c r="I468" t="str">
        <f>SUBSTITUTE(SUBSTITUTE(SUBSTITUTE(SUBSTITUTE(SUBSTITUTE(TRIM(B468&amp;""),CHAR(160),"")," ",""),"초등학교","초"),"중학교","중"),"고등학교","고")</f>
      </c>
    </row>
    <row r="469" customFormat="false" ht="15" hidden="false" customHeight="false" outlineLevel="0" collapsed="false">
      <c r="A469" s="8"/>
      <c r="B469" s="8"/>
      <c r="C469" s="8"/>
      <c r="D469" s="8"/>
      <c r="E469" s="8"/>
      <c r="F469" t="str" s="15">
        <f aca="0">IF(B469="","",IF(H469="","확인필요(입력누락)",IF(SUMPRODUCT((실물목록!$P$2:$P$1001&lt;&gt;"")*ISNUMBER(SEARCH(실물목록!$P$2:$P$1001,I469))*(실물목록!$Q$2:$Q$1001&lt;&gt;"")*ISNUMBER(SEARCH(실물목록!$Q$2:$Q$1001,I469))*(실물목록!$R$2:$R$1001="")*(실물목록!$O$2:$O$1001&lt;&gt;"")*(실물목록!$O$2:$O$1001=H469))&gt;0,"실물 있음",IF(SUMPRODUCT((실물목록!$P$2:$P$1001&lt;&gt;"")*ISNUMBER(SEARCH(실물목록!$P$2:$P$1001,I469))*(실물목록!$R$2:$R$1001&lt;&gt;""))&gt;0,"확인필요(입력누락)",IF(SUMPRODUCT((실물목록!$P$2:$P$1001&lt;&gt;"")*ISNUMBER(SEARCH(실물목록!$P$2:$P$1001,I469))*(실물목록!$Q$2:$Q$1001&lt;&gt;"")*ISNUMBER(SEARCH(실물목록!$Q$2:$Q$1001,I469))*(실물목록!$R$2:$R$1001="")*(실물목록!$O$2:$O$1001&lt;&gt;""))&gt;0,"확인필요(연도다름)","실물 없음")))))</f>
      </c>
      <c r="G469" t="n" s="16">
        <f aca="0">IF(B469="","",SUMPRODUCT((실물목록!$P$2:$P$1001&lt;&gt;"")*ISNUMBER(SEARCH(실물목록!$P$2:$P$1001,I469))*(실물목록!$Q$2:$Q$1001&lt;&gt;"")*ISNUMBER(SEARCH(실물목록!$Q$2:$Q$1001,I469))*(실물목록!$R$2:$R$1001="")*(실물목록!$O$2:$O$1001&lt;&gt;"")*(실물목록!$O$2:$O$1001=H469)))</f>
      </c>
      <c r="H469" t="str">
        <f>IFERROR(IF(AND(LEN(SUBSTITUTE(SUBSTITUTE(SUBSTITUTE(TRIM(A469&amp;""),CHAR(160),"")," ",""),"년",""))=4,VALUE(SUBSTITUTE(SUBSTITUTE(SUBSTITUTE(TRIM(A469&amp;""),CHAR(160),"")," ",""),"년",""))&gt;=1900,VALUE(SUBSTITUTE(SUBSTITUTE(SUBSTITUTE(TRIM(A469&amp;""),CHAR(160),"")," ",""),"년",""))&lt;=2099,TEXT(VALUE(SUBSTITUTE(SUBSTITUTE(SUBSTITUTE(TRIM(A469&amp;""),CHAR(160),"")," ",""),"년","")),"0000")=SUBSTITUTE(SUBSTITUTE(SUBSTITUTE(TRIM(A469&amp;""),CHAR(160),"")," ",""),"년","")),SUBSTITUTE(SUBSTITUTE(SUBSTITUTE(TRIM(A469&amp;""),CHAR(160),"")," ",""),"년",""),""),"")</f>
      </c>
      <c r="I469" t="str">
        <f>SUBSTITUTE(SUBSTITUTE(SUBSTITUTE(SUBSTITUTE(SUBSTITUTE(TRIM(B469&amp;""),CHAR(160),"")," ",""),"초등학교","초"),"중학교","중"),"고등학교","고")</f>
      </c>
    </row>
    <row r="470" customFormat="false" ht="15" hidden="false" customHeight="false" outlineLevel="0" collapsed="false">
      <c r="A470" s="8"/>
      <c r="B470" s="8"/>
      <c r="C470" s="8"/>
      <c r="D470" s="8"/>
      <c r="E470" s="8"/>
      <c r="F470" t="str" s="15">
        <f aca="0">IF(B470="","",IF(H470="","확인필요(입력누락)",IF(SUMPRODUCT((실물목록!$P$2:$P$1001&lt;&gt;"")*ISNUMBER(SEARCH(실물목록!$P$2:$P$1001,I470))*(실물목록!$Q$2:$Q$1001&lt;&gt;"")*ISNUMBER(SEARCH(실물목록!$Q$2:$Q$1001,I470))*(실물목록!$R$2:$R$1001="")*(실물목록!$O$2:$O$1001&lt;&gt;"")*(실물목록!$O$2:$O$1001=H470))&gt;0,"실물 있음",IF(SUMPRODUCT((실물목록!$P$2:$P$1001&lt;&gt;"")*ISNUMBER(SEARCH(실물목록!$P$2:$P$1001,I470))*(실물목록!$R$2:$R$1001&lt;&gt;""))&gt;0,"확인필요(입력누락)",IF(SUMPRODUCT((실물목록!$P$2:$P$1001&lt;&gt;"")*ISNUMBER(SEARCH(실물목록!$P$2:$P$1001,I470))*(실물목록!$Q$2:$Q$1001&lt;&gt;"")*ISNUMBER(SEARCH(실물목록!$Q$2:$Q$1001,I470))*(실물목록!$R$2:$R$1001="")*(실물목록!$O$2:$O$1001&lt;&gt;""))&gt;0,"확인필요(연도다름)","실물 없음")))))</f>
      </c>
      <c r="G470" t="n" s="16">
        <f aca="0">IF(B470="","",SUMPRODUCT((실물목록!$P$2:$P$1001&lt;&gt;"")*ISNUMBER(SEARCH(실물목록!$P$2:$P$1001,I470))*(실물목록!$Q$2:$Q$1001&lt;&gt;"")*ISNUMBER(SEARCH(실물목록!$Q$2:$Q$1001,I470))*(실물목록!$R$2:$R$1001="")*(실물목록!$O$2:$O$1001&lt;&gt;"")*(실물목록!$O$2:$O$1001=H470)))</f>
      </c>
      <c r="H470" t="str">
        <f>IFERROR(IF(AND(LEN(SUBSTITUTE(SUBSTITUTE(SUBSTITUTE(TRIM(A470&amp;""),CHAR(160),"")," ",""),"년",""))=4,VALUE(SUBSTITUTE(SUBSTITUTE(SUBSTITUTE(TRIM(A470&amp;""),CHAR(160),"")," ",""),"년",""))&gt;=1900,VALUE(SUBSTITUTE(SUBSTITUTE(SUBSTITUTE(TRIM(A470&amp;""),CHAR(160),"")," ",""),"년",""))&lt;=2099,TEXT(VALUE(SUBSTITUTE(SUBSTITUTE(SUBSTITUTE(TRIM(A470&amp;""),CHAR(160),"")," ",""),"년","")),"0000")=SUBSTITUTE(SUBSTITUTE(SUBSTITUTE(TRIM(A470&amp;""),CHAR(160),"")," ",""),"년","")),SUBSTITUTE(SUBSTITUTE(SUBSTITUTE(TRIM(A470&amp;""),CHAR(160),"")," ",""),"년",""),""),"")</f>
      </c>
      <c r="I470" t="str">
        <f>SUBSTITUTE(SUBSTITUTE(SUBSTITUTE(SUBSTITUTE(SUBSTITUTE(TRIM(B470&amp;""),CHAR(160),"")," ",""),"초등학교","초"),"중학교","중"),"고등학교","고")</f>
      </c>
    </row>
    <row r="471" customFormat="false" ht="15" hidden="false" customHeight="false" outlineLevel="0" collapsed="false">
      <c r="A471" s="8"/>
      <c r="B471" s="8"/>
      <c r="C471" s="8"/>
      <c r="D471" s="8"/>
      <c r="E471" s="8"/>
      <c r="F471" t="str" s="15">
        <f aca="0">IF(B471="","",IF(H471="","확인필요(입력누락)",IF(SUMPRODUCT((실물목록!$P$2:$P$1001&lt;&gt;"")*ISNUMBER(SEARCH(실물목록!$P$2:$P$1001,I471))*(실물목록!$Q$2:$Q$1001&lt;&gt;"")*ISNUMBER(SEARCH(실물목록!$Q$2:$Q$1001,I471))*(실물목록!$R$2:$R$1001="")*(실물목록!$O$2:$O$1001&lt;&gt;"")*(실물목록!$O$2:$O$1001=H471))&gt;0,"실물 있음",IF(SUMPRODUCT((실물목록!$P$2:$P$1001&lt;&gt;"")*ISNUMBER(SEARCH(실물목록!$P$2:$P$1001,I471))*(실물목록!$R$2:$R$1001&lt;&gt;""))&gt;0,"확인필요(입력누락)",IF(SUMPRODUCT((실물목록!$P$2:$P$1001&lt;&gt;"")*ISNUMBER(SEARCH(실물목록!$P$2:$P$1001,I471))*(실물목록!$Q$2:$Q$1001&lt;&gt;"")*ISNUMBER(SEARCH(실물목록!$Q$2:$Q$1001,I471))*(실물목록!$R$2:$R$1001="")*(실물목록!$O$2:$O$1001&lt;&gt;""))&gt;0,"확인필요(연도다름)","실물 없음")))))</f>
      </c>
      <c r="G471" t="n" s="16">
        <f aca="0">IF(B471="","",SUMPRODUCT((실물목록!$P$2:$P$1001&lt;&gt;"")*ISNUMBER(SEARCH(실물목록!$P$2:$P$1001,I471))*(실물목록!$Q$2:$Q$1001&lt;&gt;"")*ISNUMBER(SEARCH(실물목록!$Q$2:$Q$1001,I471))*(실물목록!$R$2:$R$1001="")*(실물목록!$O$2:$O$1001&lt;&gt;"")*(실물목록!$O$2:$O$1001=H471)))</f>
      </c>
      <c r="H471" t="str">
        <f>IFERROR(IF(AND(LEN(SUBSTITUTE(SUBSTITUTE(SUBSTITUTE(TRIM(A471&amp;""),CHAR(160),"")," ",""),"년",""))=4,VALUE(SUBSTITUTE(SUBSTITUTE(SUBSTITUTE(TRIM(A471&amp;""),CHAR(160),"")," ",""),"년",""))&gt;=1900,VALUE(SUBSTITUTE(SUBSTITUTE(SUBSTITUTE(TRIM(A471&amp;""),CHAR(160),"")," ",""),"년",""))&lt;=2099,TEXT(VALUE(SUBSTITUTE(SUBSTITUTE(SUBSTITUTE(TRIM(A471&amp;""),CHAR(160),"")," ",""),"년","")),"0000")=SUBSTITUTE(SUBSTITUTE(SUBSTITUTE(TRIM(A471&amp;""),CHAR(160),"")," ",""),"년","")),SUBSTITUTE(SUBSTITUTE(SUBSTITUTE(TRIM(A471&amp;""),CHAR(160),"")," ",""),"년",""),""),"")</f>
      </c>
      <c r="I471" t="str">
        <f>SUBSTITUTE(SUBSTITUTE(SUBSTITUTE(SUBSTITUTE(SUBSTITUTE(TRIM(B471&amp;""),CHAR(160),"")," ",""),"초등학교","초"),"중학교","중"),"고등학교","고")</f>
      </c>
    </row>
    <row r="472" customFormat="false" ht="15" hidden="false" customHeight="false" outlineLevel="0" collapsed="false">
      <c r="A472" s="8"/>
      <c r="B472" s="8"/>
      <c r="C472" s="8"/>
      <c r="D472" s="8"/>
      <c r="E472" s="8"/>
      <c r="F472" t="str" s="15">
        <f aca="0">IF(B472="","",IF(H472="","확인필요(입력누락)",IF(SUMPRODUCT((실물목록!$P$2:$P$1001&lt;&gt;"")*ISNUMBER(SEARCH(실물목록!$P$2:$P$1001,I472))*(실물목록!$Q$2:$Q$1001&lt;&gt;"")*ISNUMBER(SEARCH(실물목록!$Q$2:$Q$1001,I472))*(실물목록!$R$2:$R$1001="")*(실물목록!$O$2:$O$1001&lt;&gt;"")*(실물목록!$O$2:$O$1001=H472))&gt;0,"실물 있음",IF(SUMPRODUCT((실물목록!$P$2:$P$1001&lt;&gt;"")*ISNUMBER(SEARCH(실물목록!$P$2:$P$1001,I472))*(실물목록!$R$2:$R$1001&lt;&gt;""))&gt;0,"확인필요(입력누락)",IF(SUMPRODUCT((실물목록!$P$2:$P$1001&lt;&gt;"")*ISNUMBER(SEARCH(실물목록!$P$2:$P$1001,I472))*(실물목록!$Q$2:$Q$1001&lt;&gt;"")*ISNUMBER(SEARCH(실물목록!$Q$2:$Q$1001,I472))*(실물목록!$R$2:$R$1001="")*(실물목록!$O$2:$O$1001&lt;&gt;""))&gt;0,"확인필요(연도다름)","실물 없음")))))</f>
      </c>
      <c r="G472" t="n" s="16">
        <f aca="0">IF(B472="","",SUMPRODUCT((실물목록!$P$2:$P$1001&lt;&gt;"")*ISNUMBER(SEARCH(실물목록!$P$2:$P$1001,I472))*(실물목록!$Q$2:$Q$1001&lt;&gt;"")*ISNUMBER(SEARCH(실물목록!$Q$2:$Q$1001,I472))*(실물목록!$R$2:$R$1001="")*(실물목록!$O$2:$O$1001&lt;&gt;"")*(실물목록!$O$2:$O$1001=H472)))</f>
      </c>
      <c r="H472" t="str">
        <f>IFERROR(IF(AND(LEN(SUBSTITUTE(SUBSTITUTE(SUBSTITUTE(TRIM(A472&amp;""),CHAR(160),"")," ",""),"년",""))=4,VALUE(SUBSTITUTE(SUBSTITUTE(SUBSTITUTE(TRIM(A472&amp;""),CHAR(160),"")," ",""),"년",""))&gt;=1900,VALUE(SUBSTITUTE(SUBSTITUTE(SUBSTITUTE(TRIM(A472&amp;""),CHAR(160),"")," ",""),"년",""))&lt;=2099,TEXT(VALUE(SUBSTITUTE(SUBSTITUTE(SUBSTITUTE(TRIM(A472&amp;""),CHAR(160),"")," ",""),"년","")),"0000")=SUBSTITUTE(SUBSTITUTE(SUBSTITUTE(TRIM(A472&amp;""),CHAR(160),"")," ",""),"년","")),SUBSTITUTE(SUBSTITUTE(SUBSTITUTE(TRIM(A472&amp;""),CHAR(160),"")," ",""),"년",""),""),"")</f>
      </c>
      <c r="I472" t="str">
        <f>SUBSTITUTE(SUBSTITUTE(SUBSTITUTE(SUBSTITUTE(SUBSTITUTE(TRIM(B472&amp;""),CHAR(160),"")," ",""),"초등학교","초"),"중학교","중"),"고등학교","고")</f>
      </c>
    </row>
    <row r="473" customFormat="false" ht="15" hidden="false" customHeight="false" outlineLevel="0" collapsed="false">
      <c r="A473" s="8"/>
      <c r="B473" s="8"/>
      <c r="C473" s="8"/>
      <c r="D473" s="8"/>
      <c r="E473" s="8"/>
      <c r="F473" t="str" s="15">
        <f aca="0">IF(B473="","",IF(H473="","확인필요(입력누락)",IF(SUMPRODUCT((실물목록!$P$2:$P$1001&lt;&gt;"")*ISNUMBER(SEARCH(실물목록!$P$2:$P$1001,I473))*(실물목록!$Q$2:$Q$1001&lt;&gt;"")*ISNUMBER(SEARCH(실물목록!$Q$2:$Q$1001,I473))*(실물목록!$R$2:$R$1001="")*(실물목록!$O$2:$O$1001&lt;&gt;"")*(실물목록!$O$2:$O$1001=H473))&gt;0,"실물 있음",IF(SUMPRODUCT((실물목록!$P$2:$P$1001&lt;&gt;"")*ISNUMBER(SEARCH(실물목록!$P$2:$P$1001,I473))*(실물목록!$R$2:$R$1001&lt;&gt;""))&gt;0,"확인필요(입력누락)",IF(SUMPRODUCT((실물목록!$P$2:$P$1001&lt;&gt;"")*ISNUMBER(SEARCH(실물목록!$P$2:$P$1001,I473))*(실물목록!$Q$2:$Q$1001&lt;&gt;"")*ISNUMBER(SEARCH(실물목록!$Q$2:$Q$1001,I473))*(실물목록!$R$2:$R$1001="")*(실물목록!$O$2:$O$1001&lt;&gt;""))&gt;0,"확인필요(연도다름)","실물 없음")))))</f>
      </c>
      <c r="G473" t="n" s="16">
        <f aca="0">IF(B473="","",SUMPRODUCT((실물목록!$P$2:$P$1001&lt;&gt;"")*ISNUMBER(SEARCH(실물목록!$P$2:$P$1001,I473))*(실물목록!$Q$2:$Q$1001&lt;&gt;"")*ISNUMBER(SEARCH(실물목록!$Q$2:$Q$1001,I473))*(실물목록!$R$2:$R$1001="")*(실물목록!$O$2:$O$1001&lt;&gt;"")*(실물목록!$O$2:$O$1001=H473)))</f>
      </c>
      <c r="H473" t="str">
        <f>IFERROR(IF(AND(LEN(SUBSTITUTE(SUBSTITUTE(SUBSTITUTE(TRIM(A473&amp;""),CHAR(160),"")," ",""),"년",""))=4,VALUE(SUBSTITUTE(SUBSTITUTE(SUBSTITUTE(TRIM(A473&amp;""),CHAR(160),"")," ",""),"년",""))&gt;=1900,VALUE(SUBSTITUTE(SUBSTITUTE(SUBSTITUTE(TRIM(A473&amp;""),CHAR(160),"")," ",""),"년",""))&lt;=2099,TEXT(VALUE(SUBSTITUTE(SUBSTITUTE(SUBSTITUTE(TRIM(A473&amp;""),CHAR(160),"")," ",""),"년","")),"0000")=SUBSTITUTE(SUBSTITUTE(SUBSTITUTE(TRIM(A473&amp;""),CHAR(160),"")," ",""),"년","")),SUBSTITUTE(SUBSTITUTE(SUBSTITUTE(TRIM(A473&amp;""),CHAR(160),"")," ",""),"년",""),""),"")</f>
      </c>
      <c r="I473" t="str">
        <f>SUBSTITUTE(SUBSTITUTE(SUBSTITUTE(SUBSTITUTE(SUBSTITUTE(TRIM(B473&amp;""),CHAR(160),"")," ",""),"초등학교","초"),"중학교","중"),"고등학교","고")</f>
      </c>
    </row>
    <row r="474" customFormat="false" ht="15" hidden="false" customHeight="false" outlineLevel="0" collapsed="false">
      <c r="A474" s="8"/>
      <c r="B474" s="8"/>
      <c r="C474" s="8"/>
      <c r="D474" s="8"/>
      <c r="E474" s="8"/>
      <c r="F474" t="str" s="15">
        <f aca="0">IF(B474="","",IF(H474="","확인필요(입력누락)",IF(SUMPRODUCT((실물목록!$P$2:$P$1001&lt;&gt;"")*ISNUMBER(SEARCH(실물목록!$P$2:$P$1001,I474))*(실물목록!$Q$2:$Q$1001&lt;&gt;"")*ISNUMBER(SEARCH(실물목록!$Q$2:$Q$1001,I474))*(실물목록!$R$2:$R$1001="")*(실물목록!$O$2:$O$1001&lt;&gt;"")*(실물목록!$O$2:$O$1001=H474))&gt;0,"실물 있음",IF(SUMPRODUCT((실물목록!$P$2:$P$1001&lt;&gt;"")*ISNUMBER(SEARCH(실물목록!$P$2:$P$1001,I474))*(실물목록!$R$2:$R$1001&lt;&gt;""))&gt;0,"확인필요(입력누락)",IF(SUMPRODUCT((실물목록!$P$2:$P$1001&lt;&gt;"")*ISNUMBER(SEARCH(실물목록!$P$2:$P$1001,I474))*(실물목록!$Q$2:$Q$1001&lt;&gt;"")*ISNUMBER(SEARCH(실물목록!$Q$2:$Q$1001,I474))*(실물목록!$R$2:$R$1001="")*(실물목록!$O$2:$O$1001&lt;&gt;""))&gt;0,"확인필요(연도다름)","실물 없음")))))</f>
      </c>
      <c r="G474" t="n" s="16">
        <f aca="0">IF(B474="","",SUMPRODUCT((실물목록!$P$2:$P$1001&lt;&gt;"")*ISNUMBER(SEARCH(실물목록!$P$2:$P$1001,I474))*(실물목록!$Q$2:$Q$1001&lt;&gt;"")*ISNUMBER(SEARCH(실물목록!$Q$2:$Q$1001,I474))*(실물목록!$R$2:$R$1001="")*(실물목록!$O$2:$O$1001&lt;&gt;"")*(실물목록!$O$2:$O$1001=H474)))</f>
      </c>
      <c r="H474" t="str">
        <f>IFERROR(IF(AND(LEN(SUBSTITUTE(SUBSTITUTE(SUBSTITUTE(TRIM(A474&amp;""),CHAR(160),"")," ",""),"년",""))=4,VALUE(SUBSTITUTE(SUBSTITUTE(SUBSTITUTE(TRIM(A474&amp;""),CHAR(160),"")," ",""),"년",""))&gt;=1900,VALUE(SUBSTITUTE(SUBSTITUTE(SUBSTITUTE(TRIM(A474&amp;""),CHAR(160),"")," ",""),"년",""))&lt;=2099,TEXT(VALUE(SUBSTITUTE(SUBSTITUTE(SUBSTITUTE(TRIM(A474&amp;""),CHAR(160),"")," ",""),"년","")),"0000")=SUBSTITUTE(SUBSTITUTE(SUBSTITUTE(TRIM(A474&amp;""),CHAR(160),"")," ",""),"년","")),SUBSTITUTE(SUBSTITUTE(SUBSTITUTE(TRIM(A474&amp;""),CHAR(160),"")," ",""),"년",""),""),"")</f>
      </c>
      <c r="I474" t="str">
        <f>SUBSTITUTE(SUBSTITUTE(SUBSTITUTE(SUBSTITUTE(SUBSTITUTE(TRIM(B474&amp;""),CHAR(160),"")," ",""),"초등학교","초"),"중학교","중"),"고등학교","고")</f>
      </c>
    </row>
    <row r="475" customFormat="false" ht="15" hidden="false" customHeight="false" outlineLevel="0" collapsed="false">
      <c r="A475" s="8"/>
      <c r="B475" s="8"/>
      <c r="C475" s="8"/>
      <c r="D475" s="8"/>
      <c r="E475" s="8"/>
      <c r="F475" t="str" s="15">
        <f aca="0">IF(B475="","",IF(H475="","확인필요(입력누락)",IF(SUMPRODUCT((실물목록!$P$2:$P$1001&lt;&gt;"")*ISNUMBER(SEARCH(실물목록!$P$2:$P$1001,I475))*(실물목록!$Q$2:$Q$1001&lt;&gt;"")*ISNUMBER(SEARCH(실물목록!$Q$2:$Q$1001,I475))*(실물목록!$R$2:$R$1001="")*(실물목록!$O$2:$O$1001&lt;&gt;"")*(실물목록!$O$2:$O$1001=H475))&gt;0,"실물 있음",IF(SUMPRODUCT((실물목록!$P$2:$P$1001&lt;&gt;"")*ISNUMBER(SEARCH(실물목록!$P$2:$P$1001,I475))*(실물목록!$R$2:$R$1001&lt;&gt;""))&gt;0,"확인필요(입력누락)",IF(SUMPRODUCT((실물목록!$P$2:$P$1001&lt;&gt;"")*ISNUMBER(SEARCH(실물목록!$P$2:$P$1001,I475))*(실물목록!$Q$2:$Q$1001&lt;&gt;"")*ISNUMBER(SEARCH(실물목록!$Q$2:$Q$1001,I475))*(실물목록!$R$2:$R$1001="")*(실물목록!$O$2:$O$1001&lt;&gt;""))&gt;0,"확인필요(연도다름)","실물 없음")))))</f>
      </c>
      <c r="G475" t="n" s="16">
        <f aca="0">IF(B475="","",SUMPRODUCT((실물목록!$P$2:$P$1001&lt;&gt;"")*ISNUMBER(SEARCH(실물목록!$P$2:$P$1001,I475))*(실물목록!$Q$2:$Q$1001&lt;&gt;"")*ISNUMBER(SEARCH(실물목록!$Q$2:$Q$1001,I475))*(실물목록!$R$2:$R$1001="")*(실물목록!$O$2:$O$1001&lt;&gt;"")*(실물목록!$O$2:$O$1001=H475)))</f>
      </c>
      <c r="H475" t="str">
        <f>IFERROR(IF(AND(LEN(SUBSTITUTE(SUBSTITUTE(SUBSTITUTE(TRIM(A475&amp;""),CHAR(160),"")," ",""),"년",""))=4,VALUE(SUBSTITUTE(SUBSTITUTE(SUBSTITUTE(TRIM(A475&amp;""),CHAR(160),"")," ",""),"년",""))&gt;=1900,VALUE(SUBSTITUTE(SUBSTITUTE(SUBSTITUTE(TRIM(A475&amp;""),CHAR(160),"")," ",""),"년",""))&lt;=2099,TEXT(VALUE(SUBSTITUTE(SUBSTITUTE(SUBSTITUTE(TRIM(A475&amp;""),CHAR(160),"")," ",""),"년","")),"0000")=SUBSTITUTE(SUBSTITUTE(SUBSTITUTE(TRIM(A475&amp;""),CHAR(160),"")," ",""),"년","")),SUBSTITUTE(SUBSTITUTE(SUBSTITUTE(TRIM(A475&amp;""),CHAR(160),"")," ",""),"년",""),""),"")</f>
      </c>
      <c r="I475" t="str">
        <f>SUBSTITUTE(SUBSTITUTE(SUBSTITUTE(SUBSTITUTE(SUBSTITUTE(TRIM(B475&amp;""),CHAR(160),"")," ",""),"초등학교","초"),"중학교","중"),"고등학교","고")</f>
      </c>
    </row>
    <row r="476" customFormat="false" ht="15" hidden="false" customHeight="false" outlineLevel="0" collapsed="false">
      <c r="A476" s="8"/>
      <c r="B476" s="8"/>
      <c r="C476" s="8"/>
      <c r="D476" s="8"/>
      <c r="E476" s="8"/>
      <c r="F476" t="str" s="15">
        <f aca="0">IF(B476="","",IF(H476="","확인필요(입력누락)",IF(SUMPRODUCT((실물목록!$P$2:$P$1001&lt;&gt;"")*ISNUMBER(SEARCH(실물목록!$P$2:$P$1001,I476))*(실물목록!$Q$2:$Q$1001&lt;&gt;"")*ISNUMBER(SEARCH(실물목록!$Q$2:$Q$1001,I476))*(실물목록!$R$2:$R$1001="")*(실물목록!$O$2:$O$1001&lt;&gt;"")*(실물목록!$O$2:$O$1001=H476))&gt;0,"실물 있음",IF(SUMPRODUCT((실물목록!$P$2:$P$1001&lt;&gt;"")*ISNUMBER(SEARCH(실물목록!$P$2:$P$1001,I476))*(실물목록!$R$2:$R$1001&lt;&gt;""))&gt;0,"확인필요(입력누락)",IF(SUMPRODUCT((실물목록!$P$2:$P$1001&lt;&gt;"")*ISNUMBER(SEARCH(실물목록!$P$2:$P$1001,I476))*(실물목록!$Q$2:$Q$1001&lt;&gt;"")*ISNUMBER(SEARCH(실물목록!$Q$2:$Q$1001,I476))*(실물목록!$R$2:$R$1001="")*(실물목록!$O$2:$O$1001&lt;&gt;""))&gt;0,"확인필요(연도다름)","실물 없음")))))</f>
      </c>
      <c r="G476" t="n" s="16">
        <f aca="0">IF(B476="","",SUMPRODUCT((실물목록!$P$2:$P$1001&lt;&gt;"")*ISNUMBER(SEARCH(실물목록!$P$2:$P$1001,I476))*(실물목록!$Q$2:$Q$1001&lt;&gt;"")*ISNUMBER(SEARCH(실물목록!$Q$2:$Q$1001,I476))*(실물목록!$R$2:$R$1001="")*(실물목록!$O$2:$O$1001&lt;&gt;"")*(실물목록!$O$2:$O$1001=H476)))</f>
      </c>
      <c r="H476" t="str">
        <f>IFERROR(IF(AND(LEN(SUBSTITUTE(SUBSTITUTE(SUBSTITUTE(TRIM(A476&amp;""),CHAR(160),"")," ",""),"년",""))=4,VALUE(SUBSTITUTE(SUBSTITUTE(SUBSTITUTE(TRIM(A476&amp;""),CHAR(160),"")," ",""),"년",""))&gt;=1900,VALUE(SUBSTITUTE(SUBSTITUTE(SUBSTITUTE(TRIM(A476&amp;""),CHAR(160),"")," ",""),"년",""))&lt;=2099,TEXT(VALUE(SUBSTITUTE(SUBSTITUTE(SUBSTITUTE(TRIM(A476&amp;""),CHAR(160),"")," ",""),"년","")),"0000")=SUBSTITUTE(SUBSTITUTE(SUBSTITUTE(TRIM(A476&amp;""),CHAR(160),"")," ",""),"년","")),SUBSTITUTE(SUBSTITUTE(SUBSTITUTE(TRIM(A476&amp;""),CHAR(160),"")," ",""),"년",""),""),"")</f>
      </c>
      <c r="I476" t="str">
        <f>SUBSTITUTE(SUBSTITUTE(SUBSTITUTE(SUBSTITUTE(SUBSTITUTE(TRIM(B476&amp;""),CHAR(160),"")," ",""),"초등학교","초"),"중학교","중"),"고등학교","고")</f>
      </c>
    </row>
    <row r="477" customFormat="false" ht="15" hidden="false" customHeight="false" outlineLevel="0" collapsed="false">
      <c r="A477" s="8"/>
      <c r="B477" s="8"/>
      <c r="C477" s="8"/>
      <c r="D477" s="8"/>
      <c r="E477" s="8"/>
      <c r="F477" t="str" s="15">
        <f aca="0">IF(B477="","",IF(H477="","확인필요(입력누락)",IF(SUMPRODUCT((실물목록!$P$2:$P$1001&lt;&gt;"")*ISNUMBER(SEARCH(실물목록!$P$2:$P$1001,I477))*(실물목록!$Q$2:$Q$1001&lt;&gt;"")*ISNUMBER(SEARCH(실물목록!$Q$2:$Q$1001,I477))*(실물목록!$R$2:$R$1001="")*(실물목록!$O$2:$O$1001&lt;&gt;"")*(실물목록!$O$2:$O$1001=H477))&gt;0,"실물 있음",IF(SUMPRODUCT((실물목록!$P$2:$P$1001&lt;&gt;"")*ISNUMBER(SEARCH(실물목록!$P$2:$P$1001,I477))*(실물목록!$R$2:$R$1001&lt;&gt;""))&gt;0,"확인필요(입력누락)",IF(SUMPRODUCT((실물목록!$P$2:$P$1001&lt;&gt;"")*ISNUMBER(SEARCH(실물목록!$P$2:$P$1001,I477))*(실물목록!$Q$2:$Q$1001&lt;&gt;"")*ISNUMBER(SEARCH(실물목록!$Q$2:$Q$1001,I477))*(실물목록!$R$2:$R$1001="")*(실물목록!$O$2:$O$1001&lt;&gt;""))&gt;0,"확인필요(연도다름)","실물 없음")))))</f>
      </c>
      <c r="G477" t="n" s="16">
        <f aca="0">IF(B477="","",SUMPRODUCT((실물목록!$P$2:$P$1001&lt;&gt;"")*ISNUMBER(SEARCH(실물목록!$P$2:$P$1001,I477))*(실물목록!$Q$2:$Q$1001&lt;&gt;"")*ISNUMBER(SEARCH(실물목록!$Q$2:$Q$1001,I477))*(실물목록!$R$2:$R$1001="")*(실물목록!$O$2:$O$1001&lt;&gt;"")*(실물목록!$O$2:$O$1001=H477)))</f>
      </c>
      <c r="H477" t="str">
        <f>IFERROR(IF(AND(LEN(SUBSTITUTE(SUBSTITUTE(SUBSTITUTE(TRIM(A477&amp;""),CHAR(160),"")," ",""),"년",""))=4,VALUE(SUBSTITUTE(SUBSTITUTE(SUBSTITUTE(TRIM(A477&amp;""),CHAR(160),"")," ",""),"년",""))&gt;=1900,VALUE(SUBSTITUTE(SUBSTITUTE(SUBSTITUTE(TRIM(A477&amp;""),CHAR(160),"")," ",""),"년",""))&lt;=2099,TEXT(VALUE(SUBSTITUTE(SUBSTITUTE(SUBSTITUTE(TRIM(A477&amp;""),CHAR(160),"")," ",""),"년","")),"0000")=SUBSTITUTE(SUBSTITUTE(SUBSTITUTE(TRIM(A477&amp;""),CHAR(160),"")," ",""),"년","")),SUBSTITUTE(SUBSTITUTE(SUBSTITUTE(TRIM(A477&amp;""),CHAR(160),"")," ",""),"년",""),""),"")</f>
      </c>
      <c r="I477" t="str">
        <f>SUBSTITUTE(SUBSTITUTE(SUBSTITUTE(SUBSTITUTE(SUBSTITUTE(TRIM(B477&amp;""),CHAR(160),"")," ",""),"초등학교","초"),"중학교","중"),"고등학교","고")</f>
      </c>
    </row>
    <row r="478" customFormat="false" ht="15" hidden="false" customHeight="false" outlineLevel="0" collapsed="false">
      <c r="A478" s="8"/>
      <c r="B478" s="8"/>
      <c r="C478" s="8"/>
      <c r="D478" s="8"/>
      <c r="E478" s="8"/>
      <c r="F478" t="str" s="15">
        <f aca="0">IF(B478="","",IF(H478="","확인필요(입력누락)",IF(SUMPRODUCT((실물목록!$P$2:$P$1001&lt;&gt;"")*ISNUMBER(SEARCH(실물목록!$P$2:$P$1001,I478))*(실물목록!$Q$2:$Q$1001&lt;&gt;"")*ISNUMBER(SEARCH(실물목록!$Q$2:$Q$1001,I478))*(실물목록!$R$2:$R$1001="")*(실물목록!$O$2:$O$1001&lt;&gt;"")*(실물목록!$O$2:$O$1001=H478))&gt;0,"실물 있음",IF(SUMPRODUCT((실물목록!$P$2:$P$1001&lt;&gt;"")*ISNUMBER(SEARCH(실물목록!$P$2:$P$1001,I478))*(실물목록!$R$2:$R$1001&lt;&gt;""))&gt;0,"확인필요(입력누락)",IF(SUMPRODUCT((실물목록!$P$2:$P$1001&lt;&gt;"")*ISNUMBER(SEARCH(실물목록!$P$2:$P$1001,I478))*(실물목록!$Q$2:$Q$1001&lt;&gt;"")*ISNUMBER(SEARCH(실물목록!$Q$2:$Q$1001,I478))*(실물목록!$R$2:$R$1001="")*(실물목록!$O$2:$O$1001&lt;&gt;""))&gt;0,"확인필요(연도다름)","실물 없음")))))</f>
      </c>
      <c r="G478" t="n" s="16">
        <f aca="0">IF(B478="","",SUMPRODUCT((실물목록!$P$2:$P$1001&lt;&gt;"")*ISNUMBER(SEARCH(실물목록!$P$2:$P$1001,I478))*(실물목록!$Q$2:$Q$1001&lt;&gt;"")*ISNUMBER(SEARCH(실물목록!$Q$2:$Q$1001,I478))*(실물목록!$R$2:$R$1001="")*(실물목록!$O$2:$O$1001&lt;&gt;"")*(실물목록!$O$2:$O$1001=H478)))</f>
      </c>
      <c r="H478" t="str">
        <f>IFERROR(IF(AND(LEN(SUBSTITUTE(SUBSTITUTE(SUBSTITUTE(TRIM(A478&amp;""),CHAR(160),"")," ",""),"년",""))=4,VALUE(SUBSTITUTE(SUBSTITUTE(SUBSTITUTE(TRIM(A478&amp;""),CHAR(160),"")," ",""),"년",""))&gt;=1900,VALUE(SUBSTITUTE(SUBSTITUTE(SUBSTITUTE(TRIM(A478&amp;""),CHAR(160),"")," ",""),"년",""))&lt;=2099,TEXT(VALUE(SUBSTITUTE(SUBSTITUTE(SUBSTITUTE(TRIM(A478&amp;""),CHAR(160),"")," ",""),"년","")),"0000")=SUBSTITUTE(SUBSTITUTE(SUBSTITUTE(TRIM(A478&amp;""),CHAR(160),"")," ",""),"년","")),SUBSTITUTE(SUBSTITUTE(SUBSTITUTE(TRIM(A478&amp;""),CHAR(160),"")," ",""),"년",""),""),"")</f>
      </c>
      <c r="I478" t="str">
        <f>SUBSTITUTE(SUBSTITUTE(SUBSTITUTE(SUBSTITUTE(SUBSTITUTE(TRIM(B478&amp;""),CHAR(160),"")," ",""),"초등학교","초"),"중학교","중"),"고등학교","고")</f>
      </c>
    </row>
    <row r="479" customFormat="false" ht="15" hidden="false" customHeight="false" outlineLevel="0" collapsed="false">
      <c r="A479" s="8"/>
      <c r="B479" s="8"/>
      <c r="C479" s="8"/>
      <c r="D479" s="8"/>
      <c r="E479" s="8"/>
      <c r="F479" t="str" s="15">
        <f aca="0">IF(B479="","",IF(H479="","확인필요(입력누락)",IF(SUMPRODUCT((실물목록!$P$2:$P$1001&lt;&gt;"")*ISNUMBER(SEARCH(실물목록!$P$2:$P$1001,I479))*(실물목록!$Q$2:$Q$1001&lt;&gt;"")*ISNUMBER(SEARCH(실물목록!$Q$2:$Q$1001,I479))*(실물목록!$R$2:$R$1001="")*(실물목록!$O$2:$O$1001&lt;&gt;"")*(실물목록!$O$2:$O$1001=H479))&gt;0,"실물 있음",IF(SUMPRODUCT((실물목록!$P$2:$P$1001&lt;&gt;"")*ISNUMBER(SEARCH(실물목록!$P$2:$P$1001,I479))*(실물목록!$R$2:$R$1001&lt;&gt;""))&gt;0,"확인필요(입력누락)",IF(SUMPRODUCT((실물목록!$P$2:$P$1001&lt;&gt;"")*ISNUMBER(SEARCH(실물목록!$P$2:$P$1001,I479))*(실물목록!$Q$2:$Q$1001&lt;&gt;"")*ISNUMBER(SEARCH(실물목록!$Q$2:$Q$1001,I479))*(실물목록!$R$2:$R$1001="")*(실물목록!$O$2:$O$1001&lt;&gt;""))&gt;0,"확인필요(연도다름)","실물 없음")))))</f>
      </c>
      <c r="G479" t="n" s="16">
        <f aca="0">IF(B479="","",SUMPRODUCT((실물목록!$P$2:$P$1001&lt;&gt;"")*ISNUMBER(SEARCH(실물목록!$P$2:$P$1001,I479))*(실물목록!$Q$2:$Q$1001&lt;&gt;"")*ISNUMBER(SEARCH(실물목록!$Q$2:$Q$1001,I479))*(실물목록!$R$2:$R$1001="")*(실물목록!$O$2:$O$1001&lt;&gt;"")*(실물목록!$O$2:$O$1001=H479)))</f>
      </c>
      <c r="H479" t="str">
        <f>IFERROR(IF(AND(LEN(SUBSTITUTE(SUBSTITUTE(SUBSTITUTE(TRIM(A479&amp;""),CHAR(160),"")," ",""),"년",""))=4,VALUE(SUBSTITUTE(SUBSTITUTE(SUBSTITUTE(TRIM(A479&amp;""),CHAR(160),"")," ",""),"년",""))&gt;=1900,VALUE(SUBSTITUTE(SUBSTITUTE(SUBSTITUTE(TRIM(A479&amp;""),CHAR(160),"")," ",""),"년",""))&lt;=2099,TEXT(VALUE(SUBSTITUTE(SUBSTITUTE(SUBSTITUTE(TRIM(A479&amp;""),CHAR(160),"")," ",""),"년","")),"0000")=SUBSTITUTE(SUBSTITUTE(SUBSTITUTE(TRIM(A479&amp;""),CHAR(160),"")," ",""),"년","")),SUBSTITUTE(SUBSTITUTE(SUBSTITUTE(TRIM(A479&amp;""),CHAR(160),"")," ",""),"년",""),""),"")</f>
      </c>
      <c r="I479" t="str">
        <f>SUBSTITUTE(SUBSTITUTE(SUBSTITUTE(SUBSTITUTE(SUBSTITUTE(TRIM(B479&amp;""),CHAR(160),"")," ",""),"초등학교","초"),"중학교","중"),"고등학교","고")</f>
      </c>
    </row>
    <row r="480" customFormat="false" ht="15" hidden="false" customHeight="false" outlineLevel="0" collapsed="false">
      <c r="A480" s="8"/>
      <c r="B480" s="8"/>
      <c r="C480" s="8"/>
      <c r="D480" s="8"/>
      <c r="E480" s="8"/>
      <c r="F480" t="str" s="15">
        <f aca="0">IF(B480="","",IF(H480="","확인필요(입력누락)",IF(SUMPRODUCT((실물목록!$P$2:$P$1001&lt;&gt;"")*ISNUMBER(SEARCH(실물목록!$P$2:$P$1001,I480))*(실물목록!$Q$2:$Q$1001&lt;&gt;"")*ISNUMBER(SEARCH(실물목록!$Q$2:$Q$1001,I480))*(실물목록!$R$2:$R$1001="")*(실물목록!$O$2:$O$1001&lt;&gt;"")*(실물목록!$O$2:$O$1001=H480))&gt;0,"실물 있음",IF(SUMPRODUCT((실물목록!$P$2:$P$1001&lt;&gt;"")*ISNUMBER(SEARCH(실물목록!$P$2:$P$1001,I480))*(실물목록!$R$2:$R$1001&lt;&gt;""))&gt;0,"확인필요(입력누락)",IF(SUMPRODUCT((실물목록!$P$2:$P$1001&lt;&gt;"")*ISNUMBER(SEARCH(실물목록!$P$2:$P$1001,I480))*(실물목록!$Q$2:$Q$1001&lt;&gt;"")*ISNUMBER(SEARCH(실물목록!$Q$2:$Q$1001,I480))*(실물목록!$R$2:$R$1001="")*(실물목록!$O$2:$O$1001&lt;&gt;""))&gt;0,"확인필요(연도다름)","실물 없음")))))</f>
      </c>
      <c r="G480" t="n" s="16">
        <f aca="0">IF(B480="","",SUMPRODUCT((실물목록!$P$2:$P$1001&lt;&gt;"")*ISNUMBER(SEARCH(실물목록!$P$2:$P$1001,I480))*(실물목록!$Q$2:$Q$1001&lt;&gt;"")*ISNUMBER(SEARCH(실물목록!$Q$2:$Q$1001,I480))*(실물목록!$R$2:$R$1001="")*(실물목록!$O$2:$O$1001&lt;&gt;"")*(실물목록!$O$2:$O$1001=H480)))</f>
      </c>
      <c r="H480" t="str">
        <f>IFERROR(IF(AND(LEN(SUBSTITUTE(SUBSTITUTE(SUBSTITUTE(TRIM(A480&amp;""),CHAR(160),"")," ",""),"년",""))=4,VALUE(SUBSTITUTE(SUBSTITUTE(SUBSTITUTE(TRIM(A480&amp;""),CHAR(160),"")," ",""),"년",""))&gt;=1900,VALUE(SUBSTITUTE(SUBSTITUTE(SUBSTITUTE(TRIM(A480&amp;""),CHAR(160),"")," ",""),"년",""))&lt;=2099,TEXT(VALUE(SUBSTITUTE(SUBSTITUTE(SUBSTITUTE(TRIM(A480&amp;""),CHAR(160),"")," ",""),"년","")),"0000")=SUBSTITUTE(SUBSTITUTE(SUBSTITUTE(TRIM(A480&amp;""),CHAR(160),"")," ",""),"년","")),SUBSTITUTE(SUBSTITUTE(SUBSTITUTE(TRIM(A480&amp;""),CHAR(160),"")," ",""),"년",""),""),"")</f>
      </c>
      <c r="I480" t="str">
        <f>SUBSTITUTE(SUBSTITUTE(SUBSTITUTE(SUBSTITUTE(SUBSTITUTE(TRIM(B480&amp;""),CHAR(160),"")," ",""),"초등학교","초"),"중학교","중"),"고등학교","고")</f>
      </c>
    </row>
    <row r="481" customFormat="false" ht="15" hidden="false" customHeight="false" outlineLevel="0" collapsed="false">
      <c r="A481" s="8"/>
      <c r="B481" s="8"/>
      <c r="C481" s="8"/>
      <c r="D481" s="8"/>
      <c r="E481" s="8"/>
      <c r="F481" t="str" s="15">
        <f aca="0">IF(B481="","",IF(H481="","확인필요(입력누락)",IF(SUMPRODUCT((실물목록!$P$2:$P$1001&lt;&gt;"")*ISNUMBER(SEARCH(실물목록!$P$2:$P$1001,I481))*(실물목록!$Q$2:$Q$1001&lt;&gt;"")*ISNUMBER(SEARCH(실물목록!$Q$2:$Q$1001,I481))*(실물목록!$R$2:$R$1001="")*(실물목록!$O$2:$O$1001&lt;&gt;"")*(실물목록!$O$2:$O$1001=H481))&gt;0,"실물 있음",IF(SUMPRODUCT((실물목록!$P$2:$P$1001&lt;&gt;"")*ISNUMBER(SEARCH(실물목록!$P$2:$P$1001,I481))*(실물목록!$R$2:$R$1001&lt;&gt;""))&gt;0,"확인필요(입력누락)",IF(SUMPRODUCT((실물목록!$P$2:$P$1001&lt;&gt;"")*ISNUMBER(SEARCH(실물목록!$P$2:$P$1001,I481))*(실물목록!$Q$2:$Q$1001&lt;&gt;"")*ISNUMBER(SEARCH(실물목록!$Q$2:$Q$1001,I481))*(실물목록!$R$2:$R$1001="")*(실물목록!$O$2:$O$1001&lt;&gt;""))&gt;0,"확인필요(연도다름)","실물 없음")))))</f>
      </c>
      <c r="G481" t="n" s="16">
        <f aca="0">IF(B481="","",SUMPRODUCT((실물목록!$P$2:$P$1001&lt;&gt;"")*ISNUMBER(SEARCH(실물목록!$P$2:$P$1001,I481))*(실물목록!$Q$2:$Q$1001&lt;&gt;"")*ISNUMBER(SEARCH(실물목록!$Q$2:$Q$1001,I481))*(실물목록!$R$2:$R$1001="")*(실물목록!$O$2:$O$1001&lt;&gt;"")*(실물목록!$O$2:$O$1001=H481)))</f>
      </c>
      <c r="H481" t="str">
        <f>IFERROR(IF(AND(LEN(SUBSTITUTE(SUBSTITUTE(SUBSTITUTE(TRIM(A481&amp;""),CHAR(160),"")," ",""),"년",""))=4,VALUE(SUBSTITUTE(SUBSTITUTE(SUBSTITUTE(TRIM(A481&amp;""),CHAR(160),"")," ",""),"년",""))&gt;=1900,VALUE(SUBSTITUTE(SUBSTITUTE(SUBSTITUTE(TRIM(A481&amp;""),CHAR(160),"")," ",""),"년",""))&lt;=2099,TEXT(VALUE(SUBSTITUTE(SUBSTITUTE(SUBSTITUTE(TRIM(A481&amp;""),CHAR(160),"")," ",""),"년","")),"0000")=SUBSTITUTE(SUBSTITUTE(SUBSTITUTE(TRIM(A481&amp;""),CHAR(160),"")," ",""),"년","")),SUBSTITUTE(SUBSTITUTE(SUBSTITUTE(TRIM(A481&amp;""),CHAR(160),"")," ",""),"년",""),""),"")</f>
      </c>
      <c r="I481" t="str">
        <f>SUBSTITUTE(SUBSTITUTE(SUBSTITUTE(SUBSTITUTE(SUBSTITUTE(TRIM(B481&amp;""),CHAR(160),"")," ",""),"초등학교","초"),"중학교","중"),"고등학교","고")</f>
      </c>
    </row>
    <row r="482" customFormat="false" ht="15" hidden="false" customHeight="false" outlineLevel="0" collapsed="false">
      <c r="A482" s="8"/>
      <c r="B482" s="8"/>
      <c r="C482" s="8"/>
      <c r="D482" s="8"/>
      <c r="E482" s="8"/>
      <c r="F482" t="str" s="15">
        <f aca="0">IF(B482="","",IF(H482="","확인필요(입력누락)",IF(SUMPRODUCT((실물목록!$P$2:$P$1001&lt;&gt;"")*ISNUMBER(SEARCH(실물목록!$P$2:$P$1001,I482))*(실물목록!$Q$2:$Q$1001&lt;&gt;"")*ISNUMBER(SEARCH(실물목록!$Q$2:$Q$1001,I482))*(실물목록!$R$2:$R$1001="")*(실물목록!$O$2:$O$1001&lt;&gt;"")*(실물목록!$O$2:$O$1001=H482))&gt;0,"실물 있음",IF(SUMPRODUCT((실물목록!$P$2:$P$1001&lt;&gt;"")*ISNUMBER(SEARCH(실물목록!$P$2:$P$1001,I482))*(실물목록!$R$2:$R$1001&lt;&gt;""))&gt;0,"확인필요(입력누락)",IF(SUMPRODUCT((실물목록!$P$2:$P$1001&lt;&gt;"")*ISNUMBER(SEARCH(실물목록!$P$2:$P$1001,I482))*(실물목록!$Q$2:$Q$1001&lt;&gt;"")*ISNUMBER(SEARCH(실물목록!$Q$2:$Q$1001,I482))*(실물목록!$R$2:$R$1001="")*(실물목록!$O$2:$O$1001&lt;&gt;""))&gt;0,"확인필요(연도다름)","실물 없음")))))</f>
      </c>
      <c r="G482" t="n" s="16">
        <f aca="0">IF(B482="","",SUMPRODUCT((실물목록!$P$2:$P$1001&lt;&gt;"")*ISNUMBER(SEARCH(실물목록!$P$2:$P$1001,I482))*(실물목록!$Q$2:$Q$1001&lt;&gt;"")*ISNUMBER(SEARCH(실물목록!$Q$2:$Q$1001,I482))*(실물목록!$R$2:$R$1001="")*(실물목록!$O$2:$O$1001&lt;&gt;"")*(실물목록!$O$2:$O$1001=H482)))</f>
      </c>
      <c r="H482" t="str">
        <f>IFERROR(IF(AND(LEN(SUBSTITUTE(SUBSTITUTE(SUBSTITUTE(TRIM(A482&amp;""),CHAR(160),"")," ",""),"년",""))=4,VALUE(SUBSTITUTE(SUBSTITUTE(SUBSTITUTE(TRIM(A482&amp;""),CHAR(160),"")," ",""),"년",""))&gt;=1900,VALUE(SUBSTITUTE(SUBSTITUTE(SUBSTITUTE(TRIM(A482&amp;""),CHAR(160),"")," ",""),"년",""))&lt;=2099,TEXT(VALUE(SUBSTITUTE(SUBSTITUTE(SUBSTITUTE(TRIM(A482&amp;""),CHAR(160),"")," ",""),"년","")),"0000")=SUBSTITUTE(SUBSTITUTE(SUBSTITUTE(TRIM(A482&amp;""),CHAR(160),"")," ",""),"년","")),SUBSTITUTE(SUBSTITUTE(SUBSTITUTE(TRIM(A482&amp;""),CHAR(160),"")," ",""),"년",""),""),"")</f>
      </c>
      <c r="I482" t="str">
        <f>SUBSTITUTE(SUBSTITUTE(SUBSTITUTE(SUBSTITUTE(SUBSTITUTE(TRIM(B482&amp;""),CHAR(160),"")," ",""),"초등학교","초"),"중학교","중"),"고등학교","고")</f>
      </c>
    </row>
    <row r="483" customFormat="false" ht="15" hidden="false" customHeight="false" outlineLevel="0" collapsed="false">
      <c r="A483" s="8"/>
      <c r="B483" s="8"/>
      <c r="C483" s="8"/>
      <c r="D483" s="8"/>
      <c r="E483" s="8"/>
      <c r="F483" t="str" s="15">
        <f aca="0">IF(B483="","",IF(H483="","확인필요(입력누락)",IF(SUMPRODUCT((실물목록!$P$2:$P$1001&lt;&gt;"")*ISNUMBER(SEARCH(실물목록!$P$2:$P$1001,I483))*(실물목록!$Q$2:$Q$1001&lt;&gt;"")*ISNUMBER(SEARCH(실물목록!$Q$2:$Q$1001,I483))*(실물목록!$R$2:$R$1001="")*(실물목록!$O$2:$O$1001&lt;&gt;"")*(실물목록!$O$2:$O$1001=H483))&gt;0,"실물 있음",IF(SUMPRODUCT((실물목록!$P$2:$P$1001&lt;&gt;"")*ISNUMBER(SEARCH(실물목록!$P$2:$P$1001,I483))*(실물목록!$R$2:$R$1001&lt;&gt;""))&gt;0,"확인필요(입력누락)",IF(SUMPRODUCT((실물목록!$P$2:$P$1001&lt;&gt;"")*ISNUMBER(SEARCH(실물목록!$P$2:$P$1001,I483))*(실물목록!$Q$2:$Q$1001&lt;&gt;"")*ISNUMBER(SEARCH(실물목록!$Q$2:$Q$1001,I483))*(실물목록!$R$2:$R$1001="")*(실물목록!$O$2:$O$1001&lt;&gt;""))&gt;0,"확인필요(연도다름)","실물 없음")))))</f>
      </c>
      <c r="G483" t="n" s="16">
        <f aca="0">IF(B483="","",SUMPRODUCT((실물목록!$P$2:$P$1001&lt;&gt;"")*ISNUMBER(SEARCH(실물목록!$P$2:$P$1001,I483))*(실물목록!$Q$2:$Q$1001&lt;&gt;"")*ISNUMBER(SEARCH(실물목록!$Q$2:$Q$1001,I483))*(실물목록!$R$2:$R$1001="")*(실물목록!$O$2:$O$1001&lt;&gt;"")*(실물목록!$O$2:$O$1001=H483)))</f>
      </c>
      <c r="H483" t="str">
        <f>IFERROR(IF(AND(LEN(SUBSTITUTE(SUBSTITUTE(SUBSTITUTE(TRIM(A483&amp;""),CHAR(160),"")," ",""),"년",""))=4,VALUE(SUBSTITUTE(SUBSTITUTE(SUBSTITUTE(TRIM(A483&amp;""),CHAR(160),"")," ",""),"년",""))&gt;=1900,VALUE(SUBSTITUTE(SUBSTITUTE(SUBSTITUTE(TRIM(A483&amp;""),CHAR(160),"")," ",""),"년",""))&lt;=2099,TEXT(VALUE(SUBSTITUTE(SUBSTITUTE(SUBSTITUTE(TRIM(A483&amp;""),CHAR(160),"")," ",""),"년","")),"0000")=SUBSTITUTE(SUBSTITUTE(SUBSTITUTE(TRIM(A483&amp;""),CHAR(160),"")," ",""),"년","")),SUBSTITUTE(SUBSTITUTE(SUBSTITUTE(TRIM(A483&amp;""),CHAR(160),"")," ",""),"년",""),""),"")</f>
      </c>
      <c r="I483" t="str">
        <f>SUBSTITUTE(SUBSTITUTE(SUBSTITUTE(SUBSTITUTE(SUBSTITUTE(TRIM(B483&amp;""),CHAR(160),"")," ",""),"초등학교","초"),"중학교","중"),"고등학교","고")</f>
      </c>
    </row>
    <row r="484" customFormat="false" ht="15" hidden="false" customHeight="false" outlineLevel="0" collapsed="false">
      <c r="A484" s="8"/>
      <c r="B484" s="8"/>
      <c r="C484" s="8"/>
      <c r="D484" s="8"/>
      <c r="E484" s="8"/>
      <c r="F484" t="str" s="15">
        <f aca="0">IF(B484="","",IF(H484="","확인필요(입력누락)",IF(SUMPRODUCT((실물목록!$P$2:$P$1001&lt;&gt;"")*ISNUMBER(SEARCH(실물목록!$P$2:$P$1001,I484))*(실물목록!$Q$2:$Q$1001&lt;&gt;"")*ISNUMBER(SEARCH(실물목록!$Q$2:$Q$1001,I484))*(실물목록!$R$2:$R$1001="")*(실물목록!$O$2:$O$1001&lt;&gt;"")*(실물목록!$O$2:$O$1001=H484))&gt;0,"실물 있음",IF(SUMPRODUCT((실물목록!$P$2:$P$1001&lt;&gt;"")*ISNUMBER(SEARCH(실물목록!$P$2:$P$1001,I484))*(실물목록!$R$2:$R$1001&lt;&gt;""))&gt;0,"확인필요(입력누락)",IF(SUMPRODUCT((실물목록!$P$2:$P$1001&lt;&gt;"")*ISNUMBER(SEARCH(실물목록!$P$2:$P$1001,I484))*(실물목록!$Q$2:$Q$1001&lt;&gt;"")*ISNUMBER(SEARCH(실물목록!$Q$2:$Q$1001,I484))*(실물목록!$R$2:$R$1001="")*(실물목록!$O$2:$O$1001&lt;&gt;""))&gt;0,"확인필요(연도다름)","실물 없음")))))</f>
      </c>
      <c r="G484" t="n" s="16">
        <f aca="0">IF(B484="","",SUMPRODUCT((실물목록!$P$2:$P$1001&lt;&gt;"")*ISNUMBER(SEARCH(실물목록!$P$2:$P$1001,I484))*(실물목록!$Q$2:$Q$1001&lt;&gt;"")*ISNUMBER(SEARCH(실물목록!$Q$2:$Q$1001,I484))*(실물목록!$R$2:$R$1001="")*(실물목록!$O$2:$O$1001&lt;&gt;"")*(실물목록!$O$2:$O$1001=H484)))</f>
      </c>
      <c r="H484" t="str">
        <f>IFERROR(IF(AND(LEN(SUBSTITUTE(SUBSTITUTE(SUBSTITUTE(TRIM(A484&amp;""),CHAR(160),"")," ",""),"년",""))=4,VALUE(SUBSTITUTE(SUBSTITUTE(SUBSTITUTE(TRIM(A484&amp;""),CHAR(160),"")," ",""),"년",""))&gt;=1900,VALUE(SUBSTITUTE(SUBSTITUTE(SUBSTITUTE(TRIM(A484&amp;""),CHAR(160),"")," ",""),"년",""))&lt;=2099,TEXT(VALUE(SUBSTITUTE(SUBSTITUTE(SUBSTITUTE(TRIM(A484&amp;""),CHAR(160),"")," ",""),"년","")),"0000")=SUBSTITUTE(SUBSTITUTE(SUBSTITUTE(TRIM(A484&amp;""),CHAR(160),"")," ",""),"년","")),SUBSTITUTE(SUBSTITUTE(SUBSTITUTE(TRIM(A484&amp;""),CHAR(160),"")," ",""),"년",""),""),"")</f>
      </c>
      <c r="I484" t="str">
        <f>SUBSTITUTE(SUBSTITUTE(SUBSTITUTE(SUBSTITUTE(SUBSTITUTE(TRIM(B484&amp;""),CHAR(160),"")," ",""),"초등학교","초"),"중학교","중"),"고등학교","고")</f>
      </c>
    </row>
    <row r="485" customFormat="false" ht="15" hidden="false" customHeight="false" outlineLevel="0" collapsed="false">
      <c r="A485" s="8"/>
      <c r="B485" s="8"/>
      <c r="C485" s="8"/>
      <c r="D485" s="8"/>
      <c r="E485" s="8"/>
      <c r="F485" t="str" s="15">
        <f aca="0">IF(B485="","",IF(H485="","확인필요(입력누락)",IF(SUMPRODUCT((실물목록!$P$2:$P$1001&lt;&gt;"")*ISNUMBER(SEARCH(실물목록!$P$2:$P$1001,I485))*(실물목록!$Q$2:$Q$1001&lt;&gt;"")*ISNUMBER(SEARCH(실물목록!$Q$2:$Q$1001,I485))*(실물목록!$R$2:$R$1001="")*(실물목록!$O$2:$O$1001&lt;&gt;"")*(실물목록!$O$2:$O$1001=H485))&gt;0,"실물 있음",IF(SUMPRODUCT((실물목록!$P$2:$P$1001&lt;&gt;"")*ISNUMBER(SEARCH(실물목록!$P$2:$P$1001,I485))*(실물목록!$R$2:$R$1001&lt;&gt;""))&gt;0,"확인필요(입력누락)",IF(SUMPRODUCT((실물목록!$P$2:$P$1001&lt;&gt;"")*ISNUMBER(SEARCH(실물목록!$P$2:$P$1001,I485))*(실물목록!$Q$2:$Q$1001&lt;&gt;"")*ISNUMBER(SEARCH(실물목록!$Q$2:$Q$1001,I485))*(실물목록!$R$2:$R$1001="")*(실물목록!$O$2:$O$1001&lt;&gt;""))&gt;0,"확인필요(연도다름)","실물 없음")))))</f>
      </c>
      <c r="G485" t="n" s="16">
        <f aca="0">IF(B485="","",SUMPRODUCT((실물목록!$P$2:$P$1001&lt;&gt;"")*ISNUMBER(SEARCH(실물목록!$P$2:$P$1001,I485))*(실물목록!$Q$2:$Q$1001&lt;&gt;"")*ISNUMBER(SEARCH(실물목록!$Q$2:$Q$1001,I485))*(실물목록!$R$2:$R$1001="")*(실물목록!$O$2:$O$1001&lt;&gt;"")*(실물목록!$O$2:$O$1001=H485)))</f>
      </c>
      <c r="H485" t="str">
        <f>IFERROR(IF(AND(LEN(SUBSTITUTE(SUBSTITUTE(SUBSTITUTE(TRIM(A485&amp;""),CHAR(160),"")," ",""),"년",""))=4,VALUE(SUBSTITUTE(SUBSTITUTE(SUBSTITUTE(TRIM(A485&amp;""),CHAR(160),"")," ",""),"년",""))&gt;=1900,VALUE(SUBSTITUTE(SUBSTITUTE(SUBSTITUTE(TRIM(A485&amp;""),CHAR(160),"")," ",""),"년",""))&lt;=2099,TEXT(VALUE(SUBSTITUTE(SUBSTITUTE(SUBSTITUTE(TRIM(A485&amp;""),CHAR(160),"")," ",""),"년","")),"0000")=SUBSTITUTE(SUBSTITUTE(SUBSTITUTE(TRIM(A485&amp;""),CHAR(160),"")," ",""),"년","")),SUBSTITUTE(SUBSTITUTE(SUBSTITUTE(TRIM(A485&amp;""),CHAR(160),"")," ",""),"년",""),""),"")</f>
      </c>
      <c r="I485" t="str">
        <f>SUBSTITUTE(SUBSTITUTE(SUBSTITUTE(SUBSTITUTE(SUBSTITUTE(TRIM(B485&amp;""),CHAR(160),"")," ",""),"초등학교","초"),"중학교","중"),"고등학교","고")</f>
      </c>
    </row>
    <row r="486" customFormat="false" ht="15" hidden="false" customHeight="false" outlineLevel="0" collapsed="false">
      <c r="A486" s="8"/>
      <c r="B486" s="8"/>
      <c r="C486" s="8"/>
      <c r="D486" s="8"/>
      <c r="E486" s="8"/>
      <c r="F486" t="str" s="15">
        <f aca="0">IF(B486="","",IF(H486="","확인필요(입력누락)",IF(SUMPRODUCT((실물목록!$P$2:$P$1001&lt;&gt;"")*ISNUMBER(SEARCH(실물목록!$P$2:$P$1001,I486))*(실물목록!$Q$2:$Q$1001&lt;&gt;"")*ISNUMBER(SEARCH(실물목록!$Q$2:$Q$1001,I486))*(실물목록!$R$2:$R$1001="")*(실물목록!$O$2:$O$1001&lt;&gt;"")*(실물목록!$O$2:$O$1001=H486))&gt;0,"실물 있음",IF(SUMPRODUCT((실물목록!$P$2:$P$1001&lt;&gt;"")*ISNUMBER(SEARCH(실물목록!$P$2:$P$1001,I486))*(실물목록!$R$2:$R$1001&lt;&gt;""))&gt;0,"확인필요(입력누락)",IF(SUMPRODUCT((실물목록!$P$2:$P$1001&lt;&gt;"")*ISNUMBER(SEARCH(실물목록!$P$2:$P$1001,I486))*(실물목록!$Q$2:$Q$1001&lt;&gt;"")*ISNUMBER(SEARCH(실물목록!$Q$2:$Q$1001,I486))*(실물목록!$R$2:$R$1001="")*(실물목록!$O$2:$O$1001&lt;&gt;""))&gt;0,"확인필요(연도다름)","실물 없음")))))</f>
      </c>
      <c r="G486" t="n" s="16">
        <f aca="0">IF(B486="","",SUMPRODUCT((실물목록!$P$2:$P$1001&lt;&gt;"")*ISNUMBER(SEARCH(실물목록!$P$2:$P$1001,I486))*(실물목록!$Q$2:$Q$1001&lt;&gt;"")*ISNUMBER(SEARCH(실물목록!$Q$2:$Q$1001,I486))*(실물목록!$R$2:$R$1001="")*(실물목록!$O$2:$O$1001&lt;&gt;"")*(실물목록!$O$2:$O$1001=H486)))</f>
      </c>
      <c r="H486" t="str">
        <f>IFERROR(IF(AND(LEN(SUBSTITUTE(SUBSTITUTE(SUBSTITUTE(TRIM(A486&amp;""),CHAR(160),"")," ",""),"년",""))=4,VALUE(SUBSTITUTE(SUBSTITUTE(SUBSTITUTE(TRIM(A486&amp;""),CHAR(160),"")," ",""),"년",""))&gt;=1900,VALUE(SUBSTITUTE(SUBSTITUTE(SUBSTITUTE(TRIM(A486&amp;""),CHAR(160),"")," ",""),"년",""))&lt;=2099,TEXT(VALUE(SUBSTITUTE(SUBSTITUTE(SUBSTITUTE(TRIM(A486&amp;""),CHAR(160),"")," ",""),"년","")),"0000")=SUBSTITUTE(SUBSTITUTE(SUBSTITUTE(TRIM(A486&amp;""),CHAR(160),"")," ",""),"년","")),SUBSTITUTE(SUBSTITUTE(SUBSTITUTE(TRIM(A486&amp;""),CHAR(160),"")," ",""),"년",""),""),"")</f>
      </c>
      <c r="I486" t="str">
        <f>SUBSTITUTE(SUBSTITUTE(SUBSTITUTE(SUBSTITUTE(SUBSTITUTE(TRIM(B486&amp;""),CHAR(160),"")," ",""),"초등학교","초"),"중학교","중"),"고등학교","고")</f>
      </c>
    </row>
    <row r="487" customFormat="false" ht="15" hidden="false" customHeight="false" outlineLevel="0" collapsed="false">
      <c r="A487" s="8"/>
      <c r="B487" s="8"/>
      <c r="C487" s="8"/>
      <c r="D487" s="8"/>
      <c r="E487" s="8"/>
      <c r="F487" t="str" s="15">
        <f aca="0">IF(B487="","",IF(H487="","확인필요(입력누락)",IF(SUMPRODUCT((실물목록!$P$2:$P$1001&lt;&gt;"")*ISNUMBER(SEARCH(실물목록!$P$2:$P$1001,I487))*(실물목록!$Q$2:$Q$1001&lt;&gt;"")*ISNUMBER(SEARCH(실물목록!$Q$2:$Q$1001,I487))*(실물목록!$R$2:$R$1001="")*(실물목록!$O$2:$O$1001&lt;&gt;"")*(실물목록!$O$2:$O$1001=H487))&gt;0,"실물 있음",IF(SUMPRODUCT((실물목록!$P$2:$P$1001&lt;&gt;"")*ISNUMBER(SEARCH(실물목록!$P$2:$P$1001,I487))*(실물목록!$R$2:$R$1001&lt;&gt;""))&gt;0,"확인필요(입력누락)",IF(SUMPRODUCT((실물목록!$P$2:$P$1001&lt;&gt;"")*ISNUMBER(SEARCH(실물목록!$P$2:$P$1001,I487))*(실물목록!$Q$2:$Q$1001&lt;&gt;"")*ISNUMBER(SEARCH(실물목록!$Q$2:$Q$1001,I487))*(실물목록!$R$2:$R$1001="")*(실물목록!$O$2:$O$1001&lt;&gt;""))&gt;0,"확인필요(연도다름)","실물 없음")))))</f>
      </c>
      <c r="G487" t="n" s="16">
        <f aca="0">IF(B487="","",SUMPRODUCT((실물목록!$P$2:$P$1001&lt;&gt;"")*ISNUMBER(SEARCH(실물목록!$P$2:$P$1001,I487))*(실물목록!$Q$2:$Q$1001&lt;&gt;"")*ISNUMBER(SEARCH(실물목록!$Q$2:$Q$1001,I487))*(실물목록!$R$2:$R$1001="")*(실물목록!$O$2:$O$1001&lt;&gt;"")*(실물목록!$O$2:$O$1001=H487)))</f>
      </c>
      <c r="H487" t="str">
        <f>IFERROR(IF(AND(LEN(SUBSTITUTE(SUBSTITUTE(SUBSTITUTE(TRIM(A487&amp;""),CHAR(160),"")," ",""),"년",""))=4,VALUE(SUBSTITUTE(SUBSTITUTE(SUBSTITUTE(TRIM(A487&amp;""),CHAR(160),"")," ",""),"년",""))&gt;=1900,VALUE(SUBSTITUTE(SUBSTITUTE(SUBSTITUTE(TRIM(A487&amp;""),CHAR(160),"")," ",""),"년",""))&lt;=2099,TEXT(VALUE(SUBSTITUTE(SUBSTITUTE(SUBSTITUTE(TRIM(A487&amp;""),CHAR(160),"")," ",""),"년","")),"0000")=SUBSTITUTE(SUBSTITUTE(SUBSTITUTE(TRIM(A487&amp;""),CHAR(160),"")," ",""),"년","")),SUBSTITUTE(SUBSTITUTE(SUBSTITUTE(TRIM(A487&amp;""),CHAR(160),"")," ",""),"년",""),""),"")</f>
      </c>
      <c r="I487" t="str">
        <f>SUBSTITUTE(SUBSTITUTE(SUBSTITUTE(SUBSTITUTE(SUBSTITUTE(TRIM(B487&amp;""),CHAR(160),"")," ",""),"초등학교","초"),"중학교","중"),"고등학교","고")</f>
      </c>
    </row>
    <row r="488" customFormat="false" ht="15" hidden="false" customHeight="false" outlineLevel="0" collapsed="false">
      <c r="A488" s="8"/>
      <c r="B488" s="8"/>
      <c r="C488" s="8"/>
      <c r="D488" s="8"/>
      <c r="E488" s="8"/>
      <c r="F488" t="str" s="15">
        <f aca="0">IF(B488="","",IF(H488="","확인필요(입력누락)",IF(SUMPRODUCT((실물목록!$P$2:$P$1001&lt;&gt;"")*ISNUMBER(SEARCH(실물목록!$P$2:$P$1001,I488))*(실물목록!$Q$2:$Q$1001&lt;&gt;"")*ISNUMBER(SEARCH(실물목록!$Q$2:$Q$1001,I488))*(실물목록!$R$2:$R$1001="")*(실물목록!$O$2:$O$1001&lt;&gt;"")*(실물목록!$O$2:$O$1001=H488))&gt;0,"실물 있음",IF(SUMPRODUCT((실물목록!$P$2:$P$1001&lt;&gt;"")*ISNUMBER(SEARCH(실물목록!$P$2:$P$1001,I488))*(실물목록!$R$2:$R$1001&lt;&gt;""))&gt;0,"확인필요(입력누락)",IF(SUMPRODUCT((실물목록!$P$2:$P$1001&lt;&gt;"")*ISNUMBER(SEARCH(실물목록!$P$2:$P$1001,I488))*(실물목록!$Q$2:$Q$1001&lt;&gt;"")*ISNUMBER(SEARCH(실물목록!$Q$2:$Q$1001,I488))*(실물목록!$R$2:$R$1001="")*(실물목록!$O$2:$O$1001&lt;&gt;""))&gt;0,"확인필요(연도다름)","실물 없음")))))</f>
      </c>
      <c r="G488" t="n" s="16">
        <f aca="0">IF(B488="","",SUMPRODUCT((실물목록!$P$2:$P$1001&lt;&gt;"")*ISNUMBER(SEARCH(실물목록!$P$2:$P$1001,I488))*(실물목록!$Q$2:$Q$1001&lt;&gt;"")*ISNUMBER(SEARCH(실물목록!$Q$2:$Q$1001,I488))*(실물목록!$R$2:$R$1001="")*(실물목록!$O$2:$O$1001&lt;&gt;"")*(실물목록!$O$2:$O$1001=H488)))</f>
      </c>
      <c r="H488" t="str">
        <f>IFERROR(IF(AND(LEN(SUBSTITUTE(SUBSTITUTE(SUBSTITUTE(TRIM(A488&amp;""),CHAR(160),"")," ",""),"년",""))=4,VALUE(SUBSTITUTE(SUBSTITUTE(SUBSTITUTE(TRIM(A488&amp;""),CHAR(160),"")," ",""),"년",""))&gt;=1900,VALUE(SUBSTITUTE(SUBSTITUTE(SUBSTITUTE(TRIM(A488&amp;""),CHAR(160),"")," ",""),"년",""))&lt;=2099,TEXT(VALUE(SUBSTITUTE(SUBSTITUTE(SUBSTITUTE(TRIM(A488&amp;""),CHAR(160),"")," ",""),"년","")),"0000")=SUBSTITUTE(SUBSTITUTE(SUBSTITUTE(TRIM(A488&amp;""),CHAR(160),"")," ",""),"년","")),SUBSTITUTE(SUBSTITUTE(SUBSTITUTE(TRIM(A488&amp;""),CHAR(160),"")," ",""),"년",""),""),"")</f>
      </c>
      <c r="I488" t="str">
        <f>SUBSTITUTE(SUBSTITUTE(SUBSTITUTE(SUBSTITUTE(SUBSTITUTE(TRIM(B488&amp;""),CHAR(160),"")," ",""),"초등학교","초"),"중학교","중"),"고등학교","고")</f>
      </c>
    </row>
    <row r="489" customFormat="false" ht="15" hidden="false" customHeight="false" outlineLevel="0" collapsed="false">
      <c r="A489" s="8"/>
      <c r="B489" s="8"/>
      <c r="C489" s="8"/>
      <c r="D489" s="8"/>
      <c r="E489" s="8"/>
      <c r="F489" t="str" s="15">
        <f aca="0">IF(B489="","",IF(H489="","확인필요(입력누락)",IF(SUMPRODUCT((실물목록!$P$2:$P$1001&lt;&gt;"")*ISNUMBER(SEARCH(실물목록!$P$2:$P$1001,I489))*(실물목록!$Q$2:$Q$1001&lt;&gt;"")*ISNUMBER(SEARCH(실물목록!$Q$2:$Q$1001,I489))*(실물목록!$R$2:$R$1001="")*(실물목록!$O$2:$O$1001&lt;&gt;"")*(실물목록!$O$2:$O$1001=H489))&gt;0,"실물 있음",IF(SUMPRODUCT((실물목록!$P$2:$P$1001&lt;&gt;"")*ISNUMBER(SEARCH(실물목록!$P$2:$P$1001,I489))*(실물목록!$R$2:$R$1001&lt;&gt;""))&gt;0,"확인필요(입력누락)",IF(SUMPRODUCT((실물목록!$P$2:$P$1001&lt;&gt;"")*ISNUMBER(SEARCH(실물목록!$P$2:$P$1001,I489))*(실물목록!$Q$2:$Q$1001&lt;&gt;"")*ISNUMBER(SEARCH(실물목록!$Q$2:$Q$1001,I489))*(실물목록!$R$2:$R$1001="")*(실물목록!$O$2:$O$1001&lt;&gt;""))&gt;0,"확인필요(연도다름)","실물 없음")))))</f>
      </c>
      <c r="G489" t="n" s="16">
        <f aca="0">IF(B489="","",SUMPRODUCT((실물목록!$P$2:$P$1001&lt;&gt;"")*ISNUMBER(SEARCH(실물목록!$P$2:$P$1001,I489))*(실물목록!$Q$2:$Q$1001&lt;&gt;"")*ISNUMBER(SEARCH(실물목록!$Q$2:$Q$1001,I489))*(실물목록!$R$2:$R$1001="")*(실물목록!$O$2:$O$1001&lt;&gt;"")*(실물목록!$O$2:$O$1001=H489)))</f>
      </c>
      <c r="H489" t="str">
        <f>IFERROR(IF(AND(LEN(SUBSTITUTE(SUBSTITUTE(SUBSTITUTE(TRIM(A489&amp;""),CHAR(160),"")," ",""),"년",""))=4,VALUE(SUBSTITUTE(SUBSTITUTE(SUBSTITUTE(TRIM(A489&amp;""),CHAR(160),"")," ",""),"년",""))&gt;=1900,VALUE(SUBSTITUTE(SUBSTITUTE(SUBSTITUTE(TRIM(A489&amp;""),CHAR(160),"")," ",""),"년",""))&lt;=2099,TEXT(VALUE(SUBSTITUTE(SUBSTITUTE(SUBSTITUTE(TRIM(A489&amp;""),CHAR(160),"")," ",""),"년","")),"0000")=SUBSTITUTE(SUBSTITUTE(SUBSTITUTE(TRIM(A489&amp;""),CHAR(160),"")," ",""),"년","")),SUBSTITUTE(SUBSTITUTE(SUBSTITUTE(TRIM(A489&amp;""),CHAR(160),"")," ",""),"년",""),""),"")</f>
      </c>
      <c r="I489" t="str">
        <f>SUBSTITUTE(SUBSTITUTE(SUBSTITUTE(SUBSTITUTE(SUBSTITUTE(TRIM(B489&amp;""),CHAR(160),"")," ",""),"초등학교","초"),"중학교","중"),"고등학교","고")</f>
      </c>
    </row>
    <row r="490" customFormat="false" ht="15" hidden="false" customHeight="false" outlineLevel="0" collapsed="false">
      <c r="A490" s="8"/>
      <c r="B490" s="8"/>
      <c r="C490" s="8"/>
      <c r="D490" s="8"/>
      <c r="E490" s="8"/>
      <c r="F490" t="str" s="15">
        <f aca="0">IF(B490="","",IF(H490="","확인필요(입력누락)",IF(SUMPRODUCT((실물목록!$P$2:$P$1001&lt;&gt;"")*ISNUMBER(SEARCH(실물목록!$P$2:$P$1001,I490))*(실물목록!$Q$2:$Q$1001&lt;&gt;"")*ISNUMBER(SEARCH(실물목록!$Q$2:$Q$1001,I490))*(실물목록!$R$2:$R$1001="")*(실물목록!$O$2:$O$1001&lt;&gt;"")*(실물목록!$O$2:$O$1001=H490))&gt;0,"실물 있음",IF(SUMPRODUCT((실물목록!$P$2:$P$1001&lt;&gt;"")*ISNUMBER(SEARCH(실물목록!$P$2:$P$1001,I490))*(실물목록!$R$2:$R$1001&lt;&gt;""))&gt;0,"확인필요(입력누락)",IF(SUMPRODUCT((실물목록!$P$2:$P$1001&lt;&gt;"")*ISNUMBER(SEARCH(실물목록!$P$2:$P$1001,I490))*(실물목록!$Q$2:$Q$1001&lt;&gt;"")*ISNUMBER(SEARCH(실물목록!$Q$2:$Q$1001,I490))*(실물목록!$R$2:$R$1001="")*(실물목록!$O$2:$O$1001&lt;&gt;""))&gt;0,"확인필요(연도다름)","실물 없음")))))</f>
      </c>
      <c r="G490" t="n" s="16">
        <f aca="0">IF(B490="","",SUMPRODUCT((실물목록!$P$2:$P$1001&lt;&gt;"")*ISNUMBER(SEARCH(실물목록!$P$2:$P$1001,I490))*(실물목록!$Q$2:$Q$1001&lt;&gt;"")*ISNUMBER(SEARCH(실물목록!$Q$2:$Q$1001,I490))*(실물목록!$R$2:$R$1001="")*(실물목록!$O$2:$O$1001&lt;&gt;"")*(실물목록!$O$2:$O$1001=H490)))</f>
      </c>
      <c r="H490" t="str">
        <f>IFERROR(IF(AND(LEN(SUBSTITUTE(SUBSTITUTE(SUBSTITUTE(TRIM(A490&amp;""),CHAR(160),"")," ",""),"년",""))=4,VALUE(SUBSTITUTE(SUBSTITUTE(SUBSTITUTE(TRIM(A490&amp;""),CHAR(160),"")," ",""),"년",""))&gt;=1900,VALUE(SUBSTITUTE(SUBSTITUTE(SUBSTITUTE(TRIM(A490&amp;""),CHAR(160),"")," ",""),"년",""))&lt;=2099,TEXT(VALUE(SUBSTITUTE(SUBSTITUTE(SUBSTITUTE(TRIM(A490&amp;""),CHAR(160),"")," ",""),"년","")),"0000")=SUBSTITUTE(SUBSTITUTE(SUBSTITUTE(TRIM(A490&amp;""),CHAR(160),"")," ",""),"년","")),SUBSTITUTE(SUBSTITUTE(SUBSTITUTE(TRIM(A490&amp;""),CHAR(160),"")," ",""),"년",""),""),"")</f>
      </c>
      <c r="I490" t="str">
        <f>SUBSTITUTE(SUBSTITUTE(SUBSTITUTE(SUBSTITUTE(SUBSTITUTE(TRIM(B490&amp;""),CHAR(160),"")," ",""),"초등학교","초"),"중학교","중"),"고등학교","고")</f>
      </c>
    </row>
    <row r="491" customFormat="false" ht="15" hidden="false" customHeight="false" outlineLevel="0" collapsed="false">
      <c r="A491" s="8"/>
      <c r="B491" s="8"/>
      <c r="C491" s="8"/>
      <c r="D491" s="8"/>
      <c r="E491" s="8"/>
      <c r="F491" t="str" s="15">
        <f aca="0">IF(B491="","",IF(H491="","확인필요(입력누락)",IF(SUMPRODUCT((실물목록!$P$2:$P$1001&lt;&gt;"")*ISNUMBER(SEARCH(실물목록!$P$2:$P$1001,I491))*(실물목록!$Q$2:$Q$1001&lt;&gt;"")*ISNUMBER(SEARCH(실물목록!$Q$2:$Q$1001,I491))*(실물목록!$R$2:$R$1001="")*(실물목록!$O$2:$O$1001&lt;&gt;"")*(실물목록!$O$2:$O$1001=H491))&gt;0,"실물 있음",IF(SUMPRODUCT((실물목록!$P$2:$P$1001&lt;&gt;"")*ISNUMBER(SEARCH(실물목록!$P$2:$P$1001,I491))*(실물목록!$R$2:$R$1001&lt;&gt;""))&gt;0,"확인필요(입력누락)",IF(SUMPRODUCT((실물목록!$P$2:$P$1001&lt;&gt;"")*ISNUMBER(SEARCH(실물목록!$P$2:$P$1001,I491))*(실물목록!$Q$2:$Q$1001&lt;&gt;"")*ISNUMBER(SEARCH(실물목록!$Q$2:$Q$1001,I491))*(실물목록!$R$2:$R$1001="")*(실물목록!$O$2:$O$1001&lt;&gt;""))&gt;0,"확인필요(연도다름)","실물 없음")))))</f>
      </c>
      <c r="G491" t="n" s="16">
        <f aca="0">IF(B491="","",SUMPRODUCT((실물목록!$P$2:$P$1001&lt;&gt;"")*ISNUMBER(SEARCH(실물목록!$P$2:$P$1001,I491))*(실물목록!$Q$2:$Q$1001&lt;&gt;"")*ISNUMBER(SEARCH(실물목록!$Q$2:$Q$1001,I491))*(실물목록!$R$2:$R$1001="")*(실물목록!$O$2:$O$1001&lt;&gt;"")*(실물목록!$O$2:$O$1001=H491)))</f>
      </c>
      <c r="H491" t="str">
        <f>IFERROR(IF(AND(LEN(SUBSTITUTE(SUBSTITUTE(SUBSTITUTE(TRIM(A491&amp;""),CHAR(160),"")," ",""),"년",""))=4,VALUE(SUBSTITUTE(SUBSTITUTE(SUBSTITUTE(TRIM(A491&amp;""),CHAR(160),"")," ",""),"년",""))&gt;=1900,VALUE(SUBSTITUTE(SUBSTITUTE(SUBSTITUTE(TRIM(A491&amp;""),CHAR(160),"")," ",""),"년",""))&lt;=2099,TEXT(VALUE(SUBSTITUTE(SUBSTITUTE(SUBSTITUTE(TRIM(A491&amp;""),CHAR(160),"")," ",""),"년","")),"0000")=SUBSTITUTE(SUBSTITUTE(SUBSTITUTE(TRIM(A491&amp;""),CHAR(160),"")," ",""),"년","")),SUBSTITUTE(SUBSTITUTE(SUBSTITUTE(TRIM(A491&amp;""),CHAR(160),"")," ",""),"년",""),""),"")</f>
      </c>
      <c r="I491" t="str">
        <f>SUBSTITUTE(SUBSTITUTE(SUBSTITUTE(SUBSTITUTE(SUBSTITUTE(TRIM(B491&amp;""),CHAR(160),"")," ",""),"초등학교","초"),"중학교","중"),"고등학교","고")</f>
      </c>
    </row>
    <row r="492" customFormat="false" ht="15" hidden="false" customHeight="false" outlineLevel="0" collapsed="false">
      <c r="A492" s="8"/>
      <c r="B492" s="8"/>
      <c r="C492" s="8"/>
      <c r="D492" s="8"/>
      <c r="E492" s="8"/>
      <c r="F492" t="str" s="15">
        <f aca="0">IF(B492="","",IF(H492="","확인필요(입력누락)",IF(SUMPRODUCT((실물목록!$P$2:$P$1001&lt;&gt;"")*ISNUMBER(SEARCH(실물목록!$P$2:$P$1001,I492))*(실물목록!$Q$2:$Q$1001&lt;&gt;"")*ISNUMBER(SEARCH(실물목록!$Q$2:$Q$1001,I492))*(실물목록!$R$2:$R$1001="")*(실물목록!$O$2:$O$1001&lt;&gt;"")*(실물목록!$O$2:$O$1001=H492))&gt;0,"실물 있음",IF(SUMPRODUCT((실물목록!$P$2:$P$1001&lt;&gt;"")*ISNUMBER(SEARCH(실물목록!$P$2:$P$1001,I492))*(실물목록!$R$2:$R$1001&lt;&gt;""))&gt;0,"확인필요(입력누락)",IF(SUMPRODUCT((실물목록!$P$2:$P$1001&lt;&gt;"")*ISNUMBER(SEARCH(실물목록!$P$2:$P$1001,I492))*(실물목록!$Q$2:$Q$1001&lt;&gt;"")*ISNUMBER(SEARCH(실물목록!$Q$2:$Q$1001,I492))*(실물목록!$R$2:$R$1001="")*(실물목록!$O$2:$O$1001&lt;&gt;""))&gt;0,"확인필요(연도다름)","실물 없음")))))</f>
      </c>
      <c r="G492" t="n" s="16">
        <f aca="0">IF(B492="","",SUMPRODUCT((실물목록!$P$2:$P$1001&lt;&gt;"")*ISNUMBER(SEARCH(실물목록!$P$2:$P$1001,I492))*(실물목록!$Q$2:$Q$1001&lt;&gt;"")*ISNUMBER(SEARCH(실물목록!$Q$2:$Q$1001,I492))*(실물목록!$R$2:$R$1001="")*(실물목록!$O$2:$O$1001&lt;&gt;"")*(실물목록!$O$2:$O$1001=H492)))</f>
      </c>
      <c r="H492" t="str">
        <f>IFERROR(IF(AND(LEN(SUBSTITUTE(SUBSTITUTE(SUBSTITUTE(TRIM(A492&amp;""),CHAR(160),"")," ",""),"년",""))=4,VALUE(SUBSTITUTE(SUBSTITUTE(SUBSTITUTE(TRIM(A492&amp;""),CHAR(160),"")," ",""),"년",""))&gt;=1900,VALUE(SUBSTITUTE(SUBSTITUTE(SUBSTITUTE(TRIM(A492&amp;""),CHAR(160),"")," ",""),"년",""))&lt;=2099,TEXT(VALUE(SUBSTITUTE(SUBSTITUTE(SUBSTITUTE(TRIM(A492&amp;""),CHAR(160),"")," ",""),"년","")),"0000")=SUBSTITUTE(SUBSTITUTE(SUBSTITUTE(TRIM(A492&amp;""),CHAR(160),"")," ",""),"년","")),SUBSTITUTE(SUBSTITUTE(SUBSTITUTE(TRIM(A492&amp;""),CHAR(160),"")," ",""),"년",""),""),"")</f>
      </c>
      <c r="I492" t="str">
        <f>SUBSTITUTE(SUBSTITUTE(SUBSTITUTE(SUBSTITUTE(SUBSTITUTE(TRIM(B492&amp;""),CHAR(160),"")," ",""),"초등학교","초"),"중학교","중"),"고등학교","고")</f>
      </c>
    </row>
    <row r="493" customFormat="false" ht="15" hidden="false" customHeight="false" outlineLevel="0" collapsed="false">
      <c r="A493" s="8"/>
      <c r="B493" s="8"/>
      <c r="C493" s="8"/>
      <c r="D493" s="8"/>
      <c r="E493" s="8"/>
      <c r="F493" t="str" s="15">
        <f aca="0">IF(B493="","",IF(H493="","확인필요(입력누락)",IF(SUMPRODUCT((실물목록!$P$2:$P$1001&lt;&gt;"")*ISNUMBER(SEARCH(실물목록!$P$2:$P$1001,I493))*(실물목록!$Q$2:$Q$1001&lt;&gt;"")*ISNUMBER(SEARCH(실물목록!$Q$2:$Q$1001,I493))*(실물목록!$R$2:$R$1001="")*(실물목록!$O$2:$O$1001&lt;&gt;"")*(실물목록!$O$2:$O$1001=H493))&gt;0,"실물 있음",IF(SUMPRODUCT((실물목록!$P$2:$P$1001&lt;&gt;"")*ISNUMBER(SEARCH(실물목록!$P$2:$P$1001,I493))*(실물목록!$R$2:$R$1001&lt;&gt;""))&gt;0,"확인필요(입력누락)",IF(SUMPRODUCT((실물목록!$P$2:$P$1001&lt;&gt;"")*ISNUMBER(SEARCH(실물목록!$P$2:$P$1001,I493))*(실물목록!$Q$2:$Q$1001&lt;&gt;"")*ISNUMBER(SEARCH(실물목록!$Q$2:$Q$1001,I493))*(실물목록!$R$2:$R$1001="")*(실물목록!$O$2:$O$1001&lt;&gt;""))&gt;0,"확인필요(연도다름)","실물 없음")))))</f>
      </c>
      <c r="G493" t="n" s="16">
        <f aca="0">IF(B493="","",SUMPRODUCT((실물목록!$P$2:$P$1001&lt;&gt;"")*ISNUMBER(SEARCH(실물목록!$P$2:$P$1001,I493))*(실물목록!$Q$2:$Q$1001&lt;&gt;"")*ISNUMBER(SEARCH(실물목록!$Q$2:$Q$1001,I493))*(실물목록!$R$2:$R$1001="")*(실물목록!$O$2:$O$1001&lt;&gt;"")*(실물목록!$O$2:$O$1001=H493)))</f>
      </c>
      <c r="H493" t="str">
        <f>IFERROR(IF(AND(LEN(SUBSTITUTE(SUBSTITUTE(SUBSTITUTE(TRIM(A493&amp;""),CHAR(160),"")," ",""),"년",""))=4,VALUE(SUBSTITUTE(SUBSTITUTE(SUBSTITUTE(TRIM(A493&amp;""),CHAR(160),"")," ",""),"년",""))&gt;=1900,VALUE(SUBSTITUTE(SUBSTITUTE(SUBSTITUTE(TRIM(A493&amp;""),CHAR(160),"")," ",""),"년",""))&lt;=2099,TEXT(VALUE(SUBSTITUTE(SUBSTITUTE(SUBSTITUTE(TRIM(A493&amp;""),CHAR(160),"")," ",""),"년","")),"0000")=SUBSTITUTE(SUBSTITUTE(SUBSTITUTE(TRIM(A493&amp;""),CHAR(160),"")," ",""),"년","")),SUBSTITUTE(SUBSTITUTE(SUBSTITUTE(TRIM(A493&amp;""),CHAR(160),"")," ",""),"년",""),""),"")</f>
      </c>
      <c r="I493" t="str">
        <f>SUBSTITUTE(SUBSTITUTE(SUBSTITUTE(SUBSTITUTE(SUBSTITUTE(TRIM(B493&amp;""),CHAR(160),"")," ",""),"초등학교","초"),"중학교","중"),"고등학교","고")</f>
      </c>
    </row>
    <row r="494" customFormat="false" ht="15" hidden="false" customHeight="false" outlineLevel="0" collapsed="false">
      <c r="A494" s="8"/>
      <c r="B494" s="8"/>
      <c r="C494" s="8"/>
      <c r="D494" s="8"/>
      <c r="E494" s="8"/>
      <c r="F494" t="str" s="15">
        <f aca="0">IF(B494="","",IF(H494="","확인필요(입력누락)",IF(SUMPRODUCT((실물목록!$P$2:$P$1001&lt;&gt;"")*ISNUMBER(SEARCH(실물목록!$P$2:$P$1001,I494))*(실물목록!$Q$2:$Q$1001&lt;&gt;"")*ISNUMBER(SEARCH(실물목록!$Q$2:$Q$1001,I494))*(실물목록!$R$2:$R$1001="")*(실물목록!$O$2:$O$1001&lt;&gt;"")*(실물목록!$O$2:$O$1001=H494))&gt;0,"실물 있음",IF(SUMPRODUCT((실물목록!$P$2:$P$1001&lt;&gt;"")*ISNUMBER(SEARCH(실물목록!$P$2:$P$1001,I494))*(실물목록!$R$2:$R$1001&lt;&gt;""))&gt;0,"확인필요(입력누락)",IF(SUMPRODUCT((실물목록!$P$2:$P$1001&lt;&gt;"")*ISNUMBER(SEARCH(실물목록!$P$2:$P$1001,I494))*(실물목록!$Q$2:$Q$1001&lt;&gt;"")*ISNUMBER(SEARCH(실물목록!$Q$2:$Q$1001,I494))*(실물목록!$R$2:$R$1001="")*(실물목록!$O$2:$O$1001&lt;&gt;""))&gt;0,"확인필요(연도다름)","실물 없음")))))</f>
      </c>
      <c r="G494" t="n" s="16">
        <f aca="0">IF(B494="","",SUMPRODUCT((실물목록!$P$2:$P$1001&lt;&gt;"")*ISNUMBER(SEARCH(실물목록!$P$2:$P$1001,I494))*(실물목록!$Q$2:$Q$1001&lt;&gt;"")*ISNUMBER(SEARCH(실물목록!$Q$2:$Q$1001,I494))*(실물목록!$R$2:$R$1001="")*(실물목록!$O$2:$O$1001&lt;&gt;"")*(실물목록!$O$2:$O$1001=H494)))</f>
      </c>
      <c r="H494" t="str">
        <f>IFERROR(IF(AND(LEN(SUBSTITUTE(SUBSTITUTE(SUBSTITUTE(TRIM(A494&amp;""),CHAR(160),"")," ",""),"년",""))=4,VALUE(SUBSTITUTE(SUBSTITUTE(SUBSTITUTE(TRIM(A494&amp;""),CHAR(160),"")," ",""),"년",""))&gt;=1900,VALUE(SUBSTITUTE(SUBSTITUTE(SUBSTITUTE(TRIM(A494&amp;""),CHAR(160),"")," ",""),"년",""))&lt;=2099,TEXT(VALUE(SUBSTITUTE(SUBSTITUTE(SUBSTITUTE(TRIM(A494&amp;""),CHAR(160),"")," ",""),"년","")),"0000")=SUBSTITUTE(SUBSTITUTE(SUBSTITUTE(TRIM(A494&amp;""),CHAR(160),"")," ",""),"년","")),SUBSTITUTE(SUBSTITUTE(SUBSTITUTE(TRIM(A494&amp;""),CHAR(160),"")," ",""),"년",""),""),"")</f>
      </c>
      <c r="I494" t="str">
        <f>SUBSTITUTE(SUBSTITUTE(SUBSTITUTE(SUBSTITUTE(SUBSTITUTE(TRIM(B494&amp;""),CHAR(160),"")," ",""),"초등학교","초"),"중학교","중"),"고등학교","고")</f>
      </c>
    </row>
    <row r="495" customFormat="false" ht="15" hidden="false" customHeight="false" outlineLevel="0" collapsed="false">
      <c r="A495" s="8"/>
      <c r="B495" s="8"/>
      <c r="C495" s="8"/>
      <c r="D495" s="8"/>
      <c r="E495" s="8"/>
      <c r="F495" t="str" s="15">
        <f aca="0">IF(B495="","",IF(H495="","확인필요(입력누락)",IF(SUMPRODUCT((실물목록!$P$2:$P$1001&lt;&gt;"")*ISNUMBER(SEARCH(실물목록!$P$2:$P$1001,I495))*(실물목록!$Q$2:$Q$1001&lt;&gt;"")*ISNUMBER(SEARCH(실물목록!$Q$2:$Q$1001,I495))*(실물목록!$R$2:$R$1001="")*(실물목록!$O$2:$O$1001&lt;&gt;"")*(실물목록!$O$2:$O$1001=H495))&gt;0,"실물 있음",IF(SUMPRODUCT((실물목록!$P$2:$P$1001&lt;&gt;"")*ISNUMBER(SEARCH(실물목록!$P$2:$P$1001,I495))*(실물목록!$R$2:$R$1001&lt;&gt;""))&gt;0,"확인필요(입력누락)",IF(SUMPRODUCT((실물목록!$P$2:$P$1001&lt;&gt;"")*ISNUMBER(SEARCH(실물목록!$P$2:$P$1001,I495))*(실물목록!$Q$2:$Q$1001&lt;&gt;"")*ISNUMBER(SEARCH(실물목록!$Q$2:$Q$1001,I495))*(실물목록!$R$2:$R$1001="")*(실물목록!$O$2:$O$1001&lt;&gt;""))&gt;0,"확인필요(연도다름)","실물 없음")))))</f>
      </c>
      <c r="G495" t="n" s="16">
        <f aca="0">IF(B495="","",SUMPRODUCT((실물목록!$P$2:$P$1001&lt;&gt;"")*ISNUMBER(SEARCH(실물목록!$P$2:$P$1001,I495))*(실물목록!$Q$2:$Q$1001&lt;&gt;"")*ISNUMBER(SEARCH(실물목록!$Q$2:$Q$1001,I495))*(실물목록!$R$2:$R$1001="")*(실물목록!$O$2:$O$1001&lt;&gt;"")*(실물목록!$O$2:$O$1001=H495)))</f>
      </c>
      <c r="H495" t="str">
        <f>IFERROR(IF(AND(LEN(SUBSTITUTE(SUBSTITUTE(SUBSTITUTE(TRIM(A495&amp;""),CHAR(160),"")," ",""),"년",""))=4,VALUE(SUBSTITUTE(SUBSTITUTE(SUBSTITUTE(TRIM(A495&amp;""),CHAR(160),"")," ",""),"년",""))&gt;=1900,VALUE(SUBSTITUTE(SUBSTITUTE(SUBSTITUTE(TRIM(A495&amp;""),CHAR(160),"")," ",""),"년",""))&lt;=2099,TEXT(VALUE(SUBSTITUTE(SUBSTITUTE(SUBSTITUTE(TRIM(A495&amp;""),CHAR(160),"")," ",""),"년","")),"0000")=SUBSTITUTE(SUBSTITUTE(SUBSTITUTE(TRIM(A495&amp;""),CHAR(160),"")," ",""),"년","")),SUBSTITUTE(SUBSTITUTE(SUBSTITUTE(TRIM(A495&amp;""),CHAR(160),"")," ",""),"년",""),""),"")</f>
      </c>
      <c r="I495" t="str">
        <f>SUBSTITUTE(SUBSTITUTE(SUBSTITUTE(SUBSTITUTE(SUBSTITUTE(TRIM(B495&amp;""),CHAR(160),"")," ",""),"초등학교","초"),"중학교","중"),"고등학교","고")</f>
      </c>
    </row>
    <row r="496" customFormat="false" ht="15" hidden="false" customHeight="false" outlineLevel="0" collapsed="false">
      <c r="A496" s="8"/>
      <c r="B496" s="8"/>
      <c r="C496" s="8"/>
      <c r="D496" s="8"/>
      <c r="E496" s="8"/>
      <c r="F496" t="str" s="15">
        <f aca="0">IF(B496="","",IF(H496="","확인필요(입력누락)",IF(SUMPRODUCT((실물목록!$P$2:$P$1001&lt;&gt;"")*ISNUMBER(SEARCH(실물목록!$P$2:$P$1001,I496))*(실물목록!$Q$2:$Q$1001&lt;&gt;"")*ISNUMBER(SEARCH(실물목록!$Q$2:$Q$1001,I496))*(실물목록!$R$2:$R$1001="")*(실물목록!$O$2:$O$1001&lt;&gt;"")*(실물목록!$O$2:$O$1001=H496))&gt;0,"실물 있음",IF(SUMPRODUCT((실물목록!$P$2:$P$1001&lt;&gt;"")*ISNUMBER(SEARCH(실물목록!$P$2:$P$1001,I496))*(실물목록!$R$2:$R$1001&lt;&gt;""))&gt;0,"확인필요(입력누락)",IF(SUMPRODUCT((실물목록!$P$2:$P$1001&lt;&gt;"")*ISNUMBER(SEARCH(실물목록!$P$2:$P$1001,I496))*(실물목록!$Q$2:$Q$1001&lt;&gt;"")*ISNUMBER(SEARCH(실물목록!$Q$2:$Q$1001,I496))*(실물목록!$R$2:$R$1001="")*(실물목록!$O$2:$O$1001&lt;&gt;""))&gt;0,"확인필요(연도다름)","실물 없음")))))</f>
      </c>
      <c r="G496" t="n" s="16">
        <f aca="0">IF(B496="","",SUMPRODUCT((실물목록!$P$2:$P$1001&lt;&gt;"")*ISNUMBER(SEARCH(실물목록!$P$2:$P$1001,I496))*(실물목록!$Q$2:$Q$1001&lt;&gt;"")*ISNUMBER(SEARCH(실물목록!$Q$2:$Q$1001,I496))*(실물목록!$R$2:$R$1001="")*(실물목록!$O$2:$O$1001&lt;&gt;"")*(실물목록!$O$2:$O$1001=H496)))</f>
      </c>
      <c r="H496" t="str">
        <f>IFERROR(IF(AND(LEN(SUBSTITUTE(SUBSTITUTE(SUBSTITUTE(TRIM(A496&amp;""),CHAR(160),"")," ",""),"년",""))=4,VALUE(SUBSTITUTE(SUBSTITUTE(SUBSTITUTE(TRIM(A496&amp;""),CHAR(160),"")," ",""),"년",""))&gt;=1900,VALUE(SUBSTITUTE(SUBSTITUTE(SUBSTITUTE(TRIM(A496&amp;""),CHAR(160),"")," ",""),"년",""))&lt;=2099,TEXT(VALUE(SUBSTITUTE(SUBSTITUTE(SUBSTITUTE(TRIM(A496&amp;""),CHAR(160),"")," ",""),"년","")),"0000")=SUBSTITUTE(SUBSTITUTE(SUBSTITUTE(TRIM(A496&amp;""),CHAR(160),"")," ",""),"년","")),SUBSTITUTE(SUBSTITUTE(SUBSTITUTE(TRIM(A496&amp;""),CHAR(160),"")," ",""),"년",""),""),"")</f>
      </c>
      <c r="I496" t="str">
        <f>SUBSTITUTE(SUBSTITUTE(SUBSTITUTE(SUBSTITUTE(SUBSTITUTE(TRIM(B496&amp;""),CHAR(160),"")," ",""),"초등학교","초"),"중학교","중"),"고등학교","고")</f>
      </c>
    </row>
    <row r="497" customFormat="false" ht="15" hidden="false" customHeight="false" outlineLevel="0" collapsed="false">
      <c r="A497" s="8"/>
      <c r="B497" s="8"/>
      <c r="C497" s="8"/>
      <c r="D497" s="8"/>
      <c r="E497" s="8"/>
      <c r="F497" t="str" s="15">
        <f aca="0">IF(B497="","",IF(H497="","확인필요(입력누락)",IF(SUMPRODUCT((실물목록!$P$2:$P$1001&lt;&gt;"")*ISNUMBER(SEARCH(실물목록!$P$2:$P$1001,I497))*(실물목록!$Q$2:$Q$1001&lt;&gt;"")*ISNUMBER(SEARCH(실물목록!$Q$2:$Q$1001,I497))*(실물목록!$R$2:$R$1001="")*(실물목록!$O$2:$O$1001&lt;&gt;"")*(실물목록!$O$2:$O$1001=H497))&gt;0,"실물 있음",IF(SUMPRODUCT((실물목록!$P$2:$P$1001&lt;&gt;"")*ISNUMBER(SEARCH(실물목록!$P$2:$P$1001,I497))*(실물목록!$R$2:$R$1001&lt;&gt;""))&gt;0,"확인필요(입력누락)",IF(SUMPRODUCT((실물목록!$P$2:$P$1001&lt;&gt;"")*ISNUMBER(SEARCH(실물목록!$P$2:$P$1001,I497))*(실물목록!$Q$2:$Q$1001&lt;&gt;"")*ISNUMBER(SEARCH(실물목록!$Q$2:$Q$1001,I497))*(실물목록!$R$2:$R$1001="")*(실물목록!$O$2:$O$1001&lt;&gt;""))&gt;0,"확인필요(연도다름)","실물 없음")))))</f>
      </c>
      <c r="G497" t="n" s="16">
        <f aca="0">IF(B497="","",SUMPRODUCT((실물목록!$P$2:$P$1001&lt;&gt;"")*ISNUMBER(SEARCH(실물목록!$P$2:$P$1001,I497))*(실물목록!$Q$2:$Q$1001&lt;&gt;"")*ISNUMBER(SEARCH(실물목록!$Q$2:$Q$1001,I497))*(실물목록!$R$2:$R$1001="")*(실물목록!$O$2:$O$1001&lt;&gt;"")*(실물목록!$O$2:$O$1001=H497)))</f>
      </c>
      <c r="H497" t="str">
        <f>IFERROR(IF(AND(LEN(SUBSTITUTE(SUBSTITUTE(SUBSTITUTE(TRIM(A497&amp;""),CHAR(160),"")," ",""),"년",""))=4,VALUE(SUBSTITUTE(SUBSTITUTE(SUBSTITUTE(TRIM(A497&amp;""),CHAR(160),"")," ",""),"년",""))&gt;=1900,VALUE(SUBSTITUTE(SUBSTITUTE(SUBSTITUTE(TRIM(A497&amp;""),CHAR(160),"")," ",""),"년",""))&lt;=2099,TEXT(VALUE(SUBSTITUTE(SUBSTITUTE(SUBSTITUTE(TRIM(A497&amp;""),CHAR(160),"")," ",""),"년","")),"0000")=SUBSTITUTE(SUBSTITUTE(SUBSTITUTE(TRIM(A497&amp;""),CHAR(160),"")," ",""),"년","")),SUBSTITUTE(SUBSTITUTE(SUBSTITUTE(TRIM(A497&amp;""),CHAR(160),"")," ",""),"년",""),""),"")</f>
      </c>
      <c r="I497" t="str">
        <f>SUBSTITUTE(SUBSTITUTE(SUBSTITUTE(SUBSTITUTE(SUBSTITUTE(TRIM(B497&amp;""),CHAR(160),"")," ",""),"초등학교","초"),"중학교","중"),"고등학교","고")</f>
      </c>
    </row>
    <row r="498" customFormat="false" ht="15" hidden="false" customHeight="false" outlineLevel="0" collapsed="false">
      <c r="A498" s="8"/>
      <c r="B498" s="8"/>
      <c r="C498" s="8"/>
      <c r="D498" s="8"/>
      <c r="E498" s="8"/>
      <c r="F498" t="str" s="15">
        <f aca="0">IF(B498="","",IF(H498="","확인필요(입력누락)",IF(SUMPRODUCT((실물목록!$P$2:$P$1001&lt;&gt;"")*ISNUMBER(SEARCH(실물목록!$P$2:$P$1001,I498))*(실물목록!$Q$2:$Q$1001&lt;&gt;"")*ISNUMBER(SEARCH(실물목록!$Q$2:$Q$1001,I498))*(실물목록!$R$2:$R$1001="")*(실물목록!$O$2:$O$1001&lt;&gt;"")*(실물목록!$O$2:$O$1001=H498))&gt;0,"실물 있음",IF(SUMPRODUCT((실물목록!$P$2:$P$1001&lt;&gt;"")*ISNUMBER(SEARCH(실물목록!$P$2:$P$1001,I498))*(실물목록!$R$2:$R$1001&lt;&gt;""))&gt;0,"확인필요(입력누락)",IF(SUMPRODUCT((실물목록!$P$2:$P$1001&lt;&gt;"")*ISNUMBER(SEARCH(실물목록!$P$2:$P$1001,I498))*(실물목록!$Q$2:$Q$1001&lt;&gt;"")*ISNUMBER(SEARCH(실물목록!$Q$2:$Q$1001,I498))*(실물목록!$R$2:$R$1001="")*(실물목록!$O$2:$O$1001&lt;&gt;""))&gt;0,"확인필요(연도다름)","실물 없음")))))</f>
      </c>
      <c r="G498" t="n" s="16">
        <f aca="0">IF(B498="","",SUMPRODUCT((실물목록!$P$2:$P$1001&lt;&gt;"")*ISNUMBER(SEARCH(실물목록!$P$2:$P$1001,I498))*(실물목록!$Q$2:$Q$1001&lt;&gt;"")*ISNUMBER(SEARCH(실물목록!$Q$2:$Q$1001,I498))*(실물목록!$R$2:$R$1001="")*(실물목록!$O$2:$O$1001&lt;&gt;"")*(실물목록!$O$2:$O$1001=H498)))</f>
      </c>
      <c r="H498" t="str">
        <f>IFERROR(IF(AND(LEN(SUBSTITUTE(SUBSTITUTE(SUBSTITUTE(TRIM(A498&amp;""),CHAR(160),"")," ",""),"년",""))=4,VALUE(SUBSTITUTE(SUBSTITUTE(SUBSTITUTE(TRIM(A498&amp;""),CHAR(160),"")," ",""),"년",""))&gt;=1900,VALUE(SUBSTITUTE(SUBSTITUTE(SUBSTITUTE(TRIM(A498&amp;""),CHAR(160),"")," ",""),"년",""))&lt;=2099,TEXT(VALUE(SUBSTITUTE(SUBSTITUTE(SUBSTITUTE(TRIM(A498&amp;""),CHAR(160),"")," ",""),"년","")),"0000")=SUBSTITUTE(SUBSTITUTE(SUBSTITUTE(TRIM(A498&amp;""),CHAR(160),"")," ",""),"년","")),SUBSTITUTE(SUBSTITUTE(SUBSTITUTE(TRIM(A498&amp;""),CHAR(160),"")," ",""),"년",""),""),"")</f>
      </c>
      <c r="I498" t="str">
        <f>SUBSTITUTE(SUBSTITUTE(SUBSTITUTE(SUBSTITUTE(SUBSTITUTE(TRIM(B498&amp;""),CHAR(160),"")," ",""),"초등학교","초"),"중학교","중"),"고등학교","고")</f>
      </c>
    </row>
    <row r="499" customFormat="false" ht="15" hidden="false" customHeight="false" outlineLevel="0" collapsed="false">
      <c r="A499" s="8"/>
      <c r="B499" s="8"/>
      <c r="C499" s="8"/>
      <c r="D499" s="8"/>
      <c r="E499" s="8"/>
      <c r="F499" t="str" s="15">
        <f aca="0">IF(B499="","",IF(H499="","확인필요(입력누락)",IF(SUMPRODUCT((실물목록!$P$2:$P$1001&lt;&gt;"")*ISNUMBER(SEARCH(실물목록!$P$2:$P$1001,I499))*(실물목록!$Q$2:$Q$1001&lt;&gt;"")*ISNUMBER(SEARCH(실물목록!$Q$2:$Q$1001,I499))*(실물목록!$R$2:$R$1001="")*(실물목록!$O$2:$O$1001&lt;&gt;"")*(실물목록!$O$2:$O$1001=H499))&gt;0,"실물 있음",IF(SUMPRODUCT((실물목록!$P$2:$P$1001&lt;&gt;"")*ISNUMBER(SEARCH(실물목록!$P$2:$P$1001,I499))*(실물목록!$R$2:$R$1001&lt;&gt;""))&gt;0,"확인필요(입력누락)",IF(SUMPRODUCT((실물목록!$P$2:$P$1001&lt;&gt;"")*ISNUMBER(SEARCH(실물목록!$P$2:$P$1001,I499))*(실물목록!$Q$2:$Q$1001&lt;&gt;"")*ISNUMBER(SEARCH(실물목록!$Q$2:$Q$1001,I499))*(실물목록!$R$2:$R$1001="")*(실물목록!$O$2:$O$1001&lt;&gt;""))&gt;0,"확인필요(연도다름)","실물 없음")))))</f>
      </c>
      <c r="G499" t="n" s="16">
        <f aca="0">IF(B499="","",SUMPRODUCT((실물목록!$P$2:$P$1001&lt;&gt;"")*ISNUMBER(SEARCH(실물목록!$P$2:$P$1001,I499))*(실물목록!$Q$2:$Q$1001&lt;&gt;"")*ISNUMBER(SEARCH(실물목록!$Q$2:$Q$1001,I499))*(실물목록!$R$2:$R$1001="")*(실물목록!$O$2:$O$1001&lt;&gt;"")*(실물목록!$O$2:$O$1001=H499)))</f>
      </c>
      <c r="H499" t="str">
        <f>IFERROR(IF(AND(LEN(SUBSTITUTE(SUBSTITUTE(SUBSTITUTE(TRIM(A499&amp;""),CHAR(160),"")," ",""),"년",""))=4,VALUE(SUBSTITUTE(SUBSTITUTE(SUBSTITUTE(TRIM(A499&amp;""),CHAR(160),"")," ",""),"년",""))&gt;=1900,VALUE(SUBSTITUTE(SUBSTITUTE(SUBSTITUTE(TRIM(A499&amp;""),CHAR(160),"")," ",""),"년",""))&lt;=2099,TEXT(VALUE(SUBSTITUTE(SUBSTITUTE(SUBSTITUTE(TRIM(A499&amp;""),CHAR(160),"")," ",""),"년","")),"0000")=SUBSTITUTE(SUBSTITUTE(SUBSTITUTE(TRIM(A499&amp;""),CHAR(160),"")," ",""),"년","")),SUBSTITUTE(SUBSTITUTE(SUBSTITUTE(TRIM(A499&amp;""),CHAR(160),"")," ",""),"년",""),""),"")</f>
      </c>
      <c r="I499" t="str">
        <f>SUBSTITUTE(SUBSTITUTE(SUBSTITUTE(SUBSTITUTE(SUBSTITUTE(TRIM(B499&amp;""),CHAR(160),"")," ",""),"초등학교","초"),"중학교","중"),"고등학교","고")</f>
      </c>
    </row>
    <row r="500" customFormat="false" ht="15" hidden="false" customHeight="false" outlineLevel="0" collapsed="false">
      <c r="A500" s="8"/>
      <c r="B500" s="8"/>
      <c r="C500" s="8"/>
      <c r="D500" s="8"/>
      <c r="E500" s="8"/>
      <c r="F500" t="str" s="15">
        <f aca="0">IF(B500="","",IF(H500="","확인필요(입력누락)",IF(SUMPRODUCT((실물목록!$P$2:$P$1001&lt;&gt;"")*ISNUMBER(SEARCH(실물목록!$P$2:$P$1001,I500))*(실물목록!$Q$2:$Q$1001&lt;&gt;"")*ISNUMBER(SEARCH(실물목록!$Q$2:$Q$1001,I500))*(실물목록!$R$2:$R$1001="")*(실물목록!$O$2:$O$1001&lt;&gt;"")*(실물목록!$O$2:$O$1001=H500))&gt;0,"실물 있음",IF(SUMPRODUCT((실물목록!$P$2:$P$1001&lt;&gt;"")*ISNUMBER(SEARCH(실물목록!$P$2:$P$1001,I500))*(실물목록!$R$2:$R$1001&lt;&gt;""))&gt;0,"확인필요(입력누락)",IF(SUMPRODUCT((실물목록!$P$2:$P$1001&lt;&gt;"")*ISNUMBER(SEARCH(실물목록!$P$2:$P$1001,I500))*(실물목록!$Q$2:$Q$1001&lt;&gt;"")*ISNUMBER(SEARCH(실물목록!$Q$2:$Q$1001,I500))*(실물목록!$R$2:$R$1001="")*(실물목록!$O$2:$O$1001&lt;&gt;""))&gt;0,"확인필요(연도다름)","실물 없음")))))</f>
      </c>
      <c r="G500" t="n" s="16">
        <f aca="0">IF(B500="","",SUMPRODUCT((실물목록!$P$2:$P$1001&lt;&gt;"")*ISNUMBER(SEARCH(실물목록!$P$2:$P$1001,I500))*(실물목록!$Q$2:$Q$1001&lt;&gt;"")*ISNUMBER(SEARCH(실물목록!$Q$2:$Q$1001,I500))*(실물목록!$R$2:$R$1001="")*(실물목록!$O$2:$O$1001&lt;&gt;"")*(실물목록!$O$2:$O$1001=H500)))</f>
      </c>
      <c r="H500" t="str">
        <f>IFERROR(IF(AND(LEN(SUBSTITUTE(SUBSTITUTE(SUBSTITUTE(TRIM(A500&amp;""),CHAR(160),"")," ",""),"년",""))=4,VALUE(SUBSTITUTE(SUBSTITUTE(SUBSTITUTE(TRIM(A500&amp;""),CHAR(160),"")," ",""),"년",""))&gt;=1900,VALUE(SUBSTITUTE(SUBSTITUTE(SUBSTITUTE(TRIM(A500&amp;""),CHAR(160),"")," ",""),"년",""))&lt;=2099,TEXT(VALUE(SUBSTITUTE(SUBSTITUTE(SUBSTITUTE(TRIM(A500&amp;""),CHAR(160),"")," ",""),"년","")),"0000")=SUBSTITUTE(SUBSTITUTE(SUBSTITUTE(TRIM(A500&amp;""),CHAR(160),"")," ",""),"년","")),SUBSTITUTE(SUBSTITUTE(SUBSTITUTE(TRIM(A500&amp;""),CHAR(160),"")," ",""),"년",""),""),"")</f>
      </c>
      <c r="I500" t="str">
        <f>SUBSTITUTE(SUBSTITUTE(SUBSTITUTE(SUBSTITUTE(SUBSTITUTE(TRIM(B500&amp;""),CHAR(160),"")," ",""),"초등학교","초"),"중학교","중"),"고등학교","고")</f>
      </c>
    </row>
    <row r="501" customFormat="false" ht="15" hidden="false" customHeight="false" outlineLevel="0" collapsed="false">
      <c r="A501" s="8"/>
      <c r="B501" s="8"/>
      <c r="C501" s="8"/>
      <c r="D501" s="8"/>
      <c r="E501" s="8"/>
      <c r="F501" t="str" s="15">
        <f aca="0">IF(B501="","",IF(H501="","확인필요(입력누락)",IF(SUMPRODUCT((실물목록!$P$2:$P$1001&lt;&gt;"")*ISNUMBER(SEARCH(실물목록!$P$2:$P$1001,I501))*(실물목록!$Q$2:$Q$1001&lt;&gt;"")*ISNUMBER(SEARCH(실물목록!$Q$2:$Q$1001,I501))*(실물목록!$R$2:$R$1001="")*(실물목록!$O$2:$O$1001&lt;&gt;"")*(실물목록!$O$2:$O$1001=H501))&gt;0,"실물 있음",IF(SUMPRODUCT((실물목록!$P$2:$P$1001&lt;&gt;"")*ISNUMBER(SEARCH(실물목록!$P$2:$P$1001,I501))*(실물목록!$R$2:$R$1001&lt;&gt;""))&gt;0,"확인필요(입력누락)",IF(SUMPRODUCT((실물목록!$P$2:$P$1001&lt;&gt;"")*ISNUMBER(SEARCH(실물목록!$P$2:$P$1001,I501))*(실물목록!$Q$2:$Q$1001&lt;&gt;"")*ISNUMBER(SEARCH(실물목록!$Q$2:$Q$1001,I501))*(실물목록!$R$2:$R$1001="")*(실물목록!$O$2:$O$1001&lt;&gt;""))&gt;0,"확인필요(연도다름)","실물 없음")))))</f>
      </c>
      <c r="G501" t="n" s="16">
        <f aca="0">IF(B501="","",SUMPRODUCT((실물목록!$P$2:$P$1001&lt;&gt;"")*ISNUMBER(SEARCH(실물목록!$P$2:$P$1001,I501))*(실물목록!$Q$2:$Q$1001&lt;&gt;"")*ISNUMBER(SEARCH(실물목록!$Q$2:$Q$1001,I501))*(실물목록!$R$2:$R$1001="")*(실물목록!$O$2:$O$1001&lt;&gt;"")*(실물목록!$O$2:$O$1001=H501)))</f>
      </c>
      <c r="H501" t="str">
        <f>IFERROR(IF(AND(LEN(SUBSTITUTE(SUBSTITUTE(SUBSTITUTE(TRIM(A501&amp;""),CHAR(160),"")," ",""),"년",""))=4,VALUE(SUBSTITUTE(SUBSTITUTE(SUBSTITUTE(TRIM(A501&amp;""),CHAR(160),"")," ",""),"년",""))&gt;=1900,VALUE(SUBSTITUTE(SUBSTITUTE(SUBSTITUTE(TRIM(A501&amp;""),CHAR(160),"")," ",""),"년",""))&lt;=2099,TEXT(VALUE(SUBSTITUTE(SUBSTITUTE(SUBSTITUTE(TRIM(A501&amp;""),CHAR(160),"")," ",""),"년","")),"0000")=SUBSTITUTE(SUBSTITUTE(SUBSTITUTE(TRIM(A501&amp;""),CHAR(160),"")," ",""),"년","")),SUBSTITUTE(SUBSTITUTE(SUBSTITUTE(TRIM(A501&amp;""),CHAR(160),"")," ",""),"년",""),""),"")</f>
      </c>
      <c r="I501" t="str">
        <f>SUBSTITUTE(SUBSTITUTE(SUBSTITUTE(SUBSTITUTE(SUBSTITUTE(TRIM(B501&amp;""),CHAR(160),"")," ",""),"초등학교","초"),"중학교","중"),"고등학교","고")</f>
      </c>
    </row>
    <row r="502" customFormat="false" ht="15" hidden="false" customHeight="false" outlineLevel="0" collapsed="false">
      <c r="A502" s="8"/>
      <c r="B502" s="8"/>
      <c r="C502" s="8"/>
      <c r="D502" s="8"/>
      <c r="E502" s="8"/>
      <c r="F502" t="str" s="15">
        <f aca="0">IF(B502="","",IF(H502="","확인필요(입력누락)",IF(SUMPRODUCT((실물목록!$P$2:$P$1001&lt;&gt;"")*ISNUMBER(SEARCH(실물목록!$P$2:$P$1001,I502))*(실물목록!$Q$2:$Q$1001&lt;&gt;"")*ISNUMBER(SEARCH(실물목록!$Q$2:$Q$1001,I502))*(실물목록!$R$2:$R$1001="")*(실물목록!$O$2:$O$1001&lt;&gt;"")*(실물목록!$O$2:$O$1001=H502))&gt;0,"실물 있음",IF(SUMPRODUCT((실물목록!$P$2:$P$1001&lt;&gt;"")*ISNUMBER(SEARCH(실물목록!$P$2:$P$1001,I502))*(실물목록!$R$2:$R$1001&lt;&gt;""))&gt;0,"확인필요(입력누락)",IF(SUMPRODUCT((실물목록!$P$2:$P$1001&lt;&gt;"")*ISNUMBER(SEARCH(실물목록!$P$2:$P$1001,I502))*(실물목록!$Q$2:$Q$1001&lt;&gt;"")*ISNUMBER(SEARCH(실물목록!$Q$2:$Q$1001,I502))*(실물목록!$R$2:$R$1001="")*(실물목록!$O$2:$O$1001&lt;&gt;""))&gt;0,"확인필요(연도다름)","실물 없음")))))</f>
      </c>
      <c r="G502" t="n" s="16">
        <f aca="0">IF(B502="","",SUMPRODUCT((실물목록!$P$2:$P$1001&lt;&gt;"")*ISNUMBER(SEARCH(실물목록!$P$2:$P$1001,I502))*(실물목록!$Q$2:$Q$1001&lt;&gt;"")*ISNUMBER(SEARCH(실물목록!$Q$2:$Q$1001,I502))*(실물목록!$R$2:$R$1001="")*(실물목록!$O$2:$O$1001&lt;&gt;"")*(실물목록!$O$2:$O$1001=H502)))</f>
      </c>
      <c r="H502" t="str">
        <f>IFERROR(IF(AND(LEN(SUBSTITUTE(SUBSTITUTE(SUBSTITUTE(TRIM(A502&amp;""),CHAR(160),"")," ",""),"년",""))=4,VALUE(SUBSTITUTE(SUBSTITUTE(SUBSTITUTE(TRIM(A502&amp;""),CHAR(160),"")," ",""),"년",""))&gt;=1900,VALUE(SUBSTITUTE(SUBSTITUTE(SUBSTITUTE(TRIM(A502&amp;""),CHAR(160),"")," ",""),"년",""))&lt;=2099,TEXT(VALUE(SUBSTITUTE(SUBSTITUTE(SUBSTITUTE(TRIM(A502&amp;""),CHAR(160),"")," ",""),"년","")),"0000")=SUBSTITUTE(SUBSTITUTE(SUBSTITUTE(TRIM(A502&amp;""),CHAR(160),"")," ",""),"년","")),SUBSTITUTE(SUBSTITUTE(SUBSTITUTE(TRIM(A502&amp;""),CHAR(160),"")," ",""),"년",""),""),"")</f>
      </c>
      <c r="I502" t="str">
        <f>SUBSTITUTE(SUBSTITUTE(SUBSTITUTE(SUBSTITUTE(SUBSTITUTE(TRIM(B502&amp;""),CHAR(160),"")," ",""),"초등학교","초"),"중학교","중"),"고등학교","고")</f>
      </c>
    </row>
    <row r="503" customFormat="false" ht="15" hidden="false" customHeight="false" outlineLevel="0" collapsed="false">
      <c r="A503" s="8"/>
      <c r="B503" s="8"/>
      <c r="C503" s="8"/>
      <c r="D503" s="8"/>
      <c r="E503" s="8"/>
      <c r="F503" t="str" s="15">
        <f aca="0">IF(B503="","",IF(H503="","확인필요(입력누락)",IF(SUMPRODUCT((실물목록!$P$2:$P$1001&lt;&gt;"")*ISNUMBER(SEARCH(실물목록!$P$2:$P$1001,I503))*(실물목록!$Q$2:$Q$1001&lt;&gt;"")*ISNUMBER(SEARCH(실물목록!$Q$2:$Q$1001,I503))*(실물목록!$R$2:$R$1001="")*(실물목록!$O$2:$O$1001&lt;&gt;"")*(실물목록!$O$2:$O$1001=H503))&gt;0,"실물 있음",IF(SUMPRODUCT((실물목록!$P$2:$P$1001&lt;&gt;"")*ISNUMBER(SEARCH(실물목록!$P$2:$P$1001,I503))*(실물목록!$R$2:$R$1001&lt;&gt;""))&gt;0,"확인필요(입력누락)",IF(SUMPRODUCT((실물목록!$P$2:$P$1001&lt;&gt;"")*ISNUMBER(SEARCH(실물목록!$P$2:$P$1001,I503))*(실물목록!$Q$2:$Q$1001&lt;&gt;"")*ISNUMBER(SEARCH(실물목록!$Q$2:$Q$1001,I503))*(실물목록!$R$2:$R$1001="")*(실물목록!$O$2:$O$1001&lt;&gt;""))&gt;0,"확인필요(연도다름)","실물 없음")))))</f>
      </c>
      <c r="G503" t="n" s="16">
        <f aca="0">IF(B503="","",SUMPRODUCT((실물목록!$P$2:$P$1001&lt;&gt;"")*ISNUMBER(SEARCH(실물목록!$P$2:$P$1001,I503))*(실물목록!$Q$2:$Q$1001&lt;&gt;"")*ISNUMBER(SEARCH(실물목록!$Q$2:$Q$1001,I503))*(실물목록!$R$2:$R$1001="")*(실물목록!$O$2:$O$1001&lt;&gt;"")*(실물목록!$O$2:$O$1001=H503)))</f>
      </c>
      <c r="H503" t="str">
        <f>IFERROR(IF(AND(LEN(SUBSTITUTE(SUBSTITUTE(SUBSTITUTE(TRIM(A503&amp;""),CHAR(160),"")," ",""),"년",""))=4,VALUE(SUBSTITUTE(SUBSTITUTE(SUBSTITUTE(TRIM(A503&amp;""),CHAR(160),"")," ",""),"년",""))&gt;=1900,VALUE(SUBSTITUTE(SUBSTITUTE(SUBSTITUTE(TRIM(A503&amp;""),CHAR(160),"")," ",""),"년",""))&lt;=2099,TEXT(VALUE(SUBSTITUTE(SUBSTITUTE(SUBSTITUTE(TRIM(A503&amp;""),CHAR(160),"")," ",""),"년","")),"0000")=SUBSTITUTE(SUBSTITUTE(SUBSTITUTE(TRIM(A503&amp;""),CHAR(160),"")," ",""),"년","")),SUBSTITUTE(SUBSTITUTE(SUBSTITUTE(TRIM(A503&amp;""),CHAR(160),"")," ",""),"년",""),""),"")</f>
      </c>
      <c r="I503" t="str">
        <f>SUBSTITUTE(SUBSTITUTE(SUBSTITUTE(SUBSTITUTE(SUBSTITUTE(TRIM(B503&amp;""),CHAR(160),"")," ",""),"초등학교","초"),"중학교","중"),"고등학교","고")</f>
      </c>
    </row>
    <row r="504" customFormat="false" ht="15" hidden="false" customHeight="false" outlineLevel="0" collapsed="false">
      <c r="A504" s="8"/>
      <c r="B504" s="8"/>
      <c r="C504" s="8"/>
      <c r="D504" s="8"/>
      <c r="E504" s="8"/>
      <c r="F504" t="str" s="15">
        <f aca="0">IF(B504="","",IF(H504="","확인필요(입력누락)",IF(SUMPRODUCT((실물목록!$P$2:$P$1001&lt;&gt;"")*ISNUMBER(SEARCH(실물목록!$P$2:$P$1001,I504))*(실물목록!$Q$2:$Q$1001&lt;&gt;"")*ISNUMBER(SEARCH(실물목록!$Q$2:$Q$1001,I504))*(실물목록!$R$2:$R$1001="")*(실물목록!$O$2:$O$1001&lt;&gt;"")*(실물목록!$O$2:$O$1001=H504))&gt;0,"실물 있음",IF(SUMPRODUCT((실물목록!$P$2:$P$1001&lt;&gt;"")*ISNUMBER(SEARCH(실물목록!$P$2:$P$1001,I504))*(실물목록!$R$2:$R$1001&lt;&gt;""))&gt;0,"확인필요(입력누락)",IF(SUMPRODUCT((실물목록!$P$2:$P$1001&lt;&gt;"")*ISNUMBER(SEARCH(실물목록!$P$2:$P$1001,I504))*(실물목록!$Q$2:$Q$1001&lt;&gt;"")*ISNUMBER(SEARCH(실물목록!$Q$2:$Q$1001,I504))*(실물목록!$R$2:$R$1001="")*(실물목록!$O$2:$O$1001&lt;&gt;""))&gt;0,"확인필요(연도다름)","실물 없음")))))</f>
      </c>
      <c r="G504" t="n" s="16">
        <f aca="0">IF(B504="","",SUMPRODUCT((실물목록!$P$2:$P$1001&lt;&gt;"")*ISNUMBER(SEARCH(실물목록!$P$2:$P$1001,I504))*(실물목록!$Q$2:$Q$1001&lt;&gt;"")*ISNUMBER(SEARCH(실물목록!$Q$2:$Q$1001,I504))*(실물목록!$R$2:$R$1001="")*(실물목록!$O$2:$O$1001&lt;&gt;"")*(실물목록!$O$2:$O$1001=H504)))</f>
      </c>
      <c r="H504" t="str">
        <f>IFERROR(IF(AND(LEN(SUBSTITUTE(SUBSTITUTE(SUBSTITUTE(TRIM(A504&amp;""),CHAR(160),"")," ",""),"년",""))=4,VALUE(SUBSTITUTE(SUBSTITUTE(SUBSTITUTE(TRIM(A504&amp;""),CHAR(160),"")," ",""),"년",""))&gt;=1900,VALUE(SUBSTITUTE(SUBSTITUTE(SUBSTITUTE(TRIM(A504&amp;""),CHAR(160),"")," ",""),"년",""))&lt;=2099,TEXT(VALUE(SUBSTITUTE(SUBSTITUTE(SUBSTITUTE(TRIM(A504&amp;""),CHAR(160),"")," ",""),"년","")),"0000")=SUBSTITUTE(SUBSTITUTE(SUBSTITUTE(TRIM(A504&amp;""),CHAR(160),"")," ",""),"년","")),SUBSTITUTE(SUBSTITUTE(SUBSTITUTE(TRIM(A504&amp;""),CHAR(160),"")," ",""),"년",""),""),"")</f>
      </c>
      <c r="I504" t="str">
        <f>SUBSTITUTE(SUBSTITUTE(SUBSTITUTE(SUBSTITUTE(SUBSTITUTE(TRIM(B504&amp;""),CHAR(160),"")," ",""),"초등학교","초"),"중학교","중"),"고등학교","고")</f>
      </c>
    </row>
    <row r="505" customFormat="false" ht="15" hidden="false" customHeight="false" outlineLevel="0" collapsed="false">
      <c r="A505" s="8"/>
      <c r="B505" s="8"/>
      <c r="C505" s="8"/>
      <c r="D505" s="8"/>
      <c r="E505" s="8"/>
      <c r="F505" t="str" s="15">
        <f aca="0">IF(B505="","",IF(H505="","확인필요(입력누락)",IF(SUMPRODUCT((실물목록!$P$2:$P$1001&lt;&gt;"")*ISNUMBER(SEARCH(실물목록!$P$2:$P$1001,I505))*(실물목록!$Q$2:$Q$1001&lt;&gt;"")*ISNUMBER(SEARCH(실물목록!$Q$2:$Q$1001,I505))*(실물목록!$R$2:$R$1001="")*(실물목록!$O$2:$O$1001&lt;&gt;"")*(실물목록!$O$2:$O$1001=H505))&gt;0,"실물 있음",IF(SUMPRODUCT((실물목록!$P$2:$P$1001&lt;&gt;"")*ISNUMBER(SEARCH(실물목록!$P$2:$P$1001,I505))*(실물목록!$R$2:$R$1001&lt;&gt;""))&gt;0,"확인필요(입력누락)",IF(SUMPRODUCT((실물목록!$P$2:$P$1001&lt;&gt;"")*ISNUMBER(SEARCH(실물목록!$P$2:$P$1001,I505))*(실물목록!$Q$2:$Q$1001&lt;&gt;"")*ISNUMBER(SEARCH(실물목록!$Q$2:$Q$1001,I505))*(실물목록!$R$2:$R$1001="")*(실물목록!$O$2:$O$1001&lt;&gt;""))&gt;0,"확인필요(연도다름)","실물 없음")))))</f>
      </c>
      <c r="G505" t="n" s="16">
        <f aca="0">IF(B505="","",SUMPRODUCT((실물목록!$P$2:$P$1001&lt;&gt;"")*ISNUMBER(SEARCH(실물목록!$P$2:$P$1001,I505))*(실물목록!$Q$2:$Q$1001&lt;&gt;"")*ISNUMBER(SEARCH(실물목록!$Q$2:$Q$1001,I505))*(실물목록!$R$2:$R$1001="")*(실물목록!$O$2:$O$1001&lt;&gt;"")*(실물목록!$O$2:$O$1001=H505)))</f>
      </c>
      <c r="H505" t="str">
        <f>IFERROR(IF(AND(LEN(SUBSTITUTE(SUBSTITUTE(SUBSTITUTE(TRIM(A505&amp;""),CHAR(160),"")," ",""),"년",""))=4,VALUE(SUBSTITUTE(SUBSTITUTE(SUBSTITUTE(TRIM(A505&amp;""),CHAR(160),"")," ",""),"년",""))&gt;=1900,VALUE(SUBSTITUTE(SUBSTITUTE(SUBSTITUTE(TRIM(A505&amp;""),CHAR(160),"")," ",""),"년",""))&lt;=2099,TEXT(VALUE(SUBSTITUTE(SUBSTITUTE(SUBSTITUTE(TRIM(A505&amp;""),CHAR(160),"")," ",""),"년","")),"0000")=SUBSTITUTE(SUBSTITUTE(SUBSTITUTE(TRIM(A505&amp;""),CHAR(160),"")," ",""),"년","")),SUBSTITUTE(SUBSTITUTE(SUBSTITUTE(TRIM(A505&amp;""),CHAR(160),"")," ",""),"년",""),""),"")</f>
      </c>
      <c r="I505" t="str">
        <f>SUBSTITUTE(SUBSTITUTE(SUBSTITUTE(SUBSTITUTE(SUBSTITUTE(TRIM(B505&amp;""),CHAR(160),"")," ",""),"초등학교","초"),"중학교","중"),"고등학교","고")</f>
      </c>
    </row>
    <row r="506" customFormat="false" ht="15" hidden="false" customHeight="false" outlineLevel="0" collapsed="false">
      <c r="A506" s="8"/>
      <c r="B506" s="8"/>
      <c r="C506" s="8"/>
      <c r="D506" s="8"/>
      <c r="E506" s="8"/>
      <c r="F506" t="str" s="15">
        <f aca="0">IF(B506="","",IF(H506="","확인필요(입력누락)",IF(SUMPRODUCT((실물목록!$P$2:$P$1001&lt;&gt;"")*ISNUMBER(SEARCH(실물목록!$P$2:$P$1001,I506))*(실물목록!$Q$2:$Q$1001&lt;&gt;"")*ISNUMBER(SEARCH(실물목록!$Q$2:$Q$1001,I506))*(실물목록!$R$2:$R$1001="")*(실물목록!$O$2:$O$1001&lt;&gt;"")*(실물목록!$O$2:$O$1001=H506))&gt;0,"실물 있음",IF(SUMPRODUCT((실물목록!$P$2:$P$1001&lt;&gt;"")*ISNUMBER(SEARCH(실물목록!$P$2:$P$1001,I506))*(실물목록!$R$2:$R$1001&lt;&gt;""))&gt;0,"확인필요(입력누락)",IF(SUMPRODUCT((실물목록!$P$2:$P$1001&lt;&gt;"")*ISNUMBER(SEARCH(실물목록!$P$2:$P$1001,I506))*(실물목록!$Q$2:$Q$1001&lt;&gt;"")*ISNUMBER(SEARCH(실물목록!$Q$2:$Q$1001,I506))*(실물목록!$R$2:$R$1001="")*(실물목록!$O$2:$O$1001&lt;&gt;""))&gt;0,"확인필요(연도다름)","실물 없음")))))</f>
      </c>
      <c r="G506" t="n" s="16">
        <f aca="0">IF(B506="","",SUMPRODUCT((실물목록!$P$2:$P$1001&lt;&gt;"")*ISNUMBER(SEARCH(실물목록!$P$2:$P$1001,I506))*(실물목록!$Q$2:$Q$1001&lt;&gt;"")*ISNUMBER(SEARCH(실물목록!$Q$2:$Q$1001,I506))*(실물목록!$R$2:$R$1001="")*(실물목록!$O$2:$O$1001&lt;&gt;"")*(실물목록!$O$2:$O$1001=H506)))</f>
      </c>
      <c r="H506" t="str">
        <f>IFERROR(IF(AND(LEN(SUBSTITUTE(SUBSTITUTE(SUBSTITUTE(TRIM(A506&amp;""),CHAR(160),"")," ",""),"년",""))=4,VALUE(SUBSTITUTE(SUBSTITUTE(SUBSTITUTE(TRIM(A506&amp;""),CHAR(160),"")," ",""),"년",""))&gt;=1900,VALUE(SUBSTITUTE(SUBSTITUTE(SUBSTITUTE(TRIM(A506&amp;""),CHAR(160),"")," ",""),"년",""))&lt;=2099,TEXT(VALUE(SUBSTITUTE(SUBSTITUTE(SUBSTITUTE(TRIM(A506&amp;""),CHAR(160),"")," ",""),"년","")),"0000")=SUBSTITUTE(SUBSTITUTE(SUBSTITUTE(TRIM(A506&amp;""),CHAR(160),"")," ",""),"년","")),SUBSTITUTE(SUBSTITUTE(SUBSTITUTE(TRIM(A506&amp;""),CHAR(160),"")," ",""),"년",""),""),"")</f>
      </c>
      <c r="I506" t="str">
        <f>SUBSTITUTE(SUBSTITUTE(SUBSTITUTE(SUBSTITUTE(SUBSTITUTE(TRIM(B506&amp;""),CHAR(160),"")," ",""),"초등학교","초"),"중학교","중"),"고등학교","고")</f>
      </c>
    </row>
    <row r="507" customFormat="false" ht="15" hidden="false" customHeight="false" outlineLevel="0" collapsed="false">
      <c r="A507" s="8"/>
      <c r="B507" s="8"/>
      <c r="C507" s="8"/>
      <c r="D507" s="8"/>
      <c r="E507" s="8"/>
      <c r="F507" t="str" s="15">
        <f aca="0">IF(B507="","",IF(H507="","확인필요(입력누락)",IF(SUMPRODUCT((실물목록!$P$2:$P$1001&lt;&gt;"")*ISNUMBER(SEARCH(실물목록!$P$2:$P$1001,I507))*(실물목록!$Q$2:$Q$1001&lt;&gt;"")*ISNUMBER(SEARCH(실물목록!$Q$2:$Q$1001,I507))*(실물목록!$R$2:$R$1001="")*(실물목록!$O$2:$O$1001&lt;&gt;"")*(실물목록!$O$2:$O$1001=H507))&gt;0,"실물 있음",IF(SUMPRODUCT((실물목록!$P$2:$P$1001&lt;&gt;"")*ISNUMBER(SEARCH(실물목록!$P$2:$P$1001,I507))*(실물목록!$R$2:$R$1001&lt;&gt;""))&gt;0,"확인필요(입력누락)",IF(SUMPRODUCT((실물목록!$P$2:$P$1001&lt;&gt;"")*ISNUMBER(SEARCH(실물목록!$P$2:$P$1001,I507))*(실물목록!$Q$2:$Q$1001&lt;&gt;"")*ISNUMBER(SEARCH(실물목록!$Q$2:$Q$1001,I507))*(실물목록!$R$2:$R$1001="")*(실물목록!$O$2:$O$1001&lt;&gt;""))&gt;0,"확인필요(연도다름)","실물 없음")))))</f>
      </c>
      <c r="G507" t="n" s="16">
        <f aca="0">IF(B507="","",SUMPRODUCT((실물목록!$P$2:$P$1001&lt;&gt;"")*ISNUMBER(SEARCH(실물목록!$P$2:$P$1001,I507))*(실물목록!$Q$2:$Q$1001&lt;&gt;"")*ISNUMBER(SEARCH(실물목록!$Q$2:$Q$1001,I507))*(실물목록!$R$2:$R$1001="")*(실물목록!$O$2:$O$1001&lt;&gt;"")*(실물목록!$O$2:$O$1001=H507)))</f>
      </c>
      <c r="H507" t="str">
        <f>IFERROR(IF(AND(LEN(SUBSTITUTE(SUBSTITUTE(SUBSTITUTE(TRIM(A507&amp;""),CHAR(160),"")," ",""),"년",""))=4,VALUE(SUBSTITUTE(SUBSTITUTE(SUBSTITUTE(TRIM(A507&amp;""),CHAR(160),"")," ",""),"년",""))&gt;=1900,VALUE(SUBSTITUTE(SUBSTITUTE(SUBSTITUTE(TRIM(A507&amp;""),CHAR(160),"")," ",""),"년",""))&lt;=2099,TEXT(VALUE(SUBSTITUTE(SUBSTITUTE(SUBSTITUTE(TRIM(A507&amp;""),CHAR(160),"")," ",""),"년","")),"0000")=SUBSTITUTE(SUBSTITUTE(SUBSTITUTE(TRIM(A507&amp;""),CHAR(160),"")," ",""),"년","")),SUBSTITUTE(SUBSTITUTE(SUBSTITUTE(TRIM(A507&amp;""),CHAR(160),"")," ",""),"년",""),""),"")</f>
      </c>
      <c r="I507" t="str">
        <f>SUBSTITUTE(SUBSTITUTE(SUBSTITUTE(SUBSTITUTE(SUBSTITUTE(TRIM(B507&amp;""),CHAR(160),"")," ",""),"초등학교","초"),"중학교","중"),"고등학교","고")</f>
      </c>
    </row>
    <row r="508" customFormat="false" ht="15" hidden="false" customHeight="false" outlineLevel="0" collapsed="false">
      <c r="A508" s="8"/>
      <c r="B508" s="8"/>
      <c r="C508" s="8"/>
      <c r="D508" s="8"/>
      <c r="E508" s="8"/>
      <c r="F508" t="str" s="15">
        <f aca="0">IF(B508="","",IF(H508="","확인필요(입력누락)",IF(SUMPRODUCT((실물목록!$P$2:$P$1001&lt;&gt;"")*ISNUMBER(SEARCH(실물목록!$P$2:$P$1001,I508))*(실물목록!$Q$2:$Q$1001&lt;&gt;"")*ISNUMBER(SEARCH(실물목록!$Q$2:$Q$1001,I508))*(실물목록!$R$2:$R$1001="")*(실물목록!$O$2:$O$1001&lt;&gt;"")*(실물목록!$O$2:$O$1001=H508))&gt;0,"실물 있음",IF(SUMPRODUCT((실물목록!$P$2:$P$1001&lt;&gt;"")*ISNUMBER(SEARCH(실물목록!$P$2:$P$1001,I508))*(실물목록!$R$2:$R$1001&lt;&gt;""))&gt;0,"확인필요(입력누락)",IF(SUMPRODUCT((실물목록!$P$2:$P$1001&lt;&gt;"")*ISNUMBER(SEARCH(실물목록!$P$2:$P$1001,I508))*(실물목록!$Q$2:$Q$1001&lt;&gt;"")*ISNUMBER(SEARCH(실물목록!$Q$2:$Q$1001,I508))*(실물목록!$R$2:$R$1001="")*(실물목록!$O$2:$O$1001&lt;&gt;""))&gt;0,"확인필요(연도다름)","실물 없음")))))</f>
      </c>
      <c r="G508" t="n" s="16">
        <f aca="0">IF(B508="","",SUMPRODUCT((실물목록!$P$2:$P$1001&lt;&gt;"")*ISNUMBER(SEARCH(실물목록!$P$2:$P$1001,I508))*(실물목록!$Q$2:$Q$1001&lt;&gt;"")*ISNUMBER(SEARCH(실물목록!$Q$2:$Q$1001,I508))*(실물목록!$R$2:$R$1001="")*(실물목록!$O$2:$O$1001&lt;&gt;"")*(실물목록!$O$2:$O$1001=H508)))</f>
      </c>
      <c r="H508" t="str">
        <f>IFERROR(IF(AND(LEN(SUBSTITUTE(SUBSTITUTE(SUBSTITUTE(TRIM(A508&amp;""),CHAR(160),"")," ",""),"년",""))=4,VALUE(SUBSTITUTE(SUBSTITUTE(SUBSTITUTE(TRIM(A508&amp;""),CHAR(160),"")," ",""),"년",""))&gt;=1900,VALUE(SUBSTITUTE(SUBSTITUTE(SUBSTITUTE(TRIM(A508&amp;""),CHAR(160),"")," ",""),"년",""))&lt;=2099,TEXT(VALUE(SUBSTITUTE(SUBSTITUTE(SUBSTITUTE(TRIM(A508&amp;""),CHAR(160),"")," ",""),"년","")),"0000")=SUBSTITUTE(SUBSTITUTE(SUBSTITUTE(TRIM(A508&amp;""),CHAR(160),"")," ",""),"년","")),SUBSTITUTE(SUBSTITUTE(SUBSTITUTE(TRIM(A508&amp;""),CHAR(160),"")," ",""),"년",""),""),"")</f>
      </c>
      <c r="I508" t="str">
        <f>SUBSTITUTE(SUBSTITUTE(SUBSTITUTE(SUBSTITUTE(SUBSTITUTE(TRIM(B508&amp;""),CHAR(160),"")," ",""),"초등학교","초"),"중학교","중"),"고등학교","고")</f>
      </c>
    </row>
    <row r="509" customFormat="false" ht="15" hidden="false" customHeight="false" outlineLevel="0" collapsed="false">
      <c r="A509" s="8"/>
      <c r="B509" s="8"/>
      <c r="C509" s="8"/>
      <c r="D509" s="8"/>
      <c r="E509" s="8"/>
      <c r="F509" t="str" s="15">
        <f aca="0">IF(B509="","",IF(H509="","확인필요(입력누락)",IF(SUMPRODUCT((실물목록!$P$2:$P$1001&lt;&gt;"")*ISNUMBER(SEARCH(실물목록!$P$2:$P$1001,I509))*(실물목록!$Q$2:$Q$1001&lt;&gt;"")*ISNUMBER(SEARCH(실물목록!$Q$2:$Q$1001,I509))*(실물목록!$R$2:$R$1001="")*(실물목록!$O$2:$O$1001&lt;&gt;"")*(실물목록!$O$2:$O$1001=H509))&gt;0,"실물 있음",IF(SUMPRODUCT((실물목록!$P$2:$P$1001&lt;&gt;"")*ISNUMBER(SEARCH(실물목록!$P$2:$P$1001,I509))*(실물목록!$R$2:$R$1001&lt;&gt;""))&gt;0,"확인필요(입력누락)",IF(SUMPRODUCT((실물목록!$P$2:$P$1001&lt;&gt;"")*ISNUMBER(SEARCH(실물목록!$P$2:$P$1001,I509))*(실물목록!$Q$2:$Q$1001&lt;&gt;"")*ISNUMBER(SEARCH(실물목록!$Q$2:$Q$1001,I509))*(실물목록!$R$2:$R$1001="")*(실물목록!$O$2:$O$1001&lt;&gt;""))&gt;0,"확인필요(연도다름)","실물 없음")))))</f>
      </c>
      <c r="G509" t="n" s="16">
        <f aca="0">IF(B509="","",SUMPRODUCT((실물목록!$P$2:$P$1001&lt;&gt;"")*ISNUMBER(SEARCH(실물목록!$P$2:$P$1001,I509))*(실물목록!$Q$2:$Q$1001&lt;&gt;"")*ISNUMBER(SEARCH(실물목록!$Q$2:$Q$1001,I509))*(실물목록!$R$2:$R$1001="")*(실물목록!$O$2:$O$1001&lt;&gt;"")*(실물목록!$O$2:$O$1001=H509)))</f>
      </c>
      <c r="H509" t="str">
        <f>IFERROR(IF(AND(LEN(SUBSTITUTE(SUBSTITUTE(SUBSTITUTE(TRIM(A509&amp;""),CHAR(160),"")," ",""),"년",""))=4,VALUE(SUBSTITUTE(SUBSTITUTE(SUBSTITUTE(TRIM(A509&amp;""),CHAR(160),"")," ",""),"년",""))&gt;=1900,VALUE(SUBSTITUTE(SUBSTITUTE(SUBSTITUTE(TRIM(A509&amp;""),CHAR(160),"")," ",""),"년",""))&lt;=2099,TEXT(VALUE(SUBSTITUTE(SUBSTITUTE(SUBSTITUTE(TRIM(A509&amp;""),CHAR(160),"")," ",""),"년","")),"0000")=SUBSTITUTE(SUBSTITUTE(SUBSTITUTE(TRIM(A509&amp;""),CHAR(160),"")," ",""),"년","")),SUBSTITUTE(SUBSTITUTE(SUBSTITUTE(TRIM(A509&amp;""),CHAR(160),"")," ",""),"년",""),""),"")</f>
      </c>
      <c r="I509" t="str">
        <f>SUBSTITUTE(SUBSTITUTE(SUBSTITUTE(SUBSTITUTE(SUBSTITUTE(TRIM(B509&amp;""),CHAR(160),"")," ",""),"초등학교","초"),"중학교","중"),"고등학교","고")</f>
      </c>
    </row>
    <row r="510" customFormat="false" ht="15" hidden="false" customHeight="false" outlineLevel="0" collapsed="false">
      <c r="A510" s="8"/>
      <c r="B510" s="8"/>
      <c r="C510" s="8"/>
      <c r="D510" s="8"/>
      <c r="E510" s="8"/>
      <c r="F510" t="str" s="15">
        <f aca="0">IF(B510="","",IF(H510="","확인필요(입력누락)",IF(SUMPRODUCT((실물목록!$P$2:$P$1001&lt;&gt;"")*ISNUMBER(SEARCH(실물목록!$P$2:$P$1001,I510))*(실물목록!$Q$2:$Q$1001&lt;&gt;"")*ISNUMBER(SEARCH(실물목록!$Q$2:$Q$1001,I510))*(실물목록!$R$2:$R$1001="")*(실물목록!$O$2:$O$1001&lt;&gt;"")*(실물목록!$O$2:$O$1001=H510))&gt;0,"실물 있음",IF(SUMPRODUCT((실물목록!$P$2:$P$1001&lt;&gt;"")*ISNUMBER(SEARCH(실물목록!$P$2:$P$1001,I510))*(실물목록!$R$2:$R$1001&lt;&gt;""))&gt;0,"확인필요(입력누락)",IF(SUMPRODUCT((실물목록!$P$2:$P$1001&lt;&gt;"")*ISNUMBER(SEARCH(실물목록!$P$2:$P$1001,I510))*(실물목록!$Q$2:$Q$1001&lt;&gt;"")*ISNUMBER(SEARCH(실물목록!$Q$2:$Q$1001,I510))*(실물목록!$R$2:$R$1001="")*(실물목록!$O$2:$O$1001&lt;&gt;""))&gt;0,"확인필요(연도다름)","실물 없음")))))</f>
      </c>
      <c r="G510" t="n" s="16">
        <f aca="0">IF(B510="","",SUMPRODUCT((실물목록!$P$2:$P$1001&lt;&gt;"")*ISNUMBER(SEARCH(실물목록!$P$2:$P$1001,I510))*(실물목록!$Q$2:$Q$1001&lt;&gt;"")*ISNUMBER(SEARCH(실물목록!$Q$2:$Q$1001,I510))*(실물목록!$R$2:$R$1001="")*(실물목록!$O$2:$O$1001&lt;&gt;"")*(실물목록!$O$2:$O$1001=H510)))</f>
      </c>
      <c r="H510" t="str">
        <f>IFERROR(IF(AND(LEN(SUBSTITUTE(SUBSTITUTE(SUBSTITUTE(TRIM(A510&amp;""),CHAR(160),"")," ",""),"년",""))=4,VALUE(SUBSTITUTE(SUBSTITUTE(SUBSTITUTE(TRIM(A510&amp;""),CHAR(160),"")," ",""),"년",""))&gt;=1900,VALUE(SUBSTITUTE(SUBSTITUTE(SUBSTITUTE(TRIM(A510&amp;""),CHAR(160),"")," ",""),"년",""))&lt;=2099,TEXT(VALUE(SUBSTITUTE(SUBSTITUTE(SUBSTITUTE(TRIM(A510&amp;""),CHAR(160),"")," ",""),"년","")),"0000")=SUBSTITUTE(SUBSTITUTE(SUBSTITUTE(TRIM(A510&amp;""),CHAR(160),"")," ",""),"년","")),SUBSTITUTE(SUBSTITUTE(SUBSTITUTE(TRIM(A510&amp;""),CHAR(160),"")," ",""),"년",""),""),"")</f>
      </c>
      <c r="I510" t="str">
        <f>SUBSTITUTE(SUBSTITUTE(SUBSTITUTE(SUBSTITUTE(SUBSTITUTE(TRIM(B510&amp;""),CHAR(160),"")," ",""),"초등학교","초"),"중학교","중"),"고등학교","고")</f>
      </c>
    </row>
    <row r="511" customFormat="false" ht="15" hidden="false" customHeight="false" outlineLevel="0" collapsed="false">
      <c r="A511" s="8"/>
      <c r="B511" s="8"/>
      <c r="C511" s="8"/>
      <c r="D511" s="8"/>
      <c r="E511" s="8"/>
      <c r="F511" t="str" s="15">
        <f aca="0">IF(B511="","",IF(H511="","확인필요(입력누락)",IF(SUMPRODUCT((실물목록!$P$2:$P$1001&lt;&gt;"")*ISNUMBER(SEARCH(실물목록!$P$2:$P$1001,I511))*(실물목록!$Q$2:$Q$1001&lt;&gt;"")*ISNUMBER(SEARCH(실물목록!$Q$2:$Q$1001,I511))*(실물목록!$R$2:$R$1001="")*(실물목록!$O$2:$O$1001&lt;&gt;"")*(실물목록!$O$2:$O$1001=H511))&gt;0,"실물 있음",IF(SUMPRODUCT((실물목록!$P$2:$P$1001&lt;&gt;"")*ISNUMBER(SEARCH(실물목록!$P$2:$P$1001,I511))*(실물목록!$R$2:$R$1001&lt;&gt;""))&gt;0,"확인필요(입력누락)",IF(SUMPRODUCT((실물목록!$P$2:$P$1001&lt;&gt;"")*ISNUMBER(SEARCH(실물목록!$P$2:$P$1001,I511))*(실물목록!$Q$2:$Q$1001&lt;&gt;"")*ISNUMBER(SEARCH(실물목록!$Q$2:$Q$1001,I511))*(실물목록!$R$2:$R$1001="")*(실물목록!$O$2:$O$1001&lt;&gt;""))&gt;0,"확인필요(연도다름)","실물 없음")))))</f>
      </c>
      <c r="G511" t="n" s="16">
        <f aca="0">IF(B511="","",SUMPRODUCT((실물목록!$P$2:$P$1001&lt;&gt;"")*ISNUMBER(SEARCH(실물목록!$P$2:$P$1001,I511))*(실물목록!$Q$2:$Q$1001&lt;&gt;"")*ISNUMBER(SEARCH(실물목록!$Q$2:$Q$1001,I511))*(실물목록!$R$2:$R$1001="")*(실물목록!$O$2:$O$1001&lt;&gt;"")*(실물목록!$O$2:$O$1001=H511)))</f>
      </c>
      <c r="H511" t="str">
        <f>IFERROR(IF(AND(LEN(SUBSTITUTE(SUBSTITUTE(SUBSTITUTE(TRIM(A511&amp;""),CHAR(160),"")," ",""),"년",""))=4,VALUE(SUBSTITUTE(SUBSTITUTE(SUBSTITUTE(TRIM(A511&amp;""),CHAR(160),"")," ",""),"년",""))&gt;=1900,VALUE(SUBSTITUTE(SUBSTITUTE(SUBSTITUTE(TRIM(A511&amp;""),CHAR(160),"")," ",""),"년",""))&lt;=2099,TEXT(VALUE(SUBSTITUTE(SUBSTITUTE(SUBSTITUTE(TRIM(A511&amp;""),CHAR(160),"")," ",""),"년","")),"0000")=SUBSTITUTE(SUBSTITUTE(SUBSTITUTE(TRIM(A511&amp;""),CHAR(160),"")," ",""),"년","")),SUBSTITUTE(SUBSTITUTE(SUBSTITUTE(TRIM(A511&amp;""),CHAR(160),"")," ",""),"년",""),""),"")</f>
      </c>
      <c r="I511" t="str">
        <f>SUBSTITUTE(SUBSTITUTE(SUBSTITUTE(SUBSTITUTE(SUBSTITUTE(TRIM(B511&amp;""),CHAR(160),"")," ",""),"초등학교","초"),"중학교","중"),"고등학교","고")</f>
      </c>
    </row>
    <row r="512" customFormat="false" ht="15" hidden="false" customHeight="false" outlineLevel="0" collapsed="false">
      <c r="A512" s="8"/>
      <c r="B512" s="8"/>
      <c r="C512" s="8"/>
      <c r="D512" s="8"/>
      <c r="E512" s="8"/>
      <c r="F512" t="str" s="15">
        <f aca="0">IF(B512="","",IF(H512="","확인필요(입력누락)",IF(SUMPRODUCT((실물목록!$P$2:$P$1001&lt;&gt;"")*ISNUMBER(SEARCH(실물목록!$P$2:$P$1001,I512))*(실물목록!$Q$2:$Q$1001&lt;&gt;"")*ISNUMBER(SEARCH(실물목록!$Q$2:$Q$1001,I512))*(실물목록!$R$2:$R$1001="")*(실물목록!$O$2:$O$1001&lt;&gt;"")*(실물목록!$O$2:$O$1001=H512))&gt;0,"실물 있음",IF(SUMPRODUCT((실물목록!$P$2:$P$1001&lt;&gt;"")*ISNUMBER(SEARCH(실물목록!$P$2:$P$1001,I512))*(실물목록!$R$2:$R$1001&lt;&gt;""))&gt;0,"확인필요(입력누락)",IF(SUMPRODUCT((실물목록!$P$2:$P$1001&lt;&gt;"")*ISNUMBER(SEARCH(실물목록!$P$2:$P$1001,I512))*(실물목록!$Q$2:$Q$1001&lt;&gt;"")*ISNUMBER(SEARCH(실물목록!$Q$2:$Q$1001,I512))*(실물목록!$R$2:$R$1001="")*(실물목록!$O$2:$O$1001&lt;&gt;""))&gt;0,"확인필요(연도다름)","실물 없음")))))</f>
      </c>
      <c r="G512" t="n" s="16">
        <f aca="0">IF(B512="","",SUMPRODUCT((실물목록!$P$2:$P$1001&lt;&gt;"")*ISNUMBER(SEARCH(실물목록!$P$2:$P$1001,I512))*(실물목록!$Q$2:$Q$1001&lt;&gt;"")*ISNUMBER(SEARCH(실물목록!$Q$2:$Q$1001,I512))*(실물목록!$R$2:$R$1001="")*(실물목록!$O$2:$O$1001&lt;&gt;"")*(실물목록!$O$2:$O$1001=H512)))</f>
      </c>
      <c r="H512" t="str">
        <f>IFERROR(IF(AND(LEN(SUBSTITUTE(SUBSTITUTE(SUBSTITUTE(TRIM(A512&amp;""),CHAR(160),"")," ",""),"년",""))=4,VALUE(SUBSTITUTE(SUBSTITUTE(SUBSTITUTE(TRIM(A512&amp;""),CHAR(160),"")," ",""),"년",""))&gt;=1900,VALUE(SUBSTITUTE(SUBSTITUTE(SUBSTITUTE(TRIM(A512&amp;""),CHAR(160),"")," ",""),"년",""))&lt;=2099,TEXT(VALUE(SUBSTITUTE(SUBSTITUTE(SUBSTITUTE(TRIM(A512&amp;""),CHAR(160),"")," ",""),"년","")),"0000")=SUBSTITUTE(SUBSTITUTE(SUBSTITUTE(TRIM(A512&amp;""),CHAR(160),"")," ",""),"년","")),SUBSTITUTE(SUBSTITUTE(SUBSTITUTE(TRIM(A512&amp;""),CHAR(160),"")," ",""),"년",""),""),"")</f>
      </c>
      <c r="I512" t="str">
        <f>SUBSTITUTE(SUBSTITUTE(SUBSTITUTE(SUBSTITUTE(SUBSTITUTE(TRIM(B512&amp;""),CHAR(160),"")," ",""),"초등학교","초"),"중학교","중"),"고등학교","고")</f>
      </c>
    </row>
    <row r="513" customFormat="false" ht="15" hidden="false" customHeight="false" outlineLevel="0" collapsed="false">
      <c r="A513" s="8"/>
      <c r="B513" s="8"/>
      <c r="C513" s="8"/>
      <c r="D513" s="8"/>
      <c r="E513" s="8"/>
      <c r="F513" t="str" s="15">
        <f aca="0">IF(B513="","",IF(H513="","확인필요(입력누락)",IF(SUMPRODUCT((실물목록!$P$2:$P$1001&lt;&gt;"")*ISNUMBER(SEARCH(실물목록!$P$2:$P$1001,I513))*(실물목록!$Q$2:$Q$1001&lt;&gt;"")*ISNUMBER(SEARCH(실물목록!$Q$2:$Q$1001,I513))*(실물목록!$R$2:$R$1001="")*(실물목록!$O$2:$O$1001&lt;&gt;"")*(실물목록!$O$2:$O$1001=H513))&gt;0,"실물 있음",IF(SUMPRODUCT((실물목록!$P$2:$P$1001&lt;&gt;"")*ISNUMBER(SEARCH(실물목록!$P$2:$P$1001,I513))*(실물목록!$R$2:$R$1001&lt;&gt;""))&gt;0,"확인필요(입력누락)",IF(SUMPRODUCT((실물목록!$P$2:$P$1001&lt;&gt;"")*ISNUMBER(SEARCH(실물목록!$P$2:$P$1001,I513))*(실물목록!$Q$2:$Q$1001&lt;&gt;"")*ISNUMBER(SEARCH(실물목록!$Q$2:$Q$1001,I513))*(실물목록!$R$2:$R$1001="")*(실물목록!$O$2:$O$1001&lt;&gt;""))&gt;0,"확인필요(연도다름)","실물 없음")))))</f>
      </c>
      <c r="G513" t="n" s="16">
        <f aca="0">IF(B513="","",SUMPRODUCT((실물목록!$P$2:$P$1001&lt;&gt;"")*ISNUMBER(SEARCH(실물목록!$P$2:$P$1001,I513))*(실물목록!$Q$2:$Q$1001&lt;&gt;"")*ISNUMBER(SEARCH(실물목록!$Q$2:$Q$1001,I513))*(실물목록!$R$2:$R$1001="")*(실물목록!$O$2:$O$1001&lt;&gt;"")*(실물목록!$O$2:$O$1001=H513)))</f>
      </c>
      <c r="H513" t="str">
        <f>IFERROR(IF(AND(LEN(SUBSTITUTE(SUBSTITUTE(SUBSTITUTE(TRIM(A513&amp;""),CHAR(160),"")," ",""),"년",""))=4,VALUE(SUBSTITUTE(SUBSTITUTE(SUBSTITUTE(TRIM(A513&amp;""),CHAR(160),"")," ",""),"년",""))&gt;=1900,VALUE(SUBSTITUTE(SUBSTITUTE(SUBSTITUTE(TRIM(A513&amp;""),CHAR(160),"")," ",""),"년",""))&lt;=2099,TEXT(VALUE(SUBSTITUTE(SUBSTITUTE(SUBSTITUTE(TRIM(A513&amp;""),CHAR(160),"")," ",""),"년","")),"0000")=SUBSTITUTE(SUBSTITUTE(SUBSTITUTE(TRIM(A513&amp;""),CHAR(160),"")," ",""),"년","")),SUBSTITUTE(SUBSTITUTE(SUBSTITUTE(TRIM(A513&amp;""),CHAR(160),"")," ",""),"년",""),""),"")</f>
      </c>
      <c r="I513" t="str">
        <f>SUBSTITUTE(SUBSTITUTE(SUBSTITUTE(SUBSTITUTE(SUBSTITUTE(TRIM(B513&amp;""),CHAR(160),"")," ",""),"초등학교","초"),"중학교","중"),"고등학교","고")</f>
      </c>
    </row>
    <row r="514" customFormat="false" ht="15" hidden="false" customHeight="false" outlineLevel="0" collapsed="false">
      <c r="A514" s="8"/>
      <c r="B514" s="8"/>
      <c r="C514" s="8"/>
      <c r="D514" s="8"/>
      <c r="E514" s="8"/>
      <c r="F514" t="str" s="15">
        <f aca="0">IF(B514="","",IF(H514="","확인필요(입력누락)",IF(SUMPRODUCT((실물목록!$P$2:$P$1001&lt;&gt;"")*ISNUMBER(SEARCH(실물목록!$P$2:$P$1001,I514))*(실물목록!$Q$2:$Q$1001&lt;&gt;"")*ISNUMBER(SEARCH(실물목록!$Q$2:$Q$1001,I514))*(실물목록!$R$2:$R$1001="")*(실물목록!$O$2:$O$1001&lt;&gt;"")*(실물목록!$O$2:$O$1001=H514))&gt;0,"실물 있음",IF(SUMPRODUCT((실물목록!$P$2:$P$1001&lt;&gt;"")*ISNUMBER(SEARCH(실물목록!$P$2:$P$1001,I514))*(실물목록!$R$2:$R$1001&lt;&gt;""))&gt;0,"확인필요(입력누락)",IF(SUMPRODUCT((실물목록!$P$2:$P$1001&lt;&gt;"")*ISNUMBER(SEARCH(실물목록!$P$2:$P$1001,I514))*(실물목록!$Q$2:$Q$1001&lt;&gt;"")*ISNUMBER(SEARCH(실물목록!$Q$2:$Q$1001,I514))*(실물목록!$R$2:$R$1001="")*(실물목록!$O$2:$O$1001&lt;&gt;""))&gt;0,"확인필요(연도다름)","실물 없음")))))</f>
      </c>
      <c r="G514" t="n" s="16">
        <f aca="0">IF(B514="","",SUMPRODUCT((실물목록!$P$2:$P$1001&lt;&gt;"")*ISNUMBER(SEARCH(실물목록!$P$2:$P$1001,I514))*(실물목록!$Q$2:$Q$1001&lt;&gt;"")*ISNUMBER(SEARCH(실물목록!$Q$2:$Q$1001,I514))*(실물목록!$R$2:$R$1001="")*(실물목록!$O$2:$O$1001&lt;&gt;"")*(실물목록!$O$2:$O$1001=H514)))</f>
      </c>
      <c r="H514" t="str">
        <f>IFERROR(IF(AND(LEN(SUBSTITUTE(SUBSTITUTE(SUBSTITUTE(TRIM(A514&amp;""),CHAR(160),"")," ",""),"년",""))=4,VALUE(SUBSTITUTE(SUBSTITUTE(SUBSTITUTE(TRIM(A514&amp;""),CHAR(160),"")," ",""),"년",""))&gt;=1900,VALUE(SUBSTITUTE(SUBSTITUTE(SUBSTITUTE(TRIM(A514&amp;""),CHAR(160),"")," ",""),"년",""))&lt;=2099,TEXT(VALUE(SUBSTITUTE(SUBSTITUTE(SUBSTITUTE(TRIM(A514&amp;""),CHAR(160),"")," ",""),"년","")),"0000")=SUBSTITUTE(SUBSTITUTE(SUBSTITUTE(TRIM(A514&amp;""),CHAR(160),"")," ",""),"년","")),SUBSTITUTE(SUBSTITUTE(SUBSTITUTE(TRIM(A514&amp;""),CHAR(160),"")," ",""),"년",""),""),"")</f>
      </c>
      <c r="I514" t="str">
        <f>SUBSTITUTE(SUBSTITUTE(SUBSTITUTE(SUBSTITUTE(SUBSTITUTE(TRIM(B514&amp;""),CHAR(160),"")," ",""),"초등학교","초"),"중학교","중"),"고등학교","고")</f>
      </c>
    </row>
    <row r="515" customFormat="false" ht="15" hidden="false" customHeight="false" outlineLevel="0" collapsed="false">
      <c r="A515" s="8"/>
      <c r="B515" s="8"/>
      <c r="C515" s="8"/>
      <c r="D515" s="8"/>
      <c r="E515" s="8"/>
      <c r="F515" t="str" s="15">
        <f aca="0">IF(B515="","",IF(H515="","확인필요(입력누락)",IF(SUMPRODUCT((실물목록!$P$2:$P$1001&lt;&gt;"")*ISNUMBER(SEARCH(실물목록!$P$2:$P$1001,I515))*(실물목록!$Q$2:$Q$1001&lt;&gt;"")*ISNUMBER(SEARCH(실물목록!$Q$2:$Q$1001,I515))*(실물목록!$R$2:$R$1001="")*(실물목록!$O$2:$O$1001&lt;&gt;"")*(실물목록!$O$2:$O$1001=H515))&gt;0,"실물 있음",IF(SUMPRODUCT((실물목록!$P$2:$P$1001&lt;&gt;"")*ISNUMBER(SEARCH(실물목록!$P$2:$P$1001,I515))*(실물목록!$R$2:$R$1001&lt;&gt;""))&gt;0,"확인필요(입력누락)",IF(SUMPRODUCT((실물목록!$P$2:$P$1001&lt;&gt;"")*ISNUMBER(SEARCH(실물목록!$P$2:$P$1001,I515))*(실물목록!$Q$2:$Q$1001&lt;&gt;"")*ISNUMBER(SEARCH(실물목록!$Q$2:$Q$1001,I515))*(실물목록!$R$2:$R$1001="")*(실물목록!$O$2:$O$1001&lt;&gt;""))&gt;0,"확인필요(연도다름)","실물 없음")))))</f>
      </c>
      <c r="G515" t="n" s="16">
        <f aca="0">IF(B515="","",SUMPRODUCT((실물목록!$P$2:$P$1001&lt;&gt;"")*ISNUMBER(SEARCH(실물목록!$P$2:$P$1001,I515))*(실물목록!$Q$2:$Q$1001&lt;&gt;"")*ISNUMBER(SEARCH(실물목록!$Q$2:$Q$1001,I515))*(실물목록!$R$2:$R$1001="")*(실물목록!$O$2:$O$1001&lt;&gt;"")*(실물목록!$O$2:$O$1001=H515)))</f>
      </c>
      <c r="H515" t="str">
        <f>IFERROR(IF(AND(LEN(SUBSTITUTE(SUBSTITUTE(SUBSTITUTE(TRIM(A515&amp;""),CHAR(160),"")," ",""),"년",""))=4,VALUE(SUBSTITUTE(SUBSTITUTE(SUBSTITUTE(TRIM(A515&amp;""),CHAR(160),"")," ",""),"년",""))&gt;=1900,VALUE(SUBSTITUTE(SUBSTITUTE(SUBSTITUTE(TRIM(A515&amp;""),CHAR(160),"")," ",""),"년",""))&lt;=2099,TEXT(VALUE(SUBSTITUTE(SUBSTITUTE(SUBSTITUTE(TRIM(A515&amp;""),CHAR(160),"")," ",""),"년","")),"0000")=SUBSTITUTE(SUBSTITUTE(SUBSTITUTE(TRIM(A515&amp;""),CHAR(160),"")," ",""),"년","")),SUBSTITUTE(SUBSTITUTE(SUBSTITUTE(TRIM(A515&amp;""),CHAR(160),"")," ",""),"년",""),""),"")</f>
      </c>
      <c r="I515" t="str">
        <f>SUBSTITUTE(SUBSTITUTE(SUBSTITUTE(SUBSTITUTE(SUBSTITUTE(TRIM(B515&amp;""),CHAR(160),"")," ",""),"초등학교","초"),"중학교","중"),"고등학교","고")</f>
      </c>
    </row>
    <row r="516" customFormat="false" ht="15" hidden="false" customHeight="false" outlineLevel="0" collapsed="false">
      <c r="A516" s="8"/>
      <c r="B516" s="8"/>
      <c r="C516" s="8"/>
      <c r="D516" s="8"/>
      <c r="E516" s="8"/>
      <c r="F516" t="str" s="15">
        <f aca="0">IF(B516="","",IF(H516="","확인필요(입력누락)",IF(SUMPRODUCT((실물목록!$P$2:$P$1001&lt;&gt;"")*ISNUMBER(SEARCH(실물목록!$P$2:$P$1001,I516))*(실물목록!$Q$2:$Q$1001&lt;&gt;"")*ISNUMBER(SEARCH(실물목록!$Q$2:$Q$1001,I516))*(실물목록!$R$2:$R$1001="")*(실물목록!$O$2:$O$1001&lt;&gt;"")*(실물목록!$O$2:$O$1001=H516))&gt;0,"실물 있음",IF(SUMPRODUCT((실물목록!$P$2:$P$1001&lt;&gt;"")*ISNUMBER(SEARCH(실물목록!$P$2:$P$1001,I516))*(실물목록!$R$2:$R$1001&lt;&gt;""))&gt;0,"확인필요(입력누락)",IF(SUMPRODUCT((실물목록!$P$2:$P$1001&lt;&gt;"")*ISNUMBER(SEARCH(실물목록!$P$2:$P$1001,I516))*(실물목록!$Q$2:$Q$1001&lt;&gt;"")*ISNUMBER(SEARCH(실물목록!$Q$2:$Q$1001,I516))*(실물목록!$R$2:$R$1001="")*(실물목록!$O$2:$O$1001&lt;&gt;""))&gt;0,"확인필요(연도다름)","실물 없음")))))</f>
      </c>
      <c r="G516" t="n" s="16">
        <f aca="0">IF(B516="","",SUMPRODUCT((실물목록!$P$2:$P$1001&lt;&gt;"")*ISNUMBER(SEARCH(실물목록!$P$2:$P$1001,I516))*(실물목록!$Q$2:$Q$1001&lt;&gt;"")*ISNUMBER(SEARCH(실물목록!$Q$2:$Q$1001,I516))*(실물목록!$R$2:$R$1001="")*(실물목록!$O$2:$O$1001&lt;&gt;"")*(실물목록!$O$2:$O$1001=H516)))</f>
      </c>
      <c r="H516" t="str">
        <f>IFERROR(IF(AND(LEN(SUBSTITUTE(SUBSTITUTE(SUBSTITUTE(TRIM(A516&amp;""),CHAR(160),"")," ",""),"년",""))=4,VALUE(SUBSTITUTE(SUBSTITUTE(SUBSTITUTE(TRIM(A516&amp;""),CHAR(160),"")," ",""),"년",""))&gt;=1900,VALUE(SUBSTITUTE(SUBSTITUTE(SUBSTITUTE(TRIM(A516&amp;""),CHAR(160),"")," ",""),"년",""))&lt;=2099,TEXT(VALUE(SUBSTITUTE(SUBSTITUTE(SUBSTITUTE(TRIM(A516&amp;""),CHAR(160),"")," ",""),"년","")),"0000")=SUBSTITUTE(SUBSTITUTE(SUBSTITUTE(TRIM(A516&amp;""),CHAR(160),"")," ",""),"년","")),SUBSTITUTE(SUBSTITUTE(SUBSTITUTE(TRIM(A516&amp;""),CHAR(160),"")," ",""),"년",""),""),"")</f>
      </c>
      <c r="I516" t="str">
        <f>SUBSTITUTE(SUBSTITUTE(SUBSTITUTE(SUBSTITUTE(SUBSTITUTE(TRIM(B516&amp;""),CHAR(160),"")," ",""),"초등학교","초"),"중학교","중"),"고등학교","고")</f>
      </c>
    </row>
    <row r="517" customFormat="false" ht="15" hidden="false" customHeight="false" outlineLevel="0" collapsed="false">
      <c r="A517" s="8"/>
      <c r="B517" s="8"/>
      <c r="C517" s="8"/>
      <c r="D517" s="8"/>
      <c r="E517" s="8"/>
      <c r="F517" t="str" s="15">
        <f aca="0">IF(B517="","",IF(H517="","확인필요(입력누락)",IF(SUMPRODUCT((실물목록!$P$2:$P$1001&lt;&gt;"")*ISNUMBER(SEARCH(실물목록!$P$2:$P$1001,I517))*(실물목록!$Q$2:$Q$1001&lt;&gt;"")*ISNUMBER(SEARCH(실물목록!$Q$2:$Q$1001,I517))*(실물목록!$R$2:$R$1001="")*(실물목록!$O$2:$O$1001&lt;&gt;"")*(실물목록!$O$2:$O$1001=H517))&gt;0,"실물 있음",IF(SUMPRODUCT((실물목록!$P$2:$P$1001&lt;&gt;"")*ISNUMBER(SEARCH(실물목록!$P$2:$P$1001,I517))*(실물목록!$R$2:$R$1001&lt;&gt;""))&gt;0,"확인필요(입력누락)",IF(SUMPRODUCT((실물목록!$P$2:$P$1001&lt;&gt;"")*ISNUMBER(SEARCH(실물목록!$P$2:$P$1001,I517))*(실물목록!$Q$2:$Q$1001&lt;&gt;"")*ISNUMBER(SEARCH(실물목록!$Q$2:$Q$1001,I517))*(실물목록!$R$2:$R$1001="")*(실물목록!$O$2:$O$1001&lt;&gt;""))&gt;0,"확인필요(연도다름)","실물 없음")))))</f>
      </c>
      <c r="G517" t="n" s="16">
        <f aca="0">IF(B517="","",SUMPRODUCT((실물목록!$P$2:$P$1001&lt;&gt;"")*ISNUMBER(SEARCH(실물목록!$P$2:$P$1001,I517))*(실물목록!$Q$2:$Q$1001&lt;&gt;"")*ISNUMBER(SEARCH(실물목록!$Q$2:$Q$1001,I517))*(실물목록!$R$2:$R$1001="")*(실물목록!$O$2:$O$1001&lt;&gt;"")*(실물목록!$O$2:$O$1001=H517)))</f>
      </c>
      <c r="H517" t="str">
        <f>IFERROR(IF(AND(LEN(SUBSTITUTE(SUBSTITUTE(SUBSTITUTE(TRIM(A517&amp;""),CHAR(160),"")," ",""),"년",""))=4,VALUE(SUBSTITUTE(SUBSTITUTE(SUBSTITUTE(TRIM(A517&amp;""),CHAR(160),"")," ",""),"년",""))&gt;=1900,VALUE(SUBSTITUTE(SUBSTITUTE(SUBSTITUTE(TRIM(A517&amp;""),CHAR(160),"")," ",""),"년",""))&lt;=2099,TEXT(VALUE(SUBSTITUTE(SUBSTITUTE(SUBSTITUTE(TRIM(A517&amp;""),CHAR(160),"")," ",""),"년","")),"0000")=SUBSTITUTE(SUBSTITUTE(SUBSTITUTE(TRIM(A517&amp;""),CHAR(160),"")," ",""),"년","")),SUBSTITUTE(SUBSTITUTE(SUBSTITUTE(TRIM(A517&amp;""),CHAR(160),"")," ",""),"년",""),""),"")</f>
      </c>
      <c r="I517" t="str">
        <f>SUBSTITUTE(SUBSTITUTE(SUBSTITUTE(SUBSTITUTE(SUBSTITUTE(TRIM(B517&amp;""),CHAR(160),"")," ",""),"초등학교","초"),"중학교","중"),"고등학교","고")</f>
      </c>
    </row>
    <row r="518" customFormat="false" ht="15" hidden="false" customHeight="false" outlineLevel="0" collapsed="false">
      <c r="A518" s="8"/>
      <c r="B518" s="8"/>
      <c r="C518" s="8"/>
      <c r="D518" s="8"/>
      <c r="E518" s="8"/>
      <c r="F518" t="str" s="15">
        <f aca="0">IF(B518="","",IF(H518="","확인필요(입력누락)",IF(SUMPRODUCT((실물목록!$P$2:$P$1001&lt;&gt;"")*ISNUMBER(SEARCH(실물목록!$P$2:$P$1001,I518))*(실물목록!$Q$2:$Q$1001&lt;&gt;"")*ISNUMBER(SEARCH(실물목록!$Q$2:$Q$1001,I518))*(실물목록!$R$2:$R$1001="")*(실물목록!$O$2:$O$1001&lt;&gt;"")*(실물목록!$O$2:$O$1001=H518))&gt;0,"실물 있음",IF(SUMPRODUCT((실물목록!$P$2:$P$1001&lt;&gt;"")*ISNUMBER(SEARCH(실물목록!$P$2:$P$1001,I518))*(실물목록!$R$2:$R$1001&lt;&gt;""))&gt;0,"확인필요(입력누락)",IF(SUMPRODUCT((실물목록!$P$2:$P$1001&lt;&gt;"")*ISNUMBER(SEARCH(실물목록!$P$2:$P$1001,I518))*(실물목록!$Q$2:$Q$1001&lt;&gt;"")*ISNUMBER(SEARCH(실물목록!$Q$2:$Q$1001,I518))*(실물목록!$R$2:$R$1001="")*(실물목록!$O$2:$O$1001&lt;&gt;""))&gt;0,"확인필요(연도다름)","실물 없음")))))</f>
      </c>
      <c r="G518" t="n" s="16">
        <f aca="0">IF(B518="","",SUMPRODUCT((실물목록!$P$2:$P$1001&lt;&gt;"")*ISNUMBER(SEARCH(실물목록!$P$2:$P$1001,I518))*(실물목록!$Q$2:$Q$1001&lt;&gt;"")*ISNUMBER(SEARCH(실물목록!$Q$2:$Q$1001,I518))*(실물목록!$R$2:$R$1001="")*(실물목록!$O$2:$O$1001&lt;&gt;"")*(실물목록!$O$2:$O$1001=H518)))</f>
      </c>
      <c r="H518" t="str">
        <f>IFERROR(IF(AND(LEN(SUBSTITUTE(SUBSTITUTE(SUBSTITUTE(TRIM(A518&amp;""),CHAR(160),"")," ",""),"년",""))=4,VALUE(SUBSTITUTE(SUBSTITUTE(SUBSTITUTE(TRIM(A518&amp;""),CHAR(160),"")," ",""),"년",""))&gt;=1900,VALUE(SUBSTITUTE(SUBSTITUTE(SUBSTITUTE(TRIM(A518&amp;""),CHAR(160),"")," ",""),"년",""))&lt;=2099,TEXT(VALUE(SUBSTITUTE(SUBSTITUTE(SUBSTITUTE(TRIM(A518&amp;""),CHAR(160),"")," ",""),"년","")),"0000")=SUBSTITUTE(SUBSTITUTE(SUBSTITUTE(TRIM(A518&amp;""),CHAR(160),"")," ",""),"년","")),SUBSTITUTE(SUBSTITUTE(SUBSTITUTE(TRIM(A518&amp;""),CHAR(160),"")," ",""),"년",""),""),"")</f>
      </c>
      <c r="I518" t="str">
        <f>SUBSTITUTE(SUBSTITUTE(SUBSTITUTE(SUBSTITUTE(SUBSTITUTE(TRIM(B518&amp;""),CHAR(160),"")," ",""),"초등학교","초"),"중학교","중"),"고등학교","고")</f>
      </c>
    </row>
    <row r="519" customFormat="false" ht="15" hidden="false" customHeight="false" outlineLevel="0" collapsed="false">
      <c r="A519" s="8"/>
      <c r="B519" s="8"/>
      <c r="C519" s="8"/>
      <c r="D519" s="8"/>
      <c r="E519" s="8"/>
      <c r="F519" t="str" s="15">
        <f aca="0">IF(B519="","",IF(H519="","확인필요(입력누락)",IF(SUMPRODUCT((실물목록!$P$2:$P$1001&lt;&gt;"")*ISNUMBER(SEARCH(실물목록!$P$2:$P$1001,I519))*(실물목록!$Q$2:$Q$1001&lt;&gt;"")*ISNUMBER(SEARCH(실물목록!$Q$2:$Q$1001,I519))*(실물목록!$R$2:$R$1001="")*(실물목록!$O$2:$O$1001&lt;&gt;"")*(실물목록!$O$2:$O$1001=H519))&gt;0,"실물 있음",IF(SUMPRODUCT((실물목록!$P$2:$P$1001&lt;&gt;"")*ISNUMBER(SEARCH(실물목록!$P$2:$P$1001,I519))*(실물목록!$R$2:$R$1001&lt;&gt;""))&gt;0,"확인필요(입력누락)",IF(SUMPRODUCT((실물목록!$P$2:$P$1001&lt;&gt;"")*ISNUMBER(SEARCH(실물목록!$P$2:$P$1001,I519))*(실물목록!$Q$2:$Q$1001&lt;&gt;"")*ISNUMBER(SEARCH(실물목록!$Q$2:$Q$1001,I519))*(실물목록!$R$2:$R$1001="")*(실물목록!$O$2:$O$1001&lt;&gt;""))&gt;0,"확인필요(연도다름)","실물 없음")))))</f>
      </c>
      <c r="G519" t="n" s="16">
        <f aca="0">IF(B519="","",SUMPRODUCT((실물목록!$P$2:$P$1001&lt;&gt;"")*ISNUMBER(SEARCH(실물목록!$P$2:$P$1001,I519))*(실물목록!$Q$2:$Q$1001&lt;&gt;"")*ISNUMBER(SEARCH(실물목록!$Q$2:$Q$1001,I519))*(실물목록!$R$2:$R$1001="")*(실물목록!$O$2:$O$1001&lt;&gt;"")*(실물목록!$O$2:$O$1001=H519)))</f>
      </c>
      <c r="H519" t="str">
        <f>IFERROR(IF(AND(LEN(SUBSTITUTE(SUBSTITUTE(SUBSTITUTE(TRIM(A519&amp;""),CHAR(160),"")," ",""),"년",""))=4,VALUE(SUBSTITUTE(SUBSTITUTE(SUBSTITUTE(TRIM(A519&amp;""),CHAR(160),"")," ",""),"년",""))&gt;=1900,VALUE(SUBSTITUTE(SUBSTITUTE(SUBSTITUTE(TRIM(A519&amp;""),CHAR(160),"")," ",""),"년",""))&lt;=2099,TEXT(VALUE(SUBSTITUTE(SUBSTITUTE(SUBSTITUTE(TRIM(A519&amp;""),CHAR(160),"")," ",""),"년","")),"0000")=SUBSTITUTE(SUBSTITUTE(SUBSTITUTE(TRIM(A519&amp;""),CHAR(160),"")," ",""),"년","")),SUBSTITUTE(SUBSTITUTE(SUBSTITUTE(TRIM(A519&amp;""),CHAR(160),"")," ",""),"년",""),""),"")</f>
      </c>
      <c r="I519" t="str">
        <f>SUBSTITUTE(SUBSTITUTE(SUBSTITUTE(SUBSTITUTE(SUBSTITUTE(TRIM(B519&amp;""),CHAR(160),"")," ",""),"초등학교","초"),"중학교","중"),"고등학교","고")</f>
      </c>
    </row>
    <row r="520" customFormat="false" ht="15" hidden="false" customHeight="false" outlineLevel="0" collapsed="false">
      <c r="A520" s="8"/>
      <c r="B520" s="8"/>
      <c r="C520" s="8"/>
      <c r="D520" s="8"/>
      <c r="E520" s="8"/>
      <c r="F520" t="str" s="15">
        <f aca="0">IF(B520="","",IF(H520="","확인필요(입력누락)",IF(SUMPRODUCT((실물목록!$P$2:$P$1001&lt;&gt;"")*ISNUMBER(SEARCH(실물목록!$P$2:$P$1001,I520))*(실물목록!$Q$2:$Q$1001&lt;&gt;"")*ISNUMBER(SEARCH(실물목록!$Q$2:$Q$1001,I520))*(실물목록!$R$2:$R$1001="")*(실물목록!$O$2:$O$1001&lt;&gt;"")*(실물목록!$O$2:$O$1001=H520))&gt;0,"실물 있음",IF(SUMPRODUCT((실물목록!$P$2:$P$1001&lt;&gt;"")*ISNUMBER(SEARCH(실물목록!$P$2:$P$1001,I520))*(실물목록!$R$2:$R$1001&lt;&gt;""))&gt;0,"확인필요(입력누락)",IF(SUMPRODUCT((실물목록!$P$2:$P$1001&lt;&gt;"")*ISNUMBER(SEARCH(실물목록!$P$2:$P$1001,I520))*(실물목록!$Q$2:$Q$1001&lt;&gt;"")*ISNUMBER(SEARCH(실물목록!$Q$2:$Q$1001,I520))*(실물목록!$R$2:$R$1001="")*(실물목록!$O$2:$O$1001&lt;&gt;""))&gt;0,"확인필요(연도다름)","실물 없음")))))</f>
      </c>
      <c r="G520" t="n" s="16">
        <f aca="0">IF(B520="","",SUMPRODUCT((실물목록!$P$2:$P$1001&lt;&gt;"")*ISNUMBER(SEARCH(실물목록!$P$2:$P$1001,I520))*(실물목록!$Q$2:$Q$1001&lt;&gt;"")*ISNUMBER(SEARCH(실물목록!$Q$2:$Q$1001,I520))*(실물목록!$R$2:$R$1001="")*(실물목록!$O$2:$O$1001&lt;&gt;"")*(실물목록!$O$2:$O$1001=H520)))</f>
      </c>
      <c r="H520" t="str">
        <f>IFERROR(IF(AND(LEN(SUBSTITUTE(SUBSTITUTE(SUBSTITUTE(TRIM(A520&amp;""),CHAR(160),"")," ",""),"년",""))=4,VALUE(SUBSTITUTE(SUBSTITUTE(SUBSTITUTE(TRIM(A520&amp;""),CHAR(160),"")," ",""),"년",""))&gt;=1900,VALUE(SUBSTITUTE(SUBSTITUTE(SUBSTITUTE(TRIM(A520&amp;""),CHAR(160),"")," ",""),"년",""))&lt;=2099,TEXT(VALUE(SUBSTITUTE(SUBSTITUTE(SUBSTITUTE(TRIM(A520&amp;""),CHAR(160),"")," ",""),"년","")),"0000")=SUBSTITUTE(SUBSTITUTE(SUBSTITUTE(TRIM(A520&amp;""),CHAR(160),"")," ",""),"년","")),SUBSTITUTE(SUBSTITUTE(SUBSTITUTE(TRIM(A520&amp;""),CHAR(160),"")," ",""),"년",""),""),"")</f>
      </c>
      <c r="I520" t="str">
        <f>SUBSTITUTE(SUBSTITUTE(SUBSTITUTE(SUBSTITUTE(SUBSTITUTE(TRIM(B520&amp;""),CHAR(160),"")," ",""),"초등학교","초"),"중학교","중"),"고등학교","고")</f>
      </c>
    </row>
    <row r="521" customFormat="false" ht="15" hidden="false" customHeight="false" outlineLevel="0" collapsed="false">
      <c r="A521" s="8"/>
      <c r="B521" s="8"/>
      <c r="C521" s="8"/>
      <c r="D521" s="8"/>
      <c r="E521" s="8"/>
      <c r="F521" t="str" s="15">
        <f aca="0">IF(B521="","",IF(H521="","확인필요(입력누락)",IF(SUMPRODUCT((실물목록!$P$2:$P$1001&lt;&gt;"")*ISNUMBER(SEARCH(실물목록!$P$2:$P$1001,I521))*(실물목록!$Q$2:$Q$1001&lt;&gt;"")*ISNUMBER(SEARCH(실물목록!$Q$2:$Q$1001,I521))*(실물목록!$R$2:$R$1001="")*(실물목록!$O$2:$O$1001&lt;&gt;"")*(실물목록!$O$2:$O$1001=H521))&gt;0,"실물 있음",IF(SUMPRODUCT((실물목록!$P$2:$P$1001&lt;&gt;"")*ISNUMBER(SEARCH(실물목록!$P$2:$P$1001,I521))*(실물목록!$R$2:$R$1001&lt;&gt;""))&gt;0,"확인필요(입력누락)",IF(SUMPRODUCT((실물목록!$P$2:$P$1001&lt;&gt;"")*ISNUMBER(SEARCH(실물목록!$P$2:$P$1001,I521))*(실물목록!$Q$2:$Q$1001&lt;&gt;"")*ISNUMBER(SEARCH(실물목록!$Q$2:$Q$1001,I521))*(실물목록!$R$2:$R$1001="")*(실물목록!$O$2:$O$1001&lt;&gt;""))&gt;0,"확인필요(연도다름)","실물 없음")))))</f>
      </c>
      <c r="G521" t="n" s="16">
        <f aca="0">IF(B521="","",SUMPRODUCT((실물목록!$P$2:$P$1001&lt;&gt;"")*ISNUMBER(SEARCH(실물목록!$P$2:$P$1001,I521))*(실물목록!$Q$2:$Q$1001&lt;&gt;"")*ISNUMBER(SEARCH(실물목록!$Q$2:$Q$1001,I521))*(실물목록!$R$2:$R$1001="")*(실물목록!$O$2:$O$1001&lt;&gt;"")*(실물목록!$O$2:$O$1001=H521)))</f>
      </c>
      <c r="H521" t="str">
        <f>IFERROR(IF(AND(LEN(SUBSTITUTE(SUBSTITUTE(SUBSTITUTE(TRIM(A521&amp;""),CHAR(160),"")," ",""),"년",""))=4,VALUE(SUBSTITUTE(SUBSTITUTE(SUBSTITUTE(TRIM(A521&amp;""),CHAR(160),"")," ",""),"년",""))&gt;=1900,VALUE(SUBSTITUTE(SUBSTITUTE(SUBSTITUTE(TRIM(A521&amp;""),CHAR(160),"")," ",""),"년",""))&lt;=2099,TEXT(VALUE(SUBSTITUTE(SUBSTITUTE(SUBSTITUTE(TRIM(A521&amp;""),CHAR(160),"")," ",""),"년","")),"0000")=SUBSTITUTE(SUBSTITUTE(SUBSTITUTE(TRIM(A521&amp;""),CHAR(160),"")," ",""),"년","")),SUBSTITUTE(SUBSTITUTE(SUBSTITUTE(TRIM(A521&amp;""),CHAR(160),"")," ",""),"년",""),""),"")</f>
      </c>
      <c r="I521" t="str">
        <f>SUBSTITUTE(SUBSTITUTE(SUBSTITUTE(SUBSTITUTE(SUBSTITUTE(TRIM(B521&amp;""),CHAR(160),"")," ",""),"초등학교","초"),"중학교","중"),"고등학교","고")</f>
      </c>
    </row>
    <row r="522" customFormat="false" ht="15" hidden="false" customHeight="false" outlineLevel="0" collapsed="false">
      <c r="A522" s="8"/>
      <c r="B522" s="8"/>
      <c r="C522" s="8"/>
      <c r="D522" s="8"/>
      <c r="E522" s="8"/>
      <c r="F522" t="str" s="15">
        <f aca="0">IF(B522="","",IF(H522="","확인필요(입력누락)",IF(SUMPRODUCT((실물목록!$P$2:$P$1001&lt;&gt;"")*ISNUMBER(SEARCH(실물목록!$P$2:$P$1001,I522))*(실물목록!$Q$2:$Q$1001&lt;&gt;"")*ISNUMBER(SEARCH(실물목록!$Q$2:$Q$1001,I522))*(실물목록!$R$2:$R$1001="")*(실물목록!$O$2:$O$1001&lt;&gt;"")*(실물목록!$O$2:$O$1001=H522))&gt;0,"실물 있음",IF(SUMPRODUCT((실물목록!$P$2:$P$1001&lt;&gt;"")*ISNUMBER(SEARCH(실물목록!$P$2:$P$1001,I522))*(실물목록!$R$2:$R$1001&lt;&gt;""))&gt;0,"확인필요(입력누락)",IF(SUMPRODUCT((실물목록!$P$2:$P$1001&lt;&gt;"")*ISNUMBER(SEARCH(실물목록!$P$2:$P$1001,I522))*(실물목록!$Q$2:$Q$1001&lt;&gt;"")*ISNUMBER(SEARCH(실물목록!$Q$2:$Q$1001,I522))*(실물목록!$R$2:$R$1001="")*(실물목록!$O$2:$O$1001&lt;&gt;""))&gt;0,"확인필요(연도다름)","실물 없음")))))</f>
      </c>
      <c r="G522" t="n" s="16">
        <f aca="0">IF(B522="","",SUMPRODUCT((실물목록!$P$2:$P$1001&lt;&gt;"")*ISNUMBER(SEARCH(실물목록!$P$2:$P$1001,I522))*(실물목록!$Q$2:$Q$1001&lt;&gt;"")*ISNUMBER(SEARCH(실물목록!$Q$2:$Q$1001,I522))*(실물목록!$R$2:$R$1001="")*(실물목록!$O$2:$O$1001&lt;&gt;"")*(실물목록!$O$2:$O$1001=H522)))</f>
      </c>
      <c r="H522" t="str">
        <f>IFERROR(IF(AND(LEN(SUBSTITUTE(SUBSTITUTE(SUBSTITUTE(TRIM(A522&amp;""),CHAR(160),"")," ",""),"년",""))=4,VALUE(SUBSTITUTE(SUBSTITUTE(SUBSTITUTE(TRIM(A522&amp;""),CHAR(160),"")," ",""),"년",""))&gt;=1900,VALUE(SUBSTITUTE(SUBSTITUTE(SUBSTITUTE(TRIM(A522&amp;""),CHAR(160),"")," ",""),"년",""))&lt;=2099,TEXT(VALUE(SUBSTITUTE(SUBSTITUTE(SUBSTITUTE(TRIM(A522&amp;""),CHAR(160),"")," ",""),"년","")),"0000")=SUBSTITUTE(SUBSTITUTE(SUBSTITUTE(TRIM(A522&amp;""),CHAR(160),"")," ",""),"년","")),SUBSTITUTE(SUBSTITUTE(SUBSTITUTE(TRIM(A522&amp;""),CHAR(160),"")," ",""),"년",""),""),"")</f>
      </c>
      <c r="I522" t="str">
        <f>SUBSTITUTE(SUBSTITUTE(SUBSTITUTE(SUBSTITUTE(SUBSTITUTE(TRIM(B522&amp;""),CHAR(160),"")," ",""),"초등학교","초"),"중학교","중"),"고등학교","고")</f>
      </c>
    </row>
    <row r="523" customFormat="false" ht="15" hidden="false" customHeight="false" outlineLevel="0" collapsed="false">
      <c r="A523" s="8"/>
      <c r="B523" s="8"/>
      <c r="C523" s="8"/>
      <c r="D523" s="8"/>
      <c r="E523" s="8"/>
      <c r="F523" t="str" s="15">
        <f aca="0">IF(B523="","",IF(H523="","확인필요(입력누락)",IF(SUMPRODUCT((실물목록!$P$2:$P$1001&lt;&gt;"")*ISNUMBER(SEARCH(실물목록!$P$2:$P$1001,I523))*(실물목록!$Q$2:$Q$1001&lt;&gt;"")*ISNUMBER(SEARCH(실물목록!$Q$2:$Q$1001,I523))*(실물목록!$R$2:$R$1001="")*(실물목록!$O$2:$O$1001&lt;&gt;"")*(실물목록!$O$2:$O$1001=H523))&gt;0,"실물 있음",IF(SUMPRODUCT((실물목록!$P$2:$P$1001&lt;&gt;"")*ISNUMBER(SEARCH(실물목록!$P$2:$P$1001,I523))*(실물목록!$R$2:$R$1001&lt;&gt;""))&gt;0,"확인필요(입력누락)",IF(SUMPRODUCT((실물목록!$P$2:$P$1001&lt;&gt;"")*ISNUMBER(SEARCH(실물목록!$P$2:$P$1001,I523))*(실물목록!$Q$2:$Q$1001&lt;&gt;"")*ISNUMBER(SEARCH(실물목록!$Q$2:$Q$1001,I523))*(실물목록!$R$2:$R$1001="")*(실물목록!$O$2:$O$1001&lt;&gt;""))&gt;0,"확인필요(연도다름)","실물 없음")))))</f>
      </c>
      <c r="G523" t="n" s="16">
        <f aca="0">IF(B523="","",SUMPRODUCT((실물목록!$P$2:$P$1001&lt;&gt;"")*ISNUMBER(SEARCH(실물목록!$P$2:$P$1001,I523))*(실물목록!$Q$2:$Q$1001&lt;&gt;"")*ISNUMBER(SEARCH(실물목록!$Q$2:$Q$1001,I523))*(실물목록!$R$2:$R$1001="")*(실물목록!$O$2:$O$1001&lt;&gt;"")*(실물목록!$O$2:$O$1001=H523)))</f>
      </c>
      <c r="H523" t="str">
        <f>IFERROR(IF(AND(LEN(SUBSTITUTE(SUBSTITUTE(SUBSTITUTE(TRIM(A523&amp;""),CHAR(160),"")," ",""),"년",""))=4,VALUE(SUBSTITUTE(SUBSTITUTE(SUBSTITUTE(TRIM(A523&amp;""),CHAR(160),"")," ",""),"년",""))&gt;=1900,VALUE(SUBSTITUTE(SUBSTITUTE(SUBSTITUTE(TRIM(A523&amp;""),CHAR(160),"")," ",""),"년",""))&lt;=2099,TEXT(VALUE(SUBSTITUTE(SUBSTITUTE(SUBSTITUTE(TRIM(A523&amp;""),CHAR(160),"")," ",""),"년","")),"0000")=SUBSTITUTE(SUBSTITUTE(SUBSTITUTE(TRIM(A523&amp;""),CHAR(160),"")," ",""),"년","")),SUBSTITUTE(SUBSTITUTE(SUBSTITUTE(TRIM(A523&amp;""),CHAR(160),"")," ",""),"년",""),""),"")</f>
      </c>
      <c r="I523" t="str">
        <f>SUBSTITUTE(SUBSTITUTE(SUBSTITUTE(SUBSTITUTE(SUBSTITUTE(TRIM(B523&amp;""),CHAR(160),"")," ",""),"초등학교","초"),"중학교","중"),"고등학교","고")</f>
      </c>
    </row>
    <row r="524" customFormat="false" ht="15" hidden="false" customHeight="false" outlineLevel="0" collapsed="false">
      <c r="A524" s="8"/>
      <c r="B524" s="8"/>
      <c r="C524" s="8"/>
      <c r="D524" s="8"/>
      <c r="E524" s="8"/>
      <c r="F524" t="str" s="15">
        <f aca="0">IF(B524="","",IF(H524="","확인필요(입력누락)",IF(SUMPRODUCT((실물목록!$P$2:$P$1001&lt;&gt;"")*ISNUMBER(SEARCH(실물목록!$P$2:$P$1001,I524))*(실물목록!$Q$2:$Q$1001&lt;&gt;"")*ISNUMBER(SEARCH(실물목록!$Q$2:$Q$1001,I524))*(실물목록!$R$2:$R$1001="")*(실물목록!$O$2:$O$1001&lt;&gt;"")*(실물목록!$O$2:$O$1001=H524))&gt;0,"실물 있음",IF(SUMPRODUCT((실물목록!$P$2:$P$1001&lt;&gt;"")*ISNUMBER(SEARCH(실물목록!$P$2:$P$1001,I524))*(실물목록!$R$2:$R$1001&lt;&gt;""))&gt;0,"확인필요(입력누락)",IF(SUMPRODUCT((실물목록!$P$2:$P$1001&lt;&gt;"")*ISNUMBER(SEARCH(실물목록!$P$2:$P$1001,I524))*(실물목록!$Q$2:$Q$1001&lt;&gt;"")*ISNUMBER(SEARCH(실물목록!$Q$2:$Q$1001,I524))*(실물목록!$R$2:$R$1001="")*(실물목록!$O$2:$O$1001&lt;&gt;""))&gt;0,"확인필요(연도다름)","실물 없음")))))</f>
      </c>
      <c r="G524" t="n" s="16">
        <f aca="0">IF(B524="","",SUMPRODUCT((실물목록!$P$2:$P$1001&lt;&gt;"")*ISNUMBER(SEARCH(실물목록!$P$2:$P$1001,I524))*(실물목록!$Q$2:$Q$1001&lt;&gt;"")*ISNUMBER(SEARCH(실물목록!$Q$2:$Q$1001,I524))*(실물목록!$R$2:$R$1001="")*(실물목록!$O$2:$O$1001&lt;&gt;"")*(실물목록!$O$2:$O$1001=H524)))</f>
      </c>
      <c r="H524" t="str">
        <f>IFERROR(IF(AND(LEN(SUBSTITUTE(SUBSTITUTE(SUBSTITUTE(TRIM(A524&amp;""),CHAR(160),"")," ",""),"년",""))=4,VALUE(SUBSTITUTE(SUBSTITUTE(SUBSTITUTE(TRIM(A524&amp;""),CHAR(160),"")," ",""),"년",""))&gt;=1900,VALUE(SUBSTITUTE(SUBSTITUTE(SUBSTITUTE(TRIM(A524&amp;""),CHAR(160),"")," ",""),"년",""))&lt;=2099,TEXT(VALUE(SUBSTITUTE(SUBSTITUTE(SUBSTITUTE(TRIM(A524&amp;""),CHAR(160),"")," ",""),"년","")),"0000")=SUBSTITUTE(SUBSTITUTE(SUBSTITUTE(TRIM(A524&amp;""),CHAR(160),"")," ",""),"년","")),SUBSTITUTE(SUBSTITUTE(SUBSTITUTE(TRIM(A524&amp;""),CHAR(160),"")," ",""),"년",""),""),"")</f>
      </c>
      <c r="I524" t="str">
        <f>SUBSTITUTE(SUBSTITUTE(SUBSTITUTE(SUBSTITUTE(SUBSTITUTE(TRIM(B524&amp;""),CHAR(160),"")," ",""),"초등학교","초"),"중학교","중"),"고등학교","고")</f>
      </c>
    </row>
    <row r="525" customFormat="false" ht="15" hidden="false" customHeight="false" outlineLevel="0" collapsed="false">
      <c r="A525" s="8"/>
      <c r="B525" s="8"/>
      <c r="C525" s="8"/>
      <c r="D525" s="8"/>
      <c r="E525" s="8"/>
      <c r="F525" t="str" s="15">
        <f aca="0">IF(B525="","",IF(H525="","확인필요(입력누락)",IF(SUMPRODUCT((실물목록!$P$2:$P$1001&lt;&gt;"")*ISNUMBER(SEARCH(실물목록!$P$2:$P$1001,I525))*(실물목록!$Q$2:$Q$1001&lt;&gt;"")*ISNUMBER(SEARCH(실물목록!$Q$2:$Q$1001,I525))*(실물목록!$R$2:$R$1001="")*(실물목록!$O$2:$O$1001&lt;&gt;"")*(실물목록!$O$2:$O$1001=H525))&gt;0,"실물 있음",IF(SUMPRODUCT((실물목록!$P$2:$P$1001&lt;&gt;"")*ISNUMBER(SEARCH(실물목록!$P$2:$P$1001,I525))*(실물목록!$R$2:$R$1001&lt;&gt;""))&gt;0,"확인필요(입력누락)",IF(SUMPRODUCT((실물목록!$P$2:$P$1001&lt;&gt;"")*ISNUMBER(SEARCH(실물목록!$P$2:$P$1001,I525))*(실물목록!$Q$2:$Q$1001&lt;&gt;"")*ISNUMBER(SEARCH(실물목록!$Q$2:$Q$1001,I525))*(실물목록!$R$2:$R$1001="")*(실물목록!$O$2:$O$1001&lt;&gt;""))&gt;0,"확인필요(연도다름)","실물 없음")))))</f>
      </c>
      <c r="G525" t="n" s="16">
        <f aca="0">IF(B525="","",SUMPRODUCT((실물목록!$P$2:$P$1001&lt;&gt;"")*ISNUMBER(SEARCH(실물목록!$P$2:$P$1001,I525))*(실물목록!$Q$2:$Q$1001&lt;&gt;"")*ISNUMBER(SEARCH(실물목록!$Q$2:$Q$1001,I525))*(실물목록!$R$2:$R$1001="")*(실물목록!$O$2:$O$1001&lt;&gt;"")*(실물목록!$O$2:$O$1001=H525)))</f>
      </c>
      <c r="H525" t="str">
        <f>IFERROR(IF(AND(LEN(SUBSTITUTE(SUBSTITUTE(SUBSTITUTE(TRIM(A525&amp;""),CHAR(160),"")," ",""),"년",""))=4,VALUE(SUBSTITUTE(SUBSTITUTE(SUBSTITUTE(TRIM(A525&amp;""),CHAR(160),"")," ",""),"년",""))&gt;=1900,VALUE(SUBSTITUTE(SUBSTITUTE(SUBSTITUTE(TRIM(A525&amp;""),CHAR(160),"")," ",""),"년",""))&lt;=2099,TEXT(VALUE(SUBSTITUTE(SUBSTITUTE(SUBSTITUTE(TRIM(A525&amp;""),CHAR(160),"")," ",""),"년","")),"0000")=SUBSTITUTE(SUBSTITUTE(SUBSTITUTE(TRIM(A525&amp;""),CHAR(160),"")," ",""),"년","")),SUBSTITUTE(SUBSTITUTE(SUBSTITUTE(TRIM(A525&amp;""),CHAR(160),"")," ",""),"년",""),""),"")</f>
      </c>
      <c r="I525" t="str">
        <f>SUBSTITUTE(SUBSTITUTE(SUBSTITUTE(SUBSTITUTE(SUBSTITUTE(TRIM(B525&amp;""),CHAR(160),"")," ",""),"초등학교","초"),"중학교","중"),"고등학교","고")</f>
      </c>
    </row>
    <row r="526" customFormat="false" ht="15" hidden="false" customHeight="false" outlineLevel="0" collapsed="false">
      <c r="A526" s="8"/>
      <c r="B526" s="8"/>
      <c r="C526" s="8"/>
      <c r="D526" s="8"/>
      <c r="E526" s="8"/>
      <c r="F526" t="str" s="15">
        <f aca="0">IF(B526="","",IF(H526="","확인필요(입력누락)",IF(SUMPRODUCT((실물목록!$P$2:$P$1001&lt;&gt;"")*ISNUMBER(SEARCH(실물목록!$P$2:$P$1001,I526))*(실물목록!$Q$2:$Q$1001&lt;&gt;"")*ISNUMBER(SEARCH(실물목록!$Q$2:$Q$1001,I526))*(실물목록!$R$2:$R$1001="")*(실물목록!$O$2:$O$1001&lt;&gt;"")*(실물목록!$O$2:$O$1001=H526))&gt;0,"실물 있음",IF(SUMPRODUCT((실물목록!$P$2:$P$1001&lt;&gt;"")*ISNUMBER(SEARCH(실물목록!$P$2:$P$1001,I526))*(실물목록!$R$2:$R$1001&lt;&gt;""))&gt;0,"확인필요(입력누락)",IF(SUMPRODUCT((실물목록!$P$2:$P$1001&lt;&gt;"")*ISNUMBER(SEARCH(실물목록!$P$2:$P$1001,I526))*(실물목록!$Q$2:$Q$1001&lt;&gt;"")*ISNUMBER(SEARCH(실물목록!$Q$2:$Q$1001,I526))*(실물목록!$R$2:$R$1001="")*(실물목록!$O$2:$O$1001&lt;&gt;""))&gt;0,"확인필요(연도다름)","실물 없음")))))</f>
      </c>
      <c r="G526" t="n" s="16">
        <f aca="0">IF(B526="","",SUMPRODUCT((실물목록!$P$2:$P$1001&lt;&gt;"")*ISNUMBER(SEARCH(실물목록!$P$2:$P$1001,I526))*(실물목록!$Q$2:$Q$1001&lt;&gt;"")*ISNUMBER(SEARCH(실물목록!$Q$2:$Q$1001,I526))*(실물목록!$R$2:$R$1001="")*(실물목록!$O$2:$O$1001&lt;&gt;"")*(실물목록!$O$2:$O$1001=H526)))</f>
      </c>
      <c r="H526" t="str">
        <f>IFERROR(IF(AND(LEN(SUBSTITUTE(SUBSTITUTE(SUBSTITUTE(TRIM(A526&amp;""),CHAR(160),"")," ",""),"년",""))=4,VALUE(SUBSTITUTE(SUBSTITUTE(SUBSTITUTE(TRIM(A526&amp;""),CHAR(160),"")," ",""),"년",""))&gt;=1900,VALUE(SUBSTITUTE(SUBSTITUTE(SUBSTITUTE(TRIM(A526&amp;""),CHAR(160),"")," ",""),"년",""))&lt;=2099,TEXT(VALUE(SUBSTITUTE(SUBSTITUTE(SUBSTITUTE(TRIM(A526&amp;""),CHAR(160),"")," ",""),"년","")),"0000")=SUBSTITUTE(SUBSTITUTE(SUBSTITUTE(TRIM(A526&amp;""),CHAR(160),"")," ",""),"년","")),SUBSTITUTE(SUBSTITUTE(SUBSTITUTE(TRIM(A526&amp;""),CHAR(160),"")," ",""),"년",""),""),"")</f>
      </c>
      <c r="I526" t="str">
        <f>SUBSTITUTE(SUBSTITUTE(SUBSTITUTE(SUBSTITUTE(SUBSTITUTE(TRIM(B526&amp;""),CHAR(160),"")," ",""),"초등학교","초"),"중학교","중"),"고등학교","고")</f>
      </c>
    </row>
    <row r="527" customFormat="false" ht="15" hidden="false" customHeight="false" outlineLevel="0" collapsed="false">
      <c r="A527" s="8"/>
      <c r="B527" s="8"/>
      <c r="C527" s="8"/>
      <c r="D527" s="8"/>
      <c r="E527" s="8"/>
      <c r="F527" t="str" s="15">
        <f aca="0">IF(B527="","",IF(H527="","확인필요(입력누락)",IF(SUMPRODUCT((실물목록!$P$2:$P$1001&lt;&gt;"")*ISNUMBER(SEARCH(실물목록!$P$2:$P$1001,I527))*(실물목록!$Q$2:$Q$1001&lt;&gt;"")*ISNUMBER(SEARCH(실물목록!$Q$2:$Q$1001,I527))*(실물목록!$R$2:$R$1001="")*(실물목록!$O$2:$O$1001&lt;&gt;"")*(실물목록!$O$2:$O$1001=H527))&gt;0,"실물 있음",IF(SUMPRODUCT((실물목록!$P$2:$P$1001&lt;&gt;"")*ISNUMBER(SEARCH(실물목록!$P$2:$P$1001,I527))*(실물목록!$R$2:$R$1001&lt;&gt;""))&gt;0,"확인필요(입력누락)",IF(SUMPRODUCT((실물목록!$P$2:$P$1001&lt;&gt;"")*ISNUMBER(SEARCH(실물목록!$P$2:$P$1001,I527))*(실물목록!$Q$2:$Q$1001&lt;&gt;"")*ISNUMBER(SEARCH(실물목록!$Q$2:$Q$1001,I527))*(실물목록!$R$2:$R$1001="")*(실물목록!$O$2:$O$1001&lt;&gt;""))&gt;0,"확인필요(연도다름)","실물 없음")))))</f>
      </c>
      <c r="G527" t="n" s="16">
        <f aca="0">IF(B527="","",SUMPRODUCT((실물목록!$P$2:$P$1001&lt;&gt;"")*ISNUMBER(SEARCH(실물목록!$P$2:$P$1001,I527))*(실물목록!$Q$2:$Q$1001&lt;&gt;"")*ISNUMBER(SEARCH(실물목록!$Q$2:$Q$1001,I527))*(실물목록!$R$2:$R$1001="")*(실물목록!$O$2:$O$1001&lt;&gt;"")*(실물목록!$O$2:$O$1001=H527)))</f>
      </c>
      <c r="H527" t="str">
        <f>IFERROR(IF(AND(LEN(SUBSTITUTE(SUBSTITUTE(SUBSTITUTE(TRIM(A527&amp;""),CHAR(160),"")," ",""),"년",""))=4,VALUE(SUBSTITUTE(SUBSTITUTE(SUBSTITUTE(TRIM(A527&amp;""),CHAR(160),"")," ",""),"년",""))&gt;=1900,VALUE(SUBSTITUTE(SUBSTITUTE(SUBSTITUTE(TRIM(A527&amp;""),CHAR(160),"")," ",""),"년",""))&lt;=2099,TEXT(VALUE(SUBSTITUTE(SUBSTITUTE(SUBSTITUTE(TRIM(A527&amp;""),CHAR(160),"")," ",""),"년","")),"0000")=SUBSTITUTE(SUBSTITUTE(SUBSTITUTE(TRIM(A527&amp;""),CHAR(160),"")," ",""),"년","")),SUBSTITUTE(SUBSTITUTE(SUBSTITUTE(TRIM(A527&amp;""),CHAR(160),"")," ",""),"년",""),""),"")</f>
      </c>
      <c r="I527" t="str">
        <f>SUBSTITUTE(SUBSTITUTE(SUBSTITUTE(SUBSTITUTE(SUBSTITUTE(TRIM(B527&amp;""),CHAR(160),"")," ",""),"초등학교","초"),"중학교","중"),"고등학교","고")</f>
      </c>
    </row>
    <row r="528" customFormat="false" ht="15" hidden="false" customHeight="false" outlineLevel="0" collapsed="false">
      <c r="A528" s="8"/>
      <c r="B528" s="8"/>
      <c r="C528" s="8"/>
      <c r="D528" s="8"/>
      <c r="E528" s="8"/>
      <c r="F528" t="str" s="15">
        <f aca="0">IF(B528="","",IF(H528="","확인필요(입력누락)",IF(SUMPRODUCT((실물목록!$P$2:$P$1001&lt;&gt;"")*ISNUMBER(SEARCH(실물목록!$P$2:$P$1001,I528))*(실물목록!$Q$2:$Q$1001&lt;&gt;"")*ISNUMBER(SEARCH(실물목록!$Q$2:$Q$1001,I528))*(실물목록!$R$2:$R$1001="")*(실물목록!$O$2:$O$1001&lt;&gt;"")*(실물목록!$O$2:$O$1001=H528))&gt;0,"실물 있음",IF(SUMPRODUCT((실물목록!$P$2:$P$1001&lt;&gt;"")*ISNUMBER(SEARCH(실물목록!$P$2:$P$1001,I528))*(실물목록!$R$2:$R$1001&lt;&gt;""))&gt;0,"확인필요(입력누락)",IF(SUMPRODUCT((실물목록!$P$2:$P$1001&lt;&gt;"")*ISNUMBER(SEARCH(실물목록!$P$2:$P$1001,I528))*(실물목록!$Q$2:$Q$1001&lt;&gt;"")*ISNUMBER(SEARCH(실물목록!$Q$2:$Q$1001,I528))*(실물목록!$R$2:$R$1001="")*(실물목록!$O$2:$O$1001&lt;&gt;""))&gt;0,"확인필요(연도다름)","실물 없음")))))</f>
      </c>
      <c r="G528" t="n" s="16">
        <f aca="0">IF(B528="","",SUMPRODUCT((실물목록!$P$2:$P$1001&lt;&gt;"")*ISNUMBER(SEARCH(실물목록!$P$2:$P$1001,I528))*(실물목록!$Q$2:$Q$1001&lt;&gt;"")*ISNUMBER(SEARCH(실물목록!$Q$2:$Q$1001,I528))*(실물목록!$R$2:$R$1001="")*(실물목록!$O$2:$O$1001&lt;&gt;"")*(실물목록!$O$2:$O$1001=H528)))</f>
      </c>
      <c r="H528" t="str">
        <f>IFERROR(IF(AND(LEN(SUBSTITUTE(SUBSTITUTE(SUBSTITUTE(TRIM(A528&amp;""),CHAR(160),"")," ",""),"년",""))=4,VALUE(SUBSTITUTE(SUBSTITUTE(SUBSTITUTE(TRIM(A528&amp;""),CHAR(160),"")," ",""),"년",""))&gt;=1900,VALUE(SUBSTITUTE(SUBSTITUTE(SUBSTITUTE(TRIM(A528&amp;""),CHAR(160),"")," ",""),"년",""))&lt;=2099,TEXT(VALUE(SUBSTITUTE(SUBSTITUTE(SUBSTITUTE(TRIM(A528&amp;""),CHAR(160),"")," ",""),"년","")),"0000")=SUBSTITUTE(SUBSTITUTE(SUBSTITUTE(TRIM(A528&amp;""),CHAR(160),"")," ",""),"년","")),SUBSTITUTE(SUBSTITUTE(SUBSTITUTE(TRIM(A528&amp;""),CHAR(160),"")," ",""),"년",""),""),"")</f>
      </c>
      <c r="I528" t="str">
        <f>SUBSTITUTE(SUBSTITUTE(SUBSTITUTE(SUBSTITUTE(SUBSTITUTE(TRIM(B528&amp;""),CHAR(160),"")," ",""),"초등학교","초"),"중학교","중"),"고등학교","고")</f>
      </c>
    </row>
    <row r="529" customFormat="false" ht="15" hidden="false" customHeight="false" outlineLevel="0" collapsed="false">
      <c r="A529" s="8"/>
      <c r="B529" s="8"/>
      <c r="C529" s="8"/>
      <c r="D529" s="8"/>
      <c r="E529" s="8"/>
      <c r="F529" t="str" s="15">
        <f aca="0">IF(B529="","",IF(H529="","확인필요(입력누락)",IF(SUMPRODUCT((실물목록!$P$2:$P$1001&lt;&gt;"")*ISNUMBER(SEARCH(실물목록!$P$2:$P$1001,I529))*(실물목록!$Q$2:$Q$1001&lt;&gt;"")*ISNUMBER(SEARCH(실물목록!$Q$2:$Q$1001,I529))*(실물목록!$R$2:$R$1001="")*(실물목록!$O$2:$O$1001&lt;&gt;"")*(실물목록!$O$2:$O$1001=H529))&gt;0,"실물 있음",IF(SUMPRODUCT((실물목록!$P$2:$P$1001&lt;&gt;"")*ISNUMBER(SEARCH(실물목록!$P$2:$P$1001,I529))*(실물목록!$R$2:$R$1001&lt;&gt;""))&gt;0,"확인필요(입력누락)",IF(SUMPRODUCT((실물목록!$P$2:$P$1001&lt;&gt;"")*ISNUMBER(SEARCH(실물목록!$P$2:$P$1001,I529))*(실물목록!$Q$2:$Q$1001&lt;&gt;"")*ISNUMBER(SEARCH(실물목록!$Q$2:$Q$1001,I529))*(실물목록!$R$2:$R$1001="")*(실물목록!$O$2:$O$1001&lt;&gt;""))&gt;0,"확인필요(연도다름)","실물 없음")))))</f>
      </c>
      <c r="G529" t="n" s="16">
        <f aca="0">IF(B529="","",SUMPRODUCT((실물목록!$P$2:$P$1001&lt;&gt;"")*ISNUMBER(SEARCH(실물목록!$P$2:$P$1001,I529))*(실물목록!$Q$2:$Q$1001&lt;&gt;"")*ISNUMBER(SEARCH(실물목록!$Q$2:$Q$1001,I529))*(실물목록!$R$2:$R$1001="")*(실물목록!$O$2:$O$1001&lt;&gt;"")*(실물목록!$O$2:$O$1001=H529)))</f>
      </c>
      <c r="H529" t="str">
        <f>IFERROR(IF(AND(LEN(SUBSTITUTE(SUBSTITUTE(SUBSTITUTE(TRIM(A529&amp;""),CHAR(160),"")," ",""),"년",""))=4,VALUE(SUBSTITUTE(SUBSTITUTE(SUBSTITUTE(TRIM(A529&amp;""),CHAR(160),"")," ",""),"년",""))&gt;=1900,VALUE(SUBSTITUTE(SUBSTITUTE(SUBSTITUTE(TRIM(A529&amp;""),CHAR(160),"")," ",""),"년",""))&lt;=2099,TEXT(VALUE(SUBSTITUTE(SUBSTITUTE(SUBSTITUTE(TRIM(A529&amp;""),CHAR(160),"")," ",""),"년","")),"0000")=SUBSTITUTE(SUBSTITUTE(SUBSTITUTE(TRIM(A529&amp;""),CHAR(160),"")," ",""),"년","")),SUBSTITUTE(SUBSTITUTE(SUBSTITUTE(TRIM(A529&amp;""),CHAR(160),"")," ",""),"년",""),""),"")</f>
      </c>
      <c r="I529" t="str">
        <f>SUBSTITUTE(SUBSTITUTE(SUBSTITUTE(SUBSTITUTE(SUBSTITUTE(TRIM(B529&amp;""),CHAR(160),"")," ",""),"초등학교","초"),"중학교","중"),"고등학교","고")</f>
      </c>
    </row>
    <row r="530" customFormat="false" ht="15" hidden="false" customHeight="false" outlineLevel="0" collapsed="false">
      <c r="A530" s="8"/>
      <c r="B530" s="8"/>
      <c r="C530" s="8"/>
      <c r="D530" s="8"/>
      <c r="E530" s="8"/>
      <c r="F530" t="str" s="15">
        <f aca="0">IF(B530="","",IF(H530="","확인필요(입력누락)",IF(SUMPRODUCT((실물목록!$P$2:$P$1001&lt;&gt;"")*ISNUMBER(SEARCH(실물목록!$P$2:$P$1001,I530))*(실물목록!$Q$2:$Q$1001&lt;&gt;"")*ISNUMBER(SEARCH(실물목록!$Q$2:$Q$1001,I530))*(실물목록!$R$2:$R$1001="")*(실물목록!$O$2:$O$1001&lt;&gt;"")*(실물목록!$O$2:$O$1001=H530))&gt;0,"실물 있음",IF(SUMPRODUCT((실물목록!$P$2:$P$1001&lt;&gt;"")*ISNUMBER(SEARCH(실물목록!$P$2:$P$1001,I530))*(실물목록!$R$2:$R$1001&lt;&gt;""))&gt;0,"확인필요(입력누락)",IF(SUMPRODUCT((실물목록!$P$2:$P$1001&lt;&gt;"")*ISNUMBER(SEARCH(실물목록!$P$2:$P$1001,I530))*(실물목록!$Q$2:$Q$1001&lt;&gt;"")*ISNUMBER(SEARCH(실물목록!$Q$2:$Q$1001,I530))*(실물목록!$R$2:$R$1001="")*(실물목록!$O$2:$O$1001&lt;&gt;""))&gt;0,"확인필요(연도다름)","실물 없음")))))</f>
      </c>
      <c r="G530" t="n" s="16">
        <f aca="0">IF(B530="","",SUMPRODUCT((실물목록!$P$2:$P$1001&lt;&gt;"")*ISNUMBER(SEARCH(실물목록!$P$2:$P$1001,I530))*(실물목록!$Q$2:$Q$1001&lt;&gt;"")*ISNUMBER(SEARCH(실물목록!$Q$2:$Q$1001,I530))*(실물목록!$R$2:$R$1001="")*(실물목록!$O$2:$O$1001&lt;&gt;"")*(실물목록!$O$2:$O$1001=H530)))</f>
      </c>
      <c r="H530" t="str">
        <f>IFERROR(IF(AND(LEN(SUBSTITUTE(SUBSTITUTE(SUBSTITUTE(TRIM(A530&amp;""),CHAR(160),"")," ",""),"년",""))=4,VALUE(SUBSTITUTE(SUBSTITUTE(SUBSTITUTE(TRIM(A530&amp;""),CHAR(160),"")," ",""),"년",""))&gt;=1900,VALUE(SUBSTITUTE(SUBSTITUTE(SUBSTITUTE(TRIM(A530&amp;""),CHAR(160),"")," ",""),"년",""))&lt;=2099,TEXT(VALUE(SUBSTITUTE(SUBSTITUTE(SUBSTITUTE(TRIM(A530&amp;""),CHAR(160),"")," ",""),"년","")),"0000")=SUBSTITUTE(SUBSTITUTE(SUBSTITUTE(TRIM(A530&amp;""),CHAR(160),"")," ",""),"년","")),SUBSTITUTE(SUBSTITUTE(SUBSTITUTE(TRIM(A530&amp;""),CHAR(160),"")," ",""),"년",""),""),"")</f>
      </c>
      <c r="I530" t="str">
        <f>SUBSTITUTE(SUBSTITUTE(SUBSTITUTE(SUBSTITUTE(SUBSTITUTE(TRIM(B530&amp;""),CHAR(160),"")," ",""),"초등학교","초"),"중학교","중"),"고등학교","고")</f>
      </c>
    </row>
    <row r="531" customFormat="false" ht="15" hidden="false" customHeight="false" outlineLevel="0" collapsed="false">
      <c r="A531" s="8"/>
      <c r="B531" s="8"/>
      <c r="C531" s="8"/>
      <c r="D531" s="8"/>
      <c r="E531" s="8"/>
      <c r="F531" t="str" s="15">
        <f aca="0">IF(B531="","",IF(H531="","확인필요(입력누락)",IF(SUMPRODUCT((실물목록!$P$2:$P$1001&lt;&gt;"")*ISNUMBER(SEARCH(실물목록!$P$2:$P$1001,I531))*(실물목록!$Q$2:$Q$1001&lt;&gt;"")*ISNUMBER(SEARCH(실물목록!$Q$2:$Q$1001,I531))*(실물목록!$R$2:$R$1001="")*(실물목록!$O$2:$O$1001&lt;&gt;"")*(실물목록!$O$2:$O$1001=H531))&gt;0,"실물 있음",IF(SUMPRODUCT((실물목록!$P$2:$P$1001&lt;&gt;"")*ISNUMBER(SEARCH(실물목록!$P$2:$P$1001,I531))*(실물목록!$R$2:$R$1001&lt;&gt;""))&gt;0,"확인필요(입력누락)",IF(SUMPRODUCT((실물목록!$P$2:$P$1001&lt;&gt;"")*ISNUMBER(SEARCH(실물목록!$P$2:$P$1001,I531))*(실물목록!$Q$2:$Q$1001&lt;&gt;"")*ISNUMBER(SEARCH(실물목록!$Q$2:$Q$1001,I531))*(실물목록!$R$2:$R$1001="")*(실물목록!$O$2:$O$1001&lt;&gt;""))&gt;0,"확인필요(연도다름)","실물 없음")))))</f>
      </c>
      <c r="G531" t="n" s="16">
        <f aca="0">IF(B531="","",SUMPRODUCT((실물목록!$P$2:$P$1001&lt;&gt;"")*ISNUMBER(SEARCH(실물목록!$P$2:$P$1001,I531))*(실물목록!$Q$2:$Q$1001&lt;&gt;"")*ISNUMBER(SEARCH(실물목록!$Q$2:$Q$1001,I531))*(실물목록!$R$2:$R$1001="")*(실물목록!$O$2:$O$1001&lt;&gt;"")*(실물목록!$O$2:$O$1001=H531)))</f>
      </c>
      <c r="H531" t="str">
        <f>IFERROR(IF(AND(LEN(SUBSTITUTE(SUBSTITUTE(SUBSTITUTE(TRIM(A531&amp;""),CHAR(160),"")," ",""),"년",""))=4,VALUE(SUBSTITUTE(SUBSTITUTE(SUBSTITUTE(TRIM(A531&amp;""),CHAR(160),"")," ",""),"년",""))&gt;=1900,VALUE(SUBSTITUTE(SUBSTITUTE(SUBSTITUTE(TRIM(A531&amp;""),CHAR(160),"")," ",""),"년",""))&lt;=2099,TEXT(VALUE(SUBSTITUTE(SUBSTITUTE(SUBSTITUTE(TRIM(A531&amp;""),CHAR(160),"")," ",""),"년","")),"0000")=SUBSTITUTE(SUBSTITUTE(SUBSTITUTE(TRIM(A531&amp;""),CHAR(160),"")," ",""),"년","")),SUBSTITUTE(SUBSTITUTE(SUBSTITUTE(TRIM(A531&amp;""),CHAR(160),"")," ",""),"년",""),""),"")</f>
      </c>
      <c r="I531" t="str">
        <f>SUBSTITUTE(SUBSTITUTE(SUBSTITUTE(SUBSTITUTE(SUBSTITUTE(TRIM(B531&amp;""),CHAR(160),"")," ",""),"초등학교","초"),"중학교","중"),"고등학교","고")</f>
      </c>
    </row>
    <row r="532" customFormat="false" ht="15" hidden="false" customHeight="false" outlineLevel="0" collapsed="false">
      <c r="A532" s="8"/>
      <c r="B532" s="8"/>
      <c r="C532" s="8"/>
      <c r="D532" s="8"/>
      <c r="E532" s="8"/>
      <c r="F532" t="str" s="15">
        <f aca="0">IF(B532="","",IF(H532="","확인필요(입력누락)",IF(SUMPRODUCT((실물목록!$P$2:$P$1001&lt;&gt;"")*ISNUMBER(SEARCH(실물목록!$P$2:$P$1001,I532))*(실물목록!$Q$2:$Q$1001&lt;&gt;"")*ISNUMBER(SEARCH(실물목록!$Q$2:$Q$1001,I532))*(실물목록!$R$2:$R$1001="")*(실물목록!$O$2:$O$1001&lt;&gt;"")*(실물목록!$O$2:$O$1001=H532))&gt;0,"실물 있음",IF(SUMPRODUCT((실물목록!$P$2:$P$1001&lt;&gt;"")*ISNUMBER(SEARCH(실물목록!$P$2:$P$1001,I532))*(실물목록!$R$2:$R$1001&lt;&gt;""))&gt;0,"확인필요(입력누락)",IF(SUMPRODUCT((실물목록!$P$2:$P$1001&lt;&gt;"")*ISNUMBER(SEARCH(실물목록!$P$2:$P$1001,I532))*(실물목록!$Q$2:$Q$1001&lt;&gt;"")*ISNUMBER(SEARCH(실물목록!$Q$2:$Q$1001,I532))*(실물목록!$R$2:$R$1001="")*(실물목록!$O$2:$O$1001&lt;&gt;""))&gt;0,"확인필요(연도다름)","실물 없음")))))</f>
      </c>
      <c r="G532" t="n" s="16">
        <f aca="0">IF(B532="","",SUMPRODUCT((실물목록!$P$2:$P$1001&lt;&gt;"")*ISNUMBER(SEARCH(실물목록!$P$2:$P$1001,I532))*(실물목록!$Q$2:$Q$1001&lt;&gt;"")*ISNUMBER(SEARCH(실물목록!$Q$2:$Q$1001,I532))*(실물목록!$R$2:$R$1001="")*(실물목록!$O$2:$O$1001&lt;&gt;"")*(실물목록!$O$2:$O$1001=H532)))</f>
      </c>
      <c r="H532" t="str">
        <f>IFERROR(IF(AND(LEN(SUBSTITUTE(SUBSTITUTE(SUBSTITUTE(TRIM(A532&amp;""),CHAR(160),"")," ",""),"년",""))=4,VALUE(SUBSTITUTE(SUBSTITUTE(SUBSTITUTE(TRIM(A532&amp;""),CHAR(160),"")," ",""),"년",""))&gt;=1900,VALUE(SUBSTITUTE(SUBSTITUTE(SUBSTITUTE(TRIM(A532&amp;""),CHAR(160),"")," ",""),"년",""))&lt;=2099,TEXT(VALUE(SUBSTITUTE(SUBSTITUTE(SUBSTITUTE(TRIM(A532&amp;""),CHAR(160),"")," ",""),"년","")),"0000")=SUBSTITUTE(SUBSTITUTE(SUBSTITUTE(TRIM(A532&amp;""),CHAR(160),"")," ",""),"년","")),SUBSTITUTE(SUBSTITUTE(SUBSTITUTE(TRIM(A532&amp;""),CHAR(160),"")," ",""),"년",""),""),"")</f>
      </c>
      <c r="I532" t="str">
        <f>SUBSTITUTE(SUBSTITUTE(SUBSTITUTE(SUBSTITUTE(SUBSTITUTE(TRIM(B532&amp;""),CHAR(160),"")," ",""),"초등학교","초"),"중학교","중"),"고등학교","고")</f>
      </c>
    </row>
    <row r="533" customFormat="false" ht="15" hidden="false" customHeight="false" outlineLevel="0" collapsed="false">
      <c r="A533" s="8"/>
      <c r="B533" s="8"/>
      <c r="C533" s="8"/>
      <c r="D533" s="8"/>
      <c r="E533" s="8"/>
      <c r="F533" t="str" s="15">
        <f aca="0">IF(B533="","",IF(H533="","확인필요(입력누락)",IF(SUMPRODUCT((실물목록!$P$2:$P$1001&lt;&gt;"")*ISNUMBER(SEARCH(실물목록!$P$2:$P$1001,I533))*(실물목록!$Q$2:$Q$1001&lt;&gt;"")*ISNUMBER(SEARCH(실물목록!$Q$2:$Q$1001,I533))*(실물목록!$R$2:$R$1001="")*(실물목록!$O$2:$O$1001&lt;&gt;"")*(실물목록!$O$2:$O$1001=H533))&gt;0,"실물 있음",IF(SUMPRODUCT((실물목록!$P$2:$P$1001&lt;&gt;"")*ISNUMBER(SEARCH(실물목록!$P$2:$P$1001,I533))*(실물목록!$R$2:$R$1001&lt;&gt;""))&gt;0,"확인필요(입력누락)",IF(SUMPRODUCT((실물목록!$P$2:$P$1001&lt;&gt;"")*ISNUMBER(SEARCH(실물목록!$P$2:$P$1001,I533))*(실물목록!$Q$2:$Q$1001&lt;&gt;"")*ISNUMBER(SEARCH(실물목록!$Q$2:$Q$1001,I533))*(실물목록!$R$2:$R$1001="")*(실물목록!$O$2:$O$1001&lt;&gt;""))&gt;0,"확인필요(연도다름)","실물 없음")))))</f>
      </c>
      <c r="G533" t="n" s="16">
        <f aca="0">IF(B533="","",SUMPRODUCT((실물목록!$P$2:$P$1001&lt;&gt;"")*ISNUMBER(SEARCH(실물목록!$P$2:$P$1001,I533))*(실물목록!$Q$2:$Q$1001&lt;&gt;"")*ISNUMBER(SEARCH(실물목록!$Q$2:$Q$1001,I533))*(실물목록!$R$2:$R$1001="")*(실물목록!$O$2:$O$1001&lt;&gt;"")*(실물목록!$O$2:$O$1001=H533)))</f>
      </c>
      <c r="H533" t="str">
        <f>IFERROR(IF(AND(LEN(SUBSTITUTE(SUBSTITUTE(SUBSTITUTE(TRIM(A533&amp;""),CHAR(160),"")," ",""),"년",""))=4,VALUE(SUBSTITUTE(SUBSTITUTE(SUBSTITUTE(TRIM(A533&amp;""),CHAR(160),"")," ",""),"년",""))&gt;=1900,VALUE(SUBSTITUTE(SUBSTITUTE(SUBSTITUTE(TRIM(A533&amp;""),CHAR(160),"")," ",""),"년",""))&lt;=2099,TEXT(VALUE(SUBSTITUTE(SUBSTITUTE(SUBSTITUTE(TRIM(A533&amp;""),CHAR(160),"")," ",""),"년","")),"0000")=SUBSTITUTE(SUBSTITUTE(SUBSTITUTE(TRIM(A533&amp;""),CHAR(160),"")," ",""),"년","")),SUBSTITUTE(SUBSTITUTE(SUBSTITUTE(TRIM(A533&amp;""),CHAR(160),"")," ",""),"년",""),""),"")</f>
      </c>
      <c r="I533" t="str">
        <f>SUBSTITUTE(SUBSTITUTE(SUBSTITUTE(SUBSTITUTE(SUBSTITUTE(TRIM(B533&amp;""),CHAR(160),"")," ",""),"초등학교","초"),"중학교","중"),"고등학교","고")</f>
      </c>
    </row>
    <row r="534" customFormat="false" ht="15" hidden="false" customHeight="false" outlineLevel="0" collapsed="false">
      <c r="A534" s="8"/>
      <c r="B534" s="8"/>
      <c r="C534" s="8"/>
      <c r="D534" s="8"/>
      <c r="E534" s="8"/>
      <c r="F534" t="str" s="15">
        <f aca="0">IF(B534="","",IF(H534="","확인필요(입력누락)",IF(SUMPRODUCT((실물목록!$P$2:$P$1001&lt;&gt;"")*ISNUMBER(SEARCH(실물목록!$P$2:$P$1001,I534))*(실물목록!$Q$2:$Q$1001&lt;&gt;"")*ISNUMBER(SEARCH(실물목록!$Q$2:$Q$1001,I534))*(실물목록!$R$2:$R$1001="")*(실물목록!$O$2:$O$1001&lt;&gt;"")*(실물목록!$O$2:$O$1001=H534))&gt;0,"실물 있음",IF(SUMPRODUCT((실물목록!$P$2:$P$1001&lt;&gt;"")*ISNUMBER(SEARCH(실물목록!$P$2:$P$1001,I534))*(실물목록!$R$2:$R$1001&lt;&gt;""))&gt;0,"확인필요(입력누락)",IF(SUMPRODUCT((실물목록!$P$2:$P$1001&lt;&gt;"")*ISNUMBER(SEARCH(실물목록!$P$2:$P$1001,I534))*(실물목록!$Q$2:$Q$1001&lt;&gt;"")*ISNUMBER(SEARCH(실물목록!$Q$2:$Q$1001,I534))*(실물목록!$R$2:$R$1001="")*(실물목록!$O$2:$O$1001&lt;&gt;""))&gt;0,"확인필요(연도다름)","실물 없음")))))</f>
      </c>
      <c r="G534" t="n" s="16">
        <f aca="0">IF(B534="","",SUMPRODUCT((실물목록!$P$2:$P$1001&lt;&gt;"")*ISNUMBER(SEARCH(실물목록!$P$2:$P$1001,I534))*(실물목록!$Q$2:$Q$1001&lt;&gt;"")*ISNUMBER(SEARCH(실물목록!$Q$2:$Q$1001,I534))*(실물목록!$R$2:$R$1001="")*(실물목록!$O$2:$O$1001&lt;&gt;"")*(실물목록!$O$2:$O$1001=H534)))</f>
      </c>
      <c r="H534" t="str">
        <f>IFERROR(IF(AND(LEN(SUBSTITUTE(SUBSTITUTE(SUBSTITUTE(TRIM(A534&amp;""),CHAR(160),"")," ",""),"년",""))=4,VALUE(SUBSTITUTE(SUBSTITUTE(SUBSTITUTE(TRIM(A534&amp;""),CHAR(160),"")," ",""),"년",""))&gt;=1900,VALUE(SUBSTITUTE(SUBSTITUTE(SUBSTITUTE(TRIM(A534&amp;""),CHAR(160),"")," ",""),"년",""))&lt;=2099,TEXT(VALUE(SUBSTITUTE(SUBSTITUTE(SUBSTITUTE(TRIM(A534&amp;""),CHAR(160),"")," ",""),"년","")),"0000")=SUBSTITUTE(SUBSTITUTE(SUBSTITUTE(TRIM(A534&amp;""),CHAR(160),"")," ",""),"년","")),SUBSTITUTE(SUBSTITUTE(SUBSTITUTE(TRIM(A534&amp;""),CHAR(160),"")," ",""),"년",""),""),"")</f>
      </c>
      <c r="I534" t="str">
        <f>SUBSTITUTE(SUBSTITUTE(SUBSTITUTE(SUBSTITUTE(SUBSTITUTE(TRIM(B534&amp;""),CHAR(160),"")," ",""),"초등학교","초"),"중학교","중"),"고등학교","고")</f>
      </c>
    </row>
    <row r="535" customFormat="false" ht="15" hidden="false" customHeight="false" outlineLevel="0" collapsed="false">
      <c r="A535" s="8"/>
      <c r="B535" s="8"/>
      <c r="C535" s="8"/>
      <c r="D535" s="8"/>
      <c r="E535" s="8"/>
      <c r="F535" t="str" s="15">
        <f aca="0">IF(B535="","",IF(H535="","확인필요(입력누락)",IF(SUMPRODUCT((실물목록!$P$2:$P$1001&lt;&gt;"")*ISNUMBER(SEARCH(실물목록!$P$2:$P$1001,I535))*(실물목록!$Q$2:$Q$1001&lt;&gt;"")*ISNUMBER(SEARCH(실물목록!$Q$2:$Q$1001,I535))*(실물목록!$R$2:$R$1001="")*(실물목록!$O$2:$O$1001&lt;&gt;"")*(실물목록!$O$2:$O$1001=H535))&gt;0,"실물 있음",IF(SUMPRODUCT((실물목록!$P$2:$P$1001&lt;&gt;"")*ISNUMBER(SEARCH(실물목록!$P$2:$P$1001,I535))*(실물목록!$R$2:$R$1001&lt;&gt;""))&gt;0,"확인필요(입력누락)",IF(SUMPRODUCT((실물목록!$P$2:$P$1001&lt;&gt;"")*ISNUMBER(SEARCH(실물목록!$P$2:$P$1001,I535))*(실물목록!$Q$2:$Q$1001&lt;&gt;"")*ISNUMBER(SEARCH(실물목록!$Q$2:$Q$1001,I535))*(실물목록!$R$2:$R$1001="")*(실물목록!$O$2:$O$1001&lt;&gt;""))&gt;0,"확인필요(연도다름)","실물 없음")))))</f>
      </c>
      <c r="G535" t="n" s="16">
        <f aca="0">IF(B535="","",SUMPRODUCT((실물목록!$P$2:$P$1001&lt;&gt;"")*ISNUMBER(SEARCH(실물목록!$P$2:$P$1001,I535))*(실물목록!$Q$2:$Q$1001&lt;&gt;"")*ISNUMBER(SEARCH(실물목록!$Q$2:$Q$1001,I535))*(실물목록!$R$2:$R$1001="")*(실물목록!$O$2:$O$1001&lt;&gt;"")*(실물목록!$O$2:$O$1001=H535)))</f>
      </c>
      <c r="H535" t="str">
        <f>IFERROR(IF(AND(LEN(SUBSTITUTE(SUBSTITUTE(SUBSTITUTE(TRIM(A535&amp;""),CHAR(160),"")," ",""),"년",""))=4,VALUE(SUBSTITUTE(SUBSTITUTE(SUBSTITUTE(TRIM(A535&amp;""),CHAR(160),"")," ",""),"년",""))&gt;=1900,VALUE(SUBSTITUTE(SUBSTITUTE(SUBSTITUTE(TRIM(A535&amp;""),CHAR(160),"")," ",""),"년",""))&lt;=2099,TEXT(VALUE(SUBSTITUTE(SUBSTITUTE(SUBSTITUTE(TRIM(A535&amp;""),CHAR(160),"")," ",""),"년","")),"0000")=SUBSTITUTE(SUBSTITUTE(SUBSTITUTE(TRIM(A535&amp;""),CHAR(160),"")," ",""),"년","")),SUBSTITUTE(SUBSTITUTE(SUBSTITUTE(TRIM(A535&amp;""),CHAR(160),"")," ",""),"년",""),""),"")</f>
      </c>
      <c r="I535" t="str">
        <f>SUBSTITUTE(SUBSTITUTE(SUBSTITUTE(SUBSTITUTE(SUBSTITUTE(TRIM(B535&amp;""),CHAR(160),"")," ",""),"초등학교","초"),"중학교","중"),"고등학교","고")</f>
      </c>
    </row>
    <row r="536" customFormat="false" ht="15" hidden="false" customHeight="false" outlineLevel="0" collapsed="false">
      <c r="A536" s="8"/>
      <c r="B536" s="8"/>
      <c r="C536" s="8"/>
      <c r="D536" s="8"/>
      <c r="E536" s="8"/>
      <c r="F536" t="str" s="15">
        <f aca="0">IF(B536="","",IF(H536="","확인필요(입력누락)",IF(SUMPRODUCT((실물목록!$P$2:$P$1001&lt;&gt;"")*ISNUMBER(SEARCH(실물목록!$P$2:$P$1001,I536))*(실물목록!$Q$2:$Q$1001&lt;&gt;"")*ISNUMBER(SEARCH(실물목록!$Q$2:$Q$1001,I536))*(실물목록!$R$2:$R$1001="")*(실물목록!$O$2:$O$1001&lt;&gt;"")*(실물목록!$O$2:$O$1001=H536))&gt;0,"실물 있음",IF(SUMPRODUCT((실물목록!$P$2:$P$1001&lt;&gt;"")*ISNUMBER(SEARCH(실물목록!$P$2:$P$1001,I536))*(실물목록!$R$2:$R$1001&lt;&gt;""))&gt;0,"확인필요(입력누락)",IF(SUMPRODUCT((실물목록!$P$2:$P$1001&lt;&gt;"")*ISNUMBER(SEARCH(실물목록!$P$2:$P$1001,I536))*(실물목록!$Q$2:$Q$1001&lt;&gt;"")*ISNUMBER(SEARCH(실물목록!$Q$2:$Q$1001,I536))*(실물목록!$R$2:$R$1001="")*(실물목록!$O$2:$O$1001&lt;&gt;""))&gt;0,"확인필요(연도다름)","실물 없음")))))</f>
      </c>
      <c r="G536" t="n" s="16">
        <f aca="0">IF(B536="","",SUMPRODUCT((실물목록!$P$2:$P$1001&lt;&gt;"")*ISNUMBER(SEARCH(실물목록!$P$2:$P$1001,I536))*(실물목록!$Q$2:$Q$1001&lt;&gt;"")*ISNUMBER(SEARCH(실물목록!$Q$2:$Q$1001,I536))*(실물목록!$R$2:$R$1001="")*(실물목록!$O$2:$O$1001&lt;&gt;"")*(실물목록!$O$2:$O$1001=H536)))</f>
      </c>
      <c r="H536" t="str">
        <f>IFERROR(IF(AND(LEN(SUBSTITUTE(SUBSTITUTE(SUBSTITUTE(TRIM(A536&amp;""),CHAR(160),"")," ",""),"년",""))=4,VALUE(SUBSTITUTE(SUBSTITUTE(SUBSTITUTE(TRIM(A536&amp;""),CHAR(160),"")," ",""),"년",""))&gt;=1900,VALUE(SUBSTITUTE(SUBSTITUTE(SUBSTITUTE(TRIM(A536&amp;""),CHAR(160),"")," ",""),"년",""))&lt;=2099,TEXT(VALUE(SUBSTITUTE(SUBSTITUTE(SUBSTITUTE(TRIM(A536&amp;""),CHAR(160),"")," ",""),"년","")),"0000")=SUBSTITUTE(SUBSTITUTE(SUBSTITUTE(TRIM(A536&amp;""),CHAR(160),"")," ",""),"년","")),SUBSTITUTE(SUBSTITUTE(SUBSTITUTE(TRIM(A536&amp;""),CHAR(160),"")," ",""),"년",""),""),"")</f>
      </c>
      <c r="I536" t="str">
        <f>SUBSTITUTE(SUBSTITUTE(SUBSTITUTE(SUBSTITUTE(SUBSTITUTE(TRIM(B536&amp;""),CHAR(160),"")," ",""),"초등학교","초"),"중학교","중"),"고등학교","고")</f>
      </c>
    </row>
    <row r="537" customFormat="false" ht="15" hidden="false" customHeight="false" outlineLevel="0" collapsed="false">
      <c r="A537" s="8"/>
      <c r="B537" s="8"/>
      <c r="C537" s="8"/>
      <c r="D537" s="8"/>
      <c r="E537" s="8"/>
      <c r="F537" t="str" s="15">
        <f aca="0">IF(B537="","",IF(H537="","확인필요(입력누락)",IF(SUMPRODUCT((실물목록!$P$2:$P$1001&lt;&gt;"")*ISNUMBER(SEARCH(실물목록!$P$2:$P$1001,I537))*(실물목록!$Q$2:$Q$1001&lt;&gt;"")*ISNUMBER(SEARCH(실물목록!$Q$2:$Q$1001,I537))*(실물목록!$R$2:$R$1001="")*(실물목록!$O$2:$O$1001&lt;&gt;"")*(실물목록!$O$2:$O$1001=H537))&gt;0,"실물 있음",IF(SUMPRODUCT((실물목록!$P$2:$P$1001&lt;&gt;"")*ISNUMBER(SEARCH(실물목록!$P$2:$P$1001,I537))*(실물목록!$R$2:$R$1001&lt;&gt;""))&gt;0,"확인필요(입력누락)",IF(SUMPRODUCT((실물목록!$P$2:$P$1001&lt;&gt;"")*ISNUMBER(SEARCH(실물목록!$P$2:$P$1001,I537))*(실물목록!$Q$2:$Q$1001&lt;&gt;"")*ISNUMBER(SEARCH(실물목록!$Q$2:$Q$1001,I537))*(실물목록!$R$2:$R$1001="")*(실물목록!$O$2:$O$1001&lt;&gt;""))&gt;0,"확인필요(연도다름)","실물 없음")))))</f>
      </c>
      <c r="G537" t="n" s="16">
        <f aca="0">IF(B537="","",SUMPRODUCT((실물목록!$P$2:$P$1001&lt;&gt;"")*ISNUMBER(SEARCH(실물목록!$P$2:$P$1001,I537))*(실물목록!$Q$2:$Q$1001&lt;&gt;"")*ISNUMBER(SEARCH(실물목록!$Q$2:$Q$1001,I537))*(실물목록!$R$2:$R$1001="")*(실물목록!$O$2:$O$1001&lt;&gt;"")*(실물목록!$O$2:$O$1001=H537)))</f>
      </c>
      <c r="H537" t="str">
        <f>IFERROR(IF(AND(LEN(SUBSTITUTE(SUBSTITUTE(SUBSTITUTE(TRIM(A537&amp;""),CHAR(160),"")," ",""),"년",""))=4,VALUE(SUBSTITUTE(SUBSTITUTE(SUBSTITUTE(TRIM(A537&amp;""),CHAR(160),"")," ",""),"년",""))&gt;=1900,VALUE(SUBSTITUTE(SUBSTITUTE(SUBSTITUTE(TRIM(A537&amp;""),CHAR(160),"")," ",""),"년",""))&lt;=2099,TEXT(VALUE(SUBSTITUTE(SUBSTITUTE(SUBSTITUTE(TRIM(A537&amp;""),CHAR(160),"")," ",""),"년","")),"0000")=SUBSTITUTE(SUBSTITUTE(SUBSTITUTE(TRIM(A537&amp;""),CHAR(160),"")," ",""),"년","")),SUBSTITUTE(SUBSTITUTE(SUBSTITUTE(TRIM(A537&amp;""),CHAR(160),"")," ",""),"년",""),""),"")</f>
      </c>
      <c r="I537" t="str">
        <f>SUBSTITUTE(SUBSTITUTE(SUBSTITUTE(SUBSTITUTE(SUBSTITUTE(TRIM(B537&amp;""),CHAR(160),"")," ",""),"초등학교","초"),"중학교","중"),"고등학교","고")</f>
      </c>
    </row>
    <row r="538" customFormat="false" ht="15" hidden="false" customHeight="false" outlineLevel="0" collapsed="false">
      <c r="A538" s="8"/>
      <c r="B538" s="8"/>
      <c r="C538" s="8"/>
      <c r="D538" s="8"/>
      <c r="E538" s="8"/>
      <c r="F538" t="str" s="15">
        <f aca="0">IF(B538="","",IF(H538="","확인필요(입력누락)",IF(SUMPRODUCT((실물목록!$P$2:$P$1001&lt;&gt;"")*ISNUMBER(SEARCH(실물목록!$P$2:$P$1001,I538))*(실물목록!$Q$2:$Q$1001&lt;&gt;"")*ISNUMBER(SEARCH(실물목록!$Q$2:$Q$1001,I538))*(실물목록!$R$2:$R$1001="")*(실물목록!$O$2:$O$1001&lt;&gt;"")*(실물목록!$O$2:$O$1001=H538))&gt;0,"실물 있음",IF(SUMPRODUCT((실물목록!$P$2:$P$1001&lt;&gt;"")*ISNUMBER(SEARCH(실물목록!$P$2:$P$1001,I538))*(실물목록!$R$2:$R$1001&lt;&gt;""))&gt;0,"확인필요(입력누락)",IF(SUMPRODUCT((실물목록!$P$2:$P$1001&lt;&gt;"")*ISNUMBER(SEARCH(실물목록!$P$2:$P$1001,I538))*(실물목록!$Q$2:$Q$1001&lt;&gt;"")*ISNUMBER(SEARCH(실물목록!$Q$2:$Q$1001,I538))*(실물목록!$R$2:$R$1001="")*(실물목록!$O$2:$O$1001&lt;&gt;""))&gt;0,"확인필요(연도다름)","실물 없음")))))</f>
      </c>
      <c r="G538" t="n" s="16">
        <f aca="0">IF(B538="","",SUMPRODUCT((실물목록!$P$2:$P$1001&lt;&gt;"")*ISNUMBER(SEARCH(실물목록!$P$2:$P$1001,I538))*(실물목록!$Q$2:$Q$1001&lt;&gt;"")*ISNUMBER(SEARCH(실물목록!$Q$2:$Q$1001,I538))*(실물목록!$R$2:$R$1001="")*(실물목록!$O$2:$O$1001&lt;&gt;"")*(실물목록!$O$2:$O$1001=H538)))</f>
      </c>
      <c r="H538" t="str">
        <f>IFERROR(IF(AND(LEN(SUBSTITUTE(SUBSTITUTE(SUBSTITUTE(TRIM(A538&amp;""),CHAR(160),"")," ",""),"년",""))=4,VALUE(SUBSTITUTE(SUBSTITUTE(SUBSTITUTE(TRIM(A538&amp;""),CHAR(160),"")," ",""),"년",""))&gt;=1900,VALUE(SUBSTITUTE(SUBSTITUTE(SUBSTITUTE(TRIM(A538&amp;""),CHAR(160),"")," ",""),"년",""))&lt;=2099,TEXT(VALUE(SUBSTITUTE(SUBSTITUTE(SUBSTITUTE(TRIM(A538&amp;""),CHAR(160),"")," ",""),"년","")),"0000")=SUBSTITUTE(SUBSTITUTE(SUBSTITUTE(TRIM(A538&amp;""),CHAR(160),"")," ",""),"년","")),SUBSTITUTE(SUBSTITUTE(SUBSTITUTE(TRIM(A538&amp;""),CHAR(160),"")," ",""),"년",""),""),"")</f>
      </c>
      <c r="I538" t="str">
        <f>SUBSTITUTE(SUBSTITUTE(SUBSTITUTE(SUBSTITUTE(SUBSTITUTE(TRIM(B538&amp;""),CHAR(160),"")," ",""),"초등학교","초"),"중학교","중"),"고등학교","고")</f>
      </c>
    </row>
    <row r="539" customFormat="false" ht="15" hidden="false" customHeight="false" outlineLevel="0" collapsed="false">
      <c r="A539" s="8"/>
      <c r="B539" s="8"/>
      <c r="C539" s="8"/>
      <c r="D539" s="8"/>
      <c r="E539" s="8"/>
      <c r="F539" t="str" s="15">
        <f aca="0">IF(B539="","",IF(H539="","확인필요(입력누락)",IF(SUMPRODUCT((실물목록!$P$2:$P$1001&lt;&gt;"")*ISNUMBER(SEARCH(실물목록!$P$2:$P$1001,I539))*(실물목록!$Q$2:$Q$1001&lt;&gt;"")*ISNUMBER(SEARCH(실물목록!$Q$2:$Q$1001,I539))*(실물목록!$R$2:$R$1001="")*(실물목록!$O$2:$O$1001&lt;&gt;"")*(실물목록!$O$2:$O$1001=H539))&gt;0,"실물 있음",IF(SUMPRODUCT((실물목록!$P$2:$P$1001&lt;&gt;"")*ISNUMBER(SEARCH(실물목록!$P$2:$P$1001,I539))*(실물목록!$R$2:$R$1001&lt;&gt;""))&gt;0,"확인필요(입력누락)",IF(SUMPRODUCT((실물목록!$P$2:$P$1001&lt;&gt;"")*ISNUMBER(SEARCH(실물목록!$P$2:$P$1001,I539))*(실물목록!$Q$2:$Q$1001&lt;&gt;"")*ISNUMBER(SEARCH(실물목록!$Q$2:$Q$1001,I539))*(실물목록!$R$2:$R$1001="")*(실물목록!$O$2:$O$1001&lt;&gt;""))&gt;0,"확인필요(연도다름)","실물 없음")))))</f>
      </c>
      <c r="G539" t="n" s="16">
        <f aca="0">IF(B539="","",SUMPRODUCT((실물목록!$P$2:$P$1001&lt;&gt;"")*ISNUMBER(SEARCH(실물목록!$P$2:$P$1001,I539))*(실물목록!$Q$2:$Q$1001&lt;&gt;"")*ISNUMBER(SEARCH(실물목록!$Q$2:$Q$1001,I539))*(실물목록!$R$2:$R$1001="")*(실물목록!$O$2:$O$1001&lt;&gt;"")*(실물목록!$O$2:$O$1001=H539)))</f>
      </c>
      <c r="H539" t="str">
        <f>IFERROR(IF(AND(LEN(SUBSTITUTE(SUBSTITUTE(SUBSTITUTE(TRIM(A539&amp;""),CHAR(160),"")," ",""),"년",""))=4,VALUE(SUBSTITUTE(SUBSTITUTE(SUBSTITUTE(TRIM(A539&amp;""),CHAR(160),"")," ",""),"년",""))&gt;=1900,VALUE(SUBSTITUTE(SUBSTITUTE(SUBSTITUTE(TRIM(A539&amp;""),CHAR(160),"")," ",""),"년",""))&lt;=2099,TEXT(VALUE(SUBSTITUTE(SUBSTITUTE(SUBSTITUTE(TRIM(A539&amp;""),CHAR(160),"")," ",""),"년","")),"0000")=SUBSTITUTE(SUBSTITUTE(SUBSTITUTE(TRIM(A539&amp;""),CHAR(160),"")," ",""),"년","")),SUBSTITUTE(SUBSTITUTE(SUBSTITUTE(TRIM(A539&amp;""),CHAR(160),"")," ",""),"년",""),""),"")</f>
      </c>
      <c r="I539" t="str">
        <f>SUBSTITUTE(SUBSTITUTE(SUBSTITUTE(SUBSTITUTE(SUBSTITUTE(TRIM(B539&amp;""),CHAR(160),"")," ",""),"초등학교","초"),"중학교","중"),"고등학교","고")</f>
      </c>
    </row>
    <row r="540" customFormat="false" ht="15" hidden="false" customHeight="false" outlineLevel="0" collapsed="false">
      <c r="A540" s="8"/>
      <c r="B540" s="8"/>
      <c r="C540" s="8"/>
      <c r="D540" s="8"/>
      <c r="E540" s="8"/>
      <c r="F540" t="str" s="15">
        <f aca="0">IF(B540="","",IF(H540="","확인필요(입력누락)",IF(SUMPRODUCT((실물목록!$P$2:$P$1001&lt;&gt;"")*ISNUMBER(SEARCH(실물목록!$P$2:$P$1001,I540))*(실물목록!$Q$2:$Q$1001&lt;&gt;"")*ISNUMBER(SEARCH(실물목록!$Q$2:$Q$1001,I540))*(실물목록!$R$2:$R$1001="")*(실물목록!$O$2:$O$1001&lt;&gt;"")*(실물목록!$O$2:$O$1001=H540))&gt;0,"실물 있음",IF(SUMPRODUCT((실물목록!$P$2:$P$1001&lt;&gt;"")*ISNUMBER(SEARCH(실물목록!$P$2:$P$1001,I540))*(실물목록!$R$2:$R$1001&lt;&gt;""))&gt;0,"확인필요(입력누락)",IF(SUMPRODUCT((실물목록!$P$2:$P$1001&lt;&gt;"")*ISNUMBER(SEARCH(실물목록!$P$2:$P$1001,I540))*(실물목록!$Q$2:$Q$1001&lt;&gt;"")*ISNUMBER(SEARCH(실물목록!$Q$2:$Q$1001,I540))*(실물목록!$R$2:$R$1001="")*(실물목록!$O$2:$O$1001&lt;&gt;""))&gt;0,"확인필요(연도다름)","실물 없음")))))</f>
      </c>
      <c r="G540" t="n" s="16">
        <f aca="0">IF(B540="","",SUMPRODUCT((실물목록!$P$2:$P$1001&lt;&gt;"")*ISNUMBER(SEARCH(실물목록!$P$2:$P$1001,I540))*(실물목록!$Q$2:$Q$1001&lt;&gt;"")*ISNUMBER(SEARCH(실물목록!$Q$2:$Q$1001,I540))*(실물목록!$R$2:$R$1001="")*(실물목록!$O$2:$O$1001&lt;&gt;"")*(실물목록!$O$2:$O$1001=H540)))</f>
      </c>
      <c r="H540" t="str">
        <f>IFERROR(IF(AND(LEN(SUBSTITUTE(SUBSTITUTE(SUBSTITUTE(TRIM(A540&amp;""),CHAR(160),"")," ",""),"년",""))=4,VALUE(SUBSTITUTE(SUBSTITUTE(SUBSTITUTE(TRIM(A540&amp;""),CHAR(160),"")," ",""),"년",""))&gt;=1900,VALUE(SUBSTITUTE(SUBSTITUTE(SUBSTITUTE(TRIM(A540&amp;""),CHAR(160),"")," ",""),"년",""))&lt;=2099,TEXT(VALUE(SUBSTITUTE(SUBSTITUTE(SUBSTITUTE(TRIM(A540&amp;""),CHAR(160),"")," ",""),"년","")),"0000")=SUBSTITUTE(SUBSTITUTE(SUBSTITUTE(TRIM(A540&amp;""),CHAR(160),"")," ",""),"년","")),SUBSTITUTE(SUBSTITUTE(SUBSTITUTE(TRIM(A540&amp;""),CHAR(160),"")," ",""),"년",""),""),"")</f>
      </c>
      <c r="I540" t="str">
        <f>SUBSTITUTE(SUBSTITUTE(SUBSTITUTE(SUBSTITUTE(SUBSTITUTE(TRIM(B540&amp;""),CHAR(160),"")," ",""),"초등학교","초"),"중학교","중"),"고등학교","고")</f>
      </c>
    </row>
    <row r="541" customFormat="false" ht="15" hidden="false" customHeight="false" outlineLevel="0" collapsed="false">
      <c r="A541" s="8"/>
      <c r="B541" s="8"/>
      <c r="C541" s="8"/>
      <c r="D541" s="8"/>
      <c r="E541" s="8"/>
      <c r="F541" t="str" s="15">
        <f aca="0">IF(B541="","",IF(H541="","확인필요(입력누락)",IF(SUMPRODUCT((실물목록!$P$2:$P$1001&lt;&gt;"")*ISNUMBER(SEARCH(실물목록!$P$2:$P$1001,I541))*(실물목록!$Q$2:$Q$1001&lt;&gt;"")*ISNUMBER(SEARCH(실물목록!$Q$2:$Q$1001,I541))*(실물목록!$R$2:$R$1001="")*(실물목록!$O$2:$O$1001&lt;&gt;"")*(실물목록!$O$2:$O$1001=H541))&gt;0,"실물 있음",IF(SUMPRODUCT((실물목록!$P$2:$P$1001&lt;&gt;"")*ISNUMBER(SEARCH(실물목록!$P$2:$P$1001,I541))*(실물목록!$R$2:$R$1001&lt;&gt;""))&gt;0,"확인필요(입력누락)",IF(SUMPRODUCT((실물목록!$P$2:$P$1001&lt;&gt;"")*ISNUMBER(SEARCH(실물목록!$P$2:$P$1001,I541))*(실물목록!$Q$2:$Q$1001&lt;&gt;"")*ISNUMBER(SEARCH(실물목록!$Q$2:$Q$1001,I541))*(실물목록!$R$2:$R$1001="")*(실물목록!$O$2:$O$1001&lt;&gt;""))&gt;0,"확인필요(연도다름)","실물 없음")))))</f>
      </c>
      <c r="G541" t="n" s="16">
        <f aca="0">IF(B541="","",SUMPRODUCT((실물목록!$P$2:$P$1001&lt;&gt;"")*ISNUMBER(SEARCH(실물목록!$P$2:$P$1001,I541))*(실물목록!$Q$2:$Q$1001&lt;&gt;"")*ISNUMBER(SEARCH(실물목록!$Q$2:$Q$1001,I541))*(실물목록!$R$2:$R$1001="")*(실물목록!$O$2:$O$1001&lt;&gt;"")*(실물목록!$O$2:$O$1001=H541)))</f>
      </c>
      <c r="H541" t="str">
        <f>IFERROR(IF(AND(LEN(SUBSTITUTE(SUBSTITUTE(SUBSTITUTE(TRIM(A541&amp;""),CHAR(160),"")," ",""),"년",""))=4,VALUE(SUBSTITUTE(SUBSTITUTE(SUBSTITUTE(TRIM(A541&amp;""),CHAR(160),"")," ",""),"년",""))&gt;=1900,VALUE(SUBSTITUTE(SUBSTITUTE(SUBSTITUTE(TRIM(A541&amp;""),CHAR(160),"")," ",""),"년",""))&lt;=2099,TEXT(VALUE(SUBSTITUTE(SUBSTITUTE(SUBSTITUTE(TRIM(A541&amp;""),CHAR(160),"")," ",""),"년","")),"0000")=SUBSTITUTE(SUBSTITUTE(SUBSTITUTE(TRIM(A541&amp;""),CHAR(160),"")," ",""),"년","")),SUBSTITUTE(SUBSTITUTE(SUBSTITUTE(TRIM(A541&amp;""),CHAR(160),"")," ",""),"년",""),""),"")</f>
      </c>
      <c r="I541" t="str">
        <f>SUBSTITUTE(SUBSTITUTE(SUBSTITUTE(SUBSTITUTE(SUBSTITUTE(TRIM(B541&amp;""),CHAR(160),"")," ",""),"초등학교","초"),"중학교","중"),"고등학교","고")</f>
      </c>
    </row>
    <row r="542" customFormat="false" ht="15" hidden="false" customHeight="false" outlineLevel="0" collapsed="false">
      <c r="A542" s="8"/>
      <c r="B542" s="8"/>
      <c r="C542" s="8"/>
      <c r="D542" s="8"/>
      <c r="E542" s="8"/>
      <c r="F542" t="str" s="15">
        <f aca="0">IF(B542="","",IF(H542="","확인필요(입력누락)",IF(SUMPRODUCT((실물목록!$P$2:$P$1001&lt;&gt;"")*ISNUMBER(SEARCH(실물목록!$P$2:$P$1001,I542))*(실물목록!$Q$2:$Q$1001&lt;&gt;"")*ISNUMBER(SEARCH(실물목록!$Q$2:$Q$1001,I542))*(실물목록!$R$2:$R$1001="")*(실물목록!$O$2:$O$1001&lt;&gt;"")*(실물목록!$O$2:$O$1001=H542))&gt;0,"실물 있음",IF(SUMPRODUCT((실물목록!$P$2:$P$1001&lt;&gt;"")*ISNUMBER(SEARCH(실물목록!$P$2:$P$1001,I542))*(실물목록!$R$2:$R$1001&lt;&gt;""))&gt;0,"확인필요(입력누락)",IF(SUMPRODUCT((실물목록!$P$2:$P$1001&lt;&gt;"")*ISNUMBER(SEARCH(실물목록!$P$2:$P$1001,I542))*(실물목록!$Q$2:$Q$1001&lt;&gt;"")*ISNUMBER(SEARCH(실물목록!$Q$2:$Q$1001,I542))*(실물목록!$R$2:$R$1001="")*(실물목록!$O$2:$O$1001&lt;&gt;""))&gt;0,"확인필요(연도다름)","실물 없음")))))</f>
      </c>
      <c r="G542" t="n" s="16">
        <f aca="0">IF(B542="","",SUMPRODUCT((실물목록!$P$2:$P$1001&lt;&gt;"")*ISNUMBER(SEARCH(실물목록!$P$2:$P$1001,I542))*(실물목록!$Q$2:$Q$1001&lt;&gt;"")*ISNUMBER(SEARCH(실물목록!$Q$2:$Q$1001,I542))*(실물목록!$R$2:$R$1001="")*(실물목록!$O$2:$O$1001&lt;&gt;"")*(실물목록!$O$2:$O$1001=H542)))</f>
      </c>
      <c r="H542" t="str">
        <f>IFERROR(IF(AND(LEN(SUBSTITUTE(SUBSTITUTE(SUBSTITUTE(TRIM(A542&amp;""),CHAR(160),"")," ",""),"년",""))=4,VALUE(SUBSTITUTE(SUBSTITUTE(SUBSTITUTE(TRIM(A542&amp;""),CHAR(160),"")," ",""),"년",""))&gt;=1900,VALUE(SUBSTITUTE(SUBSTITUTE(SUBSTITUTE(TRIM(A542&amp;""),CHAR(160),"")," ",""),"년",""))&lt;=2099,TEXT(VALUE(SUBSTITUTE(SUBSTITUTE(SUBSTITUTE(TRIM(A542&amp;""),CHAR(160),"")," ",""),"년","")),"0000")=SUBSTITUTE(SUBSTITUTE(SUBSTITUTE(TRIM(A542&amp;""),CHAR(160),"")," ",""),"년","")),SUBSTITUTE(SUBSTITUTE(SUBSTITUTE(TRIM(A542&amp;""),CHAR(160),"")," ",""),"년",""),""),"")</f>
      </c>
      <c r="I542" t="str">
        <f>SUBSTITUTE(SUBSTITUTE(SUBSTITUTE(SUBSTITUTE(SUBSTITUTE(TRIM(B542&amp;""),CHAR(160),"")," ",""),"초등학교","초"),"중학교","중"),"고등학교","고")</f>
      </c>
    </row>
    <row r="543" customFormat="false" ht="15" hidden="false" customHeight="false" outlineLevel="0" collapsed="false">
      <c r="A543" s="8"/>
      <c r="B543" s="8"/>
      <c r="C543" s="8"/>
      <c r="D543" s="8"/>
      <c r="E543" s="8"/>
      <c r="F543" t="str" s="15">
        <f aca="0">IF(B543="","",IF(H543="","확인필요(입력누락)",IF(SUMPRODUCT((실물목록!$P$2:$P$1001&lt;&gt;"")*ISNUMBER(SEARCH(실물목록!$P$2:$P$1001,I543))*(실물목록!$Q$2:$Q$1001&lt;&gt;"")*ISNUMBER(SEARCH(실물목록!$Q$2:$Q$1001,I543))*(실물목록!$R$2:$R$1001="")*(실물목록!$O$2:$O$1001&lt;&gt;"")*(실물목록!$O$2:$O$1001=H543))&gt;0,"실물 있음",IF(SUMPRODUCT((실물목록!$P$2:$P$1001&lt;&gt;"")*ISNUMBER(SEARCH(실물목록!$P$2:$P$1001,I543))*(실물목록!$R$2:$R$1001&lt;&gt;""))&gt;0,"확인필요(입력누락)",IF(SUMPRODUCT((실물목록!$P$2:$P$1001&lt;&gt;"")*ISNUMBER(SEARCH(실물목록!$P$2:$P$1001,I543))*(실물목록!$Q$2:$Q$1001&lt;&gt;"")*ISNUMBER(SEARCH(실물목록!$Q$2:$Q$1001,I543))*(실물목록!$R$2:$R$1001="")*(실물목록!$O$2:$O$1001&lt;&gt;""))&gt;0,"확인필요(연도다름)","실물 없음")))))</f>
      </c>
      <c r="G543" t="n" s="16">
        <f aca="0">IF(B543="","",SUMPRODUCT((실물목록!$P$2:$P$1001&lt;&gt;"")*ISNUMBER(SEARCH(실물목록!$P$2:$P$1001,I543))*(실물목록!$Q$2:$Q$1001&lt;&gt;"")*ISNUMBER(SEARCH(실물목록!$Q$2:$Q$1001,I543))*(실물목록!$R$2:$R$1001="")*(실물목록!$O$2:$O$1001&lt;&gt;"")*(실물목록!$O$2:$O$1001=H543)))</f>
      </c>
      <c r="H543" t="str">
        <f>IFERROR(IF(AND(LEN(SUBSTITUTE(SUBSTITUTE(SUBSTITUTE(TRIM(A543&amp;""),CHAR(160),"")," ",""),"년",""))=4,VALUE(SUBSTITUTE(SUBSTITUTE(SUBSTITUTE(TRIM(A543&amp;""),CHAR(160),"")," ",""),"년",""))&gt;=1900,VALUE(SUBSTITUTE(SUBSTITUTE(SUBSTITUTE(TRIM(A543&amp;""),CHAR(160),"")," ",""),"년",""))&lt;=2099,TEXT(VALUE(SUBSTITUTE(SUBSTITUTE(SUBSTITUTE(TRIM(A543&amp;""),CHAR(160),"")," ",""),"년","")),"0000")=SUBSTITUTE(SUBSTITUTE(SUBSTITUTE(TRIM(A543&amp;""),CHAR(160),"")," ",""),"년","")),SUBSTITUTE(SUBSTITUTE(SUBSTITUTE(TRIM(A543&amp;""),CHAR(160),"")," ",""),"년",""),""),"")</f>
      </c>
      <c r="I543" t="str">
        <f>SUBSTITUTE(SUBSTITUTE(SUBSTITUTE(SUBSTITUTE(SUBSTITUTE(TRIM(B543&amp;""),CHAR(160),"")," ",""),"초등학교","초"),"중학교","중"),"고등학교","고")</f>
      </c>
    </row>
    <row r="544" customFormat="false" ht="15" hidden="false" customHeight="false" outlineLevel="0" collapsed="false">
      <c r="A544" s="8"/>
      <c r="B544" s="8"/>
      <c r="C544" s="8"/>
      <c r="D544" s="8"/>
      <c r="E544" s="8"/>
      <c r="F544" t="str" s="15">
        <f aca="0">IF(B544="","",IF(H544="","확인필요(입력누락)",IF(SUMPRODUCT((실물목록!$P$2:$P$1001&lt;&gt;"")*ISNUMBER(SEARCH(실물목록!$P$2:$P$1001,I544))*(실물목록!$Q$2:$Q$1001&lt;&gt;"")*ISNUMBER(SEARCH(실물목록!$Q$2:$Q$1001,I544))*(실물목록!$R$2:$R$1001="")*(실물목록!$O$2:$O$1001&lt;&gt;"")*(실물목록!$O$2:$O$1001=H544))&gt;0,"실물 있음",IF(SUMPRODUCT((실물목록!$P$2:$P$1001&lt;&gt;"")*ISNUMBER(SEARCH(실물목록!$P$2:$P$1001,I544))*(실물목록!$R$2:$R$1001&lt;&gt;""))&gt;0,"확인필요(입력누락)",IF(SUMPRODUCT((실물목록!$P$2:$P$1001&lt;&gt;"")*ISNUMBER(SEARCH(실물목록!$P$2:$P$1001,I544))*(실물목록!$Q$2:$Q$1001&lt;&gt;"")*ISNUMBER(SEARCH(실물목록!$Q$2:$Q$1001,I544))*(실물목록!$R$2:$R$1001="")*(실물목록!$O$2:$O$1001&lt;&gt;""))&gt;0,"확인필요(연도다름)","실물 없음")))))</f>
      </c>
      <c r="G544" t="n" s="16">
        <f aca="0">IF(B544="","",SUMPRODUCT((실물목록!$P$2:$P$1001&lt;&gt;"")*ISNUMBER(SEARCH(실물목록!$P$2:$P$1001,I544))*(실물목록!$Q$2:$Q$1001&lt;&gt;"")*ISNUMBER(SEARCH(실물목록!$Q$2:$Q$1001,I544))*(실물목록!$R$2:$R$1001="")*(실물목록!$O$2:$O$1001&lt;&gt;"")*(실물목록!$O$2:$O$1001=H544)))</f>
      </c>
      <c r="H544" t="str">
        <f>IFERROR(IF(AND(LEN(SUBSTITUTE(SUBSTITUTE(SUBSTITUTE(TRIM(A544&amp;""),CHAR(160),"")," ",""),"년",""))=4,VALUE(SUBSTITUTE(SUBSTITUTE(SUBSTITUTE(TRIM(A544&amp;""),CHAR(160),"")," ",""),"년",""))&gt;=1900,VALUE(SUBSTITUTE(SUBSTITUTE(SUBSTITUTE(TRIM(A544&amp;""),CHAR(160),"")," ",""),"년",""))&lt;=2099,TEXT(VALUE(SUBSTITUTE(SUBSTITUTE(SUBSTITUTE(TRIM(A544&amp;""),CHAR(160),"")," ",""),"년","")),"0000")=SUBSTITUTE(SUBSTITUTE(SUBSTITUTE(TRIM(A544&amp;""),CHAR(160),"")," ",""),"년","")),SUBSTITUTE(SUBSTITUTE(SUBSTITUTE(TRIM(A544&amp;""),CHAR(160),"")," ",""),"년",""),""),"")</f>
      </c>
      <c r="I544" t="str">
        <f>SUBSTITUTE(SUBSTITUTE(SUBSTITUTE(SUBSTITUTE(SUBSTITUTE(TRIM(B544&amp;""),CHAR(160),"")," ",""),"초등학교","초"),"중학교","중"),"고등학교","고")</f>
      </c>
    </row>
    <row r="545" customFormat="false" ht="15" hidden="false" customHeight="false" outlineLevel="0" collapsed="false">
      <c r="A545" s="8"/>
      <c r="B545" s="8"/>
      <c r="C545" s="8"/>
      <c r="D545" s="8"/>
      <c r="E545" s="8"/>
      <c r="F545" t="str" s="15">
        <f aca="0">IF(B545="","",IF(H545="","확인필요(입력누락)",IF(SUMPRODUCT((실물목록!$P$2:$P$1001&lt;&gt;"")*ISNUMBER(SEARCH(실물목록!$P$2:$P$1001,I545))*(실물목록!$Q$2:$Q$1001&lt;&gt;"")*ISNUMBER(SEARCH(실물목록!$Q$2:$Q$1001,I545))*(실물목록!$R$2:$R$1001="")*(실물목록!$O$2:$O$1001&lt;&gt;"")*(실물목록!$O$2:$O$1001=H545))&gt;0,"실물 있음",IF(SUMPRODUCT((실물목록!$P$2:$P$1001&lt;&gt;"")*ISNUMBER(SEARCH(실물목록!$P$2:$P$1001,I545))*(실물목록!$R$2:$R$1001&lt;&gt;""))&gt;0,"확인필요(입력누락)",IF(SUMPRODUCT((실물목록!$P$2:$P$1001&lt;&gt;"")*ISNUMBER(SEARCH(실물목록!$P$2:$P$1001,I545))*(실물목록!$Q$2:$Q$1001&lt;&gt;"")*ISNUMBER(SEARCH(실물목록!$Q$2:$Q$1001,I545))*(실물목록!$R$2:$R$1001="")*(실물목록!$O$2:$O$1001&lt;&gt;""))&gt;0,"확인필요(연도다름)","실물 없음")))))</f>
      </c>
      <c r="G545" t="n" s="16">
        <f aca="0">IF(B545="","",SUMPRODUCT((실물목록!$P$2:$P$1001&lt;&gt;"")*ISNUMBER(SEARCH(실물목록!$P$2:$P$1001,I545))*(실물목록!$Q$2:$Q$1001&lt;&gt;"")*ISNUMBER(SEARCH(실물목록!$Q$2:$Q$1001,I545))*(실물목록!$R$2:$R$1001="")*(실물목록!$O$2:$O$1001&lt;&gt;"")*(실물목록!$O$2:$O$1001=H545)))</f>
      </c>
      <c r="H545" t="str">
        <f>IFERROR(IF(AND(LEN(SUBSTITUTE(SUBSTITUTE(SUBSTITUTE(TRIM(A545&amp;""),CHAR(160),"")," ",""),"년",""))=4,VALUE(SUBSTITUTE(SUBSTITUTE(SUBSTITUTE(TRIM(A545&amp;""),CHAR(160),"")," ",""),"년",""))&gt;=1900,VALUE(SUBSTITUTE(SUBSTITUTE(SUBSTITUTE(TRIM(A545&amp;""),CHAR(160),"")," ",""),"년",""))&lt;=2099,TEXT(VALUE(SUBSTITUTE(SUBSTITUTE(SUBSTITUTE(TRIM(A545&amp;""),CHAR(160),"")," ",""),"년","")),"0000")=SUBSTITUTE(SUBSTITUTE(SUBSTITUTE(TRIM(A545&amp;""),CHAR(160),"")," ",""),"년","")),SUBSTITUTE(SUBSTITUTE(SUBSTITUTE(TRIM(A545&amp;""),CHAR(160),"")," ",""),"년",""),""),"")</f>
      </c>
      <c r="I545" t="str">
        <f>SUBSTITUTE(SUBSTITUTE(SUBSTITUTE(SUBSTITUTE(SUBSTITUTE(TRIM(B545&amp;""),CHAR(160),"")," ",""),"초등학교","초"),"중학교","중"),"고등학교","고")</f>
      </c>
    </row>
    <row r="546" customFormat="false" ht="15" hidden="false" customHeight="false" outlineLevel="0" collapsed="false">
      <c r="A546" s="8"/>
      <c r="B546" s="8"/>
      <c r="C546" s="8"/>
      <c r="D546" s="8"/>
      <c r="E546" s="8"/>
      <c r="F546" t="str" s="15">
        <f aca="0">IF(B546="","",IF(H546="","확인필요(입력누락)",IF(SUMPRODUCT((실물목록!$P$2:$P$1001&lt;&gt;"")*ISNUMBER(SEARCH(실물목록!$P$2:$P$1001,I546))*(실물목록!$Q$2:$Q$1001&lt;&gt;"")*ISNUMBER(SEARCH(실물목록!$Q$2:$Q$1001,I546))*(실물목록!$R$2:$R$1001="")*(실물목록!$O$2:$O$1001&lt;&gt;"")*(실물목록!$O$2:$O$1001=H546))&gt;0,"실물 있음",IF(SUMPRODUCT((실물목록!$P$2:$P$1001&lt;&gt;"")*ISNUMBER(SEARCH(실물목록!$P$2:$P$1001,I546))*(실물목록!$R$2:$R$1001&lt;&gt;""))&gt;0,"확인필요(입력누락)",IF(SUMPRODUCT((실물목록!$P$2:$P$1001&lt;&gt;"")*ISNUMBER(SEARCH(실물목록!$P$2:$P$1001,I546))*(실물목록!$Q$2:$Q$1001&lt;&gt;"")*ISNUMBER(SEARCH(실물목록!$Q$2:$Q$1001,I546))*(실물목록!$R$2:$R$1001="")*(실물목록!$O$2:$O$1001&lt;&gt;""))&gt;0,"확인필요(연도다름)","실물 없음")))))</f>
      </c>
      <c r="G546" t="n" s="16">
        <f aca="0">IF(B546="","",SUMPRODUCT((실물목록!$P$2:$P$1001&lt;&gt;"")*ISNUMBER(SEARCH(실물목록!$P$2:$P$1001,I546))*(실물목록!$Q$2:$Q$1001&lt;&gt;"")*ISNUMBER(SEARCH(실물목록!$Q$2:$Q$1001,I546))*(실물목록!$R$2:$R$1001="")*(실물목록!$O$2:$O$1001&lt;&gt;"")*(실물목록!$O$2:$O$1001=H546)))</f>
      </c>
      <c r="H546" t="str">
        <f>IFERROR(IF(AND(LEN(SUBSTITUTE(SUBSTITUTE(SUBSTITUTE(TRIM(A546&amp;""),CHAR(160),"")," ",""),"년",""))=4,VALUE(SUBSTITUTE(SUBSTITUTE(SUBSTITUTE(TRIM(A546&amp;""),CHAR(160),"")," ",""),"년",""))&gt;=1900,VALUE(SUBSTITUTE(SUBSTITUTE(SUBSTITUTE(TRIM(A546&amp;""),CHAR(160),"")," ",""),"년",""))&lt;=2099,TEXT(VALUE(SUBSTITUTE(SUBSTITUTE(SUBSTITUTE(TRIM(A546&amp;""),CHAR(160),"")," ",""),"년","")),"0000")=SUBSTITUTE(SUBSTITUTE(SUBSTITUTE(TRIM(A546&amp;""),CHAR(160),"")," ",""),"년","")),SUBSTITUTE(SUBSTITUTE(SUBSTITUTE(TRIM(A546&amp;""),CHAR(160),"")," ",""),"년",""),""),"")</f>
      </c>
      <c r="I546" t="str">
        <f>SUBSTITUTE(SUBSTITUTE(SUBSTITUTE(SUBSTITUTE(SUBSTITUTE(TRIM(B546&amp;""),CHAR(160),"")," ",""),"초등학교","초"),"중학교","중"),"고등학교","고")</f>
      </c>
    </row>
    <row r="547" customFormat="false" ht="15" hidden="false" customHeight="false" outlineLevel="0" collapsed="false">
      <c r="A547" s="8"/>
      <c r="B547" s="8"/>
      <c r="C547" s="8"/>
      <c r="D547" s="8"/>
      <c r="E547" s="8"/>
      <c r="F547" t="str" s="15">
        <f aca="0">IF(B547="","",IF(H547="","확인필요(입력누락)",IF(SUMPRODUCT((실물목록!$P$2:$P$1001&lt;&gt;"")*ISNUMBER(SEARCH(실물목록!$P$2:$P$1001,I547))*(실물목록!$Q$2:$Q$1001&lt;&gt;"")*ISNUMBER(SEARCH(실물목록!$Q$2:$Q$1001,I547))*(실물목록!$R$2:$R$1001="")*(실물목록!$O$2:$O$1001&lt;&gt;"")*(실물목록!$O$2:$O$1001=H547))&gt;0,"실물 있음",IF(SUMPRODUCT((실물목록!$P$2:$P$1001&lt;&gt;"")*ISNUMBER(SEARCH(실물목록!$P$2:$P$1001,I547))*(실물목록!$R$2:$R$1001&lt;&gt;""))&gt;0,"확인필요(입력누락)",IF(SUMPRODUCT((실물목록!$P$2:$P$1001&lt;&gt;"")*ISNUMBER(SEARCH(실물목록!$P$2:$P$1001,I547))*(실물목록!$Q$2:$Q$1001&lt;&gt;"")*ISNUMBER(SEARCH(실물목록!$Q$2:$Q$1001,I547))*(실물목록!$R$2:$R$1001="")*(실물목록!$O$2:$O$1001&lt;&gt;""))&gt;0,"확인필요(연도다름)","실물 없음")))))</f>
      </c>
      <c r="G547" t="n" s="16">
        <f aca="0">IF(B547="","",SUMPRODUCT((실물목록!$P$2:$P$1001&lt;&gt;"")*ISNUMBER(SEARCH(실물목록!$P$2:$P$1001,I547))*(실물목록!$Q$2:$Q$1001&lt;&gt;"")*ISNUMBER(SEARCH(실물목록!$Q$2:$Q$1001,I547))*(실물목록!$R$2:$R$1001="")*(실물목록!$O$2:$O$1001&lt;&gt;"")*(실물목록!$O$2:$O$1001=H547)))</f>
      </c>
      <c r="H547" t="str">
        <f>IFERROR(IF(AND(LEN(SUBSTITUTE(SUBSTITUTE(SUBSTITUTE(TRIM(A547&amp;""),CHAR(160),"")," ",""),"년",""))=4,VALUE(SUBSTITUTE(SUBSTITUTE(SUBSTITUTE(TRIM(A547&amp;""),CHAR(160),"")," ",""),"년",""))&gt;=1900,VALUE(SUBSTITUTE(SUBSTITUTE(SUBSTITUTE(TRIM(A547&amp;""),CHAR(160),"")," ",""),"년",""))&lt;=2099,TEXT(VALUE(SUBSTITUTE(SUBSTITUTE(SUBSTITUTE(TRIM(A547&amp;""),CHAR(160),"")," ",""),"년","")),"0000")=SUBSTITUTE(SUBSTITUTE(SUBSTITUTE(TRIM(A547&amp;""),CHAR(160),"")," ",""),"년","")),SUBSTITUTE(SUBSTITUTE(SUBSTITUTE(TRIM(A547&amp;""),CHAR(160),"")," ",""),"년",""),""),"")</f>
      </c>
      <c r="I547" t="str">
        <f>SUBSTITUTE(SUBSTITUTE(SUBSTITUTE(SUBSTITUTE(SUBSTITUTE(TRIM(B547&amp;""),CHAR(160),"")," ",""),"초등학교","초"),"중학교","중"),"고등학교","고")</f>
      </c>
    </row>
    <row r="548" customFormat="false" ht="15" hidden="false" customHeight="false" outlineLevel="0" collapsed="false">
      <c r="A548" s="8"/>
      <c r="B548" s="8"/>
      <c r="C548" s="8"/>
      <c r="D548" s="8"/>
      <c r="E548" s="8"/>
      <c r="F548" t="str" s="15">
        <f aca="0">IF(B548="","",IF(H548="","확인필요(입력누락)",IF(SUMPRODUCT((실물목록!$P$2:$P$1001&lt;&gt;"")*ISNUMBER(SEARCH(실물목록!$P$2:$P$1001,I548))*(실물목록!$Q$2:$Q$1001&lt;&gt;"")*ISNUMBER(SEARCH(실물목록!$Q$2:$Q$1001,I548))*(실물목록!$R$2:$R$1001="")*(실물목록!$O$2:$O$1001&lt;&gt;"")*(실물목록!$O$2:$O$1001=H548))&gt;0,"실물 있음",IF(SUMPRODUCT((실물목록!$P$2:$P$1001&lt;&gt;"")*ISNUMBER(SEARCH(실물목록!$P$2:$P$1001,I548))*(실물목록!$R$2:$R$1001&lt;&gt;""))&gt;0,"확인필요(입력누락)",IF(SUMPRODUCT((실물목록!$P$2:$P$1001&lt;&gt;"")*ISNUMBER(SEARCH(실물목록!$P$2:$P$1001,I548))*(실물목록!$Q$2:$Q$1001&lt;&gt;"")*ISNUMBER(SEARCH(실물목록!$Q$2:$Q$1001,I548))*(실물목록!$R$2:$R$1001="")*(실물목록!$O$2:$O$1001&lt;&gt;""))&gt;0,"확인필요(연도다름)","실물 없음")))))</f>
      </c>
      <c r="G548" t="n" s="16">
        <f aca="0">IF(B548="","",SUMPRODUCT((실물목록!$P$2:$P$1001&lt;&gt;"")*ISNUMBER(SEARCH(실물목록!$P$2:$P$1001,I548))*(실물목록!$Q$2:$Q$1001&lt;&gt;"")*ISNUMBER(SEARCH(실물목록!$Q$2:$Q$1001,I548))*(실물목록!$R$2:$R$1001="")*(실물목록!$O$2:$O$1001&lt;&gt;"")*(실물목록!$O$2:$O$1001=H548)))</f>
      </c>
      <c r="H548" t="str">
        <f>IFERROR(IF(AND(LEN(SUBSTITUTE(SUBSTITUTE(SUBSTITUTE(TRIM(A548&amp;""),CHAR(160),"")," ",""),"년",""))=4,VALUE(SUBSTITUTE(SUBSTITUTE(SUBSTITUTE(TRIM(A548&amp;""),CHAR(160),"")," ",""),"년",""))&gt;=1900,VALUE(SUBSTITUTE(SUBSTITUTE(SUBSTITUTE(TRIM(A548&amp;""),CHAR(160),"")," ",""),"년",""))&lt;=2099,TEXT(VALUE(SUBSTITUTE(SUBSTITUTE(SUBSTITUTE(TRIM(A548&amp;""),CHAR(160),"")," ",""),"년","")),"0000")=SUBSTITUTE(SUBSTITUTE(SUBSTITUTE(TRIM(A548&amp;""),CHAR(160),"")," ",""),"년","")),SUBSTITUTE(SUBSTITUTE(SUBSTITUTE(TRIM(A548&amp;""),CHAR(160),"")," ",""),"년",""),""),"")</f>
      </c>
      <c r="I548" t="str">
        <f>SUBSTITUTE(SUBSTITUTE(SUBSTITUTE(SUBSTITUTE(SUBSTITUTE(TRIM(B548&amp;""),CHAR(160),"")," ",""),"초등학교","초"),"중학교","중"),"고등학교","고")</f>
      </c>
    </row>
    <row r="549" customFormat="false" ht="15" hidden="false" customHeight="false" outlineLevel="0" collapsed="false">
      <c r="A549" s="8"/>
      <c r="B549" s="8"/>
      <c r="C549" s="8"/>
      <c r="D549" s="8"/>
      <c r="E549" s="8"/>
      <c r="F549" t="str" s="15">
        <f aca="0">IF(B549="","",IF(H549="","확인필요(입력누락)",IF(SUMPRODUCT((실물목록!$P$2:$P$1001&lt;&gt;"")*ISNUMBER(SEARCH(실물목록!$P$2:$P$1001,I549))*(실물목록!$Q$2:$Q$1001&lt;&gt;"")*ISNUMBER(SEARCH(실물목록!$Q$2:$Q$1001,I549))*(실물목록!$R$2:$R$1001="")*(실물목록!$O$2:$O$1001&lt;&gt;"")*(실물목록!$O$2:$O$1001=H549))&gt;0,"실물 있음",IF(SUMPRODUCT((실물목록!$P$2:$P$1001&lt;&gt;"")*ISNUMBER(SEARCH(실물목록!$P$2:$P$1001,I549))*(실물목록!$R$2:$R$1001&lt;&gt;""))&gt;0,"확인필요(입력누락)",IF(SUMPRODUCT((실물목록!$P$2:$P$1001&lt;&gt;"")*ISNUMBER(SEARCH(실물목록!$P$2:$P$1001,I549))*(실물목록!$Q$2:$Q$1001&lt;&gt;"")*ISNUMBER(SEARCH(실물목록!$Q$2:$Q$1001,I549))*(실물목록!$R$2:$R$1001="")*(실물목록!$O$2:$O$1001&lt;&gt;""))&gt;0,"확인필요(연도다름)","실물 없음")))))</f>
      </c>
      <c r="G549" t="n" s="16">
        <f aca="0">IF(B549="","",SUMPRODUCT((실물목록!$P$2:$P$1001&lt;&gt;"")*ISNUMBER(SEARCH(실물목록!$P$2:$P$1001,I549))*(실물목록!$Q$2:$Q$1001&lt;&gt;"")*ISNUMBER(SEARCH(실물목록!$Q$2:$Q$1001,I549))*(실물목록!$R$2:$R$1001="")*(실물목록!$O$2:$O$1001&lt;&gt;"")*(실물목록!$O$2:$O$1001=H549)))</f>
      </c>
      <c r="H549" t="str">
        <f>IFERROR(IF(AND(LEN(SUBSTITUTE(SUBSTITUTE(SUBSTITUTE(TRIM(A549&amp;""),CHAR(160),"")," ",""),"년",""))=4,VALUE(SUBSTITUTE(SUBSTITUTE(SUBSTITUTE(TRIM(A549&amp;""),CHAR(160),"")," ",""),"년",""))&gt;=1900,VALUE(SUBSTITUTE(SUBSTITUTE(SUBSTITUTE(TRIM(A549&amp;""),CHAR(160),"")," ",""),"년",""))&lt;=2099,TEXT(VALUE(SUBSTITUTE(SUBSTITUTE(SUBSTITUTE(TRIM(A549&amp;""),CHAR(160),"")," ",""),"년","")),"0000")=SUBSTITUTE(SUBSTITUTE(SUBSTITUTE(TRIM(A549&amp;""),CHAR(160),"")," ",""),"년","")),SUBSTITUTE(SUBSTITUTE(SUBSTITUTE(TRIM(A549&amp;""),CHAR(160),"")," ",""),"년",""),""),"")</f>
      </c>
      <c r="I549" t="str">
        <f>SUBSTITUTE(SUBSTITUTE(SUBSTITUTE(SUBSTITUTE(SUBSTITUTE(TRIM(B549&amp;""),CHAR(160),"")," ",""),"초등학교","초"),"중학교","중"),"고등학교","고")</f>
      </c>
    </row>
    <row r="550" customFormat="false" ht="15" hidden="false" customHeight="false" outlineLevel="0" collapsed="false">
      <c r="A550" s="8"/>
      <c r="B550" s="8"/>
      <c r="C550" s="8"/>
      <c r="D550" s="8"/>
      <c r="E550" s="8"/>
      <c r="F550" t="str" s="15">
        <f aca="0">IF(B550="","",IF(H550="","확인필요(입력누락)",IF(SUMPRODUCT((실물목록!$P$2:$P$1001&lt;&gt;"")*ISNUMBER(SEARCH(실물목록!$P$2:$P$1001,I550))*(실물목록!$Q$2:$Q$1001&lt;&gt;"")*ISNUMBER(SEARCH(실물목록!$Q$2:$Q$1001,I550))*(실물목록!$R$2:$R$1001="")*(실물목록!$O$2:$O$1001&lt;&gt;"")*(실물목록!$O$2:$O$1001=H550))&gt;0,"실물 있음",IF(SUMPRODUCT((실물목록!$P$2:$P$1001&lt;&gt;"")*ISNUMBER(SEARCH(실물목록!$P$2:$P$1001,I550))*(실물목록!$R$2:$R$1001&lt;&gt;""))&gt;0,"확인필요(입력누락)",IF(SUMPRODUCT((실물목록!$P$2:$P$1001&lt;&gt;"")*ISNUMBER(SEARCH(실물목록!$P$2:$P$1001,I550))*(실물목록!$Q$2:$Q$1001&lt;&gt;"")*ISNUMBER(SEARCH(실물목록!$Q$2:$Q$1001,I550))*(실물목록!$R$2:$R$1001="")*(실물목록!$O$2:$O$1001&lt;&gt;""))&gt;0,"확인필요(연도다름)","실물 없음")))))</f>
      </c>
      <c r="G550" t="n" s="16">
        <f aca="0">IF(B550="","",SUMPRODUCT((실물목록!$P$2:$P$1001&lt;&gt;"")*ISNUMBER(SEARCH(실물목록!$P$2:$P$1001,I550))*(실물목록!$Q$2:$Q$1001&lt;&gt;"")*ISNUMBER(SEARCH(실물목록!$Q$2:$Q$1001,I550))*(실물목록!$R$2:$R$1001="")*(실물목록!$O$2:$O$1001&lt;&gt;"")*(실물목록!$O$2:$O$1001=H550)))</f>
      </c>
      <c r="H550" t="str">
        <f>IFERROR(IF(AND(LEN(SUBSTITUTE(SUBSTITUTE(SUBSTITUTE(TRIM(A550&amp;""),CHAR(160),"")," ",""),"년",""))=4,VALUE(SUBSTITUTE(SUBSTITUTE(SUBSTITUTE(TRIM(A550&amp;""),CHAR(160),"")," ",""),"년",""))&gt;=1900,VALUE(SUBSTITUTE(SUBSTITUTE(SUBSTITUTE(TRIM(A550&amp;""),CHAR(160),"")," ",""),"년",""))&lt;=2099,TEXT(VALUE(SUBSTITUTE(SUBSTITUTE(SUBSTITUTE(TRIM(A550&amp;""),CHAR(160),"")," ",""),"년","")),"0000")=SUBSTITUTE(SUBSTITUTE(SUBSTITUTE(TRIM(A550&amp;""),CHAR(160),"")," ",""),"년","")),SUBSTITUTE(SUBSTITUTE(SUBSTITUTE(TRIM(A550&amp;""),CHAR(160),"")," ",""),"년",""),""),"")</f>
      </c>
      <c r="I550" t="str">
        <f>SUBSTITUTE(SUBSTITUTE(SUBSTITUTE(SUBSTITUTE(SUBSTITUTE(TRIM(B550&amp;""),CHAR(160),"")," ",""),"초등학교","초"),"중학교","중"),"고등학교","고")</f>
      </c>
    </row>
    <row r="551" customFormat="false" ht="15" hidden="false" customHeight="false" outlineLevel="0" collapsed="false">
      <c r="A551" s="8"/>
      <c r="B551" s="8"/>
      <c r="C551" s="8"/>
      <c r="D551" s="8"/>
      <c r="E551" s="8"/>
      <c r="F551" t="str" s="15">
        <f aca="0">IF(B551="","",IF(H551="","확인필요(입력누락)",IF(SUMPRODUCT((실물목록!$P$2:$P$1001&lt;&gt;"")*ISNUMBER(SEARCH(실물목록!$P$2:$P$1001,I551))*(실물목록!$Q$2:$Q$1001&lt;&gt;"")*ISNUMBER(SEARCH(실물목록!$Q$2:$Q$1001,I551))*(실물목록!$R$2:$R$1001="")*(실물목록!$O$2:$O$1001&lt;&gt;"")*(실물목록!$O$2:$O$1001=H551))&gt;0,"실물 있음",IF(SUMPRODUCT((실물목록!$P$2:$P$1001&lt;&gt;"")*ISNUMBER(SEARCH(실물목록!$P$2:$P$1001,I551))*(실물목록!$R$2:$R$1001&lt;&gt;""))&gt;0,"확인필요(입력누락)",IF(SUMPRODUCT((실물목록!$P$2:$P$1001&lt;&gt;"")*ISNUMBER(SEARCH(실물목록!$P$2:$P$1001,I551))*(실물목록!$Q$2:$Q$1001&lt;&gt;"")*ISNUMBER(SEARCH(실물목록!$Q$2:$Q$1001,I551))*(실물목록!$R$2:$R$1001="")*(실물목록!$O$2:$O$1001&lt;&gt;""))&gt;0,"확인필요(연도다름)","실물 없음")))))</f>
      </c>
      <c r="G551" t="n" s="16">
        <f aca="0">IF(B551="","",SUMPRODUCT((실물목록!$P$2:$P$1001&lt;&gt;"")*ISNUMBER(SEARCH(실물목록!$P$2:$P$1001,I551))*(실물목록!$Q$2:$Q$1001&lt;&gt;"")*ISNUMBER(SEARCH(실물목록!$Q$2:$Q$1001,I551))*(실물목록!$R$2:$R$1001="")*(실물목록!$O$2:$O$1001&lt;&gt;"")*(실물목록!$O$2:$O$1001=H551)))</f>
      </c>
      <c r="H551" t="str">
        <f>IFERROR(IF(AND(LEN(SUBSTITUTE(SUBSTITUTE(SUBSTITUTE(TRIM(A551&amp;""),CHAR(160),"")," ",""),"년",""))=4,VALUE(SUBSTITUTE(SUBSTITUTE(SUBSTITUTE(TRIM(A551&amp;""),CHAR(160),"")," ",""),"년",""))&gt;=1900,VALUE(SUBSTITUTE(SUBSTITUTE(SUBSTITUTE(TRIM(A551&amp;""),CHAR(160),"")," ",""),"년",""))&lt;=2099,TEXT(VALUE(SUBSTITUTE(SUBSTITUTE(SUBSTITUTE(TRIM(A551&amp;""),CHAR(160),"")," ",""),"년","")),"0000")=SUBSTITUTE(SUBSTITUTE(SUBSTITUTE(TRIM(A551&amp;""),CHAR(160),"")," ",""),"년","")),SUBSTITUTE(SUBSTITUTE(SUBSTITUTE(TRIM(A551&amp;""),CHAR(160),"")," ",""),"년",""),""),"")</f>
      </c>
      <c r="I551" t="str">
        <f>SUBSTITUTE(SUBSTITUTE(SUBSTITUTE(SUBSTITUTE(SUBSTITUTE(TRIM(B551&amp;""),CHAR(160),"")," ",""),"초등학교","초"),"중학교","중"),"고등학교","고")</f>
      </c>
    </row>
    <row r="552" customFormat="false" ht="15" hidden="false" customHeight="false" outlineLevel="0" collapsed="false">
      <c r="A552" s="8"/>
      <c r="B552" s="8"/>
      <c r="C552" s="8"/>
      <c r="D552" s="8"/>
      <c r="E552" s="8"/>
      <c r="F552" t="str" s="15">
        <f aca="0">IF(B552="","",IF(H552="","확인필요(입력누락)",IF(SUMPRODUCT((실물목록!$P$2:$P$1001&lt;&gt;"")*ISNUMBER(SEARCH(실물목록!$P$2:$P$1001,I552))*(실물목록!$Q$2:$Q$1001&lt;&gt;"")*ISNUMBER(SEARCH(실물목록!$Q$2:$Q$1001,I552))*(실물목록!$R$2:$R$1001="")*(실물목록!$O$2:$O$1001&lt;&gt;"")*(실물목록!$O$2:$O$1001=H552))&gt;0,"실물 있음",IF(SUMPRODUCT((실물목록!$P$2:$P$1001&lt;&gt;"")*ISNUMBER(SEARCH(실물목록!$P$2:$P$1001,I552))*(실물목록!$R$2:$R$1001&lt;&gt;""))&gt;0,"확인필요(입력누락)",IF(SUMPRODUCT((실물목록!$P$2:$P$1001&lt;&gt;"")*ISNUMBER(SEARCH(실물목록!$P$2:$P$1001,I552))*(실물목록!$Q$2:$Q$1001&lt;&gt;"")*ISNUMBER(SEARCH(실물목록!$Q$2:$Q$1001,I552))*(실물목록!$R$2:$R$1001="")*(실물목록!$O$2:$O$1001&lt;&gt;""))&gt;0,"확인필요(연도다름)","실물 없음")))))</f>
      </c>
      <c r="G552" t="n" s="16">
        <f aca="0">IF(B552="","",SUMPRODUCT((실물목록!$P$2:$P$1001&lt;&gt;"")*ISNUMBER(SEARCH(실물목록!$P$2:$P$1001,I552))*(실물목록!$Q$2:$Q$1001&lt;&gt;"")*ISNUMBER(SEARCH(실물목록!$Q$2:$Q$1001,I552))*(실물목록!$R$2:$R$1001="")*(실물목록!$O$2:$O$1001&lt;&gt;"")*(실물목록!$O$2:$O$1001=H552)))</f>
      </c>
      <c r="H552" t="str">
        <f>IFERROR(IF(AND(LEN(SUBSTITUTE(SUBSTITUTE(SUBSTITUTE(TRIM(A552&amp;""),CHAR(160),"")," ",""),"년",""))=4,VALUE(SUBSTITUTE(SUBSTITUTE(SUBSTITUTE(TRIM(A552&amp;""),CHAR(160),"")," ",""),"년",""))&gt;=1900,VALUE(SUBSTITUTE(SUBSTITUTE(SUBSTITUTE(TRIM(A552&amp;""),CHAR(160),"")," ",""),"년",""))&lt;=2099,TEXT(VALUE(SUBSTITUTE(SUBSTITUTE(SUBSTITUTE(TRIM(A552&amp;""),CHAR(160),"")," ",""),"년","")),"0000")=SUBSTITUTE(SUBSTITUTE(SUBSTITUTE(TRIM(A552&amp;""),CHAR(160),"")," ",""),"년","")),SUBSTITUTE(SUBSTITUTE(SUBSTITUTE(TRIM(A552&amp;""),CHAR(160),"")," ",""),"년",""),""),"")</f>
      </c>
      <c r="I552" t="str">
        <f>SUBSTITUTE(SUBSTITUTE(SUBSTITUTE(SUBSTITUTE(SUBSTITUTE(TRIM(B552&amp;""),CHAR(160),"")," ",""),"초등학교","초"),"중학교","중"),"고등학교","고")</f>
      </c>
    </row>
    <row r="553" customFormat="false" ht="15" hidden="false" customHeight="false" outlineLevel="0" collapsed="false">
      <c r="A553" s="8"/>
      <c r="B553" s="8"/>
      <c r="C553" s="8"/>
      <c r="D553" s="8"/>
      <c r="E553" s="8"/>
      <c r="F553" t="str" s="15">
        <f aca="0">IF(B553="","",IF(H553="","확인필요(입력누락)",IF(SUMPRODUCT((실물목록!$P$2:$P$1001&lt;&gt;"")*ISNUMBER(SEARCH(실물목록!$P$2:$P$1001,I553))*(실물목록!$Q$2:$Q$1001&lt;&gt;"")*ISNUMBER(SEARCH(실물목록!$Q$2:$Q$1001,I553))*(실물목록!$R$2:$R$1001="")*(실물목록!$O$2:$O$1001&lt;&gt;"")*(실물목록!$O$2:$O$1001=H553))&gt;0,"실물 있음",IF(SUMPRODUCT((실물목록!$P$2:$P$1001&lt;&gt;"")*ISNUMBER(SEARCH(실물목록!$P$2:$P$1001,I553))*(실물목록!$R$2:$R$1001&lt;&gt;""))&gt;0,"확인필요(입력누락)",IF(SUMPRODUCT((실물목록!$P$2:$P$1001&lt;&gt;"")*ISNUMBER(SEARCH(실물목록!$P$2:$P$1001,I553))*(실물목록!$Q$2:$Q$1001&lt;&gt;"")*ISNUMBER(SEARCH(실물목록!$Q$2:$Q$1001,I553))*(실물목록!$R$2:$R$1001="")*(실물목록!$O$2:$O$1001&lt;&gt;""))&gt;0,"확인필요(연도다름)","실물 없음")))))</f>
      </c>
      <c r="G553" t="n" s="16">
        <f aca="0">IF(B553="","",SUMPRODUCT((실물목록!$P$2:$P$1001&lt;&gt;"")*ISNUMBER(SEARCH(실물목록!$P$2:$P$1001,I553))*(실물목록!$Q$2:$Q$1001&lt;&gt;"")*ISNUMBER(SEARCH(실물목록!$Q$2:$Q$1001,I553))*(실물목록!$R$2:$R$1001="")*(실물목록!$O$2:$O$1001&lt;&gt;"")*(실물목록!$O$2:$O$1001=H553)))</f>
      </c>
      <c r="H553" t="str">
        <f>IFERROR(IF(AND(LEN(SUBSTITUTE(SUBSTITUTE(SUBSTITUTE(TRIM(A553&amp;""),CHAR(160),"")," ",""),"년",""))=4,VALUE(SUBSTITUTE(SUBSTITUTE(SUBSTITUTE(TRIM(A553&amp;""),CHAR(160),"")," ",""),"년",""))&gt;=1900,VALUE(SUBSTITUTE(SUBSTITUTE(SUBSTITUTE(TRIM(A553&amp;""),CHAR(160),"")," ",""),"년",""))&lt;=2099,TEXT(VALUE(SUBSTITUTE(SUBSTITUTE(SUBSTITUTE(TRIM(A553&amp;""),CHAR(160),"")," ",""),"년","")),"0000")=SUBSTITUTE(SUBSTITUTE(SUBSTITUTE(TRIM(A553&amp;""),CHAR(160),"")," ",""),"년","")),SUBSTITUTE(SUBSTITUTE(SUBSTITUTE(TRIM(A553&amp;""),CHAR(160),"")," ",""),"년",""),""),"")</f>
      </c>
      <c r="I553" t="str">
        <f>SUBSTITUTE(SUBSTITUTE(SUBSTITUTE(SUBSTITUTE(SUBSTITUTE(TRIM(B553&amp;""),CHAR(160),"")," ",""),"초등학교","초"),"중학교","중"),"고등학교","고")</f>
      </c>
    </row>
    <row r="554" customFormat="false" ht="15" hidden="false" customHeight="false" outlineLevel="0" collapsed="false">
      <c r="A554" s="8"/>
      <c r="B554" s="8"/>
      <c r="C554" s="8"/>
      <c r="D554" s="8"/>
      <c r="E554" s="8"/>
      <c r="F554" t="str" s="15">
        <f aca="0">IF(B554="","",IF(H554="","확인필요(입력누락)",IF(SUMPRODUCT((실물목록!$P$2:$P$1001&lt;&gt;"")*ISNUMBER(SEARCH(실물목록!$P$2:$P$1001,I554))*(실물목록!$Q$2:$Q$1001&lt;&gt;"")*ISNUMBER(SEARCH(실물목록!$Q$2:$Q$1001,I554))*(실물목록!$R$2:$R$1001="")*(실물목록!$O$2:$O$1001&lt;&gt;"")*(실물목록!$O$2:$O$1001=H554))&gt;0,"실물 있음",IF(SUMPRODUCT((실물목록!$P$2:$P$1001&lt;&gt;"")*ISNUMBER(SEARCH(실물목록!$P$2:$P$1001,I554))*(실물목록!$R$2:$R$1001&lt;&gt;""))&gt;0,"확인필요(입력누락)",IF(SUMPRODUCT((실물목록!$P$2:$P$1001&lt;&gt;"")*ISNUMBER(SEARCH(실물목록!$P$2:$P$1001,I554))*(실물목록!$Q$2:$Q$1001&lt;&gt;"")*ISNUMBER(SEARCH(실물목록!$Q$2:$Q$1001,I554))*(실물목록!$R$2:$R$1001="")*(실물목록!$O$2:$O$1001&lt;&gt;""))&gt;0,"확인필요(연도다름)","실물 없음")))))</f>
      </c>
      <c r="G554" t="n" s="16">
        <f aca="0">IF(B554="","",SUMPRODUCT((실물목록!$P$2:$P$1001&lt;&gt;"")*ISNUMBER(SEARCH(실물목록!$P$2:$P$1001,I554))*(실물목록!$Q$2:$Q$1001&lt;&gt;"")*ISNUMBER(SEARCH(실물목록!$Q$2:$Q$1001,I554))*(실물목록!$R$2:$R$1001="")*(실물목록!$O$2:$O$1001&lt;&gt;"")*(실물목록!$O$2:$O$1001=H554)))</f>
      </c>
      <c r="H554" t="str">
        <f>IFERROR(IF(AND(LEN(SUBSTITUTE(SUBSTITUTE(SUBSTITUTE(TRIM(A554&amp;""),CHAR(160),"")," ",""),"년",""))=4,VALUE(SUBSTITUTE(SUBSTITUTE(SUBSTITUTE(TRIM(A554&amp;""),CHAR(160),"")," ",""),"년",""))&gt;=1900,VALUE(SUBSTITUTE(SUBSTITUTE(SUBSTITUTE(TRIM(A554&amp;""),CHAR(160),"")," ",""),"년",""))&lt;=2099,TEXT(VALUE(SUBSTITUTE(SUBSTITUTE(SUBSTITUTE(TRIM(A554&amp;""),CHAR(160),"")," ",""),"년","")),"0000")=SUBSTITUTE(SUBSTITUTE(SUBSTITUTE(TRIM(A554&amp;""),CHAR(160),"")," ",""),"년","")),SUBSTITUTE(SUBSTITUTE(SUBSTITUTE(TRIM(A554&amp;""),CHAR(160),"")," ",""),"년",""),""),"")</f>
      </c>
      <c r="I554" t="str">
        <f>SUBSTITUTE(SUBSTITUTE(SUBSTITUTE(SUBSTITUTE(SUBSTITUTE(TRIM(B554&amp;""),CHAR(160),"")," ",""),"초등학교","초"),"중학교","중"),"고등학교","고")</f>
      </c>
    </row>
    <row r="555" customFormat="false" ht="15" hidden="false" customHeight="false" outlineLevel="0" collapsed="false">
      <c r="A555" s="8"/>
      <c r="B555" s="8"/>
      <c r="C555" s="8"/>
      <c r="D555" s="8"/>
      <c r="E555" s="8"/>
      <c r="F555" t="str" s="15">
        <f aca="0">IF(B555="","",IF(H555="","확인필요(입력누락)",IF(SUMPRODUCT((실물목록!$P$2:$P$1001&lt;&gt;"")*ISNUMBER(SEARCH(실물목록!$P$2:$P$1001,I555))*(실물목록!$Q$2:$Q$1001&lt;&gt;"")*ISNUMBER(SEARCH(실물목록!$Q$2:$Q$1001,I555))*(실물목록!$R$2:$R$1001="")*(실물목록!$O$2:$O$1001&lt;&gt;"")*(실물목록!$O$2:$O$1001=H555))&gt;0,"실물 있음",IF(SUMPRODUCT((실물목록!$P$2:$P$1001&lt;&gt;"")*ISNUMBER(SEARCH(실물목록!$P$2:$P$1001,I555))*(실물목록!$R$2:$R$1001&lt;&gt;""))&gt;0,"확인필요(입력누락)",IF(SUMPRODUCT((실물목록!$P$2:$P$1001&lt;&gt;"")*ISNUMBER(SEARCH(실물목록!$P$2:$P$1001,I555))*(실물목록!$Q$2:$Q$1001&lt;&gt;"")*ISNUMBER(SEARCH(실물목록!$Q$2:$Q$1001,I555))*(실물목록!$R$2:$R$1001="")*(실물목록!$O$2:$O$1001&lt;&gt;""))&gt;0,"확인필요(연도다름)","실물 없음")))))</f>
      </c>
      <c r="G555" t="n" s="16">
        <f aca="0">IF(B555="","",SUMPRODUCT((실물목록!$P$2:$P$1001&lt;&gt;"")*ISNUMBER(SEARCH(실물목록!$P$2:$P$1001,I555))*(실물목록!$Q$2:$Q$1001&lt;&gt;"")*ISNUMBER(SEARCH(실물목록!$Q$2:$Q$1001,I555))*(실물목록!$R$2:$R$1001="")*(실물목록!$O$2:$O$1001&lt;&gt;"")*(실물목록!$O$2:$O$1001=H555)))</f>
      </c>
      <c r="H555" t="str">
        <f>IFERROR(IF(AND(LEN(SUBSTITUTE(SUBSTITUTE(SUBSTITUTE(TRIM(A555&amp;""),CHAR(160),"")," ",""),"년",""))=4,VALUE(SUBSTITUTE(SUBSTITUTE(SUBSTITUTE(TRIM(A555&amp;""),CHAR(160),"")," ",""),"년",""))&gt;=1900,VALUE(SUBSTITUTE(SUBSTITUTE(SUBSTITUTE(TRIM(A555&amp;""),CHAR(160),"")," ",""),"년",""))&lt;=2099,TEXT(VALUE(SUBSTITUTE(SUBSTITUTE(SUBSTITUTE(TRIM(A555&amp;""),CHAR(160),"")," ",""),"년","")),"0000")=SUBSTITUTE(SUBSTITUTE(SUBSTITUTE(TRIM(A555&amp;""),CHAR(160),"")," ",""),"년","")),SUBSTITUTE(SUBSTITUTE(SUBSTITUTE(TRIM(A555&amp;""),CHAR(160),"")," ",""),"년",""),""),"")</f>
      </c>
      <c r="I555" t="str">
        <f>SUBSTITUTE(SUBSTITUTE(SUBSTITUTE(SUBSTITUTE(SUBSTITUTE(TRIM(B555&amp;""),CHAR(160),"")," ",""),"초등학교","초"),"중학교","중"),"고등학교","고")</f>
      </c>
    </row>
    <row r="556" customFormat="false" ht="15" hidden="false" customHeight="false" outlineLevel="0" collapsed="false">
      <c r="A556" s="8"/>
      <c r="B556" s="8"/>
      <c r="C556" s="8"/>
      <c r="D556" s="8"/>
      <c r="E556" s="8"/>
      <c r="F556" t="str" s="15">
        <f aca="0">IF(B556="","",IF(H556="","확인필요(입력누락)",IF(SUMPRODUCT((실물목록!$P$2:$P$1001&lt;&gt;"")*ISNUMBER(SEARCH(실물목록!$P$2:$P$1001,I556))*(실물목록!$Q$2:$Q$1001&lt;&gt;"")*ISNUMBER(SEARCH(실물목록!$Q$2:$Q$1001,I556))*(실물목록!$R$2:$R$1001="")*(실물목록!$O$2:$O$1001&lt;&gt;"")*(실물목록!$O$2:$O$1001=H556))&gt;0,"실물 있음",IF(SUMPRODUCT((실물목록!$P$2:$P$1001&lt;&gt;"")*ISNUMBER(SEARCH(실물목록!$P$2:$P$1001,I556))*(실물목록!$R$2:$R$1001&lt;&gt;""))&gt;0,"확인필요(입력누락)",IF(SUMPRODUCT((실물목록!$P$2:$P$1001&lt;&gt;"")*ISNUMBER(SEARCH(실물목록!$P$2:$P$1001,I556))*(실물목록!$Q$2:$Q$1001&lt;&gt;"")*ISNUMBER(SEARCH(실물목록!$Q$2:$Q$1001,I556))*(실물목록!$R$2:$R$1001="")*(실물목록!$O$2:$O$1001&lt;&gt;""))&gt;0,"확인필요(연도다름)","실물 없음")))))</f>
      </c>
      <c r="G556" t="n" s="16">
        <f aca="0">IF(B556="","",SUMPRODUCT((실물목록!$P$2:$P$1001&lt;&gt;"")*ISNUMBER(SEARCH(실물목록!$P$2:$P$1001,I556))*(실물목록!$Q$2:$Q$1001&lt;&gt;"")*ISNUMBER(SEARCH(실물목록!$Q$2:$Q$1001,I556))*(실물목록!$R$2:$R$1001="")*(실물목록!$O$2:$O$1001&lt;&gt;"")*(실물목록!$O$2:$O$1001=H556)))</f>
      </c>
      <c r="H556" t="str">
        <f>IFERROR(IF(AND(LEN(SUBSTITUTE(SUBSTITUTE(SUBSTITUTE(TRIM(A556&amp;""),CHAR(160),"")," ",""),"년",""))=4,VALUE(SUBSTITUTE(SUBSTITUTE(SUBSTITUTE(TRIM(A556&amp;""),CHAR(160),"")," ",""),"년",""))&gt;=1900,VALUE(SUBSTITUTE(SUBSTITUTE(SUBSTITUTE(TRIM(A556&amp;""),CHAR(160),"")," ",""),"년",""))&lt;=2099,TEXT(VALUE(SUBSTITUTE(SUBSTITUTE(SUBSTITUTE(TRIM(A556&amp;""),CHAR(160),"")," ",""),"년","")),"0000")=SUBSTITUTE(SUBSTITUTE(SUBSTITUTE(TRIM(A556&amp;""),CHAR(160),"")," ",""),"년","")),SUBSTITUTE(SUBSTITUTE(SUBSTITUTE(TRIM(A556&amp;""),CHAR(160),"")," ",""),"년",""),""),"")</f>
      </c>
      <c r="I556" t="str">
        <f>SUBSTITUTE(SUBSTITUTE(SUBSTITUTE(SUBSTITUTE(SUBSTITUTE(TRIM(B556&amp;""),CHAR(160),"")," ",""),"초등학교","초"),"중학교","중"),"고등학교","고")</f>
      </c>
    </row>
    <row r="557" customFormat="false" ht="15" hidden="false" customHeight="false" outlineLevel="0" collapsed="false">
      <c r="A557" s="8"/>
      <c r="B557" s="8"/>
      <c r="C557" s="8"/>
      <c r="D557" s="8"/>
      <c r="E557" s="8"/>
      <c r="F557" t="str" s="15">
        <f aca="0">IF(B557="","",IF(H557="","확인필요(입력누락)",IF(SUMPRODUCT((실물목록!$P$2:$P$1001&lt;&gt;"")*ISNUMBER(SEARCH(실물목록!$P$2:$P$1001,I557))*(실물목록!$Q$2:$Q$1001&lt;&gt;"")*ISNUMBER(SEARCH(실물목록!$Q$2:$Q$1001,I557))*(실물목록!$R$2:$R$1001="")*(실물목록!$O$2:$O$1001&lt;&gt;"")*(실물목록!$O$2:$O$1001=H557))&gt;0,"실물 있음",IF(SUMPRODUCT((실물목록!$P$2:$P$1001&lt;&gt;"")*ISNUMBER(SEARCH(실물목록!$P$2:$P$1001,I557))*(실물목록!$R$2:$R$1001&lt;&gt;""))&gt;0,"확인필요(입력누락)",IF(SUMPRODUCT((실물목록!$P$2:$P$1001&lt;&gt;"")*ISNUMBER(SEARCH(실물목록!$P$2:$P$1001,I557))*(실물목록!$Q$2:$Q$1001&lt;&gt;"")*ISNUMBER(SEARCH(실물목록!$Q$2:$Q$1001,I557))*(실물목록!$R$2:$R$1001="")*(실물목록!$O$2:$O$1001&lt;&gt;""))&gt;0,"확인필요(연도다름)","실물 없음")))))</f>
      </c>
      <c r="G557" t="n" s="16">
        <f aca="0">IF(B557="","",SUMPRODUCT((실물목록!$P$2:$P$1001&lt;&gt;"")*ISNUMBER(SEARCH(실물목록!$P$2:$P$1001,I557))*(실물목록!$Q$2:$Q$1001&lt;&gt;"")*ISNUMBER(SEARCH(실물목록!$Q$2:$Q$1001,I557))*(실물목록!$R$2:$R$1001="")*(실물목록!$O$2:$O$1001&lt;&gt;"")*(실물목록!$O$2:$O$1001=H557)))</f>
      </c>
      <c r="H557" t="str">
        <f>IFERROR(IF(AND(LEN(SUBSTITUTE(SUBSTITUTE(SUBSTITUTE(TRIM(A557&amp;""),CHAR(160),"")," ",""),"년",""))=4,VALUE(SUBSTITUTE(SUBSTITUTE(SUBSTITUTE(TRIM(A557&amp;""),CHAR(160),"")," ",""),"년",""))&gt;=1900,VALUE(SUBSTITUTE(SUBSTITUTE(SUBSTITUTE(TRIM(A557&amp;""),CHAR(160),"")," ",""),"년",""))&lt;=2099,TEXT(VALUE(SUBSTITUTE(SUBSTITUTE(SUBSTITUTE(TRIM(A557&amp;""),CHAR(160),"")," ",""),"년","")),"0000")=SUBSTITUTE(SUBSTITUTE(SUBSTITUTE(TRIM(A557&amp;""),CHAR(160),"")," ",""),"년","")),SUBSTITUTE(SUBSTITUTE(SUBSTITUTE(TRIM(A557&amp;""),CHAR(160),"")," ",""),"년",""),""),"")</f>
      </c>
      <c r="I557" t="str">
        <f>SUBSTITUTE(SUBSTITUTE(SUBSTITUTE(SUBSTITUTE(SUBSTITUTE(TRIM(B557&amp;""),CHAR(160),"")," ",""),"초등학교","초"),"중학교","중"),"고등학교","고")</f>
      </c>
    </row>
    <row r="558" customFormat="false" ht="15" hidden="false" customHeight="false" outlineLevel="0" collapsed="false">
      <c r="A558" s="8"/>
      <c r="B558" s="8"/>
      <c r="C558" s="8"/>
      <c r="D558" s="8"/>
      <c r="E558" s="8"/>
      <c r="F558" t="str" s="15">
        <f aca="0">IF(B558="","",IF(H558="","확인필요(입력누락)",IF(SUMPRODUCT((실물목록!$P$2:$P$1001&lt;&gt;"")*ISNUMBER(SEARCH(실물목록!$P$2:$P$1001,I558))*(실물목록!$Q$2:$Q$1001&lt;&gt;"")*ISNUMBER(SEARCH(실물목록!$Q$2:$Q$1001,I558))*(실물목록!$R$2:$R$1001="")*(실물목록!$O$2:$O$1001&lt;&gt;"")*(실물목록!$O$2:$O$1001=H558))&gt;0,"실물 있음",IF(SUMPRODUCT((실물목록!$P$2:$P$1001&lt;&gt;"")*ISNUMBER(SEARCH(실물목록!$P$2:$P$1001,I558))*(실물목록!$R$2:$R$1001&lt;&gt;""))&gt;0,"확인필요(입력누락)",IF(SUMPRODUCT((실물목록!$P$2:$P$1001&lt;&gt;"")*ISNUMBER(SEARCH(실물목록!$P$2:$P$1001,I558))*(실물목록!$Q$2:$Q$1001&lt;&gt;"")*ISNUMBER(SEARCH(실물목록!$Q$2:$Q$1001,I558))*(실물목록!$R$2:$R$1001="")*(실물목록!$O$2:$O$1001&lt;&gt;""))&gt;0,"확인필요(연도다름)","실물 없음")))))</f>
      </c>
      <c r="G558" t="n" s="16">
        <f aca="0">IF(B558="","",SUMPRODUCT((실물목록!$P$2:$P$1001&lt;&gt;"")*ISNUMBER(SEARCH(실물목록!$P$2:$P$1001,I558))*(실물목록!$Q$2:$Q$1001&lt;&gt;"")*ISNUMBER(SEARCH(실물목록!$Q$2:$Q$1001,I558))*(실물목록!$R$2:$R$1001="")*(실물목록!$O$2:$O$1001&lt;&gt;"")*(실물목록!$O$2:$O$1001=H558)))</f>
      </c>
      <c r="H558" t="str">
        <f>IFERROR(IF(AND(LEN(SUBSTITUTE(SUBSTITUTE(SUBSTITUTE(TRIM(A558&amp;""),CHAR(160),"")," ",""),"년",""))=4,VALUE(SUBSTITUTE(SUBSTITUTE(SUBSTITUTE(TRIM(A558&amp;""),CHAR(160),"")," ",""),"년",""))&gt;=1900,VALUE(SUBSTITUTE(SUBSTITUTE(SUBSTITUTE(TRIM(A558&amp;""),CHAR(160),"")," ",""),"년",""))&lt;=2099,TEXT(VALUE(SUBSTITUTE(SUBSTITUTE(SUBSTITUTE(TRIM(A558&amp;""),CHAR(160),"")," ",""),"년","")),"0000")=SUBSTITUTE(SUBSTITUTE(SUBSTITUTE(TRIM(A558&amp;""),CHAR(160),"")," ",""),"년","")),SUBSTITUTE(SUBSTITUTE(SUBSTITUTE(TRIM(A558&amp;""),CHAR(160),"")," ",""),"년",""),""),"")</f>
      </c>
      <c r="I558" t="str">
        <f>SUBSTITUTE(SUBSTITUTE(SUBSTITUTE(SUBSTITUTE(SUBSTITUTE(TRIM(B558&amp;""),CHAR(160),"")," ",""),"초등학교","초"),"중학교","중"),"고등학교","고")</f>
      </c>
    </row>
    <row r="559" customFormat="false" ht="15" hidden="false" customHeight="false" outlineLevel="0" collapsed="false">
      <c r="A559" s="8"/>
      <c r="B559" s="8"/>
      <c r="C559" s="8"/>
      <c r="D559" s="8"/>
      <c r="E559" s="8"/>
      <c r="F559" t="str" s="15">
        <f aca="0">IF(B559="","",IF(H559="","확인필요(입력누락)",IF(SUMPRODUCT((실물목록!$P$2:$P$1001&lt;&gt;"")*ISNUMBER(SEARCH(실물목록!$P$2:$P$1001,I559))*(실물목록!$Q$2:$Q$1001&lt;&gt;"")*ISNUMBER(SEARCH(실물목록!$Q$2:$Q$1001,I559))*(실물목록!$R$2:$R$1001="")*(실물목록!$O$2:$O$1001&lt;&gt;"")*(실물목록!$O$2:$O$1001=H559))&gt;0,"실물 있음",IF(SUMPRODUCT((실물목록!$P$2:$P$1001&lt;&gt;"")*ISNUMBER(SEARCH(실물목록!$P$2:$P$1001,I559))*(실물목록!$R$2:$R$1001&lt;&gt;""))&gt;0,"확인필요(입력누락)",IF(SUMPRODUCT((실물목록!$P$2:$P$1001&lt;&gt;"")*ISNUMBER(SEARCH(실물목록!$P$2:$P$1001,I559))*(실물목록!$Q$2:$Q$1001&lt;&gt;"")*ISNUMBER(SEARCH(실물목록!$Q$2:$Q$1001,I559))*(실물목록!$R$2:$R$1001="")*(실물목록!$O$2:$O$1001&lt;&gt;""))&gt;0,"확인필요(연도다름)","실물 없음")))))</f>
      </c>
      <c r="G559" t="n" s="16">
        <f aca="0">IF(B559="","",SUMPRODUCT((실물목록!$P$2:$P$1001&lt;&gt;"")*ISNUMBER(SEARCH(실물목록!$P$2:$P$1001,I559))*(실물목록!$Q$2:$Q$1001&lt;&gt;"")*ISNUMBER(SEARCH(실물목록!$Q$2:$Q$1001,I559))*(실물목록!$R$2:$R$1001="")*(실물목록!$O$2:$O$1001&lt;&gt;"")*(실물목록!$O$2:$O$1001=H559)))</f>
      </c>
      <c r="H559" t="str">
        <f>IFERROR(IF(AND(LEN(SUBSTITUTE(SUBSTITUTE(SUBSTITUTE(TRIM(A559&amp;""),CHAR(160),"")," ",""),"년",""))=4,VALUE(SUBSTITUTE(SUBSTITUTE(SUBSTITUTE(TRIM(A559&amp;""),CHAR(160),"")," ",""),"년",""))&gt;=1900,VALUE(SUBSTITUTE(SUBSTITUTE(SUBSTITUTE(TRIM(A559&amp;""),CHAR(160),"")," ",""),"년",""))&lt;=2099,TEXT(VALUE(SUBSTITUTE(SUBSTITUTE(SUBSTITUTE(TRIM(A559&amp;""),CHAR(160),"")," ",""),"년","")),"0000")=SUBSTITUTE(SUBSTITUTE(SUBSTITUTE(TRIM(A559&amp;""),CHAR(160),"")," ",""),"년","")),SUBSTITUTE(SUBSTITUTE(SUBSTITUTE(TRIM(A559&amp;""),CHAR(160),"")," ",""),"년",""),""),"")</f>
      </c>
      <c r="I559" t="str">
        <f>SUBSTITUTE(SUBSTITUTE(SUBSTITUTE(SUBSTITUTE(SUBSTITUTE(TRIM(B559&amp;""),CHAR(160),"")," ",""),"초등학교","초"),"중학교","중"),"고등학교","고")</f>
      </c>
    </row>
    <row r="560" customFormat="false" ht="15" hidden="false" customHeight="false" outlineLevel="0" collapsed="false">
      <c r="A560" s="8"/>
      <c r="B560" s="8"/>
      <c r="C560" s="8"/>
      <c r="D560" s="8"/>
      <c r="E560" s="8"/>
      <c r="F560" t="str" s="15">
        <f aca="0">IF(B560="","",IF(H560="","확인필요(입력누락)",IF(SUMPRODUCT((실물목록!$P$2:$P$1001&lt;&gt;"")*ISNUMBER(SEARCH(실물목록!$P$2:$P$1001,I560))*(실물목록!$Q$2:$Q$1001&lt;&gt;"")*ISNUMBER(SEARCH(실물목록!$Q$2:$Q$1001,I560))*(실물목록!$R$2:$R$1001="")*(실물목록!$O$2:$O$1001&lt;&gt;"")*(실물목록!$O$2:$O$1001=H560))&gt;0,"실물 있음",IF(SUMPRODUCT((실물목록!$P$2:$P$1001&lt;&gt;"")*ISNUMBER(SEARCH(실물목록!$P$2:$P$1001,I560))*(실물목록!$R$2:$R$1001&lt;&gt;""))&gt;0,"확인필요(입력누락)",IF(SUMPRODUCT((실물목록!$P$2:$P$1001&lt;&gt;"")*ISNUMBER(SEARCH(실물목록!$P$2:$P$1001,I560))*(실물목록!$Q$2:$Q$1001&lt;&gt;"")*ISNUMBER(SEARCH(실물목록!$Q$2:$Q$1001,I560))*(실물목록!$R$2:$R$1001="")*(실물목록!$O$2:$O$1001&lt;&gt;""))&gt;0,"확인필요(연도다름)","실물 없음")))))</f>
      </c>
      <c r="G560" t="n" s="16">
        <f aca="0">IF(B560="","",SUMPRODUCT((실물목록!$P$2:$P$1001&lt;&gt;"")*ISNUMBER(SEARCH(실물목록!$P$2:$P$1001,I560))*(실물목록!$Q$2:$Q$1001&lt;&gt;"")*ISNUMBER(SEARCH(실물목록!$Q$2:$Q$1001,I560))*(실물목록!$R$2:$R$1001="")*(실물목록!$O$2:$O$1001&lt;&gt;"")*(실물목록!$O$2:$O$1001=H560)))</f>
      </c>
      <c r="H560" t="str">
        <f>IFERROR(IF(AND(LEN(SUBSTITUTE(SUBSTITUTE(SUBSTITUTE(TRIM(A560&amp;""),CHAR(160),"")," ",""),"년",""))=4,VALUE(SUBSTITUTE(SUBSTITUTE(SUBSTITUTE(TRIM(A560&amp;""),CHAR(160),"")," ",""),"년",""))&gt;=1900,VALUE(SUBSTITUTE(SUBSTITUTE(SUBSTITUTE(TRIM(A560&amp;""),CHAR(160),"")," ",""),"년",""))&lt;=2099,TEXT(VALUE(SUBSTITUTE(SUBSTITUTE(SUBSTITUTE(TRIM(A560&amp;""),CHAR(160),"")," ",""),"년","")),"0000")=SUBSTITUTE(SUBSTITUTE(SUBSTITUTE(TRIM(A560&amp;""),CHAR(160),"")," ",""),"년","")),SUBSTITUTE(SUBSTITUTE(SUBSTITUTE(TRIM(A560&amp;""),CHAR(160),"")," ",""),"년",""),""),"")</f>
      </c>
      <c r="I560" t="str">
        <f>SUBSTITUTE(SUBSTITUTE(SUBSTITUTE(SUBSTITUTE(SUBSTITUTE(TRIM(B560&amp;""),CHAR(160),"")," ",""),"초등학교","초"),"중학교","중"),"고등학교","고")</f>
      </c>
    </row>
    <row r="561" customFormat="false" ht="15" hidden="false" customHeight="false" outlineLevel="0" collapsed="false">
      <c r="A561" s="8"/>
      <c r="B561" s="8"/>
      <c r="C561" s="8"/>
      <c r="D561" s="8"/>
      <c r="E561" s="8"/>
      <c r="F561" t="str" s="15">
        <f aca="0">IF(B561="","",IF(H561="","확인필요(입력누락)",IF(SUMPRODUCT((실물목록!$P$2:$P$1001&lt;&gt;"")*ISNUMBER(SEARCH(실물목록!$P$2:$P$1001,I561))*(실물목록!$Q$2:$Q$1001&lt;&gt;"")*ISNUMBER(SEARCH(실물목록!$Q$2:$Q$1001,I561))*(실물목록!$R$2:$R$1001="")*(실물목록!$O$2:$O$1001&lt;&gt;"")*(실물목록!$O$2:$O$1001=H561))&gt;0,"실물 있음",IF(SUMPRODUCT((실물목록!$P$2:$P$1001&lt;&gt;"")*ISNUMBER(SEARCH(실물목록!$P$2:$P$1001,I561))*(실물목록!$R$2:$R$1001&lt;&gt;""))&gt;0,"확인필요(입력누락)",IF(SUMPRODUCT((실물목록!$P$2:$P$1001&lt;&gt;"")*ISNUMBER(SEARCH(실물목록!$P$2:$P$1001,I561))*(실물목록!$Q$2:$Q$1001&lt;&gt;"")*ISNUMBER(SEARCH(실물목록!$Q$2:$Q$1001,I561))*(실물목록!$R$2:$R$1001="")*(실물목록!$O$2:$O$1001&lt;&gt;""))&gt;0,"확인필요(연도다름)","실물 없음")))))</f>
      </c>
      <c r="G561" t="n" s="16">
        <f aca="0">IF(B561="","",SUMPRODUCT((실물목록!$P$2:$P$1001&lt;&gt;"")*ISNUMBER(SEARCH(실물목록!$P$2:$P$1001,I561))*(실물목록!$Q$2:$Q$1001&lt;&gt;"")*ISNUMBER(SEARCH(실물목록!$Q$2:$Q$1001,I561))*(실물목록!$R$2:$R$1001="")*(실물목록!$O$2:$O$1001&lt;&gt;"")*(실물목록!$O$2:$O$1001=H561)))</f>
      </c>
      <c r="H561" t="str">
        <f>IFERROR(IF(AND(LEN(SUBSTITUTE(SUBSTITUTE(SUBSTITUTE(TRIM(A561&amp;""),CHAR(160),"")," ",""),"년",""))=4,VALUE(SUBSTITUTE(SUBSTITUTE(SUBSTITUTE(TRIM(A561&amp;""),CHAR(160),"")," ",""),"년",""))&gt;=1900,VALUE(SUBSTITUTE(SUBSTITUTE(SUBSTITUTE(TRIM(A561&amp;""),CHAR(160),"")," ",""),"년",""))&lt;=2099,TEXT(VALUE(SUBSTITUTE(SUBSTITUTE(SUBSTITUTE(TRIM(A561&amp;""),CHAR(160),"")," ",""),"년","")),"0000")=SUBSTITUTE(SUBSTITUTE(SUBSTITUTE(TRIM(A561&amp;""),CHAR(160),"")," ",""),"년","")),SUBSTITUTE(SUBSTITUTE(SUBSTITUTE(TRIM(A561&amp;""),CHAR(160),"")," ",""),"년",""),""),"")</f>
      </c>
      <c r="I561" t="str">
        <f>SUBSTITUTE(SUBSTITUTE(SUBSTITUTE(SUBSTITUTE(SUBSTITUTE(TRIM(B561&amp;""),CHAR(160),"")," ",""),"초등학교","초"),"중학교","중"),"고등학교","고")</f>
      </c>
    </row>
    <row r="562" customFormat="false" ht="15" hidden="false" customHeight="false" outlineLevel="0" collapsed="false">
      <c r="A562" s="8"/>
      <c r="B562" s="8"/>
      <c r="C562" s="8"/>
      <c r="D562" s="8"/>
      <c r="E562" s="8"/>
      <c r="F562" t="str" s="15">
        <f aca="0">IF(B562="","",IF(H562="","확인필요(입력누락)",IF(SUMPRODUCT((실물목록!$P$2:$P$1001&lt;&gt;"")*ISNUMBER(SEARCH(실물목록!$P$2:$P$1001,I562))*(실물목록!$Q$2:$Q$1001&lt;&gt;"")*ISNUMBER(SEARCH(실물목록!$Q$2:$Q$1001,I562))*(실물목록!$R$2:$R$1001="")*(실물목록!$O$2:$O$1001&lt;&gt;"")*(실물목록!$O$2:$O$1001=H562))&gt;0,"실물 있음",IF(SUMPRODUCT((실물목록!$P$2:$P$1001&lt;&gt;"")*ISNUMBER(SEARCH(실물목록!$P$2:$P$1001,I562))*(실물목록!$R$2:$R$1001&lt;&gt;""))&gt;0,"확인필요(입력누락)",IF(SUMPRODUCT((실물목록!$P$2:$P$1001&lt;&gt;"")*ISNUMBER(SEARCH(실물목록!$P$2:$P$1001,I562))*(실물목록!$Q$2:$Q$1001&lt;&gt;"")*ISNUMBER(SEARCH(실물목록!$Q$2:$Q$1001,I562))*(실물목록!$R$2:$R$1001="")*(실물목록!$O$2:$O$1001&lt;&gt;""))&gt;0,"확인필요(연도다름)","실물 없음")))))</f>
      </c>
      <c r="G562" t="n" s="16">
        <f aca="0">IF(B562="","",SUMPRODUCT((실물목록!$P$2:$P$1001&lt;&gt;"")*ISNUMBER(SEARCH(실물목록!$P$2:$P$1001,I562))*(실물목록!$Q$2:$Q$1001&lt;&gt;"")*ISNUMBER(SEARCH(실물목록!$Q$2:$Q$1001,I562))*(실물목록!$R$2:$R$1001="")*(실물목록!$O$2:$O$1001&lt;&gt;"")*(실물목록!$O$2:$O$1001=H562)))</f>
      </c>
      <c r="H562" t="str">
        <f>IFERROR(IF(AND(LEN(SUBSTITUTE(SUBSTITUTE(SUBSTITUTE(TRIM(A562&amp;""),CHAR(160),"")," ",""),"년",""))=4,VALUE(SUBSTITUTE(SUBSTITUTE(SUBSTITUTE(TRIM(A562&amp;""),CHAR(160),"")," ",""),"년",""))&gt;=1900,VALUE(SUBSTITUTE(SUBSTITUTE(SUBSTITUTE(TRIM(A562&amp;""),CHAR(160),"")," ",""),"년",""))&lt;=2099,TEXT(VALUE(SUBSTITUTE(SUBSTITUTE(SUBSTITUTE(TRIM(A562&amp;""),CHAR(160),"")," ",""),"년","")),"0000")=SUBSTITUTE(SUBSTITUTE(SUBSTITUTE(TRIM(A562&amp;""),CHAR(160),"")," ",""),"년","")),SUBSTITUTE(SUBSTITUTE(SUBSTITUTE(TRIM(A562&amp;""),CHAR(160),"")," ",""),"년",""),""),"")</f>
      </c>
      <c r="I562" t="str">
        <f>SUBSTITUTE(SUBSTITUTE(SUBSTITUTE(SUBSTITUTE(SUBSTITUTE(TRIM(B562&amp;""),CHAR(160),"")," ",""),"초등학교","초"),"중학교","중"),"고등학교","고")</f>
      </c>
    </row>
    <row r="563" customFormat="false" ht="15" hidden="false" customHeight="false" outlineLevel="0" collapsed="false">
      <c r="A563" s="8"/>
      <c r="B563" s="8"/>
      <c r="C563" s="8"/>
      <c r="D563" s="8"/>
      <c r="E563" s="8"/>
      <c r="F563" t="str" s="15">
        <f aca="0">IF(B563="","",IF(H563="","확인필요(입력누락)",IF(SUMPRODUCT((실물목록!$P$2:$P$1001&lt;&gt;"")*ISNUMBER(SEARCH(실물목록!$P$2:$P$1001,I563))*(실물목록!$Q$2:$Q$1001&lt;&gt;"")*ISNUMBER(SEARCH(실물목록!$Q$2:$Q$1001,I563))*(실물목록!$R$2:$R$1001="")*(실물목록!$O$2:$O$1001&lt;&gt;"")*(실물목록!$O$2:$O$1001=H563))&gt;0,"실물 있음",IF(SUMPRODUCT((실물목록!$P$2:$P$1001&lt;&gt;"")*ISNUMBER(SEARCH(실물목록!$P$2:$P$1001,I563))*(실물목록!$R$2:$R$1001&lt;&gt;""))&gt;0,"확인필요(입력누락)",IF(SUMPRODUCT((실물목록!$P$2:$P$1001&lt;&gt;"")*ISNUMBER(SEARCH(실물목록!$P$2:$P$1001,I563))*(실물목록!$Q$2:$Q$1001&lt;&gt;"")*ISNUMBER(SEARCH(실물목록!$Q$2:$Q$1001,I563))*(실물목록!$R$2:$R$1001="")*(실물목록!$O$2:$O$1001&lt;&gt;""))&gt;0,"확인필요(연도다름)","실물 없음")))))</f>
      </c>
      <c r="G563" t="n" s="16">
        <f aca="0">IF(B563="","",SUMPRODUCT((실물목록!$P$2:$P$1001&lt;&gt;"")*ISNUMBER(SEARCH(실물목록!$P$2:$P$1001,I563))*(실물목록!$Q$2:$Q$1001&lt;&gt;"")*ISNUMBER(SEARCH(실물목록!$Q$2:$Q$1001,I563))*(실물목록!$R$2:$R$1001="")*(실물목록!$O$2:$O$1001&lt;&gt;"")*(실물목록!$O$2:$O$1001=H563)))</f>
      </c>
      <c r="H563" t="str">
        <f>IFERROR(IF(AND(LEN(SUBSTITUTE(SUBSTITUTE(SUBSTITUTE(TRIM(A563&amp;""),CHAR(160),"")," ",""),"년",""))=4,VALUE(SUBSTITUTE(SUBSTITUTE(SUBSTITUTE(TRIM(A563&amp;""),CHAR(160),"")," ",""),"년",""))&gt;=1900,VALUE(SUBSTITUTE(SUBSTITUTE(SUBSTITUTE(TRIM(A563&amp;""),CHAR(160),"")," ",""),"년",""))&lt;=2099,TEXT(VALUE(SUBSTITUTE(SUBSTITUTE(SUBSTITUTE(TRIM(A563&amp;""),CHAR(160),"")," ",""),"년","")),"0000")=SUBSTITUTE(SUBSTITUTE(SUBSTITUTE(TRIM(A563&amp;""),CHAR(160),"")," ",""),"년","")),SUBSTITUTE(SUBSTITUTE(SUBSTITUTE(TRIM(A563&amp;""),CHAR(160),"")," ",""),"년",""),""),"")</f>
      </c>
      <c r="I563" t="str">
        <f>SUBSTITUTE(SUBSTITUTE(SUBSTITUTE(SUBSTITUTE(SUBSTITUTE(TRIM(B563&amp;""),CHAR(160),"")," ",""),"초등학교","초"),"중학교","중"),"고등학교","고")</f>
      </c>
    </row>
    <row r="564" customFormat="false" ht="15" hidden="false" customHeight="false" outlineLevel="0" collapsed="false">
      <c r="A564" s="8"/>
      <c r="B564" s="8"/>
      <c r="C564" s="8"/>
      <c r="D564" s="8"/>
      <c r="E564" s="8"/>
      <c r="F564" t="str" s="15">
        <f aca="0">IF(B564="","",IF(H564="","확인필요(입력누락)",IF(SUMPRODUCT((실물목록!$P$2:$P$1001&lt;&gt;"")*ISNUMBER(SEARCH(실물목록!$P$2:$P$1001,I564))*(실물목록!$Q$2:$Q$1001&lt;&gt;"")*ISNUMBER(SEARCH(실물목록!$Q$2:$Q$1001,I564))*(실물목록!$R$2:$R$1001="")*(실물목록!$O$2:$O$1001&lt;&gt;"")*(실물목록!$O$2:$O$1001=H564))&gt;0,"실물 있음",IF(SUMPRODUCT((실물목록!$P$2:$P$1001&lt;&gt;"")*ISNUMBER(SEARCH(실물목록!$P$2:$P$1001,I564))*(실물목록!$R$2:$R$1001&lt;&gt;""))&gt;0,"확인필요(입력누락)",IF(SUMPRODUCT((실물목록!$P$2:$P$1001&lt;&gt;"")*ISNUMBER(SEARCH(실물목록!$P$2:$P$1001,I564))*(실물목록!$Q$2:$Q$1001&lt;&gt;"")*ISNUMBER(SEARCH(실물목록!$Q$2:$Q$1001,I564))*(실물목록!$R$2:$R$1001="")*(실물목록!$O$2:$O$1001&lt;&gt;""))&gt;0,"확인필요(연도다름)","실물 없음")))))</f>
      </c>
      <c r="G564" t="n" s="16">
        <f aca="0">IF(B564="","",SUMPRODUCT((실물목록!$P$2:$P$1001&lt;&gt;"")*ISNUMBER(SEARCH(실물목록!$P$2:$P$1001,I564))*(실물목록!$Q$2:$Q$1001&lt;&gt;"")*ISNUMBER(SEARCH(실물목록!$Q$2:$Q$1001,I564))*(실물목록!$R$2:$R$1001="")*(실물목록!$O$2:$O$1001&lt;&gt;"")*(실물목록!$O$2:$O$1001=H564)))</f>
      </c>
      <c r="H564" t="str">
        <f>IFERROR(IF(AND(LEN(SUBSTITUTE(SUBSTITUTE(SUBSTITUTE(TRIM(A564&amp;""),CHAR(160),"")," ",""),"년",""))=4,VALUE(SUBSTITUTE(SUBSTITUTE(SUBSTITUTE(TRIM(A564&amp;""),CHAR(160),"")," ",""),"년",""))&gt;=1900,VALUE(SUBSTITUTE(SUBSTITUTE(SUBSTITUTE(TRIM(A564&amp;""),CHAR(160),"")," ",""),"년",""))&lt;=2099,TEXT(VALUE(SUBSTITUTE(SUBSTITUTE(SUBSTITUTE(TRIM(A564&amp;""),CHAR(160),"")," ",""),"년","")),"0000")=SUBSTITUTE(SUBSTITUTE(SUBSTITUTE(TRIM(A564&amp;""),CHAR(160),"")," ",""),"년","")),SUBSTITUTE(SUBSTITUTE(SUBSTITUTE(TRIM(A564&amp;""),CHAR(160),"")," ",""),"년",""),""),"")</f>
      </c>
      <c r="I564" t="str">
        <f>SUBSTITUTE(SUBSTITUTE(SUBSTITUTE(SUBSTITUTE(SUBSTITUTE(TRIM(B564&amp;""),CHAR(160),"")," ",""),"초등학교","초"),"중학교","중"),"고등학교","고")</f>
      </c>
    </row>
    <row r="565" customFormat="false" ht="15" hidden="false" customHeight="false" outlineLevel="0" collapsed="false">
      <c r="A565" s="8"/>
      <c r="B565" s="8"/>
      <c r="C565" s="8"/>
      <c r="D565" s="8"/>
      <c r="E565" s="8"/>
      <c r="F565" t="str" s="15">
        <f aca="0">IF(B565="","",IF(H565="","확인필요(입력누락)",IF(SUMPRODUCT((실물목록!$P$2:$P$1001&lt;&gt;"")*ISNUMBER(SEARCH(실물목록!$P$2:$P$1001,I565))*(실물목록!$Q$2:$Q$1001&lt;&gt;"")*ISNUMBER(SEARCH(실물목록!$Q$2:$Q$1001,I565))*(실물목록!$R$2:$R$1001="")*(실물목록!$O$2:$O$1001&lt;&gt;"")*(실물목록!$O$2:$O$1001=H565))&gt;0,"실물 있음",IF(SUMPRODUCT((실물목록!$P$2:$P$1001&lt;&gt;"")*ISNUMBER(SEARCH(실물목록!$P$2:$P$1001,I565))*(실물목록!$R$2:$R$1001&lt;&gt;""))&gt;0,"확인필요(입력누락)",IF(SUMPRODUCT((실물목록!$P$2:$P$1001&lt;&gt;"")*ISNUMBER(SEARCH(실물목록!$P$2:$P$1001,I565))*(실물목록!$Q$2:$Q$1001&lt;&gt;"")*ISNUMBER(SEARCH(실물목록!$Q$2:$Q$1001,I565))*(실물목록!$R$2:$R$1001="")*(실물목록!$O$2:$O$1001&lt;&gt;""))&gt;0,"확인필요(연도다름)","실물 없음")))))</f>
      </c>
      <c r="G565" t="n" s="16">
        <f aca="0">IF(B565="","",SUMPRODUCT((실물목록!$P$2:$P$1001&lt;&gt;"")*ISNUMBER(SEARCH(실물목록!$P$2:$P$1001,I565))*(실물목록!$Q$2:$Q$1001&lt;&gt;"")*ISNUMBER(SEARCH(실물목록!$Q$2:$Q$1001,I565))*(실물목록!$R$2:$R$1001="")*(실물목록!$O$2:$O$1001&lt;&gt;"")*(실물목록!$O$2:$O$1001=H565)))</f>
      </c>
      <c r="H565" t="str">
        <f>IFERROR(IF(AND(LEN(SUBSTITUTE(SUBSTITUTE(SUBSTITUTE(TRIM(A565&amp;""),CHAR(160),"")," ",""),"년",""))=4,VALUE(SUBSTITUTE(SUBSTITUTE(SUBSTITUTE(TRIM(A565&amp;""),CHAR(160),"")," ",""),"년",""))&gt;=1900,VALUE(SUBSTITUTE(SUBSTITUTE(SUBSTITUTE(TRIM(A565&amp;""),CHAR(160),"")," ",""),"년",""))&lt;=2099,TEXT(VALUE(SUBSTITUTE(SUBSTITUTE(SUBSTITUTE(TRIM(A565&amp;""),CHAR(160),"")," ",""),"년","")),"0000")=SUBSTITUTE(SUBSTITUTE(SUBSTITUTE(TRIM(A565&amp;""),CHAR(160),"")," ",""),"년","")),SUBSTITUTE(SUBSTITUTE(SUBSTITUTE(TRIM(A565&amp;""),CHAR(160),"")," ",""),"년",""),""),"")</f>
      </c>
      <c r="I565" t="str">
        <f>SUBSTITUTE(SUBSTITUTE(SUBSTITUTE(SUBSTITUTE(SUBSTITUTE(TRIM(B565&amp;""),CHAR(160),"")," ",""),"초등학교","초"),"중학교","중"),"고등학교","고")</f>
      </c>
    </row>
    <row r="566" customFormat="false" ht="15" hidden="false" customHeight="false" outlineLevel="0" collapsed="false">
      <c r="A566" s="8"/>
      <c r="B566" s="8"/>
      <c r="C566" s="8"/>
      <c r="D566" s="8"/>
      <c r="E566" s="8"/>
      <c r="F566" t="str" s="15">
        <f aca="0">IF(B566="","",IF(H566="","확인필요(입력누락)",IF(SUMPRODUCT((실물목록!$P$2:$P$1001&lt;&gt;"")*ISNUMBER(SEARCH(실물목록!$P$2:$P$1001,I566))*(실물목록!$Q$2:$Q$1001&lt;&gt;"")*ISNUMBER(SEARCH(실물목록!$Q$2:$Q$1001,I566))*(실물목록!$R$2:$R$1001="")*(실물목록!$O$2:$O$1001&lt;&gt;"")*(실물목록!$O$2:$O$1001=H566))&gt;0,"실물 있음",IF(SUMPRODUCT((실물목록!$P$2:$P$1001&lt;&gt;"")*ISNUMBER(SEARCH(실물목록!$P$2:$P$1001,I566))*(실물목록!$R$2:$R$1001&lt;&gt;""))&gt;0,"확인필요(입력누락)",IF(SUMPRODUCT((실물목록!$P$2:$P$1001&lt;&gt;"")*ISNUMBER(SEARCH(실물목록!$P$2:$P$1001,I566))*(실물목록!$Q$2:$Q$1001&lt;&gt;"")*ISNUMBER(SEARCH(실물목록!$Q$2:$Q$1001,I566))*(실물목록!$R$2:$R$1001="")*(실물목록!$O$2:$O$1001&lt;&gt;""))&gt;0,"확인필요(연도다름)","실물 없음")))))</f>
      </c>
      <c r="G566" t="n" s="16">
        <f aca="0">IF(B566="","",SUMPRODUCT((실물목록!$P$2:$P$1001&lt;&gt;"")*ISNUMBER(SEARCH(실물목록!$P$2:$P$1001,I566))*(실물목록!$Q$2:$Q$1001&lt;&gt;"")*ISNUMBER(SEARCH(실물목록!$Q$2:$Q$1001,I566))*(실물목록!$R$2:$R$1001="")*(실물목록!$O$2:$O$1001&lt;&gt;"")*(실물목록!$O$2:$O$1001=H566)))</f>
      </c>
      <c r="H566" t="str">
        <f>IFERROR(IF(AND(LEN(SUBSTITUTE(SUBSTITUTE(SUBSTITUTE(TRIM(A566&amp;""),CHAR(160),"")," ",""),"년",""))=4,VALUE(SUBSTITUTE(SUBSTITUTE(SUBSTITUTE(TRIM(A566&amp;""),CHAR(160),"")," ",""),"년",""))&gt;=1900,VALUE(SUBSTITUTE(SUBSTITUTE(SUBSTITUTE(TRIM(A566&amp;""),CHAR(160),"")," ",""),"년",""))&lt;=2099,TEXT(VALUE(SUBSTITUTE(SUBSTITUTE(SUBSTITUTE(TRIM(A566&amp;""),CHAR(160),"")," ",""),"년","")),"0000")=SUBSTITUTE(SUBSTITUTE(SUBSTITUTE(TRIM(A566&amp;""),CHAR(160),"")," ",""),"년","")),SUBSTITUTE(SUBSTITUTE(SUBSTITUTE(TRIM(A566&amp;""),CHAR(160),"")," ",""),"년",""),""),"")</f>
      </c>
      <c r="I566" t="str">
        <f>SUBSTITUTE(SUBSTITUTE(SUBSTITUTE(SUBSTITUTE(SUBSTITUTE(TRIM(B566&amp;""),CHAR(160),"")," ",""),"초등학교","초"),"중학교","중"),"고등학교","고")</f>
      </c>
    </row>
    <row r="567" customFormat="false" ht="15" hidden="false" customHeight="false" outlineLevel="0" collapsed="false">
      <c r="A567" s="8"/>
      <c r="B567" s="8"/>
      <c r="C567" s="8"/>
      <c r="D567" s="8"/>
      <c r="E567" s="8"/>
      <c r="F567" t="str" s="15">
        <f aca="0">IF(B567="","",IF(H567="","확인필요(입력누락)",IF(SUMPRODUCT((실물목록!$P$2:$P$1001&lt;&gt;"")*ISNUMBER(SEARCH(실물목록!$P$2:$P$1001,I567))*(실물목록!$Q$2:$Q$1001&lt;&gt;"")*ISNUMBER(SEARCH(실물목록!$Q$2:$Q$1001,I567))*(실물목록!$R$2:$R$1001="")*(실물목록!$O$2:$O$1001&lt;&gt;"")*(실물목록!$O$2:$O$1001=H567))&gt;0,"실물 있음",IF(SUMPRODUCT((실물목록!$P$2:$P$1001&lt;&gt;"")*ISNUMBER(SEARCH(실물목록!$P$2:$P$1001,I567))*(실물목록!$R$2:$R$1001&lt;&gt;""))&gt;0,"확인필요(입력누락)",IF(SUMPRODUCT((실물목록!$P$2:$P$1001&lt;&gt;"")*ISNUMBER(SEARCH(실물목록!$P$2:$P$1001,I567))*(실물목록!$Q$2:$Q$1001&lt;&gt;"")*ISNUMBER(SEARCH(실물목록!$Q$2:$Q$1001,I567))*(실물목록!$R$2:$R$1001="")*(실물목록!$O$2:$O$1001&lt;&gt;""))&gt;0,"확인필요(연도다름)","실물 없음")))))</f>
      </c>
      <c r="G567" t="n" s="16">
        <f aca="0">IF(B567="","",SUMPRODUCT((실물목록!$P$2:$P$1001&lt;&gt;"")*ISNUMBER(SEARCH(실물목록!$P$2:$P$1001,I567))*(실물목록!$Q$2:$Q$1001&lt;&gt;"")*ISNUMBER(SEARCH(실물목록!$Q$2:$Q$1001,I567))*(실물목록!$R$2:$R$1001="")*(실물목록!$O$2:$O$1001&lt;&gt;"")*(실물목록!$O$2:$O$1001=H567)))</f>
      </c>
      <c r="H567" t="str">
        <f>IFERROR(IF(AND(LEN(SUBSTITUTE(SUBSTITUTE(SUBSTITUTE(TRIM(A567&amp;""),CHAR(160),"")," ",""),"년",""))=4,VALUE(SUBSTITUTE(SUBSTITUTE(SUBSTITUTE(TRIM(A567&amp;""),CHAR(160),"")," ",""),"년",""))&gt;=1900,VALUE(SUBSTITUTE(SUBSTITUTE(SUBSTITUTE(TRIM(A567&amp;""),CHAR(160),"")," ",""),"년",""))&lt;=2099,TEXT(VALUE(SUBSTITUTE(SUBSTITUTE(SUBSTITUTE(TRIM(A567&amp;""),CHAR(160),"")," ",""),"년","")),"0000")=SUBSTITUTE(SUBSTITUTE(SUBSTITUTE(TRIM(A567&amp;""),CHAR(160),"")," ",""),"년","")),SUBSTITUTE(SUBSTITUTE(SUBSTITUTE(TRIM(A567&amp;""),CHAR(160),"")," ",""),"년",""),""),"")</f>
      </c>
      <c r="I567" t="str">
        <f>SUBSTITUTE(SUBSTITUTE(SUBSTITUTE(SUBSTITUTE(SUBSTITUTE(TRIM(B567&amp;""),CHAR(160),"")," ",""),"초등학교","초"),"중학교","중"),"고등학교","고")</f>
      </c>
    </row>
    <row r="568" customFormat="false" ht="15" hidden="false" customHeight="false" outlineLevel="0" collapsed="false">
      <c r="A568" s="8"/>
      <c r="B568" s="8"/>
      <c r="C568" s="8"/>
      <c r="D568" s="8"/>
      <c r="E568" s="8"/>
      <c r="F568" t="str" s="15">
        <f aca="0">IF(B568="","",IF(H568="","확인필요(입력누락)",IF(SUMPRODUCT((실물목록!$P$2:$P$1001&lt;&gt;"")*ISNUMBER(SEARCH(실물목록!$P$2:$P$1001,I568))*(실물목록!$Q$2:$Q$1001&lt;&gt;"")*ISNUMBER(SEARCH(실물목록!$Q$2:$Q$1001,I568))*(실물목록!$R$2:$R$1001="")*(실물목록!$O$2:$O$1001&lt;&gt;"")*(실물목록!$O$2:$O$1001=H568))&gt;0,"실물 있음",IF(SUMPRODUCT((실물목록!$P$2:$P$1001&lt;&gt;"")*ISNUMBER(SEARCH(실물목록!$P$2:$P$1001,I568))*(실물목록!$R$2:$R$1001&lt;&gt;""))&gt;0,"확인필요(입력누락)",IF(SUMPRODUCT((실물목록!$P$2:$P$1001&lt;&gt;"")*ISNUMBER(SEARCH(실물목록!$P$2:$P$1001,I568))*(실물목록!$Q$2:$Q$1001&lt;&gt;"")*ISNUMBER(SEARCH(실물목록!$Q$2:$Q$1001,I568))*(실물목록!$R$2:$R$1001="")*(실물목록!$O$2:$O$1001&lt;&gt;""))&gt;0,"확인필요(연도다름)","실물 없음")))))</f>
      </c>
      <c r="G568" t="n" s="16">
        <f aca="0">IF(B568="","",SUMPRODUCT((실물목록!$P$2:$P$1001&lt;&gt;"")*ISNUMBER(SEARCH(실물목록!$P$2:$P$1001,I568))*(실물목록!$Q$2:$Q$1001&lt;&gt;"")*ISNUMBER(SEARCH(실물목록!$Q$2:$Q$1001,I568))*(실물목록!$R$2:$R$1001="")*(실물목록!$O$2:$O$1001&lt;&gt;"")*(실물목록!$O$2:$O$1001=H568)))</f>
      </c>
      <c r="H568" t="str">
        <f>IFERROR(IF(AND(LEN(SUBSTITUTE(SUBSTITUTE(SUBSTITUTE(TRIM(A568&amp;""),CHAR(160),"")," ",""),"년",""))=4,VALUE(SUBSTITUTE(SUBSTITUTE(SUBSTITUTE(TRIM(A568&amp;""),CHAR(160),"")," ",""),"년",""))&gt;=1900,VALUE(SUBSTITUTE(SUBSTITUTE(SUBSTITUTE(TRIM(A568&amp;""),CHAR(160),"")," ",""),"년",""))&lt;=2099,TEXT(VALUE(SUBSTITUTE(SUBSTITUTE(SUBSTITUTE(TRIM(A568&amp;""),CHAR(160),"")," ",""),"년","")),"0000")=SUBSTITUTE(SUBSTITUTE(SUBSTITUTE(TRIM(A568&amp;""),CHAR(160),"")," ",""),"년","")),SUBSTITUTE(SUBSTITUTE(SUBSTITUTE(TRIM(A568&amp;""),CHAR(160),"")," ",""),"년",""),""),"")</f>
      </c>
      <c r="I568" t="str">
        <f>SUBSTITUTE(SUBSTITUTE(SUBSTITUTE(SUBSTITUTE(SUBSTITUTE(TRIM(B568&amp;""),CHAR(160),"")," ",""),"초등학교","초"),"중학교","중"),"고등학교","고")</f>
      </c>
    </row>
    <row r="569" customFormat="false" ht="15" hidden="false" customHeight="false" outlineLevel="0" collapsed="false">
      <c r="A569" s="8"/>
      <c r="B569" s="8"/>
      <c r="C569" s="8"/>
      <c r="D569" s="8"/>
      <c r="E569" s="8"/>
      <c r="F569" t="str" s="15">
        <f aca="0">IF(B569="","",IF(H569="","확인필요(입력누락)",IF(SUMPRODUCT((실물목록!$P$2:$P$1001&lt;&gt;"")*ISNUMBER(SEARCH(실물목록!$P$2:$P$1001,I569))*(실물목록!$Q$2:$Q$1001&lt;&gt;"")*ISNUMBER(SEARCH(실물목록!$Q$2:$Q$1001,I569))*(실물목록!$R$2:$R$1001="")*(실물목록!$O$2:$O$1001&lt;&gt;"")*(실물목록!$O$2:$O$1001=H569))&gt;0,"실물 있음",IF(SUMPRODUCT((실물목록!$P$2:$P$1001&lt;&gt;"")*ISNUMBER(SEARCH(실물목록!$P$2:$P$1001,I569))*(실물목록!$R$2:$R$1001&lt;&gt;""))&gt;0,"확인필요(입력누락)",IF(SUMPRODUCT((실물목록!$P$2:$P$1001&lt;&gt;"")*ISNUMBER(SEARCH(실물목록!$P$2:$P$1001,I569))*(실물목록!$Q$2:$Q$1001&lt;&gt;"")*ISNUMBER(SEARCH(실물목록!$Q$2:$Q$1001,I569))*(실물목록!$R$2:$R$1001="")*(실물목록!$O$2:$O$1001&lt;&gt;""))&gt;0,"확인필요(연도다름)","실물 없음")))))</f>
      </c>
      <c r="G569" t="n" s="16">
        <f aca="0">IF(B569="","",SUMPRODUCT((실물목록!$P$2:$P$1001&lt;&gt;"")*ISNUMBER(SEARCH(실물목록!$P$2:$P$1001,I569))*(실물목록!$Q$2:$Q$1001&lt;&gt;"")*ISNUMBER(SEARCH(실물목록!$Q$2:$Q$1001,I569))*(실물목록!$R$2:$R$1001="")*(실물목록!$O$2:$O$1001&lt;&gt;"")*(실물목록!$O$2:$O$1001=H569)))</f>
      </c>
      <c r="H569" t="str">
        <f>IFERROR(IF(AND(LEN(SUBSTITUTE(SUBSTITUTE(SUBSTITUTE(TRIM(A569&amp;""),CHAR(160),"")," ",""),"년",""))=4,VALUE(SUBSTITUTE(SUBSTITUTE(SUBSTITUTE(TRIM(A569&amp;""),CHAR(160),"")," ",""),"년",""))&gt;=1900,VALUE(SUBSTITUTE(SUBSTITUTE(SUBSTITUTE(TRIM(A569&amp;""),CHAR(160),"")," ",""),"년",""))&lt;=2099,TEXT(VALUE(SUBSTITUTE(SUBSTITUTE(SUBSTITUTE(TRIM(A569&amp;""),CHAR(160),"")," ",""),"년","")),"0000")=SUBSTITUTE(SUBSTITUTE(SUBSTITUTE(TRIM(A569&amp;""),CHAR(160),"")," ",""),"년","")),SUBSTITUTE(SUBSTITUTE(SUBSTITUTE(TRIM(A569&amp;""),CHAR(160),"")," ",""),"년",""),""),"")</f>
      </c>
      <c r="I569" t="str">
        <f>SUBSTITUTE(SUBSTITUTE(SUBSTITUTE(SUBSTITUTE(SUBSTITUTE(TRIM(B569&amp;""),CHAR(160),"")," ",""),"초등학교","초"),"중학교","중"),"고등학교","고")</f>
      </c>
    </row>
    <row r="570" customFormat="false" ht="15" hidden="false" customHeight="false" outlineLevel="0" collapsed="false">
      <c r="A570" s="8"/>
      <c r="B570" s="8"/>
      <c r="C570" s="8"/>
      <c r="D570" s="8"/>
      <c r="E570" s="8"/>
      <c r="F570" t="str" s="15">
        <f aca="0">IF(B570="","",IF(H570="","확인필요(입력누락)",IF(SUMPRODUCT((실물목록!$P$2:$P$1001&lt;&gt;"")*ISNUMBER(SEARCH(실물목록!$P$2:$P$1001,I570))*(실물목록!$Q$2:$Q$1001&lt;&gt;"")*ISNUMBER(SEARCH(실물목록!$Q$2:$Q$1001,I570))*(실물목록!$R$2:$R$1001="")*(실물목록!$O$2:$O$1001&lt;&gt;"")*(실물목록!$O$2:$O$1001=H570))&gt;0,"실물 있음",IF(SUMPRODUCT((실물목록!$P$2:$P$1001&lt;&gt;"")*ISNUMBER(SEARCH(실물목록!$P$2:$P$1001,I570))*(실물목록!$R$2:$R$1001&lt;&gt;""))&gt;0,"확인필요(입력누락)",IF(SUMPRODUCT((실물목록!$P$2:$P$1001&lt;&gt;"")*ISNUMBER(SEARCH(실물목록!$P$2:$P$1001,I570))*(실물목록!$Q$2:$Q$1001&lt;&gt;"")*ISNUMBER(SEARCH(실물목록!$Q$2:$Q$1001,I570))*(실물목록!$R$2:$R$1001="")*(실물목록!$O$2:$O$1001&lt;&gt;""))&gt;0,"확인필요(연도다름)","실물 없음")))))</f>
      </c>
      <c r="G570" t="n" s="16">
        <f aca="0">IF(B570="","",SUMPRODUCT((실물목록!$P$2:$P$1001&lt;&gt;"")*ISNUMBER(SEARCH(실물목록!$P$2:$P$1001,I570))*(실물목록!$Q$2:$Q$1001&lt;&gt;"")*ISNUMBER(SEARCH(실물목록!$Q$2:$Q$1001,I570))*(실물목록!$R$2:$R$1001="")*(실물목록!$O$2:$O$1001&lt;&gt;"")*(실물목록!$O$2:$O$1001=H570)))</f>
      </c>
      <c r="H570" t="str">
        <f>IFERROR(IF(AND(LEN(SUBSTITUTE(SUBSTITUTE(SUBSTITUTE(TRIM(A570&amp;""),CHAR(160),"")," ",""),"년",""))=4,VALUE(SUBSTITUTE(SUBSTITUTE(SUBSTITUTE(TRIM(A570&amp;""),CHAR(160),"")," ",""),"년",""))&gt;=1900,VALUE(SUBSTITUTE(SUBSTITUTE(SUBSTITUTE(TRIM(A570&amp;""),CHAR(160),"")," ",""),"년",""))&lt;=2099,TEXT(VALUE(SUBSTITUTE(SUBSTITUTE(SUBSTITUTE(TRIM(A570&amp;""),CHAR(160),"")," ",""),"년","")),"0000")=SUBSTITUTE(SUBSTITUTE(SUBSTITUTE(TRIM(A570&amp;""),CHAR(160),"")," ",""),"년","")),SUBSTITUTE(SUBSTITUTE(SUBSTITUTE(TRIM(A570&amp;""),CHAR(160),"")," ",""),"년",""),""),"")</f>
      </c>
      <c r="I570" t="str">
        <f>SUBSTITUTE(SUBSTITUTE(SUBSTITUTE(SUBSTITUTE(SUBSTITUTE(TRIM(B570&amp;""),CHAR(160),"")," ",""),"초등학교","초"),"중학교","중"),"고등학교","고")</f>
      </c>
    </row>
    <row r="571" customFormat="false" ht="15" hidden="false" customHeight="false" outlineLevel="0" collapsed="false">
      <c r="A571" s="8"/>
      <c r="B571" s="8"/>
      <c r="C571" s="8"/>
      <c r="D571" s="8"/>
      <c r="E571" s="8"/>
      <c r="F571" t="str" s="15">
        <f aca="0">IF(B571="","",IF(H571="","확인필요(입력누락)",IF(SUMPRODUCT((실물목록!$P$2:$P$1001&lt;&gt;"")*ISNUMBER(SEARCH(실물목록!$P$2:$P$1001,I571))*(실물목록!$Q$2:$Q$1001&lt;&gt;"")*ISNUMBER(SEARCH(실물목록!$Q$2:$Q$1001,I571))*(실물목록!$R$2:$R$1001="")*(실물목록!$O$2:$O$1001&lt;&gt;"")*(실물목록!$O$2:$O$1001=H571))&gt;0,"실물 있음",IF(SUMPRODUCT((실물목록!$P$2:$P$1001&lt;&gt;"")*ISNUMBER(SEARCH(실물목록!$P$2:$P$1001,I571))*(실물목록!$R$2:$R$1001&lt;&gt;""))&gt;0,"확인필요(입력누락)",IF(SUMPRODUCT((실물목록!$P$2:$P$1001&lt;&gt;"")*ISNUMBER(SEARCH(실물목록!$P$2:$P$1001,I571))*(실물목록!$Q$2:$Q$1001&lt;&gt;"")*ISNUMBER(SEARCH(실물목록!$Q$2:$Q$1001,I571))*(실물목록!$R$2:$R$1001="")*(실물목록!$O$2:$O$1001&lt;&gt;""))&gt;0,"확인필요(연도다름)","실물 없음")))))</f>
      </c>
      <c r="G571" t="n" s="16">
        <f aca="0">IF(B571="","",SUMPRODUCT((실물목록!$P$2:$P$1001&lt;&gt;"")*ISNUMBER(SEARCH(실물목록!$P$2:$P$1001,I571))*(실물목록!$Q$2:$Q$1001&lt;&gt;"")*ISNUMBER(SEARCH(실물목록!$Q$2:$Q$1001,I571))*(실물목록!$R$2:$R$1001="")*(실물목록!$O$2:$O$1001&lt;&gt;"")*(실물목록!$O$2:$O$1001=H571)))</f>
      </c>
      <c r="H571" t="str">
        <f>IFERROR(IF(AND(LEN(SUBSTITUTE(SUBSTITUTE(SUBSTITUTE(TRIM(A571&amp;""),CHAR(160),"")," ",""),"년",""))=4,VALUE(SUBSTITUTE(SUBSTITUTE(SUBSTITUTE(TRIM(A571&amp;""),CHAR(160),"")," ",""),"년",""))&gt;=1900,VALUE(SUBSTITUTE(SUBSTITUTE(SUBSTITUTE(TRIM(A571&amp;""),CHAR(160),"")," ",""),"년",""))&lt;=2099,TEXT(VALUE(SUBSTITUTE(SUBSTITUTE(SUBSTITUTE(TRIM(A571&amp;""),CHAR(160),"")," ",""),"년","")),"0000")=SUBSTITUTE(SUBSTITUTE(SUBSTITUTE(TRIM(A571&amp;""),CHAR(160),"")," ",""),"년","")),SUBSTITUTE(SUBSTITUTE(SUBSTITUTE(TRIM(A571&amp;""),CHAR(160),"")," ",""),"년",""),""),"")</f>
      </c>
      <c r="I571" t="str">
        <f>SUBSTITUTE(SUBSTITUTE(SUBSTITUTE(SUBSTITUTE(SUBSTITUTE(TRIM(B571&amp;""),CHAR(160),"")," ",""),"초등학교","초"),"중학교","중"),"고등학교","고")</f>
      </c>
    </row>
    <row r="572" customFormat="false" ht="15" hidden="false" customHeight="false" outlineLevel="0" collapsed="false">
      <c r="A572" s="8"/>
      <c r="B572" s="8"/>
      <c r="C572" s="8"/>
      <c r="D572" s="8"/>
      <c r="E572" s="8"/>
      <c r="F572" t="str" s="15">
        <f aca="0">IF(B572="","",IF(H572="","확인필요(입력누락)",IF(SUMPRODUCT((실물목록!$P$2:$P$1001&lt;&gt;"")*ISNUMBER(SEARCH(실물목록!$P$2:$P$1001,I572))*(실물목록!$Q$2:$Q$1001&lt;&gt;"")*ISNUMBER(SEARCH(실물목록!$Q$2:$Q$1001,I572))*(실물목록!$R$2:$R$1001="")*(실물목록!$O$2:$O$1001&lt;&gt;"")*(실물목록!$O$2:$O$1001=H572))&gt;0,"실물 있음",IF(SUMPRODUCT((실물목록!$P$2:$P$1001&lt;&gt;"")*ISNUMBER(SEARCH(실물목록!$P$2:$P$1001,I572))*(실물목록!$R$2:$R$1001&lt;&gt;""))&gt;0,"확인필요(입력누락)",IF(SUMPRODUCT((실물목록!$P$2:$P$1001&lt;&gt;"")*ISNUMBER(SEARCH(실물목록!$P$2:$P$1001,I572))*(실물목록!$Q$2:$Q$1001&lt;&gt;"")*ISNUMBER(SEARCH(실물목록!$Q$2:$Q$1001,I572))*(실물목록!$R$2:$R$1001="")*(실물목록!$O$2:$O$1001&lt;&gt;""))&gt;0,"확인필요(연도다름)","실물 없음")))))</f>
      </c>
      <c r="G572" t="n" s="16">
        <f aca="0">IF(B572="","",SUMPRODUCT((실물목록!$P$2:$P$1001&lt;&gt;"")*ISNUMBER(SEARCH(실물목록!$P$2:$P$1001,I572))*(실물목록!$Q$2:$Q$1001&lt;&gt;"")*ISNUMBER(SEARCH(실물목록!$Q$2:$Q$1001,I572))*(실물목록!$R$2:$R$1001="")*(실물목록!$O$2:$O$1001&lt;&gt;"")*(실물목록!$O$2:$O$1001=H572)))</f>
      </c>
      <c r="H572" t="str">
        <f>IFERROR(IF(AND(LEN(SUBSTITUTE(SUBSTITUTE(SUBSTITUTE(TRIM(A572&amp;""),CHAR(160),"")," ",""),"년",""))=4,VALUE(SUBSTITUTE(SUBSTITUTE(SUBSTITUTE(TRIM(A572&amp;""),CHAR(160),"")," ",""),"년",""))&gt;=1900,VALUE(SUBSTITUTE(SUBSTITUTE(SUBSTITUTE(TRIM(A572&amp;""),CHAR(160),"")," ",""),"년",""))&lt;=2099,TEXT(VALUE(SUBSTITUTE(SUBSTITUTE(SUBSTITUTE(TRIM(A572&amp;""),CHAR(160),"")," ",""),"년","")),"0000")=SUBSTITUTE(SUBSTITUTE(SUBSTITUTE(TRIM(A572&amp;""),CHAR(160),"")," ",""),"년","")),SUBSTITUTE(SUBSTITUTE(SUBSTITUTE(TRIM(A572&amp;""),CHAR(160),"")," ",""),"년",""),""),"")</f>
      </c>
      <c r="I572" t="str">
        <f>SUBSTITUTE(SUBSTITUTE(SUBSTITUTE(SUBSTITUTE(SUBSTITUTE(TRIM(B572&amp;""),CHAR(160),"")," ",""),"초등학교","초"),"중학교","중"),"고등학교","고")</f>
      </c>
    </row>
    <row r="573" customFormat="false" ht="15" hidden="false" customHeight="false" outlineLevel="0" collapsed="false">
      <c r="A573" s="8"/>
      <c r="B573" s="8"/>
      <c r="C573" s="8"/>
      <c r="D573" s="8"/>
      <c r="E573" s="8"/>
      <c r="F573" t="str" s="15">
        <f aca="0">IF(B573="","",IF(H573="","확인필요(입력누락)",IF(SUMPRODUCT((실물목록!$P$2:$P$1001&lt;&gt;"")*ISNUMBER(SEARCH(실물목록!$P$2:$P$1001,I573))*(실물목록!$Q$2:$Q$1001&lt;&gt;"")*ISNUMBER(SEARCH(실물목록!$Q$2:$Q$1001,I573))*(실물목록!$R$2:$R$1001="")*(실물목록!$O$2:$O$1001&lt;&gt;"")*(실물목록!$O$2:$O$1001=H573))&gt;0,"실물 있음",IF(SUMPRODUCT((실물목록!$P$2:$P$1001&lt;&gt;"")*ISNUMBER(SEARCH(실물목록!$P$2:$P$1001,I573))*(실물목록!$R$2:$R$1001&lt;&gt;""))&gt;0,"확인필요(입력누락)",IF(SUMPRODUCT((실물목록!$P$2:$P$1001&lt;&gt;"")*ISNUMBER(SEARCH(실물목록!$P$2:$P$1001,I573))*(실물목록!$Q$2:$Q$1001&lt;&gt;"")*ISNUMBER(SEARCH(실물목록!$Q$2:$Q$1001,I573))*(실물목록!$R$2:$R$1001="")*(실물목록!$O$2:$O$1001&lt;&gt;""))&gt;0,"확인필요(연도다름)","실물 없음")))))</f>
      </c>
      <c r="G573" t="n" s="16">
        <f aca="0">IF(B573="","",SUMPRODUCT((실물목록!$P$2:$P$1001&lt;&gt;"")*ISNUMBER(SEARCH(실물목록!$P$2:$P$1001,I573))*(실물목록!$Q$2:$Q$1001&lt;&gt;"")*ISNUMBER(SEARCH(실물목록!$Q$2:$Q$1001,I573))*(실물목록!$R$2:$R$1001="")*(실물목록!$O$2:$O$1001&lt;&gt;"")*(실물목록!$O$2:$O$1001=H573)))</f>
      </c>
      <c r="H573" t="str">
        <f>IFERROR(IF(AND(LEN(SUBSTITUTE(SUBSTITUTE(SUBSTITUTE(TRIM(A573&amp;""),CHAR(160),"")," ",""),"년",""))=4,VALUE(SUBSTITUTE(SUBSTITUTE(SUBSTITUTE(TRIM(A573&amp;""),CHAR(160),"")," ",""),"년",""))&gt;=1900,VALUE(SUBSTITUTE(SUBSTITUTE(SUBSTITUTE(TRIM(A573&amp;""),CHAR(160),"")," ",""),"년",""))&lt;=2099,TEXT(VALUE(SUBSTITUTE(SUBSTITUTE(SUBSTITUTE(TRIM(A573&amp;""),CHAR(160),"")," ",""),"년","")),"0000")=SUBSTITUTE(SUBSTITUTE(SUBSTITUTE(TRIM(A573&amp;""),CHAR(160),"")," ",""),"년","")),SUBSTITUTE(SUBSTITUTE(SUBSTITUTE(TRIM(A573&amp;""),CHAR(160),"")," ",""),"년",""),""),"")</f>
      </c>
      <c r="I573" t="str">
        <f>SUBSTITUTE(SUBSTITUTE(SUBSTITUTE(SUBSTITUTE(SUBSTITUTE(TRIM(B573&amp;""),CHAR(160),"")," ",""),"초등학교","초"),"중학교","중"),"고등학교","고")</f>
      </c>
    </row>
    <row r="574" customFormat="false" ht="15" hidden="false" customHeight="false" outlineLevel="0" collapsed="false">
      <c r="A574" s="8"/>
      <c r="B574" s="8"/>
      <c r="C574" s="8"/>
      <c r="D574" s="8"/>
      <c r="E574" s="8"/>
      <c r="F574" t="str" s="15">
        <f aca="0">IF(B574="","",IF(H574="","확인필요(입력누락)",IF(SUMPRODUCT((실물목록!$P$2:$P$1001&lt;&gt;"")*ISNUMBER(SEARCH(실물목록!$P$2:$P$1001,I574))*(실물목록!$Q$2:$Q$1001&lt;&gt;"")*ISNUMBER(SEARCH(실물목록!$Q$2:$Q$1001,I574))*(실물목록!$R$2:$R$1001="")*(실물목록!$O$2:$O$1001&lt;&gt;"")*(실물목록!$O$2:$O$1001=H574))&gt;0,"실물 있음",IF(SUMPRODUCT((실물목록!$P$2:$P$1001&lt;&gt;"")*ISNUMBER(SEARCH(실물목록!$P$2:$P$1001,I574))*(실물목록!$R$2:$R$1001&lt;&gt;""))&gt;0,"확인필요(입력누락)",IF(SUMPRODUCT((실물목록!$P$2:$P$1001&lt;&gt;"")*ISNUMBER(SEARCH(실물목록!$P$2:$P$1001,I574))*(실물목록!$Q$2:$Q$1001&lt;&gt;"")*ISNUMBER(SEARCH(실물목록!$Q$2:$Q$1001,I574))*(실물목록!$R$2:$R$1001="")*(실물목록!$O$2:$O$1001&lt;&gt;""))&gt;0,"확인필요(연도다름)","실물 없음")))))</f>
      </c>
      <c r="G574" t="n" s="16">
        <f aca="0">IF(B574="","",SUMPRODUCT((실물목록!$P$2:$P$1001&lt;&gt;"")*ISNUMBER(SEARCH(실물목록!$P$2:$P$1001,I574))*(실물목록!$Q$2:$Q$1001&lt;&gt;"")*ISNUMBER(SEARCH(실물목록!$Q$2:$Q$1001,I574))*(실물목록!$R$2:$R$1001="")*(실물목록!$O$2:$O$1001&lt;&gt;"")*(실물목록!$O$2:$O$1001=H574)))</f>
      </c>
      <c r="H574" t="str">
        <f>IFERROR(IF(AND(LEN(SUBSTITUTE(SUBSTITUTE(SUBSTITUTE(TRIM(A574&amp;""),CHAR(160),"")," ",""),"년",""))=4,VALUE(SUBSTITUTE(SUBSTITUTE(SUBSTITUTE(TRIM(A574&amp;""),CHAR(160),"")," ",""),"년",""))&gt;=1900,VALUE(SUBSTITUTE(SUBSTITUTE(SUBSTITUTE(TRIM(A574&amp;""),CHAR(160),"")," ",""),"년",""))&lt;=2099,TEXT(VALUE(SUBSTITUTE(SUBSTITUTE(SUBSTITUTE(TRIM(A574&amp;""),CHAR(160),"")," ",""),"년","")),"0000")=SUBSTITUTE(SUBSTITUTE(SUBSTITUTE(TRIM(A574&amp;""),CHAR(160),"")," ",""),"년","")),SUBSTITUTE(SUBSTITUTE(SUBSTITUTE(TRIM(A574&amp;""),CHAR(160),"")," ",""),"년",""),""),"")</f>
      </c>
      <c r="I574" t="str">
        <f>SUBSTITUTE(SUBSTITUTE(SUBSTITUTE(SUBSTITUTE(SUBSTITUTE(TRIM(B574&amp;""),CHAR(160),"")," ",""),"초등학교","초"),"중학교","중"),"고등학교","고")</f>
      </c>
    </row>
    <row r="575" customFormat="false" ht="15" hidden="false" customHeight="false" outlineLevel="0" collapsed="false">
      <c r="A575" s="8"/>
      <c r="B575" s="8"/>
      <c r="C575" s="8"/>
      <c r="D575" s="8"/>
      <c r="E575" s="8"/>
      <c r="F575" t="str" s="15">
        <f aca="0">IF(B575="","",IF(H575="","확인필요(입력누락)",IF(SUMPRODUCT((실물목록!$P$2:$P$1001&lt;&gt;"")*ISNUMBER(SEARCH(실물목록!$P$2:$P$1001,I575))*(실물목록!$Q$2:$Q$1001&lt;&gt;"")*ISNUMBER(SEARCH(실물목록!$Q$2:$Q$1001,I575))*(실물목록!$R$2:$R$1001="")*(실물목록!$O$2:$O$1001&lt;&gt;"")*(실물목록!$O$2:$O$1001=H575))&gt;0,"실물 있음",IF(SUMPRODUCT((실물목록!$P$2:$P$1001&lt;&gt;"")*ISNUMBER(SEARCH(실물목록!$P$2:$P$1001,I575))*(실물목록!$R$2:$R$1001&lt;&gt;""))&gt;0,"확인필요(입력누락)",IF(SUMPRODUCT((실물목록!$P$2:$P$1001&lt;&gt;"")*ISNUMBER(SEARCH(실물목록!$P$2:$P$1001,I575))*(실물목록!$Q$2:$Q$1001&lt;&gt;"")*ISNUMBER(SEARCH(실물목록!$Q$2:$Q$1001,I575))*(실물목록!$R$2:$R$1001="")*(실물목록!$O$2:$O$1001&lt;&gt;""))&gt;0,"확인필요(연도다름)","실물 없음")))))</f>
      </c>
      <c r="G575" t="n" s="16">
        <f aca="0">IF(B575="","",SUMPRODUCT((실물목록!$P$2:$P$1001&lt;&gt;"")*ISNUMBER(SEARCH(실물목록!$P$2:$P$1001,I575))*(실물목록!$Q$2:$Q$1001&lt;&gt;"")*ISNUMBER(SEARCH(실물목록!$Q$2:$Q$1001,I575))*(실물목록!$R$2:$R$1001="")*(실물목록!$O$2:$O$1001&lt;&gt;"")*(실물목록!$O$2:$O$1001=H575)))</f>
      </c>
      <c r="H575" t="str">
        <f>IFERROR(IF(AND(LEN(SUBSTITUTE(SUBSTITUTE(SUBSTITUTE(TRIM(A575&amp;""),CHAR(160),"")," ",""),"년",""))=4,VALUE(SUBSTITUTE(SUBSTITUTE(SUBSTITUTE(TRIM(A575&amp;""),CHAR(160),"")," ",""),"년",""))&gt;=1900,VALUE(SUBSTITUTE(SUBSTITUTE(SUBSTITUTE(TRIM(A575&amp;""),CHAR(160),"")," ",""),"년",""))&lt;=2099,TEXT(VALUE(SUBSTITUTE(SUBSTITUTE(SUBSTITUTE(TRIM(A575&amp;""),CHAR(160),"")," ",""),"년","")),"0000")=SUBSTITUTE(SUBSTITUTE(SUBSTITUTE(TRIM(A575&amp;""),CHAR(160),"")," ",""),"년","")),SUBSTITUTE(SUBSTITUTE(SUBSTITUTE(TRIM(A575&amp;""),CHAR(160),"")," ",""),"년",""),""),"")</f>
      </c>
      <c r="I575" t="str">
        <f>SUBSTITUTE(SUBSTITUTE(SUBSTITUTE(SUBSTITUTE(SUBSTITUTE(TRIM(B575&amp;""),CHAR(160),"")," ",""),"초등학교","초"),"중학교","중"),"고등학교","고")</f>
      </c>
    </row>
    <row r="576" customFormat="false" ht="15" hidden="false" customHeight="false" outlineLevel="0" collapsed="false">
      <c r="A576" s="8"/>
      <c r="B576" s="8"/>
      <c r="C576" s="8"/>
      <c r="D576" s="8"/>
      <c r="E576" s="8"/>
      <c r="F576" t="str" s="15">
        <f aca="0">IF(B576="","",IF(H576="","확인필요(입력누락)",IF(SUMPRODUCT((실물목록!$P$2:$P$1001&lt;&gt;"")*ISNUMBER(SEARCH(실물목록!$P$2:$P$1001,I576))*(실물목록!$Q$2:$Q$1001&lt;&gt;"")*ISNUMBER(SEARCH(실물목록!$Q$2:$Q$1001,I576))*(실물목록!$R$2:$R$1001="")*(실물목록!$O$2:$O$1001&lt;&gt;"")*(실물목록!$O$2:$O$1001=H576))&gt;0,"실물 있음",IF(SUMPRODUCT((실물목록!$P$2:$P$1001&lt;&gt;"")*ISNUMBER(SEARCH(실물목록!$P$2:$P$1001,I576))*(실물목록!$R$2:$R$1001&lt;&gt;""))&gt;0,"확인필요(입력누락)",IF(SUMPRODUCT((실물목록!$P$2:$P$1001&lt;&gt;"")*ISNUMBER(SEARCH(실물목록!$P$2:$P$1001,I576))*(실물목록!$Q$2:$Q$1001&lt;&gt;"")*ISNUMBER(SEARCH(실물목록!$Q$2:$Q$1001,I576))*(실물목록!$R$2:$R$1001="")*(실물목록!$O$2:$O$1001&lt;&gt;""))&gt;0,"확인필요(연도다름)","실물 없음")))))</f>
      </c>
      <c r="G576" t="n" s="16">
        <f aca="0">IF(B576="","",SUMPRODUCT((실물목록!$P$2:$P$1001&lt;&gt;"")*ISNUMBER(SEARCH(실물목록!$P$2:$P$1001,I576))*(실물목록!$Q$2:$Q$1001&lt;&gt;"")*ISNUMBER(SEARCH(실물목록!$Q$2:$Q$1001,I576))*(실물목록!$R$2:$R$1001="")*(실물목록!$O$2:$O$1001&lt;&gt;"")*(실물목록!$O$2:$O$1001=H576)))</f>
      </c>
      <c r="H576" t="str">
        <f>IFERROR(IF(AND(LEN(SUBSTITUTE(SUBSTITUTE(SUBSTITUTE(TRIM(A576&amp;""),CHAR(160),"")," ",""),"년",""))=4,VALUE(SUBSTITUTE(SUBSTITUTE(SUBSTITUTE(TRIM(A576&amp;""),CHAR(160),"")," ",""),"년",""))&gt;=1900,VALUE(SUBSTITUTE(SUBSTITUTE(SUBSTITUTE(TRIM(A576&amp;""),CHAR(160),"")," ",""),"년",""))&lt;=2099,TEXT(VALUE(SUBSTITUTE(SUBSTITUTE(SUBSTITUTE(TRIM(A576&amp;""),CHAR(160),"")," ",""),"년","")),"0000")=SUBSTITUTE(SUBSTITUTE(SUBSTITUTE(TRIM(A576&amp;""),CHAR(160),"")," ",""),"년","")),SUBSTITUTE(SUBSTITUTE(SUBSTITUTE(TRIM(A576&amp;""),CHAR(160),"")," ",""),"년",""),""),"")</f>
      </c>
      <c r="I576" t="str">
        <f>SUBSTITUTE(SUBSTITUTE(SUBSTITUTE(SUBSTITUTE(SUBSTITUTE(TRIM(B576&amp;""),CHAR(160),"")," ",""),"초등학교","초"),"중학교","중"),"고등학교","고")</f>
      </c>
    </row>
    <row r="577" customFormat="false" ht="15" hidden="false" customHeight="false" outlineLevel="0" collapsed="false">
      <c r="A577" s="8"/>
      <c r="B577" s="8"/>
      <c r="C577" s="8"/>
      <c r="D577" s="8"/>
      <c r="E577" s="8"/>
      <c r="F577" t="str" s="15">
        <f aca="0">IF(B577="","",IF(H577="","확인필요(입력누락)",IF(SUMPRODUCT((실물목록!$P$2:$P$1001&lt;&gt;"")*ISNUMBER(SEARCH(실물목록!$P$2:$P$1001,I577))*(실물목록!$Q$2:$Q$1001&lt;&gt;"")*ISNUMBER(SEARCH(실물목록!$Q$2:$Q$1001,I577))*(실물목록!$R$2:$R$1001="")*(실물목록!$O$2:$O$1001&lt;&gt;"")*(실물목록!$O$2:$O$1001=H577))&gt;0,"실물 있음",IF(SUMPRODUCT((실물목록!$P$2:$P$1001&lt;&gt;"")*ISNUMBER(SEARCH(실물목록!$P$2:$P$1001,I577))*(실물목록!$R$2:$R$1001&lt;&gt;""))&gt;0,"확인필요(입력누락)",IF(SUMPRODUCT((실물목록!$P$2:$P$1001&lt;&gt;"")*ISNUMBER(SEARCH(실물목록!$P$2:$P$1001,I577))*(실물목록!$Q$2:$Q$1001&lt;&gt;"")*ISNUMBER(SEARCH(실물목록!$Q$2:$Q$1001,I577))*(실물목록!$R$2:$R$1001="")*(실물목록!$O$2:$O$1001&lt;&gt;""))&gt;0,"확인필요(연도다름)","실물 없음")))))</f>
      </c>
      <c r="G577" t="n" s="16">
        <f aca="0">IF(B577="","",SUMPRODUCT((실물목록!$P$2:$P$1001&lt;&gt;"")*ISNUMBER(SEARCH(실물목록!$P$2:$P$1001,I577))*(실물목록!$Q$2:$Q$1001&lt;&gt;"")*ISNUMBER(SEARCH(실물목록!$Q$2:$Q$1001,I577))*(실물목록!$R$2:$R$1001="")*(실물목록!$O$2:$O$1001&lt;&gt;"")*(실물목록!$O$2:$O$1001=H577)))</f>
      </c>
      <c r="H577" t="str">
        <f>IFERROR(IF(AND(LEN(SUBSTITUTE(SUBSTITUTE(SUBSTITUTE(TRIM(A577&amp;""),CHAR(160),"")," ",""),"년",""))=4,VALUE(SUBSTITUTE(SUBSTITUTE(SUBSTITUTE(TRIM(A577&amp;""),CHAR(160),"")," ",""),"년",""))&gt;=1900,VALUE(SUBSTITUTE(SUBSTITUTE(SUBSTITUTE(TRIM(A577&amp;""),CHAR(160),"")," ",""),"년",""))&lt;=2099,TEXT(VALUE(SUBSTITUTE(SUBSTITUTE(SUBSTITUTE(TRIM(A577&amp;""),CHAR(160),"")," ",""),"년","")),"0000")=SUBSTITUTE(SUBSTITUTE(SUBSTITUTE(TRIM(A577&amp;""),CHAR(160),"")," ",""),"년","")),SUBSTITUTE(SUBSTITUTE(SUBSTITUTE(TRIM(A577&amp;""),CHAR(160),"")," ",""),"년",""),""),"")</f>
      </c>
      <c r="I577" t="str">
        <f>SUBSTITUTE(SUBSTITUTE(SUBSTITUTE(SUBSTITUTE(SUBSTITUTE(TRIM(B577&amp;""),CHAR(160),"")," ",""),"초등학교","초"),"중학교","중"),"고등학교","고")</f>
      </c>
    </row>
    <row r="578" customFormat="false" ht="15" hidden="false" customHeight="false" outlineLevel="0" collapsed="false">
      <c r="A578" s="8"/>
      <c r="B578" s="8"/>
      <c r="C578" s="8"/>
      <c r="D578" s="8"/>
      <c r="E578" s="8"/>
      <c r="F578" t="str" s="15">
        <f aca="0">IF(B578="","",IF(H578="","확인필요(입력누락)",IF(SUMPRODUCT((실물목록!$P$2:$P$1001&lt;&gt;"")*ISNUMBER(SEARCH(실물목록!$P$2:$P$1001,I578))*(실물목록!$Q$2:$Q$1001&lt;&gt;"")*ISNUMBER(SEARCH(실물목록!$Q$2:$Q$1001,I578))*(실물목록!$R$2:$R$1001="")*(실물목록!$O$2:$O$1001&lt;&gt;"")*(실물목록!$O$2:$O$1001=H578))&gt;0,"실물 있음",IF(SUMPRODUCT((실물목록!$P$2:$P$1001&lt;&gt;"")*ISNUMBER(SEARCH(실물목록!$P$2:$P$1001,I578))*(실물목록!$R$2:$R$1001&lt;&gt;""))&gt;0,"확인필요(입력누락)",IF(SUMPRODUCT((실물목록!$P$2:$P$1001&lt;&gt;"")*ISNUMBER(SEARCH(실물목록!$P$2:$P$1001,I578))*(실물목록!$Q$2:$Q$1001&lt;&gt;"")*ISNUMBER(SEARCH(실물목록!$Q$2:$Q$1001,I578))*(실물목록!$R$2:$R$1001="")*(실물목록!$O$2:$O$1001&lt;&gt;""))&gt;0,"확인필요(연도다름)","실물 없음")))))</f>
      </c>
      <c r="G578" t="n" s="16">
        <f aca="0">IF(B578="","",SUMPRODUCT((실물목록!$P$2:$P$1001&lt;&gt;"")*ISNUMBER(SEARCH(실물목록!$P$2:$P$1001,I578))*(실물목록!$Q$2:$Q$1001&lt;&gt;"")*ISNUMBER(SEARCH(실물목록!$Q$2:$Q$1001,I578))*(실물목록!$R$2:$R$1001="")*(실물목록!$O$2:$O$1001&lt;&gt;"")*(실물목록!$O$2:$O$1001=H578)))</f>
      </c>
      <c r="H578" t="str">
        <f>IFERROR(IF(AND(LEN(SUBSTITUTE(SUBSTITUTE(SUBSTITUTE(TRIM(A578&amp;""),CHAR(160),"")," ",""),"년",""))=4,VALUE(SUBSTITUTE(SUBSTITUTE(SUBSTITUTE(TRIM(A578&amp;""),CHAR(160),"")," ",""),"년",""))&gt;=1900,VALUE(SUBSTITUTE(SUBSTITUTE(SUBSTITUTE(TRIM(A578&amp;""),CHAR(160),"")," ",""),"년",""))&lt;=2099,TEXT(VALUE(SUBSTITUTE(SUBSTITUTE(SUBSTITUTE(TRIM(A578&amp;""),CHAR(160),"")," ",""),"년","")),"0000")=SUBSTITUTE(SUBSTITUTE(SUBSTITUTE(TRIM(A578&amp;""),CHAR(160),"")," ",""),"년","")),SUBSTITUTE(SUBSTITUTE(SUBSTITUTE(TRIM(A578&amp;""),CHAR(160),"")," ",""),"년",""),""),"")</f>
      </c>
      <c r="I578" t="str">
        <f>SUBSTITUTE(SUBSTITUTE(SUBSTITUTE(SUBSTITUTE(SUBSTITUTE(TRIM(B578&amp;""),CHAR(160),"")," ",""),"초등학교","초"),"중학교","중"),"고등학교","고")</f>
      </c>
    </row>
    <row r="579" customFormat="false" ht="15" hidden="false" customHeight="false" outlineLevel="0" collapsed="false">
      <c r="A579" s="8"/>
      <c r="B579" s="8"/>
      <c r="C579" s="8"/>
      <c r="D579" s="8"/>
      <c r="E579" s="8"/>
      <c r="F579" t="str" s="15">
        <f aca="0">IF(B579="","",IF(H579="","확인필요(입력누락)",IF(SUMPRODUCT((실물목록!$P$2:$P$1001&lt;&gt;"")*ISNUMBER(SEARCH(실물목록!$P$2:$P$1001,I579))*(실물목록!$Q$2:$Q$1001&lt;&gt;"")*ISNUMBER(SEARCH(실물목록!$Q$2:$Q$1001,I579))*(실물목록!$R$2:$R$1001="")*(실물목록!$O$2:$O$1001&lt;&gt;"")*(실물목록!$O$2:$O$1001=H579))&gt;0,"실물 있음",IF(SUMPRODUCT((실물목록!$P$2:$P$1001&lt;&gt;"")*ISNUMBER(SEARCH(실물목록!$P$2:$P$1001,I579))*(실물목록!$R$2:$R$1001&lt;&gt;""))&gt;0,"확인필요(입력누락)",IF(SUMPRODUCT((실물목록!$P$2:$P$1001&lt;&gt;"")*ISNUMBER(SEARCH(실물목록!$P$2:$P$1001,I579))*(실물목록!$Q$2:$Q$1001&lt;&gt;"")*ISNUMBER(SEARCH(실물목록!$Q$2:$Q$1001,I579))*(실물목록!$R$2:$R$1001="")*(실물목록!$O$2:$O$1001&lt;&gt;""))&gt;0,"확인필요(연도다름)","실물 없음")))))</f>
      </c>
      <c r="G579" t="n" s="16">
        <f aca="0">IF(B579="","",SUMPRODUCT((실물목록!$P$2:$P$1001&lt;&gt;"")*ISNUMBER(SEARCH(실물목록!$P$2:$P$1001,I579))*(실물목록!$Q$2:$Q$1001&lt;&gt;"")*ISNUMBER(SEARCH(실물목록!$Q$2:$Q$1001,I579))*(실물목록!$R$2:$R$1001="")*(실물목록!$O$2:$O$1001&lt;&gt;"")*(실물목록!$O$2:$O$1001=H579)))</f>
      </c>
      <c r="H579" t="str">
        <f>IFERROR(IF(AND(LEN(SUBSTITUTE(SUBSTITUTE(SUBSTITUTE(TRIM(A579&amp;""),CHAR(160),"")," ",""),"년",""))=4,VALUE(SUBSTITUTE(SUBSTITUTE(SUBSTITUTE(TRIM(A579&amp;""),CHAR(160),"")," ",""),"년",""))&gt;=1900,VALUE(SUBSTITUTE(SUBSTITUTE(SUBSTITUTE(TRIM(A579&amp;""),CHAR(160),"")," ",""),"년",""))&lt;=2099,TEXT(VALUE(SUBSTITUTE(SUBSTITUTE(SUBSTITUTE(TRIM(A579&amp;""),CHAR(160),"")," ",""),"년","")),"0000")=SUBSTITUTE(SUBSTITUTE(SUBSTITUTE(TRIM(A579&amp;""),CHAR(160),"")," ",""),"년","")),SUBSTITUTE(SUBSTITUTE(SUBSTITUTE(TRIM(A579&amp;""),CHAR(160),"")," ",""),"년",""),""),"")</f>
      </c>
      <c r="I579" t="str">
        <f>SUBSTITUTE(SUBSTITUTE(SUBSTITUTE(SUBSTITUTE(SUBSTITUTE(TRIM(B579&amp;""),CHAR(160),"")," ",""),"초등학교","초"),"중학교","중"),"고등학교","고")</f>
      </c>
    </row>
    <row r="580" customFormat="false" ht="15" hidden="false" customHeight="false" outlineLevel="0" collapsed="false">
      <c r="A580" s="8"/>
      <c r="B580" s="8"/>
      <c r="C580" s="8"/>
      <c r="D580" s="8"/>
      <c r="E580" s="8"/>
      <c r="F580" t="str" s="15">
        <f aca="0">IF(B580="","",IF(H580="","확인필요(입력누락)",IF(SUMPRODUCT((실물목록!$P$2:$P$1001&lt;&gt;"")*ISNUMBER(SEARCH(실물목록!$P$2:$P$1001,I580))*(실물목록!$Q$2:$Q$1001&lt;&gt;"")*ISNUMBER(SEARCH(실물목록!$Q$2:$Q$1001,I580))*(실물목록!$R$2:$R$1001="")*(실물목록!$O$2:$O$1001&lt;&gt;"")*(실물목록!$O$2:$O$1001=H580))&gt;0,"실물 있음",IF(SUMPRODUCT((실물목록!$P$2:$P$1001&lt;&gt;"")*ISNUMBER(SEARCH(실물목록!$P$2:$P$1001,I580))*(실물목록!$R$2:$R$1001&lt;&gt;""))&gt;0,"확인필요(입력누락)",IF(SUMPRODUCT((실물목록!$P$2:$P$1001&lt;&gt;"")*ISNUMBER(SEARCH(실물목록!$P$2:$P$1001,I580))*(실물목록!$Q$2:$Q$1001&lt;&gt;"")*ISNUMBER(SEARCH(실물목록!$Q$2:$Q$1001,I580))*(실물목록!$R$2:$R$1001="")*(실물목록!$O$2:$O$1001&lt;&gt;""))&gt;0,"확인필요(연도다름)","실물 없음")))))</f>
      </c>
      <c r="G580" t="n" s="16">
        <f aca="0">IF(B580="","",SUMPRODUCT((실물목록!$P$2:$P$1001&lt;&gt;"")*ISNUMBER(SEARCH(실물목록!$P$2:$P$1001,I580))*(실물목록!$Q$2:$Q$1001&lt;&gt;"")*ISNUMBER(SEARCH(실물목록!$Q$2:$Q$1001,I580))*(실물목록!$R$2:$R$1001="")*(실물목록!$O$2:$O$1001&lt;&gt;"")*(실물목록!$O$2:$O$1001=H580)))</f>
      </c>
      <c r="H580" t="str">
        <f>IFERROR(IF(AND(LEN(SUBSTITUTE(SUBSTITUTE(SUBSTITUTE(TRIM(A580&amp;""),CHAR(160),"")," ",""),"년",""))=4,VALUE(SUBSTITUTE(SUBSTITUTE(SUBSTITUTE(TRIM(A580&amp;""),CHAR(160),"")," ",""),"년",""))&gt;=1900,VALUE(SUBSTITUTE(SUBSTITUTE(SUBSTITUTE(TRIM(A580&amp;""),CHAR(160),"")," ",""),"년",""))&lt;=2099,TEXT(VALUE(SUBSTITUTE(SUBSTITUTE(SUBSTITUTE(TRIM(A580&amp;""),CHAR(160),"")," ",""),"년","")),"0000")=SUBSTITUTE(SUBSTITUTE(SUBSTITUTE(TRIM(A580&amp;""),CHAR(160),"")," ",""),"년","")),SUBSTITUTE(SUBSTITUTE(SUBSTITUTE(TRIM(A580&amp;""),CHAR(160),"")," ",""),"년",""),""),"")</f>
      </c>
      <c r="I580" t="str">
        <f>SUBSTITUTE(SUBSTITUTE(SUBSTITUTE(SUBSTITUTE(SUBSTITUTE(TRIM(B580&amp;""),CHAR(160),"")," ",""),"초등학교","초"),"중학교","중"),"고등학교","고")</f>
      </c>
    </row>
    <row r="581" customFormat="false" ht="15" hidden="false" customHeight="false" outlineLevel="0" collapsed="false">
      <c r="A581" s="8"/>
      <c r="B581" s="8"/>
      <c r="C581" s="8"/>
      <c r="D581" s="8"/>
      <c r="E581" s="8"/>
      <c r="F581" t="str" s="15">
        <f aca="0">IF(B581="","",IF(H581="","확인필요(입력누락)",IF(SUMPRODUCT((실물목록!$P$2:$P$1001&lt;&gt;"")*ISNUMBER(SEARCH(실물목록!$P$2:$P$1001,I581))*(실물목록!$Q$2:$Q$1001&lt;&gt;"")*ISNUMBER(SEARCH(실물목록!$Q$2:$Q$1001,I581))*(실물목록!$R$2:$R$1001="")*(실물목록!$O$2:$O$1001&lt;&gt;"")*(실물목록!$O$2:$O$1001=H581))&gt;0,"실물 있음",IF(SUMPRODUCT((실물목록!$P$2:$P$1001&lt;&gt;"")*ISNUMBER(SEARCH(실물목록!$P$2:$P$1001,I581))*(실물목록!$R$2:$R$1001&lt;&gt;""))&gt;0,"확인필요(입력누락)",IF(SUMPRODUCT((실물목록!$P$2:$P$1001&lt;&gt;"")*ISNUMBER(SEARCH(실물목록!$P$2:$P$1001,I581))*(실물목록!$Q$2:$Q$1001&lt;&gt;"")*ISNUMBER(SEARCH(실물목록!$Q$2:$Q$1001,I581))*(실물목록!$R$2:$R$1001="")*(실물목록!$O$2:$O$1001&lt;&gt;""))&gt;0,"확인필요(연도다름)","실물 없음")))))</f>
      </c>
      <c r="G581" t="n" s="16">
        <f aca="0">IF(B581="","",SUMPRODUCT((실물목록!$P$2:$P$1001&lt;&gt;"")*ISNUMBER(SEARCH(실물목록!$P$2:$P$1001,I581))*(실물목록!$Q$2:$Q$1001&lt;&gt;"")*ISNUMBER(SEARCH(실물목록!$Q$2:$Q$1001,I581))*(실물목록!$R$2:$R$1001="")*(실물목록!$O$2:$O$1001&lt;&gt;"")*(실물목록!$O$2:$O$1001=H581)))</f>
      </c>
      <c r="H581" t="str">
        <f>IFERROR(IF(AND(LEN(SUBSTITUTE(SUBSTITUTE(SUBSTITUTE(TRIM(A581&amp;""),CHAR(160),"")," ",""),"년",""))=4,VALUE(SUBSTITUTE(SUBSTITUTE(SUBSTITUTE(TRIM(A581&amp;""),CHAR(160),"")," ",""),"년",""))&gt;=1900,VALUE(SUBSTITUTE(SUBSTITUTE(SUBSTITUTE(TRIM(A581&amp;""),CHAR(160),"")," ",""),"년",""))&lt;=2099,TEXT(VALUE(SUBSTITUTE(SUBSTITUTE(SUBSTITUTE(TRIM(A581&amp;""),CHAR(160),"")," ",""),"년","")),"0000")=SUBSTITUTE(SUBSTITUTE(SUBSTITUTE(TRIM(A581&amp;""),CHAR(160),"")," ",""),"년","")),SUBSTITUTE(SUBSTITUTE(SUBSTITUTE(TRIM(A581&amp;""),CHAR(160),"")," ",""),"년",""),""),"")</f>
      </c>
      <c r="I581" t="str">
        <f>SUBSTITUTE(SUBSTITUTE(SUBSTITUTE(SUBSTITUTE(SUBSTITUTE(TRIM(B581&amp;""),CHAR(160),"")," ",""),"초등학교","초"),"중학교","중"),"고등학교","고")</f>
      </c>
    </row>
    <row r="582" customFormat="false" ht="15" hidden="false" customHeight="false" outlineLevel="0" collapsed="false">
      <c r="A582" s="8"/>
      <c r="B582" s="8"/>
      <c r="C582" s="8"/>
      <c r="D582" s="8"/>
      <c r="E582" s="8"/>
      <c r="F582" t="str" s="15">
        <f aca="0">IF(B582="","",IF(H582="","확인필요(입력누락)",IF(SUMPRODUCT((실물목록!$P$2:$P$1001&lt;&gt;"")*ISNUMBER(SEARCH(실물목록!$P$2:$P$1001,I582))*(실물목록!$Q$2:$Q$1001&lt;&gt;"")*ISNUMBER(SEARCH(실물목록!$Q$2:$Q$1001,I582))*(실물목록!$R$2:$R$1001="")*(실물목록!$O$2:$O$1001&lt;&gt;"")*(실물목록!$O$2:$O$1001=H582))&gt;0,"실물 있음",IF(SUMPRODUCT((실물목록!$P$2:$P$1001&lt;&gt;"")*ISNUMBER(SEARCH(실물목록!$P$2:$P$1001,I582))*(실물목록!$R$2:$R$1001&lt;&gt;""))&gt;0,"확인필요(입력누락)",IF(SUMPRODUCT((실물목록!$P$2:$P$1001&lt;&gt;"")*ISNUMBER(SEARCH(실물목록!$P$2:$P$1001,I582))*(실물목록!$Q$2:$Q$1001&lt;&gt;"")*ISNUMBER(SEARCH(실물목록!$Q$2:$Q$1001,I582))*(실물목록!$R$2:$R$1001="")*(실물목록!$O$2:$O$1001&lt;&gt;""))&gt;0,"확인필요(연도다름)","실물 없음")))))</f>
      </c>
      <c r="G582" t="n" s="16">
        <f aca="0">IF(B582="","",SUMPRODUCT((실물목록!$P$2:$P$1001&lt;&gt;"")*ISNUMBER(SEARCH(실물목록!$P$2:$P$1001,I582))*(실물목록!$Q$2:$Q$1001&lt;&gt;"")*ISNUMBER(SEARCH(실물목록!$Q$2:$Q$1001,I582))*(실물목록!$R$2:$R$1001="")*(실물목록!$O$2:$O$1001&lt;&gt;"")*(실물목록!$O$2:$O$1001=H582)))</f>
      </c>
      <c r="H582" t="str">
        <f>IFERROR(IF(AND(LEN(SUBSTITUTE(SUBSTITUTE(SUBSTITUTE(TRIM(A582&amp;""),CHAR(160),"")," ",""),"년",""))=4,VALUE(SUBSTITUTE(SUBSTITUTE(SUBSTITUTE(TRIM(A582&amp;""),CHAR(160),"")," ",""),"년",""))&gt;=1900,VALUE(SUBSTITUTE(SUBSTITUTE(SUBSTITUTE(TRIM(A582&amp;""),CHAR(160),"")," ",""),"년",""))&lt;=2099,TEXT(VALUE(SUBSTITUTE(SUBSTITUTE(SUBSTITUTE(TRIM(A582&amp;""),CHAR(160),"")," ",""),"년","")),"0000")=SUBSTITUTE(SUBSTITUTE(SUBSTITUTE(TRIM(A582&amp;""),CHAR(160),"")," ",""),"년","")),SUBSTITUTE(SUBSTITUTE(SUBSTITUTE(TRIM(A582&amp;""),CHAR(160),"")," ",""),"년",""),""),"")</f>
      </c>
      <c r="I582" t="str">
        <f>SUBSTITUTE(SUBSTITUTE(SUBSTITUTE(SUBSTITUTE(SUBSTITUTE(TRIM(B582&amp;""),CHAR(160),"")," ",""),"초등학교","초"),"중학교","중"),"고등학교","고")</f>
      </c>
    </row>
    <row r="583" customFormat="false" ht="15" hidden="false" customHeight="false" outlineLevel="0" collapsed="false">
      <c r="A583" s="8"/>
      <c r="B583" s="8"/>
      <c r="C583" s="8"/>
      <c r="D583" s="8"/>
      <c r="E583" s="8"/>
      <c r="F583" t="str" s="15">
        <f aca="0">IF(B583="","",IF(H583="","확인필요(입력누락)",IF(SUMPRODUCT((실물목록!$P$2:$P$1001&lt;&gt;"")*ISNUMBER(SEARCH(실물목록!$P$2:$P$1001,I583))*(실물목록!$Q$2:$Q$1001&lt;&gt;"")*ISNUMBER(SEARCH(실물목록!$Q$2:$Q$1001,I583))*(실물목록!$R$2:$R$1001="")*(실물목록!$O$2:$O$1001&lt;&gt;"")*(실물목록!$O$2:$O$1001=H583))&gt;0,"실물 있음",IF(SUMPRODUCT((실물목록!$P$2:$P$1001&lt;&gt;"")*ISNUMBER(SEARCH(실물목록!$P$2:$P$1001,I583))*(실물목록!$R$2:$R$1001&lt;&gt;""))&gt;0,"확인필요(입력누락)",IF(SUMPRODUCT((실물목록!$P$2:$P$1001&lt;&gt;"")*ISNUMBER(SEARCH(실물목록!$P$2:$P$1001,I583))*(실물목록!$Q$2:$Q$1001&lt;&gt;"")*ISNUMBER(SEARCH(실물목록!$Q$2:$Q$1001,I583))*(실물목록!$R$2:$R$1001="")*(실물목록!$O$2:$O$1001&lt;&gt;""))&gt;0,"확인필요(연도다름)","실물 없음")))))</f>
      </c>
      <c r="G583" t="n" s="16">
        <f aca="0">IF(B583="","",SUMPRODUCT((실물목록!$P$2:$P$1001&lt;&gt;"")*ISNUMBER(SEARCH(실물목록!$P$2:$P$1001,I583))*(실물목록!$Q$2:$Q$1001&lt;&gt;"")*ISNUMBER(SEARCH(실물목록!$Q$2:$Q$1001,I583))*(실물목록!$R$2:$R$1001="")*(실물목록!$O$2:$O$1001&lt;&gt;"")*(실물목록!$O$2:$O$1001=H583)))</f>
      </c>
      <c r="H583" t="str">
        <f>IFERROR(IF(AND(LEN(SUBSTITUTE(SUBSTITUTE(SUBSTITUTE(TRIM(A583&amp;""),CHAR(160),"")," ",""),"년",""))=4,VALUE(SUBSTITUTE(SUBSTITUTE(SUBSTITUTE(TRIM(A583&amp;""),CHAR(160),"")," ",""),"년",""))&gt;=1900,VALUE(SUBSTITUTE(SUBSTITUTE(SUBSTITUTE(TRIM(A583&amp;""),CHAR(160),"")," ",""),"년",""))&lt;=2099,TEXT(VALUE(SUBSTITUTE(SUBSTITUTE(SUBSTITUTE(TRIM(A583&amp;""),CHAR(160),"")," ",""),"년","")),"0000")=SUBSTITUTE(SUBSTITUTE(SUBSTITUTE(TRIM(A583&amp;""),CHAR(160),"")," ",""),"년","")),SUBSTITUTE(SUBSTITUTE(SUBSTITUTE(TRIM(A583&amp;""),CHAR(160),"")," ",""),"년",""),""),"")</f>
      </c>
      <c r="I583" t="str">
        <f>SUBSTITUTE(SUBSTITUTE(SUBSTITUTE(SUBSTITUTE(SUBSTITUTE(TRIM(B583&amp;""),CHAR(160),"")," ",""),"초등학교","초"),"중학교","중"),"고등학교","고")</f>
      </c>
    </row>
    <row r="584" customFormat="false" ht="15" hidden="false" customHeight="false" outlineLevel="0" collapsed="false">
      <c r="A584" s="8"/>
      <c r="B584" s="8"/>
      <c r="C584" s="8"/>
      <c r="D584" s="8"/>
      <c r="E584" s="8"/>
      <c r="F584" t="str" s="15">
        <f aca="0">IF(B584="","",IF(H584="","확인필요(입력누락)",IF(SUMPRODUCT((실물목록!$P$2:$P$1001&lt;&gt;"")*ISNUMBER(SEARCH(실물목록!$P$2:$P$1001,I584))*(실물목록!$Q$2:$Q$1001&lt;&gt;"")*ISNUMBER(SEARCH(실물목록!$Q$2:$Q$1001,I584))*(실물목록!$R$2:$R$1001="")*(실물목록!$O$2:$O$1001&lt;&gt;"")*(실물목록!$O$2:$O$1001=H584))&gt;0,"실물 있음",IF(SUMPRODUCT((실물목록!$P$2:$P$1001&lt;&gt;"")*ISNUMBER(SEARCH(실물목록!$P$2:$P$1001,I584))*(실물목록!$R$2:$R$1001&lt;&gt;""))&gt;0,"확인필요(입력누락)",IF(SUMPRODUCT((실물목록!$P$2:$P$1001&lt;&gt;"")*ISNUMBER(SEARCH(실물목록!$P$2:$P$1001,I584))*(실물목록!$Q$2:$Q$1001&lt;&gt;"")*ISNUMBER(SEARCH(실물목록!$Q$2:$Q$1001,I584))*(실물목록!$R$2:$R$1001="")*(실물목록!$O$2:$O$1001&lt;&gt;""))&gt;0,"확인필요(연도다름)","실물 없음")))))</f>
      </c>
      <c r="G584" t="n" s="16">
        <f aca="0">IF(B584="","",SUMPRODUCT((실물목록!$P$2:$P$1001&lt;&gt;"")*ISNUMBER(SEARCH(실물목록!$P$2:$P$1001,I584))*(실물목록!$Q$2:$Q$1001&lt;&gt;"")*ISNUMBER(SEARCH(실물목록!$Q$2:$Q$1001,I584))*(실물목록!$R$2:$R$1001="")*(실물목록!$O$2:$O$1001&lt;&gt;"")*(실물목록!$O$2:$O$1001=H584)))</f>
      </c>
      <c r="H584" t="str">
        <f>IFERROR(IF(AND(LEN(SUBSTITUTE(SUBSTITUTE(SUBSTITUTE(TRIM(A584&amp;""),CHAR(160),"")," ",""),"년",""))=4,VALUE(SUBSTITUTE(SUBSTITUTE(SUBSTITUTE(TRIM(A584&amp;""),CHAR(160),"")," ",""),"년",""))&gt;=1900,VALUE(SUBSTITUTE(SUBSTITUTE(SUBSTITUTE(TRIM(A584&amp;""),CHAR(160),"")," ",""),"년",""))&lt;=2099,TEXT(VALUE(SUBSTITUTE(SUBSTITUTE(SUBSTITUTE(TRIM(A584&amp;""),CHAR(160),"")," ",""),"년","")),"0000")=SUBSTITUTE(SUBSTITUTE(SUBSTITUTE(TRIM(A584&amp;""),CHAR(160),"")," ",""),"년","")),SUBSTITUTE(SUBSTITUTE(SUBSTITUTE(TRIM(A584&amp;""),CHAR(160),"")," ",""),"년",""),""),"")</f>
      </c>
      <c r="I584" t="str">
        <f>SUBSTITUTE(SUBSTITUTE(SUBSTITUTE(SUBSTITUTE(SUBSTITUTE(TRIM(B584&amp;""),CHAR(160),"")," ",""),"초등학교","초"),"중학교","중"),"고등학교","고")</f>
      </c>
    </row>
    <row r="585" customFormat="false" ht="15" hidden="false" customHeight="false" outlineLevel="0" collapsed="false">
      <c r="A585" s="8"/>
      <c r="B585" s="8"/>
      <c r="C585" s="8"/>
      <c r="D585" s="8"/>
      <c r="E585" s="8"/>
      <c r="F585" t="str" s="15">
        <f aca="0">IF(B585="","",IF(H585="","확인필요(입력누락)",IF(SUMPRODUCT((실물목록!$P$2:$P$1001&lt;&gt;"")*ISNUMBER(SEARCH(실물목록!$P$2:$P$1001,I585))*(실물목록!$Q$2:$Q$1001&lt;&gt;"")*ISNUMBER(SEARCH(실물목록!$Q$2:$Q$1001,I585))*(실물목록!$R$2:$R$1001="")*(실물목록!$O$2:$O$1001&lt;&gt;"")*(실물목록!$O$2:$O$1001=H585))&gt;0,"실물 있음",IF(SUMPRODUCT((실물목록!$P$2:$P$1001&lt;&gt;"")*ISNUMBER(SEARCH(실물목록!$P$2:$P$1001,I585))*(실물목록!$R$2:$R$1001&lt;&gt;""))&gt;0,"확인필요(입력누락)",IF(SUMPRODUCT((실물목록!$P$2:$P$1001&lt;&gt;"")*ISNUMBER(SEARCH(실물목록!$P$2:$P$1001,I585))*(실물목록!$Q$2:$Q$1001&lt;&gt;"")*ISNUMBER(SEARCH(실물목록!$Q$2:$Q$1001,I585))*(실물목록!$R$2:$R$1001="")*(실물목록!$O$2:$O$1001&lt;&gt;""))&gt;0,"확인필요(연도다름)","실물 없음")))))</f>
      </c>
      <c r="G585" t="n" s="16">
        <f aca="0">IF(B585="","",SUMPRODUCT((실물목록!$P$2:$P$1001&lt;&gt;"")*ISNUMBER(SEARCH(실물목록!$P$2:$P$1001,I585))*(실물목록!$Q$2:$Q$1001&lt;&gt;"")*ISNUMBER(SEARCH(실물목록!$Q$2:$Q$1001,I585))*(실물목록!$R$2:$R$1001="")*(실물목록!$O$2:$O$1001&lt;&gt;"")*(실물목록!$O$2:$O$1001=H585)))</f>
      </c>
      <c r="H585" t="str">
        <f>IFERROR(IF(AND(LEN(SUBSTITUTE(SUBSTITUTE(SUBSTITUTE(TRIM(A585&amp;""),CHAR(160),"")," ",""),"년",""))=4,VALUE(SUBSTITUTE(SUBSTITUTE(SUBSTITUTE(TRIM(A585&amp;""),CHAR(160),"")," ",""),"년",""))&gt;=1900,VALUE(SUBSTITUTE(SUBSTITUTE(SUBSTITUTE(TRIM(A585&amp;""),CHAR(160),"")," ",""),"년",""))&lt;=2099,TEXT(VALUE(SUBSTITUTE(SUBSTITUTE(SUBSTITUTE(TRIM(A585&amp;""),CHAR(160),"")," ",""),"년","")),"0000")=SUBSTITUTE(SUBSTITUTE(SUBSTITUTE(TRIM(A585&amp;""),CHAR(160),"")," ",""),"년","")),SUBSTITUTE(SUBSTITUTE(SUBSTITUTE(TRIM(A585&amp;""),CHAR(160),"")," ",""),"년",""),""),"")</f>
      </c>
      <c r="I585" t="str">
        <f>SUBSTITUTE(SUBSTITUTE(SUBSTITUTE(SUBSTITUTE(SUBSTITUTE(TRIM(B585&amp;""),CHAR(160),"")," ",""),"초등학교","초"),"중학교","중"),"고등학교","고")</f>
      </c>
    </row>
    <row r="586" customFormat="false" ht="15" hidden="false" customHeight="false" outlineLevel="0" collapsed="false">
      <c r="A586" s="8"/>
      <c r="B586" s="8"/>
      <c r="C586" s="8"/>
      <c r="D586" s="8"/>
      <c r="E586" s="8"/>
      <c r="F586" t="str" s="15">
        <f aca="0">IF(B586="","",IF(H586="","확인필요(입력누락)",IF(SUMPRODUCT((실물목록!$P$2:$P$1001&lt;&gt;"")*ISNUMBER(SEARCH(실물목록!$P$2:$P$1001,I586))*(실물목록!$Q$2:$Q$1001&lt;&gt;"")*ISNUMBER(SEARCH(실물목록!$Q$2:$Q$1001,I586))*(실물목록!$R$2:$R$1001="")*(실물목록!$O$2:$O$1001&lt;&gt;"")*(실물목록!$O$2:$O$1001=H586))&gt;0,"실물 있음",IF(SUMPRODUCT((실물목록!$P$2:$P$1001&lt;&gt;"")*ISNUMBER(SEARCH(실물목록!$P$2:$P$1001,I586))*(실물목록!$R$2:$R$1001&lt;&gt;""))&gt;0,"확인필요(입력누락)",IF(SUMPRODUCT((실물목록!$P$2:$P$1001&lt;&gt;"")*ISNUMBER(SEARCH(실물목록!$P$2:$P$1001,I586))*(실물목록!$Q$2:$Q$1001&lt;&gt;"")*ISNUMBER(SEARCH(실물목록!$Q$2:$Q$1001,I586))*(실물목록!$R$2:$R$1001="")*(실물목록!$O$2:$O$1001&lt;&gt;""))&gt;0,"확인필요(연도다름)","실물 없음")))))</f>
      </c>
      <c r="G586" t="n" s="16">
        <f aca="0">IF(B586="","",SUMPRODUCT((실물목록!$P$2:$P$1001&lt;&gt;"")*ISNUMBER(SEARCH(실물목록!$P$2:$P$1001,I586))*(실물목록!$Q$2:$Q$1001&lt;&gt;"")*ISNUMBER(SEARCH(실물목록!$Q$2:$Q$1001,I586))*(실물목록!$R$2:$R$1001="")*(실물목록!$O$2:$O$1001&lt;&gt;"")*(실물목록!$O$2:$O$1001=H586)))</f>
      </c>
      <c r="H586" t="str">
        <f>IFERROR(IF(AND(LEN(SUBSTITUTE(SUBSTITUTE(SUBSTITUTE(TRIM(A586&amp;""),CHAR(160),"")," ",""),"년",""))=4,VALUE(SUBSTITUTE(SUBSTITUTE(SUBSTITUTE(TRIM(A586&amp;""),CHAR(160),"")," ",""),"년",""))&gt;=1900,VALUE(SUBSTITUTE(SUBSTITUTE(SUBSTITUTE(TRIM(A586&amp;""),CHAR(160),"")," ",""),"년",""))&lt;=2099,TEXT(VALUE(SUBSTITUTE(SUBSTITUTE(SUBSTITUTE(TRIM(A586&amp;""),CHAR(160),"")," ",""),"년","")),"0000")=SUBSTITUTE(SUBSTITUTE(SUBSTITUTE(TRIM(A586&amp;""),CHAR(160),"")," ",""),"년","")),SUBSTITUTE(SUBSTITUTE(SUBSTITUTE(TRIM(A586&amp;""),CHAR(160),"")," ",""),"년",""),""),"")</f>
      </c>
      <c r="I586" t="str">
        <f>SUBSTITUTE(SUBSTITUTE(SUBSTITUTE(SUBSTITUTE(SUBSTITUTE(TRIM(B586&amp;""),CHAR(160),"")," ",""),"초등학교","초"),"중학교","중"),"고등학교","고")</f>
      </c>
    </row>
    <row r="587" customFormat="false" ht="15" hidden="false" customHeight="false" outlineLevel="0" collapsed="false">
      <c r="A587" s="8"/>
      <c r="B587" s="8"/>
      <c r="C587" s="8"/>
      <c r="D587" s="8"/>
      <c r="E587" s="8"/>
      <c r="F587" t="str" s="15">
        <f aca="0">IF(B587="","",IF(H587="","확인필요(입력누락)",IF(SUMPRODUCT((실물목록!$P$2:$P$1001&lt;&gt;"")*ISNUMBER(SEARCH(실물목록!$P$2:$P$1001,I587))*(실물목록!$Q$2:$Q$1001&lt;&gt;"")*ISNUMBER(SEARCH(실물목록!$Q$2:$Q$1001,I587))*(실물목록!$R$2:$R$1001="")*(실물목록!$O$2:$O$1001&lt;&gt;"")*(실물목록!$O$2:$O$1001=H587))&gt;0,"실물 있음",IF(SUMPRODUCT((실물목록!$P$2:$P$1001&lt;&gt;"")*ISNUMBER(SEARCH(실물목록!$P$2:$P$1001,I587))*(실물목록!$R$2:$R$1001&lt;&gt;""))&gt;0,"확인필요(입력누락)",IF(SUMPRODUCT((실물목록!$P$2:$P$1001&lt;&gt;"")*ISNUMBER(SEARCH(실물목록!$P$2:$P$1001,I587))*(실물목록!$Q$2:$Q$1001&lt;&gt;"")*ISNUMBER(SEARCH(실물목록!$Q$2:$Q$1001,I587))*(실물목록!$R$2:$R$1001="")*(실물목록!$O$2:$O$1001&lt;&gt;""))&gt;0,"확인필요(연도다름)","실물 없음")))))</f>
      </c>
      <c r="G587" t="n" s="16">
        <f aca="0">IF(B587="","",SUMPRODUCT((실물목록!$P$2:$P$1001&lt;&gt;"")*ISNUMBER(SEARCH(실물목록!$P$2:$P$1001,I587))*(실물목록!$Q$2:$Q$1001&lt;&gt;"")*ISNUMBER(SEARCH(실물목록!$Q$2:$Q$1001,I587))*(실물목록!$R$2:$R$1001="")*(실물목록!$O$2:$O$1001&lt;&gt;"")*(실물목록!$O$2:$O$1001=H587)))</f>
      </c>
      <c r="H587" t="str">
        <f>IFERROR(IF(AND(LEN(SUBSTITUTE(SUBSTITUTE(SUBSTITUTE(TRIM(A587&amp;""),CHAR(160),"")," ",""),"년",""))=4,VALUE(SUBSTITUTE(SUBSTITUTE(SUBSTITUTE(TRIM(A587&amp;""),CHAR(160),"")," ",""),"년",""))&gt;=1900,VALUE(SUBSTITUTE(SUBSTITUTE(SUBSTITUTE(TRIM(A587&amp;""),CHAR(160),"")," ",""),"년",""))&lt;=2099,TEXT(VALUE(SUBSTITUTE(SUBSTITUTE(SUBSTITUTE(TRIM(A587&amp;""),CHAR(160),"")," ",""),"년","")),"0000")=SUBSTITUTE(SUBSTITUTE(SUBSTITUTE(TRIM(A587&amp;""),CHAR(160),"")," ",""),"년","")),SUBSTITUTE(SUBSTITUTE(SUBSTITUTE(TRIM(A587&amp;""),CHAR(160),"")," ",""),"년",""),""),"")</f>
      </c>
      <c r="I587" t="str">
        <f>SUBSTITUTE(SUBSTITUTE(SUBSTITUTE(SUBSTITUTE(SUBSTITUTE(TRIM(B587&amp;""),CHAR(160),"")," ",""),"초등학교","초"),"중학교","중"),"고등학교","고")</f>
      </c>
    </row>
    <row r="588" customFormat="false" ht="15" hidden="false" customHeight="false" outlineLevel="0" collapsed="false">
      <c r="A588" s="8"/>
      <c r="B588" s="8"/>
      <c r="C588" s="8"/>
      <c r="D588" s="8"/>
      <c r="E588" s="8"/>
      <c r="F588" t="str" s="15">
        <f aca="0">IF(B588="","",IF(H588="","확인필요(입력누락)",IF(SUMPRODUCT((실물목록!$P$2:$P$1001&lt;&gt;"")*ISNUMBER(SEARCH(실물목록!$P$2:$P$1001,I588))*(실물목록!$Q$2:$Q$1001&lt;&gt;"")*ISNUMBER(SEARCH(실물목록!$Q$2:$Q$1001,I588))*(실물목록!$R$2:$R$1001="")*(실물목록!$O$2:$O$1001&lt;&gt;"")*(실물목록!$O$2:$O$1001=H588))&gt;0,"실물 있음",IF(SUMPRODUCT((실물목록!$P$2:$P$1001&lt;&gt;"")*ISNUMBER(SEARCH(실물목록!$P$2:$P$1001,I588))*(실물목록!$R$2:$R$1001&lt;&gt;""))&gt;0,"확인필요(입력누락)",IF(SUMPRODUCT((실물목록!$P$2:$P$1001&lt;&gt;"")*ISNUMBER(SEARCH(실물목록!$P$2:$P$1001,I588))*(실물목록!$Q$2:$Q$1001&lt;&gt;"")*ISNUMBER(SEARCH(실물목록!$Q$2:$Q$1001,I588))*(실물목록!$R$2:$R$1001="")*(실물목록!$O$2:$O$1001&lt;&gt;""))&gt;0,"확인필요(연도다름)","실물 없음")))))</f>
      </c>
      <c r="G588" t="n" s="16">
        <f aca="0">IF(B588="","",SUMPRODUCT((실물목록!$P$2:$P$1001&lt;&gt;"")*ISNUMBER(SEARCH(실물목록!$P$2:$P$1001,I588))*(실물목록!$Q$2:$Q$1001&lt;&gt;"")*ISNUMBER(SEARCH(실물목록!$Q$2:$Q$1001,I588))*(실물목록!$R$2:$R$1001="")*(실물목록!$O$2:$O$1001&lt;&gt;"")*(실물목록!$O$2:$O$1001=H588)))</f>
      </c>
      <c r="H588" t="str">
        <f>IFERROR(IF(AND(LEN(SUBSTITUTE(SUBSTITUTE(SUBSTITUTE(TRIM(A588&amp;""),CHAR(160),"")," ",""),"년",""))=4,VALUE(SUBSTITUTE(SUBSTITUTE(SUBSTITUTE(TRIM(A588&amp;""),CHAR(160),"")," ",""),"년",""))&gt;=1900,VALUE(SUBSTITUTE(SUBSTITUTE(SUBSTITUTE(TRIM(A588&amp;""),CHAR(160),"")," ",""),"년",""))&lt;=2099,TEXT(VALUE(SUBSTITUTE(SUBSTITUTE(SUBSTITUTE(TRIM(A588&amp;""),CHAR(160),"")," ",""),"년","")),"0000")=SUBSTITUTE(SUBSTITUTE(SUBSTITUTE(TRIM(A588&amp;""),CHAR(160),"")," ",""),"년","")),SUBSTITUTE(SUBSTITUTE(SUBSTITUTE(TRIM(A588&amp;""),CHAR(160),"")," ",""),"년",""),""),"")</f>
      </c>
      <c r="I588" t="str">
        <f>SUBSTITUTE(SUBSTITUTE(SUBSTITUTE(SUBSTITUTE(SUBSTITUTE(TRIM(B588&amp;""),CHAR(160),"")," ",""),"초등학교","초"),"중학교","중"),"고등학교","고")</f>
      </c>
    </row>
    <row r="589" customFormat="false" ht="15" hidden="false" customHeight="false" outlineLevel="0" collapsed="false">
      <c r="A589" s="8"/>
      <c r="B589" s="8"/>
      <c r="C589" s="8"/>
      <c r="D589" s="8"/>
      <c r="E589" s="8"/>
      <c r="F589" t="str" s="15">
        <f aca="0">IF(B589="","",IF(H589="","확인필요(입력누락)",IF(SUMPRODUCT((실물목록!$P$2:$P$1001&lt;&gt;"")*ISNUMBER(SEARCH(실물목록!$P$2:$P$1001,I589))*(실물목록!$Q$2:$Q$1001&lt;&gt;"")*ISNUMBER(SEARCH(실물목록!$Q$2:$Q$1001,I589))*(실물목록!$R$2:$R$1001="")*(실물목록!$O$2:$O$1001&lt;&gt;"")*(실물목록!$O$2:$O$1001=H589))&gt;0,"실물 있음",IF(SUMPRODUCT((실물목록!$P$2:$P$1001&lt;&gt;"")*ISNUMBER(SEARCH(실물목록!$P$2:$P$1001,I589))*(실물목록!$R$2:$R$1001&lt;&gt;""))&gt;0,"확인필요(입력누락)",IF(SUMPRODUCT((실물목록!$P$2:$P$1001&lt;&gt;"")*ISNUMBER(SEARCH(실물목록!$P$2:$P$1001,I589))*(실물목록!$Q$2:$Q$1001&lt;&gt;"")*ISNUMBER(SEARCH(실물목록!$Q$2:$Q$1001,I589))*(실물목록!$R$2:$R$1001="")*(실물목록!$O$2:$O$1001&lt;&gt;""))&gt;0,"확인필요(연도다름)","실물 없음")))))</f>
      </c>
      <c r="G589" t="n" s="16">
        <f aca="0">IF(B589="","",SUMPRODUCT((실물목록!$P$2:$P$1001&lt;&gt;"")*ISNUMBER(SEARCH(실물목록!$P$2:$P$1001,I589))*(실물목록!$Q$2:$Q$1001&lt;&gt;"")*ISNUMBER(SEARCH(실물목록!$Q$2:$Q$1001,I589))*(실물목록!$R$2:$R$1001="")*(실물목록!$O$2:$O$1001&lt;&gt;"")*(실물목록!$O$2:$O$1001=H589)))</f>
      </c>
      <c r="H589" t="str">
        <f>IFERROR(IF(AND(LEN(SUBSTITUTE(SUBSTITUTE(SUBSTITUTE(TRIM(A589&amp;""),CHAR(160),"")," ",""),"년",""))=4,VALUE(SUBSTITUTE(SUBSTITUTE(SUBSTITUTE(TRIM(A589&amp;""),CHAR(160),"")," ",""),"년",""))&gt;=1900,VALUE(SUBSTITUTE(SUBSTITUTE(SUBSTITUTE(TRIM(A589&amp;""),CHAR(160),"")," ",""),"년",""))&lt;=2099,TEXT(VALUE(SUBSTITUTE(SUBSTITUTE(SUBSTITUTE(TRIM(A589&amp;""),CHAR(160),"")," ",""),"년","")),"0000")=SUBSTITUTE(SUBSTITUTE(SUBSTITUTE(TRIM(A589&amp;""),CHAR(160),"")," ",""),"년","")),SUBSTITUTE(SUBSTITUTE(SUBSTITUTE(TRIM(A589&amp;""),CHAR(160),"")," ",""),"년",""),""),"")</f>
      </c>
      <c r="I589" t="str">
        <f>SUBSTITUTE(SUBSTITUTE(SUBSTITUTE(SUBSTITUTE(SUBSTITUTE(TRIM(B589&amp;""),CHAR(160),"")," ",""),"초등학교","초"),"중학교","중"),"고등학교","고")</f>
      </c>
    </row>
    <row r="590" customFormat="false" ht="15" hidden="false" customHeight="false" outlineLevel="0" collapsed="false">
      <c r="A590" s="8"/>
      <c r="B590" s="8"/>
      <c r="C590" s="8"/>
      <c r="D590" s="8"/>
      <c r="E590" s="8"/>
      <c r="F590" t="str" s="15">
        <f aca="0">IF(B590="","",IF(H590="","확인필요(입력누락)",IF(SUMPRODUCT((실물목록!$P$2:$P$1001&lt;&gt;"")*ISNUMBER(SEARCH(실물목록!$P$2:$P$1001,I590))*(실물목록!$Q$2:$Q$1001&lt;&gt;"")*ISNUMBER(SEARCH(실물목록!$Q$2:$Q$1001,I590))*(실물목록!$R$2:$R$1001="")*(실물목록!$O$2:$O$1001&lt;&gt;"")*(실물목록!$O$2:$O$1001=H590))&gt;0,"실물 있음",IF(SUMPRODUCT((실물목록!$P$2:$P$1001&lt;&gt;"")*ISNUMBER(SEARCH(실물목록!$P$2:$P$1001,I590))*(실물목록!$R$2:$R$1001&lt;&gt;""))&gt;0,"확인필요(입력누락)",IF(SUMPRODUCT((실물목록!$P$2:$P$1001&lt;&gt;"")*ISNUMBER(SEARCH(실물목록!$P$2:$P$1001,I590))*(실물목록!$Q$2:$Q$1001&lt;&gt;"")*ISNUMBER(SEARCH(실물목록!$Q$2:$Q$1001,I590))*(실물목록!$R$2:$R$1001="")*(실물목록!$O$2:$O$1001&lt;&gt;""))&gt;0,"확인필요(연도다름)","실물 없음")))))</f>
      </c>
      <c r="G590" t="n" s="16">
        <f aca="0">IF(B590="","",SUMPRODUCT((실물목록!$P$2:$P$1001&lt;&gt;"")*ISNUMBER(SEARCH(실물목록!$P$2:$P$1001,I590))*(실물목록!$Q$2:$Q$1001&lt;&gt;"")*ISNUMBER(SEARCH(실물목록!$Q$2:$Q$1001,I590))*(실물목록!$R$2:$R$1001="")*(실물목록!$O$2:$O$1001&lt;&gt;"")*(실물목록!$O$2:$O$1001=H590)))</f>
      </c>
      <c r="H590" t="str">
        <f>IFERROR(IF(AND(LEN(SUBSTITUTE(SUBSTITUTE(SUBSTITUTE(TRIM(A590&amp;""),CHAR(160),"")," ",""),"년",""))=4,VALUE(SUBSTITUTE(SUBSTITUTE(SUBSTITUTE(TRIM(A590&amp;""),CHAR(160),"")," ",""),"년",""))&gt;=1900,VALUE(SUBSTITUTE(SUBSTITUTE(SUBSTITUTE(TRIM(A590&amp;""),CHAR(160),"")," ",""),"년",""))&lt;=2099,TEXT(VALUE(SUBSTITUTE(SUBSTITUTE(SUBSTITUTE(TRIM(A590&amp;""),CHAR(160),"")," ",""),"년","")),"0000")=SUBSTITUTE(SUBSTITUTE(SUBSTITUTE(TRIM(A590&amp;""),CHAR(160),"")," ",""),"년","")),SUBSTITUTE(SUBSTITUTE(SUBSTITUTE(TRIM(A590&amp;""),CHAR(160),"")," ",""),"년",""),""),"")</f>
      </c>
      <c r="I590" t="str">
        <f>SUBSTITUTE(SUBSTITUTE(SUBSTITUTE(SUBSTITUTE(SUBSTITUTE(TRIM(B590&amp;""),CHAR(160),"")," ",""),"초등학교","초"),"중학교","중"),"고등학교","고")</f>
      </c>
    </row>
    <row r="591" customFormat="false" ht="15" hidden="false" customHeight="false" outlineLevel="0" collapsed="false">
      <c r="A591" s="8"/>
      <c r="B591" s="8"/>
      <c r="C591" s="8"/>
      <c r="D591" s="8"/>
      <c r="E591" s="8"/>
      <c r="F591" t="str" s="15">
        <f aca="0">IF(B591="","",IF(H591="","확인필요(입력누락)",IF(SUMPRODUCT((실물목록!$P$2:$P$1001&lt;&gt;"")*ISNUMBER(SEARCH(실물목록!$P$2:$P$1001,I591))*(실물목록!$Q$2:$Q$1001&lt;&gt;"")*ISNUMBER(SEARCH(실물목록!$Q$2:$Q$1001,I591))*(실물목록!$R$2:$R$1001="")*(실물목록!$O$2:$O$1001&lt;&gt;"")*(실물목록!$O$2:$O$1001=H591))&gt;0,"실물 있음",IF(SUMPRODUCT((실물목록!$P$2:$P$1001&lt;&gt;"")*ISNUMBER(SEARCH(실물목록!$P$2:$P$1001,I591))*(실물목록!$R$2:$R$1001&lt;&gt;""))&gt;0,"확인필요(입력누락)",IF(SUMPRODUCT((실물목록!$P$2:$P$1001&lt;&gt;"")*ISNUMBER(SEARCH(실물목록!$P$2:$P$1001,I591))*(실물목록!$Q$2:$Q$1001&lt;&gt;"")*ISNUMBER(SEARCH(실물목록!$Q$2:$Q$1001,I591))*(실물목록!$R$2:$R$1001="")*(실물목록!$O$2:$O$1001&lt;&gt;""))&gt;0,"확인필요(연도다름)","실물 없음")))))</f>
      </c>
      <c r="G591" t="n" s="16">
        <f aca="0">IF(B591="","",SUMPRODUCT((실물목록!$P$2:$P$1001&lt;&gt;"")*ISNUMBER(SEARCH(실물목록!$P$2:$P$1001,I591))*(실물목록!$Q$2:$Q$1001&lt;&gt;"")*ISNUMBER(SEARCH(실물목록!$Q$2:$Q$1001,I591))*(실물목록!$R$2:$R$1001="")*(실물목록!$O$2:$O$1001&lt;&gt;"")*(실물목록!$O$2:$O$1001=H591)))</f>
      </c>
      <c r="H591" t="str">
        <f>IFERROR(IF(AND(LEN(SUBSTITUTE(SUBSTITUTE(SUBSTITUTE(TRIM(A591&amp;""),CHAR(160),"")," ",""),"년",""))=4,VALUE(SUBSTITUTE(SUBSTITUTE(SUBSTITUTE(TRIM(A591&amp;""),CHAR(160),"")," ",""),"년",""))&gt;=1900,VALUE(SUBSTITUTE(SUBSTITUTE(SUBSTITUTE(TRIM(A591&amp;""),CHAR(160),"")," ",""),"년",""))&lt;=2099,TEXT(VALUE(SUBSTITUTE(SUBSTITUTE(SUBSTITUTE(TRIM(A591&amp;""),CHAR(160),"")," ",""),"년","")),"0000")=SUBSTITUTE(SUBSTITUTE(SUBSTITUTE(TRIM(A591&amp;""),CHAR(160),"")," ",""),"년","")),SUBSTITUTE(SUBSTITUTE(SUBSTITUTE(TRIM(A591&amp;""),CHAR(160),"")," ",""),"년",""),""),"")</f>
      </c>
      <c r="I591" t="str">
        <f>SUBSTITUTE(SUBSTITUTE(SUBSTITUTE(SUBSTITUTE(SUBSTITUTE(TRIM(B591&amp;""),CHAR(160),"")," ",""),"초등학교","초"),"중학교","중"),"고등학교","고")</f>
      </c>
    </row>
    <row r="592" customFormat="false" ht="15" hidden="false" customHeight="false" outlineLevel="0" collapsed="false">
      <c r="A592" s="8"/>
      <c r="B592" s="8"/>
      <c r="C592" s="8"/>
      <c r="D592" s="8"/>
      <c r="E592" s="8"/>
      <c r="F592" t="str" s="15">
        <f aca="0">IF(B592="","",IF(H592="","확인필요(입력누락)",IF(SUMPRODUCT((실물목록!$P$2:$P$1001&lt;&gt;"")*ISNUMBER(SEARCH(실물목록!$P$2:$P$1001,I592))*(실물목록!$Q$2:$Q$1001&lt;&gt;"")*ISNUMBER(SEARCH(실물목록!$Q$2:$Q$1001,I592))*(실물목록!$R$2:$R$1001="")*(실물목록!$O$2:$O$1001&lt;&gt;"")*(실물목록!$O$2:$O$1001=H592))&gt;0,"실물 있음",IF(SUMPRODUCT((실물목록!$P$2:$P$1001&lt;&gt;"")*ISNUMBER(SEARCH(실물목록!$P$2:$P$1001,I592))*(실물목록!$R$2:$R$1001&lt;&gt;""))&gt;0,"확인필요(입력누락)",IF(SUMPRODUCT((실물목록!$P$2:$P$1001&lt;&gt;"")*ISNUMBER(SEARCH(실물목록!$P$2:$P$1001,I592))*(실물목록!$Q$2:$Q$1001&lt;&gt;"")*ISNUMBER(SEARCH(실물목록!$Q$2:$Q$1001,I592))*(실물목록!$R$2:$R$1001="")*(실물목록!$O$2:$O$1001&lt;&gt;""))&gt;0,"확인필요(연도다름)","실물 없음")))))</f>
      </c>
      <c r="G592" t="n" s="16">
        <f aca="0">IF(B592="","",SUMPRODUCT((실물목록!$P$2:$P$1001&lt;&gt;"")*ISNUMBER(SEARCH(실물목록!$P$2:$P$1001,I592))*(실물목록!$Q$2:$Q$1001&lt;&gt;"")*ISNUMBER(SEARCH(실물목록!$Q$2:$Q$1001,I592))*(실물목록!$R$2:$R$1001="")*(실물목록!$O$2:$O$1001&lt;&gt;"")*(실물목록!$O$2:$O$1001=H592)))</f>
      </c>
      <c r="H592" t="str">
        <f>IFERROR(IF(AND(LEN(SUBSTITUTE(SUBSTITUTE(SUBSTITUTE(TRIM(A592&amp;""),CHAR(160),"")," ",""),"년",""))=4,VALUE(SUBSTITUTE(SUBSTITUTE(SUBSTITUTE(TRIM(A592&amp;""),CHAR(160),"")," ",""),"년",""))&gt;=1900,VALUE(SUBSTITUTE(SUBSTITUTE(SUBSTITUTE(TRIM(A592&amp;""),CHAR(160),"")," ",""),"년",""))&lt;=2099,TEXT(VALUE(SUBSTITUTE(SUBSTITUTE(SUBSTITUTE(TRIM(A592&amp;""),CHAR(160),"")," ",""),"년","")),"0000")=SUBSTITUTE(SUBSTITUTE(SUBSTITUTE(TRIM(A592&amp;""),CHAR(160),"")," ",""),"년","")),SUBSTITUTE(SUBSTITUTE(SUBSTITUTE(TRIM(A592&amp;""),CHAR(160),"")," ",""),"년",""),""),"")</f>
      </c>
      <c r="I592" t="str">
        <f>SUBSTITUTE(SUBSTITUTE(SUBSTITUTE(SUBSTITUTE(SUBSTITUTE(TRIM(B592&amp;""),CHAR(160),"")," ",""),"초등학교","초"),"중학교","중"),"고등학교","고")</f>
      </c>
    </row>
    <row r="593" customFormat="false" ht="15" hidden="false" customHeight="false" outlineLevel="0" collapsed="false">
      <c r="A593" s="8"/>
      <c r="B593" s="8"/>
      <c r="C593" s="8"/>
      <c r="D593" s="8"/>
      <c r="E593" s="8"/>
      <c r="F593" t="str" s="15">
        <f aca="0">IF(B593="","",IF(H593="","확인필요(입력누락)",IF(SUMPRODUCT((실물목록!$P$2:$P$1001&lt;&gt;"")*ISNUMBER(SEARCH(실물목록!$P$2:$P$1001,I593))*(실물목록!$Q$2:$Q$1001&lt;&gt;"")*ISNUMBER(SEARCH(실물목록!$Q$2:$Q$1001,I593))*(실물목록!$R$2:$R$1001="")*(실물목록!$O$2:$O$1001&lt;&gt;"")*(실물목록!$O$2:$O$1001=H593))&gt;0,"실물 있음",IF(SUMPRODUCT((실물목록!$P$2:$P$1001&lt;&gt;"")*ISNUMBER(SEARCH(실물목록!$P$2:$P$1001,I593))*(실물목록!$R$2:$R$1001&lt;&gt;""))&gt;0,"확인필요(입력누락)",IF(SUMPRODUCT((실물목록!$P$2:$P$1001&lt;&gt;"")*ISNUMBER(SEARCH(실물목록!$P$2:$P$1001,I593))*(실물목록!$Q$2:$Q$1001&lt;&gt;"")*ISNUMBER(SEARCH(실물목록!$Q$2:$Q$1001,I593))*(실물목록!$R$2:$R$1001="")*(실물목록!$O$2:$O$1001&lt;&gt;""))&gt;0,"확인필요(연도다름)","실물 없음")))))</f>
      </c>
      <c r="G593" t="n" s="16">
        <f aca="0">IF(B593="","",SUMPRODUCT((실물목록!$P$2:$P$1001&lt;&gt;"")*ISNUMBER(SEARCH(실물목록!$P$2:$P$1001,I593))*(실물목록!$Q$2:$Q$1001&lt;&gt;"")*ISNUMBER(SEARCH(실물목록!$Q$2:$Q$1001,I593))*(실물목록!$R$2:$R$1001="")*(실물목록!$O$2:$O$1001&lt;&gt;"")*(실물목록!$O$2:$O$1001=H593)))</f>
      </c>
      <c r="H593" t="str">
        <f>IFERROR(IF(AND(LEN(SUBSTITUTE(SUBSTITUTE(SUBSTITUTE(TRIM(A593&amp;""),CHAR(160),"")," ",""),"년",""))=4,VALUE(SUBSTITUTE(SUBSTITUTE(SUBSTITUTE(TRIM(A593&amp;""),CHAR(160),"")," ",""),"년",""))&gt;=1900,VALUE(SUBSTITUTE(SUBSTITUTE(SUBSTITUTE(TRIM(A593&amp;""),CHAR(160),"")," ",""),"년",""))&lt;=2099,TEXT(VALUE(SUBSTITUTE(SUBSTITUTE(SUBSTITUTE(TRIM(A593&amp;""),CHAR(160),"")," ",""),"년","")),"0000")=SUBSTITUTE(SUBSTITUTE(SUBSTITUTE(TRIM(A593&amp;""),CHAR(160),"")," ",""),"년","")),SUBSTITUTE(SUBSTITUTE(SUBSTITUTE(TRIM(A593&amp;""),CHAR(160),"")," ",""),"년",""),""),"")</f>
      </c>
      <c r="I593" t="str">
        <f>SUBSTITUTE(SUBSTITUTE(SUBSTITUTE(SUBSTITUTE(SUBSTITUTE(TRIM(B593&amp;""),CHAR(160),"")," ",""),"초등학교","초"),"중학교","중"),"고등학교","고")</f>
      </c>
    </row>
    <row r="594" customFormat="false" ht="15" hidden="false" customHeight="false" outlineLevel="0" collapsed="false">
      <c r="A594" s="8"/>
      <c r="B594" s="8"/>
      <c r="C594" s="8"/>
      <c r="D594" s="8"/>
      <c r="E594" s="8"/>
      <c r="F594" t="str" s="15">
        <f aca="0">IF(B594="","",IF(H594="","확인필요(입력누락)",IF(SUMPRODUCT((실물목록!$P$2:$P$1001&lt;&gt;"")*ISNUMBER(SEARCH(실물목록!$P$2:$P$1001,I594))*(실물목록!$Q$2:$Q$1001&lt;&gt;"")*ISNUMBER(SEARCH(실물목록!$Q$2:$Q$1001,I594))*(실물목록!$R$2:$R$1001="")*(실물목록!$O$2:$O$1001&lt;&gt;"")*(실물목록!$O$2:$O$1001=H594))&gt;0,"실물 있음",IF(SUMPRODUCT((실물목록!$P$2:$P$1001&lt;&gt;"")*ISNUMBER(SEARCH(실물목록!$P$2:$P$1001,I594))*(실물목록!$R$2:$R$1001&lt;&gt;""))&gt;0,"확인필요(입력누락)",IF(SUMPRODUCT((실물목록!$P$2:$P$1001&lt;&gt;"")*ISNUMBER(SEARCH(실물목록!$P$2:$P$1001,I594))*(실물목록!$Q$2:$Q$1001&lt;&gt;"")*ISNUMBER(SEARCH(실물목록!$Q$2:$Q$1001,I594))*(실물목록!$R$2:$R$1001="")*(실물목록!$O$2:$O$1001&lt;&gt;""))&gt;0,"확인필요(연도다름)","실물 없음")))))</f>
      </c>
      <c r="G594" t="n" s="16">
        <f aca="0">IF(B594="","",SUMPRODUCT((실물목록!$P$2:$P$1001&lt;&gt;"")*ISNUMBER(SEARCH(실물목록!$P$2:$P$1001,I594))*(실물목록!$Q$2:$Q$1001&lt;&gt;"")*ISNUMBER(SEARCH(실물목록!$Q$2:$Q$1001,I594))*(실물목록!$R$2:$R$1001="")*(실물목록!$O$2:$O$1001&lt;&gt;"")*(실물목록!$O$2:$O$1001=H594)))</f>
      </c>
      <c r="H594" t="str">
        <f>IFERROR(IF(AND(LEN(SUBSTITUTE(SUBSTITUTE(SUBSTITUTE(TRIM(A594&amp;""),CHAR(160),"")," ",""),"년",""))=4,VALUE(SUBSTITUTE(SUBSTITUTE(SUBSTITUTE(TRIM(A594&amp;""),CHAR(160),"")," ",""),"년",""))&gt;=1900,VALUE(SUBSTITUTE(SUBSTITUTE(SUBSTITUTE(TRIM(A594&amp;""),CHAR(160),"")," ",""),"년",""))&lt;=2099,TEXT(VALUE(SUBSTITUTE(SUBSTITUTE(SUBSTITUTE(TRIM(A594&amp;""),CHAR(160),"")," ",""),"년","")),"0000")=SUBSTITUTE(SUBSTITUTE(SUBSTITUTE(TRIM(A594&amp;""),CHAR(160),"")," ",""),"년","")),SUBSTITUTE(SUBSTITUTE(SUBSTITUTE(TRIM(A594&amp;""),CHAR(160),"")," ",""),"년",""),""),"")</f>
      </c>
      <c r="I594" t="str">
        <f>SUBSTITUTE(SUBSTITUTE(SUBSTITUTE(SUBSTITUTE(SUBSTITUTE(TRIM(B594&amp;""),CHAR(160),"")," ",""),"초등학교","초"),"중학교","중"),"고등학교","고")</f>
      </c>
    </row>
    <row r="595" customFormat="false" ht="15" hidden="false" customHeight="false" outlineLevel="0" collapsed="false">
      <c r="A595" s="8"/>
      <c r="B595" s="8"/>
      <c r="C595" s="8"/>
      <c r="D595" s="8"/>
      <c r="E595" s="8"/>
      <c r="F595" t="str" s="15">
        <f aca="0">IF(B595="","",IF(H595="","확인필요(입력누락)",IF(SUMPRODUCT((실물목록!$P$2:$P$1001&lt;&gt;"")*ISNUMBER(SEARCH(실물목록!$P$2:$P$1001,I595))*(실물목록!$Q$2:$Q$1001&lt;&gt;"")*ISNUMBER(SEARCH(실물목록!$Q$2:$Q$1001,I595))*(실물목록!$R$2:$R$1001="")*(실물목록!$O$2:$O$1001&lt;&gt;"")*(실물목록!$O$2:$O$1001=H595))&gt;0,"실물 있음",IF(SUMPRODUCT((실물목록!$P$2:$P$1001&lt;&gt;"")*ISNUMBER(SEARCH(실물목록!$P$2:$P$1001,I595))*(실물목록!$R$2:$R$1001&lt;&gt;""))&gt;0,"확인필요(입력누락)",IF(SUMPRODUCT((실물목록!$P$2:$P$1001&lt;&gt;"")*ISNUMBER(SEARCH(실물목록!$P$2:$P$1001,I595))*(실물목록!$Q$2:$Q$1001&lt;&gt;"")*ISNUMBER(SEARCH(실물목록!$Q$2:$Q$1001,I595))*(실물목록!$R$2:$R$1001="")*(실물목록!$O$2:$O$1001&lt;&gt;""))&gt;0,"확인필요(연도다름)","실물 없음")))))</f>
      </c>
      <c r="G595" t="n" s="16">
        <f aca="0">IF(B595="","",SUMPRODUCT((실물목록!$P$2:$P$1001&lt;&gt;"")*ISNUMBER(SEARCH(실물목록!$P$2:$P$1001,I595))*(실물목록!$Q$2:$Q$1001&lt;&gt;"")*ISNUMBER(SEARCH(실물목록!$Q$2:$Q$1001,I595))*(실물목록!$R$2:$R$1001="")*(실물목록!$O$2:$O$1001&lt;&gt;"")*(실물목록!$O$2:$O$1001=H595)))</f>
      </c>
      <c r="H595" t="str">
        <f>IFERROR(IF(AND(LEN(SUBSTITUTE(SUBSTITUTE(SUBSTITUTE(TRIM(A595&amp;""),CHAR(160),"")," ",""),"년",""))=4,VALUE(SUBSTITUTE(SUBSTITUTE(SUBSTITUTE(TRIM(A595&amp;""),CHAR(160),"")," ",""),"년",""))&gt;=1900,VALUE(SUBSTITUTE(SUBSTITUTE(SUBSTITUTE(TRIM(A595&amp;""),CHAR(160),"")," ",""),"년",""))&lt;=2099,TEXT(VALUE(SUBSTITUTE(SUBSTITUTE(SUBSTITUTE(TRIM(A595&amp;""),CHAR(160),"")," ",""),"년","")),"0000")=SUBSTITUTE(SUBSTITUTE(SUBSTITUTE(TRIM(A595&amp;""),CHAR(160),"")," ",""),"년","")),SUBSTITUTE(SUBSTITUTE(SUBSTITUTE(TRIM(A595&amp;""),CHAR(160),"")," ",""),"년",""),""),"")</f>
      </c>
      <c r="I595" t="str">
        <f>SUBSTITUTE(SUBSTITUTE(SUBSTITUTE(SUBSTITUTE(SUBSTITUTE(TRIM(B595&amp;""),CHAR(160),"")," ",""),"초등학교","초"),"중학교","중"),"고등학교","고")</f>
      </c>
    </row>
    <row r="596" customFormat="false" ht="15" hidden="false" customHeight="false" outlineLevel="0" collapsed="false">
      <c r="A596" s="8"/>
      <c r="B596" s="8"/>
      <c r="C596" s="8"/>
      <c r="D596" s="8"/>
      <c r="E596" s="8"/>
      <c r="F596" t="str" s="15">
        <f aca="0">IF(B596="","",IF(H596="","확인필요(입력누락)",IF(SUMPRODUCT((실물목록!$P$2:$P$1001&lt;&gt;"")*ISNUMBER(SEARCH(실물목록!$P$2:$P$1001,I596))*(실물목록!$Q$2:$Q$1001&lt;&gt;"")*ISNUMBER(SEARCH(실물목록!$Q$2:$Q$1001,I596))*(실물목록!$R$2:$R$1001="")*(실물목록!$O$2:$O$1001&lt;&gt;"")*(실물목록!$O$2:$O$1001=H596))&gt;0,"실물 있음",IF(SUMPRODUCT((실물목록!$P$2:$P$1001&lt;&gt;"")*ISNUMBER(SEARCH(실물목록!$P$2:$P$1001,I596))*(실물목록!$R$2:$R$1001&lt;&gt;""))&gt;0,"확인필요(입력누락)",IF(SUMPRODUCT((실물목록!$P$2:$P$1001&lt;&gt;"")*ISNUMBER(SEARCH(실물목록!$P$2:$P$1001,I596))*(실물목록!$Q$2:$Q$1001&lt;&gt;"")*ISNUMBER(SEARCH(실물목록!$Q$2:$Q$1001,I596))*(실물목록!$R$2:$R$1001="")*(실물목록!$O$2:$O$1001&lt;&gt;""))&gt;0,"확인필요(연도다름)","실물 없음")))))</f>
      </c>
      <c r="G596" t="n" s="16">
        <f aca="0">IF(B596="","",SUMPRODUCT((실물목록!$P$2:$P$1001&lt;&gt;"")*ISNUMBER(SEARCH(실물목록!$P$2:$P$1001,I596))*(실물목록!$Q$2:$Q$1001&lt;&gt;"")*ISNUMBER(SEARCH(실물목록!$Q$2:$Q$1001,I596))*(실물목록!$R$2:$R$1001="")*(실물목록!$O$2:$O$1001&lt;&gt;"")*(실물목록!$O$2:$O$1001=H596)))</f>
      </c>
      <c r="H596" t="str">
        <f>IFERROR(IF(AND(LEN(SUBSTITUTE(SUBSTITUTE(SUBSTITUTE(TRIM(A596&amp;""),CHAR(160),"")," ",""),"년",""))=4,VALUE(SUBSTITUTE(SUBSTITUTE(SUBSTITUTE(TRIM(A596&amp;""),CHAR(160),"")," ",""),"년",""))&gt;=1900,VALUE(SUBSTITUTE(SUBSTITUTE(SUBSTITUTE(TRIM(A596&amp;""),CHAR(160),"")," ",""),"년",""))&lt;=2099,TEXT(VALUE(SUBSTITUTE(SUBSTITUTE(SUBSTITUTE(TRIM(A596&amp;""),CHAR(160),"")," ",""),"년","")),"0000")=SUBSTITUTE(SUBSTITUTE(SUBSTITUTE(TRIM(A596&amp;""),CHAR(160),"")," ",""),"년","")),SUBSTITUTE(SUBSTITUTE(SUBSTITUTE(TRIM(A596&amp;""),CHAR(160),"")," ",""),"년",""),""),"")</f>
      </c>
      <c r="I596" t="str">
        <f>SUBSTITUTE(SUBSTITUTE(SUBSTITUTE(SUBSTITUTE(SUBSTITUTE(TRIM(B596&amp;""),CHAR(160),"")," ",""),"초등학교","초"),"중학교","중"),"고등학교","고")</f>
      </c>
    </row>
    <row r="597" customFormat="false" ht="15" hidden="false" customHeight="false" outlineLevel="0" collapsed="false">
      <c r="A597" s="8"/>
      <c r="B597" s="8"/>
      <c r="C597" s="8"/>
      <c r="D597" s="8"/>
      <c r="E597" s="8"/>
      <c r="F597" t="str" s="15">
        <f aca="0">IF(B597="","",IF(H597="","확인필요(입력누락)",IF(SUMPRODUCT((실물목록!$P$2:$P$1001&lt;&gt;"")*ISNUMBER(SEARCH(실물목록!$P$2:$P$1001,I597))*(실물목록!$Q$2:$Q$1001&lt;&gt;"")*ISNUMBER(SEARCH(실물목록!$Q$2:$Q$1001,I597))*(실물목록!$R$2:$R$1001="")*(실물목록!$O$2:$O$1001&lt;&gt;"")*(실물목록!$O$2:$O$1001=H597))&gt;0,"실물 있음",IF(SUMPRODUCT((실물목록!$P$2:$P$1001&lt;&gt;"")*ISNUMBER(SEARCH(실물목록!$P$2:$P$1001,I597))*(실물목록!$R$2:$R$1001&lt;&gt;""))&gt;0,"확인필요(입력누락)",IF(SUMPRODUCT((실물목록!$P$2:$P$1001&lt;&gt;"")*ISNUMBER(SEARCH(실물목록!$P$2:$P$1001,I597))*(실물목록!$Q$2:$Q$1001&lt;&gt;"")*ISNUMBER(SEARCH(실물목록!$Q$2:$Q$1001,I597))*(실물목록!$R$2:$R$1001="")*(실물목록!$O$2:$O$1001&lt;&gt;""))&gt;0,"확인필요(연도다름)","실물 없음")))))</f>
      </c>
      <c r="G597" t="n" s="16">
        <f aca="0">IF(B597="","",SUMPRODUCT((실물목록!$P$2:$P$1001&lt;&gt;"")*ISNUMBER(SEARCH(실물목록!$P$2:$P$1001,I597))*(실물목록!$Q$2:$Q$1001&lt;&gt;"")*ISNUMBER(SEARCH(실물목록!$Q$2:$Q$1001,I597))*(실물목록!$R$2:$R$1001="")*(실물목록!$O$2:$O$1001&lt;&gt;"")*(실물목록!$O$2:$O$1001=H597)))</f>
      </c>
      <c r="H597" t="str">
        <f>IFERROR(IF(AND(LEN(SUBSTITUTE(SUBSTITUTE(SUBSTITUTE(TRIM(A597&amp;""),CHAR(160),"")," ",""),"년",""))=4,VALUE(SUBSTITUTE(SUBSTITUTE(SUBSTITUTE(TRIM(A597&amp;""),CHAR(160),"")," ",""),"년",""))&gt;=1900,VALUE(SUBSTITUTE(SUBSTITUTE(SUBSTITUTE(TRIM(A597&amp;""),CHAR(160),"")," ",""),"년",""))&lt;=2099,TEXT(VALUE(SUBSTITUTE(SUBSTITUTE(SUBSTITUTE(TRIM(A597&amp;""),CHAR(160),"")," ",""),"년","")),"0000")=SUBSTITUTE(SUBSTITUTE(SUBSTITUTE(TRIM(A597&amp;""),CHAR(160),"")," ",""),"년","")),SUBSTITUTE(SUBSTITUTE(SUBSTITUTE(TRIM(A597&amp;""),CHAR(160),"")," ",""),"년",""),""),"")</f>
      </c>
      <c r="I597" t="str">
        <f>SUBSTITUTE(SUBSTITUTE(SUBSTITUTE(SUBSTITUTE(SUBSTITUTE(TRIM(B597&amp;""),CHAR(160),"")," ",""),"초등학교","초"),"중학교","중"),"고등학교","고")</f>
      </c>
    </row>
    <row r="598" customFormat="false" ht="15" hidden="false" customHeight="false" outlineLevel="0" collapsed="false">
      <c r="A598" s="8"/>
      <c r="B598" s="8"/>
      <c r="C598" s="8"/>
      <c r="D598" s="8"/>
      <c r="E598" s="8"/>
      <c r="F598" t="str" s="15">
        <f aca="0">IF(B598="","",IF(H598="","확인필요(입력누락)",IF(SUMPRODUCT((실물목록!$P$2:$P$1001&lt;&gt;"")*ISNUMBER(SEARCH(실물목록!$P$2:$P$1001,I598))*(실물목록!$Q$2:$Q$1001&lt;&gt;"")*ISNUMBER(SEARCH(실물목록!$Q$2:$Q$1001,I598))*(실물목록!$R$2:$R$1001="")*(실물목록!$O$2:$O$1001&lt;&gt;"")*(실물목록!$O$2:$O$1001=H598))&gt;0,"실물 있음",IF(SUMPRODUCT((실물목록!$P$2:$P$1001&lt;&gt;"")*ISNUMBER(SEARCH(실물목록!$P$2:$P$1001,I598))*(실물목록!$R$2:$R$1001&lt;&gt;""))&gt;0,"확인필요(입력누락)",IF(SUMPRODUCT((실물목록!$P$2:$P$1001&lt;&gt;"")*ISNUMBER(SEARCH(실물목록!$P$2:$P$1001,I598))*(실물목록!$Q$2:$Q$1001&lt;&gt;"")*ISNUMBER(SEARCH(실물목록!$Q$2:$Q$1001,I598))*(실물목록!$R$2:$R$1001="")*(실물목록!$O$2:$O$1001&lt;&gt;""))&gt;0,"확인필요(연도다름)","실물 없음")))))</f>
      </c>
      <c r="G598" t="n" s="16">
        <f aca="0">IF(B598="","",SUMPRODUCT((실물목록!$P$2:$P$1001&lt;&gt;"")*ISNUMBER(SEARCH(실물목록!$P$2:$P$1001,I598))*(실물목록!$Q$2:$Q$1001&lt;&gt;"")*ISNUMBER(SEARCH(실물목록!$Q$2:$Q$1001,I598))*(실물목록!$R$2:$R$1001="")*(실물목록!$O$2:$O$1001&lt;&gt;"")*(실물목록!$O$2:$O$1001=H598)))</f>
      </c>
      <c r="H598" t="str">
        <f>IFERROR(IF(AND(LEN(SUBSTITUTE(SUBSTITUTE(SUBSTITUTE(TRIM(A598&amp;""),CHAR(160),"")," ",""),"년",""))=4,VALUE(SUBSTITUTE(SUBSTITUTE(SUBSTITUTE(TRIM(A598&amp;""),CHAR(160),"")," ",""),"년",""))&gt;=1900,VALUE(SUBSTITUTE(SUBSTITUTE(SUBSTITUTE(TRIM(A598&amp;""),CHAR(160),"")," ",""),"년",""))&lt;=2099,TEXT(VALUE(SUBSTITUTE(SUBSTITUTE(SUBSTITUTE(TRIM(A598&amp;""),CHAR(160),"")," ",""),"년","")),"0000")=SUBSTITUTE(SUBSTITUTE(SUBSTITUTE(TRIM(A598&amp;""),CHAR(160),"")," ",""),"년","")),SUBSTITUTE(SUBSTITUTE(SUBSTITUTE(TRIM(A598&amp;""),CHAR(160),"")," ",""),"년",""),""),"")</f>
      </c>
      <c r="I598" t="str">
        <f>SUBSTITUTE(SUBSTITUTE(SUBSTITUTE(SUBSTITUTE(SUBSTITUTE(TRIM(B598&amp;""),CHAR(160),"")," ",""),"초등학교","초"),"중학교","중"),"고등학교","고")</f>
      </c>
    </row>
    <row r="599" customFormat="false" ht="15" hidden="false" customHeight="false" outlineLevel="0" collapsed="false">
      <c r="A599" s="8"/>
      <c r="B599" s="8"/>
      <c r="C599" s="8"/>
      <c r="D599" s="8"/>
      <c r="E599" s="8"/>
      <c r="F599" t="str" s="15">
        <f aca="0">IF(B599="","",IF(H599="","확인필요(입력누락)",IF(SUMPRODUCT((실물목록!$P$2:$P$1001&lt;&gt;"")*ISNUMBER(SEARCH(실물목록!$P$2:$P$1001,I599))*(실물목록!$Q$2:$Q$1001&lt;&gt;"")*ISNUMBER(SEARCH(실물목록!$Q$2:$Q$1001,I599))*(실물목록!$R$2:$R$1001="")*(실물목록!$O$2:$O$1001&lt;&gt;"")*(실물목록!$O$2:$O$1001=H599))&gt;0,"실물 있음",IF(SUMPRODUCT((실물목록!$P$2:$P$1001&lt;&gt;"")*ISNUMBER(SEARCH(실물목록!$P$2:$P$1001,I599))*(실물목록!$R$2:$R$1001&lt;&gt;""))&gt;0,"확인필요(입력누락)",IF(SUMPRODUCT((실물목록!$P$2:$P$1001&lt;&gt;"")*ISNUMBER(SEARCH(실물목록!$P$2:$P$1001,I599))*(실물목록!$Q$2:$Q$1001&lt;&gt;"")*ISNUMBER(SEARCH(실물목록!$Q$2:$Q$1001,I599))*(실물목록!$R$2:$R$1001="")*(실물목록!$O$2:$O$1001&lt;&gt;""))&gt;0,"확인필요(연도다름)","실물 없음")))))</f>
      </c>
      <c r="G599" t="n" s="16">
        <f aca="0">IF(B599="","",SUMPRODUCT((실물목록!$P$2:$P$1001&lt;&gt;"")*ISNUMBER(SEARCH(실물목록!$P$2:$P$1001,I599))*(실물목록!$Q$2:$Q$1001&lt;&gt;"")*ISNUMBER(SEARCH(실물목록!$Q$2:$Q$1001,I599))*(실물목록!$R$2:$R$1001="")*(실물목록!$O$2:$O$1001&lt;&gt;"")*(실물목록!$O$2:$O$1001=H599)))</f>
      </c>
      <c r="H599" t="str">
        <f>IFERROR(IF(AND(LEN(SUBSTITUTE(SUBSTITUTE(SUBSTITUTE(TRIM(A599&amp;""),CHAR(160),"")," ",""),"년",""))=4,VALUE(SUBSTITUTE(SUBSTITUTE(SUBSTITUTE(TRIM(A599&amp;""),CHAR(160),"")," ",""),"년",""))&gt;=1900,VALUE(SUBSTITUTE(SUBSTITUTE(SUBSTITUTE(TRIM(A599&amp;""),CHAR(160),"")," ",""),"년",""))&lt;=2099,TEXT(VALUE(SUBSTITUTE(SUBSTITUTE(SUBSTITUTE(TRIM(A599&amp;""),CHAR(160),"")," ",""),"년","")),"0000")=SUBSTITUTE(SUBSTITUTE(SUBSTITUTE(TRIM(A599&amp;""),CHAR(160),"")," ",""),"년","")),SUBSTITUTE(SUBSTITUTE(SUBSTITUTE(TRIM(A599&amp;""),CHAR(160),"")," ",""),"년",""),""),"")</f>
      </c>
      <c r="I599" t="str">
        <f>SUBSTITUTE(SUBSTITUTE(SUBSTITUTE(SUBSTITUTE(SUBSTITUTE(TRIM(B599&amp;""),CHAR(160),"")," ",""),"초등학교","초"),"중학교","중"),"고등학교","고")</f>
      </c>
    </row>
    <row r="600" customFormat="false" ht="15" hidden="false" customHeight="false" outlineLevel="0" collapsed="false">
      <c r="A600" s="8"/>
      <c r="B600" s="8"/>
      <c r="C600" s="8"/>
      <c r="D600" s="8"/>
      <c r="E600" s="8"/>
      <c r="F600" t="str" s="15">
        <f aca="0">IF(B600="","",IF(H600="","확인필요(입력누락)",IF(SUMPRODUCT((실물목록!$P$2:$P$1001&lt;&gt;"")*ISNUMBER(SEARCH(실물목록!$P$2:$P$1001,I600))*(실물목록!$Q$2:$Q$1001&lt;&gt;"")*ISNUMBER(SEARCH(실물목록!$Q$2:$Q$1001,I600))*(실물목록!$R$2:$R$1001="")*(실물목록!$O$2:$O$1001&lt;&gt;"")*(실물목록!$O$2:$O$1001=H600))&gt;0,"실물 있음",IF(SUMPRODUCT((실물목록!$P$2:$P$1001&lt;&gt;"")*ISNUMBER(SEARCH(실물목록!$P$2:$P$1001,I600))*(실물목록!$R$2:$R$1001&lt;&gt;""))&gt;0,"확인필요(입력누락)",IF(SUMPRODUCT((실물목록!$P$2:$P$1001&lt;&gt;"")*ISNUMBER(SEARCH(실물목록!$P$2:$P$1001,I600))*(실물목록!$Q$2:$Q$1001&lt;&gt;"")*ISNUMBER(SEARCH(실물목록!$Q$2:$Q$1001,I600))*(실물목록!$R$2:$R$1001="")*(실물목록!$O$2:$O$1001&lt;&gt;""))&gt;0,"확인필요(연도다름)","실물 없음")))))</f>
      </c>
      <c r="G600" t="n" s="16">
        <f aca="0">IF(B600="","",SUMPRODUCT((실물목록!$P$2:$P$1001&lt;&gt;"")*ISNUMBER(SEARCH(실물목록!$P$2:$P$1001,I600))*(실물목록!$Q$2:$Q$1001&lt;&gt;"")*ISNUMBER(SEARCH(실물목록!$Q$2:$Q$1001,I600))*(실물목록!$R$2:$R$1001="")*(실물목록!$O$2:$O$1001&lt;&gt;"")*(실물목록!$O$2:$O$1001=H600)))</f>
      </c>
      <c r="H600" t="str">
        <f>IFERROR(IF(AND(LEN(SUBSTITUTE(SUBSTITUTE(SUBSTITUTE(TRIM(A600&amp;""),CHAR(160),"")," ",""),"년",""))=4,VALUE(SUBSTITUTE(SUBSTITUTE(SUBSTITUTE(TRIM(A600&amp;""),CHAR(160),"")," ",""),"년",""))&gt;=1900,VALUE(SUBSTITUTE(SUBSTITUTE(SUBSTITUTE(TRIM(A600&amp;""),CHAR(160),"")," ",""),"년",""))&lt;=2099,TEXT(VALUE(SUBSTITUTE(SUBSTITUTE(SUBSTITUTE(TRIM(A600&amp;""),CHAR(160),"")," ",""),"년","")),"0000")=SUBSTITUTE(SUBSTITUTE(SUBSTITUTE(TRIM(A600&amp;""),CHAR(160),"")," ",""),"년","")),SUBSTITUTE(SUBSTITUTE(SUBSTITUTE(TRIM(A600&amp;""),CHAR(160),"")," ",""),"년",""),""),"")</f>
      </c>
      <c r="I600" t="str">
        <f>SUBSTITUTE(SUBSTITUTE(SUBSTITUTE(SUBSTITUTE(SUBSTITUTE(TRIM(B600&amp;""),CHAR(160),"")," ",""),"초등학교","초"),"중학교","중"),"고등학교","고")</f>
      </c>
    </row>
    <row r="601" customFormat="false" ht="15" hidden="false" customHeight="false" outlineLevel="0" collapsed="false">
      <c r="A601" s="8"/>
      <c r="B601" s="8"/>
      <c r="C601" s="8"/>
      <c r="D601" s="8"/>
      <c r="E601" s="8"/>
      <c r="F601" t="str" s="15">
        <f aca="0">IF(B601="","",IF(H601="","확인필요(입력누락)",IF(SUMPRODUCT((실물목록!$P$2:$P$1001&lt;&gt;"")*ISNUMBER(SEARCH(실물목록!$P$2:$P$1001,I601))*(실물목록!$Q$2:$Q$1001&lt;&gt;"")*ISNUMBER(SEARCH(실물목록!$Q$2:$Q$1001,I601))*(실물목록!$R$2:$R$1001="")*(실물목록!$O$2:$O$1001&lt;&gt;"")*(실물목록!$O$2:$O$1001=H601))&gt;0,"실물 있음",IF(SUMPRODUCT((실물목록!$P$2:$P$1001&lt;&gt;"")*ISNUMBER(SEARCH(실물목록!$P$2:$P$1001,I601))*(실물목록!$R$2:$R$1001&lt;&gt;""))&gt;0,"확인필요(입력누락)",IF(SUMPRODUCT((실물목록!$P$2:$P$1001&lt;&gt;"")*ISNUMBER(SEARCH(실물목록!$P$2:$P$1001,I601))*(실물목록!$Q$2:$Q$1001&lt;&gt;"")*ISNUMBER(SEARCH(실물목록!$Q$2:$Q$1001,I601))*(실물목록!$R$2:$R$1001="")*(실물목록!$O$2:$O$1001&lt;&gt;""))&gt;0,"확인필요(연도다름)","실물 없음")))))</f>
      </c>
      <c r="G601" t="n" s="16">
        <f aca="0">IF(B601="","",SUMPRODUCT((실물목록!$P$2:$P$1001&lt;&gt;"")*ISNUMBER(SEARCH(실물목록!$P$2:$P$1001,I601))*(실물목록!$Q$2:$Q$1001&lt;&gt;"")*ISNUMBER(SEARCH(실물목록!$Q$2:$Q$1001,I601))*(실물목록!$R$2:$R$1001="")*(실물목록!$O$2:$O$1001&lt;&gt;"")*(실물목록!$O$2:$O$1001=H601)))</f>
      </c>
      <c r="H601" t="str">
        <f>IFERROR(IF(AND(LEN(SUBSTITUTE(SUBSTITUTE(SUBSTITUTE(TRIM(A601&amp;""),CHAR(160),"")," ",""),"년",""))=4,VALUE(SUBSTITUTE(SUBSTITUTE(SUBSTITUTE(TRIM(A601&amp;""),CHAR(160),"")," ",""),"년",""))&gt;=1900,VALUE(SUBSTITUTE(SUBSTITUTE(SUBSTITUTE(TRIM(A601&amp;""),CHAR(160),"")," ",""),"년",""))&lt;=2099,TEXT(VALUE(SUBSTITUTE(SUBSTITUTE(SUBSTITUTE(TRIM(A601&amp;""),CHAR(160),"")," ",""),"년","")),"0000")=SUBSTITUTE(SUBSTITUTE(SUBSTITUTE(TRIM(A601&amp;""),CHAR(160),"")," ",""),"년","")),SUBSTITUTE(SUBSTITUTE(SUBSTITUTE(TRIM(A601&amp;""),CHAR(160),"")," ",""),"년",""),""),"")</f>
      </c>
      <c r="I601" t="str">
        <f>SUBSTITUTE(SUBSTITUTE(SUBSTITUTE(SUBSTITUTE(SUBSTITUTE(TRIM(B601&amp;""),CHAR(160),"")," ",""),"초등학교","초"),"중학교","중"),"고등학교","고")</f>
      </c>
    </row>
    <row r="602" customFormat="false" ht="15" hidden="false" customHeight="false" outlineLevel="0" collapsed="false">
      <c r="A602" s="8"/>
      <c r="B602" s="8"/>
      <c r="C602" s="8"/>
      <c r="D602" s="8"/>
      <c r="E602" s="8"/>
      <c r="F602" t="str" s="15">
        <f aca="0">IF(B602="","",IF(H602="","확인필요(입력누락)",IF(SUMPRODUCT((실물목록!$P$2:$P$1001&lt;&gt;"")*ISNUMBER(SEARCH(실물목록!$P$2:$P$1001,I602))*(실물목록!$Q$2:$Q$1001&lt;&gt;"")*ISNUMBER(SEARCH(실물목록!$Q$2:$Q$1001,I602))*(실물목록!$R$2:$R$1001="")*(실물목록!$O$2:$O$1001&lt;&gt;"")*(실물목록!$O$2:$O$1001=H602))&gt;0,"실물 있음",IF(SUMPRODUCT((실물목록!$P$2:$P$1001&lt;&gt;"")*ISNUMBER(SEARCH(실물목록!$P$2:$P$1001,I602))*(실물목록!$R$2:$R$1001&lt;&gt;""))&gt;0,"확인필요(입력누락)",IF(SUMPRODUCT((실물목록!$P$2:$P$1001&lt;&gt;"")*ISNUMBER(SEARCH(실물목록!$P$2:$P$1001,I602))*(실물목록!$Q$2:$Q$1001&lt;&gt;"")*ISNUMBER(SEARCH(실물목록!$Q$2:$Q$1001,I602))*(실물목록!$R$2:$R$1001="")*(실물목록!$O$2:$O$1001&lt;&gt;""))&gt;0,"확인필요(연도다름)","실물 없음")))))</f>
      </c>
      <c r="G602" t="n" s="16">
        <f aca="0">IF(B602="","",SUMPRODUCT((실물목록!$P$2:$P$1001&lt;&gt;"")*ISNUMBER(SEARCH(실물목록!$P$2:$P$1001,I602))*(실물목록!$Q$2:$Q$1001&lt;&gt;"")*ISNUMBER(SEARCH(실물목록!$Q$2:$Q$1001,I602))*(실물목록!$R$2:$R$1001="")*(실물목록!$O$2:$O$1001&lt;&gt;"")*(실물목록!$O$2:$O$1001=H602)))</f>
      </c>
      <c r="H602" t="str">
        <f>IFERROR(IF(AND(LEN(SUBSTITUTE(SUBSTITUTE(SUBSTITUTE(TRIM(A602&amp;""),CHAR(160),"")," ",""),"년",""))=4,VALUE(SUBSTITUTE(SUBSTITUTE(SUBSTITUTE(TRIM(A602&amp;""),CHAR(160),"")," ",""),"년",""))&gt;=1900,VALUE(SUBSTITUTE(SUBSTITUTE(SUBSTITUTE(TRIM(A602&amp;""),CHAR(160),"")," ",""),"년",""))&lt;=2099,TEXT(VALUE(SUBSTITUTE(SUBSTITUTE(SUBSTITUTE(TRIM(A602&amp;""),CHAR(160),"")," ",""),"년","")),"0000")=SUBSTITUTE(SUBSTITUTE(SUBSTITUTE(TRIM(A602&amp;""),CHAR(160),"")," ",""),"년","")),SUBSTITUTE(SUBSTITUTE(SUBSTITUTE(TRIM(A602&amp;""),CHAR(160),"")," ",""),"년",""),""),"")</f>
      </c>
      <c r="I602" t="str">
        <f>SUBSTITUTE(SUBSTITUTE(SUBSTITUTE(SUBSTITUTE(SUBSTITUTE(TRIM(B602&amp;""),CHAR(160),"")," ",""),"초등학교","초"),"중학교","중"),"고등학교","고")</f>
      </c>
    </row>
    <row r="603" customFormat="false" ht="15" hidden="false" customHeight="false" outlineLevel="0" collapsed="false">
      <c r="A603" s="8"/>
      <c r="B603" s="8"/>
      <c r="C603" s="8"/>
      <c r="D603" s="8"/>
      <c r="E603" s="8"/>
      <c r="F603" t="str" s="15">
        <f aca="0">IF(B603="","",IF(H603="","확인필요(입력누락)",IF(SUMPRODUCT((실물목록!$P$2:$P$1001&lt;&gt;"")*ISNUMBER(SEARCH(실물목록!$P$2:$P$1001,I603))*(실물목록!$Q$2:$Q$1001&lt;&gt;"")*ISNUMBER(SEARCH(실물목록!$Q$2:$Q$1001,I603))*(실물목록!$R$2:$R$1001="")*(실물목록!$O$2:$O$1001&lt;&gt;"")*(실물목록!$O$2:$O$1001=H603))&gt;0,"실물 있음",IF(SUMPRODUCT((실물목록!$P$2:$P$1001&lt;&gt;"")*ISNUMBER(SEARCH(실물목록!$P$2:$P$1001,I603))*(실물목록!$R$2:$R$1001&lt;&gt;""))&gt;0,"확인필요(입력누락)",IF(SUMPRODUCT((실물목록!$P$2:$P$1001&lt;&gt;"")*ISNUMBER(SEARCH(실물목록!$P$2:$P$1001,I603))*(실물목록!$Q$2:$Q$1001&lt;&gt;"")*ISNUMBER(SEARCH(실물목록!$Q$2:$Q$1001,I603))*(실물목록!$R$2:$R$1001="")*(실물목록!$O$2:$O$1001&lt;&gt;""))&gt;0,"확인필요(연도다름)","실물 없음")))))</f>
      </c>
      <c r="G603" t="n" s="16">
        <f aca="0">IF(B603="","",SUMPRODUCT((실물목록!$P$2:$P$1001&lt;&gt;"")*ISNUMBER(SEARCH(실물목록!$P$2:$P$1001,I603))*(실물목록!$Q$2:$Q$1001&lt;&gt;"")*ISNUMBER(SEARCH(실물목록!$Q$2:$Q$1001,I603))*(실물목록!$R$2:$R$1001="")*(실물목록!$O$2:$O$1001&lt;&gt;"")*(실물목록!$O$2:$O$1001=H603)))</f>
      </c>
      <c r="H603" t="str">
        <f>IFERROR(IF(AND(LEN(SUBSTITUTE(SUBSTITUTE(SUBSTITUTE(TRIM(A603&amp;""),CHAR(160),"")," ",""),"년",""))=4,VALUE(SUBSTITUTE(SUBSTITUTE(SUBSTITUTE(TRIM(A603&amp;""),CHAR(160),"")," ",""),"년",""))&gt;=1900,VALUE(SUBSTITUTE(SUBSTITUTE(SUBSTITUTE(TRIM(A603&amp;""),CHAR(160),"")," ",""),"년",""))&lt;=2099,TEXT(VALUE(SUBSTITUTE(SUBSTITUTE(SUBSTITUTE(TRIM(A603&amp;""),CHAR(160),"")," ",""),"년","")),"0000")=SUBSTITUTE(SUBSTITUTE(SUBSTITUTE(TRIM(A603&amp;""),CHAR(160),"")," ",""),"년","")),SUBSTITUTE(SUBSTITUTE(SUBSTITUTE(TRIM(A603&amp;""),CHAR(160),"")," ",""),"년",""),""),"")</f>
      </c>
      <c r="I603" t="str">
        <f>SUBSTITUTE(SUBSTITUTE(SUBSTITUTE(SUBSTITUTE(SUBSTITUTE(TRIM(B603&amp;""),CHAR(160),"")," ",""),"초등학교","초"),"중학교","중"),"고등학교","고")</f>
      </c>
    </row>
    <row r="604" customFormat="false" ht="15" hidden="false" customHeight="false" outlineLevel="0" collapsed="false">
      <c r="A604" s="8"/>
      <c r="B604" s="8"/>
      <c r="C604" s="8"/>
      <c r="D604" s="8"/>
      <c r="E604" s="8"/>
      <c r="F604" t="str" s="15">
        <f aca="0">IF(B604="","",IF(H604="","확인필요(입력누락)",IF(SUMPRODUCT((실물목록!$P$2:$P$1001&lt;&gt;"")*ISNUMBER(SEARCH(실물목록!$P$2:$P$1001,I604))*(실물목록!$Q$2:$Q$1001&lt;&gt;"")*ISNUMBER(SEARCH(실물목록!$Q$2:$Q$1001,I604))*(실물목록!$R$2:$R$1001="")*(실물목록!$O$2:$O$1001&lt;&gt;"")*(실물목록!$O$2:$O$1001=H604))&gt;0,"실물 있음",IF(SUMPRODUCT((실물목록!$P$2:$P$1001&lt;&gt;"")*ISNUMBER(SEARCH(실물목록!$P$2:$P$1001,I604))*(실물목록!$R$2:$R$1001&lt;&gt;""))&gt;0,"확인필요(입력누락)",IF(SUMPRODUCT((실물목록!$P$2:$P$1001&lt;&gt;"")*ISNUMBER(SEARCH(실물목록!$P$2:$P$1001,I604))*(실물목록!$Q$2:$Q$1001&lt;&gt;"")*ISNUMBER(SEARCH(실물목록!$Q$2:$Q$1001,I604))*(실물목록!$R$2:$R$1001="")*(실물목록!$O$2:$O$1001&lt;&gt;""))&gt;0,"확인필요(연도다름)","실물 없음")))))</f>
      </c>
      <c r="G604" t="n" s="16">
        <f aca="0">IF(B604="","",SUMPRODUCT((실물목록!$P$2:$P$1001&lt;&gt;"")*ISNUMBER(SEARCH(실물목록!$P$2:$P$1001,I604))*(실물목록!$Q$2:$Q$1001&lt;&gt;"")*ISNUMBER(SEARCH(실물목록!$Q$2:$Q$1001,I604))*(실물목록!$R$2:$R$1001="")*(실물목록!$O$2:$O$1001&lt;&gt;"")*(실물목록!$O$2:$O$1001=H604)))</f>
      </c>
      <c r="H604" t="str">
        <f>IFERROR(IF(AND(LEN(SUBSTITUTE(SUBSTITUTE(SUBSTITUTE(TRIM(A604&amp;""),CHAR(160),"")," ",""),"년",""))=4,VALUE(SUBSTITUTE(SUBSTITUTE(SUBSTITUTE(TRIM(A604&amp;""),CHAR(160),"")," ",""),"년",""))&gt;=1900,VALUE(SUBSTITUTE(SUBSTITUTE(SUBSTITUTE(TRIM(A604&amp;""),CHAR(160),"")," ",""),"년",""))&lt;=2099,TEXT(VALUE(SUBSTITUTE(SUBSTITUTE(SUBSTITUTE(TRIM(A604&amp;""),CHAR(160),"")," ",""),"년","")),"0000")=SUBSTITUTE(SUBSTITUTE(SUBSTITUTE(TRIM(A604&amp;""),CHAR(160),"")," ",""),"년","")),SUBSTITUTE(SUBSTITUTE(SUBSTITUTE(TRIM(A604&amp;""),CHAR(160),"")," ",""),"년",""),""),"")</f>
      </c>
      <c r="I604" t="str">
        <f>SUBSTITUTE(SUBSTITUTE(SUBSTITUTE(SUBSTITUTE(SUBSTITUTE(TRIM(B604&amp;""),CHAR(160),"")," ",""),"초등학교","초"),"중학교","중"),"고등학교","고")</f>
      </c>
    </row>
    <row r="605" customFormat="false" ht="15" hidden="false" customHeight="false" outlineLevel="0" collapsed="false">
      <c r="A605" s="8"/>
      <c r="B605" s="8"/>
      <c r="C605" s="8"/>
      <c r="D605" s="8"/>
      <c r="E605" s="8"/>
      <c r="F605" t="str" s="15">
        <f aca="0">IF(B605="","",IF(H605="","확인필요(입력누락)",IF(SUMPRODUCT((실물목록!$P$2:$P$1001&lt;&gt;"")*ISNUMBER(SEARCH(실물목록!$P$2:$P$1001,I605))*(실물목록!$Q$2:$Q$1001&lt;&gt;"")*ISNUMBER(SEARCH(실물목록!$Q$2:$Q$1001,I605))*(실물목록!$R$2:$R$1001="")*(실물목록!$O$2:$O$1001&lt;&gt;"")*(실물목록!$O$2:$O$1001=H605))&gt;0,"실물 있음",IF(SUMPRODUCT((실물목록!$P$2:$P$1001&lt;&gt;"")*ISNUMBER(SEARCH(실물목록!$P$2:$P$1001,I605))*(실물목록!$R$2:$R$1001&lt;&gt;""))&gt;0,"확인필요(입력누락)",IF(SUMPRODUCT((실물목록!$P$2:$P$1001&lt;&gt;"")*ISNUMBER(SEARCH(실물목록!$P$2:$P$1001,I605))*(실물목록!$Q$2:$Q$1001&lt;&gt;"")*ISNUMBER(SEARCH(실물목록!$Q$2:$Q$1001,I605))*(실물목록!$R$2:$R$1001="")*(실물목록!$O$2:$O$1001&lt;&gt;""))&gt;0,"확인필요(연도다름)","실물 없음")))))</f>
      </c>
      <c r="G605" t="n" s="16">
        <f aca="0">IF(B605="","",SUMPRODUCT((실물목록!$P$2:$P$1001&lt;&gt;"")*ISNUMBER(SEARCH(실물목록!$P$2:$P$1001,I605))*(실물목록!$Q$2:$Q$1001&lt;&gt;"")*ISNUMBER(SEARCH(실물목록!$Q$2:$Q$1001,I605))*(실물목록!$R$2:$R$1001="")*(실물목록!$O$2:$O$1001&lt;&gt;"")*(실물목록!$O$2:$O$1001=H605)))</f>
      </c>
      <c r="H605" t="str">
        <f>IFERROR(IF(AND(LEN(SUBSTITUTE(SUBSTITUTE(SUBSTITUTE(TRIM(A605&amp;""),CHAR(160),"")," ",""),"년",""))=4,VALUE(SUBSTITUTE(SUBSTITUTE(SUBSTITUTE(TRIM(A605&amp;""),CHAR(160),"")," ",""),"년",""))&gt;=1900,VALUE(SUBSTITUTE(SUBSTITUTE(SUBSTITUTE(TRIM(A605&amp;""),CHAR(160),"")," ",""),"년",""))&lt;=2099,TEXT(VALUE(SUBSTITUTE(SUBSTITUTE(SUBSTITUTE(TRIM(A605&amp;""),CHAR(160),"")," ",""),"년","")),"0000")=SUBSTITUTE(SUBSTITUTE(SUBSTITUTE(TRIM(A605&amp;""),CHAR(160),"")," ",""),"년","")),SUBSTITUTE(SUBSTITUTE(SUBSTITUTE(TRIM(A605&amp;""),CHAR(160),"")," ",""),"년",""),""),"")</f>
      </c>
      <c r="I605" t="str">
        <f>SUBSTITUTE(SUBSTITUTE(SUBSTITUTE(SUBSTITUTE(SUBSTITUTE(TRIM(B605&amp;""),CHAR(160),"")," ",""),"초등학교","초"),"중학교","중"),"고등학교","고")</f>
      </c>
    </row>
    <row r="606" customFormat="false" ht="15" hidden="false" customHeight="false" outlineLevel="0" collapsed="false">
      <c r="A606" s="8"/>
      <c r="B606" s="8"/>
      <c r="C606" s="8"/>
      <c r="D606" s="8"/>
      <c r="E606" s="8"/>
      <c r="F606" t="str" s="15">
        <f aca="0">IF(B606="","",IF(H606="","확인필요(입력누락)",IF(SUMPRODUCT((실물목록!$P$2:$P$1001&lt;&gt;"")*ISNUMBER(SEARCH(실물목록!$P$2:$P$1001,I606))*(실물목록!$Q$2:$Q$1001&lt;&gt;"")*ISNUMBER(SEARCH(실물목록!$Q$2:$Q$1001,I606))*(실물목록!$R$2:$R$1001="")*(실물목록!$O$2:$O$1001&lt;&gt;"")*(실물목록!$O$2:$O$1001=H606))&gt;0,"실물 있음",IF(SUMPRODUCT((실물목록!$P$2:$P$1001&lt;&gt;"")*ISNUMBER(SEARCH(실물목록!$P$2:$P$1001,I606))*(실물목록!$R$2:$R$1001&lt;&gt;""))&gt;0,"확인필요(입력누락)",IF(SUMPRODUCT((실물목록!$P$2:$P$1001&lt;&gt;"")*ISNUMBER(SEARCH(실물목록!$P$2:$P$1001,I606))*(실물목록!$Q$2:$Q$1001&lt;&gt;"")*ISNUMBER(SEARCH(실물목록!$Q$2:$Q$1001,I606))*(실물목록!$R$2:$R$1001="")*(실물목록!$O$2:$O$1001&lt;&gt;""))&gt;0,"확인필요(연도다름)","실물 없음")))))</f>
      </c>
      <c r="G606" t="n" s="16">
        <f aca="0">IF(B606="","",SUMPRODUCT((실물목록!$P$2:$P$1001&lt;&gt;"")*ISNUMBER(SEARCH(실물목록!$P$2:$P$1001,I606))*(실물목록!$Q$2:$Q$1001&lt;&gt;"")*ISNUMBER(SEARCH(실물목록!$Q$2:$Q$1001,I606))*(실물목록!$R$2:$R$1001="")*(실물목록!$O$2:$O$1001&lt;&gt;"")*(실물목록!$O$2:$O$1001=H606)))</f>
      </c>
      <c r="H606" t="str">
        <f>IFERROR(IF(AND(LEN(SUBSTITUTE(SUBSTITUTE(SUBSTITUTE(TRIM(A606&amp;""),CHAR(160),"")," ",""),"년",""))=4,VALUE(SUBSTITUTE(SUBSTITUTE(SUBSTITUTE(TRIM(A606&amp;""),CHAR(160),"")," ",""),"년",""))&gt;=1900,VALUE(SUBSTITUTE(SUBSTITUTE(SUBSTITUTE(TRIM(A606&amp;""),CHAR(160),"")," ",""),"년",""))&lt;=2099,TEXT(VALUE(SUBSTITUTE(SUBSTITUTE(SUBSTITUTE(TRIM(A606&amp;""),CHAR(160),"")," ",""),"년","")),"0000")=SUBSTITUTE(SUBSTITUTE(SUBSTITUTE(TRIM(A606&amp;""),CHAR(160),"")," ",""),"년","")),SUBSTITUTE(SUBSTITUTE(SUBSTITUTE(TRIM(A606&amp;""),CHAR(160),"")," ",""),"년",""),""),"")</f>
      </c>
      <c r="I606" t="str">
        <f>SUBSTITUTE(SUBSTITUTE(SUBSTITUTE(SUBSTITUTE(SUBSTITUTE(TRIM(B606&amp;""),CHAR(160),"")," ",""),"초등학교","초"),"중학교","중"),"고등학교","고")</f>
      </c>
    </row>
    <row r="607" customFormat="false" ht="15" hidden="false" customHeight="false" outlineLevel="0" collapsed="false">
      <c r="A607" s="8"/>
      <c r="B607" s="8"/>
      <c r="C607" s="8"/>
      <c r="D607" s="8"/>
      <c r="E607" s="8"/>
      <c r="F607" t="str" s="15">
        <f aca="0">IF(B607="","",IF(H607="","확인필요(입력누락)",IF(SUMPRODUCT((실물목록!$P$2:$P$1001&lt;&gt;"")*ISNUMBER(SEARCH(실물목록!$P$2:$P$1001,I607))*(실물목록!$Q$2:$Q$1001&lt;&gt;"")*ISNUMBER(SEARCH(실물목록!$Q$2:$Q$1001,I607))*(실물목록!$R$2:$R$1001="")*(실물목록!$O$2:$O$1001&lt;&gt;"")*(실물목록!$O$2:$O$1001=H607))&gt;0,"실물 있음",IF(SUMPRODUCT((실물목록!$P$2:$P$1001&lt;&gt;"")*ISNUMBER(SEARCH(실물목록!$P$2:$P$1001,I607))*(실물목록!$R$2:$R$1001&lt;&gt;""))&gt;0,"확인필요(입력누락)",IF(SUMPRODUCT((실물목록!$P$2:$P$1001&lt;&gt;"")*ISNUMBER(SEARCH(실물목록!$P$2:$P$1001,I607))*(실물목록!$Q$2:$Q$1001&lt;&gt;"")*ISNUMBER(SEARCH(실물목록!$Q$2:$Q$1001,I607))*(실물목록!$R$2:$R$1001="")*(실물목록!$O$2:$O$1001&lt;&gt;""))&gt;0,"확인필요(연도다름)","실물 없음")))))</f>
      </c>
      <c r="G607" t="n" s="16">
        <f aca="0">IF(B607="","",SUMPRODUCT((실물목록!$P$2:$P$1001&lt;&gt;"")*ISNUMBER(SEARCH(실물목록!$P$2:$P$1001,I607))*(실물목록!$Q$2:$Q$1001&lt;&gt;"")*ISNUMBER(SEARCH(실물목록!$Q$2:$Q$1001,I607))*(실물목록!$R$2:$R$1001="")*(실물목록!$O$2:$O$1001&lt;&gt;"")*(실물목록!$O$2:$O$1001=H607)))</f>
      </c>
      <c r="H607" t="str">
        <f>IFERROR(IF(AND(LEN(SUBSTITUTE(SUBSTITUTE(SUBSTITUTE(TRIM(A607&amp;""),CHAR(160),"")," ",""),"년",""))=4,VALUE(SUBSTITUTE(SUBSTITUTE(SUBSTITUTE(TRIM(A607&amp;""),CHAR(160),"")," ",""),"년",""))&gt;=1900,VALUE(SUBSTITUTE(SUBSTITUTE(SUBSTITUTE(TRIM(A607&amp;""),CHAR(160),"")," ",""),"년",""))&lt;=2099,TEXT(VALUE(SUBSTITUTE(SUBSTITUTE(SUBSTITUTE(TRIM(A607&amp;""),CHAR(160),"")," ",""),"년","")),"0000")=SUBSTITUTE(SUBSTITUTE(SUBSTITUTE(TRIM(A607&amp;""),CHAR(160),"")," ",""),"년","")),SUBSTITUTE(SUBSTITUTE(SUBSTITUTE(TRIM(A607&amp;""),CHAR(160),"")," ",""),"년",""),""),"")</f>
      </c>
      <c r="I607" t="str">
        <f>SUBSTITUTE(SUBSTITUTE(SUBSTITUTE(SUBSTITUTE(SUBSTITUTE(TRIM(B607&amp;""),CHAR(160),"")," ",""),"초등학교","초"),"중학교","중"),"고등학교","고")</f>
      </c>
    </row>
    <row r="608" customFormat="false" ht="15" hidden="false" customHeight="false" outlineLevel="0" collapsed="false">
      <c r="A608" s="8"/>
      <c r="B608" s="8"/>
      <c r="C608" s="8"/>
      <c r="D608" s="8"/>
      <c r="E608" s="8"/>
      <c r="F608" t="str" s="15">
        <f aca="0">IF(B608="","",IF(H608="","확인필요(입력누락)",IF(SUMPRODUCT((실물목록!$P$2:$P$1001&lt;&gt;"")*ISNUMBER(SEARCH(실물목록!$P$2:$P$1001,I608))*(실물목록!$Q$2:$Q$1001&lt;&gt;"")*ISNUMBER(SEARCH(실물목록!$Q$2:$Q$1001,I608))*(실물목록!$R$2:$R$1001="")*(실물목록!$O$2:$O$1001&lt;&gt;"")*(실물목록!$O$2:$O$1001=H608))&gt;0,"실물 있음",IF(SUMPRODUCT((실물목록!$P$2:$P$1001&lt;&gt;"")*ISNUMBER(SEARCH(실물목록!$P$2:$P$1001,I608))*(실물목록!$R$2:$R$1001&lt;&gt;""))&gt;0,"확인필요(입력누락)",IF(SUMPRODUCT((실물목록!$P$2:$P$1001&lt;&gt;"")*ISNUMBER(SEARCH(실물목록!$P$2:$P$1001,I608))*(실물목록!$Q$2:$Q$1001&lt;&gt;"")*ISNUMBER(SEARCH(실물목록!$Q$2:$Q$1001,I608))*(실물목록!$R$2:$R$1001="")*(실물목록!$O$2:$O$1001&lt;&gt;""))&gt;0,"확인필요(연도다름)","실물 없음")))))</f>
      </c>
      <c r="G608" t="n" s="16">
        <f aca="0">IF(B608="","",SUMPRODUCT((실물목록!$P$2:$P$1001&lt;&gt;"")*ISNUMBER(SEARCH(실물목록!$P$2:$P$1001,I608))*(실물목록!$Q$2:$Q$1001&lt;&gt;"")*ISNUMBER(SEARCH(실물목록!$Q$2:$Q$1001,I608))*(실물목록!$R$2:$R$1001="")*(실물목록!$O$2:$O$1001&lt;&gt;"")*(실물목록!$O$2:$O$1001=H608)))</f>
      </c>
      <c r="H608" t="str">
        <f>IFERROR(IF(AND(LEN(SUBSTITUTE(SUBSTITUTE(SUBSTITUTE(TRIM(A608&amp;""),CHAR(160),"")," ",""),"년",""))=4,VALUE(SUBSTITUTE(SUBSTITUTE(SUBSTITUTE(TRIM(A608&amp;""),CHAR(160),"")," ",""),"년",""))&gt;=1900,VALUE(SUBSTITUTE(SUBSTITUTE(SUBSTITUTE(TRIM(A608&amp;""),CHAR(160),"")," ",""),"년",""))&lt;=2099,TEXT(VALUE(SUBSTITUTE(SUBSTITUTE(SUBSTITUTE(TRIM(A608&amp;""),CHAR(160),"")," ",""),"년","")),"0000")=SUBSTITUTE(SUBSTITUTE(SUBSTITUTE(TRIM(A608&amp;""),CHAR(160),"")," ",""),"년","")),SUBSTITUTE(SUBSTITUTE(SUBSTITUTE(TRIM(A608&amp;""),CHAR(160),"")," ",""),"년",""),""),"")</f>
      </c>
      <c r="I608" t="str">
        <f>SUBSTITUTE(SUBSTITUTE(SUBSTITUTE(SUBSTITUTE(SUBSTITUTE(TRIM(B608&amp;""),CHAR(160),"")," ",""),"초등학교","초"),"중학교","중"),"고등학교","고")</f>
      </c>
    </row>
    <row r="609" customFormat="false" ht="15" hidden="false" customHeight="false" outlineLevel="0" collapsed="false">
      <c r="A609" s="8"/>
      <c r="B609" s="8"/>
      <c r="C609" s="8"/>
      <c r="D609" s="8"/>
      <c r="E609" s="8"/>
      <c r="F609" t="str" s="15">
        <f aca="0">IF(B609="","",IF(H609="","확인필요(입력누락)",IF(SUMPRODUCT((실물목록!$P$2:$P$1001&lt;&gt;"")*ISNUMBER(SEARCH(실물목록!$P$2:$P$1001,I609))*(실물목록!$Q$2:$Q$1001&lt;&gt;"")*ISNUMBER(SEARCH(실물목록!$Q$2:$Q$1001,I609))*(실물목록!$R$2:$R$1001="")*(실물목록!$O$2:$O$1001&lt;&gt;"")*(실물목록!$O$2:$O$1001=H609))&gt;0,"실물 있음",IF(SUMPRODUCT((실물목록!$P$2:$P$1001&lt;&gt;"")*ISNUMBER(SEARCH(실물목록!$P$2:$P$1001,I609))*(실물목록!$R$2:$R$1001&lt;&gt;""))&gt;0,"확인필요(입력누락)",IF(SUMPRODUCT((실물목록!$P$2:$P$1001&lt;&gt;"")*ISNUMBER(SEARCH(실물목록!$P$2:$P$1001,I609))*(실물목록!$Q$2:$Q$1001&lt;&gt;"")*ISNUMBER(SEARCH(실물목록!$Q$2:$Q$1001,I609))*(실물목록!$R$2:$R$1001="")*(실물목록!$O$2:$O$1001&lt;&gt;""))&gt;0,"확인필요(연도다름)","실물 없음")))))</f>
      </c>
      <c r="G609" t="n" s="16">
        <f aca="0">IF(B609="","",SUMPRODUCT((실물목록!$P$2:$P$1001&lt;&gt;"")*ISNUMBER(SEARCH(실물목록!$P$2:$P$1001,I609))*(실물목록!$Q$2:$Q$1001&lt;&gt;"")*ISNUMBER(SEARCH(실물목록!$Q$2:$Q$1001,I609))*(실물목록!$R$2:$R$1001="")*(실물목록!$O$2:$O$1001&lt;&gt;"")*(실물목록!$O$2:$O$1001=H609)))</f>
      </c>
      <c r="H609" t="str">
        <f>IFERROR(IF(AND(LEN(SUBSTITUTE(SUBSTITUTE(SUBSTITUTE(TRIM(A609&amp;""),CHAR(160),"")," ",""),"년",""))=4,VALUE(SUBSTITUTE(SUBSTITUTE(SUBSTITUTE(TRIM(A609&amp;""),CHAR(160),"")," ",""),"년",""))&gt;=1900,VALUE(SUBSTITUTE(SUBSTITUTE(SUBSTITUTE(TRIM(A609&amp;""),CHAR(160),"")," ",""),"년",""))&lt;=2099,TEXT(VALUE(SUBSTITUTE(SUBSTITUTE(SUBSTITUTE(TRIM(A609&amp;""),CHAR(160),"")," ",""),"년","")),"0000")=SUBSTITUTE(SUBSTITUTE(SUBSTITUTE(TRIM(A609&amp;""),CHAR(160),"")," ",""),"년","")),SUBSTITUTE(SUBSTITUTE(SUBSTITUTE(TRIM(A609&amp;""),CHAR(160),"")," ",""),"년",""),""),"")</f>
      </c>
      <c r="I609" t="str">
        <f>SUBSTITUTE(SUBSTITUTE(SUBSTITUTE(SUBSTITUTE(SUBSTITUTE(TRIM(B609&amp;""),CHAR(160),"")," ",""),"초등학교","초"),"중학교","중"),"고등학교","고")</f>
      </c>
    </row>
    <row r="610" customFormat="false" ht="15" hidden="false" customHeight="false" outlineLevel="0" collapsed="false">
      <c r="A610" s="8"/>
      <c r="B610" s="8"/>
      <c r="C610" s="8"/>
      <c r="D610" s="8"/>
      <c r="E610" s="8"/>
      <c r="F610" t="str" s="15">
        <f aca="0">IF(B610="","",IF(H610="","확인필요(입력누락)",IF(SUMPRODUCT((실물목록!$P$2:$P$1001&lt;&gt;"")*ISNUMBER(SEARCH(실물목록!$P$2:$P$1001,I610))*(실물목록!$Q$2:$Q$1001&lt;&gt;"")*ISNUMBER(SEARCH(실물목록!$Q$2:$Q$1001,I610))*(실물목록!$R$2:$R$1001="")*(실물목록!$O$2:$O$1001&lt;&gt;"")*(실물목록!$O$2:$O$1001=H610))&gt;0,"실물 있음",IF(SUMPRODUCT((실물목록!$P$2:$P$1001&lt;&gt;"")*ISNUMBER(SEARCH(실물목록!$P$2:$P$1001,I610))*(실물목록!$R$2:$R$1001&lt;&gt;""))&gt;0,"확인필요(입력누락)",IF(SUMPRODUCT((실물목록!$P$2:$P$1001&lt;&gt;"")*ISNUMBER(SEARCH(실물목록!$P$2:$P$1001,I610))*(실물목록!$Q$2:$Q$1001&lt;&gt;"")*ISNUMBER(SEARCH(실물목록!$Q$2:$Q$1001,I610))*(실물목록!$R$2:$R$1001="")*(실물목록!$O$2:$O$1001&lt;&gt;""))&gt;0,"확인필요(연도다름)","실물 없음")))))</f>
      </c>
      <c r="G610" t="n" s="16">
        <f aca="0">IF(B610="","",SUMPRODUCT((실물목록!$P$2:$P$1001&lt;&gt;"")*ISNUMBER(SEARCH(실물목록!$P$2:$P$1001,I610))*(실물목록!$Q$2:$Q$1001&lt;&gt;"")*ISNUMBER(SEARCH(실물목록!$Q$2:$Q$1001,I610))*(실물목록!$R$2:$R$1001="")*(실물목록!$O$2:$O$1001&lt;&gt;"")*(실물목록!$O$2:$O$1001=H610)))</f>
      </c>
      <c r="H610" t="str">
        <f>IFERROR(IF(AND(LEN(SUBSTITUTE(SUBSTITUTE(SUBSTITUTE(TRIM(A610&amp;""),CHAR(160),"")," ",""),"년",""))=4,VALUE(SUBSTITUTE(SUBSTITUTE(SUBSTITUTE(TRIM(A610&amp;""),CHAR(160),"")," ",""),"년",""))&gt;=1900,VALUE(SUBSTITUTE(SUBSTITUTE(SUBSTITUTE(TRIM(A610&amp;""),CHAR(160),"")," ",""),"년",""))&lt;=2099,TEXT(VALUE(SUBSTITUTE(SUBSTITUTE(SUBSTITUTE(TRIM(A610&amp;""),CHAR(160),"")," ",""),"년","")),"0000")=SUBSTITUTE(SUBSTITUTE(SUBSTITUTE(TRIM(A610&amp;""),CHAR(160),"")," ",""),"년","")),SUBSTITUTE(SUBSTITUTE(SUBSTITUTE(TRIM(A610&amp;""),CHAR(160),"")," ",""),"년",""),""),"")</f>
      </c>
      <c r="I610" t="str">
        <f>SUBSTITUTE(SUBSTITUTE(SUBSTITUTE(SUBSTITUTE(SUBSTITUTE(TRIM(B610&amp;""),CHAR(160),"")," ",""),"초등학교","초"),"중학교","중"),"고등학교","고")</f>
      </c>
    </row>
    <row r="611" customFormat="false" ht="15" hidden="false" customHeight="false" outlineLevel="0" collapsed="false">
      <c r="A611" s="8"/>
      <c r="B611" s="8"/>
      <c r="C611" s="8"/>
      <c r="D611" s="8"/>
      <c r="E611" s="8"/>
      <c r="F611" t="str" s="15">
        <f aca="0">IF(B611="","",IF(H611="","확인필요(입력누락)",IF(SUMPRODUCT((실물목록!$P$2:$P$1001&lt;&gt;"")*ISNUMBER(SEARCH(실물목록!$P$2:$P$1001,I611))*(실물목록!$Q$2:$Q$1001&lt;&gt;"")*ISNUMBER(SEARCH(실물목록!$Q$2:$Q$1001,I611))*(실물목록!$R$2:$R$1001="")*(실물목록!$O$2:$O$1001&lt;&gt;"")*(실물목록!$O$2:$O$1001=H611))&gt;0,"실물 있음",IF(SUMPRODUCT((실물목록!$P$2:$P$1001&lt;&gt;"")*ISNUMBER(SEARCH(실물목록!$P$2:$P$1001,I611))*(실물목록!$R$2:$R$1001&lt;&gt;""))&gt;0,"확인필요(입력누락)",IF(SUMPRODUCT((실물목록!$P$2:$P$1001&lt;&gt;"")*ISNUMBER(SEARCH(실물목록!$P$2:$P$1001,I611))*(실물목록!$Q$2:$Q$1001&lt;&gt;"")*ISNUMBER(SEARCH(실물목록!$Q$2:$Q$1001,I611))*(실물목록!$R$2:$R$1001="")*(실물목록!$O$2:$O$1001&lt;&gt;""))&gt;0,"확인필요(연도다름)","실물 없음")))))</f>
      </c>
      <c r="G611" t="n" s="16">
        <f aca="0">IF(B611="","",SUMPRODUCT((실물목록!$P$2:$P$1001&lt;&gt;"")*ISNUMBER(SEARCH(실물목록!$P$2:$P$1001,I611))*(실물목록!$Q$2:$Q$1001&lt;&gt;"")*ISNUMBER(SEARCH(실물목록!$Q$2:$Q$1001,I611))*(실물목록!$R$2:$R$1001="")*(실물목록!$O$2:$O$1001&lt;&gt;"")*(실물목록!$O$2:$O$1001=H611)))</f>
      </c>
      <c r="H611" t="str">
        <f>IFERROR(IF(AND(LEN(SUBSTITUTE(SUBSTITUTE(SUBSTITUTE(TRIM(A611&amp;""),CHAR(160),"")," ",""),"년",""))=4,VALUE(SUBSTITUTE(SUBSTITUTE(SUBSTITUTE(TRIM(A611&amp;""),CHAR(160),"")," ",""),"년",""))&gt;=1900,VALUE(SUBSTITUTE(SUBSTITUTE(SUBSTITUTE(TRIM(A611&amp;""),CHAR(160),"")," ",""),"년",""))&lt;=2099,TEXT(VALUE(SUBSTITUTE(SUBSTITUTE(SUBSTITUTE(TRIM(A611&amp;""),CHAR(160),"")," ",""),"년","")),"0000")=SUBSTITUTE(SUBSTITUTE(SUBSTITUTE(TRIM(A611&amp;""),CHAR(160),"")," ",""),"년","")),SUBSTITUTE(SUBSTITUTE(SUBSTITUTE(TRIM(A611&amp;""),CHAR(160),"")," ",""),"년",""),""),"")</f>
      </c>
      <c r="I611" t="str">
        <f>SUBSTITUTE(SUBSTITUTE(SUBSTITUTE(SUBSTITUTE(SUBSTITUTE(TRIM(B611&amp;""),CHAR(160),"")," ",""),"초등학교","초"),"중학교","중"),"고등학교","고")</f>
      </c>
    </row>
    <row r="612" customFormat="false" ht="15" hidden="false" customHeight="false" outlineLevel="0" collapsed="false">
      <c r="A612" s="8"/>
      <c r="B612" s="8"/>
      <c r="C612" s="8"/>
      <c r="D612" s="8"/>
      <c r="E612" s="8"/>
      <c r="F612" t="str" s="15">
        <f aca="0">IF(B612="","",IF(H612="","확인필요(입력누락)",IF(SUMPRODUCT((실물목록!$P$2:$P$1001&lt;&gt;"")*ISNUMBER(SEARCH(실물목록!$P$2:$P$1001,I612))*(실물목록!$Q$2:$Q$1001&lt;&gt;"")*ISNUMBER(SEARCH(실물목록!$Q$2:$Q$1001,I612))*(실물목록!$R$2:$R$1001="")*(실물목록!$O$2:$O$1001&lt;&gt;"")*(실물목록!$O$2:$O$1001=H612))&gt;0,"실물 있음",IF(SUMPRODUCT((실물목록!$P$2:$P$1001&lt;&gt;"")*ISNUMBER(SEARCH(실물목록!$P$2:$P$1001,I612))*(실물목록!$R$2:$R$1001&lt;&gt;""))&gt;0,"확인필요(입력누락)",IF(SUMPRODUCT((실물목록!$P$2:$P$1001&lt;&gt;"")*ISNUMBER(SEARCH(실물목록!$P$2:$P$1001,I612))*(실물목록!$Q$2:$Q$1001&lt;&gt;"")*ISNUMBER(SEARCH(실물목록!$Q$2:$Q$1001,I612))*(실물목록!$R$2:$R$1001="")*(실물목록!$O$2:$O$1001&lt;&gt;""))&gt;0,"확인필요(연도다름)","실물 없음")))))</f>
      </c>
      <c r="G612" t="n" s="16">
        <f aca="0">IF(B612="","",SUMPRODUCT((실물목록!$P$2:$P$1001&lt;&gt;"")*ISNUMBER(SEARCH(실물목록!$P$2:$P$1001,I612))*(실물목록!$Q$2:$Q$1001&lt;&gt;"")*ISNUMBER(SEARCH(실물목록!$Q$2:$Q$1001,I612))*(실물목록!$R$2:$R$1001="")*(실물목록!$O$2:$O$1001&lt;&gt;"")*(실물목록!$O$2:$O$1001=H612)))</f>
      </c>
      <c r="H612" t="str">
        <f>IFERROR(IF(AND(LEN(SUBSTITUTE(SUBSTITUTE(SUBSTITUTE(TRIM(A612&amp;""),CHAR(160),"")," ",""),"년",""))=4,VALUE(SUBSTITUTE(SUBSTITUTE(SUBSTITUTE(TRIM(A612&amp;""),CHAR(160),"")," ",""),"년",""))&gt;=1900,VALUE(SUBSTITUTE(SUBSTITUTE(SUBSTITUTE(TRIM(A612&amp;""),CHAR(160),"")," ",""),"년",""))&lt;=2099,TEXT(VALUE(SUBSTITUTE(SUBSTITUTE(SUBSTITUTE(TRIM(A612&amp;""),CHAR(160),"")," ",""),"년","")),"0000")=SUBSTITUTE(SUBSTITUTE(SUBSTITUTE(TRIM(A612&amp;""),CHAR(160),"")," ",""),"년","")),SUBSTITUTE(SUBSTITUTE(SUBSTITUTE(TRIM(A612&amp;""),CHAR(160),"")," ",""),"년",""),""),"")</f>
      </c>
      <c r="I612" t="str">
        <f>SUBSTITUTE(SUBSTITUTE(SUBSTITUTE(SUBSTITUTE(SUBSTITUTE(TRIM(B612&amp;""),CHAR(160),"")," ",""),"초등학교","초"),"중학교","중"),"고등학교","고")</f>
      </c>
    </row>
    <row r="613" customFormat="false" ht="15" hidden="false" customHeight="false" outlineLevel="0" collapsed="false">
      <c r="A613" s="8"/>
      <c r="B613" s="8"/>
      <c r="C613" s="8"/>
      <c r="D613" s="8"/>
      <c r="E613" s="8"/>
      <c r="F613" t="str" s="15">
        <f aca="0">IF(B613="","",IF(H613="","확인필요(입력누락)",IF(SUMPRODUCT((실물목록!$P$2:$P$1001&lt;&gt;"")*ISNUMBER(SEARCH(실물목록!$P$2:$P$1001,I613))*(실물목록!$Q$2:$Q$1001&lt;&gt;"")*ISNUMBER(SEARCH(실물목록!$Q$2:$Q$1001,I613))*(실물목록!$R$2:$R$1001="")*(실물목록!$O$2:$O$1001&lt;&gt;"")*(실물목록!$O$2:$O$1001=H613))&gt;0,"실물 있음",IF(SUMPRODUCT((실물목록!$P$2:$P$1001&lt;&gt;"")*ISNUMBER(SEARCH(실물목록!$P$2:$P$1001,I613))*(실물목록!$R$2:$R$1001&lt;&gt;""))&gt;0,"확인필요(입력누락)",IF(SUMPRODUCT((실물목록!$P$2:$P$1001&lt;&gt;"")*ISNUMBER(SEARCH(실물목록!$P$2:$P$1001,I613))*(실물목록!$Q$2:$Q$1001&lt;&gt;"")*ISNUMBER(SEARCH(실물목록!$Q$2:$Q$1001,I613))*(실물목록!$R$2:$R$1001="")*(실물목록!$O$2:$O$1001&lt;&gt;""))&gt;0,"확인필요(연도다름)","실물 없음")))))</f>
      </c>
      <c r="G613" t="n" s="16">
        <f aca="0">IF(B613="","",SUMPRODUCT((실물목록!$P$2:$P$1001&lt;&gt;"")*ISNUMBER(SEARCH(실물목록!$P$2:$P$1001,I613))*(실물목록!$Q$2:$Q$1001&lt;&gt;"")*ISNUMBER(SEARCH(실물목록!$Q$2:$Q$1001,I613))*(실물목록!$R$2:$R$1001="")*(실물목록!$O$2:$O$1001&lt;&gt;"")*(실물목록!$O$2:$O$1001=H613)))</f>
      </c>
      <c r="H613" t="str">
        <f>IFERROR(IF(AND(LEN(SUBSTITUTE(SUBSTITUTE(SUBSTITUTE(TRIM(A613&amp;""),CHAR(160),"")," ",""),"년",""))=4,VALUE(SUBSTITUTE(SUBSTITUTE(SUBSTITUTE(TRIM(A613&amp;""),CHAR(160),"")," ",""),"년",""))&gt;=1900,VALUE(SUBSTITUTE(SUBSTITUTE(SUBSTITUTE(TRIM(A613&amp;""),CHAR(160),"")," ",""),"년",""))&lt;=2099,TEXT(VALUE(SUBSTITUTE(SUBSTITUTE(SUBSTITUTE(TRIM(A613&amp;""),CHAR(160),"")," ",""),"년","")),"0000")=SUBSTITUTE(SUBSTITUTE(SUBSTITUTE(TRIM(A613&amp;""),CHAR(160),"")," ",""),"년","")),SUBSTITUTE(SUBSTITUTE(SUBSTITUTE(TRIM(A613&amp;""),CHAR(160),"")," ",""),"년",""),""),"")</f>
      </c>
      <c r="I613" t="str">
        <f>SUBSTITUTE(SUBSTITUTE(SUBSTITUTE(SUBSTITUTE(SUBSTITUTE(TRIM(B613&amp;""),CHAR(160),"")," ",""),"초등학교","초"),"중학교","중"),"고등학교","고")</f>
      </c>
    </row>
    <row r="614" customFormat="false" ht="15" hidden="false" customHeight="false" outlineLevel="0" collapsed="false">
      <c r="A614" s="8"/>
      <c r="B614" s="8"/>
      <c r="C614" s="8"/>
      <c r="D614" s="8"/>
      <c r="E614" s="8"/>
      <c r="F614" t="str" s="15">
        <f aca="0">IF(B614="","",IF(H614="","확인필요(입력누락)",IF(SUMPRODUCT((실물목록!$P$2:$P$1001&lt;&gt;"")*ISNUMBER(SEARCH(실물목록!$P$2:$P$1001,I614))*(실물목록!$Q$2:$Q$1001&lt;&gt;"")*ISNUMBER(SEARCH(실물목록!$Q$2:$Q$1001,I614))*(실물목록!$R$2:$R$1001="")*(실물목록!$O$2:$O$1001&lt;&gt;"")*(실물목록!$O$2:$O$1001=H614))&gt;0,"실물 있음",IF(SUMPRODUCT((실물목록!$P$2:$P$1001&lt;&gt;"")*ISNUMBER(SEARCH(실물목록!$P$2:$P$1001,I614))*(실물목록!$R$2:$R$1001&lt;&gt;""))&gt;0,"확인필요(입력누락)",IF(SUMPRODUCT((실물목록!$P$2:$P$1001&lt;&gt;"")*ISNUMBER(SEARCH(실물목록!$P$2:$P$1001,I614))*(실물목록!$Q$2:$Q$1001&lt;&gt;"")*ISNUMBER(SEARCH(실물목록!$Q$2:$Q$1001,I614))*(실물목록!$R$2:$R$1001="")*(실물목록!$O$2:$O$1001&lt;&gt;""))&gt;0,"확인필요(연도다름)","실물 없음")))))</f>
      </c>
      <c r="G614" t="n" s="16">
        <f aca="0">IF(B614="","",SUMPRODUCT((실물목록!$P$2:$P$1001&lt;&gt;"")*ISNUMBER(SEARCH(실물목록!$P$2:$P$1001,I614))*(실물목록!$Q$2:$Q$1001&lt;&gt;"")*ISNUMBER(SEARCH(실물목록!$Q$2:$Q$1001,I614))*(실물목록!$R$2:$R$1001="")*(실물목록!$O$2:$O$1001&lt;&gt;"")*(실물목록!$O$2:$O$1001=H614)))</f>
      </c>
      <c r="H614" t="str">
        <f>IFERROR(IF(AND(LEN(SUBSTITUTE(SUBSTITUTE(SUBSTITUTE(TRIM(A614&amp;""),CHAR(160),"")," ",""),"년",""))=4,VALUE(SUBSTITUTE(SUBSTITUTE(SUBSTITUTE(TRIM(A614&amp;""),CHAR(160),"")," ",""),"년",""))&gt;=1900,VALUE(SUBSTITUTE(SUBSTITUTE(SUBSTITUTE(TRIM(A614&amp;""),CHAR(160),"")," ",""),"년",""))&lt;=2099,TEXT(VALUE(SUBSTITUTE(SUBSTITUTE(SUBSTITUTE(TRIM(A614&amp;""),CHAR(160),"")," ",""),"년","")),"0000")=SUBSTITUTE(SUBSTITUTE(SUBSTITUTE(TRIM(A614&amp;""),CHAR(160),"")," ",""),"년","")),SUBSTITUTE(SUBSTITUTE(SUBSTITUTE(TRIM(A614&amp;""),CHAR(160),"")," ",""),"년",""),""),"")</f>
      </c>
      <c r="I614" t="str">
        <f>SUBSTITUTE(SUBSTITUTE(SUBSTITUTE(SUBSTITUTE(SUBSTITUTE(TRIM(B614&amp;""),CHAR(160),"")," ",""),"초등학교","초"),"중학교","중"),"고등학교","고")</f>
      </c>
    </row>
    <row r="615" customFormat="false" ht="15" hidden="false" customHeight="false" outlineLevel="0" collapsed="false">
      <c r="A615" s="8"/>
      <c r="B615" s="8"/>
      <c r="C615" s="8"/>
      <c r="D615" s="8"/>
      <c r="E615" s="8"/>
      <c r="F615" t="str" s="15">
        <f aca="0">IF(B615="","",IF(H615="","확인필요(입력누락)",IF(SUMPRODUCT((실물목록!$P$2:$P$1001&lt;&gt;"")*ISNUMBER(SEARCH(실물목록!$P$2:$P$1001,I615))*(실물목록!$Q$2:$Q$1001&lt;&gt;"")*ISNUMBER(SEARCH(실물목록!$Q$2:$Q$1001,I615))*(실물목록!$R$2:$R$1001="")*(실물목록!$O$2:$O$1001&lt;&gt;"")*(실물목록!$O$2:$O$1001=H615))&gt;0,"실물 있음",IF(SUMPRODUCT((실물목록!$P$2:$P$1001&lt;&gt;"")*ISNUMBER(SEARCH(실물목록!$P$2:$P$1001,I615))*(실물목록!$R$2:$R$1001&lt;&gt;""))&gt;0,"확인필요(입력누락)",IF(SUMPRODUCT((실물목록!$P$2:$P$1001&lt;&gt;"")*ISNUMBER(SEARCH(실물목록!$P$2:$P$1001,I615))*(실물목록!$Q$2:$Q$1001&lt;&gt;"")*ISNUMBER(SEARCH(실물목록!$Q$2:$Q$1001,I615))*(실물목록!$R$2:$R$1001="")*(실물목록!$O$2:$O$1001&lt;&gt;""))&gt;0,"확인필요(연도다름)","실물 없음")))))</f>
      </c>
      <c r="G615" t="n" s="16">
        <f aca="0">IF(B615="","",SUMPRODUCT((실물목록!$P$2:$P$1001&lt;&gt;"")*ISNUMBER(SEARCH(실물목록!$P$2:$P$1001,I615))*(실물목록!$Q$2:$Q$1001&lt;&gt;"")*ISNUMBER(SEARCH(실물목록!$Q$2:$Q$1001,I615))*(실물목록!$R$2:$R$1001="")*(실물목록!$O$2:$O$1001&lt;&gt;"")*(실물목록!$O$2:$O$1001=H615)))</f>
      </c>
      <c r="H615" t="str">
        <f>IFERROR(IF(AND(LEN(SUBSTITUTE(SUBSTITUTE(SUBSTITUTE(TRIM(A615&amp;""),CHAR(160),"")," ",""),"년",""))=4,VALUE(SUBSTITUTE(SUBSTITUTE(SUBSTITUTE(TRIM(A615&amp;""),CHAR(160),"")," ",""),"년",""))&gt;=1900,VALUE(SUBSTITUTE(SUBSTITUTE(SUBSTITUTE(TRIM(A615&amp;""),CHAR(160),"")," ",""),"년",""))&lt;=2099,TEXT(VALUE(SUBSTITUTE(SUBSTITUTE(SUBSTITUTE(TRIM(A615&amp;""),CHAR(160),"")," ",""),"년","")),"0000")=SUBSTITUTE(SUBSTITUTE(SUBSTITUTE(TRIM(A615&amp;""),CHAR(160),"")," ",""),"년","")),SUBSTITUTE(SUBSTITUTE(SUBSTITUTE(TRIM(A615&amp;""),CHAR(160),"")," ",""),"년",""),""),"")</f>
      </c>
      <c r="I615" t="str">
        <f>SUBSTITUTE(SUBSTITUTE(SUBSTITUTE(SUBSTITUTE(SUBSTITUTE(TRIM(B615&amp;""),CHAR(160),"")," ",""),"초등학교","초"),"중학교","중"),"고등학교","고")</f>
      </c>
    </row>
    <row r="616" customFormat="false" ht="15" hidden="false" customHeight="false" outlineLevel="0" collapsed="false">
      <c r="A616" s="8"/>
      <c r="B616" s="8"/>
      <c r="C616" s="8"/>
      <c r="D616" s="8"/>
      <c r="E616" s="8"/>
      <c r="F616" t="str" s="15">
        <f aca="0">IF(B616="","",IF(H616="","확인필요(입력누락)",IF(SUMPRODUCT((실물목록!$P$2:$P$1001&lt;&gt;"")*ISNUMBER(SEARCH(실물목록!$P$2:$P$1001,I616))*(실물목록!$Q$2:$Q$1001&lt;&gt;"")*ISNUMBER(SEARCH(실물목록!$Q$2:$Q$1001,I616))*(실물목록!$R$2:$R$1001="")*(실물목록!$O$2:$O$1001&lt;&gt;"")*(실물목록!$O$2:$O$1001=H616))&gt;0,"실물 있음",IF(SUMPRODUCT((실물목록!$P$2:$P$1001&lt;&gt;"")*ISNUMBER(SEARCH(실물목록!$P$2:$P$1001,I616))*(실물목록!$R$2:$R$1001&lt;&gt;""))&gt;0,"확인필요(입력누락)",IF(SUMPRODUCT((실물목록!$P$2:$P$1001&lt;&gt;"")*ISNUMBER(SEARCH(실물목록!$P$2:$P$1001,I616))*(실물목록!$Q$2:$Q$1001&lt;&gt;"")*ISNUMBER(SEARCH(실물목록!$Q$2:$Q$1001,I616))*(실물목록!$R$2:$R$1001="")*(실물목록!$O$2:$O$1001&lt;&gt;""))&gt;0,"확인필요(연도다름)","실물 없음")))))</f>
      </c>
      <c r="G616" t="n" s="16">
        <f aca="0">IF(B616="","",SUMPRODUCT((실물목록!$P$2:$P$1001&lt;&gt;"")*ISNUMBER(SEARCH(실물목록!$P$2:$P$1001,I616))*(실물목록!$Q$2:$Q$1001&lt;&gt;"")*ISNUMBER(SEARCH(실물목록!$Q$2:$Q$1001,I616))*(실물목록!$R$2:$R$1001="")*(실물목록!$O$2:$O$1001&lt;&gt;"")*(실물목록!$O$2:$O$1001=H616)))</f>
      </c>
      <c r="H616" t="str">
        <f>IFERROR(IF(AND(LEN(SUBSTITUTE(SUBSTITUTE(SUBSTITUTE(TRIM(A616&amp;""),CHAR(160),"")," ",""),"년",""))=4,VALUE(SUBSTITUTE(SUBSTITUTE(SUBSTITUTE(TRIM(A616&amp;""),CHAR(160),"")," ",""),"년",""))&gt;=1900,VALUE(SUBSTITUTE(SUBSTITUTE(SUBSTITUTE(TRIM(A616&amp;""),CHAR(160),"")," ",""),"년",""))&lt;=2099,TEXT(VALUE(SUBSTITUTE(SUBSTITUTE(SUBSTITUTE(TRIM(A616&amp;""),CHAR(160),"")," ",""),"년","")),"0000")=SUBSTITUTE(SUBSTITUTE(SUBSTITUTE(TRIM(A616&amp;""),CHAR(160),"")," ",""),"년","")),SUBSTITUTE(SUBSTITUTE(SUBSTITUTE(TRIM(A616&amp;""),CHAR(160),"")," ",""),"년",""),""),"")</f>
      </c>
      <c r="I616" t="str">
        <f>SUBSTITUTE(SUBSTITUTE(SUBSTITUTE(SUBSTITUTE(SUBSTITUTE(TRIM(B616&amp;""),CHAR(160),"")," ",""),"초등학교","초"),"중학교","중"),"고등학교","고")</f>
      </c>
    </row>
    <row r="617" customFormat="false" ht="15" hidden="false" customHeight="false" outlineLevel="0" collapsed="false">
      <c r="A617" s="8"/>
      <c r="B617" s="8"/>
      <c r="C617" s="8"/>
      <c r="D617" s="8"/>
      <c r="E617" s="8"/>
      <c r="F617" t="str" s="15">
        <f aca="0">IF(B617="","",IF(H617="","확인필요(입력누락)",IF(SUMPRODUCT((실물목록!$P$2:$P$1001&lt;&gt;"")*ISNUMBER(SEARCH(실물목록!$P$2:$P$1001,I617))*(실물목록!$Q$2:$Q$1001&lt;&gt;"")*ISNUMBER(SEARCH(실물목록!$Q$2:$Q$1001,I617))*(실물목록!$R$2:$R$1001="")*(실물목록!$O$2:$O$1001&lt;&gt;"")*(실물목록!$O$2:$O$1001=H617))&gt;0,"실물 있음",IF(SUMPRODUCT((실물목록!$P$2:$P$1001&lt;&gt;"")*ISNUMBER(SEARCH(실물목록!$P$2:$P$1001,I617))*(실물목록!$R$2:$R$1001&lt;&gt;""))&gt;0,"확인필요(입력누락)",IF(SUMPRODUCT((실물목록!$P$2:$P$1001&lt;&gt;"")*ISNUMBER(SEARCH(실물목록!$P$2:$P$1001,I617))*(실물목록!$Q$2:$Q$1001&lt;&gt;"")*ISNUMBER(SEARCH(실물목록!$Q$2:$Q$1001,I617))*(실물목록!$R$2:$R$1001="")*(실물목록!$O$2:$O$1001&lt;&gt;""))&gt;0,"확인필요(연도다름)","실물 없음")))))</f>
      </c>
      <c r="G617" t="n" s="16">
        <f aca="0">IF(B617="","",SUMPRODUCT((실물목록!$P$2:$P$1001&lt;&gt;"")*ISNUMBER(SEARCH(실물목록!$P$2:$P$1001,I617))*(실물목록!$Q$2:$Q$1001&lt;&gt;"")*ISNUMBER(SEARCH(실물목록!$Q$2:$Q$1001,I617))*(실물목록!$R$2:$R$1001="")*(실물목록!$O$2:$O$1001&lt;&gt;"")*(실물목록!$O$2:$O$1001=H617)))</f>
      </c>
      <c r="H617" t="str">
        <f>IFERROR(IF(AND(LEN(SUBSTITUTE(SUBSTITUTE(SUBSTITUTE(TRIM(A617&amp;""),CHAR(160),"")," ",""),"년",""))=4,VALUE(SUBSTITUTE(SUBSTITUTE(SUBSTITUTE(TRIM(A617&amp;""),CHAR(160),"")," ",""),"년",""))&gt;=1900,VALUE(SUBSTITUTE(SUBSTITUTE(SUBSTITUTE(TRIM(A617&amp;""),CHAR(160),"")," ",""),"년",""))&lt;=2099,TEXT(VALUE(SUBSTITUTE(SUBSTITUTE(SUBSTITUTE(TRIM(A617&amp;""),CHAR(160),"")," ",""),"년","")),"0000")=SUBSTITUTE(SUBSTITUTE(SUBSTITUTE(TRIM(A617&amp;""),CHAR(160),"")," ",""),"년","")),SUBSTITUTE(SUBSTITUTE(SUBSTITUTE(TRIM(A617&amp;""),CHAR(160),"")," ",""),"년",""),""),"")</f>
      </c>
      <c r="I617" t="str">
        <f>SUBSTITUTE(SUBSTITUTE(SUBSTITUTE(SUBSTITUTE(SUBSTITUTE(TRIM(B617&amp;""),CHAR(160),"")," ",""),"초등학교","초"),"중학교","중"),"고등학교","고")</f>
      </c>
    </row>
    <row r="618" customFormat="false" ht="15" hidden="false" customHeight="false" outlineLevel="0" collapsed="false">
      <c r="A618" s="8"/>
      <c r="B618" s="8"/>
      <c r="C618" s="8"/>
      <c r="D618" s="8"/>
      <c r="E618" s="8"/>
      <c r="F618" t="str" s="15">
        <f aca="0">IF(B618="","",IF(H618="","확인필요(입력누락)",IF(SUMPRODUCT((실물목록!$P$2:$P$1001&lt;&gt;"")*ISNUMBER(SEARCH(실물목록!$P$2:$P$1001,I618))*(실물목록!$Q$2:$Q$1001&lt;&gt;"")*ISNUMBER(SEARCH(실물목록!$Q$2:$Q$1001,I618))*(실물목록!$R$2:$R$1001="")*(실물목록!$O$2:$O$1001&lt;&gt;"")*(실물목록!$O$2:$O$1001=H618))&gt;0,"실물 있음",IF(SUMPRODUCT((실물목록!$P$2:$P$1001&lt;&gt;"")*ISNUMBER(SEARCH(실물목록!$P$2:$P$1001,I618))*(실물목록!$R$2:$R$1001&lt;&gt;""))&gt;0,"확인필요(입력누락)",IF(SUMPRODUCT((실물목록!$P$2:$P$1001&lt;&gt;"")*ISNUMBER(SEARCH(실물목록!$P$2:$P$1001,I618))*(실물목록!$Q$2:$Q$1001&lt;&gt;"")*ISNUMBER(SEARCH(실물목록!$Q$2:$Q$1001,I618))*(실물목록!$R$2:$R$1001="")*(실물목록!$O$2:$O$1001&lt;&gt;""))&gt;0,"확인필요(연도다름)","실물 없음")))))</f>
      </c>
      <c r="G618" t="n" s="16">
        <f aca="0">IF(B618="","",SUMPRODUCT((실물목록!$P$2:$P$1001&lt;&gt;"")*ISNUMBER(SEARCH(실물목록!$P$2:$P$1001,I618))*(실물목록!$Q$2:$Q$1001&lt;&gt;"")*ISNUMBER(SEARCH(실물목록!$Q$2:$Q$1001,I618))*(실물목록!$R$2:$R$1001="")*(실물목록!$O$2:$O$1001&lt;&gt;"")*(실물목록!$O$2:$O$1001=H618)))</f>
      </c>
      <c r="H618" t="str">
        <f>IFERROR(IF(AND(LEN(SUBSTITUTE(SUBSTITUTE(SUBSTITUTE(TRIM(A618&amp;""),CHAR(160),"")," ",""),"년",""))=4,VALUE(SUBSTITUTE(SUBSTITUTE(SUBSTITUTE(TRIM(A618&amp;""),CHAR(160),"")," ",""),"년",""))&gt;=1900,VALUE(SUBSTITUTE(SUBSTITUTE(SUBSTITUTE(TRIM(A618&amp;""),CHAR(160),"")," ",""),"년",""))&lt;=2099,TEXT(VALUE(SUBSTITUTE(SUBSTITUTE(SUBSTITUTE(TRIM(A618&amp;""),CHAR(160),"")," ",""),"년","")),"0000")=SUBSTITUTE(SUBSTITUTE(SUBSTITUTE(TRIM(A618&amp;""),CHAR(160),"")," ",""),"년","")),SUBSTITUTE(SUBSTITUTE(SUBSTITUTE(TRIM(A618&amp;""),CHAR(160),"")," ",""),"년",""),""),"")</f>
      </c>
      <c r="I618" t="str">
        <f>SUBSTITUTE(SUBSTITUTE(SUBSTITUTE(SUBSTITUTE(SUBSTITUTE(TRIM(B618&amp;""),CHAR(160),"")," ",""),"초등학교","초"),"중학교","중"),"고등학교","고")</f>
      </c>
    </row>
    <row r="619" customFormat="false" ht="15" hidden="false" customHeight="false" outlineLevel="0" collapsed="false">
      <c r="A619" s="8"/>
      <c r="B619" s="8"/>
      <c r="C619" s="8"/>
      <c r="D619" s="8"/>
      <c r="E619" s="8"/>
      <c r="F619" t="str" s="15">
        <f aca="0">IF(B619="","",IF(H619="","확인필요(입력누락)",IF(SUMPRODUCT((실물목록!$P$2:$P$1001&lt;&gt;"")*ISNUMBER(SEARCH(실물목록!$P$2:$P$1001,I619))*(실물목록!$Q$2:$Q$1001&lt;&gt;"")*ISNUMBER(SEARCH(실물목록!$Q$2:$Q$1001,I619))*(실물목록!$R$2:$R$1001="")*(실물목록!$O$2:$O$1001&lt;&gt;"")*(실물목록!$O$2:$O$1001=H619))&gt;0,"실물 있음",IF(SUMPRODUCT((실물목록!$P$2:$P$1001&lt;&gt;"")*ISNUMBER(SEARCH(실물목록!$P$2:$P$1001,I619))*(실물목록!$R$2:$R$1001&lt;&gt;""))&gt;0,"확인필요(입력누락)",IF(SUMPRODUCT((실물목록!$P$2:$P$1001&lt;&gt;"")*ISNUMBER(SEARCH(실물목록!$P$2:$P$1001,I619))*(실물목록!$Q$2:$Q$1001&lt;&gt;"")*ISNUMBER(SEARCH(실물목록!$Q$2:$Q$1001,I619))*(실물목록!$R$2:$R$1001="")*(실물목록!$O$2:$O$1001&lt;&gt;""))&gt;0,"확인필요(연도다름)","실물 없음")))))</f>
      </c>
      <c r="G619" t="n" s="16">
        <f aca="0">IF(B619="","",SUMPRODUCT((실물목록!$P$2:$P$1001&lt;&gt;"")*ISNUMBER(SEARCH(실물목록!$P$2:$P$1001,I619))*(실물목록!$Q$2:$Q$1001&lt;&gt;"")*ISNUMBER(SEARCH(실물목록!$Q$2:$Q$1001,I619))*(실물목록!$R$2:$R$1001="")*(실물목록!$O$2:$O$1001&lt;&gt;"")*(실물목록!$O$2:$O$1001=H619)))</f>
      </c>
      <c r="H619" t="str">
        <f>IFERROR(IF(AND(LEN(SUBSTITUTE(SUBSTITUTE(SUBSTITUTE(TRIM(A619&amp;""),CHAR(160),"")," ",""),"년",""))=4,VALUE(SUBSTITUTE(SUBSTITUTE(SUBSTITUTE(TRIM(A619&amp;""),CHAR(160),"")," ",""),"년",""))&gt;=1900,VALUE(SUBSTITUTE(SUBSTITUTE(SUBSTITUTE(TRIM(A619&amp;""),CHAR(160),"")," ",""),"년",""))&lt;=2099,TEXT(VALUE(SUBSTITUTE(SUBSTITUTE(SUBSTITUTE(TRIM(A619&amp;""),CHAR(160),"")," ",""),"년","")),"0000")=SUBSTITUTE(SUBSTITUTE(SUBSTITUTE(TRIM(A619&amp;""),CHAR(160),"")," ",""),"년","")),SUBSTITUTE(SUBSTITUTE(SUBSTITUTE(TRIM(A619&amp;""),CHAR(160),"")," ",""),"년",""),""),"")</f>
      </c>
      <c r="I619" t="str">
        <f>SUBSTITUTE(SUBSTITUTE(SUBSTITUTE(SUBSTITUTE(SUBSTITUTE(TRIM(B619&amp;""),CHAR(160),"")," ",""),"초등학교","초"),"중학교","중"),"고등학교","고")</f>
      </c>
    </row>
    <row r="620" customFormat="false" ht="15" hidden="false" customHeight="false" outlineLevel="0" collapsed="false">
      <c r="A620" s="8"/>
      <c r="B620" s="8"/>
      <c r="C620" s="8"/>
      <c r="D620" s="8"/>
      <c r="E620" s="8"/>
      <c r="F620" t="str" s="15">
        <f aca="0">IF(B620="","",IF(H620="","확인필요(입력누락)",IF(SUMPRODUCT((실물목록!$P$2:$P$1001&lt;&gt;"")*ISNUMBER(SEARCH(실물목록!$P$2:$P$1001,I620))*(실물목록!$Q$2:$Q$1001&lt;&gt;"")*ISNUMBER(SEARCH(실물목록!$Q$2:$Q$1001,I620))*(실물목록!$R$2:$R$1001="")*(실물목록!$O$2:$O$1001&lt;&gt;"")*(실물목록!$O$2:$O$1001=H620))&gt;0,"실물 있음",IF(SUMPRODUCT((실물목록!$P$2:$P$1001&lt;&gt;"")*ISNUMBER(SEARCH(실물목록!$P$2:$P$1001,I620))*(실물목록!$R$2:$R$1001&lt;&gt;""))&gt;0,"확인필요(입력누락)",IF(SUMPRODUCT((실물목록!$P$2:$P$1001&lt;&gt;"")*ISNUMBER(SEARCH(실물목록!$P$2:$P$1001,I620))*(실물목록!$Q$2:$Q$1001&lt;&gt;"")*ISNUMBER(SEARCH(실물목록!$Q$2:$Q$1001,I620))*(실물목록!$R$2:$R$1001="")*(실물목록!$O$2:$O$1001&lt;&gt;""))&gt;0,"확인필요(연도다름)","실물 없음")))))</f>
      </c>
      <c r="G620" t="n" s="16">
        <f aca="0">IF(B620="","",SUMPRODUCT((실물목록!$P$2:$P$1001&lt;&gt;"")*ISNUMBER(SEARCH(실물목록!$P$2:$P$1001,I620))*(실물목록!$Q$2:$Q$1001&lt;&gt;"")*ISNUMBER(SEARCH(실물목록!$Q$2:$Q$1001,I620))*(실물목록!$R$2:$R$1001="")*(실물목록!$O$2:$O$1001&lt;&gt;"")*(실물목록!$O$2:$O$1001=H620)))</f>
      </c>
      <c r="H620" t="str">
        <f>IFERROR(IF(AND(LEN(SUBSTITUTE(SUBSTITUTE(SUBSTITUTE(TRIM(A620&amp;""),CHAR(160),"")," ",""),"년",""))=4,VALUE(SUBSTITUTE(SUBSTITUTE(SUBSTITUTE(TRIM(A620&amp;""),CHAR(160),"")," ",""),"년",""))&gt;=1900,VALUE(SUBSTITUTE(SUBSTITUTE(SUBSTITUTE(TRIM(A620&amp;""),CHAR(160),"")," ",""),"년",""))&lt;=2099,TEXT(VALUE(SUBSTITUTE(SUBSTITUTE(SUBSTITUTE(TRIM(A620&amp;""),CHAR(160),"")," ",""),"년","")),"0000")=SUBSTITUTE(SUBSTITUTE(SUBSTITUTE(TRIM(A620&amp;""),CHAR(160),"")," ",""),"년","")),SUBSTITUTE(SUBSTITUTE(SUBSTITUTE(TRIM(A620&amp;""),CHAR(160),"")," ",""),"년",""),""),"")</f>
      </c>
      <c r="I620" t="str">
        <f>SUBSTITUTE(SUBSTITUTE(SUBSTITUTE(SUBSTITUTE(SUBSTITUTE(TRIM(B620&amp;""),CHAR(160),"")," ",""),"초등학교","초"),"중학교","중"),"고등학교","고")</f>
      </c>
    </row>
    <row r="621" customFormat="false" ht="15" hidden="false" customHeight="false" outlineLevel="0" collapsed="false">
      <c r="A621" s="8"/>
      <c r="B621" s="8"/>
      <c r="C621" s="8"/>
      <c r="D621" s="8"/>
      <c r="E621" s="8"/>
      <c r="F621" t="str" s="15">
        <f aca="0">IF(B621="","",IF(H621="","확인필요(입력누락)",IF(SUMPRODUCT((실물목록!$P$2:$P$1001&lt;&gt;"")*ISNUMBER(SEARCH(실물목록!$P$2:$P$1001,I621))*(실물목록!$Q$2:$Q$1001&lt;&gt;"")*ISNUMBER(SEARCH(실물목록!$Q$2:$Q$1001,I621))*(실물목록!$R$2:$R$1001="")*(실물목록!$O$2:$O$1001&lt;&gt;"")*(실물목록!$O$2:$O$1001=H621))&gt;0,"실물 있음",IF(SUMPRODUCT((실물목록!$P$2:$P$1001&lt;&gt;"")*ISNUMBER(SEARCH(실물목록!$P$2:$P$1001,I621))*(실물목록!$R$2:$R$1001&lt;&gt;""))&gt;0,"확인필요(입력누락)",IF(SUMPRODUCT((실물목록!$P$2:$P$1001&lt;&gt;"")*ISNUMBER(SEARCH(실물목록!$P$2:$P$1001,I621))*(실물목록!$Q$2:$Q$1001&lt;&gt;"")*ISNUMBER(SEARCH(실물목록!$Q$2:$Q$1001,I621))*(실물목록!$R$2:$R$1001="")*(실물목록!$O$2:$O$1001&lt;&gt;""))&gt;0,"확인필요(연도다름)","실물 없음")))))</f>
      </c>
      <c r="G621" t="n" s="16">
        <f aca="0">IF(B621="","",SUMPRODUCT((실물목록!$P$2:$P$1001&lt;&gt;"")*ISNUMBER(SEARCH(실물목록!$P$2:$P$1001,I621))*(실물목록!$Q$2:$Q$1001&lt;&gt;"")*ISNUMBER(SEARCH(실물목록!$Q$2:$Q$1001,I621))*(실물목록!$R$2:$R$1001="")*(실물목록!$O$2:$O$1001&lt;&gt;"")*(실물목록!$O$2:$O$1001=H621)))</f>
      </c>
      <c r="H621" t="str">
        <f>IFERROR(IF(AND(LEN(SUBSTITUTE(SUBSTITUTE(SUBSTITUTE(TRIM(A621&amp;""),CHAR(160),"")," ",""),"년",""))=4,VALUE(SUBSTITUTE(SUBSTITUTE(SUBSTITUTE(TRIM(A621&amp;""),CHAR(160),"")," ",""),"년",""))&gt;=1900,VALUE(SUBSTITUTE(SUBSTITUTE(SUBSTITUTE(TRIM(A621&amp;""),CHAR(160),"")," ",""),"년",""))&lt;=2099,TEXT(VALUE(SUBSTITUTE(SUBSTITUTE(SUBSTITUTE(TRIM(A621&amp;""),CHAR(160),"")," ",""),"년","")),"0000")=SUBSTITUTE(SUBSTITUTE(SUBSTITUTE(TRIM(A621&amp;""),CHAR(160),"")," ",""),"년","")),SUBSTITUTE(SUBSTITUTE(SUBSTITUTE(TRIM(A621&amp;""),CHAR(160),"")," ",""),"년",""),""),"")</f>
      </c>
      <c r="I621" t="str">
        <f>SUBSTITUTE(SUBSTITUTE(SUBSTITUTE(SUBSTITUTE(SUBSTITUTE(TRIM(B621&amp;""),CHAR(160),"")," ",""),"초등학교","초"),"중학교","중"),"고등학교","고")</f>
      </c>
    </row>
    <row r="622" customFormat="false" ht="15" hidden="false" customHeight="false" outlineLevel="0" collapsed="false">
      <c r="A622" s="8"/>
      <c r="B622" s="8"/>
      <c r="C622" s="8"/>
      <c r="D622" s="8"/>
      <c r="E622" s="8"/>
      <c r="F622" t="str" s="15">
        <f aca="0">IF(B622="","",IF(H622="","확인필요(입력누락)",IF(SUMPRODUCT((실물목록!$P$2:$P$1001&lt;&gt;"")*ISNUMBER(SEARCH(실물목록!$P$2:$P$1001,I622))*(실물목록!$Q$2:$Q$1001&lt;&gt;"")*ISNUMBER(SEARCH(실물목록!$Q$2:$Q$1001,I622))*(실물목록!$R$2:$R$1001="")*(실물목록!$O$2:$O$1001&lt;&gt;"")*(실물목록!$O$2:$O$1001=H622))&gt;0,"실물 있음",IF(SUMPRODUCT((실물목록!$P$2:$P$1001&lt;&gt;"")*ISNUMBER(SEARCH(실물목록!$P$2:$P$1001,I622))*(실물목록!$R$2:$R$1001&lt;&gt;""))&gt;0,"확인필요(입력누락)",IF(SUMPRODUCT((실물목록!$P$2:$P$1001&lt;&gt;"")*ISNUMBER(SEARCH(실물목록!$P$2:$P$1001,I622))*(실물목록!$Q$2:$Q$1001&lt;&gt;"")*ISNUMBER(SEARCH(실물목록!$Q$2:$Q$1001,I622))*(실물목록!$R$2:$R$1001="")*(실물목록!$O$2:$O$1001&lt;&gt;""))&gt;0,"확인필요(연도다름)","실물 없음")))))</f>
      </c>
      <c r="G622" t="n" s="16">
        <f aca="0">IF(B622="","",SUMPRODUCT((실물목록!$P$2:$P$1001&lt;&gt;"")*ISNUMBER(SEARCH(실물목록!$P$2:$P$1001,I622))*(실물목록!$Q$2:$Q$1001&lt;&gt;"")*ISNUMBER(SEARCH(실물목록!$Q$2:$Q$1001,I622))*(실물목록!$R$2:$R$1001="")*(실물목록!$O$2:$O$1001&lt;&gt;"")*(실물목록!$O$2:$O$1001=H622)))</f>
      </c>
      <c r="H622" t="str">
        <f>IFERROR(IF(AND(LEN(SUBSTITUTE(SUBSTITUTE(SUBSTITUTE(TRIM(A622&amp;""),CHAR(160),"")," ",""),"년",""))=4,VALUE(SUBSTITUTE(SUBSTITUTE(SUBSTITUTE(TRIM(A622&amp;""),CHAR(160),"")," ",""),"년",""))&gt;=1900,VALUE(SUBSTITUTE(SUBSTITUTE(SUBSTITUTE(TRIM(A622&amp;""),CHAR(160),"")," ",""),"년",""))&lt;=2099,TEXT(VALUE(SUBSTITUTE(SUBSTITUTE(SUBSTITUTE(TRIM(A622&amp;""),CHAR(160),"")," ",""),"년","")),"0000")=SUBSTITUTE(SUBSTITUTE(SUBSTITUTE(TRIM(A622&amp;""),CHAR(160),"")," ",""),"년","")),SUBSTITUTE(SUBSTITUTE(SUBSTITUTE(TRIM(A622&amp;""),CHAR(160),"")," ",""),"년",""),""),"")</f>
      </c>
      <c r="I622" t="str">
        <f>SUBSTITUTE(SUBSTITUTE(SUBSTITUTE(SUBSTITUTE(SUBSTITUTE(TRIM(B622&amp;""),CHAR(160),"")," ",""),"초등학교","초"),"중학교","중"),"고등학교","고")</f>
      </c>
    </row>
    <row r="623" customFormat="false" ht="15" hidden="false" customHeight="false" outlineLevel="0" collapsed="false">
      <c r="A623" s="8"/>
      <c r="B623" s="8"/>
      <c r="C623" s="8"/>
      <c r="D623" s="8"/>
      <c r="E623" s="8"/>
      <c r="F623" t="str" s="15">
        <f aca="0">IF(B623="","",IF(H623="","확인필요(입력누락)",IF(SUMPRODUCT((실물목록!$P$2:$P$1001&lt;&gt;"")*ISNUMBER(SEARCH(실물목록!$P$2:$P$1001,I623))*(실물목록!$Q$2:$Q$1001&lt;&gt;"")*ISNUMBER(SEARCH(실물목록!$Q$2:$Q$1001,I623))*(실물목록!$R$2:$R$1001="")*(실물목록!$O$2:$O$1001&lt;&gt;"")*(실물목록!$O$2:$O$1001=H623))&gt;0,"실물 있음",IF(SUMPRODUCT((실물목록!$P$2:$P$1001&lt;&gt;"")*ISNUMBER(SEARCH(실물목록!$P$2:$P$1001,I623))*(실물목록!$R$2:$R$1001&lt;&gt;""))&gt;0,"확인필요(입력누락)",IF(SUMPRODUCT((실물목록!$P$2:$P$1001&lt;&gt;"")*ISNUMBER(SEARCH(실물목록!$P$2:$P$1001,I623))*(실물목록!$Q$2:$Q$1001&lt;&gt;"")*ISNUMBER(SEARCH(실물목록!$Q$2:$Q$1001,I623))*(실물목록!$R$2:$R$1001="")*(실물목록!$O$2:$O$1001&lt;&gt;""))&gt;0,"확인필요(연도다름)","실물 없음")))))</f>
      </c>
      <c r="G623" t="n" s="16">
        <f aca="0">IF(B623="","",SUMPRODUCT((실물목록!$P$2:$P$1001&lt;&gt;"")*ISNUMBER(SEARCH(실물목록!$P$2:$P$1001,I623))*(실물목록!$Q$2:$Q$1001&lt;&gt;"")*ISNUMBER(SEARCH(실물목록!$Q$2:$Q$1001,I623))*(실물목록!$R$2:$R$1001="")*(실물목록!$O$2:$O$1001&lt;&gt;"")*(실물목록!$O$2:$O$1001=H623)))</f>
      </c>
      <c r="H623" t="str">
        <f>IFERROR(IF(AND(LEN(SUBSTITUTE(SUBSTITUTE(SUBSTITUTE(TRIM(A623&amp;""),CHAR(160),"")," ",""),"년",""))=4,VALUE(SUBSTITUTE(SUBSTITUTE(SUBSTITUTE(TRIM(A623&amp;""),CHAR(160),"")," ",""),"년",""))&gt;=1900,VALUE(SUBSTITUTE(SUBSTITUTE(SUBSTITUTE(TRIM(A623&amp;""),CHAR(160),"")," ",""),"년",""))&lt;=2099,TEXT(VALUE(SUBSTITUTE(SUBSTITUTE(SUBSTITUTE(TRIM(A623&amp;""),CHAR(160),"")," ",""),"년","")),"0000")=SUBSTITUTE(SUBSTITUTE(SUBSTITUTE(TRIM(A623&amp;""),CHAR(160),"")," ",""),"년","")),SUBSTITUTE(SUBSTITUTE(SUBSTITUTE(TRIM(A623&amp;""),CHAR(160),"")," ",""),"년",""),""),"")</f>
      </c>
      <c r="I623" t="str">
        <f>SUBSTITUTE(SUBSTITUTE(SUBSTITUTE(SUBSTITUTE(SUBSTITUTE(TRIM(B623&amp;""),CHAR(160),"")," ",""),"초등학교","초"),"중학교","중"),"고등학교","고")</f>
      </c>
    </row>
    <row r="624" customFormat="false" ht="15" hidden="false" customHeight="false" outlineLevel="0" collapsed="false">
      <c r="A624" s="8"/>
      <c r="B624" s="8"/>
      <c r="C624" s="8"/>
      <c r="D624" s="8"/>
      <c r="E624" s="8"/>
      <c r="F624" t="str" s="15">
        <f aca="0">IF(B624="","",IF(H624="","확인필요(입력누락)",IF(SUMPRODUCT((실물목록!$P$2:$P$1001&lt;&gt;"")*ISNUMBER(SEARCH(실물목록!$P$2:$P$1001,I624))*(실물목록!$Q$2:$Q$1001&lt;&gt;"")*ISNUMBER(SEARCH(실물목록!$Q$2:$Q$1001,I624))*(실물목록!$R$2:$R$1001="")*(실물목록!$O$2:$O$1001&lt;&gt;"")*(실물목록!$O$2:$O$1001=H624))&gt;0,"실물 있음",IF(SUMPRODUCT((실물목록!$P$2:$P$1001&lt;&gt;"")*ISNUMBER(SEARCH(실물목록!$P$2:$P$1001,I624))*(실물목록!$R$2:$R$1001&lt;&gt;""))&gt;0,"확인필요(입력누락)",IF(SUMPRODUCT((실물목록!$P$2:$P$1001&lt;&gt;"")*ISNUMBER(SEARCH(실물목록!$P$2:$P$1001,I624))*(실물목록!$Q$2:$Q$1001&lt;&gt;"")*ISNUMBER(SEARCH(실물목록!$Q$2:$Q$1001,I624))*(실물목록!$R$2:$R$1001="")*(실물목록!$O$2:$O$1001&lt;&gt;""))&gt;0,"확인필요(연도다름)","실물 없음")))))</f>
      </c>
      <c r="G624" t="n" s="16">
        <f aca="0">IF(B624="","",SUMPRODUCT((실물목록!$P$2:$P$1001&lt;&gt;"")*ISNUMBER(SEARCH(실물목록!$P$2:$P$1001,I624))*(실물목록!$Q$2:$Q$1001&lt;&gt;"")*ISNUMBER(SEARCH(실물목록!$Q$2:$Q$1001,I624))*(실물목록!$R$2:$R$1001="")*(실물목록!$O$2:$O$1001&lt;&gt;"")*(실물목록!$O$2:$O$1001=H624)))</f>
      </c>
      <c r="H624" t="str">
        <f>IFERROR(IF(AND(LEN(SUBSTITUTE(SUBSTITUTE(SUBSTITUTE(TRIM(A624&amp;""),CHAR(160),"")," ",""),"년",""))=4,VALUE(SUBSTITUTE(SUBSTITUTE(SUBSTITUTE(TRIM(A624&amp;""),CHAR(160),"")," ",""),"년",""))&gt;=1900,VALUE(SUBSTITUTE(SUBSTITUTE(SUBSTITUTE(TRIM(A624&amp;""),CHAR(160),"")," ",""),"년",""))&lt;=2099,TEXT(VALUE(SUBSTITUTE(SUBSTITUTE(SUBSTITUTE(TRIM(A624&amp;""),CHAR(160),"")," ",""),"년","")),"0000")=SUBSTITUTE(SUBSTITUTE(SUBSTITUTE(TRIM(A624&amp;""),CHAR(160),"")," ",""),"년","")),SUBSTITUTE(SUBSTITUTE(SUBSTITUTE(TRIM(A624&amp;""),CHAR(160),"")," ",""),"년",""),""),"")</f>
      </c>
      <c r="I624" t="str">
        <f>SUBSTITUTE(SUBSTITUTE(SUBSTITUTE(SUBSTITUTE(SUBSTITUTE(TRIM(B624&amp;""),CHAR(160),"")," ",""),"초등학교","초"),"중학교","중"),"고등학교","고")</f>
      </c>
    </row>
    <row r="625" customFormat="false" ht="15" hidden="false" customHeight="false" outlineLevel="0" collapsed="false">
      <c r="A625" s="8"/>
      <c r="B625" s="8"/>
      <c r="C625" s="8"/>
      <c r="D625" s="8"/>
      <c r="E625" s="8"/>
      <c r="F625" t="str" s="15">
        <f aca="0">IF(B625="","",IF(H625="","확인필요(입력누락)",IF(SUMPRODUCT((실물목록!$P$2:$P$1001&lt;&gt;"")*ISNUMBER(SEARCH(실물목록!$P$2:$P$1001,I625))*(실물목록!$Q$2:$Q$1001&lt;&gt;"")*ISNUMBER(SEARCH(실물목록!$Q$2:$Q$1001,I625))*(실물목록!$R$2:$R$1001="")*(실물목록!$O$2:$O$1001&lt;&gt;"")*(실물목록!$O$2:$O$1001=H625))&gt;0,"실물 있음",IF(SUMPRODUCT((실물목록!$P$2:$P$1001&lt;&gt;"")*ISNUMBER(SEARCH(실물목록!$P$2:$P$1001,I625))*(실물목록!$R$2:$R$1001&lt;&gt;""))&gt;0,"확인필요(입력누락)",IF(SUMPRODUCT((실물목록!$P$2:$P$1001&lt;&gt;"")*ISNUMBER(SEARCH(실물목록!$P$2:$P$1001,I625))*(실물목록!$Q$2:$Q$1001&lt;&gt;"")*ISNUMBER(SEARCH(실물목록!$Q$2:$Q$1001,I625))*(실물목록!$R$2:$R$1001="")*(실물목록!$O$2:$O$1001&lt;&gt;""))&gt;0,"확인필요(연도다름)","실물 없음")))))</f>
      </c>
      <c r="G625" t="n" s="16">
        <f aca="0">IF(B625="","",SUMPRODUCT((실물목록!$P$2:$P$1001&lt;&gt;"")*ISNUMBER(SEARCH(실물목록!$P$2:$P$1001,I625))*(실물목록!$Q$2:$Q$1001&lt;&gt;"")*ISNUMBER(SEARCH(실물목록!$Q$2:$Q$1001,I625))*(실물목록!$R$2:$R$1001="")*(실물목록!$O$2:$O$1001&lt;&gt;"")*(실물목록!$O$2:$O$1001=H625)))</f>
      </c>
      <c r="H625" t="str">
        <f>IFERROR(IF(AND(LEN(SUBSTITUTE(SUBSTITUTE(SUBSTITUTE(TRIM(A625&amp;""),CHAR(160),"")," ",""),"년",""))=4,VALUE(SUBSTITUTE(SUBSTITUTE(SUBSTITUTE(TRIM(A625&amp;""),CHAR(160),"")," ",""),"년",""))&gt;=1900,VALUE(SUBSTITUTE(SUBSTITUTE(SUBSTITUTE(TRIM(A625&amp;""),CHAR(160),"")," ",""),"년",""))&lt;=2099,TEXT(VALUE(SUBSTITUTE(SUBSTITUTE(SUBSTITUTE(TRIM(A625&amp;""),CHAR(160),"")," ",""),"년","")),"0000")=SUBSTITUTE(SUBSTITUTE(SUBSTITUTE(TRIM(A625&amp;""),CHAR(160),"")," ",""),"년","")),SUBSTITUTE(SUBSTITUTE(SUBSTITUTE(TRIM(A625&amp;""),CHAR(160),"")," ",""),"년",""),""),"")</f>
      </c>
      <c r="I625" t="str">
        <f>SUBSTITUTE(SUBSTITUTE(SUBSTITUTE(SUBSTITUTE(SUBSTITUTE(TRIM(B625&amp;""),CHAR(160),"")," ",""),"초등학교","초"),"중학교","중"),"고등학교","고")</f>
      </c>
    </row>
    <row r="626" customFormat="false" ht="15" hidden="false" customHeight="false" outlineLevel="0" collapsed="false">
      <c r="A626" s="8"/>
      <c r="B626" s="8"/>
      <c r="C626" s="8"/>
      <c r="D626" s="8"/>
      <c r="E626" s="8"/>
      <c r="F626" t="str" s="15">
        <f aca="0">IF(B626="","",IF(H626="","확인필요(입력누락)",IF(SUMPRODUCT((실물목록!$P$2:$P$1001&lt;&gt;"")*ISNUMBER(SEARCH(실물목록!$P$2:$P$1001,I626))*(실물목록!$Q$2:$Q$1001&lt;&gt;"")*ISNUMBER(SEARCH(실물목록!$Q$2:$Q$1001,I626))*(실물목록!$R$2:$R$1001="")*(실물목록!$O$2:$O$1001&lt;&gt;"")*(실물목록!$O$2:$O$1001=H626))&gt;0,"실물 있음",IF(SUMPRODUCT((실물목록!$P$2:$P$1001&lt;&gt;"")*ISNUMBER(SEARCH(실물목록!$P$2:$P$1001,I626))*(실물목록!$R$2:$R$1001&lt;&gt;""))&gt;0,"확인필요(입력누락)",IF(SUMPRODUCT((실물목록!$P$2:$P$1001&lt;&gt;"")*ISNUMBER(SEARCH(실물목록!$P$2:$P$1001,I626))*(실물목록!$Q$2:$Q$1001&lt;&gt;"")*ISNUMBER(SEARCH(실물목록!$Q$2:$Q$1001,I626))*(실물목록!$R$2:$R$1001="")*(실물목록!$O$2:$O$1001&lt;&gt;""))&gt;0,"확인필요(연도다름)","실물 없음")))))</f>
      </c>
      <c r="G626" t="n" s="16">
        <f aca="0">IF(B626="","",SUMPRODUCT((실물목록!$P$2:$P$1001&lt;&gt;"")*ISNUMBER(SEARCH(실물목록!$P$2:$P$1001,I626))*(실물목록!$Q$2:$Q$1001&lt;&gt;"")*ISNUMBER(SEARCH(실물목록!$Q$2:$Q$1001,I626))*(실물목록!$R$2:$R$1001="")*(실물목록!$O$2:$O$1001&lt;&gt;"")*(실물목록!$O$2:$O$1001=H626)))</f>
      </c>
      <c r="H626" t="str">
        <f>IFERROR(IF(AND(LEN(SUBSTITUTE(SUBSTITUTE(SUBSTITUTE(TRIM(A626&amp;""),CHAR(160),"")," ",""),"년",""))=4,VALUE(SUBSTITUTE(SUBSTITUTE(SUBSTITUTE(TRIM(A626&amp;""),CHAR(160),"")," ",""),"년",""))&gt;=1900,VALUE(SUBSTITUTE(SUBSTITUTE(SUBSTITUTE(TRIM(A626&amp;""),CHAR(160),"")," ",""),"년",""))&lt;=2099,TEXT(VALUE(SUBSTITUTE(SUBSTITUTE(SUBSTITUTE(TRIM(A626&amp;""),CHAR(160),"")," ",""),"년","")),"0000")=SUBSTITUTE(SUBSTITUTE(SUBSTITUTE(TRIM(A626&amp;""),CHAR(160),"")," ",""),"년","")),SUBSTITUTE(SUBSTITUTE(SUBSTITUTE(TRIM(A626&amp;""),CHAR(160),"")," ",""),"년",""),""),"")</f>
      </c>
      <c r="I626" t="str">
        <f>SUBSTITUTE(SUBSTITUTE(SUBSTITUTE(SUBSTITUTE(SUBSTITUTE(TRIM(B626&amp;""),CHAR(160),"")," ",""),"초등학교","초"),"중학교","중"),"고등학교","고")</f>
      </c>
    </row>
    <row r="627" customFormat="false" ht="15" hidden="false" customHeight="false" outlineLevel="0" collapsed="false">
      <c r="A627" s="8"/>
      <c r="B627" s="8"/>
      <c r="C627" s="8"/>
      <c r="D627" s="8"/>
      <c r="E627" s="8"/>
      <c r="F627" t="str" s="15">
        <f aca="0">IF(B627="","",IF(H627="","확인필요(입력누락)",IF(SUMPRODUCT((실물목록!$P$2:$P$1001&lt;&gt;"")*ISNUMBER(SEARCH(실물목록!$P$2:$P$1001,I627))*(실물목록!$Q$2:$Q$1001&lt;&gt;"")*ISNUMBER(SEARCH(실물목록!$Q$2:$Q$1001,I627))*(실물목록!$R$2:$R$1001="")*(실물목록!$O$2:$O$1001&lt;&gt;"")*(실물목록!$O$2:$O$1001=H627))&gt;0,"실물 있음",IF(SUMPRODUCT((실물목록!$P$2:$P$1001&lt;&gt;"")*ISNUMBER(SEARCH(실물목록!$P$2:$P$1001,I627))*(실물목록!$R$2:$R$1001&lt;&gt;""))&gt;0,"확인필요(입력누락)",IF(SUMPRODUCT((실물목록!$P$2:$P$1001&lt;&gt;"")*ISNUMBER(SEARCH(실물목록!$P$2:$P$1001,I627))*(실물목록!$Q$2:$Q$1001&lt;&gt;"")*ISNUMBER(SEARCH(실물목록!$Q$2:$Q$1001,I627))*(실물목록!$R$2:$R$1001="")*(실물목록!$O$2:$O$1001&lt;&gt;""))&gt;0,"확인필요(연도다름)","실물 없음")))))</f>
      </c>
      <c r="G627" t="n" s="16">
        <f aca="0">IF(B627="","",SUMPRODUCT((실물목록!$P$2:$P$1001&lt;&gt;"")*ISNUMBER(SEARCH(실물목록!$P$2:$P$1001,I627))*(실물목록!$Q$2:$Q$1001&lt;&gt;"")*ISNUMBER(SEARCH(실물목록!$Q$2:$Q$1001,I627))*(실물목록!$R$2:$R$1001="")*(실물목록!$O$2:$O$1001&lt;&gt;"")*(실물목록!$O$2:$O$1001=H627)))</f>
      </c>
      <c r="H627" t="str">
        <f>IFERROR(IF(AND(LEN(SUBSTITUTE(SUBSTITUTE(SUBSTITUTE(TRIM(A627&amp;""),CHAR(160),"")," ",""),"년",""))=4,VALUE(SUBSTITUTE(SUBSTITUTE(SUBSTITUTE(TRIM(A627&amp;""),CHAR(160),"")," ",""),"년",""))&gt;=1900,VALUE(SUBSTITUTE(SUBSTITUTE(SUBSTITUTE(TRIM(A627&amp;""),CHAR(160),"")," ",""),"년",""))&lt;=2099,TEXT(VALUE(SUBSTITUTE(SUBSTITUTE(SUBSTITUTE(TRIM(A627&amp;""),CHAR(160),"")," ",""),"년","")),"0000")=SUBSTITUTE(SUBSTITUTE(SUBSTITUTE(TRIM(A627&amp;""),CHAR(160),"")," ",""),"년","")),SUBSTITUTE(SUBSTITUTE(SUBSTITUTE(TRIM(A627&amp;""),CHAR(160),"")," ",""),"년",""),""),"")</f>
      </c>
      <c r="I627" t="str">
        <f>SUBSTITUTE(SUBSTITUTE(SUBSTITUTE(SUBSTITUTE(SUBSTITUTE(TRIM(B627&amp;""),CHAR(160),"")," ",""),"초등학교","초"),"중학교","중"),"고등학교","고")</f>
      </c>
    </row>
    <row r="628" customFormat="false" ht="15" hidden="false" customHeight="false" outlineLevel="0" collapsed="false">
      <c r="A628" s="8"/>
      <c r="B628" s="8"/>
      <c r="C628" s="8"/>
      <c r="D628" s="8"/>
      <c r="E628" s="8"/>
      <c r="F628" t="str" s="15">
        <f aca="0">IF(B628="","",IF(H628="","확인필요(입력누락)",IF(SUMPRODUCT((실물목록!$P$2:$P$1001&lt;&gt;"")*ISNUMBER(SEARCH(실물목록!$P$2:$P$1001,I628))*(실물목록!$Q$2:$Q$1001&lt;&gt;"")*ISNUMBER(SEARCH(실물목록!$Q$2:$Q$1001,I628))*(실물목록!$R$2:$R$1001="")*(실물목록!$O$2:$O$1001&lt;&gt;"")*(실물목록!$O$2:$O$1001=H628))&gt;0,"실물 있음",IF(SUMPRODUCT((실물목록!$P$2:$P$1001&lt;&gt;"")*ISNUMBER(SEARCH(실물목록!$P$2:$P$1001,I628))*(실물목록!$R$2:$R$1001&lt;&gt;""))&gt;0,"확인필요(입력누락)",IF(SUMPRODUCT((실물목록!$P$2:$P$1001&lt;&gt;"")*ISNUMBER(SEARCH(실물목록!$P$2:$P$1001,I628))*(실물목록!$Q$2:$Q$1001&lt;&gt;"")*ISNUMBER(SEARCH(실물목록!$Q$2:$Q$1001,I628))*(실물목록!$R$2:$R$1001="")*(실물목록!$O$2:$O$1001&lt;&gt;""))&gt;0,"확인필요(연도다름)","실물 없음")))))</f>
      </c>
      <c r="G628" t="n" s="16">
        <f aca="0">IF(B628="","",SUMPRODUCT((실물목록!$P$2:$P$1001&lt;&gt;"")*ISNUMBER(SEARCH(실물목록!$P$2:$P$1001,I628))*(실물목록!$Q$2:$Q$1001&lt;&gt;"")*ISNUMBER(SEARCH(실물목록!$Q$2:$Q$1001,I628))*(실물목록!$R$2:$R$1001="")*(실물목록!$O$2:$O$1001&lt;&gt;"")*(실물목록!$O$2:$O$1001=H628)))</f>
      </c>
      <c r="H628" t="str">
        <f>IFERROR(IF(AND(LEN(SUBSTITUTE(SUBSTITUTE(SUBSTITUTE(TRIM(A628&amp;""),CHAR(160),"")," ",""),"년",""))=4,VALUE(SUBSTITUTE(SUBSTITUTE(SUBSTITUTE(TRIM(A628&amp;""),CHAR(160),"")," ",""),"년",""))&gt;=1900,VALUE(SUBSTITUTE(SUBSTITUTE(SUBSTITUTE(TRIM(A628&amp;""),CHAR(160),"")," ",""),"년",""))&lt;=2099,TEXT(VALUE(SUBSTITUTE(SUBSTITUTE(SUBSTITUTE(TRIM(A628&amp;""),CHAR(160),"")," ",""),"년","")),"0000")=SUBSTITUTE(SUBSTITUTE(SUBSTITUTE(TRIM(A628&amp;""),CHAR(160),"")," ",""),"년","")),SUBSTITUTE(SUBSTITUTE(SUBSTITUTE(TRIM(A628&amp;""),CHAR(160),"")," ",""),"년",""),""),"")</f>
      </c>
      <c r="I628" t="str">
        <f>SUBSTITUTE(SUBSTITUTE(SUBSTITUTE(SUBSTITUTE(SUBSTITUTE(TRIM(B628&amp;""),CHAR(160),"")," ",""),"초등학교","초"),"중학교","중"),"고등학교","고")</f>
      </c>
    </row>
    <row r="629" customFormat="false" ht="15" hidden="false" customHeight="false" outlineLevel="0" collapsed="false">
      <c r="A629" s="8"/>
      <c r="B629" s="8"/>
      <c r="C629" s="8"/>
      <c r="D629" s="8"/>
      <c r="E629" s="8"/>
      <c r="F629" t="str" s="15">
        <f aca="0">IF(B629="","",IF(H629="","확인필요(입력누락)",IF(SUMPRODUCT((실물목록!$P$2:$P$1001&lt;&gt;"")*ISNUMBER(SEARCH(실물목록!$P$2:$P$1001,I629))*(실물목록!$Q$2:$Q$1001&lt;&gt;"")*ISNUMBER(SEARCH(실물목록!$Q$2:$Q$1001,I629))*(실물목록!$R$2:$R$1001="")*(실물목록!$O$2:$O$1001&lt;&gt;"")*(실물목록!$O$2:$O$1001=H629))&gt;0,"실물 있음",IF(SUMPRODUCT((실물목록!$P$2:$P$1001&lt;&gt;"")*ISNUMBER(SEARCH(실물목록!$P$2:$P$1001,I629))*(실물목록!$R$2:$R$1001&lt;&gt;""))&gt;0,"확인필요(입력누락)",IF(SUMPRODUCT((실물목록!$P$2:$P$1001&lt;&gt;"")*ISNUMBER(SEARCH(실물목록!$P$2:$P$1001,I629))*(실물목록!$Q$2:$Q$1001&lt;&gt;"")*ISNUMBER(SEARCH(실물목록!$Q$2:$Q$1001,I629))*(실물목록!$R$2:$R$1001="")*(실물목록!$O$2:$O$1001&lt;&gt;""))&gt;0,"확인필요(연도다름)","실물 없음")))))</f>
      </c>
      <c r="G629" t="n" s="16">
        <f aca="0">IF(B629="","",SUMPRODUCT((실물목록!$P$2:$P$1001&lt;&gt;"")*ISNUMBER(SEARCH(실물목록!$P$2:$P$1001,I629))*(실물목록!$Q$2:$Q$1001&lt;&gt;"")*ISNUMBER(SEARCH(실물목록!$Q$2:$Q$1001,I629))*(실물목록!$R$2:$R$1001="")*(실물목록!$O$2:$O$1001&lt;&gt;"")*(실물목록!$O$2:$O$1001=H629)))</f>
      </c>
      <c r="H629" t="str">
        <f>IFERROR(IF(AND(LEN(SUBSTITUTE(SUBSTITUTE(SUBSTITUTE(TRIM(A629&amp;""),CHAR(160),"")," ",""),"년",""))=4,VALUE(SUBSTITUTE(SUBSTITUTE(SUBSTITUTE(TRIM(A629&amp;""),CHAR(160),"")," ",""),"년",""))&gt;=1900,VALUE(SUBSTITUTE(SUBSTITUTE(SUBSTITUTE(TRIM(A629&amp;""),CHAR(160),"")," ",""),"년",""))&lt;=2099,TEXT(VALUE(SUBSTITUTE(SUBSTITUTE(SUBSTITUTE(TRIM(A629&amp;""),CHAR(160),"")," ",""),"년","")),"0000")=SUBSTITUTE(SUBSTITUTE(SUBSTITUTE(TRIM(A629&amp;""),CHAR(160),"")," ",""),"년","")),SUBSTITUTE(SUBSTITUTE(SUBSTITUTE(TRIM(A629&amp;""),CHAR(160),"")," ",""),"년",""),""),"")</f>
      </c>
      <c r="I629" t="str">
        <f>SUBSTITUTE(SUBSTITUTE(SUBSTITUTE(SUBSTITUTE(SUBSTITUTE(TRIM(B629&amp;""),CHAR(160),"")," ",""),"초등학교","초"),"중학교","중"),"고등학교","고")</f>
      </c>
    </row>
    <row r="630" customFormat="false" ht="15" hidden="false" customHeight="false" outlineLevel="0" collapsed="false">
      <c r="A630" s="8"/>
      <c r="B630" s="8"/>
      <c r="C630" s="8"/>
      <c r="D630" s="8"/>
      <c r="E630" s="8"/>
      <c r="F630" t="str" s="15">
        <f aca="0">IF(B630="","",IF(H630="","확인필요(입력누락)",IF(SUMPRODUCT((실물목록!$P$2:$P$1001&lt;&gt;"")*ISNUMBER(SEARCH(실물목록!$P$2:$P$1001,I630))*(실물목록!$Q$2:$Q$1001&lt;&gt;"")*ISNUMBER(SEARCH(실물목록!$Q$2:$Q$1001,I630))*(실물목록!$R$2:$R$1001="")*(실물목록!$O$2:$O$1001&lt;&gt;"")*(실물목록!$O$2:$O$1001=H630))&gt;0,"실물 있음",IF(SUMPRODUCT((실물목록!$P$2:$P$1001&lt;&gt;"")*ISNUMBER(SEARCH(실물목록!$P$2:$P$1001,I630))*(실물목록!$R$2:$R$1001&lt;&gt;""))&gt;0,"확인필요(입력누락)",IF(SUMPRODUCT((실물목록!$P$2:$P$1001&lt;&gt;"")*ISNUMBER(SEARCH(실물목록!$P$2:$P$1001,I630))*(실물목록!$Q$2:$Q$1001&lt;&gt;"")*ISNUMBER(SEARCH(실물목록!$Q$2:$Q$1001,I630))*(실물목록!$R$2:$R$1001="")*(실물목록!$O$2:$O$1001&lt;&gt;""))&gt;0,"확인필요(연도다름)","실물 없음")))))</f>
      </c>
      <c r="G630" t="n" s="16">
        <f aca="0">IF(B630="","",SUMPRODUCT((실물목록!$P$2:$P$1001&lt;&gt;"")*ISNUMBER(SEARCH(실물목록!$P$2:$P$1001,I630))*(실물목록!$Q$2:$Q$1001&lt;&gt;"")*ISNUMBER(SEARCH(실물목록!$Q$2:$Q$1001,I630))*(실물목록!$R$2:$R$1001="")*(실물목록!$O$2:$O$1001&lt;&gt;"")*(실물목록!$O$2:$O$1001=H630)))</f>
      </c>
      <c r="H630" t="str">
        <f>IFERROR(IF(AND(LEN(SUBSTITUTE(SUBSTITUTE(SUBSTITUTE(TRIM(A630&amp;""),CHAR(160),"")," ",""),"년",""))=4,VALUE(SUBSTITUTE(SUBSTITUTE(SUBSTITUTE(TRIM(A630&amp;""),CHAR(160),"")," ",""),"년",""))&gt;=1900,VALUE(SUBSTITUTE(SUBSTITUTE(SUBSTITUTE(TRIM(A630&amp;""),CHAR(160),"")," ",""),"년",""))&lt;=2099,TEXT(VALUE(SUBSTITUTE(SUBSTITUTE(SUBSTITUTE(TRIM(A630&amp;""),CHAR(160),"")," ",""),"년","")),"0000")=SUBSTITUTE(SUBSTITUTE(SUBSTITUTE(TRIM(A630&amp;""),CHAR(160),"")," ",""),"년","")),SUBSTITUTE(SUBSTITUTE(SUBSTITUTE(TRIM(A630&amp;""),CHAR(160),"")," ",""),"년",""),""),"")</f>
      </c>
      <c r="I630" t="str">
        <f>SUBSTITUTE(SUBSTITUTE(SUBSTITUTE(SUBSTITUTE(SUBSTITUTE(TRIM(B630&amp;""),CHAR(160),"")," ",""),"초등학교","초"),"중학교","중"),"고등학교","고")</f>
      </c>
    </row>
    <row r="631" customFormat="false" ht="15" hidden="false" customHeight="false" outlineLevel="0" collapsed="false">
      <c r="A631" s="8"/>
      <c r="B631" s="8"/>
      <c r="C631" s="8"/>
      <c r="D631" s="8"/>
      <c r="E631" s="8"/>
      <c r="F631" t="str" s="15">
        <f aca="0">IF(B631="","",IF(H631="","확인필요(입력누락)",IF(SUMPRODUCT((실물목록!$P$2:$P$1001&lt;&gt;"")*ISNUMBER(SEARCH(실물목록!$P$2:$P$1001,I631))*(실물목록!$Q$2:$Q$1001&lt;&gt;"")*ISNUMBER(SEARCH(실물목록!$Q$2:$Q$1001,I631))*(실물목록!$R$2:$R$1001="")*(실물목록!$O$2:$O$1001&lt;&gt;"")*(실물목록!$O$2:$O$1001=H631))&gt;0,"실물 있음",IF(SUMPRODUCT((실물목록!$P$2:$P$1001&lt;&gt;"")*ISNUMBER(SEARCH(실물목록!$P$2:$P$1001,I631))*(실물목록!$R$2:$R$1001&lt;&gt;""))&gt;0,"확인필요(입력누락)",IF(SUMPRODUCT((실물목록!$P$2:$P$1001&lt;&gt;"")*ISNUMBER(SEARCH(실물목록!$P$2:$P$1001,I631))*(실물목록!$Q$2:$Q$1001&lt;&gt;"")*ISNUMBER(SEARCH(실물목록!$Q$2:$Q$1001,I631))*(실물목록!$R$2:$R$1001="")*(실물목록!$O$2:$O$1001&lt;&gt;""))&gt;0,"확인필요(연도다름)","실물 없음")))))</f>
      </c>
      <c r="G631" t="n" s="16">
        <f aca="0">IF(B631="","",SUMPRODUCT((실물목록!$P$2:$P$1001&lt;&gt;"")*ISNUMBER(SEARCH(실물목록!$P$2:$P$1001,I631))*(실물목록!$Q$2:$Q$1001&lt;&gt;"")*ISNUMBER(SEARCH(실물목록!$Q$2:$Q$1001,I631))*(실물목록!$R$2:$R$1001="")*(실물목록!$O$2:$O$1001&lt;&gt;"")*(실물목록!$O$2:$O$1001=H631)))</f>
      </c>
      <c r="H631" t="str">
        <f>IFERROR(IF(AND(LEN(SUBSTITUTE(SUBSTITUTE(SUBSTITUTE(TRIM(A631&amp;""),CHAR(160),"")," ",""),"년",""))=4,VALUE(SUBSTITUTE(SUBSTITUTE(SUBSTITUTE(TRIM(A631&amp;""),CHAR(160),"")," ",""),"년",""))&gt;=1900,VALUE(SUBSTITUTE(SUBSTITUTE(SUBSTITUTE(TRIM(A631&amp;""),CHAR(160),"")," ",""),"년",""))&lt;=2099,TEXT(VALUE(SUBSTITUTE(SUBSTITUTE(SUBSTITUTE(TRIM(A631&amp;""),CHAR(160),"")," ",""),"년","")),"0000")=SUBSTITUTE(SUBSTITUTE(SUBSTITUTE(TRIM(A631&amp;""),CHAR(160),"")," ",""),"년","")),SUBSTITUTE(SUBSTITUTE(SUBSTITUTE(TRIM(A631&amp;""),CHAR(160),"")," ",""),"년",""),""),"")</f>
      </c>
      <c r="I631" t="str">
        <f>SUBSTITUTE(SUBSTITUTE(SUBSTITUTE(SUBSTITUTE(SUBSTITUTE(TRIM(B631&amp;""),CHAR(160),"")," ",""),"초등학교","초"),"중학교","중"),"고등학교","고")</f>
      </c>
    </row>
    <row r="632" customFormat="false" ht="15" hidden="false" customHeight="false" outlineLevel="0" collapsed="false">
      <c r="A632" s="8"/>
      <c r="B632" s="8"/>
      <c r="C632" s="8"/>
      <c r="D632" s="8"/>
      <c r="E632" s="8"/>
      <c r="F632" t="str" s="15">
        <f aca="0">IF(B632="","",IF(H632="","확인필요(입력누락)",IF(SUMPRODUCT((실물목록!$P$2:$P$1001&lt;&gt;"")*ISNUMBER(SEARCH(실물목록!$P$2:$P$1001,I632))*(실물목록!$Q$2:$Q$1001&lt;&gt;"")*ISNUMBER(SEARCH(실물목록!$Q$2:$Q$1001,I632))*(실물목록!$R$2:$R$1001="")*(실물목록!$O$2:$O$1001&lt;&gt;"")*(실물목록!$O$2:$O$1001=H632))&gt;0,"실물 있음",IF(SUMPRODUCT((실물목록!$P$2:$P$1001&lt;&gt;"")*ISNUMBER(SEARCH(실물목록!$P$2:$P$1001,I632))*(실물목록!$R$2:$R$1001&lt;&gt;""))&gt;0,"확인필요(입력누락)",IF(SUMPRODUCT((실물목록!$P$2:$P$1001&lt;&gt;"")*ISNUMBER(SEARCH(실물목록!$P$2:$P$1001,I632))*(실물목록!$Q$2:$Q$1001&lt;&gt;"")*ISNUMBER(SEARCH(실물목록!$Q$2:$Q$1001,I632))*(실물목록!$R$2:$R$1001="")*(실물목록!$O$2:$O$1001&lt;&gt;""))&gt;0,"확인필요(연도다름)","실물 없음")))))</f>
      </c>
      <c r="G632" t="n" s="16">
        <f aca="0">IF(B632="","",SUMPRODUCT((실물목록!$P$2:$P$1001&lt;&gt;"")*ISNUMBER(SEARCH(실물목록!$P$2:$P$1001,I632))*(실물목록!$Q$2:$Q$1001&lt;&gt;"")*ISNUMBER(SEARCH(실물목록!$Q$2:$Q$1001,I632))*(실물목록!$R$2:$R$1001="")*(실물목록!$O$2:$O$1001&lt;&gt;"")*(실물목록!$O$2:$O$1001=H632)))</f>
      </c>
      <c r="H632" t="str">
        <f>IFERROR(IF(AND(LEN(SUBSTITUTE(SUBSTITUTE(SUBSTITUTE(TRIM(A632&amp;""),CHAR(160),"")," ",""),"년",""))=4,VALUE(SUBSTITUTE(SUBSTITUTE(SUBSTITUTE(TRIM(A632&amp;""),CHAR(160),"")," ",""),"년",""))&gt;=1900,VALUE(SUBSTITUTE(SUBSTITUTE(SUBSTITUTE(TRIM(A632&amp;""),CHAR(160),"")," ",""),"년",""))&lt;=2099,TEXT(VALUE(SUBSTITUTE(SUBSTITUTE(SUBSTITUTE(TRIM(A632&amp;""),CHAR(160),"")," ",""),"년","")),"0000")=SUBSTITUTE(SUBSTITUTE(SUBSTITUTE(TRIM(A632&amp;""),CHAR(160),"")," ",""),"년","")),SUBSTITUTE(SUBSTITUTE(SUBSTITUTE(TRIM(A632&amp;""),CHAR(160),"")," ",""),"년",""),""),"")</f>
      </c>
      <c r="I632" t="str">
        <f>SUBSTITUTE(SUBSTITUTE(SUBSTITUTE(SUBSTITUTE(SUBSTITUTE(TRIM(B632&amp;""),CHAR(160),"")," ",""),"초등학교","초"),"중학교","중"),"고등학교","고")</f>
      </c>
    </row>
    <row r="633" customFormat="false" ht="15" hidden="false" customHeight="false" outlineLevel="0" collapsed="false">
      <c r="A633" s="8"/>
      <c r="B633" s="8"/>
      <c r="C633" s="8"/>
      <c r="D633" s="8"/>
      <c r="E633" s="8"/>
      <c r="F633" t="str" s="15">
        <f aca="0">IF(B633="","",IF(H633="","확인필요(입력누락)",IF(SUMPRODUCT((실물목록!$P$2:$P$1001&lt;&gt;"")*ISNUMBER(SEARCH(실물목록!$P$2:$P$1001,I633))*(실물목록!$Q$2:$Q$1001&lt;&gt;"")*ISNUMBER(SEARCH(실물목록!$Q$2:$Q$1001,I633))*(실물목록!$R$2:$R$1001="")*(실물목록!$O$2:$O$1001&lt;&gt;"")*(실물목록!$O$2:$O$1001=H633))&gt;0,"실물 있음",IF(SUMPRODUCT((실물목록!$P$2:$P$1001&lt;&gt;"")*ISNUMBER(SEARCH(실물목록!$P$2:$P$1001,I633))*(실물목록!$R$2:$R$1001&lt;&gt;""))&gt;0,"확인필요(입력누락)",IF(SUMPRODUCT((실물목록!$P$2:$P$1001&lt;&gt;"")*ISNUMBER(SEARCH(실물목록!$P$2:$P$1001,I633))*(실물목록!$Q$2:$Q$1001&lt;&gt;"")*ISNUMBER(SEARCH(실물목록!$Q$2:$Q$1001,I633))*(실물목록!$R$2:$R$1001="")*(실물목록!$O$2:$O$1001&lt;&gt;""))&gt;0,"확인필요(연도다름)","실물 없음")))))</f>
      </c>
      <c r="G633" t="n" s="16">
        <f aca="0">IF(B633="","",SUMPRODUCT((실물목록!$P$2:$P$1001&lt;&gt;"")*ISNUMBER(SEARCH(실물목록!$P$2:$P$1001,I633))*(실물목록!$Q$2:$Q$1001&lt;&gt;"")*ISNUMBER(SEARCH(실물목록!$Q$2:$Q$1001,I633))*(실물목록!$R$2:$R$1001="")*(실물목록!$O$2:$O$1001&lt;&gt;"")*(실물목록!$O$2:$O$1001=H633)))</f>
      </c>
      <c r="H633" t="str">
        <f>IFERROR(IF(AND(LEN(SUBSTITUTE(SUBSTITUTE(SUBSTITUTE(TRIM(A633&amp;""),CHAR(160),"")," ",""),"년",""))=4,VALUE(SUBSTITUTE(SUBSTITUTE(SUBSTITUTE(TRIM(A633&amp;""),CHAR(160),"")," ",""),"년",""))&gt;=1900,VALUE(SUBSTITUTE(SUBSTITUTE(SUBSTITUTE(TRIM(A633&amp;""),CHAR(160),"")," ",""),"년",""))&lt;=2099,TEXT(VALUE(SUBSTITUTE(SUBSTITUTE(SUBSTITUTE(TRIM(A633&amp;""),CHAR(160),"")," ",""),"년","")),"0000")=SUBSTITUTE(SUBSTITUTE(SUBSTITUTE(TRIM(A633&amp;""),CHAR(160),"")," ",""),"년","")),SUBSTITUTE(SUBSTITUTE(SUBSTITUTE(TRIM(A633&amp;""),CHAR(160),"")," ",""),"년",""),""),"")</f>
      </c>
      <c r="I633" t="str">
        <f>SUBSTITUTE(SUBSTITUTE(SUBSTITUTE(SUBSTITUTE(SUBSTITUTE(TRIM(B633&amp;""),CHAR(160),"")," ",""),"초등학교","초"),"중학교","중"),"고등학교","고")</f>
      </c>
    </row>
    <row r="634" customFormat="false" ht="15" hidden="false" customHeight="false" outlineLevel="0" collapsed="false">
      <c r="A634" s="8"/>
      <c r="B634" s="8"/>
      <c r="C634" s="8"/>
      <c r="D634" s="8"/>
      <c r="E634" s="8"/>
      <c r="F634" t="str" s="15">
        <f aca="0">IF(B634="","",IF(H634="","확인필요(입력누락)",IF(SUMPRODUCT((실물목록!$P$2:$P$1001&lt;&gt;"")*ISNUMBER(SEARCH(실물목록!$P$2:$P$1001,I634))*(실물목록!$Q$2:$Q$1001&lt;&gt;"")*ISNUMBER(SEARCH(실물목록!$Q$2:$Q$1001,I634))*(실물목록!$R$2:$R$1001="")*(실물목록!$O$2:$O$1001&lt;&gt;"")*(실물목록!$O$2:$O$1001=H634))&gt;0,"실물 있음",IF(SUMPRODUCT((실물목록!$P$2:$P$1001&lt;&gt;"")*ISNUMBER(SEARCH(실물목록!$P$2:$P$1001,I634))*(실물목록!$R$2:$R$1001&lt;&gt;""))&gt;0,"확인필요(입력누락)",IF(SUMPRODUCT((실물목록!$P$2:$P$1001&lt;&gt;"")*ISNUMBER(SEARCH(실물목록!$P$2:$P$1001,I634))*(실물목록!$Q$2:$Q$1001&lt;&gt;"")*ISNUMBER(SEARCH(실물목록!$Q$2:$Q$1001,I634))*(실물목록!$R$2:$R$1001="")*(실물목록!$O$2:$O$1001&lt;&gt;""))&gt;0,"확인필요(연도다름)","실물 없음")))))</f>
      </c>
      <c r="G634" t="n" s="16">
        <f aca="0">IF(B634="","",SUMPRODUCT((실물목록!$P$2:$P$1001&lt;&gt;"")*ISNUMBER(SEARCH(실물목록!$P$2:$P$1001,I634))*(실물목록!$Q$2:$Q$1001&lt;&gt;"")*ISNUMBER(SEARCH(실물목록!$Q$2:$Q$1001,I634))*(실물목록!$R$2:$R$1001="")*(실물목록!$O$2:$O$1001&lt;&gt;"")*(실물목록!$O$2:$O$1001=H634)))</f>
      </c>
      <c r="H634" t="str">
        <f>IFERROR(IF(AND(LEN(SUBSTITUTE(SUBSTITUTE(SUBSTITUTE(TRIM(A634&amp;""),CHAR(160),"")," ",""),"년",""))=4,VALUE(SUBSTITUTE(SUBSTITUTE(SUBSTITUTE(TRIM(A634&amp;""),CHAR(160),"")," ",""),"년",""))&gt;=1900,VALUE(SUBSTITUTE(SUBSTITUTE(SUBSTITUTE(TRIM(A634&amp;""),CHAR(160),"")," ",""),"년",""))&lt;=2099,TEXT(VALUE(SUBSTITUTE(SUBSTITUTE(SUBSTITUTE(TRIM(A634&amp;""),CHAR(160),"")," ",""),"년","")),"0000")=SUBSTITUTE(SUBSTITUTE(SUBSTITUTE(TRIM(A634&amp;""),CHAR(160),"")," ",""),"년","")),SUBSTITUTE(SUBSTITUTE(SUBSTITUTE(TRIM(A634&amp;""),CHAR(160),"")," ",""),"년",""),""),"")</f>
      </c>
      <c r="I634" t="str">
        <f>SUBSTITUTE(SUBSTITUTE(SUBSTITUTE(SUBSTITUTE(SUBSTITUTE(TRIM(B634&amp;""),CHAR(160),"")," ",""),"초등학교","초"),"중학교","중"),"고등학교","고")</f>
      </c>
    </row>
    <row r="635" customFormat="false" ht="15" hidden="false" customHeight="false" outlineLevel="0" collapsed="false">
      <c r="A635" s="8"/>
      <c r="B635" s="8"/>
      <c r="C635" s="8"/>
      <c r="D635" s="8"/>
      <c r="E635" s="8"/>
      <c r="F635" t="str" s="15">
        <f aca="0">IF(B635="","",IF(H635="","확인필요(입력누락)",IF(SUMPRODUCT((실물목록!$P$2:$P$1001&lt;&gt;"")*ISNUMBER(SEARCH(실물목록!$P$2:$P$1001,I635))*(실물목록!$Q$2:$Q$1001&lt;&gt;"")*ISNUMBER(SEARCH(실물목록!$Q$2:$Q$1001,I635))*(실물목록!$R$2:$R$1001="")*(실물목록!$O$2:$O$1001&lt;&gt;"")*(실물목록!$O$2:$O$1001=H635))&gt;0,"실물 있음",IF(SUMPRODUCT((실물목록!$P$2:$P$1001&lt;&gt;"")*ISNUMBER(SEARCH(실물목록!$P$2:$P$1001,I635))*(실물목록!$R$2:$R$1001&lt;&gt;""))&gt;0,"확인필요(입력누락)",IF(SUMPRODUCT((실물목록!$P$2:$P$1001&lt;&gt;"")*ISNUMBER(SEARCH(실물목록!$P$2:$P$1001,I635))*(실물목록!$Q$2:$Q$1001&lt;&gt;"")*ISNUMBER(SEARCH(실물목록!$Q$2:$Q$1001,I635))*(실물목록!$R$2:$R$1001="")*(실물목록!$O$2:$O$1001&lt;&gt;""))&gt;0,"확인필요(연도다름)","실물 없음")))))</f>
      </c>
      <c r="G635" t="n" s="16">
        <f aca="0">IF(B635="","",SUMPRODUCT((실물목록!$P$2:$P$1001&lt;&gt;"")*ISNUMBER(SEARCH(실물목록!$P$2:$P$1001,I635))*(실물목록!$Q$2:$Q$1001&lt;&gt;"")*ISNUMBER(SEARCH(실물목록!$Q$2:$Q$1001,I635))*(실물목록!$R$2:$R$1001="")*(실물목록!$O$2:$O$1001&lt;&gt;"")*(실물목록!$O$2:$O$1001=H635)))</f>
      </c>
      <c r="H635" t="str">
        <f>IFERROR(IF(AND(LEN(SUBSTITUTE(SUBSTITUTE(SUBSTITUTE(TRIM(A635&amp;""),CHAR(160),"")," ",""),"년",""))=4,VALUE(SUBSTITUTE(SUBSTITUTE(SUBSTITUTE(TRIM(A635&amp;""),CHAR(160),"")," ",""),"년",""))&gt;=1900,VALUE(SUBSTITUTE(SUBSTITUTE(SUBSTITUTE(TRIM(A635&amp;""),CHAR(160),"")," ",""),"년",""))&lt;=2099,TEXT(VALUE(SUBSTITUTE(SUBSTITUTE(SUBSTITUTE(TRIM(A635&amp;""),CHAR(160),"")," ",""),"년","")),"0000")=SUBSTITUTE(SUBSTITUTE(SUBSTITUTE(TRIM(A635&amp;""),CHAR(160),"")," ",""),"년","")),SUBSTITUTE(SUBSTITUTE(SUBSTITUTE(TRIM(A635&amp;""),CHAR(160),"")," ",""),"년",""),""),"")</f>
      </c>
      <c r="I635" t="str">
        <f>SUBSTITUTE(SUBSTITUTE(SUBSTITUTE(SUBSTITUTE(SUBSTITUTE(TRIM(B635&amp;""),CHAR(160),"")," ",""),"초등학교","초"),"중학교","중"),"고등학교","고")</f>
      </c>
    </row>
    <row r="636" customFormat="false" ht="15" hidden="false" customHeight="false" outlineLevel="0" collapsed="false">
      <c r="A636" s="8"/>
      <c r="B636" s="8"/>
      <c r="C636" s="8"/>
      <c r="D636" s="8"/>
      <c r="E636" s="8"/>
      <c r="F636" t="str" s="15">
        <f aca="0">IF(B636="","",IF(H636="","확인필요(입력누락)",IF(SUMPRODUCT((실물목록!$P$2:$P$1001&lt;&gt;"")*ISNUMBER(SEARCH(실물목록!$P$2:$P$1001,I636))*(실물목록!$Q$2:$Q$1001&lt;&gt;"")*ISNUMBER(SEARCH(실물목록!$Q$2:$Q$1001,I636))*(실물목록!$R$2:$R$1001="")*(실물목록!$O$2:$O$1001&lt;&gt;"")*(실물목록!$O$2:$O$1001=H636))&gt;0,"실물 있음",IF(SUMPRODUCT((실물목록!$P$2:$P$1001&lt;&gt;"")*ISNUMBER(SEARCH(실물목록!$P$2:$P$1001,I636))*(실물목록!$R$2:$R$1001&lt;&gt;""))&gt;0,"확인필요(입력누락)",IF(SUMPRODUCT((실물목록!$P$2:$P$1001&lt;&gt;"")*ISNUMBER(SEARCH(실물목록!$P$2:$P$1001,I636))*(실물목록!$Q$2:$Q$1001&lt;&gt;"")*ISNUMBER(SEARCH(실물목록!$Q$2:$Q$1001,I636))*(실물목록!$R$2:$R$1001="")*(실물목록!$O$2:$O$1001&lt;&gt;""))&gt;0,"확인필요(연도다름)","실물 없음")))))</f>
      </c>
      <c r="G636" t="n" s="16">
        <f aca="0">IF(B636="","",SUMPRODUCT((실물목록!$P$2:$P$1001&lt;&gt;"")*ISNUMBER(SEARCH(실물목록!$P$2:$P$1001,I636))*(실물목록!$Q$2:$Q$1001&lt;&gt;"")*ISNUMBER(SEARCH(실물목록!$Q$2:$Q$1001,I636))*(실물목록!$R$2:$R$1001="")*(실물목록!$O$2:$O$1001&lt;&gt;"")*(실물목록!$O$2:$O$1001=H636)))</f>
      </c>
      <c r="H636" t="str">
        <f>IFERROR(IF(AND(LEN(SUBSTITUTE(SUBSTITUTE(SUBSTITUTE(TRIM(A636&amp;""),CHAR(160),"")," ",""),"년",""))=4,VALUE(SUBSTITUTE(SUBSTITUTE(SUBSTITUTE(TRIM(A636&amp;""),CHAR(160),"")," ",""),"년",""))&gt;=1900,VALUE(SUBSTITUTE(SUBSTITUTE(SUBSTITUTE(TRIM(A636&amp;""),CHAR(160),"")," ",""),"년",""))&lt;=2099,TEXT(VALUE(SUBSTITUTE(SUBSTITUTE(SUBSTITUTE(TRIM(A636&amp;""),CHAR(160),"")," ",""),"년","")),"0000")=SUBSTITUTE(SUBSTITUTE(SUBSTITUTE(TRIM(A636&amp;""),CHAR(160),"")," ",""),"년","")),SUBSTITUTE(SUBSTITUTE(SUBSTITUTE(TRIM(A636&amp;""),CHAR(160),"")," ",""),"년",""),""),"")</f>
      </c>
      <c r="I636" t="str">
        <f>SUBSTITUTE(SUBSTITUTE(SUBSTITUTE(SUBSTITUTE(SUBSTITUTE(TRIM(B636&amp;""),CHAR(160),"")," ",""),"초등학교","초"),"중학교","중"),"고등학교","고")</f>
      </c>
    </row>
    <row r="637" customFormat="false" ht="15" hidden="false" customHeight="false" outlineLevel="0" collapsed="false">
      <c r="A637" s="8"/>
      <c r="B637" s="8"/>
      <c r="C637" s="8"/>
      <c r="D637" s="8"/>
      <c r="E637" s="8"/>
      <c r="F637" t="str" s="15">
        <f aca="0">IF(B637="","",IF(H637="","확인필요(입력누락)",IF(SUMPRODUCT((실물목록!$P$2:$P$1001&lt;&gt;"")*ISNUMBER(SEARCH(실물목록!$P$2:$P$1001,I637))*(실물목록!$Q$2:$Q$1001&lt;&gt;"")*ISNUMBER(SEARCH(실물목록!$Q$2:$Q$1001,I637))*(실물목록!$R$2:$R$1001="")*(실물목록!$O$2:$O$1001&lt;&gt;"")*(실물목록!$O$2:$O$1001=H637))&gt;0,"실물 있음",IF(SUMPRODUCT((실물목록!$P$2:$P$1001&lt;&gt;"")*ISNUMBER(SEARCH(실물목록!$P$2:$P$1001,I637))*(실물목록!$R$2:$R$1001&lt;&gt;""))&gt;0,"확인필요(입력누락)",IF(SUMPRODUCT((실물목록!$P$2:$P$1001&lt;&gt;"")*ISNUMBER(SEARCH(실물목록!$P$2:$P$1001,I637))*(실물목록!$Q$2:$Q$1001&lt;&gt;"")*ISNUMBER(SEARCH(실물목록!$Q$2:$Q$1001,I637))*(실물목록!$R$2:$R$1001="")*(실물목록!$O$2:$O$1001&lt;&gt;""))&gt;0,"확인필요(연도다름)","실물 없음")))))</f>
      </c>
      <c r="G637" t="n" s="16">
        <f aca="0">IF(B637="","",SUMPRODUCT((실물목록!$P$2:$P$1001&lt;&gt;"")*ISNUMBER(SEARCH(실물목록!$P$2:$P$1001,I637))*(실물목록!$Q$2:$Q$1001&lt;&gt;"")*ISNUMBER(SEARCH(실물목록!$Q$2:$Q$1001,I637))*(실물목록!$R$2:$R$1001="")*(실물목록!$O$2:$O$1001&lt;&gt;"")*(실물목록!$O$2:$O$1001=H637)))</f>
      </c>
      <c r="H637" t="str">
        <f>IFERROR(IF(AND(LEN(SUBSTITUTE(SUBSTITUTE(SUBSTITUTE(TRIM(A637&amp;""),CHAR(160),"")," ",""),"년",""))=4,VALUE(SUBSTITUTE(SUBSTITUTE(SUBSTITUTE(TRIM(A637&amp;""),CHAR(160),"")," ",""),"년",""))&gt;=1900,VALUE(SUBSTITUTE(SUBSTITUTE(SUBSTITUTE(TRIM(A637&amp;""),CHAR(160),"")," ",""),"년",""))&lt;=2099,TEXT(VALUE(SUBSTITUTE(SUBSTITUTE(SUBSTITUTE(TRIM(A637&amp;""),CHAR(160),"")," ",""),"년","")),"0000")=SUBSTITUTE(SUBSTITUTE(SUBSTITUTE(TRIM(A637&amp;""),CHAR(160),"")," ",""),"년","")),SUBSTITUTE(SUBSTITUTE(SUBSTITUTE(TRIM(A637&amp;""),CHAR(160),"")," ",""),"년",""),""),"")</f>
      </c>
      <c r="I637" t="str">
        <f>SUBSTITUTE(SUBSTITUTE(SUBSTITUTE(SUBSTITUTE(SUBSTITUTE(TRIM(B637&amp;""),CHAR(160),"")," ",""),"초등학교","초"),"중학교","중"),"고등학교","고")</f>
      </c>
    </row>
    <row r="638" customFormat="false" ht="15" hidden="false" customHeight="false" outlineLevel="0" collapsed="false">
      <c r="A638" s="8"/>
      <c r="B638" s="8"/>
      <c r="C638" s="8"/>
      <c r="D638" s="8"/>
      <c r="E638" s="8"/>
      <c r="F638" t="str" s="15">
        <f aca="0">IF(B638="","",IF(H638="","확인필요(입력누락)",IF(SUMPRODUCT((실물목록!$P$2:$P$1001&lt;&gt;"")*ISNUMBER(SEARCH(실물목록!$P$2:$P$1001,I638))*(실물목록!$Q$2:$Q$1001&lt;&gt;"")*ISNUMBER(SEARCH(실물목록!$Q$2:$Q$1001,I638))*(실물목록!$R$2:$R$1001="")*(실물목록!$O$2:$O$1001&lt;&gt;"")*(실물목록!$O$2:$O$1001=H638))&gt;0,"실물 있음",IF(SUMPRODUCT((실물목록!$P$2:$P$1001&lt;&gt;"")*ISNUMBER(SEARCH(실물목록!$P$2:$P$1001,I638))*(실물목록!$R$2:$R$1001&lt;&gt;""))&gt;0,"확인필요(입력누락)",IF(SUMPRODUCT((실물목록!$P$2:$P$1001&lt;&gt;"")*ISNUMBER(SEARCH(실물목록!$P$2:$P$1001,I638))*(실물목록!$Q$2:$Q$1001&lt;&gt;"")*ISNUMBER(SEARCH(실물목록!$Q$2:$Q$1001,I638))*(실물목록!$R$2:$R$1001="")*(실물목록!$O$2:$O$1001&lt;&gt;""))&gt;0,"확인필요(연도다름)","실물 없음")))))</f>
      </c>
      <c r="G638" t="n" s="16">
        <f aca="0">IF(B638="","",SUMPRODUCT((실물목록!$P$2:$P$1001&lt;&gt;"")*ISNUMBER(SEARCH(실물목록!$P$2:$P$1001,I638))*(실물목록!$Q$2:$Q$1001&lt;&gt;"")*ISNUMBER(SEARCH(실물목록!$Q$2:$Q$1001,I638))*(실물목록!$R$2:$R$1001="")*(실물목록!$O$2:$O$1001&lt;&gt;"")*(실물목록!$O$2:$O$1001=H638)))</f>
      </c>
      <c r="H638" t="str">
        <f>IFERROR(IF(AND(LEN(SUBSTITUTE(SUBSTITUTE(SUBSTITUTE(TRIM(A638&amp;""),CHAR(160),"")," ",""),"년",""))=4,VALUE(SUBSTITUTE(SUBSTITUTE(SUBSTITUTE(TRIM(A638&amp;""),CHAR(160),"")," ",""),"년",""))&gt;=1900,VALUE(SUBSTITUTE(SUBSTITUTE(SUBSTITUTE(TRIM(A638&amp;""),CHAR(160),"")," ",""),"년",""))&lt;=2099,TEXT(VALUE(SUBSTITUTE(SUBSTITUTE(SUBSTITUTE(TRIM(A638&amp;""),CHAR(160),"")," ",""),"년","")),"0000")=SUBSTITUTE(SUBSTITUTE(SUBSTITUTE(TRIM(A638&amp;""),CHAR(160),"")," ",""),"년","")),SUBSTITUTE(SUBSTITUTE(SUBSTITUTE(TRIM(A638&amp;""),CHAR(160),"")," ",""),"년",""),""),"")</f>
      </c>
      <c r="I638" t="str">
        <f>SUBSTITUTE(SUBSTITUTE(SUBSTITUTE(SUBSTITUTE(SUBSTITUTE(TRIM(B638&amp;""),CHAR(160),"")," ",""),"초등학교","초"),"중학교","중"),"고등학교","고")</f>
      </c>
    </row>
    <row r="639" customFormat="false" ht="15" hidden="false" customHeight="false" outlineLevel="0" collapsed="false">
      <c r="A639" s="8"/>
      <c r="B639" s="8"/>
      <c r="C639" s="8"/>
      <c r="D639" s="8"/>
      <c r="E639" s="8"/>
      <c r="F639" t="str" s="15">
        <f aca="0">IF(B639="","",IF(H639="","확인필요(입력누락)",IF(SUMPRODUCT((실물목록!$P$2:$P$1001&lt;&gt;"")*ISNUMBER(SEARCH(실물목록!$P$2:$P$1001,I639))*(실물목록!$Q$2:$Q$1001&lt;&gt;"")*ISNUMBER(SEARCH(실물목록!$Q$2:$Q$1001,I639))*(실물목록!$R$2:$R$1001="")*(실물목록!$O$2:$O$1001&lt;&gt;"")*(실물목록!$O$2:$O$1001=H639))&gt;0,"실물 있음",IF(SUMPRODUCT((실물목록!$P$2:$P$1001&lt;&gt;"")*ISNUMBER(SEARCH(실물목록!$P$2:$P$1001,I639))*(실물목록!$R$2:$R$1001&lt;&gt;""))&gt;0,"확인필요(입력누락)",IF(SUMPRODUCT((실물목록!$P$2:$P$1001&lt;&gt;"")*ISNUMBER(SEARCH(실물목록!$P$2:$P$1001,I639))*(실물목록!$Q$2:$Q$1001&lt;&gt;"")*ISNUMBER(SEARCH(실물목록!$Q$2:$Q$1001,I639))*(실물목록!$R$2:$R$1001="")*(실물목록!$O$2:$O$1001&lt;&gt;""))&gt;0,"확인필요(연도다름)","실물 없음")))))</f>
      </c>
      <c r="G639" t="n" s="16">
        <f aca="0">IF(B639="","",SUMPRODUCT((실물목록!$P$2:$P$1001&lt;&gt;"")*ISNUMBER(SEARCH(실물목록!$P$2:$P$1001,I639))*(실물목록!$Q$2:$Q$1001&lt;&gt;"")*ISNUMBER(SEARCH(실물목록!$Q$2:$Q$1001,I639))*(실물목록!$R$2:$R$1001="")*(실물목록!$O$2:$O$1001&lt;&gt;"")*(실물목록!$O$2:$O$1001=H639)))</f>
      </c>
      <c r="H639" t="str">
        <f>IFERROR(IF(AND(LEN(SUBSTITUTE(SUBSTITUTE(SUBSTITUTE(TRIM(A639&amp;""),CHAR(160),"")," ",""),"년",""))=4,VALUE(SUBSTITUTE(SUBSTITUTE(SUBSTITUTE(TRIM(A639&amp;""),CHAR(160),"")," ",""),"년",""))&gt;=1900,VALUE(SUBSTITUTE(SUBSTITUTE(SUBSTITUTE(TRIM(A639&amp;""),CHAR(160),"")," ",""),"년",""))&lt;=2099,TEXT(VALUE(SUBSTITUTE(SUBSTITUTE(SUBSTITUTE(TRIM(A639&amp;""),CHAR(160),"")," ",""),"년","")),"0000")=SUBSTITUTE(SUBSTITUTE(SUBSTITUTE(TRIM(A639&amp;""),CHAR(160),"")," ",""),"년","")),SUBSTITUTE(SUBSTITUTE(SUBSTITUTE(TRIM(A639&amp;""),CHAR(160),"")," ",""),"년",""),""),"")</f>
      </c>
      <c r="I639" t="str">
        <f>SUBSTITUTE(SUBSTITUTE(SUBSTITUTE(SUBSTITUTE(SUBSTITUTE(TRIM(B639&amp;""),CHAR(160),"")," ",""),"초등학교","초"),"중학교","중"),"고등학교","고")</f>
      </c>
    </row>
    <row r="640" customFormat="false" ht="15" hidden="false" customHeight="false" outlineLevel="0" collapsed="false">
      <c r="A640" s="8"/>
      <c r="B640" s="8"/>
      <c r="C640" s="8"/>
      <c r="D640" s="8"/>
      <c r="E640" s="8"/>
      <c r="F640" t="str" s="15">
        <f aca="0">IF(B640="","",IF(H640="","확인필요(입력누락)",IF(SUMPRODUCT((실물목록!$P$2:$P$1001&lt;&gt;"")*ISNUMBER(SEARCH(실물목록!$P$2:$P$1001,I640))*(실물목록!$Q$2:$Q$1001&lt;&gt;"")*ISNUMBER(SEARCH(실물목록!$Q$2:$Q$1001,I640))*(실물목록!$R$2:$R$1001="")*(실물목록!$O$2:$O$1001&lt;&gt;"")*(실물목록!$O$2:$O$1001=H640))&gt;0,"실물 있음",IF(SUMPRODUCT((실물목록!$P$2:$P$1001&lt;&gt;"")*ISNUMBER(SEARCH(실물목록!$P$2:$P$1001,I640))*(실물목록!$R$2:$R$1001&lt;&gt;""))&gt;0,"확인필요(입력누락)",IF(SUMPRODUCT((실물목록!$P$2:$P$1001&lt;&gt;"")*ISNUMBER(SEARCH(실물목록!$P$2:$P$1001,I640))*(실물목록!$Q$2:$Q$1001&lt;&gt;"")*ISNUMBER(SEARCH(실물목록!$Q$2:$Q$1001,I640))*(실물목록!$R$2:$R$1001="")*(실물목록!$O$2:$O$1001&lt;&gt;""))&gt;0,"확인필요(연도다름)","실물 없음")))))</f>
      </c>
      <c r="G640" t="n" s="16">
        <f aca="0">IF(B640="","",SUMPRODUCT((실물목록!$P$2:$P$1001&lt;&gt;"")*ISNUMBER(SEARCH(실물목록!$P$2:$P$1001,I640))*(실물목록!$Q$2:$Q$1001&lt;&gt;"")*ISNUMBER(SEARCH(실물목록!$Q$2:$Q$1001,I640))*(실물목록!$R$2:$R$1001="")*(실물목록!$O$2:$O$1001&lt;&gt;"")*(실물목록!$O$2:$O$1001=H640)))</f>
      </c>
      <c r="H640" t="str">
        <f>IFERROR(IF(AND(LEN(SUBSTITUTE(SUBSTITUTE(SUBSTITUTE(TRIM(A640&amp;""),CHAR(160),"")," ",""),"년",""))=4,VALUE(SUBSTITUTE(SUBSTITUTE(SUBSTITUTE(TRIM(A640&amp;""),CHAR(160),"")," ",""),"년",""))&gt;=1900,VALUE(SUBSTITUTE(SUBSTITUTE(SUBSTITUTE(TRIM(A640&amp;""),CHAR(160),"")," ",""),"년",""))&lt;=2099,TEXT(VALUE(SUBSTITUTE(SUBSTITUTE(SUBSTITUTE(TRIM(A640&amp;""),CHAR(160),"")," ",""),"년","")),"0000")=SUBSTITUTE(SUBSTITUTE(SUBSTITUTE(TRIM(A640&amp;""),CHAR(160),"")," ",""),"년","")),SUBSTITUTE(SUBSTITUTE(SUBSTITUTE(TRIM(A640&amp;""),CHAR(160),"")," ",""),"년",""),""),"")</f>
      </c>
      <c r="I640" t="str">
        <f>SUBSTITUTE(SUBSTITUTE(SUBSTITUTE(SUBSTITUTE(SUBSTITUTE(TRIM(B640&amp;""),CHAR(160),"")," ",""),"초등학교","초"),"중학교","중"),"고등학교","고")</f>
      </c>
    </row>
    <row r="641" customFormat="false" ht="15" hidden="false" customHeight="false" outlineLevel="0" collapsed="false">
      <c r="A641" s="8"/>
      <c r="B641" s="8"/>
      <c r="C641" s="8"/>
      <c r="D641" s="8"/>
      <c r="E641" s="8"/>
      <c r="F641" t="str" s="15">
        <f aca="0">IF(B641="","",IF(H641="","확인필요(입력누락)",IF(SUMPRODUCT((실물목록!$P$2:$P$1001&lt;&gt;"")*ISNUMBER(SEARCH(실물목록!$P$2:$P$1001,I641))*(실물목록!$Q$2:$Q$1001&lt;&gt;"")*ISNUMBER(SEARCH(실물목록!$Q$2:$Q$1001,I641))*(실물목록!$R$2:$R$1001="")*(실물목록!$O$2:$O$1001&lt;&gt;"")*(실물목록!$O$2:$O$1001=H641))&gt;0,"실물 있음",IF(SUMPRODUCT((실물목록!$P$2:$P$1001&lt;&gt;"")*ISNUMBER(SEARCH(실물목록!$P$2:$P$1001,I641))*(실물목록!$R$2:$R$1001&lt;&gt;""))&gt;0,"확인필요(입력누락)",IF(SUMPRODUCT((실물목록!$P$2:$P$1001&lt;&gt;"")*ISNUMBER(SEARCH(실물목록!$P$2:$P$1001,I641))*(실물목록!$Q$2:$Q$1001&lt;&gt;"")*ISNUMBER(SEARCH(실물목록!$Q$2:$Q$1001,I641))*(실물목록!$R$2:$R$1001="")*(실물목록!$O$2:$O$1001&lt;&gt;""))&gt;0,"확인필요(연도다름)","실물 없음")))))</f>
      </c>
      <c r="G641" t="n" s="16">
        <f aca="0">IF(B641="","",SUMPRODUCT((실물목록!$P$2:$P$1001&lt;&gt;"")*ISNUMBER(SEARCH(실물목록!$P$2:$P$1001,I641))*(실물목록!$Q$2:$Q$1001&lt;&gt;"")*ISNUMBER(SEARCH(실물목록!$Q$2:$Q$1001,I641))*(실물목록!$R$2:$R$1001="")*(실물목록!$O$2:$O$1001&lt;&gt;"")*(실물목록!$O$2:$O$1001=H641)))</f>
      </c>
      <c r="H641" t="str">
        <f>IFERROR(IF(AND(LEN(SUBSTITUTE(SUBSTITUTE(SUBSTITUTE(TRIM(A641&amp;""),CHAR(160),"")," ",""),"년",""))=4,VALUE(SUBSTITUTE(SUBSTITUTE(SUBSTITUTE(TRIM(A641&amp;""),CHAR(160),"")," ",""),"년",""))&gt;=1900,VALUE(SUBSTITUTE(SUBSTITUTE(SUBSTITUTE(TRIM(A641&amp;""),CHAR(160),"")," ",""),"년",""))&lt;=2099,TEXT(VALUE(SUBSTITUTE(SUBSTITUTE(SUBSTITUTE(TRIM(A641&amp;""),CHAR(160),"")," ",""),"년","")),"0000")=SUBSTITUTE(SUBSTITUTE(SUBSTITUTE(TRIM(A641&amp;""),CHAR(160),"")," ",""),"년","")),SUBSTITUTE(SUBSTITUTE(SUBSTITUTE(TRIM(A641&amp;""),CHAR(160),"")," ",""),"년",""),""),"")</f>
      </c>
      <c r="I641" t="str">
        <f>SUBSTITUTE(SUBSTITUTE(SUBSTITUTE(SUBSTITUTE(SUBSTITUTE(TRIM(B641&amp;""),CHAR(160),"")," ",""),"초등학교","초"),"중학교","중"),"고등학교","고")</f>
      </c>
    </row>
    <row r="642" customFormat="false" ht="15" hidden="false" customHeight="false" outlineLevel="0" collapsed="false">
      <c r="A642" s="8"/>
      <c r="B642" s="8"/>
      <c r="C642" s="8"/>
      <c r="D642" s="8"/>
      <c r="E642" s="8"/>
      <c r="F642" t="str" s="15">
        <f aca="0">IF(B642="","",IF(H642="","확인필요(입력누락)",IF(SUMPRODUCT((실물목록!$P$2:$P$1001&lt;&gt;"")*ISNUMBER(SEARCH(실물목록!$P$2:$P$1001,I642))*(실물목록!$Q$2:$Q$1001&lt;&gt;"")*ISNUMBER(SEARCH(실물목록!$Q$2:$Q$1001,I642))*(실물목록!$R$2:$R$1001="")*(실물목록!$O$2:$O$1001&lt;&gt;"")*(실물목록!$O$2:$O$1001=H642))&gt;0,"실물 있음",IF(SUMPRODUCT((실물목록!$P$2:$P$1001&lt;&gt;"")*ISNUMBER(SEARCH(실물목록!$P$2:$P$1001,I642))*(실물목록!$R$2:$R$1001&lt;&gt;""))&gt;0,"확인필요(입력누락)",IF(SUMPRODUCT((실물목록!$P$2:$P$1001&lt;&gt;"")*ISNUMBER(SEARCH(실물목록!$P$2:$P$1001,I642))*(실물목록!$Q$2:$Q$1001&lt;&gt;"")*ISNUMBER(SEARCH(실물목록!$Q$2:$Q$1001,I642))*(실물목록!$R$2:$R$1001="")*(실물목록!$O$2:$O$1001&lt;&gt;""))&gt;0,"확인필요(연도다름)","실물 없음")))))</f>
      </c>
      <c r="G642" t="n" s="16">
        <f aca="0">IF(B642="","",SUMPRODUCT((실물목록!$P$2:$P$1001&lt;&gt;"")*ISNUMBER(SEARCH(실물목록!$P$2:$P$1001,I642))*(실물목록!$Q$2:$Q$1001&lt;&gt;"")*ISNUMBER(SEARCH(실물목록!$Q$2:$Q$1001,I642))*(실물목록!$R$2:$R$1001="")*(실물목록!$O$2:$O$1001&lt;&gt;"")*(실물목록!$O$2:$O$1001=H642)))</f>
      </c>
      <c r="H642" t="str">
        <f>IFERROR(IF(AND(LEN(SUBSTITUTE(SUBSTITUTE(SUBSTITUTE(TRIM(A642&amp;""),CHAR(160),"")," ",""),"년",""))=4,VALUE(SUBSTITUTE(SUBSTITUTE(SUBSTITUTE(TRIM(A642&amp;""),CHAR(160),"")," ",""),"년",""))&gt;=1900,VALUE(SUBSTITUTE(SUBSTITUTE(SUBSTITUTE(TRIM(A642&amp;""),CHAR(160),"")," ",""),"년",""))&lt;=2099,TEXT(VALUE(SUBSTITUTE(SUBSTITUTE(SUBSTITUTE(TRIM(A642&amp;""),CHAR(160),"")," ",""),"년","")),"0000")=SUBSTITUTE(SUBSTITUTE(SUBSTITUTE(TRIM(A642&amp;""),CHAR(160),"")," ",""),"년","")),SUBSTITUTE(SUBSTITUTE(SUBSTITUTE(TRIM(A642&amp;""),CHAR(160),"")," ",""),"년",""),""),"")</f>
      </c>
      <c r="I642" t="str">
        <f>SUBSTITUTE(SUBSTITUTE(SUBSTITUTE(SUBSTITUTE(SUBSTITUTE(TRIM(B642&amp;""),CHAR(160),"")," ",""),"초등학교","초"),"중학교","중"),"고등학교","고")</f>
      </c>
    </row>
    <row r="643" customFormat="false" ht="15" hidden="false" customHeight="false" outlineLevel="0" collapsed="false">
      <c r="A643" s="8"/>
      <c r="B643" s="8"/>
      <c r="C643" s="8"/>
      <c r="D643" s="8"/>
      <c r="E643" s="8"/>
      <c r="F643" t="str" s="15">
        <f aca="0">IF(B643="","",IF(H643="","확인필요(입력누락)",IF(SUMPRODUCT((실물목록!$P$2:$P$1001&lt;&gt;"")*ISNUMBER(SEARCH(실물목록!$P$2:$P$1001,I643))*(실물목록!$Q$2:$Q$1001&lt;&gt;"")*ISNUMBER(SEARCH(실물목록!$Q$2:$Q$1001,I643))*(실물목록!$R$2:$R$1001="")*(실물목록!$O$2:$O$1001&lt;&gt;"")*(실물목록!$O$2:$O$1001=H643))&gt;0,"실물 있음",IF(SUMPRODUCT((실물목록!$P$2:$P$1001&lt;&gt;"")*ISNUMBER(SEARCH(실물목록!$P$2:$P$1001,I643))*(실물목록!$R$2:$R$1001&lt;&gt;""))&gt;0,"확인필요(입력누락)",IF(SUMPRODUCT((실물목록!$P$2:$P$1001&lt;&gt;"")*ISNUMBER(SEARCH(실물목록!$P$2:$P$1001,I643))*(실물목록!$Q$2:$Q$1001&lt;&gt;"")*ISNUMBER(SEARCH(실물목록!$Q$2:$Q$1001,I643))*(실물목록!$R$2:$R$1001="")*(실물목록!$O$2:$O$1001&lt;&gt;""))&gt;0,"확인필요(연도다름)","실물 없음")))))</f>
      </c>
      <c r="G643" t="n" s="16">
        <f aca="0">IF(B643="","",SUMPRODUCT((실물목록!$P$2:$P$1001&lt;&gt;"")*ISNUMBER(SEARCH(실물목록!$P$2:$P$1001,I643))*(실물목록!$Q$2:$Q$1001&lt;&gt;"")*ISNUMBER(SEARCH(실물목록!$Q$2:$Q$1001,I643))*(실물목록!$R$2:$R$1001="")*(실물목록!$O$2:$O$1001&lt;&gt;"")*(실물목록!$O$2:$O$1001=H643)))</f>
      </c>
      <c r="H643" t="str">
        <f>IFERROR(IF(AND(LEN(SUBSTITUTE(SUBSTITUTE(SUBSTITUTE(TRIM(A643&amp;""),CHAR(160),"")," ",""),"년",""))=4,VALUE(SUBSTITUTE(SUBSTITUTE(SUBSTITUTE(TRIM(A643&amp;""),CHAR(160),"")," ",""),"년",""))&gt;=1900,VALUE(SUBSTITUTE(SUBSTITUTE(SUBSTITUTE(TRIM(A643&amp;""),CHAR(160),"")," ",""),"년",""))&lt;=2099,TEXT(VALUE(SUBSTITUTE(SUBSTITUTE(SUBSTITUTE(TRIM(A643&amp;""),CHAR(160),"")," ",""),"년","")),"0000")=SUBSTITUTE(SUBSTITUTE(SUBSTITUTE(TRIM(A643&amp;""),CHAR(160),"")," ",""),"년","")),SUBSTITUTE(SUBSTITUTE(SUBSTITUTE(TRIM(A643&amp;""),CHAR(160),"")," ",""),"년",""),""),"")</f>
      </c>
      <c r="I643" t="str">
        <f>SUBSTITUTE(SUBSTITUTE(SUBSTITUTE(SUBSTITUTE(SUBSTITUTE(TRIM(B643&amp;""),CHAR(160),"")," ",""),"초등학교","초"),"중학교","중"),"고등학교","고")</f>
      </c>
    </row>
    <row r="644" customFormat="false" ht="15" hidden="false" customHeight="false" outlineLevel="0" collapsed="false">
      <c r="A644" s="8"/>
      <c r="B644" s="8"/>
      <c r="C644" s="8"/>
      <c r="D644" s="8"/>
      <c r="E644" s="8"/>
      <c r="F644" t="str" s="15">
        <f aca="0">IF(B644="","",IF(H644="","확인필요(입력누락)",IF(SUMPRODUCT((실물목록!$P$2:$P$1001&lt;&gt;"")*ISNUMBER(SEARCH(실물목록!$P$2:$P$1001,I644))*(실물목록!$Q$2:$Q$1001&lt;&gt;"")*ISNUMBER(SEARCH(실물목록!$Q$2:$Q$1001,I644))*(실물목록!$R$2:$R$1001="")*(실물목록!$O$2:$O$1001&lt;&gt;"")*(실물목록!$O$2:$O$1001=H644))&gt;0,"실물 있음",IF(SUMPRODUCT((실물목록!$P$2:$P$1001&lt;&gt;"")*ISNUMBER(SEARCH(실물목록!$P$2:$P$1001,I644))*(실물목록!$R$2:$R$1001&lt;&gt;""))&gt;0,"확인필요(입력누락)",IF(SUMPRODUCT((실물목록!$P$2:$P$1001&lt;&gt;"")*ISNUMBER(SEARCH(실물목록!$P$2:$P$1001,I644))*(실물목록!$Q$2:$Q$1001&lt;&gt;"")*ISNUMBER(SEARCH(실물목록!$Q$2:$Q$1001,I644))*(실물목록!$R$2:$R$1001="")*(실물목록!$O$2:$O$1001&lt;&gt;""))&gt;0,"확인필요(연도다름)","실물 없음")))))</f>
      </c>
      <c r="G644" t="n" s="16">
        <f aca="0">IF(B644="","",SUMPRODUCT((실물목록!$P$2:$P$1001&lt;&gt;"")*ISNUMBER(SEARCH(실물목록!$P$2:$P$1001,I644))*(실물목록!$Q$2:$Q$1001&lt;&gt;"")*ISNUMBER(SEARCH(실물목록!$Q$2:$Q$1001,I644))*(실물목록!$R$2:$R$1001="")*(실물목록!$O$2:$O$1001&lt;&gt;"")*(실물목록!$O$2:$O$1001=H644)))</f>
      </c>
      <c r="H644" t="str">
        <f>IFERROR(IF(AND(LEN(SUBSTITUTE(SUBSTITUTE(SUBSTITUTE(TRIM(A644&amp;""),CHAR(160),"")," ",""),"년",""))=4,VALUE(SUBSTITUTE(SUBSTITUTE(SUBSTITUTE(TRIM(A644&amp;""),CHAR(160),"")," ",""),"년",""))&gt;=1900,VALUE(SUBSTITUTE(SUBSTITUTE(SUBSTITUTE(TRIM(A644&amp;""),CHAR(160),"")," ",""),"년",""))&lt;=2099,TEXT(VALUE(SUBSTITUTE(SUBSTITUTE(SUBSTITUTE(TRIM(A644&amp;""),CHAR(160),"")," ",""),"년","")),"0000")=SUBSTITUTE(SUBSTITUTE(SUBSTITUTE(TRIM(A644&amp;""),CHAR(160),"")," ",""),"년","")),SUBSTITUTE(SUBSTITUTE(SUBSTITUTE(TRIM(A644&amp;""),CHAR(160),"")," ",""),"년",""),""),"")</f>
      </c>
      <c r="I644" t="str">
        <f>SUBSTITUTE(SUBSTITUTE(SUBSTITUTE(SUBSTITUTE(SUBSTITUTE(TRIM(B644&amp;""),CHAR(160),"")," ",""),"초등학교","초"),"중학교","중"),"고등학교","고")</f>
      </c>
    </row>
    <row r="645" customFormat="false" ht="15" hidden="false" customHeight="false" outlineLevel="0" collapsed="false">
      <c r="A645" s="8"/>
      <c r="B645" s="8"/>
      <c r="C645" s="8"/>
      <c r="D645" s="8"/>
      <c r="E645" s="8"/>
      <c r="F645" t="str" s="15">
        <f aca="0">IF(B645="","",IF(H645="","확인필요(입력누락)",IF(SUMPRODUCT((실물목록!$P$2:$P$1001&lt;&gt;"")*ISNUMBER(SEARCH(실물목록!$P$2:$P$1001,I645))*(실물목록!$Q$2:$Q$1001&lt;&gt;"")*ISNUMBER(SEARCH(실물목록!$Q$2:$Q$1001,I645))*(실물목록!$R$2:$R$1001="")*(실물목록!$O$2:$O$1001&lt;&gt;"")*(실물목록!$O$2:$O$1001=H645))&gt;0,"실물 있음",IF(SUMPRODUCT((실물목록!$P$2:$P$1001&lt;&gt;"")*ISNUMBER(SEARCH(실물목록!$P$2:$P$1001,I645))*(실물목록!$R$2:$R$1001&lt;&gt;""))&gt;0,"확인필요(입력누락)",IF(SUMPRODUCT((실물목록!$P$2:$P$1001&lt;&gt;"")*ISNUMBER(SEARCH(실물목록!$P$2:$P$1001,I645))*(실물목록!$Q$2:$Q$1001&lt;&gt;"")*ISNUMBER(SEARCH(실물목록!$Q$2:$Q$1001,I645))*(실물목록!$R$2:$R$1001="")*(실물목록!$O$2:$O$1001&lt;&gt;""))&gt;0,"확인필요(연도다름)","실물 없음")))))</f>
      </c>
      <c r="G645" t="n" s="16">
        <f aca="0">IF(B645="","",SUMPRODUCT((실물목록!$P$2:$P$1001&lt;&gt;"")*ISNUMBER(SEARCH(실물목록!$P$2:$P$1001,I645))*(실물목록!$Q$2:$Q$1001&lt;&gt;"")*ISNUMBER(SEARCH(실물목록!$Q$2:$Q$1001,I645))*(실물목록!$R$2:$R$1001="")*(실물목록!$O$2:$O$1001&lt;&gt;"")*(실물목록!$O$2:$O$1001=H645)))</f>
      </c>
      <c r="H645" t="str">
        <f>IFERROR(IF(AND(LEN(SUBSTITUTE(SUBSTITUTE(SUBSTITUTE(TRIM(A645&amp;""),CHAR(160),"")," ",""),"년",""))=4,VALUE(SUBSTITUTE(SUBSTITUTE(SUBSTITUTE(TRIM(A645&amp;""),CHAR(160),"")," ",""),"년",""))&gt;=1900,VALUE(SUBSTITUTE(SUBSTITUTE(SUBSTITUTE(TRIM(A645&amp;""),CHAR(160),"")," ",""),"년",""))&lt;=2099,TEXT(VALUE(SUBSTITUTE(SUBSTITUTE(SUBSTITUTE(TRIM(A645&amp;""),CHAR(160),"")," ",""),"년","")),"0000")=SUBSTITUTE(SUBSTITUTE(SUBSTITUTE(TRIM(A645&amp;""),CHAR(160),"")," ",""),"년","")),SUBSTITUTE(SUBSTITUTE(SUBSTITUTE(TRIM(A645&amp;""),CHAR(160),"")," ",""),"년",""),""),"")</f>
      </c>
      <c r="I645" t="str">
        <f>SUBSTITUTE(SUBSTITUTE(SUBSTITUTE(SUBSTITUTE(SUBSTITUTE(TRIM(B645&amp;""),CHAR(160),"")," ",""),"초등학교","초"),"중학교","중"),"고등학교","고")</f>
      </c>
    </row>
    <row r="646" customFormat="false" ht="15" hidden="false" customHeight="false" outlineLevel="0" collapsed="false">
      <c r="A646" s="8"/>
      <c r="B646" s="8"/>
      <c r="C646" s="8"/>
      <c r="D646" s="8"/>
      <c r="E646" s="8"/>
      <c r="F646" t="str" s="15">
        <f aca="0">IF(B646="","",IF(H646="","확인필요(입력누락)",IF(SUMPRODUCT((실물목록!$P$2:$P$1001&lt;&gt;"")*ISNUMBER(SEARCH(실물목록!$P$2:$P$1001,I646))*(실물목록!$Q$2:$Q$1001&lt;&gt;"")*ISNUMBER(SEARCH(실물목록!$Q$2:$Q$1001,I646))*(실물목록!$R$2:$R$1001="")*(실물목록!$O$2:$O$1001&lt;&gt;"")*(실물목록!$O$2:$O$1001=H646))&gt;0,"실물 있음",IF(SUMPRODUCT((실물목록!$P$2:$P$1001&lt;&gt;"")*ISNUMBER(SEARCH(실물목록!$P$2:$P$1001,I646))*(실물목록!$R$2:$R$1001&lt;&gt;""))&gt;0,"확인필요(입력누락)",IF(SUMPRODUCT((실물목록!$P$2:$P$1001&lt;&gt;"")*ISNUMBER(SEARCH(실물목록!$P$2:$P$1001,I646))*(실물목록!$Q$2:$Q$1001&lt;&gt;"")*ISNUMBER(SEARCH(실물목록!$Q$2:$Q$1001,I646))*(실물목록!$R$2:$R$1001="")*(실물목록!$O$2:$O$1001&lt;&gt;""))&gt;0,"확인필요(연도다름)","실물 없음")))))</f>
      </c>
      <c r="G646" t="n" s="16">
        <f aca="0">IF(B646="","",SUMPRODUCT((실물목록!$P$2:$P$1001&lt;&gt;"")*ISNUMBER(SEARCH(실물목록!$P$2:$P$1001,I646))*(실물목록!$Q$2:$Q$1001&lt;&gt;"")*ISNUMBER(SEARCH(실물목록!$Q$2:$Q$1001,I646))*(실물목록!$R$2:$R$1001="")*(실물목록!$O$2:$O$1001&lt;&gt;"")*(실물목록!$O$2:$O$1001=H646)))</f>
      </c>
      <c r="H646" t="str">
        <f>IFERROR(IF(AND(LEN(SUBSTITUTE(SUBSTITUTE(SUBSTITUTE(TRIM(A646&amp;""),CHAR(160),"")," ",""),"년",""))=4,VALUE(SUBSTITUTE(SUBSTITUTE(SUBSTITUTE(TRIM(A646&amp;""),CHAR(160),"")," ",""),"년",""))&gt;=1900,VALUE(SUBSTITUTE(SUBSTITUTE(SUBSTITUTE(TRIM(A646&amp;""),CHAR(160),"")," ",""),"년",""))&lt;=2099,TEXT(VALUE(SUBSTITUTE(SUBSTITUTE(SUBSTITUTE(TRIM(A646&amp;""),CHAR(160),"")," ",""),"년","")),"0000")=SUBSTITUTE(SUBSTITUTE(SUBSTITUTE(TRIM(A646&amp;""),CHAR(160),"")," ",""),"년","")),SUBSTITUTE(SUBSTITUTE(SUBSTITUTE(TRIM(A646&amp;""),CHAR(160),"")," ",""),"년",""),""),"")</f>
      </c>
      <c r="I646" t="str">
        <f>SUBSTITUTE(SUBSTITUTE(SUBSTITUTE(SUBSTITUTE(SUBSTITUTE(TRIM(B646&amp;""),CHAR(160),"")," ",""),"초등학교","초"),"중학교","중"),"고등학교","고")</f>
      </c>
    </row>
    <row r="647" customFormat="false" ht="15" hidden="false" customHeight="false" outlineLevel="0" collapsed="false">
      <c r="A647" s="8"/>
      <c r="B647" s="8"/>
      <c r="C647" s="8"/>
      <c r="D647" s="8"/>
      <c r="E647" s="8"/>
      <c r="F647" t="str" s="15">
        <f aca="0">IF(B647="","",IF(H647="","확인필요(입력누락)",IF(SUMPRODUCT((실물목록!$P$2:$P$1001&lt;&gt;"")*ISNUMBER(SEARCH(실물목록!$P$2:$P$1001,I647))*(실물목록!$Q$2:$Q$1001&lt;&gt;"")*ISNUMBER(SEARCH(실물목록!$Q$2:$Q$1001,I647))*(실물목록!$R$2:$R$1001="")*(실물목록!$O$2:$O$1001&lt;&gt;"")*(실물목록!$O$2:$O$1001=H647))&gt;0,"실물 있음",IF(SUMPRODUCT((실물목록!$P$2:$P$1001&lt;&gt;"")*ISNUMBER(SEARCH(실물목록!$P$2:$P$1001,I647))*(실물목록!$R$2:$R$1001&lt;&gt;""))&gt;0,"확인필요(입력누락)",IF(SUMPRODUCT((실물목록!$P$2:$P$1001&lt;&gt;"")*ISNUMBER(SEARCH(실물목록!$P$2:$P$1001,I647))*(실물목록!$Q$2:$Q$1001&lt;&gt;"")*ISNUMBER(SEARCH(실물목록!$Q$2:$Q$1001,I647))*(실물목록!$R$2:$R$1001="")*(실물목록!$O$2:$O$1001&lt;&gt;""))&gt;0,"확인필요(연도다름)","실물 없음")))))</f>
      </c>
      <c r="G647" t="n" s="16">
        <f aca="0">IF(B647="","",SUMPRODUCT((실물목록!$P$2:$P$1001&lt;&gt;"")*ISNUMBER(SEARCH(실물목록!$P$2:$P$1001,I647))*(실물목록!$Q$2:$Q$1001&lt;&gt;"")*ISNUMBER(SEARCH(실물목록!$Q$2:$Q$1001,I647))*(실물목록!$R$2:$R$1001="")*(실물목록!$O$2:$O$1001&lt;&gt;"")*(실물목록!$O$2:$O$1001=H647)))</f>
      </c>
      <c r="H647" t="str">
        <f>IFERROR(IF(AND(LEN(SUBSTITUTE(SUBSTITUTE(SUBSTITUTE(TRIM(A647&amp;""),CHAR(160),"")," ",""),"년",""))=4,VALUE(SUBSTITUTE(SUBSTITUTE(SUBSTITUTE(TRIM(A647&amp;""),CHAR(160),"")," ",""),"년",""))&gt;=1900,VALUE(SUBSTITUTE(SUBSTITUTE(SUBSTITUTE(TRIM(A647&amp;""),CHAR(160),"")," ",""),"년",""))&lt;=2099,TEXT(VALUE(SUBSTITUTE(SUBSTITUTE(SUBSTITUTE(TRIM(A647&amp;""),CHAR(160),"")," ",""),"년","")),"0000")=SUBSTITUTE(SUBSTITUTE(SUBSTITUTE(TRIM(A647&amp;""),CHAR(160),"")," ",""),"년","")),SUBSTITUTE(SUBSTITUTE(SUBSTITUTE(TRIM(A647&amp;""),CHAR(160),"")," ",""),"년",""),""),"")</f>
      </c>
      <c r="I647" t="str">
        <f>SUBSTITUTE(SUBSTITUTE(SUBSTITUTE(SUBSTITUTE(SUBSTITUTE(TRIM(B647&amp;""),CHAR(160),"")," ",""),"초등학교","초"),"중학교","중"),"고등학교","고")</f>
      </c>
    </row>
    <row r="648" customFormat="false" ht="15" hidden="false" customHeight="false" outlineLevel="0" collapsed="false">
      <c r="A648" s="8"/>
      <c r="B648" s="8"/>
      <c r="C648" s="8"/>
      <c r="D648" s="8"/>
      <c r="E648" s="8"/>
      <c r="F648" t="str" s="15">
        <f aca="0">IF(B648="","",IF(H648="","확인필요(입력누락)",IF(SUMPRODUCT((실물목록!$P$2:$P$1001&lt;&gt;"")*ISNUMBER(SEARCH(실물목록!$P$2:$P$1001,I648))*(실물목록!$Q$2:$Q$1001&lt;&gt;"")*ISNUMBER(SEARCH(실물목록!$Q$2:$Q$1001,I648))*(실물목록!$R$2:$R$1001="")*(실물목록!$O$2:$O$1001&lt;&gt;"")*(실물목록!$O$2:$O$1001=H648))&gt;0,"실물 있음",IF(SUMPRODUCT((실물목록!$P$2:$P$1001&lt;&gt;"")*ISNUMBER(SEARCH(실물목록!$P$2:$P$1001,I648))*(실물목록!$R$2:$R$1001&lt;&gt;""))&gt;0,"확인필요(입력누락)",IF(SUMPRODUCT((실물목록!$P$2:$P$1001&lt;&gt;"")*ISNUMBER(SEARCH(실물목록!$P$2:$P$1001,I648))*(실물목록!$Q$2:$Q$1001&lt;&gt;"")*ISNUMBER(SEARCH(실물목록!$Q$2:$Q$1001,I648))*(실물목록!$R$2:$R$1001="")*(실물목록!$O$2:$O$1001&lt;&gt;""))&gt;0,"확인필요(연도다름)","실물 없음")))))</f>
      </c>
      <c r="G648" t="n" s="16">
        <f aca="0">IF(B648="","",SUMPRODUCT((실물목록!$P$2:$P$1001&lt;&gt;"")*ISNUMBER(SEARCH(실물목록!$P$2:$P$1001,I648))*(실물목록!$Q$2:$Q$1001&lt;&gt;"")*ISNUMBER(SEARCH(실물목록!$Q$2:$Q$1001,I648))*(실물목록!$R$2:$R$1001="")*(실물목록!$O$2:$O$1001&lt;&gt;"")*(실물목록!$O$2:$O$1001=H648)))</f>
      </c>
      <c r="H648" t="str">
        <f>IFERROR(IF(AND(LEN(SUBSTITUTE(SUBSTITUTE(SUBSTITUTE(TRIM(A648&amp;""),CHAR(160),"")," ",""),"년",""))=4,VALUE(SUBSTITUTE(SUBSTITUTE(SUBSTITUTE(TRIM(A648&amp;""),CHAR(160),"")," ",""),"년",""))&gt;=1900,VALUE(SUBSTITUTE(SUBSTITUTE(SUBSTITUTE(TRIM(A648&amp;""),CHAR(160),"")," ",""),"년",""))&lt;=2099,TEXT(VALUE(SUBSTITUTE(SUBSTITUTE(SUBSTITUTE(TRIM(A648&amp;""),CHAR(160),"")," ",""),"년","")),"0000")=SUBSTITUTE(SUBSTITUTE(SUBSTITUTE(TRIM(A648&amp;""),CHAR(160),"")," ",""),"년","")),SUBSTITUTE(SUBSTITUTE(SUBSTITUTE(TRIM(A648&amp;""),CHAR(160),"")," ",""),"년",""),""),"")</f>
      </c>
      <c r="I648" t="str">
        <f>SUBSTITUTE(SUBSTITUTE(SUBSTITUTE(SUBSTITUTE(SUBSTITUTE(TRIM(B648&amp;""),CHAR(160),"")," ",""),"초등학교","초"),"중학교","중"),"고등학교","고")</f>
      </c>
    </row>
    <row r="649" customFormat="false" ht="15" hidden="false" customHeight="false" outlineLevel="0" collapsed="false">
      <c r="A649" s="8"/>
      <c r="B649" s="8"/>
      <c r="C649" s="8"/>
      <c r="D649" s="8"/>
      <c r="E649" s="8"/>
      <c r="F649" t="str" s="15">
        <f aca="0">IF(B649="","",IF(H649="","확인필요(입력누락)",IF(SUMPRODUCT((실물목록!$P$2:$P$1001&lt;&gt;"")*ISNUMBER(SEARCH(실물목록!$P$2:$P$1001,I649))*(실물목록!$Q$2:$Q$1001&lt;&gt;"")*ISNUMBER(SEARCH(실물목록!$Q$2:$Q$1001,I649))*(실물목록!$R$2:$R$1001="")*(실물목록!$O$2:$O$1001&lt;&gt;"")*(실물목록!$O$2:$O$1001=H649))&gt;0,"실물 있음",IF(SUMPRODUCT((실물목록!$P$2:$P$1001&lt;&gt;"")*ISNUMBER(SEARCH(실물목록!$P$2:$P$1001,I649))*(실물목록!$R$2:$R$1001&lt;&gt;""))&gt;0,"확인필요(입력누락)",IF(SUMPRODUCT((실물목록!$P$2:$P$1001&lt;&gt;"")*ISNUMBER(SEARCH(실물목록!$P$2:$P$1001,I649))*(실물목록!$Q$2:$Q$1001&lt;&gt;"")*ISNUMBER(SEARCH(실물목록!$Q$2:$Q$1001,I649))*(실물목록!$R$2:$R$1001="")*(실물목록!$O$2:$O$1001&lt;&gt;""))&gt;0,"확인필요(연도다름)","실물 없음")))))</f>
      </c>
      <c r="G649" t="n" s="16">
        <f aca="0">IF(B649="","",SUMPRODUCT((실물목록!$P$2:$P$1001&lt;&gt;"")*ISNUMBER(SEARCH(실물목록!$P$2:$P$1001,I649))*(실물목록!$Q$2:$Q$1001&lt;&gt;"")*ISNUMBER(SEARCH(실물목록!$Q$2:$Q$1001,I649))*(실물목록!$R$2:$R$1001="")*(실물목록!$O$2:$O$1001&lt;&gt;"")*(실물목록!$O$2:$O$1001=H649)))</f>
      </c>
      <c r="H649" t="str">
        <f>IFERROR(IF(AND(LEN(SUBSTITUTE(SUBSTITUTE(SUBSTITUTE(TRIM(A649&amp;""),CHAR(160),"")," ",""),"년",""))=4,VALUE(SUBSTITUTE(SUBSTITUTE(SUBSTITUTE(TRIM(A649&amp;""),CHAR(160),"")," ",""),"년",""))&gt;=1900,VALUE(SUBSTITUTE(SUBSTITUTE(SUBSTITUTE(TRIM(A649&amp;""),CHAR(160),"")," ",""),"년",""))&lt;=2099,TEXT(VALUE(SUBSTITUTE(SUBSTITUTE(SUBSTITUTE(TRIM(A649&amp;""),CHAR(160),"")," ",""),"년","")),"0000")=SUBSTITUTE(SUBSTITUTE(SUBSTITUTE(TRIM(A649&amp;""),CHAR(160),"")," ",""),"년","")),SUBSTITUTE(SUBSTITUTE(SUBSTITUTE(TRIM(A649&amp;""),CHAR(160),"")," ",""),"년",""),""),"")</f>
      </c>
      <c r="I649" t="str">
        <f>SUBSTITUTE(SUBSTITUTE(SUBSTITUTE(SUBSTITUTE(SUBSTITUTE(TRIM(B649&amp;""),CHAR(160),"")," ",""),"초등학교","초"),"중학교","중"),"고등학교","고")</f>
      </c>
    </row>
    <row r="650" customFormat="false" ht="15" hidden="false" customHeight="false" outlineLevel="0" collapsed="false">
      <c r="A650" s="8"/>
      <c r="B650" s="8"/>
      <c r="C650" s="8"/>
      <c r="D650" s="8"/>
      <c r="E650" s="8"/>
      <c r="F650" t="str" s="15">
        <f aca="0">IF(B650="","",IF(H650="","확인필요(입력누락)",IF(SUMPRODUCT((실물목록!$P$2:$P$1001&lt;&gt;"")*ISNUMBER(SEARCH(실물목록!$P$2:$P$1001,I650))*(실물목록!$Q$2:$Q$1001&lt;&gt;"")*ISNUMBER(SEARCH(실물목록!$Q$2:$Q$1001,I650))*(실물목록!$R$2:$R$1001="")*(실물목록!$O$2:$O$1001&lt;&gt;"")*(실물목록!$O$2:$O$1001=H650))&gt;0,"실물 있음",IF(SUMPRODUCT((실물목록!$P$2:$P$1001&lt;&gt;"")*ISNUMBER(SEARCH(실물목록!$P$2:$P$1001,I650))*(실물목록!$R$2:$R$1001&lt;&gt;""))&gt;0,"확인필요(입력누락)",IF(SUMPRODUCT((실물목록!$P$2:$P$1001&lt;&gt;"")*ISNUMBER(SEARCH(실물목록!$P$2:$P$1001,I650))*(실물목록!$Q$2:$Q$1001&lt;&gt;"")*ISNUMBER(SEARCH(실물목록!$Q$2:$Q$1001,I650))*(실물목록!$R$2:$R$1001="")*(실물목록!$O$2:$O$1001&lt;&gt;""))&gt;0,"확인필요(연도다름)","실물 없음")))))</f>
      </c>
      <c r="G650" t="n" s="16">
        <f aca="0">IF(B650="","",SUMPRODUCT((실물목록!$P$2:$P$1001&lt;&gt;"")*ISNUMBER(SEARCH(실물목록!$P$2:$P$1001,I650))*(실물목록!$Q$2:$Q$1001&lt;&gt;"")*ISNUMBER(SEARCH(실물목록!$Q$2:$Q$1001,I650))*(실물목록!$R$2:$R$1001="")*(실물목록!$O$2:$O$1001&lt;&gt;"")*(실물목록!$O$2:$O$1001=H650)))</f>
      </c>
      <c r="H650" t="str">
        <f>IFERROR(IF(AND(LEN(SUBSTITUTE(SUBSTITUTE(SUBSTITUTE(TRIM(A650&amp;""),CHAR(160),"")," ",""),"년",""))=4,VALUE(SUBSTITUTE(SUBSTITUTE(SUBSTITUTE(TRIM(A650&amp;""),CHAR(160),"")," ",""),"년",""))&gt;=1900,VALUE(SUBSTITUTE(SUBSTITUTE(SUBSTITUTE(TRIM(A650&amp;""),CHAR(160),"")," ",""),"년",""))&lt;=2099,TEXT(VALUE(SUBSTITUTE(SUBSTITUTE(SUBSTITUTE(TRIM(A650&amp;""),CHAR(160),"")," ",""),"년","")),"0000")=SUBSTITUTE(SUBSTITUTE(SUBSTITUTE(TRIM(A650&amp;""),CHAR(160),"")," ",""),"년","")),SUBSTITUTE(SUBSTITUTE(SUBSTITUTE(TRIM(A650&amp;""),CHAR(160),"")," ",""),"년",""),""),"")</f>
      </c>
      <c r="I650" t="str">
        <f>SUBSTITUTE(SUBSTITUTE(SUBSTITUTE(SUBSTITUTE(SUBSTITUTE(TRIM(B650&amp;""),CHAR(160),"")," ",""),"초등학교","초"),"중학교","중"),"고등학교","고")</f>
      </c>
    </row>
    <row r="651" customFormat="false" ht="15" hidden="false" customHeight="false" outlineLevel="0" collapsed="false">
      <c r="A651" s="8"/>
      <c r="B651" s="8"/>
      <c r="C651" s="8"/>
      <c r="D651" s="8"/>
      <c r="E651" s="8"/>
      <c r="F651" t="str" s="15">
        <f aca="0">IF(B651="","",IF(H651="","확인필요(입력누락)",IF(SUMPRODUCT((실물목록!$P$2:$P$1001&lt;&gt;"")*ISNUMBER(SEARCH(실물목록!$P$2:$P$1001,I651))*(실물목록!$Q$2:$Q$1001&lt;&gt;"")*ISNUMBER(SEARCH(실물목록!$Q$2:$Q$1001,I651))*(실물목록!$R$2:$R$1001="")*(실물목록!$O$2:$O$1001&lt;&gt;"")*(실물목록!$O$2:$O$1001=H651))&gt;0,"실물 있음",IF(SUMPRODUCT((실물목록!$P$2:$P$1001&lt;&gt;"")*ISNUMBER(SEARCH(실물목록!$P$2:$P$1001,I651))*(실물목록!$R$2:$R$1001&lt;&gt;""))&gt;0,"확인필요(입력누락)",IF(SUMPRODUCT((실물목록!$P$2:$P$1001&lt;&gt;"")*ISNUMBER(SEARCH(실물목록!$P$2:$P$1001,I651))*(실물목록!$Q$2:$Q$1001&lt;&gt;"")*ISNUMBER(SEARCH(실물목록!$Q$2:$Q$1001,I651))*(실물목록!$R$2:$R$1001="")*(실물목록!$O$2:$O$1001&lt;&gt;""))&gt;0,"확인필요(연도다름)","실물 없음")))))</f>
      </c>
      <c r="G651" t="n" s="16">
        <f aca="0">IF(B651="","",SUMPRODUCT((실물목록!$P$2:$P$1001&lt;&gt;"")*ISNUMBER(SEARCH(실물목록!$P$2:$P$1001,I651))*(실물목록!$Q$2:$Q$1001&lt;&gt;"")*ISNUMBER(SEARCH(실물목록!$Q$2:$Q$1001,I651))*(실물목록!$R$2:$R$1001="")*(실물목록!$O$2:$O$1001&lt;&gt;"")*(실물목록!$O$2:$O$1001=H651)))</f>
      </c>
      <c r="H651" t="str">
        <f>IFERROR(IF(AND(LEN(SUBSTITUTE(SUBSTITUTE(SUBSTITUTE(TRIM(A651&amp;""),CHAR(160),"")," ",""),"년",""))=4,VALUE(SUBSTITUTE(SUBSTITUTE(SUBSTITUTE(TRIM(A651&amp;""),CHAR(160),"")," ",""),"년",""))&gt;=1900,VALUE(SUBSTITUTE(SUBSTITUTE(SUBSTITUTE(TRIM(A651&amp;""),CHAR(160),"")," ",""),"년",""))&lt;=2099,TEXT(VALUE(SUBSTITUTE(SUBSTITUTE(SUBSTITUTE(TRIM(A651&amp;""),CHAR(160),"")," ",""),"년","")),"0000")=SUBSTITUTE(SUBSTITUTE(SUBSTITUTE(TRIM(A651&amp;""),CHAR(160),"")," ",""),"년","")),SUBSTITUTE(SUBSTITUTE(SUBSTITUTE(TRIM(A651&amp;""),CHAR(160),"")," ",""),"년",""),""),"")</f>
      </c>
      <c r="I651" t="str">
        <f>SUBSTITUTE(SUBSTITUTE(SUBSTITUTE(SUBSTITUTE(SUBSTITUTE(TRIM(B651&amp;""),CHAR(160),"")," ",""),"초등학교","초"),"중학교","중"),"고등학교","고")</f>
      </c>
    </row>
    <row r="652" customFormat="false" ht="15" hidden="false" customHeight="false" outlineLevel="0" collapsed="false">
      <c r="A652" s="8"/>
      <c r="B652" s="8"/>
      <c r="C652" s="8"/>
      <c r="D652" s="8"/>
      <c r="E652" s="8"/>
      <c r="F652" t="str" s="15">
        <f aca="0">IF(B652="","",IF(H652="","확인필요(입력누락)",IF(SUMPRODUCT((실물목록!$P$2:$P$1001&lt;&gt;"")*ISNUMBER(SEARCH(실물목록!$P$2:$P$1001,I652))*(실물목록!$Q$2:$Q$1001&lt;&gt;"")*ISNUMBER(SEARCH(실물목록!$Q$2:$Q$1001,I652))*(실물목록!$R$2:$R$1001="")*(실물목록!$O$2:$O$1001&lt;&gt;"")*(실물목록!$O$2:$O$1001=H652))&gt;0,"실물 있음",IF(SUMPRODUCT((실물목록!$P$2:$P$1001&lt;&gt;"")*ISNUMBER(SEARCH(실물목록!$P$2:$P$1001,I652))*(실물목록!$R$2:$R$1001&lt;&gt;""))&gt;0,"확인필요(입력누락)",IF(SUMPRODUCT((실물목록!$P$2:$P$1001&lt;&gt;"")*ISNUMBER(SEARCH(실물목록!$P$2:$P$1001,I652))*(실물목록!$Q$2:$Q$1001&lt;&gt;"")*ISNUMBER(SEARCH(실물목록!$Q$2:$Q$1001,I652))*(실물목록!$R$2:$R$1001="")*(실물목록!$O$2:$O$1001&lt;&gt;""))&gt;0,"확인필요(연도다름)","실물 없음")))))</f>
      </c>
      <c r="G652" t="n" s="16">
        <f aca="0">IF(B652="","",SUMPRODUCT((실물목록!$P$2:$P$1001&lt;&gt;"")*ISNUMBER(SEARCH(실물목록!$P$2:$P$1001,I652))*(실물목록!$Q$2:$Q$1001&lt;&gt;"")*ISNUMBER(SEARCH(실물목록!$Q$2:$Q$1001,I652))*(실물목록!$R$2:$R$1001="")*(실물목록!$O$2:$O$1001&lt;&gt;"")*(실물목록!$O$2:$O$1001=H652)))</f>
      </c>
      <c r="H652" t="str">
        <f>IFERROR(IF(AND(LEN(SUBSTITUTE(SUBSTITUTE(SUBSTITUTE(TRIM(A652&amp;""),CHAR(160),"")," ",""),"년",""))=4,VALUE(SUBSTITUTE(SUBSTITUTE(SUBSTITUTE(TRIM(A652&amp;""),CHAR(160),"")," ",""),"년",""))&gt;=1900,VALUE(SUBSTITUTE(SUBSTITUTE(SUBSTITUTE(TRIM(A652&amp;""),CHAR(160),"")," ",""),"년",""))&lt;=2099,TEXT(VALUE(SUBSTITUTE(SUBSTITUTE(SUBSTITUTE(TRIM(A652&amp;""),CHAR(160),"")," ",""),"년","")),"0000")=SUBSTITUTE(SUBSTITUTE(SUBSTITUTE(TRIM(A652&amp;""),CHAR(160),"")," ",""),"년","")),SUBSTITUTE(SUBSTITUTE(SUBSTITUTE(TRIM(A652&amp;""),CHAR(160),"")," ",""),"년",""),""),"")</f>
      </c>
      <c r="I652" t="str">
        <f>SUBSTITUTE(SUBSTITUTE(SUBSTITUTE(SUBSTITUTE(SUBSTITUTE(TRIM(B652&amp;""),CHAR(160),"")," ",""),"초등학교","초"),"중학교","중"),"고등학교","고")</f>
      </c>
    </row>
    <row r="653" customFormat="false" ht="15" hidden="false" customHeight="false" outlineLevel="0" collapsed="false">
      <c r="A653" s="8"/>
      <c r="B653" s="8"/>
      <c r="C653" s="8"/>
      <c r="D653" s="8"/>
      <c r="E653" s="8"/>
      <c r="F653" t="str" s="15">
        <f aca="0">IF(B653="","",IF(H653="","확인필요(입력누락)",IF(SUMPRODUCT((실물목록!$P$2:$P$1001&lt;&gt;"")*ISNUMBER(SEARCH(실물목록!$P$2:$P$1001,I653))*(실물목록!$Q$2:$Q$1001&lt;&gt;"")*ISNUMBER(SEARCH(실물목록!$Q$2:$Q$1001,I653))*(실물목록!$R$2:$R$1001="")*(실물목록!$O$2:$O$1001&lt;&gt;"")*(실물목록!$O$2:$O$1001=H653))&gt;0,"실물 있음",IF(SUMPRODUCT((실물목록!$P$2:$P$1001&lt;&gt;"")*ISNUMBER(SEARCH(실물목록!$P$2:$P$1001,I653))*(실물목록!$R$2:$R$1001&lt;&gt;""))&gt;0,"확인필요(입력누락)",IF(SUMPRODUCT((실물목록!$P$2:$P$1001&lt;&gt;"")*ISNUMBER(SEARCH(실물목록!$P$2:$P$1001,I653))*(실물목록!$Q$2:$Q$1001&lt;&gt;"")*ISNUMBER(SEARCH(실물목록!$Q$2:$Q$1001,I653))*(실물목록!$R$2:$R$1001="")*(실물목록!$O$2:$O$1001&lt;&gt;""))&gt;0,"확인필요(연도다름)","실물 없음")))))</f>
      </c>
      <c r="G653" t="n" s="16">
        <f aca="0">IF(B653="","",SUMPRODUCT((실물목록!$P$2:$P$1001&lt;&gt;"")*ISNUMBER(SEARCH(실물목록!$P$2:$P$1001,I653))*(실물목록!$Q$2:$Q$1001&lt;&gt;"")*ISNUMBER(SEARCH(실물목록!$Q$2:$Q$1001,I653))*(실물목록!$R$2:$R$1001="")*(실물목록!$O$2:$O$1001&lt;&gt;"")*(실물목록!$O$2:$O$1001=H653)))</f>
      </c>
      <c r="H653" t="str">
        <f>IFERROR(IF(AND(LEN(SUBSTITUTE(SUBSTITUTE(SUBSTITUTE(TRIM(A653&amp;""),CHAR(160),"")," ",""),"년",""))=4,VALUE(SUBSTITUTE(SUBSTITUTE(SUBSTITUTE(TRIM(A653&amp;""),CHAR(160),"")," ",""),"년",""))&gt;=1900,VALUE(SUBSTITUTE(SUBSTITUTE(SUBSTITUTE(TRIM(A653&amp;""),CHAR(160),"")," ",""),"년",""))&lt;=2099,TEXT(VALUE(SUBSTITUTE(SUBSTITUTE(SUBSTITUTE(TRIM(A653&amp;""),CHAR(160),"")," ",""),"년","")),"0000")=SUBSTITUTE(SUBSTITUTE(SUBSTITUTE(TRIM(A653&amp;""),CHAR(160),"")," ",""),"년","")),SUBSTITUTE(SUBSTITUTE(SUBSTITUTE(TRIM(A653&amp;""),CHAR(160),"")," ",""),"년",""),""),"")</f>
      </c>
      <c r="I653" t="str">
        <f>SUBSTITUTE(SUBSTITUTE(SUBSTITUTE(SUBSTITUTE(SUBSTITUTE(TRIM(B653&amp;""),CHAR(160),"")," ",""),"초등학교","초"),"중학교","중"),"고등학교","고")</f>
      </c>
    </row>
    <row r="654" customFormat="false" ht="15" hidden="false" customHeight="false" outlineLevel="0" collapsed="false">
      <c r="A654" s="8"/>
      <c r="B654" s="8"/>
      <c r="C654" s="8"/>
      <c r="D654" s="8"/>
      <c r="E654" s="8"/>
      <c r="F654" t="str" s="15">
        <f aca="0">IF(B654="","",IF(H654="","확인필요(입력누락)",IF(SUMPRODUCT((실물목록!$P$2:$P$1001&lt;&gt;"")*ISNUMBER(SEARCH(실물목록!$P$2:$P$1001,I654))*(실물목록!$Q$2:$Q$1001&lt;&gt;"")*ISNUMBER(SEARCH(실물목록!$Q$2:$Q$1001,I654))*(실물목록!$R$2:$R$1001="")*(실물목록!$O$2:$O$1001&lt;&gt;"")*(실물목록!$O$2:$O$1001=H654))&gt;0,"실물 있음",IF(SUMPRODUCT((실물목록!$P$2:$P$1001&lt;&gt;"")*ISNUMBER(SEARCH(실물목록!$P$2:$P$1001,I654))*(실물목록!$R$2:$R$1001&lt;&gt;""))&gt;0,"확인필요(입력누락)",IF(SUMPRODUCT((실물목록!$P$2:$P$1001&lt;&gt;"")*ISNUMBER(SEARCH(실물목록!$P$2:$P$1001,I654))*(실물목록!$Q$2:$Q$1001&lt;&gt;"")*ISNUMBER(SEARCH(실물목록!$Q$2:$Q$1001,I654))*(실물목록!$R$2:$R$1001="")*(실물목록!$O$2:$O$1001&lt;&gt;""))&gt;0,"확인필요(연도다름)","실물 없음")))))</f>
      </c>
      <c r="G654" t="n" s="16">
        <f aca="0">IF(B654="","",SUMPRODUCT((실물목록!$P$2:$P$1001&lt;&gt;"")*ISNUMBER(SEARCH(실물목록!$P$2:$P$1001,I654))*(실물목록!$Q$2:$Q$1001&lt;&gt;"")*ISNUMBER(SEARCH(실물목록!$Q$2:$Q$1001,I654))*(실물목록!$R$2:$R$1001="")*(실물목록!$O$2:$O$1001&lt;&gt;"")*(실물목록!$O$2:$O$1001=H654)))</f>
      </c>
      <c r="H654" t="str">
        <f>IFERROR(IF(AND(LEN(SUBSTITUTE(SUBSTITUTE(SUBSTITUTE(TRIM(A654&amp;""),CHAR(160),"")," ",""),"년",""))=4,VALUE(SUBSTITUTE(SUBSTITUTE(SUBSTITUTE(TRIM(A654&amp;""),CHAR(160),"")," ",""),"년",""))&gt;=1900,VALUE(SUBSTITUTE(SUBSTITUTE(SUBSTITUTE(TRIM(A654&amp;""),CHAR(160),"")," ",""),"년",""))&lt;=2099,TEXT(VALUE(SUBSTITUTE(SUBSTITUTE(SUBSTITUTE(TRIM(A654&amp;""),CHAR(160),"")," ",""),"년","")),"0000")=SUBSTITUTE(SUBSTITUTE(SUBSTITUTE(TRIM(A654&amp;""),CHAR(160),"")," ",""),"년","")),SUBSTITUTE(SUBSTITUTE(SUBSTITUTE(TRIM(A654&amp;""),CHAR(160),"")," ",""),"년",""),""),"")</f>
      </c>
      <c r="I654" t="str">
        <f>SUBSTITUTE(SUBSTITUTE(SUBSTITUTE(SUBSTITUTE(SUBSTITUTE(TRIM(B654&amp;""),CHAR(160),"")," ",""),"초등학교","초"),"중학교","중"),"고등학교","고")</f>
      </c>
    </row>
    <row r="655" customFormat="false" ht="15" hidden="false" customHeight="false" outlineLevel="0" collapsed="false">
      <c r="A655" s="8"/>
      <c r="B655" s="8"/>
      <c r="C655" s="8"/>
      <c r="D655" s="8"/>
      <c r="E655" s="8"/>
      <c r="F655" t="str" s="15">
        <f aca="0">IF(B655="","",IF(H655="","확인필요(입력누락)",IF(SUMPRODUCT((실물목록!$P$2:$P$1001&lt;&gt;"")*ISNUMBER(SEARCH(실물목록!$P$2:$P$1001,I655))*(실물목록!$Q$2:$Q$1001&lt;&gt;"")*ISNUMBER(SEARCH(실물목록!$Q$2:$Q$1001,I655))*(실물목록!$R$2:$R$1001="")*(실물목록!$O$2:$O$1001&lt;&gt;"")*(실물목록!$O$2:$O$1001=H655))&gt;0,"실물 있음",IF(SUMPRODUCT((실물목록!$P$2:$P$1001&lt;&gt;"")*ISNUMBER(SEARCH(실물목록!$P$2:$P$1001,I655))*(실물목록!$R$2:$R$1001&lt;&gt;""))&gt;0,"확인필요(입력누락)",IF(SUMPRODUCT((실물목록!$P$2:$P$1001&lt;&gt;"")*ISNUMBER(SEARCH(실물목록!$P$2:$P$1001,I655))*(실물목록!$Q$2:$Q$1001&lt;&gt;"")*ISNUMBER(SEARCH(실물목록!$Q$2:$Q$1001,I655))*(실물목록!$R$2:$R$1001="")*(실물목록!$O$2:$O$1001&lt;&gt;""))&gt;0,"확인필요(연도다름)","실물 없음")))))</f>
      </c>
      <c r="G655" t="n" s="16">
        <f aca="0">IF(B655="","",SUMPRODUCT((실물목록!$P$2:$P$1001&lt;&gt;"")*ISNUMBER(SEARCH(실물목록!$P$2:$P$1001,I655))*(실물목록!$Q$2:$Q$1001&lt;&gt;"")*ISNUMBER(SEARCH(실물목록!$Q$2:$Q$1001,I655))*(실물목록!$R$2:$R$1001="")*(실물목록!$O$2:$O$1001&lt;&gt;"")*(실물목록!$O$2:$O$1001=H655)))</f>
      </c>
      <c r="H655" t="str">
        <f>IFERROR(IF(AND(LEN(SUBSTITUTE(SUBSTITUTE(SUBSTITUTE(TRIM(A655&amp;""),CHAR(160),"")," ",""),"년",""))=4,VALUE(SUBSTITUTE(SUBSTITUTE(SUBSTITUTE(TRIM(A655&amp;""),CHAR(160),"")," ",""),"년",""))&gt;=1900,VALUE(SUBSTITUTE(SUBSTITUTE(SUBSTITUTE(TRIM(A655&amp;""),CHAR(160),"")," ",""),"년",""))&lt;=2099,TEXT(VALUE(SUBSTITUTE(SUBSTITUTE(SUBSTITUTE(TRIM(A655&amp;""),CHAR(160),"")," ",""),"년","")),"0000")=SUBSTITUTE(SUBSTITUTE(SUBSTITUTE(TRIM(A655&amp;""),CHAR(160),"")," ",""),"년","")),SUBSTITUTE(SUBSTITUTE(SUBSTITUTE(TRIM(A655&amp;""),CHAR(160),"")," ",""),"년",""),""),"")</f>
      </c>
      <c r="I655" t="str">
        <f>SUBSTITUTE(SUBSTITUTE(SUBSTITUTE(SUBSTITUTE(SUBSTITUTE(TRIM(B655&amp;""),CHAR(160),"")," ",""),"초등학교","초"),"중학교","중"),"고등학교","고")</f>
      </c>
    </row>
    <row r="656" customFormat="false" ht="15" hidden="false" customHeight="false" outlineLevel="0" collapsed="false">
      <c r="A656" s="8"/>
      <c r="B656" s="8"/>
      <c r="C656" s="8"/>
      <c r="D656" s="8"/>
      <c r="E656" s="8"/>
      <c r="F656" t="str" s="15">
        <f aca="0">IF(B656="","",IF(H656="","확인필요(입력누락)",IF(SUMPRODUCT((실물목록!$P$2:$P$1001&lt;&gt;"")*ISNUMBER(SEARCH(실물목록!$P$2:$P$1001,I656))*(실물목록!$Q$2:$Q$1001&lt;&gt;"")*ISNUMBER(SEARCH(실물목록!$Q$2:$Q$1001,I656))*(실물목록!$R$2:$R$1001="")*(실물목록!$O$2:$O$1001&lt;&gt;"")*(실물목록!$O$2:$O$1001=H656))&gt;0,"실물 있음",IF(SUMPRODUCT((실물목록!$P$2:$P$1001&lt;&gt;"")*ISNUMBER(SEARCH(실물목록!$P$2:$P$1001,I656))*(실물목록!$R$2:$R$1001&lt;&gt;""))&gt;0,"확인필요(입력누락)",IF(SUMPRODUCT((실물목록!$P$2:$P$1001&lt;&gt;"")*ISNUMBER(SEARCH(실물목록!$P$2:$P$1001,I656))*(실물목록!$Q$2:$Q$1001&lt;&gt;"")*ISNUMBER(SEARCH(실물목록!$Q$2:$Q$1001,I656))*(실물목록!$R$2:$R$1001="")*(실물목록!$O$2:$O$1001&lt;&gt;""))&gt;0,"확인필요(연도다름)","실물 없음")))))</f>
      </c>
      <c r="G656" t="n" s="16">
        <f aca="0">IF(B656="","",SUMPRODUCT((실물목록!$P$2:$P$1001&lt;&gt;"")*ISNUMBER(SEARCH(실물목록!$P$2:$P$1001,I656))*(실물목록!$Q$2:$Q$1001&lt;&gt;"")*ISNUMBER(SEARCH(실물목록!$Q$2:$Q$1001,I656))*(실물목록!$R$2:$R$1001="")*(실물목록!$O$2:$O$1001&lt;&gt;"")*(실물목록!$O$2:$O$1001=H656)))</f>
      </c>
      <c r="H656" t="str">
        <f>IFERROR(IF(AND(LEN(SUBSTITUTE(SUBSTITUTE(SUBSTITUTE(TRIM(A656&amp;""),CHAR(160),"")," ",""),"년",""))=4,VALUE(SUBSTITUTE(SUBSTITUTE(SUBSTITUTE(TRIM(A656&amp;""),CHAR(160),"")," ",""),"년",""))&gt;=1900,VALUE(SUBSTITUTE(SUBSTITUTE(SUBSTITUTE(TRIM(A656&amp;""),CHAR(160),"")," ",""),"년",""))&lt;=2099,TEXT(VALUE(SUBSTITUTE(SUBSTITUTE(SUBSTITUTE(TRIM(A656&amp;""),CHAR(160),"")," ",""),"년","")),"0000")=SUBSTITUTE(SUBSTITUTE(SUBSTITUTE(TRIM(A656&amp;""),CHAR(160),"")," ",""),"년","")),SUBSTITUTE(SUBSTITUTE(SUBSTITUTE(TRIM(A656&amp;""),CHAR(160),"")," ",""),"년",""),""),"")</f>
      </c>
      <c r="I656" t="str">
        <f>SUBSTITUTE(SUBSTITUTE(SUBSTITUTE(SUBSTITUTE(SUBSTITUTE(TRIM(B656&amp;""),CHAR(160),"")," ",""),"초등학교","초"),"중학교","중"),"고등학교","고")</f>
      </c>
    </row>
    <row r="657" customFormat="false" ht="15" hidden="false" customHeight="false" outlineLevel="0" collapsed="false">
      <c r="A657" s="8"/>
      <c r="B657" s="8"/>
      <c r="C657" s="8"/>
      <c r="D657" s="8"/>
      <c r="E657" s="8"/>
      <c r="F657" t="str" s="15">
        <f aca="0">IF(B657="","",IF(H657="","확인필요(입력누락)",IF(SUMPRODUCT((실물목록!$P$2:$P$1001&lt;&gt;"")*ISNUMBER(SEARCH(실물목록!$P$2:$P$1001,I657))*(실물목록!$Q$2:$Q$1001&lt;&gt;"")*ISNUMBER(SEARCH(실물목록!$Q$2:$Q$1001,I657))*(실물목록!$R$2:$R$1001="")*(실물목록!$O$2:$O$1001&lt;&gt;"")*(실물목록!$O$2:$O$1001=H657))&gt;0,"실물 있음",IF(SUMPRODUCT((실물목록!$P$2:$P$1001&lt;&gt;"")*ISNUMBER(SEARCH(실물목록!$P$2:$P$1001,I657))*(실물목록!$R$2:$R$1001&lt;&gt;""))&gt;0,"확인필요(입력누락)",IF(SUMPRODUCT((실물목록!$P$2:$P$1001&lt;&gt;"")*ISNUMBER(SEARCH(실물목록!$P$2:$P$1001,I657))*(실물목록!$Q$2:$Q$1001&lt;&gt;"")*ISNUMBER(SEARCH(실물목록!$Q$2:$Q$1001,I657))*(실물목록!$R$2:$R$1001="")*(실물목록!$O$2:$O$1001&lt;&gt;""))&gt;0,"확인필요(연도다름)","실물 없음")))))</f>
      </c>
      <c r="G657" t="n" s="16">
        <f aca="0">IF(B657="","",SUMPRODUCT((실물목록!$P$2:$P$1001&lt;&gt;"")*ISNUMBER(SEARCH(실물목록!$P$2:$P$1001,I657))*(실물목록!$Q$2:$Q$1001&lt;&gt;"")*ISNUMBER(SEARCH(실물목록!$Q$2:$Q$1001,I657))*(실물목록!$R$2:$R$1001="")*(실물목록!$O$2:$O$1001&lt;&gt;"")*(실물목록!$O$2:$O$1001=H657)))</f>
      </c>
      <c r="H657" t="str">
        <f>IFERROR(IF(AND(LEN(SUBSTITUTE(SUBSTITUTE(SUBSTITUTE(TRIM(A657&amp;""),CHAR(160),"")," ",""),"년",""))=4,VALUE(SUBSTITUTE(SUBSTITUTE(SUBSTITUTE(TRIM(A657&amp;""),CHAR(160),"")," ",""),"년",""))&gt;=1900,VALUE(SUBSTITUTE(SUBSTITUTE(SUBSTITUTE(TRIM(A657&amp;""),CHAR(160),"")," ",""),"년",""))&lt;=2099,TEXT(VALUE(SUBSTITUTE(SUBSTITUTE(SUBSTITUTE(TRIM(A657&amp;""),CHAR(160),"")," ",""),"년","")),"0000")=SUBSTITUTE(SUBSTITUTE(SUBSTITUTE(TRIM(A657&amp;""),CHAR(160),"")," ",""),"년","")),SUBSTITUTE(SUBSTITUTE(SUBSTITUTE(TRIM(A657&amp;""),CHAR(160),"")," ",""),"년",""),""),"")</f>
      </c>
      <c r="I657" t="str">
        <f>SUBSTITUTE(SUBSTITUTE(SUBSTITUTE(SUBSTITUTE(SUBSTITUTE(TRIM(B657&amp;""),CHAR(160),"")," ",""),"초등학교","초"),"중학교","중"),"고등학교","고")</f>
      </c>
    </row>
    <row r="658" customFormat="false" ht="15" hidden="false" customHeight="false" outlineLevel="0" collapsed="false">
      <c r="A658" s="8"/>
      <c r="B658" s="8"/>
      <c r="C658" s="8"/>
      <c r="D658" s="8"/>
      <c r="E658" s="8"/>
      <c r="F658" t="str" s="15">
        <f aca="0">IF(B658="","",IF(H658="","확인필요(입력누락)",IF(SUMPRODUCT((실물목록!$P$2:$P$1001&lt;&gt;"")*ISNUMBER(SEARCH(실물목록!$P$2:$P$1001,I658))*(실물목록!$Q$2:$Q$1001&lt;&gt;"")*ISNUMBER(SEARCH(실물목록!$Q$2:$Q$1001,I658))*(실물목록!$R$2:$R$1001="")*(실물목록!$O$2:$O$1001&lt;&gt;"")*(실물목록!$O$2:$O$1001=H658))&gt;0,"실물 있음",IF(SUMPRODUCT((실물목록!$P$2:$P$1001&lt;&gt;"")*ISNUMBER(SEARCH(실물목록!$P$2:$P$1001,I658))*(실물목록!$R$2:$R$1001&lt;&gt;""))&gt;0,"확인필요(입력누락)",IF(SUMPRODUCT((실물목록!$P$2:$P$1001&lt;&gt;"")*ISNUMBER(SEARCH(실물목록!$P$2:$P$1001,I658))*(실물목록!$Q$2:$Q$1001&lt;&gt;"")*ISNUMBER(SEARCH(실물목록!$Q$2:$Q$1001,I658))*(실물목록!$R$2:$R$1001="")*(실물목록!$O$2:$O$1001&lt;&gt;""))&gt;0,"확인필요(연도다름)","실물 없음")))))</f>
      </c>
      <c r="G658" t="n" s="16">
        <f aca="0">IF(B658="","",SUMPRODUCT((실물목록!$P$2:$P$1001&lt;&gt;"")*ISNUMBER(SEARCH(실물목록!$P$2:$P$1001,I658))*(실물목록!$Q$2:$Q$1001&lt;&gt;"")*ISNUMBER(SEARCH(실물목록!$Q$2:$Q$1001,I658))*(실물목록!$R$2:$R$1001="")*(실물목록!$O$2:$O$1001&lt;&gt;"")*(실물목록!$O$2:$O$1001=H658)))</f>
      </c>
      <c r="H658" t="str">
        <f>IFERROR(IF(AND(LEN(SUBSTITUTE(SUBSTITUTE(SUBSTITUTE(TRIM(A658&amp;""),CHAR(160),"")," ",""),"년",""))=4,VALUE(SUBSTITUTE(SUBSTITUTE(SUBSTITUTE(TRIM(A658&amp;""),CHAR(160),"")," ",""),"년",""))&gt;=1900,VALUE(SUBSTITUTE(SUBSTITUTE(SUBSTITUTE(TRIM(A658&amp;""),CHAR(160),"")," ",""),"년",""))&lt;=2099,TEXT(VALUE(SUBSTITUTE(SUBSTITUTE(SUBSTITUTE(TRIM(A658&amp;""),CHAR(160),"")," ",""),"년","")),"0000")=SUBSTITUTE(SUBSTITUTE(SUBSTITUTE(TRIM(A658&amp;""),CHAR(160),"")," ",""),"년","")),SUBSTITUTE(SUBSTITUTE(SUBSTITUTE(TRIM(A658&amp;""),CHAR(160),"")," ",""),"년",""),""),"")</f>
      </c>
      <c r="I658" t="str">
        <f>SUBSTITUTE(SUBSTITUTE(SUBSTITUTE(SUBSTITUTE(SUBSTITUTE(TRIM(B658&amp;""),CHAR(160),"")," ",""),"초등학교","초"),"중학교","중"),"고등학교","고")</f>
      </c>
    </row>
    <row r="659" customFormat="false" ht="15" hidden="false" customHeight="false" outlineLevel="0" collapsed="false">
      <c r="A659" s="8"/>
      <c r="B659" s="8"/>
      <c r="C659" s="8"/>
      <c r="D659" s="8"/>
      <c r="E659" s="8"/>
      <c r="F659" t="str" s="15">
        <f aca="0">IF(B659="","",IF(H659="","확인필요(입력누락)",IF(SUMPRODUCT((실물목록!$P$2:$P$1001&lt;&gt;"")*ISNUMBER(SEARCH(실물목록!$P$2:$P$1001,I659))*(실물목록!$Q$2:$Q$1001&lt;&gt;"")*ISNUMBER(SEARCH(실물목록!$Q$2:$Q$1001,I659))*(실물목록!$R$2:$R$1001="")*(실물목록!$O$2:$O$1001&lt;&gt;"")*(실물목록!$O$2:$O$1001=H659))&gt;0,"실물 있음",IF(SUMPRODUCT((실물목록!$P$2:$P$1001&lt;&gt;"")*ISNUMBER(SEARCH(실물목록!$P$2:$P$1001,I659))*(실물목록!$R$2:$R$1001&lt;&gt;""))&gt;0,"확인필요(입력누락)",IF(SUMPRODUCT((실물목록!$P$2:$P$1001&lt;&gt;"")*ISNUMBER(SEARCH(실물목록!$P$2:$P$1001,I659))*(실물목록!$Q$2:$Q$1001&lt;&gt;"")*ISNUMBER(SEARCH(실물목록!$Q$2:$Q$1001,I659))*(실물목록!$R$2:$R$1001="")*(실물목록!$O$2:$O$1001&lt;&gt;""))&gt;0,"확인필요(연도다름)","실물 없음")))))</f>
      </c>
      <c r="G659" t="n" s="16">
        <f aca="0">IF(B659="","",SUMPRODUCT((실물목록!$P$2:$P$1001&lt;&gt;"")*ISNUMBER(SEARCH(실물목록!$P$2:$P$1001,I659))*(실물목록!$Q$2:$Q$1001&lt;&gt;"")*ISNUMBER(SEARCH(실물목록!$Q$2:$Q$1001,I659))*(실물목록!$R$2:$R$1001="")*(실물목록!$O$2:$O$1001&lt;&gt;"")*(실물목록!$O$2:$O$1001=H659)))</f>
      </c>
      <c r="H659" t="str">
        <f>IFERROR(IF(AND(LEN(SUBSTITUTE(SUBSTITUTE(SUBSTITUTE(TRIM(A659&amp;""),CHAR(160),"")," ",""),"년",""))=4,VALUE(SUBSTITUTE(SUBSTITUTE(SUBSTITUTE(TRIM(A659&amp;""),CHAR(160),"")," ",""),"년",""))&gt;=1900,VALUE(SUBSTITUTE(SUBSTITUTE(SUBSTITUTE(TRIM(A659&amp;""),CHAR(160),"")," ",""),"년",""))&lt;=2099,TEXT(VALUE(SUBSTITUTE(SUBSTITUTE(SUBSTITUTE(TRIM(A659&amp;""),CHAR(160),"")," ",""),"년","")),"0000")=SUBSTITUTE(SUBSTITUTE(SUBSTITUTE(TRIM(A659&amp;""),CHAR(160),"")," ",""),"년","")),SUBSTITUTE(SUBSTITUTE(SUBSTITUTE(TRIM(A659&amp;""),CHAR(160),"")," ",""),"년",""),""),"")</f>
      </c>
      <c r="I659" t="str">
        <f>SUBSTITUTE(SUBSTITUTE(SUBSTITUTE(SUBSTITUTE(SUBSTITUTE(TRIM(B659&amp;""),CHAR(160),"")," ",""),"초등학교","초"),"중학교","중"),"고등학교","고")</f>
      </c>
    </row>
    <row r="660" customFormat="false" ht="15" hidden="false" customHeight="false" outlineLevel="0" collapsed="false">
      <c r="A660" s="8"/>
      <c r="B660" s="8"/>
      <c r="C660" s="8"/>
      <c r="D660" s="8"/>
      <c r="E660" s="8"/>
      <c r="F660" t="str" s="15">
        <f aca="0">IF(B660="","",IF(H660="","확인필요(입력누락)",IF(SUMPRODUCT((실물목록!$P$2:$P$1001&lt;&gt;"")*ISNUMBER(SEARCH(실물목록!$P$2:$P$1001,I660))*(실물목록!$Q$2:$Q$1001&lt;&gt;"")*ISNUMBER(SEARCH(실물목록!$Q$2:$Q$1001,I660))*(실물목록!$R$2:$R$1001="")*(실물목록!$O$2:$O$1001&lt;&gt;"")*(실물목록!$O$2:$O$1001=H660))&gt;0,"실물 있음",IF(SUMPRODUCT((실물목록!$P$2:$P$1001&lt;&gt;"")*ISNUMBER(SEARCH(실물목록!$P$2:$P$1001,I660))*(실물목록!$R$2:$R$1001&lt;&gt;""))&gt;0,"확인필요(입력누락)",IF(SUMPRODUCT((실물목록!$P$2:$P$1001&lt;&gt;"")*ISNUMBER(SEARCH(실물목록!$P$2:$P$1001,I660))*(실물목록!$Q$2:$Q$1001&lt;&gt;"")*ISNUMBER(SEARCH(실물목록!$Q$2:$Q$1001,I660))*(실물목록!$R$2:$R$1001="")*(실물목록!$O$2:$O$1001&lt;&gt;""))&gt;0,"확인필요(연도다름)","실물 없음")))))</f>
      </c>
      <c r="G660" t="n" s="16">
        <f aca="0">IF(B660="","",SUMPRODUCT((실물목록!$P$2:$P$1001&lt;&gt;"")*ISNUMBER(SEARCH(실물목록!$P$2:$P$1001,I660))*(실물목록!$Q$2:$Q$1001&lt;&gt;"")*ISNUMBER(SEARCH(실물목록!$Q$2:$Q$1001,I660))*(실물목록!$R$2:$R$1001="")*(실물목록!$O$2:$O$1001&lt;&gt;"")*(실물목록!$O$2:$O$1001=H660)))</f>
      </c>
      <c r="H660" t="str">
        <f>IFERROR(IF(AND(LEN(SUBSTITUTE(SUBSTITUTE(SUBSTITUTE(TRIM(A660&amp;""),CHAR(160),"")," ",""),"년",""))=4,VALUE(SUBSTITUTE(SUBSTITUTE(SUBSTITUTE(TRIM(A660&amp;""),CHAR(160),"")," ",""),"년",""))&gt;=1900,VALUE(SUBSTITUTE(SUBSTITUTE(SUBSTITUTE(TRIM(A660&amp;""),CHAR(160),"")," ",""),"년",""))&lt;=2099,TEXT(VALUE(SUBSTITUTE(SUBSTITUTE(SUBSTITUTE(TRIM(A660&amp;""),CHAR(160),"")," ",""),"년","")),"0000")=SUBSTITUTE(SUBSTITUTE(SUBSTITUTE(TRIM(A660&amp;""),CHAR(160),"")," ",""),"년","")),SUBSTITUTE(SUBSTITUTE(SUBSTITUTE(TRIM(A660&amp;""),CHAR(160),"")," ",""),"년",""),""),"")</f>
      </c>
      <c r="I660" t="str">
        <f>SUBSTITUTE(SUBSTITUTE(SUBSTITUTE(SUBSTITUTE(SUBSTITUTE(TRIM(B660&amp;""),CHAR(160),"")," ",""),"초등학교","초"),"중학교","중"),"고등학교","고")</f>
      </c>
    </row>
    <row r="661" customFormat="false" ht="15" hidden="false" customHeight="false" outlineLevel="0" collapsed="false">
      <c r="A661" s="8"/>
      <c r="B661" s="8"/>
      <c r="C661" s="8"/>
      <c r="D661" s="8"/>
      <c r="E661" s="8"/>
      <c r="F661" t="str" s="15">
        <f aca="0">IF(B661="","",IF(H661="","확인필요(입력누락)",IF(SUMPRODUCT((실물목록!$P$2:$P$1001&lt;&gt;"")*ISNUMBER(SEARCH(실물목록!$P$2:$P$1001,I661))*(실물목록!$Q$2:$Q$1001&lt;&gt;"")*ISNUMBER(SEARCH(실물목록!$Q$2:$Q$1001,I661))*(실물목록!$R$2:$R$1001="")*(실물목록!$O$2:$O$1001&lt;&gt;"")*(실물목록!$O$2:$O$1001=H661))&gt;0,"실물 있음",IF(SUMPRODUCT((실물목록!$P$2:$P$1001&lt;&gt;"")*ISNUMBER(SEARCH(실물목록!$P$2:$P$1001,I661))*(실물목록!$R$2:$R$1001&lt;&gt;""))&gt;0,"확인필요(입력누락)",IF(SUMPRODUCT((실물목록!$P$2:$P$1001&lt;&gt;"")*ISNUMBER(SEARCH(실물목록!$P$2:$P$1001,I661))*(실물목록!$Q$2:$Q$1001&lt;&gt;"")*ISNUMBER(SEARCH(실물목록!$Q$2:$Q$1001,I661))*(실물목록!$R$2:$R$1001="")*(실물목록!$O$2:$O$1001&lt;&gt;""))&gt;0,"확인필요(연도다름)","실물 없음")))))</f>
      </c>
      <c r="G661" t="n" s="16">
        <f aca="0">IF(B661="","",SUMPRODUCT((실물목록!$P$2:$P$1001&lt;&gt;"")*ISNUMBER(SEARCH(실물목록!$P$2:$P$1001,I661))*(실물목록!$Q$2:$Q$1001&lt;&gt;"")*ISNUMBER(SEARCH(실물목록!$Q$2:$Q$1001,I661))*(실물목록!$R$2:$R$1001="")*(실물목록!$O$2:$O$1001&lt;&gt;"")*(실물목록!$O$2:$O$1001=H661)))</f>
      </c>
      <c r="H661" t="str">
        <f>IFERROR(IF(AND(LEN(SUBSTITUTE(SUBSTITUTE(SUBSTITUTE(TRIM(A661&amp;""),CHAR(160),"")," ",""),"년",""))=4,VALUE(SUBSTITUTE(SUBSTITUTE(SUBSTITUTE(TRIM(A661&amp;""),CHAR(160),"")," ",""),"년",""))&gt;=1900,VALUE(SUBSTITUTE(SUBSTITUTE(SUBSTITUTE(TRIM(A661&amp;""),CHAR(160),"")," ",""),"년",""))&lt;=2099,TEXT(VALUE(SUBSTITUTE(SUBSTITUTE(SUBSTITUTE(TRIM(A661&amp;""),CHAR(160),"")," ",""),"년","")),"0000")=SUBSTITUTE(SUBSTITUTE(SUBSTITUTE(TRIM(A661&amp;""),CHAR(160),"")," ",""),"년","")),SUBSTITUTE(SUBSTITUTE(SUBSTITUTE(TRIM(A661&amp;""),CHAR(160),"")," ",""),"년",""),""),"")</f>
      </c>
      <c r="I661" t="str">
        <f>SUBSTITUTE(SUBSTITUTE(SUBSTITUTE(SUBSTITUTE(SUBSTITUTE(TRIM(B661&amp;""),CHAR(160),"")," ",""),"초등학교","초"),"중학교","중"),"고등학교","고")</f>
      </c>
    </row>
    <row r="662" customFormat="false" ht="15" hidden="false" customHeight="false" outlineLevel="0" collapsed="false">
      <c r="A662" s="8"/>
      <c r="B662" s="8"/>
      <c r="C662" s="8"/>
      <c r="D662" s="8"/>
      <c r="E662" s="8"/>
      <c r="F662" t="str" s="15">
        <f aca="0">IF(B662="","",IF(H662="","확인필요(입력누락)",IF(SUMPRODUCT((실물목록!$P$2:$P$1001&lt;&gt;"")*ISNUMBER(SEARCH(실물목록!$P$2:$P$1001,I662))*(실물목록!$Q$2:$Q$1001&lt;&gt;"")*ISNUMBER(SEARCH(실물목록!$Q$2:$Q$1001,I662))*(실물목록!$R$2:$R$1001="")*(실물목록!$O$2:$O$1001&lt;&gt;"")*(실물목록!$O$2:$O$1001=H662))&gt;0,"실물 있음",IF(SUMPRODUCT((실물목록!$P$2:$P$1001&lt;&gt;"")*ISNUMBER(SEARCH(실물목록!$P$2:$P$1001,I662))*(실물목록!$R$2:$R$1001&lt;&gt;""))&gt;0,"확인필요(입력누락)",IF(SUMPRODUCT((실물목록!$P$2:$P$1001&lt;&gt;"")*ISNUMBER(SEARCH(실물목록!$P$2:$P$1001,I662))*(실물목록!$Q$2:$Q$1001&lt;&gt;"")*ISNUMBER(SEARCH(실물목록!$Q$2:$Q$1001,I662))*(실물목록!$R$2:$R$1001="")*(실물목록!$O$2:$O$1001&lt;&gt;""))&gt;0,"확인필요(연도다름)","실물 없음")))))</f>
      </c>
      <c r="G662" t="n" s="16">
        <f aca="0">IF(B662="","",SUMPRODUCT((실물목록!$P$2:$P$1001&lt;&gt;"")*ISNUMBER(SEARCH(실물목록!$P$2:$P$1001,I662))*(실물목록!$Q$2:$Q$1001&lt;&gt;"")*ISNUMBER(SEARCH(실물목록!$Q$2:$Q$1001,I662))*(실물목록!$R$2:$R$1001="")*(실물목록!$O$2:$O$1001&lt;&gt;"")*(실물목록!$O$2:$O$1001=H662)))</f>
      </c>
      <c r="H662" t="str">
        <f>IFERROR(IF(AND(LEN(SUBSTITUTE(SUBSTITUTE(SUBSTITUTE(TRIM(A662&amp;""),CHAR(160),"")," ",""),"년",""))=4,VALUE(SUBSTITUTE(SUBSTITUTE(SUBSTITUTE(TRIM(A662&amp;""),CHAR(160),"")," ",""),"년",""))&gt;=1900,VALUE(SUBSTITUTE(SUBSTITUTE(SUBSTITUTE(TRIM(A662&amp;""),CHAR(160),"")," ",""),"년",""))&lt;=2099,TEXT(VALUE(SUBSTITUTE(SUBSTITUTE(SUBSTITUTE(TRIM(A662&amp;""),CHAR(160),"")," ",""),"년","")),"0000")=SUBSTITUTE(SUBSTITUTE(SUBSTITUTE(TRIM(A662&amp;""),CHAR(160),"")," ",""),"년","")),SUBSTITUTE(SUBSTITUTE(SUBSTITUTE(TRIM(A662&amp;""),CHAR(160),"")," ",""),"년",""),""),"")</f>
      </c>
      <c r="I662" t="str">
        <f>SUBSTITUTE(SUBSTITUTE(SUBSTITUTE(SUBSTITUTE(SUBSTITUTE(TRIM(B662&amp;""),CHAR(160),"")," ",""),"초등학교","초"),"중학교","중"),"고등학교","고")</f>
      </c>
    </row>
    <row r="663" customFormat="false" ht="15" hidden="false" customHeight="false" outlineLevel="0" collapsed="false">
      <c r="A663" s="8"/>
      <c r="B663" s="8"/>
      <c r="C663" s="8"/>
      <c r="D663" s="8"/>
      <c r="E663" s="8"/>
      <c r="F663" t="str" s="15">
        <f aca="0">IF(B663="","",IF(H663="","확인필요(입력누락)",IF(SUMPRODUCT((실물목록!$P$2:$P$1001&lt;&gt;"")*ISNUMBER(SEARCH(실물목록!$P$2:$P$1001,I663))*(실물목록!$Q$2:$Q$1001&lt;&gt;"")*ISNUMBER(SEARCH(실물목록!$Q$2:$Q$1001,I663))*(실물목록!$R$2:$R$1001="")*(실물목록!$O$2:$O$1001&lt;&gt;"")*(실물목록!$O$2:$O$1001=H663))&gt;0,"실물 있음",IF(SUMPRODUCT((실물목록!$P$2:$P$1001&lt;&gt;"")*ISNUMBER(SEARCH(실물목록!$P$2:$P$1001,I663))*(실물목록!$R$2:$R$1001&lt;&gt;""))&gt;0,"확인필요(입력누락)",IF(SUMPRODUCT((실물목록!$P$2:$P$1001&lt;&gt;"")*ISNUMBER(SEARCH(실물목록!$P$2:$P$1001,I663))*(실물목록!$Q$2:$Q$1001&lt;&gt;"")*ISNUMBER(SEARCH(실물목록!$Q$2:$Q$1001,I663))*(실물목록!$R$2:$R$1001="")*(실물목록!$O$2:$O$1001&lt;&gt;""))&gt;0,"확인필요(연도다름)","실물 없음")))))</f>
      </c>
      <c r="G663" t="n" s="16">
        <f aca="0">IF(B663="","",SUMPRODUCT((실물목록!$P$2:$P$1001&lt;&gt;"")*ISNUMBER(SEARCH(실물목록!$P$2:$P$1001,I663))*(실물목록!$Q$2:$Q$1001&lt;&gt;"")*ISNUMBER(SEARCH(실물목록!$Q$2:$Q$1001,I663))*(실물목록!$R$2:$R$1001="")*(실물목록!$O$2:$O$1001&lt;&gt;"")*(실물목록!$O$2:$O$1001=H663)))</f>
      </c>
      <c r="H663" t="str">
        <f>IFERROR(IF(AND(LEN(SUBSTITUTE(SUBSTITUTE(SUBSTITUTE(TRIM(A663&amp;""),CHAR(160),"")," ",""),"년",""))=4,VALUE(SUBSTITUTE(SUBSTITUTE(SUBSTITUTE(TRIM(A663&amp;""),CHAR(160),"")," ",""),"년",""))&gt;=1900,VALUE(SUBSTITUTE(SUBSTITUTE(SUBSTITUTE(TRIM(A663&amp;""),CHAR(160),"")," ",""),"년",""))&lt;=2099,TEXT(VALUE(SUBSTITUTE(SUBSTITUTE(SUBSTITUTE(TRIM(A663&amp;""),CHAR(160),"")," ",""),"년","")),"0000")=SUBSTITUTE(SUBSTITUTE(SUBSTITUTE(TRIM(A663&amp;""),CHAR(160),"")," ",""),"년","")),SUBSTITUTE(SUBSTITUTE(SUBSTITUTE(TRIM(A663&amp;""),CHAR(160),"")," ",""),"년",""),""),"")</f>
      </c>
      <c r="I663" t="str">
        <f>SUBSTITUTE(SUBSTITUTE(SUBSTITUTE(SUBSTITUTE(SUBSTITUTE(TRIM(B663&amp;""),CHAR(160),"")," ",""),"초등학교","초"),"중학교","중"),"고등학교","고")</f>
      </c>
    </row>
    <row r="664" customFormat="false" ht="15" hidden="false" customHeight="false" outlineLevel="0" collapsed="false">
      <c r="A664" s="8"/>
      <c r="B664" s="8"/>
      <c r="C664" s="8"/>
      <c r="D664" s="8"/>
      <c r="E664" s="8"/>
      <c r="F664" t="str" s="15">
        <f aca="0">IF(B664="","",IF(H664="","확인필요(입력누락)",IF(SUMPRODUCT((실물목록!$P$2:$P$1001&lt;&gt;"")*ISNUMBER(SEARCH(실물목록!$P$2:$P$1001,I664))*(실물목록!$Q$2:$Q$1001&lt;&gt;"")*ISNUMBER(SEARCH(실물목록!$Q$2:$Q$1001,I664))*(실물목록!$R$2:$R$1001="")*(실물목록!$O$2:$O$1001&lt;&gt;"")*(실물목록!$O$2:$O$1001=H664))&gt;0,"실물 있음",IF(SUMPRODUCT((실물목록!$P$2:$P$1001&lt;&gt;"")*ISNUMBER(SEARCH(실물목록!$P$2:$P$1001,I664))*(실물목록!$R$2:$R$1001&lt;&gt;""))&gt;0,"확인필요(입력누락)",IF(SUMPRODUCT((실물목록!$P$2:$P$1001&lt;&gt;"")*ISNUMBER(SEARCH(실물목록!$P$2:$P$1001,I664))*(실물목록!$Q$2:$Q$1001&lt;&gt;"")*ISNUMBER(SEARCH(실물목록!$Q$2:$Q$1001,I664))*(실물목록!$R$2:$R$1001="")*(실물목록!$O$2:$O$1001&lt;&gt;""))&gt;0,"확인필요(연도다름)","실물 없음")))))</f>
      </c>
      <c r="G664" t="n" s="16">
        <f aca="0">IF(B664="","",SUMPRODUCT((실물목록!$P$2:$P$1001&lt;&gt;"")*ISNUMBER(SEARCH(실물목록!$P$2:$P$1001,I664))*(실물목록!$Q$2:$Q$1001&lt;&gt;"")*ISNUMBER(SEARCH(실물목록!$Q$2:$Q$1001,I664))*(실물목록!$R$2:$R$1001="")*(실물목록!$O$2:$O$1001&lt;&gt;"")*(실물목록!$O$2:$O$1001=H664)))</f>
      </c>
      <c r="H664" t="str">
        <f>IFERROR(IF(AND(LEN(SUBSTITUTE(SUBSTITUTE(SUBSTITUTE(TRIM(A664&amp;""),CHAR(160),"")," ",""),"년",""))=4,VALUE(SUBSTITUTE(SUBSTITUTE(SUBSTITUTE(TRIM(A664&amp;""),CHAR(160),"")," ",""),"년",""))&gt;=1900,VALUE(SUBSTITUTE(SUBSTITUTE(SUBSTITUTE(TRIM(A664&amp;""),CHAR(160),"")," ",""),"년",""))&lt;=2099,TEXT(VALUE(SUBSTITUTE(SUBSTITUTE(SUBSTITUTE(TRIM(A664&amp;""),CHAR(160),"")," ",""),"년","")),"0000")=SUBSTITUTE(SUBSTITUTE(SUBSTITUTE(TRIM(A664&amp;""),CHAR(160),"")," ",""),"년","")),SUBSTITUTE(SUBSTITUTE(SUBSTITUTE(TRIM(A664&amp;""),CHAR(160),"")," ",""),"년",""),""),"")</f>
      </c>
      <c r="I664" t="str">
        <f>SUBSTITUTE(SUBSTITUTE(SUBSTITUTE(SUBSTITUTE(SUBSTITUTE(TRIM(B664&amp;""),CHAR(160),"")," ",""),"초등학교","초"),"중학교","중"),"고등학교","고")</f>
      </c>
    </row>
    <row r="665" customFormat="false" ht="15" hidden="false" customHeight="false" outlineLevel="0" collapsed="false">
      <c r="A665" s="8"/>
      <c r="B665" s="8"/>
      <c r="C665" s="8"/>
      <c r="D665" s="8"/>
      <c r="E665" s="8"/>
      <c r="F665" t="str" s="15">
        <f aca="0">IF(B665="","",IF(H665="","확인필요(입력누락)",IF(SUMPRODUCT((실물목록!$P$2:$P$1001&lt;&gt;"")*ISNUMBER(SEARCH(실물목록!$P$2:$P$1001,I665))*(실물목록!$Q$2:$Q$1001&lt;&gt;"")*ISNUMBER(SEARCH(실물목록!$Q$2:$Q$1001,I665))*(실물목록!$R$2:$R$1001="")*(실물목록!$O$2:$O$1001&lt;&gt;"")*(실물목록!$O$2:$O$1001=H665))&gt;0,"실물 있음",IF(SUMPRODUCT((실물목록!$P$2:$P$1001&lt;&gt;"")*ISNUMBER(SEARCH(실물목록!$P$2:$P$1001,I665))*(실물목록!$R$2:$R$1001&lt;&gt;""))&gt;0,"확인필요(입력누락)",IF(SUMPRODUCT((실물목록!$P$2:$P$1001&lt;&gt;"")*ISNUMBER(SEARCH(실물목록!$P$2:$P$1001,I665))*(실물목록!$Q$2:$Q$1001&lt;&gt;"")*ISNUMBER(SEARCH(실물목록!$Q$2:$Q$1001,I665))*(실물목록!$R$2:$R$1001="")*(실물목록!$O$2:$O$1001&lt;&gt;""))&gt;0,"확인필요(연도다름)","실물 없음")))))</f>
      </c>
      <c r="G665" t="n" s="16">
        <f aca="0">IF(B665="","",SUMPRODUCT((실물목록!$P$2:$P$1001&lt;&gt;"")*ISNUMBER(SEARCH(실물목록!$P$2:$P$1001,I665))*(실물목록!$Q$2:$Q$1001&lt;&gt;"")*ISNUMBER(SEARCH(실물목록!$Q$2:$Q$1001,I665))*(실물목록!$R$2:$R$1001="")*(실물목록!$O$2:$O$1001&lt;&gt;"")*(실물목록!$O$2:$O$1001=H665)))</f>
      </c>
      <c r="H665" t="str">
        <f>IFERROR(IF(AND(LEN(SUBSTITUTE(SUBSTITUTE(SUBSTITUTE(TRIM(A665&amp;""),CHAR(160),"")," ",""),"년",""))=4,VALUE(SUBSTITUTE(SUBSTITUTE(SUBSTITUTE(TRIM(A665&amp;""),CHAR(160),"")," ",""),"년",""))&gt;=1900,VALUE(SUBSTITUTE(SUBSTITUTE(SUBSTITUTE(TRIM(A665&amp;""),CHAR(160),"")," ",""),"년",""))&lt;=2099,TEXT(VALUE(SUBSTITUTE(SUBSTITUTE(SUBSTITUTE(TRIM(A665&amp;""),CHAR(160),"")," ",""),"년","")),"0000")=SUBSTITUTE(SUBSTITUTE(SUBSTITUTE(TRIM(A665&amp;""),CHAR(160),"")," ",""),"년","")),SUBSTITUTE(SUBSTITUTE(SUBSTITUTE(TRIM(A665&amp;""),CHAR(160),"")," ",""),"년",""),""),"")</f>
      </c>
      <c r="I665" t="str">
        <f>SUBSTITUTE(SUBSTITUTE(SUBSTITUTE(SUBSTITUTE(SUBSTITUTE(TRIM(B665&amp;""),CHAR(160),"")," ",""),"초등학교","초"),"중학교","중"),"고등학교","고")</f>
      </c>
    </row>
    <row r="666" customFormat="false" ht="15" hidden="false" customHeight="false" outlineLevel="0" collapsed="false">
      <c r="A666" s="8"/>
      <c r="B666" s="8"/>
      <c r="C666" s="8"/>
      <c r="D666" s="8"/>
      <c r="E666" s="8"/>
      <c r="F666" t="str" s="15">
        <f aca="0">IF(B666="","",IF(H666="","확인필요(입력누락)",IF(SUMPRODUCT((실물목록!$P$2:$P$1001&lt;&gt;"")*ISNUMBER(SEARCH(실물목록!$P$2:$P$1001,I666))*(실물목록!$Q$2:$Q$1001&lt;&gt;"")*ISNUMBER(SEARCH(실물목록!$Q$2:$Q$1001,I666))*(실물목록!$R$2:$R$1001="")*(실물목록!$O$2:$O$1001&lt;&gt;"")*(실물목록!$O$2:$O$1001=H666))&gt;0,"실물 있음",IF(SUMPRODUCT((실물목록!$P$2:$P$1001&lt;&gt;"")*ISNUMBER(SEARCH(실물목록!$P$2:$P$1001,I666))*(실물목록!$R$2:$R$1001&lt;&gt;""))&gt;0,"확인필요(입력누락)",IF(SUMPRODUCT((실물목록!$P$2:$P$1001&lt;&gt;"")*ISNUMBER(SEARCH(실물목록!$P$2:$P$1001,I666))*(실물목록!$Q$2:$Q$1001&lt;&gt;"")*ISNUMBER(SEARCH(실물목록!$Q$2:$Q$1001,I666))*(실물목록!$R$2:$R$1001="")*(실물목록!$O$2:$O$1001&lt;&gt;""))&gt;0,"확인필요(연도다름)","실물 없음")))))</f>
      </c>
      <c r="G666" t="n" s="16">
        <f aca="0">IF(B666="","",SUMPRODUCT((실물목록!$P$2:$P$1001&lt;&gt;"")*ISNUMBER(SEARCH(실물목록!$P$2:$P$1001,I666))*(실물목록!$Q$2:$Q$1001&lt;&gt;"")*ISNUMBER(SEARCH(실물목록!$Q$2:$Q$1001,I666))*(실물목록!$R$2:$R$1001="")*(실물목록!$O$2:$O$1001&lt;&gt;"")*(실물목록!$O$2:$O$1001=H666)))</f>
      </c>
      <c r="H666" t="str">
        <f>IFERROR(IF(AND(LEN(SUBSTITUTE(SUBSTITUTE(SUBSTITUTE(TRIM(A666&amp;""),CHAR(160),"")," ",""),"년",""))=4,VALUE(SUBSTITUTE(SUBSTITUTE(SUBSTITUTE(TRIM(A666&amp;""),CHAR(160),"")," ",""),"년",""))&gt;=1900,VALUE(SUBSTITUTE(SUBSTITUTE(SUBSTITUTE(TRIM(A666&amp;""),CHAR(160),"")," ",""),"년",""))&lt;=2099,TEXT(VALUE(SUBSTITUTE(SUBSTITUTE(SUBSTITUTE(TRIM(A666&amp;""),CHAR(160),"")," ",""),"년","")),"0000")=SUBSTITUTE(SUBSTITUTE(SUBSTITUTE(TRIM(A666&amp;""),CHAR(160),"")," ",""),"년","")),SUBSTITUTE(SUBSTITUTE(SUBSTITUTE(TRIM(A666&amp;""),CHAR(160),"")," ",""),"년",""),""),"")</f>
      </c>
      <c r="I666" t="str">
        <f>SUBSTITUTE(SUBSTITUTE(SUBSTITUTE(SUBSTITUTE(SUBSTITUTE(TRIM(B666&amp;""),CHAR(160),"")," ",""),"초등학교","초"),"중학교","중"),"고등학교","고")</f>
      </c>
    </row>
    <row r="667" customFormat="false" ht="15" hidden="false" customHeight="false" outlineLevel="0" collapsed="false">
      <c r="A667" s="8"/>
      <c r="B667" s="8"/>
      <c r="C667" s="8"/>
      <c r="D667" s="8"/>
      <c r="E667" s="8"/>
      <c r="F667" t="str" s="15">
        <f aca="0">IF(B667="","",IF(H667="","확인필요(입력누락)",IF(SUMPRODUCT((실물목록!$P$2:$P$1001&lt;&gt;"")*ISNUMBER(SEARCH(실물목록!$P$2:$P$1001,I667))*(실물목록!$Q$2:$Q$1001&lt;&gt;"")*ISNUMBER(SEARCH(실물목록!$Q$2:$Q$1001,I667))*(실물목록!$R$2:$R$1001="")*(실물목록!$O$2:$O$1001&lt;&gt;"")*(실물목록!$O$2:$O$1001=H667))&gt;0,"실물 있음",IF(SUMPRODUCT((실물목록!$P$2:$P$1001&lt;&gt;"")*ISNUMBER(SEARCH(실물목록!$P$2:$P$1001,I667))*(실물목록!$R$2:$R$1001&lt;&gt;""))&gt;0,"확인필요(입력누락)",IF(SUMPRODUCT((실물목록!$P$2:$P$1001&lt;&gt;"")*ISNUMBER(SEARCH(실물목록!$P$2:$P$1001,I667))*(실물목록!$Q$2:$Q$1001&lt;&gt;"")*ISNUMBER(SEARCH(실물목록!$Q$2:$Q$1001,I667))*(실물목록!$R$2:$R$1001="")*(실물목록!$O$2:$O$1001&lt;&gt;""))&gt;0,"확인필요(연도다름)","실물 없음")))))</f>
      </c>
      <c r="G667" t="n" s="16">
        <f aca="0">IF(B667="","",SUMPRODUCT((실물목록!$P$2:$P$1001&lt;&gt;"")*ISNUMBER(SEARCH(실물목록!$P$2:$P$1001,I667))*(실물목록!$Q$2:$Q$1001&lt;&gt;"")*ISNUMBER(SEARCH(실물목록!$Q$2:$Q$1001,I667))*(실물목록!$R$2:$R$1001="")*(실물목록!$O$2:$O$1001&lt;&gt;"")*(실물목록!$O$2:$O$1001=H667)))</f>
      </c>
      <c r="H667" t="str">
        <f>IFERROR(IF(AND(LEN(SUBSTITUTE(SUBSTITUTE(SUBSTITUTE(TRIM(A667&amp;""),CHAR(160),"")," ",""),"년",""))=4,VALUE(SUBSTITUTE(SUBSTITUTE(SUBSTITUTE(TRIM(A667&amp;""),CHAR(160),"")," ",""),"년",""))&gt;=1900,VALUE(SUBSTITUTE(SUBSTITUTE(SUBSTITUTE(TRIM(A667&amp;""),CHAR(160),"")," ",""),"년",""))&lt;=2099,TEXT(VALUE(SUBSTITUTE(SUBSTITUTE(SUBSTITUTE(TRIM(A667&amp;""),CHAR(160),"")," ",""),"년","")),"0000")=SUBSTITUTE(SUBSTITUTE(SUBSTITUTE(TRIM(A667&amp;""),CHAR(160),"")," ",""),"년","")),SUBSTITUTE(SUBSTITUTE(SUBSTITUTE(TRIM(A667&amp;""),CHAR(160),"")," ",""),"년",""),""),"")</f>
      </c>
      <c r="I667" t="str">
        <f>SUBSTITUTE(SUBSTITUTE(SUBSTITUTE(SUBSTITUTE(SUBSTITUTE(TRIM(B667&amp;""),CHAR(160),"")," ",""),"초등학교","초"),"중학교","중"),"고등학교","고")</f>
      </c>
    </row>
    <row r="668" customFormat="false" ht="15" hidden="false" customHeight="false" outlineLevel="0" collapsed="false">
      <c r="A668" s="8"/>
      <c r="B668" s="8"/>
      <c r="C668" s="8"/>
      <c r="D668" s="8"/>
      <c r="E668" s="8"/>
      <c r="F668" t="str" s="15">
        <f aca="0">IF(B668="","",IF(H668="","확인필요(입력누락)",IF(SUMPRODUCT((실물목록!$P$2:$P$1001&lt;&gt;"")*ISNUMBER(SEARCH(실물목록!$P$2:$P$1001,I668))*(실물목록!$Q$2:$Q$1001&lt;&gt;"")*ISNUMBER(SEARCH(실물목록!$Q$2:$Q$1001,I668))*(실물목록!$R$2:$R$1001="")*(실물목록!$O$2:$O$1001&lt;&gt;"")*(실물목록!$O$2:$O$1001=H668))&gt;0,"실물 있음",IF(SUMPRODUCT((실물목록!$P$2:$P$1001&lt;&gt;"")*ISNUMBER(SEARCH(실물목록!$P$2:$P$1001,I668))*(실물목록!$R$2:$R$1001&lt;&gt;""))&gt;0,"확인필요(입력누락)",IF(SUMPRODUCT((실물목록!$P$2:$P$1001&lt;&gt;"")*ISNUMBER(SEARCH(실물목록!$P$2:$P$1001,I668))*(실물목록!$Q$2:$Q$1001&lt;&gt;"")*ISNUMBER(SEARCH(실물목록!$Q$2:$Q$1001,I668))*(실물목록!$R$2:$R$1001="")*(실물목록!$O$2:$O$1001&lt;&gt;""))&gt;0,"확인필요(연도다름)","실물 없음")))))</f>
      </c>
      <c r="G668" t="n" s="16">
        <f aca="0">IF(B668="","",SUMPRODUCT((실물목록!$P$2:$P$1001&lt;&gt;"")*ISNUMBER(SEARCH(실물목록!$P$2:$P$1001,I668))*(실물목록!$Q$2:$Q$1001&lt;&gt;"")*ISNUMBER(SEARCH(실물목록!$Q$2:$Q$1001,I668))*(실물목록!$R$2:$R$1001="")*(실물목록!$O$2:$O$1001&lt;&gt;"")*(실물목록!$O$2:$O$1001=H668)))</f>
      </c>
      <c r="H668" t="str">
        <f>IFERROR(IF(AND(LEN(SUBSTITUTE(SUBSTITUTE(SUBSTITUTE(TRIM(A668&amp;""),CHAR(160),"")," ",""),"년",""))=4,VALUE(SUBSTITUTE(SUBSTITUTE(SUBSTITUTE(TRIM(A668&amp;""),CHAR(160),"")," ",""),"년",""))&gt;=1900,VALUE(SUBSTITUTE(SUBSTITUTE(SUBSTITUTE(TRIM(A668&amp;""),CHAR(160),"")," ",""),"년",""))&lt;=2099,TEXT(VALUE(SUBSTITUTE(SUBSTITUTE(SUBSTITUTE(TRIM(A668&amp;""),CHAR(160),"")," ",""),"년","")),"0000")=SUBSTITUTE(SUBSTITUTE(SUBSTITUTE(TRIM(A668&amp;""),CHAR(160),"")," ",""),"년","")),SUBSTITUTE(SUBSTITUTE(SUBSTITUTE(TRIM(A668&amp;""),CHAR(160),"")," ",""),"년",""),""),"")</f>
      </c>
      <c r="I668" t="str">
        <f>SUBSTITUTE(SUBSTITUTE(SUBSTITUTE(SUBSTITUTE(SUBSTITUTE(TRIM(B668&amp;""),CHAR(160),"")," ",""),"초등학교","초"),"중학교","중"),"고등학교","고")</f>
      </c>
    </row>
    <row r="669" customFormat="false" ht="15" hidden="false" customHeight="false" outlineLevel="0" collapsed="false">
      <c r="A669" s="8"/>
      <c r="B669" s="8"/>
      <c r="C669" s="8"/>
      <c r="D669" s="8"/>
      <c r="E669" s="8"/>
      <c r="F669" t="str" s="15">
        <f aca="0">IF(B669="","",IF(H669="","확인필요(입력누락)",IF(SUMPRODUCT((실물목록!$P$2:$P$1001&lt;&gt;"")*ISNUMBER(SEARCH(실물목록!$P$2:$P$1001,I669))*(실물목록!$Q$2:$Q$1001&lt;&gt;"")*ISNUMBER(SEARCH(실물목록!$Q$2:$Q$1001,I669))*(실물목록!$R$2:$R$1001="")*(실물목록!$O$2:$O$1001&lt;&gt;"")*(실물목록!$O$2:$O$1001=H669))&gt;0,"실물 있음",IF(SUMPRODUCT((실물목록!$P$2:$P$1001&lt;&gt;"")*ISNUMBER(SEARCH(실물목록!$P$2:$P$1001,I669))*(실물목록!$R$2:$R$1001&lt;&gt;""))&gt;0,"확인필요(입력누락)",IF(SUMPRODUCT((실물목록!$P$2:$P$1001&lt;&gt;"")*ISNUMBER(SEARCH(실물목록!$P$2:$P$1001,I669))*(실물목록!$Q$2:$Q$1001&lt;&gt;"")*ISNUMBER(SEARCH(실물목록!$Q$2:$Q$1001,I669))*(실물목록!$R$2:$R$1001="")*(실물목록!$O$2:$O$1001&lt;&gt;""))&gt;0,"확인필요(연도다름)","실물 없음")))))</f>
      </c>
      <c r="G669" t="n" s="16">
        <f aca="0">IF(B669="","",SUMPRODUCT((실물목록!$P$2:$P$1001&lt;&gt;"")*ISNUMBER(SEARCH(실물목록!$P$2:$P$1001,I669))*(실물목록!$Q$2:$Q$1001&lt;&gt;"")*ISNUMBER(SEARCH(실물목록!$Q$2:$Q$1001,I669))*(실물목록!$R$2:$R$1001="")*(실물목록!$O$2:$O$1001&lt;&gt;"")*(실물목록!$O$2:$O$1001=H669)))</f>
      </c>
      <c r="H669" t="str">
        <f>IFERROR(IF(AND(LEN(SUBSTITUTE(SUBSTITUTE(SUBSTITUTE(TRIM(A669&amp;""),CHAR(160),"")," ",""),"년",""))=4,VALUE(SUBSTITUTE(SUBSTITUTE(SUBSTITUTE(TRIM(A669&amp;""),CHAR(160),"")," ",""),"년",""))&gt;=1900,VALUE(SUBSTITUTE(SUBSTITUTE(SUBSTITUTE(TRIM(A669&amp;""),CHAR(160),"")," ",""),"년",""))&lt;=2099,TEXT(VALUE(SUBSTITUTE(SUBSTITUTE(SUBSTITUTE(TRIM(A669&amp;""),CHAR(160),"")," ",""),"년","")),"0000")=SUBSTITUTE(SUBSTITUTE(SUBSTITUTE(TRIM(A669&amp;""),CHAR(160),"")," ",""),"년","")),SUBSTITUTE(SUBSTITUTE(SUBSTITUTE(TRIM(A669&amp;""),CHAR(160),"")," ",""),"년",""),""),"")</f>
      </c>
      <c r="I669" t="str">
        <f>SUBSTITUTE(SUBSTITUTE(SUBSTITUTE(SUBSTITUTE(SUBSTITUTE(TRIM(B669&amp;""),CHAR(160),"")," ",""),"초등학교","초"),"중학교","중"),"고등학교","고")</f>
      </c>
    </row>
    <row r="670" customFormat="false" ht="15" hidden="false" customHeight="false" outlineLevel="0" collapsed="false">
      <c r="A670" s="8"/>
      <c r="B670" s="8"/>
      <c r="C670" s="8"/>
      <c r="D670" s="8"/>
      <c r="E670" s="8"/>
      <c r="F670" t="str" s="15">
        <f aca="0">IF(B670="","",IF(H670="","확인필요(입력누락)",IF(SUMPRODUCT((실물목록!$P$2:$P$1001&lt;&gt;"")*ISNUMBER(SEARCH(실물목록!$P$2:$P$1001,I670))*(실물목록!$Q$2:$Q$1001&lt;&gt;"")*ISNUMBER(SEARCH(실물목록!$Q$2:$Q$1001,I670))*(실물목록!$R$2:$R$1001="")*(실물목록!$O$2:$O$1001&lt;&gt;"")*(실물목록!$O$2:$O$1001=H670))&gt;0,"실물 있음",IF(SUMPRODUCT((실물목록!$P$2:$P$1001&lt;&gt;"")*ISNUMBER(SEARCH(실물목록!$P$2:$P$1001,I670))*(실물목록!$R$2:$R$1001&lt;&gt;""))&gt;0,"확인필요(입력누락)",IF(SUMPRODUCT((실물목록!$P$2:$P$1001&lt;&gt;"")*ISNUMBER(SEARCH(실물목록!$P$2:$P$1001,I670))*(실물목록!$Q$2:$Q$1001&lt;&gt;"")*ISNUMBER(SEARCH(실물목록!$Q$2:$Q$1001,I670))*(실물목록!$R$2:$R$1001="")*(실물목록!$O$2:$O$1001&lt;&gt;""))&gt;0,"확인필요(연도다름)","실물 없음")))))</f>
      </c>
      <c r="G670" t="n" s="16">
        <f aca="0">IF(B670="","",SUMPRODUCT((실물목록!$P$2:$P$1001&lt;&gt;"")*ISNUMBER(SEARCH(실물목록!$P$2:$P$1001,I670))*(실물목록!$Q$2:$Q$1001&lt;&gt;"")*ISNUMBER(SEARCH(실물목록!$Q$2:$Q$1001,I670))*(실물목록!$R$2:$R$1001="")*(실물목록!$O$2:$O$1001&lt;&gt;"")*(실물목록!$O$2:$O$1001=H670)))</f>
      </c>
      <c r="H670" t="str">
        <f>IFERROR(IF(AND(LEN(SUBSTITUTE(SUBSTITUTE(SUBSTITUTE(TRIM(A670&amp;""),CHAR(160),"")," ",""),"년",""))=4,VALUE(SUBSTITUTE(SUBSTITUTE(SUBSTITUTE(TRIM(A670&amp;""),CHAR(160),"")," ",""),"년",""))&gt;=1900,VALUE(SUBSTITUTE(SUBSTITUTE(SUBSTITUTE(TRIM(A670&amp;""),CHAR(160),"")," ",""),"년",""))&lt;=2099,TEXT(VALUE(SUBSTITUTE(SUBSTITUTE(SUBSTITUTE(TRIM(A670&amp;""),CHAR(160),"")," ",""),"년","")),"0000")=SUBSTITUTE(SUBSTITUTE(SUBSTITUTE(TRIM(A670&amp;""),CHAR(160),"")," ",""),"년","")),SUBSTITUTE(SUBSTITUTE(SUBSTITUTE(TRIM(A670&amp;""),CHAR(160),"")," ",""),"년",""),""),"")</f>
      </c>
      <c r="I670" t="str">
        <f>SUBSTITUTE(SUBSTITUTE(SUBSTITUTE(SUBSTITUTE(SUBSTITUTE(TRIM(B670&amp;""),CHAR(160),"")," ",""),"초등학교","초"),"중학교","중"),"고등학교","고")</f>
      </c>
    </row>
    <row r="671" customFormat="false" ht="15" hidden="false" customHeight="false" outlineLevel="0" collapsed="false">
      <c r="A671" s="8"/>
      <c r="B671" s="8"/>
      <c r="C671" s="8"/>
      <c r="D671" s="8"/>
      <c r="E671" s="8"/>
      <c r="F671" t="str" s="15">
        <f aca="0">IF(B671="","",IF(H671="","확인필요(입력누락)",IF(SUMPRODUCT((실물목록!$P$2:$P$1001&lt;&gt;"")*ISNUMBER(SEARCH(실물목록!$P$2:$P$1001,I671))*(실물목록!$Q$2:$Q$1001&lt;&gt;"")*ISNUMBER(SEARCH(실물목록!$Q$2:$Q$1001,I671))*(실물목록!$R$2:$R$1001="")*(실물목록!$O$2:$O$1001&lt;&gt;"")*(실물목록!$O$2:$O$1001=H671))&gt;0,"실물 있음",IF(SUMPRODUCT((실물목록!$P$2:$P$1001&lt;&gt;"")*ISNUMBER(SEARCH(실물목록!$P$2:$P$1001,I671))*(실물목록!$R$2:$R$1001&lt;&gt;""))&gt;0,"확인필요(입력누락)",IF(SUMPRODUCT((실물목록!$P$2:$P$1001&lt;&gt;"")*ISNUMBER(SEARCH(실물목록!$P$2:$P$1001,I671))*(실물목록!$Q$2:$Q$1001&lt;&gt;"")*ISNUMBER(SEARCH(실물목록!$Q$2:$Q$1001,I671))*(실물목록!$R$2:$R$1001="")*(실물목록!$O$2:$O$1001&lt;&gt;""))&gt;0,"확인필요(연도다름)","실물 없음")))))</f>
      </c>
      <c r="G671" t="n" s="16">
        <f aca="0">IF(B671="","",SUMPRODUCT((실물목록!$P$2:$P$1001&lt;&gt;"")*ISNUMBER(SEARCH(실물목록!$P$2:$P$1001,I671))*(실물목록!$Q$2:$Q$1001&lt;&gt;"")*ISNUMBER(SEARCH(실물목록!$Q$2:$Q$1001,I671))*(실물목록!$R$2:$R$1001="")*(실물목록!$O$2:$O$1001&lt;&gt;"")*(실물목록!$O$2:$O$1001=H671)))</f>
      </c>
      <c r="H671" t="str">
        <f>IFERROR(IF(AND(LEN(SUBSTITUTE(SUBSTITUTE(SUBSTITUTE(TRIM(A671&amp;""),CHAR(160),"")," ",""),"년",""))=4,VALUE(SUBSTITUTE(SUBSTITUTE(SUBSTITUTE(TRIM(A671&amp;""),CHAR(160),"")," ",""),"년",""))&gt;=1900,VALUE(SUBSTITUTE(SUBSTITUTE(SUBSTITUTE(TRIM(A671&amp;""),CHAR(160),"")," ",""),"년",""))&lt;=2099,TEXT(VALUE(SUBSTITUTE(SUBSTITUTE(SUBSTITUTE(TRIM(A671&amp;""),CHAR(160),"")," ",""),"년","")),"0000")=SUBSTITUTE(SUBSTITUTE(SUBSTITUTE(TRIM(A671&amp;""),CHAR(160),"")," ",""),"년","")),SUBSTITUTE(SUBSTITUTE(SUBSTITUTE(TRIM(A671&amp;""),CHAR(160),"")," ",""),"년",""),""),"")</f>
      </c>
      <c r="I671" t="str">
        <f>SUBSTITUTE(SUBSTITUTE(SUBSTITUTE(SUBSTITUTE(SUBSTITUTE(TRIM(B671&amp;""),CHAR(160),"")," ",""),"초등학교","초"),"중학교","중"),"고등학교","고")</f>
      </c>
    </row>
    <row r="672" customFormat="false" ht="15" hidden="false" customHeight="false" outlineLevel="0" collapsed="false">
      <c r="A672" s="8"/>
      <c r="B672" s="8"/>
      <c r="C672" s="8"/>
      <c r="D672" s="8"/>
      <c r="E672" s="8"/>
      <c r="F672" t="str" s="15">
        <f aca="0">IF(B672="","",IF(H672="","확인필요(입력누락)",IF(SUMPRODUCT((실물목록!$P$2:$P$1001&lt;&gt;"")*ISNUMBER(SEARCH(실물목록!$P$2:$P$1001,I672))*(실물목록!$Q$2:$Q$1001&lt;&gt;"")*ISNUMBER(SEARCH(실물목록!$Q$2:$Q$1001,I672))*(실물목록!$R$2:$R$1001="")*(실물목록!$O$2:$O$1001&lt;&gt;"")*(실물목록!$O$2:$O$1001=H672))&gt;0,"실물 있음",IF(SUMPRODUCT((실물목록!$P$2:$P$1001&lt;&gt;"")*ISNUMBER(SEARCH(실물목록!$P$2:$P$1001,I672))*(실물목록!$R$2:$R$1001&lt;&gt;""))&gt;0,"확인필요(입력누락)",IF(SUMPRODUCT((실물목록!$P$2:$P$1001&lt;&gt;"")*ISNUMBER(SEARCH(실물목록!$P$2:$P$1001,I672))*(실물목록!$Q$2:$Q$1001&lt;&gt;"")*ISNUMBER(SEARCH(실물목록!$Q$2:$Q$1001,I672))*(실물목록!$R$2:$R$1001="")*(실물목록!$O$2:$O$1001&lt;&gt;""))&gt;0,"확인필요(연도다름)","실물 없음")))))</f>
      </c>
      <c r="G672" t="n" s="16">
        <f aca="0">IF(B672="","",SUMPRODUCT((실물목록!$P$2:$P$1001&lt;&gt;"")*ISNUMBER(SEARCH(실물목록!$P$2:$P$1001,I672))*(실물목록!$Q$2:$Q$1001&lt;&gt;"")*ISNUMBER(SEARCH(실물목록!$Q$2:$Q$1001,I672))*(실물목록!$R$2:$R$1001="")*(실물목록!$O$2:$O$1001&lt;&gt;"")*(실물목록!$O$2:$O$1001=H672)))</f>
      </c>
      <c r="H672" t="str">
        <f>IFERROR(IF(AND(LEN(SUBSTITUTE(SUBSTITUTE(SUBSTITUTE(TRIM(A672&amp;""),CHAR(160),"")," ",""),"년",""))=4,VALUE(SUBSTITUTE(SUBSTITUTE(SUBSTITUTE(TRIM(A672&amp;""),CHAR(160),"")," ",""),"년",""))&gt;=1900,VALUE(SUBSTITUTE(SUBSTITUTE(SUBSTITUTE(TRIM(A672&amp;""),CHAR(160),"")," ",""),"년",""))&lt;=2099,TEXT(VALUE(SUBSTITUTE(SUBSTITUTE(SUBSTITUTE(TRIM(A672&amp;""),CHAR(160),"")," ",""),"년","")),"0000")=SUBSTITUTE(SUBSTITUTE(SUBSTITUTE(TRIM(A672&amp;""),CHAR(160),"")," ",""),"년","")),SUBSTITUTE(SUBSTITUTE(SUBSTITUTE(TRIM(A672&amp;""),CHAR(160),"")," ",""),"년",""),""),"")</f>
      </c>
      <c r="I672" t="str">
        <f>SUBSTITUTE(SUBSTITUTE(SUBSTITUTE(SUBSTITUTE(SUBSTITUTE(TRIM(B672&amp;""),CHAR(160),"")," ",""),"초등학교","초"),"중학교","중"),"고등학교","고")</f>
      </c>
    </row>
    <row r="673" customFormat="false" ht="15" hidden="false" customHeight="false" outlineLevel="0" collapsed="false">
      <c r="A673" s="8"/>
      <c r="B673" s="8"/>
      <c r="C673" s="8"/>
      <c r="D673" s="8"/>
      <c r="E673" s="8"/>
      <c r="F673" t="str" s="15">
        <f aca="0">IF(B673="","",IF(H673="","확인필요(입력누락)",IF(SUMPRODUCT((실물목록!$P$2:$P$1001&lt;&gt;"")*ISNUMBER(SEARCH(실물목록!$P$2:$P$1001,I673))*(실물목록!$Q$2:$Q$1001&lt;&gt;"")*ISNUMBER(SEARCH(실물목록!$Q$2:$Q$1001,I673))*(실물목록!$R$2:$R$1001="")*(실물목록!$O$2:$O$1001&lt;&gt;"")*(실물목록!$O$2:$O$1001=H673))&gt;0,"실물 있음",IF(SUMPRODUCT((실물목록!$P$2:$P$1001&lt;&gt;"")*ISNUMBER(SEARCH(실물목록!$P$2:$P$1001,I673))*(실물목록!$R$2:$R$1001&lt;&gt;""))&gt;0,"확인필요(입력누락)",IF(SUMPRODUCT((실물목록!$P$2:$P$1001&lt;&gt;"")*ISNUMBER(SEARCH(실물목록!$P$2:$P$1001,I673))*(실물목록!$Q$2:$Q$1001&lt;&gt;"")*ISNUMBER(SEARCH(실물목록!$Q$2:$Q$1001,I673))*(실물목록!$R$2:$R$1001="")*(실물목록!$O$2:$O$1001&lt;&gt;""))&gt;0,"확인필요(연도다름)","실물 없음")))))</f>
      </c>
      <c r="G673" t="n" s="16">
        <f aca="0">IF(B673="","",SUMPRODUCT((실물목록!$P$2:$P$1001&lt;&gt;"")*ISNUMBER(SEARCH(실물목록!$P$2:$P$1001,I673))*(실물목록!$Q$2:$Q$1001&lt;&gt;"")*ISNUMBER(SEARCH(실물목록!$Q$2:$Q$1001,I673))*(실물목록!$R$2:$R$1001="")*(실물목록!$O$2:$O$1001&lt;&gt;"")*(실물목록!$O$2:$O$1001=H673)))</f>
      </c>
      <c r="H673" t="str">
        <f>IFERROR(IF(AND(LEN(SUBSTITUTE(SUBSTITUTE(SUBSTITUTE(TRIM(A673&amp;""),CHAR(160),"")," ",""),"년",""))=4,VALUE(SUBSTITUTE(SUBSTITUTE(SUBSTITUTE(TRIM(A673&amp;""),CHAR(160),"")," ",""),"년",""))&gt;=1900,VALUE(SUBSTITUTE(SUBSTITUTE(SUBSTITUTE(TRIM(A673&amp;""),CHAR(160),"")," ",""),"년",""))&lt;=2099,TEXT(VALUE(SUBSTITUTE(SUBSTITUTE(SUBSTITUTE(TRIM(A673&amp;""),CHAR(160),"")," ",""),"년","")),"0000")=SUBSTITUTE(SUBSTITUTE(SUBSTITUTE(TRIM(A673&amp;""),CHAR(160),"")," ",""),"년","")),SUBSTITUTE(SUBSTITUTE(SUBSTITUTE(TRIM(A673&amp;""),CHAR(160),"")," ",""),"년",""),""),"")</f>
      </c>
      <c r="I673" t="str">
        <f>SUBSTITUTE(SUBSTITUTE(SUBSTITUTE(SUBSTITUTE(SUBSTITUTE(TRIM(B673&amp;""),CHAR(160),"")," ",""),"초등학교","초"),"중학교","중"),"고등학교","고")</f>
      </c>
    </row>
    <row r="674" customFormat="false" ht="15" hidden="false" customHeight="false" outlineLevel="0" collapsed="false">
      <c r="A674" s="8"/>
      <c r="B674" s="8"/>
      <c r="C674" s="8"/>
      <c r="D674" s="8"/>
      <c r="E674" s="8"/>
      <c r="F674" t="str" s="15">
        <f aca="0">IF(B674="","",IF(H674="","확인필요(입력누락)",IF(SUMPRODUCT((실물목록!$P$2:$P$1001&lt;&gt;"")*ISNUMBER(SEARCH(실물목록!$P$2:$P$1001,I674))*(실물목록!$Q$2:$Q$1001&lt;&gt;"")*ISNUMBER(SEARCH(실물목록!$Q$2:$Q$1001,I674))*(실물목록!$R$2:$R$1001="")*(실물목록!$O$2:$O$1001&lt;&gt;"")*(실물목록!$O$2:$O$1001=H674))&gt;0,"실물 있음",IF(SUMPRODUCT((실물목록!$P$2:$P$1001&lt;&gt;"")*ISNUMBER(SEARCH(실물목록!$P$2:$P$1001,I674))*(실물목록!$R$2:$R$1001&lt;&gt;""))&gt;0,"확인필요(입력누락)",IF(SUMPRODUCT((실물목록!$P$2:$P$1001&lt;&gt;"")*ISNUMBER(SEARCH(실물목록!$P$2:$P$1001,I674))*(실물목록!$Q$2:$Q$1001&lt;&gt;"")*ISNUMBER(SEARCH(실물목록!$Q$2:$Q$1001,I674))*(실물목록!$R$2:$R$1001="")*(실물목록!$O$2:$O$1001&lt;&gt;""))&gt;0,"확인필요(연도다름)","실물 없음")))))</f>
      </c>
      <c r="G674" t="n" s="16">
        <f aca="0">IF(B674="","",SUMPRODUCT((실물목록!$P$2:$P$1001&lt;&gt;"")*ISNUMBER(SEARCH(실물목록!$P$2:$P$1001,I674))*(실물목록!$Q$2:$Q$1001&lt;&gt;"")*ISNUMBER(SEARCH(실물목록!$Q$2:$Q$1001,I674))*(실물목록!$R$2:$R$1001="")*(실물목록!$O$2:$O$1001&lt;&gt;"")*(실물목록!$O$2:$O$1001=H674)))</f>
      </c>
      <c r="H674" t="str">
        <f>IFERROR(IF(AND(LEN(SUBSTITUTE(SUBSTITUTE(SUBSTITUTE(TRIM(A674&amp;""),CHAR(160),"")," ",""),"년",""))=4,VALUE(SUBSTITUTE(SUBSTITUTE(SUBSTITUTE(TRIM(A674&amp;""),CHAR(160),"")," ",""),"년",""))&gt;=1900,VALUE(SUBSTITUTE(SUBSTITUTE(SUBSTITUTE(TRIM(A674&amp;""),CHAR(160),"")," ",""),"년",""))&lt;=2099,TEXT(VALUE(SUBSTITUTE(SUBSTITUTE(SUBSTITUTE(TRIM(A674&amp;""),CHAR(160),"")," ",""),"년","")),"0000")=SUBSTITUTE(SUBSTITUTE(SUBSTITUTE(TRIM(A674&amp;""),CHAR(160),"")," ",""),"년","")),SUBSTITUTE(SUBSTITUTE(SUBSTITUTE(TRIM(A674&amp;""),CHAR(160),"")," ",""),"년",""),""),"")</f>
      </c>
      <c r="I674" t="str">
        <f>SUBSTITUTE(SUBSTITUTE(SUBSTITUTE(SUBSTITUTE(SUBSTITUTE(TRIM(B674&amp;""),CHAR(160),"")," ",""),"초등학교","초"),"중학교","중"),"고등학교","고")</f>
      </c>
    </row>
    <row r="675" customFormat="false" ht="15" hidden="false" customHeight="false" outlineLevel="0" collapsed="false">
      <c r="A675" s="8"/>
      <c r="B675" s="8"/>
      <c r="C675" s="8"/>
      <c r="D675" s="8"/>
      <c r="E675" s="8"/>
      <c r="F675" t="str" s="15">
        <f aca="0">IF(B675="","",IF(H675="","확인필요(입력누락)",IF(SUMPRODUCT((실물목록!$P$2:$P$1001&lt;&gt;"")*ISNUMBER(SEARCH(실물목록!$P$2:$P$1001,I675))*(실물목록!$Q$2:$Q$1001&lt;&gt;"")*ISNUMBER(SEARCH(실물목록!$Q$2:$Q$1001,I675))*(실물목록!$R$2:$R$1001="")*(실물목록!$O$2:$O$1001&lt;&gt;"")*(실물목록!$O$2:$O$1001=H675))&gt;0,"실물 있음",IF(SUMPRODUCT((실물목록!$P$2:$P$1001&lt;&gt;"")*ISNUMBER(SEARCH(실물목록!$P$2:$P$1001,I675))*(실물목록!$R$2:$R$1001&lt;&gt;""))&gt;0,"확인필요(입력누락)",IF(SUMPRODUCT((실물목록!$P$2:$P$1001&lt;&gt;"")*ISNUMBER(SEARCH(실물목록!$P$2:$P$1001,I675))*(실물목록!$Q$2:$Q$1001&lt;&gt;"")*ISNUMBER(SEARCH(실물목록!$Q$2:$Q$1001,I675))*(실물목록!$R$2:$R$1001="")*(실물목록!$O$2:$O$1001&lt;&gt;""))&gt;0,"확인필요(연도다름)","실물 없음")))))</f>
      </c>
      <c r="G675" t="n" s="16">
        <f aca="0">IF(B675="","",SUMPRODUCT((실물목록!$P$2:$P$1001&lt;&gt;"")*ISNUMBER(SEARCH(실물목록!$P$2:$P$1001,I675))*(실물목록!$Q$2:$Q$1001&lt;&gt;"")*ISNUMBER(SEARCH(실물목록!$Q$2:$Q$1001,I675))*(실물목록!$R$2:$R$1001="")*(실물목록!$O$2:$O$1001&lt;&gt;"")*(실물목록!$O$2:$O$1001=H675)))</f>
      </c>
      <c r="H675" t="str">
        <f>IFERROR(IF(AND(LEN(SUBSTITUTE(SUBSTITUTE(SUBSTITUTE(TRIM(A675&amp;""),CHAR(160),"")," ",""),"년",""))=4,VALUE(SUBSTITUTE(SUBSTITUTE(SUBSTITUTE(TRIM(A675&amp;""),CHAR(160),"")," ",""),"년",""))&gt;=1900,VALUE(SUBSTITUTE(SUBSTITUTE(SUBSTITUTE(TRIM(A675&amp;""),CHAR(160),"")," ",""),"년",""))&lt;=2099,TEXT(VALUE(SUBSTITUTE(SUBSTITUTE(SUBSTITUTE(TRIM(A675&amp;""),CHAR(160),"")," ",""),"년","")),"0000")=SUBSTITUTE(SUBSTITUTE(SUBSTITUTE(TRIM(A675&amp;""),CHAR(160),"")," ",""),"년","")),SUBSTITUTE(SUBSTITUTE(SUBSTITUTE(TRIM(A675&amp;""),CHAR(160),"")," ",""),"년",""),""),"")</f>
      </c>
      <c r="I675" t="str">
        <f>SUBSTITUTE(SUBSTITUTE(SUBSTITUTE(SUBSTITUTE(SUBSTITUTE(TRIM(B675&amp;""),CHAR(160),"")," ",""),"초등학교","초"),"중학교","중"),"고등학교","고")</f>
      </c>
    </row>
    <row r="676" customFormat="false" ht="15" hidden="false" customHeight="false" outlineLevel="0" collapsed="false">
      <c r="A676" s="8"/>
      <c r="B676" s="8"/>
      <c r="C676" s="8"/>
      <c r="D676" s="8"/>
      <c r="E676" s="8"/>
      <c r="F676" t="str" s="15">
        <f aca="0">IF(B676="","",IF(H676="","확인필요(입력누락)",IF(SUMPRODUCT((실물목록!$P$2:$P$1001&lt;&gt;"")*ISNUMBER(SEARCH(실물목록!$P$2:$P$1001,I676))*(실물목록!$Q$2:$Q$1001&lt;&gt;"")*ISNUMBER(SEARCH(실물목록!$Q$2:$Q$1001,I676))*(실물목록!$R$2:$R$1001="")*(실물목록!$O$2:$O$1001&lt;&gt;"")*(실물목록!$O$2:$O$1001=H676))&gt;0,"실물 있음",IF(SUMPRODUCT((실물목록!$P$2:$P$1001&lt;&gt;"")*ISNUMBER(SEARCH(실물목록!$P$2:$P$1001,I676))*(실물목록!$R$2:$R$1001&lt;&gt;""))&gt;0,"확인필요(입력누락)",IF(SUMPRODUCT((실물목록!$P$2:$P$1001&lt;&gt;"")*ISNUMBER(SEARCH(실물목록!$P$2:$P$1001,I676))*(실물목록!$Q$2:$Q$1001&lt;&gt;"")*ISNUMBER(SEARCH(실물목록!$Q$2:$Q$1001,I676))*(실물목록!$R$2:$R$1001="")*(실물목록!$O$2:$O$1001&lt;&gt;""))&gt;0,"확인필요(연도다름)","실물 없음")))))</f>
      </c>
      <c r="G676" t="n" s="16">
        <f aca="0">IF(B676="","",SUMPRODUCT((실물목록!$P$2:$P$1001&lt;&gt;"")*ISNUMBER(SEARCH(실물목록!$P$2:$P$1001,I676))*(실물목록!$Q$2:$Q$1001&lt;&gt;"")*ISNUMBER(SEARCH(실물목록!$Q$2:$Q$1001,I676))*(실물목록!$R$2:$R$1001="")*(실물목록!$O$2:$O$1001&lt;&gt;"")*(실물목록!$O$2:$O$1001=H676)))</f>
      </c>
      <c r="H676" t="str">
        <f>IFERROR(IF(AND(LEN(SUBSTITUTE(SUBSTITUTE(SUBSTITUTE(TRIM(A676&amp;""),CHAR(160),"")," ",""),"년",""))=4,VALUE(SUBSTITUTE(SUBSTITUTE(SUBSTITUTE(TRIM(A676&amp;""),CHAR(160),"")," ",""),"년",""))&gt;=1900,VALUE(SUBSTITUTE(SUBSTITUTE(SUBSTITUTE(TRIM(A676&amp;""),CHAR(160),"")," ",""),"년",""))&lt;=2099,TEXT(VALUE(SUBSTITUTE(SUBSTITUTE(SUBSTITUTE(TRIM(A676&amp;""),CHAR(160),"")," ",""),"년","")),"0000")=SUBSTITUTE(SUBSTITUTE(SUBSTITUTE(TRIM(A676&amp;""),CHAR(160),"")," ",""),"년","")),SUBSTITUTE(SUBSTITUTE(SUBSTITUTE(TRIM(A676&amp;""),CHAR(160),"")," ",""),"년",""),""),"")</f>
      </c>
      <c r="I676" t="str">
        <f>SUBSTITUTE(SUBSTITUTE(SUBSTITUTE(SUBSTITUTE(SUBSTITUTE(TRIM(B676&amp;""),CHAR(160),"")," ",""),"초등학교","초"),"중학교","중"),"고등학교","고")</f>
      </c>
    </row>
    <row r="677" customFormat="false" ht="15" hidden="false" customHeight="false" outlineLevel="0" collapsed="false">
      <c r="A677" s="8"/>
      <c r="B677" s="8"/>
      <c r="C677" s="8"/>
      <c r="D677" s="8"/>
      <c r="E677" s="8"/>
      <c r="F677" t="str" s="15">
        <f aca="0">IF(B677="","",IF(H677="","확인필요(입력누락)",IF(SUMPRODUCT((실물목록!$P$2:$P$1001&lt;&gt;"")*ISNUMBER(SEARCH(실물목록!$P$2:$P$1001,I677))*(실물목록!$Q$2:$Q$1001&lt;&gt;"")*ISNUMBER(SEARCH(실물목록!$Q$2:$Q$1001,I677))*(실물목록!$R$2:$R$1001="")*(실물목록!$O$2:$O$1001&lt;&gt;"")*(실물목록!$O$2:$O$1001=H677))&gt;0,"실물 있음",IF(SUMPRODUCT((실물목록!$P$2:$P$1001&lt;&gt;"")*ISNUMBER(SEARCH(실물목록!$P$2:$P$1001,I677))*(실물목록!$R$2:$R$1001&lt;&gt;""))&gt;0,"확인필요(입력누락)",IF(SUMPRODUCT((실물목록!$P$2:$P$1001&lt;&gt;"")*ISNUMBER(SEARCH(실물목록!$P$2:$P$1001,I677))*(실물목록!$Q$2:$Q$1001&lt;&gt;"")*ISNUMBER(SEARCH(실물목록!$Q$2:$Q$1001,I677))*(실물목록!$R$2:$R$1001="")*(실물목록!$O$2:$O$1001&lt;&gt;""))&gt;0,"확인필요(연도다름)","실물 없음")))))</f>
      </c>
      <c r="G677" t="n" s="16">
        <f aca="0">IF(B677="","",SUMPRODUCT((실물목록!$P$2:$P$1001&lt;&gt;"")*ISNUMBER(SEARCH(실물목록!$P$2:$P$1001,I677))*(실물목록!$Q$2:$Q$1001&lt;&gt;"")*ISNUMBER(SEARCH(실물목록!$Q$2:$Q$1001,I677))*(실물목록!$R$2:$R$1001="")*(실물목록!$O$2:$O$1001&lt;&gt;"")*(실물목록!$O$2:$O$1001=H677)))</f>
      </c>
      <c r="H677" t="str">
        <f>IFERROR(IF(AND(LEN(SUBSTITUTE(SUBSTITUTE(SUBSTITUTE(TRIM(A677&amp;""),CHAR(160),"")," ",""),"년",""))=4,VALUE(SUBSTITUTE(SUBSTITUTE(SUBSTITUTE(TRIM(A677&amp;""),CHAR(160),"")," ",""),"년",""))&gt;=1900,VALUE(SUBSTITUTE(SUBSTITUTE(SUBSTITUTE(TRIM(A677&amp;""),CHAR(160),"")," ",""),"년",""))&lt;=2099,TEXT(VALUE(SUBSTITUTE(SUBSTITUTE(SUBSTITUTE(TRIM(A677&amp;""),CHAR(160),"")," ",""),"년","")),"0000")=SUBSTITUTE(SUBSTITUTE(SUBSTITUTE(TRIM(A677&amp;""),CHAR(160),"")," ",""),"년","")),SUBSTITUTE(SUBSTITUTE(SUBSTITUTE(TRIM(A677&amp;""),CHAR(160),"")," ",""),"년",""),""),"")</f>
      </c>
      <c r="I677" t="str">
        <f>SUBSTITUTE(SUBSTITUTE(SUBSTITUTE(SUBSTITUTE(SUBSTITUTE(TRIM(B677&amp;""),CHAR(160),"")," ",""),"초등학교","초"),"중학교","중"),"고등학교","고")</f>
      </c>
    </row>
    <row r="678" customFormat="false" ht="15" hidden="false" customHeight="false" outlineLevel="0" collapsed="false">
      <c r="A678" s="8"/>
      <c r="B678" s="8"/>
      <c r="C678" s="8"/>
      <c r="D678" s="8"/>
      <c r="E678" s="8"/>
      <c r="F678" t="str" s="15">
        <f aca="0">IF(B678="","",IF(H678="","확인필요(입력누락)",IF(SUMPRODUCT((실물목록!$P$2:$P$1001&lt;&gt;"")*ISNUMBER(SEARCH(실물목록!$P$2:$P$1001,I678))*(실물목록!$Q$2:$Q$1001&lt;&gt;"")*ISNUMBER(SEARCH(실물목록!$Q$2:$Q$1001,I678))*(실물목록!$R$2:$R$1001="")*(실물목록!$O$2:$O$1001&lt;&gt;"")*(실물목록!$O$2:$O$1001=H678))&gt;0,"실물 있음",IF(SUMPRODUCT((실물목록!$P$2:$P$1001&lt;&gt;"")*ISNUMBER(SEARCH(실물목록!$P$2:$P$1001,I678))*(실물목록!$R$2:$R$1001&lt;&gt;""))&gt;0,"확인필요(입력누락)",IF(SUMPRODUCT((실물목록!$P$2:$P$1001&lt;&gt;"")*ISNUMBER(SEARCH(실물목록!$P$2:$P$1001,I678))*(실물목록!$Q$2:$Q$1001&lt;&gt;"")*ISNUMBER(SEARCH(실물목록!$Q$2:$Q$1001,I678))*(실물목록!$R$2:$R$1001="")*(실물목록!$O$2:$O$1001&lt;&gt;""))&gt;0,"확인필요(연도다름)","실물 없음")))))</f>
      </c>
      <c r="G678" t="n" s="16">
        <f aca="0">IF(B678="","",SUMPRODUCT((실물목록!$P$2:$P$1001&lt;&gt;"")*ISNUMBER(SEARCH(실물목록!$P$2:$P$1001,I678))*(실물목록!$Q$2:$Q$1001&lt;&gt;"")*ISNUMBER(SEARCH(실물목록!$Q$2:$Q$1001,I678))*(실물목록!$R$2:$R$1001="")*(실물목록!$O$2:$O$1001&lt;&gt;"")*(실물목록!$O$2:$O$1001=H678)))</f>
      </c>
      <c r="H678" t="str">
        <f>IFERROR(IF(AND(LEN(SUBSTITUTE(SUBSTITUTE(SUBSTITUTE(TRIM(A678&amp;""),CHAR(160),"")," ",""),"년",""))=4,VALUE(SUBSTITUTE(SUBSTITUTE(SUBSTITUTE(TRIM(A678&amp;""),CHAR(160),"")," ",""),"년",""))&gt;=1900,VALUE(SUBSTITUTE(SUBSTITUTE(SUBSTITUTE(TRIM(A678&amp;""),CHAR(160),"")," ",""),"년",""))&lt;=2099,TEXT(VALUE(SUBSTITUTE(SUBSTITUTE(SUBSTITUTE(TRIM(A678&amp;""),CHAR(160),"")," ",""),"년","")),"0000")=SUBSTITUTE(SUBSTITUTE(SUBSTITUTE(TRIM(A678&amp;""),CHAR(160),"")," ",""),"년","")),SUBSTITUTE(SUBSTITUTE(SUBSTITUTE(TRIM(A678&amp;""),CHAR(160),"")," ",""),"년",""),""),"")</f>
      </c>
      <c r="I678" t="str">
        <f>SUBSTITUTE(SUBSTITUTE(SUBSTITUTE(SUBSTITUTE(SUBSTITUTE(TRIM(B678&amp;""),CHAR(160),"")," ",""),"초등학교","초"),"중학교","중"),"고등학교","고")</f>
      </c>
    </row>
    <row r="679" customFormat="false" ht="15" hidden="false" customHeight="false" outlineLevel="0" collapsed="false">
      <c r="A679" s="8"/>
      <c r="B679" s="8"/>
      <c r="C679" s="8"/>
      <c r="D679" s="8"/>
      <c r="E679" s="8"/>
      <c r="F679" t="str" s="15">
        <f aca="0">IF(B679="","",IF(H679="","확인필요(입력누락)",IF(SUMPRODUCT((실물목록!$P$2:$P$1001&lt;&gt;"")*ISNUMBER(SEARCH(실물목록!$P$2:$P$1001,I679))*(실물목록!$Q$2:$Q$1001&lt;&gt;"")*ISNUMBER(SEARCH(실물목록!$Q$2:$Q$1001,I679))*(실물목록!$R$2:$R$1001="")*(실물목록!$O$2:$O$1001&lt;&gt;"")*(실물목록!$O$2:$O$1001=H679))&gt;0,"실물 있음",IF(SUMPRODUCT((실물목록!$P$2:$P$1001&lt;&gt;"")*ISNUMBER(SEARCH(실물목록!$P$2:$P$1001,I679))*(실물목록!$R$2:$R$1001&lt;&gt;""))&gt;0,"확인필요(입력누락)",IF(SUMPRODUCT((실물목록!$P$2:$P$1001&lt;&gt;"")*ISNUMBER(SEARCH(실물목록!$P$2:$P$1001,I679))*(실물목록!$Q$2:$Q$1001&lt;&gt;"")*ISNUMBER(SEARCH(실물목록!$Q$2:$Q$1001,I679))*(실물목록!$R$2:$R$1001="")*(실물목록!$O$2:$O$1001&lt;&gt;""))&gt;0,"확인필요(연도다름)","실물 없음")))))</f>
      </c>
      <c r="G679" t="n" s="16">
        <f aca="0">IF(B679="","",SUMPRODUCT((실물목록!$P$2:$P$1001&lt;&gt;"")*ISNUMBER(SEARCH(실물목록!$P$2:$P$1001,I679))*(실물목록!$Q$2:$Q$1001&lt;&gt;"")*ISNUMBER(SEARCH(실물목록!$Q$2:$Q$1001,I679))*(실물목록!$R$2:$R$1001="")*(실물목록!$O$2:$O$1001&lt;&gt;"")*(실물목록!$O$2:$O$1001=H679)))</f>
      </c>
      <c r="H679" t="str">
        <f>IFERROR(IF(AND(LEN(SUBSTITUTE(SUBSTITUTE(SUBSTITUTE(TRIM(A679&amp;""),CHAR(160),"")," ",""),"년",""))=4,VALUE(SUBSTITUTE(SUBSTITUTE(SUBSTITUTE(TRIM(A679&amp;""),CHAR(160),"")," ",""),"년",""))&gt;=1900,VALUE(SUBSTITUTE(SUBSTITUTE(SUBSTITUTE(TRIM(A679&amp;""),CHAR(160),"")," ",""),"년",""))&lt;=2099,TEXT(VALUE(SUBSTITUTE(SUBSTITUTE(SUBSTITUTE(TRIM(A679&amp;""),CHAR(160),"")," ",""),"년","")),"0000")=SUBSTITUTE(SUBSTITUTE(SUBSTITUTE(TRIM(A679&amp;""),CHAR(160),"")," ",""),"년","")),SUBSTITUTE(SUBSTITUTE(SUBSTITUTE(TRIM(A679&amp;""),CHAR(160),"")," ",""),"년",""),""),"")</f>
      </c>
      <c r="I679" t="str">
        <f>SUBSTITUTE(SUBSTITUTE(SUBSTITUTE(SUBSTITUTE(SUBSTITUTE(TRIM(B679&amp;""),CHAR(160),"")," ",""),"초등학교","초"),"중학교","중"),"고등학교","고")</f>
      </c>
    </row>
    <row r="680" customFormat="false" ht="15" hidden="false" customHeight="false" outlineLevel="0" collapsed="false">
      <c r="A680" s="8"/>
      <c r="B680" s="8"/>
      <c r="C680" s="8"/>
      <c r="D680" s="8"/>
      <c r="E680" s="8"/>
      <c r="F680" t="str" s="15">
        <f aca="0">IF(B680="","",IF(H680="","확인필요(입력누락)",IF(SUMPRODUCT((실물목록!$P$2:$P$1001&lt;&gt;"")*ISNUMBER(SEARCH(실물목록!$P$2:$P$1001,I680))*(실물목록!$Q$2:$Q$1001&lt;&gt;"")*ISNUMBER(SEARCH(실물목록!$Q$2:$Q$1001,I680))*(실물목록!$R$2:$R$1001="")*(실물목록!$O$2:$O$1001&lt;&gt;"")*(실물목록!$O$2:$O$1001=H680))&gt;0,"실물 있음",IF(SUMPRODUCT((실물목록!$P$2:$P$1001&lt;&gt;"")*ISNUMBER(SEARCH(실물목록!$P$2:$P$1001,I680))*(실물목록!$R$2:$R$1001&lt;&gt;""))&gt;0,"확인필요(입력누락)",IF(SUMPRODUCT((실물목록!$P$2:$P$1001&lt;&gt;"")*ISNUMBER(SEARCH(실물목록!$P$2:$P$1001,I680))*(실물목록!$Q$2:$Q$1001&lt;&gt;"")*ISNUMBER(SEARCH(실물목록!$Q$2:$Q$1001,I680))*(실물목록!$R$2:$R$1001="")*(실물목록!$O$2:$O$1001&lt;&gt;""))&gt;0,"확인필요(연도다름)","실물 없음")))))</f>
      </c>
      <c r="G680" t="n" s="16">
        <f aca="0">IF(B680="","",SUMPRODUCT((실물목록!$P$2:$P$1001&lt;&gt;"")*ISNUMBER(SEARCH(실물목록!$P$2:$P$1001,I680))*(실물목록!$Q$2:$Q$1001&lt;&gt;"")*ISNUMBER(SEARCH(실물목록!$Q$2:$Q$1001,I680))*(실물목록!$R$2:$R$1001="")*(실물목록!$O$2:$O$1001&lt;&gt;"")*(실물목록!$O$2:$O$1001=H680)))</f>
      </c>
      <c r="H680" t="str">
        <f>IFERROR(IF(AND(LEN(SUBSTITUTE(SUBSTITUTE(SUBSTITUTE(TRIM(A680&amp;""),CHAR(160),"")," ",""),"년",""))=4,VALUE(SUBSTITUTE(SUBSTITUTE(SUBSTITUTE(TRIM(A680&amp;""),CHAR(160),"")," ",""),"년",""))&gt;=1900,VALUE(SUBSTITUTE(SUBSTITUTE(SUBSTITUTE(TRIM(A680&amp;""),CHAR(160),"")," ",""),"년",""))&lt;=2099,TEXT(VALUE(SUBSTITUTE(SUBSTITUTE(SUBSTITUTE(TRIM(A680&amp;""),CHAR(160),"")," ",""),"년","")),"0000")=SUBSTITUTE(SUBSTITUTE(SUBSTITUTE(TRIM(A680&amp;""),CHAR(160),"")," ",""),"년","")),SUBSTITUTE(SUBSTITUTE(SUBSTITUTE(TRIM(A680&amp;""),CHAR(160),"")," ",""),"년",""),""),"")</f>
      </c>
      <c r="I680" t="str">
        <f>SUBSTITUTE(SUBSTITUTE(SUBSTITUTE(SUBSTITUTE(SUBSTITUTE(TRIM(B680&amp;""),CHAR(160),"")," ",""),"초등학교","초"),"중학교","중"),"고등학교","고")</f>
      </c>
    </row>
    <row r="681" customFormat="false" ht="15" hidden="false" customHeight="false" outlineLevel="0" collapsed="false">
      <c r="A681" s="8"/>
      <c r="B681" s="8"/>
      <c r="C681" s="8"/>
      <c r="D681" s="8"/>
      <c r="E681" s="8"/>
      <c r="F681" t="str" s="15">
        <f aca="0">IF(B681="","",IF(H681="","확인필요(입력누락)",IF(SUMPRODUCT((실물목록!$P$2:$P$1001&lt;&gt;"")*ISNUMBER(SEARCH(실물목록!$P$2:$P$1001,I681))*(실물목록!$Q$2:$Q$1001&lt;&gt;"")*ISNUMBER(SEARCH(실물목록!$Q$2:$Q$1001,I681))*(실물목록!$R$2:$R$1001="")*(실물목록!$O$2:$O$1001&lt;&gt;"")*(실물목록!$O$2:$O$1001=H681))&gt;0,"실물 있음",IF(SUMPRODUCT((실물목록!$P$2:$P$1001&lt;&gt;"")*ISNUMBER(SEARCH(실물목록!$P$2:$P$1001,I681))*(실물목록!$R$2:$R$1001&lt;&gt;""))&gt;0,"확인필요(입력누락)",IF(SUMPRODUCT((실물목록!$P$2:$P$1001&lt;&gt;"")*ISNUMBER(SEARCH(실물목록!$P$2:$P$1001,I681))*(실물목록!$Q$2:$Q$1001&lt;&gt;"")*ISNUMBER(SEARCH(실물목록!$Q$2:$Q$1001,I681))*(실물목록!$R$2:$R$1001="")*(실물목록!$O$2:$O$1001&lt;&gt;""))&gt;0,"확인필요(연도다름)","실물 없음")))))</f>
      </c>
      <c r="G681" t="n" s="16">
        <f aca="0">IF(B681="","",SUMPRODUCT((실물목록!$P$2:$P$1001&lt;&gt;"")*ISNUMBER(SEARCH(실물목록!$P$2:$P$1001,I681))*(실물목록!$Q$2:$Q$1001&lt;&gt;"")*ISNUMBER(SEARCH(실물목록!$Q$2:$Q$1001,I681))*(실물목록!$R$2:$R$1001="")*(실물목록!$O$2:$O$1001&lt;&gt;"")*(실물목록!$O$2:$O$1001=H681)))</f>
      </c>
      <c r="H681" t="str">
        <f>IFERROR(IF(AND(LEN(SUBSTITUTE(SUBSTITUTE(SUBSTITUTE(TRIM(A681&amp;""),CHAR(160),"")," ",""),"년",""))=4,VALUE(SUBSTITUTE(SUBSTITUTE(SUBSTITUTE(TRIM(A681&amp;""),CHAR(160),"")," ",""),"년",""))&gt;=1900,VALUE(SUBSTITUTE(SUBSTITUTE(SUBSTITUTE(TRIM(A681&amp;""),CHAR(160),"")," ",""),"년",""))&lt;=2099,TEXT(VALUE(SUBSTITUTE(SUBSTITUTE(SUBSTITUTE(TRIM(A681&amp;""),CHAR(160),"")," ",""),"년","")),"0000")=SUBSTITUTE(SUBSTITUTE(SUBSTITUTE(TRIM(A681&amp;""),CHAR(160),"")," ",""),"년","")),SUBSTITUTE(SUBSTITUTE(SUBSTITUTE(TRIM(A681&amp;""),CHAR(160),"")," ",""),"년",""),""),"")</f>
      </c>
      <c r="I681" t="str">
        <f>SUBSTITUTE(SUBSTITUTE(SUBSTITUTE(SUBSTITUTE(SUBSTITUTE(TRIM(B681&amp;""),CHAR(160),"")," ",""),"초등학교","초"),"중학교","중"),"고등학교","고")</f>
      </c>
    </row>
    <row r="682" customFormat="false" ht="15" hidden="false" customHeight="false" outlineLevel="0" collapsed="false">
      <c r="A682" s="8"/>
      <c r="B682" s="8"/>
      <c r="C682" s="8"/>
      <c r="D682" s="8"/>
      <c r="E682" s="8"/>
      <c r="F682" t="str" s="15">
        <f aca="0">IF(B682="","",IF(H682="","확인필요(입력누락)",IF(SUMPRODUCT((실물목록!$P$2:$P$1001&lt;&gt;"")*ISNUMBER(SEARCH(실물목록!$P$2:$P$1001,I682))*(실물목록!$Q$2:$Q$1001&lt;&gt;"")*ISNUMBER(SEARCH(실물목록!$Q$2:$Q$1001,I682))*(실물목록!$R$2:$R$1001="")*(실물목록!$O$2:$O$1001&lt;&gt;"")*(실물목록!$O$2:$O$1001=H682))&gt;0,"실물 있음",IF(SUMPRODUCT((실물목록!$P$2:$P$1001&lt;&gt;"")*ISNUMBER(SEARCH(실물목록!$P$2:$P$1001,I682))*(실물목록!$R$2:$R$1001&lt;&gt;""))&gt;0,"확인필요(입력누락)",IF(SUMPRODUCT((실물목록!$P$2:$P$1001&lt;&gt;"")*ISNUMBER(SEARCH(실물목록!$P$2:$P$1001,I682))*(실물목록!$Q$2:$Q$1001&lt;&gt;"")*ISNUMBER(SEARCH(실물목록!$Q$2:$Q$1001,I682))*(실물목록!$R$2:$R$1001="")*(실물목록!$O$2:$O$1001&lt;&gt;""))&gt;0,"확인필요(연도다름)","실물 없음")))))</f>
      </c>
      <c r="G682" t="n" s="16">
        <f aca="0">IF(B682="","",SUMPRODUCT((실물목록!$P$2:$P$1001&lt;&gt;"")*ISNUMBER(SEARCH(실물목록!$P$2:$P$1001,I682))*(실물목록!$Q$2:$Q$1001&lt;&gt;"")*ISNUMBER(SEARCH(실물목록!$Q$2:$Q$1001,I682))*(실물목록!$R$2:$R$1001="")*(실물목록!$O$2:$O$1001&lt;&gt;"")*(실물목록!$O$2:$O$1001=H682)))</f>
      </c>
      <c r="H682" t="str">
        <f>IFERROR(IF(AND(LEN(SUBSTITUTE(SUBSTITUTE(SUBSTITUTE(TRIM(A682&amp;""),CHAR(160),"")," ",""),"년",""))=4,VALUE(SUBSTITUTE(SUBSTITUTE(SUBSTITUTE(TRIM(A682&amp;""),CHAR(160),"")," ",""),"년",""))&gt;=1900,VALUE(SUBSTITUTE(SUBSTITUTE(SUBSTITUTE(TRIM(A682&amp;""),CHAR(160),"")," ",""),"년",""))&lt;=2099,TEXT(VALUE(SUBSTITUTE(SUBSTITUTE(SUBSTITUTE(TRIM(A682&amp;""),CHAR(160),"")," ",""),"년","")),"0000")=SUBSTITUTE(SUBSTITUTE(SUBSTITUTE(TRIM(A682&amp;""),CHAR(160),"")," ",""),"년","")),SUBSTITUTE(SUBSTITUTE(SUBSTITUTE(TRIM(A682&amp;""),CHAR(160),"")," ",""),"년",""),""),"")</f>
      </c>
      <c r="I682" t="str">
        <f>SUBSTITUTE(SUBSTITUTE(SUBSTITUTE(SUBSTITUTE(SUBSTITUTE(TRIM(B682&amp;""),CHAR(160),"")," ",""),"초등학교","초"),"중학교","중"),"고등학교","고")</f>
      </c>
    </row>
    <row r="683" customFormat="false" ht="15" hidden="false" customHeight="false" outlineLevel="0" collapsed="false">
      <c r="A683" s="8"/>
      <c r="B683" s="8"/>
      <c r="C683" s="8"/>
      <c r="D683" s="8"/>
      <c r="E683" s="8"/>
      <c r="F683" t="str" s="15">
        <f aca="0">IF(B683="","",IF(H683="","확인필요(입력누락)",IF(SUMPRODUCT((실물목록!$P$2:$P$1001&lt;&gt;"")*ISNUMBER(SEARCH(실물목록!$P$2:$P$1001,I683))*(실물목록!$Q$2:$Q$1001&lt;&gt;"")*ISNUMBER(SEARCH(실물목록!$Q$2:$Q$1001,I683))*(실물목록!$R$2:$R$1001="")*(실물목록!$O$2:$O$1001&lt;&gt;"")*(실물목록!$O$2:$O$1001=H683))&gt;0,"실물 있음",IF(SUMPRODUCT((실물목록!$P$2:$P$1001&lt;&gt;"")*ISNUMBER(SEARCH(실물목록!$P$2:$P$1001,I683))*(실물목록!$R$2:$R$1001&lt;&gt;""))&gt;0,"확인필요(입력누락)",IF(SUMPRODUCT((실물목록!$P$2:$P$1001&lt;&gt;"")*ISNUMBER(SEARCH(실물목록!$P$2:$P$1001,I683))*(실물목록!$Q$2:$Q$1001&lt;&gt;"")*ISNUMBER(SEARCH(실물목록!$Q$2:$Q$1001,I683))*(실물목록!$R$2:$R$1001="")*(실물목록!$O$2:$O$1001&lt;&gt;""))&gt;0,"확인필요(연도다름)","실물 없음")))))</f>
      </c>
      <c r="G683" t="n" s="16">
        <f aca="0">IF(B683="","",SUMPRODUCT((실물목록!$P$2:$P$1001&lt;&gt;"")*ISNUMBER(SEARCH(실물목록!$P$2:$P$1001,I683))*(실물목록!$Q$2:$Q$1001&lt;&gt;"")*ISNUMBER(SEARCH(실물목록!$Q$2:$Q$1001,I683))*(실물목록!$R$2:$R$1001="")*(실물목록!$O$2:$O$1001&lt;&gt;"")*(실물목록!$O$2:$O$1001=H683)))</f>
      </c>
      <c r="H683" t="str">
        <f>IFERROR(IF(AND(LEN(SUBSTITUTE(SUBSTITUTE(SUBSTITUTE(TRIM(A683&amp;""),CHAR(160),"")," ",""),"년",""))=4,VALUE(SUBSTITUTE(SUBSTITUTE(SUBSTITUTE(TRIM(A683&amp;""),CHAR(160),"")," ",""),"년",""))&gt;=1900,VALUE(SUBSTITUTE(SUBSTITUTE(SUBSTITUTE(TRIM(A683&amp;""),CHAR(160),"")," ",""),"년",""))&lt;=2099,TEXT(VALUE(SUBSTITUTE(SUBSTITUTE(SUBSTITUTE(TRIM(A683&amp;""),CHAR(160),"")," ",""),"년","")),"0000")=SUBSTITUTE(SUBSTITUTE(SUBSTITUTE(TRIM(A683&amp;""),CHAR(160),"")," ",""),"년","")),SUBSTITUTE(SUBSTITUTE(SUBSTITUTE(TRIM(A683&amp;""),CHAR(160),"")," ",""),"년",""),""),"")</f>
      </c>
      <c r="I683" t="str">
        <f>SUBSTITUTE(SUBSTITUTE(SUBSTITUTE(SUBSTITUTE(SUBSTITUTE(TRIM(B683&amp;""),CHAR(160),"")," ",""),"초등학교","초"),"중학교","중"),"고등학교","고")</f>
      </c>
    </row>
    <row r="684" customFormat="false" ht="15" hidden="false" customHeight="false" outlineLevel="0" collapsed="false">
      <c r="A684" s="8"/>
      <c r="B684" s="8"/>
      <c r="C684" s="8"/>
      <c r="D684" s="8"/>
      <c r="E684" s="8"/>
      <c r="F684" t="str" s="15">
        <f aca="0">IF(B684="","",IF(H684="","확인필요(입력누락)",IF(SUMPRODUCT((실물목록!$P$2:$P$1001&lt;&gt;"")*ISNUMBER(SEARCH(실물목록!$P$2:$P$1001,I684))*(실물목록!$Q$2:$Q$1001&lt;&gt;"")*ISNUMBER(SEARCH(실물목록!$Q$2:$Q$1001,I684))*(실물목록!$R$2:$R$1001="")*(실물목록!$O$2:$O$1001&lt;&gt;"")*(실물목록!$O$2:$O$1001=H684))&gt;0,"실물 있음",IF(SUMPRODUCT((실물목록!$P$2:$P$1001&lt;&gt;"")*ISNUMBER(SEARCH(실물목록!$P$2:$P$1001,I684))*(실물목록!$R$2:$R$1001&lt;&gt;""))&gt;0,"확인필요(입력누락)",IF(SUMPRODUCT((실물목록!$P$2:$P$1001&lt;&gt;"")*ISNUMBER(SEARCH(실물목록!$P$2:$P$1001,I684))*(실물목록!$Q$2:$Q$1001&lt;&gt;"")*ISNUMBER(SEARCH(실물목록!$Q$2:$Q$1001,I684))*(실물목록!$R$2:$R$1001="")*(실물목록!$O$2:$O$1001&lt;&gt;""))&gt;0,"확인필요(연도다름)","실물 없음")))))</f>
      </c>
      <c r="G684" t="n" s="16">
        <f aca="0">IF(B684="","",SUMPRODUCT((실물목록!$P$2:$P$1001&lt;&gt;"")*ISNUMBER(SEARCH(실물목록!$P$2:$P$1001,I684))*(실물목록!$Q$2:$Q$1001&lt;&gt;"")*ISNUMBER(SEARCH(실물목록!$Q$2:$Q$1001,I684))*(실물목록!$R$2:$R$1001="")*(실물목록!$O$2:$O$1001&lt;&gt;"")*(실물목록!$O$2:$O$1001=H684)))</f>
      </c>
      <c r="H684" t="str">
        <f>IFERROR(IF(AND(LEN(SUBSTITUTE(SUBSTITUTE(SUBSTITUTE(TRIM(A684&amp;""),CHAR(160),"")," ",""),"년",""))=4,VALUE(SUBSTITUTE(SUBSTITUTE(SUBSTITUTE(TRIM(A684&amp;""),CHAR(160),"")," ",""),"년",""))&gt;=1900,VALUE(SUBSTITUTE(SUBSTITUTE(SUBSTITUTE(TRIM(A684&amp;""),CHAR(160),"")," ",""),"년",""))&lt;=2099,TEXT(VALUE(SUBSTITUTE(SUBSTITUTE(SUBSTITUTE(TRIM(A684&amp;""),CHAR(160),"")," ",""),"년","")),"0000")=SUBSTITUTE(SUBSTITUTE(SUBSTITUTE(TRIM(A684&amp;""),CHAR(160),"")," ",""),"년","")),SUBSTITUTE(SUBSTITUTE(SUBSTITUTE(TRIM(A684&amp;""),CHAR(160),"")," ",""),"년",""),""),"")</f>
      </c>
      <c r="I684" t="str">
        <f>SUBSTITUTE(SUBSTITUTE(SUBSTITUTE(SUBSTITUTE(SUBSTITUTE(TRIM(B684&amp;""),CHAR(160),"")," ",""),"초등학교","초"),"중학교","중"),"고등학교","고")</f>
      </c>
    </row>
    <row r="685" customFormat="false" ht="15" hidden="false" customHeight="false" outlineLevel="0" collapsed="false">
      <c r="A685" s="8"/>
      <c r="B685" s="8"/>
      <c r="C685" s="8"/>
      <c r="D685" s="8"/>
      <c r="E685" s="8"/>
      <c r="F685" t="str" s="15">
        <f aca="0">IF(B685="","",IF(H685="","확인필요(입력누락)",IF(SUMPRODUCT((실물목록!$P$2:$P$1001&lt;&gt;"")*ISNUMBER(SEARCH(실물목록!$P$2:$P$1001,I685))*(실물목록!$Q$2:$Q$1001&lt;&gt;"")*ISNUMBER(SEARCH(실물목록!$Q$2:$Q$1001,I685))*(실물목록!$R$2:$R$1001="")*(실물목록!$O$2:$O$1001&lt;&gt;"")*(실물목록!$O$2:$O$1001=H685))&gt;0,"실물 있음",IF(SUMPRODUCT((실물목록!$P$2:$P$1001&lt;&gt;"")*ISNUMBER(SEARCH(실물목록!$P$2:$P$1001,I685))*(실물목록!$R$2:$R$1001&lt;&gt;""))&gt;0,"확인필요(입력누락)",IF(SUMPRODUCT((실물목록!$P$2:$P$1001&lt;&gt;"")*ISNUMBER(SEARCH(실물목록!$P$2:$P$1001,I685))*(실물목록!$Q$2:$Q$1001&lt;&gt;"")*ISNUMBER(SEARCH(실물목록!$Q$2:$Q$1001,I685))*(실물목록!$R$2:$R$1001="")*(실물목록!$O$2:$O$1001&lt;&gt;""))&gt;0,"확인필요(연도다름)","실물 없음")))))</f>
      </c>
      <c r="G685" t="n" s="16">
        <f aca="0">IF(B685="","",SUMPRODUCT((실물목록!$P$2:$P$1001&lt;&gt;"")*ISNUMBER(SEARCH(실물목록!$P$2:$P$1001,I685))*(실물목록!$Q$2:$Q$1001&lt;&gt;"")*ISNUMBER(SEARCH(실물목록!$Q$2:$Q$1001,I685))*(실물목록!$R$2:$R$1001="")*(실물목록!$O$2:$O$1001&lt;&gt;"")*(실물목록!$O$2:$O$1001=H685)))</f>
      </c>
      <c r="H685" t="str">
        <f>IFERROR(IF(AND(LEN(SUBSTITUTE(SUBSTITUTE(SUBSTITUTE(TRIM(A685&amp;""),CHAR(160),"")," ",""),"년",""))=4,VALUE(SUBSTITUTE(SUBSTITUTE(SUBSTITUTE(TRIM(A685&amp;""),CHAR(160),"")," ",""),"년",""))&gt;=1900,VALUE(SUBSTITUTE(SUBSTITUTE(SUBSTITUTE(TRIM(A685&amp;""),CHAR(160),"")," ",""),"년",""))&lt;=2099,TEXT(VALUE(SUBSTITUTE(SUBSTITUTE(SUBSTITUTE(TRIM(A685&amp;""),CHAR(160),"")," ",""),"년","")),"0000")=SUBSTITUTE(SUBSTITUTE(SUBSTITUTE(TRIM(A685&amp;""),CHAR(160),"")," ",""),"년","")),SUBSTITUTE(SUBSTITUTE(SUBSTITUTE(TRIM(A685&amp;""),CHAR(160),"")," ",""),"년",""),""),"")</f>
      </c>
      <c r="I685" t="str">
        <f>SUBSTITUTE(SUBSTITUTE(SUBSTITUTE(SUBSTITUTE(SUBSTITUTE(TRIM(B685&amp;""),CHAR(160),"")," ",""),"초등학교","초"),"중학교","중"),"고등학교","고")</f>
      </c>
    </row>
    <row r="686" customFormat="false" ht="15" hidden="false" customHeight="false" outlineLevel="0" collapsed="false">
      <c r="A686" s="8"/>
      <c r="B686" s="8"/>
      <c r="C686" s="8"/>
      <c r="D686" s="8"/>
      <c r="E686" s="8"/>
      <c r="F686" t="str" s="15">
        <f aca="0">IF(B686="","",IF(H686="","확인필요(입력누락)",IF(SUMPRODUCT((실물목록!$P$2:$P$1001&lt;&gt;"")*ISNUMBER(SEARCH(실물목록!$P$2:$P$1001,I686))*(실물목록!$Q$2:$Q$1001&lt;&gt;"")*ISNUMBER(SEARCH(실물목록!$Q$2:$Q$1001,I686))*(실물목록!$R$2:$R$1001="")*(실물목록!$O$2:$O$1001&lt;&gt;"")*(실물목록!$O$2:$O$1001=H686))&gt;0,"실물 있음",IF(SUMPRODUCT((실물목록!$P$2:$P$1001&lt;&gt;"")*ISNUMBER(SEARCH(실물목록!$P$2:$P$1001,I686))*(실물목록!$R$2:$R$1001&lt;&gt;""))&gt;0,"확인필요(입력누락)",IF(SUMPRODUCT((실물목록!$P$2:$P$1001&lt;&gt;"")*ISNUMBER(SEARCH(실물목록!$P$2:$P$1001,I686))*(실물목록!$Q$2:$Q$1001&lt;&gt;"")*ISNUMBER(SEARCH(실물목록!$Q$2:$Q$1001,I686))*(실물목록!$R$2:$R$1001="")*(실물목록!$O$2:$O$1001&lt;&gt;""))&gt;0,"확인필요(연도다름)","실물 없음")))))</f>
      </c>
      <c r="G686" t="n" s="16">
        <f aca="0">IF(B686="","",SUMPRODUCT((실물목록!$P$2:$P$1001&lt;&gt;"")*ISNUMBER(SEARCH(실물목록!$P$2:$P$1001,I686))*(실물목록!$Q$2:$Q$1001&lt;&gt;"")*ISNUMBER(SEARCH(실물목록!$Q$2:$Q$1001,I686))*(실물목록!$R$2:$R$1001="")*(실물목록!$O$2:$O$1001&lt;&gt;"")*(실물목록!$O$2:$O$1001=H686)))</f>
      </c>
      <c r="H686" t="str">
        <f>IFERROR(IF(AND(LEN(SUBSTITUTE(SUBSTITUTE(SUBSTITUTE(TRIM(A686&amp;""),CHAR(160),"")," ",""),"년",""))=4,VALUE(SUBSTITUTE(SUBSTITUTE(SUBSTITUTE(TRIM(A686&amp;""),CHAR(160),"")," ",""),"년",""))&gt;=1900,VALUE(SUBSTITUTE(SUBSTITUTE(SUBSTITUTE(TRIM(A686&amp;""),CHAR(160),"")," ",""),"년",""))&lt;=2099,TEXT(VALUE(SUBSTITUTE(SUBSTITUTE(SUBSTITUTE(TRIM(A686&amp;""),CHAR(160),"")," ",""),"년","")),"0000")=SUBSTITUTE(SUBSTITUTE(SUBSTITUTE(TRIM(A686&amp;""),CHAR(160),"")," ",""),"년","")),SUBSTITUTE(SUBSTITUTE(SUBSTITUTE(TRIM(A686&amp;""),CHAR(160),"")," ",""),"년",""),""),"")</f>
      </c>
      <c r="I686" t="str">
        <f>SUBSTITUTE(SUBSTITUTE(SUBSTITUTE(SUBSTITUTE(SUBSTITUTE(TRIM(B686&amp;""),CHAR(160),"")," ",""),"초등학교","초"),"중학교","중"),"고등학교","고")</f>
      </c>
    </row>
    <row r="687" customFormat="false" ht="15" hidden="false" customHeight="false" outlineLevel="0" collapsed="false">
      <c r="A687" s="8"/>
      <c r="B687" s="8"/>
      <c r="C687" s="8"/>
      <c r="D687" s="8"/>
      <c r="E687" s="8"/>
      <c r="F687" t="str" s="15">
        <f aca="0">IF(B687="","",IF(H687="","확인필요(입력누락)",IF(SUMPRODUCT((실물목록!$P$2:$P$1001&lt;&gt;"")*ISNUMBER(SEARCH(실물목록!$P$2:$P$1001,I687))*(실물목록!$Q$2:$Q$1001&lt;&gt;"")*ISNUMBER(SEARCH(실물목록!$Q$2:$Q$1001,I687))*(실물목록!$R$2:$R$1001="")*(실물목록!$O$2:$O$1001&lt;&gt;"")*(실물목록!$O$2:$O$1001=H687))&gt;0,"실물 있음",IF(SUMPRODUCT((실물목록!$P$2:$P$1001&lt;&gt;"")*ISNUMBER(SEARCH(실물목록!$P$2:$P$1001,I687))*(실물목록!$R$2:$R$1001&lt;&gt;""))&gt;0,"확인필요(입력누락)",IF(SUMPRODUCT((실물목록!$P$2:$P$1001&lt;&gt;"")*ISNUMBER(SEARCH(실물목록!$P$2:$P$1001,I687))*(실물목록!$Q$2:$Q$1001&lt;&gt;"")*ISNUMBER(SEARCH(실물목록!$Q$2:$Q$1001,I687))*(실물목록!$R$2:$R$1001="")*(실물목록!$O$2:$O$1001&lt;&gt;""))&gt;0,"확인필요(연도다름)","실물 없음")))))</f>
      </c>
      <c r="G687" t="n" s="16">
        <f aca="0">IF(B687="","",SUMPRODUCT((실물목록!$P$2:$P$1001&lt;&gt;"")*ISNUMBER(SEARCH(실물목록!$P$2:$P$1001,I687))*(실물목록!$Q$2:$Q$1001&lt;&gt;"")*ISNUMBER(SEARCH(실물목록!$Q$2:$Q$1001,I687))*(실물목록!$R$2:$R$1001="")*(실물목록!$O$2:$O$1001&lt;&gt;"")*(실물목록!$O$2:$O$1001=H687)))</f>
      </c>
      <c r="H687" t="str">
        <f>IFERROR(IF(AND(LEN(SUBSTITUTE(SUBSTITUTE(SUBSTITUTE(TRIM(A687&amp;""),CHAR(160),"")," ",""),"년",""))=4,VALUE(SUBSTITUTE(SUBSTITUTE(SUBSTITUTE(TRIM(A687&amp;""),CHAR(160),"")," ",""),"년",""))&gt;=1900,VALUE(SUBSTITUTE(SUBSTITUTE(SUBSTITUTE(TRIM(A687&amp;""),CHAR(160),"")," ",""),"년",""))&lt;=2099,TEXT(VALUE(SUBSTITUTE(SUBSTITUTE(SUBSTITUTE(TRIM(A687&amp;""),CHAR(160),"")," ",""),"년","")),"0000")=SUBSTITUTE(SUBSTITUTE(SUBSTITUTE(TRIM(A687&amp;""),CHAR(160),"")," ",""),"년","")),SUBSTITUTE(SUBSTITUTE(SUBSTITUTE(TRIM(A687&amp;""),CHAR(160),"")," ",""),"년",""),""),"")</f>
      </c>
      <c r="I687" t="str">
        <f>SUBSTITUTE(SUBSTITUTE(SUBSTITUTE(SUBSTITUTE(SUBSTITUTE(TRIM(B687&amp;""),CHAR(160),"")," ",""),"초등학교","초"),"중학교","중"),"고등학교","고")</f>
      </c>
    </row>
    <row r="688" customFormat="false" ht="15" hidden="false" customHeight="false" outlineLevel="0" collapsed="false">
      <c r="A688" s="8"/>
      <c r="B688" s="8"/>
      <c r="C688" s="8"/>
      <c r="D688" s="8"/>
      <c r="E688" s="8"/>
      <c r="F688" t="str" s="15">
        <f aca="0">IF(B688="","",IF(H688="","확인필요(입력누락)",IF(SUMPRODUCT((실물목록!$P$2:$P$1001&lt;&gt;"")*ISNUMBER(SEARCH(실물목록!$P$2:$P$1001,I688))*(실물목록!$Q$2:$Q$1001&lt;&gt;"")*ISNUMBER(SEARCH(실물목록!$Q$2:$Q$1001,I688))*(실물목록!$R$2:$R$1001="")*(실물목록!$O$2:$O$1001&lt;&gt;"")*(실물목록!$O$2:$O$1001=H688))&gt;0,"실물 있음",IF(SUMPRODUCT((실물목록!$P$2:$P$1001&lt;&gt;"")*ISNUMBER(SEARCH(실물목록!$P$2:$P$1001,I688))*(실물목록!$R$2:$R$1001&lt;&gt;""))&gt;0,"확인필요(입력누락)",IF(SUMPRODUCT((실물목록!$P$2:$P$1001&lt;&gt;"")*ISNUMBER(SEARCH(실물목록!$P$2:$P$1001,I688))*(실물목록!$Q$2:$Q$1001&lt;&gt;"")*ISNUMBER(SEARCH(실물목록!$Q$2:$Q$1001,I688))*(실물목록!$R$2:$R$1001="")*(실물목록!$O$2:$O$1001&lt;&gt;""))&gt;0,"확인필요(연도다름)","실물 없음")))))</f>
      </c>
      <c r="G688" t="n" s="16">
        <f aca="0">IF(B688="","",SUMPRODUCT((실물목록!$P$2:$P$1001&lt;&gt;"")*ISNUMBER(SEARCH(실물목록!$P$2:$P$1001,I688))*(실물목록!$Q$2:$Q$1001&lt;&gt;"")*ISNUMBER(SEARCH(실물목록!$Q$2:$Q$1001,I688))*(실물목록!$R$2:$R$1001="")*(실물목록!$O$2:$O$1001&lt;&gt;"")*(실물목록!$O$2:$O$1001=H688)))</f>
      </c>
      <c r="H688" t="str">
        <f>IFERROR(IF(AND(LEN(SUBSTITUTE(SUBSTITUTE(SUBSTITUTE(TRIM(A688&amp;""),CHAR(160),"")," ",""),"년",""))=4,VALUE(SUBSTITUTE(SUBSTITUTE(SUBSTITUTE(TRIM(A688&amp;""),CHAR(160),"")," ",""),"년",""))&gt;=1900,VALUE(SUBSTITUTE(SUBSTITUTE(SUBSTITUTE(TRIM(A688&amp;""),CHAR(160),"")," ",""),"년",""))&lt;=2099,TEXT(VALUE(SUBSTITUTE(SUBSTITUTE(SUBSTITUTE(TRIM(A688&amp;""),CHAR(160),"")," ",""),"년","")),"0000")=SUBSTITUTE(SUBSTITUTE(SUBSTITUTE(TRIM(A688&amp;""),CHAR(160),"")," ",""),"년","")),SUBSTITUTE(SUBSTITUTE(SUBSTITUTE(TRIM(A688&amp;""),CHAR(160),"")," ",""),"년",""),""),"")</f>
      </c>
      <c r="I688" t="str">
        <f>SUBSTITUTE(SUBSTITUTE(SUBSTITUTE(SUBSTITUTE(SUBSTITUTE(TRIM(B688&amp;""),CHAR(160),"")," ",""),"초등학교","초"),"중학교","중"),"고등학교","고")</f>
      </c>
    </row>
    <row r="689" customFormat="false" ht="15" hidden="false" customHeight="false" outlineLevel="0" collapsed="false">
      <c r="A689" s="8"/>
      <c r="B689" s="8"/>
      <c r="C689" s="8"/>
      <c r="D689" s="8"/>
      <c r="E689" s="8"/>
      <c r="F689" t="str" s="15">
        <f aca="0">IF(B689="","",IF(H689="","확인필요(입력누락)",IF(SUMPRODUCT((실물목록!$P$2:$P$1001&lt;&gt;"")*ISNUMBER(SEARCH(실물목록!$P$2:$P$1001,I689))*(실물목록!$Q$2:$Q$1001&lt;&gt;"")*ISNUMBER(SEARCH(실물목록!$Q$2:$Q$1001,I689))*(실물목록!$R$2:$R$1001="")*(실물목록!$O$2:$O$1001&lt;&gt;"")*(실물목록!$O$2:$O$1001=H689))&gt;0,"실물 있음",IF(SUMPRODUCT((실물목록!$P$2:$P$1001&lt;&gt;"")*ISNUMBER(SEARCH(실물목록!$P$2:$P$1001,I689))*(실물목록!$R$2:$R$1001&lt;&gt;""))&gt;0,"확인필요(입력누락)",IF(SUMPRODUCT((실물목록!$P$2:$P$1001&lt;&gt;"")*ISNUMBER(SEARCH(실물목록!$P$2:$P$1001,I689))*(실물목록!$Q$2:$Q$1001&lt;&gt;"")*ISNUMBER(SEARCH(실물목록!$Q$2:$Q$1001,I689))*(실물목록!$R$2:$R$1001="")*(실물목록!$O$2:$O$1001&lt;&gt;""))&gt;0,"확인필요(연도다름)","실물 없음")))))</f>
      </c>
      <c r="G689" t="n" s="16">
        <f aca="0">IF(B689="","",SUMPRODUCT((실물목록!$P$2:$P$1001&lt;&gt;"")*ISNUMBER(SEARCH(실물목록!$P$2:$P$1001,I689))*(실물목록!$Q$2:$Q$1001&lt;&gt;"")*ISNUMBER(SEARCH(실물목록!$Q$2:$Q$1001,I689))*(실물목록!$R$2:$R$1001="")*(실물목록!$O$2:$O$1001&lt;&gt;"")*(실물목록!$O$2:$O$1001=H689)))</f>
      </c>
      <c r="H689" t="str">
        <f>IFERROR(IF(AND(LEN(SUBSTITUTE(SUBSTITUTE(SUBSTITUTE(TRIM(A689&amp;""),CHAR(160),"")," ",""),"년",""))=4,VALUE(SUBSTITUTE(SUBSTITUTE(SUBSTITUTE(TRIM(A689&amp;""),CHAR(160),"")," ",""),"년",""))&gt;=1900,VALUE(SUBSTITUTE(SUBSTITUTE(SUBSTITUTE(TRIM(A689&amp;""),CHAR(160),"")," ",""),"년",""))&lt;=2099,TEXT(VALUE(SUBSTITUTE(SUBSTITUTE(SUBSTITUTE(TRIM(A689&amp;""),CHAR(160),"")," ",""),"년","")),"0000")=SUBSTITUTE(SUBSTITUTE(SUBSTITUTE(TRIM(A689&amp;""),CHAR(160),"")," ",""),"년","")),SUBSTITUTE(SUBSTITUTE(SUBSTITUTE(TRIM(A689&amp;""),CHAR(160),"")," ",""),"년",""),""),"")</f>
      </c>
      <c r="I689" t="str">
        <f>SUBSTITUTE(SUBSTITUTE(SUBSTITUTE(SUBSTITUTE(SUBSTITUTE(TRIM(B689&amp;""),CHAR(160),"")," ",""),"초등학교","초"),"중학교","중"),"고등학교","고")</f>
      </c>
    </row>
    <row r="690" customFormat="false" ht="15" hidden="false" customHeight="false" outlineLevel="0" collapsed="false">
      <c r="A690" s="8"/>
      <c r="B690" s="8"/>
      <c r="C690" s="8"/>
      <c r="D690" s="8"/>
      <c r="E690" s="8"/>
      <c r="F690" t="str" s="15">
        <f aca="0">IF(B690="","",IF(H690="","확인필요(입력누락)",IF(SUMPRODUCT((실물목록!$P$2:$P$1001&lt;&gt;"")*ISNUMBER(SEARCH(실물목록!$P$2:$P$1001,I690))*(실물목록!$Q$2:$Q$1001&lt;&gt;"")*ISNUMBER(SEARCH(실물목록!$Q$2:$Q$1001,I690))*(실물목록!$R$2:$R$1001="")*(실물목록!$O$2:$O$1001&lt;&gt;"")*(실물목록!$O$2:$O$1001=H690))&gt;0,"실물 있음",IF(SUMPRODUCT((실물목록!$P$2:$P$1001&lt;&gt;"")*ISNUMBER(SEARCH(실물목록!$P$2:$P$1001,I690))*(실물목록!$R$2:$R$1001&lt;&gt;""))&gt;0,"확인필요(입력누락)",IF(SUMPRODUCT((실물목록!$P$2:$P$1001&lt;&gt;"")*ISNUMBER(SEARCH(실물목록!$P$2:$P$1001,I690))*(실물목록!$Q$2:$Q$1001&lt;&gt;"")*ISNUMBER(SEARCH(실물목록!$Q$2:$Q$1001,I690))*(실물목록!$R$2:$R$1001="")*(실물목록!$O$2:$O$1001&lt;&gt;""))&gt;0,"확인필요(연도다름)","실물 없음")))))</f>
      </c>
      <c r="G690" t="n" s="16">
        <f aca="0">IF(B690="","",SUMPRODUCT((실물목록!$P$2:$P$1001&lt;&gt;"")*ISNUMBER(SEARCH(실물목록!$P$2:$P$1001,I690))*(실물목록!$Q$2:$Q$1001&lt;&gt;"")*ISNUMBER(SEARCH(실물목록!$Q$2:$Q$1001,I690))*(실물목록!$R$2:$R$1001="")*(실물목록!$O$2:$O$1001&lt;&gt;"")*(실물목록!$O$2:$O$1001=H690)))</f>
      </c>
      <c r="H690" t="str">
        <f>IFERROR(IF(AND(LEN(SUBSTITUTE(SUBSTITUTE(SUBSTITUTE(TRIM(A690&amp;""),CHAR(160),"")," ",""),"년",""))=4,VALUE(SUBSTITUTE(SUBSTITUTE(SUBSTITUTE(TRIM(A690&amp;""),CHAR(160),"")," ",""),"년",""))&gt;=1900,VALUE(SUBSTITUTE(SUBSTITUTE(SUBSTITUTE(TRIM(A690&amp;""),CHAR(160),"")," ",""),"년",""))&lt;=2099,TEXT(VALUE(SUBSTITUTE(SUBSTITUTE(SUBSTITUTE(TRIM(A690&amp;""),CHAR(160),"")," ",""),"년","")),"0000")=SUBSTITUTE(SUBSTITUTE(SUBSTITUTE(TRIM(A690&amp;""),CHAR(160),"")," ",""),"년","")),SUBSTITUTE(SUBSTITUTE(SUBSTITUTE(TRIM(A690&amp;""),CHAR(160),"")," ",""),"년",""),""),"")</f>
      </c>
      <c r="I690" t="str">
        <f>SUBSTITUTE(SUBSTITUTE(SUBSTITUTE(SUBSTITUTE(SUBSTITUTE(TRIM(B690&amp;""),CHAR(160),"")," ",""),"초등학교","초"),"중학교","중"),"고등학교","고")</f>
      </c>
    </row>
    <row r="691" customFormat="false" ht="15" hidden="false" customHeight="false" outlineLevel="0" collapsed="false">
      <c r="A691" s="8"/>
      <c r="B691" s="8"/>
      <c r="C691" s="8"/>
      <c r="D691" s="8"/>
      <c r="E691" s="8"/>
      <c r="F691" t="str" s="15">
        <f aca="0">IF(B691="","",IF(H691="","확인필요(입력누락)",IF(SUMPRODUCT((실물목록!$P$2:$P$1001&lt;&gt;"")*ISNUMBER(SEARCH(실물목록!$P$2:$P$1001,I691))*(실물목록!$Q$2:$Q$1001&lt;&gt;"")*ISNUMBER(SEARCH(실물목록!$Q$2:$Q$1001,I691))*(실물목록!$R$2:$R$1001="")*(실물목록!$O$2:$O$1001&lt;&gt;"")*(실물목록!$O$2:$O$1001=H691))&gt;0,"실물 있음",IF(SUMPRODUCT((실물목록!$P$2:$P$1001&lt;&gt;"")*ISNUMBER(SEARCH(실물목록!$P$2:$P$1001,I691))*(실물목록!$R$2:$R$1001&lt;&gt;""))&gt;0,"확인필요(입력누락)",IF(SUMPRODUCT((실물목록!$P$2:$P$1001&lt;&gt;"")*ISNUMBER(SEARCH(실물목록!$P$2:$P$1001,I691))*(실물목록!$Q$2:$Q$1001&lt;&gt;"")*ISNUMBER(SEARCH(실물목록!$Q$2:$Q$1001,I691))*(실물목록!$R$2:$R$1001="")*(실물목록!$O$2:$O$1001&lt;&gt;""))&gt;0,"확인필요(연도다름)","실물 없음")))))</f>
      </c>
      <c r="G691" t="n" s="16">
        <f aca="0">IF(B691="","",SUMPRODUCT((실물목록!$P$2:$P$1001&lt;&gt;"")*ISNUMBER(SEARCH(실물목록!$P$2:$P$1001,I691))*(실물목록!$Q$2:$Q$1001&lt;&gt;"")*ISNUMBER(SEARCH(실물목록!$Q$2:$Q$1001,I691))*(실물목록!$R$2:$R$1001="")*(실물목록!$O$2:$O$1001&lt;&gt;"")*(실물목록!$O$2:$O$1001=H691)))</f>
      </c>
      <c r="H691" t="str">
        <f>IFERROR(IF(AND(LEN(SUBSTITUTE(SUBSTITUTE(SUBSTITUTE(TRIM(A691&amp;""),CHAR(160),"")," ",""),"년",""))=4,VALUE(SUBSTITUTE(SUBSTITUTE(SUBSTITUTE(TRIM(A691&amp;""),CHAR(160),"")," ",""),"년",""))&gt;=1900,VALUE(SUBSTITUTE(SUBSTITUTE(SUBSTITUTE(TRIM(A691&amp;""),CHAR(160),"")," ",""),"년",""))&lt;=2099,TEXT(VALUE(SUBSTITUTE(SUBSTITUTE(SUBSTITUTE(TRIM(A691&amp;""),CHAR(160),"")," ",""),"년","")),"0000")=SUBSTITUTE(SUBSTITUTE(SUBSTITUTE(TRIM(A691&amp;""),CHAR(160),"")," ",""),"년","")),SUBSTITUTE(SUBSTITUTE(SUBSTITUTE(TRIM(A691&amp;""),CHAR(160),"")," ",""),"년",""),""),"")</f>
      </c>
      <c r="I691" t="str">
        <f>SUBSTITUTE(SUBSTITUTE(SUBSTITUTE(SUBSTITUTE(SUBSTITUTE(TRIM(B691&amp;""),CHAR(160),"")," ",""),"초등학교","초"),"중학교","중"),"고등학교","고")</f>
      </c>
    </row>
    <row r="692" customFormat="false" ht="15" hidden="false" customHeight="false" outlineLevel="0" collapsed="false">
      <c r="A692" s="8"/>
      <c r="B692" s="8"/>
      <c r="C692" s="8"/>
      <c r="D692" s="8"/>
      <c r="E692" s="8"/>
      <c r="F692" t="str" s="15">
        <f aca="0">IF(B692="","",IF(H692="","확인필요(입력누락)",IF(SUMPRODUCT((실물목록!$P$2:$P$1001&lt;&gt;"")*ISNUMBER(SEARCH(실물목록!$P$2:$P$1001,I692))*(실물목록!$Q$2:$Q$1001&lt;&gt;"")*ISNUMBER(SEARCH(실물목록!$Q$2:$Q$1001,I692))*(실물목록!$R$2:$R$1001="")*(실물목록!$O$2:$O$1001&lt;&gt;"")*(실물목록!$O$2:$O$1001=H692))&gt;0,"실물 있음",IF(SUMPRODUCT((실물목록!$P$2:$P$1001&lt;&gt;"")*ISNUMBER(SEARCH(실물목록!$P$2:$P$1001,I692))*(실물목록!$R$2:$R$1001&lt;&gt;""))&gt;0,"확인필요(입력누락)",IF(SUMPRODUCT((실물목록!$P$2:$P$1001&lt;&gt;"")*ISNUMBER(SEARCH(실물목록!$P$2:$P$1001,I692))*(실물목록!$Q$2:$Q$1001&lt;&gt;"")*ISNUMBER(SEARCH(실물목록!$Q$2:$Q$1001,I692))*(실물목록!$R$2:$R$1001="")*(실물목록!$O$2:$O$1001&lt;&gt;""))&gt;0,"확인필요(연도다름)","실물 없음")))))</f>
      </c>
      <c r="G692" t="n" s="16">
        <f aca="0">IF(B692="","",SUMPRODUCT((실물목록!$P$2:$P$1001&lt;&gt;"")*ISNUMBER(SEARCH(실물목록!$P$2:$P$1001,I692))*(실물목록!$Q$2:$Q$1001&lt;&gt;"")*ISNUMBER(SEARCH(실물목록!$Q$2:$Q$1001,I692))*(실물목록!$R$2:$R$1001="")*(실물목록!$O$2:$O$1001&lt;&gt;"")*(실물목록!$O$2:$O$1001=H692)))</f>
      </c>
      <c r="H692" t="str">
        <f>IFERROR(IF(AND(LEN(SUBSTITUTE(SUBSTITUTE(SUBSTITUTE(TRIM(A692&amp;""),CHAR(160),"")," ",""),"년",""))=4,VALUE(SUBSTITUTE(SUBSTITUTE(SUBSTITUTE(TRIM(A692&amp;""),CHAR(160),"")," ",""),"년",""))&gt;=1900,VALUE(SUBSTITUTE(SUBSTITUTE(SUBSTITUTE(TRIM(A692&amp;""),CHAR(160),"")," ",""),"년",""))&lt;=2099,TEXT(VALUE(SUBSTITUTE(SUBSTITUTE(SUBSTITUTE(TRIM(A692&amp;""),CHAR(160),"")," ",""),"년","")),"0000")=SUBSTITUTE(SUBSTITUTE(SUBSTITUTE(TRIM(A692&amp;""),CHAR(160),"")," ",""),"년","")),SUBSTITUTE(SUBSTITUTE(SUBSTITUTE(TRIM(A692&amp;""),CHAR(160),"")," ",""),"년",""),""),"")</f>
      </c>
      <c r="I692" t="str">
        <f>SUBSTITUTE(SUBSTITUTE(SUBSTITUTE(SUBSTITUTE(SUBSTITUTE(TRIM(B692&amp;""),CHAR(160),"")," ",""),"초등학교","초"),"중학교","중"),"고등학교","고")</f>
      </c>
    </row>
    <row r="693" customFormat="false" ht="15" hidden="false" customHeight="false" outlineLevel="0" collapsed="false">
      <c r="A693" s="8"/>
      <c r="B693" s="8"/>
      <c r="C693" s="8"/>
      <c r="D693" s="8"/>
      <c r="E693" s="8"/>
      <c r="F693" t="str" s="15">
        <f aca="0">IF(B693="","",IF(H693="","확인필요(입력누락)",IF(SUMPRODUCT((실물목록!$P$2:$P$1001&lt;&gt;"")*ISNUMBER(SEARCH(실물목록!$P$2:$P$1001,I693))*(실물목록!$Q$2:$Q$1001&lt;&gt;"")*ISNUMBER(SEARCH(실물목록!$Q$2:$Q$1001,I693))*(실물목록!$R$2:$R$1001="")*(실물목록!$O$2:$O$1001&lt;&gt;"")*(실물목록!$O$2:$O$1001=H693))&gt;0,"실물 있음",IF(SUMPRODUCT((실물목록!$P$2:$P$1001&lt;&gt;"")*ISNUMBER(SEARCH(실물목록!$P$2:$P$1001,I693))*(실물목록!$R$2:$R$1001&lt;&gt;""))&gt;0,"확인필요(입력누락)",IF(SUMPRODUCT((실물목록!$P$2:$P$1001&lt;&gt;"")*ISNUMBER(SEARCH(실물목록!$P$2:$P$1001,I693))*(실물목록!$Q$2:$Q$1001&lt;&gt;"")*ISNUMBER(SEARCH(실물목록!$Q$2:$Q$1001,I693))*(실물목록!$R$2:$R$1001="")*(실물목록!$O$2:$O$1001&lt;&gt;""))&gt;0,"확인필요(연도다름)","실물 없음")))))</f>
      </c>
      <c r="G693" t="n" s="16">
        <f aca="0">IF(B693="","",SUMPRODUCT((실물목록!$P$2:$P$1001&lt;&gt;"")*ISNUMBER(SEARCH(실물목록!$P$2:$P$1001,I693))*(실물목록!$Q$2:$Q$1001&lt;&gt;"")*ISNUMBER(SEARCH(실물목록!$Q$2:$Q$1001,I693))*(실물목록!$R$2:$R$1001="")*(실물목록!$O$2:$O$1001&lt;&gt;"")*(실물목록!$O$2:$O$1001=H693)))</f>
      </c>
      <c r="H693" t="str">
        <f>IFERROR(IF(AND(LEN(SUBSTITUTE(SUBSTITUTE(SUBSTITUTE(TRIM(A693&amp;""),CHAR(160),"")," ",""),"년",""))=4,VALUE(SUBSTITUTE(SUBSTITUTE(SUBSTITUTE(TRIM(A693&amp;""),CHAR(160),"")," ",""),"년",""))&gt;=1900,VALUE(SUBSTITUTE(SUBSTITUTE(SUBSTITUTE(TRIM(A693&amp;""),CHAR(160),"")," ",""),"년",""))&lt;=2099,TEXT(VALUE(SUBSTITUTE(SUBSTITUTE(SUBSTITUTE(TRIM(A693&amp;""),CHAR(160),"")," ",""),"년","")),"0000")=SUBSTITUTE(SUBSTITUTE(SUBSTITUTE(TRIM(A693&amp;""),CHAR(160),"")," ",""),"년","")),SUBSTITUTE(SUBSTITUTE(SUBSTITUTE(TRIM(A693&amp;""),CHAR(160),"")," ",""),"년",""),""),"")</f>
      </c>
      <c r="I693" t="str">
        <f>SUBSTITUTE(SUBSTITUTE(SUBSTITUTE(SUBSTITUTE(SUBSTITUTE(TRIM(B693&amp;""),CHAR(160),"")," ",""),"초등학교","초"),"중학교","중"),"고등학교","고")</f>
      </c>
    </row>
    <row r="694" customFormat="false" ht="15" hidden="false" customHeight="false" outlineLevel="0" collapsed="false">
      <c r="A694" s="8"/>
      <c r="B694" s="8"/>
      <c r="C694" s="8"/>
      <c r="D694" s="8"/>
      <c r="E694" s="8"/>
      <c r="F694" t="str" s="15">
        <f aca="0">IF(B694="","",IF(H694="","확인필요(입력누락)",IF(SUMPRODUCT((실물목록!$P$2:$P$1001&lt;&gt;"")*ISNUMBER(SEARCH(실물목록!$P$2:$P$1001,I694))*(실물목록!$Q$2:$Q$1001&lt;&gt;"")*ISNUMBER(SEARCH(실물목록!$Q$2:$Q$1001,I694))*(실물목록!$R$2:$R$1001="")*(실물목록!$O$2:$O$1001&lt;&gt;"")*(실물목록!$O$2:$O$1001=H694))&gt;0,"실물 있음",IF(SUMPRODUCT((실물목록!$P$2:$P$1001&lt;&gt;"")*ISNUMBER(SEARCH(실물목록!$P$2:$P$1001,I694))*(실물목록!$R$2:$R$1001&lt;&gt;""))&gt;0,"확인필요(입력누락)",IF(SUMPRODUCT((실물목록!$P$2:$P$1001&lt;&gt;"")*ISNUMBER(SEARCH(실물목록!$P$2:$P$1001,I694))*(실물목록!$Q$2:$Q$1001&lt;&gt;"")*ISNUMBER(SEARCH(실물목록!$Q$2:$Q$1001,I694))*(실물목록!$R$2:$R$1001="")*(실물목록!$O$2:$O$1001&lt;&gt;""))&gt;0,"확인필요(연도다름)","실물 없음")))))</f>
      </c>
      <c r="G694" t="n" s="16">
        <f aca="0">IF(B694="","",SUMPRODUCT((실물목록!$P$2:$P$1001&lt;&gt;"")*ISNUMBER(SEARCH(실물목록!$P$2:$P$1001,I694))*(실물목록!$Q$2:$Q$1001&lt;&gt;"")*ISNUMBER(SEARCH(실물목록!$Q$2:$Q$1001,I694))*(실물목록!$R$2:$R$1001="")*(실물목록!$O$2:$O$1001&lt;&gt;"")*(실물목록!$O$2:$O$1001=H694)))</f>
      </c>
      <c r="H694" t="str">
        <f>IFERROR(IF(AND(LEN(SUBSTITUTE(SUBSTITUTE(SUBSTITUTE(TRIM(A694&amp;""),CHAR(160),"")," ",""),"년",""))=4,VALUE(SUBSTITUTE(SUBSTITUTE(SUBSTITUTE(TRIM(A694&amp;""),CHAR(160),"")," ",""),"년",""))&gt;=1900,VALUE(SUBSTITUTE(SUBSTITUTE(SUBSTITUTE(TRIM(A694&amp;""),CHAR(160),"")," ",""),"년",""))&lt;=2099,TEXT(VALUE(SUBSTITUTE(SUBSTITUTE(SUBSTITUTE(TRIM(A694&amp;""),CHAR(160),"")," ",""),"년","")),"0000")=SUBSTITUTE(SUBSTITUTE(SUBSTITUTE(TRIM(A694&amp;""),CHAR(160),"")," ",""),"년","")),SUBSTITUTE(SUBSTITUTE(SUBSTITUTE(TRIM(A694&amp;""),CHAR(160),"")," ",""),"년",""),""),"")</f>
      </c>
      <c r="I694" t="str">
        <f>SUBSTITUTE(SUBSTITUTE(SUBSTITUTE(SUBSTITUTE(SUBSTITUTE(TRIM(B694&amp;""),CHAR(160),"")," ",""),"초등학교","초"),"중학교","중"),"고등학교","고")</f>
      </c>
    </row>
    <row r="695" customFormat="false" ht="15" hidden="false" customHeight="false" outlineLevel="0" collapsed="false">
      <c r="A695" s="8"/>
      <c r="B695" s="8"/>
      <c r="C695" s="8"/>
      <c r="D695" s="8"/>
      <c r="E695" s="8"/>
      <c r="F695" t="str" s="15">
        <f aca="0">IF(B695="","",IF(H695="","확인필요(입력누락)",IF(SUMPRODUCT((실물목록!$P$2:$P$1001&lt;&gt;"")*ISNUMBER(SEARCH(실물목록!$P$2:$P$1001,I695))*(실물목록!$Q$2:$Q$1001&lt;&gt;"")*ISNUMBER(SEARCH(실물목록!$Q$2:$Q$1001,I695))*(실물목록!$R$2:$R$1001="")*(실물목록!$O$2:$O$1001&lt;&gt;"")*(실물목록!$O$2:$O$1001=H695))&gt;0,"실물 있음",IF(SUMPRODUCT((실물목록!$P$2:$P$1001&lt;&gt;"")*ISNUMBER(SEARCH(실물목록!$P$2:$P$1001,I695))*(실물목록!$R$2:$R$1001&lt;&gt;""))&gt;0,"확인필요(입력누락)",IF(SUMPRODUCT((실물목록!$P$2:$P$1001&lt;&gt;"")*ISNUMBER(SEARCH(실물목록!$P$2:$P$1001,I695))*(실물목록!$Q$2:$Q$1001&lt;&gt;"")*ISNUMBER(SEARCH(실물목록!$Q$2:$Q$1001,I695))*(실물목록!$R$2:$R$1001="")*(실물목록!$O$2:$O$1001&lt;&gt;""))&gt;0,"확인필요(연도다름)","실물 없음")))))</f>
      </c>
      <c r="G695" t="n" s="16">
        <f aca="0">IF(B695="","",SUMPRODUCT((실물목록!$P$2:$P$1001&lt;&gt;"")*ISNUMBER(SEARCH(실물목록!$P$2:$P$1001,I695))*(실물목록!$Q$2:$Q$1001&lt;&gt;"")*ISNUMBER(SEARCH(실물목록!$Q$2:$Q$1001,I695))*(실물목록!$R$2:$R$1001="")*(실물목록!$O$2:$O$1001&lt;&gt;"")*(실물목록!$O$2:$O$1001=H695)))</f>
      </c>
      <c r="H695" t="str">
        <f>IFERROR(IF(AND(LEN(SUBSTITUTE(SUBSTITUTE(SUBSTITUTE(TRIM(A695&amp;""),CHAR(160),"")," ",""),"년",""))=4,VALUE(SUBSTITUTE(SUBSTITUTE(SUBSTITUTE(TRIM(A695&amp;""),CHAR(160),"")," ",""),"년",""))&gt;=1900,VALUE(SUBSTITUTE(SUBSTITUTE(SUBSTITUTE(TRIM(A695&amp;""),CHAR(160),"")," ",""),"년",""))&lt;=2099,TEXT(VALUE(SUBSTITUTE(SUBSTITUTE(SUBSTITUTE(TRIM(A695&amp;""),CHAR(160),"")," ",""),"년","")),"0000")=SUBSTITUTE(SUBSTITUTE(SUBSTITUTE(TRIM(A695&amp;""),CHAR(160),"")," ",""),"년","")),SUBSTITUTE(SUBSTITUTE(SUBSTITUTE(TRIM(A695&amp;""),CHAR(160),"")," ",""),"년",""),""),"")</f>
      </c>
      <c r="I695" t="str">
        <f>SUBSTITUTE(SUBSTITUTE(SUBSTITUTE(SUBSTITUTE(SUBSTITUTE(TRIM(B695&amp;""),CHAR(160),"")," ",""),"초등학교","초"),"중학교","중"),"고등학교","고")</f>
      </c>
    </row>
    <row r="696" customFormat="false" ht="15" hidden="false" customHeight="false" outlineLevel="0" collapsed="false">
      <c r="A696" s="8"/>
      <c r="B696" s="8"/>
      <c r="C696" s="8"/>
      <c r="D696" s="8"/>
      <c r="E696" s="8"/>
      <c r="F696" t="str" s="15">
        <f aca="0">IF(B696="","",IF(H696="","확인필요(입력누락)",IF(SUMPRODUCT((실물목록!$P$2:$P$1001&lt;&gt;"")*ISNUMBER(SEARCH(실물목록!$P$2:$P$1001,I696))*(실물목록!$Q$2:$Q$1001&lt;&gt;"")*ISNUMBER(SEARCH(실물목록!$Q$2:$Q$1001,I696))*(실물목록!$R$2:$R$1001="")*(실물목록!$O$2:$O$1001&lt;&gt;"")*(실물목록!$O$2:$O$1001=H696))&gt;0,"실물 있음",IF(SUMPRODUCT((실물목록!$P$2:$P$1001&lt;&gt;"")*ISNUMBER(SEARCH(실물목록!$P$2:$P$1001,I696))*(실물목록!$R$2:$R$1001&lt;&gt;""))&gt;0,"확인필요(입력누락)",IF(SUMPRODUCT((실물목록!$P$2:$P$1001&lt;&gt;"")*ISNUMBER(SEARCH(실물목록!$P$2:$P$1001,I696))*(실물목록!$Q$2:$Q$1001&lt;&gt;"")*ISNUMBER(SEARCH(실물목록!$Q$2:$Q$1001,I696))*(실물목록!$R$2:$R$1001="")*(실물목록!$O$2:$O$1001&lt;&gt;""))&gt;0,"확인필요(연도다름)","실물 없음")))))</f>
      </c>
      <c r="G696" t="n" s="16">
        <f aca="0">IF(B696="","",SUMPRODUCT((실물목록!$P$2:$P$1001&lt;&gt;"")*ISNUMBER(SEARCH(실물목록!$P$2:$P$1001,I696))*(실물목록!$Q$2:$Q$1001&lt;&gt;"")*ISNUMBER(SEARCH(실물목록!$Q$2:$Q$1001,I696))*(실물목록!$R$2:$R$1001="")*(실물목록!$O$2:$O$1001&lt;&gt;"")*(실물목록!$O$2:$O$1001=H696)))</f>
      </c>
      <c r="H696" t="str">
        <f>IFERROR(IF(AND(LEN(SUBSTITUTE(SUBSTITUTE(SUBSTITUTE(TRIM(A696&amp;""),CHAR(160),"")," ",""),"년",""))=4,VALUE(SUBSTITUTE(SUBSTITUTE(SUBSTITUTE(TRIM(A696&amp;""),CHAR(160),"")," ",""),"년",""))&gt;=1900,VALUE(SUBSTITUTE(SUBSTITUTE(SUBSTITUTE(TRIM(A696&amp;""),CHAR(160),"")," ",""),"년",""))&lt;=2099,TEXT(VALUE(SUBSTITUTE(SUBSTITUTE(SUBSTITUTE(TRIM(A696&amp;""),CHAR(160),"")," ",""),"년","")),"0000")=SUBSTITUTE(SUBSTITUTE(SUBSTITUTE(TRIM(A696&amp;""),CHAR(160),"")," ",""),"년","")),SUBSTITUTE(SUBSTITUTE(SUBSTITUTE(TRIM(A696&amp;""),CHAR(160),"")," ",""),"년",""),""),"")</f>
      </c>
      <c r="I696" t="str">
        <f>SUBSTITUTE(SUBSTITUTE(SUBSTITUTE(SUBSTITUTE(SUBSTITUTE(TRIM(B696&amp;""),CHAR(160),"")," ",""),"초등학교","초"),"중학교","중"),"고등학교","고")</f>
      </c>
    </row>
    <row r="697" customFormat="false" ht="15" hidden="false" customHeight="false" outlineLevel="0" collapsed="false">
      <c r="A697" s="8"/>
      <c r="B697" s="8"/>
      <c r="C697" s="8"/>
      <c r="D697" s="8"/>
      <c r="E697" s="8"/>
      <c r="F697" t="str" s="15">
        <f aca="0">IF(B697="","",IF(H697="","확인필요(입력누락)",IF(SUMPRODUCT((실물목록!$P$2:$P$1001&lt;&gt;"")*ISNUMBER(SEARCH(실물목록!$P$2:$P$1001,I697))*(실물목록!$Q$2:$Q$1001&lt;&gt;"")*ISNUMBER(SEARCH(실물목록!$Q$2:$Q$1001,I697))*(실물목록!$R$2:$R$1001="")*(실물목록!$O$2:$O$1001&lt;&gt;"")*(실물목록!$O$2:$O$1001=H697))&gt;0,"실물 있음",IF(SUMPRODUCT((실물목록!$P$2:$P$1001&lt;&gt;"")*ISNUMBER(SEARCH(실물목록!$P$2:$P$1001,I697))*(실물목록!$R$2:$R$1001&lt;&gt;""))&gt;0,"확인필요(입력누락)",IF(SUMPRODUCT((실물목록!$P$2:$P$1001&lt;&gt;"")*ISNUMBER(SEARCH(실물목록!$P$2:$P$1001,I697))*(실물목록!$Q$2:$Q$1001&lt;&gt;"")*ISNUMBER(SEARCH(실물목록!$Q$2:$Q$1001,I697))*(실물목록!$R$2:$R$1001="")*(실물목록!$O$2:$O$1001&lt;&gt;""))&gt;0,"확인필요(연도다름)","실물 없음")))))</f>
      </c>
      <c r="G697" t="n" s="16">
        <f aca="0">IF(B697="","",SUMPRODUCT((실물목록!$P$2:$P$1001&lt;&gt;"")*ISNUMBER(SEARCH(실물목록!$P$2:$P$1001,I697))*(실물목록!$Q$2:$Q$1001&lt;&gt;"")*ISNUMBER(SEARCH(실물목록!$Q$2:$Q$1001,I697))*(실물목록!$R$2:$R$1001="")*(실물목록!$O$2:$O$1001&lt;&gt;"")*(실물목록!$O$2:$O$1001=H697)))</f>
      </c>
      <c r="H697" t="str">
        <f>IFERROR(IF(AND(LEN(SUBSTITUTE(SUBSTITUTE(SUBSTITUTE(TRIM(A697&amp;""),CHAR(160),"")," ",""),"년",""))=4,VALUE(SUBSTITUTE(SUBSTITUTE(SUBSTITUTE(TRIM(A697&amp;""),CHAR(160),"")," ",""),"년",""))&gt;=1900,VALUE(SUBSTITUTE(SUBSTITUTE(SUBSTITUTE(TRIM(A697&amp;""),CHAR(160),"")," ",""),"년",""))&lt;=2099,TEXT(VALUE(SUBSTITUTE(SUBSTITUTE(SUBSTITUTE(TRIM(A697&amp;""),CHAR(160),"")," ",""),"년","")),"0000")=SUBSTITUTE(SUBSTITUTE(SUBSTITUTE(TRIM(A697&amp;""),CHAR(160),"")," ",""),"년","")),SUBSTITUTE(SUBSTITUTE(SUBSTITUTE(TRIM(A697&amp;""),CHAR(160),"")," ",""),"년",""),""),"")</f>
      </c>
      <c r="I697" t="str">
        <f>SUBSTITUTE(SUBSTITUTE(SUBSTITUTE(SUBSTITUTE(SUBSTITUTE(TRIM(B697&amp;""),CHAR(160),"")," ",""),"초등학교","초"),"중학교","중"),"고등학교","고")</f>
      </c>
    </row>
    <row r="698" customFormat="false" ht="15" hidden="false" customHeight="false" outlineLevel="0" collapsed="false">
      <c r="A698" s="8"/>
      <c r="B698" s="8"/>
      <c r="C698" s="8"/>
      <c r="D698" s="8"/>
      <c r="E698" s="8"/>
      <c r="F698" t="str" s="15">
        <f aca="0">IF(B698="","",IF(H698="","확인필요(입력누락)",IF(SUMPRODUCT((실물목록!$P$2:$P$1001&lt;&gt;"")*ISNUMBER(SEARCH(실물목록!$P$2:$P$1001,I698))*(실물목록!$Q$2:$Q$1001&lt;&gt;"")*ISNUMBER(SEARCH(실물목록!$Q$2:$Q$1001,I698))*(실물목록!$R$2:$R$1001="")*(실물목록!$O$2:$O$1001&lt;&gt;"")*(실물목록!$O$2:$O$1001=H698))&gt;0,"실물 있음",IF(SUMPRODUCT((실물목록!$P$2:$P$1001&lt;&gt;"")*ISNUMBER(SEARCH(실물목록!$P$2:$P$1001,I698))*(실물목록!$R$2:$R$1001&lt;&gt;""))&gt;0,"확인필요(입력누락)",IF(SUMPRODUCT((실물목록!$P$2:$P$1001&lt;&gt;"")*ISNUMBER(SEARCH(실물목록!$P$2:$P$1001,I698))*(실물목록!$Q$2:$Q$1001&lt;&gt;"")*ISNUMBER(SEARCH(실물목록!$Q$2:$Q$1001,I698))*(실물목록!$R$2:$R$1001="")*(실물목록!$O$2:$O$1001&lt;&gt;""))&gt;0,"확인필요(연도다름)","실물 없음")))))</f>
      </c>
      <c r="G698" t="n" s="16">
        <f aca="0">IF(B698="","",SUMPRODUCT((실물목록!$P$2:$P$1001&lt;&gt;"")*ISNUMBER(SEARCH(실물목록!$P$2:$P$1001,I698))*(실물목록!$Q$2:$Q$1001&lt;&gt;"")*ISNUMBER(SEARCH(실물목록!$Q$2:$Q$1001,I698))*(실물목록!$R$2:$R$1001="")*(실물목록!$O$2:$O$1001&lt;&gt;"")*(실물목록!$O$2:$O$1001=H698)))</f>
      </c>
      <c r="H698" t="str">
        <f>IFERROR(IF(AND(LEN(SUBSTITUTE(SUBSTITUTE(SUBSTITUTE(TRIM(A698&amp;""),CHAR(160),"")," ",""),"년",""))=4,VALUE(SUBSTITUTE(SUBSTITUTE(SUBSTITUTE(TRIM(A698&amp;""),CHAR(160),"")," ",""),"년",""))&gt;=1900,VALUE(SUBSTITUTE(SUBSTITUTE(SUBSTITUTE(TRIM(A698&amp;""),CHAR(160),"")," ",""),"년",""))&lt;=2099,TEXT(VALUE(SUBSTITUTE(SUBSTITUTE(SUBSTITUTE(TRIM(A698&amp;""),CHAR(160),"")," ",""),"년","")),"0000")=SUBSTITUTE(SUBSTITUTE(SUBSTITUTE(TRIM(A698&amp;""),CHAR(160),"")," ",""),"년","")),SUBSTITUTE(SUBSTITUTE(SUBSTITUTE(TRIM(A698&amp;""),CHAR(160),"")," ",""),"년",""),""),"")</f>
      </c>
      <c r="I698" t="str">
        <f>SUBSTITUTE(SUBSTITUTE(SUBSTITUTE(SUBSTITUTE(SUBSTITUTE(TRIM(B698&amp;""),CHAR(160),"")," ",""),"초등학교","초"),"중학교","중"),"고등학교","고")</f>
      </c>
    </row>
    <row r="699" customFormat="false" ht="15" hidden="false" customHeight="false" outlineLevel="0" collapsed="false">
      <c r="A699" s="8"/>
      <c r="B699" s="8"/>
      <c r="C699" s="8"/>
      <c r="D699" s="8"/>
      <c r="E699" s="8"/>
      <c r="F699" t="str" s="15">
        <f aca="0">IF(B699="","",IF(H699="","확인필요(입력누락)",IF(SUMPRODUCT((실물목록!$P$2:$P$1001&lt;&gt;"")*ISNUMBER(SEARCH(실물목록!$P$2:$P$1001,I699))*(실물목록!$Q$2:$Q$1001&lt;&gt;"")*ISNUMBER(SEARCH(실물목록!$Q$2:$Q$1001,I699))*(실물목록!$R$2:$R$1001="")*(실물목록!$O$2:$O$1001&lt;&gt;"")*(실물목록!$O$2:$O$1001=H699))&gt;0,"실물 있음",IF(SUMPRODUCT((실물목록!$P$2:$P$1001&lt;&gt;"")*ISNUMBER(SEARCH(실물목록!$P$2:$P$1001,I699))*(실물목록!$R$2:$R$1001&lt;&gt;""))&gt;0,"확인필요(입력누락)",IF(SUMPRODUCT((실물목록!$P$2:$P$1001&lt;&gt;"")*ISNUMBER(SEARCH(실물목록!$P$2:$P$1001,I699))*(실물목록!$Q$2:$Q$1001&lt;&gt;"")*ISNUMBER(SEARCH(실물목록!$Q$2:$Q$1001,I699))*(실물목록!$R$2:$R$1001="")*(실물목록!$O$2:$O$1001&lt;&gt;""))&gt;0,"확인필요(연도다름)","실물 없음")))))</f>
      </c>
      <c r="G699" t="n" s="16">
        <f aca="0">IF(B699="","",SUMPRODUCT((실물목록!$P$2:$P$1001&lt;&gt;"")*ISNUMBER(SEARCH(실물목록!$P$2:$P$1001,I699))*(실물목록!$Q$2:$Q$1001&lt;&gt;"")*ISNUMBER(SEARCH(실물목록!$Q$2:$Q$1001,I699))*(실물목록!$R$2:$R$1001="")*(실물목록!$O$2:$O$1001&lt;&gt;"")*(실물목록!$O$2:$O$1001=H699)))</f>
      </c>
      <c r="H699" t="str">
        <f>IFERROR(IF(AND(LEN(SUBSTITUTE(SUBSTITUTE(SUBSTITUTE(TRIM(A699&amp;""),CHAR(160),"")," ",""),"년",""))=4,VALUE(SUBSTITUTE(SUBSTITUTE(SUBSTITUTE(TRIM(A699&amp;""),CHAR(160),"")," ",""),"년",""))&gt;=1900,VALUE(SUBSTITUTE(SUBSTITUTE(SUBSTITUTE(TRIM(A699&amp;""),CHAR(160),"")," ",""),"년",""))&lt;=2099,TEXT(VALUE(SUBSTITUTE(SUBSTITUTE(SUBSTITUTE(TRIM(A699&amp;""),CHAR(160),"")," ",""),"년","")),"0000")=SUBSTITUTE(SUBSTITUTE(SUBSTITUTE(TRIM(A699&amp;""),CHAR(160),"")," ",""),"년","")),SUBSTITUTE(SUBSTITUTE(SUBSTITUTE(TRIM(A699&amp;""),CHAR(160),"")," ",""),"년",""),""),"")</f>
      </c>
      <c r="I699" t="str">
        <f>SUBSTITUTE(SUBSTITUTE(SUBSTITUTE(SUBSTITUTE(SUBSTITUTE(TRIM(B699&amp;""),CHAR(160),"")," ",""),"초등학교","초"),"중학교","중"),"고등학교","고")</f>
      </c>
    </row>
    <row r="700" customFormat="false" ht="15" hidden="false" customHeight="false" outlineLevel="0" collapsed="false">
      <c r="A700" s="8"/>
      <c r="B700" s="8"/>
      <c r="C700" s="8"/>
      <c r="D700" s="8"/>
      <c r="E700" s="8"/>
      <c r="F700" t="str" s="15">
        <f aca="0">IF(B700="","",IF(H700="","확인필요(입력누락)",IF(SUMPRODUCT((실물목록!$P$2:$P$1001&lt;&gt;"")*ISNUMBER(SEARCH(실물목록!$P$2:$P$1001,I700))*(실물목록!$Q$2:$Q$1001&lt;&gt;"")*ISNUMBER(SEARCH(실물목록!$Q$2:$Q$1001,I700))*(실물목록!$R$2:$R$1001="")*(실물목록!$O$2:$O$1001&lt;&gt;"")*(실물목록!$O$2:$O$1001=H700))&gt;0,"실물 있음",IF(SUMPRODUCT((실물목록!$P$2:$P$1001&lt;&gt;"")*ISNUMBER(SEARCH(실물목록!$P$2:$P$1001,I700))*(실물목록!$R$2:$R$1001&lt;&gt;""))&gt;0,"확인필요(입력누락)",IF(SUMPRODUCT((실물목록!$P$2:$P$1001&lt;&gt;"")*ISNUMBER(SEARCH(실물목록!$P$2:$P$1001,I700))*(실물목록!$Q$2:$Q$1001&lt;&gt;"")*ISNUMBER(SEARCH(실물목록!$Q$2:$Q$1001,I700))*(실물목록!$R$2:$R$1001="")*(실물목록!$O$2:$O$1001&lt;&gt;""))&gt;0,"확인필요(연도다름)","실물 없음")))))</f>
      </c>
      <c r="G700" t="n" s="16">
        <f aca="0">IF(B700="","",SUMPRODUCT((실물목록!$P$2:$P$1001&lt;&gt;"")*ISNUMBER(SEARCH(실물목록!$P$2:$P$1001,I700))*(실물목록!$Q$2:$Q$1001&lt;&gt;"")*ISNUMBER(SEARCH(실물목록!$Q$2:$Q$1001,I700))*(실물목록!$R$2:$R$1001="")*(실물목록!$O$2:$O$1001&lt;&gt;"")*(실물목록!$O$2:$O$1001=H700)))</f>
      </c>
      <c r="H700" t="str">
        <f>IFERROR(IF(AND(LEN(SUBSTITUTE(SUBSTITUTE(SUBSTITUTE(TRIM(A700&amp;""),CHAR(160),"")," ",""),"년",""))=4,VALUE(SUBSTITUTE(SUBSTITUTE(SUBSTITUTE(TRIM(A700&amp;""),CHAR(160),"")," ",""),"년",""))&gt;=1900,VALUE(SUBSTITUTE(SUBSTITUTE(SUBSTITUTE(TRIM(A700&amp;""),CHAR(160),"")," ",""),"년",""))&lt;=2099,TEXT(VALUE(SUBSTITUTE(SUBSTITUTE(SUBSTITUTE(TRIM(A700&amp;""),CHAR(160),"")," ",""),"년","")),"0000")=SUBSTITUTE(SUBSTITUTE(SUBSTITUTE(TRIM(A700&amp;""),CHAR(160),"")," ",""),"년","")),SUBSTITUTE(SUBSTITUTE(SUBSTITUTE(TRIM(A700&amp;""),CHAR(160),"")," ",""),"년",""),""),"")</f>
      </c>
      <c r="I700" t="str">
        <f>SUBSTITUTE(SUBSTITUTE(SUBSTITUTE(SUBSTITUTE(SUBSTITUTE(TRIM(B700&amp;""),CHAR(160),"")," ",""),"초등학교","초"),"중학교","중"),"고등학교","고")</f>
      </c>
    </row>
    <row r="701" customFormat="false" ht="15" hidden="false" customHeight="false" outlineLevel="0" collapsed="false">
      <c r="A701" s="8"/>
      <c r="B701" s="8"/>
      <c r="C701" s="8"/>
      <c r="D701" s="8"/>
      <c r="E701" s="8"/>
      <c r="F701" t="str" s="15">
        <f aca="0">IF(B701="","",IF(H701="","확인필요(입력누락)",IF(SUMPRODUCT((실물목록!$P$2:$P$1001&lt;&gt;"")*ISNUMBER(SEARCH(실물목록!$P$2:$P$1001,I701))*(실물목록!$Q$2:$Q$1001&lt;&gt;"")*ISNUMBER(SEARCH(실물목록!$Q$2:$Q$1001,I701))*(실물목록!$R$2:$R$1001="")*(실물목록!$O$2:$O$1001&lt;&gt;"")*(실물목록!$O$2:$O$1001=H701))&gt;0,"실물 있음",IF(SUMPRODUCT((실물목록!$P$2:$P$1001&lt;&gt;"")*ISNUMBER(SEARCH(실물목록!$P$2:$P$1001,I701))*(실물목록!$R$2:$R$1001&lt;&gt;""))&gt;0,"확인필요(입력누락)",IF(SUMPRODUCT((실물목록!$P$2:$P$1001&lt;&gt;"")*ISNUMBER(SEARCH(실물목록!$P$2:$P$1001,I701))*(실물목록!$Q$2:$Q$1001&lt;&gt;"")*ISNUMBER(SEARCH(실물목록!$Q$2:$Q$1001,I701))*(실물목록!$R$2:$R$1001="")*(실물목록!$O$2:$O$1001&lt;&gt;""))&gt;0,"확인필요(연도다름)","실물 없음")))))</f>
      </c>
      <c r="G701" t="n" s="16">
        <f aca="0">IF(B701="","",SUMPRODUCT((실물목록!$P$2:$P$1001&lt;&gt;"")*ISNUMBER(SEARCH(실물목록!$P$2:$P$1001,I701))*(실물목록!$Q$2:$Q$1001&lt;&gt;"")*ISNUMBER(SEARCH(실물목록!$Q$2:$Q$1001,I701))*(실물목록!$R$2:$R$1001="")*(실물목록!$O$2:$O$1001&lt;&gt;"")*(실물목록!$O$2:$O$1001=H701)))</f>
      </c>
      <c r="H701" t="str">
        <f>IFERROR(IF(AND(LEN(SUBSTITUTE(SUBSTITUTE(SUBSTITUTE(TRIM(A701&amp;""),CHAR(160),"")," ",""),"년",""))=4,VALUE(SUBSTITUTE(SUBSTITUTE(SUBSTITUTE(TRIM(A701&amp;""),CHAR(160),"")," ",""),"년",""))&gt;=1900,VALUE(SUBSTITUTE(SUBSTITUTE(SUBSTITUTE(TRIM(A701&amp;""),CHAR(160),"")," ",""),"년",""))&lt;=2099,TEXT(VALUE(SUBSTITUTE(SUBSTITUTE(SUBSTITUTE(TRIM(A701&amp;""),CHAR(160),"")," ",""),"년","")),"0000")=SUBSTITUTE(SUBSTITUTE(SUBSTITUTE(TRIM(A701&amp;""),CHAR(160),"")," ",""),"년","")),SUBSTITUTE(SUBSTITUTE(SUBSTITUTE(TRIM(A701&amp;""),CHAR(160),"")," ",""),"년",""),""),"")</f>
      </c>
      <c r="I701" t="str">
        <f>SUBSTITUTE(SUBSTITUTE(SUBSTITUTE(SUBSTITUTE(SUBSTITUTE(TRIM(B701&amp;""),CHAR(160),"")," ",""),"초등학교","초"),"중학교","중"),"고등학교","고")</f>
      </c>
    </row>
    <row r="702" customFormat="false" ht="15" hidden="false" customHeight="false" outlineLevel="0" collapsed="false">
      <c r="A702" s="8"/>
      <c r="B702" s="8"/>
      <c r="C702" s="8"/>
      <c r="D702" s="8"/>
      <c r="E702" s="8"/>
      <c r="F702" t="str" s="15">
        <f aca="0">IF(B702="","",IF(H702="","확인필요(입력누락)",IF(SUMPRODUCT((실물목록!$P$2:$P$1001&lt;&gt;"")*ISNUMBER(SEARCH(실물목록!$P$2:$P$1001,I702))*(실물목록!$Q$2:$Q$1001&lt;&gt;"")*ISNUMBER(SEARCH(실물목록!$Q$2:$Q$1001,I702))*(실물목록!$R$2:$R$1001="")*(실물목록!$O$2:$O$1001&lt;&gt;"")*(실물목록!$O$2:$O$1001=H702))&gt;0,"실물 있음",IF(SUMPRODUCT((실물목록!$P$2:$P$1001&lt;&gt;"")*ISNUMBER(SEARCH(실물목록!$P$2:$P$1001,I702))*(실물목록!$R$2:$R$1001&lt;&gt;""))&gt;0,"확인필요(입력누락)",IF(SUMPRODUCT((실물목록!$P$2:$P$1001&lt;&gt;"")*ISNUMBER(SEARCH(실물목록!$P$2:$P$1001,I702))*(실물목록!$Q$2:$Q$1001&lt;&gt;"")*ISNUMBER(SEARCH(실물목록!$Q$2:$Q$1001,I702))*(실물목록!$R$2:$R$1001="")*(실물목록!$O$2:$O$1001&lt;&gt;""))&gt;0,"확인필요(연도다름)","실물 없음")))))</f>
      </c>
      <c r="G702" t="n" s="16">
        <f aca="0">IF(B702="","",SUMPRODUCT((실물목록!$P$2:$P$1001&lt;&gt;"")*ISNUMBER(SEARCH(실물목록!$P$2:$P$1001,I702))*(실물목록!$Q$2:$Q$1001&lt;&gt;"")*ISNUMBER(SEARCH(실물목록!$Q$2:$Q$1001,I702))*(실물목록!$R$2:$R$1001="")*(실물목록!$O$2:$O$1001&lt;&gt;"")*(실물목록!$O$2:$O$1001=H702)))</f>
      </c>
      <c r="H702" t="str">
        <f>IFERROR(IF(AND(LEN(SUBSTITUTE(SUBSTITUTE(SUBSTITUTE(TRIM(A702&amp;""),CHAR(160),"")," ",""),"년",""))=4,VALUE(SUBSTITUTE(SUBSTITUTE(SUBSTITUTE(TRIM(A702&amp;""),CHAR(160),"")," ",""),"년",""))&gt;=1900,VALUE(SUBSTITUTE(SUBSTITUTE(SUBSTITUTE(TRIM(A702&amp;""),CHAR(160),"")," ",""),"년",""))&lt;=2099,TEXT(VALUE(SUBSTITUTE(SUBSTITUTE(SUBSTITUTE(TRIM(A702&amp;""),CHAR(160),"")," ",""),"년","")),"0000")=SUBSTITUTE(SUBSTITUTE(SUBSTITUTE(TRIM(A702&amp;""),CHAR(160),"")," ",""),"년","")),SUBSTITUTE(SUBSTITUTE(SUBSTITUTE(TRIM(A702&amp;""),CHAR(160),"")," ",""),"년",""),""),"")</f>
      </c>
      <c r="I702" t="str">
        <f>SUBSTITUTE(SUBSTITUTE(SUBSTITUTE(SUBSTITUTE(SUBSTITUTE(TRIM(B702&amp;""),CHAR(160),"")," ",""),"초등학교","초"),"중학교","중"),"고등학교","고")</f>
      </c>
    </row>
    <row r="703" customFormat="false" ht="15" hidden="false" customHeight="false" outlineLevel="0" collapsed="false">
      <c r="A703" s="8"/>
      <c r="B703" s="8"/>
      <c r="C703" s="8"/>
      <c r="D703" s="8"/>
      <c r="E703" s="8"/>
      <c r="F703" t="str" s="15">
        <f aca="0">IF(B703="","",IF(H703="","확인필요(입력누락)",IF(SUMPRODUCT((실물목록!$P$2:$P$1001&lt;&gt;"")*ISNUMBER(SEARCH(실물목록!$P$2:$P$1001,I703))*(실물목록!$Q$2:$Q$1001&lt;&gt;"")*ISNUMBER(SEARCH(실물목록!$Q$2:$Q$1001,I703))*(실물목록!$R$2:$R$1001="")*(실물목록!$O$2:$O$1001&lt;&gt;"")*(실물목록!$O$2:$O$1001=H703))&gt;0,"실물 있음",IF(SUMPRODUCT((실물목록!$P$2:$P$1001&lt;&gt;"")*ISNUMBER(SEARCH(실물목록!$P$2:$P$1001,I703))*(실물목록!$R$2:$R$1001&lt;&gt;""))&gt;0,"확인필요(입력누락)",IF(SUMPRODUCT((실물목록!$P$2:$P$1001&lt;&gt;"")*ISNUMBER(SEARCH(실물목록!$P$2:$P$1001,I703))*(실물목록!$Q$2:$Q$1001&lt;&gt;"")*ISNUMBER(SEARCH(실물목록!$Q$2:$Q$1001,I703))*(실물목록!$R$2:$R$1001="")*(실물목록!$O$2:$O$1001&lt;&gt;""))&gt;0,"확인필요(연도다름)","실물 없음")))))</f>
      </c>
      <c r="G703" t="n" s="16">
        <f aca="0">IF(B703="","",SUMPRODUCT((실물목록!$P$2:$P$1001&lt;&gt;"")*ISNUMBER(SEARCH(실물목록!$P$2:$P$1001,I703))*(실물목록!$Q$2:$Q$1001&lt;&gt;"")*ISNUMBER(SEARCH(실물목록!$Q$2:$Q$1001,I703))*(실물목록!$R$2:$R$1001="")*(실물목록!$O$2:$O$1001&lt;&gt;"")*(실물목록!$O$2:$O$1001=H703)))</f>
      </c>
      <c r="H703" t="str">
        <f>IFERROR(IF(AND(LEN(SUBSTITUTE(SUBSTITUTE(SUBSTITUTE(TRIM(A703&amp;""),CHAR(160),"")," ",""),"년",""))=4,VALUE(SUBSTITUTE(SUBSTITUTE(SUBSTITUTE(TRIM(A703&amp;""),CHAR(160),"")," ",""),"년",""))&gt;=1900,VALUE(SUBSTITUTE(SUBSTITUTE(SUBSTITUTE(TRIM(A703&amp;""),CHAR(160),"")," ",""),"년",""))&lt;=2099,TEXT(VALUE(SUBSTITUTE(SUBSTITUTE(SUBSTITUTE(TRIM(A703&amp;""),CHAR(160),"")," ",""),"년","")),"0000")=SUBSTITUTE(SUBSTITUTE(SUBSTITUTE(TRIM(A703&amp;""),CHAR(160),"")," ",""),"년","")),SUBSTITUTE(SUBSTITUTE(SUBSTITUTE(TRIM(A703&amp;""),CHAR(160),"")," ",""),"년",""),""),"")</f>
      </c>
      <c r="I703" t="str">
        <f>SUBSTITUTE(SUBSTITUTE(SUBSTITUTE(SUBSTITUTE(SUBSTITUTE(TRIM(B703&amp;""),CHAR(160),"")," ",""),"초등학교","초"),"중학교","중"),"고등학교","고")</f>
      </c>
    </row>
    <row r="704" customFormat="false" ht="15" hidden="false" customHeight="false" outlineLevel="0" collapsed="false">
      <c r="A704" s="8"/>
      <c r="B704" s="8"/>
      <c r="C704" s="8"/>
      <c r="D704" s="8"/>
      <c r="E704" s="8"/>
      <c r="F704" t="str" s="15">
        <f aca="0">IF(B704="","",IF(H704="","확인필요(입력누락)",IF(SUMPRODUCT((실물목록!$P$2:$P$1001&lt;&gt;"")*ISNUMBER(SEARCH(실물목록!$P$2:$P$1001,I704))*(실물목록!$Q$2:$Q$1001&lt;&gt;"")*ISNUMBER(SEARCH(실물목록!$Q$2:$Q$1001,I704))*(실물목록!$R$2:$R$1001="")*(실물목록!$O$2:$O$1001&lt;&gt;"")*(실물목록!$O$2:$O$1001=H704))&gt;0,"실물 있음",IF(SUMPRODUCT((실물목록!$P$2:$P$1001&lt;&gt;"")*ISNUMBER(SEARCH(실물목록!$P$2:$P$1001,I704))*(실물목록!$R$2:$R$1001&lt;&gt;""))&gt;0,"확인필요(입력누락)",IF(SUMPRODUCT((실물목록!$P$2:$P$1001&lt;&gt;"")*ISNUMBER(SEARCH(실물목록!$P$2:$P$1001,I704))*(실물목록!$Q$2:$Q$1001&lt;&gt;"")*ISNUMBER(SEARCH(실물목록!$Q$2:$Q$1001,I704))*(실물목록!$R$2:$R$1001="")*(실물목록!$O$2:$O$1001&lt;&gt;""))&gt;0,"확인필요(연도다름)","실물 없음")))))</f>
      </c>
      <c r="G704" t="n" s="16">
        <f aca="0">IF(B704="","",SUMPRODUCT((실물목록!$P$2:$P$1001&lt;&gt;"")*ISNUMBER(SEARCH(실물목록!$P$2:$P$1001,I704))*(실물목록!$Q$2:$Q$1001&lt;&gt;"")*ISNUMBER(SEARCH(실물목록!$Q$2:$Q$1001,I704))*(실물목록!$R$2:$R$1001="")*(실물목록!$O$2:$O$1001&lt;&gt;"")*(실물목록!$O$2:$O$1001=H704)))</f>
      </c>
      <c r="H704" t="str">
        <f>IFERROR(IF(AND(LEN(SUBSTITUTE(SUBSTITUTE(SUBSTITUTE(TRIM(A704&amp;""),CHAR(160),"")," ",""),"년",""))=4,VALUE(SUBSTITUTE(SUBSTITUTE(SUBSTITUTE(TRIM(A704&amp;""),CHAR(160),"")," ",""),"년",""))&gt;=1900,VALUE(SUBSTITUTE(SUBSTITUTE(SUBSTITUTE(TRIM(A704&amp;""),CHAR(160),"")," ",""),"년",""))&lt;=2099,TEXT(VALUE(SUBSTITUTE(SUBSTITUTE(SUBSTITUTE(TRIM(A704&amp;""),CHAR(160),"")," ",""),"년","")),"0000")=SUBSTITUTE(SUBSTITUTE(SUBSTITUTE(TRIM(A704&amp;""),CHAR(160),"")," ",""),"년","")),SUBSTITUTE(SUBSTITUTE(SUBSTITUTE(TRIM(A704&amp;""),CHAR(160),"")," ",""),"년",""),""),"")</f>
      </c>
      <c r="I704" t="str">
        <f>SUBSTITUTE(SUBSTITUTE(SUBSTITUTE(SUBSTITUTE(SUBSTITUTE(TRIM(B704&amp;""),CHAR(160),"")," ",""),"초등학교","초"),"중학교","중"),"고등학교","고")</f>
      </c>
    </row>
    <row r="705" customFormat="false" ht="15" hidden="false" customHeight="false" outlineLevel="0" collapsed="false">
      <c r="A705" s="8"/>
      <c r="B705" s="8"/>
      <c r="C705" s="8"/>
      <c r="D705" s="8"/>
      <c r="E705" s="8"/>
      <c r="F705" t="str" s="15">
        <f aca="0">IF(B705="","",IF(H705="","확인필요(입력누락)",IF(SUMPRODUCT((실물목록!$P$2:$P$1001&lt;&gt;"")*ISNUMBER(SEARCH(실물목록!$P$2:$P$1001,I705))*(실물목록!$Q$2:$Q$1001&lt;&gt;"")*ISNUMBER(SEARCH(실물목록!$Q$2:$Q$1001,I705))*(실물목록!$R$2:$R$1001="")*(실물목록!$O$2:$O$1001&lt;&gt;"")*(실물목록!$O$2:$O$1001=H705))&gt;0,"실물 있음",IF(SUMPRODUCT((실물목록!$P$2:$P$1001&lt;&gt;"")*ISNUMBER(SEARCH(실물목록!$P$2:$P$1001,I705))*(실물목록!$R$2:$R$1001&lt;&gt;""))&gt;0,"확인필요(입력누락)",IF(SUMPRODUCT((실물목록!$P$2:$P$1001&lt;&gt;"")*ISNUMBER(SEARCH(실물목록!$P$2:$P$1001,I705))*(실물목록!$Q$2:$Q$1001&lt;&gt;"")*ISNUMBER(SEARCH(실물목록!$Q$2:$Q$1001,I705))*(실물목록!$R$2:$R$1001="")*(실물목록!$O$2:$O$1001&lt;&gt;""))&gt;0,"확인필요(연도다름)","실물 없음")))))</f>
      </c>
      <c r="G705" t="n" s="16">
        <f aca="0">IF(B705="","",SUMPRODUCT((실물목록!$P$2:$P$1001&lt;&gt;"")*ISNUMBER(SEARCH(실물목록!$P$2:$P$1001,I705))*(실물목록!$Q$2:$Q$1001&lt;&gt;"")*ISNUMBER(SEARCH(실물목록!$Q$2:$Q$1001,I705))*(실물목록!$R$2:$R$1001="")*(실물목록!$O$2:$O$1001&lt;&gt;"")*(실물목록!$O$2:$O$1001=H705)))</f>
      </c>
      <c r="H705" t="str">
        <f>IFERROR(IF(AND(LEN(SUBSTITUTE(SUBSTITUTE(SUBSTITUTE(TRIM(A705&amp;""),CHAR(160),"")," ",""),"년",""))=4,VALUE(SUBSTITUTE(SUBSTITUTE(SUBSTITUTE(TRIM(A705&amp;""),CHAR(160),"")," ",""),"년",""))&gt;=1900,VALUE(SUBSTITUTE(SUBSTITUTE(SUBSTITUTE(TRIM(A705&amp;""),CHAR(160),"")," ",""),"년",""))&lt;=2099,TEXT(VALUE(SUBSTITUTE(SUBSTITUTE(SUBSTITUTE(TRIM(A705&amp;""),CHAR(160),"")," ",""),"년","")),"0000")=SUBSTITUTE(SUBSTITUTE(SUBSTITUTE(TRIM(A705&amp;""),CHAR(160),"")," ",""),"년","")),SUBSTITUTE(SUBSTITUTE(SUBSTITUTE(TRIM(A705&amp;""),CHAR(160),"")," ",""),"년",""),""),"")</f>
      </c>
      <c r="I705" t="str">
        <f>SUBSTITUTE(SUBSTITUTE(SUBSTITUTE(SUBSTITUTE(SUBSTITUTE(TRIM(B705&amp;""),CHAR(160),"")," ",""),"초등학교","초"),"중학교","중"),"고등학교","고")</f>
      </c>
    </row>
    <row r="706" customFormat="false" ht="15" hidden="false" customHeight="false" outlineLevel="0" collapsed="false">
      <c r="A706" s="8"/>
      <c r="B706" s="8"/>
      <c r="C706" s="8"/>
      <c r="D706" s="8"/>
      <c r="E706" s="8"/>
      <c r="F706" t="str" s="15">
        <f aca="0">IF(B706="","",IF(H706="","확인필요(입력누락)",IF(SUMPRODUCT((실물목록!$P$2:$P$1001&lt;&gt;"")*ISNUMBER(SEARCH(실물목록!$P$2:$P$1001,I706))*(실물목록!$Q$2:$Q$1001&lt;&gt;"")*ISNUMBER(SEARCH(실물목록!$Q$2:$Q$1001,I706))*(실물목록!$R$2:$R$1001="")*(실물목록!$O$2:$O$1001&lt;&gt;"")*(실물목록!$O$2:$O$1001=H706))&gt;0,"실물 있음",IF(SUMPRODUCT((실물목록!$P$2:$P$1001&lt;&gt;"")*ISNUMBER(SEARCH(실물목록!$P$2:$P$1001,I706))*(실물목록!$R$2:$R$1001&lt;&gt;""))&gt;0,"확인필요(입력누락)",IF(SUMPRODUCT((실물목록!$P$2:$P$1001&lt;&gt;"")*ISNUMBER(SEARCH(실물목록!$P$2:$P$1001,I706))*(실물목록!$Q$2:$Q$1001&lt;&gt;"")*ISNUMBER(SEARCH(실물목록!$Q$2:$Q$1001,I706))*(실물목록!$R$2:$R$1001="")*(실물목록!$O$2:$O$1001&lt;&gt;""))&gt;0,"확인필요(연도다름)","실물 없음")))))</f>
      </c>
      <c r="G706" t="n" s="16">
        <f aca="0">IF(B706="","",SUMPRODUCT((실물목록!$P$2:$P$1001&lt;&gt;"")*ISNUMBER(SEARCH(실물목록!$P$2:$P$1001,I706))*(실물목록!$Q$2:$Q$1001&lt;&gt;"")*ISNUMBER(SEARCH(실물목록!$Q$2:$Q$1001,I706))*(실물목록!$R$2:$R$1001="")*(실물목록!$O$2:$O$1001&lt;&gt;"")*(실물목록!$O$2:$O$1001=H706)))</f>
      </c>
      <c r="H706" t="str">
        <f>IFERROR(IF(AND(LEN(SUBSTITUTE(SUBSTITUTE(SUBSTITUTE(TRIM(A706&amp;""),CHAR(160),"")," ",""),"년",""))=4,VALUE(SUBSTITUTE(SUBSTITUTE(SUBSTITUTE(TRIM(A706&amp;""),CHAR(160),"")," ",""),"년",""))&gt;=1900,VALUE(SUBSTITUTE(SUBSTITUTE(SUBSTITUTE(TRIM(A706&amp;""),CHAR(160),"")," ",""),"년",""))&lt;=2099,TEXT(VALUE(SUBSTITUTE(SUBSTITUTE(SUBSTITUTE(TRIM(A706&amp;""),CHAR(160),"")," ",""),"년","")),"0000")=SUBSTITUTE(SUBSTITUTE(SUBSTITUTE(TRIM(A706&amp;""),CHAR(160),"")," ",""),"년","")),SUBSTITUTE(SUBSTITUTE(SUBSTITUTE(TRIM(A706&amp;""),CHAR(160),"")," ",""),"년",""),""),"")</f>
      </c>
      <c r="I706" t="str">
        <f>SUBSTITUTE(SUBSTITUTE(SUBSTITUTE(SUBSTITUTE(SUBSTITUTE(TRIM(B706&amp;""),CHAR(160),"")," ",""),"초등학교","초"),"중학교","중"),"고등학교","고")</f>
      </c>
    </row>
    <row r="707" customFormat="false" ht="15" hidden="false" customHeight="false" outlineLevel="0" collapsed="false">
      <c r="A707" s="8"/>
      <c r="B707" s="8"/>
      <c r="C707" s="8"/>
      <c r="D707" s="8"/>
      <c r="E707" s="8"/>
      <c r="F707" t="str" s="15">
        <f aca="0">IF(B707="","",IF(H707="","확인필요(입력누락)",IF(SUMPRODUCT((실물목록!$P$2:$P$1001&lt;&gt;"")*ISNUMBER(SEARCH(실물목록!$P$2:$P$1001,I707))*(실물목록!$Q$2:$Q$1001&lt;&gt;"")*ISNUMBER(SEARCH(실물목록!$Q$2:$Q$1001,I707))*(실물목록!$R$2:$R$1001="")*(실물목록!$O$2:$O$1001&lt;&gt;"")*(실물목록!$O$2:$O$1001=H707))&gt;0,"실물 있음",IF(SUMPRODUCT((실물목록!$P$2:$P$1001&lt;&gt;"")*ISNUMBER(SEARCH(실물목록!$P$2:$P$1001,I707))*(실물목록!$R$2:$R$1001&lt;&gt;""))&gt;0,"확인필요(입력누락)",IF(SUMPRODUCT((실물목록!$P$2:$P$1001&lt;&gt;"")*ISNUMBER(SEARCH(실물목록!$P$2:$P$1001,I707))*(실물목록!$Q$2:$Q$1001&lt;&gt;"")*ISNUMBER(SEARCH(실물목록!$Q$2:$Q$1001,I707))*(실물목록!$R$2:$R$1001="")*(실물목록!$O$2:$O$1001&lt;&gt;""))&gt;0,"확인필요(연도다름)","실물 없음")))))</f>
      </c>
      <c r="G707" t="n" s="16">
        <f aca="0">IF(B707="","",SUMPRODUCT((실물목록!$P$2:$P$1001&lt;&gt;"")*ISNUMBER(SEARCH(실물목록!$P$2:$P$1001,I707))*(실물목록!$Q$2:$Q$1001&lt;&gt;"")*ISNUMBER(SEARCH(실물목록!$Q$2:$Q$1001,I707))*(실물목록!$R$2:$R$1001="")*(실물목록!$O$2:$O$1001&lt;&gt;"")*(실물목록!$O$2:$O$1001=H707)))</f>
      </c>
      <c r="H707" t="str">
        <f>IFERROR(IF(AND(LEN(SUBSTITUTE(SUBSTITUTE(SUBSTITUTE(TRIM(A707&amp;""),CHAR(160),"")," ",""),"년",""))=4,VALUE(SUBSTITUTE(SUBSTITUTE(SUBSTITUTE(TRIM(A707&amp;""),CHAR(160),"")," ",""),"년",""))&gt;=1900,VALUE(SUBSTITUTE(SUBSTITUTE(SUBSTITUTE(TRIM(A707&amp;""),CHAR(160),"")," ",""),"년",""))&lt;=2099,TEXT(VALUE(SUBSTITUTE(SUBSTITUTE(SUBSTITUTE(TRIM(A707&amp;""),CHAR(160),"")," ",""),"년","")),"0000")=SUBSTITUTE(SUBSTITUTE(SUBSTITUTE(TRIM(A707&amp;""),CHAR(160),"")," ",""),"년","")),SUBSTITUTE(SUBSTITUTE(SUBSTITUTE(TRIM(A707&amp;""),CHAR(160),"")," ",""),"년",""),""),"")</f>
      </c>
      <c r="I707" t="str">
        <f>SUBSTITUTE(SUBSTITUTE(SUBSTITUTE(SUBSTITUTE(SUBSTITUTE(TRIM(B707&amp;""),CHAR(160),"")," ",""),"초등학교","초"),"중학교","중"),"고등학교","고")</f>
      </c>
    </row>
    <row r="708" customFormat="false" ht="15" hidden="false" customHeight="false" outlineLevel="0" collapsed="false">
      <c r="A708" s="8"/>
      <c r="B708" s="8"/>
      <c r="C708" s="8"/>
      <c r="D708" s="8"/>
      <c r="E708" s="8"/>
      <c r="F708" t="str" s="15">
        <f aca="0">IF(B708="","",IF(H708="","확인필요(입력누락)",IF(SUMPRODUCT((실물목록!$P$2:$P$1001&lt;&gt;"")*ISNUMBER(SEARCH(실물목록!$P$2:$P$1001,I708))*(실물목록!$Q$2:$Q$1001&lt;&gt;"")*ISNUMBER(SEARCH(실물목록!$Q$2:$Q$1001,I708))*(실물목록!$R$2:$R$1001="")*(실물목록!$O$2:$O$1001&lt;&gt;"")*(실물목록!$O$2:$O$1001=H708))&gt;0,"실물 있음",IF(SUMPRODUCT((실물목록!$P$2:$P$1001&lt;&gt;"")*ISNUMBER(SEARCH(실물목록!$P$2:$P$1001,I708))*(실물목록!$R$2:$R$1001&lt;&gt;""))&gt;0,"확인필요(입력누락)",IF(SUMPRODUCT((실물목록!$P$2:$P$1001&lt;&gt;"")*ISNUMBER(SEARCH(실물목록!$P$2:$P$1001,I708))*(실물목록!$Q$2:$Q$1001&lt;&gt;"")*ISNUMBER(SEARCH(실물목록!$Q$2:$Q$1001,I708))*(실물목록!$R$2:$R$1001="")*(실물목록!$O$2:$O$1001&lt;&gt;""))&gt;0,"확인필요(연도다름)","실물 없음")))))</f>
      </c>
      <c r="G708" t="n" s="16">
        <f aca="0">IF(B708="","",SUMPRODUCT((실물목록!$P$2:$P$1001&lt;&gt;"")*ISNUMBER(SEARCH(실물목록!$P$2:$P$1001,I708))*(실물목록!$Q$2:$Q$1001&lt;&gt;"")*ISNUMBER(SEARCH(실물목록!$Q$2:$Q$1001,I708))*(실물목록!$R$2:$R$1001="")*(실물목록!$O$2:$O$1001&lt;&gt;"")*(실물목록!$O$2:$O$1001=H708)))</f>
      </c>
      <c r="H708" t="str">
        <f>IFERROR(IF(AND(LEN(SUBSTITUTE(SUBSTITUTE(SUBSTITUTE(TRIM(A708&amp;""),CHAR(160),"")," ",""),"년",""))=4,VALUE(SUBSTITUTE(SUBSTITUTE(SUBSTITUTE(TRIM(A708&amp;""),CHAR(160),"")," ",""),"년",""))&gt;=1900,VALUE(SUBSTITUTE(SUBSTITUTE(SUBSTITUTE(TRIM(A708&amp;""),CHAR(160),"")," ",""),"년",""))&lt;=2099,TEXT(VALUE(SUBSTITUTE(SUBSTITUTE(SUBSTITUTE(TRIM(A708&amp;""),CHAR(160),"")," ",""),"년","")),"0000")=SUBSTITUTE(SUBSTITUTE(SUBSTITUTE(TRIM(A708&amp;""),CHAR(160),"")," ",""),"년","")),SUBSTITUTE(SUBSTITUTE(SUBSTITUTE(TRIM(A708&amp;""),CHAR(160),"")," ",""),"년",""),""),"")</f>
      </c>
      <c r="I708" t="str">
        <f>SUBSTITUTE(SUBSTITUTE(SUBSTITUTE(SUBSTITUTE(SUBSTITUTE(TRIM(B708&amp;""),CHAR(160),"")," ",""),"초등학교","초"),"중학교","중"),"고등학교","고")</f>
      </c>
    </row>
    <row r="709" customFormat="false" ht="15" hidden="false" customHeight="false" outlineLevel="0" collapsed="false">
      <c r="A709" s="8"/>
      <c r="B709" s="8"/>
      <c r="C709" s="8"/>
      <c r="D709" s="8"/>
      <c r="E709" s="8"/>
      <c r="F709" t="str" s="15">
        <f aca="0">IF(B709="","",IF(H709="","확인필요(입력누락)",IF(SUMPRODUCT((실물목록!$P$2:$P$1001&lt;&gt;"")*ISNUMBER(SEARCH(실물목록!$P$2:$P$1001,I709))*(실물목록!$Q$2:$Q$1001&lt;&gt;"")*ISNUMBER(SEARCH(실물목록!$Q$2:$Q$1001,I709))*(실물목록!$R$2:$R$1001="")*(실물목록!$O$2:$O$1001&lt;&gt;"")*(실물목록!$O$2:$O$1001=H709))&gt;0,"실물 있음",IF(SUMPRODUCT((실물목록!$P$2:$P$1001&lt;&gt;"")*ISNUMBER(SEARCH(실물목록!$P$2:$P$1001,I709))*(실물목록!$R$2:$R$1001&lt;&gt;""))&gt;0,"확인필요(입력누락)",IF(SUMPRODUCT((실물목록!$P$2:$P$1001&lt;&gt;"")*ISNUMBER(SEARCH(실물목록!$P$2:$P$1001,I709))*(실물목록!$Q$2:$Q$1001&lt;&gt;"")*ISNUMBER(SEARCH(실물목록!$Q$2:$Q$1001,I709))*(실물목록!$R$2:$R$1001="")*(실물목록!$O$2:$O$1001&lt;&gt;""))&gt;0,"확인필요(연도다름)","실물 없음")))))</f>
      </c>
      <c r="G709" t="n" s="16">
        <f aca="0">IF(B709="","",SUMPRODUCT((실물목록!$P$2:$P$1001&lt;&gt;"")*ISNUMBER(SEARCH(실물목록!$P$2:$P$1001,I709))*(실물목록!$Q$2:$Q$1001&lt;&gt;"")*ISNUMBER(SEARCH(실물목록!$Q$2:$Q$1001,I709))*(실물목록!$R$2:$R$1001="")*(실물목록!$O$2:$O$1001&lt;&gt;"")*(실물목록!$O$2:$O$1001=H709)))</f>
      </c>
      <c r="H709" t="str">
        <f>IFERROR(IF(AND(LEN(SUBSTITUTE(SUBSTITUTE(SUBSTITUTE(TRIM(A709&amp;""),CHAR(160),"")," ",""),"년",""))=4,VALUE(SUBSTITUTE(SUBSTITUTE(SUBSTITUTE(TRIM(A709&amp;""),CHAR(160),"")," ",""),"년",""))&gt;=1900,VALUE(SUBSTITUTE(SUBSTITUTE(SUBSTITUTE(TRIM(A709&amp;""),CHAR(160),"")," ",""),"년",""))&lt;=2099,TEXT(VALUE(SUBSTITUTE(SUBSTITUTE(SUBSTITUTE(TRIM(A709&amp;""),CHAR(160),"")," ",""),"년","")),"0000")=SUBSTITUTE(SUBSTITUTE(SUBSTITUTE(TRIM(A709&amp;""),CHAR(160),"")," ",""),"년","")),SUBSTITUTE(SUBSTITUTE(SUBSTITUTE(TRIM(A709&amp;""),CHAR(160),"")," ",""),"년",""),""),"")</f>
      </c>
      <c r="I709" t="str">
        <f>SUBSTITUTE(SUBSTITUTE(SUBSTITUTE(SUBSTITUTE(SUBSTITUTE(TRIM(B709&amp;""),CHAR(160),"")," ",""),"초등학교","초"),"중학교","중"),"고등학교","고")</f>
      </c>
    </row>
    <row r="710" customFormat="false" ht="15" hidden="false" customHeight="false" outlineLevel="0" collapsed="false">
      <c r="A710" s="8"/>
      <c r="B710" s="8"/>
      <c r="C710" s="8"/>
      <c r="D710" s="8"/>
      <c r="E710" s="8"/>
      <c r="F710" t="str" s="15">
        <f aca="0">IF(B710="","",IF(H710="","확인필요(입력누락)",IF(SUMPRODUCT((실물목록!$P$2:$P$1001&lt;&gt;"")*ISNUMBER(SEARCH(실물목록!$P$2:$P$1001,I710))*(실물목록!$Q$2:$Q$1001&lt;&gt;"")*ISNUMBER(SEARCH(실물목록!$Q$2:$Q$1001,I710))*(실물목록!$R$2:$R$1001="")*(실물목록!$O$2:$O$1001&lt;&gt;"")*(실물목록!$O$2:$O$1001=H710))&gt;0,"실물 있음",IF(SUMPRODUCT((실물목록!$P$2:$P$1001&lt;&gt;"")*ISNUMBER(SEARCH(실물목록!$P$2:$P$1001,I710))*(실물목록!$R$2:$R$1001&lt;&gt;""))&gt;0,"확인필요(입력누락)",IF(SUMPRODUCT((실물목록!$P$2:$P$1001&lt;&gt;"")*ISNUMBER(SEARCH(실물목록!$P$2:$P$1001,I710))*(실물목록!$Q$2:$Q$1001&lt;&gt;"")*ISNUMBER(SEARCH(실물목록!$Q$2:$Q$1001,I710))*(실물목록!$R$2:$R$1001="")*(실물목록!$O$2:$O$1001&lt;&gt;""))&gt;0,"확인필요(연도다름)","실물 없음")))))</f>
      </c>
      <c r="G710" t="n" s="16">
        <f aca="0">IF(B710="","",SUMPRODUCT((실물목록!$P$2:$P$1001&lt;&gt;"")*ISNUMBER(SEARCH(실물목록!$P$2:$P$1001,I710))*(실물목록!$Q$2:$Q$1001&lt;&gt;"")*ISNUMBER(SEARCH(실물목록!$Q$2:$Q$1001,I710))*(실물목록!$R$2:$R$1001="")*(실물목록!$O$2:$O$1001&lt;&gt;"")*(실물목록!$O$2:$O$1001=H710)))</f>
      </c>
      <c r="H710" t="str">
        <f>IFERROR(IF(AND(LEN(SUBSTITUTE(SUBSTITUTE(SUBSTITUTE(TRIM(A710&amp;""),CHAR(160),"")," ",""),"년",""))=4,VALUE(SUBSTITUTE(SUBSTITUTE(SUBSTITUTE(TRIM(A710&amp;""),CHAR(160),"")," ",""),"년",""))&gt;=1900,VALUE(SUBSTITUTE(SUBSTITUTE(SUBSTITUTE(TRIM(A710&amp;""),CHAR(160),"")," ",""),"년",""))&lt;=2099,TEXT(VALUE(SUBSTITUTE(SUBSTITUTE(SUBSTITUTE(TRIM(A710&amp;""),CHAR(160),"")," ",""),"년","")),"0000")=SUBSTITUTE(SUBSTITUTE(SUBSTITUTE(TRIM(A710&amp;""),CHAR(160),"")," ",""),"년","")),SUBSTITUTE(SUBSTITUTE(SUBSTITUTE(TRIM(A710&amp;""),CHAR(160),"")," ",""),"년",""),""),"")</f>
      </c>
      <c r="I710" t="str">
        <f>SUBSTITUTE(SUBSTITUTE(SUBSTITUTE(SUBSTITUTE(SUBSTITUTE(TRIM(B710&amp;""),CHAR(160),"")," ",""),"초등학교","초"),"중학교","중"),"고등학교","고")</f>
      </c>
    </row>
    <row r="711" customFormat="false" ht="15" hidden="false" customHeight="false" outlineLevel="0" collapsed="false">
      <c r="A711" s="8"/>
      <c r="B711" s="8"/>
      <c r="C711" s="8"/>
      <c r="D711" s="8"/>
      <c r="E711" s="8"/>
      <c r="F711" t="str" s="15">
        <f aca="0">IF(B711="","",IF(H711="","확인필요(입력누락)",IF(SUMPRODUCT((실물목록!$P$2:$P$1001&lt;&gt;"")*ISNUMBER(SEARCH(실물목록!$P$2:$P$1001,I711))*(실물목록!$Q$2:$Q$1001&lt;&gt;"")*ISNUMBER(SEARCH(실물목록!$Q$2:$Q$1001,I711))*(실물목록!$R$2:$R$1001="")*(실물목록!$O$2:$O$1001&lt;&gt;"")*(실물목록!$O$2:$O$1001=H711))&gt;0,"실물 있음",IF(SUMPRODUCT((실물목록!$P$2:$P$1001&lt;&gt;"")*ISNUMBER(SEARCH(실물목록!$P$2:$P$1001,I711))*(실물목록!$R$2:$R$1001&lt;&gt;""))&gt;0,"확인필요(입력누락)",IF(SUMPRODUCT((실물목록!$P$2:$P$1001&lt;&gt;"")*ISNUMBER(SEARCH(실물목록!$P$2:$P$1001,I711))*(실물목록!$Q$2:$Q$1001&lt;&gt;"")*ISNUMBER(SEARCH(실물목록!$Q$2:$Q$1001,I711))*(실물목록!$R$2:$R$1001="")*(실물목록!$O$2:$O$1001&lt;&gt;""))&gt;0,"확인필요(연도다름)","실물 없음")))))</f>
      </c>
      <c r="G711" t="n" s="16">
        <f aca="0">IF(B711="","",SUMPRODUCT((실물목록!$P$2:$P$1001&lt;&gt;"")*ISNUMBER(SEARCH(실물목록!$P$2:$P$1001,I711))*(실물목록!$Q$2:$Q$1001&lt;&gt;"")*ISNUMBER(SEARCH(실물목록!$Q$2:$Q$1001,I711))*(실물목록!$R$2:$R$1001="")*(실물목록!$O$2:$O$1001&lt;&gt;"")*(실물목록!$O$2:$O$1001=H711)))</f>
      </c>
      <c r="H711" t="str">
        <f>IFERROR(IF(AND(LEN(SUBSTITUTE(SUBSTITUTE(SUBSTITUTE(TRIM(A711&amp;""),CHAR(160),"")," ",""),"년",""))=4,VALUE(SUBSTITUTE(SUBSTITUTE(SUBSTITUTE(TRIM(A711&amp;""),CHAR(160),"")," ",""),"년",""))&gt;=1900,VALUE(SUBSTITUTE(SUBSTITUTE(SUBSTITUTE(TRIM(A711&amp;""),CHAR(160),"")," ",""),"년",""))&lt;=2099,TEXT(VALUE(SUBSTITUTE(SUBSTITUTE(SUBSTITUTE(TRIM(A711&amp;""),CHAR(160),"")," ",""),"년","")),"0000")=SUBSTITUTE(SUBSTITUTE(SUBSTITUTE(TRIM(A711&amp;""),CHAR(160),"")," ",""),"년","")),SUBSTITUTE(SUBSTITUTE(SUBSTITUTE(TRIM(A711&amp;""),CHAR(160),"")," ",""),"년",""),""),"")</f>
      </c>
      <c r="I711" t="str">
        <f>SUBSTITUTE(SUBSTITUTE(SUBSTITUTE(SUBSTITUTE(SUBSTITUTE(TRIM(B711&amp;""),CHAR(160),"")," ",""),"초등학교","초"),"중학교","중"),"고등학교","고")</f>
      </c>
    </row>
    <row r="712" customFormat="false" ht="15" hidden="false" customHeight="false" outlineLevel="0" collapsed="false">
      <c r="A712" s="8"/>
      <c r="B712" s="8"/>
      <c r="C712" s="8"/>
      <c r="D712" s="8"/>
      <c r="E712" s="8"/>
      <c r="F712" t="str" s="15">
        <f aca="0">IF(B712="","",IF(H712="","확인필요(입력누락)",IF(SUMPRODUCT((실물목록!$P$2:$P$1001&lt;&gt;"")*ISNUMBER(SEARCH(실물목록!$P$2:$P$1001,I712))*(실물목록!$Q$2:$Q$1001&lt;&gt;"")*ISNUMBER(SEARCH(실물목록!$Q$2:$Q$1001,I712))*(실물목록!$R$2:$R$1001="")*(실물목록!$O$2:$O$1001&lt;&gt;"")*(실물목록!$O$2:$O$1001=H712))&gt;0,"실물 있음",IF(SUMPRODUCT((실물목록!$P$2:$P$1001&lt;&gt;"")*ISNUMBER(SEARCH(실물목록!$P$2:$P$1001,I712))*(실물목록!$R$2:$R$1001&lt;&gt;""))&gt;0,"확인필요(입력누락)",IF(SUMPRODUCT((실물목록!$P$2:$P$1001&lt;&gt;"")*ISNUMBER(SEARCH(실물목록!$P$2:$P$1001,I712))*(실물목록!$Q$2:$Q$1001&lt;&gt;"")*ISNUMBER(SEARCH(실물목록!$Q$2:$Q$1001,I712))*(실물목록!$R$2:$R$1001="")*(실물목록!$O$2:$O$1001&lt;&gt;""))&gt;0,"확인필요(연도다름)","실물 없음")))))</f>
      </c>
      <c r="G712" t="n" s="16">
        <f aca="0">IF(B712="","",SUMPRODUCT((실물목록!$P$2:$P$1001&lt;&gt;"")*ISNUMBER(SEARCH(실물목록!$P$2:$P$1001,I712))*(실물목록!$Q$2:$Q$1001&lt;&gt;"")*ISNUMBER(SEARCH(실물목록!$Q$2:$Q$1001,I712))*(실물목록!$R$2:$R$1001="")*(실물목록!$O$2:$O$1001&lt;&gt;"")*(실물목록!$O$2:$O$1001=H712)))</f>
      </c>
      <c r="H712" t="str">
        <f>IFERROR(IF(AND(LEN(SUBSTITUTE(SUBSTITUTE(SUBSTITUTE(TRIM(A712&amp;""),CHAR(160),"")," ",""),"년",""))=4,VALUE(SUBSTITUTE(SUBSTITUTE(SUBSTITUTE(TRIM(A712&amp;""),CHAR(160),"")," ",""),"년",""))&gt;=1900,VALUE(SUBSTITUTE(SUBSTITUTE(SUBSTITUTE(TRIM(A712&amp;""),CHAR(160),"")," ",""),"년",""))&lt;=2099,TEXT(VALUE(SUBSTITUTE(SUBSTITUTE(SUBSTITUTE(TRIM(A712&amp;""),CHAR(160),"")," ",""),"년","")),"0000")=SUBSTITUTE(SUBSTITUTE(SUBSTITUTE(TRIM(A712&amp;""),CHAR(160),"")," ",""),"년","")),SUBSTITUTE(SUBSTITUTE(SUBSTITUTE(TRIM(A712&amp;""),CHAR(160),"")," ",""),"년",""),""),"")</f>
      </c>
      <c r="I712" t="str">
        <f>SUBSTITUTE(SUBSTITUTE(SUBSTITUTE(SUBSTITUTE(SUBSTITUTE(TRIM(B712&amp;""),CHAR(160),"")," ",""),"초등학교","초"),"중학교","중"),"고등학교","고")</f>
      </c>
    </row>
    <row r="713" customFormat="false" ht="15" hidden="false" customHeight="false" outlineLevel="0" collapsed="false">
      <c r="A713" s="8"/>
      <c r="B713" s="8"/>
      <c r="C713" s="8"/>
      <c r="D713" s="8"/>
      <c r="E713" s="8"/>
      <c r="F713" t="str" s="15">
        <f aca="0">IF(B713="","",IF(H713="","확인필요(입력누락)",IF(SUMPRODUCT((실물목록!$P$2:$P$1001&lt;&gt;"")*ISNUMBER(SEARCH(실물목록!$P$2:$P$1001,I713))*(실물목록!$Q$2:$Q$1001&lt;&gt;"")*ISNUMBER(SEARCH(실물목록!$Q$2:$Q$1001,I713))*(실물목록!$R$2:$R$1001="")*(실물목록!$O$2:$O$1001&lt;&gt;"")*(실물목록!$O$2:$O$1001=H713))&gt;0,"실물 있음",IF(SUMPRODUCT((실물목록!$P$2:$P$1001&lt;&gt;"")*ISNUMBER(SEARCH(실물목록!$P$2:$P$1001,I713))*(실물목록!$R$2:$R$1001&lt;&gt;""))&gt;0,"확인필요(입력누락)",IF(SUMPRODUCT((실물목록!$P$2:$P$1001&lt;&gt;"")*ISNUMBER(SEARCH(실물목록!$P$2:$P$1001,I713))*(실물목록!$Q$2:$Q$1001&lt;&gt;"")*ISNUMBER(SEARCH(실물목록!$Q$2:$Q$1001,I713))*(실물목록!$R$2:$R$1001="")*(실물목록!$O$2:$O$1001&lt;&gt;""))&gt;0,"확인필요(연도다름)","실물 없음")))))</f>
      </c>
      <c r="G713" t="n" s="16">
        <f aca="0">IF(B713="","",SUMPRODUCT((실물목록!$P$2:$P$1001&lt;&gt;"")*ISNUMBER(SEARCH(실물목록!$P$2:$P$1001,I713))*(실물목록!$Q$2:$Q$1001&lt;&gt;"")*ISNUMBER(SEARCH(실물목록!$Q$2:$Q$1001,I713))*(실물목록!$R$2:$R$1001="")*(실물목록!$O$2:$O$1001&lt;&gt;"")*(실물목록!$O$2:$O$1001=H713)))</f>
      </c>
      <c r="H713" t="str">
        <f>IFERROR(IF(AND(LEN(SUBSTITUTE(SUBSTITUTE(SUBSTITUTE(TRIM(A713&amp;""),CHAR(160),"")," ",""),"년",""))=4,VALUE(SUBSTITUTE(SUBSTITUTE(SUBSTITUTE(TRIM(A713&amp;""),CHAR(160),"")," ",""),"년",""))&gt;=1900,VALUE(SUBSTITUTE(SUBSTITUTE(SUBSTITUTE(TRIM(A713&amp;""),CHAR(160),"")," ",""),"년",""))&lt;=2099,TEXT(VALUE(SUBSTITUTE(SUBSTITUTE(SUBSTITUTE(TRIM(A713&amp;""),CHAR(160),"")," ",""),"년","")),"0000")=SUBSTITUTE(SUBSTITUTE(SUBSTITUTE(TRIM(A713&amp;""),CHAR(160),"")," ",""),"년","")),SUBSTITUTE(SUBSTITUTE(SUBSTITUTE(TRIM(A713&amp;""),CHAR(160),"")," ",""),"년",""),""),"")</f>
      </c>
      <c r="I713" t="str">
        <f>SUBSTITUTE(SUBSTITUTE(SUBSTITUTE(SUBSTITUTE(SUBSTITUTE(TRIM(B713&amp;""),CHAR(160),"")," ",""),"초등학교","초"),"중학교","중"),"고등학교","고")</f>
      </c>
    </row>
    <row r="714" customFormat="false" ht="15" hidden="false" customHeight="false" outlineLevel="0" collapsed="false">
      <c r="A714" s="8"/>
      <c r="B714" s="8"/>
      <c r="C714" s="8"/>
      <c r="D714" s="8"/>
      <c r="E714" s="8"/>
      <c r="F714" t="str" s="15">
        <f aca="0">IF(B714="","",IF(H714="","확인필요(입력누락)",IF(SUMPRODUCT((실물목록!$P$2:$P$1001&lt;&gt;"")*ISNUMBER(SEARCH(실물목록!$P$2:$P$1001,I714))*(실물목록!$Q$2:$Q$1001&lt;&gt;"")*ISNUMBER(SEARCH(실물목록!$Q$2:$Q$1001,I714))*(실물목록!$R$2:$R$1001="")*(실물목록!$O$2:$O$1001&lt;&gt;"")*(실물목록!$O$2:$O$1001=H714))&gt;0,"실물 있음",IF(SUMPRODUCT((실물목록!$P$2:$P$1001&lt;&gt;"")*ISNUMBER(SEARCH(실물목록!$P$2:$P$1001,I714))*(실물목록!$R$2:$R$1001&lt;&gt;""))&gt;0,"확인필요(입력누락)",IF(SUMPRODUCT((실물목록!$P$2:$P$1001&lt;&gt;"")*ISNUMBER(SEARCH(실물목록!$P$2:$P$1001,I714))*(실물목록!$Q$2:$Q$1001&lt;&gt;"")*ISNUMBER(SEARCH(실물목록!$Q$2:$Q$1001,I714))*(실물목록!$R$2:$R$1001="")*(실물목록!$O$2:$O$1001&lt;&gt;""))&gt;0,"확인필요(연도다름)","실물 없음")))))</f>
      </c>
      <c r="G714" t="n" s="16">
        <f aca="0">IF(B714="","",SUMPRODUCT((실물목록!$P$2:$P$1001&lt;&gt;"")*ISNUMBER(SEARCH(실물목록!$P$2:$P$1001,I714))*(실물목록!$Q$2:$Q$1001&lt;&gt;"")*ISNUMBER(SEARCH(실물목록!$Q$2:$Q$1001,I714))*(실물목록!$R$2:$R$1001="")*(실물목록!$O$2:$O$1001&lt;&gt;"")*(실물목록!$O$2:$O$1001=H714)))</f>
      </c>
      <c r="H714" t="str">
        <f>IFERROR(IF(AND(LEN(SUBSTITUTE(SUBSTITUTE(SUBSTITUTE(TRIM(A714&amp;""),CHAR(160),"")," ",""),"년",""))=4,VALUE(SUBSTITUTE(SUBSTITUTE(SUBSTITUTE(TRIM(A714&amp;""),CHAR(160),"")," ",""),"년",""))&gt;=1900,VALUE(SUBSTITUTE(SUBSTITUTE(SUBSTITUTE(TRIM(A714&amp;""),CHAR(160),"")," ",""),"년",""))&lt;=2099,TEXT(VALUE(SUBSTITUTE(SUBSTITUTE(SUBSTITUTE(TRIM(A714&amp;""),CHAR(160),"")," ",""),"년","")),"0000")=SUBSTITUTE(SUBSTITUTE(SUBSTITUTE(TRIM(A714&amp;""),CHAR(160),"")," ",""),"년","")),SUBSTITUTE(SUBSTITUTE(SUBSTITUTE(TRIM(A714&amp;""),CHAR(160),"")," ",""),"년",""),""),"")</f>
      </c>
      <c r="I714" t="str">
        <f>SUBSTITUTE(SUBSTITUTE(SUBSTITUTE(SUBSTITUTE(SUBSTITUTE(TRIM(B714&amp;""),CHAR(160),"")," ",""),"초등학교","초"),"중학교","중"),"고등학교","고")</f>
      </c>
    </row>
    <row r="715" customFormat="false" ht="15" hidden="false" customHeight="false" outlineLevel="0" collapsed="false">
      <c r="A715" s="8"/>
      <c r="B715" s="8"/>
      <c r="C715" s="8"/>
      <c r="D715" s="8"/>
      <c r="E715" s="8"/>
      <c r="F715" t="str" s="15">
        <f aca="0">IF(B715="","",IF(H715="","확인필요(입력누락)",IF(SUMPRODUCT((실물목록!$P$2:$P$1001&lt;&gt;"")*ISNUMBER(SEARCH(실물목록!$P$2:$P$1001,I715))*(실물목록!$Q$2:$Q$1001&lt;&gt;"")*ISNUMBER(SEARCH(실물목록!$Q$2:$Q$1001,I715))*(실물목록!$R$2:$R$1001="")*(실물목록!$O$2:$O$1001&lt;&gt;"")*(실물목록!$O$2:$O$1001=H715))&gt;0,"실물 있음",IF(SUMPRODUCT((실물목록!$P$2:$P$1001&lt;&gt;"")*ISNUMBER(SEARCH(실물목록!$P$2:$P$1001,I715))*(실물목록!$R$2:$R$1001&lt;&gt;""))&gt;0,"확인필요(입력누락)",IF(SUMPRODUCT((실물목록!$P$2:$P$1001&lt;&gt;"")*ISNUMBER(SEARCH(실물목록!$P$2:$P$1001,I715))*(실물목록!$Q$2:$Q$1001&lt;&gt;"")*ISNUMBER(SEARCH(실물목록!$Q$2:$Q$1001,I715))*(실물목록!$R$2:$R$1001="")*(실물목록!$O$2:$O$1001&lt;&gt;""))&gt;0,"확인필요(연도다름)","실물 없음")))))</f>
      </c>
      <c r="G715" t="n" s="16">
        <f aca="0">IF(B715="","",SUMPRODUCT((실물목록!$P$2:$P$1001&lt;&gt;"")*ISNUMBER(SEARCH(실물목록!$P$2:$P$1001,I715))*(실물목록!$Q$2:$Q$1001&lt;&gt;"")*ISNUMBER(SEARCH(실물목록!$Q$2:$Q$1001,I715))*(실물목록!$R$2:$R$1001="")*(실물목록!$O$2:$O$1001&lt;&gt;"")*(실물목록!$O$2:$O$1001=H715)))</f>
      </c>
      <c r="H715" t="str">
        <f>IFERROR(IF(AND(LEN(SUBSTITUTE(SUBSTITUTE(SUBSTITUTE(TRIM(A715&amp;""),CHAR(160),"")," ",""),"년",""))=4,VALUE(SUBSTITUTE(SUBSTITUTE(SUBSTITUTE(TRIM(A715&amp;""),CHAR(160),"")," ",""),"년",""))&gt;=1900,VALUE(SUBSTITUTE(SUBSTITUTE(SUBSTITUTE(TRIM(A715&amp;""),CHAR(160),"")," ",""),"년",""))&lt;=2099,TEXT(VALUE(SUBSTITUTE(SUBSTITUTE(SUBSTITUTE(TRIM(A715&amp;""),CHAR(160),"")," ",""),"년","")),"0000")=SUBSTITUTE(SUBSTITUTE(SUBSTITUTE(TRIM(A715&amp;""),CHAR(160),"")," ",""),"년","")),SUBSTITUTE(SUBSTITUTE(SUBSTITUTE(TRIM(A715&amp;""),CHAR(160),"")," ",""),"년",""),""),"")</f>
      </c>
      <c r="I715" t="str">
        <f>SUBSTITUTE(SUBSTITUTE(SUBSTITUTE(SUBSTITUTE(SUBSTITUTE(TRIM(B715&amp;""),CHAR(160),"")," ",""),"초등학교","초"),"중학교","중"),"고등학교","고")</f>
      </c>
    </row>
    <row r="716" customFormat="false" ht="15" hidden="false" customHeight="false" outlineLevel="0" collapsed="false">
      <c r="A716" s="8"/>
      <c r="B716" s="8"/>
      <c r="C716" s="8"/>
      <c r="D716" s="8"/>
      <c r="E716" s="8"/>
      <c r="F716" t="str" s="15">
        <f aca="0">IF(B716="","",IF(H716="","확인필요(입력누락)",IF(SUMPRODUCT((실물목록!$P$2:$P$1001&lt;&gt;"")*ISNUMBER(SEARCH(실물목록!$P$2:$P$1001,I716))*(실물목록!$Q$2:$Q$1001&lt;&gt;"")*ISNUMBER(SEARCH(실물목록!$Q$2:$Q$1001,I716))*(실물목록!$R$2:$R$1001="")*(실물목록!$O$2:$O$1001&lt;&gt;"")*(실물목록!$O$2:$O$1001=H716))&gt;0,"실물 있음",IF(SUMPRODUCT((실물목록!$P$2:$P$1001&lt;&gt;"")*ISNUMBER(SEARCH(실물목록!$P$2:$P$1001,I716))*(실물목록!$R$2:$R$1001&lt;&gt;""))&gt;0,"확인필요(입력누락)",IF(SUMPRODUCT((실물목록!$P$2:$P$1001&lt;&gt;"")*ISNUMBER(SEARCH(실물목록!$P$2:$P$1001,I716))*(실물목록!$Q$2:$Q$1001&lt;&gt;"")*ISNUMBER(SEARCH(실물목록!$Q$2:$Q$1001,I716))*(실물목록!$R$2:$R$1001="")*(실물목록!$O$2:$O$1001&lt;&gt;""))&gt;0,"확인필요(연도다름)","실물 없음")))))</f>
      </c>
      <c r="G716" t="n" s="16">
        <f aca="0">IF(B716="","",SUMPRODUCT((실물목록!$P$2:$P$1001&lt;&gt;"")*ISNUMBER(SEARCH(실물목록!$P$2:$P$1001,I716))*(실물목록!$Q$2:$Q$1001&lt;&gt;"")*ISNUMBER(SEARCH(실물목록!$Q$2:$Q$1001,I716))*(실물목록!$R$2:$R$1001="")*(실물목록!$O$2:$O$1001&lt;&gt;"")*(실물목록!$O$2:$O$1001=H716)))</f>
      </c>
      <c r="H716" t="str">
        <f>IFERROR(IF(AND(LEN(SUBSTITUTE(SUBSTITUTE(SUBSTITUTE(TRIM(A716&amp;""),CHAR(160),"")," ",""),"년",""))=4,VALUE(SUBSTITUTE(SUBSTITUTE(SUBSTITUTE(TRIM(A716&amp;""),CHAR(160),"")," ",""),"년",""))&gt;=1900,VALUE(SUBSTITUTE(SUBSTITUTE(SUBSTITUTE(TRIM(A716&amp;""),CHAR(160),"")," ",""),"년",""))&lt;=2099,TEXT(VALUE(SUBSTITUTE(SUBSTITUTE(SUBSTITUTE(TRIM(A716&amp;""),CHAR(160),"")," ",""),"년","")),"0000")=SUBSTITUTE(SUBSTITUTE(SUBSTITUTE(TRIM(A716&amp;""),CHAR(160),"")," ",""),"년","")),SUBSTITUTE(SUBSTITUTE(SUBSTITUTE(TRIM(A716&amp;""),CHAR(160),"")," ",""),"년",""),""),"")</f>
      </c>
      <c r="I716" t="str">
        <f>SUBSTITUTE(SUBSTITUTE(SUBSTITUTE(SUBSTITUTE(SUBSTITUTE(TRIM(B716&amp;""),CHAR(160),"")," ",""),"초등학교","초"),"중학교","중"),"고등학교","고")</f>
      </c>
    </row>
    <row r="717" customFormat="false" ht="15" hidden="false" customHeight="false" outlineLevel="0" collapsed="false">
      <c r="A717" s="8"/>
      <c r="B717" s="8"/>
      <c r="C717" s="8"/>
      <c r="D717" s="8"/>
      <c r="E717" s="8"/>
      <c r="F717" t="str" s="15">
        <f aca="0">IF(B717="","",IF(H717="","확인필요(입력누락)",IF(SUMPRODUCT((실물목록!$P$2:$P$1001&lt;&gt;"")*ISNUMBER(SEARCH(실물목록!$P$2:$P$1001,I717))*(실물목록!$Q$2:$Q$1001&lt;&gt;"")*ISNUMBER(SEARCH(실물목록!$Q$2:$Q$1001,I717))*(실물목록!$R$2:$R$1001="")*(실물목록!$O$2:$O$1001&lt;&gt;"")*(실물목록!$O$2:$O$1001=H717))&gt;0,"실물 있음",IF(SUMPRODUCT((실물목록!$P$2:$P$1001&lt;&gt;"")*ISNUMBER(SEARCH(실물목록!$P$2:$P$1001,I717))*(실물목록!$R$2:$R$1001&lt;&gt;""))&gt;0,"확인필요(입력누락)",IF(SUMPRODUCT((실물목록!$P$2:$P$1001&lt;&gt;"")*ISNUMBER(SEARCH(실물목록!$P$2:$P$1001,I717))*(실물목록!$Q$2:$Q$1001&lt;&gt;"")*ISNUMBER(SEARCH(실물목록!$Q$2:$Q$1001,I717))*(실물목록!$R$2:$R$1001="")*(실물목록!$O$2:$O$1001&lt;&gt;""))&gt;0,"확인필요(연도다름)","실물 없음")))))</f>
      </c>
      <c r="G717" t="n" s="16">
        <f aca="0">IF(B717="","",SUMPRODUCT((실물목록!$P$2:$P$1001&lt;&gt;"")*ISNUMBER(SEARCH(실물목록!$P$2:$P$1001,I717))*(실물목록!$Q$2:$Q$1001&lt;&gt;"")*ISNUMBER(SEARCH(실물목록!$Q$2:$Q$1001,I717))*(실물목록!$R$2:$R$1001="")*(실물목록!$O$2:$O$1001&lt;&gt;"")*(실물목록!$O$2:$O$1001=H717)))</f>
      </c>
      <c r="H717" t="str">
        <f>IFERROR(IF(AND(LEN(SUBSTITUTE(SUBSTITUTE(SUBSTITUTE(TRIM(A717&amp;""),CHAR(160),"")," ",""),"년",""))=4,VALUE(SUBSTITUTE(SUBSTITUTE(SUBSTITUTE(TRIM(A717&amp;""),CHAR(160),"")," ",""),"년",""))&gt;=1900,VALUE(SUBSTITUTE(SUBSTITUTE(SUBSTITUTE(TRIM(A717&amp;""),CHAR(160),"")," ",""),"년",""))&lt;=2099,TEXT(VALUE(SUBSTITUTE(SUBSTITUTE(SUBSTITUTE(TRIM(A717&amp;""),CHAR(160),"")," ",""),"년","")),"0000")=SUBSTITUTE(SUBSTITUTE(SUBSTITUTE(TRIM(A717&amp;""),CHAR(160),"")," ",""),"년","")),SUBSTITUTE(SUBSTITUTE(SUBSTITUTE(TRIM(A717&amp;""),CHAR(160),"")," ",""),"년",""),""),"")</f>
      </c>
      <c r="I717" t="str">
        <f>SUBSTITUTE(SUBSTITUTE(SUBSTITUTE(SUBSTITUTE(SUBSTITUTE(TRIM(B717&amp;""),CHAR(160),"")," ",""),"초등학교","초"),"중학교","중"),"고등학교","고")</f>
      </c>
    </row>
    <row r="718" customFormat="false" ht="15" hidden="false" customHeight="false" outlineLevel="0" collapsed="false">
      <c r="A718" s="8"/>
      <c r="B718" s="8"/>
      <c r="C718" s="8"/>
      <c r="D718" s="8"/>
      <c r="E718" s="8"/>
      <c r="F718" t="str" s="15">
        <f aca="0">IF(B718="","",IF(H718="","확인필요(입력누락)",IF(SUMPRODUCT((실물목록!$P$2:$P$1001&lt;&gt;"")*ISNUMBER(SEARCH(실물목록!$P$2:$P$1001,I718))*(실물목록!$Q$2:$Q$1001&lt;&gt;"")*ISNUMBER(SEARCH(실물목록!$Q$2:$Q$1001,I718))*(실물목록!$R$2:$R$1001="")*(실물목록!$O$2:$O$1001&lt;&gt;"")*(실물목록!$O$2:$O$1001=H718))&gt;0,"실물 있음",IF(SUMPRODUCT((실물목록!$P$2:$P$1001&lt;&gt;"")*ISNUMBER(SEARCH(실물목록!$P$2:$P$1001,I718))*(실물목록!$R$2:$R$1001&lt;&gt;""))&gt;0,"확인필요(입력누락)",IF(SUMPRODUCT((실물목록!$P$2:$P$1001&lt;&gt;"")*ISNUMBER(SEARCH(실물목록!$P$2:$P$1001,I718))*(실물목록!$Q$2:$Q$1001&lt;&gt;"")*ISNUMBER(SEARCH(실물목록!$Q$2:$Q$1001,I718))*(실물목록!$R$2:$R$1001="")*(실물목록!$O$2:$O$1001&lt;&gt;""))&gt;0,"확인필요(연도다름)","실물 없음")))))</f>
      </c>
      <c r="G718" t="n" s="16">
        <f aca="0">IF(B718="","",SUMPRODUCT((실물목록!$P$2:$P$1001&lt;&gt;"")*ISNUMBER(SEARCH(실물목록!$P$2:$P$1001,I718))*(실물목록!$Q$2:$Q$1001&lt;&gt;"")*ISNUMBER(SEARCH(실물목록!$Q$2:$Q$1001,I718))*(실물목록!$R$2:$R$1001="")*(실물목록!$O$2:$O$1001&lt;&gt;"")*(실물목록!$O$2:$O$1001=H718)))</f>
      </c>
      <c r="H718" t="str">
        <f>IFERROR(IF(AND(LEN(SUBSTITUTE(SUBSTITUTE(SUBSTITUTE(TRIM(A718&amp;""),CHAR(160),"")," ",""),"년",""))=4,VALUE(SUBSTITUTE(SUBSTITUTE(SUBSTITUTE(TRIM(A718&amp;""),CHAR(160),"")," ",""),"년",""))&gt;=1900,VALUE(SUBSTITUTE(SUBSTITUTE(SUBSTITUTE(TRIM(A718&amp;""),CHAR(160),"")," ",""),"년",""))&lt;=2099,TEXT(VALUE(SUBSTITUTE(SUBSTITUTE(SUBSTITUTE(TRIM(A718&amp;""),CHAR(160),"")," ",""),"년","")),"0000")=SUBSTITUTE(SUBSTITUTE(SUBSTITUTE(TRIM(A718&amp;""),CHAR(160),"")," ",""),"년","")),SUBSTITUTE(SUBSTITUTE(SUBSTITUTE(TRIM(A718&amp;""),CHAR(160),"")," ",""),"년",""),""),"")</f>
      </c>
      <c r="I718" t="str">
        <f>SUBSTITUTE(SUBSTITUTE(SUBSTITUTE(SUBSTITUTE(SUBSTITUTE(TRIM(B718&amp;""),CHAR(160),"")," ",""),"초등학교","초"),"중학교","중"),"고등학교","고")</f>
      </c>
    </row>
    <row r="719" customFormat="false" ht="15" hidden="false" customHeight="false" outlineLevel="0" collapsed="false">
      <c r="A719" s="8"/>
      <c r="B719" s="8"/>
      <c r="C719" s="8"/>
      <c r="D719" s="8"/>
      <c r="E719" s="8"/>
      <c r="F719" t="str" s="15">
        <f aca="0">IF(B719="","",IF(H719="","확인필요(입력누락)",IF(SUMPRODUCT((실물목록!$P$2:$P$1001&lt;&gt;"")*ISNUMBER(SEARCH(실물목록!$P$2:$P$1001,I719))*(실물목록!$Q$2:$Q$1001&lt;&gt;"")*ISNUMBER(SEARCH(실물목록!$Q$2:$Q$1001,I719))*(실물목록!$R$2:$R$1001="")*(실물목록!$O$2:$O$1001&lt;&gt;"")*(실물목록!$O$2:$O$1001=H719))&gt;0,"실물 있음",IF(SUMPRODUCT((실물목록!$P$2:$P$1001&lt;&gt;"")*ISNUMBER(SEARCH(실물목록!$P$2:$P$1001,I719))*(실물목록!$R$2:$R$1001&lt;&gt;""))&gt;0,"확인필요(입력누락)",IF(SUMPRODUCT((실물목록!$P$2:$P$1001&lt;&gt;"")*ISNUMBER(SEARCH(실물목록!$P$2:$P$1001,I719))*(실물목록!$Q$2:$Q$1001&lt;&gt;"")*ISNUMBER(SEARCH(실물목록!$Q$2:$Q$1001,I719))*(실물목록!$R$2:$R$1001="")*(실물목록!$O$2:$O$1001&lt;&gt;""))&gt;0,"확인필요(연도다름)","실물 없음")))))</f>
      </c>
      <c r="G719" t="n" s="16">
        <f aca="0">IF(B719="","",SUMPRODUCT((실물목록!$P$2:$P$1001&lt;&gt;"")*ISNUMBER(SEARCH(실물목록!$P$2:$P$1001,I719))*(실물목록!$Q$2:$Q$1001&lt;&gt;"")*ISNUMBER(SEARCH(실물목록!$Q$2:$Q$1001,I719))*(실물목록!$R$2:$R$1001="")*(실물목록!$O$2:$O$1001&lt;&gt;"")*(실물목록!$O$2:$O$1001=H719)))</f>
      </c>
      <c r="H719" t="str">
        <f>IFERROR(IF(AND(LEN(SUBSTITUTE(SUBSTITUTE(SUBSTITUTE(TRIM(A719&amp;""),CHAR(160),"")," ",""),"년",""))=4,VALUE(SUBSTITUTE(SUBSTITUTE(SUBSTITUTE(TRIM(A719&amp;""),CHAR(160),"")," ",""),"년",""))&gt;=1900,VALUE(SUBSTITUTE(SUBSTITUTE(SUBSTITUTE(TRIM(A719&amp;""),CHAR(160),"")," ",""),"년",""))&lt;=2099,TEXT(VALUE(SUBSTITUTE(SUBSTITUTE(SUBSTITUTE(TRIM(A719&amp;""),CHAR(160),"")," ",""),"년","")),"0000")=SUBSTITUTE(SUBSTITUTE(SUBSTITUTE(TRIM(A719&amp;""),CHAR(160),"")," ",""),"년","")),SUBSTITUTE(SUBSTITUTE(SUBSTITUTE(TRIM(A719&amp;""),CHAR(160),"")," ",""),"년",""),""),"")</f>
      </c>
      <c r="I719" t="str">
        <f>SUBSTITUTE(SUBSTITUTE(SUBSTITUTE(SUBSTITUTE(SUBSTITUTE(TRIM(B719&amp;""),CHAR(160),"")," ",""),"초등학교","초"),"중학교","중"),"고등학교","고")</f>
      </c>
    </row>
    <row r="720" customFormat="false" ht="15" hidden="false" customHeight="false" outlineLevel="0" collapsed="false">
      <c r="A720" s="8"/>
      <c r="B720" s="8"/>
      <c r="C720" s="8"/>
      <c r="D720" s="8"/>
      <c r="E720" s="8"/>
      <c r="F720" t="str" s="15">
        <f aca="0">IF(B720="","",IF(H720="","확인필요(입력누락)",IF(SUMPRODUCT((실물목록!$P$2:$P$1001&lt;&gt;"")*ISNUMBER(SEARCH(실물목록!$P$2:$P$1001,I720))*(실물목록!$Q$2:$Q$1001&lt;&gt;"")*ISNUMBER(SEARCH(실물목록!$Q$2:$Q$1001,I720))*(실물목록!$R$2:$R$1001="")*(실물목록!$O$2:$O$1001&lt;&gt;"")*(실물목록!$O$2:$O$1001=H720))&gt;0,"실물 있음",IF(SUMPRODUCT((실물목록!$P$2:$P$1001&lt;&gt;"")*ISNUMBER(SEARCH(실물목록!$P$2:$P$1001,I720))*(실물목록!$R$2:$R$1001&lt;&gt;""))&gt;0,"확인필요(입력누락)",IF(SUMPRODUCT((실물목록!$P$2:$P$1001&lt;&gt;"")*ISNUMBER(SEARCH(실물목록!$P$2:$P$1001,I720))*(실물목록!$Q$2:$Q$1001&lt;&gt;"")*ISNUMBER(SEARCH(실물목록!$Q$2:$Q$1001,I720))*(실물목록!$R$2:$R$1001="")*(실물목록!$O$2:$O$1001&lt;&gt;""))&gt;0,"확인필요(연도다름)","실물 없음")))))</f>
      </c>
      <c r="G720" t="n" s="16">
        <f aca="0">IF(B720="","",SUMPRODUCT((실물목록!$P$2:$P$1001&lt;&gt;"")*ISNUMBER(SEARCH(실물목록!$P$2:$P$1001,I720))*(실물목록!$Q$2:$Q$1001&lt;&gt;"")*ISNUMBER(SEARCH(실물목록!$Q$2:$Q$1001,I720))*(실물목록!$R$2:$R$1001="")*(실물목록!$O$2:$O$1001&lt;&gt;"")*(실물목록!$O$2:$O$1001=H720)))</f>
      </c>
      <c r="H720" t="str">
        <f>IFERROR(IF(AND(LEN(SUBSTITUTE(SUBSTITUTE(SUBSTITUTE(TRIM(A720&amp;""),CHAR(160),"")," ",""),"년",""))=4,VALUE(SUBSTITUTE(SUBSTITUTE(SUBSTITUTE(TRIM(A720&amp;""),CHAR(160),"")," ",""),"년",""))&gt;=1900,VALUE(SUBSTITUTE(SUBSTITUTE(SUBSTITUTE(TRIM(A720&amp;""),CHAR(160),"")," ",""),"년",""))&lt;=2099,TEXT(VALUE(SUBSTITUTE(SUBSTITUTE(SUBSTITUTE(TRIM(A720&amp;""),CHAR(160),"")," ",""),"년","")),"0000")=SUBSTITUTE(SUBSTITUTE(SUBSTITUTE(TRIM(A720&amp;""),CHAR(160),"")," ",""),"년","")),SUBSTITUTE(SUBSTITUTE(SUBSTITUTE(TRIM(A720&amp;""),CHAR(160),"")," ",""),"년",""),""),"")</f>
      </c>
      <c r="I720" t="str">
        <f>SUBSTITUTE(SUBSTITUTE(SUBSTITUTE(SUBSTITUTE(SUBSTITUTE(TRIM(B720&amp;""),CHAR(160),"")," ",""),"초등학교","초"),"중학교","중"),"고등학교","고")</f>
      </c>
    </row>
    <row r="721" customFormat="false" ht="15" hidden="false" customHeight="false" outlineLevel="0" collapsed="false">
      <c r="A721" s="8"/>
      <c r="B721" s="8"/>
      <c r="C721" s="8"/>
      <c r="D721" s="8"/>
      <c r="E721" s="8"/>
      <c r="F721" t="str" s="15">
        <f aca="0">IF(B721="","",IF(H721="","확인필요(입력누락)",IF(SUMPRODUCT((실물목록!$P$2:$P$1001&lt;&gt;"")*ISNUMBER(SEARCH(실물목록!$P$2:$P$1001,I721))*(실물목록!$Q$2:$Q$1001&lt;&gt;"")*ISNUMBER(SEARCH(실물목록!$Q$2:$Q$1001,I721))*(실물목록!$R$2:$R$1001="")*(실물목록!$O$2:$O$1001&lt;&gt;"")*(실물목록!$O$2:$O$1001=H721))&gt;0,"실물 있음",IF(SUMPRODUCT((실물목록!$P$2:$P$1001&lt;&gt;"")*ISNUMBER(SEARCH(실물목록!$P$2:$P$1001,I721))*(실물목록!$R$2:$R$1001&lt;&gt;""))&gt;0,"확인필요(입력누락)",IF(SUMPRODUCT((실물목록!$P$2:$P$1001&lt;&gt;"")*ISNUMBER(SEARCH(실물목록!$P$2:$P$1001,I721))*(실물목록!$Q$2:$Q$1001&lt;&gt;"")*ISNUMBER(SEARCH(실물목록!$Q$2:$Q$1001,I721))*(실물목록!$R$2:$R$1001="")*(실물목록!$O$2:$O$1001&lt;&gt;""))&gt;0,"확인필요(연도다름)","실물 없음")))))</f>
      </c>
      <c r="G721" t="n" s="16">
        <f aca="0">IF(B721="","",SUMPRODUCT((실물목록!$P$2:$P$1001&lt;&gt;"")*ISNUMBER(SEARCH(실물목록!$P$2:$P$1001,I721))*(실물목록!$Q$2:$Q$1001&lt;&gt;"")*ISNUMBER(SEARCH(실물목록!$Q$2:$Q$1001,I721))*(실물목록!$R$2:$R$1001="")*(실물목록!$O$2:$O$1001&lt;&gt;"")*(실물목록!$O$2:$O$1001=H721)))</f>
      </c>
      <c r="H721" t="str">
        <f>IFERROR(IF(AND(LEN(SUBSTITUTE(SUBSTITUTE(SUBSTITUTE(TRIM(A721&amp;""),CHAR(160),"")," ",""),"년",""))=4,VALUE(SUBSTITUTE(SUBSTITUTE(SUBSTITUTE(TRIM(A721&amp;""),CHAR(160),"")," ",""),"년",""))&gt;=1900,VALUE(SUBSTITUTE(SUBSTITUTE(SUBSTITUTE(TRIM(A721&amp;""),CHAR(160),"")," ",""),"년",""))&lt;=2099,TEXT(VALUE(SUBSTITUTE(SUBSTITUTE(SUBSTITUTE(TRIM(A721&amp;""),CHAR(160),"")," ",""),"년","")),"0000")=SUBSTITUTE(SUBSTITUTE(SUBSTITUTE(TRIM(A721&amp;""),CHAR(160),"")," ",""),"년","")),SUBSTITUTE(SUBSTITUTE(SUBSTITUTE(TRIM(A721&amp;""),CHAR(160),"")," ",""),"년",""),""),"")</f>
      </c>
      <c r="I721" t="str">
        <f>SUBSTITUTE(SUBSTITUTE(SUBSTITUTE(SUBSTITUTE(SUBSTITUTE(TRIM(B721&amp;""),CHAR(160),"")," ",""),"초등학교","초"),"중학교","중"),"고등학교","고")</f>
      </c>
    </row>
    <row r="722" customFormat="false" ht="15" hidden="false" customHeight="false" outlineLevel="0" collapsed="false">
      <c r="A722" s="8"/>
      <c r="B722" s="8"/>
      <c r="C722" s="8"/>
      <c r="D722" s="8"/>
      <c r="E722" s="8"/>
      <c r="F722" t="str" s="15">
        <f aca="0">IF(B722="","",IF(H722="","확인필요(입력누락)",IF(SUMPRODUCT((실물목록!$P$2:$P$1001&lt;&gt;"")*ISNUMBER(SEARCH(실물목록!$P$2:$P$1001,I722))*(실물목록!$Q$2:$Q$1001&lt;&gt;"")*ISNUMBER(SEARCH(실물목록!$Q$2:$Q$1001,I722))*(실물목록!$R$2:$R$1001="")*(실물목록!$O$2:$O$1001&lt;&gt;"")*(실물목록!$O$2:$O$1001=H722))&gt;0,"실물 있음",IF(SUMPRODUCT((실물목록!$P$2:$P$1001&lt;&gt;"")*ISNUMBER(SEARCH(실물목록!$P$2:$P$1001,I722))*(실물목록!$R$2:$R$1001&lt;&gt;""))&gt;0,"확인필요(입력누락)",IF(SUMPRODUCT((실물목록!$P$2:$P$1001&lt;&gt;"")*ISNUMBER(SEARCH(실물목록!$P$2:$P$1001,I722))*(실물목록!$Q$2:$Q$1001&lt;&gt;"")*ISNUMBER(SEARCH(실물목록!$Q$2:$Q$1001,I722))*(실물목록!$R$2:$R$1001="")*(실물목록!$O$2:$O$1001&lt;&gt;""))&gt;0,"확인필요(연도다름)","실물 없음")))))</f>
      </c>
      <c r="G722" t="n" s="16">
        <f aca="0">IF(B722="","",SUMPRODUCT((실물목록!$P$2:$P$1001&lt;&gt;"")*ISNUMBER(SEARCH(실물목록!$P$2:$P$1001,I722))*(실물목록!$Q$2:$Q$1001&lt;&gt;"")*ISNUMBER(SEARCH(실물목록!$Q$2:$Q$1001,I722))*(실물목록!$R$2:$R$1001="")*(실물목록!$O$2:$O$1001&lt;&gt;"")*(실물목록!$O$2:$O$1001=H722)))</f>
      </c>
      <c r="H722" t="str">
        <f>IFERROR(IF(AND(LEN(SUBSTITUTE(SUBSTITUTE(SUBSTITUTE(TRIM(A722&amp;""),CHAR(160),"")," ",""),"년",""))=4,VALUE(SUBSTITUTE(SUBSTITUTE(SUBSTITUTE(TRIM(A722&amp;""),CHAR(160),"")," ",""),"년",""))&gt;=1900,VALUE(SUBSTITUTE(SUBSTITUTE(SUBSTITUTE(TRIM(A722&amp;""),CHAR(160),"")," ",""),"년",""))&lt;=2099,TEXT(VALUE(SUBSTITUTE(SUBSTITUTE(SUBSTITUTE(TRIM(A722&amp;""),CHAR(160),"")," ",""),"년","")),"0000")=SUBSTITUTE(SUBSTITUTE(SUBSTITUTE(TRIM(A722&amp;""),CHAR(160),"")," ",""),"년","")),SUBSTITUTE(SUBSTITUTE(SUBSTITUTE(TRIM(A722&amp;""),CHAR(160),"")," ",""),"년",""),""),"")</f>
      </c>
      <c r="I722" t="str">
        <f>SUBSTITUTE(SUBSTITUTE(SUBSTITUTE(SUBSTITUTE(SUBSTITUTE(TRIM(B722&amp;""),CHAR(160),"")," ",""),"초등학교","초"),"중학교","중"),"고등학교","고")</f>
      </c>
    </row>
    <row r="723" customFormat="false" ht="15" hidden="false" customHeight="false" outlineLevel="0" collapsed="false">
      <c r="A723" s="8"/>
      <c r="B723" s="8"/>
      <c r="C723" s="8"/>
      <c r="D723" s="8"/>
      <c r="E723" s="8"/>
      <c r="F723" t="str" s="15">
        <f aca="0">IF(B723="","",IF(H723="","확인필요(입력누락)",IF(SUMPRODUCT((실물목록!$P$2:$P$1001&lt;&gt;"")*ISNUMBER(SEARCH(실물목록!$P$2:$P$1001,I723))*(실물목록!$Q$2:$Q$1001&lt;&gt;"")*ISNUMBER(SEARCH(실물목록!$Q$2:$Q$1001,I723))*(실물목록!$R$2:$R$1001="")*(실물목록!$O$2:$O$1001&lt;&gt;"")*(실물목록!$O$2:$O$1001=H723))&gt;0,"실물 있음",IF(SUMPRODUCT((실물목록!$P$2:$P$1001&lt;&gt;"")*ISNUMBER(SEARCH(실물목록!$P$2:$P$1001,I723))*(실물목록!$R$2:$R$1001&lt;&gt;""))&gt;0,"확인필요(입력누락)",IF(SUMPRODUCT((실물목록!$P$2:$P$1001&lt;&gt;"")*ISNUMBER(SEARCH(실물목록!$P$2:$P$1001,I723))*(실물목록!$Q$2:$Q$1001&lt;&gt;"")*ISNUMBER(SEARCH(실물목록!$Q$2:$Q$1001,I723))*(실물목록!$R$2:$R$1001="")*(실물목록!$O$2:$O$1001&lt;&gt;""))&gt;0,"확인필요(연도다름)","실물 없음")))))</f>
      </c>
      <c r="G723" t="n" s="16">
        <f aca="0">IF(B723="","",SUMPRODUCT((실물목록!$P$2:$P$1001&lt;&gt;"")*ISNUMBER(SEARCH(실물목록!$P$2:$P$1001,I723))*(실물목록!$Q$2:$Q$1001&lt;&gt;"")*ISNUMBER(SEARCH(실물목록!$Q$2:$Q$1001,I723))*(실물목록!$R$2:$R$1001="")*(실물목록!$O$2:$O$1001&lt;&gt;"")*(실물목록!$O$2:$O$1001=H723)))</f>
      </c>
      <c r="H723" t="str">
        <f>IFERROR(IF(AND(LEN(SUBSTITUTE(SUBSTITUTE(SUBSTITUTE(TRIM(A723&amp;""),CHAR(160),"")," ",""),"년",""))=4,VALUE(SUBSTITUTE(SUBSTITUTE(SUBSTITUTE(TRIM(A723&amp;""),CHAR(160),"")," ",""),"년",""))&gt;=1900,VALUE(SUBSTITUTE(SUBSTITUTE(SUBSTITUTE(TRIM(A723&amp;""),CHAR(160),"")," ",""),"년",""))&lt;=2099,TEXT(VALUE(SUBSTITUTE(SUBSTITUTE(SUBSTITUTE(TRIM(A723&amp;""),CHAR(160),"")," ",""),"년","")),"0000")=SUBSTITUTE(SUBSTITUTE(SUBSTITUTE(TRIM(A723&amp;""),CHAR(160),"")," ",""),"년","")),SUBSTITUTE(SUBSTITUTE(SUBSTITUTE(TRIM(A723&amp;""),CHAR(160),"")," ",""),"년",""),""),"")</f>
      </c>
      <c r="I723" t="str">
        <f>SUBSTITUTE(SUBSTITUTE(SUBSTITUTE(SUBSTITUTE(SUBSTITUTE(TRIM(B723&amp;""),CHAR(160),"")," ",""),"초등학교","초"),"중학교","중"),"고등학교","고")</f>
      </c>
    </row>
    <row r="724" customFormat="false" ht="15" hidden="false" customHeight="false" outlineLevel="0" collapsed="false">
      <c r="A724" s="8"/>
      <c r="B724" s="8"/>
      <c r="C724" s="8"/>
      <c r="D724" s="8"/>
      <c r="E724" s="8"/>
      <c r="F724" t="str" s="15">
        <f aca="0">IF(B724="","",IF(H724="","확인필요(입력누락)",IF(SUMPRODUCT((실물목록!$P$2:$P$1001&lt;&gt;"")*ISNUMBER(SEARCH(실물목록!$P$2:$P$1001,I724))*(실물목록!$Q$2:$Q$1001&lt;&gt;"")*ISNUMBER(SEARCH(실물목록!$Q$2:$Q$1001,I724))*(실물목록!$R$2:$R$1001="")*(실물목록!$O$2:$O$1001&lt;&gt;"")*(실물목록!$O$2:$O$1001=H724))&gt;0,"실물 있음",IF(SUMPRODUCT((실물목록!$P$2:$P$1001&lt;&gt;"")*ISNUMBER(SEARCH(실물목록!$P$2:$P$1001,I724))*(실물목록!$R$2:$R$1001&lt;&gt;""))&gt;0,"확인필요(입력누락)",IF(SUMPRODUCT((실물목록!$P$2:$P$1001&lt;&gt;"")*ISNUMBER(SEARCH(실물목록!$P$2:$P$1001,I724))*(실물목록!$Q$2:$Q$1001&lt;&gt;"")*ISNUMBER(SEARCH(실물목록!$Q$2:$Q$1001,I724))*(실물목록!$R$2:$R$1001="")*(실물목록!$O$2:$O$1001&lt;&gt;""))&gt;0,"확인필요(연도다름)","실물 없음")))))</f>
      </c>
      <c r="G724" t="n" s="16">
        <f aca="0">IF(B724="","",SUMPRODUCT((실물목록!$P$2:$P$1001&lt;&gt;"")*ISNUMBER(SEARCH(실물목록!$P$2:$P$1001,I724))*(실물목록!$Q$2:$Q$1001&lt;&gt;"")*ISNUMBER(SEARCH(실물목록!$Q$2:$Q$1001,I724))*(실물목록!$R$2:$R$1001="")*(실물목록!$O$2:$O$1001&lt;&gt;"")*(실물목록!$O$2:$O$1001=H724)))</f>
      </c>
      <c r="H724" t="str">
        <f>IFERROR(IF(AND(LEN(SUBSTITUTE(SUBSTITUTE(SUBSTITUTE(TRIM(A724&amp;""),CHAR(160),"")," ",""),"년",""))=4,VALUE(SUBSTITUTE(SUBSTITUTE(SUBSTITUTE(TRIM(A724&amp;""),CHAR(160),"")," ",""),"년",""))&gt;=1900,VALUE(SUBSTITUTE(SUBSTITUTE(SUBSTITUTE(TRIM(A724&amp;""),CHAR(160),"")," ",""),"년",""))&lt;=2099,TEXT(VALUE(SUBSTITUTE(SUBSTITUTE(SUBSTITUTE(TRIM(A724&amp;""),CHAR(160),"")," ",""),"년","")),"0000")=SUBSTITUTE(SUBSTITUTE(SUBSTITUTE(TRIM(A724&amp;""),CHAR(160),"")," ",""),"년","")),SUBSTITUTE(SUBSTITUTE(SUBSTITUTE(TRIM(A724&amp;""),CHAR(160),"")," ",""),"년",""),""),"")</f>
      </c>
      <c r="I724" t="str">
        <f>SUBSTITUTE(SUBSTITUTE(SUBSTITUTE(SUBSTITUTE(SUBSTITUTE(TRIM(B724&amp;""),CHAR(160),"")," ",""),"초등학교","초"),"중학교","중"),"고등학교","고")</f>
      </c>
    </row>
    <row r="725" customFormat="false" ht="15" hidden="false" customHeight="false" outlineLevel="0" collapsed="false">
      <c r="A725" s="8"/>
      <c r="B725" s="8"/>
      <c r="C725" s="8"/>
      <c r="D725" s="8"/>
      <c r="E725" s="8"/>
      <c r="F725" t="str" s="15">
        <f aca="0">IF(B725="","",IF(H725="","확인필요(입력누락)",IF(SUMPRODUCT((실물목록!$P$2:$P$1001&lt;&gt;"")*ISNUMBER(SEARCH(실물목록!$P$2:$P$1001,I725))*(실물목록!$Q$2:$Q$1001&lt;&gt;"")*ISNUMBER(SEARCH(실물목록!$Q$2:$Q$1001,I725))*(실물목록!$R$2:$R$1001="")*(실물목록!$O$2:$O$1001&lt;&gt;"")*(실물목록!$O$2:$O$1001=H725))&gt;0,"실물 있음",IF(SUMPRODUCT((실물목록!$P$2:$P$1001&lt;&gt;"")*ISNUMBER(SEARCH(실물목록!$P$2:$P$1001,I725))*(실물목록!$R$2:$R$1001&lt;&gt;""))&gt;0,"확인필요(입력누락)",IF(SUMPRODUCT((실물목록!$P$2:$P$1001&lt;&gt;"")*ISNUMBER(SEARCH(실물목록!$P$2:$P$1001,I725))*(실물목록!$Q$2:$Q$1001&lt;&gt;"")*ISNUMBER(SEARCH(실물목록!$Q$2:$Q$1001,I725))*(실물목록!$R$2:$R$1001="")*(실물목록!$O$2:$O$1001&lt;&gt;""))&gt;0,"확인필요(연도다름)","실물 없음")))))</f>
      </c>
      <c r="G725" t="n" s="16">
        <f aca="0">IF(B725="","",SUMPRODUCT((실물목록!$P$2:$P$1001&lt;&gt;"")*ISNUMBER(SEARCH(실물목록!$P$2:$P$1001,I725))*(실물목록!$Q$2:$Q$1001&lt;&gt;"")*ISNUMBER(SEARCH(실물목록!$Q$2:$Q$1001,I725))*(실물목록!$R$2:$R$1001="")*(실물목록!$O$2:$O$1001&lt;&gt;"")*(실물목록!$O$2:$O$1001=H725)))</f>
      </c>
      <c r="H725" t="str">
        <f>IFERROR(IF(AND(LEN(SUBSTITUTE(SUBSTITUTE(SUBSTITUTE(TRIM(A725&amp;""),CHAR(160),"")," ",""),"년",""))=4,VALUE(SUBSTITUTE(SUBSTITUTE(SUBSTITUTE(TRIM(A725&amp;""),CHAR(160),"")," ",""),"년",""))&gt;=1900,VALUE(SUBSTITUTE(SUBSTITUTE(SUBSTITUTE(TRIM(A725&amp;""),CHAR(160),"")," ",""),"년",""))&lt;=2099,TEXT(VALUE(SUBSTITUTE(SUBSTITUTE(SUBSTITUTE(TRIM(A725&amp;""),CHAR(160),"")," ",""),"년","")),"0000")=SUBSTITUTE(SUBSTITUTE(SUBSTITUTE(TRIM(A725&amp;""),CHAR(160),"")," ",""),"년","")),SUBSTITUTE(SUBSTITUTE(SUBSTITUTE(TRIM(A725&amp;""),CHAR(160),"")," ",""),"년",""),""),"")</f>
      </c>
      <c r="I725" t="str">
        <f>SUBSTITUTE(SUBSTITUTE(SUBSTITUTE(SUBSTITUTE(SUBSTITUTE(TRIM(B725&amp;""),CHAR(160),"")," ",""),"초등학교","초"),"중학교","중"),"고등학교","고")</f>
      </c>
    </row>
    <row r="726" customFormat="false" ht="15" hidden="false" customHeight="false" outlineLevel="0" collapsed="false">
      <c r="A726" s="8"/>
      <c r="B726" s="8"/>
      <c r="C726" s="8"/>
      <c r="D726" s="8"/>
      <c r="E726" s="8"/>
      <c r="F726" t="str" s="15">
        <f aca="0">IF(B726="","",IF(H726="","확인필요(입력누락)",IF(SUMPRODUCT((실물목록!$P$2:$P$1001&lt;&gt;"")*ISNUMBER(SEARCH(실물목록!$P$2:$P$1001,I726))*(실물목록!$Q$2:$Q$1001&lt;&gt;"")*ISNUMBER(SEARCH(실물목록!$Q$2:$Q$1001,I726))*(실물목록!$R$2:$R$1001="")*(실물목록!$O$2:$O$1001&lt;&gt;"")*(실물목록!$O$2:$O$1001=H726))&gt;0,"실물 있음",IF(SUMPRODUCT((실물목록!$P$2:$P$1001&lt;&gt;"")*ISNUMBER(SEARCH(실물목록!$P$2:$P$1001,I726))*(실물목록!$R$2:$R$1001&lt;&gt;""))&gt;0,"확인필요(입력누락)",IF(SUMPRODUCT((실물목록!$P$2:$P$1001&lt;&gt;"")*ISNUMBER(SEARCH(실물목록!$P$2:$P$1001,I726))*(실물목록!$Q$2:$Q$1001&lt;&gt;"")*ISNUMBER(SEARCH(실물목록!$Q$2:$Q$1001,I726))*(실물목록!$R$2:$R$1001="")*(실물목록!$O$2:$O$1001&lt;&gt;""))&gt;0,"확인필요(연도다름)","실물 없음")))))</f>
      </c>
      <c r="G726" t="n" s="16">
        <f aca="0">IF(B726="","",SUMPRODUCT((실물목록!$P$2:$P$1001&lt;&gt;"")*ISNUMBER(SEARCH(실물목록!$P$2:$P$1001,I726))*(실물목록!$Q$2:$Q$1001&lt;&gt;"")*ISNUMBER(SEARCH(실물목록!$Q$2:$Q$1001,I726))*(실물목록!$R$2:$R$1001="")*(실물목록!$O$2:$O$1001&lt;&gt;"")*(실물목록!$O$2:$O$1001=H726)))</f>
      </c>
      <c r="H726" t="str">
        <f>IFERROR(IF(AND(LEN(SUBSTITUTE(SUBSTITUTE(SUBSTITUTE(TRIM(A726&amp;""),CHAR(160),"")," ",""),"년",""))=4,VALUE(SUBSTITUTE(SUBSTITUTE(SUBSTITUTE(TRIM(A726&amp;""),CHAR(160),"")," ",""),"년",""))&gt;=1900,VALUE(SUBSTITUTE(SUBSTITUTE(SUBSTITUTE(TRIM(A726&amp;""),CHAR(160),"")," ",""),"년",""))&lt;=2099,TEXT(VALUE(SUBSTITUTE(SUBSTITUTE(SUBSTITUTE(TRIM(A726&amp;""),CHAR(160),"")," ",""),"년","")),"0000")=SUBSTITUTE(SUBSTITUTE(SUBSTITUTE(TRIM(A726&amp;""),CHAR(160),"")," ",""),"년","")),SUBSTITUTE(SUBSTITUTE(SUBSTITUTE(TRIM(A726&amp;""),CHAR(160),"")," ",""),"년",""),""),"")</f>
      </c>
      <c r="I726" t="str">
        <f>SUBSTITUTE(SUBSTITUTE(SUBSTITUTE(SUBSTITUTE(SUBSTITUTE(TRIM(B726&amp;""),CHAR(160),"")," ",""),"초등학교","초"),"중학교","중"),"고등학교","고")</f>
      </c>
    </row>
    <row r="727" customFormat="false" ht="15" hidden="false" customHeight="false" outlineLevel="0" collapsed="false">
      <c r="A727" s="8"/>
      <c r="B727" s="8"/>
      <c r="C727" s="8"/>
      <c r="D727" s="8"/>
      <c r="E727" s="8"/>
      <c r="F727" t="str" s="15">
        <f aca="0">IF(B727="","",IF(H727="","확인필요(입력누락)",IF(SUMPRODUCT((실물목록!$P$2:$P$1001&lt;&gt;"")*ISNUMBER(SEARCH(실물목록!$P$2:$P$1001,I727))*(실물목록!$Q$2:$Q$1001&lt;&gt;"")*ISNUMBER(SEARCH(실물목록!$Q$2:$Q$1001,I727))*(실물목록!$R$2:$R$1001="")*(실물목록!$O$2:$O$1001&lt;&gt;"")*(실물목록!$O$2:$O$1001=H727))&gt;0,"실물 있음",IF(SUMPRODUCT((실물목록!$P$2:$P$1001&lt;&gt;"")*ISNUMBER(SEARCH(실물목록!$P$2:$P$1001,I727))*(실물목록!$R$2:$R$1001&lt;&gt;""))&gt;0,"확인필요(입력누락)",IF(SUMPRODUCT((실물목록!$P$2:$P$1001&lt;&gt;"")*ISNUMBER(SEARCH(실물목록!$P$2:$P$1001,I727))*(실물목록!$Q$2:$Q$1001&lt;&gt;"")*ISNUMBER(SEARCH(실물목록!$Q$2:$Q$1001,I727))*(실물목록!$R$2:$R$1001="")*(실물목록!$O$2:$O$1001&lt;&gt;""))&gt;0,"확인필요(연도다름)","실물 없음")))))</f>
      </c>
      <c r="G727" t="n" s="16">
        <f aca="0">IF(B727="","",SUMPRODUCT((실물목록!$P$2:$P$1001&lt;&gt;"")*ISNUMBER(SEARCH(실물목록!$P$2:$P$1001,I727))*(실물목록!$Q$2:$Q$1001&lt;&gt;"")*ISNUMBER(SEARCH(실물목록!$Q$2:$Q$1001,I727))*(실물목록!$R$2:$R$1001="")*(실물목록!$O$2:$O$1001&lt;&gt;"")*(실물목록!$O$2:$O$1001=H727)))</f>
      </c>
      <c r="H727" t="str">
        <f>IFERROR(IF(AND(LEN(SUBSTITUTE(SUBSTITUTE(SUBSTITUTE(TRIM(A727&amp;""),CHAR(160),"")," ",""),"년",""))=4,VALUE(SUBSTITUTE(SUBSTITUTE(SUBSTITUTE(TRIM(A727&amp;""),CHAR(160),"")," ",""),"년",""))&gt;=1900,VALUE(SUBSTITUTE(SUBSTITUTE(SUBSTITUTE(TRIM(A727&amp;""),CHAR(160),"")," ",""),"년",""))&lt;=2099,TEXT(VALUE(SUBSTITUTE(SUBSTITUTE(SUBSTITUTE(TRIM(A727&amp;""),CHAR(160),"")," ",""),"년","")),"0000")=SUBSTITUTE(SUBSTITUTE(SUBSTITUTE(TRIM(A727&amp;""),CHAR(160),"")," ",""),"년","")),SUBSTITUTE(SUBSTITUTE(SUBSTITUTE(TRIM(A727&amp;""),CHAR(160),"")," ",""),"년",""),""),"")</f>
      </c>
      <c r="I727" t="str">
        <f>SUBSTITUTE(SUBSTITUTE(SUBSTITUTE(SUBSTITUTE(SUBSTITUTE(TRIM(B727&amp;""),CHAR(160),"")," ",""),"초등학교","초"),"중학교","중"),"고등학교","고")</f>
      </c>
    </row>
    <row r="728" customFormat="false" ht="15" hidden="false" customHeight="false" outlineLevel="0" collapsed="false">
      <c r="A728" s="8"/>
      <c r="B728" s="8"/>
      <c r="C728" s="8"/>
      <c r="D728" s="8"/>
      <c r="E728" s="8"/>
      <c r="F728" t="str" s="15">
        <f aca="0">IF(B728="","",IF(H728="","확인필요(입력누락)",IF(SUMPRODUCT((실물목록!$P$2:$P$1001&lt;&gt;"")*ISNUMBER(SEARCH(실물목록!$P$2:$P$1001,I728))*(실물목록!$Q$2:$Q$1001&lt;&gt;"")*ISNUMBER(SEARCH(실물목록!$Q$2:$Q$1001,I728))*(실물목록!$R$2:$R$1001="")*(실물목록!$O$2:$O$1001&lt;&gt;"")*(실물목록!$O$2:$O$1001=H728))&gt;0,"실물 있음",IF(SUMPRODUCT((실물목록!$P$2:$P$1001&lt;&gt;"")*ISNUMBER(SEARCH(실물목록!$P$2:$P$1001,I728))*(실물목록!$R$2:$R$1001&lt;&gt;""))&gt;0,"확인필요(입력누락)",IF(SUMPRODUCT((실물목록!$P$2:$P$1001&lt;&gt;"")*ISNUMBER(SEARCH(실물목록!$P$2:$P$1001,I728))*(실물목록!$Q$2:$Q$1001&lt;&gt;"")*ISNUMBER(SEARCH(실물목록!$Q$2:$Q$1001,I728))*(실물목록!$R$2:$R$1001="")*(실물목록!$O$2:$O$1001&lt;&gt;""))&gt;0,"확인필요(연도다름)","실물 없음")))))</f>
      </c>
      <c r="G728" t="n" s="16">
        <f aca="0">IF(B728="","",SUMPRODUCT((실물목록!$P$2:$P$1001&lt;&gt;"")*ISNUMBER(SEARCH(실물목록!$P$2:$P$1001,I728))*(실물목록!$Q$2:$Q$1001&lt;&gt;"")*ISNUMBER(SEARCH(실물목록!$Q$2:$Q$1001,I728))*(실물목록!$R$2:$R$1001="")*(실물목록!$O$2:$O$1001&lt;&gt;"")*(실물목록!$O$2:$O$1001=H728)))</f>
      </c>
      <c r="H728" t="str">
        <f>IFERROR(IF(AND(LEN(SUBSTITUTE(SUBSTITUTE(SUBSTITUTE(TRIM(A728&amp;""),CHAR(160),"")," ",""),"년",""))=4,VALUE(SUBSTITUTE(SUBSTITUTE(SUBSTITUTE(TRIM(A728&amp;""),CHAR(160),"")," ",""),"년",""))&gt;=1900,VALUE(SUBSTITUTE(SUBSTITUTE(SUBSTITUTE(TRIM(A728&amp;""),CHAR(160),"")," ",""),"년",""))&lt;=2099,TEXT(VALUE(SUBSTITUTE(SUBSTITUTE(SUBSTITUTE(TRIM(A728&amp;""),CHAR(160),"")," ",""),"년","")),"0000")=SUBSTITUTE(SUBSTITUTE(SUBSTITUTE(TRIM(A728&amp;""),CHAR(160),"")," ",""),"년","")),SUBSTITUTE(SUBSTITUTE(SUBSTITUTE(TRIM(A728&amp;""),CHAR(160),"")," ",""),"년",""),""),"")</f>
      </c>
      <c r="I728" t="str">
        <f>SUBSTITUTE(SUBSTITUTE(SUBSTITUTE(SUBSTITUTE(SUBSTITUTE(TRIM(B728&amp;""),CHAR(160),"")," ",""),"초등학교","초"),"중학교","중"),"고등학교","고")</f>
      </c>
    </row>
    <row r="729" customFormat="false" ht="15" hidden="false" customHeight="false" outlineLevel="0" collapsed="false">
      <c r="A729" s="8"/>
      <c r="B729" s="8"/>
      <c r="C729" s="8"/>
      <c r="D729" s="8"/>
      <c r="E729" s="8"/>
      <c r="F729" t="str" s="15">
        <f aca="0">IF(B729="","",IF(H729="","확인필요(입력누락)",IF(SUMPRODUCT((실물목록!$P$2:$P$1001&lt;&gt;"")*ISNUMBER(SEARCH(실물목록!$P$2:$P$1001,I729))*(실물목록!$Q$2:$Q$1001&lt;&gt;"")*ISNUMBER(SEARCH(실물목록!$Q$2:$Q$1001,I729))*(실물목록!$R$2:$R$1001="")*(실물목록!$O$2:$O$1001&lt;&gt;"")*(실물목록!$O$2:$O$1001=H729))&gt;0,"실물 있음",IF(SUMPRODUCT((실물목록!$P$2:$P$1001&lt;&gt;"")*ISNUMBER(SEARCH(실물목록!$P$2:$P$1001,I729))*(실물목록!$R$2:$R$1001&lt;&gt;""))&gt;0,"확인필요(입력누락)",IF(SUMPRODUCT((실물목록!$P$2:$P$1001&lt;&gt;"")*ISNUMBER(SEARCH(실물목록!$P$2:$P$1001,I729))*(실물목록!$Q$2:$Q$1001&lt;&gt;"")*ISNUMBER(SEARCH(실물목록!$Q$2:$Q$1001,I729))*(실물목록!$R$2:$R$1001="")*(실물목록!$O$2:$O$1001&lt;&gt;""))&gt;0,"확인필요(연도다름)","실물 없음")))))</f>
      </c>
      <c r="G729" t="n" s="16">
        <f aca="0">IF(B729="","",SUMPRODUCT((실물목록!$P$2:$P$1001&lt;&gt;"")*ISNUMBER(SEARCH(실물목록!$P$2:$P$1001,I729))*(실물목록!$Q$2:$Q$1001&lt;&gt;"")*ISNUMBER(SEARCH(실물목록!$Q$2:$Q$1001,I729))*(실물목록!$R$2:$R$1001="")*(실물목록!$O$2:$O$1001&lt;&gt;"")*(실물목록!$O$2:$O$1001=H729)))</f>
      </c>
      <c r="H729" t="str">
        <f>IFERROR(IF(AND(LEN(SUBSTITUTE(SUBSTITUTE(SUBSTITUTE(TRIM(A729&amp;""),CHAR(160),"")," ",""),"년",""))=4,VALUE(SUBSTITUTE(SUBSTITUTE(SUBSTITUTE(TRIM(A729&amp;""),CHAR(160),"")," ",""),"년",""))&gt;=1900,VALUE(SUBSTITUTE(SUBSTITUTE(SUBSTITUTE(TRIM(A729&amp;""),CHAR(160),"")," ",""),"년",""))&lt;=2099,TEXT(VALUE(SUBSTITUTE(SUBSTITUTE(SUBSTITUTE(TRIM(A729&amp;""),CHAR(160),"")," ",""),"년","")),"0000")=SUBSTITUTE(SUBSTITUTE(SUBSTITUTE(TRIM(A729&amp;""),CHAR(160),"")," ",""),"년","")),SUBSTITUTE(SUBSTITUTE(SUBSTITUTE(TRIM(A729&amp;""),CHAR(160),"")," ",""),"년",""),""),"")</f>
      </c>
      <c r="I729" t="str">
        <f>SUBSTITUTE(SUBSTITUTE(SUBSTITUTE(SUBSTITUTE(SUBSTITUTE(TRIM(B729&amp;""),CHAR(160),"")," ",""),"초등학교","초"),"중학교","중"),"고등학교","고")</f>
      </c>
    </row>
    <row r="730" customFormat="false" ht="15" hidden="false" customHeight="false" outlineLevel="0" collapsed="false">
      <c r="A730" s="8"/>
      <c r="B730" s="8"/>
      <c r="C730" s="8"/>
      <c r="D730" s="8"/>
      <c r="E730" s="8"/>
      <c r="F730" t="str" s="15">
        <f aca="0">IF(B730="","",IF(H730="","확인필요(입력누락)",IF(SUMPRODUCT((실물목록!$P$2:$P$1001&lt;&gt;"")*ISNUMBER(SEARCH(실물목록!$P$2:$P$1001,I730))*(실물목록!$Q$2:$Q$1001&lt;&gt;"")*ISNUMBER(SEARCH(실물목록!$Q$2:$Q$1001,I730))*(실물목록!$R$2:$R$1001="")*(실물목록!$O$2:$O$1001&lt;&gt;"")*(실물목록!$O$2:$O$1001=H730))&gt;0,"실물 있음",IF(SUMPRODUCT((실물목록!$P$2:$P$1001&lt;&gt;"")*ISNUMBER(SEARCH(실물목록!$P$2:$P$1001,I730))*(실물목록!$R$2:$R$1001&lt;&gt;""))&gt;0,"확인필요(입력누락)",IF(SUMPRODUCT((실물목록!$P$2:$P$1001&lt;&gt;"")*ISNUMBER(SEARCH(실물목록!$P$2:$P$1001,I730))*(실물목록!$Q$2:$Q$1001&lt;&gt;"")*ISNUMBER(SEARCH(실물목록!$Q$2:$Q$1001,I730))*(실물목록!$R$2:$R$1001="")*(실물목록!$O$2:$O$1001&lt;&gt;""))&gt;0,"확인필요(연도다름)","실물 없음")))))</f>
      </c>
      <c r="G730" t="n" s="16">
        <f aca="0">IF(B730="","",SUMPRODUCT((실물목록!$P$2:$P$1001&lt;&gt;"")*ISNUMBER(SEARCH(실물목록!$P$2:$P$1001,I730))*(실물목록!$Q$2:$Q$1001&lt;&gt;"")*ISNUMBER(SEARCH(실물목록!$Q$2:$Q$1001,I730))*(실물목록!$R$2:$R$1001="")*(실물목록!$O$2:$O$1001&lt;&gt;"")*(실물목록!$O$2:$O$1001=H730)))</f>
      </c>
      <c r="H730" t="str">
        <f>IFERROR(IF(AND(LEN(SUBSTITUTE(SUBSTITUTE(SUBSTITUTE(TRIM(A730&amp;""),CHAR(160),"")," ",""),"년",""))=4,VALUE(SUBSTITUTE(SUBSTITUTE(SUBSTITUTE(TRIM(A730&amp;""),CHAR(160),"")," ",""),"년",""))&gt;=1900,VALUE(SUBSTITUTE(SUBSTITUTE(SUBSTITUTE(TRIM(A730&amp;""),CHAR(160),"")," ",""),"년",""))&lt;=2099,TEXT(VALUE(SUBSTITUTE(SUBSTITUTE(SUBSTITUTE(TRIM(A730&amp;""),CHAR(160),"")," ",""),"년","")),"0000")=SUBSTITUTE(SUBSTITUTE(SUBSTITUTE(TRIM(A730&amp;""),CHAR(160),"")," ",""),"년","")),SUBSTITUTE(SUBSTITUTE(SUBSTITUTE(TRIM(A730&amp;""),CHAR(160),"")," ",""),"년",""),""),"")</f>
      </c>
      <c r="I730" t="str">
        <f>SUBSTITUTE(SUBSTITUTE(SUBSTITUTE(SUBSTITUTE(SUBSTITUTE(TRIM(B730&amp;""),CHAR(160),"")," ",""),"초등학교","초"),"중학교","중"),"고등학교","고")</f>
      </c>
    </row>
    <row r="731" customFormat="false" ht="15" hidden="false" customHeight="false" outlineLevel="0" collapsed="false">
      <c r="A731" s="8"/>
      <c r="B731" s="8"/>
      <c r="C731" s="8"/>
      <c r="D731" s="8"/>
      <c r="E731" s="8"/>
      <c r="F731" t="str" s="15">
        <f aca="0">IF(B731="","",IF(H731="","확인필요(입력누락)",IF(SUMPRODUCT((실물목록!$P$2:$P$1001&lt;&gt;"")*ISNUMBER(SEARCH(실물목록!$P$2:$P$1001,I731))*(실물목록!$Q$2:$Q$1001&lt;&gt;"")*ISNUMBER(SEARCH(실물목록!$Q$2:$Q$1001,I731))*(실물목록!$R$2:$R$1001="")*(실물목록!$O$2:$O$1001&lt;&gt;"")*(실물목록!$O$2:$O$1001=H731))&gt;0,"실물 있음",IF(SUMPRODUCT((실물목록!$P$2:$P$1001&lt;&gt;"")*ISNUMBER(SEARCH(실물목록!$P$2:$P$1001,I731))*(실물목록!$R$2:$R$1001&lt;&gt;""))&gt;0,"확인필요(입력누락)",IF(SUMPRODUCT((실물목록!$P$2:$P$1001&lt;&gt;"")*ISNUMBER(SEARCH(실물목록!$P$2:$P$1001,I731))*(실물목록!$Q$2:$Q$1001&lt;&gt;"")*ISNUMBER(SEARCH(실물목록!$Q$2:$Q$1001,I731))*(실물목록!$R$2:$R$1001="")*(실물목록!$O$2:$O$1001&lt;&gt;""))&gt;0,"확인필요(연도다름)","실물 없음")))))</f>
      </c>
      <c r="G731" t="n" s="16">
        <f aca="0">IF(B731="","",SUMPRODUCT((실물목록!$P$2:$P$1001&lt;&gt;"")*ISNUMBER(SEARCH(실물목록!$P$2:$P$1001,I731))*(실물목록!$Q$2:$Q$1001&lt;&gt;"")*ISNUMBER(SEARCH(실물목록!$Q$2:$Q$1001,I731))*(실물목록!$R$2:$R$1001="")*(실물목록!$O$2:$O$1001&lt;&gt;"")*(실물목록!$O$2:$O$1001=H731)))</f>
      </c>
      <c r="H731" t="str">
        <f>IFERROR(IF(AND(LEN(SUBSTITUTE(SUBSTITUTE(SUBSTITUTE(TRIM(A731&amp;""),CHAR(160),"")," ",""),"년",""))=4,VALUE(SUBSTITUTE(SUBSTITUTE(SUBSTITUTE(TRIM(A731&amp;""),CHAR(160),"")," ",""),"년",""))&gt;=1900,VALUE(SUBSTITUTE(SUBSTITUTE(SUBSTITUTE(TRIM(A731&amp;""),CHAR(160),"")," ",""),"년",""))&lt;=2099,TEXT(VALUE(SUBSTITUTE(SUBSTITUTE(SUBSTITUTE(TRIM(A731&amp;""),CHAR(160),"")," ",""),"년","")),"0000")=SUBSTITUTE(SUBSTITUTE(SUBSTITUTE(TRIM(A731&amp;""),CHAR(160),"")," ",""),"년","")),SUBSTITUTE(SUBSTITUTE(SUBSTITUTE(TRIM(A731&amp;""),CHAR(160),"")," ",""),"년",""),""),"")</f>
      </c>
      <c r="I731" t="str">
        <f>SUBSTITUTE(SUBSTITUTE(SUBSTITUTE(SUBSTITUTE(SUBSTITUTE(TRIM(B731&amp;""),CHAR(160),"")," ",""),"초등학교","초"),"중학교","중"),"고등학교","고")</f>
      </c>
    </row>
    <row r="732" customFormat="false" ht="15" hidden="false" customHeight="false" outlineLevel="0" collapsed="false">
      <c r="A732" s="8"/>
      <c r="B732" s="8"/>
      <c r="C732" s="8"/>
      <c r="D732" s="8"/>
      <c r="E732" s="8"/>
      <c r="F732" t="str" s="15">
        <f aca="0">IF(B732="","",IF(H732="","확인필요(입력누락)",IF(SUMPRODUCT((실물목록!$P$2:$P$1001&lt;&gt;"")*ISNUMBER(SEARCH(실물목록!$P$2:$P$1001,I732))*(실물목록!$Q$2:$Q$1001&lt;&gt;"")*ISNUMBER(SEARCH(실물목록!$Q$2:$Q$1001,I732))*(실물목록!$R$2:$R$1001="")*(실물목록!$O$2:$O$1001&lt;&gt;"")*(실물목록!$O$2:$O$1001=H732))&gt;0,"실물 있음",IF(SUMPRODUCT((실물목록!$P$2:$P$1001&lt;&gt;"")*ISNUMBER(SEARCH(실물목록!$P$2:$P$1001,I732))*(실물목록!$R$2:$R$1001&lt;&gt;""))&gt;0,"확인필요(입력누락)",IF(SUMPRODUCT((실물목록!$P$2:$P$1001&lt;&gt;"")*ISNUMBER(SEARCH(실물목록!$P$2:$P$1001,I732))*(실물목록!$Q$2:$Q$1001&lt;&gt;"")*ISNUMBER(SEARCH(실물목록!$Q$2:$Q$1001,I732))*(실물목록!$R$2:$R$1001="")*(실물목록!$O$2:$O$1001&lt;&gt;""))&gt;0,"확인필요(연도다름)","실물 없음")))))</f>
      </c>
      <c r="G732" t="n" s="16">
        <f aca="0">IF(B732="","",SUMPRODUCT((실물목록!$P$2:$P$1001&lt;&gt;"")*ISNUMBER(SEARCH(실물목록!$P$2:$P$1001,I732))*(실물목록!$Q$2:$Q$1001&lt;&gt;"")*ISNUMBER(SEARCH(실물목록!$Q$2:$Q$1001,I732))*(실물목록!$R$2:$R$1001="")*(실물목록!$O$2:$O$1001&lt;&gt;"")*(실물목록!$O$2:$O$1001=H732)))</f>
      </c>
      <c r="H732" t="str">
        <f>IFERROR(IF(AND(LEN(SUBSTITUTE(SUBSTITUTE(SUBSTITUTE(TRIM(A732&amp;""),CHAR(160),"")," ",""),"년",""))=4,VALUE(SUBSTITUTE(SUBSTITUTE(SUBSTITUTE(TRIM(A732&amp;""),CHAR(160),"")," ",""),"년",""))&gt;=1900,VALUE(SUBSTITUTE(SUBSTITUTE(SUBSTITUTE(TRIM(A732&amp;""),CHAR(160),"")," ",""),"년",""))&lt;=2099,TEXT(VALUE(SUBSTITUTE(SUBSTITUTE(SUBSTITUTE(TRIM(A732&amp;""),CHAR(160),"")," ",""),"년","")),"0000")=SUBSTITUTE(SUBSTITUTE(SUBSTITUTE(TRIM(A732&amp;""),CHAR(160),"")," ",""),"년","")),SUBSTITUTE(SUBSTITUTE(SUBSTITUTE(TRIM(A732&amp;""),CHAR(160),"")," ",""),"년",""),""),"")</f>
      </c>
      <c r="I732" t="str">
        <f>SUBSTITUTE(SUBSTITUTE(SUBSTITUTE(SUBSTITUTE(SUBSTITUTE(TRIM(B732&amp;""),CHAR(160),"")," ",""),"초등학교","초"),"중학교","중"),"고등학교","고")</f>
      </c>
    </row>
    <row r="733" customFormat="false" ht="15" hidden="false" customHeight="false" outlineLevel="0" collapsed="false">
      <c r="A733" s="8"/>
      <c r="B733" s="8"/>
      <c r="C733" s="8"/>
      <c r="D733" s="8"/>
      <c r="E733" s="8"/>
      <c r="F733" t="str" s="15">
        <f aca="0">IF(B733="","",IF(H733="","확인필요(입력누락)",IF(SUMPRODUCT((실물목록!$P$2:$P$1001&lt;&gt;"")*ISNUMBER(SEARCH(실물목록!$P$2:$P$1001,I733))*(실물목록!$Q$2:$Q$1001&lt;&gt;"")*ISNUMBER(SEARCH(실물목록!$Q$2:$Q$1001,I733))*(실물목록!$R$2:$R$1001="")*(실물목록!$O$2:$O$1001&lt;&gt;"")*(실물목록!$O$2:$O$1001=H733))&gt;0,"실물 있음",IF(SUMPRODUCT((실물목록!$P$2:$P$1001&lt;&gt;"")*ISNUMBER(SEARCH(실물목록!$P$2:$P$1001,I733))*(실물목록!$R$2:$R$1001&lt;&gt;""))&gt;0,"확인필요(입력누락)",IF(SUMPRODUCT((실물목록!$P$2:$P$1001&lt;&gt;"")*ISNUMBER(SEARCH(실물목록!$P$2:$P$1001,I733))*(실물목록!$Q$2:$Q$1001&lt;&gt;"")*ISNUMBER(SEARCH(실물목록!$Q$2:$Q$1001,I733))*(실물목록!$R$2:$R$1001="")*(실물목록!$O$2:$O$1001&lt;&gt;""))&gt;0,"확인필요(연도다름)","실물 없음")))))</f>
      </c>
      <c r="G733" t="n" s="16">
        <f aca="0">IF(B733="","",SUMPRODUCT((실물목록!$P$2:$P$1001&lt;&gt;"")*ISNUMBER(SEARCH(실물목록!$P$2:$P$1001,I733))*(실물목록!$Q$2:$Q$1001&lt;&gt;"")*ISNUMBER(SEARCH(실물목록!$Q$2:$Q$1001,I733))*(실물목록!$R$2:$R$1001="")*(실물목록!$O$2:$O$1001&lt;&gt;"")*(실물목록!$O$2:$O$1001=H733)))</f>
      </c>
      <c r="H733" t="str">
        <f>IFERROR(IF(AND(LEN(SUBSTITUTE(SUBSTITUTE(SUBSTITUTE(TRIM(A733&amp;""),CHAR(160),"")," ",""),"년",""))=4,VALUE(SUBSTITUTE(SUBSTITUTE(SUBSTITUTE(TRIM(A733&amp;""),CHAR(160),"")," ",""),"년",""))&gt;=1900,VALUE(SUBSTITUTE(SUBSTITUTE(SUBSTITUTE(TRIM(A733&amp;""),CHAR(160),"")," ",""),"년",""))&lt;=2099,TEXT(VALUE(SUBSTITUTE(SUBSTITUTE(SUBSTITUTE(TRIM(A733&amp;""),CHAR(160),"")," ",""),"년","")),"0000")=SUBSTITUTE(SUBSTITUTE(SUBSTITUTE(TRIM(A733&amp;""),CHAR(160),"")," ",""),"년","")),SUBSTITUTE(SUBSTITUTE(SUBSTITUTE(TRIM(A733&amp;""),CHAR(160),"")," ",""),"년",""),""),"")</f>
      </c>
      <c r="I733" t="str">
        <f>SUBSTITUTE(SUBSTITUTE(SUBSTITUTE(SUBSTITUTE(SUBSTITUTE(TRIM(B733&amp;""),CHAR(160),"")," ",""),"초등학교","초"),"중학교","중"),"고등학교","고")</f>
      </c>
    </row>
    <row r="734" customFormat="false" ht="15" hidden="false" customHeight="false" outlineLevel="0" collapsed="false">
      <c r="A734" s="8"/>
      <c r="B734" s="8"/>
      <c r="C734" s="8"/>
      <c r="D734" s="8"/>
      <c r="E734" s="8"/>
      <c r="F734" t="str" s="15">
        <f aca="0">IF(B734="","",IF(H734="","확인필요(입력누락)",IF(SUMPRODUCT((실물목록!$P$2:$P$1001&lt;&gt;"")*ISNUMBER(SEARCH(실물목록!$P$2:$P$1001,I734))*(실물목록!$Q$2:$Q$1001&lt;&gt;"")*ISNUMBER(SEARCH(실물목록!$Q$2:$Q$1001,I734))*(실물목록!$R$2:$R$1001="")*(실물목록!$O$2:$O$1001&lt;&gt;"")*(실물목록!$O$2:$O$1001=H734))&gt;0,"실물 있음",IF(SUMPRODUCT((실물목록!$P$2:$P$1001&lt;&gt;"")*ISNUMBER(SEARCH(실물목록!$P$2:$P$1001,I734))*(실물목록!$R$2:$R$1001&lt;&gt;""))&gt;0,"확인필요(입력누락)",IF(SUMPRODUCT((실물목록!$P$2:$P$1001&lt;&gt;"")*ISNUMBER(SEARCH(실물목록!$P$2:$P$1001,I734))*(실물목록!$Q$2:$Q$1001&lt;&gt;"")*ISNUMBER(SEARCH(실물목록!$Q$2:$Q$1001,I734))*(실물목록!$R$2:$R$1001="")*(실물목록!$O$2:$O$1001&lt;&gt;""))&gt;0,"확인필요(연도다름)","실물 없음")))))</f>
      </c>
      <c r="G734" t="n" s="16">
        <f aca="0">IF(B734="","",SUMPRODUCT((실물목록!$P$2:$P$1001&lt;&gt;"")*ISNUMBER(SEARCH(실물목록!$P$2:$P$1001,I734))*(실물목록!$Q$2:$Q$1001&lt;&gt;"")*ISNUMBER(SEARCH(실물목록!$Q$2:$Q$1001,I734))*(실물목록!$R$2:$R$1001="")*(실물목록!$O$2:$O$1001&lt;&gt;"")*(실물목록!$O$2:$O$1001=H734)))</f>
      </c>
      <c r="H734" t="str">
        <f>IFERROR(IF(AND(LEN(SUBSTITUTE(SUBSTITUTE(SUBSTITUTE(TRIM(A734&amp;""),CHAR(160),"")," ",""),"년",""))=4,VALUE(SUBSTITUTE(SUBSTITUTE(SUBSTITUTE(TRIM(A734&amp;""),CHAR(160),"")," ",""),"년",""))&gt;=1900,VALUE(SUBSTITUTE(SUBSTITUTE(SUBSTITUTE(TRIM(A734&amp;""),CHAR(160),"")," ",""),"년",""))&lt;=2099,TEXT(VALUE(SUBSTITUTE(SUBSTITUTE(SUBSTITUTE(TRIM(A734&amp;""),CHAR(160),"")," ",""),"년","")),"0000")=SUBSTITUTE(SUBSTITUTE(SUBSTITUTE(TRIM(A734&amp;""),CHAR(160),"")," ",""),"년","")),SUBSTITUTE(SUBSTITUTE(SUBSTITUTE(TRIM(A734&amp;""),CHAR(160),"")," ",""),"년",""),""),"")</f>
      </c>
      <c r="I734" t="str">
        <f>SUBSTITUTE(SUBSTITUTE(SUBSTITUTE(SUBSTITUTE(SUBSTITUTE(TRIM(B734&amp;""),CHAR(160),"")," ",""),"초등학교","초"),"중학교","중"),"고등학교","고")</f>
      </c>
    </row>
    <row r="735" customFormat="false" ht="15" hidden="false" customHeight="false" outlineLevel="0" collapsed="false">
      <c r="A735" s="8"/>
      <c r="B735" s="8"/>
      <c r="C735" s="8"/>
      <c r="D735" s="8"/>
      <c r="E735" s="8"/>
      <c r="F735" t="str" s="15">
        <f aca="0">IF(B735="","",IF(H735="","확인필요(입력누락)",IF(SUMPRODUCT((실물목록!$P$2:$P$1001&lt;&gt;"")*ISNUMBER(SEARCH(실물목록!$P$2:$P$1001,I735))*(실물목록!$Q$2:$Q$1001&lt;&gt;"")*ISNUMBER(SEARCH(실물목록!$Q$2:$Q$1001,I735))*(실물목록!$R$2:$R$1001="")*(실물목록!$O$2:$O$1001&lt;&gt;"")*(실물목록!$O$2:$O$1001=H735))&gt;0,"실물 있음",IF(SUMPRODUCT((실물목록!$P$2:$P$1001&lt;&gt;"")*ISNUMBER(SEARCH(실물목록!$P$2:$P$1001,I735))*(실물목록!$R$2:$R$1001&lt;&gt;""))&gt;0,"확인필요(입력누락)",IF(SUMPRODUCT((실물목록!$P$2:$P$1001&lt;&gt;"")*ISNUMBER(SEARCH(실물목록!$P$2:$P$1001,I735))*(실물목록!$Q$2:$Q$1001&lt;&gt;"")*ISNUMBER(SEARCH(실물목록!$Q$2:$Q$1001,I735))*(실물목록!$R$2:$R$1001="")*(실물목록!$O$2:$O$1001&lt;&gt;""))&gt;0,"확인필요(연도다름)","실물 없음")))))</f>
      </c>
      <c r="G735" t="n" s="16">
        <f aca="0">IF(B735="","",SUMPRODUCT((실물목록!$P$2:$P$1001&lt;&gt;"")*ISNUMBER(SEARCH(실물목록!$P$2:$P$1001,I735))*(실물목록!$Q$2:$Q$1001&lt;&gt;"")*ISNUMBER(SEARCH(실물목록!$Q$2:$Q$1001,I735))*(실물목록!$R$2:$R$1001="")*(실물목록!$O$2:$O$1001&lt;&gt;"")*(실물목록!$O$2:$O$1001=H735)))</f>
      </c>
      <c r="H735" t="str">
        <f>IFERROR(IF(AND(LEN(SUBSTITUTE(SUBSTITUTE(SUBSTITUTE(TRIM(A735&amp;""),CHAR(160),"")," ",""),"년",""))=4,VALUE(SUBSTITUTE(SUBSTITUTE(SUBSTITUTE(TRIM(A735&amp;""),CHAR(160),"")," ",""),"년",""))&gt;=1900,VALUE(SUBSTITUTE(SUBSTITUTE(SUBSTITUTE(TRIM(A735&amp;""),CHAR(160),"")," ",""),"년",""))&lt;=2099,TEXT(VALUE(SUBSTITUTE(SUBSTITUTE(SUBSTITUTE(TRIM(A735&amp;""),CHAR(160),"")," ",""),"년","")),"0000")=SUBSTITUTE(SUBSTITUTE(SUBSTITUTE(TRIM(A735&amp;""),CHAR(160),"")," ",""),"년","")),SUBSTITUTE(SUBSTITUTE(SUBSTITUTE(TRIM(A735&amp;""),CHAR(160),"")," ",""),"년",""),""),"")</f>
      </c>
      <c r="I735" t="str">
        <f>SUBSTITUTE(SUBSTITUTE(SUBSTITUTE(SUBSTITUTE(SUBSTITUTE(TRIM(B735&amp;""),CHAR(160),"")," ",""),"초등학교","초"),"중학교","중"),"고등학교","고")</f>
      </c>
    </row>
    <row r="736" customFormat="false" ht="15" hidden="false" customHeight="false" outlineLevel="0" collapsed="false">
      <c r="A736" s="8"/>
      <c r="B736" s="8"/>
      <c r="C736" s="8"/>
      <c r="D736" s="8"/>
      <c r="E736" s="8"/>
      <c r="F736" t="str" s="15">
        <f aca="0">IF(B736="","",IF(H736="","확인필요(입력누락)",IF(SUMPRODUCT((실물목록!$P$2:$P$1001&lt;&gt;"")*ISNUMBER(SEARCH(실물목록!$P$2:$P$1001,I736))*(실물목록!$Q$2:$Q$1001&lt;&gt;"")*ISNUMBER(SEARCH(실물목록!$Q$2:$Q$1001,I736))*(실물목록!$R$2:$R$1001="")*(실물목록!$O$2:$O$1001&lt;&gt;"")*(실물목록!$O$2:$O$1001=H736))&gt;0,"실물 있음",IF(SUMPRODUCT((실물목록!$P$2:$P$1001&lt;&gt;"")*ISNUMBER(SEARCH(실물목록!$P$2:$P$1001,I736))*(실물목록!$R$2:$R$1001&lt;&gt;""))&gt;0,"확인필요(입력누락)",IF(SUMPRODUCT((실물목록!$P$2:$P$1001&lt;&gt;"")*ISNUMBER(SEARCH(실물목록!$P$2:$P$1001,I736))*(실물목록!$Q$2:$Q$1001&lt;&gt;"")*ISNUMBER(SEARCH(실물목록!$Q$2:$Q$1001,I736))*(실물목록!$R$2:$R$1001="")*(실물목록!$O$2:$O$1001&lt;&gt;""))&gt;0,"확인필요(연도다름)","실물 없음")))))</f>
      </c>
      <c r="G736" t="n" s="16">
        <f aca="0">IF(B736="","",SUMPRODUCT((실물목록!$P$2:$P$1001&lt;&gt;"")*ISNUMBER(SEARCH(실물목록!$P$2:$P$1001,I736))*(실물목록!$Q$2:$Q$1001&lt;&gt;"")*ISNUMBER(SEARCH(실물목록!$Q$2:$Q$1001,I736))*(실물목록!$R$2:$R$1001="")*(실물목록!$O$2:$O$1001&lt;&gt;"")*(실물목록!$O$2:$O$1001=H736)))</f>
      </c>
      <c r="H736" t="str">
        <f>IFERROR(IF(AND(LEN(SUBSTITUTE(SUBSTITUTE(SUBSTITUTE(TRIM(A736&amp;""),CHAR(160),"")," ",""),"년",""))=4,VALUE(SUBSTITUTE(SUBSTITUTE(SUBSTITUTE(TRIM(A736&amp;""),CHAR(160),"")," ",""),"년",""))&gt;=1900,VALUE(SUBSTITUTE(SUBSTITUTE(SUBSTITUTE(TRIM(A736&amp;""),CHAR(160),"")," ",""),"년",""))&lt;=2099,TEXT(VALUE(SUBSTITUTE(SUBSTITUTE(SUBSTITUTE(TRIM(A736&amp;""),CHAR(160),"")," ",""),"년","")),"0000")=SUBSTITUTE(SUBSTITUTE(SUBSTITUTE(TRIM(A736&amp;""),CHAR(160),"")," ",""),"년","")),SUBSTITUTE(SUBSTITUTE(SUBSTITUTE(TRIM(A736&amp;""),CHAR(160),"")," ",""),"년",""),""),"")</f>
      </c>
      <c r="I736" t="str">
        <f>SUBSTITUTE(SUBSTITUTE(SUBSTITUTE(SUBSTITUTE(SUBSTITUTE(TRIM(B736&amp;""),CHAR(160),"")," ",""),"초등학교","초"),"중학교","중"),"고등학교","고")</f>
      </c>
    </row>
    <row r="737" customFormat="false" ht="15" hidden="false" customHeight="false" outlineLevel="0" collapsed="false">
      <c r="A737" s="8"/>
      <c r="B737" s="8"/>
      <c r="C737" s="8"/>
      <c r="D737" s="8"/>
      <c r="E737" s="8"/>
      <c r="F737" t="str" s="15">
        <f aca="0">IF(B737="","",IF(H737="","확인필요(입력누락)",IF(SUMPRODUCT((실물목록!$P$2:$P$1001&lt;&gt;"")*ISNUMBER(SEARCH(실물목록!$P$2:$P$1001,I737))*(실물목록!$Q$2:$Q$1001&lt;&gt;"")*ISNUMBER(SEARCH(실물목록!$Q$2:$Q$1001,I737))*(실물목록!$R$2:$R$1001="")*(실물목록!$O$2:$O$1001&lt;&gt;"")*(실물목록!$O$2:$O$1001=H737))&gt;0,"실물 있음",IF(SUMPRODUCT((실물목록!$P$2:$P$1001&lt;&gt;"")*ISNUMBER(SEARCH(실물목록!$P$2:$P$1001,I737))*(실물목록!$R$2:$R$1001&lt;&gt;""))&gt;0,"확인필요(입력누락)",IF(SUMPRODUCT((실물목록!$P$2:$P$1001&lt;&gt;"")*ISNUMBER(SEARCH(실물목록!$P$2:$P$1001,I737))*(실물목록!$Q$2:$Q$1001&lt;&gt;"")*ISNUMBER(SEARCH(실물목록!$Q$2:$Q$1001,I737))*(실물목록!$R$2:$R$1001="")*(실물목록!$O$2:$O$1001&lt;&gt;""))&gt;0,"확인필요(연도다름)","실물 없음")))))</f>
      </c>
      <c r="G737" t="n" s="16">
        <f aca="0">IF(B737="","",SUMPRODUCT((실물목록!$P$2:$P$1001&lt;&gt;"")*ISNUMBER(SEARCH(실물목록!$P$2:$P$1001,I737))*(실물목록!$Q$2:$Q$1001&lt;&gt;"")*ISNUMBER(SEARCH(실물목록!$Q$2:$Q$1001,I737))*(실물목록!$R$2:$R$1001="")*(실물목록!$O$2:$O$1001&lt;&gt;"")*(실물목록!$O$2:$O$1001=H737)))</f>
      </c>
      <c r="H737" t="str">
        <f>IFERROR(IF(AND(LEN(SUBSTITUTE(SUBSTITUTE(SUBSTITUTE(TRIM(A737&amp;""),CHAR(160),"")," ",""),"년",""))=4,VALUE(SUBSTITUTE(SUBSTITUTE(SUBSTITUTE(TRIM(A737&amp;""),CHAR(160),"")," ",""),"년",""))&gt;=1900,VALUE(SUBSTITUTE(SUBSTITUTE(SUBSTITUTE(TRIM(A737&amp;""),CHAR(160),"")," ",""),"년",""))&lt;=2099,TEXT(VALUE(SUBSTITUTE(SUBSTITUTE(SUBSTITUTE(TRIM(A737&amp;""),CHAR(160),"")," ",""),"년","")),"0000")=SUBSTITUTE(SUBSTITUTE(SUBSTITUTE(TRIM(A737&amp;""),CHAR(160),"")," ",""),"년","")),SUBSTITUTE(SUBSTITUTE(SUBSTITUTE(TRIM(A737&amp;""),CHAR(160),"")," ",""),"년",""),""),"")</f>
      </c>
      <c r="I737" t="str">
        <f>SUBSTITUTE(SUBSTITUTE(SUBSTITUTE(SUBSTITUTE(SUBSTITUTE(TRIM(B737&amp;""),CHAR(160),"")," ",""),"초등학교","초"),"중학교","중"),"고등학교","고")</f>
      </c>
    </row>
    <row r="738" customFormat="false" ht="15" hidden="false" customHeight="false" outlineLevel="0" collapsed="false">
      <c r="A738" s="8"/>
      <c r="B738" s="8"/>
      <c r="C738" s="8"/>
      <c r="D738" s="8"/>
      <c r="E738" s="8"/>
      <c r="F738" t="str" s="15">
        <f aca="0">IF(B738="","",IF(H738="","확인필요(입력누락)",IF(SUMPRODUCT((실물목록!$P$2:$P$1001&lt;&gt;"")*ISNUMBER(SEARCH(실물목록!$P$2:$P$1001,I738))*(실물목록!$Q$2:$Q$1001&lt;&gt;"")*ISNUMBER(SEARCH(실물목록!$Q$2:$Q$1001,I738))*(실물목록!$R$2:$R$1001="")*(실물목록!$O$2:$O$1001&lt;&gt;"")*(실물목록!$O$2:$O$1001=H738))&gt;0,"실물 있음",IF(SUMPRODUCT((실물목록!$P$2:$P$1001&lt;&gt;"")*ISNUMBER(SEARCH(실물목록!$P$2:$P$1001,I738))*(실물목록!$R$2:$R$1001&lt;&gt;""))&gt;0,"확인필요(입력누락)",IF(SUMPRODUCT((실물목록!$P$2:$P$1001&lt;&gt;"")*ISNUMBER(SEARCH(실물목록!$P$2:$P$1001,I738))*(실물목록!$Q$2:$Q$1001&lt;&gt;"")*ISNUMBER(SEARCH(실물목록!$Q$2:$Q$1001,I738))*(실물목록!$R$2:$R$1001="")*(실물목록!$O$2:$O$1001&lt;&gt;""))&gt;0,"확인필요(연도다름)","실물 없음")))))</f>
      </c>
      <c r="G738" t="n" s="16">
        <f aca="0">IF(B738="","",SUMPRODUCT((실물목록!$P$2:$P$1001&lt;&gt;"")*ISNUMBER(SEARCH(실물목록!$P$2:$P$1001,I738))*(실물목록!$Q$2:$Q$1001&lt;&gt;"")*ISNUMBER(SEARCH(실물목록!$Q$2:$Q$1001,I738))*(실물목록!$R$2:$R$1001="")*(실물목록!$O$2:$O$1001&lt;&gt;"")*(실물목록!$O$2:$O$1001=H738)))</f>
      </c>
      <c r="H738" t="str">
        <f>IFERROR(IF(AND(LEN(SUBSTITUTE(SUBSTITUTE(SUBSTITUTE(TRIM(A738&amp;""),CHAR(160),"")," ",""),"년",""))=4,VALUE(SUBSTITUTE(SUBSTITUTE(SUBSTITUTE(TRIM(A738&amp;""),CHAR(160),"")," ",""),"년",""))&gt;=1900,VALUE(SUBSTITUTE(SUBSTITUTE(SUBSTITUTE(TRIM(A738&amp;""),CHAR(160),"")," ",""),"년",""))&lt;=2099,TEXT(VALUE(SUBSTITUTE(SUBSTITUTE(SUBSTITUTE(TRIM(A738&amp;""),CHAR(160),"")," ",""),"년","")),"0000")=SUBSTITUTE(SUBSTITUTE(SUBSTITUTE(TRIM(A738&amp;""),CHAR(160),"")," ",""),"년","")),SUBSTITUTE(SUBSTITUTE(SUBSTITUTE(TRIM(A738&amp;""),CHAR(160),"")," ",""),"년",""),""),"")</f>
      </c>
      <c r="I738" t="str">
        <f>SUBSTITUTE(SUBSTITUTE(SUBSTITUTE(SUBSTITUTE(SUBSTITUTE(TRIM(B738&amp;""),CHAR(160),"")," ",""),"초등학교","초"),"중학교","중"),"고등학교","고")</f>
      </c>
    </row>
    <row r="739" customFormat="false" ht="15" hidden="false" customHeight="false" outlineLevel="0" collapsed="false">
      <c r="A739" s="8"/>
      <c r="B739" s="8"/>
      <c r="C739" s="8"/>
      <c r="D739" s="8"/>
      <c r="E739" s="8"/>
      <c r="F739" t="str" s="15">
        <f aca="0">IF(B739="","",IF(H739="","확인필요(입력누락)",IF(SUMPRODUCT((실물목록!$P$2:$P$1001&lt;&gt;"")*ISNUMBER(SEARCH(실물목록!$P$2:$P$1001,I739))*(실물목록!$Q$2:$Q$1001&lt;&gt;"")*ISNUMBER(SEARCH(실물목록!$Q$2:$Q$1001,I739))*(실물목록!$R$2:$R$1001="")*(실물목록!$O$2:$O$1001&lt;&gt;"")*(실물목록!$O$2:$O$1001=H739))&gt;0,"실물 있음",IF(SUMPRODUCT((실물목록!$P$2:$P$1001&lt;&gt;"")*ISNUMBER(SEARCH(실물목록!$P$2:$P$1001,I739))*(실물목록!$R$2:$R$1001&lt;&gt;""))&gt;0,"확인필요(입력누락)",IF(SUMPRODUCT((실물목록!$P$2:$P$1001&lt;&gt;"")*ISNUMBER(SEARCH(실물목록!$P$2:$P$1001,I739))*(실물목록!$Q$2:$Q$1001&lt;&gt;"")*ISNUMBER(SEARCH(실물목록!$Q$2:$Q$1001,I739))*(실물목록!$R$2:$R$1001="")*(실물목록!$O$2:$O$1001&lt;&gt;""))&gt;0,"확인필요(연도다름)","실물 없음")))))</f>
      </c>
      <c r="G739" t="n" s="16">
        <f aca="0">IF(B739="","",SUMPRODUCT((실물목록!$P$2:$P$1001&lt;&gt;"")*ISNUMBER(SEARCH(실물목록!$P$2:$P$1001,I739))*(실물목록!$Q$2:$Q$1001&lt;&gt;"")*ISNUMBER(SEARCH(실물목록!$Q$2:$Q$1001,I739))*(실물목록!$R$2:$R$1001="")*(실물목록!$O$2:$O$1001&lt;&gt;"")*(실물목록!$O$2:$O$1001=H739)))</f>
      </c>
      <c r="H739" t="str">
        <f>IFERROR(IF(AND(LEN(SUBSTITUTE(SUBSTITUTE(SUBSTITUTE(TRIM(A739&amp;""),CHAR(160),"")," ",""),"년",""))=4,VALUE(SUBSTITUTE(SUBSTITUTE(SUBSTITUTE(TRIM(A739&amp;""),CHAR(160),"")," ",""),"년",""))&gt;=1900,VALUE(SUBSTITUTE(SUBSTITUTE(SUBSTITUTE(TRIM(A739&amp;""),CHAR(160),"")," ",""),"년",""))&lt;=2099,TEXT(VALUE(SUBSTITUTE(SUBSTITUTE(SUBSTITUTE(TRIM(A739&amp;""),CHAR(160),"")," ",""),"년","")),"0000")=SUBSTITUTE(SUBSTITUTE(SUBSTITUTE(TRIM(A739&amp;""),CHAR(160),"")," ",""),"년","")),SUBSTITUTE(SUBSTITUTE(SUBSTITUTE(TRIM(A739&amp;""),CHAR(160),"")," ",""),"년",""),""),"")</f>
      </c>
      <c r="I739" t="str">
        <f>SUBSTITUTE(SUBSTITUTE(SUBSTITUTE(SUBSTITUTE(SUBSTITUTE(TRIM(B739&amp;""),CHAR(160),"")," ",""),"초등학교","초"),"중학교","중"),"고등학교","고")</f>
      </c>
    </row>
    <row r="740" customFormat="false" ht="15" hidden="false" customHeight="false" outlineLevel="0" collapsed="false">
      <c r="A740" s="8"/>
      <c r="B740" s="8"/>
      <c r="C740" s="8"/>
      <c r="D740" s="8"/>
      <c r="E740" s="8"/>
      <c r="F740" t="str" s="15">
        <f aca="0">IF(B740="","",IF(H740="","확인필요(입력누락)",IF(SUMPRODUCT((실물목록!$P$2:$P$1001&lt;&gt;"")*ISNUMBER(SEARCH(실물목록!$P$2:$P$1001,I740))*(실물목록!$Q$2:$Q$1001&lt;&gt;"")*ISNUMBER(SEARCH(실물목록!$Q$2:$Q$1001,I740))*(실물목록!$R$2:$R$1001="")*(실물목록!$O$2:$O$1001&lt;&gt;"")*(실물목록!$O$2:$O$1001=H740))&gt;0,"실물 있음",IF(SUMPRODUCT((실물목록!$P$2:$P$1001&lt;&gt;"")*ISNUMBER(SEARCH(실물목록!$P$2:$P$1001,I740))*(실물목록!$R$2:$R$1001&lt;&gt;""))&gt;0,"확인필요(입력누락)",IF(SUMPRODUCT((실물목록!$P$2:$P$1001&lt;&gt;"")*ISNUMBER(SEARCH(실물목록!$P$2:$P$1001,I740))*(실물목록!$Q$2:$Q$1001&lt;&gt;"")*ISNUMBER(SEARCH(실물목록!$Q$2:$Q$1001,I740))*(실물목록!$R$2:$R$1001="")*(실물목록!$O$2:$O$1001&lt;&gt;""))&gt;0,"확인필요(연도다름)","실물 없음")))))</f>
      </c>
      <c r="G740" t="n" s="16">
        <f aca="0">IF(B740="","",SUMPRODUCT((실물목록!$P$2:$P$1001&lt;&gt;"")*ISNUMBER(SEARCH(실물목록!$P$2:$P$1001,I740))*(실물목록!$Q$2:$Q$1001&lt;&gt;"")*ISNUMBER(SEARCH(실물목록!$Q$2:$Q$1001,I740))*(실물목록!$R$2:$R$1001="")*(실물목록!$O$2:$O$1001&lt;&gt;"")*(실물목록!$O$2:$O$1001=H740)))</f>
      </c>
      <c r="H740" t="str">
        <f>IFERROR(IF(AND(LEN(SUBSTITUTE(SUBSTITUTE(SUBSTITUTE(TRIM(A740&amp;""),CHAR(160),"")," ",""),"년",""))=4,VALUE(SUBSTITUTE(SUBSTITUTE(SUBSTITUTE(TRIM(A740&amp;""),CHAR(160),"")," ",""),"년",""))&gt;=1900,VALUE(SUBSTITUTE(SUBSTITUTE(SUBSTITUTE(TRIM(A740&amp;""),CHAR(160),"")," ",""),"년",""))&lt;=2099,TEXT(VALUE(SUBSTITUTE(SUBSTITUTE(SUBSTITUTE(TRIM(A740&amp;""),CHAR(160),"")," ",""),"년","")),"0000")=SUBSTITUTE(SUBSTITUTE(SUBSTITUTE(TRIM(A740&amp;""),CHAR(160),"")," ",""),"년","")),SUBSTITUTE(SUBSTITUTE(SUBSTITUTE(TRIM(A740&amp;""),CHAR(160),"")," ",""),"년",""),""),"")</f>
      </c>
      <c r="I740" t="str">
        <f>SUBSTITUTE(SUBSTITUTE(SUBSTITUTE(SUBSTITUTE(SUBSTITUTE(TRIM(B740&amp;""),CHAR(160),"")," ",""),"초등학교","초"),"중학교","중"),"고등학교","고")</f>
      </c>
    </row>
    <row r="741" customFormat="false" ht="15" hidden="false" customHeight="false" outlineLevel="0" collapsed="false">
      <c r="A741" s="8"/>
      <c r="B741" s="8"/>
      <c r="C741" s="8"/>
      <c r="D741" s="8"/>
      <c r="E741" s="8"/>
      <c r="F741" t="str" s="15">
        <f aca="0">IF(B741="","",IF(H741="","확인필요(입력누락)",IF(SUMPRODUCT((실물목록!$P$2:$P$1001&lt;&gt;"")*ISNUMBER(SEARCH(실물목록!$P$2:$P$1001,I741))*(실물목록!$Q$2:$Q$1001&lt;&gt;"")*ISNUMBER(SEARCH(실물목록!$Q$2:$Q$1001,I741))*(실물목록!$R$2:$R$1001="")*(실물목록!$O$2:$O$1001&lt;&gt;"")*(실물목록!$O$2:$O$1001=H741))&gt;0,"실물 있음",IF(SUMPRODUCT((실물목록!$P$2:$P$1001&lt;&gt;"")*ISNUMBER(SEARCH(실물목록!$P$2:$P$1001,I741))*(실물목록!$R$2:$R$1001&lt;&gt;""))&gt;0,"확인필요(입력누락)",IF(SUMPRODUCT((실물목록!$P$2:$P$1001&lt;&gt;"")*ISNUMBER(SEARCH(실물목록!$P$2:$P$1001,I741))*(실물목록!$Q$2:$Q$1001&lt;&gt;"")*ISNUMBER(SEARCH(실물목록!$Q$2:$Q$1001,I741))*(실물목록!$R$2:$R$1001="")*(실물목록!$O$2:$O$1001&lt;&gt;""))&gt;0,"확인필요(연도다름)","실물 없음")))))</f>
      </c>
      <c r="G741" t="n" s="16">
        <f aca="0">IF(B741="","",SUMPRODUCT((실물목록!$P$2:$P$1001&lt;&gt;"")*ISNUMBER(SEARCH(실물목록!$P$2:$P$1001,I741))*(실물목록!$Q$2:$Q$1001&lt;&gt;"")*ISNUMBER(SEARCH(실물목록!$Q$2:$Q$1001,I741))*(실물목록!$R$2:$R$1001="")*(실물목록!$O$2:$O$1001&lt;&gt;"")*(실물목록!$O$2:$O$1001=H741)))</f>
      </c>
      <c r="H741" t="str">
        <f>IFERROR(IF(AND(LEN(SUBSTITUTE(SUBSTITUTE(SUBSTITUTE(TRIM(A741&amp;""),CHAR(160),"")," ",""),"년",""))=4,VALUE(SUBSTITUTE(SUBSTITUTE(SUBSTITUTE(TRIM(A741&amp;""),CHAR(160),"")," ",""),"년",""))&gt;=1900,VALUE(SUBSTITUTE(SUBSTITUTE(SUBSTITUTE(TRIM(A741&amp;""),CHAR(160),"")," ",""),"년",""))&lt;=2099,TEXT(VALUE(SUBSTITUTE(SUBSTITUTE(SUBSTITUTE(TRIM(A741&amp;""),CHAR(160),"")," ",""),"년","")),"0000")=SUBSTITUTE(SUBSTITUTE(SUBSTITUTE(TRIM(A741&amp;""),CHAR(160),"")," ",""),"년","")),SUBSTITUTE(SUBSTITUTE(SUBSTITUTE(TRIM(A741&amp;""),CHAR(160),"")," ",""),"년",""),""),"")</f>
      </c>
      <c r="I741" t="str">
        <f>SUBSTITUTE(SUBSTITUTE(SUBSTITUTE(SUBSTITUTE(SUBSTITUTE(TRIM(B741&amp;""),CHAR(160),"")," ",""),"초등학교","초"),"중학교","중"),"고등학교","고")</f>
      </c>
    </row>
    <row r="742" customFormat="false" ht="15" hidden="false" customHeight="false" outlineLevel="0" collapsed="false">
      <c r="A742" s="8"/>
      <c r="B742" s="8"/>
      <c r="C742" s="8"/>
      <c r="D742" s="8"/>
      <c r="E742" s="8"/>
      <c r="F742" t="str" s="15">
        <f aca="0">IF(B742="","",IF(H742="","확인필요(입력누락)",IF(SUMPRODUCT((실물목록!$P$2:$P$1001&lt;&gt;"")*ISNUMBER(SEARCH(실물목록!$P$2:$P$1001,I742))*(실물목록!$Q$2:$Q$1001&lt;&gt;"")*ISNUMBER(SEARCH(실물목록!$Q$2:$Q$1001,I742))*(실물목록!$R$2:$R$1001="")*(실물목록!$O$2:$O$1001&lt;&gt;"")*(실물목록!$O$2:$O$1001=H742))&gt;0,"실물 있음",IF(SUMPRODUCT((실물목록!$P$2:$P$1001&lt;&gt;"")*ISNUMBER(SEARCH(실물목록!$P$2:$P$1001,I742))*(실물목록!$R$2:$R$1001&lt;&gt;""))&gt;0,"확인필요(입력누락)",IF(SUMPRODUCT((실물목록!$P$2:$P$1001&lt;&gt;"")*ISNUMBER(SEARCH(실물목록!$P$2:$P$1001,I742))*(실물목록!$Q$2:$Q$1001&lt;&gt;"")*ISNUMBER(SEARCH(실물목록!$Q$2:$Q$1001,I742))*(실물목록!$R$2:$R$1001="")*(실물목록!$O$2:$O$1001&lt;&gt;""))&gt;0,"확인필요(연도다름)","실물 없음")))))</f>
      </c>
      <c r="G742" t="n" s="16">
        <f aca="0">IF(B742="","",SUMPRODUCT((실물목록!$P$2:$P$1001&lt;&gt;"")*ISNUMBER(SEARCH(실물목록!$P$2:$P$1001,I742))*(실물목록!$Q$2:$Q$1001&lt;&gt;"")*ISNUMBER(SEARCH(실물목록!$Q$2:$Q$1001,I742))*(실물목록!$R$2:$R$1001="")*(실물목록!$O$2:$O$1001&lt;&gt;"")*(실물목록!$O$2:$O$1001=H742)))</f>
      </c>
      <c r="H742" t="str">
        <f>IFERROR(IF(AND(LEN(SUBSTITUTE(SUBSTITUTE(SUBSTITUTE(TRIM(A742&amp;""),CHAR(160),"")," ",""),"년",""))=4,VALUE(SUBSTITUTE(SUBSTITUTE(SUBSTITUTE(TRIM(A742&amp;""),CHAR(160),"")," ",""),"년",""))&gt;=1900,VALUE(SUBSTITUTE(SUBSTITUTE(SUBSTITUTE(TRIM(A742&amp;""),CHAR(160),"")," ",""),"년",""))&lt;=2099,TEXT(VALUE(SUBSTITUTE(SUBSTITUTE(SUBSTITUTE(TRIM(A742&amp;""),CHAR(160),"")," ",""),"년","")),"0000")=SUBSTITUTE(SUBSTITUTE(SUBSTITUTE(TRIM(A742&amp;""),CHAR(160),"")," ",""),"년","")),SUBSTITUTE(SUBSTITUTE(SUBSTITUTE(TRIM(A742&amp;""),CHAR(160),"")," ",""),"년",""),""),"")</f>
      </c>
      <c r="I742" t="str">
        <f>SUBSTITUTE(SUBSTITUTE(SUBSTITUTE(SUBSTITUTE(SUBSTITUTE(TRIM(B742&amp;""),CHAR(160),"")," ",""),"초등학교","초"),"중학교","중"),"고등학교","고")</f>
      </c>
    </row>
    <row r="743" customFormat="false" ht="15" hidden="false" customHeight="false" outlineLevel="0" collapsed="false">
      <c r="A743" s="8"/>
      <c r="B743" s="8"/>
      <c r="C743" s="8"/>
      <c r="D743" s="8"/>
      <c r="E743" s="8"/>
      <c r="F743" t="str" s="15">
        <f aca="0">IF(B743="","",IF(H743="","확인필요(입력누락)",IF(SUMPRODUCT((실물목록!$P$2:$P$1001&lt;&gt;"")*ISNUMBER(SEARCH(실물목록!$P$2:$P$1001,I743))*(실물목록!$Q$2:$Q$1001&lt;&gt;"")*ISNUMBER(SEARCH(실물목록!$Q$2:$Q$1001,I743))*(실물목록!$R$2:$R$1001="")*(실물목록!$O$2:$O$1001&lt;&gt;"")*(실물목록!$O$2:$O$1001=H743))&gt;0,"실물 있음",IF(SUMPRODUCT((실물목록!$P$2:$P$1001&lt;&gt;"")*ISNUMBER(SEARCH(실물목록!$P$2:$P$1001,I743))*(실물목록!$R$2:$R$1001&lt;&gt;""))&gt;0,"확인필요(입력누락)",IF(SUMPRODUCT((실물목록!$P$2:$P$1001&lt;&gt;"")*ISNUMBER(SEARCH(실물목록!$P$2:$P$1001,I743))*(실물목록!$Q$2:$Q$1001&lt;&gt;"")*ISNUMBER(SEARCH(실물목록!$Q$2:$Q$1001,I743))*(실물목록!$R$2:$R$1001="")*(실물목록!$O$2:$O$1001&lt;&gt;""))&gt;0,"확인필요(연도다름)","실물 없음")))))</f>
      </c>
      <c r="G743" t="n" s="16">
        <f aca="0">IF(B743="","",SUMPRODUCT((실물목록!$P$2:$P$1001&lt;&gt;"")*ISNUMBER(SEARCH(실물목록!$P$2:$P$1001,I743))*(실물목록!$Q$2:$Q$1001&lt;&gt;"")*ISNUMBER(SEARCH(실물목록!$Q$2:$Q$1001,I743))*(실물목록!$R$2:$R$1001="")*(실물목록!$O$2:$O$1001&lt;&gt;"")*(실물목록!$O$2:$O$1001=H743)))</f>
      </c>
      <c r="H743" t="str">
        <f>IFERROR(IF(AND(LEN(SUBSTITUTE(SUBSTITUTE(SUBSTITUTE(TRIM(A743&amp;""),CHAR(160),"")," ",""),"년",""))=4,VALUE(SUBSTITUTE(SUBSTITUTE(SUBSTITUTE(TRIM(A743&amp;""),CHAR(160),"")," ",""),"년",""))&gt;=1900,VALUE(SUBSTITUTE(SUBSTITUTE(SUBSTITUTE(TRIM(A743&amp;""),CHAR(160),"")," ",""),"년",""))&lt;=2099,TEXT(VALUE(SUBSTITUTE(SUBSTITUTE(SUBSTITUTE(TRIM(A743&amp;""),CHAR(160),"")," ",""),"년","")),"0000")=SUBSTITUTE(SUBSTITUTE(SUBSTITUTE(TRIM(A743&amp;""),CHAR(160),"")," ",""),"년","")),SUBSTITUTE(SUBSTITUTE(SUBSTITUTE(TRIM(A743&amp;""),CHAR(160),"")," ",""),"년",""),""),"")</f>
      </c>
      <c r="I743" t="str">
        <f>SUBSTITUTE(SUBSTITUTE(SUBSTITUTE(SUBSTITUTE(SUBSTITUTE(TRIM(B743&amp;""),CHAR(160),"")," ",""),"초등학교","초"),"중학교","중"),"고등학교","고")</f>
      </c>
    </row>
    <row r="744" customFormat="false" ht="15" hidden="false" customHeight="false" outlineLevel="0" collapsed="false">
      <c r="A744" s="8"/>
      <c r="B744" s="8"/>
      <c r="C744" s="8"/>
      <c r="D744" s="8"/>
      <c r="E744" s="8"/>
      <c r="F744" t="str" s="15">
        <f aca="0">IF(B744="","",IF(H744="","확인필요(입력누락)",IF(SUMPRODUCT((실물목록!$P$2:$P$1001&lt;&gt;"")*ISNUMBER(SEARCH(실물목록!$P$2:$P$1001,I744))*(실물목록!$Q$2:$Q$1001&lt;&gt;"")*ISNUMBER(SEARCH(실물목록!$Q$2:$Q$1001,I744))*(실물목록!$R$2:$R$1001="")*(실물목록!$O$2:$O$1001&lt;&gt;"")*(실물목록!$O$2:$O$1001=H744))&gt;0,"실물 있음",IF(SUMPRODUCT((실물목록!$P$2:$P$1001&lt;&gt;"")*ISNUMBER(SEARCH(실물목록!$P$2:$P$1001,I744))*(실물목록!$R$2:$R$1001&lt;&gt;""))&gt;0,"확인필요(입력누락)",IF(SUMPRODUCT((실물목록!$P$2:$P$1001&lt;&gt;"")*ISNUMBER(SEARCH(실물목록!$P$2:$P$1001,I744))*(실물목록!$Q$2:$Q$1001&lt;&gt;"")*ISNUMBER(SEARCH(실물목록!$Q$2:$Q$1001,I744))*(실물목록!$R$2:$R$1001="")*(실물목록!$O$2:$O$1001&lt;&gt;""))&gt;0,"확인필요(연도다름)","실물 없음")))))</f>
      </c>
      <c r="G744" t="n" s="16">
        <f aca="0">IF(B744="","",SUMPRODUCT((실물목록!$P$2:$P$1001&lt;&gt;"")*ISNUMBER(SEARCH(실물목록!$P$2:$P$1001,I744))*(실물목록!$Q$2:$Q$1001&lt;&gt;"")*ISNUMBER(SEARCH(실물목록!$Q$2:$Q$1001,I744))*(실물목록!$R$2:$R$1001="")*(실물목록!$O$2:$O$1001&lt;&gt;"")*(실물목록!$O$2:$O$1001=H744)))</f>
      </c>
      <c r="H744" t="str">
        <f>IFERROR(IF(AND(LEN(SUBSTITUTE(SUBSTITUTE(SUBSTITUTE(TRIM(A744&amp;""),CHAR(160),"")," ",""),"년",""))=4,VALUE(SUBSTITUTE(SUBSTITUTE(SUBSTITUTE(TRIM(A744&amp;""),CHAR(160),"")," ",""),"년",""))&gt;=1900,VALUE(SUBSTITUTE(SUBSTITUTE(SUBSTITUTE(TRIM(A744&amp;""),CHAR(160),"")," ",""),"년",""))&lt;=2099,TEXT(VALUE(SUBSTITUTE(SUBSTITUTE(SUBSTITUTE(TRIM(A744&amp;""),CHAR(160),"")," ",""),"년","")),"0000")=SUBSTITUTE(SUBSTITUTE(SUBSTITUTE(TRIM(A744&amp;""),CHAR(160),"")," ",""),"년","")),SUBSTITUTE(SUBSTITUTE(SUBSTITUTE(TRIM(A744&amp;""),CHAR(160),"")," ",""),"년",""),""),"")</f>
      </c>
      <c r="I744" t="str">
        <f>SUBSTITUTE(SUBSTITUTE(SUBSTITUTE(SUBSTITUTE(SUBSTITUTE(TRIM(B744&amp;""),CHAR(160),"")," ",""),"초등학교","초"),"중학교","중"),"고등학교","고")</f>
      </c>
    </row>
    <row r="745" customFormat="false" ht="15" hidden="false" customHeight="false" outlineLevel="0" collapsed="false">
      <c r="A745" s="8"/>
      <c r="B745" s="8"/>
      <c r="C745" s="8"/>
      <c r="D745" s="8"/>
      <c r="E745" s="8"/>
      <c r="F745" t="str" s="15">
        <f aca="0">IF(B745="","",IF(H745="","확인필요(입력누락)",IF(SUMPRODUCT((실물목록!$P$2:$P$1001&lt;&gt;"")*ISNUMBER(SEARCH(실물목록!$P$2:$P$1001,I745))*(실물목록!$Q$2:$Q$1001&lt;&gt;"")*ISNUMBER(SEARCH(실물목록!$Q$2:$Q$1001,I745))*(실물목록!$R$2:$R$1001="")*(실물목록!$O$2:$O$1001&lt;&gt;"")*(실물목록!$O$2:$O$1001=H745))&gt;0,"실물 있음",IF(SUMPRODUCT((실물목록!$P$2:$P$1001&lt;&gt;"")*ISNUMBER(SEARCH(실물목록!$P$2:$P$1001,I745))*(실물목록!$R$2:$R$1001&lt;&gt;""))&gt;0,"확인필요(입력누락)",IF(SUMPRODUCT((실물목록!$P$2:$P$1001&lt;&gt;"")*ISNUMBER(SEARCH(실물목록!$P$2:$P$1001,I745))*(실물목록!$Q$2:$Q$1001&lt;&gt;"")*ISNUMBER(SEARCH(실물목록!$Q$2:$Q$1001,I745))*(실물목록!$R$2:$R$1001="")*(실물목록!$O$2:$O$1001&lt;&gt;""))&gt;0,"확인필요(연도다름)","실물 없음")))))</f>
      </c>
      <c r="G745" t="n" s="16">
        <f aca="0">IF(B745="","",SUMPRODUCT((실물목록!$P$2:$P$1001&lt;&gt;"")*ISNUMBER(SEARCH(실물목록!$P$2:$P$1001,I745))*(실물목록!$Q$2:$Q$1001&lt;&gt;"")*ISNUMBER(SEARCH(실물목록!$Q$2:$Q$1001,I745))*(실물목록!$R$2:$R$1001="")*(실물목록!$O$2:$O$1001&lt;&gt;"")*(실물목록!$O$2:$O$1001=H745)))</f>
      </c>
      <c r="H745" t="str">
        <f>IFERROR(IF(AND(LEN(SUBSTITUTE(SUBSTITUTE(SUBSTITUTE(TRIM(A745&amp;""),CHAR(160),"")," ",""),"년",""))=4,VALUE(SUBSTITUTE(SUBSTITUTE(SUBSTITUTE(TRIM(A745&amp;""),CHAR(160),"")," ",""),"년",""))&gt;=1900,VALUE(SUBSTITUTE(SUBSTITUTE(SUBSTITUTE(TRIM(A745&amp;""),CHAR(160),"")," ",""),"년",""))&lt;=2099,TEXT(VALUE(SUBSTITUTE(SUBSTITUTE(SUBSTITUTE(TRIM(A745&amp;""),CHAR(160),"")," ",""),"년","")),"0000")=SUBSTITUTE(SUBSTITUTE(SUBSTITUTE(TRIM(A745&amp;""),CHAR(160),"")," ",""),"년","")),SUBSTITUTE(SUBSTITUTE(SUBSTITUTE(TRIM(A745&amp;""),CHAR(160),"")," ",""),"년",""),""),"")</f>
      </c>
      <c r="I745" t="str">
        <f>SUBSTITUTE(SUBSTITUTE(SUBSTITUTE(SUBSTITUTE(SUBSTITUTE(TRIM(B745&amp;""),CHAR(160),"")," ",""),"초등학교","초"),"중학교","중"),"고등학교","고")</f>
      </c>
    </row>
    <row r="746" customFormat="false" ht="15" hidden="false" customHeight="false" outlineLevel="0" collapsed="false">
      <c r="A746" s="8"/>
      <c r="B746" s="8"/>
      <c r="C746" s="8"/>
      <c r="D746" s="8"/>
      <c r="E746" s="8"/>
      <c r="F746" t="str" s="15">
        <f aca="0">IF(B746="","",IF(H746="","확인필요(입력누락)",IF(SUMPRODUCT((실물목록!$P$2:$P$1001&lt;&gt;"")*ISNUMBER(SEARCH(실물목록!$P$2:$P$1001,I746))*(실물목록!$Q$2:$Q$1001&lt;&gt;"")*ISNUMBER(SEARCH(실물목록!$Q$2:$Q$1001,I746))*(실물목록!$R$2:$R$1001="")*(실물목록!$O$2:$O$1001&lt;&gt;"")*(실물목록!$O$2:$O$1001=H746))&gt;0,"실물 있음",IF(SUMPRODUCT((실물목록!$P$2:$P$1001&lt;&gt;"")*ISNUMBER(SEARCH(실물목록!$P$2:$P$1001,I746))*(실물목록!$R$2:$R$1001&lt;&gt;""))&gt;0,"확인필요(입력누락)",IF(SUMPRODUCT((실물목록!$P$2:$P$1001&lt;&gt;"")*ISNUMBER(SEARCH(실물목록!$P$2:$P$1001,I746))*(실물목록!$Q$2:$Q$1001&lt;&gt;"")*ISNUMBER(SEARCH(실물목록!$Q$2:$Q$1001,I746))*(실물목록!$R$2:$R$1001="")*(실물목록!$O$2:$O$1001&lt;&gt;""))&gt;0,"확인필요(연도다름)","실물 없음")))))</f>
      </c>
      <c r="G746" t="n" s="16">
        <f aca="0">IF(B746="","",SUMPRODUCT((실물목록!$P$2:$P$1001&lt;&gt;"")*ISNUMBER(SEARCH(실물목록!$P$2:$P$1001,I746))*(실물목록!$Q$2:$Q$1001&lt;&gt;"")*ISNUMBER(SEARCH(실물목록!$Q$2:$Q$1001,I746))*(실물목록!$R$2:$R$1001="")*(실물목록!$O$2:$O$1001&lt;&gt;"")*(실물목록!$O$2:$O$1001=H746)))</f>
      </c>
      <c r="H746" t="str">
        <f>IFERROR(IF(AND(LEN(SUBSTITUTE(SUBSTITUTE(SUBSTITUTE(TRIM(A746&amp;""),CHAR(160),"")," ",""),"년",""))=4,VALUE(SUBSTITUTE(SUBSTITUTE(SUBSTITUTE(TRIM(A746&amp;""),CHAR(160),"")," ",""),"년",""))&gt;=1900,VALUE(SUBSTITUTE(SUBSTITUTE(SUBSTITUTE(TRIM(A746&amp;""),CHAR(160),"")," ",""),"년",""))&lt;=2099,TEXT(VALUE(SUBSTITUTE(SUBSTITUTE(SUBSTITUTE(TRIM(A746&amp;""),CHAR(160),"")," ",""),"년","")),"0000")=SUBSTITUTE(SUBSTITUTE(SUBSTITUTE(TRIM(A746&amp;""),CHAR(160),"")," ",""),"년","")),SUBSTITUTE(SUBSTITUTE(SUBSTITUTE(TRIM(A746&amp;""),CHAR(160),"")," ",""),"년",""),""),"")</f>
      </c>
      <c r="I746" t="str">
        <f>SUBSTITUTE(SUBSTITUTE(SUBSTITUTE(SUBSTITUTE(SUBSTITUTE(TRIM(B746&amp;""),CHAR(160),"")," ",""),"초등학교","초"),"중학교","중"),"고등학교","고")</f>
      </c>
    </row>
    <row r="747" customFormat="false" ht="15" hidden="false" customHeight="false" outlineLevel="0" collapsed="false">
      <c r="A747" s="8"/>
      <c r="B747" s="8"/>
      <c r="C747" s="8"/>
      <c r="D747" s="8"/>
      <c r="E747" s="8"/>
      <c r="F747" t="str" s="15">
        <f aca="0">IF(B747="","",IF(H747="","확인필요(입력누락)",IF(SUMPRODUCT((실물목록!$P$2:$P$1001&lt;&gt;"")*ISNUMBER(SEARCH(실물목록!$P$2:$P$1001,I747))*(실물목록!$Q$2:$Q$1001&lt;&gt;"")*ISNUMBER(SEARCH(실물목록!$Q$2:$Q$1001,I747))*(실물목록!$R$2:$R$1001="")*(실물목록!$O$2:$O$1001&lt;&gt;"")*(실물목록!$O$2:$O$1001=H747))&gt;0,"실물 있음",IF(SUMPRODUCT((실물목록!$P$2:$P$1001&lt;&gt;"")*ISNUMBER(SEARCH(실물목록!$P$2:$P$1001,I747))*(실물목록!$R$2:$R$1001&lt;&gt;""))&gt;0,"확인필요(입력누락)",IF(SUMPRODUCT((실물목록!$P$2:$P$1001&lt;&gt;"")*ISNUMBER(SEARCH(실물목록!$P$2:$P$1001,I747))*(실물목록!$Q$2:$Q$1001&lt;&gt;"")*ISNUMBER(SEARCH(실물목록!$Q$2:$Q$1001,I747))*(실물목록!$R$2:$R$1001="")*(실물목록!$O$2:$O$1001&lt;&gt;""))&gt;0,"확인필요(연도다름)","실물 없음")))))</f>
      </c>
      <c r="G747" t="n" s="16">
        <f aca="0">IF(B747="","",SUMPRODUCT((실물목록!$P$2:$P$1001&lt;&gt;"")*ISNUMBER(SEARCH(실물목록!$P$2:$P$1001,I747))*(실물목록!$Q$2:$Q$1001&lt;&gt;"")*ISNUMBER(SEARCH(실물목록!$Q$2:$Q$1001,I747))*(실물목록!$R$2:$R$1001="")*(실물목록!$O$2:$O$1001&lt;&gt;"")*(실물목록!$O$2:$O$1001=H747)))</f>
      </c>
      <c r="H747" t="str">
        <f>IFERROR(IF(AND(LEN(SUBSTITUTE(SUBSTITUTE(SUBSTITUTE(TRIM(A747&amp;""),CHAR(160),"")," ",""),"년",""))=4,VALUE(SUBSTITUTE(SUBSTITUTE(SUBSTITUTE(TRIM(A747&amp;""),CHAR(160),"")," ",""),"년",""))&gt;=1900,VALUE(SUBSTITUTE(SUBSTITUTE(SUBSTITUTE(TRIM(A747&amp;""),CHAR(160),"")," ",""),"년",""))&lt;=2099,TEXT(VALUE(SUBSTITUTE(SUBSTITUTE(SUBSTITUTE(TRIM(A747&amp;""),CHAR(160),"")," ",""),"년","")),"0000")=SUBSTITUTE(SUBSTITUTE(SUBSTITUTE(TRIM(A747&amp;""),CHAR(160),"")," ",""),"년","")),SUBSTITUTE(SUBSTITUTE(SUBSTITUTE(TRIM(A747&amp;""),CHAR(160),"")," ",""),"년",""),""),"")</f>
      </c>
      <c r="I747" t="str">
        <f>SUBSTITUTE(SUBSTITUTE(SUBSTITUTE(SUBSTITUTE(SUBSTITUTE(TRIM(B747&amp;""),CHAR(160),"")," ",""),"초등학교","초"),"중학교","중"),"고등학교","고")</f>
      </c>
    </row>
    <row r="748" customFormat="false" ht="15" hidden="false" customHeight="false" outlineLevel="0" collapsed="false">
      <c r="A748" s="8"/>
      <c r="B748" s="8"/>
      <c r="C748" s="8"/>
      <c r="D748" s="8"/>
      <c r="E748" s="8"/>
      <c r="F748" t="str" s="15">
        <f aca="0">IF(B748="","",IF(H748="","확인필요(입력누락)",IF(SUMPRODUCT((실물목록!$P$2:$P$1001&lt;&gt;"")*ISNUMBER(SEARCH(실물목록!$P$2:$P$1001,I748))*(실물목록!$Q$2:$Q$1001&lt;&gt;"")*ISNUMBER(SEARCH(실물목록!$Q$2:$Q$1001,I748))*(실물목록!$R$2:$R$1001="")*(실물목록!$O$2:$O$1001&lt;&gt;"")*(실물목록!$O$2:$O$1001=H748))&gt;0,"실물 있음",IF(SUMPRODUCT((실물목록!$P$2:$P$1001&lt;&gt;"")*ISNUMBER(SEARCH(실물목록!$P$2:$P$1001,I748))*(실물목록!$R$2:$R$1001&lt;&gt;""))&gt;0,"확인필요(입력누락)",IF(SUMPRODUCT((실물목록!$P$2:$P$1001&lt;&gt;"")*ISNUMBER(SEARCH(실물목록!$P$2:$P$1001,I748))*(실물목록!$Q$2:$Q$1001&lt;&gt;"")*ISNUMBER(SEARCH(실물목록!$Q$2:$Q$1001,I748))*(실물목록!$R$2:$R$1001="")*(실물목록!$O$2:$O$1001&lt;&gt;""))&gt;0,"확인필요(연도다름)","실물 없음")))))</f>
      </c>
      <c r="G748" t="n" s="16">
        <f aca="0">IF(B748="","",SUMPRODUCT((실물목록!$P$2:$P$1001&lt;&gt;"")*ISNUMBER(SEARCH(실물목록!$P$2:$P$1001,I748))*(실물목록!$Q$2:$Q$1001&lt;&gt;"")*ISNUMBER(SEARCH(실물목록!$Q$2:$Q$1001,I748))*(실물목록!$R$2:$R$1001="")*(실물목록!$O$2:$O$1001&lt;&gt;"")*(실물목록!$O$2:$O$1001=H748)))</f>
      </c>
      <c r="H748" t="str">
        <f>IFERROR(IF(AND(LEN(SUBSTITUTE(SUBSTITUTE(SUBSTITUTE(TRIM(A748&amp;""),CHAR(160),"")," ",""),"년",""))=4,VALUE(SUBSTITUTE(SUBSTITUTE(SUBSTITUTE(TRIM(A748&amp;""),CHAR(160),"")," ",""),"년",""))&gt;=1900,VALUE(SUBSTITUTE(SUBSTITUTE(SUBSTITUTE(TRIM(A748&amp;""),CHAR(160),"")," ",""),"년",""))&lt;=2099,TEXT(VALUE(SUBSTITUTE(SUBSTITUTE(SUBSTITUTE(TRIM(A748&amp;""),CHAR(160),"")," ",""),"년","")),"0000")=SUBSTITUTE(SUBSTITUTE(SUBSTITUTE(TRIM(A748&amp;""),CHAR(160),"")," ",""),"년","")),SUBSTITUTE(SUBSTITUTE(SUBSTITUTE(TRIM(A748&amp;""),CHAR(160),"")," ",""),"년",""),""),"")</f>
      </c>
      <c r="I748" t="str">
        <f>SUBSTITUTE(SUBSTITUTE(SUBSTITUTE(SUBSTITUTE(SUBSTITUTE(TRIM(B748&amp;""),CHAR(160),"")," ",""),"초등학교","초"),"중학교","중"),"고등학교","고")</f>
      </c>
    </row>
    <row r="749" customFormat="false" ht="15" hidden="false" customHeight="false" outlineLevel="0" collapsed="false">
      <c r="A749" s="8"/>
      <c r="B749" s="8"/>
      <c r="C749" s="8"/>
      <c r="D749" s="8"/>
      <c r="E749" s="8"/>
      <c r="F749" t="str" s="15">
        <f aca="0">IF(B749="","",IF(H749="","확인필요(입력누락)",IF(SUMPRODUCT((실물목록!$P$2:$P$1001&lt;&gt;"")*ISNUMBER(SEARCH(실물목록!$P$2:$P$1001,I749))*(실물목록!$Q$2:$Q$1001&lt;&gt;"")*ISNUMBER(SEARCH(실물목록!$Q$2:$Q$1001,I749))*(실물목록!$R$2:$R$1001="")*(실물목록!$O$2:$O$1001&lt;&gt;"")*(실물목록!$O$2:$O$1001=H749))&gt;0,"실물 있음",IF(SUMPRODUCT((실물목록!$P$2:$P$1001&lt;&gt;"")*ISNUMBER(SEARCH(실물목록!$P$2:$P$1001,I749))*(실물목록!$R$2:$R$1001&lt;&gt;""))&gt;0,"확인필요(입력누락)",IF(SUMPRODUCT((실물목록!$P$2:$P$1001&lt;&gt;"")*ISNUMBER(SEARCH(실물목록!$P$2:$P$1001,I749))*(실물목록!$Q$2:$Q$1001&lt;&gt;"")*ISNUMBER(SEARCH(실물목록!$Q$2:$Q$1001,I749))*(실물목록!$R$2:$R$1001="")*(실물목록!$O$2:$O$1001&lt;&gt;""))&gt;0,"확인필요(연도다름)","실물 없음")))))</f>
      </c>
      <c r="G749" t="n" s="16">
        <f aca="0">IF(B749="","",SUMPRODUCT((실물목록!$P$2:$P$1001&lt;&gt;"")*ISNUMBER(SEARCH(실물목록!$P$2:$P$1001,I749))*(실물목록!$Q$2:$Q$1001&lt;&gt;"")*ISNUMBER(SEARCH(실물목록!$Q$2:$Q$1001,I749))*(실물목록!$R$2:$R$1001="")*(실물목록!$O$2:$O$1001&lt;&gt;"")*(실물목록!$O$2:$O$1001=H749)))</f>
      </c>
      <c r="H749" t="str">
        <f>IFERROR(IF(AND(LEN(SUBSTITUTE(SUBSTITUTE(SUBSTITUTE(TRIM(A749&amp;""),CHAR(160),"")," ",""),"년",""))=4,VALUE(SUBSTITUTE(SUBSTITUTE(SUBSTITUTE(TRIM(A749&amp;""),CHAR(160),"")," ",""),"년",""))&gt;=1900,VALUE(SUBSTITUTE(SUBSTITUTE(SUBSTITUTE(TRIM(A749&amp;""),CHAR(160),"")," ",""),"년",""))&lt;=2099,TEXT(VALUE(SUBSTITUTE(SUBSTITUTE(SUBSTITUTE(TRIM(A749&amp;""),CHAR(160),"")," ",""),"년","")),"0000")=SUBSTITUTE(SUBSTITUTE(SUBSTITUTE(TRIM(A749&amp;""),CHAR(160),"")," ",""),"년","")),SUBSTITUTE(SUBSTITUTE(SUBSTITUTE(TRIM(A749&amp;""),CHAR(160),"")," ",""),"년",""),""),"")</f>
      </c>
      <c r="I749" t="str">
        <f>SUBSTITUTE(SUBSTITUTE(SUBSTITUTE(SUBSTITUTE(SUBSTITUTE(TRIM(B749&amp;""),CHAR(160),"")," ",""),"초등학교","초"),"중학교","중"),"고등학교","고")</f>
      </c>
    </row>
    <row r="750" customFormat="false" ht="15" hidden="false" customHeight="false" outlineLevel="0" collapsed="false">
      <c r="A750" s="8"/>
      <c r="B750" s="8"/>
      <c r="C750" s="8"/>
      <c r="D750" s="8"/>
      <c r="E750" s="8"/>
      <c r="F750" t="str" s="15">
        <f aca="0">IF(B750="","",IF(H750="","확인필요(입력누락)",IF(SUMPRODUCT((실물목록!$P$2:$P$1001&lt;&gt;"")*ISNUMBER(SEARCH(실물목록!$P$2:$P$1001,I750))*(실물목록!$Q$2:$Q$1001&lt;&gt;"")*ISNUMBER(SEARCH(실물목록!$Q$2:$Q$1001,I750))*(실물목록!$R$2:$R$1001="")*(실물목록!$O$2:$O$1001&lt;&gt;"")*(실물목록!$O$2:$O$1001=H750))&gt;0,"실물 있음",IF(SUMPRODUCT((실물목록!$P$2:$P$1001&lt;&gt;"")*ISNUMBER(SEARCH(실물목록!$P$2:$P$1001,I750))*(실물목록!$R$2:$R$1001&lt;&gt;""))&gt;0,"확인필요(입력누락)",IF(SUMPRODUCT((실물목록!$P$2:$P$1001&lt;&gt;"")*ISNUMBER(SEARCH(실물목록!$P$2:$P$1001,I750))*(실물목록!$Q$2:$Q$1001&lt;&gt;"")*ISNUMBER(SEARCH(실물목록!$Q$2:$Q$1001,I750))*(실물목록!$R$2:$R$1001="")*(실물목록!$O$2:$O$1001&lt;&gt;""))&gt;0,"확인필요(연도다름)","실물 없음")))))</f>
      </c>
      <c r="G750" t="n" s="16">
        <f aca="0">IF(B750="","",SUMPRODUCT((실물목록!$P$2:$P$1001&lt;&gt;"")*ISNUMBER(SEARCH(실물목록!$P$2:$P$1001,I750))*(실물목록!$Q$2:$Q$1001&lt;&gt;"")*ISNUMBER(SEARCH(실물목록!$Q$2:$Q$1001,I750))*(실물목록!$R$2:$R$1001="")*(실물목록!$O$2:$O$1001&lt;&gt;"")*(실물목록!$O$2:$O$1001=H750)))</f>
      </c>
      <c r="H750" t="str">
        <f>IFERROR(IF(AND(LEN(SUBSTITUTE(SUBSTITUTE(SUBSTITUTE(TRIM(A750&amp;""),CHAR(160),"")," ",""),"년",""))=4,VALUE(SUBSTITUTE(SUBSTITUTE(SUBSTITUTE(TRIM(A750&amp;""),CHAR(160),"")," ",""),"년",""))&gt;=1900,VALUE(SUBSTITUTE(SUBSTITUTE(SUBSTITUTE(TRIM(A750&amp;""),CHAR(160),"")," ",""),"년",""))&lt;=2099,TEXT(VALUE(SUBSTITUTE(SUBSTITUTE(SUBSTITUTE(TRIM(A750&amp;""),CHAR(160),"")," ",""),"년","")),"0000")=SUBSTITUTE(SUBSTITUTE(SUBSTITUTE(TRIM(A750&amp;""),CHAR(160),"")," ",""),"년","")),SUBSTITUTE(SUBSTITUTE(SUBSTITUTE(TRIM(A750&amp;""),CHAR(160),"")," ",""),"년",""),""),"")</f>
      </c>
      <c r="I750" t="str">
        <f>SUBSTITUTE(SUBSTITUTE(SUBSTITUTE(SUBSTITUTE(SUBSTITUTE(TRIM(B750&amp;""),CHAR(160),"")," ",""),"초등학교","초"),"중학교","중"),"고등학교","고")</f>
      </c>
    </row>
    <row r="751" customFormat="false" ht="15" hidden="false" customHeight="false" outlineLevel="0" collapsed="false">
      <c r="A751" s="8"/>
      <c r="B751" s="8"/>
      <c r="C751" s="8"/>
      <c r="D751" s="8"/>
      <c r="E751" s="8"/>
      <c r="F751" t="str" s="15">
        <f aca="0">IF(B751="","",IF(H751="","확인필요(입력누락)",IF(SUMPRODUCT((실물목록!$P$2:$P$1001&lt;&gt;"")*ISNUMBER(SEARCH(실물목록!$P$2:$P$1001,I751))*(실물목록!$Q$2:$Q$1001&lt;&gt;"")*ISNUMBER(SEARCH(실물목록!$Q$2:$Q$1001,I751))*(실물목록!$R$2:$R$1001="")*(실물목록!$O$2:$O$1001&lt;&gt;"")*(실물목록!$O$2:$O$1001=H751))&gt;0,"실물 있음",IF(SUMPRODUCT((실물목록!$P$2:$P$1001&lt;&gt;"")*ISNUMBER(SEARCH(실물목록!$P$2:$P$1001,I751))*(실물목록!$R$2:$R$1001&lt;&gt;""))&gt;0,"확인필요(입력누락)",IF(SUMPRODUCT((실물목록!$P$2:$P$1001&lt;&gt;"")*ISNUMBER(SEARCH(실물목록!$P$2:$P$1001,I751))*(실물목록!$Q$2:$Q$1001&lt;&gt;"")*ISNUMBER(SEARCH(실물목록!$Q$2:$Q$1001,I751))*(실물목록!$R$2:$R$1001="")*(실물목록!$O$2:$O$1001&lt;&gt;""))&gt;0,"확인필요(연도다름)","실물 없음")))))</f>
      </c>
      <c r="G751" t="n" s="16">
        <f aca="0">IF(B751="","",SUMPRODUCT((실물목록!$P$2:$P$1001&lt;&gt;"")*ISNUMBER(SEARCH(실물목록!$P$2:$P$1001,I751))*(실물목록!$Q$2:$Q$1001&lt;&gt;"")*ISNUMBER(SEARCH(실물목록!$Q$2:$Q$1001,I751))*(실물목록!$R$2:$R$1001="")*(실물목록!$O$2:$O$1001&lt;&gt;"")*(실물목록!$O$2:$O$1001=H751)))</f>
      </c>
      <c r="H751" t="str">
        <f>IFERROR(IF(AND(LEN(SUBSTITUTE(SUBSTITUTE(SUBSTITUTE(TRIM(A751&amp;""),CHAR(160),"")," ",""),"년",""))=4,VALUE(SUBSTITUTE(SUBSTITUTE(SUBSTITUTE(TRIM(A751&amp;""),CHAR(160),"")," ",""),"년",""))&gt;=1900,VALUE(SUBSTITUTE(SUBSTITUTE(SUBSTITUTE(TRIM(A751&amp;""),CHAR(160),"")," ",""),"년",""))&lt;=2099,TEXT(VALUE(SUBSTITUTE(SUBSTITUTE(SUBSTITUTE(TRIM(A751&amp;""),CHAR(160),"")," ",""),"년","")),"0000")=SUBSTITUTE(SUBSTITUTE(SUBSTITUTE(TRIM(A751&amp;""),CHAR(160),"")," ",""),"년","")),SUBSTITUTE(SUBSTITUTE(SUBSTITUTE(TRIM(A751&amp;""),CHAR(160),"")," ",""),"년",""),""),"")</f>
      </c>
      <c r="I751" t="str">
        <f>SUBSTITUTE(SUBSTITUTE(SUBSTITUTE(SUBSTITUTE(SUBSTITUTE(TRIM(B751&amp;""),CHAR(160),"")," ",""),"초등학교","초"),"중학교","중"),"고등학교","고")</f>
      </c>
    </row>
    <row r="752" customFormat="false" ht="15" hidden="false" customHeight="false" outlineLevel="0" collapsed="false">
      <c r="A752" s="8"/>
      <c r="B752" s="8"/>
      <c r="C752" s="8"/>
      <c r="D752" s="8"/>
      <c r="E752" s="8"/>
      <c r="F752" t="str" s="15">
        <f aca="0">IF(B752="","",IF(H752="","확인필요(입력누락)",IF(SUMPRODUCT((실물목록!$P$2:$P$1001&lt;&gt;"")*ISNUMBER(SEARCH(실물목록!$P$2:$P$1001,I752))*(실물목록!$Q$2:$Q$1001&lt;&gt;"")*ISNUMBER(SEARCH(실물목록!$Q$2:$Q$1001,I752))*(실물목록!$R$2:$R$1001="")*(실물목록!$O$2:$O$1001&lt;&gt;"")*(실물목록!$O$2:$O$1001=H752))&gt;0,"실물 있음",IF(SUMPRODUCT((실물목록!$P$2:$P$1001&lt;&gt;"")*ISNUMBER(SEARCH(실물목록!$P$2:$P$1001,I752))*(실물목록!$R$2:$R$1001&lt;&gt;""))&gt;0,"확인필요(입력누락)",IF(SUMPRODUCT((실물목록!$P$2:$P$1001&lt;&gt;"")*ISNUMBER(SEARCH(실물목록!$P$2:$P$1001,I752))*(실물목록!$Q$2:$Q$1001&lt;&gt;"")*ISNUMBER(SEARCH(실물목록!$Q$2:$Q$1001,I752))*(실물목록!$R$2:$R$1001="")*(실물목록!$O$2:$O$1001&lt;&gt;""))&gt;0,"확인필요(연도다름)","실물 없음")))))</f>
      </c>
      <c r="G752" t="n" s="16">
        <f aca="0">IF(B752="","",SUMPRODUCT((실물목록!$P$2:$P$1001&lt;&gt;"")*ISNUMBER(SEARCH(실물목록!$P$2:$P$1001,I752))*(실물목록!$Q$2:$Q$1001&lt;&gt;"")*ISNUMBER(SEARCH(실물목록!$Q$2:$Q$1001,I752))*(실물목록!$R$2:$R$1001="")*(실물목록!$O$2:$O$1001&lt;&gt;"")*(실물목록!$O$2:$O$1001=H752)))</f>
      </c>
      <c r="H752" t="str">
        <f>IFERROR(IF(AND(LEN(SUBSTITUTE(SUBSTITUTE(SUBSTITUTE(TRIM(A752&amp;""),CHAR(160),"")," ",""),"년",""))=4,VALUE(SUBSTITUTE(SUBSTITUTE(SUBSTITUTE(TRIM(A752&amp;""),CHAR(160),"")," ",""),"년",""))&gt;=1900,VALUE(SUBSTITUTE(SUBSTITUTE(SUBSTITUTE(TRIM(A752&amp;""),CHAR(160),"")," ",""),"년",""))&lt;=2099,TEXT(VALUE(SUBSTITUTE(SUBSTITUTE(SUBSTITUTE(TRIM(A752&amp;""),CHAR(160),"")," ",""),"년","")),"0000")=SUBSTITUTE(SUBSTITUTE(SUBSTITUTE(TRIM(A752&amp;""),CHAR(160),"")," ",""),"년","")),SUBSTITUTE(SUBSTITUTE(SUBSTITUTE(TRIM(A752&amp;""),CHAR(160),"")," ",""),"년",""),""),"")</f>
      </c>
      <c r="I752" t="str">
        <f>SUBSTITUTE(SUBSTITUTE(SUBSTITUTE(SUBSTITUTE(SUBSTITUTE(TRIM(B752&amp;""),CHAR(160),"")," ",""),"초등학교","초"),"중학교","중"),"고등학교","고")</f>
      </c>
    </row>
    <row r="753" customFormat="false" ht="15" hidden="false" customHeight="false" outlineLevel="0" collapsed="false">
      <c r="A753" s="8"/>
      <c r="B753" s="8"/>
      <c r="C753" s="8"/>
      <c r="D753" s="8"/>
      <c r="E753" s="8"/>
      <c r="F753" t="str" s="15">
        <f aca="0">IF(B753="","",IF(H753="","확인필요(입력누락)",IF(SUMPRODUCT((실물목록!$P$2:$P$1001&lt;&gt;"")*ISNUMBER(SEARCH(실물목록!$P$2:$P$1001,I753))*(실물목록!$Q$2:$Q$1001&lt;&gt;"")*ISNUMBER(SEARCH(실물목록!$Q$2:$Q$1001,I753))*(실물목록!$R$2:$R$1001="")*(실물목록!$O$2:$O$1001&lt;&gt;"")*(실물목록!$O$2:$O$1001=H753))&gt;0,"실물 있음",IF(SUMPRODUCT((실물목록!$P$2:$P$1001&lt;&gt;"")*ISNUMBER(SEARCH(실물목록!$P$2:$P$1001,I753))*(실물목록!$R$2:$R$1001&lt;&gt;""))&gt;0,"확인필요(입력누락)",IF(SUMPRODUCT((실물목록!$P$2:$P$1001&lt;&gt;"")*ISNUMBER(SEARCH(실물목록!$P$2:$P$1001,I753))*(실물목록!$Q$2:$Q$1001&lt;&gt;"")*ISNUMBER(SEARCH(실물목록!$Q$2:$Q$1001,I753))*(실물목록!$R$2:$R$1001="")*(실물목록!$O$2:$O$1001&lt;&gt;""))&gt;0,"확인필요(연도다름)","실물 없음")))))</f>
      </c>
      <c r="G753" t="n" s="16">
        <f aca="0">IF(B753="","",SUMPRODUCT((실물목록!$P$2:$P$1001&lt;&gt;"")*ISNUMBER(SEARCH(실물목록!$P$2:$P$1001,I753))*(실물목록!$Q$2:$Q$1001&lt;&gt;"")*ISNUMBER(SEARCH(실물목록!$Q$2:$Q$1001,I753))*(실물목록!$R$2:$R$1001="")*(실물목록!$O$2:$O$1001&lt;&gt;"")*(실물목록!$O$2:$O$1001=H753)))</f>
      </c>
      <c r="H753" t="str">
        <f>IFERROR(IF(AND(LEN(SUBSTITUTE(SUBSTITUTE(SUBSTITUTE(TRIM(A753&amp;""),CHAR(160),"")," ",""),"년",""))=4,VALUE(SUBSTITUTE(SUBSTITUTE(SUBSTITUTE(TRIM(A753&amp;""),CHAR(160),"")," ",""),"년",""))&gt;=1900,VALUE(SUBSTITUTE(SUBSTITUTE(SUBSTITUTE(TRIM(A753&amp;""),CHAR(160),"")," ",""),"년",""))&lt;=2099,TEXT(VALUE(SUBSTITUTE(SUBSTITUTE(SUBSTITUTE(TRIM(A753&amp;""),CHAR(160),"")," ",""),"년","")),"0000")=SUBSTITUTE(SUBSTITUTE(SUBSTITUTE(TRIM(A753&amp;""),CHAR(160),"")," ",""),"년","")),SUBSTITUTE(SUBSTITUTE(SUBSTITUTE(TRIM(A753&amp;""),CHAR(160),"")," ",""),"년",""),""),"")</f>
      </c>
      <c r="I753" t="str">
        <f>SUBSTITUTE(SUBSTITUTE(SUBSTITUTE(SUBSTITUTE(SUBSTITUTE(TRIM(B753&amp;""),CHAR(160),"")," ",""),"초등학교","초"),"중학교","중"),"고등학교","고")</f>
      </c>
    </row>
    <row r="754" customFormat="false" ht="15" hidden="false" customHeight="false" outlineLevel="0" collapsed="false">
      <c r="A754" s="8"/>
      <c r="B754" s="8"/>
      <c r="C754" s="8"/>
      <c r="D754" s="8"/>
      <c r="E754" s="8"/>
      <c r="F754" t="str" s="15">
        <f aca="0">IF(B754="","",IF(H754="","확인필요(입력누락)",IF(SUMPRODUCT((실물목록!$P$2:$P$1001&lt;&gt;"")*ISNUMBER(SEARCH(실물목록!$P$2:$P$1001,I754))*(실물목록!$Q$2:$Q$1001&lt;&gt;"")*ISNUMBER(SEARCH(실물목록!$Q$2:$Q$1001,I754))*(실물목록!$R$2:$R$1001="")*(실물목록!$O$2:$O$1001&lt;&gt;"")*(실물목록!$O$2:$O$1001=H754))&gt;0,"실물 있음",IF(SUMPRODUCT((실물목록!$P$2:$P$1001&lt;&gt;"")*ISNUMBER(SEARCH(실물목록!$P$2:$P$1001,I754))*(실물목록!$R$2:$R$1001&lt;&gt;""))&gt;0,"확인필요(입력누락)",IF(SUMPRODUCT((실물목록!$P$2:$P$1001&lt;&gt;"")*ISNUMBER(SEARCH(실물목록!$P$2:$P$1001,I754))*(실물목록!$Q$2:$Q$1001&lt;&gt;"")*ISNUMBER(SEARCH(실물목록!$Q$2:$Q$1001,I754))*(실물목록!$R$2:$R$1001="")*(실물목록!$O$2:$O$1001&lt;&gt;""))&gt;0,"확인필요(연도다름)","실물 없음")))))</f>
      </c>
      <c r="G754" t="n" s="16">
        <f aca="0">IF(B754="","",SUMPRODUCT((실물목록!$P$2:$P$1001&lt;&gt;"")*ISNUMBER(SEARCH(실물목록!$P$2:$P$1001,I754))*(실물목록!$Q$2:$Q$1001&lt;&gt;"")*ISNUMBER(SEARCH(실물목록!$Q$2:$Q$1001,I754))*(실물목록!$R$2:$R$1001="")*(실물목록!$O$2:$O$1001&lt;&gt;"")*(실물목록!$O$2:$O$1001=H754)))</f>
      </c>
      <c r="H754" t="str">
        <f>IFERROR(IF(AND(LEN(SUBSTITUTE(SUBSTITUTE(SUBSTITUTE(TRIM(A754&amp;""),CHAR(160),"")," ",""),"년",""))=4,VALUE(SUBSTITUTE(SUBSTITUTE(SUBSTITUTE(TRIM(A754&amp;""),CHAR(160),"")," ",""),"년",""))&gt;=1900,VALUE(SUBSTITUTE(SUBSTITUTE(SUBSTITUTE(TRIM(A754&amp;""),CHAR(160),"")," ",""),"년",""))&lt;=2099,TEXT(VALUE(SUBSTITUTE(SUBSTITUTE(SUBSTITUTE(TRIM(A754&amp;""),CHAR(160),"")," ",""),"년","")),"0000")=SUBSTITUTE(SUBSTITUTE(SUBSTITUTE(TRIM(A754&amp;""),CHAR(160),"")," ",""),"년","")),SUBSTITUTE(SUBSTITUTE(SUBSTITUTE(TRIM(A754&amp;""),CHAR(160),"")," ",""),"년",""),""),"")</f>
      </c>
      <c r="I754" t="str">
        <f>SUBSTITUTE(SUBSTITUTE(SUBSTITUTE(SUBSTITUTE(SUBSTITUTE(TRIM(B754&amp;""),CHAR(160),"")," ",""),"초등학교","초"),"중학교","중"),"고등학교","고")</f>
      </c>
    </row>
    <row r="755" customFormat="false" ht="15" hidden="false" customHeight="false" outlineLevel="0" collapsed="false">
      <c r="A755" s="8"/>
      <c r="B755" s="8"/>
      <c r="C755" s="8"/>
      <c r="D755" s="8"/>
      <c r="E755" s="8"/>
      <c r="F755" t="str" s="15">
        <f aca="0">IF(B755="","",IF(H755="","확인필요(입력누락)",IF(SUMPRODUCT((실물목록!$P$2:$P$1001&lt;&gt;"")*ISNUMBER(SEARCH(실물목록!$P$2:$P$1001,I755))*(실물목록!$Q$2:$Q$1001&lt;&gt;"")*ISNUMBER(SEARCH(실물목록!$Q$2:$Q$1001,I755))*(실물목록!$R$2:$R$1001="")*(실물목록!$O$2:$O$1001&lt;&gt;"")*(실물목록!$O$2:$O$1001=H755))&gt;0,"실물 있음",IF(SUMPRODUCT((실물목록!$P$2:$P$1001&lt;&gt;"")*ISNUMBER(SEARCH(실물목록!$P$2:$P$1001,I755))*(실물목록!$R$2:$R$1001&lt;&gt;""))&gt;0,"확인필요(입력누락)",IF(SUMPRODUCT((실물목록!$P$2:$P$1001&lt;&gt;"")*ISNUMBER(SEARCH(실물목록!$P$2:$P$1001,I755))*(실물목록!$Q$2:$Q$1001&lt;&gt;"")*ISNUMBER(SEARCH(실물목록!$Q$2:$Q$1001,I755))*(실물목록!$R$2:$R$1001="")*(실물목록!$O$2:$O$1001&lt;&gt;""))&gt;0,"확인필요(연도다름)","실물 없음")))))</f>
      </c>
      <c r="G755" t="n" s="16">
        <f aca="0">IF(B755="","",SUMPRODUCT((실물목록!$P$2:$P$1001&lt;&gt;"")*ISNUMBER(SEARCH(실물목록!$P$2:$P$1001,I755))*(실물목록!$Q$2:$Q$1001&lt;&gt;"")*ISNUMBER(SEARCH(실물목록!$Q$2:$Q$1001,I755))*(실물목록!$R$2:$R$1001="")*(실물목록!$O$2:$O$1001&lt;&gt;"")*(실물목록!$O$2:$O$1001=H755)))</f>
      </c>
      <c r="H755" t="str">
        <f>IFERROR(IF(AND(LEN(SUBSTITUTE(SUBSTITUTE(SUBSTITUTE(TRIM(A755&amp;""),CHAR(160),"")," ",""),"년",""))=4,VALUE(SUBSTITUTE(SUBSTITUTE(SUBSTITUTE(TRIM(A755&amp;""),CHAR(160),"")," ",""),"년",""))&gt;=1900,VALUE(SUBSTITUTE(SUBSTITUTE(SUBSTITUTE(TRIM(A755&amp;""),CHAR(160),"")," ",""),"년",""))&lt;=2099,TEXT(VALUE(SUBSTITUTE(SUBSTITUTE(SUBSTITUTE(TRIM(A755&amp;""),CHAR(160),"")," ",""),"년","")),"0000")=SUBSTITUTE(SUBSTITUTE(SUBSTITUTE(TRIM(A755&amp;""),CHAR(160),"")," ",""),"년","")),SUBSTITUTE(SUBSTITUTE(SUBSTITUTE(TRIM(A755&amp;""),CHAR(160),"")," ",""),"년",""),""),"")</f>
      </c>
      <c r="I755" t="str">
        <f>SUBSTITUTE(SUBSTITUTE(SUBSTITUTE(SUBSTITUTE(SUBSTITUTE(TRIM(B755&amp;""),CHAR(160),"")," ",""),"초등학교","초"),"중학교","중"),"고등학교","고")</f>
      </c>
    </row>
    <row r="756" customFormat="false" ht="15" hidden="false" customHeight="false" outlineLevel="0" collapsed="false">
      <c r="A756" s="8"/>
      <c r="B756" s="8"/>
      <c r="C756" s="8"/>
      <c r="D756" s="8"/>
      <c r="E756" s="8"/>
      <c r="F756" t="str" s="15">
        <f aca="0">IF(B756="","",IF(H756="","확인필요(입력누락)",IF(SUMPRODUCT((실물목록!$P$2:$P$1001&lt;&gt;"")*ISNUMBER(SEARCH(실물목록!$P$2:$P$1001,I756))*(실물목록!$Q$2:$Q$1001&lt;&gt;"")*ISNUMBER(SEARCH(실물목록!$Q$2:$Q$1001,I756))*(실물목록!$R$2:$R$1001="")*(실물목록!$O$2:$O$1001&lt;&gt;"")*(실물목록!$O$2:$O$1001=H756))&gt;0,"실물 있음",IF(SUMPRODUCT((실물목록!$P$2:$P$1001&lt;&gt;"")*ISNUMBER(SEARCH(실물목록!$P$2:$P$1001,I756))*(실물목록!$R$2:$R$1001&lt;&gt;""))&gt;0,"확인필요(입력누락)",IF(SUMPRODUCT((실물목록!$P$2:$P$1001&lt;&gt;"")*ISNUMBER(SEARCH(실물목록!$P$2:$P$1001,I756))*(실물목록!$Q$2:$Q$1001&lt;&gt;"")*ISNUMBER(SEARCH(실물목록!$Q$2:$Q$1001,I756))*(실물목록!$R$2:$R$1001="")*(실물목록!$O$2:$O$1001&lt;&gt;""))&gt;0,"확인필요(연도다름)","실물 없음")))))</f>
      </c>
      <c r="G756" t="n" s="16">
        <f aca="0">IF(B756="","",SUMPRODUCT((실물목록!$P$2:$P$1001&lt;&gt;"")*ISNUMBER(SEARCH(실물목록!$P$2:$P$1001,I756))*(실물목록!$Q$2:$Q$1001&lt;&gt;"")*ISNUMBER(SEARCH(실물목록!$Q$2:$Q$1001,I756))*(실물목록!$R$2:$R$1001="")*(실물목록!$O$2:$O$1001&lt;&gt;"")*(실물목록!$O$2:$O$1001=H756)))</f>
      </c>
      <c r="H756" t="str">
        <f>IFERROR(IF(AND(LEN(SUBSTITUTE(SUBSTITUTE(SUBSTITUTE(TRIM(A756&amp;""),CHAR(160),"")," ",""),"년",""))=4,VALUE(SUBSTITUTE(SUBSTITUTE(SUBSTITUTE(TRIM(A756&amp;""),CHAR(160),"")," ",""),"년",""))&gt;=1900,VALUE(SUBSTITUTE(SUBSTITUTE(SUBSTITUTE(TRIM(A756&amp;""),CHAR(160),"")," ",""),"년",""))&lt;=2099,TEXT(VALUE(SUBSTITUTE(SUBSTITUTE(SUBSTITUTE(TRIM(A756&amp;""),CHAR(160),"")," ",""),"년","")),"0000")=SUBSTITUTE(SUBSTITUTE(SUBSTITUTE(TRIM(A756&amp;""),CHAR(160),"")," ",""),"년","")),SUBSTITUTE(SUBSTITUTE(SUBSTITUTE(TRIM(A756&amp;""),CHAR(160),"")," ",""),"년",""),""),"")</f>
      </c>
      <c r="I756" t="str">
        <f>SUBSTITUTE(SUBSTITUTE(SUBSTITUTE(SUBSTITUTE(SUBSTITUTE(TRIM(B756&amp;""),CHAR(160),"")," ",""),"초등학교","초"),"중학교","중"),"고등학교","고")</f>
      </c>
    </row>
    <row r="757" customFormat="false" ht="15" hidden="false" customHeight="false" outlineLevel="0" collapsed="false">
      <c r="A757" s="8"/>
      <c r="B757" s="8"/>
      <c r="C757" s="8"/>
      <c r="D757" s="8"/>
      <c r="E757" s="8"/>
      <c r="F757" t="str" s="15">
        <f aca="0">IF(B757="","",IF(H757="","확인필요(입력누락)",IF(SUMPRODUCT((실물목록!$P$2:$P$1001&lt;&gt;"")*ISNUMBER(SEARCH(실물목록!$P$2:$P$1001,I757))*(실물목록!$Q$2:$Q$1001&lt;&gt;"")*ISNUMBER(SEARCH(실물목록!$Q$2:$Q$1001,I757))*(실물목록!$R$2:$R$1001="")*(실물목록!$O$2:$O$1001&lt;&gt;"")*(실물목록!$O$2:$O$1001=H757))&gt;0,"실물 있음",IF(SUMPRODUCT((실물목록!$P$2:$P$1001&lt;&gt;"")*ISNUMBER(SEARCH(실물목록!$P$2:$P$1001,I757))*(실물목록!$R$2:$R$1001&lt;&gt;""))&gt;0,"확인필요(입력누락)",IF(SUMPRODUCT((실물목록!$P$2:$P$1001&lt;&gt;"")*ISNUMBER(SEARCH(실물목록!$P$2:$P$1001,I757))*(실물목록!$Q$2:$Q$1001&lt;&gt;"")*ISNUMBER(SEARCH(실물목록!$Q$2:$Q$1001,I757))*(실물목록!$R$2:$R$1001="")*(실물목록!$O$2:$O$1001&lt;&gt;""))&gt;0,"확인필요(연도다름)","실물 없음")))))</f>
      </c>
      <c r="G757" t="n" s="16">
        <f aca="0">IF(B757="","",SUMPRODUCT((실물목록!$P$2:$P$1001&lt;&gt;"")*ISNUMBER(SEARCH(실물목록!$P$2:$P$1001,I757))*(실물목록!$Q$2:$Q$1001&lt;&gt;"")*ISNUMBER(SEARCH(실물목록!$Q$2:$Q$1001,I757))*(실물목록!$R$2:$R$1001="")*(실물목록!$O$2:$O$1001&lt;&gt;"")*(실물목록!$O$2:$O$1001=H757)))</f>
      </c>
      <c r="H757" t="str">
        <f>IFERROR(IF(AND(LEN(SUBSTITUTE(SUBSTITUTE(SUBSTITUTE(TRIM(A757&amp;""),CHAR(160),"")," ",""),"년",""))=4,VALUE(SUBSTITUTE(SUBSTITUTE(SUBSTITUTE(TRIM(A757&amp;""),CHAR(160),"")," ",""),"년",""))&gt;=1900,VALUE(SUBSTITUTE(SUBSTITUTE(SUBSTITUTE(TRIM(A757&amp;""),CHAR(160),"")," ",""),"년",""))&lt;=2099,TEXT(VALUE(SUBSTITUTE(SUBSTITUTE(SUBSTITUTE(TRIM(A757&amp;""),CHAR(160),"")," ",""),"년","")),"0000")=SUBSTITUTE(SUBSTITUTE(SUBSTITUTE(TRIM(A757&amp;""),CHAR(160),"")," ",""),"년","")),SUBSTITUTE(SUBSTITUTE(SUBSTITUTE(TRIM(A757&amp;""),CHAR(160),"")," ",""),"년",""),""),"")</f>
      </c>
      <c r="I757" t="str">
        <f>SUBSTITUTE(SUBSTITUTE(SUBSTITUTE(SUBSTITUTE(SUBSTITUTE(TRIM(B757&amp;""),CHAR(160),"")," ",""),"초등학교","초"),"중학교","중"),"고등학교","고")</f>
      </c>
    </row>
    <row r="758" customFormat="false" ht="15" hidden="false" customHeight="false" outlineLevel="0" collapsed="false">
      <c r="A758" s="8"/>
      <c r="B758" s="8"/>
      <c r="C758" s="8"/>
      <c r="D758" s="8"/>
      <c r="E758" s="8"/>
      <c r="F758" t="str" s="15">
        <f aca="0">IF(B758="","",IF(H758="","확인필요(입력누락)",IF(SUMPRODUCT((실물목록!$P$2:$P$1001&lt;&gt;"")*ISNUMBER(SEARCH(실물목록!$P$2:$P$1001,I758))*(실물목록!$Q$2:$Q$1001&lt;&gt;"")*ISNUMBER(SEARCH(실물목록!$Q$2:$Q$1001,I758))*(실물목록!$R$2:$R$1001="")*(실물목록!$O$2:$O$1001&lt;&gt;"")*(실물목록!$O$2:$O$1001=H758))&gt;0,"실물 있음",IF(SUMPRODUCT((실물목록!$P$2:$P$1001&lt;&gt;"")*ISNUMBER(SEARCH(실물목록!$P$2:$P$1001,I758))*(실물목록!$R$2:$R$1001&lt;&gt;""))&gt;0,"확인필요(입력누락)",IF(SUMPRODUCT((실물목록!$P$2:$P$1001&lt;&gt;"")*ISNUMBER(SEARCH(실물목록!$P$2:$P$1001,I758))*(실물목록!$Q$2:$Q$1001&lt;&gt;"")*ISNUMBER(SEARCH(실물목록!$Q$2:$Q$1001,I758))*(실물목록!$R$2:$R$1001="")*(실물목록!$O$2:$O$1001&lt;&gt;""))&gt;0,"확인필요(연도다름)","실물 없음")))))</f>
      </c>
      <c r="G758" t="n" s="16">
        <f aca="0">IF(B758="","",SUMPRODUCT((실물목록!$P$2:$P$1001&lt;&gt;"")*ISNUMBER(SEARCH(실물목록!$P$2:$P$1001,I758))*(실물목록!$Q$2:$Q$1001&lt;&gt;"")*ISNUMBER(SEARCH(실물목록!$Q$2:$Q$1001,I758))*(실물목록!$R$2:$R$1001="")*(실물목록!$O$2:$O$1001&lt;&gt;"")*(실물목록!$O$2:$O$1001=H758)))</f>
      </c>
      <c r="H758" t="str">
        <f>IFERROR(IF(AND(LEN(SUBSTITUTE(SUBSTITUTE(SUBSTITUTE(TRIM(A758&amp;""),CHAR(160),"")," ",""),"년",""))=4,VALUE(SUBSTITUTE(SUBSTITUTE(SUBSTITUTE(TRIM(A758&amp;""),CHAR(160),"")," ",""),"년",""))&gt;=1900,VALUE(SUBSTITUTE(SUBSTITUTE(SUBSTITUTE(TRIM(A758&amp;""),CHAR(160),"")," ",""),"년",""))&lt;=2099,TEXT(VALUE(SUBSTITUTE(SUBSTITUTE(SUBSTITUTE(TRIM(A758&amp;""),CHAR(160),"")," ",""),"년","")),"0000")=SUBSTITUTE(SUBSTITUTE(SUBSTITUTE(TRIM(A758&amp;""),CHAR(160),"")," ",""),"년","")),SUBSTITUTE(SUBSTITUTE(SUBSTITUTE(TRIM(A758&amp;""),CHAR(160),"")," ",""),"년",""),""),"")</f>
      </c>
      <c r="I758" t="str">
        <f>SUBSTITUTE(SUBSTITUTE(SUBSTITUTE(SUBSTITUTE(SUBSTITUTE(TRIM(B758&amp;""),CHAR(160),"")," ",""),"초등학교","초"),"중학교","중"),"고등학교","고")</f>
      </c>
    </row>
    <row r="759" customFormat="false" ht="15" hidden="false" customHeight="false" outlineLevel="0" collapsed="false">
      <c r="A759" s="8"/>
      <c r="B759" s="8"/>
      <c r="C759" s="8"/>
      <c r="D759" s="8"/>
      <c r="E759" s="8"/>
      <c r="F759" t="str" s="15">
        <f aca="0">IF(B759="","",IF(H759="","확인필요(입력누락)",IF(SUMPRODUCT((실물목록!$P$2:$P$1001&lt;&gt;"")*ISNUMBER(SEARCH(실물목록!$P$2:$P$1001,I759))*(실물목록!$Q$2:$Q$1001&lt;&gt;"")*ISNUMBER(SEARCH(실물목록!$Q$2:$Q$1001,I759))*(실물목록!$R$2:$R$1001="")*(실물목록!$O$2:$O$1001&lt;&gt;"")*(실물목록!$O$2:$O$1001=H759))&gt;0,"실물 있음",IF(SUMPRODUCT((실물목록!$P$2:$P$1001&lt;&gt;"")*ISNUMBER(SEARCH(실물목록!$P$2:$P$1001,I759))*(실물목록!$R$2:$R$1001&lt;&gt;""))&gt;0,"확인필요(입력누락)",IF(SUMPRODUCT((실물목록!$P$2:$P$1001&lt;&gt;"")*ISNUMBER(SEARCH(실물목록!$P$2:$P$1001,I759))*(실물목록!$Q$2:$Q$1001&lt;&gt;"")*ISNUMBER(SEARCH(실물목록!$Q$2:$Q$1001,I759))*(실물목록!$R$2:$R$1001="")*(실물목록!$O$2:$O$1001&lt;&gt;""))&gt;0,"확인필요(연도다름)","실물 없음")))))</f>
      </c>
      <c r="G759" t="n" s="16">
        <f aca="0">IF(B759="","",SUMPRODUCT((실물목록!$P$2:$P$1001&lt;&gt;"")*ISNUMBER(SEARCH(실물목록!$P$2:$P$1001,I759))*(실물목록!$Q$2:$Q$1001&lt;&gt;"")*ISNUMBER(SEARCH(실물목록!$Q$2:$Q$1001,I759))*(실물목록!$R$2:$R$1001="")*(실물목록!$O$2:$O$1001&lt;&gt;"")*(실물목록!$O$2:$O$1001=H759)))</f>
      </c>
      <c r="H759" t="str">
        <f>IFERROR(IF(AND(LEN(SUBSTITUTE(SUBSTITUTE(SUBSTITUTE(TRIM(A759&amp;""),CHAR(160),"")," ",""),"년",""))=4,VALUE(SUBSTITUTE(SUBSTITUTE(SUBSTITUTE(TRIM(A759&amp;""),CHAR(160),"")," ",""),"년",""))&gt;=1900,VALUE(SUBSTITUTE(SUBSTITUTE(SUBSTITUTE(TRIM(A759&amp;""),CHAR(160),"")," ",""),"년",""))&lt;=2099,TEXT(VALUE(SUBSTITUTE(SUBSTITUTE(SUBSTITUTE(TRIM(A759&amp;""),CHAR(160),"")," ",""),"년","")),"0000")=SUBSTITUTE(SUBSTITUTE(SUBSTITUTE(TRIM(A759&amp;""),CHAR(160),"")," ",""),"년","")),SUBSTITUTE(SUBSTITUTE(SUBSTITUTE(TRIM(A759&amp;""),CHAR(160),"")," ",""),"년",""),""),"")</f>
      </c>
      <c r="I759" t="str">
        <f>SUBSTITUTE(SUBSTITUTE(SUBSTITUTE(SUBSTITUTE(SUBSTITUTE(TRIM(B759&amp;""),CHAR(160),"")," ",""),"초등학교","초"),"중학교","중"),"고등학교","고")</f>
      </c>
    </row>
    <row r="760" customFormat="false" ht="15" hidden="false" customHeight="false" outlineLevel="0" collapsed="false">
      <c r="A760" s="8"/>
      <c r="B760" s="8"/>
      <c r="C760" s="8"/>
      <c r="D760" s="8"/>
      <c r="E760" s="8"/>
      <c r="F760" t="str" s="15">
        <f aca="0">IF(B760="","",IF(H760="","확인필요(입력누락)",IF(SUMPRODUCT((실물목록!$P$2:$P$1001&lt;&gt;"")*ISNUMBER(SEARCH(실물목록!$P$2:$P$1001,I760))*(실물목록!$Q$2:$Q$1001&lt;&gt;"")*ISNUMBER(SEARCH(실물목록!$Q$2:$Q$1001,I760))*(실물목록!$R$2:$R$1001="")*(실물목록!$O$2:$O$1001&lt;&gt;"")*(실물목록!$O$2:$O$1001=H760))&gt;0,"실물 있음",IF(SUMPRODUCT((실물목록!$P$2:$P$1001&lt;&gt;"")*ISNUMBER(SEARCH(실물목록!$P$2:$P$1001,I760))*(실물목록!$R$2:$R$1001&lt;&gt;""))&gt;0,"확인필요(입력누락)",IF(SUMPRODUCT((실물목록!$P$2:$P$1001&lt;&gt;"")*ISNUMBER(SEARCH(실물목록!$P$2:$P$1001,I760))*(실물목록!$Q$2:$Q$1001&lt;&gt;"")*ISNUMBER(SEARCH(실물목록!$Q$2:$Q$1001,I760))*(실물목록!$R$2:$R$1001="")*(실물목록!$O$2:$O$1001&lt;&gt;""))&gt;0,"확인필요(연도다름)","실물 없음")))))</f>
      </c>
      <c r="G760" t="n" s="16">
        <f aca="0">IF(B760="","",SUMPRODUCT((실물목록!$P$2:$P$1001&lt;&gt;"")*ISNUMBER(SEARCH(실물목록!$P$2:$P$1001,I760))*(실물목록!$Q$2:$Q$1001&lt;&gt;"")*ISNUMBER(SEARCH(실물목록!$Q$2:$Q$1001,I760))*(실물목록!$R$2:$R$1001="")*(실물목록!$O$2:$O$1001&lt;&gt;"")*(실물목록!$O$2:$O$1001=H760)))</f>
      </c>
      <c r="H760" t="str">
        <f>IFERROR(IF(AND(LEN(SUBSTITUTE(SUBSTITUTE(SUBSTITUTE(TRIM(A760&amp;""),CHAR(160),"")," ",""),"년",""))=4,VALUE(SUBSTITUTE(SUBSTITUTE(SUBSTITUTE(TRIM(A760&amp;""),CHAR(160),"")," ",""),"년",""))&gt;=1900,VALUE(SUBSTITUTE(SUBSTITUTE(SUBSTITUTE(TRIM(A760&amp;""),CHAR(160),"")," ",""),"년",""))&lt;=2099,TEXT(VALUE(SUBSTITUTE(SUBSTITUTE(SUBSTITUTE(TRIM(A760&amp;""),CHAR(160),"")," ",""),"년","")),"0000")=SUBSTITUTE(SUBSTITUTE(SUBSTITUTE(TRIM(A760&amp;""),CHAR(160),"")," ",""),"년","")),SUBSTITUTE(SUBSTITUTE(SUBSTITUTE(TRIM(A760&amp;""),CHAR(160),"")," ",""),"년",""),""),"")</f>
      </c>
      <c r="I760" t="str">
        <f>SUBSTITUTE(SUBSTITUTE(SUBSTITUTE(SUBSTITUTE(SUBSTITUTE(TRIM(B760&amp;""),CHAR(160),"")," ",""),"초등학교","초"),"중학교","중"),"고등학교","고")</f>
      </c>
    </row>
    <row r="761" customFormat="false" ht="15" hidden="false" customHeight="false" outlineLevel="0" collapsed="false">
      <c r="A761" s="8"/>
      <c r="B761" s="8"/>
      <c r="C761" s="8"/>
      <c r="D761" s="8"/>
      <c r="E761" s="8"/>
      <c r="F761" t="str" s="15">
        <f aca="0">IF(B761="","",IF(H761="","확인필요(입력누락)",IF(SUMPRODUCT((실물목록!$P$2:$P$1001&lt;&gt;"")*ISNUMBER(SEARCH(실물목록!$P$2:$P$1001,I761))*(실물목록!$Q$2:$Q$1001&lt;&gt;"")*ISNUMBER(SEARCH(실물목록!$Q$2:$Q$1001,I761))*(실물목록!$R$2:$R$1001="")*(실물목록!$O$2:$O$1001&lt;&gt;"")*(실물목록!$O$2:$O$1001=H761))&gt;0,"실물 있음",IF(SUMPRODUCT((실물목록!$P$2:$P$1001&lt;&gt;"")*ISNUMBER(SEARCH(실물목록!$P$2:$P$1001,I761))*(실물목록!$R$2:$R$1001&lt;&gt;""))&gt;0,"확인필요(입력누락)",IF(SUMPRODUCT((실물목록!$P$2:$P$1001&lt;&gt;"")*ISNUMBER(SEARCH(실물목록!$P$2:$P$1001,I761))*(실물목록!$Q$2:$Q$1001&lt;&gt;"")*ISNUMBER(SEARCH(실물목록!$Q$2:$Q$1001,I761))*(실물목록!$R$2:$R$1001="")*(실물목록!$O$2:$O$1001&lt;&gt;""))&gt;0,"확인필요(연도다름)","실물 없음")))))</f>
      </c>
      <c r="G761" t="n" s="16">
        <f aca="0">IF(B761="","",SUMPRODUCT((실물목록!$P$2:$P$1001&lt;&gt;"")*ISNUMBER(SEARCH(실물목록!$P$2:$P$1001,I761))*(실물목록!$Q$2:$Q$1001&lt;&gt;"")*ISNUMBER(SEARCH(실물목록!$Q$2:$Q$1001,I761))*(실물목록!$R$2:$R$1001="")*(실물목록!$O$2:$O$1001&lt;&gt;"")*(실물목록!$O$2:$O$1001=H761)))</f>
      </c>
      <c r="H761" t="str">
        <f>IFERROR(IF(AND(LEN(SUBSTITUTE(SUBSTITUTE(SUBSTITUTE(TRIM(A761&amp;""),CHAR(160),"")," ",""),"년",""))=4,VALUE(SUBSTITUTE(SUBSTITUTE(SUBSTITUTE(TRIM(A761&amp;""),CHAR(160),"")," ",""),"년",""))&gt;=1900,VALUE(SUBSTITUTE(SUBSTITUTE(SUBSTITUTE(TRIM(A761&amp;""),CHAR(160),"")," ",""),"년",""))&lt;=2099,TEXT(VALUE(SUBSTITUTE(SUBSTITUTE(SUBSTITUTE(TRIM(A761&amp;""),CHAR(160),"")," ",""),"년","")),"0000")=SUBSTITUTE(SUBSTITUTE(SUBSTITUTE(TRIM(A761&amp;""),CHAR(160),"")," ",""),"년","")),SUBSTITUTE(SUBSTITUTE(SUBSTITUTE(TRIM(A761&amp;""),CHAR(160),"")," ",""),"년",""),""),"")</f>
      </c>
      <c r="I761" t="str">
        <f>SUBSTITUTE(SUBSTITUTE(SUBSTITUTE(SUBSTITUTE(SUBSTITUTE(TRIM(B761&amp;""),CHAR(160),"")," ",""),"초등학교","초"),"중학교","중"),"고등학교","고")</f>
      </c>
    </row>
    <row r="762" customFormat="false" ht="15" hidden="false" customHeight="false" outlineLevel="0" collapsed="false">
      <c r="A762" s="8"/>
      <c r="B762" s="8"/>
      <c r="C762" s="8"/>
      <c r="D762" s="8"/>
      <c r="E762" s="8"/>
      <c r="F762" t="str" s="15">
        <f aca="0">IF(B762="","",IF(H762="","확인필요(입력누락)",IF(SUMPRODUCT((실물목록!$P$2:$P$1001&lt;&gt;"")*ISNUMBER(SEARCH(실물목록!$P$2:$P$1001,I762))*(실물목록!$Q$2:$Q$1001&lt;&gt;"")*ISNUMBER(SEARCH(실물목록!$Q$2:$Q$1001,I762))*(실물목록!$R$2:$R$1001="")*(실물목록!$O$2:$O$1001&lt;&gt;"")*(실물목록!$O$2:$O$1001=H762))&gt;0,"실물 있음",IF(SUMPRODUCT((실물목록!$P$2:$P$1001&lt;&gt;"")*ISNUMBER(SEARCH(실물목록!$P$2:$P$1001,I762))*(실물목록!$R$2:$R$1001&lt;&gt;""))&gt;0,"확인필요(입력누락)",IF(SUMPRODUCT((실물목록!$P$2:$P$1001&lt;&gt;"")*ISNUMBER(SEARCH(실물목록!$P$2:$P$1001,I762))*(실물목록!$Q$2:$Q$1001&lt;&gt;"")*ISNUMBER(SEARCH(실물목록!$Q$2:$Q$1001,I762))*(실물목록!$R$2:$R$1001="")*(실물목록!$O$2:$O$1001&lt;&gt;""))&gt;0,"확인필요(연도다름)","실물 없음")))))</f>
      </c>
      <c r="G762" t="n" s="16">
        <f aca="0">IF(B762="","",SUMPRODUCT((실물목록!$P$2:$P$1001&lt;&gt;"")*ISNUMBER(SEARCH(실물목록!$P$2:$P$1001,I762))*(실물목록!$Q$2:$Q$1001&lt;&gt;"")*ISNUMBER(SEARCH(실물목록!$Q$2:$Q$1001,I762))*(실물목록!$R$2:$R$1001="")*(실물목록!$O$2:$O$1001&lt;&gt;"")*(실물목록!$O$2:$O$1001=H762)))</f>
      </c>
      <c r="H762" t="str">
        <f>IFERROR(IF(AND(LEN(SUBSTITUTE(SUBSTITUTE(SUBSTITUTE(TRIM(A762&amp;""),CHAR(160),"")," ",""),"년",""))=4,VALUE(SUBSTITUTE(SUBSTITUTE(SUBSTITUTE(TRIM(A762&amp;""),CHAR(160),"")," ",""),"년",""))&gt;=1900,VALUE(SUBSTITUTE(SUBSTITUTE(SUBSTITUTE(TRIM(A762&amp;""),CHAR(160),"")," ",""),"년",""))&lt;=2099,TEXT(VALUE(SUBSTITUTE(SUBSTITUTE(SUBSTITUTE(TRIM(A762&amp;""),CHAR(160),"")," ",""),"년","")),"0000")=SUBSTITUTE(SUBSTITUTE(SUBSTITUTE(TRIM(A762&amp;""),CHAR(160),"")," ",""),"년","")),SUBSTITUTE(SUBSTITUTE(SUBSTITUTE(TRIM(A762&amp;""),CHAR(160),"")," ",""),"년",""),""),"")</f>
      </c>
      <c r="I762" t="str">
        <f>SUBSTITUTE(SUBSTITUTE(SUBSTITUTE(SUBSTITUTE(SUBSTITUTE(TRIM(B762&amp;""),CHAR(160),"")," ",""),"초등학교","초"),"중학교","중"),"고등학교","고")</f>
      </c>
    </row>
    <row r="763" customFormat="false" ht="15" hidden="false" customHeight="false" outlineLevel="0" collapsed="false">
      <c r="A763" s="8"/>
      <c r="B763" s="8"/>
      <c r="C763" s="8"/>
      <c r="D763" s="8"/>
      <c r="E763" s="8"/>
      <c r="F763" t="str" s="15">
        <f aca="0">IF(B763="","",IF(H763="","확인필요(입력누락)",IF(SUMPRODUCT((실물목록!$P$2:$P$1001&lt;&gt;"")*ISNUMBER(SEARCH(실물목록!$P$2:$P$1001,I763))*(실물목록!$Q$2:$Q$1001&lt;&gt;"")*ISNUMBER(SEARCH(실물목록!$Q$2:$Q$1001,I763))*(실물목록!$R$2:$R$1001="")*(실물목록!$O$2:$O$1001&lt;&gt;"")*(실물목록!$O$2:$O$1001=H763))&gt;0,"실물 있음",IF(SUMPRODUCT((실물목록!$P$2:$P$1001&lt;&gt;"")*ISNUMBER(SEARCH(실물목록!$P$2:$P$1001,I763))*(실물목록!$R$2:$R$1001&lt;&gt;""))&gt;0,"확인필요(입력누락)",IF(SUMPRODUCT((실물목록!$P$2:$P$1001&lt;&gt;"")*ISNUMBER(SEARCH(실물목록!$P$2:$P$1001,I763))*(실물목록!$Q$2:$Q$1001&lt;&gt;"")*ISNUMBER(SEARCH(실물목록!$Q$2:$Q$1001,I763))*(실물목록!$R$2:$R$1001="")*(실물목록!$O$2:$O$1001&lt;&gt;""))&gt;0,"확인필요(연도다름)","실물 없음")))))</f>
      </c>
      <c r="G763" t="n" s="16">
        <f aca="0">IF(B763="","",SUMPRODUCT((실물목록!$P$2:$P$1001&lt;&gt;"")*ISNUMBER(SEARCH(실물목록!$P$2:$P$1001,I763))*(실물목록!$Q$2:$Q$1001&lt;&gt;"")*ISNUMBER(SEARCH(실물목록!$Q$2:$Q$1001,I763))*(실물목록!$R$2:$R$1001="")*(실물목록!$O$2:$O$1001&lt;&gt;"")*(실물목록!$O$2:$O$1001=H763)))</f>
      </c>
      <c r="H763" t="str">
        <f>IFERROR(IF(AND(LEN(SUBSTITUTE(SUBSTITUTE(SUBSTITUTE(TRIM(A763&amp;""),CHAR(160),"")," ",""),"년",""))=4,VALUE(SUBSTITUTE(SUBSTITUTE(SUBSTITUTE(TRIM(A763&amp;""),CHAR(160),"")," ",""),"년",""))&gt;=1900,VALUE(SUBSTITUTE(SUBSTITUTE(SUBSTITUTE(TRIM(A763&amp;""),CHAR(160),"")," ",""),"년",""))&lt;=2099,TEXT(VALUE(SUBSTITUTE(SUBSTITUTE(SUBSTITUTE(TRIM(A763&amp;""),CHAR(160),"")," ",""),"년","")),"0000")=SUBSTITUTE(SUBSTITUTE(SUBSTITUTE(TRIM(A763&amp;""),CHAR(160),"")," ",""),"년","")),SUBSTITUTE(SUBSTITUTE(SUBSTITUTE(TRIM(A763&amp;""),CHAR(160),"")," ",""),"년",""),""),"")</f>
      </c>
      <c r="I763" t="str">
        <f>SUBSTITUTE(SUBSTITUTE(SUBSTITUTE(SUBSTITUTE(SUBSTITUTE(TRIM(B763&amp;""),CHAR(160),"")," ",""),"초등학교","초"),"중학교","중"),"고등학교","고")</f>
      </c>
    </row>
    <row r="764" customFormat="false" ht="15" hidden="false" customHeight="false" outlineLevel="0" collapsed="false">
      <c r="A764" s="8"/>
      <c r="B764" s="8"/>
      <c r="C764" s="8"/>
      <c r="D764" s="8"/>
      <c r="E764" s="8"/>
      <c r="F764" t="str" s="15">
        <f aca="0">IF(B764="","",IF(H764="","확인필요(입력누락)",IF(SUMPRODUCT((실물목록!$P$2:$P$1001&lt;&gt;"")*ISNUMBER(SEARCH(실물목록!$P$2:$P$1001,I764))*(실물목록!$Q$2:$Q$1001&lt;&gt;"")*ISNUMBER(SEARCH(실물목록!$Q$2:$Q$1001,I764))*(실물목록!$R$2:$R$1001="")*(실물목록!$O$2:$O$1001&lt;&gt;"")*(실물목록!$O$2:$O$1001=H764))&gt;0,"실물 있음",IF(SUMPRODUCT((실물목록!$P$2:$P$1001&lt;&gt;"")*ISNUMBER(SEARCH(실물목록!$P$2:$P$1001,I764))*(실물목록!$R$2:$R$1001&lt;&gt;""))&gt;0,"확인필요(입력누락)",IF(SUMPRODUCT((실물목록!$P$2:$P$1001&lt;&gt;"")*ISNUMBER(SEARCH(실물목록!$P$2:$P$1001,I764))*(실물목록!$Q$2:$Q$1001&lt;&gt;"")*ISNUMBER(SEARCH(실물목록!$Q$2:$Q$1001,I764))*(실물목록!$R$2:$R$1001="")*(실물목록!$O$2:$O$1001&lt;&gt;""))&gt;0,"확인필요(연도다름)","실물 없음")))))</f>
      </c>
      <c r="G764" t="n" s="16">
        <f aca="0">IF(B764="","",SUMPRODUCT((실물목록!$P$2:$P$1001&lt;&gt;"")*ISNUMBER(SEARCH(실물목록!$P$2:$P$1001,I764))*(실물목록!$Q$2:$Q$1001&lt;&gt;"")*ISNUMBER(SEARCH(실물목록!$Q$2:$Q$1001,I764))*(실물목록!$R$2:$R$1001="")*(실물목록!$O$2:$O$1001&lt;&gt;"")*(실물목록!$O$2:$O$1001=H764)))</f>
      </c>
      <c r="H764" t="str">
        <f>IFERROR(IF(AND(LEN(SUBSTITUTE(SUBSTITUTE(SUBSTITUTE(TRIM(A764&amp;""),CHAR(160),"")," ",""),"년",""))=4,VALUE(SUBSTITUTE(SUBSTITUTE(SUBSTITUTE(TRIM(A764&amp;""),CHAR(160),"")," ",""),"년",""))&gt;=1900,VALUE(SUBSTITUTE(SUBSTITUTE(SUBSTITUTE(TRIM(A764&amp;""),CHAR(160),"")," ",""),"년",""))&lt;=2099,TEXT(VALUE(SUBSTITUTE(SUBSTITUTE(SUBSTITUTE(TRIM(A764&amp;""),CHAR(160),"")," ",""),"년","")),"0000")=SUBSTITUTE(SUBSTITUTE(SUBSTITUTE(TRIM(A764&amp;""),CHAR(160),"")," ",""),"년","")),SUBSTITUTE(SUBSTITUTE(SUBSTITUTE(TRIM(A764&amp;""),CHAR(160),"")," ",""),"년",""),""),"")</f>
      </c>
      <c r="I764" t="str">
        <f>SUBSTITUTE(SUBSTITUTE(SUBSTITUTE(SUBSTITUTE(SUBSTITUTE(TRIM(B764&amp;""),CHAR(160),"")," ",""),"초등학교","초"),"중학교","중"),"고등학교","고")</f>
      </c>
    </row>
    <row r="765" customFormat="false" ht="15" hidden="false" customHeight="false" outlineLevel="0" collapsed="false">
      <c r="A765" s="8"/>
      <c r="B765" s="8"/>
      <c r="C765" s="8"/>
      <c r="D765" s="8"/>
      <c r="E765" s="8"/>
      <c r="F765" t="str" s="15">
        <f aca="0">IF(B765="","",IF(H765="","확인필요(입력누락)",IF(SUMPRODUCT((실물목록!$P$2:$P$1001&lt;&gt;"")*ISNUMBER(SEARCH(실물목록!$P$2:$P$1001,I765))*(실물목록!$Q$2:$Q$1001&lt;&gt;"")*ISNUMBER(SEARCH(실물목록!$Q$2:$Q$1001,I765))*(실물목록!$R$2:$R$1001="")*(실물목록!$O$2:$O$1001&lt;&gt;"")*(실물목록!$O$2:$O$1001=H765))&gt;0,"실물 있음",IF(SUMPRODUCT((실물목록!$P$2:$P$1001&lt;&gt;"")*ISNUMBER(SEARCH(실물목록!$P$2:$P$1001,I765))*(실물목록!$R$2:$R$1001&lt;&gt;""))&gt;0,"확인필요(입력누락)",IF(SUMPRODUCT((실물목록!$P$2:$P$1001&lt;&gt;"")*ISNUMBER(SEARCH(실물목록!$P$2:$P$1001,I765))*(실물목록!$Q$2:$Q$1001&lt;&gt;"")*ISNUMBER(SEARCH(실물목록!$Q$2:$Q$1001,I765))*(실물목록!$R$2:$R$1001="")*(실물목록!$O$2:$O$1001&lt;&gt;""))&gt;0,"확인필요(연도다름)","실물 없음")))))</f>
      </c>
      <c r="G765" t="n" s="16">
        <f aca="0">IF(B765="","",SUMPRODUCT((실물목록!$P$2:$P$1001&lt;&gt;"")*ISNUMBER(SEARCH(실물목록!$P$2:$P$1001,I765))*(실물목록!$Q$2:$Q$1001&lt;&gt;"")*ISNUMBER(SEARCH(실물목록!$Q$2:$Q$1001,I765))*(실물목록!$R$2:$R$1001="")*(실물목록!$O$2:$O$1001&lt;&gt;"")*(실물목록!$O$2:$O$1001=H765)))</f>
      </c>
      <c r="H765" t="str">
        <f>IFERROR(IF(AND(LEN(SUBSTITUTE(SUBSTITUTE(SUBSTITUTE(TRIM(A765&amp;""),CHAR(160),"")," ",""),"년",""))=4,VALUE(SUBSTITUTE(SUBSTITUTE(SUBSTITUTE(TRIM(A765&amp;""),CHAR(160),"")," ",""),"년",""))&gt;=1900,VALUE(SUBSTITUTE(SUBSTITUTE(SUBSTITUTE(TRIM(A765&amp;""),CHAR(160),"")," ",""),"년",""))&lt;=2099,TEXT(VALUE(SUBSTITUTE(SUBSTITUTE(SUBSTITUTE(TRIM(A765&amp;""),CHAR(160),"")," ",""),"년","")),"0000")=SUBSTITUTE(SUBSTITUTE(SUBSTITUTE(TRIM(A765&amp;""),CHAR(160),"")," ",""),"년","")),SUBSTITUTE(SUBSTITUTE(SUBSTITUTE(TRIM(A765&amp;""),CHAR(160),"")," ",""),"년",""),""),"")</f>
      </c>
      <c r="I765" t="str">
        <f>SUBSTITUTE(SUBSTITUTE(SUBSTITUTE(SUBSTITUTE(SUBSTITUTE(TRIM(B765&amp;""),CHAR(160),"")," ",""),"초등학교","초"),"중학교","중"),"고등학교","고")</f>
      </c>
    </row>
    <row r="766" customFormat="false" ht="15" hidden="false" customHeight="false" outlineLevel="0" collapsed="false">
      <c r="A766" s="8"/>
      <c r="B766" s="8"/>
      <c r="C766" s="8"/>
      <c r="D766" s="8"/>
      <c r="E766" s="8"/>
      <c r="F766" t="str" s="15">
        <f aca="0">IF(B766="","",IF(H766="","확인필요(입력누락)",IF(SUMPRODUCT((실물목록!$P$2:$P$1001&lt;&gt;"")*ISNUMBER(SEARCH(실물목록!$P$2:$P$1001,I766))*(실물목록!$Q$2:$Q$1001&lt;&gt;"")*ISNUMBER(SEARCH(실물목록!$Q$2:$Q$1001,I766))*(실물목록!$R$2:$R$1001="")*(실물목록!$O$2:$O$1001&lt;&gt;"")*(실물목록!$O$2:$O$1001=H766))&gt;0,"실물 있음",IF(SUMPRODUCT((실물목록!$P$2:$P$1001&lt;&gt;"")*ISNUMBER(SEARCH(실물목록!$P$2:$P$1001,I766))*(실물목록!$R$2:$R$1001&lt;&gt;""))&gt;0,"확인필요(입력누락)",IF(SUMPRODUCT((실물목록!$P$2:$P$1001&lt;&gt;"")*ISNUMBER(SEARCH(실물목록!$P$2:$P$1001,I766))*(실물목록!$Q$2:$Q$1001&lt;&gt;"")*ISNUMBER(SEARCH(실물목록!$Q$2:$Q$1001,I766))*(실물목록!$R$2:$R$1001="")*(실물목록!$O$2:$O$1001&lt;&gt;""))&gt;0,"확인필요(연도다름)","실물 없음")))))</f>
      </c>
      <c r="G766" t="n" s="16">
        <f aca="0">IF(B766="","",SUMPRODUCT((실물목록!$P$2:$P$1001&lt;&gt;"")*ISNUMBER(SEARCH(실물목록!$P$2:$P$1001,I766))*(실물목록!$Q$2:$Q$1001&lt;&gt;"")*ISNUMBER(SEARCH(실물목록!$Q$2:$Q$1001,I766))*(실물목록!$R$2:$R$1001="")*(실물목록!$O$2:$O$1001&lt;&gt;"")*(실물목록!$O$2:$O$1001=H766)))</f>
      </c>
      <c r="H766" t="str">
        <f>IFERROR(IF(AND(LEN(SUBSTITUTE(SUBSTITUTE(SUBSTITUTE(TRIM(A766&amp;""),CHAR(160),"")," ",""),"년",""))=4,VALUE(SUBSTITUTE(SUBSTITUTE(SUBSTITUTE(TRIM(A766&amp;""),CHAR(160),"")," ",""),"년",""))&gt;=1900,VALUE(SUBSTITUTE(SUBSTITUTE(SUBSTITUTE(TRIM(A766&amp;""),CHAR(160),"")," ",""),"년",""))&lt;=2099,TEXT(VALUE(SUBSTITUTE(SUBSTITUTE(SUBSTITUTE(TRIM(A766&amp;""),CHAR(160),"")," ",""),"년","")),"0000")=SUBSTITUTE(SUBSTITUTE(SUBSTITUTE(TRIM(A766&amp;""),CHAR(160),"")," ",""),"년","")),SUBSTITUTE(SUBSTITUTE(SUBSTITUTE(TRIM(A766&amp;""),CHAR(160),"")," ",""),"년",""),""),"")</f>
      </c>
      <c r="I766" t="str">
        <f>SUBSTITUTE(SUBSTITUTE(SUBSTITUTE(SUBSTITUTE(SUBSTITUTE(TRIM(B766&amp;""),CHAR(160),"")," ",""),"초등학교","초"),"중학교","중"),"고등학교","고")</f>
      </c>
    </row>
    <row r="767" customFormat="false" ht="15" hidden="false" customHeight="false" outlineLevel="0" collapsed="false">
      <c r="A767" s="8"/>
      <c r="B767" s="8"/>
      <c r="C767" s="8"/>
      <c r="D767" s="8"/>
      <c r="E767" s="8"/>
      <c r="F767" t="str" s="15">
        <f aca="0">IF(B767="","",IF(H767="","확인필요(입력누락)",IF(SUMPRODUCT((실물목록!$P$2:$P$1001&lt;&gt;"")*ISNUMBER(SEARCH(실물목록!$P$2:$P$1001,I767))*(실물목록!$Q$2:$Q$1001&lt;&gt;"")*ISNUMBER(SEARCH(실물목록!$Q$2:$Q$1001,I767))*(실물목록!$R$2:$R$1001="")*(실물목록!$O$2:$O$1001&lt;&gt;"")*(실물목록!$O$2:$O$1001=H767))&gt;0,"실물 있음",IF(SUMPRODUCT((실물목록!$P$2:$P$1001&lt;&gt;"")*ISNUMBER(SEARCH(실물목록!$P$2:$P$1001,I767))*(실물목록!$R$2:$R$1001&lt;&gt;""))&gt;0,"확인필요(입력누락)",IF(SUMPRODUCT((실물목록!$P$2:$P$1001&lt;&gt;"")*ISNUMBER(SEARCH(실물목록!$P$2:$P$1001,I767))*(실물목록!$Q$2:$Q$1001&lt;&gt;"")*ISNUMBER(SEARCH(실물목록!$Q$2:$Q$1001,I767))*(실물목록!$R$2:$R$1001="")*(실물목록!$O$2:$O$1001&lt;&gt;""))&gt;0,"확인필요(연도다름)","실물 없음")))))</f>
      </c>
      <c r="G767" t="n" s="16">
        <f aca="0">IF(B767="","",SUMPRODUCT((실물목록!$P$2:$P$1001&lt;&gt;"")*ISNUMBER(SEARCH(실물목록!$P$2:$P$1001,I767))*(실물목록!$Q$2:$Q$1001&lt;&gt;"")*ISNUMBER(SEARCH(실물목록!$Q$2:$Q$1001,I767))*(실물목록!$R$2:$R$1001="")*(실물목록!$O$2:$O$1001&lt;&gt;"")*(실물목록!$O$2:$O$1001=H767)))</f>
      </c>
      <c r="H767" t="str">
        <f>IFERROR(IF(AND(LEN(SUBSTITUTE(SUBSTITUTE(SUBSTITUTE(TRIM(A767&amp;""),CHAR(160),"")," ",""),"년",""))=4,VALUE(SUBSTITUTE(SUBSTITUTE(SUBSTITUTE(TRIM(A767&amp;""),CHAR(160),"")," ",""),"년",""))&gt;=1900,VALUE(SUBSTITUTE(SUBSTITUTE(SUBSTITUTE(TRIM(A767&amp;""),CHAR(160),"")," ",""),"년",""))&lt;=2099,TEXT(VALUE(SUBSTITUTE(SUBSTITUTE(SUBSTITUTE(TRIM(A767&amp;""),CHAR(160),"")," ",""),"년","")),"0000")=SUBSTITUTE(SUBSTITUTE(SUBSTITUTE(TRIM(A767&amp;""),CHAR(160),"")," ",""),"년","")),SUBSTITUTE(SUBSTITUTE(SUBSTITUTE(TRIM(A767&amp;""),CHAR(160),"")," ",""),"년",""),""),"")</f>
      </c>
      <c r="I767" t="str">
        <f>SUBSTITUTE(SUBSTITUTE(SUBSTITUTE(SUBSTITUTE(SUBSTITUTE(TRIM(B767&amp;""),CHAR(160),"")," ",""),"초등학교","초"),"중학교","중"),"고등학교","고")</f>
      </c>
    </row>
    <row r="768" customFormat="false" ht="15" hidden="false" customHeight="false" outlineLevel="0" collapsed="false">
      <c r="A768" s="8"/>
      <c r="B768" s="8"/>
      <c r="C768" s="8"/>
      <c r="D768" s="8"/>
      <c r="E768" s="8"/>
      <c r="F768" t="str" s="15">
        <f aca="0">IF(B768="","",IF(H768="","확인필요(입력누락)",IF(SUMPRODUCT((실물목록!$P$2:$P$1001&lt;&gt;"")*ISNUMBER(SEARCH(실물목록!$P$2:$P$1001,I768))*(실물목록!$Q$2:$Q$1001&lt;&gt;"")*ISNUMBER(SEARCH(실물목록!$Q$2:$Q$1001,I768))*(실물목록!$R$2:$R$1001="")*(실물목록!$O$2:$O$1001&lt;&gt;"")*(실물목록!$O$2:$O$1001=H768))&gt;0,"실물 있음",IF(SUMPRODUCT((실물목록!$P$2:$P$1001&lt;&gt;"")*ISNUMBER(SEARCH(실물목록!$P$2:$P$1001,I768))*(실물목록!$R$2:$R$1001&lt;&gt;""))&gt;0,"확인필요(입력누락)",IF(SUMPRODUCT((실물목록!$P$2:$P$1001&lt;&gt;"")*ISNUMBER(SEARCH(실물목록!$P$2:$P$1001,I768))*(실물목록!$Q$2:$Q$1001&lt;&gt;"")*ISNUMBER(SEARCH(실물목록!$Q$2:$Q$1001,I768))*(실물목록!$R$2:$R$1001="")*(실물목록!$O$2:$O$1001&lt;&gt;""))&gt;0,"확인필요(연도다름)","실물 없음")))))</f>
      </c>
      <c r="G768" t="n" s="16">
        <f aca="0">IF(B768="","",SUMPRODUCT((실물목록!$P$2:$P$1001&lt;&gt;"")*ISNUMBER(SEARCH(실물목록!$P$2:$P$1001,I768))*(실물목록!$Q$2:$Q$1001&lt;&gt;"")*ISNUMBER(SEARCH(실물목록!$Q$2:$Q$1001,I768))*(실물목록!$R$2:$R$1001="")*(실물목록!$O$2:$O$1001&lt;&gt;"")*(실물목록!$O$2:$O$1001=H768)))</f>
      </c>
      <c r="H768" t="str">
        <f>IFERROR(IF(AND(LEN(SUBSTITUTE(SUBSTITUTE(SUBSTITUTE(TRIM(A768&amp;""),CHAR(160),"")," ",""),"년",""))=4,VALUE(SUBSTITUTE(SUBSTITUTE(SUBSTITUTE(TRIM(A768&amp;""),CHAR(160),"")," ",""),"년",""))&gt;=1900,VALUE(SUBSTITUTE(SUBSTITUTE(SUBSTITUTE(TRIM(A768&amp;""),CHAR(160),"")," ",""),"년",""))&lt;=2099,TEXT(VALUE(SUBSTITUTE(SUBSTITUTE(SUBSTITUTE(TRIM(A768&amp;""),CHAR(160),"")," ",""),"년","")),"0000")=SUBSTITUTE(SUBSTITUTE(SUBSTITUTE(TRIM(A768&amp;""),CHAR(160),"")," ",""),"년","")),SUBSTITUTE(SUBSTITUTE(SUBSTITUTE(TRIM(A768&amp;""),CHAR(160),"")," ",""),"년",""),""),"")</f>
      </c>
      <c r="I768" t="str">
        <f>SUBSTITUTE(SUBSTITUTE(SUBSTITUTE(SUBSTITUTE(SUBSTITUTE(TRIM(B768&amp;""),CHAR(160),"")," ",""),"초등학교","초"),"중학교","중"),"고등학교","고")</f>
      </c>
    </row>
    <row r="769" customFormat="false" ht="15" hidden="false" customHeight="false" outlineLevel="0" collapsed="false">
      <c r="A769" s="8"/>
      <c r="B769" s="8"/>
      <c r="C769" s="8"/>
      <c r="D769" s="8"/>
      <c r="E769" s="8"/>
      <c r="F769" t="str" s="15">
        <f aca="0">IF(B769="","",IF(H769="","확인필요(입력누락)",IF(SUMPRODUCT((실물목록!$P$2:$P$1001&lt;&gt;"")*ISNUMBER(SEARCH(실물목록!$P$2:$P$1001,I769))*(실물목록!$Q$2:$Q$1001&lt;&gt;"")*ISNUMBER(SEARCH(실물목록!$Q$2:$Q$1001,I769))*(실물목록!$R$2:$R$1001="")*(실물목록!$O$2:$O$1001&lt;&gt;"")*(실물목록!$O$2:$O$1001=H769))&gt;0,"실물 있음",IF(SUMPRODUCT((실물목록!$P$2:$P$1001&lt;&gt;"")*ISNUMBER(SEARCH(실물목록!$P$2:$P$1001,I769))*(실물목록!$R$2:$R$1001&lt;&gt;""))&gt;0,"확인필요(입력누락)",IF(SUMPRODUCT((실물목록!$P$2:$P$1001&lt;&gt;"")*ISNUMBER(SEARCH(실물목록!$P$2:$P$1001,I769))*(실물목록!$Q$2:$Q$1001&lt;&gt;"")*ISNUMBER(SEARCH(실물목록!$Q$2:$Q$1001,I769))*(실물목록!$R$2:$R$1001="")*(실물목록!$O$2:$O$1001&lt;&gt;""))&gt;0,"확인필요(연도다름)","실물 없음")))))</f>
      </c>
      <c r="G769" t="n" s="16">
        <f aca="0">IF(B769="","",SUMPRODUCT((실물목록!$P$2:$P$1001&lt;&gt;"")*ISNUMBER(SEARCH(실물목록!$P$2:$P$1001,I769))*(실물목록!$Q$2:$Q$1001&lt;&gt;"")*ISNUMBER(SEARCH(실물목록!$Q$2:$Q$1001,I769))*(실물목록!$R$2:$R$1001="")*(실물목록!$O$2:$O$1001&lt;&gt;"")*(실물목록!$O$2:$O$1001=H769)))</f>
      </c>
      <c r="H769" t="str">
        <f>IFERROR(IF(AND(LEN(SUBSTITUTE(SUBSTITUTE(SUBSTITUTE(TRIM(A769&amp;""),CHAR(160),"")," ",""),"년",""))=4,VALUE(SUBSTITUTE(SUBSTITUTE(SUBSTITUTE(TRIM(A769&amp;""),CHAR(160),"")," ",""),"년",""))&gt;=1900,VALUE(SUBSTITUTE(SUBSTITUTE(SUBSTITUTE(TRIM(A769&amp;""),CHAR(160),"")," ",""),"년",""))&lt;=2099,TEXT(VALUE(SUBSTITUTE(SUBSTITUTE(SUBSTITUTE(TRIM(A769&amp;""),CHAR(160),"")," ",""),"년","")),"0000")=SUBSTITUTE(SUBSTITUTE(SUBSTITUTE(TRIM(A769&amp;""),CHAR(160),"")," ",""),"년","")),SUBSTITUTE(SUBSTITUTE(SUBSTITUTE(TRIM(A769&amp;""),CHAR(160),"")," ",""),"년",""),""),"")</f>
      </c>
      <c r="I769" t="str">
        <f>SUBSTITUTE(SUBSTITUTE(SUBSTITUTE(SUBSTITUTE(SUBSTITUTE(TRIM(B769&amp;""),CHAR(160),"")," ",""),"초등학교","초"),"중학교","중"),"고등학교","고")</f>
      </c>
    </row>
    <row r="770" customFormat="false" ht="15" hidden="false" customHeight="false" outlineLevel="0" collapsed="false">
      <c r="A770" s="8"/>
      <c r="B770" s="8"/>
      <c r="C770" s="8"/>
      <c r="D770" s="8"/>
      <c r="E770" s="8"/>
      <c r="F770" t="str" s="15">
        <f aca="0">IF(B770="","",IF(H770="","확인필요(입력누락)",IF(SUMPRODUCT((실물목록!$P$2:$P$1001&lt;&gt;"")*ISNUMBER(SEARCH(실물목록!$P$2:$P$1001,I770))*(실물목록!$Q$2:$Q$1001&lt;&gt;"")*ISNUMBER(SEARCH(실물목록!$Q$2:$Q$1001,I770))*(실물목록!$R$2:$R$1001="")*(실물목록!$O$2:$O$1001&lt;&gt;"")*(실물목록!$O$2:$O$1001=H770))&gt;0,"실물 있음",IF(SUMPRODUCT((실물목록!$P$2:$P$1001&lt;&gt;"")*ISNUMBER(SEARCH(실물목록!$P$2:$P$1001,I770))*(실물목록!$R$2:$R$1001&lt;&gt;""))&gt;0,"확인필요(입력누락)",IF(SUMPRODUCT((실물목록!$P$2:$P$1001&lt;&gt;"")*ISNUMBER(SEARCH(실물목록!$P$2:$P$1001,I770))*(실물목록!$Q$2:$Q$1001&lt;&gt;"")*ISNUMBER(SEARCH(실물목록!$Q$2:$Q$1001,I770))*(실물목록!$R$2:$R$1001="")*(실물목록!$O$2:$O$1001&lt;&gt;""))&gt;0,"확인필요(연도다름)","실물 없음")))))</f>
      </c>
      <c r="G770" t="n" s="16">
        <f aca="0">IF(B770="","",SUMPRODUCT((실물목록!$P$2:$P$1001&lt;&gt;"")*ISNUMBER(SEARCH(실물목록!$P$2:$P$1001,I770))*(실물목록!$Q$2:$Q$1001&lt;&gt;"")*ISNUMBER(SEARCH(실물목록!$Q$2:$Q$1001,I770))*(실물목록!$R$2:$R$1001="")*(실물목록!$O$2:$O$1001&lt;&gt;"")*(실물목록!$O$2:$O$1001=H770)))</f>
      </c>
      <c r="H770" t="str">
        <f>IFERROR(IF(AND(LEN(SUBSTITUTE(SUBSTITUTE(SUBSTITUTE(TRIM(A770&amp;""),CHAR(160),"")," ",""),"년",""))=4,VALUE(SUBSTITUTE(SUBSTITUTE(SUBSTITUTE(TRIM(A770&amp;""),CHAR(160),"")," ",""),"년",""))&gt;=1900,VALUE(SUBSTITUTE(SUBSTITUTE(SUBSTITUTE(TRIM(A770&amp;""),CHAR(160),"")," ",""),"년",""))&lt;=2099,TEXT(VALUE(SUBSTITUTE(SUBSTITUTE(SUBSTITUTE(TRIM(A770&amp;""),CHAR(160),"")," ",""),"년","")),"0000")=SUBSTITUTE(SUBSTITUTE(SUBSTITUTE(TRIM(A770&amp;""),CHAR(160),"")," ",""),"년","")),SUBSTITUTE(SUBSTITUTE(SUBSTITUTE(TRIM(A770&amp;""),CHAR(160),"")," ",""),"년",""),""),"")</f>
      </c>
      <c r="I770" t="str">
        <f>SUBSTITUTE(SUBSTITUTE(SUBSTITUTE(SUBSTITUTE(SUBSTITUTE(TRIM(B770&amp;""),CHAR(160),"")," ",""),"초등학교","초"),"중학교","중"),"고등학교","고")</f>
      </c>
    </row>
    <row r="771" customFormat="false" ht="15" hidden="false" customHeight="false" outlineLevel="0" collapsed="false">
      <c r="A771" s="8"/>
      <c r="B771" s="8"/>
      <c r="C771" s="8"/>
      <c r="D771" s="8"/>
      <c r="E771" s="8"/>
      <c r="F771" t="str" s="15">
        <f aca="0">IF(B771="","",IF(H771="","확인필요(입력누락)",IF(SUMPRODUCT((실물목록!$P$2:$P$1001&lt;&gt;"")*ISNUMBER(SEARCH(실물목록!$P$2:$P$1001,I771))*(실물목록!$Q$2:$Q$1001&lt;&gt;"")*ISNUMBER(SEARCH(실물목록!$Q$2:$Q$1001,I771))*(실물목록!$R$2:$R$1001="")*(실물목록!$O$2:$O$1001&lt;&gt;"")*(실물목록!$O$2:$O$1001=H771))&gt;0,"실물 있음",IF(SUMPRODUCT((실물목록!$P$2:$P$1001&lt;&gt;"")*ISNUMBER(SEARCH(실물목록!$P$2:$P$1001,I771))*(실물목록!$R$2:$R$1001&lt;&gt;""))&gt;0,"확인필요(입력누락)",IF(SUMPRODUCT((실물목록!$P$2:$P$1001&lt;&gt;"")*ISNUMBER(SEARCH(실물목록!$P$2:$P$1001,I771))*(실물목록!$Q$2:$Q$1001&lt;&gt;"")*ISNUMBER(SEARCH(실물목록!$Q$2:$Q$1001,I771))*(실물목록!$R$2:$R$1001="")*(실물목록!$O$2:$O$1001&lt;&gt;""))&gt;0,"확인필요(연도다름)","실물 없음")))))</f>
      </c>
      <c r="G771" t="n" s="16">
        <f aca="0">IF(B771="","",SUMPRODUCT((실물목록!$P$2:$P$1001&lt;&gt;"")*ISNUMBER(SEARCH(실물목록!$P$2:$P$1001,I771))*(실물목록!$Q$2:$Q$1001&lt;&gt;"")*ISNUMBER(SEARCH(실물목록!$Q$2:$Q$1001,I771))*(실물목록!$R$2:$R$1001="")*(실물목록!$O$2:$O$1001&lt;&gt;"")*(실물목록!$O$2:$O$1001=H771)))</f>
      </c>
      <c r="H771" t="str">
        <f>IFERROR(IF(AND(LEN(SUBSTITUTE(SUBSTITUTE(SUBSTITUTE(TRIM(A771&amp;""),CHAR(160),"")," ",""),"년",""))=4,VALUE(SUBSTITUTE(SUBSTITUTE(SUBSTITUTE(TRIM(A771&amp;""),CHAR(160),"")," ",""),"년",""))&gt;=1900,VALUE(SUBSTITUTE(SUBSTITUTE(SUBSTITUTE(TRIM(A771&amp;""),CHAR(160),"")," ",""),"년",""))&lt;=2099,TEXT(VALUE(SUBSTITUTE(SUBSTITUTE(SUBSTITUTE(TRIM(A771&amp;""),CHAR(160),"")," ",""),"년","")),"0000")=SUBSTITUTE(SUBSTITUTE(SUBSTITUTE(TRIM(A771&amp;""),CHAR(160),"")," ",""),"년","")),SUBSTITUTE(SUBSTITUTE(SUBSTITUTE(TRIM(A771&amp;""),CHAR(160),"")," ",""),"년",""),""),"")</f>
      </c>
      <c r="I771" t="str">
        <f>SUBSTITUTE(SUBSTITUTE(SUBSTITUTE(SUBSTITUTE(SUBSTITUTE(TRIM(B771&amp;""),CHAR(160),"")," ",""),"초등학교","초"),"중학교","중"),"고등학교","고")</f>
      </c>
    </row>
    <row r="772" customFormat="false" ht="15" hidden="false" customHeight="false" outlineLevel="0" collapsed="false">
      <c r="A772" s="8"/>
      <c r="B772" s="8"/>
      <c r="C772" s="8"/>
      <c r="D772" s="8"/>
      <c r="E772" s="8"/>
      <c r="F772" t="str" s="15">
        <f aca="0">IF(B772="","",IF(H772="","확인필요(입력누락)",IF(SUMPRODUCT((실물목록!$P$2:$P$1001&lt;&gt;"")*ISNUMBER(SEARCH(실물목록!$P$2:$P$1001,I772))*(실물목록!$Q$2:$Q$1001&lt;&gt;"")*ISNUMBER(SEARCH(실물목록!$Q$2:$Q$1001,I772))*(실물목록!$R$2:$R$1001="")*(실물목록!$O$2:$O$1001&lt;&gt;"")*(실물목록!$O$2:$O$1001=H772))&gt;0,"실물 있음",IF(SUMPRODUCT((실물목록!$P$2:$P$1001&lt;&gt;"")*ISNUMBER(SEARCH(실물목록!$P$2:$P$1001,I772))*(실물목록!$R$2:$R$1001&lt;&gt;""))&gt;0,"확인필요(입력누락)",IF(SUMPRODUCT((실물목록!$P$2:$P$1001&lt;&gt;"")*ISNUMBER(SEARCH(실물목록!$P$2:$P$1001,I772))*(실물목록!$Q$2:$Q$1001&lt;&gt;"")*ISNUMBER(SEARCH(실물목록!$Q$2:$Q$1001,I772))*(실물목록!$R$2:$R$1001="")*(실물목록!$O$2:$O$1001&lt;&gt;""))&gt;0,"확인필요(연도다름)","실물 없음")))))</f>
      </c>
      <c r="G772" t="n" s="16">
        <f aca="0">IF(B772="","",SUMPRODUCT((실물목록!$P$2:$P$1001&lt;&gt;"")*ISNUMBER(SEARCH(실물목록!$P$2:$P$1001,I772))*(실물목록!$Q$2:$Q$1001&lt;&gt;"")*ISNUMBER(SEARCH(실물목록!$Q$2:$Q$1001,I772))*(실물목록!$R$2:$R$1001="")*(실물목록!$O$2:$O$1001&lt;&gt;"")*(실물목록!$O$2:$O$1001=H772)))</f>
      </c>
      <c r="H772" t="str">
        <f>IFERROR(IF(AND(LEN(SUBSTITUTE(SUBSTITUTE(SUBSTITUTE(TRIM(A772&amp;""),CHAR(160),"")," ",""),"년",""))=4,VALUE(SUBSTITUTE(SUBSTITUTE(SUBSTITUTE(TRIM(A772&amp;""),CHAR(160),"")," ",""),"년",""))&gt;=1900,VALUE(SUBSTITUTE(SUBSTITUTE(SUBSTITUTE(TRIM(A772&amp;""),CHAR(160),"")," ",""),"년",""))&lt;=2099,TEXT(VALUE(SUBSTITUTE(SUBSTITUTE(SUBSTITUTE(TRIM(A772&amp;""),CHAR(160),"")," ",""),"년","")),"0000")=SUBSTITUTE(SUBSTITUTE(SUBSTITUTE(TRIM(A772&amp;""),CHAR(160),"")," ",""),"년","")),SUBSTITUTE(SUBSTITUTE(SUBSTITUTE(TRIM(A772&amp;""),CHAR(160),"")," ",""),"년",""),""),"")</f>
      </c>
      <c r="I772" t="str">
        <f>SUBSTITUTE(SUBSTITUTE(SUBSTITUTE(SUBSTITUTE(SUBSTITUTE(TRIM(B772&amp;""),CHAR(160),"")," ",""),"초등학교","초"),"중학교","중"),"고등학교","고")</f>
      </c>
    </row>
    <row r="773" customFormat="false" ht="15" hidden="false" customHeight="false" outlineLevel="0" collapsed="false">
      <c r="A773" s="8"/>
      <c r="B773" s="8"/>
      <c r="C773" s="8"/>
      <c r="D773" s="8"/>
      <c r="E773" s="8"/>
      <c r="F773" t="str" s="15">
        <f aca="0">IF(B773="","",IF(H773="","확인필요(입력누락)",IF(SUMPRODUCT((실물목록!$P$2:$P$1001&lt;&gt;"")*ISNUMBER(SEARCH(실물목록!$P$2:$P$1001,I773))*(실물목록!$Q$2:$Q$1001&lt;&gt;"")*ISNUMBER(SEARCH(실물목록!$Q$2:$Q$1001,I773))*(실물목록!$R$2:$R$1001="")*(실물목록!$O$2:$O$1001&lt;&gt;"")*(실물목록!$O$2:$O$1001=H773))&gt;0,"실물 있음",IF(SUMPRODUCT((실물목록!$P$2:$P$1001&lt;&gt;"")*ISNUMBER(SEARCH(실물목록!$P$2:$P$1001,I773))*(실물목록!$R$2:$R$1001&lt;&gt;""))&gt;0,"확인필요(입력누락)",IF(SUMPRODUCT((실물목록!$P$2:$P$1001&lt;&gt;"")*ISNUMBER(SEARCH(실물목록!$P$2:$P$1001,I773))*(실물목록!$Q$2:$Q$1001&lt;&gt;"")*ISNUMBER(SEARCH(실물목록!$Q$2:$Q$1001,I773))*(실물목록!$R$2:$R$1001="")*(실물목록!$O$2:$O$1001&lt;&gt;""))&gt;0,"확인필요(연도다름)","실물 없음")))))</f>
      </c>
      <c r="G773" t="n" s="16">
        <f aca="0">IF(B773="","",SUMPRODUCT((실물목록!$P$2:$P$1001&lt;&gt;"")*ISNUMBER(SEARCH(실물목록!$P$2:$P$1001,I773))*(실물목록!$Q$2:$Q$1001&lt;&gt;"")*ISNUMBER(SEARCH(실물목록!$Q$2:$Q$1001,I773))*(실물목록!$R$2:$R$1001="")*(실물목록!$O$2:$O$1001&lt;&gt;"")*(실물목록!$O$2:$O$1001=H773)))</f>
      </c>
      <c r="H773" t="str">
        <f>IFERROR(IF(AND(LEN(SUBSTITUTE(SUBSTITUTE(SUBSTITUTE(TRIM(A773&amp;""),CHAR(160),"")," ",""),"년",""))=4,VALUE(SUBSTITUTE(SUBSTITUTE(SUBSTITUTE(TRIM(A773&amp;""),CHAR(160),"")," ",""),"년",""))&gt;=1900,VALUE(SUBSTITUTE(SUBSTITUTE(SUBSTITUTE(TRIM(A773&amp;""),CHAR(160),"")," ",""),"년",""))&lt;=2099,TEXT(VALUE(SUBSTITUTE(SUBSTITUTE(SUBSTITUTE(TRIM(A773&amp;""),CHAR(160),"")," ",""),"년","")),"0000")=SUBSTITUTE(SUBSTITUTE(SUBSTITUTE(TRIM(A773&amp;""),CHAR(160),"")," ",""),"년","")),SUBSTITUTE(SUBSTITUTE(SUBSTITUTE(TRIM(A773&amp;""),CHAR(160),"")," ",""),"년",""),""),"")</f>
      </c>
      <c r="I773" t="str">
        <f>SUBSTITUTE(SUBSTITUTE(SUBSTITUTE(SUBSTITUTE(SUBSTITUTE(TRIM(B773&amp;""),CHAR(160),"")," ",""),"초등학교","초"),"중학교","중"),"고등학교","고")</f>
      </c>
    </row>
    <row r="774" customFormat="false" ht="15" hidden="false" customHeight="false" outlineLevel="0" collapsed="false">
      <c r="A774" s="8"/>
      <c r="B774" s="8"/>
      <c r="C774" s="8"/>
      <c r="D774" s="8"/>
      <c r="E774" s="8"/>
      <c r="F774" t="str" s="15">
        <f aca="0">IF(B774="","",IF(H774="","확인필요(입력누락)",IF(SUMPRODUCT((실물목록!$P$2:$P$1001&lt;&gt;"")*ISNUMBER(SEARCH(실물목록!$P$2:$P$1001,I774))*(실물목록!$Q$2:$Q$1001&lt;&gt;"")*ISNUMBER(SEARCH(실물목록!$Q$2:$Q$1001,I774))*(실물목록!$R$2:$R$1001="")*(실물목록!$O$2:$O$1001&lt;&gt;"")*(실물목록!$O$2:$O$1001=H774))&gt;0,"실물 있음",IF(SUMPRODUCT((실물목록!$P$2:$P$1001&lt;&gt;"")*ISNUMBER(SEARCH(실물목록!$P$2:$P$1001,I774))*(실물목록!$R$2:$R$1001&lt;&gt;""))&gt;0,"확인필요(입력누락)",IF(SUMPRODUCT((실물목록!$P$2:$P$1001&lt;&gt;"")*ISNUMBER(SEARCH(실물목록!$P$2:$P$1001,I774))*(실물목록!$Q$2:$Q$1001&lt;&gt;"")*ISNUMBER(SEARCH(실물목록!$Q$2:$Q$1001,I774))*(실물목록!$R$2:$R$1001="")*(실물목록!$O$2:$O$1001&lt;&gt;""))&gt;0,"확인필요(연도다름)","실물 없음")))))</f>
      </c>
      <c r="G774" t="n" s="16">
        <f aca="0">IF(B774="","",SUMPRODUCT((실물목록!$P$2:$P$1001&lt;&gt;"")*ISNUMBER(SEARCH(실물목록!$P$2:$P$1001,I774))*(실물목록!$Q$2:$Q$1001&lt;&gt;"")*ISNUMBER(SEARCH(실물목록!$Q$2:$Q$1001,I774))*(실물목록!$R$2:$R$1001="")*(실물목록!$O$2:$O$1001&lt;&gt;"")*(실물목록!$O$2:$O$1001=H774)))</f>
      </c>
      <c r="H774" t="str">
        <f>IFERROR(IF(AND(LEN(SUBSTITUTE(SUBSTITUTE(SUBSTITUTE(TRIM(A774&amp;""),CHAR(160),"")," ",""),"년",""))=4,VALUE(SUBSTITUTE(SUBSTITUTE(SUBSTITUTE(TRIM(A774&amp;""),CHAR(160),"")," ",""),"년",""))&gt;=1900,VALUE(SUBSTITUTE(SUBSTITUTE(SUBSTITUTE(TRIM(A774&amp;""),CHAR(160),"")," ",""),"년",""))&lt;=2099,TEXT(VALUE(SUBSTITUTE(SUBSTITUTE(SUBSTITUTE(TRIM(A774&amp;""),CHAR(160),"")," ",""),"년","")),"0000")=SUBSTITUTE(SUBSTITUTE(SUBSTITUTE(TRIM(A774&amp;""),CHAR(160),"")," ",""),"년","")),SUBSTITUTE(SUBSTITUTE(SUBSTITUTE(TRIM(A774&amp;""),CHAR(160),"")," ",""),"년",""),""),"")</f>
      </c>
      <c r="I774" t="str">
        <f>SUBSTITUTE(SUBSTITUTE(SUBSTITUTE(SUBSTITUTE(SUBSTITUTE(TRIM(B774&amp;""),CHAR(160),"")," ",""),"초등학교","초"),"중학교","중"),"고등학교","고")</f>
      </c>
    </row>
    <row r="775" customFormat="false" ht="15" hidden="false" customHeight="false" outlineLevel="0" collapsed="false">
      <c r="A775" s="8"/>
      <c r="B775" s="8"/>
      <c r="C775" s="8"/>
      <c r="D775" s="8"/>
      <c r="E775" s="8"/>
      <c r="F775" t="str" s="15">
        <f aca="0">IF(B775="","",IF(H775="","확인필요(입력누락)",IF(SUMPRODUCT((실물목록!$P$2:$P$1001&lt;&gt;"")*ISNUMBER(SEARCH(실물목록!$P$2:$P$1001,I775))*(실물목록!$Q$2:$Q$1001&lt;&gt;"")*ISNUMBER(SEARCH(실물목록!$Q$2:$Q$1001,I775))*(실물목록!$R$2:$R$1001="")*(실물목록!$O$2:$O$1001&lt;&gt;"")*(실물목록!$O$2:$O$1001=H775))&gt;0,"실물 있음",IF(SUMPRODUCT((실물목록!$P$2:$P$1001&lt;&gt;"")*ISNUMBER(SEARCH(실물목록!$P$2:$P$1001,I775))*(실물목록!$R$2:$R$1001&lt;&gt;""))&gt;0,"확인필요(입력누락)",IF(SUMPRODUCT((실물목록!$P$2:$P$1001&lt;&gt;"")*ISNUMBER(SEARCH(실물목록!$P$2:$P$1001,I775))*(실물목록!$Q$2:$Q$1001&lt;&gt;"")*ISNUMBER(SEARCH(실물목록!$Q$2:$Q$1001,I775))*(실물목록!$R$2:$R$1001="")*(실물목록!$O$2:$O$1001&lt;&gt;""))&gt;0,"확인필요(연도다름)","실물 없음")))))</f>
      </c>
      <c r="G775" t="n" s="16">
        <f aca="0">IF(B775="","",SUMPRODUCT((실물목록!$P$2:$P$1001&lt;&gt;"")*ISNUMBER(SEARCH(실물목록!$P$2:$P$1001,I775))*(실물목록!$Q$2:$Q$1001&lt;&gt;"")*ISNUMBER(SEARCH(실물목록!$Q$2:$Q$1001,I775))*(실물목록!$R$2:$R$1001="")*(실물목록!$O$2:$O$1001&lt;&gt;"")*(실물목록!$O$2:$O$1001=H775)))</f>
      </c>
      <c r="H775" t="str">
        <f>IFERROR(IF(AND(LEN(SUBSTITUTE(SUBSTITUTE(SUBSTITUTE(TRIM(A775&amp;""),CHAR(160),"")," ",""),"년",""))=4,VALUE(SUBSTITUTE(SUBSTITUTE(SUBSTITUTE(TRIM(A775&amp;""),CHAR(160),"")," ",""),"년",""))&gt;=1900,VALUE(SUBSTITUTE(SUBSTITUTE(SUBSTITUTE(TRIM(A775&amp;""),CHAR(160),"")," ",""),"년",""))&lt;=2099,TEXT(VALUE(SUBSTITUTE(SUBSTITUTE(SUBSTITUTE(TRIM(A775&amp;""),CHAR(160),"")," ",""),"년","")),"0000")=SUBSTITUTE(SUBSTITUTE(SUBSTITUTE(TRIM(A775&amp;""),CHAR(160),"")," ",""),"년","")),SUBSTITUTE(SUBSTITUTE(SUBSTITUTE(TRIM(A775&amp;""),CHAR(160),"")," ",""),"년",""),""),"")</f>
      </c>
      <c r="I775" t="str">
        <f>SUBSTITUTE(SUBSTITUTE(SUBSTITUTE(SUBSTITUTE(SUBSTITUTE(TRIM(B775&amp;""),CHAR(160),"")," ",""),"초등학교","초"),"중학교","중"),"고등학교","고")</f>
      </c>
    </row>
    <row r="776" customFormat="false" ht="15" hidden="false" customHeight="false" outlineLevel="0" collapsed="false">
      <c r="A776" s="8"/>
      <c r="B776" s="8"/>
      <c r="C776" s="8"/>
      <c r="D776" s="8"/>
      <c r="E776" s="8"/>
      <c r="F776" t="str" s="15">
        <f aca="0">IF(B776="","",IF(H776="","확인필요(입력누락)",IF(SUMPRODUCT((실물목록!$P$2:$P$1001&lt;&gt;"")*ISNUMBER(SEARCH(실물목록!$P$2:$P$1001,I776))*(실물목록!$Q$2:$Q$1001&lt;&gt;"")*ISNUMBER(SEARCH(실물목록!$Q$2:$Q$1001,I776))*(실물목록!$R$2:$R$1001="")*(실물목록!$O$2:$O$1001&lt;&gt;"")*(실물목록!$O$2:$O$1001=H776))&gt;0,"실물 있음",IF(SUMPRODUCT((실물목록!$P$2:$P$1001&lt;&gt;"")*ISNUMBER(SEARCH(실물목록!$P$2:$P$1001,I776))*(실물목록!$R$2:$R$1001&lt;&gt;""))&gt;0,"확인필요(입력누락)",IF(SUMPRODUCT((실물목록!$P$2:$P$1001&lt;&gt;"")*ISNUMBER(SEARCH(실물목록!$P$2:$P$1001,I776))*(실물목록!$Q$2:$Q$1001&lt;&gt;"")*ISNUMBER(SEARCH(실물목록!$Q$2:$Q$1001,I776))*(실물목록!$R$2:$R$1001="")*(실물목록!$O$2:$O$1001&lt;&gt;""))&gt;0,"확인필요(연도다름)","실물 없음")))))</f>
      </c>
      <c r="G776" t="n" s="16">
        <f aca="0">IF(B776="","",SUMPRODUCT((실물목록!$P$2:$P$1001&lt;&gt;"")*ISNUMBER(SEARCH(실물목록!$P$2:$P$1001,I776))*(실물목록!$Q$2:$Q$1001&lt;&gt;"")*ISNUMBER(SEARCH(실물목록!$Q$2:$Q$1001,I776))*(실물목록!$R$2:$R$1001="")*(실물목록!$O$2:$O$1001&lt;&gt;"")*(실물목록!$O$2:$O$1001=H776)))</f>
      </c>
      <c r="H776" t="str">
        <f>IFERROR(IF(AND(LEN(SUBSTITUTE(SUBSTITUTE(SUBSTITUTE(TRIM(A776&amp;""),CHAR(160),"")," ",""),"년",""))=4,VALUE(SUBSTITUTE(SUBSTITUTE(SUBSTITUTE(TRIM(A776&amp;""),CHAR(160),"")," ",""),"년",""))&gt;=1900,VALUE(SUBSTITUTE(SUBSTITUTE(SUBSTITUTE(TRIM(A776&amp;""),CHAR(160),"")," ",""),"년",""))&lt;=2099,TEXT(VALUE(SUBSTITUTE(SUBSTITUTE(SUBSTITUTE(TRIM(A776&amp;""),CHAR(160),"")," ",""),"년","")),"0000")=SUBSTITUTE(SUBSTITUTE(SUBSTITUTE(TRIM(A776&amp;""),CHAR(160),"")," ",""),"년","")),SUBSTITUTE(SUBSTITUTE(SUBSTITUTE(TRIM(A776&amp;""),CHAR(160),"")," ",""),"년",""),""),"")</f>
      </c>
      <c r="I776" t="str">
        <f>SUBSTITUTE(SUBSTITUTE(SUBSTITUTE(SUBSTITUTE(SUBSTITUTE(TRIM(B776&amp;""),CHAR(160),"")," ",""),"초등학교","초"),"중학교","중"),"고등학교","고")</f>
      </c>
    </row>
    <row r="777" customFormat="false" ht="15" hidden="false" customHeight="false" outlineLevel="0" collapsed="false">
      <c r="A777" s="8"/>
      <c r="B777" s="8"/>
      <c r="C777" s="8"/>
      <c r="D777" s="8"/>
      <c r="E777" s="8"/>
      <c r="F777" t="str" s="15">
        <f aca="0">IF(B777="","",IF(H777="","확인필요(입력누락)",IF(SUMPRODUCT((실물목록!$P$2:$P$1001&lt;&gt;"")*ISNUMBER(SEARCH(실물목록!$P$2:$P$1001,I777))*(실물목록!$Q$2:$Q$1001&lt;&gt;"")*ISNUMBER(SEARCH(실물목록!$Q$2:$Q$1001,I777))*(실물목록!$R$2:$R$1001="")*(실물목록!$O$2:$O$1001&lt;&gt;"")*(실물목록!$O$2:$O$1001=H777))&gt;0,"실물 있음",IF(SUMPRODUCT((실물목록!$P$2:$P$1001&lt;&gt;"")*ISNUMBER(SEARCH(실물목록!$P$2:$P$1001,I777))*(실물목록!$R$2:$R$1001&lt;&gt;""))&gt;0,"확인필요(입력누락)",IF(SUMPRODUCT((실물목록!$P$2:$P$1001&lt;&gt;"")*ISNUMBER(SEARCH(실물목록!$P$2:$P$1001,I777))*(실물목록!$Q$2:$Q$1001&lt;&gt;"")*ISNUMBER(SEARCH(실물목록!$Q$2:$Q$1001,I777))*(실물목록!$R$2:$R$1001="")*(실물목록!$O$2:$O$1001&lt;&gt;""))&gt;0,"확인필요(연도다름)","실물 없음")))))</f>
      </c>
      <c r="G777" t="n" s="16">
        <f aca="0">IF(B777="","",SUMPRODUCT((실물목록!$P$2:$P$1001&lt;&gt;"")*ISNUMBER(SEARCH(실물목록!$P$2:$P$1001,I777))*(실물목록!$Q$2:$Q$1001&lt;&gt;"")*ISNUMBER(SEARCH(실물목록!$Q$2:$Q$1001,I777))*(실물목록!$R$2:$R$1001="")*(실물목록!$O$2:$O$1001&lt;&gt;"")*(실물목록!$O$2:$O$1001=H777)))</f>
      </c>
      <c r="H777" t="str">
        <f>IFERROR(IF(AND(LEN(SUBSTITUTE(SUBSTITUTE(SUBSTITUTE(TRIM(A777&amp;""),CHAR(160),"")," ",""),"년",""))=4,VALUE(SUBSTITUTE(SUBSTITUTE(SUBSTITUTE(TRIM(A777&amp;""),CHAR(160),"")," ",""),"년",""))&gt;=1900,VALUE(SUBSTITUTE(SUBSTITUTE(SUBSTITUTE(TRIM(A777&amp;""),CHAR(160),"")," ",""),"년",""))&lt;=2099,TEXT(VALUE(SUBSTITUTE(SUBSTITUTE(SUBSTITUTE(TRIM(A777&amp;""),CHAR(160),"")," ",""),"년","")),"0000")=SUBSTITUTE(SUBSTITUTE(SUBSTITUTE(TRIM(A777&amp;""),CHAR(160),"")," ",""),"년","")),SUBSTITUTE(SUBSTITUTE(SUBSTITUTE(TRIM(A777&amp;""),CHAR(160),"")," ",""),"년",""),""),"")</f>
      </c>
      <c r="I777" t="str">
        <f>SUBSTITUTE(SUBSTITUTE(SUBSTITUTE(SUBSTITUTE(SUBSTITUTE(TRIM(B777&amp;""),CHAR(160),"")," ",""),"초등학교","초"),"중학교","중"),"고등학교","고")</f>
      </c>
    </row>
    <row r="778" customFormat="false" ht="15" hidden="false" customHeight="false" outlineLevel="0" collapsed="false">
      <c r="A778" s="8"/>
      <c r="B778" s="8"/>
      <c r="C778" s="8"/>
      <c r="D778" s="8"/>
      <c r="E778" s="8"/>
      <c r="F778" t="str" s="15">
        <f aca="0">IF(B778="","",IF(H778="","확인필요(입력누락)",IF(SUMPRODUCT((실물목록!$P$2:$P$1001&lt;&gt;"")*ISNUMBER(SEARCH(실물목록!$P$2:$P$1001,I778))*(실물목록!$Q$2:$Q$1001&lt;&gt;"")*ISNUMBER(SEARCH(실물목록!$Q$2:$Q$1001,I778))*(실물목록!$R$2:$R$1001="")*(실물목록!$O$2:$O$1001&lt;&gt;"")*(실물목록!$O$2:$O$1001=H778))&gt;0,"실물 있음",IF(SUMPRODUCT((실물목록!$P$2:$P$1001&lt;&gt;"")*ISNUMBER(SEARCH(실물목록!$P$2:$P$1001,I778))*(실물목록!$R$2:$R$1001&lt;&gt;""))&gt;0,"확인필요(입력누락)",IF(SUMPRODUCT((실물목록!$P$2:$P$1001&lt;&gt;"")*ISNUMBER(SEARCH(실물목록!$P$2:$P$1001,I778))*(실물목록!$Q$2:$Q$1001&lt;&gt;"")*ISNUMBER(SEARCH(실물목록!$Q$2:$Q$1001,I778))*(실물목록!$R$2:$R$1001="")*(실물목록!$O$2:$O$1001&lt;&gt;""))&gt;0,"확인필요(연도다름)","실물 없음")))))</f>
      </c>
      <c r="G778" t="n" s="16">
        <f aca="0">IF(B778="","",SUMPRODUCT((실물목록!$P$2:$P$1001&lt;&gt;"")*ISNUMBER(SEARCH(실물목록!$P$2:$P$1001,I778))*(실물목록!$Q$2:$Q$1001&lt;&gt;"")*ISNUMBER(SEARCH(실물목록!$Q$2:$Q$1001,I778))*(실물목록!$R$2:$R$1001="")*(실물목록!$O$2:$O$1001&lt;&gt;"")*(실물목록!$O$2:$O$1001=H778)))</f>
      </c>
      <c r="H778" t="str">
        <f>IFERROR(IF(AND(LEN(SUBSTITUTE(SUBSTITUTE(SUBSTITUTE(TRIM(A778&amp;""),CHAR(160),"")," ",""),"년",""))=4,VALUE(SUBSTITUTE(SUBSTITUTE(SUBSTITUTE(TRIM(A778&amp;""),CHAR(160),"")," ",""),"년",""))&gt;=1900,VALUE(SUBSTITUTE(SUBSTITUTE(SUBSTITUTE(TRIM(A778&amp;""),CHAR(160),"")," ",""),"년",""))&lt;=2099,TEXT(VALUE(SUBSTITUTE(SUBSTITUTE(SUBSTITUTE(TRIM(A778&amp;""),CHAR(160),"")," ",""),"년","")),"0000")=SUBSTITUTE(SUBSTITUTE(SUBSTITUTE(TRIM(A778&amp;""),CHAR(160),"")," ",""),"년","")),SUBSTITUTE(SUBSTITUTE(SUBSTITUTE(TRIM(A778&amp;""),CHAR(160),"")," ",""),"년",""),""),"")</f>
      </c>
      <c r="I778" t="str">
        <f>SUBSTITUTE(SUBSTITUTE(SUBSTITUTE(SUBSTITUTE(SUBSTITUTE(TRIM(B778&amp;""),CHAR(160),"")," ",""),"초등학교","초"),"중학교","중"),"고등학교","고")</f>
      </c>
    </row>
    <row r="779" customFormat="false" ht="15" hidden="false" customHeight="false" outlineLevel="0" collapsed="false">
      <c r="A779" s="8"/>
      <c r="B779" s="8"/>
      <c r="C779" s="8"/>
      <c r="D779" s="8"/>
      <c r="E779" s="8"/>
      <c r="F779" t="str" s="15">
        <f aca="0">IF(B779="","",IF(H779="","확인필요(입력누락)",IF(SUMPRODUCT((실물목록!$P$2:$P$1001&lt;&gt;"")*ISNUMBER(SEARCH(실물목록!$P$2:$P$1001,I779))*(실물목록!$Q$2:$Q$1001&lt;&gt;"")*ISNUMBER(SEARCH(실물목록!$Q$2:$Q$1001,I779))*(실물목록!$R$2:$R$1001="")*(실물목록!$O$2:$O$1001&lt;&gt;"")*(실물목록!$O$2:$O$1001=H779))&gt;0,"실물 있음",IF(SUMPRODUCT((실물목록!$P$2:$P$1001&lt;&gt;"")*ISNUMBER(SEARCH(실물목록!$P$2:$P$1001,I779))*(실물목록!$R$2:$R$1001&lt;&gt;""))&gt;0,"확인필요(입력누락)",IF(SUMPRODUCT((실물목록!$P$2:$P$1001&lt;&gt;"")*ISNUMBER(SEARCH(실물목록!$P$2:$P$1001,I779))*(실물목록!$Q$2:$Q$1001&lt;&gt;"")*ISNUMBER(SEARCH(실물목록!$Q$2:$Q$1001,I779))*(실물목록!$R$2:$R$1001="")*(실물목록!$O$2:$O$1001&lt;&gt;""))&gt;0,"확인필요(연도다름)","실물 없음")))))</f>
      </c>
      <c r="G779" t="n" s="16">
        <f aca="0">IF(B779="","",SUMPRODUCT((실물목록!$P$2:$P$1001&lt;&gt;"")*ISNUMBER(SEARCH(실물목록!$P$2:$P$1001,I779))*(실물목록!$Q$2:$Q$1001&lt;&gt;"")*ISNUMBER(SEARCH(실물목록!$Q$2:$Q$1001,I779))*(실물목록!$R$2:$R$1001="")*(실물목록!$O$2:$O$1001&lt;&gt;"")*(실물목록!$O$2:$O$1001=H779)))</f>
      </c>
      <c r="H779" t="str">
        <f>IFERROR(IF(AND(LEN(SUBSTITUTE(SUBSTITUTE(SUBSTITUTE(TRIM(A779&amp;""),CHAR(160),"")," ",""),"년",""))=4,VALUE(SUBSTITUTE(SUBSTITUTE(SUBSTITUTE(TRIM(A779&amp;""),CHAR(160),"")," ",""),"년",""))&gt;=1900,VALUE(SUBSTITUTE(SUBSTITUTE(SUBSTITUTE(TRIM(A779&amp;""),CHAR(160),"")," ",""),"년",""))&lt;=2099,TEXT(VALUE(SUBSTITUTE(SUBSTITUTE(SUBSTITUTE(TRIM(A779&amp;""),CHAR(160),"")," ",""),"년","")),"0000")=SUBSTITUTE(SUBSTITUTE(SUBSTITUTE(TRIM(A779&amp;""),CHAR(160),"")," ",""),"년","")),SUBSTITUTE(SUBSTITUTE(SUBSTITUTE(TRIM(A779&amp;""),CHAR(160),"")," ",""),"년",""),""),"")</f>
      </c>
      <c r="I779" t="str">
        <f>SUBSTITUTE(SUBSTITUTE(SUBSTITUTE(SUBSTITUTE(SUBSTITUTE(TRIM(B779&amp;""),CHAR(160),"")," ",""),"초등학교","초"),"중학교","중"),"고등학교","고")</f>
      </c>
    </row>
    <row r="780" customFormat="false" ht="15" hidden="false" customHeight="false" outlineLevel="0" collapsed="false">
      <c r="A780" s="8"/>
      <c r="B780" s="8"/>
      <c r="C780" s="8"/>
      <c r="D780" s="8"/>
      <c r="E780" s="8"/>
      <c r="F780" t="str" s="15">
        <f aca="0">IF(B780="","",IF(H780="","확인필요(입력누락)",IF(SUMPRODUCT((실물목록!$P$2:$P$1001&lt;&gt;"")*ISNUMBER(SEARCH(실물목록!$P$2:$P$1001,I780))*(실물목록!$Q$2:$Q$1001&lt;&gt;"")*ISNUMBER(SEARCH(실물목록!$Q$2:$Q$1001,I780))*(실물목록!$R$2:$R$1001="")*(실물목록!$O$2:$O$1001&lt;&gt;"")*(실물목록!$O$2:$O$1001=H780))&gt;0,"실물 있음",IF(SUMPRODUCT((실물목록!$P$2:$P$1001&lt;&gt;"")*ISNUMBER(SEARCH(실물목록!$P$2:$P$1001,I780))*(실물목록!$R$2:$R$1001&lt;&gt;""))&gt;0,"확인필요(입력누락)",IF(SUMPRODUCT((실물목록!$P$2:$P$1001&lt;&gt;"")*ISNUMBER(SEARCH(실물목록!$P$2:$P$1001,I780))*(실물목록!$Q$2:$Q$1001&lt;&gt;"")*ISNUMBER(SEARCH(실물목록!$Q$2:$Q$1001,I780))*(실물목록!$R$2:$R$1001="")*(실물목록!$O$2:$O$1001&lt;&gt;""))&gt;0,"확인필요(연도다름)","실물 없음")))))</f>
      </c>
      <c r="G780" t="n" s="16">
        <f aca="0">IF(B780="","",SUMPRODUCT((실물목록!$P$2:$P$1001&lt;&gt;"")*ISNUMBER(SEARCH(실물목록!$P$2:$P$1001,I780))*(실물목록!$Q$2:$Q$1001&lt;&gt;"")*ISNUMBER(SEARCH(실물목록!$Q$2:$Q$1001,I780))*(실물목록!$R$2:$R$1001="")*(실물목록!$O$2:$O$1001&lt;&gt;"")*(실물목록!$O$2:$O$1001=H780)))</f>
      </c>
      <c r="H780" t="str">
        <f>IFERROR(IF(AND(LEN(SUBSTITUTE(SUBSTITUTE(SUBSTITUTE(TRIM(A780&amp;""),CHAR(160),"")," ",""),"년",""))=4,VALUE(SUBSTITUTE(SUBSTITUTE(SUBSTITUTE(TRIM(A780&amp;""),CHAR(160),"")," ",""),"년",""))&gt;=1900,VALUE(SUBSTITUTE(SUBSTITUTE(SUBSTITUTE(TRIM(A780&amp;""),CHAR(160),"")," ",""),"년",""))&lt;=2099,TEXT(VALUE(SUBSTITUTE(SUBSTITUTE(SUBSTITUTE(TRIM(A780&amp;""),CHAR(160),"")," ",""),"년","")),"0000")=SUBSTITUTE(SUBSTITUTE(SUBSTITUTE(TRIM(A780&amp;""),CHAR(160),"")," ",""),"년","")),SUBSTITUTE(SUBSTITUTE(SUBSTITUTE(TRIM(A780&amp;""),CHAR(160),"")," ",""),"년",""),""),"")</f>
      </c>
      <c r="I780" t="str">
        <f>SUBSTITUTE(SUBSTITUTE(SUBSTITUTE(SUBSTITUTE(SUBSTITUTE(TRIM(B780&amp;""),CHAR(160),"")," ",""),"초등학교","초"),"중학교","중"),"고등학교","고")</f>
      </c>
    </row>
    <row r="781" customFormat="false" ht="15" hidden="false" customHeight="false" outlineLevel="0" collapsed="false">
      <c r="A781" s="8"/>
      <c r="B781" s="8"/>
      <c r="C781" s="8"/>
      <c r="D781" s="8"/>
      <c r="E781" s="8"/>
      <c r="F781" t="str" s="15">
        <f aca="0">IF(B781="","",IF(H781="","확인필요(입력누락)",IF(SUMPRODUCT((실물목록!$P$2:$P$1001&lt;&gt;"")*ISNUMBER(SEARCH(실물목록!$P$2:$P$1001,I781))*(실물목록!$Q$2:$Q$1001&lt;&gt;"")*ISNUMBER(SEARCH(실물목록!$Q$2:$Q$1001,I781))*(실물목록!$R$2:$R$1001="")*(실물목록!$O$2:$O$1001&lt;&gt;"")*(실물목록!$O$2:$O$1001=H781))&gt;0,"실물 있음",IF(SUMPRODUCT((실물목록!$P$2:$P$1001&lt;&gt;"")*ISNUMBER(SEARCH(실물목록!$P$2:$P$1001,I781))*(실물목록!$R$2:$R$1001&lt;&gt;""))&gt;0,"확인필요(입력누락)",IF(SUMPRODUCT((실물목록!$P$2:$P$1001&lt;&gt;"")*ISNUMBER(SEARCH(실물목록!$P$2:$P$1001,I781))*(실물목록!$Q$2:$Q$1001&lt;&gt;"")*ISNUMBER(SEARCH(실물목록!$Q$2:$Q$1001,I781))*(실물목록!$R$2:$R$1001="")*(실물목록!$O$2:$O$1001&lt;&gt;""))&gt;0,"확인필요(연도다름)","실물 없음")))))</f>
      </c>
      <c r="G781" t="n" s="16">
        <f aca="0">IF(B781="","",SUMPRODUCT((실물목록!$P$2:$P$1001&lt;&gt;"")*ISNUMBER(SEARCH(실물목록!$P$2:$P$1001,I781))*(실물목록!$Q$2:$Q$1001&lt;&gt;"")*ISNUMBER(SEARCH(실물목록!$Q$2:$Q$1001,I781))*(실물목록!$R$2:$R$1001="")*(실물목록!$O$2:$O$1001&lt;&gt;"")*(실물목록!$O$2:$O$1001=H781)))</f>
      </c>
      <c r="H781" t="str">
        <f>IFERROR(IF(AND(LEN(SUBSTITUTE(SUBSTITUTE(SUBSTITUTE(TRIM(A781&amp;""),CHAR(160),"")," ",""),"년",""))=4,VALUE(SUBSTITUTE(SUBSTITUTE(SUBSTITUTE(TRIM(A781&amp;""),CHAR(160),"")," ",""),"년",""))&gt;=1900,VALUE(SUBSTITUTE(SUBSTITUTE(SUBSTITUTE(TRIM(A781&amp;""),CHAR(160),"")," ",""),"년",""))&lt;=2099,TEXT(VALUE(SUBSTITUTE(SUBSTITUTE(SUBSTITUTE(TRIM(A781&amp;""),CHAR(160),"")," ",""),"년","")),"0000")=SUBSTITUTE(SUBSTITUTE(SUBSTITUTE(TRIM(A781&amp;""),CHAR(160),"")," ",""),"년","")),SUBSTITUTE(SUBSTITUTE(SUBSTITUTE(TRIM(A781&amp;""),CHAR(160),"")," ",""),"년",""),""),"")</f>
      </c>
      <c r="I781" t="str">
        <f>SUBSTITUTE(SUBSTITUTE(SUBSTITUTE(SUBSTITUTE(SUBSTITUTE(TRIM(B781&amp;""),CHAR(160),"")," ",""),"초등학교","초"),"중학교","중"),"고등학교","고")</f>
      </c>
    </row>
    <row r="782" customFormat="false" ht="15" hidden="false" customHeight="false" outlineLevel="0" collapsed="false">
      <c r="A782" s="8"/>
      <c r="B782" s="8"/>
      <c r="C782" s="8"/>
      <c r="D782" s="8"/>
      <c r="E782" s="8"/>
      <c r="F782" t="str" s="15">
        <f aca="0">IF(B782="","",IF(H782="","확인필요(입력누락)",IF(SUMPRODUCT((실물목록!$P$2:$P$1001&lt;&gt;"")*ISNUMBER(SEARCH(실물목록!$P$2:$P$1001,I782))*(실물목록!$Q$2:$Q$1001&lt;&gt;"")*ISNUMBER(SEARCH(실물목록!$Q$2:$Q$1001,I782))*(실물목록!$R$2:$R$1001="")*(실물목록!$O$2:$O$1001&lt;&gt;"")*(실물목록!$O$2:$O$1001=H782))&gt;0,"실물 있음",IF(SUMPRODUCT((실물목록!$P$2:$P$1001&lt;&gt;"")*ISNUMBER(SEARCH(실물목록!$P$2:$P$1001,I782))*(실물목록!$R$2:$R$1001&lt;&gt;""))&gt;0,"확인필요(입력누락)",IF(SUMPRODUCT((실물목록!$P$2:$P$1001&lt;&gt;"")*ISNUMBER(SEARCH(실물목록!$P$2:$P$1001,I782))*(실물목록!$Q$2:$Q$1001&lt;&gt;"")*ISNUMBER(SEARCH(실물목록!$Q$2:$Q$1001,I782))*(실물목록!$R$2:$R$1001="")*(실물목록!$O$2:$O$1001&lt;&gt;""))&gt;0,"확인필요(연도다름)","실물 없음")))))</f>
      </c>
      <c r="G782" t="n" s="16">
        <f aca="0">IF(B782="","",SUMPRODUCT((실물목록!$P$2:$P$1001&lt;&gt;"")*ISNUMBER(SEARCH(실물목록!$P$2:$P$1001,I782))*(실물목록!$Q$2:$Q$1001&lt;&gt;"")*ISNUMBER(SEARCH(실물목록!$Q$2:$Q$1001,I782))*(실물목록!$R$2:$R$1001="")*(실물목록!$O$2:$O$1001&lt;&gt;"")*(실물목록!$O$2:$O$1001=H782)))</f>
      </c>
      <c r="H782" t="str">
        <f>IFERROR(IF(AND(LEN(SUBSTITUTE(SUBSTITUTE(SUBSTITUTE(TRIM(A782&amp;""),CHAR(160),"")," ",""),"년",""))=4,VALUE(SUBSTITUTE(SUBSTITUTE(SUBSTITUTE(TRIM(A782&amp;""),CHAR(160),"")," ",""),"년",""))&gt;=1900,VALUE(SUBSTITUTE(SUBSTITUTE(SUBSTITUTE(TRIM(A782&amp;""),CHAR(160),"")," ",""),"년",""))&lt;=2099,TEXT(VALUE(SUBSTITUTE(SUBSTITUTE(SUBSTITUTE(TRIM(A782&amp;""),CHAR(160),"")," ",""),"년","")),"0000")=SUBSTITUTE(SUBSTITUTE(SUBSTITUTE(TRIM(A782&amp;""),CHAR(160),"")," ",""),"년","")),SUBSTITUTE(SUBSTITUTE(SUBSTITUTE(TRIM(A782&amp;""),CHAR(160),"")," ",""),"년",""),""),"")</f>
      </c>
      <c r="I782" t="str">
        <f>SUBSTITUTE(SUBSTITUTE(SUBSTITUTE(SUBSTITUTE(SUBSTITUTE(TRIM(B782&amp;""),CHAR(160),"")," ",""),"초등학교","초"),"중학교","중"),"고등학교","고")</f>
      </c>
    </row>
    <row r="783" customFormat="false" ht="15" hidden="false" customHeight="false" outlineLevel="0" collapsed="false">
      <c r="A783" s="8"/>
      <c r="B783" s="8"/>
      <c r="C783" s="8"/>
      <c r="D783" s="8"/>
      <c r="E783" s="8"/>
      <c r="F783" t="str" s="15">
        <f aca="0">IF(B783="","",IF(H783="","확인필요(입력누락)",IF(SUMPRODUCT((실물목록!$P$2:$P$1001&lt;&gt;"")*ISNUMBER(SEARCH(실물목록!$P$2:$P$1001,I783))*(실물목록!$Q$2:$Q$1001&lt;&gt;"")*ISNUMBER(SEARCH(실물목록!$Q$2:$Q$1001,I783))*(실물목록!$R$2:$R$1001="")*(실물목록!$O$2:$O$1001&lt;&gt;"")*(실물목록!$O$2:$O$1001=H783))&gt;0,"실물 있음",IF(SUMPRODUCT((실물목록!$P$2:$P$1001&lt;&gt;"")*ISNUMBER(SEARCH(실물목록!$P$2:$P$1001,I783))*(실물목록!$R$2:$R$1001&lt;&gt;""))&gt;0,"확인필요(입력누락)",IF(SUMPRODUCT((실물목록!$P$2:$P$1001&lt;&gt;"")*ISNUMBER(SEARCH(실물목록!$P$2:$P$1001,I783))*(실물목록!$Q$2:$Q$1001&lt;&gt;"")*ISNUMBER(SEARCH(실물목록!$Q$2:$Q$1001,I783))*(실물목록!$R$2:$R$1001="")*(실물목록!$O$2:$O$1001&lt;&gt;""))&gt;0,"확인필요(연도다름)","실물 없음")))))</f>
      </c>
      <c r="G783" t="n" s="16">
        <f aca="0">IF(B783="","",SUMPRODUCT((실물목록!$P$2:$P$1001&lt;&gt;"")*ISNUMBER(SEARCH(실물목록!$P$2:$P$1001,I783))*(실물목록!$Q$2:$Q$1001&lt;&gt;"")*ISNUMBER(SEARCH(실물목록!$Q$2:$Q$1001,I783))*(실물목록!$R$2:$R$1001="")*(실물목록!$O$2:$O$1001&lt;&gt;"")*(실물목록!$O$2:$O$1001=H783)))</f>
      </c>
      <c r="H783" t="str">
        <f>IFERROR(IF(AND(LEN(SUBSTITUTE(SUBSTITUTE(SUBSTITUTE(TRIM(A783&amp;""),CHAR(160),"")," ",""),"년",""))=4,VALUE(SUBSTITUTE(SUBSTITUTE(SUBSTITUTE(TRIM(A783&amp;""),CHAR(160),"")," ",""),"년",""))&gt;=1900,VALUE(SUBSTITUTE(SUBSTITUTE(SUBSTITUTE(TRIM(A783&amp;""),CHAR(160),"")," ",""),"년",""))&lt;=2099,TEXT(VALUE(SUBSTITUTE(SUBSTITUTE(SUBSTITUTE(TRIM(A783&amp;""),CHAR(160),"")," ",""),"년","")),"0000")=SUBSTITUTE(SUBSTITUTE(SUBSTITUTE(TRIM(A783&amp;""),CHAR(160),"")," ",""),"년","")),SUBSTITUTE(SUBSTITUTE(SUBSTITUTE(TRIM(A783&amp;""),CHAR(160),"")," ",""),"년",""),""),"")</f>
      </c>
      <c r="I783" t="str">
        <f>SUBSTITUTE(SUBSTITUTE(SUBSTITUTE(SUBSTITUTE(SUBSTITUTE(TRIM(B783&amp;""),CHAR(160),"")," ",""),"초등학교","초"),"중학교","중"),"고등학교","고")</f>
      </c>
    </row>
    <row r="784" customFormat="false" ht="15" hidden="false" customHeight="false" outlineLevel="0" collapsed="false">
      <c r="A784" s="8"/>
      <c r="B784" s="8"/>
      <c r="C784" s="8"/>
      <c r="D784" s="8"/>
      <c r="E784" s="8"/>
      <c r="F784" t="str" s="15">
        <f aca="0">IF(B784="","",IF(H784="","확인필요(입력누락)",IF(SUMPRODUCT((실물목록!$P$2:$P$1001&lt;&gt;"")*ISNUMBER(SEARCH(실물목록!$P$2:$P$1001,I784))*(실물목록!$Q$2:$Q$1001&lt;&gt;"")*ISNUMBER(SEARCH(실물목록!$Q$2:$Q$1001,I784))*(실물목록!$R$2:$R$1001="")*(실물목록!$O$2:$O$1001&lt;&gt;"")*(실물목록!$O$2:$O$1001=H784))&gt;0,"실물 있음",IF(SUMPRODUCT((실물목록!$P$2:$P$1001&lt;&gt;"")*ISNUMBER(SEARCH(실물목록!$P$2:$P$1001,I784))*(실물목록!$R$2:$R$1001&lt;&gt;""))&gt;0,"확인필요(입력누락)",IF(SUMPRODUCT((실물목록!$P$2:$P$1001&lt;&gt;"")*ISNUMBER(SEARCH(실물목록!$P$2:$P$1001,I784))*(실물목록!$Q$2:$Q$1001&lt;&gt;"")*ISNUMBER(SEARCH(실물목록!$Q$2:$Q$1001,I784))*(실물목록!$R$2:$R$1001="")*(실물목록!$O$2:$O$1001&lt;&gt;""))&gt;0,"확인필요(연도다름)","실물 없음")))))</f>
      </c>
      <c r="G784" t="n" s="16">
        <f aca="0">IF(B784="","",SUMPRODUCT((실물목록!$P$2:$P$1001&lt;&gt;"")*ISNUMBER(SEARCH(실물목록!$P$2:$P$1001,I784))*(실물목록!$Q$2:$Q$1001&lt;&gt;"")*ISNUMBER(SEARCH(실물목록!$Q$2:$Q$1001,I784))*(실물목록!$R$2:$R$1001="")*(실물목록!$O$2:$O$1001&lt;&gt;"")*(실물목록!$O$2:$O$1001=H784)))</f>
      </c>
      <c r="H784" t="str">
        <f>IFERROR(IF(AND(LEN(SUBSTITUTE(SUBSTITUTE(SUBSTITUTE(TRIM(A784&amp;""),CHAR(160),"")," ",""),"년",""))=4,VALUE(SUBSTITUTE(SUBSTITUTE(SUBSTITUTE(TRIM(A784&amp;""),CHAR(160),"")," ",""),"년",""))&gt;=1900,VALUE(SUBSTITUTE(SUBSTITUTE(SUBSTITUTE(TRIM(A784&amp;""),CHAR(160),"")," ",""),"년",""))&lt;=2099,TEXT(VALUE(SUBSTITUTE(SUBSTITUTE(SUBSTITUTE(TRIM(A784&amp;""),CHAR(160),"")," ",""),"년","")),"0000")=SUBSTITUTE(SUBSTITUTE(SUBSTITUTE(TRIM(A784&amp;""),CHAR(160),"")," ",""),"년","")),SUBSTITUTE(SUBSTITUTE(SUBSTITUTE(TRIM(A784&amp;""),CHAR(160),"")," ",""),"년",""),""),"")</f>
      </c>
      <c r="I784" t="str">
        <f>SUBSTITUTE(SUBSTITUTE(SUBSTITUTE(SUBSTITUTE(SUBSTITUTE(TRIM(B784&amp;""),CHAR(160),"")," ",""),"초등학교","초"),"중학교","중"),"고등학교","고")</f>
      </c>
    </row>
    <row r="785" customFormat="false" ht="15" hidden="false" customHeight="false" outlineLevel="0" collapsed="false">
      <c r="A785" s="8"/>
      <c r="B785" s="8"/>
      <c r="C785" s="8"/>
      <c r="D785" s="8"/>
      <c r="E785" s="8"/>
      <c r="F785" t="str" s="15">
        <f aca="0">IF(B785="","",IF(H785="","확인필요(입력누락)",IF(SUMPRODUCT((실물목록!$P$2:$P$1001&lt;&gt;"")*ISNUMBER(SEARCH(실물목록!$P$2:$P$1001,I785))*(실물목록!$Q$2:$Q$1001&lt;&gt;"")*ISNUMBER(SEARCH(실물목록!$Q$2:$Q$1001,I785))*(실물목록!$R$2:$R$1001="")*(실물목록!$O$2:$O$1001&lt;&gt;"")*(실물목록!$O$2:$O$1001=H785))&gt;0,"실물 있음",IF(SUMPRODUCT((실물목록!$P$2:$P$1001&lt;&gt;"")*ISNUMBER(SEARCH(실물목록!$P$2:$P$1001,I785))*(실물목록!$R$2:$R$1001&lt;&gt;""))&gt;0,"확인필요(입력누락)",IF(SUMPRODUCT((실물목록!$P$2:$P$1001&lt;&gt;"")*ISNUMBER(SEARCH(실물목록!$P$2:$P$1001,I785))*(실물목록!$Q$2:$Q$1001&lt;&gt;"")*ISNUMBER(SEARCH(실물목록!$Q$2:$Q$1001,I785))*(실물목록!$R$2:$R$1001="")*(실물목록!$O$2:$O$1001&lt;&gt;""))&gt;0,"확인필요(연도다름)","실물 없음")))))</f>
      </c>
      <c r="G785" t="n" s="16">
        <f aca="0">IF(B785="","",SUMPRODUCT((실물목록!$P$2:$P$1001&lt;&gt;"")*ISNUMBER(SEARCH(실물목록!$P$2:$P$1001,I785))*(실물목록!$Q$2:$Q$1001&lt;&gt;"")*ISNUMBER(SEARCH(실물목록!$Q$2:$Q$1001,I785))*(실물목록!$R$2:$R$1001="")*(실물목록!$O$2:$O$1001&lt;&gt;"")*(실물목록!$O$2:$O$1001=H785)))</f>
      </c>
      <c r="H785" t="str">
        <f>IFERROR(IF(AND(LEN(SUBSTITUTE(SUBSTITUTE(SUBSTITUTE(TRIM(A785&amp;""),CHAR(160),"")," ",""),"년",""))=4,VALUE(SUBSTITUTE(SUBSTITUTE(SUBSTITUTE(TRIM(A785&amp;""),CHAR(160),"")," ",""),"년",""))&gt;=1900,VALUE(SUBSTITUTE(SUBSTITUTE(SUBSTITUTE(TRIM(A785&amp;""),CHAR(160),"")," ",""),"년",""))&lt;=2099,TEXT(VALUE(SUBSTITUTE(SUBSTITUTE(SUBSTITUTE(TRIM(A785&amp;""),CHAR(160),"")," ",""),"년","")),"0000")=SUBSTITUTE(SUBSTITUTE(SUBSTITUTE(TRIM(A785&amp;""),CHAR(160),"")," ",""),"년","")),SUBSTITUTE(SUBSTITUTE(SUBSTITUTE(TRIM(A785&amp;""),CHAR(160),"")," ",""),"년",""),""),"")</f>
      </c>
      <c r="I785" t="str">
        <f>SUBSTITUTE(SUBSTITUTE(SUBSTITUTE(SUBSTITUTE(SUBSTITUTE(TRIM(B785&amp;""),CHAR(160),"")," ",""),"초등학교","초"),"중학교","중"),"고등학교","고")</f>
      </c>
    </row>
    <row r="786" customFormat="false" ht="15" hidden="false" customHeight="false" outlineLevel="0" collapsed="false">
      <c r="A786" s="8"/>
      <c r="B786" s="8"/>
      <c r="C786" s="8"/>
      <c r="D786" s="8"/>
      <c r="E786" s="8"/>
      <c r="F786" t="str" s="15">
        <f aca="0">IF(B786="","",IF(H786="","확인필요(입력누락)",IF(SUMPRODUCT((실물목록!$P$2:$P$1001&lt;&gt;"")*ISNUMBER(SEARCH(실물목록!$P$2:$P$1001,I786))*(실물목록!$Q$2:$Q$1001&lt;&gt;"")*ISNUMBER(SEARCH(실물목록!$Q$2:$Q$1001,I786))*(실물목록!$R$2:$R$1001="")*(실물목록!$O$2:$O$1001&lt;&gt;"")*(실물목록!$O$2:$O$1001=H786))&gt;0,"실물 있음",IF(SUMPRODUCT((실물목록!$P$2:$P$1001&lt;&gt;"")*ISNUMBER(SEARCH(실물목록!$P$2:$P$1001,I786))*(실물목록!$R$2:$R$1001&lt;&gt;""))&gt;0,"확인필요(입력누락)",IF(SUMPRODUCT((실물목록!$P$2:$P$1001&lt;&gt;"")*ISNUMBER(SEARCH(실물목록!$P$2:$P$1001,I786))*(실물목록!$Q$2:$Q$1001&lt;&gt;"")*ISNUMBER(SEARCH(실물목록!$Q$2:$Q$1001,I786))*(실물목록!$R$2:$R$1001="")*(실물목록!$O$2:$O$1001&lt;&gt;""))&gt;0,"확인필요(연도다름)","실물 없음")))))</f>
      </c>
      <c r="G786" t="n" s="16">
        <f aca="0">IF(B786="","",SUMPRODUCT((실물목록!$P$2:$P$1001&lt;&gt;"")*ISNUMBER(SEARCH(실물목록!$P$2:$P$1001,I786))*(실물목록!$Q$2:$Q$1001&lt;&gt;"")*ISNUMBER(SEARCH(실물목록!$Q$2:$Q$1001,I786))*(실물목록!$R$2:$R$1001="")*(실물목록!$O$2:$O$1001&lt;&gt;"")*(실물목록!$O$2:$O$1001=H786)))</f>
      </c>
      <c r="H786" t="str">
        <f>IFERROR(IF(AND(LEN(SUBSTITUTE(SUBSTITUTE(SUBSTITUTE(TRIM(A786&amp;""),CHAR(160),"")," ",""),"년",""))=4,VALUE(SUBSTITUTE(SUBSTITUTE(SUBSTITUTE(TRIM(A786&amp;""),CHAR(160),"")," ",""),"년",""))&gt;=1900,VALUE(SUBSTITUTE(SUBSTITUTE(SUBSTITUTE(TRIM(A786&amp;""),CHAR(160),"")," ",""),"년",""))&lt;=2099,TEXT(VALUE(SUBSTITUTE(SUBSTITUTE(SUBSTITUTE(TRIM(A786&amp;""),CHAR(160),"")," ",""),"년","")),"0000")=SUBSTITUTE(SUBSTITUTE(SUBSTITUTE(TRIM(A786&amp;""),CHAR(160),"")," ",""),"년","")),SUBSTITUTE(SUBSTITUTE(SUBSTITUTE(TRIM(A786&amp;""),CHAR(160),"")," ",""),"년",""),""),"")</f>
      </c>
      <c r="I786" t="str">
        <f>SUBSTITUTE(SUBSTITUTE(SUBSTITUTE(SUBSTITUTE(SUBSTITUTE(TRIM(B786&amp;""),CHAR(160),"")," ",""),"초등학교","초"),"중학교","중"),"고등학교","고")</f>
      </c>
    </row>
    <row r="787" customFormat="false" ht="15" hidden="false" customHeight="false" outlineLevel="0" collapsed="false">
      <c r="A787" s="8"/>
      <c r="B787" s="8"/>
      <c r="C787" s="8"/>
      <c r="D787" s="8"/>
      <c r="E787" s="8"/>
      <c r="F787" t="str" s="15">
        <f aca="0">IF(B787="","",IF(H787="","확인필요(입력누락)",IF(SUMPRODUCT((실물목록!$P$2:$P$1001&lt;&gt;"")*ISNUMBER(SEARCH(실물목록!$P$2:$P$1001,I787))*(실물목록!$Q$2:$Q$1001&lt;&gt;"")*ISNUMBER(SEARCH(실물목록!$Q$2:$Q$1001,I787))*(실물목록!$R$2:$R$1001="")*(실물목록!$O$2:$O$1001&lt;&gt;"")*(실물목록!$O$2:$O$1001=H787))&gt;0,"실물 있음",IF(SUMPRODUCT((실물목록!$P$2:$P$1001&lt;&gt;"")*ISNUMBER(SEARCH(실물목록!$P$2:$P$1001,I787))*(실물목록!$R$2:$R$1001&lt;&gt;""))&gt;0,"확인필요(입력누락)",IF(SUMPRODUCT((실물목록!$P$2:$P$1001&lt;&gt;"")*ISNUMBER(SEARCH(실물목록!$P$2:$P$1001,I787))*(실물목록!$Q$2:$Q$1001&lt;&gt;"")*ISNUMBER(SEARCH(실물목록!$Q$2:$Q$1001,I787))*(실물목록!$R$2:$R$1001="")*(실물목록!$O$2:$O$1001&lt;&gt;""))&gt;0,"확인필요(연도다름)","실물 없음")))))</f>
      </c>
      <c r="G787" t="n" s="16">
        <f aca="0">IF(B787="","",SUMPRODUCT((실물목록!$P$2:$P$1001&lt;&gt;"")*ISNUMBER(SEARCH(실물목록!$P$2:$P$1001,I787))*(실물목록!$Q$2:$Q$1001&lt;&gt;"")*ISNUMBER(SEARCH(실물목록!$Q$2:$Q$1001,I787))*(실물목록!$R$2:$R$1001="")*(실물목록!$O$2:$O$1001&lt;&gt;"")*(실물목록!$O$2:$O$1001=H787)))</f>
      </c>
      <c r="H787" t="str">
        <f>IFERROR(IF(AND(LEN(SUBSTITUTE(SUBSTITUTE(SUBSTITUTE(TRIM(A787&amp;""),CHAR(160),"")," ",""),"년",""))=4,VALUE(SUBSTITUTE(SUBSTITUTE(SUBSTITUTE(TRIM(A787&amp;""),CHAR(160),"")," ",""),"년",""))&gt;=1900,VALUE(SUBSTITUTE(SUBSTITUTE(SUBSTITUTE(TRIM(A787&amp;""),CHAR(160),"")," ",""),"년",""))&lt;=2099,TEXT(VALUE(SUBSTITUTE(SUBSTITUTE(SUBSTITUTE(TRIM(A787&amp;""),CHAR(160),"")," ",""),"년","")),"0000")=SUBSTITUTE(SUBSTITUTE(SUBSTITUTE(TRIM(A787&amp;""),CHAR(160),"")," ",""),"년","")),SUBSTITUTE(SUBSTITUTE(SUBSTITUTE(TRIM(A787&amp;""),CHAR(160),"")," ",""),"년",""),""),"")</f>
      </c>
      <c r="I787" t="str">
        <f>SUBSTITUTE(SUBSTITUTE(SUBSTITUTE(SUBSTITUTE(SUBSTITUTE(TRIM(B787&amp;""),CHAR(160),"")," ",""),"초등학교","초"),"중학교","중"),"고등학교","고")</f>
      </c>
    </row>
    <row r="788" customFormat="false" ht="15" hidden="false" customHeight="false" outlineLevel="0" collapsed="false">
      <c r="A788" s="8"/>
      <c r="B788" s="8"/>
      <c r="C788" s="8"/>
      <c r="D788" s="8"/>
      <c r="E788" s="8"/>
      <c r="F788" t="str" s="15">
        <f aca="0">IF(B788="","",IF(H788="","확인필요(입력누락)",IF(SUMPRODUCT((실물목록!$P$2:$P$1001&lt;&gt;"")*ISNUMBER(SEARCH(실물목록!$P$2:$P$1001,I788))*(실물목록!$Q$2:$Q$1001&lt;&gt;"")*ISNUMBER(SEARCH(실물목록!$Q$2:$Q$1001,I788))*(실물목록!$R$2:$R$1001="")*(실물목록!$O$2:$O$1001&lt;&gt;"")*(실물목록!$O$2:$O$1001=H788))&gt;0,"실물 있음",IF(SUMPRODUCT((실물목록!$P$2:$P$1001&lt;&gt;"")*ISNUMBER(SEARCH(실물목록!$P$2:$P$1001,I788))*(실물목록!$R$2:$R$1001&lt;&gt;""))&gt;0,"확인필요(입력누락)",IF(SUMPRODUCT((실물목록!$P$2:$P$1001&lt;&gt;"")*ISNUMBER(SEARCH(실물목록!$P$2:$P$1001,I788))*(실물목록!$Q$2:$Q$1001&lt;&gt;"")*ISNUMBER(SEARCH(실물목록!$Q$2:$Q$1001,I788))*(실물목록!$R$2:$R$1001="")*(실물목록!$O$2:$O$1001&lt;&gt;""))&gt;0,"확인필요(연도다름)","실물 없음")))))</f>
      </c>
      <c r="G788" t="n" s="16">
        <f aca="0">IF(B788="","",SUMPRODUCT((실물목록!$P$2:$P$1001&lt;&gt;"")*ISNUMBER(SEARCH(실물목록!$P$2:$P$1001,I788))*(실물목록!$Q$2:$Q$1001&lt;&gt;"")*ISNUMBER(SEARCH(실물목록!$Q$2:$Q$1001,I788))*(실물목록!$R$2:$R$1001="")*(실물목록!$O$2:$O$1001&lt;&gt;"")*(실물목록!$O$2:$O$1001=H788)))</f>
      </c>
      <c r="H788" t="str">
        <f>IFERROR(IF(AND(LEN(SUBSTITUTE(SUBSTITUTE(SUBSTITUTE(TRIM(A788&amp;""),CHAR(160),"")," ",""),"년",""))=4,VALUE(SUBSTITUTE(SUBSTITUTE(SUBSTITUTE(TRIM(A788&amp;""),CHAR(160),"")," ",""),"년",""))&gt;=1900,VALUE(SUBSTITUTE(SUBSTITUTE(SUBSTITUTE(TRIM(A788&amp;""),CHAR(160),"")," ",""),"년",""))&lt;=2099,TEXT(VALUE(SUBSTITUTE(SUBSTITUTE(SUBSTITUTE(TRIM(A788&amp;""),CHAR(160),"")," ",""),"년","")),"0000")=SUBSTITUTE(SUBSTITUTE(SUBSTITUTE(TRIM(A788&amp;""),CHAR(160),"")," ",""),"년","")),SUBSTITUTE(SUBSTITUTE(SUBSTITUTE(TRIM(A788&amp;""),CHAR(160),"")," ",""),"년",""),""),"")</f>
      </c>
      <c r="I788" t="str">
        <f>SUBSTITUTE(SUBSTITUTE(SUBSTITUTE(SUBSTITUTE(SUBSTITUTE(TRIM(B788&amp;""),CHAR(160),"")," ",""),"초등학교","초"),"중학교","중"),"고등학교","고")</f>
      </c>
    </row>
    <row r="789" customFormat="false" ht="15" hidden="false" customHeight="false" outlineLevel="0" collapsed="false">
      <c r="A789" s="8"/>
      <c r="B789" s="8"/>
      <c r="C789" s="8"/>
      <c r="D789" s="8"/>
      <c r="E789" s="8"/>
      <c r="F789" t="str" s="15">
        <f aca="0">IF(B789="","",IF(H789="","확인필요(입력누락)",IF(SUMPRODUCT((실물목록!$P$2:$P$1001&lt;&gt;"")*ISNUMBER(SEARCH(실물목록!$P$2:$P$1001,I789))*(실물목록!$Q$2:$Q$1001&lt;&gt;"")*ISNUMBER(SEARCH(실물목록!$Q$2:$Q$1001,I789))*(실물목록!$R$2:$R$1001="")*(실물목록!$O$2:$O$1001&lt;&gt;"")*(실물목록!$O$2:$O$1001=H789))&gt;0,"실물 있음",IF(SUMPRODUCT((실물목록!$P$2:$P$1001&lt;&gt;"")*ISNUMBER(SEARCH(실물목록!$P$2:$P$1001,I789))*(실물목록!$R$2:$R$1001&lt;&gt;""))&gt;0,"확인필요(입력누락)",IF(SUMPRODUCT((실물목록!$P$2:$P$1001&lt;&gt;"")*ISNUMBER(SEARCH(실물목록!$P$2:$P$1001,I789))*(실물목록!$Q$2:$Q$1001&lt;&gt;"")*ISNUMBER(SEARCH(실물목록!$Q$2:$Q$1001,I789))*(실물목록!$R$2:$R$1001="")*(실물목록!$O$2:$O$1001&lt;&gt;""))&gt;0,"확인필요(연도다름)","실물 없음")))))</f>
      </c>
      <c r="G789" t="n" s="16">
        <f aca="0">IF(B789="","",SUMPRODUCT((실물목록!$P$2:$P$1001&lt;&gt;"")*ISNUMBER(SEARCH(실물목록!$P$2:$P$1001,I789))*(실물목록!$Q$2:$Q$1001&lt;&gt;"")*ISNUMBER(SEARCH(실물목록!$Q$2:$Q$1001,I789))*(실물목록!$R$2:$R$1001="")*(실물목록!$O$2:$O$1001&lt;&gt;"")*(실물목록!$O$2:$O$1001=H789)))</f>
      </c>
      <c r="H789" t="str">
        <f>IFERROR(IF(AND(LEN(SUBSTITUTE(SUBSTITUTE(SUBSTITUTE(TRIM(A789&amp;""),CHAR(160),"")," ",""),"년",""))=4,VALUE(SUBSTITUTE(SUBSTITUTE(SUBSTITUTE(TRIM(A789&amp;""),CHAR(160),"")," ",""),"년",""))&gt;=1900,VALUE(SUBSTITUTE(SUBSTITUTE(SUBSTITUTE(TRIM(A789&amp;""),CHAR(160),"")," ",""),"년",""))&lt;=2099,TEXT(VALUE(SUBSTITUTE(SUBSTITUTE(SUBSTITUTE(TRIM(A789&amp;""),CHAR(160),"")," ",""),"년","")),"0000")=SUBSTITUTE(SUBSTITUTE(SUBSTITUTE(TRIM(A789&amp;""),CHAR(160),"")," ",""),"년","")),SUBSTITUTE(SUBSTITUTE(SUBSTITUTE(TRIM(A789&amp;""),CHAR(160),"")," ",""),"년",""),""),"")</f>
      </c>
      <c r="I789" t="str">
        <f>SUBSTITUTE(SUBSTITUTE(SUBSTITUTE(SUBSTITUTE(SUBSTITUTE(TRIM(B789&amp;""),CHAR(160),"")," ",""),"초등학교","초"),"중학교","중"),"고등학교","고")</f>
      </c>
    </row>
    <row r="790" customFormat="false" ht="15" hidden="false" customHeight="false" outlineLevel="0" collapsed="false">
      <c r="A790" s="8"/>
      <c r="B790" s="8"/>
      <c r="C790" s="8"/>
      <c r="D790" s="8"/>
      <c r="E790" s="8"/>
      <c r="F790" t="str" s="15">
        <f aca="0">IF(B790="","",IF(H790="","확인필요(입력누락)",IF(SUMPRODUCT((실물목록!$P$2:$P$1001&lt;&gt;"")*ISNUMBER(SEARCH(실물목록!$P$2:$P$1001,I790))*(실물목록!$Q$2:$Q$1001&lt;&gt;"")*ISNUMBER(SEARCH(실물목록!$Q$2:$Q$1001,I790))*(실물목록!$R$2:$R$1001="")*(실물목록!$O$2:$O$1001&lt;&gt;"")*(실물목록!$O$2:$O$1001=H790))&gt;0,"실물 있음",IF(SUMPRODUCT((실물목록!$P$2:$P$1001&lt;&gt;"")*ISNUMBER(SEARCH(실물목록!$P$2:$P$1001,I790))*(실물목록!$R$2:$R$1001&lt;&gt;""))&gt;0,"확인필요(입력누락)",IF(SUMPRODUCT((실물목록!$P$2:$P$1001&lt;&gt;"")*ISNUMBER(SEARCH(실물목록!$P$2:$P$1001,I790))*(실물목록!$Q$2:$Q$1001&lt;&gt;"")*ISNUMBER(SEARCH(실물목록!$Q$2:$Q$1001,I790))*(실물목록!$R$2:$R$1001="")*(실물목록!$O$2:$O$1001&lt;&gt;""))&gt;0,"확인필요(연도다름)","실물 없음")))))</f>
      </c>
      <c r="G790" t="n" s="16">
        <f aca="0">IF(B790="","",SUMPRODUCT((실물목록!$P$2:$P$1001&lt;&gt;"")*ISNUMBER(SEARCH(실물목록!$P$2:$P$1001,I790))*(실물목록!$Q$2:$Q$1001&lt;&gt;"")*ISNUMBER(SEARCH(실물목록!$Q$2:$Q$1001,I790))*(실물목록!$R$2:$R$1001="")*(실물목록!$O$2:$O$1001&lt;&gt;"")*(실물목록!$O$2:$O$1001=H790)))</f>
      </c>
      <c r="H790" t="str">
        <f>IFERROR(IF(AND(LEN(SUBSTITUTE(SUBSTITUTE(SUBSTITUTE(TRIM(A790&amp;""),CHAR(160),"")," ",""),"년",""))=4,VALUE(SUBSTITUTE(SUBSTITUTE(SUBSTITUTE(TRIM(A790&amp;""),CHAR(160),"")," ",""),"년",""))&gt;=1900,VALUE(SUBSTITUTE(SUBSTITUTE(SUBSTITUTE(TRIM(A790&amp;""),CHAR(160),"")," ",""),"년",""))&lt;=2099,TEXT(VALUE(SUBSTITUTE(SUBSTITUTE(SUBSTITUTE(TRIM(A790&amp;""),CHAR(160),"")," ",""),"년","")),"0000")=SUBSTITUTE(SUBSTITUTE(SUBSTITUTE(TRIM(A790&amp;""),CHAR(160),"")," ",""),"년","")),SUBSTITUTE(SUBSTITUTE(SUBSTITUTE(TRIM(A790&amp;""),CHAR(160),"")," ",""),"년",""),""),"")</f>
      </c>
      <c r="I790" t="str">
        <f>SUBSTITUTE(SUBSTITUTE(SUBSTITUTE(SUBSTITUTE(SUBSTITUTE(TRIM(B790&amp;""),CHAR(160),"")," ",""),"초등학교","초"),"중학교","중"),"고등학교","고")</f>
      </c>
    </row>
    <row r="791" customFormat="false" ht="15" hidden="false" customHeight="false" outlineLevel="0" collapsed="false">
      <c r="A791" s="8"/>
      <c r="B791" s="8"/>
      <c r="C791" s="8"/>
      <c r="D791" s="8"/>
      <c r="E791" s="8"/>
      <c r="F791" t="str" s="15">
        <f aca="0">IF(B791="","",IF(H791="","확인필요(입력누락)",IF(SUMPRODUCT((실물목록!$P$2:$P$1001&lt;&gt;"")*ISNUMBER(SEARCH(실물목록!$P$2:$P$1001,I791))*(실물목록!$Q$2:$Q$1001&lt;&gt;"")*ISNUMBER(SEARCH(실물목록!$Q$2:$Q$1001,I791))*(실물목록!$R$2:$R$1001="")*(실물목록!$O$2:$O$1001&lt;&gt;"")*(실물목록!$O$2:$O$1001=H791))&gt;0,"실물 있음",IF(SUMPRODUCT((실물목록!$P$2:$P$1001&lt;&gt;"")*ISNUMBER(SEARCH(실물목록!$P$2:$P$1001,I791))*(실물목록!$R$2:$R$1001&lt;&gt;""))&gt;0,"확인필요(입력누락)",IF(SUMPRODUCT((실물목록!$P$2:$P$1001&lt;&gt;"")*ISNUMBER(SEARCH(실물목록!$P$2:$P$1001,I791))*(실물목록!$Q$2:$Q$1001&lt;&gt;"")*ISNUMBER(SEARCH(실물목록!$Q$2:$Q$1001,I791))*(실물목록!$R$2:$R$1001="")*(실물목록!$O$2:$O$1001&lt;&gt;""))&gt;0,"확인필요(연도다름)","실물 없음")))))</f>
      </c>
      <c r="G791" t="n" s="16">
        <f aca="0">IF(B791="","",SUMPRODUCT((실물목록!$P$2:$P$1001&lt;&gt;"")*ISNUMBER(SEARCH(실물목록!$P$2:$P$1001,I791))*(실물목록!$Q$2:$Q$1001&lt;&gt;"")*ISNUMBER(SEARCH(실물목록!$Q$2:$Q$1001,I791))*(실물목록!$R$2:$R$1001="")*(실물목록!$O$2:$O$1001&lt;&gt;"")*(실물목록!$O$2:$O$1001=H791)))</f>
      </c>
      <c r="H791" t="str">
        <f>IFERROR(IF(AND(LEN(SUBSTITUTE(SUBSTITUTE(SUBSTITUTE(TRIM(A791&amp;""),CHAR(160),"")," ",""),"년",""))=4,VALUE(SUBSTITUTE(SUBSTITUTE(SUBSTITUTE(TRIM(A791&amp;""),CHAR(160),"")," ",""),"년",""))&gt;=1900,VALUE(SUBSTITUTE(SUBSTITUTE(SUBSTITUTE(TRIM(A791&amp;""),CHAR(160),"")," ",""),"년",""))&lt;=2099,TEXT(VALUE(SUBSTITUTE(SUBSTITUTE(SUBSTITUTE(TRIM(A791&amp;""),CHAR(160),"")," ",""),"년","")),"0000")=SUBSTITUTE(SUBSTITUTE(SUBSTITUTE(TRIM(A791&amp;""),CHAR(160),"")," ",""),"년","")),SUBSTITUTE(SUBSTITUTE(SUBSTITUTE(TRIM(A791&amp;""),CHAR(160),"")," ",""),"년",""),""),"")</f>
      </c>
      <c r="I791" t="str">
        <f>SUBSTITUTE(SUBSTITUTE(SUBSTITUTE(SUBSTITUTE(SUBSTITUTE(TRIM(B791&amp;""),CHAR(160),"")," ",""),"초등학교","초"),"중학교","중"),"고등학교","고")</f>
      </c>
    </row>
    <row r="792" customFormat="false" ht="15" hidden="false" customHeight="false" outlineLevel="0" collapsed="false">
      <c r="A792" s="8"/>
      <c r="B792" s="8"/>
      <c r="C792" s="8"/>
      <c r="D792" s="8"/>
      <c r="E792" s="8"/>
      <c r="F792" t="str" s="15">
        <f aca="0">IF(B792="","",IF(H792="","확인필요(입력누락)",IF(SUMPRODUCT((실물목록!$P$2:$P$1001&lt;&gt;"")*ISNUMBER(SEARCH(실물목록!$P$2:$P$1001,I792))*(실물목록!$Q$2:$Q$1001&lt;&gt;"")*ISNUMBER(SEARCH(실물목록!$Q$2:$Q$1001,I792))*(실물목록!$R$2:$R$1001="")*(실물목록!$O$2:$O$1001&lt;&gt;"")*(실물목록!$O$2:$O$1001=H792))&gt;0,"실물 있음",IF(SUMPRODUCT((실물목록!$P$2:$P$1001&lt;&gt;"")*ISNUMBER(SEARCH(실물목록!$P$2:$P$1001,I792))*(실물목록!$R$2:$R$1001&lt;&gt;""))&gt;0,"확인필요(입력누락)",IF(SUMPRODUCT((실물목록!$P$2:$P$1001&lt;&gt;"")*ISNUMBER(SEARCH(실물목록!$P$2:$P$1001,I792))*(실물목록!$Q$2:$Q$1001&lt;&gt;"")*ISNUMBER(SEARCH(실물목록!$Q$2:$Q$1001,I792))*(실물목록!$R$2:$R$1001="")*(실물목록!$O$2:$O$1001&lt;&gt;""))&gt;0,"확인필요(연도다름)","실물 없음")))))</f>
      </c>
      <c r="G792" t="n" s="16">
        <f aca="0">IF(B792="","",SUMPRODUCT((실물목록!$P$2:$P$1001&lt;&gt;"")*ISNUMBER(SEARCH(실물목록!$P$2:$P$1001,I792))*(실물목록!$Q$2:$Q$1001&lt;&gt;"")*ISNUMBER(SEARCH(실물목록!$Q$2:$Q$1001,I792))*(실물목록!$R$2:$R$1001="")*(실물목록!$O$2:$O$1001&lt;&gt;"")*(실물목록!$O$2:$O$1001=H792)))</f>
      </c>
      <c r="H792" t="str">
        <f>IFERROR(IF(AND(LEN(SUBSTITUTE(SUBSTITUTE(SUBSTITUTE(TRIM(A792&amp;""),CHAR(160),"")," ",""),"년",""))=4,VALUE(SUBSTITUTE(SUBSTITUTE(SUBSTITUTE(TRIM(A792&amp;""),CHAR(160),"")," ",""),"년",""))&gt;=1900,VALUE(SUBSTITUTE(SUBSTITUTE(SUBSTITUTE(TRIM(A792&amp;""),CHAR(160),"")," ",""),"년",""))&lt;=2099,TEXT(VALUE(SUBSTITUTE(SUBSTITUTE(SUBSTITUTE(TRIM(A792&amp;""),CHAR(160),"")," ",""),"년","")),"0000")=SUBSTITUTE(SUBSTITUTE(SUBSTITUTE(TRIM(A792&amp;""),CHAR(160),"")," ",""),"년","")),SUBSTITUTE(SUBSTITUTE(SUBSTITUTE(TRIM(A792&amp;""),CHAR(160),"")," ",""),"년",""),""),"")</f>
      </c>
      <c r="I792" t="str">
        <f>SUBSTITUTE(SUBSTITUTE(SUBSTITUTE(SUBSTITUTE(SUBSTITUTE(TRIM(B792&amp;""),CHAR(160),"")," ",""),"초등학교","초"),"중학교","중"),"고등학교","고")</f>
      </c>
    </row>
    <row r="793" customFormat="false" ht="15" hidden="false" customHeight="false" outlineLevel="0" collapsed="false">
      <c r="A793" s="8"/>
      <c r="B793" s="8"/>
      <c r="C793" s="8"/>
      <c r="D793" s="8"/>
      <c r="E793" s="8"/>
      <c r="F793" t="str" s="15">
        <f aca="0">IF(B793="","",IF(H793="","확인필요(입력누락)",IF(SUMPRODUCT((실물목록!$P$2:$P$1001&lt;&gt;"")*ISNUMBER(SEARCH(실물목록!$P$2:$P$1001,I793))*(실물목록!$Q$2:$Q$1001&lt;&gt;"")*ISNUMBER(SEARCH(실물목록!$Q$2:$Q$1001,I793))*(실물목록!$R$2:$R$1001="")*(실물목록!$O$2:$O$1001&lt;&gt;"")*(실물목록!$O$2:$O$1001=H793))&gt;0,"실물 있음",IF(SUMPRODUCT((실물목록!$P$2:$P$1001&lt;&gt;"")*ISNUMBER(SEARCH(실물목록!$P$2:$P$1001,I793))*(실물목록!$R$2:$R$1001&lt;&gt;""))&gt;0,"확인필요(입력누락)",IF(SUMPRODUCT((실물목록!$P$2:$P$1001&lt;&gt;"")*ISNUMBER(SEARCH(실물목록!$P$2:$P$1001,I793))*(실물목록!$Q$2:$Q$1001&lt;&gt;"")*ISNUMBER(SEARCH(실물목록!$Q$2:$Q$1001,I793))*(실물목록!$R$2:$R$1001="")*(실물목록!$O$2:$O$1001&lt;&gt;""))&gt;0,"확인필요(연도다름)","실물 없음")))))</f>
      </c>
      <c r="G793" t="n" s="16">
        <f aca="0">IF(B793="","",SUMPRODUCT((실물목록!$P$2:$P$1001&lt;&gt;"")*ISNUMBER(SEARCH(실물목록!$P$2:$P$1001,I793))*(실물목록!$Q$2:$Q$1001&lt;&gt;"")*ISNUMBER(SEARCH(실물목록!$Q$2:$Q$1001,I793))*(실물목록!$R$2:$R$1001="")*(실물목록!$O$2:$O$1001&lt;&gt;"")*(실물목록!$O$2:$O$1001=H793)))</f>
      </c>
      <c r="H793" t="str">
        <f>IFERROR(IF(AND(LEN(SUBSTITUTE(SUBSTITUTE(SUBSTITUTE(TRIM(A793&amp;""),CHAR(160),"")," ",""),"년",""))=4,VALUE(SUBSTITUTE(SUBSTITUTE(SUBSTITUTE(TRIM(A793&amp;""),CHAR(160),"")," ",""),"년",""))&gt;=1900,VALUE(SUBSTITUTE(SUBSTITUTE(SUBSTITUTE(TRIM(A793&amp;""),CHAR(160),"")," ",""),"년",""))&lt;=2099,TEXT(VALUE(SUBSTITUTE(SUBSTITUTE(SUBSTITUTE(TRIM(A793&amp;""),CHAR(160),"")," ",""),"년","")),"0000")=SUBSTITUTE(SUBSTITUTE(SUBSTITUTE(TRIM(A793&amp;""),CHAR(160),"")," ",""),"년","")),SUBSTITUTE(SUBSTITUTE(SUBSTITUTE(TRIM(A793&amp;""),CHAR(160),"")," ",""),"년",""),""),"")</f>
      </c>
      <c r="I793" t="str">
        <f>SUBSTITUTE(SUBSTITUTE(SUBSTITUTE(SUBSTITUTE(SUBSTITUTE(TRIM(B793&amp;""),CHAR(160),"")," ",""),"초등학교","초"),"중학교","중"),"고등학교","고")</f>
      </c>
    </row>
    <row r="794" customFormat="false" ht="15" hidden="false" customHeight="false" outlineLevel="0" collapsed="false">
      <c r="A794" s="8"/>
      <c r="B794" s="8"/>
      <c r="C794" s="8"/>
      <c r="D794" s="8"/>
      <c r="E794" s="8"/>
      <c r="F794" t="str" s="15">
        <f aca="0">IF(B794="","",IF(H794="","확인필요(입력누락)",IF(SUMPRODUCT((실물목록!$P$2:$P$1001&lt;&gt;"")*ISNUMBER(SEARCH(실물목록!$P$2:$P$1001,I794))*(실물목록!$Q$2:$Q$1001&lt;&gt;"")*ISNUMBER(SEARCH(실물목록!$Q$2:$Q$1001,I794))*(실물목록!$R$2:$R$1001="")*(실물목록!$O$2:$O$1001&lt;&gt;"")*(실물목록!$O$2:$O$1001=H794))&gt;0,"실물 있음",IF(SUMPRODUCT((실물목록!$P$2:$P$1001&lt;&gt;"")*ISNUMBER(SEARCH(실물목록!$P$2:$P$1001,I794))*(실물목록!$R$2:$R$1001&lt;&gt;""))&gt;0,"확인필요(입력누락)",IF(SUMPRODUCT((실물목록!$P$2:$P$1001&lt;&gt;"")*ISNUMBER(SEARCH(실물목록!$P$2:$P$1001,I794))*(실물목록!$Q$2:$Q$1001&lt;&gt;"")*ISNUMBER(SEARCH(실물목록!$Q$2:$Q$1001,I794))*(실물목록!$R$2:$R$1001="")*(실물목록!$O$2:$O$1001&lt;&gt;""))&gt;0,"확인필요(연도다름)","실물 없음")))))</f>
      </c>
      <c r="G794" t="n" s="16">
        <f aca="0">IF(B794="","",SUMPRODUCT((실물목록!$P$2:$P$1001&lt;&gt;"")*ISNUMBER(SEARCH(실물목록!$P$2:$P$1001,I794))*(실물목록!$Q$2:$Q$1001&lt;&gt;"")*ISNUMBER(SEARCH(실물목록!$Q$2:$Q$1001,I794))*(실물목록!$R$2:$R$1001="")*(실물목록!$O$2:$O$1001&lt;&gt;"")*(실물목록!$O$2:$O$1001=H794)))</f>
      </c>
      <c r="H794" t="str">
        <f>IFERROR(IF(AND(LEN(SUBSTITUTE(SUBSTITUTE(SUBSTITUTE(TRIM(A794&amp;""),CHAR(160),"")," ",""),"년",""))=4,VALUE(SUBSTITUTE(SUBSTITUTE(SUBSTITUTE(TRIM(A794&amp;""),CHAR(160),"")," ",""),"년",""))&gt;=1900,VALUE(SUBSTITUTE(SUBSTITUTE(SUBSTITUTE(TRIM(A794&amp;""),CHAR(160),"")," ",""),"년",""))&lt;=2099,TEXT(VALUE(SUBSTITUTE(SUBSTITUTE(SUBSTITUTE(TRIM(A794&amp;""),CHAR(160),"")," ",""),"년","")),"0000")=SUBSTITUTE(SUBSTITUTE(SUBSTITUTE(TRIM(A794&amp;""),CHAR(160),"")," ",""),"년","")),SUBSTITUTE(SUBSTITUTE(SUBSTITUTE(TRIM(A794&amp;""),CHAR(160),"")," ",""),"년",""),""),"")</f>
      </c>
      <c r="I794" t="str">
        <f>SUBSTITUTE(SUBSTITUTE(SUBSTITUTE(SUBSTITUTE(SUBSTITUTE(TRIM(B794&amp;""),CHAR(160),"")," ",""),"초등학교","초"),"중학교","중"),"고등학교","고")</f>
      </c>
    </row>
    <row r="795" customFormat="false" ht="15" hidden="false" customHeight="false" outlineLevel="0" collapsed="false">
      <c r="A795" s="8"/>
      <c r="B795" s="8"/>
      <c r="C795" s="8"/>
      <c r="D795" s="8"/>
      <c r="E795" s="8"/>
      <c r="F795" t="str" s="15">
        <f aca="0">IF(B795="","",IF(H795="","확인필요(입력누락)",IF(SUMPRODUCT((실물목록!$P$2:$P$1001&lt;&gt;"")*ISNUMBER(SEARCH(실물목록!$P$2:$P$1001,I795))*(실물목록!$Q$2:$Q$1001&lt;&gt;"")*ISNUMBER(SEARCH(실물목록!$Q$2:$Q$1001,I795))*(실물목록!$R$2:$R$1001="")*(실물목록!$O$2:$O$1001&lt;&gt;"")*(실물목록!$O$2:$O$1001=H795))&gt;0,"실물 있음",IF(SUMPRODUCT((실물목록!$P$2:$P$1001&lt;&gt;"")*ISNUMBER(SEARCH(실물목록!$P$2:$P$1001,I795))*(실물목록!$R$2:$R$1001&lt;&gt;""))&gt;0,"확인필요(입력누락)",IF(SUMPRODUCT((실물목록!$P$2:$P$1001&lt;&gt;"")*ISNUMBER(SEARCH(실물목록!$P$2:$P$1001,I795))*(실물목록!$Q$2:$Q$1001&lt;&gt;"")*ISNUMBER(SEARCH(실물목록!$Q$2:$Q$1001,I795))*(실물목록!$R$2:$R$1001="")*(실물목록!$O$2:$O$1001&lt;&gt;""))&gt;0,"확인필요(연도다름)","실물 없음")))))</f>
      </c>
      <c r="G795" t="n" s="16">
        <f aca="0">IF(B795="","",SUMPRODUCT((실물목록!$P$2:$P$1001&lt;&gt;"")*ISNUMBER(SEARCH(실물목록!$P$2:$P$1001,I795))*(실물목록!$Q$2:$Q$1001&lt;&gt;"")*ISNUMBER(SEARCH(실물목록!$Q$2:$Q$1001,I795))*(실물목록!$R$2:$R$1001="")*(실물목록!$O$2:$O$1001&lt;&gt;"")*(실물목록!$O$2:$O$1001=H795)))</f>
      </c>
      <c r="H795" t="str">
        <f>IFERROR(IF(AND(LEN(SUBSTITUTE(SUBSTITUTE(SUBSTITUTE(TRIM(A795&amp;""),CHAR(160),"")," ",""),"년",""))=4,VALUE(SUBSTITUTE(SUBSTITUTE(SUBSTITUTE(TRIM(A795&amp;""),CHAR(160),"")," ",""),"년",""))&gt;=1900,VALUE(SUBSTITUTE(SUBSTITUTE(SUBSTITUTE(TRIM(A795&amp;""),CHAR(160),"")," ",""),"년",""))&lt;=2099,TEXT(VALUE(SUBSTITUTE(SUBSTITUTE(SUBSTITUTE(TRIM(A795&amp;""),CHAR(160),"")," ",""),"년","")),"0000")=SUBSTITUTE(SUBSTITUTE(SUBSTITUTE(TRIM(A795&amp;""),CHAR(160),"")," ",""),"년","")),SUBSTITUTE(SUBSTITUTE(SUBSTITUTE(TRIM(A795&amp;""),CHAR(160),"")," ",""),"년",""),""),"")</f>
      </c>
      <c r="I795" t="str">
        <f>SUBSTITUTE(SUBSTITUTE(SUBSTITUTE(SUBSTITUTE(SUBSTITUTE(TRIM(B795&amp;""),CHAR(160),"")," ",""),"초등학교","초"),"중학교","중"),"고등학교","고")</f>
      </c>
    </row>
    <row r="796" customFormat="false" ht="15" hidden="false" customHeight="false" outlineLevel="0" collapsed="false">
      <c r="A796" s="8"/>
      <c r="B796" s="8"/>
      <c r="C796" s="8"/>
      <c r="D796" s="8"/>
      <c r="E796" s="8"/>
      <c r="F796" t="str" s="15">
        <f aca="0">IF(B796="","",IF(H796="","확인필요(입력누락)",IF(SUMPRODUCT((실물목록!$P$2:$P$1001&lt;&gt;"")*ISNUMBER(SEARCH(실물목록!$P$2:$P$1001,I796))*(실물목록!$Q$2:$Q$1001&lt;&gt;"")*ISNUMBER(SEARCH(실물목록!$Q$2:$Q$1001,I796))*(실물목록!$R$2:$R$1001="")*(실물목록!$O$2:$O$1001&lt;&gt;"")*(실물목록!$O$2:$O$1001=H796))&gt;0,"실물 있음",IF(SUMPRODUCT((실물목록!$P$2:$P$1001&lt;&gt;"")*ISNUMBER(SEARCH(실물목록!$P$2:$P$1001,I796))*(실물목록!$R$2:$R$1001&lt;&gt;""))&gt;0,"확인필요(입력누락)",IF(SUMPRODUCT((실물목록!$P$2:$P$1001&lt;&gt;"")*ISNUMBER(SEARCH(실물목록!$P$2:$P$1001,I796))*(실물목록!$Q$2:$Q$1001&lt;&gt;"")*ISNUMBER(SEARCH(실물목록!$Q$2:$Q$1001,I796))*(실물목록!$R$2:$R$1001="")*(실물목록!$O$2:$O$1001&lt;&gt;""))&gt;0,"확인필요(연도다름)","실물 없음")))))</f>
      </c>
      <c r="G796" t="n" s="16">
        <f aca="0">IF(B796="","",SUMPRODUCT((실물목록!$P$2:$P$1001&lt;&gt;"")*ISNUMBER(SEARCH(실물목록!$P$2:$P$1001,I796))*(실물목록!$Q$2:$Q$1001&lt;&gt;"")*ISNUMBER(SEARCH(실물목록!$Q$2:$Q$1001,I796))*(실물목록!$R$2:$R$1001="")*(실물목록!$O$2:$O$1001&lt;&gt;"")*(실물목록!$O$2:$O$1001=H796)))</f>
      </c>
      <c r="H796" t="str">
        <f>IFERROR(IF(AND(LEN(SUBSTITUTE(SUBSTITUTE(SUBSTITUTE(TRIM(A796&amp;""),CHAR(160),"")," ",""),"년",""))=4,VALUE(SUBSTITUTE(SUBSTITUTE(SUBSTITUTE(TRIM(A796&amp;""),CHAR(160),"")," ",""),"년",""))&gt;=1900,VALUE(SUBSTITUTE(SUBSTITUTE(SUBSTITUTE(TRIM(A796&amp;""),CHAR(160),"")," ",""),"년",""))&lt;=2099,TEXT(VALUE(SUBSTITUTE(SUBSTITUTE(SUBSTITUTE(TRIM(A796&amp;""),CHAR(160),"")," ",""),"년","")),"0000")=SUBSTITUTE(SUBSTITUTE(SUBSTITUTE(TRIM(A796&amp;""),CHAR(160),"")," ",""),"년","")),SUBSTITUTE(SUBSTITUTE(SUBSTITUTE(TRIM(A796&amp;""),CHAR(160),"")," ",""),"년",""),""),"")</f>
      </c>
      <c r="I796" t="str">
        <f>SUBSTITUTE(SUBSTITUTE(SUBSTITUTE(SUBSTITUTE(SUBSTITUTE(TRIM(B796&amp;""),CHAR(160),"")," ",""),"초등학교","초"),"중학교","중"),"고등학교","고")</f>
      </c>
    </row>
    <row r="797" customFormat="false" ht="15" hidden="false" customHeight="false" outlineLevel="0" collapsed="false">
      <c r="A797" s="8"/>
      <c r="B797" s="8"/>
      <c r="C797" s="8"/>
      <c r="D797" s="8"/>
      <c r="E797" s="8"/>
      <c r="F797" t="str" s="15">
        <f aca="0">IF(B797="","",IF(H797="","확인필요(입력누락)",IF(SUMPRODUCT((실물목록!$P$2:$P$1001&lt;&gt;"")*ISNUMBER(SEARCH(실물목록!$P$2:$P$1001,I797))*(실물목록!$Q$2:$Q$1001&lt;&gt;"")*ISNUMBER(SEARCH(실물목록!$Q$2:$Q$1001,I797))*(실물목록!$R$2:$R$1001="")*(실물목록!$O$2:$O$1001&lt;&gt;"")*(실물목록!$O$2:$O$1001=H797))&gt;0,"실물 있음",IF(SUMPRODUCT((실물목록!$P$2:$P$1001&lt;&gt;"")*ISNUMBER(SEARCH(실물목록!$P$2:$P$1001,I797))*(실물목록!$R$2:$R$1001&lt;&gt;""))&gt;0,"확인필요(입력누락)",IF(SUMPRODUCT((실물목록!$P$2:$P$1001&lt;&gt;"")*ISNUMBER(SEARCH(실물목록!$P$2:$P$1001,I797))*(실물목록!$Q$2:$Q$1001&lt;&gt;"")*ISNUMBER(SEARCH(실물목록!$Q$2:$Q$1001,I797))*(실물목록!$R$2:$R$1001="")*(실물목록!$O$2:$O$1001&lt;&gt;""))&gt;0,"확인필요(연도다름)","실물 없음")))))</f>
      </c>
      <c r="G797" t="n" s="16">
        <f aca="0">IF(B797="","",SUMPRODUCT((실물목록!$P$2:$P$1001&lt;&gt;"")*ISNUMBER(SEARCH(실물목록!$P$2:$P$1001,I797))*(실물목록!$Q$2:$Q$1001&lt;&gt;"")*ISNUMBER(SEARCH(실물목록!$Q$2:$Q$1001,I797))*(실물목록!$R$2:$R$1001="")*(실물목록!$O$2:$O$1001&lt;&gt;"")*(실물목록!$O$2:$O$1001=H797)))</f>
      </c>
      <c r="H797" t="str">
        <f>IFERROR(IF(AND(LEN(SUBSTITUTE(SUBSTITUTE(SUBSTITUTE(TRIM(A797&amp;""),CHAR(160),"")," ",""),"년",""))=4,VALUE(SUBSTITUTE(SUBSTITUTE(SUBSTITUTE(TRIM(A797&amp;""),CHAR(160),"")," ",""),"년",""))&gt;=1900,VALUE(SUBSTITUTE(SUBSTITUTE(SUBSTITUTE(TRIM(A797&amp;""),CHAR(160),"")," ",""),"년",""))&lt;=2099,TEXT(VALUE(SUBSTITUTE(SUBSTITUTE(SUBSTITUTE(TRIM(A797&amp;""),CHAR(160),"")," ",""),"년","")),"0000")=SUBSTITUTE(SUBSTITUTE(SUBSTITUTE(TRIM(A797&amp;""),CHAR(160),"")," ",""),"년","")),SUBSTITUTE(SUBSTITUTE(SUBSTITUTE(TRIM(A797&amp;""),CHAR(160),"")," ",""),"년",""),""),"")</f>
      </c>
      <c r="I797" t="str">
        <f>SUBSTITUTE(SUBSTITUTE(SUBSTITUTE(SUBSTITUTE(SUBSTITUTE(TRIM(B797&amp;""),CHAR(160),"")," ",""),"초등학교","초"),"중학교","중"),"고등학교","고")</f>
      </c>
    </row>
    <row r="798" customFormat="false" ht="15" hidden="false" customHeight="false" outlineLevel="0" collapsed="false">
      <c r="A798" s="8"/>
      <c r="B798" s="8"/>
      <c r="C798" s="8"/>
      <c r="D798" s="8"/>
      <c r="E798" s="8"/>
      <c r="F798" t="str" s="15">
        <f aca="0">IF(B798="","",IF(H798="","확인필요(입력누락)",IF(SUMPRODUCT((실물목록!$P$2:$P$1001&lt;&gt;"")*ISNUMBER(SEARCH(실물목록!$P$2:$P$1001,I798))*(실물목록!$Q$2:$Q$1001&lt;&gt;"")*ISNUMBER(SEARCH(실물목록!$Q$2:$Q$1001,I798))*(실물목록!$R$2:$R$1001="")*(실물목록!$O$2:$O$1001&lt;&gt;"")*(실물목록!$O$2:$O$1001=H798))&gt;0,"실물 있음",IF(SUMPRODUCT((실물목록!$P$2:$P$1001&lt;&gt;"")*ISNUMBER(SEARCH(실물목록!$P$2:$P$1001,I798))*(실물목록!$R$2:$R$1001&lt;&gt;""))&gt;0,"확인필요(입력누락)",IF(SUMPRODUCT((실물목록!$P$2:$P$1001&lt;&gt;"")*ISNUMBER(SEARCH(실물목록!$P$2:$P$1001,I798))*(실물목록!$Q$2:$Q$1001&lt;&gt;"")*ISNUMBER(SEARCH(실물목록!$Q$2:$Q$1001,I798))*(실물목록!$R$2:$R$1001="")*(실물목록!$O$2:$O$1001&lt;&gt;""))&gt;0,"확인필요(연도다름)","실물 없음")))))</f>
      </c>
      <c r="G798" t="n" s="16">
        <f aca="0">IF(B798="","",SUMPRODUCT((실물목록!$P$2:$P$1001&lt;&gt;"")*ISNUMBER(SEARCH(실물목록!$P$2:$P$1001,I798))*(실물목록!$Q$2:$Q$1001&lt;&gt;"")*ISNUMBER(SEARCH(실물목록!$Q$2:$Q$1001,I798))*(실물목록!$R$2:$R$1001="")*(실물목록!$O$2:$O$1001&lt;&gt;"")*(실물목록!$O$2:$O$1001=H798)))</f>
      </c>
      <c r="H798" t="str">
        <f>IFERROR(IF(AND(LEN(SUBSTITUTE(SUBSTITUTE(SUBSTITUTE(TRIM(A798&amp;""),CHAR(160),"")," ",""),"년",""))=4,VALUE(SUBSTITUTE(SUBSTITUTE(SUBSTITUTE(TRIM(A798&amp;""),CHAR(160),"")," ",""),"년",""))&gt;=1900,VALUE(SUBSTITUTE(SUBSTITUTE(SUBSTITUTE(TRIM(A798&amp;""),CHAR(160),"")," ",""),"년",""))&lt;=2099,TEXT(VALUE(SUBSTITUTE(SUBSTITUTE(SUBSTITUTE(TRIM(A798&amp;""),CHAR(160),"")," ",""),"년","")),"0000")=SUBSTITUTE(SUBSTITUTE(SUBSTITUTE(TRIM(A798&amp;""),CHAR(160),"")," ",""),"년","")),SUBSTITUTE(SUBSTITUTE(SUBSTITUTE(TRIM(A798&amp;""),CHAR(160),"")," ",""),"년",""),""),"")</f>
      </c>
      <c r="I798" t="str">
        <f>SUBSTITUTE(SUBSTITUTE(SUBSTITUTE(SUBSTITUTE(SUBSTITUTE(TRIM(B798&amp;""),CHAR(160),"")," ",""),"초등학교","초"),"중학교","중"),"고등학교","고")</f>
      </c>
    </row>
    <row r="799" customFormat="false" ht="15" hidden="false" customHeight="false" outlineLevel="0" collapsed="false">
      <c r="A799" s="8"/>
      <c r="B799" s="8"/>
      <c r="C799" s="8"/>
      <c r="D799" s="8"/>
      <c r="E799" s="8"/>
      <c r="F799" t="str" s="15">
        <f aca="0">IF(B799="","",IF(H799="","확인필요(입력누락)",IF(SUMPRODUCT((실물목록!$P$2:$P$1001&lt;&gt;"")*ISNUMBER(SEARCH(실물목록!$P$2:$P$1001,I799))*(실물목록!$Q$2:$Q$1001&lt;&gt;"")*ISNUMBER(SEARCH(실물목록!$Q$2:$Q$1001,I799))*(실물목록!$R$2:$R$1001="")*(실물목록!$O$2:$O$1001&lt;&gt;"")*(실물목록!$O$2:$O$1001=H799))&gt;0,"실물 있음",IF(SUMPRODUCT((실물목록!$P$2:$P$1001&lt;&gt;"")*ISNUMBER(SEARCH(실물목록!$P$2:$P$1001,I799))*(실물목록!$R$2:$R$1001&lt;&gt;""))&gt;0,"확인필요(입력누락)",IF(SUMPRODUCT((실물목록!$P$2:$P$1001&lt;&gt;"")*ISNUMBER(SEARCH(실물목록!$P$2:$P$1001,I799))*(실물목록!$Q$2:$Q$1001&lt;&gt;"")*ISNUMBER(SEARCH(실물목록!$Q$2:$Q$1001,I799))*(실물목록!$R$2:$R$1001="")*(실물목록!$O$2:$O$1001&lt;&gt;""))&gt;0,"확인필요(연도다름)","실물 없음")))))</f>
      </c>
      <c r="G799" t="n" s="16">
        <f aca="0">IF(B799="","",SUMPRODUCT((실물목록!$P$2:$P$1001&lt;&gt;"")*ISNUMBER(SEARCH(실물목록!$P$2:$P$1001,I799))*(실물목록!$Q$2:$Q$1001&lt;&gt;"")*ISNUMBER(SEARCH(실물목록!$Q$2:$Q$1001,I799))*(실물목록!$R$2:$R$1001="")*(실물목록!$O$2:$O$1001&lt;&gt;"")*(실물목록!$O$2:$O$1001=H799)))</f>
      </c>
      <c r="H799" t="str">
        <f>IFERROR(IF(AND(LEN(SUBSTITUTE(SUBSTITUTE(SUBSTITUTE(TRIM(A799&amp;""),CHAR(160),"")," ",""),"년",""))=4,VALUE(SUBSTITUTE(SUBSTITUTE(SUBSTITUTE(TRIM(A799&amp;""),CHAR(160),"")," ",""),"년",""))&gt;=1900,VALUE(SUBSTITUTE(SUBSTITUTE(SUBSTITUTE(TRIM(A799&amp;""),CHAR(160),"")," ",""),"년",""))&lt;=2099,TEXT(VALUE(SUBSTITUTE(SUBSTITUTE(SUBSTITUTE(TRIM(A799&amp;""),CHAR(160),"")," ",""),"년","")),"0000")=SUBSTITUTE(SUBSTITUTE(SUBSTITUTE(TRIM(A799&amp;""),CHAR(160),"")," ",""),"년","")),SUBSTITUTE(SUBSTITUTE(SUBSTITUTE(TRIM(A799&amp;""),CHAR(160),"")," ",""),"년",""),""),"")</f>
      </c>
      <c r="I799" t="str">
        <f>SUBSTITUTE(SUBSTITUTE(SUBSTITUTE(SUBSTITUTE(SUBSTITUTE(TRIM(B799&amp;""),CHAR(160),"")," ",""),"초등학교","초"),"중학교","중"),"고등학교","고")</f>
      </c>
    </row>
    <row r="800" customFormat="false" ht="15" hidden="false" customHeight="false" outlineLevel="0" collapsed="false">
      <c r="A800" s="8"/>
      <c r="B800" s="8"/>
      <c r="C800" s="8"/>
      <c r="D800" s="8"/>
      <c r="E800" s="8"/>
      <c r="F800" t="str" s="15">
        <f aca="0">IF(B800="","",IF(H800="","확인필요(입력누락)",IF(SUMPRODUCT((실물목록!$P$2:$P$1001&lt;&gt;"")*ISNUMBER(SEARCH(실물목록!$P$2:$P$1001,I800))*(실물목록!$Q$2:$Q$1001&lt;&gt;"")*ISNUMBER(SEARCH(실물목록!$Q$2:$Q$1001,I800))*(실물목록!$R$2:$R$1001="")*(실물목록!$O$2:$O$1001&lt;&gt;"")*(실물목록!$O$2:$O$1001=H800))&gt;0,"실물 있음",IF(SUMPRODUCT((실물목록!$P$2:$P$1001&lt;&gt;"")*ISNUMBER(SEARCH(실물목록!$P$2:$P$1001,I800))*(실물목록!$R$2:$R$1001&lt;&gt;""))&gt;0,"확인필요(입력누락)",IF(SUMPRODUCT((실물목록!$P$2:$P$1001&lt;&gt;"")*ISNUMBER(SEARCH(실물목록!$P$2:$P$1001,I800))*(실물목록!$Q$2:$Q$1001&lt;&gt;"")*ISNUMBER(SEARCH(실물목록!$Q$2:$Q$1001,I800))*(실물목록!$R$2:$R$1001="")*(실물목록!$O$2:$O$1001&lt;&gt;""))&gt;0,"확인필요(연도다름)","실물 없음")))))</f>
      </c>
      <c r="G800" t="n" s="16">
        <f aca="0">IF(B800="","",SUMPRODUCT((실물목록!$P$2:$P$1001&lt;&gt;"")*ISNUMBER(SEARCH(실물목록!$P$2:$P$1001,I800))*(실물목록!$Q$2:$Q$1001&lt;&gt;"")*ISNUMBER(SEARCH(실물목록!$Q$2:$Q$1001,I800))*(실물목록!$R$2:$R$1001="")*(실물목록!$O$2:$O$1001&lt;&gt;"")*(실물목록!$O$2:$O$1001=H800)))</f>
      </c>
      <c r="H800" t="str">
        <f>IFERROR(IF(AND(LEN(SUBSTITUTE(SUBSTITUTE(SUBSTITUTE(TRIM(A800&amp;""),CHAR(160),"")," ",""),"년",""))=4,VALUE(SUBSTITUTE(SUBSTITUTE(SUBSTITUTE(TRIM(A800&amp;""),CHAR(160),"")," ",""),"년",""))&gt;=1900,VALUE(SUBSTITUTE(SUBSTITUTE(SUBSTITUTE(TRIM(A800&amp;""),CHAR(160),"")," ",""),"년",""))&lt;=2099,TEXT(VALUE(SUBSTITUTE(SUBSTITUTE(SUBSTITUTE(TRIM(A800&amp;""),CHAR(160),"")," ",""),"년","")),"0000")=SUBSTITUTE(SUBSTITUTE(SUBSTITUTE(TRIM(A800&amp;""),CHAR(160),"")," ",""),"년","")),SUBSTITUTE(SUBSTITUTE(SUBSTITUTE(TRIM(A800&amp;""),CHAR(160),"")," ",""),"년",""),""),"")</f>
      </c>
      <c r="I800" t="str">
        <f>SUBSTITUTE(SUBSTITUTE(SUBSTITUTE(SUBSTITUTE(SUBSTITUTE(TRIM(B800&amp;""),CHAR(160),"")," ",""),"초등학교","초"),"중학교","중"),"고등학교","고")</f>
      </c>
    </row>
    <row r="801" customFormat="false" ht="15" hidden="false" customHeight="false" outlineLevel="0" collapsed="false">
      <c r="A801" s="8"/>
      <c r="B801" s="8"/>
      <c r="C801" s="8"/>
      <c r="D801" s="8"/>
      <c r="E801" s="8"/>
      <c r="F801" t="str" s="15">
        <f aca="0">IF(B801="","",IF(H801="","확인필요(입력누락)",IF(SUMPRODUCT((실물목록!$P$2:$P$1001&lt;&gt;"")*ISNUMBER(SEARCH(실물목록!$P$2:$P$1001,I801))*(실물목록!$Q$2:$Q$1001&lt;&gt;"")*ISNUMBER(SEARCH(실물목록!$Q$2:$Q$1001,I801))*(실물목록!$R$2:$R$1001="")*(실물목록!$O$2:$O$1001&lt;&gt;"")*(실물목록!$O$2:$O$1001=H801))&gt;0,"실물 있음",IF(SUMPRODUCT((실물목록!$P$2:$P$1001&lt;&gt;"")*ISNUMBER(SEARCH(실물목록!$P$2:$P$1001,I801))*(실물목록!$R$2:$R$1001&lt;&gt;""))&gt;0,"확인필요(입력누락)",IF(SUMPRODUCT((실물목록!$P$2:$P$1001&lt;&gt;"")*ISNUMBER(SEARCH(실물목록!$P$2:$P$1001,I801))*(실물목록!$Q$2:$Q$1001&lt;&gt;"")*ISNUMBER(SEARCH(실물목록!$Q$2:$Q$1001,I801))*(실물목록!$R$2:$R$1001="")*(실물목록!$O$2:$O$1001&lt;&gt;""))&gt;0,"확인필요(연도다름)","실물 없음")))))</f>
      </c>
      <c r="G801" t="n" s="16">
        <f aca="0">IF(B801="","",SUMPRODUCT((실물목록!$P$2:$P$1001&lt;&gt;"")*ISNUMBER(SEARCH(실물목록!$P$2:$P$1001,I801))*(실물목록!$Q$2:$Q$1001&lt;&gt;"")*ISNUMBER(SEARCH(실물목록!$Q$2:$Q$1001,I801))*(실물목록!$R$2:$R$1001="")*(실물목록!$O$2:$O$1001&lt;&gt;"")*(실물목록!$O$2:$O$1001=H801)))</f>
      </c>
      <c r="H801" t="str">
        <f>IFERROR(IF(AND(LEN(SUBSTITUTE(SUBSTITUTE(SUBSTITUTE(TRIM(A801&amp;""),CHAR(160),"")," ",""),"년",""))=4,VALUE(SUBSTITUTE(SUBSTITUTE(SUBSTITUTE(TRIM(A801&amp;""),CHAR(160),"")," ",""),"년",""))&gt;=1900,VALUE(SUBSTITUTE(SUBSTITUTE(SUBSTITUTE(TRIM(A801&amp;""),CHAR(160),"")," ",""),"년",""))&lt;=2099,TEXT(VALUE(SUBSTITUTE(SUBSTITUTE(SUBSTITUTE(TRIM(A801&amp;""),CHAR(160),"")," ",""),"년","")),"0000")=SUBSTITUTE(SUBSTITUTE(SUBSTITUTE(TRIM(A801&amp;""),CHAR(160),"")," ",""),"년","")),SUBSTITUTE(SUBSTITUTE(SUBSTITUTE(TRIM(A801&amp;""),CHAR(160),"")," ",""),"년",""),""),"")</f>
      </c>
      <c r="I801" t="str">
        <f>SUBSTITUTE(SUBSTITUTE(SUBSTITUTE(SUBSTITUTE(SUBSTITUTE(TRIM(B801&amp;""),CHAR(160),"")," ",""),"초등학교","초"),"중학교","중"),"고등학교","고")</f>
      </c>
    </row>
    <row r="802" customFormat="false" ht="15" hidden="false" customHeight="false" outlineLevel="0" collapsed="false">
      <c r="A802" s="8"/>
      <c r="B802" s="8"/>
      <c r="C802" s="8"/>
      <c r="D802" s="8"/>
      <c r="E802" s="8"/>
      <c r="F802" t="str" s="15">
        <f aca="0">IF(B802="","",IF(H802="","확인필요(입력누락)",IF(SUMPRODUCT((실물목록!$P$2:$P$1001&lt;&gt;"")*ISNUMBER(SEARCH(실물목록!$P$2:$P$1001,I802))*(실물목록!$Q$2:$Q$1001&lt;&gt;"")*ISNUMBER(SEARCH(실물목록!$Q$2:$Q$1001,I802))*(실물목록!$R$2:$R$1001="")*(실물목록!$O$2:$O$1001&lt;&gt;"")*(실물목록!$O$2:$O$1001=H802))&gt;0,"실물 있음",IF(SUMPRODUCT((실물목록!$P$2:$P$1001&lt;&gt;"")*ISNUMBER(SEARCH(실물목록!$P$2:$P$1001,I802))*(실물목록!$R$2:$R$1001&lt;&gt;""))&gt;0,"확인필요(입력누락)",IF(SUMPRODUCT((실물목록!$P$2:$P$1001&lt;&gt;"")*ISNUMBER(SEARCH(실물목록!$P$2:$P$1001,I802))*(실물목록!$Q$2:$Q$1001&lt;&gt;"")*ISNUMBER(SEARCH(실물목록!$Q$2:$Q$1001,I802))*(실물목록!$R$2:$R$1001="")*(실물목록!$O$2:$O$1001&lt;&gt;""))&gt;0,"확인필요(연도다름)","실물 없음")))))</f>
      </c>
      <c r="G802" t="n" s="16">
        <f aca="0">IF(B802="","",SUMPRODUCT((실물목록!$P$2:$P$1001&lt;&gt;"")*ISNUMBER(SEARCH(실물목록!$P$2:$P$1001,I802))*(실물목록!$Q$2:$Q$1001&lt;&gt;"")*ISNUMBER(SEARCH(실물목록!$Q$2:$Q$1001,I802))*(실물목록!$R$2:$R$1001="")*(실물목록!$O$2:$O$1001&lt;&gt;"")*(실물목록!$O$2:$O$1001=H802)))</f>
      </c>
      <c r="H802" t="str">
        <f>IFERROR(IF(AND(LEN(SUBSTITUTE(SUBSTITUTE(SUBSTITUTE(TRIM(A802&amp;""),CHAR(160),"")," ",""),"년",""))=4,VALUE(SUBSTITUTE(SUBSTITUTE(SUBSTITUTE(TRIM(A802&amp;""),CHAR(160),"")," ",""),"년",""))&gt;=1900,VALUE(SUBSTITUTE(SUBSTITUTE(SUBSTITUTE(TRIM(A802&amp;""),CHAR(160),"")," ",""),"년",""))&lt;=2099,TEXT(VALUE(SUBSTITUTE(SUBSTITUTE(SUBSTITUTE(TRIM(A802&amp;""),CHAR(160),"")," ",""),"년","")),"0000")=SUBSTITUTE(SUBSTITUTE(SUBSTITUTE(TRIM(A802&amp;""),CHAR(160),"")," ",""),"년","")),SUBSTITUTE(SUBSTITUTE(SUBSTITUTE(TRIM(A802&amp;""),CHAR(160),"")," ",""),"년",""),""),"")</f>
      </c>
      <c r="I802" t="str">
        <f>SUBSTITUTE(SUBSTITUTE(SUBSTITUTE(SUBSTITUTE(SUBSTITUTE(TRIM(B802&amp;""),CHAR(160),"")," ",""),"초등학교","초"),"중학교","중"),"고등학교","고")</f>
      </c>
    </row>
    <row r="803" customFormat="false" ht="15" hidden="false" customHeight="false" outlineLevel="0" collapsed="false">
      <c r="A803" s="8"/>
      <c r="B803" s="8"/>
      <c r="C803" s="8"/>
      <c r="D803" s="8"/>
      <c r="E803" s="8"/>
      <c r="F803" t="str" s="15">
        <f aca="0">IF(B803="","",IF(H803="","확인필요(입력누락)",IF(SUMPRODUCT((실물목록!$P$2:$P$1001&lt;&gt;"")*ISNUMBER(SEARCH(실물목록!$P$2:$P$1001,I803))*(실물목록!$Q$2:$Q$1001&lt;&gt;"")*ISNUMBER(SEARCH(실물목록!$Q$2:$Q$1001,I803))*(실물목록!$R$2:$R$1001="")*(실물목록!$O$2:$O$1001&lt;&gt;"")*(실물목록!$O$2:$O$1001=H803))&gt;0,"실물 있음",IF(SUMPRODUCT((실물목록!$P$2:$P$1001&lt;&gt;"")*ISNUMBER(SEARCH(실물목록!$P$2:$P$1001,I803))*(실물목록!$R$2:$R$1001&lt;&gt;""))&gt;0,"확인필요(입력누락)",IF(SUMPRODUCT((실물목록!$P$2:$P$1001&lt;&gt;"")*ISNUMBER(SEARCH(실물목록!$P$2:$P$1001,I803))*(실물목록!$Q$2:$Q$1001&lt;&gt;"")*ISNUMBER(SEARCH(실물목록!$Q$2:$Q$1001,I803))*(실물목록!$R$2:$R$1001="")*(실물목록!$O$2:$O$1001&lt;&gt;""))&gt;0,"확인필요(연도다름)","실물 없음")))))</f>
      </c>
      <c r="G803" t="n" s="16">
        <f aca="0">IF(B803="","",SUMPRODUCT((실물목록!$P$2:$P$1001&lt;&gt;"")*ISNUMBER(SEARCH(실물목록!$P$2:$P$1001,I803))*(실물목록!$Q$2:$Q$1001&lt;&gt;"")*ISNUMBER(SEARCH(실물목록!$Q$2:$Q$1001,I803))*(실물목록!$R$2:$R$1001="")*(실물목록!$O$2:$O$1001&lt;&gt;"")*(실물목록!$O$2:$O$1001=H803)))</f>
      </c>
      <c r="H803" t="str">
        <f>IFERROR(IF(AND(LEN(SUBSTITUTE(SUBSTITUTE(SUBSTITUTE(TRIM(A803&amp;""),CHAR(160),"")," ",""),"년",""))=4,VALUE(SUBSTITUTE(SUBSTITUTE(SUBSTITUTE(TRIM(A803&amp;""),CHAR(160),"")," ",""),"년",""))&gt;=1900,VALUE(SUBSTITUTE(SUBSTITUTE(SUBSTITUTE(TRIM(A803&amp;""),CHAR(160),"")," ",""),"년",""))&lt;=2099,TEXT(VALUE(SUBSTITUTE(SUBSTITUTE(SUBSTITUTE(TRIM(A803&amp;""),CHAR(160),"")," ",""),"년","")),"0000")=SUBSTITUTE(SUBSTITUTE(SUBSTITUTE(TRIM(A803&amp;""),CHAR(160),"")," ",""),"년","")),SUBSTITUTE(SUBSTITUTE(SUBSTITUTE(TRIM(A803&amp;""),CHAR(160),"")," ",""),"년",""),""),"")</f>
      </c>
      <c r="I803" t="str">
        <f>SUBSTITUTE(SUBSTITUTE(SUBSTITUTE(SUBSTITUTE(SUBSTITUTE(TRIM(B803&amp;""),CHAR(160),"")," ",""),"초등학교","초"),"중학교","중"),"고등학교","고")</f>
      </c>
    </row>
    <row r="804" customFormat="false" ht="15" hidden="false" customHeight="false" outlineLevel="0" collapsed="false">
      <c r="A804" s="8"/>
      <c r="B804" s="8"/>
      <c r="C804" s="8"/>
      <c r="D804" s="8"/>
      <c r="E804" s="8"/>
      <c r="F804" t="str" s="15">
        <f aca="0">IF(B804="","",IF(H804="","확인필요(입력누락)",IF(SUMPRODUCT((실물목록!$P$2:$P$1001&lt;&gt;"")*ISNUMBER(SEARCH(실물목록!$P$2:$P$1001,I804))*(실물목록!$Q$2:$Q$1001&lt;&gt;"")*ISNUMBER(SEARCH(실물목록!$Q$2:$Q$1001,I804))*(실물목록!$R$2:$R$1001="")*(실물목록!$O$2:$O$1001&lt;&gt;"")*(실물목록!$O$2:$O$1001=H804))&gt;0,"실물 있음",IF(SUMPRODUCT((실물목록!$P$2:$P$1001&lt;&gt;"")*ISNUMBER(SEARCH(실물목록!$P$2:$P$1001,I804))*(실물목록!$R$2:$R$1001&lt;&gt;""))&gt;0,"확인필요(입력누락)",IF(SUMPRODUCT((실물목록!$P$2:$P$1001&lt;&gt;"")*ISNUMBER(SEARCH(실물목록!$P$2:$P$1001,I804))*(실물목록!$Q$2:$Q$1001&lt;&gt;"")*ISNUMBER(SEARCH(실물목록!$Q$2:$Q$1001,I804))*(실물목록!$R$2:$R$1001="")*(실물목록!$O$2:$O$1001&lt;&gt;""))&gt;0,"확인필요(연도다름)","실물 없음")))))</f>
      </c>
      <c r="G804" t="n" s="16">
        <f aca="0">IF(B804="","",SUMPRODUCT((실물목록!$P$2:$P$1001&lt;&gt;"")*ISNUMBER(SEARCH(실물목록!$P$2:$P$1001,I804))*(실물목록!$Q$2:$Q$1001&lt;&gt;"")*ISNUMBER(SEARCH(실물목록!$Q$2:$Q$1001,I804))*(실물목록!$R$2:$R$1001="")*(실물목록!$O$2:$O$1001&lt;&gt;"")*(실물목록!$O$2:$O$1001=H804)))</f>
      </c>
      <c r="H804" t="str">
        <f>IFERROR(IF(AND(LEN(SUBSTITUTE(SUBSTITUTE(SUBSTITUTE(TRIM(A804&amp;""),CHAR(160),"")," ",""),"년",""))=4,VALUE(SUBSTITUTE(SUBSTITUTE(SUBSTITUTE(TRIM(A804&amp;""),CHAR(160),"")," ",""),"년",""))&gt;=1900,VALUE(SUBSTITUTE(SUBSTITUTE(SUBSTITUTE(TRIM(A804&amp;""),CHAR(160),"")," ",""),"년",""))&lt;=2099,TEXT(VALUE(SUBSTITUTE(SUBSTITUTE(SUBSTITUTE(TRIM(A804&amp;""),CHAR(160),"")," ",""),"년","")),"0000")=SUBSTITUTE(SUBSTITUTE(SUBSTITUTE(TRIM(A804&amp;""),CHAR(160),"")," ",""),"년","")),SUBSTITUTE(SUBSTITUTE(SUBSTITUTE(TRIM(A804&amp;""),CHAR(160),"")," ",""),"년",""),""),"")</f>
      </c>
      <c r="I804" t="str">
        <f>SUBSTITUTE(SUBSTITUTE(SUBSTITUTE(SUBSTITUTE(SUBSTITUTE(TRIM(B804&amp;""),CHAR(160),"")," ",""),"초등학교","초"),"중학교","중"),"고등학교","고")</f>
      </c>
    </row>
    <row r="805" customFormat="false" ht="15" hidden="false" customHeight="false" outlineLevel="0" collapsed="false">
      <c r="A805" s="8"/>
      <c r="B805" s="8"/>
      <c r="C805" s="8"/>
      <c r="D805" s="8"/>
      <c r="E805" s="8"/>
      <c r="F805" t="str" s="15">
        <f aca="0">IF(B805="","",IF(H805="","확인필요(입력누락)",IF(SUMPRODUCT((실물목록!$P$2:$P$1001&lt;&gt;"")*ISNUMBER(SEARCH(실물목록!$P$2:$P$1001,I805))*(실물목록!$Q$2:$Q$1001&lt;&gt;"")*ISNUMBER(SEARCH(실물목록!$Q$2:$Q$1001,I805))*(실물목록!$R$2:$R$1001="")*(실물목록!$O$2:$O$1001&lt;&gt;"")*(실물목록!$O$2:$O$1001=H805))&gt;0,"실물 있음",IF(SUMPRODUCT((실물목록!$P$2:$P$1001&lt;&gt;"")*ISNUMBER(SEARCH(실물목록!$P$2:$P$1001,I805))*(실물목록!$R$2:$R$1001&lt;&gt;""))&gt;0,"확인필요(입력누락)",IF(SUMPRODUCT((실물목록!$P$2:$P$1001&lt;&gt;"")*ISNUMBER(SEARCH(실물목록!$P$2:$P$1001,I805))*(실물목록!$Q$2:$Q$1001&lt;&gt;"")*ISNUMBER(SEARCH(실물목록!$Q$2:$Q$1001,I805))*(실물목록!$R$2:$R$1001="")*(실물목록!$O$2:$O$1001&lt;&gt;""))&gt;0,"확인필요(연도다름)","실물 없음")))))</f>
      </c>
      <c r="G805" t="n" s="16">
        <f aca="0">IF(B805="","",SUMPRODUCT((실물목록!$P$2:$P$1001&lt;&gt;"")*ISNUMBER(SEARCH(실물목록!$P$2:$P$1001,I805))*(실물목록!$Q$2:$Q$1001&lt;&gt;"")*ISNUMBER(SEARCH(실물목록!$Q$2:$Q$1001,I805))*(실물목록!$R$2:$R$1001="")*(실물목록!$O$2:$O$1001&lt;&gt;"")*(실물목록!$O$2:$O$1001=H805)))</f>
      </c>
      <c r="H805" t="str">
        <f>IFERROR(IF(AND(LEN(SUBSTITUTE(SUBSTITUTE(SUBSTITUTE(TRIM(A805&amp;""),CHAR(160),"")," ",""),"년",""))=4,VALUE(SUBSTITUTE(SUBSTITUTE(SUBSTITUTE(TRIM(A805&amp;""),CHAR(160),"")," ",""),"년",""))&gt;=1900,VALUE(SUBSTITUTE(SUBSTITUTE(SUBSTITUTE(TRIM(A805&amp;""),CHAR(160),"")," ",""),"년",""))&lt;=2099,TEXT(VALUE(SUBSTITUTE(SUBSTITUTE(SUBSTITUTE(TRIM(A805&amp;""),CHAR(160),"")," ",""),"년","")),"0000")=SUBSTITUTE(SUBSTITUTE(SUBSTITUTE(TRIM(A805&amp;""),CHAR(160),"")," ",""),"년","")),SUBSTITUTE(SUBSTITUTE(SUBSTITUTE(TRIM(A805&amp;""),CHAR(160),"")," ",""),"년",""),""),"")</f>
      </c>
      <c r="I805" t="str">
        <f>SUBSTITUTE(SUBSTITUTE(SUBSTITUTE(SUBSTITUTE(SUBSTITUTE(TRIM(B805&amp;""),CHAR(160),"")," ",""),"초등학교","초"),"중학교","중"),"고등학교","고")</f>
      </c>
    </row>
    <row r="806" customFormat="false" ht="15" hidden="false" customHeight="false" outlineLevel="0" collapsed="false">
      <c r="A806" s="8"/>
      <c r="B806" s="8"/>
      <c r="C806" s="8"/>
      <c r="D806" s="8"/>
      <c r="E806" s="8"/>
      <c r="F806" t="str" s="15">
        <f aca="0">IF(B806="","",IF(H806="","확인필요(입력누락)",IF(SUMPRODUCT((실물목록!$P$2:$P$1001&lt;&gt;"")*ISNUMBER(SEARCH(실물목록!$P$2:$P$1001,I806))*(실물목록!$Q$2:$Q$1001&lt;&gt;"")*ISNUMBER(SEARCH(실물목록!$Q$2:$Q$1001,I806))*(실물목록!$R$2:$R$1001="")*(실물목록!$O$2:$O$1001&lt;&gt;"")*(실물목록!$O$2:$O$1001=H806))&gt;0,"실물 있음",IF(SUMPRODUCT((실물목록!$P$2:$P$1001&lt;&gt;"")*ISNUMBER(SEARCH(실물목록!$P$2:$P$1001,I806))*(실물목록!$R$2:$R$1001&lt;&gt;""))&gt;0,"확인필요(입력누락)",IF(SUMPRODUCT((실물목록!$P$2:$P$1001&lt;&gt;"")*ISNUMBER(SEARCH(실물목록!$P$2:$P$1001,I806))*(실물목록!$Q$2:$Q$1001&lt;&gt;"")*ISNUMBER(SEARCH(실물목록!$Q$2:$Q$1001,I806))*(실물목록!$R$2:$R$1001="")*(실물목록!$O$2:$O$1001&lt;&gt;""))&gt;0,"확인필요(연도다름)","실물 없음")))))</f>
      </c>
      <c r="G806" t="n" s="16">
        <f aca="0">IF(B806="","",SUMPRODUCT((실물목록!$P$2:$P$1001&lt;&gt;"")*ISNUMBER(SEARCH(실물목록!$P$2:$P$1001,I806))*(실물목록!$Q$2:$Q$1001&lt;&gt;"")*ISNUMBER(SEARCH(실물목록!$Q$2:$Q$1001,I806))*(실물목록!$R$2:$R$1001="")*(실물목록!$O$2:$O$1001&lt;&gt;"")*(실물목록!$O$2:$O$1001=H806)))</f>
      </c>
      <c r="H806" t="str">
        <f>IFERROR(IF(AND(LEN(SUBSTITUTE(SUBSTITUTE(SUBSTITUTE(TRIM(A806&amp;""),CHAR(160),"")," ",""),"년",""))=4,VALUE(SUBSTITUTE(SUBSTITUTE(SUBSTITUTE(TRIM(A806&amp;""),CHAR(160),"")," ",""),"년",""))&gt;=1900,VALUE(SUBSTITUTE(SUBSTITUTE(SUBSTITUTE(TRIM(A806&amp;""),CHAR(160),"")," ",""),"년",""))&lt;=2099,TEXT(VALUE(SUBSTITUTE(SUBSTITUTE(SUBSTITUTE(TRIM(A806&amp;""),CHAR(160),"")," ",""),"년","")),"0000")=SUBSTITUTE(SUBSTITUTE(SUBSTITUTE(TRIM(A806&amp;""),CHAR(160),"")," ",""),"년","")),SUBSTITUTE(SUBSTITUTE(SUBSTITUTE(TRIM(A806&amp;""),CHAR(160),"")," ",""),"년",""),""),"")</f>
      </c>
      <c r="I806" t="str">
        <f>SUBSTITUTE(SUBSTITUTE(SUBSTITUTE(SUBSTITUTE(SUBSTITUTE(TRIM(B806&amp;""),CHAR(160),"")," ",""),"초등학교","초"),"중학교","중"),"고등학교","고")</f>
      </c>
    </row>
    <row r="807" customFormat="false" ht="15" hidden="false" customHeight="false" outlineLevel="0" collapsed="false">
      <c r="A807" s="8"/>
      <c r="B807" s="8"/>
      <c r="C807" s="8"/>
      <c r="D807" s="8"/>
      <c r="E807" s="8"/>
      <c r="F807" t="str" s="15">
        <f aca="0">IF(B807="","",IF(H807="","확인필요(입력누락)",IF(SUMPRODUCT((실물목록!$P$2:$P$1001&lt;&gt;"")*ISNUMBER(SEARCH(실물목록!$P$2:$P$1001,I807))*(실물목록!$Q$2:$Q$1001&lt;&gt;"")*ISNUMBER(SEARCH(실물목록!$Q$2:$Q$1001,I807))*(실물목록!$R$2:$R$1001="")*(실물목록!$O$2:$O$1001&lt;&gt;"")*(실물목록!$O$2:$O$1001=H807))&gt;0,"실물 있음",IF(SUMPRODUCT((실물목록!$P$2:$P$1001&lt;&gt;"")*ISNUMBER(SEARCH(실물목록!$P$2:$P$1001,I807))*(실물목록!$R$2:$R$1001&lt;&gt;""))&gt;0,"확인필요(입력누락)",IF(SUMPRODUCT((실물목록!$P$2:$P$1001&lt;&gt;"")*ISNUMBER(SEARCH(실물목록!$P$2:$P$1001,I807))*(실물목록!$Q$2:$Q$1001&lt;&gt;"")*ISNUMBER(SEARCH(실물목록!$Q$2:$Q$1001,I807))*(실물목록!$R$2:$R$1001="")*(실물목록!$O$2:$O$1001&lt;&gt;""))&gt;0,"확인필요(연도다름)","실물 없음")))))</f>
      </c>
      <c r="G807" t="n" s="16">
        <f aca="0">IF(B807="","",SUMPRODUCT((실물목록!$P$2:$P$1001&lt;&gt;"")*ISNUMBER(SEARCH(실물목록!$P$2:$P$1001,I807))*(실물목록!$Q$2:$Q$1001&lt;&gt;"")*ISNUMBER(SEARCH(실물목록!$Q$2:$Q$1001,I807))*(실물목록!$R$2:$R$1001="")*(실물목록!$O$2:$O$1001&lt;&gt;"")*(실물목록!$O$2:$O$1001=H807)))</f>
      </c>
      <c r="H807" t="str">
        <f>IFERROR(IF(AND(LEN(SUBSTITUTE(SUBSTITUTE(SUBSTITUTE(TRIM(A807&amp;""),CHAR(160),"")," ",""),"년",""))=4,VALUE(SUBSTITUTE(SUBSTITUTE(SUBSTITUTE(TRIM(A807&amp;""),CHAR(160),"")," ",""),"년",""))&gt;=1900,VALUE(SUBSTITUTE(SUBSTITUTE(SUBSTITUTE(TRIM(A807&amp;""),CHAR(160),"")," ",""),"년",""))&lt;=2099,TEXT(VALUE(SUBSTITUTE(SUBSTITUTE(SUBSTITUTE(TRIM(A807&amp;""),CHAR(160),"")," ",""),"년","")),"0000")=SUBSTITUTE(SUBSTITUTE(SUBSTITUTE(TRIM(A807&amp;""),CHAR(160),"")," ",""),"년","")),SUBSTITUTE(SUBSTITUTE(SUBSTITUTE(TRIM(A807&amp;""),CHAR(160),"")," ",""),"년",""),""),"")</f>
      </c>
      <c r="I807" t="str">
        <f>SUBSTITUTE(SUBSTITUTE(SUBSTITUTE(SUBSTITUTE(SUBSTITUTE(TRIM(B807&amp;""),CHAR(160),"")," ",""),"초등학교","초"),"중학교","중"),"고등학교","고")</f>
      </c>
    </row>
    <row r="808" customFormat="false" ht="15" hidden="false" customHeight="false" outlineLevel="0" collapsed="false">
      <c r="A808" s="8"/>
      <c r="B808" s="8"/>
      <c r="C808" s="8"/>
      <c r="D808" s="8"/>
      <c r="E808" s="8"/>
      <c r="F808" t="str" s="15">
        <f aca="0">IF(B808="","",IF(H808="","확인필요(입력누락)",IF(SUMPRODUCT((실물목록!$P$2:$P$1001&lt;&gt;"")*ISNUMBER(SEARCH(실물목록!$P$2:$P$1001,I808))*(실물목록!$Q$2:$Q$1001&lt;&gt;"")*ISNUMBER(SEARCH(실물목록!$Q$2:$Q$1001,I808))*(실물목록!$R$2:$R$1001="")*(실물목록!$O$2:$O$1001&lt;&gt;"")*(실물목록!$O$2:$O$1001=H808))&gt;0,"실물 있음",IF(SUMPRODUCT((실물목록!$P$2:$P$1001&lt;&gt;"")*ISNUMBER(SEARCH(실물목록!$P$2:$P$1001,I808))*(실물목록!$R$2:$R$1001&lt;&gt;""))&gt;0,"확인필요(입력누락)",IF(SUMPRODUCT((실물목록!$P$2:$P$1001&lt;&gt;"")*ISNUMBER(SEARCH(실물목록!$P$2:$P$1001,I808))*(실물목록!$Q$2:$Q$1001&lt;&gt;"")*ISNUMBER(SEARCH(실물목록!$Q$2:$Q$1001,I808))*(실물목록!$R$2:$R$1001="")*(실물목록!$O$2:$O$1001&lt;&gt;""))&gt;0,"확인필요(연도다름)","실물 없음")))))</f>
      </c>
      <c r="G808" t="n" s="16">
        <f aca="0">IF(B808="","",SUMPRODUCT((실물목록!$P$2:$P$1001&lt;&gt;"")*ISNUMBER(SEARCH(실물목록!$P$2:$P$1001,I808))*(실물목록!$Q$2:$Q$1001&lt;&gt;"")*ISNUMBER(SEARCH(실물목록!$Q$2:$Q$1001,I808))*(실물목록!$R$2:$R$1001="")*(실물목록!$O$2:$O$1001&lt;&gt;"")*(실물목록!$O$2:$O$1001=H808)))</f>
      </c>
      <c r="H808" t="str">
        <f>IFERROR(IF(AND(LEN(SUBSTITUTE(SUBSTITUTE(SUBSTITUTE(TRIM(A808&amp;""),CHAR(160),"")," ",""),"년",""))=4,VALUE(SUBSTITUTE(SUBSTITUTE(SUBSTITUTE(TRIM(A808&amp;""),CHAR(160),"")," ",""),"년",""))&gt;=1900,VALUE(SUBSTITUTE(SUBSTITUTE(SUBSTITUTE(TRIM(A808&amp;""),CHAR(160),"")," ",""),"년",""))&lt;=2099,TEXT(VALUE(SUBSTITUTE(SUBSTITUTE(SUBSTITUTE(TRIM(A808&amp;""),CHAR(160),"")," ",""),"년","")),"0000")=SUBSTITUTE(SUBSTITUTE(SUBSTITUTE(TRIM(A808&amp;""),CHAR(160),"")," ",""),"년","")),SUBSTITUTE(SUBSTITUTE(SUBSTITUTE(TRIM(A808&amp;""),CHAR(160),"")," ",""),"년",""),""),"")</f>
      </c>
      <c r="I808" t="str">
        <f>SUBSTITUTE(SUBSTITUTE(SUBSTITUTE(SUBSTITUTE(SUBSTITUTE(TRIM(B808&amp;""),CHAR(160),"")," ",""),"초등학교","초"),"중학교","중"),"고등학교","고")</f>
      </c>
    </row>
    <row r="809" customFormat="false" ht="15" hidden="false" customHeight="false" outlineLevel="0" collapsed="false">
      <c r="A809" s="8"/>
      <c r="B809" s="8"/>
      <c r="C809" s="8"/>
      <c r="D809" s="8"/>
      <c r="E809" s="8"/>
      <c r="F809" t="str" s="15">
        <f aca="0">IF(B809="","",IF(H809="","확인필요(입력누락)",IF(SUMPRODUCT((실물목록!$P$2:$P$1001&lt;&gt;"")*ISNUMBER(SEARCH(실물목록!$P$2:$P$1001,I809))*(실물목록!$Q$2:$Q$1001&lt;&gt;"")*ISNUMBER(SEARCH(실물목록!$Q$2:$Q$1001,I809))*(실물목록!$R$2:$R$1001="")*(실물목록!$O$2:$O$1001&lt;&gt;"")*(실물목록!$O$2:$O$1001=H809))&gt;0,"실물 있음",IF(SUMPRODUCT((실물목록!$P$2:$P$1001&lt;&gt;"")*ISNUMBER(SEARCH(실물목록!$P$2:$P$1001,I809))*(실물목록!$R$2:$R$1001&lt;&gt;""))&gt;0,"확인필요(입력누락)",IF(SUMPRODUCT((실물목록!$P$2:$P$1001&lt;&gt;"")*ISNUMBER(SEARCH(실물목록!$P$2:$P$1001,I809))*(실물목록!$Q$2:$Q$1001&lt;&gt;"")*ISNUMBER(SEARCH(실물목록!$Q$2:$Q$1001,I809))*(실물목록!$R$2:$R$1001="")*(실물목록!$O$2:$O$1001&lt;&gt;""))&gt;0,"확인필요(연도다름)","실물 없음")))))</f>
      </c>
      <c r="G809" t="n" s="16">
        <f aca="0">IF(B809="","",SUMPRODUCT((실물목록!$P$2:$P$1001&lt;&gt;"")*ISNUMBER(SEARCH(실물목록!$P$2:$P$1001,I809))*(실물목록!$Q$2:$Q$1001&lt;&gt;"")*ISNUMBER(SEARCH(실물목록!$Q$2:$Q$1001,I809))*(실물목록!$R$2:$R$1001="")*(실물목록!$O$2:$O$1001&lt;&gt;"")*(실물목록!$O$2:$O$1001=H809)))</f>
      </c>
      <c r="H809" t="str">
        <f>IFERROR(IF(AND(LEN(SUBSTITUTE(SUBSTITUTE(SUBSTITUTE(TRIM(A809&amp;""),CHAR(160),"")," ",""),"년",""))=4,VALUE(SUBSTITUTE(SUBSTITUTE(SUBSTITUTE(TRIM(A809&amp;""),CHAR(160),"")," ",""),"년",""))&gt;=1900,VALUE(SUBSTITUTE(SUBSTITUTE(SUBSTITUTE(TRIM(A809&amp;""),CHAR(160),"")," ",""),"년",""))&lt;=2099,TEXT(VALUE(SUBSTITUTE(SUBSTITUTE(SUBSTITUTE(TRIM(A809&amp;""),CHAR(160),"")," ",""),"년","")),"0000")=SUBSTITUTE(SUBSTITUTE(SUBSTITUTE(TRIM(A809&amp;""),CHAR(160),"")," ",""),"년","")),SUBSTITUTE(SUBSTITUTE(SUBSTITUTE(TRIM(A809&amp;""),CHAR(160),"")," ",""),"년",""),""),"")</f>
      </c>
      <c r="I809" t="str">
        <f>SUBSTITUTE(SUBSTITUTE(SUBSTITUTE(SUBSTITUTE(SUBSTITUTE(TRIM(B809&amp;""),CHAR(160),"")," ",""),"초등학교","초"),"중학교","중"),"고등학교","고")</f>
      </c>
    </row>
    <row r="810" customFormat="false" ht="15" hidden="false" customHeight="false" outlineLevel="0" collapsed="false">
      <c r="A810" s="8"/>
      <c r="B810" s="8"/>
      <c r="C810" s="8"/>
      <c r="D810" s="8"/>
      <c r="E810" s="8"/>
      <c r="F810" t="str" s="15">
        <f aca="0">IF(B810="","",IF(H810="","확인필요(입력누락)",IF(SUMPRODUCT((실물목록!$P$2:$P$1001&lt;&gt;"")*ISNUMBER(SEARCH(실물목록!$P$2:$P$1001,I810))*(실물목록!$Q$2:$Q$1001&lt;&gt;"")*ISNUMBER(SEARCH(실물목록!$Q$2:$Q$1001,I810))*(실물목록!$R$2:$R$1001="")*(실물목록!$O$2:$O$1001&lt;&gt;"")*(실물목록!$O$2:$O$1001=H810))&gt;0,"실물 있음",IF(SUMPRODUCT((실물목록!$P$2:$P$1001&lt;&gt;"")*ISNUMBER(SEARCH(실물목록!$P$2:$P$1001,I810))*(실물목록!$R$2:$R$1001&lt;&gt;""))&gt;0,"확인필요(입력누락)",IF(SUMPRODUCT((실물목록!$P$2:$P$1001&lt;&gt;"")*ISNUMBER(SEARCH(실물목록!$P$2:$P$1001,I810))*(실물목록!$Q$2:$Q$1001&lt;&gt;"")*ISNUMBER(SEARCH(실물목록!$Q$2:$Q$1001,I810))*(실물목록!$R$2:$R$1001="")*(실물목록!$O$2:$O$1001&lt;&gt;""))&gt;0,"확인필요(연도다름)","실물 없음")))))</f>
      </c>
      <c r="G810" t="n" s="16">
        <f aca="0">IF(B810="","",SUMPRODUCT((실물목록!$P$2:$P$1001&lt;&gt;"")*ISNUMBER(SEARCH(실물목록!$P$2:$P$1001,I810))*(실물목록!$Q$2:$Q$1001&lt;&gt;"")*ISNUMBER(SEARCH(실물목록!$Q$2:$Q$1001,I810))*(실물목록!$R$2:$R$1001="")*(실물목록!$O$2:$O$1001&lt;&gt;"")*(실물목록!$O$2:$O$1001=H810)))</f>
      </c>
      <c r="H810" t="str">
        <f>IFERROR(IF(AND(LEN(SUBSTITUTE(SUBSTITUTE(SUBSTITUTE(TRIM(A810&amp;""),CHAR(160),"")," ",""),"년",""))=4,VALUE(SUBSTITUTE(SUBSTITUTE(SUBSTITUTE(TRIM(A810&amp;""),CHAR(160),"")," ",""),"년",""))&gt;=1900,VALUE(SUBSTITUTE(SUBSTITUTE(SUBSTITUTE(TRIM(A810&amp;""),CHAR(160),"")," ",""),"년",""))&lt;=2099,TEXT(VALUE(SUBSTITUTE(SUBSTITUTE(SUBSTITUTE(TRIM(A810&amp;""),CHAR(160),"")," ",""),"년","")),"0000")=SUBSTITUTE(SUBSTITUTE(SUBSTITUTE(TRIM(A810&amp;""),CHAR(160),"")," ",""),"년","")),SUBSTITUTE(SUBSTITUTE(SUBSTITUTE(TRIM(A810&amp;""),CHAR(160),"")," ",""),"년",""),""),"")</f>
      </c>
      <c r="I810" t="str">
        <f>SUBSTITUTE(SUBSTITUTE(SUBSTITUTE(SUBSTITUTE(SUBSTITUTE(TRIM(B810&amp;""),CHAR(160),"")," ",""),"초등학교","초"),"중학교","중"),"고등학교","고")</f>
      </c>
    </row>
    <row r="811" customFormat="false" ht="15" hidden="false" customHeight="false" outlineLevel="0" collapsed="false">
      <c r="A811" s="8"/>
      <c r="B811" s="8"/>
      <c r="C811" s="8"/>
      <c r="D811" s="8"/>
      <c r="E811" s="8"/>
      <c r="F811" t="str" s="15">
        <f aca="0">IF(B811="","",IF(H811="","확인필요(입력누락)",IF(SUMPRODUCT((실물목록!$P$2:$P$1001&lt;&gt;"")*ISNUMBER(SEARCH(실물목록!$P$2:$P$1001,I811))*(실물목록!$Q$2:$Q$1001&lt;&gt;"")*ISNUMBER(SEARCH(실물목록!$Q$2:$Q$1001,I811))*(실물목록!$R$2:$R$1001="")*(실물목록!$O$2:$O$1001&lt;&gt;"")*(실물목록!$O$2:$O$1001=H811))&gt;0,"실물 있음",IF(SUMPRODUCT((실물목록!$P$2:$P$1001&lt;&gt;"")*ISNUMBER(SEARCH(실물목록!$P$2:$P$1001,I811))*(실물목록!$R$2:$R$1001&lt;&gt;""))&gt;0,"확인필요(입력누락)",IF(SUMPRODUCT((실물목록!$P$2:$P$1001&lt;&gt;"")*ISNUMBER(SEARCH(실물목록!$P$2:$P$1001,I811))*(실물목록!$Q$2:$Q$1001&lt;&gt;"")*ISNUMBER(SEARCH(실물목록!$Q$2:$Q$1001,I811))*(실물목록!$R$2:$R$1001="")*(실물목록!$O$2:$O$1001&lt;&gt;""))&gt;0,"확인필요(연도다름)","실물 없음")))))</f>
      </c>
      <c r="G811" t="n" s="16">
        <f aca="0">IF(B811="","",SUMPRODUCT((실물목록!$P$2:$P$1001&lt;&gt;"")*ISNUMBER(SEARCH(실물목록!$P$2:$P$1001,I811))*(실물목록!$Q$2:$Q$1001&lt;&gt;"")*ISNUMBER(SEARCH(실물목록!$Q$2:$Q$1001,I811))*(실물목록!$R$2:$R$1001="")*(실물목록!$O$2:$O$1001&lt;&gt;"")*(실물목록!$O$2:$O$1001=H811)))</f>
      </c>
      <c r="H811" t="str">
        <f>IFERROR(IF(AND(LEN(SUBSTITUTE(SUBSTITUTE(SUBSTITUTE(TRIM(A811&amp;""),CHAR(160),"")," ",""),"년",""))=4,VALUE(SUBSTITUTE(SUBSTITUTE(SUBSTITUTE(TRIM(A811&amp;""),CHAR(160),"")," ",""),"년",""))&gt;=1900,VALUE(SUBSTITUTE(SUBSTITUTE(SUBSTITUTE(TRIM(A811&amp;""),CHAR(160),"")," ",""),"년",""))&lt;=2099,TEXT(VALUE(SUBSTITUTE(SUBSTITUTE(SUBSTITUTE(TRIM(A811&amp;""),CHAR(160),"")," ",""),"년","")),"0000")=SUBSTITUTE(SUBSTITUTE(SUBSTITUTE(TRIM(A811&amp;""),CHAR(160),"")," ",""),"년","")),SUBSTITUTE(SUBSTITUTE(SUBSTITUTE(TRIM(A811&amp;""),CHAR(160),"")," ",""),"년",""),""),"")</f>
      </c>
      <c r="I811" t="str">
        <f>SUBSTITUTE(SUBSTITUTE(SUBSTITUTE(SUBSTITUTE(SUBSTITUTE(TRIM(B811&amp;""),CHAR(160),"")," ",""),"초등학교","초"),"중학교","중"),"고등학교","고")</f>
      </c>
    </row>
    <row r="812" customFormat="false" ht="15" hidden="false" customHeight="false" outlineLevel="0" collapsed="false">
      <c r="A812" s="8"/>
      <c r="B812" s="8"/>
      <c r="C812" s="8"/>
      <c r="D812" s="8"/>
      <c r="E812" s="8"/>
      <c r="F812" t="str" s="15">
        <f aca="0">IF(B812="","",IF(H812="","확인필요(입력누락)",IF(SUMPRODUCT((실물목록!$P$2:$P$1001&lt;&gt;"")*ISNUMBER(SEARCH(실물목록!$P$2:$P$1001,I812))*(실물목록!$Q$2:$Q$1001&lt;&gt;"")*ISNUMBER(SEARCH(실물목록!$Q$2:$Q$1001,I812))*(실물목록!$R$2:$R$1001="")*(실물목록!$O$2:$O$1001&lt;&gt;"")*(실물목록!$O$2:$O$1001=H812))&gt;0,"실물 있음",IF(SUMPRODUCT((실물목록!$P$2:$P$1001&lt;&gt;"")*ISNUMBER(SEARCH(실물목록!$P$2:$P$1001,I812))*(실물목록!$R$2:$R$1001&lt;&gt;""))&gt;0,"확인필요(입력누락)",IF(SUMPRODUCT((실물목록!$P$2:$P$1001&lt;&gt;"")*ISNUMBER(SEARCH(실물목록!$P$2:$P$1001,I812))*(실물목록!$Q$2:$Q$1001&lt;&gt;"")*ISNUMBER(SEARCH(실물목록!$Q$2:$Q$1001,I812))*(실물목록!$R$2:$R$1001="")*(실물목록!$O$2:$O$1001&lt;&gt;""))&gt;0,"확인필요(연도다름)","실물 없음")))))</f>
      </c>
      <c r="G812" t="n" s="16">
        <f aca="0">IF(B812="","",SUMPRODUCT((실물목록!$P$2:$P$1001&lt;&gt;"")*ISNUMBER(SEARCH(실물목록!$P$2:$P$1001,I812))*(실물목록!$Q$2:$Q$1001&lt;&gt;"")*ISNUMBER(SEARCH(실물목록!$Q$2:$Q$1001,I812))*(실물목록!$R$2:$R$1001="")*(실물목록!$O$2:$O$1001&lt;&gt;"")*(실물목록!$O$2:$O$1001=H812)))</f>
      </c>
      <c r="H812" t="str">
        <f>IFERROR(IF(AND(LEN(SUBSTITUTE(SUBSTITUTE(SUBSTITUTE(TRIM(A812&amp;""),CHAR(160),"")," ",""),"년",""))=4,VALUE(SUBSTITUTE(SUBSTITUTE(SUBSTITUTE(TRIM(A812&amp;""),CHAR(160),"")," ",""),"년",""))&gt;=1900,VALUE(SUBSTITUTE(SUBSTITUTE(SUBSTITUTE(TRIM(A812&amp;""),CHAR(160),"")," ",""),"년",""))&lt;=2099,TEXT(VALUE(SUBSTITUTE(SUBSTITUTE(SUBSTITUTE(TRIM(A812&amp;""),CHAR(160),"")," ",""),"년","")),"0000")=SUBSTITUTE(SUBSTITUTE(SUBSTITUTE(TRIM(A812&amp;""),CHAR(160),"")," ",""),"년","")),SUBSTITUTE(SUBSTITUTE(SUBSTITUTE(TRIM(A812&amp;""),CHAR(160),"")," ",""),"년",""),""),"")</f>
      </c>
      <c r="I812" t="str">
        <f>SUBSTITUTE(SUBSTITUTE(SUBSTITUTE(SUBSTITUTE(SUBSTITUTE(TRIM(B812&amp;""),CHAR(160),"")," ",""),"초등학교","초"),"중학교","중"),"고등학교","고")</f>
      </c>
    </row>
    <row r="813" customFormat="false" ht="15" hidden="false" customHeight="false" outlineLevel="0" collapsed="false">
      <c r="A813" s="8"/>
      <c r="B813" s="8"/>
      <c r="C813" s="8"/>
      <c r="D813" s="8"/>
      <c r="E813" s="8"/>
      <c r="F813" t="str" s="15">
        <f aca="0">IF(B813="","",IF(H813="","확인필요(입력누락)",IF(SUMPRODUCT((실물목록!$P$2:$P$1001&lt;&gt;"")*ISNUMBER(SEARCH(실물목록!$P$2:$P$1001,I813))*(실물목록!$Q$2:$Q$1001&lt;&gt;"")*ISNUMBER(SEARCH(실물목록!$Q$2:$Q$1001,I813))*(실물목록!$R$2:$R$1001="")*(실물목록!$O$2:$O$1001&lt;&gt;"")*(실물목록!$O$2:$O$1001=H813))&gt;0,"실물 있음",IF(SUMPRODUCT((실물목록!$P$2:$P$1001&lt;&gt;"")*ISNUMBER(SEARCH(실물목록!$P$2:$P$1001,I813))*(실물목록!$R$2:$R$1001&lt;&gt;""))&gt;0,"확인필요(입력누락)",IF(SUMPRODUCT((실물목록!$P$2:$P$1001&lt;&gt;"")*ISNUMBER(SEARCH(실물목록!$P$2:$P$1001,I813))*(실물목록!$Q$2:$Q$1001&lt;&gt;"")*ISNUMBER(SEARCH(실물목록!$Q$2:$Q$1001,I813))*(실물목록!$R$2:$R$1001="")*(실물목록!$O$2:$O$1001&lt;&gt;""))&gt;0,"확인필요(연도다름)","실물 없음")))))</f>
      </c>
      <c r="G813" t="n" s="16">
        <f aca="0">IF(B813="","",SUMPRODUCT((실물목록!$P$2:$P$1001&lt;&gt;"")*ISNUMBER(SEARCH(실물목록!$P$2:$P$1001,I813))*(실물목록!$Q$2:$Q$1001&lt;&gt;"")*ISNUMBER(SEARCH(실물목록!$Q$2:$Q$1001,I813))*(실물목록!$R$2:$R$1001="")*(실물목록!$O$2:$O$1001&lt;&gt;"")*(실물목록!$O$2:$O$1001=H813)))</f>
      </c>
      <c r="H813" t="str">
        <f>IFERROR(IF(AND(LEN(SUBSTITUTE(SUBSTITUTE(SUBSTITUTE(TRIM(A813&amp;""),CHAR(160),"")," ",""),"년",""))=4,VALUE(SUBSTITUTE(SUBSTITUTE(SUBSTITUTE(TRIM(A813&amp;""),CHAR(160),"")," ",""),"년",""))&gt;=1900,VALUE(SUBSTITUTE(SUBSTITUTE(SUBSTITUTE(TRIM(A813&amp;""),CHAR(160),"")," ",""),"년",""))&lt;=2099,TEXT(VALUE(SUBSTITUTE(SUBSTITUTE(SUBSTITUTE(TRIM(A813&amp;""),CHAR(160),"")," ",""),"년","")),"0000")=SUBSTITUTE(SUBSTITUTE(SUBSTITUTE(TRIM(A813&amp;""),CHAR(160),"")," ",""),"년","")),SUBSTITUTE(SUBSTITUTE(SUBSTITUTE(TRIM(A813&amp;""),CHAR(160),"")," ",""),"년",""),""),"")</f>
      </c>
      <c r="I813" t="str">
        <f>SUBSTITUTE(SUBSTITUTE(SUBSTITUTE(SUBSTITUTE(SUBSTITUTE(TRIM(B813&amp;""),CHAR(160),"")," ",""),"초등학교","초"),"중학교","중"),"고등학교","고")</f>
      </c>
    </row>
    <row r="814" customFormat="false" ht="15" hidden="false" customHeight="false" outlineLevel="0" collapsed="false">
      <c r="A814" s="8"/>
      <c r="B814" s="8"/>
      <c r="C814" s="8"/>
      <c r="D814" s="8"/>
      <c r="E814" s="8"/>
      <c r="F814" t="str" s="15">
        <f aca="0">IF(B814="","",IF(H814="","확인필요(입력누락)",IF(SUMPRODUCT((실물목록!$P$2:$P$1001&lt;&gt;"")*ISNUMBER(SEARCH(실물목록!$P$2:$P$1001,I814))*(실물목록!$Q$2:$Q$1001&lt;&gt;"")*ISNUMBER(SEARCH(실물목록!$Q$2:$Q$1001,I814))*(실물목록!$R$2:$R$1001="")*(실물목록!$O$2:$O$1001&lt;&gt;"")*(실물목록!$O$2:$O$1001=H814))&gt;0,"실물 있음",IF(SUMPRODUCT((실물목록!$P$2:$P$1001&lt;&gt;"")*ISNUMBER(SEARCH(실물목록!$P$2:$P$1001,I814))*(실물목록!$R$2:$R$1001&lt;&gt;""))&gt;0,"확인필요(입력누락)",IF(SUMPRODUCT((실물목록!$P$2:$P$1001&lt;&gt;"")*ISNUMBER(SEARCH(실물목록!$P$2:$P$1001,I814))*(실물목록!$Q$2:$Q$1001&lt;&gt;"")*ISNUMBER(SEARCH(실물목록!$Q$2:$Q$1001,I814))*(실물목록!$R$2:$R$1001="")*(실물목록!$O$2:$O$1001&lt;&gt;""))&gt;0,"확인필요(연도다름)","실물 없음")))))</f>
      </c>
      <c r="G814" t="n" s="16">
        <f aca="0">IF(B814="","",SUMPRODUCT((실물목록!$P$2:$P$1001&lt;&gt;"")*ISNUMBER(SEARCH(실물목록!$P$2:$P$1001,I814))*(실물목록!$Q$2:$Q$1001&lt;&gt;"")*ISNUMBER(SEARCH(실물목록!$Q$2:$Q$1001,I814))*(실물목록!$R$2:$R$1001="")*(실물목록!$O$2:$O$1001&lt;&gt;"")*(실물목록!$O$2:$O$1001=H814)))</f>
      </c>
      <c r="H814" t="str">
        <f>IFERROR(IF(AND(LEN(SUBSTITUTE(SUBSTITUTE(SUBSTITUTE(TRIM(A814&amp;""),CHAR(160),"")," ",""),"년",""))=4,VALUE(SUBSTITUTE(SUBSTITUTE(SUBSTITUTE(TRIM(A814&amp;""),CHAR(160),"")," ",""),"년",""))&gt;=1900,VALUE(SUBSTITUTE(SUBSTITUTE(SUBSTITUTE(TRIM(A814&amp;""),CHAR(160),"")," ",""),"년",""))&lt;=2099,TEXT(VALUE(SUBSTITUTE(SUBSTITUTE(SUBSTITUTE(TRIM(A814&amp;""),CHAR(160),"")," ",""),"년","")),"0000")=SUBSTITUTE(SUBSTITUTE(SUBSTITUTE(TRIM(A814&amp;""),CHAR(160),"")," ",""),"년","")),SUBSTITUTE(SUBSTITUTE(SUBSTITUTE(TRIM(A814&amp;""),CHAR(160),"")," ",""),"년",""),""),"")</f>
      </c>
      <c r="I814" t="str">
        <f>SUBSTITUTE(SUBSTITUTE(SUBSTITUTE(SUBSTITUTE(SUBSTITUTE(TRIM(B814&amp;""),CHAR(160),"")," ",""),"초등학교","초"),"중학교","중"),"고등학교","고")</f>
      </c>
    </row>
    <row r="815" customFormat="false" ht="15" hidden="false" customHeight="false" outlineLevel="0" collapsed="false">
      <c r="A815" s="8"/>
      <c r="B815" s="8"/>
      <c r="C815" s="8"/>
      <c r="D815" s="8"/>
      <c r="E815" s="8"/>
      <c r="F815" t="str" s="15">
        <f aca="0">IF(B815="","",IF(H815="","확인필요(입력누락)",IF(SUMPRODUCT((실물목록!$P$2:$P$1001&lt;&gt;"")*ISNUMBER(SEARCH(실물목록!$P$2:$P$1001,I815))*(실물목록!$Q$2:$Q$1001&lt;&gt;"")*ISNUMBER(SEARCH(실물목록!$Q$2:$Q$1001,I815))*(실물목록!$R$2:$R$1001="")*(실물목록!$O$2:$O$1001&lt;&gt;"")*(실물목록!$O$2:$O$1001=H815))&gt;0,"실물 있음",IF(SUMPRODUCT((실물목록!$P$2:$P$1001&lt;&gt;"")*ISNUMBER(SEARCH(실물목록!$P$2:$P$1001,I815))*(실물목록!$R$2:$R$1001&lt;&gt;""))&gt;0,"확인필요(입력누락)",IF(SUMPRODUCT((실물목록!$P$2:$P$1001&lt;&gt;"")*ISNUMBER(SEARCH(실물목록!$P$2:$P$1001,I815))*(실물목록!$Q$2:$Q$1001&lt;&gt;"")*ISNUMBER(SEARCH(실물목록!$Q$2:$Q$1001,I815))*(실물목록!$R$2:$R$1001="")*(실물목록!$O$2:$O$1001&lt;&gt;""))&gt;0,"확인필요(연도다름)","실물 없음")))))</f>
      </c>
      <c r="G815" t="n" s="16">
        <f aca="0">IF(B815="","",SUMPRODUCT((실물목록!$P$2:$P$1001&lt;&gt;"")*ISNUMBER(SEARCH(실물목록!$P$2:$P$1001,I815))*(실물목록!$Q$2:$Q$1001&lt;&gt;"")*ISNUMBER(SEARCH(실물목록!$Q$2:$Q$1001,I815))*(실물목록!$R$2:$R$1001="")*(실물목록!$O$2:$O$1001&lt;&gt;"")*(실물목록!$O$2:$O$1001=H815)))</f>
      </c>
      <c r="H815" t="str">
        <f>IFERROR(IF(AND(LEN(SUBSTITUTE(SUBSTITUTE(SUBSTITUTE(TRIM(A815&amp;""),CHAR(160),"")," ",""),"년",""))=4,VALUE(SUBSTITUTE(SUBSTITUTE(SUBSTITUTE(TRIM(A815&amp;""),CHAR(160),"")," ",""),"년",""))&gt;=1900,VALUE(SUBSTITUTE(SUBSTITUTE(SUBSTITUTE(TRIM(A815&amp;""),CHAR(160),"")," ",""),"년",""))&lt;=2099,TEXT(VALUE(SUBSTITUTE(SUBSTITUTE(SUBSTITUTE(TRIM(A815&amp;""),CHAR(160),"")," ",""),"년","")),"0000")=SUBSTITUTE(SUBSTITUTE(SUBSTITUTE(TRIM(A815&amp;""),CHAR(160),"")," ",""),"년","")),SUBSTITUTE(SUBSTITUTE(SUBSTITUTE(TRIM(A815&amp;""),CHAR(160),"")," ",""),"년",""),""),"")</f>
      </c>
      <c r="I815" t="str">
        <f>SUBSTITUTE(SUBSTITUTE(SUBSTITUTE(SUBSTITUTE(SUBSTITUTE(TRIM(B815&amp;""),CHAR(160),"")," ",""),"초등학교","초"),"중학교","중"),"고등학교","고")</f>
      </c>
    </row>
    <row r="816" customFormat="false" ht="15" hidden="false" customHeight="false" outlineLevel="0" collapsed="false">
      <c r="A816" s="8"/>
      <c r="B816" s="8"/>
      <c r="C816" s="8"/>
      <c r="D816" s="8"/>
      <c r="E816" s="8"/>
      <c r="F816" t="str" s="15">
        <f aca="0">IF(B816="","",IF(H816="","확인필요(입력누락)",IF(SUMPRODUCT((실물목록!$P$2:$P$1001&lt;&gt;"")*ISNUMBER(SEARCH(실물목록!$P$2:$P$1001,I816))*(실물목록!$Q$2:$Q$1001&lt;&gt;"")*ISNUMBER(SEARCH(실물목록!$Q$2:$Q$1001,I816))*(실물목록!$R$2:$R$1001="")*(실물목록!$O$2:$O$1001&lt;&gt;"")*(실물목록!$O$2:$O$1001=H816))&gt;0,"실물 있음",IF(SUMPRODUCT((실물목록!$P$2:$P$1001&lt;&gt;"")*ISNUMBER(SEARCH(실물목록!$P$2:$P$1001,I816))*(실물목록!$R$2:$R$1001&lt;&gt;""))&gt;0,"확인필요(입력누락)",IF(SUMPRODUCT((실물목록!$P$2:$P$1001&lt;&gt;"")*ISNUMBER(SEARCH(실물목록!$P$2:$P$1001,I816))*(실물목록!$Q$2:$Q$1001&lt;&gt;"")*ISNUMBER(SEARCH(실물목록!$Q$2:$Q$1001,I816))*(실물목록!$R$2:$R$1001="")*(실물목록!$O$2:$O$1001&lt;&gt;""))&gt;0,"확인필요(연도다름)","실물 없음")))))</f>
      </c>
      <c r="G816" t="n" s="16">
        <f aca="0">IF(B816="","",SUMPRODUCT((실물목록!$P$2:$P$1001&lt;&gt;"")*ISNUMBER(SEARCH(실물목록!$P$2:$P$1001,I816))*(실물목록!$Q$2:$Q$1001&lt;&gt;"")*ISNUMBER(SEARCH(실물목록!$Q$2:$Q$1001,I816))*(실물목록!$R$2:$R$1001="")*(실물목록!$O$2:$O$1001&lt;&gt;"")*(실물목록!$O$2:$O$1001=H816)))</f>
      </c>
      <c r="H816" t="str">
        <f>IFERROR(IF(AND(LEN(SUBSTITUTE(SUBSTITUTE(SUBSTITUTE(TRIM(A816&amp;""),CHAR(160),"")," ",""),"년",""))=4,VALUE(SUBSTITUTE(SUBSTITUTE(SUBSTITUTE(TRIM(A816&amp;""),CHAR(160),"")," ",""),"년",""))&gt;=1900,VALUE(SUBSTITUTE(SUBSTITUTE(SUBSTITUTE(TRIM(A816&amp;""),CHAR(160),"")," ",""),"년",""))&lt;=2099,TEXT(VALUE(SUBSTITUTE(SUBSTITUTE(SUBSTITUTE(TRIM(A816&amp;""),CHAR(160),"")," ",""),"년","")),"0000")=SUBSTITUTE(SUBSTITUTE(SUBSTITUTE(TRIM(A816&amp;""),CHAR(160),"")," ",""),"년","")),SUBSTITUTE(SUBSTITUTE(SUBSTITUTE(TRIM(A816&amp;""),CHAR(160),"")," ",""),"년",""),""),"")</f>
      </c>
      <c r="I816" t="str">
        <f>SUBSTITUTE(SUBSTITUTE(SUBSTITUTE(SUBSTITUTE(SUBSTITUTE(TRIM(B816&amp;""),CHAR(160),"")," ",""),"초등학교","초"),"중학교","중"),"고등학교","고")</f>
      </c>
    </row>
    <row r="817" customFormat="false" ht="15" hidden="false" customHeight="false" outlineLevel="0" collapsed="false">
      <c r="A817" s="8"/>
      <c r="B817" s="8"/>
      <c r="C817" s="8"/>
      <c r="D817" s="8"/>
      <c r="E817" s="8"/>
      <c r="F817" t="str" s="15">
        <f aca="0">IF(B817="","",IF(H817="","확인필요(입력누락)",IF(SUMPRODUCT((실물목록!$P$2:$P$1001&lt;&gt;"")*ISNUMBER(SEARCH(실물목록!$P$2:$P$1001,I817))*(실물목록!$Q$2:$Q$1001&lt;&gt;"")*ISNUMBER(SEARCH(실물목록!$Q$2:$Q$1001,I817))*(실물목록!$R$2:$R$1001="")*(실물목록!$O$2:$O$1001&lt;&gt;"")*(실물목록!$O$2:$O$1001=H817))&gt;0,"실물 있음",IF(SUMPRODUCT((실물목록!$P$2:$P$1001&lt;&gt;"")*ISNUMBER(SEARCH(실물목록!$P$2:$P$1001,I817))*(실물목록!$R$2:$R$1001&lt;&gt;""))&gt;0,"확인필요(입력누락)",IF(SUMPRODUCT((실물목록!$P$2:$P$1001&lt;&gt;"")*ISNUMBER(SEARCH(실물목록!$P$2:$P$1001,I817))*(실물목록!$Q$2:$Q$1001&lt;&gt;"")*ISNUMBER(SEARCH(실물목록!$Q$2:$Q$1001,I817))*(실물목록!$R$2:$R$1001="")*(실물목록!$O$2:$O$1001&lt;&gt;""))&gt;0,"확인필요(연도다름)","실물 없음")))))</f>
      </c>
      <c r="G817" t="n" s="16">
        <f aca="0">IF(B817="","",SUMPRODUCT((실물목록!$P$2:$P$1001&lt;&gt;"")*ISNUMBER(SEARCH(실물목록!$P$2:$P$1001,I817))*(실물목록!$Q$2:$Q$1001&lt;&gt;"")*ISNUMBER(SEARCH(실물목록!$Q$2:$Q$1001,I817))*(실물목록!$R$2:$R$1001="")*(실물목록!$O$2:$O$1001&lt;&gt;"")*(실물목록!$O$2:$O$1001=H817)))</f>
      </c>
      <c r="H817" t="str">
        <f>IFERROR(IF(AND(LEN(SUBSTITUTE(SUBSTITUTE(SUBSTITUTE(TRIM(A817&amp;""),CHAR(160),"")," ",""),"년",""))=4,VALUE(SUBSTITUTE(SUBSTITUTE(SUBSTITUTE(TRIM(A817&amp;""),CHAR(160),"")," ",""),"년",""))&gt;=1900,VALUE(SUBSTITUTE(SUBSTITUTE(SUBSTITUTE(TRIM(A817&amp;""),CHAR(160),"")," ",""),"년",""))&lt;=2099,TEXT(VALUE(SUBSTITUTE(SUBSTITUTE(SUBSTITUTE(TRIM(A817&amp;""),CHAR(160),"")," ",""),"년","")),"0000")=SUBSTITUTE(SUBSTITUTE(SUBSTITUTE(TRIM(A817&amp;""),CHAR(160),"")," ",""),"년","")),SUBSTITUTE(SUBSTITUTE(SUBSTITUTE(TRIM(A817&amp;""),CHAR(160),"")," ",""),"년",""),""),"")</f>
      </c>
      <c r="I817" t="str">
        <f>SUBSTITUTE(SUBSTITUTE(SUBSTITUTE(SUBSTITUTE(SUBSTITUTE(TRIM(B817&amp;""),CHAR(160),"")," ",""),"초등학교","초"),"중학교","중"),"고등학교","고")</f>
      </c>
    </row>
    <row r="818" customFormat="false" ht="15" hidden="false" customHeight="false" outlineLevel="0" collapsed="false">
      <c r="A818" s="8"/>
      <c r="B818" s="8"/>
      <c r="C818" s="8"/>
      <c r="D818" s="8"/>
      <c r="E818" s="8"/>
      <c r="F818" t="str" s="15">
        <f aca="0">IF(B818="","",IF(H818="","확인필요(입력누락)",IF(SUMPRODUCT((실물목록!$P$2:$P$1001&lt;&gt;"")*ISNUMBER(SEARCH(실물목록!$P$2:$P$1001,I818))*(실물목록!$Q$2:$Q$1001&lt;&gt;"")*ISNUMBER(SEARCH(실물목록!$Q$2:$Q$1001,I818))*(실물목록!$R$2:$R$1001="")*(실물목록!$O$2:$O$1001&lt;&gt;"")*(실물목록!$O$2:$O$1001=H818))&gt;0,"실물 있음",IF(SUMPRODUCT((실물목록!$P$2:$P$1001&lt;&gt;"")*ISNUMBER(SEARCH(실물목록!$P$2:$P$1001,I818))*(실물목록!$R$2:$R$1001&lt;&gt;""))&gt;0,"확인필요(입력누락)",IF(SUMPRODUCT((실물목록!$P$2:$P$1001&lt;&gt;"")*ISNUMBER(SEARCH(실물목록!$P$2:$P$1001,I818))*(실물목록!$Q$2:$Q$1001&lt;&gt;"")*ISNUMBER(SEARCH(실물목록!$Q$2:$Q$1001,I818))*(실물목록!$R$2:$R$1001="")*(실물목록!$O$2:$O$1001&lt;&gt;""))&gt;0,"확인필요(연도다름)","실물 없음")))))</f>
      </c>
      <c r="G818" t="n" s="16">
        <f aca="0">IF(B818="","",SUMPRODUCT((실물목록!$P$2:$P$1001&lt;&gt;"")*ISNUMBER(SEARCH(실물목록!$P$2:$P$1001,I818))*(실물목록!$Q$2:$Q$1001&lt;&gt;"")*ISNUMBER(SEARCH(실물목록!$Q$2:$Q$1001,I818))*(실물목록!$R$2:$R$1001="")*(실물목록!$O$2:$O$1001&lt;&gt;"")*(실물목록!$O$2:$O$1001=H818)))</f>
      </c>
      <c r="H818" t="str">
        <f>IFERROR(IF(AND(LEN(SUBSTITUTE(SUBSTITUTE(SUBSTITUTE(TRIM(A818&amp;""),CHAR(160),"")," ",""),"년",""))=4,VALUE(SUBSTITUTE(SUBSTITUTE(SUBSTITUTE(TRIM(A818&amp;""),CHAR(160),"")," ",""),"년",""))&gt;=1900,VALUE(SUBSTITUTE(SUBSTITUTE(SUBSTITUTE(TRIM(A818&amp;""),CHAR(160),"")," ",""),"년",""))&lt;=2099,TEXT(VALUE(SUBSTITUTE(SUBSTITUTE(SUBSTITUTE(TRIM(A818&amp;""),CHAR(160),"")," ",""),"년","")),"0000")=SUBSTITUTE(SUBSTITUTE(SUBSTITUTE(TRIM(A818&amp;""),CHAR(160),"")," ",""),"년","")),SUBSTITUTE(SUBSTITUTE(SUBSTITUTE(TRIM(A818&amp;""),CHAR(160),"")," ",""),"년",""),""),"")</f>
      </c>
      <c r="I818" t="str">
        <f>SUBSTITUTE(SUBSTITUTE(SUBSTITUTE(SUBSTITUTE(SUBSTITUTE(TRIM(B818&amp;""),CHAR(160),"")," ",""),"초등학교","초"),"중학교","중"),"고등학교","고")</f>
      </c>
    </row>
    <row r="819" customFormat="false" ht="15" hidden="false" customHeight="false" outlineLevel="0" collapsed="false">
      <c r="A819" s="8"/>
      <c r="B819" s="8"/>
      <c r="C819" s="8"/>
      <c r="D819" s="8"/>
      <c r="E819" s="8"/>
      <c r="F819" t="str" s="15">
        <f aca="0">IF(B819="","",IF(H819="","확인필요(입력누락)",IF(SUMPRODUCT((실물목록!$P$2:$P$1001&lt;&gt;"")*ISNUMBER(SEARCH(실물목록!$P$2:$P$1001,I819))*(실물목록!$Q$2:$Q$1001&lt;&gt;"")*ISNUMBER(SEARCH(실물목록!$Q$2:$Q$1001,I819))*(실물목록!$R$2:$R$1001="")*(실물목록!$O$2:$O$1001&lt;&gt;"")*(실물목록!$O$2:$O$1001=H819))&gt;0,"실물 있음",IF(SUMPRODUCT((실물목록!$P$2:$P$1001&lt;&gt;"")*ISNUMBER(SEARCH(실물목록!$P$2:$P$1001,I819))*(실물목록!$R$2:$R$1001&lt;&gt;""))&gt;0,"확인필요(입력누락)",IF(SUMPRODUCT((실물목록!$P$2:$P$1001&lt;&gt;"")*ISNUMBER(SEARCH(실물목록!$P$2:$P$1001,I819))*(실물목록!$Q$2:$Q$1001&lt;&gt;"")*ISNUMBER(SEARCH(실물목록!$Q$2:$Q$1001,I819))*(실물목록!$R$2:$R$1001="")*(실물목록!$O$2:$O$1001&lt;&gt;""))&gt;0,"확인필요(연도다름)","실물 없음")))))</f>
      </c>
      <c r="G819" t="n" s="16">
        <f aca="0">IF(B819="","",SUMPRODUCT((실물목록!$P$2:$P$1001&lt;&gt;"")*ISNUMBER(SEARCH(실물목록!$P$2:$P$1001,I819))*(실물목록!$Q$2:$Q$1001&lt;&gt;"")*ISNUMBER(SEARCH(실물목록!$Q$2:$Q$1001,I819))*(실물목록!$R$2:$R$1001="")*(실물목록!$O$2:$O$1001&lt;&gt;"")*(실물목록!$O$2:$O$1001=H819)))</f>
      </c>
      <c r="H819" t="str">
        <f>IFERROR(IF(AND(LEN(SUBSTITUTE(SUBSTITUTE(SUBSTITUTE(TRIM(A819&amp;""),CHAR(160),"")," ",""),"년",""))=4,VALUE(SUBSTITUTE(SUBSTITUTE(SUBSTITUTE(TRIM(A819&amp;""),CHAR(160),"")," ",""),"년",""))&gt;=1900,VALUE(SUBSTITUTE(SUBSTITUTE(SUBSTITUTE(TRIM(A819&amp;""),CHAR(160),"")," ",""),"년",""))&lt;=2099,TEXT(VALUE(SUBSTITUTE(SUBSTITUTE(SUBSTITUTE(TRIM(A819&amp;""),CHAR(160),"")," ",""),"년","")),"0000")=SUBSTITUTE(SUBSTITUTE(SUBSTITUTE(TRIM(A819&amp;""),CHAR(160),"")," ",""),"년","")),SUBSTITUTE(SUBSTITUTE(SUBSTITUTE(TRIM(A819&amp;""),CHAR(160),"")," ",""),"년",""),""),"")</f>
      </c>
      <c r="I819" t="str">
        <f>SUBSTITUTE(SUBSTITUTE(SUBSTITUTE(SUBSTITUTE(SUBSTITUTE(TRIM(B819&amp;""),CHAR(160),"")," ",""),"초등학교","초"),"중학교","중"),"고등학교","고")</f>
      </c>
    </row>
    <row r="820" customFormat="false" ht="15" hidden="false" customHeight="false" outlineLevel="0" collapsed="false">
      <c r="A820" s="8"/>
      <c r="B820" s="8"/>
      <c r="C820" s="8"/>
      <c r="D820" s="8"/>
      <c r="E820" s="8"/>
      <c r="F820" t="str" s="15">
        <f aca="0">IF(B820="","",IF(H820="","확인필요(입력누락)",IF(SUMPRODUCT((실물목록!$P$2:$P$1001&lt;&gt;"")*ISNUMBER(SEARCH(실물목록!$P$2:$P$1001,I820))*(실물목록!$Q$2:$Q$1001&lt;&gt;"")*ISNUMBER(SEARCH(실물목록!$Q$2:$Q$1001,I820))*(실물목록!$R$2:$R$1001="")*(실물목록!$O$2:$O$1001&lt;&gt;"")*(실물목록!$O$2:$O$1001=H820))&gt;0,"실물 있음",IF(SUMPRODUCT((실물목록!$P$2:$P$1001&lt;&gt;"")*ISNUMBER(SEARCH(실물목록!$P$2:$P$1001,I820))*(실물목록!$R$2:$R$1001&lt;&gt;""))&gt;0,"확인필요(입력누락)",IF(SUMPRODUCT((실물목록!$P$2:$P$1001&lt;&gt;"")*ISNUMBER(SEARCH(실물목록!$P$2:$P$1001,I820))*(실물목록!$Q$2:$Q$1001&lt;&gt;"")*ISNUMBER(SEARCH(실물목록!$Q$2:$Q$1001,I820))*(실물목록!$R$2:$R$1001="")*(실물목록!$O$2:$O$1001&lt;&gt;""))&gt;0,"확인필요(연도다름)","실물 없음")))))</f>
      </c>
      <c r="G820" t="n" s="16">
        <f aca="0">IF(B820="","",SUMPRODUCT((실물목록!$P$2:$P$1001&lt;&gt;"")*ISNUMBER(SEARCH(실물목록!$P$2:$P$1001,I820))*(실물목록!$Q$2:$Q$1001&lt;&gt;"")*ISNUMBER(SEARCH(실물목록!$Q$2:$Q$1001,I820))*(실물목록!$R$2:$R$1001="")*(실물목록!$O$2:$O$1001&lt;&gt;"")*(실물목록!$O$2:$O$1001=H820)))</f>
      </c>
      <c r="H820" t="str">
        <f>IFERROR(IF(AND(LEN(SUBSTITUTE(SUBSTITUTE(SUBSTITUTE(TRIM(A820&amp;""),CHAR(160),"")," ",""),"년",""))=4,VALUE(SUBSTITUTE(SUBSTITUTE(SUBSTITUTE(TRIM(A820&amp;""),CHAR(160),"")," ",""),"년",""))&gt;=1900,VALUE(SUBSTITUTE(SUBSTITUTE(SUBSTITUTE(TRIM(A820&amp;""),CHAR(160),"")," ",""),"년",""))&lt;=2099,TEXT(VALUE(SUBSTITUTE(SUBSTITUTE(SUBSTITUTE(TRIM(A820&amp;""),CHAR(160),"")," ",""),"년","")),"0000")=SUBSTITUTE(SUBSTITUTE(SUBSTITUTE(TRIM(A820&amp;""),CHAR(160),"")," ",""),"년","")),SUBSTITUTE(SUBSTITUTE(SUBSTITUTE(TRIM(A820&amp;""),CHAR(160),"")," ",""),"년",""),""),"")</f>
      </c>
      <c r="I820" t="str">
        <f>SUBSTITUTE(SUBSTITUTE(SUBSTITUTE(SUBSTITUTE(SUBSTITUTE(TRIM(B820&amp;""),CHAR(160),"")," ",""),"초등학교","초"),"중학교","중"),"고등학교","고")</f>
      </c>
    </row>
    <row r="821" customFormat="false" ht="15" hidden="false" customHeight="false" outlineLevel="0" collapsed="false">
      <c r="A821" s="8"/>
      <c r="B821" s="8"/>
      <c r="C821" s="8"/>
      <c r="D821" s="8"/>
      <c r="E821" s="8"/>
      <c r="F821" t="str" s="15">
        <f aca="0">IF(B821="","",IF(H821="","확인필요(입력누락)",IF(SUMPRODUCT((실물목록!$P$2:$P$1001&lt;&gt;"")*ISNUMBER(SEARCH(실물목록!$P$2:$P$1001,I821))*(실물목록!$Q$2:$Q$1001&lt;&gt;"")*ISNUMBER(SEARCH(실물목록!$Q$2:$Q$1001,I821))*(실물목록!$R$2:$R$1001="")*(실물목록!$O$2:$O$1001&lt;&gt;"")*(실물목록!$O$2:$O$1001=H821))&gt;0,"실물 있음",IF(SUMPRODUCT((실물목록!$P$2:$P$1001&lt;&gt;"")*ISNUMBER(SEARCH(실물목록!$P$2:$P$1001,I821))*(실물목록!$R$2:$R$1001&lt;&gt;""))&gt;0,"확인필요(입력누락)",IF(SUMPRODUCT((실물목록!$P$2:$P$1001&lt;&gt;"")*ISNUMBER(SEARCH(실물목록!$P$2:$P$1001,I821))*(실물목록!$Q$2:$Q$1001&lt;&gt;"")*ISNUMBER(SEARCH(실물목록!$Q$2:$Q$1001,I821))*(실물목록!$R$2:$R$1001="")*(실물목록!$O$2:$O$1001&lt;&gt;""))&gt;0,"확인필요(연도다름)","실물 없음")))))</f>
      </c>
      <c r="G821" t="n" s="16">
        <f aca="0">IF(B821="","",SUMPRODUCT((실물목록!$P$2:$P$1001&lt;&gt;"")*ISNUMBER(SEARCH(실물목록!$P$2:$P$1001,I821))*(실물목록!$Q$2:$Q$1001&lt;&gt;"")*ISNUMBER(SEARCH(실물목록!$Q$2:$Q$1001,I821))*(실물목록!$R$2:$R$1001="")*(실물목록!$O$2:$O$1001&lt;&gt;"")*(실물목록!$O$2:$O$1001=H821)))</f>
      </c>
      <c r="H821" t="str">
        <f>IFERROR(IF(AND(LEN(SUBSTITUTE(SUBSTITUTE(SUBSTITUTE(TRIM(A821&amp;""),CHAR(160),"")," ",""),"년",""))=4,VALUE(SUBSTITUTE(SUBSTITUTE(SUBSTITUTE(TRIM(A821&amp;""),CHAR(160),"")," ",""),"년",""))&gt;=1900,VALUE(SUBSTITUTE(SUBSTITUTE(SUBSTITUTE(TRIM(A821&amp;""),CHAR(160),"")," ",""),"년",""))&lt;=2099,TEXT(VALUE(SUBSTITUTE(SUBSTITUTE(SUBSTITUTE(TRIM(A821&amp;""),CHAR(160),"")," ",""),"년","")),"0000")=SUBSTITUTE(SUBSTITUTE(SUBSTITUTE(TRIM(A821&amp;""),CHAR(160),"")," ",""),"년","")),SUBSTITUTE(SUBSTITUTE(SUBSTITUTE(TRIM(A821&amp;""),CHAR(160),"")," ",""),"년",""),""),"")</f>
      </c>
      <c r="I821" t="str">
        <f>SUBSTITUTE(SUBSTITUTE(SUBSTITUTE(SUBSTITUTE(SUBSTITUTE(TRIM(B821&amp;""),CHAR(160),"")," ",""),"초등학교","초"),"중학교","중"),"고등학교","고")</f>
      </c>
    </row>
    <row r="822" customFormat="false" ht="15" hidden="false" customHeight="false" outlineLevel="0" collapsed="false">
      <c r="A822" s="8"/>
      <c r="B822" s="8"/>
      <c r="C822" s="8"/>
      <c r="D822" s="8"/>
      <c r="E822" s="8"/>
      <c r="F822" t="str" s="15">
        <f aca="0">IF(B822="","",IF(H822="","확인필요(입력누락)",IF(SUMPRODUCT((실물목록!$P$2:$P$1001&lt;&gt;"")*ISNUMBER(SEARCH(실물목록!$P$2:$P$1001,I822))*(실물목록!$Q$2:$Q$1001&lt;&gt;"")*ISNUMBER(SEARCH(실물목록!$Q$2:$Q$1001,I822))*(실물목록!$R$2:$R$1001="")*(실물목록!$O$2:$O$1001&lt;&gt;"")*(실물목록!$O$2:$O$1001=H822))&gt;0,"실물 있음",IF(SUMPRODUCT((실물목록!$P$2:$P$1001&lt;&gt;"")*ISNUMBER(SEARCH(실물목록!$P$2:$P$1001,I822))*(실물목록!$R$2:$R$1001&lt;&gt;""))&gt;0,"확인필요(입력누락)",IF(SUMPRODUCT((실물목록!$P$2:$P$1001&lt;&gt;"")*ISNUMBER(SEARCH(실물목록!$P$2:$P$1001,I822))*(실물목록!$Q$2:$Q$1001&lt;&gt;"")*ISNUMBER(SEARCH(실물목록!$Q$2:$Q$1001,I822))*(실물목록!$R$2:$R$1001="")*(실물목록!$O$2:$O$1001&lt;&gt;""))&gt;0,"확인필요(연도다름)","실물 없음")))))</f>
      </c>
      <c r="G822" t="n" s="16">
        <f aca="0">IF(B822="","",SUMPRODUCT((실물목록!$P$2:$P$1001&lt;&gt;"")*ISNUMBER(SEARCH(실물목록!$P$2:$P$1001,I822))*(실물목록!$Q$2:$Q$1001&lt;&gt;"")*ISNUMBER(SEARCH(실물목록!$Q$2:$Q$1001,I822))*(실물목록!$R$2:$R$1001="")*(실물목록!$O$2:$O$1001&lt;&gt;"")*(실물목록!$O$2:$O$1001=H822)))</f>
      </c>
      <c r="H822" t="str">
        <f>IFERROR(IF(AND(LEN(SUBSTITUTE(SUBSTITUTE(SUBSTITUTE(TRIM(A822&amp;""),CHAR(160),"")," ",""),"년",""))=4,VALUE(SUBSTITUTE(SUBSTITUTE(SUBSTITUTE(TRIM(A822&amp;""),CHAR(160),"")," ",""),"년",""))&gt;=1900,VALUE(SUBSTITUTE(SUBSTITUTE(SUBSTITUTE(TRIM(A822&amp;""),CHAR(160),"")," ",""),"년",""))&lt;=2099,TEXT(VALUE(SUBSTITUTE(SUBSTITUTE(SUBSTITUTE(TRIM(A822&amp;""),CHAR(160),"")," ",""),"년","")),"0000")=SUBSTITUTE(SUBSTITUTE(SUBSTITUTE(TRIM(A822&amp;""),CHAR(160),"")," ",""),"년","")),SUBSTITUTE(SUBSTITUTE(SUBSTITUTE(TRIM(A822&amp;""),CHAR(160),"")," ",""),"년",""),""),"")</f>
      </c>
      <c r="I822" t="str">
        <f>SUBSTITUTE(SUBSTITUTE(SUBSTITUTE(SUBSTITUTE(SUBSTITUTE(TRIM(B822&amp;""),CHAR(160),"")," ",""),"초등학교","초"),"중학교","중"),"고등학교","고")</f>
      </c>
    </row>
    <row r="823" customFormat="false" ht="15" hidden="false" customHeight="false" outlineLevel="0" collapsed="false">
      <c r="A823" s="8"/>
      <c r="B823" s="8"/>
      <c r="C823" s="8"/>
      <c r="D823" s="8"/>
      <c r="E823" s="8"/>
      <c r="F823" t="str" s="15">
        <f aca="0">IF(B823="","",IF(H823="","확인필요(입력누락)",IF(SUMPRODUCT((실물목록!$P$2:$P$1001&lt;&gt;"")*ISNUMBER(SEARCH(실물목록!$P$2:$P$1001,I823))*(실물목록!$Q$2:$Q$1001&lt;&gt;"")*ISNUMBER(SEARCH(실물목록!$Q$2:$Q$1001,I823))*(실물목록!$R$2:$R$1001="")*(실물목록!$O$2:$O$1001&lt;&gt;"")*(실물목록!$O$2:$O$1001=H823))&gt;0,"실물 있음",IF(SUMPRODUCT((실물목록!$P$2:$P$1001&lt;&gt;"")*ISNUMBER(SEARCH(실물목록!$P$2:$P$1001,I823))*(실물목록!$R$2:$R$1001&lt;&gt;""))&gt;0,"확인필요(입력누락)",IF(SUMPRODUCT((실물목록!$P$2:$P$1001&lt;&gt;"")*ISNUMBER(SEARCH(실물목록!$P$2:$P$1001,I823))*(실물목록!$Q$2:$Q$1001&lt;&gt;"")*ISNUMBER(SEARCH(실물목록!$Q$2:$Q$1001,I823))*(실물목록!$R$2:$R$1001="")*(실물목록!$O$2:$O$1001&lt;&gt;""))&gt;0,"확인필요(연도다름)","실물 없음")))))</f>
      </c>
      <c r="G823" t="n" s="16">
        <f aca="0">IF(B823="","",SUMPRODUCT((실물목록!$P$2:$P$1001&lt;&gt;"")*ISNUMBER(SEARCH(실물목록!$P$2:$P$1001,I823))*(실물목록!$Q$2:$Q$1001&lt;&gt;"")*ISNUMBER(SEARCH(실물목록!$Q$2:$Q$1001,I823))*(실물목록!$R$2:$R$1001="")*(실물목록!$O$2:$O$1001&lt;&gt;"")*(실물목록!$O$2:$O$1001=H823)))</f>
      </c>
      <c r="H823" t="str">
        <f>IFERROR(IF(AND(LEN(SUBSTITUTE(SUBSTITUTE(SUBSTITUTE(TRIM(A823&amp;""),CHAR(160),"")," ",""),"년",""))=4,VALUE(SUBSTITUTE(SUBSTITUTE(SUBSTITUTE(TRIM(A823&amp;""),CHAR(160),"")," ",""),"년",""))&gt;=1900,VALUE(SUBSTITUTE(SUBSTITUTE(SUBSTITUTE(TRIM(A823&amp;""),CHAR(160),"")," ",""),"년",""))&lt;=2099,TEXT(VALUE(SUBSTITUTE(SUBSTITUTE(SUBSTITUTE(TRIM(A823&amp;""),CHAR(160),"")," ",""),"년","")),"0000")=SUBSTITUTE(SUBSTITUTE(SUBSTITUTE(TRIM(A823&amp;""),CHAR(160),"")," ",""),"년","")),SUBSTITUTE(SUBSTITUTE(SUBSTITUTE(TRIM(A823&amp;""),CHAR(160),"")," ",""),"년",""),""),"")</f>
      </c>
      <c r="I823" t="str">
        <f>SUBSTITUTE(SUBSTITUTE(SUBSTITUTE(SUBSTITUTE(SUBSTITUTE(TRIM(B823&amp;""),CHAR(160),"")," ",""),"초등학교","초"),"중학교","중"),"고등학교","고")</f>
      </c>
    </row>
    <row r="824" customFormat="false" ht="15" hidden="false" customHeight="false" outlineLevel="0" collapsed="false">
      <c r="A824" s="8"/>
      <c r="B824" s="8"/>
      <c r="C824" s="8"/>
      <c r="D824" s="8"/>
      <c r="E824" s="8"/>
      <c r="F824" t="str" s="15">
        <f aca="0">IF(B824="","",IF(H824="","확인필요(입력누락)",IF(SUMPRODUCT((실물목록!$P$2:$P$1001&lt;&gt;"")*ISNUMBER(SEARCH(실물목록!$P$2:$P$1001,I824))*(실물목록!$Q$2:$Q$1001&lt;&gt;"")*ISNUMBER(SEARCH(실물목록!$Q$2:$Q$1001,I824))*(실물목록!$R$2:$R$1001="")*(실물목록!$O$2:$O$1001&lt;&gt;"")*(실물목록!$O$2:$O$1001=H824))&gt;0,"실물 있음",IF(SUMPRODUCT((실물목록!$P$2:$P$1001&lt;&gt;"")*ISNUMBER(SEARCH(실물목록!$P$2:$P$1001,I824))*(실물목록!$R$2:$R$1001&lt;&gt;""))&gt;0,"확인필요(입력누락)",IF(SUMPRODUCT((실물목록!$P$2:$P$1001&lt;&gt;"")*ISNUMBER(SEARCH(실물목록!$P$2:$P$1001,I824))*(실물목록!$Q$2:$Q$1001&lt;&gt;"")*ISNUMBER(SEARCH(실물목록!$Q$2:$Q$1001,I824))*(실물목록!$R$2:$R$1001="")*(실물목록!$O$2:$O$1001&lt;&gt;""))&gt;0,"확인필요(연도다름)","실물 없음")))))</f>
      </c>
      <c r="G824" t="n" s="16">
        <f aca="0">IF(B824="","",SUMPRODUCT((실물목록!$P$2:$P$1001&lt;&gt;"")*ISNUMBER(SEARCH(실물목록!$P$2:$P$1001,I824))*(실물목록!$Q$2:$Q$1001&lt;&gt;"")*ISNUMBER(SEARCH(실물목록!$Q$2:$Q$1001,I824))*(실물목록!$R$2:$R$1001="")*(실물목록!$O$2:$O$1001&lt;&gt;"")*(실물목록!$O$2:$O$1001=H824)))</f>
      </c>
      <c r="H824" t="str">
        <f>IFERROR(IF(AND(LEN(SUBSTITUTE(SUBSTITUTE(SUBSTITUTE(TRIM(A824&amp;""),CHAR(160),"")," ",""),"년",""))=4,VALUE(SUBSTITUTE(SUBSTITUTE(SUBSTITUTE(TRIM(A824&amp;""),CHAR(160),"")," ",""),"년",""))&gt;=1900,VALUE(SUBSTITUTE(SUBSTITUTE(SUBSTITUTE(TRIM(A824&amp;""),CHAR(160),"")," ",""),"년",""))&lt;=2099,TEXT(VALUE(SUBSTITUTE(SUBSTITUTE(SUBSTITUTE(TRIM(A824&amp;""),CHAR(160),"")," ",""),"년","")),"0000")=SUBSTITUTE(SUBSTITUTE(SUBSTITUTE(TRIM(A824&amp;""),CHAR(160),"")," ",""),"년","")),SUBSTITUTE(SUBSTITUTE(SUBSTITUTE(TRIM(A824&amp;""),CHAR(160),"")," ",""),"년",""),""),"")</f>
      </c>
      <c r="I824" t="str">
        <f>SUBSTITUTE(SUBSTITUTE(SUBSTITUTE(SUBSTITUTE(SUBSTITUTE(TRIM(B824&amp;""),CHAR(160),"")," ",""),"초등학교","초"),"중학교","중"),"고등학교","고")</f>
      </c>
    </row>
    <row r="825" customFormat="false" ht="15" hidden="false" customHeight="false" outlineLevel="0" collapsed="false">
      <c r="A825" s="8"/>
      <c r="B825" s="8"/>
      <c r="C825" s="8"/>
      <c r="D825" s="8"/>
      <c r="E825" s="8"/>
      <c r="F825" t="str" s="15">
        <f aca="0">IF(B825="","",IF(H825="","확인필요(입력누락)",IF(SUMPRODUCT((실물목록!$P$2:$P$1001&lt;&gt;"")*ISNUMBER(SEARCH(실물목록!$P$2:$P$1001,I825))*(실물목록!$Q$2:$Q$1001&lt;&gt;"")*ISNUMBER(SEARCH(실물목록!$Q$2:$Q$1001,I825))*(실물목록!$R$2:$R$1001="")*(실물목록!$O$2:$O$1001&lt;&gt;"")*(실물목록!$O$2:$O$1001=H825))&gt;0,"실물 있음",IF(SUMPRODUCT((실물목록!$P$2:$P$1001&lt;&gt;"")*ISNUMBER(SEARCH(실물목록!$P$2:$P$1001,I825))*(실물목록!$R$2:$R$1001&lt;&gt;""))&gt;0,"확인필요(입력누락)",IF(SUMPRODUCT((실물목록!$P$2:$P$1001&lt;&gt;"")*ISNUMBER(SEARCH(실물목록!$P$2:$P$1001,I825))*(실물목록!$Q$2:$Q$1001&lt;&gt;"")*ISNUMBER(SEARCH(실물목록!$Q$2:$Q$1001,I825))*(실물목록!$R$2:$R$1001="")*(실물목록!$O$2:$O$1001&lt;&gt;""))&gt;0,"확인필요(연도다름)","실물 없음")))))</f>
      </c>
      <c r="G825" t="n" s="16">
        <f aca="0">IF(B825="","",SUMPRODUCT((실물목록!$P$2:$P$1001&lt;&gt;"")*ISNUMBER(SEARCH(실물목록!$P$2:$P$1001,I825))*(실물목록!$Q$2:$Q$1001&lt;&gt;"")*ISNUMBER(SEARCH(실물목록!$Q$2:$Q$1001,I825))*(실물목록!$R$2:$R$1001="")*(실물목록!$O$2:$O$1001&lt;&gt;"")*(실물목록!$O$2:$O$1001=H825)))</f>
      </c>
      <c r="H825" t="str">
        <f>IFERROR(IF(AND(LEN(SUBSTITUTE(SUBSTITUTE(SUBSTITUTE(TRIM(A825&amp;""),CHAR(160),"")," ",""),"년",""))=4,VALUE(SUBSTITUTE(SUBSTITUTE(SUBSTITUTE(TRIM(A825&amp;""),CHAR(160),"")," ",""),"년",""))&gt;=1900,VALUE(SUBSTITUTE(SUBSTITUTE(SUBSTITUTE(TRIM(A825&amp;""),CHAR(160),"")," ",""),"년",""))&lt;=2099,TEXT(VALUE(SUBSTITUTE(SUBSTITUTE(SUBSTITUTE(TRIM(A825&amp;""),CHAR(160),"")," ",""),"년","")),"0000")=SUBSTITUTE(SUBSTITUTE(SUBSTITUTE(TRIM(A825&amp;""),CHAR(160),"")," ",""),"년","")),SUBSTITUTE(SUBSTITUTE(SUBSTITUTE(TRIM(A825&amp;""),CHAR(160),"")," ",""),"년",""),""),"")</f>
      </c>
      <c r="I825" t="str">
        <f>SUBSTITUTE(SUBSTITUTE(SUBSTITUTE(SUBSTITUTE(SUBSTITUTE(TRIM(B825&amp;""),CHAR(160),"")," ",""),"초등학교","초"),"중학교","중"),"고등학교","고")</f>
      </c>
    </row>
    <row r="826" customFormat="false" ht="15" hidden="false" customHeight="false" outlineLevel="0" collapsed="false">
      <c r="A826" s="8"/>
      <c r="B826" s="8"/>
      <c r="C826" s="8"/>
      <c r="D826" s="8"/>
      <c r="E826" s="8"/>
      <c r="F826" t="str" s="15">
        <f aca="0">IF(B826="","",IF(H826="","확인필요(입력누락)",IF(SUMPRODUCT((실물목록!$P$2:$P$1001&lt;&gt;"")*ISNUMBER(SEARCH(실물목록!$P$2:$P$1001,I826))*(실물목록!$Q$2:$Q$1001&lt;&gt;"")*ISNUMBER(SEARCH(실물목록!$Q$2:$Q$1001,I826))*(실물목록!$R$2:$R$1001="")*(실물목록!$O$2:$O$1001&lt;&gt;"")*(실물목록!$O$2:$O$1001=H826))&gt;0,"실물 있음",IF(SUMPRODUCT((실물목록!$P$2:$P$1001&lt;&gt;"")*ISNUMBER(SEARCH(실물목록!$P$2:$P$1001,I826))*(실물목록!$R$2:$R$1001&lt;&gt;""))&gt;0,"확인필요(입력누락)",IF(SUMPRODUCT((실물목록!$P$2:$P$1001&lt;&gt;"")*ISNUMBER(SEARCH(실물목록!$P$2:$P$1001,I826))*(실물목록!$Q$2:$Q$1001&lt;&gt;"")*ISNUMBER(SEARCH(실물목록!$Q$2:$Q$1001,I826))*(실물목록!$R$2:$R$1001="")*(실물목록!$O$2:$O$1001&lt;&gt;""))&gt;0,"확인필요(연도다름)","실물 없음")))))</f>
      </c>
      <c r="G826" t="n" s="16">
        <f aca="0">IF(B826="","",SUMPRODUCT((실물목록!$P$2:$P$1001&lt;&gt;"")*ISNUMBER(SEARCH(실물목록!$P$2:$P$1001,I826))*(실물목록!$Q$2:$Q$1001&lt;&gt;"")*ISNUMBER(SEARCH(실물목록!$Q$2:$Q$1001,I826))*(실물목록!$R$2:$R$1001="")*(실물목록!$O$2:$O$1001&lt;&gt;"")*(실물목록!$O$2:$O$1001=H826)))</f>
      </c>
      <c r="H826" t="str">
        <f>IFERROR(IF(AND(LEN(SUBSTITUTE(SUBSTITUTE(SUBSTITUTE(TRIM(A826&amp;""),CHAR(160),"")," ",""),"년",""))=4,VALUE(SUBSTITUTE(SUBSTITUTE(SUBSTITUTE(TRIM(A826&amp;""),CHAR(160),"")," ",""),"년",""))&gt;=1900,VALUE(SUBSTITUTE(SUBSTITUTE(SUBSTITUTE(TRIM(A826&amp;""),CHAR(160),"")," ",""),"년",""))&lt;=2099,TEXT(VALUE(SUBSTITUTE(SUBSTITUTE(SUBSTITUTE(TRIM(A826&amp;""),CHAR(160),"")," ",""),"년","")),"0000")=SUBSTITUTE(SUBSTITUTE(SUBSTITUTE(TRIM(A826&amp;""),CHAR(160),"")," ",""),"년","")),SUBSTITUTE(SUBSTITUTE(SUBSTITUTE(TRIM(A826&amp;""),CHAR(160),"")," ",""),"년",""),""),"")</f>
      </c>
      <c r="I826" t="str">
        <f>SUBSTITUTE(SUBSTITUTE(SUBSTITUTE(SUBSTITUTE(SUBSTITUTE(TRIM(B826&amp;""),CHAR(160),"")," ",""),"초등학교","초"),"중학교","중"),"고등학교","고")</f>
      </c>
    </row>
    <row r="827" customFormat="false" ht="15" hidden="false" customHeight="false" outlineLevel="0" collapsed="false">
      <c r="A827" s="8"/>
      <c r="B827" s="8"/>
      <c r="C827" s="8"/>
      <c r="D827" s="8"/>
      <c r="E827" s="8"/>
      <c r="F827" t="str" s="15">
        <f aca="0">IF(B827="","",IF(H827="","확인필요(입력누락)",IF(SUMPRODUCT((실물목록!$P$2:$P$1001&lt;&gt;"")*ISNUMBER(SEARCH(실물목록!$P$2:$P$1001,I827))*(실물목록!$Q$2:$Q$1001&lt;&gt;"")*ISNUMBER(SEARCH(실물목록!$Q$2:$Q$1001,I827))*(실물목록!$R$2:$R$1001="")*(실물목록!$O$2:$O$1001&lt;&gt;"")*(실물목록!$O$2:$O$1001=H827))&gt;0,"실물 있음",IF(SUMPRODUCT((실물목록!$P$2:$P$1001&lt;&gt;"")*ISNUMBER(SEARCH(실물목록!$P$2:$P$1001,I827))*(실물목록!$R$2:$R$1001&lt;&gt;""))&gt;0,"확인필요(입력누락)",IF(SUMPRODUCT((실물목록!$P$2:$P$1001&lt;&gt;"")*ISNUMBER(SEARCH(실물목록!$P$2:$P$1001,I827))*(실물목록!$Q$2:$Q$1001&lt;&gt;"")*ISNUMBER(SEARCH(실물목록!$Q$2:$Q$1001,I827))*(실물목록!$R$2:$R$1001="")*(실물목록!$O$2:$O$1001&lt;&gt;""))&gt;0,"확인필요(연도다름)","실물 없음")))))</f>
      </c>
      <c r="G827" t="n" s="16">
        <f aca="0">IF(B827="","",SUMPRODUCT((실물목록!$P$2:$P$1001&lt;&gt;"")*ISNUMBER(SEARCH(실물목록!$P$2:$P$1001,I827))*(실물목록!$Q$2:$Q$1001&lt;&gt;"")*ISNUMBER(SEARCH(실물목록!$Q$2:$Q$1001,I827))*(실물목록!$R$2:$R$1001="")*(실물목록!$O$2:$O$1001&lt;&gt;"")*(실물목록!$O$2:$O$1001=H827)))</f>
      </c>
      <c r="H827" t="str">
        <f>IFERROR(IF(AND(LEN(SUBSTITUTE(SUBSTITUTE(SUBSTITUTE(TRIM(A827&amp;""),CHAR(160),"")," ",""),"년",""))=4,VALUE(SUBSTITUTE(SUBSTITUTE(SUBSTITUTE(TRIM(A827&amp;""),CHAR(160),"")," ",""),"년",""))&gt;=1900,VALUE(SUBSTITUTE(SUBSTITUTE(SUBSTITUTE(TRIM(A827&amp;""),CHAR(160),"")," ",""),"년",""))&lt;=2099,TEXT(VALUE(SUBSTITUTE(SUBSTITUTE(SUBSTITUTE(TRIM(A827&amp;""),CHAR(160),"")," ",""),"년","")),"0000")=SUBSTITUTE(SUBSTITUTE(SUBSTITUTE(TRIM(A827&amp;""),CHAR(160),"")," ",""),"년","")),SUBSTITUTE(SUBSTITUTE(SUBSTITUTE(TRIM(A827&amp;""),CHAR(160),"")," ",""),"년",""),""),"")</f>
      </c>
      <c r="I827" t="str">
        <f>SUBSTITUTE(SUBSTITUTE(SUBSTITUTE(SUBSTITUTE(SUBSTITUTE(TRIM(B827&amp;""),CHAR(160),"")," ",""),"초등학교","초"),"중학교","중"),"고등학교","고")</f>
      </c>
    </row>
    <row r="828" customFormat="false" ht="15" hidden="false" customHeight="false" outlineLevel="0" collapsed="false">
      <c r="A828" s="8"/>
      <c r="B828" s="8"/>
      <c r="C828" s="8"/>
      <c r="D828" s="8"/>
      <c r="E828" s="8"/>
      <c r="F828" t="str" s="15">
        <f aca="0">IF(B828="","",IF(H828="","확인필요(입력누락)",IF(SUMPRODUCT((실물목록!$P$2:$P$1001&lt;&gt;"")*ISNUMBER(SEARCH(실물목록!$P$2:$P$1001,I828))*(실물목록!$Q$2:$Q$1001&lt;&gt;"")*ISNUMBER(SEARCH(실물목록!$Q$2:$Q$1001,I828))*(실물목록!$R$2:$R$1001="")*(실물목록!$O$2:$O$1001&lt;&gt;"")*(실물목록!$O$2:$O$1001=H828))&gt;0,"실물 있음",IF(SUMPRODUCT((실물목록!$P$2:$P$1001&lt;&gt;"")*ISNUMBER(SEARCH(실물목록!$P$2:$P$1001,I828))*(실물목록!$R$2:$R$1001&lt;&gt;""))&gt;0,"확인필요(입력누락)",IF(SUMPRODUCT((실물목록!$P$2:$P$1001&lt;&gt;"")*ISNUMBER(SEARCH(실물목록!$P$2:$P$1001,I828))*(실물목록!$Q$2:$Q$1001&lt;&gt;"")*ISNUMBER(SEARCH(실물목록!$Q$2:$Q$1001,I828))*(실물목록!$R$2:$R$1001="")*(실물목록!$O$2:$O$1001&lt;&gt;""))&gt;0,"확인필요(연도다름)","실물 없음")))))</f>
      </c>
      <c r="G828" t="n" s="16">
        <f aca="0">IF(B828="","",SUMPRODUCT((실물목록!$P$2:$P$1001&lt;&gt;"")*ISNUMBER(SEARCH(실물목록!$P$2:$P$1001,I828))*(실물목록!$Q$2:$Q$1001&lt;&gt;"")*ISNUMBER(SEARCH(실물목록!$Q$2:$Q$1001,I828))*(실물목록!$R$2:$R$1001="")*(실물목록!$O$2:$O$1001&lt;&gt;"")*(실물목록!$O$2:$O$1001=H828)))</f>
      </c>
      <c r="H828" t="str">
        <f>IFERROR(IF(AND(LEN(SUBSTITUTE(SUBSTITUTE(SUBSTITUTE(TRIM(A828&amp;""),CHAR(160),"")," ",""),"년",""))=4,VALUE(SUBSTITUTE(SUBSTITUTE(SUBSTITUTE(TRIM(A828&amp;""),CHAR(160),"")," ",""),"년",""))&gt;=1900,VALUE(SUBSTITUTE(SUBSTITUTE(SUBSTITUTE(TRIM(A828&amp;""),CHAR(160),"")," ",""),"년",""))&lt;=2099,TEXT(VALUE(SUBSTITUTE(SUBSTITUTE(SUBSTITUTE(TRIM(A828&amp;""),CHAR(160),"")," ",""),"년","")),"0000")=SUBSTITUTE(SUBSTITUTE(SUBSTITUTE(TRIM(A828&amp;""),CHAR(160),"")," ",""),"년","")),SUBSTITUTE(SUBSTITUTE(SUBSTITUTE(TRIM(A828&amp;""),CHAR(160),"")," ",""),"년",""),""),"")</f>
      </c>
      <c r="I828" t="str">
        <f>SUBSTITUTE(SUBSTITUTE(SUBSTITUTE(SUBSTITUTE(SUBSTITUTE(TRIM(B828&amp;""),CHAR(160),"")," ",""),"초등학교","초"),"중학교","중"),"고등학교","고")</f>
      </c>
    </row>
    <row r="829" customFormat="false" ht="15" hidden="false" customHeight="false" outlineLevel="0" collapsed="false">
      <c r="A829" s="8"/>
      <c r="B829" s="8"/>
      <c r="C829" s="8"/>
      <c r="D829" s="8"/>
      <c r="E829" s="8"/>
      <c r="F829" t="str" s="15">
        <f aca="0">IF(B829="","",IF(H829="","확인필요(입력누락)",IF(SUMPRODUCT((실물목록!$P$2:$P$1001&lt;&gt;"")*ISNUMBER(SEARCH(실물목록!$P$2:$P$1001,I829))*(실물목록!$Q$2:$Q$1001&lt;&gt;"")*ISNUMBER(SEARCH(실물목록!$Q$2:$Q$1001,I829))*(실물목록!$R$2:$R$1001="")*(실물목록!$O$2:$O$1001&lt;&gt;"")*(실물목록!$O$2:$O$1001=H829))&gt;0,"실물 있음",IF(SUMPRODUCT((실물목록!$P$2:$P$1001&lt;&gt;"")*ISNUMBER(SEARCH(실물목록!$P$2:$P$1001,I829))*(실물목록!$R$2:$R$1001&lt;&gt;""))&gt;0,"확인필요(입력누락)",IF(SUMPRODUCT((실물목록!$P$2:$P$1001&lt;&gt;"")*ISNUMBER(SEARCH(실물목록!$P$2:$P$1001,I829))*(실물목록!$Q$2:$Q$1001&lt;&gt;"")*ISNUMBER(SEARCH(실물목록!$Q$2:$Q$1001,I829))*(실물목록!$R$2:$R$1001="")*(실물목록!$O$2:$O$1001&lt;&gt;""))&gt;0,"확인필요(연도다름)","실물 없음")))))</f>
      </c>
      <c r="G829" t="n" s="16">
        <f aca="0">IF(B829="","",SUMPRODUCT((실물목록!$P$2:$P$1001&lt;&gt;"")*ISNUMBER(SEARCH(실물목록!$P$2:$P$1001,I829))*(실물목록!$Q$2:$Q$1001&lt;&gt;"")*ISNUMBER(SEARCH(실물목록!$Q$2:$Q$1001,I829))*(실물목록!$R$2:$R$1001="")*(실물목록!$O$2:$O$1001&lt;&gt;"")*(실물목록!$O$2:$O$1001=H829)))</f>
      </c>
      <c r="H829" t="str">
        <f>IFERROR(IF(AND(LEN(SUBSTITUTE(SUBSTITUTE(SUBSTITUTE(TRIM(A829&amp;""),CHAR(160),"")," ",""),"년",""))=4,VALUE(SUBSTITUTE(SUBSTITUTE(SUBSTITUTE(TRIM(A829&amp;""),CHAR(160),"")," ",""),"년",""))&gt;=1900,VALUE(SUBSTITUTE(SUBSTITUTE(SUBSTITUTE(TRIM(A829&amp;""),CHAR(160),"")," ",""),"년",""))&lt;=2099,TEXT(VALUE(SUBSTITUTE(SUBSTITUTE(SUBSTITUTE(TRIM(A829&amp;""),CHAR(160),"")," ",""),"년","")),"0000")=SUBSTITUTE(SUBSTITUTE(SUBSTITUTE(TRIM(A829&amp;""),CHAR(160),"")," ",""),"년","")),SUBSTITUTE(SUBSTITUTE(SUBSTITUTE(TRIM(A829&amp;""),CHAR(160),"")," ",""),"년",""),""),"")</f>
      </c>
      <c r="I829" t="str">
        <f>SUBSTITUTE(SUBSTITUTE(SUBSTITUTE(SUBSTITUTE(SUBSTITUTE(TRIM(B829&amp;""),CHAR(160),"")," ",""),"초등학교","초"),"중학교","중"),"고등학교","고")</f>
      </c>
    </row>
    <row r="830" customFormat="false" ht="15" hidden="false" customHeight="false" outlineLevel="0" collapsed="false">
      <c r="A830" s="8"/>
      <c r="B830" s="8"/>
      <c r="C830" s="8"/>
      <c r="D830" s="8"/>
      <c r="E830" s="8"/>
      <c r="F830" t="str" s="15">
        <f aca="0">IF(B830="","",IF(H830="","확인필요(입력누락)",IF(SUMPRODUCT((실물목록!$P$2:$P$1001&lt;&gt;"")*ISNUMBER(SEARCH(실물목록!$P$2:$P$1001,I830))*(실물목록!$Q$2:$Q$1001&lt;&gt;"")*ISNUMBER(SEARCH(실물목록!$Q$2:$Q$1001,I830))*(실물목록!$R$2:$R$1001="")*(실물목록!$O$2:$O$1001&lt;&gt;"")*(실물목록!$O$2:$O$1001=H830))&gt;0,"실물 있음",IF(SUMPRODUCT((실물목록!$P$2:$P$1001&lt;&gt;"")*ISNUMBER(SEARCH(실물목록!$P$2:$P$1001,I830))*(실물목록!$R$2:$R$1001&lt;&gt;""))&gt;0,"확인필요(입력누락)",IF(SUMPRODUCT((실물목록!$P$2:$P$1001&lt;&gt;"")*ISNUMBER(SEARCH(실물목록!$P$2:$P$1001,I830))*(실물목록!$Q$2:$Q$1001&lt;&gt;"")*ISNUMBER(SEARCH(실물목록!$Q$2:$Q$1001,I830))*(실물목록!$R$2:$R$1001="")*(실물목록!$O$2:$O$1001&lt;&gt;""))&gt;0,"확인필요(연도다름)","실물 없음")))))</f>
      </c>
      <c r="G830" t="n" s="16">
        <f aca="0">IF(B830="","",SUMPRODUCT((실물목록!$P$2:$P$1001&lt;&gt;"")*ISNUMBER(SEARCH(실물목록!$P$2:$P$1001,I830))*(실물목록!$Q$2:$Q$1001&lt;&gt;"")*ISNUMBER(SEARCH(실물목록!$Q$2:$Q$1001,I830))*(실물목록!$R$2:$R$1001="")*(실물목록!$O$2:$O$1001&lt;&gt;"")*(실물목록!$O$2:$O$1001=H830)))</f>
      </c>
      <c r="H830" t="str">
        <f>IFERROR(IF(AND(LEN(SUBSTITUTE(SUBSTITUTE(SUBSTITUTE(TRIM(A830&amp;""),CHAR(160),"")," ",""),"년",""))=4,VALUE(SUBSTITUTE(SUBSTITUTE(SUBSTITUTE(TRIM(A830&amp;""),CHAR(160),"")," ",""),"년",""))&gt;=1900,VALUE(SUBSTITUTE(SUBSTITUTE(SUBSTITUTE(TRIM(A830&amp;""),CHAR(160),"")," ",""),"년",""))&lt;=2099,TEXT(VALUE(SUBSTITUTE(SUBSTITUTE(SUBSTITUTE(TRIM(A830&amp;""),CHAR(160),"")," ",""),"년","")),"0000")=SUBSTITUTE(SUBSTITUTE(SUBSTITUTE(TRIM(A830&amp;""),CHAR(160),"")," ",""),"년","")),SUBSTITUTE(SUBSTITUTE(SUBSTITUTE(TRIM(A830&amp;""),CHAR(160),"")," ",""),"년",""),""),"")</f>
      </c>
      <c r="I830" t="str">
        <f>SUBSTITUTE(SUBSTITUTE(SUBSTITUTE(SUBSTITUTE(SUBSTITUTE(TRIM(B830&amp;""),CHAR(160),"")," ",""),"초등학교","초"),"중학교","중"),"고등학교","고")</f>
      </c>
    </row>
    <row r="831" customFormat="false" ht="15" hidden="false" customHeight="false" outlineLevel="0" collapsed="false">
      <c r="A831" s="8"/>
      <c r="B831" s="8"/>
      <c r="C831" s="8"/>
      <c r="D831" s="8"/>
      <c r="E831" s="8"/>
      <c r="F831" t="str" s="15">
        <f aca="0">IF(B831="","",IF(H831="","확인필요(입력누락)",IF(SUMPRODUCT((실물목록!$P$2:$P$1001&lt;&gt;"")*ISNUMBER(SEARCH(실물목록!$P$2:$P$1001,I831))*(실물목록!$Q$2:$Q$1001&lt;&gt;"")*ISNUMBER(SEARCH(실물목록!$Q$2:$Q$1001,I831))*(실물목록!$R$2:$R$1001="")*(실물목록!$O$2:$O$1001&lt;&gt;"")*(실물목록!$O$2:$O$1001=H831))&gt;0,"실물 있음",IF(SUMPRODUCT((실물목록!$P$2:$P$1001&lt;&gt;"")*ISNUMBER(SEARCH(실물목록!$P$2:$P$1001,I831))*(실물목록!$R$2:$R$1001&lt;&gt;""))&gt;0,"확인필요(입력누락)",IF(SUMPRODUCT((실물목록!$P$2:$P$1001&lt;&gt;"")*ISNUMBER(SEARCH(실물목록!$P$2:$P$1001,I831))*(실물목록!$Q$2:$Q$1001&lt;&gt;"")*ISNUMBER(SEARCH(실물목록!$Q$2:$Q$1001,I831))*(실물목록!$R$2:$R$1001="")*(실물목록!$O$2:$O$1001&lt;&gt;""))&gt;0,"확인필요(연도다름)","실물 없음")))))</f>
      </c>
      <c r="G831" t="n" s="16">
        <f aca="0">IF(B831="","",SUMPRODUCT((실물목록!$P$2:$P$1001&lt;&gt;"")*ISNUMBER(SEARCH(실물목록!$P$2:$P$1001,I831))*(실물목록!$Q$2:$Q$1001&lt;&gt;"")*ISNUMBER(SEARCH(실물목록!$Q$2:$Q$1001,I831))*(실물목록!$R$2:$R$1001="")*(실물목록!$O$2:$O$1001&lt;&gt;"")*(실물목록!$O$2:$O$1001=H831)))</f>
      </c>
      <c r="H831" t="str">
        <f>IFERROR(IF(AND(LEN(SUBSTITUTE(SUBSTITUTE(SUBSTITUTE(TRIM(A831&amp;""),CHAR(160),"")," ",""),"년",""))=4,VALUE(SUBSTITUTE(SUBSTITUTE(SUBSTITUTE(TRIM(A831&amp;""),CHAR(160),"")," ",""),"년",""))&gt;=1900,VALUE(SUBSTITUTE(SUBSTITUTE(SUBSTITUTE(TRIM(A831&amp;""),CHAR(160),"")," ",""),"년",""))&lt;=2099,TEXT(VALUE(SUBSTITUTE(SUBSTITUTE(SUBSTITUTE(TRIM(A831&amp;""),CHAR(160),"")," ",""),"년","")),"0000")=SUBSTITUTE(SUBSTITUTE(SUBSTITUTE(TRIM(A831&amp;""),CHAR(160),"")," ",""),"년","")),SUBSTITUTE(SUBSTITUTE(SUBSTITUTE(TRIM(A831&amp;""),CHAR(160),"")," ",""),"년",""),""),"")</f>
      </c>
      <c r="I831" t="str">
        <f>SUBSTITUTE(SUBSTITUTE(SUBSTITUTE(SUBSTITUTE(SUBSTITUTE(TRIM(B831&amp;""),CHAR(160),"")," ",""),"초등학교","초"),"중학교","중"),"고등학교","고")</f>
      </c>
    </row>
    <row r="832" customFormat="false" ht="15" hidden="false" customHeight="false" outlineLevel="0" collapsed="false">
      <c r="A832" s="8"/>
      <c r="B832" s="8"/>
      <c r="C832" s="8"/>
      <c r="D832" s="8"/>
      <c r="E832" s="8"/>
      <c r="F832" t="str" s="15">
        <f aca="0">IF(B832="","",IF(H832="","확인필요(입력누락)",IF(SUMPRODUCT((실물목록!$P$2:$P$1001&lt;&gt;"")*ISNUMBER(SEARCH(실물목록!$P$2:$P$1001,I832))*(실물목록!$Q$2:$Q$1001&lt;&gt;"")*ISNUMBER(SEARCH(실물목록!$Q$2:$Q$1001,I832))*(실물목록!$R$2:$R$1001="")*(실물목록!$O$2:$O$1001&lt;&gt;"")*(실물목록!$O$2:$O$1001=H832))&gt;0,"실물 있음",IF(SUMPRODUCT((실물목록!$P$2:$P$1001&lt;&gt;"")*ISNUMBER(SEARCH(실물목록!$P$2:$P$1001,I832))*(실물목록!$R$2:$R$1001&lt;&gt;""))&gt;0,"확인필요(입력누락)",IF(SUMPRODUCT((실물목록!$P$2:$P$1001&lt;&gt;"")*ISNUMBER(SEARCH(실물목록!$P$2:$P$1001,I832))*(실물목록!$Q$2:$Q$1001&lt;&gt;"")*ISNUMBER(SEARCH(실물목록!$Q$2:$Q$1001,I832))*(실물목록!$R$2:$R$1001="")*(실물목록!$O$2:$O$1001&lt;&gt;""))&gt;0,"확인필요(연도다름)","실물 없음")))))</f>
      </c>
      <c r="G832" t="n" s="16">
        <f aca="0">IF(B832="","",SUMPRODUCT((실물목록!$P$2:$P$1001&lt;&gt;"")*ISNUMBER(SEARCH(실물목록!$P$2:$P$1001,I832))*(실물목록!$Q$2:$Q$1001&lt;&gt;"")*ISNUMBER(SEARCH(실물목록!$Q$2:$Q$1001,I832))*(실물목록!$R$2:$R$1001="")*(실물목록!$O$2:$O$1001&lt;&gt;"")*(실물목록!$O$2:$O$1001=H832)))</f>
      </c>
      <c r="H832" t="str">
        <f>IFERROR(IF(AND(LEN(SUBSTITUTE(SUBSTITUTE(SUBSTITUTE(TRIM(A832&amp;""),CHAR(160),"")," ",""),"년",""))=4,VALUE(SUBSTITUTE(SUBSTITUTE(SUBSTITUTE(TRIM(A832&amp;""),CHAR(160),"")," ",""),"년",""))&gt;=1900,VALUE(SUBSTITUTE(SUBSTITUTE(SUBSTITUTE(TRIM(A832&amp;""),CHAR(160),"")," ",""),"년",""))&lt;=2099,TEXT(VALUE(SUBSTITUTE(SUBSTITUTE(SUBSTITUTE(TRIM(A832&amp;""),CHAR(160),"")," ",""),"년","")),"0000")=SUBSTITUTE(SUBSTITUTE(SUBSTITUTE(TRIM(A832&amp;""),CHAR(160),"")," ",""),"년","")),SUBSTITUTE(SUBSTITUTE(SUBSTITUTE(TRIM(A832&amp;""),CHAR(160),"")," ",""),"년",""),""),"")</f>
      </c>
      <c r="I832" t="str">
        <f>SUBSTITUTE(SUBSTITUTE(SUBSTITUTE(SUBSTITUTE(SUBSTITUTE(TRIM(B832&amp;""),CHAR(160),"")," ",""),"초등학교","초"),"중학교","중"),"고등학교","고")</f>
      </c>
    </row>
    <row r="833" customFormat="false" ht="15" hidden="false" customHeight="false" outlineLevel="0" collapsed="false">
      <c r="A833" s="8"/>
      <c r="B833" s="8"/>
      <c r="C833" s="8"/>
      <c r="D833" s="8"/>
      <c r="E833" s="8"/>
      <c r="F833" t="str" s="15">
        <f aca="0">IF(B833="","",IF(H833="","확인필요(입력누락)",IF(SUMPRODUCT((실물목록!$P$2:$P$1001&lt;&gt;"")*ISNUMBER(SEARCH(실물목록!$P$2:$P$1001,I833))*(실물목록!$Q$2:$Q$1001&lt;&gt;"")*ISNUMBER(SEARCH(실물목록!$Q$2:$Q$1001,I833))*(실물목록!$R$2:$R$1001="")*(실물목록!$O$2:$O$1001&lt;&gt;"")*(실물목록!$O$2:$O$1001=H833))&gt;0,"실물 있음",IF(SUMPRODUCT((실물목록!$P$2:$P$1001&lt;&gt;"")*ISNUMBER(SEARCH(실물목록!$P$2:$P$1001,I833))*(실물목록!$R$2:$R$1001&lt;&gt;""))&gt;0,"확인필요(입력누락)",IF(SUMPRODUCT((실물목록!$P$2:$P$1001&lt;&gt;"")*ISNUMBER(SEARCH(실물목록!$P$2:$P$1001,I833))*(실물목록!$Q$2:$Q$1001&lt;&gt;"")*ISNUMBER(SEARCH(실물목록!$Q$2:$Q$1001,I833))*(실물목록!$R$2:$R$1001="")*(실물목록!$O$2:$O$1001&lt;&gt;""))&gt;0,"확인필요(연도다름)","실물 없음")))))</f>
      </c>
      <c r="G833" t="n" s="16">
        <f aca="0">IF(B833="","",SUMPRODUCT((실물목록!$P$2:$P$1001&lt;&gt;"")*ISNUMBER(SEARCH(실물목록!$P$2:$P$1001,I833))*(실물목록!$Q$2:$Q$1001&lt;&gt;"")*ISNUMBER(SEARCH(실물목록!$Q$2:$Q$1001,I833))*(실물목록!$R$2:$R$1001="")*(실물목록!$O$2:$O$1001&lt;&gt;"")*(실물목록!$O$2:$O$1001=H833)))</f>
      </c>
      <c r="H833" t="str">
        <f>IFERROR(IF(AND(LEN(SUBSTITUTE(SUBSTITUTE(SUBSTITUTE(TRIM(A833&amp;""),CHAR(160),"")," ",""),"년",""))=4,VALUE(SUBSTITUTE(SUBSTITUTE(SUBSTITUTE(TRIM(A833&amp;""),CHAR(160),"")," ",""),"년",""))&gt;=1900,VALUE(SUBSTITUTE(SUBSTITUTE(SUBSTITUTE(TRIM(A833&amp;""),CHAR(160),"")," ",""),"년",""))&lt;=2099,TEXT(VALUE(SUBSTITUTE(SUBSTITUTE(SUBSTITUTE(TRIM(A833&amp;""),CHAR(160),"")," ",""),"년","")),"0000")=SUBSTITUTE(SUBSTITUTE(SUBSTITUTE(TRIM(A833&amp;""),CHAR(160),"")," ",""),"년","")),SUBSTITUTE(SUBSTITUTE(SUBSTITUTE(TRIM(A833&amp;""),CHAR(160),"")," ",""),"년",""),""),"")</f>
      </c>
      <c r="I833" t="str">
        <f>SUBSTITUTE(SUBSTITUTE(SUBSTITUTE(SUBSTITUTE(SUBSTITUTE(TRIM(B833&amp;""),CHAR(160),"")," ",""),"초등학교","초"),"중학교","중"),"고등학교","고")</f>
      </c>
    </row>
    <row r="834" customFormat="false" ht="15" hidden="false" customHeight="false" outlineLevel="0" collapsed="false">
      <c r="A834" s="8"/>
      <c r="B834" s="8"/>
      <c r="C834" s="8"/>
      <c r="D834" s="8"/>
      <c r="E834" s="8"/>
      <c r="F834" t="str" s="15">
        <f aca="0">IF(B834="","",IF(H834="","확인필요(입력누락)",IF(SUMPRODUCT((실물목록!$P$2:$P$1001&lt;&gt;"")*ISNUMBER(SEARCH(실물목록!$P$2:$P$1001,I834))*(실물목록!$Q$2:$Q$1001&lt;&gt;"")*ISNUMBER(SEARCH(실물목록!$Q$2:$Q$1001,I834))*(실물목록!$R$2:$R$1001="")*(실물목록!$O$2:$O$1001&lt;&gt;"")*(실물목록!$O$2:$O$1001=H834))&gt;0,"실물 있음",IF(SUMPRODUCT((실물목록!$P$2:$P$1001&lt;&gt;"")*ISNUMBER(SEARCH(실물목록!$P$2:$P$1001,I834))*(실물목록!$R$2:$R$1001&lt;&gt;""))&gt;0,"확인필요(입력누락)",IF(SUMPRODUCT((실물목록!$P$2:$P$1001&lt;&gt;"")*ISNUMBER(SEARCH(실물목록!$P$2:$P$1001,I834))*(실물목록!$Q$2:$Q$1001&lt;&gt;"")*ISNUMBER(SEARCH(실물목록!$Q$2:$Q$1001,I834))*(실물목록!$R$2:$R$1001="")*(실물목록!$O$2:$O$1001&lt;&gt;""))&gt;0,"확인필요(연도다름)","실물 없음")))))</f>
      </c>
      <c r="G834" t="n" s="16">
        <f aca="0">IF(B834="","",SUMPRODUCT((실물목록!$P$2:$P$1001&lt;&gt;"")*ISNUMBER(SEARCH(실물목록!$P$2:$P$1001,I834))*(실물목록!$Q$2:$Q$1001&lt;&gt;"")*ISNUMBER(SEARCH(실물목록!$Q$2:$Q$1001,I834))*(실물목록!$R$2:$R$1001="")*(실물목록!$O$2:$O$1001&lt;&gt;"")*(실물목록!$O$2:$O$1001=H834)))</f>
      </c>
      <c r="H834" t="str">
        <f>IFERROR(IF(AND(LEN(SUBSTITUTE(SUBSTITUTE(SUBSTITUTE(TRIM(A834&amp;""),CHAR(160),"")," ",""),"년",""))=4,VALUE(SUBSTITUTE(SUBSTITUTE(SUBSTITUTE(TRIM(A834&amp;""),CHAR(160),"")," ",""),"년",""))&gt;=1900,VALUE(SUBSTITUTE(SUBSTITUTE(SUBSTITUTE(TRIM(A834&amp;""),CHAR(160),"")," ",""),"년",""))&lt;=2099,TEXT(VALUE(SUBSTITUTE(SUBSTITUTE(SUBSTITUTE(TRIM(A834&amp;""),CHAR(160),"")," ",""),"년","")),"0000")=SUBSTITUTE(SUBSTITUTE(SUBSTITUTE(TRIM(A834&amp;""),CHAR(160),"")," ",""),"년","")),SUBSTITUTE(SUBSTITUTE(SUBSTITUTE(TRIM(A834&amp;""),CHAR(160),"")," ",""),"년",""),""),"")</f>
      </c>
      <c r="I834" t="str">
        <f>SUBSTITUTE(SUBSTITUTE(SUBSTITUTE(SUBSTITUTE(SUBSTITUTE(TRIM(B834&amp;""),CHAR(160),"")," ",""),"초등학교","초"),"중학교","중"),"고등학교","고")</f>
      </c>
    </row>
    <row r="835" customFormat="false" ht="15" hidden="false" customHeight="false" outlineLevel="0" collapsed="false">
      <c r="A835" s="8"/>
      <c r="B835" s="8"/>
      <c r="C835" s="8"/>
      <c r="D835" s="8"/>
      <c r="E835" s="8"/>
      <c r="F835" t="str" s="15">
        <f aca="0">IF(B835="","",IF(H835="","확인필요(입력누락)",IF(SUMPRODUCT((실물목록!$P$2:$P$1001&lt;&gt;"")*ISNUMBER(SEARCH(실물목록!$P$2:$P$1001,I835))*(실물목록!$Q$2:$Q$1001&lt;&gt;"")*ISNUMBER(SEARCH(실물목록!$Q$2:$Q$1001,I835))*(실물목록!$R$2:$R$1001="")*(실물목록!$O$2:$O$1001&lt;&gt;"")*(실물목록!$O$2:$O$1001=H835))&gt;0,"실물 있음",IF(SUMPRODUCT((실물목록!$P$2:$P$1001&lt;&gt;"")*ISNUMBER(SEARCH(실물목록!$P$2:$P$1001,I835))*(실물목록!$R$2:$R$1001&lt;&gt;""))&gt;0,"확인필요(입력누락)",IF(SUMPRODUCT((실물목록!$P$2:$P$1001&lt;&gt;"")*ISNUMBER(SEARCH(실물목록!$P$2:$P$1001,I835))*(실물목록!$Q$2:$Q$1001&lt;&gt;"")*ISNUMBER(SEARCH(실물목록!$Q$2:$Q$1001,I835))*(실물목록!$R$2:$R$1001="")*(실물목록!$O$2:$O$1001&lt;&gt;""))&gt;0,"확인필요(연도다름)","실물 없음")))))</f>
      </c>
      <c r="G835" t="n" s="16">
        <f aca="0">IF(B835="","",SUMPRODUCT((실물목록!$P$2:$P$1001&lt;&gt;"")*ISNUMBER(SEARCH(실물목록!$P$2:$P$1001,I835))*(실물목록!$Q$2:$Q$1001&lt;&gt;"")*ISNUMBER(SEARCH(실물목록!$Q$2:$Q$1001,I835))*(실물목록!$R$2:$R$1001="")*(실물목록!$O$2:$O$1001&lt;&gt;"")*(실물목록!$O$2:$O$1001=H835)))</f>
      </c>
      <c r="H835" t="str">
        <f>IFERROR(IF(AND(LEN(SUBSTITUTE(SUBSTITUTE(SUBSTITUTE(TRIM(A835&amp;""),CHAR(160),"")," ",""),"년",""))=4,VALUE(SUBSTITUTE(SUBSTITUTE(SUBSTITUTE(TRIM(A835&amp;""),CHAR(160),"")," ",""),"년",""))&gt;=1900,VALUE(SUBSTITUTE(SUBSTITUTE(SUBSTITUTE(TRIM(A835&amp;""),CHAR(160),"")," ",""),"년",""))&lt;=2099,TEXT(VALUE(SUBSTITUTE(SUBSTITUTE(SUBSTITUTE(TRIM(A835&amp;""),CHAR(160),"")," ",""),"년","")),"0000")=SUBSTITUTE(SUBSTITUTE(SUBSTITUTE(TRIM(A835&amp;""),CHAR(160),"")," ",""),"년","")),SUBSTITUTE(SUBSTITUTE(SUBSTITUTE(TRIM(A835&amp;""),CHAR(160),"")," ",""),"년",""),""),"")</f>
      </c>
      <c r="I835" t="str">
        <f>SUBSTITUTE(SUBSTITUTE(SUBSTITUTE(SUBSTITUTE(SUBSTITUTE(TRIM(B835&amp;""),CHAR(160),"")," ",""),"초등학교","초"),"중학교","중"),"고등학교","고")</f>
      </c>
    </row>
    <row r="836" customFormat="false" ht="15" hidden="false" customHeight="false" outlineLevel="0" collapsed="false">
      <c r="A836" s="8"/>
      <c r="B836" s="8"/>
      <c r="C836" s="8"/>
      <c r="D836" s="8"/>
      <c r="E836" s="8"/>
      <c r="F836" t="str" s="15">
        <f aca="0">IF(B836="","",IF(H836="","확인필요(입력누락)",IF(SUMPRODUCT((실물목록!$P$2:$P$1001&lt;&gt;"")*ISNUMBER(SEARCH(실물목록!$P$2:$P$1001,I836))*(실물목록!$Q$2:$Q$1001&lt;&gt;"")*ISNUMBER(SEARCH(실물목록!$Q$2:$Q$1001,I836))*(실물목록!$R$2:$R$1001="")*(실물목록!$O$2:$O$1001&lt;&gt;"")*(실물목록!$O$2:$O$1001=H836))&gt;0,"실물 있음",IF(SUMPRODUCT((실물목록!$P$2:$P$1001&lt;&gt;"")*ISNUMBER(SEARCH(실물목록!$P$2:$P$1001,I836))*(실물목록!$R$2:$R$1001&lt;&gt;""))&gt;0,"확인필요(입력누락)",IF(SUMPRODUCT((실물목록!$P$2:$P$1001&lt;&gt;"")*ISNUMBER(SEARCH(실물목록!$P$2:$P$1001,I836))*(실물목록!$Q$2:$Q$1001&lt;&gt;"")*ISNUMBER(SEARCH(실물목록!$Q$2:$Q$1001,I836))*(실물목록!$R$2:$R$1001="")*(실물목록!$O$2:$O$1001&lt;&gt;""))&gt;0,"확인필요(연도다름)","실물 없음")))))</f>
      </c>
      <c r="G836" t="n" s="16">
        <f aca="0">IF(B836="","",SUMPRODUCT((실물목록!$P$2:$P$1001&lt;&gt;"")*ISNUMBER(SEARCH(실물목록!$P$2:$P$1001,I836))*(실물목록!$Q$2:$Q$1001&lt;&gt;"")*ISNUMBER(SEARCH(실물목록!$Q$2:$Q$1001,I836))*(실물목록!$R$2:$R$1001="")*(실물목록!$O$2:$O$1001&lt;&gt;"")*(실물목록!$O$2:$O$1001=H836)))</f>
      </c>
      <c r="H836" t="str">
        <f>IFERROR(IF(AND(LEN(SUBSTITUTE(SUBSTITUTE(SUBSTITUTE(TRIM(A836&amp;""),CHAR(160),"")," ",""),"년",""))=4,VALUE(SUBSTITUTE(SUBSTITUTE(SUBSTITUTE(TRIM(A836&amp;""),CHAR(160),"")," ",""),"년",""))&gt;=1900,VALUE(SUBSTITUTE(SUBSTITUTE(SUBSTITUTE(TRIM(A836&amp;""),CHAR(160),"")," ",""),"년",""))&lt;=2099,TEXT(VALUE(SUBSTITUTE(SUBSTITUTE(SUBSTITUTE(TRIM(A836&amp;""),CHAR(160),"")," ",""),"년","")),"0000")=SUBSTITUTE(SUBSTITUTE(SUBSTITUTE(TRIM(A836&amp;""),CHAR(160),"")," ",""),"년","")),SUBSTITUTE(SUBSTITUTE(SUBSTITUTE(TRIM(A836&amp;""),CHAR(160),"")," ",""),"년",""),""),"")</f>
      </c>
      <c r="I836" t="str">
        <f>SUBSTITUTE(SUBSTITUTE(SUBSTITUTE(SUBSTITUTE(SUBSTITUTE(TRIM(B836&amp;""),CHAR(160),"")," ",""),"초등학교","초"),"중학교","중"),"고등학교","고")</f>
      </c>
    </row>
    <row r="837" customFormat="false" ht="15" hidden="false" customHeight="false" outlineLevel="0" collapsed="false">
      <c r="A837" s="8"/>
      <c r="B837" s="8"/>
      <c r="C837" s="8"/>
      <c r="D837" s="8"/>
      <c r="E837" s="8"/>
      <c r="F837" t="str" s="15">
        <f aca="0">IF(B837="","",IF(H837="","확인필요(입력누락)",IF(SUMPRODUCT((실물목록!$P$2:$P$1001&lt;&gt;"")*ISNUMBER(SEARCH(실물목록!$P$2:$P$1001,I837))*(실물목록!$Q$2:$Q$1001&lt;&gt;"")*ISNUMBER(SEARCH(실물목록!$Q$2:$Q$1001,I837))*(실물목록!$R$2:$R$1001="")*(실물목록!$O$2:$O$1001&lt;&gt;"")*(실물목록!$O$2:$O$1001=H837))&gt;0,"실물 있음",IF(SUMPRODUCT((실물목록!$P$2:$P$1001&lt;&gt;"")*ISNUMBER(SEARCH(실물목록!$P$2:$P$1001,I837))*(실물목록!$R$2:$R$1001&lt;&gt;""))&gt;0,"확인필요(입력누락)",IF(SUMPRODUCT((실물목록!$P$2:$P$1001&lt;&gt;"")*ISNUMBER(SEARCH(실물목록!$P$2:$P$1001,I837))*(실물목록!$Q$2:$Q$1001&lt;&gt;"")*ISNUMBER(SEARCH(실물목록!$Q$2:$Q$1001,I837))*(실물목록!$R$2:$R$1001="")*(실물목록!$O$2:$O$1001&lt;&gt;""))&gt;0,"확인필요(연도다름)","실물 없음")))))</f>
      </c>
      <c r="G837" t="n" s="16">
        <f aca="0">IF(B837="","",SUMPRODUCT((실물목록!$P$2:$P$1001&lt;&gt;"")*ISNUMBER(SEARCH(실물목록!$P$2:$P$1001,I837))*(실물목록!$Q$2:$Q$1001&lt;&gt;"")*ISNUMBER(SEARCH(실물목록!$Q$2:$Q$1001,I837))*(실물목록!$R$2:$R$1001="")*(실물목록!$O$2:$O$1001&lt;&gt;"")*(실물목록!$O$2:$O$1001=H837)))</f>
      </c>
      <c r="H837" t="str">
        <f>IFERROR(IF(AND(LEN(SUBSTITUTE(SUBSTITUTE(SUBSTITUTE(TRIM(A837&amp;""),CHAR(160),"")," ",""),"년",""))=4,VALUE(SUBSTITUTE(SUBSTITUTE(SUBSTITUTE(TRIM(A837&amp;""),CHAR(160),"")," ",""),"년",""))&gt;=1900,VALUE(SUBSTITUTE(SUBSTITUTE(SUBSTITUTE(TRIM(A837&amp;""),CHAR(160),"")," ",""),"년",""))&lt;=2099,TEXT(VALUE(SUBSTITUTE(SUBSTITUTE(SUBSTITUTE(TRIM(A837&amp;""),CHAR(160),"")," ",""),"년","")),"0000")=SUBSTITUTE(SUBSTITUTE(SUBSTITUTE(TRIM(A837&amp;""),CHAR(160),"")," ",""),"년","")),SUBSTITUTE(SUBSTITUTE(SUBSTITUTE(TRIM(A837&amp;""),CHAR(160),"")," ",""),"년",""),""),"")</f>
      </c>
      <c r="I837" t="str">
        <f>SUBSTITUTE(SUBSTITUTE(SUBSTITUTE(SUBSTITUTE(SUBSTITUTE(TRIM(B837&amp;""),CHAR(160),"")," ",""),"초등학교","초"),"중학교","중"),"고등학교","고")</f>
      </c>
    </row>
    <row r="838" customFormat="false" ht="15" hidden="false" customHeight="false" outlineLevel="0" collapsed="false">
      <c r="A838" s="8"/>
      <c r="B838" s="8"/>
      <c r="C838" s="8"/>
      <c r="D838" s="8"/>
      <c r="E838" s="8"/>
      <c r="F838" t="str" s="15">
        <f aca="0">IF(B838="","",IF(H838="","확인필요(입력누락)",IF(SUMPRODUCT((실물목록!$P$2:$P$1001&lt;&gt;"")*ISNUMBER(SEARCH(실물목록!$P$2:$P$1001,I838))*(실물목록!$Q$2:$Q$1001&lt;&gt;"")*ISNUMBER(SEARCH(실물목록!$Q$2:$Q$1001,I838))*(실물목록!$R$2:$R$1001="")*(실물목록!$O$2:$O$1001&lt;&gt;"")*(실물목록!$O$2:$O$1001=H838))&gt;0,"실물 있음",IF(SUMPRODUCT((실물목록!$P$2:$P$1001&lt;&gt;"")*ISNUMBER(SEARCH(실물목록!$P$2:$P$1001,I838))*(실물목록!$R$2:$R$1001&lt;&gt;""))&gt;0,"확인필요(입력누락)",IF(SUMPRODUCT((실물목록!$P$2:$P$1001&lt;&gt;"")*ISNUMBER(SEARCH(실물목록!$P$2:$P$1001,I838))*(실물목록!$Q$2:$Q$1001&lt;&gt;"")*ISNUMBER(SEARCH(실물목록!$Q$2:$Q$1001,I838))*(실물목록!$R$2:$R$1001="")*(실물목록!$O$2:$O$1001&lt;&gt;""))&gt;0,"확인필요(연도다름)","실물 없음")))))</f>
      </c>
      <c r="G838" t="n" s="16">
        <f aca="0">IF(B838="","",SUMPRODUCT((실물목록!$P$2:$P$1001&lt;&gt;"")*ISNUMBER(SEARCH(실물목록!$P$2:$P$1001,I838))*(실물목록!$Q$2:$Q$1001&lt;&gt;"")*ISNUMBER(SEARCH(실물목록!$Q$2:$Q$1001,I838))*(실물목록!$R$2:$R$1001="")*(실물목록!$O$2:$O$1001&lt;&gt;"")*(실물목록!$O$2:$O$1001=H838)))</f>
      </c>
      <c r="H838" t="str">
        <f>IFERROR(IF(AND(LEN(SUBSTITUTE(SUBSTITUTE(SUBSTITUTE(TRIM(A838&amp;""),CHAR(160),"")," ",""),"년",""))=4,VALUE(SUBSTITUTE(SUBSTITUTE(SUBSTITUTE(TRIM(A838&amp;""),CHAR(160),"")," ",""),"년",""))&gt;=1900,VALUE(SUBSTITUTE(SUBSTITUTE(SUBSTITUTE(TRIM(A838&amp;""),CHAR(160),"")," ",""),"년",""))&lt;=2099,TEXT(VALUE(SUBSTITUTE(SUBSTITUTE(SUBSTITUTE(TRIM(A838&amp;""),CHAR(160),"")," ",""),"년","")),"0000")=SUBSTITUTE(SUBSTITUTE(SUBSTITUTE(TRIM(A838&amp;""),CHAR(160),"")," ",""),"년","")),SUBSTITUTE(SUBSTITUTE(SUBSTITUTE(TRIM(A838&amp;""),CHAR(160),"")," ",""),"년",""),""),"")</f>
      </c>
      <c r="I838" t="str">
        <f>SUBSTITUTE(SUBSTITUTE(SUBSTITUTE(SUBSTITUTE(SUBSTITUTE(TRIM(B838&amp;""),CHAR(160),"")," ",""),"초등학교","초"),"중학교","중"),"고등학교","고")</f>
      </c>
    </row>
    <row r="839" customFormat="false" ht="15" hidden="false" customHeight="false" outlineLevel="0" collapsed="false">
      <c r="A839" s="8"/>
      <c r="B839" s="8"/>
      <c r="C839" s="8"/>
      <c r="D839" s="8"/>
      <c r="E839" s="8"/>
      <c r="F839" t="str" s="15">
        <f aca="0">IF(B839="","",IF(H839="","확인필요(입력누락)",IF(SUMPRODUCT((실물목록!$P$2:$P$1001&lt;&gt;"")*ISNUMBER(SEARCH(실물목록!$P$2:$P$1001,I839))*(실물목록!$Q$2:$Q$1001&lt;&gt;"")*ISNUMBER(SEARCH(실물목록!$Q$2:$Q$1001,I839))*(실물목록!$R$2:$R$1001="")*(실물목록!$O$2:$O$1001&lt;&gt;"")*(실물목록!$O$2:$O$1001=H839))&gt;0,"실물 있음",IF(SUMPRODUCT((실물목록!$P$2:$P$1001&lt;&gt;"")*ISNUMBER(SEARCH(실물목록!$P$2:$P$1001,I839))*(실물목록!$R$2:$R$1001&lt;&gt;""))&gt;0,"확인필요(입력누락)",IF(SUMPRODUCT((실물목록!$P$2:$P$1001&lt;&gt;"")*ISNUMBER(SEARCH(실물목록!$P$2:$P$1001,I839))*(실물목록!$Q$2:$Q$1001&lt;&gt;"")*ISNUMBER(SEARCH(실물목록!$Q$2:$Q$1001,I839))*(실물목록!$R$2:$R$1001="")*(실물목록!$O$2:$O$1001&lt;&gt;""))&gt;0,"확인필요(연도다름)","실물 없음")))))</f>
      </c>
      <c r="G839" t="n" s="16">
        <f aca="0">IF(B839="","",SUMPRODUCT((실물목록!$P$2:$P$1001&lt;&gt;"")*ISNUMBER(SEARCH(실물목록!$P$2:$P$1001,I839))*(실물목록!$Q$2:$Q$1001&lt;&gt;"")*ISNUMBER(SEARCH(실물목록!$Q$2:$Q$1001,I839))*(실물목록!$R$2:$R$1001="")*(실물목록!$O$2:$O$1001&lt;&gt;"")*(실물목록!$O$2:$O$1001=H839)))</f>
      </c>
      <c r="H839" t="str">
        <f>IFERROR(IF(AND(LEN(SUBSTITUTE(SUBSTITUTE(SUBSTITUTE(TRIM(A839&amp;""),CHAR(160),"")," ",""),"년",""))=4,VALUE(SUBSTITUTE(SUBSTITUTE(SUBSTITUTE(TRIM(A839&amp;""),CHAR(160),"")," ",""),"년",""))&gt;=1900,VALUE(SUBSTITUTE(SUBSTITUTE(SUBSTITUTE(TRIM(A839&amp;""),CHAR(160),"")," ",""),"년",""))&lt;=2099,TEXT(VALUE(SUBSTITUTE(SUBSTITUTE(SUBSTITUTE(TRIM(A839&amp;""),CHAR(160),"")," ",""),"년","")),"0000")=SUBSTITUTE(SUBSTITUTE(SUBSTITUTE(TRIM(A839&amp;""),CHAR(160),"")," ",""),"년","")),SUBSTITUTE(SUBSTITUTE(SUBSTITUTE(TRIM(A839&amp;""),CHAR(160),"")," ",""),"년",""),""),"")</f>
      </c>
      <c r="I839" t="str">
        <f>SUBSTITUTE(SUBSTITUTE(SUBSTITUTE(SUBSTITUTE(SUBSTITUTE(TRIM(B839&amp;""),CHAR(160),"")," ",""),"초등학교","초"),"중학교","중"),"고등학교","고")</f>
      </c>
    </row>
    <row r="840" customFormat="false" ht="15" hidden="false" customHeight="false" outlineLevel="0" collapsed="false">
      <c r="A840" s="8"/>
      <c r="B840" s="8"/>
      <c r="C840" s="8"/>
      <c r="D840" s="8"/>
      <c r="E840" s="8"/>
      <c r="F840" t="str" s="15">
        <f aca="0">IF(B840="","",IF(H840="","확인필요(입력누락)",IF(SUMPRODUCT((실물목록!$P$2:$P$1001&lt;&gt;"")*ISNUMBER(SEARCH(실물목록!$P$2:$P$1001,I840))*(실물목록!$Q$2:$Q$1001&lt;&gt;"")*ISNUMBER(SEARCH(실물목록!$Q$2:$Q$1001,I840))*(실물목록!$R$2:$R$1001="")*(실물목록!$O$2:$O$1001&lt;&gt;"")*(실물목록!$O$2:$O$1001=H840))&gt;0,"실물 있음",IF(SUMPRODUCT((실물목록!$P$2:$P$1001&lt;&gt;"")*ISNUMBER(SEARCH(실물목록!$P$2:$P$1001,I840))*(실물목록!$R$2:$R$1001&lt;&gt;""))&gt;0,"확인필요(입력누락)",IF(SUMPRODUCT((실물목록!$P$2:$P$1001&lt;&gt;"")*ISNUMBER(SEARCH(실물목록!$P$2:$P$1001,I840))*(실물목록!$Q$2:$Q$1001&lt;&gt;"")*ISNUMBER(SEARCH(실물목록!$Q$2:$Q$1001,I840))*(실물목록!$R$2:$R$1001="")*(실물목록!$O$2:$O$1001&lt;&gt;""))&gt;0,"확인필요(연도다름)","실물 없음")))))</f>
      </c>
      <c r="G840" t="n" s="16">
        <f aca="0">IF(B840="","",SUMPRODUCT((실물목록!$P$2:$P$1001&lt;&gt;"")*ISNUMBER(SEARCH(실물목록!$P$2:$P$1001,I840))*(실물목록!$Q$2:$Q$1001&lt;&gt;"")*ISNUMBER(SEARCH(실물목록!$Q$2:$Q$1001,I840))*(실물목록!$R$2:$R$1001="")*(실물목록!$O$2:$O$1001&lt;&gt;"")*(실물목록!$O$2:$O$1001=H840)))</f>
      </c>
      <c r="H840" t="str">
        <f>IFERROR(IF(AND(LEN(SUBSTITUTE(SUBSTITUTE(SUBSTITUTE(TRIM(A840&amp;""),CHAR(160),"")," ",""),"년",""))=4,VALUE(SUBSTITUTE(SUBSTITUTE(SUBSTITUTE(TRIM(A840&amp;""),CHAR(160),"")," ",""),"년",""))&gt;=1900,VALUE(SUBSTITUTE(SUBSTITUTE(SUBSTITUTE(TRIM(A840&amp;""),CHAR(160),"")," ",""),"년",""))&lt;=2099,TEXT(VALUE(SUBSTITUTE(SUBSTITUTE(SUBSTITUTE(TRIM(A840&amp;""),CHAR(160),"")," ",""),"년","")),"0000")=SUBSTITUTE(SUBSTITUTE(SUBSTITUTE(TRIM(A840&amp;""),CHAR(160),"")," ",""),"년","")),SUBSTITUTE(SUBSTITUTE(SUBSTITUTE(TRIM(A840&amp;""),CHAR(160),"")," ",""),"년",""),""),"")</f>
      </c>
      <c r="I840" t="str">
        <f>SUBSTITUTE(SUBSTITUTE(SUBSTITUTE(SUBSTITUTE(SUBSTITUTE(TRIM(B840&amp;""),CHAR(160),"")," ",""),"초등학교","초"),"중학교","중"),"고등학교","고")</f>
      </c>
    </row>
    <row r="841" customFormat="false" ht="15" hidden="false" customHeight="false" outlineLevel="0" collapsed="false">
      <c r="A841" s="8"/>
      <c r="B841" s="8"/>
      <c r="C841" s="8"/>
      <c r="D841" s="8"/>
      <c r="E841" s="8"/>
      <c r="F841" t="str" s="15">
        <f aca="0">IF(B841="","",IF(H841="","확인필요(입력누락)",IF(SUMPRODUCT((실물목록!$P$2:$P$1001&lt;&gt;"")*ISNUMBER(SEARCH(실물목록!$P$2:$P$1001,I841))*(실물목록!$Q$2:$Q$1001&lt;&gt;"")*ISNUMBER(SEARCH(실물목록!$Q$2:$Q$1001,I841))*(실물목록!$R$2:$R$1001="")*(실물목록!$O$2:$O$1001&lt;&gt;"")*(실물목록!$O$2:$O$1001=H841))&gt;0,"실물 있음",IF(SUMPRODUCT((실물목록!$P$2:$P$1001&lt;&gt;"")*ISNUMBER(SEARCH(실물목록!$P$2:$P$1001,I841))*(실물목록!$R$2:$R$1001&lt;&gt;""))&gt;0,"확인필요(입력누락)",IF(SUMPRODUCT((실물목록!$P$2:$P$1001&lt;&gt;"")*ISNUMBER(SEARCH(실물목록!$P$2:$P$1001,I841))*(실물목록!$Q$2:$Q$1001&lt;&gt;"")*ISNUMBER(SEARCH(실물목록!$Q$2:$Q$1001,I841))*(실물목록!$R$2:$R$1001="")*(실물목록!$O$2:$O$1001&lt;&gt;""))&gt;0,"확인필요(연도다름)","실물 없음")))))</f>
      </c>
      <c r="G841" t="n" s="16">
        <f aca="0">IF(B841="","",SUMPRODUCT((실물목록!$P$2:$P$1001&lt;&gt;"")*ISNUMBER(SEARCH(실물목록!$P$2:$P$1001,I841))*(실물목록!$Q$2:$Q$1001&lt;&gt;"")*ISNUMBER(SEARCH(실물목록!$Q$2:$Q$1001,I841))*(실물목록!$R$2:$R$1001="")*(실물목록!$O$2:$O$1001&lt;&gt;"")*(실물목록!$O$2:$O$1001=H841)))</f>
      </c>
      <c r="H841" t="str">
        <f>IFERROR(IF(AND(LEN(SUBSTITUTE(SUBSTITUTE(SUBSTITUTE(TRIM(A841&amp;""),CHAR(160),"")," ",""),"년",""))=4,VALUE(SUBSTITUTE(SUBSTITUTE(SUBSTITUTE(TRIM(A841&amp;""),CHAR(160),"")," ",""),"년",""))&gt;=1900,VALUE(SUBSTITUTE(SUBSTITUTE(SUBSTITUTE(TRIM(A841&amp;""),CHAR(160),"")," ",""),"년",""))&lt;=2099,TEXT(VALUE(SUBSTITUTE(SUBSTITUTE(SUBSTITUTE(TRIM(A841&amp;""),CHAR(160),"")," ",""),"년","")),"0000")=SUBSTITUTE(SUBSTITUTE(SUBSTITUTE(TRIM(A841&amp;""),CHAR(160),"")," ",""),"년","")),SUBSTITUTE(SUBSTITUTE(SUBSTITUTE(TRIM(A841&amp;""),CHAR(160),"")," ",""),"년",""),""),"")</f>
      </c>
      <c r="I841" t="str">
        <f>SUBSTITUTE(SUBSTITUTE(SUBSTITUTE(SUBSTITUTE(SUBSTITUTE(TRIM(B841&amp;""),CHAR(160),"")," ",""),"초등학교","초"),"중학교","중"),"고등학교","고")</f>
      </c>
    </row>
    <row r="842" customFormat="false" ht="15" hidden="false" customHeight="false" outlineLevel="0" collapsed="false">
      <c r="A842" s="8"/>
      <c r="B842" s="8"/>
      <c r="C842" s="8"/>
      <c r="D842" s="8"/>
      <c r="E842" s="8"/>
      <c r="F842" t="str" s="15">
        <f aca="0">IF(B842="","",IF(H842="","확인필요(입력누락)",IF(SUMPRODUCT((실물목록!$P$2:$P$1001&lt;&gt;"")*ISNUMBER(SEARCH(실물목록!$P$2:$P$1001,I842))*(실물목록!$Q$2:$Q$1001&lt;&gt;"")*ISNUMBER(SEARCH(실물목록!$Q$2:$Q$1001,I842))*(실물목록!$R$2:$R$1001="")*(실물목록!$O$2:$O$1001&lt;&gt;"")*(실물목록!$O$2:$O$1001=H842))&gt;0,"실물 있음",IF(SUMPRODUCT((실물목록!$P$2:$P$1001&lt;&gt;"")*ISNUMBER(SEARCH(실물목록!$P$2:$P$1001,I842))*(실물목록!$R$2:$R$1001&lt;&gt;""))&gt;0,"확인필요(입력누락)",IF(SUMPRODUCT((실물목록!$P$2:$P$1001&lt;&gt;"")*ISNUMBER(SEARCH(실물목록!$P$2:$P$1001,I842))*(실물목록!$Q$2:$Q$1001&lt;&gt;"")*ISNUMBER(SEARCH(실물목록!$Q$2:$Q$1001,I842))*(실물목록!$R$2:$R$1001="")*(실물목록!$O$2:$O$1001&lt;&gt;""))&gt;0,"확인필요(연도다름)","실물 없음")))))</f>
      </c>
      <c r="G842" t="n" s="16">
        <f aca="0">IF(B842="","",SUMPRODUCT((실물목록!$P$2:$P$1001&lt;&gt;"")*ISNUMBER(SEARCH(실물목록!$P$2:$P$1001,I842))*(실물목록!$Q$2:$Q$1001&lt;&gt;"")*ISNUMBER(SEARCH(실물목록!$Q$2:$Q$1001,I842))*(실물목록!$R$2:$R$1001="")*(실물목록!$O$2:$O$1001&lt;&gt;"")*(실물목록!$O$2:$O$1001=H842)))</f>
      </c>
      <c r="H842" t="str">
        <f>IFERROR(IF(AND(LEN(SUBSTITUTE(SUBSTITUTE(SUBSTITUTE(TRIM(A842&amp;""),CHAR(160),"")," ",""),"년",""))=4,VALUE(SUBSTITUTE(SUBSTITUTE(SUBSTITUTE(TRIM(A842&amp;""),CHAR(160),"")," ",""),"년",""))&gt;=1900,VALUE(SUBSTITUTE(SUBSTITUTE(SUBSTITUTE(TRIM(A842&amp;""),CHAR(160),"")," ",""),"년",""))&lt;=2099,TEXT(VALUE(SUBSTITUTE(SUBSTITUTE(SUBSTITUTE(TRIM(A842&amp;""),CHAR(160),"")," ",""),"년","")),"0000")=SUBSTITUTE(SUBSTITUTE(SUBSTITUTE(TRIM(A842&amp;""),CHAR(160),"")," ",""),"년","")),SUBSTITUTE(SUBSTITUTE(SUBSTITUTE(TRIM(A842&amp;""),CHAR(160),"")," ",""),"년",""),""),"")</f>
      </c>
      <c r="I842" t="str">
        <f>SUBSTITUTE(SUBSTITUTE(SUBSTITUTE(SUBSTITUTE(SUBSTITUTE(TRIM(B842&amp;""),CHAR(160),"")," ",""),"초등학교","초"),"중학교","중"),"고등학교","고")</f>
      </c>
    </row>
    <row r="843" customFormat="false" ht="15" hidden="false" customHeight="false" outlineLevel="0" collapsed="false">
      <c r="A843" s="8"/>
      <c r="B843" s="8"/>
      <c r="C843" s="8"/>
      <c r="D843" s="8"/>
      <c r="E843" s="8"/>
      <c r="F843" t="str" s="15">
        <f aca="0">IF(B843="","",IF(H843="","확인필요(입력누락)",IF(SUMPRODUCT((실물목록!$P$2:$P$1001&lt;&gt;"")*ISNUMBER(SEARCH(실물목록!$P$2:$P$1001,I843))*(실물목록!$Q$2:$Q$1001&lt;&gt;"")*ISNUMBER(SEARCH(실물목록!$Q$2:$Q$1001,I843))*(실물목록!$R$2:$R$1001="")*(실물목록!$O$2:$O$1001&lt;&gt;"")*(실물목록!$O$2:$O$1001=H843))&gt;0,"실물 있음",IF(SUMPRODUCT((실물목록!$P$2:$P$1001&lt;&gt;"")*ISNUMBER(SEARCH(실물목록!$P$2:$P$1001,I843))*(실물목록!$R$2:$R$1001&lt;&gt;""))&gt;0,"확인필요(입력누락)",IF(SUMPRODUCT((실물목록!$P$2:$P$1001&lt;&gt;"")*ISNUMBER(SEARCH(실물목록!$P$2:$P$1001,I843))*(실물목록!$Q$2:$Q$1001&lt;&gt;"")*ISNUMBER(SEARCH(실물목록!$Q$2:$Q$1001,I843))*(실물목록!$R$2:$R$1001="")*(실물목록!$O$2:$O$1001&lt;&gt;""))&gt;0,"확인필요(연도다름)","실물 없음")))))</f>
      </c>
      <c r="G843" t="n" s="16">
        <f aca="0">IF(B843="","",SUMPRODUCT((실물목록!$P$2:$P$1001&lt;&gt;"")*ISNUMBER(SEARCH(실물목록!$P$2:$P$1001,I843))*(실물목록!$Q$2:$Q$1001&lt;&gt;"")*ISNUMBER(SEARCH(실물목록!$Q$2:$Q$1001,I843))*(실물목록!$R$2:$R$1001="")*(실물목록!$O$2:$O$1001&lt;&gt;"")*(실물목록!$O$2:$O$1001=H843)))</f>
      </c>
      <c r="H843" t="str">
        <f>IFERROR(IF(AND(LEN(SUBSTITUTE(SUBSTITUTE(SUBSTITUTE(TRIM(A843&amp;""),CHAR(160),"")," ",""),"년",""))=4,VALUE(SUBSTITUTE(SUBSTITUTE(SUBSTITUTE(TRIM(A843&amp;""),CHAR(160),"")," ",""),"년",""))&gt;=1900,VALUE(SUBSTITUTE(SUBSTITUTE(SUBSTITUTE(TRIM(A843&amp;""),CHAR(160),"")," ",""),"년",""))&lt;=2099,TEXT(VALUE(SUBSTITUTE(SUBSTITUTE(SUBSTITUTE(TRIM(A843&amp;""),CHAR(160),"")," ",""),"년","")),"0000")=SUBSTITUTE(SUBSTITUTE(SUBSTITUTE(TRIM(A843&amp;""),CHAR(160),"")," ",""),"년","")),SUBSTITUTE(SUBSTITUTE(SUBSTITUTE(TRIM(A843&amp;""),CHAR(160),"")," ",""),"년",""),""),"")</f>
      </c>
      <c r="I843" t="str">
        <f>SUBSTITUTE(SUBSTITUTE(SUBSTITUTE(SUBSTITUTE(SUBSTITUTE(TRIM(B843&amp;""),CHAR(160),"")," ",""),"초등학교","초"),"중학교","중"),"고등학교","고")</f>
      </c>
    </row>
    <row r="844" customFormat="false" ht="15" hidden="false" customHeight="false" outlineLevel="0" collapsed="false">
      <c r="A844" s="8"/>
      <c r="B844" s="8"/>
      <c r="C844" s="8"/>
      <c r="D844" s="8"/>
      <c r="E844" s="8"/>
      <c r="F844" t="str" s="15">
        <f aca="0">IF(B844="","",IF(H844="","확인필요(입력누락)",IF(SUMPRODUCT((실물목록!$P$2:$P$1001&lt;&gt;"")*ISNUMBER(SEARCH(실물목록!$P$2:$P$1001,I844))*(실물목록!$Q$2:$Q$1001&lt;&gt;"")*ISNUMBER(SEARCH(실물목록!$Q$2:$Q$1001,I844))*(실물목록!$R$2:$R$1001="")*(실물목록!$O$2:$O$1001&lt;&gt;"")*(실물목록!$O$2:$O$1001=H844))&gt;0,"실물 있음",IF(SUMPRODUCT((실물목록!$P$2:$P$1001&lt;&gt;"")*ISNUMBER(SEARCH(실물목록!$P$2:$P$1001,I844))*(실물목록!$R$2:$R$1001&lt;&gt;""))&gt;0,"확인필요(입력누락)",IF(SUMPRODUCT((실물목록!$P$2:$P$1001&lt;&gt;"")*ISNUMBER(SEARCH(실물목록!$P$2:$P$1001,I844))*(실물목록!$Q$2:$Q$1001&lt;&gt;"")*ISNUMBER(SEARCH(실물목록!$Q$2:$Q$1001,I844))*(실물목록!$R$2:$R$1001="")*(실물목록!$O$2:$O$1001&lt;&gt;""))&gt;0,"확인필요(연도다름)","실물 없음")))))</f>
      </c>
      <c r="G844" t="n" s="16">
        <f aca="0">IF(B844="","",SUMPRODUCT((실물목록!$P$2:$P$1001&lt;&gt;"")*ISNUMBER(SEARCH(실물목록!$P$2:$P$1001,I844))*(실물목록!$Q$2:$Q$1001&lt;&gt;"")*ISNUMBER(SEARCH(실물목록!$Q$2:$Q$1001,I844))*(실물목록!$R$2:$R$1001="")*(실물목록!$O$2:$O$1001&lt;&gt;"")*(실물목록!$O$2:$O$1001=H844)))</f>
      </c>
      <c r="H844" t="str">
        <f>IFERROR(IF(AND(LEN(SUBSTITUTE(SUBSTITUTE(SUBSTITUTE(TRIM(A844&amp;""),CHAR(160),"")," ",""),"년",""))=4,VALUE(SUBSTITUTE(SUBSTITUTE(SUBSTITUTE(TRIM(A844&amp;""),CHAR(160),"")," ",""),"년",""))&gt;=1900,VALUE(SUBSTITUTE(SUBSTITUTE(SUBSTITUTE(TRIM(A844&amp;""),CHAR(160),"")," ",""),"년",""))&lt;=2099,TEXT(VALUE(SUBSTITUTE(SUBSTITUTE(SUBSTITUTE(TRIM(A844&amp;""),CHAR(160),"")," ",""),"년","")),"0000")=SUBSTITUTE(SUBSTITUTE(SUBSTITUTE(TRIM(A844&amp;""),CHAR(160),"")," ",""),"년","")),SUBSTITUTE(SUBSTITUTE(SUBSTITUTE(TRIM(A844&amp;""),CHAR(160),"")," ",""),"년",""),""),"")</f>
      </c>
      <c r="I844" t="str">
        <f>SUBSTITUTE(SUBSTITUTE(SUBSTITUTE(SUBSTITUTE(SUBSTITUTE(TRIM(B844&amp;""),CHAR(160),"")," ",""),"초등학교","초"),"중학교","중"),"고등학교","고")</f>
      </c>
    </row>
    <row r="845" customFormat="false" ht="15" hidden="false" customHeight="false" outlineLevel="0" collapsed="false">
      <c r="A845" s="8"/>
      <c r="B845" s="8"/>
      <c r="C845" s="8"/>
      <c r="D845" s="8"/>
      <c r="E845" s="8"/>
      <c r="F845" t="str" s="15">
        <f aca="0">IF(B845="","",IF(H845="","확인필요(입력누락)",IF(SUMPRODUCT((실물목록!$P$2:$P$1001&lt;&gt;"")*ISNUMBER(SEARCH(실물목록!$P$2:$P$1001,I845))*(실물목록!$Q$2:$Q$1001&lt;&gt;"")*ISNUMBER(SEARCH(실물목록!$Q$2:$Q$1001,I845))*(실물목록!$R$2:$R$1001="")*(실물목록!$O$2:$O$1001&lt;&gt;"")*(실물목록!$O$2:$O$1001=H845))&gt;0,"실물 있음",IF(SUMPRODUCT((실물목록!$P$2:$P$1001&lt;&gt;"")*ISNUMBER(SEARCH(실물목록!$P$2:$P$1001,I845))*(실물목록!$R$2:$R$1001&lt;&gt;""))&gt;0,"확인필요(입력누락)",IF(SUMPRODUCT((실물목록!$P$2:$P$1001&lt;&gt;"")*ISNUMBER(SEARCH(실물목록!$P$2:$P$1001,I845))*(실물목록!$Q$2:$Q$1001&lt;&gt;"")*ISNUMBER(SEARCH(실물목록!$Q$2:$Q$1001,I845))*(실물목록!$R$2:$R$1001="")*(실물목록!$O$2:$O$1001&lt;&gt;""))&gt;0,"확인필요(연도다름)","실물 없음")))))</f>
      </c>
      <c r="G845" t="n" s="16">
        <f aca="0">IF(B845="","",SUMPRODUCT((실물목록!$P$2:$P$1001&lt;&gt;"")*ISNUMBER(SEARCH(실물목록!$P$2:$P$1001,I845))*(실물목록!$Q$2:$Q$1001&lt;&gt;"")*ISNUMBER(SEARCH(실물목록!$Q$2:$Q$1001,I845))*(실물목록!$R$2:$R$1001="")*(실물목록!$O$2:$O$1001&lt;&gt;"")*(실물목록!$O$2:$O$1001=H845)))</f>
      </c>
      <c r="H845" t="str">
        <f>IFERROR(IF(AND(LEN(SUBSTITUTE(SUBSTITUTE(SUBSTITUTE(TRIM(A845&amp;""),CHAR(160),"")," ",""),"년",""))=4,VALUE(SUBSTITUTE(SUBSTITUTE(SUBSTITUTE(TRIM(A845&amp;""),CHAR(160),"")," ",""),"년",""))&gt;=1900,VALUE(SUBSTITUTE(SUBSTITUTE(SUBSTITUTE(TRIM(A845&amp;""),CHAR(160),"")," ",""),"년",""))&lt;=2099,TEXT(VALUE(SUBSTITUTE(SUBSTITUTE(SUBSTITUTE(TRIM(A845&amp;""),CHAR(160),"")," ",""),"년","")),"0000")=SUBSTITUTE(SUBSTITUTE(SUBSTITUTE(TRIM(A845&amp;""),CHAR(160),"")," ",""),"년","")),SUBSTITUTE(SUBSTITUTE(SUBSTITUTE(TRIM(A845&amp;""),CHAR(160),"")," ",""),"년",""),""),"")</f>
      </c>
      <c r="I845" t="str">
        <f>SUBSTITUTE(SUBSTITUTE(SUBSTITUTE(SUBSTITUTE(SUBSTITUTE(TRIM(B845&amp;""),CHAR(160),"")," ",""),"초등학교","초"),"중학교","중"),"고등학교","고")</f>
      </c>
    </row>
    <row r="846" customFormat="false" ht="15" hidden="false" customHeight="false" outlineLevel="0" collapsed="false">
      <c r="A846" s="8"/>
      <c r="B846" s="8"/>
      <c r="C846" s="8"/>
      <c r="D846" s="8"/>
      <c r="E846" s="8"/>
      <c r="F846" t="str" s="15">
        <f aca="0">IF(B846="","",IF(H846="","확인필요(입력누락)",IF(SUMPRODUCT((실물목록!$P$2:$P$1001&lt;&gt;"")*ISNUMBER(SEARCH(실물목록!$P$2:$P$1001,I846))*(실물목록!$Q$2:$Q$1001&lt;&gt;"")*ISNUMBER(SEARCH(실물목록!$Q$2:$Q$1001,I846))*(실물목록!$R$2:$R$1001="")*(실물목록!$O$2:$O$1001&lt;&gt;"")*(실물목록!$O$2:$O$1001=H846))&gt;0,"실물 있음",IF(SUMPRODUCT((실물목록!$P$2:$P$1001&lt;&gt;"")*ISNUMBER(SEARCH(실물목록!$P$2:$P$1001,I846))*(실물목록!$R$2:$R$1001&lt;&gt;""))&gt;0,"확인필요(입력누락)",IF(SUMPRODUCT((실물목록!$P$2:$P$1001&lt;&gt;"")*ISNUMBER(SEARCH(실물목록!$P$2:$P$1001,I846))*(실물목록!$Q$2:$Q$1001&lt;&gt;"")*ISNUMBER(SEARCH(실물목록!$Q$2:$Q$1001,I846))*(실물목록!$R$2:$R$1001="")*(실물목록!$O$2:$O$1001&lt;&gt;""))&gt;0,"확인필요(연도다름)","실물 없음")))))</f>
      </c>
      <c r="G846" t="n" s="16">
        <f aca="0">IF(B846="","",SUMPRODUCT((실물목록!$P$2:$P$1001&lt;&gt;"")*ISNUMBER(SEARCH(실물목록!$P$2:$P$1001,I846))*(실물목록!$Q$2:$Q$1001&lt;&gt;"")*ISNUMBER(SEARCH(실물목록!$Q$2:$Q$1001,I846))*(실물목록!$R$2:$R$1001="")*(실물목록!$O$2:$O$1001&lt;&gt;"")*(실물목록!$O$2:$O$1001=H846)))</f>
      </c>
      <c r="H846" t="str">
        <f>IFERROR(IF(AND(LEN(SUBSTITUTE(SUBSTITUTE(SUBSTITUTE(TRIM(A846&amp;""),CHAR(160),"")," ",""),"년",""))=4,VALUE(SUBSTITUTE(SUBSTITUTE(SUBSTITUTE(TRIM(A846&amp;""),CHAR(160),"")," ",""),"년",""))&gt;=1900,VALUE(SUBSTITUTE(SUBSTITUTE(SUBSTITUTE(TRIM(A846&amp;""),CHAR(160),"")," ",""),"년",""))&lt;=2099,TEXT(VALUE(SUBSTITUTE(SUBSTITUTE(SUBSTITUTE(TRIM(A846&amp;""),CHAR(160),"")," ",""),"년","")),"0000")=SUBSTITUTE(SUBSTITUTE(SUBSTITUTE(TRIM(A846&amp;""),CHAR(160),"")," ",""),"년","")),SUBSTITUTE(SUBSTITUTE(SUBSTITUTE(TRIM(A846&amp;""),CHAR(160),"")," ",""),"년",""),""),"")</f>
      </c>
      <c r="I846" t="str">
        <f>SUBSTITUTE(SUBSTITUTE(SUBSTITUTE(SUBSTITUTE(SUBSTITUTE(TRIM(B846&amp;""),CHAR(160),"")," ",""),"초등학교","초"),"중학교","중"),"고등학교","고")</f>
      </c>
    </row>
    <row r="847" customFormat="false" ht="15" hidden="false" customHeight="false" outlineLevel="0" collapsed="false">
      <c r="A847" s="8"/>
      <c r="B847" s="8"/>
      <c r="C847" s="8"/>
      <c r="D847" s="8"/>
      <c r="E847" s="8"/>
      <c r="F847" t="str" s="15">
        <f aca="0">IF(B847="","",IF(H847="","확인필요(입력누락)",IF(SUMPRODUCT((실물목록!$P$2:$P$1001&lt;&gt;"")*ISNUMBER(SEARCH(실물목록!$P$2:$P$1001,I847))*(실물목록!$Q$2:$Q$1001&lt;&gt;"")*ISNUMBER(SEARCH(실물목록!$Q$2:$Q$1001,I847))*(실물목록!$R$2:$R$1001="")*(실물목록!$O$2:$O$1001&lt;&gt;"")*(실물목록!$O$2:$O$1001=H847))&gt;0,"실물 있음",IF(SUMPRODUCT((실물목록!$P$2:$P$1001&lt;&gt;"")*ISNUMBER(SEARCH(실물목록!$P$2:$P$1001,I847))*(실물목록!$R$2:$R$1001&lt;&gt;""))&gt;0,"확인필요(입력누락)",IF(SUMPRODUCT((실물목록!$P$2:$P$1001&lt;&gt;"")*ISNUMBER(SEARCH(실물목록!$P$2:$P$1001,I847))*(실물목록!$Q$2:$Q$1001&lt;&gt;"")*ISNUMBER(SEARCH(실물목록!$Q$2:$Q$1001,I847))*(실물목록!$R$2:$R$1001="")*(실물목록!$O$2:$O$1001&lt;&gt;""))&gt;0,"확인필요(연도다름)","실물 없음")))))</f>
      </c>
      <c r="G847" t="n" s="16">
        <f aca="0">IF(B847="","",SUMPRODUCT((실물목록!$P$2:$P$1001&lt;&gt;"")*ISNUMBER(SEARCH(실물목록!$P$2:$P$1001,I847))*(실물목록!$Q$2:$Q$1001&lt;&gt;"")*ISNUMBER(SEARCH(실물목록!$Q$2:$Q$1001,I847))*(실물목록!$R$2:$R$1001="")*(실물목록!$O$2:$O$1001&lt;&gt;"")*(실물목록!$O$2:$O$1001=H847)))</f>
      </c>
      <c r="H847" t="str">
        <f>IFERROR(IF(AND(LEN(SUBSTITUTE(SUBSTITUTE(SUBSTITUTE(TRIM(A847&amp;""),CHAR(160),"")," ",""),"년",""))=4,VALUE(SUBSTITUTE(SUBSTITUTE(SUBSTITUTE(TRIM(A847&amp;""),CHAR(160),"")," ",""),"년",""))&gt;=1900,VALUE(SUBSTITUTE(SUBSTITUTE(SUBSTITUTE(TRIM(A847&amp;""),CHAR(160),"")," ",""),"년",""))&lt;=2099,TEXT(VALUE(SUBSTITUTE(SUBSTITUTE(SUBSTITUTE(TRIM(A847&amp;""),CHAR(160),"")," ",""),"년","")),"0000")=SUBSTITUTE(SUBSTITUTE(SUBSTITUTE(TRIM(A847&amp;""),CHAR(160),"")," ",""),"년","")),SUBSTITUTE(SUBSTITUTE(SUBSTITUTE(TRIM(A847&amp;""),CHAR(160),"")," ",""),"년",""),""),"")</f>
      </c>
      <c r="I847" t="str">
        <f>SUBSTITUTE(SUBSTITUTE(SUBSTITUTE(SUBSTITUTE(SUBSTITUTE(TRIM(B847&amp;""),CHAR(160),"")," ",""),"초등학교","초"),"중학교","중"),"고등학교","고")</f>
      </c>
    </row>
    <row r="848" customFormat="false" ht="15" hidden="false" customHeight="false" outlineLevel="0" collapsed="false">
      <c r="A848" s="8"/>
      <c r="B848" s="8"/>
      <c r="C848" s="8"/>
      <c r="D848" s="8"/>
      <c r="E848" s="8"/>
      <c r="F848" t="str" s="15">
        <f aca="0">IF(B848="","",IF(H848="","확인필요(입력누락)",IF(SUMPRODUCT((실물목록!$P$2:$P$1001&lt;&gt;"")*ISNUMBER(SEARCH(실물목록!$P$2:$P$1001,I848))*(실물목록!$Q$2:$Q$1001&lt;&gt;"")*ISNUMBER(SEARCH(실물목록!$Q$2:$Q$1001,I848))*(실물목록!$R$2:$R$1001="")*(실물목록!$O$2:$O$1001&lt;&gt;"")*(실물목록!$O$2:$O$1001=H848))&gt;0,"실물 있음",IF(SUMPRODUCT((실물목록!$P$2:$P$1001&lt;&gt;"")*ISNUMBER(SEARCH(실물목록!$P$2:$P$1001,I848))*(실물목록!$R$2:$R$1001&lt;&gt;""))&gt;0,"확인필요(입력누락)",IF(SUMPRODUCT((실물목록!$P$2:$P$1001&lt;&gt;"")*ISNUMBER(SEARCH(실물목록!$P$2:$P$1001,I848))*(실물목록!$Q$2:$Q$1001&lt;&gt;"")*ISNUMBER(SEARCH(실물목록!$Q$2:$Q$1001,I848))*(실물목록!$R$2:$R$1001="")*(실물목록!$O$2:$O$1001&lt;&gt;""))&gt;0,"확인필요(연도다름)","실물 없음")))))</f>
      </c>
      <c r="G848" t="n" s="16">
        <f aca="0">IF(B848="","",SUMPRODUCT((실물목록!$P$2:$P$1001&lt;&gt;"")*ISNUMBER(SEARCH(실물목록!$P$2:$P$1001,I848))*(실물목록!$Q$2:$Q$1001&lt;&gt;"")*ISNUMBER(SEARCH(실물목록!$Q$2:$Q$1001,I848))*(실물목록!$R$2:$R$1001="")*(실물목록!$O$2:$O$1001&lt;&gt;"")*(실물목록!$O$2:$O$1001=H848)))</f>
      </c>
      <c r="H848" t="str">
        <f>IFERROR(IF(AND(LEN(SUBSTITUTE(SUBSTITUTE(SUBSTITUTE(TRIM(A848&amp;""),CHAR(160),"")," ",""),"년",""))=4,VALUE(SUBSTITUTE(SUBSTITUTE(SUBSTITUTE(TRIM(A848&amp;""),CHAR(160),"")," ",""),"년",""))&gt;=1900,VALUE(SUBSTITUTE(SUBSTITUTE(SUBSTITUTE(TRIM(A848&amp;""),CHAR(160),"")," ",""),"년",""))&lt;=2099,TEXT(VALUE(SUBSTITUTE(SUBSTITUTE(SUBSTITUTE(TRIM(A848&amp;""),CHAR(160),"")," ",""),"년","")),"0000")=SUBSTITUTE(SUBSTITUTE(SUBSTITUTE(TRIM(A848&amp;""),CHAR(160),"")," ",""),"년","")),SUBSTITUTE(SUBSTITUTE(SUBSTITUTE(TRIM(A848&amp;""),CHAR(160),"")," ",""),"년",""),""),"")</f>
      </c>
      <c r="I848" t="str">
        <f>SUBSTITUTE(SUBSTITUTE(SUBSTITUTE(SUBSTITUTE(SUBSTITUTE(TRIM(B848&amp;""),CHAR(160),"")," ",""),"초등학교","초"),"중학교","중"),"고등학교","고")</f>
      </c>
    </row>
    <row r="849" customFormat="false" ht="15" hidden="false" customHeight="false" outlineLevel="0" collapsed="false">
      <c r="A849" s="8"/>
      <c r="B849" s="8"/>
      <c r="C849" s="8"/>
      <c r="D849" s="8"/>
      <c r="E849" s="8"/>
      <c r="F849" t="str" s="15">
        <f aca="0">IF(B849="","",IF(H849="","확인필요(입력누락)",IF(SUMPRODUCT((실물목록!$P$2:$P$1001&lt;&gt;"")*ISNUMBER(SEARCH(실물목록!$P$2:$P$1001,I849))*(실물목록!$Q$2:$Q$1001&lt;&gt;"")*ISNUMBER(SEARCH(실물목록!$Q$2:$Q$1001,I849))*(실물목록!$R$2:$R$1001="")*(실물목록!$O$2:$O$1001&lt;&gt;"")*(실물목록!$O$2:$O$1001=H849))&gt;0,"실물 있음",IF(SUMPRODUCT((실물목록!$P$2:$P$1001&lt;&gt;"")*ISNUMBER(SEARCH(실물목록!$P$2:$P$1001,I849))*(실물목록!$R$2:$R$1001&lt;&gt;""))&gt;0,"확인필요(입력누락)",IF(SUMPRODUCT((실물목록!$P$2:$P$1001&lt;&gt;"")*ISNUMBER(SEARCH(실물목록!$P$2:$P$1001,I849))*(실물목록!$Q$2:$Q$1001&lt;&gt;"")*ISNUMBER(SEARCH(실물목록!$Q$2:$Q$1001,I849))*(실물목록!$R$2:$R$1001="")*(실물목록!$O$2:$O$1001&lt;&gt;""))&gt;0,"확인필요(연도다름)","실물 없음")))))</f>
      </c>
      <c r="G849" t="n" s="16">
        <f aca="0">IF(B849="","",SUMPRODUCT((실물목록!$P$2:$P$1001&lt;&gt;"")*ISNUMBER(SEARCH(실물목록!$P$2:$P$1001,I849))*(실물목록!$Q$2:$Q$1001&lt;&gt;"")*ISNUMBER(SEARCH(실물목록!$Q$2:$Q$1001,I849))*(실물목록!$R$2:$R$1001="")*(실물목록!$O$2:$O$1001&lt;&gt;"")*(실물목록!$O$2:$O$1001=H849)))</f>
      </c>
      <c r="H849" t="str">
        <f>IFERROR(IF(AND(LEN(SUBSTITUTE(SUBSTITUTE(SUBSTITUTE(TRIM(A849&amp;""),CHAR(160),"")," ",""),"년",""))=4,VALUE(SUBSTITUTE(SUBSTITUTE(SUBSTITUTE(TRIM(A849&amp;""),CHAR(160),"")," ",""),"년",""))&gt;=1900,VALUE(SUBSTITUTE(SUBSTITUTE(SUBSTITUTE(TRIM(A849&amp;""),CHAR(160),"")," ",""),"년",""))&lt;=2099,TEXT(VALUE(SUBSTITUTE(SUBSTITUTE(SUBSTITUTE(TRIM(A849&amp;""),CHAR(160),"")," ",""),"년","")),"0000")=SUBSTITUTE(SUBSTITUTE(SUBSTITUTE(TRIM(A849&amp;""),CHAR(160),"")," ",""),"년","")),SUBSTITUTE(SUBSTITUTE(SUBSTITUTE(TRIM(A849&amp;""),CHAR(160),"")," ",""),"년",""),""),"")</f>
      </c>
      <c r="I849" t="str">
        <f>SUBSTITUTE(SUBSTITUTE(SUBSTITUTE(SUBSTITUTE(SUBSTITUTE(TRIM(B849&amp;""),CHAR(160),"")," ",""),"초등학교","초"),"중학교","중"),"고등학교","고")</f>
      </c>
    </row>
    <row r="850" customFormat="false" ht="15" hidden="false" customHeight="false" outlineLevel="0" collapsed="false">
      <c r="A850" s="8"/>
      <c r="B850" s="8"/>
      <c r="C850" s="8"/>
      <c r="D850" s="8"/>
      <c r="E850" s="8"/>
      <c r="F850" t="str" s="15">
        <f aca="0">IF(B850="","",IF(H850="","확인필요(입력누락)",IF(SUMPRODUCT((실물목록!$P$2:$P$1001&lt;&gt;"")*ISNUMBER(SEARCH(실물목록!$P$2:$P$1001,I850))*(실물목록!$Q$2:$Q$1001&lt;&gt;"")*ISNUMBER(SEARCH(실물목록!$Q$2:$Q$1001,I850))*(실물목록!$R$2:$R$1001="")*(실물목록!$O$2:$O$1001&lt;&gt;"")*(실물목록!$O$2:$O$1001=H850))&gt;0,"실물 있음",IF(SUMPRODUCT((실물목록!$P$2:$P$1001&lt;&gt;"")*ISNUMBER(SEARCH(실물목록!$P$2:$P$1001,I850))*(실물목록!$R$2:$R$1001&lt;&gt;""))&gt;0,"확인필요(입력누락)",IF(SUMPRODUCT((실물목록!$P$2:$P$1001&lt;&gt;"")*ISNUMBER(SEARCH(실물목록!$P$2:$P$1001,I850))*(실물목록!$Q$2:$Q$1001&lt;&gt;"")*ISNUMBER(SEARCH(실물목록!$Q$2:$Q$1001,I850))*(실물목록!$R$2:$R$1001="")*(실물목록!$O$2:$O$1001&lt;&gt;""))&gt;0,"확인필요(연도다름)","실물 없음")))))</f>
      </c>
      <c r="G850" t="n" s="16">
        <f aca="0">IF(B850="","",SUMPRODUCT((실물목록!$P$2:$P$1001&lt;&gt;"")*ISNUMBER(SEARCH(실물목록!$P$2:$P$1001,I850))*(실물목록!$Q$2:$Q$1001&lt;&gt;"")*ISNUMBER(SEARCH(실물목록!$Q$2:$Q$1001,I850))*(실물목록!$R$2:$R$1001="")*(실물목록!$O$2:$O$1001&lt;&gt;"")*(실물목록!$O$2:$O$1001=H850)))</f>
      </c>
      <c r="H850" t="str">
        <f>IFERROR(IF(AND(LEN(SUBSTITUTE(SUBSTITUTE(SUBSTITUTE(TRIM(A850&amp;""),CHAR(160),"")," ",""),"년",""))=4,VALUE(SUBSTITUTE(SUBSTITUTE(SUBSTITUTE(TRIM(A850&amp;""),CHAR(160),"")," ",""),"년",""))&gt;=1900,VALUE(SUBSTITUTE(SUBSTITUTE(SUBSTITUTE(TRIM(A850&amp;""),CHAR(160),"")," ",""),"년",""))&lt;=2099,TEXT(VALUE(SUBSTITUTE(SUBSTITUTE(SUBSTITUTE(TRIM(A850&amp;""),CHAR(160),"")," ",""),"년","")),"0000")=SUBSTITUTE(SUBSTITUTE(SUBSTITUTE(TRIM(A850&amp;""),CHAR(160),"")," ",""),"년","")),SUBSTITUTE(SUBSTITUTE(SUBSTITUTE(TRIM(A850&amp;""),CHAR(160),"")," ",""),"년",""),""),"")</f>
      </c>
      <c r="I850" t="str">
        <f>SUBSTITUTE(SUBSTITUTE(SUBSTITUTE(SUBSTITUTE(SUBSTITUTE(TRIM(B850&amp;""),CHAR(160),"")," ",""),"초등학교","초"),"중학교","중"),"고등학교","고")</f>
      </c>
    </row>
    <row r="851" customFormat="false" ht="15" hidden="false" customHeight="false" outlineLevel="0" collapsed="false">
      <c r="A851" s="8"/>
      <c r="B851" s="8"/>
      <c r="C851" s="8"/>
      <c r="D851" s="8"/>
      <c r="E851" s="8"/>
      <c r="F851" t="str" s="15">
        <f aca="0">IF(B851="","",IF(H851="","확인필요(입력누락)",IF(SUMPRODUCT((실물목록!$P$2:$P$1001&lt;&gt;"")*ISNUMBER(SEARCH(실물목록!$P$2:$P$1001,I851))*(실물목록!$Q$2:$Q$1001&lt;&gt;"")*ISNUMBER(SEARCH(실물목록!$Q$2:$Q$1001,I851))*(실물목록!$R$2:$R$1001="")*(실물목록!$O$2:$O$1001&lt;&gt;"")*(실물목록!$O$2:$O$1001=H851))&gt;0,"실물 있음",IF(SUMPRODUCT((실물목록!$P$2:$P$1001&lt;&gt;"")*ISNUMBER(SEARCH(실물목록!$P$2:$P$1001,I851))*(실물목록!$R$2:$R$1001&lt;&gt;""))&gt;0,"확인필요(입력누락)",IF(SUMPRODUCT((실물목록!$P$2:$P$1001&lt;&gt;"")*ISNUMBER(SEARCH(실물목록!$P$2:$P$1001,I851))*(실물목록!$Q$2:$Q$1001&lt;&gt;"")*ISNUMBER(SEARCH(실물목록!$Q$2:$Q$1001,I851))*(실물목록!$R$2:$R$1001="")*(실물목록!$O$2:$O$1001&lt;&gt;""))&gt;0,"확인필요(연도다름)","실물 없음")))))</f>
      </c>
      <c r="G851" t="n" s="16">
        <f aca="0">IF(B851="","",SUMPRODUCT((실물목록!$P$2:$P$1001&lt;&gt;"")*ISNUMBER(SEARCH(실물목록!$P$2:$P$1001,I851))*(실물목록!$Q$2:$Q$1001&lt;&gt;"")*ISNUMBER(SEARCH(실물목록!$Q$2:$Q$1001,I851))*(실물목록!$R$2:$R$1001="")*(실물목록!$O$2:$O$1001&lt;&gt;"")*(실물목록!$O$2:$O$1001=H851)))</f>
      </c>
      <c r="H851" t="str">
        <f>IFERROR(IF(AND(LEN(SUBSTITUTE(SUBSTITUTE(SUBSTITUTE(TRIM(A851&amp;""),CHAR(160),"")," ",""),"년",""))=4,VALUE(SUBSTITUTE(SUBSTITUTE(SUBSTITUTE(TRIM(A851&amp;""),CHAR(160),"")," ",""),"년",""))&gt;=1900,VALUE(SUBSTITUTE(SUBSTITUTE(SUBSTITUTE(TRIM(A851&amp;""),CHAR(160),"")," ",""),"년",""))&lt;=2099,TEXT(VALUE(SUBSTITUTE(SUBSTITUTE(SUBSTITUTE(TRIM(A851&amp;""),CHAR(160),"")," ",""),"년","")),"0000")=SUBSTITUTE(SUBSTITUTE(SUBSTITUTE(TRIM(A851&amp;""),CHAR(160),"")," ",""),"년","")),SUBSTITUTE(SUBSTITUTE(SUBSTITUTE(TRIM(A851&amp;""),CHAR(160),"")," ",""),"년",""),""),"")</f>
      </c>
      <c r="I851" t="str">
        <f>SUBSTITUTE(SUBSTITUTE(SUBSTITUTE(SUBSTITUTE(SUBSTITUTE(TRIM(B851&amp;""),CHAR(160),"")," ",""),"초등학교","초"),"중학교","중"),"고등학교","고")</f>
      </c>
    </row>
    <row r="852" customFormat="false" ht="15" hidden="false" customHeight="false" outlineLevel="0" collapsed="false">
      <c r="A852" s="8"/>
      <c r="B852" s="8"/>
      <c r="C852" s="8"/>
      <c r="D852" s="8"/>
      <c r="E852" s="8"/>
      <c r="F852" t="str" s="15">
        <f aca="0">IF(B852="","",IF(H852="","확인필요(입력누락)",IF(SUMPRODUCT((실물목록!$P$2:$P$1001&lt;&gt;"")*ISNUMBER(SEARCH(실물목록!$P$2:$P$1001,I852))*(실물목록!$Q$2:$Q$1001&lt;&gt;"")*ISNUMBER(SEARCH(실물목록!$Q$2:$Q$1001,I852))*(실물목록!$R$2:$R$1001="")*(실물목록!$O$2:$O$1001&lt;&gt;"")*(실물목록!$O$2:$O$1001=H852))&gt;0,"실물 있음",IF(SUMPRODUCT((실물목록!$P$2:$P$1001&lt;&gt;"")*ISNUMBER(SEARCH(실물목록!$P$2:$P$1001,I852))*(실물목록!$R$2:$R$1001&lt;&gt;""))&gt;0,"확인필요(입력누락)",IF(SUMPRODUCT((실물목록!$P$2:$P$1001&lt;&gt;"")*ISNUMBER(SEARCH(실물목록!$P$2:$P$1001,I852))*(실물목록!$Q$2:$Q$1001&lt;&gt;"")*ISNUMBER(SEARCH(실물목록!$Q$2:$Q$1001,I852))*(실물목록!$R$2:$R$1001="")*(실물목록!$O$2:$O$1001&lt;&gt;""))&gt;0,"확인필요(연도다름)","실물 없음")))))</f>
      </c>
      <c r="G852" t="n" s="16">
        <f aca="0">IF(B852="","",SUMPRODUCT((실물목록!$P$2:$P$1001&lt;&gt;"")*ISNUMBER(SEARCH(실물목록!$P$2:$P$1001,I852))*(실물목록!$Q$2:$Q$1001&lt;&gt;"")*ISNUMBER(SEARCH(실물목록!$Q$2:$Q$1001,I852))*(실물목록!$R$2:$R$1001="")*(실물목록!$O$2:$O$1001&lt;&gt;"")*(실물목록!$O$2:$O$1001=H852)))</f>
      </c>
      <c r="H852" t="str">
        <f>IFERROR(IF(AND(LEN(SUBSTITUTE(SUBSTITUTE(SUBSTITUTE(TRIM(A852&amp;""),CHAR(160),"")," ",""),"년",""))=4,VALUE(SUBSTITUTE(SUBSTITUTE(SUBSTITUTE(TRIM(A852&amp;""),CHAR(160),"")," ",""),"년",""))&gt;=1900,VALUE(SUBSTITUTE(SUBSTITUTE(SUBSTITUTE(TRIM(A852&amp;""),CHAR(160),"")," ",""),"년",""))&lt;=2099,TEXT(VALUE(SUBSTITUTE(SUBSTITUTE(SUBSTITUTE(TRIM(A852&amp;""),CHAR(160),"")," ",""),"년","")),"0000")=SUBSTITUTE(SUBSTITUTE(SUBSTITUTE(TRIM(A852&amp;""),CHAR(160),"")," ",""),"년","")),SUBSTITUTE(SUBSTITUTE(SUBSTITUTE(TRIM(A852&amp;""),CHAR(160),"")," ",""),"년",""),""),"")</f>
      </c>
      <c r="I852" t="str">
        <f>SUBSTITUTE(SUBSTITUTE(SUBSTITUTE(SUBSTITUTE(SUBSTITUTE(TRIM(B852&amp;""),CHAR(160),"")," ",""),"초등학교","초"),"중학교","중"),"고등학교","고")</f>
      </c>
    </row>
    <row r="853" customFormat="false" ht="15" hidden="false" customHeight="false" outlineLevel="0" collapsed="false">
      <c r="A853" s="8"/>
      <c r="B853" s="8"/>
      <c r="C853" s="8"/>
      <c r="D853" s="8"/>
      <c r="E853" s="8"/>
      <c r="F853" t="str" s="15">
        <f aca="0">IF(B853="","",IF(H853="","확인필요(입력누락)",IF(SUMPRODUCT((실물목록!$P$2:$P$1001&lt;&gt;"")*ISNUMBER(SEARCH(실물목록!$P$2:$P$1001,I853))*(실물목록!$Q$2:$Q$1001&lt;&gt;"")*ISNUMBER(SEARCH(실물목록!$Q$2:$Q$1001,I853))*(실물목록!$R$2:$R$1001="")*(실물목록!$O$2:$O$1001&lt;&gt;"")*(실물목록!$O$2:$O$1001=H853))&gt;0,"실물 있음",IF(SUMPRODUCT((실물목록!$P$2:$P$1001&lt;&gt;"")*ISNUMBER(SEARCH(실물목록!$P$2:$P$1001,I853))*(실물목록!$R$2:$R$1001&lt;&gt;""))&gt;0,"확인필요(입력누락)",IF(SUMPRODUCT((실물목록!$P$2:$P$1001&lt;&gt;"")*ISNUMBER(SEARCH(실물목록!$P$2:$P$1001,I853))*(실물목록!$Q$2:$Q$1001&lt;&gt;"")*ISNUMBER(SEARCH(실물목록!$Q$2:$Q$1001,I853))*(실물목록!$R$2:$R$1001="")*(실물목록!$O$2:$O$1001&lt;&gt;""))&gt;0,"확인필요(연도다름)","실물 없음")))))</f>
      </c>
      <c r="G853" t="n" s="16">
        <f aca="0">IF(B853="","",SUMPRODUCT((실물목록!$P$2:$P$1001&lt;&gt;"")*ISNUMBER(SEARCH(실물목록!$P$2:$P$1001,I853))*(실물목록!$Q$2:$Q$1001&lt;&gt;"")*ISNUMBER(SEARCH(실물목록!$Q$2:$Q$1001,I853))*(실물목록!$R$2:$R$1001="")*(실물목록!$O$2:$O$1001&lt;&gt;"")*(실물목록!$O$2:$O$1001=H853)))</f>
      </c>
      <c r="H853" t="str">
        <f>IFERROR(IF(AND(LEN(SUBSTITUTE(SUBSTITUTE(SUBSTITUTE(TRIM(A853&amp;""),CHAR(160),"")," ",""),"년",""))=4,VALUE(SUBSTITUTE(SUBSTITUTE(SUBSTITUTE(TRIM(A853&amp;""),CHAR(160),"")," ",""),"년",""))&gt;=1900,VALUE(SUBSTITUTE(SUBSTITUTE(SUBSTITUTE(TRIM(A853&amp;""),CHAR(160),"")," ",""),"년",""))&lt;=2099,TEXT(VALUE(SUBSTITUTE(SUBSTITUTE(SUBSTITUTE(TRIM(A853&amp;""),CHAR(160),"")," ",""),"년","")),"0000")=SUBSTITUTE(SUBSTITUTE(SUBSTITUTE(TRIM(A853&amp;""),CHAR(160),"")," ",""),"년","")),SUBSTITUTE(SUBSTITUTE(SUBSTITUTE(TRIM(A853&amp;""),CHAR(160),"")," ",""),"년",""),""),"")</f>
      </c>
      <c r="I853" t="str">
        <f>SUBSTITUTE(SUBSTITUTE(SUBSTITUTE(SUBSTITUTE(SUBSTITUTE(TRIM(B853&amp;""),CHAR(160),"")," ",""),"초등학교","초"),"중학교","중"),"고등학교","고")</f>
      </c>
    </row>
    <row r="854" customFormat="false" ht="15" hidden="false" customHeight="false" outlineLevel="0" collapsed="false">
      <c r="A854" s="8"/>
      <c r="B854" s="8"/>
      <c r="C854" s="8"/>
      <c r="D854" s="8"/>
      <c r="E854" s="8"/>
      <c r="F854" t="str" s="15">
        <f aca="0">IF(B854="","",IF(H854="","확인필요(입력누락)",IF(SUMPRODUCT((실물목록!$P$2:$P$1001&lt;&gt;"")*ISNUMBER(SEARCH(실물목록!$P$2:$P$1001,I854))*(실물목록!$Q$2:$Q$1001&lt;&gt;"")*ISNUMBER(SEARCH(실물목록!$Q$2:$Q$1001,I854))*(실물목록!$R$2:$R$1001="")*(실물목록!$O$2:$O$1001&lt;&gt;"")*(실물목록!$O$2:$O$1001=H854))&gt;0,"실물 있음",IF(SUMPRODUCT((실물목록!$P$2:$P$1001&lt;&gt;"")*ISNUMBER(SEARCH(실물목록!$P$2:$P$1001,I854))*(실물목록!$R$2:$R$1001&lt;&gt;""))&gt;0,"확인필요(입력누락)",IF(SUMPRODUCT((실물목록!$P$2:$P$1001&lt;&gt;"")*ISNUMBER(SEARCH(실물목록!$P$2:$P$1001,I854))*(실물목록!$Q$2:$Q$1001&lt;&gt;"")*ISNUMBER(SEARCH(실물목록!$Q$2:$Q$1001,I854))*(실물목록!$R$2:$R$1001="")*(실물목록!$O$2:$O$1001&lt;&gt;""))&gt;0,"확인필요(연도다름)","실물 없음")))))</f>
      </c>
      <c r="G854" t="n" s="16">
        <f aca="0">IF(B854="","",SUMPRODUCT((실물목록!$P$2:$P$1001&lt;&gt;"")*ISNUMBER(SEARCH(실물목록!$P$2:$P$1001,I854))*(실물목록!$Q$2:$Q$1001&lt;&gt;"")*ISNUMBER(SEARCH(실물목록!$Q$2:$Q$1001,I854))*(실물목록!$R$2:$R$1001="")*(실물목록!$O$2:$O$1001&lt;&gt;"")*(실물목록!$O$2:$O$1001=H854)))</f>
      </c>
      <c r="H854" t="str">
        <f>IFERROR(IF(AND(LEN(SUBSTITUTE(SUBSTITUTE(SUBSTITUTE(TRIM(A854&amp;""),CHAR(160),"")," ",""),"년",""))=4,VALUE(SUBSTITUTE(SUBSTITUTE(SUBSTITUTE(TRIM(A854&amp;""),CHAR(160),"")," ",""),"년",""))&gt;=1900,VALUE(SUBSTITUTE(SUBSTITUTE(SUBSTITUTE(TRIM(A854&amp;""),CHAR(160),"")," ",""),"년",""))&lt;=2099,TEXT(VALUE(SUBSTITUTE(SUBSTITUTE(SUBSTITUTE(TRIM(A854&amp;""),CHAR(160),"")," ",""),"년","")),"0000")=SUBSTITUTE(SUBSTITUTE(SUBSTITUTE(TRIM(A854&amp;""),CHAR(160),"")," ",""),"년","")),SUBSTITUTE(SUBSTITUTE(SUBSTITUTE(TRIM(A854&amp;""),CHAR(160),"")," ",""),"년",""),""),"")</f>
      </c>
      <c r="I854" t="str">
        <f>SUBSTITUTE(SUBSTITUTE(SUBSTITUTE(SUBSTITUTE(SUBSTITUTE(TRIM(B854&amp;""),CHAR(160),"")," ",""),"초등학교","초"),"중학교","중"),"고등학교","고")</f>
      </c>
    </row>
    <row r="855" customFormat="false" ht="15" hidden="false" customHeight="false" outlineLevel="0" collapsed="false">
      <c r="A855" s="8"/>
      <c r="B855" s="8"/>
      <c r="C855" s="8"/>
      <c r="D855" s="8"/>
      <c r="E855" s="8"/>
      <c r="F855" t="str" s="15">
        <f aca="0">IF(B855="","",IF(H855="","확인필요(입력누락)",IF(SUMPRODUCT((실물목록!$P$2:$P$1001&lt;&gt;"")*ISNUMBER(SEARCH(실물목록!$P$2:$P$1001,I855))*(실물목록!$Q$2:$Q$1001&lt;&gt;"")*ISNUMBER(SEARCH(실물목록!$Q$2:$Q$1001,I855))*(실물목록!$R$2:$R$1001="")*(실물목록!$O$2:$O$1001&lt;&gt;"")*(실물목록!$O$2:$O$1001=H855))&gt;0,"실물 있음",IF(SUMPRODUCT((실물목록!$P$2:$P$1001&lt;&gt;"")*ISNUMBER(SEARCH(실물목록!$P$2:$P$1001,I855))*(실물목록!$R$2:$R$1001&lt;&gt;""))&gt;0,"확인필요(입력누락)",IF(SUMPRODUCT((실물목록!$P$2:$P$1001&lt;&gt;"")*ISNUMBER(SEARCH(실물목록!$P$2:$P$1001,I855))*(실물목록!$Q$2:$Q$1001&lt;&gt;"")*ISNUMBER(SEARCH(실물목록!$Q$2:$Q$1001,I855))*(실물목록!$R$2:$R$1001="")*(실물목록!$O$2:$O$1001&lt;&gt;""))&gt;0,"확인필요(연도다름)","실물 없음")))))</f>
      </c>
      <c r="G855" t="n" s="16">
        <f aca="0">IF(B855="","",SUMPRODUCT((실물목록!$P$2:$P$1001&lt;&gt;"")*ISNUMBER(SEARCH(실물목록!$P$2:$P$1001,I855))*(실물목록!$Q$2:$Q$1001&lt;&gt;"")*ISNUMBER(SEARCH(실물목록!$Q$2:$Q$1001,I855))*(실물목록!$R$2:$R$1001="")*(실물목록!$O$2:$O$1001&lt;&gt;"")*(실물목록!$O$2:$O$1001=H855)))</f>
      </c>
      <c r="H855" t="str">
        <f>IFERROR(IF(AND(LEN(SUBSTITUTE(SUBSTITUTE(SUBSTITUTE(TRIM(A855&amp;""),CHAR(160),"")," ",""),"년",""))=4,VALUE(SUBSTITUTE(SUBSTITUTE(SUBSTITUTE(TRIM(A855&amp;""),CHAR(160),"")," ",""),"년",""))&gt;=1900,VALUE(SUBSTITUTE(SUBSTITUTE(SUBSTITUTE(TRIM(A855&amp;""),CHAR(160),"")," ",""),"년",""))&lt;=2099,TEXT(VALUE(SUBSTITUTE(SUBSTITUTE(SUBSTITUTE(TRIM(A855&amp;""),CHAR(160),"")," ",""),"년","")),"0000")=SUBSTITUTE(SUBSTITUTE(SUBSTITUTE(TRIM(A855&amp;""),CHAR(160),"")," ",""),"년","")),SUBSTITUTE(SUBSTITUTE(SUBSTITUTE(TRIM(A855&amp;""),CHAR(160),"")," ",""),"년",""),""),"")</f>
      </c>
      <c r="I855" t="str">
        <f>SUBSTITUTE(SUBSTITUTE(SUBSTITUTE(SUBSTITUTE(SUBSTITUTE(TRIM(B855&amp;""),CHAR(160),"")," ",""),"초등학교","초"),"중학교","중"),"고등학교","고")</f>
      </c>
    </row>
    <row r="856" customFormat="false" ht="15" hidden="false" customHeight="false" outlineLevel="0" collapsed="false">
      <c r="A856" s="8"/>
      <c r="B856" s="8"/>
      <c r="C856" s="8"/>
      <c r="D856" s="8"/>
      <c r="E856" s="8"/>
      <c r="F856" t="str" s="15">
        <f aca="0">IF(B856="","",IF(H856="","확인필요(입력누락)",IF(SUMPRODUCT((실물목록!$P$2:$P$1001&lt;&gt;"")*ISNUMBER(SEARCH(실물목록!$P$2:$P$1001,I856))*(실물목록!$Q$2:$Q$1001&lt;&gt;"")*ISNUMBER(SEARCH(실물목록!$Q$2:$Q$1001,I856))*(실물목록!$R$2:$R$1001="")*(실물목록!$O$2:$O$1001&lt;&gt;"")*(실물목록!$O$2:$O$1001=H856))&gt;0,"실물 있음",IF(SUMPRODUCT((실물목록!$P$2:$P$1001&lt;&gt;"")*ISNUMBER(SEARCH(실물목록!$P$2:$P$1001,I856))*(실물목록!$R$2:$R$1001&lt;&gt;""))&gt;0,"확인필요(입력누락)",IF(SUMPRODUCT((실물목록!$P$2:$P$1001&lt;&gt;"")*ISNUMBER(SEARCH(실물목록!$P$2:$P$1001,I856))*(실물목록!$Q$2:$Q$1001&lt;&gt;"")*ISNUMBER(SEARCH(실물목록!$Q$2:$Q$1001,I856))*(실물목록!$R$2:$R$1001="")*(실물목록!$O$2:$O$1001&lt;&gt;""))&gt;0,"확인필요(연도다름)","실물 없음")))))</f>
      </c>
      <c r="G856" t="n" s="16">
        <f aca="0">IF(B856="","",SUMPRODUCT((실물목록!$P$2:$P$1001&lt;&gt;"")*ISNUMBER(SEARCH(실물목록!$P$2:$P$1001,I856))*(실물목록!$Q$2:$Q$1001&lt;&gt;"")*ISNUMBER(SEARCH(실물목록!$Q$2:$Q$1001,I856))*(실물목록!$R$2:$R$1001="")*(실물목록!$O$2:$O$1001&lt;&gt;"")*(실물목록!$O$2:$O$1001=H856)))</f>
      </c>
      <c r="H856" t="str">
        <f>IFERROR(IF(AND(LEN(SUBSTITUTE(SUBSTITUTE(SUBSTITUTE(TRIM(A856&amp;""),CHAR(160),"")," ",""),"년",""))=4,VALUE(SUBSTITUTE(SUBSTITUTE(SUBSTITUTE(TRIM(A856&amp;""),CHAR(160),"")," ",""),"년",""))&gt;=1900,VALUE(SUBSTITUTE(SUBSTITUTE(SUBSTITUTE(TRIM(A856&amp;""),CHAR(160),"")," ",""),"년",""))&lt;=2099,TEXT(VALUE(SUBSTITUTE(SUBSTITUTE(SUBSTITUTE(TRIM(A856&amp;""),CHAR(160),"")," ",""),"년","")),"0000")=SUBSTITUTE(SUBSTITUTE(SUBSTITUTE(TRIM(A856&amp;""),CHAR(160),"")," ",""),"년","")),SUBSTITUTE(SUBSTITUTE(SUBSTITUTE(TRIM(A856&amp;""),CHAR(160),"")," ",""),"년",""),""),"")</f>
      </c>
      <c r="I856" t="str">
        <f>SUBSTITUTE(SUBSTITUTE(SUBSTITUTE(SUBSTITUTE(SUBSTITUTE(TRIM(B856&amp;""),CHAR(160),"")," ",""),"초등학교","초"),"중학교","중"),"고등학교","고")</f>
      </c>
    </row>
    <row r="857" customFormat="false" ht="15" hidden="false" customHeight="false" outlineLevel="0" collapsed="false">
      <c r="A857" s="8"/>
      <c r="B857" s="8"/>
      <c r="C857" s="8"/>
      <c r="D857" s="8"/>
      <c r="E857" s="8"/>
      <c r="F857" t="str" s="15">
        <f aca="0">IF(B857="","",IF(H857="","확인필요(입력누락)",IF(SUMPRODUCT((실물목록!$P$2:$P$1001&lt;&gt;"")*ISNUMBER(SEARCH(실물목록!$P$2:$P$1001,I857))*(실물목록!$Q$2:$Q$1001&lt;&gt;"")*ISNUMBER(SEARCH(실물목록!$Q$2:$Q$1001,I857))*(실물목록!$R$2:$R$1001="")*(실물목록!$O$2:$O$1001&lt;&gt;"")*(실물목록!$O$2:$O$1001=H857))&gt;0,"실물 있음",IF(SUMPRODUCT((실물목록!$P$2:$P$1001&lt;&gt;"")*ISNUMBER(SEARCH(실물목록!$P$2:$P$1001,I857))*(실물목록!$R$2:$R$1001&lt;&gt;""))&gt;0,"확인필요(입력누락)",IF(SUMPRODUCT((실물목록!$P$2:$P$1001&lt;&gt;"")*ISNUMBER(SEARCH(실물목록!$P$2:$P$1001,I857))*(실물목록!$Q$2:$Q$1001&lt;&gt;"")*ISNUMBER(SEARCH(실물목록!$Q$2:$Q$1001,I857))*(실물목록!$R$2:$R$1001="")*(실물목록!$O$2:$O$1001&lt;&gt;""))&gt;0,"확인필요(연도다름)","실물 없음")))))</f>
      </c>
      <c r="G857" t="n" s="16">
        <f aca="0">IF(B857="","",SUMPRODUCT((실물목록!$P$2:$P$1001&lt;&gt;"")*ISNUMBER(SEARCH(실물목록!$P$2:$P$1001,I857))*(실물목록!$Q$2:$Q$1001&lt;&gt;"")*ISNUMBER(SEARCH(실물목록!$Q$2:$Q$1001,I857))*(실물목록!$R$2:$R$1001="")*(실물목록!$O$2:$O$1001&lt;&gt;"")*(실물목록!$O$2:$O$1001=H857)))</f>
      </c>
      <c r="H857" t="str">
        <f>IFERROR(IF(AND(LEN(SUBSTITUTE(SUBSTITUTE(SUBSTITUTE(TRIM(A857&amp;""),CHAR(160),"")," ",""),"년",""))=4,VALUE(SUBSTITUTE(SUBSTITUTE(SUBSTITUTE(TRIM(A857&amp;""),CHAR(160),"")," ",""),"년",""))&gt;=1900,VALUE(SUBSTITUTE(SUBSTITUTE(SUBSTITUTE(TRIM(A857&amp;""),CHAR(160),"")," ",""),"년",""))&lt;=2099,TEXT(VALUE(SUBSTITUTE(SUBSTITUTE(SUBSTITUTE(TRIM(A857&amp;""),CHAR(160),"")," ",""),"년","")),"0000")=SUBSTITUTE(SUBSTITUTE(SUBSTITUTE(TRIM(A857&amp;""),CHAR(160),"")," ",""),"년","")),SUBSTITUTE(SUBSTITUTE(SUBSTITUTE(TRIM(A857&amp;""),CHAR(160),"")," ",""),"년",""),""),"")</f>
      </c>
      <c r="I857" t="str">
        <f>SUBSTITUTE(SUBSTITUTE(SUBSTITUTE(SUBSTITUTE(SUBSTITUTE(TRIM(B857&amp;""),CHAR(160),"")," ",""),"초등학교","초"),"중학교","중"),"고등학교","고")</f>
      </c>
    </row>
    <row r="858" customFormat="false" ht="15" hidden="false" customHeight="false" outlineLevel="0" collapsed="false">
      <c r="A858" s="8"/>
      <c r="B858" s="8"/>
      <c r="C858" s="8"/>
      <c r="D858" s="8"/>
      <c r="E858" s="8"/>
      <c r="F858" t="str" s="15">
        <f aca="0">IF(B858="","",IF(H858="","확인필요(입력누락)",IF(SUMPRODUCT((실물목록!$P$2:$P$1001&lt;&gt;"")*ISNUMBER(SEARCH(실물목록!$P$2:$P$1001,I858))*(실물목록!$Q$2:$Q$1001&lt;&gt;"")*ISNUMBER(SEARCH(실물목록!$Q$2:$Q$1001,I858))*(실물목록!$R$2:$R$1001="")*(실물목록!$O$2:$O$1001&lt;&gt;"")*(실물목록!$O$2:$O$1001=H858))&gt;0,"실물 있음",IF(SUMPRODUCT((실물목록!$P$2:$P$1001&lt;&gt;"")*ISNUMBER(SEARCH(실물목록!$P$2:$P$1001,I858))*(실물목록!$R$2:$R$1001&lt;&gt;""))&gt;0,"확인필요(입력누락)",IF(SUMPRODUCT((실물목록!$P$2:$P$1001&lt;&gt;"")*ISNUMBER(SEARCH(실물목록!$P$2:$P$1001,I858))*(실물목록!$Q$2:$Q$1001&lt;&gt;"")*ISNUMBER(SEARCH(실물목록!$Q$2:$Q$1001,I858))*(실물목록!$R$2:$R$1001="")*(실물목록!$O$2:$O$1001&lt;&gt;""))&gt;0,"확인필요(연도다름)","실물 없음")))))</f>
      </c>
      <c r="G858" t="n" s="16">
        <f aca="0">IF(B858="","",SUMPRODUCT((실물목록!$P$2:$P$1001&lt;&gt;"")*ISNUMBER(SEARCH(실물목록!$P$2:$P$1001,I858))*(실물목록!$Q$2:$Q$1001&lt;&gt;"")*ISNUMBER(SEARCH(실물목록!$Q$2:$Q$1001,I858))*(실물목록!$R$2:$R$1001="")*(실물목록!$O$2:$O$1001&lt;&gt;"")*(실물목록!$O$2:$O$1001=H858)))</f>
      </c>
      <c r="H858" t="str">
        <f>IFERROR(IF(AND(LEN(SUBSTITUTE(SUBSTITUTE(SUBSTITUTE(TRIM(A858&amp;""),CHAR(160),"")," ",""),"년",""))=4,VALUE(SUBSTITUTE(SUBSTITUTE(SUBSTITUTE(TRIM(A858&amp;""),CHAR(160),"")," ",""),"년",""))&gt;=1900,VALUE(SUBSTITUTE(SUBSTITUTE(SUBSTITUTE(TRIM(A858&amp;""),CHAR(160),"")," ",""),"년",""))&lt;=2099,TEXT(VALUE(SUBSTITUTE(SUBSTITUTE(SUBSTITUTE(TRIM(A858&amp;""),CHAR(160),"")," ",""),"년","")),"0000")=SUBSTITUTE(SUBSTITUTE(SUBSTITUTE(TRIM(A858&amp;""),CHAR(160),"")," ",""),"년","")),SUBSTITUTE(SUBSTITUTE(SUBSTITUTE(TRIM(A858&amp;""),CHAR(160),"")," ",""),"년",""),""),"")</f>
      </c>
      <c r="I858" t="str">
        <f>SUBSTITUTE(SUBSTITUTE(SUBSTITUTE(SUBSTITUTE(SUBSTITUTE(TRIM(B858&amp;""),CHAR(160),"")," ",""),"초등학교","초"),"중학교","중"),"고등학교","고")</f>
      </c>
    </row>
    <row r="859" customFormat="false" ht="15" hidden="false" customHeight="false" outlineLevel="0" collapsed="false">
      <c r="A859" s="8"/>
      <c r="B859" s="8"/>
      <c r="C859" s="8"/>
      <c r="D859" s="8"/>
      <c r="E859" s="8"/>
      <c r="F859" t="str" s="15">
        <f aca="0">IF(B859="","",IF(H859="","확인필요(입력누락)",IF(SUMPRODUCT((실물목록!$P$2:$P$1001&lt;&gt;"")*ISNUMBER(SEARCH(실물목록!$P$2:$P$1001,I859))*(실물목록!$Q$2:$Q$1001&lt;&gt;"")*ISNUMBER(SEARCH(실물목록!$Q$2:$Q$1001,I859))*(실물목록!$R$2:$R$1001="")*(실물목록!$O$2:$O$1001&lt;&gt;"")*(실물목록!$O$2:$O$1001=H859))&gt;0,"실물 있음",IF(SUMPRODUCT((실물목록!$P$2:$P$1001&lt;&gt;"")*ISNUMBER(SEARCH(실물목록!$P$2:$P$1001,I859))*(실물목록!$R$2:$R$1001&lt;&gt;""))&gt;0,"확인필요(입력누락)",IF(SUMPRODUCT((실물목록!$P$2:$P$1001&lt;&gt;"")*ISNUMBER(SEARCH(실물목록!$P$2:$P$1001,I859))*(실물목록!$Q$2:$Q$1001&lt;&gt;"")*ISNUMBER(SEARCH(실물목록!$Q$2:$Q$1001,I859))*(실물목록!$R$2:$R$1001="")*(실물목록!$O$2:$O$1001&lt;&gt;""))&gt;0,"확인필요(연도다름)","실물 없음")))))</f>
      </c>
      <c r="G859" t="n" s="16">
        <f aca="0">IF(B859="","",SUMPRODUCT((실물목록!$P$2:$P$1001&lt;&gt;"")*ISNUMBER(SEARCH(실물목록!$P$2:$P$1001,I859))*(실물목록!$Q$2:$Q$1001&lt;&gt;"")*ISNUMBER(SEARCH(실물목록!$Q$2:$Q$1001,I859))*(실물목록!$R$2:$R$1001="")*(실물목록!$O$2:$O$1001&lt;&gt;"")*(실물목록!$O$2:$O$1001=H859)))</f>
      </c>
      <c r="H859" t="str">
        <f>IFERROR(IF(AND(LEN(SUBSTITUTE(SUBSTITUTE(SUBSTITUTE(TRIM(A859&amp;""),CHAR(160),"")," ",""),"년",""))=4,VALUE(SUBSTITUTE(SUBSTITUTE(SUBSTITUTE(TRIM(A859&amp;""),CHAR(160),"")," ",""),"년",""))&gt;=1900,VALUE(SUBSTITUTE(SUBSTITUTE(SUBSTITUTE(TRIM(A859&amp;""),CHAR(160),"")," ",""),"년",""))&lt;=2099,TEXT(VALUE(SUBSTITUTE(SUBSTITUTE(SUBSTITUTE(TRIM(A859&amp;""),CHAR(160),"")," ",""),"년","")),"0000")=SUBSTITUTE(SUBSTITUTE(SUBSTITUTE(TRIM(A859&amp;""),CHAR(160),"")," ",""),"년","")),SUBSTITUTE(SUBSTITUTE(SUBSTITUTE(TRIM(A859&amp;""),CHAR(160),"")," ",""),"년",""),""),"")</f>
      </c>
      <c r="I859" t="str">
        <f>SUBSTITUTE(SUBSTITUTE(SUBSTITUTE(SUBSTITUTE(SUBSTITUTE(TRIM(B859&amp;""),CHAR(160),"")," ",""),"초등학교","초"),"중학교","중"),"고등학교","고")</f>
      </c>
    </row>
    <row r="860" customFormat="false" ht="15" hidden="false" customHeight="false" outlineLevel="0" collapsed="false">
      <c r="A860" s="8"/>
      <c r="B860" s="8"/>
      <c r="C860" s="8"/>
      <c r="D860" s="8"/>
      <c r="E860" s="8"/>
      <c r="F860" t="str" s="15">
        <f aca="0">IF(B860="","",IF(H860="","확인필요(입력누락)",IF(SUMPRODUCT((실물목록!$P$2:$P$1001&lt;&gt;"")*ISNUMBER(SEARCH(실물목록!$P$2:$P$1001,I860))*(실물목록!$Q$2:$Q$1001&lt;&gt;"")*ISNUMBER(SEARCH(실물목록!$Q$2:$Q$1001,I860))*(실물목록!$R$2:$R$1001="")*(실물목록!$O$2:$O$1001&lt;&gt;"")*(실물목록!$O$2:$O$1001=H860))&gt;0,"실물 있음",IF(SUMPRODUCT((실물목록!$P$2:$P$1001&lt;&gt;"")*ISNUMBER(SEARCH(실물목록!$P$2:$P$1001,I860))*(실물목록!$R$2:$R$1001&lt;&gt;""))&gt;0,"확인필요(입력누락)",IF(SUMPRODUCT((실물목록!$P$2:$P$1001&lt;&gt;"")*ISNUMBER(SEARCH(실물목록!$P$2:$P$1001,I860))*(실물목록!$Q$2:$Q$1001&lt;&gt;"")*ISNUMBER(SEARCH(실물목록!$Q$2:$Q$1001,I860))*(실물목록!$R$2:$R$1001="")*(실물목록!$O$2:$O$1001&lt;&gt;""))&gt;0,"확인필요(연도다름)","실물 없음")))))</f>
      </c>
      <c r="G860" t="n" s="16">
        <f aca="0">IF(B860="","",SUMPRODUCT((실물목록!$P$2:$P$1001&lt;&gt;"")*ISNUMBER(SEARCH(실물목록!$P$2:$P$1001,I860))*(실물목록!$Q$2:$Q$1001&lt;&gt;"")*ISNUMBER(SEARCH(실물목록!$Q$2:$Q$1001,I860))*(실물목록!$R$2:$R$1001="")*(실물목록!$O$2:$O$1001&lt;&gt;"")*(실물목록!$O$2:$O$1001=H860)))</f>
      </c>
      <c r="H860" t="str">
        <f>IFERROR(IF(AND(LEN(SUBSTITUTE(SUBSTITUTE(SUBSTITUTE(TRIM(A860&amp;""),CHAR(160),"")," ",""),"년",""))=4,VALUE(SUBSTITUTE(SUBSTITUTE(SUBSTITUTE(TRIM(A860&amp;""),CHAR(160),"")," ",""),"년",""))&gt;=1900,VALUE(SUBSTITUTE(SUBSTITUTE(SUBSTITUTE(TRIM(A860&amp;""),CHAR(160),"")," ",""),"년",""))&lt;=2099,TEXT(VALUE(SUBSTITUTE(SUBSTITUTE(SUBSTITUTE(TRIM(A860&amp;""),CHAR(160),"")," ",""),"년","")),"0000")=SUBSTITUTE(SUBSTITUTE(SUBSTITUTE(TRIM(A860&amp;""),CHAR(160),"")," ",""),"년","")),SUBSTITUTE(SUBSTITUTE(SUBSTITUTE(TRIM(A860&amp;""),CHAR(160),"")," ",""),"년",""),""),"")</f>
      </c>
      <c r="I860" t="str">
        <f>SUBSTITUTE(SUBSTITUTE(SUBSTITUTE(SUBSTITUTE(SUBSTITUTE(TRIM(B860&amp;""),CHAR(160),"")," ",""),"초등학교","초"),"중학교","중"),"고등학교","고")</f>
      </c>
    </row>
    <row r="861" customFormat="false" ht="15" hidden="false" customHeight="false" outlineLevel="0" collapsed="false">
      <c r="A861" s="8"/>
      <c r="B861" s="8"/>
      <c r="C861" s="8"/>
      <c r="D861" s="8"/>
      <c r="E861" s="8"/>
      <c r="F861" t="str" s="15">
        <f aca="0">IF(B861="","",IF(H861="","확인필요(입력누락)",IF(SUMPRODUCT((실물목록!$P$2:$P$1001&lt;&gt;"")*ISNUMBER(SEARCH(실물목록!$P$2:$P$1001,I861))*(실물목록!$Q$2:$Q$1001&lt;&gt;"")*ISNUMBER(SEARCH(실물목록!$Q$2:$Q$1001,I861))*(실물목록!$R$2:$R$1001="")*(실물목록!$O$2:$O$1001&lt;&gt;"")*(실물목록!$O$2:$O$1001=H861))&gt;0,"실물 있음",IF(SUMPRODUCT((실물목록!$P$2:$P$1001&lt;&gt;"")*ISNUMBER(SEARCH(실물목록!$P$2:$P$1001,I861))*(실물목록!$R$2:$R$1001&lt;&gt;""))&gt;0,"확인필요(입력누락)",IF(SUMPRODUCT((실물목록!$P$2:$P$1001&lt;&gt;"")*ISNUMBER(SEARCH(실물목록!$P$2:$P$1001,I861))*(실물목록!$Q$2:$Q$1001&lt;&gt;"")*ISNUMBER(SEARCH(실물목록!$Q$2:$Q$1001,I861))*(실물목록!$R$2:$R$1001="")*(실물목록!$O$2:$O$1001&lt;&gt;""))&gt;0,"확인필요(연도다름)","실물 없음")))))</f>
      </c>
      <c r="G861" t="n" s="16">
        <f aca="0">IF(B861="","",SUMPRODUCT((실물목록!$P$2:$P$1001&lt;&gt;"")*ISNUMBER(SEARCH(실물목록!$P$2:$P$1001,I861))*(실물목록!$Q$2:$Q$1001&lt;&gt;"")*ISNUMBER(SEARCH(실물목록!$Q$2:$Q$1001,I861))*(실물목록!$R$2:$R$1001="")*(실물목록!$O$2:$O$1001&lt;&gt;"")*(실물목록!$O$2:$O$1001=H861)))</f>
      </c>
      <c r="H861" t="str">
        <f>IFERROR(IF(AND(LEN(SUBSTITUTE(SUBSTITUTE(SUBSTITUTE(TRIM(A861&amp;""),CHAR(160),"")," ",""),"년",""))=4,VALUE(SUBSTITUTE(SUBSTITUTE(SUBSTITUTE(TRIM(A861&amp;""),CHAR(160),"")," ",""),"년",""))&gt;=1900,VALUE(SUBSTITUTE(SUBSTITUTE(SUBSTITUTE(TRIM(A861&amp;""),CHAR(160),"")," ",""),"년",""))&lt;=2099,TEXT(VALUE(SUBSTITUTE(SUBSTITUTE(SUBSTITUTE(TRIM(A861&amp;""),CHAR(160),"")," ",""),"년","")),"0000")=SUBSTITUTE(SUBSTITUTE(SUBSTITUTE(TRIM(A861&amp;""),CHAR(160),"")," ",""),"년","")),SUBSTITUTE(SUBSTITUTE(SUBSTITUTE(TRIM(A861&amp;""),CHAR(160),"")," ",""),"년",""),""),"")</f>
      </c>
      <c r="I861" t="str">
        <f>SUBSTITUTE(SUBSTITUTE(SUBSTITUTE(SUBSTITUTE(SUBSTITUTE(TRIM(B861&amp;""),CHAR(160),"")," ",""),"초등학교","초"),"중학교","중"),"고등학교","고")</f>
      </c>
    </row>
    <row r="862" customFormat="false" ht="15" hidden="false" customHeight="false" outlineLevel="0" collapsed="false">
      <c r="A862" s="8"/>
      <c r="B862" s="8"/>
      <c r="C862" s="8"/>
      <c r="D862" s="8"/>
      <c r="E862" s="8"/>
      <c r="F862" t="str" s="15">
        <f aca="0">IF(B862="","",IF(H862="","확인필요(입력누락)",IF(SUMPRODUCT((실물목록!$P$2:$P$1001&lt;&gt;"")*ISNUMBER(SEARCH(실물목록!$P$2:$P$1001,I862))*(실물목록!$Q$2:$Q$1001&lt;&gt;"")*ISNUMBER(SEARCH(실물목록!$Q$2:$Q$1001,I862))*(실물목록!$R$2:$R$1001="")*(실물목록!$O$2:$O$1001&lt;&gt;"")*(실물목록!$O$2:$O$1001=H862))&gt;0,"실물 있음",IF(SUMPRODUCT((실물목록!$P$2:$P$1001&lt;&gt;"")*ISNUMBER(SEARCH(실물목록!$P$2:$P$1001,I862))*(실물목록!$R$2:$R$1001&lt;&gt;""))&gt;0,"확인필요(입력누락)",IF(SUMPRODUCT((실물목록!$P$2:$P$1001&lt;&gt;"")*ISNUMBER(SEARCH(실물목록!$P$2:$P$1001,I862))*(실물목록!$Q$2:$Q$1001&lt;&gt;"")*ISNUMBER(SEARCH(실물목록!$Q$2:$Q$1001,I862))*(실물목록!$R$2:$R$1001="")*(실물목록!$O$2:$O$1001&lt;&gt;""))&gt;0,"확인필요(연도다름)","실물 없음")))))</f>
      </c>
      <c r="G862" t="n" s="16">
        <f aca="0">IF(B862="","",SUMPRODUCT((실물목록!$P$2:$P$1001&lt;&gt;"")*ISNUMBER(SEARCH(실물목록!$P$2:$P$1001,I862))*(실물목록!$Q$2:$Q$1001&lt;&gt;"")*ISNUMBER(SEARCH(실물목록!$Q$2:$Q$1001,I862))*(실물목록!$R$2:$R$1001="")*(실물목록!$O$2:$O$1001&lt;&gt;"")*(실물목록!$O$2:$O$1001=H862)))</f>
      </c>
      <c r="H862" t="str">
        <f>IFERROR(IF(AND(LEN(SUBSTITUTE(SUBSTITUTE(SUBSTITUTE(TRIM(A862&amp;""),CHAR(160),"")," ",""),"년",""))=4,VALUE(SUBSTITUTE(SUBSTITUTE(SUBSTITUTE(TRIM(A862&amp;""),CHAR(160),"")," ",""),"년",""))&gt;=1900,VALUE(SUBSTITUTE(SUBSTITUTE(SUBSTITUTE(TRIM(A862&amp;""),CHAR(160),"")," ",""),"년",""))&lt;=2099,TEXT(VALUE(SUBSTITUTE(SUBSTITUTE(SUBSTITUTE(TRIM(A862&amp;""),CHAR(160),"")," ",""),"년","")),"0000")=SUBSTITUTE(SUBSTITUTE(SUBSTITUTE(TRIM(A862&amp;""),CHAR(160),"")," ",""),"년","")),SUBSTITUTE(SUBSTITUTE(SUBSTITUTE(TRIM(A862&amp;""),CHAR(160),"")," ",""),"년",""),""),"")</f>
      </c>
      <c r="I862" t="str">
        <f>SUBSTITUTE(SUBSTITUTE(SUBSTITUTE(SUBSTITUTE(SUBSTITUTE(TRIM(B862&amp;""),CHAR(160),"")," ",""),"초등학교","초"),"중학교","중"),"고등학교","고")</f>
      </c>
    </row>
    <row r="863" customFormat="false" ht="15" hidden="false" customHeight="false" outlineLevel="0" collapsed="false">
      <c r="A863" s="8"/>
      <c r="B863" s="8"/>
      <c r="C863" s="8"/>
      <c r="D863" s="8"/>
      <c r="E863" s="8"/>
      <c r="F863" t="str" s="15">
        <f aca="0">IF(B863="","",IF(H863="","확인필요(입력누락)",IF(SUMPRODUCT((실물목록!$P$2:$P$1001&lt;&gt;"")*ISNUMBER(SEARCH(실물목록!$P$2:$P$1001,I863))*(실물목록!$Q$2:$Q$1001&lt;&gt;"")*ISNUMBER(SEARCH(실물목록!$Q$2:$Q$1001,I863))*(실물목록!$R$2:$R$1001="")*(실물목록!$O$2:$O$1001&lt;&gt;"")*(실물목록!$O$2:$O$1001=H863))&gt;0,"실물 있음",IF(SUMPRODUCT((실물목록!$P$2:$P$1001&lt;&gt;"")*ISNUMBER(SEARCH(실물목록!$P$2:$P$1001,I863))*(실물목록!$R$2:$R$1001&lt;&gt;""))&gt;0,"확인필요(입력누락)",IF(SUMPRODUCT((실물목록!$P$2:$P$1001&lt;&gt;"")*ISNUMBER(SEARCH(실물목록!$P$2:$P$1001,I863))*(실물목록!$Q$2:$Q$1001&lt;&gt;"")*ISNUMBER(SEARCH(실물목록!$Q$2:$Q$1001,I863))*(실물목록!$R$2:$R$1001="")*(실물목록!$O$2:$O$1001&lt;&gt;""))&gt;0,"확인필요(연도다름)","실물 없음")))))</f>
      </c>
      <c r="G863" t="n" s="16">
        <f aca="0">IF(B863="","",SUMPRODUCT((실물목록!$P$2:$P$1001&lt;&gt;"")*ISNUMBER(SEARCH(실물목록!$P$2:$P$1001,I863))*(실물목록!$Q$2:$Q$1001&lt;&gt;"")*ISNUMBER(SEARCH(실물목록!$Q$2:$Q$1001,I863))*(실물목록!$R$2:$R$1001="")*(실물목록!$O$2:$O$1001&lt;&gt;"")*(실물목록!$O$2:$O$1001=H863)))</f>
      </c>
      <c r="H863" t="str">
        <f>IFERROR(IF(AND(LEN(SUBSTITUTE(SUBSTITUTE(SUBSTITUTE(TRIM(A863&amp;""),CHAR(160),"")," ",""),"년",""))=4,VALUE(SUBSTITUTE(SUBSTITUTE(SUBSTITUTE(TRIM(A863&amp;""),CHAR(160),"")," ",""),"년",""))&gt;=1900,VALUE(SUBSTITUTE(SUBSTITUTE(SUBSTITUTE(TRIM(A863&amp;""),CHAR(160),"")," ",""),"년",""))&lt;=2099,TEXT(VALUE(SUBSTITUTE(SUBSTITUTE(SUBSTITUTE(TRIM(A863&amp;""),CHAR(160),"")," ",""),"년","")),"0000")=SUBSTITUTE(SUBSTITUTE(SUBSTITUTE(TRIM(A863&amp;""),CHAR(160),"")," ",""),"년","")),SUBSTITUTE(SUBSTITUTE(SUBSTITUTE(TRIM(A863&amp;""),CHAR(160),"")," ",""),"년",""),""),"")</f>
      </c>
      <c r="I863" t="str">
        <f>SUBSTITUTE(SUBSTITUTE(SUBSTITUTE(SUBSTITUTE(SUBSTITUTE(TRIM(B863&amp;""),CHAR(160),"")," ",""),"초등학교","초"),"중학교","중"),"고등학교","고")</f>
      </c>
    </row>
    <row r="864" customFormat="false" ht="15" hidden="false" customHeight="false" outlineLevel="0" collapsed="false">
      <c r="A864" s="8"/>
      <c r="B864" s="8"/>
      <c r="C864" s="8"/>
      <c r="D864" s="8"/>
      <c r="E864" s="8"/>
      <c r="F864" t="str" s="15">
        <f aca="0">IF(B864="","",IF(H864="","확인필요(입력누락)",IF(SUMPRODUCT((실물목록!$P$2:$P$1001&lt;&gt;"")*ISNUMBER(SEARCH(실물목록!$P$2:$P$1001,I864))*(실물목록!$Q$2:$Q$1001&lt;&gt;"")*ISNUMBER(SEARCH(실물목록!$Q$2:$Q$1001,I864))*(실물목록!$R$2:$R$1001="")*(실물목록!$O$2:$O$1001&lt;&gt;"")*(실물목록!$O$2:$O$1001=H864))&gt;0,"실물 있음",IF(SUMPRODUCT((실물목록!$P$2:$P$1001&lt;&gt;"")*ISNUMBER(SEARCH(실물목록!$P$2:$P$1001,I864))*(실물목록!$R$2:$R$1001&lt;&gt;""))&gt;0,"확인필요(입력누락)",IF(SUMPRODUCT((실물목록!$P$2:$P$1001&lt;&gt;"")*ISNUMBER(SEARCH(실물목록!$P$2:$P$1001,I864))*(실물목록!$Q$2:$Q$1001&lt;&gt;"")*ISNUMBER(SEARCH(실물목록!$Q$2:$Q$1001,I864))*(실물목록!$R$2:$R$1001="")*(실물목록!$O$2:$O$1001&lt;&gt;""))&gt;0,"확인필요(연도다름)","실물 없음")))))</f>
      </c>
      <c r="G864" t="n" s="16">
        <f aca="0">IF(B864="","",SUMPRODUCT((실물목록!$P$2:$P$1001&lt;&gt;"")*ISNUMBER(SEARCH(실물목록!$P$2:$P$1001,I864))*(실물목록!$Q$2:$Q$1001&lt;&gt;"")*ISNUMBER(SEARCH(실물목록!$Q$2:$Q$1001,I864))*(실물목록!$R$2:$R$1001="")*(실물목록!$O$2:$O$1001&lt;&gt;"")*(실물목록!$O$2:$O$1001=H864)))</f>
      </c>
      <c r="H864" t="str">
        <f>IFERROR(IF(AND(LEN(SUBSTITUTE(SUBSTITUTE(SUBSTITUTE(TRIM(A864&amp;""),CHAR(160),"")," ",""),"년",""))=4,VALUE(SUBSTITUTE(SUBSTITUTE(SUBSTITUTE(TRIM(A864&amp;""),CHAR(160),"")," ",""),"년",""))&gt;=1900,VALUE(SUBSTITUTE(SUBSTITUTE(SUBSTITUTE(TRIM(A864&amp;""),CHAR(160),"")," ",""),"년",""))&lt;=2099,TEXT(VALUE(SUBSTITUTE(SUBSTITUTE(SUBSTITUTE(TRIM(A864&amp;""),CHAR(160),"")," ",""),"년","")),"0000")=SUBSTITUTE(SUBSTITUTE(SUBSTITUTE(TRIM(A864&amp;""),CHAR(160),"")," ",""),"년","")),SUBSTITUTE(SUBSTITUTE(SUBSTITUTE(TRIM(A864&amp;""),CHAR(160),"")," ",""),"년",""),""),"")</f>
      </c>
      <c r="I864" t="str">
        <f>SUBSTITUTE(SUBSTITUTE(SUBSTITUTE(SUBSTITUTE(SUBSTITUTE(TRIM(B864&amp;""),CHAR(160),"")," ",""),"초등학교","초"),"중학교","중"),"고등학교","고")</f>
      </c>
    </row>
    <row r="865" customFormat="false" ht="15" hidden="false" customHeight="false" outlineLevel="0" collapsed="false">
      <c r="A865" s="8"/>
      <c r="B865" s="8"/>
      <c r="C865" s="8"/>
      <c r="D865" s="8"/>
      <c r="E865" s="8"/>
      <c r="F865" t="str" s="15">
        <f aca="0">IF(B865="","",IF(H865="","확인필요(입력누락)",IF(SUMPRODUCT((실물목록!$P$2:$P$1001&lt;&gt;"")*ISNUMBER(SEARCH(실물목록!$P$2:$P$1001,I865))*(실물목록!$Q$2:$Q$1001&lt;&gt;"")*ISNUMBER(SEARCH(실물목록!$Q$2:$Q$1001,I865))*(실물목록!$R$2:$R$1001="")*(실물목록!$O$2:$O$1001&lt;&gt;"")*(실물목록!$O$2:$O$1001=H865))&gt;0,"실물 있음",IF(SUMPRODUCT((실물목록!$P$2:$P$1001&lt;&gt;"")*ISNUMBER(SEARCH(실물목록!$P$2:$P$1001,I865))*(실물목록!$R$2:$R$1001&lt;&gt;""))&gt;0,"확인필요(입력누락)",IF(SUMPRODUCT((실물목록!$P$2:$P$1001&lt;&gt;"")*ISNUMBER(SEARCH(실물목록!$P$2:$P$1001,I865))*(실물목록!$Q$2:$Q$1001&lt;&gt;"")*ISNUMBER(SEARCH(실물목록!$Q$2:$Q$1001,I865))*(실물목록!$R$2:$R$1001="")*(실물목록!$O$2:$O$1001&lt;&gt;""))&gt;0,"확인필요(연도다름)","실물 없음")))))</f>
      </c>
      <c r="G865" t="n" s="16">
        <f aca="0">IF(B865="","",SUMPRODUCT((실물목록!$P$2:$P$1001&lt;&gt;"")*ISNUMBER(SEARCH(실물목록!$P$2:$P$1001,I865))*(실물목록!$Q$2:$Q$1001&lt;&gt;"")*ISNUMBER(SEARCH(실물목록!$Q$2:$Q$1001,I865))*(실물목록!$R$2:$R$1001="")*(실물목록!$O$2:$O$1001&lt;&gt;"")*(실물목록!$O$2:$O$1001=H865)))</f>
      </c>
      <c r="H865" t="str">
        <f>IFERROR(IF(AND(LEN(SUBSTITUTE(SUBSTITUTE(SUBSTITUTE(TRIM(A865&amp;""),CHAR(160),"")," ",""),"년",""))=4,VALUE(SUBSTITUTE(SUBSTITUTE(SUBSTITUTE(TRIM(A865&amp;""),CHAR(160),"")," ",""),"년",""))&gt;=1900,VALUE(SUBSTITUTE(SUBSTITUTE(SUBSTITUTE(TRIM(A865&amp;""),CHAR(160),"")," ",""),"년",""))&lt;=2099,TEXT(VALUE(SUBSTITUTE(SUBSTITUTE(SUBSTITUTE(TRIM(A865&amp;""),CHAR(160),"")," ",""),"년","")),"0000")=SUBSTITUTE(SUBSTITUTE(SUBSTITUTE(TRIM(A865&amp;""),CHAR(160),"")," ",""),"년","")),SUBSTITUTE(SUBSTITUTE(SUBSTITUTE(TRIM(A865&amp;""),CHAR(160),"")," ",""),"년",""),""),"")</f>
      </c>
      <c r="I865" t="str">
        <f>SUBSTITUTE(SUBSTITUTE(SUBSTITUTE(SUBSTITUTE(SUBSTITUTE(TRIM(B865&amp;""),CHAR(160),"")," ",""),"초등학교","초"),"중학교","중"),"고등학교","고")</f>
      </c>
    </row>
    <row r="866" customFormat="false" ht="15" hidden="false" customHeight="false" outlineLevel="0" collapsed="false">
      <c r="A866" s="8"/>
      <c r="B866" s="8"/>
      <c r="C866" s="8"/>
      <c r="D866" s="8"/>
      <c r="E866" s="8"/>
      <c r="F866" t="str" s="15">
        <f aca="0">IF(B866="","",IF(H866="","확인필요(입력누락)",IF(SUMPRODUCT((실물목록!$P$2:$P$1001&lt;&gt;"")*ISNUMBER(SEARCH(실물목록!$P$2:$P$1001,I866))*(실물목록!$Q$2:$Q$1001&lt;&gt;"")*ISNUMBER(SEARCH(실물목록!$Q$2:$Q$1001,I866))*(실물목록!$R$2:$R$1001="")*(실물목록!$O$2:$O$1001&lt;&gt;"")*(실물목록!$O$2:$O$1001=H866))&gt;0,"실물 있음",IF(SUMPRODUCT((실물목록!$P$2:$P$1001&lt;&gt;"")*ISNUMBER(SEARCH(실물목록!$P$2:$P$1001,I866))*(실물목록!$R$2:$R$1001&lt;&gt;""))&gt;0,"확인필요(입력누락)",IF(SUMPRODUCT((실물목록!$P$2:$P$1001&lt;&gt;"")*ISNUMBER(SEARCH(실물목록!$P$2:$P$1001,I866))*(실물목록!$Q$2:$Q$1001&lt;&gt;"")*ISNUMBER(SEARCH(실물목록!$Q$2:$Q$1001,I866))*(실물목록!$R$2:$R$1001="")*(실물목록!$O$2:$O$1001&lt;&gt;""))&gt;0,"확인필요(연도다름)","실물 없음")))))</f>
      </c>
      <c r="G866" t="n" s="16">
        <f aca="0">IF(B866="","",SUMPRODUCT((실물목록!$P$2:$P$1001&lt;&gt;"")*ISNUMBER(SEARCH(실물목록!$P$2:$P$1001,I866))*(실물목록!$Q$2:$Q$1001&lt;&gt;"")*ISNUMBER(SEARCH(실물목록!$Q$2:$Q$1001,I866))*(실물목록!$R$2:$R$1001="")*(실물목록!$O$2:$O$1001&lt;&gt;"")*(실물목록!$O$2:$O$1001=H866)))</f>
      </c>
      <c r="H866" t="str">
        <f>IFERROR(IF(AND(LEN(SUBSTITUTE(SUBSTITUTE(SUBSTITUTE(TRIM(A866&amp;""),CHAR(160),"")," ",""),"년",""))=4,VALUE(SUBSTITUTE(SUBSTITUTE(SUBSTITUTE(TRIM(A866&amp;""),CHAR(160),"")," ",""),"년",""))&gt;=1900,VALUE(SUBSTITUTE(SUBSTITUTE(SUBSTITUTE(TRIM(A866&amp;""),CHAR(160),"")," ",""),"년",""))&lt;=2099,TEXT(VALUE(SUBSTITUTE(SUBSTITUTE(SUBSTITUTE(TRIM(A866&amp;""),CHAR(160),"")," ",""),"년","")),"0000")=SUBSTITUTE(SUBSTITUTE(SUBSTITUTE(TRIM(A866&amp;""),CHAR(160),"")," ",""),"년","")),SUBSTITUTE(SUBSTITUTE(SUBSTITUTE(TRIM(A866&amp;""),CHAR(160),"")," ",""),"년",""),""),"")</f>
      </c>
      <c r="I866" t="str">
        <f>SUBSTITUTE(SUBSTITUTE(SUBSTITUTE(SUBSTITUTE(SUBSTITUTE(TRIM(B866&amp;""),CHAR(160),"")," ",""),"초등학교","초"),"중학교","중"),"고등학교","고")</f>
      </c>
    </row>
    <row r="867" customFormat="false" ht="15" hidden="false" customHeight="false" outlineLevel="0" collapsed="false">
      <c r="A867" s="8"/>
      <c r="B867" s="8"/>
      <c r="C867" s="8"/>
      <c r="D867" s="8"/>
      <c r="E867" s="8"/>
      <c r="F867" t="str" s="15">
        <f aca="0">IF(B867="","",IF(H867="","확인필요(입력누락)",IF(SUMPRODUCT((실물목록!$P$2:$P$1001&lt;&gt;"")*ISNUMBER(SEARCH(실물목록!$P$2:$P$1001,I867))*(실물목록!$Q$2:$Q$1001&lt;&gt;"")*ISNUMBER(SEARCH(실물목록!$Q$2:$Q$1001,I867))*(실물목록!$R$2:$R$1001="")*(실물목록!$O$2:$O$1001&lt;&gt;"")*(실물목록!$O$2:$O$1001=H867))&gt;0,"실물 있음",IF(SUMPRODUCT((실물목록!$P$2:$P$1001&lt;&gt;"")*ISNUMBER(SEARCH(실물목록!$P$2:$P$1001,I867))*(실물목록!$R$2:$R$1001&lt;&gt;""))&gt;0,"확인필요(입력누락)",IF(SUMPRODUCT((실물목록!$P$2:$P$1001&lt;&gt;"")*ISNUMBER(SEARCH(실물목록!$P$2:$P$1001,I867))*(실물목록!$Q$2:$Q$1001&lt;&gt;"")*ISNUMBER(SEARCH(실물목록!$Q$2:$Q$1001,I867))*(실물목록!$R$2:$R$1001="")*(실물목록!$O$2:$O$1001&lt;&gt;""))&gt;0,"확인필요(연도다름)","실물 없음")))))</f>
      </c>
      <c r="G867" t="n" s="16">
        <f aca="0">IF(B867="","",SUMPRODUCT((실물목록!$P$2:$P$1001&lt;&gt;"")*ISNUMBER(SEARCH(실물목록!$P$2:$P$1001,I867))*(실물목록!$Q$2:$Q$1001&lt;&gt;"")*ISNUMBER(SEARCH(실물목록!$Q$2:$Q$1001,I867))*(실물목록!$R$2:$R$1001="")*(실물목록!$O$2:$O$1001&lt;&gt;"")*(실물목록!$O$2:$O$1001=H867)))</f>
      </c>
      <c r="H867" t="str">
        <f>IFERROR(IF(AND(LEN(SUBSTITUTE(SUBSTITUTE(SUBSTITUTE(TRIM(A867&amp;""),CHAR(160),"")," ",""),"년",""))=4,VALUE(SUBSTITUTE(SUBSTITUTE(SUBSTITUTE(TRIM(A867&amp;""),CHAR(160),"")," ",""),"년",""))&gt;=1900,VALUE(SUBSTITUTE(SUBSTITUTE(SUBSTITUTE(TRIM(A867&amp;""),CHAR(160),"")," ",""),"년",""))&lt;=2099,TEXT(VALUE(SUBSTITUTE(SUBSTITUTE(SUBSTITUTE(TRIM(A867&amp;""),CHAR(160),"")," ",""),"년","")),"0000")=SUBSTITUTE(SUBSTITUTE(SUBSTITUTE(TRIM(A867&amp;""),CHAR(160),"")," ",""),"년","")),SUBSTITUTE(SUBSTITUTE(SUBSTITUTE(TRIM(A867&amp;""),CHAR(160),"")," ",""),"년",""),""),"")</f>
      </c>
      <c r="I867" t="str">
        <f>SUBSTITUTE(SUBSTITUTE(SUBSTITUTE(SUBSTITUTE(SUBSTITUTE(TRIM(B867&amp;""),CHAR(160),"")," ",""),"초등학교","초"),"중학교","중"),"고등학교","고")</f>
      </c>
    </row>
    <row r="868" customFormat="false" ht="15" hidden="false" customHeight="false" outlineLevel="0" collapsed="false">
      <c r="A868" s="8"/>
      <c r="B868" s="8"/>
      <c r="C868" s="8"/>
      <c r="D868" s="8"/>
      <c r="E868" s="8"/>
      <c r="F868" t="str" s="15">
        <f aca="0">IF(B868="","",IF(H868="","확인필요(입력누락)",IF(SUMPRODUCT((실물목록!$P$2:$P$1001&lt;&gt;"")*ISNUMBER(SEARCH(실물목록!$P$2:$P$1001,I868))*(실물목록!$Q$2:$Q$1001&lt;&gt;"")*ISNUMBER(SEARCH(실물목록!$Q$2:$Q$1001,I868))*(실물목록!$R$2:$R$1001="")*(실물목록!$O$2:$O$1001&lt;&gt;"")*(실물목록!$O$2:$O$1001=H868))&gt;0,"실물 있음",IF(SUMPRODUCT((실물목록!$P$2:$P$1001&lt;&gt;"")*ISNUMBER(SEARCH(실물목록!$P$2:$P$1001,I868))*(실물목록!$R$2:$R$1001&lt;&gt;""))&gt;0,"확인필요(입력누락)",IF(SUMPRODUCT((실물목록!$P$2:$P$1001&lt;&gt;"")*ISNUMBER(SEARCH(실물목록!$P$2:$P$1001,I868))*(실물목록!$Q$2:$Q$1001&lt;&gt;"")*ISNUMBER(SEARCH(실물목록!$Q$2:$Q$1001,I868))*(실물목록!$R$2:$R$1001="")*(실물목록!$O$2:$O$1001&lt;&gt;""))&gt;0,"확인필요(연도다름)","실물 없음")))))</f>
      </c>
      <c r="G868" t="n" s="16">
        <f aca="0">IF(B868="","",SUMPRODUCT((실물목록!$P$2:$P$1001&lt;&gt;"")*ISNUMBER(SEARCH(실물목록!$P$2:$P$1001,I868))*(실물목록!$Q$2:$Q$1001&lt;&gt;"")*ISNUMBER(SEARCH(실물목록!$Q$2:$Q$1001,I868))*(실물목록!$R$2:$R$1001="")*(실물목록!$O$2:$O$1001&lt;&gt;"")*(실물목록!$O$2:$O$1001=H868)))</f>
      </c>
      <c r="H868" t="str">
        <f>IFERROR(IF(AND(LEN(SUBSTITUTE(SUBSTITUTE(SUBSTITUTE(TRIM(A868&amp;""),CHAR(160),"")," ",""),"년",""))=4,VALUE(SUBSTITUTE(SUBSTITUTE(SUBSTITUTE(TRIM(A868&amp;""),CHAR(160),"")," ",""),"년",""))&gt;=1900,VALUE(SUBSTITUTE(SUBSTITUTE(SUBSTITUTE(TRIM(A868&amp;""),CHAR(160),"")," ",""),"년",""))&lt;=2099,TEXT(VALUE(SUBSTITUTE(SUBSTITUTE(SUBSTITUTE(TRIM(A868&amp;""),CHAR(160),"")," ",""),"년","")),"0000")=SUBSTITUTE(SUBSTITUTE(SUBSTITUTE(TRIM(A868&amp;""),CHAR(160),"")," ",""),"년","")),SUBSTITUTE(SUBSTITUTE(SUBSTITUTE(TRIM(A868&amp;""),CHAR(160),"")," ",""),"년",""),""),"")</f>
      </c>
      <c r="I868" t="str">
        <f>SUBSTITUTE(SUBSTITUTE(SUBSTITUTE(SUBSTITUTE(SUBSTITUTE(TRIM(B868&amp;""),CHAR(160),"")," ",""),"초등학교","초"),"중학교","중"),"고등학교","고")</f>
      </c>
    </row>
    <row r="869" customFormat="false" ht="15" hidden="false" customHeight="false" outlineLevel="0" collapsed="false">
      <c r="A869" s="8"/>
      <c r="B869" s="8"/>
      <c r="C869" s="8"/>
      <c r="D869" s="8"/>
      <c r="E869" s="8"/>
      <c r="F869" t="str" s="15">
        <f aca="0">IF(B869="","",IF(H869="","확인필요(입력누락)",IF(SUMPRODUCT((실물목록!$P$2:$P$1001&lt;&gt;"")*ISNUMBER(SEARCH(실물목록!$P$2:$P$1001,I869))*(실물목록!$Q$2:$Q$1001&lt;&gt;"")*ISNUMBER(SEARCH(실물목록!$Q$2:$Q$1001,I869))*(실물목록!$R$2:$R$1001="")*(실물목록!$O$2:$O$1001&lt;&gt;"")*(실물목록!$O$2:$O$1001=H869))&gt;0,"실물 있음",IF(SUMPRODUCT((실물목록!$P$2:$P$1001&lt;&gt;"")*ISNUMBER(SEARCH(실물목록!$P$2:$P$1001,I869))*(실물목록!$R$2:$R$1001&lt;&gt;""))&gt;0,"확인필요(입력누락)",IF(SUMPRODUCT((실물목록!$P$2:$P$1001&lt;&gt;"")*ISNUMBER(SEARCH(실물목록!$P$2:$P$1001,I869))*(실물목록!$Q$2:$Q$1001&lt;&gt;"")*ISNUMBER(SEARCH(실물목록!$Q$2:$Q$1001,I869))*(실물목록!$R$2:$R$1001="")*(실물목록!$O$2:$O$1001&lt;&gt;""))&gt;0,"확인필요(연도다름)","실물 없음")))))</f>
      </c>
      <c r="G869" t="n" s="16">
        <f aca="0">IF(B869="","",SUMPRODUCT((실물목록!$P$2:$P$1001&lt;&gt;"")*ISNUMBER(SEARCH(실물목록!$P$2:$P$1001,I869))*(실물목록!$Q$2:$Q$1001&lt;&gt;"")*ISNUMBER(SEARCH(실물목록!$Q$2:$Q$1001,I869))*(실물목록!$R$2:$R$1001="")*(실물목록!$O$2:$O$1001&lt;&gt;"")*(실물목록!$O$2:$O$1001=H869)))</f>
      </c>
      <c r="H869" t="str">
        <f>IFERROR(IF(AND(LEN(SUBSTITUTE(SUBSTITUTE(SUBSTITUTE(TRIM(A869&amp;""),CHAR(160),"")," ",""),"년",""))=4,VALUE(SUBSTITUTE(SUBSTITUTE(SUBSTITUTE(TRIM(A869&amp;""),CHAR(160),"")," ",""),"년",""))&gt;=1900,VALUE(SUBSTITUTE(SUBSTITUTE(SUBSTITUTE(TRIM(A869&amp;""),CHAR(160),"")," ",""),"년",""))&lt;=2099,TEXT(VALUE(SUBSTITUTE(SUBSTITUTE(SUBSTITUTE(TRIM(A869&amp;""),CHAR(160),"")," ",""),"년","")),"0000")=SUBSTITUTE(SUBSTITUTE(SUBSTITUTE(TRIM(A869&amp;""),CHAR(160),"")," ",""),"년","")),SUBSTITUTE(SUBSTITUTE(SUBSTITUTE(TRIM(A869&amp;""),CHAR(160),"")," ",""),"년",""),""),"")</f>
      </c>
      <c r="I869" t="str">
        <f>SUBSTITUTE(SUBSTITUTE(SUBSTITUTE(SUBSTITUTE(SUBSTITUTE(TRIM(B869&amp;""),CHAR(160),"")," ",""),"초등학교","초"),"중학교","중"),"고등학교","고")</f>
      </c>
    </row>
    <row r="870" customFormat="false" ht="15" hidden="false" customHeight="false" outlineLevel="0" collapsed="false">
      <c r="A870" s="8"/>
      <c r="B870" s="8"/>
      <c r="C870" s="8"/>
      <c r="D870" s="8"/>
      <c r="E870" s="8"/>
      <c r="F870" t="str" s="15">
        <f aca="0">IF(B870="","",IF(H870="","확인필요(입력누락)",IF(SUMPRODUCT((실물목록!$P$2:$P$1001&lt;&gt;"")*ISNUMBER(SEARCH(실물목록!$P$2:$P$1001,I870))*(실물목록!$Q$2:$Q$1001&lt;&gt;"")*ISNUMBER(SEARCH(실물목록!$Q$2:$Q$1001,I870))*(실물목록!$R$2:$R$1001="")*(실물목록!$O$2:$O$1001&lt;&gt;"")*(실물목록!$O$2:$O$1001=H870))&gt;0,"실물 있음",IF(SUMPRODUCT((실물목록!$P$2:$P$1001&lt;&gt;"")*ISNUMBER(SEARCH(실물목록!$P$2:$P$1001,I870))*(실물목록!$R$2:$R$1001&lt;&gt;""))&gt;0,"확인필요(입력누락)",IF(SUMPRODUCT((실물목록!$P$2:$P$1001&lt;&gt;"")*ISNUMBER(SEARCH(실물목록!$P$2:$P$1001,I870))*(실물목록!$Q$2:$Q$1001&lt;&gt;"")*ISNUMBER(SEARCH(실물목록!$Q$2:$Q$1001,I870))*(실물목록!$R$2:$R$1001="")*(실물목록!$O$2:$O$1001&lt;&gt;""))&gt;0,"확인필요(연도다름)","실물 없음")))))</f>
      </c>
      <c r="G870" t="n" s="16">
        <f aca="0">IF(B870="","",SUMPRODUCT((실물목록!$P$2:$P$1001&lt;&gt;"")*ISNUMBER(SEARCH(실물목록!$P$2:$P$1001,I870))*(실물목록!$Q$2:$Q$1001&lt;&gt;"")*ISNUMBER(SEARCH(실물목록!$Q$2:$Q$1001,I870))*(실물목록!$R$2:$R$1001="")*(실물목록!$O$2:$O$1001&lt;&gt;"")*(실물목록!$O$2:$O$1001=H870)))</f>
      </c>
      <c r="H870" t="str">
        <f>IFERROR(IF(AND(LEN(SUBSTITUTE(SUBSTITUTE(SUBSTITUTE(TRIM(A870&amp;""),CHAR(160),"")," ",""),"년",""))=4,VALUE(SUBSTITUTE(SUBSTITUTE(SUBSTITUTE(TRIM(A870&amp;""),CHAR(160),"")," ",""),"년",""))&gt;=1900,VALUE(SUBSTITUTE(SUBSTITUTE(SUBSTITUTE(TRIM(A870&amp;""),CHAR(160),"")," ",""),"년",""))&lt;=2099,TEXT(VALUE(SUBSTITUTE(SUBSTITUTE(SUBSTITUTE(TRIM(A870&amp;""),CHAR(160),"")," ",""),"년","")),"0000")=SUBSTITUTE(SUBSTITUTE(SUBSTITUTE(TRIM(A870&amp;""),CHAR(160),"")," ",""),"년","")),SUBSTITUTE(SUBSTITUTE(SUBSTITUTE(TRIM(A870&amp;""),CHAR(160),"")," ",""),"년",""),""),"")</f>
      </c>
      <c r="I870" t="str">
        <f>SUBSTITUTE(SUBSTITUTE(SUBSTITUTE(SUBSTITUTE(SUBSTITUTE(TRIM(B870&amp;""),CHAR(160),"")," ",""),"초등학교","초"),"중학교","중"),"고등학교","고")</f>
      </c>
    </row>
    <row r="871" customFormat="false" ht="15" hidden="false" customHeight="false" outlineLevel="0" collapsed="false">
      <c r="A871" s="8"/>
      <c r="B871" s="8"/>
      <c r="C871" s="8"/>
      <c r="D871" s="8"/>
      <c r="E871" s="8"/>
      <c r="F871" t="str" s="15">
        <f aca="0">IF(B871="","",IF(H871="","확인필요(입력누락)",IF(SUMPRODUCT((실물목록!$P$2:$P$1001&lt;&gt;"")*ISNUMBER(SEARCH(실물목록!$P$2:$P$1001,I871))*(실물목록!$Q$2:$Q$1001&lt;&gt;"")*ISNUMBER(SEARCH(실물목록!$Q$2:$Q$1001,I871))*(실물목록!$R$2:$R$1001="")*(실물목록!$O$2:$O$1001&lt;&gt;"")*(실물목록!$O$2:$O$1001=H871))&gt;0,"실물 있음",IF(SUMPRODUCT((실물목록!$P$2:$P$1001&lt;&gt;"")*ISNUMBER(SEARCH(실물목록!$P$2:$P$1001,I871))*(실물목록!$R$2:$R$1001&lt;&gt;""))&gt;0,"확인필요(입력누락)",IF(SUMPRODUCT((실물목록!$P$2:$P$1001&lt;&gt;"")*ISNUMBER(SEARCH(실물목록!$P$2:$P$1001,I871))*(실물목록!$Q$2:$Q$1001&lt;&gt;"")*ISNUMBER(SEARCH(실물목록!$Q$2:$Q$1001,I871))*(실물목록!$R$2:$R$1001="")*(실물목록!$O$2:$O$1001&lt;&gt;""))&gt;0,"확인필요(연도다름)","실물 없음")))))</f>
      </c>
      <c r="G871" t="n" s="16">
        <f aca="0">IF(B871="","",SUMPRODUCT((실물목록!$P$2:$P$1001&lt;&gt;"")*ISNUMBER(SEARCH(실물목록!$P$2:$P$1001,I871))*(실물목록!$Q$2:$Q$1001&lt;&gt;"")*ISNUMBER(SEARCH(실물목록!$Q$2:$Q$1001,I871))*(실물목록!$R$2:$R$1001="")*(실물목록!$O$2:$O$1001&lt;&gt;"")*(실물목록!$O$2:$O$1001=H871)))</f>
      </c>
      <c r="H871" t="str">
        <f>IFERROR(IF(AND(LEN(SUBSTITUTE(SUBSTITUTE(SUBSTITUTE(TRIM(A871&amp;""),CHAR(160),"")," ",""),"년",""))=4,VALUE(SUBSTITUTE(SUBSTITUTE(SUBSTITUTE(TRIM(A871&amp;""),CHAR(160),"")," ",""),"년",""))&gt;=1900,VALUE(SUBSTITUTE(SUBSTITUTE(SUBSTITUTE(TRIM(A871&amp;""),CHAR(160),"")," ",""),"년",""))&lt;=2099,TEXT(VALUE(SUBSTITUTE(SUBSTITUTE(SUBSTITUTE(TRIM(A871&amp;""),CHAR(160),"")," ",""),"년","")),"0000")=SUBSTITUTE(SUBSTITUTE(SUBSTITUTE(TRIM(A871&amp;""),CHAR(160),"")," ",""),"년","")),SUBSTITUTE(SUBSTITUTE(SUBSTITUTE(TRIM(A871&amp;""),CHAR(160),"")," ",""),"년",""),""),"")</f>
      </c>
      <c r="I871" t="str">
        <f>SUBSTITUTE(SUBSTITUTE(SUBSTITUTE(SUBSTITUTE(SUBSTITUTE(TRIM(B871&amp;""),CHAR(160),"")," ",""),"초등학교","초"),"중학교","중"),"고등학교","고")</f>
      </c>
    </row>
    <row r="872" customFormat="false" ht="15" hidden="false" customHeight="false" outlineLevel="0" collapsed="false">
      <c r="A872" s="8"/>
      <c r="B872" s="8"/>
      <c r="C872" s="8"/>
      <c r="D872" s="8"/>
      <c r="E872" s="8"/>
      <c r="F872" t="str" s="15">
        <f aca="0">IF(B872="","",IF(H872="","확인필요(입력누락)",IF(SUMPRODUCT((실물목록!$P$2:$P$1001&lt;&gt;"")*ISNUMBER(SEARCH(실물목록!$P$2:$P$1001,I872))*(실물목록!$Q$2:$Q$1001&lt;&gt;"")*ISNUMBER(SEARCH(실물목록!$Q$2:$Q$1001,I872))*(실물목록!$R$2:$R$1001="")*(실물목록!$O$2:$O$1001&lt;&gt;"")*(실물목록!$O$2:$O$1001=H872))&gt;0,"실물 있음",IF(SUMPRODUCT((실물목록!$P$2:$P$1001&lt;&gt;"")*ISNUMBER(SEARCH(실물목록!$P$2:$P$1001,I872))*(실물목록!$R$2:$R$1001&lt;&gt;""))&gt;0,"확인필요(입력누락)",IF(SUMPRODUCT((실물목록!$P$2:$P$1001&lt;&gt;"")*ISNUMBER(SEARCH(실물목록!$P$2:$P$1001,I872))*(실물목록!$Q$2:$Q$1001&lt;&gt;"")*ISNUMBER(SEARCH(실물목록!$Q$2:$Q$1001,I872))*(실물목록!$R$2:$R$1001="")*(실물목록!$O$2:$O$1001&lt;&gt;""))&gt;0,"확인필요(연도다름)","실물 없음")))))</f>
      </c>
      <c r="G872" t="n" s="16">
        <f aca="0">IF(B872="","",SUMPRODUCT((실물목록!$P$2:$P$1001&lt;&gt;"")*ISNUMBER(SEARCH(실물목록!$P$2:$P$1001,I872))*(실물목록!$Q$2:$Q$1001&lt;&gt;"")*ISNUMBER(SEARCH(실물목록!$Q$2:$Q$1001,I872))*(실물목록!$R$2:$R$1001="")*(실물목록!$O$2:$O$1001&lt;&gt;"")*(실물목록!$O$2:$O$1001=H872)))</f>
      </c>
      <c r="H872" t="str">
        <f>IFERROR(IF(AND(LEN(SUBSTITUTE(SUBSTITUTE(SUBSTITUTE(TRIM(A872&amp;""),CHAR(160),"")," ",""),"년",""))=4,VALUE(SUBSTITUTE(SUBSTITUTE(SUBSTITUTE(TRIM(A872&amp;""),CHAR(160),"")," ",""),"년",""))&gt;=1900,VALUE(SUBSTITUTE(SUBSTITUTE(SUBSTITUTE(TRIM(A872&amp;""),CHAR(160),"")," ",""),"년",""))&lt;=2099,TEXT(VALUE(SUBSTITUTE(SUBSTITUTE(SUBSTITUTE(TRIM(A872&amp;""),CHAR(160),"")," ",""),"년","")),"0000")=SUBSTITUTE(SUBSTITUTE(SUBSTITUTE(TRIM(A872&amp;""),CHAR(160),"")," ",""),"년","")),SUBSTITUTE(SUBSTITUTE(SUBSTITUTE(TRIM(A872&amp;""),CHAR(160),"")," ",""),"년",""),""),"")</f>
      </c>
      <c r="I872" t="str">
        <f>SUBSTITUTE(SUBSTITUTE(SUBSTITUTE(SUBSTITUTE(SUBSTITUTE(TRIM(B872&amp;""),CHAR(160),"")," ",""),"초등학교","초"),"중학교","중"),"고등학교","고")</f>
      </c>
    </row>
    <row r="873" customFormat="false" ht="15" hidden="false" customHeight="false" outlineLevel="0" collapsed="false">
      <c r="A873" s="8"/>
      <c r="B873" s="8"/>
      <c r="C873" s="8"/>
      <c r="D873" s="8"/>
      <c r="E873" s="8"/>
      <c r="F873" t="str" s="15">
        <f aca="0">IF(B873="","",IF(H873="","확인필요(입력누락)",IF(SUMPRODUCT((실물목록!$P$2:$P$1001&lt;&gt;"")*ISNUMBER(SEARCH(실물목록!$P$2:$P$1001,I873))*(실물목록!$Q$2:$Q$1001&lt;&gt;"")*ISNUMBER(SEARCH(실물목록!$Q$2:$Q$1001,I873))*(실물목록!$R$2:$R$1001="")*(실물목록!$O$2:$O$1001&lt;&gt;"")*(실물목록!$O$2:$O$1001=H873))&gt;0,"실물 있음",IF(SUMPRODUCT((실물목록!$P$2:$P$1001&lt;&gt;"")*ISNUMBER(SEARCH(실물목록!$P$2:$P$1001,I873))*(실물목록!$R$2:$R$1001&lt;&gt;""))&gt;0,"확인필요(입력누락)",IF(SUMPRODUCT((실물목록!$P$2:$P$1001&lt;&gt;"")*ISNUMBER(SEARCH(실물목록!$P$2:$P$1001,I873))*(실물목록!$Q$2:$Q$1001&lt;&gt;"")*ISNUMBER(SEARCH(실물목록!$Q$2:$Q$1001,I873))*(실물목록!$R$2:$R$1001="")*(실물목록!$O$2:$O$1001&lt;&gt;""))&gt;0,"확인필요(연도다름)","실물 없음")))))</f>
      </c>
      <c r="G873" t="n" s="16">
        <f aca="0">IF(B873="","",SUMPRODUCT((실물목록!$P$2:$P$1001&lt;&gt;"")*ISNUMBER(SEARCH(실물목록!$P$2:$P$1001,I873))*(실물목록!$Q$2:$Q$1001&lt;&gt;"")*ISNUMBER(SEARCH(실물목록!$Q$2:$Q$1001,I873))*(실물목록!$R$2:$R$1001="")*(실물목록!$O$2:$O$1001&lt;&gt;"")*(실물목록!$O$2:$O$1001=H873)))</f>
      </c>
      <c r="H873" t="str">
        <f>IFERROR(IF(AND(LEN(SUBSTITUTE(SUBSTITUTE(SUBSTITUTE(TRIM(A873&amp;""),CHAR(160),"")," ",""),"년",""))=4,VALUE(SUBSTITUTE(SUBSTITUTE(SUBSTITUTE(TRIM(A873&amp;""),CHAR(160),"")," ",""),"년",""))&gt;=1900,VALUE(SUBSTITUTE(SUBSTITUTE(SUBSTITUTE(TRIM(A873&amp;""),CHAR(160),"")," ",""),"년",""))&lt;=2099,TEXT(VALUE(SUBSTITUTE(SUBSTITUTE(SUBSTITUTE(TRIM(A873&amp;""),CHAR(160),"")," ",""),"년","")),"0000")=SUBSTITUTE(SUBSTITUTE(SUBSTITUTE(TRIM(A873&amp;""),CHAR(160),"")," ",""),"년","")),SUBSTITUTE(SUBSTITUTE(SUBSTITUTE(TRIM(A873&amp;""),CHAR(160),"")," ",""),"년",""),""),"")</f>
      </c>
      <c r="I873" t="str">
        <f>SUBSTITUTE(SUBSTITUTE(SUBSTITUTE(SUBSTITUTE(SUBSTITUTE(TRIM(B873&amp;""),CHAR(160),"")," ",""),"초등학교","초"),"중학교","중"),"고등학교","고")</f>
      </c>
    </row>
    <row r="874" customFormat="false" ht="15" hidden="false" customHeight="false" outlineLevel="0" collapsed="false">
      <c r="A874" s="8"/>
      <c r="B874" s="8"/>
      <c r="C874" s="8"/>
      <c r="D874" s="8"/>
      <c r="E874" s="8"/>
      <c r="F874" t="str" s="15">
        <f aca="0">IF(B874="","",IF(H874="","확인필요(입력누락)",IF(SUMPRODUCT((실물목록!$P$2:$P$1001&lt;&gt;"")*ISNUMBER(SEARCH(실물목록!$P$2:$P$1001,I874))*(실물목록!$Q$2:$Q$1001&lt;&gt;"")*ISNUMBER(SEARCH(실물목록!$Q$2:$Q$1001,I874))*(실물목록!$R$2:$R$1001="")*(실물목록!$O$2:$O$1001&lt;&gt;"")*(실물목록!$O$2:$O$1001=H874))&gt;0,"실물 있음",IF(SUMPRODUCT((실물목록!$P$2:$P$1001&lt;&gt;"")*ISNUMBER(SEARCH(실물목록!$P$2:$P$1001,I874))*(실물목록!$R$2:$R$1001&lt;&gt;""))&gt;0,"확인필요(입력누락)",IF(SUMPRODUCT((실물목록!$P$2:$P$1001&lt;&gt;"")*ISNUMBER(SEARCH(실물목록!$P$2:$P$1001,I874))*(실물목록!$Q$2:$Q$1001&lt;&gt;"")*ISNUMBER(SEARCH(실물목록!$Q$2:$Q$1001,I874))*(실물목록!$R$2:$R$1001="")*(실물목록!$O$2:$O$1001&lt;&gt;""))&gt;0,"확인필요(연도다름)","실물 없음")))))</f>
      </c>
      <c r="G874" t="n" s="16">
        <f aca="0">IF(B874="","",SUMPRODUCT((실물목록!$P$2:$P$1001&lt;&gt;"")*ISNUMBER(SEARCH(실물목록!$P$2:$P$1001,I874))*(실물목록!$Q$2:$Q$1001&lt;&gt;"")*ISNUMBER(SEARCH(실물목록!$Q$2:$Q$1001,I874))*(실물목록!$R$2:$R$1001="")*(실물목록!$O$2:$O$1001&lt;&gt;"")*(실물목록!$O$2:$O$1001=H874)))</f>
      </c>
      <c r="H874" t="str">
        <f>IFERROR(IF(AND(LEN(SUBSTITUTE(SUBSTITUTE(SUBSTITUTE(TRIM(A874&amp;""),CHAR(160),"")," ",""),"년",""))=4,VALUE(SUBSTITUTE(SUBSTITUTE(SUBSTITUTE(TRIM(A874&amp;""),CHAR(160),"")," ",""),"년",""))&gt;=1900,VALUE(SUBSTITUTE(SUBSTITUTE(SUBSTITUTE(TRIM(A874&amp;""),CHAR(160),"")," ",""),"년",""))&lt;=2099,TEXT(VALUE(SUBSTITUTE(SUBSTITUTE(SUBSTITUTE(TRIM(A874&amp;""),CHAR(160),"")," ",""),"년","")),"0000")=SUBSTITUTE(SUBSTITUTE(SUBSTITUTE(TRIM(A874&amp;""),CHAR(160),"")," ",""),"년","")),SUBSTITUTE(SUBSTITUTE(SUBSTITUTE(TRIM(A874&amp;""),CHAR(160),"")," ",""),"년",""),""),"")</f>
      </c>
      <c r="I874" t="str">
        <f>SUBSTITUTE(SUBSTITUTE(SUBSTITUTE(SUBSTITUTE(SUBSTITUTE(TRIM(B874&amp;""),CHAR(160),"")," ",""),"초등학교","초"),"중학교","중"),"고등학교","고")</f>
      </c>
    </row>
    <row r="875" customFormat="false" ht="15" hidden="false" customHeight="false" outlineLevel="0" collapsed="false">
      <c r="A875" s="8"/>
      <c r="B875" s="8"/>
      <c r="C875" s="8"/>
      <c r="D875" s="8"/>
      <c r="E875" s="8"/>
      <c r="F875" t="str" s="15">
        <f aca="0">IF(B875="","",IF(H875="","확인필요(입력누락)",IF(SUMPRODUCT((실물목록!$P$2:$P$1001&lt;&gt;"")*ISNUMBER(SEARCH(실물목록!$P$2:$P$1001,I875))*(실물목록!$Q$2:$Q$1001&lt;&gt;"")*ISNUMBER(SEARCH(실물목록!$Q$2:$Q$1001,I875))*(실물목록!$R$2:$R$1001="")*(실물목록!$O$2:$O$1001&lt;&gt;"")*(실물목록!$O$2:$O$1001=H875))&gt;0,"실물 있음",IF(SUMPRODUCT((실물목록!$P$2:$P$1001&lt;&gt;"")*ISNUMBER(SEARCH(실물목록!$P$2:$P$1001,I875))*(실물목록!$R$2:$R$1001&lt;&gt;""))&gt;0,"확인필요(입력누락)",IF(SUMPRODUCT((실물목록!$P$2:$P$1001&lt;&gt;"")*ISNUMBER(SEARCH(실물목록!$P$2:$P$1001,I875))*(실물목록!$Q$2:$Q$1001&lt;&gt;"")*ISNUMBER(SEARCH(실물목록!$Q$2:$Q$1001,I875))*(실물목록!$R$2:$R$1001="")*(실물목록!$O$2:$O$1001&lt;&gt;""))&gt;0,"확인필요(연도다름)","실물 없음")))))</f>
      </c>
      <c r="G875" t="n" s="16">
        <f aca="0">IF(B875="","",SUMPRODUCT((실물목록!$P$2:$P$1001&lt;&gt;"")*ISNUMBER(SEARCH(실물목록!$P$2:$P$1001,I875))*(실물목록!$Q$2:$Q$1001&lt;&gt;"")*ISNUMBER(SEARCH(실물목록!$Q$2:$Q$1001,I875))*(실물목록!$R$2:$R$1001="")*(실물목록!$O$2:$O$1001&lt;&gt;"")*(실물목록!$O$2:$O$1001=H875)))</f>
      </c>
      <c r="H875" t="str">
        <f>IFERROR(IF(AND(LEN(SUBSTITUTE(SUBSTITUTE(SUBSTITUTE(TRIM(A875&amp;""),CHAR(160),"")," ",""),"년",""))=4,VALUE(SUBSTITUTE(SUBSTITUTE(SUBSTITUTE(TRIM(A875&amp;""),CHAR(160),"")," ",""),"년",""))&gt;=1900,VALUE(SUBSTITUTE(SUBSTITUTE(SUBSTITUTE(TRIM(A875&amp;""),CHAR(160),"")," ",""),"년",""))&lt;=2099,TEXT(VALUE(SUBSTITUTE(SUBSTITUTE(SUBSTITUTE(TRIM(A875&amp;""),CHAR(160),"")," ",""),"년","")),"0000")=SUBSTITUTE(SUBSTITUTE(SUBSTITUTE(TRIM(A875&amp;""),CHAR(160),"")," ",""),"년","")),SUBSTITUTE(SUBSTITUTE(SUBSTITUTE(TRIM(A875&amp;""),CHAR(160),"")," ",""),"년",""),""),"")</f>
      </c>
      <c r="I875" t="str">
        <f>SUBSTITUTE(SUBSTITUTE(SUBSTITUTE(SUBSTITUTE(SUBSTITUTE(TRIM(B875&amp;""),CHAR(160),"")," ",""),"초등학교","초"),"중학교","중"),"고등학교","고")</f>
      </c>
    </row>
    <row r="876" customFormat="false" ht="15" hidden="false" customHeight="false" outlineLevel="0" collapsed="false">
      <c r="A876" s="8"/>
      <c r="B876" s="8"/>
      <c r="C876" s="8"/>
      <c r="D876" s="8"/>
      <c r="E876" s="8"/>
      <c r="F876" t="str" s="15">
        <f aca="0">IF(B876="","",IF(H876="","확인필요(입력누락)",IF(SUMPRODUCT((실물목록!$P$2:$P$1001&lt;&gt;"")*ISNUMBER(SEARCH(실물목록!$P$2:$P$1001,I876))*(실물목록!$Q$2:$Q$1001&lt;&gt;"")*ISNUMBER(SEARCH(실물목록!$Q$2:$Q$1001,I876))*(실물목록!$R$2:$R$1001="")*(실물목록!$O$2:$O$1001&lt;&gt;"")*(실물목록!$O$2:$O$1001=H876))&gt;0,"실물 있음",IF(SUMPRODUCT((실물목록!$P$2:$P$1001&lt;&gt;"")*ISNUMBER(SEARCH(실물목록!$P$2:$P$1001,I876))*(실물목록!$R$2:$R$1001&lt;&gt;""))&gt;0,"확인필요(입력누락)",IF(SUMPRODUCT((실물목록!$P$2:$P$1001&lt;&gt;"")*ISNUMBER(SEARCH(실물목록!$P$2:$P$1001,I876))*(실물목록!$Q$2:$Q$1001&lt;&gt;"")*ISNUMBER(SEARCH(실물목록!$Q$2:$Q$1001,I876))*(실물목록!$R$2:$R$1001="")*(실물목록!$O$2:$O$1001&lt;&gt;""))&gt;0,"확인필요(연도다름)","실물 없음")))))</f>
      </c>
      <c r="G876" t="n" s="16">
        <f aca="0">IF(B876="","",SUMPRODUCT((실물목록!$P$2:$P$1001&lt;&gt;"")*ISNUMBER(SEARCH(실물목록!$P$2:$P$1001,I876))*(실물목록!$Q$2:$Q$1001&lt;&gt;"")*ISNUMBER(SEARCH(실물목록!$Q$2:$Q$1001,I876))*(실물목록!$R$2:$R$1001="")*(실물목록!$O$2:$O$1001&lt;&gt;"")*(실물목록!$O$2:$O$1001=H876)))</f>
      </c>
      <c r="H876" t="str">
        <f>IFERROR(IF(AND(LEN(SUBSTITUTE(SUBSTITUTE(SUBSTITUTE(TRIM(A876&amp;""),CHAR(160),"")," ",""),"년",""))=4,VALUE(SUBSTITUTE(SUBSTITUTE(SUBSTITUTE(TRIM(A876&amp;""),CHAR(160),"")," ",""),"년",""))&gt;=1900,VALUE(SUBSTITUTE(SUBSTITUTE(SUBSTITUTE(TRIM(A876&amp;""),CHAR(160),"")," ",""),"년",""))&lt;=2099,TEXT(VALUE(SUBSTITUTE(SUBSTITUTE(SUBSTITUTE(TRIM(A876&amp;""),CHAR(160),"")," ",""),"년","")),"0000")=SUBSTITUTE(SUBSTITUTE(SUBSTITUTE(TRIM(A876&amp;""),CHAR(160),"")," ",""),"년","")),SUBSTITUTE(SUBSTITUTE(SUBSTITUTE(TRIM(A876&amp;""),CHAR(160),"")," ",""),"년",""),""),"")</f>
      </c>
      <c r="I876" t="str">
        <f>SUBSTITUTE(SUBSTITUTE(SUBSTITUTE(SUBSTITUTE(SUBSTITUTE(TRIM(B876&amp;""),CHAR(160),"")," ",""),"초등학교","초"),"중학교","중"),"고등학교","고")</f>
      </c>
    </row>
    <row r="877" customFormat="false" ht="15" hidden="false" customHeight="false" outlineLevel="0" collapsed="false">
      <c r="A877" s="8"/>
      <c r="B877" s="8"/>
      <c r="C877" s="8"/>
      <c r="D877" s="8"/>
      <c r="E877" s="8"/>
      <c r="F877" t="str" s="15">
        <f aca="0">IF(B877="","",IF(H877="","확인필요(입력누락)",IF(SUMPRODUCT((실물목록!$P$2:$P$1001&lt;&gt;"")*ISNUMBER(SEARCH(실물목록!$P$2:$P$1001,I877))*(실물목록!$Q$2:$Q$1001&lt;&gt;"")*ISNUMBER(SEARCH(실물목록!$Q$2:$Q$1001,I877))*(실물목록!$R$2:$R$1001="")*(실물목록!$O$2:$O$1001&lt;&gt;"")*(실물목록!$O$2:$O$1001=H877))&gt;0,"실물 있음",IF(SUMPRODUCT((실물목록!$P$2:$P$1001&lt;&gt;"")*ISNUMBER(SEARCH(실물목록!$P$2:$P$1001,I877))*(실물목록!$R$2:$R$1001&lt;&gt;""))&gt;0,"확인필요(입력누락)",IF(SUMPRODUCT((실물목록!$P$2:$P$1001&lt;&gt;"")*ISNUMBER(SEARCH(실물목록!$P$2:$P$1001,I877))*(실물목록!$Q$2:$Q$1001&lt;&gt;"")*ISNUMBER(SEARCH(실물목록!$Q$2:$Q$1001,I877))*(실물목록!$R$2:$R$1001="")*(실물목록!$O$2:$O$1001&lt;&gt;""))&gt;0,"확인필요(연도다름)","실물 없음")))))</f>
      </c>
      <c r="G877" t="n" s="16">
        <f aca="0">IF(B877="","",SUMPRODUCT((실물목록!$P$2:$P$1001&lt;&gt;"")*ISNUMBER(SEARCH(실물목록!$P$2:$P$1001,I877))*(실물목록!$Q$2:$Q$1001&lt;&gt;"")*ISNUMBER(SEARCH(실물목록!$Q$2:$Q$1001,I877))*(실물목록!$R$2:$R$1001="")*(실물목록!$O$2:$O$1001&lt;&gt;"")*(실물목록!$O$2:$O$1001=H877)))</f>
      </c>
      <c r="H877" t="str">
        <f>IFERROR(IF(AND(LEN(SUBSTITUTE(SUBSTITUTE(SUBSTITUTE(TRIM(A877&amp;""),CHAR(160),"")," ",""),"년",""))=4,VALUE(SUBSTITUTE(SUBSTITUTE(SUBSTITUTE(TRIM(A877&amp;""),CHAR(160),"")," ",""),"년",""))&gt;=1900,VALUE(SUBSTITUTE(SUBSTITUTE(SUBSTITUTE(TRIM(A877&amp;""),CHAR(160),"")," ",""),"년",""))&lt;=2099,TEXT(VALUE(SUBSTITUTE(SUBSTITUTE(SUBSTITUTE(TRIM(A877&amp;""),CHAR(160),"")," ",""),"년","")),"0000")=SUBSTITUTE(SUBSTITUTE(SUBSTITUTE(TRIM(A877&amp;""),CHAR(160),"")," ",""),"년","")),SUBSTITUTE(SUBSTITUTE(SUBSTITUTE(TRIM(A877&amp;""),CHAR(160),"")," ",""),"년",""),""),"")</f>
      </c>
      <c r="I877" t="str">
        <f>SUBSTITUTE(SUBSTITUTE(SUBSTITUTE(SUBSTITUTE(SUBSTITUTE(TRIM(B877&amp;""),CHAR(160),"")," ",""),"초등학교","초"),"중학교","중"),"고등학교","고")</f>
      </c>
    </row>
    <row r="878" customFormat="false" ht="15" hidden="false" customHeight="false" outlineLevel="0" collapsed="false">
      <c r="A878" s="8"/>
      <c r="B878" s="8"/>
      <c r="C878" s="8"/>
      <c r="D878" s="8"/>
      <c r="E878" s="8"/>
      <c r="F878" t="str" s="15">
        <f aca="0">IF(B878="","",IF(H878="","확인필요(입력누락)",IF(SUMPRODUCT((실물목록!$P$2:$P$1001&lt;&gt;"")*ISNUMBER(SEARCH(실물목록!$P$2:$P$1001,I878))*(실물목록!$Q$2:$Q$1001&lt;&gt;"")*ISNUMBER(SEARCH(실물목록!$Q$2:$Q$1001,I878))*(실물목록!$R$2:$R$1001="")*(실물목록!$O$2:$O$1001&lt;&gt;"")*(실물목록!$O$2:$O$1001=H878))&gt;0,"실물 있음",IF(SUMPRODUCT((실물목록!$P$2:$P$1001&lt;&gt;"")*ISNUMBER(SEARCH(실물목록!$P$2:$P$1001,I878))*(실물목록!$R$2:$R$1001&lt;&gt;""))&gt;0,"확인필요(입력누락)",IF(SUMPRODUCT((실물목록!$P$2:$P$1001&lt;&gt;"")*ISNUMBER(SEARCH(실물목록!$P$2:$P$1001,I878))*(실물목록!$Q$2:$Q$1001&lt;&gt;"")*ISNUMBER(SEARCH(실물목록!$Q$2:$Q$1001,I878))*(실물목록!$R$2:$R$1001="")*(실물목록!$O$2:$O$1001&lt;&gt;""))&gt;0,"확인필요(연도다름)","실물 없음")))))</f>
      </c>
      <c r="G878" t="n" s="16">
        <f aca="0">IF(B878="","",SUMPRODUCT((실물목록!$P$2:$P$1001&lt;&gt;"")*ISNUMBER(SEARCH(실물목록!$P$2:$P$1001,I878))*(실물목록!$Q$2:$Q$1001&lt;&gt;"")*ISNUMBER(SEARCH(실물목록!$Q$2:$Q$1001,I878))*(실물목록!$R$2:$R$1001="")*(실물목록!$O$2:$O$1001&lt;&gt;"")*(실물목록!$O$2:$O$1001=H878)))</f>
      </c>
      <c r="H878" t="str">
        <f>IFERROR(IF(AND(LEN(SUBSTITUTE(SUBSTITUTE(SUBSTITUTE(TRIM(A878&amp;""),CHAR(160),"")," ",""),"년",""))=4,VALUE(SUBSTITUTE(SUBSTITUTE(SUBSTITUTE(TRIM(A878&amp;""),CHAR(160),"")," ",""),"년",""))&gt;=1900,VALUE(SUBSTITUTE(SUBSTITUTE(SUBSTITUTE(TRIM(A878&amp;""),CHAR(160),"")," ",""),"년",""))&lt;=2099,TEXT(VALUE(SUBSTITUTE(SUBSTITUTE(SUBSTITUTE(TRIM(A878&amp;""),CHAR(160),"")," ",""),"년","")),"0000")=SUBSTITUTE(SUBSTITUTE(SUBSTITUTE(TRIM(A878&amp;""),CHAR(160),"")," ",""),"년","")),SUBSTITUTE(SUBSTITUTE(SUBSTITUTE(TRIM(A878&amp;""),CHAR(160),"")," ",""),"년",""),""),"")</f>
      </c>
      <c r="I878" t="str">
        <f>SUBSTITUTE(SUBSTITUTE(SUBSTITUTE(SUBSTITUTE(SUBSTITUTE(TRIM(B878&amp;""),CHAR(160),"")," ",""),"초등학교","초"),"중학교","중"),"고등학교","고")</f>
      </c>
    </row>
    <row r="879" customFormat="false" ht="15" hidden="false" customHeight="false" outlineLevel="0" collapsed="false">
      <c r="A879" s="8"/>
      <c r="B879" s="8"/>
      <c r="C879" s="8"/>
      <c r="D879" s="8"/>
      <c r="E879" s="8"/>
      <c r="F879" t="str" s="15">
        <f aca="0">IF(B879="","",IF(H879="","확인필요(입력누락)",IF(SUMPRODUCT((실물목록!$P$2:$P$1001&lt;&gt;"")*ISNUMBER(SEARCH(실물목록!$P$2:$P$1001,I879))*(실물목록!$Q$2:$Q$1001&lt;&gt;"")*ISNUMBER(SEARCH(실물목록!$Q$2:$Q$1001,I879))*(실물목록!$R$2:$R$1001="")*(실물목록!$O$2:$O$1001&lt;&gt;"")*(실물목록!$O$2:$O$1001=H879))&gt;0,"실물 있음",IF(SUMPRODUCT((실물목록!$P$2:$P$1001&lt;&gt;"")*ISNUMBER(SEARCH(실물목록!$P$2:$P$1001,I879))*(실물목록!$R$2:$R$1001&lt;&gt;""))&gt;0,"확인필요(입력누락)",IF(SUMPRODUCT((실물목록!$P$2:$P$1001&lt;&gt;"")*ISNUMBER(SEARCH(실물목록!$P$2:$P$1001,I879))*(실물목록!$Q$2:$Q$1001&lt;&gt;"")*ISNUMBER(SEARCH(실물목록!$Q$2:$Q$1001,I879))*(실물목록!$R$2:$R$1001="")*(실물목록!$O$2:$O$1001&lt;&gt;""))&gt;0,"확인필요(연도다름)","실물 없음")))))</f>
      </c>
      <c r="G879" t="n" s="16">
        <f aca="0">IF(B879="","",SUMPRODUCT((실물목록!$P$2:$P$1001&lt;&gt;"")*ISNUMBER(SEARCH(실물목록!$P$2:$P$1001,I879))*(실물목록!$Q$2:$Q$1001&lt;&gt;"")*ISNUMBER(SEARCH(실물목록!$Q$2:$Q$1001,I879))*(실물목록!$R$2:$R$1001="")*(실물목록!$O$2:$O$1001&lt;&gt;"")*(실물목록!$O$2:$O$1001=H879)))</f>
      </c>
      <c r="H879" t="str">
        <f>IFERROR(IF(AND(LEN(SUBSTITUTE(SUBSTITUTE(SUBSTITUTE(TRIM(A879&amp;""),CHAR(160),"")," ",""),"년",""))=4,VALUE(SUBSTITUTE(SUBSTITUTE(SUBSTITUTE(TRIM(A879&amp;""),CHAR(160),"")," ",""),"년",""))&gt;=1900,VALUE(SUBSTITUTE(SUBSTITUTE(SUBSTITUTE(TRIM(A879&amp;""),CHAR(160),"")," ",""),"년",""))&lt;=2099,TEXT(VALUE(SUBSTITUTE(SUBSTITUTE(SUBSTITUTE(TRIM(A879&amp;""),CHAR(160),"")," ",""),"년","")),"0000")=SUBSTITUTE(SUBSTITUTE(SUBSTITUTE(TRIM(A879&amp;""),CHAR(160),"")," ",""),"년","")),SUBSTITUTE(SUBSTITUTE(SUBSTITUTE(TRIM(A879&amp;""),CHAR(160),"")," ",""),"년",""),""),"")</f>
      </c>
      <c r="I879" t="str">
        <f>SUBSTITUTE(SUBSTITUTE(SUBSTITUTE(SUBSTITUTE(SUBSTITUTE(TRIM(B879&amp;""),CHAR(160),"")," ",""),"초등학교","초"),"중학교","중"),"고등학교","고")</f>
      </c>
    </row>
    <row r="880" customFormat="false" ht="15" hidden="false" customHeight="false" outlineLevel="0" collapsed="false">
      <c r="A880" s="8"/>
      <c r="B880" s="8"/>
      <c r="C880" s="8"/>
      <c r="D880" s="8"/>
      <c r="E880" s="8"/>
      <c r="F880" t="str" s="15">
        <f aca="0">IF(B880="","",IF(H880="","확인필요(입력누락)",IF(SUMPRODUCT((실물목록!$P$2:$P$1001&lt;&gt;"")*ISNUMBER(SEARCH(실물목록!$P$2:$P$1001,I880))*(실물목록!$Q$2:$Q$1001&lt;&gt;"")*ISNUMBER(SEARCH(실물목록!$Q$2:$Q$1001,I880))*(실물목록!$R$2:$R$1001="")*(실물목록!$O$2:$O$1001&lt;&gt;"")*(실물목록!$O$2:$O$1001=H880))&gt;0,"실물 있음",IF(SUMPRODUCT((실물목록!$P$2:$P$1001&lt;&gt;"")*ISNUMBER(SEARCH(실물목록!$P$2:$P$1001,I880))*(실물목록!$R$2:$R$1001&lt;&gt;""))&gt;0,"확인필요(입력누락)",IF(SUMPRODUCT((실물목록!$P$2:$P$1001&lt;&gt;"")*ISNUMBER(SEARCH(실물목록!$P$2:$P$1001,I880))*(실물목록!$Q$2:$Q$1001&lt;&gt;"")*ISNUMBER(SEARCH(실물목록!$Q$2:$Q$1001,I880))*(실물목록!$R$2:$R$1001="")*(실물목록!$O$2:$O$1001&lt;&gt;""))&gt;0,"확인필요(연도다름)","실물 없음")))))</f>
      </c>
      <c r="G880" t="n" s="16">
        <f aca="0">IF(B880="","",SUMPRODUCT((실물목록!$P$2:$P$1001&lt;&gt;"")*ISNUMBER(SEARCH(실물목록!$P$2:$P$1001,I880))*(실물목록!$Q$2:$Q$1001&lt;&gt;"")*ISNUMBER(SEARCH(실물목록!$Q$2:$Q$1001,I880))*(실물목록!$R$2:$R$1001="")*(실물목록!$O$2:$O$1001&lt;&gt;"")*(실물목록!$O$2:$O$1001=H880)))</f>
      </c>
      <c r="H880" t="str">
        <f>IFERROR(IF(AND(LEN(SUBSTITUTE(SUBSTITUTE(SUBSTITUTE(TRIM(A880&amp;""),CHAR(160),"")," ",""),"년",""))=4,VALUE(SUBSTITUTE(SUBSTITUTE(SUBSTITUTE(TRIM(A880&amp;""),CHAR(160),"")," ",""),"년",""))&gt;=1900,VALUE(SUBSTITUTE(SUBSTITUTE(SUBSTITUTE(TRIM(A880&amp;""),CHAR(160),"")," ",""),"년",""))&lt;=2099,TEXT(VALUE(SUBSTITUTE(SUBSTITUTE(SUBSTITUTE(TRIM(A880&amp;""),CHAR(160),"")," ",""),"년","")),"0000")=SUBSTITUTE(SUBSTITUTE(SUBSTITUTE(TRIM(A880&amp;""),CHAR(160),"")," ",""),"년","")),SUBSTITUTE(SUBSTITUTE(SUBSTITUTE(TRIM(A880&amp;""),CHAR(160),"")," ",""),"년",""),""),"")</f>
      </c>
      <c r="I880" t="str">
        <f>SUBSTITUTE(SUBSTITUTE(SUBSTITUTE(SUBSTITUTE(SUBSTITUTE(TRIM(B880&amp;""),CHAR(160),"")," ",""),"초등학교","초"),"중학교","중"),"고등학교","고")</f>
      </c>
    </row>
    <row r="881" customFormat="false" ht="15" hidden="false" customHeight="false" outlineLevel="0" collapsed="false">
      <c r="A881" s="8"/>
      <c r="B881" s="8"/>
      <c r="C881" s="8"/>
      <c r="D881" s="8"/>
      <c r="E881" s="8"/>
      <c r="F881" t="str" s="15">
        <f aca="0">IF(B881="","",IF(H881="","확인필요(입력누락)",IF(SUMPRODUCT((실물목록!$P$2:$P$1001&lt;&gt;"")*ISNUMBER(SEARCH(실물목록!$P$2:$P$1001,I881))*(실물목록!$Q$2:$Q$1001&lt;&gt;"")*ISNUMBER(SEARCH(실물목록!$Q$2:$Q$1001,I881))*(실물목록!$R$2:$R$1001="")*(실물목록!$O$2:$O$1001&lt;&gt;"")*(실물목록!$O$2:$O$1001=H881))&gt;0,"실물 있음",IF(SUMPRODUCT((실물목록!$P$2:$P$1001&lt;&gt;"")*ISNUMBER(SEARCH(실물목록!$P$2:$P$1001,I881))*(실물목록!$R$2:$R$1001&lt;&gt;""))&gt;0,"확인필요(입력누락)",IF(SUMPRODUCT((실물목록!$P$2:$P$1001&lt;&gt;"")*ISNUMBER(SEARCH(실물목록!$P$2:$P$1001,I881))*(실물목록!$Q$2:$Q$1001&lt;&gt;"")*ISNUMBER(SEARCH(실물목록!$Q$2:$Q$1001,I881))*(실물목록!$R$2:$R$1001="")*(실물목록!$O$2:$O$1001&lt;&gt;""))&gt;0,"확인필요(연도다름)","실물 없음")))))</f>
      </c>
      <c r="G881" t="n" s="16">
        <f aca="0">IF(B881="","",SUMPRODUCT((실물목록!$P$2:$P$1001&lt;&gt;"")*ISNUMBER(SEARCH(실물목록!$P$2:$P$1001,I881))*(실물목록!$Q$2:$Q$1001&lt;&gt;"")*ISNUMBER(SEARCH(실물목록!$Q$2:$Q$1001,I881))*(실물목록!$R$2:$R$1001="")*(실물목록!$O$2:$O$1001&lt;&gt;"")*(실물목록!$O$2:$O$1001=H881)))</f>
      </c>
      <c r="H881" t="str">
        <f>IFERROR(IF(AND(LEN(SUBSTITUTE(SUBSTITUTE(SUBSTITUTE(TRIM(A881&amp;""),CHAR(160),"")," ",""),"년",""))=4,VALUE(SUBSTITUTE(SUBSTITUTE(SUBSTITUTE(TRIM(A881&amp;""),CHAR(160),"")," ",""),"년",""))&gt;=1900,VALUE(SUBSTITUTE(SUBSTITUTE(SUBSTITUTE(TRIM(A881&amp;""),CHAR(160),"")," ",""),"년",""))&lt;=2099,TEXT(VALUE(SUBSTITUTE(SUBSTITUTE(SUBSTITUTE(TRIM(A881&amp;""),CHAR(160),"")," ",""),"년","")),"0000")=SUBSTITUTE(SUBSTITUTE(SUBSTITUTE(TRIM(A881&amp;""),CHAR(160),"")," ",""),"년","")),SUBSTITUTE(SUBSTITUTE(SUBSTITUTE(TRIM(A881&amp;""),CHAR(160),"")," ",""),"년",""),""),"")</f>
      </c>
      <c r="I881" t="str">
        <f>SUBSTITUTE(SUBSTITUTE(SUBSTITUTE(SUBSTITUTE(SUBSTITUTE(TRIM(B881&amp;""),CHAR(160),"")," ",""),"초등학교","초"),"중학교","중"),"고등학교","고")</f>
      </c>
    </row>
    <row r="882" customFormat="false" ht="15" hidden="false" customHeight="false" outlineLevel="0" collapsed="false">
      <c r="A882" s="8"/>
      <c r="B882" s="8"/>
      <c r="C882" s="8"/>
      <c r="D882" s="8"/>
      <c r="E882" s="8"/>
      <c r="F882" t="str" s="15">
        <f aca="0">IF(B882="","",IF(H882="","확인필요(입력누락)",IF(SUMPRODUCT((실물목록!$P$2:$P$1001&lt;&gt;"")*ISNUMBER(SEARCH(실물목록!$P$2:$P$1001,I882))*(실물목록!$Q$2:$Q$1001&lt;&gt;"")*ISNUMBER(SEARCH(실물목록!$Q$2:$Q$1001,I882))*(실물목록!$R$2:$R$1001="")*(실물목록!$O$2:$O$1001&lt;&gt;"")*(실물목록!$O$2:$O$1001=H882))&gt;0,"실물 있음",IF(SUMPRODUCT((실물목록!$P$2:$P$1001&lt;&gt;"")*ISNUMBER(SEARCH(실물목록!$P$2:$P$1001,I882))*(실물목록!$R$2:$R$1001&lt;&gt;""))&gt;0,"확인필요(입력누락)",IF(SUMPRODUCT((실물목록!$P$2:$P$1001&lt;&gt;"")*ISNUMBER(SEARCH(실물목록!$P$2:$P$1001,I882))*(실물목록!$Q$2:$Q$1001&lt;&gt;"")*ISNUMBER(SEARCH(실물목록!$Q$2:$Q$1001,I882))*(실물목록!$R$2:$R$1001="")*(실물목록!$O$2:$O$1001&lt;&gt;""))&gt;0,"확인필요(연도다름)","실물 없음")))))</f>
      </c>
      <c r="G882" t="n" s="16">
        <f aca="0">IF(B882="","",SUMPRODUCT((실물목록!$P$2:$P$1001&lt;&gt;"")*ISNUMBER(SEARCH(실물목록!$P$2:$P$1001,I882))*(실물목록!$Q$2:$Q$1001&lt;&gt;"")*ISNUMBER(SEARCH(실물목록!$Q$2:$Q$1001,I882))*(실물목록!$R$2:$R$1001="")*(실물목록!$O$2:$O$1001&lt;&gt;"")*(실물목록!$O$2:$O$1001=H882)))</f>
      </c>
      <c r="H882" t="str">
        <f>IFERROR(IF(AND(LEN(SUBSTITUTE(SUBSTITUTE(SUBSTITUTE(TRIM(A882&amp;""),CHAR(160),"")," ",""),"년",""))=4,VALUE(SUBSTITUTE(SUBSTITUTE(SUBSTITUTE(TRIM(A882&amp;""),CHAR(160),"")," ",""),"년",""))&gt;=1900,VALUE(SUBSTITUTE(SUBSTITUTE(SUBSTITUTE(TRIM(A882&amp;""),CHAR(160),"")," ",""),"년",""))&lt;=2099,TEXT(VALUE(SUBSTITUTE(SUBSTITUTE(SUBSTITUTE(TRIM(A882&amp;""),CHAR(160),"")," ",""),"년","")),"0000")=SUBSTITUTE(SUBSTITUTE(SUBSTITUTE(TRIM(A882&amp;""),CHAR(160),"")," ",""),"년","")),SUBSTITUTE(SUBSTITUTE(SUBSTITUTE(TRIM(A882&amp;""),CHAR(160),"")," ",""),"년",""),""),"")</f>
      </c>
      <c r="I882" t="str">
        <f>SUBSTITUTE(SUBSTITUTE(SUBSTITUTE(SUBSTITUTE(SUBSTITUTE(TRIM(B882&amp;""),CHAR(160),"")," ",""),"초등학교","초"),"중학교","중"),"고등학교","고")</f>
      </c>
    </row>
    <row r="883" customFormat="false" ht="15" hidden="false" customHeight="false" outlineLevel="0" collapsed="false">
      <c r="A883" s="8"/>
      <c r="B883" s="8"/>
      <c r="C883" s="8"/>
      <c r="D883" s="8"/>
      <c r="E883" s="8"/>
      <c r="F883" t="str" s="15">
        <f aca="0">IF(B883="","",IF(H883="","확인필요(입력누락)",IF(SUMPRODUCT((실물목록!$P$2:$P$1001&lt;&gt;"")*ISNUMBER(SEARCH(실물목록!$P$2:$P$1001,I883))*(실물목록!$Q$2:$Q$1001&lt;&gt;"")*ISNUMBER(SEARCH(실물목록!$Q$2:$Q$1001,I883))*(실물목록!$R$2:$R$1001="")*(실물목록!$O$2:$O$1001&lt;&gt;"")*(실물목록!$O$2:$O$1001=H883))&gt;0,"실물 있음",IF(SUMPRODUCT((실물목록!$P$2:$P$1001&lt;&gt;"")*ISNUMBER(SEARCH(실물목록!$P$2:$P$1001,I883))*(실물목록!$R$2:$R$1001&lt;&gt;""))&gt;0,"확인필요(입력누락)",IF(SUMPRODUCT((실물목록!$P$2:$P$1001&lt;&gt;"")*ISNUMBER(SEARCH(실물목록!$P$2:$P$1001,I883))*(실물목록!$Q$2:$Q$1001&lt;&gt;"")*ISNUMBER(SEARCH(실물목록!$Q$2:$Q$1001,I883))*(실물목록!$R$2:$R$1001="")*(실물목록!$O$2:$O$1001&lt;&gt;""))&gt;0,"확인필요(연도다름)","실물 없음")))))</f>
      </c>
      <c r="G883" t="n" s="16">
        <f aca="0">IF(B883="","",SUMPRODUCT((실물목록!$P$2:$P$1001&lt;&gt;"")*ISNUMBER(SEARCH(실물목록!$P$2:$P$1001,I883))*(실물목록!$Q$2:$Q$1001&lt;&gt;"")*ISNUMBER(SEARCH(실물목록!$Q$2:$Q$1001,I883))*(실물목록!$R$2:$R$1001="")*(실물목록!$O$2:$O$1001&lt;&gt;"")*(실물목록!$O$2:$O$1001=H883)))</f>
      </c>
      <c r="H883" t="str">
        <f>IFERROR(IF(AND(LEN(SUBSTITUTE(SUBSTITUTE(SUBSTITUTE(TRIM(A883&amp;""),CHAR(160),"")," ",""),"년",""))=4,VALUE(SUBSTITUTE(SUBSTITUTE(SUBSTITUTE(TRIM(A883&amp;""),CHAR(160),"")," ",""),"년",""))&gt;=1900,VALUE(SUBSTITUTE(SUBSTITUTE(SUBSTITUTE(TRIM(A883&amp;""),CHAR(160),"")," ",""),"년",""))&lt;=2099,TEXT(VALUE(SUBSTITUTE(SUBSTITUTE(SUBSTITUTE(TRIM(A883&amp;""),CHAR(160),"")," ",""),"년","")),"0000")=SUBSTITUTE(SUBSTITUTE(SUBSTITUTE(TRIM(A883&amp;""),CHAR(160),"")," ",""),"년","")),SUBSTITUTE(SUBSTITUTE(SUBSTITUTE(TRIM(A883&amp;""),CHAR(160),"")," ",""),"년",""),""),"")</f>
      </c>
      <c r="I883" t="str">
        <f>SUBSTITUTE(SUBSTITUTE(SUBSTITUTE(SUBSTITUTE(SUBSTITUTE(TRIM(B883&amp;""),CHAR(160),"")," ",""),"초등학교","초"),"중학교","중"),"고등학교","고")</f>
      </c>
    </row>
    <row r="884" customFormat="false" ht="15" hidden="false" customHeight="false" outlineLevel="0" collapsed="false">
      <c r="A884" s="8"/>
      <c r="B884" s="8"/>
      <c r="C884" s="8"/>
      <c r="D884" s="8"/>
      <c r="E884" s="8"/>
      <c r="F884" t="str" s="15">
        <f aca="0">IF(B884="","",IF(H884="","확인필요(입력누락)",IF(SUMPRODUCT((실물목록!$P$2:$P$1001&lt;&gt;"")*ISNUMBER(SEARCH(실물목록!$P$2:$P$1001,I884))*(실물목록!$Q$2:$Q$1001&lt;&gt;"")*ISNUMBER(SEARCH(실물목록!$Q$2:$Q$1001,I884))*(실물목록!$R$2:$R$1001="")*(실물목록!$O$2:$O$1001&lt;&gt;"")*(실물목록!$O$2:$O$1001=H884))&gt;0,"실물 있음",IF(SUMPRODUCT((실물목록!$P$2:$P$1001&lt;&gt;"")*ISNUMBER(SEARCH(실물목록!$P$2:$P$1001,I884))*(실물목록!$R$2:$R$1001&lt;&gt;""))&gt;0,"확인필요(입력누락)",IF(SUMPRODUCT((실물목록!$P$2:$P$1001&lt;&gt;"")*ISNUMBER(SEARCH(실물목록!$P$2:$P$1001,I884))*(실물목록!$Q$2:$Q$1001&lt;&gt;"")*ISNUMBER(SEARCH(실물목록!$Q$2:$Q$1001,I884))*(실물목록!$R$2:$R$1001="")*(실물목록!$O$2:$O$1001&lt;&gt;""))&gt;0,"확인필요(연도다름)","실물 없음")))))</f>
      </c>
      <c r="G884" t="n" s="16">
        <f aca="0">IF(B884="","",SUMPRODUCT((실물목록!$P$2:$P$1001&lt;&gt;"")*ISNUMBER(SEARCH(실물목록!$P$2:$P$1001,I884))*(실물목록!$Q$2:$Q$1001&lt;&gt;"")*ISNUMBER(SEARCH(실물목록!$Q$2:$Q$1001,I884))*(실물목록!$R$2:$R$1001="")*(실물목록!$O$2:$O$1001&lt;&gt;"")*(실물목록!$O$2:$O$1001=H884)))</f>
      </c>
      <c r="H884" t="str">
        <f>IFERROR(IF(AND(LEN(SUBSTITUTE(SUBSTITUTE(SUBSTITUTE(TRIM(A884&amp;""),CHAR(160),"")," ",""),"년",""))=4,VALUE(SUBSTITUTE(SUBSTITUTE(SUBSTITUTE(TRIM(A884&amp;""),CHAR(160),"")," ",""),"년",""))&gt;=1900,VALUE(SUBSTITUTE(SUBSTITUTE(SUBSTITUTE(TRIM(A884&amp;""),CHAR(160),"")," ",""),"년",""))&lt;=2099,TEXT(VALUE(SUBSTITUTE(SUBSTITUTE(SUBSTITUTE(TRIM(A884&amp;""),CHAR(160),"")," ",""),"년","")),"0000")=SUBSTITUTE(SUBSTITUTE(SUBSTITUTE(TRIM(A884&amp;""),CHAR(160),"")," ",""),"년","")),SUBSTITUTE(SUBSTITUTE(SUBSTITUTE(TRIM(A884&amp;""),CHAR(160),"")," ",""),"년",""),""),"")</f>
      </c>
      <c r="I884" t="str">
        <f>SUBSTITUTE(SUBSTITUTE(SUBSTITUTE(SUBSTITUTE(SUBSTITUTE(TRIM(B884&amp;""),CHAR(160),"")," ",""),"초등학교","초"),"중학교","중"),"고등학교","고")</f>
      </c>
    </row>
    <row r="885" customFormat="false" ht="15" hidden="false" customHeight="false" outlineLevel="0" collapsed="false">
      <c r="A885" s="8"/>
      <c r="B885" s="8"/>
      <c r="C885" s="8"/>
      <c r="D885" s="8"/>
      <c r="E885" s="8"/>
      <c r="F885" t="str" s="15">
        <f aca="0">IF(B885="","",IF(H885="","확인필요(입력누락)",IF(SUMPRODUCT((실물목록!$P$2:$P$1001&lt;&gt;"")*ISNUMBER(SEARCH(실물목록!$P$2:$P$1001,I885))*(실물목록!$Q$2:$Q$1001&lt;&gt;"")*ISNUMBER(SEARCH(실물목록!$Q$2:$Q$1001,I885))*(실물목록!$R$2:$R$1001="")*(실물목록!$O$2:$O$1001&lt;&gt;"")*(실물목록!$O$2:$O$1001=H885))&gt;0,"실물 있음",IF(SUMPRODUCT((실물목록!$P$2:$P$1001&lt;&gt;"")*ISNUMBER(SEARCH(실물목록!$P$2:$P$1001,I885))*(실물목록!$R$2:$R$1001&lt;&gt;""))&gt;0,"확인필요(입력누락)",IF(SUMPRODUCT((실물목록!$P$2:$P$1001&lt;&gt;"")*ISNUMBER(SEARCH(실물목록!$P$2:$P$1001,I885))*(실물목록!$Q$2:$Q$1001&lt;&gt;"")*ISNUMBER(SEARCH(실물목록!$Q$2:$Q$1001,I885))*(실물목록!$R$2:$R$1001="")*(실물목록!$O$2:$O$1001&lt;&gt;""))&gt;0,"확인필요(연도다름)","실물 없음")))))</f>
      </c>
      <c r="G885" t="n" s="16">
        <f aca="0">IF(B885="","",SUMPRODUCT((실물목록!$P$2:$P$1001&lt;&gt;"")*ISNUMBER(SEARCH(실물목록!$P$2:$P$1001,I885))*(실물목록!$Q$2:$Q$1001&lt;&gt;"")*ISNUMBER(SEARCH(실물목록!$Q$2:$Q$1001,I885))*(실물목록!$R$2:$R$1001="")*(실물목록!$O$2:$O$1001&lt;&gt;"")*(실물목록!$O$2:$O$1001=H885)))</f>
      </c>
      <c r="H885" t="str">
        <f>IFERROR(IF(AND(LEN(SUBSTITUTE(SUBSTITUTE(SUBSTITUTE(TRIM(A885&amp;""),CHAR(160),"")," ",""),"년",""))=4,VALUE(SUBSTITUTE(SUBSTITUTE(SUBSTITUTE(TRIM(A885&amp;""),CHAR(160),"")," ",""),"년",""))&gt;=1900,VALUE(SUBSTITUTE(SUBSTITUTE(SUBSTITUTE(TRIM(A885&amp;""),CHAR(160),"")," ",""),"년",""))&lt;=2099,TEXT(VALUE(SUBSTITUTE(SUBSTITUTE(SUBSTITUTE(TRIM(A885&amp;""),CHAR(160),"")," ",""),"년","")),"0000")=SUBSTITUTE(SUBSTITUTE(SUBSTITUTE(TRIM(A885&amp;""),CHAR(160),"")," ",""),"년","")),SUBSTITUTE(SUBSTITUTE(SUBSTITUTE(TRIM(A885&amp;""),CHAR(160),"")," ",""),"년",""),""),"")</f>
      </c>
      <c r="I885" t="str">
        <f>SUBSTITUTE(SUBSTITUTE(SUBSTITUTE(SUBSTITUTE(SUBSTITUTE(TRIM(B885&amp;""),CHAR(160),"")," ",""),"초등학교","초"),"중학교","중"),"고등학교","고")</f>
      </c>
    </row>
    <row r="886" customFormat="false" ht="15" hidden="false" customHeight="false" outlineLevel="0" collapsed="false">
      <c r="A886" s="8"/>
      <c r="B886" s="8"/>
      <c r="C886" s="8"/>
      <c r="D886" s="8"/>
      <c r="E886" s="8"/>
      <c r="F886" t="str" s="15">
        <f aca="0">IF(B886="","",IF(H886="","확인필요(입력누락)",IF(SUMPRODUCT((실물목록!$P$2:$P$1001&lt;&gt;"")*ISNUMBER(SEARCH(실물목록!$P$2:$P$1001,I886))*(실물목록!$Q$2:$Q$1001&lt;&gt;"")*ISNUMBER(SEARCH(실물목록!$Q$2:$Q$1001,I886))*(실물목록!$R$2:$R$1001="")*(실물목록!$O$2:$O$1001&lt;&gt;"")*(실물목록!$O$2:$O$1001=H886))&gt;0,"실물 있음",IF(SUMPRODUCT((실물목록!$P$2:$P$1001&lt;&gt;"")*ISNUMBER(SEARCH(실물목록!$P$2:$P$1001,I886))*(실물목록!$R$2:$R$1001&lt;&gt;""))&gt;0,"확인필요(입력누락)",IF(SUMPRODUCT((실물목록!$P$2:$P$1001&lt;&gt;"")*ISNUMBER(SEARCH(실물목록!$P$2:$P$1001,I886))*(실물목록!$Q$2:$Q$1001&lt;&gt;"")*ISNUMBER(SEARCH(실물목록!$Q$2:$Q$1001,I886))*(실물목록!$R$2:$R$1001="")*(실물목록!$O$2:$O$1001&lt;&gt;""))&gt;0,"확인필요(연도다름)","실물 없음")))))</f>
      </c>
      <c r="G886" t="n" s="16">
        <f aca="0">IF(B886="","",SUMPRODUCT((실물목록!$P$2:$P$1001&lt;&gt;"")*ISNUMBER(SEARCH(실물목록!$P$2:$P$1001,I886))*(실물목록!$Q$2:$Q$1001&lt;&gt;"")*ISNUMBER(SEARCH(실물목록!$Q$2:$Q$1001,I886))*(실물목록!$R$2:$R$1001="")*(실물목록!$O$2:$O$1001&lt;&gt;"")*(실물목록!$O$2:$O$1001=H886)))</f>
      </c>
      <c r="H886" t="str">
        <f>IFERROR(IF(AND(LEN(SUBSTITUTE(SUBSTITUTE(SUBSTITUTE(TRIM(A886&amp;""),CHAR(160),"")," ",""),"년",""))=4,VALUE(SUBSTITUTE(SUBSTITUTE(SUBSTITUTE(TRIM(A886&amp;""),CHAR(160),"")," ",""),"년",""))&gt;=1900,VALUE(SUBSTITUTE(SUBSTITUTE(SUBSTITUTE(TRIM(A886&amp;""),CHAR(160),"")," ",""),"년",""))&lt;=2099,TEXT(VALUE(SUBSTITUTE(SUBSTITUTE(SUBSTITUTE(TRIM(A886&amp;""),CHAR(160),"")," ",""),"년","")),"0000")=SUBSTITUTE(SUBSTITUTE(SUBSTITUTE(TRIM(A886&amp;""),CHAR(160),"")," ",""),"년","")),SUBSTITUTE(SUBSTITUTE(SUBSTITUTE(TRIM(A886&amp;""),CHAR(160),"")," ",""),"년",""),""),"")</f>
      </c>
      <c r="I886" t="str">
        <f>SUBSTITUTE(SUBSTITUTE(SUBSTITUTE(SUBSTITUTE(SUBSTITUTE(TRIM(B886&amp;""),CHAR(160),"")," ",""),"초등학교","초"),"중학교","중"),"고등학교","고")</f>
      </c>
    </row>
    <row r="887" customFormat="false" ht="15" hidden="false" customHeight="false" outlineLevel="0" collapsed="false">
      <c r="A887" s="8"/>
      <c r="B887" s="8"/>
      <c r="C887" s="8"/>
      <c r="D887" s="8"/>
      <c r="E887" s="8"/>
      <c r="F887" t="str" s="15">
        <f aca="0">IF(B887="","",IF(H887="","확인필요(입력누락)",IF(SUMPRODUCT((실물목록!$P$2:$P$1001&lt;&gt;"")*ISNUMBER(SEARCH(실물목록!$P$2:$P$1001,I887))*(실물목록!$Q$2:$Q$1001&lt;&gt;"")*ISNUMBER(SEARCH(실물목록!$Q$2:$Q$1001,I887))*(실물목록!$R$2:$R$1001="")*(실물목록!$O$2:$O$1001&lt;&gt;"")*(실물목록!$O$2:$O$1001=H887))&gt;0,"실물 있음",IF(SUMPRODUCT((실물목록!$P$2:$P$1001&lt;&gt;"")*ISNUMBER(SEARCH(실물목록!$P$2:$P$1001,I887))*(실물목록!$R$2:$R$1001&lt;&gt;""))&gt;0,"확인필요(입력누락)",IF(SUMPRODUCT((실물목록!$P$2:$P$1001&lt;&gt;"")*ISNUMBER(SEARCH(실물목록!$P$2:$P$1001,I887))*(실물목록!$Q$2:$Q$1001&lt;&gt;"")*ISNUMBER(SEARCH(실물목록!$Q$2:$Q$1001,I887))*(실물목록!$R$2:$R$1001="")*(실물목록!$O$2:$O$1001&lt;&gt;""))&gt;0,"확인필요(연도다름)","실물 없음")))))</f>
      </c>
      <c r="G887" t="n" s="16">
        <f aca="0">IF(B887="","",SUMPRODUCT((실물목록!$P$2:$P$1001&lt;&gt;"")*ISNUMBER(SEARCH(실물목록!$P$2:$P$1001,I887))*(실물목록!$Q$2:$Q$1001&lt;&gt;"")*ISNUMBER(SEARCH(실물목록!$Q$2:$Q$1001,I887))*(실물목록!$R$2:$R$1001="")*(실물목록!$O$2:$O$1001&lt;&gt;"")*(실물목록!$O$2:$O$1001=H887)))</f>
      </c>
      <c r="H887" t="str">
        <f>IFERROR(IF(AND(LEN(SUBSTITUTE(SUBSTITUTE(SUBSTITUTE(TRIM(A887&amp;""),CHAR(160),"")," ",""),"년",""))=4,VALUE(SUBSTITUTE(SUBSTITUTE(SUBSTITUTE(TRIM(A887&amp;""),CHAR(160),"")," ",""),"년",""))&gt;=1900,VALUE(SUBSTITUTE(SUBSTITUTE(SUBSTITUTE(TRIM(A887&amp;""),CHAR(160),"")," ",""),"년",""))&lt;=2099,TEXT(VALUE(SUBSTITUTE(SUBSTITUTE(SUBSTITUTE(TRIM(A887&amp;""),CHAR(160),"")," ",""),"년","")),"0000")=SUBSTITUTE(SUBSTITUTE(SUBSTITUTE(TRIM(A887&amp;""),CHAR(160),"")," ",""),"년","")),SUBSTITUTE(SUBSTITUTE(SUBSTITUTE(TRIM(A887&amp;""),CHAR(160),"")," ",""),"년",""),""),"")</f>
      </c>
      <c r="I887" t="str">
        <f>SUBSTITUTE(SUBSTITUTE(SUBSTITUTE(SUBSTITUTE(SUBSTITUTE(TRIM(B887&amp;""),CHAR(160),"")," ",""),"초등학교","초"),"중학교","중"),"고등학교","고")</f>
      </c>
    </row>
    <row r="888" customFormat="false" ht="15" hidden="false" customHeight="false" outlineLevel="0" collapsed="false">
      <c r="A888" s="8"/>
      <c r="B888" s="8"/>
      <c r="C888" s="8"/>
      <c r="D888" s="8"/>
      <c r="E888" s="8"/>
      <c r="F888" t="str" s="15">
        <f aca="0">IF(B888="","",IF(H888="","확인필요(입력누락)",IF(SUMPRODUCT((실물목록!$P$2:$P$1001&lt;&gt;"")*ISNUMBER(SEARCH(실물목록!$P$2:$P$1001,I888))*(실물목록!$Q$2:$Q$1001&lt;&gt;"")*ISNUMBER(SEARCH(실물목록!$Q$2:$Q$1001,I888))*(실물목록!$R$2:$R$1001="")*(실물목록!$O$2:$O$1001&lt;&gt;"")*(실물목록!$O$2:$O$1001=H888))&gt;0,"실물 있음",IF(SUMPRODUCT((실물목록!$P$2:$P$1001&lt;&gt;"")*ISNUMBER(SEARCH(실물목록!$P$2:$P$1001,I888))*(실물목록!$R$2:$R$1001&lt;&gt;""))&gt;0,"확인필요(입력누락)",IF(SUMPRODUCT((실물목록!$P$2:$P$1001&lt;&gt;"")*ISNUMBER(SEARCH(실물목록!$P$2:$P$1001,I888))*(실물목록!$Q$2:$Q$1001&lt;&gt;"")*ISNUMBER(SEARCH(실물목록!$Q$2:$Q$1001,I888))*(실물목록!$R$2:$R$1001="")*(실물목록!$O$2:$O$1001&lt;&gt;""))&gt;0,"확인필요(연도다름)","실물 없음")))))</f>
      </c>
      <c r="G888" t="n" s="16">
        <f aca="0">IF(B888="","",SUMPRODUCT((실물목록!$P$2:$P$1001&lt;&gt;"")*ISNUMBER(SEARCH(실물목록!$P$2:$P$1001,I888))*(실물목록!$Q$2:$Q$1001&lt;&gt;"")*ISNUMBER(SEARCH(실물목록!$Q$2:$Q$1001,I888))*(실물목록!$R$2:$R$1001="")*(실물목록!$O$2:$O$1001&lt;&gt;"")*(실물목록!$O$2:$O$1001=H888)))</f>
      </c>
      <c r="H888" t="str">
        <f>IFERROR(IF(AND(LEN(SUBSTITUTE(SUBSTITUTE(SUBSTITUTE(TRIM(A888&amp;""),CHAR(160),"")," ",""),"년",""))=4,VALUE(SUBSTITUTE(SUBSTITUTE(SUBSTITUTE(TRIM(A888&amp;""),CHAR(160),"")," ",""),"년",""))&gt;=1900,VALUE(SUBSTITUTE(SUBSTITUTE(SUBSTITUTE(TRIM(A888&amp;""),CHAR(160),"")," ",""),"년",""))&lt;=2099,TEXT(VALUE(SUBSTITUTE(SUBSTITUTE(SUBSTITUTE(TRIM(A888&amp;""),CHAR(160),"")," ",""),"년","")),"0000")=SUBSTITUTE(SUBSTITUTE(SUBSTITUTE(TRIM(A888&amp;""),CHAR(160),"")," ",""),"년","")),SUBSTITUTE(SUBSTITUTE(SUBSTITUTE(TRIM(A888&amp;""),CHAR(160),"")," ",""),"년",""),""),"")</f>
      </c>
      <c r="I888" t="str">
        <f>SUBSTITUTE(SUBSTITUTE(SUBSTITUTE(SUBSTITUTE(SUBSTITUTE(TRIM(B888&amp;""),CHAR(160),"")," ",""),"초등학교","초"),"중학교","중"),"고등학교","고")</f>
      </c>
    </row>
    <row r="889" customFormat="false" ht="15" hidden="false" customHeight="false" outlineLevel="0" collapsed="false">
      <c r="A889" s="8"/>
      <c r="B889" s="8"/>
      <c r="C889" s="8"/>
      <c r="D889" s="8"/>
      <c r="E889" s="8"/>
      <c r="F889" t="str" s="15">
        <f aca="0">IF(B889="","",IF(H889="","확인필요(입력누락)",IF(SUMPRODUCT((실물목록!$P$2:$P$1001&lt;&gt;"")*ISNUMBER(SEARCH(실물목록!$P$2:$P$1001,I889))*(실물목록!$Q$2:$Q$1001&lt;&gt;"")*ISNUMBER(SEARCH(실물목록!$Q$2:$Q$1001,I889))*(실물목록!$R$2:$R$1001="")*(실물목록!$O$2:$O$1001&lt;&gt;"")*(실물목록!$O$2:$O$1001=H889))&gt;0,"실물 있음",IF(SUMPRODUCT((실물목록!$P$2:$P$1001&lt;&gt;"")*ISNUMBER(SEARCH(실물목록!$P$2:$P$1001,I889))*(실물목록!$R$2:$R$1001&lt;&gt;""))&gt;0,"확인필요(입력누락)",IF(SUMPRODUCT((실물목록!$P$2:$P$1001&lt;&gt;"")*ISNUMBER(SEARCH(실물목록!$P$2:$P$1001,I889))*(실물목록!$Q$2:$Q$1001&lt;&gt;"")*ISNUMBER(SEARCH(실물목록!$Q$2:$Q$1001,I889))*(실물목록!$R$2:$R$1001="")*(실물목록!$O$2:$O$1001&lt;&gt;""))&gt;0,"확인필요(연도다름)","실물 없음")))))</f>
      </c>
      <c r="G889" t="n" s="16">
        <f aca="0">IF(B889="","",SUMPRODUCT((실물목록!$P$2:$P$1001&lt;&gt;"")*ISNUMBER(SEARCH(실물목록!$P$2:$P$1001,I889))*(실물목록!$Q$2:$Q$1001&lt;&gt;"")*ISNUMBER(SEARCH(실물목록!$Q$2:$Q$1001,I889))*(실물목록!$R$2:$R$1001="")*(실물목록!$O$2:$O$1001&lt;&gt;"")*(실물목록!$O$2:$O$1001=H889)))</f>
      </c>
      <c r="H889" t="str">
        <f>IFERROR(IF(AND(LEN(SUBSTITUTE(SUBSTITUTE(SUBSTITUTE(TRIM(A889&amp;""),CHAR(160),"")," ",""),"년",""))=4,VALUE(SUBSTITUTE(SUBSTITUTE(SUBSTITUTE(TRIM(A889&amp;""),CHAR(160),"")," ",""),"년",""))&gt;=1900,VALUE(SUBSTITUTE(SUBSTITUTE(SUBSTITUTE(TRIM(A889&amp;""),CHAR(160),"")," ",""),"년",""))&lt;=2099,TEXT(VALUE(SUBSTITUTE(SUBSTITUTE(SUBSTITUTE(TRIM(A889&amp;""),CHAR(160),"")," ",""),"년","")),"0000")=SUBSTITUTE(SUBSTITUTE(SUBSTITUTE(TRIM(A889&amp;""),CHAR(160),"")," ",""),"년","")),SUBSTITUTE(SUBSTITUTE(SUBSTITUTE(TRIM(A889&amp;""),CHAR(160),"")," ",""),"년",""),""),"")</f>
      </c>
      <c r="I889" t="str">
        <f>SUBSTITUTE(SUBSTITUTE(SUBSTITUTE(SUBSTITUTE(SUBSTITUTE(TRIM(B889&amp;""),CHAR(160),"")," ",""),"초등학교","초"),"중학교","중"),"고등학교","고")</f>
      </c>
    </row>
    <row r="890" customFormat="false" ht="15" hidden="false" customHeight="false" outlineLevel="0" collapsed="false">
      <c r="A890" s="8"/>
      <c r="B890" s="8"/>
      <c r="C890" s="8"/>
      <c r="D890" s="8"/>
      <c r="E890" s="8"/>
      <c r="F890" t="str" s="15">
        <f aca="0">IF(B890="","",IF(H890="","확인필요(입력누락)",IF(SUMPRODUCT((실물목록!$P$2:$P$1001&lt;&gt;"")*ISNUMBER(SEARCH(실물목록!$P$2:$P$1001,I890))*(실물목록!$Q$2:$Q$1001&lt;&gt;"")*ISNUMBER(SEARCH(실물목록!$Q$2:$Q$1001,I890))*(실물목록!$R$2:$R$1001="")*(실물목록!$O$2:$O$1001&lt;&gt;"")*(실물목록!$O$2:$O$1001=H890))&gt;0,"실물 있음",IF(SUMPRODUCT((실물목록!$P$2:$P$1001&lt;&gt;"")*ISNUMBER(SEARCH(실물목록!$P$2:$P$1001,I890))*(실물목록!$R$2:$R$1001&lt;&gt;""))&gt;0,"확인필요(입력누락)",IF(SUMPRODUCT((실물목록!$P$2:$P$1001&lt;&gt;"")*ISNUMBER(SEARCH(실물목록!$P$2:$P$1001,I890))*(실물목록!$Q$2:$Q$1001&lt;&gt;"")*ISNUMBER(SEARCH(실물목록!$Q$2:$Q$1001,I890))*(실물목록!$R$2:$R$1001="")*(실물목록!$O$2:$O$1001&lt;&gt;""))&gt;0,"확인필요(연도다름)","실물 없음")))))</f>
      </c>
      <c r="G890" t="n" s="16">
        <f aca="0">IF(B890="","",SUMPRODUCT((실물목록!$P$2:$P$1001&lt;&gt;"")*ISNUMBER(SEARCH(실물목록!$P$2:$P$1001,I890))*(실물목록!$Q$2:$Q$1001&lt;&gt;"")*ISNUMBER(SEARCH(실물목록!$Q$2:$Q$1001,I890))*(실물목록!$R$2:$R$1001="")*(실물목록!$O$2:$O$1001&lt;&gt;"")*(실물목록!$O$2:$O$1001=H890)))</f>
      </c>
      <c r="H890" t="str">
        <f>IFERROR(IF(AND(LEN(SUBSTITUTE(SUBSTITUTE(SUBSTITUTE(TRIM(A890&amp;""),CHAR(160),"")," ",""),"년",""))=4,VALUE(SUBSTITUTE(SUBSTITUTE(SUBSTITUTE(TRIM(A890&amp;""),CHAR(160),"")," ",""),"년",""))&gt;=1900,VALUE(SUBSTITUTE(SUBSTITUTE(SUBSTITUTE(TRIM(A890&amp;""),CHAR(160),"")," ",""),"년",""))&lt;=2099,TEXT(VALUE(SUBSTITUTE(SUBSTITUTE(SUBSTITUTE(TRIM(A890&amp;""),CHAR(160),"")," ",""),"년","")),"0000")=SUBSTITUTE(SUBSTITUTE(SUBSTITUTE(TRIM(A890&amp;""),CHAR(160),"")," ",""),"년","")),SUBSTITUTE(SUBSTITUTE(SUBSTITUTE(TRIM(A890&amp;""),CHAR(160),"")," ",""),"년",""),""),"")</f>
      </c>
      <c r="I890" t="str">
        <f>SUBSTITUTE(SUBSTITUTE(SUBSTITUTE(SUBSTITUTE(SUBSTITUTE(TRIM(B890&amp;""),CHAR(160),"")," ",""),"초등학교","초"),"중학교","중"),"고등학교","고")</f>
      </c>
    </row>
    <row r="891" customFormat="false" ht="15" hidden="false" customHeight="false" outlineLevel="0" collapsed="false">
      <c r="A891" s="8"/>
      <c r="B891" s="8"/>
      <c r="C891" s="8"/>
      <c r="D891" s="8"/>
      <c r="E891" s="8"/>
      <c r="F891" t="str" s="15">
        <f aca="0">IF(B891="","",IF(H891="","확인필요(입력누락)",IF(SUMPRODUCT((실물목록!$P$2:$P$1001&lt;&gt;"")*ISNUMBER(SEARCH(실물목록!$P$2:$P$1001,I891))*(실물목록!$Q$2:$Q$1001&lt;&gt;"")*ISNUMBER(SEARCH(실물목록!$Q$2:$Q$1001,I891))*(실물목록!$R$2:$R$1001="")*(실물목록!$O$2:$O$1001&lt;&gt;"")*(실물목록!$O$2:$O$1001=H891))&gt;0,"실물 있음",IF(SUMPRODUCT((실물목록!$P$2:$P$1001&lt;&gt;"")*ISNUMBER(SEARCH(실물목록!$P$2:$P$1001,I891))*(실물목록!$R$2:$R$1001&lt;&gt;""))&gt;0,"확인필요(입력누락)",IF(SUMPRODUCT((실물목록!$P$2:$P$1001&lt;&gt;"")*ISNUMBER(SEARCH(실물목록!$P$2:$P$1001,I891))*(실물목록!$Q$2:$Q$1001&lt;&gt;"")*ISNUMBER(SEARCH(실물목록!$Q$2:$Q$1001,I891))*(실물목록!$R$2:$R$1001="")*(실물목록!$O$2:$O$1001&lt;&gt;""))&gt;0,"확인필요(연도다름)","실물 없음")))))</f>
      </c>
      <c r="G891" t="n" s="16">
        <f aca="0">IF(B891="","",SUMPRODUCT((실물목록!$P$2:$P$1001&lt;&gt;"")*ISNUMBER(SEARCH(실물목록!$P$2:$P$1001,I891))*(실물목록!$Q$2:$Q$1001&lt;&gt;"")*ISNUMBER(SEARCH(실물목록!$Q$2:$Q$1001,I891))*(실물목록!$R$2:$R$1001="")*(실물목록!$O$2:$O$1001&lt;&gt;"")*(실물목록!$O$2:$O$1001=H891)))</f>
      </c>
      <c r="H891" t="str">
        <f>IFERROR(IF(AND(LEN(SUBSTITUTE(SUBSTITUTE(SUBSTITUTE(TRIM(A891&amp;""),CHAR(160),"")," ",""),"년",""))=4,VALUE(SUBSTITUTE(SUBSTITUTE(SUBSTITUTE(TRIM(A891&amp;""),CHAR(160),"")," ",""),"년",""))&gt;=1900,VALUE(SUBSTITUTE(SUBSTITUTE(SUBSTITUTE(TRIM(A891&amp;""),CHAR(160),"")," ",""),"년",""))&lt;=2099,TEXT(VALUE(SUBSTITUTE(SUBSTITUTE(SUBSTITUTE(TRIM(A891&amp;""),CHAR(160),"")," ",""),"년","")),"0000")=SUBSTITUTE(SUBSTITUTE(SUBSTITUTE(TRIM(A891&amp;""),CHAR(160),"")," ",""),"년","")),SUBSTITUTE(SUBSTITUTE(SUBSTITUTE(TRIM(A891&amp;""),CHAR(160),"")," ",""),"년",""),""),"")</f>
      </c>
      <c r="I891" t="str">
        <f>SUBSTITUTE(SUBSTITUTE(SUBSTITUTE(SUBSTITUTE(SUBSTITUTE(TRIM(B891&amp;""),CHAR(160),"")," ",""),"초등학교","초"),"중학교","중"),"고등학교","고")</f>
      </c>
    </row>
    <row r="892" customFormat="false" ht="15" hidden="false" customHeight="false" outlineLevel="0" collapsed="false">
      <c r="A892" s="8"/>
      <c r="B892" s="8"/>
      <c r="C892" s="8"/>
      <c r="D892" s="8"/>
      <c r="E892" s="8"/>
      <c r="F892" t="str" s="15">
        <f aca="0">IF(B892="","",IF(H892="","확인필요(입력누락)",IF(SUMPRODUCT((실물목록!$P$2:$P$1001&lt;&gt;"")*ISNUMBER(SEARCH(실물목록!$P$2:$P$1001,I892))*(실물목록!$Q$2:$Q$1001&lt;&gt;"")*ISNUMBER(SEARCH(실물목록!$Q$2:$Q$1001,I892))*(실물목록!$R$2:$R$1001="")*(실물목록!$O$2:$O$1001&lt;&gt;"")*(실물목록!$O$2:$O$1001=H892))&gt;0,"실물 있음",IF(SUMPRODUCT((실물목록!$P$2:$P$1001&lt;&gt;"")*ISNUMBER(SEARCH(실물목록!$P$2:$P$1001,I892))*(실물목록!$R$2:$R$1001&lt;&gt;""))&gt;0,"확인필요(입력누락)",IF(SUMPRODUCT((실물목록!$P$2:$P$1001&lt;&gt;"")*ISNUMBER(SEARCH(실물목록!$P$2:$P$1001,I892))*(실물목록!$Q$2:$Q$1001&lt;&gt;"")*ISNUMBER(SEARCH(실물목록!$Q$2:$Q$1001,I892))*(실물목록!$R$2:$R$1001="")*(실물목록!$O$2:$O$1001&lt;&gt;""))&gt;0,"확인필요(연도다름)","실물 없음")))))</f>
      </c>
      <c r="G892" t="n" s="16">
        <f aca="0">IF(B892="","",SUMPRODUCT((실물목록!$P$2:$P$1001&lt;&gt;"")*ISNUMBER(SEARCH(실물목록!$P$2:$P$1001,I892))*(실물목록!$Q$2:$Q$1001&lt;&gt;"")*ISNUMBER(SEARCH(실물목록!$Q$2:$Q$1001,I892))*(실물목록!$R$2:$R$1001="")*(실물목록!$O$2:$O$1001&lt;&gt;"")*(실물목록!$O$2:$O$1001=H892)))</f>
      </c>
      <c r="H892" t="str">
        <f>IFERROR(IF(AND(LEN(SUBSTITUTE(SUBSTITUTE(SUBSTITUTE(TRIM(A892&amp;""),CHAR(160),"")," ",""),"년",""))=4,VALUE(SUBSTITUTE(SUBSTITUTE(SUBSTITUTE(TRIM(A892&amp;""),CHAR(160),"")," ",""),"년",""))&gt;=1900,VALUE(SUBSTITUTE(SUBSTITUTE(SUBSTITUTE(TRIM(A892&amp;""),CHAR(160),"")," ",""),"년",""))&lt;=2099,TEXT(VALUE(SUBSTITUTE(SUBSTITUTE(SUBSTITUTE(TRIM(A892&amp;""),CHAR(160),"")," ",""),"년","")),"0000")=SUBSTITUTE(SUBSTITUTE(SUBSTITUTE(TRIM(A892&amp;""),CHAR(160),"")," ",""),"년","")),SUBSTITUTE(SUBSTITUTE(SUBSTITUTE(TRIM(A892&amp;""),CHAR(160),"")," ",""),"년",""),""),"")</f>
      </c>
      <c r="I892" t="str">
        <f>SUBSTITUTE(SUBSTITUTE(SUBSTITUTE(SUBSTITUTE(SUBSTITUTE(TRIM(B892&amp;""),CHAR(160),"")," ",""),"초등학교","초"),"중학교","중"),"고등학교","고")</f>
      </c>
    </row>
    <row r="893" customFormat="false" ht="15" hidden="false" customHeight="false" outlineLevel="0" collapsed="false">
      <c r="A893" s="8"/>
      <c r="B893" s="8"/>
      <c r="C893" s="8"/>
      <c r="D893" s="8"/>
      <c r="E893" s="8"/>
      <c r="F893" t="str" s="15">
        <f aca="0">IF(B893="","",IF(H893="","확인필요(입력누락)",IF(SUMPRODUCT((실물목록!$P$2:$P$1001&lt;&gt;"")*ISNUMBER(SEARCH(실물목록!$P$2:$P$1001,I893))*(실물목록!$Q$2:$Q$1001&lt;&gt;"")*ISNUMBER(SEARCH(실물목록!$Q$2:$Q$1001,I893))*(실물목록!$R$2:$R$1001="")*(실물목록!$O$2:$O$1001&lt;&gt;"")*(실물목록!$O$2:$O$1001=H893))&gt;0,"실물 있음",IF(SUMPRODUCT((실물목록!$P$2:$P$1001&lt;&gt;"")*ISNUMBER(SEARCH(실물목록!$P$2:$P$1001,I893))*(실물목록!$R$2:$R$1001&lt;&gt;""))&gt;0,"확인필요(입력누락)",IF(SUMPRODUCT((실물목록!$P$2:$P$1001&lt;&gt;"")*ISNUMBER(SEARCH(실물목록!$P$2:$P$1001,I893))*(실물목록!$Q$2:$Q$1001&lt;&gt;"")*ISNUMBER(SEARCH(실물목록!$Q$2:$Q$1001,I893))*(실물목록!$R$2:$R$1001="")*(실물목록!$O$2:$O$1001&lt;&gt;""))&gt;0,"확인필요(연도다름)","실물 없음")))))</f>
      </c>
      <c r="G893" t="n" s="16">
        <f aca="0">IF(B893="","",SUMPRODUCT((실물목록!$P$2:$P$1001&lt;&gt;"")*ISNUMBER(SEARCH(실물목록!$P$2:$P$1001,I893))*(실물목록!$Q$2:$Q$1001&lt;&gt;"")*ISNUMBER(SEARCH(실물목록!$Q$2:$Q$1001,I893))*(실물목록!$R$2:$R$1001="")*(실물목록!$O$2:$O$1001&lt;&gt;"")*(실물목록!$O$2:$O$1001=H893)))</f>
      </c>
      <c r="H893" t="str">
        <f>IFERROR(IF(AND(LEN(SUBSTITUTE(SUBSTITUTE(SUBSTITUTE(TRIM(A893&amp;""),CHAR(160),"")," ",""),"년",""))=4,VALUE(SUBSTITUTE(SUBSTITUTE(SUBSTITUTE(TRIM(A893&amp;""),CHAR(160),"")," ",""),"년",""))&gt;=1900,VALUE(SUBSTITUTE(SUBSTITUTE(SUBSTITUTE(TRIM(A893&amp;""),CHAR(160),"")," ",""),"년",""))&lt;=2099,TEXT(VALUE(SUBSTITUTE(SUBSTITUTE(SUBSTITUTE(TRIM(A893&amp;""),CHAR(160),"")," ",""),"년","")),"0000")=SUBSTITUTE(SUBSTITUTE(SUBSTITUTE(TRIM(A893&amp;""),CHAR(160),"")," ",""),"년","")),SUBSTITUTE(SUBSTITUTE(SUBSTITUTE(TRIM(A893&amp;""),CHAR(160),"")," ",""),"년",""),""),"")</f>
      </c>
      <c r="I893" t="str">
        <f>SUBSTITUTE(SUBSTITUTE(SUBSTITUTE(SUBSTITUTE(SUBSTITUTE(TRIM(B893&amp;""),CHAR(160),"")," ",""),"초등학교","초"),"중학교","중"),"고등학교","고")</f>
      </c>
    </row>
    <row r="894" customFormat="false" ht="15" hidden="false" customHeight="false" outlineLevel="0" collapsed="false">
      <c r="A894" s="8"/>
      <c r="B894" s="8"/>
      <c r="C894" s="8"/>
      <c r="D894" s="8"/>
      <c r="E894" s="8"/>
      <c r="F894" t="str" s="15">
        <f aca="0">IF(B894="","",IF(H894="","확인필요(입력누락)",IF(SUMPRODUCT((실물목록!$P$2:$P$1001&lt;&gt;"")*ISNUMBER(SEARCH(실물목록!$P$2:$P$1001,I894))*(실물목록!$Q$2:$Q$1001&lt;&gt;"")*ISNUMBER(SEARCH(실물목록!$Q$2:$Q$1001,I894))*(실물목록!$R$2:$R$1001="")*(실물목록!$O$2:$O$1001&lt;&gt;"")*(실물목록!$O$2:$O$1001=H894))&gt;0,"실물 있음",IF(SUMPRODUCT((실물목록!$P$2:$P$1001&lt;&gt;"")*ISNUMBER(SEARCH(실물목록!$P$2:$P$1001,I894))*(실물목록!$R$2:$R$1001&lt;&gt;""))&gt;0,"확인필요(입력누락)",IF(SUMPRODUCT((실물목록!$P$2:$P$1001&lt;&gt;"")*ISNUMBER(SEARCH(실물목록!$P$2:$P$1001,I894))*(실물목록!$Q$2:$Q$1001&lt;&gt;"")*ISNUMBER(SEARCH(실물목록!$Q$2:$Q$1001,I894))*(실물목록!$R$2:$R$1001="")*(실물목록!$O$2:$O$1001&lt;&gt;""))&gt;0,"확인필요(연도다름)","실물 없음")))))</f>
      </c>
      <c r="G894" t="n" s="16">
        <f aca="0">IF(B894="","",SUMPRODUCT((실물목록!$P$2:$P$1001&lt;&gt;"")*ISNUMBER(SEARCH(실물목록!$P$2:$P$1001,I894))*(실물목록!$Q$2:$Q$1001&lt;&gt;"")*ISNUMBER(SEARCH(실물목록!$Q$2:$Q$1001,I894))*(실물목록!$R$2:$R$1001="")*(실물목록!$O$2:$O$1001&lt;&gt;"")*(실물목록!$O$2:$O$1001=H894)))</f>
      </c>
      <c r="H894" t="str">
        <f>IFERROR(IF(AND(LEN(SUBSTITUTE(SUBSTITUTE(SUBSTITUTE(TRIM(A894&amp;""),CHAR(160),"")," ",""),"년",""))=4,VALUE(SUBSTITUTE(SUBSTITUTE(SUBSTITUTE(TRIM(A894&amp;""),CHAR(160),"")," ",""),"년",""))&gt;=1900,VALUE(SUBSTITUTE(SUBSTITUTE(SUBSTITUTE(TRIM(A894&amp;""),CHAR(160),"")," ",""),"년",""))&lt;=2099,TEXT(VALUE(SUBSTITUTE(SUBSTITUTE(SUBSTITUTE(TRIM(A894&amp;""),CHAR(160),"")," ",""),"년","")),"0000")=SUBSTITUTE(SUBSTITUTE(SUBSTITUTE(TRIM(A894&amp;""),CHAR(160),"")," ",""),"년","")),SUBSTITUTE(SUBSTITUTE(SUBSTITUTE(TRIM(A894&amp;""),CHAR(160),"")," ",""),"년",""),""),"")</f>
      </c>
      <c r="I894" t="str">
        <f>SUBSTITUTE(SUBSTITUTE(SUBSTITUTE(SUBSTITUTE(SUBSTITUTE(TRIM(B894&amp;""),CHAR(160),"")," ",""),"초등학교","초"),"중학교","중"),"고등학교","고")</f>
      </c>
    </row>
    <row r="895" customFormat="false" ht="15" hidden="false" customHeight="false" outlineLevel="0" collapsed="false">
      <c r="A895" s="8"/>
      <c r="B895" s="8"/>
      <c r="C895" s="8"/>
      <c r="D895" s="8"/>
      <c r="E895" s="8"/>
      <c r="F895" t="str" s="15">
        <f aca="0">IF(B895="","",IF(H895="","확인필요(입력누락)",IF(SUMPRODUCT((실물목록!$P$2:$P$1001&lt;&gt;"")*ISNUMBER(SEARCH(실물목록!$P$2:$P$1001,I895))*(실물목록!$Q$2:$Q$1001&lt;&gt;"")*ISNUMBER(SEARCH(실물목록!$Q$2:$Q$1001,I895))*(실물목록!$R$2:$R$1001="")*(실물목록!$O$2:$O$1001&lt;&gt;"")*(실물목록!$O$2:$O$1001=H895))&gt;0,"실물 있음",IF(SUMPRODUCT((실물목록!$P$2:$P$1001&lt;&gt;"")*ISNUMBER(SEARCH(실물목록!$P$2:$P$1001,I895))*(실물목록!$R$2:$R$1001&lt;&gt;""))&gt;0,"확인필요(입력누락)",IF(SUMPRODUCT((실물목록!$P$2:$P$1001&lt;&gt;"")*ISNUMBER(SEARCH(실물목록!$P$2:$P$1001,I895))*(실물목록!$Q$2:$Q$1001&lt;&gt;"")*ISNUMBER(SEARCH(실물목록!$Q$2:$Q$1001,I895))*(실물목록!$R$2:$R$1001="")*(실물목록!$O$2:$O$1001&lt;&gt;""))&gt;0,"확인필요(연도다름)","실물 없음")))))</f>
      </c>
      <c r="G895" t="n" s="16">
        <f aca="0">IF(B895="","",SUMPRODUCT((실물목록!$P$2:$P$1001&lt;&gt;"")*ISNUMBER(SEARCH(실물목록!$P$2:$P$1001,I895))*(실물목록!$Q$2:$Q$1001&lt;&gt;"")*ISNUMBER(SEARCH(실물목록!$Q$2:$Q$1001,I895))*(실물목록!$R$2:$R$1001="")*(실물목록!$O$2:$O$1001&lt;&gt;"")*(실물목록!$O$2:$O$1001=H895)))</f>
      </c>
      <c r="H895" t="str">
        <f>IFERROR(IF(AND(LEN(SUBSTITUTE(SUBSTITUTE(SUBSTITUTE(TRIM(A895&amp;""),CHAR(160),"")," ",""),"년",""))=4,VALUE(SUBSTITUTE(SUBSTITUTE(SUBSTITUTE(TRIM(A895&amp;""),CHAR(160),"")," ",""),"년",""))&gt;=1900,VALUE(SUBSTITUTE(SUBSTITUTE(SUBSTITUTE(TRIM(A895&amp;""),CHAR(160),"")," ",""),"년",""))&lt;=2099,TEXT(VALUE(SUBSTITUTE(SUBSTITUTE(SUBSTITUTE(TRIM(A895&amp;""),CHAR(160),"")," ",""),"년","")),"0000")=SUBSTITUTE(SUBSTITUTE(SUBSTITUTE(TRIM(A895&amp;""),CHAR(160),"")," ",""),"년","")),SUBSTITUTE(SUBSTITUTE(SUBSTITUTE(TRIM(A895&amp;""),CHAR(160),"")," ",""),"년",""),""),"")</f>
      </c>
      <c r="I895" t="str">
        <f>SUBSTITUTE(SUBSTITUTE(SUBSTITUTE(SUBSTITUTE(SUBSTITUTE(TRIM(B895&amp;""),CHAR(160),"")," ",""),"초등학교","초"),"중학교","중"),"고등학교","고")</f>
      </c>
    </row>
    <row r="896" customFormat="false" ht="15" hidden="false" customHeight="false" outlineLevel="0" collapsed="false">
      <c r="A896" s="8"/>
      <c r="B896" s="8"/>
      <c r="C896" s="8"/>
      <c r="D896" s="8"/>
      <c r="E896" s="8"/>
      <c r="F896" t="str" s="15">
        <f aca="0">IF(B896="","",IF(H896="","확인필요(입력누락)",IF(SUMPRODUCT((실물목록!$P$2:$P$1001&lt;&gt;"")*ISNUMBER(SEARCH(실물목록!$P$2:$P$1001,I896))*(실물목록!$Q$2:$Q$1001&lt;&gt;"")*ISNUMBER(SEARCH(실물목록!$Q$2:$Q$1001,I896))*(실물목록!$R$2:$R$1001="")*(실물목록!$O$2:$O$1001&lt;&gt;"")*(실물목록!$O$2:$O$1001=H896))&gt;0,"실물 있음",IF(SUMPRODUCT((실물목록!$P$2:$P$1001&lt;&gt;"")*ISNUMBER(SEARCH(실물목록!$P$2:$P$1001,I896))*(실물목록!$R$2:$R$1001&lt;&gt;""))&gt;0,"확인필요(입력누락)",IF(SUMPRODUCT((실물목록!$P$2:$P$1001&lt;&gt;"")*ISNUMBER(SEARCH(실물목록!$P$2:$P$1001,I896))*(실물목록!$Q$2:$Q$1001&lt;&gt;"")*ISNUMBER(SEARCH(실물목록!$Q$2:$Q$1001,I896))*(실물목록!$R$2:$R$1001="")*(실물목록!$O$2:$O$1001&lt;&gt;""))&gt;0,"확인필요(연도다름)","실물 없음")))))</f>
      </c>
      <c r="G896" t="n" s="16">
        <f aca="0">IF(B896="","",SUMPRODUCT((실물목록!$P$2:$P$1001&lt;&gt;"")*ISNUMBER(SEARCH(실물목록!$P$2:$P$1001,I896))*(실물목록!$Q$2:$Q$1001&lt;&gt;"")*ISNUMBER(SEARCH(실물목록!$Q$2:$Q$1001,I896))*(실물목록!$R$2:$R$1001="")*(실물목록!$O$2:$O$1001&lt;&gt;"")*(실물목록!$O$2:$O$1001=H896)))</f>
      </c>
      <c r="H896" t="str">
        <f>IFERROR(IF(AND(LEN(SUBSTITUTE(SUBSTITUTE(SUBSTITUTE(TRIM(A896&amp;""),CHAR(160),"")," ",""),"년",""))=4,VALUE(SUBSTITUTE(SUBSTITUTE(SUBSTITUTE(TRIM(A896&amp;""),CHAR(160),"")," ",""),"년",""))&gt;=1900,VALUE(SUBSTITUTE(SUBSTITUTE(SUBSTITUTE(TRIM(A896&amp;""),CHAR(160),"")," ",""),"년",""))&lt;=2099,TEXT(VALUE(SUBSTITUTE(SUBSTITUTE(SUBSTITUTE(TRIM(A896&amp;""),CHAR(160),"")," ",""),"년","")),"0000")=SUBSTITUTE(SUBSTITUTE(SUBSTITUTE(TRIM(A896&amp;""),CHAR(160),"")," ",""),"년","")),SUBSTITUTE(SUBSTITUTE(SUBSTITUTE(TRIM(A896&amp;""),CHAR(160),"")," ",""),"년",""),""),"")</f>
      </c>
      <c r="I896" t="str">
        <f>SUBSTITUTE(SUBSTITUTE(SUBSTITUTE(SUBSTITUTE(SUBSTITUTE(TRIM(B896&amp;""),CHAR(160),"")," ",""),"초등학교","초"),"중학교","중"),"고등학교","고")</f>
      </c>
    </row>
    <row r="897" customFormat="false" ht="15" hidden="false" customHeight="false" outlineLevel="0" collapsed="false">
      <c r="A897" s="8"/>
      <c r="B897" s="8"/>
      <c r="C897" s="8"/>
      <c r="D897" s="8"/>
      <c r="E897" s="8"/>
      <c r="F897" t="str" s="15">
        <f aca="0">IF(B897="","",IF(H897="","확인필요(입력누락)",IF(SUMPRODUCT((실물목록!$P$2:$P$1001&lt;&gt;"")*ISNUMBER(SEARCH(실물목록!$P$2:$P$1001,I897))*(실물목록!$Q$2:$Q$1001&lt;&gt;"")*ISNUMBER(SEARCH(실물목록!$Q$2:$Q$1001,I897))*(실물목록!$R$2:$R$1001="")*(실물목록!$O$2:$O$1001&lt;&gt;"")*(실물목록!$O$2:$O$1001=H897))&gt;0,"실물 있음",IF(SUMPRODUCT((실물목록!$P$2:$P$1001&lt;&gt;"")*ISNUMBER(SEARCH(실물목록!$P$2:$P$1001,I897))*(실물목록!$R$2:$R$1001&lt;&gt;""))&gt;0,"확인필요(입력누락)",IF(SUMPRODUCT((실물목록!$P$2:$P$1001&lt;&gt;"")*ISNUMBER(SEARCH(실물목록!$P$2:$P$1001,I897))*(실물목록!$Q$2:$Q$1001&lt;&gt;"")*ISNUMBER(SEARCH(실물목록!$Q$2:$Q$1001,I897))*(실물목록!$R$2:$R$1001="")*(실물목록!$O$2:$O$1001&lt;&gt;""))&gt;0,"확인필요(연도다름)","실물 없음")))))</f>
      </c>
      <c r="G897" t="n" s="16">
        <f aca="0">IF(B897="","",SUMPRODUCT((실물목록!$P$2:$P$1001&lt;&gt;"")*ISNUMBER(SEARCH(실물목록!$P$2:$P$1001,I897))*(실물목록!$Q$2:$Q$1001&lt;&gt;"")*ISNUMBER(SEARCH(실물목록!$Q$2:$Q$1001,I897))*(실물목록!$R$2:$R$1001="")*(실물목록!$O$2:$O$1001&lt;&gt;"")*(실물목록!$O$2:$O$1001=H897)))</f>
      </c>
      <c r="H897" t="str">
        <f>IFERROR(IF(AND(LEN(SUBSTITUTE(SUBSTITUTE(SUBSTITUTE(TRIM(A897&amp;""),CHAR(160),"")," ",""),"년",""))=4,VALUE(SUBSTITUTE(SUBSTITUTE(SUBSTITUTE(TRIM(A897&amp;""),CHAR(160),"")," ",""),"년",""))&gt;=1900,VALUE(SUBSTITUTE(SUBSTITUTE(SUBSTITUTE(TRIM(A897&amp;""),CHAR(160),"")," ",""),"년",""))&lt;=2099,TEXT(VALUE(SUBSTITUTE(SUBSTITUTE(SUBSTITUTE(TRIM(A897&amp;""),CHAR(160),"")," ",""),"년","")),"0000")=SUBSTITUTE(SUBSTITUTE(SUBSTITUTE(TRIM(A897&amp;""),CHAR(160),"")," ",""),"년","")),SUBSTITUTE(SUBSTITUTE(SUBSTITUTE(TRIM(A897&amp;""),CHAR(160),"")," ",""),"년",""),""),"")</f>
      </c>
      <c r="I897" t="str">
        <f>SUBSTITUTE(SUBSTITUTE(SUBSTITUTE(SUBSTITUTE(SUBSTITUTE(TRIM(B897&amp;""),CHAR(160),"")," ",""),"초등학교","초"),"중학교","중"),"고등학교","고")</f>
      </c>
    </row>
    <row r="898" customFormat="false" ht="15" hidden="false" customHeight="false" outlineLevel="0" collapsed="false">
      <c r="A898" s="8"/>
      <c r="B898" s="8"/>
      <c r="C898" s="8"/>
      <c r="D898" s="8"/>
      <c r="E898" s="8"/>
      <c r="F898" t="str" s="15">
        <f aca="0">IF(B898="","",IF(H898="","확인필요(입력누락)",IF(SUMPRODUCT((실물목록!$P$2:$P$1001&lt;&gt;"")*ISNUMBER(SEARCH(실물목록!$P$2:$P$1001,I898))*(실물목록!$Q$2:$Q$1001&lt;&gt;"")*ISNUMBER(SEARCH(실물목록!$Q$2:$Q$1001,I898))*(실물목록!$R$2:$R$1001="")*(실물목록!$O$2:$O$1001&lt;&gt;"")*(실물목록!$O$2:$O$1001=H898))&gt;0,"실물 있음",IF(SUMPRODUCT((실물목록!$P$2:$P$1001&lt;&gt;"")*ISNUMBER(SEARCH(실물목록!$P$2:$P$1001,I898))*(실물목록!$R$2:$R$1001&lt;&gt;""))&gt;0,"확인필요(입력누락)",IF(SUMPRODUCT((실물목록!$P$2:$P$1001&lt;&gt;"")*ISNUMBER(SEARCH(실물목록!$P$2:$P$1001,I898))*(실물목록!$Q$2:$Q$1001&lt;&gt;"")*ISNUMBER(SEARCH(실물목록!$Q$2:$Q$1001,I898))*(실물목록!$R$2:$R$1001="")*(실물목록!$O$2:$O$1001&lt;&gt;""))&gt;0,"확인필요(연도다름)","실물 없음")))))</f>
      </c>
      <c r="G898" t="n" s="16">
        <f aca="0">IF(B898="","",SUMPRODUCT((실물목록!$P$2:$P$1001&lt;&gt;"")*ISNUMBER(SEARCH(실물목록!$P$2:$P$1001,I898))*(실물목록!$Q$2:$Q$1001&lt;&gt;"")*ISNUMBER(SEARCH(실물목록!$Q$2:$Q$1001,I898))*(실물목록!$R$2:$R$1001="")*(실물목록!$O$2:$O$1001&lt;&gt;"")*(실물목록!$O$2:$O$1001=H898)))</f>
      </c>
      <c r="H898" t="str">
        <f>IFERROR(IF(AND(LEN(SUBSTITUTE(SUBSTITUTE(SUBSTITUTE(TRIM(A898&amp;""),CHAR(160),"")," ",""),"년",""))=4,VALUE(SUBSTITUTE(SUBSTITUTE(SUBSTITUTE(TRIM(A898&amp;""),CHAR(160),"")," ",""),"년",""))&gt;=1900,VALUE(SUBSTITUTE(SUBSTITUTE(SUBSTITUTE(TRIM(A898&amp;""),CHAR(160),"")," ",""),"년",""))&lt;=2099,TEXT(VALUE(SUBSTITUTE(SUBSTITUTE(SUBSTITUTE(TRIM(A898&amp;""),CHAR(160),"")," ",""),"년","")),"0000")=SUBSTITUTE(SUBSTITUTE(SUBSTITUTE(TRIM(A898&amp;""),CHAR(160),"")," ",""),"년","")),SUBSTITUTE(SUBSTITUTE(SUBSTITUTE(TRIM(A898&amp;""),CHAR(160),"")," ",""),"년",""),""),"")</f>
      </c>
      <c r="I898" t="str">
        <f>SUBSTITUTE(SUBSTITUTE(SUBSTITUTE(SUBSTITUTE(SUBSTITUTE(TRIM(B898&amp;""),CHAR(160),"")," ",""),"초등학교","초"),"중학교","중"),"고등학교","고")</f>
      </c>
    </row>
    <row r="899" customFormat="false" ht="15" hidden="false" customHeight="false" outlineLevel="0" collapsed="false">
      <c r="A899" s="8"/>
      <c r="B899" s="8"/>
      <c r="C899" s="8"/>
      <c r="D899" s="8"/>
      <c r="E899" s="8"/>
      <c r="F899" t="str" s="15">
        <f aca="0">IF(B899="","",IF(H899="","확인필요(입력누락)",IF(SUMPRODUCT((실물목록!$P$2:$P$1001&lt;&gt;"")*ISNUMBER(SEARCH(실물목록!$P$2:$P$1001,I899))*(실물목록!$Q$2:$Q$1001&lt;&gt;"")*ISNUMBER(SEARCH(실물목록!$Q$2:$Q$1001,I899))*(실물목록!$R$2:$R$1001="")*(실물목록!$O$2:$O$1001&lt;&gt;"")*(실물목록!$O$2:$O$1001=H899))&gt;0,"실물 있음",IF(SUMPRODUCT((실물목록!$P$2:$P$1001&lt;&gt;"")*ISNUMBER(SEARCH(실물목록!$P$2:$P$1001,I899))*(실물목록!$R$2:$R$1001&lt;&gt;""))&gt;0,"확인필요(입력누락)",IF(SUMPRODUCT((실물목록!$P$2:$P$1001&lt;&gt;"")*ISNUMBER(SEARCH(실물목록!$P$2:$P$1001,I899))*(실물목록!$Q$2:$Q$1001&lt;&gt;"")*ISNUMBER(SEARCH(실물목록!$Q$2:$Q$1001,I899))*(실물목록!$R$2:$R$1001="")*(실물목록!$O$2:$O$1001&lt;&gt;""))&gt;0,"확인필요(연도다름)","실물 없음")))))</f>
      </c>
      <c r="G899" t="n" s="16">
        <f aca="0">IF(B899="","",SUMPRODUCT((실물목록!$P$2:$P$1001&lt;&gt;"")*ISNUMBER(SEARCH(실물목록!$P$2:$P$1001,I899))*(실물목록!$Q$2:$Q$1001&lt;&gt;"")*ISNUMBER(SEARCH(실물목록!$Q$2:$Q$1001,I899))*(실물목록!$R$2:$R$1001="")*(실물목록!$O$2:$O$1001&lt;&gt;"")*(실물목록!$O$2:$O$1001=H899)))</f>
      </c>
      <c r="H899" t="str">
        <f>IFERROR(IF(AND(LEN(SUBSTITUTE(SUBSTITUTE(SUBSTITUTE(TRIM(A899&amp;""),CHAR(160),"")," ",""),"년",""))=4,VALUE(SUBSTITUTE(SUBSTITUTE(SUBSTITUTE(TRIM(A899&amp;""),CHAR(160),"")," ",""),"년",""))&gt;=1900,VALUE(SUBSTITUTE(SUBSTITUTE(SUBSTITUTE(TRIM(A899&amp;""),CHAR(160),"")," ",""),"년",""))&lt;=2099,TEXT(VALUE(SUBSTITUTE(SUBSTITUTE(SUBSTITUTE(TRIM(A899&amp;""),CHAR(160),"")," ",""),"년","")),"0000")=SUBSTITUTE(SUBSTITUTE(SUBSTITUTE(TRIM(A899&amp;""),CHAR(160),"")," ",""),"년","")),SUBSTITUTE(SUBSTITUTE(SUBSTITUTE(TRIM(A899&amp;""),CHAR(160),"")," ",""),"년",""),""),"")</f>
      </c>
      <c r="I899" t="str">
        <f>SUBSTITUTE(SUBSTITUTE(SUBSTITUTE(SUBSTITUTE(SUBSTITUTE(TRIM(B899&amp;""),CHAR(160),"")," ",""),"초등학교","초"),"중학교","중"),"고등학교","고")</f>
      </c>
    </row>
    <row r="900" customFormat="false" ht="15" hidden="false" customHeight="false" outlineLevel="0" collapsed="false">
      <c r="A900" s="8"/>
      <c r="B900" s="8"/>
      <c r="C900" s="8"/>
      <c r="D900" s="8"/>
      <c r="E900" s="8"/>
      <c r="F900" t="str" s="15">
        <f aca="0">IF(B900="","",IF(H900="","확인필요(입력누락)",IF(SUMPRODUCT((실물목록!$P$2:$P$1001&lt;&gt;"")*ISNUMBER(SEARCH(실물목록!$P$2:$P$1001,I900))*(실물목록!$Q$2:$Q$1001&lt;&gt;"")*ISNUMBER(SEARCH(실물목록!$Q$2:$Q$1001,I900))*(실물목록!$R$2:$R$1001="")*(실물목록!$O$2:$O$1001&lt;&gt;"")*(실물목록!$O$2:$O$1001=H900))&gt;0,"실물 있음",IF(SUMPRODUCT((실물목록!$P$2:$P$1001&lt;&gt;"")*ISNUMBER(SEARCH(실물목록!$P$2:$P$1001,I900))*(실물목록!$R$2:$R$1001&lt;&gt;""))&gt;0,"확인필요(입력누락)",IF(SUMPRODUCT((실물목록!$P$2:$P$1001&lt;&gt;"")*ISNUMBER(SEARCH(실물목록!$P$2:$P$1001,I900))*(실물목록!$Q$2:$Q$1001&lt;&gt;"")*ISNUMBER(SEARCH(실물목록!$Q$2:$Q$1001,I900))*(실물목록!$R$2:$R$1001="")*(실물목록!$O$2:$O$1001&lt;&gt;""))&gt;0,"확인필요(연도다름)","실물 없음")))))</f>
      </c>
      <c r="G900" t="n" s="16">
        <f aca="0">IF(B900="","",SUMPRODUCT((실물목록!$P$2:$P$1001&lt;&gt;"")*ISNUMBER(SEARCH(실물목록!$P$2:$P$1001,I900))*(실물목록!$Q$2:$Q$1001&lt;&gt;"")*ISNUMBER(SEARCH(실물목록!$Q$2:$Q$1001,I900))*(실물목록!$R$2:$R$1001="")*(실물목록!$O$2:$O$1001&lt;&gt;"")*(실물목록!$O$2:$O$1001=H900)))</f>
      </c>
      <c r="H900" t="str">
        <f>IFERROR(IF(AND(LEN(SUBSTITUTE(SUBSTITUTE(SUBSTITUTE(TRIM(A900&amp;""),CHAR(160),"")," ",""),"년",""))=4,VALUE(SUBSTITUTE(SUBSTITUTE(SUBSTITUTE(TRIM(A900&amp;""),CHAR(160),"")," ",""),"년",""))&gt;=1900,VALUE(SUBSTITUTE(SUBSTITUTE(SUBSTITUTE(TRIM(A900&amp;""),CHAR(160),"")," ",""),"년",""))&lt;=2099,TEXT(VALUE(SUBSTITUTE(SUBSTITUTE(SUBSTITUTE(TRIM(A900&amp;""),CHAR(160),"")," ",""),"년","")),"0000")=SUBSTITUTE(SUBSTITUTE(SUBSTITUTE(TRIM(A900&amp;""),CHAR(160),"")," ",""),"년","")),SUBSTITUTE(SUBSTITUTE(SUBSTITUTE(TRIM(A900&amp;""),CHAR(160),"")," ",""),"년",""),""),"")</f>
      </c>
      <c r="I900" t="str">
        <f>SUBSTITUTE(SUBSTITUTE(SUBSTITUTE(SUBSTITUTE(SUBSTITUTE(TRIM(B900&amp;""),CHAR(160),"")," ",""),"초등학교","초"),"중학교","중"),"고등학교","고")</f>
      </c>
    </row>
    <row r="901" customFormat="false" ht="15" hidden="false" customHeight="false" outlineLevel="0" collapsed="false">
      <c r="A901" s="8"/>
      <c r="B901" s="8"/>
      <c r="C901" s="8"/>
      <c r="D901" s="8"/>
      <c r="E901" s="8"/>
      <c r="F901" t="str" s="15">
        <f aca="0">IF(B901="","",IF(H901="","확인필요(입력누락)",IF(SUMPRODUCT((실물목록!$P$2:$P$1001&lt;&gt;"")*ISNUMBER(SEARCH(실물목록!$P$2:$P$1001,I901))*(실물목록!$Q$2:$Q$1001&lt;&gt;"")*ISNUMBER(SEARCH(실물목록!$Q$2:$Q$1001,I901))*(실물목록!$R$2:$R$1001="")*(실물목록!$O$2:$O$1001&lt;&gt;"")*(실물목록!$O$2:$O$1001=H901))&gt;0,"실물 있음",IF(SUMPRODUCT((실물목록!$P$2:$P$1001&lt;&gt;"")*ISNUMBER(SEARCH(실물목록!$P$2:$P$1001,I901))*(실물목록!$R$2:$R$1001&lt;&gt;""))&gt;0,"확인필요(입력누락)",IF(SUMPRODUCT((실물목록!$P$2:$P$1001&lt;&gt;"")*ISNUMBER(SEARCH(실물목록!$P$2:$P$1001,I901))*(실물목록!$Q$2:$Q$1001&lt;&gt;"")*ISNUMBER(SEARCH(실물목록!$Q$2:$Q$1001,I901))*(실물목록!$R$2:$R$1001="")*(실물목록!$O$2:$O$1001&lt;&gt;""))&gt;0,"확인필요(연도다름)","실물 없음")))))</f>
      </c>
      <c r="G901" t="n" s="16">
        <f aca="0">IF(B901="","",SUMPRODUCT((실물목록!$P$2:$P$1001&lt;&gt;"")*ISNUMBER(SEARCH(실물목록!$P$2:$P$1001,I901))*(실물목록!$Q$2:$Q$1001&lt;&gt;"")*ISNUMBER(SEARCH(실물목록!$Q$2:$Q$1001,I901))*(실물목록!$R$2:$R$1001="")*(실물목록!$O$2:$O$1001&lt;&gt;"")*(실물목록!$O$2:$O$1001=H901)))</f>
      </c>
      <c r="H901" t="str">
        <f>IFERROR(IF(AND(LEN(SUBSTITUTE(SUBSTITUTE(SUBSTITUTE(TRIM(A901&amp;""),CHAR(160),"")," ",""),"년",""))=4,VALUE(SUBSTITUTE(SUBSTITUTE(SUBSTITUTE(TRIM(A901&amp;""),CHAR(160),"")," ",""),"년",""))&gt;=1900,VALUE(SUBSTITUTE(SUBSTITUTE(SUBSTITUTE(TRIM(A901&amp;""),CHAR(160),"")," ",""),"년",""))&lt;=2099,TEXT(VALUE(SUBSTITUTE(SUBSTITUTE(SUBSTITUTE(TRIM(A901&amp;""),CHAR(160),"")," ",""),"년","")),"0000")=SUBSTITUTE(SUBSTITUTE(SUBSTITUTE(TRIM(A901&amp;""),CHAR(160),"")," ",""),"년","")),SUBSTITUTE(SUBSTITUTE(SUBSTITUTE(TRIM(A901&amp;""),CHAR(160),"")," ",""),"년",""),""),"")</f>
      </c>
      <c r="I901" t="str">
        <f>SUBSTITUTE(SUBSTITUTE(SUBSTITUTE(SUBSTITUTE(SUBSTITUTE(TRIM(B901&amp;""),CHAR(160),"")," ",""),"초등학교","초"),"중학교","중"),"고등학교","고")</f>
      </c>
    </row>
    <row r="902" customFormat="false" ht="15" hidden="false" customHeight="false" outlineLevel="0" collapsed="false">
      <c r="A902" s="8"/>
      <c r="B902" s="8"/>
      <c r="C902" s="8"/>
      <c r="D902" s="8"/>
      <c r="E902" s="8"/>
      <c r="F902" t="str" s="15">
        <f aca="0">IF(B902="","",IF(H902="","확인필요(입력누락)",IF(SUMPRODUCT((실물목록!$P$2:$P$1001&lt;&gt;"")*ISNUMBER(SEARCH(실물목록!$P$2:$P$1001,I902))*(실물목록!$Q$2:$Q$1001&lt;&gt;"")*ISNUMBER(SEARCH(실물목록!$Q$2:$Q$1001,I902))*(실물목록!$R$2:$R$1001="")*(실물목록!$O$2:$O$1001&lt;&gt;"")*(실물목록!$O$2:$O$1001=H902))&gt;0,"실물 있음",IF(SUMPRODUCT((실물목록!$P$2:$P$1001&lt;&gt;"")*ISNUMBER(SEARCH(실물목록!$P$2:$P$1001,I902))*(실물목록!$R$2:$R$1001&lt;&gt;""))&gt;0,"확인필요(입력누락)",IF(SUMPRODUCT((실물목록!$P$2:$P$1001&lt;&gt;"")*ISNUMBER(SEARCH(실물목록!$P$2:$P$1001,I902))*(실물목록!$Q$2:$Q$1001&lt;&gt;"")*ISNUMBER(SEARCH(실물목록!$Q$2:$Q$1001,I902))*(실물목록!$R$2:$R$1001="")*(실물목록!$O$2:$O$1001&lt;&gt;""))&gt;0,"확인필요(연도다름)","실물 없음")))))</f>
      </c>
      <c r="G902" t="n" s="16">
        <f aca="0">IF(B902="","",SUMPRODUCT((실물목록!$P$2:$P$1001&lt;&gt;"")*ISNUMBER(SEARCH(실물목록!$P$2:$P$1001,I902))*(실물목록!$Q$2:$Q$1001&lt;&gt;"")*ISNUMBER(SEARCH(실물목록!$Q$2:$Q$1001,I902))*(실물목록!$R$2:$R$1001="")*(실물목록!$O$2:$O$1001&lt;&gt;"")*(실물목록!$O$2:$O$1001=H902)))</f>
      </c>
      <c r="H902" t="str">
        <f>IFERROR(IF(AND(LEN(SUBSTITUTE(SUBSTITUTE(SUBSTITUTE(TRIM(A902&amp;""),CHAR(160),"")," ",""),"년",""))=4,VALUE(SUBSTITUTE(SUBSTITUTE(SUBSTITUTE(TRIM(A902&amp;""),CHAR(160),"")," ",""),"년",""))&gt;=1900,VALUE(SUBSTITUTE(SUBSTITUTE(SUBSTITUTE(TRIM(A902&amp;""),CHAR(160),"")," ",""),"년",""))&lt;=2099,TEXT(VALUE(SUBSTITUTE(SUBSTITUTE(SUBSTITUTE(TRIM(A902&amp;""),CHAR(160),"")," ",""),"년","")),"0000")=SUBSTITUTE(SUBSTITUTE(SUBSTITUTE(TRIM(A902&amp;""),CHAR(160),"")," ",""),"년","")),SUBSTITUTE(SUBSTITUTE(SUBSTITUTE(TRIM(A902&amp;""),CHAR(160),"")," ",""),"년",""),""),"")</f>
      </c>
      <c r="I902" t="str">
        <f>SUBSTITUTE(SUBSTITUTE(SUBSTITUTE(SUBSTITUTE(SUBSTITUTE(TRIM(B902&amp;""),CHAR(160),"")," ",""),"초등학교","초"),"중학교","중"),"고등학교","고")</f>
      </c>
    </row>
    <row r="903" customFormat="false" ht="15" hidden="false" customHeight="false" outlineLevel="0" collapsed="false">
      <c r="A903" s="8"/>
      <c r="B903" s="8"/>
      <c r="C903" s="8"/>
      <c r="D903" s="8"/>
      <c r="E903" s="8"/>
      <c r="F903" t="str" s="15">
        <f aca="0">IF(B903="","",IF(H903="","확인필요(입력누락)",IF(SUMPRODUCT((실물목록!$P$2:$P$1001&lt;&gt;"")*ISNUMBER(SEARCH(실물목록!$P$2:$P$1001,I903))*(실물목록!$Q$2:$Q$1001&lt;&gt;"")*ISNUMBER(SEARCH(실물목록!$Q$2:$Q$1001,I903))*(실물목록!$R$2:$R$1001="")*(실물목록!$O$2:$O$1001&lt;&gt;"")*(실물목록!$O$2:$O$1001=H903))&gt;0,"실물 있음",IF(SUMPRODUCT((실물목록!$P$2:$P$1001&lt;&gt;"")*ISNUMBER(SEARCH(실물목록!$P$2:$P$1001,I903))*(실물목록!$R$2:$R$1001&lt;&gt;""))&gt;0,"확인필요(입력누락)",IF(SUMPRODUCT((실물목록!$P$2:$P$1001&lt;&gt;"")*ISNUMBER(SEARCH(실물목록!$P$2:$P$1001,I903))*(실물목록!$Q$2:$Q$1001&lt;&gt;"")*ISNUMBER(SEARCH(실물목록!$Q$2:$Q$1001,I903))*(실물목록!$R$2:$R$1001="")*(실물목록!$O$2:$O$1001&lt;&gt;""))&gt;0,"확인필요(연도다름)","실물 없음")))))</f>
      </c>
      <c r="G903" t="n" s="16">
        <f aca="0">IF(B903="","",SUMPRODUCT((실물목록!$P$2:$P$1001&lt;&gt;"")*ISNUMBER(SEARCH(실물목록!$P$2:$P$1001,I903))*(실물목록!$Q$2:$Q$1001&lt;&gt;"")*ISNUMBER(SEARCH(실물목록!$Q$2:$Q$1001,I903))*(실물목록!$R$2:$R$1001="")*(실물목록!$O$2:$O$1001&lt;&gt;"")*(실물목록!$O$2:$O$1001=H903)))</f>
      </c>
      <c r="H903" t="str">
        <f>IFERROR(IF(AND(LEN(SUBSTITUTE(SUBSTITUTE(SUBSTITUTE(TRIM(A903&amp;""),CHAR(160),"")," ",""),"년",""))=4,VALUE(SUBSTITUTE(SUBSTITUTE(SUBSTITUTE(TRIM(A903&amp;""),CHAR(160),"")," ",""),"년",""))&gt;=1900,VALUE(SUBSTITUTE(SUBSTITUTE(SUBSTITUTE(TRIM(A903&amp;""),CHAR(160),"")," ",""),"년",""))&lt;=2099,TEXT(VALUE(SUBSTITUTE(SUBSTITUTE(SUBSTITUTE(TRIM(A903&amp;""),CHAR(160),"")," ",""),"년","")),"0000")=SUBSTITUTE(SUBSTITUTE(SUBSTITUTE(TRIM(A903&amp;""),CHAR(160),"")," ",""),"년","")),SUBSTITUTE(SUBSTITUTE(SUBSTITUTE(TRIM(A903&amp;""),CHAR(160),"")," ",""),"년",""),""),"")</f>
      </c>
      <c r="I903" t="str">
        <f>SUBSTITUTE(SUBSTITUTE(SUBSTITUTE(SUBSTITUTE(SUBSTITUTE(TRIM(B903&amp;""),CHAR(160),"")," ",""),"초등학교","초"),"중학교","중"),"고등학교","고")</f>
      </c>
    </row>
    <row r="904" customFormat="false" ht="15" hidden="false" customHeight="false" outlineLevel="0" collapsed="false">
      <c r="A904" s="8"/>
      <c r="B904" s="8"/>
      <c r="C904" s="8"/>
      <c r="D904" s="8"/>
      <c r="E904" s="8"/>
      <c r="F904" t="str" s="15">
        <f aca="0">IF(B904="","",IF(H904="","확인필요(입력누락)",IF(SUMPRODUCT((실물목록!$P$2:$P$1001&lt;&gt;"")*ISNUMBER(SEARCH(실물목록!$P$2:$P$1001,I904))*(실물목록!$Q$2:$Q$1001&lt;&gt;"")*ISNUMBER(SEARCH(실물목록!$Q$2:$Q$1001,I904))*(실물목록!$R$2:$R$1001="")*(실물목록!$O$2:$O$1001&lt;&gt;"")*(실물목록!$O$2:$O$1001=H904))&gt;0,"실물 있음",IF(SUMPRODUCT((실물목록!$P$2:$P$1001&lt;&gt;"")*ISNUMBER(SEARCH(실물목록!$P$2:$P$1001,I904))*(실물목록!$R$2:$R$1001&lt;&gt;""))&gt;0,"확인필요(입력누락)",IF(SUMPRODUCT((실물목록!$P$2:$P$1001&lt;&gt;"")*ISNUMBER(SEARCH(실물목록!$P$2:$P$1001,I904))*(실물목록!$Q$2:$Q$1001&lt;&gt;"")*ISNUMBER(SEARCH(실물목록!$Q$2:$Q$1001,I904))*(실물목록!$R$2:$R$1001="")*(실물목록!$O$2:$O$1001&lt;&gt;""))&gt;0,"확인필요(연도다름)","실물 없음")))))</f>
      </c>
      <c r="G904" t="n" s="16">
        <f aca="0">IF(B904="","",SUMPRODUCT((실물목록!$P$2:$P$1001&lt;&gt;"")*ISNUMBER(SEARCH(실물목록!$P$2:$P$1001,I904))*(실물목록!$Q$2:$Q$1001&lt;&gt;"")*ISNUMBER(SEARCH(실물목록!$Q$2:$Q$1001,I904))*(실물목록!$R$2:$R$1001="")*(실물목록!$O$2:$O$1001&lt;&gt;"")*(실물목록!$O$2:$O$1001=H904)))</f>
      </c>
      <c r="H904" t="str">
        <f>IFERROR(IF(AND(LEN(SUBSTITUTE(SUBSTITUTE(SUBSTITUTE(TRIM(A904&amp;""),CHAR(160),"")," ",""),"년",""))=4,VALUE(SUBSTITUTE(SUBSTITUTE(SUBSTITUTE(TRIM(A904&amp;""),CHAR(160),"")," ",""),"년",""))&gt;=1900,VALUE(SUBSTITUTE(SUBSTITUTE(SUBSTITUTE(TRIM(A904&amp;""),CHAR(160),"")," ",""),"년",""))&lt;=2099,TEXT(VALUE(SUBSTITUTE(SUBSTITUTE(SUBSTITUTE(TRIM(A904&amp;""),CHAR(160),"")," ",""),"년","")),"0000")=SUBSTITUTE(SUBSTITUTE(SUBSTITUTE(TRIM(A904&amp;""),CHAR(160),"")," ",""),"년","")),SUBSTITUTE(SUBSTITUTE(SUBSTITUTE(TRIM(A904&amp;""),CHAR(160),"")," ",""),"년",""),""),"")</f>
      </c>
      <c r="I904" t="str">
        <f>SUBSTITUTE(SUBSTITUTE(SUBSTITUTE(SUBSTITUTE(SUBSTITUTE(TRIM(B904&amp;""),CHAR(160),"")," ",""),"초등학교","초"),"중학교","중"),"고등학교","고")</f>
      </c>
    </row>
    <row r="905" customFormat="false" ht="15" hidden="false" customHeight="false" outlineLevel="0" collapsed="false">
      <c r="A905" s="8"/>
      <c r="B905" s="8"/>
      <c r="C905" s="8"/>
      <c r="D905" s="8"/>
      <c r="E905" s="8"/>
      <c r="F905" t="str" s="15">
        <f aca="0">IF(B905="","",IF(H905="","확인필요(입력누락)",IF(SUMPRODUCT((실물목록!$P$2:$P$1001&lt;&gt;"")*ISNUMBER(SEARCH(실물목록!$P$2:$P$1001,I905))*(실물목록!$Q$2:$Q$1001&lt;&gt;"")*ISNUMBER(SEARCH(실물목록!$Q$2:$Q$1001,I905))*(실물목록!$R$2:$R$1001="")*(실물목록!$O$2:$O$1001&lt;&gt;"")*(실물목록!$O$2:$O$1001=H905))&gt;0,"실물 있음",IF(SUMPRODUCT((실물목록!$P$2:$P$1001&lt;&gt;"")*ISNUMBER(SEARCH(실물목록!$P$2:$P$1001,I905))*(실물목록!$R$2:$R$1001&lt;&gt;""))&gt;0,"확인필요(입력누락)",IF(SUMPRODUCT((실물목록!$P$2:$P$1001&lt;&gt;"")*ISNUMBER(SEARCH(실물목록!$P$2:$P$1001,I905))*(실물목록!$Q$2:$Q$1001&lt;&gt;"")*ISNUMBER(SEARCH(실물목록!$Q$2:$Q$1001,I905))*(실물목록!$R$2:$R$1001="")*(실물목록!$O$2:$O$1001&lt;&gt;""))&gt;0,"확인필요(연도다름)","실물 없음")))))</f>
      </c>
      <c r="G905" t="n" s="16">
        <f aca="0">IF(B905="","",SUMPRODUCT((실물목록!$P$2:$P$1001&lt;&gt;"")*ISNUMBER(SEARCH(실물목록!$P$2:$P$1001,I905))*(실물목록!$Q$2:$Q$1001&lt;&gt;"")*ISNUMBER(SEARCH(실물목록!$Q$2:$Q$1001,I905))*(실물목록!$R$2:$R$1001="")*(실물목록!$O$2:$O$1001&lt;&gt;"")*(실물목록!$O$2:$O$1001=H905)))</f>
      </c>
      <c r="H905" t="str">
        <f>IFERROR(IF(AND(LEN(SUBSTITUTE(SUBSTITUTE(SUBSTITUTE(TRIM(A905&amp;""),CHAR(160),"")," ",""),"년",""))=4,VALUE(SUBSTITUTE(SUBSTITUTE(SUBSTITUTE(TRIM(A905&amp;""),CHAR(160),"")," ",""),"년",""))&gt;=1900,VALUE(SUBSTITUTE(SUBSTITUTE(SUBSTITUTE(TRIM(A905&amp;""),CHAR(160),"")," ",""),"년",""))&lt;=2099,TEXT(VALUE(SUBSTITUTE(SUBSTITUTE(SUBSTITUTE(TRIM(A905&amp;""),CHAR(160),"")," ",""),"년","")),"0000")=SUBSTITUTE(SUBSTITUTE(SUBSTITUTE(TRIM(A905&amp;""),CHAR(160),"")," ",""),"년","")),SUBSTITUTE(SUBSTITUTE(SUBSTITUTE(TRIM(A905&amp;""),CHAR(160),"")," ",""),"년",""),""),"")</f>
      </c>
      <c r="I905" t="str">
        <f>SUBSTITUTE(SUBSTITUTE(SUBSTITUTE(SUBSTITUTE(SUBSTITUTE(TRIM(B905&amp;""),CHAR(160),"")," ",""),"초등학교","초"),"중학교","중"),"고등학교","고")</f>
      </c>
    </row>
    <row r="906" customFormat="false" ht="15" hidden="false" customHeight="false" outlineLevel="0" collapsed="false">
      <c r="A906" s="8"/>
      <c r="B906" s="8"/>
      <c r="C906" s="8"/>
      <c r="D906" s="8"/>
      <c r="E906" s="8"/>
      <c r="F906" t="str" s="15">
        <f aca="0">IF(B906="","",IF(H906="","확인필요(입력누락)",IF(SUMPRODUCT((실물목록!$P$2:$P$1001&lt;&gt;"")*ISNUMBER(SEARCH(실물목록!$P$2:$P$1001,I906))*(실물목록!$Q$2:$Q$1001&lt;&gt;"")*ISNUMBER(SEARCH(실물목록!$Q$2:$Q$1001,I906))*(실물목록!$R$2:$R$1001="")*(실물목록!$O$2:$O$1001&lt;&gt;"")*(실물목록!$O$2:$O$1001=H906))&gt;0,"실물 있음",IF(SUMPRODUCT((실물목록!$P$2:$P$1001&lt;&gt;"")*ISNUMBER(SEARCH(실물목록!$P$2:$P$1001,I906))*(실물목록!$R$2:$R$1001&lt;&gt;""))&gt;0,"확인필요(입력누락)",IF(SUMPRODUCT((실물목록!$P$2:$P$1001&lt;&gt;"")*ISNUMBER(SEARCH(실물목록!$P$2:$P$1001,I906))*(실물목록!$Q$2:$Q$1001&lt;&gt;"")*ISNUMBER(SEARCH(실물목록!$Q$2:$Q$1001,I906))*(실물목록!$R$2:$R$1001="")*(실물목록!$O$2:$O$1001&lt;&gt;""))&gt;0,"확인필요(연도다름)","실물 없음")))))</f>
      </c>
      <c r="G906" t="n" s="16">
        <f aca="0">IF(B906="","",SUMPRODUCT((실물목록!$P$2:$P$1001&lt;&gt;"")*ISNUMBER(SEARCH(실물목록!$P$2:$P$1001,I906))*(실물목록!$Q$2:$Q$1001&lt;&gt;"")*ISNUMBER(SEARCH(실물목록!$Q$2:$Q$1001,I906))*(실물목록!$R$2:$R$1001="")*(실물목록!$O$2:$O$1001&lt;&gt;"")*(실물목록!$O$2:$O$1001=H906)))</f>
      </c>
      <c r="H906" t="str">
        <f>IFERROR(IF(AND(LEN(SUBSTITUTE(SUBSTITUTE(SUBSTITUTE(TRIM(A906&amp;""),CHAR(160),"")," ",""),"년",""))=4,VALUE(SUBSTITUTE(SUBSTITUTE(SUBSTITUTE(TRIM(A906&amp;""),CHAR(160),"")," ",""),"년",""))&gt;=1900,VALUE(SUBSTITUTE(SUBSTITUTE(SUBSTITUTE(TRIM(A906&amp;""),CHAR(160),"")," ",""),"년",""))&lt;=2099,TEXT(VALUE(SUBSTITUTE(SUBSTITUTE(SUBSTITUTE(TRIM(A906&amp;""),CHAR(160),"")," ",""),"년","")),"0000")=SUBSTITUTE(SUBSTITUTE(SUBSTITUTE(TRIM(A906&amp;""),CHAR(160),"")," ",""),"년","")),SUBSTITUTE(SUBSTITUTE(SUBSTITUTE(TRIM(A906&amp;""),CHAR(160),"")," ",""),"년",""),""),"")</f>
      </c>
      <c r="I906" t="str">
        <f>SUBSTITUTE(SUBSTITUTE(SUBSTITUTE(SUBSTITUTE(SUBSTITUTE(TRIM(B906&amp;""),CHAR(160),"")," ",""),"초등학교","초"),"중학교","중"),"고등학교","고")</f>
      </c>
    </row>
    <row r="907" customFormat="false" ht="15" hidden="false" customHeight="false" outlineLevel="0" collapsed="false">
      <c r="A907" s="8"/>
      <c r="B907" s="8"/>
      <c r="C907" s="8"/>
      <c r="D907" s="8"/>
      <c r="E907" s="8"/>
      <c r="F907" t="str" s="15">
        <f aca="0">IF(B907="","",IF(H907="","확인필요(입력누락)",IF(SUMPRODUCT((실물목록!$P$2:$P$1001&lt;&gt;"")*ISNUMBER(SEARCH(실물목록!$P$2:$P$1001,I907))*(실물목록!$Q$2:$Q$1001&lt;&gt;"")*ISNUMBER(SEARCH(실물목록!$Q$2:$Q$1001,I907))*(실물목록!$R$2:$R$1001="")*(실물목록!$O$2:$O$1001&lt;&gt;"")*(실물목록!$O$2:$O$1001=H907))&gt;0,"실물 있음",IF(SUMPRODUCT((실물목록!$P$2:$P$1001&lt;&gt;"")*ISNUMBER(SEARCH(실물목록!$P$2:$P$1001,I907))*(실물목록!$R$2:$R$1001&lt;&gt;""))&gt;0,"확인필요(입력누락)",IF(SUMPRODUCT((실물목록!$P$2:$P$1001&lt;&gt;"")*ISNUMBER(SEARCH(실물목록!$P$2:$P$1001,I907))*(실물목록!$Q$2:$Q$1001&lt;&gt;"")*ISNUMBER(SEARCH(실물목록!$Q$2:$Q$1001,I907))*(실물목록!$R$2:$R$1001="")*(실물목록!$O$2:$O$1001&lt;&gt;""))&gt;0,"확인필요(연도다름)","실물 없음")))))</f>
      </c>
      <c r="G907" t="n" s="16">
        <f aca="0">IF(B907="","",SUMPRODUCT((실물목록!$P$2:$P$1001&lt;&gt;"")*ISNUMBER(SEARCH(실물목록!$P$2:$P$1001,I907))*(실물목록!$Q$2:$Q$1001&lt;&gt;"")*ISNUMBER(SEARCH(실물목록!$Q$2:$Q$1001,I907))*(실물목록!$R$2:$R$1001="")*(실물목록!$O$2:$O$1001&lt;&gt;"")*(실물목록!$O$2:$O$1001=H907)))</f>
      </c>
      <c r="H907" t="str">
        <f>IFERROR(IF(AND(LEN(SUBSTITUTE(SUBSTITUTE(SUBSTITUTE(TRIM(A907&amp;""),CHAR(160),"")," ",""),"년",""))=4,VALUE(SUBSTITUTE(SUBSTITUTE(SUBSTITUTE(TRIM(A907&amp;""),CHAR(160),"")," ",""),"년",""))&gt;=1900,VALUE(SUBSTITUTE(SUBSTITUTE(SUBSTITUTE(TRIM(A907&amp;""),CHAR(160),"")," ",""),"년",""))&lt;=2099,TEXT(VALUE(SUBSTITUTE(SUBSTITUTE(SUBSTITUTE(TRIM(A907&amp;""),CHAR(160),"")," ",""),"년","")),"0000")=SUBSTITUTE(SUBSTITUTE(SUBSTITUTE(TRIM(A907&amp;""),CHAR(160),"")," ",""),"년","")),SUBSTITUTE(SUBSTITUTE(SUBSTITUTE(TRIM(A907&amp;""),CHAR(160),"")," ",""),"년",""),""),"")</f>
      </c>
      <c r="I907" t="str">
        <f>SUBSTITUTE(SUBSTITUTE(SUBSTITUTE(SUBSTITUTE(SUBSTITUTE(TRIM(B907&amp;""),CHAR(160),"")," ",""),"초등학교","초"),"중학교","중"),"고등학교","고")</f>
      </c>
    </row>
    <row r="908" customFormat="false" ht="15" hidden="false" customHeight="false" outlineLevel="0" collapsed="false">
      <c r="A908" s="8"/>
      <c r="B908" s="8"/>
      <c r="C908" s="8"/>
      <c r="D908" s="8"/>
      <c r="E908" s="8"/>
      <c r="F908" t="str" s="15">
        <f aca="0">IF(B908="","",IF(H908="","확인필요(입력누락)",IF(SUMPRODUCT((실물목록!$P$2:$P$1001&lt;&gt;"")*ISNUMBER(SEARCH(실물목록!$P$2:$P$1001,I908))*(실물목록!$Q$2:$Q$1001&lt;&gt;"")*ISNUMBER(SEARCH(실물목록!$Q$2:$Q$1001,I908))*(실물목록!$R$2:$R$1001="")*(실물목록!$O$2:$O$1001&lt;&gt;"")*(실물목록!$O$2:$O$1001=H908))&gt;0,"실물 있음",IF(SUMPRODUCT((실물목록!$P$2:$P$1001&lt;&gt;"")*ISNUMBER(SEARCH(실물목록!$P$2:$P$1001,I908))*(실물목록!$R$2:$R$1001&lt;&gt;""))&gt;0,"확인필요(입력누락)",IF(SUMPRODUCT((실물목록!$P$2:$P$1001&lt;&gt;"")*ISNUMBER(SEARCH(실물목록!$P$2:$P$1001,I908))*(실물목록!$Q$2:$Q$1001&lt;&gt;"")*ISNUMBER(SEARCH(실물목록!$Q$2:$Q$1001,I908))*(실물목록!$R$2:$R$1001="")*(실물목록!$O$2:$O$1001&lt;&gt;""))&gt;0,"확인필요(연도다름)","실물 없음")))))</f>
      </c>
      <c r="G908" t="n" s="16">
        <f aca="0">IF(B908="","",SUMPRODUCT((실물목록!$P$2:$P$1001&lt;&gt;"")*ISNUMBER(SEARCH(실물목록!$P$2:$P$1001,I908))*(실물목록!$Q$2:$Q$1001&lt;&gt;"")*ISNUMBER(SEARCH(실물목록!$Q$2:$Q$1001,I908))*(실물목록!$R$2:$R$1001="")*(실물목록!$O$2:$O$1001&lt;&gt;"")*(실물목록!$O$2:$O$1001=H908)))</f>
      </c>
      <c r="H908" t="str">
        <f>IFERROR(IF(AND(LEN(SUBSTITUTE(SUBSTITUTE(SUBSTITUTE(TRIM(A908&amp;""),CHAR(160),"")," ",""),"년",""))=4,VALUE(SUBSTITUTE(SUBSTITUTE(SUBSTITUTE(TRIM(A908&amp;""),CHAR(160),"")," ",""),"년",""))&gt;=1900,VALUE(SUBSTITUTE(SUBSTITUTE(SUBSTITUTE(TRIM(A908&amp;""),CHAR(160),"")," ",""),"년",""))&lt;=2099,TEXT(VALUE(SUBSTITUTE(SUBSTITUTE(SUBSTITUTE(TRIM(A908&amp;""),CHAR(160),"")," ",""),"년","")),"0000")=SUBSTITUTE(SUBSTITUTE(SUBSTITUTE(TRIM(A908&amp;""),CHAR(160),"")," ",""),"년","")),SUBSTITUTE(SUBSTITUTE(SUBSTITUTE(TRIM(A908&amp;""),CHAR(160),"")," ",""),"년",""),""),"")</f>
      </c>
      <c r="I908" t="str">
        <f>SUBSTITUTE(SUBSTITUTE(SUBSTITUTE(SUBSTITUTE(SUBSTITUTE(TRIM(B908&amp;""),CHAR(160),"")," ",""),"초등학교","초"),"중학교","중"),"고등학교","고")</f>
      </c>
    </row>
    <row r="909" customFormat="false" ht="15" hidden="false" customHeight="false" outlineLevel="0" collapsed="false">
      <c r="A909" s="8"/>
      <c r="B909" s="8"/>
      <c r="C909" s="8"/>
      <c r="D909" s="8"/>
      <c r="E909" s="8"/>
      <c r="F909" t="str" s="15">
        <f aca="0">IF(B909="","",IF(H909="","확인필요(입력누락)",IF(SUMPRODUCT((실물목록!$P$2:$P$1001&lt;&gt;"")*ISNUMBER(SEARCH(실물목록!$P$2:$P$1001,I909))*(실물목록!$Q$2:$Q$1001&lt;&gt;"")*ISNUMBER(SEARCH(실물목록!$Q$2:$Q$1001,I909))*(실물목록!$R$2:$R$1001="")*(실물목록!$O$2:$O$1001&lt;&gt;"")*(실물목록!$O$2:$O$1001=H909))&gt;0,"실물 있음",IF(SUMPRODUCT((실물목록!$P$2:$P$1001&lt;&gt;"")*ISNUMBER(SEARCH(실물목록!$P$2:$P$1001,I909))*(실물목록!$R$2:$R$1001&lt;&gt;""))&gt;0,"확인필요(입력누락)",IF(SUMPRODUCT((실물목록!$P$2:$P$1001&lt;&gt;"")*ISNUMBER(SEARCH(실물목록!$P$2:$P$1001,I909))*(실물목록!$Q$2:$Q$1001&lt;&gt;"")*ISNUMBER(SEARCH(실물목록!$Q$2:$Q$1001,I909))*(실물목록!$R$2:$R$1001="")*(실물목록!$O$2:$O$1001&lt;&gt;""))&gt;0,"확인필요(연도다름)","실물 없음")))))</f>
      </c>
      <c r="G909" t="n" s="16">
        <f aca="0">IF(B909="","",SUMPRODUCT((실물목록!$P$2:$P$1001&lt;&gt;"")*ISNUMBER(SEARCH(실물목록!$P$2:$P$1001,I909))*(실물목록!$Q$2:$Q$1001&lt;&gt;"")*ISNUMBER(SEARCH(실물목록!$Q$2:$Q$1001,I909))*(실물목록!$R$2:$R$1001="")*(실물목록!$O$2:$O$1001&lt;&gt;"")*(실물목록!$O$2:$O$1001=H909)))</f>
      </c>
      <c r="H909" t="str">
        <f>IFERROR(IF(AND(LEN(SUBSTITUTE(SUBSTITUTE(SUBSTITUTE(TRIM(A909&amp;""),CHAR(160),"")," ",""),"년",""))=4,VALUE(SUBSTITUTE(SUBSTITUTE(SUBSTITUTE(TRIM(A909&amp;""),CHAR(160),"")," ",""),"년",""))&gt;=1900,VALUE(SUBSTITUTE(SUBSTITUTE(SUBSTITUTE(TRIM(A909&amp;""),CHAR(160),"")," ",""),"년",""))&lt;=2099,TEXT(VALUE(SUBSTITUTE(SUBSTITUTE(SUBSTITUTE(TRIM(A909&amp;""),CHAR(160),"")," ",""),"년","")),"0000")=SUBSTITUTE(SUBSTITUTE(SUBSTITUTE(TRIM(A909&amp;""),CHAR(160),"")," ",""),"년","")),SUBSTITUTE(SUBSTITUTE(SUBSTITUTE(TRIM(A909&amp;""),CHAR(160),"")," ",""),"년",""),""),"")</f>
      </c>
      <c r="I909" t="str">
        <f>SUBSTITUTE(SUBSTITUTE(SUBSTITUTE(SUBSTITUTE(SUBSTITUTE(TRIM(B909&amp;""),CHAR(160),"")," ",""),"초등학교","초"),"중학교","중"),"고등학교","고")</f>
      </c>
    </row>
    <row r="910" customFormat="false" ht="15" hidden="false" customHeight="false" outlineLevel="0" collapsed="false">
      <c r="A910" s="8"/>
      <c r="B910" s="8"/>
      <c r="C910" s="8"/>
      <c r="D910" s="8"/>
      <c r="E910" s="8"/>
      <c r="F910" t="str" s="15">
        <f aca="0">IF(B910="","",IF(H910="","확인필요(입력누락)",IF(SUMPRODUCT((실물목록!$P$2:$P$1001&lt;&gt;"")*ISNUMBER(SEARCH(실물목록!$P$2:$P$1001,I910))*(실물목록!$Q$2:$Q$1001&lt;&gt;"")*ISNUMBER(SEARCH(실물목록!$Q$2:$Q$1001,I910))*(실물목록!$R$2:$R$1001="")*(실물목록!$O$2:$O$1001&lt;&gt;"")*(실물목록!$O$2:$O$1001=H910))&gt;0,"실물 있음",IF(SUMPRODUCT((실물목록!$P$2:$P$1001&lt;&gt;"")*ISNUMBER(SEARCH(실물목록!$P$2:$P$1001,I910))*(실물목록!$R$2:$R$1001&lt;&gt;""))&gt;0,"확인필요(입력누락)",IF(SUMPRODUCT((실물목록!$P$2:$P$1001&lt;&gt;"")*ISNUMBER(SEARCH(실물목록!$P$2:$P$1001,I910))*(실물목록!$Q$2:$Q$1001&lt;&gt;"")*ISNUMBER(SEARCH(실물목록!$Q$2:$Q$1001,I910))*(실물목록!$R$2:$R$1001="")*(실물목록!$O$2:$O$1001&lt;&gt;""))&gt;0,"확인필요(연도다름)","실물 없음")))))</f>
      </c>
      <c r="G910" t="n" s="16">
        <f aca="0">IF(B910="","",SUMPRODUCT((실물목록!$P$2:$P$1001&lt;&gt;"")*ISNUMBER(SEARCH(실물목록!$P$2:$P$1001,I910))*(실물목록!$Q$2:$Q$1001&lt;&gt;"")*ISNUMBER(SEARCH(실물목록!$Q$2:$Q$1001,I910))*(실물목록!$R$2:$R$1001="")*(실물목록!$O$2:$O$1001&lt;&gt;"")*(실물목록!$O$2:$O$1001=H910)))</f>
      </c>
      <c r="H910" t="str">
        <f>IFERROR(IF(AND(LEN(SUBSTITUTE(SUBSTITUTE(SUBSTITUTE(TRIM(A910&amp;""),CHAR(160),"")," ",""),"년",""))=4,VALUE(SUBSTITUTE(SUBSTITUTE(SUBSTITUTE(TRIM(A910&amp;""),CHAR(160),"")," ",""),"년",""))&gt;=1900,VALUE(SUBSTITUTE(SUBSTITUTE(SUBSTITUTE(TRIM(A910&amp;""),CHAR(160),"")," ",""),"년",""))&lt;=2099,TEXT(VALUE(SUBSTITUTE(SUBSTITUTE(SUBSTITUTE(TRIM(A910&amp;""),CHAR(160),"")," ",""),"년","")),"0000")=SUBSTITUTE(SUBSTITUTE(SUBSTITUTE(TRIM(A910&amp;""),CHAR(160),"")," ",""),"년","")),SUBSTITUTE(SUBSTITUTE(SUBSTITUTE(TRIM(A910&amp;""),CHAR(160),"")," ",""),"년",""),""),"")</f>
      </c>
      <c r="I910" t="str">
        <f>SUBSTITUTE(SUBSTITUTE(SUBSTITUTE(SUBSTITUTE(SUBSTITUTE(TRIM(B910&amp;""),CHAR(160),"")," ",""),"초등학교","초"),"중학교","중"),"고등학교","고")</f>
      </c>
    </row>
    <row r="911" customFormat="false" ht="15" hidden="false" customHeight="false" outlineLevel="0" collapsed="false">
      <c r="A911" s="8"/>
      <c r="B911" s="8"/>
      <c r="C911" s="8"/>
      <c r="D911" s="8"/>
      <c r="E911" s="8"/>
      <c r="F911" t="str" s="15">
        <f aca="0">IF(B911="","",IF(H911="","확인필요(입력누락)",IF(SUMPRODUCT((실물목록!$P$2:$P$1001&lt;&gt;"")*ISNUMBER(SEARCH(실물목록!$P$2:$P$1001,I911))*(실물목록!$Q$2:$Q$1001&lt;&gt;"")*ISNUMBER(SEARCH(실물목록!$Q$2:$Q$1001,I911))*(실물목록!$R$2:$R$1001="")*(실물목록!$O$2:$O$1001&lt;&gt;"")*(실물목록!$O$2:$O$1001=H911))&gt;0,"실물 있음",IF(SUMPRODUCT((실물목록!$P$2:$P$1001&lt;&gt;"")*ISNUMBER(SEARCH(실물목록!$P$2:$P$1001,I911))*(실물목록!$R$2:$R$1001&lt;&gt;""))&gt;0,"확인필요(입력누락)",IF(SUMPRODUCT((실물목록!$P$2:$P$1001&lt;&gt;"")*ISNUMBER(SEARCH(실물목록!$P$2:$P$1001,I911))*(실물목록!$Q$2:$Q$1001&lt;&gt;"")*ISNUMBER(SEARCH(실물목록!$Q$2:$Q$1001,I911))*(실물목록!$R$2:$R$1001="")*(실물목록!$O$2:$O$1001&lt;&gt;""))&gt;0,"확인필요(연도다름)","실물 없음")))))</f>
      </c>
      <c r="G911" t="n" s="16">
        <f aca="0">IF(B911="","",SUMPRODUCT((실물목록!$P$2:$P$1001&lt;&gt;"")*ISNUMBER(SEARCH(실물목록!$P$2:$P$1001,I911))*(실물목록!$Q$2:$Q$1001&lt;&gt;"")*ISNUMBER(SEARCH(실물목록!$Q$2:$Q$1001,I911))*(실물목록!$R$2:$R$1001="")*(실물목록!$O$2:$O$1001&lt;&gt;"")*(실물목록!$O$2:$O$1001=H911)))</f>
      </c>
      <c r="H911" t="str">
        <f>IFERROR(IF(AND(LEN(SUBSTITUTE(SUBSTITUTE(SUBSTITUTE(TRIM(A911&amp;""),CHAR(160),"")," ",""),"년",""))=4,VALUE(SUBSTITUTE(SUBSTITUTE(SUBSTITUTE(TRIM(A911&amp;""),CHAR(160),"")," ",""),"년",""))&gt;=1900,VALUE(SUBSTITUTE(SUBSTITUTE(SUBSTITUTE(TRIM(A911&amp;""),CHAR(160),"")," ",""),"년",""))&lt;=2099,TEXT(VALUE(SUBSTITUTE(SUBSTITUTE(SUBSTITUTE(TRIM(A911&amp;""),CHAR(160),"")," ",""),"년","")),"0000")=SUBSTITUTE(SUBSTITUTE(SUBSTITUTE(TRIM(A911&amp;""),CHAR(160),"")," ",""),"년","")),SUBSTITUTE(SUBSTITUTE(SUBSTITUTE(TRIM(A911&amp;""),CHAR(160),"")," ",""),"년",""),""),"")</f>
      </c>
      <c r="I911" t="str">
        <f>SUBSTITUTE(SUBSTITUTE(SUBSTITUTE(SUBSTITUTE(SUBSTITUTE(TRIM(B911&amp;""),CHAR(160),"")," ",""),"초등학교","초"),"중학교","중"),"고등학교","고")</f>
      </c>
    </row>
    <row r="912" customFormat="false" ht="15" hidden="false" customHeight="false" outlineLevel="0" collapsed="false">
      <c r="A912" s="8"/>
      <c r="B912" s="8"/>
      <c r="C912" s="8"/>
      <c r="D912" s="8"/>
      <c r="E912" s="8"/>
      <c r="F912" t="str" s="15">
        <f aca="0">IF(B912="","",IF(H912="","확인필요(입력누락)",IF(SUMPRODUCT((실물목록!$P$2:$P$1001&lt;&gt;"")*ISNUMBER(SEARCH(실물목록!$P$2:$P$1001,I912))*(실물목록!$Q$2:$Q$1001&lt;&gt;"")*ISNUMBER(SEARCH(실물목록!$Q$2:$Q$1001,I912))*(실물목록!$R$2:$R$1001="")*(실물목록!$O$2:$O$1001&lt;&gt;"")*(실물목록!$O$2:$O$1001=H912))&gt;0,"실물 있음",IF(SUMPRODUCT((실물목록!$P$2:$P$1001&lt;&gt;"")*ISNUMBER(SEARCH(실물목록!$P$2:$P$1001,I912))*(실물목록!$R$2:$R$1001&lt;&gt;""))&gt;0,"확인필요(입력누락)",IF(SUMPRODUCT((실물목록!$P$2:$P$1001&lt;&gt;"")*ISNUMBER(SEARCH(실물목록!$P$2:$P$1001,I912))*(실물목록!$Q$2:$Q$1001&lt;&gt;"")*ISNUMBER(SEARCH(실물목록!$Q$2:$Q$1001,I912))*(실물목록!$R$2:$R$1001="")*(실물목록!$O$2:$O$1001&lt;&gt;""))&gt;0,"확인필요(연도다름)","실물 없음")))))</f>
      </c>
      <c r="G912" t="n" s="16">
        <f aca="0">IF(B912="","",SUMPRODUCT((실물목록!$P$2:$P$1001&lt;&gt;"")*ISNUMBER(SEARCH(실물목록!$P$2:$P$1001,I912))*(실물목록!$Q$2:$Q$1001&lt;&gt;"")*ISNUMBER(SEARCH(실물목록!$Q$2:$Q$1001,I912))*(실물목록!$R$2:$R$1001="")*(실물목록!$O$2:$O$1001&lt;&gt;"")*(실물목록!$O$2:$O$1001=H912)))</f>
      </c>
      <c r="H912" t="str">
        <f>IFERROR(IF(AND(LEN(SUBSTITUTE(SUBSTITUTE(SUBSTITUTE(TRIM(A912&amp;""),CHAR(160),"")," ",""),"년",""))=4,VALUE(SUBSTITUTE(SUBSTITUTE(SUBSTITUTE(TRIM(A912&amp;""),CHAR(160),"")," ",""),"년",""))&gt;=1900,VALUE(SUBSTITUTE(SUBSTITUTE(SUBSTITUTE(TRIM(A912&amp;""),CHAR(160),"")," ",""),"년",""))&lt;=2099,TEXT(VALUE(SUBSTITUTE(SUBSTITUTE(SUBSTITUTE(TRIM(A912&amp;""),CHAR(160),"")," ",""),"년","")),"0000")=SUBSTITUTE(SUBSTITUTE(SUBSTITUTE(TRIM(A912&amp;""),CHAR(160),"")," ",""),"년","")),SUBSTITUTE(SUBSTITUTE(SUBSTITUTE(TRIM(A912&amp;""),CHAR(160),"")," ",""),"년",""),""),"")</f>
      </c>
      <c r="I912" t="str">
        <f>SUBSTITUTE(SUBSTITUTE(SUBSTITUTE(SUBSTITUTE(SUBSTITUTE(TRIM(B912&amp;""),CHAR(160),"")," ",""),"초등학교","초"),"중학교","중"),"고등학교","고")</f>
      </c>
    </row>
    <row r="913" customFormat="false" ht="15" hidden="false" customHeight="false" outlineLevel="0" collapsed="false">
      <c r="A913" s="8"/>
      <c r="B913" s="8"/>
      <c r="C913" s="8"/>
      <c r="D913" s="8"/>
      <c r="E913" s="8"/>
      <c r="F913" t="str" s="15">
        <f aca="0">IF(B913="","",IF(H913="","확인필요(입력누락)",IF(SUMPRODUCT((실물목록!$P$2:$P$1001&lt;&gt;"")*ISNUMBER(SEARCH(실물목록!$P$2:$P$1001,I913))*(실물목록!$Q$2:$Q$1001&lt;&gt;"")*ISNUMBER(SEARCH(실물목록!$Q$2:$Q$1001,I913))*(실물목록!$R$2:$R$1001="")*(실물목록!$O$2:$O$1001&lt;&gt;"")*(실물목록!$O$2:$O$1001=H913))&gt;0,"실물 있음",IF(SUMPRODUCT((실물목록!$P$2:$P$1001&lt;&gt;"")*ISNUMBER(SEARCH(실물목록!$P$2:$P$1001,I913))*(실물목록!$R$2:$R$1001&lt;&gt;""))&gt;0,"확인필요(입력누락)",IF(SUMPRODUCT((실물목록!$P$2:$P$1001&lt;&gt;"")*ISNUMBER(SEARCH(실물목록!$P$2:$P$1001,I913))*(실물목록!$Q$2:$Q$1001&lt;&gt;"")*ISNUMBER(SEARCH(실물목록!$Q$2:$Q$1001,I913))*(실물목록!$R$2:$R$1001="")*(실물목록!$O$2:$O$1001&lt;&gt;""))&gt;0,"확인필요(연도다름)","실물 없음")))))</f>
      </c>
      <c r="G913" t="n" s="16">
        <f aca="0">IF(B913="","",SUMPRODUCT((실물목록!$P$2:$P$1001&lt;&gt;"")*ISNUMBER(SEARCH(실물목록!$P$2:$P$1001,I913))*(실물목록!$Q$2:$Q$1001&lt;&gt;"")*ISNUMBER(SEARCH(실물목록!$Q$2:$Q$1001,I913))*(실물목록!$R$2:$R$1001="")*(실물목록!$O$2:$O$1001&lt;&gt;"")*(실물목록!$O$2:$O$1001=H913)))</f>
      </c>
      <c r="H913" t="str">
        <f>IFERROR(IF(AND(LEN(SUBSTITUTE(SUBSTITUTE(SUBSTITUTE(TRIM(A913&amp;""),CHAR(160),"")," ",""),"년",""))=4,VALUE(SUBSTITUTE(SUBSTITUTE(SUBSTITUTE(TRIM(A913&amp;""),CHAR(160),"")," ",""),"년",""))&gt;=1900,VALUE(SUBSTITUTE(SUBSTITUTE(SUBSTITUTE(TRIM(A913&amp;""),CHAR(160),"")," ",""),"년",""))&lt;=2099,TEXT(VALUE(SUBSTITUTE(SUBSTITUTE(SUBSTITUTE(TRIM(A913&amp;""),CHAR(160),"")," ",""),"년","")),"0000")=SUBSTITUTE(SUBSTITUTE(SUBSTITUTE(TRIM(A913&amp;""),CHAR(160),"")," ",""),"년","")),SUBSTITUTE(SUBSTITUTE(SUBSTITUTE(TRIM(A913&amp;""),CHAR(160),"")," ",""),"년",""),""),"")</f>
      </c>
      <c r="I913" t="str">
        <f>SUBSTITUTE(SUBSTITUTE(SUBSTITUTE(SUBSTITUTE(SUBSTITUTE(TRIM(B913&amp;""),CHAR(160),"")," ",""),"초등학교","초"),"중학교","중"),"고등학교","고")</f>
      </c>
    </row>
    <row r="914" customFormat="false" ht="15" hidden="false" customHeight="false" outlineLevel="0" collapsed="false">
      <c r="A914" s="8"/>
      <c r="B914" s="8"/>
      <c r="C914" s="8"/>
      <c r="D914" s="8"/>
      <c r="E914" s="8"/>
      <c r="F914" t="str" s="15">
        <f aca="0">IF(B914="","",IF(H914="","확인필요(입력누락)",IF(SUMPRODUCT((실물목록!$P$2:$P$1001&lt;&gt;"")*ISNUMBER(SEARCH(실물목록!$P$2:$P$1001,I914))*(실물목록!$Q$2:$Q$1001&lt;&gt;"")*ISNUMBER(SEARCH(실물목록!$Q$2:$Q$1001,I914))*(실물목록!$R$2:$R$1001="")*(실물목록!$O$2:$O$1001&lt;&gt;"")*(실물목록!$O$2:$O$1001=H914))&gt;0,"실물 있음",IF(SUMPRODUCT((실물목록!$P$2:$P$1001&lt;&gt;"")*ISNUMBER(SEARCH(실물목록!$P$2:$P$1001,I914))*(실물목록!$R$2:$R$1001&lt;&gt;""))&gt;0,"확인필요(입력누락)",IF(SUMPRODUCT((실물목록!$P$2:$P$1001&lt;&gt;"")*ISNUMBER(SEARCH(실물목록!$P$2:$P$1001,I914))*(실물목록!$Q$2:$Q$1001&lt;&gt;"")*ISNUMBER(SEARCH(실물목록!$Q$2:$Q$1001,I914))*(실물목록!$R$2:$R$1001="")*(실물목록!$O$2:$O$1001&lt;&gt;""))&gt;0,"확인필요(연도다름)","실물 없음")))))</f>
      </c>
      <c r="G914" t="n" s="16">
        <f aca="0">IF(B914="","",SUMPRODUCT((실물목록!$P$2:$P$1001&lt;&gt;"")*ISNUMBER(SEARCH(실물목록!$P$2:$P$1001,I914))*(실물목록!$Q$2:$Q$1001&lt;&gt;"")*ISNUMBER(SEARCH(실물목록!$Q$2:$Q$1001,I914))*(실물목록!$R$2:$R$1001="")*(실물목록!$O$2:$O$1001&lt;&gt;"")*(실물목록!$O$2:$O$1001=H914)))</f>
      </c>
      <c r="H914" t="str">
        <f>IFERROR(IF(AND(LEN(SUBSTITUTE(SUBSTITUTE(SUBSTITUTE(TRIM(A914&amp;""),CHAR(160),"")," ",""),"년",""))=4,VALUE(SUBSTITUTE(SUBSTITUTE(SUBSTITUTE(TRIM(A914&amp;""),CHAR(160),"")," ",""),"년",""))&gt;=1900,VALUE(SUBSTITUTE(SUBSTITUTE(SUBSTITUTE(TRIM(A914&amp;""),CHAR(160),"")," ",""),"년",""))&lt;=2099,TEXT(VALUE(SUBSTITUTE(SUBSTITUTE(SUBSTITUTE(TRIM(A914&amp;""),CHAR(160),"")," ",""),"년","")),"0000")=SUBSTITUTE(SUBSTITUTE(SUBSTITUTE(TRIM(A914&amp;""),CHAR(160),"")," ",""),"년","")),SUBSTITUTE(SUBSTITUTE(SUBSTITUTE(TRIM(A914&amp;""),CHAR(160),"")," ",""),"년",""),""),"")</f>
      </c>
      <c r="I914" t="str">
        <f>SUBSTITUTE(SUBSTITUTE(SUBSTITUTE(SUBSTITUTE(SUBSTITUTE(TRIM(B914&amp;""),CHAR(160),"")," ",""),"초등학교","초"),"중학교","중"),"고등학교","고")</f>
      </c>
    </row>
    <row r="915" customFormat="false" ht="15" hidden="false" customHeight="false" outlineLevel="0" collapsed="false">
      <c r="A915" s="8"/>
      <c r="B915" s="8"/>
      <c r="C915" s="8"/>
      <c r="D915" s="8"/>
      <c r="E915" s="8"/>
      <c r="F915" t="str" s="15">
        <f aca="0">IF(B915="","",IF(H915="","확인필요(입력누락)",IF(SUMPRODUCT((실물목록!$P$2:$P$1001&lt;&gt;"")*ISNUMBER(SEARCH(실물목록!$P$2:$P$1001,I915))*(실물목록!$Q$2:$Q$1001&lt;&gt;"")*ISNUMBER(SEARCH(실물목록!$Q$2:$Q$1001,I915))*(실물목록!$R$2:$R$1001="")*(실물목록!$O$2:$O$1001&lt;&gt;"")*(실물목록!$O$2:$O$1001=H915))&gt;0,"실물 있음",IF(SUMPRODUCT((실물목록!$P$2:$P$1001&lt;&gt;"")*ISNUMBER(SEARCH(실물목록!$P$2:$P$1001,I915))*(실물목록!$R$2:$R$1001&lt;&gt;""))&gt;0,"확인필요(입력누락)",IF(SUMPRODUCT((실물목록!$P$2:$P$1001&lt;&gt;"")*ISNUMBER(SEARCH(실물목록!$P$2:$P$1001,I915))*(실물목록!$Q$2:$Q$1001&lt;&gt;"")*ISNUMBER(SEARCH(실물목록!$Q$2:$Q$1001,I915))*(실물목록!$R$2:$R$1001="")*(실물목록!$O$2:$O$1001&lt;&gt;""))&gt;0,"확인필요(연도다름)","실물 없음")))))</f>
      </c>
      <c r="G915" t="n" s="16">
        <f aca="0">IF(B915="","",SUMPRODUCT((실물목록!$P$2:$P$1001&lt;&gt;"")*ISNUMBER(SEARCH(실물목록!$P$2:$P$1001,I915))*(실물목록!$Q$2:$Q$1001&lt;&gt;"")*ISNUMBER(SEARCH(실물목록!$Q$2:$Q$1001,I915))*(실물목록!$R$2:$R$1001="")*(실물목록!$O$2:$O$1001&lt;&gt;"")*(실물목록!$O$2:$O$1001=H915)))</f>
      </c>
      <c r="H915" t="str">
        <f>IFERROR(IF(AND(LEN(SUBSTITUTE(SUBSTITUTE(SUBSTITUTE(TRIM(A915&amp;""),CHAR(160),"")," ",""),"년",""))=4,VALUE(SUBSTITUTE(SUBSTITUTE(SUBSTITUTE(TRIM(A915&amp;""),CHAR(160),"")," ",""),"년",""))&gt;=1900,VALUE(SUBSTITUTE(SUBSTITUTE(SUBSTITUTE(TRIM(A915&amp;""),CHAR(160),"")," ",""),"년",""))&lt;=2099,TEXT(VALUE(SUBSTITUTE(SUBSTITUTE(SUBSTITUTE(TRIM(A915&amp;""),CHAR(160),"")," ",""),"년","")),"0000")=SUBSTITUTE(SUBSTITUTE(SUBSTITUTE(TRIM(A915&amp;""),CHAR(160),"")," ",""),"년","")),SUBSTITUTE(SUBSTITUTE(SUBSTITUTE(TRIM(A915&amp;""),CHAR(160),"")," ",""),"년",""),""),"")</f>
      </c>
      <c r="I915" t="str">
        <f>SUBSTITUTE(SUBSTITUTE(SUBSTITUTE(SUBSTITUTE(SUBSTITUTE(TRIM(B915&amp;""),CHAR(160),"")," ",""),"초등학교","초"),"중학교","중"),"고등학교","고")</f>
      </c>
    </row>
    <row r="916" customFormat="false" ht="15" hidden="false" customHeight="false" outlineLevel="0" collapsed="false">
      <c r="A916" s="8"/>
      <c r="B916" s="8"/>
      <c r="C916" s="8"/>
      <c r="D916" s="8"/>
      <c r="E916" s="8"/>
      <c r="F916" t="str" s="15">
        <f aca="0">IF(B916="","",IF(H916="","확인필요(입력누락)",IF(SUMPRODUCT((실물목록!$P$2:$P$1001&lt;&gt;"")*ISNUMBER(SEARCH(실물목록!$P$2:$P$1001,I916))*(실물목록!$Q$2:$Q$1001&lt;&gt;"")*ISNUMBER(SEARCH(실물목록!$Q$2:$Q$1001,I916))*(실물목록!$R$2:$R$1001="")*(실물목록!$O$2:$O$1001&lt;&gt;"")*(실물목록!$O$2:$O$1001=H916))&gt;0,"실물 있음",IF(SUMPRODUCT((실물목록!$P$2:$P$1001&lt;&gt;"")*ISNUMBER(SEARCH(실물목록!$P$2:$P$1001,I916))*(실물목록!$R$2:$R$1001&lt;&gt;""))&gt;0,"확인필요(입력누락)",IF(SUMPRODUCT((실물목록!$P$2:$P$1001&lt;&gt;"")*ISNUMBER(SEARCH(실물목록!$P$2:$P$1001,I916))*(실물목록!$Q$2:$Q$1001&lt;&gt;"")*ISNUMBER(SEARCH(실물목록!$Q$2:$Q$1001,I916))*(실물목록!$R$2:$R$1001="")*(실물목록!$O$2:$O$1001&lt;&gt;""))&gt;0,"확인필요(연도다름)","실물 없음")))))</f>
      </c>
      <c r="G916" t="n" s="16">
        <f aca="0">IF(B916="","",SUMPRODUCT((실물목록!$P$2:$P$1001&lt;&gt;"")*ISNUMBER(SEARCH(실물목록!$P$2:$P$1001,I916))*(실물목록!$Q$2:$Q$1001&lt;&gt;"")*ISNUMBER(SEARCH(실물목록!$Q$2:$Q$1001,I916))*(실물목록!$R$2:$R$1001="")*(실물목록!$O$2:$O$1001&lt;&gt;"")*(실물목록!$O$2:$O$1001=H916)))</f>
      </c>
      <c r="H916" t="str">
        <f>IFERROR(IF(AND(LEN(SUBSTITUTE(SUBSTITUTE(SUBSTITUTE(TRIM(A916&amp;""),CHAR(160),"")," ",""),"년",""))=4,VALUE(SUBSTITUTE(SUBSTITUTE(SUBSTITUTE(TRIM(A916&amp;""),CHAR(160),"")," ",""),"년",""))&gt;=1900,VALUE(SUBSTITUTE(SUBSTITUTE(SUBSTITUTE(TRIM(A916&amp;""),CHAR(160),"")," ",""),"년",""))&lt;=2099,TEXT(VALUE(SUBSTITUTE(SUBSTITUTE(SUBSTITUTE(TRIM(A916&amp;""),CHAR(160),"")," ",""),"년","")),"0000")=SUBSTITUTE(SUBSTITUTE(SUBSTITUTE(TRIM(A916&amp;""),CHAR(160),"")," ",""),"년","")),SUBSTITUTE(SUBSTITUTE(SUBSTITUTE(TRIM(A916&amp;""),CHAR(160),"")," ",""),"년",""),""),"")</f>
      </c>
      <c r="I916" t="str">
        <f>SUBSTITUTE(SUBSTITUTE(SUBSTITUTE(SUBSTITUTE(SUBSTITUTE(TRIM(B916&amp;""),CHAR(160),"")," ",""),"초등학교","초"),"중학교","중"),"고등학교","고")</f>
      </c>
    </row>
    <row r="917" customFormat="false" ht="15" hidden="false" customHeight="false" outlineLevel="0" collapsed="false">
      <c r="A917" s="8"/>
      <c r="B917" s="8"/>
      <c r="C917" s="8"/>
      <c r="D917" s="8"/>
      <c r="E917" s="8"/>
      <c r="F917" t="str" s="15">
        <f aca="0">IF(B917="","",IF(H917="","확인필요(입력누락)",IF(SUMPRODUCT((실물목록!$P$2:$P$1001&lt;&gt;"")*ISNUMBER(SEARCH(실물목록!$P$2:$P$1001,I917))*(실물목록!$Q$2:$Q$1001&lt;&gt;"")*ISNUMBER(SEARCH(실물목록!$Q$2:$Q$1001,I917))*(실물목록!$R$2:$R$1001="")*(실물목록!$O$2:$O$1001&lt;&gt;"")*(실물목록!$O$2:$O$1001=H917))&gt;0,"실물 있음",IF(SUMPRODUCT((실물목록!$P$2:$P$1001&lt;&gt;"")*ISNUMBER(SEARCH(실물목록!$P$2:$P$1001,I917))*(실물목록!$R$2:$R$1001&lt;&gt;""))&gt;0,"확인필요(입력누락)",IF(SUMPRODUCT((실물목록!$P$2:$P$1001&lt;&gt;"")*ISNUMBER(SEARCH(실물목록!$P$2:$P$1001,I917))*(실물목록!$Q$2:$Q$1001&lt;&gt;"")*ISNUMBER(SEARCH(실물목록!$Q$2:$Q$1001,I917))*(실물목록!$R$2:$R$1001="")*(실물목록!$O$2:$O$1001&lt;&gt;""))&gt;0,"확인필요(연도다름)","실물 없음")))))</f>
      </c>
      <c r="G917" t="n" s="16">
        <f aca="0">IF(B917="","",SUMPRODUCT((실물목록!$P$2:$P$1001&lt;&gt;"")*ISNUMBER(SEARCH(실물목록!$P$2:$P$1001,I917))*(실물목록!$Q$2:$Q$1001&lt;&gt;"")*ISNUMBER(SEARCH(실물목록!$Q$2:$Q$1001,I917))*(실물목록!$R$2:$R$1001="")*(실물목록!$O$2:$O$1001&lt;&gt;"")*(실물목록!$O$2:$O$1001=H917)))</f>
      </c>
      <c r="H917" t="str">
        <f>IFERROR(IF(AND(LEN(SUBSTITUTE(SUBSTITUTE(SUBSTITUTE(TRIM(A917&amp;""),CHAR(160),"")," ",""),"년",""))=4,VALUE(SUBSTITUTE(SUBSTITUTE(SUBSTITUTE(TRIM(A917&amp;""),CHAR(160),"")," ",""),"년",""))&gt;=1900,VALUE(SUBSTITUTE(SUBSTITUTE(SUBSTITUTE(TRIM(A917&amp;""),CHAR(160),"")," ",""),"년",""))&lt;=2099,TEXT(VALUE(SUBSTITUTE(SUBSTITUTE(SUBSTITUTE(TRIM(A917&amp;""),CHAR(160),"")," ",""),"년","")),"0000")=SUBSTITUTE(SUBSTITUTE(SUBSTITUTE(TRIM(A917&amp;""),CHAR(160),"")," ",""),"년","")),SUBSTITUTE(SUBSTITUTE(SUBSTITUTE(TRIM(A917&amp;""),CHAR(160),"")," ",""),"년",""),""),"")</f>
      </c>
      <c r="I917" t="str">
        <f>SUBSTITUTE(SUBSTITUTE(SUBSTITUTE(SUBSTITUTE(SUBSTITUTE(TRIM(B917&amp;""),CHAR(160),"")," ",""),"초등학교","초"),"중학교","중"),"고등학교","고")</f>
      </c>
    </row>
    <row r="918" customFormat="false" ht="15" hidden="false" customHeight="false" outlineLevel="0" collapsed="false">
      <c r="A918" s="8"/>
      <c r="B918" s="8"/>
      <c r="C918" s="8"/>
      <c r="D918" s="8"/>
      <c r="E918" s="8"/>
      <c r="F918" t="str" s="15">
        <f aca="0">IF(B918="","",IF(H918="","확인필요(입력누락)",IF(SUMPRODUCT((실물목록!$P$2:$P$1001&lt;&gt;"")*ISNUMBER(SEARCH(실물목록!$P$2:$P$1001,I918))*(실물목록!$Q$2:$Q$1001&lt;&gt;"")*ISNUMBER(SEARCH(실물목록!$Q$2:$Q$1001,I918))*(실물목록!$R$2:$R$1001="")*(실물목록!$O$2:$O$1001&lt;&gt;"")*(실물목록!$O$2:$O$1001=H918))&gt;0,"실물 있음",IF(SUMPRODUCT((실물목록!$P$2:$P$1001&lt;&gt;"")*ISNUMBER(SEARCH(실물목록!$P$2:$P$1001,I918))*(실물목록!$R$2:$R$1001&lt;&gt;""))&gt;0,"확인필요(입력누락)",IF(SUMPRODUCT((실물목록!$P$2:$P$1001&lt;&gt;"")*ISNUMBER(SEARCH(실물목록!$P$2:$P$1001,I918))*(실물목록!$Q$2:$Q$1001&lt;&gt;"")*ISNUMBER(SEARCH(실물목록!$Q$2:$Q$1001,I918))*(실물목록!$R$2:$R$1001="")*(실물목록!$O$2:$O$1001&lt;&gt;""))&gt;0,"확인필요(연도다름)","실물 없음")))))</f>
      </c>
      <c r="G918" t="n" s="16">
        <f aca="0">IF(B918="","",SUMPRODUCT((실물목록!$P$2:$P$1001&lt;&gt;"")*ISNUMBER(SEARCH(실물목록!$P$2:$P$1001,I918))*(실물목록!$Q$2:$Q$1001&lt;&gt;"")*ISNUMBER(SEARCH(실물목록!$Q$2:$Q$1001,I918))*(실물목록!$R$2:$R$1001="")*(실물목록!$O$2:$O$1001&lt;&gt;"")*(실물목록!$O$2:$O$1001=H918)))</f>
      </c>
      <c r="H918" t="str">
        <f>IFERROR(IF(AND(LEN(SUBSTITUTE(SUBSTITUTE(SUBSTITUTE(TRIM(A918&amp;""),CHAR(160),"")," ",""),"년",""))=4,VALUE(SUBSTITUTE(SUBSTITUTE(SUBSTITUTE(TRIM(A918&amp;""),CHAR(160),"")," ",""),"년",""))&gt;=1900,VALUE(SUBSTITUTE(SUBSTITUTE(SUBSTITUTE(TRIM(A918&amp;""),CHAR(160),"")," ",""),"년",""))&lt;=2099,TEXT(VALUE(SUBSTITUTE(SUBSTITUTE(SUBSTITUTE(TRIM(A918&amp;""),CHAR(160),"")," ",""),"년","")),"0000")=SUBSTITUTE(SUBSTITUTE(SUBSTITUTE(TRIM(A918&amp;""),CHAR(160),"")," ",""),"년","")),SUBSTITUTE(SUBSTITUTE(SUBSTITUTE(TRIM(A918&amp;""),CHAR(160),"")," ",""),"년",""),""),"")</f>
      </c>
      <c r="I918" t="str">
        <f>SUBSTITUTE(SUBSTITUTE(SUBSTITUTE(SUBSTITUTE(SUBSTITUTE(TRIM(B918&amp;""),CHAR(160),"")," ",""),"초등학교","초"),"중학교","중"),"고등학교","고")</f>
      </c>
    </row>
    <row r="919" customFormat="false" ht="15" hidden="false" customHeight="false" outlineLevel="0" collapsed="false">
      <c r="A919" s="8"/>
      <c r="B919" s="8"/>
      <c r="C919" s="8"/>
      <c r="D919" s="8"/>
      <c r="E919" s="8"/>
      <c r="F919" t="str" s="15">
        <f aca="0">IF(B919="","",IF(H919="","확인필요(입력누락)",IF(SUMPRODUCT((실물목록!$P$2:$P$1001&lt;&gt;"")*ISNUMBER(SEARCH(실물목록!$P$2:$P$1001,I919))*(실물목록!$Q$2:$Q$1001&lt;&gt;"")*ISNUMBER(SEARCH(실물목록!$Q$2:$Q$1001,I919))*(실물목록!$R$2:$R$1001="")*(실물목록!$O$2:$O$1001&lt;&gt;"")*(실물목록!$O$2:$O$1001=H919))&gt;0,"실물 있음",IF(SUMPRODUCT((실물목록!$P$2:$P$1001&lt;&gt;"")*ISNUMBER(SEARCH(실물목록!$P$2:$P$1001,I919))*(실물목록!$R$2:$R$1001&lt;&gt;""))&gt;0,"확인필요(입력누락)",IF(SUMPRODUCT((실물목록!$P$2:$P$1001&lt;&gt;"")*ISNUMBER(SEARCH(실물목록!$P$2:$P$1001,I919))*(실물목록!$Q$2:$Q$1001&lt;&gt;"")*ISNUMBER(SEARCH(실물목록!$Q$2:$Q$1001,I919))*(실물목록!$R$2:$R$1001="")*(실물목록!$O$2:$O$1001&lt;&gt;""))&gt;0,"확인필요(연도다름)","실물 없음")))))</f>
      </c>
      <c r="G919" t="n" s="16">
        <f aca="0">IF(B919="","",SUMPRODUCT((실물목록!$P$2:$P$1001&lt;&gt;"")*ISNUMBER(SEARCH(실물목록!$P$2:$P$1001,I919))*(실물목록!$Q$2:$Q$1001&lt;&gt;"")*ISNUMBER(SEARCH(실물목록!$Q$2:$Q$1001,I919))*(실물목록!$R$2:$R$1001="")*(실물목록!$O$2:$O$1001&lt;&gt;"")*(실물목록!$O$2:$O$1001=H919)))</f>
      </c>
      <c r="H919" t="str">
        <f>IFERROR(IF(AND(LEN(SUBSTITUTE(SUBSTITUTE(SUBSTITUTE(TRIM(A919&amp;""),CHAR(160),"")," ",""),"년",""))=4,VALUE(SUBSTITUTE(SUBSTITUTE(SUBSTITUTE(TRIM(A919&amp;""),CHAR(160),"")," ",""),"년",""))&gt;=1900,VALUE(SUBSTITUTE(SUBSTITUTE(SUBSTITUTE(TRIM(A919&amp;""),CHAR(160),"")," ",""),"년",""))&lt;=2099,TEXT(VALUE(SUBSTITUTE(SUBSTITUTE(SUBSTITUTE(TRIM(A919&amp;""),CHAR(160),"")," ",""),"년","")),"0000")=SUBSTITUTE(SUBSTITUTE(SUBSTITUTE(TRIM(A919&amp;""),CHAR(160),"")," ",""),"년","")),SUBSTITUTE(SUBSTITUTE(SUBSTITUTE(TRIM(A919&amp;""),CHAR(160),"")," ",""),"년",""),""),"")</f>
      </c>
      <c r="I919" t="str">
        <f>SUBSTITUTE(SUBSTITUTE(SUBSTITUTE(SUBSTITUTE(SUBSTITUTE(TRIM(B919&amp;""),CHAR(160),"")," ",""),"초등학교","초"),"중학교","중"),"고등학교","고")</f>
      </c>
    </row>
    <row r="920" customFormat="false" ht="15" hidden="false" customHeight="false" outlineLevel="0" collapsed="false">
      <c r="A920" s="8"/>
      <c r="B920" s="8"/>
      <c r="C920" s="8"/>
      <c r="D920" s="8"/>
      <c r="E920" s="8"/>
      <c r="F920" t="str" s="15">
        <f aca="0">IF(B920="","",IF(H920="","확인필요(입력누락)",IF(SUMPRODUCT((실물목록!$P$2:$P$1001&lt;&gt;"")*ISNUMBER(SEARCH(실물목록!$P$2:$P$1001,I920))*(실물목록!$Q$2:$Q$1001&lt;&gt;"")*ISNUMBER(SEARCH(실물목록!$Q$2:$Q$1001,I920))*(실물목록!$R$2:$R$1001="")*(실물목록!$O$2:$O$1001&lt;&gt;"")*(실물목록!$O$2:$O$1001=H920))&gt;0,"실물 있음",IF(SUMPRODUCT((실물목록!$P$2:$P$1001&lt;&gt;"")*ISNUMBER(SEARCH(실물목록!$P$2:$P$1001,I920))*(실물목록!$R$2:$R$1001&lt;&gt;""))&gt;0,"확인필요(입력누락)",IF(SUMPRODUCT((실물목록!$P$2:$P$1001&lt;&gt;"")*ISNUMBER(SEARCH(실물목록!$P$2:$P$1001,I920))*(실물목록!$Q$2:$Q$1001&lt;&gt;"")*ISNUMBER(SEARCH(실물목록!$Q$2:$Q$1001,I920))*(실물목록!$R$2:$R$1001="")*(실물목록!$O$2:$O$1001&lt;&gt;""))&gt;0,"확인필요(연도다름)","실물 없음")))))</f>
      </c>
      <c r="G920" t="n" s="16">
        <f aca="0">IF(B920="","",SUMPRODUCT((실물목록!$P$2:$P$1001&lt;&gt;"")*ISNUMBER(SEARCH(실물목록!$P$2:$P$1001,I920))*(실물목록!$Q$2:$Q$1001&lt;&gt;"")*ISNUMBER(SEARCH(실물목록!$Q$2:$Q$1001,I920))*(실물목록!$R$2:$R$1001="")*(실물목록!$O$2:$O$1001&lt;&gt;"")*(실물목록!$O$2:$O$1001=H920)))</f>
      </c>
      <c r="H920" t="str">
        <f>IFERROR(IF(AND(LEN(SUBSTITUTE(SUBSTITUTE(SUBSTITUTE(TRIM(A920&amp;""),CHAR(160),"")," ",""),"년",""))=4,VALUE(SUBSTITUTE(SUBSTITUTE(SUBSTITUTE(TRIM(A920&amp;""),CHAR(160),"")," ",""),"년",""))&gt;=1900,VALUE(SUBSTITUTE(SUBSTITUTE(SUBSTITUTE(TRIM(A920&amp;""),CHAR(160),"")," ",""),"년",""))&lt;=2099,TEXT(VALUE(SUBSTITUTE(SUBSTITUTE(SUBSTITUTE(TRIM(A920&amp;""),CHAR(160),"")," ",""),"년","")),"0000")=SUBSTITUTE(SUBSTITUTE(SUBSTITUTE(TRIM(A920&amp;""),CHAR(160),"")," ",""),"년","")),SUBSTITUTE(SUBSTITUTE(SUBSTITUTE(TRIM(A920&amp;""),CHAR(160),"")," ",""),"년",""),""),"")</f>
      </c>
      <c r="I920" t="str">
        <f>SUBSTITUTE(SUBSTITUTE(SUBSTITUTE(SUBSTITUTE(SUBSTITUTE(TRIM(B920&amp;""),CHAR(160),"")," ",""),"초등학교","초"),"중학교","중"),"고등학교","고")</f>
      </c>
    </row>
    <row r="921" customFormat="false" ht="15" hidden="false" customHeight="false" outlineLevel="0" collapsed="false">
      <c r="A921" s="8"/>
      <c r="B921" s="8"/>
      <c r="C921" s="8"/>
      <c r="D921" s="8"/>
      <c r="E921" s="8"/>
      <c r="F921" t="str" s="15">
        <f aca="0">IF(B921="","",IF(H921="","확인필요(입력누락)",IF(SUMPRODUCT((실물목록!$P$2:$P$1001&lt;&gt;"")*ISNUMBER(SEARCH(실물목록!$P$2:$P$1001,I921))*(실물목록!$Q$2:$Q$1001&lt;&gt;"")*ISNUMBER(SEARCH(실물목록!$Q$2:$Q$1001,I921))*(실물목록!$R$2:$R$1001="")*(실물목록!$O$2:$O$1001&lt;&gt;"")*(실물목록!$O$2:$O$1001=H921))&gt;0,"실물 있음",IF(SUMPRODUCT((실물목록!$P$2:$P$1001&lt;&gt;"")*ISNUMBER(SEARCH(실물목록!$P$2:$P$1001,I921))*(실물목록!$R$2:$R$1001&lt;&gt;""))&gt;0,"확인필요(입력누락)",IF(SUMPRODUCT((실물목록!$P$2:$P$1001&lt;&gt;"")*ISNUMBER(SEARCH(실물목록!$P$2:$P$1001,I921))*(실물목록!$Q$2:$Q$1001&lt;&gt;"")*ISNUMBER(SEARCH(실물목록!$Q$2:$Q$1001,I921))*(실물목록!$R$2:$R$1001="")*(실물목록!$O$2:$O$1001&lt;&gt;""))&gt;0,"확인필요(연도다름)","실물 없음")))))</f>
      </c>
      <c r="G921" t="n" s="16">
        <f aca="0">IF(B921="","",SUMPRODUCT((실물목록!$P$2:$P$1001&lt;&gt;"")*ISNUMBER(SEARCH(실물목록!$P$2:$P$1001,I921))*(실물목록!$Q$2:$Q$1001&lt;&gt;"")*ISNUMBER(SEARCH(실물목록!$Q$2:$Q$1001,I921))*(실물목록!$R$2:$R$1001="")*(실물목록!$O$2:$O$1001&lt;&gt;"")*(실물목록!$O$2:$O$1001=H921)))</f>
      </c>
      <c r="H921" t="str">
        <f>IFERROR(IF(AND(LEN(SUBSTITUTE(SUBSTITUTE(SUBSTITUTE(TRIM(A921&amp;""),CHAR(160),"")," ",""),"년",""))=4,VALUE(SUBSTITUTE(SUBSTITUTE(SUBSTITUTE(TRIM(A921&amp;""),CHAR(160),"")," ",""),"년",""))&gt;=1900,VALUE(SUBSTITUTE(SUBSTITUTE(SUBSTITUTE(TRIM(A921&amp;""),CHAR(160),"")," ",""),"년",""))&lt;=2099,TEXT(VALUE(SUBSTITUTE(SUBSTITUTE(SUBSTITUTE(TRIM(A921&amp;""),CHAR(160),"")," ",""),"년","")),"0000")=SUBSTITUTE(SUBSTITUTE(SUBSTITUTE(TRIM(A921&amp;""),CHAR(160),"")," ",""),"년","")),SUBSTITUTE(SUBSTITUTE(SUBSTITUTE(TRIM(A921&amp;""),CHAR(160),"")," ",""),"년",""),""),"")</f>
      </c>
      <c r="I921" t="str">
        <f>SUBSTITUTE(SUBSTITUTE(SUBSTITUTE(SUBSTITUTE(SUBSTITUTE(TRIM(B921&amp;""),CHAR(160),"")," ",""),"초등학교","초"),"중학교","중"),"고등학교","고")</f>
      </c>
    </row>
    <row r="922" customFormat="false" ht="15" hidden="false" customHeight="false" outlineLevel="0" collapsed="false">
      <c r="A922" s="8"/>
      <c r="B922" s="8"/>
      <c r="C922" s="8"/>
      <c r="D922" s="8"/>
      <c r="E922" s="8"/>
      <c r="F922" t="str" s="15">
        <f aca="0">IF(B922="","",IF(H922="","확인필요(입력누락)",IF(SUMPRODUCT((실물목록!$P$2:$P$1001&lt;&gt;"")*ISNUMBER(SEARCH(실물목록!$P$2:$P$1001,I922))*(실물목록!$Q$2:$Q$1001&lt;&gt;"")*ISNUMBER(SEARCH(실물목록!$Q$2:$Q$1001,I922))*(실물목록!$R$2:$R$1001="")*(실물목록!$O$2:$O$1001&lt;&gt;"")*(실물목록!$O$2:$O$1001=H922))&gt;0,"실물 있음",IF(SUMPRODUCT((실물목록!$P$2:$P$1001&lt;&gt;"")*ISNUMBER(SEARCH(실물목록!$P$2:$P$1001,I922))*(실물목록!$R$2:$R$1001&lt;&gt;""))&gt;0,"확인필요(입력누락)",IF(SUMPRODUCT((실물목록!$P$2:$P$1001&lt;&gt;"")*ISNUMBER(SEARCH(실물목록!$P$2:$P$1001,I922))*(실물목록!$Q$2:$Q$1001&lt;&gt;"")*ISNUMBER(SEARCH(실물목록!$Q$2:$Q$1001,I922))*(실물목록!$R$2:$R$1001="")*(실물목록!$O$2:$O$1001&lt;&gt;""))&gt;0,"확인필요(연도다름)","실물 없음")))))</f>
      </c>
      <c r="G922" t="n" s="16">
        <f aca="0">IF(B922="","",SUMPRODUCT((실물목록!$P$2:$P$1001&lt;&gt;"")*ISNUMBER(SEARCH(실물목록!$P$2:$P$1001,I922))*(실물목록!$Q$2:$Q$1001&lt;&gt;"")*ISNUMBER(SEARCH(실물목록!$Q$2:$Q$1001,I922))*(실물목록!$R$2:$R$1001="")*(실물목록!$O$2:$O$1001&lt;&gt;"")*(실물목록!$O$2:$O$1001=H922)))</f>
      </c>
      <c r="H922" t="str">
        <f>IFERROR(IF(AND(LEN(SUBSTITUTE(SUBSTITUTE(SUBSTITUTE(TRIM(A922&amp;""),CHAR(160),"")," ",""),"년",""))=4,VALUE(SUBSTITUTE(SUBSTITUTE(SUBSTITUTE(TRIM(A922&amp;""),CHAR(160),"")," ",""),"년",""))&gt;=1900,VALUE(SUBSTITUTE(SUBSTITUTE(SUBSTITUTE(TRIM(A922&amp;""),CHAR(160),"")," ",""),"년",""))&lt;=2099,TEXT(VALUE(SUBSTITUTE(SUBSTITUTE(SUBSTITUTE(TRIM(A922&amp;""),CHAR(160),"")," ",""),"년","")),"0000")=SUBSTITUTE(SUBSTITUTE(SUBSTITUTE(TRIM(A922&amp;""),CHAR(160),"")," ",""),"년","")),SUBSTITUTE(SUBSTITUTE(SUBSTITUTE(TRIM(A922&amp;""),CHAR(160),"")," ",""),"년",""),""),"")</f>
      </c>
      <c r="I922" t="str">
        <f>SUBSTITUTE(SUBSTITUTE(SUBSTITUTE(SUBSTITUTE(SUBSTITUTE(TRIM(B922&amp;""),CHAR(160),"")," ",""),"초등학교","초"),"중학교","중"),"고등학교","고")</f>
      </c>
    </row>
    <row r="923" customFormat="false" ht="15" hidden="false" customHeight="false" outlineLevel="0" collapsed="false">
      <c r="A923" s="8"/>
      <c r="B923" s="8"/>
      <c r="C923" s="8"/>
      <c r="D923" s="8"/>
      <c r="E923" s="8"/>
      <c r="F923" t="str" s="15">
        <f aca="0">IF(B923="","",IF(H923="","확인필요(입력누락)",IF(SUMPRODUCT((실물목록!$P$2:$P$1001&lt;&gt;"")*ISNUMBER(SEARCH(실물목록!$P$2:$P$1001,I923))*(실물목록!$Q$2:$Q$1001&lt;&gt;"")*ISNUMBER(SEARCH(실물목록!$Q$2:$Q$1001,I923))*(실물목록!$R$2:$R$1001="")*(실물목록!$O$2:$O$1001&lt;&gt;"")*(실물목록!$O$2:$O$1001=H923))&gt;0,"실물 있음",IF(SUMPRODUCT((실물목록!$P$2:$P$1001&lt;&gt;"")*ISNUMBER(SEARCH(실물목록!$P$2:$P$1001,I923))*(실물목록!$R$2:$R$1001&lt;&gt;""))&gt;0,"확인필요(입력누락)",IF(SUMPRODUCT((실물목록!$P$2:$P$1001&lt;&gt;"")*ISNUMBER(SEARCH(실물목록!$P$2:$P$1001,I923))*(실물목록!$Q$2:$Q$1001&lt;&gt;"")*ISNUMBER(SEARCH(실물목록!$Q$2:$Q$1001,I923))*(실물목록!$R$2:$R$1001="")*(실물목록!$O$2:$O$1001&lt;&gt;""))&gt;0,"확인필요(연도다름)","실물 없음")))))</f>
      </c>
      <c r="G923" t="n" s="16">
        <f aca="0">IF(B923="","",SUMPRODUCT((실물목록!$P$2:$P$1001&lt;&gt;"")*ISNUMBER(SEARCH(실물목록!$P$2:$P$1001,I923))*(실물목록!$Q$2:$Q$1001&lt;&gt;"")*ISNUMBER(SEARCH(실물목록!$Q$2:$Q$1001,I923))*(실물목록!$R$2:$R$1001="")*(실물목록!$O$2:$O$1001&lt;&gt;"")*(실물목록!$O$2:$O$1001=H923)))</f>
      </c>
      <c r="H923" t="str">
        <f>IFERROR(IF(AND(LEN(SUBSTITUTE(SUBSTITUTE(SUBSTITUTE(TRIM(A923&amp;""),CHAR(160),"")," ",""),"년",""))=4,VALUE(SUBSTITUTE(SUBSTITUTE(SUBSTITUTE(TRIM(A923&amp;""),CHAR(160),"")," ",""),"년",""))&gt;=1900,VALUE(SUBSTITUTE(SUBSTITUTE(SUBSTITUTE(TRIM(A923&amp;""),CHAR(160),"")," ",""),"년",""))&lt;=2099,TEXT(VALUE(SUBSTITUTE(SUBSTITUTE(SUBSTITUTE(TRIM(A923&amp;""),CHAR(160),"")," ",""),"년","")),"0000")=SUBSTITUTE(SUBSTITUTE(SUBSTITUTE(TRIM(A923&amp;""),CHAR(160),"")," ",""),"년","")),SUBSTITUTE(SUBSTITUTE(SUBSTITUTE(TRIM(A923&amp;""),CHAR(160),"")," ",""),"년",""),""),"")</f>
      </c>
      <c r="I923" t="str">
        <f>SUBSTITUTE(SUBSTITUTE(SUBSTITUTE(SUBSTITUTE(SUBSTITUTE(TRIM(B923&amp;""),CHAR(160),"")," ",""),"초등학교","초"),"중학교","중"),"고등학교","고")</f>
      </c>
    </row>
    <row r="924" customFormat="false" ht="15" hidden="false" customHeight="false" outlineLevel="0" collapsed="false">
      <c r="A924" s="8"/>
      <c r="B924" s="8"/>
      <c r="C924" s="8"/>
      <c r="D924" s="8"/>
      <c r="E924" s="8"/>
      <c r="F924" t="str" s="15">
        <f aca="0">IF(B924="","",IF(H924="","확인필요(입력누락)",IF(SUMPRODUCT((실물목록!$P$2:$P$1001&lt;&gt;"")*ISNUMBER(SEARCH(실물목록!$P$2:$P$1001,I924))*(실물목록!$Q$2:$Q$1001&lt;&gt;"")*ISNUMBER(SEARCH(실물목록!$Q$2:$Q$1001,I924))*(실물목록!$R$2:$R$1001="")*(실물목록!$O$2:$O$1001&lt;&gt;"")*(실물목록!$O$2:$O$1001=H924))&gt;0,"실물 있음",IF(SUMPRODUCT((실물목록!$P$2:$P$1001&lt;&gt;"")*ISNUMBER(SEARCH(실물목록!$P$2:$P$1001,I924))*(실물목록!$R$2:$R$1001&lt;&gt;""))&gt;0,"확인필요(입력누락)",IF(SUMPRODUCT((실물목록!$P$2:$P$1001&lt;&gt;"")*ISNUMBER(SEARCH(실물목록!$P$2:$P$1001,I924))*(실물목록!$Q$2:$Q$1001&lt;&gt;"")*ISNUMBER(SEARCH(실물목록!$Q$2:$Q$1001,I924))*(실물목록!$R$2:$R$1001="")*(실물목록!$O$2:$O$1001&lt;&gt;""))&gt;0,"확인필요(연도다름)","실물 없음")))))</f>
      </c>
      <c r="G924" t="n" s="16">
        <f aca="0">IF(B924="","",SUMPRODUCT((실물목록!$P$2:$P$1001&lt;&gt;"")*ISNUMBER(SEARCH(실물목록!$P$2:$P$1001,I924))*(실물목록!$Q$2:$Q$1001&lt;&gt;"")*ISNUMBER(SEARCH(실물목록!$Q$2:$Q$1001,I924))*(실물목록!$R$2:$R$1001="")*(실물목록!$O$2:$O$1001&lt;&gt;"")*(실물목록!$O$2:$O$1001=H924)))</f>
      </c>
      <c r="H924" t="str">
        <f>IFERROR(IF(AND(LEN(SUBSTITUTE(SUBSTITUTE(SUBSTITUTE(TRIM(A924&amp;""),CHAR(160),"")," ",""),"년",""))=4,VALUE(SUBSTITUTE(SUBSTITUTE(SUBSTITUTE(TRIM(A924&amp;""),CHAR(160),"")," ",""),"년",""))&gt;=1900,VALUE(SUBSTITUTE(SUBSTITUTE(SUBSTITUTE(TRIM(A924&amp;""),CHAR(160),"")," ",""),"년",""))&lt;=2099,TEXT(VALUE(SUBSTITUTE(SUBSTITUTE(SUBSTITUTE(TRIM(A924&amp;""),CHAR(160),"")," ",""),"년","")),"0000")=SUBSTITUTE(SUBSTITUTE(SUBSTITUTE(TRIM(A924&amp;""),CHAR(160),"")," ",""),"년","")),SUBSTITUTE(SUBSTITUTE(SUBSTITUTE(TRIM(A924&amp;""),CHAR(160),"")," ",""),"년",""),""),"")</f>
      </c>
      <c r="I924" t="str">
        <f>SUBSTITUTE(SUBSTITUTE(SUBSTITUTE(SUBSTITUTE(SUBSTITUTE(TRIM(B924&amp;""),CHAR(160),"")," ",""),"초등학교","초"),"중학교","중"),"고등학교","고")</f>
      </c>
    </row>
    <row r="925" customFormat="false" ht="15" hidden="false" customHeight="false" outlineLevel="0" collapsed="false">
      <c r="A925" s="8"/>
      <c r="B925" s="8"/>
      <c r="C925" s="8"/>
      <c r="D925" s="8"/>
      <c r="E925" s="8"/>
      <c r="F925" t="str" s="15">
        <f aca="0">IF(B925="","",IF(H925="","확인필요(입력누락)",IF(SUMPRODUCT((실물목록!$P$2:$P$1001&lt;&gt;"")*ISNUMBER(SEARCH(실물목록!$P$2:$P$1001,I925))*(실물목록!$Q$2:$Q$1001&lt;&gt;"")*ISNUMBER(SEARCH(실물목록!$Q$2:$Q$1001,I925))*(실물목록!$R$2:$R$1001="")*(실물목록!$O$2:$O$1001&lt;&gt;"")*(실물목록!$O$2:$O$1001=H925))&gt;0,"실물 있음",IF(SUMPRODUCT((실물목록!$P$2:$P$1001&lt;&gt;"")*ISNUMBER(SEARCH(실물목록!$P$2:$P$1001,I925))*(실물목록!$R$2:$R$1001&lt;&gt;""))&gt;0,"확인필요(입력누락)",IF(SUMPRODUCT((실물목록!$P$2:$P$1001&lt;&gt;"")*ISNUMBER(SEARCH(실물목록!$P$2:$P$1001,I925))*(실물목록!$Q$2:$Q$1001&lt;&gt;"")*ISNUMBER(SEARCH(실물목록!$Q$2:$Q$1001,I925))*(실물목록!$R$2:$R$1001="")*(실물목록!$O$2:$O$1001&lt;&gt;""))&gt;0,"확인필요(연도다름)","실물 없음")))))</f>
      </c>
      <c r="G925" t="n" s="16">
        <f aca="0">IF(B925="","",SUMPRODUCT((실물목록!$P$2:$P$1001&lt;&gt;"")*ISNUMBER(SEARCH(실물목록!$P$2:$P$1001,I925))*(실물목록!$Q$2:$Q$1001&lt;&gt;"")*ISNUMBER(SEARCH(실물목록!$Q$2:$Q$1001,I925))*(실물목록!$R$2:$R$1001="")*(실물목록!$O$2:$O$1001&lt;&gt;"")*(실물목록!$O$2:$O$1001=H925)))</f>
      </c>
      <c r="H925" t="str">
        <f>IFERROR(IF(AND(LEN(SUBSTITUTE(SUBSTITUTE(SUBSTITUTE(TRIM(A925&amp;""),CHAR(160),"")," ",""),"년",""))=4,VALUE(SUBSTITUTE(SUBSTITUTE(SUBSTITUTE(TRIM(A925&amp;""),CHAR(160),"")," ",""),"년",""))&gt;=1900,VALUE(SUBSTITUTE(SUBSTITUTE(SUBSTITUTE(TRIM(A925&amp;""),CHAR(160),"")," ",""),"년",""))&lt;=2099,TEXT(VALUE(SUBSTITUTE(SUBSTITUTE(SUBSTITUTE(TRIM(A925&amp;""),CHAR(160),"")," ",""),"년","")),"0000")=SUBSTITUTE(SUBSTITUTE(SUBSTITUTE(TRIM(A925&amp;""),CHAR(160),"")," ",""),"년","")),SUBSTITUTE(SUBSTITUTE(SUBSTITUTE(TRIM(A925&amp;""),CHAR(160),"")," ",""),"년",""),""),"")</f>
      </c>
      <c r="I925" t="str">
        <f>SUBSTITUTE(SUBSTITUTE(SUBSTITUTE(SUBSTITUTE(SUBSTITUTE(TRIM(B925&amp;""),CHAR(160),"")," ",""),"초등학교","초"),"중학교","중"),"고등학교","고")</f>
      </c>
    </row>
    <row r="926" customFormat="false" ht="15" hidden="false" customHeight="false" outlineLevel="0" collapsed="false">
      <c r="A926" s="8"/>
      <c r="B926" s="8"/>
      <c r="C926" s="8"/>
      <c r="D926" s="8"/>
      <c r="E926" s="8"/>
      <c r="F926" t="str" s="15">
        <f aca="0">IF(B926="","",IF(H926="","확인필요(입력누락)",IF(SUMPRODUCT((실물목록!$P$2:$P$1001&lt;&gt;"")*ISNUMBER(SEARCH(실물목록!$P$2:$P$1001,I926))*(실물목록!$Q$2:$Q$1001&lt;&gt;"")*ISNUMBER(SEARCH(실물목록!$Q$2:$Q$1001,I926))*(실물목록!$R$2:$R$1001="")*(실물목록!$O$2:$O$1001&lt;&gt;"")*(실물목록!$O$2:$O$1001=H926))&gt;0,"실물 있음",IF(SUMPRODUCT((실물목록!$P$2:$P$1001&lt;&gt;"")*ISNUMBER(SEARCH(실물목록!$P$2:$P$1001,I926))*(실물목록!$R$2:$R$1001&lt;&gt;""))&gt;0,"확인필요(입력누락)",IF(SUMPRODUCT((실물목록!$P$2:$P$1001&lt;&gt;"")*ISNUMBER(SEARCH(실물목록!$P$2:$P$1001,I926))*(실물목록!$Q$2:$Q$1001&lt;&gt;"")*ISNUMBER(SEARCH(실물목록!$Q$2:$Q$1001,I926))*(실물목록!$R$2:$R$1001="")*(실물목록!$O$2:$O$1001&lt;&gt;""))&gt;0,"확인필요(연도다름)","실물 없음")))))</f>
      </c>
      <c r="G926" t="n" s="16">
        <f aca="0">IF(B926="","",SUMPRODUCT((실물목록!$P$2:$P$1001&lt;&gt;"")*ISNUMBER(SEARCH(실물목록!$P$2:$P$1001,I926))*(실물목록!$Q$2:$Q$1001&lt;&gt;"")*ISNUMBER(SEARCH(실물목록!$Q$2:$Q$1001,I926))*(실물목록!$R$2:$R$1001="")*(실물목록!$O$2:$O$1001&lt;&gt;"")*(실물목록!$O$2:$O$1001=H926)))</f>
      </c>
      <c r="H926" t="str">
        <f>IFERROR(IF(AND(LEN(SUBSTITUTE(SUBSTITUTE(SUBSTITUTE(TRIM(A926&amp;""),CHAR(160),"")," ",""),"년",""))=4,VALUE(SUBSTITUTE(SUBSTITUTE(SUBSTITUTE(TRIM(A926&amp;""),CHAR(160),"")," ",""),"년",""))&gt;=1900,VALUE(SUBSTITUTE(SUBSTITUTE(SUBSTITUTE(TRIM(A926&amp;""),CHAR(160),"")," ",""),"년",""))&lt;=2099,TEXT(VALUE(SUBSTITUTE(SUBSTITUTE(SUBSTITUTE(TRIM(A926&amp;""),CHAR(160),"")," ",""),"년","")),"0000")=SUBSTITUTE(SUBSTITUTE(SUBSTITUTE(TRIM(A926&amp;""),CHAR(160),"")," ",""),"년","")),SUBSTITUTE(SUBSTITUTE(SUBSTITUTE(TRIM(A926&amp;""),CHAR(160),"")," ",""),"년",""),""),"")</f>
      </c>
      <c r="I926" t="str">
        <f>SUBSTITUTE(SUBSTITUTE(SUBSTITUTE(SUBSTITUTE(SUBSTITUTE(TRIM(B926&amp;""),CHAR(160),"")," ",""),"초등학교","초"),"중학교","중"),"고등학교","고")</f>
      </c>
    </row>
    <row r="927" customFormat="false" ht="15" hidden="false" customHeight="false" outlineLevel="0" collapsed="false">
      <c r="A927" s="8"/>
      <c r="B927" s="8"/>
      <c r="C927" s="8"/>
      <c r="D927" s="8"/>
      <c r="E927" s="8"/>
      <c r="F927" t="str" s="15">
        <f aca="0">IF(B927="","",IF(H927="","확인필요(입력누락)",IF(SUMPRODUCT((실물목록!$P$2:$P$1001&lt;&gt;"")*ISNUMBER(SEARCH(실물목록!$P$2:$P$1001,I927))*(실물목록!$Q$2:$Q$1001&lt;&gt;"")*ISNUMBER(SEARCH(실물목록!$Q$2:$Q$1001,I927))*(실물목록!$R$2:$R$1001="")*(실물목록!$O$2:$O$1001&lt;&gt;"")*(실물목록!$O$2:$O$1001=H927))&gt;0,"실물 있음",IF(SUMPRODUCT((실물목록!$P$2:$P$1001&lt;&gt;"")*ISNUMBER(SEARCH(실물목록!$P$2:$P$1001,I927))*(실물목록!$R$2:$R$1001&lt;&gt;""))&gt;0,"확인필요(입력누락)",IF(SUMPRODUCT((실물목록!$P$2:$P$1001&lt;&gt;"")*ISNUMBER(SEARCH(실물목록!$P$2:$P$1001,I927))*(실물목록!$Q$2:$Q$1001&lt;&gt;"")*ISNUMBER(SEARCH(실물목록!$Q$2:$Q$1001,I927))*(실물목록!$R$2:$R$1001="")*(실물목록!$O$2:$O$1001&lt;&gt;""))&gt;0,"확인필요(연도다름)","실물 없음")))))</f>
      </c>
      <c r="G927" t="n" s="16">
        <f aca="0">IF(B927="","",SUMPRODUCT((실물목록!$P$2:$P$1001&lt;&gt;"")*ISNUMBER(SEARCH(실물목록!$P$2:$P$1001,I927))*(실물목록!$Q$2:$Q$1001&lt;&gt;"")*ISNUMBER(SEARCH(실물목록!$Q$2:$Q$1001,I927))*(실물목록!$R$2:$R$1001="")*(실물목록!$O$2:$O$1001&lt;&gt;"")*(실물목록!$O$2:$O$1001=H927)))</f>
      </c>
      <c r="H927" t="str">
        <f>IFERROR(IF(AND(LEN(SUBSTITUTE(SUBSTITUTE(SUBSTITUTE(TRIM(A927&amp;""),CHAR(160),"")," ",""),"년",""))=4,VALUE(SUBSTITUTE(SUBSTITUTE(SUBSTITUTE(TRIM(A927&amp;""),CHAR(160),"")," ",""),"년",""))&gt;=1900,VALUE(SUBSTITUTE(SUBSTITUTE(SUBSTITUTE(TRIM(A927&amp;""),CHAR(160),"")," ",""),"년",""))&lt;=2099,TEXT(VALUE(SUBSTITUTE(SUBSTITUTE(SUBSTITUTE(TRIM(A927&amp;""),CHAR(160),"")," ",""),"년","")),"0000")=SUBSTITUTE(SUBSTITUTE(SUBSTITUTE(TRIM(A927&amp;""),CHAR(160),"")," ",""),"년","")),SUBSTITUTE(SUBSTITUTE(SUBSTITUTE(TRIM(A927&amp;""),CHAR(160),"")," ",""),"년",""),""),"")</f>
      </c>
      <c r="I927" t="str">
        <f>SUBSTITUTE(SUBSTITUTE(SUBSTITUTE(SUBSTITUTE(SUBSTITUTE(TRIM(B927&amp;""),CHAR(160),"")," ",""),"초등학교","초"),"중학교","중"),"고등학교","고")</f>
      </c>
    </row>
    <row r="928" customFormat="false" ht="15" hidden="false" customHeight="false" outlineLevel="0" collapsed="false">
      <c r="A928" s="8"/>
      <c r="B928" s="8"/>
      <c r="C928" s="8"/>
      <c r="D928" s="8"/>
      <c r="E928" s="8"/>
      <c r="F928" t="str" s="15">
        <f aca="0">IF(B928="","",IF(H928="","확인필요(입력누락)",IF(SUMPRODUCT((실물목록!$P$2:$P$1001&lt;&gt;"")*ISNUMBER(SEARCH(실물목록!$P$2:$P$1001,I928))*(실물목록!$Q$2:$Q$1001&lt;&gt;"")*ISNUMBER(SEARCH(실물목록!$Q$2:$Q$1001,I928))*(실물목록!$R$2:$R$1001="")*(실물목록!$O$2:$O$1001&lt;&gt;"")*(실물목록!$O$2:$O$1001=H928))&gt;0,"실물 있음",IF(SUMPRODUCT((실물목록!$P$2:$P$1001&lt;&gt;"")*ISNUMBER(SEARCH(실물목록!$P$2:$P$1001,I928))*(실물목록!$R$2:$R$1001&lt;&gt;""))&gt;0,"확인필요(입력누락)",IF(SUMPRODUCT((실물목록!$P$2:$P$1001&lt;&gt;"")*ISNUMBER(SEARCH(실물목록!$P$2:$P$1001,I928))*(실물목록!$Q$2:$Q$1001&lt;&gt;"")*ISNUMBER(SEARCH(실물목록!$Q$2:$Q$1001,I928))*(실물목록!$R$2:$R$1001="")*(실물목록!$O$2:$O$1001&lt;&gt;""))&gt;0,"확인필요(연도다름)","실물 없음")))))</f>
      </c>
      <c r="G928" t="n" s="16">
        <f aca="0">IF(B928="","",SUMPRODUCT((실물목록!$P$2:$P$1001&lt;&gt;"")*ISNUMBER(SEARCH(실물목록!$P$2:$P$1001,I928))*(실물목록!$Q$2:$Q$1001&lt;&gt;"")*ISNUMBER(SEARCH(실물목록!$Q$2:$Q$1001,I928))*(실물목록!$R$2:$R$1001="")*(실물목록!$O$2:$O$1001&lt;&gt;"")*(실물목록!$O$2:$O$1001=H928)))</f>
      </c>
      <c r="H928" t="str">
        <f>IFERROR(IF(AND(LEN(SUBSTITUTE(SUBSTITUTE(SUBSTITUTE(TRIM(A928&amp;""),CHAR(160),"")," ",""),"년",""))=4,VALUE(SUBSTITUTE(SUBSTITUTE(SUBSTITUTE(TRIM(A928&amp;""),CHAR(160),"")," ",""),"년",""))&gt;=1900,VALUE(SUBSTITUTE(SUBSTITUTE(SUBSTITUTE(TRIM(A928&amp;""),CHAR(160),"")," ",""),"년",""))&lt;=2099,TEXT(VALUE(SUBSTITUTE(SUBSTITUTE(SUBSTITUTE(TRIM(A928&amp;""),CHAR(160),"")," ",""),"년","")),"0000")=SUBSTITUTE(SUBSTITUTE(SUBSTITUTE(TRIM(A928&amp;""),CHAR(160),"")," ",""),"년","")),SUBSTITUTE(SUBSTITUTE(SUBSTITUTE(TRIM(A928&amp;""),CHAR(160),"")," ",""),"년",""),""),"")</f>
      </c>
      <c r="I928" t="str">
        <f>SUBSTITUTE(SUBSTITUTE(SUBSTITUTE(SUBSTITUTE(SUBSTITUTE(TRIM(B928&amp;""),CHAR(160),"")," ",""),"초등학교","초"),"중학교","중"),"고등학교","고")</f>
      </c>
    </row>
    <row r="929" customFormat="false" ht="15" hidden="false" customHeight="false" outlineLevel="0" collapsed="false">
      <c r="A929" s="8"/>
      <c r="B929" s="8"/>
      <c r="C929" s="8"/>
      <c r="D929" s="8"/>
      <c r="E929" s="8"/>
      <c r="F929" t="str" s="15">
        <f aca="0">IF(B929="","",IF(H929="","확인필요(입력누락)",IF(SUMPRODUCT((실물목록!$P$2:$P$1001&lt;&gt;"")*ISNUMBER(SEARCH(실물목록!$P$2:$P$1001,I929))*(실물목록!$Q$2:$Q$1001&lt;&gt;"")*ISNUMBER(SEARCH(실물목록!$Q$2:$Q$1001,I929))*(실물목록!$R$2:$R$1001="")*(실물목록!$O$2:$O$1001&lt;&gt;"")*(실물목록!$O$2:$O$1001=H929))&gt;0,"실물 있음",IF(SUMPRODUCT((실물목록!$P$2:$P$1001&lt;&gt;"")*ISNUMBER(SEARCH(실물목록!$P$2:$P$1001,I929))*(실물목록!$R$2:$R$1001&lt;&gt;""))&gt;0,"확인필요(입력누락)",IF(SUMPRODUCT((실물목록!$P$2:$P$1001&lt;&gt;"")*ISNUMBER(SEARCH(실물목록!$P$2:$P$1001,I929))*(실물목록!$Q$2:$Q$1001&lt;&gt;"")*ISNUMBER(SEARCH(실물목록!$Q$2:$Q$1001,I929))*(실물목록!$R$2:$R$1001="")*(실물목록!$O$2:$O$1001&lt;&gt;""))&gt;0,"확인필요(연도다름)","실물 없음")))))</f>
      </c>
      <c r="G929" t="n" s="16">
        <f aca="0">IF(B929="","",SUMPRODUCT((실물목록!$P$2:$P$1001&lt;&gt;"")*ISNUMBER(SEARCH(실물목록!$P$2:$P$1001,I929))*(실물목록!$Q$2:$Q$1001&lt;&gt;"")*ISNUMBER(SEARCH(실물목록!$Q$2:$Q$1001,I929))*(실물목록!$R$2:$R$1001="")*(실물목록!$O$2:$O$1001&lt;&gt;"")*(실물목록!$O$2:$O$1001=H929)))</f>
      </c>
      <c r="H929" t="str">
        <f>IFERROR(IF(AND(LEN(SUBSTITUTE(SUBSTITUTE(SUBSTITUTE(TRIM(A929&amp;""),CHAR(160),"")," ",""),"년",""))=4,VALUE(SUBSTITUTE(SUBSTITUTE(SUBSTITUTE(TRIM(A929&amp;""),CHAR(160),"")," ",""),"년",""))&gt;=1900,VALUE(SUBSTITUTE(SUBSTITUTE(SUBSTITUTE(TRIM(A929&amp;""),CHAR(160),"")," ",""),"년",""))&lt;=2099,TEXT(VALUE(SUBSTITUTE(SUBSTITUTE(SUBSTITUTE(TRIM(A929&amp;""),CHAR(160),"")," ",""),"년","")),"0000")=SUBSTITUTE(SUBSTITUTE(SUBSTITUTE(TRIM(A929&amp;""),CHAR(160),"")," ",""),"년","")),SUBSTITUTE(SUBSTITUTE(SUBSTITUTE(TRIM(A929&amp;""),CHAR(160),"")," ",""),"년",""),""),"")</f>
      </c>
      <c r="I929" t="str">
        <f>SUBSTITUTE(SUBSTITUTE(SUBSTITUTE(SUBSTITUTE(SUBSTITUTE(TRIM(B929&amp;""),CHAR(160),"")," ",""),"초등학교","초"),"중학교","중"),"고등학교","고")</f>
      </c>
    </row>
    <row r="930" customFormat="false" ht="15" hidden="false" customHeight="false" outlineLevel="0" collapsed="false">
      <c r="A930" s="8"/>
      <c r="B930" s="8"/>
      <c r="C930" s="8"/>
      <c r="D930" s="8"/>
      <c r="E930" s="8"/>
      <c r="F930" t="str" s="15">
        <f aca="0">IF(B930="","",IF(H930="","확인필요(입력누락)",IF(SUMPRODUCT((실물목록!$P$2:$P$1001&lt;&gt;"")*ISNUMBER(SEARCH(실물목록!$P$2:$P$1001,I930))*(실물목록!$Q$2:$Q$1001&lt;&gt;"")*ISNUMBER(SEARCH(실물목록!$Q$2:$Q$1001,I930))*(실물목록!$R$2:$R$1001="")*(실물목록!$O$2:$O$1001&lt;&gt;"")*(실물목록!$O$2:$O$1001=H930))&gt;0,"실물 있음",IF(SUMPRODUCT((실물목록!$P$2:$P$1001&lt;&gt;"")*ISNUMBER(SEARCH(실물목록!$P$2:$P$1001,I930))*(실물목록!$R$2:$R$1001&lt;&gt;""))&gt;0,"확인필요(입력누락)",IF(SUMPRODUCT((실물목록!$P$2:$P$1001&lt;&gt;"")*ISNUMBER(SEARCH(실물목록!$P$2:$P$1001,I930))*(실물목록!$Q$2:$Q$1001&lt;&gt;"")*ISNUMBER(SEARCH(실물목록!$Q$2:$Q$1001,I930))*(실물목록!$R$2:$R$1001="")*(실물목록!$O$2:$O$1001&lt;&gt;""))&gt;0,"확인필요(연도다름)","실물 없음")))))</f>
      </c>
      <c r="G930" t="n" s="16">
        <f aca="0">IF(B930="","",SUMPRODUCT((실물목록!$P$2:$P$1001&lt;&gt;"")*ISNUMBER(SEARCH(실물목록!$P$2:$P$1001,I930))*(실물목록!$Q$2:$Q$1001&lt;&gt;"")*ISNUMBER(SEARCH(실물목록!$Q$2:$Q$1001,I930))*(실물목록!$R$2:$R$1001="")*(실물목록!$O$2:$O$1001&lt;&gt;"")*(실물목록!$O$2:$O$1001=H930)))</f>
      </c>
      <c r="H930" t="str">
        <f>IFERROR(IF(AND(LEN(SUBSTITUTE(SUBSTITUTE(SUBSTITUTE(TRIM(A930&amp;""),CHAR(160),"")," ",""),"년",""))=4,VALUE(SUBSTITUTE(SUBSTITUTE(SUBSTITUTE(TRIM(A930&amp;""),CHAR(160),"")," ",""),"년",""))&gt;=1900,VALUE(SUBSTITUTE(SUBSTITUTE(SUBSTITUTE(TRIM(A930&amp;""),CHAR(160),"")," ",""),"년",""))&lt;=2099,TEXT(VALUE(SUBSTITUTE(SUBSTITUTE(SUBSTITUTE(TRIM(A930&amp;""),CHAR(160),"")," ",""),"년","")),"0000")=SUBSTITUTE(SUBSTITUTE(SUBSTITUTE(TRIM(A930&amp;""),CHAR(160),"")," ",""),"년","")),SUBSTITUTE(SUBSTITUTE(SUBSTITUTE(TRIM(A930&amp;""),CHAR(160),"")," ",""),"년",""),""),"")</f>
      </c>
      <c r="I930" t="str">
        <f>SUBSTITUTE(SUBSTITUTE(SUBSTITUTE(SUBSTITUTE(SUBSTITUTE(TRIM(B930&amp;""),CHAR(160),"")," ",""),"초등학교","초"),"중학교","중"),"고등학교","고")</f>
      </c>
    </row>
    <row r="931" customFormat="false" ht="15" hidden="false" customHeight="false" outlineLevel="0" collapsed="false">
      <c r="A931" s="8"/>
      <c r="B931" s="8"/>
      <c r="C931" s="8"/>
      <c r="D931" s="8"/>
      <c r="E931" s="8"/>
      <c r="F931" t="str" s="15">
        <f aca="0">IF(B931="","",IF(H931="","확인필요(입력누락)",IF(SUMPRODUCT((실물목록!$P$2:$P$1001&lt;&gt;"")*ISNUMBER(SEARCH(실물목록!$P$2:$P$1001,I931))*(실물목록!$Q$2:$Q$1001&lt;&gt;"")*ISNUMBER(SEARCH(실물목록!$Q$2:$Q$1001,I931))*(실물목록!$R$2:$R$1001="")*(실물목록!$O$2:$O$1001&lt;&gt;"")*(실물목록!$O$2:$O$1001=H931))&gt;0,"실물 있음",IF(SUMPRODUCT((실물목록!$P$2:$P$1001&lt;&gt;"")*ISNUMBER(SEARCH(실물목록!$P$2:$P$1001,I931))*(실물목록!$R$2:$R$1001&lt;&gt;""))&gt;0,"확인필요(입력누락)",IF(SUMPRODUCT((실물목록!$P$2:$P$1001&lt;&gt;"")*ISNUMBER(SEARCH(실물목록!$P$2:$P$1001,I931))*(실물목록!$Q$2:$Q$1001&lt;&gt;"")*ISNUMBER(SEARCH(실물목록!$Q$2:$Q$1001,I931))*(실물목록!$R$2:$R$1001="")*(실물목록!$O$2:$O$1001&lt;&gt;""))&gt;0,"확인필요(연도다름)","실물 없음")))))</f>
      </c>
      <c r="G931" t="n" s="16">
        <f aca="0">IF(B931="","",SUMPRODUCT((실물목록!$P$2:$P$1001&lt;&gt;"")*ISNUMBER(SEARCH(실물목록!$P$2:$P$1001,I931))*(실물목록!$Q$2:$Q$1001&lt;&gt;"")*ISNUMBER(SEARCH(실물목록!$Q$2:$Q$1001,I931))*(실물목록!$R$2:$R$1001="")*(실물목록!$O$2:$O$1001&lt;&gt;"")*(실물목록!$O$2:$O$1001=H931)))</f>
      </c>
      <c r="H931" t="str">
        <f>IFERROR(IF(AND(LEN(SUBSTITUTE(SUBSTITUTE(SUBSTITUTE(TRIM(A931&amp;""),CHAR(160),"")," ",""),"년",""))=4,VALUE(SUBSTITUTE(SUBSTITUTE(SUBSTITUTE(TRIM(A931&amp;""),CHAR(160),"")," ",""),"년",""))&gt;=1900,VALUE(SUBSTITUTE(SUBSTITUTE(SUBSTITUTE(TRIM(A931&amp;""),CHAR(160),"")," ",""),"년",""))&lt;=2099,TEXT(VALUE(SUBSTITUTE(SUBSTITUTE(SUBSTITUTE(TRIM(A931&amp;""),CHAR(160),"")," ",""),"년","")),"0000")=SUBSTITUTE(SUBSTITUTE(SUBSTITUTE(TRIM(A931&amp;""),CHAR(160),"")," ",""),"년","")),SUBSTITUTE(SUBSTITUTE(SUBSTITUTE(TRIM(A931&amp;""),CHAR(160),"")," ",""),"년",""),""),"")</f>
      </c>
      <c r="I931" t="str">
        <f>SUBSTITUTE(SUBSTITUTE(SUBSTITUTE(SUBSTITUTE(SUBSTITUTE(TRIM(B931&amp;""),CHAR(160),"")," ",""),"초등학교","초"),"중학교","중"),"고등학교","고")</f>
      </c>
    </row>
    <row r="932" customFormat="false" ht="15" hidden="false" customHeight="false" outlineLevel="0" collapsed="false">
      <c r="A932" s="8"/>
      <c r="B932" s="8"/>
      <c r="C932" s="8"/>
      <c r="D932" s="8"/>
      <c r="E932" s="8"/>
      <c r="F932" t="str" s="15">
        <f aca="0">IF(B932="","",IF(H932="","확인필요(입력누락)",IF(SUMPRODUCT((실물목록!$P$2:$P$1001&lt;&gt;"")*ISNUMBER(SEARCH(실물목록!$P$2:$P$1001,I932))*(실물목록!$Q$2:$Q$1001&lt;&gt;"")*ISNUMBER(SEARCH(실물목록!$Q$2:$Q$1001,I932))*(실물목록!$R$2:$R$1001="")*(실물목록!$O$2:$O$1001&lt;&gt;"")*(실물목록!$O$2:$O$1001=H932))&gt;0,"실물 있음",IF(SUMPRODUCT((실물목록!$P$2:$P$1001&lt;&gt;"")*ISNUMBER(SEARCH(실물목록!$P$2:$P$1001,I932))*(실물목록!$R$2:$R$1001&lt;&gt;""))&gt;0,"확인필요(입력누락)",IF(SUMPRODUCT((실물목록!$P$2:$P$1001&lt;&gt;"")*ISNUMBER(SEARCH(실물목록!$P$2:$P$1001,I932))*(실물목록!$Q$2:$Q$1001&lt;&gt;"")*ISNUMBER(SEARCH(실물목록!$Q$2:$Q$1001,I932))*(실물목록!$R$2:$R$1001="")*(실물목록!$O$2:$O$1001&lt;&gt;""))&gt;0,"확인필요(연도다름)","실물 없음")))))</f>
      </c>
      <c r="G932" t="n" s="16">
        <f aca="0">IF(B932="","",SUMPRODUCT((실물목록!$P$2:$P$1001&lt;&gt;"")*ISNUMBER(SEARCH(실물목록!$P$2:$P$1001,I932))*(실물목록!$Q$2:$Q$1001&lt;&gt;"")*ISNUMBER(SEARCH(실물목록!$Q$2:$Q$1001,I932))*(실물목록!$R$2:$R$1001="")*(실물목록!$O$2:$O$1001&lt;&gt;"")*(실물목록!$O$2:$O$1001=H932)))</f>
      </c>
      <c r="H932" t="str">
        <f>IFERROR(IF(AND(LEN(SUBSTITUTE(SUBSTITUTE(SUBSTITUTE(TRIM(A932&amp;""),CHAR(160),"")," ",""),"년",""))=4,VALUE(SUBSTITUTE(SUBSTITUTE(SUBSTITUTE(TRIM(A932&amp;""),CHAR(160),"")," ",""),"년",""))&gt;=1900,VALUE(SUBSTITUTE(SUBSTITUTE(SUBSTITUTE(TRIM(A932&amp;""),CHAR(160),"")," ",""),"년",""))&lt;=2099,TEXT(VALUE(SUBSTITUTE(SUBSTITUTE(SUBSTITUTE(TRIM(A932&amp;""),CHAR(160),"")," ",""),"년","")),"0000")=SUBSTITUTE(SUBSTITUTE(SUBSTITUTE(TRIM(A932&amp;""),CHAR(160),"")," ",""),"년","")),SUBSTITUTE(SUBSTITUTE(SUBSTITUTE(TRIM(A932&amp;""),CHAR(160),"")," ",""),"년",""),""),"")</f>
      </c>
      <c r="I932" t="str">
        <f>SUBSTITUTE(SUBSTITUTE(SUBSTITUTE(SUBSTITUTE(SUBSTITUTE(TRIM(B932&amp;""),CHAR(160),"")," ",""),"초등학교","초"),"중학교","중"),"고등학교","고")</f>
      </c>
    </row>
    <row r="933" customFormat="false" ht="15" hidden="false" customHeight="false" outlineLevel="0" collapsed="false">
      <c r="A933" s="8"/>
      <c r="B933" s="8"/>
      <c r="C933" s="8"/>
      <c r="D933" s="8"/>
      <c r="E933" s="8"/>
      <c r="F933" t="str" s="15">
        <f aca="0">IF(B933="","",IF(H933="","확인필요(입력누락)",IF(SUMPRODUCT((실물목록!$P$2:$P$1001&lt;&gt;"")*ISNUMBER(SEARCH(실물목록!$P$2:$P$1001,I933))*(실물목록!$Q$2:$Q$1001&lt;&gt;"")*ISNUMBER(SEARCH(실물목록!$Q$2:$Q$1001,I933))*(실물목록!$R$2:$R$1001="")*(실물목록!$O$2:$O$1001&lt;&gt;"")*(실물목록!$O$2:$O$1001=H933))&gt;0,"실물 있음",IF(SUMPRODUCT((실물목록!$P$2:$P$1001&lt;&gt;"")*ISNUMBER(SEARCH(실물목록!$P$2:$P$1001,I933))*(실물목록!$R$2:$R$1001&lt;&gt;""))&gt;0,"확인필요(입력누락)",IF(SUMPRODUCT((실물목록!$P$2:$P$1001&lt;&gt;"")*ISNUMBER(SEARCH(실물목록!$P$2:$P$1001,I933))*(실물목록!$Q$2:$Q$1001&lt;&gt;"")*ISNUMBER(SEARCH(실물목록!$Q$2:$Q$1001,I933))*(실물목록!$R$2:$R$1001="")*(실물목록!$O$2:$O$1001&lt;&gt;""))&gt;0,"확인필요(연도다름)","실물 없음")))))</f>
      </c>
      <c r="G933" t="n" s="16">
        <f aca="0">IF(B933="","",SUMPRODUCT((실물목록!$P$2:$P$1001&lt;&gt;"")*ISNUMBER(SEARCH(실물목록!$P$2:$P$1001,I933))*(실물목록!$Q$2:$Q$1001&lt;&gt;"")*ISNUMBER(SEARCH(실물목록!$Q$2:$Q$1001,I933))*(실물목록!$R$2:$R$1001="")*(실물목록!$O$2:$O$1001&lt;&gt;"")*(실물목록!$O$2:$O$1001=H933)))</f>
      </c>
      <c r="H933" t="str">
        <f>IFERROR(IF(AND(LEN(SUBSTITUTE(SUBSTITUTE(SUBSTITUTE(TRIM(A933&amp;""),CHAR(160),"")," ",""),"년",""))=4,VALUE(SUBSTITUTE(SUBSTITUTE(SUBSTITUTE(TRIM(A933&amp;""),CHAR(160),"")," ",""),"년",""))&gt;=1900,VALUE(SUBSTITUTE(SUBSTITUTE(SUBSTITUTE(TRIM(A933&amp;""),CHAR(160),"")," ",""),"년",""))&lt;=2099,TEXT(VALUE(SUBSTITUTE(SUBSTITUTE(SUBSTITUTE(TRIM(A933&amp;""),CHAR(160),"")," ",""),"년","")),"0000")=SUBSTITUTE(SUBSTITUTE(SUBSTITUTE(TRIM(A933&amp;""),CHAR(160),"")," ",""),"년","")),SUBSTITUTE(SUBSTITUTE(SUBSTITUTE(TRIM(A933&amp;""),CHAR(160),"")," ",""),"년",""),""),"")</f>
      </c>
      <c r="I933" t="str">
        <f>SUBSTITUTE(SUBSTITUTE(SUBSTITUTE(SUBSTITUTE(SUBSTITUTE(TRIM(B933&amp;""),CHAR(160),"")," ",""),"초등학교","초"),"중학교","중"),"고등학교","고")</f>
      </c>
    </row>
    <row r="934" customFormat="false" ht="15" hidden="false" customHeight="false" outlineLevel="0" collapsed="false">
      <c r="A934" s="8"/>
      <c r="B934" s="8"/>
      <c r="C934" s="8"/>
      <c r="D934" s="8"/>
      <c r="E934" s="8"/>
      <c r="F934" t="str" s="15">
        <f aca="0">IF(B934="","",IF(H934="","확인필요(입력누락)",IF(SUMPRODUCT((실물목록!$P$2:$P$1001&lt;&gt;"")*ISNUMBER(SEARCH(실물목록!$P$2:$P$1001,I934))*(실물목록!$Q$2:$Q$1001&lt;&gt;"")*ISNUMBER(SEARCH(실물목록!$Q$2:$Q$1001,I934))*(실물목록!$R$2:$R$1001="")*(실물목록!$O$2:$O$1001&lt;&gt;"")*(실물목록!$O$2:$O$1001=H934))&gt;0,"실물 있음",IF(SUMPRODUCT((실물목록!$P$2:$P$1001&lt;&gt;"")*ISNUMBER(SEARCH(실물목록!$P$2:$P$1001,I934))*(실물목록!$R$2:$R$1001&lt;&gt;""))&gt;0,"확인필요(입력누락)",IF(SUMPRODUCT((실물목록!$P$2:$P$1001&lt;&gt;"")*ISNUMBER(SEARCH(실물목록!$P$2:$P$1001,I934))*(실물목록!$Q$2:$Q$1001&lt;&gt;"")*ISNUMBER(SEARCH(실물목록!$Q$2:$Q$1001,I934))*(실물목록!$R$2:$R$1001="")*(실물목록!$O$2:$O$1001&lt;&gt;""))&gt;0,"확인필요(연도다름)","실물 없음")))))</f>
      </c>
      <c r="G934" t="n" s="16">
        <f aca="0">IF(B934="","",SUMPRODUCT((실물목록!$P$2:$P$1001&lt;&gt;"")*ISNUMBER(SEARCH(실물목록!$P$2:$P$1001,I934))*(실물목록!$Q$2:$Q$1001&lt;&gt;"")*ISNUMBER(SEARCH(실물목록!$Q$2:$Q$1001,I934))*(실물목록!$R$2:$R$1001="")*(실물목록!$O$2:$O$1001&lt;&gt;"")*(실물목록!$O$2:$O$1001=H934)))</f>
      </c>
      <c r="H934" t="str">
        <f>IFERROR(IF(AND(LEN(SUBSTITUTE(SUBSTITUTE(SUBSTITUTE(TRIM(A934&amp;""),CHAR(160),"")," ",""),"년",""))=4,VALUE(SUBSTITUTE(SUBSTITUTE(SUBSTITUTE(TRIM(A934&amp;""),CHAR(160),"")," ",""),"년",""))&gt;=1900,VALUE(SUBSTITUTE(SUBSTITUTE(SUBSTITUTE(TRIM(A934&amp;""),CHAR(160),"")," ",""),"년",""))&lt;=2099,TEXT(VALUE(SUBSTITUTE(SUBSTITUTE(SUBSTITUTE(TRIM(A934&amp;""),CHAR(160),"")," ",""),"년","")),"0000")=SUBSTITUTE(SUBSTITUTE(SUBSTITUTE(TRIM(A934&amp;""),CHAR(160),"")," ",""),"년","")),SUBSTITUTE(SUBSTITUTE(SUBSTITUTE(TRIM(A934&amp;""),CHAR(160),"")," ",""),"년",""),""),"")</f>
      </c>
      <c r="I934" t="str">
        <f>SUBSTITUTE(SUBSTITUTE(SUBSTITUTE(SUBSTITUTE(SUBSTITUTE(TRIM(B934&amp;""),CHAR(160),"")," ",""),"초등학교","초"),"중학교","중"),"고등학교","고")</f>
      </c>
    </row>
    <row r="935" customFormat="false" ht="15" hidden="false" customHeight="false" outlineLevel="0" collapsed="false">
      <c r="A935" s="8"/>
      <c r="B935" s="8"/>
      <c r="C935" s="8"/>
      <c r="D935" s="8"/>
      <c r="E935" s="8"/>
      <c r="F935" t="str" s="15">
        <f aca="0">IF(B935="","",IF(H935="","확인필요(입력누락)",IF(SUMPRODUCT((실물목록!$P$2:$P$1001&lt;&gt;"")*ISNUMBER(SEARCH(실물목록!$P$2:$P$1001,I935))*(실물목록!$Q$2:$Q$1001&lt;&gt;"")*ISNUMBER(SEARCH(실물목록!$Q$2:$Q$1001,I935))*(실물목록!$R$2:$R$1001="")*(실물목록!$O$2:$O$1001&lt;&gt;"")*(실물목록!$O$2:$O$1001=H935))&gt;0,"실물 있음",IF(SUMPRODUCT((실물목록!$P$2:$P$1001&lt;&gt;"")*ISNUMBER(SEARCH(실물목록!$P$2:$P$1001,I935))*(실물목록!$R$2:$R$1001&lt;&gt;""))&gt;0,"확인필요(입력누락)",IF(SUMPRODUCT((실물목록!$P$2:$P$1001&lt;&gt;"")*ISNUMBER(SEARCH(실물목록!$P$2:$P$1001,I935))*(실물목록!$Q$2:$Q$1001&lt;&gt;"")*ISNUMBER(SEARCH(실물목록!$Q$2:$Q$1001,I935))*(실물목록!$R$2:$R$1001="")*(실물목록!$O$2:$O$1001&lt;&gt;""))&gt;0,"확인필요(연도다름)","실물 없음")))))</f>
      </c>
      <c r="G935" t="n" s="16">
        <f aca="0">IF(B935="","",SUMPRODUCT((실물목록!$P$2:$P$1001&lt;&gt;"")*ISNUMBER(SEARCH(실물목록!$P$2:$P$1001,I935))*(실물목록!$Q$2:$Q$1001&lt;&gt;"")*ISNUMBER(SEARCH(실물목록!$Q$2:$Q$1001,I935))*(실물목록!$R$2:$R$1001="")*(실물목록!$O$2:$O$1001&lt;&gt;"")*(실물목록!$O$2:$O$1001=H935)))</f>
      </c>
      <c r="H935" t="str">
        <f>IFERROR(IF(AND(LEN(SUBSTITUTE(SUBSTITUTE(SUBSTITUTE(TRIM(A935&amp;""),CHAR(160),"")," ",""),"년",""))=4,VALUE(SUBSTITUTE(SUBSTITUTE(SUBSTITUTE(TRIM(A935&amp;""),CHAR(160),"")," ",""),"년",""))&gt;=1900,VALUE(SUBSTITUTE(SUBSTITUTE(SUBSTITUTE(TRIM(A935&amp;""),CHAR(160),"")," ",""),"년",""))&lt;=2099,TEXT(VALUE(SUBSTITUTE(SUBSTITUTE(SUBSTITUTE(TRIM(A935&amp;""),CHAR(160),"")," ",""),"년","")),"0000")=SUBSTITUTE(SUBSTITUTE(SUBSTITUTE(TRIM(A935&amp;""),CHAR(160),"")," ",""),"년","")),SUBSTITUTE(SUBSTITUTE(SUBSTITUTE(TRIM(A935&amp;""),CHAR(160),"")," ",""),"년",""),""),"")</f>
      </c>
      <c r="I935" t="str">
        <f>SUBSTITUTE(SUBSTITUTE(SUBSTITUTE(SUBSTITUTE(SUBSTITUTE(TRIM(B935&amp;""),CHAR(160),"")," ",""),"초등학교","초"),"중학교","중"),"고등학교","고")</f>
      </c>
    </row>
    <row r="936" customFormat="false" ht="15" hidden="false" customHeight="false" outlineLevel="0" collapsed="false">
      <c r="A936" s="8"/>
      <c r="B936" s="8"/>
      <c r="C936" s="8"/>
      <c r="D936" s="8"/>
      <c r="E936" s="8"/>
      <c r="F936" t="str" s="15">
        <f aca="0">IF(B936="","",IF(H936="","확인필요(입력누락)",IF(SUMPRODUCT((실물목록!$P$2:$P$1001&lt;&gt;"")*ISNUMBER(SEARCH(실물목록!$P$2:$P$1001,I936))*(실물목록!$Q$2:$Q$1001&lt;&gt;"")*ISNUMBER(SEARCH(실물목록!$Q$2:$Q$1001,I936))*(실물목록!$R$2:$R$1001="")*(실물목록!$O$2:$O$1001&lt;&gt;"")*(실물목록!$O$2:$O$1001=H936))&gt;0,"실물 있음",IF(SUMPRODUCT((실물목록!$P$2:$P$1001&lt;&gt;"")*ISNUMBER(SEARCH(실물목록!$P$2:$P$1001,I936))*(실물목록!$R$2:$R$1001&lt;&gt;""))&gt;0,"확인필요(입력누락)",IF(SUMPRODUCT((실물목록!$P$2:$P$1001&lt;&gt;"")*ISNUMBER(SEARCH(실물목록!$P$2:$P$1001,I936))*(실물목록!$Q$2:$Q$1001&lt;&gt;"")*ISNUMBER(SEARCH(실물목록!$Q$2:$Q$1001,I936))*(실물목록!$R$2:$R$1001="")*(실물목록!$O$2:$O$1001&lt;&gt;""))&gt;0,"확인필요(연도다름)","실물 없음")))))</f>
      </c>
      <c r="G936" t="n" s="16">
        <f aca="0">IF(B936="","",SUMPRODUCT((실물목록!$P$2:$P$1001&lt;&gt;"")*ISNUMBER(SEARCH(실물목록!$P$2:$P$1001,I936))*(실물목록!$Q$2:$Q$1001&lt;&gt;"")*ISNUMBER(SEARCH(실물목록!$Q$2:$Q$1001,I936))*(실물목록!$R$2:$R$1001="")*(실물목록!$O$2:$O$1001&lt;&gt;"")*(실물목록!$O$2:$O$1001=H936)))</f>
      </c>
      <c r="H936" t="str">
        <f>IFERROR(IF(AND(LEN(SUBSTITUTE(SUBSTITUTE(SUBSTITUTE(TRIM(A936&amp;""),CHAR(160),"")," ",""),"년",""))=4,VALUE(SUBSTITUTE(SUBSTITUTE(SUBSTITUTE(TRIM(A936&amp;""),CHAR(160),"")," ",""),"년",""))&gt;=1900,VALUE(SUBSTITUTE(SUBSTITUTE(SUBSTITUTE(TRIM(A936&amp;""),CHAR(160),"")," ",""),"년",""))&lt;=2099,TEXT(VALUE(SUBSTITUTE(SUBSTITUTE(SUBSTITUTE(TRIM(A936&amp;""),CHAR(160),"")," ",""),"년","")),"0000")=SUBSTITUTE(SUBSTITUTE(SUBSTITUTE(TRIM(A936&amp;""),CHAR(160),"")," ",""),"년","")),SUBSTITUTE(SUBSTITUTE(SUBSTITUTE(TRIM(A936&amp;""),CHAR(160),"")," ",""),"년",""),""),"")</f>
      </c>
      <c r="I936" t="str">
        <f>SUBSTITUTE(SUBSTITUTE(SUBSTITUTE(SUBSTITUTE(SUBSTITUTE(TRIM(B936&amp;""),CHAR(160),"")," ",""),"초등학교","초"),"중학교","중"),"고등학교","고")</f>
      </c>
    </row>
    <row r="937" customFormat="false" ht="15" hidden="false" customHeight="false" outlineLevel="0" collapsed="false">
      <c r="A937" s="8"/>
      <c r="B937" s="8"/>
      <c r="C937" s="8"/>
      <c r="D937" s="8"/>
      <c r="E937" s="8"/>
      <c r="F937" t="str" s="15">
        <f aca="0">IF(B937="","",IF(H937="","확인필요(입력누락)",IF(SUMPRODUCT((실물목록!$P$2:$P$1001&lt;&gt;"")*ISNUMBER(SEARCH(실물목록!$P$2:$P$1001,I937))*(실물목록!$Q$2:$Q$1001&lt;&gt;"")*ISNUMBER(SEARCH(실물목록!$Q$2:$Q$1001,I937))*(실물목록!$R$2:$R$1001="")*(실물목록!$O$2:$O$1001&lt;&gt;"")*(실물목록!$O$2:$O$1001=H937))&gt;0,"실물 있음",IF(SUMPRODUCT((실물목록!$P$2:$P$1001&lt;&gt;"")*ISNUMBER(SEARCH(실물목록!$P$2:$P$1001,I937))*(실물목록!$R$2:$R$1001&lt;&gt;""))&gt;0,"확인필요(입력누락)",IF(SUMPRODUCT((실물목록!$P$2:$P$1001&lt;&gt;"")*ISNUMBER(SEARCH(실물목록!$P$2:$P$1001,I937))*(실물목록!$Q$2:$Q$1001&lt;&gt;"")*ISNUMBER(SEARCH(실물목록!$Q$2:$Q$1001,I937))*(실물목록!$R$2:$R$1001="")*(실물목록!$O$2:$O$1001&lt;&gt;""))&gt;0,"확인필요(연도다름)","실물 없음")))))</f>
      </c>
      <c r="G937" t="n" s="16">
        <f aca="0">IF(B937="","",SUMPRODUCT((실물목록!$P$2:$P$1001&lt;&gt;"")*ISNUMBER(SEARCH(실물목록!$P$2:$P$1001,I937))*(실물목록!$Q$2:$Q$1001&lt;&gt;"")*ISNUMBER(SEARCH(실물목록!$Q$2:$Q$1001,I937))*(실물목록!$R$2:$R$1001="")*(실물목록!$O$2:$O$1001&lt;&gt;"")*(실물목록!$O$2:$O$1001=H937)))</f>
      </c>
      <c r="H937" t="str">
        <f>IFERROR(IF(AND(LEN(SUBSTITUTE(SUBSTITUTE(SUBSTITUTE(TRIM(A937&amp;""),CHAR(160),"")," ",""),"년",""))=4,VALUE(SUBSTITUTE(SUBSTITUTE(SUBSTITUTE(TRIM(A937&amp;""),CHAR(160),"")," ",""),"년",""))&gt;=1900,VALUE(SUBSTITUTE(SUBSTITUTE(SUBSTITUTE(TRIM(A937&amp;""),CHAR(160),"")," ",""),"년",""))&lt;=2099,TEXT(VALUE(SUBSTITUTE(SUBSTITUTE(SUBSTITUTE(TRIM(A937&amp;""),CHAR(160),"")," ",""),"년","")),"0000")=SUBSTITUTE(SUBSTITUTE(SUBSTITUTE(TRIM(A937&amp;""),CHAR(160),"")," ",""),"년","")),SUBSTITUTE(SUBSTITUTE(SUBSTITUTE(TRIM(A937&amp;""),CHAR(160),"")," ",""),"년",""),""),"")</f>
      </c>
      <c r="I937" t="str">
        <f>SUBSTITUTE(SUBSTITUTE(SUBSTITUTE(SUBSTITUTE(SUBSTITUTE(TRIM(B937&amp;""),CHAR(160),"")," ",""),"초등학교","초"),"중학교","중"),"고등학교","고")</f>
      </c>
    </row>
    <row r="938" customFormat="false" ht="15" hidden="false" customHeight="false" outlineLevel="0" collapsed="false">
      <c r="A938" s="8"/>
      <c r="B938" s="8"/>
      <c r="C938" s="8"/>
      <c r="D938" s="8"/>
      <c r="E938" s="8"/>
      <c r="F938" t="str" s="15">
        <f aca="0">IF(B938="","",IF(H938="","확인필요(입력누락)",IF(SUMPRODUCT((실물목록!$P$2:$P$1001&lt;&gt;"")*ISNUMBER(SEARCH(실물목록!$P$2:$P$1001,I938))*(실물목록!$Q$2:$Q$1001&lt;&gt;"")*ISNUMBER(SEARCH(실물목록!$Q$2:$Q$1001,I938))*(실물목록!$R$2:$R$1001="")*(실물목록!$O$2:$O$1001&lt;&gt;"")*(실물목록!$O$2:$O$1001=H938))&gt;0,"실물 있음",IF(SUMPRODUCT((실물목록!$P$2:$P$1001&lt;&gt;"")*ISNUMBER(SEARCH(실물목록!$P$2:$P$1001,I938))*(실물목록!$R$2:$R$1001&lt;&gt;""))&gt;0,"확인필요(입력누락)",IF(SUMPRODUCT((실물목록!$P$2:$P$1001&lt;&gt;"")*ISNUMBER(SEARCH(실물목록!$P$2:$P$1001,I938))*(실물목록!$Q$2:$Q$1001&lt;&gt;"")*ISNUMBER(SEARCH(실물목록!$Q$2:$Q$1001,I938))*(실물목록!$R$2:$R$1001="")*(실물목록!$O$2:$O$1001&lt;&gt;""))&gt;0,"확인필요(연도다름)","실물 없음")))))</f>
      </c>
      <c r="G938" t="n" s="16">
        <f aca="0">IF(B938="","",SUMPRODUCT((실물목록!$P$2:$P$1001&lt;&gt;"")*ISNUMBER(SEARCH(실물목록!$P$2:$P$1001,I938))*(실물목록!$Q$2:$Q$1001&lt;&gt;"")*ISNUMBER(SEARCH(실물목록!$Q$2:$Q$1001,I938))*(실물목록!$R$2:$R$1001="")*(실물목록!$O$2:$O$1001&lt;&gt;"")*(실물목록!$O$2:$O$1001=H938)))</f>
      </c>
      <c r="H938" t="str">
        <f>IFERROR(IF(AND(LEN(SUBSTITUTE(SUBSTITUTE(SUBSTITUTE(TRIM(A938&amp;""),CHAR(160),"")," ",""),"년",""))=4,VALUE(SUBSTITUTE(SUBSTITUTE(SUBSTITUTE(TRIM(A938&amp;""),CHAR(160),"")," ",""),"년",""))&gt;=1900,VALUE(SUBSTITUTE(SUBSTITUTE(SUBSTITUTE(TRIM(A938&amp;""),CHAR(160),"")," ",""),"년",""))&lt;=2099,TEXT(VALUE(SUBSTITUTE(SUBSTITUTE(SUBSTITUTE(TRIM(A938&amp;""),CHAR(160),"")," ",""),"년","")),"0000")=SUBSTITUTE(SUBSTITUTE(SUBSTITUTE(TRIM(A938&amp;""),CHAR(160),"")," ",""),"년","")),SUBSTITUTE(SUBSTITUTE(SUBSTITUTE(TRIM(A938&amp;""),CHAR(160),"")," ",""),"년",""),""),"")</f>
      </c>
      <c r="I938" t="str">
        <f>SUBSTITUTE(SUBSTITUTE(SUBSTITUTE(SUBSTITUTE(SUBSTITUTE(TRIM(B938&amp;""),CHAR(160),"")," ",""),"초등학교","초"),"중학교","중"),"고등학교","고")</f>
      </c>
    </row>
    <row r="939" customFormat="false" ht="15" hidden="false" customHeight="false" outlineLevel="0" collapsed="false">
      <c r="A939" s="8"/>
      <c r="B939" s="8"/>
      <c r="C939" s="8"/>
      <c r="D939" s="8"/>
      <c r="E939" s="8"/>
      <c r="F939" t="str" s="15">
        <f aca="0">IF(B939="","",IF(H939="","확인필요(입력누락)",IF(SUMPRODUCT((실물목록!$P$2:$P$1001&lt;&gt;"")*ISNUMBER(SEARCH(실물목록!$P$2:$P$1001,I939))*(실물목록!$Q$2:$Q$1001&lt;&gt;"")*ISNUMBER(SEARCH(실물목록!$Q$2:$Q$1001,I939))*(실물목록!$R$2:$R$1001="")*(실물목록!$O$2:$O$1001&lt;&gt;"")*(실물목록!$O$2:$O$1001=H939))&gt;0,"실물 있음",IF(SUMPRODUCT((실물목록!$P$2:$P$1001&lt;&gt;"")*ISNUMBER(SEARCH(실물목록!$P$2:$P$1001,I939))*(실물목록!$R$2:$R$1001&lt;&gt;""))&gt;0,"확인필요(입력누락)",IF(SUMPRODUCT((실물목록!$P$2:$P$1001&lt;&gt;"")*ISNUMBER(SEARCH(실물목록!$P$2:$P$1001,I939))*(실물목록!$Q$2:$Q$1001&lt;&gt;"")*ISNUMBER(SEARCH(실물목록!$Q$2:$Q$1001,I939))*(실물목록!$R$2:$R$1001="")*(실물목록!$O$2:$O$1001&lt;&gt;""))&gt;0,"확인필요(연도다름)","실물 없음")))))</f>
      </c>
      <c r="G939" t="n" s="16">
        <f aca="0">IF(B939="","",SUMPRODUCT((실물목록!$P$2:$P$1001&lt;&gt;"")*ISNUMBER(SEARCH(실물목록!$P$2:$P$1001,I939))*(실물목록!$Q$2:$Q$1001&lt;&gt;"")*ISNUMBER(SEARCH(실물목록!$Q$2:$Q$1001,I939))*(실물목록!$R$2:$R$1001="")*(실물목록!$O$2:$O$1001&lt;&gt;"")*(실물목록!$O$2:$O$1001=H939)))</f>
      </c>
      <c r="H939" t="str">
        <f>IFERROR(IF(AND(LEN(SUBSTITUTE(SUBSTITUTE(SUBSTITUTE(TRIM(A939&amp;""),CHAR(160),"")," ",""),"년",""))=4,VALUE(SUBSTITUTE(SUBSTITUTE(SUBSTITUTE(TRIM(A939&amp;""),CHAR(160),"")," ",""),"년",""))&gt;=1900,VALUE(SUBSTITUTE(SUBSTITUTE(SUBSTITUTE(TRIM(A939&amp;""),CHAR(160),"")," ",""),"년",""))&lt;=2099,TEXT(VALUE(SUBSTITUTE(SUBSTITUTE(SUBSTITUTE(TRIM(A939&amp;""),CHAR(160),"")," ",""),"년","")),"0000")=SUBSTITUTE(SUBSTITUTE(SUBSTITUTE(TRIM(A939&amp;""),CHAR(160),"")," ",""),"년","")),SUBSTITUTE(SUBSTITUTE(SUBSTITUTE(TRIM(A939&amp;""),CHAR(160),"")," ",""),"년",""),""),"")</f>
      </c>
      <c r="I939" t="str">
        <f>SUBSTITUTE(SUBSTITUTE(SUBSTITUTE(SUBSTITUTE(SUBSTITUTE(TRIM(B939&amp;""),CHAR(160),"")," ",""),"초등학교","초"),"중학교","중"),"고등학교","고")</f>
      </c>
    </row>
    <row r="940" customFormat="false" ht="15" hidden="false" customHeight="false" outlineLevel="0" collapsed="false">
      <c r="A940" s="8"/>
      <c r="B940" s="8"/>
      <c r="C940" s="8"/>
      <c r="D940" s="8"/>
      <c r="E940" s="8"/>
      <c r="F940" t="str" s="15">
        <f aca="0">IF(B940="","",IF(H940="","확인필요(입력누락)",IF(SUMPRODUCT((실물목록!$P$2:$P$1001&lt;&gt;"")*ISNUMBER(SEARCH(실물목록!$P$2:$P$1001,I940))*(실물목록!$Q$2:$Q$1001&lt;&gt;"")*ISNUMBER(SEARCH(실물목록!$Q$2:$Q$1001,I940))*(실물목록!$R$2:$R$1001="")*(실물목록!$O$2:$O$1001&lt;&gt;"")*(실물목록!$O$2:$O$1001=H940))&gt;0,"실물 있음",IF(SUMPRODUCT((실물목록!$P$2:$P$1001&lt;&gt;"")*ISNUMBER(SEARCH(실물목록!$P$2:$P$1001,I940))*(실물목록!$R$2:$R$1001&lt;&gt;""))&gt;0,"확인필요(입력누락)",IF(SUMPRODUCT((실물목록!$P$2:$P$1001&lt;&gt;"")*ISNUMBER(SEARCH(실물목록!$P$2:$P$1001,I940))*(실물목록!$Q$2:$Q$1001&lt;&gt;"")*ISNUMBER(SEARCH(실물목록!$Q$2:$Q$1001,I940))*(실물목록!$R$2:$R$1001="")*(실물목록!$O$2:$O$1001&lt;&gt;""))&gt;0,"확인필요(연도다름)","실물 없음")))))</f>
      </c>
      <c r="G940" t="n" s="16">
        <f aca="0">IF(B940="","",SUMPRODUCT((실물목록!$P$2:$P$1001&lt;&gt;"")*ISNUMBER(SEARCH(실물목록!$P$2:$P$1001,I940))*(실물목록!$Q$2:$Q$1001&lt;&gt;"")*ISNUMBER(SEARCH(실물목록!$Q$2:$Q$1001,I940))*(실물목록!$R$2:$R$1001="")*(실물목록!$O$2:$O$1001&lt;&gt;"")*(실물목록!$O$2:$O$1001=H940)))</f>
      </c>
      <c r="H940" t="str">
        <f>IFERROR(IF(AND(LEN(SUBSTITUTE(SUBSTITUTE(SUBSTITUTE(TRIM(A940&amp;""),CHAR(160),"")," ",""),"년",""))=4,VALUE(SUBSTITUTE(SUBSTITUTE(SUBSTITUTE(TRIM(A940&amp;""),CHAR(160),"")," ",""),"년",""))&gt;=1900,VALUE(SUBSTITUTE(SUBSTITUTE(SUBSTITUTE(TRIM(A940&amp;""),CHAR(160),"")," ",""),"년",""))&lt;=2099,TEXT(VALUE(SUBSTITUTE(SUBSTITUTE(SUBSTITUTE(TRIM(A940&amp;""),CHAR(160),"")," ",""),"년","")),"0000")=SUBSTITUTE(SUBSTITUTE(SUBSTITUTE(TRIM(A940&amp;""),CHAR(160),"")," ",""),"년","")),SUBSTITUTE(SUBSTITUTE(SUBSTITUTE(TRIM(A940&amp;""),CHAR(160),"")," ",""),"년",""),""),"")</f>
      </c>
      <c r="I940" t="str">
        <f>SUBSTITUTE(SUBSTITUTE(SUBSTITUTE(SUBSTITUTE(SUBSTITUTE(TRIM(B940&amp;""),CHAR(160),"")," ",""),"초등학교","초"),"중학교","중"),"고등학교","고")</f>
      </c>
    </row>
    <row r="941" customFormat="false" ht="15" hidden="false" customHeight="false" outlineLevel="0" collapsed="false">
      <c r="A941" s="8"/>
      <c r="B941" s="8"/>
      <c r="C941" s="8"/>
      <c r="D941" s="8"/>
      <c r="E941" s="8"/>
      <c r="F941" t="str" s="15">
        <f aca="0">IF(B941="","",IF(H941="","확인필요(입력누락)",IF(SUMPRODUCT((실물목록!$P$2:$P$1001&lt;&gt;"")*ISNUMBER(SEARCH(실물목록!$P$2:$P$1001,I941))*(실물목록!$Q$2:$Q$1001&lt;&gt;"")*ISNUMBER(SEARCH(실물목록!$Q$2:$Q$1001,I941))*(실물목록!$R$2:$R$1001="")*(실물목록!$O$2:$O$1001&lt;&gt;"")*(실물목록!$O$2:$O$1001=H941))&gt;0,"실물 있음",IF(SUMPRODUCT((실물목록!$P$2:$P$1001&lt;&gt;"")*ISNUMBER(SEARCH(실물목록!$P$2:$P$1001,I941))*(실물목록!$R$2:$R$1001&lt;&gt;""))&gt;0,"확인필요(입력누락)",IF(SUMPRODUCT((실물목록!$P$2:$P$1001&lt;&gt;"")*ISNUMBER(SEARCH(실물목록!$P$2:$P$1001,I941))*(실물목록!$Q$2:$Q$1001&lt;&gt;"")*ISNUMBER(SEARCH(실물목록!$Q$2:$Q$1001,I941))*(실물목록!$R$2:$R$1001="")*(실물목록!$O$2:$O$1001&lt;&gt;""))&gt;0,"확인필요(연도다름)","실물 없음")))))</f>
      </c>
      <c r="G941" t="n" s="16">
        <f aca="0">IF(B941="","",SUMPRODUCT((실물목록!$P$2:$P$1001&lt;&gt;"")*ISNUMBER(SEARCH(실물목록!$P$2:$P$1001,I941))*(실물목록!$Q$2:$Q$1001&lt;&gt;"")*ISNUMBER(SEARCH(실물목록!$Q$2:$Q$1001,I941))*(실물목록!$R$2:$R$1001="")*(실물목록!$O$2:$O$1001&lt;&gt;"")*(실물목록!$O$2:$O$1001=H941)))</f>
      </c>
      <c r="H941" t="str">
        <f>IFERROR(IF(AND(LEN(SUBSTITUTE(SUBSTITUTE(SUBSTITUTE(TRIM(A941&amp;""),CHAR(160),"")," ",""),"년",""))=4,VALUE(SUBSTITUTE(SUBSTITUTE(SUBSTITUTE(TRIM(A941&amp;""),CHAR(160),"")," ",""),"년",""))&gt;=1900,VALUE(SUBSTITUTE(SUBSTITUTE(SUBSTITUTE(TRIM(A941&amp;""),CHAR(160),"")," ",""),"년",""))&lt;=2099,TEXT(VALUE(SUBSTITUTE(SUBSTITUTE(SUBSTITUTE(TRIM(A941&amp;""),CHAR(160),"")," ",""),"년","")),"0000")=SUBSTITUTE(SUBSTITUTE(SUBSTITUTE(TRIM(A941&amp;""),CHAR(160),"")," ",""),"년","")),SUBSTITUTE(SUBSTITUTE(SUBSTITUTE(TRIM(A941&amp;""),CHAR(160),"")," ",""),"년",""),""),"")</f>
      </c>
      <c r="I941" t="str">
        <f>SUBSTITUTE(SUBSTITUTE(SUBSTITUTE(SUBSTITUTE(SUBSTITUTE(TRIM(B941&amp;""),CHAR(160),"")," ",""),"초등학교","초"),"중학교","중"),"고등학교","고")</f>
      </c>
    </row>
    <row r="942" customFormat="false" ht="15" hidden="false" customHeight="false" outlineLevel="0" collapsed="false">
      <c r="A942" s="8"/>
      <c r="B942" s="8"/>
      <c r="C942" s="8"/>
      <c r="D942" s="8"/>
      <c r="E942" s="8"/>
      <c r="F942" t="str" s="15">
        <f aca="0">IF(B942="","",IF(H942="","확인필요(입력누락)",IF(SUMPRODUCT((실물목록!$P$2:$P$1001&lt;&gt;"")*ISNUMBER(SEARCH(실물목록!$P$2:$P$1001,I942))*(실물목록!$Q$2:$Q$1001&lt;&gt;"")*ISNUMBER(SEARCH(실물목록!$Q$2:$Q$1001,I942))*(실물목록!$R$2:$R$1001="")*(실물목록!$O$2:$O$1001&lt;&gt;"")*(실물목록!$O$2:$O$1001=H942))&gt;0,"실물 있음",IF(SUMPRODUCT((실물목록!$P$2:$P$1001&lt;&gt;"")*ISNUMBER(SEARCH(실물목록!$P$2:$P$1001,I942))*(실물목록!$R$2:$R$1001&lt;&gt;""))&gt;0,"확인필요(입력누락)",IF(SUMPRODUCT((실물목록!$P$2:$P$1001&lt;&gt;"")*ISNUMBER(SEARCH(실물목록!$P$2:$P$1001,I942))*(실물목록!$Q$2:$Q$1001&lt;&gt;"")*ISNUMBER(SEARCH(실물목록!$Q$2:$Q$1001,I942))*(실물목록!$R$2:$R$1001="")*(실물목록!$O$2:$O$1001&lt;&gt;""))&gt;0,"확인필요(연도다름)","실물 없음")))))</f>
      </c>
      <c r="G942" t="n" s="16">
        <f aca="0">IF(B942="","",SUMPRODUCT((실물목록!$P$2:$P$1001&lt;&gt;"")*ISNUMBER(SEARCH(실물목록!$P$2:$P$1001,I942))*(실물목록!$Q$2:$Q$1001&lt;&gt;"")*ISNUMBER(SEARCH(실물목록!$Q$2:$Q$1001,I942))*(실물목록!$R$2:$R$1001="")*(실물목록!$O$2:$O$1001&lt;&gt;"")*(실물목록!$O$2:$O$1001=H942)))</f>
      </c>
      <c r="H942" t="str">
        <f>IFERROR(IF(AND(LEN(SUBSTITUTE(SUBSTITUTE(SUBSTITUTE(TRIM(A942&amp;""),CHAR(160),"")," ",""),"년",""))=4,VALUE(SUBSTITUTE(SUBSTITUTE(SUBSTITUTE(TRIM(A942&amp;""),CHAR(160),"")," ",""),"년",""))&gt;=1900,VALUE(SUBSTITUTE(SUBSTITUTE(SUBSTITUTE(TRIM(A942&amp;""),CHAR(160),"")," ",""),"년",""))&lt;=2099,TEXT(VALUE(SUBSTITUTE(SUBSTITUTE(SUBSTITUTE(TRIM(A942&amp;""),CHAR(160),"")," ",""),"년","")),"0000")=SUBSTITUTE(SUBSTITUTE(SUBSTITUTE(TRIM(A942&amp;""),CHAR(160),"")," ",""),"년","")),SUBSTITUTE(SUBSTITUTE(SUBSTITUTE(TRIM(A942&amp;""),CHAR(160),"")," ",""),"년",""),""),"")</f>
      </c>
      <c r="I942" t="str">
        <f>SUBSTITUTE(SUBSTITUTE(SUBSTITUTE(SUBSTITUTE(SUBSTITUTE(TRIM(B942&amp;""),CHAR(160),"")," ",""),"초등학교","초"),"중학교","중"),"고등학교","고")</f>
      </c>
    </row>
    <row r="943" customFormat="false" ht="15" hidden="false" customHeight="false" outlineLevel="0" collapsed="false">
      <c r="A943" s="8"/>
      <c r="B943" s="8"/>
      <c r="C943" s="8"/>
      <c r="D943" s="8"/>
      <c r="E943" s="8"/>
      <c r="F943" t="str" s="15">
        <f aca="0">IF(B943="","",IF(H943="","확인필요(입력누락)",IF(SUMPRODUCT((실물목록!$P$2:$P$1001&lt;&gt;"")*ISNUMBER(SEARCH(실물목록!$P$2:$P$1001,I943))*(실물목록!$Q$2:$Q$1001&lt;&gt;"")*ISNUMBER(SEARCH(실물목록!$Q$2:$Q$1001,I943))*(실물목록!$R$2:$R$1001="")*(실물목록!$O$2:$O$1001&lt;&gt;"")*(실물목록!$O$2:$O$1001=H943))&gt;0,"실물 있음",IF(SUMPRODUCT((실물목록!$P$2:$P$1001&lt;&gt;"")*ISNUMBER(SEARCH(실물목록!$P$2:$P$1001,I943))*(실물목록!$R$2:$R$1001&lt;&gt;""))&gt;0,"확인필요(입력누락)",IF(SUMPRODUCT((실물목록!$P$2:$P$1001&lt;&gt;"")*ISNUMBER(SEARCH(실물목록!$P$2:$P$1001,I943))*(실물목록!$Q$2:$Q$1001&lt;&gt;"")*ISNUMBER(SEARCH(실물목록!$Q$2:$Q$1001,I943))*(실물목록!$R$2:$R$1001="")*(실물목록!$O$2:$O$1001&lt;&gt;""))&gt;0,"확인필요(연도다름)","실물 없음")))))</f>
      </c>
      <c r="G943" t="n" s="16">
        <f aca="0">IF(B943="","",SUMPRODUCT((실물목록!$P$2:$P$1001&lt;&gt;"")*ISNUMBER(SEARCH(실물목록!$P$2:$P$1001,I943))*(실물목록!$Q$2:$Q$1001&lt;&gt;"")*ISNUMBER(SEARCH(실물목록!$Q$2:$Q$1001,I943))*(실물목록!$R$2:$R$1001="")*(실물목록!$O$2:$O$1001&lt;&gt;"")*(실물목록!$O$2:$O$1001=H943)))</f>
      </c>
      <c r="H943" t="str">
        <f>IFERROR(IF(AND(LEN(SUBSTITUTE(SUBSTITUTE(SUBSTITUTE(TRIM(A943&amp;""),CHAR(160),"")," ",""),"년",""))=4,VALUE(SUBSTITUTE(SUBSTITUTE(SUBSTITUTE(TRIM(A943&amp;""),CHAR(160),"")," ",""),"년",""))&gt;=1900,VALUE(SUBSTITUTE(SUBSTITUTE(SUBSTITUTE(TRIM(A943&amp;""),CHAR(160),"")," ",""),"년",""))&lt;=2099,TEXT(VALUE(SUBSTITUTE(SUBSTITUTE(SUBSTITUTE(TRIM(A943&amp;""),CHAR(160),"")," ",""),"년","")),"0000")=SUBSTITUTE(SUBSTITUTE(SUBSTITUTE(TRIM(A943&amp;""),CHAR(160),"")," ",""),"년","")),SUBSTITUTE(SUBSTITUTE(SUBSTITUTE(TRIM(A943&amp;""),CHAR(160),"")," ",""),"년",""),""),"")</f>
      </c>
      <c r="I943" t="str">
        <f>SUBSTITUTE(SUBSTITUTE(SUBSTITUTE(SUBSTITUTE(SUBSTITUTE(TRIM(B943&amp;""),CHAR(160),"")," ",""),"초등학교","초"),"중학교","중"),"고등학교","고")</f>
      </c>
    </row>
    <row r="944" customFormat="false" ht="15" hidden="false" customHeight="false" outlineLevel="0" collapsed="false">
      <c r="A944" s="8"/>
      <c r="B944" s="8"/>
      <c r="C944" s="8"/>
      <c r="D944" s="8"/>
      <c r="E944" s="8"/>
      <c r="F944" t="str" s="15">
        <f aca="0">IF(B944="","",IF(H944="","확인필요(입력누락)",IF(SUMPRODUCT((실물목록!$P$2:$P$1001&lt;&gt;"")*ISNUMBER(SEARCH(실물목록!$P$2:$P$1001,I944))*(실물목록!$Q$2:$Q$1001&lt;&gt;"")*ISNUMBER(SEARCH(실물목록!$Q$2:$Q$1001,I944))*(실물목록!$R$2:$R$1001="")*(실물목록!$O$2:$O$1001&lt;&gt;"")*(실물목록!$O$2:$O$1001=H944))&gt;0,"실물 있음",IF(SUMPRODUCT((실물목록!$P$2:$P$1001&lt;&gt;"")*ISNUMBER(SEARCH(실물목록!$P$2:$P$1001,I944))*(실물목록!$R$2:$R$1001&lt;&gt;""))&gt;0,"확인필요(입력누락)",IF(SUMPRODUCT((실물목록!$P$2:$P$1001&lt;&gt;"")*ISNUMBER(SEARCH(실물목록!$P$2:$P$1001,I944))*(실물목록!$Q$2:$Q$1001&lt;&gt;"")*ISNUMBER(SEARCH(실물목록!$Q$2:$Q$1001,I944))*(실물목록!$R$2:$R$1001="")*(실물목록!$O$2:$O$1001&lt;&gt;""))&gt;0,"확인필요(연도다름)","실물 없음")))))</f>
      </c>
      <c r="G944" t="n" s="16">
        <f aca="0">IF(B944="","",SUMPRODUCT((실물목록!$P$2:$P$1001&lt;&gt;"")*ISNUMBER(SEARCH(실물목록!$P$2:$P$1001,I944))*(실물목록!$Q$2:$Q$1001&lt;&gt;"")*ISNUMBER(SEARCH(실물목록!$Q$2:$Q$1001,I944))*(실물목록!$R$2:$R$1001="")*(실물목록!$O$2:$O$1001&lt;&gt;"")*(실물목록!$O$2:$O$1001=H944)))</f>
      </c>
      <c r="H944" t="str">
        <f>IFERROR(IF(AND(LEN(SUBSTITUTE(SUBSTITUTE(SUBSTITUTE(TRIM(A944&amp;""),CHAR(160),"")," ",""),"년",""))=4,VALUE(SUBSTITUTE(SUBSTITUTE(SUBSTITUTE(TRIM(A944&amp;""),CHAR(160),"")," ",""),"년",""))&gt;=1900,VALUE(SUBSTITUTE(SUBSTITUTE(SUBSTITUTE(TRIM(A944&amp;""),CHAR(160),"")," ",""),"년",""))&lt;=2099,TEXT(VALUE(SUBSTITUTE(SUBSTITUTE(SUBSTITUTE(TRIM(A944&amp;""),CHAR(160),"")," ",""),"년","")),"0000")=SUBSTITUTE(SUBSTITUTE(SUBSTITUTE(TRIM(A944&amp;""),CHAR(160),"")," ",""),"년","")),SUBSTITUTE(SUBSTITUTE(SUBSTITUTE(TRIM(A944&amp;""),CHAR(160),"")," ",""),"년",""),""),"")</f>
      </c>
      <c r="I944" t="str">
        <f>SUBSTITUTE(SUBSTITUTE(SUBSTITUTE(SUBSTITUTE(SUBSTITUTE(TRIM(B944&amp;""),CHAR(160),"")," ",""),"초등학교","초"),"중학교","중"),"고등학교","고")</f>
      </c>
    </row>
    <row r="945" customFormat="false" ht="15" hidden="false" customHeight="false" outlineLevel="0" collapsed="false">
      <c r="A945" s="8"/>
      <c r="B945" s="8"/>
      <c r="C945" s="8"/>
      <c r="D945" s="8"/>
      <c r="E945" s="8"/>
      <c r="F945" t="str" s="15">
        <f aca="0">IF(B945="","",IF(H945="","확인필요(입력누락)",IF(SUMPRODUCT((실물목록!$P$2:$P$1001&lt;&gt;"")*ISNUMBER(SEARCH(실물목록!$P$2:$P$1001,I945))*(실물목록!$Q$2:$Q$1001&lt;&gt;"")*ISNUMBER(SEARCH(실물목록!$Q$2:$Q$1001,I945))*(실물목록!$R$2:$R$1001="")*(실물목록!$O$2:$O$1001&lt;&gt;"")*(실물목록!$O$2:$O$1001=H945))&gt;0,"실물 있음",IF(SUMPRODUCT((실물목록!$P$2:$P$1001&lt;&gt;"")*ISNUMBER(SEARCH(실물목록!$P$2:$P$1001,I945))*(실물목록!$R$2:$R$1001&lt;&gt;""))&gt;0,"확인필요(입력누락)",IF(SUMPRODUCT((실물목록!$P$2:$P$1001&lt;&gt;"")*ISNUMBER(SEARCH(실물목록!$P$2:$P$1001,I945))*(실물목록!$Q$2:$Q$1001&lt;&gt;"")*ISNUMBER(SEARCH(실물목록!$Q$2:$Q$1001,I945))*(실물목록!$R$2:$R$1001="")*(실물목록!$O$2:$O$1001&lt;&gt;""))&gt;0,"확인필요(연도다름)","실물 없음")))))</f>
      </c>
      <c r="G945" t="n" s="16">
        <f aca="0">IF(B945="","",SUMPRODUCT((실물목록!$P$2:$P$1001&lt;&gt;"")*ISNUMBER(SEARCH(실물목록!$P$2:$P$1001,I945))*(실물목록!$Q$2:$Q$1001&lt;&gt;"")*ISNUMBER(SEARCH(실물목록!$Q$2:$Q$1001,I945))*(실물목록!$R$2:$R$1001="")*(실물목록!$O$2:$O$1001&lt;&gt;"")*(실물목록!$O$2:$O$1001=H945)))</f>
      </c>
      <c r="H945" t="str">
        <f>IFERROR(IF(AND(LEN(SUBSTITUTE(SUBSTITUTE(SUBSTITUTE(TRIM(A945&amp;""),CHAR(160),"")," ",""),"년",""))=4,VALUE(SUBSTITUTE(SUBSTITUTE(SUBSTITUTE(TRIM(A945&amp;""),CHAR(160),"")," ",""),"년",""))&gt;=1900,VALUE(SUBSTITUTE(SUBSTITUTE(SUBSTITUTE(TRIM(A945&amp;""),CHAR(160),"")," ",""),"년",""))&lt;=2099,TEXT(VALUE(SUBSTITUTE(SUBSTITUTE(SUBSTITUTE(TRIM(A945&amp;""),CHAR(160),"")," ",""),"년","")),"0000")=SUBSTITUTE(SUBSTITUTE(SUBSTITUTE(TRIM(A945&amp;""),CHAR(160),"")," ",""),"년","")),SUBSTITUTE(SUBSTITUTE(SUBSTITUTE(TRIM(A945&amp;""),CHAR(160),"")," ",""),"년",""),""),"")</f>
      </c>
      <c r="I945" t="str">
        <f>SUBSTITUTE(SUBSTITUTE(SUBSTITUTE(SUBSTITUTE(SUBSTITUTE(TRIM(B945&amp;""),CHAR(160),"")," ",""),"초등학교","초"),"중학교","중"),"고등학교","고")</f>
      </c>
    </row>
    <row r="946" customFormat="false" ht="15" hidden="false" customHeight="false" outlineLevel="0" collapsed="false">
      <c r="A946" s="8"/>
      <c r="B946" s="8"/>
      <c r="C946" s="8"/>
      <c r="D946" s="8"/>
      <c r="E946" s="8"/>
      <c r="F946" t="str" s="15">
        <f aca="0">IF(B946="","",IF(H946="","확인필요(입력누락)",IF(SUMPRODUCT((실물목록!$P$2:$P$1001&lt;&gt;"")*ISNUMBER(SEARCH(실물목록!$P$2:$P$1001,I946))*(실물목록!$Q$2:$Q$1001&lt;&gt;"")*ISNUMBER(SEARCH(실물목록!$Q$2:$Q$1001,I946))*(실물목록!$R$2:$R$1001="")*(실물목록!$O$2:$O$1001&lt;&gt;"")*(실물목록!$O$2:$O$1001=H946))&gt;0,"실물 있음",IF(SUMPRODUCT((실물목록!$P$2:$P$1001&lt;&gt;"")*ISNUMBER(SEARCH(실물목록!$P$2:$P$1001,I946))*(실물목록!$R$2:$R$1001&lt;&gt;""))&gt;0,"확인필요(입력누락)",IF(SUMPRODUCT((실물목록!$P$2:$P$1001&lt;&gt;"")*ISNUMBER(SEARCH(실물목록!$P$2:$P$1001,I946))*(실물목록!$Q$2:$Q$1001&lt;&gt;"")*ISNUMBER(SEARCH(실물목록!$Q$2:$Q$1001,I946))*(실물목록!$R$2:$R$1001="")*(실물목록!$O$2:$O$1001&lt;&gt;""))&gt;0,"확인필요(연도다름)","실물 없음")))))</f>
      </c>
      <c r="G946" t="n" s="16">
        <f aca="0">IF(B946="","",SUMPRODUCT((실물목록!$P$2:$P$1001&lt;&gt;"")*ISNUMBER(SEARCH(실물목록!$P$2:$P$1001,I946))*(실물목록!$Q$2:$Q$1001&lt;&gt;"")*ISNUMBER(SEARCH(실물목록!$Q$2:$Q$1001,I946))*(실물목록!$R$2:$R$1001="")*(실물목록!$O$2:$O$1001&lt;&gt;"")*(실물목록!$O$2:$O$1001=H946)))</f>
      </c>
      <c r="H946" t="str">
        <f>IFERROR(IF(AND(LEN(SUBSTITUTE(SUBSTITUTE(SUBSTITUTE(TRIM(A946&amp;""),CHAR(160),"")," ",""),"년",""))=4,VALUE(SUBSTITUTE(SUBSTITUTE(SUBSTITUTE(TRIM(A946&amp;""),CHAR(160),"")," ",""),"년",""))&gt;=1900,VALUE(SUBSTITUTE(SUBSTITUTE(SUBSTITUTE(TRIM(A946&amp;""),CHAR(160),"")," ",""),"년",""))&lt;=2099,TEXT(VALUE(SUBSTITUTE(SUBSTITUTE(SUBSTITUTE(TRIM(A946&amp;""),CHAR(160),"")," ",""),"년","")),"0000")=SUBSTITUTE(SUBSTITUTE(SUBSTITUTE(TRIM(A946&amp;""),CHAR(160),"")," ",""),"년","")),SUBSTITUTE(SUBSTITUTE(SUBSTITUTE(TRIM(A946&amp;""),CHAR(160),"")," ",""),"년",""),""),"")</f>
      </c>
      <c r="I946" t="str">
        <f>SUBSTITUTE(SUBSTITUTE(SUBSTITUTE(SUBSTITUTE(SUBSTITUTE(TRIM(B946&amp;""),CHAR(160),"")," ",""),"초등학교","초"),"중학교","중"),"고등학교","고")</f>
      </c>
    </row>
    <row r="947" customFormat="false" ht="15" hidden="false" customHeight="false" outlineLevel="0" collapsed="false">
      <c r="A947" s="8"/>
      <c r="B947" s="8"/>
      <c r="C947" s="8"/>
      <c r="D947" s="8"/>
      <c r="E947" s="8"/>
      <c r="F947" t="str" s="15">
        <f aca="0">IF(B947="","",IF(H947="","확인필요(입력누락)",IF(SUMPRODUCT((실물목록!$P$2:$P$1001&lt;&gt;"")*ISNUMBER(SEARCH(실물목록!$P$2:$P$1001,I947))*(실물목록!$Q$2:$Q$1001&lt;&gt;"")*ISNUMBER(SEARCH(실물목록!$Q$2:$Q$1001,I947))*(실물목록!$R$2:$R$1001="")*(실물목록!$O$2:$O$1001&lt;&gt;"")*(실물목록!$O$2:$O$1001=H947))&gt;0,"실물 있음",IF(SUMPRODUCT((실물목록!$P$2:$P$1001&lt;&gt;"")*ISNUMBER(SEARCH(실물목록!$P$2:$P$1001,I947))*(실물목록!$R$2:$R$1001&lt;&gt;""))&gt;0,"확인필요(입력누락)",IF(SUMPRODUCT((실물목록!$P$2:$P$1001&lt;&gt;"")*ISNUMBER(SEARCH(실물목록!$P$2:$P$1001,I947))*(실물목록!$Q$2:$Q$1001&lt;&gt;"")*ISNUMBER(SEARCH(실물목록!$Q$2:$Q$1001,I947))*(실물목록!$R$2:$R$1001="")*(실물목록!$O$2:$O$1001&lt;&gt;""))&gt;0,"확인필요(연도다름)","실물 없음")))))</f>
      </c>
      <c r="G947" t="n" s="16">
        <f aca="0">IF(B947="","",SUMPRODUCT((실물목록!$P$2:$P$1001&lt;&gt;"")*ISNUMBER(SEARCH(실물목록!$P$2:$P$1001,I947))*(실물목록!$Q$2:$Q$1001&lt;&gt;"")*ISNUMBER(SEARCH(실물목록!$Q$2:$Q$1001,I947))*(실물목록!$R$2:$R$1001="")*(실물목록!$O$2:$O$1001&lt;&gt;"")*(실물목록!$O$2:$O$1001=H947)))</f>
      </c>
      <c r="H947" t="str">
        <f>IFERROR(IF(AND(LEN(SUBSTITUTE(SUBSTITUTE(SUBSTITUTE(TRIM(A947&amp;""),CHAR(160),"")," ",""),"년",""))=4,VALUE(SUBSTITUTE(SUBSTITUTE(SUBSTITUTE(TRIM(A947&amp;""),CHAR(160),"")," ",""),"년",""))&gt;=1900,VALUE(SUBSTITUTE(SUBSTITUTE(SUBSTITUTE(TRIM(A947&amp;""),CHAR(160),"")," ",""),"년",""))&lt;=2099,TEXT(VALUE(SUBSTITUTE(SUBSTITUTE(SUBSTITUTE(TRIM(A947&amp;""),CHAR(160),"")," ",""),"년","")),"0000")=SUBSTITUTE(SUBSTITUTE(SUBSTITUTE(TRIM(A947&amp;""),CHAR(160),"")," ",""),"년","")),SUBSTITUTE(SUBSTITUTE(SUBSTITUTE(TRIM(A947&amp;""),CHAR(160),"")," ",""),"년",""),""),"")</f>
      </c>
      <c r="I947" t="str">
        <f>SUBSTITUTE(SUBSTITUTE(SUBSTITUTE(SUBSTITUTE(SUBSTITUTE(TRIM(B947&amp;""),CHAR(160),"")," ",""),"초등학교","초"),"중학교","중"),"고등학교","고")</f>
      </c>
    </row>
    <row r="948" customFormat="false" ht="15" hidden="false" customHeight="false" outlineLevel="0" collapsed="false">
      <c r="A948" s="8"/>
      <c r="B948" s="8"/>
      <c r="C948" s="8"/>
      <c r="D948" s="8"/>
      <c r="E948" s="8"/>
      <c r="F948" t="str" s="15">
        <f aca="0">IF(B948="","",IF(H948="","확인필요(입력누락)",IF(SUMPRODUCT((실물목록!$P$2:$P$1001&lt;&gt;"")*ISNUMBER(SEARCH(실물목록!$P$2:$P$1001,I948))*(실물목록!$Q$2:$Q$1001&lt;&gt;"")*ISNUMBER(SEARCH(실물목록!$Q$2:$Q$1001,I948))*(실물목록!$R$2:$R$1001="")*(실물목록!$O$2:$O$1001&lt;&gt;"")*(실물목록!$O$2:$O$1001=H948))&gt;0,"실물 있음",IF(SUMPRODUCT((실물목록!$P$2:$P$1001&lt;&gt;"")*ISNUMBER(SEARCH(실물목록!$P$2:$P$1001,I948))*(실물목록!$R$2:$R$1001&lt;&gt;""))&gt;0,"확인필요(입력누락)",IF(SUMPRODUCT((실물목록!$P$2:$P$1001&lt;&gt;"")*ISNUMBER(SEARCH(실물목록!$P$2:$P$1001,I948))*(실물목록!$Q$2:$Q$1001&lt;&gt;"")*ISNUMBER(SEARCH(실물목록!$Q$2:$Q$1001,I948))*(실물목록!$R$2:$R$1001="")*(실물목록!$O$2:$O$1001&lt;&gt;""))&gt;0,"확인필요(연도다름)","실물 없음")))))</f>
      </c>
      <c r="G948" t="n" s="16">
        <f aca="0">IF(B948="","",SUMPRODUCT((실물목록!$P$2:$P$1001&lt;&gt;"")*ISNUMBER(SEARCH(실물목록!$P$2:$P$1001,I948))*(실물목록!$Q$2:$Q$1001&lt;&gt;"")*ISNUMBER(SEARCH(실물목록!$Q$2:$Q$1001,I948))*(실물목록!$R$2:$R$1001="")*(실물목록!$O$2:$O$1001&lt;&gt;"")*(실물목록!$O$2:$O$1001=H948)))</f>
      </c>
      <c r="H948" t="str">
        <f>IFERROR(IF(AND(LEN(SUBSTITUTE(SUBSTITUTE(SUBSTITUTE(TRIM(A948&amp;""),CHAR(160),"")," ",""),"년",""))=4,VALUE(SUBSTITUTE(SUBSTITUTE(SUBSTITUTE(TRIM(A948&amp;""),CHAR(160),"")," ",""),"년",""))&gt;=1900,VALUE(SUBSTITUTE(SUBSTITUTE(SUBSTITUTE(TRIM(A948&amp;""),CHAR(160),"")," ",""),"년",""))&lt;=2099,TEXT(VALUE(SUBSTITUTE(SUBSTITUTE(SUBSTITUTE(TRIM(A948&amp;""),CHAR(160),"")," ",""),"년","")),"0000")=SUBSTITUTE(SUBSTITUTE(SUBSTITUTE(TRIM(A948&amp;""),CHAR(160),"")," ",""),"년","")),SUBSTITUTE(SUBSTITUTE(SUBSTITUTE(TRIM(A948&amp;""),CHAR(160),"")," ",""),"년",""),""),"")</f>
      </c>
      <c r="I948" t="str">
        <f>SUBSTITUTE(SUBSTITUTE(SUBSTITUTE(SUBSTITUTE(SUBSTITUTE(TRIM(B948&amp;""),CHAR(160),"")," ",""),"초등학교","초"),"중학교","중"),"고등학교","고")</f>
      </c>
    </row>
    <row r="949" customFormat="false" ht="15" hidden="false" customHeight="false" outlineLevel="0" collapsed="false">
      <c r="A949" s="8"/>
      <c r="B949" s="8"/>
      <c r="C949" s="8"/>
      <c r="D949" s="8"/>
      <c r="E949" s="8"/>
      <c r="F949" t="str" s="15">
        <f aca="0">IF(B949="","",IF(H949="","확인필요(입력누락)",IF(SUMPRODUCT((실물목록!$P$2:$P$1001&lt;&gt;"")*ISNUMBER(SEARCH(실물목록!$P$2:$P$1001,I949))*(실물목록!$Q$2:$Q$1001&lt;&gt;"")*ISNUMBER(SEARCH(실물목록!$Q$2:$Q$1001,I949))*(실물목록!$R$2:$R$1001="")*(실물목록!$O$2:$O$1001&lt;&gt;"")*(실물목록!$O$2:$O$1001=H949))&gt;0,"실물 있음",IF(SUMPRODUCT((실물목록!$P$2:$P$1001&lt;&gt;"")*ISNUMBER(SEARCH(실물목록!$P$2:$P$1001,I949))*(실물목록!$R$2:$R$1001&lt;&gt;""))&gt;0,"확인필요(입력누락)",IF(SUMPRODUCT((실물목록!$P$2:$P$1001&lt;&gt;"")*ISNUMBER(SEARCH(실물목록!$P$2:$P$1001,I949))*(실물목록!$Q$2:$Q$1001&lt;&gt;"")*ISNUMBER(SEARCH(실물목록!$Q$2:$Q$1001,I949))*(실물목록!$R$2:$R$1001="")*(실물목록!$O$2:$O$1001&lt;&gt;""))&gt;0,"확인필요(연도다름)","실물 없음")))))</f>
      </c>
      <c r="G949" t="n" s="16">
        <f aca="0">IF(B949="","",SUMPRODUCT((실물목록!$P$2:$P$1001&lt;&gt;"")*ISNUMBER(SEARCH(실물목록!$P$2:$P$1001,I949))*(실물목록!$Q$2:$Q$1001&lt;&gt;"")*ISNUMBER(SEARCH(실물목록!$Q$2:$Q$1001,I949))*(실물목록!$R$2:$R$1001="")*(실물목록!$O$2:$O$1001&lt;&gt;"")*(실물목록!$O$2:$O$1001=H949)))</f>
      </c>
      <c r="H949" t="str">
        <f>IFERROR(IF(AND(LEN(SUBSTITUTE(SUBSTITUTE(SUBSTITUTE(TRIM(A949&amp;""),CHAR(160),"")," ",""),"년",""))=4,VALUE(SUBSTITUTE(SUBSTITUTE(SUBSTITUTE(TRIM(A949&amp;""),CHAR(160),"")," ",""),"년",""))&gt;=1900,VALUE(SUBSTITUTE(SUBSTITUTE(SUBSTITUTE(TRIM(A949&amp;""),CHAR(160),"")," ",""),"년",""))&lt;=2099,TEXT(VALUE(SUBSTITUTE(SUBSTITUTE(SUBSTITUTE(TRIM(A949&amp;""),CHAR(160),"")," ",""),"년","")),"0000")=SUBSTITUTE(SUBSTITUTE(SUBSTITUTE(TRIM(A949&amp;""),CHAR(160),"")," ",""),"년","")),SUBSTITUTE(SUBSTITUTE(SUBSTITUTE(TRIM(A949&amp;""),CHAR(160),"")," ",""),"년",""),""),"")</f>
      </c>
      <c r="I949" t="str">
        <f>SUBSTITUTE(SUBSTITUTE(SUBSTITUTE(SUBSTITUTE(SUBSTITUTE(TRIM(B949&amp;""),CHAR(160),"")," ",""),"초등학교","초"),"중학교","중"),"고등학교","고")</f>
      </c>
    </row>
    <row r="950" customFormat="false" ht="15" hidden="false" customHeight="false" outlineLevel="0" collapsed="false">
      <c r="A950" s="8"/>
      <c r="B950" s="8"/>
      <c r="C950" s="8"/>
      <c r="D950" s="8"/>
      <c r="E950" s="8"/>
      <c r="F950" t="str" s="15">
        <f aca="0">IF(B950="","",IF(H950="","확인필요(입력누락)",IF(SUMPRODUCT((실물목록!$P$2:$P$1001&lt;&gt;"")*ISNUMBER(SEARCH(실물목록!$P$2:$P$1001,I950))*(실물목록!$Q$2:$Q$1001&lt;&gt;"")*ISNUMBER(SEARCH(실물목록!$Q$2:$Q$1001,I950))*(실물목록!$R$2:$R$1001="")*(실물목록!$O$2:$O$1001&lt;&gt;"")*(실물목록!$O$2:$O$1001=H950))&gt;0,"실물 있음",IF(SUMPRODUCT((실물목록!$P$2:$P$1001&lt;&gt;"")*ISNUMBER(SEARCH(실물목록!$P$2:$P$1001,I950))*(실물목록!$R$2:$R$1001&lt;&gt;""))&gt;0,"확인필요(입력누락)",IF(SUMPRODUCT((실물목록!$P$2:$P$1001&lt;&gt;"")*ISNUMBER(SEARCH(실물목록!$P$2:$P$1001,I950))*(실물목록!$Q$2:$Q$1001&lt;&gt;"")*ISNUMBER(SEARCH(실물목록!$Q$2:$Q$1001,I950))*(실물목록!$R$2:$R$1001="")*(실물목록!$O$2:$O$1001&lt;&gt;""))&gt;0,"확인필요(연도다름)","실물 없음")))))</f>
      </c>
      <c r="G950" t="n" s="16">
        <f aca="0">IF(B950="","",SUMPRODUCT((실물목록!$P$2:$P$1001&lt;&gt;"")*ISNUMBER(SEARCH(실물목록!$P$2:$P$1001,I950))*(실물목록!$Q$2:$Q$1001&lt;&gt;"")*ISNUMBER(SEARCH(실물목록!$Q$2:$Q$1001,I950))*(실물목록!$R$2:$R$1001="")*(실물목록!$O$2:$O$1001&lt;&gt;"")*(실물목록!$O$2:$O$1001=H950)))</f>
      </c>
      <c r="H950" t="str">
        <f>IFERROR(IF(AND(LEN(SUBSTITUTE(SUBSTITUTE(SUBSTITUTE(TRIM(A950&amp;""),CHAR(160),"")," ",""),"년",""))=4,VALUE(SUBSTITUTE(SUBSTITUTE(SUBSTITUTE(TRIM(A950&amp;""),CHAR(160),"")," ",""),"년",""))&gt;=1900,VALUE(SUBSTITUTE(SUBSTITUTE(SUBSTITUTE(TRIM(A950&amp;""),CHAR(160),"")," ",""),"년",""))&lt;=2099,TEXT(VALUE(SUBSTITUTE(SUBSTITUTE(SUBSTITUTE(TRIM(A950&amp;""),CHAR(160),"")," ",""),"년","")),"0000")=SUBSTITUTE(SUBSTITUTE(SUBSTITUTE(TRIM(A950&amp;""),CHAR(160),"")," ",""),"년","")),SUBSTITUTE(SUBSTITUTE(SUBSTITUTE(TRIM(A950&amp;""),CHAR(160),"")," ",""),"년",""),""),"")</f>
      </c>
      <c r="I950" t="str">
        <f>SUBSTITUTE(SUBSTITUTE(SUBSTITUTE(SUBSTITUTE(SUBSTITUTE(TRIM(B950&amp;""),CHAR(160),"")," ",""),"초등학교","초"),"중학교","중"),"고등학교","고")</f>
      </c>
    </row>
    <row r="951" customFormat="false" ht="15" hidden="false" customHeight="false" outlineLevel="0" collapsed="false">
      <c r="A951" s="8"/>
      <c r="B951" s="8"/>
      <c r="C951" s="8"/>
      <c r="D951" s="8"/>
      <c r="E951" s="8"/>
      <c r="F951" t="str" s="15">
        <f aca="0">IF(B951="","",IF(H951="","확인필요(입력누락)",IF(SUMPRODUCT((실물목록!$P$2:$P$1001&lt;&gt;"")*ISNUMBER(SEARCH(실물목록!$P$2:$P$1001,I951))*(실물목록!$Q$2:$Q$1001&lt;&gt;"")*ISNUMBER(SEARCH(실물목록!$Q$2:$Q$1001,I951))*(실물목록!$R$2:$R$1001="")*(실물목록!$O$2:$O$1001&lt;&gt;"")*(실물목록!$O$2:$O$1001=H951))&gt;0,"실물 있음",IF(SUMPRODUCT((실물목록!$P$2:$P$1001&lt;&gt;"")*ISNUMBER(SEARCH(실물목록!$P$2:$P$1001,I951))*(실물목록!$R$2:$R$1001&lt;&gt;""))&gt;0,"확인필요(입력누락)",IF(SUMPRODUCT((실물목록!$P$2:$P$1001&lt;&gt;"")*ISNUMBER(SEARCH(실물목록!$P$2:$P$1001,I951))*(실물목록!$Q$2:$Q$1001&lt;&gt;"")*ISNUMBER(SEARCH(실물목록!$Q$2:$Q$1001,I951))*(실물목록!$R$2:$R$1001="")*(실물목록!$O$2:$O$1001&lt;&gt;""))&gt;0,"확인필요(연도다름)","실물 없음")))))</f>
      </c>
      <c r="G951" t="n" s="16">
        <f aca="0">IF(B951="","",SUMPRODUCT((실물목록!$P$2:$P$1001&lt;&gt;"")*ISNUMBER(SEARCH(실물목록!$P$2:$P$1001,I951))*(실물목록!$Q$2:$Q$1001&lt;&gt;"")*ISNUMBER(SEARCH(실물목록!$Q$2:$Q$1001,I951))*(실물목록!$R$2:$R$1001="")*(실물목록!$O$2:$O$1001&lt;&gt;"")*(실물목록!$O$2:$O$1001=H951)))</f>
      </c>
      <c r="H951" t="str">
        <f>IFERROR(IF(AND(LEN(SUBSTITUTE(SUBSTITUTE(SUBSTITUTE(TRIM(A951&amp;""),CHAR(160),"")," ",""),"년",""))=4,VALUE(SUBSTITUTE(SUBSTITUTE(SUBSTITUTE(TRIM(A951&amp;""),CHAR(160),"")," ",""),"년",""))&gt;=1900,VALUE(SUBSTITUTE(SUBSTITUTE(SUBSTITUTE(TRIM(A951&amp;""),CHAR(160),"")," ",""),"년",""))&lt;=2099,TEXT(VALUE(SUBSTITUTE(SUBSTITUTE(SUBSTITUTE(TRIM(A951&amp;""),CHAR(160),"")," ",""),"년","")),"0000")=SUBSTITUTE(SUBSTITUTE(SUBSTITUTE(TRIM(A951&amp;""),CHAR(160),"")," ",""),"년","")),SUBSTITUTE(SUBSTITUTE(SUBSTITUTE(TRIM(A951&amp;""),CHAR(160),"")," ",""),"년",""),""),"")</f>
      </c>
      <c r="I951" t="str">
        <f>SUBSTITUTE(SUBSTITUTE(SUBSTITUTE(SUBSTITUTE(SUBSTITUTE(TRIM(B951&amp;""),CHAR(160),"")," ",""),"초등학교","초"),"중학교","중"),"고등학교","고")</f>
      </c>
    </row>
    <row r="952" customFormat="false" ht="15" hidden="false" customHeight="false" outlineLevel="0" collapsed="false">
      <c r="A952" s="8"/>
      <c r="B952" s="8"/>
      <c r="C952" s="8"/>
      <c r="D952" s="8"/>
      <c r="E952" s="8"/>
      <c r="F952" t="str" s="15">
        <f aca="0">IF(B952="","",IF(H952="","확인필요(입력누락)",IF(SUMPRODUCT((실물목록!$P$2:$P$1001&lt;&gt;"")*ISNUMBER(SEARCH(실물목록!$P$2:$P$1001,I952))*(실물목록!$Q$2:$Q$1001&lt;&gt;"")*ISNUMBER(SEARCH(실물목록!$Q$2:$Q$1001,I952))*(실물목록!$R$2:$R$1001="")*(실물목록!$O$2:$O$1001&lt;&gt;"")*(실물목록!$O$2:$O$1001=H952))&gt;0,"실물 있음",IF(SUMPRODUCT((실물목록!$P$2:$P$1001&lt;&gt;"")*ISNUMBER(SEARCH(실물목록!$P$2:$P$1001,I952))*(실물목록!$R$2:$R$1001&lt;&gt;""))&gt;0,"확인필요(입력누락)",IF(SUMPRODUCT((실물목록!$P$2:$P$1001&lt;&gt;"")*ISNUMBER(SEARCH(실물목록!$P$2:$P$1001,I952))*(실물목록!$Q$2:$Q$1001&lt;&gt;"")*ISNUMBER(SEARCH(실물목록!$Q$2:$Q$1001,I952))*(실물목록!$R$2:$R$1001="")*(실물목록!$O$2:$O$1001&lt;&gt;""))&gt;0,"확인필요(연도다름)","실물 없음")))))</f>
      </c>
      <c r="G952" t="n" s="16">
        <f aca="0">IF(B952="","",SUMPRODUCT((실물목록!$P$2:$P$1001&lt;&gt;"")*ISNUMBER(SEARCH(실물목록!$P$2:$P$1001,I952))*(실물목록!$Q$2:$Q$1001&lt;&gt;"")*ISNUMBER(SEARCH(실물목록!$Q$2:$Q$1001,I952))*(실물목록!$R$2:$R$1001="")*(실물목록!$O$2:$O$1001&lt;&gt;"")*(실물목록!$O$2:$O$1001=H952)))</f>
      </c>
      <c r="H952" t="str">
        <f>IFERROR(IF(AND(LEN(SUBSTITUTE(SUBSTITUTE(SUBSTITUTE(TRIM(A952&amp;""),CHAR(160),"")," ",""),"년",""))=4,VALUE(SUBSTITUTE(SUBSTITUTE(SUBSTITUTE(TRIM(A952&amp;""),CHAR(160),"")," ",""),"년",""))&gt;=1900,VALUE(SUBSTITUTE(SUBSTITUTE(SUBSTITUTE(TRIM(A952&amp;""),CHAR(160),"")," ",""),"년",""))&lt;=2099,TEXT(VALUE(SUBSTITUTE(SUBSTITUTE(SUBSTITUTE(TRIM(A952&amp;""),CHAR(160),"")," ",""),"년","")),"0000")=SUBSTITUTE(SUBSTITUTE(SUBSTITUTE(TRIM(A952&amp;""),CHAR(160),"")," ",""),"년","")),SUBSTITUTE(SUBSTITUTE(SUBSTITUTE(TRIM(A952&amp;""),CHAR(160),"")," ",""),"년",""),""),"")</f>
      </c>
      <c r="I952" t="str">
        <f>SUBSTITUTE(SUBSTITUTE(SUBSTITUTE(SUBSTITUTE(SUBSTITUTE(TRIM(B952&amp;""),CHAR(160),"")," ",""),"초등학교","초"),"중학교","중"),"고등학교","고")</f>
      </c>
    </row>
    <row r="953" customFormat="false" ht="15" hidden="false" customHeight="false" outlineLevel="0" collapsed="false">
      <c r="A953" s="8"/>
      <c r="B953" s="8"/>
      <c r="C953" s="8"/>
      <c r="D953" s="8"/>
      <c r="E953" s="8"/>
      <c r="F953" t="str" s="15">
        <f aca="0">IF(B953="","",IF(H953="","확인필요(입력누락)",IF(SUMPRODUCT((실물목록!$P$2:$P$1001&lt;&gt;"")*ISNUMBER(SEARCH(실물목록!$P$2:$P$1001,I953))*(실물목록!$Q$2:$Q$1001&lt;&gt;"")*ISNUMBER(SEARCH(실물목록!$Q$2:$Q$1001,I953))*(실물목록!$R$2:$R$1001="")*(실물목록!$O$2:$O$1001&lt;&gt;"")*(실물목록!$O$2:$O$1001=H953))&gt;0,"실물 있음",IF(SUMPRODUCT((실물목록!$P$2:$P$1001&lt;&gt;"")*ISNUMBER(SEARCH(실물목록!$P$2:$P$1001,I953))*(실물목록!$R$2:$R$1001&lt;&gt;""))&gt;0,"확인필요(입력누락)",IF(SUMPRODUCT((실물목록!$P$2:$P$1001&lt;&gt;"")*ISNUMBER(SEARCH(실물목록!$P$2:$P$1001,I953))*(실물목록!$Q$2:$Q$1001&lt;&gt;"")*ISNUMBER(SEARCH(실물목록!$Q$2:$Q$1001,I953))*(실물목록!$R$2:$R$1001="")*(실물목록!$O$2:$O$1001&lt;&gt;""))&gt;0,"확인필요(연도다름)","실물 없음")))))</f>
      </c>
      <c r="G953" t="n" s="16">
        <f aca="0">IF(B953="","",SUMPRODUCT((실물목록!$P$2:$P$1001&lt;&gt;"")*ISNUMBER(SEARCH(실물목록!$P$2:$P$1001,I953))*(실물목록!$Q$2:$Q$1001&lt;&gt;"")*ISNUMBER(SEARCH(실물목록!$Q$2:$Q$1001,I953))*(실물목록!$R$2:$R$1001="")*(실물목록!$O$2:$O$1001&lt;&gt;"")*(실물목록!$O$2:$O$1001=H953)))</f>
      </c>
      <c r="H953" t="str">
        <f>IFERROR(IF(AND(LEN(SUBSTITUTE(SUBSTITUTE(SUBSTITUTE(TRIM(A953&amp;""),CHAR(160),"")," ",""),"년",""))=4,VALUE(SUBSTITUTE(SUBSTITUTE(SUBSTITUTE(TRIM(A953&amp;""),CHAR(160),"")," ",""),"년",""))&gt;=1900,VALUE(SUBSTITUTE(SUBSTITUTE(SUBSTITUTE(TRIM(A953&amp;""),CHAR(160),"")," ",""),"년",""))&lt;=2099,TEXT(VALUE(SUBSTITUTE(SUBSTITUTE(SUBSTITUTE(TRIM(A953&amp;""),CHAR(160),"")," ",""),"년","")),"0000")=SUBSTITUTE(SUBSTITUTE(SUBSTITUTE(TRIM(A953&amp;""),CHAR(160),"")," ",""),"년","")),SUBSTITUTE(SUBSTITUTE(SUBSTITUTE(TRIM(A953&amp;""),CHAR(160),"")," ",""),"년",""),""),"")</f>
      </c>
      <c r="I953" t="str">
        <f>SUBSTITUTE(SUBSTITUTE(SUBSTITUTE(SUBSTITUTE(SUBSTITUTE(TRIM(B953&amp;""),CHAR(160),"")," ",""),"초등학교","초"),"중학교","중"),"고등학교","고")</f>
      </c>
    </row>
    <row r="954" customFormat="false" ht="15" hidden="false" customHeight="false" outlineLevel="0" collapsed="false">
      <c r="A954" s="8"/>
      <c r="B954" s="8"/>
      <c r="C954" s="8"/>
      <c r="D954" s="8"/>
      <c r="E954" s="8"/>
      <c r="F954" t="str" s="15">
        <f aca="0">IF(B954="","",IF(H954="","확인필요(입력누락)",IF(SUMPRODUCT((실물목록!$P$2:$P$1001&lt;&gt;"")*ISNUMBER(SEARCH(실물목록!$P$2:$P$1001,I954))*(실물목록!$Q$2:$Q$1001&lt;&gt;"")*ISNUMBER(SEARCH(실물목록!$Q$2:$Q$1001,I954))*(실물목록!$R$2:$R$1001="")*(실물목록!$O$2:$O$1001&lt;&gt;"")*(실물목록!$O$2:$O$1001=H954))&gt;0,"실물 있음",IF(SUMPRODUCT((실물목록!$P$2:$P$1001&lt;&gt;"")*ISNUMBER(SEARCH(실물목록!$P$2:$P$1001,I954))*(실물목록!$R$2:$R$1001&lt;&gt;""))&gt;0,"확인필요(입력누락)",IF(SUMPRODUCT((실물목록!$P$2:$P$1001&lt;&gt;"")*ISNUMBER(SEARCH(실물목록!$P$2:$P$1001,I954))*(실물목록!$Q$2:$Q$1001&lt;&gt;"")*ISNUMBER(SEARCH(실물목록!$Q$2:$Q$1001,I954))*(실물목록!$R$2:$R$1001="")*(실물목록!$O$2:$O$1001&lt;&gt;""))&gt;0,"확인필요(연도다름)","실물 없음")))))</f>
      </c>
      <c r="G954" t="n" s="16">
        <f aca="0">IF(B954="","",SUMPRODUCT((실물목록!$P$2:$P$1001&lt;&gt;"")*ISNUMBER(SEARCH(실물목록!$P$2:$P$1001,I954))*(실물목록!$Q$2:$Q$1001&lt;&gt;"")*ISNUMBER(SEARCH(실물목록!$Q$2:$Q$1001,I954))*(실물목록!$R$2:$R$1001="")*(실물목록!$O$2:$O$1001&lt;&gt;"")*(실물목록!$O$2:$O$1001=H954)))</f>
      </c>
      <c r="H954" t="str">
        <f>IFERROR(IF(AND(LEN(SUBSTITUTE(SUBSTITUTE(SUBSTITUTE(TRIM(A954&amp;""),CHAR(160),"")," ",""),"년",""))=4,VALUE(SUBSTITUTE(SUBSTITUTE(SUBSTITUTE(TRIM(A954&amp;""),CHAR(160),"")," ",""),"년",""))&gt;=1900,VALUE(SUBSTITUTE(SUBSTITUTE(SUBSTITUTE(TRIM(A954&amp;""),CHAR(160),"")," ",""),"년",""))&lt;=2099,TEXT(VALUE(SUBSTITUTE(SUBSTITUTE(SUBSTITUTE(TRIM(A954&amp;""),CHAR(160),"")," ",""),"년","")),"0000")=SUBSTITUTE(SUBSTITUTE(SUBSTITUTE(TRIM(A954&amp;""),CHAR(160),"")," ",""),"년","")),SUBSTITUTE(SUBSTITUTE(SUBSTITUTE(TRIM(A954&amp;""),CHAR(160),"")," ",""),"년",""),""),"")</f>
      </c>
      <c r="I954" t="str">
        <f>SUBSTITUTE(SUBSTITUTE(SUBSTITUTE(SUBSTITUTE(SUBSTITUTE(TRIM(B954&amp;""),CHAR(160),"")," ",""),"초등학교","초"),"중학교","중"),"고등학교","고")</f>
      </c>
    </row>
    <row r="955" customFormat="false" ht="15" hidden="false" customHeight="false" outlineLevel="0" collapsed="false">
      <c r="A955" s="8"/>
      <c r="B955" s="8"/>
      <c r="C955" s="8"/>
      <c r="D955" s="8"/>
      <c r="E955" s="8"/>
      <c r="F955" t="str" s="15">
        <f aca="0">IF(B955="","",IF(H955="","확인필요(입력누락)",IF(SUMPRODUCT((실물목록!$P$2:$P$1001&lt;&gt;"")*ISNUMBER(SEARCH(실물목록!$P$2:$P$1001,I955))*(실물목록!$Q$2:$Q$1001&lt;&gt;"")*ISNUMBER(SEARCH(실물목록!$Q$2:$Q$1001,I955))*(실물목록!$R$2:$R$1001="")*(실물목록!$O$2:$O$1001&lt;&gt;"")*(실물목록!$O$2:$O$1001=H955))&gt;0,"실물 있음",IF(SUMPRODUCT((실물목록!$P$2:$P$1001&lt;&gt;"")*ISNUMBER(SEARCH(실물목록!$P$2:$P$1001,I955))*(실물목록!$R$2:$R$1001&lt;&gt;""))&gt;0,"확인필요(입력누락)",IF(SUMPRODUCT((실물목록!$P$2:$P$1001&lt;&gt;"")*ISNUMBER(SEARCH(실물목록!$P$2:$P$1001,I955))*(실물목록!$Q$2:$Q$1001&lt;&gt;"")*ISNUMBER(SEARCH(실물목록!$Q$2:$Q$1001,I955))*(실물목록!$R$2:$R$1001="")*(실물목록!$O$2:$O$1001&lt;&gt;""))&gt;0,"확인필요(연도다름)","실물 없음")))))</f>
      </c>
      <c r="G955" t="n" s="16">
        <f aca="0">IF(B955="","",SUMPRODUCT((실물목록!$P$2:$P$1001&lt;&gt;"")*ISNUMBER(SEARCH(실물목록!$P$2:$P$1001,I955))*(실물목록!$Q$2:$Q$1001&lt;&gt;"")*ISNUMBER(SEARCH(실물목록!$Q$2:$Q$1001,I955))*(실물목록!$R$2:$R$1001="")*(실물목록!$O$2:$O$1001&lt;&gt;"")*(실물목록!$O$2:$O$1001=H955)))</f>
      </c>
      <c r="H955" t="str">
        <f>IFERROR(IF(AND(LEN(SUBSTITUTE(SUBSTITUTE(SUBSTITUTE(TRIM(A955&amp;""),CHAR(160),"")," ",""),"년",""))=4,VALUE(SUBSTITUTE(SUBSTITUTE(SUBSTITUTE(TRIM(A955&amp;""),CHAR(160),"")," ",""),"년",""))&gt;=1900,VALUE(SUBSTITUTE(SUBSTITUTE(SUBSTITUTE(TRIM(A955&amp;""),CHAR(160),"")," ",""),"년",""))&lt;=2099,TEXT(VALUE(SUBSTITUTE(SUBSTITUTE(SUBSTITUTE(TRIM(A955&amp;""),CHAR(160),"")," ",""),"년","")),"0000")=SUBSTITUTE(SUBSTITUTE(SUBSTITUTE(TRIM(A955&amp;""),CHAR(160),"")," ",""),"년","")),SUBSTITUTE(SUBSTITUTE(SUBSTITUTE(TRIM(A955&amp;""),CHAR(160),"")," ",""),"년",""),""),"")</f>
      </c>
      <c r="I955" t="str">
        <f>SUBSTITUTE(SUBSTITUTE(SUBSTITUTE(SUBSTITUTE(SUBSTITUTE(TRIM(B955&amp;""),CHAR(160),"")," ",""),"초등학교","초"),"중학교","중"),"고등학교","고")</f>
      </c>
    </row>
    <row r="956" customFormat="false" ht="15" hidden="false" customHeight="false" outlineLevel="0" collapsed="false">
      <c r="A956" s="8"/>
      <c r="B956" s="8"/>
      <c r="C956" s="8"/>
      <c r="D956" s="8"/>
      <c r="E956" s="8"/>
      <c r="F956" t="str" s="15">
        <f aca="0">IF(B956="","",IF(H956="","확인필요(입력누락)",IF(SUMPRODUCT((실물목록!$P$2:$P$1001&lt;&gt;"")*ISNUMBER(SEARCH(실물목록!$P$2:$P$1001,I956))*(실물목록!$Q$2:$Q$1001&lt;&gt;"")*ISNUMBER(SEARCH(실물목록!$Q$2:$Q$1001,I956))*(실물목록!$R$2:$R$1001="")*(실물목록!$O$2:$O$1001&lt;&gt;"")*(실물목록!$O$2:$O$1001=H956))&gt;0,"실물 있음",IF(SUMPRODUCT((실물목록!$P$2:$P$1001&lt;&gt;"")*ISNUMBER(SEARCH(실물목록!$P$2:$P$1001,I956))*(실물목록!$R$2:$R$1001&lt;&gt;""))&gt;0,"확인필요(입력누락)",IF(SUMPRODUCT((실물목록!$P$2:$P$1001&lt;&gt;"")*ISNUMBER(SEARCH(실물목록!$P$2:$P$1001,I956))*(실물목록!$Q$2:$Q$1001&lt;&gt;"")*ISNUMBER(SEARCH(실물목록!$Q$2:$Q$1001,I956))*(실물목록!$R$2:$R$1001="")*(실물목록!$O$2:$O$1001&lt;&gt;""))&gt;0,"확인필요(연도다름)","실물 없음")))))</f>
      </c>
      <c r="G956" t="n" s="16">
        <f aca="0">IF(B956="","",SUMPRODUCT((실물목록!$P$2:$P$1001&lt;&gt;"")*ISNUMBER(SEARCH(실물목록!$P$2:$P$1001,I956))*(실물목록!$Q$2:$Q$1001&lt;&gt;"")*ISNUMBER(SEARCH(실물목록!$Q$2:$Q$1001,I956))*(실물목록!$R$2:$R$1001="")*(실물목록!$O$2:$O$1001&lt;&gt;"")*(실물목록!$O$2:$O$1001=H956)))</f>
      </c>
      <c r="H956" t="str">
        <f>IFERROR(IF(AND(LEN(SUBSTITUTE(SUBSTITUTE(SUBSTITUTE(TRIM(A956&amp;""),CHAR(160),"")," ",""),"년",""))=4,VALUE(SUBSTITUTE(SUBSTITUTE(SUBSTITUTE(TRIM(A956&amp;""),CHAR(160),"")," ",""),"년",""))&gt;=1900,VALUE(SUBSTITUTE(SUBSTITUTE(SUBSTITUTE(TRIM(A956&amp;""),CHAR(160),"")," ",""),"년",""))&lt;=2099,TEXT(VALUE(SUBSTITUTE(SUBSTITUTE(SUBSTITUTE(TRIM(A956&amp;""),CHAR(160),"")," ",""),"년","")),"0000")=SUBSTITUTE(SUBSTITUTE(SUBSTITUTE(TRIM(A956&amp;""),CHAR(160),"")," ",""),"년","")),SUBSTITUTE(SUBSTITUTE(SUBSTITUTE(TRIM(A956&amp;""),CHAR(160),"")," ",""),"년",""),""),"")</f>
      </c>
      <c r="I956" t="str">
        <f>SUBSTITUTE(SUBSTITUTE(SUBSTITUTE(SUBSTITUTE(SUBSTITUTE(TRIM(B956&amp;""),CHAR(160),"")," ",""),"초등학교","초"),"중학교","중"),"고등학교","고")</f>
      </c>
    </row>
    <row r="957" customFormat="false" ht="15" hidden="false" customHeight="false" outlineLevel="0" collapsed="false">
      <c r="A957" s="8"/>
      <c r="B957" s="8"/>
      <c r="C957" s="8"/>
      <c r="D957" s="8"/>
      <c r="E957" s="8"/>
      <c r="F957" t="str" s="15">
        <f aca="0">IF(B957="","",IF(H957="","확인필요(입력누락)",IF(SUMPRODUCT((실물목록!$P$2:$P$1001&lt;&gt;"")*ISNUMBER(SEARCH(실물목록!$P$2:$P$1001,I957))*(실물목록!$Q$2:$Q$1001&lt;&gt;"")*ISNUMBER(SEARCH(실물목록!$Q$2:$Q$1001,I957))*(실물목록!$R$2:$R$1001="")*(실물목록!$O$2:$O$1001&lt;&gt;"")*(실물목록!$O$2:$O$1001=H957))&gt;0,"실물 있음",IF(SUMPRODUCT((실물목록!$P$2:$P$1001&lt;&gt;"")*ISNUMBER(SEARCH(실물목록!$P$2:$P$1001,I957))*(실물목록!$R$2:$R$1001&lt;&gt;""))&gt;0,"확인필요(입력누락)",IF(SUMPRODUCT((실물목록!$P$2:$P$1001&lt;&gt;"")*ISNUMBER(SEARCH(실물목록!$P$2:$P$1001,I957))*(실물목록!$Q$2:$Q$1001&lt;&gt;"")*ISNUMBER(SEARCH(실물목록!$Q$2:$Q$1001,I957))*(실물목록!$R$2:$R$1001="")*(실물목록!$O$2:$O$1001&lt;&gt;""))&gt;0,"확인필요(연도다름)","실물 없음")))))</f>
      </c>
      <c r="G957" t="n" s="16">
        <f aca="0">IF(B957="","",SUMPRODUCT((실물목록!$P$2:$P$1001&lt;&gt;"")*ISNUMBER(SEARCH(실물목록!$P$2:$P$1001,I957))*(실물목록!$Q$2:$Q$1001&lt;&gt;"")*ISNUMBER(SEARCH(실물목록!$Q$2:$Q$1001,I957))*(실물목록!$R$2:$R$1001="")*(실물목록!$O$2:$O$1001&lt;&gt;"")*(실물목록!$O$2:$O$1001=H957)))</f>
      </c>
      <c r="H957" t="str">
        <f>IFERROR(IF(AND(LEN(SUBSTITUTE(SUBSTITUTE(SUBSTITUTE(TRIM(A957&amp;""),CHAR(160),"")," ",""),"년",""))=4,VALUE(SUBSTITUTE(SUBSTITUTE(SUBSTITUTE(TRIM(A957&amp;""),CHAR(160),"")," ",""),"년",""))&gt;=1900,VALUE(SUBSTITUTE(SUBSTITUTE(SUBSTITUTE(TRIM(A957&amp;""),CHAR(160),"")," ",""),"년",""))&lt;=2099,TEXT(VALUE(SUBSTITUTE(SUBSTITUTE(SUBSTITUTE(TRIM(A957&amp;""),CHAR(160),"")," ",""),"년","")),"0000")=SUBSTITUTE(SUBSTITUTE(SUBSTITUTE(TRIM(A957&amp;""),CHAR(160),"")," ",""),"년","")),SUBSTITUTE(SUBSTITUTE(SUBSTITUTE(TRIM(A957&amp;""),CHAR(160),"")," ",""),"년",""),""),"")</f>
      </c>
      <c r="I957" t="str">
        <f>SUBSTITUTE(SUBSTITUTE(SUBSTITUTE(SUBSTITUTE(SUBSTITUTE(TRIM(B957&amp;""),CHAR(160),"")," ",""),"초등학교","초"),"중학교","중"),"고등학교","고")</f>
      </c>
    </row>
    <row r="958" customFormat="false" ht="15" hidden="false" customHeight="false" outlineLevel="0" collapsed="false">
      <c r="A958" s="8"/>
      <c r="B958" s="8"/>
      <c r="C958" s="8"/>
      <c r="D958" s="8"/>
      <c r="E958" s="8"/>
      <c r="F958" t="str" s="15">
        <f aca="0">IF(B958="","",IF(H958="","확인필요(입력누락)",IF(SUMPRODUCT((실물목록!$P$2:$P$1001&lt;&gt;"")*ISNUMBER(SEARCH(실물목록!$P$2:$P$1001,I958))*(실물목록!$Q$2:$Q$1001&lt;&gt;"")*ISNUMBER(SEARCH(실물목록!$Q$2:$Q$1001,I958))*(실물목록!$R$2:$R$1001="")*(실물목록!$O$2:$O$1001&lt;&gt;"")*(실물목록!$O$2:$O$1001=H958))&gt;0,"실물 있음",IF(SUMPRODUCT((실물목록!$P$2:$P$1001&lt;&gt;"")*ISNUMBER(SEARCH(실물목록!$P$2:$P$1001,I958))*(실물목록!$R$2:$R$1001&lt;&gt;""))&gt;0,"확인필요(입력누락)",IF(SUMPRODUCT((실물목록!$P$2:$P$1001&lt;&gt;"")*ISNUMBER(SEARCH(실물목록!$P$2:$P$1001,I958))*(실물목록!$Q$2:$Q$1001&lt;&gt;"")*ISNUMBER(SEARCH(실물목록!$Q$2:$Q$1001,I958))*(실물목록!$R$2:$R$1001="")*(실물목록!$O$2:$O$1001&lt;&gt;""))&gt;0,"확인필요(연도다름)","실물 없음")))))</f>
      </c>
      <c r="G958" t="n" s="16">
        <f aca="0">IF(B958="","",SUMPRODUCT((실물목록!$P$2:$P$1001&lt;&gt;"")*ISNUMBER(SEARCH(실물목록!$P$2:$P$1001,I958))*(실물목록!$Q$2:$Q$1001&lt;&gt;"")*ISNUMBER(SEARCH(실물목록!$Q$2:$Q$1001,I958))*(실물목록!$R$2:$R$1001="")*(실물목록!$O$2:$O$1001&lt;&gt;"")*(실물목록!$O$2:$O$1001=H958)))</f>
      </c>
      <c r="H958" t="str">
        <f>IFERROR(IF(AND(LEN(SUBSTITUTE(SUBSTITUTE(SUBSTITUTE(TRIM(A958&amp;""),CHAR(160),"")," ",""),"년",""))=4,VALUE(SUBSTITUTE(SUBSTITUTE(SUBSTITUTE(TRIM(A958&amp;""),CHAR(160),"")," ",""),"년",""))&gt;=1900,VALUE(SUBSTITUTE(SUBSTITUTE(SUBSTITUTE(TRIM(A958&amp;""),CHAR(160),"")," ",""),"년",""))&lt;=2099,TEXT(VALUE(SUBSTITUTE(SUBSTITUTE(SUBSTITUTE(TRIM(A958&amp;""),CHAR(160),"")," ",""),"년","")),"0000")=SUBSTITUTE(SUBSTITUTE(SUBSTITUTE(TRIM(A958&amp;""),CHAR(160),"")," ",""),"년","")),SUBSTITUTE(SUBSTITUTE(SUBSTITUTE(TRIM(A958&amp;""),CHAR(160),"")," ",""),"년",""),""),"")</f>
      </c>
      <c r="I958" t="str">
        <f>SUBSTITUTE(SUBSTITUTE(SUBSTITUTE(SUBSTITUTE(SUBSTITUTE(TRIM(B958&amp;""),CHAR(160),"")," ",""),"초등학교","초"),"중학교","중"),"고등학교","고")</f>
      </c>
    </row>
    <row r="959" customFormat="false" ht="15" hidden="false" customHeight="false" outlineLevel="0" collapsed="false">
      <c r="A959" s="8"/>
      <c r="B959" s="8"/>
      <c r="C959" s="8"/>
      <c r="D959" s="8"/>
      <c r="E959" s="8"/>
      <c r="F959" t="str" s="15">
        <f aca="0">IF(B959="","",IF(H959="","확인필요(입력누락)",IF(SUMPRODUCT((실물목록!$P$2:$P$1001&lt;&gt;"")*ISNUMBER(SEARCH(실물목록!$P$2:$P$1001,I959))*(실물목록!$Q$2:$Q$1001&lt;&gt;"")*ISNUMBER(SEARCH(실물목록!$Q$2:$Q$1001,I959))*(실물목록!$R$2:$R$1001="")*(실물목록!$O$2:$O$1001&lt;&gt;"")*(실물목록!$O$2:$O$1001=H959))&gt;0,"실물 있음",IF(SUMPRODUCT((실물목록!$P$2:$P$1001&lt;&gt;"")*ISNUMBER(SEARCH(실물목록!$P$2:$P$1001,I959))*(실물목록!$R$2:$R$1001&lt;&gt;""))&gt;0,"확인필요(입력누락)",IF(SUMPRODUCT((실물목록!$P$2:$P$1001&lt;&gt;"")*ISNUMBER(SEARCH(실물목록!$P$2:$P$1001,I959))*(실물목록!$Q$2:$Q$1001&lt;&gt;"")*ISNUMBER(SEARCH(실물목록!$Q$2:$Q$1001,I959))*(실물목록!$R$2:$R$1001="")*(실물목록!$O$2:$O$1001&lt;&gt;""))&gt;0,"확인필요(연도다름)","실물 없음")))))</f>
      </c>
      <c r="G959" t="n" s="16">
        <f aca="0">IF(B959="","",SUMPRODUCT((실물목록!$P$2:$P$1001&lt;&gt;"")*ISNUMBER(SEARCH(실물목록!$P$2:$P$1001,I959))*(실물목록!$Q$2:$Q$1001&lt;&gt;"")*ISNUMBER(SEARCH(실물목록!$Q$2:$Q$1001,I959))*(실물목록!$R$2:$R$1001="")*(실물목록!$O$2:$O$1001&lt;&gt;"")*(실물목록!$O$2:$O$1001=H959)))</f>
      </c>
      <c r="H959" t="str">
        <f>IFERROR(IF(AND(LEN(SUBSTITUTE(SUBSTITUTE(SUBSTITUTE(TRIM(A959&amp;""),CHAR(160),"")," ",""),"년",""))=4,VALUE(SUBSTITUTE(SUBSTITUTE(SUBSTITUTE(TRIM(A959&amp;""),CHAR(160),"")," ",""),"년",""))&gt;=1900,VALUE(SUBSTITUTE(SUBSTITUTE(SUBSTITUTE(TRIM(A959&amp;""),CHAR(160),"")," ",""),"년",""))&lt;=2099,TEXT(VALUE(SUBSTITUTE(SUBSTITUTE(SUBSTITUTE(TRIM(A959&amp;""),CHAR(160),"")," ",""),"년","")),"0000")=SUBSTITUTE(SUBSTITUTE(SUBSTITUTE(TRIM(A959&amp;""),CHAR(160),"")," ",""),"년","")),SUBSTITUTE(SUBSTITUTE(SUBSTITUTE(TRIM(A959&amp;""),CHAR(160),"")," ",""),"년",""),""),"")</f>
      </c>
      <c r="I959" t="str">
        <f>SUBSTITUTE(SUBSTITUTE(SUBSTITUTE(SUBSTITUTE(SUBSTITUTE(TRIM(B959&amp;""),CHAR(160),"")," ",""),"초등학교","초"),"중학교","중"),"고등학교","고")</f>
      </c>
    </row>
    <row r="960" customFormat="false" ht="15" hidden="false" customHeight="false" outlineLevel="0" collapsed="false">
      <c r="A960" s="8"/>
      <c r="B960" s="8"/>
      <c r="C960" s="8"/>
      <c r="D960" s="8"/>
      <c r="E960" s="8"/>
      <c r="F960" t="str" s="15">
        <f aca="0">IF(B960="","",IF(H960="","확인필요(입력누락)",IF(SUMPRODUCT((실물목록!$P$2:$P$1001&lt;&gt;"")*ISNUMBER(SEARCH(실물목록!$P$2:$P$1001,I960))*(실물목록!$Q$2:$Q$1001&lt;&gt;"")*ISNUMBER(SEARCH(실물목록!$Q$2:$Q$1001,I960))*(실물목록!$R$2:$R$1001="")*(실물목록!$O$2:$O$1001&lt;&gt;"")*(실물목록!$O$2:$O$1001=H960))&gt;0,"실물 있음",IF(SUMPRODUCT((실물목록!$P$2:$P$1001&lt;&gt;"")*ISNUMBER(SEARCH(실물목록!$P$2:$P$1001,I960))*(실물목록!$R$2:$R$1001&lt;&gt;""))&gt;0,"확인필요(입력누락)",IF(SUMPRODUCT((실물목록!$P$2:$P$1001&lt;&gt;"")*ISNUMBER(SEARCH(실물목록!$P$2:$P$1001,I960))*(실물목록!$Q$2:$Q$1001&lt;&gt;"")*ISNUMBER(SEARCH(실물목록!$Q$2:$Q$1001,I960))*(실물목록!$R$2:$R$1001="")*(실물목록!$O$2:$O$1001&lt;&gt;""))&gt;0,"확인필요(연도다름)","실물 없음")))))</f>
      </c>
      <c r="G960" t="n" s="16">
        <f aca="0">IF(B960="","",SUMPRODUCT((실물목록!$P$2:$P$1001&lt;&gt;"")*ISNUMBER(SEARCH(실물목록!$P$2:$P$1001,I960))*(실물목록!$Q$2:$Q$1001&lt;&gt;"")*ISNUMBER(SEARCH(실물목록!$Q$2:$Q$1001,I960))*(실물목록!$R$2:$R$1001="")*(실물목록!$O$2:$O$1001&lt;&gt;"")*(실물목록!$O$2:$O$1001=H960)))</f>
      </c>
      <c r="H960" t="str">
        <f>IFERROR(IF(AND(LEN(SUBSTITUTE(SUBSTITUTE(SUBSTITUTE(TRIM(A960&amp;""),CHAR(160),"")," ",""),"년",""))=4,VALUE(SUBSTITUTE(SUBSTITUTE(SUBSTITUTE(TRIM(A960&amp;""),CHAR(160),"")," ",""),"년",""))&gt;=1900,VALUE(SUBSTITUTE(SUBSTITUTE(SUBSTITUTE(TRIM(A960&amp;""),CHAR(160),"")," ",""),"년",""))&lt;=2099,TEXT(VALUE(SUBSTITUTE(SUBSTITUTE(SUBSTITUTE(TRIM(A960&amp;""),CHAR(160),"")," ",""),"년","")),"0000")=SUBSTITUTE(SUBSTITUTE(SUBSTITUTE(TRIM(A960&amp;""),CHAR(160),"")," ",""),"년","")),SUBSTITUTE(SUBSTITUTE(SUBSTITUTE(TRIM(A960&amp;""),CHAR(160),"")," ",""),"년",""),""),"")</f>
      </c>
      <c r="I960" t="str">
        <f>SUBSTITUTE(SUBSTITUTE(SUBSTITUTE(SUBSTITUTE(SUBSTITUTE(TRIM(B960&amp;""),CHAR(160),"")," ",""),"초등학교","초"),"중학교","중"),"고등학교","고")</f>
      </c>
    </row>
    <row r="961" customFormat="false" ht="15" hidden="false" customHeight="false" outlineLevel="0" collapsed="false">
      <c r="A961" s="8"/>
      <c r="B961" s="8"/>
      <c r="C961" s="8"/>
      <c r="D961" s="8"/>
      <c r="E961" s="8"/>
      <c r="F961" t="str" s="15">
        <f aca="0">IF(B961="","",IF(H961="","확인필요(입력누락)",IF(SUMPRODUCT((실물목록!$P$2:$P$1001&lt;&gt;"")*ISNUMBER(SEARCH(실물목록!$P$2:$P$1001,I961))*(실물목록!$Q$2:$Q$1001&lt;&gt;"")*ISNUMBER(SEARCH(실물목록!$Q$2:$Q$1001,I961))*(실물목록!$R$2:$R$1001="")*(실물목록!$O$2:$O$1001&lt;&gt;"")*(실물목록!$O$2:$O$1001=H961))&gt;0,"실물 있음",IF(SUMPRODUCT((실물목록!$P$2:$P$1001&lt;&gt;"")*ISNUMBER(SEARCH(실물목록!$P$2:$P$1001,I961))*(실물목록!$R$2:$R$1001&lt;&gt;""))&gt;0,"확인필요(입력누락)",IF(SUMPRODUCT((실물목록!$P$2:$P$1001&lt;&gt;"")*ISNUMBER(SEARCH(실물목록!$P$2:$P$1001,I961))*(실물목록!$Q$2:$Q$1001&lt;&gt;"")*ISNUMBER(SEARCH(실물목록!$Q$2:$Q$1001,I961))*(실물목록!$R$2:$R$1001="")*(실물목록!$O$2:$O$1001&lt;&gt;""))&gt;0,"확인필요(연도다름)","실물 없음")))))</f>
      </c>
      <c r="G961" t="n" s="16">
        <f aca="0">IF(B961="","",SUMPRODUCT((실물목록!$P$2:$P$1001&lt;&gt;"")*ISNUMBER(SEARCH(실물목록!$P$2:$P$1001,I961))*(실물목록!$Q$2:$Q$1001&lt;&gt;"")*ISNUMBER(SEARCH(실물목록!$Q$2:$Q$1001,I961))*(실물목록!$R$2:$R$1001="")*(실물목록!$O$2:$O$1001&lt;&gt;"")*(실물목록!$O$2:$O$1001=H961)))</f>
      </c>
      <c r="H961" t="str">
        <f>IFERROR(IF(AND(LEN(SUBSTITUTE(SUBSTITUTE(SUBSTITUTE(TRIM(A961&amp;""),CHAR(160),"")," ",""),"년",""))=4,VALUE(SUBSTITUTE(SUBSTITUTE(SUBSTITUTE(TRIM(A961&amp;""),CHAR(160),"")," ",""),"년",""))&gt;=1900,VALUE(SUBSTITUTE(SUBSTITUTE(SUBSTITUTE(TRIM(A961&amp;""),CHAR(160),"")," ",""),"년",""))&lt;=2099,TEXT(VALUE(SUBSTITUTE(SUBSTITUTE(SUBSTITUTE(TRIM(A961&amp;""),CHAR(160),"")," ",""),"년","")),"0000")=SUBSTITUTE(SUBSTITUTE(SUBSTITUTE(TRIM(A961&amp;""),CHAR(160),"")," ",""),"년","")),SUBSTITUTE(SUBSTITUTE(SUBSTITUTE(TRIM(A961&amp;""),CHAR(160),"")," ",""),"년",""),""),"")</f>
      </c>
      <c r="I961" t="str">
        <f>SUBSTITUTE(SUBSTITUTE(SUBSTITUTE(SUBSTITUTE(SUBSTITUTE(TRIM(B961&amp;""),CHAR(160),"")," ",""),"초등학교","초"),"중학교","중"),"고등학교","고")</f>
      </c>
    </row>
    <row r="962" customFormat="false" ht="15" hidden="false" customHeight="false" outlineLevel="0" collapsed="false">
      <c r="A962" s="8"/>
      <c r="B962" s="8"/>
      <c r="C962" s="8"/>
      <c r="D962" s="8"/>
      <c r="E962" s="8"/>
      <c r="F962" t="str" s="15">
        <f aca="0">IF(B962="","",IF(H962="","확인필요(입력누락)",IF(SUMPRODUCT((실물목록!$P$2:$P$1001&lt;&gt;"")*ISNUMBER(SEARCH(실물목록!$P$2:$P$1001,I962))*(실물목록!$Q$2:$Q$1001&lt;&gt;"")*ISNUMBER(SEARCH(실물목록!$Q$2:$Q$1001,I962))*(실물목록!$R$2:$R$1001="")*(실물목록!$O$2:$O$1001&lt;&gt;"")*(실물목록!$O$2:$O$1001=H962))&gt;0,"실물 있음",IF(SUMPRODUCT((실물목록!$P$2:$P$1001&lt;&gt;"")*ISNUMBER(SEARCH(실물목록!$P$2:$P$1001,I962))*(실물목록!$R$2:$R$1001&lt;&gt;""))&gt;0,"확인필요(입력누락)",IF(SUMPRODUCT((실물목록!$P$2:$P$1001&lt;&gt;"")*ISNUMBER(SEARCH(실물목록!$P$2:$P$1001,I962))*(실물목록!$Q$2:$Q$1001&lt;&gt;"")*ISNUMBER(SEARCH(실물목록!$Q$2:$Q$1001,I962))*(실물목록!$R$2:$R$1001="")*(실물목록!$O$2:$O$1001&lt;&gt;""))&gt;0,"확인필요(연도다름)","실물 없음")))))</f>
      </c>
      <c r="G962" t="n" s="16">
        <f aca="0">IF(B962="","",SUMPRODUCT((실물목록!$P$2:$P$1001&lt;&gt;"")*ISNUMBER(SEARCH(실물목록!$P$2:$P$1001,I962))*(실물목록!$Q$2:$Q$1001&lt;&gt;"")*ISNUMBER(SEARCH(실물목록!$Q$2:$Q$1001,I962))*(실물목록!$R$2:$R$1001="")*(실물목록!$O$2:$O$1001&lt;&gt;"")*(실물목록!$O$2:$O$1001=H962)))</f>
      </c>
      <c r="H962" t="str">
        <f>IFERROR(IF(AND(LEN(SUBSTITUTE(SUBSTITUTE(SUBSTITUTE(TRIM(A962&amp;""),CHAR(160),"")," ",""),"년",""))=4,VALUE(SUBSTITUTE(SUBSTITUTE(SUBSTITUTE(TRIM(A962&amp;""),CHAR(160),"")," ",""),"년",""))&gt;=1900,VALUE(SUBSTITUTE(SUBSTITUTE(SUBSTITUTE(TRIM(A962&amp;""),CHAR(160),"")," ",""),"년",""))&lt;=2099,TEXT(VALUE(SUBSTITUTE(SUBSTITUTE(SUBSTITUTE(TRIM(A962&amp;""),CHAR(160),"")," ",""),"년","")),"0000")=SUBSTITUTE(SUBSTITUTE(SUBSTITUTE(TRIM(A962&amp;""),CHAR(160),"")," ",""),"년","")),SUBSTITUTE(SUBSTITUTE(SUBSTITUTE(TRIM(A962&amp;""),CHAR(160),"")," ",""),"년",""),""),"")</f>
      </c>
      <c r="I962" t="str">
        <f>SUBSTITUTE(SUBSTITUTE(SUBSTITUTE(SUBSTITUTE(SUBSTITUTE(TRIM(B962&amp;""),CHAR(160),"")," ",""),"초등학교","초"),"중학교","중"),"고등학교","고")</f>
      </c>
    </row>
    <row r="963" customFormat="false" ht="15" hidden="false" customHeight="false" outlineLevel="0" collapsed="false">
      <c r="A963" s="8"/>
      <c r="B963" s="8"/>
      <c r="C963" s="8"/>
      <c r="D963" s="8"/>
      <c r="E963" s="8"/>
      <c r="F963" t="str" s="15">
        <f aca="0">IF(B963="","",IF(H963="","확인필요(입력누락)",IF(SUMPRODUCT((실물목록!$P$2:$P$1001&lt;&gt;"")*ISNUMBER(SEARCH(실물목록!$P$2:$P$1001,I963))*(실물목록!$Q$2:$Q$1001&lt;&gt;"")*ISNUMBER(SEARCH(실물목록!$Q$2:$Q$1001,I963))*(실물목록!$R$2:$R$1001="")*(실물목록!$O$2:$O$1001&lt;&gt;"")*(실물목록!$O$2:$O$1001=H963))&gt;0,"실물 있음",IF(SUMPRODUCT((실물목록!$P$2:$P$1001&lt;&gt;"")*ISNUMBER(SEARCH(실물목록!$P$2:$P$1001,I963))*(실물목록!$R$2:$R$1001&lt;&gt;""))&gt;0,"확인필요(입력누락)",IF(SUMPRODUCT((실물목록!$P$2:$P$1001&lt;&gt;"")*ISNUMBER(SEARCH(실물목록!$P$2:$P$1001,I963))*(실물목록!$Q$2:$Q$1001&lt;&gt;"")*ISNUMBER(SEARCH(실물목록!$Q$2:$Q$1001,I963))*(실물목록!$R$2:$R$1001="")*(실물목록!$O$2:$O$1001&lt;&gt;""))&gt;0,"확인필요(연도다름)","실물 없음")))))</f>
      </c>
      <c r="G963" t="n" s="16">
        <f aca="0">IF(B963="","",SUMPRODUCT((실물목록!$P$2:$P$1001&lt;&gt;"")*ISNUMBER(SEARCH(실물목록!$P$2:$P$1001,I963))*(실물목록!$Q$2:$Q$1001&lt;&gt;"")*ISNUMBER(SEARCH(실물목록!$Q$2:$Q$1001,I963))*(실물목록!$R$2:$R$1001="")*(실물목록!$O$2:$O$1001&lt;&gt;"")*(실물목록!$O$2:$O$1001=H963)))</f>
      </c>
      <c r="H963" t="str">
        <f>IFERROR(IF(AND(LEN(SUBSTITUTE(SUBSTITUTE(SUBSTITUTE(TRIM(A963&amp;""),CHAR(160),"")," ",""),"년",""))=4,VALUE(SUBSTITUTE(SUBSTITUTE(SUBSTITUTE(TRIM(A963&amp;""),CHAR(160),"")," ",""),"년",""))&gt;=1900,VALUE(SUBSTITUTE(SUBSTITUTE(SUBSTITUTE(TRIM(A963&amp;""),CHAR(160),"")," ",""),"년",""))&lt;=2099,TEXT(VALUE(SUBSTITUTE(SUBSTITUTE(SUBSTITUTE(TRIM(A963&amp;""),CHAR(160),"")," ",""),"년","")),"0000")=SUBSTITUTE(SUBSTITUTE(SUBSTITUTE(TRIM(A963&amp;""),CHAR(160),"")," ",""),"년","")),SUBSTITUTE(SUBSTITUTE(SUBSTITUTE(TRIM(A963&amp;""),CHAR(160),"")," ",""),"년",""),""),"")</f>
      </c>
      <c r="I963" t="str">
        <f>SUBSTITUTE(SUBSTITUTE(SUBSTITUTE(SUBSTITUTE(SUBSTITUTE(TRIM(B963&amp;""),CHAR(160),"")," ",""),"초등학교","초"),"중학교","중"),"고등학교","고")</f>
      </c>
    </row>
    <row r="964" customFormat="false" ht="15" hidden="false" customHeight="false" outlineLevel="0" collapsed="false">
      <c r="A964" s="8"/>
      <c r="B964" s="8"/>
      <c r="C964" s="8"/>
      <c r="D964" s="8"/>
      <c r="E964" s="8"/>
      <c r="F964" t="str" s="15">
        <f aca="0">IF(B964="","",IF(H964="","확인필요(입력누락)",IF(SUMPRODUCT((실물목록!$P$2:$P$1001&lt;&gt;"")*ISNUMBER(SEARCH(실물목록!$P$2:$P$1001,I964))*(실물목록!$Q$2:$Q$1001&lt;&gt;"")*ISNUMBER(SEARCH(실물목록!$Q$2:$Q$1001,I964))*(실물목록!$R$2:$R$1001="")*(실물목록!$O$2:$O$1001&lt;&gt;"")*(실물목록!$O$2:$O$1001=H964))&gt;0,"실물 있음",IF(SUMPRODUCT((실물목록!$P$2:$P$1001&lt;&gt;"")*ISNUMBER(SEARCH(실물목록!$P$2:$P$1001,I964))*(실물목록!$R$2:$R$1001&lt;&gt;""))&gt;0,"확인필요(입력누락)",IF(SUMPRODUCT((실물목록!$P$2:$P$1001&lt;&gt;"")*ISNUMBER(SEARCH(실물목록!$P$2:$P$1001,I964))*(실물목록!$Q$2:$Q$1001&lt;&gt;"")*ISNUMBER(SEARCH(실물목록!$Q$2:$Q$1001,I964))*(실물목록!$R$2:$R$1001="")*(실물목록!$O$2:$O$1001&lt;&gt;""))&gt;0,"확인필요(연도다름)","실물 없음")))))</f>
      </c>
      <c r="G964" t="n" s="16">
        <f aca="0">IF(B964="","",SUMPRODUCT((실물목록!$P$2:$P$1001&lt;&gt;"")*ISNUMBER(SEARCH(실물목록!$P$2:$P$1001,I964))*(실물목록!$Q$2:$Q$1001&lt;&gt;"")*ISNUMBER(SEARCH(실물목록!$Q$2:$Q$1001,I964))*(실물목록!$R$2:$R$1001="")*(실물목록!$O$2:$O$1001&lt;&gt;"")*(실물목록!$O$2:$O$1001=H964)))</f>
      </c>
      <c r="H964" t="str">
        <f>IFERROR(IF(AND(LEN(SUBSTITUTE(SUBSTITUTE(SUBSTITUTE(TRIM(A964&amp;""),CHAR(160),"")," ",""),"년",""))=4,VALUE(SUBSTITUTE(SUBSTITUTE(SUBSTITUTE(TRIM(A964&amp;""),CHAR(160),"")," ",""),"년",""))&gt;=1900,VALUE(SUBSTITUTE(SUBSTITUTE(SUBSTITUTE(TRIM(A964&amp;""),CHAR(160),"")," ",""),"년",""))&lt;=2099,TEXT(VALUE(SUBSTITUTE(SUBSTITUTE(SUBSTITUTE(TRIM(A964&amp;""),CHAR(160),"")," ",""),"년","")),"0000")=SUBSTITUTE(SUBSTITUTE(SUBSTITUTE(TRIM(A964&amp;""),CHAR(160),"")," ",""),"년","")),SUBSTITUTE(SUBSTITUTE(SUBSTITUTE(TRIM(A964&amp;""),CHAR(160),"")," ",""),"년",""),""),"")</f>
      </c>
      <c r="I964" t="str">
        <f>SUBSTITUTE(SUBSTITUTE(SUBSTITUTE(SUBSTITUTE(SUBSTITUTE(TRIM(B964&amp;""),CHAR(160),"")," ",""),"초등학교","초"),"중학교","중"),"고등학교","고")</f>
      </c>
    </row>
    <row r="965" customFormat="false" ht="15" hidden="false" customHeight="false" outlineLevel="0" collapsed="false">
      <c r="A965" s="8"/>
      <c r="B965" s="8"/>
      <c r="C965" s="8"/>
      <c r="D965" s="8"/>
      <c r="E965" s="8"/>
      <c r="F965" t="str" s="15">
        <f aca="0">IF(B965="","",IF(H965="","확인필요(입력누락)",IF(SUMPRODUCT((실물목록!$P$2:$P$1001&lt;&gt;"")*ISNUMBER(SEARCH(실물목록!$P$2:$P$1001,I965))*(실물목록!$Q$2:$Q$1001&lt;&gt;"")*ISNUMBER(SEARCH(실물목록!$Q$2:$Q$1001,I965))*(실물목록!$R$2:$R$1001="")*(실물목록!$O$2:$O$1001&lt;&gt;"")*(실물목록!$O$2:$O$1001=H965))&gt;0,"실물 있음",IF(SUMPRODUCT((실물목록!$P$2:$P$1001&lt;&gt;"")*ISNUMBER(SEARCH(실물목록!$P$2:$P$1001,I965))*(실물목록!$R$2:$R$1001&lt;&gt;""))&gt;0,"확인필요(입력누락)",IF(SUMPRODUCT((실물목록!$P$2:$P$1001&lt;&gt;"")*ISNUMBER(SEARCH(실물목록!$P$2:$P$1001,I965))*(실물목록!$Q$2:$Q$1001&lt;&gt;"")*ISNUMBER(SEARCH(실물목록!$Q$2:$Q$1001,I965))*(실물목록!$R$2:$R$1001="")*(실물목록!$O$2:$O$1001&lt;&gt;""))&gt;0,"확인필요(연도다름)","실물 없음")))))</f>
      </c>
      <c r="G965" t="n" s="16">
        <f aca="0">IF(B965="","",SUMPRODUCT((실물목록!$P$2:$P$1001&lt;&gt;"")*ISNUMBER(SEARCH(실물목록!$P$2:$P$1001,I965))*(실물목록!$Q$2:$Q$1001&lt;&gt;"")*ISNUMBER(SEARCH(실물목록!$Q$2:$Q$1001,I965))*(실물목록!$R$2:$R$1001="")*(실물목록!$O$2:$O$1001&lt;&gt;"")*(실물목록!$O$2:$O$1001=H965)))</f>
      </c>
      <c r="H965" t="str">
        <f>IFERROR(IF(AND(LEN(SUBSTITUTE(SUBSTITUTE(SUBSTITUTE(TRIM(A965&amp;""),CHAR(160),"")," ",""),"년",""))=4,VALUE(SUBSTITUTE(SUBSTITUTE(SUBSTITUTE(TRIM(A965&amp;""),CHAR(160),"")," ",""),"년",""))&gt;=1900,VALUE(SUBSTITUTE(SUBSTITUTE(SUBSTITUTE(TRIM(A965&amp;""),CHAR(160),"")," ",""),"년",""))&lt;=2099,TEXT(VALUE(SUBSTITUTE(SUBSTITUTE(SUBSTITUTE(TRIM(A965&amp;""),CHAR(160),"")," ",""),"년","")),"0000")=SUBSTITUTE(SUBSTITUTE(SUBSTITUTE(TRIM(A965&amp;""),CHAR(160),"")," ",""),"년","")),SUBSTITUTE(SUBSTITUTE(SUBSTITUTE(TRIM(A965&amp;""),CHAR(160),"")," ",""),"년",""),""),"")</f>
      </c>
      <c r="I965" t="str">
        <f>SUBSTITUTE(SUBSTITUTE(SUBSTITUTE(SUBSTITUTE(SUBSTITUTE(TRIM(B965&amp;""),CHAR(160),"")," ",""),"초등학교","초"),"중학교","중"),"고등학교","고")</f>
      </c>
    </row>
    <row r="966" customFormat="false" ht="15" hidden="false" customHeight="false" outlineLevel="0" collapsed="false">
      <c r="A966" s="8"/>
      <c r="B966" s="8"/>
      <c r="C966" s="8"/>
      <c r="D966" s="8"/>
      <c r="E966" s="8"/>
      <c r="F966" t="str" s="15">
        <f aca="0">IF(B966="","",IF(H966="","확인필요(입력누락)",IF(SUMPRODUCT((실물목록!$P$2:$P$1001&lt;&gt;"")*ISNUMBER(SEARCH(실물목록!$P$2:$P$1001,I966))*(실물목록!$Q$2:$Q$1001&lt;&gt;"")*ISNUMBER(SEARCH(실물목록!$Q$2:$Q$1001,I966))*(실물목록!$R$2:$R$1001="")*(실물목록!$O$2:$O$1001&lt;&gt;"")*(실물목록!$O$2:$O$1001=H966))&gt;0,"실물 있음",IF(SUMPRODUCT((실물목록!$P$2:$P$1001&lt;&gt;"")*ISNUMBER(SEARCH(실물목록!$P$2:$P$1001,I966))*(실물목록!$R$2:$R$1001&lt;&gt;""))&gt;0,"확인필요(입력누락)",IF(SUMPRODUCT((실물목록!$P$2:$P$1001&lt;&gt;"")*ISNUMBER(SEARCH(실물목록!$P$2:$P$1001,I966))*(실물목록!$Q$2:$Q$1001&lt;&gt;"")*ISNUMBER(SEARCH(실물목록!$Q$2:$Q$1001,I966))*(실물목록!$R$2:$R$1001="")*(실물목록!$O$2:$O$1001&lt;&gt;""))&gt;0,"확인필요(연도다름)","실물 없음")))))</f>
      </c>
      <c r="G966" t="n" s="16">
        <f aca="0">IF(B966="","",SUMPRODUCT((실물목록!$P$2:$P$1001&lt;&gt;"")*ISNUMBER(SEARCH(실물목록!$P$2:$P$1001,I966))*(실물목록!$Q$2:$Q$1001&lt;&gt;"")*ISNUMBER(SEARCH(실물목록!$Q$2:$Q$1001,I966))*(실물목록!$R$2:$R$1001="")*(실물목록!$O$2:$O$1001&lt;&gt;"")*(실물목록!$O$2:$O$1001=H966)))</f>
      </c>
      <c r="H966" t="str">
        <f>IFERROR(IF(AND(LEN(SUBSTITUTE(SUBSTITUTE(SUBSTITUTE(TRIM(A966&amp;""),CHAR(160),"")," ",""),"년",""))=4,VALUE(SUBSTITUTE(SUBSTITUTE(SUBSTITUTE(TRIM(A966&amp;""),CHAR(160),"")," ",""),"년",""))&gt;=1900,VALUE(SUBSTITUTE(SUBSTITUTE(SUBSTITUTE(TRIM(A966&amp;""),CHAR(160),"")," ",""),"년",""))&lt;=2099,TEXT(VALUE(SUBSTITUTE(SUBSTITUTE(SUBSTITUTE(TRIM(A966&amp;""),CHAR(160),"")," ",""),"년","")),"0000")=SUBSTITUTE(SUBSTITUTE(SUBSTITUTE(TRIM(A966&amp;""),CHAR(160),"")," ",""),"년","")),SUBSTITUTE(SUBSTITUTE(SUBSTITUTE(TRIM(A966&amp;""),CHAR(160),"")," ",""),"년",""),""),"")</f>
      </c>
      <c r="I966" t="str">
        <f>SUBSTITUTE(SUBSTITUTE(SUBSTITUTE(SUBSTITUTE(SUBSTITUTE(TRIM(B966&amp;""),CHAR(160),"")," ",""),"초등학교","초"),"중학교","중"),"고등학교","고")</f>
      </c>
    </row>
    <row r="967" customFormat="false" ht="15" hidden="false" customHeight="false" outlineLevel="0" collapsed="false">
      <c r="A967" s="8"/>
      <c r="B967" s="8"/>
      <c r="C967" s="8"/>
      <c r="D967" s="8"/>
      <c r="E967" s="8"/>
      <c r="F967" t="str" s="15">
        <f aca="0">IF(B967="","",IF(H967="","확인필요(입력누락)",IF(SUMPRODUCT((실물목록!$P$2:$P$1001&lt;&gt;"")*ISNUMBER(SEARCH(실물목록!$P$2:$P$1001,I967))*(실물목록!$Q$2:$Q$1001&lt;&gt;"")*ISNUMBER(SEARCH(실물목록!$Q$2:$Q$1001,I967))*(실물목록!$R$2:$R$1001="")*(실물목록!$O$2:$O$1001&lt;&gt;"")*(실물목록!$O$2:$O$1001=H967))&gt;0,"실물 있음",IF(SUMPRODUCT((실물목록!$P$2:$P$1001&lt;&gt;"")*ISNUMBER(SEARCH(실물목록!$P$2:$P$1001,I967))*(실물목록!$R$2:$R$1001&lt;&gt;""))&gt;0,"확인필요(입력누락)",IF(SUMPRODUCT((실물목록!$P$2:$P$1001&lt;&gt;"")*ISNUMBER(SEARCH(실물목록!$P$2:$P$1001,I967))*(실물목록!$Q$2:$Q$1001&lt;&gt;"")*ISNUMBER(SEARCH(실물목록!$Q$2:$Q$1001,I967))*(실물목록!$R$2:$R$1001="")*(실물목록!$O$2:$O$1001&lt;&gt;""))&gt;0,"확인필요(연도다름)","실물 없음")))))</f>
      </c>
      <c r="G967" t="n" s="16">
        <f aca="0">IF(B967="","",SUMPRODUCT((실물목록!$P$2:$P$1001&lt;&gt;"")*ISNUMBER(SEARCH(실물목록!$P$2:$P$1001,I967))*(실물목록!$Q$2:$Q$1001&lt;&gt;"")*ISNUMBER(SEARCH(실물목록!$Q$2:$Q$1001,I967))*(실물목록!$R$2:$R$1001="")*(실물목록!$O$2:$O$1001&lt;&gt;"")*(실물목록!$O$2:$O$1001=H967)))</f>
      </c>
      <c r="H967" t="str">
        <f>IFERROR(IF(AND(LEN(SUBSTITUTE(SUBSTITUTE(SUBSTITUTE(TRIM(A967&amp;""),CHAR(160),"")," ",""),"년",""))=4,VALUE(SUBSTITUTE(SUBSTITUTE(SUBSTITUTE(TRIM(A967&amp;""),CHAR(160),"")," ",""),"년",""))&gt;=1900,VALUE(SUBSTITUTE(SUBSTITUTE(SUBSTITUTE(TRIM(A967&amp;""),CHAR(160),"")," ",""),"년",""))&lt;=2099,TEXT(VALUE(SUBSTITUTE(SUBSTITUTE(SUBSTITUTE(TRIM(A967&amp;""),CHAR(160),"")," ",""),"년","")),"0000")=SUBSTITUTE(SUBSTITUTE(SUBSTITUTE(TRIM(A967&amp;""),CHAR(160),"")," ",""),"년","")),SUBSTITUTE(SUBSTITUTE(SUBSTITUTE(TRIM(A967&amp;""),CHAR(160),"")," ",""),"년",""),""),"")</f>
      </c>
      <c r="I967" t="str">
        <f>SUBSTITUTE(SUBSTITUTE(SUBSTITUTE(SUBSTITUTE(SUBSTITUTE(TRIM(B967&amp;""),CHAR(160),"")," ",""),"초등학교","초"),"중학교","중"),"고등학교","고")</f>
      </c>
    </row>
    <row r="968" customFormat="false" ht="15" hidden="false" customHeight="false" outlineLevel="0" collapsed="false">
      <c r="A968" s="8"/>
      <c r="B968" s="8"/>
      <c r="C968" s="8"/>
      <c r="D968" s="8"/>
      <c r="E968" s="8"/>
      <c r="F968" t="str" s="15">
        <f aca="0">IF(B968="","",IF(H968="","확인필요(입력누락)",IF(SUMPRODUCT((실물목록!$P$2:$P$1001&lt;&gt;"")*ISNUMBER(SEARCH(실물목록!$P$2:$P$1001,I968))*(실물목록!$Q$2:$Q$1001&lt;&gt;"")*ISNUMBER(SEARCH(실물목록!$Q$2:$Q$1001,I968))*(실물목록!$R$2:$R$1001="")*(실물목록!$O$2:$O$1001&lt;&gt;"")*(실물목록!$O$2:$O$1001=H968))&gt;0,"실물 있음",IF(SUMPRODUCT((실물목록!$P$2:$P$1001&lt;&gt;"")*ISNUMBER(SEARCH(실물목록!$P$2:$P$1001,I968))*(실물목록!$R$2:$R$1001&lt;&gt;""))&gt;0,"확인필요(입력누락)",IF(SUMPRODUCT((실물목록!$P$2:$P$1001&lt;&gt;"")*ISNUMBER(SEARCH(실물목록!$P$2:$P$1001,I968))*(실물목록!$Q$2:$Q$1001&lt;&gt;"")*ISNUMBER(SEARCH(실물목록!$Q$2:$Q$1001,I968))*(실물목록!$R$2:$R$1001="")*(실물목록!$O$2:$O$1001&lt;&gt;""))&gt;0,"확인필요(연도다름)","실물 없음")))))</f>
      </c>
      <c r="G968" t="n" s="16">
        <f aca="0">IF(B968="","",SUMPRODUCT((실물목록!$P$2:$P$1001&lt;&gt;"")*ISNUMBER(SEARCH(실물목록!$P$2:$P$1001,I968))*(실물목록!$Q$2:$Q$1001&lt;&gt;"")*ISNUMBER(SEARCH(실물목록!$Q$2:$Q$1001,I968))*(실물목록!$R$2:$R$1001="")*(실물목록!$O$2:$O$1001&lt;&gt;"")*(실물목록!$O$2:$O$1001=H968)))</f>
      </c>
      <c r="H968" t="str">
        <f>IFERROR(IF(AND(LEN(SUBSTITUTE(SUBSTITUTE(SUBSTITUTE(TRIM(A968&amp;""),CHAR(160),"")," ",""),"년",""))=4,VALUE(SUBSTITUTE(SUBSTITUTE(SUBSTITUTE(TRIM(A968&amp;""),CHAR(160),"")," ",""),"년",""))&gt;=1900,VALUE(SUBSTITUTE(SUBSTITUTE(SUBSTITUTE(TRIM(A968&amp;""),CHAR(160),"")," ",""),"년",""))&lt;=2099,TEXT(VALUE(SUBSTITUTE(SUBSTITUTE(SUBSTITUTE(TRIM(A968&amp;""),CHAR(160),"")," ",""),"년","")),"0000")=SUBSTITUTE(SUBSTITUTE(SUBSTITUTE(TRIM(A968&amp;""),CHAR(160),"")," ",""),"년","")),SUBSTITUTE(SUBSTITUTE(SUBSTITUTE(TRIM(A968&amp;""),CHAR(160),"")," ",""),"년",""),""),"")</f>
      </c>
      <c r="I968" t="str">
        <f>SUBSTITUTE(SUBSTITUTE(SUBSTITUTE(SUBSTITUTE(SUBSTITUTE(TRIM(B968&amp;""),CHAR(160),"")," ",""),"초등학교","초"),"중학교","중"),"고등학교","고")</f>
      </c>
    </row>
    <row r="969" customFormat="false" ht="15" hidden="false" customHeight="false" outlineLevel="0" collapsed="false">
      <c r="A969" s="8"/>
      <c r="B969" s="8"/>
      <c r="C969" s="8"/>
      <c r="D969" s="8"/>
      <c r="E969" s="8"/>
      <c r="F969" t="str" s="15">
        <f aca="0">IF(B969="","",IF(H969="","확인필요(입력누락)",IF(SUMPRODUCT((실물목록!$P$2:$P$1001&lt;&gt;"")*ISNUMBER(SEARCH(실물목록!$P$2:$P$1001,I969))*(실물목록!$Q$2:$Q$1001&lt;&gt;"")*ISNUMBER(SEARCH(실물목록!$Q$2:$Q$1001,I969))*(실물목록!$R$2:$R$1001="")*(실물목록!$O$2:$O$1001&lt;&gt;"")*(실물목록!$O$2:$O$1001=H969))&gt;0,"실물 있음",IF(SUMPRODUCT((실물목록!$P$2:$P$1001&lt;&gt;"")*ISNUMBER(SEARCH(실물목록!$P$2:$P$1001,I969))*(실물목록!$R$2:$R$1001&lt;&gt;""))&gt;0,"확인필요(입력누락)",IF(SUMPRODUCT((실물목록!$P$2:$P$1001&lt;&gt;"")*ISNUMBER(SEARCH(실물목록!$P$2:$P$1001,I969))*(실물목록!$Q$2:$Q$1001&lt;&gt;"")*ISNUMBER(SEARCH(실물목록!$Q$2:$Q$1001,I969))*(실물목록!$R$2:$R$1001="")*(실물목록!$O$2:$O$1001&lt;&gt;""))&gt;0,"확인필요(연도다름)","실물 없음")))))</f>
      </c>
      <c r="G969" t="n" s="16">
        <f aca="0">IF(B969="","",SUMPRODUCT((실물목록!$P$2:$P$1001&lt;&gt;"")*ISNUMBER(SEARCH(실물목록!$P$2:$P$1001,I969))*(실물목록!$Q$2:$Q$1001&lt;&gt;"")*ISNUMBER(SEARCH(실물목록!$Q$2:$Q$1001,I969))*(실물목록!$R$2:$R$1001="")*(실물목록!$O$2:$O$1001&lt;&gt;"")*(실물목록!$O$2:$O$1001=H969)))</f>
      </c>
      <c r="H969" t="str">
        <f>IFERROR(IF(AND(LEN(SUBSTITUTE(SUBSTITUTE(SUBSTITUTE(TRIM(A969&amp;""),CHAR(160),"")," ",""),"년",""))=4,VALUE(SUBSTITUTE(SUBSTITUTE(SUBSTITUTE(TRIM(A969&amp;""),CHAR(160),"")," ",""),"년",""))&gt;=1900,VALUE(SUBSTITUTE(SUBSTITUTE(SUBSTITUTE(TRIM(A969&amp;""),CHAR(160),"")," ",""),"년",""))&lt;=2099,TEXT(VALUE(SUBSTITUTE(SUBSTITUTE(SUBSTITUTE(TRIM(A969&amp;""),CHAR(160),"")," ",""),"년","")),"0000")=SUBSTITUTE(SUBSTITUTE(SUBSTITUTE(TRIM(A969&amp;""),CHAR(160),"")," ",""),"년","")),SUBSTITUTE(SUBSTITUTE(SUBSTITUTE(TRIM(A969&amp;""),CHAR(160),"")," ",""),"년",""),""),"")</f>
      </c>
      <c r="I969" t="str">
        <f>SUBSTITUTE(SUBSTITUTE(SUBSTITUTE(SUBSTITUTE(SUBSTITUTE(TRIM(B969&amp;""),CHAR(160),"")," ",""),"초등학교","초"),"중학교","중"),"고등학교","고")</f>
      </c>
    </row>
    <row r="970" customFormat="false" ht="15" hidden="false" customHeight="false" outlineLevel="0" collapsed="false">
      <c r="A970" s="8"/>
      <c r="B970" s="8"/>
      <c r="C970" s="8"/>
      <c r="D970" s="8"/>
      <c r="E970" s="8"/>
      <c r="F970" t="str" s="15">
        <f aca="0">IF(B970="","",IF(H970="","확인필요(입력누락)",IF(SUMPRODUCT((실물목록!$P$2:$P$1001&lt;&gt;"")*ISNUMBER(SEARCH(실물목록!$P$2:$P$1001,I970))*(실물목록!$Q$2:$Q$1001&lt;&gt;"")*ISNUMBER(SEARCH(실물목록!$Q$2:$Q$1001,I970))*(실물목록!$R$2:$R$1001="")*(실물목록!$O$2:$O$1001&lt;&gt;"")*(실물목록!$O$2:$O$1001=H970))&gt;0,"실물 있음",IF(SUMPRODUCT((실물목록!$P$2:$P$1001&lt;&gt;"")*ISNUMBER(SEARCH(실물목록!$P$2:$P$1001,I970))*(실물목록!$R$2:$R$1001&lt;&gt;""))&gt;0,"확인필요(입력누락)",IF(SUMPRODUCT((실물목록!$P$2:$P$1001&lt;&gt;"")*ISNUMBER(SEARCH(실물목록!$P$2:$P$1001,I970))*(실물목록!$Q$2:$Q$1001&lt;&gt;"")*ISNUMBER(SEARCH(실물목록!$Q$2:$Q$1001,I970))*(실물목록!$R$2:$R$1001="")*(실물목록!$O$2:$O$1001&lt;&gt;""))&gt;0,"확인필요(연도다름)","실물 없음")))))</f>
      </c>
      <c r="G970" t="n" s="16">
        <f aca="0">IF(B970="","",SUMPRODUCT((실물목록!$P$2:$P$1001&lt;&gt;"")*ISNUMBER(SEARCH(실물목록!$P$2:$P$1001,I970))*(실물목록!$Q$2:$Q$1001&lt;&gt;"")*ISNUMBER(SEARCH(실물목록!$Q$2:$Q$1001,I970))*(실물목록!$R$2:$R$1001="")*(실물목록!$O$2:$O$1001&lt;&gt;"")*(실물목록!$O$2:$O$1001=H970)))</f>
      </c>
      <c r="H970" t="str">
        <f>IFERROR(IF(AND(LEN(SUBSTITUTE(SUBSTITUTE(SUBSTITUTE(TRIM(A970&amp;""),CHAR(160),"")," ",""),"년",""))=4,VALUE(SUBSTITUTE(SUBSTITUTE(SUBSTITUTE(TRIM(A970&amp;""),CHAR(160),"")," ",""),"년",""))&gt;=1900,VALUE(SUBSTITUTE(SUBSTITUTE(SUBSTITUTE(TRIM(A970&amp;""),CHAR(160),"")," ",""),"년",""))&lt;=2099,TEXT(VALUE(SUBSTITUTE(SUBSTITUTE(SUBSTITUTE(TRIM(A970&amp;""),CHAR(160),"")," ",""),"년","")),"0000")=SUBSTITUTE(SUBSTITUTE(SUBSTITUTE(TRIM(A970&amp;""),CHAR(160),"")," ",""),"년","")),SUBSTITUTE(SUBSTITUTE(SUBSTITUTE(TRIM(A970&amp;""),CHAR(160),"")," ",""),"년",""),""),"")</f>
      </c>
      <c r="I970" t="str">
        <f>SUBSTITUTE(SUBSTITUTE(SUBSTITUTE(SUBSTITUTE(SUBSTITUTE(TRIM(B970&amp;""),CHAR(160),"")," ",""),"초등학교","초"),"중학교","중"),"고등학교","고")</f>
      </c>
    </row>
    <row r="971" customFormat="false" ht="15" hidden="false" customHeight="false" outlineLevel="0" collapsed="false">
      <c r="A971" s="8"/>
      <c r="B971" s="8"/>
      <c r="C971" s="8"/>
      <c r="D971" s="8"/>
      <c r="E971" s="8"/>
      <c r="F971" t="str" s="15">
        <f aca="0">IF(B971="","",IF(H971="","확인필요(입력누락)",IF(SUMPRODUCT((실물목록!$P$2:$P$1001&lt;&gt;"")*ISNUMBER(SEARCH(실물목록!$P$2:$P$1001,I971))*(실물목록!$Q$2:$Q$1001&lt;&gt;"")*ISNUMBER(SEARCH(실물목록!$Q$2:$Q$1001,I971))*(실물목록!$R$2:$R$1001="")*(실물목록!$O$2:$O$1001&lt;&gt;"")*(실물목록!$O$2:$O$1001=H971))&gt;0,"실물 있음",IF(SUMPRODUCT((실물목록!$P$2:$P$1001&lt;&gt;"")*ISNUMBER(SEARCH(실물목록!$P$2:$P$1001,I971))*(실물목록!$R$2:$R$1001&lt;&gt;""))&gt;0,"확인필요(입력누락)",IF(SUMPRODUCT((실물목록!$P$2:$P$1001&lt;&gt;"")*ISNUMBER(SEARCH(실물목록!$P$2:$P$1001,I971))*(실물목록!$Q$2:$Q$1001&lt;&gt;"")*ISNUMBER(SEARCH(실물목록!$Q$2:$Q$1001,I971))*(실물목록!$R$2:$R$1001="")*(실물목록!$O$2:$O$1001&lt;&gt;""))&gt;0,"확인필요(연도다름)","실물 없음")))))</f>
      </c>
      <c r="G971" t="n" s="16">
        <f aca="0">IF(B971="","",SUMPRODUCT((실물목록!$P$2:$P$1001&lt;&gt;"")*ISNUMBER(SEARCH(실물목록!$P$2:$P$1001,I971))*(실물목록!$Q$2:$Q$1001&lt;&gt;"")*ISNUMBER(SEARCH(실물목록!$Q$2:$Q$1001,I971))*(실물목록!$R$2:$R$1001="")*(실물목록!$O$2:$O$1001&lt;&gt;"")*(실물목록!$O$2:$O$1001=H971)))</f>
      </c>
      <c r="H971" t="str">
        <f>IFERROR(IF(AND(LEN(SUBSTITUTE(SUBSTITUTE(SUBSTITUTE(TRIM(A971&amp;""),CHAR(160),"")," ",""),"년",""))=4,VALUE(SUBSTITUTE(SUBSTITUTE(SUBSTITUTE(TRIM(A971&amp;""),CHAR(160),"")," ",""),"년",""))&gt;=1900,VALUE(SUBSTITUTE(SUBSTITUTE(SUBSTITUTE(TRIM(A971&amp;""),CHAR(160),"")," ",""),"년",""))&lt;=2099,TEXT(VALUE(SUBSTITUTE(SUBSTITUTE(SUBSTITUTE(TRIM(A971&amp;""),CHAR(160),"")," ",""),"년","")),"0000")=SUBSTITUTE(SUBSTITUTE(SUBSTITUTE(TRIM(A971&amp;""),CHAR(160),"")," ",""),"년","")),SUBSTITUTE(SUBSTITUTE(SUBSTITUTE(TRIM(A971&amp;""),CHAR(160),"")," ",""),"년",""),""),"")</f>
      </c>
      <c r="I971" t="str">
        <f>SUBSTITUTE(SUBSTITUTE(SUBSTITUTE(SUBSTITUTE(SUBSTITUTE(TRIM(B971&amp;""),CHAR(160),"")," ",""),"초등학교","초"),"중학교","중"),"고등학교","고")</f>
      </c>
    </row>
    <row r="972" customFormat="false" ht="15" hidden="false" customHeight="false" outlineLevel="0" collapsed="false">
      <c r="A972" s="8"/>
      <c r="B972" s="8"/>
      <c r="C972" s="8"/>
      <c r="D972" s="8"/>
      <c r="E972" s="8"/>
      <c r="F972" t="str" s="15">
        <f aca="0">IF(B972="","",IF(H972="","확인필요(입력누락)",IF(SUMPRODUCT((실물목록!$P$2:$P$1001&lt;&gt;"")*ISNUMBER(SEARCH(실물목록!$P$2:$P$1001,I972))*(실물목록!$Q$2:$Q$1001&lt;&gt;"")*ISNUMBER(SEARCH(실물목록!$Q$2:$Q$1001,I972))*(실물목록!$R$2:$R$1001="")*(실물목록!$O$2:$O$1001&lt;&gt;"")*(실물목록!$O$2:$O$1001=H972))&gt;0,"실물 있음",IF(SUMPRODUCT((실물목록!$P$2:$P$1001&lt;&gt;"")*ISNUMBER(SEARCH(실물목록!$P$2:$P$1001,I972))*(실물목록!$R$2:$R$1001&lt;&gt;""))&gt;0,"확인필요(입력누락)",IF(SUMPRODUCT((실물목록!$P$2:$P$1001&lt;&gt;"")*ISNUMBER(SEARCH(실물목록!$P$2:$P$1001,I972))*(실물목록!$Q$2:$Q$1001&lt;&gt;"")*ISNUMBER(SEARCH(실물목록!$Q$2:$Q$1001,I972))*(실물목록!$R$2:$R$1001="")*(실물목록!$O$2:$O$1001&lt;&gt;""))&gt;0,"확인필요(연도다름)","실물 없음")))))</f>
      </c>
      <c r="G972" t="n" s="16">
        <f aca="0">IF(B972="","",SUMPRODUCT((실물목록!$P$2:$P$1001&lt;&gt;"")*ISNUMBER(SEARCH(실물목록!$P$2:$P$1001,I972))*(실물목록!$Q$2:$Q$1001&lt;&gt;"")*ISNUMBER(SEARCH(실물목록!$Q$2:$Q$1001,I972))*(실물목록!$R$2:$R$1001="")*(실물목록!$O$2:$O$1001&lt;&gt;"")*(실물목록!$O$2:$O$1001=H972)))</f>
      </c>
      <c r="H972" t="str">
        <f>IFERROR(IF(AND(LEN(SUBSTITUTE(SUBSTITUTE(SUBSTITUTE(TRIM(A972&amp;""),CHAR(160),"")," ",""),"년",""))=4,VALUE(SUBSTITUTE(SUBSTITUTE(SUBSTITUTE(TRIM(A972&amp;""),CHAR(160),"")," ",""),"년",""))&gt;=1900,VALUE(SUBSTITUTE(SUBSTITUTE(SUBSTITUTE(TRIM(A972&amp;""),CHAR(160),"")," ",""),"년",""))&lt;=2099,TEXT(VALUE(SUBSTITUTE(SUBSTITUTE(SUBSTITUTE(TRIM(A972&amp;""),CHAR(160),"")," ",""),"년","")),"0000")=SUBSTITUTE(SUBSTITUTE(SUBSTITUTE(TRIM(A972&amp;""),CHAR(160),"")," ",""),"년","")),SUBSTITUTE(SUBSTITUTE(SUBSTITUTE(TRIM(A972&amp;""),CHAR(160),"")," ",""),"년",""),""),"")</f>
      </c>
      <c r="I972" t="str">
        <f>SUBSTITUTE(SUBSTITUTE(SUBSTITUTE(SUBSTITUTE(SUBSTITUTE(TRIM(B972&amp;""),CHAR(160),"")," ",""),"초등학교","초"),"중학교","중"),"고등학교","고")</f>
      </c>
    </row>
    <row r="973" customFormat="false" ht="15" hidden="false" customHeight="false" outlineLevel="0" collapsed="false">
      <c r="A973" s="8"/>
      <c r="B973" s="8"/>
      <c r="C973" s="8"/>
      <c r="D973" s="8"/>
      <c r="E973" s="8"/>
      <c r="F973" t="str" s="15">
        <f aca="0">IF(B973="","",IF(H973="","확인필요(입력누락)",IF(SUMPRODUCT((실물목록!$P$2:$P$1001&lt;&gt;"")*ISNUMBER(SEARCH(실물목록!$P$2:$P$1001,I973))*(실물목록!$Q$2:$Q$1001&lt;&gt;"")*ISNUMBER(SEARCH(실물목록!$Q$2:$Q$1001,I973))*(실물목록!$R$2:$R$1001="")*(실물목록!$O$2:$O$1001&lt;&gt;"")*(실물목록!$O$2:$O$1001=H973))&gt;0,"실물 있음",IF(SUMPRODUCT((실물목록!$P$2:$P$1001&lt;&gt;"")*ISNUMBER(SEARCH(실물목록!$P$2:$P$1001,I973))*(실물목록!$R$2:$R$1001&lt;&gt;""))&gt;0,"확인필요(입력누락)",IF(SUMPRODUCT((실물목록!$P$2:$P$1001&lt;&gt;"")*ISNUMBER(SEARCH(실물목록!$P$2:$P$1001,I973))*(실물목록!$Q$2:$Q$1001&lt;&gt;"")*ISNUMBER(SEARCH(실물목록!$Q$2:$Q$1001,I973))*(실물목록!$R$2:$R$1001="")*(실물목록!$O$2:$O$1001&lt;&gt;""))&gt;0,"확인필요(연도다름)","실물 없음")))))</f>
      </c>
      <c r="G973" t="n" s="16">
        <f aca="0">IF(B973="","",SUMPRODUCT((실물목록!$P$2:$P$1001&lt;&gt;"")*ISNUMBER(SEARCH(실물목록!$P$2:$P$1001,I973))*(실물목록!$Q$2:$Q$1001&lt;&gt;"")*ISNUMBER(SEARCH(실물목록!$Q$2:$Q$1001,I973))*(실물목록!$R$2:$R$1001="")*(실물목록!$O$2:$O$1001&lt;&gt;"")*(실물목록!$O$2:$O$1001=H973)))</f>
      </c>
      <c r="H973" t="str">
        <f>IFERROR(IF(AND(LEN(SUBSTITUTE(SUBSTITUTE(SUBSTITUTE(TRIM(A973&amp;""),CHAR(160),"")," ",""),"년",""))=4,VALUE(SUBSTITUTE(SUBSTITUTE(SUBSTITUTE(TRIM(A973&amp;""),CHAR(160),"")," ",""),"년",""))&gt;=1900,VALUE(SUBSTITUTE(SUBSTITUTE(SUBSTITUTE(TRIM(A973&amp;""),CHAR(160),"")," ",""),"년",""))&lt;=2099,TEXT(VALUE(SUBSTITUTE(SUBSTITUTE(SUBSTITUTE(TRIM(A973&amp;""),CHAR(160),"")," ",""),"년","")),"0000")=SUBSTITUTE(SUBSTITUTE(SUBSTITUTE(TRIM(A973&amp;""),CHAR(160),"")," ",""),"년","")),SUBSTITUTE(SUBSTITUTE(SUBSTITUTE(TRIM(A973&amp;""),CHAR(160),"")," ",""),"년",""),""),"")</f>
      </c>
      <c r="I973" t="str">
        <f>SUBSTITUTE(SUBSTITUTE(SUBSTITUTE(SUBSTITUTE(SUBSTITUTE(TRIM(B973&amp;""),CHAR(160),"")," ",""),"초등학교","초"),"중학교","중"),"고등학교","고")</f>
      </c>
    </row>
    <row r="974" customFormat="false" ht="15" hidden="false" customHeight="false" outlineLevel="0" collapsed="false">
      <c r="A974" s="8"/>
      <c r="B974" s="8"/>
      <c r="C974" s="8"/>
      <c r="D974" s="8"/>
      <c r="E974" s="8"/>
      <c r="F974" t="str" s="15">
        <f aca="0">IF(B974="","",IF(H974="","확인필요(입력누락)",IF(SUMPRODUCT((실물목록!$P$2:$P$1001&lt;&gt;"")*ISNUMBER(SEARCH(실물목록!$P$2:$P$1001,I974))*(실물목록!$Q$2:$Q$1001&lt;&gt;"")*ISNUMBER(SEARCH(실물목록!$Q$2:$Q$1001,I974))*(실물목록!$R$2:$R$1001="")*(실물목록!$O$2:$O$1001&lt;&gt;"")*(실물목록!$O$2:$O$1001=H974))&gt;0,"실물 있음",IF(SUMPRODUCT((실물목록!$P$2:$P$1001&lt;&gt;"")*ISNUMBER(SEARCH(실물목록!$P$2:$P$1001,I974))*(실물목록!$R$2:$R$1001&lt;&gt;""))&gt;0,"확인필요(입력누락)",IF(SUMPRODUCT((실물목록!$P$2:$P$1001&lt;&gt;"")*ISNUMBER(SEARCH(실물목록!$P$2:$P$1001,I974))*(실물목록!$Q$2:$Q$1001&lt;&gt;"")*ISNUMBER(SEARCH(실물목록!$Q$2:$Q$1001,I974))*(실물목록!$R$2:$R$1001="")*(실물목록!$O$2:$O$1001&lt;&gt;""))&gt;0,"확인필요(연도다름)","실물 없음")))))</f>
      </c>
      <c r="G974" t="n" s="16">
        <f aca="0">IF(B974="","",SUMPRODUCT((실물목록!$P$2:$P$1001&lt;&gt;"")*ISNUMBER(SEARCH(실물목록!$P$2:$P$1001,I974))*(실물목록!$Q$2:$Q$1001&lt;&gt;"")*ISNUMBER(SEARCH(실물목록!$Q$2:$Q$1001,I974))*(실물목록!$R$2:$R$1001="")*(실물목록!$O$2:$O$1001&lt;&gt;"")*(실물목록!$O$2:$O$1001=H974)))</f>
      </c>
      <c r="H974" t="str">
        <f>IFERROR(IF(AND(LEN(SUBSTITUTE(SUBSTITUTE(SUBSTITUTE(TRIM(A974&amp;""),CHAR(160),"")," ",""),"년",""))=4,VALUE(SUBSTITUTE(SUBSTITUTE(SUBSTITUTE(TRIM(A974&amp;""),CHAR(160),"")," ",""),"년",""))&gt;=1900,VALUE(SUBSTITUTE(SUBSTITUTE(SUBSTITUTE(TRIM(A974&amp;""),CHAR(160),"")," ",""),"년",""))&lt;=2099,TEXT(VALUE(SUBSTITUTE(SUBSTITUTE(SUBSTITUTE(TRIM(A974&amp;""),CHAR(160),"")," ",""),"년","")),"0000")=SUBSTITUTE(SUBSTITUTE(SUBSTITUTE(TRIM(A974&amp;""),CHAR(160),"")," ",""),"년","")),SUBSTITUTE(SUBSTITUTE(SUBSTITUTE(TRIM(A974&amp;""),CHAR(160),"")," ",""),"년",""),""),"")</f>
      </c>
      <c r="I974" t="str">
        <f>SUBSTITUTE(SUBSTITUTE(SUBSTITUTE(SUBSTITUTE(SUBSTITUTE(TRIM(B974&amp;""),CHAR(160),"")," ",""),"초등학교","초"),"중학교","중"),"고등학교","고")</f>
      </c>
    </row>
    <row r="975" customFormat="false" ht="15" hidden="false" customHeight="false" outlineLevel="0" collapsed="false">
      <c r="A975" s="8"/>
      <c r="B975" s="8"/>
      <c r="C975" s="8"/>
      <c r="D975" s="8"/>
      <c r="E975" s="8"/>
      <c r="F975" t="str" s="15">
        <f aca="0">IF(B975="","",IF(H975="","확인필요(입력누락)",IF(SUMPRODUCT((실물목록!$P$2:$P$1001&lt;&gt;"")*ISNUMBER(SEARCH(실물목록!$P$2:$P$1001,I975))*(실물목록!$Q$2:$Q$1001&lt;&gt;"")*ISNUMBER(SEARCH(실물목록!$Q$2:$Q$1001,I975))*(실물목록!$R$2:$R$1001="")*(실물목록!$O$2:$O$1001&lt;&gt;"")*(실물목록!$O$2:$O$1001=H975))&gt;0,"실물 있음",IF(SUMPRODUCT((실물목록!$P$2:$P$1001&lt;&gt;"")*ISNUMBER(SEARCH(실물목록!$P$2:$P$1001,I975))*(실물목록!$R$2:$R$1001&lt;&gt;""))&gt;0,"확인필요(입력누락)",IF(SUMPRODUCT((실물목록!$P$2:$P$1001&lt;&gt;"")*ISNUMBER(SEARCH(실물목록!$P$2:$P$1001,I975))*(실물목록!$Q$2:$Q$1001&lt;&gt;"")*ISNUMBER(SEARCH(실물목록!$Q$2:$Q$1001,I975))*(실물목록!$R$2:$R$1001="")*(실물목록!$O$2:$O$1001&lt;&gt;""))&gt;0,"확인필요(연도다름)","실물 없음")))))</f>
      </c>
      <c r="G975" t="n" s="16">
        <f aca="0">IF(B975="","",SUMPRODUCT((실물목록!$P$2:$P$1001&lt;&gt;"")*ISNUMBER(SEARCH(실물목록!$P$2:$P$1001,I975))*(실물목록!$Q$2:$Q$1001&lt;&gt;"")*ISNUMBER(SEARCH(실물목록!$Q$2:$Q$1001,I975))*(실물목록!$R$2:$R$1001="")*(실물목록!$O$2:$O$1001&lt;&gt;"")*(실물목록!$O$2:$O$1001=H975)))</f>
      </c>
      <c r="H975" t="str">
        <f>IFERROR(IF(AND(LEN(SUBSTITUTE(SUBSTITUTE(SUBSTITUTE(TRIM(A975&amp;""),CHAR(160),"")," ",""),"년",""))=4,VALUE(SUBSTITUTE(SUBSTITUTE(SUBSTITUTE(TRIM(A975&amp;""),CHAR(160),"")," ",""),"년",""))&gt;=1900,VALUE(SUBSTITUTE(SUBSTITUTE(SUBSTITUTE(TRIM(A975&amp;""),CHAR(160),"")," ",""),"년",""))&lt;=2099,TEXT(VALUE(SUBSTITUTE(SUBSTITUTE(SUBSTITUTE(TRIM(A975&amp;""),CHAR(160),"")," ",""),"년","")),"0000")=SUBSTITUTE(SUBSTITUTE(SUBSTITUTE(TRIM(A975&amp;""),CHAR(160),"")," ",""),"년","")),SUBSTITUTE(SUBSTITUTE(SUBSTITUTE(TRIM(A975&amp;""),CHAR(160),"")," ",""),"년",""),""),"")</f>
      </c>
      <c r="I975" t="str">
        <f>SUBSTITUTE(SUBSTITUTE(SUBSTITUTE(SUBSTITUTE(SUBSTITUTE(TRIM(B975&amp;""),CHAR(160),"")," ",""),"초등학교","초"),"중학교","중"),"고등학교","고")</f>
      </c>
    </row>
    <row r="976" customFormat="false" ht="15" hidden="false" customHeight="false" outlineLevel="0" collapsed="false">
      <c r="A976" s="8"/>
      <c r="B976" s="8"/>
      <c r="C976" s="8"/>
      <c r="D976" s="8"/>
      <c r="E976" s="8"/>
      <c r="F976" t="str" s="15">
        <f aca="0">IF(B976="","",IF(H976="","확인필요(입력누락)",IF(SUMPRODUCT((실물목록!$P$2:$P$1001&lt;&gt;"")*ISNUMBER(SEARCH(실물목록!$P$2:$P$1001,I976))*(실물목록!$Q$2:$Q$1001&lt;&gt;"")*ISNUMBER(SEARCH(실물목록!$Q$2:$Q$1001,I976))*(실물목록!$R$2:$R$1001="")*(실물목록!$O$2:$O$1001&lt;&gt;"")*(실물목록!$O$2:$O$1001=H976))&gt;0,"실물 있음",IF(SUMPRODUCT((실물목록!$P$2:$P$1001&lt;&gt;"")*ISNUMBER(SEARCH(실물목록!$P$2:$P$1001,I976))*(실물목록!$R$2:$R$1001&lt;&gt;""))&gt;0,"확인필요(입력누락)",IF(SUMPRODUCT((실물목록!$P$2:$P$1001&lt;&gt;"")*ISNUMBER(SEARCH(실물목록!$P$2:$P$1001,I976))*(실물목록!$Q$2:$Q$1001&lt;&gt;"")*ISNUMBER(SEARCH(실물목록!$Q$2:$Q$1001,I976))*(실물목록!$R$2:$R$1001="")*(실물목록!$O$2:$O$1001&lt;&gt;""))&gt;0,"확인필요(연도다름)","실물 없음")))))</f>
      </c>
      <c r="G976" t="n" s="16">
        <f aca="0">IF(B976="","",SUMPRODUCT((실물목록!$P$2:$P$1001&lt;&gt;"")*ISNUMBER(SEARCH(실물목록!$P$2:$P$1001,I976))*(실물목록!$Q$2:$Q$1001&lt;&gt;"")*ISNUMBER(SEARCH(실물목록!$Q$2:$Q$1001,I976))*(실물목록!$R$2:$R$1001="")*(실물목록!$O$2:$O$1001&lt;&gt;"")*(실물목록!$O$2:$O$1001=H976)))</f>
      </c>
      <c r="H976" t="str">
        <f>IFERROR(IF(AND(LEN(SUBSTITUTE(SUBSTITUTE(SUBSTITUTE(TRIM(A976&amp;""),CHAR(160),"")," ",""),"년",""))=4,VALUE(SUBSTITUTE(SUBSTITUTE(SUBSTITUTE(TRIM(A976&amp;""),CHAR(160),"")," ",""),"년",""))&gt;=1900,VALUE(SUBSTITUTE(SUBSTITUTE(SUBSTITUTE(TRIM(A976&amp;""),CHAR(160),"")," ",""),"년",""))&lt;=2099,TEXT(VALUE(SUBSTITUTE(SUBSTITUTE(SUBSTITUTE(TRIM(A976&amp;""),CHAR(160),"")," ",""),"년","")),"0000")=SUBSTITUTE(SUBSTITUTE(SUBSTITUTE(TRIM(A976&amp;""),CHAR(160),"")," ",""),"년","")),SUBSTITUTE(SUBSTITUTE(SUBSTITUTE(TRIM(A976&amp;""),CHAR(160),"")," ",""),"년",""),""),"")</f>
      </c>
      <c r="I976" t="str">
        <f>SUBSTITUTE(SUBSTITUTE(SUBSTITUTE(SUBSTITUTE(SUBSTITUTE(TRIM(B976&amp;""),CHAR(160),"")," ",""),"초등학교","초"),"중학교","중"),"고등학교","고")</f>
      </c>
    </row>
    <row r="977" customFormat="false" ht="15" hidden="false" customHeight="false" outlineLevel="0" collapsed="false">
      <c r="A977" s="8"/>
      <c r="B977" s="8"/>
      <c r="C977" s="8"/>
      <c r="D977" s="8"/>
      <c r="E977" s="8"/>
      <c r="F977" t="str" s="15">
        <f aca="0">IF(B977="","",IF(H977="","확인필요(입력누락)",IF(SUMPRODUCT((실물목록!$P$2:$P$1001&lt;&gt;"")*ISNUMBER(SEARCH(실물목록!$P$2:$P$1001,I977))*(실물목록!$Q$2:$Q$1001&lt;&gt;"")*ISNUMBER(SEARCH(실물목록!$Q$2:$Q$1001,I977))*(실물목록!$R$2:$R$1001="")*(실물목록!$O$2:$O$1001&lt;&gt;"")*(실물목록!$O$2:$O$1001=H977))&gt;0,"실물 있음",IF(SUMPRODUCT((실물목록!$P$2:$P$1001&lt;&gt;"")*ISNUMBER(SEARCH(실물목록!$P$2:$P$1001,I977))*(실물목록!$R$2:$R$1001&lt;&gt;""))&gt;0,"확인필요(입력누락)",IF(SUMPRODUCT((실물목록!$P$2:$P$1001&lt;&gt;"")*ISNUMBER(SEARCH(실물목록!$P$2:$P$1001,I977))*(실물목록!$Q$2:$Q$1001&lt;&gt;"")*ISNUMBER(SEARCH(실물목록!$Q$2:$Q$1001,I977))*(실물목록!$R$2:$R$1001="")*(실물목록!$O$2:$O$1001&lt;&gt;""))&gt;0,"확인필요(연도다름)","실물 없음")))))</f>
      </c>
      <c r="G977" t="n" s="16">
        <f aca="0">IF(B977="","",SUMPRODUCT((실물목록!$P$2:$P$1001&lt;&gt;"")*ISNUMBER(SEARCH(실물목록!$P$2:$P$1001,I977))*(실물목록!$Q$2:$Q$1001&lt;&gt;"")*ISNUMBER(SEARCH(실물목록!$Q$2:$Q$1001,I977))*(실물목록!$R$2:$R$1001="")*(실물목록!$O$2:$O$1001&lt;&gt;"")*(실물목록!$O$2:$O$1001=H977)))</f>
      </c>
      <c r="H977" t="str">
        <f>IFERROR(IF(AND(LEN(SUBSTITUTE(SUBSTITUTE(SUBSTITUTE(TRIM(A977&amp;""),CHAR(160),"")," ",""),"년",""))=4,VALUE(SUBSTITUTE(SUBSTITUTE(SUBSTITUTE(TRIM(A977&amp;""),CHAR(160),"")," ",""),"년",""))&gt;=1900,VALUE(SUBSTITUTE(SUBSTITUTE(SUBSTITUTE(TRIM(A977&amp;""),CHAR(160),"")," ",""),"년",""))&lt;=2099,TEXT(VALUE(SUBSTITUTE(SUBSTITUTE(SUBSTITUTE(TRIM(A977&amp;""),CHAR(160),"")," ",""),"년","")),"0000")=SUBSTITUTE(SUBSTITUTE(SUBSTITUTE(TRIM(A977&amp;""),CHAR(160),"")," ",""),"년","")),SUBSTITUTE(SUBSTITUTE(SUBSTITUTE(TRIM(A977&amp;""),CHAR(160),"")," ",""),"년",""),""),"")</f>
      </c>
      <c r="I977" t="str">
        <f>SUBSTITUTE(SUBSTITUTE(SUBSTITUTE(SUBSTITUTE(SUBSTITUTE(TRIM(B977&amp;""),CHAR(160),"")," ",""),"초등학교","초"),"중학교","중"),"고등학교","고")</f>
      </c>
    </row>
    <row r="978" customFormat="false" ht="15" hidden="false" customHeight="false" outlineLevel="0" collapsed="false">
      <c r="A978" s="8"/>
      <c r="B978" s="8"/>
      <c r="C978" s="8"/>
      <c r="D978" s="8"/>
      <c r="E978" s="8"/>
      <c r="F978" t="str" s="15">
        <f aca="0">IF(B978="","",IF(H978="","확인필요(입력누락)",IF(SUMPRODUCT((실물목록!$P$2:$P$1001&lt;&gt;"")*ISNUMBER(SEARCH(실물목록!$P$2:$P$1001,I978))*(실물목록!$Q$2:$Q$1001&lt;&gt;"")*ISNUMBER(SEARCH(실물목록!$Q$2:$Q$1001,I978))*(실물목록!$R$2:$R$1001="")*(실물목록!$O$2:$O$1001&lt;&gt;"")*(실물목록!$O$2:$O$1001=H978))&gt;0,"실물 있음",IF(SUMPRODUCT((실물목록!$P$2:$P$1001&lt;&gt;"")*ISNUMBER(SEARCH(실물목록!$P$2:$P$1001,I978))*(실물목록!$R$2:$R$1001&lt;&gt;""))&gt;0,"확인필요(입력누락)",IF(SUMPRODUCT((실물목록!$P$2:$P$1001&lt;&gt;"")*ISNUMBER(SEARCH(실물목록!$P$2:$P$1001,I978))*(실물목록!$Q$2:$Q$1001&lt;&gt;"")*ISNUMBER(SEARCH(실물목록!$Q$2:$Q$1001,I978))*(실물목록!$R$2:$R$1001="")*(실물목록!$O$2:$O$1001&lt;&gt;""))&gt;0,"확인필요(연도다름)","실물 없음")))))</f>
      </c>
      <c r="G978" t="n" s="16">
        <f aca="0">IF(B978="","",SUMPRODUCT((실물목록!$P$2:$P$1001&lt;&gt;"")*ISNUMBER(SEARCH(실물목록!$P$2:$P$1001,I978))*(실물목록!$Q$2:$Q$1001&lt;&gt;"")*ISNUMBER(SEARCH(실물목록!$Q$2:$Q$1001,I978))*(실물목록!$R$2:$R$1001="")*(실물목록!$O$2:$O$1001&lt;&gt;"")*(실물목록!$O$2:$O$1001=H978)))</f>
      </c>
      <c r="H978" t="str">
        <f>IFERROR(IF(AND(LEN(SUBSTITUTE(SUBSTITUTE(SUBSTITUTE(TRIM(A978&amp;""),CHAR(160),"")," ",""),"년",""))=4,VALUE(SUBSTITUTE(SUBSTITUTE(SUBSTITUTE(TRIM(A978&amp;""),CHAR(160),"")," ",""),"년",""))&gt;=1900,VALUE(SUBSTITUTE(SUBSTITUTE(SUBSTITUTE(TRIM(A978&amp;""),CHAR(160),"")," ",""),"년",""))&lt;=2099,TEXT(VALUE(SUBSTITUTE(SUBSTITUTE(SUBSTITUTE(TRIM(A978&amp;""),CHAR(160),"")," ",""),"년","")),"0000")=SUBSTITUTE(SUBSTITUTE(SUBSTITUTE(TRIM(A978&amp;""),CHAR(160),"")," ",""),"년","")),SUBSTITUTE(SUBSTITUTE(SUBSTITUTE(TRIM(A978&amp;""),CHAR(160),"")," ",""),"년",""),""),"")</f>
      </c>
      <c r="I978" t="str">
        <f>SUBSTITUTE(SUBSTITUTE(SUBSTITUTE(SUBSTITUTE(SUBSTITUTE(TRIM(B978&amp;""),CHAR(160),"")," ",""),"초등학교","초"),"중학교","중"),"고등학교","고")</f>
      </c>
    </row>
    <row r="979" customFormat="false" ht="15" hidden="false" customHeight="false" outlineLevel="0" collapsed="false">
      <c r="A979" s="8"/>
      <c r="B979" s="8"/>
      <c r="C979" s="8"/>
      <c r="D979" s="8"/>
      <c r="E979" s="8"/>
      <c r="F979" t="str" s="15">
        <f aca="0">IF(B979="","",IF(H979="","확인필요(입력누락)",IF(SUMPRODUCT((실물목록!$P$2:$P$1001&lt;&gt;"")*ISNUMBER(SEARCH(실물목록!$P$2:$P$1001,I979))*(실물목록!$Q$2:$Q$1001&lt;&gt;"")*ISNUMBER(SEARCH(실물목록!$Q$2:$Q$1001,I979))*(실물목록!$R$2:$R$1001="")*(실물목록!$O$2:$O$1001&lt;&gt;"")*(실물목록!$O$2:$O$1001=H979))&gt;0,"실물 있음",IF(SUMPRODUCT((실물목록!$P$2:$P$1001&lt;&gt;"")*ISNUMBER(SEARCH(실물목록!$P$2:$P$1001,I979))*(실물목록!$R$2:$R$1001&lt;&gt;""))&gt;0,"확인필요(입력누락)",IF(SUMPRODUCT((실물목록!$P$2:$P$1001&lt;&gt;"")*ISNUMBER(SEARCH(실물목록!$P$2:$P$1001,I979))*(실물목록!$Q$2:$Q$1001&lt;&gt;"")*ISNUMBER(SEARCH(실물목록!$Q$2:$Q$1001,I979))*(실물목록!$R$2:$R$1001="")*(실물목록!$O$2:$O$1001&lt;&gt;""))&gt;0,"확인필요(연도다름)","실물 없음")))))</f>
      </c>
      <c r="G979" t="n" s="16">
        <f aca="0">IF(B979="","",SUMPRODUCT((실물목록!$P$2:$P$1001&lt;&gt;"")*ISNUMBER(SEARCH(실물목록!$P$2:$P$1001,I979))*(실물목록!$Q$2:$Q$1001&lt;&gt;"")*ISNUMBER(SEARCH(실물목록!$Q$2:$Q$1001,I979))*(실물목록!$R$2:$R$1001="")*(실물목록!$O$2:$O$1001&lt;&gt;"")*(실물목록!$O$2:$O$1001=H979)))</f>
      </c>
      <c r="H979" t="str">
        <f>IFERROR(IF(AND(LEN(SUBSTITUTE(SUBSTITUTE(SUBSTITUTE(TRIM(A979&amp;""),CHAR(160),"")," ",""),"년",""))=4,VALUE(SUBSTITUTE(SUBSTITUTE(SUBSTITUTE(TRIM(A979&amp;""),CHAR(160),"")," ",""),"년",""))&gt;=1900,VALUE(SUBSTITUTE(SUBSTITUTE(SUBSTITUTE(TRIM(A979&amp;""),CHAR(160),"")," ",""),"년",""))&lt;=2099,TEXT(VALUE(SUBSTITUTE(SUBSTITUTE(SUBSTITUTE(TRIM(A979&amp;""),CHAR(160),"")," ",""),"년","")),"0000")=SUBSTITUTE(SUBSTITUTE(SUBSTITUTE(TRIM(A979&amp;""),CHAR(160),"")," ",""),"년","")),SUBSTITUTE(SUBSTITUTE(SUBSTITUTE(TRIM(A979&amp;""),CHAR(160),"")," ",""),"년",""),""),"")</f>
      </c>
      <c r="I979" t="str">
        <f>SUBSTITUTE(SUBSTITUTE(SUBSTITUTE(SUBSTITUTE(SUBSTITUTE(TRIM(B979&amp;""),CHAR(160),"")," ",""),"초등학교","초"),"중학교","중"),"고등학교","고")</f>
      </c>
    </row>
    <row r="980" customFormat="false" ht="15" hidden="false" customHeight="false" outlineLevel="0" collapsed="false">
      <c r="A980" s="8"/>
      <c r="B980" s="8"/>
      <c r="C980" s="8"/>
      <c r="D980" s="8"/>
      <c r="E980" s="8"/>
      <c r="F980" t="str" s="15">
        <f aca="0">IF(B980="","",IF(H980="","확인필요(입력누락)",IF(SUMPRODUCT((실물목록!$P$2:$P$1001&lt;&gt;"")*ISNUMBER(SEARCH(실물목록!$P$2:$P$1001,I980))*(실물목록!$Q$2:$Q$1001&lt;&gt;"")*ISNUMBER(SEARCH(실물목록!$Q$2:$Q$1001,I980))*(실물목록!$R$2:$R$1001="")*(실물목록!$O$2:$O$1001&lt;&gt;"")*(실물목록!$O$2:$O$1001=H980))&gt;0,"실물 있음",IF(SUMPRODUCT((실물목록!$P$2:$P$1001&lt;&gt;"")*ISNUMBER(SEARCH(실물목록!$P$2:$P$1001,I980))*(실물목록!$R$2:$R$1001&lt;&gt;""))&gt;0,"확인필요(입력누락)",IF(SUMPRODUCT((실물목록!$P$2:$P$1001&lt;&gt;"")*ISNUMBER(SEARCH(실물목록!$P$2:$P$1001,I980))*(실물목록!$Q$2:$Q$1001&lt;&gt;"")*ISNUMBER(SEARCH(실물목록!$Q$2:$Q$1001,I980))*(실물목록!$R$2:$R$1001="")*(실물목록!$O$2:$O$1001&lt;&gt;""))&gt;0,"확인필요(연도다름)","실물 없음")))))</f>
      </c>
      <c r="G980" t="n" s="16">
        <f aca="0">IF(B980="","",SUMPRODUCT((실물목록!$P$2:$P$1001&lt;&gt;"")*ISNUMBER(SEARCH(실물목록!$P$2:$P$1001,I980))*(실물목록!$Q$2:$Q$1001&lt;&gt;"")*ISNUMBER(SEARCH(실물목록!$Q$2:$Q$1001,I980))*(실물목록!$R$2:$R$1001="")*(실물목록!$O$2:$O$1001&lt;&gt;"")*(실물목록!$O$2:$O$1001=H980)))</f>
      </c>
      <c r="H980" t="str">
        <f>IFERROR(IF(AND(LEN(SUBSTITUTE(SUBSTITUTE(SUBSTITUTE(TRIM(A980&amp;""),CHAR(160),"")," ",""),"년",""))=4,VALUE(SUBSTITUTE(SUBSTITUTE(SUBSTITUTE(TRIM(A980&amp;""),CHAR(160),"")," ",""),"년",""))&gt;=1900,VALUE(SUBSTITUTE(SUBSTITUTE(SUBSTITUTE(TRIM(A980&amp;""),CHAR(160),"")," ",""),"년",""))&lt;=2099,TEXT(VALUE(SUBSTITUTE(SUBSTITUTE(SUBSTITUTE(TRIM(A980&amp;""),CHAR(160),"")," ",""),"년","")),"0000")=SUBSTITUTE(SUBSTITUTE(SUBSTITUTE(TRIM(A980&amp;""),CHAR(160),"")," ",""),"년","")),SUBSTITUTE(SUBSTITUTE(SUBSTITUTE(TRIM(A980&amp;""),CHAR(160),"")," ",""),"년",""),""),"")</f>
      </c>
      <c r="I980" t="str">
        <f>SUBSTITUTE(SUBSTITUTE(SUBSTITUTE(SUBSTITUTE(SUBSTITUTE(TRIM(B980&amp;""),CHAR(160),"")," ",""),"초등학교","초"),"중학교","중"),"고등학교","고")</f>
      </c>
    </row>
    <row r="981" customFormat="false" ht="15" hidden="false" customHeight="false" outlineLevel="0" collapsed="false">
      <c r="A981" s="8"/>
      <c r="B981" s="8"/>
      <c r="C981" s="8"/>
      <c r="D981" s="8"/>
      <c r="E981" s="8"/>
      <c r="F981" t="str" s="15">
        <f aca="0">IF(B981="","",IF(H981="","확인필요(입력누락)",IF(SUMPRODUCT((실물목록!$P$2:$P$1001&lt;&gt;"")*ISNUMBER(SEARCH(실물목록!$P$2:$P$1001,I981))*(실물목록!$Q$2:$Q$1001&lt;&gt;"")*ISNUMBER(SEARCH(실물목록!$Q$2:$Q$1001,I981))*(실물목록!$R$2:$R$1001="")*(실물목록!$O$2:$O$1001&lt;&gt;"")*(실물목록!$O$2:$O$1001=H981))&gt;0,"실물 있음",IF(SUMPRODUCT((실물목록!$P$2:$P$1001&lt;&gt;"")*ISNUMBER(SEARCH(실물목록!$P$2:$P$1001,I981))*(실물목록!$R$2:$R$1001&lt;&gt;""))&gt;0,"확인필요(입력누락)",IF(SUMPRODUCT((실물목록!$P$2:$P$1001&lt;&gt;"")*ISNUMBER(SEARCH(실물목록!$P$2:$P$1001,I981))*(실물목록!$Q$2:$Q$1001&lt;&gt;"")*ISNUMBER(SEARCH(실물목록!$Q$2:$Q$1001,I981))*(실물목록!$R$2:$R$1001="")*(실물목록!$O$2:$O$1001&lt;&gt;""))&gt;0,"확인필요(연도다름)","실물 없음")))))</f>
      </c>
      <c r="G981" t="n" s="16">
        <f aca="0">IF(B981="","",SUMPRODUCT((실물목록!$P$2:$P$1001&lt;&gt;"")*ISNUMBER(SEARCH(실물목록!$P$2:$P$1001,I981))*(실물목록!$Q$2:$Q$1001&lt;&gt;"")*ISNUMBER(SEARCH(실물목록!$Q$2:$Q$1001,I981))*(실물목록!$R$2:$R$1001="")*(실물목록!$O$2:$O$1001&lt;&gt;"")*(실물목록!$O$2:$O$1001=H981)))</f>
      </c>
      <c r="H981" t="str">
        <f>IFERROR(IF(AND(LEN(SUBSTITUTE(SUBSTITUTE(SUBSTITUTE(TRIM(A981&amp;""),CHAR(160),"")," ",""),"년",""))=4,VALUE(SUBSTITUTE(SUBSTITUTE(SUBSTITUTE(TRIM(A981&amp;""),CHAR(160),"")," ",""),"년",""))&gt;=1900,VALUE(SUBSTITUTE(SUBSTITUTE(SUBSTITUTE(TRIM(A981&amp;""),CHAR(160),"")," ",""),"년",""))&lt;=2099,TEXT(VALUE(SUBSTITUTE(SUBSTITUTE(SUBSTITUTE(TRIM(A981&amp;""),CHAR(160),"")," ",""),"년","")),"0000")=SUBSTITUTE(SUBSTITUTE(SUBSTITUTE(TRIM(A981&amp;""),CHAR(160),"")," ",""),"년","")),SUBSTITUTE(SUBSTITUTE(SUBSTITUTE(TRIM(A981&amp;""),CHAR(160),"")," ",""),"년",""),""),"")</f>
      </c>
      <c r="I981" t="str">
        <f>SUBSTITUTE(SUBSTITUTE(SUBSTITUTE(SUBSTITUTE(SUBSTITUTE(TRIM(B981&amp;""),CHAR(160),"")," ",""),"초등학교","초"),"중학교","중"),"고등학교","고")</f>
      </c>
    </row>
    <row r="982" customFormat="false" ht="15" hidden="false" customHeight="false" outlineLevel="0" collapsed="false">
      <c r="A982" s="8"/>
      <c r="B982" s="8"/>
      <c r="C982" s="8"/>
      <c r="D982" s="8"/>
      <c r="E982" s="8"/>
      <c r="F982" t="str" s="15">
        <f aca="0">IF(B982="","",IF(H982="","확인필요(입력누락)",IF(SUMPRODUCT((실물목록!$P$2:$P$1001&lt;&gt;"")*ISNUMBER(SEARCH(실물목록!$P$2:$P$1001,I982))*(실물목록!$Q$2:$Q$1001&lt;&gt;"")*ISNUMBER(SEARCH(실물목록!$Q$2:$Q$1001,I982))*(실물목록!$R$2:$R$1001="")*(실물목록!$O$2:$O$1001&lt;&gt;"")*(실물목록!$O$2:$O$1001=H982))&gt;0,"실물 있음",IF(SUMPRODUCT((실물목록!$P$2:$P$1001&lt;&gt;"")*ISNUMBER(SEARCH(실물목록!$P$2:$P$1001,I982))*(실물목록!$R$2:$R$1001&lt;&gt;""))&gt;0,"확인필요(입력누락)",IF(SUMPRODUCT((실물목록!$P$2:$P$1001&lt;&gt;"")*ISNUMBER(SEARCH(실물목록!$P$2:$P$1001,I982))*(실물목록!$Q$2:$Q$1001&lt;&gt;"")*ISNUMBER(SEARCH(실물목록!$Q$2:$Q$1001,I982))*(실물목록!$R$2:$R$1001="")*(실물목록!$O$2:$O$1001&lt;&gt;""))&gt;0,"확인필요(연도다름)","실물 없음")))))</f>
      </c>
      <c r="G982" t="n" s="16">
        <f aca="0">IF(B982="","",SUMPRODUCT((실물목록!$P$2:$P$1001&lt;&gt;"")*ISNUMBER(SEARCH(실물목록!$P$2:$P$1001,I982))*(실물목록!$Q$2:$Q$1001&lt;&gt;"")*ISNUMBER(SEARCH(실물목록!$Q$2:$Q$1001,I982))*(실물목록!$R$2:$R$1001="")*(실물목록!$O$2:$O$1001&lt;&gt;"")*(실물목록!$O$2:$O$1001=H982)))</f>
      </c>
      <c r="H982" t="str">
        <f>IFERROR(IF(AND(LEN(SUBSTITUTE(SUBSTITUTE(SUBSTITUTE(TRIM(A982&amp;""),CHAR(160),"")," ",""),"년",""))=4,VALUE(SUBSTITUTE(SUBSTITUTE(SUBSTITUTE(TRIM(A982&amp;""),CHAR(160),"")," ",""),"년",""))&gt;=1900,VALUE(SUBSTITUTE(SUBSTITUTE(SUBSTITUTE(TRIM(A982&amp;""),CHAR(160),"")," ",""),"년",""))&lt;=2099,TEXT(VALUE(SUBSTITUTE(SUBSTITUTE(SUBSTITUTE(TRIM(A982&amp;""),CHAR(160),"")," ",""),"년","")),"0000")=SUBSTITUTE(SUBSTITUTE(SUBSTITUTE(TRIM(A982&amp;""),CHAR(160),"")," ",""),"년","")),SUBSTITUTE(SUBSTITUTE(SUBSTITUTE(TRIM(A982&amp;""),CHAR(160),"")," ",""),"년",""),""),"")</f>
      </c>
      <c r="I982" t="str">
        <f>SUBSTITUTE(SUBSTITUTE(SUBSTITUTE(SUBSTITUTE(SUBSTITUTE(TRIM(B982&amp;""),CHAR(160),"")," ",""),"초등학교","초"),"중학교","중"),"고등학교","고")</f>
      </c>
    </row>
    <row r="983" customFormat="false" ht="15" hidden="false" customHeight="false" outlineLevel="0" collapsed="false">
      <c r="A983" s="8"/>
      <c r="B983" s="8"/>
      <c r="C983" s="8"/>
      <c r="D983" s="8"/>
      <c r="E983" s="8"/>
      <c r="F983" t="str" s="15">
        <f aca="0">IF(B983="","",IF(H983="","확인필요(입력누락)",IF(SUMPRODUCT((실물목록!$P$2:$P$1001&lt;&gt;"")*ISNUMBER(SEARCH(실물목록!$P$2:$P$1001,I983))*(실물목록!$Q$2:$Q$1001&lt;&gt;"")*ISNUMBER(SEARCH(실물목록!$Q$2:$Q$1001,I983))*(실물목록!$R$2:$R$1001="")*(실물목록!$O$2:$O$1001&lt;&gt;"")*(실물목록!$O$2:$O$1001=H983))&gt;0,"실물 있음",IF(SUMPRODUCT((실물목록!$P$2:$P$1001&lt;&gt;"")*ISNUMBER(SEARCH(실물목록!$P$2:$P$1001,I983))*(실물목록!$R$2:$R$1001&lt;&gt;""))&gt;0,"확인필요(입력누락)",IF(SUMPRODUCT((실물목록!$P$2:$P$1001&lt;&gt;"")*ISNUMBER(SEARCH(실물목록!$P$2:$P$1001,I983))*(실물목록!$Q$2:$Q$1001&lt;&gt;"")*ISNUMBER(SEARCH(실물목록!$Q$2:$Q$1001,I983))*(실물목록!$R$2:$R$1001="")*(실물목록!$O$2:$O$1001&lt;&gt;""))&gt;0,"확인필요(연도다름)","실물 없음")))))</f>
      </c>
      <c r="G983" t="n" s="16">
        <f aca="0">IF(B983="","",SUMPRODUCT((실물목록!$P$2:$P$1001&lt;&gt;"")*ISNUMBER(SEARCH(실물목록!$P$2:$P$1001,I983))*(실물목록!$Q$2:$Q$1001&lt;&gt;"")*ISNUMBER(SEARCH(실물목록!$Q$2:$Q$1001,I983))*(실물목록!$R$2:$R$1001="")*(실물목록!$O$2:$O$1001&lt;&gt;"")*(실물목록!$O$2:$O$1001=H983)))</f>
      </c>
      <c r="H983" t="str">
        <f>IFERROR(IF(AND(LEN(SUBSTITUTE(SUBSTITUTE(SUBSTITUTE(TRIM(A983&amp;""),CHAR(160),"")," ",""),"년",""))=4,VALUE(SUBSTITUTE(SUBSTITUTE(SUBSTITUTE(TRIM(A983&amp;""),CHAR(160),"")," ",""),"년",""))&gt;=1900,VALUE(SUBSTITUTE(SUBSTITUTE(SUBSTITUTE(TRIM(A983&amp;""),CHAR(160),"")," ",""),"년",""))&lt;=2099,TEXT(VALUE(SUBSTITUTE(SUBSTITUTE(SUBSTITUTE(TRIM(A983&amp;""),CHAR(160),"")," ",""),"년","")),"0000")=SUBSTITUTE(SUBSTITUTE(SUBSTITUTE(TRIM(A983&amp;""),CHAR(160),"")," ",""),"년","")),SUBSTITUTE(SUBSTITUTE(SUBSTITUTE(TRIM(A983&amp;""),CHAR(160),"")," ",""),"년",""),""),"")</f>
      </c>
      <c r="I983" t="str">
        <f>SUBSTITUTE(SUBSTITUTE(SUBSTITUTE(SUBSTITUTE(SUBSTITUTE(TRIM(B983&amp;""),CHAR(160),"")," ",""),"초등학교","초"),"중학교","중"),"고등학교","고")</f>
      </c>
    </row>
    <row r="984" customFormat="false" ht="15" hidden="false" customHeight="false" outlineLevel="0" collapsed="false">
      <c r="A984" s="8"/>
      <c r="B984" s="8"/>
      <c r="C984" s="8"/>
      <c r="D984" s="8"/>
      <c r="E984" s="8"/>
      <c r="F984" t="str" s="15">
        <f aca="0">IF(B984="","",IF(H984="","확인필요(입력누락)",IF(SUMPRODUCT((실물목록!$P$2:$P$1001&lt;&gt;"")*ISNUMBER(SEARCH(실물목록!$P$2:$P$1001,I984))*(실물목록!$Q$2:$Q$1001&lt;&gt;"")*ISNUMBER(SEARCH(실물목록!$Q$2:$Q$1001,I984))*(실물목록!$R$2:$R$1001="")*(실물목록!$O$2:$O$1001&lt;&gt;"")*(실물목록!$O$2:$O$1001=H984))&gt;0,"실물 있음",IF(SUMPRODUCT((실물목록!$P$2:$P$1001&lt;&gt;"")*ISNUMBER(SEARCH(실물목록!$P$2:$P$1001,I984))*(실물목록!$R$2:$R$1001&lt;&gt;""))&gt;0,"확인필요(입력누락)",IF(SUMPRODUCT((실물목록!$P$2:$P$1001&lt;&gt;"")*ISNUMBER(SEARCH(실물목록!$P$2:$P$1001,I984))*(실물목록!$Q$2:$Q$1001&lt;&gt;"")*ISNUMBER(SEARCH(실물목록!$Q$2:$Q$1001,I984))*(실물목록!$R$2:$R$1001="")*(실물목록!$O$2:$O$1001&lt;&gt;""))&gt;0,"확인필요(연도다름)","실물 없음")))))</f>
      </c>
      <c r="G984" t="n" s="16">
        <f aca="0">IF(B984="","",SUMPRODUCT((실물목록!$P$2:$P$1001&lt;&gt;"")*ISNUMBER(SEARCH(실물목록!$P$2:$P$1001,I984))*(실물목록!$Q$2:$Q$1001&lt;&gt;"")*ISNUMBER(SEARCH(실물목록!$Q$2:$Q$1001,I984))*(실물목록!$R$2:$R$1001="")*(실물목록!$O$2:$O$1001&lt;&gt;"")*(실물목록!$O$2:$O$1001=H984)))</f>
      </c>
      <c r="H984" t="str">
        <f>IFERROR(IF(AND(LEN(SUBSTITUTE(SUBSTITUTE(SUBSTITUTE(TRIM(A984&amp;""),CHAR(160),"")," ",""),"년",""))=4,VALUE(SUBSTITUTE(SUBSTITUTE(SUBSTITUTE(TRIM(A984&amp;""),CHAR(160),"")," ",""),"년",""))&gt;=1900,VALUE(SUBSTITUTE(SUBSTITUTE(SUBSTITUTE(TRIM(A984&amp;""),CHAR(160),"")," ",""),"년",""))&lt;=2099,TEXT(VALUE(SUBSTITUTE(SUBSTITUTE(SUBSTITUTE(TRIM(A984&amp;""),CHAR(160),"")," ",""),"년","")),"0000")=SUBSTITUTE(SUBSTITUTE(SUBSTITUTE(TRIM(A984&amp;""),CHAR(160),"")," ",""),"년","")),SUBSTITUTE(SUBSTITUTE(SUBSTITUTE(TRIM(A984&amp;""),CHAR(160),"")," ",""),"년",""),""),"")</f>
      </c>
      <c r="I984" t="str">
        <f>SUBSTITUTE(SUBSTITUTE(SUBSTITUTE(SUBSTITUTE(SUBSTITUTE(TRIM(B984&amp;""),CHAR(160),"")," ",""),"초등학교","초"),"중학교","중"),"고등학교","고")</f>
      </c>
    </row>
    <row r="985" customFormat="false" ht="15" hidden="false" customHeight="false" outlineLevel="0" collapsed="false">
      <c r="A985" s="8"/>
      <c r="B985" s="8"/>
      <c r="C985" s="8"/>
      <c r="D985" s="8"/>
      <c r="E985" s="8"/>
      <c r="F985" t="str" s="15">
        <f aca="0">IF(B985="","",IF(H985="","확인필요(입력누락)",IF(SUMPRODUCT((실물목록!$P$2:$P$1001&lt;&gt;"")*ISNUMBER(SEARCH(실물목록!$P$2:$P$1001,I985))*(실물목록!$Q$2:$Q$1001&lt;&gt;"")*ISNUMBER(SEARCH(실물목록!$Q$2:$Q$1001,I985))*(실물목록!$R$2:$R$1001="")*(실물목록!$O$2:$O$1001&lt;&gt;"")*(실물목록!$O$2:$O$1001=H985))&gt;0,"실물 있음",IF(SUMPRODUCT((실물목록!$P$2:$P$1001&lt;&gt;"")*ISNUMBER(SEARCH(실물목록!$P$2:$P$1001,I985))*(실물목록!$R$2:$R$1001&lt;&gt;""))&gt;0,"확인필요(입력누락)",IF(SUMPRODUCT((실물목록!$P$2:$P$1001&lt;&gt;"")*ISNUMBER(SEARCH(실물목록!$P$2:$P$1001,I985))*(실물목록!$Q$2:$Q$1001&lt;&gt;"")*ISNUMBER(SEARCH(실물목록!$Q$2:$Q$1001,I985))*(실물목록!$R$2:$R$1001="")*(실물목록!$O$2:$O$1001&lt;&gt;""))&gt;0,"확인필요(연도다름)","실물 없음")))))</f>
      </c>
      <c r="G985" t="n" s="16">
        <f aca="0">IF(B985="","",SUMPRODUCT((실물목록!$P$2:$P$1001&lt;&gt;"")*ISNUMBER(SEARCH(실물목록!$P$2:$P$1001,I985))*(실물목록!$Q$2:$Q$1001&lt;&gt;"")*ISNUMBER(SEARCH(실물목록!$Q$2:$Q$1001,I985))*(실물목록!$R$2:$R$1001="")*(실물목록!$O$2:$O$1001&lt;&gt;"")*(실물목록!$O$2:$O$1001=H985)))</f>
      </c>
      <c r="H985" t="str">
        <f>IFERROR(IF(AND(LEN(SUBSTITUTE(SUBSTITUTE(SUBSTITUTE(TRIM(A985&amp;""),CHAR(160),"")," ",""),"년",""))=4,VALUE(SUBSTITUTE(SUBSTITUTE(SUBSTITUTE(TRIM(A985&amp;""),CHAR(160),"")," ",""),"년",""))&gt;=1900,VALUE(SUBSTITUTE(SUBSTITUTE(SUBSTITUTE(TRIM(A985&amp;""),CHAR(160),"")," ",""),"년",""))&lt;=2099,TEXT(VALUE(SUBSTITUTE(SUBSTITUTE(SUBSTITUTE(TRIM(A985&amp;""),CHAR(160),"")," ",""),"년","")),"0000")=SUBSTITUTE(SUBSTITUTE(SUBSTITUTE(TRIM(A985&amp;""),CHAR(160),"")," ",""),"년","")),SUBSTITUTE(SUBSTITUTE(SUBSTITUTE(TRIM(A985&amp;""),CHAR(160),"")," ",""),"년",""),""),"")</f>
      </c>
      <c r="I985" t="str">
        <f>SUBSTITUTE(SUBSTITUTE(SUBSTITUTE(SUBSTITUTE(SUBSTITUTE(TRIM(B985&amp;""),CHAR(160),"")," ",""),"초등학교","초"),"중학교","중"),"고등학교","고")</f>
      </c>
    </row>
    <row r="986" customFormat="false" ht="15" hidden="false" customHeight="false" outlineLevel="0" collapsed="false">
      <c r="A986" s="8"/>
      <c r="B986" s="8"/>
      <c r="C986" s="8"/>
      <c r="D986" s="8"/>
      <c r="E986" s="8"/>
      <c r="F986" t="str" s="15">
        <f aca="0">IF(B986="","",IF(H986="","확인필요(입력누락)",IF(SUMPRODUCT((실물목록!$P$2:$P$1001&lt;&gt;"")*ISNUMBER(SEARCH(실물목록!$P$2:$P$1001,I986))*(실물목록!$Q$2:$Q$1001&lt;&gt;"")*ISNUMBER(SEARCH(실물목록!$Q$2:$Q$1001,I986))*(실물목록!$R$2:$R$1001="")*(실물목록!$O$2:$O$1001&lt;&gt;"")*(실물목록!$O$2:$O$1001=H986))&gt;0,"실물 있음",IF(SUMPRODUCT((실물목록!$P$2:$P$1001&lt;&gt;"")*ISNUMBER(SEARCH(실물목록!$P$2:$P$1001,I986))*(실물목록!$R$2:$R$1001&lt;&gt;""))&gt;0,"확인필요(입력누락)",IF(SUMPRODUCT((실물목록!$P$2:$P$1001&lt;&gt;"")*ISNUMBER(SEARCH(실물목록!$P$2:$P$1001,I986))*(실물목록!$Q$2:$Q$1001&lt;&gt;"")*ISNUMBER(SEARCH(실물목록!$Q$2:$Q$1001,I986))*(실물목록!$R$2:$R$1001="")*(실물목록!$O$2:$O$1001&lt;&gt;""))&gt;0,"확인필요(연도다름)","실물 없음")))))</f>
      </c>
      <c r="G986" t="n" s="16">
        <f aca="0">IF(B986="","",SUMPRODUCT((실물목록!$P$2:$P$1001&lt;&gt;"")*ISNUMBER(SEARCH(실물목록!$P$2:$P$1001,I986))*(실물목록!$Q$2:$Q$1001&lt;&gt;"")*ISNUMBER(SEARCH(실물목록!$Q$2:$Q$1001,I986))*(실물목록!$R$2:$R$1001="")*(실물목록!$O$2:$O$1001&lt;&gt;"")*(실물목록!$O$2:$O$1001=H986)))</f>
      </c>
      <c r="H986" t="str">
        <f>IFERROR(IF(AND(LEN(SUBSTITUTE(SUBSTITUTE(SUBSTITUTE(TRIM(A986&amp;""),CHAR(160),"")," ",""),"년",""))=4,VALUE(SUBSTITUTE(SUBSTITUTE(SUBSTITUTE(TRIM(A986&amp;""),CHAR(160),"")," ",""),"년",""))&gt;=1900,VALUE(SUBSTITUTE(SUBSTITUTE(SUBSTITUTE(TRIM(A986&amp;""),CHAR(160),"")," ",""),"년",""))&lt;=2099,TEXT(VALUE(SUBSTITUTE(SUBSTITUTE(SUBSTITUTE(TRIM(A986&amp;""),CHAR(160),"")," ",""),"년","")),"0000")=SUBSTITUTE(SUBSTITUTE(SUBSTITUTE(TRIM(A986&amp;""),CHAR(160),"")," ",""),"년","")),SUBSTITUTE(SUBSTITUTE(SUBSTITUTE(TRIM(A986&amp;""),CHAR(160),"")," ",""),"년",""),""),"")</f>
      </c>
      <c r="I986" t="str">
        <f>SUBSTITUTE(SUBSTITUTE(SUBSTITUTE(SUBSTITUTE(SUBSTITUTE(TRIM(B986&amp;""),CHAR(160),"")," ",""),"초등학교","초"),"중학교","중"),"고등학교","고")</f>
      </c>
    </row>
    <row r="987" customFormat="false" ht="15" hidden="false" customHeight="false" outlineLevel="0" collapsed="false">
      <c r="A987" s="8"/>
      <c r="B987" s="8"/>
      <c r="C987" s="8"/>
      <c r="D987" s="8"/>
      <c r="E987" s="8"/>
      <c r="F987" t="str" s="15">
        <f aca="0">IF(B987="","",IF(H987="","확인필요(입력누락)",IF(SUMPRODUCT((실물목록!$P$2:$P$1001&lt;&gt;"")*ISNUMBER(SEARCH(실물목록!$P$2:$P$1001,I987))*(실물목록!$Q$2:$Q$1001&lt;&gt;"")*ISNUMBER(SEARCH(실물목록!$Q$2:$Q$1001,I987))*(실물목록!$R$2:$R$1001="")*(실물목록!$O$2:$O$1001&lt;&gt;"")*(실물목록!$O$2:$O$1001=H987))&gt;0,"실물 있음",IF(SUMPRODUCT((실물목록!$P$2:$P$1001&lt;&gt;"")*ISNUMBER(SEARCH(실물목록!$P$2:$P$1001,I987))*(실물목록!$R$2:$R$1001&lt;&gt;""))&gt;0,"확인필요(입력누락)",IF(SUMPRODUCT((실물목록!$P$2:$P$1001&lt;&gt;"")*ISNUMBER(SEARCH(실물목록!$P$2:$P$1001,I987))*(실물목록!$Q$2:$Q$1001&lt;&gt;"")*ISNUMBER(SEARCH(실물목록!$Q$2:$Q$1001,I987))*(실물목록!$R$2:$R$1001="")*(실물목록!$O$2:$O$1001&lt;&gt;""))&gt;0,"확인필요(연도다름)","실물 없음")))))</f>
      </c>
      <c r="G987" t="n" s="16">
        <f aca="0">IF(B987="","",SUMPRODUCT((실물목록!$P$2:$P$1001&lt;&gt;"")*ISNUMBER(SEARCH(실물목록!$P$2:$P$1001,I987))*(실물목록!$Q$2:$Q$1001&lt;&gt;"")*ISNUMBER(SEARCH(실물목록!$Q$2:$Q$1001,I987))*(실물목록!$R$2:$R$1001="")*(실물목록!$O$2:$O$1001&lt;&gt;"")*(실물목록!$O$2:$O$1001=H987)))</f>
      </c>
      <c r="H987" t="str">
        <f>IFERROR(IF(AND(LEN(SUBSTITUTE(SUBSTITUTE(SUBSTITUTE(TRIM(A987&amp;""),CHAR(160),"")," ",""),"년",""))=4,VALUE(SUBSTITUTE(SUBSTITUTE(SUBSTITUTE(TRIM(A987&amp;""),CHAR(160),"")," ",""),"년",""))&gt;=1900,VALUE(SUBSTITUTE(SUBSTITUTE(SUBSTITUTE(TRIM(A987&amp;""),CHAR(160),"")," ",""),"년",""))&lt;=2099,TEXT(VALUE(SUBSTITUTE(SUBSTITUTE(SUBSTITUTE(TRIM(A987&amp;""),CHAR(160),"")," ",""),"년","")),"0000")=SUBSTITUTE(SUBSTITUTE(SUBSTITUTE(TRIM(A987&amp;""),CHAR(160),"")," ",""),"년","")),SUBSTITUTE(SUBSTITUTE(SUBSTITUTE(TRIM(A987&amp;""),CHAR(160),"")," ",""),"년",""),""),"")</f>
      </c>
      <c r="I987" t="str">
        <f>SUBSTITUTE(SUBSTITUTE(SUBSTITUTE(SUBSTITUTE(SUBSTITUTE(TRIM(B987&amp;""),CHAR(160),"")," ",""),"초등학교","초"),"중학교","중"),"고등학교","고")</f>
      </c>
    </row>
    <row r="988" customFormat="false" ht="15" hidden="false" customHeight="false" outlineLevel="0" collapsed="false">
      <c r="A988" s="8"/>
      <c r="B988" s="8"/>
      <c r="C988" s="8"/>
      <c r="D988" s="8"/>
      <c r="E988" s="8"/>
      <c r="F988" t="str" s="15">
        <f aca="0">IF(B988="","",IF(H988="","확인필요(입력누락)",IF(SUMPRODUCT((실물목록!$P$2:$P$1001&lt;&gt;"")*ISNUMBER(SEARCH(실물목록!$P$2:$P$1001,I988))*(실물목록!$Q$2:$Q$1001&lt;&gt;"")*ISNUMBER(SEARCH(실물목록!$Q$2:$Q$1001,I988))*(실물목록!$R$2:$R$1001="")*(실물목록!$O$2:$O$1001&lt;&gt;"")*(실물목록!$O$2:$O$1001=H988))&gt;0,"실물 있음",IF(SUMPRODUCT((실물목록!$P$2:$P$1001&lt;&gt;"")*ISNUMBER(SEARCH(실물목록!$P$2:$P$1001,I988))*(실물목록!$R$2:$R$1001&lt;&gt;""))&gt;0,"확인필요(입력누락)",IF(SUMPRODUCT((실물목록!$P$2:$P$1001&lt;&gt;"")*ISNUMBER(SEARCH(실물목록!$P$2:$P$1001,I988))*(실물목록!$Q$2:$Q$1001&lt;&gt;"")*ISNUMBER(SEARCH(실물목록!$Q$2:$Q$1001,I988))*(실물목록!$R$2:$R$1001="")*(실물목록!$O$2:$O$1001&lt;&gt;""))&gt;0,"확인필요(연도다름)","실물 없음")))))</f>
      </c>
      <c r="G988" t="n" s="16">
        <f aca="0">IF(B988="","",SUMPRODUCT((실물목록!$P$2:$P$1001&lt;&gt;"")*ISNUMBER(SEARCH(실물목록!$P$2:$P$1001,I988))*(실물목록!$Q$2:$Q$1001&lt;&gt;"")*ISNUMBER(SEARCH(실물목록!$Q$2:$Q$1001,I988))*(실물목록!$R$2:$R$1001="")*(실물목록!$O$2:$O$1001&lt;&gt;"")*(실물목록!$O$2:$O$1001=H988)))</f>
      </c>
      <c r="H988" t="str">
        <f>IFERROR(IF(AND(LEN(SUBSTITUTE(SUBSTITUTE(SUBSTITUTE(TRIM(A988&amp;""),CHAR(160),"")," ",""),"년",""))=4,VALUE(SUBSTITUTE(SUBSTITUTE(SUBSTITUTE(TRIM(A988&amp;""),CHAR(160),"")," ",""),"년",""))&gt;=1900,VALUE(SUBSTITUTE(SUBSTITUTE(SUBSTITUTE(TRIM(A988&amp;""),CHAR(160),"")," ",""),"년",""))&lt;=2099,TEXT(VALUE(SUBSTITUTE(SUBSTITUTE(SUBSTITUTE(TRIM(A988&amp;""),CHAR(160),"")," ",""),"년","")),"0000")=SUBSTITUTE(SUBSTITUTE(SUBSTITUTE(TRIM(A988&amp;""),CHAR(160),"")," ",""),"년","")),SUBSTITUTE(SUBSTITUTE(SUBSTITUTE(TRIM(A988&amp;""),CHAR(160),"")," ",""),"년",""),""),"")</f>
      </c>
      <c r="I988" t="str">
        <f>SUBSTITUTE(SUBSTITUTE(SUBSTITUTE(SUBSTITUTE(SUBSTITUTE(TRIM(B988&amp;""),CHAR(160),"")," ",""),"초등학교","초"),"중학교","중"),"고등학교","고")</f>
      </c>
    </row>
    <row r="989" customFormat="false" ht="15" hidden="false" customHeight="false" outlineLevel="0" collapsed="false">
      <c r="A989" s="8"/>
      <c r="B989" s="8"/>
      <c r="C989" s="8"/>
      <c r="D989" s="8"/>
      <c r="E989" s="8"/>
      <c r="F989" t="str" s="15">
        <f aca="0">IF(B989="","",IF(H989="","확인필요(입력누락)",IF(SUMPRODUCT((실물목록!$P$2:$P$1001&lt;&gt;"")*ISNUMBER(SEARCH(실물목록!$P$2:$P$1001,I989))*(실물목록!$Q$2:$Q$1001&lt;&gt;"")*ISNUMBER(SEARCH(실물목록!$Q$2:$Q$1001,I989))*(실물목록!$R$2:$R$1001="")*(실물목록!$O$2:$O$1001&lt;&gt;"")*(실물목록!$O$2:$O$1001=H989))&gt;0,"실물 있음",IF(SUMPRODUCT((실물목록!$P$2:$P$1001&lt;&gt;"")*ISNUMBER(SEARCH(실물목록!$P$2:$P$1001,I989))*(실물목록!$R$2:$R$1001&lt;&gt;""))&gt;0,"확인필요(입력누락)",IF(SUMPRODUCT((실물목록!$P$2:$P$1001&lt;&gt;"")*ISNUMBER(SEARCH(실물목록!$P$2:$P$1001,I989))*(실물목록!$Q$2:$Q$1001&lt;&gt;"")*ISNUMBER(SEARCH(실물목록!$Q$2:$Q$1001,I989))*(실물목록!$R$2:$R$1001="")*(실물목록!$O$2:$O$1001&lt;&gt;""))&gt;0,"확인필요(연도다름)","실물 없음")))))</f>
      </c>
      <c r="G989" t="n" s="16">
        <f aca="0">IF(B989="","",SUMPRODUCT((실물목록!$P$2:$P$1001&lt;&gt;"")*ISNUMBER(SEARCH(실물목록!$P$2:$P$1001,I989))*(실물목록!$Q$2:$Q$1001&lt;&gt;"")*ISNUMBER(SEARCH(실물목록!$Q$2:$Q$1001,I989))*(실물목록!$R$2:$R$1001="")*(실물목록!$O$2:$O$1001&lt;&gt;"")*(실물목록!$O$2:$O$1001=H989)))</f>
      </c>
      <c r="H989" t="str">
        <f>IFERROR(IF(AND(LEN(SUBSTITUTE(SUBSTITUTE(SUBSTITUTE(TRIM(A989&amp;""),CHAR(160),"")," ",""),"년",""))=4,VALUE(SUBSTITUTE(SUBSTITUTE(SUBSTITUTE(TRIM(A989&amp;""),CHAR(160),"")," ",""),"년",""))&gt;=1900,VALUE(SUBSTITUTE(SUBSTITUTE(SUBSTITUTE(TRIM(A989&amp;""),CHAR(160),"")," ",""),"년",""))&lt;=2099,TEXT(VALUE(SUBSTITUTE(SUBSTITUTE(SUBSTITUTE(TRIM(A989&amp;""),CHAR(160),"")," ",""),"년","")),"0000")=SUBSTITUTE(SUBSTITUTE(SUBSTITUTE(TRIM(A989&amp;""),CHAR(160),"")," ",""),"년","")),SUBSTITUTE(SUBSTITUTE(SUBSTITUTE(TRIM(A989&amp;""),CHAR(160),"")," ",""),"년",""),""),"")</f>
      </c>
      <c r="I989" t="str">
        <f>SUBSTITUTE(SUBSTITUTE(SUBSTITUTE(SUBSTITUTE(SUBSTITUTE(TRIM(B989&amp;""),CHAR(160),"")," ",""),"초등학교","초"),"중학교","중"),"고등학교","고")</f>
      </c>
    </row>
    <row r="990" customFormat="false" ht="15" hidden="false" customHeight="false" outlineLevel="0" collapsed="false">
      <c r="A990" s="8"/>
      <c r="B990" s="8"/>
      <c r="C990" s="8"/>
      <c r="D990" s="8"/>
      <c r="E990" s="8"/>
      <c r="F990" t="str" s="15">
        <f aca="0">IF(B990="","",IF(H990="","확인필요(입력누락)",IF(SUMPRODUCT((실물목록!$P$2:$P$1001&lt;&gt;"")*ISNUMBER(SEARCH(실물목록!$P$2:$P$1001,I990))*(실물목록!$Q$2:$Q$1001&lt;&gt;"")*ISNUMBER(SEARCH(실물목록!$Q$2:$Q$1001,I990))*(실물목록!$R$2:$R$1001="")*(실물목록!$O$2:$O$1001&lt;&gt;"")*(실물목록!$O$2:$O$1001=H990))&gt;0,"실물 있음",IF(SUMPRODUCT((실물목록!$P$2:$P$1001&lt;&gt;"")*ISNUMBER(SEARCH(실물목록!$P$2:$P$1001,I990))*(실물목록!$R$2:$R$1001&lt;&gt;""))&gt;0,"확인필요(입력누락)",IF(SUMPRODUCT((실물목록!$P$2:$P$1001&lt;&gt;"")*ISNUMBER(SEARCH(실물목록!$P$2:$P$1001,I990))*(실물목록!$Q$2:$Q$1001&lt;&gt;"")*ISNUMBER(SEARCH(실물목록!$Q$2:$Q$1001,I990))*(실물목록!$R$2:$R$1001="")*(실물목록!$O$2:$O$1001&lt;&gt;""))&gt;0,"확인필요(연도다름)","실물 없음")))))</f>
      </c>
      <c r="G990" t="n" s="16">
        <f aca="0">IF(B990="","",SUMPRODUCT((실물목록!$P$2:$P$1001&lt;&gt;"")*ISNUMBER(SEARCH(실물목록!$P$2:$P$1001,I990))*(실물목록!$Q$2:$Q$1001&lt;&gt;"")*ISNUMBER(SEARCH(실물목록!$Q$2:$Q$1001,I990))*(실물목록!$R$2:$R$1001="")*(실물목록!$O$2:$O$1001&lt;&gt;"")*(실물목록!$O$2:$O$1001=H990)))</f>
      </c>
      <c r="H990" t="str">
        <f>IFERROR(IF(AND(LEN(SUBSTITUTE(SUBSTITUTE(SUBSTITUTE(TRIM(A990&amp;""),CHAR(160),"")," ",""),"년",""))=4,VALUE(SUBSTITUTE(SUBSTITUTE(SUBSTITUTE(TRIM(A990&amp;""),CHAR(160),"")," ",""),"년",""))&gt;=1900,VALUE(SUBSTITUTE(SUBSTITUTE(SUBSTITUTE(TRIM(A990&amp;""),CHAR(160),"")," ",""),"년",""))&lt;=2099,TEXT(VALUE(SUBSTITUTE(SUBSTITUTE(SUBSTITUTE(TRIM(A990&amp;""),CHAR(160),"")," ",""),"년","")),"0000")=SUBSTITUTE(SUBSTITUTE(SUBSTITUTE(TRIM(A990&amp;""),CHAR(160),"")," ",""),"년","")),SUBSTITUTE(SUBSTITUTE(SUBSTITUTE(TRIM(A990&amp;""),CHAR(160),"")," ",""),"년",""),""),"")</f>
      </c>
      <c r="I990" t="str">
        <f>SUBSTITUTE(SUBSTITUTE(SUBSTITUTE(SUBSTITUTE(SUBSTITUTE(TRIM(B990&amp;""),CHAR(160),"")," ",""),"초등학교","초"),"중학교","중"),"고등학교","고")</f>
      </c>
    </row>
    <row r="991" customFormat="false" ht="15" hidden="false" customHeight="false" outlineLevel="0" collapsed="false">
      <c r="A991" s="8"/>
      <c r="B991" s="8"/>
      <c r="C991" s="8"/>
      <c r="D991" s="8"/>
      <c r="E991" s="8"/>
      <c r="F991" t="str" s="15">
        <f aca="0">IF(B991="","",IF(H991="","확인필요(입력누락)",IF(SUMPRODUCT((실물목록!$P$2:$P$1001&lt;&gt;"")*ISNUMBER(SEARCH(실물목록!$P$2:$P$1001,I991))*(실물목록!$Q$2:$Q$1001&lt;&gt;"")*ISNUMBER(SEARCH(실물목록!$Q$2:$Q$1001,I991))*(실물목록!$R$2:$R$1001="")*(실물목록!$O$2:$O$1001&lt;&gt;"")*(실물목록!$O$2:$O$1001=H991))&gt;0,"실물 있음",IF(SUMPRODUCT((실물목록!$P$2:$P$1001&lt;&gt;"")*ISNUMBER(SEARCH(실물목록!$P$2:$P$1001,I991))*(실물목록!$R$2:$R$1001&lt;&gt;""))&gt;0,"확인필요(입력누락)",IF(SUMPRODUCT((실물목록!$P$2:$P$1001&lt;&gt;"")*ISNUMBER(SEARCH(실물목록!$P$2:$P$1001,I991))*(실물목록!$Q$2:$Q$1001&lt;&gt;"")*ISNUMBER(SEARCH(실물목록!$Q$2:$Q$1001,I991))*(실물목록!$R$2:$R$1001="")*(실물목록!$O$2:$O$1001&lt;&gt;""))&gt;0,"확인필요(연도다름)","실물 없음")))))</f>
      </c>
      <c r="G991" t="n" s="16">
        <f aca="0">IF(B991="","",SUMPRODUCT((실물목록!$P$2:$P$1001&lt;&gt;"")*ISNUMBER(SEARCH(실물목록!$P$2:$P$1001,I991))*(실물목록!$Q$2:$Q$1001&lt;&gt;"")*ISNUMBER(SEARCH(실물목록!$Q$2:$Q$1001,I991))*(실물목록!$R$2:$R$1001="")*(실물목록!$O$2:$O$1001&lt;&gt;"")*(실물목록!$O$2:$O$1001=H991)))</f>
      </c>
      <c r="H991" t="str">
        <f>IFERROR(IF(AND(LEN(SUBSTITUTE(SUBSTITUTE(SUBSTITUTE(TRIM(A991&amp;""),CHAR(160),"")," ",""),"년",""))=4,VALUE(SUBSTITUTE(SUBSTITUTE(SUBSTITUTE(TRIM(A991&amp;""),CHAR(160),"")," ",""),"년",""))&gt;=1900,VALUE(SUBSTITUTE(SUBSTITUTE(SUBSTITUTE(TRIM(A991&amp;""),CHAR(160),"")," ",""),"년",""))&lt;=2099,TEXT(VALUE(SUBSTITUTE(SUBSTITUTE(SUBSTITUTE(TRIM(A991&amp;""),CHAR(160),"")," ",""),"년","")),"0000")=SUBSTITUTE(SUBSTITUTE(SUBSTITUTE(TRIM(A991&amp;""),CHAR(160),"")," ",""),"년","")),SUBSTITUTE(SUBSTITUTE(SUBSTITUTE(TRIM(A991&amp;""),CHAR(160),"")," ",""),"년",""),""),"")</f>
      </c>
      <c r="I991" t="str">
        <f>SUBSTITUTE(SUBSTITUTE(SUBSTITUTE(SUBSTITUTE(SUBSTITUTE(TRIM(B991&amp;""),CHAR(160),"")," ",""),"초등학교","초"),"중학교","중"),"고등학교","고")</f>
      </c>
    </row>
    <row r="992" customFormat="false" ht="15" hidden="false" customHeight="false" outlineLevel="0" collapsed="false">
      <c r="A992" s="8"/>
      <c r="B992" s="8"/>
      <c r="C992" s="8"/>
      <c r="D992" s="8"/>
      <c r="E992" s="8"/>
      <c r="F992" t="str" s="15">
        <f aca="0">IF(B992="","",IF(H992="","확인필요(입력누락)",IF(SUMPRODUCT((실물목록!$P$2:$P$1001&lt;&gt;"")*ISNUMBER(SEARCH(실물목록!$P$2:$P$1001,I992))*(실물목록!$Q$2:$Q$1001&lt;&gt;"")*ISNUMBER(SEARCH(실물목록!$Q$2:$Q$1001,I992))*(실물목록!$R$2:$R$1001="")*(실물목록!$O$2:$O$1001&lt;&gt;"")*(실물목록!$O$2:$O$1001=H992))&gt;0,"실물 있음",IF(SUMPRODUCT((실물목록!$P$2:$P$1001&lt;&gt;"")*ISNUMBER(SEARCH(실물목록!$P$2:$P$1001,I992))*(실물목록!$R$2:$R$1001&lt;&gt;""))&gt;0,"확인필요(입력누락)",IF(SUMPRODUCT((실물목록!$P$2:$P$1001&lt;&gt;"")*ISNUMBER(SEARCH(실물목록!$P$2:$P$1001,I992))*(실물목록!$Q$2:$Q$1001&lt;&gt;"")*ISNUMBER(SEARCH(실물목록!$Q$2:$Q$1001,I992))*(실물목록!$R$2:$R$1001="")*(실물목록!$O$2:$O$1001&lt;&gt;""))&gt;0,"확인필요(연도다름)","실물 없음")))))</f>
      </c>
      <c r="G992" t="n" s="16">
        <f aca="0">IF(B992="","",SUMPRODUCT((실물목록!$P$2:$P$1001&lt;&gt;"")*ISNUMBER(SEARCH(실물목록!$P$2:$P$1001,I992))*(실물목록!$Q$2:$Q$1001&lt;&gt;"")*ISNUMBER(SEARCH(실물목록!$Q$2:$Q$1001,I992))*(실물목록!$R$2:$R$1001="")*(실물목록!$O$2:$O$1001&lt;&gt;"")*(실물목록!$O$2:$O$1001=H992)))</f>
      </c>
      <c r="H992" t="str">
        <f>IFERROR(IF(AND(LEN(SUBSTITUTE(SUBSTITUTE(SUBSTITUTE(TRIM(A992&amp;""),CHAR(160),"")," ",""),"년",""))=4,VALUE(SUBSTITUTE(SUBSTITUTE(SUBSTITUTE(TRIM(A992&amp;""),CHAR(160),"")," ",""),"년",""))&gt;=1900,VALUE(SUBSTITUTE(SUBSTITUTE(SUBSTITUTE(TRIM(A992&amp;""),CHAR(160),"")," ",""),"년",""))&lt;=2099,TEXT(VALUE(SUBSTITUTE(SUBSTITUTE(SUBSTITUTE(TRIM(A992&amp;""),CHAR(160),"")," ",""),"년","")),"0000")=SUBSTITUTE(SUBSTITUTE(SUBSTITUTE(TRIM(A992&amp;""),CHAR(160),"")," ",""),"년","")),SUBSTITUTE(SUBSTITUTE(SUBSTITUTE(TRIM(A992&amp;""),CHAR(160),"")," ",""),"년",""),""),"")</f>
      </c>
      <c r="I992" t="str">
        <f>SUBSTITUTE(SUBSTITUTE(SUBSTITUTE(SUBSTITUTE(SUBSTITUTE(TRIM(B992&amp;""),CHAR(160),"")," ",""),"초등학교","초"),"중학교","중"),"고등학교","고")</f>
      </c>
    </row>
    <row r="993" customFormat="false" ht="15" hidden="false" customHeight="false" outlineLevel="0" collapsed="false">
      <c r="A993" s="8"/>
      <c r="B993" s="8"/>
      <c r="C993" s="8"/>
      <c r="D993" s="8"/>
      <c r="E993" s="8"/>
      <c r="F993" t="str" s="15">
        <f aca="0">IF(B993="","",IF(H993="","확인필요(입력누락)",IF(SUMPRODUCT((실물목록!$P$2:$P$1001&lt;&gt;"")*ISNUMBER(SEARCH(실물목록!$P$2:$P$1001,I993))*(실물목록!$Q$2:$Q$1001&lt;&gt;"")*ISNUMBER(SEARCH(실물목록!$Q$2:$Q$1001,I993))*(실물목록!$R$2:$R$1001="")*(실물목록!$O$2:$O$1001&lt;&gt;"")*(실물목록!$O$2:$O$1001=H993))&gt;0,"실물 있음",IF(SUMPRODUCT((실물목록!$P$2:$P$1001&lt;&gt;"")*ISNUMBER(SEARCH(실물목록!$P$2:$P$1001,I993))*(실물목록!$R$2:$R$1001&lt;&gt;""))&gt;0,"확인필요(입력누락)",IF(SUMPRODUCT((실물목록!$P$2:$P$1001&lt;&gt;"")*ISNUMBER(SEARCH(실물목록!$P$2:$P$1001,I993))*(실물목록!$Q$2:$Q$1001&lt;&gt;"")*ISNUMBER(SEARCH(실물목록!$Q$2:$Q$1001,I993))*(실물목록!$R$2:$R$1001="")*(실물목록!$O$2:$O$1001&lt;&gt;""))&gt;0,"확인필요(연도다름)","실물 없음")))))</f>
      </c>
      <c r="G993" t="n" s="16">
        <f aca="0">IF(B993="","",SUMPRODUCT((실물목록!$P$2:$P$1001&lt;&gt;"")*ISNUMBER(SEARCH(실물목록!$P$2:$P$1001,I993))*(실물목록!$Q$2:$Q$1001&lt;&gt;"")*ISNUMBER(SEARCH(실물목록!$Q$2:$Q$1001,I993))*(실물목록!$R$2:$R$1001="")*(실물목록!$O$2:$O$1001&lt;&gt;"")*(실물목록!$O$2:$O$1001=H993)))</f>
      </c>
      <c r="H993" t="str">
        <f>IFERROR(IF(AND(LEN(SUBSTITUTE(SUBSTITUTE(SUBSTITUTE(TRIM(A993&amp;""),CHAR(160),"")," ",""),"년",""))=4,VALUE(SUBSTITUTE(SUBSTITUTE(SUBSTITUTE(TRIM(A993&amp;""),CHAR(160),"")," ",""),"년",""))&gt;=1900,VALUE(SUBSTITUTE(SUBSTITUTE(SUBSTITUTE(TRIM(A993&amp;""),CHAR(160),"")," ",""),"년",""))&lt;=2099,TEXT(VALUE(SUBSTITUTE(SUBSTITUTE(SUBSTITUTE(TRIM(A993&amp;""),CHAR(160),"")," ",""),"년","")),"0000")=SUBSTITUTE(SUBSTITUTE(SUBSTITUTE(TRIM(A993&amp;""),CHAR(160),"")," ",""),"년","")),SUBSTITUTE(SUBSTITUTE(SUBSTITUTE(TRIM(A993&amp;""),CHAR(160),"")," ",""),"년",""),""),"")</f>
      </c>
      <c r="I993" t="str">
        <f>SUBSTITUTE(SUBSTITUTE(SUBSTITUTE(SUBSTITUTE(SUBSTITUTE(TRIM(B993&amp;""),CHAR(160),"")," ",""),"초등학교","초"),"중학교","중"),"고등학교","고")</f>
      </c>
    </row>
    <row r="994" customFormat="false" ht="15" hidden="false" customHeight="false" outlineLevel="0" collapsed="false">
      <c r="A994" s="8"/>
      <c r="B994" s="8"/>
      <c r="C994" s="8"/>
      <c r="D994" s="8"/>
      <c r="E994" s="8"/>
      <c r="F994" t="str" s="15">
        <f aca="0">IF(B994="","",IF(H994="","확인필요(입력누락)",IF(SUMPRODUCT((실물목록!$P$2:$P$1001&lt;&gt;"")*ISNUMBER(SEARCH(실물목록!$P$2:$P$1001,I994))*(실물목록!$Q$2:$Q$1001&lt;&gt;"")*ISNUMBER(SEARCH(실물목록!$Q$2:$Q$1001,I994))*(실물목록!$R$2:$R$1001="")*(실물목록!$O$2:$O$1001&lt;&gt;"")*(실물목록!$O$2:$O$1001=H994))&gt;0,"실물 있음",IF(SUMPRODUCT((실물목록!$P$2:$P$1001&lt;&gt;"")*ISNUMBER(SEARCH(실물목록!$P$2:$P$1001,I994))*(실물목록!$R$2:$R$1001&lt;&gt;""))&gt;0,"확인필요(입력누락)",IF(SUMPRODUCT((실물목록!$P$2:$P$1001&lt;&gt;"")*ISNUMBER(SEARCH(실물목록!$P$2:$P$1001,I994))*(실물목록!$Q$2:$Q$1001&lt;&gt;"")*ISNUMBER(SEARCH(실물목록!$Q$2:$Q$1001,I994))*(실물목록!$R$2:$R$1001="")*(실물목록!$O$2:$O$1001&lt;&gt;""))&gt;0,"확인필요(연도다름)","실물 없음")))))</f>
      </c>
      <c r="G994" t="n" s="16">
        <f aca="0">IF(B994="","",SUMPRODUCT((실물목록!$P$2:$P$1001&lt;&gt;"")*ISNUMBER(SEARCH(실물목록!$P$2:$P$1001,I994))*(실물목록!$Q$2:$Q$1001&lt;&gt;"")*ISNUMBER(SEARCH(실물목록!$Q$2:$Q$1001,I994))*(실물목록!$R$2:$R$1001="")*(실물목록!$O$2:$O$1001&lt;&gt;"")*(실물목록!$O$2:$O$1001=H994)))</f>
      </c>
      <c r="H994" t="str">
        <f>IFERROR(IF(AND(LEN(SUBSTITUTE(SUBSTITUTE(SUBSTITUTE(TRIM(A994&amp;""),CHAR(160),"")," ",""),"년",""))=4,VALUE(SUBSTITUTE(SUBSTITUTE(SUBSTITUTE(TRIM(A994&amp;""),CHAR(160),"")," ",""),"년",""))&gt;=1900,VALUE(SUBSTITUTE(SUBSTITUTE(SUBSTITUTE(TRIM(A994&amp;""),CHAR(160),"")," ",""),"년",""))&lt;=2099,TEXT(VALUE(SUBSTITUTE(SUBSTITUTE(SUBSTITUTE(TRIM(A994&amp;""),CHAR(160),"")," ",""),"년","")),"0000")=SUBSTITUTE(SUBSTITUTE(SUBSTITUTE(TRIM(A994&amp;""),CHAR(160),"")," ",""),"년","")),SUBSTITUTE(SUBSTITUTE(SUBSTITUTE(TRIM(A994&amp;""),CHAR(160),"")," ",""),"년",""),""),"")</f>
      </c>
      <c r="I994" t="str">
        <f>SUBSTITUTE(SUBSTITUTE(SUBSTITUTE(SUBSTITUTE(SUBSTITUTE(TRIM(B994&amp;""),CHAR(160),"")," ",""),"초등학교","초"),"중학교","중"),"고등학교","고")</f>
      </c>
    </row>
    <row r="995" customFormat="false" ht="15" hidden="false" customHeight="false" outlineLevel="0" collapsed="false">
      <c r="A995" s="8"/>
      <c r="B995" s="8"/>
      <c r="C995" s="8"/>
      <c r="D995" s="8"/>
      <c r="E995" s="8"/>
      <c r="F995" t="str" s="15">
        <f aca="0">IF(B995="","",IF(H995="","확인필요(입력누락)",IF(SUMPRODUCT((실물목록!$P$2:$P$1001&lt;&gt;"")*ISNUMBER(SEARCH(실물목록!$P$2:$P$1001,I995))*(실물목록!$Q$2:$Q$1001&lt;&gt;"")*ISNUMBER(SEARCH(실물목록!$Q$2:$Q$1001,I995))*(실물목록!$R$2:$R$1001="")*(실물목록!$O$2:$O$1001&lt;&gt;"")*(실물목록!$O$2:$O$1001=H995))&gt;0,"실물 있음",IF(SUMPRODUCT((실물목록!$P$2:$P$1001&lt;&gt;"")*ISNUMBER(SEARCH(실물목록!$P$2:$P$1001,I995))*(실물목록!$R$2:$R$1001&lt;&gt;""))&gt;0,"확인필요(입력누락)",IF(SUMPRODUCT((실물목록!$P$2:$P$1001&lt;&gt;"")*ISNUMBER(SEARCH(실물목록!$P$2:$P$1001,I995))*(실물목록!$Q$2:$Q$1001&lt;&gt;"")*ISNUMBER(SEARCH(실물목록!$Q$2:$Q$1001,I995))*(실물목록!$R$2:$R$1001="")*(실물목록!$O$2:$O$1001&lt;&gt;""))&gt;0,"확인필요(연도다름)","실물 없음")))))</f>
      </c>
      <c r="G995" t="n" s="16">
        <f aca="0">IF(B995="","",SUMPRODUCT((실물목록!$P$2:$P$1001&lt;&gt;"")*ISNUMBER(SEARCH(실물목록!$P$2:$P$1001,I995))*(실물목록!$Q$2:$Q$1001&lt;&gt;"")*ISNUMBER(SEARCH(실물목록!$Q$2:$Q$1001,I995))*(실물목록!$R$2:$R$1001="")*(실물목록!$O$2:$O$1001&lt;&gt;"")*(실물목록!$O$2:$O$1001=H995)))</f>
      </c>
      <c r="H995" t="str">
        <f>IFERROR(IF(AND(LEN(SUBSTITUTE(SUBSTITUTE(SUBSTITUTE(TRIM(A995&amp;""),CHAR(160),"")," ",""),"년",""))=4,VALUE(SUBSTITUTE(SUBSTITUTE(SUBSTITUTE(TRIM(A995&amp;""),CHAR(160),"")," ",""),"년",""))&gt;=1900,VALUE(SUBSTITUTE(SUBSTITUTE(SUBSTITUTE(TRIM(A995&amp;""),CHAR(160),"")," ",""),"년",""))&lt;=2099,TEXT(VALUE(SUBSTITUTE(SUBSTITUTE(SUBSTITUTE(TRIM(A995&amp;""),CHAR(160),"")," ",""),"년","")),"0000")=SUBSTITUTE(SUBSTITUTE(SUBSTITUTE(TRIM(A995&amp;""),CHAR(160),"")," ",""),"년","")),SUBSTITUTE(SUBSTITUTE(SUBSTITUTE(TRIM(A995&amp;""),CHAR(160),"")," ",""),"년",""),""),"")</f>
      </c>
      <c r="I995" t="str">
        <f>SUBSTITUTE(SUBSTITUTE(SUBSTITUTE(SUBSTITUTE(SUBSTITUTE(TRIM(B995&amp;""),CHAR(160),"")," ",""),"초등학교","초"),"중학교","중"),"고등학교","고")</f>
      </c>
    </row>
    <row r="996" customFormat="false" ht="15" hidden="false" customHeight="false" outlineLevel="0" collapsed="false">
      <c r="A996" s="8"/>
      <c r="B996" s="8"/>
      <c r="C996" s="8"/>
      <c r="D996" s="8"/>
      <c r="E996" s="8"/>
      <c r="F996" t="str" s="15">
        <f aca="0">IF(B996="","",IF(H996="","확인필요(입력누락)",IF(SUMPRODUCT((실물목록!$P$2:$P$1001&lt;&gt;"")*ISNUMBER(SEARCH(실물목록!$P$2:$P$1001,I996))*(실물목록!$Q$2:$Q$1001&lt;&gt;"")*ISNUMBER(SEARCH(실물목록!$Q$2:$Q$1001,I996))*(실물목록!$R$2:$R$1001="")*(실물목록!$O$2:$O$1001&lt;&gt;"")*(실물목록!$O$2:$O$1001=H996))&gt;0,"실물 있음",IF(SUMPRODUCT((실물목록!$P$2:$P$1001&lt;&gt;"")*ISNUMBER(SEARCH(실물목록!$P$2:$P$1001,I996))*(실물목록!$R$2:$R$1001&lt;&gt;""))&gt;0,"확인필요(입력누락)",IF(SUMPRODUCT((실물목록!$P$2:$P$1001&lt;&gt;"")*ISNUMBER(SEARCH(실물목록!$P$2:$P$1001,I996))*(실물목록!$Q$2:$Q$1001&lt;&gt;"")*ISNUMBER(SEARCH(실물목록!$Q$2:$Q$1001,I996))*(실물목록!$R$2:$R$1001="")*(실물목록!$O$2:$O$1001&lt;&gt;""))&gt;0,"확인필요(연도다름)","실물 없음")))))</f>
      </c>
      <c r="G996" t="n" s="16">
        <f aca="0">IF(B996="","",SUMPRODUCT((실물목록!$P$2:$P$1001&lt;&gt;"")*ISNUMBER(SEARCH(실물목록!$P$2:$P$1001,I996))*(실물목록!$Q$2:$Q$1001&lt;&gt;"")*ISNUMBER(SEARCH(실물목록!$Q$2:$Q$1001,I996))*(실물목록!$R$2:$R$1001="")*(실물목록!$O$2:$O$1001&lt;&gt;"")*(실물목록!$O$2:$O$1001=H996)))</f>
      </c>
      <c r="H996" t="str">
        <f>IFERROR(IF(AND(LEN(SUBSTITUTE(SUBSTITUTE(SUBSTITUTE(TRIM(A996&amp;""),CHAR(160),"")," ",""),"년",""))=4,VALUE(SUBSTITUTE(SUBSTITUTE(SUBSTITUTE(TRIM(A996&amp;""),CHAR(160),"")," ",""),"년",""))&gt;=1900,VALUE(SUBSTITUTE(SUBSTITUTE(SUBSTITUTE(TRIM(A996&amp;""),CHAR(160),"")," ",""),"년",""))&lt;=2099,TEXT(VALUE(SUBSTITUTE(SUBSTITUTE(SUBSTITUTE(TRIM(A996&amp;""),CHAR(160),"")," ",""),"년","")),"0000")=SUBSTITUTE(SUBSTITUTE(SUBSTITUTE(TRIM(A996&amp;""),CHAR(160),"")," ",""),"년","")),SUBSTITUTE(SUBSTITUTE(SUBSTITUTE(TRIM(A996&amp;""),CHAR(160),"")," ",""),"년",""),""),"")</f>
      </c>
      <c r="I996" t="str">
        <f>SUBSTITUTE(SUBSTITUTE(SUBSTITUTE(SUBSTITUTE(SUBSTITUTE(TRIM(B996&amp;""),CHAR(160),"")," ",""),"초등학교","초"),"중학교","중"),"고등학교","고")</f>
      </c>
    </row>
    <row r="997" customFormat="false" ht="15" hidden="false" customHeight="false" outlineLevel="0" collapsed="false">
      <c r="A997" s="8"/>
      <c r="B997" s="8"/>
      <c r="C997" s="8"/>
      <c r="D997" s="8"/>
      <c r="E997" s="8"/>
      <c r="F997" t="str" s="15">
        <f aca="0">IF(B997="","",IF(H997="","확인필요(입력누락)",IF(SUMPRODUCT((실물목록!$P$2:$P$1001&lt;&gt;"")*ISNUMBER(SEARCH(실물목록!$P$2:$P$1001,I997))*(실물목록!$Q$2:$Q$1001&lt;&gt;"")*ISNUMBER(SEARCH(실물목록!$Q$2:$Q$1001,I997))*(실물목록!$R$2:$R$1001="")*(실물목록!$O$2:$O$1001&lt;&gt;"")*(실물목록!$O$2:$O$1001=H997))&gt;0,"실물 있음",IF(SUMPRODUCT((실물목록!$P$2:$P$1001&lt;&gt;"")*ISNUMBER(SEARCH(실물목록!$P$2:$P$1001,I997))*(실물목록!$R$2:$R$1001&lt;&gt;""))&gt;0,"확인필요(입력누락)",IF(SUMPRODUCT((실물목록!$P$2:$P$1001&lt;&gt;"")*ISNUMBER(SEARCH(실물목록!$P$2:$P$1001,I997))*(실물목록!$Q$2:$Q$1001&lt;&gt;"")*ISNUMBER(SEARCH(실물목록!$Q$2:$Q$1001,I997))*(실물목록!$R$2:$R$1001="")*(실물목록!$O$2:$O$1001&lt;&gt;""))&gt;0,"확인필요(연도다름)","실물 없음")))))</f>
      </c>
      <c r="G997" t="n" s="16">
        <f aca="0">IF(B997="","",SUMPRODUCT((실물목록!$P$2:$P$1001&lt;&gt;"")*ISNUMBER(SEARCH(실물목록!$P$2:$P$1001,I997))*(실물목록!$Q$2:$Q$1001&lt;&gt;"")*ISNUMBER(SEARCH(실물목록!$Q$2:$Q$1001,I997))*(실물목록!$R$2:$R$1001="")*(실물목록!$O$2:$O$1001&lt;&gt;"")*(실물목록!$O$2:$O$1001=H997)))</f>
      </c>
      <c r="H997" t="str">
        <f>IFERROR(IF(AND(LEN(SUBSTITUTE(SUBSTITUTE(SUBSTITUTE(TRIM(A997&amp;""),CHAR(160),"")," ",""),"년",""))=4,VALUE(SUBSTITUTE(SUBSTITUTE(SUBSTITUTE(TRIM(A997&amp;""),CHAR(160),"")," ",""),"년",""))&gt;=1900,VALUE(SUBSTITUTE(SUBSTITUTE(SUBSTITUTE(TRIM(A997&amp;""),CHAR(160),"")," ",""),"년",""))&lt;=2099,TEXT(VALUE(SUBSTITUTE(SUBSTITUTE(SUBSTITUTE(TRIM(A997&amp;""),CHAR(160),"")," ",""),"년","")),"0000")=SUBSTITUTE(SUBSTITUTE(SUBSTITUTE(TRIM(A997&amp;""),CHAR(160),"")," ",""),"년","")),SUBSTITUTE(SUBSTITUTE(SUBSTITUTE(TRIM(A997&amp;""),CHAR(160),"")," ",""),"년",""),""),"")</f>
      </c>
      <c r="I997" t="str">
        <f>SUBSTITUTE(SUBSTITUTE(SUBSTITUTE(SUBSTITUTE(SUBSTITUTE(TRIM(B997&amp;""),CHAR(160),"")," ",""),"초등학교","초"),"중학교","중"),"고등학교","고")</f>
      </c>
    </row>
    <row r="998" customFormat="false" ht="15" hidden="false" customHeight="false" outlineLevel="0" collapsed="false">
      <c r="A998" s="8"/>
      <c r="B998" s="8"/>
      <c r="C998" s="8"/>
      <c r="D998" s="8"/>
      <c r="E998" s="8"/>
      <c r="F998" t="str" s="15">
        <f aca="0">IF(B998="","",IF(H998="","확인필요(입력누락)",IF(SUMPRODUCT((실물목록!$P$2:$P$1001&lt;&gt;"")*ISNUMBER(SEARCH(실물목록!$P$2:$P$1001,I998))*(실물목록!$Q$2:$Q$1001&lt;&gt;"")*ISNUMBER(SEARCH(실물목록!$Q$2:$Q$1001,I998))*(실물목록!$R$2:$R$1001="")*(실물목록!$O$2:$O$1001&lt;&gt;"")*(실물목록!$O$2:$O$1001=H998))&gt;0,"실물 있음",IF(SUMPRODUCT((실물목록!$P$2:$P$1001&lt;&gt;"")*ISNUMBER(SEARCH(실물목록!$P$2:$P$1001,I998))*(실물목록!$R$2:$R$1001&lt;&gt;""))&gt;0,"확인필요(입력누락)",IF(SUMPRODUCT((실물목록!$P$2:$P$1001&lt;&gt;"")*ISNUMBER(SEARCH(실물목록!$P$2:$P$1001,I998))*(실물목록!$Q$2:$Q$1001&lt;&gt;"")*ISNUMBER(SEARCH(실물목록!$Q$2:$Q$1001,I998))*(실물목록!$R$2:$R$1001="")*(실물목록!$O$2:$O$1001&lt;&gt;""))&gt;0,"확인필요(연도다름)","실물 없음")))))</f>
      </c>
      <c r="G998" t="n" s="16">
        <f aca="0">IF(B998="","",SUMPRODUCT((실물목록!$P$2:$P$1001&lt;&gt;"")*ISNUMBER(SEARCH(실물목록!$P$2:$P$1001,I998))*(실물목록!$Q$2:$Q$1001&lt;&gt;"")*ISNUMBER(SEARCH(실물목록!$Q$2:$Q$1001,I998))*(실물목록!$R$2:$R$1001="")*(실물목록!$O$2:$O$1001&lt;&gt;"")*(실물목록!$O$2:$O$1001=H998)))</f>
      </c>
      <c r="H998" t="str">
        <f>IFERROR(IF(AND(LEN(SUBSTITUTE(SUBSTITUTE(SUBSTITUTE(TRIM(A998&amp;""),CHAR(160),"")," ",""),"년",""))=4,VALUE(SUBSTITUTE(SUBSTITUTE(SUBSTITUTE(TRIM(A998&amp;""),CHAR(160),"")," ",""),"년",""))&gt;=1900,VALUE(SUBSTITUTE(SUBSTITUTE(SUBSTITUTE(TRIM(A998&amp;""),CHAR(160),"")," ",""),"년",""))&lt;=2099,TEXT(VALUE(SUBSTITUTE(SUBSTITUTE(SUBSTITUTE(TRIM(A998&amp;""),CHAR(160),"")," ",""),"년","")),"0000")=SUBSTITUTE(SUBSTITUTE(SUBSTITUTE(TRIM(A998&amp;""),CHAR(160),"")," ",""),"년","")),SUBSTITUTE(SUBSTITUTE(SUBSTITUTE(TRIM(A998&amp;""),CHAR(160),"")," ",""),"년",""),""),"")</f>
      </c>
      <c r="I998" t="str">
        <f>SUBSTITUTE(SUBSTITUTE(SUBSTITUTE(SUBSTITUTE(SUBSTITUTE(TRIM(B998&amp;""),CHAR(160),"")," ",""),"초등학교","초"),"중학교","중"),"고등학교","고")</f>
      </c>
    </row>
    <row r="999" customFormat="false" ht="15" hidden="false" customHeight="false" outlineLevel="0" collapsed="false">
      <c r="A999" s="8"/>
      <c r="B999" s="8"/>
      <c r="C999" s="8"/>
      <c r="D999" s="8"/>
      <c r="E999" s="8"/>
      <c r="F999" t="str" s="15">
        <f aca="0">IF(B999="","",IF(H999="","확인필요(입력누락)",IF(SUMPRODUCT((실물목록!$P$2:$P$1001&lt;&gt;"")*ISNUMBER(SEARCH(실물목록!$P$2:$P$1001,I999))*(실물목록!$Q$2:$Q$1001&lt;&gt;"")*ISNUMBER(SEARCH(실물목록!$Q$2:$Q$1001,I999))*(실물목록!$R$2:$R$1001="")*(실물목록!$O$2:$O$1001&lt;&gt;"")*(실물목록!$O$2:$O$1001=H999))&gt;0,"실물 있음",IF(SUMPRODUCT((실물목록!$P$2:$P$1001&lt;&gt;"")*ISNUMBER(SEARCH(실물목록!$P$2:$P$1001,I999))*(실물목록!$R$2:$R$1001&lt;&gt;""))&gt;0,"확인필요(입력누락)",IF(SUMPRODUCT((실물목록!$P$2:$P$1001&lt;&gt;"")*ISNUMBER(SEARCH(실물목록!$P$2:$P$1001,I999))*(실물목록!$Q$2:$Q$1001&lt;&gt;"")*ISNUMBER(SEARCH(실물목록!$Q$2:$Q$1001,I999))*(실물목록!$R$2:$R$1001="")*(실물목록!$O$2:$O$1001&lt;&gt;""))&gt;0,"확인필요(연도다름)","실물 없음")))))</f>
      </c>
      <c r="G999" t="n" s="16">
        <f aca="0">IF(B999="","",SUMPRODUCT((실물목록!$P$2:$P$1001&lt;&gt;"")*ISNUMBER(SEARCH(실물목록!$P$2:$P$1001,I999))*(실물목록!$Q$2:$Q$1001&lt;&gt;"")*ISNUMBER(SEARCH(실물목록!$Q$2:$Q$1001,I999))*(실물목록!$R$2:$R$1001="")*(실물목록!$O$2:$O$1001&lt;&gt;"")*(실물목록!$O$2:$O$1001=H999)))</f>
      </c>
      <c r="H999" t="str">
        <f>IFERROR(IF(AND(LEN(SUBSTITUTE(SUBSTITUTE(SUBSTITUTE(TRIM(A999&amp;""),CHAR(160),"")," ",""),"년",""))=4,VALUE(SUBSTITUTE(SUBSTITUTE(SUBSTITUTE(TRIM(A999&amp;""),CHAR(160),"")," ",""),"년",""))&gt;=1900,VALUE(SUBSTITUTE(SUBSTITUTE(SUBSTITUTE(TRIM(A999&amp;""),CHAR(160),"")," ",""),"년",""))&lt;=2099,TEXT(VALUE(SUBSTITUTE(SUBSTITUTE(SUBSTITUTE(TRIM(A999&amp;""),CHAR(160),"")," ",""),"년","")),"0000")=SUBSTITUTE(SUBSTITUTE(SUBSTITUTE(TRIM(A999&amp;""),CHAR(160),"")," ",""),"년","")),SUBSTITUTE(SUBSTITUTE(SUBSTITUTE(TRIM(A999&amp;""),CHAR(160),"")," ",""),"년",""),""),"")</f>
      </c>
      <c r="I999" t="str">
        <f>SUBSTITUTE(SUBSTITUTE(SUBSTITUTE(SUBSTITUTE(SUBSTITUTE(TRIM(B999&amp;""),CHAR(160),"")," ",""),"초등학교","초"),"중학교","중"),"고등학교","고")</f>
      </c>
    </row>
    <row r="1000" customFormat="false" ht="15" hidden="false" customHeight="false" outlineLevel="0" collapsed="false">
      <c r="A1000" s="8"/>
      <c r="B1000" s="8"/>
      <c r="C1000" s="8"/>
      <c r="D1000" s="8"/>
      <c r="E1000" s="8"/>
      <c r="F1000" t="str" s="15">
        <f aca="0">IF(B1000="","",IF(H1000="","확인필요(입력누락)",IF(SUMPRODUCT((실물목록!$P$2:$P$1001&lt;&gt;"")*ISNUMBER(SEARCH(실물목록!$P$2:$P$1001,I1000))*(실물목록!$Q$2:$Q$1001&lt;&gt;"")*ISNUMBER(SEARCH(실물목록!$Q$2:$Q$1001,I1000))*(실물목록!$R$2:$R$1001="")*(실물목록!$O$2:$O$1001&lt;&gt;"")*(실물목록!$O$2:$O$1001=H1000))&gt;0,"실물 있음",IF(SUMPRODUCT((실물목록!$P$2:$P$1001&lt;&gt;"")*ISNUMBER(SEARCH(실물목록!$P$2:$P$1001,I1000))*(실물목록!$R$2:$R$1001&lt;&gt;""))&gt;0,"확인필요(입력누락)",IF(SUMPRODUCT((실물목록!$P$2:$P$1001&lt;&gt;"")*ISNUMBER(SEARCH(실물목록!$P$2:$P$1001,I1000))*(실물목록!$Q$2:$Q$1001&lt;&gt;"")*ISNUMBER(SEARCH(실물목록!$Q$2:$Q$1001,I1000))*(실물목록!$R$2:$R$1001="")*(실물목록!$O$2:$O$1001&lt;&gt;""))&gt;0,"확인필요(연도다름)","실물 없음")))))</f>
      </c>
      <c r="G1000" t="n" s="16">
        <f aca="0">IF(B1000="","",SUMPRODUCT((실물목록!$P$2:$P$1001&lt;&gt;"")*ISNUMBER(SEARCH(실물목록!$P$2:$P$1001,I1000))*(실물목록!$Q$2:$Q$1001&lt;&gt;"")*ISNUMBER(SEARCH(실물목록!$Q$2:$Q$1001,I1000))*(실물목록!$R$2:$R$1001="")*(실물목록!$O$2:$O$1001&lt;&gt;"")*(실물목록!$O$2:$O$1001=H1000)))</f>
      </c>
      <c r="H1000" t="str">
        <f>IFERROR(IF(AND(LEN(SUBSTITUTE(SUBSTITUTE(SUBSTITUTE(TRIM(A1000&amp;""),CHAR(160),"")," ",""),"년",""))=4,VALUE(SUBSTITUTE(SUBSTITUTE(SUBSTITUTE(TRIM(A1000&amp;""),CHAR(160),"")," ",""),"년",""))&gt;=1900,VALUE(SUBSTITUTE(SUBSTITUTE(SUBSTITUTE(TRIM(A1000&amp;""),CHAR(160),"")," ",""),"년",""))&lt;=2099,TEXT(VALUE(SUBSTITUTE(SUBSTITUTE(SUBSTITUTE(TRIM(A1000&amp;""),CHAR(160),"")," ",""),"년","")),"0000")=SUBSTITUTE(SUBSTITUTE(SUBSTITUTE(TRIM(A1000&amp;""),CHAR(160),"")," ",""),"년","")),SUBSTITUTE(SUBSTITUTE(SUBSTITUTE(TRIM(A1000&amp;""),CHAR(160),"")," ",""),"년",""),""),"")</f>
      </c>
      <c r="I1000" t="str">
        <f>SUBSTITUTE(SUBSTITUTE(SUBSTITUTE(SUBSTITUTE(SUBSTITUTE(TRIM(B1000&amp;""),CHAR(160),"")," ",""),"초등학교","초"),"중학교","중"),"고등학교","고")</f>
      </c>
    </row>
    <row r="1001" customFormat="false" ht="15" hidden="false" customHeight="false" outlineLevel="0" collapsed="false">
      <c r="A1001" s="8"/>
      <c r="B1001" s="8"/>
      <c r="C1001" s="8"/>
      <c r="D1001" s="8"/>
      <c r="E1001" s="8"/>
      <c r="F1001" t="str" s="15">
        <f aca="0">IF(B1001="","",IF(H1001="","확인필요(입력누락)",IF(SUMPRODUCT((실물목록!$P$2:$P$1001&lt;&gt;"")*ISNUMBER(SEARCH(실물목록!$P$2:$P$1001,I1001))*(실물목록!$Q$2:$Q$1001&lt;&gt;"")*ISNUMBER(SEARCH(실물목록!$Q$2:$Q$1001,I1001))*(실물목록!$R$2:$R$1001="")*(실물목록!$O$2:$O$1001&lt;&gt;"")*(실물목록!$O$2:$O$1001=H1001))&gt;0,"실물 있음",IF(SUMPRODUCT((실물목록!$P$2:$P$1001&lt;&gt;"")*ISNUMBER(SEARCH(실물목록!$P$2:$P$1001,I1001))*(실물목록!$R$2:$R$1001&lt;&gt;""))&gt;0,"확인필요(입력누락)",IF(SUMPRODUCT((실물목록!$P$2:$P$1001&lt;&gt;"")*ISNUMBER(SEARCH(실물목록!$P$2:$P$1001,I1001))*(실물목록!$Q$2:$Q$1001&lt;&gt;"")*ISNUMBER(SEARCH(실물목록!$Q$2:$Q$1001,I1001))*(실물목록!$R$2:$R$1001="")*(실물목록!$O$2:$O$1001&lt;&gt;""))&gt;0,"확인필요(연도다름)","실물 없음")))))</f>
      </c>
      <c r="G1001" t="n" s="16">
        <f aca="0">IF(B1001="","",SUMPRODUCT((실물목록!$P$2:$P$1001&lt;&gt;"")*ISNUMBER(SEARCH(실물목록!$P$2:$P$1001,I1001))*(실물목록!$Q$2:$Q$1001&lt;&gt;"")*ISNUMBER(SEARCH(실물목록!$Q$2:$Q$1001,I1001))*(실물목록!$R$2:$R$1001="")*(실물목록!$O$2:$O$1001&lt;&gt;"")*(실물목록!$O$2:$O$1001=H1001)))</f>
      </c>
      <c r="H1001" t="str">
        <f>IFERROR(IF(AND(LEN(SUBSTITUTE(SUBSTITUTE(SUBSTITUTE(TRIM(A1001&amp;""),CHAR(160),"")," ",""),"년",""))=4,VALUE(SUBSTITUTE(SUBSTITUTE(SUBSTITUTE(TRIM(A1001&amp;""),CHAR(160),"")," ",""),"년",""))&gt;=1900,VALUE(SUBSTITUTE(SUBSTITUTE(SUBSTITUTE(TRIM(A1001&amp;""),CHAR(160),"")," ",""),"년",""))&lt;=2099,TEXT(VALUE(SUBSTITUTE(SUBSTITUTE(SUBSTITUTE(TRIM(A1001&amp;""),CHAR(160),"")," ",""),"년","")),"0000")=SUBSTITUTE(SUBSTITUTE(SUBSTITUTE(TRIM(A1001&amp;""),CHAR(160),"")," ",""),"년","")),SUBSTITUTE(SUBSTITUTE(SUBSTITUTE(TRIM(A1001&amp;""),CHAR(160),"")," ",""),"년",""),""),"")</f>
      </c>
      <c r="I1001" t="str">
        <f>SUBSTITUTE(SUBSTITUTE(SUBSTITUTE(SUBSTITUTE(SUBSTITUTE(TRIM(B1001&amp;""),CHAR(160),"")," ",""),"초등학교","초"),"중학교","중"),"고등학교","고")</f>
      </c>
    </row>
    <row r="1002" customFormat="false" ht="15" hidden="false" customHeight="false" outlineLevel="0" collapsed="false">
      <c r="A1002" s="8"/>
      <c r="B1002" s="8"/>
      <c r="C1002" s="8"/>
      <c r="D1002" s="8"/>
      <c r="E1002" s="8"/>
      <c r="F1002" t="str" s="15">
        <f aca="0">IF(B1002="","",IF(H1002="","확인필요(입력누락)",IF(SUMPRODUCT((실물목록!$P$2:$P$1001&lt;&gt;"")*ISNUMBER(SEARCH(실물목록!$P$2:$P$1001,I1002))*(실물목록!$Q$2:$Q$1001&lt;&gt;"")*ISNUMBER(SEARCH(실물목록!$Q$2:$Q$1001,I1002))*(실물목록!$R$2:$R$1001="")*(실물목록!$O$2:$O$1001&lt;&gt;"")*(실물목록!$O$2:$O$1001=H1002))&gt;0,"실물 있음",IF(SUMPRODUCT((실물목록!$P$2:$P$1001&lt;&gt;"")*ISNUMBER(SEARCH(실물목록!$P$2:$P$1001,I1002))*(실물목록!$R$2:$R$1001&lt;&gt;""))&gt;0,"확인필요(입력누락)",IF(SUMPRODUCT((실물목록!$P$2:$P$1001&lt;&gt;"")*ISNUMBER(SEARCH(실물목록!$P$2:$P$1001,I1002))*(실물목록!$Q$2:$Q$1001&lt;&gt;"")*ISNUMBER(SEARCH(실물목록!$Q$2:$Q$1001,I1002))*(실물목록!$R$2:$R$1001="")*(실물목록!$O$2:$O$1001&lt;&gt;""))&gt;0,"확인필요(연도다름)","실물 없음")))))</f>
      </c>
      <c r="G1002" t="n" s="16">
        <f aca="0">IF(B1002="","",SUMPRODUCT((실물목록!$P$2:$P$1001&lt;&gt;"")*ISNUMBER(SEARCH(실물목록!$P$2:$P$1001,I1002))*(실물목록!$Q$2:$Q$1001&lt;&gt;"")*ISNUMBER(SEARCH(실물목록!$Q$2:$Q$1001,I1002))*(실물목록!$R$2:$R$1001="")*(실물목록!$O$2:$O$1001&lt;&gt;"")*(실물목록!$O$2:$O$1001=H1002)))</f>
      </c>
      <c r="H1002" t="str">
        <f>IFERROR(IF(AND(LEN(SUBSTITUTE(SUBSTITUTE(SUBSTITUTE(TRIM(A1002&amp;""),CHAR(160),"")," ",""),"년",""))=4,VALUE(SUBSTITUTE(SUBSTITUTE(SUBSTITUTE(TRIM(A1002&amp;""),CHAR(160),"")," ",""),"년",""))&gt;=1900,VALUE(SUBSTITUTE(SUBSTITUTE(SUBSTITUTE(TRIM(A1002&amp;""),CHAR(160),"")," ",""),"년",""))&lt;=2099,TEXT(VALUE(SUBSTITUTE(SUBSTITUTE(SUBSTITUTE(TRIM(A1002&amp;""),CHAR(160),"")," ",""),"년","")),"0000")=SUBSTITUTE(SUBSTITUTE(SUBSTITUTE(TRIM(A1002&amp;""),CHAR(160),"")," ",""),"년","")),SUBSTITUTE(SUBSTITUTE(SUBSTITUTE(TRIM(A1002&amp;""),CHAR(160),"")," ",""),"년",""),""),"")</f>
      </c>
      <c r="I1002" t="str">
        <f>SUBSTITUTE(SUBSTITUTE(SUBSTITUTE(SUBSTITUTE(SUBSTITUTE(TRIM(B1002&amp;""),CHAR(160),"")," ",""),"초등학교","초"),"중학교","중"),"고등학교","고")</f>
      </c>
    </row>
    <row r="1003" customFormat="false" ht="15" hidden="false" customHeight="false" outlineLevel="0" collapsed="false">
      <c r="A1003" s="8"/>
      <c r="B1003" s="8"/>
      <c r="C1003" s="8"/>
      <c r="D1003" s="8"/>
      <c r="E1003" s="8"/>
      <c r="F1003" t="str" s="15">
        <f aca="0">IF(B1003="","",IF(H1003="","확인필요(입력누락)",IF(SUMPRODUCT((실물목록!$P$2:$P$1001&lt;&gt;"")*ISNUMBER(SEARCH(실물목록!$P$2:$P$1001,I1003))*(실물목록!$Q$2:$Q$1001&lt;&gt;"")*ISNUMBER(SEARCH(실물목록!$Q$2:$Q$1001,I1003))*(실물목록!$R$2:$R$1001="")*(실물목록!$O$2:$O$1001&lt;&gt;"")*(실물목록!$O$2:$O$1001=H1003))&gt;0,"실물 있음",IF(SUMPRODUCT((실물목록!$P$2:$P$1001&lt;&gt;"")*ISNUMBER(SEARCH(실물목록!$P$2:$P$1001,I1003))*(실물목록!$R$2:$R$1001&lt;&gt;""))&gt;0,"확인필요(입력누락)",IF(SUMPRODUCT((실물목록!$P$2:$P$1001&lt;&gt;"")*ISNUMBER(SEARCH(실물목록!$P$2:$P$1001,I1003))*(실물목록!$Q$2:$Q$1001&lt;&gt;"")*ISNUMBER(SEARCH(실물목록!$Q$2:$Q$1001,I1003))*(실물목록!$R$2:$R$1001="")*(실물목록!$O$2:$O$1001&lt;&gt;""))&gt;0,"확인필요(연도다름)","실물 없음")))))</f>
      </c>
      <c r="G1003" t="n" s="16">
        <f aca="0">IF(B1003="","",SUMPRODUCT((실물목록!$P$2:$P$1001&lt;&gt;"")*ISNUMBER(SEARCH(실물목록!$P$2:$P$1001,I1003))*(실물목록!$Q$2:$Q$1001&lt;&gt;"")*ISNUMBER(SEARCH(실물목록!$Q$2:$Q$1001,I1003))*(실물목록!$R$2:$R$1001="")*(실물목록!$O$2:$O$1001&lt;&gt;"")*(실물목록!$O$2:$O$1001=H1003)))</f>
      </c>
      <c r="H1003" t="str">
        <f>IFERROR(IF(AND(LEN(SUBSTITUTE(SUBSTITUTE(SUBSTITUTE(TRIM(A1003&amp;""),CHAR(160),"")," ",""),"년",""))=4,VALUE(SUBSTITUTE(SUBSTITUTE(SUBSTITUTE(TRIM(A1003&amp;""),CHAR(160),"")," ",""),"년",""))&gt;=1900,VALUE(SUBSTITUTE(SUBSTITUTE(SUBSTITUTE(TRIM(A1003&amp;""),CHAR(160),"")," ",""),"년",""))&lt;=2099,TEXT(VALUE(SUBSTITUTE(SUBSTITUTE(SUBSTITUTE(TRIM(A1003&amp;""),CHAR(160),"")," ",""),"년","")),"0000")=SUBSTITUTE(SUBSTITUTE(SUBSTITUTE(TRIM(A1003&amp;""),CHAR(160),"")," ",""),"년","")),SUBSTITUTE(SUBSTITUTE(SUBSTITUTE(TRIM(A1003&amp;""),CHAR(160),"")," ",""),"년",""),""),"")</f>
      </c>
      <c r="I1003" t="str">
        <f>SUBSTITUTE(SUBSTITUTE(SUBSTITUTE(SUBSTITUTE(SUBSTITUTE(TRIM(B1003&amp;""),CHAR(160),"")," ",""),"초등학교","초"),"중학교","중"),"고등학교","고")</f>
      </c>
    </row>
    <row r="1004" customFormat="false" ht="15" hidden="false" customHeight="false" outlineLevel="0" collapsed="false">
      <c r="A1004" s="8"/>
      <c r="B1004" s="8"/>
      <c r="C1004" s="8"/>
      <c r="D1004" s="8"/>
      <c r="E1004" s="8"/>
      <c r="F1004" t="str" s="15">
        <f aca="0">IF(B1004="","",IF(H1004="","확인필요(입력누락)",IF(SUMPRODUCT((실물목록!$P$2:$P$1001&lt;&gt;"")*ISNUMBER(SEARCH(실물목록!$P$2:$P$1001,I1004))*(실물목록!$Q$2:$Q$1001&lt;&gt;"")*ISNUMBER(SEARCH(실물목록!$Q$2:$Q$1001,I1004))*(실물목록!$R$2:$R$1001="")*(실물목록!$O$2:$O$1001&lt;&gt;"")*(실물목록!$O$2:$O$1001=H1004))&gt;0,"실물 있음",IF(SUMPRODUCT((실물목록!$P$2:$P$1001&lt;&gt;"")*ISNUMBER(SEARCH(실물목록!$P$2:$P$1001,I1004))*(실물목록!$R$2:$R$1001&lt;&gt;""))&gt;0,"확인필요(입력누락)",IF(SUMPRODUCT((실물목록!$P$2:$P$1001&lt;&gt;"")*ISNUMBER(SEARCH(실물목록!$P$2:$P$1001,I1004))*(실물목록!$Q$2:$Q$1001&lt;&gt;"")*ISNUMBER(SEARCH(실물목록!$Q$2:$Q$1001,I1004))*(실물목록!$R$2:$R$1001="")*(실물목록!$O$2:$O$1001&lt;&gt;""))&gt;0,"확인필요(연도다름)","실물 없음")))))</f>
      </c>
      <c r="G1004" t="n" s="16">
        <f aca="0">IF(B1004="","",SUMPRODUCT((실물목록!$P$2:$P$1001&lt;&gt;"")*ISNUMBER(SEARCH(실물목록!$P$2:$P$1001,I1004))*(실물목록!$Q$2:$Q$1001&lt;&gt;"")*ISNUMBER(SEARCH(실물목록!$Q$2:$Q$1001,I1004))*(실물목록!$R$2:$R$1001="")*(실물목록!$O$2:$O$1001&lt;&gt;"")*(실물목록!$O$2:$O$1001=H1004)))</f>
      </c>
      <c r="H1004" t="str">
        <f>IFERROR(IF(AND(LEN(SUBSTITUTE(SUBSTITUTE(SUBSTITUTE(TRIM(A1004&amp;""),CHAR(160),"")," ",""),"년",""))=4,VALUE(SUBSTITUTE(SUBSTITUTE(SUBSTITUTE(TRIM(A1004&amp;""),CHAR(160),"")," ",""),"년",""))&gt;=1900,VALUE(SUBSTITUTE(SUBSTITUTE(SUBSTITUTE(TRIM(A1004&amp;""),CHAR(160),"")," ",""),"년",""))&lt;=2099,TEXT(VALUE(SUBSTITUTE(SUBSTITUTE(SUBSTITUTE(TRIM(A1004&amp;""),CHAR(160),"")," ",""),"년","")),"0000")=SUBSTITUTE(SUBSTITUTE(SUBSTITUTE(TRIM(A1004&amp;""),CHAR(160),"")," ",""),"년","")),SUBSTITUTE(SUBSTITUTE(SUBSTITUTE(TRIM(A1004&amp;""),CHAR(160),"")," ",""),"년",""),""),"")</f>
      </c>
      <c r="I1004" t="str">
        <f>SUBSTITUTE(SUBSTITUTE(SUBSTITUTE(SUBSTITUTE(SUBSTITUTE(TRIM(B1004&amp;""),CHAR(160),"")," ",""),"초등학교","초"),"중학교","중"),"고등학교","고")</f>
      </c>
    </row>
    <row r="1005" customFormat="false" ht="15" hidden="false" customHeight="false" outlineLevel="0" collapsed="false">
      <c r="A1005" s="8"/>
      <c r="B1005" s="8"/>
      <c r="C1005" s="8"/>
      <c r="D1005" s="8"/>
      <c r="E1005" s="8"/>
      <c r="F1005" t="str" s="15">
        <f aca="0">IF(B1005="","",IF(H1005="","확인필요(입력누락)",IF(SUMPRODUCT((실물목록!$P$2:$P$1001&lt;&gt;"")*ISNUMBER(SEARCH(실물목록!$P$2:$P$1001,I1005))*(실물목록!$Q$2:$Q$1001&lt;&gt;"")*ISNUMBER(SEARCH(실물목록!$Q$2:$Q$1001,I1005))*(실물목록!$R$2:$R$1001="")*(실물목록!$O$2:$O$1001&lt;&gt;"")*(실물목록!$O$2:$O$1001=H1005))&gt;0,"실물 있음",IF(SUMPRODUCT((실물목록!$P$2:$P$1001&lt;&gt;"")*ISNUMBER(SEARCH(실물목록!$P$2:$P$1001,I1005))*(실물목록!$R$2:$R$1001&lt;&gt;""))&gt;0,"확인필요(입력누락)",IF(SUMPRODUCT((실물목록!$P$2:$P$1001&lt;&gt;"")*ISNUMBER(SEARCH(실물목록!$P$2:$P$1001,I1005))*(실물목록!$Q$2:$Q$1001&lt;&gt;"")*ISNUMBER(SEARCH(실물목록!$Q$2:$Q$1001,I1005))*(실물목록!$R$2:$R$1001="")*(실물목록!$O$2:$O$1001&lt;&gt;""))&gt;0,"확인필요(연도다름)","실물 없음")))))</f>
      </c>
      <c r="G1005" t="n" s="16">
        <f aca="0">IF(B1005="","",SUMPRODUCT((실물목록!$P$2:$P$1001&lt;&gt;"")*ISNUMBER(SEARCH(실물목록!$P$2:$P$1001,I1005))*(실물목록!$Q$2:$Q$1001&lt;&gt;"")*ISNUMBER(SEARCH(실물목록!$Q$2:$Q$1001,I1005))*(실물목록!$R$2:$R$1001="")*(실물목록!$O$2:$O$1001&lt;&gt;"")*(실물목록!$O$2:$O$1001=H1005)))</f>
      </c>
      <c r="H1005" t="str">
        <f>IFERROR(IF(AND(LEN(SUBSTITUTE(SUBSTITUTE(SUBSTITUTE(TRIM(A1005&amp;""),CHAR(160),"")," ",""),"년",""))=4,VALUE(SUBSTITUTE(SUBSTITUTE(SUBSTITUTE(TRIM(A1005&amp;""),CHAR(160),"")," ",""),"년",""))&gt;=1900,VALUE(SUBSTITUTE(SUBSTITUTE(SUBSTITUTE(TRIM(A1005&amp;""),CHAR(160),"")," ",""),"년",""))&lt;=2099,TEXT(VALUE(SUBSTITUTE(SUBSTITUTE(SUBSTITUTE(TRIM(A1005&amp;""),CHAR(160),"")," ",""),"년","")),"0000")=SUBSTITUTE(SUBSTITUTE(SUBSTITUTE(TRIM(A1005&amp;""),CHAR(160),"")," ",""),"년","")),SUBSTITUTE(SUBSTITUTE(SUBSTITUTE(TRIM(A1005&amp;""),CHAR(160),"")," ",""),"년",""),""),"")</f>
      </c>
      <c r="I1005" t="str">
        <f>SUBSTITUTE(SUBSTITUTE(SUBSTITUTE(SUBSTITUTE(SUBSTITUTE(TRIM(B1005&amp;""),CHAR(160),"")," ",""),"초등학교","초"),"중학교","중"),"고등학교","고")</f>
      </c>
    </row>
    <row r="1006" customFormat="false" ht="15" hidden="false" customHeight="false" outlineLevel="0" collapsed="false">
      <c r="A1006" s="8"/>
      <c r="B1006" s="8"/>
      <c r="C1006" s="8"/>
      <c r="D1006" s="8"/>
      <c r="E1006" s="8"/>
      <c r="F1006" t="str" s="15">
        <f aca="0">IF(B1006="","",IF(H1006="","확인필요(입력누락)",IF(SUMPRODUCT((실물목록!$P$2:$P$1001&lt;&gt;"")*ISNUMBER(SEARCH(실물목록!$P$2:$P$1001,I1006))*(실물목록!$Q$2:$Q$1001&lt;&gt;"")*ISNUMBER(SEARCH(실물목록!$Q$2:$Q$1001,I1006))*(실물목록!$R$2:$R$1001="")*(실물목록!$O$2:$O$1001&lt;&gt;"")*(실물목록!$O$2:$O$1001=H1006))&gt;0,"실물 있음",IF(SUMPRODUCT((실물목록!$P$2:$P$1001&lt;&gt;"")*ISNUMBER(SEARCH(실물목록!$P$2:$P$1001,I1006))*(실물목록!$R$2:$R$1001&lt;&gt;""))&gt;0,"확인필요(입력누락)",IF(SUMPRODUCT((실물목록!$P$2:$P$1001&lt;&gt;"")*ISNUMBER(SEARCH(실물목록!$P$2:$P$1001,I1006))*(실물목록!$Q$2:$Q$1001&lt;&gt;"")*ISNUMBER(SEARCH(실물목록!$Q$2:$Q$1001,I1006))*(실물목록!$R$2:$R$1001="")*(실물목록!$O$2:$O$1001&lt;&gt;""))&gt;0,"확인필요(연도다름)","실물 없음")))))</f>
      </c>
      <c r="G1006" t="n" s="16">
        <f aca="0">IF(B1006="","",SUMPRODUCT((실물목록!$P$2:$P$1001&lt;&gt;"")*ISNUMBER(SEARCH(실물목록!$P$2:$P$1001,I1006))*(실물목록!$Q$2:$Q$1001&lt;&gt;"")*ISNUMBER(SEARCH(실물목록!$Q$2:$Q$1001,I1006))*(실물목록!$R$2:$R$1001="")*(실물목록!$O$2:$O$1001&lt;&gt;"")*(실물목록!$O$2:$O$1001=H1006)))</f>
      </c>
      <c r="H1006" t="str">
        <f>IFERROR(IF(AND(LEN(SUBSTITUTE(SUBSTITUTE(SUBSTITUTE(TRIM(A1006&amp;""),CHAR(160),"")," ",""),"년",""))=4,VALUE(SUBSTITUTE(SUBSTITUTE(SUBSTITUTE(TRIM(A1006&amp;""),CHAR(160),"")," ",""),"년",""))&gt;=1900,VALUE(SUBSTITUTE(SUBSTITUTE(SUBSTITUTE(TRIM(A1006&amp;""),CHAR(160),"")," ",""),"년",""))&lt;=2099,TEXT(VALUE(SUBSTITUTE(SUBSTITUTE(SUBSTITUTE(TRIM(A1006&amp;""),CHAR(160),"")," ",""),"년","")),"0000")=SUBSTITUTE(SUBSTITUTE(SUBSTITUTE(TRIM(A1006&amp;""),CHAR(160),"")," ",""),"년","")),SUBSTITUTE(SUBSTITUTE(SUBSTITUTE(TRIM(A1006&amp;""),CHAR(160),"")," ",""),"년",""),""),"")</f>
      </c>
      <c r="I1006" t="str">
        <f>SUBSTITUTE(SUBSTITUTE(SUBSTITUTE(SUBSTITUTE(SUBSTITUTE(TRIM(B1006&amp;""),CHAR(160),"")," ",""),"초등학교","초"),"중학교","중"),"고등학교","고")</f>
      </c>
    </row>
    <row r="1007" customFormat="false" ht="15" hidden="false" customHeight="false" outlineLevel="0" collapsed="false">
      <c r="A1007" s="8"/>
      <c r="B1007" s="8"/>
      <c r="C1007" s="8"/>
      <c r="D1007" s="8"/>
      <c r="E1007" s="8"/>
      <c r="F1007" t="str" s="15">
        <f aca="0">IF(B1007="","",IF(H1007="","확인필요(입력누락)",IF(SUMPRODUCT((실물목록!$P$2:$P$1001&lt;&gt;"")*ISNUMBER(SEARCH(실물목록!$P$2:$P$1001,I1007))*(실물목록!$Q$2:$Q$1001&lt;&gt;"")*ISNUMBER(SEARCH(실물목록!$Q$2:$Q$1001,I1007))*(실물목록!$R$2:$R$1001="")*(실물목록!$O$2:$O$1001&lt;&gt;"")*(실물목록!$O$2:$O$1001=H1007))&gt;0,"실물 있음",IF(SUMPRODUCT((실물목록!$P$2:$P$1001&lt;&gt;"")*ISNUMBER(SEARCH(실물목록!$P$2:$P$1001,I1007))*(실물목록!$R$2:$R$1001&lt;&gt;""))&gt;0,"확인필요(입력누락)",IF(SUMPRODUCT((실물목록!$P$2:$P$1001&lt;&gt;"")*ISNUMBER(SEARCH(실물목록!$P$2:$P$1001,I1007))*(실물목록!$Q$2:$Q$1001&lt;&gt;"")*ISNUMBER(SEARCH(실물목록!$Q$2:$Q$1001,I1007))*(실물목록!$R$2:$R$1001="")*(실물목록!$O$2:$O$1001&lt;&gt;""))&gt;0,"확인필요(연도다름)","실물 없음")))))</f>
      </c>
      <c r="G1007" t="n" s="16">
        <f aca="0">IF(B1007="","",SUMPRODUCT((실물목록!$P$2:$P$1001&lt;&gt;"")*ISNUMBER(SEARCH(실물목록!$P$2:$P$1001,I1007))*(실물목록!$Q$2:$Q$1001&lt;&gt;"")*ISNUMBER(SEARCH(실물목록!$Q$2:$Q$1001,I1007))*(실물목록!$R$2:$R$1001="")*(실물목록!$O$2:$O$1001&lt;&gt;"")*(실물목록!$O$2:$O$1001=H1007)))</f>
      </c>
      <c r="H1007" t="str">
        <f>IFERROR(IF(AND(LEN(SUBSTITUTE(SUBSTITUTE(SUBSTITUTE(TRIM(A1007&amp;""),CHAR(160),"")," ",""),"년",""))=4,VALUE(SUBSTITUTE(SUBSTITUTE(SUBSTITUTE(TRIM(A1007&amp;""),CHAR(160),"")," ",""),"년",""))&gt;=1900,VALUE(SUBSTITUTE(SUBSTITUTE(SUBSTITUTE(TRIM(A1007&amp;""),CHAR(160),"")," ",""),"년",""))&lt;=2099,TEXT(VALUE(SUBSTITUTE(SUBSTITUTE(SUBSTITUTE(TRIM(A1007&amp;""),CHAR(160),"")," ",""),"년","")),"0000")=SUBSTITUTE(SUBSTITUTE(SUBSTITUTE(TRIM(A1007&amp;""),CHAR(160),"")," ",""),"년","")),SUBSTITUTE(SUBSTITUTE(SUBSTITUTE(TRIM(A1007&amp;""),CHAR(160),"")," ",""),"년",""),""),"")</f>
      </c>
      <c r="I1007" t="str">
        <f>SUBSTITUTE(SUBSTITUTE(SUBSTITUTE(SUBSTITUTE(SUBSTITUTE(TRIM(B1007&amp;""),CHAR(160),"")," ",""),"초등학교","초"),"중학교","중"),"고등학교","고")</f>
      </c>
    </row>
    <row r="1008" customFormat="false" ht="15" hidden="false" customHeight="false" outlineLevel="0" collapsed="false">
      <c r="A1008" s="8"/>
      <c r="B1008" s="8"/>
      <c r="C1008" s="8"/>
      <c r="D1008" s="8"/>
      <c r="E1008" s="8"/>
      <c r="F1008" t="str" s="15">
        <f aca="0">IF(B1008="","",IF(H1008="","확인필요(입력누락)",IF(SUMPRODUCT((실물목록!$P$2:$P$1001&lt;&gt;"")*ISNUMBER(SEARCH(실물목록!$P$2:$P$1001,I1008))*(실물목록!$Q$2:$Q$1001&lt;&gt;"")*ISNUMBER(SEARCH(실물목록!$Q$2:$Q$1001,I1008))*(실물목록!$R$2:$R$1001="")*(실물목록!$O$2:$O$1001&lt;&gt;"")*(실물목록!$O$2:$O$1001=H1008))&gt;0,"실물 있음",IF(SUMPRODUCT((실물목록!$P$2:$P$1001&lt;&gt;"")*ISNUMBER(SEARCH(실물목록!$P$2:$P$1001,I1008))*(실물목록!$R$2:$R$1001&lt;&gt;""))&gt;0,"확인필요(입력누락)",IF(SUMPRODUCT((실물목록!$P$2:$P$1001&lt;&gt;"")*ISNUMBER(SEARCH(실물목록!$P$2:$P$1001,I1008))*(실물목록!$Q$2:$Q$1001&lt;&gt;"")*ISNUMBER(SEARCH(실물목록!$Q$2:$Q$1001,I1008))*(실물목록!$R$2:$R$1001="")*(실물목록!$O$2:$O$1001&lt;&gt;""))&gt;0,"확인필요(연도다름)","실물 없음")))))</f>
      </c>
      <c r="G1008" t="n" s="16">
        <f aca="0">IF(B1008="","",SUMPRODUCT((실물목록!$P$2:$P$1001&lt;&gt;"")*ISNUMBER(SEARCH(실물목록!$P$2:$P$1001,I1008))*(실물목록!$Q$2:$Q$1001&lt;&gt;"")*ISNUMBER(SEARCH(실물목록!$Q$2:$Q$1001,I1008))*(실물목록!$R$2:$R$1001="")*(실물목록!$O$2:$O$1001&lt;&gt;"")*(실물목록!$O$2:$O$1001=H1008)))</f>
      </c>
      <c r="H1008" t="str">
        <f>IFERROR(IF(AND(LEN(SUBSTITUTE(SUBSTITUTE(SUBSTITUTE(TRIM(A1008&amp;""),CHAR(160),"")," ",""),"년",""))=4,VALUE(SUBSTITUTE(SUBSTITUTE(SUBSTITUTE(TRIM(A1008&amp;""),CHAR(160),"")," ",""),"년",""))&gt;=1900,VALUE(SUBSTITUTE(SUBSTITUTE(SUBSTITUTE(TRIM(A1008&amp;""),CHAR(160),"")," ",""),"년",""))&lt;=2099,TEXT(VALUE(SUBSTITUTE(SUBSTITUTE(SUBSTITUTE(TRIM(A1008&amp;""),CHAR(160),"")," ",""),"년","")),"0000")=SUBSTITUTE(SUBSTITUTE(SUBSTITUTE(TRIM(A1008&amp;""),CHAR(160),"")," ",""),"년","")),SUBSTITUTE(SUBSTITUTE(SUBSTITUTE(TRIM(A1008&amp;""),CHAR(160),"")," ",""),"년",""),""),"")</f>
      </c>
      <c r="I1008" t="str">
        <f>SUBSTITUTE(SUBSTITUTE(SUBSTITUTE(SUBSTITUTE(SUBSTITUTE(TRIM(B1008&amp;""),CHAR(160),"")," ",""),"초등학교","초"),"중학교","중"),"고등학교","고")</f>
      </c>
    </row>
    <row r="1009" customFormat="false" ht="15" hidden="false" customHeight="false" outlineLevel="0" collapsed="false">
      <c r="A1009" s="8"/>
      <c r="B1009" s="8"/>
      <c r="C1009" s="8"/>
      <c r="D1009" s="8"/>
      <c r="E1009" s="8"/>
      <c r="F1009" t="str" s="15">
        <f aca="0">IF(B1009="","",IF(H1009="","확인필요(입력누락)",IF(SUMPRODUCT((실물목록!$P$2:$P$1001&lt;&gt;"")*ISNUMBER(SEARCH(실물목록!$P$2:$P$1001,I1009))*(실물목록!$Q$2:$Q$1001&lt;&gt;"")*ISNUMBER(SEARCH(실물목록!$Q$2:$Q$1001,I1009))*(실물목록!$R$2:$R$1001="")*(실물목록!$O$2:$O$1001&lt;&gt;"")*(실물목록!$O$2:$O$1001=H1009))&gt;0,"실물 있음",IF(SUMPRODUCT((실물목록!$P$2:$P$1001&lt;&gt;"")*ISNUMBER(SEARCH(실물목록!$P$2:$P$1001,I1009))*(실물목록!$R$2:$R$1001&lt;&gt;""))&gt;0,"확인필요(입력누락)",IF(SUMPRODUCT((실물목록!$P$2:$P$1001&lt;&gt;"")*ISNUMBER(SEARCH(실물목록!$P$2:$P$1001,I1009))*(실물목록!$Q$2:$Q$1001&lt;&gt;"")*ISNUMBER(SEARCH(실물목록!$Q$2:$Q$1001,I1009))*(실물목록!$R$2:$R$1001="")*(실물목록!$O$2:$O$1001&lt;&gt;""))&gt;0,"확인필요(연도다름)","실물 없음")))))</f>
      </c>
      <c r="G1009" t="n" s="16">
        <f aca="0">IF(B1009="","",SUMPRODUCT((실물목록!$P$2:$P$1001&lt;&gt;"")*ISNUMBER(SEARCH(실물목록!$P$2:$P$1001,I1009))*(실물목록!$Q$2:$Q$1001&lt;&gt;"")*ISNUMBER(SEARCH(실물목록!$Q$2:$Q$1001,I1009))*(실물목록!$R$2:$R$1001="")*(실물목록!$O$2:$O$1001&lt;&gt;"")*(실물목록!$O$2:$O$1001=H1009)))</f>
      </c>
      <c r="H1009" t="str">
        <f>IFERROR(IF(AND(LEN(SUBSTITUTE(SUBSTITUTE(SUBSTITUTE(TRIM(A1009&amp;""),CHAR(160),"")," ",""),"년",""))=4,VALUE(SUBSTITUTE(SUBSTITUTE(SUBSTITUTE(TRIM(A1009&amp;""),CHAR(160),"")," ",""),"년",""))&gt;=1900,VALUE(SUBSTITUTE(SUBSTITUTE(SUBSTITUTE(TRIM(A1009&amp;""),CHAR(160),"")," ",""),"년",""))&lt;=2099,TEXT(VALUE(SUBSTITUTE(SUBSTITUTE(SUBSTITUTE(TRIM(A1009&amp;""),CHAR(160),"")," ",""),"년","")),"0000")=SUBSTITUTE(SUBSTITUTE(SUBSTITUTE(TRIM(A1009&amp;""),CHAR(160),"")," ",""),"년","")),SUBSTITUTE(SUBSTITUTE(SUBSTITUTE(TRIM(A1009&amp;""),CHAR(160),"")," ",""),"년",""),""),"")</f>
      </c>
      <c r="I1009" t="str">
        <f>SUBSTITUTE(SUBSTITUTE(SUBSTITUTE(SUBSTITUTE(SUBSTITUTE(TRIM(B1009&amp;""),CHAR(160),"")," ",""),"초등학교","초"),"중학교","중"),"고등학교","고")</f>
      </c>
    </row>
    <row r="1010" customFormat="false" ht="15" hidden="false" customHeight="false" outlineLevel="0" collapsed="false">
      <c r="A1010" s="8"/>
      <c r="B1010" s="8"/>
      <c r="C1010" s="8"/>
      <c r="D1010" s="8"/>
      <c r="E1010" s="8"/>
      <c r="F1010" t="str" s="15">
        <f aca="0">IF(B1010="","",IF(H1010="","확인필요(입력누락)",IF(SUMPRODUCT((실물목록!$P$2:$P$1001&lt;&gt;"")*ISNUMBER(SEARCH(실물목록!$P$2:$P$1001,I1010))*(실물목록!$Q$2:$Q$1001&lt;&gt;"")*ISNUMBER(SEARCH(실물목록!$Q$2:$Q$1001,I1010))*(실물목록!$R$2:$R$1001="")*(실물목록!$O$2:$O$1001&lt;&gt;"")*(실물목록!$O$2:$O$1001=H1010))&gt;0,"실물 있음",IF(SUMPRODUCT((실물목록!$P$2:$P$1001&lt;&gt;"")*ISNUMBER(SEARCH(실물목록!$P$2:$P$1001,I1010))*(실물목록!$R$2:$R$1001&lt;&gt;""))&gt;0,"확인필요(입력누락)",IF(SUMPRODUCT((실물목록!$P$2:$P$1001&lt;&gt;"")*ISNUMBER(SEARCH(실물목록!$P$2:$P$1001,I1010))*(실물목록!$Q$2:$Q$1001&lt;&gt;"")*ISNUMBER(SEARCH(실물목록!$Q$2:$Q$1001,I1010))*(실물목록!$R$2:$R$1001="")*(실물목록!$O$2:$O$1001&lt;&gt;""))&gt;0,"확인필요(연도다름)","실물 없음")))))</f>
      </c>
      <c r="G1010" t="n" s="16">
        <f aca="0">IF(B1010="","",SUMPRODUCT((실물목록!$P$2:$P$1001&lt;&gt;"")*ISNUMBER(SEARCH(실물목록!$P$2:$P$1001,I1010))*(실물목록!$Q$2:$Q$1001&lt;&gt;"")*ISNUMBER(SEARCH(실물목록!$Q$2:$Q$1001,I1010))*(실물목록!$R$2:$R$1001="")*(실물목록!$O$2:$O$1001&lt;&gt;"")*(실물목록!$O$2:$O$1001=H1010)))</f>
      </c>
      <c r="H1010" t="str">
        <f>IFERROR(IF(AND(LEN(SUBSTITUTE(SUBSTITUTE(SUBSTITUTE(TRIM(A1010&amp;""),CHAR(160),"")," ",""),"년",""))=4,VALUE(SUBSTITUTE(SUBSTITUTE(SUBSTITUTE(TRIM(A1010&amp;""),CHAR(160),"")," ",""),"년",""))&gt;=1900,VALUE(SUBSTITUTE(SUBSTITUTE(SUBSTITUTE(TRIM(A1010&amp;""),CHAR(160),"")," ",""),"년",""))&lt;=2099,TEXT(VALUE(SUBSTITUTE(SUBSTITUTE(SUBSTITUTE(TRIM(A1010&amp;""),CHAR(160),"")," ",""),"년","")),"0000")=SUBSTITUTE(SUBSTITUTE(SUBSTITUTE(TRIM(A1010&amp;""),CHAR(160),"")," ",""),"년","")),SUBSTITUTE(SUBSTITUTE(SUBSTITUTE(TRIM(A1010&amp;""),CHAR(160),"")," ",""),"년",""),""),"")</f>
      </c>
      <c r="I1010" t="str">
        <f>SUBSTITUTE(SUBSTITUTE(SUBSTITUTE(SUBSTITUTE(SUBSTITUTE(TRIM(B1010&amp;""),CHAR(160),"")," ",""),"초등학교","초"),"중학교","중"),"고등학교","고")</f>
      </c>
    </row>
    <row r="1011" customFormat="false" ht="15" hidden="false" customHeight="false" outlineLevel="0" collapsed="false">
      <c r="A1011" s="8"/>
      <c r="B1011" s="8"/>
      <c r="C1011" s="8"/>
      <c r="D1011" s="8"/>
      <c r="E1011" s="8"/>
      <c r="F1011" t="str" s="15">
        <f aca="0">IF(B1011="","",IF(H1011="","확인필요(입력누락)",IF(SUMPRODUCT((실물목록!$P$2:$P$1001&lt;&gt;"")*ISNUMBER(SEARCH(실물목록!$P$2:$P$1001,I1011))*(실물목록!$Q$2:$Q$1001&lt;&gt;"")*ISNUMBER(SEARCH(실물목록!$Q$2:$Q$1001,I1011))*(실물목록!$R$2:$R$1001="")*(실물목록!$O$2:$O$1001&lt;&gt;"")*(실물목록!$O$2:$O$1001=H1011))&gt;0,"실물 있음",IF(SUMPRODUCT((실물목록!$P$2:$P$1001&lt;&gt;"")*ISNUMBER(SEARCH(실물목록!$P$2:$P$1001,I1011))*(실물목록!$R$2:$R$1001&lt;&gt;""))&gt;0,"확인필요(입력누락)",IF(SUMPRODUCT((실물목록!$P$2:$P$1001&lt;&gt;"")*ISNUMBER(SEARCH(실물목록!$P$2:$P$1001,I1011))*(실물목록!$Q$2:$Q$1001&lt;&gt;"")*ISNUMBER(SEARCH(실물목록!$Q$2:$Q$1001,I1011))*(실물목록!$R$2:$R$1001="")*(실물목록!$O$2:$O$1001&lt;&gt;""))&gt;0,"확인필요(연도다름)","실물 없음")))))</f>
      </c>
      <c r="G1011" t="n" s="16">
        <f aca="0">IF(B1011="","",SUMPRODUCT((실물목록!$P$2:$P$1001&lt;&gt;"")*ISNUMBER(SEARCH(실물목록!$P$2:$P$1001,I1011))*(실물목록!$Q$2:$Q$1001&lt;&gt;"")*ISNUMBER(SEARCH(실물목록!$Q$2:$Q$1001,I1011))*(실물목록!$R$2:$R$1001="")*(실물목록!$O$2:$O$1001&lt;&gt;"")*(실물목록!$O$2:$O$1001=H1011)))</f>
      </c>
      <c r="H1011" t="str">
        <f>IFERROR(IF(AND(LEN(SUBSTITUTE(SUBSTITUTE(SUBSTITUTE(TRIM(A1011&amp;""),CHAR(160),"")," ",""),"년",""))=4,VALUE(SUBSTITUTE(SUBSTITUTE(SUBSTITUTE(TRIM(A1011&amp;""),CHAR(160),"")," ",""),"년",""))&gt;=1900,VALUE(SUBSTITUTE(SUBSTITUTE(SUBSTITUTE(TRIM(A1011&amp;""),CHAR(160),"")," ",""),"년",""))&lt;=2099,TEXT(VALUE(SUBSTITUTE(SUBSTITUTE(SUBSTITUTE(TRIM(A1011&amp;""),CHAR(160),"")," ",""),"년","")),"0000")=SUBSTITUTE(SUBSTITUTE(SUBSTITUTE(TRIM(A1011&amp;""),CHAR(160),"")," ",""),"년","")),SUBSTITUTE(SUBSTITUTE(SUBSTITUTE(TRIM(A1011&amp;""),CHAR(160),"")," ",""),"년",""),""),"")</f>
      </c>
      <c r="I1011" t="str">
        <f>SUBSTITUTE(SUBSTITUTE(SUBSTITUTE(SUBSTITUTE(SUBSTITUTE(TRIM(B1011&amp;""),CHAR(160),"")," ",""),"초등학교","초"),"중학교","중"),"고등학교","고")</f>
      </c>
    </row>
    <row r="1012" customFormat="false" ht="15" hidden="false" customHeight="false" outlineLevel="0" collapsed="false">
      <c r="A1012" s="8"/>
      <c r="B1012" s="8"/>
      <c r="C1012" s="8"/>
      <c r="D1012" s="8"/>
      <c r="E1012" s="8"/>
      <c r="F1012" t="str" s="15">
        <f aca="0">IF(B1012="","",IF(H1012="","확인필요(입력누락)",IF(SUMPRODUCT((실물목록!$P$2:$P$1001&lt;&gt;"")*ISNUMBER(SEARCH(실물목록!$P$2:$P$1001,I1012))*(실물목록!$Q$2:$Q$1001&lt;&gt;"")*ISNUMBER(SEARCH(실물목록!$Q$2:$Q$1001,I1012))*(실물목록!$R$2:$R$1001="")*(실물목록!$O$2:$O$1001&lt;&gt;"")*(실물목록!$O$2:$O$1001=H1012))&gt;0,"실물 있음",IF(SUMPRODUCT((실물목록!$P$2:$P$1001&lt;&gt;"")*ISNUMBER(SEARCH(실물목록!$P$2:$P$1001,I1012))*(실물목록!$R$2:$R$1001&lt;&gt;""))&gt;0,"확인필요(입력누락)",IF(SUMPRODUCT((실물목록!$P$2:$P$1001&lt;&gt;"")*ISNUMBER(SEARCH(실물목록!$P$2:$P$1001,I1012))*(실물목록!$Q$2:$Q$1001&lt;&gt;"")*ISNUMBER(SEARCH(실물목록!$Q$2:$Q$1001,I1012))*(실물목록!$R$2:$R$1001="")*(실물목록!$O$2:$O$1001&lt;&gt;""))&gt;0,"확인필요(연도다름)","실물 없음")))))</f>
      </c>
      <c r="G1012" t="n" s="16">
        <f aca="0">IF(B1012="","",SUMPRODUCT((실물목록!$P$2:$P$1001&lt;&gt;"")*ISNUMBER(SEARCH(실물목록!$P$2:$P$1001,I1012))*(실물목록!$Q$2:$Q$1001&lt;&gt;"")*ISNUMBER(SEARCH(실물목록!$Q$2:$Q$1001,I1012))*(실물목록!$R$2:$R$1001="")*(실물목록!$O$2:$O$1001&lt;&gt;"")*(실물목록!$O$2:$O$1001=H1012)))</f>
      </c>
      <c r="H1012" t="str">
        <f>IFERROR(IF(AND(LEN(SUBSTITUTE(SUBSTITUTE(SUBSTITUTE(TRIM(A1012&amp;""),CHAR(160),"")," ",""),"년",""))=4,VALUE(SUBSTITUTE(SUBSTITUTE(SUBSTITUTE(TRIM(A1012&amp;""),CHAR(160),"")," ",""),"년",""))&gt;=1900,VALUE(SUBSTITUTE(SUBSTITUTE(SUBSTITUTE(TRIM(A1012&amp;""),CHAR(160),"")," ",""),"년",""))&lt;=2099,TEXT(VALUE(SUBSTITUTE(SUBSTITUTE(SUBSTITUTE(TRIM(A1012&amp;""),CHAR(160),"")," ",""),"년","")),"0000")=SUBSTITUTE(SUBSTITUTE(SUBSTITUTE(TRIM(A1012&amp;""),CHAR(160),"")," ",""),"년","")),SUBSTITUTE(SUBSTITUTE(SUBSTITUTE(TRIM(A1012&amp;""),CHAR(160),"")," ",""),"년",""),""),"")</f>
      </c>
      <c r="I1012" t="str">
        <f>SUBSTITUTE(SUBSTITUTE(SUBSTITUTE(SUBSTITUTE(SUBSTITUTE(TRIM(B1012&amp;""),CHAR(160),"")," ",""),"초등학교","초"),"중학교","중"),"고등학교","고")</f>
      </c>
    </row>
    <row r="1013" customFormat="false" ht="15" hidden="false" customHeight="false" outlineLevel="0" collapsed="false">
      <c r="A1013" s="8"/>
      <c r="B1013" s="8"/>
      <c r="C1013" s="8"/>
      <c r="D1013" s="8"/>
      <c r="E1013" s="8"/>
      <c r="F1013" t="str" s="15">
        <f aca="0">IF(B1013="","",IF(H1013="","확인필요(입력누락)",IF(SUMPRODUCT((실물목록!$P$2:$P$1001&lt;&gt;"")*ISNUMBER(SEARCH(실물목록!$P$2:$P$1001,I1013))*(실물목록!$Q$2:$Q$1001&lt;&gt;"")*ISNUMBER(SEARCH(실물목록!$Q$2:$Q$1001,I1013))*(실물목록!$R$2:$R$1001="")*(실물목록!$O$2:$O$1001&lt;&gt;"")*(실물목록!$O$2:$O$1001=H1013))&gt;0,"실물 있음",IF(SUMPRODUCT((실물목록!$P$2:$P$1001&lt;&gt;"")*ISNUMBER(SEARCH(실물목록!$P$2:$P$1001,I1013))*(실물목록!$R$2:$R$1001&lt;&gt;""))&gt;0,"확인필요(입력누락)",IF(SUMPRODUCT((실물목록!$P$2:$P$1001&lt;&gt;"")*ISNUMBER(SEARCH(실물목록!$P$2:$P$1001,I1013))*(실물목록!$Q$2:$Q$1001&lt;&gt;"")*ISNUMBER(SEARCH(실물목록!$Q$2:$Q$1001,I1013))*(실물목록!$R$2:$R$1001="")*(실물목록!$O$2:$O$1001&lt;&gt;""))&gt;0,"확인필요(연도다름)","실물 없음")))))</f>
      </c>
      <c r="G1013" t="n" s="16">
        <f aca="0">IF(B1013="","",SUMPRODUCT((실물목록!$P$2:$P$1001&lt;&gt;"")*ISNUMBER(SEARCH(실물목록!$P$2:$P$1001,I1013))*(실물목록!$Q$2:$Q$1001&lt;&gt;"")*ISNUMBER(SEARCH(실물목록!$Q$2:$Q$1001,I1013))*(실물목록!$R$2:$R$1001="")*(실물목록!$O$2:$O$1001&lt;&gt;"")*(실물목록!$O$2:$O$1001=H1013)))</f>
      </c>
      <c r="H1013" t="str">
        <f>IFERROR(IF(AND(LEN(SUBSTITUTE(SUBSTITUTE(SUBSTITUTE(TRIM(A1013&amp;""),CHAR(160),"")," ",""),"년",""))=4,VALUE(SUBSTITUTE(SUBSTITUTE(SUBSTITUTE(TRIM(A1013&amp;""),CHAR(160),"")," ",""),"년",""))&gt;=1900,VALUE(SUBSTITUTE(SUBSTITUTE(SUBSTITUTE(TRIM(A1013&amp;""),CHAR(160),"")," ",""),"년",""))&lt;=2099,TEXT(VALUE(SUBSTITUTE(SUBSTITUTE(SUBSTITUTE(TRIM(A1013&amp;""),CHAR(160),"")," ",""),"년","")),"0000")=SUBSTITUTE(SUBSTITUTE(SUBSTITUTE(TRIM(A1013&amp;""),CHAR(160),"")," ",""),"년","")),SUBSTITUTE(SUBSTITUTE(SUBSTITUTE(TRIM(A1013&amp;""),CHAR(160),"")," ",""),"년",""),""),"")</f>
      </c>
      <c r="I1013" t="str">
        <f>SUBSTITUTE(SUBSTITUTE(SUBSTITUTE(SUBSTITUTE(SUBSTITUTE(TRIM(B1013&amp;""),CHAR(160),"")," ",""),"초등학교","초"),"중학교","중"),"고등학교","고")</f>
      </c>
    </row>
    <row r="1014" customFormat="false" ht="15" hidden="false" customHeight="false" outlineLevel="0" collapsed="false">
      <c r="A1014" s="8"/>
      <c r="B1014" s="8"/>
      <c r="C1014" s="8"/>
      <c r="D1014" s="8"/>
      <c r="E1014" s="8"/>
      <c r="F1014" t="str" s="15">
        <f aca="0">IF(B1014="","",IF(H1014="","확인필요(입력누락)",IF(SUMPRODUCT((실물목록!$P$2:$P$1001&lt;&gt;"")*ISNUMBER(SEARCH(실물목록!$P$2:$P$1001,I1014))*(실물목록!$Q$2:$Q$1001&lt;&gt;"")*ISNUMBER(SEARCH(실물목록!$Q$2:$Q$1001,I1014))*(실물목록!$R$2:$R$1001="")*(실물목록!$O$2:$O$1001&lt;&gt;"")*(실물목록!$O$2:$O$1001=H1014))&gt;0,"실물 있음",IF(SUMPRODUCT((실물목록!$P$2:$P$1001&lt;&gt;"")*ISNUMBER(SEARCH(실물목록!$P$2:$P$1001,I1014))*(실물목록!$R$2:$R$1001&lt;&gt;""))&gt;0,"확인필요(입력누락)",IF(SUMPRODUCT((실물목록!$P$2:$P$1001&lt;&gt;"")*ISNUMBER(SEARCH(실물목록!$P$2:$P$1001,I1014))*(실물목록!$Q$2:$Q$1001&lt;&gt;"")*ISNUMBER(SEARCH(실물목록!$Q$2:$Q$1001,I1014))*(실물목록!$R$2:$R$1001="")*(실물목록!$O$2:$O$1001&lt;&gt;""))&gt;0,"확인필요(연도다름)","실물 없음")))))</f>
      </c>
      <c r="G1014" t="n" s="16">
        <f aca="0">IF(B1014="","",SUMPRODUCT((실물목록!$P$2:$P$1001&lt;&gt;"")*ISNUMBER(SEARCH(실물목록!$P$2:$P$1001,I1014))*(실물목록!$Q$2:$Q$1001&lt;&gt;"")*ISNUMBER(SEARCH(실물목록!$Q$2:$Q$1001,I1014))*(실물목록!$R$2:$R$1001="")*(실물목록!$O$2:$O$1001&lt;&gt;"")*(실물목록!$O$2:$O$1001=H1014)))</f>
      </c>
      <c r="H1014" t="str">
        <f>IFERROR(IF(AND(LEN(SUBSTITUTE(SUBSTITUTE(SUBSTITUTE(TRIM(A1014&amp;""),CHAR(160),"")," ",""),"년",""))=4,VALUE(SUBSTITUTE(SUBSTITUTE(SUBSTITUTE(TRIM(A1014&amp;""),CHAR(160),"")," ",""),"년",""))&gt;=1900,VALUE(SUBSTITUTE(SUBSTITUTE(SUBSTITUTE(TRIM(A1014&amp;""),CHAR(160),"")," ",""),"년",""))&lt;=2099,TEXT(VALUE(SUBSTITUTE(SUBSTITUTE(SUBSTITUTE(TRIM(A1014&amp;""),CHAR(160),"")," ",""),"년","")),"0000")=SUBSTITUTE(SUBSTITUTE(SUBSTITUTE(TRIM(A1014&amp;""),CHAR(160),"")," ",""),"년","")),SUBSTITUTE(SUBSTITUTE(SUBSTITUTE(TRIM(A1014&amp;""),CHAR(160),"")," ",""),"년",""),""),"")</f>
      </c>
      <c r="I1014" t="str">
        <f>SUBSTITUTE(SUBSTITUTE(SUBSTITUTE(SUBSTITUTE(SUBSTITUTE(TRIM(B1014&amp;""),CHAR(160),"")," ",""),"초등학교","초"),"중학교","중"),"고등학교","고")</f>
      </c>
    </row>
    <row r="1015" customFormat="false" ht="15" hidden="false" customHeight="false" outlineLevel="0" collapsed="false">
      <c r="A1015" s="8"/>
      <c r="B1015" s="8"/>
      <c r="C1015" s="8"/>
      <c r="D1015" s="8"/>
      <c r="E1015" s="8"/>
      <c r="F1015" t="str" s="15">
        <f aca="0">IF(B1015="","",IF(H1015="","확인필요(입력누락)",IF(SUMPRODUCT((실물목록!$P$2:$P$1001&lt;&gt;"")*ISNUMBER(SEARCH(실물목록!$P$2:$P$1001,I1015))*(실물목록!$Q$2:$Q$1001&lt;&gt;"")*ISNUMBER(SEARCH(실물목록!$Q$2:$Q$1001,I1015))*(실물목록!$R$2:$R$1001="")*(실물목록!$O$2:$O$1001&lt;&gt;"")*(실물목록!$O$2:$O$1001=H1015))&gt;0,"실물 있음",IF(SUMPRODUCT((실물목록!$P$2:$P$1001&lt;&gt;"")*ISNUMBER(SEARCH(실물목록!$P$2:$P$1001,I1015))*(실물목록!$R$2:$R$1001&lt;&gt;""))&gt;0,"확인필요(입력누락)",IF(SUMPRODUCT((실물목록!$P$2:$P$1001&lt;&gt;"")*ISNUMBER(SEARCH(실물목록!$P$2:$P$1001,I1015))*(실물목록!$Q$2:$Q$1001&lt;&gt;"")*ISNUMBER(SEARCH(실물목록!$Q$2:$Q$1001,I1015))*(실물목록!$R$2:$R$1001="")*(실물목록!$O$2:$O$1001&lt;&gt;""))&gt;0,"확인필요(연도다름)","실물 없음")))))</f>
      </c>
      <c r="G1015" t="n" s="16">
        <f aca="0">IF(B1015="","",SUMPRODUCT((실물목록!$P$2:$P$1001&lt;&gt;"")*ISNUMBER(SEARCH(실물목록!$P$2:$P$1001,I1015))*(실물목록!$Q$2:$Q$1001&lt;&gt;"")*ISNUMBER(SEARCH(실물목록!$Q$2:$Q$1001,I1015))*(실물목록!$R$2:$R$1001="")*(실물목록!$O$2:$O$1001&lt;&gt;"")*(실물목록!$O$2:$O$1001=H1015)))</f>
      </c>
      <c r="H1015" t="str">
        <f>IFERROR(IF(AND(LEN(SUBSTITUTE(SUBSTITUTE(SUBSTITUTE(TRIM(A1015&amp;""),CHAR(160),"")," ",""),"년",""))=4,VALUE(SUBSTITUTE(SUBSTITUTE(SUBSTITUTE(TRIM(A1015&amp;""),CHAR(160),"")," ",""),"년",""))&gt;=1900,VALUE(SUBSTITUTE(SUBSTITUTE(SUBSTITUTE(TRIM(A1015&amp;""),CHAR(160),"")," ",""),"년",""))&lt;=2099,TEXT(VALUE(SUBSTITUTE(SUBSTITUTE(SUBSTITUTE(TRIM(A1015&amp;""),CHAR(160),"")," ",""),"년","")),"0000")=SUBSTITUTE(SUBSTITUTE(SUBSTITUTE(TRIM(A1015&amp;""),CHAR(160),"")," ",""),"년","")),SUBSTITUTE(SUBSTITUTE(SUBSTITUTE(TRIM(A1015&amp;""),CHAR(160),"")," ",""),"년",""),""),"")</f>
      </c>
      <c r="I1015" t="str">
        <f>SUBSTITUTE(SUBSTITUTE(SUBSTITUTE(SUBSTITUTE(SUBSTITUTE(TRIM(B1015&amp;""),CHAR(160),"")," ",""),"초등학교","초"),"중학교","중"),"고등학교","고")</f>
      </c>
    </row>
    <row r="1016" customFormat="false" ht="15" hidden="false" customHeight="false" outlineLevel="0" collapsed="false">
      <c r="A1016" s="8"/>
      <c r="B1016" s="8"/>
      <c r="C1016" s="8"/>
      <c r="D1016" s="8"/>
      <c r="E1016" s="8"/>
      <c r="F1016" t="str" s="15">
        <f aca="0">IF(B1016="","",IF(H1016="","확인필요(입력누락)",IF(SUMPRODUCT((실물목록!$P$2:$P$1001&lt;&gt;"")*ISNUMBER(SEARCH(실물목록!$P$2:$P$1001,I1016))*(실물목록!$Q$2:$Q$1001&lt;&gt;"")*ISNUMBER(SEARCH(실물목록!$Q$2:$Q$1001,I1016))*(실물목록!$R$2:$R$1001="")*(실물목록!$O$2:$O$1001&lt;&gt;"")*(실물목록!$O$2:$O$1001=H1016))&gt;0,"실물 있음",IF(SUMPRODUCT((실물목록!$P$2:$P$1001&lt;&gt;"")*ISNUMBER(SEARCH(실물목록!$P$2:$P$1001,I1016))*(실물목록!$R$2:$R$1001&lt;&gt;""))&gt;0,"확인필요(입력누락)",IF(SUMPRODUCT((실물목록!$P$2:$P$1001&lt;&gt;"")*ISNUMBER(SEARCH(실물목록!$P$2:$P$1001,I1016))*(실물목록!$Q$2:$Q$1001&lt;&gt;"")*ISNUMBER(SEARCH(실물목록!$Q$2:$Q$1001,I1016))*(실물목록!$R$2:$R$1001="")*(실물목록!$O$2:$O$1001&lt;&gt;""))&gt;0,"확인필요(연도다름)","실물 없음")))))</f>
      </c>
      <c r="G1016" t="n" s="16">
        <f aca="0">IF(B1016="","",SUMPRODUCT((실물목록!$P$2:$P$1001&lt;&gt;"")*ISNUMBER(SEARCH(실물목록!$P$2:$P$1001,I1016))*(실물목록!$Q$2:$Q$1001&lt;&gt;"")*ISNUMBER(SEARCH(실물목록!$Q$2:$Q$1001,I1016))*(실물목록!$R$2:$R$1001="")*(실물목록!$O$2:$O$1001&lt;&gt;"")*(실물목록!$O$2:$O$1001=H1016)))</f>
      </c>
      <c r="H1016" t="str">
        <f>IFERROR(IF(AND(LEN(SUBSTITUTE(SUBSTITUTE(SUBSTITUTE(TRIM(A1016&amp;""),CHAR(160),"")," ",""),"년",""))=4,VALUE(SUBSTITUTE(SUBSTITUTE(SUBSTITUTE(TRIM(A1016&amp;""),CHAR(160),"")," ",""),"년",""))&gt;=1900,VALUE(SUBSTITUTE(SUBSTITUTE(SUBSTITUTE(TRIM(A1016&amp;""),CHAR(160),"")," ",""),"년",""))&lt;=2099,TEXT(VALUE(SUBSTITUTE(SUBSTITUTE(SUBSTITUTE(TRIM(A1016&amp;""),CHAR(160),"")," ",""),"년","")),"0000")=SUBSTITUTE(SUBSTITUTE(SUBSTITUTE(TRIM(A1016&amp;""),CHAR(160),"")," ",""),"년","")),SUBSTITUTE(SUBSTITUTE(SUBSTITUTE(TRIM(A1016&amp;""),CHAR(160),"")," ",""),"년",""),""),"")</f>
      </c>
      <c r="I1016" t="str">
        <f>SUBSTITUTE(SUBSTITUTE(SUBSTITUTE(SUBSTITUTE(SUBSTITUTE(TRIM(B1016&amp;""),CHAR(160),"")," ",""),"초등학교","초"),"중학교","중"),"고등학교","고")</f>
      </c>
    </row>
    <row r="1017" customFormat="false" ht="15" hidden="false" customHeight="false" outlineLevel="0" collapsed="false">
      <c r="A1017" s="8"/>
      <c r="B1017" s="8"/>
      <c r="C1017" s="8"/>
      <c r="D1017" s="8"/>
      <c r="E1017" s="8"/>
      <c r="F1017" t="str" s="15">
        <f aca="0">IF(B1017="","",IF(H1017="","확인필요(입력누락)",IF(SUMPRODUCT((실물목록!$P$2:$P$1001&lt;&gt;"")*ISNUMBER(SEARCH(실물목록!$P$2:$P$1001,I1017))*(실물목록!$Q$2:$Q$1001&lt;&gt;"")*ISNUMBER(SEARCH(실물목록!$Q$2:$Q$1001,I1017))*(실물목록!$R$2:$R$1001="")*(실물목록!$O$2:$O$1001&lt;&gt;"")*(실물목록!$O$2:$O$1001=H1017))&gt;0,"실물 있음",IF(SUMPRODUCT((실물목록!$P$2:$P$1001&lt;&gt;"")*ISNUMBER(SEARCH(실물목록!$P$2:$P$1001,I1017))*(실물목록!$R$2:$R$1001&lt;&gt;""))&gt;0,"확인필요(입력누락)",IF(SUMPRODUCT((실물목록!$P$2:$P$1001&lt;&gt;"")*ISNUMBER(SEARCH(실물목록!$P$2:$P$1001,I1017))*(실물목록!$Q$2:$Q$1001&lt;&gt;"")*ISNUMBER(SEARCH(실물목록!$Q$2:$Q$1001,I1017))*(실물목록!$R$2:$R$1001="")*(실물목록!$O$2:$O$1001&lt;&gt;""))&gt;0,"확인필요(연도다름)","실물 없음")))))</f>
      </c>
      <c r="G1017" t="n" s="16">
        <f aca="0">IF(B1017="","",SUMPRODUCT((실물목록!$P$2:$P$1001&lt;&gt;"")*ISNUMBER(SEARCH(실물목록!$P$2:$P$1001,I1017))*(실물목록!$Q$2:$Q$1001&lt;&gt;"")*ISNUMBER(SEARCH(실물목록!$Q$2:$Q$1001,I1017))*(실물목록!$R$2:$R$1001="")*(실물목록!$O$2:$O$1001&lt;&gt;"")*(실물목록!$O$2:$O$1001=H1017)))</f>
      </c>
      <c r="H1017" t="str">
        <f>IFERROR(IF(AND(LEN(SUBSTITUTE(SUBSTITUTE(SUBSTITUTE(TRIM(A1017&amp;""),CHAR(160),"")," ",""),"년",""))=4,VALUE(SUBSTITUTE(SUBSTITUTE(SUBSTITUTE(TRIM(A1017&amp;""),CHAR(160),"")," ",""),"년",""))&gt;=1900,VALUE(SUBSTITUTE(SUBSTITUTE(SUBSTITUTE(TRIM(A1017&amp;""),CHAR(160),"")," ",""),"년",""))&lt;=2099,TEXT(VALUE(SUBSTITUTE(SUBSTITUTE(SUBSTITUTE(TRIM(A1017&amp;""),CHAR(160),"")," ",""),"년","")),"0000")=SUBSTITUTE(SUBSTITUTE(SUBSTITUTE(TRIM(A1017&amp;""),CHAR(160),"")," ",""),"년","")),SUBSTITUTE(SUBSTITUTE(SUBSTITUTE(TRIM(A1017&amp;""),CHAR(160),"")," ",""),"년",""),""),"")</f>
      </c>
      <c r="I1017" t="str">
        <f>SUBSTITUTE(SUBSTITUTE(SUBSTITUTE(SUBSTITUTE(SUBSTITUTE(TRIM(B1017&amp;""),CHAR(160),"")," ",""),"초등학교","초"),"중학교","중"),"고등학교","고")</f>
      </c>
    </row>
    <row r="1018" customFormat="false" ht="15" hidden="false" customHeight="false" outlineLevel="0" collapsed="false">
      <c r="A1018" s="8"/>
      <c r="B1018" s="8"/>
      <c r="C1018" s="8"/>
      <c r="D1018" s="8"/>
      <c r="E1018" s="8"/>
      <c r="F1018" t="str" s="15">
        <f aca="0">IF(B1018="","",IF(H1018="","확인필요(입력누락)",IF(SUMPRODUCT((실물목록!$P$2:$P$1001&lt;&gt;"")*ISNUMBER(SEARCH(실물목록!$P$2:$P$1001,I1018))*(실물목록!$Q$2:$Q$1001&lt;&gt;"")*ISNUMBER(SEARCH(실물목록!$Q$2:$Q$1001,I1018))*(실물목록!$R$2:$R$1001="")*(실물목록!$O$2:$O$1001&lt;&gt;"")*(실물목록!$O$2:$O$1001=H1018))&gt;0,"실물 있음",IF(SUMPRODUCT((실물목록!$P$2:$P$1001&lt;&gt;"")*ISNUMBER(SEARCH(실물목록!$P$2:$P$1001,I1018))*(실물목록!$R$2:$R$1001&lt;&gt;""))&gt;0,"확인필요(입력누락)",IF(SUMPRODUCT((실물목록!$P$2:$P$1001&lt;&gt;"")*ISNUMBER(SEARCH(실물목록!$P$2:$P$1001,I1018))*(실물목록!$Q$2:$Q$1001&lt;&gt;"")*ISNUMBER(SEARCH(실물목록!$Q$2:$Q$1001,I1018))*(실물목록!$R$2:$R$1001="")*(실물목록!$O$2:$O$1001&lt;&gt;""))&gt;0,"확인필요(연도다름)","실물 없음")))))</f>
      </c>
      <c r="G1018" t="n" s="16">
        <f aca="0">IF(B1018="","",SUMPRODUCT((실물목록!$P$2:$P$1001&lt;&gt;"")*ISNUMBER(SEARCH(실물목록!$P$2:$P$1001,I1018))*(실물목록!$Q$2:$Q$1001&lt;&gt;"")*ISNUMBER(SEARCH(실물목록!$Q$2:$Q$1001,I1018))*(실물목록!$R$2:$R$1001="")*(실물목록!$O$2:$O$1001&lt;&gt;"")*(실물목록!$O$2:$O$1001=H1018)))</f>
      </c>
      <c r="H1018" t="str">
        <f>IFERROR(IF(AND(LEN(SUBSTITUTE(SUBSTITUTE(SUBSTITUTE(TRIM(A1018&amp;""),CHAR(160),"")," ",""),"년",""))=4,VALUE(SUBSTITUTE(SUBSTITUTE(SUBSTITUTE(TRIM(A1018&amp;""),CHAR(160),"")," ",""),"년",""))&gt;=1900,VALUE(SUBSTITUTE(SUBSTITUTE(SUBSTITUTE(TRIM(A1018&amp;""),CHAR(160),"")," ",""),"년",""))&lt;=2099,TEXT(VALUE(SUBSTITUTE(SUBSTITUTE(SUBSTITUTE(TRIM(A1018&amp;""),CHAR(160),"")," ",""),"년","")),"0000")=SUBSTITUTE(SUBSTITUTE(SUBSTITUTE(TRIM(A1018&amp;""),CHAR(160),"")," ",""),"년","")),SUBSTITUTE(SUBSTITUTE(SUBSTITUTE(TRIM(A1018&amp;""),CHAR(160),"")," ",""),"년",""),""),"")</f>
      </c>
      <c r="I1018" t="str">
        <f>SUBSTITUTE(SUBSTITUTE(SUBSTITUTE(SUBSTITUTE(SUBSTITUTE(TRIM(B1018&amp;""),CHAR(160),"")," ",""),"초등학교","초"),"중학교","중"),"고등학교","고")</f>
      </c>
    </row>
    <row r="1019" customFormat="false" ht="15" hidden="false" customHeight="false" outlineLevel="0" collapsed="false">
      <c r="A1019" s="8"/>
      <c r="B1019" s="8"/>
      <c r="C1019" s="8"/>
      <c r="D1019" s="8"/>
      <c r="E1019" s="8"/>
      <c r="F1019" t="str" s="15">
        <f aca="0">IF(B1019="","",IF(H1019="","확인필요(입력누락)",IF(SUMPRODUCT((실물목록!$P$2:$P$1001&lt;&gt;"")*ISNUMBER(SEARCH(실물목록!$P$2:$P$1001,I1019))*(실물목록!$Q$2:$Q$1001&lt;&gt;"")*ISNUMBER(SEARCH(실물목록!$Q$2:$Q$1001,I1019))*(실물목록!$R$2:$R$1001="")*(실물목록!$O$2:$O$1001&lt;&gt;"")*(실물목록!$O$2:$O$1001=H1019))&gt;0,"실물 있음",IF(SUMPRODUCT((실물목록!$P$2:$P$1001&lt;&gt;"")*ISNUMBER(SEARCH(실물목록!$P$2:$P$1001,I1019))*(실물목록!$R$2:$R$1001&lt;&gt;""))&gt;0,"확인필요(입력누락)",IF(SUMPRODUCT((실물목록!$P$2:$P$1001&lt;&gt;"")*ISNUMBER(SEARCH(실물목록!$P$2:$P$1001,I1019))*(실물목록!$Q$2:$Q$1001&lt;&gt;"")*ISNUMBER(SEARCH(실물목록!$Q$2:$Q$1001,I1019))*(실물목록!$R$2:$R$1001="")*(실물목록!$O$2:$O$1001&lt;&gt;""))&gt;0,"확인필요(연도다름)","실물 없음")))))</f>
      </c>
      <c r="G1019" t="n" s="16">
        <f aca="0">IF(B1019="","",SUMPRODUCT((실물목록!$P$2:$P$1001&lt;&gt;"")*ISNUMBER(SEARCH(실물목록!$P$2:$P$1001,I1019))*(실물목록!$Q$2:$Q$1001&lt;&gt;"")*ISNUMBER(SEARCH(실물목록!$Q$2:$Q$1001,I1019))*(실물목록!$R$2:$R$1001="")*(실물목록!$O$2:$O$1001&lt;&gt;"")*(실물목록!$O$2:$O$1001=H1019)))</f>
      </c>
      <c r="H1019" t="str">
        <f>IFERROR(IF(AND(LEN(SUBSTITUTE(SUBSTITUTE(SUBSTITUTE(TRIM(A1019&amp;""),CHAR(160),"")," ",""),"년",""))=4,VALUE(SUBSTITUTE(SUBSTITUTE(SUBSTITUTE(TRIM(A1019&amp;""),CHAR(160),"")," ",""),"년",""))&gt;=1900,VALUE(SUBSTITUTE(SUBSTITUTE(SUBSTITUTE(TRIM(A1019&amp;""),CHAR(160),"")," ",""),"년",""))&lt;=2099,TEXT(VALUE(SUBSTITUTE(SUBSTITUTE(SUBSTITUTE(TRIM(A1019&amp;""),CHAR(160),"")," ",""),"년","")),"0000")=SUBSTITUTE(SUBSTITUTE(SUBSTITUTE(TRIM(A1019&amp;""),CHAR(160),"")," ",""),"년","")),SUBSTITUTE(SUBSTITUTE(SUBSTITUTE(TRIM(A1019&amp;""),CHAR(160),"")," ",""),"년",""),""),"")</f>
      </c>
      <c r="I1019" t="str">
        <f>SUBSTITUTE(SUBSTITUTE(SUBSTITUTE(SUBSTITUTE(SUBSTITUTE(TRIM(B1019&amp;""),CHAR(160),"")," ",""),"초등학교","초"),"중학교","중"),"고등학교","고")</f>
      </c>
    </row>
    <row r="1020" customFormat="false" ht="15" hidden="false" customHeight="false" outlineLevel="0" collapsed="false">
      <c r="A1020" s="8"/>
      <c r="B1020" s="8"/>
      <c r="C1020" s="8"/>
      <c r="D1020" s="8"/>
      <c r="E1020" s="8"/>
      <c r="F1020" t="str" s="15">
        <f aca="0">IF(B1020="","",IF(H1020="","확인필요(입력누락)",IF(SUMPRODUCT((실물목록!$P$2:$P$1001&lt;&gt;"")*ISNUMBER(SEARCH(실물목록!$P$2:$P$1001,I1020))*(실물목록!$Q$2:$Q$1001&lt;&gt;"")*ISNUMBER(SEARCH(실물목록!$Q$2:$Q$1001,I1020))*(실물목록!$R$2:$R$1001="")*(실물목록!$O$2:$O$1001&lt;&gt;"")*(실물목록!$O$2:$O$1001=H1020))&gt;0,"실물 있음",IF(SUMPRODUCT((실물목록!$P$2:$P$1001&lt;&gt;"")*ISNUMBER(SEARCH(실물목록!$P$2:$P$1001,I1020))*(실물목록!$R$2:$R$1001&lt;&gt;""))&gt;0,"확인필요(입력누락)",IF(SUMPRODUCT((실물목록!$P$2:$P$1001&lt;&gt;"")*ISNUMBER(SEARCH(실물목록!$P$2:$P$1001,I1020))*(실물목록!$Q$2:$Q$1001&lt;&gt;"")*ISNUMBER(SEARCH(실물목록!$Q$2:$Q$1001,I1020))*(실물목록!$R$2:$R$1001="")*(실물목록!$O$2:$O$1001&lt;&gt;""))&gt;0,"확인필요(연도다름)","실물 없음")))))</f>
      </c>
      <c r="G1020" t="n" s="16">
        <f aca="0">IF(B1020="","",SUMPRODUCT((실물목록!$P$2:$P$1001&lt;&gt;"")*ISNUMBER(SEARCH(실물목록!$P$2:$P$1001,I1020))*(실물목록!$Q$2:$Q$1001&lt;&gt;"")*ISNUMBER(SEARCH(실물목록!$Q$2:$Q$1001,I1020))*(실물목록!$R$2:$R$1001="")*(실물목록!$O$2:$O$1001&lt;&gt;"")*(실물목록!$O$2:$O$1001=H1020)))</f>
      </c>
      <c r="H1020" t="str">
        <f>IFERROR(IF(AND(LEN(SUBSTITUTE(SUBSTITUTE(SUBSTITUTE(TRIM(A1020&amp;""),CHAR(160),"")," ",""),"년",""))=4,VALUE(SUBSTITUTE(SUBSTITUTE(SUBSTITUTE(TRIM(A1020&amp;""),CHAR(160),"")," ",""),"년",""))&gt;=1900,VALUE(SUBSTITUTE(SUBSTITUTE(SUBSTITUTE(TRIM(A1020&amp;""),CHAR(160),"")," ",""),"년",""))&lt;=2099,TEXT(VALUE(SUBSTITUTE(SUBSTITUTE(SUBSTITUTE(TRIM(A1020&amp;""),CHAR(160),"")," ",""),"년","")),"0000")=SUBSTITUTE(SUBSTITUTE(SUBSTITUTE(TRIM(A1020&amp;""),CHAR(160),"")," ",""),"년","")),SUBSTITUTE(SUBSTITUTE(SUBSTITUTE(TRIM(A1020&amp;""),CHAR(160),"")," ",""),"년",""),""),"")</f>
      </c>
      <c r="I1020" t="str">
        <f>SUBSTITUTE(SUBSTITUTE(SUBSTITUTE(SUBSTITUTE(SUBSTITUTE(TRIM(B1020&amp;""),CHAR(160),"")," ",""),"초등학교","초"),"중학교","중"),"고등학교","고")</f>
      </c>
    </row>
    <row r="1021" customFormat="false" ht="15" hidden="false" customHeight="false" outlineLevel="0" collapsed="false">
      <c r="A1021" s="8"/>
      <c r="B1021" s="8"/>
      <c r="C1021" s="8"/>
      <c r="D1021" s="8"/>
      <c r="E1021" s="8"/>
      <c r="F1021" t="str" s="15">
        <f aca="0">IF(B1021="","",IF(H1021="","확인필요(입력누락)",IF(SUMPRODUCT((실물목록!$P$2:$P$1001&lt;&gt;"")*ISNUMBER(SEARCH(실물목록!$P$2:$P$1001,I1021))*(실물목록!$Q$2:$Q$1001&lt;&gt;"")*ISNUMBER(SEARCH(실물목록!$Q$2:$Q$1001,I1021))*(실물목록!$R$2:$R$1001="")*(실물목록!$O$2:$O$1001&lt;&gt;"")*(실물목록!$O$2:$O$1001=H1021))&gt;0,"실물 있음",IF(SUMPRODUCT((실물목록!$P$2:$P$1001&lt;&gt;"")*ISNUMBER(SEARCH(실물목록!$P$2:$P$1001,I1021))*(실물목록!$R$2:$R$1001&lt;&gt;""))&gt;0,"확인필요(입력누락)",IF(SUMPRODUCT((실물목록!$P$2:$P$1001&lt;&gt;"")*ISNUMBER(SEARCH(실물목록!$P$2:$P$1001,I1021))*(실물목록!$Q$2:$Q$1001&lt;&gt;"")*ISNUMBER(SEARCH(실물목록!$Q$2:$Q$1001,I1021))*(실물목록!$R$2:$R$1001="")*(실물목록!$O$2:$O$1001&lt;&gt;""))&gt;0,"확인필요(연도다름)","실물 없음")))))</f>
      </c>
      <c r="G1021" t="n" s="16">
        <f aca="0">IF(B1021="","",SUMPRODUCT((실물목록!$P$2:$P$1001&lt;&gt;"")*ISNUMBER(SEARCH(실물목록!$P$2:$P$1001,I1021))*(실물목록!$Q$2:$Q$1001&lt;&gt;"")*ISNUMBER(SEARCH(실물목록!$Q$2:$Q$1001,I1021))*(실물목록!$R$2:$R$1001="")*(실물목록!$O$2:$O$1001&lt;&gt;"")*(실물목록!$O$2:$O$1001=H1021)))</f>
      </c>
      <c r="H1021" t="str">
        <f>IFERROR(IF(AND(LEN(SUBSTITUTE(SUBSTITUTE(SUBSTITUTE(TRIM(A1021&amp;""),CHAR(160),"")," ",""),"년",""))=4,VALUE(SUBSTITUTE(SUBSTITUTE(SUBSTITUTE(TRIM(A1021&amp;""),CHAR(160),"")," ",""),"년",""))&gt;=1900,VALUE(SUBSTITUTE(SUBSTITUTE(SUBSTITUTE(TRIM(A1021&amp;""),CHAR(160),"")," ",""),"년",""))&lt;=2099,TEXT(VALUE(SUBSTITUTE(SUBSTITUTE(SUBSTITUTE(TRIM(A1021&amp;""),CHAR(160),"")," ",""),"년","")),"0000")=SUBSTITUTE(SUBSTITUTE(SUBSTITUTE(TRIM(A1021&amp;""),CHAR(160),"")," ",""),"년","")),SUBSTITUTE(SUBSTITUTE(SUBSTITUTE(TRIM(A1021&amp;""),CHAR(160),"")," ",""),"년",""),""),"")</f>
      </c>
      <c r="I1021" t="str">
        <f>SUBSTITUTE(SUBSTITUTE(SUBSTITUTE(SUBSTITUTE(SUBSTITUTE(TRIM(B1021&amp;""),CHAR(160),"")," ",""),"초등학교","초"),"중학교","중"),"고등학교","고")</f>
      </c>
    </row>
    <row r="1022" customFormat="false" ht="15" hidden="false" customHeight="false" outlineLevel="0" collapsed="false">
      <c r="A1022" s="8"/>
      <c r="B1022" s="8"/>
      <c r="C1022" s="8"/>
      <c r="D1022" s="8"/>
      <c r="E1022" s="8"/>
      <c r="F1022" t="str" s="15">
        <f aca="0">IF(B1022="","",IF(H1022="","확인필요(입력누락)",IF(SUMPRODUCT((실물목록!$P$2:$P$1001&lt;&gt;"")*ISNUMBER(SEARCH(실물목록!$P$2:$P$1001,I1022))*(실물목록!$Q$2:$Q$1001&lt;&gt;"")*ISNUMBER(SEARCH(실물목록!$Q$2:$Q$1001,I1022))*(실물목록!$R$2:$R$1001="")*(실물목록!$O$2:$O$1001&lt;&gt;"")*(실물목록!$O$2:$O$1001=H1022))&gt;0,"실물 있음",IF(SUMPRODUCT((실물목록!$P$2:$P$1001&lt;&gt;"")*ISNUMBER(SEARCH(실물목록!$P$2:$P$1001,I1022))*(실물목록!$R$2:$R$1001&lt;&gt;""))&gt;0,"확인필요(입력누락)",IF(SUMPRODUCT((실물목록!$P$2:$P$1001&lt;&gt;"")*ISNUMBER(SEARCH(실물목록!$P$2:$P$1001,I1022))*(실물목록!$Q$2:$Q$1001&lt;&gt;"")*ISNUMBER(SEARCH(실물목록!$Q$2:$Q$1001,I1022))*(실물목록!$R$2:$R$1001="")*(실물목록!$O$2:$O$1001&lt;&gt;""))&gt;0,"확인필요(연도다름)","실물 없음")))))</f>
      </c>
      <c r="G1022" t="n" s="16">
        <f aca="0">IF(B1022="","",SUMPRODUCT((실물목록!$P$2:$P$1001&lt;&gt;"")*ISNUMBER(SEARCH(실물목록!$P$2:$P$1001,I1022))*(실물목록!$Q$2:$Q$1001&lt;&gt;"")*ISNUMBER(SEARCH(실물목록!$Q$2:$Q$1001,I1022))*(실물목록!$R$2:$R$1001="")*(실물목록!$O$2:$O$1001&lt;&gt;"")*(실물목록!$O$2:$O$1001=H1022)))</f>
      </c>
      <c r="H1022" t="str">
        <f>IFERROR(IF(AND(LEN(SUBSTITUTE(SUBSTITUTE(SUBSTITUTE(TRIM(A1022&amp;""),CHAR(160),"")," ",""),"년",""))=4,VALUE(SUBSTITUTE(SUBSTITUTE(SUBSTITUTE(TRIM(A1022&amp;""),CHAR(160),"")," ",""),"년",""))&gt;=1900,VALUE(SUBSTITUTE(SUBSTITUTE(SUBSTITUTE(TRIM(A1022&amp;""),CHAR(160),"")," ",""),"년",""))&lt;=2099,TEXT(VALUE(SUBSTITUTE(SUBSTITUTE(SUBSTITUTE(TRIM(A1022&amp;""),CHAR(160),"")," ",""),"년","")),"0000")=SUBSTITUTE(SUBSTITUTE(SUBSTITUTE(TRIM(A1022&amp;""),CHAR(160),"")," ",""),"년","")),SUBSTITUTE(SUBSTITUTE(SUBSTITUTE(TRIM(A1022&amp;""),CHAR(160),"")," ",""),"년",""),""),"")</f>
      </c>
      <c r="I1022" t="str">
        <f>SUBSTITUTE(SUBSTITUTE(SUBSTITUTE(SUBSTITUTE(SUBSTITUTE(TRIM(B1022&amp;""),CHAR(160),"")," ",""),"초등학교","초"),"중학교","중"),"고등학교","고")</f>
      </c>
    </row>
    <row r="1023" customFormat="false" ht="15" hidden="false" customHeight="false" outlineLevel="0" collapsed="false">
      <c r="A1023" s="8"/>
      <c r="B1023" s="8"/>
      <c r="C1023" s="8"/>
      <c r="D1023" s="8"/>
      <c r="E1023" s="8"/>
      <c r="F1023" t="str" s="15">
        <f aca="0">IF(B1023="","",IF(H1023="","확인필요(입력누락)",IF(SUMPRODUCT((실물목록!$P$2:$P$1001&lt;&gt;"")*ISNUMBER(SEARCH(실물목록!$P$2:$P$1001,I1023))*(실물목록!$Q$2:$Q$1001&lt;&gt;"")*ISNUMBER(SEARCH(실물목록!$Q$2:$Q$1001,I1023))*(실물목록!$R$2:$R$1001="")*(실물목록!$O$2:$O$1001&lt;&gt;"")*(실물목록!$O$2:$O$1001=H1023))&gt;0,"실물 있음",IF(SUMPRODUCT((실물목록!$P$2:$P$1001&lt;&gt;"")*ISNUMBER(SEARCH(실물목록!$P$2:$P$1001,I1023))*(실물목록!$R$2:$R$1001&lt;&gt;""))&gt;0,"확인필요(입력누락)",IF(SUMPRODUCT((실물목록!$P$2:$P$1001&lt;&gt;"")*ISNUMBER(SEARCH(실물목록!$P$2:$P$1001,I1023))*(실물목록!$Q$2:$Q$1001&lt;&gt;"")*ISNUMBER(SEARCH(실물목록!$Q$2:$Q$1001,I1023))*(실물목록!$R$2:$R$1001="")*(실물목록!$O$2:$O$1001&lt;&gt;""))&gt;0,"확인필요(연도다름)","실물 없음")))))</f>
      </c>
      <c r="G1023" t="n" s="16">
        <f aca="0">IF(B1023="","",SUMPRODUCT((실물목록!$P$2:$P$1001&lt;&gt;"")*ISNUMBER(SEARCH(실물목록!$P$2:$P$1001,I1023))*(실물목록!$Q$2:$Q$1001&lt;&gt;"")*ISNUMBER(SEARCH(실물목록!$Q$2:$Q$1001,I1023))*(실물목록!$R$2:$R$1001="")*(실물목록!$O$2:$O$1001&lt;&gt;"")*(실물목록!$O$2:$O$1001=H1023)))</f>
      </c>
      <c r="H1023" t="str">
        <f>IFERROR(IF(AND(LEN(SUBSTITUTE(SUBSTITUTE(SUBSTITUTE(TRIM(A1023&amp;""),CHAR(160),"")," ",""),"년",""))=4,VALUE(SUBSTITUTE(SUBSTITUTE(SUBSTITUTE(TRIM(A1023&amp;""),CHAR(160),"")," ",""),"년",""))&gt;=1900,VALUE(SUBSTITUTE(SUBSTITUTE(SUBSTITUTE(TRIM(A1023&amp;""),CHAR(160),"")," ",""),"년",""))&lt;=2099,TEXT(VALUE(SUBSTITUTE(SUBSTITUTE(SUBSTITUTE(TRIM(A1023&amp;""),CHAR(160),"")," ",""),"년","")),"0000")=SUBSTITUTE(SUBSTITUTE(SUBSTITUTE(TRIM(A1023&amp;""),CHAR(160),"")," ",""),"년","")),SUBSTITUTE(SUBSTITUTE(SUBSTITUTE(TRIM(A1023&amp;""),CHAR(160),"")," ",""),"년",""),""),"")</f>
      </c>
      <c r="I1023" t="str">
        <f>SUBSTITUTE(SUBSTITUTE(SUBSTITUTE(SUBSTITUTE(SUBSTITUTE(TRIM(B1023&amp;""),CHAR(160),"")," ",""),"초등학교","초"),"중학교","중"),"고등학교","고")</f>
      </c>
    </row>
    <row r="1024" customFormat="false" ht="15" hidden="false" customHeight="false" outlineLevel="0" collapsed="false">
      <c r="A1024" s="8"/>
      <c r="B1024" s="8"/>
      <c r="C1024" s="8"/>
      <c r="D1024" s="8"/>
      <c r="E1024" s="8"/>
      <c r="F1024" t="str" s="15">
        <f aca="0">IF(B1024="","",IF(H1024="","확인필요(입력누락)",IF(SUMPRODUCT((실물목록!$P$2:$P$1001&lt;&gt;"")*ISNUMBER(SEARCH(실물목록!$P$2:$P$1001,I1024))*(실물목록!$Q$2:$Q$1001&lt;&gt;"")*ISNUMBER(SEARCH(실물목록!$Q$2:$Q$1001,I1024))*(실물목록!$R$2:$R$1001="")*(실물목록!$O$2:$O$1001&lt;&gt;"")*(실물목록!$O$2:$O$1001=H1024))&gt;0,"실물 있음",IF(SUMPRODUCT((실물목록!$P$2:$P$1001&lt;&gt;"")*ISNUMBER(SEARCH(실물목록!$P$2:$P$1001,I1024))*(실물목록!$R$2:$R$1001&lt;&gt;""))&gt;0,"확인필요(입력누락)",IF(SUMPRODUCT((실물목록!$P$2:$P$1001&lt;&gt;"")*ISNUMBER(SEARCH(실물목록!$P$2:$P$1001,I1024))*(실물목록!$Q$2:$Q$1001&lt;&gt;"")*ISNUMBER(SEARCH(실물목록!$Q$2:$Q$1001,I1024))*(실물목록!$R$2:$R$1001="")*(실물목록!$O$2:$O$1001&lt;&gt;""))&gt;0,"확인필요(연도다름)","실물 없음")))))</f>
      </c>
      <c r="G1024" t="n" s="16">
        <f aca="0">IF(B1024="","",SUMPRODUCT((실물목록!$P$2:$P$1001&lt;&gt;"")*ISNUMBER(SEARCH(실물목록!$P$2:$P$1001,I1024))*(실물목록!$Q$2:$Q$1001&lt;&gt;"")*ISNUMBER(SEARCH(실물목록!$Q$2:$Q$1001,I1024))*(실물목록!$R$2:$R$1001="")*(실물목록!$O$2:$O$1001&lt;&gt;"")*(실물목록!$O$2:$O$1001=H1024)))</f>
      </c>
      <c r="H1024" t="str">
        <f>IFERROR(IF(AND(LEN(SUBSTITUTE(SUBSTITUTE(SUBSTITUTE(TRIM(A1024&amp;""),CHAR(160),"")," ",""),"년",""))=4,VALUE(SUBSTITUTE(SUBSTITUTE(SUBSTITUTE(TRIM(A1024&amp;""),CHAR(160),"")," ",""),"년",""))&gt;=1900,VALUE(SUBSTITUTE(SUBSTITUTE(SUBSTITUTE(TRIM(A1024&amp;""),CHAR(160),"")," ",""),"년",""))&lt;=2099,TEXT(VALUE(SUBSTITUTE(SUBSTITUTE(SUBSTITUTE(TRIM(A1024&amp;""),CHAR(160),"")," ",""),"년","")),"0000")=SUBSTITUTE(SUBSTITUTE(SUBSTITUTE(TRIM(A1024&amp;""),CHAR(160),"")," ",""),"년","")),SUBSTITUTE(SUBSTITUTE(SUBSTITUTE(TRIM(A1024&amp;""),CHAR(160),"")," ",""),"년",""),""),"")</f>
      </c>
      <c r="I1024" t="str">
        <f>SUBSTITUTE(SUBSTITUTE(SUBSTITUTE(SUBSTITUTE(SUBSTITUTE(TRIM(B1024&amp;""),CHAR(160),"")," ",""),"초등학교","초"),"중학교","중"),"고등학교","고")</f>
      </c>
    </row>
    <row r="1025" customFormat="false" ht="15" hidden="false" customHeight="false" outlineLevel="0" collapsed="false">
      <c r="A1025" s="8"/>
      <c r="B1025" s="8"/>
      <c r="C1025" s="8"/>
      <c r="D1025" s="8"/>
      <c r="E1025" s="8"/>
      <c r="F1025" t="str" s="15">
        <f aca="0">IF(B1025="","",IF(H1025="","확인필요(입력누락)",IF(SUMPRODUCT((실물목록!$P$2:$P$1001&lt;&gt;"")*ISNUMBER(SEARCH(실물목록!$P$2:$P$1001,I1025))*(실물목록!$Q$2:$Q$1001&lt;&gt;"")*ISNUMBER(SEARCH(실물목록!$Q$2:$Q$1001,I1025))*(실물목록!$R$2:$R$1001="")*(실물목록!$O$2:$O$1001&lt;&gt;"")*(실물목록!$O$2:$O$1001=H1025))&gt;0,"실물 있음",IF(SUMPRODUCT((실물목록!$P$2:$P$1001&lt;&gt;"")*ISNUMBER(SEARCH(실물목록!$P$2:$P$1001,I1025))*(실물목록!$R$2:$R$1001&lt;&gt;""))&gt;0,"확인필요(입력누락)",IF(SUMPRODUCT((실물목록!$P$2:$P$1001&lt;&gt;"")*ISNUMBER(SEARCH(실물목록!$P$2:$P$1001,I1025))*(실물목록!$Q$2:$Q$1001&lt;&gt;"")*ISNUMBER(SEARCH(실물목록!$Q$2:$Q$1001,I1025))*(실물목록!$R$2:$R$1001="")*(실물목록!$O$2:$O$1001&lt;&gt;""))&gt;0,"확인필요(연도다름)","실물 없음")))))</f>
      </c>
      <c r="G1025" t="n" s="16">
        <f aca="0">IF(B1025="","",SUMPRODUCT((실물목록!$P$2:$P$1001&lt;&gt;"")*ISNUMBER(SEARCH(실물목록!$P$2:$P$1001,I1025))*(실물목록!$Q$2:$Q$1001&lt;&gt;"")*ISNUMBER(SEARCH(실물목록!$Q$2:$Q$1001,I1025))*(실물목록!$R$2:$R$1001="")*(실물목록!$O$2:$O$1001&lt;&gt;"")*(실물목록!$O$2:$O$1001=H1025)))</f>
      </c>
      <c r="H1025" t="str">
        <f>IFERROR(IF(AND(LEN(SUBSTITUTE(SUBSTITUTE(SUBSTITUTE(TRIM(A1025&amp;""),CHAR(160),"")," ",""),"년",""))=4,VALUE(SUBSTITUTE(SUBSTITUTE(SUBSTITUTE(TRIM(A1025&amp;""),CHAR(160),"")," ",""),"년",""))&gt;=1900,VALUE(SUBSTITUTE(SUBSTITUTE(SUBSTITUTE(TRIM(A1025&amp;""),CHAR(160),"")," ",""),"년",""))&lt;=2099,TEXT(VALUE(SUBSTITUTE(SUBSTITUTE(SUBSTITUTE(TRIM(A1025&amp;""),CHAR(160),"")," ",""),"년","")),"0000")=SUBSTITUTE(SUBSTITUTE(SUBSTITUTE(TRIM(A1025&amp;""),CHAR(160),"")," ",""),"년","")),SUBSTITUTE(SUBSTITUTE(SUBSTITUTE(TRIM(A1025&amp;""),CHAR(160),"")," ",""),"년",""),""),"")</f>
      </c>
      <c r="I1025" t="str">
        <f>SUBSTITUTE(SUBSTITUTE(SUBSTITUTE(SUBSTITUTE(SUBSTITUTE(TRIM(B1025&amp;""),CHAR(160),"")," ",""),"초등학교","초"),"중학교","중"),"고등학교","고")</f>
      </c>
    </row>
    <row r="1026" customFormat="false" ht="15" hidden="false" customHeight="false" outlineLevel="0" collapsed="false">
      <c r="A1026" s="8"/>
      <c r="B1026" s="8"/>
      <c r="C1026" s="8"/>
      <c r="D1026" s="8"/>
      <c r="E1026" s="8"/>
      <c r="F1026" t="str" s="15">
        <f aca="0">IF(B1026="","",IF(H1026="","확인필요(입력누락)",IF(SUMPRODUCT((실물목록!$P$2:$P$1001&lt;&gt;"")*ISNUMBER(SEARCH(실물목록!$P$2:$P$1001,I1026))*(실물목록!$Q$2:$Q$1001&lt;&gt;"")*ISNUMBER(SEARCH(실물목록!$Q$2:$Q$1001,I1026))*(실물목록!$R$2:$R$1001="")*(실물목록!$O$2:$O$1001&lt;&gt;"")*(실물목록!$O$2:$O$1001=H1026))&gt;0,"실물 있음",IF(SUMPRODUCT((실물목록!$P$2:$P$1001&lt;&gt;"")*ISNUMBER(SEARCH(실물목록!$P$2:$P$1001,I1026))*(실물목록!$R$2:$R$1001&lt;&gt;""))&gt;0,"확인필요(입력누락)",IF(SUMPRODUCT((실물목록!$P$2:$P$1001&lt;&gt;"")*ISNUMBER(SEARCH(실물목록!$P$2:$P$1001,I1026))*(실물목록!$Q$2:$Q$1001&lt;&gt;"")*ISNUMBER(SEARCH(실물목록!$Q$2:$Q$1001,I1026))*(실물목록!$R$2:$R$1001="")*(실물목록!$O$2:$O$1001&lt;&gt;""))&gt;0,"확인필요(연도다름)","실물 없음")))))</f>
      </c>
      <c r="G1026" t="n" s="16">
        <f aca="0">IF(B1026="","",SUMPRODUCT((실물목록!$P$2:$P$1001&lt;&gt;"")*ISNUMBER(SEARCH(실물목록!$P$2:$P$1001,I1026))*(실물목록!$Q$2:$Q$1001&lt;&gt;"")*ISNUMBER(SEARCH(실물목록!$Q$2:$Q$1001,I1026))*(실물목록!$R$2:$R$1001="")*(실물목록!$O$2:$O$1001&lt;&gt;"")*(실물목록!$O$2:$O$1001=H1026)))</f>
      </c>
      <c r="H1026" t="str">
        <f>IFERROR(IF(AND(LEN(SUBSTITUTE(SUBSTITUTE(SUBSTITUTE(TRIM(A1026&amp;""),CHAR(160),"")," ",""),"년",""))=4,VALUE(SUBSTITUTE(SUBSTITUTE(SUBSTITUTE(TRIM(A1026&amp;""),CHAR(160),"")," ",""),"년",""))&gt;=1900,VALUE(SUBSTITUTE(SUBSTITUTE(SUBSTITUTE(TRIM(A1026&amp;""),CHAR(160),"")," ",""),"년",""))&lt;=2099,TEXT(VALUE(SUBSTITUTE(SUBSTITUTE(SUBSTITUTE(TRIM(A1026&amp;""),CHAR(160),"")," ",""),"년","")),"0000")=SUBSTITUTE(SUBSTITUTE(SUBSTITUTE(TRIM(A1026&amp;""),CHAR(160),"")," ",""),"년","")),SUBSTITUTE(SUBSTITUTE(SUBSTITUTE(TRIM(A1026&amp;""),CHAR(160),"")," ",""),"년",""),""),"")</f>
      </c>
      <c r="I1026" t="str">
        <f>SUBSTITUTE(SUBSTITUTE(SUBSTITUTE(SUBSTITUTE(SUBSTITUTE(TRIM(B1026&amp;""),CHAR(160),"")," ",""),"초등학교","초"),"중학교","중"),"고등학교","고")</f>
      </c>
    </row>
    <row r="1027" customFormat="false" ht="15" hidden="false" customHeight="false" outlineLevel="0" collapsed="false">
      <c r="A1027" s="8"/>
      <c r="B1027" s="8"/>
      <c r="C1027" s="8"/>
      <c r="D1027" s="8"/>
      <c r="E1027" s="8"/>
      <c r="F1027" t="str" s="15">
        <f aca="0">IF(B1027="","",IF(H1027="","확인필요(입력누락)",IF(SUMPRODUCT((실물목록!$P$2:$P$1001&lt;&gt;"")*ISNUMBER(SEARCH(실물목록!$P$2:$P$1001,I1027))*(실물목록!$Q$2:$Q$1001&lt;&gt;"")*ISNUMBER(SEARCH(실물목록!$Q$2:$Q$1001,I1027))*(실물목록!$R$2:$R$1001="")*(실물목록!$O$2:$O$1001&lt;&gt;"")*(실물목록!$O$2:$O$1001=H1027))&gt;0,"실물 있음",IF(SUMPRODUCT((실물목록!$P$2:$P$1001&lt;&gt;"")*ISNUMBER(SEARCH(실물목록!$P$2:$P$1001,I1027))*(실물목록!$R$2:$R$1001&lt;&gt;""))&gt;0,"확인필요(입력누락)",IF(SUMPRODUCT((실물목록!$P$2:$P$1001&lt;&gt;"")*ISNUMBER(SEARCH(실물목록!$P$2:$P$1001,I1027))*(실물목록!$Q$2:$Q$1001&lt;&gt;"")*ISNUMBER(SEARCH(실물목록!$Q$2:$Q$1001,I1027))*(실물목록!$R$2:$R$1001="")*(실물목록!$O$2:$O$1001&lt;&gt;""))&gt;0,"확인필요(연도다름)","실물 없음")))))</f>
      </c>
      <c r="G1027" t="n" s="16">
        <f aca="0">IF(B1027="","",SUMPRODUCT((실물목록!$P$2:$P$1001&lt;&gt;"")*ISNUMBER(SEARCH(실물목록!$P$2:$P$1001,I1027))*(실물목록!$Q$2:$Q$1001&lt;&gt;"")*ISNUMBER(SEARCH(실물목록!$Q$2:$Q$1001,I1027))*(실물목록!$R$2:$R$1001="")*(실물목록!$O$2:$O$1001&lt;&gt;"")*(실물목록!$O$2:$O$1001=H1027)))</f>
      </c>
      <c r="H1027" t="str">
        <f>IFERROR(IF(AND(LEN(SUBSTITUTE(SUBSTITUTE(SUBSTITUTE(TRIM(A1027&amp;""),CHAR(160),"")," ",""),"년",""))=4,VALUE(SUBSTITUTE(SUBSTITUTE(SUBSTITUTE(TRIM(A1027&amp;""),CHAR(160),"")," ",""),"년",""))&gt;=1900,VALUE(SUBSTITUTE(SUBSTITUTE(SUBSTITUTE(TRIM(A1027&amp;""),CHAR(160),"")," ",""),"년",""))&lt;=2099,TEXT(VALUE(SUBSTITUTE(SUBSTITUTE(SUBSTITUTE(TRIM(A1027&amp;""),CHAR(160),"")," ",""),"년","")),"0000")=SUBSTITUTE(SUBSTITUTE(SUBSTITUTE(TRIM(A1027&amp;""),CHAR(160),"")," ",""),"년","")),SUBSTITUTE(SUBSTITUTE(SUBSTITUTE(TRIM(A1027&amp;""),CHAR(160),"")," ",""),"년",""),""),"")</f>
      </c>
      <c r="I1027" t="str">
        <f>SUBSTITUTE(SUBSTITUTE(SUBSTITUTE(SUBSTITUTE(SUBSTITUTE(TRIM(B1027&amp;""),CHAR(160),"")," ",""),"초등학교","초"),"중학교","중"),"고등학교","고")</f>
      </c>
    </row>
    <row r="1028" customFormat="false" ht="15" hidden="false" customHeight="false" outlineLevel="0" collapsed="false">
      <c r="A1028" s="8"/>
      <c r="B1028" s="8"/>
      <c r="C1028" s="8"/>
      <c r="D1028" s="8"/>
      <c r="E1028" s="8"/>
      <c r="F1028" t="str" s="15">
        <f aca="0">IF(B1028="","",IF(H1028="","확인필요(입력누락)",IF(SUMPRODUCT((실물목록!$P$2:$P$1001&lt;&gt;"")*ISNUMBER(SEARCH(실물목록!$P$2:$P$1001,I1028))*(실물목록!$Q$2:$Q$1001&lt;&gt;"")*ISNUMBER(SEARCH(실물목록!$Q$2:$Q$1001,I1028))*(실물목록!$R$2:$R$1001="")*(실물목록!$O$2:$O$1001&lt;&gt;"")*(실물목록!$O$2:$O$1001=H1028))&gt;0,"실물 있음",IF(SUMPRODUCT((실물목록!$P$2:$P$1001&lt;&gt;"")*ISNUMBER(SEARCH(실물목록!$P$2:$P$1001,I1028))*(실물목록!$R$2:$R$1001&lt;&gt;""))&gt;0,"확인필요(입력누락)",IF(SUMPRODUCT((실물목록!$P$2:$P$1001&lt;&gt;"")*ISNUMBER(SEARCH(실물목록!$P$2:$P$1001,I1028))*(실물목록!$Q$2:$Q$1001&lt;&gt;"")*ISNUMBER(SEARCH(실물목록!$Q$2:$Q$1001,I1028))*(실물목록!$R$2:$R$1001="")*(실물목록!$O$2:$O$1001&lt;&gt;""))&gt;0,"확인필요(연도다름)","실물 없음")))))</f>
      </c>
      <c r="G1028" t="n" s="16">
        <f aca="0">IF(B1028="","",SUMPRODUCT((실물목록!$P$2:$P$1001&lt;&gt;"")*ISNUMBER(SEARCH(실물목록!$P$2:$P$1001,I1028))*(실물목록!$Q$2:$Q$1001&lt;&gt;"")*ISNUMBER(SEARCH(실물목록!$Q$2:$Q$1001,I1028))*(실물목록!$R$2:$R$1001="")*(실물목록!$O$2:$O$1001&lt;&gt;"")*(실물목록!$O$2:$O$1001=H1028)))</f>
      </c>
      <c r="H1028" t="str">
        <f>IFERROR(IF(AND(LEN(SUBSTITUTE(SUBSTITUTE(SUBSTITUTE(TRIM(A1028&amp;""),CHAR(160),"")," ",""),"년",""))=4,VALUE(SUBSTITUTE(SUBSTITUTE(SUBSTITUTE(TRIM(A1028&amp;""),CHAR(160),"")," ",""),"년",""))&gt;=1900,VALUE(SUBSTITUTE(SUBSTITUTE(SUBSTITUTE(TRIM(A1028&amp;""),CHAR(160),"")," ",""),"년",""))&lt;=2099,TEXT(VALUE(SUBSTITUTE(SUBSTITUTE(SUBSTITUTE(TRIM(A1028&amp;""),CHAR(160),"")," ",""),"년","")),"0000")=SUBSTITUTE(SUBSTITUTE(SUBSTITUTE(TRIM(A1028&amp;""),CHAR(160),"")," ",""),"년","")),SUBSTITUTE(SUBSTITUTE(SUBSTITUTE(TRIM(A1028&amp;""),CHAR(160),"")," ",""),"년",""),""),"")</f>
      </c>
      <c r="I1028" t="str">
        <f>SUBSTITUTE(SUBSTITUTE(SUBSTITUTE(SUBSTITUTE(SUBSTITUTE(TRIM(B1028&amp;""),CHAR(160),"")," ",""),"초등학교","초"),"중학교","중"),"고등학교","고")</f>
      </c>
    </row>
    <row r="1029" customFormat="false" ht="15" hidden="false" customHeight="false" outlineLevel="0" collapsed="false">
      <c r="A1029" s="8"/>
      <c r="B1029" s="8"/>
      <c r="C1029" s="8"/>
      <c r="D1029" s="8"/>
      <c r="E1029" s="8"/>
      <c r="F1029" t="str" s="15">
        <f aca="0">IF(B1029="","",IF(H1029="","확인필요(입력누락)",IF(SUMPRODUCT((실물목록!$P$2:$P$1001&lt;&gt;"")*ISNUMBER(SEARCH(실물목록!$P$2:$P$1001,I1029))*(실물목록!$Q$2:$Q$1001&lt;&gt;"")*ISNUMBER(SEARCH(실물목록!$Q$2:$Q$1001,I1029))*(실물목록!$R$2:$R$1001="")*(실물목록!$O$2:$O$1001&lt;&gt;"")*(실물목록!$O$2:$O$1001=H1029))&gt;0,"실물 있음",IF(SUMPRODUCT((실물목록!$P$2:$P$1001&lt;&gt;"")*ISNUMBER(SEARCH(실물목록!$P$2:$P$1001,I1029))*(실물목록!$R$2:$R$1001&lt;&gt;""))&gt;0,"확인필요(입력누락)",IF(SUMPRODUCT((실물목록!$P$2:$P$1001&lt;&gt;"")*ISNUMBER(SEARCH(실물목록!$P$2:$P$1001,I1029))*(실물목록!$Q$2:$Q$1001&lt;&gt;"")*ISNUMBER(SEARCH(실물목록!$Q$2:$Q$1001,I1029))*(실물목록!$R$2:$R$1001="")*(실물목록!$O$2:$O$1001&lt;&gt;""))&gt;0,"확인필요(연도다름)","실물 없음")))))</f>
      </c>
      <c r="G1029" t="n" s="16">
        <f aca="0">IF(B1029="","",SUMPRODUCT((실물목록!$P$2:$P$1001&lt;&gt;"")*ISNUMBER(SEARCH(실물목록!$P$2:$P$1001,I1029))*(실물목록!$Q$2:$Q$1001&lt;&gt;"")*ISNUMBER(SEARCH(실물목록!$Q$2:$Q$1001,I1029))*(실물목록!$R$2:$R$1001="")*(실물목록!$O$2:$O$1001&lt;&gt;"")*(실물목록!$O$2:$O$1001=H1029)))</f>
      </c>
      <c r="H1029" t="str">
        <f>IFERROR(IF(AND(LEN(SUBSTITUTE(SUBSTITUTE(SUBSTITUTE(TRIM(A1029&amp;""),CHAR(160),"")," ",""),"년",""))=4,VALUE(SUBSTITUTE(SUBSTITUTE(SUBSTITUTE(TRIM(A1029&amp;""),CHAR(160),"")," ",""),"년",""))&gt;=1900,VALUE(SUBSTITUTE(SUBSTITUTE(SUBSTITUTE(TRIM(A1029&amp;""),CHAR(160),"")," ",""),"년",""))&lt;=2099,TEXT(VALUE(SUBSTITUTE(SUBSTITUTE(SUBSTITUTE(TRIM(A1029&amp;""),CHAR(160),"")," ",""),"년","")),"0000")=SUBSTITUTE(SUBSTITUTE(SUBSTITUTE(TRIM(A1029&amp;""),CHAR(160),"")," ",""),"년","")),SUBSTITUTE(SUBSTITUTE(SUBSTITUTE(TRIM(A1029&amp;""),CHAR(160),"")," ",""),"년",""),""),"")</f>
      </c>
      <c r="I1029" t="str">
        <f>SUBSTITUTE(SUBSTITUTE(SUBSTITUTE(SUBSTITUTE(SUBSTITUTE(TRIM(B1029&amp;""),CHAR(160),"")," ",""),"초등학교","초"),"중학교","중"),"고등학교","고")</f>
      </c>
    </row>
    <row r="1030" customFormat="false" ht="15" hidden="false" customHeight="false" outlineLevel="0" collapsed="false">
      <c r="A1030" s="8"/>
      <c r="B1030" s="8"/>
      <c r="C1030" s="8"/>
      <c r="D1030" s="8"/>
      <c r="E1030" s="8"/>
      <c r="F1030" t="str" s="15">
        <f aca="0">IF(B1030="","",IF(H1030="","확인필요(입력누락)",IF(SUMPRODUCT((실물목록!$P$2:$P$1001&lt;&gt;"")*ISNUMBER(SEARCH(실물목록!$P$2:$P$1001,I1030))*(실물목록!$Q$2:$Q$1001&lt;&gt;"")*ISNUMBER(SEARCH(실물목록!$Q$2:$Q$1001,I1030))*(실물목록!$R$2:$R$1001="")*(실물목록!$O$2:$O$1001&lt;&gt;"")*(실물목록!$O$2:$O$1001=H1030))&gt;0,"실물 있음",IF(SUMPRODUCT((실물목록!$P$2:$P$1001&lt;&gt;"")*ISNUMBER(SEARCH(실물목록!$P$2:$P$1001,I1030))*(실물목록!$R$2:$R$1001&lt;&gt;""))&gt;0,"확인필요(입력누락)",IF(SUMPRODUCT((실물목록!$P$2:$P$1001&lt;&gt;"")*ISNUMBER(SEARCH(실물목록!$P$2:$P$1001,I1030))*(실물목록!$Q$2:$Q$1001&lt;&gt;"")*ISNUMBER(SEARCH(실물목록!$Q$2:$Q$1001,I1030))*(실물목록!$R$2:$R$1001="")*(실물목록!$O$2:$O$1001&lt;&gt;""))&gt;0,"확인필요(연도다름)","실물 없음")))))</f>
      </c>
      <c r="G1030" t="n" s="16">
        <f aca="0">IF(B1030="","",SUMPRODUCT((실물목록!$P$2:$P$1001&lt;&gt;"")*ISNUMBER(SEARCH(실물목록!$P$2:$P$1001,I1030))*(실물목록!$Q$2:$Q$1001&lt;&gt;"")*ISNUMBER(SEARCH(실물목록!$Q$2:$Q$1001,I1030))*(실물목록!$R$2:$R$1001="")*(실물목록!$O$2:$O$1001&lt;&gt;"")*(실물목록!$O$2:$O$1001=H1030)))</f>
      </c>
      <c r="H1030" t="str">
        <f>IFERROR(IF(AND(LEN(SUBSTITUTE(SUBSTITUTE(SUBSTITUTE(TRIM(A1030&amp;""),CHAR(160),"")," ",""),"년",""))=4,VALUE(SUBSTITUTE(SUBSTITUTE(SUBSTITUTE(TRIM(A1030&amp;""),CHAR(160),"")," ",""),"년",""))&gt;=1900,VALUE(SUBSTITUTE(SUBSTITUTE(SUBSTITUTE(TRIM(A1030&amp;""),CHAR(160),"")," ",""),"년",""))&lt;=2099,TEXT(VALUE(SUBSTITUTE(SUBSTITUTE(SUBSTITUTE(TRIM(A1030&amp;""),CHAR(160),"")," ",""),"년","")),"0000")=SUBSTITUTE(SUBSTITUTE(SUBSTITUTE(TRIM(A1030&amp;""),CHAR(160),"")," ",""),"년","")),SUBSTITUTE(SUBSTITUTE(SUBSTITUTE(TRIM(A1030&amp;""),CHAR(160),"")," ",""),"년",""),""),"")</f>
      </c>
      <c r="I1030" t="str">
        <f>SUBSTITUTE(SUBSTITUTE(SUBSTITUTE(SUBSTITUTE(SUBSTITUTE(TRIM(B1030&amp;""),CHAR(160),"")," ",""),"초등학교","초"),"중학교","중"),"고등학교","고")</f>
      </c>
    </row>
    <row r="1031" customFormat="false" ht="15" hidden="false" customHeight="false" outlineLevel="0" collapsed="false">
      <c r="A1031" s="8"/>
      <c r="B1031" s="8"/>
      <c r="C1031" s="8"/>
      <c r="D1031" s="8"/>
      <c r="E1031" s="8"/>
      <c r="F1031" t="str" s="15">
        <f aca="0">IF(B1031="","",IF(H1031="","확인필요(입력누락)",IF(SUMPRODUCT((실물목록!$P$2:$P$1001&lt;&gt;"")*ISNUMBER(SEARCH(실물목록!$P$2:$P$1001,I1031))*(실물목록!$Q$2:$Q$1001&lt;&gt;"")*ISNUMBER(SEARCH(실물목록!$Q$2:$Q$1001,I1031))*(실물목록!$R$2:$R$1001="")*(실물목록!$O$2:$O$1001&lt;&gt;"")*(실물목록!$O$2:$O$1001=H1031))&gt;0,"실물 있음",IF(SUMPRODUCT((실물목록!$P$2:$P$1001&lt;&gt;"")*ISNUMBER(SEARCH(실물목록!$P$2:$P$1001,I1031))*(실물목록!$R$2:$R$1001&lt;&gt;""))&gt;0,"확인필요(입력누락)",IF(SUMPRODUCT((실물목록!$P$2:$P$1001&lt;&gt;"")*ISNUMBER(SEARCH(실물목록!$P$2:$P$1001,I1031))*(실물목록!$Q$2:$Q$1001&lt;&gt;"")*ISNUMBER(SEARCH(실물목록!$Q$2:$Q$1001,I1031))*(실물목록!$R$2:$R$1001="")*(실물목록!$O$2:$O$1001&lt;&gt;""))&gt;0,"확인필요(연도다름)","실물 없음")))))</f>
      </c>
      <c r="G1031" t="n" s="16">
        <f aca="0">IF(B1031="","",SUMPRODUCT((실물목록!$P$2:$P$1001&lt;&gt;"")*ISNUMBER(SEARCH(실물목록!$P$2:$P$1001,I1031))*(실물목록!$Q$2:$Q$1001&lt;&gt;"")*ISNUMBER(SEARCH(실물목록!$Q$2:$Q$1001,I1031))*(실물목록!$R$2:$R$1001="")*(실물목록!$O$2:$O$1001&lt;&gt;"")*(실물목록!$O$2:$O$1001=H1031)))</f>
      </c>
      <c r="H1031" t="str">
        <f>IFERROR(IF(AND(LEN(SUBSTITUTE(SUBSTITUTE(SUBSTITUTE(TRIM(A1031&amp;""),CHAR(160),"")," ",""),"년",""))=4,VALUE(SUBSTITUTE(SUBSTITUTE(SUBSTITUTE(TRIM(A1031&amp;""),CHAR(160),"")," ",""),"년",""))&gt;=1900,VALUE(SUBSTITUTE(SUBSTITUTE(SUBSTITUTE(TRIM(A1031&amp;""),CHAR(160),"")," ",""),"년",""))&lt;=2099,TEXT(VALUE(SUBSTITUTE(SUBSTITUTE(SUBSTITUTE(TRIM(A1031&amp;""),CHAR(160),"")," ",""),"년","")),"0000")=SUBSTITUTE(SUBSTITUTE(SUBSTITUTE(TRIM(A1031&amp;""),CHAR(160),"")," ",""),"년","")),SUBSTITUTE(SUBSTITUTE(SUBSTITUTE(TRIM(A1031&amp;""),CHAR(160),"")," ",""),"년",""),""),"")</f>
      </c>
      <c r="I1031" t="str">
        <f>SUBSTITUTE(SUBSTITUTE(SUBSTITUTE(SUBSTITUTE(SUBSTITUTE(TRIM(B1031&amp;""),CHAR(160),"")," ",""),"초등학교","초"),"중학교","중"),"고등학교","고")</f>
      </c>
    </row>
    <row r="1032" customFormat="false" ht="15" hidden="false" customHeight="false" outlineLevel="0" collapsed="false">
      <c r="A1032" s="8"/>
      <c r="B1032" s="8"/>
      <c r="C1032" s="8"/>
      <c r="D1032" s="8"/>
      <c r="E1032" s="8"/>
      <c r="F1032" t="str" s="15">
        <f aca="0">IF(B1032="","",IF(H1032="","확인필요(입력누락)",IF(SUMPRODUCT((실물목록!$P$2:$P$1001&lt;&gt;"")*ISNUMBER(SEARCH(실물목록!$P$2:$P$1001,I1032))*(실물목록!$Q$2:$Q$1001&lt;&gt;"")*ISNUMBER(SEARCH(실물목록!$Q$2:$Q$1001,I1032))*(실물목록!$R$2:$R$1001="")*(실물목록!$O$2:$O$1001&lt;&gt;"")*(실물목록!$O$2:$O$1001=H1032))&gt;0,"실물 있음",IF(SUMPRODUCT((실물목록!$P$2:$P$1001&lt;&gt;"")*ISNUMBER(SEARCH(실물목록!$P$2:$P$1001,I1032))*(실물목록!$R$2:$R$1001&lt;&gt;""))&gt;0,"확인필요(입력누락)",IF(SUMPRODUCT((실물목록!$P$2:$P$1001&lt;&gt;"")*ISNUMBER(SEARCH(실물목록!$P$2:$P$1001,I1032))*(실물목록!$Q$2:$Q$1001&lt;&gt;"")*ISNUMBER(SEARCH(실물목록!$Q$2:$Q$1001,I1032))*(실물목록!$R$2:$R$1001="")*(실물목록!$O$2:$O$1001&lt;&gt;""))&gt;0,"확인필요(연도다름)","실물 없음")))))</f>
      </c>
      <c r="G1032" t="n" s="16">
        <f aca="0">IF(B1032="","",SUMPRODUCT((실물목록!$P$2:$P$1001&lt;&gt;"")*ISNUMBER(SEARCH(실물목록!$P$2:$P$1001,I1032))*(실물목록!$Q$2:$Q$1001&lt;&gt;"")*ISNUMBER(SEARCH(실물목록!$Q$2:$Q$1001,I1032))*(실물목록!$R$2:$R$1001="")*(실물목록!$O$2:$O$1001&lt;&gt;"")*(실물목록!$O$2:$O$1001=H1032)))</f>
      </c>
      <c r="H1032" t="str">
        <f>IFERROR(IF(AND(LEN(SUBSTITUTE(SUBSTITUTE(SUBSTITUTE(TRIM(A1032&amp;""),CHAR(160),"")," ",""),"년",""))=4,VALUE(SUBSTITUTE(SUBSTITUTE(SUBSTITUTE(TRIM(A1032&amp;""),CHAR(160),"")," ",""),"년",""))&gt;=1900,VALUE(SUBSTITUTE(SUBSTITUTE(SUBSTITUTE(TRIM(A1032&amp;""),CHAR(160),"")," ",""),"년",""))&lt;=2099,TEXT(VALUE(SUBSTITUTE(SUBSTITUTE(SUBSTITUTE(TRIM(A1032&amp;""),CHAR(160),"")," ",""),"년","")),"0000")=SUBSTITUTE(SUBSTITUTE(SUBSTITUTE(TRIM(A1032&amp;""),CHAR(160),"")," ",""),"년","")),SUBSTITUTE(SUBSTITUTE(SUBSTITUTE(TRIM(A1032&amp;""),CHAR(160),"")," ",""),"년",""),""),"")</f>
      </c>
      <c r="I1032" t="str">
        <f>SUBSTITUTE(SUBSTITUTE(SUBSTITUTE(SUBSTITUTE(SUBSTITUTE(TRIM(B1032&amp;""),CHAR(160),"")," ",""),"초등학교","초"),"중학교","중"),"고등학교","고")</f>
      </c>
    </row>
    <row r="1033" customFormat="false" ht="15" hidden="false" customHeight="false" outlineLevel="0" collapsed="false">
      <c r="A1033" s="8"/>
      <c r="B1033" s="8"/>
      <c r="C1033" s="8"/>
      <c r="D1033" s="8"/>
      <c r="E1033" s="8"/>
      <c r="F1033" t="str" s="15">
        <f aca="0">IF(B1033="","",IF(H1033="","확인필요(입력누락)",IF(SUMPRODUCT((실물목록!$P$2:$P$1001&lt;&gt;"")*ISNUMBER(SEARCH(실물목록!$P$2:$P$1001,I1033))*(실물목록!$Q$2:$Q$1001&lt;&gt;"")*ISNUMBER(SEARCH(실물목록!$Q$2:$Q$1001,I1033))*(실물목록!$R$2:$R$1001="")*(실물목록!$O$2:$O$1001&lt;&gt;"")*(실물목록!$O$2:$O$1001=H1033))&gt;0,"실물 있음",IF(SUMPRODUCT((실물목록!$P$2:$P$1001&lt;&gt;"")*ISNUMBER(SEARCH(실물목록!$P$2:$P$1001,I1033))*(실물목록!$R$2:$R$1001&lt;&gt;""))&gt;0,"확인필요(입력누락)",IF(SUMPRODUCT((실물목록!$P$2:$P$1001&lt;&gt;"")*ISNUMBER(SEARCH(실물목록!$P$2:$P$1001,I1033))*(실물목록!$Q$2:$Q$1001&lt;&gt;"")*ISNUMBER(SEARCH(실물목록!$Q$2:$Q$1001,I1033))*(실물목록!$R$2:$R$1001="")*(실물목록!$O$2:$O$1001&lt;&gt;""))&gt;0,"확인필요(연도다름)","실물 없음")))))</f>
      </c>
      <c r="G1033" t="n" s="16">
        <f aca="0">IF(B1033="","",SUMPRODUCT((실물목록!$P$2:$P$1001&lt;&gt;"")*ISNUMBER(SEARCH(실물목록!$P$2:$P$1001,I1033))*(실물목록!$Q$2:$Q$1001&lt;&gt;"")*ISNUMBER(SEARCH(실물목록!$Q$2:$Q$1001,I1033))*(실물목록!$R$2:$R$1001="")*(실물목록!$O$2:$O$1001&lt;&gt;"")*(실물목록!$O$2:$O$1001=H1033)))</f>
      </c>
      <c r="H1033" t="str">
        <f>IFERROR(IF(AND(LEN(SUBSTITUTE(SUBSTITUTE(SUBSTITUTE(TRIM(A1033&amp;""),CHAR(160),"")," ",""),"년",""))=4,VALUE(SUBSTITUTE(SUBSTITUTE(SUBSTITUTE(TRIM(A1033&amp;""),CHAR(160),"")," ",""),"년",""))&gt;=1900,VALUE(SUBSTITUTE(SUBSTITUTE(SUBSTITUTE(TRIM(A1033&amp;""),CHAR(160),"")," ",""),"년",""))&lt;=2099,TEXT(VALUE(SUBSTITUTE(SUBSTITUTE(SUBSTITUTE(TRIM(A1033&amp;""),CHAR(160),"")," ",""),"년","")),"0000")=SUBSTITUTE(SUBSTITUTE(SUBSTITUTE(TRIM(A1033&amp;""),CHAR(160),"")," ",""),"년","")),SUBSTITUTE(SUBSTITUTE(SUBSTITUTE(TRIM(A1033&amp;""),CHAR(160),"")," ",""),"년",""),""),"")</f>
      </c>
      <c r="I1033" t="str">
        <f>SUBSTITUTE(SUBSTITUTE(SUBSTITUTE(SUBSTITUTE(SUBSTITUTE(TRIM(B1033&amp;""),CHAR(160),"")," ",""),"초등학교","초"),"중학교","중"),"고등학교","고")</f>
      </c>
    </row>
    <row r="1034" customFormat="false" ht="15" hidden="false" customHeight="false" outlineLevel="0" collapsed="false">
      <c r="A1034" s="8"/>
      <c r="B1034" s="8"/>
      <c r="C1034" s="8"/>
      <c r="D1034" s="8"/>
      <c r="E1034" s="8"/>
      <c r="F1034" t="str" s="15">
        <f aca="0">IF(B1034="","",IF(H1034="","확인필요(입력누락)",IF(SUMPRODUCT((실물목록!$P$2:$P$1001&lt;&gt;"")*ISNUMBER(SEARCH(실물목록!$P$2:$P$1001,I1034))*(실물목록!$Q$2:$Q$1001&lt;&gt;"")*ISNUMBER(SEARCH(실물목록!$Q$2:$Q$1001,I1034))*(실물목록!$R$2:$R$1001="")*(실물목록!$O$2:$O$1001&lt;&gt;"")*(실물목록!$O$2:$O$1001=H1034))&gt;0,"실물 있음",IF(SUMPRODUCT((실물목록!$P$2:$P$1001&lt;&gt;"")*ISNUMBER(SEARCH(실물목록!$P$2:$P$1001,I1034))*(실물목록!$R$2:$R$1001&lt;&gt;""))&gt;0,"확인필요(입력누락)",IF(SUMPRODUCT((실물목록!$P$2:$P$1001&lt;&gt;"")*ISNUMBER(SEARCH(실물목록!$P$2:$P$1001,I1034))*(실물목록!$Q$2:$Q$1001&lt;&gt;"")*ISNUMBER(SEARCH(실물목록!$Q$2:$Q$1001,I1034))*(실물목록!$R$2:$R$1001="")*(실물목록!$O$2:$O$1001&lt;&gt;""))&gt;0,"확인필요(연도다름)","실물 없음")))))</f>
      </c>
      <c r="G1034" t="n" s="16">
        <f aca="0">IF(B1034="","",SUMPRODUCT((실물목록!$P$2:$P$1001&lt;&gt;"")*ISNUMBER(SEARCH(실물목록!$P$2:$P$1001,I1034))*(실물목록!$Q$2:$Q$1001&lt;&gt;"")*ISNUMBER(SEARCH(실물목록!$Q$2:$Q$1001,I1034))*(실물목록!$R$2:$R$1001="")*(실물목록!$O$2:$O$1001&lt;&gt;"")*(실물목록!$O$2:$O$1001=H1034)))</f>
      </c>
      <c r="H1034" t="str">
        <f>IFERROR(IF(AND(LEN(SUBSTITUTE(SUBSTITUTE(SUBSTITUTE(TRIM(A1034&amp;""),CHAR(160),"")," ",""),"년",""))=4,VALUE(SUBSTITUTE(SUBSTITUTE(SUBSTITUTE(TRIM(A1034&amp;""),CHAR(160),"")," ",""),"년",""))&gt;=1900,VALUE(SUBSTITUTE(SUBSTITUTE(SUBSTITUTE(TRIM(A1034&amp;""),CHAR(160),"")," ",""),"년",""))&lt;=2099,TEXT(VALUE(SUBSTITUTE(SUBSTITUTE(SUBSTITUTE(TRIM(A1034&amp;""),CHAR(160),"")," ",""),"년","")),"0000")=SUBSTITUTE(SUBSTITUTE(SUBSTITUTE(TRIM(A1034&amp;""),CHAR(160),"")," ",""),"년","")),SUBSTITUTE(SUBSTITUTE(SUBSTITUTE(TRIM(A1034&amp;""),CHAR(160),"")," ",""),"년",""),""),"")</f>
      </c>
      <c r="I1034" t="str">
        <f>SUBSTITUTE(SUBSTITUTE(SUBSTITUTE(SUBSTITUTE(SUBSTITUTE(TRIM(B1034&amp;""),CHAR(160),"")," ",""),"초등학교","초"),"중학교","중"),"고등학교","고")</f>
      </c>
    </row>
    <row r="1035" customFormat="false" ht="15" hidden="false" customHeight="false" outlineLevel="0" collapsed="false">
      <c r="A1035" s="8"/>
      <c r="B1035" s="8"/>
      <c r="C1035" s="8"/>
      <c r="D1035" s="8"/>
      <c r="E1035" s="8"/>
      <c r="F1035" t="str" s="15">
        <f aca="0">IF(B1035="","",IF(H1035="","확인필요(입력누락)",IF(SUMPRODUCT((실물목록!$P$2:$P$1001&lt;&gt;"")*ISNUMBER(SEARCH(실물목록!$P$2:$P$1001,I1035))*(실물목록!$Q$2:$Q$1001&lt;&gt;"")*ISNUMBER(SEARCH(실물목록!$Q$2:$Q$1001,I1035))*(실물목록!$R$2:$R$1001="")*(실물목록!$O$2:$O$1001&lt;&gt;"")*(실물목록!$O$2:$O$1001=H1035))&gt;0,"실물 있음",IF(SUMPRODUCT((실물목록!$P$2:$P$1001&lt;&gt;"")*ISNUMBER(SEARCH(실물목록!$P$2:$P$1001,I1035))*(실물목록!$R$2:$R$1001&lt;&gt;""))&gt;0,"확인필요(입력누락)",IF(SUMPRODUCT((실물목록!$P$2:$P$1001&lt;&gt;"")*ISNUMBER(SEARCH(실물목록!$P$2:$P$1001,I1035))*(실물목록!$Q$2:$Q$1001&lt;&gt;"")*ISNUMBER(SEARCH(실물목록!$Q$2:$Q$1001,I1035))*(실물목록!$R$2:$R$1001="")*(실물목록!$O$2:$O$1001&lt;&gt;""))&gt;0,"확인필요(연도다름)","실물 없음")))))</f>
      </c>
      <c r="G1035" t="n" s="16">
        <f aca="0">IF(B1035="","",SUMPRODUCT((실물목록!$P$2:$P$1001&lt;&gt;"")*ISNUMBER(SEARCH(실물목록!$P$2:$P$1001,I1035))*(실물목록!$Q$2:$Q$1001&lt;&gt;"")*ISNUMBER(SEARCH(실물목록!$Q$2:$Q$1001,I1035))*(실물목록!$R$2:$R$1001="")*(실물목록!$O$2:$O$1001&lt;&gt;"")*(실물목록!$O$2:$O$1001=H1035)))</f>
      </c>
      <c r="H1035" t="str">
        <f>IFERROR(IF(AND(LEN(SUBSTITUTE(SUBSTITUTE(SUBSTITUTE(TRIM(A1035&amp;""),CHAR(160),"")," ",""),"년",""))=4,VALUE(SUBSTITUTE(SUBSTITUTE(SUBSTITUTE(TRIM(A1035&amp;""),CHAR(160),"")," ",""),"년",""))&gt;=1900,VALUE(SUBSTITUTE(SUBSTITUTE(SUBSTITUTE(TRIM(A1035&amp;""),CHAR(160),"")," ",""),"년",""))&lt;=2099,TEXT(VALUE(SUBSTITUTE(SUBSTITUTE(SUBSTITUTE(TRIM(A1035&amp;""),CHAR(160),"")," ",""),"년","")),"0000")=SUBSTITUTE(SUBSTITUTE(SUBSTITUTE(TRIM(A1035&amp;""),CHAR(160),"")," ",""),"년","")),SUBSTITUTE(SUBSTITUTE(SUBSTITUTE(TRIM(A1035&amp;""),CHAR(160),"")," ",""),"년",""),""),"")</f>
      </c>
      <c r="I1035" t="str">
        <f>SUBSTITUTE(SUBSTITUTE(SUBSTITUTE(SUBSTITUTE(SUBSTITUTE(TRIM(B1035&amp;""),CHAR(160),"")," ",""),"초등학교","초"),"중학교","중"),"고등학교","고")</f>
      </c>
    </row>
    <row r="1036" customFormat="false" ht="15" hidden="false" customHeight="false" outlineLevel="0" collapsed="false">
      <c r="A1036" s="8"/>
      <c r="B1036" s="8"/>
      <c r="C1036" s="8"/>
      <c r="D1036" s="8"/>
      <c r="E1036" s="8"/>
      <c r="F1036" t="str" s="15">
        <f aca="0">IF(B1036="","",IF(H1036="","확인필요(입력누락)",IF(SUMPRODUCT((실물목록!$P$2:$P$1001&lt;&gt;"")*ISNUMBER(SEARCH(실물목록!$P$2:$P$1001,I1036))*(실물목록!$Q$2:$Q$1001&lt;&gt;"")*ISNUMBER(SEARCH(실물목록!$Q$2:$Q$1001,I1036))*(실물목록!$R$2:$R$1001="")*(실물목록!$O$2:$O$1001&lt;&gt;"")*(실물목록!$O$2:$O$1001=H1036))&gt;0,"실물 있음",IF(SUMPRODUCT((실물목록!$P$2:$P$1001&lt;&gt;"")*ISNUMBER(SEARCH(실물목록!$P$2:$P$1001,I1036))*(실물목록!$R$2:$R$1001&lt;&gt;""))&gt;0,"확인필요(입력누락)",IF(SUMPRODUCT((실물목록!$P$2:$P$1001&lt;&gt;"")*ISNUMBER(SEARCH(실물목록!$P$2:$P$1001,I1036))*(실물목록!$Q$2:$Q$1001&lt;&gt;"")*ISNUMBER(SEARCH(실물목록!$Q$2:$Q$1001,I1036))*(실물목록!$R$2:$R$1001="")*(실물목록!$O$2:$O$1001&lt;&gt;""))&gt;0,"확인필요(연도다름)","실물 없음")))))</f>
      </c>
      <c r="G1036" t="n" s="16">
        <f aca="0">IF(B1036="","",SUMPRODUCT((실물목록!$P$2:$P$1001&lt;&gt;"")*ISNUMBER(SEARCH(실물목록!$P$2:$P$1001,I1036))*(실물목록!$Q$2:$Q$1001&lt;&gt;"")*ISNUMBER(SEARCH(실물목록!$Q$2:$Q$1001,I1036))*(실물목록!$R$2:$R$1001="")*(실물목록!$O$2:$O$1001&lt;&gt;"")*(실물목록!$O$2:$O$1001=H1036)))</f>
      </c>
      <c r="H1036" t="str">
        <f>IFERROR(IF(AND(LEN(SUBSTITUTE(SUBSTITUTE(SUBSTITUTE(TRIM(A1036&amp;""),CHAR(160),"")," ",""),"년",""))=4,VALUE(SUBSTITUTE(SUBSTITUTE(SUBSTITUTE(TRIM(A1036&amp;""),CHAR(160),"")," ",""),"년",""))&gt;=1900,VALUE(SUBSTITUTE(SUBSTITUTE(SUBSTITUTE(TRIM(A1036&amp;""),CHAR(160),"")," ",""),"년",""))&lt;=2099,TEXT(VALUE(SUBSTITUTE(SUBSTITUTE(SUBSTITUTE(TRIM(A1036&amp;""),CHAR(160),"")," ",""),"년","")),"0000")=SUBSTITUTE(SUBSTITUTE(SUBSTITUTE(TRIM(A1036&amp;""),CHAR(160),"")," ",""),"년","")),SUBSTITUTE(SUBSTITUTE(SUBSTITUTE(TRIM(A1036&amp;""),CHAR(160),"")," ",""),"년",""),""),"")</f>
      </c>
      <c r="I1036" t="str">
        <f>SUBSTITUTE(SUBSTITUTE(SUBSTITUTE(SUBSTITUTE(SUBSTITUTE(TRIM(B1036&amp;""),CHAR(160),"")," ",""),"초등학교","초"),"중학교","중"),"고등학교","고")</f>
      </c>
    </row>
    <row r="1037" customFormat="false" ht="15" hidden="false" customHeight="false" outlineLevel="0" collapsed="false">
      <c r="A1037" s="8"/>
      <c r="B1037" s="8"/>
      <c r="C1037" s="8"/>
      <c r="D1037" s="8"/>
      <c r="E1037" s="8"/>
      <c r="F1037" t="str" s="15">
        <f aca="0">IF(B1037="","",IF(H1037="","확인필요(입력누락)",IF(SUMPRODUCT((실물목록!$P$2:$P$1001&lt;&gt;"")*ISNUMBER(SEARCH(실물목록!$P$2:$P$1001,I1037))*(실물목록!$Q$2:$Q$1001&lt;&gt;"")*ISNUMBER(SEARCH(실물목록!$Q$2:$Q$1001,I1037))*(실물목록!$R$2:$R$1001="")*(실물목록!$O$2:$O$1001&lt;&gt;"")*(실물목록!$O$2:$O$1001=H1037))&gt;0,"실물 있음",IF(SUMPRODUCT((실물목록!$P$2:$P$1001&lt;&gt;"")*ISNUMBER(SEARCH(실물목록!$P$2:$P$1001,I1037))*(실물목록!$R$2:$R$1001&lt;&gt;""))&gt;0,"확인필요(입력누락)",IF(SUMPRODUCT((실물목록!$P$2:$P$1001&lt;&gt;"")*ISNUMBER(SEARCH(실물목록!$P$2:$P$1001,I1037))*(실물목록!$Q$2:$Q$1001&lt;&gt;"")*ISNUMBER(SEARCH(실물목록!$Q$2:$Q$1001,I1037))*(실물목록!$R$2:$R$1001="")*(실물목록!$O$2:$O$1001&lt;&gt;""))&gt;0,"확인필요(연도다름)","실물 없음")))))</f>
      </c>
      <c r="G1037" t="n" s="16">
        <f aca="0">IF(B1037="","",SUMPRODUCT((실물목록!$P$2:$P$1001&lt;&gt;"")*ISNUMBER(SEARCH(실물목록!$P$2:$P$1001,I1037))*(실물목록!$Q$2:$Q$1001&lt;&gt;"")*ISNUMBER(SEARCH(실물목록!$Q$2:$Q$1001,I1037))*(실물목록!$R$2:$R$1001="")*(실물목록!$O$2:$O$1001&lt;&gt;"")*(실물목록!$O$2:$O$1001=H1037)))</f>
      </c>
      <c r="H1037" t="str">
        <f>IFERROR(IF(AND(LEN(SUBSTITUTE(SUBSTITUTE(SUBSTITUTE(TRIM(A1037&amp;""),CHAR(160),"")," ",""),"년",""))=4,VALUE(SUBSTITUTE(SUBSTITUTE(SUBSTITUTE(TRIM(A1037&amp;""),CHAR(160),"")," ",""),"년",""))&gt;=1900,VALUE(SUBSTITUTE(SUBSTITUTE(SUBSTITUTE(TRIM(A1037&amp;""),CHAR(160),"")," ",""),"년",""))&lt;=2099,TEXT(VALUE(SUBSTITUTE(SUBSTITUTE(SUBSTITUTE(TRIM(A1037&amp;""),CHAR(160),"")," ",""),"년","")),"0000")=SUBSTITUTE(SUBSTITUTE(SUBSTITUTE(TRIM(A1037&amp;""),CHAR(160),"")," ",""),"년","")),SUBSTITUTE(SUBSTITUTE(SUBSTITUTE(TRIM(A1037&amp;""),CHAR(160),"")," ",""),"년",""),""),"")</f>
      </c>
      <c r="I1037" t="str">
        <f>SUBSTITUTE(SUBSTITUTE(SUBSTITUTE(SUBSTITUTE(SUBSTITUTE(TRIM(B1037&amp;""),CHAR(160),"")," ",""),"초등학교","초"),"중학교","중"),"고등학교","고")</f>
      </c>
    </row>
    <row r="1038" customFormat="false" ht="15" hidden="false" customHeight="false" outlineLevel="0" collapsed="false">
      <c r="A1038" s="8"/>
      <c r="B1038" s="8"/>
      <c r="C1038" s="8"/>
      <c r="D1038" s="8"/>
      <c r="E1038" s="8"/>
      <c r="F1038" t="str" s="15">
        <f aca="0">IF(B1038="","",IF(H1038="","확인필요(입력누락)",IF(SUMPRODUCT((실물목록!$P$2:$P$1001&lt;&gt;"")*ISNUMBER(SEARCH(실물목록!$P$2:$P$1001,I1038))*(실물목록!$Q$2:$Q$1001&lt;&gt;"")*ISNUMBER(SEARCH(실물목록!$Q$2:$Q$1001,I1038))*(실물목록!$R$2:$R$1001="")*(실물목록!$O$2:$O$1001&lt;&gt;"")*(실물목록!$O$2:$O$1001=H1038))&gt;0,"실물 있음",IF(SUMPRODUCT((실물목록!$P$2:$P$1001&lt;&gt;"")*ISNUMBER(SEARCH(실물목록!$P$2:$P$1001,I1038))*(실물목록!$R$2:$R$1001&lt;&gt;""))&gt;0,"확인필요(입력누락)",IF(SUMPRODUCT((실물목록!$P$2:$P$1001&lt;&gt;"")*ISNUMBER(SEARCH(실물목록!$P$2:$P$1001,I1038))*(실물목록!$Q$2:$Q$1001&lt;&gt;"")*ISNUMBER(SEARCH(실물목록!$Q$2:$Q$1001,I1038))*(실물목록!$R$2:$R$1001="")*(실물목록!$O$2:$O$1001&lt;&gt;""))&gt;0,"확인필요(연도다름)","실물 없음")))))</f>
      </c>
      <c r="G1038" t="n" s="16">
        <f aca="0">IF(B1038="","",SUMPRODUCT((실물목록!$P$2:$P$1001&lt;&gt;"")*ISNUMBER(SEARCH(실물목록!$P$2:$P$1001,I1038))*(실물목록!$Q$2:$Q$1001&lt;&gt;"")*ISNUMBER(SEARCH(실물목록!$Q$2:$Q$1001,I1038))*(실물목록!$R$2:$R$1001="")*(실물목록!$O$2:$O$1001&lt;&gt;"")*(실물목록!$O$2:$O$1001=H1038)))</f>
      </c>
      <c r="H1038" t="str">
        <f>IFERROR(IF(AND(LEN(SUBSTITUTE(SUBSTITUTE(SUBSTITUTE(TRIM(A1038&amp;""),CHAR(160),"")," ",""),"년",""))=4,VALUE(SUBSTITUTE(SUBSTITUTE(SUBSTITUTE(TRIM(A1038&amp;""),CHAR(160),"")," ",""),"년",""))&gt;=1900,VALUE(SUBSTITUTE(SUBSTITUTE(SUBSTITUTE(TRIM(A1038&amp;""),CHAR(160),"")," ",""),"년",""))&lt;=2099,TEXT(VALUE(SUBSTITUTE(SUBSTITUTE(SUBSTITUTE(TRIM(A1038&amp;""),CHAR(160),"")," ",""),"년","")),"0000")=SUBSTITUTE(SUBSTITUTE(SUBSTITUTE(TRIM(A1038&amp;""),CHAR(160),"")," ",""),"년","")),SUBSTITUTE(SUBSTITUTE(SUBSTITUTE(TRIM(A1038&amp;""),CHAR(160),"")," ",""),"년",""),""),"")</f>
      </c>
      <c r="I1038" t="str">
        <f>SUBSTITUTE(SUBSTITUTE(SUBSTITUTE(SUBSTITUTE(SUBSTITUTE(TRIM(B1038&amp;""),CHAR(160),"")," ",""),"초등학교","초"),"중학교","중"),"고등학교","고")</f>
      </c>
    </row>
    <row r="1039" customFormat="false" ht="15" hidden="false" customHeight="false" outlineLevel="0" collapsed="false">
      <c r="A1039" s="8"/>
      <c r="B1039" s="8"/>
      <c r="C1039" s="8"/>
      <c r="D1039" s="8"/>
      <c r="E1039" s="8"/>
      <c r="F1039" t="str" s="15">
        <f aca="0">IF(B1039="","",IF(H1039="","확인필요(입력누락)",IF(SUMPRODUCT((실물목록!$P$2:$P$1001&lt;&gt;"")*ISNUMBER(SEARCH(실물목록!$P$2:$P$1001,I1039))*(실물목록!$Q$2:$Q$1001&lt;&gt;"")*ISNUMBER(SEARCH(실물목록!$Q$2:$Q$1001,I1039))*(실물목록!$R$2:$R$1001="")*(실물목록!$O$2:$O$1001&lt;&gt;"")*(실물목록!$O$2:$O$1001=H1039))&gt;0,"실물 있음",IF(SUMPRODUCT((실물목록!$P$2:$P$1001&lt;&gt;"")*ISNUMBER(SEARCH(실물목록!$P$2:$P$1001,I1039))*(실물목록!$R$2:$R$1001&lt;&gt;""))&gt;0,"확인필요(입력누락)",IF(SUMPRODUCT((실물목록!$P$2:$P$1001&lt;&gt;"")*ISNUMBER(SEARCH(실물목록!$P$2:$P$1001,I1039))*(실물목록!$Q$2:$Q$1001&lt;&gt;"")*ISNUMBER(SEARCH(실물목록!$Q$2:$Q$1001,I1039))*(실물목록!$R$2:$R$1001="")*(실물목록!$O$2:$O$1001&lt;&gt;""))&gt;0,"확인필요(연도다름)","실물 없음")))))</f>
      </c>
      <c r="G1039" t="n" s="16">
        <f aca="0">IF(B1039="","",SUMPRODUCT((실물목록!$P$2:$P$1001&lt;&gt;"")*ISNUMBER(SEARCH(실물목록!$P$2:$P$1001,I1039))*(실물목록!$Q$2:$Q$1001&lt;&gt;"")*ISNUMBER(SEARCH(실물목록!$Q$2:$Q$1001,I1039))*(실물목록!$R$2:$R$1001="")*(실물목록!$O$2:$O$1001&lt;&gt;"")*(실물목록!$O$2:$O$1001=H1039)))</f>
      </c>
      <c r="H1039" t="str">
        <f>IFERROR(IF(AND(LEN(SUBSTITUTE(SUBSTITUTE(SUBSTITUTE(TRIM(A1039&amp;""),CHAR(160),"")," ",""),"년",""))=4,VALUE(SUBSTITUTE(SUBSTITUTE(SUBSTITUTE(TRIM(A1039&amp;""),CHAR(160),"")," ",""),"년",""))&gt;=1900,VALUE(SUBSTITUTE(SUBSTITUTE(SUBSTITUTE(TRIM(A1039&amp;""),CHAR(160),"")," ",""),"년",""))&lt;=2099,TEXT(VALUE(SUBSTITUTE(SUBSTITUTE(SUBSTITUTE(TRIM(A1039&amp;""),CHAR(160),"")," ",""),"년","")),"0000")=SUBSTITUTE(SUBSTITUTE(SUBSTITUTE(TRIM(A1039&amp;""),CHAR(160),"")," ",""),"년","")),SUBSTITUTE(SUBSTITUTE(SUBSTITUTE(TRIM(A1039&amp;""),CHAR(160),"")," ",""),"년",""),""),"")</f>
      </c>
      <c r="I1039" t="str">
        <f>SUBSTITUTE(SUBSTITUTE(SUBSTITUTE(SUBSTITUTE(SUBSTITUTE(TRIM(B1039&amp;""),CHAR(160),"")," ",""),"초등학교","초"),"중학교","중"),"고등학교","고")</f>
      </c>
    </row>
    <row r="1040" customFormat="false" ht="15" hidden="false" customHeight="false" outlineLevel="0" collapsed="false">
      <c r="A1040" s="8"/>
      <c r="B1040" s="8"/>
      <c r="C1040" s="8"/>
      <c r="D1040" s="8"/>
      <c r="E1040" s="8"/>
      <c r="F1040" t="str" s="15">
        <f aca="0">IF(B1040="","",IF(H1040="","확인필요(입력누락)",IF(SUMPRODUCT((실물목록!$P$2:$P$1001&lt;&gt;"")*ISNUMBER(SEARCH(실물목록!$P$2:$P$1001,I1040))*(실물목록!$Q$2:$Q$1001&lt;&gt;"")*ISNUMBER(SEARCH(실물목록!$Q$2:$Q$1001,I1040))*(실물목록!$R$2:$R$1001="")*(실물목록!$O$2:$O$1001&lt;&gt;"")*(실물목록!$O$2:$O$1001=H1040))&gt;0,"실물 있음",IF(SUMPRODUCT((실물목록!$P$2:$P$1001&lt;&gt;"")*ISNUMBER(SEARCH(실물목록!$P$2:$P$1001,I1040))*(실물목록!$R$2:$R$1001&lt;&gt;""))&gt;0,"확인필요(입력누락)",IF(SUMPRODUCT((실물목록!$P$2:$P$1001&lt;&gt;"")*ISNUMBER(SEARCH(실물목록!$P$2:$P$1001,I1040))*(실물목록!$Q$2:$Q$1001&lt;&gt;"")*ISNUMBER(SEARCH(실물목록!$Q$2:$Q$1001,I1040))*(실물목록!$R$2:$R$1001="")*(실물목록!$O$2:$O$1001&lt;&gt;""))&gt;0,"확인필요(연도다름)","실물 없음")))))</f>
      </c>
      <c r="G1040" t="n" s="16">
        <f aca="0">IF(B1040="","",SUMPRODUCT((실물목록!$P$2:$P$1001&lt;&gt;"")*ISNUMBER(SEARCH(실물목록!$P$2:$P$1001,I1040))*(실물목록!$Q$2:$Q$1001&lt;&gt;"")*ISNUMBER(SEARCH(실물목록!$Q$2:$Q$1001,I1040))*(실물목록!$R$2:$R$1001="")*(실물목록!$O$2:$O$1001&lt;&gt;"")*(실물목록!$O$2:$O$1001=H1040)))</f>
      </c>
      <c r="H1040" t="str">
        <f>IFERROR(IF(AND(LEN(SUBSTITUTE(SUBSTITUTE(SUBSTITUTE(TRIM(A1040&amp;""),CHAR(160),"")," ",""),"년",""))=4,VALUE(SUBSTITUTE(SUBSTITUTE(SUBSTITUTE(TRIM(A1040&amp;""),CHAR(160),"")," ",""),"년",""))&gt;=1900,VALUE(SUBSTITUTE(SUBSTITUTE(SUBSTITUTE(TRIM(A1040&amp;""),CHAR(160),"")," ",""),"년",""))&lt;=2099,TEXT(VALUE(SUBSTITUTE(SUBSTITUTE(SUBSTITUTE(TRIM(A1040&amp;""),CHAR(160),"")," ",""),"년","")),"0000")=SUBSTITUTE(SUBSTITUTE(SUBSTITUTE(TRIM(A1040&amp;""),CHAR(160),"")," ",""),"년","")),SUBSTITUTE(SUBSTITUTE(SUBSTITUTE(TRIM(A1040&amp;""),CHAR(160),"")," ",""),"년",""),""),"")</f>
      </c>
      <c r="I1040" t="str">
        <f>SUBSTITUTE(SUBSTITUTE(SUBSTITUTE(SUBSTITUTE(SUBSTITUTE(TRIM(B1040&amp;""),CHAR(160),"")," ",""),"초등학교","초"),"중학교","중"),"고등학교","고")</f>
      </c>
    </row>
    <row r="1041" customFormat="false" ht="15" hidden="false" customHeight="false" outlineLevel="0" collapsed="false">
      <c r="A1041" s="8"/>
      <c r="B1041" s="8"/>
      <c r="C1041" s="8"/>
      <c r="D1041" s="8"/>
      <c r="E1041" s="8"/>
      <c r="F1041" t="str" s="15">
        <f aca="0">IF(B1041="","",IF(H1041="","확인필요(입력누락)",IF(SUMPRODUCT((실물목록!$P$2:$P$1001&lt;&gt;"")*ISNUMBER(SEARCH(실물목록!$P$2:$P$1001,I1041))*(실물목록!$Q$2:$Q$1001&lt;&gt;"")*ISNUMBER(SEARCH(실물목록!$Q$2:$Q$1001,I1041))*(실물목록!$R$2:$R$1001="")*(실물목록!$O$2:$O$1001&lt;&gt;"")*(실물목록!$O$2:$O$1001=H1041))&gt;0,"실물 있음",IF(SUMPRODUCT((실물목록!$P$2:$P$1001&lt;&gt;"")*ISNUMBER(SEARCH(실물목록!$P$2:$P$1001,I1041))*(실물목록!$R$2:$R$1001&lt;&gt;""))&gt;0,"확인필요(입력누락)",IF(SUMPRODUCT((실물목록!$P$2:$P$1001&lt;&gt;"")*ISNUMBER(SEARCH(실물목록!$P$2:$P$1001,I1041))*(실물목록!$Q$2:$Q$1001&lt;&gt;"")*ISNUMBER(SEARCH(실물목록!$Q$2:$Q$1001,I1041))*(실물목록!$R$2:$R$1001="")*(실물목록!$O$2:$O$1001&lt;&gt;""))&gt;0,"확인필요(연도다름)","실물 없음")))))</f>
      </c>
      <c r="G1041" t="n" s="16">
        <f aca="0">IF(B1041="","",SUMPRODUCT((실물목록!$P$2:$P$1001&lt;&gt;"")*ISNUMBER(SEARCH(실물목록!$P$2:$P$1001,I1041))*(실물목록!$Q$2:$Q$1001&lt;&gt;"")*ISNUMBER(SEARCH(실물목록!$Q$2:$Q$1001,I1041))*(실물목록!$R$2:$R$1001="")*(실물목록!$O$2:$O$1001&lt;&gt;"")*(실물목록!$O$2:$O$1001=H1041)))</f>
      </c>
      <c r="H1041" t="str">
        <f>IFERROR(IF(AND(LEN(SUBSTITUTE(SUBSTITUTE(SUBSTITUTE(TRIM(A1041&amp;""),CHAR(160),"")," ",""),"년",""))=4,VALUE(SUBSTITUTE(SUBSTITUTE(SUBSTITUTE(TRIM(A1041&amp;""),CHAR(160),"")," ",""),"년",""))&gt;=1900,VALUE(SUBSTITUTE(SUBSTITUTE(SUBSTITUTE(TRIM(A1041&amp;""),CHAR(160),"")," ",""),"년",""))&lt;=2099,TEXT(VALUE(SUBSTITUTE(SUBSTITUTE(SUBSTITUTE(TRIM(A1041&amp;""),CHAR(160),"")," ",""),"년","")),"0000")=SUBSTITUTE(SUBSTITUTE(SUBSTITUTE(TRIM(A1041&amp;""),CHAR(160),"")," ",""),"년","")),SUBSTITUTE(SUBSTITUTE(SUBSTITUTE(TRIM(A1041&amp;""),CHAR(160),"")," ",""),"년",""),""),"")</f>
      </c>
      <c r="I1041" t="str">
        <f>SUBSTITUTE(SUBSTITUTE(SUBSTITUTE(SUBSTITUTE(SUBSTITUTE(TRIM(B1041&amp;""),CHAR(160),"")," ",""),"초등학교","초"),"중학교","중"),"고등학교","고")</f>
      </c>
    </row>
    <row r="1042" customFormat="false" ht="15" hidden="false" customHeight="false" outlineLevel="0" collapsed="false">
      <c r="A1042" s="8"/>
      <c r="B1042" s="8"/>
      <c r="C1042" s="8"/>
      <c r="D1042" s="8"/>
      <c r="E1042" s="8"/>
      <c r="F1042" t="str" s="15">
        <f aca="0">IF(B1042="","",IF(H1042="","확인필요(입력누락)",IF(SUMPRODUCT((실물목록!$P$2:$P$1001&lt;&gt;"")*ISNUMBER(SEARCH(실물목록!$P$2:$P$1001,I1042))*(실물목록!$Q$2:$Q$1001&lt;&gt;"")*ISNUMBER(SEARCH(실물목록!$Q$2:$Q$1001,I1042))*(실물목록!$R$2:$R$1001="")*(실물목록!$O$2:$O$1001&lt;&gt;"")*(실물목록!$O$2:$O$1001=H1042))&gt;0,"실물 있음",IF(SUMPRODUCT((실물목록!$P$2:$P$1001&lt;&gt;"")*ISNUMBER(SEARCH(실물목록!$P$2:$P$1001,I1042))*(실물목록!$R$2:$R$1001&lt;&gt;""))&gt;0,"확인필요(입력누락)",IF(SUMPRODUCT((실물목록!$P$2:$P$1001&lt;&gt;"")*ISNUMBER(SEARCH(실물목록!$P$2:$P$1001,I1042))*(실물목록!$Q$2:$Q$1001&lt;&gt;"")*ISNUMBER(SEARCH(실물목록!$Q$2:$Q$1001,I1042))*(실물목록!$R$2:$R$1001="")*(실물목록!$O$2:$O$1001&lt;&gt;""))&gt;0,"확인필요(연도다름)","실물 없음")))))</f>
      </c>
      <c r="G1042" t="n" s="16">
        <f aca="0">IF(B1042="","",SUMPRODUCT((실물목록!$P$2:$P$1001&lt;&gt;"")*ISNUMBER(SEARCH(실물목록!$P$2:$P$1001,I1042))*(실물목록!$Q$2:$Q$1001&lt;&gt;"")*ISNUMBER(SEARCH(실물목록!$Q$2:$Q$1001,I1042))*(실물목록!$R$2:$R$1001="")*(실물목록!$O$2:$O$1001&lt;&gt;"")*(실물목록!$O$2:$O$1001=H1042)))</f>
      </c>
      <c r="H1042" t="str">
        <f>IFERROR(IF(AND(LEN(SUBSTITUTE(SUBSTITUTE(SUBSTITUTE(TRIM(A1042&amp;""),CHAR(160),"")," ",""),"년",""))=4,VALUE(SUBSTITUTE(SUBSTITUTE(SUBSTITUTE(TRIM(A1042&amp;""),CHAR(160),"")," ",""),"년",""))&gt;=1900,VALUE(SUBSTITUTE(SUBSTITUTE(SUBSTITUTE(TRIM(A1042&amp;""),CHAR(160),"")," ",""),"년",""))&lt;=2099,TEXT(VALUE(SUBSTITUTE(SUBSTITUTE(SUBSTITUTE(TRIM(A1042&amp;""),CHAR(160),"")," ",""),"년","")),"0000")=SUBSTITUTE(SUBSTITUTE(SUBSTITUTE(TRIM(A1042&amp;""),CHAR(160),"")," ",""),"년","")),SUBSTITUTE(SUBSTITUTE(SUBSTITUTE(TRIM(A1042&amp;""),CHAR(160),"")," ",""),"년",""),""),"")</f>
      </c>
      <c r="I1042" t="str">
        <f>SUBSTITUTE(SUBSTITUTE(SUBSTITUTE(SUBSTITUTE(SUBSTITUTE(TRIM(B1042&amp;""),CHAR(160),"")," ",""),"초등학교","초"),"중학교","중"),"고등학교","고")</f>
      </c>
    </row>
    <row r="1043" customFormat="false" ht="15" hidden="false" customHeight="false" outlineLevel="0" collapsed="false">
      <c r="A1043" s="8"/>
      <c r="B1043" s="8"/>
      <c r="C1043" s="8"/>
      <c r="D1043" s="8"/>
      <c r="E1043" s="8"/>
      <c r="F1043" t="str" s="15">
        <f aca="0">IF(B1043="","",IF(H1043="","확인필요(입력누락)",IF(SUMPRODUCT((실물목록!$P$2:$P$1001&lt;&gt;"")*ISNUMBER(SEARCH(실물목록!$P$2:$P$1001,I1043))*(실물목록!$Q$2:$Q$1001&lt;&gt;"")*ISNUMBER(SEARCH(실물목록!$Q$2:$Q$1001,I1043))*(실물목록!$R$2:$R$1001="")*(실물목록!$O$2:$O$1001&lt;&gt;"")*(실물목록!$O$2:$O$1001=H1043))&gt;0,"실물 있음",IF(SUMPRODUCT((실물목록!$P$2:$P$1001&lt;&gt;"")*ISNUMBER(SEARCH(실물목록!$P$2:$P$1001,I1043))*(실물목록!$R$2:$R$1001&lt;&gt;""))&gt;0,"확인필요(입력누락)",IF(SUMPRODUCT((실물목록!$P$2:$P$1001&lt;&gt;"")*ISNUMBER(SEARCH(실물목록!$P$2:$P$1001,I1043))*(실물목록!$Q$2:$Q$1001&lt;&gt;"")*ISNUMBER(SEARCH(실물목록!$Q$2:$Q$1001,I1043))*(실물목록!$R$2:$R$1001="")*(실물목록!$O$2:$O$1001&lt;&gt;""))&gt;0,"확인필요(연도다름)","실물 없음")))))</f>
      </c>
      <c r="G1043" t="n" s="16">
        <f aca="0">IF(B1043="","",SUMPRODUCT((실물목록!$P$2:$P$1001&lt;&gt;"")*ISNUMBER(SEARCH(실물목록!$P$2:$P$1001,I1043))*(실물목록!$Q$2:$Q$1001&lt;&gt;"")*ISNUMBER(SEARCH(실물목록!$Q$2:$Q$1001,I1043))*(실물목록!$R$2:$R$1001="")*(실물목록!$O$2:$O$1001&lt;&gt;"")*(실물목록!$O$2:$O$1001=H1043)))</f>
      </c>
      <c r="H1043" t="str">
        <f>IFERROR(IF(AND(LEN(SUBSTITUTE(SUBSTITUTE(SUBSTITUTE(TRIM(A1043&amp;""),CHAR(160),"")," ",""),"년",""))=4,VALUE(SUBSTITUTE(SUBSTITUTE(SUBSTITUTE(TRIM(A1043&amp;""),CHAR(160),"")," ",""),"년",""))&gt;=1900,VALUE(SUBSTITUTE(SUBSTITUTE(SUBSTITUTE(TRIM(A1043&amp;""),CHAR(160),"")," ",""),"년",""))&lt;=2099,TEXT(VALUE(SUBSTITUTE(SUBSTITUTE(SUBSTITUTE(TRIM(A1043&amp;""),CHAR(160),"")," ",""),"년","")),"0000")=SUBSTITUTE(SUBSTITUTE(SUBSTITUTE(TRIM(A1043&amp;""),CHAR(160),"")," ",""),"년","")),SUBSTITUTE(SUBSTITUTE(SUBSTITUTE(TRIM(A1043&amp;""),CHAR(160),"")," ",""),"년",""),""),"")</f>
      </c>
      <c r="I1043" t="str">
        <f>SUBSTITUTE(SUBSTITUTE(SUBSTITUTE(SUBSTITUTE(SUBSTITUTE(TRIM(B1043&amp;""),CHAR(160),"")," ",""),"초등학교","초"),"중학교","중"),"고등학교","고")</f>
      </c>
    </row>
    <row r="1044" customFormat="false" ht="15" hidden="false" customHeight="false" outlineLevel="0" collapsed="false">
      <c r="A1044" s="8"/>
      <c r="B1044" s="8"/>
      <c r="C1044" s="8"/>
      <c r="D1044" s="8"/>
      <c r="E1044" s="8"/>
      <c r="F1044" t="str" s="15">
        <f aca="0">IF(B1044="","",IF(H1044="","확인필요(입력누락)",IF(SUMPRODUCT((실물목록!$P$2:$P$1001&lt;&gt;"")*ISNUMBER(SEARCH(실물목록!$P$2:$P$1001,I1044))*(실물목록!$Q$2:$Q$1001&lt;&gt;"")*ISNUMBER(SEARCH(실물목록!$Q$2:$Q$1001,I1044))*(실물목록!$R$2:$R$1001="")*(실물목록!$O$2:$O$1001&lt;&gt;"")*(실물목록!$O$2:$O$1001=H1044))&gt;0,"실물 있음",IF(SUMPRODUCT((실물목록!$P$2:$P$1001&lt;&gt;"")*ISNUMBER(SEARCH(실물목록!$P$2:$P$1001,I1044))*(실물목록!$R$2:$R$1001&lt;&gt;""))&gt;0,"확인필요(입력누락)",IF(SUMPRODUCT((실물목록!$P$2:$P$1001&lt;&gt;"")*ISNUMBER(SEARCH(실물목록!$P$2:$P$1001,I1044))*(실물목록!$Q$2:$Q$1001&lt;&gt;"")*ISNUMBER(SEARCH(실물목록!$Q$2:$Q$1001,I1044))*(실물목록!$R$2:$R$1001="")*(실물목록!$O$2:$O$1001&lt;&gt;""))&gt;0,"확인필요(연도다름)","실물 없음")))))</f>
      </c>
      <c r="G1044" t="n" s="16">
        <f aca="0">IF(B1044="","",SUMPRODUCT((실물목록!$P$2:$P$1001&lt;&gt;"")*ISNUMBER(SEARCH(실물목록!$P$2:$P$1001,I1044))*(실물목록!$Q$2:$Q$1001&lt;&gt;"")*ISNUMBER(SEARCH(실물목록!$Q$2:$Q$1001,I1044))*(실물목록!$R$2:$R$1001="")*(실물목록!$O$2:$O$1001&lt;&gt;"")*(실물목록!$O$2:$O$1001=H1044)))</f>
      </c>
      <c r="H1044" t="str">
        <f>IFERROR(IF(AND(LEN(SUBSTITUTE(SUBSTITUTE(SUBSTITUTE(TRIM(A1044&amp;""),CHAR(160),"")," ",""),"년",""))=4,VALUE(SUBSTITUTE(SUBSTITUTE(SUBSTITUTE(TRIM(A1044&amp;""),CHAR(160),"")," ",""),"년",""))&gt;=1900,VALUE(SUBSTITUTE(SUBSTITUTE(SUBSTITUTE(TRIM(A1044&amp;""),CHAR(160),"")," ",""),"년",""))&lt;=2099,TEXT(VALUE(SUBSTITUTE(SUBSTITUTE(SUBSTITUTE(TRIM(A1044&amp;""),CHAR(160),"")," ",""),"년","")),"0000")=SUBSTITUTE(SUBSTITUTE(SUBSTITUTE(TRIM(A1044&amp;""),CHAR(160),"")," ",""),"년","")),SUBSTITUTE(SUBSTITUTE(SUBSTITUTE(TRIM(A1044&amp;""),CHAR(160),"")," ",""),"년",""),""),"")</f>
      </c>
      <c r="I1044" t="str">
        <f>SUBSTITUTE(SUBSTITUTE(SUBSTITUTE(SUBSTITUTE(SUBSTITUTE(TRIM(B1044&amp;""),CHAR(160),"")," ",""),"초등학교","초"),"중학교","중"),"고등학교","고")</f>
      </c>
    </row>
    <row r="1045" customFormat="false" ht="15" hidden="false" customHeight="false" outlineLevel="0" collapsed="false">
      <c r="A1045" s="8"/>
      <c r="B1045" s="8"/>
      <c r="C1045" s="8"/>
      <c r="D1045" s="8"/>
      <c r="E1045" s="8"/>
      <c r="F1045" t="str" s="15">
        <f aca="0">IF(B1045="","",IF(H1045="","확인필요(입력누락)",IF(SUMPRODUCT((실물목록!$P$2:$P$1001&lt;&gt;"")*ISNUMBER(SEARCH(실물목록!$P$2:$P$1001,I1045))*(실물목록!$Q$2:$Q$1001&lt;&gt;"")*ISNUMBER(SEARCH(실물목록!$Q$2:$Q$1001,I1045))*(실물목록!$R$2:$R$1001="")*(실물목록!$O$2:$O$1001&lt;&gt;"")*(실물목록!$O$2:$O$1001=H1045))&gt;0,"실물 있음",IF(SUMPRODUCT((실물목록!$P$2:$P$1001&lt;&gt;"")*ISNUMBER(SEARCH(실물목록!$P$2:$P$1001,I1045))*(실물목록!$R$2:$R$1001&lt;&gt;""))&gt;0,"확인필요(입력누락)",IF(SUMPRODUCT((실물목록!$P$2:$P$1001&lt;&gt;"")*ISNUMBER(SEARCH(실물목록!$P$2:$P$1001,I1045))*(실물목록!$Q$2:$Q$1001&lt;&gt;"")*ISNUMBER(SEARCH(실물목록!$Q$2:$Q$1001,I1045))*(실물목록!$R$2:$R$1001="")*(실물목록!$O$2:$O$1001&lt;&gt;""))&gt;0,"확인필요(연도다름)","실물 없음")))))</f>
      </c>
      <c r="G1045" t="n" s="16">
        <f aca="0">IF(B1045="","",SUMPRODUCT((실물목록!$P$2:$P$1001&lt;&gt;"")*ISNUMBER(SEARCH(실물목록!$P$2:$P$1001,I1045))*(실물목록!$Q$2:$Q$1001&lt;&gt;"")*ISNUMBER(SEARCH(실물목록!$Q$2:$Q$1001,I1045))*(실물목록!$R$2:$R$1001="")*(실물목록!$O$2:$O$1001&lt;&gt;"")*(실물목록!$O$2:$O$1001=H1045)))</f>
      </c>
      <c r="H1045" t="str">
        <f>IFERROR(IF(AND(LEN(SUBSTITUTE(SUBSTITUTE(SUBSTITUTE(TRIM(A1045&amp;""),CHAR(160),"")," ",""),"년",""))=4,VALUE(SUBSTITUTE(SUBSTITUTE(SUBSTITUTE(TRIM(A1045&amp;""),CHAR(160),"")," ",""),"년",""))&gt;=1900,VALUE(SUBSTITUTE(SUBSTITUTE(SUBSTITUTE(TRIM(A1045&amp;""),CHAR(160),"")," ",""),"년",""))&lt;=2099,TEXT(VALUE(SUBSTITUTE(SUBSTITUTE(SUBSTITUTE(TRIM(A1045&amp;""),CHAR(160),"")," ",""),"년","")),"0000")=SUBSTITUTE(SUBSTITUTE(SUBSTITUTE(TRIM(A1045&amp;""),CHAR(160),"")," ",""),"년","")),SUBSTITUTE(SUBSTITUTE(SUBSTITUTE(TRIM(A1045&amp;""),CHAR(160),"")," ",""),"년",""),""),"")</f>
      </c>
      <c r="I1045" t="str">
        <f>SUBSTITUTE(SUBSTITUTE(SUBSTITUTE(SUBSTITUTE(SUBSTITUTE(TRIM(B1045&amp;""),CHAR(160),"")," ",""),"초등학교","초"),"중학교","중"),"고등학교","고")</f>
      </c>
    </row>
    <row r="1046" customFormat="false" ht="15" hidden="false" customHeight="false" outlineLevel="0" collapsed="false">
      <c r="A1046" s="8"/>
      <c r="B1046" s="8"/>
      <c r="C1046" s="8"/>
      <c r="D1046" s="8"/>
      <c r="E1046" s="8"/>
      <c r="F1046" t="str" s="15">
        <f aca="0">IF(B1046="","",IF(H1046="","확인필요(입력누락)",IF(SUMPRODUCT((실물목록!$P$2:$P$1001&lt;&gt;"")*ISNUMBER(SEARCH(실물목록!$P$2:$P$1001,I1046))*(실물목록!$Q$2:$Q$1001&lt;&gt;"")*ISNUMBER(SEARCH(실물목록!$Q$2:$Q$1001,I1046))*(실물목록!$R$2:$R$1001="")*(실물목록!$O$2:$O$1001&lt;&gt;"")*(실물목록!$O$2:$O$1001=H1046))&gt;0,"실물 있음",IF(SUMPRODUCT((실물목록!$P$2:$P$1001&lt;&gt;"")*ISNUMBER(SEARCH(실물목록!$P$2:$P$1001,I1046))*(실물목록!$R$2:$R$1001&lt;&gt;""))&gt;0,"확인필요(입력누락)",IF(SUMPRODUCT((실물목록!$P$2:$P$1001&lt;&gt;"")*ISNUMBER(SEARCH(실물목록!$P$2:$P$1001,I1046))*(실물목록!$Q$2:$Q$1001&lt;&gt;"")*ISNUMBER(SEARCH(실물목록!$Q$2:$Q$1001,I1046))*(실물목록!$R$2:$R$1001="")*(실물목록!$O$2:$O$1001&lt;&gt;""))&gt;0,"확인필요(연도다름)","실물 없음")))))</f>
      </c>
      <c r="G1046" t="n" s="16">
        <f aca="0">IF(B1046="","",SUMPRODUCT((실물목록!$P$2:$P$1001&lt;&gt;"")*ISNUMBER(SEARCH(실물목록!$P$2:$P$1001,I1046))*(실물목록!$Q$2:$Q$1001&lt;&gt;"")*ISNUMBER(SEARCH(실물목록!$Q$2:$Q$1001,I1046))*(실물목록!$R$2:$R$1001="")*(실물목록!$O$2:$O$1001&lt;&gt;"")*(실물목록!$O$2:$O$1001=H1046)))</f>
      </c>
      <c r="H1046" t="str">
        <f>IFERROR(IF(AND(LEN(SUBSTITUTE(SUBSTITUTE(SUBSTITUTE(TRIM(A1046&amp;""),CHAR(160),"")," ",""),"년",""))=4,VALUE(SUBSTITUTE(SUBSTITUTE(SUBSTITUTE(TRIM(A1046&amp;""),CHAR(160),"")," ",""),"년",""))&gt;=1900,VALUE(SUBSTITUTE(SUBSTITUTE(SUBSTITUTE(TRIM(A1046&amp;""),CHAR(160),"")," ",""),"년",""))&lt;=2099,TEXT(VALUE(SUBSTITUTE(SUBSTITUTE(SUBSTITUTE(TRIM(A1046&amp;""),CHAR(160),"")," ",""),"년","")),"0000")=SUBSTITUTE(SUBSTITUTE(SUBSTITUTE(TRIM(A1046&amp;""),CHAR(160),"")," ",""),"년","")),SUBSTITUTE(SUBSTITUTE(SUBSTITUTE(TRIM(A1046&amp;""),CHAR(160),"")," ",""),"년",""),""),"")</f>
      </c>
      <c r="I1046" t="str">
        <f>SUBSTITUTE(SUBSTITUTE(SUBSTITUTE(SUBSTITUTE(SUBSTITUTE(TRIM(B1046&amp;""),CHAR(160),"")," ",""),"초등학교","초"),"중학교","중"),"고등학교","고")</f>
      </c>
    </row>
    <row r="1047" customFormat="false" ht="15" hidden="false" customHeight="false" outlineLevel="0" collapsed="false">
      <c r="A1047" s="8"/>
      <c r="B1047" s="8"/>
      <c r="C1047" s="8"/>
      <c r="D1047" s="8"/>
      <c r="E1047" s="8"/>
      <c r="F1047" t="str" s="15">
        <f aca="0">IF(B1047="","",IF(H1047="","확인필요(입력누락)",IF(SUMPRODUCT((실물목록!$P$2:$P$1001&lt;&gt;"")*ISNUMBER(SEARCH(실물목록!$P$2:$P$1001,I1047))*(실물목록!$Q$2:$Q$1001&lt;&gt;"")*ISNUMBER(SEARCH(실물목록!$Q$2:$Q$1001,I1047))*(실물목록!$R$2:$R$1001="")*(실물목록!$O$2:$O$1001&lt;&gt;"")*(실물목록!$O$2:$O$1001=H1047))&gt;0,"실물 있음",IF(SUMPRODUCT((실물목록!$P$2:$P$1001&lt;&gt;"")*ISNUMBER(SEARCH(실물목록!$P$2:$P$1001,I1047))*(실물목록!$R$2:$R$1001&lt;&gt;""))&gt;0,"확인필요(입력누락)",IF(SUMPRODUCT((실물목록!$P$2:$P$1001&lt;&gt;"")*ISNUMBER(SEARCH(실물목록!$P$2:$P$1001,I1047))*(실물목록!$Q$2:$Q$1001&lt;&gt;"")*ISNUMBER(SEARCH(실물목록!$Q$2:$Q$1001,I1047))*(실물목록!$R$2:$R$1001="")*(실물목록!$O$2:$O$1001&lt;&gt;""))&gt;0,"확인필요(연도다름)","실물 없음")))))</f>
      </c>
      <c r="G1047" t="n" s="16">
        <f aca="0">IF(B1047="","",SUMPRODUCT((실물목록!$P$2:$P$1001&lt;&gt;"")*ISNUMBER(SEARCH(실물목록!$P$2:$P$1001,I1047))*(실물목록!$Q$2:$Q$1001&lt;&gt;"")*ISNUMBER(SEARCH(실물목록!$Q$2:$Q$1001,I1047))*(실물목록!$R$2:$R$1001="")*(실물목록!$O$2:$O$1001&lt;&gt;"")*(실물목록!$O$2:$O$1001=H1047)))</f>
      </c>
      <c r="H1047" t="str">
        <f>IFERROR(IF(AND(LEN(SUBSTITUTE(SUBSTITUTE(SUBSTITUTE(TRIM(A1047&amp;""),CHAR(160),"")," ",""),"년",""))=4,VALUE(SUBSTITUTE(SUBSTITUTE(SUBSTITUTE(TRIM(A1047&amp;""),CHAR(160),"")," ",""),"년",""))&gt;=1900,VALUE(SUBSTITUTE(SUBSTITUTE(SUBSTITUTE(TRIM(A1047&amp;""),CHAR(160),"")," ",""),"년",""))&lt;=2099,TEXT(VALUE(SUBSTITUTE(SUBSTITUTE(SUBSTITUTE(TRIM(A1047&amp;""),CHAR(160),"")," ",""),"년","")),"0000")=SUBSTITUTE(SUBSTITUTE(SUBSTITUTE(TRIM(A1047&amp;""),CHAR(160),"")," ",""),"년","")),SUBSTITUTE(SUBSTITUTE(SUBSTITUTE(TRIM(A1047&amp;""),CHAR(160),"")," ",""),"년",""),""),"")</f>
      </c>
      <c r="I1047" t="str">
        <f>SUBSTITUTE(SUBSTITUTE(SUBSTITUTE(SUBSTITUTE(SUBSTITUTE(TRIM(B1047&amp;""),CHAR(160),"")," ",""),"초등학교","초"),"중학교","중"),"고등학교","고")</f>
      </c>
    </row>
    <row r="1048" customFormat="false" ht="15" hidden="false" customHeight="false" outlineLevel="0" collapsed="false">
      <c r="A1048" s="8"/>
      <c r="B1048" s="8"/>
      <c r="C1048" s="8"/>
      <c r="D1048" s="8"/>
      <c r="E1048" s="8"/>
      <c r="F1048" t="str" s="15">
        <f aca="0">IF(B1048="","",IF(H1048="","확인필요(입력누락)",IF(SUMPRODUCT((실물목록!$P$2:$P$1001&lt;&gt;"")*ISNUMBER(SEARCH(실물목록!$P$2:$P$1001,I1048))*(실물목록!$Q$2:$Q$1001&lt;&gt;"")*ISNUMBER(SEARCH(실물목록!$Q$2:$Q$1001,I1048))*(실물목록!$R$2:$R$1001="")*(실물목록!$O$2:$O$1001&lt;&gt;"")*(실물목록!$O$2:$O$1001=H1048))&gt;0,"실물 있음",IF(SUMPRODUCT((실물목록!$P$2:$P$1001&lt;&gt;"")*ISNUMBER(SEARCH(실물목록!$P$2:$P$1001,I1048))*(실물목록!$R$2:$R$1001&lt;&gt;""))&gt;0,"확인필요(입력누락)",IF(SUMPRODUCT((실물목록!$P$2:$P$1001&lt;&gt;"")*ISNUMBER(SEARCH(실물목록!$P$2:$P$1001,I1048))*(실물목록!$Q$2:$Q$1001&lt;&gt;"")*ISNUMBER(SEARCH(실물목록!$Q$2:$Q$1001,I1048))*(실물목록!$R$2:$R$1001="")*(실물목록!$O$2:$O$1001&lt;&gt;""))&gt;0,"확인필요(연도다름)","실물 없음")))))</f>
      </c>
      <c r="G1048" t="n" s="16">
        <f aca="0">IF(B1048="","",SUMPRODUCT((실물목록!$P$2:$P$1001&lt;&gt;"")*ISNUMBER(SEARCH(실물목록!$P$2:$P$1001,I1048))*(실물목록!$Q$2:$Q$1001&lt;&gt;"")*ISNUMBER(SEARCH(실물목록!$Q$2:$Q$1001,I1048))*(실물목록!$R$2:$R$1001="")*(실물목록!$O$2:$O$1001&lt;&gt;"")*(실물목록!$O$2:$O$1001=H1048)))</f>
      </c>
      <c r="H1048" t="str">
        <f>IFERROR(IF(AND(LEN(SUBSTITUTE(SUBSTITUTE(SUBSTITUTE(TRIM(A1048&amp;""),CHAR(160),"")," ",""),"년",""))=4,VALUE(SUBSTITUTE(SUBSTITUTE(SUBSTITUTE(TRIM(A1048&amp;""),CHAR(160),"")," ",""),"년",""))&gt;=1900,VALUE(SUBSTITUTE(SUBSTITUTE(SUBSTITUTE(TRIM(A1048&amp;""),CHAR(160),"")," ",""),"년",""))&lt;=2099,TEXT(VALUE(SUBSTITUTE(SUBSTITUTE(SUBSTITUTE(TRIM(A1048&amp;""),CHAR(160),"")," ",""),"년","")),"0000")=SUBSTITUTE(SUBSTITUTE(SUBSTITUTE(TRIM(A1048&amp;""),CHAR(160),"")," ",""),"년","")),SUBSTITUTE(SUBSTITUTE(SUBSTITUTE(TRIM(A1048&amp;""),CHAR(160),"")," ",""),"년",""),""),"")</f>
      </c>
      <c r="I1048" t="str">
        <f>SUBSTITUTE(SUBSTITUTE(SUBSTITUTE(SUBSTITUTE(SUBSTITUTE(TRIM(B1048&amp;""),CHAR(160),"")," ",""),"초등학교","초"),"중학교","중"),"고등학교","고")</f>
      </c>
    </row>
    <row r="1049" customFormat="false" ht="15" hidden="false" customHeight="false" outlineLevel="0" collapsed="false">
      <c r="A1049" s="8"/>
      <c r="B1049" s="8"/>
      <c r="C1049" s="8"/>
      <c r="D1049" s="8"/>
      <c r="E1049" s="8"/>
      <c r="F1049" t="str" s="15">
        <f aca="0">IF(B1049="","",IF(H1049="","확인필요(입력누락)",IF(SUMPRODUCT((실물목록!$P$2:$P$1001&lt;&gt;"")*ISNUMBER(SEARCH(실물목록!$P$2:$P$1001,I1049))*(실물목록!$Q$2:$Q$1001&lt;&gt;"")*ISNUMBER(SEARCH(실물목록!$Q$2:$Q$1001,I1049))*(실물목록!$R$2:$R$1001="")*(실물목록!$O$2:$O$1001&lt;&gt;"")*(실물목록!$O$2:$O$1001=H1049))&gt;0,"실물 있음",IF(SUMPRODUCT((실물목록!$P$2:$P$1001&lt;&gt;"")*ISNUMBER(SEARCH(실물목록!$P$2:$P$1001,I1049))*(실물목록!$R$2:$R$1001&lt;&gt;""))&gt;0,"확인필요(입력누락)",IF(SUMPRODUCT((실물목록!$P$2:$P$1001&lt;&gt;"")*ISNUMBER(SEARCH(실물목록!$P$2:$P$1001,I1049))*(실물목록!$Q$2:$Q$1001&lt;&gt;"")*ISNUMBER(SEARCH(실물목록!$Q$2:$Q$1001,I1049))*(실물목록!$R$2:$R$1001="")*(실물목록!$O$2:$O$1001&lt;&gt;""))&gt;0,"확인필요(연도다름)","실물 없음")))))</f>
      </c>
      <c r="G1049" t="n" s="16">
        <f aca="0">IF(B1049="","",SUMPRODUCT((실물목록!$P$2:$P$1001&lt;&gt;"")*ISNUMBER(SEARCH(실물목록!$P$2:$P$1001,I1049))*(실물목록!$Q$2:$Q$1001&lt;&gt;"")*ISNUMBER(SEARCH(실물목록!$Q$2:$Q$1001,I1049))*(실물목록!$R$2:$R$1001="")*(실물목록!$O$2:$O$1001&lt;&gt;"")*(실물목록!$O$2:$O$1001=H1049)))</f>
      </c>
      <c r="H1049" t="str">
        <f>IFERROR(IF(AND(LEN(SUBSTITUTE(SUBSTITUTE(SUBSTITUTE(TRIM(A1049&amp;""),CHAR(160),"")," ",""),"년",""))=4,VALUE(SUBSTITUTE(SUBSTITUTE(SUBSTITUTE(TRIM(A1049&amp;""),CHAR(160),"")," ",""),"년",""))&gt;=1900,VALUE(SUBSTITUTE(SUBSTITUTE(SUBSTITUTE(TRIM(A1049&amp;""),CHAR(160),"")," ",""),"년",""))&lt;=2099,TEXT(VALUE(SUBSTITUTE(SUBSTITUTE(SUBSTITUTE(TRIM(A1049&amp;""),CHAR(160),"")," ",""),"년","")),"0000")=SUBSTITUTE(SUBSTITUTE(SUBSTITUTE(TRIM(A1049&amp;""),CHAR(160),"")," ",""),"년","")),SUBSTITUTE(SUBSTITUTE(SUBSTITUTE(TRIM(A1049&amp;""),CHAR(160),"")," ",""),"년",""),""),"")</f>
      </c>
      <c r="I1049" t="str">
        <f>SUBSTITUTE(SUBSTITUTE(SUBSTITUTE(SUBSTITUTE(SUBSTITUTE(TRIM(B1049&amp;""),CHAR(160),"")," ",""),"초등학교","초"),"중학교","중"),"고등학교","고")</f>
      </c>
    </row>
    <row r="1050" customFormat="false" ht="15" hidden="false" customHeight="false" outlineLevel="0" collapsed="false">
      <c r="A1050" s="8"/>
      <c r="B1050" s="8"/>
      <c r="C1050" s="8"/>
      <c r="D1050" s="8"/>
      <c r="E1050" s="8"/>
      <c r="F1050" t="str" s="15">
        <f aca="0">IF(B1050="","",IF(H1050="","확인필요(입력누락)",IF(SUMPRODUCT((실물목록!$P$2:$P$1001&lt;&gt;"")*ISNUMBER(SEARCH(실물목록!$P$2:$P$1001,I1050))*(실물목록!$Q$2:$Q$1001&lt;&gt;"")*ISNUMBER(SEARCH(실물목록!$Q$2:$Q$1001,I1050))*(실물목록!$R$2:$R$1001="")*(실물목록!$O$2:$O$1001&lt;&gt;"")*(실물목록!$O$2:$O$1001=H1050))&gt;0,"실물 있음",IF(SUMPRODUCT((실물목록!$P$2:$P$1001&lt;&gt;"")*ISNUMBER(SEARCH(실물목록!$P$2:$P$1001,I1050))*(실물목록!$R$2:$R$1001&lt;&gt;""))&gt;0,"확인필요(입력누락)",IF(SUMPRODUCT((실물목록!$P$2:$P$1001&lt;&gt;"")*ISNUMBER(SEARCH(실물목록!$P$2:$P$1001,I1050))*(실물목록!$Q$2:$Q$1001&lt;&gt;"")*ISNUMBER(SEARCH(실물목록!$Q$2:$Q$1001,I1050))*(실물목록!$R$2:$R$1001="")*(실물목록!$O$2:$O$1001&lt;&gt;""))&gt;0,"확인필요(연도다름)","실물 없음")))))</f>
      </c>
      <c r="G1050" t="n" s="16">
        <f aca="0">IF(B1050="","",SUMPRODUCT((실물목록!$P$2:$P$1001&lt;&gt;"")*ISNUMBER(SEARCH(실물목록!$P$2:$P$1001,I1050))*(실물목록!$Q$2:$Q$1001&lt;&gt;"")*ISNUMBER(SEARCH(실물목록!$Q$2:$Q$1001,I1050))*(실물목록!$R$2:$R$1001="")*(실물목록!$O$2:$O$1001&lt;&gt;"")*(실물목록!$O$2:$O$1001=H1050)))</f>
      </c>
      <c r="H1050" t="str">
        <f>IFERROR(IF(AND(LEN(SUBSTITUTE(SUBSTITUTE(SUBSTITUTE(TRIM(A1050&amp;""),CHAR(160),"")," ",""),"년",""))=4,VALUE(SUBSTITUTE(SUBSTITUTE(SUBSTITUTE(TRIM(A1050&amp;""),CHAR(160),"")," ",""),"년",""))&gt;=1900,VALUE(SUBSTITUTE(SUBSTITUTE(SUBSTITUTE(TRIM(A1050&amp;""),CHAR(160),"")," ",""),"년",""))&lt;=2099,TEXT(VALUE(SUBSTITUTE(SUBSTITUTE(SUBSTITUTE(TRIM(A1050&amp;""),CHAR(160),"")," ",""),"년","")),"0000")=SUBSTITUTE(SUBSTITUTE(SUBSTITUTE(TRIM(A1050&amp;""),CHAR(160),"")," ",""),"년","")),SUBSTITUTE(SUBSTITUTE(SUBSTITUTE(TRIM(A1050&amp;""),CHAR(160),"")," ",""),"년",""),""),"")</f>
      </c>
      <c r="I1050" t="str">
        <f>SUBSTITUTE(SUBSTITUTE(SUBSTITUTE(SUBSTITUTE(SUBSTITUTE(TRIM(B1050&amp;""),CHAR(160),"")," ",""),"초등학교","초"),"중학교","중"),"고등학교","고")</f>
      </c>
    </row>
    <row r="1051" customFormat="false" ht="15" hidden="false" customHeight="false" outlineLevel="0" collapsed="false">
      <c r="A1051" s="8"/>
      <c r="B1051" s="8"/>
      <c r="C1051" s="8"/>
      <c r="D1051" s="8"/>
      <c r="E1051" s="8"/>
      <c r="F1051" t="str" s="15">
        <f aca="0">IF(B1051="","",IF(H1051="","확인필요(입력누락)",IF(SUMPRODUCT((실물목록!$P$2:$P$1001&lt;&gt;"")*ISNUMBER(SEARCH(실물목록!$P$2:$P$1001,I1051))*(실물목록!$Q$2:$Q$1001&lt;&gt;"")*ISNUMBER(SEARCH(실물목록!$Q$2:$Q$1001,I1051))*(실물목록!$R$2:$R$1001="")*(실물목록!$O$2:$O$1001&lt;&gt;"")*(실물목록!$O$2:$O$1001=H1051))&gt;0,"실물 있음",IF(SUMPRODUCT((실물목록!$P$2:$P$1001&lt;&gt;"")*ISNUMBER(SEARCH(실물목록!$P$2:$P$1001,I1051))*(실물목록!$R$2:$R$1001&lt;&gt;""))&gt;0,"확인필요(입력누락)",IF(SUMPRODUCT((실물목록!$P$2:$P$1001&lt;&gt;"")*ISNUMBER(SEARCH(실물목록!$P$2:$P$1001,I1051))*(실물목록!$Q$2:$Q$1001&lt;&gt;"")*ISNUMBER(SEARCH(실물목록!$Q$2:$Q$1001,I1051))*(실물목록!$R$2:$R$1001="")*(실물목록!$O$2:$O$1001&lt;&gt;""))&gt;0,"확인필요(연도다름)","실물 없음")))))</f>
      </c>
      <c r="G1051" t="n" s="16">
        <f aca="0">IF(B1051="","",SUMPRODUCT((실물목록!$P$2:$P$1001&lt;&gt;"")*ISNUMBER(SEARCH(실물목록!$P$2:$P$1001,I1051))*(실물목록!$Q$2:$Q$1001&lt;&gt;"")*ISNUMBER(SEARCH(실물목록!$Q$2:$Q$1001,I1051))*(실물목록!$R$2:$R$1001="")*(실물목록!$O$2:$O$1001&lt;&gt;"")*(실물목록!$O$2:$O$1001=H1051)))</f>
      </c>
      <c r="H1051" t="str">
        <f>IFERROR(IF(AND(LEN(SUBSTITUTE(SUBSTITUTE(SUBSTITUTE(TRIM(A1051&amp;""),CHAR(160),"")," ",""),"년",""))=4,VALUE(SUBSTITUTE(SUBSTITUTE(SUBSTITUTE(TRIM(A1051&amp;""),CHAR(160),"")," ",""),"년",""))&gt;=1900,VALUE(SUBSTITUTE(SUBSTITUTE(SUBSTITUTE(TRIM(A1051&amp;""),CHAR(160),"")," ",""),"년",""))&lt;=2099,TEXT(VALUE(SUBSTITUTE(SUBSTITUTE(SUBSTITUTE(TRIM(A1051&amp;""),CHAR(160),"")," ",""),"년","")),"0000")=SUBSTITUTE(SUBSTITUTE(SUBSTITUTE(TRIM(A1051&amp;""),CHAR(160),"")," ",""),"년","")),SUBSTITUTE(SUBSTITUTE(SUBSTITUTE(TRIM(A1051&amp;""),CHAR(160),"")," ",""),"년",""),""),"")</f>
      </c>
      <c r="I1051" t="str">
        <f>SUBSTITUTE(SUBSTITUTE(SUBSTITUTE(SUBSTITUTE(SUBSTITUTE(TRIM(B1051&amp;""),CHAR(160),"")," ",""),"초등학교","초"),"중학교","중"),"고등학교","고")</f>
      </c>
    </row>
    <row r="1052" customFormat="false" ht="15" hidden="false" customHeight="false" outlineLevel="0" collapsed="false">
      <c r="A1052" s="8"/>
      <c r="B1052" s="8"/>
      <c r="C1052" s="8"/>
      <c r="D1052" s="8"/>
      <c r="E1052" s="8"/>
      <c r="F1052" t="str" s="15">
        <f aca="0">IF(B1052="","",IF(H1052="","확인필요(입력누락)",IF(SUMPRODUCT((실물목록!$P$2:$P$1001&lt;&gt;"")*ISNUMBER(SEARCH(실물목록!$P$2:$P$1001,I1052))*(실물목록!$Q$2:$Q$1001&lt;&gt;"")*ISNUMBER(SEARCH(실물목록!$Q$2:$Q$1001,I1052))*(실물목록!$R$2:$R$1001="")*(실물목록!$O$2:$O$1001&lt;&gt;"")*(실물목록!$O$2:$O$1001=H1052))&gt;0,"실물 있음",IF(SUMPRODUCT((실물목록!$P$2:$P$1001&lt;&gt;"")*ISNUMBER(SEARCH(실물목록!$P$2:$P$1001,I1052))*(실물목록!$R$2:$R$1001&lt;&gt;""))&gt;0,"확인필요(입력누락)",IF(SUMPRODUCT((실물목록!$P$2:$P$1001&lt;&gt;"")*ISNUMBER(SEARCH(실물목록!$P$2:$P$1001,I1052))*(실물목록!$Q$2:$Q$1001&lt;&gt;"")*ISNUMBER(SEARCH(실물목록!$Q$2:$Q$1001,I1052))*(실물목록!$R$2:$R$1001="")*(실물목록!$O$2:$O$1001&lt;&gt;""))&gt;0,"확인필요(연도다름)","실물 없음")))))</f>
      </c>
      <c r="G1052" t="n" s="16">
        <f aca="0">IF(B1052="","",SUMPRODUCT((실물목록!$P$2:$P$1001&lt;&gt;"")*ISNUMBER(SEARCH(실물목록!$P$2:$P$1001,I1052))*(실물목록!$Q$2:$Q$1001&lt;&gt;"")*ISNUMBER(SEARCH(실물목록!$Q$2:$Q$1001,I1052))*(실물목록!$R$2:$R$1001="")*(실물목록!$O$2:$O$1001&lt;&gt;"")*(실물목록!$O$2:$O$1001=H1052)))</f>
      </c>
      <c r="H1052" t="str">
        <f>IFERROR(IF(AND(LEN(SUBSTITUTE(SUBSTITUTE(SUBSTITUTE(TRIM(A1052&amp;""),CHAR(160),"")," ",""),"년",""))=4,VALUE(SUBSTITUTE(SUBSTITUTE(SUBSTITUTE(TRIM(A1052&amp;""),CHAR(160),"")," ",""),"년",""))&gt;=1900,VALUE(SUBSTITUTE(SUBSTITUTE(SUBSTITUTE(TRIM(A1052&amp;""),CHAR(160),"")," ",""),"년",""))&lt;=2099,TEXT(VALUE(SUBSTITUTE(SUBSTITUTE(SUBSTITUTE(TRIM(A1052&amp;""),CHAR(160),"")," ",""),"년","")),"0000")=SUBSTITUTE(SUBSTITUTE(SUBSTITUTE(TRIM(A1052&amp;""),CHAR(160),"")," ",""),"년","")),SUBSTITUTE(SUBSTITUTE(SUBSTITUTE(TRIM(A1052&amp;""),CHAR(160),"")," ",""),"년",""),""),"")</f>
      </c>
      <c r="I1052" t="str">
        <f>SUBSTITUTE(SUBSTITUTE(SUBSTITUTE(SUBSTITUTE(SUBSTITUTE(TRIM(B1052&amp;""),CHAR(160),"")," ",""),"초등학교","초"),"중학교","중"),"고등학교","고")</f>
      </c>
    </row>
    <row r="1053" customFormat="false" ht="15" hidden="false" customHeight="false" outlineLevel="0" collapsed="false">
      <c r="A1053" s="8"/>
      <c r="B1053" s="8"/>
      <c r="C1053" s="8"/>
      <c r="D1053" s="8"/>
      <c r="E1053" s="8"/>
      <c r="F1053" t="str" s="15">
        <f aca="0">IF(B1053="","",IF(H1053="","확인필요(입력누락)",IF(SUMPRODUCT((실물목록!$P$2:$P$1001&lt;&gt;"")*ISNUMBER(SEARCH(실물목록!$P$2:$P$1001,I1053))*(실물목록!$Q$2:$Q$1001&lt;&gt;"")*ISNUMBER(SEARCH(실물목록!$Q$2:$Q$1001,I1053))*(실물목록!$R$2:$R$1001="")*(실물목록!$O$2:$O$1001&lt;&gt;"")*(실물목록!$O$2:$O$1001=H1053))&gt;0,"실물 있음",IF(SUMPRODUCT((실물목록!$P$2:$P$1001&lt;&gt;"")*ISNUMBER(SEARCH(실물목록!$P$2:$P$1001,I1053))*(실물목록!$R$2:$R$1001&lt;&gt;""))&gt;0,"확인필요(입력누락)",IF(SUMPRODUCT((실물목록!$P$2:$P$1001&lt;&gt;"")*ISNUMBER(SEARCH(실물목록!$P$2:$P$1001,I1053))*(실물목록!$Q$2:$Q$1001&lt;&gt;"")*ISNUMBER(SEARCH(실물목록!$Q$2:$Q$1001,I1053))*(실물목록!$R$2:$R$1001="")*(실물목록!$O$2:$O$1001&lt;&gt;""))&gt;0,"확인필요(연도다름)","실물 없음")))))</f>
      </c>
      <c r="G1053" t="n" s="16">
        <f aca="0">IF(B1053="","",SUMPRODUCT((실물목록!$P$2:$P$1001&lt;&gt;"")*ISNUMBER(SEARCH(실물목록!$P$2:$P$1001,I1053))*(실물목록!$Q$2:$Q$1001&lt;&gt;"")*ISNUMBER(SEARCH(실물목록!$Q$2:$Q$1001,I1053))*(실물목록!$R$2:$R$1001="")*(실물목록!$O$2:$O$1001&lt;&gt;"")*(실물목록!$O$2:$O$1001=H1053)))</f>
      </c>
      <c r="H1053" t="str">
        <f>IFERROR(IF(AND(LEN(SUBSTITUTE(SUBSTITUTE(SUBSTITUTE(TRIM(A1053&amp;""),CHAR(160),"")," ",""),"년",""))=4,VALUE(SUBSTITUTE(SUBSTITUTE(SUBSTITUTE(TRIM(A1053&amp;""),CHAR(160),"")," ",""),"년",""))&gt;=1900,VALUE(SUBSTITUTE(SUBSTITUTE(SUBSTITUTE(TRIM(A1053&amp;""),CHAR(160),"")," ",""),"년",""))&lt;=2099,TEXT(VALUE(SUBSTITUTE(SUBSTITUTE(SUBSTITUTE(TRIM(A1053&amp;""),CHAR(160),"")," ",""),"년","")),"0000")=SUBSTITUTE(SUBSTITUTE(SUBSTITUTE(TRIM(A1053&amp;""),CHAR(160),"")," ",""),"년","")),SUBSTITUTE(SUBSTITUTE(SUBSTITUTE(TRIM(A1053&amp;""),CHAR(160),"")," ",""),"년",""),""),"")</f>
      </c>
      <c r="I1053" t="str">
        <f>SUBSTITUTE(SUBSTITUTE(SUBSTITUTE(SUBSTITUTE(SUBSTITUTE(TRIM(B1053&amp;""),CHAR(160),"")," ",""),"초등학교","초"),"중학교","중"),"고등학교","고")</f>
      </c>
    </row>
    <row r="1054" customFormat="false" ht="15" hidden="false" customHeight="false" outlineLevel="0" collapsed="false">
      <c r="A1054" s="8"/>
      <c r="B1054" s="8"/>
      <c r="C1054" s="8"/>
      <c r="D1054" s="8"/>
      <c r="E1054" s="8"/>
      <c r="F1054" t="str" s="15">
        <f aca="0">IF(B1054="","",IF(H1054="","확인필요(입력누락)",IF(SUMPRODUCT((실물목록!$P$2:$P$1001&lt;&gt;"")*ISNUMBER(SEARCH(실물목록!$P$2:$P$1001,I1054))*(실물목록!$Q$2:$Q$1001&lt;&gt;"")*ISNUMBER(SEARCH(실물목록!$Q$2:$Q$1001,I1054))*(실물목록!$R$2:$R$1001="")*(실물목록!$O$2:$O$1001&lt;&gt;"")*(실물목록!$O$2:$O$1001=H1054))&gt;0,"실물 있음",IF(SUMPRODUCT((실물목록!$P$2:$P$1001&lt;&gt;"")*ISNUMBER(SEARCH(실물목록!$P$2:$P$1001,I1054))*(실물목록!$R$2:$R$1001&lt;&gt;""))&gt;0,"확인필요(입력누락)",IF(SUMPRODUCT((실물목록!$P$2:$P$1001&lt;&gt;"")*ISNUMBER(SEARCH(실물목록!$P$2:$P$1001,I1054))*(실물목록!$Q$2:$Q$1001&lt;&gt;"")*ISNUMBER(SEARCH(실물목록!$Q$2:$Q$1001,I1054))*(실물목록!$R$2:$R$1001="")*(실물목록!$O$2:$O$1001&lt;&gt;""))&gt;0,"확인필요(연도다름)","실물 없음")))))</f>
      </c>
      <c r="G1054" t="n" s="16">
        <f aca="0">IF(B1054="","",SUMPRODUCT((실물목록!$P$2:$P$1001&lt;&gt;"")*ISNUMBER(SEARCH(실물목록!$P$2:$P$1001,I1054))*(실물목록!$Q$2:$Q$1001&lt;&gt;"")*ISNUMBER(SEARCH(실물목록!$Q$2:$Q$1001,I1054))*(실물목록!$R$2:$R$1001="")*(실물목록!$O$2:$O$1001&lt;&gt;"")*(실물목록!$O$2:$O$1001=H1054)))</f>
      </c>
      <c r="H1054" t="str">
        <f>IFERROR(IF(AND(LEN(SUBSTITUTE(SUBSTITUTE(SUBSTITUTE(TRIM(A1054&amp;""),CHAR(160),"")," ",""),"년",""))=4,VALUE(SUBSTITUTE(SUBSTITUTE(SUBSTITUTE(TRIM(A1054&amp;""),CHAR(160),"")," ",""),"년",""))&gt;=1900,VALUE(SUBSTITUTE(SUBSTITUTE(SUBSTITUTE(TRIM(A1054&amp;""),CHAR(160),"")," ",""),"년",""))&lt;=2099,TEXT(VALUE(SUBSTITUTE(SUBSTITUTE(SUBSTITUTE(TRIM(A1054&amp;""),CHAR(160),"")," ",""),"년","")),"0000")=SUBSTITUTE(SUBSTITUTE(SUBSTITUTE(TRIM(A1054&amp;""),CHAR(160),"")," ",""),"년","")),SUBSTITUTE(SUBSTITUTE(SUBSTITUTE(TRIM(A1054&amp;""),CHAR(160),"")," ",""),"년",""),""),"")</f>
      </c>
      <c r="I1054" t="str">
        <f>SUBSTITUTE(SUBSTITUTE(SUBSTITUTE(SUBSTITUTE(SUBSTITUTE(TRIM(B1054&amp;""),CHAR(160),"")," ",""),"초등학교","초"),"중학교","중"),"고등학교","고")</f>
      </c>
    </row>
    <row r="1055" customFormat="false" ht="15" hidden="false" customHeight="false" outlineLevel="0" collapsed="false">
      <c r="A1055" s="8"/>
      <c r="B1055" s="8"/>
      <c r="C1055" s="8"/>
      <c r="D1055" s="8"/>
      <c r="E1055" s="8"/>
      <c r="F1055" t="str" s="15">
        <f aca="0">IF(B1055="","",IF(H1055="","확인필요(입력누락)",IF(SUMPRODUCT((실물목록!$P$2:$P$1001&lt;&gt;"")*ISNUMBER(SEARCH(실물목록!$P$2:$P$1001,I1055))*(실물목록!$Q$2:$Q$1001&lt;&gt;"")*ISNUMBER(SEARCH(실물목록!$Q$2:$Q$1001,I1055))*(실물목록!$R$2:$R$1001="")*(실물목록!$O$2:$O$1001&lt;&gt;"")*(실물목록!$O$2:$O$1001=H1055))&gt;0,"실물 있음",IF(SUMPRODUCT((실물목록!$P$2:$P$1001&lt;&gt;"")*ISNUMBER(SEARCH(실물목록!$P$2:$P$1001,I1055))*(실물목록!$R$2:$R$1001&lt;&gt;""))&gt;0,"확인필요(입력누락)",IF(SUMPRODUCT((실물목록!$P$2:$P$1001&lt;&gt;"")*ISNUMBER(SEARCH(실물목록!$P$2:$P$1001,I1055))*(실물목록!$Q$2:$Q$1001&lt;&gt;"")*ISNUMBER(SEARCH(실물목록!$Q$2:$Q$1001,I1055))*(실물목록!$R$2:$R$1001="")*(실물목록!$O$2:$O$1001&lt;&gt;""))&gt;0,"확인필요(연도다름)","실물 없음")))))</f>
      </c>
      <c r="G1055" t="n" s="16">
        <f aca="0">IF(B1055="","",SUMPRODUCT((실물목록!$P$2:$P$1001&lt;&gt;"")*ISNUMBER(SEARCH(실물목록!$P$2:$P$1001,I1055))*(실물목록!$Q$2:$Q$1001&lt;&gt;"")*ISNUMBER(SEARCH(실물목록!$Q$2:$Q$1001,I1055))*(실물목록!$R$2:$R$1001="")*(실물목록!$O$2:$O$1001&lt;&gt;"")*(실물목록!$O$2:$O$1001=H1055)))</f>
      </c>
      <c r="H1055" t="str">
        <f>IFERROR(IF(AND(LEN(SUBSTITUTE(SUBSTITUTE(SUBSTITUTE(TRIM(A1055&amp;""),CHAR(160),"")," ",""),"년",""))=4,VALUE(SUBSTITUTE(SUBSTITUTE(SUBSTITUTE(TRIM(A1055&amp;""),CHAR(160),"")," ",""),"년",""))&gt;=1900,VALUE(SUBSTITUTE(SUBSTITUTE(SUBSTITUTE(TRIM(A1055&amp;""),CHAR(160),"")," ",""),"년",""))&lt;=2099,TEXT(VALUE(SUBSTITUTE(SUBSTITUTE(SUBSTITUTE(TRIM(A1055&amp;""),CHAR(160),"")," ",""),"년","")),"0000")=SUBSTITUTE(SUBSTITUTE(SUBSTITUTE(TRIM(A1055&amp;""),CHAR(160),"")," ",""),"년","")),SUBSTITUTE(SUBSTITUTE(SUBSTITUTE(TRIM(A1055&amp;""),CHAR(160),"")," ",""),"년",""),""),"")</f>
      </c>
      <c r="I1055" t="str">
        <f>SUBSTITUTE(SUBSTITUTE(SUBSTITUTE(SUBSTITUTE(SUBSTITUTE(TRIM(B1055&amp;""),CHAR(160),"")," ",""),"초등학교","초"),"중학교","중"),"고등학교","고")</f>
      </c>
    </row>
    <row r="1056" customFormat="false" ht="15" hidden="false" customHeight="false" outlineLevel="0" collapsed="false">
      <c r="A1056" s="8"/>
      <c r="B1056" s="8"/>
      <c r="C1056" s="8"/>
      <c r="D1056" s="8"/>
      <c r="E1056" s="8"/>
      <c r="F1056" t="str" s="15">
        <f aca="0">IF(B1056="","",IF(H1056="","확인필요(입력누락)",IF(SUMPRODUCT((실물목록!$P$2:$P$1001&lt;&gt;"")*ISNUMBER(SEARCH(실물목록!$P$2:$P$1001,I1056))*(실물목록!$Q$2:$Q$1001&lt;&gt;"")*ISNUMBER(SEARCH(실물목록!$Q$2:$Q$1001,I1056))*(실물목록!$R$2:$R$1001="")*(실물목록!$O$2:$O$1001&lt;&gt;"")*(실물목록!$O$2:$O$1001=H1056))&gt;0,"실물 있음",IF(SUMPRODUCT((실물목록!$P$2:$P$1001&lt;&gt;"")*ISNUMBER(SEARCH(실물목록!$P$2:$P$1001,I1056))*(실물목록!$R$2:$R$1001&lt;&gt;""))&gt;0,"확인필요(입력누락)",IF(SUMPRODUCT((실물목록!$P$2:$P$1001&lt;&gt;"")*ISNUMBER(SEARCH(실물목록!$P$2:$P$1001,I1056))*(실물목록!$Q$2:$Q$1001&lt;&gt;"")*ISNUMBER(SEARCH(실물목록!$Q$2:$Q$1001,I1056))*(실물목록!$R$2:$R$1001="")*(실물목록!$O$2:$O$1001&lt;&gt;""))&gt;0,"확인필요(연도다름)","실물 없음")))))</f>
      </c>
      <c r="G1056" t="n" s="16">
        <f aca="0">IF(B1056="","",SUMPRODUCT((실물목록!$P$2:$P$1001&lt;&gt;"")*ISNUMBER(SEARCH(실물목록!$P$2:$P$1001,I1056))*(실물목록!$Q$2:$Q$1001&lt;&gt;"")*ISNUMBER(SEARCH(실물목록!$Q$2:$Q$1001,I1056))*(실물목록!$R$2:$R$1001="")*(실물목록!$O$2:$O$1001&lt;&gt;"")*(실물목록!$O$2:$O$1001=H1056)))</f>
      </c>
      <c r="H1056" t="str">
        <f>IFERROR(IF(AND(LEN(SUBSTITUTE(SUBSTITUTE(SUBSTITUTE(TRIM(A1056&amp;""),CHAR(160),"")," ",""),"년",""))=4,VALUE(SUBSTITUTE(SUBSTITUTE(SUBSTITUTE(TRIM(A1056&amp;""),CHAR(160),"")," ",""),"년",""))&gt;=1900,VALUE(SUBSTITUTE(SUBSTITUTE(SUBSTITUTE(TRIM(A1056&amp;""),CHAR(160),"")," ",""),"년",""))&lt;=2099,TEXT(VALUE(SUBSTITUTE(SUBSTITUTE(SUBSTITUTE(TRIM(A1056&amp;""),CHAR(160),"")," ",""),"년","")),"0000")=SUBSTITUTE(SUBSTITUTE(SUBSTITUTE(TRIM(A1056&amp;""),CHAR(160),"")," ",""),"년","")),SUBSTITUTE(SUBSTITUTE(SUBSTITUTE(TRIM(A1056&amp;""),CHAR(160),"")," ",""),"년",""),""),"")</f>
      </c>
      <c r="I1056" t="str">
        <f>SUBSTITUTE(SUBSTITUTE(SUBSTITUTE(SUBSTITUTE(SUBSTITUTE(TRIM(B1056&amp;""),CHAR(160),"")," ",""),"초등학교","초"),"중학교","중"),"고등학교","고")</f>
      </c>
    </row>
    <row r="1057" customFormat="false" ht="15" hidden="false" customHeight="false" outlineLevel="0" collapsed="false">
      <c r="A1057" s="8"/>
      <c r="B1057" s="8"/>
      <c r="C1057" s="8"/>
      <c r="D1057" s="8"/>
      <c r="E1057" s="8"/>
      <c r="F1057" t="str" s="15">
        <f aca="0">IF(B1057="","",IF(H1057="","확인필요(입력누락)",IF(SUMPRODUCT((실물목록!$P$2:$P$1001&lt;&gt;"")*ISNUMBER(SEARCH(실물목록!$P$2:$P$1001,I1057))*(실물목록!$Q$2:$Q$1001&lt;&gt;"")*ISNUMBER(SEARCH(실물목록!$Q$2:$Q$1001,I1057))*(실물목록!$R$2:$R$1001="")*(실물목록!$O$2:$O$1001&lt;&gt;"")*(실물목록!$O$2:$O$1001=H1057))&gt;0,"실물 있음",IF(SUMPRODUCT((실물목록!$P$2:$P$1001&lt;&gt;"")*ISNUMBER(SEARCH(실물목록!$P$2:$P$1001,I1057))*(실물목록!$R$2:$R$1001&lt;&gt;""))&gt;0,"확인필요(입력누락)",IF(SUMPRODUCT((실물목록!$P$2:$P$1001&lt;&gt;"")*ISNUMBER(SEARCH(실물목록!$P$2:$P$1001,I1057))*(실물목록!$Q$2:$Q$1001&lt;&gt;"")*ISNUMBER(SEARCH(실물목록!$Q$2:$Q$1001,I1057))*(실물목록!$R$2:$R$1001="")*(실물목록!$O$2:$O$1001&lt;&gt;""))&gt;0,"확인필요(연도다름)","실물 없음")))))</f>
      </c>
      <c r="G1057" t="n" s="16">
        <f aca="0">IF(B1057="","",SUMPRODUCT((실물목록!$P$2:$P$1001&lt;&gt;"")*ISNUMBER(SEARCH(실물목록!$P$2:$P$1001,I1057))*(실물목록!$Q$2:$Q$1001&lt;&gt;"")*ISNUMBER(SEARCH(실물목록!$Q$2:$Q$1001,I1057))*(실물목록!$R$2:$R$1001="")*(실물목록!$O$2:$O$1001&lt;&gt;"")*(실물목록!$O$2:$O$1001=H1057)))</f>
      </c>
      <c r="H1057" t="str">
        <f>IFERROR(IF(AND(LEN(SUBSTITUTE(SUBSTITUTE(SUBSTITUTE(TRIM(A1057&amp;""),CHAR(160),"")," ",""),"년",""))=4,VALUE(SUBSTITUTE(SUBSTITUTE(SUBSTITUTE(TRIM(A1057&amp;""),CHAR(160),"")," ",""),"년",""))&gt;=1900,VALUE(SUBSTITUTE(SUBSTITUTE(SUBSTITUTE(TRIM(A1057&amp;""),CHAR(160),"")," ",""),"년",""))&lt;=2099,TEXT(VALUE(SUBSTITUTE(SUBSTITUTE(SUBSTITUTE(TRIM(A1057&amp;""),CHAR(160),"")," ",""),"년","")),"0000")=SUBSTITUTE(SUBSTITUTE(SUBSTITUTE(TRIM(A1057&amp;""),CHAR(160),"")," ",""),"년","")),SUBSTITUTE(SUBSTITUTE(SUBSTITUTE(TRIM(A1057&amp;""),CHAR(160),"")," ",""),"년",""),""),"")</f>
      </c>
      <c r="I1057" t="str">
        <f>SUBSTITUTE(SUBSTITUTE(SUBSTITUTE(SUBSTITUTE(SUBSTITUTE(TRIM(B1057&amp;""),CHAR(160),"")," ",""),"초등학교","초"),"중학교","중"),"고등학교","고")</f>
      </c>
    </row>
    <row r="1058" customFormat="false" ht="15" hidden="false" customHeight="false" outlineLevel="0" collapsed="false">
      <c r="A1058" s="8"/>
      <c r="B1058" s="8"/>
      <c r="C1058" s="8"/>
      <c r="D1058" s="8"/>
      <c r="E1058" s="8"/>
      <c r="F1058" t="str" s="15">
        <f aca="0">IF(B1058="","",IF(H1058="","확인필요(입력누락)",IF(SUMPRODUCT((실물목록!$P$2:$P$1001&lt;&gt;"")*ISNUMBER(SEARCH(실물목록!$P$2:$P$1001,I1058))*(실물목록!$Q$2:$Q$1001&lt;&gt;"")*ISNUMBER(SEARCH(실물목록!$Q$2:$Q$1001,I1058))*(실물목록!$R$2:$R$1001="")*(실물목록!$O$2:$O$1001&lt;&gt;"")*(실물목록!$O$2:$O$1001=H1058))&gt;0,"실물 있음",IF(SUMPRODUCT((실물목록!$P$2:$P$1001&lt;&gt;"")*ISNUMBER(SEARCH(실물목록!$P$2:$P$1001,I1058))*(실물목록!$R$2:$R$1001&lt;&gt;""))&gt;0,"확인필요(입력누락)",IF(SUMPRODUCT((실물목록!$P$2:$P$1001&lt;&gt;"")*ISNUMBER(SEARCH(실물목록!$P$2:$P$1001,I1058))*(실물목록!$Q$2:$Q$1001&lt;&gt;"")*ISNUMBER(SEARCH(실물목록!$Q$2:$Q$1001,I1058))*(실물목록!$R$2:$R$1001="")*(실물목록!$O$2:$O$1001&lt;&gt;""))&gt;0,"확인필요(연도다름)","실물 없음")))))</f>
      </c>
      <c r="G1058" t="n" s="16">
        <f aca="0">IF(B1058="","",SUMPRODUCT((실물목록!$P$2:$P$1001&lt;&gt;"")*ISNUMBER(SEARCH(실물목록!$P$2:$P$1001,I1058))*(실물목록!$Q$2:$Q$1001&lt;&gt;"")*ISNUMBER(SEARCH(실물목록!$Q$2:$Q$1001,I1058))*(실물목록!$R$2:$R$1001="")*(실물목록!$O$2:$O$1001&lt;&gt;"")*(실물목록!$O$2:$O$1001=H1058)))</f>
      </c>
      <c r="H1058" t="str">
        <f>IFERROR(IF(AND(LEN(SUBSTITUTE(SUBSTITUTE(SUBSTITUTE(TRIM(A1058&amp;""),CHAR(160),"")," ",""),"년",""))=4,VALUE(SUBSTITUTE(SUBSTITUTE(SUBSTITUTE(TRIM(A1058&amp;""),CHAR(160),"")," ",""),"년",""))&gt;=1900,VALUE(SUBSTITUTE(SUBSTITUTE(SUBSTITUTE(TRIM(A1058&amp;""),CHAR(160),"")," ",""),"년",""))&lt;=2099,TEXT(VALUE(SUBSTITUTE(SUBSTITUTE(SUBSTITUTE(TRIM(A1058&amp;""),CHAR(160),"")," ",""),"년","")),"0000")=SUBSTITUTE(SUBSTITUTE(SUBSTITUTE(TRIM(A1058&amp;""),CHAR(160),"")," ",""),"년","")),SUBSTITUTE(SUBSTITUTE(SUBSTITUTE(TRIM(A1058&amp;""),CHAR(160),"")," ",""),"년",""),""),"")</f>
      </c>
      <c r="I1058" t="str">
        <f>SUBSTITUTE(SUBSTITUTE(SUBSTITUTE(SUBSTITUTE(SUBSTITUTE(TRIM(B1058&amp;""),CHAR(160),"")," ",""),"초등학교","초"),"중학교","중"),"고등학교","고")</f>
      </c>
    </row>
    <row r="1059" customFormat="false" ht="15" hidden="false" customHeight="false" outlineLevel="0" collapsed="false">
      <c r="A1059" s="8"/>
      <c r="B1059" s="8"/>
      <c r="C1059" s="8"/>
      <c r="D1059" s="8"/>
      <c r="E1059" s="8"/>
      <c r="F1059" t="str" s="15">
        <f aca="0">IF(B1059="","",IF(H1059="","확인필요(입력누락)",IF(SUMPRODUCT((실물목록!$P$2:$P$1001&lt;&gt;"")*ISNUMBER(SEARCH(실물목록!$P$2:$P$1001,I1059))*(실물목록!$Q$2:$Q$1001&lt;&gt;"")*ISNUMBER(SEARCH(실물목록!$Q$2:$Q$1001,I1059))*(실물목록!$R$2:$R$1001="")*(실물목록!$O$2:$O$1001&lt;&gt;"")*(실물목록!$O$2:$O$1001=H1059))&gt;0,"실물 있음",IF(SUMPRODUCT((실물목록!$P$2:$P$1001&lt;&gt;"")*ISNUMBER(SEARCH(실물목록!$P$2:$P$1001,I1059))*(실물목록!$R$2:$R$1001&lt;&gt;""))&gt;0,"확인필요(입력누락)",IF(SUMPRODUCT((실물목록!$P$2:$P$1001&lt;&gt;"")*ISNUMBER(SEARCH(실물목록!$P$2:$P$1001,I1059))*(실물목록!$Q$2:$Q$1001&lt;&gt;"")*ISNUMBER(SEARCH(실물목록!$Q$2:$Q$1001,I1059))*(실물목록!$R$2:$R$1001="")*(실물목록!$O$2:$O$1001&lt;&gt;""))&gt;0,"확인필요(연도다름)","실물 없음")))))</f>
      </c>
      <c r="G1059" t="n" s="16">
        <f aca="0">IF(B1059="","",SUMPRODUCT((실물목록!$P$2:$P$1001&lt;&gt;"")*ISNUMBER(SEARCH(실물목록!$P$2:$P$1001,I1059))*(실물목록!$Q$2:$Q$1001&lt;&gt;"")*ISNUMBER(SEARCH(실물목록!$Q$2:$Q$1001,I1059))*(실물목록!$R$2:$R$1001="")*(실물목록!$O$2:$O$1001&lt;&gt;"")*(실물목록!$O$2:$O$1001=H1059)))</f>
      </c>
      <c r="H1059" t="str">
        <f>IFERROR(IF(AND(LEN(SUBSTITUTE(SUBSTITUTE(SUBSTITUTE(TRIM(A1059&amp;""),CHAR(160),"")," ",""),"년",""))=4,VALUE(SUBSTITUTE(SUBSTITUTE(SUBSTITUTE(TRIM(A1059&amp;""),CHAR(160),"")," ",""),"년",""))&gt;=1900,VALUE(SUBSTITUTE(SUBSTITUTE(SUBSTITUTE(TRIM(A1059&amp;""),CHAR(160),"")," ",""),"년",""))&lt;=2099,TEXT(VALUE(SUBSTITUTE(SUBSTITUTE(SUBSTITUTE(TRIM(A1059&amp;""),CHAR(160),"")," ",""),"년","")),"0000")=SUBSTITUTE(SUBSTITUTE(SUBSTITUTE(TRIM(A1059&amp;""),CHAR(160),"")," ",""),"년","")),SUBSTITUTE(SUBSTITUTE(SUBSTITUTE(TRIM(A1059&amp;""),CHAR(160),"")," ",""),"년",""),""),"")</f>
      </c>
      <c r="I1059" t="str">
        <f>SUBSTITUTE(SUBSTITUTE(SUBSTITUTE(SUBSTITUTE(SUBSTITUTE(TRIM(B1059&amp;""),CHAR(160),"")," ",""),"초등학교","초"),"중학교","중"),"고등학교","고")</f>
      </c>
    </row>
    <row r="1060" customFormat="false" ht="15" hidden="false" customHeight="false" outlineLevel="0" collapsed="false">
      <c r="A1060" s="8"/>
      <c r="B1060" s="8"/>
      <c r="C1060" s="8"/>
      <c r="D1060" s="8"/>
      <c r="E1060" s="8"/>
      <c r="F1060" t="str" s="15">
        <f aca="0">IF(B1060="","",IF(H1060="","확인필요(입력누락)",IF(SUMPRODUCT((실물목록!$P$2:$P$1001&lt;&gt;"")*ISNUMBER(SEARCH(실물목록!$P$2:$P$1001,I1060))*(실물목록!$Q$2:$Q$1001&lt;&gt;"")*ISNUMBER(SEARCH(실물목록!$Q$2:$Q$1001,I1060))*(실물목록!$R$2:$R$1001="")*(실물목록!$O$2:$O$1001&lt;&gt;"")*(실물목록!$O$2:$O$1001=H1060))&gt;0,"실물 있음",IF(SUMPRODUCT((실물목록!$P$2:$P$1001&lt;&gt;"")*ISNUMBER(SEARCH(실물목록!$P$2:$P$1001,I1060))*(실물목록!$R$2:$R$1001&lt;&gt;""))&gt;0,"확인필요(입력누락)",IF(SUMPRODUCT((실물목록!$P$2:$P$1001&lt;&gt;"")*ISNUMBER(SEARCH(실물목록!$P$2:$P$1001,I1060))*(실물목록!$Q$2:$Q$1001&lt;&gt;"")*ISNUMBER(SEARCH(실물목록!$Q$2:$Q$1001,I1060))*(실물목록!$R$2:$R$1001="")*(실물목록!$O$2:$O$1001&lt;&gt;""))&gt;0,"확인필요(연도다름)","실물 없음")))))</f>
      </c>
      <c r="G1060" t="n" s="16">
        <f aca="0">IF(B1060="","",SUMPRODUCT((실물목록!$P$2:$P$1001&lt;&gt;"")*ISNUMBER(SEARCH(실물목록!$P$2:$P$1001,I1060))*(실물목록!$Q$2:$Q$1001&lt;&gt;"")*ISNUMBER(SEARCH(실물목록!$Q$2:$Q$1001,I1060))*(실물목록!$R$2:$R$1001="")*(실물목록!$O$2:$O$1001&lt;&gt;"")*(실물목록!$O$2:$O$1001=H1060)))</f>
      </c>
      <c r="H1060" t="str">
        <f>IFERROR(IF(AND(LEN(SUBSTITUTE(SUBSTITUTE(SUBSTITUTE(TRIM(A1060&amp;""),CHAR(160),"")," ",""),"년",""))=4,VALUE(SUBSTITUTE(SUBSTITUTE(SUBSTITUTE(TRIM(A1060&amp;""),CHAR(160),"")," ",""),"년",""))&gt;=1900,VALUE(SUBSTITUTE(SUBSTITUTE(SUBSTITUTE(TRIM(A1060&amp;""),CHAR(160),"")," ",""),"년",""))&lt;=2099,TEXT(VALUE(SUBSTITUTE(SUBSTITUTE(SUBSTITUTE(TRIM(A1060&amp;""),CHAR(160),"")," ",""),"년","")),"0000")=SUBSTITUTE(SUBSTITUTE(SUBSTITUTE(TRIM(A1060&amp;""),CHAR(160),"")," ",""),"년","")),SUBSTITUTE(SUBSTITUTE(SUBSTITUTE(TRIM(A1060&amp;""),CHAR(160),"")," ",""),"년",""),""),"")</f>
      </c>
      <c r="I1060" t="str">
        <f>SUBSTITUTE(SUBSTITUTE(SUBSTITUTE(SUBSTITUTE(SUBSTITUTE(TRIM(B1060&amp;""),CHAR(160),"")," ",""),"초등학교","초"),"중학교","중"),"고등학교","고")</f>
      </c>
    </row>
    <row r="1061" customFormat="false" ht="15" hidden="false" customHeight="false" outlineLevel="0" collapsed="false">
      <c r="A1061" s="8"/>
      <c r="B1061" s="8"/>
      <c r="C1061" s="8"/>
      <c r="D1061" s="8"/>
      <c r="E1061" s="8"/>
      <c r="F1061" t="str" s="15">
        <f aca="0">IF(B1061="","",IF(H1061="","확인필요(입력누락)",IF(SUMPRODUCT((실물목록!$P$2:$P$1001&lt;&gt;"")*ISNUMBER(SEARCH(실물목록!$P$2:$P$1001,I1061))*(실물목록!$Q$2:$Q$1001&lt;&gt;"")*ISNUMBER(SEARCH(실물목록!$Q$2:$Q$1001,I1061))*(실물목록!$R$2:$R$1001="")*(실물목록!$O$2:$O$1001&lt;&gt;"")*(실물목록!$O$2:$O$1001=H1061))&gt;0,"실물 있음",IF(SUMPRODUCT((실물목록!$P$2:$P$1001&lt;&gt;"")*ISNUMBER(SEARCH(실물목록!$P$2:$P$1001,I1061))*(실물목록!$R$2:$R$1001&lt;&gt;""))&gt;0,"확인필요(입력누락)",IF(SUMPRODUCT((실물목록!$P$2:$P$1001&lt;&gt;"")*ISNUMBER(SEARCH(실물목록!$P$2:$P$1001,I1061))*(실물목록!$Q$2:$Q$1001&lt;&gt;"")*ISNUMBER(SEARCH(실물목록!$Q$2:$Q$1001,I1061))*(실물목록!$R$2:$R$1001="")*(실물목록!$O$2:$O$1001&lt;&gt;""))&gt;0,"확인필요(연도다름)","실물 없음")))))</f>
      </c>
      <c r="G1061" t="n" s="16">
        <f aca="0">IF(B1061="","",SUMPRODUCT((실물목록!$P$2:$P$1001&lt;&gt;"")*ISNUMBER(SEARCH(실물목록!$P$2:$P$1001,I1061))*(실물목록!$Q$2:$Q$1001&lt;&gt;"")*ISNUMBER(SEARCH(실물목록!$Q$2:$Q$1001,I1061))*(실물목록!$R$2:$R$1001="")*(실물목록!$O$2:$O$1001&lt;&gt;"")*(실물목록!$O$2:$O$1001=H1061)))</f>
      </c>
      <c r="H1061" t="str">
        <f>IFERROR(IF(AND(LEN(SUBSTITUTE(SUBSTITUTE(SUBSTITUTE(TRIM(A1061&amp;""),CHAR(160),"")," ",""),"년",""))=4,VALUE(SUBSTITUTE(SUBSTITUTE(SUBSTITUTE(TRIM(A1061&amp;""),CHAR(160),"")," ",""),"년",""))&gt;=1900,VALUE(SUBSTITUTE(SUBSTITUTE(SUBSTITUTE(TRIM(A1061&amp;""),CHAR(160),"")," ",""),"년",""))&lt;=2099,TEXT(VALUE(SUBSTITUTE(SUBSTITUTE(SUBSTITUTE(TRIM(A1061&amp;""),CHAR(160),"")," ",""),"년","")),"0000")=SUBSTITUTE(SUBSTITUTE(SUBSTITUTE(TRIM(A1061&amp;""),CHAR(160),"")," ",""),"년","")),SUBSTITUTE(SUBSTITUTE(SUBSTITUTE(TRIM(A1061&amp;""),CHAR(160),"")," ",""),"년",""),""),"")</f>
      </c>
      <c r="I1061" t="str">
        <f>SUBSTITUTE(SUBSTITUTE(SUBSTITUTE(SUBSTITUTE(SUBSTITUTE(TRIM(B1061&amp;""),CHAR(160),"")," ",""),"초등학교","초"),"중학교","중"),"고등학교","고")</f>
      </c>
    </row>
    <row r="1062" customFormat="false" ht="15" hidden="false" customHeight="false" outlineLevel="0" collapsed="false">
      <c r="A1062" s="8"/>
      <c r="B1062" s="8"/>
      <c r="C1062" s="8"/>
      <c r="D1062" s="8"/>
      <c r="E1062" s="8"/>
      <c r="F1062" t="str" s="15">
        <f aca="0">IF(B1062="","",IF(H1062="","확인필요(입력누락)",IF(SUMPRODUCT((실물목록!$P$2:$P$1001&lt;&gt;"")*ISNUMBER(SEARCH(실물목록!$P$2:$P$1001,I1062))*(실물목록!$Q$2:$Q$1001&lt;&gt;"")*ISNUMBER(SEARCH(실물목록!$Q$2:$Q$1001,I1062))*(실물목록!$R$2:$R$1001="")*(실물목록!$O$2:$O$1001&lt;&gt;"")*(실물목록!$O$2:$O$1001=H1062))&gt;0,"실물 있음",IF(SUMPRODUCT((실물목록!$P$2:$P$1001&lt;&gt;"")*ISNUMBER(SEARCH(실물목록!$P$2:$P$1001,I1062))*(실물목록!$R$2:$R$1001&lt;&gt;""))&gt;0,"확인필요(입력누락)",IF(SUMPRODUCT((실물목록!$P$2:$P$1001&lt;&gt;"")*ISNUMBER(SEARCH(실물목록!$P$2:$P$1001,I1062))*(실물목록!$Q$2:$Q$1001&lt;&gt;"")*ISNUMBER(SEARCH(실물목록!$Q$2:$Q$1001,I1062))*(실물목록!$R$2:$R$1001="")*(실물목록!$O$2:$O$1001&lt;&gt;""))&gt;0,"확인필요(연도다름)","실물 없음")))))</f>
      </c>
      <c r="G1062" t="n" s="16">
        <f aca="0">IF(B1062="","",SUMPRODUCT((실물목록!$P$2:$P$1001&lt;&gt;"")*ISNUMBER(SEARCH(실물목록!$P$2:$P$1001,I1062))*(실물목록!$Q$2:$Q$1001&lt;&gt;"")*ISNUMBER(SEARCH(실물목록!$Q$2:$Q$1001,I1062))*(실물목록!$R$2:$R$1001="")*(실물목록!$O$2:$O$1001&lt;&gt;"")*(실물목록!$O$2:$O$1001=H1062)))</f>
      </c>
      <c r="H1062" t="str">
        <f>IFERROR(IF(AND(LEN(SUBSTITUTE(SUBSTITUTE(SUBSTITUTE(TRIM(A1062&amp;""),CHAR(160),"")," ",""),"년",""))=4,VALUE(SUBSTITUTE(SUBSTITUTE(SUBSTITUTE(TRIM(A1062&amp;""),CHAR(160),"")," ",""),"년",""))&gt;=1900,VALUE(SUBSTITUTE(SUBSTITUTE(SUBSTITUTE(TRIM(A1062&amp;""),CHAR(160),"")," ",""),"년",""))&lt;=2099,TEXT(VALUE(SUBSTITUTE(SUBSTITUTE(SUBSTITUTE(TRIM(A1062&amp;""),CHAR(160),"")," ",""),"년","")),"0000")=SUBSTITUTE(SUBSTITUTE(SUBSTITUTE(TRIM(A1062&amp;""),CHAR(160),"")," ",""),"년","")),SUBSTITUTE(SUBSTITUTE(SUBSTITUTE(TRIM(A1062&amp;""),CHAR(160),"")," ",""),"년",""),""),"")</f>
      </c>
      <c r="I1062" t="str">
        <f>SUBSTITUTE(SUBSTITUTE(SUBSTITUTE(SUBSTITUTE(SUBSTITUTE(TRIM(B1062&amp;""),CHAR(160),"")," ",""),"초등학교","초"),"중학교","중"),"고등학교","고")</f>
      </c>
    </row>
    <row r="1063" customFormat="false" ht="15" hidden="false" customHeight="false" outlineLevel="0" collapsed="false">
      <c r="A1063" s="8"/>
      <c r="B1063" s="8"/>
      <c r="C1063" s="8"/>
      <c r="D1063" s="8"/>
      <c r="E1063" s="8"/>
      <c r="F1063" t="str" s="15">
        <f aca="0">IF(B1063="","",IF(H1063="","확인필요(입력누락)",IF(SUMPRODUCT((실물목록!$P$2:$P$1001&lt;&gt;"")*ISNUMBER(SEARCH(실물목록!$P$2:$P$1001,I1063))*(실물목록!$Q$2:$Q$1001&lt;&gt;"")*ISNUMBER(SEARCH(실물목록!$Q$2:$Q$1001,I1063))*(실물목록!$R$2:$R$1001="")*(실물목록!$O$2:$O$1001&lt;&gt;"")*(실물목록!$O$2:$O$1001=H1063))&gt;0,"실물 있음",IF(SUMPRODUCT((실물목록!$P$2:$P$1001&lt;&gt;"")*ISNUMBER(SEARCH(실물목록!$P$2:$P$1001,I1063))*(실물목록!$R$2:$R$1001&lt;&gt;""))&gt;0,"확인필요(입력누락)",IF(SUMPRODUCT((실물목록!$P$2:$P$1001&lt;&gt;"")*ISNUMBER(SEARCH(실물목록!$P$2:$P$1001,I1063))*(실물목록!$Q$2:$Q$1001&lt;&gt;"")*ISNUMBER(SEARCH(실물목록!$Q$2:$Q$1001,I1063))*(실물목록!$R$2:$R$1001="")*(실물목록!$O$2:$O$1001&lt;&gt;""))&gt;0,"확인필요(연도다름)","실물 없음")))))</f>
      </c>
      <c r="G1063" t="n" s="16">
        <f aca="0">IF(B1063="","",SUMPRODUCT((실물목록!$P$2:$P$1001&lt;&gt;"")*ISNUMBER(SEARCH(실물목록!$P$2:$P$1001,I1063))*(실물목록!$Q$2:$Q$1001&lt;&gt;"")*ISNUMBER(SEARCH(실물목록!$Q$2:$Q$1001,I1063))*(실물목록!$R$2:$R$1001="")*(실물목록!$O$2:$O$1001&lt;&gt;"")*(실물목록!$O$2:$O$1001=H1063)))</f>
      </c>
      <c r="H1063" t="str">
        <f>IFERROR(IF(AND(LEN(SUBSTITUTE(SUBSTITUTE(SUBSTITUTE(TRIM(A1063&amp;""),CHAR(160),"")," ",""),"년",""))=4,VALUE(SUBSTITUTE(SUBSTITUTE(SUBSTITUTE(TRIM(A1063&amp;""),CHAR(160),"")," ",""),"년",""))&gt;=1900,VALUE(SUBSTITUTE(SUBSTITUTE(SUBSTITUTE(TRIM(A1063&amp;""),CHAR(160),"")," ",""),"년",""))&lt;=2099,TEXT(VALUE(SUBSTITUTE(SUBSTITUTE(SUBSTITUTE(TRIM(A1063&amp;""),CHAR(160),"")," ",""),"년","")),"0000")=SUBSTITUTE(SUBSTITUTE(SUBSTITUTE(TRIM(A1063&amp;""),CHAR(160),"")," ",""),"년","")),SUBSTITUTE(SUBSTITUTE(SUBSTITUTE(TRIM(A1063&amp;""),CHAR(160),"")," ",""),"년",""),""),"")</f>
      </c>
      <c r="I1063" t="str">
        <f>SUBSTITUTE(SUBSTITUTE(SUBSTITUTE(SUBSTITUTE(SUBSTITUTE(TRIM(B1063&amp;""),CHAR(160),"")," ",""),"초등학교","초"),"중학교","중"),"고등학교","고")</f>
      </c>
    </row>
    <row r="1064" customFormat="false" ht="15" hidden="false" customHeight="false" outlineLevel="0" collapsed="false">
      <c r="A1064" s="8"/>
      <c r="B1064" s="8"/>
      <c r="C1064" s="8"/>
      <c r="D1064" s="8"/>
      <c r="E1064" s="8"/>
      <c r="F1064" t="str" s="15">
        <f aca="0">IF(B1064="","",IF(H1064="","확인필요(입력누락)",IF(SUMPRODUCT((실물목록!$P$2:$P$1001&lt;&gt;"")*ISNUMBER(SEARCH(실물목록!$P$2:$P$1001,I1064))*(실물목록!$Q$2:$Q$1001&lt;&gt;"")*ISNUMBER(SEARCH(실물목록!$Q$2:$Q$1001,I1064))*(실물목록!$R$2:$R$1001="")*(실물목록!$O$2:$O$1001&lt;&gt;"")*(실물목록!$O$2:$O$1001=H1064))&gt;0,"실물 있음",IF(SUMPRODUCT((실물목록!$P$2:$P$1001&lt;&gt;"")*ISNUMBER(SEARCH(실물목록!$P$2:$P$1001,I1064))*(실물목록!$R$2:$R$1001&lt;&gt;""))&gt;0,"확인필요(입력누락)",IF(SUMPRODUCT((실물목록!$P$2:$P$1001&lt;&gt;"")*ISNUMBER(SEARCH(실물목록!$P$2:$P$1001,I1064))*(실물목록!$Q$2:$Q$1001&lt;&gt;"")*ISNUMBER(SEARCH(실물목록!$Q$2:$Q$1001,I1064))*(실물목록!$R$2:$R$1001="")*(실물목록!$O$2:$O$1001&lt;&gt;""))&gt;0,"확인필요(연도다름)","실물 없음")))))</f>
      </c>
      <c r="G1064" t="n" s="16">
        <f aca="0">IF(B1064="","",SUMPRODUCT((실물목록!$P$2:$P$1001&lt;&gt;"")*ISNUMBER(SEARCH(실물목록!$P$2:$P$1001,I1064))*(실물목록!$Q$2:$Q$1001&lt;&gt;"")*ISNUMBER(SEARCH(실물목록!$Q$2:$Q$1001,I1064))*(실물목록!$R$2:$R$1001="")*(실물목록!$O$2:$O$1001&lt;&gt;"")*(실물목록!$O$2:$O$1001=H1064)))</f>
      </c>
      <c r="H1064" t="str">
        <f>IFERROR(IF(AND(LEN(SUBSTITUTE(SUBSTITUTE(SUBSTITUTE(TRIM(A1064&amp;""),CHAR(160),"")," ",""),"년",""))=4,VALUE(SUBSTITUTE(SUBSTITUTE(SUBSTITUTE(TRIM(A1064&amp;""),CHAR(160),"")," ",""),"년",""))&gt;=1900,VALUE(SUBSTITUTE(SUBSTITUTE(SUBSTITUTE(TRIM(A1064&amp;""),CHAR(160),"")," ",""),"년",""))&lt;=2099,TEXT(VALUE(SUBSTITUTE(SUBSTITUTE(SUBSTITUTE(TRIM(A1064&amp;""),CHAR(160),"")," ",""),"년","")),"0000")=SUBSTITUTE(SUBSTITUTE(SUBSTITUTE(TRIM(A1064&amp;""),CHAR(160),"")," ",""),"년","")),SUBSTITUTE(SUBSTITUTE(SUBSTITUTE(TRIM(A1064&amp;""),CHAR(160),"")," ",""),"년",""),""),"")</f>
      </c>
      <c r="I1064" t="str">
        <f>SUBSTITUTE(SUBSTITUTE(SUBSTITUTE(SUBSTITUTE(SUBSTITUTE(TRIM(B1064&amp;""),CHAR(160),"")," ",""),"초등학교","초"),"중학교","중"),"고등학교","고")</f>
      </c>
    </row>
    <row r="1065" customFormat="false" ht="15" hidden="false" customHeight="false" outlineLevel="0" collapsed="false">
      <c r="A1065" s="8"/>
      <c r="B1065" s="8"/>
      <c r="C1065" s="8"/>
      <c r="D1065" s="8"/>
      <c r="E1065" s="8"/>
      <c r="F1065" t="str" s="15">
        <f aca="0">IF(B1065="","",IF(H1065="","확인필요(입력누락)",IF(SUMPRODUCT((실물목록!$P$2:$P$1001&lt;&gt;"")*ISNUMBER(SEARCH(실물목록!$P$2:$P$1001,I1065))*(실물목록!$Q$2:$Q$1001&lt;&gt;"")*ISNUMBER(SEARCH(실물목록!$Q$2:$Q$1001,I1065))*(실물목록!$R$2:$R$1001="")*(실물목록!$O$2:$O$1001&lt;&gt;"")*(실물목록!$O$2:$O$1001=H1065))&gt;0,"실물 있음",IF(SUMPRODUCT((실물목록!$P$2:$P$1001&lt;&gt;"")*ISNUMBER(SEARCH(실물목록!$P$2:$P$1001,I1065))*(실물목록!$R$2:$R$1001&lt;&gt;""))&gt;0,"확인필요(입력누락)",IF(SUMPRODUCT((실물목록!$P$2:$P$1001&lt;&gt;"")*ISNUMBER(SEARCH(실물목록!$P$2:$P$1001,I1065))*(실물목록!$Q$2:$Q$1001&lt;&gt;"")*ISNUMBER(SEARCH(실물목록!$Q$2:$Q$1001,I1065))*(실물목록!$R$2:$R$1001="")*(실물목록!$O$2:$O$1001&lt;&gt;""))&gt;0,"확인필요(연도다름)","실물 없음")))))</f>
      </c>
      <c r="G1065" t="n" s="16">
        <f aca="0">IF(B1065="","",SUMPRODUCT((실물목록!$P$2:$P$1001&lt;&gt;"")*ISNUMBER(SEARCH(실물목록!$P$2:$P$1001,I1065))*(실물목록!$Q$2:$Q$1001&lt;&gt;"")*ISNUMBER(SEARCH(실물목록!$Q$2:$Q$1001,I1065))*(실물목록!$R$2:$R$1001="")*(실물목록!$O$2:$O$1001&lt;&gt;"")*(실물목록!$O$2:$O$1001=H1065)))</f>
      </c>
      <c r="H1065" t="str">
        <f>IFERROR(IF(AND(LEN(SUBSTITUTE(SUBSTITUTE(SUBSTITUTE(TRIM(A1065&amp;""),CHAR(160),"")," ",""),"년",""))=4,VALUE(SUBSTITUTE(SUBSTITUTE(SUBSTITUTE(TRIM(A1065&amp;""),CHAR(160),"")," ",""),"년",""))&gt;=1900,VALUE(SUBSTITUTE(SUBSTITUTE(SUBSTITUTE(TRIM(A1065&amp;""),CHAR(160),"")," ",""),"년",""))&lt;=2099,TEXT(VALUE(SUBSTITUTE(SUBSTITUTE(SUBSTITUTE(TRIM(A1065&amp;""),CHAR(160),"")," ",""),"년","")),"0000")=SUBSTITUTE(SUBSTITUTE(SUBSTITUTE(TRIM(A1065&amp;""),CHAR(160),"")," ",""),"년","")),SUBSTITUTE(SUBSTITUTE(SUBSTITUTE(TRIM(A1065&amp;""),CHAR(160),"")," ",""),"년",""),""),"")</f>
      </c>
      <c r="I1065" t="str">
        <f>SUBSTITUTE(SUBSTITUTE(SUBSTITUTE(SUBSTITUTE(SUBSTITUTE(TRIM(B1065&amp;""),CHAR(160),"")," ",""),"초등학교","초"),"중학교","중"),"고등학교","고")</f>
      </c>
    </row>
    <row r="1066" customFormat="false" ht="15" hidden="false" customHeight="false" outlineLevel="0" collapsed="false">
      <c r="A1066" s="8"/>
      <c r="B1066" s="8"/>
      <c r="C1066" s="8"/>
      <c r="D1066" s="8"/>
      <c r="E1066" s="8"/>
      <c r="F1066" t="str" s="15">
        <f aca="0">IF(B1066="","",IF(H1066="","확인필요(입력누락)",IF(SUMPRODUCT((실물목록!$P$2:$P$1001&lt;&gt;"")*ISNUMBER(SEARCH(실물목록!$P$2:$P$1001,I1066))*(실물목록!$Q$2:$Q$1001&lt;&gt;"")*ISNUMBER(SEARCH(실물목록!$Q$2:$Q$1001,I1066))*(실물목록!$R$2:$R$1001="")*(실물목록!$O$2:$O$1001&lt;&gt;"")*(실물목록!$O$2:$O$1001=H1066))&gt;0,"실물 있음",IF(SUMPRODUCT((실물목록!$P$2:$P$1001&lt;&gt;"")*ISNUMBER(SEARCH(실물목록!$P$2:$P$1001,I1066))*(실물목록!$R$2:$R$1001&lt;&gt;""))&gt;0,"확인필요(입력누락)",IF(SUMPRODUCT((실물목록!$P$2:$P$1001&lt;&gt;"")*ISNUMBER(SEARCH(실물목록!$P$2:$P$1001,I1066))*(실물목록!$Q$2:$Q$1001&lt;&gt;"")*ISNUMBER(SEARCH(실물목록!$Q$2:$Q$1001,I1066))*(실물목록!$R$2:$R$1001="")*(실물목록!$O$2:$O$1001&lt;&gt;""))&gt;0,"확인필요(연도다름)","실물 없음")))))</f>
      </c>
      <c r="G1066" t="n" s="16">
        <f aca="0">IF(B1066="","",SUMPRODUCT((실물목록!$P$2:$P$1001&lt;&gt;"")*ISNUMBER(SEARCH(실물목록!$P$2:$P$1001,I1066))*(실물목록!$Q$2:$Q$1001&lt;&gt;"")*ISNUMBER(SEARCH(실물목록!$Q$2:$Q$1001,I1066))*(실물목록!$R$2:$R$1001="")*(실물목록!$O$2:$O$1001&lt;&gt;"")*(실물목록!$O$2:$O$1001=H1066)))</f>
      </c>
      <c r="H1066" t="str">
        <f>IFERROR(IF(AND(LEN(SUBSTITUTE(SUBSTITUTE(SUBSTITUTE(TRIM(A1066&amp;""),CHAR(160),"")," ",""),"년",""))=4,VALUE(SUBSTITUTE(SUBSTITUTE(SUBSTITUTE(TRIM(A1066&amp;""),CHAR(160),"")," ",""),"년",""))&gt;=1900,VALUE(SUBSTITUTE(SUBSTITUTE(SUBSTITUTE(TRIM(A1066&amp;""),CHAR(160),"")," ",""),"년",""))&lt;=2099,TEXT(VALUE(SUBSTITUTE(SUBSTITUTE(SUBSTITUTE(TRIM(A1066&amp;""),CHAR(160),"")," ",""),"년","")),"0000")=SUBSTITUTE(SUBSTITUTE(SUBSTITUTE(TRIM(A1066&amp;""),CHAR(160),"")," ",""),"년","")),SUBSTITUTE(SUBSTITUTE(SUBSTITUTE(TRIM(A1066&amp;""),CHAR(160),"")," ",""),"년",""),""),"")</f>
      </c>
      <c r="I1066" t="str">
        <f>SUBSTITUTE(SUBSTITUTE(SUBSTITUTE(SUBSTITUTE(SUBSTITUTE(TRIM(B1066&amp;""),CHAR(160),"")," ",""),"초등학교","초"),"중학교","중"),"고등학교","고")</f>
      </c>
    </row>
    <row r="1067" customFormat="false" ht="15" hidden="false" customHeight="false" outlineLevel="0" collapsed="false">
      <c r="A1067" s="8"/>
      <c r="B1067" s="8"/>
      <c r="C1067" s="8"/>
      <c r="D1067" s="8"/>
      <c r="E1067" s="8"/>
      <c r="F1067" t="str" s="15">
        <f aca="0">IF(B1067="","",IF(H1067="","확인필요(입력누락)",IF(SUMPRODUCT((실물목록!$P$2:$P$1001&lt;&gt;"")*ISNUMBER(SEARCH(실물목록!$P$2:$P$1001,I1067))*(실물목록!$Q$2:$Q$1001&lt;&gt;"")*ISNUMBER(SEARCH(실물목록!$Q$2:$Q$1001,I1067))*(실물목록!$R$2:$R$1001="")*(실물목록!$O$2:$O$1001&lt;&gt;"")*(실물목록!$O$2:$O$1001=H1067))&gt;0,"실물 있음",IF(SUMPRODUCT((실물목록!$P$2:$P$1001&lt;&gt;"")*ISNUMBER(SEARCH(실물목록!$P$2:$P$1001,I1067))*(실물목록!$R$2:$R$1001&lt;&gt;""))&gt;0,"확인필요(입력누락)",IF(SUMPRODUCT((실물목록!$P$2:$P$1001&lt;&gt;"")*ISNUMBER(SEARCH(실물목록!$P$2:$P$1001,I1067))*(실물목록!$Q$2:$Q$1001&lt;&gt;"")*ISNUMBER(SEARCH(실물목록!$Q$2:$Q$1001,I1067))*(실물목록!$R$2:$R$1001="")*(실물목록!$O$2:$O$1001&lt;&gt;""))&gt;0,"확인필요(연도다름)","실물 없음")))))</f>
      </c>
      <c r="G1067" t="n" s="16">
        <f aca="0">IF(B1067="","",SUMPRODUCT((실물목록!$P$2:$P$1001&lt;&gt;"")*ISNUMBER(SEARCH(실물목록!$P$2:$P$1001,I1067))*(실물목록!$Q$2:$Q$1001&lt;&gt;"")*ISNUMBER(SEARCH(실물목록!$Q$2:$Q$1001,I1067))*(실물목록!$R$2:$R$1001="")*(실물목록!$O$2:$O$1001&lt;&gt;"")*(실물목록!$O$2:$O$1001=H1067)))</f>
      </c>
      <c r="H1067" t="str">
        <f>IFERROR(IF(AND(LEN(SUBSTITUTE(SUBSTITUTE(SUBSTITUTE(TRIM(A1067&amp;""),CHAR(160),"")," ",""),"년",""))=4,VALUE(SUBSTITUTE(SUBSTITUTE(SUBSTITUTE(TRIM(A1067&amp;""),CHAR(160),"")," ",""),"년",""))&gt;=1900,VALUE(SUBSTITUTE(SUBSTITUTE(SUBSTITUTE(TRIM(A1067&amp;""),CHAR(160),"")," ",""),"년",""))&lt;=2099,TEXT(VALUE(SUBSTITUTE(SUBSTITUTE(SUBSTITUTE(TRIM(A1067&amp;""),CHAR(160),"")," ",""),"년","")),"0000")=SUBSTITUTE(SUBSTITUTE(SUBSTITUTE(TRIM(A1067&amp;""),CHAR(160),"")," ",""),"년","")),SUBSTITUTE(SUBSTITUTE(SUBSTITUTE(TRIM(A1067&amp;""),CHAR(160),"")," ",""),"년",""),""),"")</f>
      </c>
      <c r="I1067" t="str">
        <f>SUBSTITUTE(SUBSTITUTE(SUBSTITUTE(SUBSTITUTE(SUBSTITUTE(TRIM(B1067&amp;""),CHAR(160),"")," ",""),"초등학교","초"),"중학교","중"),"고등학교","고")</f>
      </c>
    </row>
    <row r="1068" customFormat="false" ht="15" hidden="false" customHeight="false" outlineLevel="0" collapsed="false">
      <c r="A1068" s="8"/>
      <c r="B1068" s="8"/>
      <c r="C1068" s="8"/>
      <c r="D1068" s="8"/>
      <c r="E1068" s="8"/>
      <c r="F1068" t="str" s="15">
        <f aca="0">IF(B1068="","",IF(H1068="","확인필요(입력누락)",IF(SUMPRODUCT((실물목록!$P$2:$P$1001&lt;&gt;"")*ISNUMBER(SEARCH(실물목록!$P$2:$P$1001,I1068))*(실물목록!$Q$2:$Q$1001&lt;&gt;"")*ISNUMBER(SEARCH(실물목록!$Q$2:$Q$1001,I1068))*(실물목록!$R$2:$R$1001="")*(실물목록!$O$2:$O$1001&lt;&gt;"")*(실물목록!$O$2:$O$1001=H1068))&gt;0,"실물 있음",IF(SUMPRODUCT((실물목록!$P$2:$P$1001&lt;&gt;"")*ISNUMBER(SEARCH(실물목록!$P$2:$P$1001,I1068))*(실물목록!$R$2:$R$1001&lt;&gt;""))&gt;0,"확인필요(입력누락)",IF(SUMPRODUCT((실물목록!$P$2:$P$1001&lt;&gt;"")*ISNUMBER(SEARCH(실물목록!$P$2:$P$1001,I1068))*(실물목록!$Q$2:$Q$1001&lt;&gt;"")*ISNUMBER(SEARCH(실물목록!$Q$2:$Q$1001,I1068))*(실물목록!$R$2:$R$1001="")*(실물목록!$O$2:$O$1001&lt;&gt;""))&gt;0,"확인필요(연도다름)","실물 없음")))))</f>
      </c>
      <c r="G1068" t="n" s="16">
        <f aca="0">IF(B1068="","",SUMPRODUCT((실물목록!$P$2:$P$1001&lt;&gt;"")*ISNUMBER(SEARCH(실물목록!$P$2:$P$1001,I1068))*(실물목록!$Q$2:$Q$1001&lt;&gt;"")*ISNUMBER(SEARCH(실물목록!$Q$2:$Q$1001,I1068))*(실물목록!$R$2:$R$1001="")*(실물목록!$O$2:$O$1001&lt;&gt;"")*(실물목록!$O$2:$O$1001=H1068)))</f>
      </c>
      <c r="H1068" t="str">
        <f>IFERROR(IF(AND(LEN(SUBSTITUTE(SUBSTITUTE(SUBSTITUTE(TRIM(A1068&amp;""),CHAR(160),"")," ",""),"년",""))=4,VALUE(SUBSTITUTE(SUBSTITUTE(SUBSTITUTE(TRIM(A1068&amp;""),CHAR(160),"")," ",""),"년",""))&gt;=1900,VALUE(SUBSTITUTE(SUBSTITUTE(SUBSTITUTE(TRIM(A1068&amp;""),CHAR(160),"")," ",""),"년",""))&lt;=2099,TEXT(VALUE(SUBSTITUTE(SUBSTITUTE(SUBSTITUTE(TRIM(A1068&amp;""),CHAR(160),"")," ",""),"년","")),"0000")=SUBSTITUTE(SUBSTITUTE(SUBSTITUTE(TRIM(A1068&amp;""),CHAR(160),"")," ",""),"년","")),SUBSTITUTE(SUBSTITUTE(SUBSTITUTE(TRIM(A1068&amp;""),CHAR(160),"")," ",""),"년",""),""),"")</f>
      </c>
      <c r="I1068" t="str">
        <f>SUBSTITUTE(SUBSTITUTE(SUBSTITUTE(SUBSTITUTE(SUBSTITUTE(TRIM(B1068&amp;""),CHAR(160),"")," ",""),"초등학교","초"),"중학교","중"),"고등학교","고")</f>
      </c>
    </row>
    <row r="1069" customFormat="false" ht="15" hidden="false" customHeight="false" outlineLevel="0" collapsed="false">
      <c r="A1069" s="8"/>
      <c r="B1069" s="8"/>
      <c r="C1069" s="8"/>
      <c r="D1069" s="8"/>
      <c r="E1069" s="8"/>
      <c r="F1069" t="str" s="15">
        <f aca="0">IF(B1069="","",IF(H1069="","확인필요(입력누락)",IF(SUMPRODUCT((실물목록!$P$2:$P$1001&lt;&gt;"")*ISNUMBER(SEARCH(실물목록!$P$2:$P$1001,I1069))*(실물목록!$Q$2:$Q$1001&lt;&gt;"")*ISNUMBER(SEARCH(실물목록!$Q$2:$Q$1001,I1069))*(실물목록!$R$2:$R$1001="")*(실물목록!$O$2:$O$1001&lt;&gt;"")*(실물목록!$O$2:$O$1001=H1069))&gt;0,"실물 있음",IF(SUMPRODUCT((실물목록!$P$2:$P$1001&lt;&gt;"")*ISNUMBER(SEARCH(실물목록!$P$2:$P$1001,I1069))*(실물목록!$R$2:$R$1001&lt;&gt;""))&gt;0,"확인필요(입력누락)",IF(SUMPRODUCT((실물목록!$P$2:$P$1001&lt;&gt;"")*ISNUMBER(SEARCH(실물목록!$P$2:$P$1001,I1069))*(실물목록!$Q$2:$Q$1001&lt;&gt;"")*ISNUMBER(SEARCH(실물목록!$Q$2:$Q$1001,I1069))*(실물목록!$R$2:$R$1001="")*(실물목록!$O$2:$O$1001&lt;&gt;""))&gt;0,"확인필요(연도다름)","실물 없음")))))</f>
      </c>
      <c r="G1069" t="n" s="16">
        <f aca="0">IF(B1069="","",SUMPRODUCT((실물목록!$P$2:$P$1001&lt;&gt;"")*ISNUMBER(SEARCH(실물목록!$P$2:$P$1001,I1069))*(실물목록!$Q$2:$Q$1001&lt;&gt;"")*ISNUMBER(SEARCH(실물목록!$Q$2:$Q$1001,I1069))*(실물목록!$R$2:$R$1001="")*(실물목록!$O$2:$O$1001&lt;&gt;"")*(실물목록!$O$2:$O$1001=H1069)))</f>
      </c>
      <c r="H1069" t="str">
        <f>IFERROR(IF(AND(LEN(SUBSTITUTE(SUBSTITUTE(SUBSTITUTE(TRIM(A1069&amp;""),CHAR(160),"")," ",""),"년",""))=4,VALUE(SUBSTITUTE(SUBSTITUTE(SUBSTITUTE(TRIM(A1069&amp;""),CHAR(160),"")," ",""),"년",""))&gt;=1900,VALUE(SUBSTITUTE(SUBSTITUTE(SUBSTITUTE(TRIM(A1069&amp;""),CHAR(160),"")," ",""),"년",""))&lt;=2099,TEXT(VALUE(SUBSTITUTE(SUBSTITUTE(SUBSTITUTE(TRIM(A1069&amp;""),CHAR(160),"")," ",""),"년","")),"0000")=SUBSTITUTE(SUBSTITUTE(SUBSTITUTE(TRIM(A1069&amp;""),CHAR(160),"")," ",""),"년","")),SUBSTITUTE(SUBSTITUTE(SUBSTITUTE(TRIM(A1069&amp;""),CHAR(160),"")," ",""),"년",""),""),"")</f>
      </c>
      <c r="I1069" t="str">
        <f>SUBSTITUTE(SUBSTITUTE(SUBSTITUTE(SUBSTITUTE(SUBSTITUTE(TRIM(B1069&amp;""),CHAR(160),"")," ",""),"초등학교","초"),"중학교","중"),"고등학교","고")</f>
      </c>
    </row>
    <row r="1070" customFormat="false" ht="15" hidden="false" customHeight="false" outlineLevel="0" collapsed="false">
      <c r="A1070" s="8"/>
      <c r="B1070" s="8"/>
      <c r="C1070" s="8"/>
      <c r="D1070" s="8"/>
      <c r="E1070" s="8"/>
      <c r="F1070" t="str" s="15">
        <f aca="0">IF(B1070="","",IF(H1070="","확인필요(입력누락)",IF(SUMPRODUCT((실물목록!$P$2:$P$1001&lt;&gt;"")*ISNUMBER(SEARCH(실물목록!$P$2:$P$1001,I1070))*(실물목록!$Q$2:$Q$1001&lt;&gt;"")*ISNUMBER(SEARCH(실물목록!$Q$2:$Q$1001,I1070))*(실물목록!$R$2:$R$1001="")*(실물목록!$O$2:$O$1001&lt;&gt;"")*(실물목록!$O$2:$O$1001=H1070))&gt;0,"실물 있음",IF(SUMPRODUCT((실물목록!$P$2:$P$1001&lt;&gt;"")*ISNUMBER(SEARCH(실물목록!$P$2:$P$1001,I1070))*(실물목록!$R$2:$R$1001&lt;&gt;""))&gt;0,"확인필요(입력누락)",IF(SUMPRODUCT((실물목록!$P$2:$P$1001&lt;&gt;"")*ISNUMBER(SEARCH(실물목록!$P$2:$P$1001,I1070))*(실물목록!$Q$2:$Q$1001&lt;&gt;"")*ISNUMBER(SEARCH(실물목록!$Q$2:$Q$1001,I1070))*(실물목록!$R$2:$R$1001="")*(실물목록!$O$2:$O$1001&lt;&gt;""))&gt;0,"확인필요(연도다름)","실물 없음")))))</f>
      </c>
      <c r="G1070" t="n" s="16">
        <f aca="0">IF(B1070="","",SUMPRODUCT((실물목록!$P$2:$P$1001&lt;&gt;"")*ISNUMBER(SEARCH(실물목록!$P$2:$P$1001,I1070))*(실물목록!$Q$2:$Q$1001&lt;&gt;"")*ISNUMBER(SEARCH(실물목록!$Q$2:$Q$1001,I1070))*(실물목록!$R$2:$R$1001="")*(실물목록!$O$2:$O$1001&lt;&gt;"")*(실물목록!$O$2:$O$1001=H1070)))</f>
      </c>
      <c r="H1070" t="str">
        <f>IFERROR(IF(AND(LEN(SUBSTITUTE(SUBSTITUTE(SUBSTITUTE(TRIM(A1070&amp;""),CHAR(160),"")," ",""),"년",""))=4,VALUE(SUBSTITUTE(SUBSTITUTE(SUBSTITUTE(TRIM(A1070&amp;""),CHAR(160),"")," ",""),"년",""))&gt;=1900,VALUE(SUBSTITUTE(SUBSTITUTE(SUBSTITUTE(TRIM(A1070&amp;""),CHAR(160),"")," ",""),"년",""))&lt;=2099,TEXT(VALUE(SUBSTITUTE(SUBSTITUTE(SUBSTITUTE(TRIM(A1070&amp;""),CHAR(160),"")," ",""),"년","")),"0000")=SUBSTITUTE(SUBSTITUTE(SUBSTITUTE(TRIM(A1070&amp;""),CHAR(160),"")," ",""),"년","")),SUBSTITUTE(SUBSTITUTE(SUBSTITUTE(TRIM(A1070&amp;""),CHAR(160),"")," ",""),"년",""),""),"")</f>
      </c>
      <c r="I1070" t="str">
        <f>SUBSTITUTE(SUBSTITUTE(SUBSTITUTE(SUBSTITUTE(SUBSTITUTE(TRIM(B1070&amp;""),CHAR(160),"")," ",""),"초등학교","초"),"중학교","중"),"고등학교","고")</f>
      </c>
    </row>
    <row r="1071" customFormat="false" ht="15" hidden="false" customHeight="false" outlineLevel="0" collapsed="false">
      <c r="A1071" s="8"/>
      <c r="B1071" s="8"/>
      <c r="C1071" s="8"/>
      <c r="D1071" s="8"/>
      <c r="E1071" s="8"/>
      <c r="F1071" t="str" s="15">
        <f aca="0">IF(B1071="","",IF(H1071="","확인필요(입력누락)",IF(SUMPRODUCT((실물목록!$P$2:$P$1001&lt;&gt;"")*ISNUMBER(SEARCH(실물목록!$P$2:$P$1001,I1071))*(실물목록!$Q$2:$Q$1001&lt;&gt;"")*ISNUMBER(SEARCH(실물목록!$Q$2:$Q$1001,I1071))*(실물목록!$R$2:$R$1001="")*(실물목록!$O$2:$O$1001&lt;&gt;"")*(실물목록!$O$2:$O$1001=H1071))&gt;0,"실물 있음",IF(SUMPRODUCT((실물목록!$P$2:$P$1001&lt;&gt;"")*ISNUMBER(SEARCH(실물목록!$P$2:$P$1001,I1071))*(실물목록!$R$2:$R$1001&lt;&gt;""))&gt;0,"확인필요(입력누락)",IF(SUMPRODUCT((실물목록!$P$2:$P$1001&lt;&gt;"")*ISNUMBER(SEARCH(실물목록!$P$2:$P$1001,I1071))*(실물목록!$Q$2:$Q$1001&lt;&gt;"")*ISNUMBER(SEARCH(실물목록!$Q$2:$Q$1001,I1071))*(실물목록!$R$2:$R$1001="")*(실물목록!$O$2:$O$1001&lt;&gt;""))&gt;0,"확인필요(연도다름)","실물 없음")))))</f>
      </c>
      <c r="G1071" t="n" s="16">
        <f aca="0">IF(B1071="","",SUMPRODUCT((실물목록!$P$2:$P$1001&lt;&gt;"")*ISNUMBER(SEARCH(실물목록!$P$2:$P$1001,I1071))*(실물목록!$Q$2:$Q$1001&lt;&gt;"")*ISNUMBER(SEARCH(실물목록!$Q$2:$Q$1001,I1071))*(실물목록!$R$2:$R$1001="")*(실물목록!$O$2:$O$1001&lt;&gt;"")*(실물목록!$O$2:$O$1001=H1071)))</f>
      </c>
      <c r="H1071" t="str">
        <f>IFERROR(IF(AND(LEN(SUBSTITUTE(SUBSTITUTE(SUBSTITUTE(TRIM(A1071&amp;""),CHAR(160),"")," ",""),"년",""))=4,VALUE(SUBSTITUTE(SUBSTITUTE(SUBSTITUTE(TRIM(A1071&amp;""),CHAR(160),"")," ",""),"년",""))&gt;=1900,VALUE(SUBSTITUTE(SUBSTITUTE(SUBSTITUTE(TRIM(A1071&amp;""),CHAR(160),"")," ",""),"년",""))&lt;=2099,TEXT(VALUE(SUBSTITUTE(SUBSTITUTE(SUBSTITUTE(TRIM(A1071&amp;""),CHAR(160),"")," ",""),"년","")),"0000")=SUBSTITUTE(SUBSTITUTE(SUBSTITUTE(TRIM(A1071&amp;""),CHAR(160),"")," ",""),"년","")),SUBSTITUTE(SUBSTITUTE(SUBSTITUTE(TRIM(A1071&amp;""),CHAR(160),"")," ",""),"년",""),""),"")</f>
      </c>
      <c r="I1071" t="str">
        <f>SUBSTITUTE(SUBSTITUTE(SUBSTITUTE(SUBSTITUTE(SUBSTITUTE(TRIM(B1071&amp;""),CHAR(160),"")," ",""),"초등학교","초"),"중학교","중"),"고등학교","고")</f>
      </c>
    </row>
    <row r="1072" customFormat="false" ht="15" hidden="false" customHeight="false" outlineLevel="0" collapsed="false">
      <c r="A1072" s="8"/>
      <c r="B1072" s="8"/>
      <c r="C1072" s="8"/>
      <c r="D1072" s="8"/>
      <c r="E1072" s="8"/>
      <c r="F1072" t="str" s="15">
        <f aca="0">IF(B1072="","",IF(H1072="","확인필요(입력누락)",IF(SUMPRODUCT((실물목록!$P$2:$P$1001&lt;&gt;"")*ISNUMBER(SEARCH(실물목록!$P$2:$P$1001,I1072))*(실물목록!$Q$2:$Q$1001&lt;&gt;"")*ISNUMBER(SEARCH(실물목록!$Q$2:$Q$1001,I1072))*(실물목록!$R$2:$R$1001="")*(실물목록!$O$2:$O$1001&lt;&gt;"")*(실물목록!$O$2:$O$1001=H1072))&gt;0,"실물 있음",IF(SUMPRODUCT((실물목록!$P$2:$P$1001&lt;&gt;"")*ISNUMBER(SEARCH(실물목록!$P$2:$P$1001,I1072))*(실물목록!$R$2:$R$1001&lt;&gt;""))&gt;0,"확인필요(입력누락)",IF(SUMPRODUCT((실물목록!$P$2:$P$1001&lt;&gt;"")*ISNUMBER(SEARCH(실물목록!$P$2:$P$1001,I1072))*(실물목록!$Q$2:$Q$1001&lt;&gt;"")*ISNUMBER(SEARCH(실물목록!$Q$2:$Q$1001,I1072))*(실물목록!$R$2:$R$1001="")*(실물목록!$O$2:$O$1001&lt;&gt;""))&gt;0,"확인필요(연도다름)","실물 없음")))))</f>
      </c>
      <c r="G1072" t="n" s="16">
        <f aca="0">IF(B1072="","",SUMPRODUCT((실물목록!$P$2:$P$1001&lt;&gt;"")*ISNUMBER(SEARCH(실물목록!$P$2:$P$1001,I1072))*(실물목록!$Q$2:$Q$1001&lt;&gt;"")*ISNUMBER(SEARCH(실물목록!$Q$2:$Q$1001,I1072))*(실물목록!$R$2:$R$1001="")*(실물목록!$O$2:$O$1001&lt;&gt;"")*(실물목록!$O$2:$O$1001=H1072)))</f>
      </c>
      <c r="H1072" t="str">
        <f>IFERROR(IF(AND(LEN(SUBSTITUTE(SUBSTITUTE(SUBSTITUTE(TRIM(A1072&amp;""),CHAR(160),"")," ",""),"년",""))=4,VALUE(SUBSTITUTE(SUBSTITUTE(SUBSTITUTE(TRIM(A1072&amp;""),CHAR(160),"")," ",""),"년",""))&gt;=1900,VALUE(SUBSTITUTE(SUBSTITUTE(SUBSTITUTE(TRIM(A1072&amp;""),CHAR(160),"")," ",""),"년",""))&lt;=2099,TEXT(VALUE(SUBSTITUTE(SUBSTITUTE(SUBSTITUTE(TRIM(A1072&amp;""),CHAR(160),"")," ",""),"년","")),"0000")=SUBSTITUTE(SUBSTITUTE(SUBSTITUTE(TRIM(A1072&amp;""),CHAR(160),"")," ",""),"년","")),SUBSTITUTE(SUBSTITUTE(SUBSTITUTE(TRIM(A1072&amp;""),CHAR(160),"")," ",""),"년",""),""),"")</f>
      </c>
      <c r="I1072" t="str">
        <f>SUBSTITUTE(SUBSTITUTE(SUBSTITUTE(SUBSTITUTE(SUBSTITUTE(TRIM(B1072&amp;""),CHAR(160),"")," ",""),"초등학교","초"),"중학교","중"),"고등학교","고")</f>
      </c>
    </row>
    <row r="1073" customFormat="false" ht="15" hidden="false" customHeight="false" outlineLevel="0" collapsed="false">
      <c r="A1073" s="8"/>
      <c r="B1073" s="8"/>
      <c r="C1073" s="8"/>
      <c r="D1073" s="8"/>
      <c r="E1073" s="8"/>
      <c r="F1073" t="str" s="15">
        <f aca="0">IF(B1073="","",IF(H1073="","확인필요(입력누락)",IF(SUMPRODUCT((실물목록!$P$2:$P$1001&lt;&gt;"")*ISNUMBER(SEARCH(실물목록!$P$2:$P$1001,I1073))*(실물목록!$Q$2:$Q$1001&lt;&gt;"")*ISNUMBER(SEARCH(실물목록!$Q$2:$Q$1001,I1073))*(실물목록!$R$2:$R$1001="")*(실물목록!$O$2:$O$1001&lt;&gt;"")*(실물목록!$O$2:$O$1001=H1073))&gt;0,"실물 있음",IF(SUMPRODUCT((실물목록!$P$2:$P$1001&lt;&gt;"")*ISNUMBER(SEARCH(실물목록!$P$2:$P$1001,I1073))*(실물목록!$R$2:$R$1001&lt;&gt;""))&gt;0,"확인필요(입력누락)",IF(SUMPRODUCT((실물목록!$P$2:$P$1001&lt;&gt;"")*ISNUMBER(SEARCH(실물목록!$P$2:$P$1001,I1073))*(실물목록!$Q$2:$Q$1001&lt;&gt;"")*ISNUMBER(SEARCH(실물목록!$Q$2:$Q$1001,I1073))*(실물목록!$R$2:$R$1001="")*(실물목록!$O$2:$O$1001&lt;&gt;""))&gt;0,"확인필요(연도다름)","실물 없음")))))</f>
      </c>
      <c r="G1073" t="n" s="16">
        <f aca="0">IF(B1073="","",SUMPRODUCT((실물목록!$P$2:$P$1001&lt;&gt;"")*ISNUMBER(SEARCH(실물목록!$P$2:$P$1001,I1073))*(실물목록!$Q$2:$Q$1001&lt;&gt;"")*ISNUMBER(SEARCH(실물목록!$Q$2:$Q$1001,I1073))*(실물목록!$R$2:$R$1001="")*(실물목록!$O$2:$O$1001&lt;&gt;"")*(실물목록!$O$2:$O$1001=H1073)))</f>
      </c>
      <c r="H1073" t="str">
        <f>IFERROR(IF(AND(LEN(SUBSTITUTE(SUBSTITUTE(SUBSTITUTE(TRIM(A1073&amp;""),CHAR(160),"")," ",""),"년",""))=4,VALUE(SUBSTITUTE(SUBSTITUTE(SUBSTITUTE(TRIM(A1073&amp;""),CHAR(160),"")," ",""),"년",""))&gt;=1900,VALUE(SUBSTITUTE(SUBSTITUTE(SUBSTITUTE(TRIM(A1073&amp;""),CHAR(160),"")," ",""),"년",""))&lt;=2099,TEXT(VALUE(SUBSTITUTE(SUBSTITUTE(SUBSTITUTE(TRIM(A1073&amp;""),CHAR(160),"")," ",""),"년","")),"0000")=SUBSTITUTE(SUBSTITUTE(SUBSTITUTE(TRIM(A1073&amp;""),CHAR(160),"")," ",""),"년","")),SUBSTITUTE(SUBSTITUTE(SUBSTITUTE(TRIM(A1073&amp;""),CHAR(160),"")," ",""),"년",""),""),"")</f>
      </c>
      <c r="I1073" t="str">
        <f>SUBSTITUTE(SUBSTITUTE(SUBSTITUTE(SUBSTITUTE(SUBSTITUTE(TRIM(B1073&amp;""),CHAR(160),"")," ",""),"초등학교","초"),"중학교","중"),"고등학교","고")</f>
      </c>
    </row>
    <row r="1074" customFormat="false" ht="15" hidden="false" customHeight="false" outlineLevel="0" collapsed="false">
      <c r="A1074" s="8"/>
      <c r="B1074" s="8"/>
      <c r="C1074" s="8"/>
      <c r="D1074" s="8"/>
      <c r="E1074" s="8"/>
      <c r="F1074" t="str" s="15">
        <f aca="0">IF(B1074="","",IF(H1074="","확인필요(입력누락)",IF(SUMPRODUCT((실물목록!$P$2:$P$1001&lt;&gt;"")*ISNUMBER(SEARCH(실물목록!$P$2:$P$1001,I1074))*(실물목록!$Q$2:$Q$1001&lt;&gt;"")*ISNUMBER(SEARCH(실물목록!$Q$2:$Q$1001,I1074))*(실물목록!$R$2:$R$1001="")*(실물목록!$O$2:$O$1001&lt;&gt;"")*(실물목록!$O$2:$O$1001=H1074))&gt;0,"실물 있음",IF(SUMPRODUCT((실물목록!$P$2:$P$1001&lt;&gt;"")*ISNUMBER(SEARCH(실물목록!$P$2:$P$1001,I1074))*(실물목록!$R$2:$R$1001&lt;&gt;""))&gt;0,"확인필요(입력누락)",IF(SUMPRODUCT((실물목록!$P$2:$P$1001&lt;&gt;"")*ISNUMBER(SEARCH(실물목록!$P$2:$P$1001,I1074))*(실물목록!$Q$2:$Q$1001&lt;&gt;"")*ISNUMBER(SEARCH(실물목록!$Q$2:$Q$1001,I1074))*(실물목록!$R$2:$R$1001="")*(실물목록!$O$2:$O$1001&lt;&gt;""))&gt;0,"확인필요(연도다름)","실물 없음")))))</f>
      </c>
      <c r="G1074" t="n" s="16">
        <f aca="0">IF(B1074="","",SUMPRODUCT((실물목록!$P$2:$P$1001&lt;&gt;"")*ISNUMBER(SEARCH(실물목록!$P$2:$P$1001,I1074))*(실물목록!$Q$2:$Q$1001&lt;&gt;"")*ISNUMBER(SEARCH(실물목록!$Q$2:$Q$1001,I1074))*(실물목록!$R$2:$R$1001="")*(실물목록!$O$2:$O$1001&lt;&gt;"")*(실물목록!$O$2:$O$1001=H1074)))</f>
      </c>
      <c r="H1074" t="str">
        <f>IFERROR(IF(AND(LEN(SUBSTITUTE(SUBSTITUTE(SUBSTITUTE(TRIM(A1074&amp;""),CHAR(160),"")," ",""),"년",""))=4,VALUE(SUBSTITUTE(SUBSTITUTE(SUBSTITUTE(TRIM(A1074&amp;""),CHAR(160),"")," ",""),"년",""))&gt;=1900,VALUE(SUBSTITUTE(SUBSTITUTE(SUBSTITUTE(TRIM(A1074&amp;""),CHAR(160),"")," ",""),"년",""))&lt;=2099,TEXT(VALUE(SUBSTITUTE(SUBSTITUTE(SUBSTITUTE(TRIM(A1074&amp;""),CHAR(160),"")," ",""),"년","")),"0000")=SUBSTITUTE(SUBSTITUTE(SUBSTITUTE(TRIM(A1074&amp;""),CHAR(160),"")," ",""),"년","")),SUBSTITUTE(SUBSTITUTE(SUBSTITUTE(TRIM(A1074&amp;""),CHAR(160),"")," ",""),"년",""),""),"")</f>
      </c>
      <c r="I1074" t="str">
        <f>SUBSTITUTE(SUBSTITUTE(SUBSTITUTE(SUBSTITUTE(SUBSTITUTE(TRIM(B1074&amp;""),CHAR(160),"")," ",""),"초등학교","초"),"중학교","중"),"고등학교","고")</f>
      </c>
    </row>
    <row r="1075" customFormat="false" ht="15" hidden="false" customHeight="false" outlineLevel="0" collapsed="false">
      <c r="A1075" s="8"/>
      <c r="B1075" s="8"/>
      <c r="C1075" s="8"/>
      <c r="D1075" s="8"/>
      <c r="E1075" s="8"/>
      <c r="F1075" t="str" s="15">
        <f aca="0">IF(B1075="","",IF(H1075="","확인필요(입력누락)",IF(SUMPRODUCT((실물목록!$P$2:$P$1001&lt;&gt;"")*ISNUMBER(SEARCH(실물목록!$P$2:$P$1001,I1075))*(실물목록!$Q$2:$Q$1001&lt;&gt;"")*ISNUMBER(SEARCH(실물목록!$Q$2:$Q$1001,I1075))*(실물목록!$R$2:$R$1001="")*(실물목록!$O$2:$O$1001&lt;&gt;"")*(실물목록!$O$2:$O$1001=H1075))&gt;0,"실물 있음",IF(SUMPRODUCT((실물목록!$P$2:$P$1001&lt;&gt;"")*ISNUMBER(SEARCH(실물목록!$P$2:$P$1001,I1075))*(실물목록!$R$2:$R$1001&lt;&gt;""))&gt;0,"확인필요(입력누락)",IF(SUMPRODUCT((실물목록!$P$2:$P$1001&lt;&gt;"")*ISNUMBER(SEARCH(실물목록!$P$2:$P$1001,I1075))*(실물목록!$Q$2:$Q$1001&lt;&gt;"")*ISNUMBER(SEARCH(실물목록!$Q$2:$Q$1001,I1075))*(실물목록!$R$2:$R$1001="")*(실물목록!$O$2:$O$1001&lt;&gt;""))&gt;0,"확인필요(연도다름)","실물 없음")))))</f>
      </c>
      <c r="G1075" t="n" s="16">
        <f aca="0">IF(B1075="","",SUMPRODUCT((실물목록!$P$2:$P$1001&lt;&gt;"")*ISNUMBER(SEARCH(실물목록!$P$2:$P$1001,I1075))*(실물목록!$Q$2:$Q$1001&lt;&gt;"")*ISNUMBER(SEARCH(실물목록!$Q$2:$Q$1001,I1075))*(실물목록!$R$2:$R$1001="")*(실물목록!$O$2:$O$1001&lt;&gt;"")*(실물목록!$O$2:$O$1001=H1075)))</f>
      </c>
      <c r="H1075" t="str">
        <f>IFERROR(IF(AND(LEN(SUBSTITUTE(SUBSTITUTE(SUBSTITUTE(TRIM(A1075&amp;""),CHAR(160),"")," ",""),"년",""))=4,VALUE(SUBSTITUTE(SUBSTITUTE(SUBSTITUTE(TRIM(A1075&amp;""),CHAR(160),"")," ",""),"년",""))&gt;=1900,VALUE(SUBSTITUTE(SUBSTITUTE(SUBSTITUTE(TRIM(A1075&amp;""),CHAR(160),"")," ",""),"년",""))&lt;=2099,TEXT(VALUE(SUBSTITUTE(SUBSTITUTE(SUBSTITUTE(TRIM(A1075&amp;""),CHAR(160),"")," ",""),"년","")),"0000")=SUBSTITUTE(SUBSTITUTE(SUBSTITUTE(TRIM(A1075&amp;""),CHAR(160),"")," ",""),"년","")),SUBSTITUTE(SUBSTITUTE(SUBSTITUTE(TRIM(A1075&amp;""),CHAR(160),"")," ",""),"년",""),""),"")</f>
      </c>
      <c r="I1075" t="str">
        <f>SUBSTITUTE(SUBSTITUTE(SUBSTITUTE(SUBSTITUTE(SUBSTITUTE(TRIM(B1075&amp;""),CHAR(160),"")," ",""),"초등학교","초"),"중학교","중"),"고등학교","고")</f>
      </c>
    </row>
    <row r="1076" customFormat="false" ht="15" hidden="false" customHeight="false" outlineLevel="0" collapsed="false">
      <c r="A1076" s="8"/>
      <c r="B1076" s="8"/>
      <c r="C1076" s="8"/>
      <c r="D1076" s="8"/>
      <c r="E1076" s="8"/>
      <c r="F1076" t="str" s="15">
        <f aca="0">IF(B1076="","",IF(H1076="","확인필요(입력누락)",IF(SUMPRODUCT((실물목록!$P$2:$P$1001&lt;&gt;"")*ISNUMBER(SEARCH(실물목록!$P$2:$P$1001,I1076))*(실물목록!$Q$2:$Q$1001&lt;&gt;"")*ISNUMBER(SEARCH(실물목록!$Q$2:$Q$1001,I1076))*(실물목록!$R$2:$R$1001="")*(실물목록!$O$2:$O$1001&lt;&gt;"")*(실물목록!$O$2:$O$1001=H1076))&gt;0,"실물 있음",IF(SUMPRODUCT((실물목록!$P$2:$P$1001&lt;&gt;"")*ISNUMBER(SEARCH(실물목록!$P$2:$P$1001,I1076))*(실물목록!$R$2:$R$1001&lt;&gt;""))&gt;0,"확인필요(입력누락)",IF(SUMPRODUCT((실물목록!$P$2:$P$1001&lt;&gt;"")*ISNUMBER(SEARCH(실물목록!$P$2:$P$1001,I1076))*(실물목록!$Q$2:$Q$1001&lt;&gt;"")*ISNUMBER(SEARCH(실물목록!$Q$2:$Q$1001,I1076))*(실물목록!$R$2:$R$1001="")*(실물목록!$O$2:$O$1001&lt;&gt;""))&gt;0,"확인필요(연도다름)","실물 없음")))))</f>
      </c>
      <c r="G1076" t="n" s="16">
        <f aca="0">IF(B1076="","",SUMPRODUCT((실물목록!$P$2:$P$1001&lt;&gt;"")*ISNUMBER(SEARCH(실물목록!$P$2:$P$1001,I1076))*(실물목록!$Q$2:$Q$1001&lt;&gt;"")*ISNUMBER(SEARCH(실물목록!$Q$2:$Q$1001,I1076))*(실물목록!$R$2:$R$1001="")*(실물목록!$O$2:$O$1001&lt;&gt;"")*(실물목록!$O$2:$O$1001=H1076)))</f>
      </c>
      <c r="H1076" t="str">
        <f>IFERROR(IF(AND(LEN(SUBSTITUTE(SUBSTITUTE(SUBSTITUTE(TRIM(A1076&amp;""),CHAR(160),"")," ",""),"년",""))=4,VALUE(SUBSTITUTE(SUBSTITUTE(SUBSTITUTE(TRIM(A1076&amp;""),CHAR(160),"")," ",""),"년",""))&gt;=1900,VALUE(SUBSTITUTE(SUBSTITUTE(SUBSTITUTE(TRIM(A1076&amp;""),CHAR(160),"")," ",""),"년",""))&lt;=2099,TEXT(VALUE(SUBSTITUTE(SUBSTITUTE(SUBSTITUTE(TRIM(A1076&amp;""),CHAR(160),"")," ",""),"년","")),"0000")=SUBSTITUTE(SUBSTITUTE(SUBSTITUTE(TRIM(A1076&amp;""),CHAR(160),"")," ",""),"년","")),SUBSTITUTE(SUBSTITUTE(SUBSTITUTE(TRIM(A1076&amp;""),CHAR(160),"")," ",""),"년",""),""),"")</f>
      </c>
      <c r="I1076" t="str">
        <f>SUBSTITUTE(SUBSTITUTE(SUBSTITUTE(SUBSTITUTE(SUBSTITUTE(TRIM(B1076&amp;""),CHAR(160),"")," ",""),"초등학교","초"),"중학교","중"),"고등학교","고")</f>
      </c>
    </row>
    <row r="1077" customFormat="false" ht="15" hidden="false" customHeight="false" outlineLevel="0" collapsed="false">
      <c r="A1077" s="8"/>
      <c r="B1077" s="8"/>
      <c r="C1077" s="8"/>
      <c r="D1077" s="8"/>
      <c r="E1077" s="8"/>
      <c r="F1077" t="str" s="15">
        <f aca="0">IF(B1077="","",IF(H1077="","확인필요(입력누락)",IF(SUMPRODUCT((실물목록!$P$2:$P$1001&lt;&gt;"")*ISNUMBER(SEARCH(실물목록!$P$2:$P$1001,I1077))*(실물목록!$Q$2:$Q$1001&lt;&gt;"")*ISNUMBER(SEARCH(실물목록!$Q$2:$Q$1001,I1077))*(실물목록!$R$2:$R$1001="")*(실물목록!$O$2:$O$1001&lt;&gt;"")*(실물목록!$O$2:$O$1001=H1077))&gt;0,"실물 있음",IF(SUMPRODUCT((실물목록!$P$2:$P$1001&lt;&gt;"")*ISNUMBER(SEARCH(실물목록!$P$2:$P$1001,I1077))*(실물목록!$R$2:$R$1001&lt;&gt;""))&gt;0,"확인필요(입력누락)",IF(SUMPRODUCT((실물목록!$P$2:$P$1001&lt;&gt;"")*ISNUMBER(SEARCH(실물목록!$P$2:$P$1001,I1077))*(실물목록!$Q$2:$Q$1001&lt;&gt;"")*ISNUMBER(SEARCH(실물목록!$Q$2:$Q$1001,I1077))*(실물목록!$R$2:$R$1001="")*(실물목록!$O$2:$O$1001&lt;&gt;""))&gt;0,"확인필요(연도다름)","실물 없음")))))</f>
      </c>
      <c r="G1077" t="n" s="16">
        <f aca="0">IF(B1077="","",SUMPRODUCT((실물목록!$P$2:$P$1001&lt;&gt;"")*ISNUMBER(SEARCH(실물목록!$P$2:$P$1001,I1077))*(실물목록!$Q$2:$Q$1001&lt;&gt;"")*ISNUMBER(SEARCH(실물목록!$Q$2:$Q$1001,I1077))*(실물목록!$R$2:$R$1001="")*(실물목록!$O$2:$O$1001&lt;&gt;"")*(실물목록!$O$2:$O$1001=H1077)))</f>
      </c>
      <c r="H1077" t="str">
        <f>IFERROR(IF(AND(LEN(SUBSTITUTE(SUBSTITUTE(SUBSTITUTE(TRIM(A1077&amp;""),CHAR(160),"")," ",""),"년",""))=4,VALUE(SUBSTITUTE(SUBSTITUTE(SUBSTITUTE(TRIM(A1077&amp;""),CHAR(160),"")," ",""),"년",""))&gt;=1900,VALUE(SUBSTITUTE(SUBSTITUTE(SUBSTITUTE(TRIM(A1077&amp;""),CHAR(160),"")," ",""),"년",""))&lt;=2099,TEXT(VALUE(SUBSTITUTE(SUBSTITUTE(SUBSTITUTE(TRIM(A1077&amp;""),CHAR(160),"")," ",""),"년","")),"0000")=SUBSTITUTE(SUBSTITUTE(SUBSTITUTE(TRIM(A1077&amp;""),CHAR(160),"")," ",""),"년","")),SUBSTITUTE(SUBSTITUTE(SUBSTITUTE(TRIM(A1077&amp;""),CHAR(160),"")," ",""),"년",""),""),"")</f>
      </c>
      <c r="I1077" t="str">
        <f>SUBSTITUTE(SUBSTITUTE(SUBSTITUTE(SUBSTITUTE(SUBSTITUTE(TRIM(B1077&amp;""),CHAR(160),"")," ",""),"초등학교","초"),"중학교","중"),"고등학교","고")</f>
      </c>
    </row>
    <row r="1078" customFormat="false" ht="15" hidden="false" customHeight="false" outlineLevel="0" collapsed="false">
      <c r="A1078" s="8"/>
      <c r="B1078" s="8"/>
      <c r="C1078" s="8"/>
      <c r="D1078" s="8"/>
      <c r="E1078" s="8"/>
      <c r="F1078" t="str" s="15">
        <f aca="0">IF(B1078="","",IF(H1078="","확인필요(입력누락)",IF(SUMPRODUCT((실물목록!$P$2:$P$1001&lt;&gt;"")*ISNUMBER(SEARCH(실물목록!$P$2:$P$1001,I1078))*(실물목록!$Q$2:$Q$1001&lt;&gt;"")*ISNUMBER(SEARCH(실물목록!$Q$2:$Q$1001,I1078))*(실물목록!$R$2:$R$1001="")*(실물목록!$O$2:$O$1001&lt;&gt;"")*(실물목록!$O$2:$O$1001=H1078))&gt;0,"실물 있음",IF(SUMPRODUCT((실물목록!$P$2:$P$1001&lt;&gt;"")*ISNUMBER(SEARCH(실물목록!$P$2:$P$1001,I1078))*(실물목록!$R$2:$R$1001&lt;&gt;""))&gt;0,"확인필요(입력누락)",IF(SUMPRODUCT((실물목록!$P$2:$P$1001&lt;&gt;"")*ISNUMBER(SEARCH(실물목록!$P$2:$P$1001,I1078))*(실물목록!$Q$2:$Q$1001&lt;&gt;"")*ISNUMBER(SEARCH(실물목록!$Q$2:$Q$1001,I1078))*(실물목록!$R$2:$R$1001="")*(실물목록!$O$2:$O$1001&lt;&gt;""))&gt;0,"확인필요(연도다름)","실물 없음")))))</f>
      </c>
      <c r="G1078" t="n" s="16">
        <f aca="0">IF(B1078="","",SUMPRODUCT((실물목록!$P$2:$P$1001&lt;&gt;"")*ISNUMBER(SEARCH(실물목록!$P$2:$P$1001,I1078))*(실물목록!$Q$2:$Q$1001&lt;&gt;"")*ISNUMBER(SEARCH(실물목록!$Q$2:$Q$1001,I1078))*(실물목록!$R$2:$R$1001="")*(실물목록!$O$2:$O$1001&lt;&gt;"")*(실물목록!$O$2:$O$1001=H1078)))</f>
      </c>
      <c r="H1078" t="str">
        <f>IFERROR(IF(AND(LEN(SUBSTITUTE(SUBSTITUTE(SUBSTITUTE(TRIM(A1078&amp;""),CHAR(160),"")," ",""),"년",""))=4,VALUE(SUBSTITUTE(SUBSTITUTE(SUBSTITUTE(TRIM(A1078&amp;""),CHAR(160),"")," ",""),"년",""))&gt;=1900,VALUE(SUBSTITUTE(SUBSTITUTE(SUBSTITUTE(TRIM(A1078&amp;""),CHAR(160),"")," ",""),"년",""))&lt;=2099,TEXT(VALUE(SUBSTITUTE(SUBSTITUTE(SUBSTITUTE(TRIM(A1078&amp;""),CHAR(160),"")," ",""),"년","")),"0000")=SUBSTITUTE(SUBSTITUTE(SUBSTITUTE(TRIM(A1078&amp;""),CHAR(160),"")," ",""),"년","")),SUBSTITUTE(SUBSTITUTE(SUBSTITUTE(TRIM(A1078&amp;""),CHAR(160),"")," ",""),"년",""),""),"")</f>
      </c>
      <c r="I1078" t="str">
        <f>SUBSTITUTE(SUBSTITUTE(SUBSTITUTE(SUBSTITUTE(SUBSTITUTE(TRIM(B1078&amp;""),CHAR(160),"")," ",""),"초등학교","초"),"중학교","중"),"고등학교","고")</f>
      </c>
    </row>
    <row r="1079" customFormat="false" ht="15" hidden="false" customHeight="false" outlineLevel="0" collapsed="false">
      <c r="A1079" s="8"/>
      <c r="B1079" s="8"/>
      <c r="C1079" s="8"/>
      <c r="D1079" s="8"/>
      <c r="E1079" s="8"/>
      <c r="F1079" t="str" s="15">
        <f aca="0">IF(B1079="","",IF(H1079="","확인필요(입력누락)",IF(SUMPRODUCT((실물목록!$P$2:$P$1001&lt;&gt;"")*ISNUMBER(SEARCH(실물목록!$P$2:$P$1001,I1079))*(실물목록!$Q$2:$Q$1001&lt;&gt;"")*ISNUMBER(SEARCH(실물목록!$Q$2:$Q$1001,I1079))*(실물목록!$R$2:$R$1001="")*(실물목록!$O$2:$O$1001&lt;&gt;"")*(실물목록!$O$2:$O$1001=H1079))&gt;0,"실물 있음",IF(SUMPRODUCT((실물목록!$P$2:$P$1001&lt;&gt;"")*ISNUMBER(SEARCH(실물목록!$P$2:$P$1001,I1079))*(실물목록!$R$2:$R$1001&lt;&gt;""))&gt;0,"확인필요(입력누락)",IF(SUMPRODUCT((실물목록!$P$2:$P$1001&lt;&gt;"")*ISNUMBER(SEARCH(실물목록!$P$2:$P$1001,I1079))*(실물목록!$Q$2:$Q$1001&lt;&gt;"")*ISNUMBER(SEARCH(실물목록!$Q$2:$Q$1001,I1079))*(실물목록!$R$2:$R$1001="")*(실물목록!$O$2:$O$1001&lt;&gt;""))&gt;0,"확인필요(연도다름)","실물 없음")))))</f>
      </c>
      <c r="G1079" t="n" s="16">
        <f aca="0">IF(B1079="","",SUMPRODUCT((실물목록!$P$2:$P$1001&lt;&gt;"")*ISNUMBER(SEARCH(실물목록!$P$2:$P$1001,I1079))*(실물목록!$Q$2:$Q$1001&lt;&gt;"")*ISNUMBER(SEARCH(실물목록!$Q$2:$Q$1001,I1079))*(실물목록!$R$2:$R$1001="")*(실물목록!$O$2:$O$1001&lt;&gt;"")*(실물목록!$O$2:$O$1001=H1079)))</f>
      </c>
      <c r="H1079" t="str">
        <f>IFERROR(IF(AND(LEN(SUBSTITUTE(SUBSTITUTE(SUBSTITUTE(TRIM(A1079&amp;""),CHAR(160),"")," ",""),"년",""))=4,VALUE(SUBSTITUTE(SUBSTITUTE(SUBSTITUTE(TRIM(A1079&amp;""),CHAR(160),"")," ",""),"년",""))&gt;=1900,VALUE(SUBSTITUTE(SUBSTITUTE(SUBSTITUTE(TRIM(A1079&amp;""),CHAR(160),"")," ",""),"년",""))&lt;=2099,TEXT(VALUE(SUBSTITUTE(SUBSTITUTE(SUBSTITUTE(TRIM(A1079&amp;""),CHAR(160),"")," ",""),"년","")),"0000")=SUBSTITUTE(SUBSTITUTE(SUBSTITUTE(TRIM(A1079&amp;""),CHAR(160),"")," ",""),"년","")),SUBSTITUTE(SUBSTITUTE(SUBSTITUTE(TRIM(A1079&amp;""),CHAR(160),"")," ",""),"년",""),""),"")</f>
      </c>
      <c r="I1079" t="str">
        <f>SUBSTITUTE(SUBSTITUTE(SUBSTITUTE(SUBSTITUTE(SUBSTITUTE(TRIM(B1079&amp;""),CHAR(160),"")," ",""),"초등학교","초"),"중학교","중"),"고등학교","고")</f>
      </c>
    </row>
    <row r="1080" customFormat="false" ht="15" hidden="false" customHeight="false" outlineLevel="0" collapsed="false">
      <c r="A1080" s="8"/>
      <c r="B1080" s="8"/>
      <c r="C1080" s="8"/>
      <c r="D1080" s="8"/>
      <c r="E1080" s="8"/>
      <c r="F1080" t="str" s="15">
        <f aca="0">IF(B1080="","",IF(H1080="","확인필요(입력누락)",IF(SUMPRODUCT((실물목록!$P$2:$P$1001&lt;&gt;"")*ISNUMBER(SEARCH(실물목록!$P$2:$P$1001,I1080))*(실물목록!$Q$2:$Q$1001&lt;&gt;"")*ISNUMBER(SEARCH(실물목록!$Q$2:$Q$1001,I1080))*(실물목록!$R$2:$R$1001="")*(실물목록!$O$2:$O$1001&lt;&gt;"")*(실물목록!$O$2:$O$1001=H1080))&gt;0,"실물 있음",IF(SUMPRODUCT((실물목록!$P$2:$P$1001&lt;&gt;"")*ISNUMBER(SEARCH(실물목록!$P$2:$P$1001,I1080))*(실물목록!$R$2:$R$1001&lt;&gt;""))&gt;0,"확인필요(입력누락)",IF(SUMPRODUCT((실물목록!$P$2:$P$1001&lt;&gt;"")*ISNUMBER(SEARCH(실물목록!$P$2:$P$1001,I1080))*(실물목록!$Q$2:$Q$1001&lt;&gt;"")*ISNUMBER(SEARCH(실물목록!$Q$2:$Q$1001,I1080))*(실물목록!$R$2:$R$1001="")*(실물목록!$O$2:$O$1001&lt;&gt;""))&gt;0,"확인필요(연도다름)","실물 없음")))))</f>
      </c>
      <c r="G1080" t="n" s="16">
        <f aca="0">IF(B1080="","",SUMPRODUCT((실물목록!$P$2:$P$1001&lt;&gt;"")*ISNUMBER(SEARCH(실물목록!$P$2:$P$1001,I1080))*(실물목록!$Q$2:$Q$1001&lt;&gt;"")*ISNUMBER(SEARCH(실물목록!$Q$2:$Q$1001,I1080))*(실물목록!$R$2:$R$1001="")*(실물목록!$O$2:$O$1001&lt;&gt;"")*(실물목록!$O$2:$O$1001=H1080)))</f>
      </c>
      <c r="H1080" t="str">
        <f>IFERROR(IF(AND(LEN(SUBSTITUTE(SUBSTITUTE(SUBSTITUTE(TRIM(A1080&amp;""),CHAR(160),"")," ",""),"년",""))=4,VALUE(SUBSTITUTE(SUBSTITUTE(SUBSTITUTE(TRIM(A1080&amp;""),CHAR(160),"")," ",""),"년",""))&gt;=1900,VALUE(SUBSTITUTE(SUBSTITUTE(SUBSTITUTE(TRIM(A1080&amp;""),CHAR(160),"")," ",""),"년",""))&lt;=2099,TEXT(VALUE(SUBSTITUTE(SUBSTITUTE(SUBSTITUTE(TRIM(A1080&amp;""),CHAR(160),"")," ",""),"년","")),"0000")=SUBSTITUTE(SUBSTITUTE(SUBSTITUTE(TRIM(A1080&amp;""),CHAR(160),"")," ",""),"년","")),SUBSTITUTE(SUBSTITUTE(SUBSTITUTE(TRIM(A1080&amp;""),CHAR(160),"")," ",""),"년",""),""),"")</f>
      </c>
      <c r="I1080" t="str">
        <f>SUBSTITUTE(SUBSTITUTE(SUBSTITUTE(SUBSTITUTE(SUBSTITUTE(TRIM(B1080&amp;""),CHAR(160),"")," ",""),"초등학교","초"),"중학교","중"),"고등학교","고")</f>
      </c>
    </row>
    <row r="1081" customFormat="false" ht="15" hidden="false" customHeight="false" outlineLevel="0" collapsed="false">
      <c r="A1081" s="8"/>
      <c r="B1081" s="8"/>
      <c r="C1081" s="8"/>
      <c r="D1081" s="8"/>
      <c r="E1081" s="8"/>
      <c r="F1081" t="str" s="15">
        <f aca="0">IF(B1081="","",IF(H1081="","확인필요(입력누락)",IF(SUMPRODUCT((실물목록!$P$2:$P$1001&lt;&gt;"")*ISNUMBER(SEARCH(실물목록!$P$2:$P$1001,I1081))*(실물목록!$Q$2:$Q$1001&lt;&gt;"")*ISNUMBER(SEARCH(실물목록!$Q$2:$Q$1001,I1081))*(실물목록!$R$2:$R$1001="")*(실물목록!$O$2:$O$1001&lt;&gt;"")*(실물목록!$O$2:$O$1001=H1081))&gt;0,"실물 있음",IF(SUMPRODUCT((실물목록!$P$2:$P$1001&lt;&gt;"")*ISNUMBER(SEARCH(실물목록!$P$2:$P$1001,I1081))*(실물목록!$R$2:$R$1001&lt;&gt;""))&gt;0,"확인필요(입력누락)",IF(SUMPRODUCT((실물목록!$P$2:$P$1001&lt;&gt;"")*ISNUMBER(SEARCH(실물목록!$P$2:$P$1001,I1081))*(실물목록!$Q$2:$Q$1001&lt;&gt;"")*ISNUMBER(SEARCH(실물목록!$Q$2:$Q$1001,I1081))*(실물목록!$R$2:$R$1001="")*(실물목록!$O$2:$O$1001&lt;&gt;""))&gt;0,"확인필요(연도다름)","실물 없음")))))</f>
      </c>
      <c r="G1081" t="n" s="16">
        <f aca="0">IF(B1081="","",SUMPRODUCT((실물목록!$P$2:$P$1001&lt;&gt;"")*ISNUMBER(SEARCH(실물목록!$P$2:$P$1001,I1081))*(실물목록!$Q$2:$Q$1001&lt;&gt;"")*ISNUMBER(SEARCH(실물목록!$Q$2:$Q$1001,I1081))*(실물목록!$R$2:$R$1001="")*(실물목록!$O$2:$O$1001&lt;&gt;"")*(실물목록!$O$2:$O$1001=H1081)))</f>
      </c>
      <c r="H1081" t="str">
        <f>IFERROR(IF(AND(LEN(SUBSTITUTE(SUBSTITUTE(SUBSTITUTE(TRIM(A1081&amp;""),CHAR(160),"")," ",""),"년",""))=4,VALUE(SUBSTITUTE(SUBSTITUTE(SUBSTITUTE(TRIM(A1081&amp;""),CHAR(160),"")," ",""),"년",""))&gt;=1900,VALUE(SUBSTITUTE(SUBSTITUTE(SUBSTITUTE(TRIM(A1081&amp;""),CHAR(160),"")," ",""),"년",""))&lt;=2099,TEXT(VALUE(SUBSTITUTE(SUBSTITUTE(SUBSTITUTE(TRIM(A1081&amp;""),CHAR(160),"")," ",""),"년","")),"0000")=SUBSTITUTE(SUBSTITUTE(SUBSTITUTE(TRIM(A1081&amp;""),CHAR(160),"")," ",""),"년","")),SUBSTITUTE(SUBSTITUTE(SUBSTITUTE(TRIM(A1081&amp;""),CHAR(160),"")," ",""),"년",""),""),"")</f>
      </c>
      <c r="I1081" t="str">
        <f>SUBSTITUTE(SUBSTITUTE(SUBSTITUTE(SUBSTITUTE(SUBSTITUTE(TRIM(B1081&amp;""),CHAR(160),"")," ",""),"초등학교","초"),"중학교","중"),"고등학교","고")</f>
      </c>
    </row>
    <row r="1082" customFormat="false" ht="15" hidden="false" customHeight="false" outlineLevel="0" collapsed="false">
      <c r="A1082" s="8"/>
      <c r="B1082" s="8"/>
      <c r="C1082" s="8"/>
      <c r="D1082" s="8"/>
      <c r="E1082" s="8"/>
      <c r="F1082" t="str" s="15">
        <f aca="0">IF(B1082="","",IF(H1082="","확인필요(입력누락)",IF(SUMPRODUCT((실물목록!$P$2:$P$1001&lt;&gt;"")*ISNUMBER(SEARCH(실물목록!$P$2:$P$1001,I1082))*(실물목록!$Q$2:$Q$1001&lt;&gt;"")*ISNUMBER(SEARCH(실물목록!$Q$2:$Q$1001,I1082))*(실물목록!$R$2:$R$1001="")*(실물목록!$O$2:$O$1001&lt;&gt;"")*(실물목록!$O$2:$O$1001=H1082))&gt;0,"실물 있음",IF(SUMPRODUCT((실물목록!$P$2:$P$1001&lt;&gt;"")*ISNUMBER(SEARCH(실물목록!$P$2:$P$1001,I1082))*(실물목록!$R$2:$R$1001&lt;&gt;""))&gt;0,"확인필요(입력누락)",IF(SUMPRODUCT((실물목록!$P$2:$P$1001&lt;&gt;"")*ISNUMBER(SEARCH(실물목록!$P$2:$P$1001,I1082))*(실물목록!$Q$2:$Q$1001&lt;&gt;"")*ISNUMBER(SEARCH(실물목록!$Q$2:$Q$1001,I1082))*(실물목록!$R$2:$R$1001="")*(실물목록!$O$2:$O$1001&lt;&gt;""))&gt;0,"확인필요(연도다름)","실물 없음")))))</f>
      </c>
      <c r="G1082" t="n" s="16">
        <f aca="0">IF(B1082="","",SUMPRODUCT((실물목록!$P$2:$P$1001&lt;&gt;"")*ISNUMBER(SEARCH(실물목록!$P$2:$P$1001,I1082))*(실물목록!$Q$2:$Q$1001&lt;&gt;"")*ISNUMBER(SEARCH(실물목록!$Q$2:$Q$1001,I1082))*(실물목록!$R$2:$R$1001="")*(실물목록!$O$2:$O$1001&lt;&gt;"")*(실물목록!$O$2:$O$1001=H1082)))</f>
      </c>
      <c r="H1082" t="str">
        <f>IFERROR(IF(AND(LEN(SUBSTITUTE(SUBSTITUTE(SUBSTITUTE(TRIM(A1082&amp;""),CHAR(160),"")," ",""),"년",""))=4,VALUE(SUBSTITUTE(SUBSTITUTE(SUBSTITUTE(TRIM(A1082&amp;""),CHAR(160),"")," ",""),"년",""))&gt;=1900,VALUE(SUBSTITUTE(SUBSTITUTE(SUBSTITUTE(TRIM(A1082&amp;""),CHAR(160),"")," ",""),"년",""))&lt;=2099,TEXT(VALUE(SUBSTITUTE(SUBSTITUTE(SUBSTITUTE(TRIM(A1082&amp;""),CHAR(160),"")," ",""),"년","")),"0000")=SUBSTITUTE(SUBSTITUTE(SUBSTITUTE(TRIM(A1082&amp;""),CHAR(160),"")," ",""),"년","")),SUBSTITUTE(SUBSTITUTE(SUBSTITUTE(TRIM(A1082&amp;""),CHAR(160),"")," ",""),"년",""),""),"")</f>
      </c>
      <c r="I1082" t="str">
        <f>SUBSTITUTE(SUBSTITUTE(SUBSTITUTE(SUBSTITUTE(SUBSTITUTE(TRIM(B1082&amp;""),CHAR(160),"")," ",""),"초등학교","초"),"중학교","중"),"고등학교","고")</f>
      </c>
    </row>
    <row r="1083" customFormat="false" ht="15" hidden="false" customHeight="false" outlineLevel="0" collapsed="false">
      <c r="A1083" s="8"/>
      <c r="B1083" s="8"/>
      <c r="C1083" s="8"/>
      <c r="D1083" s="8"/>
      <c r="E1083" s="8"/>
      <c r="F1083" t="str" s="15">
        <f aca="0">IF(B1083="","",IF(H1083="","확인필요(입력누락)",IF(SUMPRODUCT((실물목록!$P$2:$P$1001&lt;&gt;"")*ISNUMBER(SEARCH(실물목록!$P$2:$P$1001,I1083))*(실물목록!$Q$2:$Q$1001&lt;&gt;"")*ISNUMBER(SEARCH(실물목록!$Q$2:$Q$1001,I1083))*(실물목록!$R$2:$R$1001="")*(실물목록!$O$2:$O$1001&lt;&gt;"")*(실물목록!$O$2:$O$1001=H1083))&gt;0,"실물 있음",IF(SUMPRODUCT((실물목록!$P$2:$P$1001&lt;&gt;"")*ISNUMBER(SEARCH(실물목록!$P$2:$P$1001,I1083))*(실물목록!$R$2:$R$1001&lt;&gt;""))&gt;0,"확인필요(입력누락)",IF(SUMPRODUCT((실물목록!$P$2:$P$1001&lt;&gt;"")*ISNUMBER(SEARCH(실물목록!$P$2:$P$1001,I1083))*(실물목록!$Q$2:$Q$1001&lt;&gt;"")*ISNUMBER(SEARCH(실물목록!$Q$2:$Q$1001,I1083))*(실물목록!$R$2:$R$1001="")*(실물목록!$O$2:$O$1001&lt;&gt;""))&gt;0,"확인필요(연도다름)","실물 없음")))))</f>
      </c>
      <c r="G1083" t="n" s="16">
        <f aca="0">IF(B1083="","",SUMPRODUCT((실물목록!$P$2:$P$1001&lt;&gt;"")*ISNUMBER(SEARCH(실물목록!$P$2:$P$1001,I1083))*(실물목록!$Q$2:$Q$1001&lt;&gt;"")*ISNUMBER(SEARCH(실물목록!$Q$2:$Q$1001,I1083))*(실물목록!$R$2:$R$1001="")*(실물목록!$O$2:$O$1001&lt;&gt;"")*(실물목록!$O$2:$O$1001=H1083)))</f>
      </c>
      <c r="H1083" t="str">
        <f>IFERROR(IF(AND(LEN(SUBSTITUTE(SUBSTITUTE(SUBSTITUTE(TRIM(A1083&amp;""),CHAR(160),"")," ",""),"년",""))=4,VALUE(SUBSTITUTE(SUBSTITUTE(SUBSTITUTE(TRIM(A1083&amp;""),CHAR(160),"")," ",""),"년",""))&gt;=1900,VALUE(SUBSTITUTE(SUBSTITUTE(SUBSTITUTE(TRIM(A1083&amp;""),CHAR(160),"")," ",""),"년",""))&lt;=2099,TEXT(VALUE(SUBSTITUTE(SUBSTITUTE(SUBSTITUTE(TRIM(A1083&amp;""),CHAR(160),"")," ",""),"년","")),"0000")=SUBSTITUTE(SUBSTITUTE(SUBSTITUTE(TRIM(A1083&amp;""),CHAR(160),"")," ",""),"년","")),SUBSTITUTE(SUBSTITUTE(SUBSTITUTE(TRIM(A1083&amp;""),CHAR(160),"")," ",""),"년",""),""),"")</f>
      </c>
      <c r="I1083" t="str">
        <f>SUBSTITUTE(SUBSTITUTE(SUBSTITUTE(SUBSTITUTE(SUBSTITUTE(TRIM(B1083&amp;""),CHAR(160),"")," ",""),"초등학교","초"),"중학교","중"),"고등학교","고")</f>
      </c>
    </row>
    <row r="1084" customFormat="false" ht="15" hidden="false" customHeight="false" outlineLevel="0" collapsed="false">
      <c r="A1084" s="8"/>
      <c r="B1084" s="8"/>
      <c r="C1084" s="8"/>
      <c r="D1084" s="8"/>
      <c r="E1084" s="8"/>
      <c r="F1084" t="str" s="15">
        <f aca="0">IF(B1084="","",IF(H1084="","확인필요(입력누락)",IF(SUMPRODUCT((실물목록!$P$2:$P$1001&lt;&gt;"")*ISNUMBER(SEARCH(실물목록!$P$2:$P$1001,I1084))*(실물목록!$Q$2:$Q$1001&lt;&gt;"")*ISNUMBER(SEARCH(실물목록!$Q$2:$Q$1001,I1084))*(실물목록!$R$2:$R$1001="")*(실물목록!$O$2:$O$1001&lt;&gt;"")*(실물목록!$O$2:$O$1001=H1084))&gt;0,"실물 있음",IF(SUMPRODUCT((실물목록!$P$2:$P$1001&lt;&gt;"")*ISNUMBER(SEARCH(실물목록!$P$2:$P$1001,I1084))*(실물목록!$R$2:$R$1001&lt;&gt;""))&gt;0,"확인필요(입력누락)",IF(SUMPRODUCT((실물목록!$P$2:$P$1001&lt;&gt;"")*ISNUMBER(SEARCH(실물목록!$P$2:$P$1001,I1084))*(실물목록!$Q$2:$Q$1001&lt;&gt;"")*ISNUMBER(SEARCH(실물목록!$Q$2:$Q$1001,I1084))*(실물목록!$R$2:$R$1001="")*(실물목록!$O$2:$O$1001&lt;&gt;""))&gt;0,"확인필요(연도다름)","실물 없음")))))</f>
      </c>
      <c r="G1084" t="n" s="16">
        <f aca="0">IF(B1084="","",SUMPRODUCT((실물목록!$P$2:$P$1001&lt;&gt;"")*ISNUMBER(SEARCH(실물목록!$P$2:$P$1001,I1084))*(실물목록!$Q$2:$Q$1001&lt;&gt;"")*ISNUMBER(SEARCH(실물목록!$Q$2:$Q$1001,I1084))*(실물목록!$R$2:$R$1001="")*(실물목록!$O$2:$O$1001&lt;&gt;"")*(실물목록!$O$2:$O$1001=H1084)))</f>
      </c>
      <c r="H1084" t="str">
        <f>IFERROR(IF(AND(LEN(SUBSTITUTE(SUBSTITUTE(SUBSTITUTE(TRIM(A1084&amp;""),CHAR(160),"")," ",""),"년",""))=4,VALUE(SUBSTITUTE(SUBSTITUTE(SUBSTITUTE(TRIM(A1084&amp;""),CHAR(160),"")," ",""),"년",""))&gt;=1900,VALUE(SUBSTITUTE(SUBSTITUTE(SUBSTITUTE(TRIM(A1084&amp;""),CHAR(160),"")," ",""),"년",""))&lt;=2099,TEXT(VALUE(SUBSTITUTE(SUBSTITUTE(SUBSTITUTE(TRIM(A1084&amp;""),CHAR(160),"")," ",""),"년","")),"0000")=SUBSTITUTE(SUBSTITUTE(SUBSTITUTE(TRIM(A1084&amp;""),CHAR(160),"")," ",""),"년","")),SUBSTITUTE(SUBSTITUTE(SUBSTITUTE(TRIM(A1084&amp;""),CHAR(160),"")," ",""),"년",""),""),"")</f>
      </c>
      <c r="I1084" t="str">
        <f>SUBSTITUTE(SUBSTITUTE(SUBSTITUTE(SUBSTITUTE(SUBSTITUTE(TRIM(B1084&amp;""),CHAR(160),"")," ",""),"초등학교","초"),"중학교","중"),"고등학교","고")</f>
      </c>
    </row>
    <row r="1085" customFormat="false" ht="15" hidden="false" customHeight="false" outlineLevel="0" collapsed="false">
      <c r="A1085" s="8"/>
      <c r="B1085" s="8"/>
      <c r="C1085" s="8"/>
      <c r="D1085" s="8"/>
      <c r="E1085" s="8"/>
      <c r="F1085" t="str" s="15">
        <f aca="0">IF(B1085="","",IF(H1085="","확인필요(입력누락)",IF(SUMPRODUCT((실물목록!$P$2:$P$1001&lt;&gt;"")*ISNUMBER(SEARCH(실물목록!$P$2:$P$1001,I1085))*(실물목록!$Q$2:$Q$1001&lt;&gt;"")*ISNUMBER(SEARCH(실물목록!$Q$2:$Q$1001,I1085))*(실물목록!$R$2:$R$1001="")*(실물목록!$O$2:$O$1001&lt;&gt;"")*(실물목록!$O$2:$O$1001=H1085))&gt;0,"실물 있음",IF(SUMPRODUCT((실물목록!$P$2:$P$1001&lt;&gt;"")*ISNUMBER(SEARCH(실물목록!$P$2:$P$1001,I1085))*(실물목록!$R$2:$R$1001&lt;&gt;""))&gt;0,"확인필요(입력누락)",IF(SUMPRODUCT((실물목록!$P$2:$P$1001&lt;&gt;"")*ISNUMBER(SEARCH(실물목록!$P$2:$P$1001,I1085))*(실물목록!$Q$2:$Q$1001&lt;&gt;"")*ISNUMBER(SEARCH(실물목록!$Q$2:$Q$1001,I1085))*(실물목록!$R$2:$R$1001="")*(실물목록!$O$2:$O$1001&lt;&gt;""))&gt;0,"확인필요(연도다름)","실물 없음")))))</f>
      </c>
      <c r="G1085" t="n" s="16">
        <f aca="0">IF(B1085="","",SUMPRODUCT((실물목록!$P$2:$P$1001&lt;&gt;"")*ISNUMBER(SEARCH(실물목록!$P$2:$P$1001,I1085))*(실물목록!$Q$2:$Q$1001&lt;&gt;"")*ISNUMBER(SEARCH(실물목록!$Q$2:$Q$1001,I1085))*(실물목록!$R$2:$R$1001="")*(실물목록!$O$2:$O$1001&lt;&gt;"")*(실물목록!$O$2:$O$1001=H1085)))</f>
      </c>
      <c r="H1085" t="str">
        <f>IFERROR(IF(AND(LEN(SUBSTITUTE(SUBSTITUTE(SUBSTITUTE(TRIM(A1085&amp;""),CHAR(160),"")," ",""),"년",""))=4,VALUE(SUBSTITUTE(SUBSTITUTE(SUBSTITUTE(TRIM(A1085&amp;""),CHAR(160),"")," ",""),"년",""))&gt;=1900,VALUE(SUBSTITUTE(SUBSTITUTE(SUBSTITUTE(TRIM(A1085&amp;""),CHAR(160),"")," ",""),"년",""))&lt;=2099,TEXT(VALUE(SUBSTITUTE(SUBSTITUTE(SUBSTITUTE(TRIM(A1085&amp;""),CHAR(160),"")," ",""),"년","")),"0000")=SUBSTITUTE(SUBSTITUTE(SUBSTITUTE(TRIM(A1085&amp;""),CHAR(160),"")," ",""),"년","")),SUBSTITUTE(SUBSTITUTE(SUBSTITUTE(TRIM(A1085&amp;""),CHAR(160),"")," ",""),"년",""),""),"")</f>
      </c>
      <c r="I1085" t="str">
        <f>SUBSTITUTE(SUBSTITUTE(SUBSTITUTE(SUBSTITUTE(SUBSTITUTE(TRIM(B1085&amp;""),CHAR(160),"")," ",""),"초등학교","초"),"중학교","중"),"고등학교","고")</f>
      </c>
    </row>
    <row r="1086" customFormat="false" ht="15" hidden="false" customHeight="false" outlineLevel="0" collapsed="false">
      <c r="A1086" s="8"/>
      <c r="B1086" s="8"/>
      <c r="C1086" s="8"/>
      <c r="D1086" s="8"/>
      <c r="E1086" s="8"/>
      <c r="F1086" t="str" s="15">
        <f aca="0">IF(B1086="","",IF(H1086="","확인필요(입력누락)",IF(SUMPRODUCT((실물목록!$P$2:$P$1001&lt;&gt;"")*ISNUMBER(SEARCH(실물목록!$P$2:$P$1001,I1086))*(실물목록!$Q$2:$Q$1001&lt;&gt;"")*ISNUMBER(SEARCH(실물목록!$Q$2:$Q$1001,I1086))*(실물목록!$R$2:$R$1001="")*(실물목록!$O$2:$O$1001&lt;&gt;"")*(실물목록!$O$2:$O$1001=H1086))&gt;0,"실물 있음",IF(SUMPRODUCT((실물목록!$P$2:$P$1001&lt;&gt;"")*ISNUMBER(SEARCH(실물목록!$P$2:$P$1001,I1086))*(실물목록!$R$2:$R$1001&lt;&gt;""))&gt;0,"확인필요(입력누락)",IF(SUMPRODUCT((실물목록!$P$2:$P$1001&lt;&gt;"")*ISNUMBER(SEARCH(실물목록!$P$2:$P$1001,I1086))*(실물목록!$Q$2:$Q$1001&lt;&gt;"")*ISNUMBER(SEARCH(실물목록!$Q$2:$Q$1001,I1086))*(실물목록!$R$2:$R$1001="")*(실물목록!$O$2:$O$1001&lt;&gt;""))&gt;0,"확인필요(연도다름)","실물 없음")))))</f>
      </c>
      <c r="G1086" t="n" s="16">
        <f aca="0">IF(B1086="","",SUMPRODUCT((실물목록!$P$2:$P$1001&lt;&gt;"")*ISNUMBER(SEARCH(실물목록!$P$2:$P$1001,I1086))*(실물목록!$Q$2:$Q$1001&lt;&gt;"")*ISNUMBER(SEARCH(실물목록!$Q$2:$Q$1001,I1086))*(실물목록!$R$2:$R$1001="")*(실물목록!$O$2:$O$1001&lt;&gt;"")*(실물목록!$O$2:$O$1001=H1086)))</f>
      </c>
      <c r="H1086" t="str">
        <f>IFERROR(IF(AND(LEN(SUBSTITUTE(SUBSTITUTE(SUBSTITUTE(TRIM(A1086&amp;""),CHAR(160),"")," ",""),"년",""))=4,VALUE(SUBSTITUTE(SUBSTITUTE(SUBSTITUTE(TRIM(A1086&amp;""),CHAR(160),"")," ",""),"년",""))&gt;=1900,VALUE(SUBSTITUTE(SUBSTITUTE(SUBSTITUTE(TRIM(A1086&amp;""),CHAR(160),"")," ",""),"년",""))&lt;=2099,TEXT(VALUE(SUBSTITUTE(SUBSTITUTE(SUBSTITUTE(TRIM(A1086&amp;""),CHAR(160),"")," ",""),"년","")),"0000")=SUBSTITUTE(SUBSTITUTE(SUBSTITUTE(TRIM(A1086&amp;""),CHAR(160),"")," ",""),"년","")),SUBSTITUTE(SUBSTITUTE(SUBSTITUTE(TRIM(A1086&amp;""),CHAR(160),"")," ",""),"년",""),""),"")</f>
      </c>
      <c r="I1086" t="str">
        <f>SUBSTITUTE(SUBSTITUTE(SUBSTITUTE(SUBSTITUTE(SUBSTITUTE(TRIM(B1086&amp;""),CHAR(160),"")," ",""),"초등학교","초"),"중학교","중"),"고등학교","고")</f>
      </c>
    </row>
    <row r="1087" customFormat="false" ht="15" hidden="false" customHeight="false" outlineLevel="0" collapsed="false">
      <c r="A1087" s="8"/>
      <c r="B1087" s="8"/>
      <c r="C1087" s="8"/>
      <c r="D1087" s="8"/>
      <c r="E1087" s="8"/>
      <c r="F1087" t="str" s="15">
        <f aca="0">IF(B1087="","",IF(H1087="","확인필요(입력누락)",IF(SUMPRODUCT((실물목록!$P$2:$P$1001&lt;&gt;"")*ISNUMBER(SEARCH(실물목록!$P$2:$P$1001,I1087))*(실물목록!$Q$2:$Q$1001&lt;&gt;"")*ISNUMBER(SEARCH(실물목록!$Q$2:$Q$1001,I1087))*(실물목록!$R$2:$R$1001="")*(실물목록!$O$2:$O$1001&lt;&gt;"")*(실물목록!$O$2:$O$1001=H1087))&gt;0,"실물 있음",IF(SUMPRODUCT((실물목록!$P$2:$P$1001&lt;&gt;"")*ISNUMBER(SEARCH(실물목록!$P$2:$P$1001,I1087))*(실물목록!$R$2:$R$1001&lt;&gt;""))&gt;0,"확인필요(입력누락)",IF(SUMPRODUCT((실물목록!$P$2:$P$1001&lt;&gt;"")*ISNUMBER(SEARCH(실물목록!$P$2:$P$1001,I1087))*(실물목록!$Q$2:$Q$1001&lt;&gt;"")*ISNUMBER(SEARCH(실물목록!$Q$2:$Q$1001,I1087))*(실물목록!$R$2:$R$1001="")*(실물목록!$O$2:$O$1001&lt;&gt;""))&gt;0,"확인필요(연도다름)","실물 없음")))))</f>
      </c>
      <c r="G1087" t="n" s="16">
        <f aca="0">IF(B1087="","",SUMPRODUCT((실물목록!$P$2:$P$1001&lt;&gt;"")*ISNUMBER(SEARCH(실물목록!$P$2:$P$1001,I1087))*(실물목록!$Q$2:$Q$1001&lt;&gt;"")*ISNUMBER(SEARCH(실물목록!$Q$2:$Q$1001,I1087))*(실물목록!$R$2:$R$1001="")*(실물목록!$O$2:$O$1001&lt;&gt;"")*(실물목록!$O$2:$O$1001=H1087)))</f>
      </c>
      <c r="H1087" t="str">
        <f>IFERROR(IF(AND(LEN(SUBSTITUTE(SUBSTITUTE(SUBSTITUTE(TRIM(A1087&amp;""),CHAR(160),"")," ",""),"년",""))=4,VALUE(SUBSTITUTE(SUBSTITUTE(SUBSTITUTE(TRIM(A1087&amp;""),CHAR(160),"")," ",""),"년",""))&gt;=1900,VALUE(SUBSTITUTE(SUBSTITUTE(SUBSTITUTE(TRIM(A1087&amp;""),CHAR(160),"")," ",""),"년",""))&lt;=2099,TEXT(VALUE(SUBSTITUTE(SUBSTITUTE(SUBSTITUTE(TRIM(A1087&amp;""),CHAR(160),"")," ",""),"년","")),"0000")=SUBSTITUTE(SUBSTITUTE(SUBSTITUTE(TRIM(A1087&amp;""),CHAR(160),"")," ",""),"년","")),SUBSTITUTE(SUBSTITUTE(SUBSTITUTE(TRIM(A1087&amp;""),CHAR(160),"")," ",""),"년",""),""),"")</f>
      </c>
      <c r="I1087" t="str">
        <f>SUBSTITUTE(SUBSTITUTE(SUBSTITUTE(SUBSTITUTE(SUBSTITUTE(TRIM(B1087&amp;""),CHAR(160),"")," ",""),"초등학교","초"),"중학교","중"),"고등학교","고")</f>
      </c>
    </row>
    <row r="1088" customFormat="false" ht="15" hidden="false" customHeight="false" outlineLevel="0" collapsed="false">
      <c r="A1088" s="8"/>
      <c r="B1088" s="8"/>
      <c r="C1088" s="8"/>
      <c r="D1088" s="8"/>
      <c r="E1088" s="8"/>
      <c r="F1088" t="str" s="15">
        <f aca="0">IF(B1088="","",IF(H1088="","확인필요(입력누락)",IF(SUMPRODUCT((실물목록!$P$2:$P$1001&lt;&gt;"")*ISNUMBER(SEARCH(실물목록!$P$2:$P$1001,I1088))*(실물목록!$Q$2:$Q$1001&lt;&gt;"")*ISNUMBER(SEARCH(실물목록!$Q$2:$Q$1001,I1088))*(실물목록!$R$2:$R$1001="")*(실물목록!$O$2:$O$1001&lt;&gt;"")*(실물목록!$O$2:$O$1001=H1088))&gt;0,"실물 있음",IF(SUMPRODUCT((실물목록!$P$2:$P$1001&lt;&gt;"")*ISNUMBER(SEARCH(실물목록!$P$2:$P$1001,I1088))*(실물목록!$R$2:$R$1001&lt;&gt;""))&gt;0,"확인필요(입력누락)",IF(SUMPRODUCT((실물목록!$P$2:$P$1001&lt;&gt;"")*ISNUMBER(SEARCH(실물목록!$P$2:$P$1001,I1088))*(실물목록!$Q$2:$Q$1001&lt;&gt;"")*ISNUMBER(SEARCH(실물목록!$Q$2:$Q$1001,I1088))*(실물목록!$R$2:$R$1001="")*(실물목록!$O$2:$O$1001&lt;&gt;""))&gt;0,"확인필요(연도다름)","실물 없음")))))</f>
      </c>
      <c r="G1088" t="n" s="16">
        <f aca="0">IF(B1088="","",SUMPRODUCT((실물목록!$P$2:$P$1001&lt;&gt;"")*ISNUMBER(SEARCH(실물목록!$P$2:$P$1001,I1088))*(실물목록!$Q$2:$Q$1001&lt;&gt;"")*ISNUMBER(SEARCH(실물목록!$Q$2:$Q$1001,I1088))*(실물목록!$R$2:$R$1001="")*(실물목록!$O$2:$O$1001&lt;&gt;"")*(실물목록!$O$2:$O$1001=H1088)))</f>
      </c>
      <c r="H1088" t="str">
        <f>IFERROR(IF(AND(LEN(SUBSTITUTE(SUBSTITUTE(SUBSTITUTE(TRIM(A1088&amp;""),CHAR(160),"")," ",""),"년",""))=4,VALUE(SUBSTITUTE(SUBSTITUTE(SUBSTITUTE(TRIM(A1088&amp;""),CHAR(160),"")," ",""),"년",""))&gt;=1900,VALUE(SUBSTITUTE(SUBSTITUTE(SUBSTITUTE(TRIM(A1088&amp;""),CHAR(160),"")," ",""),"년",""))&lt;=2099,TEXT(VALUE(SUBSTITUTE(SUBSTITUTE(SUBSTITUTE(TRIM(A1088&amp;""),CHAR(160),"")," ",""),"년","")),"0000")=SUBSTITUTE(SUBSTITUTE(SUBSTITUTE(TRIM(A1088&amp;""),CHAR(160),"")," ",""),"년","")),SUBSTITUTE(SUBSTITUTE(SUBSTITUTE(TRIM(A1088&amp;""),CHAR(160),"")," ",""),"년",""),""),"")</f>
      </c>
      <c r="I1088" t="str">
        <f>SUBSTITUTE(SUBSTITUTE(SUBSTITUTE(SUBSTITUTE(SUBSTITUTE(TRIM(B1088&amp;""),CHAR(160),"")," ",""),"초등학교","초"),"중학교","중"),"고등학교","고")</f>
      </c>
    </row>
    <row r="1089" customFormat="false" ht="15" hidden="false" customHeight="false" outlineLevel="0" collapsed="false">
      <c r="A1089" s="8"/>
      <c r="B1089" s="8"/>
      <c r="C1089" s="8"/>
      <c r="D1089" s="8"/>
      <c r="E1089" s="8"/>
      <c r="F1089" t="str" s="15">
        <f aca="0">IF(B1089="","",IF(H1089="","확인필요(입력누락)",IF(SUMPRODUCT((실물목록!$P$2:$P$1001&lt;&gt;"")*ISNUMBER(SEARCH(실물목록!$P$2:$P$1001,I1089))*(실물목록!$Q$2:$Q$1001&lt;&gt;"")*ISNUMBER(SEARCH(실물목록!$Q$2:$Q$1001,I1089))*(실물목록!$R$2:$R$1001="")*(실물목록!$O$2:$O$1001&lt;&gt;"")*(실물목록!$O$2:$O$1001=H1089))&gt;0,"실물 있음",IF(SUMPRODUCT((실물목록!$P$2:$P$1001&lt;&gt;"")*ISNUMBER(SEARCH(실물목록!$P$2:$P$1001,I1089))*(실물목록!$R$2:$R$1001&lt;&gt;""))&gt;0,"확인필요(입력누락)",IF(SUMPRODUCT((실물목록!$P$2:$P$1001&lt;&gt;"")*ISNUMBER(SEARCH(실물목록!$P$2:$P$1001,I1089))*(실물목록!$Q$2:$Q$1001&lt;&gt;"")*ISNUMBER(SEARCH(실물목록!$Q$2:$Q$1001,I1089))*(실물목록!$R$2:$R$1001="")*(실물목록!$O$2:$O$1001&lt;&gt;""))&gt;0,"확인필요(연도다름)","실물 없음")))))</f>
      </c>
      <c r="G1089" t="n" s="16">
        <f aca="0">IF(B1089="","",SUMPRODUCT((실물목록!$P$2:$P$1001&lt;&gt;"")*ISNUMBER(SEARCH(실물목록!$P$2:$P$1001,I1089))*(실물목록!$Q$2:$Q$1001&lt;&gt;"")*ISNUMBER(SEARCH(실물목록!$Q$2:$Q$1001,I1089))*(실물목록!$R$2:$R$1001="")*(실물목록!$O$2:$O$1001&lt;&gt;"")*(실물목록!$O$2:$O$1001=H1089)))</f>
      </c>
      <c r="H1089" t="str">
        <f>IFERROR(IF(AND(LEN(SUBSTITUTE(SUBSTITUTE(SUBSTITUTE(TRIM(A1089&amp;""),CHAR(160),"")," ",""),"년",""))=4,VALUE(SUBSTITUTE(SUBSTITUTE(SUBSTITUTE(TRIM(A1089&amp;""),CHAR(160),"")," ",""),"년",""))&gt;=1900,VALUE(SUBSTITUTE(SUBSTITUTE(SUBSTITUTE(TRIM(A1089&amp;""),CHAR(160),"")," ",""),"년",""))&lt;=2099,TEXT(VALUE(SUBSTITUTE(SUBSTITUTE(SUBSTITUTE(TRIM(A1089&amp;""),CHAR(160),"")," ",""),"년","")),"0000")=SUBSTITUTE(SUBSTITUTE(SUBSTITUTE(TRIM(A1089&amp;""),CHAR(160),"")," ",""),"년","")),SUBSTITUTE(SUBSTITUTE(SUBSTITUTE(TRIM(A1089&amp;""),CHAR(160),"")," ",""),"년",""),""),"")</f>
      </c>
      <c r="I1089" t="str">
        <f>SUBSTITUTE(SUBSTITUTE(SUBSTITUTE(SUBSTITUTE(SUBSTITUTE(TRIM(B1089&amp;""),CHAR(160),"")," ",""),"초등학교","초"),"중학교","중"),"고등학교","고")</f>
      </c>
    </row>
    <row r="1090" customFormat="false" ht="15" hidden="false" customHeight="false" outlineLevel="0" collapsed="false">
      <c r="A1090" s="8"/>
      <c r="B1090" s="8"/>
      <c r="C1090" s="8"/>
      <c r="D1090" s="8"/>
      <c r="E1090" s="8"/>
      <c r="F1090" t="str" s="15">
        <f aca="0">IF(B1090="","",IF(H1090="","확인필요(입력누락)",IF(SUMPRODUCT((실물목록!$P$2:$P$1001&lt;&gt;"")*ISNUMBER(SEARCH(실물목록!$P$2:$P$1001,I1090))*(실물목록!$Q$2:$Q$1001&lt;&gt;"")*ISNUMBER(SEARCH(실물목록!$Q$2:$Q$1001,I1090))*(실물목록!$R$2:$R$1001="")*(실물목록!$O$2:$O$1001&lt;&gt;"")*(실물목록!$O$2:$O$1001=H1090))&gt;0,"실물 있음",IF(SUMPRODUCT((실물목록!$P$2:$P$1001&lt;&gt;"")*ISNUMBER(SEARCH(실물목록!$P$2:$P$1001,I1090))*(실물목록!$R$2:$R$1001&lt;&gt;""))&gt;0,"확인필요(입력누락)",IF(SUMPRODUCT((실물목록!$P$2:$P$1001&lt;&gt;"")*ISNUMBER(SEARCH(실물목록!$P$2:$P$1001,I1090))*(실물목록!$Q$2:$Q$1001&lt;&gt;"")*ISNUMBER(SEARCH(실물목록!$Q$2:$Q$1001,I1090))*(실물목록!$R$2:$R$1001="")*(실물목록!$O$2:$O$1001&lt;&gt;""))&gt;0,"확인필요(연도다름)","실물 없음")))))</f>
      </c>
      <c r="G1090" t="n" s="16">
        <f aca="0">IF(B1090="","",SUMPRODUCT((실물목록!$P$2:$P$1001&lt;&gt;"")*ISNUMBER(SEARCH(실물목록!$P$2:$P$1001,I1090))*(실물목록!$Q$2:$Q$1001&lt;&gt;"")*ISNUMBER(SEARCH(실물목록!$Q$2:$Q$1001,I1090))*(실물목록!$R$2:$R$1001="")*(실물목록!$O$2:$O$1001&lt;&gt;"")*(실물목록!$O$2:$O$1001=H1090)))</f>
      </c>
      <c r="H1090" t="str">
        <f>IFERROR(IF(AND(LEN(SUBSTITUTE(SUBSTITUTE(SUBSTITUTE(TRIM(A1090&amp;""),CHAR(160),"")," ",""),"년",""))=4,VALUE(SUBSTITUTE(SUBSTITUTE(SUBSTITUTE(TRIM(A1090&amp;""),CHAR(160),"")," ",""),"년",""))&gt;=1900,VALUE(SUBSTITUTE(SUBSTITUTE(SUBSTITUTE(TRIM(A1090&amp;""),CHAR(160),"")," ",""),"년",""))&lt;=2099,TEXT(VALUE(SUBSTITUTE(SUBSTITUTE(SUBSTITUTE(TRIM(A1090&amp;""),CHAR(160),"")," ",""),"년","")),"0000")=SUBSTITUTE(SUBSTITUTE(SUBSTITUTE(TRIM(A1090&amp;""),CHAR(160),"")," ",""),"년","")),SUBSTITUTE(SUBSTITUTE(SUBSTITUTE(TRIM(A1090&amp;""),CHAR(160),"")," ",""),"년",""),""),"")</f>
      </c>
      <c r="I1090" t="str">
        <f>SUBSTITUTE(SUBSTITUTE(SUBSTITUTE(SUBSTITUTE(SUBSTITUTE(TRIM(B1090&amp;""),CHAR(160),"")," ",""),"초등학교","초"),"중학교","중"),"고등학교","고")</f>
      </c>
    </row>
    <row r="1091" customFormat="false" ht="15" hidden="false" customHeight="false" outlineLevel="0" collapsed="false">
      <c r="A1091" s="8"/>
      <c r="B1091" s="8"/>
      <c r="C1091" s="8"/>
      <c r="D1091" s="8"/>
      <c r="E1091" s="8"/>
      <c r="F1091" t="str" s="15">
        <f aca="0">IF(B1091="","",IF(H1091="","확인필요(입력누락)",IF(SUMPRODUCT((실물목록!$P$2:$P$1001&lt;&gt;"")*ISNUMBER(SEARCH(실물목록!$P$2:$P$1001,I1091))*(실물목록!$Q$2:$Q$1001&lt;&gt;"")*ISNUMBER(SEARCH(실물목록!$Q$2:$Q$1001,I1091))*(실물목록!$R$2:$R$1001="")*(실물목록!$O$2:$O$1001&lt;&gt;"")*(실물목록!$O$2:$O$1001=H1091))&gt;0,"실물 있음",IF(SUMPRODUCT((실물목록!$P$2:$P$1001&lt;&gt;"")*ISNUMBER(SEARCH(실물목록!$P$2:$P$1001,I1091))*(실물목록!$R$2:$R$1001&lt;&gt;""))&gt;0,"확인필요(입력누락)",IF(SUMPRODUCT((실물목록!$P$2:$P$1001&lt;&gt;"")*ISNUMBER(SEARCH(실물목록!$P$2:$P$1001,I1091))*(실물목록!$Q$2:$Q$1001&lt;&gt;"")*ISNUMBER(SEARCH(실물목록!$Q$2:$Q$1001,I1091))*(실물목록!$R$2:$R$1001="")*(실물목록!$O$2:$O$1001&lt;&gt;""))&gt;0,"확인필요(연도다름)","실물 없음")))))</f>
      </c>
      <c r="G1091" t="n" s="16">
        <f aca="0">IF(B1091="","",SUMPRODUCT((실물목록!$P$2:$P$1001&lt;&gt;"")*ISNUMBER(SEARCH(실물목록!$P$2:$P$1001,I1091))*(실물목록!$Q$2:$Q$1001&lt;&gt;"")*ISNUMBER(SEARCH(실물목록!$Q$2:$Q$1001,I1091))*(실물목록!$R$2:$R$1001="")*(실물목록!$O$2:$O$1001&lt;&gt;"")*(실물목록!$O$2:$O$1001=H1091)))</f>
      </c>
      <c r="H1091" t="str">
        <f>IFERROR(IF(AND(LEN(SUBSTITUTE(SUBSTITUTE(SUBSTITUTE(TRIM(A1091&amp;""),CHAR(160),"")," ",""),"년",""))=4,VALUE(SUBSTITUTE(SUBSTITUTE(SUBSTITUTE(TRIM(A1091&amp;""),CHAR(160),"")," ",""),"년",""))&gt;=1900,VALUE(SUBSTITUTE(SUBSTITUTE(SUBSTITUTE(TRIM(A1091&amp;""),CHAR(160),"")," ",""),"년",""))&lt;=2099,TEXT(VALUE(SUBSTITUTE(SUBSTITUTE(SUBSTITUTE(TRIM(A1091&amp;""),CHAR(160),"")," ",""),"년","")),"0000")=SUBSTITUTE(SUBSTITUTE(SUBSTITUTE(TRIM(A1091&amp;""),CHAR(160),"")," ",""),"년","")),SUBSTITUTE(SUBSTITUTE(SUBSTITUTE(TRIM(A1091&amp;""),CHAR(160),"")," ",""),"년",""),""),"")</f>
      </c>
      <c r="I1091" t="str">
        <f>SUBSTITUTE(SUBSTITUTE(SUBSTITUTE(SUBSTITUTE(SUBSTITUTE(TRIM(B1091&amp;""),CHAR(160),"")," ",""),"초등학교","초"),"중학교","중"),"고등학교","고")</f>
      </c>
    </row>
    <row r="1092" customFormat="false" ht="15" hidden="false" customHeight="false" outlineLevel="0" collapsed="false">
      <c r="A1092" s="8"/>
      <c r="B1092" s="8"/>
      <c r="C1092" s="8"/>
      <c r="D1092" s="8"/>
      <c r="E1092" s="8"/>
      <c r="F1092" t="str" s="15">
        <f aca="0">IF(B1092="","",IF(H1092="","확인필요(입력누락)",IF(SUMPRODUCT((실물목록!$P$2:$P$1001&lt;&gt;"")*ISNUMBER(SEARCH(실물목록!$P$2:$P$1001,I1092))*(실물목록!$Q$2:$Q$1001&lt;&gt;"")*ISNUMBER(SEARCH(실물목록!$Q$2:$Q$1001,I1092))*(실물목록!$R$2:$R$1001="")*(실물목록!$O$2:$O$1001&lt;&gt;"")*(실물목록!$O$2:$O$1001=H1092))&gt;0,"실물 있음",IF(SUMPRODUCT((실물목록!$P$2:$P$1001&lt;&gt;"")*ISNUMBER(SEARCH(실물목록!$P$2:$P$1001,I1092))*(실물목록!$R$2:$R$1001&lt;&gt;""))&gt;0,"확인필요(입력누락)",IF(SUMPRODUCT((실물목록!$P$2:$P$1001&lt;&gt;"")*ISNUMBER(SEARCH(실물목록!$P$2:$P$1001,I1092))*(실물목록!$Q$2:$Q$1001&lt;&gt;"")*ISNUMBER(SEARCH(실물목록!$Q$2:$Q$1001,I1092))*(실물목록!$R$2:$R$1001="")*(실물목록!$O$2:$O$1001&lt;&gt;""))&gt;0,"확인필요(연도다름)","실물 없음")))))</f>
      </c>
      <c r="G1092" t="n" s="16">
        <f aca="0">IF(B1092="","",SUMPRODUCT((실물목록!$P$2:$P$1001&lt;&gt;"")*ISNUMBER(SEARCH(실물목록!$P$2:$P$1001,I1092))*(실물목록!$Q$2:$Q$1001&lt;&gt;"")*ISNUMBER(SEARCH(실물목록!$Q$2:$Q$1001,I1092))*(실물목록!$R$2:$R$1001="")*(실물목록!$O$2:$O$1001&lt;&gt;"")*(실물목록!$O$2:$O$1001=H1092)))</f>
      </c>
      <c r="H1092" t="str">
        <f>IFERROR(IF(AND(LEN(SUBSTITUTE(SUBSTITUTE(SUBSTITUTE(TRIM(A1092&amp;""),CHAR(160),"")," ",""),"년",""))=4,VALUE(SUBSTITUTE(SUBSTITUTE(SUBSTITUTE(TRIM(A1092&amp;""),CHAR(160),"")," ",""),"년",""))&gt;=1900,VALUE(SUBSTITUTE(SUBSTITUTE(SUBSTITUTE(TRIM(A1092&amp;""),CHAR(160),"")," ",""),"년",""))&lt;=2099,TEXT(VALUE(SUBSTITUTE(SUBSTITUTE(SUBSTITUTE(TRIM(A1092&amp;""),CHAR(160),"")," ",""),"년","")),"0000")=SUBSTITUTE(SUBSTITUTE(SUBSTITUTE(TRIM(A1092&amp;""),CHAR(160),"")," ",""),"년","")),SUBSTITUTE(SUBSTITUTE(SUBSTITUTE(TRIM(A1092&amp;""),CHAR(160),"")," ",""),"년",""),""),"")</f>
      </c>
      <c r="I1092" t="str">
        <f>SUBSTITUTE(SUBSTITUTE(SUBSTITUTE(SUBSTITUTE(SUBSTITUTE(TRIM(B1092&amp;""),CHAR(160),"")," ",""),"초등학교","초"),"중학교","중"),"고등학교","고")</f>
      </c>
    </row>
    <row r="1093" customFormat="false" ht="15" hidden="false" customHeight="false" outlineLevel="0" collapsed="false">
      <c r="A1093" s="8"/>
      <c r="B1093" s="8"/>
      <c r="C1093" s="8"/>
      <c r="D1093" s="8"/>
      <c r="E1093" s="8"/>
      <c r="F1093" t="str" s="15">
        <f aca="0">IF(B1093="","",IF(H1093="","확인필요(입력누락)",IF(SUMPRODUCT((실물목록!$P$2:$P$1001&lt;&gt;"")*ISNUMBER(SEARCH(실물목록!$P$2:$P$1001,I1093))*(실물목록!$Q$2:$Q$1001&lt;&gt;"")*ISNUMBER(SEARCH(실물목록!$Q$2:$Q$1001,I1093))*(실물목록!$R$2:$R$1001="")*(실물목록!$O$2:$O$1001&lt;&gt;"")*(실물목록!$O$2:$O$1001=H1093))&gt;0,"실물 있음",IF(SUMPRODUCT((실물목록!$P$2:$P$1001&lt;&gt;"")*ISNUMBER(SEARCH(실물목록!$P$2:$P$1001,I1093))*(실물목록!$R$2:$R$1001&lt;&gt;""))&gt;0,"확인필요(입력누락)",IF(SUMPRODUCT((실물목록!$P$2:$P$1001&lt;&gt;"")*ISNUMBER(SEARCH(실물목록!$P$2:$P$1001,I1093))*(실물목록!$Q$2:$Q$1001&lt;&gt;"")*ISNUMBER(SEARCH(실물목록!$Q$2:$Q$1001,I1093))*(실물목록!$R$2:$R$1001="")*(실물목록!$O$2:$O$1001&lt;&gt;""))&gt;0,"확인필요(연도다름)","실물 없음")))))</f>
      </c>
      <c r="G1093" t="n" s="16">
        <f aca="0">IF(B1093="","",SUMPRODUCT((실물목록!$P$2:$P$1001&lt;&gt;"")*ISNUMBER(SEARCH(실물목록!$P$2:$P$1001,I1093))*(실물목록!$Q$2:$Q$1001&lt;&gt;"")*ISNUMBER(SEARCH(실물목록!$Q$2:$Q$1001,I1093))*(실물목록!$R$2:$R$1001="")*(실물목록!$O$2:$O$1001&lt;&gt;"")*(실물목록!$O$2:$O$1001=H1093)))</f>
      </c>
      <c r="H1093" t="str">
        <f>IFERROR(IF(AND(LEN(SUBSTITUTE(SUBSTITUTE(SUBSTITUTE(TRIM(A1093&amp;""),CHAR(160),"")," ",""),"년",""))=4,VALUE(SUBSTITUTE(SUBSTITUTE(SUBSTITUTE(TRIM(A1093&amp;""),CHAR(160),"")," ",""),"년",""))&gt;=1900,VALUE(SUBSTITUTE(SUBSTITUTE(SUBSTITUTE(TRIM(A1093&amp;""),CHAR(160),"")," ",""),"년",""))&lt;=2099,TEXT(VALUE(SUBSTITUTE(SUBSTITUTE(SUBSTITUTE(TRIM(A1093&amp;""),CHAR(160),"")," ",""),"년","")),"0000")=SUBSTITUTE(SUBSTITUTE(SUBSTITUTE(TRIM(A1093&amp;""),CHAR(160),"")," ",""),"년","")),SUBSTITUTE(SUBSTITUTE(SUBSTITUTE(TRIM(A1093&amp;""),CHAR(160),"")," ",""),"년",""),""),"")</f>
      </c>
      <c r="I1093" t="str">
        <f>SUBSTITUTE(SUBSTITUTE(SUBSTITUTE(SUBSTITUTE(SUBSTITUTE(TRIM(B1093&amp;""),CHAR(160),"")," ",""),"초등학교","초"),"중학교","중"),"고등학교","고")</f>
      </c>
    </row>
    <row r="1094" customFormat="false" ht="15" hidden="false" customHeight="false" outlineLevel="0" collapsed="false">
      <c r="A1094" s="8"/>
      <c r="B1094" s="8"/>
      <c r="C1094" s="8"/>
      <c r="D1094" s="8"/>
      <c r="E1094" s="8"/>
      <c r="F1094" t="str" s="15">
        <f aca="0">IF(B1094="","",IF(H1094="","확인필요(입력누락)",IF(SUMPRODUCT((실물목록!$P$2:$P$1001&lt;&gt;"")*ISNUMBER(SEARCH(실물목록!$P$2:$P$1001,I1094))*(실물목록!$Q$2:$Q$1001&lt;&gt;"")*ISNUMBER(SEARCH(실물목록!$Q$2:$Q$1001,I1094))*(실물목록!$R$2:$R$1001="")*(실물목록!$O$2:$O$1001&lt;&gt;"")*(실물목록!$O$2:$O$1001=H1094))&gt;0,"실물 있음",IF(SUMPRODUCT((실물목록!$P$2:$P$1001&lt;&gt;"")*ISNUMBER(SEARCH(실물목록!$P$2:$P$1001,I1094))*(실물목록!$R$2:$R$1001&lt;&gt;""))&gt;0,"확인필요(입력누락)",IF(SUMPRODUCT((실물목록!$P$2:$P$1001&lt;&gt;"")*ISNUMBER(SEARCH(실물목록!$P$2:$P$1001,I1094))*(실물목록!$Q$2:$Q$1001&lt;&gt;"")*ISNUMBER(SEARCH(실물목록!$Q$2:$Q$1001,I1094))*(실물목록!$R$2:$R$1001="")*(실물목록!$O$2:$O$1001&lt;&gt;""))&gt;0,"확인필요(연도다름)","실물 없음")))))</f>
      </c>
      <c r="G1094" t="n" s="16">
        <f aca="0">IF(B1094="","",SUMPRODUCT((실물목록!$P$2:$P$1001&lt;&gt;"")*ISNUMBER(SEARCH(실물목록!$P$2:$P$1001,I1094))*(실물목록!$Q$2:$Q$1001&lt;&gt;"")*ISNUMBER(SEARCH(실물목록!$Q$2:$Q$1001,I1094))*(실물목록!$R$2:$R$1001="")*(실물목록!$O$2:$O$1001&lt;&gt;"")*(실물목록!$O$2:$O$1001=H1094)))</f>
      </c>
      <c r="H1094" t="str">
        <f>IFERROR(IF(AND(LEN(SUBSTITUTE(SUBSTITUTE(SUBSTITUTE(TRIM(A1094&amp;""),CHAR(160),"")," ",""),"년",""))=4,VALUE(SUBSTITUTE(SUBSTITUTE(SUBSTITUTE(TRIM(A1094&amp;""),CHAR(160),"")," ",""),"년",""))&gt;=1900,VALUE(SUBSTITUTE(SUBSTITUTE(SUBSTITUTE(TRIM(A1094&amp;""),CHAR(160),"")," ",""),"년",""))&lt;=2099,TEXT(VALUE(SUBSTITUTE(SUBSTITUTE(SUBSTITUTE(TRIM(A1094&amp;""),CHAR(160),"")," ",""),"년","")),"0000")=SUBSTITUTE(SUBSTITUTE(SUBSTITUTE(TRIM(A1094&amp;""),CHAR(160),"")," ",""),"년","")),SUBSTITUTE(SUBSTITUTE(SUBSTITUTE(TRIM(A1094&amp;""),CHAR(160),"")," ",""),"년",""),""),"")</f>
      </c>
      <c r="I1094" t="str">
        <f>SUBSTITUTE(SUBSTITUTE(SUBSTITUTE(SUBSTITUTE(SUBSTITUTE(TRIM(B1094&amp;""),CHAR(160),"")," ",""),"초등학교","초"),"중학교","중"),"고등학교","고")</f>
      </c>
    </row>
    <row r="1095" customFormat="false" ht="15" hidden="false" customHeight="false" outlineLevel="0" collapsed="false">
      <c r="A1095" s="8"/>
      <c r="B1095" s="8"/>
      <c r="C1095" s="8"/>
      <c r="D1095" s="8"/>
      <c r="E1095" s="8"/>
      <c r="F1095" t="str" s="15">
        <f aca="0">IF(B1095="","",IF(H1095="","확인필요(입력누락)",IF(SUMPRODUCT((실물목록!$P$2:$P$1001&lt;&gt;"")*ISNUMBER(SEARCH(실물목록!$P$2:$P$1001,I1095))*(실물목록!$Q$2:$Q$1001&lt;&gt;"")*ISNUMBER(SEARCH(실물목록!$Q$2:$Q$1001,I1095))*(실물목록!$R$2:$R$1001="")*(실물목록!$O$2:$O$1001&lt;&gt;"")*(실물목록!$O$2:$O$1001=H1095))&gt;0,"실물 있음",IF(SUMPRODUCT((실물목록!$P$2:$P$1001&lt;&gt;"")*ISNUMBER(SEARCH(실물목록!$P$2:$P$1001,I1095))*(실물목록!$R$2:$R$1001&lt;&gt;""))&gt;0,"확인필요(입력누락)",IF(SUMPRODUCT((실물목록!$P$2:$P$1001&lt;&gt;"")*ISNUMBER(SEARCH(실물목록!$P$2:$P$1001,I1095))*(실물목록!$Q$2:$Q$1001&lt;&gt;"")*ISNUMBER(SEARCH(실물목록!$Q$2:$Q$1001,I1095))*(실물목록!$R$2:$R$1001="")*(실물목록!$O$2:$O$1001&lt;&gt;""))&gt;0,"확인필요(연도다름)","실물 없음")))))</f>
      </c>
      <c r="G1095" t="n" s="16">
        <f aca="0">IF(B1095="","",SUMPRODUCT((실물목록!$P$2:$P$1001&lt;&gt;"")*ISNUMBER(SEARCH(실물목록!$P$2:$P$1001,I1095))*(실물목록!$Q$2:$Q$1001&lt;&gt;"")*ISNUMBER(SEARCH(실물목록!$Q$2:$Q$1001,I1095))*(실물목록!$R$2:$R$1001="")*(실물목록!$O$2:$O$1001&lt;&gt;"")*(실물목록!$O$2:$O$1001=H1095)))</f>
      </c>
      <c r="H1095" t="str">
        <f>IFERROR(IF(AND(LEN(SUBSTITUTE(SUBSTITUTE(SUBSTITUTE(TRIM(A1095&amp;""),CHAR(160),"")," ",""),"년",""))=4,VALUE(SUBSTITUTE(SUBSTITUTE(SUBSTITUTE(TRIM(A1095&amp;""),CHAR(160),"")," ",""),"년",""))&gt;=1900,VALUE(SUBSTITUTE(SUBSTITUTE(SUBSTITUTE(TRIM(A1095&amp;""),CHAR(160),"")," ",""),"년",""))&lt;=2099,TEXT(VALUE(SUBSTITUTE(SUBSTITUTE(SUBSTITUTE(TRIM(A1095&amp;""),CHAR(160),"")," ",""),"년","")),"0000")=SUBSTITUTE(SUBSTITUTE(SUBSTITUTE(TRIM(A1095&amp;""),CHAR(160),"")," ",""),"년","")),SUBSTITUTE(SUBSTITUTE(SUBSTITUTE(TRIM(A1095&amp;""),CHAR(160),"")," ",""),"년",""),""),"")</f>
      </c>
      <c r="I1095" t="str">
        <f>SUBSTITUTE(SUBSTITUTE(SUBSTITUTE(SUBSTITUTE(SUBSTITUTE(TRIM(B1095&amp;""),CHAR(160),"")," ",""),"초등학교","초"),"중학교","중"),"고등학교","고")</f>
      </c>
    </row>
    <row r="1096" customFormat="false" ht="15" hidden="false" customHeight="false" outlineLevel="0" collapsed="false">
      <c r="A1096" s="8"/>
      <c r="B1096" s="8"/>
      <c r="C1096" s="8"/>
      <c r="D1096" s="8"/>
      <c r="E1096" s="8"/>
      <c r="F1096" t="str" s="15">
        <f aca="0">IF(B1096="","",IF(H1096="","확인필요(입력누락)",IF(SUMPRODUCT((실물목록!$P$2:$P$1001&lt;&gt;"")*ISNUMBER(SEARCH(실물목록!$P$2:$P$1001,I1096))*(실물목록!$Q$2:$Q$1001&lt;&gt;"")*ISNUMBER(SEARCH(실물목록!$Q$2:$Q$1001,I1096))*(실물목록!$R$2:$R$1001="")*(실물목록!$O$2:$O$1001&lt;&gt;"")*(실물목록!$O$2:$O$1001=H1096))&gt;0,"실물 있음",IF(SUMPRODUCT((실물목록!$P$2:$P$1001&lt;&gt;"")*ISNUMBER(SEARCH(실물목록!$P$2:$P$1001,I1096))*(실물목록!$R$2:$R$1001&lt;&gt;""))&gt;0,"확인필요(입력누락)",IF(SUMPRODUCT((실물목록!$P$2:$P$1001&lt;&gt;"")*ISNUMBER(SEARCH(실물목록!$P$2:$P$1001,I1096))*(실물목록!$Q$2:$Q$1001&lt;&gt;"")*ISNUMBER(SEARCH(실물목록!$Q$2:$Q$1001,I1096))*(실물목록!$R$2:$R$1001="")*(실물목록!$O$2:$O$1001&lt;&gt;""))&gt;0,"확인필요(연도다름)","실물 없음")))))</f>
      </c>
      <c r="G1096" t="n" s="16">
        <f aca="0">IF(B1096="","",SUMPRODUCT((실물목록!$P$2:$P$1001&lt;&gt;"")*ISNUMBER(SEARCH(실물목록!$P$2:$P$1001,I1096))*(실물목록!$Q$2:$Q$1001&lt;&gt;"")*ISNUMBER(SEARCH(실물목록!$Q$2:$Q$1001,I1096))*(실물목록!$R$2:$R$1001="")*(실물목록!$O$2:$O$1001&lt;&gt;"")*(실물목록!$O$2:$O$1001=H1096)))</f>
      </c>
      <c r="H1096" t="str">
        <f>IFERROR(IF(AND(LEN(SUBSTITUTE(SUBSTITUTE(SUBSTITUTE(TRIM(A1096&amp;""),CHAR(160),"")," ",""),"년",""))=4,VALUE(SUBSTITUTE(SUBSTITUTE(SUBSTITUTE(TRIM(A1096&amp;""),CHAR(160),"")," ",""),"년",""))&gt;=1900,VALUE(SUBSTITUTE(SUBSTITUTE(SUBSTITUTE(TRIM(A1096&amp;""),CHAR(160),"")," ",""),"년",""))&lt;=2099,TEXT(VALUE(SUBSTITUTE(SUBSTITUTE(SUBSTITUTE(TRIM(A1096&amp;""),CHAR(160),"")," ",""),"년","")),"0000")=SUBSTITUTE(SUBSTITUTE(SUBSTITUTE(TRIM(A1096&amp;""),CHAR(160),"")," ",""),"년","")),SUBSTITUTE(SUBSTITUTE(SUBSTITUTE(TRIM(A1096&amp;""),CHAR(160),"")," ",""),"년",""),""),"")</f>
      </c>
      <c r="I1096" t="str">
        <f>SUBSTITUTE(SUBSTITUTE(SUBSTITUTE(SUBSTITUTE(SUBSTITUTE(TRIM(B1096&amp;""),CHAR(160),"")," ",""),"초등학교","초"),"중학교","중"),"고등학교","고")</f>
      </c>
    </row>
    <row r="1097" customFormat="false" ht="15" hidden="false" customHeight="false" outlineLevel="0" collapsed="false">
      <c r="A1097" s="8"/>
      <c r="B1097" s="8"/>
      <c r="C1097" s="8"/>
      <c r="D1097" s="8"/>
      <c r="E1097" s="8"/>
      <c r="F1097" t="str" s="15">
        <f aca="0">IF(B1097="","",IF(H1097="","확인필요(입력누락)",IF(SUMPRODUCT((실물목록!$P$2:$P$1001&lt;&gt;"")*ISNUMBER(SEARCH(실물목록!$P$2:$P$1001,I1097))*(실물목록!$Q$2:$Q$1001&lt;&gt;"")*ISNUMBER(SEARCH(실물목록!$Q$2:$Q$1001,I1097))*(실물목록!$R$2:$R$1001="")*(실물목록!$O$2:$O$1001&lt;&gt;"")*(실물목록!$O$2:$O$1001=H1097))&gt;0,"실물 있음",IF(SUMPRODUCT((실물목록!$P$2:$P$1001&lt;&gt;"")*ISNUMBER(SEARCH(실물목록!$P$2:$P$1001,I1097))*(실물목록!$R$2:$R$1001&lt;&gt;""))&gt;0,"확인필요(입력누락)",IF(SUMPRODUCT((실물목록!$P$2:$P$1001&lt;&gt;"")*ISNUMBER(SEARCH(실물목록!$P$2:$P$1001,I1097))*(실물목록!$Q$2:$Q$1001&lt;&gt;"")*ISNUMBER(SEARCH(실물목록!$Q$2:$Q$1001,I1097))*(실물목록!$R$2:$R$1001="")*(실물목록!$O$2:$O$1001&lt;&gt;""))&gt;0,"확인필요(연도다름)","실물 없음")))))</f>
      </c>
      <c r="G1097" t="n" s="16">
        <f aca="0">IF(B1097="","",SUMPRODUCT((실물목록!$P$2:$P$1001&lt;&gt;"")*ISNUMBER(SEARCH(실물목록!$P$2:$P$1001,I1097))*(실물목록!$Q$2:$Q$1001&lt;&gt;"")*ISNUMBER(SEARCH(실물목록!$Q$2:$Q$1001,I1097))*(실물목록!$R$2:$R$1001="")*(실물목록!$O$2:$O$1001&lt;&gt;"")*(실물목록!$O$2:$O$1001=H1097)))</f>
      </c>
      <c r="H1097" t="str">
        <f>IFERROR(IF(AND(LEN(SUBSTITUTE(SUBSTITUTE(SUBSTITUTE(TRIM(A1097&amp;""),CHAR(160),"")," ",""),"년",""))=4,VALUE(SUBSTITUTE(SUBSTITUTE(SUBSTITUTE(TRIM(A1097&amp;""),CHAR(160),"")," ",""),"년",""))&gt;=1900,VALUE(SUBSTITUTE(SUBSTITUTE(SUBSTITUTE(TRIM(A1097&amp;""),CHAR(160),"")," ",""),"년",""))&lt;=2099,TEXT(VALUE(SUBSTITUTE(SUBSTITUTE(SUBSTITUTE(TRIM(A1097&amp;""),CHAR(160),"")," ",""),"년","")),"0000")=SUBSTITUTE(SUBSTITUTE(SUBSTITUTE(TRIM(A1097&amp;""),CHAR(160),"")," ",""),"년","")),SUBSTITUTE(SUBSTITUTE(SUBSTITUTE(TRIM(A1097&amp;""),CHAR(160),"")," ",""),"년",""),""),"")</f>
      </c>
      <c r="I1097" t="str">
        <f>SUBSTITUTE(SUBSTITUTE(SUBSTITUTE(SUBSTITUTE(SUBSTITUTE(TRIM(B1097&amp;""),CHAR(160),"")," ",""),"초등학교","초"),"중학교","중"),"고등학교","고")</f>
      </c>
    </row>
    <row r="1098" customFormat="false" ht="15" hidden="false" customHeight="false" outlineLevel="0" collapsed="false">
      <c r="A1098" s="8"/>
      <c r="B1098" s="8"/>
      <c r="C1098" s="8"/>
      <c r="D1098" s="8"/>
      <c r="E1098" s="8"/>
      <c r="F1098" t="str" s="15">
        <f aca="0">IF(B1098="","",IF(H1098="","확인필요(입력누락)",IF(SUMPRODUCT((실물목록!$P$2:$P$1001&lt;&gt;"")*ISNUMBER(SEARCH(실물목록!$P$2:$P$1001,I1098))*(실물목록!$Q$2:$Q$1001&lt;&gt;"")*ISNUMBER(SEARCH(실물목록!$Q$2:$Q$1001,I1098))*(실물목록!$R$2:$R$1001="")*(실물목록!$O$2:$O$1001&lt;&gt;"")*(실물목록!$O$2:$O$1001=H1098))&gt;0,"실물 있음",IF(SUMPRODUCT((실물목록!$P$2:$P$1001&lt;&gt;"")*ISNUMBER(SEARCH(실물목록!$P$2:$P$1001,I1098))*(실물목록!$R$2:$R$1001&lt;&gt;""))&gt;0,"확인필요(입력누락)",IF(SUMPRODUCT((실물목록!$P$2:$P$1001&lt;&gt;"")*ISNUMBER(SEARCH(실물목록!$P$2:$P$1001,I1098))*(실물목록!$Q$2:$Q$1001&lt;&gt;"")*ISNUMBER(SEARCH(실물목록!$Q$2:$Q$1001,I1098))*(실물목록!$R$2:$R$1001="")*(실물목록!$O$2:$O$1001&lt;&gt;""))&gt;0,"확인필요(연도다름)","실물 없음")))))</f>
      </c>
      <c r="G1098" t="n" s="16">
        <f aca="0">IF(B1098="","",SUMPRODUCT((실물목록!$P$2:$P$1001&lt;&gt;"")*ISNUMBER(SEARCH(실물목록!$P$2:$P$1001,I1098))*(실물목록!$Q$2:$Q$1001&lt;&gt;"")*ISNUMBER(SEARCH(실물목록!$Q$2:$Q$1001,I1098))*(실물목록!$R$2:$R$1001="")*(실물목록!$O$2:$O$1001&lt;&gt;"")*(실물목록!$O$2:$O$1001=H1098)))</f>
      </c>
      <c r="H1098" t="str">
        <f>IFERROR(IF(AND(LEN(SUBSTITUTE(SUBSTITUTE(SUBSTITUTE(TRIM(A1098&amp;""),CHAR(160),"")," ",""),"년",""))=4,VALUE(SUBSTITUTE(SUBSTITUTE(SUBSTITUTE(TRIM(A1098&amp;""),CHAR(160),"")," ",""),"년",""))&gt;=1900,VALUE(SUBSTITUTE(SUBSTITUTE(SUBSTITUTE(TRIM(A1098&amp;""),CHAR(160),"")," ",""),"년",""))&lt;=2099,TEXT(VALUE(SUBSTITUTE(SUBSTITUTE(SUBSTITUTE(TRIM(A1098&amp;""),CHAR(160),"")," ",""),"년","")),"0000")=SUBSTITUTE(SUBSTITUTE(SUBSTITUTE(TRIM(A1098&amp;""),CHAR(160),"")," ",""),"년","")),SUBSTITUTE(SUBSTITUTE(SUBSTITUTE(TRIM(A1098&amp;""),CHAR(160),"")," ",""),"년",""),""),"")</f>
      </c>
      <c r="I1098" t="str">
        <f>SUBSTITUTE(SUBSTITUTE(SUBSTITUTE(SUBSTITUTE(SUBSTITUTE(TRIM(B1098&amp;""),CHAR(160),"")," ",""),"초등학교","초"),"중학교","중"),"고등학교","고")</f>
      </c>
    </row>
    <row r="1099" customFormat="false" ht="15" hidden="false" customHeight="false" outlineLevel="0" collapsed="false">
      <c r="A1099" s="8"/>
      <c r="B1099" s="8"/>
      <c r="C1099" s="8"/>
      <c r="D1099" s="8"/>
      <c r="E1099" s="8"/>
      <c r="F1099" t="str" s="15">
        <f aca="0">IF(B1099="","",IF(H1099="","확인필요(입력누락)",IF(SUMPRODUCT((실물목록!$P$2:$P$1001&lt;&gt;"")*ISNUMBER(SEARCH(실물목록!$P$2:$P$1001,I1099))*(실물목록!$Q$2:$Q$1001&lt;&gt;"")*ISNUMBER(SEARCH(실물목록!$Q$2:$Q$1001,I1099))*(실물목록!$R$2:$R$1001="")*(실물목록!$O$2:$O$1001&lt;&gt;"")*(실물목록!$O$2:$O$1001=H1099))&gt;0,"실물 있음",IF(SUMPRODUCT((실물목록!$P$2:$P$1001&lt;&gt;"")*ISNUMBER(SEARCH(실물목록!$P$2:$P$1001,I1099))*(실물목록!$R$2:$R$1001&lt;&gt;""))&gt;0,"확인필요(입력누락)",IF(SUMPRODUCT((실물목록!$P$2:$P$1001&lt;&gt;"")*ISNUMBER(SEARCH(실물목록!$P$2:$P$1001,I1099))*(실물목록!$Q$2:$Q$1001&lt;&gt;"")*ISNUMBER(SEARCH(실물목록!$Q$2:$Q$1001,I1099))*(실물목록!$R$2:$R$1001="")*(실물목록!$O$2:$O$1001&lt;&gt;""))&gt;0,"확인필요(연도다름)","실물 없음")))))</f>
      </c>
      <c r="G1099" t="n" s="16">
        <f aca="0">IF(B1099="","",SUMPRODUCT((실물목록!$P$2:$P$1001&lt;&gt;"")*ISNUMBER(SEARCH(실물목록!$P$2:$P$1001,I1099))*(실물목록!$Q$2:$Q$1001&lt;&gt;"")*ISNUMBER(SEARCH(실물목록!$Q$2:$Q$1001,I1099))*(실물목록!$R$2:$R$1001="")*(실물목록!$O$2:$O$1001&lt;&gt;"")*(실물목록!$O$2:$O$1001=H1099)))</f>
      </c>
      <c r="H1099" t="str">
        <f>IFERROR(IF(AND(LEN(SUBSTITUTE(SUBSTITUTE(SUBSTITUTE(TRIM(A1099&amp;""),CHAR(160),"")," ",""),"년",""))=4,VALUE(SUBSTITUTE(SUBSTITUTE(SUBSTITUTE(TRIM(A1099&amp;""),CHAR(160),"")," ",""),"년",""))&gt;=1900,VALUE(SUBSTITUTE(SUBSTITUTE(SUBSTITUTE(TRIM(A1099&amp;""),CHAR(160),"")," ",""),"년",""))&lt;=2099,TEXT(VALUE(SUBSTITUTE(SUBSTITUTE(SUBSTITUTE(TRIM(A1099&amp;""),CHAR(160),"")," ",""),"년","")),"0000")=SUBSTITUTE(SUBSTITUTE(SUBSTITUTE(TRIM(A1099&amp;""),CHAR(160),"")," ",""),"년","")),SUBSTITUTE(SUBSTITUTE(SUBSTITUTE(TRIM(A1099&amp;""),CHAR(160),"")," ",""),"년",""),""),"")</f>
      </c>
      <c r="I1099" t="str">
        <f>SUBSTITUTE(SUBSTITUTE(SUBSTITUTE(SUBSTITUTE(SUBSTITUTE(TRIM(B1099&amp;""),CHAR(160),"")," ",""),"초등학교","초"),"중학교","중"),"고등학교","고")</f>
      </c>
    </row>
    <row r="1100" customFormat="false" ht="15" hidden="false" customHeight="false" outlineLevel="0" collapsed="false">
      <c r="A1100" s="8"/>
      <c r="B1100" s="8"/>
      <c r="C1100" s="8"/>
      <c r="D1100" s="8"/>
      <c r="E1100" s="8"/>
      <c r="F1100" t="str" s="15">
        <f aca="0">IF(B1100="","",IF(H1100="","확인필요(입력누락)",IF(SUMPRODUCT((실물목록!$P$2:$P$1001&lt;&gt;"")*ISNUMBER(SEARCH(실물목록!$P$2:$P$1001,I1100))*(실물목록!$Q$2:$Q$1001&lt;&gt;"")*ISNUMBER(SEARCH(실물목록!$Q$2:$Q$1001,I1100))*(실물목록!$R$2:$R$1001="")*(실물목록!$O$2:$O$1001&lt;&gt;"")*(실물목록!$O$2:$O$1001=H1100))&gt;0,"실물 있음",IF(SUMPRODUCT((실물목록!$P$2:$P$1001&lt;&gt;"")*ISNUMBER(SEARCH(실물목록!$P$2:$P$1001,I1100))*(실물목록!$R$2:$R$1001&lt;&gt;""))&gt;0,"확인필요(입력누락)",IF(SUMPRODUCT((실물목록!$P$2:$P$1001&lt;&gt;"")*ISNUMBER(SEARCH(실물목록!$P$2:$P$1001,I1100))*(실물목록!$Q$2:$Q$1001&lt;&gt;"")*ISNUMBER(SEARCH(실물목록!$Q$2:$Q$1001,I1100))*(실물목록!$R$2:$R$1001="")*(실물목록!$O$2:$O$1001&lt;&gt;""))&gt;0,"확인필요(연도다름)","실물 없음")))))</f>
      </c>
      <c r="G1100" t="n" s="16">
        <f aca="0">IF(B1100="","",SUMPRODUCT((실물목록!$P$2:$P$1001&lt;&gt;"")*ISNUMBER(SEARCH(실물목록!$P$2:$P$1001,I1100))*(실물목록!$Q$2:$Q$1001&lt;&gt;"")*ISNUMBER(SEARCH(실물목록!$Q$2:$Q$1001,I1100))*(실물목록!$R$2:$R$1001="")*(실물목록!$O$2:$O$1001&lt;&gt;"")*(실물목록!$O$2:$O$1001=H1100)))</f>
      </c>
      <c r="H1100" t="str">
        <f>IFERROR(IF(AND(LEN(SUBSTITUTE(SUBSTITUTE(SUBSTITUTE(TRIM(A1100&amp;""),CHAR(160),"")," ",""),"년",""))=4,VALUE(SUBSTITUTE(SUBSTITUTE(SUBSTITUTE(TRIM(A1100&amp;""),CHAR(160),"")," ",""),"년",""))&gt;=1900,VALUE(SUBSTITUTE(SUBSTITUTE(SUBSTITUTE(TRIM(A1100&amp;""),CHAR(160),"")," ",""),"년",""))&lt;=2099,TEXT(VALUE(SUBSTITUTE(SUBSTITUTE(SUBSTITUTE(TRIM(A1100&amp;""),CHAR(160),"")," ",""),"년","")),"0000")=SUBSTITUTE(SUBSTITUTE(SUBSTITUTE(TRIM(A1100&amp;""),CHAR(160),"")," ",""),"년","")),SUBSTITUTE(SUBSTITUTE(SUBSTITUTE(TRIM(A1100&amp;""),CHAR(160),"")," ",""),"년",""),""),"")</f>
      </c>
      <c r="I1100" t="str">
        <f>SUBSTITUTE(SUBSTITUTE(SUBSTITUTE(SUBSTITUTE(SUBSTITUTE(TRIM(B1100&amp;""),CHAR(160),"")," ",""),"초등학교","초"),"중학교","중"),"고등학교","고")</f>
      </c>
    </row>
    <row r="1101" customFormat="false" ht="15" hidden="false" customHeight="false" outlineLevel="0" collapsed="false">
      <c r="A1101" s="8"/>
      <c r="B1101" s="8"/>
      <c r="C1101" s="8"/>
      <c r="D1101" s="8"/>
      <c r="E1101" s="8"/>
      <c r="F1101" t="str" s="15">
        <f aca="0">IF(B1101="","",IF(H1101="","확인필요(입력누락)",IF(SUMPRODUCT((실물목록!$P$2:$P$1001&lt;&gt;"")*ISNUMBER(SEARCH(실물목록!$P$2:$P$1001,I1101))*(실물목록!$Q$2:$Q$1001&lt;&gt;"")*ISNUMBER(SEARCH(실물목록!$Q$2:$Q$1001,I1101))*(실물목록!$R$2:$R$1001="")*(실물목록!$O$2:$O$1001&lt;&gt;"")*(실물목록!$O$2:$O$1001=H1101))&gt;0,"실물 있음",IF(SUMPRODUCT((실물목록!$P$2:$P$1001&lt;&gt;"")*ISNUMBER(SEARCH(실물목록!$P$2:$P$1001,I1101))*(실물목록!$R$2:$R$1001&lt;&gt;""))&gt;0,"확인필요(입력누락)",IF(SUMPRODUCT((실물목록!$P$2:$P$1001&lt;&gt;"")*ISNUMBER(SEARCH(실물목록!$P$2:$P$1001,I1101))*(실물목록!$Q$2:$Q$1001&lt;&gt;"")*ISNUMBER(SEARCH(실물목록!$Q$2:$Q$1001,I1101))*(실물목록!$R$2:$R$1001="")*(실물목록!$O$2:$O$1001&lt;&gt;""))&gt;0,"확인필요(연도다름)","실물 없음")))))</f>
      </c>
      <c r="G1101" t="n" s="16">
        <f aca="0">IF(B1101="","",SUMPRODUCT((실물목록!$P$2:$P$1001&lt;&gt;"")*ISNUMBER(SEARCH(실물목록!$P$2:$P$1001,I1101))*(실물목록!$Q$2:$Q$1001&lt;&gt;"")*ISNUMBER(SEARCH(실물목록!$Q$2:$Q$1001,I1101))*(실물목록!$R$2:$R$1001="")*(실물목록!$O$2:$O$1001&lt;&gt;"")*(실물목록!$O$2:$O$1001=H1101)))</f>
      </c>
      <c r="H1101" t="str">
        <f>IFERROR(IF(AND(LEN(SUBSTITUTE(SUBSTITUTE(SUBSTITUTE(TRIM(A1101&amp;""),CHAR(160),"")," ",""),"년",""))=4,VALUE(SUBSTITUTE(SUBSTITUTE(SUBSTITUTE(TRIM(A1101&amp;""),CHAR(160),"")," ",""),"년",""))&gt;=1900,VALUE(SUBSTITUTE(SUBSTITUTE(SUBSTITUTE(TRIM(A1101&amp;""),CHAR(160),"")," ",""),"년",""))&lt;=2099,TEXT(VALUE(SUBSTITUTE(SUBSTITUTE(SUBSTITUTE(TRIM(A1101&amp;""),CHAR(160),"")," ",""),"년","")),"0000")=SUBSTITUTE(SUBSTITUTE(SUBSTITUTE(TRIM(A1101&amp;""),CHAR(160),"")," ",""),"년","")),SUBSTITUTE(SUBSTITUTE(SUBSTITUTE(TRIM(A1101&amp;""),CHAR(160),"")," ",""),"년",""),""),"")</f>
      </c>
      <c r="I1101" t="str">
        <f>SUBSTITUTE(SUBSTITUTE(SUBSTITUTE(SUBSTITUTE(SUBSTITUTE(TRIM(B1101&amp;""),CHAR(160),"")," ",""),"초등학교","초"),"중학교","중"),"고등학교","고")</f>
      </c>
    </row>
    <row r="1102" customFormat="false" ht="15" hidden="false" customHeight="false" outlineLevel="0" collapsed="false">
      <c r="A1102" s="8"/>
      <c r="B1102" s="8"/>
      <c r="C1102" s="8"/>
      <c r="D1102" s="8"/>
      <c r="E1102" s="8"/>
      <c r="F1102" t="str" s="15">
        <f aca="0">IF(B1102="","",IF(H1102="","확인필요(입력누락)",IF(SUMPRODUCT((실물목록!$P$2:$P$1001&lt;&gt;"")*ISNUMBER(SEARCH(실물목록!$P$2:$P$1001,I1102))*(실물목록!$Q$2:$Q$1001&lt;&gt;"")*ISNUMBER(SEARCH(실물목록!$Q$2:$Q$1001,I1102))*(실물목록!$R$2:$R$1001="")*(실물목록!$O$2:$O$1001&lt;&gt;"")*(실물목록!$O$2:$O$1001=H1102))&gt;0,"실물 있음",IF(SUMPRODUCT((실물목록!$P$2:$P$1001&lt;&gt;"")*ISNUMBER(SEARCH(실물목록!$P$2:$P$1001,I1102))*(실물목록!$R$2:$R$1001&lt;&gt;""))&gt;0,"확인필요(입력누락)",IF(SUMPRODUCT((실물목록!$P$2:$P$1001&lt;&gt;"")*ISNUMBER(SEARCH(실물목록!$P$2:$P$1001,I1102))*(실물목록!$Q$2:$Q$1001&lt;&gt;"")*ISNUMBER(SEARCH(실물목록!$Q$2:$Q$1001,I1102))*(실물목록!$R$2:$R$1001="")*(실물목록!$O$2:$O$1001&lt;&gt;""))&gt;0,"확인필요(연도다름)","실물 없음")))))</f>
      </c>
      <c r="G1102" t="n" s="16">
        <f aca="0">IF(B1102="","",SUMPRODUCT((실물목록!$P$2:$P$1001&lt;&gt;"")*ISNUMBER(SEARCH(실물목록!$P$2:$P$1001,I1102))*(실물목록!$Q$2:$Q$1001&lt;&gt;"")*ISNUMBER(SEARCH(실물목록!$Q$2:$Q$1001,I1102))*(실물목록!$R$2:$R$1001="")*(실물목록!$O$2:$O$1001&lt;&gt;"")*(실물목록!$O$2:$O$1001=H1102)))</f>
      </c>
      <c r="H1102" t="str">
        <f>IFERROR(IF(AND(LEN(SUBSTITUTE(SUBSTITUTE(SUBSTITUTE(TRIM(A1102&amp;""),CHAR(160),"")," ",""),"년",""))=4,VALUE(SUBSTITUTE(SUBSTITUTE(SUBSTITUTE(TRIM(A1102&amp;""),CHAR(160),"")," ",""),"년",""))&gt;=1900,VALUE(SUBSTITUTE(SUBSTITUTE(SUBSTITUTE(TRIM(A1102&amp;""),CHAR(160),"")," ",""),"년",""))&lt;=2099,TEXT(VALUE(SUBSTITUTE(SUBSTITUTE(SUBSTITUTE(TRIM(A1102&amp;""),CHAR(160),"")," ",""),"년","")),"0000")=SUBSTITUTE(SUBSTITUTE(SUBSTITUTE(TRIM(A1102&amp;""),CHAR(160),"")," ",""),"년","")),SUBSTITUTE(SUBSTITUTE(SUBSTITUTE(TRIM(A1102&amp;""),CHAR(160),"")," ",""),"년",""),""),"")</f>
      </c>
      <c r="I1102" t="str">
        <f>SUBSTITUTE(SUBSTITUTE(SUBSTITUTE(SUBSTITUTE(SUBSTITUTE(TRIM(B1102&amp;""),CHAR(160),"")," ",""),"초등학교","초"),"중학교","중"),"고등학교","고")</f>
      </c>
    </row>
    <row r="1103" customFormat="false" ht="15" hidden="false" customHeight="false" outlineLevel="0" collapsed="false">
      <c r="A1103" s="8"/>
      <c r="B1103" s="8"/>
      <c r="C1103" s="8"/>
      <c r="D1103" s="8"/>
      <c r="E1103" s="8"/>
      <c r="F1103" t="str" s="15">
        <f aca="0">IF(B1103="","",IF(H1103="","확인필요(입력누락)",IF(SUMPRODUCT((실물목록!$P$2:$P$1001&lt;&gt;"")*ISNUMBER(SEARCH(실물목록!$P$2:$P$1001,I1103))*(실물목록!$Q$2:$Q$1001&lt;&gt;"")*ISNUMBER(SEARCH(실물목록!$Q$2:$Q$1001,I1103))*(실물목록!$R$2:$R$1001="")*(실물목록!$O$2:$O$1001&lt;&gt;"")*(실물목록!$O$2:$O$1001=H1103))&gt;0,"실물 있음",IF(SUMPRODUCT((실물목록!$P$2:$P$1001&lt;&gt;"")*ISNUMBER(SEARCH(실물목록!$P$2:$P$1001,I1103))*(실물목록!$R$2:$R$1001&lt;&gt;""))&gt;0,"확인필요(입력누락)",IF(SUMPRODUCT((실물목록!$P$2:$P$1001&lt;&gt;"")*ISNUMBER(SEARCH(실물목록!$P$2:$P$1001,I1103))*(실물목록!$Q$2:$Q$1001&lt;&gt;"")*ISNUMBER(SEARCH(실물목록!$Q$2:$Q$1001,I1103))*(실물목록!$R$2:$R$1001="")*(실물목록!$O$2:$O$1001&lt;&gt;""))&gt;0,"확인필요(연도다름)","실물 없음")))))</f>
      </c>
      <c r="G1103" t="n" s="16">
        <f aca="0">IF(B1103="","",SUMPRODUCT((실물목록!$P$2:$P$1001&lt;&gt;"")*ISNUMBER(SEARCH(실물목록!$P$2:$P$1001,I1103))*(실물목록!$Q$2:$Q$1001&lt;&gt;"")*ISNUMBER(SEARCH(실물목록!$Q$2:$Q$1001,I1103))*(실물목록!$R$2:$R$1001="")*(실물목록!$O$2:$O$1001&lt;&gt;"")*(실물목록!$O$2:$O$1001=H1103)))</f>
      </c>
      <c r="H1103" t="str">
        <f>IFERROR(IF(AND(LEN(SUBSTITUTE(SUBSTITUTE(SUBSTITUTE(TRIM(A1103&amp;""),CHAR(160),"")," ",""),"년",""))=4,VALUE(SUBSTITUTE(SUBSTITUTE(SUBSTITUTE(TRIM(A1103&amp;""),CHAR(160),"")," ",""),"년",""))&gt;=1900,VALUE(SUBSTITUTE(SUBSTITUTE(SUBSTITUTE(TRIM(A1103&amp;""),CHAR(160),"")," ",""),"년",""))&lt;=2099,TEXT(VALUE(SUBSTITUTE(SUBSTITUTE(SUBSTITUTE(TRIM(A1103&amp;""),CHAR(160),"")," ",""),"년","")),"0000")=SUBSTITUTE(SUBSTITUTE(SUBSTITUTE(TRIM(A1103&amp;""),CHAR(160),"")," ",""),"년","")),SUBSTITUTE(SUBSTITUTE(SUBSTITUTE(TRIM(A1103&amp;""),CHAR(160),"")," ",""),"년",""),""),"")</f>
      </c>
      <c r="I1103" t="str">
        <f>SUBSTITUTE(SUBSTITUTE(SUBSTITUTE(SUBSTITUTE(SUBSTITUTE(TRIM(B1103&amp;""),CHAR(160),"")," ",""),"초등학교","초"),"중학교","중"),"고등학교","고")</f>
      </c>
    </row>
    <row r="1104" customFormat="false" ht="15" hidden="false" customHeight="false" outlineLevel="0" collapsed="false">
      <c r="A1104" s="8"/>
      <c r="B1104" s="8"/>
      <c r="C1104" s="8"/>
      <c r="D1104" s="8"/>
      <c r="E1104" s="8"/>
      <c r="F1104" t="str" s="15">
        <f aca="0">IF(B1104="","",IF(H1104="","확인필요(입력누락)",IF(SUMPRODUCT((실물목록!$P$2:$P$1001&lt;&gt;"")*ISNUMBER(SEARCH(실물목록!$P$2:$P$1001,I1104))*(실물목록!$Q$2:$Q$1001&lt;&gt;"")*ISNUMBER(SEARCH(실물목록!$Q$2:$Q$1001,I1104))*(실물목록!$R$2:$R$1001="")*(실물목록!$O$2:$O$1001&lt;&gt;"")*(실물목록!$O$2:$O$1001=H1104))&gt;0,"실물 있음",IF(SUMPRODUCT((실물목록!$P$2:$P$1001&lt;&gt;"")*ISNUMBER(SEARCH(실물목록!$P$2:$P$1001,I1104))*(실물목록!$R$2:$R$1001&lt;&gt;""))&gt;0,"확인필요(입력누락)",IF(SUMPRODUCT((실물목록!$P$2:$P$1001&lt;&gt;"")*ISNUMBER(SEARCH(실물목록!$P$2:$P$1001,I1104))*(실물목록!$Q$2:$Q$1001&lt;&gt;"")*ISNUMBER(SEARCH(실물목록!$Q$2:$Q$1001,I1104))*(실물목록!$R$2:$R$1001="")*(실물목록!$O$2:$O$1001&lt;&gt;""))&gt;0,"확인필요(연도다름)","실물 없음")))))</f>
      </c>
      <c r="G1104" t="n" s="16">
        <f aca="0">IF(B1104="","",SUMPRODUCT((실물목록!$P$2:$P$1001&lt;&gt;"")*ISNUMBER(SEARCH(실물목록!$P$2:$P$1001,I1104))*(실물목록!$Q$2:$Q$1001&lt;&gt;"")*ISNUMBER(SEARCH(실물목록!$Q$2:$Q$1001,I1104))*(실물목록!$R$2:$R$1001="")*(실물목록!$O$2:$O$1001&lt;&gt;"")*(실물목록!$O$2:$O$1001=H1104)))</f>
      </c>
      <c r="H1104" t="str">
        <f>IFERROR(IF(AND(LEN(SUBSTITUTE(SUBSTITUTE(SUBSTITUTE(TRIM(A1104&amp;""),CHAR(160),"")," ",""),"년",""))=4,VALUE(SUBSTITUTE(SUBSTITUTE(SUBSTITUTE(TRIM(A1104&amp;""),CHAR(160),"")," ",""),"년",""))&gt;=1900,VALUE(SUBSTITUTE(SUBSTITUTE(SUBSTITUTE(TRIM(A1104&amp;""),CHAR(160),"")," ",""),"년",""))&lt;=2099,TEXT(VALUE(SUBSTITUTE(SUBSTITUTE(SUBSTITUTE(TRIM(A1104&amp;""),CHAR(160),"")," ",""),"년","")),"0000")=SUBSTITUTE(SUBSTITUTE(SUBSTITUTE(TRIM(A1104&amp;""),CHAR(160),"")," ",""),"년","")),SUBSTITUTE(SUBSTITUTE(SUBSTITUTE(TRIM(A1104&amp;""),CHAR(160),"")," ",""),"년",""),""),"")</f>
      </c>
      <c r="I1104" t="str">
        <f>SUBSTITUTE(SUBSTITUTE(SUBSTITUTE(SUBSTITUTE(SUBSTITUTE(TRIM(B1104&amp;""),CHAR(160),"")," ",""),"초등학교","초"),"중학교","중"),"고등학교","고")</f>
      </c>
    </row>
    <row r="1105" customFormat="false" ht="15" hidden="false" customHeight="false" outlineLevel="0" collapsed="false">
      <c r="A1105" s="8"/>
      <c r="B1105" s="8"/>
      <c r="C1105" s="8"/>
      <c r="D1105" s="8"/>
      <c r="E1105" s="8"/>
      <c r="F1105" t="str" s="15">
        <f aca="0">IF(B1105="","",IF(H1105="","확인필요(입력누락)",IF(SUMPRODUCT((실물목록!$P$2:$P$1001&lt;&gt;"")*ISNUMBER(SEARCH(실물목록!$P$2:$P$1001,I1105))*(실물목록!$Q$2:$Q$1001&lt;&gt;"")*ISNUMBER(SEARCH(실물목록!$Q$2:$Q$1001,I1105))*(실물목록!$R$2:$R$1001="")*(실물목록!$O$2:$O$1001&lt;&gt;"")*(실물목록!$O$2:$O$1001=H1105))&gt;0,"실물 있음",IF(SUMPRODUCT((실물목록!$P$2:$P$1001&lt;&gt;"")*ISNUMBER(SEARCH(실물목록!$P$2:$P$1001,I1105))*(실물목록!$R$2:$R$1001&lt;&gt;""))&gt;0,"확인필요(입력누락)",IF(SUMPRODUCT((실물목록!$P$2:$P$1001&lt;&gt;"")*ISNUMBER(SEARCH(실물목록!$P$2:$P$1001,I1105))*(실물목록!$Q$2:$Q$1001&lt;&gt;"")*ISNUMBER(SEARCH(실물목록!$Q$2:$Q$1001,I1105))*(실물목록!$R$2:$R$1001="")*(실물목록!$O$2:$O$1001&lt;&gt;""))&gt;0,"확인필요(연도다름)","실물 없음")))))</f>
      </c>
      <c r="G1105" t="n" s="16">
        <f aca="0">IF(B1105="","",SUMPRODUCT((실물목록!$P$2:$P$1001&lt;&gt;"")*ISNUMBER(SEARCH(실물목록!$P$2:$P$1001,I1105))*(실물목록!$Q$2:$Q$1001&lt;&gt;"")*ISNUMBER(SEARCH(실물목록!$Q$2:$Q$1001,I1105))*(실물목록!$R$2:$R$1001="")*(실물목록!$O$2:$O$1001&lt;&gt;"")*(실물목록!$O$2:$O$1001=H1105)))</f>
      </c>
      <c r="H1105" t="str">
        <f>IFERROR(IF(AND(LEN(SUBSTITUTE(SUBSTITUTE(SUBSTITUTE(TRIM(A1105&amp;""),CHAR(160),"")," ",""),"년",""))=4,VALUE(SUBSTITUTE(SUBSTITUTE(SUBSTITUTE(TRIM(A1105&amp;""),CHAR(160),"")," ",""),"년",""))&gt;=1900,VALUE(SUBSTITUTE(SUBSTITUTE(SUBSTITUTE(TRIM(A1105&amp;""),CHAR(160),"")," ",""),"년",""))&lt;=2099,TEXT(VALUE(SUBSTITUTE(SUBSTITUTE(SUBSTITUTE(TRIM(A1105&amp;""),CHAR(160),"")," ",""),"년","")),"0000")=SUBSTITUTE(SUBSTITUTE(SUBSTITUTE(TRIM(A1105&amp;""),CHAR(160),"")," ",""),"년","")),SUBSTITUTE(SUBSTITUTE(SUBSTITUTE(TRIM(A1105&amp;""),CHAR(160),"")," ",""),"년",""),""),"")</f>
      </c>
      <c r="I1105" t="str">
        <f>SUBSTITUTE(SUBSTITUTE(SUBSTITUTE(SUBSTITUTE(SUBSTITUTE(TRIM(B1105&amp;""),CHAR(160),"")," ",""),"초등학교","초"),"중학교","중"),"고등학교","고")</f>
      </c>
    </row>
    <row r="1106" customFormat="false" ht="15" hidden="false" customHeight="false" outlineLevel="0" collapsed="false">
      <c r="A1106" s="8"/>
      <c r="B1106" s="8"/>
      <c r="C1106" s="8"/>
      <c r="D1106" s="8"/>
      <c r="E1106" s="8"/>
      <c r="F1106" t="str" s="15">
        <f aca="0">IF(B1106="","",IF(H1106="","확인필요(입력누락)",IF(SUMPRODUCT((실물목록!$P$2:$P$1001&lt;&gt;"")*ISNUMBER(SEARCH(실물목록!$P$2:$P$1001,I1106))*(실물목록!$Q$2:$Q$1001&lt;&gt;"")*ISNUMBER(SEARCH(실물목록!$Q$2:$Q$1001,I1106))*(실물목록!$R$2:$R$1001="")*(실물목록!$O$2:$O$1001&lt;&gt;"")*(실물목록!$O$2:$O$1001=H1106))&gt;0,"실물 있음",IF(SUMPRODUCT((실물목록!$P$2:$P$1001&lt;&gt;"")*ISNUMBER(SEARCH(실물목록!$P$2:$P$1001,I1106))*(실물목록!$R$2:$R$1001&lt;&gt;""))&gt;0,"확인필요(입력누락)",IF(SUMPRODUCT((실물목록!$P$2:$P$1001&lt;&gt;"")*ISNUMBER(SEARCH(실물목록!$P$2:$P$1001,I1106))*(실물목록!$Q$2:$Q$1001&lt;&gt;"")*ISNUMBER(SEARCH(실물목록!$Q$2:$Q$1001,I1106))*(실물목록!$R$2:$R$1001="")*(실물목록!$O$2:$O$1001&lt;&gt;""))&gt;0,"확인필요(연도다름)","실물 없음")))))</f>
      </c>
      <c r="G1106" t="n" s="16">
        <f aca="0">IF(B1106="","",SUMPRODUCT((실물목록!$P$2:$P$1001&lt;&gt;"")*ISNUMBER(SEARCH(실물목록!$P$2:$P$1001,I1106))*(실물목록!$Q$2:$Q$1001&lt;&gt;"")*ISNUMBER(SEARCH(실물목록!$Q$2:$Q$1001,I1106))*(실물목록!$R$2:$R$1001="")*(실물목록!$O$2:$O$1001&lt;&gt;"")*(실물목록!$O$2:$O$1001=H1106)))</f>
      </c>
      <c r="H1106" t="str">
        <f>IFERROR(IF(AND(LEN(SUBSTITUTE(SUBSTITUTE(SUBSTITUTE(TRIM(A1106&amp;""),CHAR(160),"")," ",""),"년",""))=4,VALUE(SUBSTITUTE(SUBSTITUTE(SUBSTITUTE(TRIM(A1106&amp;""),CHAR(160),"")," ",""),"년",""))&gt;=1900,VALUE(SUBSTITUTE(SUBSTITUTE(SUBSTITUTE(TRIM(A1106&amp;""),CHAR(160),"")," ",""),"년",""))&lt;=2099,TEXT(VALUE(SUBSTITUTE(SUBSTITUTE(SUBSTITUTE(TRIM(A1106&amp;""),CHAR(160),"")," ",""),"년","")),"0000")=SUBSTITUTE(SUBSTITUTE(SUBSTITUTE(TRIM(A1106&amp;""),CHAR(160),"")," ",""),"년","")),SUBSTITUTE(SUBSTITUTE(SUBSTITUTE(TRIM(A1106&amp;""),CHAR(160),"")," ",""),"년",""),""),"")</f>
      </c>
      <c r="I1106" t="str">
        <f>SUBSTITUTE(SUBSTITUTE(SUBSTITUTE(SUBSTITUTE(SUBSTITUTE(TRIM(B1106&amp;""),CHAR(160),"")," ",""),"초등학교","초"),"중학교","중"),"고등학교","고")</f>
      </c>
    </row>
    <row r="1107" customFormat="false" ht="15" hidden="false" customHeight="false" outlineLevel="0" collapsed="false">
      <c r="A1107" s="8"/>
      <c r="B1107" s="8"/>
      <c r="C1107" s="8"/>
      <c r="D1107" s="8"/>
      <c r="E1107" s="8"/>
      <c r="F1107" t="str" s="15">
        <f aca="0">IF(B1107="","",IF(H1107="","확인필요(입력누락)",IF(SUMPRODUCT((실물목록!$P$2:$P$1001&lt;&gt;"")*ISNUMBER(SEARCH(실물목록!$P$2:$P$1001,I1107))*(실물목록!$Q$2:$Q$1001&lt;&gt;"")*ISNUMBER(SEARCH(실물목록!$Q$2:$Q$1001,I1107))*(실물목록!$R$2:$R$1001="")*(실물목록!$O$2:$O$1001&lt;&gt;"")*(실물목록!$O$2:$O$1001=H1107))&gt;0,"실물 있음",IF(SUMPRODUCT((실물목록!$P$2:$P$1001&lt;&gt;"")*ISNUMBER(SEARCH(실물목록!$P$2:$P$1001,I1107))*(실물목록!$R$2:$R$1001&lt;&gt;""))&gt;0,"확인필요(입력누락)",IF(SUMPRODUCT((실물목록!$P$2:$P$1001&lt;&gt;"")*ISNUMBER(SEARCH(실물목록!$P$2:$P$1001,I1107))*(실물목록!$Q$2:$Q$1001&lt;&gt;"")*ISNUMBER(SEARCH(실물목록!$Q$2:$Q$1001,I1107))*(실물목록!$R$2:$R$1001="")*(실물목록!$O$2:$O$1001&lt;&gt;""))&gt;0,"확인필요(연도다름)","실물 없음")))))</f>
      </c>
      <c r="G1107" t="n" s="16">
        <f aca="0">IF(B1107="","",SUMPRODUCT((실물목록!$P$2:$P$1001&lt;&gt;"")*ISNUMBER(SEARCH(실물목록!$P$2:$P$1001,I1107))*(실물목록!$Q$2:$Q$1001&lt;&gt;"")*ISNUMBER(SEARCH(실물목록!$Q$2:$Q$1001,I1107))*(실물목록!$R$2:$R$1001="")*(실물목록!$O$2:$O$1001&lt;&gt;"")*(실물목록!$O$2:$O$1001=H1107)))</f>
      </c>
      <c r="H1107" t="str">
        <f>IFERROR(IF(AND(LEN(SUBSTITUTE(SUBSTITUTE(SUBSTITUTE(TRIM(A1107&amp;""),CHAR(160),"")," ",""),"년",""))=4,VALUE(SUBSTITUTE(SUBSTITUTE(SUBSTITUTE(TRIM(A1107&amp;""),CHAR(160),"")," ",""),"년",""))&gt;=1900,VALUE(SUBSTITUTE(SUBSTITUTE(SUBSTITUTE(TRIM(A1107&amp;""),CHAR(160),"")," ",""),"년",""))&lt;=2099,TEXT(VALUE(SUBSTITUTE(SUBSTITUTE(SUBSTITUTE(TRIM(A1107&amp;""),CHAR(160),"")," ",""),"년","")),"0000")=SUBSTITUTE(SUBSTITUTE(SUBSTITUTE(TRIM(A1107&amp;""),CHAR(160),"")," ",""),"년","")),SUBSTITUTE(SUBSTITUTE(SUBSTITUTE(TRIM(A1107&amp;""),CHAR(160),"")," ",""),"년",""),""),"")</f>
      </c>
      <c r="I1107" t="str">
        <f>SUBSTITUTE(SUBSTITUTE(SUBSTITUTE(SUBSTITUTE(SUBSTITUTE(TRIM(B1107&amp;""),CHAR(160),"")," ",""),"초등학교","초"),"중학교","중"),"고등학교","고")</f>
      </c>
    </row>
    <row r="1108" customFormat="false" ht="15" hidden="false" customHeight="false" outlineLevel="0" collapsed="false">
      <c r="A1108" s="8"/>
      <c r="B1108" s="8"/>
      <c r="C1108" s="8"/>
      <c r="D1108" s="8"/>
      <c r="E1108" s="8"/>
      <c r="F1108" t="str" s="15">
        <f aca="0">IF(B1108="","",IF(H1108="","확인필요(입력누락)",IF(SUMPRODUCT((실물목록!$P$2:$P$1001&lt;&gt;"")*ISNUMBER(SEARCH(실물목록!$P$2:$P$1001,I1108))*(실물목록!$Q$2:$Q$1001&lt;&gt;"")*ISNUMBER(SEARCH(실물목록!$Q$2:$Q$1001,I1108))*(실물목록!$R$2:$R$1001="")*(실물목록!$O$2:$O$1001&lt;&gt;"")*(실물목록!$O$2:$O$1001=H1108))&gt;0,"실물 있음",IF(SUMPRODUCT((실물목록!$P$2:$P$1001&lt;&gt;"")*ISNUMBER(SEARCH(실물목록!$P$2:$P$1001,I1108))*(실물목록!$R$2:$R$1001&lt;&gt;""))&gt;0,"확인필요(입력누락)",IF(SUMPRODUCT((실물목록!$P$2:$P$1001&lt;&gt;"")*ISNUMBER(SEARCH(실물목록!$P$2:$P$1001,I1108))*(실물목록!$Q$2:$Q$1001&lt;&gt;"")*ISNUMBER(SEARCH(실물목록!$Q$2:$Q$1001,I1108))*(실물목록!$R$2:$R$1001="")*(실물목록!$O$2:$O$1001&lt;&gt;""))&gt;0,"확인필요(연도다름)","실물 없음")))))</f>
      </c>
      <c r="G1108" t="n" s="16">
        <f aca="0">IF(B1108="","",SUMPRODUCT((실물목록!$P$2:$P$1001&lt;&gt;"")*ISNUMBER(SEARCH(실물목록!$P$2:$P$1001,I1108))*(실물목록!$Q$2:$Q$1001&lt;&gt;"")*ISNUMBER(SEARCH(실물목록!$Q$2:$Q$1001,I1108))*(실물목록!$R$2:$R$1001="")*(실물목록!$O$2:$O$1001&lt;&gt;"")*(실물목록!$O$2:$O$1001=H1108)))</f>
      </c>
      <c r="H1108" t="str">
        <f>IFERROR(IF(AND(LEN(SUBSTITUTE(SUBSTITUTE(SUBSTITUTE(TRIM(A1108&amp;""),CHAR(160),"")," ",""),"년",""))=4,VALUE(SUBSTITUTE(SUBSTITUTE(SUBSTITUTE(TRIM(A1108&amp;""),CHAR(160),"")," ",""),"년",""))&gt;=1900,VALUE(SUBSTITUTE(SUBSTITUTE(SUBSTITUTE(TRIM(A1108&amp;""),CHAR(160),"")," ",""),"년",""))&lt;=2099,TEXT(VALUE(SUBSTITUTE(SUBSTITUTE(SUBSTITUTE(TRIM(A1108&amp;""),CHAR(160),"")," ",""),"년","")),"0000")=SUBSTITUTE(SUBSTITUTE(SUBSTITUTE(TRIM(A1108&amp;""),CHAR(160),"")," ",""),"년","")),SUBSTITUTE(SUBSTITUTE(SUBSTITUTE(TRIM(A1108&amp;""),CHAR(160),"")," ",""),"년",""),""),"")</f>
      </c>
      <c r="I1108" t="str">
        <f>SUBSTITUTE(SUBSTITUTE(SUBSTITUTE(SUBSTITUTE(SUBSTITUTE(TRIM(B1108&amp;""),CHAR(160),"")," ",""),"초등학교","초"),"중학교","중"),"고등학교","고")</f>
      </c>
    </row>
    <row r="1109" customFormat="false" ht="15" hidden="false" customHeight="false" outlineLevel="0" collapsed="false">
      <c r="A1109" s="8"/>
      <c r="B1109" s="8"/>
      <c r="C1109" s="8"/>
      <c r="D1109" s="8"/>
      <c r="E1109" s="8"/>
      <c r="F1109" t="str" s="15">
        <f aca="0">IF(B1109="","",IF(H1109="","확인필요(입력누락)",IF(SUMPRODUCT((실물목록!$P$2:$P$1001&lt;&gt;"")*ISNUMBER(SEARCH(실물목록!$P$2:$P$1001,I1109))*(실물목록!$Q$2:$Q$1001&lt;&gt;"")*ISNUMBER(SEARCH(실물목록!$Q$2:$Q$1001,I1109))*(실물목록!$R$2:$R$1001="")*(실물목록!$O$2:$O$1001&lt;&gt;"")*(실물목록!$O$2:$O$1001=H1109))&gt;0,"실물 있음",IF(SUMPRODUCT((실물목록!$P$2:$P$1001&lt;&gt;"")*ISNUMBER(SEARCH(실물목록!$P$2:$P$1001,I1109))*(실물목록!$R$2:$R$1001&lt;&gt;""))&gt;0,"확인필요(입력누락)",IF(SUMPRODUCT((실물목록!$P$2:$P$1001&lt;&gt;"")*ISNUMBER(SEARCH(실물목록!$P$2:$P$1001,I1109))*(실물목록!$Q$2:$Q$1001&lt;&gt;"")*ISNUMBER(SEARCH(실물목록!$Q$2:$Q$1001,I1109))*(실물목록!$R$2:$R$1001="")*(실물목록!$O$2:$O$1001&lt;&gt;""))&gt;0,"확인필요(연도다름)","실물 없음")))))</f>
      </c>
      <c r="G1109" t="n" s="16">
        <f aca="0">IF(B1109="","",SUMPRODUCT((실물목록!$P$2:$P$1001&lt;&gt;"")*ISNUMBER(SEARCH(실물목록!$P$2:$P$1001,I1109))*(실물목록!$Q$2:$Q$1001&lt;&gt;"")*ISNUMBER(SEARCH(실물목록!$Q$2:$Q$1001,I1109))*(실물목록!$R$2:$R$1001="")*(실물목록!$O$2:$O$1001&lt;&gt;"")*(실물목록!$O$2:$O$1001=H1109)))</f>
      </c>
      <c r="H1109" t="str">
        <f>IFERROR(IF(AND(LEN(SUBSTITUTE(SUBSTITUTE(SUBSTITUTE(TRIM(A1109&amp;""),CHAR(160),"")," ",""),"년",""))=4,VALUE(SUBSTITUTE(SUBSTITUTE(SUBSTITUTE(TRIM(A1109&amp;""),CHAR(160),"")," ",""),"년",""))&gt;=1900,VALUE(SUBSTITUTE(SUBSTITUTE(SUBSTITUTE(TRIM(A1109&amp;""),CHAR(160),"")," ",""),"년",""))&lt;=2099,TEXT(VALUE(SUBSTITUTE(SUBSTITUTE(SUBSTITUTE(TRIM(A1109&amp;""),CHAR(160),"")," ",""),"년","")),"0000")=SUBSTITUTE(SUBSTITUTE(SUBSTITUTE(TRIM(A1109&amp;""),CHAR(160),"")," ",""),"년","")),SUBSTITUTE(SUBSTITUTE(SUBSTITUTE(TRIM(A1109&amp;""),CHAR(160),"")," ",""),"년",""),""),"")</f>
      </c>
      <c r="I1109" t="str">
        <f>SUBSTITUTE(SUBSTITUTE(SUBSTITUTE(SUBSTITUTE(SUBSTITUTE(TRIM(B1109&amp;""),CHAR(160),"")," ",""),"초등학교","초"),"중학교","중"),"고등학교","고")</f>
      </c>
    </row>
    <row r="1110" customFormat="false" ht="15" hidden="false" customHeight="false" outlineLevel="0" collapsed="false">
      <c r="A1110" s="8"/>
      <c r="B1110" s="8"/>
      <c r="C1110" s="8"/>
      <c r="D1110" s="8"/>
      <c r="E1110" s="8"/>
      <c r="F1110" t="str" s="15">
        <f aca="0">IF(B1110="","",IF(H1110="","확인필요(입력누락)",IF(SUMPRODUCT((실물목록!$P$2:$P$1001&lt;&gt;"")*ISNUMBER(SEARCH(실물목록!$P$2:$P$1001,I1110))*(실물목록!$Q$2:$Q$1001&lt;&gt;"")*ISNUMBER(SEARCH(실물목록!$Q$2:$Q$1001,I1110))*(실물목록!$R$2:$R$1001="")*(실물목록!$O$2:$O$1001&lt;&gt;"")*(실물목록!$O$2:$O$1001=H1110))&gt;0,"실물 있음",IF(SUMPRODUCT((실물목록!$P$2:$P$1001&lt;&gt;"")*ISNUMBER(SEARCH(실물목록!$P$2:$P$1001,I1110))*(실물목록!$R$2:$R$1001&lt;&gt;""))&gt;0,"확인필요(입력누락)",IF(SUMPRODUCT((실물목록!$P$2:$P$1001&lt;&gt;"")*ISNUMBER(SEARCH(실물목록!$P$2:$P$1001,I1110))*(실물목록!$Q$2:$Q$1001&lt;&gt;"")*ISNUMBER(SEARCH(실물목록!$Q$2:$Q$1001,I1110))*(실물목록!$R$2:$R$1001="")*(실물목록!$O$2:$O$1001&lt;&gt;""))&gt;0,"확인필요(연도다름)","실물 없음")))))</f>
      </c>
      <c r="G1110" t="n" s="16">
        <f aca="0">IF(B1110="","",SUMPRODUCT((실물목록!$P$2:$P$1001&lt;&gt;"")*ISNUMBER(SEARCH(실물목록!$P$2:$P$1001,I1110))*(실물목록!$Q$2:$Q$1001&lt;&gt;"")*ISNUMBER(SEARCH(실물목록!$Q$2:$Q$1001,I1110))*(실물목록!$R$2:$R$1001="")*(실물목록!$O$2:$O$1001&lt;&gt;"")*(실물목록!$O$2:$O$1001=H1110)))</f>
      </c>
      <c r="H1110" t="str">
        <f>IFERROR(IF(AND(LEN(SUBSTITUTE(SUBSTITUTE(SUBSTITUTE(TRIM(A1110&amp;""),CHAR(160),"")," ",""),"년",""))=4,VALUE(SUBSTITUTE(SUBSTITUTE(SUBSTITUTE(TRIM(A1110&amp;""),CHAR(160),"")," ",""),"년",""))&gt;=1900,VALUE(SUBSTITUTE(SUBSTITUTE(SUBSTITUTE(TRIM(A1110&amp;""),CHAR(160),"")," ",""),"년",""))&lt;=2099,TEXT(VALUE(SUBSTITUTE(SUBSTITUTE(SUBSTITUTE(TRIM(A1110&amp;""),CHAR(160),"")," ",""),"년","")),"0000")=SUBSTITUTE(SUBSTITUTE(SUBSTITUTE(TRIM(A1110&amp;""),CHAR(160),"")," ",""),"년","")),SUBSTITUTE(SUBSTITUTE(SUBSTITUTE(TRIM(A1110&amp;""),CHAR(160),"")," ",""),"년",""),""),"")</f>
      </c>
      <c r="I1110" t="str">
        <f>SUBSTITUTE(SUBSTITUTE(SUBSTITUTE(SUBSTITUTE(SUBSTITUTE(TRIM(B1110&amp;""),CHAR(160),"")," ",""),"초등학교","초"),"중학교","중"),"고등학교","고")</f>
      </c>
    </row>
    <row r="1111" customFormat="false" ht="15" hidden="false" customHeight="false" outlineLevel="0" collapsed="false">
      <c r="A1111" s="8"/>
      <c r="B1111" s="8"/>
      <c r="C1111" s="8"/>
      <c r="D1111" s="8"/>
      <c r="E1111" s="8"/>
      <c r="F1111" t="str" s="15">
        <f aca="0">IF(B1111="","",IF(H1111="","확인필요(입력누락)",IF(SUMPRODUCT((실물목록!$P$2:$P$1001&lt;&gt;"")*ISNUMBER(SEARCH(실물목록!$P$2:$P$1001,I1111))*(실물목록!$Q$2:$Q$1001&lt;&gt;"")*ISNUMBER(SEARCH(실물목록!$Q$2:$Q$1001,I1111))*(실물목록!$R$2:$R$1001="")*(실물목록!$O$2:$O$1001&lt;&gt;"")*(실물목록!$O$2:$O$1001=H1111))&gt;0,"실물 있음",IF(SUMPRODUCT((실물목록!$P$2:$P$1001&lt;&gt;"")*ISNUMBER(SEARCH(실물목록!$P$2:$P$1001,I1111))*(실물목록!$R$2:$R$1001&lt;&gt;""))&gt;0,"확인필요(입력누락)",IF(SUMPRODUCT((실물목록!$P$2:$P$1001&lt;&gt;"")*ISNUMBER(SEARCH(실물목록!$P$2:$P$1001,I1111))*(실물목록!$Q$2:$Q$1001&lt;&gt;"")*ISNUMBER(SEARCH(실물목록!$Q$2:$Q$1001,I1111))*(실물목록!$R$2:$R$1001="")*(실물목록!$O$2:$O$1001&lt;&gt;""))&gt;0,"확인필요(연도다름)","실물 없음")))))</f>
      </c>
      <c r="G1111" t="n" s="16">
        <f aca="0">IF(B1111="","",SUMPRODUCT((실물목록!$P$2:$P$1001&lt;&gt;"")*ISNUMBER(SEARCH(실물목록!$P$2:$P$1001,I1111))*(실물목록!$Q$2:$Q$1001&lt;&gt;"")*ISNUMBER(SEARCH(실물목록!$Q$2:$Q$1001,I1111))*(실물목록!$R$2:$R$1001="")*(실물목록!$O$2:$O$1001&lt;&gt;"")*(실물목록!$O$2:$O$1001=H1111)))</f>
      </c>
      <c r="H1111" t="str">
        <f>IFERROR(IF(AND(LEN(SUBSTITUTE(SUBSTITUTE(SUBSTITUTE(TRIM(A1111&amp;""),CHAR(160),"")," ",""),"년",""))=4,VALUE(SUBSTITUTE(SUBSTITUTE(SUBSTITUTE(TRIM(A1111&amp;""),CHAR(160),"")," ",""),"년",""))&gt;=1900,VALUE(SUBSTITUTE(SUBSTITUTE(SUBSTITUTE(TRIM(A1111&amp;""),CHAR(160),"")," ",""),"년",""))&lt;=2099,TEXT(VALUE(SUBSTITUTE(SUBSTITUTE(SUBSTITUTE(TRIM(A1111&amp;""),CHAR(160),"")," ",""),"년","")),"0000")=SUBSTITUTE(SUBSTITUTE(SUBSTITUTE(TRIM(A1111&amp;""),CHAR(160),"")," ",""),"년","")),SUBSTITUTE(SUBSTITUTE(SUBSTITUTE(TRIM(A1111&amp;""),CHAR(160),"")," ",""),"년",""),""),"")</f>
      </c>
      <c r="I1111" t="str">
        <f>SUBSTITUTE(SUBSTITUTE(SUBSTITUTE(SUBSTITUTE(SUBSTITUTE(TRIM(B1111&amp;""),CHAR(160),"")," ",""),"초등학교","초"),"중학교","중"),"고등학교","고")</f>
      </c>
    </row>
    <row r="1112" customFormat="false" ht="15" hidden="false" customHeight="false" outlineLevel="0" collapsed="false">
      <c r="A1112" s="8"/>
      <c r="B1112" s="8"/>
      <c r="C1112" s="8"/>
      <c r="D1112" s="8"/>
      <c r="E1112" s="8"/>
      <c r="F1112" t="str" s="15">
        <f aca="0">IF(B1112="","",IF(H1112="","확인필요(입력누락)",IF(SUMPRODUCT((실물목록!$P$2:$P$1001&lt;&gt;"")*ISNUMBER(SEARCH(실물목록!$P$2:$P$1001,I1112))*(실물목록!$Q$2:$Q$1001&lt;&gt;"")*ISNUMBER(SEARCH(실물목록!$Q$2:$Q$1001,I1112))*(실물목록!$R$2:$R$1001="")*(실물목록!$O$2:$O$1001&lt;&gt;"")*(실물목록!$O$2:$O$1001=H1112))&gt;0,"실물 있음",IF(SUMPRODUCT((실물목록!$P$2:$P$1001&lt;&gt;"")*ISNUMBER(SEARCH(실물목록!$P$2:$P$1001,I1112))*(실물목록!$R$2:$R$1001&lt;&gt;""))&gt;0,"확인필요(입력누락)",IF(SUMPRODUCT((실물목록!$P$2:$P$1001&lt;&gt;"")*ISNUMBER(SEARCH(실물목록!$P$2:$P$1001,I1112))*(실물목록!$Q$2:$Q$1001&lt;&gt;"")*ISNUMBER(SEARCH(실물목록!$Q$2:$Q$1001,I1112))*(실물목록!$R$2:$R$1001="")*(실물목록!$O$2:$O$1001&lt;&gt;""))&gt;0,"확인필요(연도다름)","실물 없음")))))</f>
      </c>
      <c r="G1112" t="n" s="16">
        <f aca="0">IF(B1112="","",SUMPRODUCT((실물목록!$P$2:$P$1001&lt;&gt;"")*ISNUMBER(SEARCH(실물목록!$P$2:$P$1001,I1112))*(실물목록!$Q$2:$Q$1001&lt;&gt;"")*ISNUMBER(SEARCH(실물목록!$Q$2:$Q$1001,I1112))*(실물목록!$R$2:$R$1001="")*(실물목록!$O$2:$O$1001&lt;&gt;"")*(실물목록!$O$2:$O$1001=H1112)))</f>
      </c>
      <c r="H1112" t="str">
        <f>IFERROR(IF(AND(LEN(SUBSTITUTE(SUBSTITUTE(SUBSTITUTE(TRIM(A1112&amp;""),CHAR(160),"")," ",""),"년",""))=4,VALUE(SUBSTITUTE(SUBSTITUTE(SUBSTITUTE(TRIM(A1112&amp;""),CHAR(160),"")," ",""),"년",""))&gt;=1900,VALUE(SUBSTITUTE(SUBSTITUTE(SUBSTITUTE(TRIM(A1112&amp;""),CHAR(160),"")," ",""),"년",""))&lt;=2099,TEXT(VALUE(SUBSTITUTE(SUBSTITUTE(SUBSTITUTE(TRIM(A1112&amp;""),CHAR(160),"")," ",""),"년","")),"0000")=SUBSTITUTE(SUBSTITUTE(SUBSTITUTE(TRIM(A1112&amp;""),CHAR(160),"")," ",""),"년","")),SUBSTITUTE(SUBSTITUTE(SUBSTITUTE(TRIM(A1112&amp;""),CHAR(160),"")," ",""),"년",""),""),"")</f>
      </c>
      <c r="I1112" t="str">
        <f>SUBSTITUTE(SUBSTITUTE(SUBSTITUTE(SUBSTITUTE(SUBSTITUTE(TRIM(B1112&amp;""),CHAR(160),"")," ",""),"초등학교","초"),"중학교","중"),"고등학교","고")</f>
      </c>
    </row>
    <row r="1113" customFormat="false" ht="15" hidden="false" customHeight="false" outlineLevel="0" collapsed="false">
      <c r="A1113" s="8"/>
      <c r="B1113" s="8"/>
      <c r="C1113" s="8"/>
      <c r="D1113" s="8"/>
      <c r="E1113" s="8"/>
      <c r="F1113" t="str" s="15">
        <f aca="0">IF(B1113="","",IF(H1113="","확인필요(입력누락)",IF(SUMPRODUCT((실물목록!$P$2:$P$1001&lt;&gt;"")*ISNUMBER(SEARCH(실물목록!$P$2:$P$1001,I1113))*(실물목록!$Q$2:$Q$1001&lt;&gt;"")*ISNUMBER(SEARCH(실물목록!$Q$2:$Q$1001,I1113))*(실물목록!$R$2:$R$1001="")*(실물목록!$O$2:$O$1001&lt;&gt;"")*(실물목록!$O$2:$O$1001=H1113))&gt;0,"실물 있음",IF(SUMPRODUCT((실물목록!$P$2:$P$1001&lt;&gt;"")*ISNUMBER(SEARCH(실물목록!$P$2:$P$1001,I1113))*(실물목록!$R$2:$R$1001&lt;&gt;""))&gt;0,"확인필요(입력누락)",IF(SUMPRODUCT((실물목록!$P$2:$P$1001&lt;&gt;"")*ISNUMBER(SEARCH(실물목록!$P$2:$P$1001,I1113))*(실물목록!$Q$2:$Q$1001&lt;&gt;"")*ISNUMBER(SEARCH(실물목록!$Q$2:$Q$1001,I1113))*(실물목록!$R$2:$R$1001="")*(실물목록!$O$2:$O$1001&lt;&gt;""))&gt;0,"확인필요(연도다름)","실물 없음")))))</f>
      </c>
      <c r="G1113" t="n" s="16">
        <f aca="0">IF(B1113="","",SUMPRODUCT((실물목록!$P$2:$P$1001&lt;&gt;"")*ISNUMBER(SEARCH(실물목록!$P$2:$P$1001,I1113))*(실물목록!$Q$2:$Q$1001&lt;&gt;"")*ISNUMBER(SEARCH(실물목록!$Q$2:$Q$1001,I1113))*(실물목록!$R$2:$R$1001="")*(실물목록!$O$2:$O$1001&lt;&gt;"")*(실물목록!$O$2:$O$1001=H1113)))</f>
      </c>
      <c r="H1113" t="str">
        <f>IFERROR(IF(AND(LEN(SUBSTITUTE(SUBSTITUTE(SUBSTITUTE(TRIM(A1113&amp;""),CHAR(160),"")," ",""),"년",""))=4,VALUE(SUBSTITUTE(SUBSTITUTE(SUBSTITUTE(TRIM(A1113&amp;""),CHAR(160),"")," ",""),"년",""))&gt;=1900,VALUE(SUBSTITUTE(SUBSTITUTE(SUBSTITUTE(TRIM(A1113&amp;""),CHAR(160),"")," ",""),"년",""))&lt;=2099,TEXT(VALUE(SUBSTITUTE(SUBSTITUTE(SUBSTITUTE(TRIM(A1113&amp;""),CHAR(160),"")," ",""),"년","")),"0000")=SUBSTITUTE(SUBSTITUTE(SUBSTITUTE(TRIM(A1113&amp;""),CHAR(160),"")," ",""),"년","")),SUBSTITUTE(SUBSTITUTE(SUBSTITUTE(TRIM(A1113&amp;""),CHAR(160),"")," ",""),"년",""),""),"")</f>
      </c>
      <c r="I1113" t="str">
        <f>SUBSTITUTE(SUBSTITUTE(SUBSTITUTE(SUBSTITUTE(SUBSTITUTE(TRIM(B1113&amp;""),CHAR(160),"")," ",""),"초등학교","초"),"중학교","중"),"고등학교","고")</f>
      </c>
    </row>
    <row r="1114" customFormat="false" ht="15" hidden="false" customHeight="false" outlineLevel="0" collapsed="false">
      <c r="A1114" s="8"/>
      <c r="B1114" s="8"/>
      <c r="C1114" s="8"/>
      <c r="D1114" s="8"/>
      <c r="E1114" s="8"/>
      <c r="F1114" t="str" s="15">
        <f aca="0">IF(B1114="","",IF(H1114="","확인필요(입력누락)",IF(SUMPRODUCT((실물목록!$P$2:$P$1001&lt;&gt;"")*ISNUMBER(SEARCH(실물목록!$P$2:$P$1001,I1114))*(실물목록!$Q$2:$Q$1001&lt;&gt;"")*ISNUMBER(SEARCH(실물목록!$Q$2:$Q$1001,I1114))*(실물목록!$R$2:$R$1001="")*(실물목록!$O$2:$O$1001&lt;&gt;"")*(실물목록!$O$2:$O$1001=H1114))&gt;0,"실물 있음",IF(SUMPRODUCT((실물목록!$P$2:$P$1001&lt;&gt;"")*ISNUMBER(SEARCH(실물목록!$P$2:$P$1001,I1114))*(실물목록!$R$2:$R$1001&lt;&gt;""))&gt;0,"확인필요(입력누락)",IF(SUMPRODUCT((실물목록!$P$2:$P$1001&lt;&gt;"")*ISNUMBER(SEARCH(실물목록!$P$2:$P$1001,I1114))*(실물목록!$Q$2:$Q$1001&lt;&gt;"")*ISNUMBER(SEARCH(실물목록!$Q$2:$Q$1001,I1114))*(실물목록!$R$2:$R$1001="")*(실물목록!$O$2:$O$1001&lt;&gt;""))&gt;0,"확인필요(연도다름)","실물 없음")))))</f>
      </c>
      <c r="G1114" t="n" s="16">
        <f aca="0">IF(B1114="","",SUMPRODUCT((실물목록!$P$2:$P$1001&lt;&gt;"")*ISNUMBER(SEARCH(실물목록!$P$2:$P$1001,I1114))*(실물목록!$Q$2:$Q$1001&lt;&gt;"")*ISNUMBER(SEARCH(실물목록!$Q$2:$Q$1001,I1114))*(실물목록!$R$2:$R$1001="")*(실물목록!$O$2:$O$1001&lt;&gt;"")*(실물목록!$O$2:$O$1001=H1114)))</f>
      </c>
      <c r="H1114" t="str">
        <f>IFERROR(IF(AND(LEN(SUBSTITUTE(SUBSTITUTE(SUBSTITUTE(TRIM(A1114&amp;""),CHAR(160),"")," ",""),"년",""))=4,VALUE(SUBSTITUTE(SUBSTITUTE(SUBSTITUTE(TRIM(A1114&amp;""),CHAR(160),"")," ",""),"년",""))&gt;=1900,VALUE(SUBSTITUTE(SUBSTITUTE(SUBSTITUTE(TRIM(A1114&amp;""),CHAR(160),"")," ",""),"년",""))&lt;=2099,TEXT(VALUE(SUBSTITUTE(SUBSTITUTE(SUBSTITUTE(TRIM(A1114&amp;""),CHAR(160),"")," ",""),"년","")),"0000")=SUBSTITUTE(SUBSTITUTE(SUBSTITUTE(TRIM(A1114&amp;""),CHAR(160),"")," ",""),"년","")),SUBSTITUTE(SUBSTITUTE(SUBSTITUTE(TRIM(A1114&amp;""),CHAR(160),"")," ",""),"년",""),""),"")</f>
      </c>
      <c r="I1114" t="str">
        <f>SUBSTITUTE(SUBSTITUTE(SUBSTITUTE(SUBSTITUTE(SUBSTITUTE(TRIM(B1114&amp;""),CHAR(160),"")," ",""),"초등학교","초"),"중학교","중"),"고등학교","고")</f>
      </c>
    </row>
    <row r="1115" customFormat="false" ht="15" hidden="false" customHeight="false" outlineLevel="0" collapsed="false">
      <c r="A1115" s="8"/>
      <c r="B1115" s="8"/>
      <c r="C1115" s="8"/>
      <c r="D1115" s="8"/>
      <c r="E1115" s="8"/>
      <c r="F1115" t="str" s="15">
        <f aca="0">IF(B1115="","",IF(H1115="","확인필요(입력누락)",IF(SUMPRODUCT((실물목록!$P$2:$P$1001&lt;&gt;"")*ISNUMBER(SEARCH(실물목록!$P$2:$P$1001,I1115))*(실물목록!$Q$2:$Q$1001&lt;&gt;"")*ISNUMBER(SEARCH(실물목록!$Q$2:$Q$1001,I1115))*(실물목록!$R$2:$R$1001="")*(실물목록!$O$2:$O$1001&lt;&gt;"")*(실물목록!$O$2:$O$1001=H1115))&gt;0,"실물 있음",IF(SUMPRODUCT((실물목록!$P$2:$P$1001&lt;&gt;"")*ISNUMBER(SEARCH(실물목록!$P$2:$P$1001,I1115))*(실물목록!$R$2:$R$1001&lt;&gt;""))&gt;0,"확인필요(입력누락)",IF(SUMPRODUCT((실물목록!$P$2:$P$1001&lt;&gt;"")*ISNUMBER(SEARCH(실물목록!$P$2:$P$1001,I1115))*(실물목록!$Q$2:$Q$1001&lt;&gt;"")*ISNUMBER(SEARCH(실물목록!$Q$2:$Q$1001,I1115))*(실물목록!$R$2:$R$1001="")*(실물목록!$O$2:$O$1001&lt;&gt;""))&gt;0,"확인필요(연도다름)","실물 없음")))))</f>
      </c>
      <c r="G1115" t="n" s="16">
        <f aca="0">IF(B1115="","",SUMPRODUCT((실물목록!$P$2:$P$1001&lt;&gt;"")*ISNUMBER(SEARCH(실물목록!$P$2:$P$1001,I1115))*(실물목록!$Q$2:$Q$1001&lt;&gt;"")*ISNUMBER(SEARCH(실물목록!$Q$2:$Q$1001,I1115))*(실물목록!$R$2:$R$1001="")*(실물목록!$O$2:$O$1001&lt;&gt;"")*(실물목록!$O$2:$O$1001=H1115)))</f>
      </c>
      <c r="H1115" t="str">
        <f>IFERROR(IF(AND(LEN(SUBSTITUTE(SUBSTITUTE(SUBSTITUTE(TRIM(A1115&amp;""),CHAR(160),"")," ",""),"년",""))=4,VALUE(SUBSTITUTE(SUBSTITUTE(SUBSTITUTE(TRIM(A1115&amp;""),CHAR(160),"")," ",""),"년",""))&gt;=1900,VALUE(SUBSTITUTE(SUBSTITUTE(SUBSTITUTE(TRIM(A1115&amp;""),CHAR(160),"")," ",""),"년",""))&lt;=2099,TEXT(VALUE(SUBSTITUTE(SUBSTITUTE(SUBSTITUTE(TRIM(A1115&amp;""),CHAR(160),"")," ",""),"년","")),"0000")=SUBSTITUTE(SUBSTITUTE(SUBSTITUTE(TRIM(A1115&amp;""),CHAR(160),"")," ",""),"년","")),SUBSTITUTE(SUBSTITUTE(SUBSTITUTE(TRIM(A1115&amp;""),CHAR(160),"")," ",""),"년",""),""),"")</f>
      </c>
      <c r="I1115" t="str">
        <f>SUBSTITUTE(SUBSTITUTE(SUBSTITUTE(SUBSTITUTE(SUBSTITUTE(TRIM(B1115&amp;""),CHAR(160),"")," ",""),"초등학교","초"),"중학교","중"),"고등학교","고")</f>
      </c>
    </row>
    <row r="1116" customFormat="false" ht="15" hidden="false" customHeight="false" outlineLevel="0" collapsed="false">
      <c r="A1116" s="8"/>
      <c r="B1116" s="8"/>
      <c r="C1116" s="8"/>
      <c r="D1116" s="8"/>
      <c r="E1116" s="8"/>
      <c r="F1116" t="str" s="15">
        <f aca="0">IF(B1116="","",IF(H1116="","확인필요(입력누락)",IF(SUMPRODUCT((실물목록!$P$2:$P$1001&lt;&gt;"")*ISNUMBER(SEARCH(실물목록!$P$2:$P$1001,I1116))*(실물목록!$Q$2:$Q$1001&lt;&gt;"")*ISNUMBER(SEARCH(실물목록!$Q$2:$Q$1001,I1116))*(실물목록!$R$2:$R$1001="")*(실물목록!$O$2:$O$1001&lt;&gt;"")*(실물목록!$O$2:$O$1001=H1116))&gt;0,"실물 있음",IF(SUMPRODUCT((실물목록!$P$2:$P$1001&lt;&gt;"")*ISNUMBER(SEARCH(실물목록!$P$2:$P$1001,I1116))*(실물목록!$R$2:$R$1001&lt;&gt;""))&gt;0,"확인필요(입력누락)",IF(SUMPRODUCT((실물목록!$P$2:$P$1001&lt;&gt;"")*ISNUMBER(SEARCH(실물목록!$P$2:$P$1001,I1116))*(실물목록!$Q$2:$Q$1001&lt;&gt;"")*ISNUMBER(SEARCH(실물목록!$Q$2:$Q$1001,I1116))*(실물목록!$R$2:$R$1001="")*(실물목록!$O$2:$O$1001&lt;&gt;""))&gt;0,"확인필요(연도다름)","실물 없음")))))</f>
      </c>
      <c r="G1116" t="n" s="16">
        <f aca="0">IF(B1116="","",SUMPRODUCT((실물목록!$P$2:$P$1001&lt;&gt;"")*ISNUMBER(SEARCH(실물목록!$P$2:$P$1001,I1116))*(실물목록!$Q$2:$Q$1001&lt;&gt;"")*ISNUMBER(SEARCH(실물목록!$Q$2:$Q$1001,I1116))*(실물목록!$R$2:$R$1001="")*(실물목록!$O$2:$O$1001&lt;&gt;"")*(실물목록!$O$2:$O$1001=H1116)))</f>
      </c>
      <c r="H1116" t="str">
        <f>IFERROR(IF(AND(LEN(SUBSTITUTE(SUBSTITUTE(SUBSTITUTE(TRIM(A1116&amp;""),CHAR(160),"")," ",""),"년",""))=4,VALUE(SUBSTITUTE(SUBSTITUTE(SUBSTITUTE(TRIM(A1116&amp;""),CHAR(160),"")," ",""),"년",""))&gt;=1900,VALUE(SUBSTITUTE(SUBSTITUTE(SUBSTITUTE(TRIM(A1116&amp;""),CHAR(160),"")," ",""),"년",""))&lt;=2099,TEXT(VALUE(SUBSTITUTE(SUBSTITUTE(SUBSTITUTE(TRIM(A1116&amp;""),CHAR(160),"")," ",""),"년","")),"0000")=SUBSTITUTE(SUBSTITUTE(SUBSTITUTE(TRIM(A1116&amp;""),CHAR(160),"")," ",""),"년","")),SUBSTITUTE(SUBSTITUTE(SUBSTITUTE(TRIM(A1116&amp;""),CHAR(160),"")," ",""),"년",""),""),"")</f>
      </c>
      <c r="I1116" t="str">
        <f>SUBSTITUTE(SUBSTITUTE(SUBSTITUTE(SUBSTITUTE(SUBSTITUTE(TRIM(B1116&amp;""),CHAR(160),"")," ",""),"초등학교","초"),"중학교","중"),"고등학교","고")</f>
      </c>
    </row>
    <row r="1117" customFormat="false" ht="15" hidden="false" customHeight="false" outlineLevel="0" collapsed="false">
      <c r="A1117" s="8"/>
      <c r="B1117" s="8"/>
      <c r="C1117" s="8"/>
      <c r="D1117" s="8"/>
      <c r="E1117" s="8"/>
      <c r="F1117" t="str" s="15">
        <f aca="0">IF(B1117="","",IF(H1117="","확인필요(입력누락)",IF(SUMPRODUCT((실물목록!$P$2:$P$1001&lt;&gt;"")*ISNUMBER(SEARCH(실물목록!$P$2:$P$1001,I1117))*(실물목록!$Q$2:$Q$1001&lt;&gt;"")*ISNUMBER(SEARCH(실물목록!$Q$2:$Q$1001,I1117))*(실물목록!$R$2:$R$1001="")*(실물목록!$O$2:$O$1001&lt;&gt;"")*(실물목록!$O$2:$O$1001=H1117))&gt;0,"실물 있음",IF(SUMPRODUCT((실물목록!$P$2:$P$1001&lt;&gt;"")*ISNUMBER(SEARCH(실물목록!$P$2:$P$1001,I1117))*(실물목록!$R$2:$R$1001&lt;&gt;""))&gt;0,"확인필요(입력누락)",IF(SUMPRODUCT((실물목록!$P$2:$P$1001&lt;&gt;"")*ISNUMBER(SEARCH(실물목록!$P$2:$P$1001,I1117))*(실물목록!$Q$2:$Q$1001&lt;&gt;"")*ISNUMBER(SEARCH(실물목록!$Q$2:$Q$1001,I1117))*(실물목록!$R$2:$R$1001="")*(실물목록!$O$2:$O$1001&lt;&gt;""))&gt;0,"확인필요(연도다름)","실물 없음")))))</f>
      </c>
      <c r="G1117" t="n" s="16">
        <f aca="0">IF(B1117="","",SUMPRODUCT((실물목록!$P$2:$P$1001&lt;&gt;"")*ISNUMBER(SEARCH(실물목록!$P$2:$P$1001,I1117))*(실물목록!$Q$2:$Q$1001&lt;&gt;"")*ISNUMBER(SEARCH(실물목록!$Q$2:$Q$1001,I1117))*(실물목록!$R$2:$R$1001="")*(실물목록!$O$2:$O$1001&lt;&gt;"")*(실물목록!$O$2:$O$1001=H1117)))</f>
      </c>
      <c r="H1117" t="str">
        <f>IFERROR(IF(AND(LEN(SUBSTITUTE(SUBSTITUTE(SUBSTITUTE(TRIM(A1117&amp;""),CHAR(160),"")," ",""),"년",""))=4,VALUE(SUBSTITUTE(SUBSTITUTE(SUBSTITUTE(TRIM(A1117&amp;""),CHAR(160),"")," ",""),"년",""))&gt;=1900,VALUE(SUBSTITUTE(SUBSTITUTE(SUBSTITUTE(TRIM(A1117&amp;""),CHAR(160),"")," ",""),"년",""))&lt;=2099,TEXT(VALUE(SUBSTITUTE(SUBSTITUTE(SUBSTITUTE(TRIM(A1117&amp;""),CHAR(160),"")," ",""),"년","")),"0000")=SUBSTITUTE(SUBSTITUTE(SUBSTITUTE(TRIM(A1117&amp;""),CHAR(160),"")," ",""),"년","")),SUBSTITUTE(SUBSTITUTE(SUBSTITUTE(TRIM(A1117&amp;""),CHAR(160),"")," ",""),"년",""),""),"")</f>
      </c>
      <c r="I1117" t="str">
        <f>SUBSTITUTE(SUBSTITUTE(SUBSTITUTE(SUBSTITUTE(SUBSTITUTE(TRIM(B1117&amp;""),CHAR(160),"")," ",""),"초등학교","초"),"중학교","중"),"고등학교","고")</f>
      </c>
    </row>
    <row r="1118" customFormat="false" ht="15" hidden="false" customHeight="false" outlineLevel="0" collapsed="false">
      <c r="A1118" s="8"/>
      <c r="B1118" s="8"/>
      <c r="C1118" s="8"/>
      <c r="D1118" s="8"/>
      <c r="E1118" s="8"/>
      <c r="F1118" t="str" s="15">
        <f aca="0">IF(B1118="","",IF(H1118="","확인필요(입력누락)",IF(SUMPRODUCT((실물목록!$P$2:$P$1001&lt;&gt;"")*ISNUMBER(SEARCH(실물목록!$P$2:$P$1001,I1118))*(실물목록!$Q$2:$Q$1001&lt;&gt;"")*ISNUMBER(SEARCH(실물목록!$Q$2:$Q$1001,I1118))*(실물목록!$R$2:$R$1001="")*(실물목록!$O$2:$O$1001&lt;&gt;"")*(실물목록!$O$2:$O$1001=H1118))&gt;0,"실물 있음",IF(SUMPRODUCT((실물목록!$P$2:$P$1001&lt;&gt;"")*ISNUMBER(SEARCH(실물목록!$P$2:$P$1001,I1118))*(실물목록!$R$2:$R$1001&lt;&gt;""))&gt;0,"확인필요(입력누락)",IF(SUMPRODUCT((실물목록!$P$2:$P$1001&lt;&gt;"")*ISNUMBER(SEARCH(실물목록!$P$2:$P$1001,I1118))*(실물목록!$Q$2:$Q$1001&lt;&gt;"")*ISNUMBER(SEARCH(실물목록!$Q$2:$Q$1001,I1118))*(실물목록!$R$2:$R$1001="")*(실물목록!$O$2:$O$1001&lt;&gt;""))&gt;0,"확인필요(연도다름)","실물 없음")))))</f>
      </c>
      <c r="G1118" t="n" s="16">
        <f aca="0">IF(B1118="","",SUMPRODUCT((실물목록!$P$2:$P$1001&lt;&gt;"")*ISNUMBER(SEARCH(실물목록!$P$2:$P$1001,I1118))*(실물목록!$Q$2:$Q$1001&lt;&gt;"")*ISNUMBER(SEARCH(실물목록!$Q$2:$Q$1001,I1118))*(실물목록!$R$2:$R$1001="")*(실물목록!$O$2:$O$1001&lt;&gt;"")*(실물목록!$O$2:$O$1001=H1118)))</f>
      </c>
      <c r="H1118" t="str">
        <f>IFERROR(IF(AND(LEN(SUBSTITUTE(SUBSTITUTE(SUBSTITUTE(TRIM(A1118&amp;""),CHAR(160),"")," ",""),"년",""))=4,VALUE(SUBSTITUTE(SUBSTITUTE(SUBSTITUTE(TRIM(A1118&amp;""),CHAR(160),"")," ",""),"년",""))&gt;=1900,VALUE(SUBSTITUTE(SUBSTITUTE(SUBSTITUTE(TRIM(A1118&amp;""),CHAR(160),"")," ",""),"년",""))&lt;=2099,TEXT(VALUE(SUBSTITUTE(SUBSTITUTE(SUBSTITUTE(TRIM(A1118&amp;""),CHAR(160),"")," ",""),"년","")),"0000")=SUBSTITUTE(SUBSTITUTE(SUBSTITUTE(TRIM(A1118&amp;""),CHAR(160),"")," ",""),"년","")),SUBSTITUTE(SUBSTITUTE(SUBSTITUTE(TRIM(A1118&amp;""),CHAR(160),"")," ",""),"년",""),""),"")</f>
      </c>
      <c r="I1118" t="str">
        <f>SUBSTITUTE(SUBSTITUTE(SUBSTITUTE(SUBSTITUTE(SUBSTITUTE(TRIM(B1118&amp;""),CHAR(160),"")," ",""),"초등학교","초"),"중학교","중"),"고등학교","고")</f>
      </c>
    </row>
    <row r="1119" customFormat="false" ht="15" hidden="false" customHeight="false" outlineLevel="0" collapsed="false">
      <c r="A1119" s="8"/>
      <c r="B1119" s="8"/>
      <c r="C1119" s="8"/>
      <c r="D1119" s="8"/>
      <c r="E1119" s="8"/>
      <c r="F1119" t="str" s="15">
        <f aca="0">IF(B1119="","",IF(H1119="","확인필요(입력누락)",IF(SUMPRODUCT((실물목록!$P$2:$P$1001&lt;&gt;"")*ISNUMBER(SEARCH(실물목록!$P$2:$P$1001,I1119))*(실물목록!$Q$2:$Q$1001&lt;&gt;"")*ISNUMBER(SEARCH(실물목록!$Q$2:$Q$1001,I1119))*(실물목록!$R$2:$R$1001="")*(실물목록!$O$2:$O$1001&lt;&gt;"")*(실물목록!$O$2:$O$1001=H1119))&gt;0,"실물 있음",IF(SUMPRODUCT((실물목록!$P$2:$P$1001&lt;&gt;"")*ISNUMBER(SEARCH(실물목록!$P$2:$P$1001,I1119))*(실물목록!$R$2:$R$1001&lt;&gt;""))&gt;0,"확인필요(입력누락)",IF(SUMPRODUCT((실물목록!$P$2:$P$1001&lt;&gt;"")*ISNUMBER(SEARCH(실물목록!$P$2:$P$1001,I1119))*(실물목록!$Q$2:$Q$1001&lt;&gt;"")*ISNUMBER(SEARCH(실물목록!$Q$2:$Q$1001,I1119))*(실물목록!$R$2:$R$1001="")*(실물목록!$O$2:$O$1001&lt;&gt;""))&gt;0,"확인필요(연도다름)","실물 없음")))))</f>
      </c>
      <c r="G1119" t="n" s="16">
        <f aca="0">IF(B1119="","",SUMPRODUCT((실물목록!$P$2:$P$1001&lt;&gt;"")*ISNUMBER(SEARCH(실물목록!$P$2:$P$1001,I1119))*(실물목록!$Q$2:$Q$1001&lt;&gt;"")*ISNUMBER(SEARCH(실물목록!$Q$2:$Q$1001,I1119))*(실물목록!$R$2:$R$1001="")*(실물목록!$O$2:$O$1001&lt;&gt;"")*(실물목록!$O$2:$O$1001=H1119)))</f>
      </c>
      <c r="H1119" t="str">
        <f>IFERROR(IF(AND(LEN(SUBSTITUTE(SUBSTITUTE(SUBSTITUTE(TRIM(A1119&amp;""),CHAR(160),"")," ",""),"년",""))=4,VALUE(SUBSTITUTE(SUBSTITUTE(SUBSTITUTE(TRIM(A1119&amp;""),CHAR(160),"")," ",""),"년",""))&gt;=1900,VALUE(SUBSTITUTE(SUBSTITUTE(SUBSTITUTE(TRIM(A1119&amp;""),CHAR(160),"")," ",""),"년",""))&lt;=2099,TEXT(VALUE(SUBSTITUTE(SUBSTITUTE(SUBSTITUTE(TRIM(A1119&amp;""),CHAR(160),"")," ",""),"년","")),"0000")=SUBSTITUTE(SUBSTITUTE(SUBSTITUTE(TRIM(A1119&amp;""),CHAR(160),"")," ",""),"년","")),SUBSTITUTE(SUBSTITUTE(SUBSTITUTE(TRIM(A1119&amp;""),CHAR(160),"")," ",""),"년",""),""),"")</f>
      </c>
      <c r="I1119" t="str">
        <f>SUBSTITUTE(SUBSTITUTE(SUBSTITUTE(SUBSTITUTE(SUBSTITUTE(TRIM(B1119&amp;""),CHAR(160),"")," ",""),"초등학교","초"),"중학교","중"),"고등학교","고")</f>
      </c>
    </row>
    <row r="1120" customFormat="false" ht="15" hidden="false" customHeight="false" outlineLevel="0" collapsed="false">
      <c r="A1120" s="8"/>
      <c r="B1120" s="8"/>
      <c r="C1120" s="8"/>
      <c r="D1120" s="8"/>
      <c r="E1120" s="8"/>
      <c r="F1120" t="str" s="15">
        <f aca="0">IF(B1120="","",IF(H1120="","확인필요(입력누락)",IF(SUMPRODUCT((실물목록!$P$2:$P$1001&lt;&gt;"")*ISNUMBER(SEARCH(실물목록!$P$2:$P$1001,I1120))*(실물목록!$Q$2:$Q$1001&lt;&gt;"")*ISNUMBER(SEARCH(실물목록!$Q$2:$Q$1001,I1120))*(실물목록!$R$2:$R$1001="")*(실물목록!$O$2:$O$1001&lt;&gt;"")*(실물목록!$O$2:$O$1001=H1120))&gt;0,"실물 있음",IF(SUMPRODUCT((실물목록!$P$2:$P$1001&lt;&gt;"")*ISNUMBER(SEARCH(실물목록!$P$2:$P$1001,I1120))*(실물목록!$R$2:$R$1001&lt;&gt;""))&gt;0,"확인필요(입력누락)",IF(SUMPRODUCT((실물목록!$P$2:$P$1001&lt;&gt;"")*ISNUMBER(SEARCH(실물목록!$P$2:$P$1001,I1120))*(실물목록!$Q$2:$Q$1001&lt;&gt;"")*ISNUMBER(SEARCH(실물목록!$Q$2:$Q$1001,I1120))*(실물목록!$R$2:$R$1001="")*(실물목록!$O$2:$O$1001&lt;&gt;""))&gt;0,"확인필요(연도다름)","실물 없음")))))</f>
      </c>
      <c r="G1120" t="n" s="16">
        <f aca="0">IF(B1120="","",SUMPRODUCT((실물목록!$P$2:$P$1001&lt;&gt;"")*ISNUMBER(SEARCH(실물목록!$P$2:$P$1001,I1120))*(실물목록!$Q$2:$Q$1001&lt;&gt;"")*ISNUMBER(SEARCH(실물목록!$Q$2:$Q$1001,I1120))*(실물목록!$R$2:$R$1001="")*(실물목록!$O$2:$O$1001&lt;&gt;"")*(실물목록!$O$2:$O$1001=H1120)))</f>
      </c>
      <c r="H1120" t="str">
        <f>IFERROR(IF(AND(LEN(SUBSTITUTE(SUBSTITUTE(SUBSTITUTE(TRIM(A1120&amp;""),CHAR(160),"")," ",""),"년",""))=4,VALUE(SUBSTITUTE(SUBSTITUTE(SUBSTITUTE(TRIM(A1120&amp;""),CHAR(160),"")," ",""),"년",""))&gt;=1900,VALUE(SUBSTITUTE(SUBSTITUTE(SUBSTITUTE(TRIM(A1120&amp;""),CHAR(160),"")," ",""),"년",""))&lt;=2099,TEXT(VALUE(SUBSTITUTE(SUBSTITUTE(SUBSTITUTE(TRIM(A1120&amp;""),CHAR(160),"")," ",""),"년","")),"0000")=SUBSTITUTE(SUBSTITUTE(SUBSTITUTE(TRIM(A1120&amp;""),CHAR(160),"")," ",""),"년","")),SUBSTITUTE(SUBSTITUTE(SUBSTITUTE(TRIM(A1120&amp;""),CHAR(160),"")," ",""),"년",""),""),"")</f>
      </c>
      <c r="I1120" t="str">
        <f>SUBSTITUTE(SUBSTITUTE(SUBSTITUTE(SUBSTITUTE(SUBSTITUTE(TRIM(B1120&amp;""),CHAR(160),"")," ",""),"초등학교","초"),"중학교","중"),"고등학교","고")</f>
      </c>
    </row>
    <row r="1121" customFormat="false" ht="15" hidden="false" customHeight="false" outlineLevel="0" collapsed="false">
      <c r="A1121" s="8"/>
      <c r="B1121" s="8"/>
      <c r="C1121" s="8"/>
      <c r="D1121" s="8"/>
      <c r="E1121" s="8"/>
      <c r="F1121" t="str" s="15">
        <f aca="0">IF(B1121="","",IF(H1121="","확인필요(입력누락)",IF(SUMPRODUCT((실물목록!$P$2:$P$1001&lt;&gt;"")*ISNUMBER(SEARCH(실물목록!$P$2:$P$1001,I1121))*(실물목록!$Q$2:$Q$1001&lt;&gt;"")*ISNUMBER(SEARCH(실물목록!$Q$2:$Q$1001,I1121))*(실물목록!$R$2:$R$1001="")*(실물목록!$O$2:$O$1001&lt;&gt;"")*(실물목록!$O$2:$O$1001=H1121))&gt;0,"실물 있음",IF(SUMPRODUCT((실물목록!$P$2:$P$1001&lt;&gt;"")*ISNUMBER(SEARCH(실물목록!$P$2:$P$1001,I1121))*(실물목록!$R$2:$R$1001&lt;&gt;""))&gt;0,"확인필요(입력누락)",IF(SUMPRODUCT((실물목록!$P$2:$P$1001&lt;&gt;"")*ISNUMBER(SEARCH(실물목록!$P$2:$P$1001,I1121))*(실물목록!$Q$2:$Q$1001&lt;&gt;"")*ISNUMBER(SEARCH(실물목록!$Q$2:$Q$1001,I1121))*(실물목록!$R$2:$R$1001="")*(실물목록!$O$2:$O$1001&lt;&gt;""))&gt;0,"확인필요(연도다름)","실물 없음")))))</f>
      </c>
      <c r="G1121" t="n" s="16">
        <f aca="0">IF(B1121="","",SUMPRODUCT((실물목록!$P$2:$P$1001&lt;&gt;"")*ISNUMBER(SEARCH(실물목록!$P$2:$P$1001,I1121))*(실물목록!$Q$2:$Q$1001&lt;&gt;"")*ISNUMBER(SEARCH(실물목록!$Q$2:$Q$1001,I1121))*(실물목록!$R$2:$R$1001="")*(실물목록!$O$2:$O$1001&lt;&gt;"")*(실물목록!$O$2:$O$1001=H1121)))</f>
      </c>
      <c r="H1121" t="str">
        <f>IFERROR(IF(AND(LEN(SUBSTITUTE(SUBSTITUTE(SUBSTITUTE(TRIM(A1121&amp;""),CHAR(160),"")," ",""),"년",""))=4,VALUE(SUBSTITUTE(SUBSTITUTE(SUBSTITUTE(TRIM(A1121&amp;""),CHAR(160),"")," ",""),"년",""))&gt;=1900,VALUE(SUBSTITUTE(SUBSTITUTE(SUBSTITUTE(TRIM(A1121&amp;""),CHAR(160),"")," ",""),"년",""))&lt;=2099,TEXT(VALUE(SUBSTITUTE(SUBSTITUTE(SUBSTITUTE(TRIM(A1121&amp;""),CHAR(160),"")," ",""),"년","")),"0000")=SUBSTITUTE(SUBSTITUTE(SUBSTITUTE(TRIM(A1121&amp;""),CHAR(160),"")," ",""),"년","")),SUBSTITUTE(SUBSTITUTE(SUBSTITUTE(TRIM(A1121&amp;""),CHAR(160),"")," ",""),"년",""),""),"")</f>
      </c>
      <c r="I1121" t="str">
        <f>SUBSTITUTE(SUBSTITUTE(SUBSTITUTE(SUBSTITUTE(SUBSTITUTE(TRIM(B1121&amp;""),CHAR(160),"")," ",""),"초등학교","초"),"중학교","중"),"고등학교","고")</f>
      </c>
    </row>
    <row r="1122" customFormat="false" ht="15" hidden="false" customHeight="false" outlineLevel="0" collapsed="false">
      <c r="A1122" s="8"/>
      <c r="B1122" s="8"/>
      <c r="C1122" s="8"/>
      <c r="D1122" s="8"/>
      <c r="E1122" s="8"/>
      <c r="F1122" t="str" s="15">
        <f aca="0">IF(B1122="","",IF(H1122="","확인필요(입력누락)",IF(SUMPRODUCT((실물목록!$P$2:$P$1001&lt;&gt;"")*ISNUMBER(SEARCH(실물목록!$P$2:$P$1001,I1122))*(실물목록!$Q$2:$Q$1001&lt;&gt;"")*ISNUMBER(SEARCH(실물목록!$Q$2:$Q$1001,I1122))*(실물목록!$R$2:$R$1001="")*(실물목록!$O$2:$O$1001&lt;&gt;"")*(실물목록!$O$2:$O$1001=H1122))&gt;0,"실물 있음",IF(SUMPRODUCT((실물목록!$P$2:$P$1001&lt;&gt;"")*ISNUMBER(SEARCH(실물목록!$P$2:$P$1001,I1122))*(실물목록!$R$2:$R$1001&lt;&gt;""))&gt;0,"확인필요(입력누락)",IF(SUMPRODUCT((실물목록!$P$2:$P$1001&lt;&gt;"")*ISNUMBER(SEARCH(실물목록!$P$2:$P$1001,I1122))*(실물목록!$Q$2:$Q$1001&lt;&gt;"")*ISNUMBER(SEARCH(실물목록!$Q$2:$Q$1001,I1122))*(실물목록!$R$2:$R$1001="")*(실물목록!$O$2:$O$1001&lt;&gt;""))&gt;0,"확인필요(연도다름)","실물 없음")))))</f>
      </c>
      <c r="G1122" t="n" s="16">
        <f aca="0">IF(B1122="","",SUMPRODUCT((실물목록!$P$2:$P$1001&lt;&gt;"")*ISNUMBER(SEARCH(실물목록!$P$2:$P$1001,I1122))*(실물목록!$Q$2:$Q$1001&lt;&gt;"")*ISNUMBER(SEARCH(실물목록!$Q$2:$Q$1001,I1122))*(실물목록!$R$2:$R$1001="")*(실물목록!$O$2:$O$1001&lt;&gt;"")*(실물목록!$O$2:$O$1001=H1122)))</f>
      </c>
      <c r="H1122" t="str">
        <f>IFERROR(IF(AND(LEN(SUBSTITUTE(SUBSTITUTE(SUBSTITUTE(TRIM(A1122&amp;""),CHAR(160),"")," ",""),"년",""))=4,VALUE(SUBSTITUTE(SUBSTITUTE(SUBSTITUTE(TRIM(A1122&amp;""),CHAR(160),"")," ",""),"년",""))&gt;=1900,VALUE(SUBSTITUTE(SUBSTITUTE(SUBSTITUTE(TRIM(A1122&amp;""),CHAR(160),"")," ",""),"년",""))&lt;=2099,TEXT(VALUE(SUBSTITUTE(SUBSTITUTE(SUBSTITUTE(TRIM(A1122&amp;""),CHAR(160),"")," ",""),"년","")),"0000")=SUBSTITUTE(SUBSTITUTE(SUBSTITUTE(TRIM(A1122&amp;""),CHAR(160),"")," ",""),"년","")),SUBSTITUTE(SUBSTITUTE(SUBSTITUTE(TRIM(A1122&amp;""),CHAR(160),"")," ",""),"년",""),""),"")</f>
      </c>
      <c r="I1122" t="str">
        <f>SUBSTITUTE(SUBSTITUTE(SUBSTITUTE(SUBSTITUTE(SUBSTITUTE(TRIM(B1122&amp;""),CHAR(160),"")," ",""),"초등학교","초"),"중학교","중"),"고등학교","고")</f>
      </c>
    </row>
    <row r="1123" customFormat="false" ht="15" hidden="false" customHeight="false" outlineLevel="0" collapsed="false">
      <c r="A1123" s="8"/>
      <c r="B1123" s="8"/>
      <c r="C1123" s="8"/>
      <c r="D1123" s="8"/>
      <c r="E1123" s="8"/>
      <c r="F1123" t="str" s="15">
        <f aca="0">IF(B1123="","",IF(H1123="","확인필요(입력누락)",IF(SUMPRODUCT((실물목록!$P$2:$P$1001&lt;&gt;"")*ISNUMBER(SEARCH(실물목록!$P$2:$P$1001,I1123))*(실물목록!$Q$2:$Q$1001&lt;&gt;"")*ISNUMBER(SEARCH(실물목록!$Q$2:$Q$1001,I1123))*(실물목록!$R$2:$R$1001="")*(실물목록!$O$2:$O$1001&lt;&gt;"")*(실물목록!$O$2:$O$1001=H1123))&gt;0,"실물 있음",IF(SUMPRODUCT((실물목록!$P$2:$P$1001&lt;&gt;"")*ISNUMBER(SEARCH(실물목록!$P$2:$P$1001,I1123))*(실물목록!$R$2:$R$1001&lt;&gt;""))&gt;0,"확인필요(입력누락)",IF(SUMPRODUCT((실물목록!$P$2:$P$1001&lt;&gt;"")*ISNUMBER(SEARCH(실물목록!$P$2:$P$1001,I1123))*(실물목록!$Q$2:$Q$1001&lt;&gt;"")*ISNUMBER(SEARCH(실물목록!$Q$2:$Q$1001,I1123))*(실물목록!$R$2:$R$1001="")*(실물목록!$O$2:$O$1001&lt;&gt;""))&gt;0,"확인필요(연도다름)","실물 없음")))))</f>
      </c>
      <c r="G1123" t="n" s="16">
        <f aca="0">IF(B1123="","",SUMPRODUCT((실물목록!$P$2:$P$1001&lt;&gt;"")*ISNUMBER(SEARCH(실물목록!$P$2:$P$1001,I1123))*(실물목록!$Q$2:$Q$1001&lt;&gt;"")*ISNUMBER(SEARCH(실물목록!$Q$2:$Q$1001,I1123))*(실물목록!$R$2:$R$1001="")*(실물목록!$O$2:$O$1001&lt;&gt;"")*(실물목록!$O$2:$O$1001=H1123)))</f>
      </c>
      <c r="H1123" t="str">
        <f>IFERROR(IF(AND(LEN(SUBSTITUTE(SUBSTITUTE(SUBSTITUTE(TRIM(A1123&amp;""),CHAR(160),"")," ",""),"년",""))=4,VALUE(SUBSTITUTE(SUBSTITUTE(SUBSTITUTE(TRIM(A1123&amp;""),CHAR(160),"")," ",""),"년",""))&gt;=1900,VALUE(SUBSTITUTE(SUBSTITUTE(SUBSTITUTE(TRIM(A1123&amp;""),CHAR(160),"")," ",""),"년",""))&lt;=2099,TEXT(VALUE(SUBSTITUTE(SUBSTITUTE(SUBSTITUTE(TRIM(A1123&amp;""),CHAR(160),"")," ",""),"년","")),"0000")=SUBSTITUTE(SUBSTITUTE(SUBSTITUTE(TRIM(A1123&amp;""),CHAR(160),"")," ",""),"년","")),SUBSTITUTE(SUBSTITUTE(SUBSTITUTE(TRIM(A1123&amp;""),CHAR(160),"")," ",""),"년",""),""),"")</f>
      </c>
      <c r="I1123" t="str">
        <f>SUBSTITUTE(SUBSTITUTE(SUBSTITUTE(SUBSTITUTE(SUBSTITUTE(TRIM(B1123&amp;""),CHAR(160),"")," ",""),"초등학교","초"),"중학교","중"),"고등학교","고")</f>
      </c>
    </row>
    <row r="1124" customFormat="false" ht="15" hidden="false" customHeight="false" outlineLevel="0" collapsed="false">
      <c r="A1124" s="8"/>
      <c r="B1124" s="8"/>
      <c r="C1124" s="8"/>
      <c r="D1124" s="8"/>
      <c r="E1124" s="8"/>
      <c r="F1124" t="str" s="15">
        <f aca="0">IF(B1124="","",IF(H1124="","확인필요(입력누락)",IF(SUMPRODUCT((실물목록!$P$2:$P$1001&lt;&gt;"")*ISNUMBER(SEARCH(실물목록!$P$2:$P$1001,I1124))*(실물목록!$Q$2:$Q$1001&lt;&gt;"")*ISNUMBER(SEARCH(실물목록!$Q$2:$Q$1001,I1124))*(실물목록!$R$2:$R$1001="")*(실물목록!$O$2:$O$1001&lt;&gt;"")*(실물목록!$O$2:$O$1001=H1124))&gt;0,"실물 있음",IF(SUMPRODUCT((실물목록!$P$2:$P$1001&lt;&gt;"")*ISNUMBER(SEARCH(실물목록!$P$2:$P$1001,I1124))*(실물목록!$R$2:$R$1001&lt;&gt;""))&gt;0,"확인필요(입력누락)",IF(SUMPRODUCT((실물목록!$P$2:$P$1001&lt;&gt;"")*ISNUMBER(SEARCH(실물목록!$P$2:$P$1001,I1124))*(실물목록!$Q$2:$Q$1001&lt;&gt;"")*ISNUMBER(SEARCH(실물목록!$Q$2:$Q$1001,I1124))*(실물목록!$R$2:$R$1001="")*(실물목록!$O$2:$O$1001&lt;&gt;""))&gt;0,"확인필요(연도다름)","실물 없음")))))</f>
      </c>
      <c r="G1124" t="n" s="16">
        <f aca="0">IF(B1124="","",SUMPRODUCT((실물목록!$P$2:$P$1001&lt;&gt;"")*ISNUMBER(SEARCH(실물목록!$P$2:$P$1001,I1124))*(실물목록!$Q$2:$Q$1001&lt;&gt;"")*ISNUMBER(SEARCH(실물목록!$Q$2:$Q$1001,I1124))*(실물목록!$R$2:$R$1001="")*(실물목록!$O$2:$O$1001&lt;&gt;"")*(실물목록!$O$2:$O$1001=H1124)))</f>
      </c>
      <c r="H1124" t="str">
        <f>IFERROR(IF(AND(LEN(SUBSTITUTE(SUBSTITUTE(SUBSTITUTE(TRIM(A1124&amp;""),CHAR(160),"")," ",""),"년",""))=4,VALUE(SUBSTITUTE(SUBSTITUTE(SUBSTITUTE(TRIM(A1124&amp;""),CHAR(160),"")," ",""),"년",""))&gt;=1900,VALUE(SUBSTITUTE(SUBSTITUTE(SUBSTITUTE(TRIM(A1124&amp;""),CHAR(160),"")," ",""),"년",""))&lt;=2099,TEXT(VALUE(SUBSTITUTE(SUBSTITUTE(SUBSTITUTE(TRIM(A1124&amp;""),CHAR(160),"")," ",""),"년","")),"0000")=SUBSTITUTE(SUBSTITUTE(SUBSTITUTE(TRIM(A1124&amp;""),CHAR(160),"")," ",""),"년","")),SUBSTITUTE(SUBSTITUTE(SUBSTITUTE(TRIM(A1124&amp;""),CHAR(160),"")," ",""),"년",""),""),"")</f>
      </c>
      <c r="I1124" t="str">
        <f>SUBSTITUTE(SUBSTITUTE(SUBSTITUTE(SUBSTITUTE(SUBSTITUTE(TRIM(B1124&amp;""),CHAR(160),"")," ",""),"초등학교","초"),"중학교","중"),"고등학교","고")</f>
      </c>
    </row>
    <row r="1125" customFormat="false" ht="15" hidden="false" customHeight="false" outlineLevel="0" collapsed="false">
      <c r="A1125" s="8"/>
      <c r="B1125" s="8"/>
      <c r="C1125" s="8"/>
      <c r="D1125" s="8"/>
      <c r="E1125" s="8"/>
      <c r="F1125" t="str" s="15">
        <f aca="0">IF(B1125="","",IF(H1125="","확인필요(입력누락)",IF(SUMPRODUCT((실물목록!$P$2:$P$1001&lt;&gt;"")*ISNUMBER(SEARCH(실물목록!$P$2:$P$1001,I1125))*(실물목록!$Q$2:$Q$1001&lt;&gt;"")*ISNUMBER(SEARCH(실물목록!$Q$2:$Q$1001,I1125))*(실물목록!$R$2:$R$1001="")*(실물목록!$O$2:$O$1001&lt;&gt;"")*(실물목록!$O$2:$O$1001=H1125))&gt;0,"실물 있음",IF(SUMPRODUCT((실물목록!$P$2:$P$1001&lt;&gt;"")*ISNUMBER(SEARCH(실물목록!$P$2:$P$1001,I1125))*(실물목록!$R$2:$R$1001&lt;&gt;""))&gt;0,"확인필요(입력누락)",IF(SUMPRODUCT((실물목록!$P$2:$P$1001&lt;&gt;"")*ISNUMBER(SEARCH(실물목록!$P$2:$P$1001,I1125))*(실물목록!$Q$2:$Q$1001&lt;&gt;"")*ISNUMBER(SEARCH(실물목록!$Q$2:$Q$1001,I1125))*(실물목록!$R$2:$R$1001="")*(실물목록!$O$2:$O$1001&lt;&gt;""))&gt;0,"확인필요(연도다름)","실물 없음")))))</f>
      </c>
      <c r="G1125" t="n" s="16">
        <f aca="0">IF(B1125="","",SUMPRODUCT((실물목록!$P$2:$P$1001&lt;&gt;"")*ISNUMBER(SEARCH(실물목록!$P$2:$P$1001,I1125))*(실물목록!$Q$2:$Q$1001&lt;&gt;"")*ISNUMBER(SEARCH(실물목록!$Q$2:$Q$1001,I1125))*(실물목록!$R$2:$R$1001="")*(실물목록!$O$2:$O$1001&lt;&gt;"")*(실물목록!$O$2:$O$1001=H1125)))</f>
      </c>
      <c r="H1125" t="str">
        <f>IFERROR(IF(AND(LEN(SUBSTITUTE(SUBSTITUTE(SUBSTITUTE(TRIM(A1125&amp;""),CHAR(160),"")," ",""),"년",""))=4,VALUE(SUBSTITUTE(SUBSTITUTE(SUBSTITUTE(TRIM(A1125&amp;""),CHAR(160),"")," ",""),"년",""))&gt;=1900,VALUE(SUBSTITUTE(SUBSTITUTE(SUBSTITUTE(TRIM(A1125&amp;""),CHAR(160),"")," ",""),"년",""))&lt;=2099,TEXT(VALUE(SUBSTITUTE(SUBSTITUTE(SUBSTITUTE(TRIM(A1125&amp;""),CHAR(160),"")," ",""),"년","")),"0000")=SUBSTITUTE(SUBSTITUTE(SUBSTITUTE(TRIM(A1125&amp;""),CHAR(160),"")," ",""),"년","")),SUBSTITUTE(SUBSTITUTE(SUBSTITUTE(TRIM(A1125&amp;""),CHAR(160),"")," ",""),"년",""),""),"")</f>
      </c>
      <c r="I1125" t="str">
        <f>SUBSTITUTE(SUBSTITUTE(SUBSTITUTE(SUBSTITUTE(SUBSTITUTE(TRIM(B1125&amp;""),CHAR(160),"")," ",""),"초등학교","초"),"중학교","중"),"고등학교","고")</f>
      </c>
    </row>
    <row r="1126" customFormat="false" ht="15" hidden="false" customHeight="false" outlineLevel="0" collapsed="false">
      <c r="A1126" s="8"/>
      <c r="B1126" s="8"/>
      <c r="C1126" s="8"/>
      <c r="D1126" s="8"/>
      <c r="E1126" s="8"/>
      <c r="F1126" t="str" s="15">
        <f aca="0">IF(B1126="","",IF(H1126="","확인필요(입력누락)",IF(SUMPRODUCT((실물목록!$P$2:$P$1001&lt;&gt;"")*ISNUMBER(SEARCH(실물목록!$P$2:$P$1001,I1126))*(실물목록!$Q$2:$Q$1001&lt;&gt;"")*ISNUMBER(SEARCH(실물목록!$Q$2:$Q$1001,I1126))*(실물목록!$R$2:$R$1001="")*(실물목록!$O$2:$O$1001&lt;&gt;"")*(실물목록!$O$2:$O$1001=H1126))&gt;0,"실물 있음",IF(SUMPRODUCT((실물목록!$P$2:$P$1001&lt;&gt;"")*ISNUMBER(SEARCH(실물목록!$P$2:$P$1001,I1126))*(실물목록!$R$2:$R$1001&lt;&gt;""))&gt;0,"확인필요(입력누락)",IF(SUMPRODUCT((실물목록!$P$2:$P$1001&lt;&gt;"")*ISNUMBER(SEARCH(실물목록!$P$2:$P$1001,I1126))*(실물목록!$Q$2:$Q$1001&lt;&gt;"")*ISNUMBER(SEARCH(실물목록!$Q$2:$Q$1001,I1126))*(실물목록!$R$2:$R$1001="")*(실물목록!$O$2:$O$1001&lt;&gt;""))&gt;0,"확인필요(연도다름)","실물 없음")))))</f>
      </c>
      <c r="G1126" t="n" s="16">
        <f aca="0">IF(B1126="","",SUMPRODUCT((실물목록!$P$2:$P$1001&lt;&gt;"")*ISNUMBER(SEARCH(실물목록!$P$2:$P$1001,I1126))*(실물목록!$Q$2:$Q$1001&lt;&gt;"")*ISNUMBER(SEARCH(실물목록!$Q$2:$Q$1001,I1126))*(실물목록!$R$2:$R$1001="")*(실물목록!$O$2:$O$1001&lt;&gt;"")*(실물목록!$O$2:$O$1001=H1126)))</f>
      </c>
      <c r="H1126" t="str">
        <f>IFERROR(IF(AND(LEN(SUBSTITUTE(SUBSTITUTE(SUBSTITUTE(TRIM(A1126&amp;""),CHAR(160),"")," ",""),"년",""))=4,VALUE(SUBSTITUTE(SUBSTITUTE(SUBSTITUTE(TRIM(A1126&amp;""),CHAR(160),"")," ",""),"년",""))&gt;=1900,VALUE(SUBSTITUTE(SUBSTITUTE(SUBSTITUTE(TRIM(A1126&amp;""),CHAR(160),"")," ",""),"년",""))&lt;=2099,TEXT(VALUE(SUBSTITUTE(SUBSTITUTE(SUBSTITUTE(TRIM(A1126&amp;""),CHAR(160),"")," ",""),"년","")),"0000")=SUBSTITUTE(SUBSTITUTE(SUBSTITUTE(TRIM(A1126&amp;""),CHAR(160),"")," ",""),"년","")),SUBSTITUTE(SUBSTITUTE(SUBSTITUTE(TRIM(A1126&amp;""),CHAR(160),"")," ",""),"년",""),""),"")</f>
      </c>
      <c r="I1126" t="str">
        <f>SUBSTITUTE(SUBSTITUTE(SUBSTITUTE(SUBSTITUTE(SUBSTITUTE(TRIM(B1126&amp;""),CHAR(160),"")," ",""),"초등학교","초"),"중학교","중"),"고등학교","고")</f>
      </c>
    </row>
    <row r="1127" customFormat="false" ht="15" hidden="false" customHeight="false" outlineLevel="0" collapsed="false">
      <c r="A1127" s="8"/>
      <c r="B1127" s="8"/>
      <c r="C1127" s="8"/>
      <c r="D1127" s="8"/>
      <c r="E1127" s="8"/>
      <c r="F1127" t="str" s="15">
        <f aca="0">IF(B1127="","",IF(H1127="","확인필요(입력누락)",IF(SUMPRODUCT((실물목록!$P$2:$P$1001&lt;&gt;"")*ISNUMBER(SEARCH(실물목록!$P$2:$P$1001,I1127))*(실물목록!$Q$2:$Q$1001&lt;&gt;"")*ISNUMBER(SEARCH(실물목록!$Q$2:$Q$1001,I1127))*(실물목록!$R$2:$R$1001="")*(실물목록!$O$2:$O$1001&lt;&gt;"")*(실물목록!$O$2:$O$1001=H1127))&gt;0,"실물 있음",IF(SUMPRODUCT((실물목록!$P$2:$P$1001&lt;&gt;"")*ISNUMBER(SEARCH(실물목록!$P$2:$P$1001,I1127))*(실물목록!$R$2:$R$1001&lt;&gt;""))&gt;0,"확인필요(입력누락)",IF(SUMPRODUCT((실물목록!$P$2:$P$1001&lt;&gt;"")*ISNUMBER(SEARCH(실물목록!$P$2:$P$1001,I1127))*(실물목록!$Q$2:$Q$1001&lt;&gt;"")*ISNUMBER(SEARCH(실물목록!$Q$2:$Q$1001,I1127))*(실물목록!$R$2:$R$1001="")*(실물목록!$O$2:$O$1001&lt;&gt;""))&gt;0,"확인필요(연도다름)","실물 없음")))))</f>
      </c>
      <c r="G1127" t="n" s="16">
        <f aca="0">IF(B1127="","",SUMPRODUCT((실물목록!$P$2:$P$1001&lt;&gt;"")*ISNUMBER(SEARCH(실물목록!$P$2:$P$1001,I1127))*(실물목록!$Q$2:$Q$1001&lt;&gt;"")*ISNUMBER(SEARCH(실물목록!$Q$2:$Q$1001,I1127))*(실물목록!$R$2:$R$1001="")*(실물목록!$O$2:$O$1001&lt;&gt;"")*(실물목록!$O$2:$O$1001=H1127)))</f>
      </c>
      <c r="H1127" t="str">
        <f>IFERROR(IF(AND(LEN(SUBSTITUTE(SUBSTITUTE(SUBSTITUTE(TRIM(A1127&amp;""),CHAR(160),"")," ",""),"년",""))=4,VALUE(SUBSTITUTE(SUBSTITUTE(SUBSTITUTE(TRIM(A1127&amp;""),CHAR(160),"")," ",""),"년",""))&gt;=1900,VALUE(SUBSTITUTE(SUBSTITUTE(SUBSTITUTE(TRIM(A1127&amp;""),CHAR(160),"")," ",""),"년",""))&lt;=2099,TEXT(VALUE(SUBSTITUTE(SUBSTITUTE(SUBSTITUTE(TRIM(A1127&amp;""),CHAR(160),"")," ",""),"년","")),"0000")=SUBSTITUTE(SUBSTITUTE(SUBSTITUTE(TRIM(A1127&amp;""),CHAR(160),"")," ",""),"년","")),SUBSTITUTE(SUBSTITUTE(SUBSTITUTE(TRIM(A1127&amp;""),CHAR(160),"")," ",""),"년",""),""),"")</f>
      </c>
      <c r="I1127" t="str">
        <f>SUBSTITUTE(SUBSTITUTE(SUBSTITUTE(SUBSTITUTE(SUBSTITUTE(TRIM(B1127&amp;""),CHAR(160),"")," ",""),"초등학교","초"),"중학교","중"),"고등학교","고")</f>
      </c>
    </row>
    <row r="1128" customFormat="false" ht="15" hidden="false" customHeight="false" outlineLevel="0" collapsed="false">
      <c r="A1128" s="8"/>
      <c r="B1128" s="8"/>
      <c r="C1128" s="8"/>
      <c r="D1128" s="8"/>
      <c r="E1128" s="8"/>
      <c r="F1128" t="str" s="15">
        <f aca="0">IF(B1128="","",IF(H1128="","확인필요(입력누락)",IF(SUMPRODUCT((실물목록!$P$2:$P$1001&lt;&gt;"")*ISNUMBER(SEARCH(실물목록!$P$2:$P$1001,I1128))*(실물목록!$Q$2:$Q$1001&lt;&gt;"")*ISNUMBER(SEARCH(실물목록!$Q$2:$Q$1001,I1128))*(실물목록!$R$2:$R$1001="")*(실물목록!$O$2:$O$1001&lt;&gt;"")*(실물목록!$O$2:$O$1001=H1128))&gt;0,"실물 있음",IF(SUMPRODUCT((실물목록!$P$2:$P$1001&lt;&gt;"")*ISNUMBER(SEARCH(실물목록!$P$2:$P$1001,I1128))*(실물목록!$R$2:$R$1001&lt;&gt;""))&gt;0,"확인필요(입력누락)",IF(SUMPRODUCT((실물목록!$P$2:$P$1001&lt;&gt;"")*ISNUMBER(SEARCH(실물목록!$P$2:$P$1001,I1128))*(실물목록!$Q$2:$Q$1001&lt;&gt;"")*ISNUMBER(SEARCH(실물목록!$Q$2:$Q$1001,I1128))*(실물목록!$R$2:$R$1001="")*(실물목록!$O$2:$O$1001&lt;&gt;""))&gt;0,"확인필요(연도다름)","실물 없음")))))</f>
      </c>
      <c r="G1128" t="n" s="16">
        <f aca="0">IF(B1128="","",SUMPRODUCT((실물목록!$P$2:$P$1001&lt;&gt;"")*ISNUMBER(SEARCH(실물목록!$P$2:$P$1001,I1128))*(실물목록!$Q$2:$Q$1001&lt;&gt;"")*ISNUMBER(SEARCH(실물목록!$Q$2:$Q$1001,I1128))*(실물목록!$R$2:$R$1001="")*(실물목록!$O$2:$O$1001&lt;&gt;"")*(실물목록!$O$2:$O$1001=H1128)))</f>
      </c>
      <c r="H1128" t="str">
        <f>IFERROR(IF(AND(LEN(SUBSTITUTE(SUBSTITUTE(SUBSTITUTE(TRIM(A1128&amp;""),CHAR(160),"")," ",""),"년",""))=4,VALUE(SUBSTITUTE(SUBSTITUTE(SUBSTITUTE(TRIM(A1128&amp;""),CHAR(160),"")," ",""),"년",""))&gt;=1900,VALUE(SUBSTITUTE(SUBSTITUTE(SUBSTITUTE(TRIM(A1128&amp;""),CHAR(160),"")," ",""),"년",""))&lt;=2099,TEXT(VALUE(SUBSTITUTE(SUBSTITUTE(SUBSTITUTE(TRIM(A1128&amp;""),CHAR(160),"")," ",""),"년","")),"0000")=SUBSTITUTE(SUBSTITUTE(SUBSTITUTE(TRIM(A1128&amp;""),CHAR(160),"")," ",""),"년","")),SUBSTITUTE(SUBSTITUTE(SUBSTITUTE(TRIM(A1128&amp;""),CHAR(160),"")," ",""),"년",""),""),"")</f>
      </c>
      <c r="I1128" t="str">
        <f>SUBSTITUTE(SUBSTITUTE(SUBSTITUTE(SUBSTITUTE(SUBSTITUTE(TRIM(B1128&amp;""),CHAR(160),"")," ",""),"초등학교","초"),"중학교","중"),"고등학교","고")</f>
      </c>
    </row>
    <row r="1129" customFormat="false" ht="15" hidden="false" customHeight="false" outlineLevel="0" collapsed="false">
      <c r="A1129" s="8"/>
      <c r="B1129" s="8"/>
      <c r="C1129" s="8"/>
      <c r="D1129" s="8"/>
      <c r="E1129" s="8"/>
      <c r="F1129" t="str" s="15">
        <f aca="0">IF(B1129="","",IF(H1129="","확인필요(입력누락)",IF(SUMPRODUCT((실물목록!$P$2:$P$1001&lt;&gt;"")*ISNUMBER(SEARCH(실물목록!$P$2:$P$1001,I1129))*(실물목록!$Q$2:$Q$1001&lt;&gt;"")*ISNUMBER(SEARCH(실물목록!$Q$2:$Q$1001,I1129))*(실물목록!$R$2:$R$1001="")*(실물목록!$O$2:$O$1001&lt;&gt;"")*(실물목록!$O$2:$O$1001=H1129))&gt;0,"실물 있음",IF(SUMPRODUCT((실물목록!$P$2:$P$1001&lt;&gt;"")*ISNUMBER(SEARCH(실물목록!$P$2:$P$1001,I1129))*(실물목록!$R$2:$R$1001&lt;&gt;""))&gt;0,"확인필요(입력누락)",IF(SUMPRODUCT((실물목록!$P$2:$P$1001&lt;&gt;"")*ISNUMBER(SEARCH(실물목록!$P$2:$P$1001,I1129))*(실물목록!$Q$2:$Q$1001&lt;&gt;"")*ISNUMBER(SEARCH(실물목록!$Q$2:$Q$1001,I1129))*(실물목록!$R$2:$R$1001="")*(실물목록!$O$2:$O$1001&lt;&gt;""))&gt;0,"확인필요(연도다름)","실물 없음")))))</f>
      </c>
      <c r="G1129" t="n" s="16">
        <f aca="0">IF(B1129="","",SUMPRODUCT((실물목록!$P$2:$P$1001&lt;&gt;"")*ISNUMBER(SEARCH(실물목록!$P$2:$P$1001,I1129))*(실물목록!$Q$2:$Q$1001&lt;&gt;"")*ISNUMBER(SEARCH(실물목록!$Q$2:$Q$1001,I1129))*(실물목록!$R$2:$R$1001="")*(실물목록!$O$2:$O$1001&lt;&gt;"")*(실물목록!$O$2:$O$1001=H1129)))</f>
      </c>
      <c r="H1129" t="str">
        <f>IFERROR(IF(AND(LEN(SUBSTITUTE(SUBSTITUTE(SUBSTITUTE(TRIM(A1129&amp;""),CHAR(160),"")," ",""),"년",""))=4,VALUE(SUBSTITUTE(SUBSTITUTE(SUBSTITUTE(TRIM(A1129&amp;""),CHAR(160),"")," ",""),"년",""))&gt;=1900,VALUE(SUBSTITUTE(SUBSTITUTE(SUBSTITUTE(TRIM(A1129&amp;""),CHAR(160),"")," ",""),"년",""))&lt;=2099,TEXT(VALUE(SUBSTITUTE(SUBSTITUTE(SUBSTITUTE(TRIM(A1129&amp;""),CHAR(160),"")," ",""),"년","")),"0000")=SUBSTITUTE(SUBSTITUTE(SUBSTITUTE(TRIM(A1129&amp;""),CHAR(160),"")," ",""),"년","")),SUBSTITUTE(SUBSTITUTE(SUBSTITUTE(TRIM(A1129&amp;""),CHAR(160),"")," ",""),"년",""),""),"")</f>
      </c>
      <c r="I1129" t="str">
        <f>SUBSTITUTE(SUBSTITUTE(SUBSTITUTE(SUBSTITUTE(SUBSTITUTE(TRIM(B1129&amp;""),CHAR(160),"")," ",""),"초등학교","초"),"중학교","중"),"고등학교","고")</f>
      </c>
    </row>
    <row r="1130" customFormat="false" ht="15" hidden="false" customHeight="false" outlineLevel="0" collapsed="false">
      <c r="A1130" s="8"/>
      <c r="B1130" s="8"/>
      <c r="C1130" s="8"/>
      <c r="D1130" s="8"/>
      <c r="E1130" s="8"/>
      <c r="F1130" t="str" s="15">
        <f aca="0">IF(B1130="","",IF(H1130="","확인필요(입력누락)",IF(SUMPRODUCT((실물목록!$P$2:$P$1001&lt;&gt;"")*ISNUMBER(SEARCH(실물목록!$P$2:$P$1001,I1130))*(실물목록!$Q$2:$Q$1001&lt;&gt;"")*ISNUMBER(SEARCH(실물목록!$Q$2:$Q$1001,I1130))*(실물목록!$R$2:$R$1001="")*(실물목록!$O$2:$O$1001&lt;&gt;"")*(실물목록!$O$2:$O$1001=H1130))&gt;0,"실물 있음",IF(SUMPRODUCT((실물목록!$P$2:$P$1001&lt;&gt;"")*ISNUMBER(SEARCH(실물목록!$P$2:$P$1001,I1130))*(실물목록!$R$2:$R$1001&lt;&gt;""))&gt;0,"확인필요(입력누락)",IF(SUMPRODUCT((실물목록!$P$2:$P$1001&lt;&gt;"")*ISNUMBER(SEARCH(실물목록!$P$2:$P$1001,I1130))*(실물목록!$Q$2:$Q$1001&lt;&gt;"")*ISNUMBER(SEARCH(실물목록!$Q$2:$Q$1001,I1130))*(실물목록!$R$2:$R$1001="")*(실물목록!$O$2:$O$1001&lt;&gt;""))&gt;0,"확인필요(연도다름)","실물 없음")))))</f>
      </c>
      <c r="G1130" t="n" s="16">
        <f aca="0">IF(B1130="","",SUMPRODUCT((실물목록!$P$2:$P$1001&lt;&gt;"")*ISNUMBER(SEARCH(실물목록!$P$2:$P$1001,I1130))*(실물목록!$Q$2:$Q$1001&lt;&gt;"")*ISNUMBER(SEARCH(실물목록!$Q$2:$Q$1001,I1130))*(실물목록!$R$2:$R$1001="")*(실물목록!$O$2:$O$1001&lt;&gt;"")*(실물목록!$O$2:$O$1001=H1130)))</f>
      </c>
      <c r="H1130" t="str">
        <f>IFERROR(IF(AND(LEN(SUBSTITUTE(SUBSTITUTE(SUBSTITUTE(TRIM(A1130&amp;""),CHAR(160),"")," ",""),"년",""))=4,VALUE(SUBSTITUTE(SUBSTITUTE(SUBSTITUTE(TRIM(A1130&amp;""),CHAR(160),"")," ",""),"년",""))&gt;=1900,VALUE(SUBSTITUTE(SUBSTITUTE(SUBSTITUTE(TRIM(A1130&amp;""),CHAR(160),"")," ",""),"년",""))&lt;=2099,TEXT(VALUE(SUBSTITUTE(SUBSTITUTE(SUBSTITUTE(TRIM(A1130&amp;""),CHAR(160),"")," ",""),"년","")),"0000")=SUBSTITUTE(SUBSTITUTE(SUBSTITUTE(TRIM(A1130&amp;""),CHAR(160),"")," ",""),"년","")),SUBSTITUTE(SUBSTITUTE(SUBSTITUTE(TRIM(A1130&amp;""),CHAR(160),"")," ",""),"년",""),""),"")</f>
      </c>
      <c r="I1130" t="str">
        <f>SUBSTITUTE(SUBSTITUTE(SUBSTITUTE(SUBSTITUTE(SUBSTITUTE(TRIM(B1130&amp;""),CHAR(160),"")," ",""),"초등학교","초"),"중학교","중"),"고등학교","고")</f>
      </c>
    </row>
    <row r="1131" customFormat="false" ht="15" hidden="false" customHeight="false" outlineLevel="0" collapsed="false">
      <c r="A1131" s="8"/>
      <c r="B1131" s="8"/>
      <c r="C1131" s="8"/>
      <c r="D1131" s="8"/>
      <c r="E1131" s="8"/>
      <c r="F1131" t="str" s="15">
        <f aca="0">IF(B1131="","",IF(H1131="","확인필요(입력누락)",IF(SUMPRODUCT((실물목록!$P$2:$P$1001&lt;&gt;"")*ISNUMBER(SEARCH(실물목록!$P$2:$P$1001,I1131))*(실물목록!$Q$2:$Q$1001&lt;&gt;"")*ISNUMBER(SEARCH(실물목록!$Q$2:$Q$1001,I1131))*(실물목록!$R$2:$R$1001="")*(실물목록!$O$2:$O$1001&lt;&gt;"")*(실물목록!$O$2:$O$1001=H1131))&gt;0,"실물 있음",IF(SUMPRODUCT((실물목록!$P$2:$P$1001&lt;&gt;"")*ISNUMBER(SEARCH(실물목록!$P$2:$P$1001,I1131))*(실물목록!$R$2:$R$1001&lt;&gt;""))&gt;0,"확인필요(입력누락)",IF(SUMPRODUCT((실물목록!$P$2:$P$1001&lt;&gt;"")*ISNUMBER(SEARCH(실물목록!$P$2:$P$1001,I1131))*(실물목록!$Q$2:$Q$1001&lt;&gt;"")*ISNUMBER(SEARCH(실물목록!$Q$2:$Q$1001,I1131))*(실물목록!$R$2:$R$1001="")*(실물목록!$O$2:$O$1001&lt;&gt;""))&gt;0,"확인필요(연도다름)","실물 없음")))))</f>
      </c>
      <c r="G1131" t="n" s="16">
        <f aca="0">IF(B1131="","",SUMPRODUCT((실물목록!$P$2:$P$1001&lt;&gt;"")*ISNUMBER(SEARCH(실물목록!$P$2:$P$1001,I1131))*(실물목록!$Q$2:$Q$1001&lt;&gt;"")*ISNUMBER(SEARCH(실물목록!$Q$2:$Q$1001,I1131))*(실물목록!$R$2:$R$1001="")*(실물목록!$O$2:$O$1001&lt;&gt;"")*(실물목록!$O$2:$O$1001=H1131)))</f>
      </c>
      <c r="H1131" t="str">
        <f>IFERROR(IF(AND(LEN(SUBSTITUTE(SUBSTITUTE(SUBSTITUTE(TRIM(A1131&amp;""),CHAR(160),"")," ",""),"년",""))=4,VALUE(SUBSTITUTE(SUBSTITUTE(SUBSTITUTE(TRIM(A1131&amp;""),CHAR(160),"")," ",""),"년",""))&gt;=1900,VALUE(SUBSTITUTE(SUBSTITUTE(SUBSTITUTE(TRIM(A1131&amp;""),CHAR(160),"")," ",""),"년",""))&lt;=2099,TEXT(VALUE(SUBSTITUTE(SUBSTITUTE(SUBSTITUTE(TRIM(A1131&amp;""),CHAR(160),"")," ",""),"년","")),"0000")=SUBSTITUTE(SUBSTITUTE(SUBSTITUTE(TRIM(A1131&amp;""),CHAR(160),"")," ",""),"년","")),SUBSTITUTE(SUBSTITUTE(SUBSTITUTE(TRIM(A1131&amp;""),CHAR(160),"")," ",""),"년",""),""),"")</f>
      </c>
      <c r="I1131" t="str">
        <f>SUBSTITUTE(SUBSTITUTE(SUBSTITUTE(SUBSTITUTE(SUBSTITUTE(TRIM(B1131&amp;""),CHAR(160),"")," ",""),"초등학교","초"),"중학교","중"),"고등학교","고")</f>
      </c>
    </row>
    <row r="1132" customFormat="false" ht="15" hidden="false" customHeight="false" outlineLevel="0" collapsed="false">
      <c r="A1132" s="8"/>
      <c r="B1132" s="8"/>
      <c r="C1132" s="8"/>
      <c r="D1132" s="8"/>
      <c r="E1132" s="8"/>
      <c r="F1132" t="str" s="15">
        <f aca="0">IF(B1132="","",IF(H1132="","확인필요(입력누락)",IF(SUMPRODUCT((실물목록!$P$2:$P$1001&lt;&gt;"")*ISNUMBER(SEARCH(실물목록!$P$2:$P$1001,I1132))*(실물목록!$Q$2:$Q$1001&lt;&gt;"")*ISNUMBER(SEARCH(실물목록!$Q$2:$Q$1001,I1132))*(실물목록!$R$2:$R$1001="")*(실물목록!$O$2:$O$1001&lt;&gt;"")*(실물목록!$O$2:$O$1001=H1132))&gt;0,"실물 있음",IF(SUMPRODUCT((실물목록!$P$2:$P$1001&lt;&gt;"")*ISNUMBER(SEARCH(실물목록!$P$2:$P$1001,I1132))*(실물목록!$R$2:$R$1001&lt;&gt;""))&gt;0,"확인필요(입력누락)",IF(SUMPRODUCT((실물목록!$P$2:$P$1001&lt;&gt;"")*ISNUMBER(SEARCH(실물목록!$P$2:$P$1001,I1132))*(실물목록!$Q$2:$Q$1001&lt;&gt;"")*ISNUMBER(SEARCH(실물목록!$Q$2:$Q$1001,I1132))*(실물목록!$R$2:$R$1001="")*(실물목록!$O$2:$O$1001&lt;&gt;""))&gt;0,"확인필요(연도다름)","실물 없음")))))</f>
      </c>
      <c r="G1132" t="n" s="16">
        <f aca="0">IF(B1132="","",SUMPRODUCT((실물목록!$P$2:$P$1001&lt;&gt;"")*ISNUMBER(SEARCH(실물목록!$P$2:$P$1001,I1132))*(실물목록!$Q$2:$Q$1001&lt;&gt;"")*ISNUMBER(SEARCH(실물목록!$Q$2:$Q$1001,I1132))*(실물목록!$R$2:$R$1001="")*(실물목록!$O$2:$O$1001&lt;&gt;"")*(실물목록!$O$2:$O$1001=H1132)))</f>
      </c>
      <c r="H1132" t="str">
        <f>IFERROR(IF(AND(LEN(SUBSTITUTE(SUBSTITUTE(SUBSTITUTE(TRIM(A1132&amp;""),CHAR(160),"")," ",""),"년",""))=4,VALUE(SUBSTITUTE(SUBSTITUTE(SUBSTITUTE(TRIM(A1132&amp;""),CHAR(160),"")," ",""),"년",""))&gt;=1900,VALUE(SUBSTITUTE(SUBSTITUTE(SUBSTITUTE(TRIM(A1132&amp;""),CHAR(160),"")," ",""),"년",""))&lt;=2099,TEXT(VALUE(SUBSTITUTE(SUBSTITUTE(SUBSTITUTE(TRIM(A1132&amp;""),CHAR(160),"")," ",""),"년","")),"0000")=SUBSTITUTE(SUBSTITUTE(SUBSTITUTE(TRIM(A1132&amp;""),CHAR(160),"")," ",""),"년","")),SUBSTITUTE(SUBSTITUTE(SUBSTITUTE(TRIM(A1132&amp;""),CHAR(160),"")," ",""),"년",""),""),"")</f>
      </c>
      <c r="I1132" t="str">
        <f>SUBSTITUTE(SUBSTITUTE(SUBSTITUTE(SUBSTITUTE(SUBSTITUTE(TRIM(B1132&amp;""),CHAR(160),"")," ",""),"초등학교","초"),"중학교","중"),"고등학교","고")</f>
      </c>
    </row>
    <row r="1133" customFormat="false" ht="15" hidden="false" customHeight="false" outlineLevel="0" collapsed="false">
      <c r="A1133" s="8"/>
      <c r="B1133" s="8"/>
      <c r="C1133" s="8"/>
      <c r="D1133" s="8"/>
      <c r="E1133" s="8"/>
      <c r="F1133" t="str" s="15">
        <f aca="0">IF(B1133="","",IF(H1133="","확인필요(입력누락)",IF(SUMPRODUCT((실물목록!$P$2:$P$1001&lt;&gt;"")*ISNUMBER(SEARCH(실물목록!$P$2:$P$1001,I1133))*(실물목록!$Q$2:$Q$1001&lt;&gt;"")*ISNUMBER(SEARCH(실물목록!$Q$2:$Q$1001,I1133))*(실물목록!$R$2:$R$1001="")*(실물목록!$O$2:$O$1001&lt;&gt;"")*(실물목록!$O$2:$O$1001=H1133))&gt;0,"실물 있음",IF(SUMPRODUCT((실물목록!$P$2:$P$1001&lt;&gt;"")*ISNUMBER(SEARCH(실물목록!$P$2:$P$1001,I1133))*(실물목록!$R$2:$R$1001&lt;&gt;""))&gt;0,"확인필요(입력누락)",IF(SUMPRODUCT((실물목록!$P$2:$P$1001&lt;&gt;"")*ISNUMBER(SEARCH(실물목록!$P$2:$P$1001,I1133))*(실물목록!$Q$2:$Q$1001&lt;&gt;"")*ISNUMBER(SEARCH(실물목록!$Q$2:$Q$1001,I1133))*(실물목록!$R$2:$R$1001="")*(실물목록!$O$2:$O$1001&lt;&gt;""))&gt;0,"확인필요(연도다름)","실물 없음")))))</f>
      </c>
      <c r="G1133" t="n" s="16">
        <f aca="0">IF(B1133="","",SUMPRODUCT((실물목록!$P$2:$P$1001&lt;&gt;"")*ISNUMBER(SEARCH(실물목록!$P$2:$P$1001,I1133))*(실물목록!$Q$2:$Q$1001&lt;&gt;"")*ISNUMBER(SEARCH(실물목록!$Q$2:$Q$1001,I1133))*(실물목록!$R$2:$R$1001="")*(실물목록!$O$2:$O$1001&lt;&gt;"")*(실물목록!$O$2:$O$1001=H1133)))</f>
      </c>
      <c r="H1133" t="str">
        <f>IFERROR(IF(AND(LEN(SUBSTITUTE(SUBSTITUTE(SUBSTITUTE(TRIM(A1133&amp;""),CHAR(160),"")," ",""),"년",""))=4,VALUE(SUBSTITUTE(SUBSTITUTE(SUBSTITUTE(TRIM(A1133&amp;""),CHAR(160),"")," ",""),"년",""))&gt;=1900,VALUE(SUBSTITUTE(SUBSTITUTE(SUBSTITUTE(TRIM(A1133&amp;""),CHAR(160),"")," ",""),"년",""))&lt;=2099,TEXT(VALUE(SUBSTITUTE(SUBSTITUTE(SUBSTITUTE(TRIM(A1133&amp;""),CHAR(160),"")," ",""),"년","")),"0000")=SUBSTITUTE(SUBSTITUTE(SUBSTITUTE(TRIM(A1133&amp;""),CHAR(160),"")," ",""),"년","")),SUBSTITUTE(SUBSTITUTE(SUBSTITUTE(TRIM(A1133&amp;""),CHAR(160),"")," ",""),"년",""),""),"")</f>
      </c>
      <c r="I1133" t="str">
        <f>SUBSTITUTE(SUBSTITUTE(SUBSTITUTE(SUBSTITUTE(SUBSTITUTE(TRIM(B1133&amp;""),CHAR(160),"")," ",""),"초등학교","초"),"중학교","중"),"고등학교","고")</f>
      </c>
    </row>
    <row r="1134" customFormat="false" ht="15" hidden="false" customHeight="false" outlineLevel="0" collapsed="false">
      <c r="A1134" s="8"/>
      <c r="B1134" s="8"/>
      <c r="C1134" s="8"/>
      <c r="D1134" s="8"/>
      <c r="E1134" s="8"/>
      <c r="F1134" t="str" s="15">
        <f aca="0">IF(B1134="","",IF(H1134="","확인필요(입력누락)",IF(SUMPRODUCT((실물목록!$P$2:$P$1001&lt;&gt;"")*ISNUMBER(SEARCH(실물목록!$P$2:$P$1001,I1134))*(실물목록!$Q$2:$Q$1001&lt;&gt;"")*ISNUMBER(SEARCH(실물목록!$Q$2:$Q$1001,I1134))*(실물목록!$R$2:$R$1001="")*(실물목록!$O$2:$O$1001&lt;&gt;"")*(실물목록!$O$2:$O$1001=H1134))&gt;0,"실물 있음",IF(SUMPRODUCT((실물목록!$P$2:$P$1001&lt;&gt;"")*ISNUMBER(SEARCH(실물목록!$P$2:$P$1001,I1134))*(실물목록!$R$2:$R$1001&lt;&gt;""))&gt;0,"확인필요(입력누락)",IF(SUMPRODUCT((실물목록!$P$2:$P$1001&lt;&gt;"")*ISNUMBER(SEARCH(실물목록!$P$2:$P$1001,I1134))*(실물목록!$Q$2:$Q$1001&lt;&gt;"")*ISNUMBER(SEARCH(실물목록!$Q$2:$Q$1001,I1134))*(실물목록!$R$2:$R$1001="")*(실물목록!$O$2:$O$1001&lt;&gt;""))&gt;0,"확인필요(연도다름)","실물 없음")))))</f>
      </c>
      <c r="G1134" t="n" s="16">
        <f aca="0">IF(B1134="","",SUMPRODUCT((실물목록!$P$2:$P$1001&lt;&gt;"")*ISNUMBER(SEARCH(실물목록!$P$2:$P$1001,I1134))*(실물목록!$Q$2:$Q$1001&lt;&gt;"")*ISNUMBER(SEARCH(실물목록!$Q$2:$Q$1001,I1134))*(실물목록!$R$2:$R$1001="")*(실물목록!$O$2:$O$1001&lt;&gt;"")*(실물목록!$O$2:$O$1001=H1134)))</f>
      </c>
      <c r="H1134" t="str">
        <f>IFERROR(IF(AND(LEN(SUBSTITUTE(SUBSTITUTE(SUBSTITUTE(TRIM(A1134&amp;""),CHAR(160),"")," ",""),"년",""))=4,VALUE(SUBSTITUTE(SUBSTITUTE(SUBSTITUTE(TRIM(A1134&amp;""),CHAR(160),"")," ",""),"년",""))&gt;=1900,VALUE(SUBSTITUTE(SUBSTITUTE(SUBSTITUTE(TRIM(A1134&amp;""),CHAR(160),"")," ",""),"년",""))&lt;=2099,TEXT(VALUE(SUBSTITUTE(SUBSTITUTE(SUBSTITUTE(TRIM(A1134&amp;""),CHAR(160),"")," ",""),"년","")),"0000")=SUBSTITUTE(SUBSTITUTE(SUBSTITUTE(TRIM(A1134&amp;""),CHAR(160),"")," ",""),"년","")),SUBSTITUTE(SUBSTITUTE(SUBSTITUTE(TRIM(A1134&amp;""),CHAR(160),"")," ",""),"년",""),""),"")</f>
      </c>
      <c r="I1134" t="str">
        <f>SUBSTITUTE(SUBSTITUTE(SUBSTITUTE(SUBSTITUTE(SUBSTITUTE(TRIM(B1134&amp;""),CHAR(160),"")," ",""),"초등학교","초"),"중학교","중"),"고등학교","고")</f>
      </c>
    </row>
    <row r="1135" customFormat="false" ht="15" hidden="false" customHeight="false" outlineLevel="0" collapsed="false">
      <c r="A1135" s="8"/>
      <c r="B1135" s="8"/>
      <c r="C1135" s="8"/>
      <c r="D1135" s="8"/>
      <c r="E1135" s="8"/>
      <c r="F1135" t="str" s="15">
        <f aca="0">IF(B1135="","",IF(H1135="","확인필요(입력누락)",IF(SUMPRODUCT((실물목록!$P$2:$P$1001&lt;&gt;"")*ISNUMBER(SEARCH(실물목록!$P$2:$P$1001,I1135))*(실물목록!$Q$2:$Q$1001&lt;&gt;"")*ISNUMBER(SEARCH(실물목록!$Q$2:$Q$1001,I1135))*(실물목록!$R$2:$R$1001="")*(실물목록!$O$2:$O$1001&lt;&gt;"")*(실물목록!$O$2:$O$1001=H1135))&gt;0,"실물 있음",IF(SUMPRODUCT((실물목록!$P$2:$P$1001&lt;&gt;"")*ISNUMBER(SEARCH(실물목록!$P$2:$P$1001,I1135))*(실물목록!$R$2:$R$1001&lt;&gt;""))&gt;0,"확인필요(입력누락)",IF(SUMPRODUCT((실물목록!$P$2:$P$1001&lt;&gt;"")*ISNUMBER(SEARCH(실물목록!$P$2:$P$1001,I1135))*(실물목록!$Q$2:$Q$1001&lt;&gt;"")*ISNUMBER(SEARCH(실물목록!$Q$2:$Q$1001,I1135))*(실물목록!$R$2:$R$1001="")*(실물목록!$O$2:$O$1001&lt;&gt;""))&gt;0,"확인필요(연도다름)","실물 없음")))))</f>
      </c>
      <c r="G1135" t="n" s="16">
        <f aca="0">IF(B1135="","",SUMPRODUCT((실물목록!$P$2:$P$1001&lt;&gt;"")*ISNUMBER(SEARCH(실물목록!$P$2:$P$1001,I1135))*(실물목록!$Q$2:$Q$1001&lt;&gt;"")*ISNUMBER(SEARCH(실물목록!$Q$2:$Q$1001,I1135))*(실물목록!$R$2:$R$1001="")*(실물목록!$O$2:$O$1001&lt;&gt;"")*(실물목록!$O$2:$O$1001=H1135)))</f>
      </c>
      <c r="H1135" t="str">
        <f>IFERROR(IF(AND(LEN(SUBSTITUTE(SUBSTITUTE(SUBSTITUTE(TRIM(A1135&amp;""),CHAR(160),"")," ",""),"년",""))=4,VALUE(SUBSTITUTE(SUBSTITUTE(SUBSTITUTE(TRIM(A1135&amp;""),CHAR(160),"")," ",""),"년",""))&gt;=1900,VALUE(SUBSTITUTE(SUBSTITUTE(SUBSTITUTE(TRIM(A1135&amp;""),CHAR(160),"")," ",""),"년",""))&lt;=2099,TEXT(VALUE(SUBSTITUTE(SUBSTITUTE(SUBSTITUTE(TRIM(A1135&amp;""),CHAR(160),"")," ",""),"년","")),"0000")=SUBSTITUTE(SUBSTITUTE(SUBSTITUTE(TRIM(A1135&amp;""),CHAR(160),"")," ",""),"년","")),SUBSTITUTE(SUBSTITUTE(SUBSTITUTE(TRIM(A1135&amp;""),CHAR(160),"")," ",""),"년",""),""),"")</f>
      </c>
      <c r="I1135" t="str">
        <f>SUBSTITUTE(SUBSTITUTE(SUBSTITUTE(SUBSTITUTE(SUBSTITUTE(TRIM(B1135&amp;""),CHAR(160),"")," ",""),"초등학교","초"),"중학교","중"),"고등학교","고")</f>
      </c>
    </row>
    <row r="1136" customFormat="false" ht="15" hidden="false" customHeight="false" outlineLevel="0" collapsed="false">
      <c r="A1136" s="8"/>
      <c r="B1136" s="8"/>
      <c r="C1136" s="8"/>
      <c r="D1136" s="8"/>
      <c r="E1136" s="8"/>
      <c r="F1136" t="str" s="15">
        <f aca="0">IF(B1136="","",IF(H1136="","확인필요(입력누락)",IF(SUMPRODUCT((실물목록!$P$2:$P$1001&lt;&gt;"")*ISNUMBER(SEARCH(실물목록!$P$2:$P$1001,I1136))*(실물목록!$Q$2:$Q$1001&lt;&gt;"")*ISNUMBER(SEARCH(실물목록!$Q$2:$Q$1001,I1136))*(실물목록!$R$2:$R$1001="")*(실물목록!$O$2:$O$1001&lt;&gt;"")*(실물목록!$O$2:$O$1001=H1136))&gt;0,"실물 있음",IF(SUMPRODUCT((실물목록!$P$2:$P$1001&lt;&gt;"")*ISNUMBER(SEARCH(실물목록!$P$2:$P$1001,I1136))*(실물목록!$R$2:$R$1001&lt;&gt;""))&gt;0,"확인필요(입력누락)",IF(SUMPRODUCT((실물목록!$P$2:$P$1001&lt;&gt;"")*ISNUMBER(SEARCH(실물목록!$P$2:$P$1001,I1136))*(실물목록!$Q$2:$Q$1001&lt;&gt;"")*ISNUMBER(SEARCH(실물목록!$Q$2:$Q$1001,I1136))*(실물목록!$R$2:$R$1001="")*(실물목록!$O$2:$O$1001&lt;&gt;""))&gt;0,"확인필요(연도다름)","실물 없음")))))</f>
      </c>
      <c r="G1136" t="n" s="16">
        <f aca="0">IF(B1136="","",SUMPRODUCT((실물목록!$P$2:$P$1001&lt;&gt;"")*ISNUMBER(SEARCH(실물목록!$P$2:$P$1001,I1136))*(실물목록!$Q$2:$Q$1001&lt;&gt;"")*ISNUMBER(SEARCH(실물목록!$Q$2:$Q$1001,I1136))*(실물목록!$R$2:$R$1001="")*(실물목록!$O$2:$O$1001&lt;&gt;"")*(실물목록!$O$2:$O$1001=H1136)))</f>
      </c>
      <c r="H1136" t="str">
        <f>IFERROR(IF(AND(LEN(SUBSTITUTE(SUBSTITUTE(SUBSTITUTE(TRIM(A1136&amp;""),CHAR(160),"")," ",""),"년",""))=4,VALUE(SUBSTITUTE(SUBSTITUTE(SUBSTITUTE(TRIM(A1136&amp;""),CHAR(160),"")," ",""),"년",""))&gt;=1900,VALUE(SUBSTITUTE(SUBSTITUTE(SUBSTITUTE(TRIM(A1136&amp;""),CHAR(160),"")," ",""),"년",""))&lt;=2099,TEXT(VALUE(SUBSTITUTE(SUBSTITUTE(SUBSTITUTE(TRIM(A1136&amp;""),CHAR(160),"")," ",""),"년","")),"0000")=SUBSTITUTE(SUBSTITUTE(SUBSTITUTE(TRIM(A1136&amp;""),CHAR(160),"")," ",""),"년","")),SUBSTITUTE(SUBSTITUTE(SUBSTITUTE(TRIM(A1136&amp;""),CHAR(160),"")," ",""),"년",""),""),"")</f>
      </c>
      <c r="I1136" t="str">
        <f>SUBSTITUTE(SUBSTITUTE(SUBSTITUTE(SUBSTITUTE(SUBSTITUTE(TRIM(B1136&amp;""),CHAR(160),"")," ",""),"초등학교","초"),"중학교","중"),"고등학교","고")</f>
      </c>
    </row>
    <row r="1137" customFormat="false" ht="15" hidden="false" customHeight="false" outlineLevel="0" collapsed="false">
      <c r="A1137" s="8"/>
      <c r="B1137" s="8"/>
      <c r="C1137" s="8"/>
      <c r="D1137" s="8"/>
      <c r="E1137" s="8"/>
      <c r="F1137" t="str" s="15">
        <f aca="0">IF(B1137="","",IF(H1137="","확인필요(입력누락)",IF(SUMPRODUCT((실물목록!$P$2:$P$1001&lt;&gt;"")*ISNUMBER(SEARCH(실물목록!$P$2:$P$1001,I1137))*(실물목록!$Q$2:$Q$1001&lt;&gt;"")*ISNUMBER(SEARCH(실물목록!$Q$2:$Q$1001,I1137))*(실물목록!$R$2:$R$1001="")*(실물목록!$O$2:$O$1001&lt;&gt;"")*(실물목록!$O$2:$O$1001=H1137))&gt;0,"실물 있음",IF(SUMPRODUCT((실물목록!$P$2:$P$1001&lt;&gt;"")*ISNUMBER(SEARCH(실물목록!$P$2:$P$1001,I1137))*(실물목록!$R$2:$R$1001&lt;&gt;""))&gt;0,"확인필요(입력누락)",IF(SUMPRODUCT((실물목록!$P$2:$P$1001&lt;&gt;"")*ISNUMBER(SEARCH(실물목록!$P$2:$P$1001,I1137))*(실물목록!$Q$2:$Q$1001&lt;&gt;"")*ISNUMBER(SEARCH(실물목록!$Q$2:$Q$1001,I1137))*(실물목록!$R$2:$R$1001="")*(실물목록!$O$2:$O$1001&lt;&gt;""))&gt;0,"확인필요(연도다름)","실물 없음")))))</f>
      </c>
      <c r="G1137" t="n" s="16">
        <f aca="0">IF(B1137="","",SUMPRODUCT((실물목록!$P$2:$P$1001&lt;&gt;"")*ISNUMBER(SEARCH(실물목록!$P$2:$P$1001,I1137))*(실물목록!$Q$2:$Q$1001&lt;&gt;"")*ISNUMBER(SEARCH(실물목록!$Q$2:$Q$1001,I1137))*(실물목록!$R$2:$R$1001="")*(실물목록!$O$2:$O$1001&lt;&gt;"")*(실물목록!$O$2:$O$1001=H1137)))</f>
      </c>
      <c r="H1137" t="str">
        <f>IFERROR(IF(AND(LEN(SUBSTITUTE(SUBSTITUTE(SUBSTITUTE(TRIM(A1137&amp;""),CHAR(160),"")," ",""),"년",""))=4,VALUE(SUBSTITUTE(SUBSTITUTE(SUBSTITUTE(TRIM(A1137&amp;""),CHAR(160),"")," ",""),"년",""))&gt;=1900,VALUE(SUBSTITUTE(SUBSTITUTE(SUBSTITUTE(TRIM(A1137&amp;""),CHAR(160),"")," ",""),"년",""))&lt;=2099,TEXT(VALUE(SUBSTITUTE(SUBSTITUTE(SUBSTITUTE(TRIM(A1137&amp;""),CHAR(160),"")," ",""),"년","")),"0000")=SUBSTITUTE(SUBSTITUTE(SUBSTITUTE(TRIM(A1137&amp;""),CHAR(160),"")," ",""),"년","")),SUBSTITUTE(SUBSTITUTE(SUBSTITUTE(TRIM(A1137&amp;""),CHAR(160),"")," ",""),"년",""),""),"")</f>
      </c>
      <c r="I1137" t="str">
        <f>SUBSTITUTE(SUBSTITUTE(SUBSTITUTE(SUBSTITUTE(SUBSTITUTE(TRIM(B1137&amp;""),CHAR(160),"")," ",""),"초등학교","초"),"중학교","중"),"고등학교","고")</f>
      </c>
    </row>
    <row r="1138" customFormat="false" ht="15" hidden="false" customHeight="false" outlineLevel="0" collapsed="false">
      <c r="A1138" s="8"/>
      <c r="B1138" s="8"/>
      <c r="C1138" s="8"/>
      <c r="D1138" s="8"/>
      <c r="E1138" s="8"/>
      <c r="F1138" t="str" s="15">
        <f aca="0">IF(B1138="","",IF(H1138="","확인필요(입력누락)",IF(SUMPRODUCT((실물목록!$P$2:$P$1001&lt;&gt;"")*ISNUMBER(SEARCH(실물목록!$P$2:$P$1001,I1138))*(실물목록!$Q$2:$Q$1001&lt;&gt;"")*ISNUMBER(SEARCH(실물목록!$Q$2:$Q$1001,I1138))*(실물목록!$R$2:$R$1001="")*(실물목록!$O$2:$O$1001&lt;&gt;"")*(실물목록!$O$2:$O$1001=H1138))&gt;0,"실물 있음",IF(SUMPRODUCT((실물목록!$P$2:$P$1001&lt;&gt;"")*ISNUMBER(SEARCH(실물목록!$P$2:$P$1001,I1138))*(실물목록!$R$2:$R$1001&lt;&gt;""))&gt;0,"확인필요(입력누락)",IF(SUMPRODUCT((실물목록!$P$2:$P$1001&lt;&gt;"")*ISNUMBER(SEARCH(실물목록!$P$2:$P$1001,I1138))*(실물목록!$Q$2:$Q$1001&lt;&gt;"")*ISNUMBER(SEARCH(실물목록!$Q$2:$Q$1001,I1138))*(실물목록!$R$2:$R$1001="")*(실물목록!$O$2:$O$1001&lt;&gt;""))&gt;0,"확인필요(연도다름)","실물 없음")))))</f>
      </c>
      <c r="G1138" t="n" s="16">
        <f aca="0">IF(B1138="","",SUMPRODUCT((실물목록!$P$2:$P$1001&lt;&gt;"")*ISNUMBER(SEARCH(실물목록!$P$2:$P$1001,I1138))*(실물목록!$Q$2:$Q$1001&lt;&gt;"")*ISNUMBER(SEARCH(실물목록!$Q$2:$Q$1001,I1138))*(실물목록!$R$2:$R$1001="")*(실물목록!$O$2:$O$1001&lt;&gt;"")*(실물목록!$O$2:$O$1001=H1138)))</f>
      </c>
      <c r="H1138" t="str">
        <f>IFERROR(IF(AND(LEN(SUBSTITUTE(SUBSTITUTE(SUBSTITUTE(TRIM(A1138&amp;""),CHAR(160),"")," ",""),"년",""))=4,VALUE(SUBSTITUTE(SUBSTITUTE(SUBSTITUTE(TRIM(A1138&amp;""),CHAR(160),"")," ",""),"년",""))&gt;=1900,VALUE(SUBSTITUTE(SUBSTITUTE(SUBSTITUTE(TRIM(A1138&amp;""),CHAR(160),"")," ",""),"년",""))&lt;=2099,TEXT(VALUE(SUBSTITUTE(SUBSTITUTE(SUBSTITUTE(TRIM(A1138&amp;""),CHAR(160),"")," ",""),"년","")),"0000")=SUBSTITUTE(SUBSTITUTE(SUBSTITUTE(TRIM(A1138&amp;""),CHAR(160),"")," ",""),"년","")),SUBSTITUTE(SUBSTITUTE(SUBSTITUTE(TRIM(A1138&amp;""),CHAR(160),"")," ",""),"년",""),""),"")</f>
      </c>
      <c r="I1138" t="str">
        <f>SUBSTITUTE(SUBSTITUTE(SUBSTITUTE(SUBSTITUTE(SUBSTITUTE(TRIM(B1138&amp;""),CHAR(160),"")," ",""),"초등학교","초"),"중학교","중"),"고등학교","고")</f>
      </c>
    </row>
    <row r="1139" customFormat="false" ht="15" hidden="false" customHeight="false" outlineLevel="0" collapsed="false">
      <c r="A1139" s="8"/>
      <c r="B1139" s="8"/>
      <c r="C1139" s="8"/>
      <c r="D1139" s="8"/>
      <c r="E1139" s="8"/>
      <c r="F1139" t="str" s="15">
        <f aca="0">IF(B1139="","",IF(H1139="","확인필요(입력누락)",IF(SUMPRODUCT((실물목록!$P$2:$P$1001&lt;&gt;"")*ISNUMBER(SEARCH(실물목록!$P$2:$P$1001,I1139))*(실물목록!$Q$2:$Q$1001&lt;&gt;"")*ISNUMBER(SEARCH(실물목록!$Q$2:$Q$1001,I1139))*(실물목록!$R$2:$R$1001="")*(실물목록!$O$2:$O$1001&lt;&gt;"")*(실물목록!$O$2:$O$1001=H1139))&gt;0,"실물 있음",IF(SUMPRODUCT((실물목록!$P$2:$P$1001&lt;&gt;"")*ISNUMBER(SEARCH(실물목록!$P$2:$P$1001,I1139))*(실물목록!$R$2:$R$1001&lt;&gt;""))&gt;0,"확인필요(입력누락)",IF(SUMPRODUCT((실물목록!$P$2:$P$1001&lt;&gt;"")*ISNUMBER(SEARCH(실물목록!$P$2:$P$1001,I1139))*(실물목록!$Q$2:$Q$1001&lt;&gt;"")*ISNUMBER(SEARCH(실물목록!$Q$2:$Q$1001,I1139))*(실물목록!$R$2:$R$1001="")*(실물목록!$O$2:$O$1001&lt;&gt;""))&gt;0,"확인필요(연도다름)","실물 없음")))))</f>
      </c>
      <c r="G1139" t="n" s="16">
        <f aca="0">IF(B1139="","",SUMPRODUCT((실물목록!$P$2:$P$1001&lt;&gt;"")*ISNUMBER(SEARCH(실물목록!$P$2:$P$1001,I1139))*(실물목록!$Q$2:$Q$1001&lt;&gt;"")*ISNUMBER(SEARCH(실물목록!$Q$2:$Q$1001,I1139))*(실물목록!$R$2:$R$1001="")*(실물목록!$O$2:$O$1001&lt;&gt;"")*(실물목록!$O$2:$O$1001=H1139)))</f>
      </c>
      <c r="H1139" t="str">
        <f>IFERROR(IF(AND(LEN(SUBSTITUTE(SUBSTITUTE(SUBSTITUTE(TRIM(A1139&amp;""),CHAR(160),"")," ",""),"년",""))=4,VALUE(SUBSTITUTE(SUBSTITUTE(SUBSTITUTE(TRIM(A1139&amp;""),CHAR(160),"")," ",""),"년",""))&gt;=1900,VALUE(SUBSTITUTE(SUBSTITUTE(SUBSTITUTE(TRIM(A1139&amp;""),CHAR(160),"")," ",""),"년",""))&lt;=2099,TEXT(VALUE(SUBSTITUTE(SUBSTITUTE(SUBSTITUTE(TRIM(A1139&amp;""),CHAR(160),"")," ",""),"년","")),"0000")=SUBSTITUTE(SUBSTITUTE(SUBSTITUTE(TRIM(A1139&amp;""),CHAR(160),"")," ",""),"년","")),SUBSTITUTE(SUBSTITUTE(SUBSTITUTE(TRIM(A1139&amp;""),CHAR(160),"")," ",""),"년",""),""),"")</f>
      </c>
      <c r="I1139" t="str">
        <f>SUBSTITUTE(SUBSTITUTE(SUBSTITUTE(SUBSTITUTE(SUBSTITUTE(TRIM(B1139&amp;""),CHAR(160),"")," ",""),"초등학교","초"),"중학교","중"),"고등학교","고")</f>
      </c>
    </row>
    <row r="1140" customFormat="false" ht="15" hidden="false" customHeight="false" outlineLevel="0" collapsed="false">
      <c r="A1140" s="8"/>
      <c r="B1140" s="8"/>
      <c r="C1140" s="8"/>
      <c r="D1140" s="8"/>
      <c r="E1140" s="8"/>
      <c r="F1140" t="str" s="15">
        <f aca="0">IF(B1140="","",IF(H1140="","확인필요(입력누락)",IF(SUMPRODUCT((실물목록!$P$2:$P$1001&lt;&gt;"")*ISNUMBER(SEARCH(실물목록!$P$2:$P$1001,I1140))*(실물목록!$Q$2:$Q$1001&lt;&gt;"")*ISNUMBER(SEARCH(실물목록!$Q$2:$Q$1001,I1140))*(실물목록!$R$2:$R$1001="")*(실물목록!$O$2:$O$1001&lt;&gt;"")*(실물목록!$O$2:$O$1001=H1140))&gt;0,"실물 있음",IF(SUMPRODUCT((실물목록!$P$2:$P$1001&lt;&gt;"")*ISNUMBER(SEARCH(실물목록!$P$2:$P$1001,I1140))*(실물목록!$R$2:$R$1001&lt;&gt;""))&gt;0,"확인필요(입력누락)",IF(SUMPRODUCT((실물목록!$P$2:$P$1001&lt;&gt;"")*ISNUMBER(SEARCH(실물목록!$P$2:$P$1001,I1140))*(실물목록!$Q$2:$Q$1001&lt;&gt;"")*ISNUMBER(SEARCH(실물목록!$Q$2:$Q$1001,I1140))*(실물목록!$R$2:$R$1001="")*(실물목록!$O$2:$O$1001&lt;&gt;""))&gt;0,"확인필요(연도다름)","실물 없음")))))</f>
      </c>
      <c r="G1140" t="n" s="16">
        <f aca="0">IF(B1140="","",SUMPRODUCT((실물목록!$P$2:$P$1001&lt;&gt;"")*ISNUMBER(SEARCH(실물목록!$P$2:$P$1001,I1140))*(실물목록!$Q$2:$Q$1001&lt;&gt;"")*ISNUMBER(SEARCH(실물목록!$Q$2:$Q$1001,I1140))*(실물목록!$R$2:$R$1001="")*(실물목록!$O$2:$O$1001&lt;&gt;"")*(실물목록!$O$2:$O$1001=H1140)))</f>
      </c>
      <c r="H1140" t="str">
        <f>IFERROR(IF(AND(LEN(SUBSTITUTE(SUBSTITUTE(SUBSTITUTE(TRIM(A1140&amp;""),CHAR(160),"")," ",""),"년",""))=4,VALUE(SUBSTITUTE(SUBSTITUTE(SUBSTITUTE(TRIM(A1140&amp;""),CHAR(160),"")," ",""),"년",""))&gt;=1900,VALUE(SUBSTITUTE(SUBSTITUTE(SUBSTITUTE(TRIM(A1140&amp;""),CHAR(160),"")," ",""),"년",""))&lt;=2099,TEXT(VALUE(SUBSTITUTE(SUBSTITUTE(SUBSTITUTE(TRIM(A1140&amp;""),CHAR(160),"")," ",""),"년","")),"0000")=SUBSTITUTE(SUBSTITUTE(SUBSTITUTE(TRIM(A1140&amp;""),CHAR(160),"")," ",""),"년","")),SUBSTITUTE(SUBSTITUTE(SUBSTITUTE(TRIM(A1140&amp;""),CHAR(160),"")," ",""),"년",""),""),"")</f>
      </c>
      <c r="I1140" t="str">
        <f>SUBSTITUTE(SUBSTITUTE(SUBSTITUTE(SUBSTITUTE(SUBSTITUTE(TRIM(B1140&amp;""),CHAR(160),"")," ",""),"초등학교","초"),"중학교","중"),"고등학교","고")</f>
      </c>
    </row>
    <row r="1141" customFormat="false" ht="15" hidden="false" customHeight="false" outlineLevel="0" collapsed="false">
      <c r="A1141" s="8"/>
      <c r="B1141" s="8"/>
      <c r="C1141" s="8"/>
      <c r="D1141" s="8"/>
      <c r="E1141" s="8"/>
      <c r="F1141" t="str" s="15">
        <f aca="0">IF(B1141="","",IF(H1141="","확인필요(입력누락)",IF(SUMPRODUCT((실물목록!$P$2:$P$1001&lt;&gt;"")*ISNUMBER(SEARCH(실물목록!$P$2:$P$1001,I1141))*(실물목록!$Q$2:$Q$1001&lt;&gt;"")*ISNUMBER(SEARCH(실물목록!$Q$2:$Q$1001,I1141))*(실물목록!$R$2:$R$1001="")*(실물목록!$O$2:$O$1001&lt;&gt;"")*(실물목록!$O$2:$O$1001=H1141))&gt;0,"실물 있음",IF(SUMPRODUCT((실물목록!$P$2:$P$1001&lt;&gt;"")*ISNUMBER(SEARCH(실물목록!$P$2:$P$1001,I1141))*(실물목록!$R$2:$R$1001&lt;&gt;""))&gt;0,"확인필요(입력누락)",IF(SUMPRODUCT((실물목록!$P$2:$P$1001&lt;&gt;"")*ISNUMBER(SEARCH(실물목록!$P$2:$P$1001,I1141))*(실물목록!$Q$2:$Q$1001&lt;&gt;"")*ISNUMBER(SEARCH(실물목록!$Q$2:$Q$1001,I1141))*(실물목록!$R$2:$R$1001="")*(실물목록!$O$2:$O$1001&lt;&gt;""))&gt;0,"확인필요(연도다름)","실물 없음")))))</f>
      </c>
      <c r="G1141" t="n" s="16">
        <f aca="0">IF(B1141="","",SUMPRODUCT((실물목록!$P$2:$P$1001&lt;&gt;"")*ISNUMBER(SEARCH(실물목록!$P$2:$P$1001,I1141))*(실물목록!$Q$2:$Q$1001&lt;&gt;"")*ISNUMBER(SEARCH(실물목록!$Q$2:$Q$1001,I1141))*(실물목록!$R$2:$R$1001="")*(실물목록!$O$2:$O$1001&lt;&gt;"")*(실물목록!$O$2:$O$1001=H1141)))</f>
      </c>
      <c r="H1141" t="str">
        <f>IFERROR(IF(AND(LEN(SUBSTITUTE(SUBSTITUTE(SUBSTITUTE(TRIM(A1141&amp;""),CHAR(160),"")," ",""),"년",""))=4,VALUE(SUBSTITUTE(SUBSTITUTE(SUBSTITUTE(TRIM(A1141&amp;""),CHAR(160),"")," ",""),"년",""))&gt;=1900,VALUE(SUBSTITUTE(SUBSTITUTE(SUBSTITUTE(TRIM(A1141&amp;""),CHAR(160),"")," ",""),"년",""))&lt;=2099,TEXT(VALUE(SUBSTITUTE(SUBSTITUTE(SUBSTITUTE(TRIM(A1141&amp;""),CHAR(160),"")," ",""),"년","")),"0000")=SUBSTITUTE(SUBSTITUTE(SUBSTITUTE(TRIM(A1141&amp;""),CHAR(160),"")," ",""),"년","")),SUBSTITUTE(SUBSTITUTE(SUBSTITUTE(TRIM(A1141&amp;""),CHAR(160),"")," ",""),"년",""),""),"")</f>
      </c>
      <c r="I1141" t="str">
        <f>SUBSTITUTE(SUBSTITUTE(SUBSTITUTE(SUBSTITUTE(SUBSTITUTE(TRIM(B1141&amp;""),CHAR(160),"")," ",""),"초등학교","초"),"중학교","중"),"고등학교","고")</f>
      </c>
    </row>
    <row r="1142" customFormat="false" ht="15" hidden="false" customHeight="false" outlineLevel="0" collapsed="false">
      <c r="A1142" s="8"/>
      <c r="B1142" s="8"/>
      <c r="C1142" s="8"/>
      <c r="D1142" s="8"/>
      <c r="E1142" s="8"/>
      <c r="F1142" t="str" s="15">
        <f aca="0">IF(B1142="","",IF(H1142="","확인필요(입력누락)",IF(SUMPRODUCT((실물목록!$P$2:$P$1001&lt;&gt;"")*ISNUMBER(SEARCH(실물목록!$P$2:$P$1001,I1142))*(실물목록!$Q$2:$Q$1001&lt;&gt;"")*ISNUMBER(SEARCH(실물목록!$Q$2:$Q$1001,I1142))*(실물목록!$R$2:$R$1001="")*(실물목록!$O$2:$O$1001&lt;&gt;"")*(실물목록!$O$2:$O$1001=H1142))&gt;0,"실물 있음",IF(SUMPRODUCT((실물목록!$P$2:$P$1001&lt;&gt;"")*ISNUMBER(SEARCH(실물목록!$P$2:$P$1001,I1142))*(실물목록!$R$2:$R$1001&lt;&gt;""))&gt;0,"확인필요(입력누락)",IF(SUMPRODUCT((실물목록!$P$2:$P$1001&lt;&gt;"")*ISNUMBER(SEARCH(실물목록!$P$2:$P$1001,I1142))*(실물목록!$Q$2:$Q$1001&lt;&gt;"")*ISNUMBER(SEARCH(실물목록!$Q$2:$Q$1001,I1142))*(실물목록!$R$2:$R$1001="")*(실물목록!$O$2:$O$1001&lt;&gt;""))&gt;0,"확인필요(연도다름)","실물 없음")))))</f>
      </c>
      <c r="G1142" t="n" s="16">
        <f aca="0">IF(B1142="","",SUMPRODUCT((실물목록!$P$2:$P$1001&lt;&gt;"")*ISNUMBER(SEARCH(실물목록!$P$2:$P$1001,I1142))*(실물목록!$Q$2:$Q$1001&lt;&gt;"")*ISNUMBER(SEARCH(실물목록!$Q$2:$Q$1001,I1142))*(실물목록!$R$2:$R$1001="")*(실물목록!$O$2:$O$1001&lt;&gt;"")*(실물목록!$O$2:$O$1001=H1142)))</f>
      </c>
      <c r="H1142" t="str">
        <f>IFERROR(IF(AND(LEN(SUBSTITUTE(SUBSTITUTE(SUBSTITUTE(TRIM(A1142&amp;""),CHAR(160),"")," ",""),"년",""))=4,VALUE(SUBSTITUTE(SUBSTITUTE(SUBSTITUTE(TRIM(A1142&amp;""),CHAR(160),"")," ",""),"년",""))&gt;=1900,VALUE(SUBSTITUTE(SUBSTITUTE(SUBSTITUTE(TRIM(A1142&amp;""),CHAR(160),"")," ",""),"년",""))&lt;=2099,TEXT(VALUE(SUBSTITUTE(SUBSTITUTE(SUBSTITUTE(TRIM(A1142&amp;""),CHAR(160),"")," ",""),"년","")),"0000")=SUBSTITUTE(SUBSTITUTE(SUBSTITUTE(TRIM(A1142&amp;""),CHAR(160),"")," ",""),"년","")),SUBSTITUTE(SUBSTITUTE(SUBSTITUTE(TRIM(A1142&amp;""),CHAR(160),"")," ",""),"년",""),""),"")</f>
      </c>
      <c r="I1142" t="str">
        <f>SUBSTITUTE(SUBSTITUTE(SUBSTITUTE(SUBSTITUTE(SUBSTITUTE(TRIM(B1142&amp;""),CHAR(160),"")," ",""),"초등학교","초"),"중학교","중"),"고등학교","고")</f>
      </c>
    </row>
    <row r="1143" customFormat="false" ht="15" hidden="false" customHeight="false" outlineLevel="0" collapsed="false">
      <c r="A1143" s="8"/>
      <c r="B1143" s="8"/>
      <c r="C1143" s="8"/>
      <c r="D1143" s="8"/>
      <c r="E1143" s="8"/>
      <c r="F1143" t="str" s="15">
        <f aca="0">IF(B1143="","",IF(H1143="","확인필요(입력누락)",IF(SUMPRODUCT((실물목록!$P$2:$P$1001&lt;&gt;"")*ISNUMBER(SEARCH(실물목록!$P$2:$P$1001,I1143))*(실물목록!$Q$2:$Q$1001&lt;&gt;"")*ISNUMBER(SEARCH(실물목록!$Q$2:$Q$1001,I1143))*(실물목록!$R$2:$R$1001="")*(실물목록!$O$2:$O$1001&lt;&gt;"")*(실물목록!$O$2:$O$1001=H1143))&gt;0,"실물 있음",IF(SUMPRODUCT((실물목록!$P$2:$P$1001&lt;&gt;"")*ISNUMBER(SEARCH(실물목록!$P$2:$P$1001,I1143))*(실물목록!$R$2:$R$1001&lt;&gt;""))&gt;0,"확인필요(입력누락)",IF(SUMPRODUCT((실물목록!$P$2:$P$1001&lt;&gt;"")*ISNUMBER(SEARCH(실물목록!$P$2:$P$1001,I1143))*(실물목록!$Q$2:$Q$1001&lt;&gt;"")*ISNUMBER(SEARCH(실물목록!$Q$2:$Q$1001,I1143))*(실물목록!$R$2:$R$1001="")*(실물목록!$O$2:$O$1001&lt;&gt;""))&gt;0,"확인필요(연도다름)","실물 없음")))))</f>
      </c>
      <c r="G1143" t="n" s="16">
        <f aca="0">IF(B1143="","",SUMPRODUCT((실물목록!$P$2:$P$1001&lt;&gt;"")*ISNUMBER(SEARCH(실물목록!$P$2:$P$1001,I1143))*(실물목록!$Q$2:$Q$1001&lt;&gt;"")*ISNUMBER(SEARCH(실물목록!$Q$2:$Q$1001,I1143))*(실물목록!$R$2:$R$1001="")*(실물목록!$O$2:$O$1001&lt;&gt;"")*(실물목록!$O$2:$O$1001=H1143)))</f>
      </c>
      <c r="H1143" t="str">
        <f>IFERROR(IF(AND(LEN(SUBSTITUTE(SUBSTITUTE(SUBSTITUTE(TRIM(A1143&amp;""),CHAR(160),"")," ",""),"년",""))=4,VALUE(SUBSTITUTE(SUBSTITUTE(SUBSTITUTE(TRIM(A1143&amp;""),CHAR(160),"")," ",""),"년",""))&gt;=1900,VALUE(SUBSTITUTE(SUBSTITUTE(SUBSTITUTE(TRIM(A1143&amp;""),CHAR(160),"")," ",""),"년",""))&lt;=2099,TEXT(VALUE(SUBSTITUTE(SUBSTITUTE(SUBSTITUTE(TRIM(A1143&amp;""),CHAR(160),"")," ",""),"년","")),"0000")=SUBSTITUTE(SUBSTITUTE(SUBSTITUTE(TRIM(A1143&amp;""),CHAR(160),"")," ",""),"년","")),SUBSTITUTE(SUBSTITUTE(SUBSTITUTE(TRIM(A1143&amp;""),CHAR(160),"")," ",""),"년",""),""),"")</f>
      </c>
      <c r="I1143" t="str">
        <f>SUBSTITUTE(SUBSTITUTE(SUBSTITUTE(SUBSTITUTE(SUBSTITUTE(TRIM(B1143&amp;""),CHAR(160),"")," ",""),"초등학교","초"),"중학교","중"),"고등학교","고")</f>
      </c>
    </row>
    <row r="1144" customFormat="false" ht="15" hidden="false" customHeight="false" outlineLevel="0" collapsed="false">
      <c r="A1144" s="8"/>
      <c r="B1144" s="8"/>
      <c r="C1144" s="8"/>
      <c r="D1144" s="8"/>
      <c r="E1144" s="8"/>
      <c r="F1144" t="str" s="15">
        <f aca="0">IF(B1144="","",IF(H1144="","확인필요(입력누락)",IF(SUMPRODUCT((실물목록!$P$2:$P$1001&lt;&gt;"")*ISNUMBER(SEARCH(실물목록!$P$2:$P$1001,I1144))*(실물목록!$Q$2:$Q$1001&lt;&gt;"")*ISNUMBER(SEARCH(실물목록!$Q$2:$Q$1001,I1144))*(실물목록!$R$2:$R$1001="")*(실물목록!$O$2:$O$1001&lt;&gt;"")*(실물목록!$O$2:$O$1001=H1144))&gt;0,"실물 있음",IF(SUMPRODUCT((실물목록!$P$2:$P$1001&lt;&gt;"")*ISNUMBER(SEARCH(실물목록!$P$2:$P$1001,I1144))*(실물목록!$R$2:$R$1001&lt;&gt;""))&gt;0,"확인필요(입력누락)",IF(SUMPRODUCT((실물목록!$P$2:$P$1001&lt;&gt;"")*ISNUMBER(SEARCH(실물목록!$P$2:$P$1001,I1144))*(실물목록!$Q$2:$Q$1001&lt;&gt;"")*ISNUMBER(SEARCH(실물목록!$Q$2:$Q$1001,I1144))*(실물목록!$R$2:$R$1001="")*(실물목록!$O$2:$O$1001&lt;&gt;""))&gt;0,"확인필요(연도다름)","실물 없음")))))</f>
      </c>
      <c r="G1144" t="n" s="16">
        <f aca="0">IF(B1144="","",SUMPRODUCT((실물목록!$P$2:$P$1001&lt;&gt;"")*ISNUMBER(SEARCH(실물목록!$P$2:$P$1001,I1144))*(실물목록!$Q$2:$Q$1001&lt;&gt;"")*ISNUMBER(SEARCH(실물목록!$Q$2:$Q$1001,I1144))*(실물목록!$R$2:$R$1001="")*(실물목록!$O$2:$O$1001&lt;&gt;"")*(실물목록!$O$2:$O$1001=H1144)))</f>
      </c>
      <c r="H1144" t="str">
        <f>IFERROR(IF(AND(LEN(SUBSTITUTE(SUBSTITUTE(SUBSTITUTE(TRIM(A1144&amp;""),CHAR(160),"")," ",""),"년",""))=4,VALUE(SUBSTITUTE(SUBSTITUTE(SUBSTITUTE(TRIM(A1144&amp;""),CHAR(160),"")," ",""),"년",""))&gt;=1900,VALUE(SUBSTITUTE(SUBSTITUTE(SUBSTITUTE(TRIM(A1144&amp;""),CHAR(160),"")," ",""),"년",""))&lt;=2099,TEXT(VALUE(SUBSTITUTE(SUBSTITUTE(SUBSTITUTE(TRIM(A1144&amp;""),CHAR(160),"")," ",""),"년","")),"0000")=SUBSTITUTE(SUBSTITUTE(SUBSTITUTE(TRIM(A1144&amp;""),CHAR(160),"")," ",""),"년","")),SUBSTITUTE(SUBSTITUTE(SUBSTITUTE(TRIM(A1144&amp;""),CHAR(160),"")," ",""),"년",""),""),"")</f>
      </c>
      <c r="I1144" t="str">
        <f>SUBSTITUTE(SUBSTITUTE(SUBSTITUTE(SUBSTITUTE(SUBSTITUTE(TRIM(B1144&amp;""),CHAR(160),"")," ",""),"초등학교","초"),"중학교","중"),"고등학교","고")</f>
      </c>
    </row>
    <row r="1145" customFormat="false" ht="15" hidden="false" customHeight="false" outlineLevel="0" collapsed="false">
      <c r="A1145" s="8"/>
      <c r="B1145" s="8"/>
      <c r="C1145" s="8"/>
      <c r="D1145" s="8"/>
      <c r="E1145" s="8"/>
      <c r="F1145" t="str" s="15">
        <f aca="0">IF(B1145="","",IF(H1145="","확인필요(입력누락)",IF(SUMPRODUCT((실물목록!$P$2:$P$1001&lt;&gt;"")*ISNUMBER(SEARCH(실물목록!$P$2:$P$1001,I1145))*(실물목록!$Q$2:$Q$1001&lt;&gt;"")*ISNUMBER(SEARCH(실물목록!$Q$2:$Q$1001,I1145))*(실물목록!$R$2:$R$1001="")*(실물목록!$O$2:$O$1001&lt;&gt;"")*(실물목록!$O$2:$O$1001=H1145))&gt;0,"실물 있음",IF(SUMPRODUCT((실물목록!$P$2:$P$1001&lt;&gt;"")*ISNUMBER(SEARCH(실물목록!$P$2:$P$1001,I1145))*(실물목록!$R$2:$R$1001&lt;&gt;""))&gt;0,"확인필요(입력누락)",IF(SUMPRODUCT((실물목록!$P$2:$P$1001&lt;&gt;"")*ISNUMBER(SEARCH(실물목록!$P$2:$P$1001,I1145))*(실물목록!$Q$2:$Q$1001&lt;&gt;"")*ISNUMBER(SEARCH(실물목록!$Q$2:$Q$1001,I1145))*(실물목록!$R$2:$R$1001="")*(실물목록!$O$2:$O$1001&lt;&gt;""))&gt;0,"확인필요(연도다름)","실물 없음")))))</f>
      </c>
      <c r="G1145" t="n" s="16">
        <f aca="0">IF(B1145="","",SUMPRODUCT((실물목록!$P$2:$P$1001&lt;&gt;"")*ISNUMBER(SEARCH(실물목록!$P$2:$P$1001,I1145))*(실물목록!$Q$2:$Q$1001&lt;&gt;"")*ISNUMBER(SEARCH(실물목록!$Q$2:$Q$1001,I1145))*(실물목록!$R$2:$R$1001="")*(실물목록!$O$2:$O$1001&lt;&gt;"")*(실물목록!$O$2:$O$1001=H1145)))</f>
      </c>
      <c r="H1145" t="str">
        <f>IFERROR(IF(AND(LEN(SUBSTITUTE(SUBSTITUTE(SUBSTITUTE(TRIM(A1145&amp;""),CHAR(160),"")," ",""),"년",""))=4,VALUE(SUBSTITUTE(SUBSTITUTE(SUBSTITUTE(TRIM(A1145&amp;""),CHAR(160),"")," ",""),"년",""))&gt;=1900,VALUE(SUBSTITUTE(SUBSTITUTE(SUBSTITUTE(TRIM(A1145&amp;""),CHAR(160),"")," ",""),"년",""))&lt;=2099,TEXT(VALUE(SUBSTITUTE(SUBSTITUTE(SUBSTITUTE(TRIM(A1145&amp;""),CHAR(160),"")," ",""),"년","")),"0000")=SUBSTITUTE(SUBSTITUTE(SUBSTITUTE(TRIM(A1145&amp;""),CHAR(160),"")," ",""),"년","")),SUBSTITUTE(SUBSTITUTE(SUBSTITUTE(TRIM(A1145&amp;""),CHAR(160),"")," ",""),"년",""),""),"")</f>
      </c>
      <c r="I1145" t="str">
        <f>SUBSTITUTE(SUBSTITUTE(SUBSTITUTE(SUBSTITUTE(SUBSTITUTE(TRIM(B1145&amp;""),CHAR(160),"")," ",""),"초등학교","초"),"중학교","중"),"고등학교","고")</f>
      </c>
    </row>
    <row r="1146" customFormat="false" ht="15" hidden="false" customHeight="false" outlineLevel="0" collapsed="false">
      <c r="A1146" s="8"/>
      <c r="B1146" s="8"/>
      <c r="C1146" s="8"/>
      <c r="D1146" s="8"/>
      <c r="E1146" s="8"/>
      <c r="F1146" t="str" s="15">
        <f aca="0">IF(B1146="","",IF(H1146="","확인필요(입력누락)",IF(SUMPRODUCT((실물목록!$P$2:$P$1001&lt;&gt;"")*ISNUMBER(SEARCH(실물목록!$P$2:$P$1001,I1146))*(실물목록!$Q$2:$Q$1001&lt;&gt;"")*ISNUMBER(SEARCH(실물목록!$Q$2:$Q$1001,I1146))*(실물목록!$R$2:$R$1001="")*(실물목록!$O$2:$O$1001&lt;&gt;"")*(실물목록!$O$2:$O$1001=H1146))&gt;0,"실물 있음",IF(SUMPRODUCT((실물목록!$P$2:$P$1001&lt;&gt;"")*ISNUMBER(SEARCH(실물목록!$P$2:$P$1001,I1146))*(실물목록!$R$2:$R$1001&lt;&gt;""))&gt;0,"확인필요(입력누락)",IF(SUMPRODUCT((실물목록!$P$2:$P$1001&lt;&gt;"")*ISNUMBER(SEARCH(실물목록!$P$2:$P$1001,I1146))*(실물목록!$Q$2:$Q$1001&lt;&gt;"")*ISNUMBER(SEARCH(실물목록!$Q$2:$Q$1001,I1146))*(실물목록!$R$2:$R$1001="")*(실물목록!$O$2:$O$1001&lt;&gt;""))&gt;0,"확인필요(연도다름)","실물 없음")))))</f>
      </c>
      <c r="G1146" t="n" s="16">
        <f aca="0">IF(B1146="","",SUMPRODUCT((실물목록!$P$2:$P$1001&lt;&gt;"")*ISNUMBER(SEARCH(실물목록!$P$2:$P$1001,I1146))*(실물목록!$Q$2:$Q$1001&lt;&gt;"")*ISNUMBER(SEARCH(실물목록!$Q$2:$Q$1001,I1146))*(실물목록!$R$2:$R$1001="")*(실물목록!$O$2:$O$1001&lt;&gt;"")*(실물목록!$O$2:$O$1001=H1146)))</f>
      </c>
      <c r="H1146" t="str">
        <f>IFERROR(IF(AND(LEN(SUBSTITUTE(SUBSTITUTE(SUBSTITUTE(TRIM(A1146&amp;""),CHAR(160),"")," ",""),"년",""))=4,VALUE(SUBSTITUTE(SUBSTITUTE(SUBSTITUTE(TRIM(A1146&amp;""),CHAR(160),"")," ",""),"년",""))&gt;=1900,VALUE(SUBSTITUTE(SUBSTITUTE(SUBSTITUTE(TRIM(A1146&amp;""),CHAR(160),"")," ",""),"년",""))&lt;=2099,TEXT(VALUE(SUBSTITUTE(SUBSTITUTE(SUBSTITUTE(TRIM(A1146&amp;""),CHAR(160),"")," ",""),"년","")),"0000")=SUBSTITUTE(SUBSTITUTE(SUBSTITUTE(TRIM(A1146&amp;""),CHAR(160),"")," ",""),"년","")),SUBSTITUTE(SUBSTITUTE(SUBSTITUTE(TRIM(A1146&amp;""),CHAR(160),"")," ",""),"년",""),""),"")</f>
      </c>
      <c r="I1146" t="str">
        <f>SUBSTITUTE(SUBSTITUTE(SUBSTITUTE(SUBSTITUTE(SUBSTITUTE(TRIM(B1146&amp;""),CHAR(160),"")," ",""),"초등학교","초"),"중학교","중"),"고등학교","고")</f>
      </c>
    </row>
    <row r="1147" customFormat="false" ht="15" hidden="false" customHeight="false" outlineLevel="0" collapsed="false">
      <c r="A1147" s="8"/>
      <c r="B1147" s="8"/>
      <c r="C1147" s="8"/>
      <c r="D1147" s="8"/>
      <c r="E1147" s="8"/>
      <c r="F1147" t="str" s="15">
        <f aca="0">IF(B1147="","",IF(H1147="","확인필요(입력누락)",IF(SUMPRODUCT((실물목록!$P$2:$P$1001&lt;&gt;"")*ISNUMBER(SEARCH(실물목록!$P$2:$P$1001,I1147))*(실물목록!$Q$2:$Q$1001&lt;&gt;"")*ISNUMBER(SEARCH(실물목록!$Q$2:$Q$1001,I1147))*(실물목록!$R$2:$R$1001="")*(실물목록!$O$2:$O$1001&lt;&gt;"")*(실물목록!$O$2:$O$1001=H1147))&gt;0,"실물 있음",IF(SUMPRODUCT((실물목록!$P$2:$P$1001&lt;&gt;"")*ISNUMBER(SEARCH(실물목록!$P$2:$P$1001,I1147))*(실물목록!$R$2:$R$1001&lt;&gt;""))&gt;0,"확인필요(입력누락)",IF(SUMPRODUCT((실물목록!$P$2:$P$1001&lt;&gt;"")*ISNUMBER(SEARCH(실물목록!$P$2:$P$1001,I1147))*(실물목록!$Q$2:$Q$1001&lt;&gt;"")*ISNUMBER(SEARCH(실물목록!$Q$2:$Q$1001,I1147))*(실물목록!$R$2:$R$1001="")*(실물목록!$O$2:$O$1001&lt;&gt;""))&gt;0,"확인필요(연도다름)","실물 없음")))))</f>
      </c>
      <c r="G1147" t="n" s="16">
        <f aca="0">IF(B1147="","",SUMPRODUCT((실물목록!$P$2:$P$1001&lt;&gt;"")*ISNUMBER(SEARCH(실물목록!$P$2:$P$1001,I1147))*(실물목록!$Q$2:$Q$1001&lt;&gt;"")*ISNUMBER(SEARCH(실물목록!$Q$2:$Q$1001,I1147))*(실물목록!$R$2:$R$1001="")*(실물목록!$O$2:$O$1001&lt;&gt;"")*(실물목록!$O$2:$O$1001=H1147)))</f>
      </c>
      <c r="H1147" t="str">
        <f>IFERROR(IF(AND(LEN(SUBSTITUTE(SUBSTITUTE(SUBSTITUTE(TRIM(A1147&amp;""),CHAR(160),"")," ",""),"년",""))=4,VALUE(SUBSTITUTE(SUBSTITUTE(SUBSTITUTE(TRIM(A1147&amp;""),CHAR(160),"")," ",""),"년",""))&gt;=1900,VALUE(SUBSTITUTE(SUBSTITUTE(SUBSTITUTE(TRIM(A1147&amp;""),CHAR(160),"")," ",""),"년",""))&lt;=2099,TEXT(VALUE(SUBSTITUTE(SUBSTITUTE(SUBSTITUTE(TRIM(A1147&amp;""),CHAR(160),"")," ",""),"년","")),"0000")=SUBSTITUTE(SUBSTITUTE(SUBSTITUTE(TRIM(A1147&amp;""),CHAR(160),"")," ",""),"년","")),SUBSTITUTE(SUBSTITUTE(SUBSTITUTE(TRIM(A1147&amp;""),CHAR(160),"")," ",""),"년",""),""),"")</f>
      </c>
      <c r="I1147" t="str">
        <f>SUBSTITUTE(SUBSTITUTE(SUBSTITUTE(SUBSTITUTE(SUBSTITUTE(TRIM(B1147&amp;""),CHAR(160),"")," ",""),"초등학교","초"),"중학교","중"),"고등학교","고")</f>
      </c>
    </row>
    <row r="1148" customFormat="false" ht="15" hidden="false" customHeight="false" outlineLevel="0" collapsed="false">
      <c r="A1148" s="8"/>
      <c r="B1148" s="8"/>
      <c r="C1148" s="8"/>
      <c r="D1148" s="8"/>
      <c r="E1148" s="8"/>
      <c r="F1148" t="str" s="15">
        <f aca="0">IF(B1148="","",IF(H1148="","확인필요(입력누락)",IF(SUMPRODUCT((실물목록!$P$2:$P$1001&lt;&gt;"")*ISNUMBER(SEARCH(실물목록!$P$2:$P$1001,I1148))*(실물목록!$Q$2:$Q$1001&lt;&gt;"")*ISNUMBER(SEARCH(실물목록!$Q$2:$Q$1001,I1148))*(실물목록!$R$2:$R$1001="")*(실물목록!$O$2:$O$1001&lt;&gt;"")*(실물목록!$O$2:$O$1001=H1148))&gt;0,"실물 있음",IF(SUMPRODUCT((실물목록!$P$2:$P$1001&lt;&gt;"")*ISNUMBER(SEARCH(실물목록!$P$2:$P$1001,I1148))*(실물목록!$R$2:$R$1001&lt;&gt;""))&gt;0,"확인필요(입력누락)",IF(SUMPRODUCT((실물목록!$P$2:$P$1001&lt;&gt;"")*ISNUMBER(SEARCH(실물목록!$P$2:$P$1001,I1148))*(실물목록!$Q$2:$Q$1001&lt;&gt;"")*ISNUMBER(SEARCH(실물목록!$Q$2:$Q$1001,I1148))*(실물목록!$R$2:$R$1001="")*(실물목록!$O$2:$O$1001&lt;&gt;""))&gt;0,"확인필요(연도다름)","실물 없음")))))</f>
      </c>
      <c r="G1148" t="n" s="16">
        <f aca="0">IF(B1148="","",SUMPRODUCT((실물목록!$P$2:$P$1001&lt;&gt;"")*ISNUMBER(SEARCH(실물목록!$P$2:$P$1001,I1148))*(실물목록!$Q$2:$Q$1001&lt;&gt;"")*ISNUMBER(SEARCH(실물목록!$Q$2:$Q$1001,I1148))*(실물목록!$R$2:$R$1001="")*(실물목록!$O$2:$O$1001&lt;&gt;"")*(실물목록!$O$2:$O$1001=H1148)))</f>
      </c>
      <c r="H1148" t="str">
        <f>IFERROR(IF(AND(LEN(SUBSTITUTE(SUBSTITUTE(SUBSTITUTE(TRIM(A1148&amp;""),CHAR(160),"")," ",""),"년",""))=4,VALUE(SUBSTITUTE(SUBSTITUTE(SUBSTITUTE(TRIM(A1148&amp;""),CHAR(160),"")," ",""),"년",""))&gt;=1900,VALUE(SUBSTITUTE(SUBSTITUTE(SUBSTITUTE(TRIM(A1148&amp;""),CHAR(160),"")," ",""),"년",""))&lt;=2099,TEXT(VALUE(SUBSTITUTE(SUBSTITUTE(SUBSTITUTE(TRIM(A1148&amp;""),CHAR(160),"")," ",""),"년","")),"0000")=SUBSTITUTE(SUBSTITUTE(SUBSTITUTE(TRIM(A1148&amp;""),CHAR(160),"")," ",""),"년","")),SUBSTITUTE(SUBSTITUTE(SUBSTITUTE(TRIM(A1148&amp;""),CHAR(160),"")," ",""),"년",""),""),"")</f>
      </c>
      <c r="I1148" t="str">
        <f>SUBSTITUTE(SUBSTITUTE(SUBSTITUTE(SUBSTITUTE(SUBSTITUTE(TRIM(B1148&amp;""),CHAR(160),"")," ",""),"초등학교","초"),"중학교","중"),"고등학교","고")</f>
      </c>
    </row>
    <row r="1149" customFormat="false" ht="15" hidden="false" customHeight="false" outlineLevel="0" collapsed="false">
      <c r="A1149" s="8"/>
      <c r="B1149" s="8"/>
      <c r="C1149" s="8"/>
      <c r="D1149" s="8"/>
      <c r="E1149" s="8"/>
      <c r="F1149" t="str" s="15">
        <f aca="0">IF(B1149="","",IF(H1149="","확인필요(입력누락)",IF(SUMPRODUCT((실물목록!$P$2:$P$1001&lt;&gt;"")*ISNUMBER(SEARCH(실물목록!$P$2:$P$1001,I1149))*(실물목록!$Q$2:$Q$1001&lt;&gt;"")*ISNUMBER(SEARCH(실물목록!$Q$2:$Q$1001,I1149))*(실물목록!$R$2:$R$1001="")*(실물목록!$O$2:$O$1001&lt;&gt;"")*(실물목록!$O$2:$O$1001=H1149))&gt;0,"실물 있음",IF(SUMPRODUCT((실물목록!$P$2:$P$1001&lt;&gt;"")*ISNUMBER(SEARCH(실물목록!$P$2:$P$1001,I1149))*(실물목록!$R$2:$R$1001&lt;&gt;""))&gt;0,"확인필요(입력누락)",IF(SUMPRODUCT((실물목록!$P$2:$P$1001&lt;&gt;"")*ISNUMBER(SEARCH(실물목록!$P$2:$P$1001,I1149))*(실물목록!$Q$2:$Q$1001&lt;&gt;"")*ISNUMBER(SEARCH(실물목록!$Q$2:$Q$1001,I1149))*(실물목록!$R$2:$R$1001="")*(실물목록!$O$2:$O$1001&lt;&gt;""))&gt;0,"확인필요(연도다름)","실물 없음")))))</f>
      </c>
      <c r="G1149" t="n" s="16">
        <f aca="0">IF(B1149="","",SUMPRODUCT((실물목록!$P$2:$P$1001&lt;&gt;"")*ISNUMBER(SEARCH(실물목록!$P$2:$P$1001,I1149))*(실물목록!$Q$2:$Q$1001&lt;&gt;"")*ISNUMBER(SEARCH(실물목록!$Q$2:$Q$1001,I1149))*(실물목록!$R$2:$R$1001="")*(실물목록!$O$2:$O$1001&lt;&gt;"")*(실물목록!$O$2:$O$1001=H1149)))</f>
      </c>
      <c r="H1149" t="str">
        <f>IFERROR(IF(AND(LEN(SUBSTITUTE(SUBSTITUTE(SUBSTITUTE(TRIM(A1149&amp;""),CHAR(160),"")," ",""),"년",""))=4,VALUE(SUBSTITUTE(SUBSTITUTE(SUBSTITUTE(TRIM(A1149&amp;""),CHAR(160),"")," ",""),"년",""))&gt;=1900,VALUE(SUBSTITUTE(SUBSTITUTE(SUBSTITUTE(TRIM(A1149&amp;""),CHAR(160),"")," ",""),"년",""))&lt;=2099,TEXT(VALUE(SUBSTITUTE(SUBSTITUTE(SUBSTITUTE(TRIM(A1149&amp;""),CHAR(160),"")," ",""),"년","")),"0000")=SUBSTITUTE(SUBSTITUTE(SUBSTITUTE(TRIM(A1149&amp;""),CHAR(160),"")," ",""),"년","")),SUBSTITUTE(SUBSTITUTE(SUBSTITUTE(TRIM(A1149&amp;""),CHAR(160),"")," ",""),"년",""),""),"")</f>
      </c>
      <c r="I1149" t="str">
        <f>SUBSTITUTE(SUBSTITUTE(SUBSTITUTE(SUBSTITUTE(SUBSTITUTE(TRIM(B1149&amp;""),CHAR(160),"")," ",""),"초등학교","초"),"중학교","중"),"고등학교","고")</f>
      </c>
    </row>
    <row r="1150" customFormat="false" ht="15" hidden="false" customHeight="false" outlineLevel="0" collapsed="false">
      <c r="A1150" s="8"/>
      <c r="B1150" s="8"/>
      <c r="C1150" s="8"/>
      <c r="D1150" s="8"/>
      <c r="E1150" s="8"/>
      <c r="F1150" t="str" s="15">
        <f aca="0">IF(B1150="","",IF(H1150="","확인필요(입력누락)",IF(SUMPRODUCT((실물목록!$P$2:$P$1001&lt;&gt;"")*ISNUMBER(SEARCH(실물목록!$P$2:$P$1001,I1150))*(실물목록!$Q$2:$Q$1001&lt;&gt;"")*ISNUMBER(SEARCH(실물목록!$Q$2:$Q$1001,I1150))*(실물목록!$R$2:$R$1001="")*(실물목록!$O$2:$O$1001&lt;&gt;"")*(실물목록!$O$2:$O$1001=H1150))&gt;0,"실물 있음",IF(SUMPRODUCT((실물목록!$P$2:$P$1001&lt;&gt;"")*ISNUMBER(SEARCH(실물목록!$P$2:$P$1001,I1150))*(실물목록!$R$2:$R$1001&lt;&gt;""))&gt;0,"확인필요(입력누락)",IF(SUMPRODUCT((실물목록!$P$2:$P$1001&lt;&gt;"")*ISNUMBER(SEARCH(실물목록!$P$2:$P$1001,I1150))*(실물목록!$Q$2:$Q$1001&lt;&gt;"")*ISNUMBER(SEARCH(실물목록!$Q$2:$Q$1001,I1150))*(실물목록!$R$2:$R$1001="")*(실물목록!$O$2:$O$1001&lt;&gt;""))&gt;0,"확인필요(연도다름)","실물 없음")))))</f>
      </c>
      <c r="G1150" t="n" s="16">
        <f aca="0">IF(B1150="","",SUMPRODUCT((실물목록!$P$2:$P$1001&lt;&gt;"")*ISNUMBER(SEARCH(실물목록!$P$2:$P$1001,I1150))*(실물목록!$Q$2:$Q$1001&lt;&gt;"")*ISNUMBER(SEARCH(실물목록!$Q$2:$Q$1001,I1150))*(실물목록!$R$2:$R$1001="")*(실물목록!$O$2:$O$1001&lt;&gt;"")*(실물목록!$O$2:$O$1001=H1150)))</f>
      </c>
      <c r="H1150" t="str">
        <f>IFERROR(IF(AND(LEN(SUBSTITUTE(SUBSTITUTE(SUBSTITUTE(TRIM(A1150&amp;""),CHAR(160),"")," ",""),"년",""))=4,VALUE(SUBSTITUTE(SUBSTITUTE(SUBSTITUTE(TRIM(A1150&amp;""),CHAR(160),"")," ",""),"년",""))&gt;=1900,VALUE(SUBSTITUTE(SUBSTITUTE(SUBSTITUTE(TRIM(A1150&amp;""),CHAR(160),"")," ",""),"년",""))&lt;=2099,TEXT(VALUE(SUBSTITUTE(SUBSTITUTE(SUBSTITUTE(TRIM(A1150&amp;""),CHAR(160),"")," ",""),"년","")),"0000")=SUBSTITUTE(SUBSTITUTE(SUBSTITUTE(TRIM(A1150&amp;""),CHAR(160),"")," ",""),"년","")),SUBSTITUTE(SUBSTITUTE(SUBSTITUTE(TRIM(A1150&amp;""),CHAR(160),"")," ",""),"년",""),""),"")</f>
      </c>
      <c r="I1150" t="str">
        <f>SUBSTITUTE(SUBSTITUTE(SUBSTITUTE(SUBSTITUTE(SUBSTITUTE(TRIM(B1150&amp;""),CHAR(160),"")," ",""),"초등학교","초"),"중학교","중"),"고등학교","고")</f>
      </c>
    </row>
    <row r="1151" customFormat="false" ht="15" hidden="false" customHeight="false" outlineLevel="0" collapsed="false">
      <c r="A1151" s="8"/>
      <c r="B1151" s="8"/>
      <c r="C1151" s="8"/>
      <c r="D1151" s="8"/>
      <c r="E1151" s="8"/>
      <c r="F1151" t="str" s="15">
        <f aca="0">IF(B1151="","",IF(H1151="","확인필요(입력누락)",IF(SUMPRODUCT((실물목록!$P$2:$P$1001&lt;&gt;"")*ISNUMBER(SEARCH(실물목록!$P$2:$P$1001,I1151))*(실물목록!$Q$2:$Q$1001&lt;&gt;"")*ISNUMBER(SEARCH(실물목록!$Q$2:$Q$1001,I1151))*(실물목록!$R$2:$R$1001="")*(실물목록!$O$2:$O$1001&lt;&gt;"")*(실물목록!$O$2:$O$1001=H1151))&gt;0,"실물 있음",IF(SUMPRODUCT((실물목록!$P$2:$P$1001&lt;&gt;"")*ISNUMBER(SEARCH(실물목록!$P$2:$P$1001,I1151))*(실물목록!$R$2:$R$1001&lt;&gt;""))&gt;0,"확인필요(입력누락)",IF(SUMPRODUCT((실물목록!$P$2:$P$1001&lt;&gt;"")*ISNUMBER(SEARCH(실물목록!$P$2:$P$1001,I1151))*(실물목록!$Q$2:$Q$1001&lt;&gt;"")*ISNUMBER(SEARCH(실물목록!$Q$2:$Q$1001,I1151))*(실물목록!$R$2:$R$1001="")*(실물목록!$O$2:$O$1001&lt;&gt;""))&gt;0,"확인필요(연도다름)","실물 없음")))))</f>
      </c>
      <c r="G1151" t="n" s="16">
        <f aca="0">IF(B1151="","",SUMPRODUCT((실물목록!$P$2:$P$1001&lt;&gt;"")*ISNUMBER(SEARCH(실물목록!$P$2:$P$1001,I1151))*(실물목록!$Q$2:$Q$1001&lt;&gt;"")*ISNUMBER(SEARCH(실물목록!$Q$2:$Q$1001,I1151))*(실물목록!$R$2:$R$1001="")*(실물목록!$O$2:$O$1001&lt;&gt;"")*(실물목록!$O$2:$O$1001=H1151)))</f>
      </c>
      <c r="H1151" t="str">
        <f>IFERROR(IF(AND(LEN(SUBSTITUTE(SUBSTITUTE(SUBSTITUTE(TRIM(A1151&amp;""),CHAR(160),"")," ",""),"년",""))=4,VALUE(SUBSTITUTE(SUBSTITUTE(SUBSTITUTE(TRIM(A1151&amp;""),CHAR(160),"")," ",""),"년",""))&gt;=1900,VALUE(SUBSTITUTE(SUBSTITUTE(SUBSTITUTE(TRIM(A1151&amp;""),CHAR(160),"")," ",""),"년",""))&lt;=2099,TEXT(VALUE(SUBSTITUTE(SUBSTITUTE(SUBSTITUTE(TRIM(A1151&amp;""),CHAR(160),"")," ",""),"년","")),"0000")=SUBSTITUTE(SUBSTITUTE(SUBSTITUTE(TRIM(A1151&amp;""),CHAR(160),"")," ",""),"년","")),SUBSTITUTE(SUBSTITUTE(SUBSTITUTE(TRIM(A1151&amp;""),CHAR(160),"")," ",""),"년",""),""),"")</f>
      </c>
      <c r="I1151" t="str">
        <f>SUBSTITUTE(SUBSTITUTE(SUBSTITUTE(SUBSTITUTE(SUBSTITUTE(TRIM(B1151&amp;""),CHAR(160),"")," ",""),"초등학교","초"),"중학교","중"),"고등학교","고")</f>
      </c>
    </row>
    <row r="1152" customFormat="false" ht="15" hidden="false" customHeight="false" outlineLevel="0" collapsed="false">
      <c r="A1152" s="8"/>
      <c r="B1152" s="8"/>
      <c r="C1152" s="8"/>
      <c r="D1152" s="8"/>
      <c r="E1152" s="8"/>
      <c r="F1152" t="str" s="15">
        <f aca="0">IF(B1152="","",IF(H1152="","확인필요(입력누락)",IF(SUMPRODUCT((실물목록!$P$2:$P$1001&lt;&gt;"")*ISNUMBER(SEARCH(실물목록!$P$2:$P$1001,I1152))*(실물목록!$Q$2:$Q$1001&lt;&gt;"")*ISNUMBER(SEARCH(실물목록!$Q$2:$Q$1001,I1152))*(실물목록!$R$2:$R$1001="")*(실물목록!$O$2:$O$1001&lt;&gt;"")*(실물목록!$O$2:$O$1001=H1152))&gt;0,"실물 있음",IF(SUMPRODUCT((실물목록!$P$2:$P$1001&lt;&gt;"")*ISNUMBER(SEARCH(실물목록!$P$2:$P$1001,I1152))*(실물목록!$R$2:$R$1001&lt;&gt;""))&gt;0,"확인필요(입력누락)",IF(SUMPRODUCT((실물목록!$P$2:$P$1001&lt;&gt;"")*ISNUMBER(SEARCH(실물목록!$P$2:$P$1001,I1152))*(실물목록!$Q$2:$Q$1001&lt;&gt;"")*ISNUMBER(SEARCH(실물목록!$Q$2:$Q$1001,I1152))*(실물목록!$R$2:$R$1001="")*(실물목록!$O$2:$O$1001&lt;&gt;""))&gt;0,"확인필요(연도다름)","실물 없음")))))</f>
      </c>
      <c r="G1152" t="n" s="16">
        <f aca="0">IF(B1152="","",SUMPRODUCT((실물목록!$P$2:$P$1001&lt;&gt;"")*ISNUMBER(SEARCH(실물목록!$P$2:$P$1001,I1152))*(실물목록!$Q$2:$Q$1001&lt;&gt;"")*ISNUMBER(SEARCH(실물목록!$Q$2:$Q$1001,I1152))*(실물목록!$R$2:$R$1001="")*(실물목록!$O$2:$O$1001&lt;&gt;"")*(실물목록!$O$2:$O$1001=H1152)))</f>
      </c>
      <c r="H1152" t="str">
        <f>IFERROR(IF(AND(LEN(SUBSTITUTE(SUBSTITUTE(SUBSTITUTE(TRIM(A1152&amp;""),CHAR(160),"")," ",""),"년",""))=4,VALUE(SUBSTITUTE(SUBSTITUTE(SUBSTITUTE(TRIM(A1152&amp;""),CHAR(160),"")," ",""),"년",""))&gt;=1900,VALUE(SUBSTITUTE(SUBSTITUTE(SUBSTITUTE(TRIM(A1152&amp;""),CHAR(160),"")," ",""),"년",""))&lt;=2099,TEXT(VALUE(SUBSTITUTE(SUBSTITUTE(SUBSTITUTE(TRIM(A1152&amp;""),CHAR(160),"")," ",""),"년","")),"0000")=SUBSTITUTE(SUBSTITUTE(SUBSTITUTE(TRIM(A1152&amp;""),CHAR(160),"")," ",""),"년","")),SUBSTITUTE(SUBSTITUTE(SUBSTITUTE(TRIM(A1152&amp;""),CHAR(160),"")," ",""),"년",""),""),"")</f>
      </c>
      <c r="I1152" t="str">
        <f>SUBSTITUTE(SUBSTITUTE(SUBSTITUTE(SUBSTITUTE(SUBSTITUTE(TRIM(B1152&amp;""),CHAR(160),"")," ",""),"초등학교","초"),"중학교","중"),"고등학교","고")</f>
      </c>
    </row>
    <row r="1153" customFormat="false" ht="15" hidden="false" customHeight="false" outlineLevel="0" collapsed="false">
      <c r="A1153" s="8"/>
      <c r="B1153" s="8"/>
      <c r="C1153" s="8"/>
      <c r="D1153" s="8"/>
      <c r="E1153" s="8"/>
      <c r="F1153" t="str" s="15">
        <f aca="0">IF(B1153="","",IF(H1153="","확인필요(입력누락)",IF(SUMPRODUCT((실물목록!$P$2:$P$1001&lt;&gt;"")*ISNUMBER(SEARCH(실물목록!$P$2:$P$1001,I1153))*(실물목록!$Q$2:$Q$1001&lt;&gt;"")*ISNUMBER(SEARCH(실물목록!$Q$2:$Q$1001,I1153))*(실물목록!$R$2:$R$1001="")*(실물목록!$O$2:$O$1001&lt;&gt;"")*(실물목록!$O$2:$O$1001=H1153))&gt;0,"실물 있음",IF(SUMPRODUCT((실물목록!$P$2:$P$1001&lt;&gt;"")*ISNUMBER(SEARCH(실물목록!$P$2:$P$1001,I1153))*(실물목록!$R$2:$R$1001&lt;&gt;""))&gt;0,"확인필요(입력누락)",IF(SUMPRODUCT((실물목록!$P$2:$P$1001&lt;&gt;"")*ISNUMBER(SEARCH(실물목록!$P$2:$P$1001,I1153))*(실물목록!$Q$2:$Q$1001&lt;&gt;"")*ISNUMBER(SEARCH(실물목록!$Q$2:$Q$1001,I1153))*(실물목록!$R$2:$R$1001="")*(실물목록!$O$2:$O$1001&lt;&gt;""))&gt;0,"확인필요(연도다름)","실물 없음")))))</f>
      </c>
      <c r="G1153" t="n" s="16">
        <f aca="0">IF(B1153="","",SUMPRODUCT((실물목록!$P$2:$P$1001&lt;&gt;"")*ISNUMBER(SEARCH(실물목록!$P$2:$P$1001,I1153))*(실물목록!$Q$2:$Q$1001&lt;&gt;"")*ISNUMBER(SEARCH(실물목록!$Q$2:$Q$1001,I1153))*(실물목록!$R$2:$R$1001="")*(실물목록!$O$2:$O$1001&lt;&gt;"")*(실물목록!$O$2:$O$1001=H1153)))</f>
      </c>
      <c r="H1153" t="str">
        <f>IFERROR(IF(AND(LEN(SUBSTITUTE(SUBSTITUTE(SUBSTITUTE(TRIM(A1153&amp;""),CHAR(160),"")," ",""),"년",""))=4,VALUE(SUBSTITUTE(SUBSTITUTE(SUBSTITUTE(TRIM(A1153&amp;""),CHAR(160),"")," ",""),"년",""))&gt;=1900,VALUE(SUBSTITUTE(SUBSTITUTE(SUBSTITUTE(TRIM(A1153&amp;""),CHAR(160),"")," ",""),"년",""))&lt;=2099,TEXT(VALUE(SUBSTITUTE(SUBSTITUTE(SUBSTITUTE(TRIM(A1153&amp;""),CHAR(160),"")," ",""),"년","")),"0000")=SUBSTITUTE(SUBSTITUTE(SUBSTITUTE(TRIM(A1153&amp;""),CHAR(160),"")," ",""),"년","")),SUBSTITUTE(SUBSTITUTE(SUBSTITUTE(TRIM(A1153&amp;""),CHAR(160),"")," ",""),"년",""),""),"")</f>
      </c>
      <c r="I1153" t="str">
        <f>SUBSTITUTE(SUBSTITUTE(SUBSTITUTE(SUBSTITUTE(SUBSTITUTE(TRIM(B1153&amp;""),CHAR(160),"")," ",""),"초등학교","초"),"중학교","중"),"고등학교","고")</f>
      </c>
    </row>
    <row r="1154" customFormat="false" ht="15" hidden="false" customHeight="false" outlineLevel="0" collapsed="false">
      <c r="A1154" s="8"/>
      <c r="B1154" s="8"/>
      <c r="C1154" s="8"/>
      <c r="D1154" s="8"/>
      <c r="E1154" s="8"/>
      <c r="F1154" t="str" s="15">
        <f aca="0">IF(B1154="","",IF(H1154="","확인필요(입력누락)",IF(SUMPRODUCT((실물목록!$P$2:$P$1001&lt;&gt;"")*ISNUMBER(SEARCH(실물목록!$P$2:$P$1001,I1154))*(실물목록!$Q$2:$Q$1001&lt;&gt;"")*ISNUMBER(SEARCH(실물목록!$Q$2:$Q$1001,I1154))*(실물목록!$R$2:$R$1001="")*(실물목록!$O$2:$O$1001&lt;&gt;"")*(실물목록!$O$2:$O$1001=H1154))&gt;0,"실물 있음",IF(SUMPRODUCT((실물목록!$P$2:$P$1001&lt;&gt;"")*ISNUMBER(SEARCH(실물목록!$P$2:$P$1001,I1154))*(실물목록!$R$2:$R$1001&lt;&gt;""))&gt;0,"확인필요(입력누락)",IF(SUMPRODUCT((실물목록!$P$2:$P$1001&lt;&gt;"")*ISNUMBER(SEARCH(실물목록!$P$2:$P$1001,I1154))*(실물목록!$Q$2:$Q$1001&lt;&gt;"")*ISNUMBER(SEARCH(실물목록!$Q$2:$Q$1001,I1154))*(실물목록!$R$2:$R$1001="")*(실물목록!$O$2:$O$1001&lt;&gt;""))&gt;0,"확인필요(연도다름)","실물 없음")))))</f>
      </c>
      <c r="G1154" t="n" s="16">
        <f aca="0">IF(B1154="","",SUMPRODUCT((실물목록!$P$2:$P$1001&lt;&gt;"")*ISNUMBER(SEARCH(실물목록!$P$2:$P$1001,I1154))*(실물목록!$Q$2:$Q$1001&lt;&gt;"")*ISNUMBER(SEARCH(실물목록!$Q$2:$Q$1001,I1154))*(실물목록!$R$2:$R$1001="")*(실물목록!$O$2:$O$1001&lt;&gt;"")*(실물목록!$O$2:$O$1001=H1154)))</f>
      </c>
      <c r="H1154" t="str">
        <f>IFERROR(IF(AND(LEN(SUBSTITUTE(SUBSTITUTE(SUBSTITUTE(TRIM(A1154&amp;""),CHAR(160),"")," ",""),"년",""))=4,VALUE(SUBSTITUTE(SUBSTITUTE(SUBSTITUTE(TRIM(A1154&amp;""),CHAR(160),"")," ",""),"년",""))&gt;=1900,VALUE(SUBSTITUTE(SUBSTITUTE(SUBSTITUTE(TRIM(A1154&amp;""),CHAR(160),"")," ",""),"년",""))&lt;=2099,TEXT(VALUE(SUBSTITUTE(SUBSTITUTE(SUBSTITUTE(TRIM(A1154&amp;""),CHAR(160),"")," ",""),"년","")),"0000")=SUBSTITUTE(SUBSTITUTE(SUBSTITUTE(TRIM(A1154&amp;""),CHAR(160),"")," ",""),"년","")),SUBSTITUTE(SUBSTITUTE(SUBSTITUTE(TRIM(A1154&amp;""),CHAR(160),"")," ",""),"년",""),""),"")</f>
      </c>
      <c r="I1154" t="str">
        <f>SUBSTITUTE(SUBSTITUTE(SUBSTITUTE(SUBSTITUTE(SUBSTITUTE(TRIM(B1154&amp;""),CHAR(160),"")," ",""),"초등학교","초"),"중학교","중"),"고등학교","고")</f>
      </c>
    </row>
    <row r="1155" customFormat="false" ht="15" hidden="false" customHeight="false" outlineLevel="0" collapsed="false">
      <c r="A1155" s="8"/>
      <c r="B1155" s="8"/>
      <c r="C1155" s="8"/>
      <c r="D1155" s="8"/>
      <c r="E1155" s="8"/>
      <c r="F1155" t="str" s="15">
        <f aca="0">IF(B1155="","",IF(H1155="","확인필요(입력누락)",IF(SUMPRODUCT((실물목록!$P$2:$P$1001&lt;&gt;"")*ISNUMBER(SEARCH(실물목록!$P$2:$P$1001,I1155))*(실물목록!$Q$2:$Q$1001&lt;&gt;"")*ISNUMBER(SEARCH(실물목록!$Q$2:$Q$1001,I1155))*(실물목록!$R$2:$R$1001="")*(실물목록!$O$2:$O$1001&lt;&gt;"")*(실물목록!$O$2:$O$1001=H1155))&gt;0,"실물 있음",IF(SUMPRODUCT((실물목록!$P$2:$P$1001&lt;&gt;"")*ISNUMBER(SEARCH(실물목록!$P$2:$P$1001,I1155))*(실물목록!$R$2:$R$1001&lt;&gt;""))&gt;0,"확인필요(입력누락)",IF(SUMPRODUCT((실물목록!$P$2:$P$1001&lt;&gt;"")*ISNUMBER(SEARCH(실물목록!$P$2:$P$1001,I1155))*(실물목록!$Q$2:$Q$1001&lt;&gt;"")*ISNUMBER(SEARCH(실물목록!$Q$2:$Q$1001,I1155))*(실물목록!$R$2:$R$1001="")*(실물목록!$O$2:$O$1001&lt;&gt;""))&gt;0,"확인필요(연도다름)","실물 없음")))))</f>
      </c>
      <c r="G1155" t="n" s="16">
        <f aca="0">IF(B1155="","",SUMPRODUCT((실물목록!$P$2:$P$1001&lt;&gt;"")*ISNUMBER(SEARCH(실물목록!$P$2:$P$1001,I1155))*(실물목록!$Q$2:$Q$1001&lt;&gt;"")*ISNUMBER(SEARCH(실물목록!$Q$2:$Q$1001,I1155))*(실물목록!$R$2:$R$1001="")*(실물목록!$O$2:$O$1001&lt;&gt;"")*(실물목록!$O$2:$O$1001=H1155)))</f>
      </c>
      <c r="H1155" t="str">
        <f>IFERROR(IF(AND(LEN(SUBSTITUTE(SUBSTITUTE(SUBSTITUTE(TRIM(A1155&amp;""),CHAR(160),"")," ",""),"년",""))=4,VALUE(SUBSTITUTE(SUBSTITUTE(SUBSTITUTE(TRIM(A1155&amp;""),CHAR(160),"")," ",""),"년",""))&gt;=1900,VALUE(SUBSTITUTE(SUBSTITUTE(SUBSTITUTE(TRIM(A1155&amp;""),CHAR(160),"")," ",""),"년",""))&lt;=2099,TEXT(VALUE(SUBSTITUTE(SUBSTITUTE(SUBSTITUTE(TRIM(A1155&amp;""),CHAR(160),"")," ",""),"년","")),"0000")=SUBSTITUTE(SUBSTITUTE(SUBSTITUTE(TRIM(A1155&amp;""),CHAR(160),"")," ",""),"년","")),SUBSTITUTE(SUBSTITUTE(SUBSTITUTE(TRIM(A1155&amp;""),CHAR(160),"")," ",""),"년",""),""),"")</f>
      </c>
      <c r="I1155" t="str">
        <f>SUBSTITUTE(SUBSTITUTE(SUBSTITUTE(SUBSTITUTE(SUBSTITUTE(TRIM(B1155&amp;""),CHAR(160),"")," ",""),"초등학교","초"),"중학교","중"),"고등학교","고")</f>
      </c>
    </row>
    <row r="1156" customFormat="false" ht="15" hidden="false" customHeight="false" outlineLevel="0" collapsed="false">
      <c r="A1156" s="8"/>
      <c r="B1156" s="8"/>
      <c r="C1156" s="8"/>
      <c r="D1156" s="8"/>
      <c r="E1156" s="8"/>
      <c r="F1156" t="str" s="15">
        <f aca="0">IF(B1156="","",IF(H1156="","확인필요(입력누락)",IF(SUMPRODUCT((실물목록!$P$2:$P$1001&lt;&gt;"")*ISNUMBER(SEARCH(실물목록!$P$2:$P$1001,I1156))*(실물목록!$Q$2:$Q$1001&lt;&gt;"")*ISNUMBER(SEARCH(실물목록!$Q$2:$Q$1001,I1156))*(실물목록!$R$2:$R$1001="")*(실물목록!$O$2:$O$1001&lt;&gt;"")*(실물목록!$O$2:$O$1001=H1156))&gt;0,"실물 있음",IF(SUMPRODUCT((실물목록!$P$2:$P$1001&lt;&gt;"")*ISNUMBER(SEARCH(실물목록!$P$2:$P$1001,I1156))*(실물목록!$R$2:$R$1001&lt;&gt;""))&gt;0,"확인필요(입력누락)",IF(SUMPRODUCT((실물목록!$P$2:$P$1001&lt;&gt;"")*ISNUMBER(SEARCH(실물목록!$P$2:$P$1001,I1156))*(실물목록!$Q$2:$Q$1001&lt;&gt;"")*ISNUMBER(SEARCH(실물목록!$Q$2:$Q$1001,I1156))*(실물목록!$R$2:$R$1001="")*(실물목록!$O$2:$O$1001&lt;&gt;""))&gt;0,"확인필요(연도다름)","실물 없음")))))</f>
      </c>
      <c r="G1156" t="n" s="16">
        <f aca="0">IF(B1156="","",SUMPRODUCT((실물목록!$P$2:$P$1001&lt;&gt;"")*ISNUMBER(SEARCH(실물목록!$P$2:$P$1001,I1156))*(실물목록!$Q$2:$Q$1001&lt;&gt;"")*ISNUMBER(SEARCH(실물목록!$Q$2:$Q$1001,I1156))*(실물목록!$R$2:$R$1001="")*(실물목록!$O$2:$O$1001&lt;&gt;"")*(실물목록!$O$2:$O$1001=H1156)))</f>
      </c>
      <c r="H1156" t="str">
        <f>IFERROR(IF(AND(LEN(SUBSTITUTE(SUBSTITUTE(SUBSTITUTE(TRIM(A1156&amp;""),CHAR(160),"")," ",""),"년",""))=4,VALUE(SUBSTITUTE(SUBSTITUTE(SUBSTITUTE(TRIM(A1156&amp;""),CHAR(160),"")," ",""),"년",""))&gt;=1900,VALUE(SUBSTITUTE(SUBSTITUTE(SUBSTITUTE(TRIM(A1156&amp;""),CHAR(160),"")," ",""),"년",""))&lt;=2099,TEXT(VALUE(SUBSTITUTE(SUBSTITUTE(SUBSTITUTE(TRIM(A1156&amp;""),CHAR(160),"")," ",""),"년","")),"0000")=SUBSTITUTE(SUBSTITUTE(SUBSTITUTE(TRIM(A1156&amp;""),CHAR(160),"")," ",""),"년","")),SUBSTITUTE(SUBSTITUTE(SUBSTITUTE(TRIM(A1156&amp;""),CHAR(160),"")," ",""),"년",""),""),"")</f>
      </c>
      <c r="I1156" t="str">
        <f>SUBSTITUTE(SUBSTITUTE(SUBSTITUTE(SUBSTITUTE(SUBSTITUTE(TRIM(B1156&amp;""),CHAR(160),"")," ",""),"초등학교","초"),"중학교","중"),"고등학교","고")</f>
      </c>
    </row>
    <row r="1157" customFormat="false" ht="15" hidden="false" customHeight="false" outlineLevel="0" collapsed="false">
      <c r="A1157" s="8"/>
      <c r="B1157" s="8"/>
      <c r="C1157" s="8"/>
      <c r="D1157" s="8"/>
      <c r="E1157" s="8"/>
      <c r="F1157" t="str" s="15">
        <f aca="0">IF(B1157="","",IF(H1157="","확인필요(입력누락)",IF(SUMPRODUCT((실물목록!$P$2:$P$1001&lt;&gt;"")*ISNUMBER(SEARCH(실물목록!$P$2:$P$1001,I1157))*(실물목록!$Q$2:$Q$1001&lt;&gt;"")*ISNUMBER(SEARCH(실물목록!$Q$2:$Q$1001,I1157))*(실물목록!$R$2:$R$1001="")*(실물목록!$O$2:$O$1001&lt;&gt;"")*(실물목록!$O$2:$O$1001=H1157))&gt;0,"실물 있음",IF(SUMPRODUCT((실물목록!$P$2:$P$1001&lt;&gt;"")*ISNUMBER(SEARCH(실물목록!$P$2:$P$1001,I1157))*(실물목록!$R$2:$R$1001&lt;&gt;""))&gt;0,"확인필요(입력누락)",IF(SUMPRODUCT((실물목록!$P$2:$P$1001&lt;&gt;"")*ISNUMBER(SEARCH(실물목록!$P$2:$P$1001,I1157))*(실물목록!$Q$2:$Q$1001&lt;&gt;"")*ISNUMBER(SEARCH(실물목록!$Q$2:$Q$1001,I1157))*(실물목록!$R$2:$R$1001="")*(실물목록!$O$2:$O$1001&lt;&gt;""))&gt;0,"확인필요(연도다름)","실물 없음")))))</f>
      </c>
      <c r="G1157" t="n" s="16">
        <f aca="0">IF(B1157="","",SUMPRODUCT((실물목록!$P$2:$P$1001&lt;&gt;"")*ISNUMBER(SEARCH(실물목록!$P$2:$P$1001,I1157))*(실물목록!$Q$2:$Q$1001&lt;&gt;"")*ISNUMBER(SEARCH(실물목록!$Q$2:$Q$1001,I1157))*(실물목록!$R$2:$R$1001="")*(실물목록!$O$2:$O$1001&lt;&gt;"")*(실물목록!$O$2:$O$1001=H1157)))</f>
      </c>
      <c r="H1157" t="str">
        <f>IFERROR(IF(AND(LEN(SUBSTITUTE(SUBSTITUTE(SUBSTITUTE(TRIM(A1157&amp;""),CHAR(160),"")," ",""),"년",""))=4,VALUE(SUBSTITUTE(SUBSTITUTE(SUBSTITUTE(TRIM(A1157&amp;""),CHAR(160),"")," ",""),"년",""))&gt;=1900,VALUE(SUBSTITUTE(SUBSTITUTE(SUBSTITUTE(TRIM(A1157&amp;""),CHAR(160),"")," ",""),"년",""))&lt;=2099,TEXT(VALUE(SUBSTITUTE(SUBSTITUTE(SUBSTITUTE(TRIM(A1157&amp;""),CHAR(160),"")," ",""),"년","")),"0000")=SUBSTITUTE(SUBSTITUTE(SUBSTITUTE(TRIM(A1157&amp;""),CHAR(160),"")," ",""),"년","")),SUBSTITUTE(SUBSTITUTE(SUBSTITUTE(TRIM(A1157&amp;""),CHAR(160),"")," ",""),"년",""),""),"")</f>
      </c>
      <c r="I1157" t="str">
        <f>SUBSTITUTE(SUBSTITUTE(SUBSTITUTE(SUBSTITUTE(SUBSTITUTE(TRIM(B1157&amp;""),CHAR(160),"")," ",""),"초등학교","초"),"중학교","중"),"고등학교","고")</f>
      </c>
    </row>
    <row r="1158" customFormat="false" ht="15" hidden="false" customHeight="false" outlineLevel="0" collapsed="false">
      <c r="A1158" s="8"/>
      <c r="B1158" s="8"/>
      <c r="C1158" s="8"/>
      <c r="D1158" s="8"/>
      <c r="E1158" s="8"/>
      <c r="F1158" t="str" s="15">
        <f aca="0">IF(B1158="","",IF(H1158="","확인필요(입력누락)",IF(SUMPRODUCT((실물목록!$P$2:$P$1001&lt;&gt;"")*ISNUMBER(SEARCH(실물목록!$P$2:$P$1001,I1158))*(실물목록!$Q$2:$Q$1001&lt;&gt;"")*ISNUMBER(SEARCH(실물목록!$Q$2:$Q$1001,I1158))*(실물목록!$R$2:$R$1001="")*(실물목록!$O$2:$O$1001&lt;&gt;"")*(실물목록!$O$2:$O$1001=H1158))&gt;0,"실물 있음",IF(SUMPRODUCT((실물목록!$P$2:$P$1001&lt;&gt;"")*ISNUMBER(SEARCH(실물목록!$P$2:$P$1001,I1158))*(실물목록!$R$2:$R$1001&lt;&gt;""))&gt;0,"확인필요(입력누락)",IF(SUMPRODUCT((실물목록!$P$2:$P$1001&lt;&gt;"")*ISNUMBER(SEARCH(실물목록!$P$2:$P$1001,I1158))*(실물목록!$Q$2:$Q$1001&lt;&gt;"")*ISNUMBER(SEARCH(실물목록!$Q$2:$Q$1001,I1158))*(실물목록!$R$2:$R$1001="")*(실물목록!$O$2:$O$1001&lt;&gt;""))&gt;0,"확인필요(연도다름)","실물 없음")))))</f>
      </c>
      <c r="G1158" t="n" s="16">
        <f aca="0">IF(B1158="","",SUMPRODUCT((실물목록!$P$2:$P$1001&lt;&gt;"")*ISNUMBER(SEARCH(실물목록!$P$2:$P$1001,I1158))*(실물목록!$Q$2:$Q$1001&lt;&gt;"")*ISNUMBER(SEARCH(실물목록!$Q$2:$Q$1001,I1158))*(실물목록!$R$2:$R$1001="")*(실물목록!$O$2:$O$1001&lt;&gt;"")*(실물목록!$O$2:$O$1001=H1158)))</f>
      </c>
      <c r="H1158" t="str">
        <f>IFERROR(IF(AND(LEN(SUBSTITUTE(SUBSTITUTE(SUBSTITUTE(TRIM(A1158&amp;""),CHAR(160),"")," ",""),"년",""))=4,VALUE(SUBSTITUTE(SUBSTITUTE(SUBSTITUTE(TRIM(A1158&amp;""),CHAR(160),"")," ",""),"년",""))&gt;=1900,VALUE(SUBSTITUTE(SUBSTITUTE(SUBSTITUTE(TRIM(A1158&amp;""),CHAR(160),"")," ",""),"년",""))&lt;=2099,TEXT(VALUE(SUBSTITUTE(SUBSTITUTE(SUBSTITUTE(TRIM(A1158&amp;""),CHAR(160),"")," ",""),"년","")),"0000")=SUBSTITUTE(SUBSTITUTE(SUBSTITUTE(TRIM(A1158&amp;""),CHAR(160),"")," ",""),"년","")),SUBSTITUTE(SUBSTITUTE(SUBSTITUTE(TRIM(A1158&amp;""),CHAR(160),"")," ",""),"년",""),""),"")</f>
      </c>
      <c r="I1158" t="str">
        <f>SUBSTITUTE(SUBSTITUTE(SUBSTITUTE(SUBSTITUTE(SUBSTITUTE(TRIM(B1158&amp;""),CHAR(160),"")," ",""),"초등학교","초"),"중학교","중"),"고등학교","고")</f>
      </c>
    </row>
    <row r="1159" customFormat="false" ht="15" hidden="false" customHeight="false" outlineLevel="0" collapsed="false">
      <c r="A1159" s="8"/>
      <c r="B1159" s="8"/>
      <c r="C1159" s="8"/>
      <c r="D1159" s="8"/>
      <c r="E1159" s="8"/>
      <c r="F1159" t="str" s="15">
        <f aca="0">IF(B1159="","",IF(H1159="","확인필요(입력누락)",IF(SUMPRODUCT((실물목록!$P$2:$P$1001&lt;&gt;"")*ISNUMBER(SEARCH(실물목록!$P$2:$P$1001,I1159))*(실물목록!$Q$2:$Q$1001&lt;&gt;"")*ISNUMBER(SEARCH(실물목록!$Q$2:$Q$1001,I1159))*(실물목록!$R$2:$R$1001="")*(실물목록!$O$2:$O$1001&lt;&gt;"")*(실물목록!$O$2:$O$1001=H1159))&gt;0,"실물 있음",IF(SUMPRODUCT((실물목록!$P$2:$P$1001&lt;&gt;"")*ISNUMBER(SEARCH(실물목록!$P$2:$P$1001,I1159))*(실물목록!$R$2:$R$1001&lt;&gt;""))&gt;0,"확인필요(입력누락)",IF(SUMPRODUCT((실물목록!$P$2:$P$1001&lt;&gt;"")*ISNUMBER(SEARCH(실물목록!$P$2:$P$1001,I1159))*(실물목록!$Q$2:$Q$1001&lt;&gt;"")*ISNUMBER(SEARCH(실물목록!$Q$2:$Q$1001,I1159))*(실물목록!$R$2:$R$1001="")*(실물목록!$O$2:$O$1001&lt;&gt;""))&gt;0,"확인필요(연도다름)","실물 없음")))))</f>
      </c>
      <c r="G1159" t="n" s="16">
        <f aca="0">IF(B1159="","",SUMPRODUCT((실물목록!$P$2:$P$1001&lt;&gt;"")*ISNUMBER(SEARCH(실물목록!$P$2:$P$1001,I1159))*(실물목록!$Q$2:$Q$1001&lt;&gt;"")*ISNUMBER(SEARCH(실물목록!$Q$2:$Q$1001,I1159))*(실물목록!$R$2:$R$1001="")*(실물목록!$O$2:$O$1001&lt;&gt;"")*(실물목록!$O$2:$O$1001=H1159)))</f>
      </c>
      <c r="H1159" t="str">
        <f>IFERROR(IF(AND(LEN(SUBSTITUTE(SUBSTITUTE(SUBSTITUTE(TRIM(A1159&amp;""),CHAR(160),"")," ",""),"년",""))=4,VALUE(SUBSTITUTE(SUBSTITUTE(SUBSTITUTE(TRIM(A1159&amp;""),CHAR(160),"")," ",""),"년",""))&gt;=1900,VALUE(SUBSTITUTE(SUBSTITUTE(SUBSTITUTE(TRIM(A1159&amp;""),CHAR(160),"")," ",""),"년",""))&lt;=2099,TEXT(VALUE(SUBSTITUTE(SUBSTITUTE(SUBSTITUTE(TRIM(A1159&amp;""),CHAR(160),"")," ",""),"년","")),"0000")=SUBSTITUTE(SUBSTITUTE(SUBSTITUTE(TRIM(A1159&amp;""),CHAR(160),"")," ",""),"년","")),SUBSTITUTE(SUBSTITUTE(SUBSTITUTE(TRIM(A1159&amp;""),CHAR(160),"")," ",""),"년",""),""),"")</f>
      </c>
      <c r="I1159" t="str">
        <f>SUBSTITUTE(SUBSTITUTE(SUBSTITUTE(SUBSTITUTE(SUBSTITUTE(TRIM(B1159&amp;""),CHAR(160),"")," ",""),"초등학교","초"),"중학교","중"),"고등학교","고")</f>
      </c>
    </row>
    <row r="1160" customFormat="false" ht="15" hidden="false" customHeight="false" outlineLevel="0" collapsed="false">
      <c r="A1160" s="8"/>
      <c r="B1160" s="8"/>
      <c r="C1160" s="8"/>
      <c r="D1160" s="8"/>
      <c r="E1160" s="8"/>
      <c r="F1160" t="str" s="15">
        <f aca="0">IF(B1160="","",IF(H1160="","확인필요(입력누락)",IF(SUMPRODUCT((실물목록!$P$2:$P$1001&lt;&gt;"")*ISNUMBER(SEARCH(실물목록!$P$2:$P$1001,I1160))*(실물목록!$Q$2:$Q$1001&lt;&gt;"")*ISNUMBER(SEARCH(실물목록!$Q$2:$Q$1001,I1160))*(실물목록!$R$2:$R$1001="")*(실물목록!$O$2:$O$1001&lt;&gt;"")*(실물목록!$O$2:$O$1001=H1160))&gt;0,"실물 있음",IF(SUMPRODUCT((실물목록!$P$2:$P$1001&lt;&gt;"")*ISNUMBER(SEARCH(실물목록!$P$2:$P$1001,I1160))*(실물목록!$R$2:$R$1001&lt;&gt;""))&gt;0,"확인필요(입력누락)",IF(SUMPRODUCT((실물목록!$P$2:$P$1001&lt;&gt;"")*ISNUMBER(SEARCH(실물목록!$P$2:$P$1001,I1160))*(실물목록!$Q$2:$Q$1001&lt;&gt;"")*ISNUMBER(SEARCH(실물목록!$Q$2:$Q$1001,I1160))*(실물목록!$R$2:$R$1001="")*(실물목록!$O$2:$O$1001&lt;&gt;""))&gt;0,"확인필요(연도다름)","실물 없음")))))</f>
      </c>
      <c r="G1160" t="n" s="16">
        <f aca="0">IF(B1160="","",SUMPRODUCT((실물목록!$P$2:$P$1001&lt;&gt;"")*ISNUMBER(SEARCH(실물목록!$P$2:$P$1001,I1160))*(실물목록!$Q$2:$Q$1001&lt;&gt;"")*ISNUMBER(SEARCH(실물목록!$Q$2:$Q$1001,I1160))*(실물목록!$R$2:$R$1001="")*(실물목록!$O$2:$O$1001&lt;&gt;"")*(실물목록!$O$2:$O$1001=H1160)))</f>
      </c>
      <c r="H1160" t="str">
        <f>IFERROR(IF(AND(LEN(SUBSTITUTE(SUBSTITUTE(SUBSTITUTE(TRIM(A1160&amp;""),CHAR(160),"")," ",""),"년",""))=4,VALUE(SUBSTITUTE(SUBSTITUTE(SUBSTITUTE(TRIM(A1160&amp;""),CHAR(160),"")," ",""),"년",""))&gt;=1900,VALUE(SUBSTITUTE(SUBSTITUTE(SUBSTITUTE(TRIM(A1160&amp;""),CHAR(160),"")," ",""),"년",""))&lt;=2099,TEXT(VALUE(SUBSTITUTE(SUBSTITUTE(SUBSTITUTE(TRIM(A1160&amp;""),CHAR(160),"")," ",""),"년","")),"0000")=SUBSTITUTE(SUBSTITUTE(SUBSTITUTE(TRIM(A1160&amp;""),CHAR(160),"")," ",""),"년","")),SUBSTITUTE(SUBSTITUTE(SUBSTITUTE(TRIM(A1160&amp;""),CHAR(160),"")," ",""),"년",""),""),"")</f>
      </c>
      <c r="I1160" t="str">
        <f>SUBSTITUTE(SUBSTITUTE(SUBSTITUTE(SUBSTITUTE(SUBSTITUTE(TRIM(B1160&amp;""),CHAR(160),"")," ",""),"초등학교","초"),"중학교","중"),"고등학교","고")</f>
      </c>
    </row>
    <row r="1161" customFormat="false" ht="15" hidden="false" customHeight="false" outlineLevel="0" collapsed="false">
      <c r="A1161" s="8"/>
      <c r="B1161" s="8"/>
      <c r="C1161" s="8"/>
      <c r="D1161" s="8"/>
      <c r="E1161" s="8"/>
      <c r="F1161" t="str" s="15">
        <f aca="0">IF(B1161="","",IF(H1161="","확인필요(입력누락)",IF(SUMPRODUCT((실물목록!$P$2:$P$1001&lt;&gt;"")*ISNUMBER(SEARCH(실물목록!$P$2:$P$1001,I1161))*(실물목록!$Q$2:$Q$1001&lt;&gt;"")*ISNUMBER(SEARCH(실물목록!$Q$2:$Q$1001,I1161))*(실물목록!$R$2:$R$1001="")*(실물목록!$O$2:$O$1001&lt;&gt;"")*(실물목록!$O$2:$O$1001=H1161))&gt;0,"실물 있음",IF(SUMPRODUCT((실물목록!$P$2:$P$1001&lt;&gt;"")*ISNUMBER(SEARCH(실물목록!$P$2:$P$1001,I1161))*(실물목록!$R$2:$R$1001&lt;&gt;""))&gt;0,"확인필요(입력누락)",IF(SUMPRODUCT((실물목록!$P$2:$P$1001&lt;&gt;"")*ISNUMBER(SEARCH(실물목록!$P$2:$P$1001,I1161))*(실물목록!$Q$2:$Q$1001&lt;&gt;"")*ISNUMBER(SEARCH(실물목록!$Q$2:$Q$1001,I1161))*(실물목록!$R$2:$R$1001="")*(실물목록!$O$2:$O$1001&lt;&gt;""))&gt;0,"확인필요(연도다름)","실물 없음")))))</f>
      </c>
      <c r="G1161" t="n" s="16">
        <f aca="0">IF(B1161="","",SUMPRODUCT((실물목록!$P$2:$P$1001&lt;&gt;"")*ISNUMBER(SEARCH(실물목록!$P$2:$P$1001,I1161))*(실물목록!$Q$2:$Q$1001&lt;&gt;"")*ISNUMBER(SEARCH(실물목록!$Q$2:$Q$1001,I1161))*(실물목록!$R$2:$R$1001="")*(실물목록!$O$2:$O$1001&lt;&gt;"")*(실물목록!$O$2:$O$1001=H1161)))</f>
      </c>
      <c r="H1161" t="str">
        <f>IFERROR(IF(AND(LEN(SUBSTITUTE(SUBSTITUTE(SUBSTITUTE(TRIM(A1161&amp;""),CHAR(160),"")," ",""),"년",""))=4,VALUE(SUBSTITUTE(SUBSTITUTE(SUBSTITUTE(TRIM(A1161&amp;""),CHAR(160),"")," ",""),"년",""))&gt;=1900,VALUE(SUBSTITUTE(SUBSTITUTE(SUBSTITUTE(TRIM(A1161&amp;""),CHAR(160),"")," ",""),"년",""))&lt;=2099,TEXT(VALUE(SUBSTITUTE(SUBSTITUTE(SUBSTITUTE(TRIM(A1161&amp;""),CHAR(160),"")," ",""),"년","")),"0000")=SUBSTITUTE(SUBSTITUTE(SUBSTITUTE(TRIM(A1161&amp;""),CHAR(160),"")," ",""),"년","")),SUBSTITUTE(SUBSTITUTE(SUBSTITUTE(TRIM(A1161&amp;""),CHAR(160),"")," ",""),"년",""),""),"")</f>
      </c>
      <c r="I1161" t="str">
        <f>SUBSTITUTE(SUBSTITUTE(SUBSTITUTE(SUBSTITUTE(SUBSTITUTE(TRIM(B1161&amp;""),CHAR(160),"")," ",""),"초등학교","초"),"중학교","중"),"고등학교","고")</f>
      </c>
    </row>
    <row r="1162" customFormat="false" ht="15" hidden="false" customHeight="false" outlineLevel="0" collapsed="false">
      <c r="A1162" s="8"/>
      <c r="B1162" s="8"/>
      <c r="C1162" s="8"/>
      <c r="D1162" s="8"/>
      <c r="E1162" s="8"/>
      <c r="F1162" t="str" s="15">
        <f aca="0">IF(B1162="","",IF(H1162="","확인필요(입력누락)",IF(SUMPRODUCT((실물목록!$P$2:$P$1001&lt;&gt;"")*ISNUMBER(SEARCH(실물목록!$P$2:$P$1001,I1162))*(실물목록!$Q$2:$Q$1001&lt;&gt;"")*ISNUMBER(SEARCH(실물목록!$Q$2:$Q$1001,I1162))*(실물목록!$R$2:$R$1001="")*(실물목록!$O$2:$O$1001&lt;&gt;"")*(실물목록!$O$2:$O$1001=H1162))&gt;0,"실물 있음",IF(SUMPRODUCT((실물목록!$P$2:$P$1001&lt;&gt;"")*ISNUMBER(SEARCH(실물목록!$P$2:$P$1001,I1162))*(실물목록!$R$2:$R$1001&lt;&gt;""))&gt;0,"확인필요(입력누락)",IF(SUMPRODUCT((실물목록!$P$2:$P$1001&lt;&gt;"")*ISNUMBER(SEARCH(실물목록!$P$2:$P$1001,I1162))*(실물목록!$Q$2:$Q$1001&lt;&gt;"")*ISNUMBER(SEARCH(실물목록!$Q$2:$Q$1001,I1162))*(실물목록!$R$2:$R$1001="")*(실물목록!$O$2:$O$1001&lt;&gt;""))&gt;0,"확인필요(연도다름)","실물 없음")))))</f>
      </c>
      <c r="G1162" t="n" s="16">
        <f aca="0">IF(B1162="","",SUMPRODUCT((실물목록!$P$2:$P$1001&lt;&gt;"")*ISNUMBER(SEARCH(실물목록!$P$2:$P$1001,I1162))*(실물목록!$Q$2:$Q$1001&lt;&gt;"")*ISNUMBER(SEARCH(실물목록!$Q$2:$Q$1001,I1162))*(실물목록!$R$2:$R$1001="")*(실물목록!$O$2:$O$1001&lt;&gt;"")*(실물목록!$O$2:$O$1001=H1162)))</f>
      </c>
      <c r="H1162" t="str">
        <f>IFERROR(IF(AND(LEN(SUBSTITUTE(SUBSTITUTE(SUBSTITUTE(TRIM(A1162&amp;""),CHAR(160),"")," ",""),"년",""))=4,VALUE(SUBSTITUTE(SUBSTITUTE(SUBSTITUTE(TRIM(A1162&amp;""),CHAR(160),"")," ",""),"년",""))&gt;=1900,VALUE(SUBSTITUTE(SUBSTITUTE(SUBSTITUTE(TRIM(A1162&amp;""),CHAR(160),"")," ",""),"년",""))&lt;=2099,TEXT(VALUE(SUBSTITUTE(SUBSTITUTE(SUBSTITUTE(TRIM(A1162&amp;""),CHAR(160),"")," ",""),"년","")),"0000")=SUBSTITUTE(SUBSTITUTE(SUBSTITUTE(TRIM(A1162&amp;""),CHAR(160),"")," ",""),"년","")),SUBSTITUTE(SUBSTITUTE(SUBSTITUTE(TRIM(A1162&amp;""),CHAR(160),"")," ",""),"년",""),""),"")</f>
      </c>
      <c r="I1162" t="str">
        <f>SUBSTITUTE(SUBSTITUTE(SUBSTITUTE(SUBSTITUTE(SUBSTITUTE(TRIM(B1162&amp;""),CHAR(160),"")," ",""),"초등학교","초"),"중학교","중"),"고등학교","고")</f>
      </c>
    </row>
    <row r="1163" customFormat="false" ht="15" hidden="false" customHeight="false" outlineLevel="0" collapsed="false">
      <c r="A1163" s="8"/>
      <c r="B1163" s="8"/>
      <c r="C1163" s="8"/>
      <c r="D1163" s="8"/>
      <c r="E1163" s="8"/>
      <c r="F1163" t="str" s="15">
        <f aca="0">IF(B1163="","",IF(H1163="","확인필요(입력누락)",IF(SUMPRODUCT((실물목록!$P$2:$P$1001&lt;&gt;"")*ISNUMBER(SEARCH(실물목록!$P$2:$P$1001,I1163))*(실물목록!$Q$2:$Q$1001&lt;&gt;"")*ISNUMBER(SEARCH(실물목록!$Q$2:$Q$1001,I1163))*(실물목록!$R$2:$R$1001="")*(실물목록!$O$2:$O$1001&lt;&gt;"")*(실물목록!$O$2:$O$1001=H1163))&gt;0,"실물 있음",IF(SUMPRODUCT((실물목록!$P$2:$P$1001&lt;&gt;"")*ISNUMBER(SEARCH(실물목록!$P$2:$P$1001,I1163))*(실물목록!$R$2:$R$1001&lt;&gt;""))&gt;0,"확인필요(입력누락)",IF(SUMPRODUCT((실물목록!$P$2:$P$1001&lt;&gt;"")*ISNUMBER(SEARCH(실물목록!$P$2:$P$1001,I1163))*(실물목록!$Q$2:$Q$1001&lt;&gt;"")*ISNUMBER(SEARCH(실물목록!$Q$2:$Q$1001,I1163))*(실물목록!$R$2:$R$1001="")*(실물목록!$O$2:$O$1001&lt;&gt;""))&gt;0,"확인필요(연도다름)","실물 없음")))))</f>
      </c>
      <c r="G1163" t="n" s="16">
        <f aca="0">IF(B1163="","",SUMPRODUCT((실물목록!$P$2:$P$1001&lt;&gt;"")*ISNUMBER(SEARCH(실물목록!$P$2:$P$1001,I1163))*(실물목록!$Q$2:$Q$1001&lt;&gt;"")*ISNUMBER(SEARCH(실물목록!$Q$2:$Q$1001,I1163))*(실물목록!$R$2:$R$1001="")*(실물목록!$O$2:$O$1001&lt;&gt;"")*(실물목록!$O$2:$O$1001=H1163)))</f>
      </c>
      <c r="H1163" t="str">
        <f>IFERROR(IF(AND(LEN(SUBSTITUTE(SUBSTITUTE(SUBSTITUTE(TRIM(A1163&amp;""),CHAR(160),"")," ",""),"년",""))=4,VALUE(SUBSTITUTE(SUBSTITUTE(SUBSTITUTE(TRIM(A1163&amp;""),CHAR(160),"")," ",""),"년",""))&gt;=1900,VALUE(SUBSTITUTE(SUBSTITUTE(SUBSTITUTE(TRIM(A1163&amp;""),CHAR(160),"")," ",""),"년",""))&lt;=2099,TEXT(VALUE(SUBSTITUTE(SUBSTITUTE(SUBSTITUTE(TRIM(A1163&amp;""),CHAR(160),"")," ",""),"년","")),"0000")=SUBSTITUTE(SUBSTITUTE(SUBSTITUTE(TRIM(A1163&amp;""),CHAR(160),"")," ",""),"년","")),SUBSTITUTE(SUBSTITUTE(SUBSTITUTE(TRIM(A1163&amp;""),CHAR(160),"")," ",""),"년",""),""),"")</f>
      </c>
      <c r="I1163" t="str">
        <f>SUBSTITUTE(SUBSTITUTE(SUBSTITUTE(SUBSTITUTE(SUBSTITUTE(TRIM(B1163&amp;""),CHAR(160),"")," ",""),"초등학교","초"),"중학교","중"),"고등학교","고")</f>
      </c>
    </row>
    <row r="1164" customFormat="false" ht="15" hidden="false" customHeight="false" outlineLevel="0" collapsed="false">
      <c r="A1164" s="8"/>
      <c r="B1164" s="8"/>
      <c r="C1164" s="8"/>
      <c r="D1164" s="8"/>
      <c r="E1164" s="8"/>
      <c r="F1164" t="str" s="15">
        <f aca="0">IF(B1164="","",IF(H1164="","확인필요(입력누락)",IF(SUMPRODUCT((실물목록!$P$2:$P$1001&lt;&gt;"")*ISNUMBER(SEARCH(실물목록!$P$2:$P$1001,I1164))*(실물목록!$Q$2:$Q$1001&lt;&gt;"")*ISNUMBER(SEARCH(실물목록!$Q$2:$Q$1001,I1164))*(실물목록!$R$2:$R$1001="")*(실물목록!$O$2:$O$1001&lt;&gt;"")*(실물목록!$O$2:$O$1001=H1164))&gt;0,"실물 있음",IF(SUMPRODUCT((실물목록!$P$2:$P$1001&lt;&gt;"")*ISNUMBER(SEARCH(실물목록!$P$2:$P$1001,I1164))*(실물목록!$R$2:$R$1001&lt;&gt;""))&gt;0,"확인필요(입력누락)",IF(SUMPRODUCT((실물목록!$P$2:$P$1001&lt;&gt;"")*ISNUMBER(SEARCH(실물목록!$P$2:$P$1001,I1164))*(실물목록!$Q$2:$Q$1001&lt;&gt;"")*ISNUMBER(SEARCH(실물목록!$Q$2:$Q$1001,I1164))*(실물목록!$R$2:$R$1001="")*(실물목록!$O$2:$O$1001&lt;&gt;""))&gt;0,"확인필요(연도다름)","실물 없음")))))</f>
      </c>
      <c r="G1164" t="n" s="16">
        <f aca="0">IF(B1164="","",SUMPRODUCT((실물목록!$P$2:$P$1001&lt;&gt;"")*ISNUMBER(SEARCH(실물목록!$P$2:$P$1001,I1164))*(실물목록!$Q$2:$Q$1001&lt;&gt;"")*ISNUMBER(SEARCH(실물목록!$Q$2:$Q$1001,I1164))*(실물목록!$R$2:$R$1001="")*(실물목록!$O$2:$O$1001&lt;&gt;"")*(실물목록!$O$2:$O$1001=H1164)))</f>
      </c>
      <c r="H1164" t="str">
        <f>IFERROR(IF(AND(LEN(SUBSTITUTE(SUBSTITUTE(SUBSTITUTE(TRIM(A1164&amp;""),CHAR(160),"")," ",""),"년",""))=4,VALUE(SUBSTITUTE(SUBSTITUTE(SUBSTITUTE(TRIM(A1164&amp;""),CHAR(160),"")," ",""),"년",""))&gt;=1900,VALUE(SUBSTITUTE(SUBSTITUTE(SUBSTITUTE(TRIM(A1164&amp;""),CHAR(160),"")," ",""),"년",""))&lt;=2099,TEXT(VALUE(SUBSTITUTE(SUBSTITUTE(SUBSTITUTE(TRIM(A1164&amp;""),CHAR(160),"")," ",""),"년","")),"0000")=SUBSTITUTE(SUBSTITUTE(SUBSTITUTE(TRIM(A1164&amp;""),CHAR(160),"")," ",""),"년","")),SUBSTITUTE(SUBSTITUTE(SUBSTITUTE(TRIM(A1164&amp;""),CHAR(160),"")," ",""),"년",""),""),"")</f>
      </c>
      <c r="I1164" t="str">
        <f>SUBSTITUTE(SUBSTITUTE(SUBSTITUTE(SUBSTITUTE(SUBSTITUTE(TRIM(B1164&amp;""),CHAR(160),"")," ",""),"초등학교","초"),"중학교","중"),"고등학교","고")</f>
      </c>
    </row>
    <row r="1165" customFormat="false" ht="15" hidden="false" customHeight="false" outlineLevel="0" collapsed="false">
      <c r="A1165" s="8"/>
      <c r="B1165" s="8"/>
      <c r="C1165" s="8"/>
      <c r="D1165" s="8"/>
      <c r="E1165" s="8"/>
      <c r="F1165" t="str" s="15">
        <f aca="0">IF(B1165="","",IF(H1165="","확인필요(입력누락)",IF(SUMPRODUCT((실물목록!$P$2:$P$1001&lt;&gt;"")*ISNUMBER(SEARCH(실물목록!$P$2:$P$1001,I1165))*(실물목록!$Q$2:$Q$1001&lt;&gt;"")*ISNUMBER(SEARCH(실물목록!$Q$2:$Q$1001,I1165))*(실물목록!$R$2:$R$1001="")*(실물목록!$O$2:$O$1001&lt;&gt;"")*(실물목록!$O$2:$O$1001=H1165))&gt;0,"실물 있음",IF(SUMPRODUCT((실물목록!$P$2:$P$1001&lt;&gt;"")*ISNUMBER(SEARCH(실물목록!$P$2:$P$1001,I1165))*(실물목록!$R$2:$R$1001&lt;&gt;""))&gt;0,"확인필요(입력누락)",IF(SUMPRODUCT((실물목록!$P$2:$P$1001&lt;&gt;"")*ISNUMBER(SEARCH(실물목록!$P$2:$P$1001,I1165))*(실물목록!$Q$2:$Q$1001&lt;&gt;"")*ISNUMBER(SEARCH(실물목록!$Q$2:$Q$1001,I1165))*(실물목록!$R$2:$R$1001="")*(실물목록!$O$2:$O$1001&lt;&gt;""))&gt;0,"확인필요(연도다름)","실물 없음")))))</f>
      </c>
      <c r="G1165" t="n" s="16">
        <f aca="0">IF(B1165="","",SUMPRODUCT((실물목록!$P$2:$P$1001&lt;&gt;"")*ISNUMBER(SEARCH(실물목록!$P$2:$P$1001,I1165))*(실물목록!$Q$2:$Q$1001&lt;&gt;"")*ISNUMBER(SEARCH(실물목록!$Q$2:$Q$1001,I1165))*(실물목록!$R$2:$R$1001="")*(실물목록!$O$2:$O$1001&lt;&gt;"")*(실물목록!$O$2:$O$1001=H1165)))</f>
      </c>
      <c r="H1165" t="str">
        <f>IFERROR(IF(AND(LEN(SUBSTITUTE(SUBSTITUTE(SUBSTITUTE(TRIM(A1165&amp;""),CHAR(160),"")," ",""),"년",""))=4,VALUE(SUBSTITUTE(SUBSTITUTE(SUBSTITUTE(TRIM(A1165&amp;""),CHAR(160),"")," ",""),"년",""))&gt;=1900,VALUE(SUBSTITUTE(SUBSTITUTE(SUBSTITUTE(TRIM(A1165&amp;""),CHAR(160),"")," ",""),"년",""))&lt;=2099,TEXT(VALUE(SUBSTITUTE(SUBSTITUTE(SUBSTITUTE(TRIM(A1165&amp;""),CHAR(160),"")," ",""),"년","")),"0000")=SUBSTITUTE(SUBSTITUTE(SUBSTITUTE(TRIM(A1165&amp;""),CHAR(160),"")," ",""),"년","")),SUBSTITUTE(SUBSTITUTE(SUBSTITUTE(TRIM(A1165&amp;""),CHAR(160),"")," ",""),"년",""),""),"")</f>
      </c>
      <c r="I1165" t="str">
        <f>SUBSTITUTE(SUBSTITUTE(SUBSTITUTE(SUBSTITUTE(SUBSTITUTE(TRIM(B1165&amp;""),CHAR(160),"")," ",""),"초등학교","초"),"중학교","중"),"고등학교","고")</f>
      </c>
    </row>
    <row r="1166" customFormat="false" ht="15" hidden="false" customHeight="false" outlineLevel="0" collapsed="false">
      <c r="A1166" s="8"/>
      <c r="B1166" s="8"/>
      <c r="C1166" s="8"/>
      <c r="D1166" s="8"/>
      <c r="E1166" s="8"/>
      <c r="F1166" t="str" s="15">
        <f aca="0">IF(B1166="","",IF(H1166="","확인필요(입력누락)",IF(SUMPRODUCT((실물목록!$P$2:$P$1001&lt;&gt;"")*ISNUMBER(SEARCH(실물목록!$P$2:$P$1001,I1166))*(실물목록!$Q$2:$Q$1001&lt;&gt;"")*ISNUMBER(SEARCH(실물목록!$Q$2:$Q$1001,I1166))*(실물목록!$R$2:$R$1001="")*(실물목록!$O$2:$O$1001&lt;&gt;"")*(실물목록!$O$2:$O$1001=H1166))&gt;0,"실물 있음",IF(SUMPRODUCT((실물목록!$P$2:$P$1001&lt;&gt;"")*ISNUMBER(SEARCH(실물목록!$P$2:$P$1001,I1166))*(실물목록!$R$2:$R$1001&lt;&gt;""))&gt;0,"확인필요(입력누락)",IF(SUMPRODUCT((실물목록!$P$2:$P$1001&lt;&gt;"")*ISNUMBER(SEARCH(실물목록!$P$2:$P$1001,I1166))*(실물목록!$Q$2:$Q$1001&lt;&gt;"")*ISNUMBER(SEARCH(실물목록!$Q$2:$Q$1001,I1166))*(실물목록!$R$2:$R$1001="")*(실물목록!$O$2:$O$1001&lt;&gt;""))&gt;0,"확인필요(연도다름)","실물 없음")))))</f>
      </c>
      <c r="G1166" t="n" s="16">
        <f aca="0">IF(B1166="","",SUMPRODUCT((실물목록!$P$2:$P$1001&lt;&gt;"")*ISNUMBER(SEARCH(실물목록!$P$2:$P$1001,I1166))*(실물목록!$Q$2:$Q$1001&lt;&gt;"")*ISNUMBER(SEARCH(실물목록!$Q$2:$Q$1001,I1166))*(실물목록!$R$2:$R$1001="")*(실물목록!$O$2:$O$1001&lt;&gt;"")*(실물목록!$O$2:$O$1001=H1166)))</f>
      </c>
      <c r="H1166" t="str">
        <f>IFERROR(IF(AND(LEN(SUBSTITUTE(SUBSTITUTE(SUBSTITUTE(TRIM(A1166&amp;""),CHAR(160),"")," ",""),"년",""))=4,VALUE(SUBSTITUTE(SUBSTITUTE(SUBSTITUTE(TRIM(A1166&amp;""),CHAR(160),"")," ",""),"년",""))&gt;=1900,VALUE(SUBSTITUTE(SUBSTITUTE(SUBSTITUTE(TRIM(A1166&amp;""),CHAR(160),"")," ",""),"년",""))&lt;=2099,TEXT(VALUE(SUBSTITUTE(SUBSTITUTE(SUBSTITUTE(TRIM(A1166&amp;""),CHAR(160),"")," ",""),"년","")),"0000")=SUBSTITUTE(SUBSTITUTE(SUBSTITUTE(TRIM(A1166&amp;""),CHAR(160),"")," ",""),"년","")),SUBSTITUTE(SUBSTITUTE(SUBSTITUTE(TRIM(A1166&amp;""),CHAR(160),"")," ",""),"년",""),""),"")</f>
      </c>
      <c r="I1166" t="str">
        <f>SUBSTITUTE(SUBSTITUTE(SUBSTITUTE(SUBSTITUTE(SUBSTITUTE(TRIM(B1166&amp;""),CHAR(160),"")," ",""),"초등학교","초"),"중학교","중"),"고등학교","고")</f>
      </c>
    </row>
    <row r="1167" customFormat="false" ht="15" hidden="false" customHeight="false" outlineLevel="0" collapsed="false">
      <c r="A1167" s="8"/>
      <c r="B1167" s="8"/>
      <c r="C1167" s="8"/>
      <c r="D1167" s="8"/>
      <c r="E1167" s="8"/>
      <c r="F1167" t="str" s="15">
        <f aca="0">IF(B1167="","",IF(H1167="","확인필요(입력누락)",IF(SUMPRODUCT((실물목록!$P$2:$P$1001&lt;&gt;"")*ISNUMBER(SEARCH(실물목록!$P$2:$P$1001,I1167))*(실물목록!$Q$2:$Q$1001&lt;&gt;"")*ISNUMBER(SEARCH(실물목록!$Q$2:$Q$1001,I1167))*(실물목록!$R$2:$R$1001="")*(실물목록!$O$2:$O$1001&lt;&gt;"")*(실물목록!$O$2:$O$1001=H1167))&gt;0,"실물 있음",IF(SUMPRODUCT((실물목록!$P$2:$P$1001&lt;&gt;"")*ISNUMBER(SEARCH(실물목록!$P$2:$P$1001,I1167))*(실물목록!$R$2:$R$1001&lt;&gt;""))&gt;0,"확인필요(입력누락)",IF(SUMPRODUCT((실물목록!$P$2:$P$1001&lt;&gt;"")*ISNUMBER(SEARCH(실물목록!$P$2:$P$1001,I1167))*(실물목록!$Q$2:$Q$1001&lt;&gt;"")*ISNUMBER(SEARCH(실물목록!$Q$2:$Q$1001,I1167))*(실물목록!$R$2:$R$1001="")*(실물목록!$O$2:$O$1001&lt;&gt;""))&gt;0,"확인필요(연도다름)","실물 없음")))))</f>
      </c>
      <c r="G1167" t="n" s="16">
        <f aca="0">IF(B1167="","",SUMPRODUCT((실물목록!$P$2:$P$1001&lt;&gt;"")*ISNUMBER(SEARCH(실물목록!$P$2:$P$1001,I1167))*(실물목록!$Q$2:$Q$1001&lt;&gt;"")*ISNUMBER(SEARCH(실물목록!$Q$2:$Q$1001,I1167))*(실물목록!$R$2:$R$1001="")*(실물목록!$O$2:$O$1001&lt;&gt;"")*(실물목록!$O$2:$O$1001=H1167)))</f>
      </c>
      <c r="H1167" t="str">
        <f>IFERROR(IF(AND(LEN(SUBSTITUTE(SUBSTITUTE(SUBSTITUTE(TRIM(A1167&amp;""),CHAR(160),"")," ",""),"년",""))=4,VALUE(SUBSTITUTE(SUBSTITUTE(SUBSTITUTE(TRIM(A1167&amp;""),CHAR(160),"")," ",""),"년",""))&gt;=1900,VALUE(SUBSTITUTE(SUBSTITUTE(SUBSTITUTE(TRIM(A1167&amp;""),CHAR(160),"")," ",""),"년",""))&lt;=2099,TEXT(VALUE(SUBSTITUTE(SUBSTITUTE(SUBSTITUTE(TRIM(A1167&amp;""),CHAR(160),"")," ",""),"년","")),"0000")=SUBSTITUTE(SUBSTITUTE(SUBSTITUTE(TRIM(A1167&amp;""),CHAR(160),"")," ",""),"년","")),SUBSTITUTE(SUBSTITUTE(SUBSTITUTE(TRIM(A1167&amp;""),CHAR(160),"")," ",""),"년",""),""),"")</f>
      </c>
      <c r="I1167" t="str">
        <f>SUBSTITUTE(SUBSTITUTE(SUBSTITUTE(SUBSTITUTE(SUBSTITUTE(TRIM(B1167&amp;""),CHAR(160),"")," ",""),"초등학교","초"),"중학교","중"),"고등학교","고")</f>
      </c>
    </row>
    <row r="1168" customFormat="false" ht="15" hidden="false" customHeight="false" outlineLevel="0" collapsed="false">
      <c r="A1168" s="8"/>
      <c r="B1168" s="8"/>
      <c r="C1168" s="8"/>
      <c r="D1168" s="8"/>
      <c r="E1168" s="8"/>
      <c r="F1168" t="str" s="15">
        <f aca="0">IF(B1168="","",IF(H1168="","확인필요(입력누락)",IF(SUMPRODUCT((실물목록!$P$2:$P$1001&lt;&gt;"")*ISNUMBER(SEARCH(실물목록!$P$2:$P$1001,I1168))*(실물목록!$Q$2:$Q$1001&lt;&gt;"")*ISNUMBER(SEARCH(실물목록!$Q$2:$Q$1001,I1168))*(실물목록!$R$2:$R$1001="")*(실물목록!$O$2:$O$1001&lt;&gt;"")*(실물목록!$O$2:$O$1001=H1168))&gt;0,"실물 있음",IF(SUMPRODUCT((실물목록!$P$2:$P$1001&lt;&gt;"")*ISNUMBER(SEARCH(실물목록!$P$2:$P$1001,I1168))*(실물목록!$R$2:$R$1001&lt;&gt;""))&gt;0,"확인필요(입력누락)",IF(SUMPRODUCT((실물목록!$P$2:$P$1001&lt;&gt;"")*ISNUMBER(SEARCH(실물목록!$P$2:$P$1001,I1168))*(실물목록!$Q$2:$Q$1001&lt;&gt;"")*ISNUMBER(SEARCH(실물목록!$Q$2:$Q$1001,I1168))*(실물목록!$R$2:$R$1001="")*(실물목록!$O$2:$O$1001&lt;&gt;""))&gt;0,"확인필요(연도다름)","실물 없음")))))</f>
      </c>
      <c r="G1168" t="n" s="16">
        <f aca="0">IF(B1168="","",SUMPRODUCT((실물목록!$P$2:$P$1001&lt;&gt;"")*ISNUMBER(SEARCH(실물목록!$P$2:$P$1001,I1168))*(실물목록!$Q$2:$Q$1001&lt;&gt;"")*ISNUMBER(SEARCH(실물목록!$Q$2:$Q$1001,I1168))*(실물목록!$R$2:$R$1001="")*(실물목록!$O$2:$O$1001&lt;&gt;"")*(실물목록!$O$2:$O$1001=H1168)))</f>
      </c>
      <c r="H1168" t="str">
        <f>IFERROR(IF(AND(LEN(SUBSTITUTE(SUBSTITUTE(SUBSTITUTE(TRIM(A1168&amp;""),CHAR(160),"")," ",""),"년",""))=4,VALUE(SUBSTITUTE(SUBSTITUTE(SUBSTITUTE(TRIM(A1168&amp;""),CHAR(160),"")," ",""),"년",""))&gt;=1900,VALUE(SUBSTITUTE(SUBSTITUTE(SUBSTITUTE(TRIM(A1168&amp;""),CHAR(160),"")," ",""),"년",""))&lt;=2099,TEXT(VALUE(SUBSTITUTE(SUBSTITUTE(SUBSTITUTE(TRIM(A1168&amp;""),CHAR(160),"")," ",""),"년","")),"0000")=SUBSTITUTE(SUBSTITUTE(SUBSTITUTE(TRIM(A1168&amp;""),CHAR(160),"")," ",""),"년","")),SUBSTITUTE(SUBSTITUTE(SUBSTITUTE(TRIM(A1168&amp;""),CHAR(160),"")," ",""),"년",""),""),"")</f>
      </c>
      <c r="I1168" t="str">
        <f>SUBSTITUTE(SUBSTITUTE(SUBSTITUTE(SUBSTITUTE(SUBSTITUTE(TRIM(B1168&amp;""),CHAR(160),"")," ",""),"초등학교","초"),"중학교","중"),"고등학교","고")</f>
      </c>
    </row>
    <row r="1169" customFormat="false" ht="15" hidden="false" customHeight="false" outlineLevel="0" collapsed="false">
      <c r="A1169" s="8"/>
      <c r="B1169" s="8"/>
      <c r="C1169" s="8"/>
      <c r="D1169" s="8"/>
      <c r="E1169" s="8"/>
      <c r="F1169" t="str" s="15">
        <f aca="0">IF(B1169="","",IF(H1169="","확인필요(입력누락)",IF(SUMPRODUCT((실물목록!$P$2:$P$1001&lt;&gt;"")*ISNUMBER(SEARCH(실물목록!$P$2:$P$1001,I1169))*(실물목록!$Q$2:$Q$1001&lt;&gt;"")*ISNUMBER(SEARCH(실물목록!$Q$2:$Q$1001,I1169))*(실물목록!$R$2:$R$1001="")*(실물목록!$O$2:$O$1001&lt;&gt;"")*(실물목록!$O$2:$O$1001=H1169))&gt;0,"실물 있음",IF(SUMPRODUCT((실물목록!$P$2:$P$1001&lt;&gt;"")*ISNUMBER(SEARCH(실물목록!$P$2:$P$1001,I1169))*(실물목록!$R$2:$R$1001&lt;&gt;""))&gt;0,"확인필요(입력누락)",IF(SUMPRODUCT((실물목록!$P$2:$P$1001&lt;&gt;"")*ISNUMBER(SEARCH(실물목록!$P$2:$P$1001,I1169))*(실물목록!$Q$2:$Q$1001&lt;&gt;"")*ISNUMBER(SEARCH(실물목록!$Q$2:$Q$1001,I1169))*(실물목록!$R$2:$R$1001="")*(실물목록!$O$2:$O$1001&lt;&gt;""))&gt;0,"확인필요(연도다름)","실물 없음")))))</f>
      </c>
      <c r="G1169" t="n" s="16">
        <f aca="0">IF(B1169="","",SUMPRODUCT((실물목록!$P$2:$P$1001&lt;&gt;"")*ISNUMBER(SEARCH(실물목록!$P$2:$P$1001,I1169))*(실물목록!$Q$2:$Q$1001&lt;&gt;"")*ISNUMBER(SEARCH(실물목록!$Q$2:$Q$1001,I1169))*(실물목록!$R$2:$R$1001="")*(실물목록!$O$2:$O$1001&lt;&gt;"")*(실물목록!$O$2:$O$1001=H1169)))</f>
      </c>
      <c r="H1169" t="str">
        <f>IFERROR(IF(AND(LEN(SUBSTITUTE(SUBSTITUTE(SUBSTITUTE(TRIM(A1169&amp;""),CHAR(160),"")," ",""),"년",""))=4,VALUE(SUBSTITUTE(SUBSTITUTE(SUBSTITUTE(TRIM(A1169&amp;""),CHAR(160),"")," ",""),"년",""))&gt;=1900,VALUE(SUBSTITUTE(SUBSTITUTE(SUBSTITUTE(TRIM(A1169&amp;""),CHAR(160),"")," ",""),"년",""))&lt;=2099,TEXT(VALUE(SUBSTITUTE(SUBSTITUTE(SUBSTITUTE(TRIM(A1169&amp;""),CHAR(160),"")," ",""),"년","")),"0000")=SUBSTITUTE(SUBSTITUTE(SUBSTITUTE(TRIM(A1169&amp;""),CHAR(160),"")," ",""),"년","")),SUBSTITUTE(SUBSTITUTE(SUBSTITUTE(TRIM(A1169&amp;""),CHAR(160),"")," ",""),"년",""),""),"")</f>
      </c>
      <c r="I1169" t="str">
        <f>SUBSTITUTE(SUBSTITUTE(SUBSTITUTE(SUBSTITUTE(SUBSTITUTE(TRIM(B1169&amp;""),CHAR(160),"")," ",""),"초등학교","초"),"중학교","중"),"고등학교","고")</f>
      </c>
    </row>
    <row r="1170" customFormat="false" ht="15" hidden="false" customHeight="false" outlineLevel="0" collapsed="false">
      <c r="A1170" s="8"/>
      <c r="B1170" s="8"/>
      <c r="C1170" s="8"/>
      <c r="D1170" s="8"/>
      <c r="E1170" s="8"/>
      <c r="F1170" t="str" s="15">
        <f aca="0">IF(B1170="","",IF(H1170="","확인필요(입력누락)",IF(SUMPRODUCT((실물목록!$P$2:$P$1001&lt;&gt;"")*ISNUMBER(SEARCH(실물목록!$P$2:$P$1001,I1170))*(실물목록!$Q$2:$Q$1001&lt;&gt;"")*ISNUMBER(SEARCH(실물목록!$Q$2:$Q$1001,I1170))*(실물목록!$R$2:$R$1001="")*(실물목록!$O$2:$O$1001&lt;&gt;"")*(실물목록!$O$2:$O$1001=H1170))&gt;0,"실물 있음",IF(SUMPRODUCT((실물목록!$P$2:$P$1001&lt;&gt;"")*ISNUMBER(SEARCH(실물목록!$P$2:$P$1001,I1170))*(실물목록!$R$2:$R$1001&lt;&gt;""))&gt;0,"확인필요(입력누락)",IF(SUMPRODUCT((실물목록!$P$2:$P$1001&lt;&gt;"")*ISNUMBER(SEARCH(실물목록!$P$2:$P$1001,I1170))*(실물목록!$Q$2:$Q$1001&lt;&gt;"")*ISNUMBER(SEARCH(실물목록!$Q$2:$Q$1001,I1170))*(실물목록!$R$2:$R$1001="")*(실물목록!$O$2:$O$1001&lt;&gt;""))&gt;0,"확인필요(연도다름)","실물 없음")))))</f>
      </c>
      <c r="G1170" t="n" s="16">
        <f aca="0">IF(B1170="","",SUMPRODUCT((실물목록!$P$2:$P$1001&lt;&gt;"")*ISNUMBER(SEARCH(실물목록!$P$2:$P$1001,I1170))*(실물목록!$Q$2:$Q$1001&lt;&gt;"")*ISNUMBER(SEARCH(실물목록!$Q$2:$Q$1001,I1170))*(실물목록!$R$2:$R$1001="")*(실물목록!$O$2:$O$1001&lt;&gt;"")*(실물목록!$O$2:$O$1001=H1170)))</f>
      </c>
      <c r="H1170" t="str">
        <f>IFERROR(IF(AND(LEN(SUBSTITUTE(SUBSTITUTE(SUBSTITUTE(TRIM(A1170&amp;""),CHAR(160),"")," ",""),"년",""))=4,VALUE(SUBSTITUTE(SUBSTITUTE(SUBSTITUTE(TRIM(A1170&amp;""),CHAR(160),"")," ",""),"년",""))&gt;=1900,VALUE(SUBSTITUTE(SUBSTITUTE(SUBSTITUTE(TRIM(A1170&amp;""),CHAR(160),"")," ",""),"년",""))&lt;=2099,TEXT(VALUE(SUBSTITUTE(SUBSTITUTE(SUBSTITUTE(TRIM(A1170&amp;""),CHAR(160),"")," ",""),"년","")),"0000")=SUBSTITUTE(SUBSTITUTE(SUBSTITUTE(TRIM(A1170&amp;""),CHAR(160),"")," ",""),"년","")),SUBSTITUTE(SUBSTITUTE(SUBSTITUTE(TRIM(A1170&amp;""),CHAR(160),"")," ",""),"년",""),""),"")</f>
      </c>
      <c r="I1170" t="str">
        <f>SUBSTITUTE(SUBSTITUTE(SUBSTITUTE(SUBSTITUTE(SUBSTITUTE(TRIM(B1170&amp;""),CHAR(160),"")," ",""),"초등학교","초"),"중학교","중"),"고등학교","고")</f>
      </c>
    </row>
    <row r="1171" customFormat="false" ht="15" hidden="false" customHeight="false" outlineLevel="0" collapsed="false">
      <c r="A1171" s="8"/>
      <c r="B1171" s="8"/>
      <c r="C1171" s="8"/>
      <c r="D1171" s="8"/>
      <c r="E1171" s="8"/>
      <c r="F1171" t="str" s="15">
        <f aca="0">IF(B1171="","",IF(H1171="","확인필요(입력누락)",IF(SUMPRODUCT((실물목록!$P$2:$P$1001&lt;&gt;"")*ISNUMBER(SEARCH(실물목록!$P$2:$P$1001,I1171))*(실물목록!$Q$2:$Q$1001&lt;&gt;"")*ISNUMBER(SEARCH(실물목록!$Q$2:$Q$1001,I1171))*(실물목록!$R$2:$R$1001="")*(실물목록!$O$2:$O$1001&lt;&gt;"")*(실물목록!$O$2:$O$1001=H1171))&gt;0,"실물 있음",IF(SUMPRODUCT((실물목록!$P$2:$P$1001&lt;&gt;"")*ISNUMBER(SEARCH(실물목록!$P$2:$P$1001,I1171))*(실물목록!$R$2:$R$1001&lt;&gt;""))&gt;0,"확인필요(입력누락)",IF(SUMPRODUCT((실물목록!$P$2:$P$1001&lt;&gt;"")*ISNUMBER(SEARCH(실물목록!$P$2:$P$1001,I1171))*(실물목록!$Q$2:$Q$1001&lt;&gt;"")*ISNUMBER(SEARCH(실물목록!$Q$2:$Q$1001,I1171))*(실물목록!$R$2:$R$1001="")*(실물목록!$O$2:$O$1001&lt;&gt;""))&gt;0,"확인필요(연도다름)","실물 없음")))))</f>
      </c>
      <c r="G1171" t="n" s="16">
        <f aca="0">IF(B1171="","",SUMPRODUCT((실물목록!$P$2:$P$1001&lt;&gt;"")*ISNUMBER(SEARCH(실물목록!$P$2:$P$1001,I1171))*(실물목록!$Q$2:$Q$1001&lt;&gt;"")*ISNUMBER(SEARCH(실물목록!$Q$2:$Q$1001,I1171))*(실물목록!$R$2:$R$1001="")*(실물목록!$O$2:$O$1001&lt;&gt;"")*(실물목록!$O$2:$O$1001=H1171)))</f>
      </c>
      <c r="H1171" t="str">
        <f>IFERROR(IF(AND(LEN(SUBSTITUTE(SUBSTITUTE(SUBSTITUTE(TRIM(A1171&amp;""),CHAR(160),"")," ",""),"년",""))=4,VALUE(SUBSTITUTE(SUBSTITUTE(SUBSTITUTE(TRIM(A1171&amp;""),CHAR(160),"")," ",""),"년",""))&gt;=1900,VALUE(SUBSTITUTE(SUBSTITUTE(SUBSTITUTE(TRIM(A1171&amp;""),CHAR(160),"")," ",""),"년",""))&lt;=2099,TEXT(VALUE(SUBSTITUTE(SUBSTITUTE(SUBSTITUTE(TRIM(A1171&amp;""),CHAR(160),"")," ",""),"년","")),"0000")=SUBSTITUTE(SUBSTITUTE(SUBSTITUTE(TRIM(A1171&amp;""),CHAR(160),"")," ",""),"년","")),SUBSTITUTE(SUBSTITUTE(SUBSTITUTE(TRIM(A1171&amp;""),CHAR(160),"")," ",""),"년",""),""),"")</f>
      </c>
      <c r="I1171" t="str">
        <f>SUBSTITUTE(SUBSTITUTE(SUBSTITUTE(SUBSTITUTE(SUBSTITUTE(TRIM(B1171&amp;""),CHAR(160),"")," ",""),"초등학교","초"),"중학교","중"),"고등학교","고")</f>
      </c>
    </row>
    <row r="1172" customFormat="false" ht="15" hidden="false" customHeight="false" outlineLevel="0" collapsed="false">
      <c r="A1172" s="8"/>
      <c r="B1172" s="8"/>
      <c r="C1172" s="8"/>
      <c r="D1172" s="8"/>
      <c r="E1172" s="8"/>
      <c r="F1172" t="str" s="15">
        <f aca="0">IF(B1172="","",IF(H1172="","확인필요(입력누락)",IF(SUMPRODUCT((실물목록!$P$2:$P$1001&lt;&gt;"")*ISNUMBER(SEARCH(실물목록!$P$2:$P$1001,I1172))*(실물목록!$Q$2:$Q$1001&lt;&gt;"")*ISNUMBER(SEARCH(실물목록!$Q$2:$Q$1001,I1172))*(실물목록!$R$2:$R$1001="")*(실물목록!$O$2:$O$1001&lt;&gt;"")*(실물목록!$O$2:$O$1001=H1172))&gt;0,"실물 있음",IF(SUMPRODUCT((실물목록!$P$2:$P$1001&lt;&gt;"")*ISNUMBER(SEARCH(실물목록!$P$2:$P$1001,I1172))*(실물목록!$R$2:$R$1001&lt;&gt;""))&gt;0,"확인필요(입력누락)",IF(SUMPRODUCT((실물목록!$P$2:$P$1001&lt;&gt;"")*ISNUMBER(SEARCH(실물목록!$P$2:$P$1001,I1172))*(실물목록!$Q$2:$Q$1001&lt;&gt;"")*ISNUMBER(SEARCH(실물목록!$Q$2:$Q$1001,I1172))*(실물목록!$R$2:$R$1001="")*(실물목록!$O$2:$O$1001&lt;&gt;""))&gt;0,"확인필요(연도다름)","실물 없음")))))</f>
      </c>
      <c r="G1172" t="n" s="16">
        <f aca="0">IF(B1172="","",SUMPRODUCT((실물목록!$P$2:$P$1001&lt;&gt;"")*ISNUMBER(SEARCH(실물목록!$P$2:$P$1001,I1172))*(실물목록!$Q$2:$Q$1001&lt;&gt;"")*ISNUMBER(SEARCH(실물목록!$Q$2:$Q$1001,I1172))*(실물목록!$R$2:$R$1001="")*(실물목록!$O$2:$O$1001&lt;&gt;"")*(실물목록!$O$2:$O$1001=H1172)))</f>
      </c>
      <c r="H1172" t="str">
        <f>IFERROR(IF(AND(LEN(SUBSTITUTE(SUBSTITUTE(SUBSTITUTE(TRIM(A1172&amp;""),CHAR(160),"")," ",""),"년",""))=4,VALUE(SUBSTITUTE(SUBSTITUTE(SUBSTITUTE(TRIM(A1172&amp;""),CHAR(160),"")," ",""),"년",""))&gt;=1900,VALUE(SUBSTITUTE(SUBSTITUTE(SUBSTITUTE(TRIM(A1172&amp;""),CHAR(160),"")," ",""),"년",""))&lt;=2099,TEXT(VALUE(SUBSTITUTE(SUBSTITUTE(SUBSTITUTE(TRIM(A1172&amp;""),CHAR(160),"")," ",""),"년","")),"0000")=SUBSTITUTE(SUBSTITUTE(SUBSTITUTE(TRIM(A1172&amp;""),CHAR(160),"")," ",""),"년","")),SUBSTITUTE(SUBSTITUTE(SUBSTITUTE(TRIM(A1172&amp;""),CHAR(160),"")," ",""),"년",""),""),"")</f>
      </c>
      <c r="I1172" t="str">
        <f>SUBSTITUTE(SUBSTITUTE(SUBSTITUTE(SUBSTITUTE(SUBSTITUTE(TRIM(B1172&amp;""),CHAR(160),"")," ",""),"초등학교","초"),"중학교","중"),"고등학교","고")</f>
      </c>
    </row>
    <row r="1173" customFormat="false" ht="15" hidden="false" customHeight="false" outlineLevel="0" collapsed="false">
      <c r="A1173" s="8"/>
      <c r="B1173" s="8"/>
      <c r="C1173" s="8"/>
      <c r="D1173" s="8"/>
      <c r="E1173" s="8"/>
      <c r="F1173" t="str" s="15">
        <f aca="0">IF(B1173="","",IF(H1173="","확인필요(입력누락)",IF(SUMPRODUCT((실물목록!$P$2:$P$1001&lt;&gt;"")*ISNUMBER(SEARCH(실물목록!$P$2:$P$1001,I1173))*(실물목록!$Q$2:$Q$1001&lt;&gt;"")*ISNUMBER(SEARCH(실물목록!$Q$2:$Q$1001,I1173))*(실물목록!$R$2:$R$1001="")*(실물목록!$O$2:$O$1001&lt;&gt;"")*(실물목록!$O$2:$O$1001=H1173))&gt;0,"실물 있음",IF(SUMPRODUCT((실물목록!$P$2:$P$1001&lt;&gt;"")*ISNUMBER(SEARCH(실물목록!$P$2:$P$1001,I1173))*(실물목록!$R$2:$R$1001&lt;&gt;""))&gt;0,"확인필요(입력누락)",IF(SUMPRODUCT((실물목록!$P$2:$P$1001&lt;&gt;"")*ISNUMBER(SEARCH(실물목록!$P$2:$P$1001,I1173))*(실물목록!$Q$2:$Q$1001&lt;&gt;"")*ISNUMBER(SEARCH(실물목록!$Q$2:$Q$1001,I1173))*(실물목록!$R$2:$R$1001="")*(실물목록!$O$2:$O$1001&lt;&gt;""))&gt;0,"확인필요(연도다름)","실물 없음")))))</f>
      </c>
      <c r="G1173" t="n" s="16">
        <f aca="0">IF(B1173="","",SUMPRODUCT((실물목록!$P$2:$P$1001&lt;&gt;"")*ISNUMBER(SEARCH(실물목록!$P$2:$P$1001,I1173))*(실물목록!$Q$2:$Q$1001&lt;&gt;"")*ISNUMBER(SEARCH(실물목록!$Q$2:$Q$1001,I1173))*(실물목록!$R$2:$R$1001="")*(실물목록!$O$2:$O$1001&lt;&gt;"")*(실물목록!$O$2:$O$1001=H1173)))</f>
      </c>
      <c r="H1173" t="str">
        <f>IFERROR(IF(AND(LEN(SUBSTITUTE(SUBSTITUTE(SUBSTITUTE(TRIM(A1173&amp;""),CHAR(160),"")," ",""),"년",""))=4,VALUE(SUBSTITUTE(SUBSTITUTE(SUBSTITUTE(TRIM(A1173&amp;""),CHAR(160),"")," ",""),"년",""))&gt;=1900,VALUE(SUBSTITUTE(SUBSTITUTE(SUBSTITUTE(TRIM(A1173&amp;""),CHAR(160),"")," ",""),"년",""))&lt;=2099,TEXT(VALUE(SUBSTITUTE(SUBSTITUTE(SUBSTITUTE(TRIM(A1173&amp;""),CHAR(160),"")," ",""),"년","")),"0000")=SUBSTITUTE(SUBSTITUTE(SUBSTITUTE(TRIM(A1173&amp;""),CHAR(160),"")," ",""),"년","")),SUBSTITUTE(SUBSTITUTE(SUBSTITUTE(TRIM(A1173&amp;""),CHAR(160),"")," ",""),"년",""),""),"")</f>
      </c>
      <c r="I1173" t="str">
        <f>SUBSTITUTE(SUBSTITUTE(SUBSTITUTE(SUBSTITUTE(SUBSTITUTE(TRIM(B1173&amp;""),CHAR(160),"")," ",""),"초등학교","초"),"중학교","중"),"고등학교","고")</f>
      </c>
    </row>
    <row r="1174" customFormat="false" ht="15" hidden="false" customHeight="false" outlineLevel="0" collapsed="false">
      <c r="A1174" s="8"/>
      <c r="B1174" s="8"/>
      <c r="C1174" s="8"/>
      <c r="D1174" s="8"/>
      <c r="E1174" s="8"/>
      <c r="F1174" t="str" s="15">
        <f aca="0">IF(B1174="","",IF(H1174="","확인필요(입력누락)",IF(SUMPRODUCT((실물목록!$P$2:$P$1001&lt;&gt;"")*ISNUMBER(SEARCH(실물목록!$P$2:$P$1001,I1174))*(실물목록!$Q$2:$Q$1001&lt;&gt;"")*ISNUMBER(SEARCH(실물목록!$Q$2:$Q$1001,I1174))*(실물목록!$R$2:$R$1001="")*(실물목록!$O$2:$O$1001&lt;&gt;"")*(실물목록!$O$2:$O$1001=H1174))&gt;0,"실물 있음",IF(SUMPRODUCT((실물목록!$P$2:$P$1001&lt;&gt;"")*ISNUMBER(SEARCH(실물목록!$P$2:$P$1001,I1174))*(실물목록!$R$2:$R$1001&lt;&gt;""))&gt;0,"확인필요(입력누락)",IF(SUMPRODUCT((실물목록!$P$2:$P$1001&lt;&gt;"")*ISNUMBER(SEARCH(실물목록!$P$2:$P$1001,I1174))*(실물목록!$Q$2:$Q$1001&lt;&gt;"")*ISNUMBER(SEARCH(실물목록!$Q$2:$Q$1001,I1174))*(실물목록!$R$2:$R$1001="")*(실물목록!$O$2:$O$1001&lt;&gt;""))&gt;0,"확인필요(연도다름)","실물 없음")))))</f>
      </c>
      <c r="G1174" t="n" s="16">
        <f aca="0">IF(B1174="","",SUMPRODUCT((실물목록!$P$2:$P$1001&lt;&gt;"")*ISNUMBER(SEARCH(실물목록!$P$2:$P$1001,I1174))*(실물목록!$Q$2:$Q$1001&lt;&gt;"")*ISNUMBER(SEARCH(실물목록!$Q$2:$Q$1001,I1174))*(실물목록!$R$2:$R$1001="")*(실물목록!$O$2:$O$1001&lt;&gt;"")*(실물목록!$O$2:$O$1001=H1174)))</f>
      </c>
      <c r="H1174" t="str">
        <f>IFERROR(IF(AND(LEN(SUBSTITUTE(SUBSTITUTE(SUBSTITUTE(TRIM(A1174&amp;""),CHAR(160),"")," ",""),"년",""))=4,VALUE(SUBSTITUTE(SUBSTITUTE(SUBSTITUTE(TRIM(A1174&amp;""),CHAR(160),"")," ",""),"년",""))&gt;=1900,VALUE(SUBSTITUTE(SUBSTITUTE(SUBSTITUTE(TRIM(A1174&amp;""),CHAR(160),"")," ",""),"년",""))&lt;=2099,TEXT(VALUE(SUBSTITUTE(SUBSTITUTE(SUBSTITUTE(TRIM(A1174&amp;""),CHAR(160),"")," ",""),"년","")),"0000")=SUBSTITUTE(SUBSTITUTE(SUBSTITUTE(TRIM(A1174&amp;""),CHAR(160),"")," ",""),"년","")),SUBSTITUTE(SUBSTITUTE(SUBSTITUTE(TRIM(A1174&amp;""),CHAR(160),"")," ",""),"년",""),""),"")</f>
      </c>
      <c r="I1174" t="str">
        <f>SUBSTITUTE(SUBSTITUTE(SUBSTITUTE(SUBSTITUTE(SUBSTITUTE(TRIM(B1174&amp;""),CHAR(160),"")," ",""),"초등학교","초"),"중학교","중"),"고등학교","고")</f>
      </c>
    </row>
    <row r="1175" customFormat="false" ht="15" hidden="false" customHeight="false" outlineLevel="0" collapsed="false">
      <c r="A1175" s="8"/>
      <c r="B1175" s="8"/>
      <c r="C1175" s="8"/>
      <c r="D1175" s="8"/>
      <c r="E1175" s="8"/>
      <c r="F1175" t="str" s="15">
        <f aca="0">IF(B1175="","",IF(H1175="","확인필요(입력누락)",IF(SUMPRODUCT((실물목록!$P$2:$P$1001&lt;&gt;"")*ISNUMBER(SEARCH(실물목록!$P$2:$P$1001,I1175))*(실물목록!$Q$2:$Q$1001&lt;&gt;"")*ISNUMBER(SEARCH(실물목록!$Q$2:$Q$1001,I1175))*(실물목록!$R$2:$R$1001="")*(실물목록!$O$2:$O$1001&lt;&gt;"")*(실물목록!$O$2:$O$1001=H1175))&gt;0,"실물 있음",IF(SUMPRODUCT((실물목록!$P$2:$P$1001&lt;&gt;"")*ISNUMBER(SEARCH(실물목록!$P$2:$P$1001,I1175))*(실물목록!$R$2:$R$1001&lt;&gt;""))&gt;0,"확인필요(입력누락)",IF(SUMPRODUCT((실물목록!$P$2:$P$1001&lt;&gt;"")*ISNUMBER(SEARCH(실물목록!$P$2:$P$1001,I1175))*(실물목록!$Q$2:$Q$1001&lt;&gt;"")*ISNUMBER(SEARCH(실물목록!$Q$2:$Q$1001,I1175))*(실물목록!$R$2:$R$1001="")*(실물목록!$O$2:$O$1001&lt;&gt;""))&gt;0,"확인필요(연도다름)","실물 없음")))))</f>
      </c>
      <c r="G1175" t="n" s="16">
        <f aca="0">IF(B1175="","",SUMPRODUCT((실물목록!$P$2:$P$1001&lt;&gt;"")*ISNUMBER(SEARCH(실물목록!$P$2:$P$1001,I1175))*(실물목록!$Q$2:$Q$1001&lt;&gt;"")*ISNUMBER(SEARCH(실물목록!$Q$2:$Q$1001,I1175))*(실물목록!$R$2:$R$1001="")*(실물목록!$O$2:$O$1001&lt;&gt;"")*(실물목록!$O$2:$O$1001=H1175)))</f>
      </c>
      <c r="H1175" t="str">
        <f>IFERROR(IF(AND(LEN(SUBSTITUTE(SUBSTITUTE(SUBSTITUTE(TRIM(A1175&amp;""),CHAR(160),"")," ",""),"년",""))=4,VALUE(SUBSTITUTE(SUBSTITUTE(SUBSTITUTE(TRIM(A1175&amp;""),CHAR(160),"")," ",""),"년",""))&gt;=1900,VALUE(SUBSTITUTE(SUBSTITUTE(SUBSTITUTE(TRIM(A1175&amp;""),CHAR(160),"")," ",""),"년",""))&lt;=2099,TEXT(VALUE(SUBSTITUTE(SUBSTITUTE(SUBSTITUTE(TRIM(A1175&amp;""),CHAR(160),"")," ",""),"년","")),"0000")=SUBSTITUTE(SUBSTITUTE(SUBSTITUTE(TRIM(A1175&amp;""),CHAR(160),"")," ",""),"년","")),SUBSTITUTE(SUBSTITUTE(SUBSTITUTE(TRIM(A1175&amp;""),CHAR(160),"")," ",""),"년",""),""),"")</f>
      </c>
      <c r="I1175" t="str">
        <f>SUBSTITUTE(SUBSTITUTE(SUBSTITUTE(SUBSTITUTE(SUBSTITUTE(TRIM(B1175&amp;""),CHAR(160),"")," ",""),"초등학교","초"),"중학교","중"),"고등학교","고")</f>
      </c>
    </row>
    <row r="1176" customFormat="false" ht="15" hidden="false" customHeight="false" outlineLevel="0" collapsed="false">
      <c r="A1176" s="8"/>
      <c r="B1176" s="8"/>
      <c r="C1176" s="8"/>
      <c r="D1176" s="8"/>
      <c r="E1176" s="8"/>
      <c r="F1176" t="str" s="15">
        <f aca="0">IF(B1176="","",IF(H1176="","확인필요(입력누락)",IF(SUMPRODUCT((실물목록!$P$2:$P$1001&lt;&gt;"")*ISNUMBER(SEARCH(실물목록!$P$2:$P$1001,I1176))*(실물목록!$Q$2:$Q$1001&lt;&gt;"")*ISNUMBER(SEARCH(실물목록!$Q$2:$Q$1001,I1176))*(실물목록!$R$2:$R$1001="")*(실물목록!$O$2:$O$1001&lt;&gt;"")*(실물목록!$O$2:$O$1001=H1176))&gt;0,"실물 있음",IF(SUMPRODUCT((실물목록!$P$2:$P$1001&lt;&gt;"")*ISNUMBER(SEARCH(실물목록!$P$2:$P$1001,I1176))*(실물목록!$R$2:$R$1001&lt;&gt;""))&gt;0,"확인필요(입력누락)",IF(SUMPRODUCT((실물목록!$P$2:$P$1001&lt;&gt;"")*ISNUMBER(SEARCH(실물목록!$P$2:$P$1001,I1176))*(실물목록!$Q$2:$Q$1001&lt;&gt;"")*ISNUMBER(SEARCH(실물목록!$Q$2:$Q$1001,I1176))*(실물목록!$R$2:$R$1001="")*(실물목록!$O$2:$O$1001&lt;&gt;""))&gt;0,"확인필요(연도다름)","실물 없음")))))</f>
      </c>
      <c r="G1176" t="n" s="16">
        <f aca="0">IF(B1176="","",SUMPRODUCT((실물목록!$P$2:$P$1001&lt;&gt;"")*ISNUMBER(SEARCH(실물목록!$P$2:$P$1001,I1176))*(실물목록!$Q$2:$Q$1001&lt;&gt;"")*ISNUMBER(SEARCH(실물목록!$Q$2:$Q$1001,I1176))*(실물목록!$R$2:$R$1001="")*(실물목록!$O$2:$O$1001&lt;&gt;"")*(실물목록!$O$2:$O$1001=H1176)))</f>
      </c>
      <c r="H1176" t="str">
        <f>IFERROR(IF(AND(LEN(SUBSTITUTE(SUBSTITUTE(SUBSTITUTE(TRIM(A1176&amp;""),CHAR(160),"")," ",""),"년",""))=4,VALUE(SUBSTITUTE(SUBSTITUTE(SUBSTITUTE(TRIM(A1176&amp;""),CHAR(160),"")," ",""),"년",""))&gt;=1900,VALUE(SUBSTITUTE(SUBSTITUTE(SUBSTITUTE(TRIM(A1176&amp;""),CHAR(160),"")," ",""),"년",""))&lt;=2099,TEXT(VALUE(SUBSTITUTE(SUBSTITUTE(SUBSTITUTE(TRIM(A1176&amp;""),CHAR(160),"")," ",""),"년","")),"0000")=SUBSTITUTE(SUBSTITUTE(SUBSTITUTE(TRIM(A1176&amp;""),CHAR(160),"")," ",""),"년","")),SUBSTITUTE(SUBSTITUTE(SUBSTITUTE(TRIM(A1176&amp;""),CHAR(160),"")," ",""),"년",""),""),"")</f>
      </c>
      <c r="I1176" t="str">
        <f>SUBSTITUTE(SUBSTITUTE(SUBSTITUTE(SUBSTITUTE(SUBSTITUTE(TRIM(B1176&amp;""),CHAR(160),"")," ",""),"초등학교","초"),"중학교","중"),"고등학교","고")</f>
      </c>
    </row>
    <row r="1177" customFormat="false" ht="15" hidden="false" customHeight="false" outlineLevel="0" collapsed="false">
      <c r="A1177" s="8"/>
      <c r="B1177" s="8"/>
      <c r="C1177" s="8"/>
      <c r="D1177" s="8"/>
      <c r="E1177" s="8"/>
      <c r="F1177" t="str" s="15">
        <f aca="0">IF(B1177="","",IF(H1177="","확인필요(입력누락)",IF(SUMPRODUCT((실물목록!$P$2:$P$1001&lt;&gt;"")*ISNUMBER(SEARCH(실물목록!$P$2:$P$1001,I1177))*(실물목록!$Q$2:$Q$1001&lt;&gt;"")*ISNUMBER(SEARCH(실물목록!$Q$2:$Q$1001,I1177))*(실물목록!$R$2:$R$1001="")*(실물목록!$O$2:$O$1001&lt;&gt;"")*(실물목록!$O$2:$O$1001=H1177))&gt;0,"실물 있음",IF(SUMPRODUCT((실물목록!$P$2:$P$1001&lt;&gt;"")*ISNUMBER(SEARCH(실물목록!$P$2:$P$1001,I1177))*(실물목록!$R$2:$R$1001&lt;&gt;""))&gt;0,"확인필요(입력누락)",IF(SUMPRODUCT((실물목록!$P$2:$P$1001&lt;&gt;"")*ISNUMBER(SEARCH(실물목록!$P$2:$P$1001,I1177))*(실물목록!$Q$2:$Q$1001&lt;&gt;"")*ISNUMBER(SEARCH(실물목록!$Q$2:$Q$1001,I1177))*(실물목록!$R$2:$R$1001="")*(실물목록!$O$2:$O$1001&lt;&gt;""))&gt;0,"확인필요(연도다름)","실물 없음")))))</f>
      </c>
      <c r="G1177" t="n" s="16">
        <f aca="0">IF(B1177="","",SUMPRODUCT((실물목록!$P$2:$P$1001&lt;&gt;"")*ISNUMBER(SEARCH(실물목록!$P$2:$P$1001,I1177))*(실물목록!$Q$2:$Q$1001&lt;&gt;"")*ISNUMBER(SEARCH(실물목록!$Q$2:$Q$1001,I1177))*(실물목록!$R$2:$R$1001="")*(실물목록!$O$2:$O$1001&lt;&gt;"")*(실물목록!$O$2:$O$1001=H1177)))</f>
      </c>
      <c r="H1177" t="str">
        <f>IFERROR(IF(AND(LEN(SUBSTITUTE(SUBSTITUTE(SUBSTITUTE(TRIM(A1177&amp;""),CHAR(160),"")," ",""),"년",""))=4,VALUE(SUBSTITUTE(SUBSTITUTE(SUBSTITUTE(TRIM(A1177&amp;""),CHAR(160),"")," ",""),"년",""))&gt;=1900,VALUE(SUBSTITUTE(SUBSTITUTE(SUBSTITUTE(TRIM(A1177&amp;""),CHAR(160),"")," ",""),"년",""))&lt;=2099,TEXT(VALUE(SUBSTITUTE(SUBSTITUTE(SUBSTITUTE(TRIM(A1177&amp;""),CHAR(160),"")," ",""),"년","")),"0000")=SUBSTITUTE(SUBSTITUTE(SUBSTITUTE(TRIM(A1177&amp;""),CHAR(160),"")," ",""),"년","")),SUBSTITUTE(SUBSTITUTE(SUBSTITUTE(TRIM(A1177&amp;""),CHAR(160),"")," ",""),"년",""),""),"")</f>
      </c>
      <c r="I1177" t="str">
        <f>SUBSTITUTE(SUBSTITUTE(SUBSTITUTE(SUBSTITUTE(SUBSTITUTE(TRIM(B1177&amp;""),CHAR(160),"")," ",""),"초등학교","초"),"중학교","중"),"고등학교","고")</f>
      </c>
    </row>
    <row r="1178" customFormat="false" ht="15" hidden="false" customHeight="false" outlineLevel="0" collapsed="false">
      <c r="A1178" s="8"/>
      <c r="B1178" s="8"/>
      <c r="C1178" s="8"/>
      <c r="D1178" s="8"/>
      <c r="E1178" s="8"/>
      <c r="F1178" t="str" s="15">
        <f aca="0">IF(B1178="","",IF(H1178="","확인필요(입력누락)",IF(SUMPRODUCT((실물목록!$P$2:$P$1001&lt;&gt;"")*ISNUMBER(SEARCH(실물목록!$P$2:$P$1001,I1178))*(실물목록!$Q$2:$Q$1001&lt;&gt;"")*ISNUMBER(SEARCH(실물목록!$Q$2:$Q$1001,I1178))*(실물목록!$R$2:$R$1001="")*(실물목록!$O$2:$O$1001&lt;&gt;"")*(실물목록!$O$2:$O$1001=H1178))&gt;0,"실물 있음",IF(SUMPRODUCT((실물목록!$P$2:$P$1001&lt;&gt;"")*ISNUMBER(SEARCH(실물목록!$P$2:$P$1001,I1178))*(실물목록!$R$2:$R$1001&lt;&gt;""))&gt;0,"확인필요(입력누락)",IF(SUMPRODUCT((실물목록!$P$2:$P$1001&lt;&gt;"")*ISNUMBER(SEARCH(실물목록!$P$2:$P$1001,I1178))*(실물목록!$Q$2:$Q$1001&lt;&gt;"")*ISNUMBER(SEARCH(실물목록!$Q$2:$Q$1001,I1178))*(실물목록!$R$2:$R$1001="")*(실물목록!$O$2:$O$1001&lt;&gt;""))&gt;0,"확인필요(연도다름)","실물 없음")))))</f>
      </c>
      <c r="G1178" t="n" s="16">
        <f aca="0">IF(B1178="","",SUMPRODUCT((실물목록!$P$2:$P$1001&lt;&gt;"")*ISNUMBER(SEARCH(실물목록!$P$2:$P$1001,I1178))*(실물목록!$Q$2:$Q$1001&lt;&gt;"")*ISNUMBER(SEARCH(실물목록!$Q$2:$Q$1001,I1178))*(실물목록!$R$2:$R$1001="")*(실물목록!$O$2:$O$1001&lt;&gt;"")*(실물목록!$O$2:$O$1001=H1178)))</f>
      </c>
      <c r="H1178" t="str">
        <f>IFERROR(IF(AND(LEN(SUBSTITUTE(SUBSTITUTE(SUBSTITUTE(TRIM(A1178&amp;""),CHAR(160),"")," ",""),"년",""))=4,VALUE(SUBSTITUTE(SUBSTITUTE(SUBSTITUTE(TRIM(A1178&amp;""),CHAR(160),"")," ",""),"년",""))&gt;=1900,VALUE(SUBSTITUTE(SUBSTITUTE(SUBSTITUTE(TRIM(A1178&amp;""),CHAR(160),"")," ",""),"년",""))&lt;=2099,TEXT(VALUE(SUBSTITUTE(SUBSTITUTE(SUBSTITUTE(TRIM(A1178&amp;""),CHAR(160),"")," ",""),"년","")),"0000")=SUBSTITUTE(SUBSTITUTE(SUBSTITUTE(TRIM(A1178&amp;""),CHAR(160),"")," ",""),"년","")),SUBSTITUTE(SUBSTITUTE(SUBSTITUTE(TRIM(A1178&amp;""),CHAR(160),"")," ",""),"년",""),""),"")</f>
      </c>
      <c r="I1178" t="str">
        <f>SUBSTITUTE(SUBSTITUTE(SUBSTITUTE(SUBSTITUTE(SUBSTITUTE(TRIM(B1178&amp;""),CHAR(160),"")," ",""),"초등학교","초"),"중학교","중"),"고등학교","고")</f>
      </c>
    </row>
    <row r="1179" customFormat="false" ht="15" hidden="false" customHeight="false" outlineLevel="0" collapsed="false">
      <c r="A1179" s="8"/>
      <c r="B1179" s="8"/>
      <c r="C1179" s="8"/>
      <c r="D1179" s="8"/>
      <c r="E1179" s="8"/>
      <c r="F1179" t="str" s="15">
        <f aca="0">IF(B1179="","",IF(H1179="","확인필요(입력누락)",IF(SUMPRODUCT((실물목록!$P$2:$P$1001&lt;&gt;"")*ISNUMBER(SEARCH(실물목록!$P$2:$P$1001,I1179))*(실물목록!$Q$2:$Q$1001&lt;&gt;"")*ISNUMBER(SEARCH(실물목록!$Q$2:$Q$1001,I1179))*(실물목록!$R$2:$R$1001="")*(실물목록!$O$2:$O$1001&lt;&gt;"")*(실물목록!$O$2:$O$1001=H1179))&gt;0,"실물 있음",IF(SUMPRODUCT((실물목록!$P$2:$P$1001&lt;&gt;"")*ISNUMBER(SEARCH(실물목록!$P$2:$P$1001,I1179))*(실물목록!$R$2:$R$1001&lt;&gt;""))&gt;0,"확인필요(입력누락)",IF(SUMPRODUCT((실물목록!$P$2:$P$1001&lt;&gt;"")*ISNUMBER(SEARCH(실물목록!$P$2:$P$1001,I1179))*(실물목록!$Q$2:$Q$1001&lt;&gt;"")*ISNUMBER(SEARCH(실물목록!$Q$2:$Q$1001,I1179))*(실물목록!$R$2:$R$1001="")*(실물목록!$O$2:$O$1001&lt;&gt;""))&gt;0,"확인필요(연도다름)","실물 없음")))))</f>
      </c>
      <c r="G1179" t="n" s="16">
        <f aca="0">IF(B1179="","",SUMPRODUCT((실물목록!$P$2:$P$1001&lt;&gt;"")*ISNUMBER(SEARCH(실물목록!$P$2:$P$1001,I1179))*(실물목록!$Q$2:$Q$1001&lt;&gt;"")*ISNUMBER(SEARCH(실물목록!$Q$2:$Q$1001,I1179))*(실물목록!$R$2:$R$1001="")*(실물목록!$O$2:$O$1001&lt;&gt;"")*(실물목록!$O$2:$O$1001=H1179)))</f>
      </c>
      <c r="H1179" t="str">
        <f>IFERROR(IF(AND(LEN(SUBSTITUTE(SUBSTITUTE(SUBSTITUTE(TRIM(A1179&amp;""),CHAR(160),"")," ",""),"년",""))=4,VALUE(SUBSTITUTE(SUBSTITUTE(SUBSTITUTE(TRIM(A1179&amp;""),CHAR(160),"")," ",""),"년",""))&gt;=1900,VALUE(SUBSTITUTE(SUBSTITUTE(SUBSTITUTE(TRIM(A1179&amp;""),CHAR(160),"")," ",""),"년",""))&lt;=2099,TEXT(VALUE(SUBSTITUTE(SUBSTITUTE(SUBSTITUTE(TRIM(A1179&amp;""),CHAR(160),"")," ",""),"년","")),"0000")=SUBSTITUTE(SUBSTITUTE(SUBSTITUTE(TRIM(A1179&amp;""),CHAR(160),"")," ",""),"년","")),SUBSTITUTE(SUBSTITUTE(SUBSTITUTE(TRIM(A1179&amp;""),CHAR(160),"")," ",""),"년",""),""),"")</f>
      </c>
      <c r="I1179" t="str">
        <f>SUBSTITUTE(SUBSTITUTE(SUBSTITUTE(SUBSTITUTE(SUBSTITUTE(TRIM(B1179&amp;""),CHAR(160),"")," ",""),"초등학교","초"),"중학교","중"),"고등학교","고")</f>
      </c>
    </row>
    <row r="1180" customFormat="false" ht="15" hidden="false" customHeight="false" outlineLevel="0" collapsed="false">
      <c r="A1180" s="8"/>
      <c r="B1180" s="8"/>
      <c r="C1180" s="8"/>
      <c r="D1180" s="8"/>
      <c r="E1180" s="8"/>
      <c r="F1180" t="str" s="15">
        <f aca="0">IF(B1180="","",IF(H1180="","확인필요(입력누락)",IF(SUMPRODUCT((실물목록!$P$2:$P$1001&lt;&gt;"")*ISNUMBER(SEARCH(실물목록!$P$2:$P$1001,I1180))*(실물목록!$Q$2:$Q$1001&lt;&gt;"")*ISNUMBER(SEARCH(실물목록!$Q$2:$Q$1001,I1180))*(실물목록!$R$2:$R$1001="")*(실물목록!$O$2:$O$1001&lt;&gt;"")*(실물목록!$O$2:$O$1001=H1180))&gt;0,"실물 있음",IF(SUMPRODUCT((실물목록!$P$2:$P$1001&lt;&gt;"")*ISNUMBER(SEARCH(실물목록!$P$2:$P$1001,I1180))*(실물목록!$R$2:$R$1001&lt;&gt;""))&gt;0,"확인필요(입력누락)",IF(SUMPRODUCT((실물목록!$P$2:$P$1001&lt;&gt;"")*ISNUMBER(SEARCH(실물목록!$P$2:$P$1001,I1180))*(실물목록!$Q$2:$Q$1001&lt;&gt;"")*ISNUMBER(SEARCH(실물목록!$Q$2:$Q$1001,I1180))*(실물목록!$R$2:$R$1001="")*(실물목록!$O$2:$O$1001&lt;&gt;""))&gt;0,"확인필요(연도다름)","실물 없음")))))</f>
      </c>
      <c r="G1180" t="n" s="16">
        <f aca="0">IF(B1180="","",SUMPRODUCT((실물목록!$P$2:$P$1001&lt;&gt;"")*ISNUMBER(SEARCH(실물목록!$P$2:$P$1001,I1180))*(실물목록!$Q$2:$Q$1001&lt;&gt;"")*ISNUMBER(SEARCH(실물목록!$Q$2:$Q$1001,I1180))*(실물목록!$R$2:$R$1001="")*(실물목록!$O$2:$O$1001&lt;&gt;"")*(실물목록!$O$2:$O$1001=H1180)))</f>
      </c>
      <c r="H1180" t="str">
        <f>IFERROR(IF(AND(LEN(SUBSTITUTE(SUBSTITUTE(SUBSTITUTE(TRIM(A1180&amp;""),CHAR(160),"")," ",""),"년",""))=4,VALUE(SUBSTITUTE(SUBSTITUTE(SUBSTITUTE(TRIM(A1180&amp;""),CHAR(160),"")," ",""),"년",""))&gt;=1900,VALUE(SUBSTITUTE(SUBSTITUTE(SUBSTITUTE(TRIM(A1180&amp;""),CHAR(160),"")," ",""),"년",""))&lt;=2099,TEXT(VALUE(SUBSTITUTE(SUBSTITUTE(SUBSTITUTE(TRIM(A1180&amp;""),CHAR(160),"")," ",""),"년","")),"0000")=SUBSTITUTE(SUBSTITUTE(SUBSTITUTE(TRIM(A1180&amp;""),CHAR(160),"")," ",""),"년","")),SUBSTITUTE(SUBSTITUTE(SUBSTITUTE(TRIM(A1180&amp;""),CHAR(160),"")," ",""),"년",""),""),"")</f>
      </c>
      <c r="I1180" t="str">
        <f>SUBSTITUTE(SUBSTITUTE(SUBSTITUTE(SUBSTITUTE(SUBSTITUTE(TRIM(B1180&amp;""),CHAR(160),"")," ",""),"초등학교","초"),"중학교","중"),"고등학교","고")</f>
      </c>
    </row>
    <row r="1181" customFormat="false" ht="15" hidden="false" customHeight="false" outlineLevel="0" collapsed="false">
      <c r="A1181" s="8"/>
      <c r="B1181" s="8"/>
      <c r="C1181" s="8"/>
      <c r="D1181" s="8"/>
      <c r="E1181" s="8"/>
      <c r="F1181" t="str" s="15">
        <f aca="0">IF(B1181="","",IF(H1181="","확인필요(입력누락)",IF(SUMPRODUCT((실물목록!$P$2:$P$1001&lt;&gt;"")*ISNUMBER(SEARCH(실물목록!$P$2:$P$1001,I1181))*(실물목록!$Q$2:$Q$1001&lt;&gt;"")*ISNUMBER(SEARCH(실물목록!$Q$2:$Q$1001,I1181))*(실물목록!$R$2:$R$1001="")*(실물목록!$O$2:$O$1001&lt;&gt;"")*(실물목록!$O$2:$O$1001=H1181))&gt;0,"실물 있음",IF(SUMPRODUCT((실물목록!$P$2:$P$1001&lt;&gt;"")*ISNUMBER(SEARCH(실물목록!$P$2:$P$1001,I1181))*(실물목록!$R$2:$R$1001&lt;&gt;""))&gt;0,"확인필요(입력누락)",IF(SUMPRODUCT((실물목록!$P$2:$P$1001&lt;&gt;"")*ISNUMBER(SEARCH(실물목록!$P$2:$P$1001,I1181))*(실물목록!$Q$2:$Q$1001&lt;&gt;"")*ISNUMBER(SEARCH(실물목록!$Q$2:$Q$1001,I1181))*(실물목록!$R$2:$R$1001="")*(실물목록!$O$2:$O$1001&lt;&gt;""))&gt;0,"확인필요(연도다름)","실물 없음")))))</f>
      </c>
      <c r="G1181" t="n" s="16">
        <f aca="0">IF(B1181="","",SUMPRODUCT((실물목록!$P$2:$P$1001&lt;&gt;"")*ISNUMBER(SEARCH(실물목록!$P$2:$P$1001,I1181))*(실물목록!$Q$2:$Q$1001&lt;&gt;"")*ISNUMBER(SEARCH(실물목록!$Q$2:$Q$1001,I1181))*(실물목록!$R$2:$R$1001="")*(실물목록!$O$2:$O$1001&lt;&gt;"")*(실물목록!$O$2:$O$1001=H1181)))</f>
      </c>
      <c r="H1181" t="str">
        <f>IFERROR(IF(AND(LEN(SUBSTITUTE(SUBSTITUTE(SUBSTITUTE(TRIM(A1181&amp;""),CHAR(160),"")," ",""),"년",""))=4,VALUE(SUBSTITUTE(SUBSTITUTE(SUBSTITUTE(TRIM(A1181&amp;""),CHAR(160),"")," ",""),"년",""))&gt;=1900,VALUE(SUBSTITUTE(SUBSTITUTE(SUBSTITUTE(TRIM(A1181&amp;""),CHAR(160),"")," ",""),"년",""))&lt;=2099,TEXT(VALUE(SUBSTITUTE(SUBSTITUTE(SUBSTITUTE(TRIM(A1181&amp;""),CHAR(160),"")," ",""),"년","")),"0000")=SUBSTITUTE(SUBSTITUTE(SUBSTITUTE(TRIM(A1181&amp;""),CHAR(160),"")," ",""),"년","")),SUBSTITUTE(SUBSTITUTE(SUBSTITUTE(TRIM(A1181&amp;""),CHAR(160),"")," ",""),"년",""),""),"")</f>
      </c>
      <c r="I1181" t="str">
        <f>SUBSTITUTE(SUBSTITUTE(SUBSTITUTE(SUBSTITUTE(SUBSTITUTE(TRIM(B1181&amp;""),CHAR(160),"")," ",""),"초등학교","초"),"중학교","중"),"고등학교","고")</f>
      </c>
    </row>
    <row r="1182" customFormat="false" ht="15" hidden="false" customHeight="false" outlineLevel="0" collapsed="false">
      <c r="A1182" s="8"/>
      <c r="B1182" s="8"/>
      <c r="C1182" s="8"/>
      <c r="D1182" s="8"/>
      <c r="E1182" s="8"/>
      <c r="F1182" t="str" s="15">
        <f aca="0">IF(B1182="","",IF(H1182="","확인필요(입력누락)",IF(SUMPRODUCT((실물목록!$P$2:$P$1001&lt;&gt;"")*ISNUMBER(SEARCH(실물목록!$P$2:$P$1001,I1182))*(실물목록!$Q$2:$Q$1001&lt;&gt;"")*ISNUMBER(SEARCH(실물목록!$Q$2:$Q$1001,I1182))*(실물목록!$R$2:$R$1001="")*(실물목록!$O$2:$O$1001&lt;&gt;"")*(실물목록!$O$2:$O$1001=H1182))&gt;0,"실물 있음",IF(SUMPRODUCT((실물목록!$P$2:$P$1001&lt;&gt;"")*ISNUMBER(SEARCH(실물목록!$P$2:$P$1001,I1182))*(실물목록!$R$2:$R$1001&lt;&gt;""))&gt;0,"확인필요(입력누락)",IF(SUMPRODUCT((실물목록!$P$2:$P$1001&lt;&gt;"")*ISNUMBER(SEARCH(실물목록!$P$2:$P$1001,I1182))*(실물목록!$Q$2:$Q$1001&lt;&gt;"")*ISNUMBER(SEARCH(실물목록!$Q$2:$Q$1001,I1182))*(실물목록!$R$2:$R$1001="")*(실물목록!$O$2:$O$1001&lt;&gt;""))&gt;0,"확인필요(연도다름)","실물 없음")))))</f>
      </c>
      <c r="G1182" t="n" s="16">
        <f aca="0">IF(B1182="","",SUMPRODUCT((실물목록!$P$2:$P$1001&lt;&gt;"")*ISNUMBER(SEARCH(실물목록!$P$2:$P$1001,I1182))*(실물목록!$Q$2:$Q$1001&lt;&gt;"")*ISNUMBER(SEARCH(실물목록!$Q$2:$Q$1001,I1182))*(실물목록!$R$2:$R$1001="")*(실물목록!$O$2:$O$1001&lt;&gt;"")*(실물목록!$O$2:$O$1001=H1182)))</f>
      </c>
      <c r="H1182" t="str">
        <f>IFERROR(IF(AND(LEN(SUBSTITUTE(SUBSTITUTE(SUBSTITUTE(TRIM(A1182&amp;""),CHAR(160),"")," ",""),"년",""))=4,VALUE(SUBSTITUTE(SUBSTITUTE(SUBSTITUTE(TRIM(A1182&amp;""),CHAR(160),"")," ",""),"년",""))&gt;=1900,VALUE(SUBSTITUTE(SUBSTITUTE(SUBSTITUTE(TRIM(A1182&amp;""),CHAR(160),"")," ",""),"년",""))&lt;=2099,TEXT(VALUE(SUBSTITUTE(SUBSTITUTE(SUBSTITUTE(TRIM(A1182&amp;""),CHAR(160),"")," ",""),"년","")),"0000")=SUBSTITUTE(SUBSTITUTE(SUBSTITUTE(TRIM(A1182&amp;""),CHAR(160),"")," ",""),"년","")),SUBSTITUTE(SUBSTITUTE(SUBSTITUTE(TRIM(A1182&amp;""),CHAR(160),"")," ",""),"년",""),""),"")</f>
      </c>
      <c r="I1182" t="str">
        <f>SUBSTITUTE(SUBSTITUTE(SUBSTITUTE(SUBSTITUTE(SUBSTITUTE(TRIM(B1182&amp;""),CHAR(160),"")," ",""),"초등학교","초"),"중학교","중"),"고등학교","고")</f>
      </c>
    </row>
    <row r="1183" customFormat="false" ht="15" hidden="false" customHeight="false" outlineLevel="0" collapsed="false">
      <c r="A1183" s="8"/>
      <c r="B1183" s="8"/>
      <c r="C1183" s="8"/>
      <c r="D1183" s="8"/>
      <c r="E1183" s="8"/>
      <c r="F1183" t="str" s="15">
        <f aca="0">IF(B1183="","",IF(H1183="","확인필요(입력누락)",IF(SUMPRODUCT((실물목록!$P$2:$P$1001&lt;&gt;"")*ISNUMBER(SEARCH(실물목록!$P$2:$P$1001,I1183))*(실물목록!$Q$2:$Q$1001&lt;&gt;"")*ISNUMBER(SEARCH(실물목록!$Q$2:$Q$1001,I1183))*(실물목록!$R$2:$R$1001="")*(실물목록!$O$2:$O$1001&lt;&gt;"")*(실물목록!$O$2:$O$1001=H1183))&gt;0,"실물 있음",IF(SUMPRODUCT((실물목록!$P$2:$P$1001&lt;&gt;"")*ISNUMBER(SEARCH(실물목록!$P$2:$P$1001,I1183))*(실물목록!$R$2:$R$1001&lt;&gt;""))&gt;0,"확인필요(입력누락)",IF(SUMPRODUCT((실물목록!$P$2:$P$1001&lt;&gt;"")*ISNUMBER(SEARCH(실물목록!$P$2:$P$1001,I1183))*(실물목록!$Q$2:$Q$1001&lt;&gt;"")*ISNUMBER(SEARCH(실물목록!$Q$2:$Q$1001,I1183))*(실물목록!$R$2:$R$1001="")*(실물목록!$O$2:$O$1001&lt;&gt;""))&gt;0,"확인필요(연도다름)","실물 없음")))))</f>
      </c>
      <c r="G1183" t="n" s="16">
        <f aca="0">IF(B1183="","",SUMPRODUCT((실물목록!$P$2:$P$1001&lt;&gt;"")*ISNUMBER(SEARCH(실물목록!$P$2:$P$1001,I1183))*(실물목록!$Q$2:$Q$1001&lt;&gt;"")*ISNUMBER(SEARCH(실물목록!$Q$2:$Q$1001,I1183))*(실물목록!$R$2:$R$1001="")*(실물목록!$O$2:$O$1001&lt;&gt;"")*(실물목록!$O$2:$O$1001=H1183)))</f>
      </c>
      <c r="H1183" t="str">
        <f>IFERROR(IF(AND(LEN(SUBSTITUTE(SUBSTITUTE(SUBSTITUTE(TRIM(A1183&amp;""),CHAR(160),"")," ",""),"년",""))=4,VALUE(SUBSTITUTE(SUBSTITUTE(SUBSTITUTE(TRIM(A1183&amp;""),CHAR(160),"")," ",""),"년",""))&gt;=1900,VALUE(SUBSTITUTE(SUBSTITUTE(SUBSTITUTE(TRIM(A1183&amp;""),CHAR(160),"")," ",""),"년",""))&lt;=2099,TEXT(VALUE(SUBSTITUTE(SUBSTITUTE(SUBSTITUTE(TRIM(A1183&amp;""),CHAR(160),"")," ",""),"년","")),"0000")=SUBSTITUTE(SUBSTITUTE(SUBSTITUTE(TRIM(A1183&amp;""),CHAR(160),"")," ",""),"년","")),SUBSTITUTE(SUBSTITUTE(SUBSTITUTE(TRIM(A1183&amp;""),CHAR(160),"")," ",""),"년",""),""),"")</f>
      </c>
      <c r="I1183" t="str">
        <f>SUBSTITUTE(SUBSTITUTE(SUBSTITUTE(SUBSTITUTE(SUBSTITUTE(TRIM(B1183&amp;""),CHAR(160),"")," ",""),"초등학교","초"),"중학교","중"),"고등학교","고")</f>
      </c>
    </row>
    <row r="1184" customFormat="false" ht="15" hidden="false" customHeight="false" outlineLevel="0" collapsed="false">
      <c r="A1184" s="8"/>
      <c r="B1184" s="8"/>
      <c r="C1184" s="8"/>
      <c r="D1184" s="8"/>
      <c r="E1184" s="8"/>
      <c r="F1184" t="str" s="15">
        <f aca="0">IF(B1184="","",IF(H1184="","확인필요(입력누락)",IF(SUMPRODUCT((실물목록!$P$2:$P$1001&lt;&gt;"")*ISNUMBER(SEARCH(실물목록!$P$2:$P$1001,I1184))*(실물목록!$Q$2:$Q$1001&lt;&gt;"")*ISNUMBER(SEARCH(실물목록!$Q$2:$Q$1001,I1184))*(실물목록!$R$2:$R$1001="")*(실물목록!$O$2:$O$1001&lt;&gt;"")*(실물목록!$O$2:$O$1001=H1184))&gt;0,"실물 있음",IF(SUMPRODUCT((실물목록!$P$2:$P$1001&lt;&gt;"")*ISNUMBER(SEARCH(실물목록!$P$2:$P$1001,I1184))*(실물목록!$R$2:$R$1001&lt;&gt;""))&gt;0,"확인필요(입력누락)",IF(SUMPRODUCT((실물목록!$P$2:$P$1001&lt;&gt;"")*ISNUMBER(SEARCH(실물목록!$P$2:$P$1001,I1184))*(실물목록!$Q$2:$Q$1001&lt;&gt;"")*ISNUMBER(SEARCH(실물목록!$Q$2:$Q$1001,I1184))*(실물목록!$R$2:$R$1001="")*(실물목록!$O$2:$O$1001&lt;&gt;""))&gt;0,"확인필요(연도다름)","실물 없음")))))</f>
      </c>
      <c r="G1184" t="n" s="16">
        <f aca="0">IF(B1184="","",SUMPRODUCT((실물목록!$P$2:$P$1001&lt;&gt;"")*ISNUMBER(SEARCH(실물목록!$P$2:$P$1001,I1184))*(실물목록!$Q$2:$Q$1001&lt;&gt;"")*ISNUMBER(SEARCH(실물목록!$Q$2:$Q$1001,I1184))*(실물목록!$R$2:$R$1001="")*(실물목록!$O$2:$O$1001&lt;&gt;"")*(실물목록!$O$2:$O$1001=H1184)))</f>
      </c>
      <c r="H1184" t="str">
        <f>IFERROR(IF(AND(LEN(SUBSTITUTE(SUBSTITUTE(SUBSTITUTE(TRIM(A1184&amp;""),CHAR(160),"")," ",""),"년",""))=4,VALUE(SUBSTITUTE(SUBSTITUTE(SUBSTITUTE(TRIM(A1184&amp;""),CHAR(160),"")," ",""),"년",""))&gt;=1900,VALUE(SUBSTITUTE(SUBSTITUTE(SUBSTITUTE(TRIM(A1184&amp;""),CHAR(160),"")," ",""),"년",""))&lt;=2099,TEXT(VALUE(SUBSTITUTE(SUBSTITUTE(SUBSTITUTE(TRIM(A1184&amp;""),CHAR(160),"")," ",""),"년","")),"0000")=SUBSTITUTE(SUBSTITUTE(SUBSTITUTE(TRIM(A1184&amp;""),CHAR(160),"")," ",""),"년","")),SUBSTITUTE(SUBSTITUTE(SUBSTITUTE(TRIM(A1184&amp;""),CHAR(160),"")," ",""),"년",""),""),"")</f>
      </c>
      <c r="I1184" t="str">
        <f>SUBSTITUTE(SUBSTITUTE(SUBSTITUTE(SUBSTITUTE(SUBSTITUTE(TRIM(B1184&amp;""),CHAR(160),"")," ",""),"초등학교","초"),"중학교","중"),"고등학교","고")</f>
      </c>
    </row>
    <row r="1185" customFormat="false" ht="15" hidden="false" customHeight="false" outlineLevel="0" collapsed="false">
      <c r="A1185" s="8"/>
      <c r="B1185" s="8"/>
      <c r="C1185" s="8"/>
      <c r="D1185" s="8"/>
      <c r="E1185" s="8"/>
      <c r="F1185" t="str" s="15">
        <f aca="0">IF(B1185="","",IF(H1185="","확인필요(입력누락)",IF(SUMPRODUCT((실물목록!$P$2:$P$1001&lt;&gt;"")*ISNUMBER(SEARCH(실물목록!$P$2:$P$1001,I1185))*(실물목록!$Q$2:$Q$1001&lt;&gt;"")*ISNUMBER(SEARCH(실물목록!$Q$2:$Q$1001,I1185))*(실물목록!$R$2:$R$1001="")*(실물목록!$O$2:$O$1001&lt;&gt;"")*(실물목록!$O$2:$O$1001=H1185))&gt;0,"실물 있음",IF(SUMPRODUCT((실물목록!$P$2:$P$1001&lt;&gt;"")*ISNUMBER(SEARCH(실물목록!$P$2:$P$1001,I1185))*(실물목록!$R$2:$R$1001&lt;&gt;""))&gt;0,"확인필요(입력누락)",IF(SUMPRODUCT((실물목록!$P$2:$P$1001&lt;&gt;"")*ISNUMBER(SEARCH(실물목록!$P$2:$P$1001,I1185))*(실물목록!$Q$2:$Q$1001&lt;&gt;"")*ISNUMBER(SEARCH(실물목록!$Q$2:$Q$1001,I1185))*(실물목록!$R$2:$R$1001="")*(실물목록!$O$2:$O$1001&lt;&gt;""))&gt;0,"확인필요(연도다름)","실물 없음")))))</f>
      </c>
      <c r="G1185" t="n" s="16">
        <f aca="0">IF(B1185="","",SUMPRODUCT((실물목록!$P$2:$P$1001&lt;&gt;"")*ISNUMBER(SEARCH(실물목록!$P$2:$P$1001,I1185))*(실물목록!$Q$2:$Q$1001&lt;&gt;"")*ISNUMBER(SEARCH(실물목록!$Q$2:$Q$1001,I1185))*(실물목록!$R$2:$R$1001="")*(실물목록!$O$2:$O$1001&lt;&gt;"")*(실물목록!$O$2:$O$1001=H1185)))</f>
      </c>
      <c r="H1185" t="str">
        <f>IFERROR(IF(AND(LEN(SUBSTITUTE(SUBSTITUTE(SUBSTITUTE(TRIM(A1185&amp;""),CHAR(160),"")," ",""),"년",""))=4,VALUE(SUBSTITUTE(SUBSTITUTE(SUBSTITUTE(TRIM(A1185&amp;""),CHAR(160),"")," ",""),"년",""))&gt;=1900,VALUE(SUBSTITUTE(SUBSTITUTE(SUBSTITUTE(TRIM(A1185&amp;""),CHAR(160),"")," ",""),"년",""))&lt;=2099,TEXT(VALUE(SUBSTITUTE(SUBSTITUTE(SUBSTITUTE(TRIM(A1185&amp;""),CHAR(160),"")," ",""),"년","")),"0000")=SUBSTITUTE(SUBSTITUTE(SUBSTITUTE(TRIM(A1185&amp;""),CHAR(160),"")," ",""),"년","")),SUBSTITUTE(SUBSTITUTE(SUBSTITUTE(TRIM(A1185&amp;""),CHAR(160),"")," ",""),"년",""),""),"")</f>
      </c>
      <c r="I1185" t="str">
        <f>SUBSTITUTE(SUBSTITUTE(SUBSTITUTE(SUBSTITUTE(SUBSTITUTE(TRIM(B1185&amp;""),CHAR(160),"")," ",""),"초등학교","초"),"중학교","중"),"고등학교","고")</f>
      </c>
    </row>
    <row r="1186" customFormat="false" ht="15" hidden="false" customHeight="false" outlineLevel="0" collapsed="false">
      <c r="A1186" s="8"/>
      <c r="B1186" s="8"/>
      <c r="C1186" s="8"/>
      <c r="D1186" s="8"/>
      <c r="E1186" s="8"/>
      <c r="F1186" t="str" s="15">
        <f aca="0">IF(B1186="","",IF(H1186="","확인필요(입력누락)",IF(SUMPRODUCT((실물목록!$P$2:$P$1001&lt;&gt;"")*ISNUMBER(SEARCH(실물목록!$P$2:$P$1001,I1186))*(실물목록!$Q$2:$Q$1001&lt;&gt;"")*ISNUMBER(SEARCH(실물목록!$Q$2:$Q$1001,I1186))*(실물목록!$R$2:$R$1001="")*(실물목록!$O$2:$O$1001&lt;&gt;"")*(실물목록!$O$2:$O$1001=H1186))&gt;0,"실물 있음",IF(SUMPRODUCT((실물목록!$P$2:$P$1001&lt;&gt;"")*ISNUMBER(SEARCH(실물목록!$P$2:$P$1001,I1186))*(실물목록!$R$2:$R$1001&lt;&gt;""))&gt;0,"확인필요(입력누락)",IF(SUMPRODUCT((실물목록!$P$2:$P$1001&lt;&gt;"")*ISNUMBER(SEARCH(실물목록!$P$2:$P$1001,I1186))*(실물목록!$Q$2:$Q$1001&lt;&gt;"")*ISNUMBER(SEARCH(실물목록!$Q$2:$Q$1001,I1186))*(실물목록!$R$2:$R$1001="")*(실물목록!$O$2:$O$1001&lt;&gt;""))&gt;0,"확인필요(연도다름)","실물 없음")))))</f>
      </c>
      <c r="G1186" t="n" s="16">
        <f aca="0">IF(B1186="","",SUMPRODUCT((실물목록!$P$2:$P$1001&lt;&gt;"")*ISNUMBER(SEARCH(실물목록!$P$2:$P$1001,I1186))*(실물목록!$Q$2:$Q$1001&lt;&gt;"")*ISNUMBER(SEARCH(실물목록!$Q$2:$Q$1001,I1186))*(실물목록!$R$2:$R$1001="")*(실물목록!$O$2:$O$1001&lt;&gt;"")*(실물목록!$O$2:$O$1001=H1186)))</f>
      </c>
      <c r="H1186" t="str">
        <f>IFERROR(IF(AND(LEN(SUBSTITUTE(SUBSTITUTE(SUBSTITUTE(TRIM(A1186&amp;""),CHAR(160),"")," ",""),"년",""))=4,VALUE(SUBSTITUTE(SUBSTITUTE(SUBSTITUTE(TRIM(A1186&amp;""),CHAR(160),"")," ",""),"년",""))&gt;=1900,VALUE(SUBSTITUTE(SUBSTITUTE(SUBSTITUTE(TRIM(A1186&amp;""),CHAR(160),"")," ",""),"년",""))&lt;=2099,TEXT(VALUE(SUBSTITUTE(SUBSTITUTE(SUBSTITUTE(TRIM(A1186&amp;""),CHAR(160),"")," ",""),"년","")),"0000")=SUBSTITUTE(SUBSTITUTE(SUBSTITUTE(TRIM(A1186&amp;""),CHAR(160),"")," ",""),"년","")),SUBSTITUTE(SUBSTITUTE(SUBSTITUTE(TRIM(A1186&amp;""),CHAR(160),"")," ",""),"년",""),""),"")</f>
      </c>
      <c r="I1186" t="str">
        <f>SUBSTITUTE(SUBSTITUTE(SUBSTITUTE(SUBSTITUTE(SUBSTITUTE(TRIM(B1186&amp;""),CHAR(160),"")," ",""),"초등학교","초"),"중학교","중"),"고등학교","고")</f>
      </c>
    </row>
    <row r="1187" customFormat="false" ht="15" hidden="false" customHeight="false" outlineLevel="0" collapsed="false">
      <c r="A1187" s="8"/>
      <c r="B1187" s="8"/>
      <c r="C1187" s="8"/>
      <c r="D1187" s="8"/>
      <c r="E1187" s="8"/>
      <c r="F1187" t="str" s="15">
        <f aca="0">IF(B1187="","",IF(H1187="","확인필요(입력누락)",IF(SUMPRODUCT((실물목록!$P$2:$P$1001&lt;&gt;"")*ISNUMBER(SEARCH(실물목록!$P$2:$P$1001,I1187))*(실물목록!$Q$2:$Q$1001&lt;&gt;"")*ISNUMBER(SEARCH(실물목록!$Q$2:$Q$1001,I1187))*(실물목록!$R$2:$R$1001="")*(실물목록!$O$2:$O$1001&lt;&gt;"")*(실물목록!$O$2:$O$1001=H1187))&gt;0,"실물 있음",IF(SUMPRODUCT((실물목록!$P$2:$P$1001&lt;&gt;"")*ISNUMBER(SEARCH(실물목록!$P$2:$P$1001,I1187))*(실물목록!$R$2:$R$1001&lt;&gt;""))&gt;0,"확인필요(입력누락)",IF(SUMPRODUCT((실물목록!$P$2:$P$1001&lt;&gt;"")*ISNUMBER(SEARCH(실물목록!$P$2:$P$1001,I1187))*(실물목록!$Q$2:$Q$1001&lt;&gt;"")*ISNUMBER(SEARCH(실물목록!$Q$2:$Q$1001,I1187))*(실물목록!$R$2:$R$1001="")*(실물목록!$O$2:$O$1001&lt;&gt;""))&gt;0,"확인필요(연도다름)","실물 없음")))))</f>
      </c>
      <c r="G1187" t="n" s="16">
        <f aca="0">IF(B1187="","",SUMPRODUCT((실물목록!$P$2:$P$1001&lt;&gt;"")*ISNUMBER(SEARCH(실물목록!$P$2:$P$1001,I1187))*(실물목록!$Q$2:$Q$1001&lt;&gt;"")*ISNUMBER(SEARCH(실물목록!$Q$2:$Q$1001,I1187))*(실물목록!$R$2:$R$1001="")*(실물목록!$O$2:$O$1001&lt;&gt;"")*(실물목록!$O$2:$O$1001=H1187)))</f>
      </c>
      <c r="H1187" t="str">
        <f>IFERROR(IF(AND(LEN(SUBSTITUTE(SUBSTITUTE(SUBSTITUTE(TRIM(A1187&amp;""),CHAR(160),"")," ",""),"년",""))=4,VALUE(SUBSTITUTE(SUBSTITUTE(SUBSTITUTE(TRIM(A1187&amp;""),CHAR(160),"")," ",""),"년",""))&gt;=1900,VALUE(SUBSTITUTE(SUBSTITUTE(SUBSTITUTE(TRIM(A1187&amp;""),CHAR(160),"")," ",""),"년",""))&lt;=2099,TEXT(VALUE(SUBSTITUTE(SUBSTITUTE(SUBSTITUTE(TRIM(A1187&amp;""),CHAR(160),"")," ",""),"년","")),"0000")=SUBSTITUTE(SUBSTITUTE(SUBSTITUTE(TRIM(A1187&amp;""),CHAR(160),"")," ",""),"년","")),SUBSTITUTE(SUBSTITUTE(SUBSTITUTE(TRIM(A1187&amp;""),CHAR(160),"")," ",""),"년",""),""),"")</f>
      </c>
      <c r="I1187" t="str">
        <f>SUBSTITUTE(SUBSTITUTE(SUBSTITUTE(SUBSTITUTE(SUBSTITUTE(TRIM(B1187&amp;""),CHAR(160),"")," ",""),"초등학교","초"),"중학교","중"),"고등학교","고")</f>
      </c>
    </row>
    <row r="1188" customFormat="false" ht="15" hidden="false" customHeight="false" outlineLevel="0" collapsed="false">
      <c r="A1188" s="8"/>
      <c r="B1188" s="8"/>
      <c r="C1188" s="8"/>
      <c r="D1188" s="8"/>
      <c r="E1188" s="8"/>
      <c r="F1188" t="str" s="15">
        <f aca="0">IF(B1188="","",IF(H1188="","확인필요(입력누락)",IF(SUMPRODUCT((실물목록!$P$2:$P$1001&lt;&gt;"")*ISNUMBER(SEARCH(실물목록!$P$2:$P$1001,I1188))*(실물목록!$Q$2:$Q$1001&lt;&gt;"")*ISNUMBER(SEARCH(실물목록!$Q$2:$Q$1001,I1188))*(실물목록!$R$2:$R$1001="")*(실물목록!$O$2:$O$1001&lt;&gt;"")*(실물목록!$O$2:$O$1001=H1188))&gt;0,"실물 있음",IF(SUMPRODUCT((실물목록!$P$2:$P$1001&lt;&gt;"")*ISNUMBER(SEARCH(실물목록!$P$2:$P$1001,I1188))*(실물목록!$R$2:$R$1001&lt;&gt;""))&gt;0,"확인필요(입력누락)",IF(SUMPRODUCT((실물목록!$P$2:$P$1001&lt;&gt;"")*ISNUMBER(SEARCH(실물목록!$P$2:$P$1001,I1188))*(실물목록!$Q$2:$Q$1001&lt;&gt;"")*ISNUMBER(SEARCH(실물목록!$Q$2:$Q$1001,I1188))*(실물목록!$R$2:$R$1001="")*(실물목록!$O$2:$O$1001&lt;&gt;""))&gt;0,"확인필요(연도다름)","실물 없음")))))</f>
      </c>
      <c r="G1188" t="n" s="16">
        <f aca="0">IF(B1188="","",SUMPRODUCT((실물목록!$P$2:$P$1001&lt;&gt;"")*ISNUMBER(SEARCH(실물목록!$P$2:$P$1001,I1188))*(실물목록!$Q$2:$Q$1001&lt;&gt;"")*ISNUMBER(SEARCH(실물목록!$Q$2:$Q$1001,I1188))*(실물목록!$R$2:$R$1001="")*(실물목록!$O$2:$O$1001&lt;&gt;"")*(실물목록!$O$2:$O$1001=H1188)))</f>
      </c>
      <c r="H1188" t="str">
        <f>IFERROR(IF(AND(LEN(SUBSTITUTE(SUBSTITUTE(SUBSTITUTE(TRIM(A1188&amp;""),CHAR(160),"")," ",""),"년",""))=4,VALUE(SUBSTITUTE(SUBSTITUTE(SUBSTITUTE(TRIM(A1188&amp;""),CHAR(160),"")," ",""),"년",""))&gt;=1900,VALUE(SUBSTITUTE(SUBSTITUTE(SUBSTITUTE(TRIM(A1188&amp;""),CHAR(160),"")," ",""),"년",""))&lt;=2099,TEXT(VALUE(SUBSTITUTE(SUBSTITUTE(SUBSTITUTE(TRIM(A1188&amp;""),CHAR(160),"")," ",""),"년","")),"0000")=SUBSTITUTE(SUBSTITUTE(SUBSTITUTE(TRIM(A1188&amp;""),CHAR(160),"")," ",""),"년","")),SUBSTITUTE(SUBSTITUTE(SUBSTITUTE(TRIM(A1188&amp;""),CHAR(160),"")," ",""),"년",""),""),"")</f>
      </c>
      <c r="I1188" t="str">
        <f>SUBSTITUTE(SUBSTITUTE(SUBSTITUTE(SUBSTITUTE(SUBSTITUTE(TRIM(B1188&amp;""),CHAR(160),"")," ",""),"초등학교","초"),"중학교","중"),"고등학교","고")</f>
      </c>
    </row>
    <row r="1189" customFormat="false" ht="15" hidden="false" customHeight="false" outlineLevel="0" collapsed="false">
      <c r="A1189" s="8"/>
      <c r="B1189" s="8"/>
      <c r="C1189" s="8"/>
      <c r="D1189" s="8"/>
      <c r="E1189" s="8"/>
      <c r="F1189" t="str" s="15">
        <f aca="0">IF(B1189="","",IF(H1189="","확인필요(입력누락)",IF(SUMPRODUCT((실물목록!$P$2:$P$1001&lt;&gt;"")*ISNUMBER(SEARCH(실물목록!$P$2:$P$1001,I1189))*(실물목록!$Q$2:$Q$1001&lt;&gt;"")*ISNUMBER(SEARCH(실물목록!$Q$2:$Q$1001,I1189))*(실물목록!$R$2:$R$1001="")*(실물목록!$O$2:$O$1001&lt;&gt;"")*(실물목록!$O$2:$O$1001=H1189))&gt;0,"실물 있음",IF(SUMPRODUCT((실물목록!$P$2:$P$1001&lt;&gt;"")*ISNUMBER(SEARCH(실물목록!$P$2:$P$1001,I1189))*(실물목록!$R$2:$R$1001&lt;&gt;""))&gt;0,"확인필요(입력누락)",IF(SUMPRODUCT((실물목록!$P$2:$P$1001&lt;&gt;"")*ISNUMBER(SEARCH(실물목록!$P$2:$P$1001,I1189))*(실물목록!$Q$2:$Q$1001&lt;&gt;"")*ISNUMBER(SEARCH(실물목록!$Q$2:$Q$1001,I1189))*(실물목록!$R$2:$R$1001="")*(실물목록!$O$2:$O$1001&lt;&gt;""))&gt;0,"확인필요(연도다름)","실물 없음")))))</f>
      </c>
      <c r="G1189" t="n" s="16">
        <f aca="0">IF(B1189="","",SUMPRODUCT((실물목록!$P$2:$P$1001&lt;&gt;"")*ISNUMBER(SEARCH(실물목록!$P$2:$P$1001,I1189))*(실물목록!$Q$2:$Q$1001&lt;&gt;"")*ISNUMBER(SEARCH(실물목록!$Q$2:$Q$1001,I1189))*(실물목록!$R$2:$R$1001="")*(실물목록!$O$2:$O$1001&lt;&gt;"")*(실물목록!$O$2:$O$1001=H1189)))</f>
      </c>
      <c r="H1189" t="str">
        <f>IFERROR(IF(AND(LEN(SUBSTITUTE(SUBSTITUTE(SUBSTITUTE(TRIM(A1189&amp;""),CHAR(160),"")," ",""),"년",""))=4,VALUE(SUBSTITUTE(SUBSTITUTE(SUBSTITUTE(TRIM(A1189&amp;""),CHAR(160),"")," ",""),"년",""))&gt;=1900,VALUE(SUBSTITUTE(SUBSTITUTE(SUBSTITUTE(TRIM(A1189&amp;""),CHAR(160),"")," ",""),"년",""))&lt;=2099,TEXT(VALUE(SUBSTITUTE(SUBSTITUTE(SUBSTITUTE(TRIM(A1189&amp;""),CHAR(160),"")," ",""),"년","")),"0000")=SUBSTITUTE(SUBSTITUTE(SUBSTITUTE(TRIM(A1189&amp;""),CHAR(160),"")," ",""),"년","")),SUBSTITUTE(SUBSTITUTE(SUBSTITUTE(TRIM(A1189&amp;""),CHAR(160),"")," ",""),"년",""),""),"")</f>
      </c>
      <c r="I1189" t="str">
        <f>SUBSTITUTE(SUBSTITUTE(SUBSTITUTE(SUBSTITUTE(SUBSTITUTE(TRIM(B1189&amp;""),CHAR(160),"")," ",""),"초등학교","초"),"중학교","중"),"고등학교","고")</f>
      </c>
    </row>
    <row r="1190" customFormat="false" ht="15" hidden="false" customHeight="false" outlineLevel="0" collapsed="false">
      <c r="A1190" s="8"/>
      <c r="B1190" s="8"/>
      <c r="C1190" s="8"/>
      <c r="D1190" s="8"/>
      <c r="E1190" s="8"/>
      <c r="F1190" t="str" s="15">
        <f aca="0">IF(B1190="","",IF(H1190="","확인필요(입력누락)",IF(SUMPRODUCT((실물목록!$P$2:$P$1001&lt;&gt;"")*ISNUMBER(SEARCH(실물목록!$P$2:$P$1001,I1190))*(실물목록!$Q$2:$Q$1001&lt;&gt;"")*ISNUMBER(SEARCH(실물목록!$Q$2:$Q$1001,I1190))*(실물목록!$R$2:$R$1001="")*(실물목록!$O$2:$O$1001&lt;&gt;"")*(실물목록!$O$2:$O$1001=H1190))&gt;0,"실물 있음",IF(SUMPRODUCT((실물목록!$P$2:$P$1001&lt;&gt;"")*ISNUMBER(SEARCH(실물목록!$P$2:$P$1001,I1190))*(실물목록!$R$2:$R$1001&lt;&gt;""))&gt;0,"확인필요(입력누락)",IF(SUMPRODUCT((실물목록!$P$2:$P$1001&lt;&gt;"")*ISNUMBER(SEARCH(실물목록!$P$2:$P$1001,I1190))*(실물목록!$Q$2:$Q$1001&lt;&gt;"")*ISNUMBER(SEARCH(실물목록!$Q$2:$Q$1001,I1190))*(실물목록!$R$2:$R$1001="")*(실물목록!$O$2:$O$1001&lt;&gt;""))&gt;0,"확인필요(연도다름)","실물 없음")))))</f>
      </c>
      <c r="G1190" t="n" s="16">
        <f aca="0">IF(B1190="","",SUMPRODUCT((실물목록!$P$2:$P$1001&lt;&gt;"")*ISNUMBER(SEARCH(실물목록!$P$2:$P$1001,I1190))*(실물목록!$Q$2:$Q$1001&lt;&gt;"")*ISNUMBER(SEARCH(실물목록!$Q$2:$Q$1001,I1190))*(실물목록!$R$2:$R$1001="")*(실물목록!$O$2:$O$1001&lt;&gt;"")*(실물목록!$O$2:$O$1001=H1190)))</f>
      </c>
      <c r="H1190" t="str">
        <f>IFERROR(IF(AND(LEN(SUBSTITUTE(SUBSTITUTE(SUBSTITUTE(TRIM(A1190&amp;""),CHAR(160),"")," ",""),"년",""))=4,VALUE(SUBSTITUTE(SUBSTITUTE(SUBSTITUTE(TRIM(A1190&amp;""),CHAR(160),"")," ",""),"년",""))&gt;=1900,VALUE(SUBSTITUTE(SUBSTITUTE(SUBSTITUTE(TRIM(A1190&amp;""),CHAR(160),"")," ",""),"년",""))&lt;=2099,TEXT(VALUE(SUBSTITUTE(SUBSTITUTE(SUBSTITUTE(TRIM(A1190&amp;""),CHAR(160),"")," ",""),"년","")),"0000")=SUBSTITUTE(SUBSTITUTE(SUBSTITUTE(TRIM(A1190&amp;""),CHAR(160),"")," ",""),"년","")),SUBSTITUTE(SUBSTITUTE(SUBSTITUTE(TRIM(A1190&amp;""),CHAR(160),"")," ",""),"년",""),""),"")</f>
      </c>
      <c r="I1190" t="str">
        <f>SUBSTITUTE(SUBSTITUTE(SUBSTITUTE(SUBSTITUTE(SUBSTITUTE(TRIM(B1190&amp;""),CHAR(160),"")," ",""),"초등학교","초"),"중학교","중"),"고등학교","고")</f>
      </c>
    </row>
    <row r="1191" customFormat="false" ht="15" hidden="false" customHeight="false" outlineLevel="0" collapsed="false">
      <c r="A1191" s="8"/>
      <c r="B1191" s="8"/>
      <c r="C1191" s="8"/>
      <c r="D1191" s="8"/>
      <c r="E1191" s="8"/>
      <c r="F1191" t="str" s="15">
        <f aca="0">IF(B1191="","",IF(H1191="","확인필요(입력누락)",IF(SUMPRODUCT((실물목록!$P$2:$P$1001&lt;&gt;"")*ISNUMBER(SEARCH(실물목록!$P$2:$P$1001,I1191))*(실물목록!$Q$2:$Q$1001&lt;&gt;"")*ISNUMBER(SEARCH(실물목록!$Q$2:$Q$1001,I1191))*(실물목록!$R$2:$R$1001="")*(실물목록!$O$2:$O$1001&lt;&gt;"")*(실물목록!$O$2:$O$1001=H1191))&gt;0,"실물 있음",IF(SUMPRODUCT((실물목록!$P$2:$P$1001&lt;&gt;"")*ISNUMBER(SEARCH(실물목록!$P$2:$P$1001,I1191))*(실물목록!$R$2:$R$1001&lt;&gt;""))&gt;0,"확인필요(입력누락)",IF(SUMPRODUCT((실물목록!$P$2:$P$1001&lt;&gt;"")*ISNUMBER(SEARCH(실물목록!$P$2:$P$1001,I1191))*(실물목록!$Q$2:$Q$1001&lt;&gt;"")*ISNUMBER(SEARCH(실물목록!$Q$2:$Q$1001,I1191))*(실물목록!$R$2:$R$1001="")*(실물목록!$O$2:$O$1001&lt;&gt;""))&gt;0,"확인필요(연도다름)","실물 없음")))))</f>
      </c>
      <c r="G1191" t="n" s="16">
        <f aca="0">IF(B1191="","",SUMPRODUCT((실물목록!$P$2:$P$1001&lt;&gt;"")*ISNUMBER(SEARCH(실물목록!$P$2:$P$1001,I1191))*(실물목록!$Q$2:$Q$1001&lt;&gt;"")*ISNUMBER(SEARCH(실물목록!$Q$2:$Q$1001,I1191))*(실물목록!$R$2:$R$1001="")*(실물목록!$O$2:$O$1001&lt;&gt;"")*(실물목록!$O$2:$O$1001=H1191)))</f>
      </c>
      <c r="H1191" t="str">
        <f>IFERROR(IF(AND(LEN(SUBSTITUTE(SUBSTITUTE(SUBSTITUTE(TRIM(A1191&amp;""),CHAR(160),"")," ",""),"년",""))=4,VALUE(SUBSTITUTE(SUBSTITUTE(SUBSTITUTE(TRIM(A1191&amp;""),CHAR(160),"")," ",""),"년",""))&gt;=1900,VALUE(SUBSTITUTE(SUBSTITUTE(SUBSTITUTE(TRIM(A1191&amp;""),CHAR(160),"")," ",""),"년",""))&lt;=2099,TEXT(VALUE(SUBSTITUTE(SUBSTITUTE(SUBSTITUTE(TRIM(A1191&amp;""),CHAR(160),"")," ",""),"년","")),"0000")=SUBSTITUTE(SUBSTITUTE(SUBSTITUTE(TRIM(A1191&amp;""),CHAR(160),"")," ",""),"년","")),SUBSTITUTE(SUBSTITUTE(SUBSTITUTE(TRIM(A1191&amp;""),CHAR(160),"")," ",""),"년",""),""),"")</f>
      </c>
      <c r="I1191" t="str">
        <f>SUBSTITUTE(SUBSTITUTE(SUBSTITUTE(SUBSTITUTE(SUBSTITUTE(TRIM(B1191&amp;""),CHAR(160),"")," ",""),"초등학교","초"),"중학교","중"),"고등학교","고")</f>
      </c>
    </row>
    <row r="1192" customFormat="false" ht="15" hidden="false" customHeight="false" outlineLevel="0" collapsed="false">
      <c r="A1192" s="8"/>
      <c r="B1192" s="8"/>
      <c r="C1192" s="8"/>
      <c r="D1192" s="8"/>
      <c r="E1192" s="8"/>
      <c r="F1192" t="str" s="15">
        <f aca="0">IF(B1192="","",IF(H1192="","확인필요(입력누락)",IF(SUMPRODUCT((실물목록!$P$2:$P$1001&lt;&gt;"")*ISNUMBER(SEARCH(실물목록!$P$2:$P$1001,I1192))*(실물목록!$Q$2:$Q$1001&lt;&gt;"")*ISNUMBER(SEARCH(실물목록!$Q$2:$Q$1001,I1192))*(실물목록!$R$2:$R$1001="")*(실물목록!$O$2:$O$1001&lt;&gt;"")*(실물목록!$O$2:$O$1001=H1192))&gt;0,"실물 있음",IF(SUMPRODUCT((실물목록!$P$2:$P$1001&lt;&gt;"")*ISNUMBER(SEARCH(실물목록!$P$2:$P$1001,I1192))*(실물목록!$R$2:$R$1001&lt;&gt;""))&gt;0,"확인필요(입력누락)",IF(SUMPRODUCT((실물목록!$P$2:$P$1001&lt;&gt;"")*ISNUMBER(SEARCH(실물목록!$P$2:$P$1001,I1192))*(실물목록!$Q$2:$Q$1001&lt;&gt;"")*ISNUMBER(SEARCH(실물목록!$Q$2:$Q$1001,I1192))*(실물목록!$R$2:$R$1001="")*(실물목록!$O$2:$O$1001&lt;&gt;""))&gt;0,"확인필요(연도다름)","실물 없음")))))</f>
      </c>
      <c r="G1192" t="n" s="16">
        <f aca="0">IF(B1192="","",SUMPRODUCT((실물목록!$P$2:$P$1001&lt;&gt;"")*ISNUMBER(SEARCH(실물목록!$P$2:$P$1001,I1192))*(실물목록!$Q$2:$Q$1001&lt;&gt;"")*ISNUMBER(SEARCH(실물목록!$Q$2:$Q$1001,I1192))*(실물목록!$R$2:$R$1001="")*(실물목록!$O$2:$O$1001&lt;&gt;"")*(실물목록!$O$2:$O$1001=H1192)))</f>
      </c>
      <c r="H1192" t="str">
        <f>IFERROR(IF(AND(LEN(SUBSTITUTE(SUBSTITUTE(SUBSTITUTE(TRIM(A1192&amp;""),CHAR(160),"")," ",""),"년",""))=4,VALUE(SUBSTITUTE(SUBSTITUTE(SUBSTITUTE(TRIM(A1192&amp;""),CHAR(160),"")," ",""),"년",""))&gt;=1900,VALUE(SUBSTITUTE(SUBSTITUTE(SUBSTITUTE(TRIM(A1192&amp;""),CHAR(160),"")," ",""),"년",""))&lt;=2099,TEXT(VALUE(SUBSTITUTE(SUBSTITUTE(SUBSTITUTE(TRIM(A1192&amp;""),CHAR(160),"")," ",""),"년","")),"0000")=SUBSTITUTE(SUBSTITUTE(SUBSTITUTE(TRIM(A1192&amp;""),CHAR(160),"")," ",""),"년","")),SUBSTITUTE(SUBSTITUTE(SUBSTITUTE(TRIM(A1192&amp;""),CHAR(160),"")," ",""),"년",""),""),"")</f>
      </c>
      <c r="I1192" t="str">
        <f>SUBSTITUTE(SUBSTITUTE(SUBSTITUTE(SUBSTITUTE(SUBSTITUTE(TRIM(B1192&amp;""),CHAR(160),"")," ",""),"초등학교","초"),"중학교","중"),"고등학교","고")</f>
      </c>
    </row>
    <row r="1193" customFormat="false" ht="15" hidden="false" customHeight="false" outlineLevel="0" collapsed="false">
      <c r="A1193" s="8"/>
      <c r="B1193" s="8"/>
      <c r="C1193" s="8"/>
      <c r="D1193" s="8"/>
      <c r="E1193" s="8"/>
      <c r="F1193" t="str" s="15">
        <f aca="0">IF(B1193="","",IF(H1193="","확인필요(입력누락)",IF(SUMPRODUCT((실물목록!$P$2:$P$1001&lt;&gt;"")*ISNUMBER(SEARCH(실물목록!$P$2:$P$1001,I1193))*(실물목록!$Q$2:$Q$1001&lt;&gt;"")*ISNUMBER(SEARCH(실물목록!$Q$2:$Q$1001,I1193))*(실물목록!$R$2:$R$1001="")*(실물목록!$O$2:$O$1001&lt;&gt;"")*(실물목록!$O$2:$O$1001=H1193))&gt;0,"실물 있음",IF(SUMPRODUCT((실물목록!$P$2:$P$1001&lt;&gt;"")*ISNUMBER(SEARCH(실물목록!$P$2:$P$1001,I1193))*(실물목록!$R$2:$R$1001&lt;&gt;""))&gt;0,"확인필요(입력누락)",IF(SUMPRODUCT((실물목록!$P$2:$P$1001&lt;&gt;"")*ISNUMBER(SEARCH(실물목록!$P$2:$P$1001,I1193))*(실물목록!$Q$2:$Q$1001&lt;&gt;"")*ISNUMBER(SEARCH(실물목록!$Q$2:$Q$1001,I1193))*(실물목록!$R$2:$R$1001="")*(실물목록!$O$2:$O$1001&lt;&gt;""))&gt;0,"확인필요(연도다름)","실물 없음")))))</f>
      </c>
      <c r="G1193" t="n" s="16">
        <f aca="0">IF(B1193="","",SUMPRODUCT((실물목록!$P$2:$P$1001&lt;&gt;"")*ISNUMBER(SEARCH(실물목록!$P$2:$P$1001,I1193))*(실물목록!$Q$2:$Q$1001&lt;&gt;"")*ISNUMBER(SEARCH(실물목록!$Q$2:$Q$1001,I1193))*(실물목록!$R$2:$R$1001="")*(실물목록!$O$2:$O$1001&lt;&gt;"")*(실물목록!$O$2:$O$1001=H1193)))</f>
      </c>
      <c r="H1193" t="str">
        <f>IFERROR(IF(AND(LEN(SUBSTITUTE(SUBSTITUTE(SUBSTITUTE(TRIM(A1193&amp;""),CHAR(160),"")," ",""),"년",""))=4,VALUE(SUBSTITUTE(SUBSTITUTE(SUBSTITUTE(TRIM(A1193&amp;""),CHAR(160),"")," ",""),"년",""))&gt;=1900,VALUE(SUBSTITUTE(SUBSTITUTE(SUBSTITUTE(TRIM(A1193&amp;""),CHAR(160),"")," ",""),"년",""))&lt;=2099,TEXT(VALUE(SUBSTITUTE(SUBSTITUTE(SUBSTITUTE(TRIM(A1193&amp;""),CHAR(160),"")," ",""),"년","")),"0000")=SUBSTITUTE(SUBSTITUTE(SUBSTITUTE(TRIM(A1193&amp;""),CHAR(160),"")," ",""),"년","")),SUBSTITUTE(SUBSTITUTE(SUBSTITUTE(TRIM(A1193&amp;""),CHAR(160),"")," ",""),"년",""),""),"")</f>
      </c>
      <c r="I1193" t="str">
        <f>SUBSTITUTE(SUBSTITUTE(SUBSTITUTE(SUBSTITUTE(SUBSTITUTE(TRIM(B1193&amp;""),CHAR(160),"")," ",""),"초등학교","초"),"중학교","중"),"고등학교","고")</f>
      </c>
    </row>
    <row r="1194" customFormat="false" ht="15" hidden="false" customHeight="false" outlineLevel="0" collapsed="false">
      <c r="A1194" s="8"/>
      <c r="B1194" s="8"/>
      <c r="C1194" s="8"/>
      <c r="D1194" s="8"/>
      <c r="E1194" s="8"/>
      <c r="F1194" t="str" s="15">
        <f aca="0">IF(B1194="","",IF(H1194="","확인필요(입력누락)",IF(SUMPRODUCT((실물목록!$P$2:$P$1001&lt;&gt;"")*ISNUMBER(SEARCH(실물목록!$P$2:$P$1001,I1194))*(실물목록!$Q$2:$Q$1001&lt;&gt;"")*ISNUMBER(SEARCH(실물목록!$Q$2:$Q$1001,I1194))*(실물목록!$R$2:$R$1001="")*(실물목록!$O$2:$O$1001&lt;&gt;"")*(실물목록!$O$2:$O$1001=H1194))&gt;0,"실물 있음",IF(SUMPRODUCT((실물목록!$P$2:$P$1001&lt;&gt;"")*ISNUMBER(SEARCH(실물목록!$P$2:$P$1001,I1194))*(실물목록!$R$2:$R$1001&lt;&gt;""))&gt;0,"확인필요(입력누락)",IF(SUMPRODUCT((실물목록!$P$2:$P$1001&lt;&gt;"")*ISNUMBER(SEARCH(실물목록!$P$2:$P$1001,I1194))*(실물목록!$Q$2:$Q$1001&lt;&gt;"")*ISNUMBER(SEARCH(실물목록!$Q$2:$Q$1001,I1194))*(실물목록!$R$2:$R$1001="")*(실물목록!$O$2:$O$1001&lt;&gt;""))&gt;0,"확인필요(연도다름)","실물 없음")))))</f>
      </c>
      <c r="G1194" t="n" s="16">
        <f aca="0">IF(B1194="","",SUMPRODUCT((실물목록!$P$2:$P$1001&lt;&gt;"")*ISNUMBER(SEARCH(실물목록!$P$2:$P$1001,I1194))*(실물목록!$Q$2:$Q$1001&lt;&gt;"")*ISNUMBER(SEARCH(실물목록!$Q$2:$Q$1001,I1194))*(실물목록!$R$2:$R$1001="")*(실물목록!$O$2:$O$1001&lt;&gt;"")*(실물목록!$O$2:$O$1001=H1194)))</f>
      </c>
      <c r="H1194" t="str">
        <f>IFERROR(IF(AND(LEN(SUBSTITUTE(SUBSTITUTE(SUBSTITUTE(TRIM(A1194&amp;""),CHAR(160),"")," ",""),"년",""))=4,VALUE(SUBSTITUTE(SUBSTITUTE(SUBSTITUTE(TRIM(A1194&amp;""),CHAR(160),"")," ",""),"년",""))&gt;=1900,VALUE(SUBSTITUTE(SUBSTITUTE(SUBSTITUTE(TRIM(A1194&amp;""),CHAR(160),"")," ",""),"년",""))&lt;=2099,TEXT(VALUE(SUBSTITUTE(SUBSTITUTE(SUBSTITUTE(TRIM(A1194&amp;""),CHAR(160),"")," ",""),"년","")),"0000")=SUBSTITUTE(SUBSTITUTE(SUBSTITUTE(TRIM(A1194&amp;""),CHAR(160),"")," ",""),"년","")),SUBSTITUTE(SUBSTITUTE(SUBSTITUTE(TRIM(A1194&amp;""),CHAR(160),"")," ",""),"년",""),""),"")</f>
      </c>
      <c r="I1194" t="str">
        <f>SUBSTITUTE(SUBSTITUTE(SUBSTITUTE(SUBSTITUTE(SUBSTITUTE(TRIM(B1194&amp;""),CHAR(160),"")," ",""),"초등학교","초"),"중학교","중"),"고등학교","고")</f>
      </c>
    </row>
    <row r="1195" customFormat="false" ht="15" hidden="false" customHeight="false" outlineLevel="0" collapsed="false">
      <c r="A1195" s="8"/>
      <c r="B1195" s="8"/>
      <c r="C1195" s="8"/>
      <c r="D1195" s="8"/>
      <c r="E1195" s="8"/>
      <c r="F1195" t="str" s="15">
        <f aca="0">IF(B1195="","",IF(H1195="","확인필요(입력누락)",IF(SUMPRODUCT((실물목록!$P$2:$P$1001&lt;&gt;"")*ISNUMBER(SEARCH(실물목록!$P$2:$P$1001,I1195))*(실물목록!$Q$2:$Q$1001&lt;&gt;"")*ISNUMBER(SEARCH(실물목록!$Q$2:$Q$1001,I1195))*(실물목록!$R$2:$R$1001="")*(실물목록!$O$2:$O$1001&lt;&gt;"")*(실물목록!$O$2:$O$1001=H1195))&gt;0,"실물 있음",IF(SUMPRODUCT((실물목록!$P$2:$P$1001&lt;&gt;"")*ISNUMBER(SEARCH(실물목록!$P$2:$P$1001,I1195))*(실물목록!$R$2:$R$1001&lt;&gt;""))&gt;0,"확인필요(입력누락)",IF(SUMPRODUCT((실물목록!$P$2:$P$1001&lt;&gt;"")*ISNUMBER(SEARCH(실물목록!$P$2:$P$1001,I1195))*(실물목록!$Q$2:$Q$1001&lt;&gt;"")*ISNUMBER(SEARCH(실물목록!$Q$2:$Q$1001,I1195))*(실물목록!$R$2:$R$1001="")*(실물목록!$O$2:$O$1001&lt;&gt;""))&gt;0,"확인필요(연도다름)","실물 없음")))))</f>
      </c>
      <c r="G1195" t="n" s="16">
        <f aca="0">IF(B1195="","",SUMPRODUCT((실물목록!$P$2:$P$1001&lt;&gt;"")*ISNUMBER(SEARCH(실물목록!$P$2:$P$1001,I1195))*(실물목록!$Q$2:$Q$1001&lt;&gt;"")*ISNUMBER(SEARCH(실물목록!$Q$2:$Q$1001,I1195))*(실물목록!$R$2:$R$1001="")*(실물목록!$O$2:$O$1001&lt;&gt;"")*(실물목록!$O$2:$O$1001=H1195)))</f>
      </c>
      <c r="H1195" t="str">
        <f>IFERROR(IF(AND(LEN(SUBSTITUTE(SUBSTITUTE(SUBSTITUTE(TRIM(A1195&amp;""),CHAR(160),"")," ",""),"년",""))=4,VALUE(SUBSTITUTE(SUBSTITUTE(SUBSTITUTE(TRIM(A1195&amp;""),CHAR(160),"")," ",""),"년",""))&gt;=1900,VALUE(SUBSTITUTE(SUBSTITUTE(SUBSTITUTE(TRIM(A1195&amp;""),CHAR(160),"")," ",""),"년",""))&lt;=2099,TEXT(VALUE(SUBSTITUTE(SUBSTITUTE(SUBSTITUTE(TRIM(A1195&amp;""),CHAR(160),"")," ",""),"년","")),"0000")=SUBSTITUTE(SUBSTITUTE(SUBSTITUTE(TRIM(A1195&amp;""),CHAR(160),"")," ",""),"년","")),SUBSTITUTE(SUBSTITUTE(SUBSTITUTE(TRIM(A1195&amp;""),CHAR(160),"")," ",""),"년",""),""),"")</f>
      </c>
      <c r="I1195" t="str">
        <f>SUBSTITUTE(SUBSTITUTE(SUBSTITUTE(SUBSTITUTE(SUBSTITUTE(TRIM(B1195&amp;""),CHAR(160),"")," ",""),"초등학교","초"),"중학교","중"),"고등학교","고")</f>
      </c>
    </row>
    <row r="1196" customFormat="false" ht="15" hidden="false" customHeight="false" outlineLevel="0" collapsed="false">
      <c r="A1196" s="8"/>
      <c r="B1196" s="8"/>
      <c r="C1196" s="8"/>
      <c r="D1196" s="8"/>
      <c r="E1196" s="8"/>
      <c r="F1196" t="str" s="15">
        <f aca="0">IF(B1196="","",IF(H1196="","확인필요(입력누락)",IF(SUMPRODUCT((실물목록!$P$2:$P$1001&lt;&gt;"")*ISNUMBER(SEARCH(실물목록!$P$2:$P$1001,I1196))*(실물목록!$Q$2:$Q$1001&lt;&gt;"")*ISNUMBER(SEARCH(실물목록!$Q$2:$Q$1001,I1196))*(실물목록!$R$2:$R$1001="")*(실물목록!$O$2:$O$1001&lt;&gt;"")*(실물목록!$O$2:$O$1001=H1196))&gt;0,"실물 있음",IF(SUMPRODUCT((실물목록!$P$2:$P$1001&lt;&gt;"")*ISNUMBER(SEARCH(실물목록!$P$2:$P$1001,I1196))*(실물목록!$R$2:$R$1001&lt;&gt;""))&gt;0,"확인필요(입력누락)",IF(SUMPRODUCT((실물목록!$P$2:$P$1001&lt;&gt;"")*ISNUMBER(SEARCH(실물목록!$P$2:$P$1001,I1196))*(실물목록!$Q$2:$Q$1001&lt;&gt;"")*ISNUMBER(SEARCH(실물목록!$Q$2:$Q$1001,I1196))*(실물목록!$R$2:$R$1001="")*(실물목록!$O$2:$O$1001&lt;&gt;""))&gt;0,"확인필요(연도다름)","실물 없음")))))</f>
      </c>
      <c r="G1196" t="n" s="16">
        <f aca="0">IF(B1196="","",SUMPRODUCT((실물목록!$P$2:$P$1001&lt;&gt;"")*ISNUMBER(SEARCH(실물목록!$P$2:$P$1001,I1196))*(실물목록!$Q$2:$Q$1001&lt;&gt;"")*ISNUMBER(SEARCH(실물목록!$Q$2:$Q$1001,I1196))*(실물목록!$R$2:$R$1001="")*(실물목록!$O$2:$O$1001&lt;&gt;"")*(실물목록!$O$2:$O$1001=H1196)))</f>
      </c>
      <c r="H1196" t="str">
        <f>IFERROR(IF(AND(LEN(SUBSTITUTE(SUBSTITUTE(SUBSTITUTE(TRIM(A1196&amp;""),CHAR(160),"")," ",""),"년",""))=4,VALUE(SUBSTITUTE(SUBSTITUTE(SUBSTITUTE(TRIM(A1196&amp;""),CHAR(160),"")," ",""),"년",""))&gt;=1900,VALUE(SUBSTITUTE(SUBSTITUTE(SUBSTITUTE(TRIM(A1196&amp;""),CHAR(160),"")," ",""),"년",""))&lt;=2099,TEXT(VALUE(SUBSTITUTE(SUBSTITUTE(SUBSTITUTE(TRIM(A1196&amp;""),CHAR(160),"")," ",""),"년","")),"0000")=SUBSTITUTE(SUBSTITUTE(SUBSTITUTE(TRIM(A1196&amp;""),CHAR(160),"")," ",""),"년","")),SUBSTITUTE(SUBSTITUTE(SUBSTITUTE(TRIM(A1196&amp;""),CHAR(160),"")," ",""),"년",""),""),"")</f>
      </c>
      <c r="I1196" t="str">
        <f>SUBSTITUTE(SUBSTITUTE(SUBSTITUTE(SUBSTITUTE(SUBSTITUTE(TRIM(B1196&amp;""),CHAR(160),"")," ",""),"초등학교","초"),"중학교","중"),"고등학교","고")</f>
      </c>
    </row>
    <row r="1197" customFormat="false" ht="15" hidden="false" customHeight="false" outlineLevel="0" collapsed="false">
      <c r="A1197" s="8"/>
      <c r="B1197" s="8"/>
      <c r="C1197" s="8"/>
      <c r="D1197" s="8"/>
      <c r="E1197" s="8"/>
      <c r="F1197" t="str" s="15">
        <f aca="0">IF(B1197="","",IF(H1197="","확인필요(입력누락)",IF(SUMPRODUCT((실물목록!$P$2:$P$1001&lt;&gt;"")*ISNUMBER(SEARCH(실물목록!$P$2:$P$1001,I1197))*(실물목록!$Q$2:$Q$1001&lt;&gt;"")*ISNUMBER(SEARCH(실물목록!$Q$2:$Q$1001,I1197))*(실물목록!$R$2:$R$1001="")*(실물목록!$O$2:$O$1001&lt;&gt;"")*(실물목록!$O$2:$O$1001=H1197))&gt;0,"실물 있음",IF(SUMPRODUCT((실물목록!$P$2:$P$1001&lt;&gt;"")*ISNUMBER(SEARCH(실물목록!$P$2:$P$1001,I1197))*(실물목록!$R$2:$R$1001&lt;&gt;""))&gt;0,"확인필요(입력누락)",IF(SUMPRODUCT((실물목록!$P$2:$P$1001&lt;&gt;"")*ISNUMBER(SEARCH(실물목록!$P$2:$P$1001,I1197))*(실물목록!$Q$2:$Q$1001&lt;&gt;"")*ISNUMBER(SEARCH(실물목록!$Q$2:$Q$1001,I1197))*(실물목록!$R$2:$R$1001="")*(실물목록!$O$2:$O$1001&lt;&gt;""))&gt;0,"확인필요(연도다름)","실물 없음")))))</f>
      </c>
      <c r="G1197" t="n" s="16">
        <f aca="0">IF(B1197="","",SUMPRODUCT((실물목록!$P$2:$P$1001&lt;&gt;"")*ISNUMBER(SEARCH(실물목록!$P$2:$P$1001,I1197))*(실물목록!$Q$2:$Q$1001&lt;&gt;"")*ISNUMBER(SEARCH(실물목록!$Q$2:$Q$1001,I1197))*(실물목록!$R$2:$R$1001="")*(실물목록!$O$2:$O$1001&lt;&gt;"")*(실물목록!$O$2:$O$1001=H1197)))</f>
      </c>
      <c r="H1197" t="str">
        <f>IFERROR(IF(AND(LEN(SUBSTITUTE(SUBSTITUTE(SUBSTITUTE(TRIM(A1197&amp;""),CHAR(160),"")," ",""),"년",""))=4,VALUE(SUBSTITUTE(SUBSTITUTE(SUBSTITUTE(TRIM(A1197&amp;""),CHAR(160),"")," ",""),"년",""))&gt;=1900,VALUE(SUBSTITUTE(SUBSTITUTE(SUBSTITUTE(TRIM(A1197&amp;""),CHAR(160),"")," ",""),"년",""))&lt;=2099,TEXT(VALUE(SUBSTITUTE(SUBSTITUTE(SUBSTITUTE(TRIM(A1197&amp;""),CHAR(160),"")," ",""),"년","")),"0000")=SUBSTITUTE(SUBSTITUTE(SUBSTITUTE(TRIM(A1197&amp;""),CHAR(160),"")," ",""),"년","")),SUBSTITUTE(SUBSTITUTE(SUBSTITUTE(TRIM(A1197&amp;""),CHAR(160),"")," ",""),"년",""),""),"")</f>
      </c>
      <c r="I1197" t="str">
        <f>SUBSTITUTE(SUBSTITUTE(SUBSTITUTE(SUBSTITUTE(SUBSTITUTE(TRIM(B1197&amp;""),CHAR(160),"")," ",""),"초등학교","초"),"중학교","중"),"고등학교","고")</f>
      </c>
    </row>
    <row r="1198" customFormat="false" ht="15" hidden="false" customHeight="false" outlineLevel="0" collapsed="false">
      <c r="A1198" s="8"/>
      <c r="B1198" s="8"/>
      <c r="C1198" s="8"/>
      <c r="D1198" s="8"/>
      <c r="E1198" s="8"/>
      <c r="F1198" t="str" s="15">
        <f aca="0">IF(B1198="","",IF(H1198="","확인필요(입력누락)",IF(SUMPRODUCT((실물목록!$P$2:$P$1001&lt;&gt;"")*ISNUMBER(SEARCH(실물목록!$P$2:$P$1001,I1198))*(실물목록!$Q$2:$Q$1001&lt;&gt;"")*ISNUMBER(SEARCH(실물목록!$Q$2:$Q$1001,I1198))*(실물목록!$R$2:$R$1001="")*(실물목록!$O$2:$O$1001&lt;&gt;"")*(실물목록!$O$2:$O$1001=H1198))&gt;0,"실물 있음",IF(SUMPRODUCT((실물목록!$P$2:$P$1001&lt;&gt;"")*ISNUMBER(SEARCH(실물목록!$P$2:$P$1001,I1198))*(실물목록!$R$2:$R$1001&lt;&gt;""))&gt;0,"확인필요(입력누락)",IF(SUMPRODUCT((실물목록!$P$2:$P$1001&lt;&gt;"")*ISNUMBER(SEARCH(실물목록!$P$2:$P$1001,I1198))*(실물목록!$Q$2:$Q$1001&lt;&gt;"")*ISNUMBER(SEARCH(실물목록!$Q$2:$Q$1001,I1198))*(실물목록!$R$2:$R$1001="")*(실물목록!$O$2:$O$1001&lt;&gt;""))&gt;0,"확인필요(연도다름)","실물 없음")))))</f>
      </c>
      <c r="G1198" t="n" s="16">
        <f aca="0">IF(B1198="","",SUMPRODUCT((실물목록!$P$2:$P$1001&lt;&gt;"")*ISNUMBER(SEARCH(실물목록!$P$2:$P$1001,I1198))*(실물목록!$Q$2:$Q$1001&lt;&gt;"")*ISNUMBER(SEARCH(실물목록!$Q$2:$Q$1001,I1198))*(실물목록!$R$2:$R$1001="")*(실물목록!$O$2:$O$1001&lt;&gt;"")*(실물목록!$O$2:$O$1001=H1198)))</f>
      </c>
      <c r="H1198" t="str">
        <f>IFERROR(IF(AND(LEN(SUBSTITUTE(SUBSTITUTE(SUBSTITUTE(TRIM(A1198&amp;""),CHAR(160),"")," ",""),"년",""))=4,VALUE(SUBSTITUTE(SUBSTITUTE(SUBSTITUTE(TRIM(A1198&amp;""),CHAR(160),"")," ",""),"년",""))&gt;=1900,VALUE(SUBSTITUTE(SUBSTITUTE(SUBSTITUTE(TRIM(A1198&amp;""),CHAR(160),"")," ",""),"년",""))&lt;=2099,TEXT(VALUE(SUBSTITUTE(SUBSTITUTE(SUBSTITUTE(TRIM(A1198&amp;""),CHAR(160),"")," ",""),"년","")),"0000")=SUBSTITUTE(SUBSTITUTE(SUBSTITUTE(TRIM(A1198&amp;""),CHAR(160),"")," ",""),"년","")),SUBSTITUTE(SUBSTITUTE(SUBSTITUTE(TRIM(A1198&amp;""),CHAR(160),"")," ",""),"년",""),""),"")</f>
      </c>
      <c r="I1198" t="str">
        <f>SUBSTITUTE(SUBSTITUTE(SUBSTITUTE(SUBSTITUTE(SUBSTITUTE(TRIM(B1198&amp;""),CHAR(160),"")," ",""),"초등학교","초"),"중학교","중"),"고등학교","고")</f>
      </c>
    </row>
    <row r="1199" customFormat="false" ht="15" hidden="false" customHeight="false" outlineLevel="0" collapsed="false">
      <c r="A1199" s="8"/>
      <c r="B1199" s="8"/>
      <c r="C1199" s="8"/>
      <c r="D1199" s="8"/>
      <c r="E1199" s="8"/>
      <c r="F1199" t="str" s="15">
        <f aca="0">IF(B1199="","",IF(H1199="","확인필요(입력누락)",IF(SUMPRODUCT((실물목록!$P$2:$P$1001&lt;&gt;"")*ISNUMBER(SEARCH(실물목록!$P$2:$P$1001,I1199))*(실물목록!$Q$2:$Q$1001&lt;&gt;"")*ISNUMBER(SEARCH(실물목록!$Q$2:$Q$1001,I1199))*(실물목록!$R$2:$R$1001="")*(실물목록!$O$2:$O$1001&lt;&gt;"")*(실물목록!$O$2:$O$1001=H1199))&gt;0,"실물 있음",IF(SUMPRODUCT((실물목록!$P$2:$P$1001&lt;&gt;"")*ISNUMBER(SEARCH(실물목록!$P$2:$P$1001,I1199))*(실물목록!$R$2:$R$1001&lt;&gt;""))&gt;0,"확인필요(입력누락)",IF(SUMPRODUCT((실물목록!$P$2:$P$1001&lt;&gt;"")*ISNUMBER(SEARCH(실물목록!$P$2:$P$1001,I1199))*(실물목록!$Q$2:$Q$1001&lt;&gt;"")*ISNUMBER(SEARCH(실물목록!$Q$2:$Q$1001,I1199))*(실물목록!$R$2:$R$1001="")*(실물목록!$O$2:$O$1001&lt;&gt;""))&gt;0,"확인필요(연도다름)","실물 없음")))))</f>
      </c>
      <c r="G1199" t="n" s="16">
        <f aca="0">IF(B1199="","",SUMPRODUCT((실물목록!$P$2:$P$1001&lt;&gt;"")*ISNUMBER(SEARCH(실물목록!$P$2:$P$1001,I1199))*(실물목록!$Q$2:$Q$1001&lt;&gt;"")*ISNUMBER(SEARCH(실물목록!$Q$2:$Q$1001,I1199))*(실물목록!$R$2:$R$1001="")*(실물목록!$O$2:$O$1001&lt;&gt;"")*(실물목록!$O$2:$O$1001=H1199)))</f>
      </c>
      <c r="H1199" t="str">
        <f>IFERROR(IF(AND(LEN(SUBSTITUTE(SUBSTITUTE(SUBSTITUTE(TRIM(A1199&amp;""),CHAR(160),"")," ",""),"년",""))=4,VALUE(SUBSTITUTE(SUBSTITUTE(SUBSTITUTE(TRIM(A1199&amp;""),CHAR(160),"")," ",""),"년",""))&gt;=1900,VALUE(SUBSTITUTE(SUBSTITUTE(SUBSTITUTE(TRIM(A1199&amp;""),CHAR(160),"")," ",""),"년",""))&lt;=2099,TEXT(VALUE(SUBSTITUTE(SUBSTITUTE(SUBSTITUTE(TRIM(A1199&amp;""),CHAR(160),"")," ",""),"년","")),"0000")=SUBSTITUTE(SUBSTITUTE(SUBSTITUTE(TRIM(A1199&amp;""),CHAR(160),"")," ",""),"년","")),SUBSTITUTE(SUBSTITUTE(SUBSTITUTE(TRIM(A1199&amp;""),CHAR(160),"")," ",""),"년",""),""),"")</f>
      </c>
      <c r="I1199" t="str">
        <f>SUBSTITUTE(SUBSTITUTE(SUBSTITUTE(SUBSTITUTE(SUBSTITUTE(TRIM(B1199&amp;""),CHAR(160),"")," ",""),"초등학교","초"),"중학교","중"),"고등학교","고")</f>
      </c>
    </row>
    <row r="1200" customFormat="false" ht="15" hidden="false" customHeight="false" outlineLevel="0" collapsed="false">
      <c r="A1200" s="8"/>
      <c r="B1200" s="8"/>
      <c r="C1200" s="8"/>
      <c r="D1200" s="8"/>
      <c r="E1200" s="8"/>
      <c r="F1200" t="str" s="15">
        <f aca="0">IF(B1200="","",IF(H1200="","확인필요(입력누락)",IF(SUMPRODUCT((실물목록!$P$2:$P$1001&lt;&gt;"")*ISNUMBER(SEARCH(실물목록!$P$2:$P$1001,I1200))*(실물목록!$Q$2:$Q$1001&lt;&gt;"")*ISNUMBER(SEARCH(실물목록!$Q$2:$Q$1001,I1200))*(실물목록!$R$2:$R$1001="")*(실물목록!$O$2:$O$1001&lt;&gt;"")*(실물목록!$O$2:$O$1001=H1200))&gt;0,"실물 있음",IF(SUMPRODUCT((실물목록!$P$2:$P$1001&lt;&gt;"")*ISNUMBER(SEARCH(실물목록!$P$2:$P$1001,I1200))*(실물목록!$R$2:$R$1001&lt;&gt;""))&gt;0,"확인필요(입력누락)",IF(SUMPRODUCT((실물목록!$P$2:$P$1001&lt;&gt;"")*ISNUMBER(SEARCH(실물목록!$P$2:$P$1001,I1200))*(실물목록!$Q$2:$Q$1001&lt;&gt;"")*ISNUMBER(SEARCH(실물목록!$Q$2:$Q$1001,I1200))*(실물목록!$R$2:$R$1001="")*(실물목록!$O$2:$O$1001&lt;&gt;""))&gt;0,"확인필요(연도다름)","실물 없음")))))</f>
      </c>
      <c r="G1200" t="n" s="16">
        <f aca="0">IF(B1200="","",SUMPRODUCT((실물목록!$P$2:$P$1001&lt;&gt;"")*ISNUMBER(SEARCH(실물목록!$P$2:$P$1001,I1200))*(실물목록!$Q$2:$Q$1001&lt;&gt;"")*ISNUMBER(SEARCH(실물목록!$Q$2:$Q$1001,I1200))*(실물목록!$R$2:$R$1001="")*(실물목록!$O$2:$O$1001&lt;&gt;"")*(실물목록!$O$2:$O$1001=H1200)))</f>
      </c>
      <c r="H1200" t="str">
        <f>IFERROR(IF(AND(LEN(SUBSTITUTE(SUBSTITUTE(SUBSTITUTE(TRIM(A1200&amp;""),CHAR(160),"")," ",""),"년",""))=4,VALUE(SUBSTITUTE(SUBSTITUTE(SUBSTITUTE(TRIM(A1200&amp;""),CHAR(160),"")," ",""),"년",""))&gt;=1900,VALUE(SUBSTITUTE(SUBSTITUTE(SUBSTITUTE(TRIM(A1200&amp;""),CHAR(160),"")," ",""),"년",""))&lt;=2099,TEXT(VALUE(SUBSTITUTE(SUBSTITUTE(SUBSTITUTE(TRIM(A1200&amp;""),CHAR(160),"")," ",""),"년","")),"0000")=SUBSTITUTE(SUBSTITUTE(SUBSTITUTE(TRIM(A1200&amp;""),CHAR(160),"")," ",""),"년","")),SUBSTITUTE(SUBSTITUTE(SUBSTITUTE(TRIM(A1200&amp;""),CHAR(160),"")," ",""),"년",""),""),"")</f>
      </c>
      <c r="I1200" t="str">
        <f>SUBSTITUTE(SUBSTITUTE(SUBSTITUTE(SUBSTITUTE(SUBSTITUTE(TRIM(B1200&amp;""),CHAR(160),"")," ",""),"초등학교","초"),"중학교","중"),"고등학교","고")</f>
      </c>
    </row>
    <row r="1201" customFormat="false" ht="15" hidden="false" customHeight="false" outlineLevel="0" collapsed="false">
      <c r="A1201" s="8"/>
      <c r="B1201" s="8"/>
      <c r="C1201" s="8"/>
      <c r="D1201" s="8"/>
      <c r="E1201" s="8"/>
      <c r="F1201" t="str" s="15">
        <f aca="0">IF(B1201="","",IF(H1201="","확인필요(입력누락)",IF(SUMPRODUCT((실물목록!$P$2:$P$1001&lt;&gt;"")*ISNUMBER(SEARCH(실물목록!$P$2:$P$1001,I1201))*(실물목록!$Q$2:$Q$1001&lt;&gt;"")*ISNUMBER(SEARCH(실물목록!$Q$2:$Q$1001,I1201))*(실물목록!$R$2:$R$1001="")*(실물목록!$O$2:$O$1001&lt;&gt;"")*(실물목록!$O$2:$O$1001=H1201))&gt;0,"실물 있음",IF(SUMPRODUCT((실물목록!$P$2:$P$1001&lt;&gt;"")*ISNUMBER(SEARCH(실물목록!$P$2:$P$1001,I1201))*(실물목록!$R$2:$R$1001&lt;&gt;""))&gt;0,"확인필요(입력누락)",IF(SUMPRODUCT((실물목록!$P$2:$P$1001&lt;&gt;"")*ISNUMBER(SEARCH(실물목록!$P$2:$P$1001,I1201))*(실물목록!$Q$2:$Q$1001&lt;&gt;"")*ISNUMBER(SEARCH(실물목록!$Q$2:$Q$1001,I1201))*(실물목록!$R$2:$R$1001="")*(실물목록!$O$2:$O$1001&lt;&gt;""))&gt;0,"확인필요(연도다름)","실물 없음")))))</f>
      </c>
      <c r="G1201" t="n" s="16">
        <f aca="0">IF(B1201="","",SUMPRODUCT((실물목록!$P$2:$P$1001&lt;&gt;"")*ISNUMBER(SEARCH(실물목록!$P$2:$P$1001,I1201))*(실물목록!$Q$2:$Q$1001&lt;&gt;"")*ISNUMBER(SEARCH(실물목록!$Q$2:$Q$1001,I1201))*(실물목록!$R$2:$R$1001="")*(실물목록!$O$2:$O$1001&lt;&gt;"")*(실물목록!$O$2:$O$1001=H1201)))</f>
      </c>
      <c r="H1201" t="str">
        <f>IFERROR(IF(AND(LEN(SUBSTITUTE(SUBSTITUTE(SUBSTITUTE(TRIM(A1201&amp;""),CHAR(160),"")," ",""),"년",""))=4,VALUE(SUBSTITUTE(SUBSTITUTE(SUBSTITUTE(TRIM(A1201&amp;""),CHAR(160),"")," ",""),"년",""))&gt;=1900,VALUE(SUBSTITUTE(SUBSTITUTE(SUBSTITUTE(TRIM(A1201&amp;""),CHAR(160),"")," ",""),"년",""))&lt;=2099,TEXT(VALUE(SUBSTITUTE(SUBSTITUTE(SUBSTITUTE(TRIM(A1201&amp;""),CHAR(160),"")," ",""),"년","")),"0000")=SUBSTITUTE(SUBSTITUTE(SUBSTITUTE(TRIM(A1201&amp;""),CHAR(160),"")," ",""),"년","")),SUBSTITUTE(SUBSTITUTE(SUBSTITUTE(TRIM(A1201&amp;""),CHAR(160),"")," ",""),"년",""),""),"")</f>
      </c>
      <c r="I1201" t="str">
        <f>SUBSTITUTE(SUBSTITUTE(SUBSTITUTE(SUBSTITUTE(SUBSTITUTE(TRIM(B1201&amp;""),CHAR(160),"")," ",""),"초등학교","초"),"중학교","중"),"고등학교","고")</f>
      </c>
    </row>
    <row r="1202" customFormat="false" ht="15" hidden="false" customHeight="false" outlineLevel="0" collapsed="false">
      <c r="A1202" s="8"/>
      <c r="B1202" s="8"/>
      <c r="C1202" s="8"/>
      <c r="D1202" s="8"/>
      <c r="E1202" s="8"/>
      <c r="F1202" t="str" s="15">
        <f aca="0">IF(B1202="","",IF(H1202="","확인필요(입력누락)",IF(SUMPRODUCT((실물목록!$P$2:$P$1001&lt;&gt;"")*ISNUMBER(SEARCH(실물목록!$P$2:$P$1001,I1202))*(실물목록!$Q$2:$Q$1001&lt;&gt;"")*ISNUMBER(SEARCH(실물목록!$Q$2:$Q$1001,I1202))*(실물목록!$R$2:$R$1001="")*(실물목록!$O$2:$O$1001&lt;&gt;"")*(실물목록!$O$2:$O$1001=H1202))&gt;0,"실물 있음",IF(SUMPRODUCT((실물목록!$P$2:$P$1001&lt;&gt;"")*ISNUMBER(SEARCH(실물목록!$P$2:$P$1001,I1202))*(실물목록!$R$2:$R$1001&lt;&gt;""))&gt;0,"확인필요(입력누락)",IF(SUMPRODUCT((실물목록!$P$2:$P$1001&lt;&gt;"")*ISNUMBER(SEARCH(실물목록!$P$2:$P$1001,I1202))*(실물목록!$Q$2:$Q$1001&lt;&gt;"")*ISNUMBER(SEARCH(실물목록!$Q$2:$Q$1001,I1202))*(실물목록!$R$2:$R$1001="")*(실물목록!$O$2:$O$1001&lt;&gt;""))&gt;0,"확인필요(연도다름)","실물 없음")))))</f>
      </c>
      <c r="G1202" t="n" s="16">
        <f aca="0">IF(B1202="","",SUMPRODUCT((실물목록!$P$2:$P$1001&lt;&gt;"")*ISNUMBER(SEARCH(실물목록!$P$2:$P$1001,I1202))*(실물목록!$Q$2:$Q$1001&lt;&gt;"")*ISNUMBER(SEARCH(실물목록!$Q$2:$Q$1001,I1202))*(실물목록!$R$2:$R$1001="")*(실물목록!$O$2:$O$1001&lt;&gt;"")*(실물목록!$O$2:$O$1001=H1202)))</f>
      </c>
      <c r="H1202" t="str">
        <f>IFERROR(IF(AND(LEN(SUBSTITUTE(SUBSTITUTE(SUBSTITUTE(TRIM(A1202&amp;""),CHAR(160),"")," ",""),"년",""))=4,VALUE(SUBSTITUTE(SUBSTITUTE(SUBSTITUTE(TRIM(A1202&amp;""),CHAR(160),"")," ",""),"년",""))&gt;=1900,VALUE(SUBSTITUTE(SUBSTITUTE(SUBSTITUTE(TRIM(A1202&amp;""),CHAR(160),"")," ",""),"년",""))&lt;=2099,TEXT(VALUE(SUBSTITUTE(SUBSTITUTE(SUBSTITUTE(TRIM(A1202&amp;""),CHAR(160),"")," ",""),"년","")),"0000")=SUBSTITUTE(SUBSTITUTE(SUBSTITUTE(TRIM(A1202&amp;""),CHAR(160),"")," ",""),"년","")),SUBSTITUTE(SUBSTITUTE(SUBSTITUTE(TRIM(A1202&amp;""),CHAR(160),"")," ",""),"년",""),""),"")</f>
      </c>
      <c r="I1202" t="str">
        <f>SUBSTITUTE(SUBSTITUTE(SUBSTITUTE(SUBSTITUTE(SUBSTITUTE(TRIM(B1202&amp;""),CHAR(160),"")," ",""),"초등학교","초"),"중학교","중"),"고등학교","고")</f>
      </c>
    </row>
    <row r="1203" customFormat="false" ht="15" hidden="false" customHeight="false" outlineLevel="0" collapsed="false">
      <c r="A1203" s="8"/>
      <c r="B1203" s="8"/>
      <c r="C1203" s="8"/>
      <c r="D1203" s="8"/>
      <c r="E1203" s="8"/>
      <c r="F1203" t="str" s="15">
        <f aca="0">IF(B1203="","",IF(H1203="","확인필요(입력누락)",IF(SUMPRODUCT((실물목록!$P$2:$P$1001&lt;&gt;"")*ISNUMBER(SEARCH(실물목록!$P$2:$P$1001,I1203))*(실물목록!$Q$2:$Q$1001&lt;&gt;"")*ISNUMBER(SEARCH(실물목록!$Q$2:$Q$1001,I1203))*(실물목록!$R$2:$R$1001="")*(실물목록!$O$2:$O$1001&lt;&gt;"")*(실물목록!$O$2:$O$1001=H1203))&gt;0,"실물 있음",IF(SUMPRODUCT((실물목록!$P$2:$P$1001&lt;&gt;"")*ISNUMBER(SEARCH(실물목록!$P$2:$P$1001,I1203))*(실물목록!$R$2:$R$1001&lt;&gt;""))&gt;0,"확인필요(입력누락)",IF(SUMPRODUCT((실물목록!$P$2:$P$1001&lt;&gt;"")*ISNUMBER(SEARCH(실물목록!$P$2:$P$1001,I1203))*(실물목록!$Q$2:$Q$1001&lt;&gt;"")*ISNUMBER(SEARCH(실물목록!$Q$2:$Q$1001,I1203))*(실물목록!$R$2:$R$1001="")*(실물목록!$O$2:$O$1001&lt;&gt;""))&gt;0,"확인필요(연도다름)","실물 없음")))))</f>
      </c>
      <c r="G1203" t="n" s="16">
        <f aca="0">IF(B1203="","",SUMPRODUCT((실물목록!$P$2:$P$1001&lt;&gt;"")*ISNUMBER(SEARCH(실물목록!$P$2:$P$1001,I1203))*(실물목록!$Q$2:$Q$1001&lt;&gt;"")*ISNUMBER(SEARCH(실물목록!$Q$2:$Q$1001,I1203))*(실물목록!$R$2:$R$1001="")*(실물목록!$O$2:$O$1001&lt;&gt;"")*(실물목록!$O$2:$O$1001=H1203)))</f>
      </c>
      <c r="H1203" t="str">
        <f>IFERROR(IF(AND(LEN(SUBSTITUTE(SUBSTITUTE(SUBSTITUTE(TRIM(A1203&amp;""),CHAR(160),"")," ",""),"년",""))=4,VALUE(SUBSTITUTE(SUBSTITUTE(SUBSTITUTE(TRIM(A1203&amp;""),CHAR(160),"")," ",""),"년",""))&gt;=1900,VALUE(SUBSTITUTE(SUBSTITUTE(SUBSTITUTE(TRIM(A1203&amp;""),CHAR(160),"")," ",""),"년",""))&lt;=2099,TEXT(VALUE(SUBSTITUTE(SUBSTITUTE(SUBSTITUTE(TRIM(A1203&amp;""),CHAR(160),"")," ",""),"년","")),"0000")=SUBSTITUTE(SUBSTITUTE(SUBSTITUTE(TRIM(A1203&amp;""),CHAR(160),"")," ",""),"년","")),SUBSTITUTE(SUBSTITUTE(SUBSTITUTE(TRIM(A1203&amp;""),CHAR(160),"")," ",""),"년",""),""),"")</f>
      </c>
      <c r="I1203" t="str">
        <f>SUBSTITUTE(SUBSTITUTE(SUBSTITUTE(SUBSTITUTE(SUBSTITUTE(TRIM(B1203&amp;""),CHAR(160),"")," ",""),"초등학교","초"),"중학교","중"),"고등학교","고")</f>
      </c>
    </row>
    <row r="1204" customFormat="false" ht="15" hidden="false" customHeight="false" outlineLevel="0" collapsed="false">
      <c r="A1204" s="8"/>
      <c r="B1204" s="8"/>
      <c r="C1204" s="8"/>
      <c r="D1204" s="8"/>
      <c r="E1204" s="8"/>
      <c r="F1204" t="str" s="15">
        <f aca="0">IF(B1204="","",IF(H1204="","확인필요(입력누락)",IF(SUMPRODUCT((실물목록!$P$2:$P$1001&lt;&gt;"")*ISNUMBER(SEARCH(실물목록!$P$2:$P$1001,I1204))*(실물목록!$Q$2:$Q$1001&lt;&gt;"")*ISNUMBER(SEARCH(실물목록!$Q$2:$Q$1001,I1204))*(실물목록!$R$2:$R$1001="")*(실물목록!$O$2:$O$1001&lt;&gt;"")*(실물목록!$O$2:$O$1001=H1204))&gt;0,"실물 있음",IF(SUMPRODUCT((실물목록!$P$2:$P$1001&lt;&gt;"")*ISNUMBER(SEARCH(실물목록!$P$2:$P$1001,I1204))*(실물목록!$R$2:$R$1001&lt;&gt;""))&gt;0,"확인필요(입력누락)",IF(SUMPRODUCT((실물목록!$P$2:$P$1001&lt;&gt;"")*ISNUMBER(SEARCH(실물목록!$P$2:$P$1001,I1204))*(실물목록!$Q$2:$Q$1001&lt;&gt;"")*ISNUMBER(SEARCH(실물목록!$Q$2:$Q$1001,I1204))*(실물목록!$R$2:$R$1001="")*(실물목록!$O$2:$O$1001&lt;&gt;""))&gt;0,"확인필요(연도다름)","실물 없음")))))</f>
      </c>
      <c r="G1204" t="n" s="16">
        <f aca="0">IF(B1204="","",SUMPRODUCT((실물목록!$P$2:$P$1001&lt;&gt;"")*ISNUMBER(SEARCH(실물목록!$P$2:$P$1001,I1204))*(실물목록!$Q$2:$Q$1001&lt;&gt;"")*ISNUMBER(SEARCH(실물목록!$Q$2:$Q$1001,I1204))*(실물목록!$R$2:$R$1001="")*(실물목록!$O$2:$O$1001&lt;&gt;"")*(실물목록!$O$2:$O$1001=H1204)))</f>
      </c>
      <c r="H1204" t="str">
        <f>IFERROR(IF(AND(LEN(SUBSTITUTE(SUBSTITUTE(SUBSTITUTE(TRIM(A1204&amp;""),CHAR(160),"")," ",""),"년",""))=4,VALUE(SUBSTITUTE(SUBSTITUTE(SUBSTITUTE(TRIM(A1204&amp;""),CHAR(160),"")," ",""),"년",""))&gt;=1900,VALUE(SUBSTITUTE(SUBSTITUTE(SUBSTITUTE(TRIM(A1204&amp;""),CHAR(160),"")," ",""),"년",""))&lt;=2099,TEXT(VALUE(SUBSTITUTE(SUBSTITUTE(SUBSTITUTE(TRIM(A1204&amp;""),CHAR(160),"")," ",""),"년","")),"0000")=SUBSTITUTE(SUBSTITUTE(SUBSTITUTE(TRIM(A1204&amp;""),CHAR(160),"")," ",""),"년","")),SUBSTITUTE(SUBSTITUTE(SUBSTITUTE(TRIM(A1204&amp;""),CHAR(160),"")," ",""),"년",""),""),"")</f>
      </c>
      <c r="I1204" t="str">
        <f>SUBSTITUTE(SUBSTITUTE(SUBSTITUTE(SUBSTITUTE(SUBSTITUTE(TRIM(B1204&amp;""),CHAR(160),"")," ",""),"초등학교","초"),"중학교","중"),"고등학교","고")</f>
      </c>
    </row>
    <row r="1205" customFormat="false" ht="15" hidden="false" customHeight="false" outlineLevel="0" collapsed="false">
      <c r="A1205" s="8"/>
      <c r="B1205" s="8"/>
      <c r="C1205" s="8"/>
      <c r="D1205" s="8"/>
      <c r="E1205" s="8"/>
      <c r="F1205" t="str" s="15">
        <f aca="0">IF(B1205="","",IF(H1205="","확인필요(입력누락)",IF(SUMPRODUCT((실물목록!$P$2:$P$1001&lt;&gt;"")*ISNUMBER(SEARCH(실물목록!$P$2:$P$1001,I1205))*(실물목록!$Q$2:$Q$1001&lt;&gt;"")*ISNUMBER(SEARCH(실물목록!$Q$2:$Q$1001,I1205))*(실물목록!$R$2:$R$1001="")*(실물목록!$O$2:$O$1001&lt;&gt;"")*(실물목록!$O$2:$O$1001=H1205))&gt;0,"실물 있음",IF(SUMPRODUCT((실물목록!$P$2:$P$1001&lt;&gt;"")*ISNUMBER(SEARCH(실물목록!$P$2:$P$1001,I1205))*(실물목록!$R$2:$R$1001&lt;&gt;""))&gt;0,"확인필요(입력누락)",IF(SUMPRODUCT((실물목록!$P$2:$P$1001&lt;&gt;"")*ISNUMBER(SEARCH(실물목록!$P$2:$P$1001,I1205))*(실물목록!$Q$2:$Q$1001&lt;&gt;"")*ISNUMBER(SEARCH(실물목록!$Q$2:$Q$1001,I1205))*(실물목록!$R$2:$R$1001="")*(실물목록!$O$2:$O$1001&lt;&gt;""))&gt;0,"확인필요(연도다름)","실물 없음")))))</f>
      </c>
      <c r="G1205" t="n" s="16">
        <f aca="0">IF(B1205="","",SUMPRODUCT((실물목록!$P$2:$P$1001&lt;&gt;"")*ISNUMBER(SEARCH(실물목록!$P$2:$P$1001,I1205))*(실물목록!$Q$2:$Q$1001&lt;&gt;"")*ISNUMBER(SEARCH(실물목록!$Q$2:$Q$1001,I1205))*(실물목록!$R$2:$R$1001="")*(실물목록!$O$2:$O$1001&lt;&gt;"")*(실물목록!$O$2:$O$1001=H1205)))</f>
      </c>
      <c r="H1205" t="str">
        <f>IFERROR(IF(AND(LEN(SUBSTITUTE(SUBSTITUTE(SUBSTITUTE(TRIM(A1205&amp;""),CHAR(160),"")," ",""),"년",""))=4,VALUE(SUBSTITUTE(SUBSTITUTE(SUBSTITUTE(TRIM(A1205&amp;""),CHAR(160),"")," ",""),"년",""))&gt;=1900,VALUE(SUBSTITUTE(SUBSTITUTE(SUBSTITUTE(TRIM(A1205&amp;""),CHAR(160),"")," ",""),"년",""))&lt;=2099,TEXT(VALUE(SUBSTITUTE(SUBSTITUTE(SUBSTITUTE(TRIM(A1205&amp;""),CHAR(160),"")," ",""),"년","")),"0000")=SUBSTITUTE(SUBSTITUTE(SUBSTITUTE(TRIM(A1205&amp;""),CHAR(160),"")," ",""),"년","")),SUBSTITUTE(SUBSTITUTE(SUBSTITUTE(TRIM(A1205&amp;""),CHAR(160),"")," ",""),"년",""),""),"")</f>
      </c>
      <c r="I1205" t="str">
        <f>SUBSTITUTE(SUBSTITUTE(SUBSTITUTE(SUBSTITUTE(SUBSTITUTE(TRIM(B1205&amp;""),CHAR(160),"")," ",""),"초등학교","초"),"중학교","중"),"고등학교","고")</f>
      </c>
    </row>
    <row r="1206" customFormat="false" ht="15" hidden="false" customHeight="false" outlineLevel="0" collapsed="false">
      <c r="A1206" s="8"/>
      <c r="B1206" s="8"/>
      <c r="C1206" s="8"/>
      <c r="D1206" s="8"/>
      <c r="E1206" s="8"/>
      <c r="F1206" t="str" s="15">
        <f aca="0">IF(B1206="","",IF(H1206="","확인필요(입력누락)",IF(SUMPRODUCT((실물목록!$P$2:$P$1001&lt;&gt;"")*ISNUMBER(SEARCH(실물목록!$P$2:$P$1001,I1206))*(실물목록!$Q$2:$Q$1001&lt;&gt;"")*ISNUMBER(SEARCH(실물목록!$Q$2:$Q$1001,I1206))*(실물목록!$R$2:$R$1001="")*(실물목록!$O$2:$O$1001&lt;&gt;"")*(실물목록!$O$2:$O$1001=H1206))&gt;0,"실물 있음",IF(SUMPRODUCT((실물목록!$P$2:$P$1001&lt;&gt;"")*ISNUMBER(SEARCH(실물목록!$P$2:$P$1001,I1206))*(실물목록!$R$2:$R$1001&lt;&gt;""))&gt;0,"확인필요(입력누락)",IF(SUMPRODUCT((실물목록!$P$2:$P$1001&lt;&gt;"")*ISNUMBER(SEARCH(실물목록!$P$2:$P$1001,I1206))*(실물목록!$Q$2:$Q$1001&lt;&gt;"")*ISNUMBER(SEARCH(실물목록!$Q$2:$Q$1001,I1206))*(실물목록!$R$2:$R$1001="")*(실물목록!$O$2:$O$1001&lt;&gt;""))&gt;0,"확인필요(연도다름)","실물 없음")))))</f>
      </c>
      <c r="G1206" t="n" s="16">
        <f aca="0">IF(B1206="","",SUMPRODUCT((실물목록!$P$2:$P$1001&lt;&gt;"")*ISNUMBER(SEARCH(실물목록!$P$2:$P$1001,I1206))*(실물목록!$Q$2:$Q$1001&lt;&gt;"")*ISNUMBER(SEARCH(실물목록!$Q$2:$Q$1001,I1206))*(실물목록!$R$2:$R$1001="")*(실물목록!$O$2:$O$1001&lt;&gt;"")*(실물목록!$O$2:$O$1001=H1206)))</f>
      </c>
      <c r="H1206" t="str">
        <f>IFERROR(IF(AND(LEN(SUBSTITUTE(SUBSTITUTE(SUBSTITUTE(TRIM(A1206&amp;""),CHAR(160),"")," ",""),"년",""))=4,VALUE(SUBSTITUTE(SUBSTITUTE(SUBSTITUTE(TRIM(A1206&amp;""),CHAR(160),"")," ",""),"년",""))&gt;=1900,VALUE(SUBSTITUTE(SUBSTITUTE(SUBSTITUTE(TRIM(A1206&amp;""),CHAR(160),"")," ",""),"년",""))&lt;=2099,TEXT(VALUE(SUBSTITUTE(SUBSTITUTE(SUBSTITUTE(TRIM(A1206&amp;""),CHAR(160),"")," ",""),"년","")),"0000")=SUBSTITUTE(SUBSTITUTE(SUBSTITUTE(TRIM(A1206&amp;""),CHAR(160),"")," ",""),"년","")),SUBSTITUTE(SUBSTITUTE(SUBSTITUTE(TRIM(A1206&amp;""),CHAR(160),"")," ",""),"년",""),""),"")</f>
      </c>
      <c r="I1206" t="str">
        <f>SUBSTITUTE(SUBSTITUTE(SUBSTITUTE(SUBSTITUTE(SUBSTITUTE(TRIM(B1206&amp;""),CHAR(160),"")," ",""),"초등학교","초"),"중학교","중"),"고등학교","고")</f>
      </c>
    </row>
    <row r="1207" customFormat="false" ht="15" hidden="false" customHeight="false" outlineLevel="0" collapsed="false">
      <c r="A1207" s="8"/>
      <c r="B1207" s="8"/>
      <c r="C1207" s="8"/>
      <c r="D1207" s="8"/>
      <c r="E1207" s="8"/>
      <c r="F1207" t="str" s="15">
        <f aca="0">IF(B1207="","",IF(H1207="","확인필요(입력누락)",IF(SUMPRODUCT((실물목록!$P$2:$P$1001&lt;&gt;"")*ISNUMBER(SEARCH(실물목록!$P$2:$P$1001,I1207))*(실물목록!$Q$2:$Q$1001&lt;&gt;"")*ISNUMBER(SEARCH(실물목록!$Q$2:$Q$1001,I1207))*(실물목록!$R$2:$R$1001="")*(실물목록!$O$2:$O$1001&lt;&gt;"")*(실물목록!$O$2:$O$1001=H1207))&gt;0,"실물 있음",IF(SUMPRODUCT((실물목록!$P$2:$P$1001&lt;&gt;"")*ISNUMBER(SEARCH(실물목록!$P$2:$P$1001,I1207))*(실물목록!$R$2:$R$1001&lt;&gt;""))&gt;0,"확인필요(입력누락)",IF(SUMPRODUCT((실물목록!$P$2:$P$1001&lt;&gt;"")*ISNUMBER(SEARCH(실물목록!$P$2:$P$1001,I1207))*(실물목록!$Q$2:$Q$1001&lt;&gt;"")*ISNUMBER(SEARCH(실물목록!$Q$2:$Q$1001,I1207))*(실물목록!$R$2:$R$1001="")*(실물목록!$O$2:$O$1001&lt;&gt;""))&gt;0,"확인필요(연도다름)","실물 없음")))))</f>
      </c>
      <c r="G1207" t="n" s="16">
        <f aca="0">IF(B1207="","",SUMPRODUCT((실물목록!$P$2:$P$1001&lt;&gt;"")*ISNUMBER(SEARCH(실물목록!$P$2:$P$1001,I1207))*(실물목록!$Q$2:$Q$1001&lt;&gt;"")*ISNUMBER(SEARCH(실물목록!$Q$2:$Q$1001,I1207))*(실물목록!$R$2:$R$1001="")*(실물목록!$O$2:$O$1001&lt;&gt;"")*(실물목록!$O$2:$O$1001=H1207)))</f>
      </c>
      <c r="H1207" t="str">
        <f>IFERROR(IF(AND(LEN(SUBSTITUTE(SUBSTITUTE(SUBSTITUTE(TRIM(A1207&amp;""),CHAR(160),"")," ",""),"년",""))=4,VALUE(SUBSTITUTE(SUBSTITUTE(SUBSTITUTE(TRIM(A1207&amp;""),CHAR(160),"")," ",""),"년",""))&gt;=1900,VALUE(SUBSTITUTE(SUBSTITUTE(SUBSTITUTE(TRIM(A1207&amp;""),CHAR(160),"")," ",""),"년",""))&lt;=2099,TEXT(VALUE(SUBSTITUTE(SUBSTITUTE(SUBSTITUTE(TRIM(A1207&amp;""),CHAR(160),"")," ",""),"년","")),"0000")=SUBSTITUTE(SUBSTITUTE(SUBSTITUTE(TRIM(A1207&amp;""),CHAR(160),"")," ",""),"년","")),SUBSTITUTE(SUBSTITUTE(SUBSTITUTE(TRIM(A1207&amp;""),CHAR(160),"")," ",""),"년",""),""),"")</f>
      </c>
      <c r="I1207" t="str">
        <f>SUBSTITUTE(SUBSTITUTE(SUBSTITUTE(SUBSTITUTE(SUBSTITUTE(TRIM(B1207&amp;""),CHAR(160),"")," ",""),"초등학교","초"),"중학교","중"),"고등학교","고")</f>
      </c>
    </row>
    <row r="1208" customFormat="false" ht="15" hidden="false" customHeight="false" outlineLevel="0" collapsed="false">
      <c r="A1208" s="8"/>
      <c r="B1208" s="8"/>
      <c r="C1208" s="8"/>
      <c r="D1208" s="8"/>
      <c r="E1208" s="8"/>
      <c r="F1208" t="str" s="15">
        <f aca="0">IF(B1208="","",IF(H1208="","확인필요(입력누락)",IF(SUMPRODUCT((실물목록!$P$2:$P$1001&lt;&gt;"")*ISNUMBER(SEARCH(실물목록!$P$2:$P$1001,I1208))*(실물목록!$Q$2:$Q$1001&lt;&gt;"")*ISNUMBER(SEARCH(실물목록!$Q$2:$Q$1001,I1208))*(실물목록!$R$2:$R$1001="")*(실물목록!$O$2:$O$1001&lt;&gt;"")*(실물목록!$O$2:$O$1001=H1208))&gt;0,"실물 있음",IF(SUMPRODUCT((실물목록!$P$2:$P$1001&lt;&gt;"")*ISNUMBER(SEARCH(실물목록!$P$2:$P$1001,I1208))*(실물목록!$R$2:$R$1001&lt;&gt;""))&gt;0,"확인필요(입력누락)",IF(SUMPRODUCT((실물목록!$P$2:$P$1001&lt;&gt;"")*ISNUMBER(SEARCH(실물목록!$P$2:$P$1001,I1208))*(실물목록!$Q$2:$Q$1001&lt;&gt;"")*ISNUMBER(SEARCH(실물목록!$Q$2:$Q$1001,I1208))*(실물목록!$R$2:$R$1001="")*(실물목록!$O$2:$O$1001&lt;&gt;""))&gt;0,"확인필요(연도다름)","실물 없음")))))</f>
      </c>
      <c r="G1208" t="n" s="16">
        <f aca="0">IF(B1208="","",SUMPRODUCT((실물목록!$P$2:$P$1001&lt;&gt;"")*ISNUMBER(SEARCH(실물목록!$P$2:$P$1001,I1208))*(실물목록!$Q$2:$Q$1001&lt;&gt;"")*ISNUMBER(SEARCH(실물목록!$Q$2:$Q$1001,I1208))*(실물목록!$R$2:$R$1001="")*(실물목록!$O$2:$O$1001&lt;&gt;"")*(실물목록!$O$2:$O$1001=H1208)))</f>
      </c>
      <c r="H1208" t="str">
        <f>IFERROR(IF(AND(LEN(SUBSTITUTE(SUBSTITUTE(SUBSTITUTE(TRIM(A1208&amp;""),CHAR(160),"")," ",""),"년",""))=4,VALUE(SUBSTITUTE(SUBSTITUTE(SUBSTITUTE(TRIM(A1208&amp;""),CHAR(160),"")," ",""),"년",""))&gt;=1900,VALUE(SUBSTITUTE(SUBSTITUTE(SUBSTITUTE(TRIM(A1208&amp;""),CHAR(160),"")," ",""),"년",""))&lt;=2099,TEXT(VALUE(SUBSTITUTE(SUBSTITUTE(SUBSTITUTE(TRIM(A1208&amp;""),CHAR(160),"")," ",""),"년","")),"0000")=SUBSTITUTE(SUBSTITUTE(SUBSTITUTE(TRIM(A1208&amp;""),CHAR(160),"")," ",""),"년","")),SUBSTITUTE(SUBSTITUTE(SUBSTITUTE(TRIM(A1208&amp;""),CHAR(160),"")," ",""),"년",""),""),"")</f>
      </c>
      <c r="I1208" t="str">
        <f>SUBSTITUTE(SUBSTITUTE(SUBSTITUTE(SUBSTITUTE(SUBSTITUTE(TRIM(B1208&amp;""),CHAR(160),"")," ",""),"초등학교","초"),"중학교","중"),"고등학교","고")</f>
      </c>
    </row>
    <row r="1209" customFormat="false" ht="15" hidden="false" customHeight="false" outlineLevel="0" collapsed="false">
      <c r="A1209" s="8"/>
      <c r="B1209" s="8"/>
      <c r="C1209" s="8"/>
      <c r="D1209" s="8"/>
      <c r="E1209" s="8"/>
      <c r="F1209" t="str" s="15">
        <f aca="0">IF(B1209="","",IF(H1209="","확인필요(입력누락)",IF(SUMPRODUCT((실물목록!$P$2:$P$1001&lt;&gt;"")*ISNUMBER(SEARCH(실물목록!$P$2:$P$1001,I1209))*(실물목록!$Q$2:$Q$1001&lt;&gt;"")*ISNUMBER(SEARCH(실물목록!$Q$2:$Q$1001,I1209))*(실물목록!$R$2:$R$1001="")*(실물목록!$O$2:$O$1001&lt;&gt;"")*(실물목록!$O$2:$O$1001=H1209))&gt;0,"실물 있음",IF(SUMPRODUCT((실물목록!$P$2:$P$1001&lt;&gt;"")*ISNUMBER(SEARCH(실물목록!$P$2:$P$1001,I1209))*(실물목록!$R$2:$R$1001&lt;&gt;""))&gt;0,"확인필요(입력누락)",IF(SUMPRODUCT((실물목록!$P$2:$P$1001&lt;&gt;"")*ISNUMBER(SEARCH(실물목록!$P$2:$P$1001,I1209))*(실물목록!$Q$2:$Q$1001&lt;&gt;"")*ISNUMBER(SEARCH(실물목록!$Q$2:$Q$1001,I1209))*(실물목록!$R$2:$R$1001="")*(실물목록!$O$2:$O$1001&lt;&gt;""))&gt;0,"확인필요(연도다름)","실물 없음")))))</f>
      </c>
      <c r="G1209" t="n" s="16">
        <f aca="0">IF(B1209="","",SUMPRODUCT((실물목록!$P$2:$P$1001&lt;&gt;"")*ISNUMBER(SEARCH(실물목록!$P$2:$P$1001,I1209))*(실물목록!$Q$2:$Q$1001&lt;&gt;"")*ISNUMBER(SEARCH(실물목록!$Q$2:$Q$1001,I1209))*(실물목록!$R$2:$R$1001="")*(실물목록!$O$2:$O$1001&lt;&gt;"")*(실물목록!$O$2:$O$1001=H1209)))</f>
      </c>
      <c r="H1209" t="str">
        <f>IFERROR(IF(AND(LEN(SUBSTITUTE(SUBSTITUTE(SUBSTITUTE(TRIM(A1209&amp;""),CHAR(160),"")," ",""),"년",""))=4,VALUE(SUBSTITUTE(SUBSTITUTE(SUBSTITUTE(TRIM(A1209&amp;""),CHAR(160),"")," ",""),"년",""))&gt;=1900,VALUE(SUBSTITUTE(SUBSTITUTE(SUBSTITUTE(TRIM(A1209&amp;""),CHAR(160),"")," ",""),"년",""))&lt;=2099,TEXT(VALUE(SUBSTITUTE(SUBSTITUTE(SUBSTITUTE(TRIM(A1209&amp;""),CHAR(160),"")," ",""),"년","")),"0000")=SUBSTITUTE(SUBSTITUTE(SUBSTITUTE(TRIM(A1209&amp;""),CHAR(160),"")," ",""),"년","")),SUBSTITUTE(SUBSTITUTE(SUBSTITUTE(TRIM(A1209&amp;""),CHAR(160),"")," ",""),"년",""),""),"")</f>
      </c>
      <c r="I1209" t="str">
        <f>SUBSTITUTE(SUBSTITUTE(SUBSTITUTE(SUBSTITUTE(SUBSTITUTE(TRIM(B1209&amp;""),CHAR(160),"")," ",""),"초등학교","초"),"중학교","중"),"고등학교","고")</f>
      </c>
    </row>
    <row r="1210" customFormat="false" ht="15" hidden="false" customHeight="false" outlineLevel="0" collapsed="false">
      <c r="A1210" s="8"/>
      <c r="B1210" s="8"/>
      <c r="C1210" s="8"/>
      <c r="D1210" s="8"/>
      <c r="E1210" s="8"/>
      <c r="F1210" t="str" s="15">
        <f aca="0">IF(B1210="","",IF(H1210="","확인필요(입력누락)",IF(SUMPRODUCT((실물목록!$P$2:$P$1001&lt;&gt;"")*ISNUMBER(SEARCH(실물목록!$P$2:$P$1001,I1210))*(실물목록!$Q$2:$Q$1001&lt;&gt;"")*ISNUMBER(SEARCH(실물목록!$Q$2:$Q$1001,I1210))*(실물목록!$R$2:$R$1001="")*(실물목록!$O$2:$O$1001&lt;&gt;"")*(실물목록!$O$2:$O$1001=H1210))&gt;0,"실물 있음",IF(SUMPRODUCT((실물목록!$P$2:$P$1001&lt;&gt;"")*ISNUMBER(SEARCH(실물목록!$P$2:$P$1001,I1210))*(실물목록!$R$2:$R$1001&lt;&gt;""))&gt;0,"확인필요(입력누락)",IF(SUMPRODUCT((실물목록!$P$2:$P$1001&lt;&gt;"")*ISNUMBER(SEARCH(실물목록!$P$2:$P$1001,I1210))*(실물목록!$Q$2:$Q$1001&lt;&gt;"")*ISNUMBER(SEARCH(실물목록!$Q$2:$Q$1001,I1210))*(실물목록!$R$2:$R$1001="")*(실물목록!$O$2:$O$1001&lt;&gt;""))&gt;0,"확인필요(연도다름)","실물 없음")))))</f>
      </c>
      <c r="G1210" t="n" s="16">
        <f aca="0">IF(B1210="","",SUMPRODUCT((실물목록!$P$2:$P$1001&lt;&gt;"")*ISNUMBER(SEARCH(실물목록!$P$2:$P$1001,I1210))*(실물목록!$Q$2:$Q$1001&lt;&gt;"")*ISNUMBER(SEARCH(실물목록!$Q$2:$Q$1001,I1210))*(실물목록!$R$2:$R$1001="")*(실물목록!$O$2:$O$1001&lt;&gt;"")*(실물목록!$O$2:$O$1001=H1210)))</f>
      </c>
      <c r="H1210" t="str">
        <f>IFERROR(IF(AND(LEN(SUBSTITUTE(SUBSTITUTE(SUBSTITUTE(TRIM(A1210&amp;""),CHAR(160),"")," ",""),"년",""))=4,VALUE(SUBSTITUTE(SUBSTITUTE(SUBSTITUTE(TRIM(A1210&amp;""),CHAR(160),"")," ",""),"년",""))&gt;=1900,VALUE(SUBSTITUTE(SUBSTITUTE(SUBSTITUTE(TRIM(A1210&amp;""),CHAR(160),"")," ",""),"년",""))&lt;=2099,TEXT(VALUE(SUBSTITUTE(SUBSTITUTE(SUBSTITUTE(TRIM(A1210&amp;""),CHAR(160),"")," ",""),"년","")),"0000")=SUBSTITUTE(SUBSTITUTE(SUBSTITUTE(TRIM(A1210&amp;""),CHAR(160),"")," ",""),"년","")),SUBSTITUTE(SUBSTITUTE(SUBSTITUTE(TRIM(A1210&amp;""),CHAR(160),"")," ",""),"년",""),""),"")</f>
      </c>
      <c r="I1210" t="str">
        <f>SUBSTITUTE(SUBSTITUTE(SUBSTITUTE(SUBSTITUTE(SUBSTITUTE(TRIM(B1210&amp;""),CHAR(160),"")," ",""),"초등학교","초"),"중학교","중"),"고등학교","고")</f>
      </c>
    </row>
    <row r="1211" customFormat="false" ht="15" hidden="false" customHeight="false" outlineLevel="0" collapsed="false">
      <c r="A1211" s="8"/>
      <c r="B1211" s="8"/>
      <c r="C1211" s="8"/>
      <c r="D1211" s="8"/>
      <c r="E1211" s="8"/>
      <c r="F1211" t="str" s="15">
        <f aca="0">IF(B1211="","",IF(H1211="","확인필요(입력누락)",IF(SUMPRODUCT((실물목록!$P$2:$P$1001&lt;&gt;"")*ISNUMBER(SEARCH(실물목록!$P$2:$P$1001,I1211))*(실물목록!$Q$2:$Q$1001&lt;&gt;"")*ISNUMBER(SEARCH(실물목록!$Q$2:$Q$1001,I1211))*(실물목록!$R$2:$R$1001="")*(실물목록!$O$2:$O$1001&lt;&gt;"")*(실물목록!$O$2:$O$1001=H1211))&gt;0,"실물 있음",IF(SUMPRODUCT((실물목록!$P$2:$P$1001&lt;&gt;"")*ISNUMBER(SEARCH(실물목록!$P$2:$P$1001,I1211))*(실물목록!$R$2:$R$1001&lt;&gt;""))&gt;0,"확인필요(입력누락)",IF(SUMPRODUCT((실물목록!$P$2:$P$1001&lt;&gt;"")*ISNUMBER(SEARCH(실물목록!$P$2:$P$1001,I1211))*(실물목록!$Q$2:$Q$1001&lt;&gt;"")*ISNUMBER(SEARCH(실물목록!$Q$2:$Q$1001,I1211))*(실물목록!$R$2:$R$1001="")*(실물목록!$O$2:$O$1001&lt;&gt;""))&gt;0,"확인필요(연도다름)","실물 없음")))))</f>
      </c>
      <c r="G1211" t="n" s="16">
        <f aca="0">IF(B1211="","",SUMPRODUCT((실물목록!$P$2:$P$1001&lt;&gt;"")*ISNUMBER(SEARCH(실물목록!$P$2:$P$1001,I1211))*(실물목록!$Q$2:$Q$1001&lt;&gt;"")*ISNUMBER(SEARCH(실물목록!$Q$2:$Q$1001,I1211))*(실물목록!$R$2:$R$1001="")*(실물목록!$O$2:$O$1001&lt;&gt;"")*(실물목록!$O$2:$O$1001=H1211)))</f>
      </c>
      <c r="H1211" t="str">
        <f>IFERROR(IF(AND(LEN(SUBSTITUTE(SUBSTITUTE(SUBSTITUTE(TRIM(A1211&amp;""),CHAR(160),"")," ",""),"년",""))=4,VALUE(SUBSTITUTE(SUBSTITUTE(SUBSTITUTE(TRIM(A1211&amp;""),CHAR(160),"")," ",""),"년",""))&gt;=1900,VALUE(SUBSTITUTE(SUBSTITUTE(SUBSTITUTE(TRIM(A1211&amp;""),CHAR(160),"")," ",""),"년",""))&lt;=2099,TEXT(VALUE(SUBSTITUTE(SUBSTITUTE(SUBSTITUTE(TRIM(A1211&amp;""),CHAR(160),"")," ",""),"년","")),"0000")=SUBSTITUTE(SUBSTITUTE(SUBSTITUTE(TRIM(A1211&amp;""),CHAR(160),"")," ",""),"년","")),SUBSTITUTE(SUBSTITUTE(SUBSTITUTE(TRIM(A1211&amp;""),CHAR(160),"")," ",""),"년",""),""),"")</f>
      </c>
      <c r="I1211" t="str">
        <f>SUBSTITUTE(SUBSTITUTE(SUBSTITUTE(SUBSTITUTE(SUBSTITUTE(TRIM(B1211&amp;""),CHAR(160),"")," ",""),"초등학교","초"),"중학교","중"),"고등학교","고")</f>
      </c>
    </row>
    <row r="1212" customFormat="false" ht="15" hidden="false" customHeight="false" outlineLevel="0" collapsed="false">
      <c r="A1212" s="8"/>
      <c r="B1212" s="8"/>
      <c r="C1212" s="8"/>
      <c r="D1212" s="8"/>
      <c r="E1212" s="8"/>
      <c r="F1212" t="str" s="15">
        <f aca="0">IF(B1212="","",IF(H1212="","확인필요(입력누락)",IF(SUMPRODUCT((실물목록!$P$2:$P$1001&lt;&gt;"")*ISNUMBER(SEARCH(실물목록!$P$2:$P$1001,I1212))*(실물목록!$Q$2:$Q$1001&lt;&gt;"")*ISNUMBER(SEARCH(실물목록!$Q$2:$Q$1001,I1212))*(실물목록!$R$2:$R$1001="")*(실물목록!$O$2:$O$1001&lt;&gt;"")*(실물목록!$O$2:$O$1001=H1212))&gt;0,"실물 있음",IF(SUMPRODUCT((실물목록!$P$2:$P$1001&lt;&gt;"")*ISNUMBER(SEARCH(실물목록!$P$2:$P$1001,I1212))*(실물목록!$R$2:$R$1001&lt;&gt;""))&gt;0,"확인필요(입력누락)",IF(SUMPRODUCT((실물목록!$P$2:$P$1001&lt;&gt;"")*ISNUMBER(SEARCH(실물목록!$P$2:$P$1001,I1212))*(실물목록!$Q$2:$Q$1001&lt;&gt;"")*ISNUMBER(SEARCH(실물목록!$Q$2:$Q$1001,I1212))*(실물목록!$R$2:$R$1001="")*(실물목록!$O$2:$O$1001&lt;&gt;""))&gt;0,"확인필요(연도다름)","실물 없음")))))</f>
      </c>
      <c r="G1212" t="n" s="16">
        <f aca="0">IF(B1212="","",SUMPRODUCT((실물목록!$P$2:$P$1001&lt;&gt;"")*ISNUMBER(SEARCH(실물목록!$P$2:$P$1001,I1212))*(실물목록!$Q$2:$Q$1001&lt;&gt;"")*ISNUMBER(SEARCH(실물목록!$Q$2:$Q$1001,I1212))*(실물목록!$R$2:$R$1001="")*(실물목록!$O$2:$O$1001&lt;&gt;"")*(실물목록!$O$2:$O$1001=H1212)))</f>
      </c>
      <c r="H1212" t="str">
        <f>IFERROR(IF(AND(LEN(SUBSTITUTE(SUBSTITUTE(SUBSTITUTE(TRIM(A1212&amp;""),CHAR(160),"")," ",""),"년",""))=4,VALUE(SUBSTITUTE(SUBSTITUTE(SUBSTITUTE(TRIM(A1212&amp;""),CHAR(160),"")," ",""),"년",""))&gt;=1900,VALUE(SUBSTITUTE(SUBSTITUTE(SUBSTITUTE(TRIM(A1212&amp;""),CHAR(160),"")," ",""),"년",""))&lt;=2099,TEXT(VALUE(SUBSTITUTE(SUBSTITUTE(SUBSTITUTE(TRIM(A1212&amp;""),CHAR(160),"")," ",""),"년","")),"0000")=SUBSTITUTE(SUBSTITUTE(SUBSTITUTE(TRIM(A1212&amp;""),CHAR(160),"")," ",""),"년","")),SUBSTITUTE(SUBSTITUTE(SUBSTITUTE(TRIM(A1212&amp;""),CHAR(160),"")," ",""),"년",""),""),"")</f>
      </c>
      <c r="I1212" t="str">
        <f>SUBSTITUTE(SUBSTITUTE(SUBSTITUTE(SUBSTITUTE(SUBSTITUTE(TRIM(B1212&amp;""),CHAR(160),"")," ",""),"초등학교","초"),"중학교","중"),"고등학교","고")</f>
      </c>
    </row>
    <row r="1213" customFormat="false" ht="15" hidden="false" customHeight="false" outlineLevel="0" collapsed="false">
      <c r="A1213" s="8"/>
      <c r="B1213" s="8"/>
      <c r="C1213" s="8"/>
      <c r="D1213" s="8"/>
      <c r="E1213" s="8"/>
      <c r="F1213" t="str" s="15">
        <f aca="0">IF(B1213="","",IF(H1213="","확인필요(입력누락)",IF(SUMPRODUCT((실물목록!$P$2:$P$1001&lt;&gt;"")*ISNUMBER(SEARCH(실물목록!$P$2:$P$1001,I1213))*(실물목록!$Q$2:$Q$1001&lt;&gt;"")*ISNUMBER(SEARCH(실물목록!$Q$2:$Q$1001,I1213))*(실물목록!$R$2:$R$1001="")*(실물목록!$O$2:$O$1001&lt;&gt;"")*(실물목록!$O$2:$O$1001=H1213))&gt;0,"실물 있음",IF(SUMPRODUCT((실물목록!$P$2:$P$1001&lt;&gt;"")*ISNUMBER(SEARCH(실물목록!$P$2:$P$1001,I1213))*(실물목록!$R$2:$R$1001&lt;&gt;""))&gt;0,"확인필요(입력누락)",IF(SUMPRODUCT((실물목록!$P$2:$P$1001&lt;&gt;"")*ISNUMBER(SEARCH(실물목록!$P$2:$P$1001,I1213))*(실물목록!$Q$2:$Q$1001&lt;&gt;"")*ISNUMBER(SEARCH(실물목록!$Q$2:$Q$1001,I1213))*(실물목록!$R$2:$R$1001="")*(실물목록!$O$2:$O$1001&lt;&gt;""))&gt;0,"확인필요(연도다름)","실물 없음")))))</f>
      </c>
      <c r="G1213" t="n" s="16">
        <f aca="0">IF(B1213="","",SUMPRODUCT((실물목록!$P$2:$P$1001&lt;&gt;"")*ISNUMBER(SEARCH(실물목록!$P$2:$P$1001,I1213))*(실물목록!$Q$2:$Q$1001&lt;&gt;"")*ISNUMBER(SEARCH(실물목록!$Q$2:$Q$1001,I1213))*(실물목록!$R$2:$R$1001="")*(실물목록!$O$2:$O$1001&lt;&gt;"")*(실물목록!$O$2:$O$1001=H1213)))</f>
      </c>
      <c r="H1213" t="str">
        <f>IFERROR(IF(AND(LEN(SUBSTITUTE(SUBSTITUTE(SUBSTITUTE(TRIM(A1213&amp;""),CHAR(160),"")," ",""),"년",""))=4,VALUE(SUBSTITUTE(SUBSTITUTE(SUBSTITUTE(TRIM(A1213&amp;""),CHAR(160),"")," ",""),"년",""))&gt;=1900,VALUE(SUBSTITUTE(SUBSTITUTE(SUBSTITUTE(TRIM(A1213&amp;""),CHAR(160),"")," ",""),"년",""))&lt;=2099,TEXT(VALUE(SUBSTITUTE(SUBSTITUTE(SUBSTITUTE(TRIM(A1213&amp;""),CHAR(160),"")," ",""),"년","")),"0000")=SUBSTITUTE(SUBSTITUTE(SUBSTITUTE(TRIM(A1213&amp;""),CHAR(160),"")," ",""),"년","")),SUBSTITUTE(SUBSTITUTE(SUBSTITUTE(TRIM(A1213&amp;""),CHAR(160),"")," ",""),"년",""),""),"")</f>
      </c>
      <c r="I1213" t="str">
        <f>SUBSTITUTE(SUBSTITUTE(SUBSTITUTE(SUBSTITUTE(SUBSTITUTE(TRIM(B1213&amp;""),CHAR(160),"")," ",""),"초등학교","초"),"중학교","중"),"고등학교","고")</f>
      </c>
    </row>
    <row r="1214" customFormat="false" ht="15" hidden="false" customHeight="false" outlineLevel="0" collapsed="false">
      <c r="A1214" s="8"/>
      <c r="B1214" s="8"/>
      <c r="C1214" s="8"/>
      <c r="D1214" s="8"/>
      <c r="E1214" s="8"/>
      <c r="F1214" t="str" s="15">
        <f aca="0">IF(B1214="","",IF(H1214="","확인필요(입력누락)",IF(SUMPRODUCT((실물목록!$P$2:$P$1001&lt;&gt;"")*ISNUMBER(SEARCH(실물목록!$P$2:$P$1001,I1214))*(실물목록!$Q$2:$Q$1001&lt;&gt;"")*ISNUMBER(SEARCH(실물목록!$Q$2:$Q$1001,I1214))*(실물목록!$R$2:$R$1001="")*(실물목록!$O$2:$O$1001&lt;&gt;"")*(실물목록!$O$2:$O$1001=H1214))&gt;0,"실물 있음",IF(SUMPRODUCT((실물목록!$P$2:$P$1001&lt;&gt;"")*ISNUMBER(SEARCH(실물목록!$P$2:$P$1001,I1214))*(실물목록!$R$2:$R$1001&lt;&gt;""))&gt;0,"확인필요(입력누락)",IF(SUMPRODUCT((실물목록!$P$2:$P$1001&lt;&gt;"")*ISNUMBER(SEARCH(실물목록!$P$2:$P$1001,I1214))*(실물목록!$Q$2:$Q$1001&lt;&gt;"")*ISNUMBER(SEARCH(실물목록!$Q$2:$Q$1001,I1214))*(실물목록!$R$2:$R$1001="")*(실물목록!$O$2:$O$1001&lt;&gt;""))&gt;0,"확인필요(연도다름)","실물 없음")))))</f>
      </c>
      <c r="G1214" t="n" s="16">
        <f aca="0">IF(B1214="","",SUMPRODUCT((실물목록!$P$2:$P$1001&lt;&gt;"")*ISNUMBER(SEARCH(실물목록!$P$2:$P$1001,I1214))*(실물목록!$Q$2:$Q$1001&lt;&gt;"")*ISNUMBER(SEARCH(실물목록!$Q$2:$Q$1001,I1214))*(실물목록!$R$2:$R$1001="")*(실물목록!$O$2:$O$1001&lt;&gt;"")*(실물목록!$O$2:$O$1001=H1214)))</f>
      </c>
      <c r="H1214" t="str">
        <f>IFERROR(IF(AND(LEN(SUBSTITUTE(SUBSTITUTE(SUBSTITUTE(TRIM(A1214&amp;""),CHAR(160),"")," ",""),"년",""))=4,VALUE(SUBSTITUTE(SUBSTITUTE(SUBSTITUTE(TRIM(A1214&amp;""),CHAR(160),"")," ",""),"년",""))&gt;=1900,VALUE(SUBSTITUTE(SUBSTITUTE(SUBSTITUTE(TRIM(A1214&amp;""),CHAR(160),"")," ",""),"년",""))&lt;=2099,TEXT(VALUE(SUBSTITUTE(SUBSTITUTE(SUBSTITUTE(TRIM(A1214&amp;""),CHAR(160),"")," ",""),"년","")),"0000")=SUBSTITUTE(SUBSTITUTE(SUBSTITUTE(TRIM(A1214&amp;""),CHAR(160),"")," ",""),"년","")),SUBSTITUTE(SUBSTITUTE(SUBSTITUTE(TRIM(A1214&amp;""),CHAR(160),"")," ",""),"년",""),""),"")</f>
      </c>
      <c r="I1214" t="str">
        <f>SUBSTITUTE(SUBSTITUTE(SUBSTITUTE(SUBSTITUTE(SUBSTITUTE(TRIM(B1214&amp;""),CHAR(160),"")," ",""),"초등학교","초"),"중학교","중"),"고등학교","고")</f>
      </c>
    </row>
    <row r="1215" customFormat="false" ht="15" hidden="false" customHeight="false" outlineLevel="0" collapsed="false">
      <c r="A1215" s="8"/>
      <c r="B1215" s="8"/>
      <c r="C1215" s="8"/>
      <c r="D1215" s="8"/>
      <c r="E1215" s="8"/>
      <c r="F1215" t="str" s="15">
        <f aca="0">IF(B1215="","",IF(H1215="","확인필요(입력누락)",IF(SUMPRODUCT((실물목록!$P$2:$P$1001&lt;&gt;"")*ISNUMBER(SEARCH(실물목록!$P$2:$P$1001,I1215))*(실물목록!$Q$2:$Q$1001&lt;&gt;"")*ISNUMBER(SEARCH(실물목록!$Q$2:$Q$1001,I1215))*(실물목록!$R$2:$R$1001="")*(실물목록!$O$2:$O$1001&lt;&gt;"")*(실물목록!$O$2:$O$1001=H1215))&gt;0,"실물 있음",IF(SUMPRODUCT((실물목록!$P$2:$P$1001&lt;&gt;"")*ISNUMBER(SEARCH(실물목록!$P$2:$P$1001,I1215))*(실물목록!$R$2:$R$1001&lt;&gt;""))&gt;0,"확인필요(입력누락)",IF(SUMPRODUCT((실물목록!$P$2:$P$1001&lt;&gt;"")*ISNUMBER(SEARCH(실물목록!$P$2:$P$1001,I1215))*(실물목록!$Q$2:$Q$1001&lt;&gt;"")*ISNUMBER(SEARCH(실물목록!$Q$2:$Q$1001,I1215))*(실물목록!$R$2:$R$1001="")*(실물목록!$O$2:$O$1001&lt;&gt;""))&gt;0,"확인필요(연도다름)","실물 없음")))))</f>
      </c>
      <c r="G1215" t="n" s="16">
        <f aca="0">IF(B1215="","",SUMPRODUCT((실물목록!$P$2:$P$1001&lt;&gt;"")*ISNUMBER(SEARCH(실물목록!$P$2:$P$1001,I1215))*(실물목록!$Q$2:$Q$1001&lt;&gt;"")*ISNUMBER(SEARCH(실물목록!$Q$2:$Q$1001,I1215))*(실물목록!$R$2:$R$1001="")*(실물목록!$O$2:$O$1001&lt;&gt;"")*(실물목록!$O$2:$O$1001=H1215)))</f>
      </c>
      <c r="H1215" t="str">
        <f>IFERROR(IF(AND(LEN(SUBSTITUTE(SUBSTITUTE(SUBSTITUTE(TRIM(A1215&amp;""),CHAR(160),"")," ",""),"년",""))=4,VALUE(SUBSTITUTE(SUBSTITUTE(SUBSTITUTE(TRIM(A1215&amp;""),CHAR(160),"")," ",""),"년",""))&gt;=1900,VALUE(SUBSTITUTE(SUBSTITUTE(SUBSTITUTE(TRIM(A1215&amp;""),CHAR(160),"")," ",""),"년",""))&lt;=2099,TEXT(VALUE(SUBSTITUTE(SUBSTITUTE(SUBSTITUTE(TRIM(A1215&amp;""),CHAR(160),"")," ",""),"년","")),"0000")=SUBSTITUTE(SUBSTITUTE(SUBSTITUTE(TRIM(A1215&amp;""),CHAR(160),"")," ",""),"년","")),SUBSTITUTE(SUBSTITUTE(SUBSTITUTE(TRIM(A1215&amp;""),CHAR(160),"")," ",""),"년",""),""),"")</f>
      </c>
      <c r="I1215" t="str">
        <f>SUBSTITUTE(SUBSTITUTE(SUBSTITUTE(SUBSTITUTE(SUBSTITUTE(TRIM(B1215&amp;""),CHAR(160),"")," ",""),"초등학교","초"),"중학교","중"),"고등학교","고")</f>
      </c>
    </row>
    <row r="1216" customFormat="false" ht="15" hidden="false" customHeight="false" outlineLevel="0" collapsed="false">
      <c r="A1216" s="8"/>
      <c r="B1216" s="8"/>
      <c r="C1216" s="8"/>
      <c r="D1216" s="8"/>
      <c r="E1216" s="8"/>
      <c r="F1216" t="str" s="15">
        <f aca="0">IF(B1216="","",IF(H1216="","확인필요(입력누락)",IF(SUMPRODUCT((실물목록!$P$2:$P$1001&lt;&gt;"")*ISNUMBER(SEARCH(실물목록!$P$2:$P$1001,I1216))*(실물목록!$Q$2:$Q$1001&lt;&gt;"")*ISNUMBER(SEARCH(실물목록!$Q$2:$Q$1001,I1216))*(실물목록!$R$2:$R$1001="")*(실물목록!$O$2:$O$1001&lt;&gt;"")*(실물목록!$O$2:$O$1001=H1216))&gt;0,"실물 있음",IF(SUMPRODUCT((실물목록!$P$2:$P$1001&lt;&gt;"")*ISNUMBER(SEARCH(실물목록!$P$2:$P$1001,I1216))*(실물목록!$R$2:$R$1001&lt;&gt;""))&gt;0,"확인필요(입력누락)",IF(SUMPRODUCT((실물목록!$P$2:$P$1001&lt;&gt;"")*ISNUMBER(SEARCH(실물목록!$P$2:$P$1001,I1216))*(실물목록!$Q$2:$Q$1001&lt;&gt;"")*ISNUMBER(SEARCH(실물목록!$Q$2:$Q$1001,I1216))*(실물목록!$R$2:$R$1001="")*(실물목록!$O$2:$O$1001&lt;&gt;""))&gt;0,"확인필요(연도다름)","실물 없음")))))</f>
      </c>
      <c r="G1216" t="n" s="16">
        <f aca="0">IF(B1216="","",SUMPRODUCT((실물목록!$P$2:$P$1001&lt;&gt;"")*ISNUMBER(SEARCH(실물목록!$P$2:$P$1001,I1216))*(실물목록!$Q$2:$Q$1001&lt;&gt;"")*ISNUMBER(SEARCH(실물목록!$Q$2:$Q$1001,I1216))*(실물목록!$R$2:$R$1001="")*(실물목록!$O$2:$O$1001&lt;&gt;"")*(실물목록!$O$2:$O$1001=H1216)))</f>
      </c>
      <c r="H1216" t="str">
        <f>IFERROR(IF(AND(LEN(SUBSTITUTE(SUBSTITUTE(SUBSTITUTE(TRIM(A1216&amp;""),CHAR(160),"")," ",""),"년",""))=4,VALUE(SUBSTITUTE(SUBSTITUTE(SUBSTITUTE(TRIM(A1216&amp;""),CHAR(160),"")," ",""),"년",""))&gt;=1900,VALUE(SUBSTITUTE(SUBSTITUTE(SUBSTITUTE(TRIM(A1216&amp;""),CHAR(160),"")," ",""),"년",""))&lt;=2099,TEXT(VALUE(SUBSTITUTE(SUBSTITUTE(SUBSTITUTE(TRIM(A1216&amp;""),CHAR(160),"")," ",""),"년","")),"0000")=SUBSTITUTE(SUBSTITUTE(SUBSTITUTE(TRIM(A1216&amp;""),CHAR(160),"")," ",""),"년","")),SUBSTITUTE(SUBSTITUTE(SUBSTITUTE(TRIM(A1216&amp;""),CHAR(160),"")," ",""),"년",""),""),"")</f>
      </c>
      <c r="I1216" t="str">
        <f>SUBSTITUTE(SUBSTITUTE(SUBSTITUTE(SUBSTITUTE(SUBSTITUTE(TRIM(B1216&amp;""),CHAR(160),"")," ",""),"초등학교","초"),"중학교","중"),"고등학교","고")</f>
      </c>
    </row>
    <row r="1217" customFormat="false" ht="15" hidden="false" customHeight="false" outlineLevel="0" collapsed="false">
      <c r="A1217" s="8"/>
      <c r="B1217" s="8"/>
      <c r="C1217" s="8"/>
      <c r="D1217" s="8"/>
      <c r="E1217" s="8"/>
      <c r="F1217" t="str" s="15">
        <f aca="0">IF(B1217="","",IF(H1217="","확인필요(입력누락)",IF(SUMPRODUCT((실물목록!$P$2:$P$1001&lt;&gt;"")*ISNUMBER(SEARCH(실물목록!$P$2:$P$1001,I1217))*(실물목록!$Q$2:$Q$1001&lt;&gt;"")*ISNUMBER(SEARCH(실물목록!$Q$2:$Q$1001,I1217))*(실물목록!$R$2:$R$1001="")*(실물목록!$O$2:$O$1001&lt;&gt;"")*(실물목록!$O$2:$O$1001=H1217))&gt;0,"실물 있음",IF(SUMPRODUCT((실물목록!$P$2:$P$1001&lt;&gt;"")*ISNUMBER(SEARCH(실물목록!$P$2:$P$1001,I1217))*(실물목록!$R$2:$R$1001&lt;&gt;""))&gt;0,"확인필요(입력누락)",IF(SUMPRODUCT((실물목록!$P$2:$P$1001&lt;&gt;"")*ISNUMBER(SEARCH(실물목록!$P$2:$P$1001,I1217))*(실물목록!$Q$2:$Q$1001&lt;&gt;"")*ISNUMBER(SEARCH(실물목록!$Q$2:$Q$1001,I1217))*(실물목록!$R$2:$R$1001="")*(실물목록!$O$2:$O$1001&lt;&gt;""))&gt;0,"확인필요(연도다름)","실물 없음")))))</f>
      </c>
      <c r="G1217" t="n" s="16">
        <f aca="0">IF(B1217="","",SUMPRODUCT((실물목록!$P$2:$P$1001&lt;&gt;"")*ISNUMBER(SEARCH(실물목록!$P$2:$P$1001,I1217))*(실물목록!$Q$2:$Q$1001&lt;&gt;"")*ISNUMBER(SEARCH(실물목록!$Q$2:$Q$1001,I1217))*(실물목록!$R$2:$R$1001="")*(실물목록!$O$2:$O$1001&lt;&gt;"")*(실물목록!$O$2:$O$1001=H1217)))</f>
      </c>
      <c r="H1217" t="str">
        <f>IFERROR(IF(AND(LEN(SUBSTITUTE(SUBSTITUTE(SUBSTITUTE(TRIM(A1217&amp;""),CHAR(160),"")," ",""),"년",""))=4,VALUE(SUBSTITUTE(SUBSTITUTE(SUBSTITUTE(TRIM(A1217&amp;""),CHAR(160),"")," ",""),"년",""))&gt;=1900,VALUE(SUBSTITUTE(SUBSTITUTE(SUBSTITUTE(TRIM(A1217&amp;""),CHAR(160),"")," ",""),"년",""))&lt;=2099,TEXT(VALUE(SUBSTITUTE(SUBSTITUTE(SUBSTITUTE(TRIM(A1217&amp;""),CHAR(160),"")," ",""),"년","")),"0000")=SUBSTITUTE(SUBSTITUTE(SUBSTITUTE(TRIM(A1217&amp;""),CHAR(160),"")," ",""),"년","")),SUBSTITUTE(SUBSTITUTE(SUBSTITUTE(TRIM(A1217&amp;""),CHAR(160),"")," ",""),"년",""),""),"")</f>
      </c>
      <c r="I1217" t="str">
        <f>SUBSTITUTE(SUBSTITUTE(SUBSTITUTE(SUBSTITUTE(SUBSTITUTE(TRIM(B1217&amp;""),CHAR(160),"")," ",""),"초등학교","초"),"중학교","중"),"고등학교","고")</f>
      </c>
    </row>
    <row r="1218" customFormat="false" ht="15" hidden="false" customHeight="false" outlineLevel="0" collapsed="false">
      <c r="A1218" s="8"/>
      <c r="B1218" s="8"/>
      <c r="C1218" s="8"/>
      <c r="D1218" s="8"/>
      <c r="E1218" s="8"/>
      <c r="F1218" t="str" s="15">
        <f aca="0">IF(B1218="","",IF(H1218="","확인필요(입력누락)",IF(SUMPRODUCT((실물목록!$P$2:$P$1001&lt;&gt;"")*ISNUMBER(SEARCH(실물목록!$P$2:$P$1001,I1218))*(실물목록!$Q$2:$Q$1001&lt;&gt;"")*ISNUMBER(SEARCH(실물목록!$Q$2:$Q$1001,I1218))*(실물목록!$R$2:$R$1001="")*(실물목록!$O$2:$O$1001&lt;&gt;"")*(실물목록!$O$2:$O$1001=H1218))&gt;0,"실물 있음",IF(SUMPRODUCT((실물목록!$P$2:$P$1001&lt;&gt;"")*ISNUMBER(SEARCH(실물목록!$P$2:$P$1001,I1218))*(실물목록!$R$2:$R$1001&lt;&gt;""))&gt;0,"확인필요(입력누락)",IF(SUMPRODUCT((실물목록!$P$2:$P$1001&lt;&gt;"")*ISNUMBER(SEARCH(실물목록!$P$2:$P$1001,I1218))*(실물목록!$Q$2:$Q$1001&lt;&gt;"")*ISNUMBER(SEARCH(실물목록!$Q$2:$Q$1001,I1218))*(실물목록!$R$2:$R$1001="")*(실물목록!$O$2:$O$1001&lt;&gt;""))&gt;0,"확인필요(연도다름)","실물 없음")))))</f>
      </c>
      <c r="G1218" t="n" s="16">
        <f aca="0">IF(B1218="","",SUMPRODUCT((실물목록!$P$2:$P$1001&lt;&gt;"")*ISNUMBER(SEARCH(실물목록!$P$2:$P$1001,I1218))*(실물목록!$Q$2:$Q$1001&lt;&gt;"")*ISNUMBER(SEARCH(실물목록!$Q$2:$Q$1001,I1218))*(실물목록!$R$2:$R$1001="")*(실물목록!$O$2:$O$1001&lt;&gt;"")*(실물목록!$O$2:$O$1001=H1218)))</f>
      </c>
      <c r="H1218" t="str">
        <f>IFERROR(IF(AND(LEN(SUBSTITUTE(SUBSTITUTE(SUBSTITUTE(TRIM(A1218&amp;""),CHAR(160),"")," ",""),"년",""))=4,VALUE(SUBSTITUTE(SUBSTITUTE(SUBSTITUTE(TRIM(A1218&amp;""),CHAR(160),"")," ",""),"년",""))&gt;=1900,VALUE(SUBSTITUTE(SUBSTITUTE(SUBSTITUTE(TRIM(A1218&amp;""),CHAR(160),"")," ",""),"년",""))&lt;=2099,TEXT(VALUE(SUBSTITUTE(SUBSTITUTE(SUBSTITUTE(TRIM(A1218&amp;""),CHAR(160),"")," ",""),"년","")),"0000")=SUBSTITUTE(SUBSTITUTE(SUBSTITUTE(TRIM(A1218&amp;""),CHAR(160),"")," ",""),"년","")),SUBSTITUTE(SUBSTITUTE(SUBSTITUTE(TRIM(A1218&amp;""),CHAR(160),"")," ",""),"년",""),""),"")</f>
      </c>
      <c r="I1218" t="str">
        <f>SUBSTITUTE(SUBSTITUTE(SUBSTITUTE(SUBSTITUTE(SUBSTITUTE(TRIM(B1218&amp;""),CHAR(160),"")," ",""),"초등학교","초"),"중학교","중"),"고등학교","고")</f>
      </c>
    </row>
    <row r="1219" customFormat="false" ht="15" hidden="false" customHeight="false" outlineLevel="0" collapsed="false">
      <c r="A1219" s="8"/>
      <c r="B1219" s="8"/>
      <c r="C1219" s="8"/>
      <c r="D1219" s="8"/>
      <c r="E1219" s="8"/>
      <c r="F1219" t="str" s="15">
        <f aca="0">IF(B1219="","",IF(H1219="","확인필요(입력누락)",IF(SUMPRODUCT((실물목록!$P$2:$P$1001&lt;&gt;"")*ISNUMBER(SEARCH(실물목록!$P$2:$P$1001,I1219))*(실물목록!$Q$2:$Q$1001&lt;&gt;"")*ISNUMBER(SEARCH(실물목록!$Q$2:$Q$1001,I1219))*(실물목록!$R$2:$R$1001="")*(실물목록!$O$2:$O$1001&lt;&gt;"")*(실물목록!$O$2:$O$1001=H1219))&gt;0,"실물 있음",IF(SUMPRODUCT((실물목록!$P$2:$P$1001&lt;&gt;"")*ISNUMBER(SEARCH(실물목록!$P$2:$P$1001,I1219))*(실물목록!$R$2:$R$1001&lt;&gt;""))&gt;0,"확인필요(입력누락)",IF(SUMPRODUCT((실물목록!$P$2:$P$1001&lt;&gt;"")*ISNUMBER(SEARCH(실물목록!$P$2:$P$1001,I1219))*(실물목록!$Q$2:$Q$1001&lt;&gt;"")*ISNUMBER(SEARCH(실물목록!$Q$2:$Q$1001,I1219))*(실물목록!$R$2:$R$1001="")*(실물목록!$O$2:$O$1001&lt;&gt;""))&gt;0,"확인필요(연도다름)","실물 없음")))))</f>
      </c>
      <c r="G1219" t="n" s="16">
        <f aca="0">IF(B1219="","",SUMPRODUCT((실물목록!$P$2:$P$1001&lt;&gt;"")*ISNUMBER(SEARCH(실물목록!$P$2:$P$1001,I1219))*(실물목록!$Q$2:$Q$1001&lt;&gt;"")*ISNUMBER(SEARCH(실물목록!$Q$2:$Q$1001,I1219))*(실물목록!$R$2:$R$1001="")*(실물목록!$O$2:$O$1001&lt;&gt;"")*(실물목록!$O$2:$O$1001=H1219)))</f>
      </c>
      <c r="H1219" t="str">
        <f>IFERROR(IF(AND(LEN(SUBSTITUTE(SUBSTITUTE(SUBSTITUTE(TRIM(A1219&amp;""),CHAR(160),"")," ",""),"년",""))=4,VALUE(SUBSTITUTE(SUBSTITUTE(SUBSTITUTE(TRIM(A1219&amp;""),CHAR(160),"")," ",""),"년",""))&gt;=1900,VALUE(SUBSTITUTE(SUBSTITUTE(SUBSTITUTE(TRIM(A1219&amp;""),CHAR(160),"")," ",""),"년",""))&lt;=2099,TEXT(VALUE(SUBSTITUTE(SUBSTITUTE(SUBSTITUTE(TRIM(A1219&amp;""),CHAR(160),"")," ",""),"년","")),"0000")=SUBSTITUTE(SUBSTITUTE(SUBSTITUTE(TRIM(A1219&amp;""),CHAR(160),"")," ",""),"년","")),SUBSTITUTE(SUBSTITUTE(SUBSTITUTE(TRIM(A1219&amp;""),CHAR(160),"")," ",""),"년",""),""),"")</f>
      </c>
      <c r="I1219" t="str">
        <f>SUBSTITUTE(SUBSTITUTE(SUBSTITUTE(SUBSTITUTE(SUBSTITUTE(TRIM(B1219&amp;""),CHAR(160),"")," ",""),"초등학교","초"),"중학교","중"),"고등학교","고")</f>
      </c>
    </row>
    <row r="1220" customFormat="false" ht="15" hidden="false" customHeight="false" outlineLevel="0" collapsed="false">
      <c r="A1220" s="8"/>
      <c r="B1220" s="8"/>
      <c r="C1220" s="8"/>
      <c r="D1220" s="8"/>
      <c r="E1220" s="8"/>
      <c r="F1220" t="str" s="15">
        <f aca="0">IF(B1220="","",IF(H1220="","확인필요(입력누락)",IF(SUMPRODUCT((실물목록!$P$2:$P$1001&lt;&gt;"")*ISNUMBER(SEARCH(실물목록!$P$2:$P$1001,I1220))*(실물목록!$Q$2:$Q$1001&lt;&gt;"")*ISNUMBER(SEARCH(실물목록!$Q$2:$Q$1001,I1220))*(실물목록!$R$2:$R$1001="")*(실물목록!$O$2:$O$1001&lt;&gt;"")*(실물목록!$O$2:$O$1001=H1220))&gt;0,"실물 있음",IF(SUMPRODUCT((실물목록!$P$2:$P$1001&lt;&gt;"")*ISNUMBER(SEARCH(실물목록!$P$2:$P$1001,I1220))*(실물목록!$R$2:$R$1001&lt;&gt;""))&gt;0,"확인필요(입력누락)",IF(SUMPRODUCT((실물목록!$P$2:$P$1001&lt;&gt;"")*ISNUMBER(SEARCH(실물목록!$P$2:$P$1001,I1220))*(실물목록!$Q$2:$Q$1001&lt;&gt;"")*ISNUMBER(SEARCH(실물목록!$Q$2:$Q$1001,I1220))*(실물목록!$R$2:$R$1001="")*(실물목록!$O$2:$O$1001&lt;&gt;""))&gt;0,"확인필요(연도다름)","실물 없음")))))</f>
      </c>
      <c r="G1220" t="n" s="16">
        <f aca="0">IF(B1220="","",SUMPRODUCT((실물목록!$P$2:$P$1001&lt;&gt;"")*ISNUMBER(SEARCH(실물목록!$P$2:$P$1001,I1220))*(실물목록!$Q$2:$Q$1001&lt;&gt;"")*ISNUMBER(SEARCH(실물목록!$Q$2:$Q$1001,I1220))*(실물목록!$R$2:$R$1001="")*(실물목록!$O$2:$O$1001&lt;&gt;"")*(실물목록!$O$2:$O$1001=H1220)))</f>
      </c>
      <c r="H1220" t="str">
        <f>IFERROR(IF(AND(LEN(SUBSTITUTE(SUBSTITUTE(SUBSTITUTE(TRIM(A1220&amp;""),CHAR(160),"")," ",""),"년",""))=4,VALUE(SUBSTITUTE(SUBSTITUTE(SUBSTITUTE(TRIM(A1220&amp;""),CHAR(160),"")," ",""),"년",""))&gt;=1900,VALUE(SUBSTITUTE(SUBSTITUTE(SUBSTITUTE(TRIM(A1220&amp;""),CHAR(160),"")," ",""),"년",""))&lt;=2099,TEXT(VALUE(SUBSTITUTE(SUBSTITUTE(SUBSTITUTE(TRIM(A1220&amp;""),CHAR(160),"")," ",""),"년","")),"0000")=SUBSTITUTE(SUBSTITUTE(SUBSTITUTE(TRIM(A1220&amp;""),CHAR(160),"")," ",""),"년","")),SUBSTITUTE(SUBSTITUTE(SUBSTITUTE(TRIM(A1220&amp;""),CHAR(160),"")," ",""),"년",""),""),"")</f>
      </c>
      <c r="I1220" t="str">
        <f>SUBSTITUTE(SUBSTITUTE(SUBSTITUTE(SUBSTITUTE(SUBSTITUTE(TRIM(B1220&amp;""),CHAR(160),"")," ",""),"초등학교","초"),"중학교","중"),"고등학교","고")</f>
      </c>
    </row>
    <row r="1221" customFormat="false" ht="15" hidden="false" customHeight="false" outlineLevel="0" collapsed="false">
      <c r="A1221" s="8"/>
      <c r="B1221" s="8"/>
      <c r="C1221" s="8"/>
      <c r="D1221" s="8"/>
      <c r="E1221" s="8"/>
      <c r="F1221" t="str" s="15">
        <f aca="0">IF(B1221="","",IF(H1221="","확인필요(입력누락)",IF(SUMPRODUCT((실물목록!$P$2:$P$1001&lt;&gt;"")*ISNUMBER(SEARCH(실물목록!$P$2:$P$1001,I1221))*(실물목록!$Q$2:$Q$1001&lt;&gt;"")*ISNUMBER(SEARCH(실물목록!$Q$2:$Q$1001,I1221))*(실물목록!$R$2:$R$1001="")*(실물목록!$O$2:$O$1001&lt;&gt;"")*(실물목록!$O$2:$O$1001=H1221))&gt;0,"실물 있음",IF(SUMPRODUCT((실물목록!$P$2:$P$1001&lt;&gt;"")*ISNUMBER(SEARCH(실물목록!$P$2:$P$1001,I1221))*(실물목록!$R$2:$R$1001&lt;&gt;""))&gt;0,"확인필요(입력누락)",IF(SUMPRODUCT((실물목록!$P$2:$P$1001&lt;&gt;"")*ISNUMBER(SEARCH(실물목록!$P$2:$P$1001,I1221))*(실물목록!$Q$2:$Q$1001&lt;&gt;"")*ISNUMBER(SEARCH(실물목록!$Q$2:$Q$1001,I1221))*(실물목록!$R$2:$R$1001="")*(실물목록!$O$2:$O$1001&lt;&gt;""))&gt;0,"확인필요(연도다름)","실물 없음")))))</f>
      </c>
      <c r="G1221" t="n" s="16">
        <f aca="0">IF(B1221="","",SUMPRODUCT((실물목록!$P$2:$P$1001&lt;&gt;"")*ISNUMBER(SEARCH(실물목록!$P$2:$P$1001,I1221))*(실물목록!$Q$2:$Q$1001&lt;&gt;"")*ISNUMBER(SEARCH(실물목록!$Q$2:$Q$1001,I1221))*(실물목록!$R$2:$R$1001="")*(실물목록!$O$2:$O$1001&lt;&gt;"")*(실물목록!$O$2:$O$1001=H1221)))</f>
      </c>
      <c r="H1221" t="str">
        <f>IFERROR(IF(AND(LEN(SUBSTITUTE(SUBSTITUTE(SUBSTITUTE(TRIM(A1221&amp;""),CHAR(160),"")," ",""),"년",""))=4,VALUE(SUBSTITUTE(SUBSTITUTE(SUBSTITUTE(TRIM(A1221&amp;""),CHAR(160),"")," ",""),"년",""))&gt;=1900,VALUE(SUBSTITUTE(SUBSTITUTE(SUBSTITUTE(TRIM(A1221&amp;""),CHAR(160),"")," ",""),"년",""))&lt;=2099,TEXT(VALUE(SUBSTITUTE(SUBSTITUTE(SUBSTITUTE(TRIM(A1221&amp;""),CHAR(160),"")," ",""),"년","")),"0000")=SUBSTITUTE(SUBSTITUTE(SUBSTITUTE(TRIM(A1221&amp;""),CHAR(160),"")," ",""),"년","")),SUBSTITUTE(SUBSTITUTE(SUBSTITUTE(TRIM(A1221&amp;""),CHAR(160),"")," ",""),"년",""),""),"")</f>
      </c>
      <c r="I1221" t="str">
        <f>SUBSTITUTE(SUBSTITUTE(SUBSTITUTE(SUBSTITUTE(SUBSTITUTE(TRIM(B1221&amp;""),CHAR(160),"")," ",""),"초등학교","초"),"중학교","중"),"고등학교","고")</f>
      </c>
    </row>
    <row r="1222" customFormat="false" ht="15" hidden="false" customHeight="false" outlineLevel="0" collapsed="false">
      <c r="A1222" s="8"/>
      <c r="B1222" s="8"/>
      <c r="C1222" s="8"/>
      <c r="D1222" s="8"/>
      <c r="E1222" s="8"/>
      <c r="F1222" t="str" s="15">
        <f aca="0">IF(B1222="","",IF(H1222="","확인필요(입력누락)",IF(SUMPRODUCT((실물목록!$P$2:$P$1001&lt;&gt;"")*ISNUMBER(SEARCH(실물목록!$P$2:$P$1001,I1222))*(실물목록!$Q$2:$Q$1001&lt;&gt;"")*ISNUMBER(SEARCH(실물목록!$Q$2:$Q$1001,I1222))*(실물목록!$R$2:$R$1001="")*(실물목록!$O$2:$O$1001&lt;&gt;"")*(실물목록!$O$2:$O$1001=H1222))&gt;0,"실물 있음",IF(SUMPRODUCT((실물목록!$P$2:$P$1001&lt;&gt;"")*ISNUMBER(SEARCH(실물목록!$P$2:$P$1001,I1222))*(실물목록!$R$2:$R$1001&lt;&gt;""))&gt;0,"확인필요(입력누락)",IF(SUMPRODUCT((실물목록!$P$2:$P$1001&lt;&gt;"")*ISNUMBER(SEARCH(실물목록!$P$2:$P$1001,I1222))*(실물목록!$Q$2:$Q$1001&lt;&gt;"")*ISNUMBER(SEARCH(실물목록!$Q$2:$Q$1001,I1222))*(실물목록!$R$2:$R$1001="")*(실물목록!$O$2:$O$1001&lt;&gt;""))&gt;0,"확인필요(연도다름)","실물 없음")))))</f>
      </c>
      <c r="G1222" t="n" s="16">
        <f aca="0">IF(B1222="","",SUMPRODUCT((실물목록!$P$2:$P$1001&lt;&gt;"")*ISNUMBER(SEARCH(실물목록!$P$2:$P$1001,I1222))*(실물목록!$Q$2:$Q$1001&lt;&gt;"")*ISNUMBER(SEARCH(실물목록!$Q$2:$Q$1001,I1222))*(실물목록!$R$2:$R$1001="")*(실물목록!$O$2:$O$1001&lt;&gt;"")*(실물목록!$O$2:$O$1001=H1222)))</f>
      </c>
      <c r="H1222" t="str">
        <f>IFERROR(IF(AND(LEN(SUBSTITUTE(SUBSTITUTE(SUBSTITUTE(TRIM(A1222&amp;""),CHAR(160),"")," ",""),"년",""))=4,VALUE(SUBSTITUTE(SUBSTITUTE(SUBSTITUTE(TRIM(A1222&amp;""),CHAR(160),"")," ",""),"년",""))&gt;=1900,VALUE(SUBSTITUTE(SUBSTITUTE(SUBSTITUTE(TRIM(A1222&amp;""),CHAR(160),"")," ",""),"년",""))&lt;=2099,TEXT(VALUE(SUBSTITUTE(SUBSTITUTE(SUBSTITUTE(TRIM(A1222&amp;""),CHAR(160),"")," ",""),"년","")),"0000")=SUBSTITUTE(SUBSTITUTE(SUBSTITUTE(TRIM(A1222&amp;""),CHAR(160),"")," ",""),"년","")),SUBSTITUTE(SUBSTITUTE(SUBSTITUTE(TRIM(A1222&amp;""),CHAR(160),"")," ",""),"년",""),""),"")</f>
      </c>
      <c r="I1222" t="str">
        <f>SUBSTITUTE(SUBSTITUTE(SUBSTITUTE(SUBSTITUTE(SUBSTITUTE(TRIM(B1222&amp;""),CHAR(160),"")," ",""),"초등학교","초"),"중학교","중"),"고등학교","고")</f>
      </c>
    </row>
    <row r="1223" customFormat="false" ht="15" hidden="false" customHeight="false" outlineLevel="0" collapsed="false">
      <c r="A1223" s="8"/>
      <c r="B1223" s="8"/>
      <c r="C1223" s="8"/>
      <c r="D1223" s="8"/>
      <c r="E1223" s="8"/>
      <c r="F1223" t="str" s="15">
        <f aca="0">IF(B1223="","",IF(H1223="","확인필요(입력누락)",IF(SUMPRODUCT((실물목록!$P$2:$P$1001&lt;&gt;"")*ISNUMBER(SEARCH(실물목록!$P$2:$P$1001,I1223))*(실물목록!$Q$2:$Q$1001&lt;&gt;"")*ISNUMBER(SEARCH(실물목록!$Q$2:$Q$1001,I1223))*(실물목록!$R$2:$R$1001="")*(실물목록!$O$2:$O$1001&lt;&gt;"")*(실물목록!$O$2:$O$1001=H1223))&gt;0,"실물 있음",IF(SUMPRODUCT((실물목록!$P$2:$P$1001&lt;&gt;"")*ISNUMBER(SEARCH(실물목록!$P$2:$P$1001,I1223))*(실물목록!$R$2:$R$1001&lt;&gt;""))&gt;0,"확인필요(입력누락)",IF(SUMPRODUCT((실물목록!$P$2:$P$1001&lt;&gt;"")*ISNUMBER(SEARCH(실물목록!$P$2:$P$1001,I1223))*(실물목록!$Q$2:$Q$1001&lt;&gt;"")*ISNUMBER(SEARCH(실물목록!$Q$2:$Q$1001,I1223))*(실물목록!$R$2:$R$1001="")*(실물목록!$O$2:$O$1001&lt;&gt;""))&gt;0,"확인필요(연도다름)","실물 없음")))))</f>
      </c>
      <c r="G1223" t="n" s="16">
        <f aca="0">IF(B1223="","",SUMPRODUCT((실물목록!$P$2:$P$1001&lt;&gt;"")*ISNUMBER(SEARCH(실물목록!$P$2:$P$1001,I1223))*(실물목록!$Q$2:$Q$1001&lt;&gt;"")*ISNUMBER(SEARCH(실물목록!$Q$2:$Q$1001,I1223))*(실물목록!$R$2:$R$1001="")*(실물목록!$O$2:$O$1001&lt;&gt;"")*(실물목록!$O$2:$O$1001=H1223)))</f>
      </c>
      <c r="H1223" t="str">
        <f>IFERROR(IF(AND(LEN(SUBSTITUTE(SUBSTITUTE(SUBSTITUTE(TRIM(A1223&amp;""),CHAR(160),"")," ",""),"년",""))=4,VALUE(SUBSTITUTE(SUBSTITUTE(SUBSTITUTE(TRIM(A1223&amp;""),CHAR(160),"")," ",""),"년",""))&gt;=1900,VALUE(SUBSTITUTE(SUBSTITUTE(SUBSTITUTE(TRIM(A1223&amp;""),CHAR(160),"")," ",""),"년",""))&lt;=2099,TEXT(VALUE(SUBSTITUTE(SUBSTITUTE(SUBSTITUTE(TRIM(A1223&amp;""),CHAR(160),"")," ",""),"년","")),"0000")=SUBSTITUTE(SUBSTITUTE(SUBSTITUTE(TRIM(A1223&amp;""),CHAR(160),"")," ",""),"년","")),SUBSTITUTE(SUBSTITUTE(SUBSTITUTE(TRIM(A1223&amp;""),CHAR(160),"")," ",""),"년",""),""),"")</f>
      </c>
      <c r="I1223" t="str">
        <f>SUBSTITUTE(SUBSTITUTE(SUBSTITUTE(SUBSTITUTE(SUBSTITUTE(TRIM(B1223&amp;""),CHAR(160),"")," ",""),"초등학교","초"),"중학교","중"),"고등학교","고")</f>
      </c>
    </row>
    <row r="1224" customFormat="false" ht="15" hidden="false" customHeight="false" outlineLevel="0" collapsed="false">
      <c r="A1224" s="8"/>
      <c r="B1224" s="8"/>
      <c r="C1224" s="8"/>
      <c r="D1224" s="8"/>
      <c r="E1224" s="8"/>
      <c r="F1224" t="str" s="15">
        <f aca="0">IF(B1224="","",IF(H1224="","확인필요(입력누락)",IF(SUMPRODUCT((실물목록!$P$2:$P$1001&lt;&gt;"")*ISNUMBER(SEARCH(실물목록!$P$2:$P$1001,I1224))*(실물목록!$Q$2:$Q$1001&lt;&gt;"")*ISNUMBER(SEARCH(실물목록!$Q$2:$Q$1001,I1224))*(실물목록!$R$2:$R$1001="")*(실물목록!$O$2:$O$1001&lt;&gt;"")*(실물목록!$O$2:$O$1001=H1224))&gt;0,"실물 있음",IF(SUMPRODUCT((실물목록!$P$2:$P$1001&lt;&gt;"")*ISNUMBER(SEARCH(실물목록!$P$2:$P$1001,I1224))*(실물목록!$R$2:$R$1001&lt;&gt;""))&gt;0,"확인필요(입력누락)",IF(SUMPRODUCT((실물목록!$P$2:$P$1001&lt;&gt;"")*ISNUMBER(SEARCH(실물목록!$P$2:$P$1001,I1224))*(실물목록!$Q$2:$Q$1001&lt;&gt;"")*ISNUMBER(SEARCH(실물목록!$Q$2:$Q$1001,I1224))*(실물목록!$R$2:$R$1001="")*(실물목록!$O$2:$O$1001&lt;&gt;""))&gt;0,"확인필요(연도다름)","실물 없음")))))</f>
      </c>
      <c r="G1224" t="n" s="16">
        <f aca="0">IF(B1224="","",SUMPRODUCT((실물목록!$P$2:$P$1001&lt;&gt;"")*ISNUMBER(SEARCH(실물목록!$P$2:$P$1001,I1224))*(실물목록!$Q$2:$Q$1001&lt;&gt;"")*ISNUMBER(SEARCH(실물목록!$Q$2:$Q$1001,I1224))*(실물목록!$R$2:$R$1001="")*(실물목록!$O$2:$O$1001&lt;&gt;"")*(실물목록!$O$2:$O$1001=H1224)))</f>
      </c>
      <c r="H1224" t="str">
        <f>IFERROR(IF(AND(LEN(SUBSTITUTE(SUBSTITUTE(SUBSTITUTE(TRIM(A1224&amp;""),CHAR(160),"")," ",""),"년",""))=4,VALUE(SUBSTITUTE(SUBSTITUTE(SUBSTITUTE(TRIM(A1224&amp;""),CHAR(160),"")," ",""),"년",""))&gt;=1900,VALUE(SUBSTITUTE(SUBSTITUTE(SUBSTITUTE(TRIM(A1224&amp;""),CHAR(160),"")," ",""),"년",""))&lt;=2099,TEXT(VALUE(SUBSTITUTE(SUBSTITUTE(SUBSTITUTE(TRIM(A1224&amp;""),CHAR(160),"")," ",""),"년","")),"0000")=SUBSTITUTE(SUBSTITUTE(SUBSTITUTE(TRIM(A1224&amp;""),CHAR(160),"")," ",""),"년","")),SUBSTITUTE(SUBSTITUTE(SUBSTITUTE(TRIM(A1224&amp;""),CHAR(160),"")," ",""),"년",""),""),"")</f>
      </c>
      <c r="I1224" t="str">
        <f>SUBSTITUTE(SUBSTITUTE(SUBSTITUTE(SUBSTITUTE(SUBSTITUTE(TRIM(B1224&amp;""),CHAR(160),"")," ",""),"초등학교","초"),"중학교","중"),"고등학교","고")</f>
      </c>
    </row>
    <row r="1225" customFormat="false" ht="15" hidden="false" customHeight="false" outlineLevel="0" collapsed="false">
      <c r="A1225" s="8"/>
      <c r="B1225" s="8"/>
      <c r="C1225" s="8"/>
      <c r="D1225" s="8"/>
      <c r="E1225" s="8"/>
      <c r="F1225" t="str" s="15">
        <f aca="0">IF(B1225="","",IF(H1225="","확인필요(입력누락)",IF(SUMPRODUCT((실물목록!$P$2:$P$1001&lt;&gt;"")*ISNUMBER(SEARCH(실물목록!$P$2:$P$1001,I1225))*(실물목록!$Q$2:$Q$1001&lt;&gt;"")*ISNUMBER(SEARCH(실물목록!$Q$2:$Q$1001,I1225))*(실물목록!$R$2:$R$1001="")*(실물목록!$O$2:$O$1001&lt;&gt;"")*(실물목록!$O$2:$O$1001=H1225))&gt;0,"실물 있음",IF(SUMPRODUCT((실물목록!$P$2:$P$1001&lt;&gt;"")*ISNUMBER(SEARCH(실물목록!$P$2:$P$1001,I1225))*(실물목록!$R$2:$R$1001&lt;&gt;""))&gt;0,"확인필요(입력누락)",IF(SUMPRODUCT((실물목록!$P$2:$P$1001&lt;&gt;"")*ISNUMBER(SEARCH(실물목록!$P$2:$P$1001,I1225))*(실물목록!$Q$2:$Q$1001&lt;&gt;"")*ISNUMBER(SEARCH(실물목록!$Q$2:$Q$1001,I1225))*(실물목록!$R$2:$R$1001="")*(실물목록!$O$2:$O$1001&lt;&gt;""))&gt;0,"확인필요(연도다름)","실물 없음")))))</f>
      </c>
      <c r="G1225" t="n" s="16">
        <f aca="0">IF(B1225="","",SUMPRODUCT((실물목록!$P$2:$P$1001&lt;&gt;"")*ISNUMBER(SEARCH(실물목록!$P$2:$P$1001,I1225))*(실물목록!$Q$2:$Q$1001&lt;&gt;"")*ISNUMBER(SEARCH(실물목록!$Q$2:$Q$1001,I1225))*(실물목록!$R$2:$R$1001="")*(실물목록!$O$2:$O$1001&lt;&gt;"")*(실물목록!$O$2:$O$1001=H1225)))</f>
      </c>
      <c r="H1225" t="str">
        <f>IFERROR(IF(AND(LEN(SUBSTITUTE(SUBSTITUTE(SUBSTITUTE(TRIM(A1225&amp;""),CHAR(160),"")," ",""),"년",""))=4,VALUE(SUBSTITUTE(SUBSTITUTE(SUBSTITUTE(TRIM(A1225&amp;""),CHAR(160),"")," ",""),"년",""))&gt;=1900,VALUE(SUBSTITUTE(SUBSTITUTE(SUBSTITUTE(TRIM(A1225&amp;""),CHAR(160),"")," ",""),"년",""))&lt;=2099,TEXT(VALUE(SUBSTITUTE(SUBSTITUTE(SUBSTITUTE(TRIM(A1225&amp;""),CHAR(160),"")," ",""),"년","")),"0000")=SUBSTITUTE(SUBSTITUTE(SUBSTITUTE(TRIM(A1225&amp;""),CHAR(160),"")," ",""),"년","")),SUBSTITUTE(SUBSTITUTE(SUBSTITUTE(TRIM(A1225&amp;""),CHAR(160),"")," ",""),"년",""),""),"")</f>
      </c>
      <c r="I1225" t="str">
        <f>SUBSTITUTE(SUBSTITUTE(SUBSTITUTE(SUBSTITUTE(SUBSTITUTE(TRIM(B1225&amp;""),CHAR(160),"")," ",""),"초등학교","초"),"중학교","중"),"고등학교","고")</f>
      </c>
    </row>
    <row r="1226" customFormat="false" ht="15" hidden="false" customHeight="false" outlineLevel="0" collapsed="false">
      <c r="A1226" s="8"/>
      <c r="B1226" s="8"/>
      <c r="C1226" s="8"/>
      <c r="D1226" s="8"/>
      <c r="E1226" s="8"/>
      <c r="F1226" t="str" s="15">
        <f aca="0">IF(B1226="","",IF(H1226="","확인필요(입력누락)",IF(SUMPRODUCT((실물목록!$P$2:$P$1001&lt;&gt;"")*ISNUMBER(SEARCH(실물목록!$P$2:$P$1001,I1226))*(실물목록!$Q$2:$Q$1001&lt;&gt;"")*ISNUMBER(SEARCH(실물목록!$Q$2:$Q$1001,I1226))*(실물목록!$R$2:$R$1001="")*(실물목록!$O$2:$O$1001&lt;&gt;"")*(실물목록!$O$2:$O$1001=H1226))&gt;0,"실물 있음",IF(SUMPRODUCT((실물목록!$P$2:$P$1001&lt;&gt;"")*ISNUMBER(SEARCH(실물목록!$P$2:$P$1001,I1226))*(실물목록!$R$2:$R$1001&lt;&gt;""))&gt;0,"확인필요(입력누락)",IF(SUMPRODUCT((실물목록!$P$2:$P$1001&lt;&gt;"")*ISNUMBER(SEARCH(실물목록!$P$2:$P$1001,I1226))*(실물목록!$Q$2:$Q$1001&lt;&gt;"")*ISNUMBER(SEARCH(실물목록!$Q$2:$Q$1001,I1226))*(실물목록!$R$2:$R$1001="")*(실물목록!$O$2:$O$1001&lt;&gt;""))&gt;0,"확인필요(연도다름)","실물 없음")))))</f>
      </c>
      <c r="G1226" t="n" s="16">
        <f aca="0">IF(B1226="","",SUMPRODUCT((실물목록!$P$2:$P$1001&lt;&gt;"")*ISNUMBER(SEARCH(실물목록!$P$2:$P$1001,I1226))*(실물목록!$Q$2:$Q$1001&lt;&gt;"")*ISNUMBER(SEARCH(실물목록!$Q$2:$Q$1001,I1226))*(실물목록!$R$2:$R$1001="")*(실물목록!$O$2:$O$1001&lt;&gt;"")*(실물목록!$O$2:$O$1001=H1226)))</f>
      </c>
      <c r="H1226" t="str">
        <f>IFERROR(IF(AND(LEN(SUBSTITUTE(SUBSTITUTE(SUBSTITUTE(TRIM(A1226&amp;""),CHAR(160),"")," ",""),"년",""))=4,VALUE(SUBSTITUTE(SUBSTITUTE(SUBSTITUTE(TRIM(A1226&amp;""),CHAR(160),"")," ",""),"년",""))&gt;=1900,VALUE(SUBSTITUTE(SUBSTITUTE(SUBSTITUTE(TRIM(A1226&amp;""),CHAR(160),"")," ",""),"년",""))&lt;=2099,TEXT(VALUE(SUBSTITUTE(SUBSTITUTE(SUBSTITUTE(TRIM(A1226&amp;""),CHAR(160),"")," ",""),"년","")),"0000")=SUBSTITUTE(SUBSTITUTE(SUBSTITUTE(TRIM(A1226&amp;""),CHAR(160),"")," ",""),"년","")),SUBSTITUTE(SUBSTITUTE(SUBSTITUTE(TRIM(A1226&amp;""),CHAR(160),"")," ",""),"년",""),""),"")</f>
      </c>
      <c r="I1226" t="str">
        <f>SUBSTITUTE(SUBSTITUTE(SUBSTITUTE(SUBSTITUTE(SUBSTITUTE(TRIM(B1226&amp;""),CHAR(160),"")," ",""),"초등학교","초"),"중학교","중"),"고등학교","고")</f>
      </c>
    </row>
    <row r="1227" customFormat="false" ht="15" hidden="false" customHeight="false" outlineLevel="0" collapsed="false">
      <c r="A1227" s="8"/>
      <c r="B1227" s="8"/>
      <c r="C1227" s="8"/>
      <c r="D1227" s="8"/>
      <c r="E1227" s="8"/>
      <c r="F1227" t="str" s="15">
        <f aca="0">IF(B1227="","",IF(H1227="","확인필요(입력누락)",IF(SUMPRODUCT((실물목록!$P$2:$P$1001&lt;&gt;"")*ISNUMBER(SEARCH(실물목록!$P$2:$P$1001,I1227))*(실물목록!$Q$2:$Q$1001&lt;&gt;"")*ISNUMBER(SEARCH(실물목록!$Q$2:$Q$1001,I1227))*(실물목록!$R$2:$R$1001="")*(실물목록!$O$2:$O$1001&lt;&gt;"")*(실물목록!$O$2:$O$1001=H1227))&gt;0,"실물 있음",IF(SUMPRODUCT((실물목록!$P$2:$P$1001&lt;&gt;"")*ISNUMBER(SEARCH(실물목록!$P$2:$P$1001,I1227))*(실물목록!$R$2:$R$1001&lt;&gt;""))&gt;0,"확인필요(입력누락)",IF(SUMPRODUCT((실물목록!$P$2:$P$1001&lt;&gt;"")*ISNUMBER(SEARCH(실물목록!$P$2:$P$1001,I1227))*(실물목록!$Q$2:$Q$1001&lt;&gt;"")*ISNUMBER(SEARCH(실물목록!$Q$2:$Q$1001,I1227))*(실물목록!$R$2:$R$1001="")*(실물목록!$O$2:$O$1001&lt;&gt;""))&gt;0,"확인필요(연도다름)","실물 없음")))))</f>
      </c>
      <c r="G1227" t="n" s="16">
        <f aca="0">IF(B1227="","",SUMPRODUCT((실물목록!$P$2:$P$1001&lt;&gt;"")*ISNUMBER(SEARCH(실물목록!$P$2:$P$1001,I1227))*(실물목록!$Q$2:$Q$1001&lt;&gt;"")*ISNUMBER(SEARCH(실물목록!$Q$2:$Q$1001,I1227))*(실물목록!$R$2:$R$1001="")*(실물목록!$O$2:$O$1001&lt;&gt;"")*(실물목록!$O$2:$O$1001=H1227)))</f>
      </c>
      <c r="H1227" t="str">
        <f>IFERROR(IF(AND(LEN(SUBSTITUTE(SUBSTITUTE(SUBSTITUTE(TRIM(A1227&amp;""),CHAR(160),"")," ",""),"년",""))=4,VALUE(SUBSTITUTE(SUBSTITUTE(SUBSTITUTE(TRIM(A1227&amp;""),CHAR(160),"")," ",""),"년",""))&gt;=1900,VALUE(SUBSTITUTE(SUBSTITUTE(SUBSTITUTE(TRIM(A1227&amp;""),CHAR(160),"")," ",""),"년",""))&lt;=2099,TEXT(VALUE(SUBSTITUTE(SUBSTITUTE(SUBSTITUTE(TRIM(A1227&amp;""),CHAR(160),"")," ",""),"년","")),"0000")=SUBSTITUTE(SUBSTITUTE(SUBSTITUTE(TRIM(A1227&amp;""),CHAR(160),"")," ",""),"년","")),SUBSTITUTE(SUBSTITUTE(SUBSTITUTE(TRIM(A1227&amp;""),CHAR(160),"")," ",""),"년",""),""),"")</f>
      </c>
      <c r="I1227" t="str">
        <f>SUBSTITUTE(SUBSTITUTE(SUBSTITUTE(SUBSTITUTE(SUBSTITUTE(TRIM(B1227&amp;""),CHAR(160),"")," ",""),"초등학교","초"),"중학교","중"),"고등학교","고")</f>
      </c>
    </row>
    <row r="1228" customFormat="false" ht="15" hidden="false" customHeight="false" outlineLevel="0" collapsed="false">
      <c r="A1228" s="8"/>
      <c r="B1228" s="8"/>
      <c r="C1228" s="8"/>
      <c r="D1228" s="8"/>
      <c r="E1228" s="8"/>
      <c r="F1228" t="str" s="15">
        <f aca="0">IF(B1228="","",IF(H1228="","확인필요(입력누락)",IF(SUMPRODUCT((실물목록!$P$2:$P$1001&lt;&gt;"")*ISNUMBER(SEARCH(실물목록!$P$2:$P$1001,I1228))*(실물목록!$Q$2:$Q$1001&lt;&gt;"")*ISNUMBER(SEARCH(실물목록!$Q$2:$Q$1001,I1228))*(실물목록!$R$2:$R$1001="")*(실물목록!$O$2:$O$1001&lt;&gt;"")*(실물목록!$O$2:$O$1001=H1228))&gt;0,"실물 있음",IF(SUMPRODUCT((실물목록!$P$2:$P$1001&lt;&gt;"")*ISNUMBER(SEARCH(실물목록!$P$2:$P$1001,I1228))*(실물목록!$R$2:$R$1001&lt;&gt;""))&gt;0,"확인필요(입력누락)",IF(SUMPRODUCT((실물목록!$P$2:$P$1001&lt;&gt;"")*ISNUMBER(SEARCH(실물목록!$P$2:$P$1001,I1228))*(실물목록!$Q$2:$Q$1001&lt;&gt;"")*ISNUMBER(SEARCH(실물목록!$Q$2:$Q$1001,I1228))*(실물목록!$R$2:$R$1001="")*(실물목록!$O$2:$O$1001&lt;&gt;""))&gt;0,"확인필요(연도다름)","실물 없음")))))</f>
      </c>
      <c r="G1228" t="n" s="16">
        <f aca="0">IF(B1228="","",SUMPRODUCT((실물목록!$P$2:$P$1001&lt;&gt;"")*ISNUMBER(SEARCH(실물목록!$P$2:$P$1001,I1228))*(실물목록!$Q$2:$Q$1001&lt;&gt;"")*ISNUMBER(SEARCH(실물목록!$Q$2:$Q$1001,I1228))*(실물목록!$R$2:$R$1001="")*(실물목록!$O$2:$O$1001&lt;&gt;"")*(실물목록!$O$2:$O$1001=H1228)))</f>
      </c>
      <c r="H1228" t="str">
        <f>IFERROR(IF(AND(LEN(SUBSTITUTE(SUBSTITUTE(SUBSTITUTE(TRIM(A1228&amp;""),CHAR(160),"")," ",""),"년",""))=4,VALUE(SUBSTITUTE(SUBSTITUTE(SUBSTITUTE(TRIM(A1228&amp;""),CHAR(160),"")," ",""),"년",""))&gt;=1900,VALUE(SUBSTITUTE(SUBSTITUTE(SUBSTITUTE(TRIM(A1228&amp;""),CHAR(160),"")," ",""),"년",""))&lt;=2099,TEXT(VALUE(SUBSTITUTE(SUBSTITUTE(SUBSTITUTE(TRIM(A1228&amp;""),CHAR(160),"")," ",""),"년","")),"0000")=SUBSTITUTE(SUBSTITUTE(SUBSTITUTE(TRIM(A1228&amp;""),CHAR(160),"")," ",""),"년","")),SUBSTITUTE(SUBSTITUTE(SUBSTITUTE(TRIM(A1228&amp;""),CHAR(160),"")," ",""),"년",""),""),"")</f>
      </c>
      <c r="I1228" t="str">
        <f>SUBSTITUTE(SUBSTITUTE(SUBSTITUTE(SUBSTITUTE(SUBSTITUTE(TRIM(B1228&amp;""),CHAR(160),"")," ",""),"초등학교","초"),"중학교","중"),"고등학교","고")</f>
      </c>
    </row>
    <row r="1229" customFormat="false" ht="15" hidden="false" customHeight="false" outlineLevel="0" collapsed="false">
      <c r="A1229" s="8"/>
      <c r="B1229" s="8"/>
      <c r="C1229" s="8"/>
      <c r="D1229" s="8"/>
      <c r="E1229" s="8"/>
      <c r="F1229" t="str" s="15">
        <f aca="0">IF(B1229="","",IF(H1229="","확인필요(입력누락)",IF(SUMPRODUCT((실물목록!$P$2:$P$1001&lt;&gt;"")*ISNUMBER(SEARCH(실물목록!$P$2:$P$1001,I1229))*(실물목록!$Q$2:$Q$1001&lt;&gt;"")*ISNUMBER(SEARCH(실물목록!$Q$2:$Q$1001,I1229))*(실물목록!$R$2:$R$1001="")*(실물목록!$O$2:$O$1001&lt;&gt;"")*(실물목록!$O$2:$O$1001=H1229))&gt;0,"실물 있음",IF(SUMPRODUCT((실물목록!$P$2:$P$1001&lt;&gt;"")*ISNUMBER(SEARCH(실물목록!$P$2:$P$1001,I1229))*(실물목록!$R$2:$R$1001&lt;&gt;""))&gt;0,"확인필요(입력누락)",IF(SUMPRODUCT((실물목록!$P$2:$P$1001&lt;&gt;"")*ISNUMBER(SEARCH(실물목록!$P$2:$P$1001,I1229))*(실물목록!$Q$2:$Q$1001&lt;&gt;"")*ISNUMBER(SEARCH(실물목록!$Q$2:$Q$1001,I1229))*(실물목록!$R$2:$R$1001="")*(실물목록!$O$2:$O$1001&lt;&gt;""))&gt;0,"확인필요(연도다름)","실물 없음")))))</f>
      </c>
      <c r="G1229" t="n" s="16">
        <f aca="0">IF(B1229="","",SUMPRODUCT((실물목록!$P$2:$P$1001&lt;&gt;"")*ISNUMBER(SEARCH(실물목록!$P$2:$P$1001,I1229))*(실물목록!$Q$2:$Q$1001&lt;&gt;"")*ISNUMBER(SEARCH(실물목록!$Q$2:$Q$1001,I1229))*(실물목록!$R$2:$R$1001="")*(실물목록!$O$2:$O$1001&lt;&gt;"")*(실물목록!$O$2:$O$1001=H1229)))</f>
      </c>
      <c r="H1229" t="str">
        <f>IFERROR(IF(AND(LEN(SUBSTITUTE(SUBSTITUTE(SUBSTITUTE(TRIM(A1229&amp;""),CHAR(160),"")," ",""),"년",""))=4,VALUE(SUBSTITUTE(SUBSTITUTE(SUBSTITUTE(TRIM(A1229&amp;""),CHAR(160),"")," ",""),"년",""))&gt;=1900,VALUE(SUBSTITUTE(SUBSTITUTE(SUBSTITUTE(TRIM(A1229&amp;""),CHAR(160),"")," ",""),"년",""))&lt;=2099,TEXT(VALUE(SUBSTITUTE(SUBSTITUTE(SUBSTITUTE(TRIM(A1229&amp;""),CHAR(160),"")," ",""),"년","")),"0000")=SUBSTITUTE(SUBSTITUTE(SUBSTITUTE(TRIM(A1229&amp;""),CHAR(160),"")," ",""),"년","")),SUBSTITUTE(SUBSTITUTE(SUBSTITUTE(TRIM(A1229&amp;""),CHAR(160),"")," ",""),"년",""),""),"")</f>
      </c>
      <c r="I1229" t="str">
        <f>SUBSTITUTE(SUBSTITUTE(SUBSTITUTE(SUBSTITUTE(SUBSTITUTE(TRIM(B1229&amp;""),CHAR(160),"")," ",""),"초등학교","초"),"중학교","중"),"고등학교","고")</f>
      </c>
    </row>
    <row r="1230" customFormat="false" ht="15" hidden="false" customHeight="false" outlineLevel="0" collapsed="false">
      <c r="A1230" s="8"/>
      <c r="B1230" s="8"/>
      <c r="C1230" s="8"/>
      <c r="D1230" s="8"/>
      <c r="E1230" s="8"/>
      <c r="F1230" t="str" s="15">
        <f aca="0">IF(B1230="","",IF(H1230="","확인필요(입력누락)",IF(SUMPRODUCT((실물목록!$P$2:$P$1001&lt;&gt;"")*ISNUMBER(SEARCH(실물목록!$P$2:$P$1001,I1230))*(실물목록!$Q$2:$Q$1001&lt;&gt;"")*ISNUMBER(SEARCH(실물목록!$Q$2:$Q$1001,I1230))*(실물목록!$R$2:$R$1001="")*(실물목록!$O$2:$O$1001&lt;&gt;"")*(실물목록!$O$2:$O$1001=H1230))&gt;0,"실물 있음",IF(SUMPRODUCT((실물목록!$P$2:$P$1001&lt;&gt;"")*ISNUMBER(SEARCH(실물목록!$P$2:$P$1001,I1230))*(실물목록!$R$2:$R$1001&lt;&gt;""))&gt;0,"확인필요(입력누락)",IF(SUMPRODUCT((실물목록!$P$2:$P$1001&lt;&gt;"")*ISNUMBER(SEARCH(실물목록!$P$2:$P$1001,I1230))*(실물목록!$Q$2:$Q$1001&lt;&gt;"")*ISNUMBER(SEARCH(실물목록!$Q$2:$Q$1001,I1230))*(실물목록!$R$2:$R$1001="")*(실물목록!$O$2:$O$1001&lt;&gt;""))&gt;0,"확인필요(연도다름)","실물 없음")))))</f>
      </c>
      <c r="G1230" t="n" s="16">
        <f aca="0">IF(B1230="","",SUMPRODUCT((실물목록!$P$2:$P$1001&lt;&gt;"")*ISNUMBER(SEARCH(실물목록!$P$2:$P$1001,I1230))*(실물목록!$Q$2:$Q$1001&lt;&gt;"")*ISNUMBER(SEARCH(실물목록!$Q$2:$Q$1001,I1230))*(실물목록!$R$2:$R$1001="")*(실물목록!$O$2:$O$1001&lt;&gt;"")*(실물목록!$O$2:$O$1001=H1230)))</f>
      </c>
      <c r="H1230" t="str">
        <f>IFERROR(IF(AND(LEN(SUBSTITUTE(SUBSTITUTE(SUBSTITUTE(TRIM(A1230&amp;""),CHAR(160),"")," ",""),"년",""))=4,VALUE(SUBSTITUTE(SUBSTITUTE(SUBSTITUTE(TRIM(A1230&amp;""),CHAR(160),"")," ",""),"년",""))&gt;=1900,VALUE(SUBSTITUTE(SUBSTITUTE(SUBSTITUTE(TRIM(A1230&amp;""),CHAR(160),"")," ",""),"년",""))&lt;=2099,TEXT(VALUE(SUBSTITUTE(SUBSTITUTE(SUBSTITUTE(TRIM(A1230&amp;""),CHAR(160),"")," ",""),"년","")),"0000")=SUBSTITUTE(SUBSTITUTE(SUBSTITUTE(TRIM(A1230&amp;""),CHAR(160),"")," ",""),"년","")),SUBSTITUTE(SUBSTITUTE(SUBSTITUTE(TRIM(A1230&amp;""),CHAR(160),"")," ",""),"년",""),""),"")</f>
      </c>
      <c r="I1230" t="str">
        <f>SUBSTITUTE(SUBSTITUTE(SUBSTITUTE(SUBSTITUTE(SUBSTITUTE(TRIM(B1230&amp;""),CHAR(160),"")," ",""),"초등학교","초"),"중학교","중"),"고등학교","고")</f>
      </c>
    </row>
    <row r="1231" customFormat="false" ht="15" hidden="false" customHeight="false" outlineLevel="0" collapsed="false">
      <c r="A1231" s="8"/>
      <c r="B1231" s="8"/>
      <c r="C1231" s="8"/>
      <c r="D1231" s="8"/>
      <c r="E1231" s="8"/>
      <c r="F1231" t="str" s="15">
        <f aca="0">IF(B1231="","",IF(H1231="","확인필요(입력누락)",IF(SUMPRODUCT((실물목록!$P$2:$P$1001&lt;&gt;"")*ISNUMBER(SEARCH(실물목록!$P$2:$P$1001,I1231))*(실물목록!$Q$2:$Q$1001&lt;&gt;"")*ISNUMBER(SEARCH(실물목록!$Q$2:$Q$1001,I1231))*(실물목록!$R$2:$R$1001="")*(실물목록!$O$2:$O$1001&lt;&gt;"")*(실물목록!$O$2:$O$1001=H1231))&gt;0,"실물 있음",IF(SUMPRODUCT((실물목록!$P$2:$P$1001&lt;&gt;"")*ISNUMBER(SEARCH(실물목록!$P$2:$P$1001,I1231))*(실물목록!$R$2:$R$1001&lt;&gt;""))&gt;0,"확인필요(입력누락)",IF(SUMPRODUCT((실물목록!$P$2:$P$1001&lt;&gt;"")*ISNUMBER(SEARCH(실물목록!$P$2:$P$1001,I1231))*(실물목록!$Q$2:$Q$1001&lt;&gt;"")*ISNUMBER(SEARCH(실물목록!$Q$2:$Q$1001,I1231))*(실물목록!$R$2:$R$1001="")*(실물목록!$O$2:$O$1001&lt;&gt;""))&gt;0,"확인필요(연도다름)","실물 없음")))))</f>
      </c>
      <c r="G1231" t="n" s="16">
        <f aca="0">IF(B1231="","",SUMPRODUCT((실물목록!$P$2:$P$1001&lt;&gt;"")*ISNUMBER(SEARCH(실물목록!$P$2:$P$1001,I1231))*(실물목록!$Q$2:$Q$1001&lt;&gt;"")*ISNUMBER(SEARCH(실물목록!$Q$2:$Q$1001,I1231))*(실물목록!$R$2:$R$1001="")*(실물목록!$O$2:$O$1001&lt;&gt;"")*(실물목록!$O$2:$O$1001=H1231)))</f>
      </c>
      <c r="H1231" t="str">
        <f>IFERROR(IF(AND(LEN(SUBSTITUTE(SUBSTITUTE(SUBSTITUTE(TRIM(A1231&amp;""),CHAR(160),"")," ",""),"년",""))=4,VALUE(SUBSTITUTE(SUBSTITUTE(SUBSTITUTE(TRIM(A1231&amp;""),CHAR(160),"")," ",""),"년",""))&gt;=1900,VALUE(SUBSTITUTE(SUBSTITUTE(SUBSTITUTE(TRIM(A1231&amp;""),CHAR(160),"")," ",""),"년",""))&lt;=2099,TEXT(VALUE(SUBSTITUTE(SUBSTITUTE(SUBSTITUTE(TRIM(A1231&amp;""),CHAR(160),"")," ",""),"년","")),"0000")=SUBSTITUTE(SUBSTITUTE(SUBSTITUTE(TRIM(A1231&amp;""),CHAR(160),"")," ",""),"년","")),SUBSTITUTE(SUBSTITUTE(SUBSTITUTE(TRIM(A1231&amp;""),CHAR(160),"")," ",""),"년",""),""),"")</f>
      </c>
      <c r="I1231" t="str">
        <f>SUBSTITUTE(SUBSTITUTE(SUBSTITUTE(SUBSTITUTE(SUBSTITUTE(TRIM(B1231&amp;""),CHAR(160),"")," ",""),"초등학교","초"),"중학교","중"),"고등학교","고")</f>
      </c>
    </row>
    <row r="1232" customFormat="false" ht="15" hidden="false" customHeight="false" outlineLevel="0" collapsed="false">
      <c r="A1232" s="8"/>
      <c r="B1232" s="8"/>
      <c r="C1232" s="8"/>
      <c r="D1232" s="8"/>
      <c r="E1232" s="8"/>
      <c r="F1232" t="str" s="15">
        <f aca="0">IF(B1232="","",IF(H1232="","확인필요(입력누락)",IF(SUMPRODUCT((실물목록!$P$2:$P$1001&lt;&gt;"")*ISNUMBER(SEARCH(실물목록!$P$2:$P$1001,I1232))*(실물목록!$Q$2:$Q$1001&lt;&gt;"")*ISNUMBER(SEARCH(실물목록!$Q$2:$Q$1001,I1232))*(실물목록!$R$2:$R$1001="")*(실물목록!$O$2:$O$1001&lt;&gt;"")*(실물목록!$O$2:$O$1001=H1232))&gt;0,"실물 있음",IF(SUMPRODUCT((실물목록!$P$2:$P$1001&lt;&gt;"")*ISNUMBER(SEARCH(실물목록!$P$2:$P$1001,I1232))*(실물목록!$R$2:$R$1001&lt;&gt;""))&gt;0,"확인필요(입력누락)",IF(SUMPRODUCT((실물목록!$P$2:$P$1001&lt;&gt;"")*ISNUMBER(SEARCH(실물목록!$P$2:$P$1001,I1232))*(실물목록!$Q$2:$Q$1001&lt;&gt;"")*ISNUMBER(SEARCH(실물목록!$Q$2:$Q$1001,I1232))*(실물목록!$R$2:$R$1001="")*(실물목록!$O$2:$O$1001&lt;&gt;""))&gt;0,"확인필요(연도다름)","실물 없음")))))</f>
      </c>
      <c r="G1232" t="n" s="16">
        <f aca="0">IF(B1232="","",SUMPRODUCT((실물목록!$P$2:$P$1001&lt;&gt;"")*ISNUMBER(SEARCH(실물목록!$P$2:$P$1001,I1232))*(실물목록!$Q$2:$Q$1001&lt;&gt;"")*ISNUMBER(SEARCH(실물목록!$Q$2:$Q$1001,I1232))*(실물목록!$R$2:$R$1001="")*(실물목록!$O$2:$O$1001&lt;&gt;"")*(실물목록!$O$2:$O$1001=H1232)))</f>
      </c>
      <c r="H1232" t="str">
        <f>IFERROR(IF(AND(LEN(SUBSTITUTE(SUBSTITUTE(SUBSTITUTE(TRIM(A1232&amp;""),CHAR(160),"")," ",""),"년",""))=4,VALUE(SUBSTITUTE(SUBSTITUTE(SUBSTITUTE(TRIM(A1232&amp;""),CHAR(160),"")," ",""),"년",""))&gt;=1900,VALUE(SUBSTITUTE(SUBSTITUTE(SUBSTITUTE(TRIM(A1232&amp;""),CHAR(160),"")," ",""),"년",""))&lt;=2099,TEXT(VALUE(SUBSTITUTE(SUBSTITUTE(SUBSTITUTE(TRIM(A1232&amp;""),CHAR(160),"")," ",""),"년","")),"0000")=SUBSTITUTE(SUBSTITUTE(SUBSTITUTE(TRIM(A1232&amp;""),CHAR(160),"")," ",""),"년","")),SUBSTITUTE(SUBSTITUTE(SUBSTITUTE(TRIM(A1232&amp;""),CHAR(160),"")," ",""),"년",""),""),"")</f>
      </c>
      <c r="I1232" t="str">
        <f>SUBSTITUTE(SUBSTITUTE(SUBSTITUTE(SUBSTITUTE(SUBSTITUTE(TRIM(B1232&amp;""),CHAR(160),"")," ",""),"초등학교","초"),"중학교","중"),"고등학교","고")</f>
      </c>
    </row>
    <row r="1233" customFormat="false" ht="15" hidden="false" customHeight="false" outlineLevel="0" collapsed="false">
      <c r="A1233" s="8"/>
      <c r="B1233" s="8"/>
      <c r="C1233" s="8"/>
      <c r="D1233" s="8"/>
      <c r="E1233" s="8"/>
      <c r="F1233" t="str" s="15">
        <f aca="0">IF(B1233="","",IF(H1233="","확인필요(입력누락)",IF(SUMPRODUCT((실물목록!$P$2:$P$1001&lt;&gt;"")*ISNUMBER(SEARCH(실물목록!$P$2:$P$1001,I1233))*(실물목록!$Q$2:$Q$1001&lt;&gt;"")*ISNUMBER(SEARCH(실물목록!$Q$2:$Q$1001,I1233))*(실물목록!$R$2:$R$1001="")*(실물목록!$O$2:$O$1001&lt;&gt;"")*(실물목록!$O$2:$O$1001=H1233))&gt;0,"실물 있음",IF(SUMPRODUCT((실물목록!$P$2:$P$1001&lt;&gt;"")*ISNUMBER(SEARCH(실물목록!$P$2:$P$1001,I1233))*(실물목록!$R$2:$R$1001&lt;&gt;""))&gt;0,"확인필요(입력누락)",IF(SUMPRODUCT((실물목록!$P$2:$P$1001&lt;&gt;"")*ISNUMBER(SEARCH(실물목록!$P$2:$P$1001,I1233))*(실물목록!$Q$2:$Q$1001&lt;&gt;"")*ISNUMBER(SEARCH(실물목록!$Q$2:$Q$1001,I1233))*(실물목록!$R$2:$R$1001="")*(실물목록!$O$2:$O$1001&lt;&gt;""))&gt;0,"확인필요(연도다름)","실물 없음")))))</f>
      </c>
      <c r="G1233" t="n" s="16">
        <f aca="0">IF(B1233="","",SUMPRODUCT((실물목록!$P$2:$P$1001&lt;&gt;"")*ISNUMBER(SEARCH(실물목록!$P$2:$P$1001,I1233))*(실물목록!$Q$2:$Q$1001&lt;&gt;"")*ISNUMBER(SEARCH(실물목록!$Q$2:$Q$1001,I1233))*(실물목록!$R$2:$R$1001="")*(실물목록!$O$2:$O$1001&lt;&gt;"")*(실물목록!$O$2:$O$1001=H1233)))</f>
      </c>
      <c r="H1233" t="str">
        <f>IFERROR(IF(AND(LEN(SUBSTITUTE(SUBSTITUTE(SUBSTITUTE(TRIM(A1233&amp;""),CHAR(160),"")," ",""),"년",""))=4,VALUE(SUBSTITUTE(SUBSTITUTE(SUBSTITUTE(TRIM(A1233&amp;""),CHAR(160),"")," ",""),"년",""))&gt;=1900,VALUE(SUBSTITUTE(SUBSTITUTE(SUBSTITUTE(TRIM(A1233&amp;""),CHAR(160),"")," ",""),"년",""))&lt;=2099,TEXT(VALUE(SUBSTITUTE(SUBSTITUTE(SUBSTITUTE(TRIM(A1233&amp;""),CHAR(160),"")," ",""),"년","")),"0000")=SUBSTITUTE(SUBSTITUTE(SUBSTITUTE(TRIM(A1233&amp;""),CHAR(160),"")," ",""),"년","")),SUBSTITUTE(SUBSTITUTE(SUBSTITUTE(TRIM(A1233&amp;""),CHAR(160),"")," ",""),"년",""),""),"")</f>
      </c>
      <c r="I1233" t="str">
        <f>SUBSTITUTE(SUBSTITUTE(SUBSTITUTE(SUBSTITUTE(SUBSTITUTE(TRIM(B1233&amp;""),CHAR(160),"")," ",""),"초등학교","초"),"중학교","중"),"고등학교","고")</f>
      </c>
    </row>
    <row r="1234" customFormat="false" ht="15" hidden="false" customHeight="false" outlineLevel="0" collapsed="false">
      <c r="A1234" s="8"/>
      <c r="B1234" s="8"/>
      <c r="C1234" s="8"/>
      <c r="D1234" s="8"/>
      <c r="E1234" s="8"/>
      <c r="F1234" t="str" s="15">
        <f aca="0">IF(B1234="","",IF(H1234="","확인필요(입력누락)",IF(SUMPRODUCT((실물목록!$P$2:$P$1001&lt;&gt;"")*ISNUMBER(SEARCH(실물목록!$P$2:$P$1001,I1234))*(실물목록!$Q$2:$Q$1001&lt;&gt;"")*ISNUMBER(SEARCH(실물목록!$Q$2:$Q$1001,I1234))*(실물목록!$R$2:$R$1001="")*(실물목록!$O$2:$O$1001&lt;&gt;"")*(실물목록!$O$2:$O$1001=H1234))&gt;0,"실물 있음",IF(SUMPRODUCT((실물목록!$P$2:$P$1001&lt;&gt;"")*ISNUMBER(SEARCH(실물목록!$P$2:$P$1001,I1234))*(실물목록!$R$2:$R$1001&lt;&gt;""))&gt;0,"확인필요(입력누락)",IF(SUMPRODUCT((실물목록!$P$2:$P$1001&lt;&gt;"")*ISNUMBER(SEARCH(실물목록!$P$2:$P$1001,I1234))*(실물목록!$Q$2:$Q$1001&lt;&gt;"")*ISNUMBER(SEARCH(실물목록!$Q$2:$Q$1001,I1234))*(실물목록!$R$2:$R$1001="")*(실물목록!$O$2:$O$1001&lt;&gt;""))&gt;0,"확인필요(연도다름)","실물 없음")))))</f>
      </c>
      <c r="G1234" t="n" s="16">
        <f aca="0">IF(B1234="","",SUMPRODUCT((실물목록!$P$2:$P$1001&lt;&gt;"")*ISNUMBER(SEARCH(실물목록!$P$2:$P$1001,I1234))*(실물목록!$Q$2:$Q$1001&lt;&gt;"")*ISNUMBER(SEARCH(실물목록!$Q$2:$Q$1001,I1234))*(실물목록!$R$2:$R$1001="")*(실물목록!$O$2:$O$1001&lt;&gt;"")*(실물목록!$O$2:$O$1001=H1234)))</f>
      </c>
      <c r="H1234" t="str">
        <f>IFERROR(IF(AND(LEN(SUBSTITUTE(SUBSTITUTE(SUBSTITUTE(TRIM(A1234&amp;""),CHAR(160),"")," ",""),"년",""))=4,VALUE(SUBSTITUTE(SUBSTITUTE(SUBSTITUTE(TRIM(A1234&amp;""),CHAR(160),"")," ",""),"년",""))&gt;=1900,VALUE(SUBSTITUTE(SUBSTITUTE(SUBSTITUTE(TRIM(A1234&amp;""),CHAR(160),"")," ",""),"년",""))&lt;=2099,TEXT(VALUE(SUBSTITUTE(SUBSTITUTE(SUBSTITUTE(TRIM(A1234&amp;""),CHAR(160),"")," ",""),"년","")),"0000")=SUBSTITUTE(SUBSTITUTE(SUBSTITUTE(TRIM(A1234&amp;""),CHAR(160),"")," ",""),"년","")),SUBSTITUTE(SUBSTITUTE(SUBSTITUTE(TRIM(A1234&amp;""),CHAR(160),"")," ",""),"년",""),""),"")</f>
      </c>
      <c r="I1234" t="str">
        <f>SUBSTITUTE(SUBSTITUTE(SUBSTITUTE(SUBSTITUTE(SUBSTITUTE(TRIM(B1234&amp;""),CHAR(160),"")," ",""),"초등학교","초"),"중학교","중"),"고등학교","고")</f>
      </c>
    </row>
    <row r="1235" customFormat="false" ht="15" hidden="false" customHeight="false" outlineLevel="0" collapsed="false">
      <c r="A1235" s="8"/>
      <c r="B1235" s="8"/>
      <c r="C1235" s="8"/>
      <c r="D1235" s="8"/>
      <c r="E1235" s="8"/>
      <c r="F1235" t="str" s="15">
        <f aca="0">IF(B1235="","",IF(H1235="","확인필요(입력누락)",IF(SUMPRODUCT((실물목록!$P$2:$P$1001&lt;&gt;"")*ISNUMBER(SEARCH(실물목록!$P$2:$P$1001,I1235))*(실물목록!$Q$2:$Q$1001&lt;&gt;"")*ISNUMBER(SEARCH(실물목록!$Q$2:$Q$1001,I1235))*(실물목록!$R$2:$R$1001="")*(실물목록!$O$2:$O$1001&lt;&gt;"")*(실물목록!$O$2:$O$1001=H1235))&gt;0,"실물 있음",IF(SUMPRODUCT((실물목록!$P$2:$P$1001&lt;&gt;"")*ISNUMBER(SEARCH(실물목록!$P$2:$P$1001,I1235))*(실물목록!$R$2:$R$1001&lt;&gt;""))&gt;0,"확인필요(입력누락)",IF(SUMPRODUCT((실물목록!$P$2:$P$1001&lt;&gt;"")*ISNUMBER(SEARCH(실물목록!$P$2:$P$1001,I1235))*(실물목록!$Q$2:$Q$1001&lt;&gt;"")*ISNUMBER(SEARCH(실물목록!$Q$2:$Q$1001,I1235))*(실물목록!$R$2:$R$1001="")*(실물목록!$O$2:$O$1001&lt;&gt;""))&gt;0,"확인필요(연도다름)","실물 없음")))))</f>
      </c>
      <c r="G1235" t="n" s="16">
        <f aca="0">IF(B1235="","",SUMPRODUCT((실물목록!$P$2:$P$1001&lt;&gt;"")*ISNUMBER(SEARCH(실물목록!$P$2:$P$1001,I1235))*(실물목록!$Q$2:$Q$1001&lt;&gt;"")*ISNUMBER(SEARCH(실물목록!$Q$2:$Q$1001,I1235))*(실물목록!$R$2:$R$1001="")*(실물목록!$O$2:$O$1001&lt;&gt;"")*(실물목록!$O$2:$O$1001=H1235)))</f>
      </c>
      <c r="H1235" t="str">
        <f>IFERROR(IF(AND(LEN(SUBSTITUTE(SUBSTITUTE(SUBSTITUTE(TRIM(A1235&amp;""),CHAR(160),"")," ",""),"년",""))=4,VALUE(SUBSTITUTE(SUBSTITUTE(SUBSTITUTE(TRIM(A1235&amp;""),CHAR(160),"")," ",""),"년",""))&gt;=1900,VALUE(SUBSTITUTE(SUBSTITUTE(SUBSTITUTE(TRIM(A1235&amp;""),CHAR(160),"")," ",""),"년",""))&lt;=2099,TEXT(VALUE(SUBSTITUTE(SUBSTITUTE(SUBSTITUTE(TRIM(A1235&amp;""),CHAR(160),"")," ",""),"년","")),"0000")=SUBSTITUTE(SUBSTITUTE(SUBSTITUTE(TRIM(A1235&amp;""),CHAR(160),"")," ",""),"년","")),SUBSTITUTE(SUBSTITUTE(SUBSTITUTE(TRIM(A1235&amp;""),CHAR(160),"")," ",""),"년",""),""),"")</f>
      </c>
      <c r="I1235" t="str">
        <f>SUBSTITUTE(SUBSTITUTE(SUBSTITUTE(SUBSTITUTE(SUBSTITUTE(TRIM(B1235&amp;""),CHAR(160),"")," ",""),"초등학교","초"),"중학교","중"),"고등학교","고")</f>
      </c>
    </row>
    <row r="1236" customFormat="false" ht="15" hidden="false" customHeight="false" outlineLevel="0" collapsed="false">
      <c r="A1236" s="8"/>
      <c r="B1236" s="8"/>
      <c r="C1236" s="8"/>
      <c r="D1236" s="8"/>
      <c r="E1236" s="8"/>
      <c r="F1236" t="str" s="15">
        <f aca="0">IF(B1236="","",IF(H1236="","확인필요(입력누락)",IF(SUMPRODUCT((실물목록!$P$2:$P$1001&lt;&gt;"")*ISNUMBER(SEARCH(실물목록!$P$2:$P$1001,I1236))*(실물목록!$Q$2:$Q$1001&lt;&gt;"")*ISNUMBER(SEARCH(실물목록!$Q$2:$Q$1001,I1236))*(실물목록!$R$2:$R$1001="")*(실물목록!$O$2:$O$1001&lt;&gt;"")*(실물목록!$O$2:$O$1001=H1236))&gt;0,"실물 있음",IF(SUMPRODUCT((실물목록!$P$2:$P$1001&lt;&gt;"")*ISNUMBER(SEARCH(실물목록!$P$2:$P$1001,I1236))*(실물목록!$R$2:$R$1001&lt;&gt;""))&gt;0,"확인필요(입력누락)",IF(SUMPRODUCT((실물목록!$P$2:$P$1001&lt;&gt;"")*ISNUMBER(SEARCH(실물목록!$P$2:$P$1001,I1236))*(실물목록!$Q$2:$Q$1001&lt;&gt;"")*ISNUMBER(SEARCH(실물목록!$Q$2:$Q$1001,I1236))*(실물목록!$R$2:$R$1001="")*(실물목록!$O$2:$O$1001&lt;&gt;""))&gt;0,"확인필요(연도다름)","실물 없음")))))</f>
      </c>
      <c r="G1236" t="n" s="16">
        <f aca="0">IF(B1236="","",SUMPRODUCT((실물목록!$P$2:$P$1001&lt;&gt;"")*ISNUMBER(SEARCH(실물목록!$P$2:$P$1001,I1236))*(실물목록!$Q$2:$Q$1001&lt;&gt;"")*ISNUMBER(SEARCH(실물목록!$Q$2:$Q$1001,I1236))*(실물목록!$R$2:$R$1001="")*(실물목록!$O$2:$O$1001&lt;&gt;"")*(실물목록!$O$2:$O$1001=H1236)))</f>
      </c>
      <c r="H1236" t="str">
        <f>IFERROR(IF(AND(LEN(SUBSTITUTE(SUBSTITUTE(SUBSTITUTE(TRIM(A1236&amp;""),CHAR(160),"")," ",""),"년",""))=4,VALUE(SUBSTITUTE(SUBSTITUTE(SUBSTITUTE(TRIM(A1236&amp;""),CHAR(160),"")," ",""),"년",""))&gt;=1900,VALUE(SUBSTITUTE(SUBSTITUTE(SUBSTITUTE(TRIM(A1236&amp;""),CHAR(160),"")," ",""),"년",""))&lt;=2099,TEXT(VALUE(SUBSTITUTE(SUBSTITUTE(SUBSTITUTE(TRIM(A1236&amp;""),CHAR(160),"")," ",""),"년","")),"0000")=SUBSTITUTE(SUBSTITUTE(SUBSTITUTE(TRIM(A1236&amp;""),CHAR(160),"")," ",""),"년","")),SUBSTITUTE(SUBSTITUTE(SUBSTITUTE(TRIM(A1236&amp;""),CHAR(160),"")," ",""),"년",""),""),"")</f>
      </c>
      <c r="I1236" t="str">
        <f>SUBSTITUTE(SUBSTITUTE(SUBSTITUTE(SUBSTITUTE(SUBSTITUTE(TRIM(B1236&amp;""),CHAR(160),"")," ",""),"초등학교","초"),"중학교","중"),"고등학교","고")</f>
      </c>
    </row>
    <row r="1237" customFormat="false" ht="15" hidden="false" customHeight="false" outlineLevel="0" collapsed="false">
      <c r="A1237" s="8"/>
      <c r="B1237" s="8"/>
      <c r="C1237" s="8"/>
      <c r="D1237" s="8"/>
      <c r="E1237" s="8"/>
      <c r="F1237" t="str" s="15">
        <f aca="0">IF(B1237="","",IF(H1237="","확인필요(입력누락)",IF(SUMPRODUCT((실물목록!$P$2:$P$1001&lt;&gt;"")*ISNUMBER(SEARCH(실물목록!$P$2:$P$1001,I1237))*(실물목록!$Q$2:$Q$1001&lt;&gt;"")*ISNUMBER(SEARCH(실물목록!$Q$2:$Q$1001,I1237))*(실물목록!$R$2:$R$1001="")*(실물목록!$O$2:$O$1001&lt;&gt;"")*(실물목록!$O$2:$O$1001=H1237))&gt;0,"실물 있음",IF(SUMPRODUCT((실물목록!$P$2:$P$1001&lt;&gt;"")*ISNUMBER(SEARCH(실물목록!$P$2:$P$1001,I1237))*(실물목록!$R$2:$R$1001&lt;&gt;""))&gt;0,"확인필요(입력누락)",IF(SUMPRODUCT((실물목록!$P$2:$P$1001&lt;&gt;"")*ISNUMBER(SEARCH(실물목록!$P$2:$P$1001,I1237))*(실물목록!$Q$2:$Q$1001&lt;&gt;"")*ISNUMBER(SEARCH(실물목록!$Q$2:$Q$1001,I1237))*(실물목록!$R$2:$R$1001="")*(실물목록!$O$2:$O$1001&lt;&gt;""))&gt;0,"확인필요(연도다름)","실물 없음")))))</f>
      </c>
      <c r="G1237" t="n" s="16">
        <f aca="0">IF(B1237="","",SUMPRODUCT((실물목록!$P$2:$P$1001&lt;&gt;"")*ISNUMBER(SEARCH(실물목록!$P$2:$P$1001,I1237))*(실물목록!$Q$2:$Q$1001&lt;&gt;"")*ISNUMBER(SEARCH(실물목록!$Q$2:$Q$1001,I1237))*(실물목록!$R$2:$R$1001="")*(실물목록!$O$2:$O$1001&lt;&gt;"")*(실물목록!$O$2:$O$1001=H1237)))</f>
      </c>
      <c r="H1237" t="str">
        <f>IFERROR(IF(AND(LEN(SUBSTITUTE(SUBSTITUTE(SUBSTITUTE(TRIM(A1237&amp;""),CHAR(160),"")," ",""),"년",""))=4,VALUE(SUBSTITUTE(SUBSTITUTE(SUBSTITUTE(TRIM(A1237&amp;""),CHAR(160),"")," ",""),"년",""))&gt;=1900,VALUE(SUBSTITUTE(SUBSTITUTE(SUBSTITUTE(TRIM(A1237&amp;""),CHAR(160),"")," ",""),"년",""))&lt;=2099,TEXT(VALUE(SUBSTITUTE(SUBSTITUTE(SUBSTITUTE(TRIM(A1237&amp;""),CHAR(160),"")," ",""),"년","")),"0000")=SUBSTITUTE(SUBSTITUTE(SUBSTITUTE(TRIM(A1237&amp;""),CHAR(160),"")," ",""),"년","")),SUBSTITUTE(SUBSTITUTE(SUBSTITUTE(TRIM(A1237&amp;""),CHAR(160),"")," ",""),"년",""),""),"")</f>
      </c>
      <c r="I1237" t="str">
        <f>SUBSTITUTE(SUBSTITUTE(SUBSTITUTE(SUBSTITUTE(SUBSTITUTE(TRIM(B1237&amp;""),CHAR(160),"")," ",""),"초등학교","초"),"중학교","중"),"고등학교","고")</f>
      </c>
    </row>
    <row r="1238" customFormat="false" ht="15" hidden="false" customHeight="false" outlineLevel="0" collapsed="false">
      <c r="A1238" s="8"/>
      <c r="B1238" s="8"/>
      <c r="C1238" s="8"/>
      <c r="D1238" s="8"/>
      <c r="E1238" s="8"/>
      <c r="F1238" t="str" s="15">
        <f aca="0">IF(B1238="","",IF(H1238="","확인필요(입력누락)",IF(SUMPRODUCT((실물목록!$P$2:$P$1001&lt;&gt;"")*ISNUMBER(SEARCH(실물목록!$P$2:$P$1001,I1238))*(실물목록!$Q$2:$Q$1001&lt;&gt;"")*ISNUMBER(SEARCH(실물목록!$Q$2:$Q$1001,I1238))*(실물목록!$R$2:$R$1001="")*(실물목록!$O$2:$O$1001&lt;&gt;"")*(실물목록!$O$2:$O$1001=H1238))&gt;0,"실물 있음",IF(SUMPRODUCT((실물목록!$P$2:$P$1001&lt;&gt;"")*ISNUMBER(SEARCH(실물목록!$P$2:$P$1001,I1238))*(실물목록!$R$2:$R$1001&lt;&gt;""))&gt;0,"확인필요(입력누락)",IF(SUMPRODUCT((실물목록!$P$2:$P$1001&lt;&gt;"")*ISNUMBER(SEARCH(실물목록!$P$2:$P$1001,I1238))*(실물목록!$Q$2:$Q$1001&lt;&gt;"")*ISNUMBER(SEARCH(실물목록!$Q$2:$Q$1001,I1238))*(실물목록!$R$2:$R$1001="")*(실물목록!$O$2:$O$1001&lt;&gt;""))&gt;0,"확인필요(연도다름)","실물 없음")))))</f>
      </c>
      <c r="G1238" t="n" s="16">
        <f aca="0">IF(B1238="","",SUMPRODUCT((실물목록!$P$2:$P$1001&lt;&gt;"")*ISNUMBER(SEARCH(실물목록!$P$2:$P$1001,I1238))*(실물목록!$Q$2:$Q$1001&lt;&gt;"")*ISNUMBER(SEARCH(실물목록!$Q$2:$Q$1001,I1238))*(실물목록!$R$2:$R$1001="")*(실물목록!$O$2:$O$1001&lt;&gt;"")*(실물목록!$O$2:$O$1001=H1238)))</f>
      </c>
      <c r="H1238" t="str">
        <f>IFERROR(IF(AND(LEN(SUBSTITUTE(SUBSTITUTE(SUBSTITUTE(TRIM(A1238&amp;""),CHAR(160),"")," ",""),"년",""))=4,VALUE(SUBSTITUTE(SUBSTITUTE(SUBSTITUTE(TRIM(A1238&amp;""),CHAR(160),"")," ",""),"년",""))&gt;=1900,VALUE(SUBSTITUTE(SUBSTITUTE(SUBSTITUTE(TRIM(A1238&amp;""),CHAR(160),"")," ",""),"년",""))&lt;=2099,TEXT(VALUE(SUBSTITUTE(SUBSTITUTE(SUBSTITUTE(TRIM(A1238&amp;""),CHAR(160),"")," ",""),"년","")),"0000")=SUBSTITUTE(SUBSTITUTE(SUBSTITUTE(TRIM(A1238&amp;""),CHAR(160),"")," ",""),"년","")),SUBSTITUTE(SUBSTITUTE(SUBSTITUTE(TRIM(A1238&amp;""),CHAR(160),"")," ",""),"년",""),""),"")</f>
      </c>
      <c r="I1238" t="str">
        <f>SUBSTITUTE(SUBSTITUTE(SUBSTITUTE(SUBSTITUTE(SUBSTITUTE(TRIM(B1238&amp;""),CHAR(160),"")," ",""),"초등학교","초"),"중학교","중"),"고등학교","고")</f>
      </c>
    </row>
    <row r="1239" customFormat="false" ht="15" hidden="false" customHeight="false" outlineLevel="0" collapsed="false">
      <c r="A1239" s="8"/>
      <c r="B1239" s="8"/>
      <c r="C1239" s="8"/>
      <c r="D1239" s="8"/>
      <c r="E1239" s="8"/>
      <c r="F1239" t="str" s="15">
        <f aca="0">IF(B1239="","",IF(H1239="","확인필요(입력누락)",IF(SUMPRODUCT((실물목록!$P$2:$P$1001&lt;&gt;"")*ISNUMBER(SEARCH(실물목록!$P$2:$P$1001,I1239))*(실물목록!$Q$2:$Q$1001&lt;&gt;"")*ISNUMBER(SEARCH(실물목록!$Q$2:$Q$1001,I1239))*(실물목록!$R$2:$R$1001="")*(실물목록!$O$2:$O$1001&lt;&gt;"")*(실물목록!$O$2:$O$1001=H1239))&gt;0,"실물 있음",IF(SUMPRODUCT((실물목록!$P$2:$P$1001&lt;&gt;"")*ISNUMBER(SEARCH(실물목록!$P$2:$P$1001,I1239))*(실물목록!$R$2:$R$1001&lt;&gt;""))&gt;0,"확인필요(입력누락)",IF(SUMPRODUCT((실물목록!$P$2:$P$1001&lt;&gt;"")*ISNUMBER(SEARCH(실물목록!$P$2:$P$1001,I1239))*(실물목록!$Q$2:$Q$1001&lt;&gt;"")*ISNUMBER(SEARCH(실물목록!$Q$2:$Q$1001,I1239))*(실물목록!$R$2:$R$1001="")*(실물목록!$O$2:$O$1001&lt;&gt;""))&gt;0,"확인필요(연도다름)","실물 없음")))))</f>
      </c>
      <c r="G1239" t="n" s="16">
        <f aca="0">IF(B1239="","",SUMPRODUCT((실물목록!$P$2:$P$1001&lt;&gt;"")*ISNUMBER(SEARCH(실물목록!$P$2:$P$1001,I1239))*(실물목록!$Q$2:$Q$1001&lt;&gt;"")*ISNUMBER(SEARCH(실물목록!$Q$2:$Q$1001,I1239))*(실물목록!$R$2:$R$1001="")*(실물목록!$O$2:$O$1001&lt;&gt;"")*(실물목록!$O$2:$O$1001=H1239)))</f>
      </c>
      <c r="H1239" t="str">
        <f>IFERROR(IF(AND(LEN(SUBSTITUTE(SUBSTITUTE(SUBSTITUTE(TRIM(A1239&amp;""),CHAR(160),"")," ",""),"년",""))=4,VALUE(SUBSTITUTE(SUBSTITUTE(SUBSTITUTE(TRIM(A1239&amp;""),CHAR(160),"")," ",""),"년",""))&gt;=1900,VALUE(SUBSTITUTE(SUBSTITUTE(SUBSTITUTE(TRIM(A1239&amp;""),CHAR(160),"")," ",""),"년",""))&lt;=2099,TEXT(VALUE(SUBSTITUTE(SUBSTITUTE(SUBSTITUTE(TRIM(A1239&amp;""),CHAR(160),"")," ",""),"년","")),"0000")=SUBSTITUTE(SUBSTITUTE(SUBSTITUTE(TRIM(A1239&amp;""),CHAR(160),"")," ",""),"년","")),SUBSTITUTE(SUBSTITUTE(SUBSTITUTE(TRIM(A1239&amp;""),CHAR(160),"")," ",""),"년",""),""),"")</f>
      </c>
      <c r="I1239" t="str">
        <f>SUBSTITUTE(SUBSTITUTE(SUBSTITUTE(SUBSTITUTE(SUBSTITUTE(TRIM(B1239&amp;""),CHAR(160),"")," ",""),"초등학교","초"),"중학교","중"),"고등학교","고")</f>
      </c>
    </row>
    <row r="1240" customFormat="false" ht="15" hidden="false" customHeight="false" outlineLevel="0" collapsed="false">
      <c r="A1240" s="8"/>
      <c r="B1240" s="8"/>
      <c r="C1240" s="8"/>
      <c r="D1240" s="8"/>
      <c r="E1240" s="8"/>
      <c r="F1240" t="str" s="15">
        <f aca="0">IF(B1240="","",IF(H1240="","확인필요(입력누락)",IF(SUMPRODUCT((실물목록!$P$2:$P$1001&lt;&gt;"")*ISNUMBER(SEARCH(실물목록!$P$2:$P$1001,I1240))*(실물목록!$Q$2:$Q$1001&lt;&gt;"")*ISNUMBER(SEARCH(실물목록!$Q$2:$Q$1001,I1240))*(실물목록!$R$2:$R$1001="")*(실물목록!$O$2:$O$1001&lt;&gt;"")*(실물목록!$O$2:$O$1001=H1240))&gt;0,"실물 있음",IF(SUMPRODUCT((실물목록!$P$2:$P$1001&lt;&gt;"")*ISNUMBER(SEARCH(실물목록!$P$2:$P$1001,I1240))*(실물목록!$R$2:$R$1001&lt;&gt;""))&gt;0,"확인필요(입력누락)",IF(SUMPRODUCT((실물목록!$P$2:$P$1001&lt;&gt;"")*ISNUMBER(SEARCH(실물목록!$P$2:$P$1001,I1240))*(실물목록!$Q$2:$Q$1001&lt;&gt;"")*ISNUMBER(SEARCH(실물목록!$Q$2:$Q$1001,I1240))*(실물목록!$R$2:$R$1001="")*(실물목록!$O$2:$O$1001&lt;&gt;""))&gt;0,"확인필요(연도다름)","실물 없음")))))</f>
      </c>
      <c r="G1240" t="n" s="16">
        <f aca="0">IF(B1240="","",SUMPRODUCT((실물목록!$P$2:$P$1001&lt;&gt;"")*ISNUMBER(SEARCH(실물목록!$P$2:$P$1001,I1240))*(실물목록!$Q$2:$Q$1001&lt;&gt;"")*ISNUMBER(SEARCH(실물목록!$Q$2:$Q$1001,I1240))*(실물목록!$R$2:$R$1001="")*(실물목록!$O$2:$O$1001&lt;&gt;"")*(실물목록!$O$2:$O$1001=H1240)))</f>
      </c>
      <c r="H1240" t="str">
        <f>IFERROR(IF(AND(LEN(SUBSTITUTE(SUBSTITUTE(SUBSTITUTE(TRIM(A1240&amp;""),CHAR(160),"")," ",""),"년",""))=4,VALUE(SUBSTITUTE(SUBSTITUTE(SUBSTITUTE(TRIM(A1240&amp;""),CHAR(160),"")," ",""),"년",""))&gt;=1900,VALUE(SUBSTITUTE(SUBSTITUTE(SUBSTITUTE(TRIM(A1240&amp;""),CHAR(160),"")," ",""),"년",""))&lt;=2099,TEXT(VALUE(SUBSTITUTE(SUBSTITUTE(SUBSTITUTE(TRIM(A1240&amp;""),CHAR(160),"")," ",""),"년","")),"0000")=SUBSTITUTE(SUBSTITUTE(SUBSTITUTE(TRIM(A1240&amp;""),CHAR(160),"")," ",""),"년","")),SUBSTITUTE(SUBSTITUTE(SUBSTITUTE(TRIM(A1240&amp;""),CHAR(160),"")," ",""),"년",""),""),"")</f>
      </c>
      <c r="I1240" t="str">
        <f>SUBSTITUTE(SUBSTITUTE(SUBSTITUTE(SUBSTITUTE(SUBSTITUTE(TRIM(B1240&amp;""),CHAR(160),"")," ",""),"초등학교","초"),"중학교","중"),"고등학교","고")</f>
      </c>
    </row>
    <row r="1241" customFormat="false" ht="15" hidden="false" customHeight="false" outlineLevel="0" collapsed="false">
      <c r="A1241" s="8"/>
      <c r="B1241" s="8"/>
      <c r="C1241" s="8"/>
      <c r="D1241" s="8"/>
      <c r="E1241" s="8"/>
      <c r="F1241" t="str" s="15">
        <f aca="0">IF(B1241="","",IF(H1241="","확인필요(입력누락)",IF(SUMPRODUCT((실물목록!$P$2:$P$1001&lt;&gt;"")*ISNUMBER(SEARCH(실물목록!$P$2:$P$1001,I1241))*(실물목록!$Q$2:$Q$1001&lt;&gt;"")*ISNUMBER(SEARCH(실물목록!$Q$2:$Q$1001,I1241))*(실물목록!$R$2:$R$1001="")*(실물목록!$O$2:$O$1001&lt;&gt;"")*(실물목록!$O$2:$O$1001=H1241))&gt;0,"실물 있음",IF(SUMPRODUCT((실물목록!$P$2:$P$1001&lt;&gt;"")*ISNUMBER(SEARCH(실물목록!$P$2:$P$1001,I1241))*(실물목록!$R$2:$R$1001&lt;&gt;""))&gt;0,"확인필요(입력누락)",IF(SUMPRODUCT((실물목록!$P$2:$P$1001&lt;&gt;"")*ISNUMBER(SEARCH(실물목록!$P$2:$P$1001,I1241))*(실물목록!$Q$2:$Q$1001&lt;&gt;"")*ISNUMBER(SEARCH(실물목록!$Q$2:$Q$1001,I1241))*(실물목록!$R$2:$R$1001="")*(실물목록!$O$2:$O$1001&lt;&gt;""))&gt;0,"확인필요(연도다름)","실물 없음")))))</f>
      </c>
      <c r="G1241" t="n" s="16">
        <f aca="0">IF(B1241="","",SUMPRODUCT((실물목록!$P$2:$P$1001&lt;&gt;"")*ISNUMBER(SEARCH(실물목록!$P$2:$P$1001,I1241))*(실물목록!$Q$2:$Q$1001&lt;&gt;"")*ISNUMBER(SEARCH(실물목록!$Q$2:$Q$1001,I1241))*(실물목록!$R$2:$R$1001="")*(실물목록!$O$2:$O$1001&lt;&gt;"")*(실물목록!$O$2:$O$1001=H1241)))</f>
      </c>
      <c r="H1241" t="str">
        <f>IFERROR(IF(AND(LEN(SUBSTITUTE(SUBSTITUTE(SUBSTITUTE(TRIM(A1241&amp;""),CHAR(160),"")," ",""),"년",""))=4,VALUE(SUBSTITUTE(SUBSTITUTE(SUBSTITUTE(TRIM(A1241&amp;""),CHAR(160),"")," ",""),"년",""))&gt;=1900,VALUE(SUBSTITUTE(SUBSTITUTE(SUBSTITUTE(TRIM(A1241&amp;""),CHAR(160),"")," ",""),"년",""))&lt;=2099,TEXT(VALUE(SUBSTITUTE(SUBSTITUTE(SUBSTITUTE(TRIM(A1241&amp;""),CHAR(160),"")," ",""),"년","")),"0000")=SUBSTITUTE(SUBSTITUTE(SUBSTITUTE(TRIM(A1241&amp;""),CHAR(160),"")," ",""),"년","")),SUBSTITUTE(SUBSTITUTE(SUBSTITUTE(TRIM(A1241&amp;""),CHAR(160),"")," ",""),"년",""),""),"")</f>
      </c>
      <c r="I1241" t="str">
        <f>SUBSTITUTE(SUBSTITUTE(SUBSTITUTE(SUBSTITUTE(SUBSTITUTE(TRIM(B1241&amp;""),CHAR(160),"")," ",""),"초등학교","초"),"중학교","중"),"고등학교","고")</f>
      </c>
    </row>
    <row r="1242" customFormat="false" ht="15" hidden="false" customHeight="false" outlineLevel="0" collapsed="false">
      <c r="A1242" s="8"/>
      <c r="B1242" s="8"/>
      <c r="C1242" s="8"/>
      <c r="D1242" s="8"/>
      <c r="E1242" s="8"/>
      <c r="F1242" t="str" s="15">
        <f aca="0">IF(B1242="","",IF(H1242="","확인필요(입력누락)",IF(SUMPRODUCT((실물목록!$P$2:$P$1001&lt;&gt;"")*ISNUMBER(SEARCH(실물목록!$P$2:$P$1001,I1242))*(실물목록!$Q$2:$Q$1001&lt;&gt;"")*ISNUMBER(SEARCH(실물목록!$Q$2:$Q$1001,I1242))*(실물목록!$R$2:$R$1001="")*(실물목록!$O$2:$O$1001&lt;&gt;"")*(실물목록!$O$2:$O$1001=H1242))&gt;0,"실물 있음",IF(SUMPRODUCT((실물목록!$P$2:$P$1001&lt;&gt;"")*ISNUMBER(SEARCH(실물목록!$P$2:$P$1001,I1242))*(실물목록!$R$2:$R$1001&lt;&gt;""))&gt;0,"확인필요(입력누락)",IF(SUMPRODUCT((실물목록!$P$2:$P$1001&lt;&gt;"")*ISNUMBER(SEARCH(실물목록!$P$2:$P$1001,I1242))*(실물목록!$Q$2:$Q$1001&lt;&gt;"")*ISNUMBER(SEARCH(실물목록!$Q$2:$Q$1001,I1242))*(실물목록!$R$2:$R$1001="")*(실물목록!$O$2:$O$1001&lt;&gt;""))&gt;0,"확인필요(연도다름)","실물 없음")))))</f>
      </c>
      <c r="G1242" t="n" s="16">
        <f aca="0">IF(B1242="","",SUMPRODUCT((실물목록!$P$2:$P$1001&lt;&gt;"")*ISNUMBER(SEARCH(실물목록!$P$2:$P$1001,I1242))*(실물목록!$Q$2:$Q$1001&lt;&gt;"")*ISNUMBER(SEARCH(실물목록!$Q$2:$Q$1001,I1242))*(실물목록!$R$2:$R$1001="")*(실물목록!$O$2:$O$1001&lt;&gt;"")*(실물목록!$O$2:$O$1001=H1242)))</f>
      </c>
      <c r="H1242" t="str">
        <f>IFERROR(IF(AND(LEN(SUBSTITUTE(SUBSTITUTE(SUBSTITUTE(TRIM(A1242&amp;""),CHAR(160),"")," ",""),"년",""))=4,VALUE(SUBSTITUTE(SUBSTITUTE(SUBSTITUTE(TRIM(A1242&amp;""),CHAR(160),"")," ",""),"년",""))&gt;=1900,VALUE(SUBSTITUTE(SUBSTITUTE(SUBSTITUTE(TRIM(A1242&amp;""),CHAR(160),"")," ",""),"년",""))&lt;=2099,TEXT(VALUE(SUBSTITUTE(SUBSTITUTE(SUBSTITUTE(TRIM(A1242&amp;""),CHAR(160),"")," ",""),"년","")),"0000")=SUBSTITUTE(SUBSTITUTE(SUBSTITUTE(TRIM(A1242&amp;""),CHAR(160),"")," ",""),"년","")),SUBSTITUTE(SUBSTITUTE(SUBSTITUTE(TRIM(A1242&amp;""),CHAR(160),"")," ",""),"년",""),""),"")</f>
      </c>
      <c r="I1242" t="str">
        <f>SUBSTITUTE(SUBSTITUTE(SUBSTITUTE(SUBSTITUTE(SUBSTITUTE(TRIM(B1242&amp;""),CHAR(160),"")," ",""),"초등학교","초"),"중학교","중"),"고등학교","고")</f>
      </c>
    </row>
    <row r="1243" customFormat="false" ht="15" hidden="false" customHeight="false" outlineLevel="0" collapsed="false">
      <c r="A1243" s="8"/>
      <c r="B1243" s="8"/>
      <c r="C1243" s="8"/>
      <c r="D1243" s="8"/>
      <c r="E1243" s="8"/>
      <c r="F1243" t="str" s="15">
        <f aca="0">IF(B1243="","",IF(H1243="","확인필요(입력누락)",IF(SUMPRODUCT((실물목록!$P$2:$P$1001&lt;&gt;"")*ISNUMBER(SEARCH(실물목록!$P$2:$P$1001,I1243))*(실물목록!$Q$2:$Q$1001&lt;&gt;"")*ISNUMBER(SEARCH(실물목록!$Q$2:$Q$1001,I1243))*(실물목록!$R$2:$R$1001="")*(실물목록!$O$2:$O$1001&lt;&gt;"")*(실물목록!$O$2:$O$1001=H1243))&gt;0,"실물 있음",IF(SUMPRODUCT((실물목록!$P$2:$P$1001&lt;&gt;"")*ISNUMBER(SEARCH(실물목록!$P$2:$P$1001,I1243))*(실물목록!$R$2:$R$1001&lt;&gt;""))&gt;0,"확인필요(입력누락)",IF(SUMPRODUCT((실물목록!$P$2:$P$1001&lt;&gt;"")*ISNUMBER(SEARCH(실물목록!$P$2:$P$1001,I1243))*(실물목록!$Q$2:$Q$1001&lt;&gt;"")*ISNUMBER(SEARCH(실물목록!$Q$2:$Q$1001,I1243))*(실물목록!$R$2:$R$1001="")*(실물목록!$O$2:$O$1001&lt;&gt;""))&gt;0,"확인필요(연도다름)","실물 없음")))))</f>
      </c>
      <c r="G1243" t="n" s="16">
        <f aca="0">IF(B1243="","",SUMPRODUCT((실물목록!$P$2:$P$1001&lt;&gt;"")*ISNUMBER(SEARCH(실물목록!$P$2:$P$1001,I1243))*(실물목록!$Q$2:$Q$1001&lt;&gt;"")*ISNUMBER(SEARCH(실물목록!$Q$2:$Q$1001,I1243))*(실물목록!$R$2:$R$1001="")*(실물목록!$O$2:$O$1001&lt;&gt;"")*(실물목록!$O$2:$O$1001=H1243)))</f>
      </c>
      <c r="H1243" t="str">
        <f>IFERROR(IF(AND(LEN(SUBSTITUTE(SUBSTITUTE(SUBSTITUTE(TRIM(A1243&amp;""),CHAR(160),"")," ",""),"년",""))=4,VALUE(SUBSTITUTE(SUBSTITUTE(SUBSTITUTE(TRIM(A1243&amp;""),CHAR(160),"")," ",""),"년",""))&gt;=1900,VALUE(SUBSTITUTE(SUBSTITUTE(SUBSTITUTE(TRIM(A1243&amp;""),CHAR(160),"")," ",""),"년",""))&lt;=2099,TEXT(VALUE(SUBSTITUTE(SUBSTITUTE(SUBSTITUTE(TRIM(A1243&amp;""),CHAR(160),"")," ",""),"년","")),"0000")=SUBSTITUTE(SUBSTITUTE(SUBSTITUTE(TRIM(A1243&amp;""),CHAR(160),"")," ",""),"년","")),SUBSTITUTE(SUBSTITUTE(SUBSTITUTE(TRIM(A1243&amp;""),CHAR(160),"")," ",""),"년",""),""),"")</f>
      </c>
      <c r="I1243" t="str">
        <f>SUBSTITUTE(SUBSTITUTE(SUBSTITUTE(SUBSTITUTE(SUBSTITUTE(TRIM(B1243&amp;""),CHAR(160),"")," ",""),"초등학교","초"),"중학교","중"),"고등학교","고")</f>
      </c>
    </row>
    <row r="1244" customFormat="false" ht="15" hidden="false" customHeight="false" outlineLevel="0" collapsed="false">
      <c r="A1244" s="8"/>
      <c r="B1244" s="8"/>
      <c r="C1244" s="8"/>
      <c r="D1244" s="8"/>
      <c r="E1244" s="8"/>
      <c r="F1244" t="str" s="15">
        <f aca="0">IF(B1244="","",IF(H1244="","확인필요(입력누락)",IF(SUMPRODUCT((실물목록!$P$2:$P$1001&lt;&gt;"")*ISNUMBER(SEARCH(실물목록!$P$2:$P$1001,I1244))*(실물목록!$Q$2:$Q$1001&lt;&gt;"")*ISNUMBER(SEARCH(실물목록!$Q$2:$Q$1001,I1244))*(실물목록!$R$2:$R$1001="")*(실물목록!$O$2:$O$1001&lt;&gt;"")*(실물목록!$O$2:$O$1001=H1244))&gt;0,"실물 있음",IF(SUMPRODUCT((실물목록!$P$2:$P$1001&lt;&gt;"")*ISNUMBER(SEARCH(실물목록!$P$2:$P$1001,I1244))*(실물목록!$R$2:$R$1001&lt;&gt;""))&gt;0,"확인필요(입력누락)",IF(SUMPRODUCT((실물목록!$P$2:$P$1001&lt;&gt;"")*ISNUMBER(SEARCH(실물목록!$P$2:$P$1001,I1244))*(실물목록!$Q$2:$Q$1001&lt;&gt;"")*ISNUMBER(SEARCH(실물목록!$Q$2:$Q$1001,I1244))*(실물목록!$R$2:$R$1001="")*(실물목록!$O$2:$O$1001&lt;&gt;""))&gt;0,"확인필요(연도다름)","실물 없음")))))</f>
      </c>
      <c r="G1244" t="n" s="16">
        <f aca="0">IF(B1244="","",SUMPRODUCT((실물목록!$P$2:$P$1001&lt;&gt;"")*ISNUMBER(SEARCH(실물목록!$P$2:$P$1001,I1244))*(실물목록!$Q$2:$Q$1001&lt;&gt;"")*ISNUMBER(SEARCH(실물목록!$Q$2:$Q$1001,I1244))*(실물목록!$R$2:$R$1001="")*(실물목록!$O$2:$O$1001&lt;&gt;"")*(실물목록!$O$2:$O$1001=H1244)))</f>
      </c>
      <c r="H1244" t="str">
        <f>IFERROR(IF(AND(LEN(SUBSTITUTE(SUBSTITUTE(SUBSTITUTE(TRIM(A1244&amp;""),CHAR(160),"")," ",""),"년",""))=4,VALUE(SUBSTITUTE(SUBSTITUTE(SUBSTITUTE(TRIM(A1244&amp;""),CHAR(160),"")," ",""),"년",""))&gt;=1900,VALUE(SUBSTITUTE(SUBSTITUTE(SUBSTITUTE(TRIM(A1244&amp;""),CHAR(160),"")," ",""),"년",""))&lt;=2099,TEXT(VALUE(SUBSTITUTE(SUBSTITUTE(SUBSTITUTE(TRIM(A1244&amp;""),CHAR(160),"")," ",""),"년","")),"0000")=SUBSTITUTE(SUBSTITUTE(SUBSTITUTE(TRIM(A1244&amp;""),CHAR(160),"")," ",""),"년","")),SUBSTITUTE(SUBSTITUTE(SUBSTITUTE(TRIM(A1244&amp;""),CHAR(160),"")," ",""),"년",""),""),"")</f>
      </c>
      <c r="I1244" t="str">
        <f>SUBSTITUTE(SUBSTITUTE(SUBSTITUTE(SUBSTITUTE(SUBSTITUTE(TRIM(B1244&amp;""),CHAR(160),"")," ",""),"초등학교","초"),"중학교","중"),"고등학교","고")</f>
      </c>
    </row>
    <row r="1245" customFormat="false" ht="15" hidden="false" customHeight="false" outlineLevel="0" collapsed="false">
      <c r="A1245" s="8"/>
      <c r="B1245" s="8"/>
      <c r="C1245" s="8"/>
      <c r="D1245" s="8"/>
      <c r="E1245" s="8"/>
      <c r="F1245" t="str" s="15">
        <f aca="0">IF(B1245="","",IF(H1245="","확인필요(입력누락)",IF(SUMPRODUCT((실물목록!$P$2:$P$1001&lt;&gt;"")*ISNUMBER(SEARCH(실물목록!$P$2:$P$1001,I1245))*(실물목록!$Q$2:$Q$1001&lt;&gt;"")*ISNUMBER(SEARCH(실물목록!$Q$2:$Q$1001,I1245))*(실물목록!$R$2:$R$1001="")*(실물목록!$O$2:$O$1001&lt;&gt;"")*(실물목록!$O$2:$O$1001=H1245))&gt;0,"실물 있음",IF(SUMPRODUCT((실물목록!$P$2:$P$1001&lt;&gt;"")*ISNUMBER(SEARCH(실물목록!$P$2:$P$1001,I1245))*(실물목록!$R$2:$R$1001&lt;&gt;""))&gt;0,"확인필요(입력누락)",IF(SUMPRODUCT((실물목록!$P$2:$P$1001&lt;&gt;"")*ISNUMBER(SEARCH(실물목록!$P$2:$P$1001,I1245))*(실물목록!$Q$2:$Q$1001&lt;&gt;"")*ISNUMBER(SEARCH(실물목록!$Q$2:$Q$1001,I1245))*(실물목록!$R$2:$R$1001="")*(실물목록!$O$2:$O$1001&lt;&gt;""))&gt;0,"확인필요(연도다름)","실물 없음")))))</f>
      </c>
      <c r="G1245" t="n" s="16">
        <f aca="0">IF(B1245="","",SUMPRODUCT((실물목록!$P$2:$P$1001&lt;&gt;"")*ISNUMBER(SEARCH(실물목록!$P$2:$P$1001,I1245))*(실물목록!$Q$2:$Q$1001&lt;&gt;"")*ISNUMBER(SEARCH(실물목록!$Q$2:$Q$1001,I1245))*(실물목록!$R$2:$R$1001="")*(실물목록!$O$2:$O$1001&lt;&gt;"")*(실물목록!$O$2:$O$1001=H1245)))</f>
      </c>
      <c r="H1245" t="str">
        <f>IFERROR(IF(AND(LEN(SUBSTITUTE(SUBSTITUTE(SUBSTITUTE(TRIM(A1245&amp;""),CHAR(160),"")," ",""),"년",""))=4,VALUE(SUBSTITUTE(SUBSTITUTE(SUBSTITUTE(TRIM(A1245&amp;""),CHAR(160),"")," ",""),"년",""))&gt;=1900,VALUE(SUBSTITUTE(SUBSTITUTE(SUBSTITUTE(TRIM(A1245&amp;""),CHAR(160),"")," ",""),"년",""))&lt;=2099,TEXT(VALUE(SUBSTITUTE(SUBSTITUTE(SUBSTITUTE(TRIM(A1245&amp;""),CHAR(160),"")," ",""),"년","")),"0000")=SUBSTITUTE(SUBSTITUTE(SUBSTITUTE(TRIM(A1245&amp;""),CHAR(160),"")," ",""),"년","")),SUBSTITUTE(SUBSTITUTE(SUBSTITUTE(TRIM(A1245&amp;""),CHAR(160),"")," ",""),"년",""),""),"")</f>
      </c>
      <c r="I1245" t="str">
        <f>SUBSTITUTE(SUBSTITUTE(SUBSTITUTE(SUBSTITUTE(SUBSTITUTE(TRIM(B1245&amp;""),CHAR(160),"")," ",""),"초등학교","초"),"중학교","중"),"고등학교","고")</f>
      </c>
    </row>
    <row r="1246" customFormat="false" ht="15" hidden="false" customHeight="false" outlineLevel="0" collapsed="false">
      <c r="A1246" s="8"/>
      <c r="B1246" s="8"/>
      <c r="C1246" s="8"/>
      <c r="D1246" s="8"/>
      <c r="E1246" s="8"/>
      <c r="F1246" t="str" s="15">
        <f aca="0">IF(B1246="","",IF(H1246="","확인필요(입력누락)",IF(SUMPRODUCT((실물목록!$P$2:$P$1001&lt;&gt;"")*ISNUMBER(SEARCH(실물목록!$P$2:$P$1001,I1246))*(실물목록!$Q$2:$Q$1001&lt;&gt;"")*ISNUMBER(SEARCH(실물목록!$Q$2:$Q$1001,I1246))*(실물목록!$R$2:$R$1001="")*(실물목록!$O$2:$O$1001&lt;&gt;"")*(실물목록!$O$2:$O$1001=H1246))&gt;0,"실물 있음",IF(SUMPRODUCT((실물목록!$P$2:$P$1001&lt;&gt;"")*ISNUMBER(SEARCH(실물목록!$P$2:$P$1001,I1246))*(실물목록!$R$2:$R$1001&lt;&gt;""))&gt;0,"확인필요(입력누락)",IF(SUMPRODUCT((실물목록!$P$2:$P$1001&lt;&gt;"")*ISNUMBER(SEARCH(실물목록!$P$2:$P$1001,I1246))*(실물목록!$Q$2:$Q$1001&lt;&gt;"")*ISNUMBER(SEARCH(실물목록!$Q$2:$Q$1001,I1246))*(실물목록!$R$2:$R$1001="")*(실물목록!$O$2:$O$1001&lt;&gt;""))&gt;0,"확인필요(연도다름)","실물 없음")))))</f>
      </c>
      <c r="G1246" t="n" s="16">
        <f aca="0">IF(B1246="","",SUMPRODUCT((실물목록!$P$2:$P$1001&lt;&gt;"")*ISNUMBER(SEARCH(실물목록!$P$2:$P$1001,I1246))*(실물목록!$Q$2:$Q$1001&lt;&gt;"")*ISNUMBER(SEARCH(실물목록!$Q$2:$Q$1001,I1246))*(실물목록!$R$2:$R$1001="")*(실물목록!$O$2:$O$1001&lt;&gt;"")*(실물목록!$O$2:$O$1001=H1246)))</f>
      </c>
      <c r="H1246" t="str">
        <f>IFERROR(IF(AND(LEN(SUBSTITUTE(SUBSTITUTE(SUBSTITUTE(TRIM(A1246&amp;""),CHAR(160),"")," ",""),"년",""))=4,VALUE(SUBSTITUTE(SUBSTITUTE(SUBSTITUTE(TRIM(A1246&amp;""),CHAR(160),"")," ",""),"년",""))&gt;=1900,VALUE(SUBSTITUTE(SUBSTITUTE(SUBSTITUTE(TRIM(A1246&amp;""),CHAR(160),"")," ",""),"년",""))&lt;=2099,TEXT(VALUE(SUBSTITUTE(SUBSTITUTE(SUBSTITUTE(TRIM(A1246&amp;""),CHAR(160),"")," ",""),"년","")),"0000")=SUBSTITUTE(SUBSTITUTE(SUBSTITUTE(TRIM(A1246&amp;""),CHAR(160),"")," ",""),"년","")),SUBSTITUTE(SUBSTITUTE(SUBSTITUTE(TRIM(A1246&amp;""),CHAR(160),"")," ",""),"년",""),""),"")</f>
      </c>
      <c r="I1246" t="str">
        <f>SUBSTITUTE(SUBSTITUTE(SUBSTITUTE(SUBSTITUTE(SUBSTITUTE(TRIM(B1246&amp;""),CHAR(160),"")," ",""),"초등학교","초"),"중학교","중"),"고등학교","고")</f>
      </c>
    </row>
    <row r="1247" customFormat="false" ht="15" hidden="false" customHeight="false" outlineLevel="0" collapsed="false">
      <c r="A1247" s="8"/>
      <c r="B1247" s="8"/>
      <c r="C1247" s="8"/>
      <c r="D1247" s="8"/>
      <c r="E1247" s="8"/>
      <c r="F1247" t="str" s="15">
        <f aca="0">IF(B1247="","",IF(H1247="","확인필요(입력누락)",IF(SUMPRODUCT((실물목록!$P$2:$P$1001&lt;&gt;"")*ISNUMBER(SEARCH(실물목록!$P$2:$P$1001,I1247))*(실물목록!$Q$2:$Q$1001&lt;&gt;"")*ISNUMBER(SEARCH(실물목록!$Q$2:$Q$1001,I1247))*(실물목록!$R$2:$R$1001="")*(실물목록!$O$2:$O$1001&lt;&gt;"")*(실물목록!$O$2:$O$1001=H1247))&gt;0,"실물 있음",IF(SUMPRODUCT((실물목록!$P$2:$P$1001&lt;&gt;"")*ISNUMBER(SEARCH(실물목록!$P$2:$P$1001,I1247))*(실물목록!$R$2:$R$1001&lt;&gt;""))&gt;0,"확인필요(입력누락)",IF(SUMPRODUCT((실물목록!$P$2:$P$1001&lt;&gt;"")*ISNUMBER(SEARCH(실물목록!$P$2:$P$1001,I1247))*(실물목록!$Q$2:$Q$1001&lt;&gt;"")*ISNUMBER(SEARCH(실물목록!$Q$2:$Q$1001,I1247))*(실물목록!$R$2:$R$1001="")*(실물목록!$O$2:$O$1001&lt;&gt;""))&gt;0,"확인필요(연도다름)","실물 없음")))))</f>
      </c>
      <c r="G1247" t="n" s="16">
        <f aca="0">IF(B1247="","",SUMPRODUCT((실물목록!$P$2:$P$1001&lt;&gt;"")*ISNUMBER(SEARCH(실물목록!$P$2:$P$1001,I1247))*(실물목록!$Q$2:$Q$1001&lt;&gt;"")*ISNUMBER(SEARCH(실물목록!$Q$2:$Q$1001,I1247))*(실물목록!$R$2:$R$1001="")*(실물목록!$O$2:$O$1001&lt;&gt;"")*(실물목록!$O$2:$O$1001=H1247)))</f>
      </c>
      <c r="H1247" t="str">
        <f>IFERROR(IF(AND(LEN(SUBSTITUTE(SUBSTITUTE(SUBSTITUTE(TRIM(A1247&amp;""),CHAR(160),"")," ",""),"년",""))=4,VALUE(SUBSTITUTE(SUBSTITUTE(SUBSTITUTE(TRIM(A1247&amp;""),CHAR(160),"")," ",""),"년",""))&gt;=1900,VALUE(SUBSTITUTE(SUBSTITUTE(SUBSTITUTE(TRIM(A1247&amp;""),CHAR(160),"")," ",""),"년",""))&lt;=2099,TEXT(VALUE(SUBSTITUTE(SUBSTITUTE(SUBSTITUTE(TRIM(A1247&amp;""),CHAR(160),"")," ",""),"년","")),"0000")=SUBSTITUTE(SUBSTITUTE(SUBSTITUTE(TRIM(A1247&amp;""),CHAR(160),"")," ",""),"년","")),SUBSTITUTE(SUBSTITUTE(SUBSTITUTE(TRIM(A1247&amp;""),CHAR(160),"")," ",""),"년",""),""),"")</f>
      </c>
      <c r="I1247" t="str">
        <f>SUBSTITUTE(SUBSTITUTE(SUBSTITUTE(SUBSTITUTE(SUBSTITUTE(TRIM(B1247&amp;""),CHAR(160),"")," ",""),"초등학교","초"),"중학교","중"),"고등학교","고")</f>
      </c>
    </row>
    <row r="1248" customFormat="false" ht="15" hidden="false" customHeight="false" outlineLevel="0" collapsed="false">
      <c r="A1248" s="8"/>
      <c r="B1248" s="8"/>
      <c r="C1248" s="8"/>
      <c r="D1248" s="8"/>
      <c r="E1248" s="8"/>
      <c r="F1248" t="str" s="15">
        <f aca="0">IF(B1248="","",IF(H1248="","확인필요(입력누락)",IF(SUMPRODUCT((실물목록!$P$2:$P$1001&lt;&gt;"")*ISNUMBER(SEARCH(실물목록!$P$2:$P$1001,I1248))*(실물목록!$Q$2:$Q$1001&lt;&gt;"")*ISNUMBER(SEARCH(실물목록!$Q$2:$Q$1001,I1248))*(실물목록!$R$2:$R$1001="")*(실물목록!$O$2:$O$1001&lt;&gt;"")*(실물목록!$O$2:$O$1001=H1248))&gt;0,"실물 있음",IF(SUMPRODUCT((실물목록!$P$2:$P$1001&lt;&gt;"")*ISNUMBER(SEARCH(실물목록!$P$2:$P$1001,I1248))*(실물목록!$R$2:$R$1001&lt;&gt;""))&gt;0,"확인필요(입력누락)",IF(SUMPRODUCT((실물목록!$P$2:$P$1001&lt;&gt;"")*ISNUMBER(SEARCH(실물목록!$P$2:$P$1001,I1248))*(실물목록!$Q$2:$Q$1001&lt;&gt;"")*ISNUMBER(SEARCH(실물목록!$Q$2:$Q$1001,I1248))*(실물목록!$R$2:$R$1001="")*(실물목록!$O$2:$O$1001&lt;&gt;""))&gt;0,"확인필요(연도다름)","실물 없음")))))</f>
      </c>
      <c r="G1248" t="n" s="16">
        <f aca="0">IF(B1248="","",SUMPRODUCT((실물목록!$P$2:$P$1001&lt;&gt;"")*ISNUMBER(SEARCH(실물목록!$P$2:$P$1001,I1248))*(실물목록!$Q$2:$Q$1001&lt;&gt;"")*ISNUMBER(SEARCH(실물목록!$Q$2:$Q$1001,I1248))*(실물목록!$R$2:$R$1001="")*(실물목록!$O$2:$O$1001&lt;&gt;"")*(실물목록!$O$2:$O$1001=H1248)))</f>
      </c>
      <c r="H1248" t="str">
        <f>IFERROR(IF(AND(LEN(SUBSTITUTE(SUBSTITUTE(SUBSTITUTE(TRIM(A1248&amp;""),CHAR(160),"")," ",""),"년",""))=4,VALUE(SUBSTITUTE(SUBSTITUTE(SUBSTITUTE(TRIM(A1248&amp;""),CHAR(160),"")," ",""),"년",""))&gt;=1900,VALUE(SUBSTITUTE(SUBSTITUTE(SUBSTITUTE(TRIM(A1248&amp;""),CHAR(160),"")," ",""),"년",""))&lt;=2099,TEXT(VALUE(SUBSTITUTE(SUBSTITUTE(SUBSTITUTE(TRIM(A1248&amp;""),CHAR(160),"")," ",""),"년","")),"0000")=SUBSTITUTE(SUBSTITUTE(SUBSTITUTE(TRIM(A1248&amp;""),CHAR(160),"")," ",""),"년","")),SUBSTITUTE(SUBSTITUTE(SUBSTITUTE(TRIM(A1248&amp;""),CHAR(160),"")," ",""),"년",""),""),"")</f>
      </c>
      <c r="I1248" t="str">
        <f>SUBSTITUTE(SUBSTITUTE(SUBSTITUTE(SUBSTITUTE(SUBSTITUTE(TRIM(B1248&amp;""),CHAR(160),"")," ",""),"초등학교","초"),"중학교","중"),"고등학교","고")</f>
      </c>
    </row>
    <row r="1249" customFormat="false" ht="15" hidden="false" customHeight="false" outlineLevel="0" collapsed="false">
      <c r="A1249" s="8"/>
      <c r="B1249" s="8"/>
      <c r="C1249" s="8"/>
      <c r="D1249" s="8"/>
      <c r="E1249" s="8"/>
      <c r="F1249" t="str" s="15">
        <f aca="0">IF(B1249="","",IF(H1249="","확인필요(입력누락)",IF(SUMPRODUCT((실물목록!$P$2:$P$1001&lt;&gt;"")*ISNUMBER(SEARCH(실물목록!$P$2:$P$1001,I1249))*(실물목록!$Q$2:$Q$1001&lt;&gt;"")*ISNUMBER(SEARCH(실물목록!$Q$2:$Q$1001,I1249))*(실물목록!$R$2:$R$1001="")*(실물목록!$O$2:$O$1001&lt;&gt;"")*(실물목록!$O$2:$O$1001=H1249))&gt;0,"실물 있음",IF(SUMPRODUCT((실물목록!$P$2:$P$1001&lt;&gt;"")*ISNUMBER(SEARCH(실물목록!$P$2:$P$1001,I1249))*(실물목록!$R$2:$R$1001&lt;&gt;""))&gt;0,"확인필요(입력누락)",IF(SUMPRODUCT((실물목록!$P$2:$P$1001&lt;&gt;"")*ISNUMBER(SEARCH(실물목록!$P$2:$P$1001,I1249))*(실물목록!$Q$2:$Q$1001&lt;&gt;"")*ISNUMBER(SEARCH(실물목록!$Q$2:$Q$1001,I1249))*(실물목록!$R$2:$R$1001="")*(실물목록!$O$2:$O$1001&lt;&gt;""))&gt;0,"확인필요(연도다름)","실물 없음")))))</f>
      </c>
      <c r="G1249" t="n" s="16">
        <f aca="0">IF(B1249="","",SUMPRODUCT((실물목록!$P$2:$P$1001&lt;&gt;"")*ISNUMBER(SEARCH(실물목록!$P$2:$P$1001,I1249))*(실물목록!$Q$2:$Q$1001&lt;&gt;"")*ISNUMBER(SEARCH(실물목록!$Q$2:$Q$1001,I1249))*(실물목록!$R$2:$R$1001="")*(실물목록!$O$2:$O$1001&lt;&gt;"")*(실물목록!$O$2:$O$1001=H1249)))</f>
      </c>
      <c r="H1249" t="str">
        <f>IFERROR(IF(AND(LEN(SUBSTITUTE(SUBSTITUTE(SUBSTITUTE(TRIM(A1249&amp;""),CHAR(160),"")," ",""),"년",""))=4,VALUE(SUBSTITUTE(SUBSTITUTE(SUBSTITUTE(TRIM(A1249&amp;""),CHAR(160),"")," ",""),"년",""))&gt;=1900,VALUE(SUBSTITUTE(SUBSTITUTE(SUBSTITUTE(TRIM(A1249&amp;""),CHAR(160),"")," ",""),"년",""))&lt;=2099,TEXT(VALUE(SUBSTITUTE(SUBSTITUTE(SUBSTITUTE(TRIM(A1249&amp;""),CHAR(160),"")," ",""),"년","")),"0000")=SUBSTITUTE(SUBSTITUTE(SUBSTITUTE(TRIM(A1249&amp;""),CHAR(160),"")," ",""),"년","")),SUBSTITUTE(SUBSTITUTE(SUBSTITUTE(TRIM(A1249&amp;""),CHAR(160),"")," ",""),"년",""),""),"")</f>
      </c>
      <c r="I1249" t="str">
        <f>SUBSTITUTE(SUBSTITUTE(SUBSTITUTE(SUBSTITUTE(SUBSTITUTE(TRIM(B1249&amp;""),CHAR(160),"")," ",""),"초등학교","초"),"중학교","중"),"고등학교","고")</f>
      </c>
    </row>
    <row r="1250" customFormat="false" ht="15" hidden="false" customHeight="false" outlineLevel="0" collapsed="false">
      <c r="A1250" s="8"/>
      <c r="B1250" s="8"/>
      <c r="C1250" s="8"/>
      <c r="D1250" s="8"/>
      <c r="E1250" s="8"/>
      <c r="F1250" t="str" s="15">
        <f aca="0">IF(B1250="","",IF(H1250="","확인필요(입력누락)",IF(SUMPRODUCT((실물목록!$P$2:$P$1001&lt;&gt;"")*ISNUMBER(SEARCH(실물목록!$P$2:$P$1001,I1250))*(실물목록!$Q$2:$Q$1001&lt;&gt;"")*ISNUMBER(SEARCH(실물목록!$Q$2:$Q$1001,I1250))*(실물목록!$R$2:$R$1001="")*(실물목록!$O$2:$O$1001&lt;&gt;"")*(실물목록!$O$2:$O$1001=H1250))&gt;0,"실물 있음",IF(SUMPRODUCT((실물목록!$P$2:$P$1001&lt;&gt;"")*ISNUMBER(SEARCH(실물목록!$P$2:$P$1001,I1250))*(실물목록!$R$2:$R$1001&lt;&gt;""))&gt;0,"확인필요(입력누락)",IF(SUMPRODUCT((실물목록!$P$2:$P$1001&lt;&gt;"")*ISNUMBER(SEARCH(실물목록!$P$2:$P$1001,I1250))*(실물목록!$Q$2:$Q$1001&lt;&gt;"")*ISNUMBER(SEARCH(실물목록!$Q$2:$Q$1001,I1250))*(실물목록!$R$2:$R$1001="")*(실물목록!$O$2:$O$1001&lt;&gt;""))&gt;0,"확인필요(연도다름)","실물 없음")))))</f>
      </c>
      <c r="G1250" t="n" s="16">
        <f aca="0">IF(B1250="","",SUMPRODUCT((실물목록!$P$2:$P$1001&lt;&gt;"")*ISNUMBER(SEARCH(실물목록!$P$2:$P$1001,I1250))*(실물목록!$Q$2:$Q$1001&lt;&gt;"")*ISNUMBER(SEARCH(실물목록!$Q$2:$Q$1001,I1250))*(실물목록!$R$2:$R$1001="")*(실물목록!$O$2:$O$1001&lt;&gt;"")*(실물목록!$O$2:$O$1001=H1250)))</f>
      </c>
      <c r="H1250" t="str">
        <f>IFERROR(IF(AND(LEN(SUBSTITUTE(SUBSTITUTE(SUBSTITUTE(TRIM(A1250&amp;""),CHAR(160),"")," ",""),"년",""))=4,VALUE(SUBSTITUTE(SUBSTITUTE(SUBSTITUTE(TRIM(A1250&amp;""),CHAR(160),"")," ",""),"년",""))&gt;=1900,VALUE(SUBSTITUTE(SUBSTITUTE(SUBSTITUTE(TRIM(A1250&amp;""),CHAR(160),"")," ",""),"년",""))&lt;=2099,TEXT(VALUE(SUBSTITUTE(SUBSTITUTE(SUBSTITUTE(TRIM(A1250&amp;""),CHAR(160),"")," ",""),"년","")),"0000")=SUBSTITUTE(SUBSTITUTE(SUBSTITUTE(TRIM(A1250&amp;""),CHAR(160),"")," ",""),"년","")),SUBSTITUTE(SUBSTITUTE(SUBSTITUTE(TRIM(A1250&amp;""),CHAR(160),"")," ",""),"년",""),""),"")</f>
      </c>
      <c r="I1250" t="str">
        <f>SUBSTITUTE(SUBSTITUTE(SUBSTITUTE(SUBSTITUTE(SUBSTITUTE(TRIM(B1250&amp;""),CHAR(160),"")," ",""),"초등학교","초"),"중학교","중"),"고등학교","고")</f>
      </c>
    </row>
    <row r="1251" customFormat="false" ht="15" hidden="false" customHeight="false" outlineLevel="0" collapsed="false">
      <c r="A1251" s="8"/>
      <c r="B1251" s="8"/>
      <c r="C1251" s="8"/>
      <c r="D1251" s="8"/>
      <c r="E1251" s="8"/>
      <c r="F1251" t="str" s="15">
        <f aca="0">IF(B1251="","",IF(H1251="","확인필요(입력누락)",IF(SUMPRODUCT((실물목록!$P$2:$P$1001&lt;&gt;"")*ISNUMBER(SEARCH(실물목록!$P$2:$P$1001,I1251))*(실물목록!$Q$2:$Q$1001&lt;&gt;"")*ISNUMBER(SEARCH(실물목록!$Q$2:$Q$1001,I1251))*(실물목록!$R$2:$R$1001="")*(실물목록!$O$2:$O$1001&lt;&gt;"")*(실물목록!$O$2:$O$1001=H1251))&gt;0,"실물 있음",IF(SUMPRODUCT((실물목록!$P$2:$P$1001&lt;&gt;"")*ISNUMBER(SEARCH(실물목록!$P$2:$P$1001,I1251))*(실물목록!$R$2:$R$1001&lt;&gt;""))&gt;0,"확인필요(입력누락)",IF(SUMPRODUCT((실물목록!$P$2:$P$1001&lt;&gt;"")*ISNUMBER(SEARCH(실물목록!$P$2:$P$1001,I1251))*(실물목록!$Q$2:$Q$1001&lt;&gt;"")*ISNUMBER(SEARCH(실물목록!$Q$2:$Q$1001,I1251))*(실물목록!$R$2:$R$1001="")*(실물목록!$O$2:$O$1001&lt;&gt;""))&gt;0,"확인필요(연도다름)","실물 없음")))))</f>
      </c>
      <c r="G1251" t="n" s="16">
        <f aca="0">IF(B1251="","",SUMPRODUCT((실물목록!$P$2:$P$1001&lt;&gt;"")*ISNUMBER(SEARCH(실물목록!$P$2:$P$1001,I1251))*(실물목록!$Q$2:$Q$1001&lt;&gt;"")*ISNUMBER(SEARCH(실물목록!$Q$2:$Q$1001,I1251))*(실물목록!$R$2:$R$1001="")*(실물목록!$O$2:$O$1001&lt;&gt;"")*(실물목록!$O$2:$O$1001=H1251)))</f>
      </c>
      <c r="H1251" t="str">
        <f>IFERROR(IF(AND(LEN(SUBSTITUTE(SUBSTITUTE(SUBSTITUTE(TRIM(A1251&amp;""),CHAR(160),"")," ",""),"년",""))=4,VALUE(SUBSTITUTE(SUBSTITUTE(SUBSTITUTE(TRIM(A1251&amp;""),CHAR(160),"")," ",""),"년",""))&gt;=1900,VALUE(SUBSTITUTE(SUBSTITUTE(SUBSTITUTE(TRIM(A1251&amp;""),CHAR(160),"")," ",""),"년",""))&lt;=2099,TEXT(VALUE(SUBSTITUTE(SUBSTITUTE(SUBSTITUTE(TRIM(A1251&amp;""),CHAR(160),"")," ",""),"년","")),"0000")=SUBSTITUTE(SUBSTITUTE(SUBSTITUTE(TRIM(A1251&amp;""),CHAR(160),"")," ",""),"년","")),SUBSTITUTE(SUBSTITUTE(SUBSTITUTE(TRIM(A1251&amp;""),CHAR(160),"")," ",""),"년",""),""),"")</f>
      </c>
      <c r="I1251" t="str">
        <f>SUBSTITUTE(SUBSTITUTE(SUBSTITUTE(SUBSTITUTE(SUBSTITUTE(TRIM(B1251&amp;""),CHAR(160),"")," ",""),"초등학교","초"),"중학교","중"),"고등학교","고")</f>
      </c>
    </row>
    <row r="1252" customFormat="false" ht="15" hidden="false" customHeight="false" outlineLevel="0" collapsed="false">
      <c r="A1252" s="8"/>
      <c r="B1252" s="8"/>
      <c r="C1252" s="8"/>
      <c r="D1252" s="8"/>
      <c r="E1252" s="8"/>
      <c r="F1252" t="str" s="15">
        <f aca="0">IF(B1252="","",IF(H1252="","확인필요(입력누락)",IF(SUMPRODUCT((실물목록!$P$2:$P$1001&lt;&gt;"")*ISNUMBER(SEARCH(실물목록!$P$2:$P$1001,I1252))*(실물목록!$Q$2:$Q$1001&lt;&gt;"")*ISNUMBER(SEARCH(실물목록!$Q$2:$Q$1001,I1252))*(실물목록!$R$2:$R$1001="")*(실물목록!$O$2:$O$1001&lt;&gt;"")*(실물목록!$O$2:$O$1001=H1252))&gt;0,"실물 있음",IF(SUMPRODUCT((실물목록!$P$2:$P$1001&lt;&gt;"")*ISNUMBER(SEARCH(실물목록!$P$2:$P$1001,I1252))*(실물목록!$R$2:$R$1001&lt;&gt;""))&gt;0,"확인필요(입력누락)",IF(SUMPRODUCT((실물목록!$P$2:$P$1001&lt;&gt;"")*ISNUMBER(SEARCH(실물목록!$P$2:$P$1001,I1252))*(실물목록!$Q$2:$Q$1001&lt;&gt;"")*ISNUMBER(SEARCH(실물목록!$Q$2:$Q$1001,I1252))*(실물목록!$R$2:$R$1001="")*(실물목록!$O$2:$O$1001&lt;&gt;""))&gt;0,"확인필요(연도다름)","실물 없음")))))</f>
      </c>
      <c r="G1252" t="n" s="16">
        <f aca="0">IF(B1252="","",SUMPRODUCT((실물목록!$P$2:$P$1001&lt;&gt;"")*ISNUMBER(SEARCH(실물목록!$P$2:$P$1001,I1252))*(실물목록!$Q$2:$Q$1001&lt;&gt;"")*ISNUMBER(SEARCH(실물목록!$Q$2:$Q$1001,I1252))*(실물목록!$R$2:$R$1001="")*(실물목록!$O$2:$O$1001&lt;&gt;"")*(실물목록!$O$2:$O$1001=H1252)))</f>
      </c>
      <c r="H1252" t="str">
        <f>IFERROR(IF(AND(LEN(SUBSTITUTE(SUBSTITUTE(SUBSTITUTE(TRIM(A1252&amp;""),CHAR(160),"")," ",""),"년",""))=4,VALUE(SUBSTITUTE(SUBSTITUTE(SUBSTITUTE(TRIM(A1252&amp;""),CHAR(160),"")," ",""),"년",""))&gt;=1900,VALUE(SUBSTITUTE(SUBSTITUTE(SUBSTITUTE(TRIM(A1252&amp;""),CHAR(160),"")," ",""),"년",""))&lt;=2099,TEXT(VALUE(SUBSTITUTE(SUBSTITUTE(SUBSTITUTE(TRIM(A1252&amp;""),CHAR(160),"")," ",""),"년","")),"0000")=SUBSTITUTE(SUBSTITUTE(SUBSTITUTE(TRIM(A1252&amp;""),CHAR(160),"")," ",""),"년","")),SUBSTITUTE(SUBSTITUTE(SUBSTITUTE(TRIM(A1252&amp;""),CHAR(160),"")," ",""),"년",""),""),"")</f>
      </c>
      <c r="I1252" t="str">
        <f>SUBSTITUTE(SUBSTITUTE(SUBSTITUTE(SUBSTITUTE(SUBSTITUTE(TRIM(B1252&amp;""),CHAR(160),"")," ",""),"초등학교","초"),"중학교","중"),"고등학교","고")</f>
      </c>
    </row>
    <row r="1253" customFormat="false" ht="15" hidden="false" customHeight="false" outlineLevel="0" collapsed="false">
      <c r="A1253" s="8"/>
      <c r="B1253" s="8"/>
      <c r="C1253" s="8"/>
      <c r="D1253" s="8"/>
      <c r="E1253" s="8"/>
      <c r="F1253" t="str" s="15">
        <f aca="0">IF(B1253="","",IF(H1253="","확인필요(입력누락)",IF(SUMPRODUCT((실물목록!$P$2:$P$1001&lt;&gt;"")*ISNUMBER(SEARCH(실물목록!$P$2:$P$1001,I1253))*(실물목록!$Q$2:$Q$1001&lt;&gt;"")*ISNUMBER(SEARCH(실물목록!$Q$2:$Q$1001,I1253))*(실물목록!$R$2:$R$1001="")*(실물목록!$O$2:$O$1001&lt;&gt;"")*(실물목록!$O$2:$O$1001=H1253))&gt;0,"실물 있음",IF(SUMPRODUCT((실물목록!$P$2:$P$1001&lt;&gt;"")*ISNUMBER(SEARCH(실물목록!$P$2:$P$1001,I1253))*(실물목록!$R$2:$R$1001&lt;&gt;""))&gt;0,"확인필요(입력누락)",IF(SUMPRODUCT((실물목록!$P$2:$P$1001&lt;&gt;"")*ISNUMBER(SEARCH(실물목록!$P$2:$P$1001,I1253))*(실물목록!$Q$2:$Q$1001&lt;&gt;"")*ISNUMBER(SEARCH(실물목록!$Q$2:$Q$1001,I1253))*(실물목록!$R$2:$R$1001="")*(실물목록!$O$2:$O$1001&lt;&gt;""))&gt;0,"확인필요(연도다름)","실물 없음")))))</f>
      </c>
      <c r="G1253" t="n" s="16">
        <f aca="0">IF(B1253="","",SUMPRODUCT((실물목록!$P$2:$P$1001&lt;&gt;"")*ISNUMBER(SEARCH(실물목록!$P$2:$P$1001,I1253))*(실물목록!$Q$2:$Q$1001&lt;&gt;"")*ISNUMBER(SEARCH(실물목록!$Q$2:$Q$1001,I1253))*(실물목록!$R$2:$R$1001="")*(실물목록!$O$2:$O$1001&lt;&gt;"")*(실물목록!$O$2:$O$1001=H1253)))</f>
      </c>
      <c r="H1253" t="str">
        <f>IFERROR(IF(AND(LEN(SUBSTITUTE(SUBSTITUTE(SUBSTITUTE(TRIM(A1253&amp;""),CHAR(160),"")," ",""),"년",""))=4,VALUE(SUBSTITUTE(SUBSTITUTE(SUBSTITUTE(TRIM(A1253&amp;""),CHAR(160),"")," ",""),"년",""))&gt;=1900,VALUE(SUBSTITUTE(SUBSTITUTE(SUBSTITUTE(TRIM(A1253&amp;""),CHAR(160),"")," ",""),"년",""))&lt;=2099,TEXT(VALUE(SUBSTITUTE(SUBSTITUTE(SUBSTITUTE(TRIM(A1253&amp;""),CHAR(160),"")," ",""),"년","")),"0000")=SUBSTITUTE(SUBSTITUTE(SUBSTITUTE(TRIM(A1253&amp;""),CHAR(160),"")," ",""),"년","")),SUBSTITUTE(SUBSTITUTE(SUBSTITUTE(TRIM(A1253&amp;""),CHAR(160),"")," ",""),"년",""),""),"")</f>
      </c>
      <c r="I1253" t="str">
        <f>SUBSTITUTE(SUBSTITUTE(SUBSTITUTE(SUBSTITUTE(SUBSTITUTE(TRIM(B1253&amp;""),CHAR(160),"")," ",""),"초등학교","초"),"중학교","중"),"고등학교","고")</f>
      </c>
    </row>
    <row r="1254" customFormat="false" ht="15" hidden="false" customHeight="false" outlineLevel="0" collapsed="false">
      <c r="A1254" s="8"/>
      <c r="B1254" s="8"/>
      <c r="C1254" s="8"/>
      <c r="D1254" s="8"/>
      <c r="E1254" s="8"/>
      <c r="F1254" t="str" s="15">
        <f aca="0">IF(B1254="","",IF(H1254="","확인필요(입력누락)",IF(SUMPRODUCT((실물목록!$P$2:$P$1001&lt;&gt;"")*ISNUMBER(SEARCH(실물목록!$P$2:$P$1001,I1254))*(실물목록!$Q$2:$Q$1001&lt;&gt;"")*ISNUMBER(SEARCH(실물목록!$Q$2:$Q$1001,I1254))*(실물목록!$R$2:$R$1001="")*(실물목록!$O$2:$O$1001&lt;&gt;"")*(실물목록!$O$2:$O$1001=H1254))&gt;0,"실물 있음",IF(SUMPRODUCT((실물목록!$P$2:$P$1001&lt;&gt;"")*ISNUMBER(SEARCH(실물목록!$P$2:$P$1001,I1254))*(실물목록!$R$2:$R$1001&lt;&gt;""))&gt;0,"확인필요(입력누락)",IF(SUMPRODUCT((실물목록!$P$2:$P$1001&lt;&gt;"")*ISNUMBER(SEARCH(실물목록!$P$2:$P$1001,I1254))*(실물목록!$Q$2:$Q$1001&lt;&gt;"")*ISNUMBER(SEARCH(실물목록!$Q$2:$Q$1001,I1254))*(실물목록!$R$2:$R$1001="")*(실물목록!$O$2:$O$1001&lt;&gt;""))&gt;0,"확인필요(연도다름)","실물 없음")))))</f>
      </c>
      <c r="G1254" t="n" s="16">
        <f aca="0">IF(B1254="","",SUMPRODUCT((실물목록!$P$2:$P$1001&lt;&gt;"")*ISNUMBER(SEARCH(실물목록!$P$2:$P$1001,I1254))*(실물목록!$Q$2:$Q$1001&lt;&gt;"")*ISNUMBER(SEARCH(실물목록!$Q$2:$Q$1001,I1254))*(실물목록!$R$2:$R$1001="")*(실물목록!$O$2:$O$1001&lt;&gt;"")*(실물목록!$O$2:$O$1001=H1254)))</f>
      </c>
      <c r="H1254" t="str">
        <f>IFERROR(IF(AND(LEN(SUBSTITUTE(SUBSTITUTE(SUBSTITUTE(TRIM(A1254&amp;""),CHAR(160),"")," ",""),"년",""))=4,VALUE(SUBSTITUTE(SUBSTITUTE(SUBSTITUTE(TRIM(A1254&amp;""),CHAR(160),"")," ",""),"년",""))&gt;=1900,VALUE(SUBSTITUTE(SUBSTITUTE(SUBSTITUTE(TRIM(A1254&amp;""),CHAR(160),"")," ",""),"년",""))&lt;=2099,TEXT(VALUE(SUBSTITUTE(SUBSTITUTE(SUBSTITUTE(TRIM(A1254&amp;""),CHAR(160),"")," ",""),"년","")),"0000")=SUBSTITUTE(SUBSTITUTE(SUBSTITUTE(TRIM(A1254&amp;""),CHAR(160),"")," ",""),"년","")),SUBSTITUTE(SUBSTITUTE(SUBSTITUTE(TRIM(A1254&amp;""),CHAR(160),"")," ",""),"년",""),""),"")</f>
      </c>
      <c r="I1254" t="str">
        <f>SUBSTITUTE(SUBSTITUTE(SUBSTITUTE(SUBSTITUTE(SUBSTITUTE(TRIM(B1254&amp;""),CHAR(160),"")," ",""),"초등학교","초"),"중학교","중"),"고등학교","고")</f>
      </c>
    </row>
    <row r="1255" customFormat="false" ht="15" hidden="false" customHeight="false" outlineLevel="0" collapsed="false">
      <c r="A1255" s="8"/>
      <c r="B1255" s="8"/>
      <c r="C1255" s="8"/>
      <c r="D1255" s="8"/>
      <c r="E1255" s="8"/>
      <c r="F1255" t="str" s="15">
        <f aca="0">IF(B1255="","",IF(H1255="","확인필요(입력누락)",IF(SUMPRODUCT((실물목록!$P$2:$P$1001&lt;&gt;"")*ISNUMBER(SEARCH(실물목록!$P$2:$P$1001,I1255))*(실물목록!$Q$2:$Q$1001&lt;&gt;"")*ISNUMBER(SEARCH(실물목록!$Q$2:$Q$1001,I1255))*(실물목록!$R$2:$R$1001="")*(실물목록!$O$2:$O$1001&lt;&gt;"")*(실물목록!$O$2:$O$1001=H1255))&gt;0,"실물 있음",IF(SUMPRODUCT((실물목록!$P$2:$P$1001&lt;&gt;"")*ISNUMBER(SEARCH(실물목록!$P$2:$P$1001,I1255))*(실물목록!$R$2:$R$1001&lt;&gt;""))&gt;0,"확인필요(입력누락)",IF(SUMPRODUCT((실물목록!$P$2:$P$1001&lt;&gt;"")*ISNUMBER(SEARCH(실물목록!$P$2:$P$1001,I1255))*(실물목록!$Q$2:$Q$1001&lt;&gt;"")*ISNUMBER(SEARCH(실물목록!$Q$2:$Q$1001,I1255))*(실물목록!$R$2:$R$1001="")*(실물목록!$O$2:$O$1001&lt;&gt;""))&gt;0,"확인필요(연도다름)","실물 없음")))))</f>
      </c>
      <c r="G1255" t="n" s="16">
        <f aca="0">IF(B1255="","",SUMPRODUCT((실물목록!$P$2:$P$1001&lt;&gt;"")*ISNUMBER(SEARCH(실물목록!$P$2:$P$1001,I1255))*(실물목록!$Q$2:$Q$1001&lt;&gt;"")*ISNUMBER(SEARCH(실물목록!$Q$2:$Q$1001,I1255))*(실물목록!$R$2:$R$1001="")*(실물목록!$O$2:$O$1001&lt;&gt;"")*(실물목록!$O$2:$O$1001=H1255)))</f>
      </c>
      <c r="H1255" t="str">
        <f>IFERROR(IF(AND(LEN(SUBSTITUTE(SUBSTITUTE(SUBSTITUTE(TRIM(A1255&amp;""),CHAR(160),"")," ",""),"년",""))=4,VALUE(SUBSTITUTE(SUBSTITUTE(SUBSTITUTE(TRIM(A1255&amp;""),CHAR(160),"")," ",""),"년",""))&gt;=1900,VALUE(SUBSTITUTE(SUBSTITUTE(SUBSTITUTE(TRIM(A1255&amp;""),CHAR(160),"")," ",""),"년",""))&lt;=2099,TEXT(VALUE(SUBSTITUTE(SUBSTITUTE(SUBSTITUTE(TRIM(A1255&amp;""),CHAR(160),"")," ",""),"년","")),"0000")=SUBSTITUTE(SUBSTITUTE(SUBSTITUTE(TRIM(A1255&amp;""),CHAR(160),"")," ",""),"년","")),SUBSTITUTE(SUBSTITUTE(SUBSTITUTE(TRIM(A1255&amp;""),CHAR(160),"")," ",""),"년",""),""),"")</f>
      </c>
      <c r="I1255" t="str">
        <f>SUBSTITUTE(SUBSTITUTE(SUBSTITUTE(SUBSTITUTE(SUBSTITUTE(TRIM(B1255&amp;""),CHAR(160),"")," ",""),"초등학교","초"),"중학교","중"),"고등학교","고")</f>
      </c>
    </row>
    <row r="1256" customFormat="false" ht="15" hidden="false" customHeight="false" outlineLevel="0" collapsed="false">
      <c r="A1256" s="8"/>
      <c r="B1256" s="8"/>
      <c r="C1256" s="8"/>
      <c r="D1256" s="8"/>
      <c r="E1256" s="8"/>
      <c r="F1256" t="str" s="15">
        <f aca="0">IF(B1256="","",IF(H1256="","확인필요(입력누락)",IF(SUMPRODUCT((실물목록!$P$2:$P$1001&lt;&gt;"")*ISNUMBER(SEARCH(실물목록!$P$2:$P$1001,I1256))*(실물목록!$Q$2:$Q$1001&lt;&gt;"")*ISNUMBER(SEARCH(실물목록!$Q$2:$Q$1001,I1256))*(실물목록!$R$2:$R$1001="")*(실물목록!$O$2:$O$1001&lt;&gt;"")*(실물목록!$O$2:$O$1001=H1256))&gt;0,"실물 있음",IF(SUMPRODUCT((실물목록!$P$2:$P$1001&lt;&gt;"")*ISNUMBER(SEARCH(실물목록!$P$2:$P$1001,I1256))*(실물목록!$R$2:$R$1001&lt;&gt;""))&gt;0,"확인필요(입력누락)",IF(SUMPRODUCT((실물목록!$P$2:$P$1001&lt;&gt;"")*ISNUMBER(SEARCH(실물목록!$P$2:$P$1001,I1256))*(실물목록!$Q$2:$Q$1001&lt;&gt;"")*ISNUMBER(SEARCH(실물목록!$Q$2:$Q$1001,I1256))*(실물목록!$R$2:$R$1001="")*(실물목록!$O$2:$O$1001&lt;&gt;""))&gt;0,"확인필요(연도다름)","실물 없음")))))</f>
      </c>
      <c r="G1256" t="n" s="16">
        <f aca="0">IF(B1256="","",SUMPRODUCT((실물목록!$P$2:$P$1001&lt;&gt;"")*ISNUMBER(SEARCH(실물목록!$P$2:$P$1001,I1256))*(실물목록!$Q$2:$Q$1001&lt;&gt;"")*ISNUMBER(SEARCH(실물목록!$Q$2:$Q$1001,I1256))*(실물목록!$R$2:$R$1001="")*(실물목록!$O$2:$O$1001&lt;&gt;"")*(실물목록!$O$2:$O$1001=H1256)))</f>
      </c>
      <c r="H1256" t="str">
        <f>IFERROR(IF(AND(LEN(SUBSTITUTE(SUBSTITUTE(SUBSTITUTE(TRIM(A1256&amp;""),CHAR(160),"")," ",""),"년",""))=4,VALUE(SUBSTITUTE(SUBSTITUTE(SUBSTITUTE(TRIM(A1256&amp;""),CHAR(160),"")," ",""),"년",""))&gt;=1900,VALUE(SUBSTITUTE(SUBSTITUTE(SUBSTITUTE(TRIM(A1256&amp;""),CHAR(160),"")," ",""),"년",""))&lt;=2099,TEXT(VALUE(SUBSTITUTE(SUBSTITUTE(SUBSTITUTE(TRIM(A1256&amp;""),CHAR(160),"")," ",""),"년","")),"0000")=SUBSTITUTE(SUBSTITUTE(SUBSTITUTE(TRIM(A1256&amp;""),CHAR(160),"")," ",""),"년","")),SUBSTITUTE(SUBSTITUTE(SUBSTITUTE(TRIM(A1256&amp;""),CHAR(160),"")," ",""),"년",""),""),"")</f>
      </c>
      <c r="I1256" t="str">
        <f>SUBSTITUTE(SUBSTITUTE(SUBSTITUTE(SUBSTITUTE(SUBSTITUTE(TRIM(B1256&amp;""),CHAR(160),"")," ",""),"초등학교","초"),"중학교","중"),"고등학교","고")</f>
      </c>
    </row>
    <row r="1257" customFormat="false" ht="15" hidden="false" customHeight="false" outlineLevel="0" collapsed="false">
      <c r="A1257" s="8"/>
      <c r="B1257" s="8"/>
      <c r="C1257" s="8"/>
      <c r="D1257" s="8"/>
      <c r="E1257" s="8"/>
      <c r="F1257" t="str" s="15">
        <f aca="0">IF(B1257="","",IF(H1257="","확인필요(입력누락)",IF(SUMPRODUCT((실물목록!$P$2:$P$1001&lt;&gt;"")*ISNUMBER(SEARCH(실물목록!$P$2:$P$1001,I1257))*(실물목록!$Q$2:$Q$1001&lt;&gt;"")*ISNUMBER(SEARCH(실물목록!$Q$2:$Q$1001,I1257))*(실물목록!$R$2:$R$1001="")*(실물목록!$O$2:$O$1001&lt;&gt;"")*(실물목록!$O$2:$O$1001=H1257))&gt;0,"실물 있음",IF(SUMPRODUCT((실물목록!$P$2:$P$1001&lt;&gt;"")*ISNUMBER(SEARCH(실물목록!$P$2:$P$1001,I1257))*(실물목록!$R$2:$R$1001&lt;&gt;""))&gt;0,"확인필요(입력누락)",IF(SUMPRODUCT((실물목록!$P$2:$P$1001&lt;&gt;"")*ISNUMBER(SEARCH(실물목록!$P$2:$P$1001,I1257))*(실물목록!$Q$2:$Q$1001&lt;&gt;"")*ISNUMBER(SEARCH(실물목록!$Q$2:$Q$1001,I1257))*(실물목록!$R$2:$R$1001="")*(실물목록!$O$2:$O$1001&lt;&gt;""))&gt;0,"확인필요(연도다름)","실물 없음")))))</f>
      </c>
      <c r="G1257" t="n" s="16">
        <f aca="0">IF(B1257="","",SUMPRODUCT((실물목록!$P$2:$P$1001&lt;&gt;"")*ISNUMBER(SEARCH(실물목록!$P$2:$P$1001,I1257))*(실물목록!$Q$2:$Q$1001&lt;&gt;"")*ISNUMBER(SEARCH(실물목록!$Q$2:$Q$1001,I1257))*(실물목록!$R$2:$R$1001="")*(실물목록!$O$2:$O$1001&lt;&gt;"")*(실물목록!$O$2:$O$1001=H1257)))</f>
      </c>
      <c r="H1257" t="str">
        <f>IFERROR(IF(AND(LEN(SUBSTITUTE(SUBSTITUTE(SUBSTITUTE(TRIM(A1257&amp;""),CHAR(160),"")," ",""),"년",""))=4,VALUE(SUBSTITUTE(SUBSTITUTE(SUBSTITUTE(TRIM(A1257&amp;""),CHAR(160),"")," ",""),"년",""))&gt;=1900,VALUE(SUBSTITUTE(SUBSTITUTE(SUBSTITUTE(TRIM(A1257&amp;""),CHAR(160),"")," ",""),"년",""))&lt;=2099,TEXT(VALUE(SUBSTITUTE(SUBSTITUTE(SUBSTITUTE(TRIM(A1257&amp;""),CHAR(160),"")," ",""),"년","")),"0000")=SUBSTITUTE(SUBSTITUTE(SUBSTITUTE(TRIM(A1257&amp;""),CHAR(160),"")," ",""),"년","")),SUBSTITUTE(SUBSTITUTE(SUBSTITUTE(TRIM(A1257&amp;""),CHAR(160),"")," ",""),"년",""),""),"")</f>
      </c>
      <c r="I1257" t="str">
        <f>SUBSTITUTE(SUBSTITUTE(SUBSTITUTE(SUBSTITUTE(SUBSTITUTE(TRIM(B1257&amp;""),CHAR(160),"")," ",""),"초등학교","초"),"중학교","중"),"고등학교","고")</f>
      </c>
    </row>
    <row r="1258" customFormat="false" ht="15" hidden="false" customHeight="false" outlineLevel="0" collapsed="false">
      <c r="A1258" s="8"/>
      <c r="B1258" s="8"/>
      <c r="C1258" s="8"/>
      <c r="D1258" s="8"/>
      <c r="E1258" s="8"/>
      <c r="F1258" t="str" s="15">
        <f aca="0">IF(B1258="","",IF(H1258="","확인필요(입력누락)",IF(SUMPRODUCT((실물목록!$P$2:$P$1001&lt;&gt;"")*ISNUMBER(SEARCH(실물목록!$P$2:$P$1001,I1258))*(실물목록!$Q$2:$Q$1001&lt;&gt;"")*ISNUMBER(SEARCH(실물목록!$Q$2:$Q$1001,I1258))*(실물목록!$R$2:$R$1001="")*(실물목록!$O$2:$O$1001&lt;&gt;"")*(실물목록!$O$2:$O$1001=H1258))&gt;0,"실물 있음",IF(SUMPRODUCT((실물목록!$P$2:$P$1001&lt;&gt;"")*ISNUMBER(SEARCH(실물목록!$P$2:$P$1001,I1258))*(실물목록!$R$2:$R$1001&lt;&gt;""))&gt;0,"확인필요(입력누락)",IF(SUMPRODUCT((실물목록!$P$2:$P$1001&lt;&gt;"")*ISNUMBER(SEARCH(실물목록!$P$2:$P$1001,I1258))*(실물목록!$Q$2:$Q$1001&lt;&gt;"")*ISNUMBER(SEARCH(실물목록!$Q$2:$Q$1001,I1258))*(실물목록!$R$2:$R$1001="")*(실물목록!$O$2:$O$1001&lt;&gt;""))&gt;0,"확인필요(연도다름)","실물 없음")))))</f>
      </c>
      <c r="G1258" t="n" s="16">
        <f aca="0">IF(B1258="","",SUMPRODUCT((실물목록!$P$2:$P$1001&lt;&gt;"")*ISNUMBER(SEARCH(실물목록!$P$2:$P$1001,I1258))*(실물목록!$Q$2:$Q$1001&lt;&gt;"")*ISNUMBER(SEARCH(실물목록!$Q$2:$Q$1001,I1258))*(실물목록!$R$2:$R$1001="")*(실물목록!$O$2:$O$1001&lt;&gt;"")*(실물목록!$O$2:$O$1001=H1258)))</f>
      </c>
      <c r="H1258" t="str">
        <f>IFERROR(IF(AND(LEN(SUBSTITUTE(SUBSTITUTE(SUBSTITUTE(TRIM(A1258&amp;""),CHAR(160),"")," ",""),"년",""))=4,VALUE(SUBSTITUTE(SUBSTITUTE(SUBSTITUTE(TRIM(A1258&amp;""),CHAR(160),"")," ",""),"년",""))&gt;=1900,VALUE(SUBSTITUTE(SUBSTITUTE(SUBSTITUTE(TRIM(A1258&amp;""),CHAR(160),"")," ",""),"년",""))&lt;=2099,TEXT(VALUE(SUBSTITUTE(SUBSTITUTE(SUBSTITUTE(TRIM(A1258&amp;""),CHAR(160),"")," ",""),"년","")),"0000")=SUBSTITUTE(SUBSTITUTE(SUBSTITUTE(TRIM(A1258&amp;""),CHAR(160),"")," ",""),"년","")),SUBSTITUTE(SUBSTITUTE(SUBSTITUTE(TRIM(A1258&amp;""),CHAR(160),"")," ",""),"년",""),""),"")</f>
      </c>
      <c r="I1258" t="str">
        <f>SUBSTITUTE(SUBSTITUTE(SUBSTITUTE(SUBSTITUTE(SUBSTITUTE(TRIM(B1258&amp;""),CHAR(160),"")," ",""),"초등학교","초"),"중학교","중"),"고등학교","고")</f>
      </c>
    </row>
    <row r="1259" customFormat="false" ht="15" hidden="false" customHeight="false" outlineLevel="0" collapsed="false">
      <c r="A1259" s="8"/>
      <c r="B1259" s="8"/>
      <c r="C1259" s="8"/>
      <c r="D1259" s="8"/>
      <c r="E1259" s="8"/>
      <c r="F1259" t="str" s="15">
        <f aca="0">IF(B1259="","",IF(H1259="","확인필요(입력누락)",IF(SUMPRODUCT((실물목록!$P$2:$P$1001&lt;&gt;"")*ISNUMBER(SEARCH(실물목록!$P$2:$P$1001,I1259))*(실물목록!$Q$2:$Q$1001&lt;&gt;"")*ISNUMBER(SEARCH(실물목록!$Q$2:$Q$1001,I1259))*(실물목록!$R$2:$R$1001="")*(실물목록!$O$2:$O$1001&lt;&gt;"")*(실물목록!$O$2:$O$1001=H1259))&gt;0,"실물 있음",IF(SUMPRODUCT((실물목록!$P$2:$P$1001&lt;&gt;"")*ISNUMBER(SEARCH(실물목록!$P$2:$P$1001,I1259))*(실물목록!$R$2:$R$1001&lt;&gt;""))&gt;0,"확인필요(입력누락)",IF(SUMPRODUCT((실물목록!$P$2:$P$1001&lt;&gt;"")*ISNUMBER(SEARCH(실물목록!$P$2:$P$1001,I1259))*(실물목록!$Q$2:$Q$1001&lt;&gt;"")*ISNUMBER(SEARCH(실물목록!$Q$2:$Q$1001,I1259))*(실물목록!$R$2:$R$1001="")*(실물목록!$O$2:$O$1001&lt;&gt;""))&gt;0,"확인필요(연도다름)","실물 없음")))))</f>
      </c>
      <c r="G1259" t="n" s="16">
        <f aca="0">IF(B1259="","",SUMPRODUCT((실물목록!$P$2:$P$1001&lt;&gt;"")*ISNUMBER(SEARCH(실물목록!$P$2:$P$1001,I1259))*(실물목록!$Q$2:$Q$1001&lt;&gt;"")*ISNUMBER(SEARCH(실물목록!$Q$2:$Q$1001,I1259))*(실물목록!$R$2:$R$1001="")*(실물목록!$O$2:$O$1001&lt;&gt;"")*(실물목록!$O$2:$O$1001=H1259)))</f>
      </c>
      <c r="H1259" t="str">
        <f>IFERROR(IF(AND(LEN(SUBSTITUTE(SUBSTITUTE(SUBSTITUTE(TRIM(A1259&amp;""),CHAR(160),"")," ",""),"년",""))=4,VALUE(SUBSTITUTE(SUBSTITUTE(SUBSTITUTE(TRIM(A1259&amp;""),CHAR(160),"")," ",""),"년",""))&gt;=1900,VALUE(SUBSTITUTE(SUBSTITUTE(SUBSTITUTE(TRIM(A1259&amp;""),CHAR(160),"")," ",""),"년",""))&lt;=2099,TEXT(VALUE(SUBSTITUTE(SUBSTITUTE(SUBSTITUTE(TRIM(A1259&amp;""),CHAR(160),"")," ",""),"년","")),"0000")=SUBSTITUTE(SUBSTITUTE(SUBSTITUTE(TRIM(A1259&amp;""),CHAR(160),"")," ",""),"년","")),SUBSTITUTE(SUBSTITUTE(SUBSTITUTE(TRIM(A1259&amp;""),CHAR(160),"")," ",""),"년",""),""),"")</f>
      </c>
      <c r="I1259" t="str">
        <f>SUBSTITUTE(SUBSTITUTE(SUBSTITUTE(SUBSTITUTE(SUBSTITUTE(TRIM(B1259&amp;""),CHAR(160),"")," ",""),"초등학교","초"),"중학교","중"),"고등학교","고")</f>
      </c>
    </row>
    <row r="1260" customFormat="false" ht="15" hidden="false" customHeight="false" outlineLevel="0" collapsed="false">
      <c r="A1260" s="8"/>
      <c r="B1260" s="8"/>
      <c r="C1260" s="8"/>
      <c r="D1260" s="8"/>
      <c r="E1260" s="8"/>
      <c r="F1260" t="str" s="15">
        <f aca="0">IF(B1260="","",IF(H1260="","확인필요(입력누락)",IF(SUMPRODUCT((실물목록!$P$2:$P$1001&lt;&gt;"")*ISNUMBER(SEARCH(실물목록!$P$2:$P$1001,I1260))*(실물목록!$Q$2:$Q$1001&lt;&gt;"")*ISNUMBER(SEARCH(실물목록!$Q$2:$Q$1001,I1260))*(실물목록!$R$2:$R$1001="")*(실물목록!$O$2:$O$1001&lt;&gt;"")*(실물목록!$O$2:$O$1001=H1260))&gt;0,"실물 있음",IF(SUMPRODUCT((실물목록!$P$2:$P$1001&lt;&gt;"")*ISNUMBER(SEARCH(실물목록!$P$2:$P$1001,I1260))*(실물목록!$R$2:$R$1001&lt;&gt;""))&gt;0,"확인필요(입력누락)",IF(SUMPRODUCT((실물목록!$P$2:$P$1001&lt;&gt;"")*ISNUMBER(SEARCH(실물목록!$P$2:$P$1001,I1260))*(실물목록!$Q$2:$Q$1001&lt;&gt;"")*ISNUMBER(SEARCH(실물목록!$Q$2:$Q$1001,I1260))*(실물목록!$R$2:$R$1001="")*(실물목록!$O$2:$O$1001&lt;&gt;""))&gt;0,"확인필요(연도다름)","실물 없음")))))</f>
      </c>
      <c r="G1260" t="n" s="16">
        <f aca="0">IF(B1260="","",SUMPRODUCT((실물목록!$P$2:$P$1001&lt;&gt;"")*ISNUMBER(SEARCH(실물목록!$P$2:$P$1001,I1260))*(실물목록!$Q$2:$Q$1001&lt;&gt;"")*ISNUMBER(SEARCH(실물목록!$Q$2:$Q$1001,I1260))*(실물목록!$R$2:$R$1001="")*(실물목록!$O$2:$O$1001&lt;&gt;"")*(실물목록!$O$2:$O$1001=H1260)))</f>
      </c>
      <c r="H1260" t="str">
        <f>IFERROR(IF(AND(LEN(SUBSTITUTE(SUBSTITUTE(SUBSTITUTE(TRIM(A1260&amp;""),CHAR(160),"")," ",""),"년",""))=4,VALUE(SUBSTITUTE(SUBSTITUTE(SUBSTITUTE(TRIM(A1260&amp;""),CHAR(160),"")," ",""),"년",""))&gt;=1900,VALUE(SUBSTITUTE(SUBSTITUTE(SUBSTITUTE(TRIM(A1260&amp;""),CHAR(160),"")," ",""),"년",""))&lt;=2099,TEXT(VALUE(SUBSTITUTE(SUBSTITUTE(SUBSTITUTE(TRIM(A1260&amp;""),CHAR(160),"")," ",""),"년","")),"0000")=SUBSTITUTE(SUBSTITUTE(SUBSTITUTE(TRIM(A1260&amp;""),CHAR(160),"")," ",""),"년","")),SUBSTITUTE(SUBSTITUTE(SUBSTITUTE(TRIM(A1260&amp;""),CHAR(160),"")," ",""),"년",""),""),"")</f>
      </c>
      <c r="I1260" t="str">
        <f>SUBSTITUTE(SUBSTITUTE(SUBSTITUTE(SUBSTITUTE(SUBSTITUTE(TRIM(B1260&amp;""),CHAR(160),"")," ",""),"초등학교","초"),"중학교","중"),"고등학교","고")</f>
      </c>
    </row>
    <row r="1261" customFormat="false" ht="15" hidden="false" customHeight="false" outlineLevel="0" collapsed="false">
      <c r="A1261" s="8"/>
      <c r="B1261" s="8"/>
      <c r="C1261" s="8"/>
      <c r="D1261" s="8"/>
      <c r="E1261" s="8"/>
      <c r="F1261" t="str" s="15">
        <f aca="0">IF(B1261="","",IF(H1261="","확인필요(입력누락)",IF(SUMPRODUCT((실물목록!$P$2:$P$1001&lt;&gt;"")*ISNUMBER(SEARCH(실물목록!$P$2:$P$1001,I1261))*(실물목록!$Q$2:$Q$1001&lt;&gt;"")*ISNUMBER(SEARCH(실물목록!$Q$2:$Q$1001,I1261))*(실물목록!$R$2:$R$1001="")*(실물목록!$O$2:$O$1001&lt;&gt;"")*(실물목록!$O$2:$O$1001=H1261))&gt;0,"실물 있음",IF(SUMPRODUCT((실물목록!$P$2:$P$1001&lt;&gt;"")*ISNUMBER(SEARCH(실물목록!$P$2:$P$1001,I1261))*(실물목록!$R$2:$R$1001&lt;&gt;""))&gt;0,"확인필요(입력누락)",IF(SUMPRODUCT((실물목록!$P$2:$P$1001&lt;&gt;"")*ISNUMBER(SEARCH(실물목록!$P$2:$P$1001,I1261))*(실물목록!$Q$2:$Q$1001&lt;&gt;"")*ISNUMBER(SEARCH(실물목록!$Q$2:$Q$1001,I1261))*(실물목록!$R$2:$R$1001="")*(실물목록!$O$2:$O$1001&lt;&gt;""))&gt;0,"확인필요(연도다름)","실물 없음")))))</f>
      </c>
      <c r="G1261" t="n" s="16">
        <f aca="0">IF(B1261="","",SUMPRODUCT((실물목록!$P$2:$P$1001&lt;&gt;"")*ISNUMBER(SEARCH(실물목록!$P$2:$P$1001,I1261))*(실물목록!$Q$2:$Q$1001&lt;&gt;"")*ISNUMBER(SEARCH(실물목록!$Q$2:$Q$1001,I1261))*(실물목록!$R$2:$R$1001="")*(실물목록!$O$2:$O$1001&lt;&gt;"")*(실물목록!$O$2:$O$1001=H1261)))</f>
      </c>
      <c r="H1261" t="str">
        <f>IFERROR(IF(AND(LEN(SUBSTITUTE(SUBSTITUTE(SUBSTITUTE(TRIM(A1261&amp;""),CHAR(160),"")," ",""),"년",""))=4,VALUE(SUBSTITUTE(SUBSTITUTE(SUBSTITUTE(TRIM(A1261&amp;""),CHAR(160),"")," ",""),"년",""))&gt;=1900,VALUE(SUBSTITUTE(SUBSTITUTE(SUBSTITUTE(TRIM(A1261&amp;""),CHAR(160),"")," ",""),"년",""))&lt;=2099,TEXT(VALUE(SUBSTITUTE(SUBSTITUTE(SUBSTITUTE(TRIM(A1261&amp;""),CHAR(160),"")," ",""),"년","")),"0000")=SUBSTITUTE(SUBSTITUTE(SUBSTITUTE(TRIM(A1261&amp;""),CHAR(160),"")," ",""),"년","")),SUBSTITUTE(SUBSTITUTE(SUBSTITUTE(TRIM(A1261&amp;""),CHAR(160),"")," ",""),"년",""),""),"")</f>
      </c>
      <c r="I1261" t="str">
        <f>SUBSTITUTE(SUBSTITUTE(SUBSTITUTE(SUBSTITUTE(SUBSTITUTE(TRIM(B1261&amp;""),CHAR(160),"")," ",""),"초등학교","초"),"중학교","중"),"고등학교","고")</f>
      </c>
    </row>
    <row r="1262" customFormat="false" ht="15" hidden="false" customHeight="false" outlineLevel="0" collapsed="false">
      <c r="A1262" s="8"/>
      <c r="B1262" s="8"/>
      <c r="C1262" s="8"/>
      <c r="D1262" s="8"/>
      <c r="E1262" s="8"/>
      <c r="F1262" t="str" s="15">
        <f aca="0">IF(B1262="","",IF(H1262="","확인필요(입력누락)",IF(SUMPRODUCT((실물목록!$P$2:$P$1001&lt;&gt;"")*ISNUMBER(SEARCH(실물목록!$P$2:$P$1001,I1262))*(실물목록!$Q$2:$Q$1001&lt;&gt;"")*ISNUMBER(SEARCH(실물목록!$Q$2:$Q$1001,I1262))*(실물목록!$R$2:$R$1001="")*(실물목록!$O$2:$O$1001&lt;&gt;"")*(실물목록!$O$2:$O$1001=H1262))&gt;0,"실물 있음",IF(SUMPRODUCT((실물목록!$P$2:$P$1001&lt;&gt;"")*ISNUMBER(SEARCH(실물목록!$P$2:$P$1001,I1262))*(실물목록!$R$2:$R$1001&lt;&gt;""))&gt;0,"확인필요(입력누락)",IF(SUMPRODUCT((실물목록!$P$2:$P$1001&lt;&gt;"")*ISNUMBER(SEARCH(실물목록!$P$2:$P$1001,I1262))*(실물목록!$Q$2:$Q$1001&lt;&gt;"")*ISNUMBER(SEARCH(실물목록!$Q$2:$Q$1001,I1262))*(실물목록!$R$2:$R$1001="")*(실물목록!$O$2:$O$1001&lt;&gt;""))&gt;0,"확인필요(연도다름)","실물 없음")))))</f>
      </c>
      <c r="G1262" t="n" s="16">
        <f aca="0">IF(B1262="","",SUMPRODUCT((실물목록!$P$2:$P$1001&lt;&gt;"")*ISNUMBER(SEARCH(실물목록!$P$2:$P$1001,I1262))*(실물목록!$Q$2:$Q$1001&lt;&gt;"")*ISNUMBER(SEARCH(실물목록!$Q$2:$Q$1001,I1262))*(실물목록!$R$2:$R$1001="")*(실물목록!$O$2:$O$1001&lt;&gt;"")*(실물목록!$O$2:$O$1001=H1262)))</f>
      </c>
      <c r="H1262" t="str">
        <f>IFERROR(IF(AND(LEN(SUBSTITUTE(SUBSTITUTE(SUBSTITUTE(TRIM(A1262&amp;""),CHAR(160),"")," ",""),"년",""))=4,VALUE(SUBSTITUTE(SUBSTITUTE(SUBSTITUTE(TRIM(A1262&amp;""),CHAR(160),"")," ",""),"년",""))&gt;=1900,VALUE(SUBSTITUTE(SUBSTITUTE(SUBSTITUTE(TRIM(A1262&amp;""),CHAR(160),"")," ",""),"년",""))&lt;=2099,TEXT(VALUE(SUBSTITUTE(SUBSTITUTE(SUBSTITUTE(TRIM(A1262&amp;""),CHAR(160),"")," ",""),"년","")),"0000")=SUBSTITUTE(SUBSTITUTE(SUBSTITUTE(TRIM(A1262&amp;""),CHAR(160),"")," ",""),"년","")),SUBSTITUTE(SUBSTITUTE(SUBSTITUTE(TRIM(A1262&amp;""),CHAR(160),"")," ",""),"년",""),""),"")</f>
      </c>
      <c r="I1262" t="str">
        <f>SUBSTITUTE(SUBSTITUTE(SUBSTITUTE(SUBSTITUTE(SUBSTITUTE(TRIM(B1262&amp;""),CHAR(160),"")," ",""),"초등학교","초"),"중학교","중"),"고등학교","고")</f>
      </c>
    </row>
    <row r="1263" customFormat="false" ht="15" hidden="false" customHeight="false" outlineLevel="0" collapsed="false">
      <c r="A1263" s="8"/>
      <c r="B1263" s="8"/>
      <c r="C1263" s="8"/>
      <c r="D1263" s="8"/>
      <c r="E1263" s="8"/>
      <c r="F1263" t="str" s="15">
        <f aca="0">IF(B1263="","",IF(H1263="","확인필요(입력누락)",IF(SUMPRODUCT((실물목록!$P$2:$P$1001&lt;&gt;"")*ISNUMBER(SEARCH(실물목록!$P$2:$P$1001,I1263))*(실물목록!$Q$2:$Q$1001&lt;&gt;"")*ISNUMBER(SEARCH(실물목록!$Q$2:$Q$1001,I1263))*(실물목록!$R$2:$R$1001="")*(실물목록!$O$2:$O$1001&lt;&gt;"")*(실물목록!$O$2:$O$1001=H1263))&gt;0,"실물 있음",IF(SUMPRODUCT((실물목록!$P$2:$P$1001&lt;&gt;"")*ISNUMBER(SEARCH(실물목록!$P$2:$P$1001,I1263))*(실물목록!$R$2:$R$1001&lt;&gt;""))&gt;0,"확인필요(입력누락)",IF(SUMPRODUCT((실물목록!$P$2:$P$1001&lt;&gt;"")*ISNUMBER(SEARCH(실물목록!$P$2:$P$1001,I1263))*(실물목록!$Q$2:$Q$1001&lt;&gt;"")*ISNUMBER(SEARCH(실물목록!$Q$2:$Q$1001,I1263))*(실물목록!$R$2:$R$1001="")*(실물목록!$O$2:$O$1001&lt;&gt;""))&gt;0,"확인필요(연도다름)","실물 없음")))))</f>
      </c>
      <c r="G1263" t="n" s="16">
        <f aca="0">IF(B1263="","",SUMPRODUCT((실물목록!$P$2:$P$1001&lt;&gt;"")*ISNUMBER(SEARCH(실물목록!$P$2:$P$1001,I1263))*(실물목록!$Q$2:$Q$1001&lt;&gt;"")*ISNUMBER(SEARCH(실물목록!$Q$2:$Q$1001,I1263))*(실물목록!$R$2:$R$1001="")*(실물목록!$O$2:$O$1001&lt;&gt;"")*(실물목록!$O$2:$O$1001=H1263)))</f>
      </c>
      <c r="H1263" t="str">
        <f>IFERROR(IF(AND(LEN(SUBSTITUTE(SUBSTITUTE(SUBSTITUTE(TRIM(A1263&amp;""),CHAR(160),"")," ",""),"년",""))=4,VALUE(SUBSTITUTE(SUBSTITUTE(SUBSTITUTE(TRIM(A1263&amp;""),CHAR(160),"")," ",""),"년",""))&gt;=1900,VALUE(SUBSTITUTE(SUBSTITUTE(SUBSTITUTE(TRIM(A1263&amp;""),CHAR(160),"")," ",""),"년",""))&lt;=2099,TEXT(VALUE(SUBSTITUTE(SUBSTITUTE(SUBSTITUTE(TRIM(A1263&amp;""),CHAR(160),"")," ",""),"년","")),"0000")=SUBSTITUTE(SUBSTITUTE(SUBSTITUTE(TRIM(A1263&amp;""),CHAR(160),"")," ",""),"년","")),SUBSTITUTE(SUBSTITUTE(SUBSTITUTE(TRIM(A1263&amp;""),CHAR(160),"")," ",""),"년",""),""),"")</f>
      </c>
      <c r="I1263" t="str">
        <f>SUBSTITUTE(SUBSTITUTE(SUBSTITUTE(SUBSTITUTE(SUBSTITUTE(TRIM(B1263&amp;""),CHAR(160),"")," ",""),"초등학교","초"),"중학교","중"),"고등학교","고")</f>
      </c>
    </row>
    <row r="1264" customFormat="false" ht="15" hidden="false" customHeight="false" outlineLevel="0" collapsed="false">
      <c r="A1264" s="8"/>
      <c r="B1264" s="8"/>
      <c r="C1264" s="8"/>
      <c r="D1264" s="8"/>
      <c r="E1264" s="8"/>
      <c r="F1264" t="str" s="15">
        <f aca="0">IF(B1264="","",IF(H1264="","확인필요(입력누락)",IF(SUMPRODUCT((실물목록!$P$2:$P$1001&lt;&gt;"")*ISNUMBER(SEARCH(실물목록!$P$2:$P$1001,I1264))*(실물목록!$Q$2:$Q$1001&lt;&gt;"")*ISNUMBER(SEARCH(실물목록!$Q$2:$Q$1001,I1264))*(실물목록!$R$2:$R$1001="")*(실물목록!$O$2:$O$1001&lt;&gt;"")*(실물목록!$O$2:$O$1001=H1264))&gt;0,"실물 있음",IF(SUMPRODUCT((실물목록!$P$2:$P$1001&lt;&gt;"")*ISNUMBER(SEARCH(실물목록!$P$2:$P$1001,I1264))*(실물목록!$R$2:$R$1001&lt;&gt;""))&gt;0,"확인필요(입력누락)",IF(SUMPRODUCT((실물목록!$P$2:$P$1001&lt;&gt;"")*ISNUMBER(SEARCH(실물목록!$P$2:$P$1001,I1264))*(실물목록!$Q$2:$Q$1001&lt;&gt;"")*ISNUMBER(SEARCH(실물목록!$Q$2:$Q$1001,I1264))*(실물목록!$R$2:$R$1001="")*(실물목록!$O$2:$O$1001&lt;&gt;""))&gt;0,"확인필요(연도다름)","실물 없음")))))</f>
      </c>
      <c r="G1264" t="n" s="16">
        <f aca="0">IF(B1264="","",SUMPRODUCT((실물목록!$P$2:$P$1001&lt;&gt;"")*ISNUMBER(SEARCH(실물목록!$P$2:$P$1001,I1264))*(실물목록!$Q$2:$Q$1001&lt;&gt;"")*ISNUMBER(SEARCH(실물목록!$Q$2:$Q$1001,I1264))*(실물목록!$R$2:$R$1001="")*(실물목록!$O$2:$O$1001&lt;&gt;"")*(실물목록!$O$2:$O$1001=H1264)))</f>
      </c>
      <c r="H1264" t="str">
        <f>IFERROR(IF(AND(LEN(SUBSTITUTE(SUBSTITUTE(SUBSTITUTE(TRIM(A1264&amp;""),CHAR(160),"")," ",""),"년",""))=4,VALUE(SUBSTITUTE(SUBSTITUTE(SUBSTITUTE(TRIM(A1264&amp;""),CHAR(160),"")," ",""),"년",""))&gt;=1900,VALUE(SUBSTITUTE(SUBSTITUTE(SUBSTITUTE(TRIM(A1264&amp;""),CHAR(160),"")," ",""),"년",""))&lt;=2099,TEXT(VALUE(SUBSTITUTE(SUBSTITUTE(SUBSTITUTE(TRIM(A1264&amp;""),CHAR(160),"")," ",""),"년","")),"0000")=SUBSTITUTE(SUBSTITUTE(SUBSTITUTE(TRIM(A1264&amp;""),CHAR(160),"")," ",""),"년","")),SUBSTITUTE(SUBSTITUTE(SUBSTITUTE(TRIM(A1264&amp;""),CHAR(160),"")," ",""),"년",""),""),"")</f>
      </c>
      <c r="I1264" t="str">
        <f>SUBSTITUTE(SUBSTITUTE(SUBSTITUTE(SUBSTITUTE(SUBSTITUTE(TRIM(B1264&amp;""),CHAR(160),"")," ",""),"초등학교","초"),"중학교","중"),"고등학교","고")</f>
      </c>
    </row>
    <row r="1265" customFormat="false" ht="15" hidden="false" customHeight="false" outlineLevel="0" collapsed="false">
      <c r="A1265" s="8"/>
      <c r="B1265" s="8"/>
      <c r="C1265" s="8"/>
      <c r="D1265" s="8"/>
      <c r="E1265" s="8"/>
      <c r="F1265" t="str" s="15">
        <f aca="0">IF(B1265="","",IF(H1265="","확인필요(입력누락)",IF(SUMPRODUCT((실물목록!$P$2:$P$1001&lt;&gt;"")*ISNUMBER(SEARCH(실물목록!$P$2:$P$1001,I1265))*(실물목록!$Q$2:$Q$1001&lt;&gt;"")*ISNUMBER(SEARCH(실물목록!$Q$2:$Q$1001,I1265))*(실물목록!$R$2:$R$1001="")*(실물목록!$O$2:$O$1001&lt;&gt;"")*(실물목록!$O$2:$O$1001=H1265))&gt;0,"실물 있음",IF(SUMPRODUCT((실물목록!$P$2:$P$1001&lt;&gt;"")*ISNUMBER(SEARCH(실물목록!$P$2:$P$1001,I1265))*(실물목록!$R$2:$R$1001&lt;&gt;""))&gt;0,"확인필요(입력누락)",IF(SUMPRODUCT((실물목록!$P$2:$P$1001&lt;&gt;"")*ISNUMBER(SEARCH(실물목록!$P$2:$P$1001,I1265))*(실물목록!$Q$2:$Q$1001&lt;&gt;"")*ISNUMBER(SEARCH(실물목록!$Q$2:$Q$1001,I1265))*(실물목록!$R$2:$R$1001="")*(실물목록!$O$2:$O$1001&lt;&gt;""))&gt;0,"확인필요(연도다름)","실물 없음")))))</f>
      </c>
      <c r="G1265" t="n" s="16">
        <f aca="0">IF(B1265="","",SUMPRODUCT((실물목록!$P$2:$P$1001&lt;&gt;"")*ISNUMBER(SEARCH(실물목록!$P$2:$P$1001,I1265))*(실물목록!$Q$2:$Q$1001&lt;&gt;"")*ISNUMBER(SEARCH(실물목록!$Q$2:$Q$1001,I1265))*(실물목록!$R$2:$R$1001="")*(실물목록!$O$2:$O$1001&lt;&gt;"")*(실물목록!$O$2:$O$1001=H1265)))</f>
      </c>
      <c r="H1265" t="str">
        <f>IFERROR(IF(AND(LEN(SUBSTITUTE(SUBSTITUTE(SUBSTITUTE(TRIM(A1265&amp;""),CHAR(160),"")," ",""),"년",""))=4,VALUE(SUBSTITUTE(SUBSTITUTE(SUBSTITUTE(TRIM(A1265&amp;""),CHAR(160),"")," ",""),"년",""))&gt;=1900,VALUE(SUBSTITUTE(SUBSTITUTE(SUBSTITUTE(TRIM(A1265&amp;""),CHAR(160),"")," ",""),"년",""))&lt;=2099,TEXT(VALUE(SUBSTITUTE(SUBSTITUTE(SUBSTITUTE(TRIM(A1265&amp;""),CHAR(160),"")," ",""),"년","")),"0000")=SUBSTITUTE(SUBSTITUTE(SUBSTITUTE(TRIM(A1265&amp;""),CHAR(160),"")," ",""),"년","")),SUBSTITUTE(SUBSTITUTE(SUBSTITUTE(TRIM(A1265&amp;""),CHAR(160),"")," ",""),"년",""),""),"")</f>
      </c>
      <c r="I1265" t="str">
        <f>SUBSTITUTE(SUBSTITUTE(SUBSTITUTE(SUBSTITUTE(SUBSTITUTE(TRIM(B1265&amp;""),CHAR(160),"")," ",""),"초등학교","초"),"중학교","중"),"고등학교","고")</f>
      </c>
    </row>
    <row r="1266" customFormat="false" ht="15" hidden="false" customHeight="false" outlineLevel="0" collapsed="false">
      <c r="A1266" s="8"/>
      <c r="B1266" s="8"/>
      <c r="C1266" s="8"/>
      <c r="D1266" s="8"/>
      <c r="E1266" s="8"/>
      <c r="F1266" t="str" s="15">
        <f aca="0">IF(B1266="","",IF(H1266="","확인필요(입력누락)",IF(SUMPRODUCT((실물목록!$P$2:$P$1001&lt;&gt;"")*ISNUMBER(SEARCH(실물목록!$P$2:$P$1001,I1266))*(실물목록!$Q$2:$Q$1001&lt;&gt;"")*ISNUMBER(SEARCH(실물목록!$Q$2:$Q$1001,I1266))*(실물목록!$R$2:$R$1001="")*(실물목록!$O$2:$O$1001&lt;&gt;"")*(실물목록!$O$2:$O$1001=H1266))&gt;0,"실물 있음",IF(SUMPRODUCT((실물목록!$P$2:$P$1001&lt;&gt;"")*ISNUMBER(SEARCH(실물목록!$P$2:$P$1001,I1266))*(실물목록!$R$2:$R$1001&lt;&gt;""))&gt;0,"확인필요(입력누락)",IF(SUMPRODUCT((실물목록!$P$2:$P$1001&lt;&gt;"")*ISNUMBER(SEARCH(실물목록!$P$2:$P$1001,I1266))*(실물목록!$Q$2:$Q$1001&lt;&gt;"")*ISNUMBER(SEARCH(실물목록!$Q$2:$Q$1001,I1266))*(실물목록!$R$2:$R$1001="")*(실물목록!$O$2:$O$1001&lt;&gt;""))&gt;0,"확인필요(연도다름)","실물 없음")))))</f>
      </c>
      <c r="G1266" t="n" s="16">
        <f aca="0">IF(B1266="","",SUMPRODUCT((실물목록!$P$2:$P$1001&lt;&gt;"")*ISNUMBER(SEARCH(실물목록!$P$2:$P$1001,I1266))*(실물목록!$Q$2:$Q$1001&lt;&gt;"")*ISNUMBER(SEARCH(실물목록!$Q$2:$Q$1001,I1266))*(실물목록!$R$2:$R$1001="")*(실물목록!$O$2:$O$1001&lt;&gt;"")*(실물목록!$O$2:$O$1001=H1266)))</f>
      </c>
      <c r="H1266" t="str">
        <f>IFERROR(IF(AND(LEN(SUBSTITUTE(SUBSTITUTE(SUBSTITUTE(TRIM(A1266&amp;""),CHAR(160),"")," ",""),"년",""))=4,VALUE(SUBSTITUTE(SUBSTITUTE(SUBSTITUTE(TRIM(A1266&amp;""),CHAR(160),"")," ",""),"년",""))&gt;=1900,VALUE(SUBSTITUTE(SUBSTITUTE(SUBSTITUTE(TRIM(A1266&amp;""),CHAR(160),"")," ",""),"년",""))&lt;=2099,TEXT(VALUE(SUBSTITUTE(SUBSTITUTE(SUBSTITUTE(TRIM(A1266&amp;""),CHAR(160),"")," ",""),"년","")),"0000")=SUBSTITUTE(SUBSTITUTE(SUBSTITUTE(TRIM(A1266&amp;""),CHAR(160),"")," ",""),"년","")),SUBSTITUTE(SUBSTITUTE(SUBSTITUTE(TRIM(A1266&amp;""),CHAR(160),"")," ",""),"년",""),""),"")</f>
      </c>
      <c r="I1266" t="str">
        <f>SUBSTITUTE(SUBSTITUTE(SUBSTITUTE(SUBSTITUTE(SUBSTITUTE(TRIM(B1266&amp;""),CHAR(160),"")," ",""),"초등학교","초"),"중학교","중"),"고등학교","고")</f>
      </c>
    </row>
    <row r="1267" customFormat="false" ht="15" hidden="false" customHeight="false" outlineLevel="0" collapsed="false">
      <c r="A1267" s="8"/>
      <c r="B1267" s="8"/>
      <c r="C1267" s="8"/>
      <c r="D1267" s="8"/>
      <c r="E1267" s="8"/>
      <c r="F1267" t="str" s="15">
        <f aca="0">IF(B1267="","",IF(H1267="","확인필요(입력누락)",IF(SUMPRODUCT((실물목록!$P$2:$P$1001&lt;&gt;"")*ISNUMBER(SEARCH(실물목록!$P$2:$P$1001,I1267))*(실물목록!$Q$2:$Q$1001&lt;&gt;"")*ISNUMBER(SEARCH(실물목록!$Q$2:$Q$1001,I1267))*(실물목록!$R$2:$R$1001="")*(실물목록!$O$2:$O$1001&lt;&gt;"")*(실물목록!$O$2:$O$1001=H1267))&gt;0,"실물 있음",IF(SUMPRODUCT((실물목록!$P$2:$P$1001&lt;&gt;"")*ISNUMBER(SEARCH(실물목록!$P$2:$P$1001,I1267))*(실물목록!$R$2:$R$1001&lt;&gt;""))&gt;0,"확인필요(입력누락)",IF(SUMPRODUCT((실물목록!$P$2:$P$1001&lt;&gt;"")*ISNUMBER(SEARCH(실물목록!$P$2:$P$1001,I1267))*(실물목록!$Q$2:$Q$1001&lt;&gt;"")*ISNUMBER(SEARCH(실물목록!$Q$2:$Q$1001,I1267))*(실물목록!$R$2:$R$1001="")*(실물목록!$O$2:$O$1001&lt;&gt;""))&gt;0,"확인필요(연도다름)","실물 없음")))))</f>
      </c>
      <c r="G1267" t="n" s="16">
        <f aca="0">IF(B1267="","",SUMPRODUCT((실물목록!$P$2:$P$1001&lt;&gt;"")*ISNUMBER(SEARCH(실물목록!$P$2:$P$1001,I1267))*(실물목록!$Q$2:$Q$1001&lt;&gt;"")*ISNUMBER(SEARCH(실물목록!$Q$2:$Q$1001,I1267))*(실물목록!$R$2:$R$1001="")*(실물목록!$O$2:$O$1001&lt;&gt;"")*(실물목록!$O$2:$O$1001=H1267)))</f>
      </c>
      <c r="H1267" t="str">
        <f>IFERROR(IF(AND(LEN(SUBSTITUTE(SUBSTITUTE(SUBSTITUTE(TRIM(A1267&amp;""),CHAR(160),"")," ",""),"년",""))=4,VALUE(SUBSTITUTE(SUBSTITUTE(SUBSTITUTE(TRIM(A1267&amp;""),CHAR(160),"")," ",""),"년",""))&gt;=1900,VALUE(SUBSTITUTE(SUBSTITUTE(SUBSTITUTE(TRIM(A1267&amp;""),CHAR(160),"")," ",""),"년",""))&lt;=2099,TEXT(VALUE(SUBSTITUTE(SUBSTITUTE(SUBSTITUTE(TRIM(A1267&amp;""),CHAR(160),"")," ",""),"년","")),"0000")=SUBSTITUTE(SUBSTITUTE(SUBSTITUTE(TRIM(A1267&amp;""),CHAR(160),"")," ",""),"년","")),SUBSTITUTE(SUBSTITUTE(SUBSTITUTE(TRIM(A1267&amp;""),CHAR(160),"")," ",""),"년",""),""),"")</f>
      </c>
      <c r="I1267" t="str">
        <f>SUBSTITUTE(SUBSTITUTE(SUBSTITUTE(SUBSTITUTE(SUBSTITUTE(TRIM(B1267&amp;""),CHAR(160),"")," ",""),"초등학교","초"),"중학교","중"),"고등학교","고")</f>
      </c>
    </row>
    <row r="1268" customFormat="false" ht="15" hidden="false" customHeight="false" outlineLevel="0" collapsed="false">
      <c r="A1268" s="8"/>
      <c r="B1268" s="8"/>
      <c r="C1268" s="8"/>
      <c r="D1268" s="8"/>
      <c r="E1268" s="8"/>
      <c r="F1268" t="str" s="15">
        <f aca="0">IF(B1268="","",IF(H1268="","확인필요(입력누락)",IF(SUMPRODUCT((실물목록!$P$2:$P$1001&lt;&gt;"")*ISNUMBER(SEARCH(실물목록!$P$2:$P$1001,I1268))*(실물목록!$Q$2:$Q$1001&lt;&gt;"")*ISNUMBER(SEARCH(실물목록!$Q$2:$Q$1001,I1268))*(실물목록!$R$2:$R$1001="")*(실물목록!$O$2:$O$1001&lt;&gt;"")*(실물목록!$O$2:$O$1001=H1268))&gt;0,"실물 있음",IF(SUMPRODUCT((실물목록!$P$2:$P$1001&lt;&gt;"")*ISNUMBER(SEARCH(실물목록!$P$2:$P$1001,I1268))*(실물목록!$R$2:$R$1001&lt;&gt;""))&gt;0,"확인필요(입력누락)",IF(SUMPRODUCT((실물목록!$P$2:$P$1001&lt;&gt;"")*ISNUMBER(SEARCH(실물목록!$P$2:$P$1001,I1268))*(실물목록!$Q$2:$Q$1001&lt;&gt;"")*ISNUMBER(SEARCH(실물목록!$Q$2:$Q$1001,I1268))*(실물목록!$R$2:$R$1001="")*(실물목록!$O$2:$O$1001&lt;&gt;""))&gt;0,"확인필요(연도다름)","실물 없음")))))</f>
      </c>
      <c r="G1268" t="n" s="16">
        <f aca="0">IF(B1268="","",SUMPRODUCT((실물목록!$P$2:$P$1001&lt;&gt;"")*ISNUMBER(SEARCH(실물목록!$P$2:$P$1001,I1268))*(실물목록!$Q$2:$Q$1001&lt;&gt;"")*ISNUMBER(SEARCH(실물목록!$Q$2:$Q$1001,I1268))*(실물목록!$R$2:$R$1001="")*(실물목록!$O$2:$O$1001&lt;&gt;"")*(실물목록!$O$2:$O$1001=H1268)))</f>
      </c>
      <c r="H1268" t="str">
        <f>IFERROR(IF(AND(LEN(SUBSTITUTE(SUBSTITUTE(SUBSTITUTE(TRIM(A1268&amp;""),CHAR(160),"")," ",""),"년",""))=4,VALUE(SUBSTITUTE(SUBSTITUTE(SUBSTITUTE(TRIM(A1268&amp;""),CHAR(160),"")," ",""),"년",""))&gt;=1900,VALUE(SUBSTITUTE(SUBSTITUTE(SUBSTITUTE(TRIM(A1268&amp;""),CHAR(160),"")," ",""),"년",""))&lt;=2099,TEXT(VALUE(SUBSTITUTE(SUBSTITUTE(SUBSTITUTE(TRIM(A1268&amp;""),CHAR(160),"")," ",""),"년","")),"0000")=SUBSTITUTE(SUBSTITUTE(SUBSTITUTE(TRIM(A1268&amp;""),CHAR(160),"")," ",""),"년","")),SUBSTITUTE(SUBSTITUTE(SUBSTITUTE(TRIM(A1268&amp;""),CHAR(160),"")," ",""),"년",""),""),"")</f>
      </c>
      <c r="I1268" t="str">
        <f>SUBSTITUTE(SUBSTITUTE(SUBSTITUTE(SUBSTITUTE(SUBSTITUTE(TRIM(B1268&amp;""),CHAR(160),"")," ",""),"초등학교","초"),"중학교","중"),"고등학교","고")</f>
      </c>
    </row>
    <row r="1269" customFormat="false" ht="15" hidden="false" customHeight="false" outlineLevel="0" collapsed="false">
      <c r="A1269" s="8"/>
      <c r="B1269" s="8"/>
      <c r="C1269" s="8"/>
      <c r="D1269" s="8"/>
      <c r="E1269" s="8"/>
      <c r="F1269" t="str" s="15">
        <f aca="0">IF(B1269="","",IF(H1269="","확인필요(입력누락)",IF(SUMPRODUCT((실물목록!$P$2:$P$1001&lt;&gt;"")*ISNUMBER(SEARCH(실물목록!$P$2:$P$1001,I1269))*(실물목록!$Q$2:$Q$1001&lt;&gt;"")*ISNUMBER(SEARCH(실물목록!$Q$2:$Q$1001,I1269))*(실물목록!$R$2:$R$1001="")*(실물목록!$O$2:$O$1001&lt;&gt;"")*(실물목록!$O$2:$O$1001=H1269))&gt;0,"실물 있음",IF(SUMPRODUCT((실물목록!$P$2:$P$1001&lt;&gt;"")*ISNUMBER(SEARCH(실물목록!$P$2:$P$1001,I1269))*(실물목록!$R$2:$R$1001&lt;&gt;""))&gt;0,"확인필요(입력누락)",IF(SUMPRODUCT((실물목록!$P$2:$P$1001&lt;&gt;"")*ISNUMBER(SEARCH(실물목록!$P$2:$P$1001,I1269))*(실물목록!$Q$2:$Q$1001&lt;&gt;"")*ISNUMBER(SEARCH(실물목록!$Q$2:$Q$1001,I1269))*(실물목록!$R$2:$R$1001="")*(실물목록!$O$2:$O$1001&lt;&gt;""))&gt;0,"확인필요(연도다름)","실물 없음")))))</f>
      </c>
      <c r="G1269" t="n" s="16">
        <f aca="0">IF(B1269="","",SUMPRODUCT((실물목록!$P$2:$P$1001&lt;&gt;"")*ISNUMBER(SEARCH(실물목록!$P$2:$P$1001,I1269))*(실물목록!$Q$2:$Q$1001&lt;&gt;"")*ISNUMBER(SEARCH(실물목록!$Q$2:$Q$1001,I1269))*(실물목록!$R$2:$R$1001="")*(실물목록!$O$2:$O$1001&lt;&gt;"")*(실물목록!$O$2:$O$1001=H1269)))</f>
      </c>
      <c r="H1269" t="str">
        <f>IFERROR(IF(AND(LEN(SUBSTITUTE(SUBSTITUTE(SUBSTITUTE(TRIM(A1269&amp;""),CHAR(160),"")," ",""),"년",""))=4,VALUE(SUBSTITUTE(SUBSTITUTE(SUBSTITUTE(TRIM(A1269&amp;""),CHAR(160),"")," ",""),"년",""))&gt;=1900,VALUE(SUBSTITUTE(SUBSTITUTE(SUBSTITUTE(TRIM(A1269&amp;""),CHAR(160),"")," ",""),"년",""))&lt;=2099,TEXT(VALUE(SUBSTITUTE(SUBSTITUTE(SUBSTITUTE(TRIM(A1269&amp;""),CHAR(160),"")," ",""),"년","")),"0000")=SUBSTITUTE(SUBSTITUTE(SUBSTITUTE(TRIM(A1269&amp;""),CHAR(160),"")," ",""),"년","")),SUBSTITUTE(SUBSTITUTE(SUBSTITUTE(TRIM(A1269&amp;""),CHAR(160),"")," ",""),"년",""),""),"")</f>
      </c>
      <c r="I1269" t="str">
        <f>SUBSTITUTE(SUBSTITUTE(SUBSTITUTE(SUBSTITUTE(SUBSTITUTE(TRIM(B1269&amp;""),CHAR(160),"")," ",""),"초등학교","초"),"중학교","중"),"고등학교","고")</f>
      </c>
    </row>
    <row r="1270" customFormat="false" ht="15" hidden="false" customHeight="false" outlineLevel="0" collapsed="false">
      <c r="A1270" s="8"/>
      <c r="B1270" s="8"/>
      <c r="C1270" s="8"/>
      <c r="D1270" s="8"/>
      <c r="E1270" s="8"/>
      <c r="F1270" t="str" s="15">
        <f aca="0">IF(B1270="","",IF(H1270="","확인필요(입력누락)",IF(SUMPRODUCT((실물목록!$P$2:$P$1001&lt;&gt;"")*ISNUMBER(SEARCH(실물목록!$P$2:$P$1001,I1270))*(실물목록!$Q$2:$Q$1001&lt;&gt;"")*ISNUMBER(SEARCH(실물목록!$Q$2:$Q$1001,I1270))*(실물목록!$R$2:$R$1001="")*(실물목록!$O$2:$O$1001&lt;&gt;"")*(실물목록!$O$2:$O$1001=H1270))&gt;0,"실물 있음",IF(SUMPRODUCT((실물목록!$P$2:$P$1001&lt;&gt;"")*ISNUMBER(SEARCH(실물목록!$P$2:$P$1001,I1270))*(실물목록!$R$2:$R$1001&lt;&gt;""))&gt;0,"확인필요(입력누락)",IF(SUMPRODUCT((실물목록!$P$2:$P$1001&lt;&gt;"")*ISNUMBER(SEARCH(실물목록!$P$2:$P$1001,I1270))*(실물목록!$Q$2:$Q$1001&lt;&gt;"")*ISNUMBER(SEARCH(실물목록!$Q$2:$Q$1001,I1270))*(실물목록!$R$2:$R$1001="")*(실물목록!$O$2:$O$1001&lt;&gt;""))&gt;0,"확인필요(연도다름)","실물 없음")))))</f>
      </c>
      <c r="G1270" t="n" s="16">
        <f aca="0">IF(B1270="","",SUMPRODUCT((실물목록!$P$2:$P$1001&lt;&gt;"")*ISNUMBER(SEARCH(실물목록!$P$2:$P$1001,I1270))*(실물목록!$Q$2:$Q$1001&lt;&gt;"")*ISNUMBER(SEARCH(실물목록!$Q$2:$Q$1001,I1270))*(실물목록!$R$2:$R$1001="")*(실물목록!$O$2:$O$1001&lt;&gt;"")*(실물목록!$O$2:$O$1001=H1270)))</f>
      </c>
      <c r="H1270" t="str">
        <f>IFERROR(IF(AND(LEN(SUBSTITUTE(SUBSTITUTE(SUBSTITUTE(TRIM(A1270&amp;""),CHAR(160),"")," ",""),"년",""))=4,VALUE(SUBSTITUTE(SUBSTITUTE(SUBSTITUTE(TRIM(A1270&amp;""),CHAR(160),"")," ",""),"년",""))&gt;=1900,VALUE(SUBSTITUTE(SUBSTITUTE(SUBSTITUTE(TRIM(A1270&amp;""),CHAR(160),"")," ",""),"년",""))&lt;=2099,TEXT(VALUE(SUBSTITUTE(SUBSTITUTE(SUBSTITUTE(TRIM(A1270&amp;""),CHAR(160),"")," ",""),"년","")),"0000")=SUBSTITUTE(SUBSTITUTE(SUBSTITUTE(TRIM(A1270&amp;""),CHAR(160),"")," ",""),"년","")),SUBSTITUTE(SUBSTITUTE(SUBSTITUTE(TRIM(A1270&amp;""),CHAR(160),"")," ",""),"년",""),""),"")</f>
      </c>
      <c r="I1270" t="str">
        <f>SUBSTITUTE(SUBSTITUTE(SUBSTITUTE(SUBSTITUTE(SUBSTITUTE(TRIM(B1270&amp;""),CHAR(160),"")," ",""),"초등학교","초"),"중학교","중"),"고등학교","고")</f>
      </c>
    </row>
    <row r="1271" customFormat="false" ht="15" hidden="false" customHeight="false" outlineLevel="0" collapsed="false">
      <c r="A1271" s="8"/>
      <c r="B1271" s="8"/>
      <c r="C1271" s="8"/>
      <c r="D1271" s="8"/>
      <c r="E1271" s="8"/>
      <c r="F1271" t="str" s="15">
        <f aca="0">IF(B1271="","",IF(H1271="","확인필요(입력누락)",IF(SUMPRODUCT((실물목록!$P$2:$P$1001&lt;&gt;"")*ISNUMBER(SEARCH(실물목록!$P$2:$P$1001,I1271))*(실물목록!$Q$2:$Q$1001&lt;&gt;"")*ISNUMBER(SEARCH(실물목록!$Q$2:$Q$1001,I1271))*(실물목록!$R$2:$R$1001="")*(실물목록!$O$2:$O$1001&lt;&gt;"")*(실물목록!$O$2:$O$1001=H1271))&gt;0,"실물 있음",IF(SUMPRODUCT((실물목록!$P$2:$P$1001&lt;&gt;"")*ISNUMBER(SEARCH(실물목록!$P$2:$P$1001,I1271))*(실물목록!$R$2:$R$1001&lt;&gt;""))&gt;0,"확인필요(입력누락)",IF(SUMPRODUCT((실물목록!$P$2:$P$1001&lt;&gt;"")*ISNUMBER(SEARCH(실물목록!$P$2:$P$1001,I1271))*(실물목록!$Q$2:$Q$1001&lt;&gt;"")*ISNUMBER(SEARCH(실물목록!$Q$2:$Q$1001,I1271))*(실물목록!$R$2:$R$1001="")*(실물목록!$O$2:$O$1001&lt;&gt;""))&gt;0,"확인필요(연도다름)","실물 없음")))))</f>
      </c>
      <c r="G1271" t="n" s="16">
        <f aca="0">IF(B1271="","",SUMPRODUCT((실물목록!$P$2:$P$1001&lt;&gt;"")*ISNUMBER(SEARCH(실물목록!$P$2:$P$1001,I1271))*(실물목록!$Q$2:$Q$1001&lt;&gt;"")*ISNUMBER(SEARCH(실물목록!$Q$2:$Q$1001,I1271))*(실물목록!$R$2:$R$1001="")*(실물목록!$O$2:$O$1001&lt;&gt;"")*(실물목록!$O$2:$O$1001=H1271)))</f>
      </c>
      <c r="H1271" t="str">
        <f>IFERROR(IF(AND(LEN(SUBSTITUTE(SUBSTITUTE(SUBSTITUTE(TRIM(A1271&amp;""),CHAR(160),"")," ",""),"년",""))=4,VALUE(SUBSTITUTE(SUBSTITUTE(SUBSTITUTE(TRIM(A1271&amp;""),CHAR(160),"")," ",""),"년",""))&gt;=1900,VALUE(SUBSTITUTE(SUBSTITUTE(SUBSTITUTE(TRIM(A1271&amp;""),CHAR(160),"")," ",""),"년",""))&lt;=2099,TEXT(VALUE(SUBSTITUTE(SUBSTITUTE(SUBSTITUTE(TRIM(A1271&amp;""),CHAR(160),"")," ",""),"년","")),"0000")=SUBSTITUTE(SUBSTITUTE(SUBSTITUTE(TRIM(A1271&amp;""),CHAR(160),"")," ",""),"년","")),SUBSTITUTE(SUBSTITUTE(SUBSTITUTE(TRIM(A1271&amp;""),CHAR(160),"")," ",""),"년",""),""),"")</f>
      </c>
      <c r="I1271" t="str">
        <f>SUBSTITUTE(SUBSTITUTE(SUBSTITUTE(SUBSTITUTE(SUBSTITUTE(TRIM(B1271&amp;""),CHAR(160),"")," ",""),"초등학교","초"),"중학교","중"),"고등학교","고")</f>
      </c>
    </row>
    <row r="1272" customFormat="false" ht="15" hidden="false" customHeight="false" outlineLevel="0" collapsed="false">
      <c r="A1272" s="8"/>
      <c r="B1272" s="8"/>
      <c r="C1272" s="8"/>
      <c r="D1272" s="8"/>
      <c r="E1272" s="8"/>
      <c r="F1272" t="str" s="15">
        <f aca="0">IF(B1272="","",IF(H1272="","확인필요(입력누락)",IF(SUMPRODUCT((실물목록!$P$2:$P$1001&lt;&gt;"")*ISNUMBER(SEARCH(실물목록!$P$2:$P$1001,I1272))*(실물목록!$Q$2:$Q$1001&lt;&gt;"")*ISNUMBER(SEARCH(실물목록!$Q$2:$Q$1001,I1272))*(실물목록!$R$2:$R$1001="")*(실물목록!$O$2:$O$1001&lt;&gt;"")*(실물목록!$O$2:$O$1001=H1272))&gt;0,"실물 있음",IF(SUMPRODUCT((실물목록!$P$2:$P$1001&lt;&gt;"")*ISNUMBER(SEARCH(실물목록!$P$2:$P$1001,I1272))*(실물목록!$R$2:$R$1001&lt;&gt;""))&gt;0,"확인필요(입력누락)",IF(SUMPRODUCT((실물목록!$P$2:$P$1001&lt;&gt;"")*ISNUMBER(SEARCH(실물목록!$P$2:$P$1001,I1272))*(실물목록!$Q$2:$Q$1001&lt;&gt;"")*ISNUMBER(SEARCH(실물목록!$Q$2:$Q$1001,I1272))*(실물목록!$R$2:$R$1001="")*(실물목록!$O$2:$O$1001&lt;&gt;""))&gt;0,"확인필요(연도다름)","실물 없음")))))</f>
      </c>
      <c r="G1272" t="n" s="16">
        <f aca="0">IF(B1272="","",SUMPRODUCT((실물목록!$P$2:$P$1001&lt;&gt;"")*ISNUMBER(SEARCH(실물목록!$P$2:$P$1001,I1272))*(실물목록!$Q$2:$Q$1001&lt;&gt;"")*ISNUMBER(SEARCH(실물목록!$Q$2:$Q$1001,I1272))*(실물목록!$R$2:$R$1001="")*(실물목록!$O$2:$O$1001&lt;&gt;"")*(실물목록!$O$2:$O$1001=H1272)))</f>
      </c>
      <c r="H1272" t="str">
        <f>IFERROR(IF(AND(LEN(SUBSTITUTE(SUBSTITUTE(SUBSTITUTE(TRIM(A1272&amp;""),CHAR(160),"")," ",""),"년",""))=4,VALUE(SUBSTITUTE(SUBSTITUTE(SUBSTITUTE(TRIM(A1272&amp;""),CHAR(160),"")," ",""),"년",""))&gt;=1900,VALUE(SUBSTITUTE(SUBSTITUTE(SUBSTITUTE(TRIM(A1272&amp;""),CHAR(160),"")," ",""),"년",""))&lt;=2099,TEXT(VALUE(SUBSTITUTE(SUBSTITUTE(SUBSTITUTE(TRIM(A1272&amp;""),CHAR(160),"")," ",""),"년","")),"0000")=SUBSTITUTE(SUBSTITUTE(SUBSTITUTE(TRIM(A1272&amp;""),CHAR(160),"")," ",""),"년","")),SUBSTITUTE(SUBSTITUTE(SUBSTITUTE(TRIM(A1272&amp;""),CHAR(160),"")," ",""),"년",""),""),"")</f>
      </c>
      <c r="I1272" t="str">
        <f>SUBSTITUTE(SUBSTITUTE(SUBSTITUTE(SUBSTITUTE(SUBSTITUTE(TRIM(B1272&amp;""),CHAR(160),"")," ",""),"초등학교","초"),"중학교","중"),"고등학교","고")</f>
      </c>
    </row>
    <row r="1273" customFormat="false" ht="15" hidden="false" customHeight="false" outlineLevel="0" collapsed="false">
      <c r="A1273" s="8"/>
      <c r="B1273" s="8"/>
      <c r="C1273" s="8"/>
      <c r="D1273" s="8"/>
      <c r="E1273" s="8"/>
      <c r="F1273" t="str" s="15">
        <f aca="0">IF(B1273="","",IF(H1273="","확인필요(입력누락)",IF(SUMPRODUCT((실물목록!$P$2:$P$1001&lt;&gt;"")*ISNUMBER(SEARCH(실물목록!$P$2:$P$1001,I1273))*(실물목록!$Q$2:$Q$1001&lt;&gt;"")*ISNUMBER(SEARCH(실물목록!$Q$2:$Q$1001,I1273))*(실물목록!$R$2:$R$1001="")*(실물목록!$O$2:$O$1001&lt;&gt;"")*(실물목록!$O$2:$O$1001=H1273))&gt;0,"실물 있음",IF(SUMPRODUCT((실물목록!$P$2:$P$1001&lt;&gt;"")*ISNUMBER(SEARCH(실물목록!$P$2:$P$1001,I1273))*(실물목록!$R$2:$R$1001&lt;&gt;""))&gt;0,"확인필요(입력누락)",IF(SUMPRODUCT((실물목록!$P$2:$P$1001&lt;&gt;"")*ISNUMBER(SEARCH(실물목록!$P$2:$P$1001,I1273))*(실물목록!$Q$2:$Q$1001&lt;&gt;"")*ISNUMBER(SEARCH(실물목록!$Q$2:$Q$1001,I1273))*(실물목록!$R$2:$R$1001="")*(실물목록!$O$2:$O$1001&lt;&gt;""))&gt;0,"확인필요(연도다름)","실물 없음")))))</f>
      </c>
      <c r="G1273" t="n" s="16">
        <f aca="0">IF(B1273="","",SUMPRODUCT((실물목록!$P$2:$P$1001&lt;&gt;"")*ISNUMBER(SEARCH(실물목록!$P$2:$P$1001,I1273))*(실물목록!$Q$2:$Q$1001&lt;&gt;"")*ISNUMBER(SEARCH(실물목록!$Q$2:$Q$1001,I1273))*(실물목록!$R$2:$R$1001="")*(실물목록!$O$2:$O$1001&lt;&gt;"")*(실물목록!$O$2:$O$1001=H1273)))</f>
      </c>
      <c r="H1273" t="str">
        <f>IFERROR(IF(AND(LEN(SUBSTITUTE(SUBSTITUTE(SUBSTITUTE(TRIM(A1273&amp;""),CHAR(160),"")," ",""),"년",""))=4,VALUE(SUBSTITUTE(SUBSTITUTE(SUBSTITUTE(TRIM(A1273&amp;""),CHAR(160),"")," ",""),"년",""))&gt;=1900,VALUE(SUBSTITUTE(SUBSTITUTE(SUBSTITUTE(TRIM(A1273&amp;""),CHAR(160),"")," ",""),"년",""))&lt;=2099,TEXT(VALUE(SUBSTITUTE(SUBSTITUTE(SUBSTITUTE(TRIM(A1273&amp;""),CHAR(160),"")," ",""),"년","")),"0000")=SUBSTITUTE(SUBSTITUTE(SUBSTITUTE(TRIM(A1273&amp;""),CHAR(160),"")," ",""),"년","")),SUBSTITUTE(SUBSTITUTE(SUBSTITUTE(TRIM(A1273&amp;""),CHAR(160),"")," ",""),"년",""),""),"")</f>
      </c>
      <c r="I1273" t="str">
        <f>SUBSTITUTE(SUBSTITUTE(SUBSTITUTE(SUBSTITUTE(SUBSTITUTE(TRIM(B1273&amp;""),CHAR(160),"")," ",""),"초등학교","초"),"중학교","중"),"고등학교","고")</f>
      </c>
    </row>
    <row r="1274" customFormat="false" ht="15" hidden="false" customHeight="false" outlineLevel="0" collapsed="false">
      <c r="A1274" s="8"/>
      <c r="B1274" s="8"/>
      <c r="C1274" s="8"/>
      <c r="D1274" s="8"/>
      <c r="E1274" s="8"/>
      <c r="F1274" t="str" s="15">
        <f aca="0">IF(B1274="","",IF(H1274="","확인필요(입력누락)",IF(SUMPRODUCT((실물목록!$P$2:$P$1001&lt;&gt;"")*ISNUMBER(SEARCH(실물목록!$P$2:$P$1001,I1274))*(실물목록!$Q$2:$Q$1001&lt;&gt;"")*ISNUMBER(SEARCH(실물목록!$Q$2:$Q$1001,I1274))*(실물목록!$R$2:$R$1001="")*(실물목록!$O$2:$O$1001&lt;&gt;"")*(실물목록!$O$2:$O$1001=H1274))&gt;0,"실물 있음",IF(SUMPRODUCT((실물목록!$P$2:$P$1001&lt;&gt;"")*ISNUMBER(SEARCH(실물목록!$P$2:$P$1001,I1274))*(실물목록!$R$2:$R$1001&lt;&gt;""))&gt;0,"확인필요(입력누락)",IF(SUMPRODUCT((실물목록!$P$2:$P$1001&lt;&gt;"")*ISNUMBER(SEARCH(실물목록!$P$2:$P$1001,I1274))*(실물목록!$Q$2:$Q$1001&lt;&gt;"")*ISNUMBER(SEARCH(실물목록!$Q$2:$Q$1001,I1274))*(실물목록!$R$2:$R$1001="")*(실물목록!$O$2:$O$1001&lt;&gt;""))&gt;0,"확인필요(연도다름)","실물 없음")))))</f>
      </c>
      <c r="G1274" t="n" s="16">
        <f aca="0">IF(B1274="","",SUMPRODUCT((실물목록!$P$2:$P$1001&lt;&gt;"")*ISNUMBER(SEARCH(실물목록!$P$2:$P$1001,I1274))*(실물목록!$Q$2:$Q$1001&lt;&gt;"")*ISNUMBER(SEARCH(실물목록!$Q$2:$Q$1001,I1274))*(실물목록!$R$2:$R$1001="")*(실물목록!$O$2:$O$1001&lt;&gt;"")*(실물목록!$O$2:$O$1001=H1274)))</f>
      </c>
      <c r="H1274" t="str">
        <f>IFERROR(IF(AND(LEN(SUBSTITUTE(SUBSTITUTE(SUBSTITUTE(TRIM(A1274&amp;""),CHAR(160),"")," ",""),"년",""))=4,VALUE(SUBSTITUTE(SUBSTITUTE(SUBSTITUTE(TRIM(A1274&amp;""),CHAR(160),"")," ",""),"년",""))&gt;=1900,VALUE(SUBSTITUTE(SUBSTITUTE(SUBSTITUTE(TRIM(A1274&amp;""),CHAR(160),"")," ",""),"년",""))&lt;=2099,TEXT(VALUE(SUBSTITUTE(SUBSTITUTE(SUBSTITUTE(TRIM(A1274&amp;""),CHAR(160),"")," ",""),"년","")),"0000")=SUBSTITUTE(SUBSTITUTE(SUBSTITUTE(TRIM(A1274&amp;""),CHAR(160),"")," ",""),"년","")),SUBSTITUTE(SUBSTITUTE(SUBSTITUTE(TRIM(A1274&amp;""),CHAR(160),"")," ",""),"년",""),""),"")</f>
      </c>
      <c r="I1274" t="str">
        <f>SUBSTITUTE(SUBSTITUTE(SUBSTITUTE(SUBSTITUTE(SUBSTITUTE(TRIM(B1274&amp;""),CHAR(160),"")," ",""),"초등학교","초"),"중학교","중"),"고등학교","고")</f>
      </c>
    </row>
    <row r="1275" customFormat="false" ht="15" hidden="false" customHeight="false" outlineLevel="0" collapsed="false">
      <c r="A1275" s="8"/>
      <c r="B1275" s="8"/>
      <c r="C1275" s="8"/>
      <c r="D1275" s="8"/>
      <c r="E1275" s="8"/>
      <c r="F1275" t="str" s="15">
        <f aca="0">IF(B1275="","",IF(H1275="","확인필요(입력누락)",IF(SUMPRODUCT((실물목록!$P$2:$P$1001&lt;&gt;"")*ISNUMBER(SEARCH(실물목록!$P$2:$P$1001,I1275))*(실물목록!$Q$2:$Q$1001&lt;&gt;"")*ISNUMBER(SEARCH(실물목록!$Q$2:$Q$1001,I1275))*(실물목록!$R$2:$R$1001="")*(실물목록!$O$2:$O$1001&lt;&gt;"")*(실물목록!$O$2:$O$1001=H1275))&gt;0,"실물 있음",IF(SUMPRODUCT((실물목록!$P$2:$P$1001&lt;&gt;"")*ISNUMBER(SEARCH(실물목록!$P$2:$P$1001,I1275))*(실물목록!$R$2:$R$1001&lt;&gt;""))&gt;0,"확인필요(입력누락)",IF(SUMPRODUCT((실물목록!$P$2:$P$1001&lt;&gt;"")*ISNUMBER(SEARCH(실물목록!$P$2:$P$1001,I1275))*(실물목록!$Q$2:$Q$1001&lt;&gt;"")*ISNUMBER(SEARCH(실물목록!$Q$2:$Q$1001,I1275))*(실물목록!$R$2:$R$1001="")*(실물목록!$O$2:$O$1001&lt;&gt;""))&gt;0,"확인필요(연도다름)","실물 없음")))))</f>
      </c>
      <c r="G1275" t="n" s="16">
        <f aca="0">IF(B1275="","",SUMPRODUCT((실물목록!$P$2:$P$1001&lt;&gt;"")*ISNUMBER(SEARCH(실물목록!$P$2:$P$1001,I1275))*(실물목록!$Q$2:$Q$1001&lt;&gt;"")*ISNUMBER(SEARCH(실물목록!$Q$2:$Q$1001,I1275))*(실물목록!$R$2:$R$1001="")*(실물목록!$O$2:$O$1001&lt;&gt;"")*(실물목록!$O$2:$O$1001=H1275)))</f>
      </c>
      <c r="H1275" t="str">
        <f>IFERROR(IF(AND(LEN(SUBSTITUTE(SUBSTITUTE(SUBSTITUTE(TRIM(A1275&amp;""),CHAR(160),"")," ",""),"년",""))=4,VALUE(SUBSTITUTE(SUBSTITUTE(SUBSTITUTE(TRIM(A1275&amp;""),CHAR(160),"")," ",""),"년",""))&gt;=1900,VALUE(SUBSTITUTE(SUBSTITUTE(SUBSTITUTE(TRIM(A1275&amp;""),CHAR(160),"")," ",""),"년",""))&lt;=2099,TEXT(VALUE(SUBSTITUTE(SUBSTITUTE(SUBSTITUTE(TRIM(A1275&amp;""),CHAR(160),"")," ",""),"년","")),"0000")=SUBSTITUTE(SUBSTITUTE(SUBSTITUTE(TRIM(A1275&amp;""),CHAR(160),"")," ",""),"년","")),SUBSTITUTE(SUBSTITUTE(SUBSTITUTE(TRIM(A1275&amp;""),CHAR(160),"")," ",""),"년",""),""),"")</f>
      </c>
      <c r="I1275" t="str">
        <f>SUBSTITUTE(SUBSTITUTE(SUBSTITUTE(SUBSTITUTE(SUBSTITUTE(TRIM(B1275&amp;""),CHAR(160),"")," ",""),"초등학교","초"),"중학교","중"),"고등학교","고")</f>
      </c>
    </row>
    <row r="1276" customFormat="false" ht="15" hidden="false" customHeight="false" outlineLevel="0" collapsed="false">
      <c r="A1276" s="8"/>
      <c r="B1276" s="8"/>
      <c r="C1276" s="8"/>
      <c r="D1276" s="8"/>
      <c r="E1276" s="8"/>
      <c r="F1276" t="str" s="15">
        <f aca="0">IF(B1276="","",IF(H1276="","확인필요(입력누락)",IF(SUMPRODUCT((실물목록!$P$2:$P$1001&lt;&gt;"")*ISNUMBER(SEARCH(실물목록!$P$2:$P$1001,I1276))*(실물목록!$Q$2:$Q$1001&lt;&gt;"")*ISNUMBER(SEARCH(실물목록!$Q$2:$Q$1001,I1276))*(실물목록!$R$2:$R$1001="")*(실물목록!$O$2:$O$1001&lt;&gt;"")*(실물목록!$O$2:$O$1001=H1276))&gt;0,"실물 있음",IF(SUMPRODUCT((실물목록!$P$2:$P$1001&lt;&gt;"")*ISNUMBER(SEARCH(실물목록!$P$2:$P$1001,I1276))*(실물목록!$R$2:$R$1001&lt;&gt;""))&gt;0,"확인필요(입력누락)",IF(SUMPRODUCT((실물목록!$P$2:$P$1001&lt;&gt;"")*ISNUMBER(SEARCH(실물목록!$P$2:$P$1001,I1276))*(실물목록!$Q$2:$Q$1001&lt;&gt;"")*ISNUMBER(SEARCH(실물목록!$Q$2:$Q$1001,I1276))*(실물목록!$R$2:$R$1001="")*(실물목록!$O$2:$O$1001&lt;&gt;""))&gt;0,"확인필요(연도다름)","실물 없음")))))</f>
      </c>
      <c r="G1276" t="n" s="16">
        <f aca="0">IF(B1276="","",SUMPRODUCT((실물목록!$P$2:$P$1001&lt;&gt;"")*ISNUMBER(SEARCH(실물목록!$P$2:$P$1001,I1276))*(실물목록!$Q$2:$Q$1001&lt;&gt;"")*ISNUMBER(SEARCH(실물목록!$Q$2:$Q$1001,I1276))*(실물목록!$R$2:$R$1001="")*(실물목록!$O$2:$O$1001&lt;&gt;"")*(실물목록!$O$2:$O$1001=H1276)))</f>
      </c>
      <c r="H1276" t="str">
        <f>IFERROR(IF(AND(LEN(SUBSTITUTE(SUBSTITUTE(SUBSTITUTE(TRIM(A1276&amp;""),CHAR(160),"")," ",""),"년",""))=4,VALUE(SUBSTITUTE(SUBSTITUTE(SUBSTITUTE(TRIM(A1276&amp;""),CHAR(160),"")," ",""),"년",""))&gt;=1900,VALUE(SUBSTITUTE(SUBSTITUTE(SUBSTITUTE(TRIM(A1276&amp;""),CHAR(160),"")," ",""),"년",""))&lt;=2099,TEXT(VALUE(SUBSTITUTE(SUBSTITUTE(SUBSTITUTE(TRIM(A1276&amp;""),CHAR(160),"")," ",""),"년","")),"0000")=SUBSTITUTE(SUBSTITUTE(SUBSTITUTE(TRIM(A1276&amp;""),CHAR(160),"")," ",""),"년","")),SUBSTITUTE(SUBSTITUTE(SUBSTITUTE(TRIM(A1276&amp;""),CHAR(160),"")," ",""),"년",""),""),"")</f>
      </c>
      <c r="I1276" t="str">
        <f>SUBSTITUTE(SUBSTITUTE(SUBSTITUTE(SUBSTITUTE(SUBSTITUTE(TRIM(B1276&amp;""),CHAR(160),"")," ",""),"초등학교","초"),"중학교","중"),"고등학교","고")</f>
      </c>
    </row>
    <row r="1277" customFormat="false" ht="15" hidden="false" customHeight="false" outlineLevel="0" collapsed="false">
      <c r="A1277" s="8"/>
      <c r="B1277" s="8"/>
      <c r="C1277" s="8"/>
      <c r="D1277" s="8"/>
      <c r="E1277" s="8"/>
      <c r="F1277" t="str" s="15">
        <f aca="0">IF(B1277="","",IF(H1277="","확인필요(입력누락)",IF(SUMPRODUCT((실물목록!$P$2:$P$1001&lt;&gt;"")*ISNUMBER(SEARCH(실물목록!$P$2:$P$1001,I1277))*(실물목록!$Q$2:$Q$1001&lt;&gt;"")*ISNUMBER(SEARCH(실물목록!$Q$2:$Q$1001,I1277))*(실물목록!$R$2:$R$1001="")*(실물목록!$O$2:$O$1001&lt;&gt;"")*(실물목록!$O$2:$O$1001=H1277))&gt;0,"실물 있음",IF(SUMPRODUCT((실물목록!$P$2:$P$1001&lt;&gt;"")*ISNUMBER(SEARCH(실물목록!$P$2:$P$1001,I1277))*(실물목록!$R$2:$R$1001&lt;&gt;""))&gt;0,"확인필요(입력누락)",IF(SUMPRODUCT((실물목록!$P$2:$P$1001&lt;&gt;"")*ISNUMBER(SEARCH(실물목록!$P$2:$P$1001,I1277))*(실물목록!$Q$2:$Q$1001&lt;&gt;"")*ISNUMBER(SEARCH(실물목록!$Q$2:$Q$1001,I1277))*(실물목록!$R$2:$R$1001="")*(실물목록!$O$2:$O$1001&lt;&gt;""))&gt;0,"확인필요(연도다름)","실물 없음")))))</f>
      </c>
      <c r="G1277" t="n" s="16">
        <f aca="0">IF(B1277="","",SUMPRODUCT((실물목록!$P$2:$P$1001&lt;&gt;"")*ISNUMBER(SEARCH(실물목록!$P$2:$P$1001,I1277))*(실물목록!$Q$2:$Q$1001&lt;&gt;"")*ISNUMBER(SEARCH(실물목록!$Q$2:$Q$1001,I1277))*(실물목록!$R$2:$R$1001="")*(실물목록!$O$2:$O$1001&lt;&gt;"")*(실물목록!$O$2:$O$1001=H1277)))</f>
      </c>
      <c r="H1277" t="str">
        <f>IFERROR(IF(AND(LEN(SUBSTITUTE(SUBSTITUTE(SUBSTITUTE(TRIM(A1277&amp;""),CHAR(160),"")," ",""),"년",""))=4,VALUE(SUBSTITUTE(SUBSTITUTE(SUBSTITUTE(TRIM(A1277&amp;""),CHAR(160),"")," ",""),"년",""))&gt;=1900,VALUE(SUBSTITUTE(SUBSTITUTE(SUBSTITUTE(TRIM(A1277&amp;""),CHAR(160),"")," ",""),"년",""))&lt;=2099,TEXT(VALUE(SUBSTITUTE(SUBSTITUTE(SUBSTITUTE(TRIM(A1277&amp;""),CHAR(160),"")," ",""),"년","")),"0000")=SUBSTITUTE(SUBSTITUTE(SUBSTITUTE(TRIM(A1277&amp;""),CHAR(160),"")," ",""),"년","")),SUBSTITUTE(SUBSTITUTE(SUBSTITUTE(TRIM(A1277&amp;""),CHAR(160),"")," ",""),"년",""),""),"")</f>
      </c>
      <c r="I1277" t="str">
        <f>SUBSTITUTE(SUBSTITUTE(SUBSTITUTE(SUBSTITUTE(SUBSTITUTE(TRIM(B1277&amp;""),CHAR(160),"")," ",""),"초등학교","초"),"중학교","중"),"고등학교","고")</f>
      </c>
    </row>
    <row r="1278" customFormat="false" ht="15" hidden="false" customHeight="false" outlineLevel="0" collapsed="false">
      <c r="A1278" s="8"/>
      <c r="B1278" s="8"/>
      <c r="C1278" s="8"/>
      <c r="D1278" s="8"/>
      <c r="E1278" s="8"/>
      <c r="F1278" t="str" s="15">
        <f aca="0">IF(B1278="","",IF(H1278="","확인필요(입력누락)",IF(SUMPRODUCT((실물목록!$P$2:$P$1001&lt;&gt;"")*ISNUMBER(SEARCH(실물목록!$P$2:$P$1001,I1278))*(실물목록!$Q$2:$Q$1001&lt;&gt;"")*ISNUMBER(SEARCH(실물목록!$Q$2:$Q$1001,I1278))*(실물목록!$R$2:$R$1001="")*(실물목록!$O$2:$O$1001&lt;&gt;"")*(실물목록!$O$2:$O$1001=H1278))&gt;0,"실물 있음",IF(SUMPRODUCT((실물목록!$P$2:$P$1001&lt;&gt;"")*ISNUMBER(SEARCH(실물목록!$P$2:$P$1001,I1278))*(실물목록!$R$2:$R$1001&lt;&gt;""))&gt;0,"확인필요(입력누락)",IF(SUMPRODUCT((실물목록!$P$2:$P$1001&lt;&gt;"")*ISNUMBER(SEARCH(실물목록!$P$2:$P$1001,I1278))*(실물목록!$Q$2:$Q$1001&lt;&gt;"")*ISNUMBER(SEARCH(실물목록!$Q$2:$Q$1001,I1278))*(실물목록!$R$2:$R$1001="")*(실물목록!$O$2:$O$1001&lt;&gt;""))&gt;0,"확인필요(연도다름)","실물 없음")))))</f>
      </c>
      <c r="G1278" t="n" s="16">
        <f aca="0">IF(B1278="","",SUMPRODUCT((실물목록!$P$2:$P$1001&lt;&gt;"")*ISNUMBER(SEARCH(실물목록!$P$2:$P$1001,I1278))*(실물목록!$Q$2:$Q$1001&lt;&gt;"")*ISNUMBER(SEARCH(실물목록!$Q$2:$Q$1001,I1278))*(실물목록!$R$2:$R$1001="")*(실물목록!$O$2:$O$1001&lt;&gt;"")*(실물목록!$O$2:$O$1001=H1278)))</f>
      </c>
      <c r="H1278" t="str">
        <f>IFERROR(IF(AND(LEN(SUBSTITUTE(SUBSTITUTE(SUBSTITUTE(TRIM(A1278&amp;""),CHAR(160),"")," ",""),"년",""))=4,VALUE(SUBSTITUTE(SUBSTITUTE(SUBSTITUTE(TRIM(A1278&amp;""),CHAR(160),"")," ",""),"년",""))&gt;=1900,VALUE(SUBSTITUTE(SUBSTITUTE(SUBSTITUTE(TRIM(A1278&amp;""),CHAR(160),"")," ",""),"년",""))&lt;=2099,TEXT(VALUE(SUBSTITUTE(SUBSTITUTE(SUBSTITUTE(TRIM(A1278&amp;""),CHAR(160),"")," ",""),"년","")),"0000")=SUBSTITUTE(SUBSTITUTE(SUBSTITUTE(TRIM(A1278&amp;""),CHAR(160),"")," ",""),"년","")),SUBSTITUTE(SUBSTITUTE(SUBSTITUTE(TRIM(A1278&amp;""),CHAR(160),"")," ",""),"년",""),""),"")</f>
      </c>
      <c r="I1278" t="str">
        <f>SUBSTITUTE(SUBSTITUTE(SUBSTITUTE(SUBSTITUTE(SUBSTITUTE(TRIM(B1278&amp;""),CHAR(160),"")," ",""),"초등학교","초"),"중학교","중"),"고등학교","고")</f>
      </c>
    </row>
    <row r="1279" customFormat="false" ht="15" hidden="false" customHeight="false" outlineLevel="0" collapsed="false">
      <c r="A1279" s="8"/>
      <c r="B1279" s="8"/>
      <c r="C1279" s="8"/>
      <c r="D1279" s="8"/>
      <c r="E1279" s="8"/>
      <c r="F1279" t="str" s="15">
        <f aca="0">IF(B1279="","",IF(H1279="","확인필요(입력누락)",IF(SUMPRODUCT((실물목록!$P$2:$P$1001&lt;&gt;"")*ISNUMBER(SEARCH(실물목록!$P$2:$P$1001,I1279))*(실물목록!$Q$2:$Q$1001&lt;&gt;"")*ISNUMBER(SEARCH(실물목록!$Q$2:$Q$1001,I1279))*(실물목록!$R$2:$R$1001="")*(실물목록!$O$2:$O$1001&lt;&gt;"")*(실물목록!$O$2:$O$1001=H1279))&gt;0,"실물 있음",IF(SUMPRODUCT((실물목록!$P$2:$P$1001&lt;&gt;"")*ISNUMBER(SEARCH(실물목록!$P$2:$P$1001,I1279))*(실물목록!$R$2:$R$1001&lt;&gt;""))&gt;0,"확인필요(입력누락)",IF(SUMPRODUCT((실물목록!$P$2:$P$1001&lt;&gt;"")*ISNUMBER(SEARCH(실물목록!$P$2:$P$1001,I1279))*(실물목록!$Q$2:$Q$1001&lt;&gt;"")*ISNUMBER(SEARCH(실물목록!$Q$2:$Q$1001,I1279))*(실물목록!$R$2:$R$1001="")*(실물목록!$O$2:$O$1001&lt;&gt;""))&gt;0,"확인필요(연도다름)","실물 없음")))))</f>
      </c>
      <c r="G1279" t="n" s="16">
        <f aca="0">IF(B1279="","",SUMPRODUCT((실물목록!$P$2:$P$1001&lt;&gt;"")*ISNUMBER(SEARCH(실물목록!$P$2:$P$1001,I1279))*(실물목록!$Q$2:$Q$1001&lt;&gt;"")*ISNUMBER(SEARCH(실물목록!$Q$2:$Q$1001,I1279))*(실물목록!$R$2:$R$1001="")*(실물목록!$O$2:$O$1001&lt;&gt;"")*(실물목록!$O$2:$O$1001=H1279)))</f>
      </c>
      <c r="H1279" t="str">
        <f>IFERROR(IF(AND(LEN(SUBSTITUTE(SUBSTITUTE(SUBSTITUTE(TRIM(A1279&amp;""),CHAR(160),"")," ",""),"년",""))=4,VALUE(SUBSTITUTE(SUBSTITUTE(SUBSTITUTE(TRIM(A1279&amp;""),CHAR(160),"")," ",""),"년",""))&gt;=1900,VALUE(SUBSTITUTE(SUBSTITUTE(SUBSTITUTE(TRIM(A1279&amp;""),CHAR(160),"")," ",""),"년",""))&lt;=2099,TEXT(VALUE(SUBSTITUTE(SUBSTITUTE(SUBSTITUTE(TRIM(A1279&amp;""),CHAR(160),"")," ",""),"년","")),"0000")=SUBSTITUTE(SUBSTITUTE(SUBSTITUTE(TRIM(A1279&amp;""),CHAR(160),"")," ",""),"년","")),SUBSTITUTE(SUBSTITUTE(SUBSTITUTE(TRIM(A1279&amp;""),CHAR(160),"")," ",""),"년",""),""),"")</f>
      </c>
      <c r="I1279" t="str">
        <f>SUBSTITUTE(SUBSTITUTE(SUBSTITUTE(SUBSTITUTE(SUBSTITUTE(TRIM(B1279&amp;""),CHAR(160),"")," ",""),"초등학교","초"),"중학교","중"),"고등학교","고")</f>
      </c>
    </row>
    <row r="1280" customFormat="false" ht="15" hidden="false" customHeight="false" outlineLevel="0" collapsed="false">
      <c r="A1280" s="8"/>
      <c r="B1280" s="8"/>
      <c r="C1280" s="8"/>
      <c r="D1280" s="8"/>
      <c r="E1280" s="8"/>
      <c r="F1280" t="str" s="15">
        <f aca="0">IF(B1280="","",IF(H1280="","확인필요(입력누락)",IF(SUMPRODUCT((실물목록!$P$2:$P$1001&lt;&gt;"")*ISNUMBER(SEARCH(실물목록!$P$2:$P$1001,I1280))*(실물목록!$Q$2:$Q$1001&lt;&gt;"")*ISNUMBER(SEARCH(실물목록!$Q$2:$Q$1001,I1280))*(실물목록!$R$2:$R$1001="")*(실물목록!$O$2:$O$1001&lt;&gt;"")*(실물목록!$O$2:$O$1001=H1280))&gt;0,"실물 있음",IF(SUMPRODUCT((실물목록!$P$2:$P$1001&lt;&gt;"")*ISNUMBER(SEARCH(실물목록!$P$2:$P$1001,I1280))*(실물목록!$R$2:$R$1001&lt;&gt;""))&gt;0,"확인필요(입력누락)",IF(SUMPRODUCT((실물목록!$P$2:$P$1001&lt;&gt;"")*ISNUMBER(SEARCH(실물목록!$P$2:$P$1001,I1280))*(실물목록!$Q$2:$Q$1001&lt;&gt;"")*ISNUMBER(SEARCH(실물목록!$Q$2:$Q$1001,I1280))*(실물목록!$R$2:$R$1001="")*(실물목록!$O$2:$O$1001&lt;&gt;""))&gt;0,"확인필요(연도다름)","실물 없음")))))</f>
      </c>
      <c r="G1280" t="n" s="16">
        <f aca="0">IF(B1280="","",SUMPRODUCT((실물목록!$P$2:$P$1001&lt;&gt;"")*ISNUMBER(SEARCH(실물목록!$P$2:$P$1001,I1280))*(실물목록!$Q$2:$Q$1001&lt;&gt;"")*ISNUMBER(SEARCH(실물목록!$Q$2:$Q$1001,I1280))*(실물목록!$R$2:$R$1001="")*(실물목록!$O$2:$O$1001&lt;&gt;"")*(실물목록!$O$2:$O$1001=H1280)))</f>
      </c>
      <c r="H1280" t="str">
        <f>IFERROR(IF(AND(LEN(SUBSTITUTE(SUBSTITUTE(SUBSTITUTE(TRIM(A1280&amp;""),CHAR(160),"")," ",""),"년",""))=4,VALUE(SUBSTITUTE(SUBSTITUTE(SUBSTITUTE(TRIM(A1280&amp;""),CHAR(160),"")," ",""),"년",""))&gt;=1900,VALUE(SUBSTITUTE(SUBSTITUTE(SUBSTITUTE(TRIM(A1280&amp;""),CHAR(160),"")," ",""),"년",""))&lt;=2099,TEXT(VALUE(SUBSTITUTE(SUBSTITUTE(SUBSTITUTE(TRIM(A1280&amp;""),CHAR(160),"")," ",""),"년","")),"0000")=SUBSTITUTE(SUBSTITUTE(SUBSTITUTE(TRIM(A1280&amp;""),CHAR(160),"")," ",""),"년","")),SUBSTITUTE(SUBSTITUTE(SUBSTITUTE(TRIM(A1280&amp;""),CHAR(160),"")," ",""),"년",""),""),"")</f>
      </c>
      <c r="I1280" t="str">
        <f>SUBSTITUTE(SUBSTITUTE(SUBSTITUTE(SUBSTITUTE(SUBSTITUTE(TRIM(B1280&amp;""),CHAR(160),"")," ",""),"초등학교","초"),"중학교","중"),"고등학교","고")</f>
      </c>
    </row>
    <row r="1281" customFormat="false" ht="15" hidden="false" customHeight="false" outlineLevel="0" collapsed="false">
      <c r="A1281" s="8"/>
      <c r="B1281" s="8"/>
      <c r="C1281" s="8"/>
      <c r="D1281" s="8"/>
      <c r="E1281" s="8"/>
      <c r="F1281" t="str" s="15">
        <f aca="0">IF(B1281="","",IF(H1281="","확인필요(입력누락)",IF(SUMPRODUCT((실물목록!$P$2:$P$1001&lt;&gt;"")*ISNUMBER(SEARCH(실물목록!$P$2:$P$1001,I1281))*(실물목록!$Q$2:$Q$1001&lt;&gt;"")*ISNUMBER(SEARCH(실물목록!$Q$2:$Q$1001,I1281))*(실물목록!$R$2:$R$1001="")*(실물목록!$O$2:$O$1001&lt;&gt;"")*(실물목록!$O$2:$O$1001=H1281))&gt;0,"실물 있음",IF(SUMPRODUCT((실물목록!$P$2:$P$1001&lt;&gt;"")*ISNUMBER(SEARCH(실물목록!$P$2:$P$1001,I1281))*(실물목록!$R$2:$R$1001&lt;&gt;""))&gt;0,"확인필요(입력누락)",IF(SUMPRODUCT((실물목록!$P$2:$P$1001&lt;&gt;"")*ISNUMBER(SEARCH(실물목록!$P$2:$P$1001,I1281))*(실물목록!$Q$2:$Q$1001&lt;&gt;"")*ISNUMBER(SEARCH(실물목록!$Q$2:$Q$1001,I1281))*(실물목록!$R$2:$R$1001="")*(실물목록!$O$2:$O$1001&lt;&gt;""))&gt;0,"확인필요(연도다름)","실물 없음")))))</f>
      </c>
      <c r="G1281" t="n" s="16">
        <f aca="0">IF(B1281="","",SUMPRODUCT((실물목록!$P$2:$P$1001&lt;&gt;"")*ISNUMBER(SEARCH(실물목록!$P$2:$P$1001,I1281))*(실물목록!$Q$2:$Q$1001&lt;&gt;"")*ISNUMBER(SEARCH(실물목록!$Q$2:$Q$1001,I1281))*(실물목록!$R$2:$R$1001="")*(실물목록!$O$2:$O$1001&lt;&gt;"")*(실물목록!$O$2:$O$1001=H1281)))</f>
      </c>
      <c r="H1281" t="str">
        <f>IFERROR(IF(AND(LEN(SUBSTITUTE(SUBSTITUTE(SUBSTITUTE(TRIM(A1281&amp;""),CHAR(160),"")," ",""),"년",""))=4,VALUE(SUBSTITUTE(SUBSTITUTE(SUBSTITUTE(TRIM(A1281&amp;""),CHAR(160),"")," ",""),"년",""))&gt;=1900,VALUE(SUBSTITUTE(SUBSTITUTE(SUBSTITUTE(TRIM(A1281&amp;""),CHAR(160),"")," ",""),"년",""))&lt;=2099,TEXT(VALUE(SUBSTITUTE(SUBSTITUTE(SUBSTITUTE(TRIM(A1281&amp;""),CHAR(160),"")," ",""),"년","")),"0000")=SUBSTITUTE(SUBSTITUTE(SUBSTITUTE(TRIM(A1281&amp;""),CHAR(160),"")," ",""),"년","")),SUBSTITUTE(SUBSTITUTE(SUBSTITUTE(TRIM(A1281&amp;""),CHAR(160),"")," ",""),"년",""),""),"")</f>
      </c>
      <c r="I1281" t="str">
        <f>SUBSTITUTE(SUBSTITUTE(SUBSTITUTE(SUBSTITUTE(SUBSTITUTE(TRIM(B1281&amp;""),CHAR(160),"")," ",""),"초등학교","초"),"중학교","중"),"고등학교","고")</f>
      </c>
    </row>
    <row r="1282" customFormat="false" ht="15" hidden="false" customHeight="false" outlineLevel="0" collapsed="false">
      <c r="A1282" s="8"/>
      <c r="B1282" s="8"/>
      <c r="C1282" s="8"/>
      <c r="D1282" s="8"/>
      <c r="E1282" s="8"/>
      <c r="F1282" t="str" s="15">
        <f aca="0">IF(B1282="","",IF(H1282="","확인필요(입력누락)",IF(SUMPRODUCT((실물목록!$P$2:$P$1001&lt;&gt;"")*ISNUMBER(SEARCH(실물목록!$P$2:$P$1001,I1282))*(실물목록!$Q$2:$Q$1001&lt;&gt;"")*ISNUMBER(SEARCH(실물목록!$Q$2:$Q$1001,I1282))*(실물목록!$R$2:$R$1001="")*(실물목록!$O$2:$O$1001&lt;&gt;"")*(실물목록!$O$2:$O$1001=H1282))&gt;0,"실물 있음",IF(SUMPRODUCT((실물목록!$P$2:$P$1001&lt;&gt;"")*ISNUMBER(SEARCH(실물목록!$P$2:$P$1001,I1282))*(실물목록!$R$2:$R$1001&lt;&gt;""))&gt;0,"확인필요(입력누락)",IF(SUMPRODUCT((실물목록!$P$2:$P$1001&lt;&gt;"")*ISNUMBER(SEARCH(실물목록!$P$2:$P$1001,I1282))*(실물목록!$Q$2:$Q$1001&lt;&gt;"")*ISNUMBER(SEARCH(실물목록!$Q$2:$Q$1001,I1282))*(실물목록!$R$2:$R$1001="")*(실물목록!$O$2:$O$1001&lt;&gt;""))&gt;0,"확인필요(연도다름)","실물 없음")))))</f>
      </c>
      <c r="G1282" t="n" s="16">
        <f aca="0">IF(B1282="","",SUMPRODUCT((실물목록!$P$2:$P$1001&lt;&gt;"")*ISNUMBER(SEARCH(실물목록!$P$2:$P$1001,I1282))*(실물목록!$Q$2:$Q$1001&lt;&gt;"")*ISNUMBER(SEARCH(실물목록!$Q$2:$Q$1001,I1282))*(실물목록!$R$2:$R$1001="")*(실물목록!$O$2:$O$1001&lt;&gt;"")*(실물목록!$O$2:$O$1001=H1282)))</f>
      </c>
      <c r="H1282" t="str">
        <f>IFERROR(IF(AND(LEN(SUBSTITUTE(SUBSTITUTE(SUBSTITUTE(TRIM(A1282&amp;""),CHAR(160),"")," ",""),"년",""))=4,VALUE(SUBSTITUTE(SUBSTITUTE(SUBSTITUTE(TRIM(A1282&amp;""),CHAR(160),"")," ",""),"년",""))&gt;=1900,VALUE(SUBSTITUTE(SUBSTITUTE(SUBSTITUTE(TRIM(A1282&amp;""),CHAR(160),"")," ",""),"년",""))&lt;=2099,TEXT(VALUE(SUBSTITUTE(SUBSTITUTE(SUBSTITUTE(TRIM(A1282&amp;""),CHAR(160),"")," ",""),"년","")),"0000")=SUBSTITUTE(SUBSTITUTE(SUBSTITUTE(TRIM(A1282&amp;""),CHAR(160),"")," ",""),"년","")),SUBSTITUTE(SUBSTITUTE(SUBSTITUTE(TRIM(A1282&amp;""),CHAR(160),"")," ",""),"년",""),""),"")</f>
      </c>
      <c r="I1282" t="str">
        <f>SUBSTITUTE(SUBSTITUTE(SUBSTITUTE(SUBSTITUTE(SUBSTITUTE(TRIM(B1282&amp;""),CHAR(160),"")," ",""),"초등학교","초"),"중학교","중"),"고등학교","고")</f>
      </c>
    </row>
    <row r="1283" customFormat="false" ht="15" hidden="false" customHeight="false" outlineLevel="0" collapsed="false">
      <c r="A1283" s="8"/>
      <c r="B1283" s="8"/>
      <c r="C1283" s="8"/>
      <c r="D1283" s="8"/>
      <c r="E1283" s="8"/>
      <c r="F1283" t="str" s="15">
        <f aca="0">IF(B1283="","",IF(H1283="","확인필요(입력누락)",IF(SUMPRODUCT((실물목록!$P$2:$P$1001&lt;&gt;"")*ISNUMBER(SEARCH(실물목록!$P$2:$P$1001,I1283))*(실물목록!$Q$2:$Q$1001&lt;&gt;"")*ISNUMBER(SEARCH(실물목록!$Q$2:$Q$1001,I1283))*(실물목록!$R$2:$R$1001="")*(실물목록!$O$2:$O$1001&lt;&gt;"")*(실물목록!$O$2:$O$1001=H1283))&gt;0,"실물 있음",IF(SUMPRODUCT((실물목록!$P$2:$P$1001&lt;&gt;"")*ISNUMBER(SEARCH(실물목록!$P$2:$P$1001,I1283))*(실물목록!$R$2:$R$1001&lt;&gt;""))&gt;0,"확인필요(입력누락)",IF(SUMPRODUCT((실물목록!$P$2:$P$1001&lt;&gt;"")*ISNUMBER(SEARCH(실물목록!$P$2:$P$1001,I1283))*(실물목록!$Q$2:$Q$1001&lt;&gt;"")*ISNUMBER(SEARCH(실물목록!$Q$2:$Q$1001,I1283))*(실물목록!$R$2:$R$1001="")*(실물목록!$O$2:$O$1001&lt;&gt;""))&gt;0,"확인필요(연도다름)","실물 없음")))))</f>
      </c>
      <c r="G1283" t="n" s="16">
        <f aca="0">IF(B1283="","",SUMPRODUCT((실물목록!$P$2:$P$1001&lt;&gt;"")*ISNUMBER(SEARCH(실물목록!$P$2:$P$1001,I1283))*(실물목록!$Q$2:$Q$1001&lt;&gt;"")*ISNUMBER(SEARCH(실물목록!$Q$2:$Q$1001,I1283))*(실물목록!$R$2:$R$1001="")*(실물목록!$O$2:$O$1001&lt;&gt;"")*(실물목록!$O$2:$O$1001=H1283)))</f>
      </c>
      <c r="H1283" t="str">
        <f>IFERROR(IF(AND(LEN(SUBSTITUTE(SUBSTITUTE(SUBSTITUTE(TRIM(A1283&amp;""),CHAR(160),"")," ",""),"년",""))=4,VALUE(SUBSTITUTE(SUBSTITUTE(SUBSTITUTE(TRIM(A1283&amp;""),CHAR(160),"")," ",""),"년",""))&gt;=1900,VALUE(SUBSTITUTE(SUBSTITUTE(SUBSTITUTE(TRIM(A1283&amp;""),CHAR(160),"")," ",""),"년",""))&lt;=2099,TEXT(VALUE(SUBSTITUTE(SUBSTITUTE(SUBSTITUTE(TRIM(A1283&amp;""),CHAR(160),"")," ",""),"년","")),"0000")=SUBSTITUTE(SUBSTITUTE(SUBSTITUTE(TRIM(A1283&amp;""),CHAR(160),"")," ",""),"년","")),SUBSTITUTE(SUBSTITUTE(SUBSTITUTE(TRIM(A1283&amp;""),CHAR(160),"")," ",""),"년",""),""),"")</f>
      </c>
      <c r="I1283" t="str">
        <f>SUBSTITUTE(SUBSTITUTE(SUBSTITUTE(SUBSTITUTE(SUBSTITUTE(TRIM(B1283&amp;""),CHAR(160),"")," ",""),"초등학교","초"),"중학교","중"),"고등학교","고")</f>
      </c>
    </row>
    <row r="1284" customFormat="false" ht="15" hidden="false" customHeight="false" outlineLevel="0" collapsed="false">
      <c r="A1284" s="8"/>
      <c r="B1284" s="8"/>
      <c r="C1284" s="8"/>
      <c r="D1284" s="8"/>
      <c r="E1284" s="8"/>
      <c r="F1284" t="str" s="15">
        <f aca="0">IF(B1284="","",IF(H1284="","확인필요(입력누락)",IF(SUMPRODUCT((실물목록!$P$2:$P$1001&lt;&gt;"")*ISNUMBER(SEARCH(실물목록!$P$2:$P$1001,I1284))*(실물목록!$Q$2:$Q$1001&lt;&gt;"")*ISNUMBER(SEARCH(실물목록!$Q$2:$Q$1001,I1284))*(실물목록!$R$2:$R$1001="")*(실물목록!$O$2:$O$1001&lt;&gt;"")*(실물목록!$O$2:$O$1001=H1284))&gt;0,"실물 있음",IF(SUMPRODUCT((실물목록!$P$2:$P$1001&lt;&gt;"")*ISNUMBER(SEARCH(실물목록!$P$2:$P$1001,I1284))*(실물목록!$R$2:$R$1001&lt;&gt;""))&gt;0,"확인필요(입력누락)",IF(SUMPRODUCT((실물목록!$P$2:$P$1001&lt;&gt;"")*ISNUMBER(SEARCH(실물목록!$P$2:$P$1001,I1284))*(실물목록!$Q$2:$Q$1001&lt;&gt;"")*ISNUMBER(SEARCH(실물목록!$Q$2:$Q$1001,I1284))*(실물목록!$R$2:$R$1001="")*(실물목록!$O$2:$O$1001&lt;&gt;""))&gt;0,"확인필요(연도다름)","실물 없음")))))</f>
      </c>
      <c r="G1284" t="n" s="16">
        <f aca="0">IF(B1284="","",SUMPRODUCT((실물목록!$P$2:$P$1001&lt;&gt;"")*ISNUMBER(SEARCH(실물목록!$P$2:$P$1001,I1284))*(실물목록!$Q$2:$Q$1001&lt;&gt;"")*ISNUMBER(SEARCH(실물목록!$Q$2:$Q$1001,I1284))*(실물목록!$R$2:$R$1001="")*(실물목록!$O$2:$O$1001&lt;&gt;"")*(실물목록!$O$2:$O$1001=H1284)))</f>
      </c>
      <c r="H1284" t="str">
        <f>IFERROR(IF(AND(LEN(SUBSTITUTE(SUBSTITUTE(SUBSTITUTE(TRIM(A1284&amp;""),CHAR(160),"")," ",""),"년",""))=4,VALUE(SUBSTITUTE(SUBSTITUTE(SUBSTITUTE(TRIM(A1284&amp;""),CHAR(160),"")," ",""),"년",""))&gt;=1900,VALUE(SUBSTITUTE(SUBSTITUTE(SUBSTITUTE(TRIM(A1284&amp;""),CHAR(160),"")," ",""),"년",""))&lt;=2099,TEXT(VALUE(SUBSTITUTE(SUBSTITUTE(SUBSTITUTE(TRIM(A1284&amp;""),CHAR(160),"")," ",""),"년","")),"0000")=SUBSTITUTE(SUBSTITUTE(SUBSTITUTE(TRIM(A1284&amp;""),CHAR(160),"")," ",""),"년","")),SUBSTITUTE(SUBSTITUTE(SUBSTITUTE(TRIM(A1284&amp;""),CHAR(160),"")," ",""),"년",""),""),"")</f>
      </c>
      <c r="I1284" t="str">
        <f>SUBSTITUTE(SUBSTITUTE(SUBSTITUTE(SUBSTITUTE(SUBSTITUTE(TRIM(B1284&amp;""),CHAR(160),"")," ",""),"초등학교","초"),"중학교","중"),"고등학교","고")</f>
      </c>
    </row>
    <row r="1285" customFormat="false" ht="15" hidden="false" customHeight="false" outlineLevel="0" collapsed="false">
      <c r="A1285" s="8"/>
      <c r="B1285" s="8"/>
      <c r="C1285" s="8"/>
      <c r="D1285" s="8"/>
      <c r="E1285" s="8"/>
      <c r="F1285" t="str" s="15">
        <f aca="0">IF(B1285="","",IF(H1285="","확인필요(입력누락)",IF(SUMPRODUCT((실물목록!$P$2:$P$1001&lt;&gt;"")*ISNUMBER(SEARCH(실물목록!$P$2:$P$1001,I1285))*(실물목록!$Q$2:$Q$1001&lt;&gt;"")*ISNUMBER(SEARCH(실물목록!$Q$2:$Q$1001,I1285))*(실물목록!$R$2:$R$1001="")*(실물목록!$O$2:$O$1001&lt;&gt;"")*(실물목록!$O$2:$O$1001=H1285))&gt;0,"실물 있음",IF(SUMPRODUCT((실물목록!$P$2:$P$1001&lt;&gt;"")*ISNUMBER(SEARCH(실물목록!$P$2:$P$1001,I1285))*(실물목록!$R$2:$R$1001&lt;&gt;""))&gt;0,"확인필요(입력누락)",IF(SUMPRODUCT((실물목록!$P$2:$P$1001&lt;&gt;"")*ISNUMBER(SEARCH(실물목록!$P$2:$P$1001,I1285))*(실물목록!$Q$2:$Q$1001&lt;&gt;"")*ISNUMBER(SEARCH(실물목록!$Q$2:$Q$1001,I1285))*(실물목록!$R$2:$R$1001="")*(실물목록!$O$2:$O$1001&lt;&gt;""))&gt;0,"확인필요(연도다름)","실물 없음")))))</f>
      </c>
      <c r="G1285" t="n" s="16">
        <f aca="0">IF(B1285="","",SUMPRODUCT((실물목록!$P$2:$P$1001&lt;&gt;"")*ISNUMBER(SEARCH(실물목록!$P$2:$P$1001,I1285))*(실물목록!$Q$2:$Q$1001&lt;&gt;"")*ISNUMBER(SEARCH(실물목록!$Q$2:$Q$1001,I1285))*(실물목록!$R$2:$R$1001="")*(실물목록!$O$2:$O$1001&lt;&gt;"")*(실물목록!$O$2:$O$1001=H1285)))</f>
      </c>
      <c r="H1285" t="str">
        <f>IFERROR(IF(AND(LEN(SUBSTITUTE(SUBSTITUTE(SUBSTITUTE(TRIM(A1285&amp;""),CHAR(160),"")," ",""),"년",""))=4,VALUE(SUBSTITUTE(SUBSTITUTE(SUBSTITUTE(TRIM(A1285&amp;""),CHAR(160),"")," ",""),"년",""))&gt;=1900,VALUE(SUBSTITUTE(SUBSTITUTE(SUBSTITUTE(TRIM(A1285&amp;""),CHAR(160),"")," ",""),"년",""))&lt;=2099,TEXT(VALUE(SUBSTITUTE(SUBSTITUTE(SUBSTITUTE(TRIM(A1285&amp;""),CHAR(160),"")," ",""),"년","")),"0000")=SUBSTITUTE(SUBSTITUTE(SUBSTITUTE(TRIM(A1285&amp;""),CHAR(160),"")," ",""),"년","")),SUBSTITUTE(SUBSTITUTE(SUBSTITUTE(TRIM(A1285&amp;""),CHAR(160),"")," ",""),"년",""),""),"")</f>
      </c>
      <c r="I1285" t="str">
        <f>SUBSTITUTE(SUBSTITUTE(SUBSTITUTE(SUBSTITUTE(SUBSTITUTE(TRIM(B1285&amp;""),CHAR(160),"")," ",""),"초등학교","초"),"중학교","중"),"고등학교","고")</f>
      </c>
    </row>
    <row r="1286" customFormat="false" ht="15" hidden="false" customHeight="false" outlineLevel="0" collapsed="false">
      <c r="A1286" s="8"/>
      <c r="B1286" s="8"/>
      <c r="C1286" s="8"/>
      <c r="D1286" s="8"/>
      <c r="E1286" s="8"/>
      <c r="F1286" t="str" s="15">
        <f aca="0">IF(B1286="","",IF(H1286="","확인필요(입력누락)",IF(SUMPRODUCT((실물목록!$P$2:$P$1001&lt;&gt;"")*ISNUMBER(SEARCH(실물목록!$P$2:$P$1001,I1286))*(실물목록!$Q$2:$Q$1001&lt;&gt;"")*ISNUMBER(SEARCH(실물목록!$Q$2:$Q$1001,I1286))*(실물목록!$R$2:$R$1001="")*(실물목록!$O$2:$O$1001&lt;&gt;"")*(실물목록!$O$2:$O$1001=H1286))&gt;0,"실물 있음",IF(SUMPRODUCT((실물목록!$P$2:$P$1001&lt;&gt;"")*ISNUMBER(SEARCH(실물목록!$P$2:$P$1001,I1286))*(실물목록!$R$2:$R$1001&lt;&gt;""))&gt;0,"확인필요(입력누락)",IF(SUMPRODUCT((실물목록!$P$2:$P$1001&lt;&gt;"")*ISNUMBER(SEARCH(실물목록!$P$2:$P$1001,I1286))*(실물목록!$Q$2:$Q$1001&lt;&gt;"")*ISNUMBER(SEARCH(실물목록!$Q$2:$Q$1001,I1286))*(실물목록!$R$2:$R$1001="")*(실물목록!$O$2:$O$1001&lt;&gt;""))&gt;0,"확인필요(연도다름)","실물 없음")))))</f>
      </c>
      <c r="G1286" t="n" s="16">
        <f aca="0">IF(B1286="","",SUMPRODUCT((실물목록!$P$2:$P$1001&lt;&gt;"")*ISNUMBER(SEARCH(실물목록!$P$2:$P$1001,I1286))*(실물목록!$Q$2:$Q$1001&lt;&gt;"")*ISNUMBER(SEARCH(실물목록!$Q$2:$Q$1001,I1286))*(실물목록!$R$2:$R$1001="")*(실물목록!$O$2:$O$1001&lt;&gt;"")*(실물목록!$O$2:$O$1001=H1286)))</f>
      </c>
      <c r="H1286" t="str">
        <f>IFERROR(IF(AND(LEN(SUBSTITUTE(SUBSTITUTE(SUBSTITUTE(TRIM(A1286&amp;""),CHAR(160),"")," ",""),"년",""))=4,VALUE(SUBSTITUTE(SUBSTITUTE(SUBSTITUTE(TRIM(A1286&amp;""),CHAR(160),"")," ",""),"년",""))&gt;=1900,VALUE(SUBSTITUTE(SUBSTITUTE(SUBSTITUTE(TRIM(A1286&amp;""),CHAR(160),"")," ",""),"년",""))&lt;=2099,TEXT(VALUE(SUBSTITUTE(SUBSTITUTE(SUBSTITUTE(TRIM(A1286&amp;""),CHAR(160),"")," ",""),"년","")),"0000")=SUBSTITUTE(SUBSTITUTE(SUBSTITUTE(TRIM(A1286&amp;""),CHAR(160),"")," ",""),"년","")),SUBSTITUTE(SUBSTITUTE(SUBSTITUTE(TRIM(A1286&amp;""),CHAR(160),"")," ",""),"년",""),""),"")</f>
      </c>
      <c r="I1286" t="str">
        <f>SUBSTITUTE(SUBSTITUTE(SUBSTITUTE(SUBSTITUTE(SUBSTITUTE(TRIM(B1286&amp;""),CHAR(160),"")," ",""),"초등학교","초"),"중학교","중"),"고등학교","고")</f>
      </c>
    </row>
    <row r="1287" customFormat="false" ht="15" hidden="false" customHeight="false" outlineLevel="0" collapsed="false">
      <c r="A1287" s="8"/>
      <c r="B1287" s="8"/>
      <c r="C1287" s="8"/>
      <c r="D1287" s="8"/>
      <c r="E1287" s="8"/>
      <c r="F1287" t="str" s="15">
        <f aca="0">IF(B1287="","",IF(H1287="","확인필요(입력누락)",IF(SUMPRODUCT((실물목록!$P$2:$P$1001&lt;&gt;"")*ISNUMBER(SEARCH(실물목록!$P$2:$P$1001,I1287))*(실물목록!$Q$2:$Q$1001&lt;&gt;"")*ISNUMBER(SEARCH(실물목록!$Q$2:$Q$1001,I1287))*(실물목록!$R$2:$R$1001="")*(실물목록!$O$2:$O$1001&lt;&gt;"")*(실물목록!$O$2:$O$1001=H1287))&gt;0,"실물 있음",IF(SUMPRODUCT((실물목록!$P$2:$P$1001&lt;&gt;"")*ISNUMBER(SEARCH(실물목록!$P$2:$P$1001,I1287))*(실물목록!$R$2:$R$1001&lt;&gt;""))&gt;0,"확인필요(입력누락)",IF(SUMPRODUCT((실물목록!$P$2:$P$1001&lt;&gt;"")*ISNUMBER(SEARCH(실물목록!$P$2:$P$1001,I1287))*(실물목록!$Q$2:$Q$1001&lt;&gt;"")*ISNUMBER(SEARCH(실물목록!$Q$2:$Q$1001,I1287))*(실물목록!$R$2:$R$1001="")*(실물목록!$O$2:$O$1001&lt;&gt;""))&gt;0,"확인필요(연도다름)","실물 없음")))))</f>
      </c>
      <c r="G1287" t="n" s="16">
        <f aca="0">IF(B1287="","",SUMPRODUCT((실물목록!$P$2:$P$1001&lt;&gt;"")*ISNUMBER(SEARCH(실물목록!$P$2:$P$1001,I1287))*(실물목록!$Q$2:$Q$1001&lt;&gt;"")*ISNUMBER(SEARCH(실물목록!$Q$2:$Q$1001,I1287))*(실물목록!$R$2:$R$1001="")*(실물목록!$O$2:$O$1001&lt;&gt;"")*(실물목록!$O$2:$O$1001=H1287)))</f>
      </c>
      <c r="H1287" t="str">
        <f>IFERROR(IF(AND(LEN(SUBSTITUTE(SUBSTITUTE(SUBSTITUTE(TRIM(A1287&amp;""),CHAR(160),"")," ",""),"년",""))=4,VALUE(SUBSTITUTE(SUBSTITUTE(SUBSTITUTE(TRIM(A1287&amp;""),CHAR(160),"")," ",""),"년",""))&gt;=1900,VALUE(SUBSTITUTE(SUBSTITUTE(SUBSTITUTE(TRIM(A1287&amp;""),CHAR(160),"")," ",""),"년",""))&lt;=2099,TEXT(VALUE(SUBSTITUTE(SUBSTITUTE(SUBSTITUTE(TRIM(A1287&amp;""),CHAR(160),"")," ",""),"년","")),"0000")=SUBSTITUTE(SUBSTITUTE(SUBSTITUTE(TRIM(A1287&amp;""),CHAR(160),"")," ",""),"년","")),SUBSTITUTE(SUBSTITUTE(SUBSTITUTE(TRIM(A1287&amp;""),CHAR(160),"")," ",""),"년",""),""),"")</f>
      </c>
      <c r="I1287" t="str">
        <f>SUBSTITUTE(SUBSTITUTE(SUBSTITUTE(SUBSTITUTE(SUBSTITUTE(TRIM(B1287&amp;""),CHAR(160),"")," ",""),"초등학교","초"),"중학교","중"),"고등학교","고")</f>
      </c>
    </row>
    <row r="1288" customFormat="false" ht="15" hidden="false" customHeight="false" outlineLevel="0" collapsed="false">
      <c r="A1288" s="8"/>
      <c r="B1288" s="8"/>
      <c r="C1288" s="8"/>
      <c r="D1288" s="8"/>
      <c r="E1288" s="8"/>
      <c r="F1288" t="str" s="15">
        <f aca="0">IF(B1288="","",IF(H1288="","확인필요(입력누락)",IF(SUMPRODUCT((실물목록!$P$2:$P$1001&lt;&gt;"")*ISNUMBER(SEARCH(실물목록!$P$2:$P$1001,I1288))*(실물목록!$Q$2:$Q$1001&lt;&gt;"")*ISNUMBER(SEARCH(실물목록!$Q$2:$Q$1001,I1288))*(실물목록!$R$2:$R$1001="")*(실물목록!$O$2:$O$1001&lt;&gt;"")*(실물목록!$O$2:$O$1001=H1288))&gt;0,"실물 있음",IF(SUMPRODUCT((실물목록!$P$2:$P$1001&lt;&gt;"")*ISNUMBER(SEARCH(실물목록!$P$2:$P$1001,I1288))*(실물목록!$R$2:$R$1001&lt;&gt;""))&gt;0,"확인필요(입력누락)",IF(SUMPRODUCT((실물목록!$P$2:$P$1001&lt;&gt;"")*ISNUMBER(SEARCH(실물목록!$P$2:$P$1001,I1288))*(실물목록!$Q$2:$Q$1001&lt;&gt;"")*ISNUMBER(SEARCH(실물목록!$Q$2:$Q$1001,I1288))*(실물목록!$R$2:$R$1001="")*(실물목록!$O$2:$O$1001&lt;&gt;""))&gt;0,"확인필요(연도다름)","실물 없음")))))</f>
      </c>
      <c r="G1288" t="n" s="16">
        <f aca="0">IF(B1288="","",SUMPRODUCT((실물목록!$P$2:$P$1001&lt;&gt;"")*ISNUMBER(SEARCH(실물목록!$P$2:$P$1001,I1288))*(실물목록!$Q$2:$Q$1001&lt;&gt;"")*ISNUMBER(SEARCH(실물목록!$Q$2:$Q$1001,I1288))*(실물목록!$R$2:$R$1001="")*(실물목록!$O$2:$O$1001&lt;&gt;"")*(실물목록!$O$2:$O$1001=H1288)))</f>
      </c>
      <c r="H1288" t="str">
        <f>IFERROR(IF(AND(LEN(SUBSTITUTE(SUBSTITUTE(SUBSTITUTE(TRIM(A1288&amp;""),CHAR(160),"")," ",""),"년",""))=4,VALUE(SUBSTITUTE(SUBSTITUTE(SUBSTITUTE(TRIM(A1288&amp;""),CHAR(160),"")," ",""),"년",""))&gt;=1900,VALUE(SUBSTITUTE(SUBSTITUTE(SUBSTITUTE(TRIM(A1288&amp;""),CHAR(160),"")," ",""),"년",""))&lt;=2099,TEXT(VALUE(SUBSTITUTE(SUBSTITUTE(SUBSTITUTE(TRIM(A1288&amp;""),CHAR(160),"")," ",""),"년","")),"0000")=SUBSTITUTE(SUBSTITUTE(SUBSTITUTE(TRIM(A1288&amp;""),CHAR(160),"")," ",""),"년","")),SUBSTITUTE(SUBSTITUTE(SUBSTITUTE(TRIM(A1288&amp;""),CHAR(160),"")," ",""),"년",""),""),"")</f>
      </c>
      <c r="I1288" t="str">
        <f>SUBSTITUTE(SUBSTITUTE(SUBSTITUTE(SUBSTITUTE(SUBSTITUTE(TRIM(B1288&amp;""),CHAR(160),"")," ",""),"초등학교","초"),"중학교","중"),"고등학교","고")</f>
      </c>
    </row>
    <row r="1289" customFormat="false" ht="15" hidden="false" customHeight="false" outlineLevel="0" collapsed="false">
      <c r="A1289" s="8"/>
      <c r="B1289" s="8"/>
      <c r="C1289" s="8"/>
      <c r="D1289" s="8"/>
      <c r="E1289" s="8"/>
      <c r="F1289" t="str" s="15">
        <f aca="0">IF(B1289="","",IF(H1289="","확인필요(입력누락)",IF(SUMPRODUCT((실물목록!$P$2:$P$1001&lt;&gt;"")*ISNUMBER(SEARCH(실물목록!$P$2:$P$1001,I1289))*(실물목록!$Q$2:$Q$1001&lt;&gt;"")*ISNUMBER(SEARCH(실물목록!$Q$2:$Q$1001,I1289))*(실물목록!$R$2:$R$1001="")*(실물목록!$O$2:$O$1001&lt;&gt;"")*(실물목록!$O$2:$O$1001=H1289))&gt;0,"실물 있음",IF(SUMPRODUCT((실물목록!$P$2:$P$1001&lt;&gt;"")*ISNUMBER(SEARCH(실물목록!$P$2:$P$1001,I1289))*(실물목록!$R$2:$R$1001&lt;&gt;""))&gt;0,"확인필요(입력누락)",IF(SUMPRODUCT((실물목록!$P$2:$P$1001&lt;&gt;"")*ISNUMBER(SEARCH(실물목록!$P$2:$P$1001,I1289))*(실물목록!$Q$2:$Q$1001&lt;&gt;"")*ISNUMBER(SEARCH(실물목록!$Q$2:$Q$1001,I1289))*(실물목록!$R$2:$R$1001="")*(실물목록!$O$2:$O$1001&lt;&gt;""))&gt;0,"확인필요(연도다름)","실물 없음")))))</f>
      </c>
      <c r="G1289" t="n" s="16">
        <f aca="0">IF(B1289="","",SUMPRODUCT((실물목록!$P$2:$P$1001&lt;&gt;"")*ISNUMBER(SEARCH(실물목록!$P$2:$P$1001,I1289))*(실물목록!$Q$2:$Q$1001&lt;&gt;"")*ISNUMBER(SEARCH(실물목록!$Q$2:$Q$1001,I1289))*(실물목록!$R$2:$R$1001="")*(실물목록!$O$2:$O$1001&lt;&gt;"")*(실물목록!$O$2:$O$1001=H1289)))</f>
      </c>
      <c r="H1289" t="str">
        <f>IFERROR(IF(AND(LEN(SUBSTITUTE(SUBSTITUTE(SUBSTITUTE(TRIM(A1289&amp;""),CHAR(160),"")," ",""),"년",""))=4,VALUE(SUBSTITUTE(SUBSTITUTE(SUBSTITUTE(TRIM(A1289&amp;""),CHAR(160),"")," ",""),"년",""))&gt;=1900,VALUE(SUBSTITUTE(SUBSTITUTE(SUBSTITUTE(TRIM(A1289&amp;""),CHAR(160),"")," ",""),"년",""))&lt;=2099,TEXT(VALUE(SUBSTITUTE(SUBSTITUTE(SUBSTITUTE(TRIM(A1289&amp;""),CHAR(160),"")," ",""),"년","")),"0000")=SUBSTITUTE(SUBSTITUTE(SUBSTITUTE(TRIM(A1289&amp;""),CHAR(160),"")," ",""),"년","")),SUBSTITUTE(SUBSTITUTE(SUBSTITUTE(TRIM(A1289&amp;""),CHAR(160),"")," ",""),"년",""),""),"")</f>
      </c>
      <c r="I1289" t="str">
        <f>SUBSTITUTE(SUBSTITUTE(SUBSTITUTE(SUBSTITUTE(SUBSTITUTE(TRIM(B1289&amp;""),CHAR(160),"")," ",""),"초등학교","초"),"중학교","중"),"고등학교","고")</f>
      </c>
    </row>
    <row r="1290" customFormat="false" ht="15" hidden="false" customHeight="false" outlineLevel="0" collapsed="false">
      <c r="A1290" s="8"/>
      <c r="B1290" s="8"/>
      <c r="C1290" s="8"/>
      <c r="D1290" s="8"/>
      <c r="E1290" s="8"/>
      <c r="F1290" t="str" s="15">
        <f aca="0">IF(B1290="","",IF(H1290="","확인필요(입력누락)",IF(SUMPRODUCT((실물목록!$P$2:$P$1001&lt;&gt;"")*ISNUMBER(SEARCH(실물목록!$P$2:$P$1001,I1290))*(실물목록!$Q$2:$Q$1001&lt;&gt;"")*ISNUMBER(SEARCH(실물목록!$Q$2:$Q$1001,I1290))*(실물목록!$R$2:$R$1001="")*(실물목록!$O$2:$O$1001&lt;&gt;"")*(실물목록!$O$2:$O$1001=H1290))&gt;0,"실물 있음",IF(SUMPRODUCT((실물목록!$P$2:$P$1001&lt;&gt;"")*ISNUMBER(SEARCH(실물목록!$P$2:$P$1001,I1290))*(실물목록!$R$2:$R$1001&lt;&gt;""))&gt;0,"확인필요(입력누락)",IF(SUMPRODUCT((실물목록!$P$2:$P$1001&lt;&gt;"")*ISNUMBER(SEARCH(실물목록!$P$2:$P$1001,I1290))*(실물목록!$Q$2:$Q$1001&lt;&gt;"")*ISNUMBER(SEARCH(실물목록!$Q$2:$Q$1001,I1290))*(실물목록!$R$2:$R$1001="")*(실물목록!$O$2:$O$1001&lt;&gt;""))&gt;0,"확인필요(연도다름)","실물 없음")))))</f>
      </c>
      <c r="G1290" t="n" s="16">
        <f aca="0">IF(B1290="","",SUMPRODUCT((실물목록!$P$2:$P$1001&lt;&gt;"")*ISNUMBER(SEARCH(실물목록!$P$2:$P$1001,I1290))*(실물목록!$Q$2:$Q$1001&lt;&gt;"")*ISNUMBER(SEARCH(실물목록!$Q$2:$Q$1001,I1290))*(실물목록!$R$2:$R$1001="")*(실물목록!$O$2:$O$1001&lt;&gt;"")*(실물목록!$O$2:$O$1001=H1290)))</f>
      </c>
      <c r="H1290" t="str">
        <f>IFERROR(IF(AND(LEN(SUBSTITUTE(SUBSTITUTE(SUBSTITUTE(TRIM(A1290&amp;""),CHAR(160),"")," ",""),"년",""))=4,VALUE(SUBSTITUTE(SUBSTITUTE(SUBSTITUTE(TRIM(A1290&amp;""),CHAR(160),"")," ",""),"년",""))&gt;=1900,VALUE(SUBSTITUTE(SUBSTITUTE(SUBSTITUTE(TRIM(A1290&amp;""),CHAR(160),"")," ",""),"년",""))&lt;=2099,TEXT(VALUE(SUBSTITUTE(SUBSTITUTE(SUBSTITUTE(TRIM(A1290&amp;""),CHAR(160),"")," ",""),"년","")),"0000")=SUBSTITUTE(SUBSTITUTE(SUBSTITUTE(TRIM(A1290&amp;""),CHAR(160),"")," ",""),"년","")),SUBSTITUTE(SUBSTITUTE(SUBSTITUTE(TRIM(A1290&amp;""),CHAR(160),"")," ",""),"년",""),""),"")</f>
      </c>
      <c r="I1290" t="str">
        <f>SUBSTITUTE(SUBSTITUTE(SUBSTITUTE(SUBSTITUTE(SUBSTITUTE(TRIM(B1290&amp;""),CHAR(160),"")," ",""),"초등학교","초"),"중학교","중"),"고등학교","고")</f>
      </c>
    </row>
    <row r="1291" customFormat="false" ht="15" hidden="false" customHeight="false" outlineLevel="0" collapsed="false">
      <c r="A1291" s="8"/>
      <c r="B1291" s="8"/>
      <c r="C1291" s="8"/>
      <c r="D1291" s="8"/>
      <c r="E1291" s="8"/>
      <c r="F1291" t="str" s="15">
        <f aca="0">IF(B1291="","",IF(H1291="","확인필요(입력누락)",IF(SUMPRODUCT((실물목록!$P$2:$P$1001&lt;&gt;"")*ISNUMBER(SEARCH(실물목록!$P$2:$P$1001,I1291))*(실물목록!$Q$2:$Q$1001&lt;&gt;"")*ISNUMBER(SEARCH(실물목록!$Q$2:$Q$1001,I1291))*(실물목록!$R$2:$R$1001="")*(실물목록!$O$2:$O$1001&lt;&gt;"")*(실물목록!$O$2:$O$1001=H1291))&gt;0,"실물 있음",IF(SUMPRODUCT((실물목록!$P$2:$P$1001&lt;&gt;"")*ISNUMBER(SEARCH(실물목록!$P$2:$P$1001,I1291))*(실물목록!$R$2:$R$1001&lt;&gt;""))&gt;0,"확인필요(입력누락)",IF(SUMPRODUCT((실물목록!$P$2:$P$1001&lt;&gt;"")*ISNUMBER(SEARCH(실물목록!$P$2:$P$1001,I1291))*(실물목록!$Q$2:$Q$1001&lt;&gt;"")*ISNUMBER(SEARCH(실물목록!$Q$2:$Q$1001,I1291))*(실물목록!$R$2:$R$1001="")*(실물목록!$O$2:$O$1001&lt;&gt;""))&gt;0,"확인필요(연도다름)","실물 없음")))))</f>
      </c>
      <c r="G1291" t="n" s="16">
        <f aca="0">IF(B1291="","",SUMPRODUCT((실물목록!$P$2:$P$1001&lt;&gt;"")*ISNUMBER(SEARCH(실물목록!$P$2:$P$1001,I1291))*(실물목록!$Q$2:$Q$1001&lt;&gt;"")*ISNUMBER(SEARCH(실물목록!$Q$2:$Q$1001,I1291))*(실물목록!$R$2:$R$1001="")*(실물목록!$O$2:$O$1001&lt;&gt;"")*(실물목록!$O$2:$O$1001=H1291)))</f>
      </c>
      <c r="H1291" t="str">
        <f>IFERROR(IF(AND(LEN(SUBSTITUTE(SUBSTITUTE(SUBSTITUTE(TRIM(A1291&amp;""),CHAR(160),"")," ",""),"년",""))=4,VALUE(SUBSTITUTE(SUBSTITUTE(SUBSTITUTE(TRIM(A1291&amp;""),CHAR(160),"")," ",""),"년",""))&gt;=1900,VALUE(SUBSTITUTE(SUBSTITUTE(SUBSTITUTE(TRIM(A1291&amp;""),CHAR(160),"")," ",""),"년",""))&lt;=2099,TEXT(VALUE(SUBSTITUTE(SUBSTITUTE(SUBSTITUTE(TRIM(A1291&amp;""),CHAR(160),"")," ",""),"년","")),"0000")=SUBSTITUTE(SUBSTITUTE(SUBSTITUTE(TRIM(A1291&amp;""),CHAR(160),"")," ",""),"년","")),SUBSTITUTE(SUBSTITUTE(SUBSTITUTE(TRIM(A1291&amp;""),CHAR(160),"")," ",""),"년",""),""),"")</f>
      </c>
      <c r="I1291" t="str">
        <f>SUBSTITUTE(SUBSTITUTE(SUBSTITUTE(SUBSTITUTE(SUBSTITUTE(TRIM(B1291&amp;""),CHAR(160),"")," ",""),"초등학교","초"),"중학교","중"),"고등학교","고")</f>
      </c>
    </row>
    <row r="1292" customFormat="false" ht="15" hidden="false" customHeight="false" outlineLevel="0" collapsed="false">
      <c r="A1292" s="8"/>
      <c r="B1292" s="8"/>
      <c r="C1292" s="8"/>
      <c r="D1292" s="8"/>
      <c r="E1292" s="8"/>
      <c r="F1292" t="str" s="15">
        <f aca="0">IF(B1292="","",IF(H1292="","확인필요(입력누락)",IF(SUMPRODUCT((실물목록!$P$2:$P$1001&lt;&gt;"")*ISNUMBER(SEARCH(실물목록!$P$2:$P$1001,I1292))*(실물목록!$Q$2:$Q$1001&lt;&gt;"")*ISNUMBER(SEARCH(실물목록!$Q$2:$Q$1001,I1292))*(실물목록!$R$2:$R$1001="")*(실물목록!$O$2:$O$1001&lt;&gt;"")*(실물목록!$O$2:$O$1001=H1292))&gt;0,"실물 있음",IF(SUMPRODUCT((실물목록!$P$2:$P$1001&lt;&gt;"")*ISNUMBER(SEARCH(실물목록!$P$2:$P$1001,I1292))*(실물목록!$R$2:$R$1001&lt;&gt;""))&gt;0,"확인필요(입력누락)",IF(SUMPRODUCT((실물목록!$P$2:$P$1001&lt;&gt;"")*ISNUMBER(SEARCH(실물목록!$P$2:$P$1001,I1292))*(실물목록!$Q$2:$Q$1001&lt;&gt;"")*ISNUMBER(SEARCH(실물목록!$Q$2:$Q$1001,I1292))*(실물목록!$R$2:$R$1001="")*(실물목록!$O$2:$O$1001&lt;&gt;""))&gt;0,"확인필요(연도다름)","실물 없음")))))</f>
      </c>
      <c r="G1292" t="n" s="16">
        <f aca="0">IF(B1292="","",SUMPRODUCT((실물목록!$P$2:$P$1001&lt;&gt;"")*ISNUMBER(SEARCH(실물목록!$P$2:$P$1001,I1292))*(실물목록!$Q$2:$Q$1001&lt;&gt;"")*ISNUMBER(SEARCH(실물목록!$Q$2:$Q$1001,I1292))*(실물목록!$R$2:$R$1001="")*(실물목록!$O$2:$O$1001&lt;&gt;"")*(실물목록!$O$2:$O$1001=H1292)))</f>
      </c>
      <c r="H1292" t="str">
        <f>IFERROR(IF(AND(LEN(SUBSTITUTE(SUBSTITUTE(SUBSTITUTE(TRIM(A1292&amp;""),CHAR(160),"")," ",""),"년",""))=4,VALUE(SUBSTITUTE(SUBSTITUTE(SUBSTITUTE(TRIM(A1292&amp;""),CHAR(160),"")," ",""),"년",""))&gt;=1900,VALUE(SUBSTITUTE(SUBSTITUTE(SUBSTITUTE(TRIM(A1292&amp;""),CHAR(160),"")," ",""),"년",""))&lt;=2099,TEXT(VALUE(SUBSTITUTE(SUBSTITUTE(SUBSTITUTE(TRIM(A1292&amp;""),CHAR(160),"")," ",""),"년","")),"0000")=SUBSTITUTE(SUBSTITUTE(SUBSTITUTE(TRIM(A1292&amp;""),CHAR(160),"")," ",""),"년","")),SUBSTITUTE(SUBSTITUTE(SUBSTITUTE(TRIM(A1292&amp;""),CHAR(160),"")," ",""),"년",""),""),"")</f>
      </c>
      <c r="I1292" t="str">
        <f>SUBSTITUTE(SUBSTITUTE(SUBSTITUTE(SUBSTITUTE(SUBSTITUTE(TRIM(B1292&amp;""),CHAR(160),"")," ",""),"초등학교","초"),"중학교","중"),"고등학교","고")</f>
      </c>
    </row>
    <row r="1293" customFormat="false" ht="15" hidden="false" customHeight="false" outlineLevel="0" collapsed="false">
      <c r="A1293" s="8"/>
      <c r="B1293" s="8"/>
      <c r="C1293" s="8"/>
      <c r="D1293" s="8"/>
      <c r="E1293" s="8"/>
      <c r="F1293" t="str" s="15">
        <f aca="0">IF(B1293="","",IF(H1293="","확인필요(입력누락)",IF(SUMPRODUCT((실물목록!$P$2:$P$1001&lt;&gt;"")*ISNUMBER(SEARCH(실물목록!$P$2:$P$1001,I1293))*(실물목록!$Q$2:$Q$1001&lt;&gt;"")*ISNUMBER(SEARCH(실물목록!$Q$2:$Q$1001,I1293))*(실물목록!$R$2:$R$1001="")*(실물목록!$O$2:$O$1001&lt;&gt;"")*(실물목록!$O$2:$O$1001=H1293))&gt;0,"실물 있음",IF(SUMPRODUCT((실물목록!$P$2:$P$1001&lt;&gt;"")*ISNUMBER(SEARCH(실물목록!$P$2:$P$1001,I1293))*(실물목록!$R$2:$R$1001&lt;&gt;""))&gt;0,"확인필요(입력누락)",IF(SUMPRODUCT((실물목록!$P$2:$P$1001&lt;&gt;"")*ISNUMBER(SEARCH(실물목록!$P$2:$P$1001,I1293))*(실물목록!$Q$2:$Q$1001&lt;&gt;"")*ISNUMBER(SEARCH(실물목록!$Q$2:$Q$1001,I1293))*(실물목록!$R$2:$R$1001="")*(실물목록!$O$2:$O$1001&lt;&gt;""))&gt;0,"확인필요(연도다름)","실물 없음")))))</f>
      </c>
      <c r="G1293" t="n" s="16">
        <f aca="0">IF(B1293="","",SUMPRODUCT((실물목록!$P$2:$P$1001&lt;&gt;"")*ISNUMBER(SEARCH(실물목록!$P$2:$P$1001,I1293))*(실물목록!$Q$2:$Q$1001&lt;&gt;"")*ISNUMBER(SEARCH(실물목록!$Q$2:$Q$1001,I1293))*(실물목록!$R$2:$R$1001="")*(실물목록!$O$2:$O$1001&lt;&gt;"")*(실물목록!$O$2:$O$1001=H1293)))</f>
      </c>
      <c r="H1293" t="str">
        <f>IFERROR(IF(AND(LEN(SUBSTITUTE(SUBSTITUTE(SUBSTITUTE(TRIM(A1293&amp;""),CHAR(160),"")," ",""),"년",""))=4,VALUE(SUBSTITUTE(SUBSTITUTE(SUBSTITUTE(TRIM(A1293&amp;""),CHAR(160),"")," ",""),"년",""))&gt;=1900,VALUE(SUBSTITUTE(SUBSTITUTE(SUBSTITUTE(TRIM(A1293&amp;""),CHAR(160),"")," ",""),"년",""))&lt;=2099,TEXT(VALUE(SUBSTITUTE(SUBSTITUTE(SUBSTITUTE(TRIM(A1293&amp;""),CHAR(160),"")," ",""),"년","")),"0000")=SUBSTITUTE(SUBSTITUTE(SUBSTITUTE(TRIM(A1293&amp;""),CHAR(160),"")," ",""),"년","")),SUBSTITUTE(SUBSTITUTE(SUBSTITUTE(TRIM(A1293&amp;""),CHAR(160),"")," ",""),"년",""),""),"")</f>
      </c>
      <c r="I1293" t="str">
        <f>SUBSTITUTE(SUBSTITUTE(SUBSTITUTE(SUBSTITUTE(SUBSTITUTE(TRIM(B1293&amp;""),CHAR(160),"")," ",""),"초등학교","초"),"중학교","중"),"고등학교","고")</f>
      </c>
    </row>
    <row r="1294" customFormat="false" ht="15" hidden="false" customHeight="false" outlineLevel="0" collapsed="false">
      <c r="A1294" s="8"/>
      <c r="B1294" s="8"/>
      <c r="C1294" s="8"/>
      <c r="D1294" s="8"/>
      <c r="E1294" s="8"/>
      <c r="F1294" t="str" s="15">
        <f aca="0">IF(B1294="","",IF(H1294="","확인필요(입력누락)",IF(SUMPRODUCT((실물목록!$P$2:$P$1001&lt;&gt;"")*ISNUMBER(SEARCH(실물목록!$P$2:$P$1001,I1294))*(실물목록!$Q$2:$Q$1001&lt;&gt;"")*ISNUMBER(SEARCH(실물목록!$Q$2:$Q$1001,I1294))*(실물목록!$R$2:$R$1001="")*(실물목록!$O$2:$O$1001&lt;&gt;"")*(실물목록!$O$2:$O$1001=H1294))&gt;0,"실물 있음",IF(SUMPRODUCT((실물목록!$P$2:$P$1001&lt;&gt;"")*ISNUMBER(SEARCH(실물목록!$P$2:$P$1001,I1294))*(실물목록!$R$2:$R$1001&lt;&gt;""))&gt;0,"확인필요(입력누락)",IF(SUMPRODUCT((실물목록!$P$2:$P$1001&lt;&gt;"")*ISNUMBER(SEARCH(실물목록!$P$2:$P$1001,I1294))*(실물목록!$Q$2:$Q$1001&lt;&gt;"")*ISNUMBER(SEARCH(실물목록!$Q$2:$Q$1001,I1294))*(실물목록!$R$2:$R$1001="")*(실물목록!$O$2:$O$1001&lt;&gt;""))&gt;0,"확인필요(연도다름)","실물 없음")))))</f>
      </c>
      <c r="G1294" t="n" s="16">
        <f aca="0">IF(B1294="","",SUMPRODUCT((실물목록!$P$2:$P$1001&lt;&gt;"")*ISNUMBER(SEARCH(실물목록!$P$2:$P$1001,I1294))*(실물목록!$Q$2:$Q$1001&lt;&gt;"")*ISNUMBER(SEARCH(실물목록!$Q$2:$Q$1001,I1294))*(실물목록!$R$2:$R$1001="")*(실물목록!$O$2:$O$1001&lt;&gt;"")*(실물목록!$O$2:$O$1001=H1294)))</f>
      </c>
      <c r="H1294" t="str">
        <f>IFERROR(IF(AND(LEN(SUBSTITUTE(SUBSTITUTE(SUBSTITUTE(TRIM(A1294&amp;""),CHAR(160),"")," ",""),"년",""))=4,VALUE(SUBSTITUTE(SUBSTITUTE(SUBSTITUTE(TRIM(A1294&amp;""),CHAR(160),"")," ",""),"년",""))&gt;=1900,VALUE(SUBSTITUTE(SUBSTITUTE(SUBSTITUTE(TRIM(A1294&amp;""),CHAR(160),"")," ",""),"년",""))&lt;=2099,TEXT(VALUE(SUBSTITUTE(SUBSTITUTE(SUBSTITUTE(TRIM(A1294&amp;""),CHAR(160),"")," ",""),"년","")),"0000")=SUBSTITUTE(SUBSTITUTE(SUBSTITUTE(TRIM(A1294&amp;""),CHAR(160),"")," ",""),"년","")),SUBSTITUTE(SUBSTITUTE(SUBSTITUTE(TRIM(A1294&amp;""),CHAR(160),"")," ",""),"년",""),""),"")</f>
      </c>
      <c r="I1294" t="str">
        <f>SUBSTITUTE(SUBSTITUTE(SUBSTITUTE(SUBSTITUTE(SUBSTITUTE(TRIM(B1294&amp;""),CHAR(160),"")," ",""),"초등학교","초"),"중학교","중"),"고등학교","고")</f>
      </c>
    </row>
    <row r="1295" customFormat="false" ht="15" hidden="false" customHeight="false" outlineLevel="0" collapsed="false">
      <c r="A1295" s="8"/>
      <c r="B1295" s="8"/>
      <c r="C1295" s="8"/>
      <c r="D1295" s="8"/>
      <c r="E1295" s="8"/>
      <c r="F1295" t="str" s="15">
        <f aca="0">IF(B1295="","",IF(H1295="","확인필요(입력누락)",IF(SUMPRODUCT((실물목록!$P$2:$P$1001&lt;&gt;"")*ISNUMBER(SEARCH(실물목록!$P$2:$P$1001,I1295))*(실물목록!$Q$2:$Q$1001&lt;&gt;"")*ISNUMBER(SEARCH(실물목록!$Q$2:$Q$1001,I1295))*(실물목록!$R$2:$R$1001="")*(실물목록!$O$2:$O$1001&lt;&gt;"")*(실물목록!$O$2:$O$1001=H1295))&gt;0,"실물 있음",IF(SUMPRODUCT((실물목록!$P$2:$P$1001&lt;&gt;"")*ISNUMBER(SEARCH(실물목록!$P$2:$P$1001,I1295))*(실물목록!$R$2:$R$1001&lt;&gt;""))&gt;0,"확인필요(입력누락)",IF(SUMPRODUCT((실물목록!$P$2:$P$1001&lt;&gt;"")*ISNUMBER(SEARCH(실물목록!$P$2:$P$1001,I1295))*(실물목록!$Q$2:$Q$1001&lt;&gt;"")*ISNUMBER(SEARCH(실물목록!$Q$2:$Q$1001,I1295))*(실물목록!$R$2:$R$1001="")*(실물목록!$O$2:$O$1001&lt;&gt;""))&gt;0,"확인필요(연도다름)","실물 없음")))))</f>
      </c>
      <c r="G1295" t="n" s="16">
        <f aca="0">IF(B1295="","",SUMPRODUCT((실물목록!$P$2:$P$1001&lt;&gt;"")*ISNUMBER(SEARCH(실물목록!$P$2:$P$1001,I1295))*(실물목록!$Q$2:$Q$1001&lt;&gt;"")*ISNUMBER(SEARCH(실물목록!$Q$2:$Q$1001,I1295))*(실물목록!$R$2:$R$1001="")*(실물목록!$O$2:$O$1001&lt;&gt;"")*(실물목록!$O$2:$O$1001=H1295)))</f>
      </c>
      <c r="H1295" t="str">
        <f>IFERROR(IF(AND(LEN(SUBSTITUTE(SUBSTITUTE(SUBSTITUTE(TRIM(A1295&amp;""),CHAR(160),"")," ",""),"년",""))=4,VALUE(SUBSTITUTE(SUBSTITUTE(SUBSTITUTE(TRIM(A1295&amp;""),CHAR(160),"")," ",""),"년",""))&gt;=1900,VALUE(SUBSTITUTE(SUBSTITUTE(SUBSTITUTE(TRIM(A1295&amp;""),CHAR(160),"")," ",""),"년",""))&lt;=2099,TEXT(VALUE(SUBSTITUTE(SUBSTITUTE(SUBSTITUTE(TRIM(A1295&amp;""),CHAR(160),"")," ",""),"년","")),"0000")=SUBSTITUTE(SUBSTITUTE(SUBSTITUTE(TRIM(A1295&amp;""),CHAR(160),"")," ",""),"년","")),SUBSTITUTE(SUBSTITUTE(SUBSTITUTE(TRIM(A1295&amp;""),CHAR(160),"")," ",""),"년",""),""),"")</f>
      </c>
      <c r="I1295" t="str">
        <f>SUBSTITUTE(SUBSTITUTE(SUBSTITUTE(SUBSTITUTE(SUBSTITUTE(TRIM(B1295&amp;""),CHAR(160),"")," ",""),"초등학교","초"),"중학교","중"),"고등학교","고")</f>
      </c>
    </row>
    <row r="1296" customFormat="false" ht="15" hidden="false" customHeight="false" outlineLevel="0" collapsed="false">
      <c r="A1296" s="8"/>
      <c r="B1296" s="8"/>
      <c r="C1296" s="8"/>
      <c r="D1296" s="8"/>
      <c r="E1296" s="8"/>
      <c r="F1296" t="str" s="15">
        <f aca="0">IF(B1296="","",IF(H1296="","확인필요(입력누락)",IF(SUMPRODUCT((실물목록!$P$2:$P$1001&lt;&gt;"")*ISNUMBER(SEARCH(실물목록!$P$2:$P$1001,I1296))*(실물목록!$Q$2:$Q$1001&lt;&gt;"")*ISNUMBER(SEARCH(실물목록!$Q$2:$Q$1001,I1296))*(실물목록!$R$2:$R$1001="")*(실물목록!$O$2:$O$1001&lt;&gt;"")*(실물목록!$O$2:$O$1001=H1296))&gt;0,"실물 있음",IF(SUMPRODUCT((실물목록!$P$2:$P$1001&lt;&gt;"")*ISNUMBER(SEARCH(실물목록!$P$2:$P$1001,I1296))*(실물목록!$R$2:$R$1001&lt;&gt;""))&gt;0,"확인필요(입력누락)",IF(SUMPRODUCT((실물목록!$P$2:$P$1001&lt;&gt;"")*ISNUMBER(SEARCH(실물목록!$P$2:$P$1001,I1296))*(실물목록!$Q$2:$Q$1001&lt;&gt;"")*ISNUMBER(SEARCH(실물목록!$Q$2:$Q$1001,I1296))*(실물목록!$R$2:$R$1001="")*(실물목록!$O$2:$O$1001&lt;&gt;""))&gt;0,"확인필요(연도다름)","실물 없음")))))</f>
      </c>
      <c r="G1296" t="n" s="16">
        <f aca="0">IF(B1296="","",SUMPRODUCT((실물목록!$P$2:$P$1001&lt;&gt;"")*ISNUMBER(SEARCH(실물목록!$P$2:$P$1001,I1296))*(실물목록!$Q$2:$Q$1001&lt;&gt;"")*ISNUMBER(SEARCH(실물목록!$Q$2:$Q$1001,I1296))*(실물목록!$R$2:$R$1001="")*(실물목록!$O$2:$O$1001&lt;&gt;"")*(실물목록!$O$2:$O$1001=H1296)))</f>
      </c>
      <c r="H1296" t="str">
        <f>IFERROR(IF(AND(LEN(SUBSTITUTE(SUBSTITUTE(SUBSTITUTE(TRIM(A1296&amp;""),CHAR(160),"")," ",""),"년",""))=4,VALUE(SUBSTITUTE(SUBSTITUTE(SUBSTITUTE(TRIM(A1296&amp;""),CHAR(160),"")," ",""),"년",""))&gt;=1900,VALUE(SUBSTITUTE(SUBSTITUTE(SUBSTITUTE(TRIM(A1296&amp;""),CHAR(160),"")," ",""),"년",""))&lt;=2099,TEXT(VALUE(SUBSTITUTE(SUBSTITUTE(SUBSTITUTE(TRIM(A1296&amp;""),CHAR(160),"")," ",""),"년","")),"0000")=SUBSTITUTE(SUBSTITUTE(SUBSTITUTE(TRIM(A1296&amp;""),CHAR(160),"")," ",""),"년","")),SUBSTITUTE(SUBSTITUTE(SUBSTITUTE(TRIM(A1296&amp;""),CHAR(160),"")," ",""),"년",""),""),"")</f>
      </c>
      <c r="I1296" t="str">
        <f>SUBSTITUTE(SUBSTITUTE(SUBSTITUTE(SUBSTITUTE(SUBSTITUTE(TRIM(B1296&amp;""),CHAR(160),"")," ",""),"초등학교","초"),"중학교","중"),"고등학교","고")</f>
      </c>
    </row>
    <row r="1297" customFormat="false" ht="15" hidden="false" customHeight="false" outlineLevel="0" collapsed="false">
      <c r="A1297" s="8"/>
      <c r="B1297" s="8"/>
      <c r="C1297" s="8"/>
      <c r="D1297" s="8"/>
      <c r="E1297" s="8"/>
      <c r="F1297" t="str" s="15">
        <f aca="0">IF(B1297="","",IF(H1297="","확인필요(입력누락)",IF(SUMPRODUCT((실물목록!$P$2:$P$1001&lt;&gt;"")*ISNUMBER(SEARCH(실물목록!$P$2:$P$1001,I1297))*(실물목록!$Q$2:$Q$1001&lt;&gt;"")*ISNUMBER(SEARCH(실물목록!$Q$2:$Q$1001,I1297))*(실물목록!$R$2:$R$1001="")*(실물목록!$O$2:$O$1001&lt;&gt;"")*(실물목록!$O$2:$O$1001=H1297))&gt;0,"실물 있음",IF(SUMPRODUCT((실물목록!$P$2:$P$1001&lt;&gt;"")*ISNUMBER(SEARCH(실물목록!$P$2:$P$1001,I1297))*(실물목록!$R$2:$R$1001&lt;&gt;""))&gt;0,"확인필요(입력누락)",IF(SUMPRODUCT((실물목록!$P$2:$P$1001&lt;&gt;"")*ISNUMBER(SEARCH(실물목록!$P$2:$P$1001,I1297))*(실물목록!$Q$2:$Q$1001&lt;&gt;"")*ISNUMBER(SEARCH(실물목록!$Q$2:$Q$1001,I1297))*(실물목록!$R$2:$R$1001="")*(실물목록!$O$2:$O$1001&lt;&gt;""))&gt;0,"확인필요(연도다름)","실물 없음")))))</f>
      </c>
      <c r="G1297" t="n" s="16">
        <f aca="0">IF(B1297="","",SUMPRODUCT((실물목록!$P$2:$P$1001&lt;&gt;"")*ISNUMBER(SEARCH(실물목록!$P$2:$P$1001,I1297))*(실물목록!$Q$2:$Q$1001&lt;&gt;"")*ISNUMBER(SEARCH(실물목록!$Q$2:$Q$1001,I1297))*(실물목록!$R$2:$R$1001="")*(실물목록!$O$2:$O$1001&lt;&gt;"")*(실물목록!$O$2:$O$1001=H1297)))</f>
      </c>
      <c r="H1297" t="str">
        <f>IFERROR(IF(AND(LEN(SUBSTITUTE(SUBSTITUTE(SUBSTITUTE(TRIM(A1297&amp;""),CHAR(160),"")," ",""),"년",""))=4,VALUE(SUBSTITUTE(SUBSTITUTE(SUBSTITUTE(TRIM(A1297&amp;""),CHAR(160),"")," ",""),"년",""))&gt;=1900,VALUE(SUBSTITUTE(SUBSTITUTE(SUBSTITUTE(TRIM(A1297&amp;""),CHAR(160),"")," ",""),"년",""))&lt;=2099,TEXT(VALUE(SUBSTITUTE(SUBSTITUTE(SUBSTITUTE(TRIM(A1297&amp;""),CHAR(160),"")," ",""),"년","")),"0000")=SUBSTITUTE(SUBSTITUTE(SUBSTITUTE(TRIM(A1297&amp;""),CHAR(160),"")," ",""),"년","")),SUBSTITUTE(SUBSTITUTE(SUBSTITUTE(TRIM(A1297&amp;""),CHAR(160),"")," ",""),"년",""),""),"")</f>
      </c>
      <c r="I1297" t="str">
        <f>SUBSTITUTE(SUBSTITUTE(SUBSTITUTE(SUBSTITUTE(SUBSTITUTE(TRIM(B1297&amp;""),CHAR(160),"")," ",""),"초등학교","초"),"중학교","중"),"고등학교","고")</f>
      </c>
    </row>
    <row r="1298" customFormat="false" ht="15" hidden="false" customHeight="false" outlineLevel="0" collapsed="false">
      <c r="A1298" s="8"/>
      <c r="B1298" s="8"/>
      <c r="C1298" s="8"/>
      <c r="D1298" s="8"/>
      <c r="E1298" s="8"/>
      <c r="F1298" t="str" s="15">
        <f aca="0">IF(B1298="","",IF(H1298="","확인필요(입력누락)",IF(SUMPRODUCT((실물목록!$P$2:$P$1001&lt;&gt;"")*ISNUMBER(SEARCH(실물목록!$P$2:$P$1001,I1298))*(실물목록!$Q$2:$Q$1001&lt;&gt;"")*ISNUMBER(SEARCH(실물목록!$Q$2:$Q$1001,I1298))*(실물목록!$R$2:$R$1001="")*(실물목록!$O$2:$O$1001&lt;&gt;"")*(실물목록!$O$2:$O$1001=H1298))&gt;0,"실물 있음",IF(SUMPRODUCT((실물목록!$P$2:$P$1001&lt;&gt;"")*ISNUMBER(SEARCH(실물목록!$P$2:$P$1001,I1298))*(실물목록!$R$2:$R$1001&lt;&gt;""))&gt;0,"확인필요(입력누락)",IF(SUMPRODUCT((실물목록!$P$2:$P$1001&lt;&gt;"")*ISNUMBER(SEARCH(실물목록!$P$2:$P$1001,I1298))*(실물목록!$Q$2:$Q$1001&lt;&gt;"")*ISNUMBER(SEARCH(실물목록!$Q$2:$Q$1001,I1298))*(실물목록!$R$2:$R$1001="")*(실물목록!$O$2:$O$1001&lt;&gt;""))&gt;0,"확인필요(연도다름)","실물 없음")))))</f>
      </c>
      <c r="G1298" t="n" s="16">
        <f aca="0">IF(B1298="","",SUMPRODUCT((실물목록!$P$2:$P$1001&lt;&gt;"")*ISNUMBER(SEARCH(실물목록!$P$2:$P$1001,I1298))*(실물목록!$Q$2:$Q$1001&lt;&gt;"")*ISNUMBER(SEARCH(실물목록!$Q$2:$Q$1001,I1298))*(실물목록!$R$2:$R$1001="")*(실물목록!$O$2:$O$1001&lt;&gt;"")*(실물목록!$O$2:$O$1001=H1298)))</f>
      </c>
      <c r="H1298" t="str">
        <f>IFERROR(IF(AND(LEN(SUBSTITUTE(SUBSTITUTE(SUBSTITUTE(TRIM(A1298&amp;""),CHAR(160),"")," ",""),"년",""))=4,VALUE(SUBSTITUTE(SUBSTITUTE(SUBSTITUTE(TRIM(A1298&amp;""),CHAR(160),"")," ",""),"년",""))&gt;=1900,VALUE(SUBSTITUTE(SUBSTITUTE(SUBSTITUTE(TRIM(A1298&amp;""),CHAR(160),"")," ",""),"년",""))&lt;=2099,TEXT(VALUE(SUBSTITUTE(SUBSTITUTE(SUBSTITUTE(TRIM(A1298&amp;""),CHAR(160),"")," ",""),"년","")),"0000")=SUBSTITUTE(SUBSTITUTE(SUBSTITUTE(TRIM(A1298&amp;""),CHAR(160),"")," ",""),"년","")),SUBSTITUTE(SUBSTITUTE(SUBSTITUTE(TRIM(A1298&amp;""),CHAR(160),"")," ",""),"년",""),""),"")</f>
      </c>
      <c r="I1298" t="str">
        <f>SUBSTITUTE(SUBSTITUTE(SUBSTITUTE(SUBSTITUTE(SUBSTITUTE(TRIM(B1298&amp;""),CHAR(160),"")," ",""),"초등학교","초"),"중학교","중"),"고등학교","고")</f>
      </c>
    </row>
    <row r="1299" customFormat="false" ht="15" hidden="false" customHeight="false" outlineLevel="0" collapsed="false">
      <c r="A1299" s="8"/>
      <c r="B1299" s="8"/>
      <c r="C1299" s="8"/>
      <c r="D1299" s="8"/>
      <c r="E1299" s="8"/>
      <c r="F1299" t="str" s="15">
        <f aca="0">IF(B1299="","",IF(H1299="","확인필요(입력누락)",IF(SUMPRODUCT((실물목록!$P$2:$P$1001&lt;&gt;"")*ISNUMBER(SEARCH(실물목록!$P$2:$P$1001,I1299))*(실물목록!$Q$2:$Q$1001&lt;&gt;"")*ISNUMBER(SEARCH(실물목록!$Q$2:$Q$1001,I1299))*(실물목록!$R$2:$R$1001="")*(실물목록!$O$2:$O$1001&lt;&gt;"")*(실물목록!$O$2:$O$1001=H1299))&gt;0,"실물 있음",IF(SUMPRODUCT((실물목록!$P$2:$P$1001&lt;&gt;"")*ISNUMBER(SEARCH(실물목록!$P$2:$P$1001,I1299))*(실물목록!$R$2:$R$1001&lt;&gt;""))&gt;0,"확인필요(입력누락)",IF(SUMPRODUCT((실물목록!$P$2:$P$1001&lt;&gt;"")*ISNUMBER(SEARCH(실물목록!$P$2:$P$1001,I1299))*(실물목록!$Q$2:$Q$1001&lt;&gt;"")*ISNUMBER(SEARCH(실물목록!$Q$2:$Q$1001,I1299))*(실물목록!$R$2:$R$1001="")*(실물목록!$O$2:$O$1001&lt;&gt;""))&gt;0,"확인필요(연도다름)","실물 없음")))))</f>
      </c>
      <c r="G1299" t="n" s="16">
        <f aca="0">IF(B1299="","",SUMPRODUCT((실물목록!$P$2:$P$1001&lt;&gt;"")*ISNUMBER(SEARCH(실물목록!$P$2:$P$1001,I1299))*(실물목록!$Q$2:$Q$1001&lt;&gt;"")*ISNUMBER(SEARCH(실물목록!$Q$2:$Q$1001,I1299))*(실물목록!$R$2:$R$1001="")*(실물목록!$O$2:$O$1001&lt;&gt;"")*(실물목록!$O$2:$O$1001=H1299)))</f>
      </c>
      <c r="H1299" t="str">
        <f>IFERROR(IF(AND(LEN(SUBSTITUTE(SUBSTITUTE(SUBSTITUTE(TRIM(A1299&amp;""),CHAR(160),"")," ",""),"년",""))=4,VALUE(SUBSTITUTE(SUBSTITUTE(SUBSTITUTE(TRIM(A1299&amp;""),CHAR(160),"")," ",""),"년",""))&gt;=1900,VALUE(SUBSTITUTE(SUBSTITUTE(SUBSTITUTE(TRIM(A1299&amp;""),CHAR(160),"")," ",""),"년",""))&lt;=2099,TEXT(VALUE(SUBSTITUTE(SUBSTITUTE(SUBSTITUTE(TRIM(A1299&amp;""),CHAR(160),"")," ",""),"년","")),"0000")=SUBSTITUTE(SUBSTITUTE(SUBSTITUTE(TRIM(A1299&amp;""),CHAR(160),"")," ",""),"년","")),SUBSTITUTE(SUBSTITUTE(SUBSTITUTE(TRIM(A1299&amp;""),CHAR(160),"")," ",""),"년",""),""),"")</f>
      </c>
      <c r="I1299" t="str">
        <f>SUBSTITUTE(SUBSTITUTE(SUBSTITUTE(SUBSTITUTE(SUBSTITUTE(TRIM(B1299&amp;""),CHAR(160),"")," ",""),"초등학교","초"),"중학교","중"),"고등학교","고")</f>
      </c>
    </row>
    <row r="1300" customFormat="false" ht="15" hidden="false" customHeight="false" outlineLevel="0" collapsed="false">
      <c r="A1300" s="8"/>
      <c r="B1300" s="8"/>
      <c r="C1300" s="8"/>
      <c r="D1300" s="8"/>
      <c r="E1300" s="8"/>
      <c r="F1300" t="str" s="15">
        <f aca="0">IF(B1300="","",IF(H1300="","확인필요(입력누락)",IF(SUMPRODUCT((실물목록!$P$2:$P$1001&lt;&gt;"")*ISNUMBER(SEARCH(실물목록!$P$2:$P$1001,I1300))*(실물목록!$Q$2:$Q$1001&lt;&gt;"")*ISNUMBER(SEARCH(실물목록!$Q$2:$Q$1001,I1300))*(실물목록!$R$2:$R$1001="")*(실물목록!$O$2:$O$1001&lt;&gt;"")*(실물목록!$O$2:$O$1001=H1300))&gt;0,"실물 있음",IF(SUMPRODUCT((실물목록!$P$2:$P$1001&lt;&gt;"")*ISNUMBER(SEARCH(실물목록!$P$2:$P$1001,I1300))*(실물목록!$R$2:$R$1001&lt;&gt;""))&gt;0,"확인필요(입력누락)",IF(SUMPRODUCT((실물목록!$P$2:$P$1001&lt;&gt;"")*ISNUMBER(SEARCH(실물목록!$P$2:$P$1001,I1300))*(실물목록!$Q$2:$Q$1001&lt;&gt;"")*ISNUMBER(SEARCH(실물목록!$Q$2:$Q$1001,I1300))*(실물목록!$R$2:$R$1001="")*(실물목록!$O$2:$O$1001&lt;&gt;""))&gt;0,"확인필요(연도다름)","실물 없음")))))</f>
      </c>
      <c r="G1300" t="n" s="16">
        <f aca="0">IF(B1300="","",SUMPRODUCT((실물목록!$P$2:$P$1001&lt;&gt;"")*ISNUMBER(SEARCH(실물목록!$P$2:$P$1001,I1300))*(실물목록!$Q$2:$Q$1001&lt;&gt;"")*ISNUMBER(SEARCH(실물목록!$Q$2:$Q$1001,I1300))*(실물목록!$R$2:$R$1001="")*(실물목록!$O$2:$O$1001&lt;&gt;"")*(실물목록!$O$2:$O$1001=H1300)))</f>
      </c>
      <c r="H1300" t="str">
        <f>IFERROR(IF(AND(LEN(SUBSTITUTE(SUBSTITUTE(SUBSTITUTE(TRIM(A1300&amp;""),CHAR(160),"")," ",""),"년",""))=4,VALUE(SUBSTITUTE(SUBSTITUTE(SUBSTITUTE(TRIM(A1300&amp;""),CHAR(160),"")," ",""),"년",""))&gt;=1900,VALUE(SUBSTITUTE(SUBSTITUTE(SUBSTITUTE(TRIM(A1300&amp;""),CHAR(160),"")," ",""),"년",""))&lt;=2099,TEXT(VALUE(SUBSTITUTE(SUBSTITUTE(SUBSTITUTE(TRIM(A1300&amp;""),CHAR(160),"")," ",""),"년","")),"0000")=SUBSTITUTE(SUBSTITUTE(SUBSTITUTE(TRIM(A1300&amp;""),CHAR(160),"")," ",""),"년","")),SUBSTITUTE(SUBSTITUTE(SUBSTITUTE(TRIM(A1300&amp;""),CHAR(160),"")," ",""),"년",""),""),"")</f>
      </c>
      <c r="I1300" t="str">
        <f>SUBSTITUTE(SUBSTITUTE(SUBSTITUTE(SUBSTITUTE(SUBSTITUTE(TRIM(B1300&amp;""),CHAR(160),"")," ",""),"초등학교","초"),"중학교","중"),"고등학교","고")</f>
      </c>
    </row>
    <row r="1301" customFormat="false" ht="15" hidden="false" customHeight="false" outlineLevel="0" collapsed="false">
      <c r="A1301" s="8"/>
      <c r="B1301" s="8"/>
      <c r="C1301" s="8"/>
      <c r="D1301" s="8"/>
      <c r="E1301" s="8"/>
      <c r="F1301" t="str" s="15">
        <f aca="0">IF(B1301="","",IF(H1301="","확인필요(입력누락)",IF(SUMPRODUCT((실물목록!$P$2:$P$1001&lt;&gt;"")*ISNUMBER(SEARCH(실물목록!$P$2:$P$1001,I1301))*(실물목록!$Q$2:$Q$1001&lt;&gt;"")*ISNUMBER(SEARCH(실물목록!$Q$2:$Q$1001,I1301))*(실물목록!$R$2:$R$1001="")*(실물목록!$O$2:$O$1001&lt;&gt;"")*(실물목록!$O$2:$O$1001=H1301))&gt;0,"실물 있음",IF(SUMPRODUCT((실물목록!$P$2:$P$1001&lt;&gt;"")*ISNUMBER(SEARCH(실물목록!$P$2:$P$1001,I1301))*(실물목록!$R$2:$R$1001&lt;&gt;""))&gt;0,"확인필요(입력누락)",IF(SUMPRODUCT((실물목록!$P$2:$P$1001&lt;&gt;"")*ISNUMBER(SEARCH(실물목록!$P$2:$P$1001,I1301))*(실물목록!$Q$2:$Q$1001&lt;&gt;"")*ISNUMBER(SEARCH(실물목록!$Q$2:$Q$1001,I1301))*(실물목록!$R$2:$R$1001="")*(실물목록!$O$2:$O$1001&lt;&gt;""))&gt;0,"확인필요(연도다름)","실물 없음")))))</f>
      </c>
      <c r="G1301" t="n" s="16">
        <f aca="0">IF(B1301="","",SUMPRODUCT((실물목록!$P$2:$P$1001&lt;&gt;"")*ISNUMBER(SEARCH(실물목록!$P$2:$P$1001,I1301))*(실물목록!$Q$2:$Q$1001&lt;&gt;"")*ISNUMBER(SEARCH(실물목록!$Q$2:$Q$1001,I1301))*(실물목록!$R$2:$R$1001="")*(실물목록!$O$2:$O$1001&lt;&gt;"")*(실물목록!$O$2:$O$1001=H1301)))</f>
      </c>
      <c r="H1301" t="str">
        <f>IFERROR(IF(AND(LEN(SUBSTITUTE(SUBSTITUTE(SUBSTITUTE(TRIM(A1301&amp;""),CHAR(160),"")," ",""),"년",""))=4,VALUE(SUBSTITUTE(SUBSTITUTE(SUBSTITUTE(TRIM(A1301&amp;""),CHAR(160),"")," ",""),"년",""))&gt;=1900,VALUE(SUBSTITUTE(SUBSTITUTE(SUBSTITUTE(TRIM(A1301&amp;""),CHAR(160),"")," ",""),"년",""))&lt;=2099,TEXT(VALUE(SUBSTITUTE(SUBSTITUTE(SUBSTITUTE(TRIM(A1301&amp;""),CHAR(160),"")," ",""),"년","")),"0000")=SUBSTITUTE(SUBSTITUTE(SUBSTITUTE(TRIM(A1301&amp;""),CHAR(160),"")," ",""),"년","")),SUBSTITUTE(SUBSTITUTE(SUBSTITUTE(TRIM(A1301&amp;""),CHAR(160),"")," ",""),"년",""),""),"")</f>
      </c>
      <c r="I1301" t="str">
        <f>SUBSTITUTE(SUBSTITUTE(SUBSTITUTE(SUBSTITUTE(SUBSTITUTE(TRIM(B1301&amp;""),CHAR(160),"")," ",""),"초등학교","초"),"중학교","중"),"고등학교","고")</f>
      </c>
    </row>
    <row r="1302" customFormat="false" ht="15" hidden="false" customHeight="false" outlineLevel="0" collapsed="false">
      <c r="A1302" s="8"/>
      <c r="B1302" s="8"/>
      <c r="C1302" s="8"/>
      <c r="D1302" s="8"/>
      <c r="E1302" s="8"/>
      <c r="F1302" t="str" s="15">
        <f aca="0">IF(B1302="","",IF(H1302="","확인필요(입력누락)",IF(SUMPRODUCT((실물목록!$P$2:$P$1001&lt;&gt;"")*ISNUMBER(SEARCH(실물목록!$P$2:$P$1001,I1302))*(실물목록!$Q$2:$Q$1001&lt;&gt;"")*ISNUMBER(SEARCH(실물목록!$Q$2:$Q$1001,I1302))*(실물목록!$R$2:$R$1001="")*(실물목록!$O$2:$O$1001&lt;&gt;"")*(실물목록!$O$2:$O$1001=H1302))&gt;0,"실물 있음",IF(SUMPRODUCT((실물목록!$P$2:$P$1001&lt;&gt;"")*ISNUMBER(SEARCH(실물목록!$P$2:$P$1001,I1302))*(실물목록!$R$2:$R$1001&lt;&gt;""))&gt;0,"확인필요(입력누락)",IF(SUMPRODUCT((실물목록!$P$2:$P$1001&lt;&gt;"")*ISNUMBER(SEARCH(실물목록!$P$2:$P$1001,I1302))*(실물목록!$Q$2:$Q$1001&lt;&gt;"")*ISNUMBER(SEARCH(실물목록!$Q$2:$Q$1001,I1302))*(실물목록!$R$2:$R$1001="")*(실물목록!$O$2:$O$1001&lt;&gt;""))&gt;0,"확인필요(연도다름)","실물 없음")))))</f>
      </c>
      <c r="G1302" t="n" s="16">
        <f aca="0">IF(B1302="","",SUMPRODUCT((실물목록!$P$2:$P$1001&lt;&gt;"")*ISNUMBER(SEARCH(실물목록!$P$2:$P$1001,I1302))*(실물목록!$Q$2:$Q$1001&lt;&gt;"")*ISNUMBER(SEARCH(실물목록!$Q$2:$Q$1001,I1302))*(실물목록!$R$2:$R$1001="")*(실물목록!$O$2:$O$1001&lt;&gt;"")*(실물목록!$O$2:$O$1001=H1302)))</f>
      </c>
      <c r="H1302" t="str">
        <f>IFERROR(IF(AND(LEN(SUBSTITUTE(SUBSTITUTE(SUBSTITUTE(TRIM(A1302&amp;""),CHAR(160),"")," ",""),"년",""))=4,VALUE(SUBSTITUTE(SUBSTITUTE(SUBSTITUTE(TRIM(A1302&amp;""),CHAR(160),"")," ",""),"년",""))&gt;=1900,VALUE(SUBSTITUTE(SUBSTITUTE(SUBSTITUTE(TRIM(A1302&amp;""),CHAR(160),"")," ",""),"년",""))&lt;=2099,TEXT(VALUE(SUBSTITUTE(SUBSTITUTE(SUBSTITUTE(TRIM(A1302&amp;""),CHAR(160),"")," ",""),"년","")),"0000")=SUBSTITUTE(SUBSTITUTE(SUBSTITUTE(TRIM(A1302&amp;""),CHAR(160),"")," ",""),"년","")),SUBSTITUTE(SUBSTITUTE(SUBSTITUTE(TRIM(A1302&amp;""),CHAR(160),"")," ",""),"년",""),""),"")</f>
      </c>
      <c r="I1302" t="str">
        <f>SUBSTITUTE(SUBSTITUTE(SUBSTITUTE(SUBSTITUTE(SUBSTITUTE(TRIM(B1302&amp;""),CHAR(160),"")," ",""),"초등학교","초"),"중학교","중"),"고등학교","고")</f>
      </c>
    </row>
    <row r="1303" customFormat="false" ht="15" hidden="false" customHeight="false" outlineLevel="0" collapsed="false">
      <c r="A1303" s="8"/>
      <c r="B1303" s="8"/>
      <c r="C1303" s="8"/>
      <c r="D1303" s="8"/>
      <c r="E1303" s="8"/>
      <c r="F1303" t="str" s="15">
        <f aca="0">IF(B1303="","",IF(H1303="","확인필요(입력누락)",IF(SUMPRODUCT((실물목록!$P$2:$P$1001&lt;&gt;"")*ISNUMBER(SEARCH(실물목록!$P$2:$P$1001,I1303))*(실물목록!$Q$2:$Q$1001&lt;&gt;"")*ISNUMBER(SEARCH(실물목록!$Q$2:$Q$1001,I1303))*(실물목록!$R$2:$R$1001="")*(실물목록!$O$2:$O$1001&lt;&gt;"")*(실물목록!$O$2:$O$1001=H1303))&gt;0,"실물 있음",IF(SUMPRODUCT((실물목록!$P$2:$P$1001&lt;&gt;"")*ISNUMBER(SEARCH(실물목록!$P$2:$P$1001,I1303))*(실물목록!$R$2:$R$1001&lt;&gt;""))&gt;0,"확인필요(입력누락)",IF(SUMPRODUCT((실물목록!$P$2:$P$1001&lt;&gt;"")*ISNUMBER(SEARCH(실물목록!$P$2:$P$1001,I1303))*(실물목록!$Q$2:$Q$1001&lt;&gt;"")*ISNUMBER(SEARCH(실물목록!$Q$2:$Q$1001,I1303))*(실물목록!$R$2:$R$1001="")*(실물목록!$O$2:$O$1001&lt;&gt;""))&gt;0,"확인필요(연도다름)","실물 없음")))))</f>
      </c>
      <c r="G1303" t="n" s="16">
        <f aca="0">IF(B1303="","",SUMPRODUCT((실물목록!$P$2:$P$1001&lt;&gt;"")*ISNUMBER(SEARCH(실물목록!$P$2:$P$1001,I1303))*(실물목록!$Q$2:$Q$1001&lt;&gt;"")*ISNUMBER(SEARCH(실물목록!$Q$2:$Q$1001,I1303))*(실물목록!$R$2:$R$1001="")*(실물목록!$O$2:$O$1001&lt;&gt;"")*(실물목록!$O$2:$O$1001=H1303)))</f>
      </c>
      <c r="H1303" t="str">
        <f>IFERROR(IF(AND(LEN(SUBSTITUTE(SUBSTITUTE(SUBSTITUTE(TRIM(A1303&amp;""),CHAR(160),"")," ",""),"년",""))=4,VALUE(SUBSTITUTE(SUBSTITUTE(SUBSTITUTE(TRIM(A1303&amp;""),CHAR(160),"")," ",""),"년",""))&gt;=1900,VALUE(SUBSTITUTE(SUBSTITUTE(SUBSTITUTE(TRIM(A1303&amp;""),CHAR(160),"")," ",""),"년",""))&lt;=2099,TEXT(VALUE(SUBSTITUTE(SUBSTITUTE(SUBSTITUTE(TRIM(A1303&amp;""),CHAR(160),"")," ",""),"년","")),"0000")=SUBSTITUTE(SUBSTITUTE(SUBSTITUTE(TRIM(A1303&amp;""),CHAR(160),"")," ",""),"년","")),SUBSTITUTE(SUBSTITUTE(SUBSTITUTE(TRIM(A1303&amp;""),CHAR(160),"")," ",""),"년",""),""),"")</f>
      </c>
      <c r="I1303" t="str">
        <f>SUBSTITUTE(SUBSTITUTE(SUBSTITUTE(SUBSTITUTE(SUBSTITUTE(TRIM(B1303&amp;""),CHAR(160),"")," ",""),"초등학교","초"),"중학교","중"),"고등학교","고")</f>
      </c>
    </row>
    <row r="1304" customFormat="false" ht="15" hidden="false" customHeight="false" outlineLevel="0" collapsed="false">
      <c r="A1304" s="8"/>
      <c r="B1304" s="8"/>
      <c r="C1304" s="8"/>
      <c r="D1304" s="8"/>
      <c r="E1304" s="8"/>
      <c r="F1304" t="str" s="15">
        <f aca="0">IF(B1304="","",IF(H1304="","확인필요(입력누락)",IF(SUMPRODUCT((실물목록!$P$2:$P$1001&lt;&gt;"")*ISNUMBER(SEARCH(실물목록!$P$2:$P$1001,I1304))*(실물목록!$Q$2:$Q$1001&lt;&gt;"")*ISNUMBER(SEARCH(실물목록!$Q$2:$Q$1001,I1304))*(실물목록!$R$2:$R$1001="")*(실물목록!$O$2:$O$1001&lt;&gt;"")*(실물목록!$O$2:$O$1001=H1304))&gt;0,"실물 있음",IF(SUMPRODUCT((실물목록!$P$2:$P$1001&lt;&gt;"")*ISNUMBER(SEARCH(실물목록!$P$2:$P$1001,I1304))*(실물목록!$R$2:$R$1001&lt;&gt;""))&gt;0,"확인필요(입력누락)",IF(SUMPRODUCT((실물목록!$P$2:$P$1001&lt;&gt;"")*ISNUMBER(SEARCH(실물목록!$P$2:$P$1001,I1304))*(실물목록!$Q$2:$Q$1001&lt;&gt;"")*ISNUMBER(SEARCH(실물목록!$Q$2:$Q$1001,I1304))*(실물목록!$R$2:$R$1001="")*(실물목록!$O$2:$O$1001&lt;&gt;""))&gt;0,"확인필요(연도다름)","실물 없음")))))</f>
      </c>
      <c r="G1304" t="n" s="16">
        <f aca="0">IF(B1304="","",SUMPRODUCT((실물목록!$P$2:$P$1001&lt;&gt;"")*ISNUMBER(SEARCH(실물목록!$P$2:$P$1001,I1304))*(실물목록!$Q$2:$Q$1001&lt;&gt;"")*ISNUMBER(SEARCH(실물목록!$Q$2:$Q$1001,I1304))*(실물목록!$R$2:$R$1001="")*(실물목록!$O$2:$O$1001&lt;&gt;"")*(실물목록!$O$2:$O$1001=H1304)))</f>
      </c>
      <c r="H1304" t="str">
        <f>IFERROR(IF(AND(LEN(SUBSTITUTE(SUBSTITUTE(SUBSTITUTE(TRIM(A1304&amp;""),CHAR(160),"")," ",""),"년",""))=4,VALUE(SUBSTITUTE(SUBSTITUTE(SUBSTITUTE(TRIM(A1304&amp;""),CHAR(160),"")," ",""),"년",""))&gt;=1900,VALUE(SUBSTITUTE(SUBSTITUTE(SUBSTITUTE(TRIM(A1304&amp;""),CHAR(160),"")," ",""),"년",""))&lt;=2099,TEXT(VALUE(SUBSTITUTE(SUBSTITUTE(SUBSTITUTE(TRIM(A1304&amp;""),CHAR(160),"")," ",""),"년","")),"0000")=SUBSTITUTE(SUBSTITUTE(SUBSTITUTE(TRIM(A1304&amp;""),CHAR(160),"")," ",""),"년","")),SUBSTITUTE(SUBSTITUTE(SUBSTITUTE(TRIM(A1304&amp;""),CHAR(160),"")," ",""),"년",""),""),"")</f>
      </c>
      <c r="I1304" t="str">
        <f>SUBSTITUTE(SUBSTITUTE(SUBSTITUTE(SUBSTITUTE(SUBSTITUTE(TRIM(B1304&amp;""),CHAR(160),"")," ",""),"초등학교","초"),"중학교","중"),"고등학교","고")</f>
      </c>
    </row>
    <row r="1305" customFormat="false" ht="15" hidden="false" customHeight="false" outlineLevel="0" collapsed="false">
      <c r="A1305" s="8"/>
      <c r="B1305" s="8"/>
      <c r="C1305" s="8"/>
      <c r="D1305" s="8"/>
      <c r="E1305" s="8"/>
      <c r="F1305" t="str" s="15">
        <f aca="0">IF(B1305="","",IF(H1305="","확인필요(입력누락)",IF(SUMPRODUCT((실물목록!$P$2:$P$1001&lt;&gt;"")*ISNUMBER(SEARCH(실물목록!$P$2:$P$1001,I1305))*(실물목록!$Q$2:$Q$1001&lt;&gt;"")*ISNUMBER(SEARCH(실물목록!$Q$2:$Q$1001,I1305))*(실물목록!$R$2:$R$1001="")*(실물목록!$O$2:$O$1001&lt;&gt;"")*(실물목록!$O$2:$O$1001=H1305))&gt;0,"실물 있음",IF(SUMPRODUCT((실물목록!$P$2:$P$1001&lt;&gt;"")*ISNUMBER(SEARCH(실물목록!$P$2:$P$1001,I1305))*(실물목록!$R$2:$R$1001&lt;&gt;""))&gt;0,"확인필요(입력누락)",IF(SUMPRODUCT((실물목록!$P$2:$P$1001&lt;&gt;"")*ISNUMBER(SEARCH(실물목록!$P$2:$P$1001,I1305))*(실물목록!$Q$2:$Q$1001&lt;&gt;"")*ISNUMBER(SEARCH(실물목록!$Q$2:$Q$1001,I1305))*(실물목록!$R$2:$R$1001="")*(실물목록!$O$2:$O$1001&lt;&gt;""))&gt;0,"확인필요(연도다름)","실물 없음")))))</f>
      </c>
      <c r="G1305" t="n" s="16">
        <f aca="0">IF(B1305="","",SUMPRODUCT((실물목록!$P$2:$P$1001&lt;&gt;"")*ISNUMBER(SEARCH(실물목록!$P$2:$P$1001,I1305))*(실물목록!$Q$2:$Q$1001&lt;&gt;"")*ISNUMBER(SEARCH(실물목록!$Q$2:$Q$1001,I1305))*(실물목록!$R$2:$R$1001="")*(실물목록!$O$2:$O$1001&lt;&gt;"")*(실물목록!$O$2:$O$1001=H1305)))</f>
      </c>
      <c r="H1305" t="str">
        <f>IFERROR(IF(AND(LEN(SUBSTITUTE(SUBSTITUTE(SUBSTITUTE(TRIM(A1305&amp;""),CHAR(160),"")," ",""),"년",""))=4,VALUE(SUBSTITUTE(SUBSTITUTE(SUBSTITUTE(TRIM(A1305&amp;""),CHAR(160),"")," ",""),"년",""))&gt;=1900,VALUE(SUBSTITUTE(SUBSTITUTE(SUBSTITUTE(TRIM(A1305&amp;""),CHAR(160),"")," ",""),"년",""))&lt;=2099,TEXT(VALUE(SUBSTITUTE(SUBSTITUTE(SUBSTITUTE(TRIM(A1305&amp;""),CHAR(160),"")," ",""),"년","")),"0000")=SUBSTITUTE(SUBSTITUTE(SUBSTITUTE(TRIM(A1305&amp;""),CHAR(160),"")," ",""),"년","")),SUBSTITUTE(SUBSTITUTE(SUBSTITUTE(TRIM(A1305&amp;""),CHAR(160),"")," ",""),"년",""),""),"")</f>
      </c>
      <c r="I1305" t="str">
        <f>SUBSTITUTE(SUBSTITUTE(SUBSTITUTE(SUBSTITUTE(SUBSTITUTE(TRIM(B1305&amp;""),CHAR(160),"")," ",""),"초등학교","초"),"중학교","중"),"고등학교","고")</f>
      </c>
    </row>
    <row r="1306" customFormat="false" ht="15" hidden="false" customHeight="false" outlineLevel="0" collapsed="false">
      <c r="A1306" s="8"/>
      <c r="B1306" s="8"/>
      <c r="C1306" s="8"/>
      <c r="D1306" s="8"/>
      <c r="E1306" s="8"/>
      <c r="F1306" t="str" s="15">
        <f aca="0">IF(B1306="","",IF(H1306="","확인필요(입력누락)",IF(SUMPRODUCT((실물목록!$P$2:$P$1001&lt;&gt;"")*ISNUMBER(SEARCH(실물목록!$P$2:$P$1001,I1306))*(실물목록!$Q$2:$Q$1001&lt;&gt;"")*ISNUMBER(SEARCH(실물목록!$Q$2:$Q$1001,I1306))*(실물목록!$R$2:$R$1001="")*(실물목록!$O$2:$O$1001&lt;&gt;"")*(실물목록!$O$2:$O$1001=H1306))&gt;0,"실물 있음",IF(SUMPRODUCT((실물목록!$P$2:$P$1001&lt;&gt;"")*ISNUMBER(SEARCH(실물목록!$P$2:$P$1001,I1306))*(실물목록!$R$2:$R$1001&lt;&gt;""))&gt;0,"확인필요(입력누락)",IF(SUMPRODUCT((실물목록!$P$2:$P$1001&lt;&gt;"")*ISNUMBER(SEARCH(실물목록!$P$2:$P$1001,I1306))*(실물목록!$Q$2:$Q$1001&lt;&gt;"")*ISNUMBER(SEARCH(실물목록!$Q$2:$Q$1001,I1306))*(실물목록!$R$2:$R$1001="")*(실물목록!$O$2:$O$1001&lt;&gt;""))&gt;0,"확인필요(연도다름)","실물 없음")))))</f>
      </c>
      <c r="G1306" t="n" s="16">
        <f aca="0">IF(B1306="","",SUMPRODUCT((실물목록!$P$2:$P$1001&lt;&gt;"")*ISNUMBER(SEARCH(실물목록!$P$2:$P$1001,I1306))*(실물목록!$Q$2:$Q$1001&lt;&gt;"")*ISNUMBER(SEARCH(실물목록!$Q$2:$Q$1001,I1306))*(실물목록!$R$2:$R$1001="")*(실물목록!$O$2:$O$1001&lt;&gt;"")*(실물목록!$O$2:$O$1001=H1306)))</f>
      </c>
      <c r="H1306" t="str">
        <f>IFERROR(IF(AND(LEN(SUBSTITUTE(SUBSTITUTE(SUBSTITUTE(TRIM(A1306&amp;""),CHAR(160),"")," ",""),"년",""))=4,VALUE(SUBSTITUTE(SUBSTITUTE(SUBSTITUTE(TRIM(A1306&amp;""),CHAR(160),"")," ",""),"년",""))&gt;=1900,VALUE(SUBSTITUTE(SUBSTITUTE(SUBSTITUTE(TRIM(A1306&amp;""),CHAR(160),"")," ",""),"년",""))&lt;=2099,TEXT(VALUE(SUBSTITUTE(SUBSTITUTE(SUBSTITUTE(TRIM(A1306&amp;""),CHAR(160),"")," ",""),"년","")),"0000")=SUBSTITUTE(SUBSTITUTE(SUBSTITUTE(TRIM(A1306&amp;""),CHAR(160),"")," ",""),"년","")),SUBSTITUTE(SUBSTITUTE(SUBSTITUTE(TRIM(A1306&amp;""),CHAR(160),"")," ",""),"년",""),""),"")</f>
      </c>
      <c r="I1306" t="str">
        <f>SUBSTITUTE(SUBSTITUTE(SUBSTITUTE(SUBSTITUTE(SUBSTITUTE(TRIM(B1306&amp;""),CHAR(160),"")," ",""),"초등학교","초"),"중학교","중"),"고등학교","고")</f>
      </c>
    </row>
    <row r="1307" customFormat="false" ht="15" hidden="false" customHeight="false" outlineLevel="0" collapsed="false">
      <c r="A1307" s="8"/>
      <c r="B1307" s="8"/>
      <c r="C1307" s="8"/>
      <c r="D1307" s="8"/>
      <c r="E1307" s="8"/>
      <c r="F1307" t="str" s="15">
        <f aca="0">IF(B1307="","",IF(H1307="","확인필요(입력누락)",IF(SUMPRODUCT((실물목록!$P$2:$P$1001&lt;&gt;"")*ISNUMBER(SEARCH(실물목록!$P$2:$P$1001,I1307))*(실물목록!$Q$2:$Q$1001&lt;&gt;"")*ISNUMBER(SEARCH(실물목록!$Q$2:$Q$1001,I1307))*(실물목록!$R$2:$R$1001="")*(실물목록!$O$2:$O$1001&lt;&gt;"")*(실물목록!$O$2:$O$1001=H1307))&gt;0,"실물 있음",IF(SUMPRODUCT((실물목록!$P$2:$P$1001&lt;&gt;"")*ISNUMBER(SEARCH(실물목록!$P$2:$P$1001,I1307))*(실물목록!$R$2:$R$1001&lt;&gt;""))&gt;0,"확인필요(입력누락)",IF(SUMPRODUCT((실물목록!$P$2:$P$1001&lt;&gt;"")*ISNUMBER(SEARCH(실물목록!$P$2:$P$1001,I1307))*(실물목록!$Q$2:$Q$1001&lt;&gt;"")*ISNUMBER(SEARCH(실물목록!$Q$2:$Q$1001,I1307))*(실물목록!$R$2:$R$1001="")*(실물목록!$O$2:$O$1001&lt;&gt;""))&gt;0,"확인필요(연도다름)","실물 없음")))))</f>
      </c>
      <c r="G1307" t="n" s="16">
        <f aca="0">IF(B1307="","",SUMPRODUCT((실물목록!$P$2:$P$1001&lt;&gt;"")*ISNUMBER(SEARCH(실물목록!$P$2:$P$1001,I1307))*(실물목록!$Q$2:$Q$1001&lt;&gt;"")*ISNUMBER(SEARCH(실물목록!$Q$2:$Q$1001,I1307))*(실물목록!$R$2:$R$1001="")*(실물목록!$O$2:$O$1001&lt;&gt;"")*(실물목록!$O$2:$O$1001=H1307)))</f>
      </c>
      <c r="H1307" t="str">
        <f>IFERROR(IF(AND(LEN(SUBSTITUTE(SUBSTITUTE(SUBSTITUTE(TRIM(A1307&amp;""),CHAR(160),"")," ",""),"년",""))=4,VALUE(SUBSTITUTE(SUBSTITUTE(SUBSTITUTE(TRIM(A1307&amp;""),CHAR(160),"")," ",""),"년",""))&gt;=1900,VALUE(SUBSTITUTE(SUBSTITUTE(SUBSTITUTE(TRIM(A1307&amp;""),CHAR(160),"")," ",""),"년",""))&lt;=2099,TEXT(VALUE(SUBSTITUTE(SUBSTITUTE(SUBSTITUTE(TRIM(A1307&amp;""),CHAR(160),"")," ",""),"년","")),"0000")=SUBSTITUTE(SUBSTITUTE(SUBSTITUTE(TRIM(A1307&amp;""),CHAR(160),"")," ",""),"년","")),SUBSTITUTE(SUBSTITUTE(SUBSTITUTE(TRIM(A1307&amp;""),CHAR(160),"")," ",""),"년",""),""),"")</f>
      </c>
      <c r="I1307" t="str">
        <f>SUBSTITUTE(SUBSTITUTE(SUBSTITUTE(SUBSTITUTE(SUBSTITUTE(TRIM(B1307&amp;""),CHAR(160),"")," ",""),"초등학교","초"),"중학교","중"),"고등학교","고")</f>
      </c>
    </row>
    <row r="1308" customFormat="false" ht="15" hidden="false" customHeight="false" outlineLevel="0" collapsed="false">
      <c r="A1308" s="8"/>
      <c r="B1308" s="8"/>
      <c r="C1308" s="8"/>
      <c r="D1308" s="8"/>
      <c r="E1308" s="8"/>
      <c r="F1308" t="str" s="15">
        <f aca="0">IF(B1308="","",IF(H1308="","확인필요(입력누락)",IF(SUMPRODUCT((실물목록!$P$2:$P$1001&lt;&gt;"")*ISNUMBER(SEARCH(실물목록!$P$2:$P$1001,I1308))*(실물목록!$Q$2:$Q$1001&lt;&gt;"")*ISNUMBER(SEARCH(실물목록!$Q$2:$Q$1001,I1308))*(실물목록!$R$2:$R$1001="")*(실물목록!$O$2:$O$1001&lt;&gt;"")*(실물목록!$O$2:$O$1001=H1308))&gt;0,"실물 있음",IF(SUMPRODUCT((실물목록!$P$2:$P$1001&lt;&gt;"")*ISNUMBER(SEARCH(실물목록!$P$2:$P$1001,I1308))*(실물목록!$R$2:$R$1001&lt;&gt;""))&gt;0,"확인필요(입력누락)",IF(SUMPRODUCT((실물목록!$P$2:$P$1001&lt;&gt;"")*ISNUMBER(SEARCH(실물목록!$P$2:$P$1001,I1308))*(실물목록!$Q$2:$Q$1001&lt;&gt;"")*ISNUMBER(SEARCH(실물목록!$Q$2:$Q$1001,I1308))*(실물목록!$R$2:$R$1001="")*(실물목록!$O$2:$O$1001&lt;&gt;""))&gt;0,"확인필요(연도다름)","실물 없음")))))</f>
      </c>
      <c r="G1308" t="n" s="16">
        <f aca="0">IF(B1308="","",SUMPRODUCT((실물목록!$P$2:$P$1001&lt;&gt;"")*ISNUMBER(SEARCH(실물목록!$P$2:$P$1001,I1308))*(실물목록!$Q$2:$Q$1001&lt;&gt;"")*ISNUMBER(SEARCH(실물목록!$Q$2:$Q$1001,I1308))*(실물목록!$R$2:$R$1001="")*(실물목록!$O$2:$O$1001&lt;&gt;"")*(실물목록!$O$2:$O$1001=H1308)))</f>
      </c>
      <c r="H1308" t="str">
        <f>IFERROR(IF(AND(LEN(SUBSTITUTE(SUBSTITUTE(SUBSTITUTE(TRIM(A1308&amp;""),CHAR(160),"")," ",""),"년",""))=4,VALUE(SUBSTITUTE(SUBSTITUTE(SUBSTITUTE(TRIM(A1308&amp;""),CHAR(160),"")," ",""),"년",""))&gt;=1900,VALUE(SUBSTITUTE(SUBSTITUTE(SUBSTITUTE(TRIM(A1308&amp;""),CHAR(160),"")," ",""),"년",""))&lt;=2099,TEXT(VALUE(SUBSTITUTE(SUBSTITUTE(SUBSTITUTE(TRIM(A1308&amp;""),CHAR(160),"")," ",""),"년","")),"0000")=SUBSTITUTE(SUBSTITUTE(SUBSTITUTE(TRIM(A1308&amp;""),CHAR(160),"")," ",""),"년","")),SUBSTITUTE(SUBSTITUTE(SUBSTITUTE(TRIM(A1308&amp;""),CHAR(160),"")," ",""),"년",""),""),"")</f>
      </c>
      <c r="I1308" t="str">
        <f>SUBSTITUTE(SUBSTITUTE(SUBSTITUTE(SUBSTITUTE(SUBSTITUTE(TRIM(B1308&amp;""),CHAR(160),"")," ",""),"초등학교","초"),"중학교","중"),"고등학교","고")</f>
      </c>
    </row>
    <row r="1309" customFormat="false" ht="15" hidden="false" customHeight="false" outlineLevel="0" collapsed="false">
      <c r="A1309" s="8"/>
      <c r="B1309" s="8"/>
      <c r="C1309" s="8"/>
      <c r="D1309" s="8"/>
      <c r="E1309" s="8"/>
      <c r="F1309" t="str" s="15">
        <f aca="0">IF(B1309="","",IF(H1309="","확인필요(입력누락)",IF(SUMPRODUCT((실물목록!$P$2:$P$1001&lt;&gt;"")*ISNUMBER(SEARCH(실물목록!$P$2:$P$1001,I1309))*(실물목록!$Q$2:$Q$1001&lt;&gt;"")*ISNUMBER(SEARCH(실물목록!$Q$2:$Q$1001,I1309))*(실물목록!$R$2:$R$1001="")*(실물목록!$O$2:$O$1001&lt;&gt;"")*(실물목록!$O$2:$O$1001=H1309))&gt;0,"실물 있음",IF(SUMPRODUCT((실물목록!$P$2:$P$1001&lt;&gt;"")*ISNUMBER(SEARCH(실물목록!$P$2:$P$1001,I1309))*(실물목록!$R$2:$R$1001&lt;&gt;""))&gt;0,"확인필요(입력누락)",IF(SUMPRODUCT((실물목록!$P$2:$P$1001&lt;&gt;"")*ISNUMBER(SEARCH(실물목록!$P$2:$P$1001,I1309))*(실물목록!$Q$2:$Q$1001&lt;&gt;"")*ISNUMBER(SEARCH(실물목록!$Q$2:$Q$1001,I1309))*(실물목록!$R$2:$R$1001="")*(실물목록!$O$2:$O$1001&lt;&gt;""))&gt;0,"확인필요(연도다름)","실물 없음")))))</f>
      </c>
      <c r="G1309" t="n" s="16">
        <f aca="0">IF(B1309="","",SUMPRODUCT((실물목록!$P$2:$P$1001&lt;&gt;"")*ISNUMBER(SEARCH(실물목록!$P$2:$P$1001,I1309))*(실물목록!$Q$2:$Q$1001&lt;&gt;"")*ISNUMBER(SEARCH(실물목록!$Q$2:$Q$1001,I1309))*(실물목록!$R$2:$R$1001="")*(실물목록!$O$2:$O$1001&lt;&gt;"")*(실물목록!$O$2:$O$1001=H1309)))</f>
      </c>
      <c r="H1309" t="str">
        <f>IFERROR(IF(AND(LEN(SUBSTITUTE(SUBSTITUTE(SUBSTITUTE(TRIM(A1309&amp;""),CHAR(160),"")," ",""),"년",""))=4,VALUE(SUBSTITUTE(SUBSTITUTE(SUBSTITUTE(TRIM(A1309&amp;""),CHAR(160),"")," ",""),"년",""))&gt;=1900,VALUE(SUBSTITUTE(SUBSTITUTE(SUBSTITUTE(TRIM(A1309&amp;""),CHAR(160),"")," ",""),"년",""))&lt;=2099,TEXT(VALUE(SUBSTITUTE(SUBSTITUTE(SUBSTITUTE(TRIM(A1309&amp;""),CHAR(160),"")," ",""),"년","")),"0000")=SUBSTITUTE(SUBSTITUTE(SUBSTITUTE(TRIM(A1309&amp;""),CHAR(160),"")," ",""),"년","")),SUBSTITUTE(SUBSTITUTE(SUBSTITUTE(TRIM(A1309&amp;""),CHAR(160),"")," ",""),"년",""),""),"")</f>
      </c>
      <c r="I1309" t="str">
        <f>SUBSTITUTE(SUBSTITUTE(SUBSTITUTE(SUBSTITUTE(SUBSTITUTE(TRIM(B1309&amp;""),CHAR(160),"")," ",""),"초등학교","초"),"중학교","중"),"고등학교","고")</f>
      </c>
    </row>
    <row r="1310" customFormat="false" ht="15" hidden="false" customHeight="false" outlineLevel="0" collapsed="false">
      <c r="A1310" s="8"/>
      <c r="B1310" s="8"/>
      <c r="C1310" s="8"/>
      <c r="D1310" s="8"/>
      <c r="E1310" s="8"/>
      <c r="F1310" t="str" s="15">
        <f aca="0">IF(B1310="","",IF(H1310="","확인필요(입력누락)",IF(SUMPRODUCT((실물목록!$P$2:$P$1001&lt;&gt;"")*ISNUMBER(SEARCH(실물목록!$P$2:$P$1001,I1310))*(실물목록!$Q$2:$Q$1001&lt;&gt;"")*ISNUMBER(SEARCH(실물목록!$Q$2:$Q$1001,I1310))*(실물목록!$R$2:$R$1001="")*(실물목록!$O$2:$O$1001&lt;&gt;"")*(실물목록!$O$2:$O$1001=H1310))&gt;0,"실물 있음",IF(SUMPRODUCT((실물목록!$P$2:$P$1001&lt;&gt;"")*ISNUMBER(SEARCH(실물목록!$P$2:$P$1001,I1310))*(실물목록!$R$2:$R$1001&lt;&gt;""))&gt;0,"확인필요(입력누락)",IF(SUMPRODUCT((실물목록!$P$2:$P$1001&lt;&gt;"")*ISNUMBER(SEARCH(실물목록!$P$2:$P$1001,I1310))*(실물목록!$Q$2:$Q$1001&lt;&gt;"")*ISNUMBER(SEARCH(실물목록!$Q$2:$Q$1001,I1310))*(실물목록!$R$2:$R$1001="")*(실물목록!$O$2:$O$1001&lt;&gt;""))&gt;0,"확인필요(연도다름)","실물 없음")))))</f>
      </c>
      <c r="G1310" t="n" s="16">
        <f aca="0">IF(B1310="","",SUMPRODUCT((실물목록!$P$2:$P$1001&lt;&gt;"")*ISNUMBER(SEARCH(실물목록!$P$2:$P$1001,I1310))*(실물목록!$Q$2:$Q$1001&lt;&gt;"")*ISNUMBER(SEARCH(실물목록!$Q$2:$Q$1001,I1310))*(실물목록!$R$2:$R$1001="")*(실물목록!$O$2:$O$1001&lt;&gt;"")*(실물목록!$O$2:$O$1001=H1310)))</f>
      </c>
      <c r="H1310" t="str">
        <f>IFERROR(IF(AND(LEN(SUBSTITUTE(SUBSTITUTE(SUBSTITUTE(TRIM(A1310&amp;""),CHAR(160),"")," ",""),"년",""))=4,VALUE(SUBSTITUTE(SUBSTITUTE(SUBSTITUTE(TRIM(A1310&amp;""),CHAR(160),"")," ",""),"년",""))&gt;=1900,VALUE(SUBSTITUTE(SUBSTITUTE(SUBSTITUTE(TRIM(A1310&amp;""),CHAR(160),"")," ",""),"년",""))&lt;=2099,TEXT(VALUE(SUBSTITUTE(SUBSTITUTE(SUBSTITUTE(TRIM(A1310&amp;""),CHAR(160),"")," ",""),"년","")),"0000")=SUBSTITUTE(SUBSTITUTE(SUBSTITUTE(TRIM(A1310&amp;""),CHAR(160),"")," ",""),"년","")),SUBSTITUTE(SUBSTITUTE(SUBSTITUTE(TRIM(A1310&amp;""),CHAR(160),"")," ",""),"년",""),""),"")</f>
      </c>
      <c r="I1310" t="str">
        <f>SUBSTITUTE(SUBSTITUTE(SUBSTITUTE(SUBSTITUTE(SUBSTITUTE(TRIM(B1310&amp;""),CHAR(160),"")," ",""),"초등학교","초"),"중학교","중"),"고등학교","고")</f>
      </c>
    </row>
    <row r="1311" customFormat="false" ht="15" hidden="false" customHeight="false" outlineLevel="0" collapsed="false">
      <c r="A1311" s="8"/>
      <c r="B1311" s="8"/>
      <c r="C1311" s="8"/>
      <c r="D1311" s="8"/>
      <c r="E1311" s="8"/>
      <c r="F1311" t="str" s="15">
        <f aca="0">IF(B1311="","",IF(H1311="","확인필요(입력누락)",IF(SUMPRODUCT((실물목록!$P$2:$P$1001&lt;&gt;"")*ISNUMBER(SEARCH(실물목록!$P$2:$P$1001,I1311))*(실물목록!$Q$2:$Q$1001&lt;&gt;"")*ISNUMBER(SEARCH(실물목록!$Q$2:$Q$1001,I1311))*(실물목록!$R$2:$R$1001="")*(실물목록!$O$2:$O$1001&lt;&gt;"")*(실물목록!$O$2:$O$1001=H1311))&gt;0,"실물 있음",IF(SUMPRODUCT((실물목록!$P$2:$P$1001&lt;&gt;"")*ISNUMBER(SEARCH(실물목록!$P$2:$P$1001,I1311))*(실물목록!$R$2:$R$1001&lt;&gt;""))&gt;0,"확인필요(입력누락)",IF(SUMPRODUCT((실물목록!$P$2:$P$1001&lt;&gt;"")*ISNUMBER(SEARCH(실물목록!$P$2:$P$1001,I1311))*(실물목록!$Q$2:$Q$1001&lt;&gt;"")*ISNUMBER(SEARCH(실물목록!$Q$2:$Q$1001,I1311))*(실물목록!$R$2:$R$1001="")*(실물목록!$O$2:$O$1001&lt;&gt;""))&gt;0,"확인필요(연도다름)","실물 없음")))))</f>
      </c>
      <c r="G1311" t="n" s="16">
        <f aca="0">IF(B1311="","",SUMPRODUCT((실물목록!$P$2:$P$1001&lt;&gt;"")*ISNUMBER(SEARCH(실물목록!$P$2:$P$1001,I1311))*(실물목록!$Q$2:$Q$1001&lt;&gt;"")*ISNUMBER(SEARCH(실물목록!$Q$2:$Q$1001,I1311))*(실물목록!$R$2:$R$1001="")*(실물목록!$O$2:$O$1001&lt;&gt;"")*(실물목록!$O$2:$O$1001=H1311)))</f>
      </c>
      <c r="H1311" t="str">
        <f>IFERROR(IF(AND(LEN(SUBSTITUTE(SUBSTITUTE(SUBSTITUTE(TRIM(A1311&amp;""),CHAR(160),"")," ",""),"년",""))=4,VALUE(SUBSTITUTE(SUBSTITUTE(SUBSTITUTE(TRIM(A1311&amp;""),CHAR(160),"")," ",""),"년",""))&gt;=1900,VALUE(SUBSTITUTE(SUBSTITUTE(SUBSTITUTE(TRIM(A1311&amp;""),CHAR(160),"")," ",""),"년",""))&lt;=2099,TEXT(VALUE(SUBSTITUTE(SUBSTITUTE(SUBSTITUTE(TRIM(A1311&amp;""),CHAR(160),"")," ",""),"년","")),"0000")=SUBSTITUTE(SUBSTITUTE(SUBSTITUTE(TRIM(A1311&amp;""),CHAR(160),"")," ",""),"년","")),SUBSTITUTE(SUBSTITUTE(SUBSTITUTE(TRIM(A1311&amp;""),CHAR(160),"")," ",""),"년",""),""),"")</f>
      </c>
      <c r="I1311" t="str">
        <f>SUBSTITUTE(SUBSTITUTE(SUBSTITUTE(SUBSTITUTE(SUBSTITUTE(TRIM(B1311&amp;""),CHAR(160),"")," ",""),"초등학교","초"),"중학교","중"),"고등학교","고")</f>
      </c>
    </row>
    <row r="1312" customFormat="false" ht="15" hidden="false" customHeight="false" outlineLevel="0" collapsed="false">
      <c r="A1312" s="8"/>
      <c r="B1312" s="8"/>
      <c r="C1312" s="8"/>
      <c r="D1312" s="8"/>
      <c r="E1312" s="8"/>
      <c r="F1312" t="str" s="15">
        <f aca="0">IF(B1312="","",IF(H1312="","확인필요(입력누락)",IF(SUMPRODUCT((실물목록!$P$2:$P$1001&lt;&gt;"")*ISNUMBER(SEARCH(실물목록!$P$2:$P$1001,I1312))*(실물목록!$Q$2:$Q$1001&lt;&gt;"")*ISNUMBER(SEARCH(실물목록!$Q$2:$Q$1001,I1312))*(실물목록!$R$2:$R$1001="")*(실물목록!$O$2:$O$1001&lt;&gt;"")*(실물목록!$O$2:$O$1001=H1312))&gt;0,"실물 있음",IF(SUMPRODUCT((실물목록!$P$2:$P$1001&lt;&gt;"")*ISNUMBER(SEARCH(실물목록!$P$2:$P$1001,I1312))*(실물목록!$R$2:$R$1001&lt;&gt;""))&gt;0,"확인필요(입력누락)",IF(SUMPRODUCT((실물목록!$P$2:$P$1001&lt;&gt;"")*ISNUMBER(SEARCH(실물목록!$P$2:$P$1001,I1312))*(실물목록!$Q$2:$Q$1001&lt;&gt;"")*ISNUMBER(SEARCH(실물목록!$Q$2:$Q$1001,I1312))*(실물목록!$R$2:$R$1001="")*(실물목록!$O$2:$O$1001&lt;&gt;""))&gt;0,"확인필요(연도다름)","실물 없음")))))</f>
      </c>
      <c r="G1312" t="n" s="16">
        <f aca="0">IF(B1312="","",SUMPRODUCT((실물목록!$P$2:$P$1001&lt;&gt;"")*ISNUMBER(SEARCH(실물목록!$P$2:$P$1001,I1312))*(실물목록!$Q$2:$Q$1001&lt;&gt;"")*ISNUMBER(SEARCH(실물목록!$Q$2:$Q$1001,I1312))*(실물목록!$R$2:$R$1001="")*(실물목록!$O$2:$O$1001&lt;&gt;"")*(실물목록!$O$2:$O$1001=H1312)))</f>
      </c>
      <c r="H1312" t="str">
        <f>IFERROR(IF(AND(LEN(SUBSTITUTE(SUBSTITUTE(SUBSTITUTE(TRIM(A1312&amp;""),CHAR(160),"")," ",""),"년",""))=4,VALUE(SUBSTITUTE(SUBSTITUTE(SUBSTITUTE(TRIM(A1312&amp;""),CHAR(160),"")," ",""),"년",""))&gt;=1900,VALUE(SUBSTITUTE(SUBSTITUTE(SUBSTITUTE(TRIM(A1312&amp;""),CHAR(160),"")," ",""),"년",""))&lt;=2099,TEXT(VALUE(SUBSTITUTE(SUBSTITUTE(SUBSTITUTE(TRIM(A1312&amp;""),CHAR(160),"")," ",""),"년","")),"0000")=SUBSTITUTE(SUBSTITUTE(SUBSTITUTE(TRIM(A1312&amp;""),CHAR(160),"")," ",""),"년","")),SUBSTITUTE(SUBSTITUTE(SUBSTITUTE(TRIM(A1312&amp;""),CHAR(160),"")," ",""),"년",""),""),"")</f>
      </c>
      <c r="I1312" t="str">
        <f>SUBSTITUTE(SUBSTITUTE(SUBSTITUTE(SUBSTITUTE(SUBSTITUTE(TRIM(B1312&amp;""),CHAR(160),"")," ",""),"초등학교","초"),"중학교","중"),"고등학교","고")</f>
      </c>
    </row>
    <row r="1313" customFormat="false" ht="15" hidden="false" customHeight="false" outlineLevel="0" collapsed="false">
      <c r="A1313" s="8"/>
      <c r="B1313" s="8"/>
      <c r="C1313" s="8"/>
      <c r="D1313" s="8"/>
      <c r="E1313" s="8"/>
      <c r="F1313" t="str" s="15">
        <f aca="0">IF(B1313="","",IF(H1313="","확인필요(입력누락)",IF(SUMPRODUCT((실물목록!$P$2:$P$1001&lt;&gt;"")*ISNUMBER(SEARCH(실물목록!$P$2:$P$1001,I1313))*(실물목록!$Q$2:$Q$1001&lt;&gt;"")*ISNUMBER(SEARCH(실물목록!$Q$2:$Q$1001,I1313))*(실물목록!$R$2:$R$1001="")*(실물목록!$O$2:$O$1001&lt;&gt;"")*(실물목록!$O$2:$O$1001=H1313))&gt;0,"실물 있음",IF(SUMPRODUCT((실물목록!$P$2:$P$1001&lt;&gt;"")*ISNUMBER(SEARCH(실물목록!$P$2:$P$1001,I1313))*(실물목록!$R$2:$R$1001&lt;&gt;""))&gt;0,"확인필요(입력누락)",IF(SUMPRODUCT((실물목록!$P$2:$P$1001&lt;&gt;"")*ISNUMBER(SEARCH(실물목록!$P$2:$P$1001,I1313))*(실물목록!$Q$2:$Q$1001&lt;&gt;"")*ISNUMBER(SEARCH(실물목록!$Q$2:$Q$1001,I1313))*(실물목록!$R$2:$R$1001="")*(실물목록!$O$2:$O$1001&lt;&gt;""))&gt;0,"확인필요(연도다름)","실물 없음")))))</f>
      </c>
      <c r="G1313" t="n" s="16">
        <f aca="0">IF(B1313="","",SUMPRODUCT((실물목록!$P$2:$P$1001&lt;&gt;"")*ISNUMBER(SEARCH(실물목록!$P$2:$P$1001,I1313))*(실물목록!$Q$2:$Q$1001&lt;&gt;"")*ISNUMBER(SEARCH(실물목록!$Q$2:$Q$1001,I1313))*(실물목록!$R$2:$R$1001="")*(실물목록!$O$2:$O$1001&lt;&gt;"")*(실물목록!$O$2:$O$1001=H1313)))</f>
      </c>
      <c r="H1313" t="str">
        <f>IFERROR(IF(AND(LEN(SUBSTITUTE(SUBSTITUTE(SUBSTITUTE(TRIM(A1313&amp;""),CHAR(160),"")," ",""),"년",""))=4,VALUE(SUBSTITUTE(SUBSTITUTE(SUBSTITUTE(TRIM(A1313&amp;""),CHAR(160),"")," ",""),"년",""))&gt;=1900,VALUE(SUBSTITUTE(SUBSTITUTE(SUBSTITUTE(TRIM(A1313&amp;""),CHAR(160),"")," ",""),"년",""))&lt;=2099,TEXT(VALUE(SUBSTITUTE(SUBSTITUTE(SUBSTITUTE(TRIM(A1313&amp;""),CHAR(160),"")," ",""),"년","")),"0000")=SUBSTITUTE(SUBSTITUTE(SUBSTITUTE(TRIM(A1313&amp;""),CHAR(160),"")," ",""),"년","")),SUBSTITUTE(SUBSTITUTE(SUBSTITUTE(TRIM(A1313&amp;""),CHAR(160),"")," ",""),"년",""),""),"")</f>
      </c>
      <c r="I1313" t="str">
        <f>SUBSTITUTE(SUBSTITUTE(SUBSTITUTE(SUBSTITUTE(SUBSTITUTE(TRIM(B1313&amp;""),CHAR(160),"")," ",""),"초등학교","초"),"중학교","중"),"고등학교","고")</f>
      </c>
    </row>
    <row r="1314" customFormat="false" ht="15" hidden="false" customHeight="false" outlineLevel="0" collapsed="false">
      <c r="A1314" s="8"/>
      <c r="B1314" s="8"/>
      <c r="C1314" s="8"/>
      <c r="D1314" s="8"/>
      <c r="E1314" s="8"/>
      <c r="F1314" t="str" s="15">
        <f aca="0">IF(B1314="","",IF(H1314="","확인필요(입력누락)",IF(SUMPRODUCT((실물목록!$P$2:$P$1001&lt;&gt;"")*ISNUMBER(SEARCH(실물목록!$P$2:$P$1001,I1314))*(실물목록!$Q$2:$Q$1001&lt;&gt;"")*ISNUMBER(SEARCH(실물목록!$Q$2:$Q$1001,I1314))*(실물목록!$R$2:$R$1001="")*(실물목록!$O$2:$O$1001&lt;&gt;"")*(실물목록!$O$2:$O$1001=H1314))&gt;0,"실물 있음",IF(SUMPRODUCT((실물목록!$P$2:$P$1001&lt;&gt;"")*ISNUMBER(SEARCH(실물목록!$P$2:$P$1001,I1314))*(실물목록!$R$2:$R$1001&lt;&gt;""))&gt;0,"확인필요(입력누락)",IF(SUMPRODUCT((실물목록!$P$2:$P$1001&lt;&gt;"")*ISNUMBER(SEARCH(실물목록!$P$2:$P$1001,I1314))*(실물목록!$Q$2:$Q$1001&lt;&gt;"")*ISNUMBER(SEARCH(실물목록!$Q$2:$Q$1001,I1314))*(실물목록!$R$2:$R$1001="")*(실물목록!$O$2:$O$1001&lt;&gt;""))&gt;0,"확인필요(연도다름)","실물 없음")))))</f>
      </c>
      <c r="G1314" t="n" s="16">
        <f aca="0">IF(B1314="","",SUMPRODUCT((실물목록!$P$2:$P$1001&lt;&gt;"")*ISNUMBER(SEARCH(실물목록!$P$2:$P$1001,I1314))*(실물목록!$Q$2:$Q$1001&lt;&gt;"")*ISNUMBER(SEARCH(실물목록!$Q$2:$Q$1001,I1314))*(실물목록!$R$2:$R$1001="")*(실물목록!$O$2:$O$1001&lt;&gt;"")*(실물목록!$O$2:$O$1001=H1314)))</f>
      </c>
      <c r="H1314" t="str">
        <f>IFERROR(IF(AND(LEN(SUBSTITUTE(SUBSTITUTE(SUBSTITUTE(TRIM(A1314&amp;""),CHAR(160),"")," ",""),"년",""))=4,VALUE(SUBSTITUTE(SUBSTITUTE(SUBSTITUTE(TRIM(A1314&amp;""),CHAR(160),"")," ",""),"년",""))&gt;=1900,VALUE(SUBSTITUTE(SUBSTITUTE(SUBSTITUTE(TRIM(A1314&amp;""),CHAR(160),"")," ",""),"년",""))&lt;=2099,TEXT(VALUE(SUBSTITUTE(SUBSTITUTE(SUBSTITUTE(TRIM(A1314&amp;""),CHAR(160),"")," ",""),"년","")),"0000")=SUBSTITUTE(SUBSTITUTE(SUBSTITUTE(TRIM(A1314&amp;""),CHAR(160),"")," ",""),"년","")),SUBSTITUTE(SUBSTITUTE(SUBSTITUTE(TRIM(A1314&amp;""),CHAR(160),"")," ",""),"년",""),""),"")</f>
      </c>
      <c r="I1314" t="str">
        <f>SUBSTITUTE(SUBSTITUTE(SUBSTITUTE(SUBSTITUTE(SUBSTITUTE(TRIM(B1314&amp;""),CHAR(160),"")," ",""),"초등학교","초"),"중학교","중"),"고등학교","고")</f>
      </c>
    </row>
    <row r="1315" customFormat="false" ht="15" hidden="false" customHeight="false" outlineLevel="0" collapsed="false">
      <c r="A1315" s="8"/>
      <c r="B1315" s="8"/>
      <c r="C1315" s="8"/>
      <c r="D1315" s="8"/>
      <c r="E1315" s="8"/>
      <c r="F1315" t="str" s="15">
        <f aca="0">IF(B1315="","",IF(H1315="","확인필요(입력누락)",IF(SUMPRODUCT((실물목록!$P$2:$P$1001&lt;&gt;"")*ISNUMBER(SEARCH(실물목록!$P$2:$P$1001,I1315))*(실물목록!$Q$2:$Q$1001&lt;&gt;"")*ISNUMBER(SEARCH(실물목록!$Q$2:$Q$1001,I1315))*(실물목록!$R$2:$R$1001="")*(실물목록!$O$2:$O$1001&lt;&gt;"")*(실물목록!$O$2:$O$1001=H1315))&gt;0,"실물 있음",IF(SUMPRODUCT((실물목록!$P$2:$P$1001&lt;&gt;"")*ISNUMBER(SEARCH(실물목록!$P$2:$P$1001,I1315))*(실물목록!$R$2:$R$1001&lt;&gt;""))&gt;0,"확인필요(입력누락)",IF(SUMPRODUCT((실물목록!$P$2:$P$1001&lt;&gt;"")*ISNUMBER(SEARCH(실물목록!$P$2:$P$1001,I1315))*(실물목록!$Q$2:$Q$1001&lt;&gt;"")*ISNUMBER(SEARCH(실물목록!$Q$2:$Q$1001,I1315))*(실물목록!$R$2:$R$1001="")*(실물목록!$O$2:$O$1001&lt;&gt;""))&gt;0,"확인필요(연도다름)","실물 없음")))))</f>
      </c>
      <c r="G1315" t="n" s="16">
        <f aca="0">IF(B1315="","",SUMPRODUCT((실물목록!$P$2:$P$1001&lt;&gt;"")*ISNUMBER(SEARCH(실물목록!$P$2:$P$1001,I1315))*(실물목록!$Q$2:$Q$1001&lt;&gt;"")*ISNUMBER(SEARCH(실물목록!$Q$2:$Q$1001,I1315))*(실물목록!$R$2:$R$1001="")*(실물목록!$O$2:$O$1001&lt;&gt;"")*(실물목록!$O$2:$O$1001=H1315)))</f>
      </c>
      <c r="H1315" t="str">
        <f>IFERROR(IF(AND(LEN(SUBSTITUTE(SUBSTITUTE(SUBSTITUTE(TRIM(A1315&amp;""),CHAR(160),"")," ",""),"년",""))=4,VALUE(SUBSTITUTE(SUBSTITUTE(SUBSTITUTE(TRIM(A1315&amp;""),CHAR(160),"")," ",""),"년",""))&gt;=1900,VALUE(SUBSTITUTE(SUBSTITUTE(SUBSTITUTE(TRIM(A1315&amp;""),CHAR(160),"")," ",""),"년",""))&lt;=2099,TEXT(VALUE(SUBSTITUTE(SUBSTITUTE(SUBSTITUTE(TRIM(A1315&amp;""),CHAR(160),"")," ",""),"년","")),"0000")=SUBSTITUTE(SUBSTITUTE(SUBSTITUTE(TRIM(A1315&amp;""),CHAR(160),"")," ",""),"년","")),SUBSTITUTE(SUBSTITUTE(SUBSTITUTE(TRIM(A1315&amp;""),CHAR(160),"")," ",""),"년",""),""),"")</f>
      </c>
      <c r="I1315" t="str">
        <f>SUBSTITUTE(SUBSTITUTE(SUBSTITUTE(SUBSTITUTE(SUBSTITUTE(TRIM(B1315&amp;""),CHAR(160),"")," ",""),"초등학교","초"),"중학교","중"),"고등학교","고")</f>
      </c>
    </row>
    <row r="1316" customFormat="false" ht="15" hidden="false" customHeight="false" outlineLevel="0" collapsed="false">
      <c r="A1316" s="8"/>
      <c r="B1316" s="8"/>
      <c r="C1316" s="8"/>
      <c r="D1316" s="8"/>
      <c r="E1316" s="8"/>
      <c r="F1316" t="str" s="15">
        <f aca="0">IF(B1316="","",IF(H1316="","확인필요(입력누락)",IF(SUMPRODUCT((실물목록!$P$2:$P$1001&lt;&gt;"")*ISNUMBER(SEARCH(실물목록!$P$2:$P$1001,I1316))*(실물목록!$Q$2:$Q$1001&lt;&gt;"")*ISNUMBER(SEARCH(실물목록!$Q$2:$Q$1001,I1316))*(실물목록!$R$2:$R$1001="")*(실물목록!$O$2:$O$1001&lt;&gt;"")*(실물목록!$O$2:$O$1001=H1316))&gt;0,"실물 있음",IF(SUMPRODUCT((실물목록!$P$2:$P$1001&lt;&gt;"")*ISNUMBER(SEARCH(실물목록!$P$2:$P$1001,I1316))*(실물목록!$R$2:$R$1001&lt;&gt;""))&gt;0,"확인필요(입력누락)",IF(SUMPRODUCT((실물목록!$P$2:$P$1001&lt;&gt;"")*ISNUMBER(SEARCH(실물목록!$P$2:$P$1001,I1316))*(실물목록!$Q$2:$Q$1001&lt;&gt;"")*ISNUMBER(SEARCH(실물목록!$Q$2:$Q$1001,I1316))*(실물목록!$R$2:$R$1001="")*(실물목록!$O$2:$O$1001&lt;&gt;""))&gt;0,"확인필요(연도다름)","실물 없음")))))</f>
      </c>
      <c r="G1316" t="n" s="16">
        <f aca="0">IF(B1316="","",SUMPRODUCT((실물목록!$P$2:$P$1001&lt;&gt;"")*ISNUMBER(SEARCH(실물목록!$P$2:$P$1001,I1316))*(실물목록!$Q$2:$Q$1001&lt;&gt;"")*ISNUMBER(SEARCH(실물목록!$Q$2:$Q$1001,I1316))*(실물목록!$R$2:$R$1001="")*(실물목록!$O$2:$O$1001&lt;&gt;"")*(실물목록!$O$2:$O$1001=H1316)))</f>
      </c>
      <c r="H1316" t="str">
        <f>IFERROR(IF(AND(LEN(SUBSTITUTE(SUBSTITUTE(SUBSTITUTE(TRIM(A1316&amp;""),CHAR(160),"")," ",""),"년",""))=4,VALUE(SUBSTITUTE(SUBSTITUTE(SUBSTITUTE(TRIM(A1316&amp;""),CHAR(160),"")," ",""),"년",""))&gt;=1900,VALUE(SUBSTITUTE(SUBSTITUTE(SUBSTITUTE(TRIM(A1316&amp;""),CHAR(160),"")," ",""),"년",""))&lt;=2099,TEXT(VALUE(SUBSTITUTE(SUBSTITUTE(SUBSTITUTE(TRIM(A1316&amp;""),CHAR(160),"")," ",""),"년","")),"0000")=SUBSTITUTE(SUBSTITUTE(SUBSTITUTE(TRIM(A1316&amp;""),CHAR(160),"")," ",""),"년","")),SUBSTITUTE(SUBSTITUTE(SUBSTITUTE(TRIM(A1316&amp;""),CHAR(160),"")," ",""),"년",""),""),"")</f>
      </c>
      <c r="I1316" t="str">
        <f>SUBSTITUTE(SUBSTITUTE(SUBSTITUTE(SUBSTITUTE(SUBSTITUTE(TRIM(B1316&amp;""),CHAR(160),"")," ",""),"초등학교","초"),"중학교","중"),"고등학교","고")</f>
      </c>
    </row>
    <row r="1317" customFormat="false" ht="15" hidden="false" customHeight="false" outlineLevel="0" collapsed="false">
      <c r="A1317" s="8"/>
      <c r="B1317" s="8"/>
      <c r="C1317" s="8"/>
      <c r="D1317" s="8"/>
      <c r="E1317" s="8"/>
      <c r="F1317" t="str" s="15">
        <f aca="0">IF(B1317="","",IF(H1317="","확인필요(입력누락)",IF(SUMPRODUCT((실물목록!$P$2:$P$1001&lt;&gt;"")*ISNUMBER(SEARCH(실물목록!$P$2:$P$1001,I1317))*(실물목록!$Q$2:$Q$1001&lt;&gt;"")*ISNUMBER(SEARCH(실물목록!$Q$2:$Q$1001,I1317))*(실물목록!$R$2:$R$1001="")*(실물목록!$O$2:$O$1001&lt;&gt;"")*(실물목록!$O$2:$O$1001=H1317))&gt;0,"실물 있음",IF(SUMPRODUCT((실물목록!$P$2:$P$1001&lt;&gt;"")*ISNUMBER(SEARCH(실물목록!$P$2:$P$1001,I1317))*(실물목록!$R$2:$R$1001&lt;&gt;""))&gt;0,"확인필요(입력누락)",IF(SUMPRODUCT((실물목록!$P$2:$P$1001&lt;&gt;"")*ISNUMBER(SEARCH(실물목록!$P$2:$P$1001,I1317))*(실물목록!$Q$2:$Q$1001&lt;&gt;"")*ISNUMBER(SEARCH(실물목록!$Q$2:$Q$1001,I1317))*(실물목록!$R$2:$R$1001="")*(실물목록!$O$2:$O$1001&lt;&gt;""))&gt;0,"확인필요(연도다름)","실물 없음")))))</f>
      </c>
      <c r="G1317" t="n" s="16">
        <f aca="0">IF(B1317="","",SUMPRODUCT((실물목록!$P$2:$P$1001&lt;&gt;"")*ISNUMBER(SEARCH(실물목록!$P$2:$P$1001,I1317))*(실물목록!$Q$2:$Q$1001&lt;&gt;"")*ISNUMBER(SEARCH(실물목록!$Q$2:$Q$1001,I1317))*(실물목록!$R$2:$R$1001="")*(실물목록!$O$2:$O$1001&lt;&gt;"")*(실물목록!$O$2:$O$1001=H1317)))</f>
      </c>
      <c r="H1317" t="str">
        <f>IFERROR(IF(AND(LEN(SUBSTITUTE(SUBSTITUTE(SUBSTITUTE(TRIM(A1317&amp;""),CHAR(160),"")," ",""),"년",""))=4,VALUE(SUBSTITUTE(SUBSTITUTE(SUBSTITUTE(TRIM(A1317&amp;""),CHAR(160),"")," ",""),"년",""))&gt;=1900,VALUE(SUBSTITUTE(SUBSTITUTE(SUBSTITUTE(TRIM(A1317&amp;""),CHAR(160),"")," ",""),"년",""))&lt;=2099,TEXT(VALUE(SUBSTITUTE(SUBSTITUTE(SUBSTITUTE(TRIM(A1317&amp;""),CHAR(160),"")," ",""),"년","")),"0000")=SUBSTITUTE(SUBSTITUTE(SUBSTITUTE(TRIM(A1317&amp;""),CHAR(160),"")," ",""),"년","")),SUBSTITUTE(SUBSTITUTE(SUBSTITUTE(TRIM(A1317&amp;""),CHAR(160),"")," ",""),"년",""),""),"")</f>
      </c>
      <c r="I1317" t="str">
        <f>SUBSTITUTE(SUBSTITUTE(SUBSTITUTE(SUBSTITUTE(SUBSTITUTE(TRIM(B1317&amp;""),CHAR(160),"")," ",""),"초등학교","초"),"중학교","중"),"고등학교","고")</f>
      </c>
    </row>
    <row r="1318" customFormat="false" ht="15" hidden="false" customHeight="false" outlineLevel="0" collapsed="false">
      <c r="A1318" s="8"/>
      <c r="B1318" s="8"/>
      <c r="C1318" s="8"/>
      <c r="D1318" s="8"/>
      <c r="E1318" s="8"/>
      <c r="F1318" t="str" s="15">
        <f aca="0">IF(B1318="","",IF(H1318="","확인필요(입력누락)",IF(SUMPRODUCT((실물목록!$P$2:$P$1001&lt;&gt;"")*ISNUMBER(SEARCH(실물목록!$P$2:$P$1001,I1318))*(실물목록!$Q$2:$Q$1001&lt;&gt;"")*ISNUMBER(SEARCH(실물목록!$Q$2:$Q$1001,I1318))*(실물목록!$R$2:$R$1001="")*(실물목록!$O$2:$O$1001&lt;&gt;"")*(실물목록!$O$2:$O$1001=H1318))&gt;0,"실물 있음",IF(SUMPRODUCT((실물목록!$P$2:$P$1001&lt;&gt;"")*ISNUMBER(SEARCH(실물목록!$P$2:$P$1001,I1318))*(실물목록!$R$2:$R$1001&lt;&gt;""))&gt;0,"확인필요(입력누락)",IF(SUMPRODUCT((실물목록!$P$2:$P$1001&lt;&gt;"")*ISNUMBER(SEARCH(실물목록!$P$2:$P$1001,I1318))*(실물목록!$Q$2:$Q$1001&lt;&gt;"")*ISNUMBER(SEARCH(실물목록!$Q$2:$Q$1001,I1318))*(실물목록!$R$2:$R$1001="")*(실물목록!$O$2:$O$1001&lt;&gt;""))&gt;0,"확인필요(연도다름)","실물 없음")))))</f>
      </c>
      <c r="G1318" t="n" s="16">
        <f aca="0">IF(B1318="","",SUMPRODUCT((실물목록!$P$2:$P$1001&lt;&gt;"")*ISNUMBER(SEARCH(실물목록!$P$2:$P$1001,I1318))*(실물목록!$Q$2:$Q$1001&lt;&gt;"")*ISNUMBER(SEARCH(실물목록!$Q$2:$Q$1001,I1318))*(실물목록!$R$2:$R$1001="")*(실물목록!$O$2:$O$1001&lt;&gt;"")*(실물목록!$O$2:$O$1001=H1318)))</f>
      </c>
      <c r="H1318" t="str">
        <f>IFERROR(IF(AND(LEN(SUBSTITUTE(SUBSTITUTE(SUBSTITUTE(TRIM(A1318&amp;""),CHAR(160),"")," ",""),"년",""))=4,VALUE(SUBSTITUTE(SUBSTITUTE(SUBSTITUTE(TRIM(A1318&amp;""),CHAR(160),"")," ",""),"년",""))&gt;=1900,VALUE(SUBSTITUTE(SUBSTITUTE(SUBSTITUTE(TRIM(A1318&amp;""),CHAR(160),"")," ",""),"년",""))&lt;=2099,TEXT(VALUE(SUBSTITUTE(SUBSTITUTE(SUBSTITUTE(TRIM(A1318&amp;""),CHAR(160),"")," ",""),"년","")),"0000")=SUBSTITUTE(SUBSTITUTE(SUBSTITUTE(TRIM(A1318&amp;""),CHAR(160),"")," ",""),"년","")),SUBSTITUTE(SUBSTITUTE(SUBSTITUTE(TRIM(A1318&amp;""),CHAR(160),"")," ",""),"년",""),""),"")</f>
      </c>
      <c r="I1318" t="str">
        <f>SUBSTITUTE(SUBSTITUTE(SUBSTITUTE(SUBSTITUTE(SUBSTITUTE(TRIM(B1318&amp;""),CHAR(160),"")," ",""),"초등학교","초"),"중학교","중"),"고등학교","고")</f>
      </c>
    </row>
    <row r="1319" customFormat="false" ht="15" hidden="false" customHeight="false" outlineLevel="0" collapsed="false">
      <c r="A1319" s="8"/>
      <c r="B1319" s="8"/>
      <c r="C1319" s="8"/>
      <c r="D1319" s="8"/>
      <c r="E1319" s="8"/>
      <c r="F1319" t="str" s="15">
        <f aca="0">IF(B1319="","",IF(H1319="","확인필요(입력누락)",IF(SUMPRODUCT((실물목록!$P$2:$P$1001&lt;&gt;"")*ISNUMBER(SEARCH(실물목록!$P$2:$P$1001,I1319))*(실물목록!$Q$2:$Q$1001&lt;&gt;"")*ISNUMBER(SEARCH(실물목록!$Q$2:$Q$1001,I1319))*(실물목록!$R$2:$R$1001="")*(실물목록!$O$2:$O$1001&lt;&gt;"")*(실물목록!$O$2:$O$1001=H1319))&gt;0,"실물 있음",IF(SUMPRODUCT((실물목록!$P$2:$P$1001&lt;&gt;"")*ISNUMBER(SEARCH(실물목록!$P$2:$P$1001,I1319))*(실물목록!$R$2:$R$1001&lt;&gt;""))&gt;0,"확인필요(입력누락)",IF(SUMPRODUCT((실물목록!$P$2:$P$1001&lt;&gt;"")*ISNUMBER(SEARCH(실물목록!$P$2:$P$1001,I1319))*(실물목록!$Q$2:$Q$1001&lt;&gt;"")*ISNUMBER(SEARCH(실물목록!$Q$2:$Q$1001,I1319))*(실물목록!$R$2:$R$1001="")*(실물목록!$O$2:$O$1001&lt;&gt;""))&gt;0,"확인필요(연도다름)","실물 없음")))))</f>
      </c>
      <c r="G1319" t="n" s="16">
        <f aca="0">IF(B1319="","",SUMPRODUCT((실물목록!$P$2:$P$1001&lt;&gt;"")*ISNUMBER(SEARCH(실물목록!$P$2:$P$1001,I1319))*(실물목록!$Q$2:$Q$1001&lt;&gt;"")*ISNUMBER(SEARCH(실물목록!$Q$2:$Q$1001,I1319))*(실물목록!$R$2:$R$1001="")*(실물목록!$O$2:$O$1001&lt;&gt;"")*(실물목록!$O$2:$O$1001=H1319)))</f>
      </c>
      <c r="H1319" t="str">
        <f>IFERROR(IF(AND(LEN(SUBSTITUTE(SUBSTITUTE(SUBSTITUTE(TRIM(A1319&amp;""),CHAR(160),"")," ",""),"년",""))=4,VALUE(SUBSTITUTE(SUBSTITUTE(SUBSTITUTE(TRIM(A1319&amp;""),CHAR(160),"")," ",""),"년",""))&gt;=1900,VALUE(SUBSTITUTE(SUBSTITUTE(SUBSTITUTE(TRIM(A1319&amp;""),CHAR(160),"")," ",""),"년",""))&lt;=2099,TEXT(VALUE(SUBSTITUTE(SUBSTITUTE(SUBSTITUTE(TRIM(A1319&amp;""),CHAR(160),"")," ",""),"년","")),"0000")=SUBSTITUTE(SUBSTITUTE(SUBSTITUTE(TRIM(A1319&amp;""),CHAR(160),"")," ",""),"년","")),SUBSTITUTE(SUBSTITUTE(SUBSTITUTE(TRIM(A1319&amp;""),CHAR(160),"")," ",""),"년",""),""),"")</f>
      </c>
      <c r="I1319" t="str">
        <f>SUBSTITUTE(SUBSTITUTE(SUBSTITUTE(SUBSTITUTE(SUBSTITUTE(TRIM(B1319&amp;""),CHAR(160),"")," ",""),"초등학교","초"),"중학교","중"),"고등학교","고")</f>
      </c>
    </row>
    <row r="1320" customFormat="false" ht="15" hidden="false" customHeight="false" outlineLevel="0" collapsed="false">
      <c r="A1320" s="8"/>
      <c r="B1320" s="8"/>
      <c r="C1320" s="8"/>
      <c r="D1320" s="8"/>
      <c r="E1320" s="8"/>
      <c r="F1320" t="str" s="15">
        <f aca="0">IF(B1320="","",IF(H1320="","확인필요(입력누락)",IF(SUMPRODUCT((실물목록!$P$2:$P$1001&lt;&gt;"")*ISNUMBER(SEARCH(실물목록!$P$2:$P$1001,I1320))*(실물목록!$Q$2:$Q$1001&lt;&gt;"")*ISNUMBER(SEARCH(실물목록!$Q$2:$Q$1001,I1320))*(실물목록!$R$2:$R$1001="")*(실물목록!$O$2:$O$1001&lt;&gt;"")*(실물목록!$O$2:$O$1001=H1320))&gt;0,"실물 있음",IF(SUMPRODUCT((실물목록!$P$2:$P$1001&lt;&gt;"")*ISNUMBER(SEARCH(실물목록!$P$2:$P$1001,I1320))*(실물목록!$R$2:$R$1001&lt;&gt;""))&gt;0,"확인필요(입력누락)",IF(SUMPRODUCT((실물목록!$P$2:$P$1001&lt;&gt;"")*ISNUMBER(SEARCH(실물목록!$P$2:$P$1001,I1320))*(실물목록!$Q$2:$Q$1001&lt;&gt;"")*ISNUMBER(SEARCH(실물목록!$Q$2:$Q$1001,I1320))*(실물목록!$R$2:$R$1001="")*(실물목록!$O$2:$O$1001&lt;&gt;""))&gt;0,"확인필요(연도다름)","실물 없음")))))</f>
      </c>
      <c r="G1320" t="n" s="16">
        <f aca="0">IF(B1320="","",SUMPRODUCT((실물목록!$P$2:$P$1001&lt;&gt;"")*ISNUMBER(SEARCH(실물목록!$P$2:$P$1001,I1320))*(실물목록!$Q$2:$Q$1001&lt;&gt;"")*ISNUMBER(SEARCH(실물목록!$Q$2:$Q$1001,I1320))*(실물목록!$R$2:$R$1001="")*(실물목록!$O$2:$O$1001&lt;&gt;"")*(실물목록!$O$2:$O$1001=H1320)))</f>
      </c>
      <c r="H1320" t="str">
        <f>IFERROR(IF(AND(LEN(SUBSTITUTE(SUBSTITUTE(SUBSTITUTE(TRIM(A1320&amp;""),CHAR(160),"")," ",""),"년",""))=4,VALUE(SUBSTITUTE(SUBSTITUTE(SUBSTITUTE(TRIM(A1320&amp;""),CHAR(160),"")," ",""),"년",""))&gt;=1900,VALUE(SUBSTITUTE(SUBSTITUTE(SUBSTITUTE(TRIM(A1320&amp;""),CHAR(160),"")," ",""),"년",""))&lt;=2099,TEXT(VALUE(SUBSTITUTE(SUBSTITUTE(SUBSTITUTE(TRIM(A1320&amp;""),CHAR(160),"")," ",""),"년","")),"0000")=SUBSTITUTE(SUBSTITUTE(SUBSTITUTE(TRIM(A1320&amp;""),CHAR(160),"")," ",""),"년","")),SUBSTITUTE(SUBSTITUTE(SUBSTITUTE(TRIM(A1320&amp;""),CHAR(160),"")," ",""),"년",""),""),"")</f>
      </c>
      <c r="I1320" t="str">
        <f>SUBSTITUTE(SUBSTITUTE(SUBSTITUTE(SUBSTITUTE(SUBSTITUTE(TRIM(B1320&amp;""),CHAR(160),"")," ",""),"초등학교","초"),"중학교","중"),"고등학교","고")</f>
      </c>
    </row>
    <row r="1321" customFormat="false" ht="15" hidden="false" customHeight="false" outlineLevel="0" collapsed="false">
      <c r="A1321" s="8"/>
      <c r="B1321" s="8"/>
      <c r="C1321" s="8"/>
      <c r="D1321" s="8"/>
      <c r="E1321" s="8"/>
      <c r="F1321" t="str" s="15">
        <f aca="0">IF(B1321="","",IF(H1321="","확인필요(입력누락)",IF(SUMPRODUCT((실물목록!$P$2:$P$1001&lt;&gt;"")*ISNUMBER(SEARCH(실물목록!$P$2:$P$1001,I1321))*(실물목록!$Q$2:$Q$1001&lt;&gt;"")*ISNUMBER(SEARCH(실물목록!$Q$2:$Q$1001,I1321))*(실물목록!$R$2:$R$1001="")*(실물목록!$O$2:$O$1001&lt;&gt;"")*(실물목록!$O$2:$O$1001=H1321))&gt;0,"실물 있음",IF(SUMPRODUCT((실물목록!$P$2:$P$1001&lt;&gt;"")*ISNUMBER(SEARCH(실물목록!$P$2:$P$1001,I1321))*(실물목록!$R$2:$R$1001&lt;&gt;""))&gt;0,"확인필요(입력누락)",IF(SUMPRODUCT((실물목록!$P$2:$P$1001&lt;&gt;"")*ISNUMBER(SEARCH(실물목록!$P$2:$P$1001,I1321))*(실물목록!$Q$2:$Q$1001&lt;&gt;"")*ISNUMBER(SEARCH(실물목록!$Q$2:$Q$1001,I1321))*(실물목록!$R$2:$R$1001="")*(실물목록!$O$2:$O$1001&lt;&gt;""))&gt;0,"확인필요(연도다름)","실물 없음")))))</f>
      </c>
      <c r="G1321" t="n" s="16">
        <f aca="0">IF(B1321="","",SUMPRODUCT((실물목록!$P$2:$P$1001&lt;&gt;"")*ISNUMBER(SEARCH(실물목록!$P$2:$P$1001,I1321))*(실물목록!$Q$2:$Q$1001&lt;&gt;"")*ISNUMBER(SEARCH(실물목록!$Q$2:$Q$1001,I1321))*(실물목록!$R$2:$R$1001="")*(실물목록!$O$2:$O$1001&lt;&gt;"")*(실물목록!$O$2:$O$1001=H1321)))</f>
      </c>
      <c r="H1321" t="str">
        <f>IFERROR(IF(AND(LEN(SUBSTITUTE(SUBSTITUTE(SUBSTITUTE(TRIM(A1321&amp;""),CHAR(160),"")," ",""),"년",""))=4,VALUE(SUBSTITUTE(SUBSTITUTE(SUBSTITUTE(TRIM(A1321&amp;""),CHAR(160),"")," ",""),"년",""))&gt;=1900,VALUE(SUBSTITUTE(SUBSTITUTE(SUBSTITUTE(TRIM(A1321&amp;""),CHAR(160),"")," ",""),"년",""))&lt;=2099,TEXT(VALUE(SUBSTITUTE(SUBSTITUTE(SUBSTITUTE(TRIM(A1321&amp;""),CHAR(160),"")," ",""),"년","")),"0000")=SUBSTITUTE(SUBSTITUTE(SUBSTITUTE(TRIM(A1321&amp;""),CHAR(160),"")," ",""),"년","")),SUBSTITUTE(SUBSTITUTE(SUBSTITUTE(TRIM(A1321&amp;""),CHAR(160),"")," ",""),"년",""),""),"")</f>
      </c>
      <c r="I1321" t="str">
        <f>SUBSTITUTE(SUBSTITUTE(SUBSTITUTE(SUBSTITUTE(SUBSTITUTE(TRIM(B1321&amp;""),CHAR(160),"")," ",""),"초등학교","초"),"중학교","중"),"고등학교","고")</f>
      </c>
    </row>
    <row r="1322" customFormat="false" ht="15" hidden="false" customHeight="false" outlineLevel="0" collapsed="false">
      <c r="A1322" s="8"/>
      <c r="B1322" s="8"/>
      <c r="C1322" s="8"/>
      <c r="D1322" s="8"/>
      <c r="E1322" s="8"/>
      <c r="F1322" t="str" s="15">
        <f aca="0">IF(B1322="","",IF(H1322="","확인필요(입력누락)",IF(SUMPRODUCT((실물목록!$P$2:$P$1001&lt;&gt;"")*ISNUMBER(SEARCH(실물목록!$P$2:$P$1001,I1322))*(실물목록!$Q$2:$Q$1001&lt;&gt;"")*ISNUMBER(SEARCH(실물목록!$Q$2:$Q$1001,I1322))*(실물목록!$R$2:$R$1001="")*(실물목록!$O$2:$O$1001&lt;&gt;"")*(실물목록!$O$2:$O$1001=H1322))&gt;0,"실물 있음",IF(SUMPRODUCT((실물목록!$P$2:$P$1001&lt;&gt;"")*ISNUMBER(SEARCH(실물목록!$P$2:$P$1001,I1322))*(실물목록!$R$2:$R$1001&lt;&gt;""))&gt;0,"확인필요(입력누락)",IF(SUMPRODUCT((실물목록!$P$2:$P$1001&lt;&gt;"")*ISNUMBER(SEARCH(실물목록!$P$2:$P$1001,I1322))*(실물목록!$Q$2:$Q$1001&lt;&gt;"")*ISNUMBER(SEARCH(실물목록!$Q$2:$Q$1001,I1322))*(실물목록!$R$2:$R$1001="")*(실물목록!$O$2:$O$1001&lt;&gt;""))&gt;0,"확인필요(연도다름)","실물 없음")))))</f>
      </c>
      <c r="G1322" t="n" s="16">
        <f aca="0">IF(B1322="","",SUMPRODUCT((실물목록!$P$2:$P$1001&lt;&gt;"")*ISNUMBER(SEARCH(실물목록!$P$2:$P$1001,I1322))*(실물목록!$Q$2:$Q$1001&lt;&gt;"")*ISNUMBER(SEARCH(실물목록!$Q$2:$Q$1001,I1322))*(실물목록!$R$2:$R$1001="")*(실물목록!$O$2:$O$1001&lt;&gt;"")*(실물목록!$O$2:$O$1001=H1322)))</f>
      </c>
      <c r="H1322" t="str">
        <f>IFERROR(IF(AND(LEN(SUBSTITUTE(SUBSTITUTE(SUBSTITUTE(TRIM(A1322&amp;""),CHAR(160),"")," ",""),"년",""))=4,VALUE(SUBSTITUTE(SUBSTITUTE(SUBSTITUTE(TRIM(A1322&amp;""),CHAR(160),"")," ",""),"년",""))&gt;=1900,VALUE(SUBSTITUTE(SUBSTITUTE(SUBSTITUTE(TRIM(A1322&amp;""),CHAR(160),"")," ",""),"년",""))&lt;=2099,TEXT(VALUE(SUBSTITUTE(SUBSTITUTE(SUBSTITUTE(TRIM(A1322&amp;""),CHAR(160),"")," ",""),"년","")),"0000")=SUBSTITUTE(SUBSTITUTE(SUBSTITUTE(TRIM(A1322&amp;""),CHAR(160),"")," ",""),"년","")),SUBSTITUTE(SUBSTITUTE(SUBSTITUTE(TRIM(A1322&amp;""),CHAR(160),"")," ",""),"년",""),""),"")</f>
      </c>
      <c r="I1322" t="str">
        <f>SUBSTITUTE(SUBSTITUTE(SUBSTITUTE(SUBSTITUTE(SUBSTITUTE(TRIM(B1322&amp;""),CHAR(160),"")," ",""),"초등학교","초"),"중학교","중"),"고등학교","고")</f>
      </c>
    </row>
    <row r="1323" customFormat="false" ht="15" hidden="false" customHeight="false" outlineLevel="0" collapsed="false">
      <c r="A1323" s="8"/>
      <c r="B1323" s="8"/>
      <c r="C1323" s="8"/>
      <c r="D1323" s="8"/>
      <c r="E1323" s="8"/>
      <c r="F1323" t="str" s="15">
        <f aca="0">IF(B1323="","",IF(H1323="","확인필요(입력누락)",IF(SUMPRODUCT((실물목록!$P$2:$P$1001&lt;&gt;"")*ISNUMBER(SEARCH(실물목록!$P$2:$P$1001,I1323))*(실물목록!$Q$2:$Q$1001&lt;&gt;"")*ISNUMBER(SEARCH(실물목록!$Q$2:$Q$1001,I1323))*(실물목록!$R$2:$R$1001="")*(실물목록!$O$2:$O$1001&lt;&gt;"")*(실물목록!$O$2:$O$1001=H1323))&gt;0,"실물 있음",IF(SUMPRODUCT((실물목록!$P$2:$P$1001&lt;&gt;"")*ISNUMBER(SEARCH(실물목록!$P$2:$P$1001,I1323))*(실물목록!$R$2:$R$1001&lt;&gt;""))&gt;0,"확인필요(입력누락)",IF(SUMPRODUCT((실물목록!$P$2:$P$1001&lt;&gt;"")*ISNUMBER(SEARCH(실물목록!$P$2:$P$1001,I1323))*(실물목록!$Q$2:$Q$1001&lt;&gt;"")*ISNUMBER(SEARCH(실물목록!$Q$2:$Q$1001,I1323))*(실물목록!$R$2:$R$1001="")*(실물목록!$O$2:$O$1001&lt;&gt;""))&gt;0,"확인필요(연도다름)","실물 없음")))))</f>
      </c>
      <c r="G1323" t="n" s="16">
        <f aca="0">IF(B1323="","",SUMPRODUCT((실물목록!$P$2:$P$1001&lt;&gt;"")*ISNUMBER(SEARCH(실물목록!$P$2:$P$1001,I1323))*(실물목록!$Q$2:$Q$1001&lt;&gt;"")*ISNUMBER(SEARCH(실물목록!$Q$2:$Q$1001,I1323))*(실물목록!$R$2:$R$1001="")*(실물목록!$O$2:$O$1001&lt;&gt;"")*(실물목록!$O$2:$O$1001=H1323)))</f>
      </c>
      <c r="H1323" t="str">
        <f>IFERROR(IF(AND(LEN(SUBSTITUTE(SUBSTITUTE(SUBSTITUTE(TRIM(A1323&amp;""),CHAR(160),"")," ",""),"년",""))=4,VALUE(SUBSTITUTE(SUBSTITUTE(SUBSTITUTE(TRIM(A1323&amp;""),CHAR(160),"")," ",""),"년",""))&gt;=1900,VALUE(SUBSTITUTE(SUBSTITUTE(SUBSTITUTE(TRIM(A1323&amp;""),CHAR(160),"")," ",""),"년",""))&lt;=2099,TEXT(VALUE(SUBSTITUTE(SUBSTITUTE(SUBSTITUTE(TRIM(A1323&amp;""),CHAR(160),"")," ",""),"년","")),"0000")=SUBSTITUTE(SUBSTITUTE(SUBSTITUTE(TRIM(A1323&amp;""),CHAR(160),"")," ",""),"년","")),SUBSTITUTE(SUBSTITUTE(SUBSTITUTE(TRIM(A1323&amp;""),CHAR(160),"")," ",""),"년",""),""),"")</f>
      </c>
      <c r="I1323" t="str">
        <f>SUBSTITUTE(SUBSTITUTE(SUBSTITUTE(SUBSTITUTE(SUBSTITUTE(TRIM(B1323&amp;""),CHAR(160),"")," ",""),"초등학교","초"),"중학교","중"),"고등학교","고")</f>
      </c>
    </row>
    <row r="1324" customFormat="false" ht="15" hidden="false" customHeight="false" outlineLevel="0" collapsed="false">
      <c r="A1324" s="8"/>
      <c r="B1324" s="8"/>
      <c r="C1324" s="8"/>
      <c r="D1324" s="8"/>
      <c r="E1324" s="8"/>
      <c r="F1324" t="str" s="15">
        <f aca="0">IF(B1324="","",IF(H1324="","확인필요(입력누락)",IF(SUMPRODUCT((실물목록!$P$2:$P$1001&lt;&gt;"")*ISNUMBER(SEARCH(실물목록!$P$2:$P$1001,I1324))*(실물목록!$Q$2:$Q$1001&lt;&gt;"")*ISNUMBER(SEARCH(실물목록!$Q$2:$Q$1001,I1324))*(실물목록!$R$2:$R$1001="")*(실물목록!$O$2:$O$1001&lt;&gt;"")*(실물목록!$O$2:$O$1001=H1324))&gt;0,"실물 있음",IF(SUMPRODUCT((실물목록!$P$2:$P$1001&lt;&gt;"")*ISNUMBER(SEARCH(실물목록!$P$2:$P$1001,I1324))*(실물목록!$R$2:$R$1001&lt;&gt;""))&gt;0,"확인필요(입력누락)",IF(SUMPRODUCT((실물목록!$P$2:$P$1001&lt;&gt;"")*ISNUMBER(SEARCH(실물목록!$P$2:$P$1001,I1324))*(실물목록!$Q$2:$Q$1001&lt;&gt;"")*ISNUMBER(SEARCH(실물목록!$Q$2:$Q$1001,I1324))*(실물목록!$R$2:$R$1001="")*(실물목록!$O$2:$O$1001&lt;&gt;""))&gt;0,"확인필요(연도다름)","실물 없음")))))</f>
      </c>
      <c r="G1324" t="n" s="16">
        <f aca="0">IF(B1324="","",SUMPRODUCT((실물목록!$P$2:$P$1001&lt;&gt;"")*ISNUMBER(SEARCH(실물목록!$P$2:$P$1001,I1324))*(실물목록!$Q$2:$Q$1001&lt;&gt;"")*ISNUMBER(SEARCH(실물목록!$Q$2:$Q$1001,I1324))*(실물목록!$R$2:$R$1001="")*(실물목록!$O$2:$O$1001&lt;&gt;"")*(실물목록!$O$2:$O$1001=H1324)))</f>
      </c>
      <c r="H1324" t="str">
        <f>IFERROR(IF(AND(LEN(SUBSTITUTE(SUBSTITUTE(SUBSTITUTE(TRIM(A1324&amp;""),CHAR(160),"")," ",""),"년",""))=4,VALUE(SUBSTITUTE(SUBSTITUTE(SUBSTITUTE(TRIM(A1324&amp;""),CHAR(160),"")," ",""),"년",""))&gt;=1900,VALUE(SUBSTITUTE(SUBSTITUTE(SUBSTITUTE(TRIM(A1324&amp;""),CHAR(160),"")," ",""),"년",""))&lt;=2099,TEXT(VALUE(SUBSTITUTE(SUBSTITUTE(SUBSTITUTE(TRIM(A1324&amp;""),CHAR(160),"")," ",""),"년","")),"0000")=SUBSTITUTE(SUBSTITUTE(SUBSTITUTE(TRIM(A1324&amp;""),CHAR(160),"")," ",""),"년","")),SUBSTITUTE(SUBSTITUTE(SUBSTITUTE(TRIM(A1324&amp;""),CHAR(160),"")," ",""),"년",""),""),"")</f>
      </c>
      <c r="I1324" t="str">
        <f>SUBSTITUTE(SUBSTITUTE(SUBSTITUTE(SUBSTITUTE(SUBSTITUTE(TRIM(B1324&amp;""),CHAR(160),"")," ",""),"초등학교","초"),"중학교","중"),"고등학교","고")</f>
      </c>
    </row>
    <row r="1325" customFormat="false" ht="15" hidden="false" customHeight="false" outlineLevel="0" collapsed="false">
      <c r="A1325" s="8"/>
      <c r="B1325" s="8"/>
      <c r="C1325" s="8"/>
      <c r="D1325" s="8"/>
      <c r="E1325" s="8"/>
      <c r="F1325" t="str" s="15">
        <f aca="0">IF(B1325="","",IF(H1325="","확인필요(입력누락)",IF(SUMPRODUCT((실물목록!$P$2:$P$1001&lt;&gt;"")*ISNUMBER(SEARCH(실물목록!$P$2:$P$1001,I1325))*(실물목록!$Q$2:$Q$1001&lt;&gt;"")*ISNUMBER(SEARCH(실물목록!$Q$2:$Q$1001,I1325))*(실물목록!$R$2:$R$1001="")*(실물목록!$O$2:$O$1001&lt;&gt;"")*(실물목록!$O$2:$O$1001=H1325))&gt;0,"실물 있음",IF(SUMPRODUCT((실물목록!$P$2:$P$1001&lt;&gt;"")*ISNUMBER(SEARCH(실물목록!$P$2:$P$1001,I1325))*(실물목록!$R$2:$R$1001&lt;&gt;""))&gt;0,"확인필요(입력누락)",IF(SUMPRODUCT((실물목록!$P$2:$P$1001&lt;&gt;"")*ISNUMBER(SEARCH(실물목록!$P$2:$P$1001,I1325))*(실물목록!$Q$2:$Q$1001&lt;&gt;"")*ISNUMBER(SEARCH(실물목록!$Q$2:$Q$1001,I1325))*(실물목록!$R$2:$R$1001="")*(실물목록!$O$2:$O$1001&lt;&gt;""))&gt;0,"확인필요(연도다름)","실물 없음")))))</f>
      </c>
      <c r="G1325" t="n" s="16">
        <f aca="0">IF(B1325="","",SUMPRODUCT((실물목록!$P$2:$P$1001&lt;&gt;"")*ISNUMBER(SEARCH(실물목록!$P$2:$P$1001,I1325))*(실물목록!$Q$2:$Q$1001&lt;&gt;"")*ISNUMBER(SEARCH(실물목록!$Q$2:$Q$1001,I1325))*(실물목록!$R$2:$R$1001="")*(실물목록!$O$2:$O$1001&lt;&gt;"")*(실물목록!$O$2:$O$1001=H1325)))</f>
      </c>
      <c r="H1325" t="str">
        <f>IFERROR(IF(AND(LEN(SUBSTITUTE(SUBSTITUTE(SUBSTITUTE(TRIM(A1325&amp;""),CHAR(160),"")," ",""),"년",""))=4,VALUE(SUBSTITUTE(SUBSTITUTE(SUBSTITUTE(TRIM(A1325&amp;""),CHAR(160),"")," ",""),"년",""))&gt;=1900,VALUE(SUBSTITUTE(SUBSTITUTE(SUBSTITUTE(TRIM(A1325&amp;""),CHAR(160),"")," ",""),"년",""))&lt;=2099,TEXT(VALUE(SUBSTITUTE(SUBSTITUTE(SUBSTITUTE(TRIM(A1325&amp;""),CHAR(160),"")," ",""),"년","")),"0000")=SUBSTITUTE(SUBSTITUTE(SUBSTITUTE(TRIM(A1325&amp;""),CHAR(160),"")," ",""),"년","")),SUBSTITUTE(SUBSTITUTE(SUBSTITUTE(TRIM(A1325&amp;""),CHAR(160),"")," ",""),"년",""),""),"")</f>
      </c>
      <c r="I1325" t="str">
        <f>SUBSTITUTE(SUBSTITUTE(SUBSTITUTE(SUBSTITUTE(SUBSTITUTE(TRIM(B1325&amp;""),CHAR(160),"")," ",""),"초등학교","초"),"중학교","중"),"고등학교","고")</f>
      </c>
    </row>
    <row r="1326" customFormat="false" ht="15" hidden="false" customHeight="false" outlineLevel="0" collapsed="false">
      <c r="A1326" s="8"/>
      <c r="B1326" s="8"/>
      <c r="C1326" s="8"/>
      <c r="D1326" s="8"/>
      <c r="E1326" s="8"/>
      <c r="F1326" t="str" s="15">
        <f aca="0">IF(B1326="","",IF(H1326="","확인필요(입력누락)",IF(SUMPRODUCT((실물목록!$P$2:$P$1001&lt;&gt;"")*ISNUMBER(SEARCH(실물목록!$P$2:$P$1001,I1326))*(실물목록!$Q$2:$Q$1001&lt;&gt;"")*ISNUMBER(SEARCH(실물목록!$Q$2:$Q$1001,I1326))*(실물목록!$R$2:$R$1001="")*(실물목록!$O$2:$O$1001&lt;&gt;"")*(실물목록!$O$2:$O$1001=H1326))&gt;0,"실물 있음",IF(SUMPRODUCT((실물목록!$P$2:$P$1001&lt;&gt;"")*ISNUMBER(SEARCH(실물목록!$P$2:$P$1001,I1326))*(실물목록!$R$2:$R$1001&lt;&gt;""))&gt;0,"확인필요(입력누락)",IF(SUMPRODUCT((실물목록!$P$2:$P$1001&lt;&gt;"")*ISNUMBER(SEARCH(실물목록!$P$2:$P$1001,I1326))*(실물목록!$Q$2:$Q$1001&lt;&gt;"")*ISNUMBER(SEARCH(실물목록!$Q$2:$Q$1001,I1326))*(실물목록!$R$2:$R$1001="")*(실물목록!$O$2:$O$1001&lt;&gt;""))&gt;0,"확인필요(연도다름)","실물 없음")))))</f>
      </c>
      <c r="G1326" t="n" s="16">
        <f aca="0">IF(B1326="","",SUMPRODUCT((실물목록!$P$2:$P$1001&lt;&gt;"")*ISNUMBER(SEARCH(실물목록!$P$2:$P$1001,I1326))*(실물목록!$Q$2:$Q$1001&lt;&gt;"")*ISNUMBER(SEARCH(실물목록!$Q$2:$Q$1001,I1326))*(실물목록!$R$2:$R$1001="")*(실물목록!$O$2:$O$1001&lt;&gt;"")*(실물목록!$O$2:$O$1001=H1326)))</f>
      </c>
      <c r="H1326" t="str">
        <f>IFERROR(IF(AND(LEN(SUBSTITUTE(SUBSTITUTE(SUBSTITUTE(TRIM(A1326&amp;""),CHAR(160),"")," ",""),"년",""))=4,VALUE(SUBSTITUTE(SUBSTITUTE(SUBSTITUTE(TRIM(A1326&amp;""),CHAR(160),"")," ",""),"년",""))&gt;=1900,VALUE(SUBSTITUTE(SUBSTITUTE(SUBSTITUTE(TRIM(A1326&amp;""),CHAR(160),"")," ",""),"년",""))&lt;=2099,TEXT(VALUE(SUBSTITUTE(SUBSTITUTE(SUBSTITUTE(TRIM(A1326&amp;""),CHAR(160),"")," ",""),"년","")),"0000")=SUBSTITUTE(SUBSTITUTE(SUBSTITUTE(TRIM(A1326&amp;""),CHAR(160),"")," ",""),"년","")),SUBSTITUTE(SUBSTITUTE(SUBSTITUTE(TRIM(A1326&amp;""),CHAR(160),"")," ",""),"년",""),""),"")</f>
      </c>
      <c r="I1326" t="str">
        <f>SUBSTITUTE(SUBSTITUTE(SUBSTITUTE(SUBSTITUTE(SUBSTITUTE(TRIM(B1326&amp;""),CHAR(160),"")," ",""),"초등학교","초"),"중학교","중"),"고등학교","고")</f>
      </c>
    </row>
    <row r="1327" customFormat="false" ht="15" hidden="false" customHeight="false" outlineLevel="0" collapsed="false">
      <c r="A1327" s="8"/>
      <c r="B1327" s="8"/>
      <c r="C1327" s="8"/>
      <c r="D1327" s="8"/>
      <c r="E1327" s="8"/>
      <c r="F1327" t="str" s="15">
        <f aca="0">IF(B1327="","",IF(H1327="","확인필요(입력누락)",IF(SUMPRODUCT((실물목록!$P$2:$P$1001&lt;&gt;"")*ISNUMBER(SEARCH(실물목록!$P$2:$P$1001,I1327))*(실물목록!$Q$2:$Q$1001&lt;&gt;"")*ISNUMBER(SEARCH(실물목록!$Q$2:$Q$1001,I1327))*(실물목록!$R$2:$R$1001="")*(실물목록!$O$2:$O$1001&lt;&gt;"")*(실물목록!$O$2:$O$1001=H1327))&gt;0,"실물 있음",IF(SUMPRODUCT((실물목록!$P$2:$P$1001&lt;&gt;"")*ISNUMBER(SEARCH(실물목록!$P$2:$P$1001,I1327))*(실물목록!$R$2:$R$1001&lt;&gt;""))&gt;0,"확인필요(입력누락)",IF(SUMPRODUCT((실물목록!$P$2:$P$1001&lt;&gt;"")*ISNUMBER(SEARCH(실물목록!$P$2:$P$1001,I1327))*(실물목록!$Q$2:$Q$1001&lt;&gt;"")*ISNUMBER(SEARCH(실물목록!$Q$2:$Q$1001,I1327))*(실물목록!$R$2:$R$1001="")*(실물목록!$O$2:$O$1001&lt;&gt;""))&gt;0,"확인필요(연도다름)","실물 없음")))))</f>
      </c>
      <c r="G1327" t="n" s="16">
        <f aca="0">IF(B1327="","",SUMPRODUCT((실물목록!$P$2:$P$1001&lt;&gt;"")*ISNUMBER(SEARCH(실물목록!$P$2:$P$1001,I1327))*(실물목록!$Q$2:$Q$1001&lt;&gt;"")*ISNUMBER(SEARCH(실물목록!$Q$2:$Q$1001,I1327))*(실물목록!$R$2:$R$1001="")*(실물목록!$O$2:$O$1001&lt;&gt;"")*(실물목록!$O$2:$O$1001=H1327)))</f>
      </c>
      <c r="H1327" t="str">
        <f>IFERROR(IF(AND(LEN(SUBSTITUTE(SUBSTITUTE(SUBSTITUTE(TRIM(A1327&amp;""),CHAR(160),"")," ",""),"년",""))=4,VALUE(SUBSTITUTE(SUBSTITUTE(SUBSTITUTE(TRIM(A1327&amp;""),CHAR(160),"")," ",""),"년",""))&gt;=1900,VALUE(SUBSTITUTE(SUBSTITUTE(SUBSTITUTE(TRIM(A1327&amp;""),CHAR(160),"")," ",""),"년",""))&lt;=2099,TEXT(VALUE(SUBSTITUTE(SUBSTITUTE(SUBSTITUTE(TRIM(A1327&amp;""),CHAR(160),"")," ",""),"년","")),"0000")=SUBSTITUTE(SUBSTITUTE(SUBSTITUTE(TRIM(A1327&amp;""),CHAR(160),"")," ",""),"년","")),SUBSTITUTE(SUBSTITUTE(SUBSTITUTE(TRIM(A1327&amp;""),CHAR(160),"")," ",""),"년",""),""),"")</f>
      </c>
      <c r="I1327" t="str">
        <f>SUBSTITUTE(SUBSTITUTE(SUBSTITUTE(SUBSTITUTE(SUBSTITUTE(TRIM(B1327&amp;""),CHAR(160),"")," ",""),"초등학교","초"),"중학교","중"),"고등학교","고")</f>
      </c>
    </row>
    <row r="1328" customFormat="false" ht="15" hidden="false" customHeight="false" outlineLevel="0" collapsed="false">
      <c r="A1328" s="8"/>
      <c r="B1328" s="8"/>
      <c r="C1328" s="8"/>
      <c r="D1328" s="8"/>
      <c r="E1328" s="8"/>
      <c r="F1328" t="str" s="15">
        <f aca="0">IF(B1328="","",IF(H1328="","확인필요(입력누락)",IF(SUMPRODUCT((실물목록!$P$2:$P$1001&lt;&gt;"")*ISNUMBER(SEARCH(실물목록!$P$2:$P$1001,I1328))*(실물목록!$Q$2:$Q$1001&lt;&gt;"")*ISNUMBER(SEARCH(실물목록!$Q$2:$Q$1001,I1328))*(실물목록!$R$2:$R$1001="")*(실물목록!$O$2:$O$1001&lt;&gt;"")*(실물목록!$O$2:$O$1001=H1328))&gt;0,"실물 있음",IF(SUMPRODUCT((실물목록!$P$2:$P$1001&lt;&gt;"")*ISNUMBER(SEARCH(실물목록!$P$2:$P$1001,I1328))*(실물목록!$R$2:$R$1001&lt;&gt;""))&gt;0,"확인필요(입력누락)",IF(SUMPRODUCT((실물목록!$P$2:$P$1001&lt;&gt;"")*ISNUMBER(SEARCH(실물목록!$P$2:$P$1001,I1328))*(실물목록!$Q$2:$Q$1001&lt;&gt;"")*ISNUMBER(SEARCH(실물목록!$Q$2:$Q$1001,I1328))*(실물목록!$R$2:$R$1001="")*(실물목록!$O$2:$O$1001&lt;&gt;""))&gt;0,"확인필요(연도다름)","실물 없음")))))</f>
      </c>
      <c r="G1328" t="n" s="16">
        <f aca="0">IF(B1328="","",SUMPRODUCT((실물목록!$P$2:$P$1001&lt;&gt;"")*ISNUMBER(SEARCH(실물목록!$P$2:$P$1001,I1328))*(실물목록!$Q$2:$Q$1001&lt;&gt;"")*ISNUMBER(SEARCH(실물목록!$Q$2:$Q$1001,I1328))*(실물목록!$R$2:$R$1001="")*(실물목록!$O$2:$O$1001&lt;&gt;"")*(실물목록!$O$2:$O$1001=H1328)))</f>
      </c>
      <c r="H1328" t="str">
        <f>IFERROR(IF(AND(LEN(SUBSTITUTE(SUBSTITUTE(SUBSTITUTE(TRIM(A1328&amp;""),CHAR(160),"")," ",""),"년",""))=4,VALUE(SUBSTITUTE(SUBSTITUTE(SUBSTITUTE(TRIM(A1328&amp;""),CHAR(160),"")," ",""),"년",""))&gt;=1900,VALUE(SUBSTITUTE(SUBSTITUTE(SUBSTITUTE(TRIM(A1328&amp;""),CHAR(160),"")," ",""),"년",""))&lt;=2099,TEXT(VALUE(SUBSTITUTE(SUBSTITUTE(SUBSTITUTE(TRIM(A1328&amp;""),CHAR(160),"")," ",""),"년","")),"0000")=SUBSTITUTE(SUBSTITUTE(SUBSTITUTE(TRIM(A1328&amp;""),CHAR(160),"")," ",""),"년","")),SUBSTITUTE(SUBSTITUTE(SUBSTITUTE(TRIM(A1328&amp;""),CHAR(160),"")," ",""),"년",""),""),"")</f>
      </c>
      <c r="I1328" t="str">
        <f>SUBSTITUTE(SUBSTITUTE(SUBSTITUTE(SUBSTITUTE(SUBSTITUTE(TRIM(B1328&amp;""),CHAR(160),"")," ",""),"초등학교","초"),"중학교","중"),"고등학교","고")</f>
      </c>
    </row>
    <row r="1329" customFormat="false" ht="15" hidden="false" customHeight="false" outlineLevel="0" collapsed="false">
      <c r="A1329" s="8"/>
      <c r="B1329" s="8"/>
      <c r="C1329" s="8"/>
      <c r="D1329" s="8"/>
      <c r="E1329" s="8"/>
      <c r="F1329" t="str" s="15">
        <f aca="0">IF(B1329="","",IF(H1329="","확인필요(입력누락)",IF(SUMPRODUCT((실물목록!$P$2:$P$1001&lt;&gt;"")*ISNUMBER(SEARCH(실물목록!$P$2:$P$1001,I1329))*(실물목록!$Q$2:$Q$1001&lt;&gt;"")*ISNUMBER(SEARCH(실물목록!$Q$2:$Q$1001,I1329))*(실물목록!$R$2:$R$1001="")*(실물목록!$O$2:$O$1001&lt;&gt;"")*(실물목록!$O$2:$O$1001=H1329))&gt;0,"실물 있음",IF(SUMPRODUCT((실물목록!$P$2:$P$1001&lt;&gt;"")*ISNUMBER(SEARCH(실물목록!$P$2:$P$1001,I1329))*(실물목록!$R$2:$R$1001&lt;&gt;""))&gt;0,"확인필요(입력누락)",IF(SUMPRODUCT((실물목록!$P$2:$P$1001&lt;&gt;"")*ISNUMBER(SEARCH(실물목록!$P$2:$P$1001,I1329))*(실물목록!$Q$2:$Q$1001&lt;&gt;"")*ISNUMBER(SEARCH(실물목록!$Q$2:$Q$1001,I1329))*(실물목록!$R$2:$R$1001="")*(실물목록!$O$2:$O$1001&lt;&gt;""))&gt;0,"확인필요(연도다름)","실물 없음")))))</f>
      </c>
      <c r="G1329" t="n" s="16">
        <f aca="0">IF(B1329="","",SUMPRODUCT((실물목록!$P$2:$P$1001&lt;&gt;"")*ISNUMBER(SEARCH(실물목록!$P$2:$P$1001,I1329))*(실물목록!$Q$2:$Q$1001&lt;&gt;"")*ISNUMBER(SEARCH(실물목록!$Q$2:$Q$1001,I1329))*(실물목록!$R$2:$R$1001="")*(실물목록!$O$2:$O$1001&lt;&gt;"")*(실물목록!$O$2:$O$1001=H1329)))</f>
      </c>
      <c r="H1329" t="str">
        <f>IFERROR(IF(AND(LEN(SUBSTITUTE(SUBSTITUTE(SUBSTITUTE(TRIM(A1329&amp;""),CHAR(160),"")," ",""),"년",""))=4,VALUE(SUBSTITUTE(SUBSTITUTE(SUBSTITUTE(TRIM(A1329&amp;""),CHAR(160),"")," ",""),"년",""))&gt;=1900,VALUE(SUBSTITUTE(SUBSTITUTE(SUBSTITUTE(TRIM(A1329&amp;""),CHAR(160),"")," ",""),"년",""))&lt;=2099,TEXT(VALUE(SUBSTITUTE(SUBSTITUTE(SUBSTITUTE(TRIM(A1329&amp;""),CHAR(160),"")," ",""),"년","")),"0000")=SUBSTITUTE(SUBSTITUTE(SUBSTITUTE(TRIM(A1329&amp;""),CHAR(160),"")," ",""),"년","")),SUBSTITUTE(SUBSTITUTE(SUBSTITUTE(TRIM(A1329&amp;""),CHAR(160),"")," ",""),"년",""),""),"")</f>
      </c>
      <c r="I1329" t="str">
        <f>SUBSTITUTE(SUBSTITUTE(SUBSTITUTE(SUBSTITUTE(SUBSTITUTE(TRIM(B1329&amp;""),CHAR(160),"")," ",""),"초등학교","초"),"중학교","중"),"고등학교","고")</f>
      </c>
    </row>
    <row r="1330" customFormat="false" ht="15" hidden="false" customHeight="false" outlineLevel="0" collapsed="false">
      <c r="A1330" s="8"/>
      <c r="B1330" s="8"/>
      <c r="C1330" s="8"/>
      <c r="D1330" s="8"/>
      <c r="E1330" s="8"/>
      <c r="F1330" t="str" s="15">
        <f aca="0">IF(B1330="","",IF(H1330="","확인필요(입력누락)",IF(SUMPRODUCT((실물목록!$P$2:$P$1001&lt;&gt;"")*ISNUMBER(SEARCH(실물목록!$P$2:$P$1001,I1330))*(실물목록!$Q$2:$Q$1001&lt;&gt;"")*ISNUMBER(SEARCH(실물목록!$Q$2:$Q$1001,I1330))*(실물목록!$R$2:$R$1001="")*(실물목록!$O$2:$O$1001&lt;&gt;"")*(실물목록!$O$2:$O$1001=H1330))&gt;0,"실물 있음",IF(SUMPRODUCT((실물목록!$P$2:$P$1001&lt;&gt;"")*ISNUMBER(SEARCH(실물목록!$P$2:$P$1001,I1330))*(실물목록!$R$2:$R$1001&lt;&gt;""))&gt;0,"확인필요(입력누락)",IF(SUMPRODUCT((실물목록!$P$2:$P$1001&lt;&gt;"")*ISNUMBER(SEARCH(실물목록!$P$2:$P$1001,I1330))*(실물목록!$Q$2:$Q$1001&lt;&gt;"")*ISNUMBER(SEARCH(실물목록!$Q$2:$Q$1001,I1330))*(실물목록!$R$2:$R$1001="")*(실물목록!$O$2:$O$1001&lt;&gt;""))&gt;0,"확인필요(연도다름)","실물 없음")))))</f>
      </c>
      <c r="G1330" t="n" s="16">
        <f aca="0">IF(B1330="","",SUMPRODUCT((실물목록!$P$2:$P$1001&lt;&gt;"")*ISNUMBER(SEARCH(실물목록!$P$2:$P$1001,I1330))*(실물목록!$Q$2:$Q$1001&lt;&gt;"")*ISNUMBER(SEARCH(실물목록!$Q$2:$Q$1001,I1330))*(실물목록!$R$2:$R$1001="")*(실물목록!$O$2:$O$1001&lt;&gt;"")*(실물목록!$O$2:$O$1001=H1330)))</f>
      </c>
      <c r="H1330" t="str">
        <f>IFERROR(IF(AND(LEN(SUBSTITUTE(SUBSTITUTE(SUBSTITUTE(TRIM(A1330&amp;""),CHAR(160),"")," ",""),"년",""))=4,VALUE(SUBSTITUTE(SUBSTITUTE(SUBSTITUTE(TRIM(A1330&amp;""),CHAR(160),"")," ",""),"년",""))&gt;=1900,VALUE(SUBSTITUTE(SUBSTITUTE(SUBSTITUTE(TRIM(A1330&amp;""),CHAR(160),"")," ",""),"년",""))&lt;=2099,TEXT(VALUE(SUBSTITUTE(SUBSTITUTE(SUBSTITUTE(TRIM(A1330&amp;""),CHAR(160),"")," ",""),"년","")),"0000")=SUBSTITUTE(SUBSTITUTE(SUBSTITUTE(TRIM(A1330&amp;""),CHAR(160),"")," ",""),"년","")),SUBSTITUTE(SUBSTITUTE(SUBSTITUTE(TRIM(A1330&amp;""),CHAR(160),"")," ",""),"년",""),""),"")</f>
      </c>
      <c r="I1330" t="str">
        <f>SUBSTITUTE(SUBSTITUTE(SUBSTITUTE(SUBSTITUTE(SUBSTITUTE(TRIM(B1330&amp;""),CHAR(160),"")," ",""),"초등학교","초"),"중학교","중"),"고등학교","고")</f>
      </c>
    </row>
    <row r="1331" customFormat="false" ht="15" hidden="false" customHeight="false" outlineLevel="0" collapsed="false">
      <c r="A1331" s="8"/>
      <c r="B1331" s="8"/>
      <c r="C1331" s="8"/>
      <c r="D1331" s="8"/>
      <c r="E1331" s="8"/>
      <c r="F1331" t="str" s="15">
        <f aca="0">IF(B1331="","",IF(H1331="","확인필요(입력누락)",IF(SUMPRODUCT((실물목록!$P$2:$P$1001&lt;&gt;"")*ISNUMBER(SEARCH(실물목록!$P$2:$P$1001,I1331))*(실물목록!$Q$2:$Q$1001&lt;&gt;"")*ISNUMBER(SEARCH(실물목록!$Q$2:$Q$1001,I1331))*(실물목록!$R$2:$R$1001="")*(실물목록!$O$2:$O$1001&lt;&gt;"")*(실물목록!$O$2:$O$1001=H1331))&gt;0,"실물 있음",IF(SUMPRODUCT((실물목록!$P$2:$P$1001&lt;&gt;"")*ISNUMBER(SEARCH(실물목록!$P$2:$P$1001,I1331))*(실물목록!$R$2:$R$1001&lt;&gt;""))&gt;0,"확인필요(입력누락)",IF(SUMPRODUCT((실물목록!$P$2:$P$1001&lt;&gt;"")*ISNUMBER(SEARCH(실물목록!$P$2:$P$1001,I1331))*(실물목록!$Q$2:$Q$1001&lt;&gt;"")*ISNUMBER(SEARCH(실물목록!$Q$2:$Q$1001,I1331))*(실물목록!$R$2:$R$1001="")*(실물목록!$O$2:$O$1001&lt;&gt;""))&gt;0,"확인필요(연도다름)","실물 없음")))))</f>
      </c>
      <c r="G1331" t="n" s="16">
        <f aca="0">IF(B1331="","",SUMPRODUCT((실물목록!$P$2:$P$1001&lt;&gt;"")*ISNUMBER(SEARCH(실물목록!$P$2:$P$1001,I1331))*(실물목록!$Q$2:$Q$1001&lt;&gt;"")*ISNUMBER(SEARCH(실물목록!$Q$2:$Q$1001,I1331))*(실물목록!$R$2:$R$1001="")*(실물목록!$O$2:$O$1001&lt;&gt;"")*(실물목록!$O$2:$O$1001=H1331)))</f>
      </c>
      <c r="H1331" t="str">
        <f>IFERROR(IF(AND(LEN(SUBSTITUTE(SUBSTITUTE(SUBSTITUTE(TRIM(A1331&amp;""),CHAR(160),"")," ",""),"년",""))=4,VALUE(SUBSTITUTE(SUBSTITUTE(SUBSTITUTE(TRIM(A1331&amp;""),CHAR(160),"")," ",""),"년",""))&gt;=1900,VALUE(SUBSTITUTE(SUBSTITUTE(SUBSTITUTE(TRIM(A1331&amp;""),CHAR(160),"")," ",""),"년",""))&lt;=2099,TEXT(VALUE(SUBSTITUTE(SUBSTITUTE(SUBSTITUTE(TRIM(A1331&amp;""),CHAR(160),"")," ",""),"년","")),"0000")=SUBSTITUTE(SUBSTITUTE(SUBSTITUTE(TRIM(A1331&amp;""),CHAR(160),"")," ",""),"년","")),SUBSTITUTE(SUBSTITUTE(SUBSTITUTE(TRIM(A1331&amp;""),CHAR(160),"")," ",""),"년",""),""),"")</f>
      </c>
      <c r="I1331" t="str">
        <f>SUBSTITUTE(SUBSTITUTE(SUBSTITUTE(SUBSTITUTE(SUBSTITUTE(TRIM(B1331&amp;""),CHAR(160),"")," ",""),"초등학교","초"),"중학교","중"),"고등학교","고")</f>
      </c>
    </row>
    <row r="1332" customFormat="false" ht="15" hidden="false" customHeight="false" outlineLevel="0" collapsed="false">
      <c r="A1332" s="8"/>
      <c r="B1332" s="8"/>
      <c r="C1332" s="8"/>
      <c r="D1332" s="8"/>
      <c r="E1332" s="8"/>
      <c r="F1332" t="str" s="15">
        <f aca="0">IF(B1332="","",IF(H1332="","확인필요(입력누락)",IF(SUMPRODUCT((실물목록!$P$2:$P$1001&lt;&gt;"")*ISNUMBER(SEARCH(실물목록!$P$2:$P$1001,I1332))*(실물목록!$Q$2:$Q$1001&lt;&gt;"")*ISNUMBER(SEARCH(실물목록!$Q$2:$Q$1001,I1332))*(실물목록!$R$2:$R$1001="")*(실물목록!$O$2:$O$1001&lt;&gt;"")*(실물목록!$O$2:$O$1001=H1332))&gt;0,"실물 있음",IF(SUMPRODUCT((실물목록!$P$2:$P$1001&lt;&gt;"")*ISNUMBER(SEARCH(실물목록!$P$2:$P$1001,I1332))*(실물목록!$R$2:$R$1001&lt;&gt;""))&gt;0,"확인필요(입력누락)",IF(SUMPRODUCT((실물목록!$P$2:$P$1001&lt;&gt;"")*ISNUMBER(SEARCH(실물목록!$P$2:$P$1001,I1332))*(실물목록!$Q$2:$Q$1001&lt;&gt;"")*ISNUMBER(SEARCH(실물목록!$Q$2:$Q$1001,I1332))*(실물목록!$R$2:$R$1001="")*(실물목록!$O$2:$O$1001&lt;&gt;""))&gt;0,"확인필요(연도다름)","실물 없음")))))</f>
      </c>
      <c r="G1332" t="n" s="16">
        <f aca="0">IF(B1332="","",SUMPRODUCT((실물목록!$P$2:$P$1001&lt;&gt;"")*ISNUMBER(SEARCH(실물목록!$P$2:$P$1001,I1332))*(실물목록!$Q$2:$Q$1001&lt;&gt;"")*ISNUMBER(SEARCH(실물목록!$Q$2:$Q$1001,I1332))*(실물목록!$R$2:$R$1001="")*(실물목록!$O$2:$O$1001&lt;&gt;"")*(실물목록!$O$2:$O$1001=H1332)))</f>
      </c>
      <c r="H1332" t="str">
        <f>IFERROR(IF(AND(LEN(SUBSTITUTE(SUBSTITUTE(SUBSTITUTE(TRIM(A1332&amp;""),CHAR(160),"")," ",""),"년",""))=4,VALUE(SUBSTITUTE(SUBSTITUTE(SUBSTITUTE(TRIM(A1332&amp;""),CHAR(160),"")," ",""),"년",""))&gt;=1900,VALUE(SUBSTITUTE(SUBSTITUTE(SUBSTITUTE(TRIM(A1332&amp;""),CHAR(160),"")," ",""),"년",""))&lt;=2099,TEXT(VALUE(SUBSTITUTE(SUBSTITUTE(SUBSTITUTE(TRIM(A1332&amp;""),CHAR(160),"")," ",""),"년","")),"0000")=SUBSTITUTE(SUBSTITUTE(SUBSTITUTE(TRIM(A1332&amp;""),CHAR(160),"")," ",""),"년","")),SUBSTITUTE(SUBSTITUTE(SUBSTITUTE(TRIM(A1332&amp;""),CHAR(160),"")," ",""),"년",""),""),"")</f>
      </c>
      <c r="I1332" t="str">
        <f>SUBSTITUTE(SUBSTITUTE(SUBSTITUTE(SUBSTITUTE(SUBSTITUTE(TRIM(B1332&amp;""),CHAR(160),"")," ",""),"초등학교","초"),"중학교","중"),"고등학교","고")</f>
      </c>
    </row>
    <row r="1333" customFormat="false" ht="15" hidden="false" customHeight="false" outlineLevel="0" collapsed="false">
      <c r="A1333" s="8"/>
      <c r="B1333" s="8"/>
      <c r="C1333" s="8"/>
      <c r="D1333" s="8"/>
      <c r="E1333" s="8"/>
      <c r="F1333" t="str" s="15">
        <f aca="0">IF(B1333="","",IF(H1333="","확인필요(입력누락)",IF(SUMPRODUCT((실물목록!$P$2:$P$1001&lt;&gt;"")*ISNUMBER(SEARCH(실물목록!$P$2:$P$1001,I1333))*(실물목록!$Q$2:$Q$1001&lt;&gt;"")*ISNUMBER(SEARCH(실물목록!$Q$2:$Q$1001,I1333))*(실물목록!$R$2:$R$1001="")*(실물목록!$O$2:$O$1001&lt;&gt;"")*(실물목록!$O$2:$O$1001=H1333))&gt;0,"실물 있음",IF(SUMPRODUCT((실물목록!$P$2:$P$1001&lt;&gt;"")*ISNUMBER(SEARCH(실물목록!$P$2:$P$1001,I1333))*(실물목록!$R$2:$R$1001&lt;&gt;""))&gt;0,"확인필요(입력누락)",IF(SUMPRODUCT((실물목록!$P$2:$P$1001&lt;&gt;"")*ISNUMBER(SEARCH(실물목록!$P$2:$P$1001,I1333))*(실물목록!$Q$2:$Q$1001&lt;&gt;"")*ISNUMBER(SEARCH(실물목록!$Q$2:$Q$1001,I1333))*(실물목록!$R$2:$R$1001="")*(실물목록!$O$2:$O$1001&lt;&gt;""))&gt;0,"확인필요(연도다름)","실물 없음")))))</f>
      </c>
      <c r="G1333" t="n" s="16">
        <f aca="0">IF(B1333="","",SUMPRODUCT((실물목록!$P$2:$P$1001&lt;&gt;"")*ISNUMBER(SEARCH(실물목록!$P$2:$P$1001,I1333))*(실물목록!$Q$2:$Q$1001&lt;&gt;"")*ISNUMBER(SEARCH(실물목록!$Q$2:$Q$1001,I1333))*(실물목록!$R$2:$R$1001="")*(실물목록!$O$2:$O$1001&lt;&gt;"")*(실물목록!$O$2:$O$1001=H1333)))</f>
      </c>
      <c r="H1333" t="str">
        <f>IFERROR(IF(AND(LEN(SUBSTITUTE(SUBSTITUTE(SUBSTITUTE(TRIM(A1333&amp;""),CHAR(160),"")," ",""),"년",""))=4,VALUE(SUBSTITUTE(SUBSTITUTE(SUBSTITUTE(TRIM(A1333&amp;""),CHAR(160),"")," ",""),"년",""))&gt;=1900,VALUE(SUBSTITUTE(SUBSTITUTE(SUBSTITUTE(TRIM(A1333&amp;""),CHAR(160),"")," ",""),"년",""))&lt;=2099,TEXT(VALUE(SUBSTITUTE(SUBSTITUTE(SUBSTITUTE(TRIM(A1333&amp;""),CHAR(160),"")," ",""),"년","")),"0000")=SUBSTITUTE(SUBSTITUTE(SUBSTITUTE(TRIM(A1333&amp;""),CHAR(160),"")," ",""),"년","")),SUBSTITUTE(SUBSTITUTE(SUBSTITUTE(TRIM(A1333&amp;""),CHAR(160),"")," ",""),"년",""),""),"")</f>
      </c>
      <c r="I1333" t="str">
        <f>SUBSTITUTE(SUBSTITUTE(SUBSTITUTE(SUBSTITUTE(SUBSTITUTE(TRIM(B1333&amp;""),CHAR(160),"")," ",""),"초등학교","초"),"중학교","중"),"고등학교","고")</f>
      </c>
    </row>
    <row r="1334" customFormat="false" ht="15" hidden="false" customHeight="false" outlineLevel="0" collapsed="false">
      <c r="A1334" s="8"/>
      <c r="B1334" s="8"/>
      <c r="C1334" s="8"/>
      <c r="D1334" s="8"/>
      <c r="E1334" s="8"/>
      <c r="F1334" t="str" s="15">
        <f aca="0">IF(B1334="","",IF(H1334="","확인필요(입력누락)",IF(SUMPRODUCT((실물목록!$P$2:$P$1001&lt;&gt;"")*ISNUMBER(SEARCH(실물목록!$P$2:$P$1001,I1334))*(실물목록!$Q$2:$Q$1001&lt;&gt;"")*ISNUMBER(SEARCH(실물목록!$Q$2:$Q$1001,I1334))*(실물목록!$R$2:$R$1001="")*(실물목록!$O$2:$O$1001&lt;&gt;"")*(실물목록!$O$2:$O$1001=H1334))&gt;0,"실물 있음",IF(SUMPRODUCT((실물목록!$P$2:$P$1001&lt;&gt;"")*ISNUMBER(SEARCH(실물목록!$P$2:$P$1001,I1334))*(실물목록!$R$2:$R$1001&lt;&gt;""))&gt;0,"확인필요(입력누락)",IF(SUMPRODUCT((실물목록!$P$2:$P$1001&lt;&gt;"")*ISNUMBER(SEARCH(실물목록!$P$2:$P$1001,I1334))*(실물목록!$Q$2:$Q$1001&lt;&gt;"")*ISNUMBER(SEARCH(실물목록!$Q$2:$Q$1001,I1334))*(실물목록!$R$2:$R$1001="")*(실물목록!$O$2:$O$1001&lt;&gt;""))&gt;0,"확인필요(연도다름)","실물 없음")))))</f>
      </c>
      <c r="G1334" t="n" s="16">
        <f aca="0">IF(B1334="","",SUMPRODUCT((실물목록!$P$2:$P$1001&lt;&gt;"")*ISNUMBER(SEARCH(실물목록!$P$2:$P$1001,I1334))*(실물목록!$Q$2:$Q$1001&lt;&gt;"")*ISNUMBER(SEARCH(실물목록!$Q$2:$Q$1001,I1334))*(실물목록!$R$2:$R$1001="")*(실물목록!$O$2:$O$1001&lt;&gt;"")*(실물목록!$O$2:$O$1001=H1334)))</f>
      </c>
      <c r="H1334" t="str">
        <f>IFERROR(IF(AND(LEN(SUBSTITUTE(SUBSTITUTE(SUBSTITUTE(TRIM(A1334&amp;""),CHAR(160),"")," ",""),"년",""))=4,VALUE(SUBSTITUTE(SUBSTITUTE(SUBSTITUTE(TRIM(A1334&amp;""),CHAR(160),"")," ",""),"년",""))&gt;=1900,VALUE(SUBSTITUTE(SUBSTITUTE(SUBSTITUTE(TRIM(A1334&amp;""),CHAR(160),"")," ",""),"년",""))&lt;=2099,TEXT(VALUE(SUBSTITUTE(SUBSTITUTE(SUBSTITUTE(TRIM(A1334&amp;""),CHAR(160),"")," ",""),"년","")),"0000")=SUBSTITUTE(SUBSTITUTE(SUBSTITUTE(TRIM(A1334&amp;""),CHAR(160),"")," ",""),"년","")),SUBSTITUTE(SUBSTITUTE(SUBSTITUTE(TRIM(A1334&amp;""),CHAR(160),"")," ",""),"년",""),""),"")</f>
      </c>
      <c r="I1334" t="str">
        <f>SUBSTITUTE(SUBSTITUTE(SUBSTITUTE(SUBSTITUTE(SUBSTITUTE(TRIM(B1334&amp;""),CHAR(160),"")," ",""),"초등학교","초"),"중학교","중"),"고등학교","고")</f>
      </c>
    </row>
    <row r="1335" customFormat="false" ht="15" hidden="false" customHeight="false" outlineLevel="0" collapsed="false">
      <c r="A1335" s="8"/>
      <c r="B1335" s="8"/>
      <c r="C1335" s="8"/>
      <c r="D1335" s="8"/>
      <c r="E1335" s="8"/>
      <c r="F1335" t="str" s="15">
        <f aca="0">IF(B1335="","",IF(H1335="","확인필요(입력누락)",IF(SUMPRODUCT((실물목록!$P$2:$P$1001&lt;&gt;"")*ISNUMBER(SEARCH(실물목록!$P$2:$P$1001,I1335))*(실물목록!$Q$2:$Q$1001&lt;&gt;"")*ISNUMBER(SEARCH(실물목록!$Q$2:$Q$1001,I1335))*(실물목록!$R$2:$R$1001="")*(실물목록!$O$2:$O$1001&lt;&gt;"")*(실물목록!$O$2:$O$1001=H1335))&gt;0,"실물 있음",IF(SUMPRODUCT((실물목록!$P$2:$P$1001&lt;&gt;"")*ISNUMBER(SEARCH(실물목록!$P$2:$P$1001,I1335))*(실물목록!$R$2:$R$1001&lt;&gt;""))&gt;0,"확인필요(입력누락)",IF(SUMPRODUCT((실물목록!$P$2:$P$1001&lt;&gt;"")*ISNUMBER(SEARCH(실물목록!$P$2:$P$1001,I1335))*(실물목록!$Q$2:$Q$1001&lt;&gt;"")*ISNUMBER(SEARCH(실물목록!$Q$2:$Q$1001,I1335))*(실물목록!$R$2:$R$1001="")*(실물목록!$O$2:$O$1001&lt;&gt;""))&gt;0,"확인필요(연도다름)","실물 없음")))))</f>
      </c>
      <c r="G1335" t="n" s="16">
        <f aca="0">IF(B1335="","",SUMPRODUCT((실물목록!$P$2:$P$1001&lt;&gt;"")*ISNUMBER(SEARCH(실물목록!$P$2:$P$1001,I1335))*(실물목록!$Q$2:$Q$1001&lt;&gt;"")*ISNUMBER(SEARCH(실물목록!$Q$2:$Q$1001,I1335))*(실물목록!$R$2:$R$1001="")*(실물목록!$O$2:$O$1001&lt;&gt;"")*(실물목록!$O$2:$O$1001=H1335)))</f>
      </c>
      <c r="H1335" t="str">
        <f>IFERROR(IF(AND(LEN(SUBSTITUTE(SUBSTITUTE(SUBSTITUTE(TRIM(A1335&amp;""),CHAR(160),"")," ",""),"년",""))=4,VALUE(SUBSTITUTE(SUBSTITUTE(SUBSTITUTE(TRIM(A1335&amp;""),CHAR(160),"")," ",""),"년",""))&gt;=1900,VALUE(SUBSTITUTE(SUBSTITUTE(SUBSTITUTE(TRIM(A1335&amp;""),CHAR(160),"")," ",""),"년",""))&lt;=2099,TEXT(VALUE(SUBSTITUTE(SUBSTITUTE(SUBSTITUTE(TRIM(A1335&amp;""),CHAR(160),"")," ",""),"년","")),"0000")=SUBSTITUTE(SUBSTITUTE(SUBSTITUTE(TRIM(A1335&amp;""),CHAR(160),"")," ",""),"년","")),SUBSTITUTE(SUBSTITUTE(SUBSTITUTE(TRIM(A1335&amp;""),CHAR(160),"")," ",""),"년",""),""),"")</f>
      </c>
      <c r="I1335" t="str">
        <f>SUBSTITUTE(SUBSTITUTE(SUBSTITUTE(SUBSTITUTE(SUBSTITUTE(TRIM(B1335&amp;""),CHAR(160),"")," ",""),"초등학교","초"),"중학교","중"),"고등학교","고")</f>
      </c>
    </row>
    <row r="1336" customFormat="false" ht="15" hidden="false" customHeight="false" outlineLevel="0" collapsed="false">
      <c r="A1336" s="8"/>
      <c r="B1336" s="8"/>
      <c r="C1336" s="8"/>
      <c r="D1336" s="8"/>
      <c r="E1336" s="8"/>
      <c r="F1336" t="str" s="15">
        <f aca="0">IF(B1336="","",IF(H1336="","확인필요(입력누락)",IF(SUMPRODUCT((실물목록!$P$2:$P$1001&lt;&gt;"")*ISNUMBER(SEARCH(실물목록!$P$2:$P$1001,I1336))*(실물목록!$Q$2:$Q$1001&lt;&gt;"")*ISNUMBER(SEARCH(실물목록!$Q$2:$Q$1001,I1336))*(실물목록!$R$2:$R$1001="")*(실물목록!$O$2:$O$1001&lt;&gt;"")*(실물목록!$O$2:$O$1001=H1336))&gt;0,"실물 있음",IF(SUMPRODUCT((실물목록!$P$2:$P$1001&lt;&gt;"")*ISNUMBER(SEARCH(실물목록!$P$2:$P$1001,I1336))*(실물목록!$R$2:$R$1001&lt;&gt;""))&gt;0,"확인필요(입력누락)",IF(SUMPRODUCT((실물목록!$P$2:$P$1001&lt;&gt;"")*ISNUMBER(SEARCH(실물목록!$P$2:$P$1001,I1336))*(실물목록!$Q$2:$Q$1001&lt;&gt;"")*ISNUMBER(SEARCH(실물목록!$Q$2:$Q$1001,I1336))*(실물목록!$R$2:$R$1001="")*(실물목록!$O$2:$O$1001&lt;&gt;""))&gt;0,"확인필요(연도다름)","실물 없음")))))</f>
      </c>
      <c r="G1336" t="n" s="16">
        <f aca="0">IF(B1336="","",SUMPRODUCT((실물목록!$P$2:$P$1001&lt;&gt;"")*ISNUMBER(SEARCH(실물목록!$P$2:$P$1001,I1336))*(실물목록!$Q$2:$Q$1001&lt;&gt;"")*ISNUMBER(SEARCH(실물목록!$Q$2:$Q$1001,I1336))*(실물목록!$R$2:$R$1001="")*(실물목록!$O$2:$O$1001&lt;&gt;"")*(실물목록!$O$2:$O$1001=H1336)))</f>
      </c>
      <c r="H1336" t="str">
        <f>IFERROR(IF(AND(LEN(SUBSTITUTE(SUBSTITUTE(SUBSTITUTE(TRIM(A1336&amp;""),CHAR(160),"")," ",""),"년",""))=4,VALUE(SUBSTITUTE(SUBSTITUTE(SUBSTITUTE(TRIM(A1336&amp;""),CHAR(160),"")," ",""),"년",""))&gt;=1900,VALUE(SUBSTITUTE(SUBSTITUTE(SUBSTITUTE(TRIM(A1336&amp;""),CHAR(160),"")," ",""),"년",""))&lt;=2099,TEXT(VALUE(SUBSTITUTE(SUBSTITUTE(SUBSTITUTE(TRIM(A1336&amp;""),CHAR(160),"")," ",""),"년","")),"0000")=SUBSTITUTE(SUBSTITUTE(SUBSTITUTE(TRIM(A1336&amp;""),CHAR(160),"")," ",""),"년","")),SUBSTITUTE(SUBSTITUTE(SUBSTITUTE(TRIM(A1336&amp;""),CHAR(160),"")," ",""),"년",""),""),"")</f>
      </c>
      <c r="I1336" t="str">
        <f>SUBSTITUTE(SUBSTITUTE(SUBSTITUTE(SUBSTITUTE(SUBSTITUTE(TRIM(B1336&amp;""),CHAR(160),"")," ",""),"초등학교","초"),"중학교","중"),"고등학교","고")</f>
      </c>
    </row>
    <row r="1337" customFormat="false" ht="15" hidden="false" customHeight="false" outlineLevel="0" collapsed="false">
      <c r="A1337" s="8"/>
      <c r="B1337" s="8"/>
      <c r="C1337" s="8"/>
      <c r="D1337" s="8"/>
      <c r="E1337" s="8"/>
      <c r="F1337" t="str" s="15">
        <f aca="0">IF(B1337="","",IF(H1337="","확인필요(입력누락)",IF(SUMPRODUCT((실물목록!$P$2:$P$1001&lt;&gt;"")*ISNUMBER(SEARCH(실물목록!$P$2:$P$1001,I1337))*(실물목록!$Q$2:$Q$1001&lt;&gt;"")*ISNUMBER(SEARCH(실물목록!$Q$2:$Q$1001,I1337))*(실물목록!$R$2:$R$1001="")*(실물목록!$O$2:$O$1001&lt;&gt;"")*(실물목록!$O$2:$O$1001=H1337))&gt;0,"실물 있음",IF(SUMPRODUCT((실물목록!$P$2:$P$1001&lt;&gt;"")*ISNUMBER(SEARCH(실물목록!$P$2:$P$1001,I1337))*(실물목록!$R$2:$R$1001&lt;&gt;""))&gt;0,"확인필요(입력누락)",IF(SUMPRODUCT((실물목록!$P$2:$P$1001&lt;&gt;"")*ISNUMBER(SEARCH(실물목록!$P$2:$P$1001,I1337))*(실물목록!$Q$2:$Q$1001&lt;&gt;"")*ISNUMBER(SEARCH(실물목록!$Q$2:$Q$1001,I1337))*(실물목록!$R$2:$R$1001="")*(실물목록!$O$2:$O$1001&lt;&gt;""))&gt;0,"확인필요(연도다름)","실물 없음")))))</f>
      </c>
      <c r="G1337" t="n" s="16">
        <f aca="0">IF(B1337="","",SUMPRODUCT((실물목록!$P$2:$P$1001&lt;&gt;"")*ISNUMBER(SEARCH(실물목록!$P$2:$P$1001,I1337))*(실물목록!$Q$2:$Q$1001&lt;&gt;"")*ISNUMBER(SEARCH(실물목록!$Q$2:$Q$1001,I1337))*(실물목록!$R$2:$R$1001="")*(실물목록!$O$2:$O$1001&lt;&gt;"")*(실물목록!$O$2:$O$1001=H1337)))</f>
      </c>
      <c r="H1337" t="str">
        <f>IFERROR(IF(AND(LEN(SUBSTITUTE(SUBSTITUTE(SUBSTITUTE(TRIM(A1337&amp;""),CHAR(160),"")," ",""),"년",""))=4,VALUE(SUBSTITUTE(SUBSTITUTE(SUBSTITUTE(TRIM(A1337&amp;""),CHAR(160),"")," ",""),"년",""))&gt;=1900,VALUE(SUBSTITUTE(SUBSTITUTE(SUBSTITUTE(TRIM(A1337&amp;""),CHAR(160),"")," ",""),"년",""))&lt;=2099,TEXT(VALUE(SUBSTITUTE(SUBSTITUTE(SUBSTITUTE(TRIM(A1337&amp;""),CHAR(160),"")," ",""),"년","")),"0000")=SUBSTITUTE(SUBSTITUTE(SUBSTITUTE(TRIM(A1337&amp;""),CHAR(160),"")," ",""),"년","")),SUBSTITUTE(SUBSTITUTE(SUBSTITUTE(TRIM(A1337&amp;""),CHAR(160),"")," ",""),"년",""),""),"")</f>
      </c>
      <c r="I1337" t="str">
        <f>SUBSTITUTE(SUBSTITUTE(SUBSTITUTE(SUBSTITUTE(SUBSTITUTE(TRIM(B1337&amp;""),CHAR(160),"")," ",""),"초등학교","초"),"중학교","중"),"고등학교","고")</f>
      </c>
    </row>
    <row r="1338" customFormat="false" ht="15" hidden="false" customHeight="false" outlineLevel="0" collapsed="false">
      <c r="A1338" s="8"/>
      <c r="B1338" s="8"/>
      <c r="C1338" s="8"/>
      <c r="D1338" s="8"/>
      <c r="E1338" s="8"/>
      <c r="F1338" t="str" s="15">
        <f aca="0">IF(B1338="","",IF(H1338="","확인필요(입력누락)",IF(SUMPRODUCT((실물목록!$P$2:$P$1001&lt;&gt;"")*ISNUMBER(SEARCH(실물목록!$P$2:$P$1001,I1338))*(실물목록!$Q$2:$Q$1001&lt;&gt;"")*ISNUMBER(SEARCH(실물목록!$Q$2:$Q$1001,I1338))*(실물목록!$R$2:$R$1001="")*(실물목록!$O$2:$O$1001&lt;&gt;"")*(실물목록!$O$2:$O$1001=H1338))&gt;0,"실물 있음",IF(SUMPRODUCT((실물목록!$P$2:$P$1001&lt;&gt;"")*ISNUMBER(SEARCH(실물목록!$P$2:$P$1001,I1338))*(실물목록!$R$2:$R$1001&lt;&gt;""))&gt;0,"확인필요(입력누락)",IF(SUMPRODUCT((실물목록!$P$2:$P$1001&lt;&gt;"")*ISNUMBER(SEARCH(실물목록!$P$2:$P$1001,I1338))*(실물목록!$Q$2:$Q$1001&lt;&gt;"")*ISNUMBER(SEARCH(실물목록!$Q$2:$Q$1001,I1338))*(실물목록!$R$2:$R$1001="")*(실물목록!$O$2:$O$1001&lt;&gt;""))&gt;0,"확인필요(연도다름)","실물 없음")))))</f>
      </c>
      <c r="G1338" t="n" s="16">
        <f aca="0">IF(B1338="","",SUMPRODUCT((실물목록!$P$2:$P$1001&lt;&gt;"")*ISNUMBER(SEARCH(실물목록!$P$2:$P$1001,I1338))*(실물목록!$Q$2:$Q$1001&lt;&gt;"")*ISNUMBER(SEARCH(실물목록!$Q$2:$Q$1001,I1338))*(실물목록!$R$2:$R$1001="")*(실물목록!$O$2:$O$1001&lt;&gt;"")*(실물목록!$O$2:$O$1001=H1338)))</f>
      </c>
      <c r="H1338" t="str">
        <f>IFERROR(IF(AND(LEN(SUBSTITUTE(SUBSTITUTE(SUBSTITUTE(TRIM(A1338&amp;""),CHAR(160),"")," ",""),"년",""))=4,VALUE(SUBSTITUTE(SUBSTITUTE(SUBSTITUTE(TRIM(A1338&amp;""),CHAR(160),"")," ",""),"년",""))&gt;=1900,VALUE(SUBSTITUTE(SUBSTITUTE(SUBSTITUTE(TRIM(A1338&amp;""),CHAR(160),"")," ",""),"년",""))&lt;=2099,TEXT(VALUE(SUBSTITUTE(SUBSTITUTE(SUBSTITUTE(TRIM(A1338&amp;""),CHAR(160),"")," ",""),"년","")),"0000")=SUBSTITUTE(SUBSTITUTE(SUBSTITUTE(TRIM(A1338&amp;""),CHAR(160),"")," ",""),"년","")),SUBSTITUTE(SUBSTITUTE(SUBSTITUTE(TRIM(A1338&amp;""),CHAR(160),"")," ",""),"년",""),""),"")</f>
      </c>
      <c r="I1338" t="str">
        <f>SUBSTITUTE(SUBSTITUTE(SUBSTITUTE(SUBSTITUTE(SUBSTITUTE(TRIM(B1338&amp;""),CHAR(160),"")," ",""),"초등학교","초"),"중학교","중"),"고등학교","고")</f>
      </c>
    </row>
    <row r="1339" customFormat="false" ht="15" hidden="false" customHeight="false" outlineLevel="0" collapsed="false">
      <c r="A1339" s="8"/>
      <c r="B1339" s="8"/>
      <c r="C1339" s="8"/>
      <c r="D1339" s="8"/>
      <c r="E1339" s="8"/>
      <c r="F1339" t="str" s="15">
        <f aca="0">IF(B1339="","",IF(H1339="","확인필요(입력누락)",IF(SUMPRODUCT((실물목록!$P$2:$P$1001&lt;&gt;"")*ISNUMBER(SEARCH(실물목록!$P$2:$P$1001,I1339))*(실물목록!$Q$2:$Q$1001&lt;&gt;"")*ISNUMBER(SEARCH(실물목록!$Q$2:$Q$1001,I1339))*(실물목록!$R$2:$R$1001="")*(실물목록!$O$2:$O$1001&lt;&gt;"")*(실물목록!$O$2:$O$1001=H1339))&gt;0,"실물 있음",IF(SUMPRODUCT((실물목록!$P$2:$P$1001&lt;&gt;"")*ISNUMBER(SEARCH(실물목록!$P$2:$P$1001,I1339))*(실물목록!$R$2:$R$1001&lt;&gt;""))&gt;0,"확인필요(입력누락)",IF(SUMPRODUCT((실물목록!$P$2:$P$1001&lt;&gt;"")*ISNUMBER(SEARCH(실물목록!$P$2:$P$1001,I1339))*(실물목록!$Q$2:$Q$1001&lt;&gt;"")*ISNUMBER(SEARCH(실물목록!$Q$2:$Q$1001,I1339))*(실물목록!$R$2:$R$1001="")*(실물목록!$O$2:$O$1001&lt;&gt;""))&gt;0,"확인필요(연도다름)","실물 없음")))))</f>
      </c>
      <c r="G1339" t="n" s="16">
        <f aca="0">IF(B1339="","",SUMPRODUCT((실물목록!$P$2:$P$1001&lt;&gt;"")*ISNUMBER(SEARCH(실물목록!$P$2:$P$1001,I1339))*(실물목록!$Q$2:$Q$1001&lt;&gt;"")*ISNUMBER(SEARCH(실물목록!$Q$2:$Q$1001,I1339))*(실물목록!$R$2:$R$1001="")*(실물목록!$O$2:$O$1001&lt;&gt;"")*(실물목록!$O$2:$O$1001=H1339)))</f>
      </c>
      <c r="H1339" t="str">
        <f>IFERROR(IF(AND(LEN(SUBSTITUTE(SUBSTITUTE(SUBSTITUTE(TRIM(A1339&amp;""),CHAR(160),"")," ",""),"년",""))=4,VALUE(SUBSTITUTE(SUBSTITUTE(SUBSTITUTE(TRIM(A1339&amp;""),CHAR(160),"")," ",""),"년",""))&gt;=1900,VALUE(SUBSTITUTE(SUBSTITUTE(SUBSTITUTE(TRIM(A1339&amp;""),CHAR(160),"")," ",""),"년",""))&lt;=2099,TEXT(VALUE(SUBSTITUTE(SUBSTITUTE(SUBSTITUTE(TRIM(A1339&amp;""),CHAR(160),"")," ",""),"년","")),"0000")=SUBSTITUTE(SUBSTITUTE(SUBSTITUTE(TRIM(A1339&amp;""),CHAR(160),"")," ",""),"년","")),SUBSTITUTE(SUBSTITUTE(SUBSTITUTE(TRIM(A1339&amp;""),CHAR(160),"")," ",""),"년",""),""),"")</f>
      </c>
      <c r="I1339" t="str">
        <f>SUBSTITUTE(SUBSTITUTE(SUBSTITUTE(SUBSTITUTE(SUBSTITUTE(TRIM(B1339&amp;""),CHAR(160),"")," ",""),"초등학교","초"),"중학교","중"),"고등학교","고")</f>
      </c>
    </row>
    <row r="1340" customFormat="false" ht="15" hidden="false" customHeight="false" outlineLevel="0" collapsed="false">
      <c r="A1340" s="8"/>
      <c r="B1340" s="8"/>
      <c r="C1340" s="8"/>
      <c r="D1340" s="8"/>
      <c r="E1340" s="8"/>
      <c r="F1340" t="str" s="15">
        <f aca="0">IF(B1340="","",IF(H1340="","확인필요(입력누락)",IF(SUMPRODUCT((실물목록!$P$2:$P$1001&lt;&gt;"")*ISNUMBER(SEARCH(실물목록!$P$2:$P$1001,I1340))*(실물목록!$Q$2:$Q$1001&lt;&gt;"")*ISNUMBER(SEARCH(실물목록!$Q$2:$Q$1001,I1340))*(실물목록!$R$2:$R$1001="")*(실물목록!$O$2:$O$1001&lt;&gt;"")*(실물목록!$O$2:$O$1001=H1340))&gt;0,"실물 있음",IF(SUMPRODUCT((실물목록!$P$2:$P$1001&lt;&gt;"")*ISNUMBER(SEARCH(실물목록!$P$2:$P$1001,I1340))*(실물목록!$R$2:$R$1001&lt;&gt;""))&gt;0,"확인필요(입력누락)",IF(SUMPRODUCT((실물목록!$P$2:$P$1001&lt;&gt;"")*ISNUMBER(SEARCH(실물목록!$P$2:$P$1001,I1340))*(실물목록!$Q$2:$Q$1001&lt;&gt;"")*ISNUMBER(SEARCH(실물목록!$Q$2:$Q$1001,I1340))*(실물목록!$R$2:$R$1001="")*(실물목록!$O$2:$O$1001&lt;&gt;""))&gt;0,"확인필요(연도다름)","실물 없음")))))</f>
      </c>
      <c r="G1340" t="n" s="16">
        <f aca="0">IF(B1340="","",SUMPRODUCT((실물목록!$P$2:$P$1001&lt;&gt;"")*ISNUMBER(SEARCH(실물목록!$P$2:$P$1001,I1340))*(실물목록!$Q$2:$Q$1001&lt;&gt;"")*ISNUMBER(SEARCH(실물목록!$Q$2:$Q$1001,I1340))*(실물목록!$R$2:$R$1001="")*(실물목록!$O$2:$O$1001&lt;&gt;"")*(실물목록!$O$2:$O$1001=H1340)))</f>
      </c>
      <c r="H1340" t="str">
        <f>IFERROR(IF(AND(LEN(SUBSTITUTE(SUBSTITUTE(SUBSTITUTE(TRIM(A1340&amp;""),CHAR(160),"")," ",""),"년",""))=4,VALUE(SUBSTITUTE(SUBSTITUTE(SUBSTITUTE(TRIM(A1340&amp;""),CHAR(160),"")," ",""),"년",""))&gt;=1900,VALUE(SUBSTITUTE(SUBSTITUTE(SUBSTITUTE(TRIM(A1340&amp;""),CHAR(160),"")," ",""),"년",""))&lt;=2099,TEXT(VALUE(SUBSTITUTE(SUBSTITUTE(SUBSTITUTE(TRIM(A1340&amp;""),CHAR(160),"")," ",""),"년","")),"0000")=SUBSTITUTE(SUBSTITUTE(SUBSTITUTE(TRIM(A1340&amp;""),CHAR(160),"")," ",""),"년","")),SUBSTITUTE(SUBSTITUTE(SUBSTITUTE(TRIM(A1340&amp;""),CHAR(160),"")," ",""),"년",""),""),"")</f>
      </c>
      <c r="I1340" t="str">
        <f>SUBSTITUTE(SUBSTITUTE(SUBSTITUTE(SUBSTITUTE(SUBSTITUTE(TRIM(B1340&amp;""),CHAR(160),"")," ",""),"초등학교","초"),"중학교","중"),"고등학교","고")</f>
      </c>
    </row>
    <row r="1341" customFormat="false" ht="15" hidden="false" customHeight="false" outlineLevel="0" collapsed="false">
      <c r="A1341" s="8"/>
      <c r="B1341" s="8"/>
      <c r="C1341" s="8"/>
      <c r="D1341" s="8"/>
      <c r="E1341" s="8"/>
      <c r="F1341" t="str" s="15">
        <f aca="0">IF(B1341="","",IF(H1341="","확인필요(입력누락)",IF(SUMPRODUCT((실물목록!$P$2:$P$1001&lt;&gt;"")*ISNUMBER(SEARCH(실물목록!$P$2:$P$1001,I1341))*(실물목록!$Q$2:$Q$1001&lt;&gt;"")*ISNUMBER(SEARCH(실물목록!$Q$2:$Q$1001,I1341))*(실물목록!$R$2:$R$1001="")*(실물목록!$O$2:$O$1001&lt;&gt;"")*(실물목록!$O$2:$O$1001=H1341))&gt;0,"실물 있음",IF(SUMPRODUCT((실물목록!$P$2:$P$1001&lt;&gt;"")*ISNUMBER(SEARCH(실물목록!$P$2:$P$1001,I1341))*(실물목록!$R$2:$R$1001&lt;&gt;""))&gt;0,"확인필요(입력누락)",IF(SUMPRODUCT((실물목록!$P$2:$P$1001&lt;&gt;"")*ISNUMBER(SEARCH(실물목록!$P$2:$P$1001,I1341))*(실물목록!$Q$2:$Q$1001&lt;&gt;"")*ISNUMBER(SEARCH(실물목록!$Q$2:$Q$1001,I1341))*(실물목록!$R$2:$R$1001="")*(실물목록!$O$2:$O$1001&lt;&gt;""))&gt;0,"확인필요(연도다름)","실물 없음")))))</f>
      </c>
      <c r="G1341" t="n" s="16">
        <f aca="0">IF(B1341="","",SUMPRODUCT((실물목록!$P$2:$P$1001&lt;&gt;"")*ISNUMBER(SEARCH(실물목록!$P$2:$P$1001,I1341))*(실물목록!$Q$2:$Q$1001&lt;&gt;"")*ISNUMBER(SEARCH(실물목록!$Q$2:$Q$1001,I1341))*(실물목록!$R$2:$R$1001="")*(실물목록!$O$2:$O$1001&lt;&gt;"")*(실물목록!$O$2:$O$1001=H1341)))</f>
      </c>
      <c r="H1341" t="str">
        <f>IFERROR(IF(AND(LEN(SUBSTITUTE(SUBSTITUTE(SUBSTITUTE(TRIM(A1341&amp;""),CHAR(160),"")," ",""),"년",""))=4,VALUE(SUBSTITUTE(SUBSTITUTE(SUBSTITUTE(TRIM(A1341&amp;""),CHAR(160),"")," ",""),"년",""))&gt;=1900,VALUE(SUBSTITUTE(SUBSTITUTE(SUBSTITUTE(TRIM(A1341&amp;""),CHAR(160),"")," ",""),"년",""))&lt;=2099,TEXT(VALUE(SUBSTITUTE(SUBSTITUTE(SUBSTITUTE(TRIM(A1341&amp;""),CHAR(160),"")," ",""),"년","")),"0000")=SUBSTITUTE(SUBSTITUTE(SUBSTITUTE(TRIM(A1341&amp;""),CHAR(160),"")," ",""),"년","")),SUBSTITUTE(SUBSTITUTE(SUBSTITUTE(TRIM(A1341&amp;""),CHAR(160),"")," ",""),"년",""),""),"")</f>
      </c>
      <c r="I1341" t="str">
        <f>SUBSTITUTE(SUBSTITUTE(SUBSTITUTE(SUBSTITUTE(SUBSTITUTE(TRIM(B1341&amp;""),CHAR(160),"")," ",""),"초등학교","초"),"중학교","중"),"고등학교","고")</f>
      </c>
    </row>
    <row r="1342" customFormat="false" ht="15" hidden="false" customHeight="false" outlineLevel="0" collapsed="false">
      <c r="A1342" s="8"/>
      <c r="B1342" s="8"/>
      <c r="C1342" s="8"/>
      <c r="D1342" s="8"/>
      <c r="E1342" s="8"/>
      <c r="F1342" t="str" s="15">
        <f aca="0">IF(B1342="","",IF(H1342="","확인필요(입력누락)",IF(SUMPRODUCT((실물목록!$P$2:$P$1001&lt;&gt;"")*ISNUMBER(SEARCH(실물목록!$P$2:$P$1001,I1342))*(실물목록!$Q$2:$Q$1001&lt;&gt;"")*ISNUMBER(SEARCH(실물목록!$Q$2:$Q$1001,I1342))*(실물목록!$R$2:$R$1001="")*(실물목록!$O$2:$O$1001&lt;&gt;"")*(실물목록!$O$2:$O$1001=H1342))&gt;0,"실물 있음",IF(SUMPRODUCT((실물목록!$P$2:$P$1001&lt;&gt;"")*ISNUMBER(SEARCH(실물목록!$P$2:$P$1001,I1342))*(실물목록!$R$2:$R$1001&lt;&gt;""))&gt;0,"확인필요(입력누락)",IF(SUMPRODUCT((실물목록!$P$2:$P$1001&lt;&gt;"")*ISNUMBER(SEARCH(실물목록!$P$2:$P$1001,I1342))*(실물목록!$Q$2:$Q$1001&lt;&gt;"")*ISNUMBER(SEARCH(실물목록!$Q$2:$Q$1001,I1342))*(실물목록!$R$2:$R$1001="")*(실물목록!$O$2:$O$1001&lt;&gt;""))&gt;0,"확인필요(연도다름)","실물 없음")))))</f>
      </c>
      <c r="G1342" t="n" s="16">
        <f aca="0">IF(B1342="","",SUMPRODUCT((실물목록!$P$2:$P$1001&lt;&gt;"")*ISNUMBER(SEARCH(실물목록!$P$2:$P$1001,I1342))*(실물목록!$Q$2:$Q$1001&lt;&gt;"")*ISNUMBER(SEARCH(실물목록!$Q$2:$Q$1001,I1342))*(실물목록!$R$2:$R$1001="")*(실물목록!$O$2:$O$1001&lt;&gt;"")*(실물목록!$O$2:$O$1001=H1342)))</f>
      </c>
      <c r="H1342" t="str">
        <f>IFERROR(IF(AND(LEN(SUBSTITUTE(SUBSTITUTE(SUBSTITUTE(TRIM(A1342&amp;""),CHAR(160),"")," ",""),"년",""))=4,VALUE(SUBSTITUTE(SUBSTITUTE(SUBSTITUTE(TRIM(A1342&amp;""),CHAR(160),"")," ",""),"년",""))&gt;=1900,VALUE(SUBSTITUTE(SUBSTITUTE(SUBSTITUTE(TRIM(A1342&amp;""),CHAR(160),"")," ",""),"년",""))&lt;=2099,TEXT(VALUE(SUBSTITUTE(SUBSTITUTE(SUBSTITUTE(TRIM(A1342&amp;""),CHAR(160),"")," ",""),"년","")),"0000")=SUBSTITUTE(SUBSTITUTE(SUBSTITUTE(TRIM(A1342&amp;""),CHAR(160),"")," ",""),"년","")),SUBSTITUTE(SUBSTITUTE(SUBSTITUTE(TRIM(A1342&amp;""),CHAR(160),"")," ",""),"년",""),""),"")</f>
      </c>
      <c r="I1342" t="str">
        <f>SUBSTITUTE(SUBSTITUTE(SUBSTITUTE(SUBSTITUTE(SUBSTITUTE(TRIM(B1342&amp;""),CHAR(160),"")," ",""),"초등학교","초"),"중학교","중"),"고등학교","고")</f>
      </c>
    </row>
    <row r="1343" customFormat="false" ht="15" hidden="false" customHeight="false" outlineLevel="0" collapsed="false">
      <c r="A1343" s="8"/>
      <c r="B1343" s="8"/>
      <c r="C1343" s="8"/>
      <c r="D1343" s="8"/>
      <c r="E1343" s="8"/>
      <c r="F1343" t="str" s="15">
        <f aca="0">IF(B1343="","",IF(H1343="","확인필요(입력누락)",IF(SUMPRODUCT((실물목록!$P$2:$P$1001&lt;&gt;"")*ISNUMBER(SEARCH(실물목록!$P$2:$P$1001,I1343))*(실물목록!$Q$2:$Q$1001&lt;&gt;"")*ISNUMBER(SEARCH(실물목록!$Q$2:$Q$1001,I1343))*(실물목록!$R$2:$R$1001="")*(실물목록!$O$2:$O$1001&lt;&gt;"")*(실물목록!$O$2:$O$1001=H1343))&gt;0,"실물 있음",IF(SUMPRODUCT((실물목록!$P$2:$P$1001&lt;&gt;"")*ISNUMBER(SEARCH(실물목록!$P$2:$P$1001,I1343))*(실물목록!$R$2:$R$1001&lt;&gt;""))&gt;0,"확인필요(입력누락)",IF(SUMPRODUCT((실물목록!$P$2:$P$1001&lt;&gt;"")*ISNUMBER(SEARCH(실물목록!$P$2:$P$1001,I1343))*(실물목록!$Q$2:$Q$1001&lt;&gt;"")*ISNUMBER(SEARCH(실물목록!$Q$2:$Q$1001,I1343))*(실물목록!$R$2:$R$1001="")*(실물목록!$O$2:$O$1001&lt;&gt;""))&gt;0,"확인필요(연도다름)","실물 없음")))))</f>
      </c>
      <c r="G1343" t="n" s="16">
        <f aca="0">IF(B1343="","",SUMPRODUCT((실물목록!$P$2:$P$1001&lt;&gt;"")*ISNUMBER(SEARCH(실물목록!$P$2:$P$1001,I1343))*(실물목록!$Q$2:$Q$1001&lt;&gt;"")*ISNUMBER(SEARCH(실물목록!$Q$2:$Q$1001,I1343))*(실물목록!$R$2:$R$1001="")*(실물목록!$O$2:$O$1001&lt;&gt;"")*(실물목록!$O$2:$O$1001=H1343)))</f>
      </c>
      <c r="H1343" t="str">
        <f>IFERROR(IF(AND(LEN(SUBSTITUTE(SUBSTITUTE(SUBSTITUTE(TRIM(A1343&amp;""),CHAR(160),"")," ",""),"년",""))=4,VALUE(SUBSTITUTE(SUBSTITUTE(SUBSTITUTE(TRIM(A1343&amp;""),CHAR(160),"")," ",""),"년",""))&gt;=1900,VALUE(SUBSTITUTE(SUBSTITUTE(SUBSTITUTE(TRIM(A1343&amp;""),CHAR(160),"")," ",""),"년",""))&lt;=2099,TEXT(VALUE(SUBSTITUTE(SUBSTITUTE(SUBSTITUTE(TRIM(A1343&amp;""),CHAR(160),"")," ",""),"년","")),"0000")=SUBSTITUTE(SUBSTITUTE(SUBSTITUTE(TRIM(A1343&amp;""),CHAR(160),"")," ",""),"년","")),SUBSTITUTE(SUBSTITUTE(SUBSTITUTE(TRIM(A1343&amp;""),CHAR(160),"")," ",""),"년",""),""),"")</f>
      </c>
      <c r="I1343" t="str">
        <f>SUBSTITUTE(SUBSTITUTE(SUBSTITUTE(SUBSTITUTE(SUBSTITUTE(TRIM(B1343&amp;""),CHAR(160),"")," ",""),"초등학교","초"),"중학교","중"),"고등학교","고")</f>
      </c>
    </row>
    <row r="1344" customFormat="false" ht="15" hidden="false" customHeight="false" outlineLevel="0" collapsed="false">
      <c r="A1344" s="8"/>
      <c r="B1344" s="8"/>
      <c r="C1344" s="8"/>
      <c r="D1344" s="8"/>
      <c r="E1344" s="8"/>
      <c r="F1344" t="str" s="15">
        <f aca="0">IF(B1344="","",IF(H1344="","확인필요(입력누락)",IF(SUMPRODUCT((실물목록!$P$2:$P$1001&lt;&gt;"")*ISNUMBER(SEARCH(실물목록!$P$2:$P$1001,I1344))*(실물목록!$Q$2:$Q$1001&lt;&gt;"")*ISNUMBER(SEARCH(실물목록!$Q$2:$Q$1001,I1344))*(실물목록!$R$2:$R$1001="")*(실물목록!$O$2:$O$1001&lt;&gt;"")*(실물목록!$O$2:$O$1001=H1344))&gt;0,"실물 있음",IF(SUMPRODUCT((실물목록!$P$2:$P$1001&lt;&gt;"")*ISNUMBER(SEARCH(실물목록!$P$2:$P$1001,I1344))*(실물목록!$R$2:$R$1001&lt;&gt;""))&gt;0,"확인필요(입력누락)",IF(SUMPRODUCT((실물목록!$P$2:$P$1001&lt;&gt;"")*ISNUMBER(SEARCH(실물목록!$P$2:$P$1001,I1344))*(실물목록!$Q$2:$Q$1001&lt;&gt;"")*ISNUMBER(SEARCH(실물목록!$Q$2:$Q$1001,I1344))*(실물목록!$R$2:$R$1001="")*(실물목록!$O$2:$O$1001&lt;&gt;""))&gt;0,"확인필요(연도다름)","실물 없음")))))</f>
      </c>
      <c r="G1344" t="n" s="16">
        <f aca="0">IF(B1344="","",SUMPRODUCT((실물목록!$P$2:$P$1001&lt;&gt;"")*ISNUMBER(SEARCH(실물목록!$P$2:$P$1001,I1344))*(실물목록!$Q$2:$Q$1001&lt;&gt;"")*ISNUMBER(SEARCH(실물목록!$Q$2:$Q$1001,I1344))*(실물목록!$R$2:$R$1001="")*(실물목록!$O$2:$O$1001&lt;&gt;"")*(실물목록!$O$2:$O$1001=H1344)))</f>
      </c>
      <c r="H1344" t="str">
        <f>IFERROR(IF(AND(LEN(SUBSTITUTE(SUBSTITUTE(SUBSTITUTE(TRIM(A1344&amp;""),CHAR(160),"")," ",""),"년",""))=4,VALUE(SUBSTITUTE(SUBSTITUTE(SUBSTITUTE(TRIM(A1344&amp;""),CHAR(160),"")," ",""),"년",""))&gt;=1900,VALUE(SUBSTITUTE(SUBSTITUTE(SUBSTITUTE(TRIM(A1344&amp;""),CHAR(160),"")," ",""),"년",""))&lt;=2099,TEXT(VALUE(SUBSTITUTE(SUBSTITUTE(SUBSTITUTE(TRIM(A1344&amp;""),CHAR(160),"")," ",""),"년","")),"0000")=SUBSTITUTE(SUBSTITUTE(SUBSTITUTE(TRIM(A1344&amp;""),CHAR(160),"")," ",""),"년","")),SUBSTITUTE(SUBSTITUTE(SUBSTITUTE(TRIM(A1344&amp;""),CHAR(160),"")," ",""),"년",""),""),"")</f>
      </c>
      <c r="I1344" t="str">
        <f>SUBSTITUTE(SUBSTITUTE(SUBSTITUTE(SUBSTITUTE(SUBSTITUTE(TRIM(B1344&amp;""),CHAR(160),"")," ",""),"초등학교","초"),"중학교","중"),"고등학교","고")</f>
      </c>
    </row>
    <row r="1345" customFormat="false" ht="15" hidden="false" customHeight="false" outlineLevel="0" collapsed="false">
      <c r="A1345" s="8"/>
      <c r="B1345" s="8"/>
      <c r="C1345" s="8"/>
      <c r="D1345" s="8"/>
      <c r="E1345" s="8"/>
      <c r="F1345" t="str" s="15">
        <f aca="0">IF(B1345="","",IF(H1345="","확인필요(입력누락)",IF(SUMPRODUCT((실물목록!$P$2:$P$1001&lt;&gt;"")*ISNUMBER(SEARCH(실물목록!$P$2:$P$1001,I1345))*(실물목록!$Q$2:$Q$1001&lt;&gt;"")*ISNUMBER(SEARCH(실물목록!$Q$2:$Q$1001,I1345))*(실물목록!$R$2:$R$1001="")*(실물목록!$O$2:$O$1001&lt;&gt;"")*(실물목록!$O$2:$O$1001=H1345))&gt;0,"실물 있음",IF(SUMPRODUCT((실물목록!$P$2:$P$1001&lt;&gt;"")*ISNUMBER(SEARCH(실물목록!$P$2:$P$1001,I1345))*(실물목록!$R$2:$R$1001&lt;&gt;""))&gt;0,"확인필요(입력누락)",IF(SUMPRODUCT((실물목록!$P$2:$P$1001&lt;&gt;"")*ISNUMBER(SEARCH(실물목록!$P$2:$P$1001,I1345))*(실물목록!$Q$2:$Q$1001&lt;&gt;"")*ISNUMBER(SEARCH(실물목록!$Q$2:$Q$1001,I1345))*(실물목록!$R$2:$R$1001="")*(실물목록!$O$2:$O$1001&lt;&gt;""))&gt;0,"확인필요(연도다름)","실물 없음")))))</f>
      </c>
      <c r="G1345" t="n" s="16">
        <f aca="0">IF(B1345="","",SUMPRODUCT((실물목록!$P$2:$P$1001&lt;&gt;"")*ISNUMBER(SEARCH(실물목록!$P$2:$P$1001,I1345))*(실물목록!$Q$2:$Q$1001&lt;&gt;"")*ISNUMBER(SEARCH(실물목록!$Q$2:$Q$1001,I1345))*(실물목록!$R$2:$R$1001="")*(실물목록!$O$2:$O$1001&lt;&gt;"")*(실물목록!$O$2:$O$1001=H1345)))</f>
      </c>
      <c r="H1345" t="str">
        <f>IFERROR(IF(AND(LEN(SUBSTITUTE(SUBSTITUTE(SUBSTITUTE(TRIM(A1345&amp;""),CHAR(160),"")," ",""),"년",""))=4,VALUE(SUBSTITUTE(SUBSTITUTE(SUBSTITUTE(TRIM(A1345&amp;""),CHAR(160),"")," ",""),"년",""))&gt;=1900,VALUE(SUBSTITUTE(SUBSTITUTE(SUBSTITUTE(TRIM(A1345&amp;""),CHAR(160),"")," ",""),"년",""))&lt;=2099,TEXT(VALUE(SUBSTITUTE(SUBSTITUTE(SUBSTITUTE(TRIM(A1345&amp;""),CHAR(160),"")," ",""),"년","")),"0000")=SUBSTITUTE(SUBSTITUTE(SUBSTITUTE(TRIM(A1345&amp;""),CHAR(160),"")," ",""),"년","")),SUBSTITUTE(SUBSTITUTE(SUBSTITUTE(TRIM(A1345&amp;""),CHAR(160),"")," ",""),"년",""),""),"")</f>
      </c>
      <c r="I1345" t="str">
        <f>SUBSTITUTE(SUBSTITUTE(SUBSTITUTE(SUBSTITUTE(SUBSTITUTE(TRIM(B1345&amp;""),CHAR(160),"")," ",""),"초등학교","초"),"중학교","중"),"고등학교","고")</f>
      </c>
    </row>
    <row r="1346" customFormat="false" ht="15" hidden="false" customHeight="false" outlineLevel="0" collapsed="false">
      <c r="A1346" s="8"/>
      <c r="B1346" s="8"/>
      <c r="C1346" s="8"/>
      <c r="D1346" s="8"/>
      <c r="E1346" s="8"/>
      <c r="F1346" t="str" s="15">
        <f aca="0">IF(B1346="","",IF(H1346="","확인필요(입력누락)",IF(SUMPRODUCT((실물목록!$P$2:$P$1001&lt;&gt;"")*ISNUMBER(SEARCH(실물목록!$P$2:$P$1001,I1346))*(실물목록!$Q$2:$Q$1001&lt;&gt;"")*ISNUMBER(SEARCH(실물목록!$Q$2:$Q$1001,I1346))*(실물목록!$R$2:$R$1001="")*(실물목록!$O$2:$O$1001&lt;&gt;"")*(실물목록!$O$2:$O$1001=H1346))&gt;0,"실물 있음",IF(SUMPRODUCT((실물목록!$P$2:$P$1001&lt;&gt;"")*ISNUMBER(SEARCH(실물목록!$P$2:$P$1001,I1346))*(실물목록!$R$2:$R$1001&lt;&gt;""))&gt;0,"확인필요(입력누락)",IF(SUMPRODUCT((실물목록!$P$2:$P$1001&lt;&gt;"")*ISNUMBER(SEARCH(실물목록!$P$2:$P$1001,I1346))*(실물목록!$Q$2:$Q$1001&lt;&gt;"")*ISNUMBER(SEARCH(실물목록!$Q$2:$Q$1001,I1346))*(실물목록!$R$2:$R$1001="")*(실물목록!$O$2:$O$1001&lt;&gt;""))&gt;0,"확인필요(연도다름)","실물 없음")))))</f>
      </c>
      <c r="G1346" t="n" s="16">
        <f aca="0">IF(B1346="","",SUMPRODUCT((실물목록!$P$2:$P$1001&lt;&gt;"")*ISNUMBER(SEARCH(실물목록!$P$2:$P$1001,I1346))*(실물목록!$Q$2:$Q$1001&lt;&gt;"")*ISNUMBER(SEARCH(실물목록!$Q$2:$Q$1001,I1346))*(실물목록!$R$2:$R$1001="")*(실물목록!$O$2:$O$1001&lt;&gt;"")*(실물목록!$O$2:$O$1001=H1346)))</f>
      </c>
      <c r="H1346" t="str">
        <f>IFERROR(IF(AND(LEN(SUBSTITUTE(SUBSTITUTE(SUBSTITUTE(TRIM(A1346&amp;""),CHAR(160),"")," ",""),"년",""))=4,VALUE(SUBSTITUTE(SUBSTITUTE(SUBSTITUTE(TRIM(A1346&amp;""),CHAR(160),"")," ",""),"년",""))&gt;=1900,VALUE(SUBSTITUTE(SUBSTITUTE(SUBSTITUTE(TRIM(A1346&amp;""),CHAR(160),"")," ",""),"년",""))&lt;=2099,TEXT(VALUE(SUBSTITUTE(SUBSTITUTE(SUBSTITUTE(TRIM(A1346&amp;""),CHAR(160),"")," ",""),"년","")),"0000")=SUBSTITUTE(SUBSTITUTE(SUBSTITUTE(TRIM(A1346&amp;""),CHAR(160),"")," ",""),"년","")),SUBSTITUTE(SUBSTITUTE(SUBSTITUTE(TRIM(A1346&amp;""),CHAR(160),"")," ",""),"년",""),""),"")</f>
      </c>
      <c r="I1346" t="str">
        <f>SUBSTITUTE(SUBSTITUTE(SUBSTITUTE(SUBSTITUTE(SUBSTITUTE(TRIM(B1346&amp;""),CHAR(160),"")," ",""),"초등학교","초"),"중학교","중"),"고등학교","고")</f>
      </c>
    </row>
    <row r="1347" customFormat="false" ht="15" hidden="false" customHeight="false" outlineLevel="0" collapsed="false">
      <c r="A1347" s="8"/>
      <c r="B1347" s="8"/>
      <c r="C1347" s="8"/>
      <c r="D1347" s="8"/>
      <c r="E1347" s="8"/>
      <c r="F1347" t="str" s="15">
        <f aca="0">IF(B1347="","",IF(H1347="","확인필요(입력누락)",IF(SUMPRODUCT((실물목록!$P$2:$P$1001&lt;&gt;"")*ISNUMBER(SEARCH(실물목록!$P$2:$P$1001,I1347))*(실물목록!$Q$2:$Q$1001&lt;&gt;"")*ISNUMBER(SEARCH(실물목록!$Q$2:$Q$1001,I1347))*(실물목록!$R$2:$R$1001="")*(실물목록!$O$2:$O$1001&lt;&gt;"")*(실물목록!$O$2:$O$1001=H1347))&gt;0,"실물 있음",IF(SUMPRODUCT((실물목록!$P$2:$P$1001&lt;&gt;"")*ISNUMBER(SEARCH(실물목록!$P$2:$P$1001,I1347))*(실물목록!$R$2:$R$1001&lt;&gt;""))&gt;0,"확인필요(입력누락)",IF(SUMPRODUCT((실물목록!$P$2:$P$1001&lt;&gt;"")*ISNUMBER(SEARCH(실물목록!$P$2:$P$1001,I1347))*(실물목록!$Q$2:$Q$1001&lt;&gt;"")*ISNUMBER(SEARCH(실물목록!$Q$2:$Q$1001,I1347))*(실물목록!$R$2:$R$1001="")*(실물목록!$O$2:$O$1001&lt;&gt;""))&gt;0,"확인필요(연도다름)","실물 없음")))))</f>
      </c>
      <c r="G1347" t="n" s="16">
        <f aca="0">IF(B1347="","",SUMPRODUCT((실물목록!$P$2:$P$1001&lt;&gt;"")*ISNUMBER(SEARCH(실물목록!$P$2:$P$1001,I1347))*(실물목록!$Q$2:$Q$1001&lt;&gt;"")*ISNUMBER(SEARCH(실물목록!$Q$2:$Q$1001,I1347))*(실물목록!$R$2:$R$1001="")*(실물목록!$O$2:$O$1001&lt;&gt;"")*(실물목록!$O$2:$O$1001=H1347)))</f>
      </c>
      <c r="H1347" t="str">
        <f>IFERROR(IF(AND(LEN(SUBSTITUTE(SUBSTITUTE(SUBSTITUTE(TRIM(A1347&amp;""),CHAR(160),"")," ",""),"년",""))=4,VALUE(SUBSTITUTE(SUBSTITUTE(SUBSTITUTE(TRIM(A1347&amp;""),CHAR(160),"")," ",""),"년",""))&gt;=1900,VALUE(SUBSTITUTE(SUBSTITUTE(SUBSTITUTE(TRIM(A1347&amp;""),CHAR(160),"")," ",""),"년",""))&lt;=2099,TEXT(VALUE(SUBSTITUTE(SUBSTITUTE(SUBSTITUTE(TRIM(A1347&amp;""),CHAR(160),"")," ",""),"년","")),"0000")=SUBSTITUTE(SUBSTITUTE(SUBSTITUTE(TRIM(A1347&amp;""),CHAR(160),"")," ",""),"년","")),SUBSTITUTE(SUBSTITUTE(SUBSTITUTE(TRIM(A1347&amp;""),CHAR(160),"")," ",""),"년",""),""),"")</f>
      </c>
      <c r="I1347" t="str">
        <f>SUBSTITUTE(SUBSTITUTE(SUBSTITUTE(SUBSTITUTE(SUBSTITUTE(TRIM(B1347&amp;""),CHAR(160),"")," ",""),"초등학교","초"),"중학교","중"),"고등학교","고")</f>
      </c>
    </row>
    <row r="1348" customFormat="false" ht="15" hidden="false" customHeight="false" outlineLevel="0" collapsed="false">
      <c r="A1348" s="8"/>
      <c r="B1348" s="8"/>
      <c r="C1348" s="8"/>
      <c r="D1348" s="8"/>
      <c r="E1348" s="8"/>
      <c r="F1348" t="str" s="15">
        <f aca="0">IF(B1348="","",IF(H1348="","확인필요(입력누락)",IF(SUMPRODUCT((실물목록!$P$2:$P$1001&lt;&gt;"")*ISNUMBER(SEARCH(실물목록!$P$2:$P$1001,I1348))*(실물목록!$Q$2:$Q$1001&lt;&gt;"")*ISNUMBER(SEARCH(실물목록!$Q$2:$Q$1001,I1348))*(실물목록!$R$2:$R$1001="")*(실물목록!$O$2:$O$1001&lt;&gt;"")*(실물목록!$O$2:$O$1001=H1348))&gt;0,"실물 있음",IF(SUMPRODUCT((실물목록!$P$2:$P$1001&lt;&gt;"")*ISNUMBER(SEARCH(실물목록!$P$2:$P$1001,I1348))*(실물목록!$R$2:$R$1001&lt;&gt;""))&gt;0,"확인필요(입력누락)",IF(SUMPRODUCT((실물목록!$P$2:$P$1001&lt;&gt;"")*ISNUMBER(SEARCH(실물목록!$P$2:$P$1001,I1348))*(실물목록!$Q$2:$Q$1001&lt;&gt;"")*ISNUMBER(SEARCH(실물목록!$Q$2:$Q$1001,I1348))*(실물목록!$R$2:$R$1001="")*(실물목록!$O$2:$O$1001&lt;&gt;""))&gt;0,"확인필요(연도다름)","실물 없음")))))</f>
      </c>
      <c r="G1348" t="n" s="16">
        <f aca="0">IF(B1348="","",SUMPRODUCT((실물목록!$P$2:$P$1001&lt;&gt;"")*ISNUMBER(SEARCH(실물목록!$P$2:$P$1001,I1348))*(실물목록!$Q$2:$Q$1001&lt;&gt;"")*ISNUMBER(SEARCH(실물목록!$Q$2:$Q$1001,I1348))*(실물목록!$R$2:$R$1001="")*(실물목록!$O$2:$O$1001&lt;&gt;"")*(실물목록!$O$2:$O$1001=H1348)))</f>
      </c>
      <c r="H1348" t="str">
        <f>IFERROR(IF(AND(LEN(SUBSTITUTE(SUBSTITUTE(SUBSTITUTE(TRIM(A1348&amp;""),CHAR(160),"")," ",""),"년",""))=4,VALUE(SUBSTITUTE(SUBSTITUTE(SUBSTITUTE(TRIM(A1348&amp;""),CHAR(160),"")," ",""),"년",""))&gt;=1900,VALUE(SUBSTITUTE(SUBSTITUTE(SUBSTITUTE(TRIM(A1348&amp;""),CHAR(160),"")," ",""),"년",""))&lt;=2099,TEXT(VALUE(SUBSTITUTE(SUBSTITUTE(SUBSTITUTE(TRIM(A1348&amp;""),CHAR(160),"")," ",""),"년","")),"0000")=SUBSTITUTE(SUBSTITUTE(SUBSTITUTE(TRIM(A1348&amp;""),CHAR(160),"")," ",""),"년","")),SUBSTITUTE(SUBSTITUTE(SUBSTITUTE(TRIM(A1348&amp;""),CHAR(160),"")," ",""),"년",""),""),"")</f>
      </c>
      <c r="I1348" t="str">
        <f>SUBSTITUTE(SUBSTITUTE(SUBSTITUTE(SUBSTITUTE(SUBSTITUTE(TRIM(B1348&amp;""),CHAR(160),"")," ",""),"초등학교","초"),"중학교","중"),"고등학교","고")</f>
      </c>
    </row>
    <row r="1349" customFormat="false" ht="15" hidden="false" customHeight="false" outlineLevel="0" collapsed="false">
      <c r="A1349" s="8"/>
      <c r="B1349" s="8"/>
      <c r="C1349" s="8"/>
      <c r="D1349" s="8"/>
      <c r="E1349" s="8"/>
      <c r="F1349" t="str" s="15">
        <f aca="0">IF(B1349="","",IF(H1349="","확인필요(입력누락)",IF(SUMPRODUCT((실물목록!$P$2:$P$1001&lt;&gt;"")*ISNUMBER(SEARCH(실물목록!$P$2:$P$1001,I1349))*(실물목록!$Q$2:$Q$1001&lt;&gt;"")*ISNUMBER(SEARCH(실물목록!$Q$2:$Q$1001,I1349))*(실물목록!$R$2:$R$1001="")*(실물목록!$O$2:$O$1001&lt;&gt;"")*(실물목록!$O$2:$O$1001=H1349))&gt;0,"실물 있음",IF(SUMPRODUCT((실물목록!$P$2:$P$1001&lt;&gt;"")*ISNUMBER(SEARCH(실물목록!$P$2:$P$1001,I1349))*(실물목록!$R$2:$R$1001&lt;&gt;""))&gt;0,"확인필요(입력누락)",IF(SUMPRODUCT((실물목록!$P$2:$P$1001&lt;&gt;"")*ISNUMBER(SEARCH(실물목록!$P$2:$P$1001,I1349))*(실물목록!$Q$2:$Q$1001&lt;&gt;"")*ISNUMBER(SEARCH(실물목록!$Q$2:$Q$1001,I1349))*(실물목록!$R$2:$R$1001="")*(실물목록!$O$2:$O$1001&lt;&gt;""))&gt;0,"확인필요(연도다름)","실물 없음")))))</f>
      </c>
      <c r="G1349" t="n" s="16">
        <f aca="0">IF(B1349="","",SUMPRODUCT((실물목록!$P$2:$P$1001&lt;&gt;"")*ISNUMBER(SEARCH(실물목록!$P$2:$P$1001,I1349))*(실물목록!$Q$2:$Q$1001&lt;&gt;"")*ISNUMBER(SEARCH(실물목록!$Q$2:$Q$1001,I1349))*(실물목록!$R$2:$R$1001="")*(실물목록!$O$2:$O$1001&lt;&gt;"")*(실물목록!$O$2:$O$1001=H1349)))</f>
      </c>
      <c r="H1349" t="str">
        <f>IFERROR(IF(AND(LEN(SUBSTITUTE(SUBSTITUTE(SUBSTITUTE(TRIM(A1349&amp;""),CHAR(160),"")," ",""),"년",""))=4,VALUE(SUBSTITUTE(SUBSTITUTE(SUBSTITUTE(TRIM(A1349&amp;""),CHAR(160),"")," ",""),"년",""))&gt;=1900,VALUE(SUBSTITUTE(SUBSTITUTE(SUBSTITUTE(TRIM(A1349&amp;""),CHAR(160),"")," ",""),"년",""))&lt;=2099,TEXT(VALUE(SUBSTITUTE(SUBSTITUTE(SUBSTITUTE(TRIM(A1349&amp;""),CHAR(160),"")," ",""),"년","")),"0000")=SUBSTITUTE(SUBSTITUTE(SUBSTITUTE(TRIM(A1349&amp;""),CHAR(160),"")," ",""),"년","")),SUBSTITUTE(SUBSTITUTE(SUBSTITUTE(TRIM(A1349&amp;""),CHAR(160),"")," ",""),"년",""),""),"")</f>
      </c>
      <c r="I1349" t="str">
        <f>SUBSTITUTE(SUBSTITUTE(SUBSTITUTE(SUBSTITUTE(SUBSTITUTE(TRIM(B1349&amp;""),CHAR(160),"")," ",""),"초등학교","초"),"중학교","중"),"고등학교","고")</f>
      </c>
    </row>
    <row r="1350" customFormat="false" ht="15" hidden="false" customHeight="false" outlineLevel="0" collapsed="false">
      <c r="A1350" s="8"/>
      <c r="B1350" s="8"/>
      <c r="C1350" s="8"/>
      <c r="D1350" s="8"/>
      <c r="E1350" s="8"/>
      <c r="F1350" t="str" s="15">
        <f aca="0">IF(B1350="","",IF(H1350="","확인필요(입력누락)",IF(SUMPRODUCT((실물목록!$P$2:$P$1001&lt;&gt;"")*ISNUMBER(SEARCH(실물목록!$P$2:$P$1001,I1350))*(실물목록!$Q$2:$Q$1001&lt;&gt;"")*ISNUMBER(SEARCH(실물목록!$Q$2:$Q$1001,I1350))*(실물목록!$R$2:$R$1001="")*(실물목록!$O$2:$O$1001&lt;&gt;"")*(실물목록!$O$2:$O$1001=H1350))&gt;0,"실물 있음",IF(SUMPRODUCT((실물목록!$P$2:$P$1001&lt;&gt;"")*ISNUMBER(SEARCH(실물목록!$P$2:$P$1001,I1350))*(실물목록!$R$2:$R$1001&lt;&gt;""))&gt;0,"확인필요(입력누락)",IF(SUMPRODUCT((실물목록!$P$2:$P$1001&lt;&gt;"")*ISNUMBER(SEARCH(실물목록!$P$2:$P$1001,I1350))*(실물목록!$Q$2:$Q$1001&lt;&gt;"")*ISNUMBER(SEARCH(실물목록!$Q$2:$Q$1001,I1350))*(실물목록!$R$2:$R$1001="")*(실물목록!$O$2:$O$1001&lt;&gt;""))&gt;0,"확인필요(연도다름)","실물 없음")))))</f>
      </c>
      <c r="G1350" t="n" s="16">
        <f aca="0">IF(B1350="","",SUMPRODUCT((실물목록!$P$2:$P$1001&lt;&gt;"")*ISNUMBER(SEARCH(실물목록!$P$2:$P$1001,I1350))*(실물목록!$Q$2:$Q$1001&lt;&gt;"")*ISNUMBER(SEARCH(실물목록!$Q$2:$Q$1001,I1350))*(실물목록!$R$2:$R$1001="")*(실물목록!$O$2:$O$1001&lt;&gt;"")*(실물목록!$O$2:$O$1001=H1350)))</f>
      </c>
      <c r="H1350" t="str">
        <f>IFERROR(IF(AND(LEN(SUBSTITUTE(SUBSTITUTE(SUBSTITUTE(TRIM(A1350&amp;""),CHAR(160),"")," ",""),"년",""))=4,VALUE(SUBSTITUTE(SUBSTITUTE(SUBSTITUTE(TRIM(A1350&amp;""),CHAR(160),"")," ",""),"년",""))&gt;=1900,VALUE(SUBSTITUTE(SUBSTITUTE(SUBSTITUTE(TRIM(A1350&amp;""),CHAR(160),"")," ",""),"년",""))&lt;=2099,TEXT(VALUE(SUBSTITUTE(SUBSTITUTE(SUBSTITUTE(TRIM(A1350&amp;""),CHAR(160),"")," ",""),"년","")),"0000")=SUBSTITUTE(SUBSTITUTE(SUBSTITUTE(TRIM(A1350&amp;""),CHAR(160),"")," ",""),"년","")),SUBSTITUTE(SUBSTITUTE(SUBSTITUTE(TRIM(A1350&amp;""),CHAR(160),"")," ",""),"년",""),""),"")</f>
      </c>
      <c r="I1350" t="str">
        <f>SUBSTITUTE(SUBSTITUTE(SUBSTITUTE(SUBSTITUTE(SUBSTITUTE(TRIM(B1350&amp;""),CHAR(160),"")," ",""),"초등학교","초"),"중학교","중"),"고등학교","고")</f>
      </c>
    </row>
    <row r="1351" customFormat="false" ht="15" hidden="false" customHeight="false" outlineLevel="0" collapsed="false">
      <c r="A1351" s="8"/>
      <c r="B1351" s="8"/>
      <c r="C1351" s="8"/>
      <c r="D1351" s="8"/>
      <c r="E1351" s="8"/>
      <c r="F1351" t="str" s="15">
        <f aca="0">IF(B1351="","",IF(H1351="","확인필요(입력누락)",IF(SUMPRODUCT((실물목록!$P$2:$P$1001&lt;&gt;"")*ISNUMBER(SEARCH(실물목록!$P$2:$P$1001,I1351))*(실물목록!$Q$2:$Q$1001&lt;&gt;"")*ISNUMBER(SEARCH(실물목록!$Q$2:$Q$1001,I1351))*(실물목록!$R$2:$R$1001="")*(실물목록!$O$2:$O$1001&lt;&gt;"")*(실물목록!$O$2:$O$1001=H1351))&gt;0,"실물 있음",IF(SUMPRODUCT((실물목록!$P$2:$P$1001&lt;&gt;"")*ISNUMBER(SEARCH(실물목록!$P$2:$P$1001,I1351))*(실물목록!$R$2:$R$1001&lt;&gt;""))&gt;0,"확인필요(입력누락)",IF(SUMPRODUCT((실물목록!$P$2:$P$1001&lt;&gt;"")*ISNUMBER(SEARCH(실물목록!$P$2:$P$1001,I1351))*(실물목록!$Q$2:$Q$1001&lt;&gt;"")*ISNUMBER(SEARCH(실물목록!$Q$2:$Q$1001,I1351))*(실물목록!$R$2:$R$1001="")*(실물목록!$O$2:$O$1001&lt;&gt;""))&gt;0,"확인필요(연도다름)","실물 없음")))))</f>
      </c>
      <c r="G1351" t="n" s="16">
        <f aca="0">IF(B1351="","",SUMPRODUCT((실물목록!$P$2:$P$1001&lt;&gt;"")*ISNUMBER(SEARCH(실물목록!$P$2:$P$1001,I1351))*(실물목록!$Q$2:$Q$1001&lt;&gt;"")*ISNUMBER(SEARCH(실물목록!$Q$2:$Q$1001,I1351))*(실물목록!$R$2:$R$1001="")*(실물목록!$O$2:$O$1001&lt;&gt;"")*(실물목록!$O$2:$O$1001=H1351)))</f>
      </c>
      <c r="H1351" t="str">
        <f>IFERROR(IF(AND(LEN(SUBSTITUTE(SUBSTITUTE(SUBSTITUTE(TRIM(A1351&amp;""),CHAR(160),"")," ",""),"년",""))=4,VALUE(SUBSTITUTE(SUBSTITUTE(SUBSTITUTE(TRIM(A1351&amp;""),CHAR(160),"")," ",""),"년",""))&gt;=1900,VALUE(SUBSTITUTE(SUBSTITUTE(SUBSTITUTE(TRIM(A1351&amp;""),CHAR(160),"")," ",""),"년",""))&lt;=2099,TEXT(VALUE(SUBSTITUTE(SUBSTITUTE(SUBSTITUTE(TRIM(A1351&amp;""),CHAR(160),"")," ",""),"년","")),"0000")=SUBSTITUTE(SUBSTITUTE(SUBSTITUTE(TRIM(A1351&amp;""),CHAR(160),"")," ",""),"년","")),SUBSTITUTE(SUBSTITUTE(SUBSTITUTE(TRIM(A1351&amp;""),CHAR(160),"")," ",""),"년",""),""),"")</f>
      </c>
      <c r="I1351" t="str">
        <f>SUBSTITUTE(SUBSTITUTE(SUBSTITUTE(SUBSTITUTE(SUBSTITUTE(TRIM(B1351&amp;""),CHAR(160),"")," ",""),"초등학교","초"),"중학교","중"),"고등학교","고")</f>
      </c>
    </row>
    <row r="1352" customFormat="false" ht="15" hidden="false" customHeight="false" outlineLevel="0" collapsed="false">
      <c r="A1352" s="8"/>
      <c r="B1352" s="8"/>
      <c r="C1352" s="8"/>
      <c r="D1352" s="8"/>
      <c r="E1352" s="8"/>
      <c r="F1352" t="str" s="15">
        <f aca="0">IF(B1352="","",IF(H1352="","확인필요(입력누락)",IF(SUMPRODUCT((실물목록!$P$2:$P$1001&lt;&gt;"")*ISNUMBER(SEARCH(실물목록!$P$2:$P$1001,I1352))*(실물목록!$Q$2:$Q$1001&lt;&gt;"")*ISNUMBER(SEARCH(실물목록!$Q$2:$Q$1001,I1352))*(실물목록!$R$2:$R$1001="")*(실물목록!$O$2:$O$1001&lt;&gt;"")*(실물목록!$O$2:$O$1001=H1352))&gt;0,"실물 있음",IF(SUMPRODUCT((실물목록!$P$2:$P$1001&lt;&gt;"")*ISNUMBER(SEARCH(실물목록!$P$2:$P$1001,I1352))*(실물목록!$R$2:$R$1001&lt;&gt;""))&gt;0,"확인필요(입력누락)",IF(SUMPRODUCT((실물목록!$P$2:$P$1001&lt;&gt;"")*ISNUMBER(SEARCH(실물목록!$P$2:$P$1001,I1352))*(실물목록!$Q$2:$Q$1001&lt;&gt;"")*ISNUMBER(SEARCH(실물목록!$Q$2:$Q$1001,I1352))*(실물목록!$R$2:$R$1001="")*(실물목록!$O$2:$O$1001&lt;&gt;""))&gt;0,"확인필요(연도다름)","실물 없음")))))</f>
      </c>
      <c r="G1352" t="n" s="16">
        <f aca="0">IF(B1352="","",SUMPRODUCT((실물목록!$P$2:$P$1001&lt;&gt;"")*ISNUMBER(SEARCH(실물목록!$P$2:$P$1001,I1352))*(실물목록!$Q$2:$Q$1001&lt;&gt;"")*ISNUMBER(SEARCH(실물목록!$Q$2:$Q$1001,I1352))*(실물목록!$R$2:$R$1001="")*(실물목록!$O$2:$O$1001&lt;&gt;"")*(실물목록!$O$2:$O$1001=H1352)))</f>
      </c>
      <c r="H1352" t="str">
        <f>IFERROR(IF(AND(LEN(SUBSTITUTE(SUBSTITUTE(SUBSTITUTE(TRIM(A1352&amp;""),CHAR(160),"")," ",""),"년",""))=4,VALUE(SUBSTITUTE(SUBSTITUTE(SUBSTITUTE(TRIM(A1352&amp;""),CHAR(160),"")," ",""),"년",""))&gt;=1900,VALUE(SUBSTITUTE(SUBSTITUTE(SUBSTITUTE(TRIM(A1352&amp;""),CHAR(160),"")," ",""),"년",""))&lt;=2099,TEXT(VALUE(SUBSTITUTE(SUBSTITUTE(SUBSTITUTE(TRIM(A1352&amp;""),CHAR(160),"")," ",""),"년","")),"0000")=SUBSTITUTE(SUBSTITUTE(SUBSTITUTE(TRIM(A1352&amp;""),CHAR(160),"")," ",""),"년","")),SUBSTITUTE(SUBSTITUTE(SUBSTITUTE(TRIM(A1352&amp;""),CHAR(160),"")," ",""),"년",""),""),"")</f>
      </c>
      <c r="I1352" t="str">
        <f>SUBSTITUTE(SUBSTITUTE(SUBSTITUTE(SUBSTITUTE(SUBSTITUTE(TRIM(B1352&amp;""),CHAR(160),"")," ",""),"초등학교","초"),"중학교","중"),"고등학교","고")</f>
      </c>
    </row>
    <row r="1353" customFormat="false" ht="15" hidden="false" customHeight="false" outlineLevel="0" collapsed="false">
      <c r="A1353" s="8"/>
      <c r="B1353" s="8"/>
      <c r="C1353" s="8"/>
      <c r="D1353" s="8"/>
      <c r="E1353" s="8"/>
      <c r="F1353" t="str" s="15">
        <f aca="0">IF(B1353="","",IF(H1353="","확인필요(입력누락)",IF(SUMPRODUCT((실물목록!$P$2:$P$1001&lt;&gt;"")*ISNUMBER(SEARCH(실물목록!$P$2:$P$1001,I1353))*(실물목록!$Q$2:$Q$1001&lt;&gt;"")*ISNUMBER(SEARCH(실물목록!$Q$2:$Q$1001,I1353))*(실물목록!$R$2:$R$1001="")*(실물목록!$O$2:$O$1001&lt;&gt;"")*(실물목록!$O$2:$O$1001=H1353))&gt;0,"실물 있음",IF(SUMPRODUCT((실물목록!$P$2:$P$1001&lt;&gt;"")*ISNUMBER(SEARCH(실물목록!$P$2:$P$1001,I1353))*(실물목록!$R$2:$R$1001&lt;&gt;""))&gt;0,"확인필요(입력누락)",IF(SUMPRODUCT((실물목록!$P$2:$P$1001&lt;&gt;"")*ISNUMBER(SEARCH(실물목록!$P$2:$P$1001,I1353))*(실물목록!$Q$2:$Q$1001&lt;&gt;"")*ISNUMBER(SEARCH(실물목록!$Q$2:$Q$1001,I1353))*(실물목록!$R$2:$R$1001="")*(실물목록!$O$2:$O$1001&lt;&gt;""))&gt;0,"확인필요(연도다름)","실물 없음")))))</f>
      </c>
      <c r="G1353" t="n" s="16">
        <f aca="0">IF(B1353="","",SUMPRODUCT((실물목록!$P$2:$P$1001&lt;&gt;"")*ISNUMBER(SEARCH(실물목록!$P$2:$P$1001,I1353))*(실물목록!$Q$2:$Q$1001&lt;&gt;"")*ISNUMBER(SEARCH(실물목록!$Q$2:$Q$1001,I1353))*(실물목록!$R$2:$R$1001="")*(실물목록!$O$2:$O$1001&lt;&gt;"")*(실물목록!$O$2:$O$1001=H1353)))</f>
      </c>
      <c r="H1353" t="str">
        <f>IFERROR(IF(AND(LEN(SUBSTITUTE(SUBSTITUTE(SUBSTITUTE(TRIM(A1353&amp;""),CHAR(160),"")," ",""),"년",""))=4,VALUE(SUBSTITUTE(SUBSTITUTE(SUBSTITUTE(TRIM(A1353&amp;""),CHAR(160),"")," ",""),"년",""))&gt;=1900,VALUE(SUBSTITUTE(SUBSTITUTE(SUBSTITUTE(TRIM(A1353&amp;""),CHAR(160),"")," ",""),"년",""))&lt;=2099,TEXT(VALUE(SUBSTITUTE(SUBSTITUTE(SUBSTITUTE(TRIM(A1353&amp;""),CHAR(160),"")," ",""),"년","")),"0000")=SUBSTITUTE(SUBSTITUTE(SUBSTITUTE(TRIM(A1353&amp;""),CHAR(160),"")," ",""),"년","")),SUBSTITUTE(SUBSTITUTE(SUBSTITUTE(TRIM(A1353&amp;""),CHAR(160),"")," ",""),"년",""),""),"")</f>
      </c>
      <c r="I1353" t="str">
        <f>SUBSTITUTE(SUBSTITUTE(SUBSTITUTE(SUBSTITUTE(SUBSTITUTE(TRIM(B1353&amp;""),CHAR(160),"")," ",""),"초등학교","초"),"중학교","중"),"고등학교","고")</f>
      </c>
    </row>
    <row r="1354" customFormat="false" ht="15" hidden="false" customHeight="false" outlineLevel="0" collapsed="false">
      <c r="A1354" s="8"/>
      <c r="B1354" s="8"/>
      <c r="C1354" s="8"/>
      <c r="D1354" s="8"/>
      <c r="E1354" s="8"/>
      <c r="F1354" t="str" s="15">
        <f aca="0">IF(B1354="","",IF(H1354="","확인필요(입력누락)",IF(SUMPRODUCT((실물목록!$P$2:$P$1001&lt;&gt;"")*ISNUMBER(SEARCH(실물목록!$P$2:$P$1001,I1354))*(실물목록!$Q$2:$Q$1001&lt;&gt;"")*ISNUMBER(SEARCH(실물목록!$Q$2:$Q$1001,I1354))*(실물목록!$R$2:$R$1001="")*(실물목록!$O$2:$O$1001&lt;&gt;"")*(실물목록!$O$2:$O$1001=H1354))&gt;0,"실물 있음",IF(SUMPRODUCT((실물목록!$P$2:$P$1001&lt;&gt;"")*ISNUMBER(SEARCH(실물목록!$P$2:$P$1001,I1354))*(실물목록!$R$2:$R$1001&lt;&gt;""))&gt;0,"확인필요(입력누락)",IF(SUMPRODUCT((실물목록!$P$2:$P$1001&lt;&gt;"")*ISNUMBER(SEARCH(실물목록!$P$2:$P$1001,I1354))*(실물목록!$Q$2:$Q$1001&lt;&gt;"")*ISNUMBER(SEARCH(실물목록!$Q$2:$Q$1001,I1354))*(실물목록!$R$2:$R$1001="")*(실물목록!$O$2:$O$1001&lt;&gt;""))&gt;0,"확인필요(연도다름)","실물 없음")))))</f>
      </c>
      <c r="G1354" t="n" s="16">
        <f aca="0">IF(B1354="","",SUMPRODUCT((실물목록!$P$2:$P$1001&lt;&gt;"")*ISNUMBER(SEARCH(실물목록!$P$2:$P$1001,I1354))*(실물목록!$Q$2:$Q$1001&lt;&gt;"")*ISNUMBER(SEARCH(실물목록!$Q$2:$Q$1001,I1354))*(실물목록!$R$2:$R$1001="")*(실물목록!$O$2:$O$1001&lt;&gt;"")*(실물목록!$O$2:$O$1001=H1354)))</f>
      </c>
      <c r="H1354" t="str">
        <f>IFERROR(IF(AND(LEN(SUBSTITUTE(SUBSTITUTE(SUBSTITUTE(TRIM(A1354&amp;""),CHAR(160),"")," ",""),"년",""))=4,VALUE(SUBSTITUTE(SUBSTITUTE(SUBSTITUTE(TRIM(A1354&amp;""),CHAR(160),"")," ",""),"년",""))&gt;=1900,VALUE(SUBSTITUTE(SUBSTITUTE(SUBSTITUTE(TRIM(A1354&amp;""),CHAR(160),"")," ",""),"년",""))&lt;=2099,TEXT(VALUE(SUBSTITUTE(SUBSTITUTE(SUBSTITUTE(TRIM(A1354&amp;""),CHAR(160),"")," ",""),"년","")),"0000")=SUBSTITUTE(SUBSTITUTE(SUBSTITUTE(TRIM(A1354&amp;""),CHAR(160),"")," ",""),"년","")),SUBSTITUTE(SUBSTITUTE(SUBSTITUTE(TRIM(A1354&amp;""),CHAR(160),"")," ",""),"년",""),""),"")</f>
      </c>
      <c r="I1354" t="str">
        <f>SUBSTITUTE(SUBSTITUTE(SUBSTITUTE(SUBSTITUTE(SUBSTITUTE(TRIM(B1354&amp;""),CHAR(160),"")," ",""),"초등학교","초"),"중학교","중"),"고등학교","고")</f>
      </c>
    </row>
    <row r="1355" customFormat="false" ht="15" hidden="false" customHeight="false" outlineLevel="0" collapsed="false">
      <c r="A1355" s="8"/>
      <c r="B1355" s="8"/>
      <c r="C1355" s="8"/>
      <c r="D1355" s="8"/>
      <c r="E1355" s="8"/>
      <c r="F1355" t="str" s="15">
        <f aca="0">IF(B1355="","",IF(H1355="","확인필요(입력누락)",IF(SUMPRODUCT((실물목록!$P$2:$P$1001&lt;&gt;"")*ISNUMBER(SEARCH(실물목록!$P$2:$P$1001,I1355))*(실물목록!$Q$2:$Q$1001&lt;&gt;"")*ISNUMBER(SEARCH(실물목록!$Q$2:$Q$1001,I1355))*(실물목록!$R$2:$R$1001="")*(실물목록!$O$2:$O$1001&lt;&gt;"")*(실물목록!$O$2:$O$1001=H1355))&gt;0,"실물 있음",IF(SUMPRODUCT((실물목록!$P$2:$P$1001&lt;&gt;"")*ISNUMBER(SEARCH(실물목록!$P$2:$P$1001,I1355))*(실물목록!$R$2:$R$1001&lt;&gt;""))&gt;0,"확인필요(입력누락)",IF(SUMPRODUCT((실물목록!$P$2:$P$1001&lt;&gt;"")*ISNUMBER(SEARCH(실물목록!$P$2:$P$1001,I1355))*(실물목록!$Q$2:$Q$1001&lt;&gt;"")*ISNUMBER(SEARCH(실물목록!$Q$2:$Q$1001,I1355))*(실물목록!$R$2:$R$1001="")*(실물목록!$O$2:$O$1001&lt;&gt;""))&gt;0,"확인필요(연도다름)","실물 없음")))))</f>
      </c>
      <c r="G1355" t="n" s="16">
        <f aca="0">IF(B1355="","",SUMPRODUCT((실물목록!$P$2:$P$1001&lt;&gt;"")*ISNUMBER(SEARCH(실물목록!$P$2:$P$1001,I1355))*(실물목록!$Q$2:$Q$1001&lt;&gt;"")*ISNUMBER(SEARCH(실물목록!$Q$2:$Q$1001,I1355))*(실물목록!$R$2:$R$1001="")*(실물목록!$O$2:$O$1001&lt;&gt;"")*(실물목록!$O$2:$O$1001=H1355)))</f>
      </c>
      <c r="H1355" t="str">
        <f>IFERROR(IF(AND(LEN(SUBSTITUTE(SUBSTITUTE(SUBSTITUTE(TRIM(A1355&amp;""),CHAR(160),"")," ",""),"년",""))=4,VALUE(SUBSTITUTE(SUBSTITUTE(SUBSTITUTE(TRIM(A1355&amp;""),CHAR(160),"")," ",""),"년",""))&gt;=1900,VALUE(SUBSTITUTE(SUBSTITUTE(SUBSTITUTE(TRIM(A1355&amp;""),CHAR(160),"")," ",""),"년",""))&lt;=2099,TEXT(VALUE(SUBSTITUTE(SUBSTITUTE(SUBSTITUTE(TRIM(A1355&amp;""),CHAR(160),"")," ",""),"년","")),"0000")=SUBSTITUTE(SUBSTITUTE(SUBSTITUTE(TRIM(A1355&amp;""),CHAR(160),"")," ",""),"년","")),SUBSTITUTE(SUBSTITUTE(SUBSTITUTE(TRIM(A1355&amp;""),CHAR(160),"")," ",""),"년",""),""),"")</f>
      </c>
      <c r="I1355" t="str">
        <f>SUBSTITUTE(SUBSTITUTE(SUBSTITUTE(SUBSTITUTE(SUBSTITUTE(TRIM(B1355&amp;""),CHAR(160),"")," ",""),"초등학교","초"),"중학교","중"),"고등학교","고")</f>
      </c>
    </row>
    <row r="1356" customFormat="false" ht="15" hidden="false" customHeight="false" outlineLevel="0" collapsed="false">
      <c r="A1356" s="8"/>
      <c r="B1356" s="8"/>
      <c r="C1356" s="8"/>
      <c r="D1356" s="8"/>
      <c r="E1356" s="8"/>
      <c r="F1356" t="str" s="15">
        <f aca="0">IF(B1356="","",IF(H1356="","확인필요(입력누락)",IF(SUMPRODUCT((실물목록!$P$2:$P$1001&lt;&gt;"")*ISNUMBER(SEARCH(실물목록!$P$2:$P$1001,I1356))*(실물목록!$Q$2:$Q$1001&lt;&gt;"")*ISNUMBER(SEARCH(실물목록!$Q$2:$Q$1001,I1356))*(실물목록!$R$2:$R$1001="")*(실물목록!$O$2:$O$1001&lt;&gt;"")*(실물목록!$O$2:$O$1001=H1356))&gt;0,"실물 있음",IF(SUMPRODUCT((실물목록!$P$2:$P$1001&lt;&gt;"")*ISNUMBER(SEARCH(실물목록!$P$2:$P$1001,I1356))*(실물목록!$R$2:$R$1001&lt;&gt;""))&gt;0,"확인필요(입력누락)",IF(SUMPRODUCT((실물목록!$P$2:$P$1001&lt;&gt;"")*ISNUMBER(SEARCH(실물목록!$P$2:$P$1001,I1356))*(실물목록!$Q$2:$Q$1001&lt;&gt;"")*ISNUMBER(SEARCH(실물목록!$Q$2:$Q$1001,I1356))*(실물목록!$R$2:$R$1001="")*(실물목록!$O$2:$O$1001&lt;&gt;""))&gt;0,"확인필요(연도다름)","실물 없음")))))</f>
      </c>
      <c r="G1356" t="n" s="16">
        <f aca="0">IF(B1356="","",SUMPRODUCT((실물목록!$P$2:$P$1001&lt;&gt;"")*ISNUMBER(SEARCH(실물목록!$P$2:$P$1001,I1356))*(실물목록!$Q$2:$Q$1001&lt;&gt;"")*ISNUMBER(SEARCH(실물목록!$Q$2:$Q$1001,I1356))*(실물목록!$R$2:$R$1001="")*(실물목록!$O$2:$O$1001&lt;&gt;"")*(실물목록!$O$2:$O$1001=H1356)))</f>
      </c>
      <c r="H1356" t="str">
        <f>IFERROR(IF(AND(LEN(SUBSTITUTE(SUBSTITUTE(SUBSTITUTE(TRIM(A1356&amp;""),CHAR(160),"")," ",""),"년",""))=4,VALUE(SUBSTITUTE(SUBSTITUTE(SUBSTITUTE(TRIM(A1356&amp;""),CHAR(160),"")," ",""),"년",""))&gt;=1900,VALUE(SUBSTITUTE(SUBSTITUTE(SUBSTITUTE(TRIM(A1356&amp;""),CHAR(160),"")," ",""),"년",""))&lt;=2099,TEXT(VALUE(SUBSTITUTE(SUBSTITUTE(SUBSTITUTE(TRIM(A1356&amp;""),CHAR(160),"")," ",""),"년","")),"0000")=SUBSTITUTE(SUBSTITUTE(SUBSTITUTE(TRIM(A1356&amp;""),CHAR(160),"")," ",""),"년","")),SUBSTITUTE(SUBSTITUTE(SUBSTITUTE(TRIM(A1356&amp;""),CHAR(160),"")," ",""),"년",""),""),"")</f>
      </c>
      <c r="I1356" t="str">
        <f>SUBSTITUTE(SUBSTITUTE(SUBSTITUTE(SUBSTITUTE(SUBSTITUTE(TRIM(B1356&amp;""),CHAR(160),"")," ",""),"초등학교","초"),"중학교","중"),"고등학교","고")</f>
      </c>
    </row>
    <row r="1357" customFormat="false" ht="15" hidden="false" customHeight="false" outlineLevel="0" collapsed="false">
      <c r="A1357" s="8"/>
      <c r="B1357" s="8"/>
      <c r="C1357" s="8"/>
      <c r="D1357" s="8"/>
      <c r="E1357" s="8"/>
      <c r="F1357" t="str" s="15">
        <f aca="0">IF(B1357="","",IF(H1357="","확인필요(입력누락)",IF(SUMPRODUCT((실물목록!$P$2:$P$1001&lt;&gt;"")*ISNUMBER(SEARCH(실물목록!$P$2:$P$1001,I1357))*(실물목록!$Q$2:$Q$1001&lt;&gt;"")*ISNUMBER(SEARCH(실물목록!$Q$2:$Q$1001,I1357))*(실물목록!$R$2:$R$1001="")*(실물목록!$O$2:$O$1001&lt;&gt;"")*(실물목록!$O$2:$O$1001=H1357))&gt;0,"실물 있음",IF(SUMPRODUCT((실물목록!$P$2:$P$1001&lt;&gt;"")*ISNUMBER(SEARCH(실물목록!$P$2:$P$1001,I1357))*(실물목록!$R$2:$R$1001&lt;&gt;""))&gt;0,"확인필요(입력누락)",IF(SUMPRODUCT((실물목록!$P$2:$P$1001&lt;&gt;"")*ISNUMBER(SEARCH(실물목록!$P$2:$P$1001,I1357))*(실물목록!$Q$2:$Q$1001&lt;&gt;"")*ISNUMBER(SEARCH(실물목록!$Q$2:$Q$1001,I1357))*(실물목록!$R$2:$R$1001="")*(실물목록!$O$2:$O$1001&lt;&gt;""))&gt;0,"확인필요(연도다름)","실물 없음")))))</f>
      </c>
      <c r="G1357" t="n" s="16">
        <f aca="0">IF(B1357="","",SUMPRODUCT((실물목록!$P$2:$P$1001&lt;&gt;"")*ISNUMBER(SEARCH(실물목록!$P$2:$P$1001,I1357))*(실물목록!$Q$2:$Q$1001&lt;&gt;"")*ISNUMBER(SEARCH(실물목록!$Q$2:$Q$1001,I1357))*(실물목록!$R$2:$R$1001="")*(실물목록!$O$2:$O$1001&lt;&gt;"")*(실물목록!$O$2:$O$1001=H1357)))</f>
      </c>
      <c r="H1357" t="str">
        <f>IFERROR(IF(AND(LEN(SUBSTITUTE(SUBSTITUTE(SUBSTITUTE(TRIM(A1357&amp;""),CHAR(160),"")," ",""),"년",""))=4,VALUE(SUBSTITUTE(SUBSTITUTE(SUBSTITUTE(TRIM(A1357&amp;""),CHAR(160),"")," ",""),"년",""))&gt;=1900,VALUE(SUBSTITUTE(SUBSTITUTE(SUBSTITUTE(TRIM(A1357&amp;""),CHAR(160),"")," ",""),"년",""))&lt;=2099,TEXT(VALUE(SUBSTITUTE(SUBSTITUTE(SUBSTITUTE(TRIM(A1357&amp;""),CHAR(160),"")," ",""),"년","")),"0000")=SUBSTITUTE(SUBSTITUTE(SUBSTITUTE(TRIM(A1357&amp;""),CHAR(160),"")," ",""),"년","")),SUBSTITUTE(SUBSTITUTE(SUBSTITUTE(TRIM(A1357&amp;""),CHAR(160),"")," ",""),"년",""),""),"")</f>
      </c>
      <c r="I1357" t="str">
        <f>SUBSTITUTE(SUBSTITUTE(SUBSTITUTE(SUBSTITUTE(SUBSTITUTE(TRIM(B1357&amp;""),CHAR(160),"")," ",""),"초등학교","초"),"중학교","중"),"고등학교","고")</f>
      </c>
    </row>
    <row r="1358" customFormat="false" ht="15" hidden="false" customHeight="false" outlineLevel="0" collapsed="false">
      <c r="A1358" s="8"/>
      <c r="B1358" s="8"/>
      <c r="C1358" s="8"/>
      <c r="D1358" s="8"/>
      <c r="E1358" s="8"/>
      <c r="F1358" t="str" s="15">
        <f aca="0">IF(B1358="","",IF(H1358="","확인필요(입력누락)",IF(SUMPRODUCT((실물목록!$P$2:$P$1001&lt;&gt;"")*ISNUMBER(SEARCH(실물목록!$P$2:$P$1001,I1358))*(실물목록!$Q$2:$Q$1001&lt;&gt;"")*ISNUMBER(SEARCH(실물목록!$Q$2:$Q$1001,I1358))*(실물목록!$R$2:$R$1001="")*(실물목록!$O$2:$O$1001&lt;&gt;"")*(실물목록!$O$2:$O$1001=H1358))&gt;0,"실물 있음",IF(SUMPRODUCT((실물목록!$P$2:$P$1001&lt;&gt;"")*ISNUMBER(SEARCH(실물목록!$P$2:$P$1001,I1358))*(실물목록!$R$2:$R$1001&lt;&gt;""))&gt;0,"확인필요(입력누락)",IF(SUMPRODUCT((실물목록!$P$2:$P$1001&lt;&gt;"")*ISNUMBER(SEARCH(실물목록!$P$2:$P$1001,I1358))*(실물목록!$Q$2:$Q$1001&lt;&gt;"")*ISNUMBER(SEARCH(실물목록!$Q$2:$Q$1001,I1358))*(실물목록!$R$2:$R$1001="")*(실물목록!$O$2:$O$1001&lt;&gt;""))&gt;0,"확인필요(연도다름)","실물 없음")))))</f>
      </c>
      <c r="G1358" t="n" s="16">
        <f aca="0">IF(B1358="","",SUMPRODUCT((실물목록!$P$2:$P$1001&lt;&gt;"")*ISNUMBER(SEARCH(실물목록!$P$2:$P$1001,I1358))*(실물목록!$Q$2:$Q$1001&lt;&gt;"")*ISNUMBER(SEARCH(실물목록!$Q$2:$Q$1001,I1358))*(실물목록!$R$2:$R$1001="")*(실물목록!$O$2:$O$1001&lt;&gt;"")*(실물목록!$O$2:$O$1001=H1358)))</f>
      </c>
      <c r="H1358" t="str">
        <f>IFERROR(IF(AND(LEN(SUBSTITUTE(SUBSTITUTE(SUBSTITUTE(TRIM(A1358&amp;""),CHAR(160),"")," ",""),"년",""))=4,VALUE(SUBSTITUTE(SUBSTITUTE(SUBSTITUTE(TRIM(A1358&amp;""),CHAR(160),"")," ",""),"년",""))&gt;=1900,VALUE(SUBSTITUTE(SUBSTITUTE(SUBSTITUTE(TRIM(A1358&amp;""),CHAR(160),"")," ",""),"년",""))&lt;=2099,TEXT(VALUE(SUBSTITUTE(SUBSTITUTE(SUBSTITUTE(TRIM(A1358&amp;""),CHAR(160),"")," ",""),"년","")),"0000")=SUBSTITUTE(SUBSTITUTE(SUBSTITUTE(TRIM(A1358&amp;""),CHAR(160),"")," ",""),"년","")),SUBSTITUTE(SUBSTITUTE(SUBSTITUTE(TRIM(A1358&amp;""),CHAR(160),"")," ",""),"년",""),""),"")</f>
      </c>
      <c r="I1358" t="str">
        <f>SUBSTITUTE(SUBSTITUTE(SUBSTITUTE(SUBSTITUTE(SUBSTITUTE(TRIM(B1358&amp;""),CHAR(160),"")," ",""),"초등학교","초"),"중학교","중"),"고등학교","고")</f>
      </c>
    </row>
    <row r="1359" customFormat="false" ht="15" hidden="false" customHeight="false" outlineLevel="0" collapsed="false">
      <c r="A1359" s="8"/>
      <c r="B1359" s="8"/>
      <c r="C1359" s="8"/>
      <c r="D1359" s="8"/>
      <c r="E1359" s="8"/>
      <c r="F1359" t="str" s="15">
        <f aca="0">IF(B1359="","",IF(H1359="","확인필요(입력누락)",IF(SUMPRODUCT((실물목록!$P$2:$P$1001&lt;&gt;"")*ISNUMBER(SEARCH(실물목록!$P$2:$P$1001,I1359))*(실물목록!$Q$2:$Q$1001&lt;&gt;"")*ISNUMBER(SEARCH(실물목록!$Q$2:$Q$1001,I1359))*(실물목록!$R$2:$R$1001="")*(실물목록!$O$2:$O$1001&lt;&gt;"")*(실물목록!$O$2:$O$1001=H1359))&gt;0,"실물 있음",IF(SUMPRODUCT((실물목록!$P$2:$P$1001&lt;&gt;"")*ISNUMBER(SEARCH(실물목록!$P$2:$P$1001,I1359))*(실물목록!$R$2:$R$1001&lt;&gt;""))&gt;0,"확인필요(입력누락)",IF(SUMPRODUCT((실물목록!$P$2:$P$1001&lt;&gt;"")*ISNUMBER(SEARCH(실물목록!$P$2:$P$1001,I1359))*(실물목록!$Q$2:$Q$1001&lt;&gt;"")*ISNUMBER(SEARCH(실물목록!$Q$2:$Q$1001,I1359))*(실물목록!$R$2:$R$1001="")*(실물목록!$O$2:$O$1001&lt;&gt;""))&gt;0,"확인필요(연도다름)","실물 없음")))))</f>
      </c>
      <c r="G1359" t="n" s="16">
        <f aca="0">IF(B1359="","",SUMPRODUCT((실물목록!$P$2:$P$1001&lt;&gt;"")*ISNUMBER(SEARCH(실물목록!$P$2:$P$1001,I1359))*(실물목록!$Q$2:$Q$1001&lt;&gt;"")*ISNUMBER(SEARCH(실물목록!$Q$2:$Q$1001,I1359))*(실물목록!$R$2:$R$1001="")*(실물목록!$O$2:$O$1001&lt;&gt;"")*(실물목록!$O$2:$O$1001=H1359)))</f>
      </c>
      <c r="H1359" t="str">
        <f>IFERROR(IF(AND(LEN(SUBSTITUTE(SUBSTITUTE(SUBSTITUTE(TRIM(A1359&amp;""),CHAR(160),"")," ",""),"년",""))=4,VALUE(SUBSTITUTE(SUBSTITUTE(SUBSTITUTE(TRIM(A1359&amp;""),CHAR(160),"")," ",""),"년",""))&gt;=1900,VALUE(SUBSTITUTE(SUBSTITUTE(SUBSTITUTE(TRIM(A1359&amp;""),CHAR(160),"")," ",""),"년",""))&lt;=2099,TEXT(VALUE(SUBSTITUTE(SUBSTITUTE(SUBSTITUTE(TRIM(A1359&amp;""),CHAR(160),"")," ",""),"년","")),"0000")=SUBSTITUTE(SUBSTITUTE(SUBSTITUTE(TRIM(A1359&amp;""),CHAR(160),"")," ",""),"년","")),SUBSTITUTE(SUBSTITUTE(SUBSTITUTE(TRIM(A1359&amp;""),CHAR(160),"")," ",""),"년",""),""),"")</f>
      </c>
      <c r="I1359" t="str">
        <f>SUBSTITUTE(SUBSTITUTE(SUBSTITUTE(SUBSTITUTE(SUBSTITUTE(TRIM(B1359&amp;""),CHAR(160),"")," ",""),"초등학교","초"),"중학교","중"),"고등학교","고")</f>
      </c>
    </row>
    <row r="1360" customFormat="false" ht="15" hidden="false" customHeight="false" outlineLevel="0" collapsed="false">
      <c r="A1360" s="8"/>
      <c r="B1360" s="8"/>
      <c r="C1360" s="8"/>
      <c r="D1360" s="8"/>
      <c r="E1360" s="8"/>
      <c r="F1360" t="str" s="15">
        <f aca="0">IF(B1360="","",IF(H1360="","확인필요(입력누락)",IF(SUMPRODUCT((실물목록!$P$2:$P$1001&lt;&gt;"")*ISNUMBER(SEARCH(실물목록!$P$2:$P$1001,I1360))*(실물목록!$Q$2:$Q$1001&lt;&gt;"")*ISNUMBER(SEARCH(실물목록!$Q$2:$Q$1001,I1360))*(실물목록!$R$2:$R$1001="")*(실물목록!$O$2:$O$1001&lt;&gt;"")*(실물목록!$O$2:$O$1001=H1360))&gt;0,"실물 있음",IF(SUMPRODUCT((실물목록!$P$2:$P$1001&lt;&gt;"")*ISNUMBER(SEARCH(실물목록!$P$2:$P$1001,I1360))*(실물목록!$R$2:$R$1001&lt;&gt;""))&gt;0,"확인필요(입력누락)",IF(SUMPRODUCT((실물목록!$P$2:$P$1001&lt;&gt;"")*ISNUMBER(SEARCH(실물목록!$P$2:$P$1001,I1360))*(실물목록!$Q$2:$Q$1001&lt;&gt;"")*ISNUMBER(SEARCH(실물목록!$Q$2:$Q$1001,I1360))*(실물목록!$R$2:$R$1001="")*(실물목록!$O$2:$O$1001&lt;&gt;""))&gt;0,"확인필요(연도다름)","실물 없음")))))</f>
      </c>
      <c r="G1360" t="n" s="16">
        <f aca="0">IF(B1360="","",SUMPRODUCT((실물목록!$P$2:$P$1001&lt;&gt;"")*ISNUMBER(SEARCH(실물목록!$P$2:$P$1001,I1360))*(실물목록!$Q$2:$Q$1001&lt;&gt;"")*ISNUMBER(SEARCH(실물목록!$Q$2:$Q$1001,I1360))*(실물목록!$R$2:$R$1001="")*(실물목록!$O$2:$O$1001&lt;&gt;"")*(실물목록!$O$2:$O$1001=H1360)))</f>
      </c>
      <c r="H1360" t="str">
        <f>IFERROR(IF(AND(LEN(SUBSTITUTE(SUBSTITUTE(SUBSTITUTE(TRIM(A1360&amp;""),CHAR(160),"")," ",""),"년",""))=4,VALUE(SUBSTITUTE(SUBSTITUTE(SUBSTITUTE(TRIM(A1360&amp;""),CHAR(160),"")," ",""),"년",""))&gt;=1900,VALUE(SUBSTITUTE(SUBSTITUTE(SUBSTITUTE(TRIM(A1360&amp;""),CHAR(160),"")," ",""),"년",""))&lt;=2099,TEXT(VALUE(SUBSTITUTE(SUBSTITUTE(SUBSTITUTE(TRIM(A1360&amp;""),CHAR(160),"")," ",""),"년","")),"0000")=SUBSTITUTE(SUBSTITUTE(SUBSTITUTE(TRIM(A1360&amp;""),CHAR(160),"")," ",""),"년","")),SUBSTITUTE(SUBSTITUTE(SUBSTITUTE(TRIM(A1360&amp;""),CHAR(160),"")," ",""),"년",""),""),"")</f>
      </c>
      <c r="I1360" t="str">
        <f>SUBSTITUTE(SUBSTITUTE(SUBSTITUTE(SUBSTITUTE(SUBSTITUTE(TRIM(B1360&amp;""),CHAR(160),"")," ",""),"초등학교","초"),"중학교","중"),"고등학교","고")</f>
      </c>
    </row>
    <row r="1361" customFormat="false" ht="15" hidden="false" customHeight="false" outlineLevel="0" collapsed="false">
      <c r="A1361" s="8"/>
      <c r="B1361" s="8"/>
      <c r="C1361" s="8"/>
      <c r="D1361" s="8"/>
      <c r="E1361" s="8"/>
      <c r="F1361" t="str" s="15">
        <f aca="0">IF(B1361="","",IF(H1361="","확인필요(입력누락)",IF(SUMPRODUCT((실물목록!$P$2:$P$1001&lt;&gt;"")*ISNUMBER(SEARCH(실물목록!$P$2:$P$1001,I1361))*(실물목록!$Q$2:$Q$1001&lt;&gt;"")*ISNUMBER(SEARCH(실물목록!$Q$2:$Q$1001,I1361))*(실물목록!$R$2:$R$1001="")*(실물목록!$O$2:$O$1001&lt;&gt;"")*(실물목록!$O$2:$O$1001=H1361))&gt;0,"실물 있음",IF(SUMPRODUCT((실물목록!$P$2:$P$1001&lt;&gt;"")*ISNUMBER(SEARCH(실물목록!$P$2:$P$1001,I1361))*(실물목록!$R$2:$R$1001&lt;&gt;""))&gt;0,"확인필요(입력누락)",IF(SUMPRODUCT((실물목록!$P$2:$P$1001&lt;&gt;"")*ISNUMBER(SEARCH(실물목록!$P$2:$P$1001,I1361))*(실물목록!$Q$2:$Q$1001&lt;&gt;"")*ISNUMBER(SEARCH(실물목록!$Q$2:$Q$1001,I1361))*(실물목록!$R$2:$R$1001="")*(실물목록!$O$2:$O$1001&lt;&gt;""))&gt;0,"확인필요(연도다름)","실물 없음")))))</f>
      </c>
      <c r="G1361" t="n" s="16">
        <f aca="0">IF(B1361="","",SUMPRODUCT((실물목록!$P$2:$P$1001&lt;&gt;"")*ISNUMBER(SEARCH(실물목록!$P$2:$P$1001,I1361))*(실물목록!$Q$2:$Q$1001&lt;&gt;"")*ISNUMBER(SEARCH(실물목록!$Q$2:$Q$1001,I1361))*(실물목록!$R$2:$R$1001="")*(실물목록!$O$2:$O$1001&lt;&gt;"")*(실물목록!$O$2:$O$1001=H1361)))</f>
      </c>
      <c r="H1361" t="str">
        <f>IFERROR(IF(AND(LEN(SUBSTITUTE(SUBSTITUTE(SUBSTITUTE(TRIM(A1361&amp;""),CHAR(160),"")," ",""),"년",""))=4,VALUE(SUBSTITUTE(SUBSTITUTE(SUBSTITUTE(TRIM(A1361&amp;""),CHAR(160),"")," ",""),"년",""))&gt;=1900,VALUE(SUBSTITUTE(SUBSTITUTE(SUBSTITUTE(TRIM(A1361&amp;""),CHAR(160),"")," ",""),"년",""))&lt;=2099,TEXT(VALUE(SUBSTITUTE(SUBSTITUTE(SUBSTITUTE(TRIM(A1361&amp;""),CHAR(160),"")," ",""),"년","")),"0000")=SUBSTITUTE(SUBSTITUTE(SUBSTITUTE(TRIM(A1361&amp;""),CHAR(160),"")," ",""),"년","")),SUBSTITUTE(SUBSTITUTE(SUBSTITUTE(TRIM(A1361&amp;""),CHAR(160),"")," ",""),"년",""),""),"")</f>
      </c>
      <c r="I1361" t="str">
        <f>SUBSTITUTE(SUBSTITUTE(SUBSTITUTE(SUBSTITUTE(SUBSTITUTE(TRIM(B1361&amp;""),CHAR(160),"")," ",""),"초등학교","초"),"중학교","중"),"고등학교","고")</f>
      </c>
    </row>
    <row r="1362" customFormat="false" ht="15" hidden="false" customHeight="false" outlineLevel="0" collapsed="false">
      <c r="A1362" s="8"/>
      <c r="B1362" s="8"/>
      <c r="C1362" s="8"/>
      <c r="D1362" s="8"/>
      <c r="E1362" s="8"/>
      <c r="F1362" t="str" s="15">
        <f aca="0">IF(B1362="","",IF(H1362="","확인필요(입력누락)",IF(SUMPRODUCT((실물목록!$P$2:$P$1001&lt;&gt;"")*ISNUMBER(SEARCH(실물목록!$P$2:$P$1001,I1362))*(실물목록!$Q$2:$Q$1001&lt;&gt;"")*ISNUMBER(SEARCH(실물목록!$Q$2:$Q$1001,I1362))*(실물목록!$R$2:$R$1001="")*(실물목록!$O$2:$O$1001&lt;&gt;"")*(실물목록!$O$2:$O$1001=H1362))&gt;0,"실물 있음",IF(SUMPRODUCT((실물목록!$P$2:$P$1001&lt;&gt;"")*ISNUMBER(SEARCH(실물목록!$P$2:$P$1001,I1362))*(실물목록!$R$2:$R$1001&lt;&gt;""))&gt;0,"확인필요(입력누락)",IF(SUMPRODUCT((실물목록!$P$2:$P$1001&lt;&gt;"")*ISNUMBER(SEARCH(실물목록!$P$2:$P$1001,I1362))*(실물목록!$Q$2:$Q$1001&lt;&gt;"")*ISNUMBER(SEARCH(실물목록!$Q$2:$Q$1001,I1362))*(실물목록!$R$2:$R$1001="")*(실물목록!$O$2:$O$1001&lt;&gt;""))&gt;0,"확인필요(연도다름)","실물 없음")))))</f>
      </c>
      <c r="G1362" t="n" s="16">
        <f aca="0">IF(B1362="","",SUMPRODUCT((실물목록!$P$2:$P$1001&lt;&gt;"")*ISNUMBER(SEARCH(실물목록!$P$2:$P$1001,I1362))*(실물목록!$Q$2:$Q$1001&lt;&gt;"")*ISNUMBER(SEARCH(실물목록!$Q$2:$Q$1001,I1362))*(실물목록!$R$2:$R$1001="")*(실물목록!$O$2:$O$1001&lt;&gt;"")*(실물목록!$O$2:$O$1001=H1362)))</f>
      </c>
      <c r="H1362" t="str">
        <f>IFERROR(IF(AND(LEN(SUBSTITUTE(SUBSTITUTE(SUBSTITUTE(TRIM(A1362&amp;""),CHAR(160),"")," ",""),"년",""))=4,VALUE(SUBSTITUTE(SUBSTITUTE(SUBSTITUTE(TRIM(A1362&amp;""),CHAR(160),"")," ",""),"년",""))&gt;=1900,VALUE(SUBSTITUTE(SUBSTITUTE(SUBSTITUTE(TRIM(A1362&amp;""),CHAR(160),"")," ",""),"년",""))&lt;=2099,TEXT(VALUE(SUBSTITUTE(SUBSTITUTE(SUBSTITUTE(TRIM(A1362&amp;""),CHAR(160),"")," ",""),"년","")),"0000")=SUBSTITUTE(SUBSTITUTE(SUBSTITUTE(TRIM(A1362&amp;""),CHAR(160),"")," ",""),"년","")),SUBSTITUTE(SUBSTITUTE(SUBSTITUTE(TRIM(A1362&amp;""),CHAR(160),"")," ",""),"년",""),""),"")</f>
      </c>
      <c r="I1362" t="str">
        <f>SUBSTITUTE(SUBSTITUTE(SUBSTITUTE(SUBSTITUTE(SUBSTITUTE(TRIM(B1362&amp;""),CHAR(160),"")," ",""),"초등학교","초"),"중학교","중"),"고등학교","고")</f>
      </c>
    </row>
    <row r="1363" customFormat="false" ht="15" hidden="false" customHeight="false" outlineLevel="0" collapsed="false">
      <c r="A1363" s="8"/>
      <c r="B1363" s="8"/>
      <c r="C1363" s="8"/>
      <c r="D1363" s="8"/>
      <c r="E1363" s="8"/>
      <c r="F1363" t="str" s="15">
        <f aca="0">IF(B1363="","",IF(H1363="","확인필요(입력누락)",IF(SUMPRODUCT((실물목록!$P$2:$P$1001&lt;&gt;"")*ISNUMBER(SEARCH(실물목록!$P$2:$P$1001,I1363))*(실물목록!$Q$2:$Q$1001&lt;&gt;"")*ISNUMBER(SEARCH(실물목록!$Q$2:$Q$1001,I1363))*(실물목록!$R$2:$R$1001="")*(실물목록!$O$2:$O$1001&lt;&gt;"")*(실물목록!$O$2:$O$1001=H1363))&gt;0,"실물 있음",IF(SUMPRODUCT((실물목록!$P$2:$P$1001&lt;&gt;"")*ISNUMBER(SEARCH(실물목록!$P$2:$P$1001,I1363))*(실물목록!$R$2:$R$1001&lt;&gt;""))&gt;0,"확인필요(입력누락)",IF(SUMPRODUCT((실물목록!$P$2:$P$1001&lt;&gt;"")*ISNUMBER(SEARCH(실물목록!$P$2:$P$1001,I1363))*(실물목록!$Q$2:$Q$1001&lt;&gt;"")*ISNUMBER(SEARCH(실물목록!$Q$2:$Q$1001,I1363))*(실물목록!$R$2:$R$1001="")*(실물목록!$O$2:$O$1001&lt;&gt;""))&gt;0,"확인필요(연도다름)","실물 없음")))))</f>
      </c>
      <c r="G1363" t="n" s="16">
        <f aca="0">IF(B1363="","",SUMPRODUCT((실물목록!$P$2:$P$1001&lt;&gt;"")*ISNUMBER(SEARCH(실물목록!$P$2:$P$1001,I1363))*(실물목록!$Q$2:$Q$1001&lt;&gt;"")*ISNUMBER(SEARCH(실물목록!$Q$2:$Q$1001,I1363))*(실물목록!$R$2:$R$1001="")*(실물목록!$O$2:$O$1001&lt;&gt;"")*(실물목록!$O$2:$O$1001=H1363)))</f>
      </c>
      <c r="H1363" t="str">
        <f>IFERROR(IF(AND(LEN(SUBSTITUTE(SUBSTITUTE(SUBSTITUTE(TRIM(A1363&amp;""),CHAR(160),"")," ",""),"년",""))=4,VALUE(SUBSTITUTE(SUBSTITUTE(SUBSTITUTE(TRIM(A1363&amp;""),CHAR(160),"")," ",""),"년",""))&gt;=1900,VALUE(SUBSTITUTE(SUBSTITUTE(SUBSTITUTE(TRIM(A1363&amp;""),CHAR(160),"")," ",""),"년",""))&lt;=2099,TEXT(VALUE(SUBSTITUTE(SUBSTITUTE(SUBSTITUTE(TRIM(A1363&amp;""),CHAR(160),"")," ",""),"년","")),"0000")=SUBSTITUTE(SUBSTITUTE(SUBSTITUTE(TRIM(A1363&amp;""),CHAR(160),"")," ",""),"년","")),SUBSTITUTE(SUBSTITUTE(SUBSTITUTE(TRIM(A1363&amp;""),CHAR(160),"")," ",""),"년",""),""),"")</f>
      </c>
      <c r="I1363" t="str">
        <f>SUBSTITUTE(SUBSTITUTE(SUBSTITUTE(SUBSTITUTE(SUBSTITUTE(TRIM(B1363&amp;""),CHAR(160),"")," ",""),"초등학교","초"),"중학교","중"),"고등학교","고")</f>
      </c>
    </row>
    <row r="1364" customFormat="false" ht="15" hidden="false" customHeight="false" outlineLevel="0" collapsed="false">
      <c r="A1364" s="8"/>
      <c r="B1364" s="8"/>
      <c r="C1364" s="8"/>
      <c r="D1364" s="8"/>
      <c r="E1364" s="8"/>
      <c r="F1364" t="str" s="15">
        <f aca="0">IF(B1364="","",IF(H1364="","확인필요(입력누락)",IF(SUMPRODUCT((실물목록!$P$2:$P$1001&lt;&gt;"")*ISNUMBER(SEARCH(실물목록!$P$2:$P$1001,I1364))*(실물목록!$Q$2:$Q$1001&lt;&gt;"")*ISNUMBER(SEARCH(실물목록!$Q$2:$Q$1001,I1364))*(실물목록!$R$2:$R$1001="")*(실물목록!$O$2:$O$1001&lt;&gt;"")*(실물목록!$O$2:$O$1001=H1364))&gt;0,"실물 있음",IF(SUMPRODUCT((실물목록!$P$2:$P$1001&lt;&gt;"")*ISNUMBER(SEARCH(실물목록!$P$2:$P$1001,I1364))*(실물목록!$R$2:$R$1001&lt;&gt;""))&gt;0,"확인필요(입력누락)",IF(SUMPRODUCT((실물목록!$P$2:$P$1001&lt;&gt;"")*ISNUMBER(SEARCH(실물목록!$P$2:$P$1001,I1364))*(실물목록!$Q$2:$Q$1001&lt;&gt;"")*ISNUMBER(SEARCH(실물목록!$Q$2:$Q$1001,I1364))*(실물목록!$R$2:$R$1001="")*(실물목록!$O$2:$O$1001&lt;&gt;""))&gt;0,"확인필요(연도다름)","실물 없음")))))</f>
      </c>
      <c r="G1364" t="n" s="16">
        <f aca="0">IF(B1364="","",SUMPRODUCT((실물목록!$P$2:$P$1001&lt;&gt;"")*ISNUMBER(SEARCH(실물목록!$P$2:$P$1001,I1364))*(실물목록!$Q$2:$Q$1001&lt;&gt;"")*ISNUMBER(SEARCH(실물목록!$Q$2:$Q$1001,I1364))*(실물목록!$R$2:$R$1001="")*(실물목록!$O$2:$O$1001&lt;&gt;"")*(실물목록!$O$2:$O$1001=H1364)))</f>
      </c>
      <c r="H1364" t="str">
        <f>IFERROR(IF(AND(LEN(SUBSTITUTE(SUBSTITUTE(SUBSTITUTE(TRIM(A1364&amp;""),CHAR(160),"")," ",""),"년",""))=4,VALUE(SUBSTITUTE(SUBSTITUTE(SUBSTITUTE(TRIM(A1364&amp;""),CHAR(160),"")," ",""),"년",""))&gt;=1900,VALUE(SUBSTITUTE(SUBSTITUTE(SUBSTITUTE(TRIM(A1364&amp;""),CHAR(160),"")," ",""),"년",""))&lt;=2099,TEXT(VALUE(SUBSTITUTE(SUBSTITUTE(SUBSTITUTE(TRIM(A1364&amp;""),CHAR(160),"")," ",""),"년","")),"0000")=SUBSTITUTE(SUBSTITUTE(SUBSTITUTE(TRIM(A1364&amp;""),CHAR(160),"")," ",""),"년","")),SUBSTITUTE(SUBSTITUTE(SUBSTITUTE(TRIM(A1364&amp;""),CHAR(160),"")," ",""),"년",""),""),"")</f>
      </c>
      <c r="I1364" t="str">
        <f>SUBSTITUTE(SUBSTITUTE(SUBSTITUTE(SUBSTITUTE(SUBSTITUTE(TRIM(B1364&amp;""),CHAR(160),"")," ",""),"초등학교","초"),"중학교","중"),"고등학교","고")</f>
      </c>
    </row>
    <row r="1365" customFormat="false" ht="15" hidden="false" customHeight="false" outlineLevel="0" collapsed="false">
      <c r="A1365" s="8"/>
      <c r="B1365" s="8"/>
      <c r="C1365" s="8"/>
      <c r="D1365" s="8"/>
      <c r="E1365" s="8"/>
      <c r="F1365" t="str" s="15">
        <f aca="0">IF(B1365="","",IF(H1365="","확인필요(입력누락)",IF(SUMPRODUCT((실물목록!$P$2:$P$1001&lt;&gt;"")*ISNUMBER(SEARCH(실물목록!$P$2:$P$1001,I1365))*(실물목록!$Q$2:$Q$1001&lt;&gt;"")*ISNUMBER(SEARCH(실물목록!$Q$2:$Q$1001,I1365))*(실물목록!$R$2:$R$1001="")*(실물목록!$O$2:$O$1001&lt;&gt;"")*(실물목록!$O$2:$O$1001=H1365))&gt;0,"실물 있음",IF(SUMPRODUCT((실물목록!$P$2:$P$1001&lt;&gt;"")*ISNUMBER(SEARCH(실물목록!$P$2:$P$1001,I1365))*(실물목록!$R$2:$R$1001&lt;&gt;""))&gt;0,"확인필요(입력누락)",IF(SUMPRODUCT((실물목록!$P$2:$P$1001&lt;&gt;"")*ISNUMBER(SEARCH(실물목록!$P$2:$P$1001,I1365))*(실물목록!$Q$2:$Q$1001&lt;&gt;"")*ISNUMBER(SEARCH(실물목록!$Q$2:$Q$1001,I1365))*(실물목록!$R$2:$R$1001="")*(실물목록!$O$2:$O$1001&lt;&gt;""))&gt;0,"확인필요(연도다름)","실물 없음")))))</f>
      </c>
      <c r="G1365" t="n" s="16">
        <f aca="0">IF(B1365="","",SUMPRODUCT((실물목록!$P$2:$P$1001&lt;&gt;"")*ISNUMBER(SEARCH(실물목록!$P$2:$P$1001,I1365))*(실물목록!$Q$2:$Q$1001&lt;&gt;"")*ISNUMBER(SEARCH(실물목록!$Q$2:$Q$1001,I1365))*(실물목록!$R$2:$R$1001="")*(실물목록!$O$2:$O$1001&lt;&gt;"")*(실물목록!$O$2:$O$1001=H1365)))</f>
      </c>
      <c r="H1365" t="str">
        <f>IFERROR(IF(AND(LEN(SUBSTITUTE(SUBSTITUTE(SUBSTITUTE(TRIM(A1365&amp;""),CHAR(160),"")," ",""),"년",""))=4,VALUE(SUBSTITUTE(SUBSTITUTE(SUBSTITUTE(TRIM(A1365&amp;""),CHAR(160),"")," ",""),"년",""))&gt;=1900,VALUE(SUBSTITUTE(SUBSTITUTE(SUBSTITUTE(TRIM(A1365&amp;""),CHAR(160),"")," ",""),"년",""))&lt;=2099,TEXT(VALUE(SUBSTITUTE(SUBSTITUTE(SUBSTITUTE(TRIM(A1365&amp;""),CHAR(160),"")," ",""),"년","")),"0000")=SUBSTITUTE(SUBSTITUTE(SUBSTITUTE(TRIM(A1365&amp;""),CHAR(160),"")," ",""),"년","")),SUBSTITUTE(SUBSTITUTE(SUBSTITUTE(TRIM(A1365&amp;""),CHAR(160),"")," ",""),"년",""),""),"")</f>
      </c>
      <c r="I1365" t="str">
        <f>SUBSTITUTE(SUBSTITUTE(SUBSTITUTE(SUBSTITUTE(SUBSTITUTE(TRIM(B1365&amp;""),CHAR(160),"")," ",""),"초등학교","초"),"중학교","중"),"고등학교","고")</f>
      </c>
    </row>
    <row r="1366" customFormat="false" ht="15" hidden="false" customHeight="false" outlineLevel="0" collapsed="false">
      <c r="A1366" s="8"/>
      <c r="B1366" s="8"/>
      <c r="C1366" s="8"/>
      <c r="D1366" s="8"/>
      <c r="E1366" s="8"/>
      <c r="F1366" t="str" s="15">
        <f aca="0">IF(B1366="","",IF(H1366="","확인필요(입력누락)",IF(SUMPRODUCT((실물목록!$P$2:$P$1001&lt;&gt;"")*ISNUMBER(SEARCH(실물목록!$P$2:$P$1001,I1366))*(실물목록!$Q$2:$Q$1001&lt;&gt;"")*ISNUMBER(SEARCH(실물목록!$Q$2:$Q$1001,I1366))*(실물목록!$R$2:$R$1001="")*(실물목록!$O$2:$O$1001&lt;&gt;"")*(실물목록!$O$2:$O$1001=H1366))&gt;0,"실물 있음",IF(SUMPRODUCT((실물목록!$P$2:$P$1001&lt;&gt;"")*ISNUMBER(SEARCH(실물목록!$P$2:$P$1001,I1366))*(실물목록!$R$2:$R$1001&lt;&gt;""))&gt;0,"확인필요(입력누락)",IF(SUMPRODUCT((실물목록!$P$2:$P$1001&lt;&gt;"")*ISNUMBER(SEARCH(실물목록!$P$2:$P$1001,I1366))*(실물목록!$Q$2:$Q$1001&lt;&gt;"")*ISNUMBER(SEARCH(실물목록!$Q$2:$Q$1001,I1366))*(실물목록!$R$2:$R$1001="")*(실물목록!$O$2:$O$1001&lt;&gt;""))&gt;0,"확인필요(연도다름)","실물 없음")))))</f>
      </c>
      <c r="G1366" t="n" s="16">
        <f aca="0">IF(B1366="","",SUMPRODUCT((실물목록!$P$2:$P$1001&lt;&gt;"")*ISNUMBER(SEARCH(실물목록!$P$2:$P$1001,I1366))*(실물목록!$Q$2:$Q$1001&lt;&gt;"")*ISNUMBER(SEARCH(실물목록!$Q$2:$Q$1001,I1366))*(실물목록!$R$2:$R$1001="")*(실물목록!$O$2:$O$1001&lt;&gt;"")*(실물목록!$O$2:$O$1001=H1366)))</f>
      </c>
      <c r="H1366" t="str">
        <f>IFERROR(IF(AND(LEN(SUBSTITUTE(SUBSTITUTE(SUBSTITUTE(TRIM(A1366&amp;""),CHAR(160),"")," ",""),"년",""))=4,VALUE(SUBSTITUTE(SUBSTITUTE(SUBSTITUTE(TRIM(A1366&amp;""),CHAR(160),"")," ",""),"년",""))&gt;=1900,VALUE(SUBSTITUTE(SUBSTITUTE(SUBSTITUTE(TRIM(A1366&amp;""),CHAR(160),"")," ",""),"년",""))&lt;=2099,TEXT(VALUE(SUBSTITUTE(SUBSTITUTE(SUBSTITUTE(TRIM(A1366&amp;""),CHAR(160),"")," ",""),"년","")),"0000")=SUBSTITUTE(SUBSTITUTE(SUBSTITUTE(TRIM(A1366&amp;""),CHAR(160),"")," ",""),"년","")),SUBSTITUTE(SUBSTITUTE(SUBSTITUTE(TRIM(A1366&amp;""),CHAR(160),"")," ",""),"년",""),""),"")</f>
      </c>
      <c r="I1366" t="str">
        <f>SUBSTITUTE(SUBSTITUTE(SUBSTITUTE(SUBSTITUTE(SUBSTITUTE(TRIM(B1366&amp;""),CHAR(160),"")," ",""),"초등학교","초"),"중학교","중"),"고등학교","고")</f>
      </c>
    </row>
    <row r="1367" customFormat="false" ht="15" hidden="false" customHeight="false" outlineLevel="0" collapsed="false">
      <c r="A1367" s="8"/>
      <c r="B1367" s="8"/>
      <c r="C1367" s="8"/>
      <c r="D1367" s="8"/>
      <c r="E1367" s="8"/>
      <c r="F1367" t="str" s="15">
        <f aca="0">IF(B1367="","",IF(H1367="","확인필요(입력누락)",IF(SUMPRODUCT((실물목록!$P$2:$P$1001&lt;&gt;"")*ISNUMBER(SEARCH(실물목록!$P$2:$P$1001,I1367))*(실물목록!$Q$2:$Q$1001&lt;&gt;"")*ISNUMBER(SEARCH(실물목록!$Q$2:$Q$1001,I1367))*(실물목록!$R$2:$R$1001="")*(실물목록!$O$2:$O$1001&lt;&gt;"")*(실물목록!$O$2:$O$1001=H1367))&gt;0,"실물 있음",IF(SUMPRODUCT((실물목록!$P$2:$P$1001&lt;&gt;"")*ISNUMBER(SEARCH(실물목록!$P$2:$P$1001,I1367))*(실물목록!$R$2:$R$1001&lt;&gt;""))&gt;0,"확인필요(입력누락)",IF(SUMPRODUCT((실물목록!$P$2:$P$1001&lt;&gt;"")*ISNUMBER(SEARCH(실물목록!$P$2:$P$1001,I1367))*(실물목록!$Q$2:$Q$1001&lt;&gt;"")*ISNUMBER(SEARCH(실물목록!$Q$2:$Q$1001,I1367))*(실물목록!$R$2:$R$1001="")*(실물목록!$O$2:$O$1001&lt;&gt;""))&gt;0,"확인필요(연도다름)","실물 없음")))))</f>
      </c>
      <c r="G1367" t="n" s="16">
        <f aca="0">IF(B1367="","",SUMPRODUCT((실물목록!$P$2:$P$1001&lt;&gt;"")*ISNUMBER(SEARCH(실물목록!$P$2:$P$1001,I1367))*(실물목록!$Q$2:$Q$1001&lt;&gt;"")*ISNUMBER(SEARCH(실물목록!$Q$2:$Q$1001,I1367))*(실물목록!$R$2:$R$1001="")*(실물목록!$O$2:$O$1001&lt;&gt;"")*(실물목록!$O$2:$O$1001=H1367)))</f>
      </c>
      <c r="H1367" t="str">
        <f>IFERROR(IF(AND(LEN(SUBSTITUTE(SUBSTITUTE(SUBSTITUTE(TRIM(A1367&amp;""),CHAR(160),"")," ",""),"년",""))=4,VALUE(SUBSTITUTE(SUBSTITUTE(SUBSTITUTE(TRIM(A1367&amp;""),CHAR(160),"")," ",""),"년",""))&gt;=1900,VALUE(SUBSTITUTE(SUBSTITUTE(SUBSTITUTE(TRIM(A1367&amp;""),CHAR(160),"")," ",""),"년",""))&lt;=2099,TEXT(VALUE(SUBSTITUTE(SUBSTITUTE(SUBSTITUTE(TRIM(A1367&amp;""),CHAR(160),"")," ",""),"년","")),"0000")=SUBSTITUTE(SUBSTITUTE(SUBSTITUTE(TRIM(A1367&amp;""),CHAR(160),"")," ",""),"년","")),SUBSTITUTE(SUBSTITUTE(SUBSTITUTE(TRIM(A1367&amp;""),CHAR(160),"")," ",""),"년",""),""),"")</f>
      </c>
      <c r="I1367" t="str">
        <f>SUBSTITUTE(SUBSTITUTE(SUBSTITUTE(SUBSTITUTE(SUBSTITUTE(TRIM(B1367&amp;""),CHAR(160),"")," ",""),"초등학교","초"),"중학교","중"),"고등학교","고")</f>
      </c>
    </row>
    <row r="1368" customFormat="false" ht="15" hidden="false" customHeight="false" outlineLevel="0" collapsed="false">
      <c r="A1368" s="8"/>
      <c r="B1368" s="8"/>
      <c r="C1368" s="8"/>
      <c r="D1368" s="8"/>
      <c r="E1368" s="8"/>
      <c r="F1368" t="str" s="15">
        <f aca="0">IF(B1368="","",IF(H1368="","확인필요(입력누락)",IF(SUMPRODUCT((실물목록!$P$2:$P$1001&lt;&gt;"")*ISNUMBER(SEARCH(실물목록!$P$2:$P$1001,I1368))*(실물목록!$Q$2:$Q$1001&lt;&gt;"")*ISNUMBER(SEARCH(실물목록!$Q$2:$Q$1001,I1368))*(실물목록!$R$2:$R$1001="")*(실물목록!$O$2:$O$1001&lt;&gt;"")*(실물목록!$O$2:$O$1001=H1368))&gt;0,"실물 있음",IF(SUMPRODUCT((실물목록!$P$2:$P$1001&lt;&gt;"")*ISNUMBER(SEARCH(실물목록!$P$2:$P$1001,I1368))*(실물목록!$R$2:$R$1001&lt;&gt;""))&gt;0,"확인필요(입력누락)",IF(SUMPRODUCT((실물목록!$P$2:$P$1001&lt;&gt;"")*ISNUMBER(SEARCH(실물목록!$P$2:$P$1001,I1368))*(실물목록!$Q$2:$Q$1001&lt;&gt;"")*ISNUMBER(SEARCH(실물목록!$Q$2:$Q$1001,I1368))*(실물목록!$R$2:$R$1001="")*(실물목록!$O$2:$O$1001&lt;&gt;""))&gt;0,"확인필요(연도다름)","실물 없음")))))</f>
      </c>
      <c r="G1368" t="n" s="16">
        <f aca="0">IF(B1368="","",SUMPRODUCT((실물목록!$P$2:$P$1001&lt;&gt;"")*ISNUMBER(SEARCH(실물목록!$P$2:$P$1001,I1368))*(실물목록!$Q$2:$Q$1001&lt;&gt;"")*ISNUMBER(SEARCH(실물목록!$Q$2:$Q$1001,I1368))*(실물목록!$R$2:$R$1001="")*(실물목록!$O$2:$O$1001&lt;&gt;"")*(실물목록!$O$2:$O$1001=H1368)))</f>
      </c>
      <c r="H1368" t="str">
        <f>IFERROR(IF(AND(LEN(SUBSTITUTE(SUBSTITUTE(SUBSTITUTE(TRIM(A1368&amp;""),CHAR(160),"")," ",""),"년",""))=4,VALUE(SUBSTITUTE(SUBSTITUTE(SUBSTITUTE(TRIM(A1368&amp;""),CHAR(160),"")," ",""),"년",""))&gt;=1900,VALUE(SUBSTITUTE(SUBSTITUTE(SUBSTITUTE(TRIM(A1368&amp;""),CHAR(160),"")," ",""),"년",""))&lt;=2099,TEXT(VALUE(SUBSTITUTE(SUBSTITUTE(SUBSTITUTE(TRIM(A1368&amp;""),CHAR(160),"")," ",""),"년","")),"0000")=SUBSTITUTE(SUBSTITUTE(SUBSTITUTE(TRIM(A1368&amp;""),CHAR(160),"")," ",""),"년","")),SUBSTITUTE(SUBSTITUTE(SUBSTITUTE(TRIM(A1368&amp;""),CHAR(160),"")," ",""),"년",""),""),"")</f>
      </c>
      <c r="I1368" t="str">
        <f>SUBSTITUTE(SUBSTITUTE(SUBSTITUTE(SUBSTITUTE(SUBSTITUTE(TRIM(B1368&amp;""),CHAR(160),"")," ",""),"초등학교","초"),"중학교","중"),"고등학교","고")</f>
      </c>
    </row>
    <row r="1369" customFormat="false" ht="15" hidden="false" customHeight="false" outlineLevel="0" collapsed="false">
      <c r="A1369" s="8"/>
      <c r="B1369" s="8"/>
      <c r="C1369" s="8"/>
      <c r="D1369" s="8"/>
      <c r="E1369" s="8"/>
      <c r="F1369" t="str" s="15">
        <f aca="0">IF(B1369="","",IF(H1369="","확인필요(입력누락)",IF(SUMPRODUCT((실물목록!$P$2:$P$1001&lt;&gt;"")*ISNUMBER(SEARCH(실물목록!$P$2:$P$1001,I1369))*(실물목록!$Q$2:$Q$1001&lt;&gt;"")*ISNUMBER(SEARCH(실물목록!$Q$2:$Q$1001,I1369))*(실물목록!$R$2:$R$1001="")*(실물목록!$O$2:$O$1001&lt;&gt;"")*(실물목록!$O$2:$O$1001=H1369))&gt;0,"실물 있음",IF(SUMPRODUCT((실물목록!$P$2:$P$1001&lt;&gt;"")*ISNUMBER(SEARCH(실물목록!$P$2:$P$1001,I1369))*(실물목록!$R$2:$R$1001&lt;&gt;""))&gt;0,"확인필요(입력누락)",IF(SUMPRODUCT((실물목록!$P$2:$P$1001&lt;&gt;"")*ISNUMBER(SEARCH(실물목록!$P$2:$P$1001,I1369))*(실물목록!$Q$2:$Q$1001&lt;&gt;"")*ISNUMBER(SEARCH(실물목록!$Q$2:$Q$1001,I1369))*(실물목록!$R$2:$R$1001="")*(실물목록!$O$2:$O$1001&lt;&gt;""))&gt;0,"확인필요(연도다름)","실물 없음")))))</f>
      </c>
      <c r="G1369" t="n" s="16">
        <f aca="0">IF(B1369="","",SUMPRODUCT((실물목록!$P$2:$P$1001&lt;&gt;"")*ISNUMBER(SEARCH(실물목록!$P$2:$P$1001,I1369))*(실물목록!$Q$2:$Q$1001&lt;&gt;"")*ISNUMBER(SEARCH(실물목록!$Q$2:$Q$1001,I1369))*(실물목록!$R$2:$R$1001="")*(실물목록!$O$2:$O$1001&lt;&gt;"")*(실물목록!$O$2:$O$1001=H1369)))</f>
      </c>
      <c r="H1369" t="str">
        <f>IFERROR(IF(AND(LEN(SUBSTITUTE(SUBSTITUTE(SUBSTITUTE(TRIM(A1369&amp;""),CHAR(160),"")," ",""),"년",""))=4,VALUE(SUBSTITUTE(SUBSTITUTE(SUBSTITUTE(TRIM(A1369&amp;""),CHAR(160),"")," ",""),"년",""))&gt;=1900,VALUE(SUBSTITUTE(SUBSTITUTE(SUBSTITUTE(TRIM(A1369&amp;""),CHAR(160),"")," ",""),"년",""))&lt;=2099,TEXT(VALUE(SUBSTITUTE(SUBSTITUTE(SUBSTITUTE(TRIM(A1369&amp;""),CHAR(160),"")," ",""),"년","")),"0000")=SUBSTITUTE(SUBSTITUTE(SUBSTITUTE(TRIM(A1369&amp;""),CHAR(160),"")," ",""),"년","")),SUBSTITUTE(SUBSTITUTE(SUBSTITUTE(TRIM(A1369&amp;""),CHAR(160),"")," ",""),"년",""),""),"")</f>
      </c>
      <c r="I1369" t="str">
        <f>SUBSTITUTE(SUBSTITUTE(SUBSTITUTE(SUBSTITUTE(SUBSTITUTE(TRIM(B1369&amp;""),CHAR(160),"")," ",""),"초등학교","초"),"중학교","중"),"고등학교","고")</f>
      </c>
    </row>
    <row r="1370" customFormat="false" ht="15" hidden="false" customHeight="false" outlineLevel="0" collapsed="false">
      <c r="A1370" s="8"/>
      <c r="B1370" s="8"/>
      <c r="C1370" s="8"/>
      <c r="D1370" s="8"/>
      <c r="E1370" s="8"/>
      <c r="F1370" t="str" s="15">
        <f aca="0">IF(B1370="","",IF(H1370="","확인필요(입력누락)",IF(SUMPRODUCT((실물목록!$P$2:$P$1001&lt;&gt;"")*ISNUMBER(SEARCH(실물목록!$P$2:$P$1001,I1370))*(실물목록!$Q$2:$Q$1001&lt;&gt;"")*ISNUMBER(SEARCH(실물목록!$Q$2:$Q$1001,I1370))*(실물목록!$R$2:$R$1001="")*(실물목록!$O$2:$O$1001&lt;&gt;"")*(실물목록!$O$2:$O$1001=H1370))&gt;0,"실물 있음",IF(SUMPRODUCT((실물목록!$P$2:$P$1001&lt;&gt;"")*ISNUMBER(SEARCH(실물목록!$P$2:$P$1001,I1370))*(실물목록!$R$2:$R$1001&lt;&gt;""))&gt;0,"확인필요(입력누락)",IF(SUMPRODUCT((실물목록!$P$2:$P$1001&lt;&gt;"")*ISNUMBER(SEARCH(실물목록!$P$2:$P$1001,I1370))*(실물목록!$Q$2:$Q$1001&lt;&gt;"")*ISNUMBER(SEARCH(실물목록!$Q$2:$Q$1001,I1370))*(실물목록!$R$2:$R$1001="")*(실물목록!$O$2:$O$1001&lt;&gt;""))&gt;0,"확인필요(연도다름)","실물 없음")))))</f>
      </c>
      <c r="G1370" t="n" s="16">
        <f aca="0">IF(B1370="","",SUMPRODUCT((실물목록!$P$2:$P$1001&lt;&gt;"")*ISNUMBER(SEARCH(실물목록!$P$2:$P$1001,I1370))*(실물목록!$Q$2:$Q$1001&lt;&gt;"")*ISNUMBER(SEARCH(실물목록!$Q$2:$Q$1001,I1370))*(실물목록!$R$2:$R$1001="")*(실물목록!$O$2:$O$1001&lt;&gt;"")*(실물목록!$O$2:$O$1001=H1370)))</f>
      </c>
      <c r="H1370" t="str">
        <f>IFERROR(IF(AND(LEN(SUBSTITUTE(SUBSTITUTE(SUBSTITUTE(TRIM(A1370&amp;""),CHAR(160),"")," ",""),"년",""))=4,VALUE(SUBSTITUTE(SUBSTITUTE(SUBSTITUTE(TRIM(A1370&amp;""),CHAR(160),"")," ",""),"년",""))&gt;=1900,VALUE(SUBSTITUTE(SUBSTITUTE(SUBSTITUTE(TRIM(A1370&amp;""),CHAR(160),"")," ",""),"년",""))&lt;=2099,TEXT(VALUE(SUBSTITUTE(SUBSTITUTE(SUBSTITUTE(TRIM(A1370&amp;""),CHAR(160),"")," ",""),"년","")),"0000")=SUBSTITUTE(SUBSTITUTE(SUBSTITUTE(TRIM(A1370&amp;""),CHAR(160),"")," ",""),"년","")),SUBSTITUTE(SUBSTITUTE(SUBSTITUTE(TRIM(A1370&amp;""),CHAR(160),"")," ",""),"년",""),""),"")</f>
      </c>
      <c r="I1370" t="str">
        <f>SUBSTITUTE(SUBSTITUTE(SUBSTITUTE(SUBSTITUTE(SUBSTITUTE(TRIM(B1370&amp;""),CHAR(160),"")," ",""),"초등학교","초"),"중학교","중"),"고등학교","고")</f>
      </c>
    </row>
    <row r="1371" customFormat="false" ht="15" hidden="false" customHeight="false" outlineLevel="0" collapsed="false">
      <c r="A1371" s="8"/>
      <c r="B1371" s="8"/>
      <c r="C1371" s="8"/>
      <c r="D1371" s="8"/>
      <c r="E1371" s="8"/>
      <c r="F1371" t="str" s="15">
        <f aca="0">IF(B1371="","",IF(H1371="","확인필요(입력누락)",IF(SUMPRODUCT((실물목록!$P$2:$P$1001&lt;&gt;"")*ISNUMBER(SEARCH(실물목록!$P$2:$P$1001,I1371))*(실물목록!$Q$2:$Q$1001&lt;&gt;"")*ISNUMBER(SEARCH(실물목록!$Q$2:$Q$1001,I1371))*(실물목록!$R$2:$R$1001="")*(실물목록!$O$2:$O$1001&lt;&gt;"")*(실물목록!$O$2:$O$1001=H1371))&gt;0,"실물 있음",IF(SUMPRODUCT((실물목록!$P$2:$P$1001&lt;&gt;"")*ISNUMBER(SEARCH(실물목록!$P$2:$P$1001,I1371))*(실물목록!$R$2:$R$1001&lt;&gt;""))&gt;0,"확인필요(입력누락)",IF(SUMPRODUCT((실물목록!$P$2:$P$1001&lt;&gt;"")*ISNUMBER(SEARCH(실물목록!$P$2:$P$1001,I1371))*(실물목록!$Q$2:$Q$1001&lt;&gt;"")*ISNUMBER(SEARCH(실물목록!$Q$2:$Q$1001,I1371))*(실물목록!$R$2:$R$1001="")*(실물목록!$O$2:$O$1001&lt;&gt;""))&gt;0,"확인필요(연도다름)","실물 없음")))))</f>
      </c>
      <c r="G1371" t="n" s="16">
        <f aca="0">IF(B1371="","",SUMPRODUCT((실물목록!$P$2:$P$1001&lt;&gt;"")*ISNUMBER(SEARCH(실물목록!$P$2:$P$1001,I1371))*(실물목록!$Q$2:$Q$1001&lt;&gt;"")*ISNUMBER(SEARCH(실물목록!$Q$2:$Q$1001,I1371))*(실물목록!$R$2:$R$1001="")*(실물목록!$O$2:$O$1001&lt;&gt;"")*(실물목록!$O$2:$O$1001=H1371)))</f>
      </c>
      <c r="H1371" t="str">
        <f>IFERROR(IF(AND(LEN(SUBSTITUTE(SUBSTITUTE(SUBSTITUTE(TRIM(A1371&amp;""),CHAR(160),"")," ",""),"년",""))=4,VALUE(SUBSTITUTE(SUBSTITUTE(SUBSTITUTE(TRIM(A1371&amp;""),CHAR(160),"")," ",""),"년",""))&gt;=1900,VALUE(SUBSTITUTE(SUBSTITUTE(SUBSTITUTE(TRIM(A1371&amp;""),CHAR(160),"")," ",""),"년",""))&lt;=2099,TEXT(VALUE(SUBSTITUTE(SUBSTITUTE(SUBSTITUTE(TRIM(A1371&amp;""),CHAR(160),"")," ",""),"년","")),"0000")=SUBSTITUTE(SUBSTITUTE(SUBSTITUTE(TRIM(A1371&amp;""),CHAR(160),"")," ",""),"년","")),SUBSTITUTE(SUBSTITUTE(SUBSTITUTE(TRIM(A1371&amp;""),CHAR(160),"")," ",""),"년",""),""),"")</f>
      </c>
      <c r="I1371" t="str">
        <f>SUBSTITUTE(SUBSTITUTE(SUBSTITUTE(SUBSTITUTE(SUBSTITUTE(TRIM(B1371&amp;""),CHAR(160),"")," ",""),"초등학교","초"),"중학교","중"),"고등학교","고")</f>
      </c>
    </row>
    <row r="1372" customFormat="false" ht="15" hidden="false" customHeight="false" outlineLevel="0" collapsed="false">
      <c r="A1372" s="8"/>
      <c r="B1372" s="8"/>
      <c r="C1372" s="8"/>
      <c r="D1372" s="8"/>
      <c r="E1372" s="8"/>
      <c r="F1372" t="str" s="15">
        <f aca="0">IF(B1372="","",IF(H1372="","확인필요(입력누락)",IF(SUMPRODUCT((실물목록!$P$2:$P$1001&lt;&gt;"")*ISNUMBER(SEARCH(실물목록!$P$2:$P$1001,I1372))*(실물목록!$Q$2:$Q$1001&lt;&gt;"")*ISNUMBER(SEARCH(실물목록!$Q$2:$Q$1001,I1372))*(실물목록!$R$2:$R$1001="")*(실물목록!$O$2:$O$1001&lt;&gt;"")*(실물목록!$O$2:$O$1001=H1372))&gt;0,"실물 있음",IF(SUMPRODUCT((실물목록!$P$2:$P$1001&lt;&gt;"")*ISNUMBER(SEARCH(실물목록!$P$2:$P$1001,I1372))*(실물목록!$R$2:$R$1001&lt;&gt;""))&gt;0,"확인필요(입력누락)",IF(SUMPRODUCT((실물목록!$P$2:$P$1001&lt;&gt;"")*ISNUMBER(SEARCH(실물목록!$P$2:$P$1001,I1372))*(실물목록!$Q$2:$Q$1001&lt;&gt;"")*ISNUMBER(SEARCH(실물목록!$Q$2:$Q$1001,I1372))*(실물목록!$R$2:$R$1001="")*(실물목록!$O$2:$O$1001&lt;&gt;""))&gt;0,"확인필요(연도다름)","실물 없음")))))</f>
      </c>
      <c r="G1372" t="n" s="16">
        <f aca="0">IF(B1372="","",SUMPRODUCT((실물목록!$P$2:$P$1001&lt;&gt;"")*ISNUMBER(SEARCH(실물목록!$P$2:$P$1001,I1372))*(실물목록!$Q$2:$Q$1001&lt;&gt;"")*ISNUMBER(SEARCH(실물목록!$Q$2:$Q$1001,I1372))*(실물목록!$R$2:$R$1001="")*(실물목록!$O$2:$O$1001&lt;&gt;"")*(실물목록!$O$2:$O$1001=H1372)))</f>
      </c>
      <c r="H1372" t="str">
        <f>IFERROR(IF(AND(LEN(SUBSTITUTE(SUBSTITUTE(SUBSTITUTE(TRIM(A1372&amp;""),CHAR(160),"")," ",""),"년",""))=4,VALUE(SUBSTITUTE(SUBSTITUTE(SUBSTITUTE(TRIM(A1372&amp;""),CHAR(160),"")," ",""),"년",""))&gt;=1900,VALUE(SUBSTITUTE(SUBSTITUTE(SUBSTITUTE(TRIM(A1372&amp;""),CHAR(160),"")," ",""),"년",""))&lt;=2099,TEXT(VALUE(SUBSTITUTE(SUBSTITUTE(SUBSTITUTE(TRIM(A1372&amp;""),CHAR(160),"")," ",""),"년","")),"0000")=SUBSTITUTE(SUBSTITUTE(SUBSTITUTE(TRIM(A1372&amp;""),CHAR(160),"")," ",""),"년","")),SUBSTITUTE(SUBSTITUTE(SUBSTITUTE(TRIM(A1372&amp;""),CHAR(160),"")," ",""),"년",""),""),"")</f>
      </c>
      <c r="I1372" t="str">
        <f>SUBSTITUTE(SUBSTITUTE(SUBSTITUTE(SUBSTITUTE(SUBSTITUTE(TRIM(B1372&amp;""),CHAR(160),"")," ",""),"초등학교","초"),"중학교","중"),"고등학교","고")</f>
      </c>
    </row>
    <row r="1373" customFormat="false" ht="15" hidden="false" customHeight="false" outlineLevel="0" collapsed="false">
      <c r="A1373" s="8"/>
      <c r="B1373" s="8"/>
      <c r="C1373" s="8"/>
      <c r="D1373" s="8"/>
      <c r="E1373" s="8"/>
      <c r="F1373" t="str" s="15">
        <f aca="0">IF(B1373="","",IF(H1373="","확인필요(입력누락)",IF(SUMPRODUCT((실물목록!$P$2:$P$1001&lt;&gt;"")*ISNUMBER(SEARCH(실물목록!$P$2:$P$1001,I1373))*(실물목록!$Q$2:$Q$1001&lt;&gt;"")*ISNUMBER(SEARCH(실물목록!$Q$2:$Q$1001,I1373))*(실물목록!$R$2:$R$1001="")*(실물목록!$O$2:$O$1001&lt;&gt;"")*(실물목록!$O$2:$O$1001=H1373))&gt;0,"실물 있음",IF(SUMPRODUCT((실물목록!$P$2:$P$1001&lt;&gt;"")*ISNUMBER(SEARCH(실물목록!$P$2:$P$1001,I1373))*(실물목록!$R$2:$R$1001&lt;&gt;""))&gt;0,"확인필요(입력누락)",IF(SUMPRODUCT((실물목록!$P$2:$P$1001&lt;&gt;"")*ISNUMBER(SEARCH(실물목록!$P$2:$P$1001,I1373))*(실물목록!$Q$2:$Q$1001&lt;&gt;"")*ISNUMBER(SEARCH(실물목록!$Q$2:$Q$1001,I1373))*(실물목록!$R$2:$R$1001="")*(실물목록!$O$2:$O$1001&lt;&gt;""))&gt;0,"확인필요(연도다름)","실물 없음")))))</f>
      </c>
      <c r="G1373" t="n" s="16">
        <f aca="0">IF(B1373="","",SUMPRODUCT((실물목록!$P$2:$P$1001&lt;&gt;"")*ISNUMBER(SEARCH(실물목록!$P$2:$P$1001,I1373))*(실물목록!$Q$2:$Q$1001&lt;&gt;"")*ISNUMBER(SEARCH(실물목록!$Q$2:$Q$1001,I1373))*(실물목록!$R$2:$R$1001="")*(실물목록!$O$2:$O$1001&lt;&gt;"")*(실물목록!$O$2:$O$1001=H1373)))</f>
      </c>
      <c r="H1373" t="str">
        <f>IFERROR(IF(AND(LEN(SUBSTITUTE(SUBSTITUTE(SUBSTITUTE(TRIM(A1373&amp;""),CHAR(160),"")," ",""),"년",""))=4,VALUE(SUBSTITUTE(SUBSTITUTE(SUBSTITUTE(TRIM(A1373&amp;""),CHAR(160),"")," ",""),"년",""))&gt;=1900,VALUE(SUBSTITUTE(SUBSTITUTE(SUBSTITUTE(TRIM(A1373&amp;""),CHAR(160),"")," ",""),"년",""))&lt;=2099,TEXT(VALUE(SUBSTITUTE(SUBSTITUTE(SUBSTITUTE(TRIM(A1373&amp;""),CHAR(160),"")," ",""),"년","")),"0000")=SUBSTITUTE(SUBSTITUTE(SUBSTITUTE(TRIM(A1373&amp;""),CHAR(160),"")," ",""),"년","")),SUBSTITUTE(SUBSTITUTE(SUBSTITUTE(TRIM(A1373&amp;""),CHAR(160),"")," ",""),"년",""),""),"")</f>
      </c>
      <c r="I1373" t="str">
        <f>SUBSTITUTE(SUBSTITUTE(SUBSTITUTE(SUBSTITUTE(SUBSTITUTE(TRIM(B1373&amp;""),CHAR(160),"")," ",""),"초등학교","초"),"중학교","중"),"고등학교","고")</f>
      </c>
    </row>
    <row r="1374" customFormat="false" ht="15" hidden="false" customHeight="false" outlineLevel="0" collapsed="false">
      <c r="A1374" s="8"/>
      <c r="B1374" s="8"/>
      <c r="C1374" s="8"/>
      <c r="D1374" s="8"/>
      <c r="E1374" s="8"/>
      <c r="F1374" t="str" s="15">
        <f aca="0">IF(B1374="","",IF(H1374="","확인필요(입력누락)",IF(SUMPRODUCT((실물목록!$P$2:$P$1001&lt;&gt;"")*ISNUMBER(SEARCH(실물목록!$P$2:$P$1001,I1374))*(실물목록!$Q$2:$Q$1001&lt;&gt;"")*ISNUMBER(SEARCH(실물목록!$Q$2:$Q$1001,I1374))*(실물목록!$R$2:$R$1001="")*(실물목록!$O$2:$O$1001&lt;&gt;"")*(실물목록!$O$2:$O$1001=H1374))&gt;0,"실물 있음",IF(SUMPRODUCT((실물목록!$P$2:$P$1001&lt;&gt;"")*ISNUMBER(SEARCH(실물목록!$P$2:$P$1001,I1374))*(실물목록!$R$2:$R$1001&lt;&gt;""))&gt;0,"확인필요(입력누락)",IF(SUMPRODUCT((실물목록!$P$2:$P$1001&lt;&gt;"")*ISNUMBER(SEARCH(실물목록!$P$2:$P$1001,I1374))*(실물목록!$Q$2:$Q$1001&lt;&gt;"")*ISNUMBER(SEARCH(실물목록!$Q$2:$Q$1001,I1374))*(실물목록!$R$2:$R$1001="")*(실물목록!$O$2:$O$1001&lt;&gt;""))&gt;0,"확인필요(연도다름)","실물 없음")))))</f>
      </c>
      <c r="G1374" t="n" s="16">
        <f aca="0">IF(B1374="","",SUMPRODUCT((실물목록!$P$2:$P$1001&lt;&gt;"")*ISNUMBER(SEARCH(실물목록!$P$2:$P$1001,I1374))*(실물목록!$Q$2:$Q$1001&lt;&gt;"")*ISNUMBER(SEARCH(실물목록!$Q$2:$Q$1001,I1374))*(실물목록!$R$2:$R$1001="")*(실물목록!$O$2:$O$1001&lt;&gt;"")*(실물목록!$O$2:$O$1001=H1374)))</f>
      </c>
      <c r="H1374" t="str">
        <f>IFERROR(IF(AND(LEN(SUBSTITUTE(SUBSTITUTE(SUBSTITUTE(TRIM(A1374&amp;""),CHAR(160),"")," ",""),"년",""))=4,VALUE(SUBSTITUTE(SUBSTITUTE(SUBSTITUTE(TRIM(A1374&amp;""),CHAR(160),"")," ",""),"년",""))&gt;=1900,VALUE(SUBSTITUTE(SUBSTITUTE(SUBSTITUTE(TRIM(A1374&amp;""),CHAR(160),"")," ",""),"년",""))&lt;=2099,TEXT(VALUE(SUBSTITUTE(SUBSTITUTE(SUBSTITUTE(TRIM(A1374&amp;""),CHAR(160),"")," ",""),"년","")),"0000")=SUBSTITUTE(SUBSTITUTE(SUBSTITUTE(TRIM(A1374&amp;""),CHAR(160),"")," ",""),"년","")),SUBSTITUTE(SUBSTITUTE(SUBSTITUTE(TRIM(A1374&amp;""),CHAR(160),"")," ",""),"년",""),""),"")</f>
      </c>
      <c r="I1374" t="str">
        <f>SUBSTITUTE(SUBSTITUTE(SUBSTITUTE(SUBSTITUTE(SUBSTITUTE(TRIM(B1374&amp;""),CHAR(160),"")," ",""),"초등학교","초"),"중학교","중"),"고등학교","고")</f>
      </c>
    </row>
    <row r="1375" customFormat="false" ht="15" hidden="false" customHeight="false" outlineLevel="0" collapsed="false">
      <c r="A1375" s="8"/>
      <c r="B1375" s="8"/>
      <c r="C1375" s="8"/>
      <c r="D1375" s="8"/>
      <c r="E1375" s="8"/>
      <c r="F1375" t="str" s="15">
        <f aca="0">IF(B1375="","",IF(H1375="","확인필요(입력누락)",IF(SUMPRODUCT((실물목록!$P$2:$P$1001&lt;&gt;"")*ISNUMBER(SEARCH(실물목록!$P$2:$P$1001,I1375))*(실물목록!$Q$2:$Q$1001&lt;&gt;"")*ISNUMBER(SEARCH(실물목록!$Q$2:$Q$1001,I1375))*(실물목록!$R$2:$R$1001="")*(실물목록!$O$2:$O$1001&lt;&gt;"")*(실물목록!$O$2:$O$1001=H1375))&gt;0,"실물 있음",IF(SUMPRODUCT((실물목록!$P$2:$P$1001&lt;&gt;"")*ISNUMBER(SEARCH(실물목록!$P$2:$P$1001,I1375))*(실물목록!$R$2:$R$1001&lt;&gt;""))&gt;0,"확인필요(입력누락)",IF(SUMPRODUCT((실물목록!$P$2:$P$1001&lt;&gt;"")*ISNUMBER(SEARCH(실물목록!$P$2:$P$1001,I1375))*(실물목록!$Q$2:$Q$1001&lt;&gt;"")*ISNUMBER(SEARCH(실물목록!$Q$2:$Q$1001,I1375))*(실물목록!$R$2:$R$1001="")*(실물목록!$O$2:$O$1001&lt;&gt;""))&gt;0,"확인필요(연도다름)","실물 없음")))))</f>
      </c>
      <c r="G1375" t="n" s="16">
        <f aca="0">IF(B1375="","",SUMPRODUCT((실물목록!$P$2:$P$1001&lt;&gt;"")*ISNUMBER(SEARCH(실물목록!$P$2:$P$1001,I1375))*(실물목록!$Q$2:$Q$1001&lt;&gt;"")*ISNUMBER(SEARCH(실물목록!$Q$2:$Q$1001,I1375))*(실물목록!$R$2:$R$1001="")*(실물목록!$O$2:$O$1001&lt;&gt;"")*(실물목록!$O$2:$O$1001=H1375)))</f>
      </c>
      <c r="H1375" t="str">
        <f>IFERROR(IF(AND(LEN(SUBSTITUTE(SUBSTITUTE(SUBSTITUTE(TRIM(A1375&amp;""),CHAR(160),"")," ",""),"년",""))=4,VALUE(SUBSTITUTE(SUBSTITUTE(SUBSTITUTE(TRIM(A1375&amp;""),CHAR(160),"")," ",""),"년",""))&gt;=1900,VALUE(SUBSTITUTE(SUBSTITUTE(SUBSTITUTE(TRIM(A1375&amp;""),CHAR(160),"")," ",""),"년",""))&lt;=2099,TEXT(VALUE(SUBSTITUTE(SUBSTITUTE(SUBSTITUTE(TRIM(A1375&amp;""),CHAR(160),"")," ",""),"년","")),"0000")=SUBSTITUTE(SUBSTITUTE(SUBSTITUTE(TRIM(A1375&amp;""),CHAR(160),"")," ",""),"년","")),SUBSTITUTE(SUBSTITUTE(SUBSTITUTE(TRIM(A1375&amp;""),CHAR(160),"")," ",""),"년",""),""),"")</f>
      </c>
      <c r="I1375" t="str">
        <f>SUBSTITUTE(SUBSTITUTE(SUBSTITUTE(SUBSTITUTE(SUBSTITUTE(TRIM(B1375&amp;""),CHAR(160),"")," ",""),"초등학교","초"),"중학교","중"),"고등학교","고")</f>
      </c>
    </row>
    <row r="1376" customFormat="false" ht="15" hidden="false" customHeight="false" outlineLevel="0" collapsed="false">
      <c r="A1376" s="8"/>
      <c r="B1376" s="8"/>
      <c r="C1376" s="8"/>
      <c r="D1376" s="8"/>
      <c r="E1376" s="8"/>
      <c r="F1376" t="str" s="15">
        <f aca="0">IF(B1376="","",IF(H1376="","확인필요(입력누락)",IF(SUMPRODUCT((실물목록!$P$2:$P$1001&lt;&gt;"")*ISNUMBER(SEARCH(실물목록!$P$2:$P$1001,I1376))*(실물목록!$Q$2:$Q$1001&lt;&gt;"")*ISNUMBER(SEARCH(실물목록!$Q$2:$Q$1001,I1376))*(실물목록!$R$2:$R$1001="")*(실물목록!$O$2:$O$1001&lt;&gt;"")*(실물목록!$O$2:$O$1001=H1376))&gt;0,"실물 있음",IF(SUMPRODUCT((실물목록!$P$2:$P$1001&lt;&gt;"")*ISNUMBER(SEARCH(실물목록!$P$2:$P$1001,I1376))*(실물목록!$R$2:$R$1001&lt;&gt;""))&gt;0,"확인필요(입력누락)",IF(SUMPRODUCT((실물목록!$P$2:$P$1001&lt;&gt;"")*ISNUMBER(SEARCH(실물목록!$P$2:$P$1001,I1376))*(실물목록!$Q$2:$Q$1001&lt;&gt;"")*ISNUMBER(SEARCH(실물목록!$Q$2:$Q$1001,I1376))*(실물목록!$R$2:$R$1001="")*(실물목록!$O$2:$O$1001&lt;&gt;""))&gt;0,"확인필요(연도다름)","실물 없음")))))</f>
      </c>
      <c r="G1376" t="n" s="16">
        <f aca="0">IF(B1376="","",SUMPRODUCT((실물목록!$P$2:$P$1001&lt;&gt;"")*ISNUMBER(SEARCH(실물목록!$P$2:$P$1001,I1376))*(실물목록!$Q$2:$Q$1001&lt;&gt;"")*ISNUMBER(SEARCH(실물목록!$Q$2:$Q$1001,I1376))*(실물목록!$R$2:$R$1001="")*(실물목록!$O$2:$O$1001&lt;&gt;"")*(실물목록!$O$2:$O$1001=H1376)))</f>
      </c>
      <c r="H1376" t="str">
        <f>IFERROR(IF(AND(LEN(SUBSTITUTE(SUBSTITUTE(SUBSTITUTE(TRIM(A1376&amp;""),CHAR(160),"")," ",""),"년",""))=4,VALUE(SUBSTITUTE(SUBSTITUTE(SUBSTITUTE(TRIM(A1376&amp;""),CHAR(160),"")," ",""),"년",""))&gt;=1900,VALUE(SUBSTITUTE(SUBSTITUTE(SUBSTITUTE(TRIM(A1376&amp;""),CHAR(160),"")," ",""),"년",""))&lt;=2099,TEXT(VALUE(SUBSTITUTE(SUBSTITUTE(SUBSTITUTE(TRIM(A1376&amp;""),CHAR(160),"")," ",""),"년","")),"0000")=SUBSTITUTE(SUBSTITUTE(SUBSTITUTE(TRIM(A1376&amp;""),CHAR(160),"")," ",""),"년","")),SUBSTITUTE(SUBSTITUTE(SUBSTITUTE(TRIM(A1376&amp;""),CHAR(160),"")," ",""),"년",""),""),"")</f>
      </c>
      <c r="I1376" t="str">
        <f>SUBSTITUTE(SUBSTITUTE(SUBSTITUTE(SUBSTITUTE(SUBSTITUTE(TRIM(B1376&amp;""),CHAR(160),"")," ",""),"초등학교","초"),"중학교","중"),"고등학교","고")</f>
      </c>
    </row>
    <row r="1377" customFormat="false" ht="15" hidden="false" customHeight="false" outlineLevel="0" collapsed="false">
      <c r="A1377" s="8"/>
      <c r="B1377" s="8"/>
      <c r="C1377" s="8"/>
      <c r="D1377" s="8"/>
      <c r="E1377" s="8"/>
      <c r="F1377" t="str" s="15">
        <f aca="0">IF(B1377="","",IF(H1377="","확인필요(입력누락)",IF(SUMPRODUCT((실물목록!$P$2:$P$1001&lt;&gt;"")*ISNUMBER(SEARCH(실물목록!$P$2:$P$1001,I1377))*(실물목록!$Q$2:$Q$1001&lt;&gt;"")*ISNUMBER(SEARCH(실물목록!$Q$2:$Q$1001,I1377))*(실물목록!$R$2:$R$1001="")*(실물목록!$O$2:$O$1001&lt;&gt;"")*(실물목록!$O$2:$O$1001=H1377))&gt;0,"실물 있음",IF(SUMPRODUCT((실물목록!$P$2:$P$1001&lt;&gt;"")*ISNUMBER(SEARCH(실물목록!$P$2:$P$1001,I1377))*(실물목록!$R$2:$R$1001&lt;&gt;""))&gt;0,"확인필요(입력누락)",IF(SUMPRODUCT((실물목록!$P$2:$P$1001&lt;&gt;"")*ISNUMBER(SEARCH(실물목록!$P$2:$P$1001,I1377))*(실물목록!$Q$2:$Q$1001&lt;&gt;"")*ISNUMBER(SEARCH(실물목록!$Q$2:$Q$1001,I1377))*(실물목록!$R$2:$R$1001="")*(실물목록!$O$2:$O$1001&lt;&gt;""))&gt;0,"확인필요(연도다름)","실물 없음")))))</f>
      </c>
      <c r="G1377" t="n" s="16">
        <f aca="0">IF(B1377="","",SUMPRODUCT((실물목록!$P$2:$P$1001&lt;&gt;"")*ISNUMBER(SEARCH(실물목록!$P$2:$P$1001,I1377))*(실물목록!$Q$2:$Q$1001&lt;&gt;"")*ISNUMBER(SEARCH(실물목록!$Q$2:$Q$1001,I1377))*(실물목록!$R$2:$R$1001="")*(실물목록!$O$2:$O$1001&lt;&gt;"")*(실물목록!$O$2:$O$1001=H1377)))</f>
      </c>
      <c r="H1377" t="str">
        <f>IFERROR(IF(AND(LEN(SUBSTITUTE(SUBSTITUTE(SUBSTITUTE(TRIM(A1377&amp;""),CHAR(160),"")," ",""),"년",""))=4,VALUE(SUBSTITUTE(SUBSTITUTE(SUBSTITUTE(TRIM(A1377&amp;""),CHAR(160),"")," ",""),"년",""))&gt;=1900,VALUE(SUBSTITUTE(SUBSTITUTE(SUBSTITUTE(TRIM(A1377&amp;""),CHAR(160),"")," ",""),"년",""))&lt;=2099,TEXT(VALUE(SUBSTITUTE(SUBSTITUTE(SUBSTITUTE(TRIM(A1377&amp;""),CHAR(160),"")," ",""),"년","")),"0000")=SUBSTITUTE(SUBSTITUTE(SUBSTITUTE(TRIM(A1377&amp;""),CHAR(160),"")," ",""),"년","")),SUBSTITUTE(SUBSTITUTE(SUBSTITUTE(TRIM(A1377&amp;""),CHAR(160),"")," ",""),"년",""),""),"")</f>
      </c>
      <c r="I1377" t="str">
        <f>SUBSTITUTE(SUBSTITUTE(SUBSTITUTE(SUBSTITUTE(SUBSTITUTE(TRIM(B1377&amp;""),CHAR(160),"")," ",""),"초등학교","초"),"중학교","중"),"고등학교","고")</f>
      </c>
    </row>
    <row r="1378" customFormat="false" ht="15" hidden="false" customHeight="false" outlineLevel="0" collapsed="false">
      <c r="A1378" s="8"/>
      <c r="B1378" s="8"/>
      <c r="C1378" s="8"/>
      <c r="D1378" s="8"/>
      <c r="E1378" s="8"/>
      <c r="F1378" t="str" s="15">
        <f aca="0">IF(B1378="","",IF(H1378="","확인필요(입력누락)",IF(SUMPRODUCT((실물목록!$P$2:$P$1001&lt;&gt;"")*ISNUMBER(SEARCH(실물목록!$P$2:$P$1001,I1378))*(실물목록!$Q$2:$Q$1001&lt;&gt;"")*ISNUMBER(SEARCH(실물목록!$Q$2:$Q$1001,I1378))*(실물목록!$R$2:$R$1001="")*(실물목록!$O$2:$O$1001&lt;&gt;"")*(실물목록!$O$2:$O$1001=H1378))&gt;0,"실물 있음",IF(SUMPRODUCT((실물목록!$P$2:$P$1001&lt;&gt;"")*ISNUMBER(SEARCH(실물목록!$P$2:$P$1001,I1378))*(실물목록!$R$2:$R$1001&lt;&gt;""))&gt;0,"확인필요(입력누락)",IF(SUMPRODUCT((실물목록!$P$2:$P$1001&lt;&gt;"")*ISNUMBER(SEARCH(실물목록!$P$2:$P$1001,I1378))*(실물목록!$Q$2:$Q$1001&lt;&gt;"")*ISNUMBER(SEARCH(실물목록!$Q$2:$Q$1001,I1378))*(실물목록!$R$2:$R$1001="")*(실물목록!$O$2:$O$1001&lt;&gt;""))&gt;0,"확인필요(연도다름)","실물 없음")))))</f>
      </c>
      <c r="G1378" t="n" s="16">
        <f aca="0">IF(B1378="","",SUMPRODUCT((실물목록!$P$2:$P$1001&lt;&gt;"")*ISNUMBER(SEARCH(실물목록!$P$2:$P$1001,I1378))*(실물목록!$Q$2:$Q$1001&lt;&gt;"")*ISNUMBER(SEARCH(실물목록!$Q$2:$Q$1001,I1378))*(실물목록!$R$2:$R$1001="")*(실물목록!$O$2:$O$1001&lt;&gt;"")*(실물목록!$O$2:$O$1001=H1378)))</f>
      </c>
      <c r="H1378" t="str">
        <f>IFERROR(IF(AND(LEN(SUBSTITUTE(SUBSTITUTE(SUBSTITUTE(TRIM(A1378&amp;""),CHAR(160),"")," ",""),"년",""))=4,VALUE(SUBSTITUTE(SUBSTITUTE(SUBSTITUTE(TRIM(A1378&amp;""),CHAR(160),"")," ",""),"년",""))&gt;=1900,VALUE(SUBSTITUTE(SUBSTITUTE(SUBSTITUTE(TRIM(A1378&amp;""),CHAR(160),"")," ",""),"년",""))&lt;=2099,TEXT(VALUE(SUBSTITUTE(SUBSTITUTE(SUBSTITUTE(TRIM(A1378&amp;""),CHAR(160),"")," ",""),"년","")),"0000")=SUBSTITUTE(SUBSTITUTE(SUBSTITUTE(TRIM(A1378&amp;""),CHAR(160),"")," ",""),"년","")),SUBSTITUTE(SUBSTITUTE(SUBSTITUTE(TRIM(A1378&amp;""),CHAR(160),"")," ",""),"년",""),""),"")</f>
      </c>
      <c r="I1378" t="str">
        <f>SUBSTITUTE(SUBSTITUTE(SUBSTITUTE(SUBSTITUTE(SUBSTITUTE(TRIM(B1378&amp;""),CHAR(160),"")," ",""),"초등학교","초"),"중학교","중"),"고등학교","고")</f>
      </c>
    </row>
    <row r="1379" customFormat="false" ht="15" hidden="false" customHeight="false" outlineLevel="0" collapsed="false">
      <c r="A1379" s="8"/>
      <c r="B1379" s="8"/>
      <c r="C1379" s="8"/>
      <c r="D1379" s="8"/>
      <c r="E1379" s="8"/>
      <c r="F1379" t="str" s="15">
        <f aca="0">IF(B1379="","",IF(H1379="","확인필요(입력누락)",IF(SUMPRODUCT((실물목록!$P$2:$P$1001&lt;&gt;"")*ISNUMBER(SEARCH(실물목록!$P$2:$P$1001,I1379))*(실물목록!$Q$2:$Q$1001&lt;&gt;"")*ISNUMBER(SEARCH(실물목록!$Q$2:$Q$1001,I1379))*(실물목록!$R$2:$R$1001="")*(실물목록!$O$2:$O$1001&lt;&gt;"")*(실물목록!$O$2:$O$1001=H1379))&gt;0,"실물 있음",IF(SUMPRODUCT((실물목록!$P$2:$P$1001&lt;&gt;"")*ISNUMBER(SEARCH(실물목록!$P$2:$P$1001,I1379))*(실물목록!$R$2:$R$1001&lt;&gt;""))&gt;0,"확인필요(입력누락)",IF(SUMPRODUCT((실물목록!$P$2:$P$1001&lt;&gt;"")*ISNUMBER(SEARCH(실물목록!$P$2:$P$1001,I1379))*(실물목록!$Q$2:$Q$1001&lt;&gt;"")*ISNUMBER(SEARCH(실물목록!$Q$2:$Q$1001,I1379))*(실물목록!$R$2:$R$1001="")*(실물목록!$O$2:$O$1001&lt;&gt;""))&gt;0,"확인필요(연도다름)","실물 없음")))))</f>
      </c>
      <c r="G1379" t="n" s="16">
        <f aca="0">IF(B1379="","",SUMPRODUCT((실물목록!$P$2:$P$1001&lt;&gt;"")*ISNUMBER(SEARCH(실물목록!$P$2:$P$1001,I1379))*(실물목록!$Q$2:$Q$1001&lt;&gt;"")*ISNUMBER(SEARCH(실물목록!$Q$2:$Q$1001,I1379))*(실물목록!$R$2:$R$1001="")*(실물목록!$O$2:$O$1001&lt;&gt;"")*(실물목록!$O$2:$O$1001=H1379)))</f>
      </c>
      <c r="H1379" t="str">
        <f>IFERROR(IF(AND(LEN(SUBSTITUTE(SUBSTITUTE(SUBSTITUTE(TRIM(A1379&amp;""),CHAR(160),"")," ",""),"년",""))=4,VALUE(SUBSTITUTE(SUBSTITUTE(SUBSTITUTE(TRIM(A1379&amp;""),CHAR(160),"")," ",""),"년",""))&gt;=1900,VALUE(SUBSTITUTE(SUBSTITUTE(SUBSTITUTE(TRIM(A1379&amp;""),CHAR(160),"")," ",""),"년",""))&lt;=2099,TEXT(VALUE(SUBSTITUTE(SUBSTITUTE(SUBSTITUTE(TRIM(A1379&amp;""),CHAR(160),"")," ",""),"년","")),"0000")=SUBSTITUTE(SUBSTITUTE(SUBSTITUTE(TRIM(A1379&amp;""),CHAR(160),"")," ",""),"년","")),SUBSTITUTE(SUBSTITUTE(SUBSTITUTE(TRIM(A1379&amp;""),CHAR(160),"")," ",""),"년",""),""),"")</f>
      </c>
      <c r="I1379" t="str">
        <f>SUBSTITUTE(SUBSTITUTE(SUBSTITUTE(SUBSTITUTE(SUBSTITUTE(TRIM(B1379&amp;""),CHAR(160),"")," ",""),"초등학교","초"),"중학교","중"),"고등학교","고")</f>
      </c>
    </row>
    <row r="1380" customFormat="false" ht="15" hidden="false" customHeight="false" outlineLevel="0" collapsed="false">
      <c r="A1380" s="8"/>
      <c r="B1380" s="8"/>
      <c r="C1380" s="8"/>
      <c r="D1380" s="8"/>
      <c r="E1380" s="8"/>
      <c r="F1380" t="str" s="15">
        <f aca="0">IF(B1380="","",IF(H1380="","확인필요(입력누락)",IF(SUMPRODUCT((실물목록!$P$2:$P$1001&lt;&gt;"")*ISNUMBER(SEARCH(실물목록!$P$2:$P$1001,I1380))*(실물목록!$Q$2:$Q$1001&lt;&gt;"")*ISNUMBER(SEARCH(실물목록!$Q$2:$Q$1001,I1380))*(실물목록!$R$2:$R$1001="")*(실물목록!$O$2:$O$1001&lt;&gt;"")*(실물목록!$O$2:$O$1001=H1380))&gt;0,"실물 있음",IF(SUMPRODUCT((실물목록!$P$2:$P$1001&lt;&gt;"")*ISNUMBER(SEARCH(실물목록!$P$2:$P$1001,I1380))*(실물목록!$R$2:$R$1001&lt;&gt;""))&gt;0,"확인필요(입력누락)",IF(SUMPRODUCT((실물목록!$P$2:$P$1001&lt;&gt;"")*ISNUMBER(SEARCH(실물목록!$P$2:$P$1001,I1380))*(실물목록!$Q$2:$Q$1001&lt;&gt;"")*ISNUMBER(SEARCH(실물목록!$Q$2:$Q$1001,I1380))*(실물목록!$R$2:$R$1001="")*(실물목록!$O$2:$O$1001&lt;&gt;""))&gt;0,"확인필요(연도다름)","실물 없음")))))</f>
      </c>
      <c r="G1380" t="n" s="16">
        <f aca="0">IF(B1380="","",SUMPRODUCT((실물목록!$P$2:$P$1001&lt;&gt;"")*ISNUMBER(SEARCH(실물목록!$P$2:$P$1001,I1380))*(실물목록!$Q$2:$Q$1001&lt;&gt;"")*ISNUMBER(SEARCH(실물목록!$Q$2:$Q$1001,I1380))*(실물목록!$R$2:$R$1001="")*(실물목록!$O$2:$O$1001&lt;&gt;"")*(실물목록!$O$2:$O$1001=H1380)))</f>
      </c>
      <c r="H1380" t="str">
        <f>IFERROR(IF(AND(LEN(SUBSTITUTE(SUBSTITUTE(SUBSTITUTE(TRIM(A1380&amp;""),CHAR(160),"")," ",""),"년",""))=4,VALUE(SUBSTITUTE(SUBSTITUTE(SUBSTITUTE(TRIM(A1380&amp;""),CHAR(160),"")," ",""),"년",""))&gt;=1900,VALUE(SUBSTITUTE(SUBSTITUTE(SUBSTITUTE(TRIM(A1380&amp;""),CHAR(160),"")," ",""),"년",""))&lt;=2099,TEXT(VALUE(SUBSTITUTE(SUBSTITUTE(SUBSTITUTE(TRIM(A1380&amp;""),CHAR(160),"")," ",""),"년","")),"0000")=SUBSTITUTE(SUBSTITUTE(SUBSTITUTE(TRIM(A1380&amp;""),CHAR(160),"")," ",""),"년","")),SUBSTITUTE(SUBSTITUTE(SUBSTITUTE(TRIM(A1380&amp;""),CHAR(160),"")," ",""),"년",""),""),"")</f>
      </c>
      <c r="I1380" t="str">
        <f>SUBSTITUTE(SUBSTITUTE(SUBSTITUTE(SUBSTITUTE(SUBSTITUTE(TRIM(B1380&amp;""),CHAR(160),"")," ",""),"초등학교","초"),"중학교","중"),"고등학교","고")</f>
      </c>
    </row>
    <row r="1381" customFormat="false" ht="15" hidden="false" customHeight="false" outlineLevel="0" collapsed="false">
      <c r="A1381" s="8"/>
      <c r="B1381" s="8"/>
      <c r="C1381" s="8"/>
      <c r="D1381" s="8"/>
      <c r="E1381" s="8"/>
      <c r="F1381" t="str" s="15">
        <f aca="0">IF(B1381="","",IF(H1381="","확인필요(입력누락)",IF(SUMPRODUCT((실물목록!$P$2:$P$1001&lt;&gt;"")*ISNUMBER(SEARCH(실물목록!$P$2:$P$1001,I1381))*(실물목록!$Q$2:$Q$1001&lt;&gt;"")*ISNUMBER(SEARCH(실물목록!$Q$2:$Q$1001,I1381))*(실물목록!$R$2:$R$1001="")*(실물목록!$O$2:$O$1001&lt;&gt;"")*(실물목록!$O$2:$O$1001=H1381))&gt;0,"실물 있음",IF(SUMPRODUCT((실물목록!$P$2:$P$1001&lt;&gt;"")*ISNUMBER(SEARCH(실물목록!$P$2:$P$1001,I1381))*(실물목록!$R$2:$R$1001&lt;&gt;""))&gt;0,"확인필요(입력누락)",IF(SUMPRODUCT((실물목록!$P$2:$P$1001&lt;&gt;"")*ISNUMBER(SEARCH(실물목록!$P$2:$P$1001,I1381))*(실물목록!$Q$2:$Q$1001&lt;&gt;"")*ISNUMBER(SEARCH(실물목록!$Q$2:$Q$1001,I1381))*(실물목록!$R$2:$R$1001="")*(실물목록!$O$2:$O$1001&lt;&gt;""))&gt;0,"확인필요(연도다름)","실물 없음")))))</f>
      </c>
      <c r="G1381" t="n" s="16">
        <f aca="0">IF(B1381="","",SUMPRODUCT((실물목록!$P$2:$P$1001&lt;&gt;"")*ISNUMBER(SEARCH(실물목록!$P$2:$P$1001,I1381))*(실물목록!$Q$2:$Q$1001&lt;&gt;"")*ISNUMBER(SEARCH(실물목록!$Q$2:$Q$1001,I1381))*(실물목록!$R$2:$R$1001="")*(실물목록!$O$2:$O$1001&lt;&gt;"")*(실물목록!$O$2:$O$1001=H1381)))</f>
      </c>
      <c r="H1381" t="str">
        <f>IFERROR(IF(AND(LEN(SUBSTITUTE(SUBSTITUTE(SUBSTITUTE(TRIM(A1381&amp;""),CHAR(160),"")," ",""),"년",""))=4,VALUE(SUBSTITUTE(SUBSTITUTE(SUBSTITUTE(TRIM(A1381&amp;""),CHAR(160),"")," ",""),"년",""))&gt;=1900,VALUE(SUBSTITUTE(SUBSTITUTE(SUBSTITUTE(TRIM(A1381&amp;""),CHAR(160),"")," ",""),"년",""))&lt;=2099,TEXT(VALUE(SUBSTITUTE(SUBSTITUTE(SUBSTITUTE(TRIM(A1381&amp;""),CHAR(160),"")," ",""),"년","")),"0000")=SUBSTITUTE(SUBSTITUTE(SUBSTITUTE(TRIM(A1381&amp;""),CHAR(160),"")," ",""),"년","")),SUBSTITUTE(SUBSTITUTE(SUBSTITUTE(TRIM(A1381&amp;""),CHAR(160),"")," ",""),"년",""),""),"")</f>
      </c>
      <c r="I1381" t="str">
        <f>SUBSTITUTE(SUBSTITUTE(SUBSTITUTE(SUBSTITUTE(SUBSTITUTE(TRIM(B1381&amp;""),CHAR(160),"")," ",""),"초등학교","초"),"중학교","중"),"고등학교","고")</f>
      </c>
    </row>
    <row r="1382" customFormat="false" ht="15" hidden="false" customHeight="false" outlineLevel="0" collapsed="false">
      <c r="A1382" s="8"/>
      <c r="B1382" s="8"/>
      <c r="C1382" s="8"/>
      <c r="D1382" s="8"/>
      <c r="E1382" s="8"/>
      <c r="F1382" t="str" s="15">
        <f aca="0">IF(B1382="","",IF(H1382="","확인필요(입력누락)",IF(SUMPRODUCT((실물목록!$P$2:$P$1001&lt;&gt;"")*ISNUMBER(SEARCH(실물목록!$P$2:$P$1001,I1382))*(실물목록!$Q$2:$Q$1001&lt;&gt;"")*ISNUMBER(SEARCH(실물목록!$Q$2:$Q$1001,I1382))*(실물목록!$R$2:$R$1001="")*(실물목록!$O$2:$O$1001&lt;&gt;"")*(실물목록!$O$2:$O$1001=H1382))&gt;0,"실물 있음",IF(SUMPRODUCT((실물목록!$P$2:$P$1001&lt;&gt;"")*ISNUMBER(SEARCH(실물목록!$P$2:$P$1001,I1382))*(실물목록!$R$2:$R$1001&lt;&gt;""))&gt;0,"확인필요(입력누락)",IF(SUMPRODUCT((실물목록!$P$2:$P$1001&lt;&gt;"")*ISNUMBER(SEARCH(실물목록!$P$2:$P$1001,I1382))*(실물목록!$Q$2:$Q$1001&lt;&gt;"")*ISNUMBER(SEARCH(실물목록!$Q$2:$Q$1001,I1382))*(실물목록!$R$2:$R$1001="")*(실물목록!$O$2:$O$1001&lt;&gt;""))&gt;0,"확인필요(연도다름)","실물 없음")))))</f>
      </c>
      <c r="G1382" t="n" s="16">
        <f aca="0">IF(B1382="","",SUMPRODUCT((실물목록!$P$2:$P$1001&lt;&gt;"")*ISNUMBER(SEARCH(실물목록!$P$2:$P$1001,I1382))*(실물목록!$Q$2:$Q$1001&lt;&gt;"")*ISNUMBER(SEARCH(실물목록!$Q$2:$Q$1001,I1382))*(실물목록!$R$2:$R$1001="")*(실물목록!$O$2:$O$1001&lt;&gt;"")*(실물목록!$O$2:$O$1001=H1382)))</f>
      </c>
      <c r="H1382" t="str">
        <f>IFERROR(IF(AND(LEN(SUBSTITUTE(SUBSTITUTE(SUBSTITUTE(TRIM(A1382&amp;""),CHAR(160),"")," ",""),"년",""))=4,VALUE(SUBSTITUTE(SUBSTITUTE(SUBSTITUTE(TRIM(A1382&amp;""),CHAR(160),"")," ",""),"년",""))&gt;=1900,VALUE(SUBSTITUTE(SUBSTITUTE(SUBSTITUTE(TRIM(A1382&amp;""),CHAR(160),"")," ",""),"년",""))&lt;=2099,TEXT(VALUE(SUBSTITUTE(SUBSTITUTE(SUBSTITUTE(TRIM(A1382&amp;""),CHAR(160),"")," ",""),"년","")),"0000")=SUBSTITUTE(SUBSTITUTE(SUBSTITUTE(TRIM(A1382&amp;""),CHAR(160),"")," ",""),"년","")),SUBSTITUTE(SUBSTITUTE(SUBSTITUTE(TRIM(A1382&amp;""),CHAR(160),"")," ",""),"년",""),""),"")</f>
      </c>
      <c r="I1382" t="str">
        <f>SUBSTITUTE(SUBSTITUTE(SUBSTITUTE(SUBSTITUTE(SUBSTITUTE(TRIM(B1382&amp;""),CHAR(160),"")," ",""),"초등학교","초"),"중학교","중"),"고등학교","고")</f>
      </c>
    </row>
    <row r="1383" customFormat="false" ht="15" hidden="false" customHeight="false" outlineLevel="0" collapsed="false">
      <c r="A1383" s="8"/>
      <c r="B1383" s="8"/>
      <c r="C1383" s="8"/>
      <c r="D1383" s="8"/>
      <c r="E1383" s="8"/>
      <c r="F1383" t="str" s="15">
        <f aca="0">IF(B1383="","",IF(H1383="","확인필요(입력누락)",IF(SUMPRODUCT((실물목록!$P$2:$P$1001&lt;&gt;"")*ISNUMBER(SEARCH(실물목록!$P$2:$P$1001,I1383))*(실물목록!$Q$2:$Q$1001&lt;&gt;"")*ISNUMBER(SEARCH(실물목록!$Q$2:$Q$1001,I1383))*(실물목록!$R$2:$R$1001="")*(실물목록!$O$2:$O$1001&lt;&gt;"")*(실물목록!$O$2:$O$1001=H1383))&gt;0,"실물 있음",IF(SUMPRODUCT((실물목록!$P$2:$P$1001&lt;&gt;"")*ISNUMBER(SEARCH(실물목록!$P$2:$P$1001,I1383))*(실물목록!$R$2:$R$1001&lt;&gt;""))&gt;0,"확인필요(입력누락)",IF(SUMPRODUCT((실물목록!$P$2:$P$1001&lt;&gt;"")*ISNUMBER(SEARCH(실물목록!$P$2:$P$1001,I1383))*(실물목록!$Q$2:$Q$1001&lt;&gt;"")*ISNUMBER(SEARCH(실물목록!$Q$2:$Q$1001,I1383))*(실물목록!$R$2:$R$1001="")*(실물목록!$O$2:$O$1001&lt;&gt;""))&gt;0,"확인필요(연도다름)","실물 없음")))))</f>
      </c>
      <c r="G1383" t="n" s="16">
        <f aca="0">IF(B1383="","",SUMPRODUCT((실물목록!$P$2:$P$1001&lt;&gt;"")*ISNUMBER(SEARCH(실물목록!$P$2:$P$1001,I1383))*(실물목록!$Q$2:$Q$1001&lt;&gt;"")*ISNUMBER(SEARCH(실물목록!$Q$2:$Q$1001,I1383))*(실물목록!$R$2:$R$1001="")*(실물목록!$O$2:$O$1001&lt;&gt;"")*(실물목록!$O$2:$O$1001=H1383)))</f>
      </c>
      <c r="H1383" t="str">
        <f>IFERROR(IF(AND(LEN(SUBSTITUTE(SUBSTITUTE(SUBSTITUTE(TRIM(A1383&amp;""),CHAR(160),"")," ",""),"년",""))=4,VALUE(SUBSTITUTE(SUBSTITUTE(SUBSTITUTE(TRIM(A1383&amp;""),CHAR(160),"")," ",""),"년",""))&gt;=1900,VALUE(SUBSTITUTE(SUBSTITUTE(SUBSTITUTE(TRIM(A1383&amp;""),CHAR(160),"")," ",""),"년",""))&lt;=2099,TEXT(VALUE(SUBSTITUTE(SUBSTITUTE(SUBSTITUTE(TRIM(A1383&amp;""),CHAR(160),"")," ",""),"년","")),"0000")=SUBSTITUTE(SUBSTITUTE(SUBSTITUTE(TRIM(A1383&amp;""),CHAR(160),"")," ",""),"년","")),SUBSTITUTE(SUBSTITUTE(SUBSTITUTE(TRIM(A1383&amp;""),CHAR(160),"")," ",""),"년",""),""),"")</f>
      </c>
      <c r="I1383" t="str">
        <f>SUBSTITUTE(SUBSTITUTE(SUBSTITUTE(SUBSTITUTE(SUBSTITUTE(TRIM(B1383&amp;""),CHAR(160),"")," ",""),"초등학교","초"),"중학교","중"),"고등학교","고")</f>
      </c>
    </row>
    <row r="1384" customFormat="false" ht="15" hidden="false" customHeight="false" outlineLevel="0" collapsed="false">
      <c r="A1384" s="8"/>
      <c r="B1384" s="8"/>
      <c r="C1384" s="8"/>
      <c r="D1384" s="8"/>
      <c r="E1384" s="8"/>
      <c r="F1384" t="str" s="15">
        <f aca="0">IF(B1384="","",IF(H1384="","확인필요(입력누락)",IF(SUMPRODUCT((실물목록!$P$2:$P$1001&lt;&gt;"")*ISNUMBER(SEARCH(실물목록!$P$2:$P$1001,I1384))*(실물목록!$Q$2:$Q$1001&lt;&gt;"")*ISNUMBER(SEARCH(실물목록!$Q$2:$Q$1001,I1384))*(실물목록!$R$2:$R$1001="")*(실물목록!$O$2:$O$1001&lt;&gt;"")*(실물목록!$O$2:$O$1001=H1384))&gt;0,"실물 있음",IF(SUMPRODUCT((실물목록!$P$2:$P$1001&lt;&gt;"")*ISNUMBER(SEARCH(실물목록!$P$2:$P$1001,I1384))*(실물목록!$R$2:$R$1001&lt;&gt;""))&gt;0,"확인필요(입력누락)",IF(SUMPRODUCT((실물목록!$P$2:$P$1001&lt;&gt;"")*ISNUMBER(SEARCH(실물목록!$P$2:$P$1001,I1384))*(실물목록!$Q$2:$Q$1001&lt;&gt;"")*ISNUMBER(SEARCH(실물목록!$Q$2:$Q$1001,I1384))*(실물목록!$R$2:$R$1001="")*(실물목록!$O$2:$O$1001&lt;&gt;""))&gt;0,"확인필요(연도다름)","실물 없음")))))</f>
      </c>
      <c r="G1384" t="n" s="16">
        <f aca="0">IF(B1384="","",SUMPRODUCT((실물목록!$P$2:$P$1001&lt;&gt;"")*ISNUMBER(SEARCH(실물목록!$P$2:$P$1001,I1384))*(실물목록!$Q$2:$Q$1001&lt;&gt;"")*ISNUMBER(SEARCH(실물목록!$Q$2:$Q$1001,I1384))*(실물목록!$R$2:$R$1001="")*(실물목록!$O$2:$O$1001&lt;&gt;"")*(실물목록!$O$2:$O$1001=H1384)))</f>
      </c>
      <c r="H1384" t="str">
        <f>IFERROR(IF(AND(LEN(SUBSTITUTE(SUBSTITUTE(SUBSTITUTE(TRIM(A1384&amp;""),CHAR(160),"")," ",""),"년",""))=4,VALUE(SUBSTITUTE(SUBSTITUTE(SUBSTITUTE(TRIM(A1384&amp;""),CHAR(160),"")," ",""),"년",""))&gt;=1900,VALUE(SUBSTITUTE(SUBSTITUTE(SUBSTITUTE(TRIM(A1384&amp;""),CHAR(160),"")," ",""),"년",""))&lt;=2099,TEXT(VALUE(SUBSTITUTE(SUBSTITUTE(SUBSTITUTE(TRIM(A1384&amp;""),CHAR(160),"")," ",""),"년","")),"0000")=SUBSTITUTE(SUBSTITUTE(SUBSTITUTE(TRIM(A1384&amp;""),CHAR(160),"")," ",""),"년","")),SUBSTITUTE(SUBSTITUTE(SUBSTITUTE(TRIM(A1384&amp;""),CHAR(160),"")," ",""),"년",""),""),"")</f>
      </c>
      <c r="I1384" t="str">
        <f>SUBSTITUTE(SUBSTITUTE(SUBSTITUTE(SUBSTITUTE(SUBSTITUTE(TRIM(B1384&amp;""),CHAR(160),"")," ",""),"초등학교","초"),"중학교","중"),"고등학교","고")</f>
      </c>
    </row>
    <row r="1385" customFormat="false" ht="15" hidden="false" customHeight="false" outlineLevel="0" collapsed="false">
      <c r="A1385" s="8"/>
      <c r="B1385" s="8"/>
      <c r="C1385" s="8"/>
      <c r="D1385" s="8"/>
      <c r="E1385" s="8"/>
      <c r="F1385" t="str" s="15">
        <f aca="0">IF(B1385="","",IF(H1385="","확인필요(입력누락)",IF(SUMPRODUCT((실물목록!$P$2:$P$1001&lt;&gt;"")*ISNUMBER(SEARCH(실물목록!$P$2:$P$1001,I1385))*(실물목록!$Q$2:$Q$1001&lt;&gt;"")*ISNUMBER(SEARCH(실물목록!$Q$2:$Q$1001,I1385))*(실물목록!$R$2:$R$1001="")*(실물목록!$O$2:$O$1001&lt;&gt;"")*(실물목록!$O$2:$O$1001=H1385))&gt;0,"실물 있음",IF(SUMPRODUCT((실물목록!$P$2:$P$1001&lt;&gt;"")*ISNUMBER(SEARCH(실물목록!$P$2:$P$1001,I1385))*(실물목록!$R$2:$R$1001&lt;&gt;""))&gt;0,"확인필요(입력누락)",IF(SUMPRODUCT((실물목록!$P$2:$P$1001&lt;&gt;"")*ISNUMBER(SEARCH(실물목록!$P$2:$P$1001,I1385))*(실물목록!$Q$2:$Q$1001&lt;&gt;"")*ISNUMBER(SEARCH(실물목록!$Q$2:$Q$1001,I1385))*(실물목록!$R$2:$R$1001="")*(실물목록!$O$2:$O$1001&lt;&gt;""))&gt;0,"확인필요(연도다름)","실물 없음")))))</f>
      </c>
      <c r="G1385" t="n" s="16">
        <f aca="0">IF(B1385="","",SUMPRODUCT((실물목록!$P$2:$P$1001&lt;&gt;"")*ISNUMBER(SEARCH(실물목록!$P$2:$P$1001,I1385))*(실물목록!$Q$2:$Q$1001&lt;&gt;"")*ISNUMBER(SEARCH(실물목록!$Q$2:$Q$1001,I1385))*(실물목록!$R$2:$R$1001="")*(실물목록!$O$2:$O$1001&lt;&gt;"")*(실물목록!$O$2:$O$1001=H1385)))</f>
      </c>
      <c r="H1385" t="str">
        <f>IFERROR(IF(AND(LEN(SUBSTITUTE(SUBSTITUTE(SUBSTITUTE(TRIM(A1385&amp;""),CHAR(160),"")," ",""),"년",""))=4,VALUE(SUBSTITUTE(SUBSTITUTE(SUBSTITUTE(TRIM(A1385&amp;""),CHAR(160),"")," ",""),"년",""))&gt;=1900,VALUE(SUBSTITUTE(SUBSTITUTE(SUBSTITUTE(TRIM(A1385&amp;""),CHAR(160),"")," ",""),"년",""))&lt;=2099,TEXT(VALUE(SUBSTITUTE(SUBSTITUTE(SUBSTITUTE(TRIM(A1385&amp;""),CHAR(160),"")," ",""),"년","")),"0000")=SUBSTITUTE(SUBSTITUTE(SUBSTITUTE(TRIM(A1385&amp;""),CHAR(160),"")," ",""),"년","")),SUBSTITUTE(SUBSTITUTE(SUBSTITUTE(TRIM(A1385&amp;""),CHAR(160),"")," ",""),"년",""),""),"")</f>
      </c>
      <c r="I1385" t="str">
        <f>SUBSTITUTE(SUBSTITUTE(SUBSTITUTE(SUBSTITUTE(SUBSTITUTE(TRIM(B1385&amp;""),CHAR(160),"")," ",""),"초등학교","초"),"중학교","중"),"고등학교","고")</f>
      </c>
    </row>
    <row r="1386" customFormat="false" ht="15" hidden="false" customHeight="false" outlineLevel="0" collapsed="false">
      <c r="A1386" s="8"/>
      <c r="B1386" s="8"/>
      <c r="C1386" s="8"/>
      <c r="D1386" s="8"/>
      <c r="E1386" s="8"/>
      <c r="F1386" t="str" s="15">
        <f aca="0">IF(B1386="","",IF(H1386="","확인필요(입력누락)",IF(SUMPRODUCT((실물목록!$P$2:$P$1001&lt;&gt;"")*ISNUMBER(SEARCH(실물목록!$P$2:$P$1001,I1386))*(실물목록!$Q$2:$Q$1001&lt;&gt;"")*ISNUMBER(SEARCH(실물목록!$Q$2:$Q$1001,I1386))*(실물목록!$R$2:$R$1001="")*(실물목록!$O$2:$O$1001&lt;&gt;"")*(실물목록!$O$2:$O$1001=H1386))&gt;0,"실물 있음",IF(SUMPRODUCT((실물목록!$P$2:$P$1001&lt;&gt;"")*ISNUMBER(SEARCH(실물목록!$P$2:$P$1001,I1386))*(실물목록!$R$2:$R$1001&lt;&gt;""))&gt;0,"확인필요(입력누락)",IF(SUMPRODUCT((실물목록!$P$2:$P$1001&lt;&gt;"")*ISNUMBER(SEARCH(실물목록!$P$2:$P$1001,I1386))*(실물목록!$Q$2:$Q$1001&lt;&gt;"")*ISNUMBER(SEARCH(실물목록!$Q$2:$Q$1001,I1386))*(실물목록!$R$2:$R$1001="")*(실물목록!$O$2:$O$1001&lt;&gt;""))&gt;0,"확인필요(연도다름)","실물 없음")))))</f>
      </c>
      <c r="G1386" t="n" s="16">
        <f aca="0">IF(B1386="","",SUMPRODUCT((실물목록!$P$2:$P$1001&lt;&gt;"")*ISNUMBER(SEARCH(실물목록!$P$2:$P$1001,I1386))*(실물목록!$Q$2:$Q$1001&lt;&gt;"")*ISNUMBER(SEARCH(실물목록!$Q$2:$Q$1001,I1386))*(실물목록!$R$2:$R$1001="")*(실물목록!$O$2:$O$1001&lt;&gt;"")*(실물목록!$O$2:$O$1001=H1386)))</f>
      </c>
      <c r="H1386" t="str">
        <f>IFERROR(IF(AND(LEN(SUBSTITUTE(SUBSTITUTE(SUBSTITUTE(TRIM(A1386&amp;""),CHAR(160),"")," ",""),"년",""))=4,VALUE(SUBSTITUTE(SUBSTITUTE(SUBSTITUTE(TRIM(A1386&amp;""),CHAR(160),"")," ",""),"년",""))&gt;=1900,VALUE(SUBSTITUTE(SUBSTITUTE(SUBSTITUTE(TRIM(A1386&amp;""),CHAR(160),"")," ",""),"년",""))&lt;=2099,TEXT(VALUE(SUBSTITUTE(SUBSTITUTE(SUBSTITUTE(TRIM(A1386&amp;""),CHAR(160),"")," ",""),"년","")),"0000")=SUBSTITUTE(SUBSTITUTE(SUBSTITUTE(TRIM(A1386&amp;""),CHAR(160),"")," ",""),"년","")),SUBSTITUTE(SUBSTITUTE(SUBSTITUTE(TRIM(A1386&amp;""),CHAR(160),"")," ",""),"년",""),""),"")</f>
      </c>
      <c r="I1386" t="str">
        <f>SUBSTITUTE(SUBSTITUTE(SUBSTITUTE(SUBSTITUTE(SUBSTITUTE(TRIM(B1386&amp;""),CHAR(160),"")," ",""),"초등학교","초"),"중학교","중"),"고등학교","고")</f>
      </c>
    </row>
    <row r="1387" customFormat="false" ht="15" hidden="false" customHeight="false" outlineLevel="0" collapsed="false">
      <c r="A1387" s="8"/>
      <c r="B1387" s="8"/>
      <c r="C1387" s="8"/>
      <c r="D1387" s="8"/>
      <c r="E1387" s="8"/>
      <c r="F1387" t="str" s="15">
        <f aca="0">IF(B1387="","",IF(H1387="","확인필요(입력누락)",IF(SUMPRODUCT((실물목록!$P$2:$P$1001&lt;&gt;"")*ISNUMBER(SEARCH(실물목록!$P$2:$P$1001,I1387))*(실물목록!$Q$2:$Q$1001&lt;&gt;"")*ISNUMBER(SEARCH(실물목록!$Q$2:$Q$1001,I1387))*(실물목록!$R$2:$R$1001="")*(실물목록!$O$2:$O$1001&lt;&gt;"")*(실물목록!$O$2:$O$1001=H1387))&gt;0,"실물 있음",IF(SUMPRODUCT((실물목록!$P$2:$P$1001&lt;&gt;"")*ISNUMBER(SEARCH(실물목록!$P$2:$P$1001,I1387))*(실물목록!$R$2:$R$1001&lt;&gt;""))&gt;0,"확인필요(입력누락)",IF(SUMPRODUCT((실물목록!$P$2:$P$1001&lt;&gt;"")*ISNUMBER(SEARCH(실물목록!$P$2:$P$1001,I1387))*(실물목록!$Q$2:$Q$1001&lt;&gt;"")*ISNUMBER(SEARCH(실물목록!$Q$2:$Q$1001,I1387))*(실물목록!$R$2:$R$1001="")*(실물목록!$O$2:$O$1001&lt;&gt;""))&gt;0,"확인필요(연도다름)","실물 없음")))))</f>
      </c>
      <c r="G1387" t="n" s="16">
        <f aca="0">IF(B1387="","",SUMPRODUCT((실물목록!$P$2:$P$1001&lt;&gt;"")*ISNUMBER(SEARCH(실물목록!$P$2:$P$1001,I1387))*(실물목록!$Q$2:$Q$1001&lt;&gt;"")*ISNUMBER(SEARCH(실물목록!$Q$2:$Q$1001,I1387))*(실물목록!$R$2:$R$1001="")*(실물목록!$O$2:$O$1001&lt;&gt;"")*(실물목록!$O$2:$O$1001=H1387)))</f>
      </c>
      <c r="H1387" t="str">
        <f>IFERROR(IF(AND(LEN(SUBSTITUTE(SUBSTITUTE(SUBSTITUTE(TRIM(A1387&amp;""),CHAR(160),"")," ",""),"년",""))=4,VALUE(SUBSTITUTE(SUBSTITUTE(SUBSTITUTE(TRIM(A1387&amp;""),CHAR(160),"")," ",""),"년",""))&gt;=1900,VALUE(SUBSTITUTE(SUBSTITUTE(SUBSTITUTE(TRIM(A1387&amp;""),CHAR(160),"")," ",""),"년",""))&lt;=2099,TEXT(VALUE(SUBSTITUTE(SUBSTITUTE(SUBSTITUTE(TRIM(A1387&amp;""),CHAR(160),"")," ",""),"년","")),"0000")=SUBSTITUTE(SUBSTITUTE(SUBSTITUTE(TRIM(A1387&amp;""),CHAR(160),"")," ",""),"년","")),SUBSTITUTE(SUBSTITUTE(SUBSTITUTE(TRIM(A1387&amp;""),CHAR(160),"")," ",""),"년",""),""),"")</f>
      </c>
      <c r="I1387" t="str">
        <f>SUBSTITUTE(SUBSTITUTE(SUBSTITUTE(SUBSTITUTE(SUBSTITUTE(TRIM(B1387&amp;""),CHAR(160),"")," ",""),"초등학교","초"),"중학교","중"),"고등학교","고")</f>
      </c>
    </row>
    <row r="1388" customFormat="false" ht="15" hidden="false" customHeight="false" outlineLevel="0" collapsed="false">
      <c r="A1388" s="8"/>
      <c r="B1388" s="8"/>
      <c r="C1388" s="8"/>
      <c r="D1388" s="8"/>
      <c r="E1388" s="8"/>
      <c r="F1388" t="str" s="15">
        <f aca="0">IF(B1388="","",IF(H1388="","확인필요(입력누락)",IF(SUMPRODUCT((실물목록!$P$2:$P$1001&lt;&gt;"")*ISNUMBER(SEARCH(실물목록!$P$2:$P$1001,I1388))*(실물목록!$Q$2:$Q$1001&lt;&gt;"")*ISNUMBER(SEARCH(실물목록!$Q$2:$Q$1001,I1388))*(실물목록!$R$2:$R$1001="")*(실물목록!$O$2:$O$1001&lt;&gt;"")*(실물목록!$O$2:$O$1001=H1388))&gt;0,"실물 있음",IF(SUMPRODUCT((실물목록!$P$2:$P$1001&lt;&gt;"")*ISNUMBER(SEARCH(실물목록!$P$2:$P$1001,I1388))*(실물목록!$R$2:$R$1001&lt;&gt;""))&gt;0,"확인필요(입력누락)",IF(SUMPRODUCT((실물목록!$P$2:$P$1001&lt;&gt;"")*ISNUMBER(SEARCH(실물목록!$P$2:$P$1001,I1388))*(실물목록!$Q$2:$Q$1001&lt;&gt;"")*ISNUMBER(SEARCH(실물목록!$Q$2:$Q$1001,I1388))*(실물목록!$R$2:$R$1001="")*(실물목록!$O$2:$O$1001&lt;&gt;""))&gt;0,"확인필요(연도다름)","실물 없음")))))</f>
      </c>
      <c r="G1388" t="n" s="16">
        <f aca="0">IF(B1388="","",SUMPRODUCT((실물목록!$P$2:$P$1001&lt;&gt;"")*ISNUMBER(SEARCH(실물목록!$P$2:$P$1001,I1388))*(실물목록!$Q$2:$Q$1001&lt;&gt;"")*ISNUMBER(SEARCH(실물목록!$Q$2:$Q$1001,I1388))*(실물목록!$R$2:$R$1001="")*(실물목록!$O$2:$O$1001&lt;&gt;"")*(실물목록!$O$2:$O$1001=H1388)))</f>
      </c>
      <c r="H1388" t="str">
        <f>IFERROR(IF(AND(LEN(SUBSTITUTE(SUBSTITUTE(SUBSTITUTE(TRIM(A1388&amp;""),CHAR(160),"")," ",""),"년",""))=4,VALUE(SUBSTITUTE(SUBSTITUTE(SUBSTITUTE(TRIM(A1388&amp;""),CHAR(160),"")," ",""),"년",""))&gt;=1900,VALUE(SUBSTITUTE(SUBSTITUTE(SUBSTITUTE(TRIM(A1388&amp;""),CHAR(160),"")," ",""),"년",""))&lt;=2099,TEXT(VALUE(SUBSTITUTE(SUBSTITUTE(SUBSTITUTE(TRIM(A1388&amp;""),CHAR(160),"")," ",""),"년","")),"0000")=SUBSTITUTE(SUBSTITUTE(SUBSTITUTE(TRIM(A1388&amp;""),CHAR(160),"")," ",""),"년","")),SUBSTITUTE(SUBSTITUTE(SUBSTITUTE(TRIM(A1388&amp;""),CHAR(160),"")," ",""),"년",""),""),"")</f>
      </c>
      <c r="I1388" t="str">
        <f>SUBSTITUTE(SUBSTITUTE(SUBSTITUTE(SUBSTITUTE(SUBSTITUTE(TRIM(B1388&amp;""),CHAR(160),"")," ",""),"초등학교","초"),"중학교","중"),"고등학교","고")</f>
      </c>
    </row>
    <row r="1389" customFormat="false" ht="15" hidden="false" customHeight="false" outlineLevel="0" collapsed="false">
      <c r="A1389" s="8"/>
      <c r="B1389" s="8"/>
      <c r="C1389" s="8"/>
      <c r="D1389" s="8"/>
      <c r="E1389" s="8"/>
      <c r="F1389" t="str" s="15">
        <f aca="0">IF(B1389="","",IF(H1389="","확인필요(입력누락)",IF(SUMPRODUCT((실물목록!$P$2:$P$1001&lt;&gt;"")*ISNUMBER(SEARCH(실물목록!$P$2:$P$1001,I1389))*(실물목록!$Q$2:$Q$1001&lt;&gt;"")*ISNUMBER(SEARCH(실물목록!$Q$2:$Q$1001,I1389))*(실물목록!$R$2:$R$1001="")*(실물목록!$O$2:$O$1001&lt;&gt;"")*(실물목록!$O$2:$O$1001=H1389))&gt;0,"실물 있음",IF(SUMPRODUCT((실물목록!$P$2:$P$1001&lt;&gt;"")*ISNUMBER(SEARCH(실물목록!$P$2:$P$1001,I1389))*(실물목록!$R$2:$R$1001&lt;&gt;""))&gt;0,"확인필요(입력누락)",IF(SUMPRODUCT((실물목록!$P$2:$P$1001&lt;&gt;"")*ISNUMBER(SEARCH(실물목록!$P$2:$P$1001,I1389))*(실물목록!$Q$2:$Q$1001&lt;&gt;"")*ISNUMBER(SEARCH(실물목록!$Q$2:$Q$1001,I1389))*(실물목록!$R$2:$R$1001="")*(실물목록!$O$2:$O$1001&lt;&gt;""))&gt;0,"확인필요(연도다름)","실물 없음")))))</f>
      </c>
      <c r="G1389" t="n" s="16">
        <f aca="0">IF(B1389="","",SUMPRODUCT((실물목록!$P$2:$P$1001&lt;&gt;"")*ISNUMBER(SEARCH(실물목록!$P$2:$P$1001,I1389))*(실물목록!$Q$2:$Q$1001&lt;&gt;"")*ISNUMBER(SEARCH(실물목록!$Q$2:$Q$1001,I1389))*(실물목록!$R$2:$R$1001="")*(실물목록!$O$2:$O$1001&lt;&gt;"")*(실물목록!$O$2:$O$1001=H1389)))</f>
      </c>
      <c r="H1389" t="str">
        <f>IFERROR(IF(AND(LEN(SUBSTITUTE(SUBSTITUTE(SUBSTITUTE(TRIM(A1389&amp;""),CHAR(160),"")," ",""),"년",""))=4,VALUE(SUBSTITUTE(SUBSTITUTE(SUBSTITUTE(TRIM(A1389&amp;""),CHAR(160),"")," ",""),"년",""))&gt;=1900,VALUE(SUBSTITUTE(SUBSTITUTE(SUBSTITUTE(TRIM(A1389&amp;""),CHAR(160),"")," ",""),"년",""))&lt;=2099,TEXT(VALUE(SUBSTITUTE(SUBSTITUTE(SUBSTITUTE(TRIM(A1389&amp;""),CHAR(160),"")," ",""),"년","")),"0000")=SUBSTITUTE(SUBSTITUTE(SUBSTITUTE(TRIM(A1389&amp;""),CHAR(160),"")," ",""),"년","")),SUBSTITUTE(SUBSTITUTE(SUBSTITUTE(TRIM(A1389&amp;""),CHAR(160),"")," ",""),"년",""),""),"")</f>
      </c>
      <c r="I1389" t="str">
        <f>SUBSTITUTE(SUBSTITUTE(SUBSTITUTE(SUBSTITUTE(SUBSTITUTE(TRIM(B1389&amp;""),CHAR(160),"")," ",""),"초등학교","초"),"중학교","중"),"고등학교","고")</f>
      </c>
    </row>
    <row r="1390" customFormat="false" ht="15" hidden="false" customHeight="false" outlineLevel="0" collapsed="false">
      <c r="A1390" s="8"/>
      <c r="B1390" s="8"/>
      <c r="C1390" s="8"/>
      <c r="D1390" s="8"/>
      <c r="E1390" s="8"/>
      <c r="F1390" t="str" s="15">
        <f aca="0">IF(B1390="","",IF(H1390="","확인필요(입력누락)",IF(SUMPRODUCT((실물목록!$P$2:$P$1001&lt;&gt;"")*ISNUMBER(SEARCH(실물목록!$P$2:$P$1001,I1390))*(실물목록!$Q$2:$Q$1001&lt;&gt;"")*ISNUMBER(SEARCH(실물목록!$Q$2:$Q$1001,I1390))*(실물목록!$R$2:$R$1001="")*(실물목록!$O$2:$O$1001&lt;&gt;"")*(실물목록!$O$2:$O$1001=H1390))&gt;0,"실물 있음",IF(SUMPRODUCT((실물목록!$P$2:$P$1001&lt;&gt;"")*ISNUMBER(SEARCH(실물목록!$P$2:$P$1001,I1390))*(실물목록!$R$2:$R$1001&lt;&gt;""))&gt;0,"확인필요(입력누락)",IF(SUMPRODUCT((실물목록!$P$2:$P$1001&lt;&gt;"")*ISNUMBER(SEARCH(실물목록!$P$2:$P$1001,I1390))*(실물목록!$Q$2:$Q$1001&lt;&gt;"")*ISNUMBER(SEARCH(실물목록!$Q$2:$Q$1001,I1390))*(실물목록!$R$2:$R$1001="")*(실물목록!$O$2:$O$1001&lt;&gt;""))&gt;0,"확인필요(연도다름)","실물 없음")))))</f>
      </c>
      <c r="G1390" t="n" s="16">
        <f aca="0">IF(B1390="","",SUMPRODUCT((실물목록!$P$2:$P$1001&lt;&gt;"")*ISNUMBER(SEARCH(실물목록!$P$2:$P$1001,I1390))*(실물목록!$Q$2:$Q$1001&lt;&gt;"")*ISNUMBER(SEARCH(실물목록!$Q$2:$Q$1001,I1390))*(실물목록!$R$2:$R$1001="")*(실물목록!$O$2:$O$1001&lt;&gt;"")*(실물목록!$O$2:$O$1001=H1390)))</f>
      </c>
      <c r="H1390" t="str">
        <f>IFERROR(IF(AND(LEN(SUBSTITUTE(SUBSTITUTE(SUBSTITUTE(TRIM(A1390&amp;""),CHAR(160),"")," ",""),"년",""))=4,VALUE(SUBSTITUTE(SUBSTITUTE(SUBSTITUTE(TRIM(A1390&amp;""),CHAR(160),"")," ",""),"년",""))&gt;=1900,VALUE(SUBSTITUTE(SUBSTITUTE(SUBSTITUTE(TRIM(A1390&amp;""),CHAR(160),"")," ",""),"년",""))&lt;=2099,TEXT(VALUE(SUBSTITUTE(SUBSTITUTE(SUBSTITUTE(TRIM(A1390&amp;""),CHAR(160),"")," ",""),"년","")),"0000")=SUBSTITUTE(SUBSTITUTE(SUBSTITUTE(TRIM(A1390&amp;""),CHAR(160),"")," ",""),"년","")),SUBSTITUTE(SUBSTITUTE(SUBSTITUTE(TRIM(A1390&amp;""),CHAR(160),"")," ",""),"년",""),""),"")</f>
      </c>
      <c r="I1390" t="str">
        <f>SUBSTITUTE(SUBSTITUTE(SUBSTITUTE(SUBSTITUTE(SUBSTITUTE(TRIM(B1390&amp;""),CHAR(160),"")," ",""),"초등학교","초"),"중학교","중"),"고등학교","고")</f>
      </c>
    </row>
    <row r="1391" customFormat="false" ht="15" hidden="false" customHeight="false" outlineLevel="0" collapsed="false">
      <c r="A1391" s="8"/>
      <c r="B1391" s="8"/>
      <c r="C1391" s="8"/>
      <c r="D1391" s="8"/>
      <c r="E1391" s="8"/>
      <c r="F1391" t="str" s="15">
        <f aca="0">IF(B1391="","",IF(H1391="","확인필요(입력누락)",IF(SUMPRODUCT((실물목록!$P$2:$P$1001&lt;&gt;"")*ISNUMBER(SEARCH(실물목록!$P$2:$P$1001,I1391))*(실물목록!$Q$2:$Q$1001&lt;&gt;"")*ISNUMBER(SEARCH(실물목록!$Q$2:$Q$1001,I1391))*(실물목록!$R$2:$R$1001="")*(실물목록!$O$2:$O$1001&lt;&gt;"")*(실물목록!$O$2:$O$1001=H1391))&gt;0,"실물 있음",IF(SUMPRODUCT((실물목록!$P$2:$P$1001&lt;&gt;"")*ISNUMBER(SEARCH(실물목록!$P$2:$P$1001,I1391))*(실물목록!$R$2:$R$1001&lt;&gt;""))&gt;0,"확인필요(입력누락)",IF(SUMPRODUCT((실물목록!$P$2:$P$1001&lt;&gt;"")*ISNUMBER(SEARCH(실물목록!$P$2:$P$1001,I1391))*(실물목록!$Q$2:$Q$1001&lt;&gt;"")*ISNUMBER(SEARCH(실물목록!$Q$2:$Q$1001,I1391))*(실물목록!$R$2:$R$1001="")*(실물목록!$O$2:$O$1001&lt;&gt;""))&gt;0,"확인필요(연도다름)","실물 없음")))))</f>
      </c>
      <c r="G1391" t="n" s="16">
        <f aca="0">IF(B1391="","",SUMPRODUCT((실물목록!$P$2:$P$1001&lt;&gt;"")*ISNUMBER(SEARCH(실물목록!$P$2:$P$1001,I1391))*(실물목록!$Q$2:$Q$1001&lt;&gt;"")*ISNUMBER(SEARCH(실물목록!$Q$2:$Q$1001,I1391))*(실물목록!$R$2:$R$1001="")*(실물목록!$O$2:$O$1001&lt;&gt;"")*(실물목록!$O$2:$O$1001=H1391)))</f>
      </c>
      <c r="H1391" t="str">
        <f>IFERROR(IF(AND(LEN(SUBSTITUTE(SUBSTITUTE(SUBSTITUTE(TRIM(A1391&amp;""),CHAR(160),"")," ",""),"년",""))=4,VALUE(SUBSTITUTE(SUBSTITUTE(SUBSTITUTE(TRIM(A1391&amp;""),CHAR(160),"")," ",""),"년",""))&gt;=1900,VALUE(SUBSTITUTE(SUBSTITUTE(SUBSTITUTE(TRIM(A1391&amp;""),CHAR(160),"")," ",""),"년",""))&lt;=2099,TEXT(VALUE(SUBSTITUTE(SUBSTITUTE(SUBSTITUTE(TRIM(A1391&amp;""),CHAR(160),"")," ",""),"년","")),"0000")=SUBSTITUTE(SUBSTITUTE(SUBSTITUTE(TRIM(A1391&amp;""),CHAR(160),"")," ",""),"년","")),SUBSTITUTE(SUBSTITUTE(SUBSTITUTE(TRIM(A1391&amp;""),CHAR(160),"")," ",""),"년",""),""),"")</f>
      </c>
      <c r="I1391" t="str">
        <f>SUBSTITUTE(SUBSTITUTE(SUBSTITUTE(SUBSTITUTE(SUBSTITUTE(TRIM(B1391&amp;""),CHAR(160),"")," ",""),"초등학교","초"),"중학교","중"),"고등학교","고")</f>
      </c>
    </row>
    <row r="1392" customFormat="false" ht="15" hidden="false" customHeight="false" outlineLevel="0" collapsed="false">
      <c r="A1392" s="8"/>
      <c r="B1392" s="8"/>
      <c r="C1392" s="8"/>
      <c r="D1392" s="8"/>
      <c r="E1392" s="8"/>
      <c r="F1392" t="str" s="15">
        <f aca="0">IF(B1392="","",IF(H1392="","확인필요(입력누락)",IF(SUMPRODUCT((실물목록!$P$2:$P$1001&lt;&gt;"")*ISNUMBER(SEARCH(실물목록!$P$2:$P$1001,I1392))*(실물목록!$Q$2:$Q$1001&lt;&gt;"")*ISNUMBER(SEARCH(실물목록!$Q$2:$Q$1001,I1392))*(실물목록!$R$2:$R$1001="")*(실물목록!$O$2:$O$1001&lt;&gt;"")*(실물목록!$O$2:$O$1001=H1392))&gt;0,"실물 있음",IF(SUMPRODUCT((실물목록!$P$2:$P$1001&lt;&gt;"")*ISNUMBER(SEARCH(실물목록!$P$2:$P$1001,I1392))*(실물목록!$R$2:$R$1001&lt;&gt;""))&gt;0,"확인필요(입력누락)",IF(SUMPRODUCT((실물목록!$P$2:$P$1001&lt;&gt;"")*ISNUMBER(SEARCH(실물목록!$P$2:$P$1001,I1392))*(실물목록!$Q$2:$Q$1001&lt;&gt;"")*ISNUMBER(SEARCH(실물목록!$Q$2:$Q$1001,I1392))*(실물목록!$R$2:$R$1001="")*(실물목록!$O$2:$O$1001&lt;&gt;""))&gt;0,"확인필요(연도다름)","실물 없음")))))</f>
      </c>
      <c r="G1392" t="n" s="16">
        <f aca="0">IF(B1392="","",SUMPRODUCT((실물목록!$P$2:$P$1001&lt;&gt;"")*ISNUMBER(SEARCH(실물목록!$P$2:$P$1001,I1392))*(실물목록!$Q$2:$Q$1001&lt;&gt;"")*ISNUMBER(SEARCH(실물목록!$Q$2:$Q$1001,I1392))*(실물목록!$R$2:$R$1001="")*(실물목록!$O$2:$O$1001&lt;&gt;"")*(실물목록!$O$2:$O$1001=H1392)))</f>
      </c>
      <c r="H1392" t="str">
        <f>IFERROR(IF(AND(LEN(SUBSTITUTE(SUBSTITUTE(SUBSTITUTE(TRIM(A1392&amp;""),CHAR(160),"")," ",""),"년",""))=4,VALUE(SUBSTITUTE(SUBSTITUTE(SUBSTITUTE(TRIM(A1392&amp;""),CHAR(160),"")," ",""),"년",""))&gt;=1900,VALUE(SUBSTITUTE(SUBSTITUTE(SUBSTITUTE(TRIM(A1392&amp;""),CHAR(160),"")," ",""),"년",""))&lt;=2099,TEXT(VALUE(SUBSTITUTE(SUBSTITUTE(SUBSTITUTE(TRIM(A1392&amp;""),CHAR(160),"")," ",""),"년","")),"0000")=SUBSTITUTE(SUBSTITUTE(SUBSTITUTE(TRIM(A1392&amp;""),CHAR(160),"")," ",""),"년","")),SUBSTITUTE(SUBSTITUTE(SUBSTITUTE(TRIM(A1392&amp;""),CHAR(160),"")," ",""),"년",""),""),"")</f>
      </c>
      <c r="I1392" t="str">
        <f>SUBSTITUTE(SUBSTITUTE(SUBSTITUTE(SUBSTITUTE(SUBSTITUTE(TRIM(B1392&amp;""),CHAR(160),"")," ",""),"초등학교","초"),"중학교","중"),"고등학교","고")</f>
      </c>
    </row>
    <row r="1393" customFormat="false" ht="15" hidden="false" customHeight="false" outlineLevel="0" collapsed="false">
      <c r="A1393" s="8"/>
      <c r="B1393" s="8"/>
      <c r="C1393" s="8"/>
      <c r="D1393" s="8"/>
      <c r="E1393" s="8"/>
      <c r="F1393" t="str" s="15">
        <f aca="0">IF(B1393="","",IF(H1393="","확인필요(입력누락)",IF(SUMPRODUCT((실물목록!$P$2:$P$1001&lt;&gt;"")*ISNUMBER(SEARCH(실물목록!$P$2:$P$1001,I1393))*(실물목록!$Q$2:$Q$1001&lt;&gt;"")*ISNUMBER(SEARCH(실물목록!$Q$2:$Q$1001,I1393))*(실물목록!$R$2:$R$1001="")*(실물목록!$O$2:$O$1001&lt;&gt;"")*(실물목록!$O$2:$O$1001=H1393))&gt;0,"실물 있음",IF(SUMPRODUCT((실물목록!$P$2:$P$1001&lt;&gt;"")*ISNUMBER(SEARCH(실물목록!$P$2:$P$1001,I1393))*(실물목록!$R$2:$R$1001&lt;&gt;""))&gt;0,"확인필요(입력누락)",IF(SUMPRODUCT((실물목록!$P$2:$P$1001&lt;&gt;"")*ISNUMBER(SEARCH(실물목록!$P$2:$P$1001,I1393))*(실물목록!$Q$2:$Q$1001&lt;&gt;"")*ISNUMBER(SEARCH(실물목록!$Q$2:$Q$1001,I1393))*(실물목록!$R$2:$R$1001="")*(실물목록!$O$2:$O$1001&lt;&gt;""))&gt;0,"확인필요(연도다름)","실물 없음")))))</f>
      </c>
      <c r="G1393" t="n" s="16">
        <f aca="0">IF(B1393="","",SUMPRODUCT((실물목록!$P$2:$P$1001&lt;&gt;"")*ISNUMBER(SEARCH(실물목록!$P$2:$P$1001,I1393))*(실물목록!$Q$2:$Q$1001&lt;&gt;"")*ISNUMBER(SEARCH(실물목록!$Q$2:$Q$1001,I1393))*(실물목록!$R$2:$R$1001="")*(실물목록!$O$2:$O$1001&lt;&gt;"")*(실물목록!$O$2:$O$1001=H1393)))</f>
      </c>
      <c r="H1393" t="str">
        <f>IFERROR(IF(AND(LEN(SUBSTITUTE(SUBSTITUTE(SUBSTITUTE(TRIM(A1393&amp;""),CHAR(160),"")," ",""),"년",""))=4,VALUE(SUBSTITUTE(SUBSTITUTE(SUBSTITUTE(TRIM(A1393&amp;""),CHAR(160),"")," ",""),"년",""))&gt;=1900,VALUE(SUBSTITUTE(SUBSTITUTE(SUBSTITUTE(TRIM(A1393&amp;""),CHAR(160),"")," ",""),"년",""))&lt;=2099,TEXT(VALUE(SUBSTITUTE(SUBSTITUTE(SUBSTITUTE(TRIM(A1393&amp;""),CHAR(160),"")," ",""),"년","")),"0000")=SUBSTITUTE(SUBSTITUTE(SUBSTITUTE(TRIM(A1393&amp;""),CHAR(160),"")," ",""),"년","")),SUBSTITUTE(SUBSTITUTE(SUBSTITUTE(TRIM(A1393&amp;""),CHAR(160),"")," ",""),"년",""),""),"")</f>
      </c>
      <c r="I1393" t="str">
        <f>SUBSTITUTE(SUBSTITUTE(SUBSTITUTE(SUBSTITUTE(SUBSTITUTE(TRIM(B1393&amp;""),CHAR(160),"")," ",""),"초등학교","초"),"중학교","중"),"고등학교","고")</f>
      </c>
    </row>
    <row r="1394" customFormat="false" ht="15" hidden="false" customHeight="false" outlineLevel="0" collapsed="false">
      <c r="A1394" s="8"/>
      <c r="B1394" s="8"/>
      <c r="C1394" s="8"/>
      <c r="D1394" s="8"/>
      <c r="E1394" s="8"/>
      <c r="F1394" t="str" s="15">
        <f aca="0">IF(B1394="","",IF(H1394="","확인필요(입력누락)",IF(SUMPRODUCT((실물목록!$P$2:$P$1001&lt;&gt;"")*ISNUMBER(SEARCH(실물목록!$P$2:$P$1001,I1394))*(실물목록!$Q$2:$Q$1001&lt;&gt;"")*ISNUMBER(SEARCH(실물목록!$Q$2:$Q$1001,I1394))*(실물목록!$R$2:$R$1001="")*(실물목록!$O$2:$O$1001&lt;&gt;"")*(실물목록!$O$2:$O$1001=H1394))&gt;0,"실물 있음",IF(SUMPRODUCT((실물목록!$P$2:$P$1001&lt;&gt;"")*ISNUMBER(SEARCH(실물목록!$P$2:$P$1001,I1394))*(실물목록!$R$2:$R$1001&lt;&gt;""))&gt;0,"확인필요(입력누락)",IF(SUMPRODUCT((실물목록!$P$2:$P$1001&lt;&gt;"")*ISNUMBER(SEARCH(실물목록!$P$2:$P$1001,I1394))*(실물목록!$Q$2:$Q$1001&lt;&gt;"")*ISNUMBER(SEARCH(실물목록!$Q$2:$Q$1001,I1394))*(실물목록!$R$2:$R$1001="")*(실물목록!$O$2:$O$1001&lt;&gt;""))&gt;0,"확인필요(연도다름)","실물 없음")))))</f>
      </c>
      <c r="G1394" t="n" s="16">
        <f aca="0">IF(B1394="","",SUMPRODUCT((실물목록!$P$2:$P$1001&lt;&gt;"")*ISNUMBER(SEARCH(실물목록!$P$2:$P$1001,I1394))*(실물목록!$Q$2:$Q$1001&lt;&gt;"")*ISNUMBER(SEARCH(실물목록!$Q$2:$Q$1001,I1394))*(실물목록!$R$2:$R$1001="")*(실물목록!$O$2:$O$1001&lt;&gt;"")*(실물목록!$O$2:$O$1001=H1394)))</f>
      </c>
      <c r="H1394" t="str">
        <f>IFERROR(IF(AND(LEN(SUBSTITUTE(SUBSTITUTE(SUBSTITUTE(TRIM(A1394&amp;""),CHAR(160),"")," ",""),"년",""))=4,VALUE(SUBSTITUTE(SUBSTITUTE(SUBSTITUTE(TRIM(A1394&amp;""),CHAR(160),"")," ",""),"년",""))&gt;=1900,VALUE(SUBSTITUTE(SUBSTITUTE(SUBSTITUTE(TRIM(A1394&amp;""),CHAR(160),"")," ",""),"년",""))&lt;=2099,TEXT(VALUE(SUBSTITUTE(SUBSTITUTE(SUBSTITUTE(TRIM(A1394&amp;""),CHAR(160),"")," ",""),"년","")),"0000")=SUBSTITUTE(SUBSTITUTE(SUBSTITUTE(TRIM(A1394&amp;""),CHAR(160),"")," ",""),"년","")),SUBSTITUTE(SUBSTITUTE(SUBSTITUTE(TRIM(A1394&amp;""),CHAR(160),"")," ",""),"년",""),""),"")</f>
      </c>
      <c r="I1394" t="str">
        <f>SUBSTITUTE(SUBSTITUTE(SUBSTITUTE(SUBSTITUTE(SUBSTITUTE(TRIM(B1394&amp;""),CHAR(160),"")," ",""),"초등학교","초"),"중학교","중"),"고등학교","고")</f>
      </c>
    </row>
    <row r="1395" customFormat="false" ht="15" hidden="false" customHeight="false" outlineLevel="0" collapsed="false">
      <c r="A1395" s="8"/>
      <c r="B1395" s="8"/>
      <c r="C1395" s="8"/>
      <c r="D1395" s="8"/>
      <c r="E1395" s="8"/>
      <c r="F1395" t="str" s="15">
        <f aca="0">IF(B1395="","",IF(H1395="","확인필요(입력누락)",IF(SUMPRODUCT((실물목록!$P$2:$P$1001&lt;&gt;"")*ISNUMBER(SEARCH(실물목록!$P$2:$P$1001,I1395))*(실물목록!$Q$2:$Q$1001&lt;&gt;"")*ISNUMBER(SEARCH(실물목록!$Q$2:$Q$1001,I1395))*(실물목록!$R$2:$R$1001="")*(실물목록!$O$2:$O$1001&lt;&gt;"")*(실물목록!$O$2:$O$1001=H1395))&gt;0,"실물 있음",IF(SUMPRODUCT((실물목록!$P$2:$P$1001&lt;&gt;"")*ISNUMBER(SEARCH(실물목록!$P$2:$P$1001,I1395))*(실물목록!$R$2:$R$1001&lt;&gt;""))&gt;0,"확인필요(입력누락)",IF(SUMPRODUCT((실물목록!$P$2:$P$1001&lt;&gt;"")*ISNUMBER(SEARCH(실물목록!$P$2:$P$1001,I1395))*(실물목록!$Q$2:$Q$1001&lt;&gt;"")*ISNUMBER(SEARCH(실물목록!$Q$2:$Q$1001,I1395))*(실물목록!$R$2:$R$1001="")*(실물목록!$O$2:$O$1001&lt;&gt;""))&gt;0,"확인필요(연도다름)","실물 없음")))))</f>
      </c>
      <c r="G1395" t="n" s="16">
        <f aca="0">IF(B1395="","",SUMPRODUCT((실물목록!$P$2:$P$1001&lt;&gt;"")*ISNUMBER(SEARCH(실물목록!$P$2:$P$1001,I1395))*(실물목록!$Q$2:$Q$1001&lt;&gt;"")*ISNUMBER(SEARCH(실물목록!$Q$2:$Q$1001,I1395))*(실물목록!$R$2:$R$1001="")*(실물목록!$O$2:$O$1001&lt;&gt;"")*(실물목록!$O$2:$O$1001=H1395)))</f>
      </c>
      <c r="H1395" t="str">
        <f>IFERROR(IF(AND(LEN(SUBSTITUTE(SUBSTITUTE(SUBSTITUTE(TRIM(A1395&amp;""),CHAR(160),"")," ",""),"년",""))=4,VALUE(SUBSTITUTE(SUBSTITUTE(SUBSTITUTE(TRIM(A1395&amp;""),CHAR(160),"")," ",""),"년",""))&gt;=1900,VALUE(SUBSTITUTE(SUBSTITUTE(SUBSTITUTE(TRIM(A1395&amp;""),CHAR(160),"")," ",""),"년",""))&lt;=2099,TEXT(VALUE(SUBSTITUTE(SUBSTITUTE(SUBSTITUTE(TRIM(A1395&amp;""),CHAR(160),"")," ",""),"년","")),"0000")=SUBSTITUTE(SUBSTITUTE(SUBSTITUTE(TRIM(A1395&amp;""),CHAR(160),"")," ",""),"년","")),SUBSTITUTE(SUBSTITUTE(SUBSTITUTE(TRIM(A1395&amp;""),CHAR(160),"")," ",""),"년",""),""),"")</f>
      </c>
      <c r="I1395" t="str">
        <f>SUBSTITUTE(SUBSTITUTE(SUBSTITUTE(SUBSTITUTE(SUBSTITUTE(TRIM(B1395&amp;""),CHAR(160),"")," ",""),"초등학교","초"),"중학교","중"),"고등학교","고")</f>
      </c>
    </row>
    <row r="1396" customFormat="false" ht="15" hidden="false" customHeight="false" outlineLevel="0" collapsed="false">
      <c r="A1396" s="8"/>
      <c r="B1396" s="8"/>
      <c r="C1396" s="8"/>
      <c r="D1396" s="8"/>
      <c r="E1396" s="8"/>
      <c r="F1396" t="str" s="15">
        <f aca="0">IF(B1396="","",IF(H1396="","확인필요(입력누락)",IF(SUMPRODUCT((실물목록!$P$2:$P$1001&lt;&gt;"")*ISNUMBER(SEARCH(실물목록!$P$2:$P$1001,I1396))*(실물목록!$Q$2:$Q$1001&lt;&gt;"")*ISNUMBER(SEARCH(실물목록!$Q$2:$Q$1001,I1396))*(실물목록!$R$2:$R$1001="")*(실물목록!$O$2:$O$1001&lt;&gt;"")*(실물목록!$O$2:$O$1001=H1396))&gt;0,"실물 있음",IF(SUMPRODUCT((실물목록!$P$2:$P$1001&lt;&gt;"")*ISNUMBER(SEARCH(실물목록!$P$2:$P$1001,I1396))*(실물목록!$R$2:$R$1001&lt;&gt;""))&gt;0,"확인필요(입력누락)",IF(SUMPRODUCT((실물목록!$P$2:$P$1001&lt;&gt;"")*ISNUMBER(SEARCH(실물목록!$P$2:$P$1001,I1396))*(실물목록!$Q$2:$Q$1001&lt;&gt;"")*ISNUMBER(SEARCH(실물목록!$Q$2:$Q$1001,I1396))*(실물목록!$R$2:$R$1001="")*(실물목록!$O$2:$O$1001&lt;&gt;""))&gt;0,"확인필요(연도다름)","실물 없음")))))</f>
      </c>
      <c r="G1396" t="n" s="16">
        <f aca="0">IF(B1396="","",SUMPRODUCT((실물목록!$P$2:$P$1001&lt;&gt;"")*ISNUMBER(SEARCH(실물목록!$P$2:$P$1001,I1396))*(실물목록!$Q$2:$Q$1001&lt;&gt;"")*ISNUMBER(SEARCH(실물목록!$Q$2:$Q$1001,I1396))*(실물목록!$R$2:$R$1001="")*(실물목록!$O$2:$O$1001&lt;&gt;"")*(실물목록!$O$2:$O$1001=H1396)))</f>
      </c>
      <c r="H1396" t="str">
        <f>IFERROR(IF(AND(LEN(SUBSTITUTE(SUBSTITUTE(SUBSTITUTE(TRIM(A1396&amp;""),CHAR(160),"")," ",""),"년",""))=4,VALUE(SUBSTITUTE(SUBSTITUTE(SUBSTITUTE(TRIM(A1396&amp;""),CHAR(160),"")," ",""),"년",""))&gt;=1900,VALUE(SUBSTITUTE(SUBSTITUTE(SUBSTITUTE(TRIM(A1396&amp;""),CHAR(160),"")," ",""),"년",""))&lt;=2099,TEXT(VALUE(SUBSTITUTE(SUBSTITUTE(SUBSTITUTE(TRIM(A1396&amp;""),CHAR(160),"")," ",""),"년","")),"0000")=SUBSTITUTE(SUBSTITUTE(SUBSTITUTE(TRIM(A1396&amp;""),CHAR(160),"")," ",""),"년","")),SUBSTITUTE(SUBSTITUTE(SUBSTITUTE(TRIM(A1396&amp;""),CHAR(160),"")," ",""),"년",""),""),"")</f>
      </c>
      <c r="I1396" t="str">
        <f>SUBSTITUTE(SUBSTITUTE(SUBSTITUTE(SUBSTITUTE(SUBSTITUTE(TRIM(B1396&amp;""),CHAR(160),"")," ",""),"초등학교","초"),"중학교","중"),"고등학교","고")</f>
      </c>
    </row>
    <row r="1397" customFormat="false" ht="15" hidden="false" customHeight="false" outlineLevel="0" collapsed="false">
      <c r="A1397" s="8"/>
      <c r="B1397" s="8"/>
      <c r="C1397" s="8"/>
      <c r="D1397" s="8"/>
      <c r="E1397" s="8"/>
      <c r="F1397" t="str" s="15">
        <f aca="0">IF(B1397="","",IF(H1397="","확인필요(입력누락)",IF(SUMPRODUCT((실물목록!$P$2:$P$1001&lt;&gt;"")*ISNUMBER(SEARCH(실물목록!$P$2:$P$1001,I1397))*(실물목록!$Q$2:$Q$1001&lt;&gt;"")*ISNUMBER(SEARCH(실물목록!$Q$2:$Q$1001,I1397))*(실물목록!$R$2:$R$1001="")*(실물목록!$O$2:$O$1001&lt;&gt;"")*(실물목록!$O$2:$O$1001=H1397))&gt;0,"실물 있음",IF(SUMPRODUCT((실물목록!$P$2:$P$1001&lt;&gt;"")*ISNUMBER(SEARCH(실물목록!$P$2:$P$1001,I1397))*(실물목록!$R$2:$R$1001&lt;&gt;""))&gt;0,"확인필요(입력누락)",IF(SUMPRODUCT((실물목록!$P$2:$P$1001&lt;&gt;"")*ISNUMBER(SEARCH(실물목록!$P$2:$P$1001,I1397))*(실물목록!$Q$2:$Q$1001&lt;&gt;"")*ISNUMBER(SEARCH(실물목록!$Q$2:$Q$1001,I1397))*(실물목록!$R$2:$R$1001="")*(실물목록!$O$2:$O$1001&lt;&gt;""))&gt;0,"확인필요(연도다름)","실물 없음")))))</f>
      </c>
      <c r="G1397" t="n" s="16">
        <f aca="0">IF(B1397="","",SUMPRODUCT((실물목록!$P$2:$P$1001&lt;&gt;"")*ISNUMBER(SEARCH(실물목록!$P$2:$P$1001,I1397))*(실물목록!$Q$2:$Q$1001&lt;&gt;"")*ISNUMBER(SEARCH(실물목록!$Q$2:$Q$1001,I1397))*(실물목록!$R$2:$R$1001="")*(실물목록!$O$2:$O$1001&lt;&gt;"")*(실물목록!$O$2:$O$1001=H1397)))</f>
      </c>
      <c r="H1397" t="str">
        <f>IFERROR(IF(AND(LEN(SUBSTITUTE(SUBSTITUTE(SUBSTITUTE(TRIM(A1397&amp;""),CHAR(160),"")," ",""),"년",""))=4,VALUE(SUBSTITUTE(SUBSTITUTE(SUBSTITUTE(TRIM(A1397&amp;""),CHAR(160),"")," ",""),"년",""))&gt;=1900,VALUE(SUBSTITUTE(SUBSTITUTE(SUBSTITUTE(TRIM(A1397&amp;""),CHAR(160),"")," ",""),"년",""))&lt;=2099,TEXT(VALUE(SUBSTITUTE(SUBSTITUTE(SUBSTITUTE(TRIM(A1397&amp;""),CHAR(160),"")," ",""),"년","")),"0000")=SUBSTITUTE(SUBSTITUTE(SUBSTITUTE(TRIM(A1397&amp;""),CHAR(160),"")," ",""),"년","")),SUBSTITUTE(SUBSTITUTE(SUBSTITUTE(TRIM(A1397&amp;""),CHAR(160),"")," ",""),"년",""),""),"")</f>
      </c>
      <c r="I1397" t="str">
        <f>SUBSTITUTE(SUBSTITUTE(SUBSTITUTE(SUBSTITUTE(SUBSTITUTE(TRIM(B1397&amp;""),CHAR(160),"")," ",""),"초등학교","초"),"중학교","중"),"고등학교","고")</f>
      </c>
    </row>
    <row r="1398" customFormat="false" ht="15" hidden="false" customHeight="false" outlineLevel="0" collapsed="false">
      <c r="A1398" s="8"/>
      <c r="B1398" s="8"/>
      <c r="C1398" s="8"/>
      <c r="D1398" s="8"/>
      <c r="E1398" s="8"/>
      <c r="F1398" t="str" s="15">
        <f aca="0">IF(B1398="","",IF(H1398="","확인필요(입력누락)",IF(SUMPRODUCT((실물목록!$P$2:$P$1001&lt;&gt;"")*ISNUMBER(SEARCH(실물목록!$P$2:$P$1001,I1398))*(실물목록!$Q$2:$Q$1001&lt;&gt;"")*ISNUMBER(SEARCH(실물목록!$Q$2:$Q$1001,I1398))*(실물목록!$R$2:$R$1001="")*(실물목록!$O$2:$O$1001&lt;&gt;"")*(실물목록!$O$2:$O$1001=H1398))&gt;0,"실물 있음",IF(SUMPRODUCT((실물목록!$P$2:$P$1001&lt;&gt;"")*ISNUMBER(SEARCH(실물목록!$P$2:$P$1001,I1398))*(실물목록!$R$2:$R$1001&lt;&gt;""))&gt;0,"확인필요(입력누락)",IF(SUMPRODUCT((실물목록!$P$2:$P$1001&lt;&gt;"")*ISNUMBER(SEARCH(실물목록!$P$2:$P$1001,I1398))*(실물목록!$Q$2:$Q$1001&lt;&gt;"")*ISNUMBER(SEARCH(실물목록!$Q$2:$Q$1001,I1398))*(실물목록!$R$2:$R$1001="")*(실물목록!$O$2:$O$1001&lt;&gt;""))&gt;0,"확인필요(연도다름)","실물 없음")))))</f>
      </c>
      <c r="G1398" t="n" s="16">
        <f aca="0">IF(B1398="","",SUMPRODUCT((실물목록!$P$2:$P$1001&lt;&gt;"")*ISNUMBER(SEARCH(실물목록!$P$2:$P$1001,I1398))*(실물목록!$Q$2:$Q$1001&lt;&gt;"")*ISNUMBER(SEARCH(실물목록!$Q$2:$Q$1001,I1398))*(실물목록!$R$2:$R$1001="")*(실물목록!$O$2:$O$1001&lt;&gt;"")*(실물목록!$O$2:$O$1001=H1398)))</f>
      </c>
      <c r="H1398" t="str">
        <f>IFERROR(IF(AND(LEN(SUBSTITUTE(SUBSTITUTE(SUBSTITUTE(TRIM(A1398&amp;""),CHAR(160),"")," ",""),"년",""))=4,VALUE(SUBSTITUTE(SUBSTITUTE(SUBSTITUTE(TRIM(A1398&amp;""),CHAR(160),"")," ",""),"년",""))&gt;=1900,VALUE(SUBSTITUTE(SUBSTITUTE(SUBSTITUTE(TRIM(A1398&amp;""),CHAR(160),"")," ",""),"년",""))&lt;=2099,TEXT(VALUE(SUBSTITUTE(SUBSTITUTE(SUBSTITUTE(TRIM(A1398&amp;""),CHAR(160),"")," ",""),"년","")),"0000")=SUBSTITUTE(SUBSTITUTE(SUBSTITUTE(TRIM(A1398&amp;""),CHAR(160),"")," ",""),"년","")),SUBSTITUTE(SUBSTITUTE(SUBSTITUTE(TRIM(A1398&amp;""),CHAR(160),"")," ",""),"년",""),""),"")</f>
      </c>
      <c r="I1398" t="str">
        <f>SUBSTITUTE(SUBSTITUTE(SUBSTITUTE(SUBSTITUTE(SUBSTITUTE(TRIM(B1398&amp;""),CHAR(160),"")," ",""),"초등학교","초"),"중학교","중"),"고등학교","고")</f>
      </c>
    </row>
    <row r="1399" customFormat="false" ht="15" hidden="false" customHeight="false" outlineLevel="0" collapsed="false">
      <c r="A1399" s="8"/>
      <c r="B1399" s="8"/>
      <c r="C1399" s="8"/>
      <c r="D1399" s="8"/>
      <c r="E1399" s="8"/>
      <c r="F1399" t="str" s="15">
        <f aca="0">IF(B1399="","",IF(H1399="","확인필요(입력누락)",IF(SUMPRODUCT((실물목록!$P$2:$P$1001&lt;&gt;"")*ISNUMBER(SEARCH(실물목록!$P$2:$P$1001,I1399))*(실물목록!$Q$2:$Q$1001&lt;&gt;"")*ISNUMBER(SEARCH(실물목록!$Q$2:$Q$1001,I1399))*(실물목록!$R$2:$R$1001="")*(실물목록!$O$2:$O$1001&lt;&gt;"")*(실물목록!$O$2:$O$1001=H1399))&gt;0,"실물 있음",IF(SUMPRODUCT((실물목록!$P$2:$P$1001&lt;&gt;"")*ISNUMBER(SEARCH(실물목록!$P$2:$P$1001,I1399))*(실물목록!$R$2:$R$1001&lt;&gt;""))&gt;0,"확인필요(입력누락)",IF(SUMPRODUCT((실물목록!$P$2:$P$1001&lt;&gt;"")*ISNUMBER(SEARCH(실물목록!$P$2:$P$1001,I1399))*(실물목록!$Q$2:$Q$1001&lt;&gt;"")*ISNUMBER(SEARCH(실물목록!$Q$2:$Q$1001,I1399))*(실물목록!$R$2:$R$1001="")*(실물목록!$O$2:$O$1001&lt;&gt;""))&gt;0,"확인필요(연도다름)","실물 없음")))))</f>
      </c>
      <c r="G1399" t="n" s="16">
        <f aca="0">IF(B1399="","",SUMPRODUCT((실물목록!$P$2:$P$1001&lt;&gt;"")*ISNUMBER(SEARCH(실물목록!$P$2:$P$1001,I1399))*(실물목록!$Q$2:$Q$1001&lt;&gt;"")*ISNUMBER(SEARCH(실물목록!$Q$2:$Q$1001,I1399))*(실물목록!$R$2:$R$1001="")*(실물목록!$O$2:$O$1001&lt;&gt;"")*(실물목록!$O$2:$O$1001=H1399)))</f>
      </c>
      <c r="H1399" t="str">
        <f>IFERROR(IF(AND(LEN(SUBSTITUTE(SUBSTITUTE(SUBSTITUTE(TRIM(A1399&amp;""),CHAR(160),"")," ",""),"년",""))=4,VALUE(SUBSTITUTE(SUBSTITUTE(SUBSTITUTE(TRIM(A1399&amp;""),CHAR(160),"")," ",""),"년",""))&gt;=1900,VALUE(SUBSTITUTE(SUBSTITUTE(SUBSTITUTE(TRIM(A1399&amp;""),CHAR(160),"")," ",""),"년",""))&lt;=2099,TEXT(VALUE(SUBSTITUTE(SUBSTITUTE(SUBSTITUTE(TRIM(A1399&amp;""),CHAR(160),"")," ",""),"년","")),"0000")=SUBSTITUTE(SUBSTITUTE(SUBSTITUTE(TRIM(A1399&amp;""),CHAR(160),"")," ",""),"년","")),SUBSTITUTE(SUBSTITUTE(SUBSTITUTE(TRIM(A1399&amp;""),CHAR(160),"")," ",""),"년",""),""),"")</f>
      </c>
      <c r="I1399" t="str">
        <f>SUBSTITUTE(SUBSTITUTE(SUBSTITUTE(SUBSTITUTE(SUBSTITUTE(TRIM(B1399&amp;""),CHAR(160),"")," ",""),"초등학교","초"),"중학교","중"),"고등학교","고")</f>
      </c>
    </row>
    <row r="1400" customFormat="false" ht="15" hidden="false" customHeight="false" outlineLevel="0" collapsed="false">
      <c r="A1400" s="8"/>
      <c r="B1400" s="8"/>
      <c r="C1400" s="8"/>
      <c r="D1400" s="8"/>
      <c r="E1400" s="8"/>
      <c r="F1400" t="str" s="15">
        <f aca="0">IF(B1400="","",IF(H1400="","확인필요(입력누락)",IF(SUMPRODUCT((실물목록!$P$2:$P$1001&lt;&gt;"")*ISNUMBER(SEARCH(실물목록!$P$2:$P$1001,I1400))*(실물목록!$Q$2:$Q$1001&lt;&gt;"")*ISNUMBER(SEARCH(실물목록!$Q$2:$Q$1001,I1400))*(실물목록!$R$2:$R$1001="")*(실물목록!$O$2:$O$1001&lt;&gt;"")*(실물목록!$O$2:$O$1001=H1400))&gt;0,"실물 있음",IF(SUMPRODUCT((실물목록!$P$2:$P$1001&lt;&gt;"")*ISNUMBER(SEARCH(실물목록!$P$2:$P$1001,I1400))*(실물목록!$R$2:$R$1001&lt;&gt;""))&gt;0,"확인필요(입력누락)",IF(SUMPRODUCT((실물목록!$P$2:$P$1001&lt;&gt;"")*ISNUMBER(SEARCH(실물목록!$P$2:$P$1001,I1400))*(실물목록!$Q$2:$Q$1001&lt;&gt;"")*ISNUMBER(SEARCH(실물목록!$Q$2:$Q$1001,I1400))*(실물목록!$R$2:$R$1001="")*(실물목록!$O$2:$O$1001&lt;&gt;""))&gt;0,"확인필요(연도다름)","실물 없음")))))</f>
      </c>
      <c r="G1400" t="n" s="16">
        <f aca="0">IF(B1400="","",SUMPRODUCT((실물목록!$P$2:$P$1001&lt;&gt;"")*ISNUMBER(SEARCH(실물목록!$P$2:$P$1001,I1400))*(실물목록!$Q$2:$Q$1001&lt;&gt;"")*ISNUMBER(SEARCH(실물목록!$Q$2:$Q$1001,I1400))*(실물목록!$R$2:$R$1001="")*(실물목록!$O$2:$O$1001&lt;&gt;"")*(실물목록!$O$2:$O$1001=H1400)))</f>
      </c>
      <c r="H1400" t="str">
        <f>IFERROR(IF(AND(LEN(SUBSTITUTE(SUBSTITUTE(SUBSTITUTE(TRIM(A1400&amp;""),CHAR(160),"")," ",""),"년",""))=4,VALUE(SUBSTITUTE(SUBSTITUTE(SUBSTITUTE(TRIM(A1400&amp;""),CHAR(160),"")," ",""),"년",""))&gt;=1900,VALUE(SUBSTITUTE(SUBSTITUTE(SUBSTITUTE(TRIM(A1400&amp;""),CHAR(160),"")," ",""),"년",""))&lt;=2099,TEXT(VALUE(SUBSTITUTE(SUBSTITUTE(SUBSTITUTE(TRIM(A1400&amp;""),CHAR(160),"")," ",""),"년","")),"0000")=SUBSTITUTE(SUBSTITUTE(SUBSTITUTE(TRIM(A1400&amp;""),CHAR(160),"")," ",""),"년","")),SUBSTITUTE(SUBSTITUTE(SUBSTITUTE(TRIM(A1400&amp;""),CHAR(160),"")," ",""),"년",""),""),"")</f>
      </c>
      <c r="I1400" t="str">
        <f>SUBSTITUTE(SUBSTITUTE(SUBSTITUTE(SUBSTITUTE(SUBSTITUTE(TRIM(B1400&amp;""),CHAR(160),"")," ",""),"초등학교","초"),"중학교","중"),"고등학교","고")</f>
      </c>
    </row>
    <row r="1401" customFormat="false" ht="15" hidden="false" customHeight="false" outlineLevel="0" collapsed="false">
      <c r="A1401" s="8"/>
      <c r="B1401" s="8"/>
      <c r="C1401" s="8"/>
      <c r="D1401" s="8"/>
      <c r="E1401" s="8"/>
      <c r="F1401" t="str" s="15">
        <f aca="0">IF(B1401="","",IF(H1401="","확인필요(입력누락)",IF(SUMPRODUCT((실물목록!$P$2:$P$1001&lt;&gt;"")*ISNUMBER(SEARCH(실물목록!$P$2:$P$1001,I1401))*(실물목록!$Q$2:$Q$1001&lt;&gt;"")*ISNUMBER(SEARCH(실물목록!$Q$2:$Q$1001,I1401))*(실물목록!$R$2:$R$1001="")*(실물목록!$O$2:$O$1001&lt;&gt;"")*(실물목록!$O$2:$O$1001=H1401))&gt;0,"실물 있음",IF(SUMPRODUCT((실물목록!$P$2:$P$1001&lt;&gt;"")*ISNUMBER(SEARCH(실물목록!$P$2:$P$1001,I1401))*(실물목록!$R$2:$R$1001&lt;&gt;""))&gt;0,"확인필요(입력누락)",IF(SUMPRODUCT((실물목록!$P$2:$P$1001&lt;&gt;"")*ISNUMBER(SEARCH(실물목록!$P$2:$P$1001,I1401))*(실물목록!$Q$2:$Q$1001&lt;&gt;"")*ISNUMBER(SEARCH(실물목록!$Q$2:$Q$1001,I1401))*(실물목록!$R$2:$R$1001="")*(실물목록!$O$2:$O$1001&lt;&gt;""))&gt;0,"확인필요(연도다름)","실물 없음")))))</f>
      </c>
      <c r="G1401" t="n" s="16">
        <f aca="0">IF(B1401="","",SUMPRODUCT((실물목록!$P$2:$P$1001&lt;&gt;"")*ISNUMBER(SEARCH(실물목록!$P$2:$P$1001,I1401))*(실물목록!$Q$2:$Q$1001&lt;&gt;"")*ISNUMBER(SEARCH(실물목록!$Q$2:$Q$1001,I1401))*(실물목록!$R$2:$R$1001="")*(실물목록!$O$2:$O$1001&lt;&gt;"")*(실물목록!$O$2:$O$1001=H1401)))</f>
      </c>
      <c r="H1401" t="str">
        <f>IFERROR(IF(AND(LEN(SUBSTITUTE(SUBSTITUTE(SUBSTITUTE(TRIM(A1401&amp;""),CHAR(160),"")," ",""),"년",""))=4,VALUE(SUBSTITUTE(SUBSTITUTE(SUBSTITUTE(TRIM(A1401&amp;""),CHAR(160),"")," ",""),"년",""))&gt;=1900,VALUE(SUBSTITUTE(SUBSTITUTE(SUBSTITUTE(TRIM(A1401&amp;""),CHAR(160),"")," ",""),"년",""))&lt;=2099,TEXT(VALUE(SUBSTITUTE(SUBSTITUTE(SUBSTITUTE(TRIM(A1401&amp;""),CHAR(160),"")," ",""),"년","")),"0000")=SUBSTITUTE(SUBSTITUTE(SUBSTITUTE(TRIM(A1401&amp;""),CHAR(160),"")," ",""),"년","")),SUBSTITUTE(SUBSTITUTE(SUBSTITUTE(TRIM(A1401&amp;""),CHAR(160),"")," ",""),"년",""),""),"")</f>
      </c>
      <c r="I1401" t="str">
        <f>SUBSTITUTE(SUBSTITUTE(SUBSTITUTE(SUBSTITUTE(SUBSTITUTE(TRIM(B1401&amp;""),CHAR(160),"")," ",""),"초등학교","초"),"중학교","중"),"고등학교","고")</f>
      </c>
    </row>
    <row r="1402" customFormat="false" ht="15" hidden="false" customHeight="false" outlineLevel="0" collapsed="false">
      <c r="A1402" s="8"/>
      <c r="B1402" s="8"/>
      <c r="C1402" s="8"/>
      <c r="D1402" s="8"/>
      <c r="E1402" s="8"/>
      <c r="F1402" t="str" s="15">
        <f aca="0">IF(B1402="","",IF(H1402="","확인필요(입력누락)",IF(SUMPRODUCT((실물목록!$P$2:$P$1001&lt;&gt;"")*ISNUMBER(SEARCH(실물목록!$P$2:$P$1001,I1402))*(실물목록!$Q$2:$Q$1001&lt;&gt;"")*ISNUMBER(SEARCH(실물목록!$Q$2:$Q$1001,I1402))*(실물목록!$R$2:$R$1001="")*(실물목록!$O$2:$O$1001&lt;&gt;"")*(실물목록!$O$2:$O$1001=H1402))&gt;0,"실물 있음",IF(SUMPRODUCT((실물목록!$P$2:$P$1001&lt;&gt;"")*ISNUMBER(SEARCH(실물목록!$P$2:$P$1001,I1402))*(실물목록!$R$2:$R$1001&lt;&gt;""))&gt;0,"확인필요(입력누락)",IF(SUMPRODUCT((실물목록!$P$2:$P$1001&lt;&gt;"")*ISNUMBER(SEARCH(실물목록!$P$2:$P$1001,I1402))*(실물목록!$Q$2:$Q$1001&lt;&gt;"")*ISNUMBER(SEARCH(실물목록!$Q$2:$Q$1001,I1402))*(실물목록!$R$2:$R$1001="")*(실물목록!$O$2:$O$1001&lt;&gt;""))&gt;0,"확인필요(연도다름)","실물 없음")))))</f>
      </c>
      <c r="G1402" t="n" s="16">
        <f aca="0">IF(B1402="","",SUMPRODUCT((실물목록!$P$2:$P$1001&lt;&gt;"")*ISNUMBER(SEARCH(실물목록!$P$2:$P$1001,I1402))*(실물목록!$Q$2:$Q$1001&lt;&gt;"")*ISNUMBER(SEARCH(실물목록!$Q$2:$Q$1001,I1402))*(실물목록!$R$2:$R$1001="")*(실물목록!$O$2:$O$1001&lt;&gt;"")*(실물목록!$O$2:$O$1001=H1402)))</f>
      </c>
      <c r="H1402" t="str">
        <f>IFERROR(IF(AND(LEN(SUBSTITUTE(SUBSTITUTE(SUBSTITUTE(TRIM(A1402&amp;""),CHAR(160),"")," ",""),"년",""))=4,VALUE(SUBSTITUTE(SUBSTITUTE(SUBSTITUTE(TRIM(A1402&amp;""),CHAR(160),"")," ",""),"년",""))&gt;=1900,VALUE(SUBSTITUTE(SUBSTITUTE(SUBSTITUTE(TRIM(A1402&amp;""),CHAR(160),"")," ",""),"년",""))&lt;=2099,TEXT(VALUE(SUBSTITUTE(SUBSTITUTE(SUBSTITUTE(TRIM(A1402&amp;""),CHAR(160),"")," ",""),"년","")),"0000")=SUBSTITUTE(SUBSTITUTE(SUBSTITUTE(TRIM(A1402&amp;""),CHAR(160),"")," ",""),"년","")),SUBSTITUTE(SUBSTITUTE(SUBSTITUTE(TRIM(A1402&amp;""),CHAR(160),"")," ",""),"년",""),""),"")</f>
      </c>
      <c r="I1402" t="str">
        <f>SUBSTITUTE(SUBSTITUTE(SUBSTITUTE(SUBSTITUTE(SUBSTITUTE(TRIM(B1402&amp;""),CHAR(160),"")," ",""),"초등학교","초"),"중학교","중"),"고등학교","고")</f>
      </c>
    </row>
    <row r="1403" customFormat="false" ht="15" hidden="false" customHeight="false" outlineLevel="0" collapsed="false">
      <c r="A1403" s="8"/>
      <c r="B1403" s="8"/>
      <c r="C1403" s="8"/>
      <c r="D1403" s="8"/>
      <c r="E1403" s="8"/>
      <c r="F1403" t="str" s="15">
        <f aca="0">IF(B1403="","",IF(H1403="","확인필요(입력누락)",IF(SUMPRODUCT((실물목록!$P$2:$P$1001&lt;&gt;"")*ISNUMBER(SEARCH(실물목록!$P$2:$P$1001,I1403))*(실물목록!$Q$2:$Q$1001&lt;&gt;"")*ISNUMBER(SEARCH(실물목록!$Q$2:$Q$1001,I1403))*(실물목록!$R$2:$R$1001="")*(실물목록!$O$2:$O$1001&lt;&gt;"")*(실물목록!$O$2:$O$1001=H1403))&gt;0,"실물 있음",IF(SUMPRODUCT((실물목록!$P$2:$P$1001&lt;&gt;"")*ISNUMBER(SEARCH(실물목록!$P$2:$P$1001,I1403))*(실물목록!$R$2:$R$1001&lt;&gt;""))&gt;0,"확인필요(입력누락)",IF(SUMPRODUCT((실물목록!$P$2:$P$1001&lt;&gt;"")*ISNUMBER(SEARCH(실물목록!$P$2:$P$1001,I1403))*(실물목록!$Q$2:$Q$1001&lt;&gt;"")*ISNUMBER(SEARCH(실물목록!$Q$2:$Q$1001,I1403))*(실물목록!$R$2:$R$1001="")*(실물목록!$O$2:$O$1001&lt;&gt;""))&gt;0,"확인필요(연도다름)","실물 없음")))))</f>
      </c>
      <c r="G1403" t="n" s="16">
        <f aca="0">IF(B1403="","",SUMPRODUCT((실물목록!$P$2:$P$1001&lt;&gt;"")*ISNUMBER(SEARCH(실물목록!$P$2:$P$1001,I1403))*(실물목록!$Q$2:$Q$1001&lt;&gt;"")*ISNUMBER(SEARCH(실물목록!$Q$2:$Q$1001,I1403))*(실물목록!$R$2:$R$1001="")*(실물목록!$O$2:$O$1001&lt;&gt;"")*(실물목록!$O$2:$O$1001=H1403)))</f>
      </c>
      <c r="H1403" t="str">
        <f>IFERROR(IF(AND(LEN(SUBSTITUTE(SUBSTITUTE(SUBSTITUTE(TRIM(A1403&amp;""),CHAR(160),"")," ",""),"년",""))=4,VALUE(SUBSTITUTE(SUBSTITUTE(SUBSTITUTE(TRIM(A1403&amp;""),CHAR(160),"")," ",""),"년",""))&gt;=1900,VALUE(SUBSTITUTE(SUBSTITUTE(SUBSTITUTE(TRIM(A1403&amp;""),CHAR(160),"")," ",""),"년",""))&lt;=2099,TEXT(VALUE(SUBSTITUTE(SUBSTITUTE(SUBSTITUTE(TRIM(A1403&amp;""),CHAR(160),"")," ",""),"년","")),"0000")=SUBSTITUTE(SUBSTITUTE(SUBSTITUTE(TRIM(A1403&amp;""),CHAR(160),"")," ",""),"년","")),SUBSTITUTE(SUBSTITUTE(SUBSTITUTE(TRIM(A1403&amp;""),CHAR(160),"")," ",""),"년",""),""),"")</f>
      </c>
      <c r="I1403" t="str">
        <f>SUBSTITUTE(SUBSTITUTE(SUBSTITUTE(SUBSTITUTE(SUBSTITUTE(TRIM(B1403&amp;""),CHAR(160),"")," ",""),"초등학교","초"),"중학교","중"),"고등학교","고")</f>
      </c>
    </row>
    <row r="1404" customFormat="false" ht="15" hidden="false" customHeight="false" outlineLevel="0" collapsed="false">
      <c r="A1404" s="8"/>
      <c r="B1404" s="8"/>
      <c r="C1404" s="8"/>
      <c r="D1404" s="8"/>
      <c r="E1404" s="8"/>
      <c r="F1404" t="str" s="15">
        <f aca="0">IF(B1404="","",IF(H1404="","확인필요(입력누락)",IF(SUMPRODUCT((실물목록!$P$2:$P$1001&lt;&gt;"")*ISNUMBER(SEARCH(실물목록!$P$2:$P$1001,I1404))*(실물목록!$Q$2:$Q$1001&lt;&gt;"")*ISNUMBER(SEARCH(실물목록!$Q$2:$Q$1001,I1404))*(실물목록!$R$2:$R$1001="")*(실물목록!$O$2:$O$1001&lt;&gt;"")*(실물목록!$O$2:$O$1001=H1404))&gt;0,"실물 있음",IF(SUMPRODUCT((실물목록!$P$2:$P$1001&lt;&gt;"")*ISNUMBER(SEARCH(실물목록!$P$2:$P$1001,I1404))*(실물목록!$R$2:$R$1001&lt;&gt;""))&gt;0,"확인필요(입력누락)",IF(SUMPRODUCT((실물목록!$P$2:$P$1001&lt;&gt;"")*ISNUMBER(SEARCH(실물목록!$P$2:$P$1001,I1404))*(실물목록!$Q$2:$Q$1001&lt;&gt;"")*ISNUMBER(SEARCH(실물목록!$Q$2:$Q$1001,I1404))*(실물목록!$R$2:$R$1001="")*(실물목록!$O$2:$O$1001&lt;&gt;""))&gt;0,"확인필요(연도다름)","실물 없음")))))</f>
      </c>
      <c r="G1404" t="n" s="16">
        <f aca="0">IF(B1404="","",SUMPRODUCT((실물목록!$P$2:$P$1001&lt;&gt;"")*ISNUMBER(SEARCH(실물목록!$P$2:$P$1001,I1404))*(실물목록!$Q$2:$Q$1001&lt;&gt;"")*ISNUMBER(SEARCH(실물목록!$Q$2:$Q$1001,I1404))*(실물목록!$R$2:$R$1001="")*(실물목록!$O$2:$O$1001&lt;&gt;"")*(실물목록!$O$2:$O$1001=H1404)))</f>
      </c>
      <c r="H1404" t="str">
        <f>IFERROR(IF(AND(LEN(SUBSTITUTE(SUBSTITUTE(SUBSTITUTE(TRIM(A1404&amp;""),CHAR(160),"")," ",""),"년",""))=4,VALUE(SUBSTITUTE(SUBSTITUTE(SUBSTITUTE(TRIM(A1404&amp;""),CHAR(160),"")," ",""),"년",""))&gt;=1900,VALUE(SUBSTITUTE(SUBSTITUTE(SUBSTITUTE(TRIM(A1404&amp;""),CHAR(160),"")," ",""),"년",""))&lt;=2099,TEXT(VALUE(SUBSTITUTE(SUBSTITUTE(SUBSTITUTE(TRIM(A1404&amp;""),CHAR(160),"")," ",""),"년","")),"0000")=SUBSTITUTE(SUBSTITUTE(SUBSTITUTE(TRIM(A1404&amp;""),CHAR(160),"")," ",""),"년","")),SUBSTITUTE(SUBSTITUTE(SUBSTITUTE(TRIM(A1404&amp;""),CHAR(160),"")," ",""),"년",""),""),"")</f>
      </c>
      <c r="I1404" t="str">
        <f>SUBSTITUTE(SUBSTITUTE(SUBSTITUTE(SUBSTITUTE(SUBSTITUTE(TRIM(B1404&amp;""),CHAR(160),"")," ",""),"초등학교","초"),"중학교","중"),"고등학교","고")</f>
      </c>
    </row>
    <row r="1405" customFormat="false" ht="15" hidden="false" customHeight="false" outlineLevel="0" collapsed="false">
      <c r="A1405" s="8"/>
      <c r="B1405" s="8"/>
      <c r="C1405" s="8"/>
      <c r="D1405" s="8"/>
      <c r="E1405" s="8"/>
      <c r="F1405" t="str" s="15">
        <f aca="0">IF(B1405="","",IF(H1405="","확인필요(입력누락)",IF(SUMPRODUCT((실물목록!$P$2:$P$1001&lt;&gt;"")*ISNUMBER(SEARCH(실물목록!$P$2:$P$1001,I1405))*(실물목록!$Q$2:$Q$1001&lt;&gt;"")*ISNUMBER(SEARCH(실물목록!$Q$2:$Q$1001,I1405))*(실물목록!$R$2:$R$1001="")*(실물목록!$O$2:$O$1001&lt;&gt;"")*(실물목록!$O$2:$O$1001=H1405))&gt;0,"실물 있음",IF(SUMPRODUCT((실물목록!$P$2:$P$1001&lt;&gt;"")*ISNUMBER(SEARCH(실물목록!$P$2:$P$1001,I1405))*(실물목록!$R$2:$R$1001&lt;&gt;""))&gt;0,"확인필요(입력누락)",IF(SUMPRODUCT((실물목록!$P$2:$P$1001&lt;&gt;"")*ISNUMBER(SEARCH(실물목록!$P$2:$P$1001,I1405))*(실물목록!$Q$2:$Q$1001&lt;&gt;"")*ISNUMBER(SEARCH(실물목록!$Q$2:$Q$1001,I1405))*(실물목록!$R$2:$R$1001="")*(실물목록!$O$2:$O$1001&lt;&gt;""))&gt;0,"확인필요(연도다름)","실물 없음")))))</f>
      </c>
      <c r="G1405" t="n" s="16">
        <f aca="0">IF(B1405="","",SUMPRODUCT((실물목록!$P$2:$P$1001&lt;&gt;"")*ISNUMBER(SEARCH(실물목록!$P$2:$P$1001,I1405))*(실물목록!$Q$2:$Q$1001&lt;&gt;"")*ISNUMBER(SEARCH(실물목록!$Q$2:$Q$1001,I1405))*(실물목록!$R$2:$R$1001="")*(실물목록!$O$2:$O$1001&lt;&gt;"")*(실물목록!$O$2:$O$1001=H1405)))</f>
      </c>
      <c r="H1405" t="str">
        <f>IFERROR(IF(AND(LEN(SUBSTITUTE(SUBSTITUTE(SUBSTITUTE(TRIM(A1405&amp;""),CHAR(160),"")," ",""),"년",""))=4,VALUE(SUBSTITUTE(SUBSTITUTE(SUBSTITUTE(TRIM(A1405&amp;""),CHAR(160),"")," ",""),"년",""))&gt;=1900,VALUE(SUBSTITUTE(SUBSTITUTE(SUBSTITUTE(TRIM(A1405&amp;""),CHAR(160),"")," ",""),"년",""))&lt;=2099,TEXT(VALUE(SUBSTITUTE(SUBSTITUTE(SUBSTITUTE(TRIM(A1405&amp;""),CHAR(160),"")," ",""),"년","")),"0000")=SUBSTITUTE(SUBSTITUTE(SUBSTITUTE(TRIM(A1405&amp;""),CHAR(160),"")," ",""),"년","")),SUBSTITUTE(SUBSTITUTE(SUBSTITUTE(TRIM(A1405&amp;""),CHAR(160),"")," ",""),"년",""),""),"")</f>
      </c>
      <c r="I1405" t="str">
        <f>SUBSTITUTE(SUBSTITUTE(SUBSTITUTE(SUBSTITUTE(SUBSTITUTE(TRIM(B1405&amp;""),CHAR(160),"")," ",""),"초등학교","초"),"중학교","중"),"고등학교","고")</f>
      </c>
    </row>
    <row r="1406" customFormat="false" ht="15" hidden="false" customHeight="false" outlineLevel="0" collapsed="false">
      <c r="A1406" s="8"/>
      <c r="B1406" s="8"/>
      <c r="C1406" s="8"/>
      <c r="D1406" s="8"/>
      <c r="E1406" s="8"/>
      <c r="F1406" t="str" s="15">
        <f aca="0">IF(B1406="","",IF(H1406="","확인필요(입력누락)",IF(SUMPRODUCT((실물목록!$P$2:$P$1001&lt;&gt;"")*ISNUMBER(SEARCH(실물목록!$P$2:$P$1001,I1406))*(실물목록!$Q$2:$Q$1001&lt;&gt;"")*ISNUMBER(SEARCH(실물목록!$Q$2:$Q$1001,I1406))*(실물목록!$R$2:$R$1001="")*(실물목록!$O$2:$O$1001&lt;&gt;"")*(실물목록!$O$2:$O$1001=H1406))&gt;0,"실물 있음",IF(SUMPRODUCT((실물목록!$P$2:$P$1001&lt;&gt;"")*ISNUMBER(SEARCH(실물목록!$P$2:$P$1001,I1406))*(실물목록!$R$2:$R$1001&lt;&gt;""))&gt;0,"확인필요(입력누락)",IF(SUMPRODUCT((실물목록!$P$2:$P$1001&lt;&gt;"")*ISNUMBER(SEARCH(실물목록!$P$2:$P$1001,I1406))*(실물목록!$Q$2:$Q$1001&lt;&gt;"")*ISNUMBER(SEARCH(실물목록!$Q$2:$Q$1001,I1406))*(실물목록!$R$2:$R$1001="")*(실물목록!$O$2:$O$1001&lt;&gt;""))&gt;0,"확인필요(연도다름)","실물 없음")))))</f>
      </c>
      <c r="G1406" t="n" s="16">
        <f aca="0">IF(B1406="","",SUMPRODUCT((실물목록!$P$2:$P$1001&lt;&gt;"")*ISNUMBER(SEARCH(실물목록!$P$2:$P$1001,I1406))*(실물목록!$Q$2:$Q$1001&lt;&gt;"")*ISNUMBER(SEARCH(실물목록!$Q$2:$Q$1001,I1406))*(실물목록!$R$2:$R$1001="")*(실물목록!$O$2:$O$1001&lt;&gt;"")*(실물목록!$O$2:$O$1001=H1406)))</f>
      </c>
      <c r="H1406" t="str">
        <f>IFERROR(IF(AND(LEN(SUBSTITUTE(SUBSTITUTE(SUBSTITUTE(TRIM(A1406&amp;""),CHAR(160),"")," ",""),"년",""))=4,VALUE(SUBSTITUTE(SUBSTITUTE(SUBSTITUTE(TRIM(A1406&amp;""),CHAR(160),"")," ",""),"년",""))&gt;=1900,VALUE(SUBSTITUTE(SUBSTITUTE(SUBSTITUTE(TRIM(A1406&amp;""),CHAR(160),"")," ",""),"년",""))&lt;=2099,TEXT(VALUE(SUBSTITUTE(SUBSTITUTE(SUBSTITUTE(TRIM(A1406&amp;""),CHAR(160),"")," ",""),"년","")),"0000")=SUBSTITUTE(SUBSTITUTE(SUBSTITUTE(TRIM(A1406&amp;""),CHAR(160),"")," ",""),"년","")),SUBSTITUTE(SUBSTITUTE(SUBSTITUTE(TRIM(A1406&amp;""),CHAR(160),"")," ",""),"년",""),""),"")</f>
      </c>
      <c r="I1406" t="str">
        <f>SUBSTITUTE(SUBSTITUTE(SUBSTITUTE(SUBSTITUTE(SUBSTITUTE(TRIM(B1406&amp;""),CHAR(160),"")," ",""),"초등학교","초"),"중학교","중"),"고등학교","고")</f>
      </c>
    </row>
    <row r="1407" customFormat="false" ht="15" hidden="false" customHeight="false" outlineLevel="0" collapsed="false">
      <c r="A1407" s="8"/>
      <c r="B1407" s="8"/>
      <c r="C1407" s="8"/>
      <c r="D1407" s="8"/>
      <c r="E1407" s="8"/>
      <c r="F1407" t="str" s="15">
        <f aca="0">IF(B1407="","",IF(H1407="","확인필요(입력누락)",IF(SUMPRODUCT((실물목록!$P$2:$P$1001&lt;&gt;"")*ISNUMBER(SEARCH(실물목록!$P$2:$P$1001,I1407))*(실물목록!$Q$2:$Q$1001&lt;&gt;"")*ISNUMBER(SEARCH(실물목록!$Q$2:$Q$1001,I1407))*(실물목록!$R$2:$R$1001="")*(실물목록!$O$2:$O$1001&lt;&gt;"")*(실물목록!$O$2:$O$1001=H1407))&gt;0,"실물 있음",IF(SUMPRODUCT((실물목록!$P$2:$P$1001&lt;&gt;"")*ISNUMBER(SEARCH(실물목록!$P$2:$P$1001,I1407))*(실물목록!$R$2:$R$1001&lt;&gt;""))&gt;0,"확인필요(입력누락)",IF(SUMPRODUCT((실물목록!$P$2:$P$1001&lt;&gt;"")*ISNUMBER(SEARCH(실물목록!$P$2:$P$1001,I1407))*(실물목록!$Q$2:$Q$1001&lt;&gt;"")*ISNUMBER(SEARCH(실물목록!$Q$2:$Q$1001,I1407))*(실물목록!$R$2:$R$1001="")*(실물목록!$O$2:$O$1001&lt;&gt;""))&gt;0,"확인필요(연도다름)","실물 없음")))))</f>
      </c>
      <c r="G1407" t="n" s="16">
        <f aca="0">IF(B1407="","",SUMPRODUCT((실물목록!$P$2:$P$1001&lt;&gt;"")*ISNUMBER(SEARCH(실물목록!$P$2:$P$1001,I1407))*(실물목록!$Q$2:$Q$1001&lt;&gt;"")*ISNUMBER(SEARCH(실물목록!$Q$2:$Q$1001,I1407))*(실물목록!$R$2:$R$1001="")*(실물목록!$O$2:$O$1001&lt;&gt;"")*(실물목록!$O$2:$O$1001=H1407)))</f>
      </c>
      <c r="H1407" t="str">
        <f>IFERROR(IF(AND(LEN(SUBSTITUTE(SUBSTITUTE(SUBSTITUTE(TRIM(A1407&amp;""),CHAR(160),"")," ",""),"년",""))=4,VALUE(SUBSTITUTE(SUBSTITUTE(SUBSTITUTE(TRIM(A1407&amp;""),CHAR(160),"")," ",""),"년",""))&gt;=1900,VALUE(SUBSTITUTE(SUBSTITUTE(SUBSTITUTE(TRIM(A1407&amp;""),CHAR(160),"")," ",""),"년",""))&lt;=2099,TEXT(VALUE(SUBSTITUTE(SUBSTITUTE(SUBSTITUTE(TRIM(A1407&amp;""),CHAR(160),"")," ",""),"년","")),"0000")=SUBSTITUTE(SUBSTITUTE(SUBSTITUTE(TRIM(A1407&amp;""),CHAR(160),"")," ",""),"년","")),SUBSTITUTE(SUBSTITUTE(SUBSTITUTE(TRIM(A1407&amp;""),CHAR(160),"")," ",""),"년",""),""),"")</f>
      </c>
      <c r="I1407" t="str">
        <f>SUBSTITUTE(SUBSTITUTE(SUBSTITUTE(SUBSTITUTE(SUBSTITUTE(TRIM(B1407&amp;""),CHAR(160),"")," ",""),"초등학교","초"),"중학교","중"),"고등학교","고")</f>
      </c>
    </row>
    <row r="1408" customFormat="false" ht="15" hidden="false" customHeight="false" outlineLevel="0" collapsed="false">
      <c r="A1408" s="8"/>
      <c r="B1408" s="8"/>
      <c r="C1408" s="8"/>
      <c r="D1408" s="8"/>
      <c r="E1408" s="8"/>
      <c r="F1408" t="str" s="15">
        <f aca="0">IF(B1408="","",IF(H1408="","확인필요(입력누락)",IF(SUMPRODUCT((실물목록!$P$2:$P$1001&lt;&gt;"")*ISNUMBER(SEARCH(실물목록!$P$2:$P$1001,I1408))*(실물목록!$Q$2:$Q$1001&lt;&gt;"")*ISNUMBER(SEARCH(실물목록!$Q$2:$Q$1001,I1408))*(실물목록!$R$2:$R$1001="")*(실물목록!$O$2:$O$1001&lt;&gt;"")*(실물목록!$O$2:$O$1001=H1408))&gt;0,"실물 있음",IF(SUMPRODUCT((실물목록!$P$2:$P$1001&lt;&gt;"")*ISNUMBER(SEARCH(실물목록!$P$2:$P$1001,I1408))*(실물목록!$R$2:$R$1001&lt;&gt;""))&gt;0,"확인필요(입력누락)",IF(SUMPRODUCT((실물목록!$P$2:$P$1001&lt;&gt;"")*ISNUMBER(SEARCH(실물목록!$P$2:$P$1001,I1408))*(실물목록!$Q$2:$Q$1001&lt;&gt;"")*ISNUMBER(SEARCH(실물목록!$Q$2:$Q$1001,I1408))*(실물목록!$R$2:$R$1001="")*(실물목록!$O$2:$O$1001&lt;&gt;""))&gt;0,"확인필요(연도다름)","실물 없음")))))</f>
      </c>
      <c r="G1408" t="n" s="16">
        <f aca="0">IF(B1408="","",SUMPRODUCT((실물목록!$P$2:$P$1001&lt;&gt;"")*ISNUMBER(SEARCH(실물목록!$P$2:$P$1001,I1408))*(실물목록!$Q$2:$Q$1001&lt;&gt;"")*ISNUMBER(SEARCH(실물목록!$Q$2:$Q$1001,I1408))*(실물목록!$R$2:$R$1001="")*(실물목록!$O$2:$O$1001&lt;&gt;"")*(실물목록!$O$2:$O$1001=H1408)))</f>
      </c>
      <c r="H1408" t="str">
        <f>IFERROR(IF(AND(LEN(SUBSTITUTE(SUBSTITUTE(SUBSTITUTE(TRIM(A1408&amp;""),CHAR(160),"")," ",""),"년",""))=4,VALUE(SUBSTITUTE(SUBSTITUTE(SUBSTITUTE(TRIM(A1408&amp;""),CHAR(160),"")," ",""),"년",""))&gt;=1900,VALUE(SUBSTITUTE(SUBSTITUTE(SUBSTITUTE(TRIM(A1408&amp;""),CHAR(160),"")," ",""),"년",""))&lt;=2099,TEXT(VALUE(SUBSTITUTE(SUBSTITUTE(SUBSTITUTE(TRIM(A1408&amp;""),CHAR(160),"")," ",""),"년","")),"0000")=SUBSTITUTE(SUBSTITUTE(SUBSTITUTE(TRIM(A1408&amp;""),CHAR(160),"")," ",""),"년","")),SUBSTITUTE(SUBSTITUTE(SUBSTITUTE(TRIM(A1408&amp;""),CHAR(160),"")," ",""),"년",""),""),"")</f>
      </c>
      <c r="I1408" t="str">
        <f>SUBSTITUTE(SUBSTITUTE(SUBSTITUTE(SUBSTITUTE(SUBSTITUTE(TRIM(B1408&amp;""),CHAR(160),"")," ",""),"초등학교","초"),"중학교","중"),"고등학교","고")</f>
      </c>
    </row>
    <row r="1409" customFormat="false" ht="15" hidden="false" customHeight="false" outlineLevel="0" collapsed="false">
      <c r="A1409" s="8"/>
      <c r="B1409" s="8"/>
      <c r="C1409" s="8"/>
      <c r="D1409" s="8"/>
      <c r="E1409" s="8"/>
      <c r="F1409" t="str" s="15">
        <f aca="0">IF(B1409="","",IF(H1409="","확인필요(입력누락)",IF(SUMPRODUCT((실물목록!$P$2:$P$1001&lt;&gt;"")*ISNUMBER(SEARCH(실물목록!$P$2:$P$1001,I1409))*(실물목록!$Q$2:$Q$1001&lt;&gt;"")*ISNUMBER(SEARCH(실물목록!$Q$2:$Q$1001,I1409))*(실물목록!$R$2:$R$1001="")*(실물목록!$O$2:$O$1001&lt;&gt;"")*(실물목록!$O$2:$O$1001=H1409))&gt;0,"실물 있음",IF(SUMPRODUCT((실물목록!$P$2:$P$1001&lt;&gt;"")*ISNUMBER(SEARCH(실물목록!$P$2:$P$1001,I1409))*(실물목록!$R$2:$R$1001&lt;&gt;""))&gt;0,"확인필요(입력누락)",IF(SUMPRODUCT((실물목록!$P$2:$P$1001&lt;&gt;"")*ISNUMBER(SEARCH(실물목록!$P$2:$P$1001,I1409))*(실물목록!$Q$2:$Q$1001&lt;&gt;"")*ISNUMBER(SEARCH(실물목록!$Q$2:$Q$1001,I1409))*(실물목록!$R$2:$R$1001="")*(실물목록!$O$2:$O$1001&lt;&gt;""))&gt;0,"확인필요(연도다름)","실물 없음")))))</f>
      </c>
      <c r="G1409" t="n" s="16">
        <f aca="0">IF(B1409="","",SUMPRODUCT((실물목록!$P$2:$P$1001&lt;&gt;"")*ISNUMBER(SEARCH(실물목록!$P$2:$P$1001,I1409))*(실물목록!$Q$2:$Q$1001&lt;&gt;"")*ISNUMBER(SEARCH(실물목록!$Q$2:$Q$1001,I1409))*(실물목록!$R$2:$R$1001="")*(실물목록!$O$2:$O$1001&lt;&gt;"")*(실물목록!$O$2:$O$1001=H1409)))</f>
      </c>
      <c r="H1409" t="str">
        <f>IFERROR(IF(AND(LEN(SUBSTITUTE(SUBSTITUTE(SUBSTITUTE(TRIM(A1409&amp;""),CHAR(160),"")," ",""),"년",""))=4,VALUE(SUBSTITUTE(SUBSTITUTE(SUBSTITUTE(TRIM(A1409&amp;""),CHAR(160),"")," ",""),"년",""))&gt;=1900,VALUE(SUBSTITUTE(SUBSTITUTE(SUBSTITUTE(TRIM(A1409&amp;""),CHAR(160),"")," ",""),"년",""))&lt;=2099,TEXT(VALUE(SUBSTITUTE(SUBSTITUTE(SUBSTITUTE(TRIM(A1409&amp;""),CHAR(160),"")," ",""),"년","")),"0000")=SUBSTITUTE(SUBSTITUTE(SUBSTITUTE(TRIM(A1409&amp;""),CHAR(160),"")," ",""),"년","")),SUBSTITUTE(SUBSTITUTE(SUBSTITUTE(TRIM(A1409&amp;""),CHAR(160),"")," ",""),"년",""),""),"")</f>
      </c>
      <c r="I1409" t="str">
        <f>SUBSTITUTE(SUBSTITUTE(SUBSTITUTE(SUBSTITUTE(SUBSTITUTE(TRIM(B1409&amp;""),CHAR(160),"")," ",""),"초등학교","초"),"중학교","중"),"고등학교","고")</f>
      </c>
    </row>
    <row r="1410" customFormat="false" ht="15" hidden="false" customHeight="false" outlineLevel="0" collapsed="false">
      <c r="A1410" s="8"/>
      <c r="B1410" s="8"/>
      <c r="C1410" s="8"/>
      <c r="D1410" s="8"/>
      <c r="E1410" s="8"/>
      <c r="F1410" t="str" s="15">
        <f aca="0">IF(B1410="","",IF(H1410="","확인필요(입력누락)",IF(SUMPRODUCT((실물목록!$P$2:$P$1001&lt;&gt;"")*ISNUMBER(SEARCH(실물목록!$P$2:$P$1001,I1410))*(실물목록!$Q$2:$Q$1001&lt;&gt;"")*ISNUMBER(SEARCH(실물목록!$Q$2:$Q$1001,I1410))*(실물목록!$R$2:$R$1001="")*(실물목록!$O$2:$O$1001&lt;&gt;"")*(실물목록!$O$2:$O$1001=H1410))&gt;0,"실물 있음",IF(SUMPRODUCT((실물목록!$P$2:$P$1001&lt;&gt;"")*ISNUMBER(SEARCH(실물목록!$P$2:$P$1001,I1410))*(실물목록!$R$2:$R$1001&lt;&gt;""))&gt;0,"확인필요(입력누락)",IF(SUMPRODUCT((실물목록!$P$2:$P$1001&lt;&gt;"")*ISNUMBER(SEARCH(실물목록!$P$2:$P$1001,I1410))*(실물목록!$Q$2:$Q$1001&lt;&gt;"")*ISNUMBER(SEARCH(실물목록!$Q$2:$Q$1001,I1410))*(실물목록!$R$2:$R$1001="")*(실물목록!$O$2:$O$1001&lt;&gt;""))&gt;0,"확인필요(연도다름)","실물 없음")))))</f>
      </c>
      <c r="G1410" t="n" s="16">
        <f aca="0">IF(B1410="","",SUMPRODUCT((실물목록!$P$2:$P$1001&lt;&gt;"")*ISNUMBER(SEARCH(실물목록!$P$2:$P$1001,I1410))*(실물목록!$Q$2:$Q$1001&lt;&gt;"")*ISNUMBER(SEARCH(실물목록!$Q$2:$Q$1001,I1410))*(실물목록!$R$2:$R$1001="")*(실물목록!$O$2:$O$1001&lt;&gt;"")*(실물목록!$O$2:$O$1001=H1410)))</f>
      </c>
      <c r="H1410" t="str">
        <f>IFERROR(IF(AND(LEN(SUBSTITUTE(SUBSTITUTE(SUBSTITUTE(TRIM(A1410&amp;""),CHAR(160),"")," ",""),"년",""))=4,VALUE(SUBSTITUTE(SUBSTITUTE(SUBSTITUTE(TRIM(A1410&amp;""),CHAR(160),"")," ",""),"년",""))&gt;=1900,VALUE(SUBSTITUTE(SUBSTITUTE(SUBSTITUTE(TRIM(A1410&amp;""),CHAR(160),"")," ",""),"년",""))&lt;=2099,TEXT(VALUE(SUBSTITUTE(SUBSTITUTE(SUBSTITUTE(TRIM(A1410&amp;""),CHAR(160),"")," ",""),"년","")),"0000")=SUBSTITUTE(SUBSTITUTE(SUBSTITUTE(TRIM(A1410&amp;""),CHAR(160),"")," ",""),"년","")),SUBSTITUTE(SUBSTITUTE(SUBSTITUTE(TRIM(A1410&amp;""),CHAR(160),"")," ",""),"년",""),""),"")</f>
      </c>
      <c r="I1410" t="str">
        <f>SUBSTITUTE(SUBSTITUTE(SUBSTITUTE(SUBSTITUTE(SUBSTITUTE(TRIM(B1410&amp;""),CHAR(160),"")," ",""),"초등학교","초"),"중학교","중"),"고등학교","고")</f>
      </c>
    </row>
    <row r="1411" customFormat="false" ht="15" hidden="false" customHeight="false" outlineLevel="0" collapsed="false">
      <c r="A1411" s="8"/>
      <c r="B1411" s="8"/>
      <c r="C1411" s="8"/>
      <c r="D1411" s="8"/>
      <c r="E1411" s="8"/>
      <c r="F1411" t="str" s="15">
        <f aca="0">IF(B1411="","",IF(H1411="","확인필요(입력누락)",IF(SUMPRODUCT((실물목록!$P$2:$P$1001&lt;&gt;"")*ISNUMBER(SEARCH(실물목록!$P$2:$P$1001,I1411))*(실물목록!$Q$2:$Q$1001&lt;&gt;"")*ISNUMBER(SEARCH(실물목록!$Q$2:$Q$1001,I1411))*(실물목록!$R$2:$R$1001="")*(실물목록!$O$2:$O$1001&lt;&gt;"")*(실물목록!$O$2:$O$1001=H1411))&gt;0,"실물 있음",IF(SUMPRODUCT((실물목록!$P$2:$P$1001&lt;&gt;"")*ISNUMBER(SEARCH(실물목록!$P$2:$P$1001,I1411))*(실물목록!$R$2:$R$1001&lt;&gt;""))&gt;0,"확인필요(입력누락)",IF(SUMPRODUCT((실물목록!$P$2:$P$1001&lt;&gt;"")*ISNUMBER(SEARCH(실물목록!$P$2:$P$1001,I1411))*(실물목록!$Q$2:$Q$1001&lt;&gt;"")*ISNUMBER(SEARCH(실물목록!$Q$2:$Q$1001,I1411))*(실물목록!$R$2:$R$1001="")*(실물목록!$O$2:$O$1001&lt;&gt;""))&gt;0,"확인필요(연도다름)","실물 없음")))))</f>
      </c>
      <c r="G1411" t="n" s="16">
        <f aca="0">IF(B1411="","",SUMPRODUCT((실물목록!$P$2:$P$1001&lt;&gt;"")*ISNUMBER(SEARCH(실물목록!$P$2:$P$1001,I1411))*(실물목록!$Q$2:$Q$1001&lt;&gt;"")*ISNUMBER(SEARCH(실물목록!$Q$2:$Q$1001,I1411))*(실물목록!$R$2:$R$1001="")*(실물목록!$O$2:$O$1001&lt;&gt;"")*(실물목록!$O$2:$O$1001=H1411)))</f>
      </c>
      <c r="H1411" t="str">
        <f>IFERROR(IF(AND(LEN(SUBSTITUTE(SUBSTITUTE(SUBSTITUTE(TRIM(A1411&amp;""),CHAR(160),"")," ",""),"년",""))=4,VALUE(SUBSTITUTE(SUBSTITUTE(SUBSTITUTE(TRIM(A1411&amp;""),CHAR(160),"")," ",""),"년",""))&gt;=1900,VALUE(SUBSTITUTE(SUBSTITUTE(SUBSTITUTE(TRIM(A1411&amp;""),CHAR(160),"")," ",""),"년",""))&lt;=2099,TEXT(VALUE(SUBSTITUTE(SUBSTITUTE(SUBSTITUTE(TRIM(A1411&amp;""),CHAR(160),"")," ",""),"년","")),"0000")=SUBSTITUTE(SUBSTITUTE(SUBSTITUTE(TRIM(A1411&amp;""),CHAR(160),"")," ",""),"년","")),SUBSTITUTE(SUBSTITUTE(SUBSTITUTE(TRIM(A1411&amp;""),CHAR(160),"")," ",""),"년",""),""),"")</f>
      </c>
      <c r="I1411" t="str">
        <f>SUBSTITUTE(SUBSTITUTE(SUBSTITUTE(SUBSTITUTE(SUBSTITUTE(TRIM(B1411&amp;""),CHAR(160),"")," ",""),"초등학교","초"),"중학교","중"),"고등학교","고")</f>
      </c>
    </row>
    <row r="1412" customFormat="false" ht="15" hidden="false" customHeight="false" outlineLevel="0" collapsed="false">
      <c r="A1412" s="8"/>
      <c r="B1412" s="8"/>
      <c r="C1412" s="8"/>
      <c r="D1412" s="8"/>
      <c r="E1412" s="8"/>
      <c r="F1412" t="str" s="15">
        <f aca="0">IF(B1412="","",IF(H1412="","확인필요(입력누락)",IF(SUMPRODUCT((실물목록!$P$2:$P$1001&lt;&gt;"")*ISNUMBER(SEARCH(실물목록!$P$2:$P$1001,I1412))*(실물목록!$Q$2:$Q$1001&lt;&gt;"")*ISNUMBER(SEARCH(실물목록!$Q$2:$Q$1001,I1412))*(실물목록!$R$2:$R$1001="")*(실물목록!$O$2:$O$1001&lt;&gt;"")*(실물목록!$O$2:$O$1001=H1412))&gt;0,"실물 있음",IF(SUMPRODUCT((실물목록!$P$2:$P$1001&lt;&gt;"")*ISNUMBER(SEARCH(실물목록!$P$2:$P$1001,I1412))*(실물목록!$R$2:$R$1001&lt;&gt;""))&gt;0,"확인필요(입력누락)",IF(SUMPRODUCT((실물목록!$P$2:$P$1001&lt;&gt;"")*ISNUMBER(SEARCH(실물목록!$P$2:$P$1001,I1412))*(실물목록!$Q$2:$Q$1001&lt;&gt;"")*ISNUMBER(SEARCH(실물목록!$Q$2:$Q$1001,I1412))*(실물목록!$R$2:$R$1001="")*(실물목록!$O$2:$O$1001&lt;&gt;""))&gt;0,"확인필요(연도다름)","실물 없음")))))</f>
      </c>
      <c r="G1412" t="n" s="16">
        <f aca="0">IF(B1412="","",SUMPRODUCT((실물목록!$P$2:$P$1001&lt;&gt;"")*ISNUMBER(SEARCH(실물목록!$P$2:$P$1001,I1412))*(실물목록!$Q$2:$Q$1001&lt;&gt;"")*ISNUMBER(SEARCH(실물목록!$Q$2:$Q$1001,I1412))*(실물목록!$R$2:$R$1001="")*(실물목록!$O$2:$O$1001&lt;&gt;"")*(실물목록!$O$2:$O$1001=H1412)))</f>
      </c>
      <c r="H1412" t="str">
        <f>IFERROR(IF(AND(LEN(SUBSTITUTE(SUBSTITUTE(SUBSTITUTE(TRIM(A1412&amp;""),CHAR(160),"")," ",""),"년",""))=4,VALUE(SUBSTITUTE(SUBSTITUTE(SUBSTITUTE(TRIM(A1412&amp;""),CHAR(160),"")," ",""),"년",""))&gt;=1900,VALUE(SUBSTITUTE(SUBSTITUTE(SUBSTITUTE(TRIM(A1412&amp;""),CHAR(160),"")," ",""),"년",""))&lt;=2099,TEXT(VALUE(SUBSTITUTE(SUBSTITUTE(SUBSTITUTE(TRIM(A1412&amp;""),CHAR(160),"")," ",""),"년","")),"0000")=SUBSTITUTE(SUBSTITUTE(SUBSTITUTE(TRIM(A1412&amp;""),CHAR(160),"")," ",""),"년","")),SUBSTITUTE(SUBSTITUTE(SUBSTITUTE(TRIM(A1412&amp;""),CHAR(160),"")," ",""),"년",""),""),"")</f>
      </c>
      <c r="I1412" t="str">
        <f>SUBSTITUTE(SUBSTITUTE(SUBSTITUTE(SUBSTITUTE(SUBSTITUTE(TRIM(B1412&amp;""),CHAR(160),"")," ",""),"초등학교","초"),"중학교","중"),"고등학교","고")</f>
      </c>
    </row>
    <row r="1413" customFormat="false" ht="15" hidden="false" customHeight="false" outlineLevel="0" collapsed="false">
      <c r="A1413" s="8"/>
      <c r="B1413" s="8"/>
      <c r="C1413" s="8"/>
      <c r="D1413" s="8"/>
      <c r="E1413" s="8"/>
      <c r="F1413" t="str" s="15">
        <f aca="0">IF(B1413="","",IF(H1413="","확인필요(입력누락)",IF(SUMPRODUCT((실물목록!$P$2:$P$1001&lt;&gt;"")*ISNUMBER(SEARCH(실물목록!$P$2:$P$1001,I1413))*(실물목록!$Q$2:$Q$1001&lt;&gt;"")*ISNUMBER(SEARCH(실물목록!$Q$2:$Q$1001,I1413))*(실물목록!$R$2:$R$1001="")*(실물목록!$O$2:$O$1001&lt;&gt;"")*(실물목록!$O$2:$O$1001=H1413))&gt;0,"실물 있음",IF(SUMPRODUCT((실물목록!$P$2:$P$1001&lt;&gt;"")*ISNUMBER(SEARCH(실물목록!$P$2:$P$1001,I1413))*(실물목록!$R$2:$R$1001&lt;&gt;""))&gt;0,"확인필요(입력누락)",IF(SUMPRODUCT((실물목록!$P$2:$P$1001&lt;&gt;"")*ISNUMBER(SEARCH(실물목록!$P$2:$P$1001,I1413))*(실물목록!$Q$2:$Q$1001&lt;&gt;"")*ISNUMBER(SEARCH(실물목록!$Q$2:$Q$1001,I1413))*(실물목록!$R$2:$R$1001="")*(실물목록!$O$2:$O$1001&lt;&gt;""))&gt;0,"확인필요(연도다름)","실물 없음")))))</f>
      </c>
      <c r="G1413" t="n" s="16">
        <f aca="0">IF(B1413="","",SUMPRODUCT((실물목록!$P$2:$P$1001&lt;&gt;"")*ISNUMBER(SEARCH(실물목록!$P$2:$P$1001,I1413))*(실물목록!$Q$2:$Q$1001&lt;&gt;"")*ISNUMBER(SEARCH(실물목록!$Q$2:$Q$1001,I1413))*(실물목록!$R$2:$R$1001="")*(실물목록!$O$2:$O$1001&lt;&gt;"")*(실물목록!$O$2:$O$1001=H1413)))</f>
      </c>
      <c r="H1413" t="str">
        <f>IFERROR(IF(AND(LEN(SUBSTITUTE(SUBSTITUTE(SUBSTITUTE(TRIM(A1413&amp;""),CHAR(160),"")," ",""),"년",""))=4,VALUE(SUBSTITUTE(SUBSTITUTE(SUBSTITUTE(TRIM(A1413&amp;""),CHAR(160),"")," ",""),"년",""))&gt;=1900,VALUE(SUBSTITUTE(SUBSTITUTE(SUBSTITUTE(TRIM(A1413&amp;""),CHAR(160),"")," ",""),"년",""))&lt;=2099,TEXT(VALUE(SUBSTITUTE(SUBSTITUTE(SUBSTITUTE(TRIM(A1413&amp;""),CHAR(160),"")," ",""),"년","")),"0000")=SUBSTITUTE(SUBSTITUTE(SUBSTITUTE(TRIM(A1413&amp;""),CHAR(160),"")," ",""),"년","")),SUBSTITUTE(SUBSTITUTE(SUBSTITUTE(TRIM(A1413&amp;""),CHAR(160),"")," ",""),"년",""),""),"")</f>
      </c>
      <c r="I1413" t="str">
        <f>SUBSTITUTE(SUBSTITUTE(SUBSTITUTE(SUBSTITUTE(SUBSTITUTE(TRIM(B1413&amp;""),CHAR(160),"")," ",""),"초등학교","초"),"중학교","중"),"고등학교","고")</f>
      </c>
    </row>
    <row r="1414" customFormat="false" ht="15" hidden="false" customHeight="false" outlineLevel="0" collapsed="false">
      <c r="A1414" s="8"/>
      <c r="B1414" s="8"/>
      <c r="C1414" s="8"/>
      <c r="D1414" s="8"/>
      <c r="E1414" s="8"/>
      <c r="F1414" t="str" s="15">
        <f aca="0">IF(B1414="","",IF(H1414="","확인필요(입력누락)",IF(SUMPRODUCT((실물목록!$P$2:$P$1001&lt;&gt;"")*ISNUMBER(SEARCH(실물목록!$P$2:$P$1001,I1414))*(실물목록!$Q$2:$Q$1001&lt;&gt;"")*ISNUMBER(SEARCH(실물목록!$Q$2:$Q$1001,I1414))*(실물목록!$R$2:$R$1001="")*(실물목록!$O$2:$O$1001&lt;&gt;"")*(실물목록!$O$2:$O$1001=H1414))&gt;0,"실물 있음",IF(SUMPRODUCT((실물목록!$P$2:$P$1001&lt;&gt;"")*ISNUMBER(SEARCH(실물목록!$P$2:$P$1001,I1414))*(실물목록!$R$2:$R$1001&lt;&gt;""))&gt;0,"확인필요(입력누락)",IF(SUMPRODUCT((실물목록!$P$2:$P$1001&lt;&gt;"")*ISNUMBER(SEARCH(실물목록!$P$2:$P$1001,I1414))*(실물목록!$Q$2:$Q$1001&lt;&gt;"")*ISNUMBER(SEARCH(실물목록!$Q$2:$Q$1001,I1414))*(실물목록!$R$2:$R$1001="")*(실물목록!$O$2:$O$1001&lt;&gt;""))&gt;0,"확인필요(연도다름)","실물 없음")))))</f>
      </c>
      <c r="G1414" t="n" s="16">
        <f aca="0">IF(B1414="","",SUMPRODUCT((실물목록!$P$2:$P$1001&lt;&gt;"")*ISNUMBER(SEARCH(실물목록!$P$2:$P$1001,I1414))*(실물목록!$Q$2:$Q$1001&lt;&gt;"")*ISNUMBER(SEARCH(실물목록!$Q$2:$Q$1001,I1414))*(실물목록!$R$2:$R$1001="")*(실물목록!$O$2:$O$1001&lt;&gt;"")*(실물목록!$O$2:$O$1001=H1414)))</f>
      </c>
      <c r="H1414" t="str">
        <f>IFERROR(IF(AND(LEN(SUBSTITUTE(SUBSTITUTE(SUBSTITUTE(TRIM(A1414&amp;""),CHAR(160),"")," ",""),"년",""))=4,VALUE(SUBSTITUTE(SUBSTITUTE(SUBSTITUTE(TRIM(A1414&amp;""),CHAR(160),"")," ",""),"년",""))&gt;=1900,VALUE(SUBSTITUTE(SUBSTITUTE(SUBSTITUTE(TRIM(A1414&amp;""),CHAR(160),"")," ",""),"년",""))&lt;=2099,TEXT(VALUE(SUBSTITUTE(SUBSTITUTE(SUBSTITUTE(TRIM(A1414&amp;""),CHAR(160),"")," ",""),"년","")),"0000")=SUBSTITUTE(SUBSTITUTE(SUBSTITUTE(TRIM(A1414&amp;""),CHAR(160),"")," ",""),"년","")),SUBSTITUTE(SUBSTITUTE(SUBSTITUTE(TRIM(A1414&amp;""),CHAR(160),"")," ",""),"년",""),""),"")</f>
      </c>
      <c r="I1414" t="str">
        <f>SUBSTITUTE(SUBSTITUTE(SUBSTITUTE(SUBSTITUTE(SUBSTITUTE(TRIM(B1414&amp;""),CHAR(160),"")," ",""),"초등학교","초"),"중학교","중"),"고등학교","고")</f>
      </c>
    </row>
    <row r="1415" customFormat="false" ht="15" hidden="false" customHeight="false" outlineLevel="0" collapsed="false">
      <c r="A1415" s="8"/>
      <c r="B1415" s="8"/>
      <c r="C1415" s="8"/>
      <c r="D1415" s="8"/>
      <c r="E1415" s="8"/>
      <c r="F1415" t="str" s="15">
        <f aca="0">IF(B1415="","",IF(H1415="","확인필요(입력누락)",IF(SUMPRODUCT((실물목록!$P$2:$P$1001&lt;&gt;"")*ISNUMBER(SEARCH(실물목록!$P$2:$P$1001,I1415))*(실물목록!$Q$2:$Q$1001&lt;&gt;"")*ISNUMBER(SEARCH(실물목록!$Q$2:$Q$1001,I1415))*(실물목록!$R$2:$R$1001="")*(실물목록!$O$2:$O$1001&lt;&gt;"")*(실물목록!$O$2:$O$1001=H1415))&gt;0,"실물 있음",IF(SUMPRODUCT((실물목록!$P$2:$P$1001&lt;&gt;"")*ISNUMBER(SEARCH(실물목록!$P$2:$P$1001,I1415))*(실물목록!$R$2:$R$1001&lt;&gt;""))&gt;0,"확인필요(입력누락)",IF(SUMPRODUCT((실물목록!$P$2:$P$1001&lt;&gt;"")*ISNUMBER(SEARCH(실물목록!$P$2:$P$1001,I1415))*(실물목록!$Q$2:$Q$1001&lt;&gt;"")*ISNUMBER(SEARCH(실물목록!$Q$2:$Q$1001,I1415))*(실물목록!$R$2:$R$1001="")*(실물목록!$O$2:$O$1001&lt;&gt;""))&gt;0,"확인필요(연도다름)","실물 없음")))))</f>
      </c>
      <c r="G1415" t="n" s="16">
        <f aca="0">IF(B1415="","",SUMPRODUCT((실물목록!$P$2:$P$1001&lt;&gt;"")*ISNUMBER(SEARCH(실물목록!$P$2:$P$1001,I1415))*(실물목록!$Q$2:$Q$1001&lt;&gt;"")*ISNUMBER(SEARCH(실물목록!$Q$2:$Q$1001,I1415))*(실물목록!$R$2:$R$1001="")*(실물목록!$O$2:$O$1001&lt;&gt;"")*(실물목록!$O$2:$O$1001=H1415)))</f>
      </c>
      <c r="H1415" t="str">
        <f>IFERROR(IF(AND(LEN(SUBSTITUTE(SUBSTITUTE(SUBSTITUTE(TRIM(A1415&amp;""),CHAR(160),"")," ",""),"년",""))=4,VALUE(SUBSTITUTE(SUBSTITUTE(SUBSTITUTE(TRIM(A1415&amp;""),CHAR(160),"")," ",""),"년",""))&gt;=1900,VALUE(SUBSTITUTE(SUBSTITUTE(SUBSTITUTE(TRIM(A1415&amp;""),CHAR(160),"")," ",""),"년",""))&lt;=2099,TEXT(VALUE(SUBSTITUTE(SUBSTITUTE(SUBSTITUTE(TRIM(A1415&amp;""),CHAR(160),"")," ",""),"년","")),"0000")=SUBSTITUTE(SUBSTITUTE(SUBSTITUTE(TRIM(A1415&amp;""),CHAR(160),"")," ",""),"년","")),SUBSTITUTE(SUBSTITUTE(SUBSTITUTE(TRIM(A1415&amp;""),CHAR(160),"")," ",""),"년",""),""),"")</f>
      </c>
      <c r="I1415" t="str">
        <f>SUBSTITUTE(SUBSTITUTE(SUBSTITUTE(SUBSTITUTE(SUBSTITUTE(TRIM(B1415&amp;""),CHAR(160),"")," ",""),"초등학교","초"),"중학교","중"),"고등학교","고")</f>
      </c>
    </row>
    <row r="1416" customFormat="false" ht="15" hidden="false" customHeight="false" outlineLevel="0" collapsed="false">
      <c r="A1416" s="8"/>
      <c r="B1416" s="8"/>
      <c r="C1416" s="8"/>
      <c r="D1416" s="8"/>
      <c r="E1416" s="8"/>
      <c r="F1416" t="str" s="15">
        <f aca="0">IF(B1416="","",IF(H1416="","확인필요(입력누락)",IF(SUMPRODUCT((실물목록!$P$2:$P$1001&lt;&gt;"")*ISNUMBER(SEARCH(실물목록!$P$2:$P$1001,I1416))*(실물목록!$Q$2:$Q$1001&lt;&gt;"")*ISNUMBER(SEARCH(실물목록!$Q$2:$Q$1001,I1416))*(실물목록!$R$2:$R$1001="")*(실물목록!$O$2:$O$1001&lt;&gt;"")*(실물목록!$O$2:$O$1001=H1416))&gt;0,"실물 있음",IF(SUMPRODUCT((실물목록!$P$2:$P$1001&lt;&gt;"")*ISNUMBER(SEARCH(실물목록!$P$2:$P$1001,I1416))*(실물목록!$R$2:$R$1001&lt;&gt;""))&gt;0,"확인필요(입력누락)",IF(SUMPRODUCT((실물목록!$P$2:$P$1001&lt;&gt;"")*ISNUMBER(SEARCH(실물목록!$P$2:$P$1001,I1416))*(실물목록!$Q$2:$Q$1001&lt;&gt;"")*ISNUMBER(SEARCH(실물목록!$Q$2:$Q$1001,I1416))*(실물목록!$R$2:$R$1001="")*(실물목록!$O$2:$O$1001&lt;&gt;""))&gt;0,"확인필요(연도다름)","실물 없음")))))</f>
      </c>
      <c r="G1416" t="n" s="16">
        <f aca="0">IF(B1416="","",SUMPRODUCT((실물목록!$P$2:$P$1001&lt;&gt;"")*ISNUMBER(SEARCH(실물목록!$P$2:$P$1001,I1416))*(실물목록!$Q$2:$Q$1001&lt;&gt;"")*ISNUMBER(SEARCH(실물목록!$Q$2:$Q$1001,I1416))*(실물목록!$R$2:$R$1001="")*(실물목록!$O$2:$O$1001&lt;&gt;"")*(실물목록!$O$2:$O$1001=H1416)))</f>
      </c>
      <c r="H1416" t="str">
        <f>IFERROR(IF(AND(LEN(SUBSTITUTE(SUBSTITUTE(SUBSTITUTE(TRIM(A1416&amp;""),CHAR(160),"")," ",""),"년",""))=4,VALUE(SUBSTITUTE(SUBSTITUTE(SUBSTITUTE(TRIM(A1416&amp;""),CHAR(160),"")," ",""),"년",""))&gt;=1900,VALUE(SUBSTITUTE(SUBSTITUTE(SUBSTITUTE(TRIM(A1416&amp;""),CHAR(160),"")," ",""),"년",""))&lt;=2099,TEXT(VALUE(SUBSTITUTE(SUBSTITUTE(SUBSTITUTE(TRIM(A1416&amp;""),CHAR(160),"")," ",""),"년","")),"0000")=SUBSTITUTE(SUBSTITUTE(SUBSTITUTE(TRIM(A1416&amp;""),CHAR(160),"")," ",""),"년","")),SUBSTITUTE(SUBSTITUTE(SUBSTITUTE(TRIM(A1416&amp;""),CHAR(160),"")," ",""),"년",""),""),"")</f>
      </c>
      <c r="I1416" t="str">
        <f>SUBSTITUTE(SUBSTITUTE(SUBSTITUTE(SUBSTITUTE(SUBSTITUTE(TRIM(B1416&amp;""),CHAR(160),"")," ",""),"초등학교","초"),"중학교","중"),"고등학교","고")</f>
      </c>
    </row>
    <row r="1417" customFormat="false" ht="15" hidden="false" customHeight="false" outlineLevel="0" collapsed="false">
      <c r="A1417" s="8"/>
      <c r="B1417" s="8"/>
      <c r="C1417" s="8"/>
      <c r="D1417" s="8"/>
      <c r="E1417" s="8"/>
      <c r="F1417" t="str" s="15">
        <f aca="0">IF(B1417="","",IF(H1417="","확인필요(입력누락)",IF(SUMPRODUCT((실물목록!$P$2:$P$1001&lt;&gt;"")*ISNUMBER(SEARCH(실물목록!$P$2:$P$1001,I1417))*(실물목록!$Q$2:$Q$1001&lt;&gt;"")*ISNUMBER(SEARCH(실물목록!$Q$2:$Q$1001,I1417))*(실물목록!$R$2:$R$1001="")*(실물목록!$O$2:$O$1001&lt;&gt;"")*(실물목록!$O$2:$O$1001=H1417))&gt;0,"실물 있음",IF(SUMPRODUCT((실물목록!$P$2:$P$1001&lt;&gt;"")*ISNUMBER(SEARCH(실물목록!$P$2:$P$1001,I1417))*(실물목록!$R$2:$R$1001&lt;&gt;""))&gt;0,"확인필요(입력누락)",IF(SUMPRODUCT((실물목록!$P$2:$P$1001&lt;&gt;"")*ISNUMBER(SEARCH(실물목록!$P$2:$P$1001,I1417))*(실물목록!$Q$2:$Q$1001&lt;&gt;"")*ISNUMBER(SEARCH(실물목록!$Q$2:$Q$1001,I1417))*(실물목록!$R$2:$R$1001="")*(실물목록!$O$2:$O$1001&lt;&gt;""))&gt;0,"확인필요(연도다름)","실물 없음")))))</f>
      </c>
      <c r="G1417" t="n" s="16">
        <f aca="0">IF(B1417="","",SUMPRODUCT((실물목록!$P$2:$P$1001&lt;&gt;"")*ISNUMBER(SEARCH(실물목록!$P$2:$P$1001,I1417))*(실물목록!$Q$2:$Q$1001&lt;&gt;"")*ISNUMBER(SEARCH(실물목록!$Q$2:$Q$1001,I1417))*(실물목록!$R$2:$R$1001="")*(실물목록!$O$2:$O$1001&lt;&gt;"")*(실물목록!$O$2:$O$1001=H1417)))</f>
      </c>
      <c r="H1417" t="str">
        <f>IFERROR(IF(AND(LEN(SUBSTITUTE(SUBSTITUTE(SUBSTITUTE(TRIM(A1417&amp;""),CHAR(160),"")," ",""),"년",""))=4,VALUE(SUBSTITUTE(SUBSTITUTE(SUBSTITUTE(TRIM(A1417&amp;""),CHAR(160),"")," ",""),"년",""))&gt;=1900,VALUE(SUBSTITUTE(SUBSTITUTE(SUBSTITUTE(TRIM(A1417&amp;""),CHAR(160),"")," ",""),"년",""))&lt;=2099,TEXT(VALUE(SUBSTITUTE(SUBSTITUTE(SUBSTITUTE(TRIM(A1417&amp;""),CHAR(160),"")," ",""),"년","")),"0000")=SUBSTITUTE(SUBSTITUTE(SUBSTITUTE(TRIM(A1417&amp;""),CHAR(160),"")," ",""),"년","")),SUBSTITUTE(SUBSTITUTE(SUBSTITUTE(TRIM(A1417&amp;""),CHAR(160),"")," ",""),"년",""),""),"")</f>
      </c>
      <c r="I1417" t="str">
        <f>SUBSTITUTE(SUBSTITUTE(SUBSTITUTE(SUBSTITUTE(SUBSTITUTE(TRIM(B1417&amp;""),CHAR(160),"")," ",""),"초등학교","초"),"중학교","중"),"고등학교","고")</f>
      </c>
    </row>
    <row r="1418" customFormat="false" ht="15" hidden="false" customHeight="false" outlineLevel="0" collapsed="false">
      <c r="A1418" s="8"/>
      <c r="B1418" s="8"/>
      <c r="C1418" s="8"/>
      <c r="D1418" s="8"/>
      <c r="E1418" s="8"/>
      <c r="F1418" t="str" s="15">
        <f aca="0">IF(B1418="","",IF(H1418="","확인필요(입력누락)",IF(SUMPRODUCT((실물목록!$P$2:$P$1001&lt;&gt;"")*ISNUMBER(SEARCH(실물목록!$P$2:$P$1001,I1418))*(실물목록!$Q$2:$Q$1001&lt;&gt;"")*ISNUMBER(SEARCH(실물목록!$Q$2:$Q$1001,I1418))*(실물목록!$R$2:$R$1001="")*(실물목록!$O$2:$O$1001&lt;&gt;"")*(실물목록!$O$2:$O$1001=H1418))&gt;0,"실물 있음",IF(SUMPRODUCT((실물목록!$P$2:$P$1001&lt;&gt;"")*ISNUMBER(SEARCH(실물목록!$P$2:$P$1001,I1418))*(실물목록!$R$2:$R$1001&lt;&gt;""))&gt;0,"확인필요(입력누락)",IF(SUMPRODUCT((실물목록!$P$2:$P$1001&lt;&gt;"")*ISNUMBER(SEARCH(실물목록!$P$2:$P$1001,I1418))*(실물목록!$Q$2:$Q$1001&lt;&gt;"")*ISNUMBER(SEARCH(실물목록!$Q$2:$Q$1001,I1418))*(실물목록!$R$2:$R$1001="")*(실물목록!$O$2:$O$1001&lt;&gt;""))&gt;0,"확인필요(연도다름)","실물 없음")))))</f>
      </c>
      <c r="G1418" t="n" s="16">
        <f aca="0">IF(B1418="","",SUMPRODUCT((실물목록!$P$2:$P$1001&lt;&gt;"")*ISNUMBER(SEARCH(실물목록!$P$2:$P$1001,I1418))*(실물목록!$Q$2:$Q$1001&lt;&gt;"")*ISNUMBER(SEARCH(실물목록!$Q$2:$Q$1001,I1418))*(실물목록!$R$2:$R$1001="")*(실물목록!$O$2:$O$1001&lt;&gt;"")*(실물목록!$O$2:$O$1001=H1418)))</f>
      </c>
      <c r="H1418" t="str">
        <f>IFERROR(IF(AND(LEN(SUBSTITUTE(SUBSTITUTE(SUBSTITUTE(TRIM(A1418&amp;""),CHAR(160),"")," ",""),"년",""))=4,VALUE(SUBSTITUTE(SUBSTITUTE(SUBSTITUTE(TRIM(A1418&amp;""),CHAR(160),"")," ",""),"년",""))&gt;=1900,VALUE(SUBSTITUTE(SUBSTITUTE(SUBSTITUTE(TRIM(A1418&amp;""),CHAR(160),"")," ",""),"년",""))&lt;=2099,TEXT(VALUE(SUBSTITUTE(SUBSTITUTE(SUBSTITUTE(TRIM(A1418&amp;""),CHAR(160),"")," ",""),"년","")),"0000")=SUBSTITUTE(SUBSTITUTE(SUBSTITUTE(TRIM(A1418&amp;""),CHAR(160),"")," ",""),"년","")),SUBSTITUTE(SUBSTITUTE(SUBSTITUTE(TRIM(A1418&amp;""),CHAR(160),"")," ",""),"년",""),""),"")</f>
      </c>
      <c r="I1418" t="str">
        <f>SUBSTITUTE(SUBSTITUTE(SUBSTITUTE(SUBSTITUTE(SUBSTITUTE(TRIM(B1418&amp;""),CHAR(160),"")," ",""),"초등학교","초"),"중학교","중"),"고등학교","고")</f>
      </c>
    </row>
    <row r="1419" customFormat="false" ht="15" hidden="false" customHeight="false" outlineLevel="0" collapsed="false">
      <c r="A1419" s="8"/>
      <c r="B1419" s="8"/>
      <c r="C1419" s="8"/>
      <c r="D1419" s="8"/>
      <c r="E1419" s="8"/>
      <c r="F1419" t="str" s="15">
        <f aca="0">IF(B1419="","",IF(H1419="","확인필요(입력누락)",IF(SUMPRODUCT((실물목록!$P$2:$P$1001&lt;&gt;"")*ISNUMBER(SEARCH(실물목록!$P$2:$P$1001,I1419))*(실물목록!$Q$2:$Q$1001&lt;&gt;"")*ISNUMBER(SEARCH(실물목록!$Q$2:$Q$1001,I1419))*(실물목록!$R$2:$R$1001="")*(실물목록!$O$2:$O$1001&lt;&gt;"")*(실물목록!$O$2:$O$1001=H1419))&gt;0,"실물 있음",IF(SUMPRODUCT((실물목록!$P$2:$P$1001&lt;&gt;"")*ISNUMBER(SEARCH(실물목록!$P$2:$P$1001,I1419))*(실물목록!$R$2:$R$1001&lt;&gt;""))&gt;0,"확인필요(입력누락)",IF(SUMPRODUCT((실물목록!$P$2:$P$1001&lt;&gt;"")*ISNUMBER(SEARCH(실물목록!$P$2:$P$1001,I1419))*(실물목록!$Q$2:$Q$1001&lt;&gt;"")*ISNUMBER(SEARCH(실물목록!$Q$2:$Q$1001,I1419))*(실물목록!$R$2:$R$1001="")*(실물목록!$O$2:$O$1001&lt;&gt;""))&gt;0,"확인필요(연도다름)","실물 없음")))))</f>
      </c>
      <c r="G1419" t="n" s="16">
        <f aca="0">IF(B1419="","",SUMPRODUCT((실물목록!$P$2:$P$1001&lt;&gt;"")*ISNUMBER(SEARCH(실물목록!$P$2:$P$1001,I1419))*(실물목록!$Q$2:$Q$1001&lt;&gt;"")*ISNUMBER(SEARCH(실물목록!$Q$2:$Q$1001,I1419))*(실물목록!$R$2:$R$1001="")*(실물목록!$O$2:$O$1001&lt;&gt;"")*(실물목록!$O$2:$O$1001=H1419)))</f>
      </c>
      <c r="H1419" t="str">
        <f>IFERROR(IF(AND(LEN(SUBSTITUTE(SUBSTITUTE(SUBSTITUTE(TRIM(A1419&amp;""),CHAR(160),"")," ",""),"년",""))=4,VALUE(SUBSTITUTE(SUBSTITUTE(SUBSTITUTE(TRIM(A1419&amp;""),CHAR(160),"")," ",""),"년",""))&gt;=1900,VALUE(SUBSTITUTE(SUBSTITUTE(SUBSTITUTE(TRIM(A1419&amp;""),CHAR(160),"")," ",""),"년",""))&lt;=2099,TEXT(VALUE(SUBSTITUTE(SUBSTITUTE(SUBSTITUTE(TRIM(A1419&amp;""),CHAR(160),"")," ",""),"년","")),"0000")=SUBSTITUTE(SUBSTITUTE(SUBSTITUTE(TRIM(A1419&amp;""),CHAR(160),"")," ",""),"년","")),SUBSTITUTE(SUBSTITUTE(SUBSTITUTE(TRIM(A1419&amp;""),CHAR(160),"")," ",""),"년",""),""),"")</f>
      </c>
      <c r="I1419" t="str">
        <f>SUBSTITUTE(SUBSTITUTE(SUBSTITUTE(SUBSTITUTE(SUBSTITUTE(TRIM(B1419&amp;""),CHAR(160),"")," ",""),"초등학교","초"),"중학교","중"),"고등학교","고")</f>
      </c>
    </row>
    <row r="1420" customFormat="false" ht="15" hidden="false" customHeight="false" outlineLevel="0" collapsed="false">
      <c r="A1420" s="8"/>
      <c r="B1420" s="8"/>
      <c r="C1420" s="8"/>
      <c r="D1420" s="8"/>
      <c r="E1420" s="8"/>
      <c r="F1420" t="str" s="15">
        <f aca="0">IF(B1420="","",IF(H1420="","확인필요(입력누락)",IF(SUMPRODUCT((실물목록!$P$2:$P$1001&lt;&gt;"")*ISNUMBER(SEARCH(실물목록!$P$2:$P$1001,I1420))*(실물목록!$Q$2:$Q$1001&lt;&gt;"")*ISNUMBER(SEARCH(실물목록!$Q$2:$Q$1001,I1420))*(실물목록!$R$2:$R$1001="")*(실물목록!$O$2:$O$1001&lt;&gt;"")*(실물목록!$O$2:$O$1001=H1420))&gt;0,"실물 있음",IF(SUMPRODUCT((실물목록!$P$2:$P$1001&lt;&gt;"")*ISNUMBER(SEARCH(실물목록!$P$2:$P$1001,I1420))*(실물목록!$R$2:$R$1001&lt;&gt;""))&gt;0,"확인필요(입력누락)",IF(SUMPRODUCT((실물목록!$P$2:$P$1001&lt;&gt;"")*ISNUMBER(SEARCH(실물목록!$P$2:$P$1001,I1420))*(실물목록!$Q$2:$Q$1001&lt;&gt;"")*ISNUMBER(SEARCH(실물목록!$Q$2:$Q$1001,I1420))*(실물목록!$R$2:$R$1001="")*(실물목록!$O$2:$O$1001&lt;&gt;""))&gt;0,"확인필요(연도다름)","실물 없음")))))</f>
      </c>
      <c r="G1420" t="n" s="16">
        <f aca="0">IF(B1420="","",SUMPRODUCT((실물목록!$P$2:$P$1001&lt;&gt;"")*ISNUMBER(SEARCH(실물목록!$P$2:$P$1001,I1420))*(실물목록!$Q$2:$Q$1001&lt;&gt;"")*ISNUMBER(SEARCH(실물목록!$Q$2:$Q$1001,I1420))*(실물목록!$R$2:$R$1001="")*(실물목록!$O$2:$O$1001&lt;&gt;"")*(실물목록!$O$2:$O$1001=H1420)))</f>
      </c>
      <c r="H1420" t="str">
        <f>IFERROR(IF(AND(LEN(SUBSTITUTE(SUBSTITUTE(SUBSTITUTE(TRIM(A1420&amp;""),CHAR(160),"")," ",""),"년",""))=4,VALUE(SUBSTITUTE(SUBSTITUTE(SUBSTITUTE(TRIM(A1420&amp;""),CHAR(160),"")," ",""),"년",""))&gt;=1900,VALUE(SUBSTITUTE(SUBSTITUTE(SUBSTITUTE(TRIM(A1420&amp;""),CHAR(160),"")," ",""),"년",""))&lt;=2099,TEXT(VALUE(SUBSTITUTE(SUBSTITUTE(SUBSTITUTE(TRIM(A1420&amp;""),CHAR(160),"")," ",""),"년","")),"0000")=SUBSTITUTE(SUBSTITUTE(SUBSTITUTE(TRIM(A1420&amp;""),CHAR(160),"")," ",""),"년","")),SUBSTITUTE(SUBSTITUTE(SUBSTITUTE(TRIM(A1420&amp;""),CHAR(160),"")," ",""),"년",""),""),"")</f>
      </c>
      <c r="I1420" t="str">
        <f>SUBSTITUTE(SUBSTITUTE(SUBSTITUTE(SUBSTITUTE(SUBSTITUTE(TRIM(B1420&amp;""),CHAR(160),"")," ",""),"초등학교","초"),"중학교","중"),"고등학교","고")</f>
      </c>
    </row>
    <row r="1421" customFormat="false" ht="15" hidden="false" customHeight="false" outlineLevel="0" collapsed="false">
      <c r="A1421" s="8"/>
      <c r="B1421" s="8"/>
      <c r="C1421" s="8"/>
      <c r="D1421" s="8"/>
      <c r="E1421" s="8"/>
      <c r="F1421" t="str" s="15">
        <f aca="0">IF(B1421="","",IF(H1421="","확인필요(입력누락)",IF(SUMPRODUCT((실물목록!$P$2:$P$1001&lt;&gt;"")*ISNUMBER(SEARCH(실물목록!$P$2:$P$1001,I1421))*(실물목록!$Q$2:$Q$1001&lt;&gt;"")*ISNUMBER(SEARCH(실물목록!$Q$2:$Q$1001,I1421))*(실물목록!$R$2:$R$1001="")*(실물목록!$O$2:$O$1001&lt;&gt;"")*(실물목록!$O$2:$O$1001=H1421))&gt;0,"실물 있음",IF(SUMPRODUCT((실물목록!$P$2:$P$1001&lt;&gt;"")*ISNUMBER(SEARCH(실물목록!$P$2:$P$1001,I1421))*(실물목록!$R$2:$R$1001&lt;&gt;""))&gt;0,"확인필요(입력누락)",IF(SUMPRODUCT((실물목록!$P$2:$P$1001&lt;&gt;"")*ISNUMBER(SEARCH(실물목록!$P$2:$P$1001,I1421))*(실물목록!$Q$2:$Q$1001&lt;&gt;"")*ISNUMBER(SEARCH(실물목록!$Q$2:$Q$1001,I1421))*(실물목록!$R$2:$R$1001="")*(실물목록!$O$2:$O$1001&lt;&gt;""))&gt;0,"확인필요(연도다름)","실물 없음")))))</f>
      </c>
      <c r="G1421" t="n" s="16">
        <f aca="0">IF(B1421="","",SUMPRODUCT((실물목록!$P$2:$P$1001&lt;&gt;"")*ISNUMBER(SEARCH(실물목록!$P$2:$P$1001,I1421))*(실물목록!$Q$2:$Q$1001&lt;&gt;"")*ISNUMBER(SEARCH(실물목록!$Q$2:$Q$1001,I1421))*(실물목록!$R$2:$R$1001="")*(실물목록!$O$2:$O$1001&lt;&gt;"")*(실물목록!$O$2:$O$1001=H1421)))</f>
      </c>
      <c r="H1421" t="str">
        <f>IFERROR(IF(AND(LEN(SUBSTITUTE(SUBSTITUTE(SUBSTITUTE(TRIM(A1421&amp;""),CHAR(160),"")," ",""),"년",""))=4,VALUE(SUBSTITUTE(SUBSTITUTE(SUBSTITUTE(TRIM(A1421&amp;""),CHAR(160),"")," ",""),"년",""))&gt;=1900,VALUE(SUBSTITUTE(SUBSTITUTE(SUBSTITUTE(TRIM(A1421&amp;""),CHAR(160),"")," ",""),"년",""))&lt;=2099,TEXT(VALUE(SUBSTITUTE(SUBSTITUTE(SUBSTITUTE(TRIM(A1421&amp;""),CHAR(160),"")," ",""),"년","")),"0000")=SUBSTITUTE(SUBSTITUTE(SUBSTITUTE(TRIM(A1421&amp;""),CHAR(160),"")," ",""),"년","")),SUBSTITUTE(SUBSTITUTE(SUBSTITUTE(TRIM(A1421&amp;""),CHAR(160),"")," ",""),"년",""),""),"")</f>
      </c>
      <c r="I1421" t="str">
        <f>SUBSTITUTE(SUBSTITUTE(SUBSTITUTE(SUBSTITUTE(SUBSTITUTE(TRIM(B1421&amp;""),CHAR(160),"")," ",""),"초등학교","초"),"중학교","중"),"고등학교","고")</f>
      </c>
    </row>
    <row r="1422" customFormat="false" ht="15" hidden="false" customHeight="false" outlineLevel="0" collapsed="false">
      <c r="A1422" s="8"/>
      <c r="B1422" s="8"/>
      <c r="C1422" s="8"/>
      <c r="D1422" s="8"/>
      <c r="E1422" s="8"/>
      <c r="F1422" t="str" s="15">
        <f aca="0">IF(B1422="","",IF(H1422="","확인필요(입력누락)",IF(SUMPRODUCT((실물목록!$P$2:$P$1001&lt;&gt;"")*ISNUMBER(SEARCH(실물목록!$P$2:$P$1001,I1422))*(실물목록!$Q$2:$Q$1001&lt;&gt;"")*ISNUMBER(SEARCH(실물목록!$Q$2:$Q$1001,I1422))*(실물목록!$R$2:$R$1001="")*(실물목록!$O$2:$O$1001&lt;&gt;"")*(실물목록!$O$2:$O$1001=H1422))&gt;0,"실물 있음",IF(SUMPRODUCT((실물목록!$P$2:$P$1001&lt;&gt;"")*ISNUMBER(SEARCH(실물목록!$P$2:$P$1001,I1422))*(실물목록!$R$2:$R$1001&lt;&gt;""))&gt;0,"확인필요(입력누락)",IF(SUMPRODUCT((실물목록!$P$2:$P$1001&lt;&gt;"")*ISNUMBER(SEARCH(실물목록!$P$2:$P$1001,I1422))*(실물목록!$Q$2:$Q$1001&lt;&gt;"")*ISNUMBER(SEARCH(실물목록!$Q$2:$Q$1001,I1422))*(실물목록!$R$2:$R$1001="")*(실물목록!$O$2:$O$1001&lt;&gt;""))&gt;0,"확인필요(연도다름)","실물 없음")))))</f>
      </c>
      <c r="G1422" t="n" s="16">
        <f aca="0">IF(B1422="","",SUMPRODUCT((실물목록!$P$2:$P$1001&lt;&gt;"")*ISNUMBER(SEARCH(실물목록!$P$2:$P$1001,I1422))*(실물목록!$Q$2:$Q$1001&lt;&gt;"")*ISNUMBER(SEARCH(실물목록!$Q$2:$Q$1001,I1422))*(실물목록!$R$2:$R$1001="")*(실물목록!$O$2:$O$1001&lt;&gt;"")*(실물목록!$O$2:$O$1001=H1422)))</f>
      </c>
      <c r="H1422" t="str">
        <f>IFERROR(IF(AND(LEN(SUBSTITUTE(SUBSTITUTE(SUBSTITUTE(TRIM(A1422&amp;""),CHAR(160),"")," ",""),"년",""))=4,VALUE(SUBSTITUTE(SUBSTITUTE(SUBSTITUTE(TRIM(A1422&amp;""),CHAR(160),"")," ",""),"년",""))&gt;=1900,VALUE(SUBSTITUTE(SUBSTITUTE(SUBSTITUTE(TRIM(A1422&amp;""),CHAR(160),"")," ",""),"년",""))&lt;=2099,TEXT(VALUE(SUBSTITUTE(SUBSTITUTE(SUBSTITUTE(TRIM(A1422&amp;""),CHAR(160),"")," ",""),"년","")),"0000")=SUBSTITUTE(SUBSTITUTE(SUBSTITUTE(TRIM(A1422&amp;""),CHAR(160),"")," ",""),"년","")),SUBSTITUTE(SUBSTITUTE(SUBSTITUTE(TRIM(A1422&amp;""),CHAR(160),"")," ",""),"년",""),""),"")</f>
      </c>
      <c r="I1422" t="str">
        <f>SUBSTITUTE(SUBSTITUTE(SUBSTITUTE(SUBSTITUTE(SUBSTITUTE(TRIM(B1422&amp;""),CHAR(160),"")," ",""),"초등학교","초"),"중학교","중"),"고등학교","고")</f>
      </c>
    </row>
    <row r="1423" customFormat="false" ht="15" hidden="false" customHeight="false" outlineLevel="0" collapsed="false">
      <c r="A1423" s="8"/>
      <c r="B1423" s="8"/>
      <c r="C1423" s="8"/>
      <c r="D1423" s="8"/>
      <c r="E1423" s="8"/>
      <c r="F1423" t="str" s="15">
        <f aca="0">IF(B1423="","",IF(H1423="","확인필요(입력누락)",IF(SUMPRODUCT((실물목록!$P$2:$P$1001&lt;&gt;"")*ISNUMBER(SEARCH(실물목록!$P$2:$P$1001,I1423))*(실물목록!$Q$2:$Q$1001&lt;&gt;"")*ISNUMBER(SEARCH(실물목록!$Q$2:$Q$1001,I1423))*(실물목록!$R$2:$R$1001="")*(실물목록!$O$2:$O$1001&lt;&gt;"")*(실물목록!$O$2:$O$1001=H1423))&gt;0,"실물 있음",IF(SUMPRODUCT((실물목록!$P$2:$P$1001&lt;&gt;"")*ISNUMBER(SEARCH(실물목록!$P$2:$P$1001,I1423))*(실물목록!$R$2:$R$1001&lt;&gt;""))&gt;0,"확인필요(입력누락)",IF(SUMPRODUCT((실물목록!$P$2:$P$1001&lt;&gt;"")*ISNUMBER(SEARCH(실물목록!$P$2:$P$1001,I1423))*(실물목록!$Q$2:$Q$1001&lt;&gt;"")*ISNUMBER(SEARCH(실물목록!$Q$2:$Q$1001,I1423))*(실물목록!$R$2:$R$1001="")*(실물목록!$O$2:$O$1001&lt;&gt;""))&gt;0,"확인필요(연도다름)","실물 없음")))))</f>
      </c>
      <c r="G1423" t="n" s="16">
        <f aca="0">IF(B1423="","",SUMPRODUCT((실물목록!$P$2:$P$1001&lt;&gt;"")*ISNUMBER(SEARCH(실물목록!$P$2:$P$1001,I1423))*(실물목록!$Q$2:$Q$1001&lt;&gt;"")*ISNUMBER(SEARCH(실물목록!$Q$2:$Q$1001,I1423))*(실물목록!$R$2:$R$1001="")*(실물목록!$O$2:$O$1001&lt;&gt;"")*(실물목록!$O$2:$O$1001=H1423)))</f>
      </c>
      <c r="H1423" t="str">
        <f>IFERROR(IF(AND(LEN(SUBSTITUTE(SUBSTITUTE(SUBSTITUTE(TRIM(A1423&amp;""),CHAR(160),"")," ",""),"년",""))=4,VALUE(SUBSTITUTE(SUBSTITUTE(SUBSTITUTE(TRIM(A1423&amp;""),CHAR(160),"")," ",""),"년",""))&gt;=1900,VALUE(SUBSTITUTE(SUBSTITUTE(SUBSTITUTE(TRIM(A1423&amp;""),CHAR(160),"")," ",""),"년",""))&lt;=2099,TEXT(VALUE(SUBSTITUTE(SUBSTITUTE(SUBSTITUTE(TRIM(A1423&amp;""),CHAR(160),"")," ",""),"년","")),"0000")=SUBSTITUTE(SUBSTITUTE(SUBSTITUTE(TRIM(A1423&amp;""),CHAR(160),"")," ",""),"년","")),SUBSTITUTE(SUBSTITUTE(SUBSTITUTE(TRIM(A1423&amp;""),CHAR(160),"")," ",""),"년",""),""),"")</f>
      </c>
      <c r="I1423" t="str">
        <f>SUBSTITUTE(SUBSTITUTE(SUBSTITUTE(SUBSTITUTE(SUBSTITUTE(TRIM(B1423&amp;""),CHAR(160),"")," ",""),"초등학교","초"),"중학교","중"),"고등학교","고")</f>
      </c>
    </row>
    <row r="1424" customFormat="false" ht="15" hidden="false" customHeight="false" outlineLevel="0" collapsed="false">
      <c r="A1424" s="8"/>
      <c r="B1424" s="8"/>
      <c r="C1424" s="8"/>
      <c r="D1424" s="8"/>
      <c r="E1424" s="8"/>
      <c r="F1424" t="str" s="15">
        <f aca="0">IF(B1424="","",IF(H1424="","확인필요(입력누락)",IF(SUMPRODUCT((실물목록!$P$2:$P$1001&lt;&gt;"")*ISNUMBER(SEARCH(실물목록!$P$2:$P$1001,I1424))*(실물목록!$Q$2:$Q$1001&lt;&gt;"")*ISNUMBER(SEARCH(실물목록!$Q$2:$Q$1001,I1424))*(실물목록!$R$2:$R$1001="")*(실물목록!$O$2:$O$1001&lt;&gt;"")*(실물목록!$O$2:$O$1001=H1424))&gt;0,"실물 있음",IF(SUMPRODUCT((실물목록!$P$2:$P$1001&lt;&gt;"")*ISNUMBER(SEARCH(실물목록!$P$2:$P$1001,I1424))*(실물목록!$R$2:$R$1001&lt;&gt;""))&gt;0,"확인필요(입력누락)",IF(SUMPRODUCT((실물목록!$P$2:$P$1001&lt;&gt;"")*ISNUMBER(SEARCH(실물목록!$P$2:$P$1001,I1424))*(실물목록!$Q$2:$Q$1001&lt;&gt;"")*ISNUMBER(SEARCH(실물목록!$Q$2:$Q$1001,I1424))*(실물목록!$R$2:$R$1001="")*(실물목록!$O$2:$O$1001&lt;&gt;""))&gt;0,"확인필요(연도다름)","실물 없음")))))</f>
      </c>
      <c r="G1424" t="n" s="16">
        <f aca="0">IF(B1424="","",SUMPRODUCT((실물목록!$P$2:$P$1001&lt;&gt;"")*ISNUMBER(SEARCH(실물목록!$P$2:$P$1001,I1424))*(실물목록!$Q$2:$Q$1001&lt;&gt;"")*ISNUMBER(SEARCH(실물목록!$Q$2:$Q$1001,I1424))*(실물목록!$R$2:$R$1001="")*(실물목록!$O$2:$O$1001&lt;&gt;"")*(실물목록!$O$2:$O$1001=H1424)))</f>
      </c>
      <c r="H1424" t="str">
        <f>IFERROR(IF(AND(LEN(SUBSTITUTE(SUBSTITUTE(SUBSTITUTE(TRIM(A1424&amp;""),CHAR(160),"")," ",""),"년",""))=4,VALUE(SUBSTITUTE(SUBSTITUTE(SUBSTITUTE(TRIM(A1424&amp;""),CHAR(160),"")," ",""),"년",""))&gt;=1900,VALUE(SUBSTITUTE(SUBSTITUTE(SUBSTITUTE(TRIM(A1424&amp;""),CHAR(160),"")," ",""),"년",""))&lt;=2099,TEXT(VALUE(SUBSTITUTE(SUBSTITUTE(SUBSTITUTE(TRIM(A1424&amp;""),CHAR(160),"")," ",""),"년","")),"0000")=SUBSTITUTE(SUBSTITUTE(SUBSTITUTE(TRIM(A1424&amp;""),CHAR(160),"")," ",""),"년","")),SUBSTITUTE(SUBSTITUTE(SUBSTITUTE(TRIM(A1424&amp;""),CHAR(160),"")," ",""),"년",""),""),"")</f>
      </c>
      <c r="I1424" t="str">
        <f>SUBSTITUTE(SUBSTITUTE(SUBSTITUTE(SUBSTITUTE(SUBSTITUTE(TRIM(B1424&amp;""),CHAR(160),"")," ",""),"초등학교","초"),"중학교","중"),"고등학교","고")</f>
      </c>
    </row>
    <row r="1425" customFormat="false" ht="15" hidden="false" customHeight="false" outlineLevel="0" collapsed="false">
      <c r="A1425" s="8"/>
      <c r="B1425" s="8"/>
      <c r="C1425" s="8"/>
      <c r="D1425" s="8"/>
      <c r="E1425" s="8"/>
      <c r="F1425" t="str" s="15">
        <f aca="0">IF(B1425="","",IF(H1425="","확인필요(입력누락)",IF(SUMPRODUCT((실물목록!$P$2:$P$1001&lt;&gt;"")*ISNUMBER(SEARCH(실물목록!$P$2:$P$1001,I1425))*(실물목록!$Q$2:$Q$1001&lt;&gt;"")*ISNUMBER(SEARCH(실물목록!$Q$2:$Q$1001,I1425))*(실물목록!$R$2:$R$1001="")*(실물목록!$O$2:$O$1001&lt;&gt;"")*(실물목록!$O$2:$O$1001=H1425))&gt;0,"실물 있음",IF(SUMPRODUCT((실물목록!$P$2:$P$1001&lt;&gt;"")*ISNUMBER(SEARCH(실물목록!$P$2:$P$1001,I1425))*(실물목록!$R$2:$R$1001&lt;&gt;""))&gt;0,"확인필요(입력누락)",IF(SUMPRODUCT((실물목록!$P$2:$P$1001&lt;&gt;"")*ISNUMBER(SEARCH(실물목록!$P$2:$P$1001,I1425))*(실물목록!$Q$2:$Q$1001&lt;&gt;"")*ISNUMBER(SEARCH(실물목록!$Q$2:$Q$1001,I1425))*(실물목록!$R$2:$R$1001="")*(실물목록!$O$2:$O$1001&lt;&gt;""))&gt;0,"확인필요(연도다름)","실물 없음")))))</f>
      </c>
      <c r="G1425" t="n" s="16">
        <f aca="0">IF(B1425="","",SUMPRODUCT((실물목록!$P$2:$P$1001&lt;&gt;"")*ISNUMBER(SEARCH(실물목록!$P$2:$P$1001,I1425))*(실물목록!$Q$2:$Q$1001&lt;&gt;"")*ISNUMBER(SEARCH(실물목록!$Q$2:$Q$1001,I1425))*(실물목록!$R$2:$R$1001="")*(실물목록!$O$2:$O$1001&lt;&gt;"")*(실물목록!$O$2:$O$1001=H1425)))</f>
      </c>
      <c r="H1425" t="str">
        <f>IFERROR(IF(AND(LEN(SUBSTITUTE(SUBSTITUTE(SUBSTITUTE(TRIM(A1425&amp;""),CHAR(160),"")," ",""),"년",""))=4,VALUE(SUBSTITUTE(SUBSTITUTE(SUBSTITUTE(TRIM(A1425&amp;""),CHAR(160),"")," ",""),"년",""))&gt;=1900,VALUE(SUBSTITUTE(SUBSTITUTE(SUBSTITUTE(TRIM(A1425&amp;""),CHAR(160),"")," ",""),"년",""))&lt;=2099,TEXT(VALUE(SUBSTITUTE(SUBSTITUTE(SUBSTITUTE(TRIM(A1425&amp;""),CHAR(160),"")," ",""),"년","")),"0000")=SUBSTITUTE(SUBSTITUTE(SUBSTITUTE(TRIM(A1425&amp;""),CHAR(160),"")," ",""),"년","")),SUBSTITUTE(SUBSTITUTE(SUBSTITUTE(TRIM(A1425&amp;""),CHAR(160),"")," ",""),"년",""),""),"")</f>
      </c>
      <c r="I1425" t="str">
        <f>SUBSTITUTE(SUBSTITUTE(SUBSTITUTE(SUBSTITUTE(SUBSTITUTE(TRIM(B1425&amp;""),CHAR(160),"")," ",""),"초등학교","초"),"중학교","중"),"고등학교","고")</f>
      </c>
    </row>
    <row r="1426" customFormat="false" ht="15" hidden="false" customHeight="false" outlineLevel="0" collapsed="false">
      <c r="A1426" s="8"/>
      <c r="B1426" s="8"/>
      <c r="C1426" s="8"/>
      <c r="D1426" s="8"/>
      <c r="E1426" s="8"/>
      <c r="F1426" t="str" s="15">
        <f aca="0">IF(B1426="","",IF(H1426="","확인필요(입력누락)",IF(SUMPRODUCT((실물목록!$P$2:$P$1001&lt;&gt;"")*ISNUMBER(SEARCH(실물목록!$P$2:$P$1001,I1426))*(실물목록!$Q$2:$Q$1001&lt;&gt;"")*ISNUMBER(SEARCH(실물목록!$Q$2:$Q$1001,I1426))*(실물목록!$R$2:$R$1001="")*(실물목록!$O$2:$O$1001&lt;&gt;"")*(실물목록!$O$2:$O$1001=H1426))&gt;0,"실물 있음",IF(SUMPRODUCT((실물목록!$P$2:$P$1001&lt;&gt;"")*ISNUMBER(SEARCH(실물목록!$P$2:$P$1001,I1426))*(실물목록!$R$2:$R$1001&lt;&gt;""))&gt;0,"확인필요(입력누락)",IF(SUMPRODUCT((실물목록!$P$2:$P$1001&lt;&gt;"")*ISNUMBER(SEARCH(실물목록!$P$2:$P$1001,I1426))*(실물목록!$Q$2:$Q$1001&lt;&gt;"")*ISNUMBER(SEARCH(실물목록!$Q$2:$Q$1001,I1426))*(실물목록!$R$2:$R$1001="")*(실물목록!$O$2:$O$1001&lt;&gt;""))&gt;0,"확인필요(연도다름)","실물 없음")))))</f>
      </c>
      <c r="G1426" t="n" s="16">
        <f aca="0">IF(B1426="","",SUMPRODUCT((실물목록!$P$2:$P$1001&lt;&gt;"")*ISNUMBER(SEARCH(실물목록!$P$2:$P$1001,I1426))*(실물목록!$Q$2:$Q$1001&lt;&gt;"")*ISNUMBER(SEARCH(실물목록!$Q$2:$Q$1001,I1426))*(실물목록!$R$2:$R$1001="")*(실물목록!$O$2:$O$1001&lt;&gt;"")*(실물목록!$O$2:$O$1001=H1426)))</f>
      </c>
      <c r="H1426" t="str">
        <f>IFERROR(IF(AND(LEN(SUBSTITUTE(SUBSTITUTE(SUBSTITUTE(TRIM(A1426&amp;""),CHAR(160),"")," ",""),"년",""))=4,VALUE(SUBSTITUTE(SUBSTITUTE(SUBSTITUTE(TRIM(A1426&amp;""),CHAR(160),"")," ",""),"년",""))&gt;=1900,VALUE(SUBSTITUTE(SUBSTITUTE(SUBSTITUTE(TRIM(A1426&amp;""),CHAR(160),"")," ",""),"년",""))&lt;=2099,TEXT(VALUE(SUBSTITUTE(SUBSTITUTE(SUBSTITUTE(TRIM(A1426&amp;""),CHAR(160),"")," ",""),"년","")),"0000")=SUBSTITUTE(SUBSTITUTE(SUBSTITUTE(TRIM(A1426&amp;""),CHAR(160),"")," ",""),"년","")),SUBSTITUTE(SUBSTITUTE(SUBSTITUTE(TRIM(A1426&amp;""),CHAR(160),"")," ",""),"년",""),""),"")</f>
      </c>
      <c r="I1426" t="str">
        <f>SUBSTITUTE(SUBSTITUTE(SUBSTITUTE(SUBSTITUTE(SUBSTITUTE(TRIM(B1426&amp;""),CHAR(160),"")," ",""),"초등학교","초"),"중학교","중"),"고등학교","고")</f>
      </c>
    </row>
    <row r="1427" customFormat="false" ht="15" hidden="false" customHeight="false" outlineLevel="0" collapsed="false">
      <c r="A1427" s="8"/>
      <c r="B1427" s="8"/>
      <c r="C1427" s="8"/>
      <c r="D1427" s="8"/>
      <c r="E1427" s="8"/>
      <c r="F1427" t="str" s="15">
        <f aca="0">IF(B1427="","",IF(H1427="","확인필요(입력누락)",IF(SUMPRODUCT((실물목록!$P$2:$P$1001&lt;&gt;"")*ISNUMBER(SEARCH(실물목록!$P$2:$P$1001,I1427))*(실물목록!$Q$2:$Q$1001&lt;&gt;"")*ISNUMBER(SEARCH(실물목록!$Q$2:$Q$1001,I1427))*(실물목록!$R$2:$R$1001="")*(실물목록!$O$2:$O$1001&lt;&gt;"")*(실물목록!$O$2:$O$1001=H1427))&gt;0,"실물 있음",IF(SUMPRODUCT((실물목록!$P$2:$P$1001&lt;&gt;"")*ISNUMBER(SEARCH(실물목록!$P$2:$P$1001,I1427))*(실물목록!$R$2:$R$1001&lt;&gt;""))&gt;0,"확인필요(입력누락)",IF(SUMPRODUCT((실물목록!$P$2:$P$1001&lt;&gt;"")*ISNUMBER(SEARCH(실물목록!$P$2:$P$1001,I1427))*(실물목록!$Q$2:$Q$1001&lt;&gt;"")*ISNUMBER(SEARCH(실물목록!$Q$2:$Q$1001,I1427))*(실물목록!$R$2:$R$1001="")*(실물목록!$O$2:$O$1001&lt;&gt;""))&gt;0,"확인필요(연도다름)","실물 없음")))))</f>
      </c>
      <c r="G1427" t="n" s="16">
        <f aca="0">IF(B1427="","",SUMPRODUCT((실물목록!$P$2:$P$1001&lt;&gt;"")*ISNUMBER(SEARCH(실물목록!$P$2:$P$1001,I1427))*(실물목록!$Q$2:$Q$1001&lt;&gt;"")*ISNUMBER(SEARCH(실물목록!$Q$2:$Q$1001,I1427))*(실물목록!$R$2:$R$1001="")*(실물목록!$O$2:$O$1001&lt;&gt;"")*(실물목록!$O$2:$O$1001=H1427)))</f>
      </c>
      <c r="H1427" t="str">
        <f>IFERROR(IF(AND(LEN(SUBSTITUTE(SUBSTITUTE(SUBSTITUTE(TRIM(A1427&amp;""),CHAR(160),"")," ",""),"년",""))=4,VALUE(SUBSTITUTE(SUBSTITUTE(SUBSTITUTE(TRIM(A1427&amp;""),CHAR(160),"")," ",""),"년",""))&gt;=1900,VALUE(SUBSTITUTE(SUBSTITUTE(SUBSTITUTE(TRIM(A1427&amp;""),CHAR(160),"")," ",""),"년",""))&lt;=2099,TEXT(VALUE(SUBSTITUTE(SUBSTITUTE(SUBSTITUTE(TRIM(A1427&amp;""),CHAR(160),"")," ",""),"년","")),"0000")=SUBSTITUTE(SUBSTITUTE(SUBSTITUTE(TRIM(A1427&amp;""),CHAR(160),"")," ",""),"년","")),SUBSTITUTE(SUBSTITUTE(SUBSTITUTE(TRIM(A1427&amp;""),CHAR(160),"")," ",""),"년",""),""),"")</f>
      </c>
      <c r="I1427" t="str">
        <f>SUBSTITUTE(SUBSTITUTE(SUBSTITUTE(SUBSTITUTE(SUBSTITUTE(TRIM(B1427&amp;""),CHAR(160),"")," ",""),"초등학교","초"),"중학교","중"),"고등학교","고")</f>
      </c>
    </row>
    <row r="1428" customFormat="false" ht="15" hidden="false" customHeight="false" outlineLevel="0" collapsed="false">
      <c r="A1428" s="8"/>
      <c r="B1428" s="8"/>
      <c r="C1428" s="8"/>
      <c r="D1428" s="8"/>
      <c r="E1428" s="8"/>
      <c r="F1428" t="str" s="15">
        <f aca="0">IF(B1428="","",IF(H1428="","확인필요(입력누락)",IF(SUMPRODUCT((실물목록!$P$2:$P$1001&lt;&gt;"")*ISNUMBER(SEARCH(실물목록!$P$2:$P$1001,I1428))*(실물목록!$Q$2:$Q$1001&lt;&gt;"")*ISNUMBER(SEARCH(실물목록!$Q$2:$Q$1001,I1428))*(실물목록!$R$2:$R$1001="")*(실물목록!$O$2:$O$1001&lt;&gt;"")*(실물목록!$O$2:$O$1001=H1428))&gt;0,"실물 있음",IF(SUMPRODUCT((실물목록!$P$2:$P$1001&lt;&gt;"")*ISNUMBER(SEARCH(실물목록!$P$2:$P$1001,I1428))*(실물목록!$R$2:$R$1001&lt;&gt;""))&gt;0,"확인필요(입력누락)",IF(SUMPRODUCT((실물목록!$P$2:$P$1001&lt;&gt;"")*ISNUMBER(SEARCH(실물목록!$P$2:$P$1001,I1428))*(실물목록!$Q$2:$Q$1001&lt;&gt;"")*ISNUMBER(SEARCH(실물목록!$Q$2:$Q$1001,I1428))*(실물목록!$R$2:$R$1001="")*(실물목록!$O$2:$O$1001&lt;&gt;""))&gt;0,"확인필요(연도다름)","실물 없음")))))</f>
      </c>
      <c r="G1428" t="n" s="16">
        <f aca="0">IF(B1428="","",SUMPRODUCT((실물목록!$P$2:$P$1001&lt;&gt;"")*ISNUMBER(SEARCH(실물목록!$P$2:$P$1001,I1428))*(실물목록!$Q$2:$Q$1001&lt;&gt;"")*ISNUMBER(SEARCH(실물목록!$Q$2:$Q$1001,I1428))*(실물목록!$R$2:$R$1001="")*(실물목록!$O$2:$O$1001&lt;&gt;"")*(실물목록!$O$2:$O$1001=H1428)))</f>
      </c>
      <c r="H1428" t="str">
        <f>IFERROR(IF(AND(LEN(SUBSTITUTE(SUBSTITUTE(SUBSTITUTE(TRIM(A1428&amp;""),CHAR(160),"")," ",""),"년",""))=4,VALUE(SUBSTITUTE(SUBSTITUTE(SUBSTITUTE(TRIM(A1428&amp;""),CHAR(160),"")," ",""),"년",""))&gt;=1900,VALUE(SUBSTITUTE(SUBSTITUTE(SUBSTITUTE(TRIM(A1428&amp;""),CHAR(160),"")," ",""),"년",""))&lt;=2099,TEXT(VALUE(SUBSTITUTE(SUBSTITUTE(SUBSTITUTE(TRIM(A1428&amp;""),CHAR(160),"")," ",""),"년","")),"0000")=SUBSTITUTE(SUBSTITUTE(SUBSTITUTE(TRIM(A1428&amp;""),CHAR(160),"")," ",""),"년","")),SUBSTITUTE(SUBSTITUTE(SUBSTITUTE(TRIM(A1428&amp;""),CHAR(160),"")," ",""),"년",""),""),"")</f>
      </c>
      <c r="I1428" t="str">
        <f>SUBSTITUTE(SUBSTITUTE(SUBSTITUTE(SUBSTITUTE(SUBSTITUTE(TRIM(B1428&amp;""),CHAR(160),"")," ",""),"초등학교","초"),"중학교","중"),"고등학교","고")</f>
      </c>
    </row>
    <row r="1429" customFormat="false" ht="15" hidden="false" customHeight="false" outlineLevel="0" collapsed="false">
      <c r="A1429" s="8"/>
      <c r="B1429" s="8"/>
      <c r="C1429" s="8"/>
      <c r="D1429" s="8"/>
      <c r="E1429" s="8"/>
      <c r="F1429" t="str" s="15">
        <f aca="0">IF(B1429="","",IF(H1429="","확인필요(입력누락)",IF(SUMPRODUCT((실물목록!$P$2:$P$1001&lt;&gt;"")*ISNUMBER(SEARCH(실물목록!$P$2:$P$1001,I1429))*(실물목록!$Q$2:$Q$1001&lt;&gt;"")*ISNUMBER(SEARCH(실물목록!$Q$2:$Q$1001,I1429))*(실물목록!$R$2:$R$1001="")*(실물목록!$O$2:$O$1001&lt;&gt;"")*(실물목록!$O$2:$O$1001=H1429))&gt;0,"실물 있음",IF(SUMPRODUCT((실물목록!$P$2:$P$1001&lt;&gt;"")*ISNUMBER(SEARCH(실물목록!$P$2:$P$1001,I1429))*(실물목록!$R$2:$R$1001&lt;&gt;""))&gt;0,"확인필요(입력누락)",IF(SUMPRODUCT((실물목록!$P$2:$P$1001&lt;&gt;"")*ISNUMBER(SEARCH(실물목록!$P$2:$P$1001,I1429))*(실물목록!$Q$2:$Q$1001&lt;&gt;"")*ISNUMBER(SEARCH(실물목록!$Q$2:$Q$1001,I1429))*(실물목록!$R$2:$R$1001="")*(실물목록!$O$2:$O$1001&lt;&gt;""))&gt;0,"확인필요(연도다름)","실물 없음")))))</f>
      </c>
      <c r="G1429" t="n" s="16">
        <f aca="0">IF(B1429="","",SUMPRODUCT((실물목록!$P$2:$P$1001&lt;&gt;"")*ISNUMBER(SEARCH(실물목록!$P$2:$P$1001,I1429))*(실물목록!$Q$2:$Q$1001&lt;&gt;"")*ISNUMBER(SEARCH(실물목록!$Q$2:$Q$1001,I1429))*(실물목록!$R$2:$R$1001="")*(실물목록!$O$2:$O$1001&lt;&gt;"")*(실물목록!$O$2:$O$1001=H1429)))</f>
      </c>
      <c r="H1429" t="str">
        <f>IFERROR(IF(AND(LEN(SUBSTITUTE(SUBSTITUTE(SUBSTITUTE(TRIM(A1429&amp;""),CHAR(160),"")," ",""),"년",""))=4,VALUE(SUBSTITUTE(SUBSTITUTE(SUBSTITUTE(TRIM(A1429&amp;""),CHAR(160),"")," ",""),"년",""))&gt;=1900,VALUE(SUBSTITUTE(SUBSTITUTE(SUBSTITUTE(TRIM(A1429&amp;""),CHAR(160),"")," ",""),"년",""))&lt;=2099,TEXT(VALUE(SUBSTITUTE(SUBSTITUTE(SUBSTITUTE(TRIM(A1429&amp;""),CHAR(160),"")," ",""),"년","")),"0000")=SUBSTITUTE(SUBSTITUTE(SUBSTITUTE(TRIM(A1429&amp;""),CHAR(160),"")," ",""),"년","")),SUBSTITUTE(SUBSTITUTE(SUBSTITUTE(TRIM(A1429&amp;""),CHAR(160),"")," ",""),"년",""),""),"")</f>
      </c>
      <c r="I1429" t="str">
        <f>SUBSTITUTE(SUBSTITUTE(SUBSTITUTE(SUBSTITUTE(SUBSTITUTE(TRIM(B1429&amp;""),CHAR(160),"")," ",""),"초등학교","초"),"중학교","중"),"고등학교","고")</f>
      </c>
    </row>
    <row r="1430" customFormat="false" ht="15" hidden="false" customHeight="false" outlineLevel="0" collapsed="false">
      <c r="A1430" s="8"/>
      <c r="B1430" s="8"/>
      <c r="C1430" s="8"/>
      <c r="D1430" s="8"/>
      <c r="E1430" s="8"/>
      <c r="F1430" t="str" s="15">
        <f aca="0">IF(B1430="","",IF(H1430="","확인필요(입력누락)",IF(SUMPRODUCT((실물목록!$P$2:$P$1001&lt;&gt;"")*ISNUMBER(SEARCH(실물목록!$P$2:$P$1001,I1430))*(실물목록!$Q$2:$Q$1001&lt;&gt;"")*ISNUMBER(SEARCH(실물목록!$Q$2:$Q$1001,I1430))*(실물목록!$R$2:$R$1001="")*(실물목록!$O$2:$O$1001&lt;&gt;"")*(실물목록!$O$2:$O$1001=H1430))&gt;0,"실물 있음",IF(SUMPRODUCT((실물목록!$P$2:$P$1001&lt;&gt;"")*ISNUMBER(SEARCH(실물목록!$P$2:$P$1001,I1430))*(실물목록!$R$2:$R$1001&lt;&gt;""))&gt;0,"확인필요(입력누락)",IF(SUMPRODUCT((실물목록!$P$2:$P$1001&lt;&gt;"")*ISNUMBER(SEARCH(실물목록!$P$2:$P$1001,I1430))*(실물목록!$Q$2:$Q$1001&lt;&gt;"")*ISNUMBER(SEARCH(실물목록!$Q$2:$Q$1001,I1430))*(실물목록!$R$2:$R$1001="")*(실물목록!$O$2:$O$1001&lt;&gt;""))&gt;0,"확인필요(연도다름)","실물 없음")))))</f>
      </c>
      <c r="G1430" t="n" s="16">
        <f aca="0">IF(B1430="","",SUMPRODUCT((실물목록!$P$2:$P$1001&lt;&gt;"")*ISNUMBER(SEARCH(실물목록!$P$2:$P$1001,I1430))*(실물목록!$Q$2:$Q$1001&lt;&gt;"")*ISNUMBER(SEARCH(실물목록!$Q$2:$Q$1001,I1430))*(실물목록!$R$2:$R$1001="")*(실물목록!$O$2:$O$1001&lt;&gt;"")*(실물목록!$O$2:$O$1001=H1430)))</f>
      </c>
      <c r="H1430" t="str">
        <f>IFERROR(IF(AND(LEN(SUBSTITUTE(SUBSTITUTE(SUBSTITUTE(TRIM(A1430&amp;""),CHAR(160),"")," ",""),"년",""))=4,VALUE(SUBSTITUTE(SUBSTITUTE(SUBSTITUTE(TRIM(A1430&amp;""),CHAR(160),"")," ",""),"년",""))&gt;=1900,VALUE(SUBSTITUTE(SUBSTITUTE(SUBSTITUTE(TRIM(A1430&amp;""),CHAR(160),"")," ",""),"년",""))&lt;=2099,TEXT(VALUE(SUBSTITUTE(SUBSTITUTE(SUBSTITUTE(TRIM(A1430&amp;""),CHAR(160),"")," ",""),"년","")),"0000")=SUBSTITUTE(SUBSTITUTE(SUBSTITUTE(TRIM(A1430&amp;""),CHAR(160),"")," ",""),"년","")),SUBSTITUTE(SUBSTITUTE(SUBSTITUTE(TRIM(A1430&amp;""),CHAR(160),"")," ",""),"년",""),""),"")</f>
      </c>
      <c r="I1430" t="str">
        <f>SUBSTITUTE(SUBSTITUTE(SUBSTITUTE(SUBSTITUTE(SUBSTITUTE(TRIM(B1430&amp;""),CHAR(160),"")," ",""),"초등학교","초"),"중학교","중"),"고등학교","고")</f>
      </c>
    </row>
    <row r="1431" customFormat="false" ht="15" hidden="false" customHeight="false" outlineLevel="0" collapsed="false">
      <c r="A1431" s="8"/>
      <c r="B1431" s="8"/>
      <c r="C1431" s="8"/>
      <c r="D1431" s="8"/>
      <c r="E1431" s="8"/>
      <c r="F1431" t="str" s="15">
        <f aca="0">IF(B1431="","",IF(H1431="","확인필요(입력누락)",IF(SUMPRODUCT((실물목록!$P$2:$P$1001&lt;&gt;"")*ISNUMBER(SEARCH(실물목록!$P$2:$P$1001,I1431))*(실물목록!$Q$2:$Q$1001&lt;&gt;"")*ISNUMBER(SEARCH(실물목록!$Q$2:$Q$1001,I1431))*(실물목록!$R$2:$R$1001="")*(실물목록!$O$2:$O$1001&lt;&gt;"")*(실물목록!$O$2:$O$1001=H1431))&gt;0,"실물 있음",IF(SUMPRODUCT((실물목록!$P$2:$P$1001&lt;&gt;"")*ISNUMBER(SEARCH(실물목록!$P$2:$P$1001,I1431))*(실물목록!$R$2:$R$1001&lt;&gt;""))&gt;0,"확인필요(입력누락)",IF(SUMPRODUCT((실물목록!$P$2:$P$1001&lt;&gt;"")*ISNUMBER(SEARCH(실물목록!$P$2:$P$1001,I1431))*(실물목록!$Q$2:$Q$1001&lt;&gt;"")*ISNUMBER(SEARCH(실물목록!$Q$2:$Q$1001,I1431))*(실물목록!$R$2:$R$1001="")*(실물목록!$O$2:$O$1001&lt;&gt;""))&gt;0,"확인필요(연도다름)","실물 없음")))))</f>
      </c>
      <c r="G1431" t="n" s="16">
        <f aca="0">IF(B1431="","",SUMPRODUCT((실물목록!$P$2:$P$1001&lt;&gt;"")*ISNUMBER(SEARCH(실물목록!$P$2:$P$1001,I1431))*(실물목록!$Q$2:$Q$1001&lt;&gt;"")*ISNUMBER(SEARCH(실물목록!$Q$2:$Q$1001,I1431))*(실물목록!$R$2:$R$1001="")*(실물목록!$O$2:$O$1001&lt;&gt;"")*(실물목록!$O$2:$O$1001=H1431)))</f>
      </c>
      <c r="H1431" t="str">
        <f>IFERROR(IF(AND(LEN(SUBSTITUTE(SUBSTITUTE(SUBSTITUTE(TRIM(A1431&amp;""),CHAR(160),"")," ",""),"년",""))=4,VALUE(SUBSTITUTE(SUBSTITUTE(SUBSTITUTE(TRIM(A1431&amp;""),CHAR(160),"")," ",""),"년",""))&gt;=1900,VALUE(SUBSTITUTE(SUBSTITUTE(SUBSTITUTE(TRIM(A1431&amp;""),CHAR(160),"")," ",""),"년",""))&lt;=2099,TEXT(VALUE(SUBSTITUTE(SUBSTITUTE(SUBSTITUTE(TRIM(A1431&amp;""),CHAR(160),"")," ",""),"년","")),"0000")=SUBSTITUTE(SUBSTITUTE(SUBSTITUTE(TRIM(A1431&amp;""),CHAR(160),"")," ",""),"년","")),SUBSTITUTE(SUBSTITUTE(SUBSTITUTE(TRIM(A1431&amp;""),CHAR(160),"")," ",""),"년",""),""),"")</f>
      </c>
      <c r="I1431" t="str">
        <f>SUBSTITUTE(SUBSTITUTE(SUBSTITUTE(SUBSTITUTE(SUBSTITUTE(TRIM(B1431&amp;""),CHAR(160),"")," ",""),"초등학교","초"),"중학교","중"),"고등학교","고")</f>
      </c>
    </row>
    <row r="1432" customFormat="false" ht="15" hidden="false" customHeight="false" outlineLevel="0" collapsed="false">
      <c r="A1432" s="8"/>
      <c r="B1432" s="8"/>
      <c r="C1432" s="8"/>
      <c r="D1432" s="8"/>
      <c r="E1432" s="8"/>
      <c r="F1432" t="str" s="15">
        <f aca="0">IF(B1432="","",IF(H1432="","확인필요(입력누락)",IF(SUMPRODUCT((실물목록!$P$2:$P$1001&lt;&gt;"")*ISNUMBER(SEARCH(실물목록!$P$2:$P$1001,I1432))*(실물목록!$Q$2:$Q$1001&lt;&gt;"")*ISNUMBER(SEARCH(실물목록!$Q$2:$Q$1001,I1432))*(실물목록!$R$2:$R$1001="")*(실물목록!$O$2:$O$1001&lt;&gt;"")*(실물목록!$O$2:$O$1001=H1432))&gt;0,"실물 있음",IF(SUMPRODUCT((실물목록!$P$2:$P$1001&lt;&gt;"")*ISNUMBER(SEARCH(실물목록!$P$2:$P$1001,I1432))*(실물목록!$R$2:$R$1001&lt;&gt;""))&gt;0,"확인필요(입력누락)",IF(SUMPRODUCT((실물목록!$P$2:$P$1001&lt;&gt;"")*ISNUMBER(SEARCH(실물목록!$P$2:$P$1001,I1432))*(실물목록!$Q$2:$Q$1001&lt;&gt;"")*ISNUMBER(SEARCH(실물목록!$Q$2:$Q$1001,I1432))*(실물목록!$R$2:$R$1001="")*(실물목록!$O$2:$O$1001&lt;&gt;""))&gt;0,"확인필요(연도다름)","실물 없음")))))</f>
      </c>
      <c r="G1432" t="n" s="16">
        <f aca="0">IF(B1432="","",SUMPRODUCT((실물목록!$P$2:$P$1001&lt;&gt;"")*ISNUMBER(SEARCH(실물목록!$P$2:$P$1001,I1432))*(실물목록!$Q$2:$Q$1001&lt;&gt;"")*ISNUMBER(SEARCH(실물목록!$Q$2:$Q$1001,I1432))*(실물목록!$R$2:$R$1001="")*(실물목록!$O$2:$O$1001&lt;&gt;"")*(실물목록!$O$2:$O$1001=H1432)))</f>
      </c>
      <c r="H1432" t="str">
        <f>IFERROR(IF(AND(LEN(SUBSTITUTE(SUBSTITUTE(SUBSTITUTE(TRIM(A1432&amp;""),CHAR(160),"")," ",""),"년",""))=4,VALUE(SUBSTITUTE(SUBSTITUTE(SUBSTITUTE(TRIM(A1432&amp;""),CHAR(160),"")," ",""),"년",""))&gt;=1900,VALUE(SUBSTITUTE(SUBSTITUTE(SUBSTITUTE(TRIM(A1432&amp;""),CHAR(160),"")," ",""),"년",""))&lt;=2099,TEXT(VALUE(SUBSTITUTE(SUBSTITUTE(SUBSTITUTE(TRIM(A1432&amp;""),CHAR(160),"")," ",""),"년","")),"0000")=SUBSTITUTE(SUBSTITUTE(SUBSTITUTE(TRIM(A1432&amp;""),CHAR(160),"")," ",""),"년","")),SUBSTITUTE(SUBSTITUTE(SUBSTITUTE(TRIM(A1432&amp;""),CHAR(160),"")," ",""),"년",""),""),"")</f>
      </c>
      <c r="I1432" t="str">
        <f>SUBSTITUTE(SUBSTITUTE(SUBSTITUTE(SUBSTITUTE(SUBSTITUTE(TRIM(B1432&amp;""),CHAR(160),"")," ",""),"초등학교","초"),"중학교","중"),"고등학교","고")</f>
      </c>
    </row>
    <row r="1433" customFormat="false" ht="15" hidden="false" customHeight="false" outlineLevel="0" collapsed="false">
      <c r="A1433" s="8"/>
      <c r="B1433" s="8"/>
      <c r="C1433" s="8"/>
      <c r="D1433" s="8"/>
      <c r="E1433" s="8"/>
      <c r="F1433" t="str" s="15">
        <f aca="0">IF(B1433="","",IF(H1433="","확인필요(입력누락)",IF(SUMPRODUCT((실물목록!$P$2:$P$1001&lt;&gt;"")*ISNUMBER(SEARCH(실물목록!$P$2:$P$1001,I1433))*(실물목록!$Q$2:$Q$1001&lt;&gt;"")*ISNUMBER(SEARCH(실물목록!$Q$2:$Q$1001,I1433))*(실물목록!$R$2:$R$1001="")*(실물목록!$O$2:$O$1001&lt;&gt;"")*(실물목록!$O$2:$O$1001=H1433))&gt;0,"실물 있음",IF(SUMPRODUCT((실물목록!$P$2:$P$1001&lt;&gt;"")*ISNUMBER(SEARCH(실물목록!$P$2:$P$1001,I1433))*(실물목록!$R$2:$R$1001&lt;&gt;""))&gt;0,"확인필요(입력누락)",IF(SUMPRODUCT((실물목록!$P$2:$P$1001&lt;&gt;"")*ISNUMBER(SEARCH(실물목록!$P$2:$P$1001,I1433))*(실물목록!$Q$2:$Q$1001&lt;&gt;"")*ISNUMBER(SEARCH(실물목록!$Q$2:$Q$1001,I1433))*(실물목록!$R$2:$R$1001="")*(실물목록!$O$2:$O$1001&lt;&gt;""))&gt;0,"확인필요(연도다름)","실물 없음")))))</f>
      </c>
      <c r="G1433" t="n" s="16">
        <f aca="0">IF(B1433="","",SUMPRODUCT((실물목록!$P$2:$P$1001&lt;&gt;"")*ISNUMBER(SEARCH(실물목록!$P$2:$P$1001,I1433))*(실물목록!$Q$2:$Q$1001&lt;&gt;"")*ISNUMBER(SEARCH(실물목록!$Q$2:$Q$1001,I1433))*(실물목록!$R$2:$R$1001="")*(실물목록!$O$2:$O$1001&lt;&gt;"")*(실물목록!$O$2:$O$1001=H1433)))</f>
      </c>
      <c r="H1433" t="str">
        <f>IFERROR(IF(AND(LEN(SUBSTITUTE(SUBSTITUTE(SUBSTITUTE(TRIM(A1433&amp;""),CHAR(160),"")," ",""),"년",""))=4,VALUE(SUBSTITUTE(SUBSTITUTE(SUBSTITUTE(TRIM(A1433&amp;""),CHAR(160),"")," ",""),"년",""))&gt;=1900,VALUE(SUBSTITUTE(SUBSTITUTE(SUBSTITUTE(TRIM(A1433&amp;""),CHAR(160),"")," ",""),"년",""))&lt;=2099,TEXT(VALUE(SUBSTITUTE(SUBSTITUTE(SUBSTITUTE(TRIM(A1433&amp;""),CHAR(160),"")," ",""),"년","")),"0000")=SUBSTITUTE(SUBSTITUTE(SUBSTITUTE(TRIM(A1433&amp;""),CHAR(160),"")," ",""),"년","")),SUBSTITUTE(SUBSTITUTE(SUBSTITUTE(TRIM(A1433&amp;""),CHAR(160),"")," ",""),"년",""),""),"")</f>
      </c>
      <c r="I1433" t="str">
        <f>SUBSTITUTE(SUBSTITUTE(SUBSTITUTE(SUBSTITUTE(SUBSTITUTE(TRIM(B1433&amp;""),CHAR(160),"")," ",""),"초등학교","초"),"중학교","중"),"고등학교","고")</f>
      </c>
    </row>
    <row r="1434" customFormat="false" ht="15" hidden="false" customHeight="false" outlineLevel="0" collapsed="false">
      <c r="A1434" s="8"/>
      <c r="B1434" s="8"/>
      <c r="C1434" s="8"/>
      <c r="D1434" s="8"/>
      <c r="E1434" s="8"/>
      <c r="F1434" t="str" s="15">
        <f aca="0">IF(B1434="","",IF(H1434="","확인필요(입력누락)",IF(SUMPRODUCT((실물목록!$P$2:$P$1001&lt;&gt;"")*ISNUMBER(SEARCH(실물목록!$P$2:$P$1001,I1434))*(실물목록!$Q$2:$Q$1001&lt;&gt;"")*ISNUMBER(SEARCH(실물목록!$Q$2:$Q$1001,I1434))*(실물목록!$R$2:$R$1001="")*(실물목록!$O$2:$O$1001&lt;&gt;"")*(실물목록!$O$2:$O$1001=H1434))&gt;0,"실물 있음",IF(SUMPRODUCT((실물목록!$P$2:$P$1001&lt;&gt;"")*ISNUMBER(SEARCH(실물목록!$P$2:$P$1001,I1434))*(실물목록!$R$2:$R$1001&lt;&gt;""))&gt;0,"확인필요(입력누락)",IF(SUMPRODUCT((실물목록!$P$2:$P$1001&lt;&gt;"")*ISNUMBER(SEARCH(실물목록!$P$2:$P$1001,I1434))*(실물목록!$Q$2:$Q$1001&lt;&gt;"")*ISNUMBER(SEARCH(실물목록!$Q$2:$Q$1001,I1434))*(실물목록!$R$2:$R$1001="")*(실물목록!$O$2:$O$1001&lt;&gt;""))&gt;0,"확인필요(연도다름)","실물 없음")))))</f>
      </c>
      <c r="G1434" t="n" s="16">
        <f aca="0">IF(B1434="","",SUMPRODUCT((실물목록!$P$2:$P$1001&lt;&gt;"")*ISNUMBER(SEARCH(실물목록!$P$2:$P$1001,I1434))*(실물목록!$Q$2:$Q$1001&lt;&gt;"")*ISNUMBER(SEARCH(실물목록!$Q$2:$Q$1001,I1434))*(실물목록!$R$2:$R$1001="")*(실물목록!$O$2:$O$1001&lt;&gt;"")*(실물목록!$O$2:$O$1001=H1434)))</f>
      </c>
      <c r="H1434" t="str">
        <f>IFERROR(IF(AND(LEN(SUBSTITUTE(SUBSTITUTE(SUBSTITUTE(TRIM(A1434&amp;""),CHAR(160),"")," ",""),"년",""))=4,VALUE(SUBSTITUTE(SUBSTITUTE(SUBSTITUTE(TRIM(A1434&amp;""),CHAR(160),"")," ",""),"년",""))&gt;=1900,VALUE(SUBSTITUTE(SUBSTITUTE(SUBSTITUTE(TRIM(A1434&amp;""),CHAR(160),"")," ",""),"년",""))&lt;=2099,TEXT(VALUE(SUBSTITUTE(SUBSTITUTE(SUBSTITUTE(TRIM(A1434&amp;""),CHAR(160),"")," ",""),"년","")),"0000")=SUBSTITUTE(SUBSTITUTE(SUBSTITUTE(TRIM(A1434&amp;""),CHAR(160),"")," ",""),"년","")),SUBSTITUTE(SUBSTITUTE(SUBSTITUTE(TRIM(A1434&amp;""),CHAR(160),"")," ",""),"년",""),""),"")</f>
      </c>
      <c r="I1434" t="str">
        <f>SUBSTITUTE(SUBSTITUTE(SUBSTITUTE(SUBSTITUTE(SUBSTITUTE(TRIM(B1434&amp;""),CHAR(160),"")," ",""),"초등학교","초"),"중학교","중"),"고등학교","고")</f>
      </c>
    </row>
    <row r="1435" customFormat="false" ht="15" hidden="false" customHeight="false" outlineLevel="0" collapsed="false">
      <c r="A1435" s="8"/>
      <c r="B1435" s="8"/>
      <c r="C1435" s="8"/>
      <c r="D1435" s="8"/>
      <c r="E1435" s="8"/>
      <c r="F1435" t="str" s="15">
        <f aca="0">IF(B1435="","",IF(H1435="","확인필요(입력누락)",IF(SUMPRODUCT((실물목록!$P$2:$P$1001&lt;&gt;"")*ISNUMBER(SEARCH(실물목록!$P$2:$P$1001,I1435))*(실물목록!$Q$2:$Q$1001&lt;&gt;"")*ISNUMBER(SEARCH(실물목록!$Q$2:$Q$1001,I1435))*(실물목록!$R$2:$R$1001="")*(실물목록!$O$2:$O$1001&lt;&gt;"")*(실물목록!$O$2:$O$1001=H1435))&gt;0,"실물 있음",IF(SUMPRODUCT((실물목록!$P$2:$P$1001&lt;&gt;"")*ISNUMBER(SEARCH(실물목록!$P$2:$P$1001,I1435))*(실물목록!$R$2:$R$1001&lt;&gt;""))&gt;0,"확인필요(입력누락)",IF(SUMPRODUCT((실물목록!$P$2:$P$1001&lt;&gt;"")*ISNUMBER(SEARCH(실물목록!$P$2:$P$1001,I1435))*(실물목록!$Q$2:$Q$1001&lt;&gt;"")*ISNUMBER(SEARCH(실물목록!$Q$2:$Q$1001,I1435))*(실물목록!$R$2:$R$1001="")*(실물목록!$O$2:$O$1001&lt;&gt;""))&gt;0,"확인필요(연도다름)","실물 없음")))))</f>
      </c>
      <c r="G1435" t="n" s="16">
        <f aca="0">IF(B1435="","",SUMPRODUCT((실물목록!$P$2:$P$1001&lt;&gt;"")*ISNUMBER(SEARCH(실물목록!$P$2:$P$1001,I1435))*(실물목록!$Q$2:$Q$1001&lt;&gt;"")*ISNUMBER(SEARCH(실물목록!$Q$2:$Q$1001,I1435))*(실물목록!$R$2:$R$1001="")*(실물목록!$O$2:$O$1001&lt;&gt;"")*(실물목록!$O$2:$O$1001=H1435)))</f>
      </c>
      <c r="H1435" t="str">
        <f>IFERROR(IF(AND(LEN(SUBSTITUTE(SUBSTITUTE(SUBSTITUTE(TRIM(A1435&amp;""),CHAR(160),"")," ",""),"년",""))=4,VALUE(SUBSTITUTE(SUBSTITUTE(SUBSTITUTE(TRIM(A1435&amp;""),CHAR(160),"")," ",""),"년",""))&gt;=1900,VALUE(SUBSTITUTE(SUBSTITUTE(SUBSTITUTE(TRIM(A1435&amp;""),CHAR(160),"")," ",""),"년",""))&lt;=2099,TEXT(VALUE(SUBSTITUTE(SUBSTITUTE(SUBSTITUTE(TRIM(A1435&amp;""),CHAR(160),"")," ",""),"년","")),"0000")=SUBSTITUTE(SUBSTITUTE(SUBSTITUTE(TRIM(A1435&amp;""),CHAR(160),"")," ",""),"년","")),SUBSTITUTE(SUBSTITUTE(SUBSTITUTE(TRIM(A1435&amp;""),CHAR(160),"")," ",""),"년",""),""),"")</f>
      </c>
      <c r="I1435" t="str">
        <f>SUBSTITUTE(SUBSTITUTE(SUBSTITUTE(SUBSTITUTE(SUBSTITUTE(TRIM(B1435&amp;""),CHAR(160),"")," ",""),"초등학교","초"),"중학교","중"),"고등학교","고")</f>
      </c>
    </row>
    <row r="1436" customFormat="false" ht="15" hidden="false" customHeight="false" outlineLevel="0" collapsed="false">
      <c r="A1436" s="8"/>
      <c r="B1436" s="8"/>
      <c r="C1436" s="8"/>
      <c r="D1436" s="8"/>
      <c r="E1436" s="8"/>
      <c r="F1436" t="str" s="15">
        <f aca="0">IF(B1436="","",IF(H1436="","확인필요(입력누락)",IF(SUMPRODUCT((실물목록!$P$2:$P$1001&lt;&gt;"")*ISNUMBER(SEARCH(실물목록!$P$2:$P$1001,I1436))*(실물목록!$Q$2:$Q$1001&lt;&gt;"")*ISNUMBER(SEARCH(실물목록!$Q$2:$Q$1001,I1436))*(실물목록!$R$2:$R$1001="")*(실물목록!$O$2:$O$1001&lt;&gt;"")*(실물목록!$O$2:$O$1001=H1436))&gt;0,"실물 있음",IF(SUMPRODUCT((실물목록!$P$2:$P$1001&lt;&gt;"")*ISNUMBER(SEARCH(실물목록!$P$2:$P$1001,I1436))*(실물목록!$R$2:$R$1001&lt;&gt;""))&gt;0,"확인필요(입력누락)",IF(SUMPRODUCT((실물목록!$P$2:$P$1001&lt;&gt;"")*ISNUMBER(SEARCH(실물목록!$P$2:$P$1001,I1436))*(실물목록!$Q$2:$Q$1001&lt;&gt;"")*ISNUMBER(SEARCH(실물목록!$Q$2:$Q$1001,I1436))*(실물목록!$R$2:$R$1001="")*(실물목록!$O$2:$O$1001&lt;&gt;""))&gt;0,"확인필요(연도다름)","실물 없음")))))</f>
      </c>
      <c r="G1436" t="n" s="16">
        <f aca="0">IF(B1436="","",SUMPRODUCT((실물목록!$P$2:$P$1001&lt;&gt;"")*ISNUMBER(SEARCH(실물목록!$P$2:$P$1001,I1436))*(실물목록!$Q$2:$Q$1001&lt;&gt;"")*ISNUMBER(SEARCH(실물목록!$Q$2:$Q$1001,I1436))*(실물목록!$R$2:$R$1001="")*(실물목록!$O$2:$O$1001&lt;&gt;"")*(실물목록!$O$2:$O$1001=H1436)))</f>
      </c>
      <c r="H1436" t="str">
        <f>IFERROR(IF(AND(LEN(SUBSTITUTE(SUBSTITUTE(SUBSTITUTE(TRIM(A1436&amp;""),CHAR(160),"")," ",""),"년",""))=4,VALUE(SUBSTITUTE(SUBSTITUTE(SUBSTITUTE(TRIM(A1436&amp;""),CHAR(160),"")," ",""),"년",""))&gt;=1900,VALUE(SUBSTITUTE(SUBSTITUTE(SUBSTITUTE(TRIM(A1436&amp;""),CHAR(160),"")," ",""),"년",""))&lt;=2099,TEXT(VALUE(SUBSTITUTE(SUBSTITUTE(SUBSTITUTE(TRIM(A1436&amp;""),CHAR(160),"")," ",""),"년","")),"0000")=SUBSTITUTE(SUBSTITUTE(SUBSTITUTE(TRIM(A1436&amp;""),CHAR(160),"")," ",""),"년","")),SUBSTITUTE(SUBSTITUTE(SUBSTITUTE(TRIM(A1436&amp;""),CHAR(160),"")," ",""),"년",""),""),"")</f>
      </c>
      <c r="I1436" t="str">
        <f>SUBSTITUTE(SUBSTITUTE(SUBSTITUTE(SUBSTITUTE(SUBSTITUTE(TRIM(B1436&amp;""),CHAR(160),"")," ",""),"초등학교","초"),"중학교","중"),"고등학교","고")</f>
      </c>
    </row>
    <row r="1437" customFormat="false" ht="15" hidden="false" customHeight="false" outlineLevel="0" collapsed="false">
      <c r="A1437" s="8"/>
      <c r="B1437" s="8"/>
      <c r="C1437" s="8"/>
      <c r="D1437" s="8"/>
      <c r="E1437" s="8"/>
      <c r="F1437" t="str" s="15">
        <f aca="0">IF(B1437="","",IF(H1437="","확인필요(입력누락)",IF(SUMPRODUCT((실물목록!$P$2:$P$1001&lt;&gt;"")*ISNUMBER(SEARCH(실물목록!$P$2:$P$1001,I1437))*(실물목록!$Q$2:$Q$1001&lt;&gt;"")*ISNUMBER(SEARCH(실물목록!$Q$2:$Q$1001,I1437))*(실물목록!$R$2:$R$1001="")*(실물목록!$O$2:$O$1001&lt;&gt;"")*(실물목록!$O$2:$O$1001=H1437))&gt;0,"실물 있음",IF(SUMPRODUCT((실물목록!$P$2:$P$1001&lt;&gt;"")*ISNUMBER(SEARCH(실물목록!$P$2:$P$1001,I1437))*(실물목록!$R$2:$R$1001&lt;&gt;""))&gt;0,"확인필요(입력누락)",IF(SUMPRODUCT((실물목록!$P$2:$P$1001&lt;&gt;"")*ISNUMBER(SEARCH(실물목록!$P$2:$P$1001,I1437))*(실물목록!$Q$2:$Q$1001&lt;&gt;"")*ISNUMBER(SEARCH(실물목록!$Q$2:$Q$1001,I1437))*(실물목록!$R$2:$R$1001="")*(실물목록!$O$2:$O$1001&lt;&gt;""))&gt;0,"확인필요(연도다름)","실물 없음")))))</f>
      </c>
      <c r="G1437" t="n" s="16">
        <f aca="0">IF(B1437="","",SUMPRODUCT((실물목록!$P$2:$P$1001&lt;&gt;"")*ISNUMBER(SEARCH(실물목록!$P$2:$P$1001,I1437))*(실물목록!$Q$2:$Q$1001&lt;&gt;"")*ISNUMBER(SEARCH(실물목록!$Q$2:$Q$1001,I1437))*(실물목록!$R$2:$R$1001="")*(실물목록!$O$2:$O$1001&lt;&gt;"")*(실물목록!$O$2:$O$1001=H1437)))</f>
      </c>
      <c r="H1437" t="str">
        <f>IFERROR(IF(AND(LEN(SUBSTITUTE(SUBSTITUTE(SUBSTITUTE(TRIM(A1437&amp;""),CHAR(160),"")," ",""),"년",""))=4,VALUE(SUBSTITUTE(SUBSTITUTE(SUBSTITUTE(TRIM(A1437&amp;""),CHAR(160),"")," ",""),"년",""))&gt;=1900,VALUE(SUBSTITUTE(SUBSTITUTE(SUBSTITUTE(TRIM(A1437&amp;""),CHAR(160),"")," ",""),"년",""))&lt;=2099,TEXT(VALUE(SUBSTITUTE(SUBSTITUTE(SUBSTITUTE(TRIM(A1437&amp;""),CHAR(160),"")," ",""),"년","")),"0000")=SUBSTITUTE(SUBSTITUTE(SUBSTITUTE(TRIM(A1437&amp;""),CHAR(160),"")," ",""),"년","")),SUBSTITUTE(SUBSTITUTE(SUBSTITUTE(TRIM(A1437&amp;""),CHAR(160),"")," ",""),"년",""),""),"")</f>
      </c>
      <c r="I1437" t="str">
        <f>SUBSTITUTE(SUBSTITUTE(SUBSTITUTE(SUBSTITUTE(SUBSTITUTE(TRIM(B1437&amp;""),CHAR(160),"")," ",""),"초등학교","초"),"중학교","중"),"고등학교","고")</f>
      </c>
    </row>
    <row r="1438" customFormat="false" ht="15" hidden="false" customHeight="false" outlineLevel="0" collapsed="false">
      <c r="A1438" s="8"/>
      <c r="B1438" s="8"/>
      <c r="C1438" s="8"/>
      <c r="D1438" s="8"/>
      <c r="E1438" s="8"/>
      <c r="F1438" t="str" s="15">
        <f aca="0">IF(B1438="","",IF(H1438="","확인필요(입력누락)",IF(SUMPRODUCT((실물목록!$P$2:$P$1001&lt;&gt;"")*ISNUMBER(SEARCH(실물목록!$P$2:$P$1001,I1438))*(실물목록!$Q$2:$Q$1001&lt;&gt;"")*ISNUMBER(SEARCH(실물목록!$Q$2:$Q$1001,I1438))*(실물목록!$R$2:$R$1001="")*(실물목록!$O$2:$O$1001&lt;&gt;"")*(실물목록!$O$2:$O$1001=H1438))&gt;0,"실물 있음",IF(SUMPRODUCT((실물목록!$P$2:$P$1001&lt;&gt;"")*ISNUMBER(SEARCH(실물목록!$P$2:$P$1001,I1438))*(실물목록!$R$2:$R$1001&lt;&gt;""))&gt;0,"확인필요(입력누락)",IF(SUMPRODUCT((실물목록!$P$2:$P$1001&lt;&gt;"")*ISNUMBER(SEARCH(실물목록!$P$2:$P$1001,I1438))*(실물목록!$Q$2:$Q$1001&lt;&gt;"")*ISNUMBER(SEARCH(실물목록!$Q$2:$Q$1001,I1438))*(실물목록!$R$2:$R$1001="")*(실물목록!$O$2:$O$1001&lt;&gt;""))&gt;0,"확인필요(연도다름)","실물 없음")))))</f>
      </c>
      <c r="G1438" t="n" s="16">
        <f aca="0">IF(B1438="","",SUMPRODUCT((실물목록!$P$2:$P$1001&lt;&gt;"")*ISNUMBER(SEARCH(실물목록!$P$2:$P$1001,I1438))*(실물목록!$Q$2:$Q$1001&lt;&gt;"")*ISNUMBER(SEARCH(실물목록!$Q$2:$Q$1001,I1438))*(실물목록!$R$2:$R$1001="")*(실물목록!$O$2:$O$1001&lt;&gt;"")*(실물목록!$O$2:$O$1001=H1438)))</f>
      </c>
      <c r="H1438" t="str">
        <f>IFERROR(IF(AND(LEN(SUBSTITUTE(SUBSTITUTE(SUBSTITUTE(TRIM(A1438&amp;""),CHAR(160),"")," ",""),"년",""))=4,VALUE(SUBSTITUTE(SUBSTITUTE(SUBSTITUTE(TRIM(A1438&amp;""),CHAR(160),"")," ",""),"년",""))&gt;=1900,VALUE(SUBSTITUTE(SUBSTITUTE(SUBSTITUTE(TRIM(A1438&amp;""),CHAR(160),"")," ",""),"년",""))&lt;=2099,TEXT(VALUE(SUBSTITUTE(SUBSTITUTE(SUBSTITUTE(TRIM(A1438&amp;""),CHAR(160),"")," ",""),"년","")),"0000")=SUBSTITUTE(SUBSTITUTE(SUBSTITUTE(TRIM(A1438&amp;""),CHAR(160),"")," ",""),"년","")),SUBSTITUTE(SUBSTITUTE(SUBSTITUTE(TRIM(A1438&amp;""),CHAR(160),"")," ",""),"년",""),""),"")</f>
      </c>
      <c r="I1438" t="str">
        <f>SUBSTITUTE(SUBSTITUTE(SUBSTITUTE(SUBSTITUTE(SUBSTITUTE(TRIM(B1438&amp;""),CHAR(160),"")," ",""),"초등학교","초"),"중학교","중"),"고등학교","고")</f>
      </c>
    </row>
    <row r="1439" customFormat="false" ht="15" hidden="false" customHeight="false" outlineLevel="0" collapsed="false">
      <c r="A1439" s="8"/>
      <c r="B1439" s="8"/>
      <c r="C1439" s="8"/>
      <c r="D1439" s="8"/>
      <c r="E1439" s="8"/>
      <c r="F1439" t="str" s="15">
        <f aca="0">IF(B1439="","",IF(H1439="","확인필요(입력누락)",IF(SUMPRODUCT((실물목록!$P$2:$P$1001&lt;&gt;"")*ISNUMBER(SEARCH(실물목록!$P$2:$P$1001,I1439))*(실물목록!$Q$2:$Q$1001&lt;&gt;"")*ISNUMBER(SEARCH(실물목록!$Q$2:$Q$1001,I1439))*(실물목록!$R$2:$R$1001="")*(실물목록!$O$2:$O$1001&lt;&gt;"")*(실물목록!$O$2:$O$1001=H1439))&gt;0,"실물 있음",IF(SUMPRODUCT((실물목록!$P$2:$P$1001&lt;&gt;"")*ISNUMBER(SEARCH(실물목록!$P$2:$P$1001,I1439))*(실물목록!$R$2:$R$1001&lt;&gt;""))&gt;0,"확인필요(입력누락)",IF(SUMPRODUCT((실물목록!$P$2:$P$1001&lt;&gt;"")*ISNUMBER(SEARCH(실물목록!$P$2:$P$1001,I1439))*(실물목록!$Q$2:$Q$1001&lt;&gt;"")*ISNUMBER(SEARCH(실물목록!$Q$2:$Q$1001,I1439))*(실물목록!$R$2:$R$1001="")*(실물목록!$O$2:$O$1001&lt;&gt;""))&gt;0,"확인필요(연도다름)","실물 없음")))))</f>
      </c>
      <c r="G1439" t="n" s="16">
        <f aca="0">IF(B1439="","",SUMPRODUCT((실물목록!$P$2:$P$1001&lt;&gt;"")*ISNUMBER(SEARCH(실물목록!$P$2:$P$1001,I1439))*(실물목록!$Q$2:$Q$1001&lt;&gt;"")*ISNUMBER(SEARCH(실물목록!$Q$2:$Q$1001,I1439))*(실물목록!$R$2:$R$1001="")*(실물목록!$O$2:$O$1001&lt;&gt;"")*(실물목록!$O$2:$O$1001=H1439)))</f>
      </c>
      <c r="H1439" t="str">
        <f>IFERROR(IF(AND(LEN(SUBSTITUTE(SUBSTITUTE(SUBSTITUTE(TRIM(A1439&amp;""),CHAR(160),"")," ",""),"년",""))=4,VALUE(SUBSTITUTE(SUBSTITUTE(SUBSTITUTE(TRIM(A1439&amp;""),CHAR(160),"")," ",""),"년",""))&gt;=1900,VALUE(SUBSTITUTE(SUBSTITUTE(SUBSTITUTE(TRIM(A1439&amp;""),CHAR(160),"")," ",""),"년",""))&lt;=2099,TEXT(VALUE(SUBSTITUTE(SUBSTITUTE(SUBSTITUTE(TRIM(A1439&amp;""),CHAR(160),"")," ",""),"년","")),"0000")=SUBSTITUTE(SUBSTITUTE(SUBSTITUTE(TRIM(A1439&amp;""),CHAR(160),"")," ",""),"년","")),SUBSTITUTE(SUBSTITUTE(SUBSTITUTE(TRIM(A1439&amp;""),CHAR(160),"")," ",""),"년",""),""),"")</f>
      </c>
      <c r="I1439" t="str">
        <f>SUBSTITUTE(SUBSTITUTE(SUBSTITUTE(SUBSTITUTE(SUBSTITUTE(TRIM(B1439&amp;""),CHAR(160),"")," ",""),"초등학교","초"),"중학교","중"),"고등학교","고")</f>
      </c>
    </row>
    <row r="1440" customFormat="false" ht="15" hidden="false" customHeight="false" outlineLevel="0" collapsed="false">
      <c r="A1440" s="8"/>
      <c r="B1440" s="8"/>
      <c r="C1440" s="8"/>
      <c r="D1440" s="8"/>
      <c r="E1440" s="8"/>
      <c r="F1440" t="str" s="15">
        <f aca="0">IF(B1440="","",IF(H1440="","확인필요(입력누락)",IF(SUMPRODUCT((실물목록!$P$2:$P$1001&lt;&gt;"")*ISNUMBER(SEARCH(실물목록!$P$2:$P$1001,I1440))*(실물목록!$Q$2:$Q$1001&lt;&gt;"")*ISNUMBER(SEARCH(실물목록!$Q$2:$Q$1001,I1440))*(실물목록!$R$2:$R$1001="")*(실물목록!$O$2:$O$1001&lt;&gt;"")*(실물목록!$O$2:$O$1001=H1440))&gt;0,"실물 있음",IF(SUMPRODUCT((실물목록!$P$2:$P$1001&lt;&gt;"")*ISNUMBER(SEARCH(실물목록!$P$2:$P$1001,I1440))*(실물목록!$R$2:$R$1001&lt;&gt;""))&gt;0,"확인필요(입력누락)",IF(SUMPRODUCT((실물목록!$P$2:$P$1001&lt;&gt;"")*ISNUMBER(SEARCH(실물목록!$P$2:$P$1001,I1440))*(실물목록!$Q$2:$Q$1001&lt;&gt;"")*ISNUMBER(SEARCH(실물목록!$Q$2:$Q$1001,I1440))*(실물목록!$R$2:$R$1001="")*(실물목록!$O$2:$O$1001&lt;&gt;""))&gt;0,"확인필요(연도다름)","실물 없음")))))</f>
      </c>
      <c r="G1440" t="n" s="16">
        <f aca="0">IF(B1440="","",SUMPRODUCT((실물목록!$P$2:$P$1001&lt;&gt;"")*ISNUMBER(SEARCH(실물목록!$P$2:$P$1001,I1440))*(실물목록!$Q$2:$Q$1001&lt;&gt;"")*ISNUMBER(SEARCH(실물목록!$Q$2:$Q$1001,I1440))*(실물목록!$R$2:$R$1001="")*(실물목록!$O$2:$O$1001&lt;&gt;"")*(실물목록!$O$2:$O$1001=H1440)))</f>
      </c>
      <c r="H1440" t="str">
        <f>IFERROR(IF(AND(LEN(SUBSTITUTE(SUBSTITUTE(SUBSTITUTE(TRIM(A1440&amp;""),CHAR(160),"")," ",""),"년",""))=4,VALUE(SUBSTITUTE(SUBSTITUTE(SUBSTITUTE(TRIM(A1440&amp;""),CHAR(160),"")," ",""),"년",""))&gt;=1900,VALUE(SUBSTITUTE(SUBSTITUTE(SUBSTITUTE(TRIM(A1440&amp;""),CHAR(160),"")," ",""),"년",""))&lt;=2099,TEXT(VALUE(SUBSTITUTE(SUBSTITUTE(SUBSTITUTE(TRIM(A1440&amp;""),CHAR(160),"")," ",""),"년","")),"0000")=SUBSTITUTE(SUBSTITUTE(SUBSTITUTE(TRIM(A1440&amp;""),CHAR(160),"")," ",""),"년","")),SUBSTITUTE(SUBSTITUTE(SUBSTITUTE(TRIM(A1440&amp;""),CHAR(160),"")," ",""),"년",""),""),"")</f>
      </c>
      <c r="I1440" t="str">
        <f>SUBSTITUTE(SUBSTITUTE(SUBSTITUTE(SUBSTITUTE(SUBSTITUTE(TRIM(B1440&amp;""),CHAR(160),"")," ",""),"초등학교","초"),"중학교","중"),"고등학교","고")</f>
      </c>
    </row>
    <row r="1441" customFormat="false" ht="15" hidden="false" customHeight="false" outlineLevel="0" collapsed="false">
      <c r="A1441" s="8"/>
      <c r="B1441" s="8"/>
      <c r="C1441" s="8"/>
      <c r="D1441" s="8"/>
      <c r="E1441" s="8"/>
      <c r="F1441" t="str" s="15">
        <f aca="0">IF(B1441="","",IF(H1441="","확인필요(입력누락)",IF(SUMPRODUCT((실물목록!$P$2:$P$1001&lt;&gt;"")*ISNUMBER(SEARCH(실물목록!$P$2:$P$1001,I1441))*(실물목록!$Q$2:$Q$1001&lt;&gt;"")*ISNUMBER(SEARCH(실물목록!$Q$2:$Q$1001,I1441))*(실물목록!$R$2:$R$1001="")*(실물목록!$O$2:$O$1001&lt;&gt;"")*(실물목록!$O$2:$O$1001=H1441))&gt;0,"실물 있음",IF(SUMPRODUCT((실물목록!$P$2:$P$1001&lt;&gt;"")*ISNUMBER(SEARCH(실물목록!$P$2:$P$1001,I1441))*(실물목록!$R$2:$R$1001&lt;&gt;""))&gt;0,"확인필요(입력누락)",IF(SUMPRODUCT((실물목록!$P$2:$P$1001&lt;&gt;"")*ISNUMBER(SEARCH(실물목록!$P$2:$P$1001,I1441))*(실물목록!$Q$2:$Q$1001&lt;&gt;"")*ISNUMBER(SEARCH(실물목록!$Q$2:$Q$1001,I1441))*(실물목록!$R$2:$R$1001="")*(실물목록!$O$2:$O$1001&lt;&gt;""))&gt;0,"확인필요(연도다름)","실물 없음")))))</f>
      </c>
      <c r="G1441" t="n" s="16">
        <f aca="0">IF(B1441="","",SUMPRODUCT((실물목록!$P$2:$P$1001&lt;&gt;"")*ISNUMBER(SEARCH(실물목록!$P$2:$P$1001,I1441))*(실물목록!$Q$2:$Q$1001&lt;&gt;"")*ISNUMBER(SEARCH(실물목록!$Q$2:$Q$1001,I1441))*(실물목록!$R$2:$R$1001="")*(실물목록!$O$2:$O$1001&lt;&gt;"")*(실물목록!$O$2:$O$1001=H1441)))</f>
      </c>
      <c r="H1441" t="str">
        <f>IFERROR(IF(AND(LEN(SUBSTITUTE(SUBSTITUTE(SUBSTITUTE(TRIM(A1441&amp;""),CHAR(160),"")," ",""),"년",""))=4,VALUE(SUBSTITUTE(SUBSTITUTE(SUBSTITUTE(TRIM(A1441&amp;""),CHAR(160),"")," ",""),"년",""))&gt;=1900,VALUE(SUBSTITUTE(SUBSTITUTE(SUBSTITUTE(TRIM(A1441&amp;""),CHAR(160),"")," ",""),"년",""))&lt;=2099,TEXT(VALUE(SUBSTITUTE(SUBSTITUTE(SUBSTITUTE(TRIM(A1441&amp;""),CHAR(160),"")," ",""),"년","")),"0000")=SUBSTITUTE(SUBSTITUTE(SUBSTITUTE(TRIM(A1441&amp;""),CHAR(160),"")," ",""),"년","")),SUBSTITUTE(SUBSTITUTE(SUBSTITUTE(TRIM(A1441&amp;""),CHAR(160),"")," ",""),"년",""),""),"")</f>
      </c>
      <c r="I1441" t="str">
        <f>SUBSTITUTE(SUBSTITUTE(SUBSTITUTE(SUBSTITUTE(SUBSTITUTE(TRIM(B1441&amp;""),CHAR(160),"")," ",""),"초등학교","초"),"중학교","중"),"고등학교","고")</f>
      </c>
    </row>
    <row r="1442" customFormat="false" ht="15" hidden="false" customHeight="false" outlineLevel="0" collapsed="false">
      <c r="A1442" s="8"/>
      <c r="B1442" s="8"/>
      <c r="C1442" s="8"/>
      <c r="D1442" s="8"/>
      <c r="E1442" s="8"/>
      <c r="F1442" t="str" s="15">
        <f aca="0">IF(B1442="","",IF(H1442="","확인필요(입력누락)",IF(SUMPRODUCT((실물목록!$P$2:$P$1001&lt;&gt;"")*ISNUMBER(SEARCH(실물목록!$P$2:$P$1001,I1442))*(실물목록!$Q$2:$Q$1001&lt;&gt;"")*ISNUMBER(SEARCH(실물목록!$Q$2:$Q$1001,I1442))*(실물목록!$R$2:$R$1001="")*(실물목록!$O$2:$O$1001&lt;&gt;"")*(실물목록!$O$2:$O$1001=H1442))&gt;0,"실물 있음",IF(SUMPRODUCT((실물목록!$P$2:$P$1001&lt;&gt;"")*ISNUMBER(SEARCH(실물목록!$P$2:$P$1001,I1442))*(실물목록!$R$2:$R$1001&lt;&gt;""))&gt;0,"확인필요(입력누락)",IF(SUMPRODUCT((실물목록!$P$2:$P$1001&lt;&gt;"")*ISNUMBER(SEARCH(실물목록!$P$2:$P$1001,I1442))*(실물목록!$Q$2:$Q$1001&lt;&gt;"")*ISNUMBER(SEARCH(실물목록!$Q$2:$Q$1001,I1442))*(실물목록!$R$2:$R$1001="")*(실물목록!$O$2:$O$1001&lt;&gt;""))&gt;0,"확인필요(연도다름)","실물 없음")))))</f>
      </c>
      <c r="G1442" t="n" s="16">
        <f aca="0">IF(B1442="","",SUMPRODUCT((실물목록!$P$2:$P$1001&lt;&gt;"")*ISNUMBER(SEARCH(실물목록!$P$2:$P$1001,I1442))*(실물목록!$Q$2:$Q$1001&lt;&gt;"")*ISNUMBER(SEARCH(실물목록!$Q$2:$Q$1001,I1442))*(실물목록!$R$2:$R$1001="")*(실물목록!$O$2:$O$1001&lt;&gt;"")*(실물목록!$O$2:$O$1001=H1442)))</f>
      </c>
      <c r="H1442" t="str">
        <f>IFERROR(IF(AND(LEN(SUBSTITUTE(SUBSTITUTE(SUBSTITUTE(TRIM(A1442&amp;""),CHAR(160),"")," ",""),"년",""))=4,VALUE(SUBSTITUTE(SUBSTITUTE(SUBSTITUTE(TRIM(A1442&amp;""),CHAR(160),"")," ",""),"년",""))&gt;=1900,VALUE(SUBSTITUTE(SUBSTITUTE(SUBSTITUTE(TRIM(A1442&amp;""),CHAR(160),"")," ",""),"년",""))&lt;=2099,TEXT(VALUE(SUBSTITUTE(SUBSTITUTE(SUBSTITUTE(TRIM(A1442&amp;""),CHAR(160),"")," ",""),"년","")),"0000")=SUBSTITUTE(SUBSTITUTE(SUBSTITUTE(TRIM(A1442&amp;""),CHAR(160),"")," ",""),"년","")),SUBSTITUTE(SUBSTITUTE(SUBSTITUTE(TRIM(A1442&amp;""),CHAR(160),"")," ",""),"년",""),""),"")</f>
      </c>
      <c r="I1442" t="str">
        <f>SUBSTITUTE(SUBSTITUTE(SUBSTITUTE(SUBSTITUTE(SUBSTITUTE(TRIM(B1442&amp;""),CHAR(160),"")," ",""),"초등학교","초"),"중학교","중"),"고등학교","고")</f>
      </c>
    </row>
    <row r="1443" customFormat="false" ht="15" hidden="false" customHeight="false" outlineLevel="0" collapsed="false">
      <c r="A1443" s="8"/>
      <c r="B1443" s="8"/>
      <c r="C1443" s="8"/>
      <c r="D1443" s="8"/>
      <c r="E1443" s="8"/>
      <c r="F1443" t="str" s="15">
        <f aca="0">IF(B1443="","",IF(H1443="","확인필요(입력누락)",IF(SUMPRODUCT((실물목록!$P$2:$P$1001&lt;&gt;"")*ISNUMBER(SEARCH(실물목록!$P$2:$P$1001,I1443))*(실물목록!$Q$2:$Q$1001&lt;&gt;"")*ISNUMBER(SEARCH(실물목록!$Q$2:$Q$1001,I1443))*(실물목록!$R$2:$R$1001="")*(실물목록!$O$2:$O$1001&lt;&gt;"")*(실물목록!$O$2:$O$1001=H1443))&gt;0,"실물 있음",IF(SUMPRODUCT((실물목록!$P$2:$P$1001&lt;&gt;"")*ISNUMBER(SEARCH(실물목록!$P$2:$P$1001,I1443))*(실물목록!$R$2:$R$1001&lt;&gt;""))&gt;0,"확인필요(입력누락)",IF(SUMPRODUCT((실물목록!$P$2:$P$1001&lt;&gt;"")*ISNUMBER(SEARCH(실물목록!$P$2:$P$1001,I1443))*(실물목록!$Q$2:$Q$1001&lt;&gt;"")*ISNUMBER(SEARCH(실물목록!$Q$2:$Q$1001,I1443))*(실물목록!$R$2:$R$1001="")*(실물목록!$O$2:$O$1001&lt;&gt;""))&gt;0,"확인필요(연도다름)","실물 없음")))))</f>
      </c>
      <c r="G1443" t="n" s="16">
        <f aca="0">IF(B1443="","",SUMPRODUCT((실물목록!$P$2:$P$1001&lt;&gt;"")*ISNUMBER(SEARCH(실물목록!$P$2:$P$1001,I1443))*(실물목록!$Q$2:$Q$1001&lt;&gt;"")*ISNUMBER(SEARCH(실물목록!$Q$2:$Q$1001,I1443))*(실물목록!$R$2:$R$1001="")*(실물목록!$O$2:$O$1001&lt;&gt;"")*(실물목록!$O$2:$O$1001=H1443)))</f>
      </c>
      <c r="H1443" t="str">
        <f>IFERROR(IF(AND(LEN(SUBSTITUTE(SUBSTITUTE(SUBSTITUTE(TRIM(A1443&amp;""),CHAR(160),"")," ",""),"년",""))=4,VALUE(SUBSTITUTE(SUBSTITUTE(SUBSTITUTE(TRIM(A1443&amp;""),CHAR(160),"")," ",""),"년",""))&gt;=1900,VALUE(SUBSTITUTE(SUBSTITUTE(SUBSTITUTE(TRIM(A1443&amp;""),CHAR(160),"")," ",""),"년",""))&lt;=2099,TEXT(VALUE(SUBSTITUTE(SUBSTITUTE(SUBSTITUTE(TRIM(A1443&amp;""),CHAR(160),"")," ",""),"년","")),"0000")=SUBSTITUTE(SUBSTITUTE(SUBSTITUTE(TRIM(A1443&amp;""),CHAR(160),"")," ",""),"년","")),SUBSTITUTE(SUBSTITUTE(SUBSTITUTE(TRIM(A1443&amp;""),CHAR(160),"")," ",""),"년",""),""),"")</f>
      </c>
      <c r="I1443" t="str">
        <f>SUBSTITUTE(SUBSTITUTE(SUBSTITUTE(SUBSTITUTE(SUBSTITUTE(TRIM(B1443&amp;""),CHAR(160),"")," ",""),"초등학교","초"),"중학교","중"),"고등학교","고")</f>
      </c>
    </row>
    <row r="1444" customFormat="false" ht="15" hidden="false" customHeight="false" outlineLevel="0" collapsed="false">
      <c r="A1444" s="8"/>
      <c r="B1444" s="8"/>
      <c r="C1444" s="8"/>
      <c r="D1444" s="8"/>
      <c r="E1444" s="8"/>
      <c r="F1444" t="str" s="15">
        <f aca="0">IF(B1444="","",IF(H1444="","확인필요(입력누락)",IF(SUMPRODUCT((실물목록!$P$2:$P$1001&lt;&gt;"")*ISNUMBER(SEARCH(실물목록!$P$2:$P$1001,I1444))*(실물목록!$Q$2:$Q$1001&lt;&gt;"")*ISNUMBER(SEARCH(실물목록!$Q$2:$Q$1001,I1444))*(실물목록!$R$2:$R$1001="")*(실물목록!$O$2:$O$1001&lt;&gt;"")*(실물목록!$O$2:$O$1001=H1444))&gt;0,"실물 있음",IF(SUMPRODUCT((실물목록!$P$2:$P$1001&lt;&gt;"")*ISNUMBER(SEARCH(실물목록!$P$2:$P$1001,I1444))*(실물목록!$R$2:$R$1001&lt;&gt;""))&gt;0,"확인필요(입력누락)",IF(SUMPRODUCT((실물목록!$P$2:$P$1001&lt;&gt;"")*ISNUMBER(SEARCH(실물목록!$P$2:$P$1001,I1444))*(실물목록!$Q$2:$Q$1001&lt;&gt;"")*ISNUMBER(SEARCH(실물목록!$Q$2:$Q$1001,I1444))*(실물목록!$R$2:$R$1001="")*(실물목록!$O$2:$O$1001&lt;&gt;""))&gt;0,"확인필요(연도다름)","실물 없음")))))</f>
      </c>
      <c r="G1444" t="n" s="16">
        <f aca="0">IF(B1444="","",SUMPRODUCT((실물목록!$P$2:$P$1001&lt;&gt;"")*ISNUMBER(SEARCH(실물목록!$P$2:$P$1001,I1444))*(실물목록!$Q$2:$Q$1001&lt;&gt;"")*ISNUMBER(SEARCH(실물목록!$Q$2:$Q$1001,I1444))*(실물목록!$R$2:$R$1001="")*(실물목록!$O$2:$O$1001&lt;&gt;"")*(실물목록!$O$2:$O$1001=H1444)))</f>
      </c>
      <c r="H1444" t="str">
        <f>IFERROR(IF(AND(LEN(SUBSTITUTE(SUBSTITUTE(SUBSTITUTE(TRIM(A1444&amp;""),CHAR(160),"")," ",""),"년",""))=4,VALUE(SUBSTITUTE(SUBSTITUTE(SUBSTITUTE(TRIM(A1444&amp;""),CHAR(160),"")," ",""),"년",""))&gt;=1900,VALUE(SUBSTITUTE(SUBSTITUTE(SUBSTITUTE(TRIM(A1444&amp;""),CHAR(160),"")," ",""),"년",""))&lt;=2099,TEXT(VALUE(SUBSTITUTE(SUBSTITUTE(SUBSTITUTE(TRIM(A1444&amp;""),CHAR(160),"")," ",""),"년","")),"0000")=SUBSTITUTE(SUBSTITUTE(SUBSTITUTE(TRIM(A1444&amp;""),CHAR(160),"")," ",""),"년","")),SUBSTITUTE(SUBSTITUTE(SUBSTITUTE(TRIM(A1444&amp;""),CHAR(160),"")," ",""),"년",""),""),"")</f>
      </c>
      <c r="I1444" t="str">
        <f>SUBSTITUTE(SUBSTITUTE(SUBSTITUTE(SUBSTITUTE(SUBSTITUTE(TRIM(B1444&amp;""),CHAR(160),"")," ",""),"초등학교","초"),"중학교","중"),"고등학교","고")</f>
      </c>
    </row>
    <row r="1445" customFormat="false" ht="15" hidden="false" customHeight="false" outlineLevel="0" collapsed="false">
      <c r="A1445" s="8"/>
      <c r="B1445" s="8"/>
      <c r="C1445" s="8"/>
      <c r="D1445" s="8"/>
      <c r="E1445" s="8"/>
      <c r="F1445" t="str" s="15">
        <f aca="0">IF(B1445="","",IF(H1445="","확인필요(입력누락)",IF(SUMPRODUCT((실물목록!$P$2:$P$1001&lt;&gt;"")*ISNUMBER(SEARCH(실물목록!$P$2:$P$1001,I1445))*(실물목록!$Q$2:$Q$1001&lt;&gt;"")*ISNUMBER(SEARCH(실물목록!$Q$2:$Q$1001,I1445))*(실물목록!$R$2:$R$1001="")*(실물목록!$O$2:$O$1001&lt;&gt;"")*(실물목록!$O$2:$O$1001=H1445))&gt;0,"실물 있음",IF(SUMPRODUCT((실물목록!$P$2:$P$1001&lt;&gt;"")*ISNUMBER(SEARCH(실물목록!$P$2:$P$1001,I1445))*(실물목록!$R$2:$R$1001&lt;&gt;""))&gt;0,"확인필요(입력누락)",IF(SUMPRODUCT((실물목록!$P$2:$P$1001&lt;&gt;"")*ISNUMBER(SEARCH(실물목록!$P$2:$P$1001,I1445))*(실물목록!$Q$2:$Q$1001&lt;&gt;"")*ISNUMBER(SEARCH(실물목록!$Q$2:$Q$1001,I1445))*(실물목록!$R$2:$R$1001="")*(실물목록!$O$2:$O$1001&lt;&gt;""))&gt;0,"확인필요(연도다름)","실물 없음")))))</f>
      </c>
      <c r="G1445" t="n" s="16">
        <f aca="0">IF(B1445="","",SUMPRODUCT((실물목록!$P$2:$P$1001&lt;&gt;"")*ISNUMBER(SEARCH(실물목록!$P$2:$P$1001,I1445))*(실물목록!$Q$2:$Q$1001&lt;&gt;"")*ISNUMBER(SEARCH(실물목록!$Q$2:$Q$1001,I1445))*(실물목록!$R$2:$R$1001="")*(실물목록!$O$2:$O$1001&lt;&gt;"")*(실물목록!$O$2:$O$1001=H1445)))</f>
      </c>
      <c r="H1445" t="str">
        <f>IFERROR(IF(AND(LEN(SUBSTITUTE(SUBSTITUTE(SUBSTITUTE(TRIM(A1445&amp;""),CHAR(160),"")," ",""),"년",""))=4,VALUE(SUBSTITUTE(SUBSTITUTE(SUBSTITUTE(TRIM(A1445&amp;""),CHAR(160),"")," ",""),"년",""))&gt;=1900,VALUE(SUBSTITUTE(SUBSTITUTE(SUBSTITUTE(TRIM(A1445&amp;""),CHAR(160),"")," ",""),"년",""))&lt;=2099,TEXT(VALUE(SUBSTITUTE(SUBSTITUTE(SUBSTITUTE(TRIM(A1445&amp;""),CHAR(160),"")," ",""),"년","")),"0000")=SUBSTITUTE(SUBSTITUTE(SUBSTITUTE(TRIM(A1445&amp;""),CHAR(160),"")," ",""),"년","")),SUBSTITUTE(SUBSTITUTE(SUBSTITUTE(TRIM(A1445&amp;""),CHAR(160),"")," ",""),"년",""),""),"")</f>
      </c>
      <c r="I1445" t="str">
        <f>SUBSTITUTE(SUBSTITUTE(SUBSTITUTE(SUBSTITUTE(SUBSTITUTE(TRIM(B1445&amp;""),CHAR(160),"")," ",""),"초등학교","초"),"중학교","중"),"고등학교","고")</f>
      </c>
    </row>
    <row r="1446" customFormat="false" ht="15" hidden="false" customHeight="false" outlineLevel="0" collapsed="false">
      <c r="A1446" s="8"/>
      <c r="B1446" s="8"/>
      <c r="C1446" s="8"/>
      <c r="D1446" s="8"/>
      <c r="E1446" s="8"/>
      <c r="F1446" t="str" s="15">
        <f aca="0">IF(B1446="","",IF(H1446="","확인필요(입력누락)",IF(SUMPRODUCT((실물목록!$P$2:$P$1001&lt;&gt;"")*ISNUMBER(SEARCH(실물목록!$P$2:$P$1001,I1446))*(실물목록!$Q$2:$Q$1001&lt;&gt;"")*ISNUMBER(SEARCH(실물목록!$Q$2:$Q$1001,I1446))*(실물목록!$R$2:$R$1001="")*(실물목록!$O$2:$O$1001&lt;&gt;"")*(실물목록!$O$2:$O$1001=H1446))&gt;0,"실물 있음",IF(SUMPRODUCT((실물목록!$P$2:$P$1001&lt;&gt;"")*ISNUMBER(SEARCH(실물목록!$P$2:$P$1001,I1446))*(실물목록!$R$2:$R$1001&lt;&gt;""))&gt;0,"확인필요(입력누락)",IF(SUMPRODUCT((실물목록!$P$2:$P$1001&lt;&gt;"")*ISNUMBER(SEARCH(실물목록!$P$2:$P$1001,I1446))*(실물목록!$Q$2:$Q$1001&lt;&gt;"")*ISNUMBER(SEARCH(실물목록!$Q$2:$Q$1001,I1446))*(실물목록!$R$2:$R$1001="")*(실물목록!$O$2:$O$1001&lt;&gt;""))&gt;0,"확인필요(연도다름)","실물 없음")))))</f>
      </c>
      <c r="G1446" t="n" s="16">
        <f aca="0">IF(B1446="","",SUMPRODUCT((실물목록!$P$2:$P$1001&lt;&gt;"")*ISNUMBER(SEARCH(실물목록!$P$2:$P$1001,I1446))*(실물목록!$Q$2:$Q$1001&lt;&gt;"")*ISNUMBER(SEARCH(실물목록!$Q$2:$Q$1001,I1446))*(실물목록!$R$2:$R$1001="")*(실물목록!$O$2:$O$1001&lt;&gt;"")*(실물목록!$O$2:$O$1001=H1446)))</f>
      </c>
      <c r="H1446" t="str">
        <f>IFERROR(IF(AND(LEN(SUBSTITUTE(SUBSTITUTE(SUBSTITUTE(TRIM(A1446&amp;""),CHAR(160),"")," ",""),"년",""))=4,VALUE(SUBSTITUTE(SUBSTITUTE(SUBSTITUTE(TRIM(A1446&amp;""),CHAR(160),"")," ",""),"년",""))&gt;=1900,VALUE(SUBSTITUTE(SUBSTITUTE(SUBSTITUTE(TRIM(A1446&amp;""),CHAR(160),"")," ",""),"년",""))&lt;=2099,TEXT(VALUE(SUBSTITUTE(SUBSTITUTE(SUBSTITUTE(TRIM(A1446&amp;""),CHAR(160),"")," ",""),"년","")),"0000")=SUBSTITUTE(SUBSTITUTE(SUBSTITUTE(TRIM(A1446&amp;""),CHAR(160),"")," ",""),"년","")),SUBSTITUTE(SUBSTITUTE(SUBSTITUTE(TRIM(A1446&amp;""),CHAR(160),"")," ",""),"년",""),""),"")</f>
      </c>
      <c r="I1446" t="str">
        <f>SUBSTITUTE(SUBSTITUTE(SUBSTITUTE(SUBSTITUTE(SUBSTITUTE(TRIM(B1446&amp;""),CHAR(160),"")," ",""),"초등학교","초"),"중학교","중"),"고등학교","고")</f>
      </c>
    </row>
    <row r="1447" customFormat="false" ht="15" hidden="false" customHeight="false" outlineLevel="0" collapsed="false">
      <c r="A1447" s="8"/>
      <c r="B1447" s="8"/>
      <c r="C1447" s="8"/>
      <c r="D1447" s="8"/>
      <c r="E1447" s="8"/>
      <c r="F1447" t="str" s="15">
        <f aca="0">IF(B1447="","",IF(H1447="","확인필요(입력누락)",IF(SUMPRODUCT((실물목록!$P$2:$P$1001&lt;&gt;"")*ISNUMBER(SEARCH(실물목록!$P$2:$P$1001,I1447))*(실물목록!$Q$2:$Q$1001&lt;&gt;"")*ISNUMBER(SEARCH(실물목록!$Q$2:$Q$1001,I1447))*(실물목록!$R$2:$R$1001="")*(실물목록!$O$2:$O$1001&lt;&gt;"")*(실물목록!$O$2:$O$1001=H1447))&gt;0,"실물 있음",IF(SUMPRODUCT((실물목록!$P$2:$P$1001&lt;&gt;"")*ISNUMBER(SEARCH(실물목록!$P$2:$P$1001,I1447))*(실물목록!$R$2:$R$1001&lt;&gt;""))&gt;0,"확인필요(입력누락)",IF(SUMPRODUCT((실물목록!$P$2:$P$1001&lt;&gt;"")*ISNUMBER(SEARCH(실물목록!$P$2:$P$1001,I1447))*(실물목록!$Q$2:$Q$1001&lt;&gt;"")*ISNUMBER(SEARCH(실물목록!$Q$2:$Q$1001,I1447))*(실물목록!$R$2:$R$1001="")*(실물목록!$O$2:$O$1001&lt;&gt;""))&gt;0,"확인필요(연도다름)","실물 없음")))))</f>
      </c>
      <c r="G1447" t="n" s="16">
        <f aca="0">IF(B1447="","",SUMPRODUCT((실물목록!$P$2:$P$1001&lt;&gt;"")*ISNUMBER(SEARCH(실물목록!$P$2:$P$1001,I1447))*(실물목록!$Q$2:$Q$1001&lt;&gt;"")*ISNUMBER(SEARCH(실물목록!$Q$2:$Q$1001,I1447))*(실물목록!$R$2:$R$1001="")*(실물목록!$O$2:$O$1001&lt;&gt;"")*(실물목록!$O$2:$O$1001=H1447)))</f>
      </c>
      <c r="H1447" t="str">
        <f>IFERROR(IF(AND(LEN(SUBSTITUTE(SUBSTITUTE(SUBSTITUTE(TRIM(A1447&amp;""),CHAR(160),"")," ",""),"년",""))=4,VALUE(SUBSTITUTE(SUBSTITUTE(SUBSTITUTE(TRIM(A1447&amp;""),CHAR(160),"")," ",""),"년",""))&gt;=1900,VALUE(SUBSTITUTE(SUBSTITUTE(SUBSTITUTE(TRIM(A1447&amp;""),CHAR(160),"")," ",""),"년",""))&lt;=2099,TEXT(VALUE(SUBSTITUTE(SUBSTITUTE(SUBSTITUTE(TRIM(A1447&amp;""),CHAR(160),"")," ",""),"년","")),"0000")=SUBSTITUTE(SUBSTITUTE(SUBSTITUTE(TRIM(A1447&amp;""),CHAR(160),"")," ",""),"년","")),SUBSTITUTE(SUBSTITUTE(SUBSTITUTE(TRIM(A1447&amp;""),CHAR(160),"")," ",""),"년",""),""),"")</f>
      </c>
      <c r="I1447" t="str">
        <f>SUBSTITUTE(SUBSTITUTE(SUBSTITUTE(SUBSTITUTE(SUBSTITUTE(TRIM(B1447&amp;""),CHAR(160),"")," ",""),"초등학교","초"),"중학교","중"),"고등학교","고")</f>
      </c>
    </row>
    <row r="1448" customFormat="false" ht="15" hidden="false" customHeight="false" outlineLevel="0" collapsed="false">
      <c r="A1448" s="8"/>
      <c r="B1448" s="8"/>
      <c r="C1448" s="8"/>
      <c r="D1448" s="8"/>
      <c r="E1448" s="8"/>
      <c r="F1448" t="str" s="15">
        <f aca="0">IF(B1448="","",IF(H1448="","확인필요(입력누락)",IF(SUMPRODUCT((실물목록!$P$2:$P$1001&lt;&gt;"")*ISNUMBER(SEARCH(실물목록!$P$2:$P$1001,I1448))*(실물목록!$Q$2:$Q$1001&lt;&gt;"")*ISNUMBER(SEARCH(실물목록!$Q$2:$Q$1001,I1448))*(실물목록!$R$2:$R$1001="")*(실물목록!$O$2:$O$1001&lt;&gt;"")*(실물목록!$O$2:$O$1001=H1448))&gt;0,"실물 있음",IF(SUMPRODUCT((실물목록!$P$2:$P$1001&lt;&gt;"")*ISNUMBER(SEARCH(실물목록!$P$2:$P$1001,I1448))*(실물목록!$R$2:$R$1001&lt;&gt;""))&gt;0,"확인필요(입력누락)",IF(SUMPRODUCT((실물목록!$P$2:$P$1001&lt;&gt;"")*ISNUMBER(SEARCH(실물목록!$P$2:$P$1001,I1448))*(실물목록!$Q$2:$Q$1001&lt;&gt;"")*ISNUMBER(SEARCH(실물목록!$Q$2:$Q$1001,I1448))*(실물목록!$R$2:$R$1001="")*(실물목록!$O$2:$O$1001&lt;&gt;""))&gt;0,"확인필요(연도다름)","실물 없음")))))</f>
      </c>
      <c r="G1448" t="n" s="16">
        <f aca="0">IF(B1448="","",SUMPRODUCT((실물목록!$P$2:$P$1001&lt;&gt;"")*ISNUMBER(SEARCH(실물목록!$P$2:$P$1001,I1448))*(실물목록!$Q$2:$Q$1001&lt;&gt;"")*ISNUMBER(SEARCH(실물목록!$Q$2:$Q$1001,I1448))*(실물목록!$R$2:$R$1001="")*(실물목록!$O$2:$O$1001&lt;&gt;"")*(실물목록!$O$2:$O$1001=H1448)))</f>
      </c>
      <c r="H1448" t="str">
        <f>IFERROR(IF(AND(LEN(SUBSTITUTE(SUBSTITUTE(SUBSTITUTE(TRIM(A1448&amp;""),CHAR(160),"")," ",""),"년",""))=4,VALUE(SUBSTITUTE(SUBSTITUTE(SUBSTITUTE(TRIM(A1448&amp;""),CHAR(160),"")," ",""),"년",""))&gt;=1900,VALUE(SUBSTITUTE(SUBSTITUTE(SUBSTITUTE(TRIM(A1448&amp;""),CHAR(160),"")," ",""),"년",""))&lt;=2099,TEXT(VALUE(SUBSTITUTE(SUBSTITUTE(SUBSTITUTE(TRIM(A1448&amp;""),CHAR(160),"")," ",""),"년","")),"0000")=SUBSTITUTE(SUBSTITUTE(SUBSTITUTE(TRIM(A1448&amp;""),CHAR(160),"")," ",""),"년","")),SUBSTITUTE(SUBSTITUTE(SUBSTITUTE(TRIM(A1448&amp;""),CHAR(160),"")," ",""),"년",""),""),"")</f>
      </c>
      <c r="I1448" t="str">
        <f>SUBSTITUTE(SUBSTITUTE(SUBSTITUTE(SUBSTITUTE(SUBSTITUTE(TRIM(B1448&amp;""),CHAR(160),"")," ",""),"초등학교","초"),"중학교","중"),"고등학교","고")</f>
      </c>
    </row>
    <row r="1449" customFormat="false" ht="15" hidden="false" customHeight="false" outlineLevel="0" collapsed="false">
      <c r="A1449" s="8"/>
      <c r="B1449" s="8"/>
      <c r="C1449" s="8"/>
      <c r="D1449" s="8"/>
      <c r="E1449" s="8"/>
      <c r="F1449" t="str" s="15">
        <f aca="0">IF(B1449="","",IF(H1449="","확인필요(입력누락)",IF(SUMPRODUCT((실물목록!$P$2:$P$1001&lt;&gt;"")*ISNUMBER(SEARCH(실물목록!$P$2:$P$1001,I1449))*(실물목록!$Q$2:$Q$1001&lt;&gt;"")*ISNUMBER(SEARCH(실물목록!$Q$2:$Q$1001,I1449))*(실물목록!$R$2:$R$1001="")*(실물목록!$O$2:$O$1001&lt;&gt;"")*(실물목록!$O$2:$O$1001=H1449))&gt;0,"실물 있음",IF(SUMPRODUCT((실물목록!$P$2:$P$1001&lt;&gt;"")*ISNUMBER(SEARCH(실물목록!$P$2:$P$1001,I1449))*(실물목록!$R$2:$R$1001&lt;&gt;""))&gt;0,"확인필요(입력누락)",IF(SUMPRODUCT((실물목록!$P$2:$P$1001&lt;&gt;"")*ISNUMBER(SEARCH(실물목록!$P$2:$P$1001,I1449))*(실물목록!$Q$2:$Q$1001&lt;&gt;"")*ISNUMBER(SEARCH(실물목록!$Q$2:$Q$1001,I1449))*(실물목록!$R$2:$R$1001="")*(실물목록!$O$2:$O$1001&lt;&gt;""))&gt;0,"확인필요(연도다름)","실물 없음")))))</f>
      </c>
      <c r="G1449" t="n" s="16">
        <f aca="0">IF(B1449="","",SUMPRODUCT((실물목록!$P$2:$P$1001&lt;&gt;"")*ISNUMBER(SEARCH(실물목록!$P$2:$P$1001,I1449))*(실물목록!$Q$2:$Q$1001&lt;&gt;"")*ISNUMBER(SEARCH(실물목록!$Q$2:$Q$1001,I1449))*(실물목록!$R$2:$R$1001="")*(실물목록!$O$2:$O$1001&lt;&gt;"")*(실물목록!$O$2:$O$1001=H1449)))</f>
      </c>
      <c r="H1449" t="str">
        <f>IFERROR(IF(AND(LEN(SUBSTITUTE(SUBSTITUTE(SUBSTITUTE(TRIM(A1449&amp;""),CHAR(160),"")," ",""),"년",""))=4,VALUE(SUBSTITUTE(SUBSTITUTE(SUBSTITUTE(TRIM(A1449&amp;""),CHAR(160),"")," ",""),"년",""))&gt;=1900,VALUE(SUBSTITUTE(SUBSTITUTE(SUBSTITUTE(TRIM(A1449&amp;""),CHAR(160),"")," ",""),"년",""))&lt;=2099,TEXT(VALUE(SUBSTITUTE(SUBSTITUTE(SUBSTITUTE(TRIM(A1449&amp;""),CHAR(160),"")," ",""),"년","")),"0000")=SUBSTITUTE(SUBSTITUTE(SUBSTITUTE(TRIM(A1449&amp;""),CHAR(160),"")," ",""),"년","")),SUBSTITUTE(SUBSTITUTE(SUBSTITUTE(TRIM(A1449&amp;""),CHAR(160),"")," ",""),"년",""),""),"")</f>
      </c>
      <c r="I1449" t="str">
        <f>SUBSTITUTE(SUBSTITUTE(SUBSTITUTE(SUBSTITUTE(SUBSTITUTE(TRIM(B1449&amp;""),CHAR(160),"")," ",""),"초등학교","초"),"중학교","중"),"고등학교","고")</f>
      </c>
    </row>
    <row r="1450" customFormat="false" ht="15" hidden="false" customHeight="false" outlineLevel="0" collapsed="false">
      <c r="A1450" s="8"/>
      <c r="B1450" s="8"/>
      <c r="C1450" s="8"/>
      <c r="D1450" s="8"/>
      <c r="E1450" s="8"/>
      <c r="F1450" t="str" s="15">
        <f aca="0">IF(B1450="","",IF(H1450="","확인필요(입력누락)",IF(SUMPRODUCT((실물목록!$P$2:$P$1001&lt;&gt;"")*ISNUMBER(SEARCH(실물목록!$P$2:$P$1001,I1450))*(실물목록!$Q$2:$Q$1001&lt;&gt;"")*ISNUMBER(SEARCH(실물목록!$Q$2:$Q$1001,I1450))*(실물목록!$R$2:$R$1001="")*(실물목록!$O$2:$O$1001&lt;&gt;"")*(실물목록!$O$2:$O$1001=H1450))&gt;0,"실물 있음",IF(SUMPRODUCT((실물목록!$P$2:$P$1001&lt;&gt;"")*ISNUMBER(SEARCH(실물목록!$P$2:$P$1001,I1450))*(실물목록!$R$2:$R$1001&lt;&gt;""))&gt;0,"확인필요(입력누락)",IF(SUMPRODUCT((실물목록!$P$2:$P$1001&lt;&gt;"")*ISNUMBER(SEARCH(실물목록!$P$2:$P$1001,I1450))*(실물목록!$Q$2:$Q$1001&lt;&gt;"")*ISNUMBER(SEARCH(실물목록!$Q$2:$Q$1001,I1450))*(실물목록!$R$2:$R$1001="")*(실물목록!$O$2:$O$1001&lt;&gt;""))&gt;0,"확인필요(연도다름)","실물 없음")))))</f>
      </c>
      <c r="G1450" t="n" s="16">
        <f aca="0">IF(B1450="","",SUMPRODUCT((실물목록!$P$2:$P$1001&lt;&gt;"")*ISNUMBER(SEARCH(실물목록!$P$2:$P$1001,I1450))*(실물목록!$Q$2:$Q$1001&lt;&gt;"")*ISNUMBER(SEARCH(실물목록!$Q$2:$Q$1001,I1450))*(실물목록!$R$2:$R$1001="")*(실물목록!$O$2:$O$1001&lt;&gt;"")*(실물목록!$O$2:$O$1001=H1450)))</f>
      </c>
      <c r="H1450" t="str">
        <f>IFERROR(IF(AND(LEN(SUBSTITUTE(SUBSTITUTE(SUBSTITUTE(TRIM(A1450&amp;""),CHAR(160),"")," ",""),"년",""))=4,VALUE(SUBSTITUTE(SUBSTITUTE(SUBSTITUTE(TRIM(A1450&amp;""),CHAR(160),"")," ",""),"년",""))&gt;=1900,VALUE(SUBSTITUTE(SUBSTITUTE(SUBSTITUTE(TRIM(A1450&amp;""),CHAR(160),"")," ",""),"년",""))&lt;=2099,TEXT(VALUE(SUBSTITUTE(SUBSTITUTE(SUBSTITUTE(TRIM(A1450&amp;""),CHAR(160),"")," ",""),"년","")),"0000")=SUBSTITUTE(SUBSTITUTE(SUBSTITUTE(TRIM(A1450&amp;""),CHAR(160),"")," ",""),"년","")),SUBSTITUTE(SUBSTITUTE(SUBSTITUTE(TRIM(A1450&amp;""),CHAR(160),"")," ",""),"년",""),""),"")</f>
      </c>
      <c r="I1450" t="str">
        <f>SUBSTITUTE(SUBSTITUTE(SUBSTITUTE(SUBSTITUTE(SUBSTITUTE(TRIM(B1450&amp;""),CHAR(160),"")," ",""),"초등학교","초"),"중학교","중"),"고등학교","고")</f>
      </c>
    </row>
    <row r="1451" customFormat="false" ht="15" hidden="false" customHeight="false" outlineLevel="0" collapsed="false">
      <c r="A1451" s="8"/>
      <c r="B1451" s="8"/>
      <c r="C1451" s="8"/>
      <c r="D1451" s="8"/>
      <c r="E1451" s="8"/>
      <c r="F1451" t="str" s="15">
        <f aca="0">IF(B1451="","",IF(H1451="","확인필요(입력누락)",IF(SUMPRODUCT((실물목록!$P$2:$P$1001&lt;&gt;"")*ISNUMBER(SEARCH(실물목록!$P$2:$P$1001,I1451))*(실물목록!$Q$2:$Q$1001&lt;&gt;"")*ISNUMBER(SEARCH(실물목록!$Q$2:$Q$1001,I1451))*(실물목록!$R$2:$R$1001="")*(실물목록!$O$2:$O$1001&lt;&gt;"")*(실물목록!$O$2:$O$1001=H1451))&gt;0,"실물 있음",IF(SUMPRODUCT((실물목록!$P$2:$P$1001&lt;&gt;"")*ISNUMBER(SEARCH(실물목록!$P$2:$P$1001,I1451))*(실물목록!$R$2:$R$1001&lt;&gt;""))&gt;0,"확인필요(입력누락)",IF(SUMPRODUCT((실물목록!$P$2:$P$1001&lt;&gt;"")*ISNUMBER(SEARCH(실물목록!$P$2:$P$1001,I1451))*(실물목록!$Q$2:$Q$1001&lt;&gt;"")*ISNUMBER(SEARCH(실물목록!$Q$2:$Q$1001,I1451))*(실물목록!$R$2:$R$1001="")*(실물목록!$O$2:$O$1001&lt;&gt;""))&gt;0,"확인필요(연도다름)","실물 없음")))))</f>
      </c>
      <c r="G1451" t="n" s="16">
        <f aca="0">IF(B1451="","",SUMPRODUCT((실물목록!$P$2:$P$1001&lt;&gt;"")*ISNUMBER(SEARCH(실물목록!$P$2:$P$1001,I1451))*(실물목록!$Q$2:$Q$1001&lt;&gt;"")*ISNUMBER(SEARCH(실물목록!$Q$2:$Q$1001,I1451))*(실물목록!$R$2:$R$1001="")*(실물목록!$O$2:$O$1001&lt;&gt;"")*(실물목록!$O$2:$O$1001=H1451)))</f>
      </c>
      <c r="H1451" t="str">
        <f>IFERROR(IF(AND(LEN(SUBSTITUTE(SUBSTITUTE(SUBSTITUTE(TRIM(A1451&amp;""),CHAR(160),"")," ",""),"년",""))=4,VALUE(SUBSTITUTE(SUBSTITUTE(SUBSTITUTE(TRIM(A1451&amp;""),CHAR(160),"")," ",""),"년",""))&gt;=1900,VALUE(SUBSTITUTE(SUBSTITUTE(SUBSTITUTE(TRIM(A1451&amp;""),CHAR(160),"")," ",""),"년",""))&lt;=2099,TEXT(VALUE(SUBSTITUTE(SUBSTITUTE(SUBSTITUTE(TRIM(A1451&amp;""),CHAR(160),"")," ",""),"년","")),"0000")=SUBSTITUTE(SUBSTITUTE(SUBSTITUTE(TRIM(A1451&amp;""),CHAR(160),"")," ",""),"년","")),SUBSTITUTE(SUBSTITUTE(SUBSTITUTE(TRIM(A1451&amp;""),CHAR(160),"")," ",""),"년",""),""),"")</f>
      </c>
      <c r="I1451" t="str">
        <f>SUBSTITUTE(SUBSTITUTE(SUBSTITUTE(SUBSTITUTE(SUBSTITUTE(TRIM(B1451&amp;""),CHAR(160),"")," ",""),"초등학교","초"),"중학교","중"),"고등학교","고")</f>
      </c>
    </row>
    <row r="1452" customFormat="false" ht="15" hidden="false" customHeight="false" outlineLevel="0" collapsed="false">
      <c r="A1452" s="8"/>
      <c r="B1452" s="8"/>
      <c r="C1452" s="8"/>
      <c r="D1452" s="8"/>
      <c r="E1452" s="8"/>
      <c r="F1452" t="str" s="15">
        <f aca="0">IF(B1452="","",IF(H1452="","확인필요(입력누락)",IF(SUMPRODUCT((실물목록!$P$2:$P$1001&lt;&gt;"")*ISNUMBER(SEARCH(실물목록!$P$2:$P$1001,I1452))*(실물목록!$Q$2:$Q$1001&lt;&gt;"")*ISNUMBER(SEARCH(실물목록!$Q$2:$Q$1001,I1452))*(실물목록!$R$2:$R$1001="")*(실물목록!$O$2:$O$1001&lt;&gt;"")*(실물목록!$O$2:$O$1001=H1452))&gt;0,"실물 있음",IF(SUMPRODUCT((실물목록!$P$2:$P$1001&lt;&gt;"")*ISNUMBER(SEARCH(실물목록!$P$2:$P$1001,I1452))*(실물목록!$R$2:$R$1001&lt;&gt;""))&gt;0,"확인필요(입력누락)",IF(SUMPRODUCT((실물목록!$P$2:$P$1001&lt;&gt;"")*ISNUMBER(SEARCH(실물목록!$P$2:$P$1001,I1452))*(실물목록!$Q$2:$Q$1001&lt;&gt;"")*ISNUMBER(SEARCH(실물목록!$Q$2:$Q$1001,I1452))*(실물목록!$R$2:$R$1001="")*(실물목록!$O$2:$O$1001&lt;&gt;""))&gt;0,"확인필요(연도다름)","실물 없음")))))</f>
      </c>
      <c r="G1452" t="n" s="16">
        <f aca="0">IF(B1452="","",SUMPRODUCT((실물목록!$P$2:$P$1001&lt;&gt;"")*ISNUMBER(SEARCH(실물목록!$P$2:$P$1001,I1452))*(실물목록!$Q$2:$Q$1001&lt;&gt;"")*ISNUMBER(SEARCH(실물목록!$Q$2:$Q$1001,I1452))*(실물목록!$R$2:$R$1001="")*(실물목록!$O$2:$O$1001&lt;&gt;"")*(실물목록!$O$2:$O$1001=H1452)))</f>
      </c>
      <c r="H1452" t="str">
        <f>IFERROR(IF(AND(LEN(SUBSTITUTE(SUBSTITUTE(SUBSTITUTE(TRIM(A1452&amp;""),CHAR(160),"")," ",""),"년",""))=4,VALUE(SUBSTITUTE(SUBSTITUTE(SUBSTITUTE(TRIM(A1452&amp;""),CHAR(160),"")," ",""),"년",""))&gt;=1900,VALUE(SUBSTITUTE(SUBSTITUTE(SUBSTITUTE(TRIM(A1452&amp;""),CHAR(160),"")," ",""),"년",""))&lt;=2099,TEXT(VALUE(SUBSTITUTE(SUBSTITUTE(SUBSTITUTE(TRIM(A1452&amp;""),CHAR(160),"")," ",""),"년","")),"0000")=SUBSTITUTE(SUBSTITUTE(SUBSTITUTE(TRIM(A1452&amp;""),CHAR(160),"")," ",""),"년","")),SUBSTITUTE(SUBSTITUTE(SUBSTITUTE(TRIM(A1452&amp;""),CHAR(160),"")," ",""),"년",""),""),"")</f>
      </c>
      <c r="I1452" t="str">
        <f>SUBSTITUTE(SUBSTITUTE(SUBSTITUTE(SUBSTITUTE(SUBSTITUTE(TRIM(B1452&amp;""),CHAR(160),"")," ",""),"초등학교","초"),"중학교","중"),"고등학교","고")</f>
      </c>
    </row>
    <row r="1453" customFormat="false" ht="15" hidden="false" customHeight="false" outlineLevel="0" collapsed="false">
      <c r="A1453" s="8"/>
      <c r="B1453" s="8"/>
      <c r="C1453" s="8"/>
      <c r="D1453" s="8"/>
      <c r="E1453" s="8"/>
      <c r="F1453" t="str" s="15">
        <f aca="0">IF(B1453="","",IF(H1453="","확인필요(입력누락)",IF(SUMPRODUCT((실물목록!$P$2:$P$1001&lt;&gt;"")*ISNUMBER(SEARCH(실물목록!$P$2:$P$1001,I1453))*(실물목록!$Q$2:$Q$1001&lt;&gt;"")*ISNUMBER(SEARCH(실물목록!$Q$2:$Q$1001,I1453))*(실물목록!$R$2:$R$1001="")*(실물목록!$O$2:$O$1001&lt;&gt;"")*(실물목록!$O$2:$O$1001=H1453))&gt;0,"실물 있음",IF(SUMPRODUCT((실물목록!$P$2:$P$1001&lt;&gt;"")*ISNUMBER(SEARCH(실물목록!$P$2:$P$1001,I1453))*(실물목록!$R$2:$R$1001&lt;&gt;""))&gt;0,"확인필요(입력누락)",IF(SUMPRODUCT((실물목록!$P$2:$P$1001&lt;&gt;"")*ISNUMBER(SEARCH(실물목록!$P$2:$P$1001,I1453))*(실물목록!$Q$2:$Q$1001&lt;&gt;"")*ISNUMBER(SEARCH(실물목록!$Q$2:$Q$1001,I1453))*(실물목록!$R$2:$R$1001="")*(실물목록!$O$2:$O$1001&lt;&gt;""))&gt;0,"확인필요(연도다름)","실물 없음")))))</f>
      </c>
      <c r="G1453" t="n" s="16">
        <f aca="0">IF(B1453="","",SUMPRODUCT((실물목록!$P$2:$P$1001&lt;&gt;"")*ISNUMBER(SEARCH(실물목록!$P$2:$P$1001,I1453))*(실물목록!$Q$2:$Q$1001&lt;&gt;"")*ISNUMBER(SEARCH(실물목록!$Q$2:$Q$1001,I1453))*(실물목록!$R$2:$R$1001="")*(실물목록!$O$2:$O$1001&lt;&gt;"")*(실물목록!$O$2:$O$1001=H1453)))</f>
      </c>
      <c r="H1453" t="str">
        <f>IFERROR(IF(AND(LEN(SUBSTITUTE(SUBSTITUTE(SUBSTITUTE(TRIM(A1453&amp;""),CHAR(160),"")," ",""),"년",""))=4,VALUE(SUBSTITUTE(SUBSTITUTE(SUBSTITUTE(TRIM(A1453&amp;""),CHAR(160),"")," ",""),"년",""))&gt;=1900,VALUE(SUBSTITUTE(SUBSTITUTE(SUBSTITUTE(TRIM(A1453&amp;""),CHAR(160),"")," ",""),"년",""))&lt;=2099,TEXT(VALUE(SUBSTITUTE(SUBSTITUTE(SUBSTITUTE(TRIM(A1453&amp;""),CHAR(160),"")," ",""),"년","")),"0000")=SUBSTITUTE(SUBSTITUTE(SUBSTITUTE(TRIM(A1453&amp;""),CHAR(160),"")," ",""),"년","")),SUBSTITUTE(SUBSTITUTE(SUBSTITUTE(TRIM(A1453&amp;""),CHAR(160),"")," ",""),"년",""),""),"")</f>
      </c>
      <c r="I1453" t="str">
        <f>SUBSTITUTE(SUBSTITUTE(SUBSTITUTE(SUBSTITUTE(SUBSTITUTE(TRIM(B1453&amp;""),CHAR(160),"")," ",""),"초등학교","초"),"중학교","중"),"고등학교","고")</f>
      </c>
    </row>
    <row r="1454" customFormat="false" ht="15" hidden="false" customHeight="false" outlineLevel="0" collapsed="false">
      <c r="A1454" s="8"/>
      <c r="B1454" s="8"/>
      <c r="C1454" s="8"/>
      <c r="D1454" s="8"/>
      <c r="E1454" s="8"/>
      <c r="F1454" t="str" s="15">
        <f aca="0">IF(B1454="","",IF(H1454="","확인필요(입력누락)",IF(SUMPRODUCT((실물목록!$P$2:$P$1001&lt;&gt;"")*ISNUMBER(SEARCH(실물목록!$P$2:$P$1001,I1454))*(실물목록!$Q$2:$Q$1001&lt;&gt;"")*ISNUMBER(SEARCH(실물목록!$Q$2:$Q$1001,I1454))*(실물목록!$R$2:$R$1001="")*(실물목록!$O$2:$O$1001&lt;&gt;"")*(실물목록!$O$2:$O$1001=H1454))&gt;0,"실물 있음",IF(SUMPRODUCT((실물목록!$P$2:$P$1001&lt;&gt;"")*ISNUMBER(SEARCH(실물목록!$P$2:$P$1001,I1454))*(실물목록!$R$2:$R$1001&lt;&gt;""))&gt;0,"확인필요(입력누락)",IF(SUMPRODUCT((실물목록!$P$2:$P$1001&lt;&gt;"")*ISNUMBER(SEARCH(실물목록!$P$2:$P$1001,I1454))*(실물목록!$Q$2:$Q$1001&lt;&gt;"")*ISNUMBER(SEARCH(실물목록!$Q$2:$Q$1001,I1454))*(실물목록!$R$2:$R$1001="")*(실물목록!$O$2:$O$1001&lt;&gt;""))&gt;0,"확인필요(연도다름)","실물 없음")))))</f>
      </c>
      <c r="G1454" t="n" s="16">
        <f aca="0">IF(B1454="","",SUMPRODUCT((실물목록!$P$2:$P$1001&lt;&gt;"")*ISNUMBER(SEARCH(실물목록!$P$2:$P$1001,I1454))*(실물목록!$Q$2:$Q$1001&lt;&gt;"")*ISNUMBER(SEARCH(실물목록!$Q$2:$Q$1001,I1454))*(실물목록!$R$2:$R$1001="")*(실물목록!$O$2:$O$1001&lt;&gt;"")*(실물목록!$O$2:$O$1001=H1454)))</f>
      </c>
      <c r="H1454" t="str">
        <f>IFERROR(IF(AND(LEN(SUBSTITUTE(SUBSTITUTE(SUBSTITUTE(TRIM(A1454&amp;""),CHAR(160),"")," ",""),"년",""))=4,VALUE(SUBSTITUTE(SUBSTITUTE(SUBSTITUTE(TRIM(A1454&amp;""),CHAR(160),"")," ",""),"년",""))&gt;=1900,VALUE(SUBSTITUTE(SUBSTITUTE(SUBSTITUTE(TRIM(A1454&amp;""),CHAR(160),"")," ",""),"년",""))&lt;=2099,TEXT(VALUE(SUBSTITUTE(SUBSTITUTE(SUBSTITUTE(TRIM(A1454&amp;""),CHAR(160),"")," ",""),"년","")),"0000")=SUBSTITUTE(SUBSTITUTE(SUBSTITUTE(TRIM(A1454&amp;""),CHAR(160),"")," ",""),"년","")),SUBSTITUTE(SUBSTITUTE(SUBSTITUTE(TRIM(A1454&amp;""),CHAR(160),"")," ",""),"년",""),""),"")</f>
      </c>
      <c r="I1454" t="str">
        <f>SUBSTITUTE(SUBSTITUTE(SUBSTITUTE(SUBSTITUTE(SUBSTITUTE(TRIM(B1454&amp;""),CHAR(160),"")," ",""),"초등학교","초"),"중학교","중"),"고등학교","고")</f>
      </c>
    </row>
    <row r="1455" customFormat="false" ht="15" hidden="false" customHeight="false" outlineLevel="0" collapsed="false">
      <c r="A1455" s="8"/>
      <c r="B1455" s="8"/>
      <c r="C1455" s="8"/>
      <c r="D1455" s="8"/>
      <c r="E1455" s="8"/>
      <c r="F1455" t="str" s="15">
        <f aca="0">IF(B1455="","",IF(H1455="","확인필요(입력누락)",IF(SUMPRODUCT((실물목록!$P$2:$P$1001&lt;&gt;"")*ISNUMBER(SEARCH(실물목록!$P$2:$P$1001,I1455))*(실물목록!$Q$2:$Q$1001&lt;&gt;"")*ISNUMBER(SEARCH(실물목록!$Q$2:$Q$1001,I1455))*(실물목록!$R$2:$R$1001="")*(실물목록!$O$2:$O$1001&lt;&gt;"")*(실물목록!$O$2:$O$1001=H1455))&gt;0,"실물 있음",IF(SUMPRODUCT((실물목록!$P$2:$P$1001&lt;&gt;"")*ISNUMBER(SEARCH(실물목록!$P$2:$P$1001,I1455))*(실물목록!$R$2:$R$1001&lt;&gt;""))&gt;0,"확인필요(입력누락)",IF(SUMPRODUCT((실물목록!$P$2:$P$1001&lt;&gt;"")*ISNUMBER(SEARCH(실물목록!$P$2:$P$1001,I1455))*(실물목록!$Q$2:$Q$1001&lt;&gt;"")*ISNUMBER(SEARCH(실물목록!$Q$2:$Q$1001,I1455))*(실물목록!$R$2:$R$1001="")*(실물목록!$O$2:$O$1001&lt;&gt;""))&gt;0,"확인필요(연도다름)","실물 없음")))))</f>
      </c>
      <c r="G1455" t="n" s="16">
        <f aca="0">IF(B1455="","",SUMPRODUCT((실물목록!$P$2:$P$1001&lt;&gt;"")*ISNUMBER(SEARCH(실물목록!$P$2:$P$1001,I1455))*(실물목록!$Q$2:$Q$1001&lt;&gt;"")*ISNUMBER(SEARCH(실물목록!$Q$2:$Q$1001,I1455))*(실물목록!$R$2:$R$1001="")*(실물목록!$O$2:$O$1001&lt;&gt;"")*(실물목록!$O$2:$O$1001=H1455)))</f>
      </c>
      <c r="H1455" t="str">
        <f>IFERROR(IF(AND(LEN(SUBSTITUTE(SUBSTITUTE(SUBSTITUTE(TRIM(A1455&amp;""),CHAR(160),"")," ",""),"년",""))=4,VALUE(SUBSTITUTE(SUBSTITUTE(SUBSTITUTE(TRIM(A1455&amp;""),CHAR(160),"")," ",""),"년",""))&gt;=1900,VALUE(SUBSTITUTE(SUBSTITUTE(SUBSTITUTE(TRIM(A1455&amp;""),CHAR(160),"")," ",""),"년",""))&lt;=2099,TEXT(VALUE(SUBSTITUTE(SUBSTITUTE(SUBSTITUTE(TRIM(A1455&amp;""),CHAR(160),"")," ",""),"년","")),"0000")=SUBSTITUTE(SUBSTITUTE(SUBSTITUTE(TRIM(A1455&amp;""),CHAR(160),"")," ",""),"년","")),SUBSTITUTE(SUBSTITUTE(SUBSTITUTE(TRIM(A1455&amp;""),CHAR(160),"")," ",""),"년",""),""),"")</f>
      </c>
      <c r="I1455" t="str">
        <f>SUBSTITUTE(SUBSTITUTE(SUBSTITUTE(SUBSTITUTE(SUBSTITUTE(TRIM(B1455&amp;""),CHAR(160),"")," ",""),"초등학교","초"),"중학교","중"),"고등학교","고")</f>
      </c>
    </row>
    <row r="1456" customFormat="false" ht="15" hidden="false" customHeight="false" outlineLevel="0" collapsed="false">
      <c r="A1456" s="8"/>
      <c r="B1456" s="8"/>
      <c r="C1456" s="8"/>
      <c r="D1456" s="8"/>
      <c r="E1456" s="8"/>
      <c r="F1456" t="str" s="15">
        <f aca="0">IF(B1456="","",IF(H1456="","확인필요(입력누락)",IF(SUMPRODUCT((실물목록!$P$2:$P$1001&lt;&gt;"")*ISNUMBER(SEARCH(실물목록!$P$2:$P$1001,I1456))*(실물목록!$Q$2:$Q$1001&lt;&gt;"")*ISNUMBER(SEARCH(실물목록!$Q$2:$Q$1001,I1456))*(실물목록!$R$2:$R$1001="")*(실물목록!$O$2:$O$1001&lt;&gt;"")*(실물목록!$O$2:$O$1001=H1456))&gt;0,"실물 있음",IF(SUMPRODUCT((실물목록!$P$2:$P$1001&lt;&gt;"")*ISNUMBER(SEARCH(실물목록!$P$2:$P$1001,I1456))*(실물목록!$R$2:$R$1001&lt;&gt;""))&gt;0,"확인필요(입력누락)",IF(SUMPRODUCT((실물목록!$P$2:$P$1001&lt;&gt;"")*ISNUMBER(SEARCH(실물목록!$P$2:$P$1001,I1456))*(실물목록!$Q$2:$Q$1001&lt;&gt;"")*ISNUMBER(SEARCH(실물목록!$Q$2:$Q$1001,I1456))*(실물목록!$R$2:$R$1001="")*(실물목록!$O$2:$O$1001&lt;&gt;""))&gt;0,"확인필요(연도다름)","실물 없음")))))</f>
      </c>
      <c r="G1456" t="n" s="16">
        <f aca="0">IF(B1456="","",SUMPRODUCT((실물목록!$P$2:$P$1001&lt;&gt;"")*ISNUMBER(SEARCH(실물목록!$P$2:$P$1001,I1456))*(실물목록!$Q$2:$Q$1001&lt;&gt;"")*ISNUMBER(SEARCH(실물목록!$Q$2:$Q$1001,I1456))*(실물목록!$R$2:$R$1001="")*(실물목록!$O$2:$O$1001&lt;&gt;"")*(실물목록!$O$2:$O$1001=H1456)))</f>
      </c>
      <c r="H1456" t="str">
        <f>IFERROR(IF(AND(LEN(SUBSTITUTE(SUBSTITUTE(SUBSTITUTE(TRIM(A1456&amp;""),CHAR(160),"")," ",""),"년",""))=4,VALUE(SUBSTITUTE(SUBSTITUTE(SUBSTITUTE(TRIM(A1456&amp;""),CHAR(160),"")," ",""),"년",""))&gt;=1900,VALUE(SUBSTITUTE(SUBSTITUTE(SUBSTITUTE(TRIM(A1456&amp;""),CHAR(160),"")," ",""),"년",""))&lt;=2099,TEXT(VALUE(SUBSTITUTE(SUBSTITUTE(SUBSTITUTE(TRIM(A1456&amp;""),CHAR(160),"")," ",""),"년","")),"0000")=SUBSTITUTE(SUBSTITUTE(SUBSTITUTE(TRIM(A1456&amp;""),CHAR(160),"")," ",""),"년","")),SUBSTITUTE(SUBSTITUTE(SUBSTITUTE(TRIM(A1456&amp;""),CHAR(160),"")," ",""),"년",""),""),"")</f>
      </c>
      <c r="I1456" t="str">
        <f>SUBSTITUTE(SUBSTITUTE(SUBSTITUTE(SUBSTITUTE(SUBSTITUTE(TRIM(B1456&amp;""),CHAR(160),"")," ",""),"초등학교","초"),"중학교","중"),"고등학교","고")</f>
      </c>
    </row>
    <row r="1457" customFormat="false" ht="15" hidden="false" customHeight="false" outlineLevel="0" collapsed="false">
      <c r="A1457" s="8"/>
      <c r="B1457" s="8"/>
      <c r="C1457" s="8"/>
      <c r="D1457" s="8"/>
      <c r="E1457" s="8"/>
      <c r="F1457" t="str" s="15">
        <f aca="0">IF(B1457="","",IF(H1457="","확인필요(입력누락)",IF(SUMPRODUCT((실물목록!$P$2:$P$1001&lt;&gt;"")*ISNUMBER(SEARCH(실물목록!$P$2:$P$1001,I1457))*(실물목록!$Q$2:$Q$1001&lt;&gt;"")*ISNUMBER(SEARCH(실물목록!$Q$2:$Q$1001,I1457))*(실물목록!$R$2:$R$1001="")*(실물목록!$O$2:$O$1001&lt;&gt;"")*(실물목록!$O$2:$O$1001=H1457))&gt;0,"실물 있음",IF(SUMPRODUCT((실물목록!$P$2:$P$1001&lt;&gt;"")*ISNUMBER(SEARCH(실물목록!$P$2:$P$1001,I1457))*(실물목록!$R$2:$R$1001&lt;&gt;""))&gt;0,"확인필요(입력누락)",IF(SUMPRODUCT((실물목록!$P$2:$P$1001&lt;&gt;"")*ISNUMBER(SEARCH(실물목록!$P$2:$P$1001,I1457))*(실물목록!$Q$2:$Q$1001&lt;&gt;"")*ISNUMBER(SEARCH(실물목록!$Q$2:$Q$1001,I1457))*(실물목록!$R$2:$R$1001="")*(실물목록!$O$2:$O$1001&lt;&gt;""))&gt;0,"확인필요(연도다름)","실물 없음")))))</f>
      </c>
      <c r="G1457" t="n" s="16">
        <f aca="0">IF(B1457="","",SUMPRODUCT((실물목록!$P$2:$P$1001&lt;&gt;"")*ISNUMBER(SEARCH(실물목록!$P$2:$P$1001,I1457))*(실물목록!$Q$2:$Q$1001&lt;&gt;"")*ISNUMBER(SEARCH(실물목록!$Q$2:$Q$1001,I1457))*(실물목록!$R$2:$R$1001="")*(실물목록!$O$2:$O$1001&lt;&gt;"")*(실물목록!$O$2:$O$1001=H1457)))</f>
      </c>
      <c r="H1457" t="str">
        <f>IFERROR(IF(AND(LEN(SUBSTITUTE(SUBSTITUTE(SUBSTITUTE(TRIM(A1457&amp;""),CHAR(160),"")," ",""),"년",""))=4,VALUE(SUBSTITUTE(SUBSTITUTE(SUBSTITUTE(TRIM(A1457&amp;""),CHAR(160),"")," ",""),"년",""))&gt;=1900,VALUE(SUBSTITUTE(SUBSTITUTE(SUBSTITUTE(TRIM(A1457&amp;""),CHAR(160),"")," ",""),"년",""))&lt;=2099,TEXT(VALUE(SUBSTITUTE(SUBSTITUTE(SUBSTITUTE(TRIM(A1457&amp;""),CHAR(160),"")," ",""),"년","")),"0000")=SUBSTITUTE(SUBSTITUTE(SUBSTITUTE(TRIM(A1457&amp;""),CHAR(160),"")," ",""),"년","")),SUBSTITUTE(SUBSTITUTE(SUBSTITUTE(TRIM(A1457&amp;""),CHAR(160),"")," ",""),"년",""),""),"")</f>
      </c>
      <c r="I1457" t="str">
        <f>SUBSTITUTE(SUBSTITUTE(SUBSTITUTE(SUBSTITUTE(SUBSTITUTE(TRIM(B1457&amp;""),CHAR(160),"")," ",""),"초등학교","초"),"중학교","중"),"고등학교","고")</f>
      </c>
    </row>
    <row r="1458" customFormat="false" ht="15" hidden="false" customHeight="false" outlineLevel="0" collapsed="false">
      <c r="A1458" s="8"/>
      <c r="B1458" s="8"/>
      <c r="C1458" s="8"/>
      <c r="D1458" s="8"/>
      <c r="E1458" s="8"/>
      <c r="F1458" t="str" s="15">
        <f aca="0">IF(B1458="","",IF(H1458="","확인필요(입력누락)",IF(SUMPRODUCT((실물목록!$P$2:$P$1001&lt;&gt;"")*ISNUMBER(SEARCH(실물목록!$P$2:$P$1001,I1458))*(실물목록!$Q$2:$Q$1001&lt;&gt;"")*ISNUMBER(SEARCH(실물목록!$Q$2:$Q$1001,I1458))*(실물목록!$R$2:$R$1001="")*(실물목록!$O$2:$O$1001&lt;&gt;"")*(실물목록!$O$2:$O$1001=H1458))&gt;0,"실물 있음",IF(SUMPRODUCT((실물목록!$P$2:$P$1001&lt;&gt;"")*ISNUMBER(SEARCH(실물목록!$P$2:$P$1001,I1458))*(실물목록!$R$2:$R$1001&lt;&gt;""))&gt;0,"확인필요(입력누락)",IF(SUMPRODUCT((실물목록!$P$2:$P$1001&lt;&gt;"")*ISNUMBER(SEARCH(실물목록!$P$2:$P$1001,I1458))*(실물목록!$Q$2:$Q$1001&lt;&gt;"")*ISNUMBER(SEARCH(실물목록!$Q$2:$Q$1001,I1458))*(실물목록!$R$2:$R$1001="")*(실물목록!$O$2:$O$1001&lt;&gt;""))&gt;0,"확인필요(연도다름)","실물 없음")))))</f>
      </c>
      <c r="G1458" t="n" s="16">
        <f aca="0">IF(B1458="","",SUMPRODUCT((실물목록!$P$2:$P$1001&lt;&gt;"")*ISNUMBER(SEARCH(실물목록!$P$2:$P$1001,I1458))*(실물목록!$Q$2:$Q$1001&lt;&gt;"")*ISNUMBER(SEARCH(실물목록!$Q$2:$Q$1001,I1458))*(실물목록!$R$2:$R$1001="")*(실물목록!$O$2:$O$1001&lt;&gt;"")*(실물목록!$O$2:$O$1001=H1458)))</f>
      </c>
      <c r="H1458" t="str">
        <f>IFERROR(IF(AND(LEN(SUBSTITUTE(SUBSTITUTE(SUBSTITUTE(TRIM(A1458&amp;""),CHAR(160),"")," ",""),"년",""))=4,VALUE(SUBSTITUTE(SUBSTITUTE(SUBSTITUTE(TRIM(A1458&amp;""),CHAR(160),"")," ",""),"년",""))&gt;=1900,VALUE(SUBSTITUTE(SUBSTITUTE(SUBSTITUTE(TRIM(A1458&amp;""),CHAR(160),"")," ",""),"년",""))&lt;=2099,TEXT(VALUE(SUBSTITUTE(SUBSTITUTE(SUBSTITUTE(TRIM(A1458&amp;""),CHAR(160),"")," ",""),"년","")),"0000")=SUBSTITUTE(SUBSTITUTE(SUBSTITUTE(TRIM(A1458&amp;""),CHAR(160),"")," ",""),"년","")),SUBSTITUTE(SUBSTITUTE(SUBSTITUTE(TRIM(A1458&amp;""),CHAR(160),"")," ",""),"년",""),""),"")</f>
      </c>
      <c r="I1458" t="str">
        <f>SUBSTITUTE(SUBSTITUTE(SUBSTITUTE(SUBSTITUTE(SUBSTITUTE(TRIM(B1458&amp;""),CHAR(160),"")," ",""),"초등학교","초"),"중학교","중"),"고등학교","고")</f>
      </c>
    </row>
    <row r="1459" customFormat="false" ht="15" hidden="false" customHeight="false" outlineLevel="0" collapsed="false">
      <c r="A1459" s="8"/>
      <c r="B1459" s="8"/>
      <c r="C1459" s="8"/>
      <c r="D1459" s="8"/>
      <c r="E1459" s="8"/>
      <c r="F1459" t="str" s="15">
        <f aca="0">IF(B1459="","",IF(H1459="","확인필요(입력누락)",IF(SUMPRODUCT((실물목록!$P$2:$P$1001&lt;&gt;"")*ISNUMBER(SEARCH(실물목록!$P$2:$P$1001,I1459))*(실물목록!$Q$2:$Q$1001&lt;&gt;"")*ISNUMBER(SEARCH(실물목록!$Q$2:$Q$1001,I1459))*(실물목록!$R$2:$R$1001="")*(실물목록!$O$2:$O$1001&lt;&gt;"")*(실물목록!$O$2:$O$1001=H1459))&gt;0,"실물 있음",IF(SUMPRODUCT((실물목록!$P$2:$P$1001&lt;&gt;"")*ISNUMBER(SEARCH(실물목록!$P$2:$P$1001,I1459))*(실물목록!$R$2:$R$1001&lt;&gt;""))&gt;0,"확인필요(입력누락)",IF(SUMPRODUCT((실물목록!$P$2:$P$1001&lt;&gt;"")*ISNUMBER(SEARCH(실물목록!$P$2:$P$1001,I1459))*(실물목록!$Q$2:$Q$1001&lt;&gt;"")*ISNUMBER(SEARCH(실물목록!$Q$2:$Q$1001,I1459))*(실물목록!$R$2:$R$1001="")*(실물목록!$O$2:$O$1001&lt;&gt;""))&gt;0,"확인필요(연도다름)","실물 없음")))))</f>
      </c>
      <c r="G1459" t="n" s="16">
        <f aca="0">IF(B1459="","",SUMPRODUCT((실물목록!$P$2:$P$1001&lt;&gt;"")*ISNUMBER(SEARCH(실물목록!$P$2:$P$1001,I1459))*(실물목록!$Q$2:$Q$1001&lt;&gt;"")*ISNUMBER(SEARCH(실물목록!$Q$2:$Q$1001,I1459))*(실물목록!$R$2:$R$1001="")*(실물목록!$O$2:$O$1001&lt;&gt;"")*(실물목록!$O$2:$O$1001=H1459)))</f>
      </c>
      <c r="H1459" t="str">
        <f>IFERROR(IF(AND(LEN(SUBSTITUTE(SUBSTITUTE(SUBSTITUTE(TRIM(A1459&amp;""),CHAR(160),"")," ",""),"년",""))=4,VALUE(SUBSTITUTE(SUBSTITUTE(SUBSTITUTE(TRIM(A1459&amp;""),CHAR(160),"")," ",""),"년",""))&gt;=1900,VALUE(SUBSTITUTE(SUBSTITUTE(SUBSTITUTE(TRIM(A1459&amp;""),CHAR(160),"")," ",""),"년",""))&lt;=2099,TEXT(VALUE(SUBSTITUTE(SUBSTITUTE(SUBSTITUTE(TRIM(A1459&amp;""),CHAR(160),"")," ",""),"년","")),"0000")=SUBSTITUTE(SUBSTITUTE(SUBSTITUTE(TRIM(A1459&amp;""),CHAR(160),"")," ",""),"년","")),SUBSTITUTE(SUBSTITUTE(SUBSTITUTE(TRIM(A1459&amp;""),CHAR(160),"")," ",""),"년",""),""),"")</f>
      </c>
      <c r="I1459" t="str">
        <f>SUBSTITUTE(SUBSTITUTE(SUBSTITUTE(SUBSTITUTE(SUBSTITUTE(TRIM(B1459&amp;""),CHAR(160),"")," ",""),"초등학교","초"),"중학교","중"),"고등학교","고")</f>
      </c>
    </row>
    <row r="1460" customFormat="false" ht="15" hidden="false" customHeight="false" outlineLevel="0" collapsed="false">
      <c r="A1460" s="8"/>
      <c r="B1460" s="8"/>
      <c r="C1460" s="8"/>
      <c r="D1460" s="8"/>
      <c r="E1460" s="8"/>
      <c r="F1460" t="str" s="15">
        <f aca="0">IF(B1460="","",IF(H1460="","확인필요(입력누락)",IF(SUMPRODUCT((실물목록!$P$2:$P$1001&lt;&gt;"")*ISNUMBER(SEARCH(실물목록!$P$2:$P$1001,I1460))*(실물목록!$Q$2:$Q$1001&lt;&gt;"")*ISNUMBER(SEARCH(실물목록!$Q$2:$Q$1001,I1460))*(실물목록!$R$2:$R$1001="")*(실물목록!$O$2:$O$1001&lt;&gt;"")*(실물목록!$O$2:$O$1001=H1460))&gt;0,"실물 있음",IF(SUMPRODUCT((실물목록!$P$2:$P$1001&lt;&gt;"")*ISNUMBER(SEARCH(실물목록!$P$2:$P$1001,I1460))*(실물목록!$R$2:$R$1001&lt;&gt;""))&gt;0,"확인필요(입력누락)",IF(SUMPRODUCT((실물목록!$P$2:$P$1001&lt;&gt;"")*ISNUMBER(SEARCH(실물목록!$P$2:$P$1001,I1460))*(실물목록!$Q$2:$Q$1001&lt;&gt;"")*ISNUMBER(SEARCH(실물목록!$Q$2:$Q$1001,I1460))*(실물목록!$R$2:$R$1001="")*(실물목록!$O$2:$O$1001&lt;&gt;""))&gt;0,"확인필요(연도다름)","실물 없음")))))</f>
      </c>
      <c r="G1460" t="n" s="16">
        <f aca="0">IF(B1460="","",SUMPRODUCT((실물목록!$P$2:$P$1001&lt;&gt;"")*ISNUMBER(SEARCH(실물목록!$P$2:$P$1001,I1460))*(실물목록!$Q$2:$Q$1001&lt;&gt;"")*ISNUMBER(SEARCH(실물목록!$Q$2:$Q$1001,I1460))*(실물목록!$R$2:$R$1001="")*(실물목록!$O$2:$O$1001&lt;&gt;"")*(실물목록!$O$2:$O$1001=H1460)))</f>
      </c>
      <c r="H1460" t="str">
        <f>IFERROR(IF(AND(LEN(SUBSTITUTE(SUBSTITUTE(SUBSTITUTE(TRIM(A1460&amp;""),CHAR(160),"")," ",""),"년",""))=4,VALUE(SUBSTITUTE(SUBSTITUTE(SUBSTITUTE(TRIM(A1460&amp;""),CHAR(160),"")," ",""),"년",""))&gt;=1900,VALUE(SUBSTITUTE(SUBSTITUTE(SUBSTITUTE(TRIM(A1460&amp;""),CHAR(160),"")," ",""),"년",""))&lt;=2099,TEXT(VALUE(SUBSTITUTE(SUBSTITUTE(SUBSTITUTE(TRIM(A1460&amp;""),CHAR(160),"")," ",""),"년","")),"0000")=SUBSTITUTE(SUBSTITUTE(SUBSTITUTE(TRIM(A1460&amp;""),CHAR(160),"")," ",""),"년","")),SUBSTITUTE(SUBSTITUTE(SUBSTITUTE(TRIM(A1460&amp;""),CHAR(160),"")," ",""),"년",""),""),"")</f>
      </c>
      <c r="I1460" t="str">
        <f>SUBSTITUTE(SUBSTITUTE(SUBSTITUTE(SUBSTITUTE(SUBSTITUTE(TRIM(B1460&amp;""),CHAR(160),"")," ",""),"초등학교","초"),"중학교","중"),"고등학교","고")</f>
      </c>
    </row>
    <row r="1461" customFormat="false" ht="15" hidden="false" customHeight="false" outlineLevel="0" collapsed="false">
      <c r="A1461" s="8"/>
      <c r="B1461" s="8"/>
      <c r="C1461" s="8"/>
      <c r="D1461" s="8"/>
      <c r="E1461" s="8"/>
      <c r="F1461" t="str" s="15">
        <f aca="0">IF(B1461="","",IF(H1461="","확인필요(입력누락)",IF(SUMPRODUCT((실물목록!$P$2:$P$1001&lt;&gt;"")*ISNUMBER(SEARCH(실물목록!$P$2:$P$1001,I1461))*(실물목록!$Q$2:$Q$1001&lt;&gt;"")*ISNUMBER(SEARCH(실물목록!$Q$2:$Q$1001,I1461))*(실물목록!$R$2:$R$1001="")*(실물목록!$O$2:$O$1001&lt;&gt;"")*(실물목록!$O$2:$O$1001=H1461))&gt;0,"실물 있음",IF(SUMPRODUCT((실물목록!$P$2:$P$1001&lt;&gt;"")*ISNUMBER(SEARCH(실물목록!$P$2:$P$1001,I1461))*(실물목록!$R$2:$R$1001&lt;&gt;""))&gt;0,"확인필요(입력누락)",IF(SUMPRODUCT((실물목록!$P$2:$P$1001&lt;&gt;"")*ISNUMBER(SEARCH(실물목록!$P$2:$P$1001,I1461))*(실물목록!$Q$2:$Q$1001&lt;&gt;"")*ISNUMBER(SEARCH(실물목록!$Q$2:$Q$1001,I1461))*(실물목록!$R$2:$R$1001="")*(실물목록!$O$2:$O$1001&lt;&gt;""))&gt;0,"확인필요(연도다름)","실물 없음")))))</f>
      </c>
      <c r="G1461" t="n" s="16">
        <f aca="0">IF(B1461="","",SUMPRODUCT((실물목록!$P$2:$P$1001&lt;&gt;"")*ISNUMBER(SEARCH(실물목록!$P$2:$P$1001,I1461))*(실물목록!$Q$2:$Q$1001&lt;&gt;"")*ISNUMBER(SEARCH(실물목록!$Q$2:$Q$1001,I1461))*(실물목록!$R$2:$R$1001="")*(실물목록!$O$2:$O$1001&lt;&gt;"")*(실물목록!$O$2:$O$1001=H1461)))</f>
      </c>
      <c r="H1461" t="str">
        <f>IFERROR(IF(AND(LEN(SUBSTITUTE(SUBSTITUTE(SUBSTITUTE(TRIM(A1461&amp;""),CHAR(160),"")," ",""),"년",""))=4,VALUE(SUBSTITUTE(SUBSTITUTE(SUBSTITUTE(TRIM(A1461&amp;""),CHAR(160),"")," ",""),"년",""))&gt;=1900,VALUE(SUBSTITUTE(SUBSTITUTE(SUBSTITUTE(TRIM(A1461&amp;""),CHAR(160),"")," ",""),"년",""))&lt;=2099,TEXT(VALUE(SUBSTITUTE(SUBSTITUTE(SUBSTITUTE(TRIM(A1461&amp;""),CHAR(160),"")," ",""),"년","")),"0000")=SUBSTITUTE(SUBSTITUTE(SUBSTITUTE(TRIM(A1461&amp;""),CHAR(160),"")," ",""),"년","")),SUBSTITUTE(SUBSTITUTE(SUBSTITUTE(TRIM(A1461&amp;""),CHAR(160),"")," ",""),"년",""),""),"")</f>
      </c>
      <c r="I1461" t="str">
        <f>SUBSTITUTE(SUBSTITUTE(SUBSTITUTE(SUBSTITUTE(SUBSTITUTE(TRIM(B1461&amp;""),CHAR(160),"")," ",""),"초등학교","초"),"중학교","중"),"고등학교","고")</f>
      </c>
    </row>
    <row r="1462" customFormat="false" ht="15" hidden="false" customHeight="false" outlineLevel="0" collapsed="false">
      <c r="A1462" s="8"/>
      <c r="B1462" s="8"/>
      <c r="C1462" s="8"/>
      <c r="D1462" s="8"/>
      <c r="E1462" s="8"/>
      <c r="F1462" t="str" s="15">
        <f aca="0">IF(B1462="","",IF(H1462="","확인필요(입력누락)",IF(SUMPRODUCT((실물목록!$P$2:$P$1001&lt;&gt;"")*ISNUMBER(SEARCH(실물목록!$P$2:$P$1001,I1462))*(실물목록!$Q$2:$Q$1001&lt;&gt;"")*ISNUMBER(SEARCH(실물목록!$Q$2:$Q$1001,I1462))*(실물목록!$R$2:$R$1001="")*(실물목록!$O$2:$O$1001&lt;&gt;"")*(실물목록!$O$2:$O$1001=H1462))&gt;0,"실물 있음",IF(SUMPRODUCT((실물목록!$P$2:$P$1001&lt;&gt;"")*ISNUMBER(SEARCH(실물목록!$P$2:$P$1001,I1462))*(실물목록!$R$2:$R$1001&lt;&gt;""))&gt;0,"확인필요(입력누락)",IF(SUMPRODUCT((실물목록!$P$2:$P$1001&lt;&gt;"")*ISNUMBER(SEARCH(실물목록!$P$2:$P$1001,I1462))*(실물목록!$Q$2:$Q$1001&lt;&gt;"")*ISNUMBER(SEARCH(실물목록!$Q$2:$Q$1001,I1462))*(실물목록!$R$2:$R$1001="")*(실물목록!$O$2:$O$1001&lt;&gt;""))&gt;0,"확인필요(연도다름)","실물 없음")))))</f>
      </c>
      <c r="G1462" t="n" s="16">
        <f aca="0">IF(B1462="","",SUMPRODUCT((실물목록!$P$2:$P$1001&lt;&gt;"")*ISNUMBER(SEARCH(실물목록!$P$2:$P$1001,I1462))*(실물목록!$Q$2:$Q$1001&lt;&gt;"")*ISNUMBER(SEARCH(실물목록!$Q$2:$Q$1001,I1462))*(실물목록!$R$2:$R$1001="")*(실물목록!$O$2:$O$1001&lt;&gt;"")*(실물목록!$O$2:$O$1001=H1462)))</f>
      </c>
      <c r="H1462" t="str">
        <f>IFERROR(IF(AND(LEN(SUBSTITUTE(SUBSTITUTE(SUBSTITUTE(TRIM(A1462&amp;""),CHAR(160),"")," ",""),"년",""))=4,VALUE(SUBSTITUTE(SUBSTITUTE(SUBSTITUTE(TRIM(A1462&amp;""),CHAR(160),"")," ",""),"년",""))&gt;=1900,VALUE(SUBSTITUTE(SUBSTITUTE(SUBSTITUTE(TRIM(A1462&amp;""),CHAR(160),"")," ",""),"년",""))&lt;=2099,TEXT(VALUE(SUBSTITUTE(SUBSTITUTE(SUBSTITUTE(TRIM(A1462&amp;""),CHAR(160),"")," ",""),"년","")),"0000")=SUBSTITUTE(SUBSTITUTE(SUBSTITUTE(TRIM(A1462&amp;""),CHAR(160),"")," ",""),"년","")),SUBSTITUTE(SUBSTITUTE(SUBSTITUTE(TRIM(A1462&amp;""),CHAR(160),"")," ",""),"년",""),""),"")</f>
      </c>
      <c r="I1462" t="str">
        <f>SUBSTITUTE(SUBSTITUTE(SUBSTITUTE(SUBSTITUTE(SUBSTITUTE(TRIM(B1462&amp;""),CHAR(160),"")," ",""),"초등학교","초"),"중학교","중"),"고등학교","고")</f>
      </c>
    </row>
    <row r="1463" customFormat="false" ht="15" hidden="false" customHeight="false" outlineLevel="0" collapsed="false">
      <c r="A1463" s="8"/>
      <c r="B1463" s="8"/>
      <c r="C1463" s="8"/>
      <c r="D1463" s="8"/>
      <c r="E1463" s="8"/>
      <c r="F1463" t="str" s="15">
        <f aca="0">IF(B1463="","",IF(H1463="","확인필요(입력누락)",IF(SUMPRODUCT((실물목록!$P$2:$P$1001&lt;&gt;"")*ISNUMBER(SEARCH(실물목록!$P$2:$P$1001,I1463))*(실물목록!$Q$2:$Q$1001&lt;&gt;"")*ISNUMBER(SEARCH(실물목록!$Q$2:$Q$1001,I1463))*(실물목록!$R$2:$R$1001="")*(실물목록!$O$2:$O$1001&lt;&gt;"")*(실물목록!$O$2:$O$1001=H1463))&gt;0,"실물 있음",IF(SUMPRODUCT((실물목록!$P$2:$P$1001&lt;&gt;"")*ISNUMBER(SEARCH(실물목록!$P$2:$P$1001,I1463))*(실물목록!$R$2:$R$1001&lt;&gt;""))&gt;0,"확인필요(입력누락)",IF(SUMPRODUCT((실물목록!$P$2:$P$1001&lt;&gt;"")*ISNUMBER(SEARCH(실물목록!$P$2:$P$1001,I1463))*(실물목록!$Q$2:$Q$1001&lt;&gt;"")*ISNUMBER(SEARCH(실물목록!$Q$2:$Q$1001,I1463))*(실물목록!$R$2:$R$1001="")*(실물목록!$O$2:$O$1001&lt;&gt;""))&gt;0,"확인필요(연도다름)","실물 없음")))))</f>
      </c>
      <c r="G1463" t="n" s="16">
        <f aca="0">IF(B1463="","",SUMPRODUCT((실물목록!$P$2:$P$1001&lt;&gt;"")*ISNUMBER(SEARCH(실물목록!$P$2:$P$1001,I1463))*(실물목록!$Q$2:$Q$1001&lt;&gt;"")*ISNUMBER(SEARCH(실물목록!$Q$2:$Q$1001,I1463))*(실물목록!$R$2:$R$1001="")*(실물목록!$O$2:$O$1001&lt;&gt;"")*(실물목록!$O$2:$O$1001=H1463)))</f>
      </c>
      <c r="H1463" t="str">
        <f>IFERROR(IF(AND(LEN(SUBSTITUTE(SUBSTITUTE(SUBSTITUTE(TRIM(A1463&amp;""),CHAR(160),"")," ",""),"년",""))=4,VALUE(SUBSTITUTE(SUBSTITUTE(SUBSTITUTE(TRIM(A1463&amp;""),CHAR(160),"")," ",""),"년",""))&gt;=1900,VALUE(SUBSTITUTE(SUBSTITUTE(SUBSTITUTE(TRIM(A1463&amp;""),CHAR(160),"")," ",""),"년",""))&lt;=2099,TEXT(VALUE(SUBSTITUTE(SUBSTITUTE(SUBSTITUTE(TRIM(A1463&amp;""),CHAR(160),"")," ",""),"년","")),"0000")=SUBSTITUTE(SUBSTITUTE(SUBSTITUTE(TRIM(A1463&amp;""),CHAR(160),"")," ",""),"년","")),SUBSTITUTE(SUBSTITUTE(SUBSTITUTE(TRIM(A1463&amp;""),CHAR(160),"")," ",""),"년",""),""),"")</f>
      </c>
      <c r="I1463" t="str">
        <f>SUBSTITUTE(SUBSTITUTE(SUBSTITUTE(SUBSTITUTE(SUBSTITUTE(TRIM(B1463&amp;""),CHAR(160),"")," ",""),"초등학교","초"),"중학교","중"),"고등학교","고")</f>
      </c>
    </row>
    <row r="1464" customFormat="false" ht="15" hidden="false" customHeight="false" outlineLevel="0" collapsed="false">
      <c r="A1464" s="8"/>
      <c r="B1464" s="8"/>
      <c r="C1464" s="8"/>
      <c r="D1464" s="8"/>
      <c r="E1464" s="8"/>
      <c r="F1464" t="str" s="15">
        <f aca="0">IF(B1464="","",IF(H1464="","확인필요(입력누락)",IF(SUMPRODUCT((실물목록!$P$2:$P$1001&lt;&gt;"")*ISNUMBER(SEARCH(실물목록!$P$2:$P$1001,I1464))*(실물목록!$Q$2:$Q$1001&lt;&gt;"")*ISNUMBER(SEARCH(실물목록!$Q$2:$Q$1001,I1464))*(실물목록!$R$2:$R$1001="")*(실물목록!$O$2:$O$1001&lt;&gt;"")*(실물목록!$O$2:$O$1001=H1464))&gt;0,"실물 있음",IF(SUMPRODUCT((실물목록!$P$2:$P$1001&lt;&gt;"")*ISNUMBER(SEARCH(실물목록!$P$2:$P$1001,I1464))*(실물목록!$R$2:$R$1001&lt;&gt;""))&gt;0,"확인필요(입력누락)",IF(SUMPRODUCT((실물목록!$P$2:$P$1001&lt;&gt;"")*ISNUMBER(SEARCH(실물목록!$P$2:$P$1001,I1464))*(실물목록!$Q$2:$Q$1001&lt;&gt;"")*ISNUMBER(SEARCH(실물목록!$Q$2:$Q$1001,I1464))*(실물목록!$R$2:$R$1001="")*(실물목록!$O$2:$O$1001&lt;&gt;""))&gt;0,"확인필요(연도다름)","실물 없음")))))</f>
      </c>
      <c r="G1464" t="n" s="16">
        <f aca="0">IF(B1464="","",SUMPRODUCT((실물목록!$P$2:$P$1001&lt;&gt;"")*ISNUMBER(SEARCH(실물목록!$P$2:$P$1001,I1464))*(실물목록!$Q$2:$Q$1001&lt;&gt;"")*ISNUMBER(SEARCH(실물목록!$Q$2:$Q$1001,I1464))*(실물목록!$R$2:$R$1001="")*(실물목록!$O$2:$O$1001&lt;&gt;"")*(실물목록!$O$2:$O$1001=H1464)))</f>
      </c>
      <c r="H1464" t="str">
        <f>IFERROR(IF(AND(LEN(SUBSTITUTE(SUBSTITUTE(SUBSTITUTE(TRIM(A1464&amp;""),CHAR(160),"")," ",""),"년",""))=4,VALUE(SUBSTITUTE(SUBSTITUTE(SUBSTITUTE(TRIM(A1464&amp;""),CHAR(160),"")," ",""),"년",""))&gt;=1900,VALUE(SUBSTITUTE(SUBSTITUTE(SUBSTITUTE(TRIM(A1464&amp;""),CHAR(160),"")," ",""),"년",""))&lt;=2099,TEXT(VALUE(SUBSTITUTE(SUBSTITUTE(SUBSTITUTE(TRIM(A1464&amp;""),CHAR(160),"")," ",""),"년","")),"0000")=SUBSTITUTE(SUBSTITUTE(SUBSTITUTE(TRIM(A1464&amp;""),CHAR(160),"")," ",""),"년","")),SUBSTITUTE(SUBSTITUTE(SUBSTITUTE(TRIM(A1464&amp;""),CHAR(160),"")," ",""),"년",""),""),"")</f>
      </c>
      <c r="I1464" t="str">
        <f>SUBSTITUTE(SUBSTITUTE(SUBSTITUTE(SUBSTITUTE(SUBSTITUTE(TRIM(B1464&amp;""),CHAR(160),"")," ",""),"초등학교","초"),"중학교","중"),"고등학교","고")</f>
      </c>
    </row>
    <row r="1465" customFormat="false" ht="15" hidden="false" customHeight="false" outlineLevel="0" collapsed="false">
      <c r="A1465" s="8"/>
      <c r="B1465" s="8"/>
      <c r="C1465" s="8"/>
      <c r="D1465" s="8"/>
      <c r="E1465" s="8"/>
      <c r="F1465" t="str" s="15">
        <f aca="0">IF(B1465="","",IF(H1465="","확인필요(입력누락)",IF(SUMPRODUCT((실물목록!$P$2:$P$1001&lt;&gt;"")*ISNUMBER(SEARCH(실물목록!$P$2:$P$1001,I1465))*(실물목록!$Q$2:$Q$1001&lt;&gt;"")*ISNUMBER(SEARCH(실물목록!$Q$2:$Q$1001,I1465))*(실물목록!$R$2:$R$1001="")*(실물목록!$O$2:$O$1001&lt;&gt;"")*(실물목록!$O$2:$O$1001=H1465))&gt;0,"실물 있음",IF(SUMPRODUCT((실물목록!$P$2:$P$1001&lt;&gt;"")*ISNUMBER(SEARCH(실물목록!$P$2:$P$1001,I1465))*(실물목록!$R$2:$R$1001&lt;&gt;""))&gt;0,"확인필요(입력누락)",IF(SUMPRODUCT((실물목록!$P$2:$P$1001&lt;&gt;"")*ISNUMBER(SEARCH(실물목록!$P$2:$P$1001,I1465))*(실물목록!$Q$2:$Q$1001&lt;&gt;"")*ISNUMBER(SEARCH(실물목록!$Q$2:$Q$1001,I1465))*(실물목록!$R$2:$R$1001="")*(실물목록!$O$2:$O$1001&lt;&gt;""))&gt;0,"확인필요(연도다름)","실물 없음")))))</f>
      </c>
      <c r="G1465" t="n" s="16">
        <f aca="0">IF(B1465="","",SUMPRODUCT((실물목록!$P$2:$P$1001&lt;&gt;"")*ISNUMBER(SEARCH(실물목록!$P$2:$P$1001,I1465))*(실물목록!$Q$2:$Q$1001&lt;&gt;"")*ISNUMBER(SEARCH(실물목록!$Q$2:$Q$1001,I1465))*(실물목록!$R$2:$R$1001="")*(실물목록!$O$2:$O$1001&lt;&gt;"")*(실물목록!$O$2:$O$1001=H1465)))</f>
      </c>
      <c r="H1465" t="str">
        <f>IFERROR(IF(AND(LEN(SUBSTITUTE(SUBSTITUTE(SUBSTITUTE(TRIM(A1465&amp;""),CHAR(160),"")," ",""),"년",""))=4,VALUE(SUBSTITUTE(SUBSTITUTE(SUBSTITUTE(TRIM(A1465&amp;""),CHAR(160),"")," ",""),"년",""))&gt;=1900,VALUE(SUBSTITUTE(SUBSTITUTE(SUBSTITUTE(TRIM(A1465&amp;""),CHAR(160),"")," ",""),"년",""))&lt;=2099,TEXT(VALUE(SUBSTITUTE(SUBSTITUTE(SUBSTITUTE(TRIM(A1465&amp;""),CHAR(160),"")," ",""),"년","")),"0000")=SUBSTITUTE(SUBSTITUTE(SUBSTITUTE(TRIM(A1465&amp;""),CHAR(160),"")," ",""),"년","")),SUBSTITUTE(SUBSTITUTE(SUBSTITUTE(TRIM(A1465&amp;""),CHAR(160),"")," ",""),"년",""),""),"")</f>
      </c>
      <c r="I1465" t="str">
        <f>SUBSTITUTE(SUBSTITUTE(SUBSTITUTE(SUBSTITUTE(SUBSTITUTE(TRIM(B1465&amp;""),CHAR(160),"")," ",""),"초등학교","초"),"중학교","중"),"고등학교","고")</f>
      </c>
    </row>
    <row r="1466" customFormat="false" ht="15" hidden="false" customHeight="false" outlineLevel="0" collapsed="false">
      <c r="A1466" s="8"/>
      <c r="B1466" s="8"/>
      <c r="C1466" s="8"/>
      <c r="D1466" s="8"/>
      <c r="E1466" s="8"/>
      <c r="F1466" t="str" s="15">
        <f aca="0">IF(B1466="","",IF(H1466="","확인필요(입력누락)",IF(SUMPRODUCT((실물목록!$P$2:$P$1001&lt;&gt;"")*ISNUMBER(SEARCH(실물목록!$P$2:$P$1001,I1466))*(실물목록!$Q$2:$Q$1001&lt;&gt;"")*ISNUMBER(SEARCH(실물목록!$Q$2:$Q$1001,I1466))*(실물목록!$R$2:$R$1001="")*(실물목록!$O$2:$O$1001&lt;&gt;"")*(실물목록!$O$2:$O$1001=H1466))&gt;0,"실물 있음",IF(SUMPRODUCT((실물목록!$P$2:$P$1001&lt;&gt;"")*ISNUMBER(SEARCH(실물목록!$P$2:$P$1001,I1466))*(실물목록!$R$2:$R$1001&lt;&gt;""))&gt;0,"확인필요(입력누락)",IF(SUMPRODUCT((실물목록!$P$2:$P$1001&lt;&gt;"")*ISNUMBER(SEARCH(실물목록!$P$2:$P$1001,I1466))*(실물목록!$Q$2:$Q$1001&lt;&gt;"")*ISNUMBER(SEARCH(실물목록!$Q$2:$Q$1001,I1466))*(실물목록!$R$2:$R$1001="")*(실물목록!$O$2:$O$1001&lt;&gt;""))&gt;0,"확인필요(연도다름)","실물 없음")))))</f>
      </c>
      <c r="G1466" t="n" s="16">
        <f aca="0">IF(B1466="","",SUMPRODUCT((실물목록!$P$2:$P$1001&lt;&gt;"")*ISNUMBER(SEARCH(실물목록!$P$2:$P$1001,I1466))*(실물목록!$Q$2:$Q$1001&lt;&gt;"")*ISNUMBER(SEARCH(실물목록!$Q$2:$Q$1001,I1466))*(실물목록!$R$2:$R$1001="")*(실물목록!$O$2:$O$1001&lt;&gt;"")*(실물목록!$O$2:$O$1001=H1466)))</f>
      </c>
      <c r="H1466" t="str">
        <f>IFERROR(IF(AND(LEN(SUBSTITUTE(SUBSTITUTE(SUBSTITUTE(TRIM(A1466&amp;""),CHAR(160),"")," ",""),"년",""))=4,VALUE(SUBSTITUTE(SUBSTITUTE(SUBSTITUTE(TRIM(A1466&amp;""),CHAR(160),"")," ",""),"년",""))&gt;=1900,VALUE(SUBSTITUTE(SUBSTITUTE(SUBSTITUTE(TRIM(A1466&amp;""),CHAR(160),"")," ",""),"년",""))&lt;=2099,TEXT(VALUE(SUBSTITUTE(SUBSTITUTE(SUBSTITUTE(TRIM(A1466&amp;""),CHAR(160),"")," ",""),"년","")),"0000")=SUBSTITUTE(SUBSTITUTE(SUBSTITUTE(TRIM(A1466&amp;""),CHAR(160),"")," ",""),"년","")),SUBSTITUTE(SUBSTITUTE(SUBSTITUTE(TRIM(A1466&amp;""),CHAR(160),"")," ",""),"년",""),""),"")</f>
      </c>
      <c r="I1466" t="str">
        <f>SUBSTITUTE(SUBSTITUTE(SUBSTITUTE(SUBSTITUTE(SUBSTITUTE(TRIM(B1466&amp;""),CHAR(160),"")," ",""),"초등학교","초"),"중학교","중"),"고등학교","고")</f>
      </c>
    </row>
    <row r="1467" customFormat="false" ht="15" hidden="false" customHeight="false" outlineLevel="0" collapsed="false">
      <c r="A1467" s="8"/>
      <c r="B1467" s="8"/>
      <c r="C1467" s="8"/>
      <c r="D1467" s="8"/>
      <c r="E1467" s="8"/>
      <c r="F1467" t="str" s="15">
        <f aca="0">IF(B1467="","",IF(H1467="","확인필요(입력누락)",IF(SUMPRODUCT((실물목록!$P$2:$P$1001&lt;&gt;"")*ISNUMBER(SEARCH(실물목록!$P$2:$P$1001,I1467))*(실물목록!$Q$2:$Q$1001&lt;&gt;"")*ISNUMBER(SEARCH(실물목록!$Q$2:$Q$1001,I1467))*(실물목록!$R$2:$R$1001="")*(실물목록!$O$2:$O$1001&lt;&gt;"")*(실물목록!$O$2:$O$1001=H1467))&gt;0,"실물 있음",IF(SUMPRODUCT((실물목록!$P$2:$P$1001&lt;&gt;"")*ISNUMBER(SEARCH(실물목록!$P$2:$P$1001,I1467))*(실물목록!$R$2:$R$1001&lt;&gt;""))&gt;0,"확인필요(입력누락)",IF(SUMPRODUCT((실물목록!$P$2:$P$1001&lt;&gt;"")*ISNUMBER(SEARCH(실물목록!$P$2:$P$1001,I1467))*(실물목록!$Q$2:$Q$1001&lt;&gt;"")*ISNUMBER(SEARCH(실물목록!$Q$2:$Q$1001,I1467))*(실물목록!$R$2:$R$1001="")*(실물목록!$O$2:$O$1001&lt;&gt;""))&gt;0,"확인필요(연도다름)","실물 없음")))))</f>
      </c>
      <c r="G1467" t="n" s="16">
        <f aca="0">IF(B1467="","",SUMPRODUCT((실물목록!$P$2:$P$1001&lt;&gt;"")*ISNUMBER(SEARCH(실물목록!$P$2:$P$1001,I1467))*(실물목록!$Q$2:$Q$1001&lt;&gt;"")*ISNUMBER(SEARCH(실물목록!$Q$2:$Q$1001,I1467))*(실물목록!$R$2:$R$1001="")*(실물목록!$O$2:$O$1001&lt;&gt;"")*(실물목록!$O$2:$O$1001=H1467)))</f>
      </c>
      <c r="H1467" t="str">
        <f>IFERROR(IF(AND(LEN(SUBSTITUTE(SUBSTITUTE(SUBSTITUTE(TRIM(A1467&amp;""),CHAR(160),"")," ",""),"년",""))=4,VALUE(SUBSTITUTE(SUBSTITUTE(SUBSTITUTE(TRIM(A1467&amp;""),CHAR(160),"")," ",""),"년",""))&gt;=1900,VALUE(SUBSTITUTE(SUBSTITUTE(SUBSTITUTE(TRIM(A1467&amp;""),CHAR(160),"")," ",""),"년",""))&lt;=2099,TEXT(VALUE(SUBSTITUTE(SUBSTITUTE(SUBSTITUTE(TRIM(A1467&amp;""),CHAR(160),"")," ",""),"년","")),"0000")=SUBSTITUTE(SUBSTITUTE(SUBSTITUTE(TRIM(A1467&amp;""),CHAR(160),"")," ",""),"년","")),SUBSTITUTE(SUBSTITUTE(SUBSTITUTE(TRIM(A1467&amp;""),CHAR(160),"")," ",""),"년",""),""),"")</f>
      </c>
      <c r="I1467" t="str">
        <f>SUBSTITUTE(SUBSTITUTE(SUBSTITUTE(SUBSTITUTE(SUBSTITUTE(TRIM(B1467&amp;""),CHAR(160),"")," ",""),"초등학교","초"),"중학교","중"),"고등학교","고")</f>
      </c>
    </row>
    <row r="1468" customFormat="false" ht="15" hidden="false" customHeight="false" outlineLevel="0" collapsed="false">
      <c r="A1468" s="8"/>
      <c r="B1468" s="8"/>
      <c r="C1468" s="8"/>
      <c r="D1468" s="8"/>
      <c r="E1468" s="8"/>
      <c r="F1468" t="str" s="15">
        <f aca="0">IF(B1468="","",IF(H1468="","확인필요(입력누락)",IF(SUMPRODUCT((실물목록!$P$2:$P$1001&lt;&gt;"")*ISNUMBER(SEARCH(실물목록!$P$2:$P$1001,I1468))*(실물목록!$Q$2:$Q$1001&lt;&gt;"")*ISNUMBER(SEARCH(실물목록!$Q$2:$Q$1001,I1468))*(실물목록!$R$2:$R$1001="")*(실물목록!$O$2:$O$1001&lt;&gt;"")*(실물목록!$O$2:$O$1001=H1468))&gt;0,"실물 있음",IF(SUMPRODUCT((실물목록!$P$2:$P$1001&lt;&gt;"")*ISNUMBER(SEARCH(실물목록!$P$2:$P$1001,I1468))*(실물목록!$R$2:$R$1001&lt;&gt;""))&gt;0,"확인필요(입력누락)",IF(SUMPRODUCT((실물목록!$P$2:$P$1001&lt;&gt;"")*ISNUMBER(SEARCH(실물목록!$P$2:$P$1001,I1468))*(실물목록!$Q$2:$Q$1001&lt;&gt;"")*ISNUMBER(SEARCH(실물목록!$Q$2:$Q$1001,I1468))*(실물목록!$R$2:$R$1001="")*(실물목록!$O$2:$O$1001&lt;&gt;""))&gt;0,"확인필요(연도다름)","실물 없음")))))</f>
      </c>
      <c r="G1468" t="n" s="16">
        <f aca="0">IF(B1468="","",SUMPRODUCT((실물목록!$P$2:$P$1001&lt;&gt;"")*ISNUMBER(SEARCH(실물목록!$P$2:$P$1001,I1468))*(실물목록!$Q$2:$Q$1001&lt;&gt;"")*ISNUMBER(SEARCH(실물목록!$Q$2:$Q$1001,I1468))*(실물목록!$R$2:$R$1001="")*(실물목록!$O$2:$O$1001&lt;&gt;"")*(실물목록!$O$2:$O$1001=H1468)))</f>
      </c>
      <c r="H1468" t="str">
        <f>IFERROR(IF(AND(LEN(SUBSTITUTE(SUBSTITUTE(SUBSTITUTE(TRIM(A1468&amp;""),CHAR(160),"")," ",""),"년",""))=4,VALUE(SUBSTITUTE(SUBSTITUTE(SUBSTITUTE(TRIM(A1468&amp;""),CHAR(160),"")," ",""),"년",""))&gt;=1900,VALUE(SUBSTITUTE(SUBSTITUTE(SUBSTITUTE(TRIM(A1468&amp;""),CHAR(160),"")," ",""),"년",""))&lt;=2099,TEXT(VALUE(SUBSTITUTE(SUBSTITUTE(SUBSTITUTE(TRIM(A1468&amp;""),CHAR(160),"")," ",""),"년","")),"0000")=SUBSTITUTE(SUBSTITUTE(SUBSTITUTE(TRIM(A1468&amp;""),CHAR(160),"")," ",""),"년","")),SUBSTITUTE(SUBSTITUTE(SUBSTITUTE(TRIM(A1468&amp;""),CHAR(160),"")," ",""),"년",""),""),"")</f>
      </c>
      <c r="I1468" t="str">
        <f>SUBSTITUTE(SUBSTITUTE(SUBSTITUTE(SUBSTITUTE(SUBSTITUTE(TRIM(B1468&amp;""),CHAR(160),"")," ",""),"초등학교","초"),"중학교","중"),"고등학교","고")</f>
      </c>
    </row>
    <row r="1469" customFormat="false" ht="15" hidden="false" customHeight="false" outlineLevel="0" collapsed="false">
      <c r="A1469" s="8"/>
      <c r="B1469" s="8"/>
      <c r="C1469" s="8"/>
      <c r="D1469" s="8"/>
      <c r="E1469" s="8"/>
      <c r="F1469" t="str" s="15">
        <f aca="0">IF(B1469="","",IF(H1469="","확인필요(입력누락)",IF(SUMPRODUCT((실물목록!$P$2:$P$1001&lt;&gt;"")*ISNUMBER(SEARCH(실물목록!$P$2:$P$1001,I1469))*(실물목록!$Q$2:$Q$1001&lt;&gt;"")*ISNUMBER(SEARCH(실물목록!$Q$2:$Q$1001,I1469))*(실물목록!$R$2:$R$1001="")*(실물목록!$O$2:$O$1001&lt;&gt;"")*(실물목록!$O$2:$O$1001=H1469))&gt;0,"실물 있음",IF(SUMPRODUCT((실물목록!$P$2:$P$1001&lt;&gt;"")*ISNUMBER(SEARCH(실물목록!$P$2:$P$1001,I1469))*(실물목록!$R$2:$R$1001&lt;&gt;""))&gt;0,"확인필요(입력누락)",IF(SUMPRODUCT((실물목록!$P$2:$P$1001&lt;&gt;"")*ISNUMBER(SEARCH(실물목록!$P$2:$P$1001,I1469))*(실물목록!$Q$2:$Q$1001&lt;&gt;"")*ISNUMBER(SEARCH(실물목록!$Q$2:$Q$1001,I1469))*(실물목록!$R$2:$R$1001="")*(실물목록!$O$2:$O$1001&lt;&gt;""))&gt;0,"확인필요(연도다름)","실물 없음")))))</f>
      </c>
      <c r="G1469" t="n" s="16">
        <f aca="0">IF(B1469="","",SUMPRODUCT((실물목록!$P$2:$P$1001&lt;&gt;"")*ISNUMBER(SEARCH(실물목록!$P$2:$P$1001,I1469))*(실물목록!$Q$2:$Q$1001&lt;&gt;"")*ISNUMBER(SEARCH(실물목록!$Q$2:$Q$1001,I1469))*(실물목록!$R$2:$R$1001="")*(실물목록!$O$2:$O$1001&lt;&gt;"")*(실물목록!$O$2:$O$1001=H1469)))</f>
      </c>
      <c r="H1469" t="str">
        <f>IFERROR(IF(AND(LEN(SUBSTITUTE(SUBSTITUTE(SUBSTITUTE(TRIM(A1469&amp;""),CHAR(160),"")," ",""),"년",""))=4,VALUE(SUBSTITUTE(SUBSTITUTE(SUBSTITUTE(TRIM(A1469&amp;""),CHAR(160),"")," ",""),"년",""))&gt;=1900,VALUE(SUBSTITUTE(SUBSTITUTE(SUBSTITUTE(TRIM(A1469&amp;""),CHAR(160),"")," ",""),"년",""))&lt;=2099,TEXT(VALUE(SUBSTITUTE(SUBSTITUTE(SUBSTITUTE(TRIM(A1469&amp;""),CHAR(160),"")," ",""),"년","")),"0000")=SUBSTITUTE(SUBSTITUTE(SUBSTITUTE(TRIM(A1469&amp;""),CHAR(160),"")," ",""),"년","")),SUBSTITUTE(SUBSTITUTE(SUBSTITUTE(TRIM(A1469&amp;""),CHAR(160),"")," ",""),"년",""),""),"")</f>
      </c>
      <c r="I1469" t="str">
        <f>SUBSTITUTE(SUBSTITUTE(SUBSTITUTE(SUBSTITUTE(SUBSTITUTE(TRIM(B1469&amp;""),CHAR(160),"")," ",""),"초등학교","초"),"중학교","중"),"고등학교","고")</f>
      </c>
    </row>
    <row r="1470" customFormat="false" ht="15" hidden="false" customHeight="false" outlineLevel="0" collapsed="false">
      <c r="A1470" s="8"/>
      <c r="B1470" s="8"/>
      <c r="C1470" s="8"/>
      <c r="D1470" s="8"/>
      <c r="E1470" s="8"/>
      <c r="F1470" t="str" s="15">
        <f aca="0">IF(B1470="","",IF(H1470="","확인필요(입력누락)",IF(SUMPRODUCT((실물목록!$P$2:$P$1001&lt;&gt;"")*ISNUMBER(SEARCH(실물목록!$P$2:$P$1001,I1470))*(실물목록!$Q$2:$Q$1001&lt;&gt;"")*ISNUMBER(SEARCH(실물목록!$Q$2:$Q$1001,I1470))*(실물목록!$R$2:$R$1001="")*(실물목록!$O$2:$O$1001&lt;&gt;"")*(실물목록!$O$2:$O$1001=H1470))&gt;0,"실물 있음",IF(SUMPRODUCT((실물목록!$P$2:$P$1001&lt;&gt;"")*ISNUMBER(SEARCH(실물목록!$P$2:$P$1001,I1470))*(실물목록!$R$2:$R$1001&lt;&gt;""))&gt;0,"확인필요(입력누락)",IF(SUMPRODUCT((실물목록!$P$2:$P$1001&lt;&gt;"")*ISNUMBER(SEARCH(실물목록!$P$2:$P$1001,I1470))*(실물목록!$Q$2:$Q$1001&lt;&gt;"")*ISNUMBER(SEARCH(실물목록!$Q$2:$Q$1001,I1470))*(실물목록!$R$2:$R$1001="")*(실물목록!$O$2:$O$1001&lt;&gt;""))&gt;0,"확인필요(연도다름)","실물 없음")))))</f>
      </c>
      <c r="G1470" t="n" s="16">
        <f aca="0">IF(B1470="","",SUMPRODUCT((실물목록!$P$2:$P$1001&lt;&gt;"")*ISNUMBER(SEARCH(실물목록!$P$2:$P$1001,I1470))*(실물목록!$Q$2:$Q$1001&lt;&gt;"")*ISNUMBER(SEARCH(실물목록!$Q$2:$Q$1001,I1470))*(실물목록!$R$2:$R$1001="")*(실물목록!$O$2:$O$1001&lt;&gt;"")*(실물목록!$O$2:$O$1001=H1470)))</f>
      </c>
      <c r="H1470" t="str">
        <f>IFERROR(IF(AND(LEN(SUBSTITUTE(SUBSTITUTE(SUBSTITUTE(TRIM(A1470&amp;""),CHAR(160),"")," ",""),"년",""))=4,VALUE(SUBSTITUTE(SUBSTITUTE(SUBSTITUTE(TRIM(A1470&amp;""),CHAR(160),"")," ",""),"년",""))&gt;=1900,VALUE(SUBSTITUTE(SUBSTITUTE(SUBSTITUTE(TRIM(A1470&amp;""),CHAR(160),"")," ",""),"년",""))&lt;=2099,TEXT(VALUE(SUBSTITUTE(SUBSTITUTE(SUBSTITUTE(TRIM(A1470&amp;""),CHAR(160),"")," ",""),"년","")),"0000")=SUBSTITUTE(SUBSTITUTE(SUBSTITUTE(TRIM(A1470&amp;""),CHAR(160),"")," ",""),"년","")),SUBSTITUTE(SUBSTITUTE(SUBSTITUTE(TRIM(A1470&amp;""),CHAR(160),"")," ",""),"년",""),""),"")</f>
      </c>
      <c r="I1470" t="str">
        <f>SUBSTITUTE(SUBSTITUTE(SUBSTITUTE(SUBSTITUTE(SUBSTITUTE(TRIM(B1470&amp;""),CHAR(160),"")," ",""),"초등학교","초"),"중학교","중"),"고등학교","고")</f>
      </c>
    </row>
    <row r="1471" customFormat="false" ht="15" hidden="false" customHeight="false" outlineLevel="0" collapsed="false">
      <c r="A1471" s="8"/>
      <c r="B1471" s="8"/>
      <c r="C1471" s="8"/>
      <c r="D1471" s="8"/>
      <c r="E1471" s="8"/>
      <c r="F1471" t="str" s="15">
        <f aca="0">IF(B1471="","",IF(H1471="","확인필요(입력누락)",IF(SUMPRODUCT((실물목록!$P$2:$P$1001&lt;&gt;"")*ISNUMBER(SEARCH(실물목록!$P$2:$P$1001,I1471))*(실물목록!$Q$2:$Q$1001&lt;&gt;"")*ISNUMBER(SEARCH(실물목록!$Q$2:$Q$1001,I1471))*(실물목록!$R$2:$R$1001="")*(실물목록!$O$2:$O$1001&lt;&gt;"")*(실물목록!$O$2:$O$1001=H1471))&gt;0,"실물 있음",IF(SUMPRODUCT((실물목록!$P$2:$P$1001&lt;&gt;"")*ISNUMBER(SEARCH(실물목록!$P$2:$P$1001,I1471))*(실물목록!$R$2:$R$1001&lt;&gt;""))&gt;0,"확인필요(입력누락)",IF(SUMPRODUCT((실물목록!$P$2:$P$1001&lt;&gt;"")*ISNUMBER(SEARCH(실물목록!$P$2:$P$1001,I1471))*(실물목록!$Q$2:$Q$1001&lt;&gt;"")*ISNUMBER(SEARCH(실물목록!$Q$2:$Q$1001,I1471))*(실물목록!$R$2:$R$1001="")*(실물목록!$O$2:$O$1001&lt;&gt;""))&gt;0,"확인필요(연도다름)","실물 없음")))))</f>
      </c>
      <c r="G1471" t="n" s="16">
        <f aca="0">IF(B1471="","",SUMPRODUCT((실물목록!$P$2:$P$1001&lt;&gt;"")*ISNUMBER(SEARCH(실물목록!$P$2:$P$1001,I1471))*(실물목록!$Q$2:$Q$1001&lt;&gt;"")*ISNUMBER(SEARCH(실물목록!$Q$2:$Q$1001,I1471))*(실물목록!$R$2:$R$1001="")*(실물목록!$O$2:$O$1001&lt;&gt;"")*(실물목록!$O$2:$O$1001=H1471)))</f>
      </c>
      <c r="H1471" t="str">
        <f>IFERROR(IF(AND(LEN(SUBSTITUTE(SUBSTITUTE(SUBSTITUTE(TRIM(A1471&amp;""),CHAR(160),"")," ",""),"년",""))=4,VALUE(SUBSTITUTE(SUBSTITUTE(SUBSTITUTE(TRIM(A1471&amp;""),CHAR(160),"")," ",""),"년",""))&gt;=1900,VALUE(SUBSTITUTE(SUBSTITUTE(SUBSTITUTE(TRIM(A1471&amp;""),CHAR(160),"")," ",""),"년",""))&lt;=2099,TEXT(VALUE(SUBSTITUTE(SUBSTITUTE(SUBSTITUTE(TRIM(A1471&amp;""),CHAR(160),"")," ",""),"년","")),"0000")=SUBSTITUTE(SUBSTITUTE(SUBSTITUTE(TRIM(A1471&amp;""),CHAR(160),"")," ",""),"년","")),SUBSTITUTE(SUBSTITUTE(SUBSTITUTE(TRIM(A1471&amp;""),CHAR(160),"")," ",""),"년",""),""),"")</f>
      </c>
      <c r="I1471" t="str">
        <f>SUBSTITUTE(SUBSTITUTE(SUBSTITUTE(SUBSTITUTE(SUBSTITUTE(TRIM(B1471&amp;""),CHAR(160),"")," ",""),"초등학교","초"),"중학교","중"),"고등학교","고")</f>
      </c>
    </row>
    <row r="1472" customFormat="false" ht="15" hidden="false" customHeight="false" outlineLevel="0" collapsed="false">
      <c r="A1472" s="8"/>
      <c r="B1472" s="8"/>
      <c r="C1472" s="8"/>
      <c r="D1472" s="8"/>
      <c r="E1472" s="8"/>
      <c r="F1472" t="str" s="15">
        <f aca="0">IF(B1472="","",IF(H1472="","확인필요(입력누락)",IF(SUMPRODUCT((실물목록!$P$2:$P$1001&lt;&gt;"")*ISNUMBER(SEARCH(실물목록!$P$2:$P$1001,I1472))*(실물목록!$Q$2:$Q$1001&lt;&gt;"")*ISNUMBER(SEARCH(실물목록!$Q$2:$Q$1001,I1472))*(실물목록!$R$2:$R$1001="")*(실물목록!$O$2:$O$1001&lt;&gt;"")*(실물목록!$O$2:$O$1001=H1472))&gt;0,"실물 있음",IF(SUMPRODUCT((실물목록!$P$2:$P$1001&lt;&gt;"")*ISNUMBER(SEARCH(실물목록!$P$2:$P$1001,I1472))*(실물목록!$R$2:$R$1001&lt;&gt;""))&gt;0,"확인필요(입력누락)",IF(SUMPRODUCT((실물목록!$P$2:$P$1001&lt;&gt;"")*ISNUMBER(SEARCH(실물목록!$P$2:$P$1001,I1472))*(실물목록!$Q$2:$Q$1001&lt;&gt;"")*ISNUMBER(SEARCH(실물목록!$Q$2:$Q$1001,I1472))*(실물목록!$R$2:$R$1001="")*(실물목록!$O$2:$O$1001&lt;&gt;""))&gt;0,"확인필요(연도다름)","실물 없음")))))</f>
      </c>
      <c r="G1472" t="n" s="16">
        <f aca="0">IF(B1472="","",SUMPRODUCT((실물목록!$P$2:$P$1001&lt;&gt;"")*ISNUMBER(SEARCH(실물목록!$P$2:$P$1001,I1472))*(실물목록!$Q$2:$Q$1001&lt;&gt;"")*ISNUMBER(SEARCH(실물목록!$Q$2:$Q$1001,I1472))*(실물목록!$R$2:$R$1001="")*(실물목록!$O$2:$O$1001&lt;&gt;"")*(실물목록!$O$2:$O$1001=H1472)))</f>
      </c>
      <c r="H1472" t="str">
        <f>IFERROR(IF(AND(LEN(SUBSTITUTE(SUBSTITUTE(SUBSTITUTE(TRIM(A1472&amp;""),CHAR(160),"")," ",""),"년",""))=4,VALUE(SUBSTITUTE(SUBSTITUTE(SUBSTITUTE(TRIM(A1472&amp;""),CHAR(160),"")," ",""),"년",""))&gt;=1900,VALUE(SUBSTITUTE(SUBSTITUTE(SUBSTITUTE(TRIM(A1472&amp;""),CHAR(160),"")," ",""),"년",""))&lt;=2099,TEXT(VALUE(SUBSTITUTE(SUBSTITUTE(SUBSTITUTE(TRIM(A1472&amp;""),CHAR(160),"")," ",""),"년","")),"0000")=SUBSTITUTE(SUBSTITUTE(SUBSTITUTE(TRIM(A1472&amp;""),CHAR(160),"")," ",""),"년","")),SUBSTITUTE(SUBSTITUTE(SUBSTITUTE(TRIM(A1472&amp;""),CHAR(160),"")," ",""),"년",""),""),"")</f>
      </c>
      <c r="I1472" t="str">
        <f>SUBSTITUTE(SUBSTITUTE(SUBSTITUTE(SUBSTITUTE(SUBSTITUTE(TRIM(B1472&amp;""),CHAR(160),"")," ",""),"초등학교","초"),"중학교","중"),"고등학교","고")</f>
      </c>
    </row>
    <row r="1473" customFormat="false" ht="15" hidden="false" customHeight="false" outlineLevel="0" collapsed="false">
      <c r="A1473" s="8"/>
      <c r="B1473" s="8"/>
      <c r="C1473" s="8"/>
      <c r="D1473" s="8"/>
      <c r="E1473" s="8"/>
      <c r="F1473" t="str" s="15">
        <f aca="0">IF(B1473="","",IF(H1473="","확인필요(입력누락)",IF(SUMPRODUCT((실물목록!$P$2:$P$1001&lt;&gt;"")*ISNUMBER(SEARCH(실물목록!$P$2:$P$1001,I1473))*(실물목록!$Q$2:$Q$1001&lt;&gt;"")*ISNUMBER(SEARCH(실물목록!$Q$2:$Q$1001,I1473))*(실물목록!$R$2:$R$1001="")*(실물목록!$O$2:$O$1001&lt;&gt;"")*(실물목록!$O$2:$O$1001=H1473))&gt;0,"실물 있음",IF(SUMPRODUCT((실물목록!$P$2:$P$1001&lt;&gt;"")*ISNUMBER(SEARCH(실물목록!$P$2:$P$1001,I1473))*(실물목록!$R$2:$R$1001&lt;&gt;""))&gt;0,"확인필요(입력누락)",IF(SUMPRODUCT((실물목록!$P$2:$P$1001&lt;&gt;"")*ISNUMBER(SEARCH(실물목록!$P$2:$P$1001,I1473))*(실물목록!$Q$2:$Q$1001&lt;&gt;"")*ISNUMBER(SEARCH(실물목록!$Q$2:$Q$1001,I1473))*(실물목록!$R$2:$R$1001="")*(실물목록!$O$2:$O$1001&lt;&gt;""))&gt;0,"확인필요(연도다름)","실물 없음")))))</f>
      </c>
      <c r="G1473" t="n" s="16">
        <f aca="0">IF(B1473="","",SUMPRODUCT((실물목록!$P$2:$P$1001&lt;&gt;"")*ISNUMBER(SEARCH(실물목록!$P$2:$P$1001,I1473))*(실물목록!$Q$2:$Q$1001&lt;&gt;"")*ISNUMBER(SEARCH(실물목록!$Q$2:$Q$1001,I1473))*(실물목록!$R$2:$R$1001="")*(실물목록!$O$2:$O$1001&lt;&gt;"")*(실물목록!$O$2:$O$1001=H1473)))</f>
      </c>
      <c r="H1473" t="str">
        <f>IFERROR(IF(AND(LEN(SUBSTITUTE(SUBSTITUTE(SUBSTITUTE(TRIM(A1473&amp;""),CHAR(160),"")," ",""),"년",""))=4,VALUE(SUBSTITUTE(SUBSTITUTE(SUBSTITUTE(TRIM(A1473&amp;""),CHAR(160),"")," ",""),"년",""))&gt;=1900,VALUE(SUBSTITUTE(SUBSTITUTE(SUBSTITUTE(TRIM(A1473&amp;""),CHAR(160),"")," ",""),"년",""))&lt;=2099,TEXT(VALUE(SUBSTITUTE(SUBSTITUTE(SUBSTITUTE(TRIM(A1473&amp;""),CHAR(160),"")," ",""),"년","")),"0000")=SUBSTITUTE(SUBSTITUTE(SUBSTITUTE(TRIM(A1473&amp;""),CHAR(160),"")," ",""),"년","")),SUBSTITUTE(SUBSTITUTE(SUBSTITUTE(TRIM(A1473&amp;""),CHAR(160),"")," ",""),"년",""),""),"")</f>
      </c>
      <c r="I1473" t="str">
        <f>SUBSTITUTE(SUBSTITUTE(SUBSTITUTE(SUBSTITUTE(SUBSTITUTE(TRIM(B1473&amp;""),CHAR(160),"")," ",""),"초등학교","초"),"중학교","중"),"고등학교","고")</f>
      </c>
    </row>
    <row r="1474" customFormat="false" ht="15" hidden="false" customHeight="false" outlineLevel="0" collapsed="false">
      <c r="A1474" s="8"/>
      <c r="B1474" s="8"/>
      <c r="C1474" s="8"/>
      <c r="D1474" s="8"/>
      <c r="E1474" s="8"/>
      <c r="F1474" t="str" s="15">
        <f aca="0">IF(B1474="","",IF(H1474="","확인필요(입력누락)",IF(SUMPRODUCT((실물목록!$P$2:$P$1001&lt;&gt;"")*ISNUMBER(SEARCH(실물목록!$P$2:$P$1001,I1474))*(실물목록!$Q$2:$Q$1001&lt;&gt;"")*ISNUMBER(SEARCH(실물목록!$Q$2:$Q$1001,I1474))*(실물목록!$R$2:$R$1001="")*(실물목록!$O$2:$O$1001&lt;&gt;"")*(실물목록!$O$2:$O$1001=H1474))&gt;0,"실물 있음",IF(SUMPRODUCT((실물목록!$P$2:$P$1001&lt;&gt;"")*ISNUMBER(SEARCH(실물목록!$P$2:$P$1001,I1474))*(실물목록!$R$2:$R$1001&lt;&gt;""))&gt;0,"확인필요(입력누락)",IF(SUMPRODUCT((실물목록!$P$2:$P$1001&lt;&gt;"")*ISNUMBER(SEARCH(실물목록!$P$2:$P$1001,I1474))*(실물목록!$Q$2:$Q$1001&lt;&gt;"")*ISNUMBER(SEARCH(실물목록!$Q$2:$Q$1001,I1474))*(실물목록!$R$2:$R$1001="")*(실물목록!$O$2:$O$1001&lt;&gt;""))&gt;0,"확인필요(연도다름)","실물 없음")))))</f>
      </c>
      <c r="G1474" t="n" s="16">
        <f aca="0">IF(B1474="","",SUMPRODUCT((실물목록!$P$2:$P$1001&lt;&gt;"")*ISNUMBER(SEARCH(실물목록!$P$2:$P$1001,I1474))*(실물목록!$Q$2:$Q$1001&lt;&gt;"")*ISNUMBER(SEARCH(실물목록!$Q$2:$Q$1001,I1474))*(실물목록!$R$2:$R$1001="")*(실물목록!$O$2:$O$1001&lt;&gt;"")*(실물목록!$O$2:$O$1001=H1474)))</f>
      </c>
      <c r="H1474" t="str">
        <f>IFERROR(IF(AND(LEN(SUBSTITUTE(SUBSTITUTE(SUBSTITUTE(TRIM(A1474&amp;""),CHAR(160),"")," ",""),"년",""))=4,VALUE(SUBSTITUTE(SUBSTITUTE(SUBSTITUTE(TRIM(A1474&amp;""),CHAR(160),"")," ",""),"년",""))&gt;=1900,VALUE(SUBSTITUTE(SUBSTITUTE(SUBSTITUTE(TRIM(A1474&amp;""),CHAR(160),"")," ",""),"년",""))&lt;=2099,TEXT(VALUE(SUBSTITUTE(SUBSTITUTE(SUBSTITUTE(TRIM(A1474&amp;""),CHAR(160),"")," ",""),"년","")),"0000")=SUBSTITUTE(SUBSTITUTE(SUBSTITUTE(TRIM(A1474&amp;""),CHAR(160),"")," ",""),"년","")),SUBSTITUTE(SUBSTITUTE(SUBSTITUTE(TRIM(A1474&amp;""),CHAR(160),"")," ",""),"년",""),""),"")</f>
      </c>
      <c r="I1474" t="str">
        <f>SUBSTITUTE(SUBSTITUTE(SUBSTITUTE(SUBSTITUTE(SUBSTITUTE(TRIM(B1474&amp;""),CHAR(160),"")," ",""),"초등학교","초"),"중학교","중"),"고등학교","고")</f>
      </c>
    </row>
    <row r="1475" customFormat="false" ht="15" hidden="false" customHeight="false" outlineLevel="0" collapsed="false">
      <c r="A1475" s="8"/>
      <c r="B1475" s="8"/>
      <c r="C1475" s="8"/>
      <c r="D1475" s="8"/>
      <c r="E1475" s="8"/>
      <c r="F1475" t="str" s="15">
        <f aca="0">IF(B1475="","",IF(H1475="","확인필요(입력누락)",IF(SUMPRODUCT((실물목록!$P$2:$P$1001&lt;&gt;"")*ISNUMBER(SEARCH(실물목록!$P$2:$P$1001,I1475))*(실물목록!$Q$2:$Q$1001&lt;&gt;"")*ISNUMBER(SEARCH(실물목록!$Q$2:$Q$1001,I1475))*(실물목록!$R$2:$R$1001="")*(실물목록!$O$2:$O$1001&lt;&gt;"")*(실물목록!$O$2:$O$1001=H1475))&gt;0,"실물 있음",IF(SUMPRODUCT((실물목록!$P$2:$P$1001&lt;&gt;"")*ISNUMBER(SEARCH(실물목록!$P$2:$P$1001,I1475))*(실물목록!$R$2:$R$1001&lt;&gt;""))&gt;0,"확인필요(입력누락)",IF(SUMPRODUCT((실물목록!$P$2:$P$1001&lt;&gt;"")*ISNUMBER(SEARCH(실물목록!$P$2:$P$1001,I1475))*(실물목록!$Q$2:$Q$1001&lt;&gt;"")*ISNUMBER(SEARCH(실물목록!$Q$2:$Q$1001,I1475))*(실물목록!$R$2:$R$1001="")*(실물목록!$O$2:$O$1001&lt;&gt;""))&gt;0,"확인필요(연도다름)","실물 없음")))))</f>
      </c>
      <c r="G1475" t="n" s="16">
        <f aca="0">IF(B1475="","",SUMPRODUCT((실물목록!$P$2:$P$1001&lt;&gt;"")*ISNUMBER(SEARCH(실물목록!$P$2:$P$1001,I1475))*(실물목록!$Q$2:$Q$1001&lt;&gt;"")*ISNUMBER(SEARCH(실물목록!$Q$2:$Q$1001,I1475))*(실물목록!$R$2:$R$1001="")*(실물목록!$O$2:$O$1001&lt;&gt;"")*(실물목록!$O$2:$O$1001=H1475)))</f>
      </c>
      <c r="H1475" t="str">
        <f>IFERROR(IF(AND(LEN(SUBSTITUTE(SUBSTITUTE(SUBSTITUTE(TRIM(A1475&amp;""),CHAR(160),"")," ",""),"년",""))=4,VALUE(SUBSTITUTE(SUBSTITUTE(SUBSTITUTE(TRIM(A1475&amp;""),CHAR(160),"")," ",""),"년",""))&gt;=1900,VALUE(SUBSTITUTE(SUBSTITUTE(SUBSTITUTE(TRIM(A1475&amp;""),CHAR(160),"")," ",""),"년",""))&lt;=2099,TEXT(VALUE(SUBSTITUTE(SUBSTITUTE(SUBSTITUTE(TRIM(A1475&amp;""),CHAR(160),"")," ",""),"년","")),"0000")=SUBSTITUTE(SUBSTITUTE(SUBSTITUTE(TRIM(A1475&amp;""),CHAR(160),"")," ",""),"년","")),SUBSTITUTE(SUBSTITUTE(SUBSTITUTE(TRIM(A1475&amp;""),CHAR(160),"")," ",""),"년",""),""),"")</f>
      </c>
      <c r="I1475" t="str">
        <f>SUBSTITUTE(SUBSTITUTE(SUBSTITUTE(SUBSTITUTE(SUBSTITUTE(TRIM(B1475&amp;""),CHAR(160),"")," ",""),"초등학교","초"),"중학교","중"),"고등학교","고")</f>
      </c>
    </row>
    <row r="1476" customFormat="false" ht="15" hidden="false" customHeight="false" outlineLevel="0" collapsed="false">
      <c r="A1476" s="8"/>
      <c r="B1476" s="8"/>
      <c r="C1476" s="8"/>
      <c r="D1476" s="8"/>
      <c r="E1476" s="8"/>
      <c r="F1476" t="str" s="15">
        <f aca="0">IF(B1476="","",IF(H1476="","확인필요(입력누락)",IF(SUMPRODUCT((실물목록!$P$2:$P$1001&lt;&gt;"")*ISNUMBER(SEARCH(실물목록!$P$2:$P$1001,I1476))*(실물목록!$Q$2:$Q$1001&lt;&gt;"")*ISNUMBER(SEARCH(실물목록!$Q$2:$Q$1001,I1476))*(실물목록!$R$2:$R$1001="")*(실물목록!$O$2:$O$1001&lt;&gt;"")*(실물목록!$O$2:$O$1001=H1476))&gt;0,"실물 있음",IF(SUMPRODUCT((실물목록!$P$2:$P$1001&lt;&gt;"")*ISNUMBER(SEARCH(실물목록!$P$2:$P$1001,I1476))*(실물목록!$R$2:$R$1001&lt;&gt;""))&gt;0,"확인필요(입력누락)",IF(SUMPRODUCT((실물목록!$P$2:$P$1001&lt;&gt;"")*ISNUMBER(SEARCH(실물목록!$P$2:$P$1001,I1476))*(실물목록!$Q$2:$Q$1001&lt;&gt;"")*ISNUMBER(SEARCH(실물목록!$Q$2:$Q$1001,I1476))*(실물목록!$R$2:$R$1001="")*(실물목록!$O$2:$O$1001&lt;&gt;""))&gt;0,"확인필요(연도다름)","실물 없음")))))</f>
      </c>
      <c r="G1476" t="n" s="16">
        <f aca="0">IF(B1476="","",SUMPRODUCT((실물목록!$P$2:$P$1001&lt;&gt;"")*ISNUMBER(SEARCH(실물목록!$P$2:$P$1001,I1476))*(실물목록!$Q$2:$Q$1001&lt;&gt;"")*ISNUMBER(SEARCH(실물목록!$Q$2:$Q$1001,I1476))*(실물목록!$R$2:$R$1001="")*(실물목록!$O$2:$O$1001&lt;&gt;"")*(실물목록!$O$2:$O$1001=H1476)))</f>
      </c>
      <c r="H1476" t="str">
        <f>IFERROR(IF(AND(LEN(SUBSTITUTE(SUBSTITUTE(SUBSTITUTE(TRIM(A1476&amp;""),CHAR(160),"")," ",""),"년",""))=4,VALUE(SUBSTITUTE(SUBSTITUTE(SUBSTITUTE(TRIM(A1476&amp;""),CHAR(160),"")," ",""),"년",""))&gt;=1900,VALUE(SUBSTITUTE(SUBSTITUTE(SUBSTITUTE(TRIM(A1476&amp;""),CHAR(160),"")," ",""),"년",""))&lt;=2099,TEXT(VALUE(SUBSTITUTE(SUBSTITUTE(SUBSTITUTE(TRIM(A1476&amp;""),CHAR(160),"")," ",""),"년","")),"0000")=SUBSTITUTE(SUBSTITUTE(SUBSTITUTE(TRIM(A1476&amp;""),CHAR(160),"")," ",""),"년","")),SUBSTITUTE(SUBSTITUTE(SUBSTITUTE(TRIM(A1476&amp;""),CHAR(160),"")," ",""),"년",""),""),"")</f>
      </c>
      <c r="I1476" t="str">
        <f>SUBSTITUTE(SUBSTITUTE(SUBSTITUTE(SUBSTITUTE(SUBSTITUTE(TRIM(B1476&amp;""),CHAR(160),"")," ",""),"초등학교","초"),"중학교","중"),"고등학교","고")</f>
      </c>
    </row>
    <row r="1477" customFormat="false" ht="15" hidden="false" customHeight="false" outlineLevel="0" collapsed="false">
      <c r="A1477" s="8"/>
      <c r="B1477" s="8"/>
      <c r="C1477" s="8"/>
      <c r="D1477" s="8"/>
      <c r="E1477" s="8"/>
      <c r="F1477" t="str" s="15">
        <f aca="0">IF(B1477="","",IF(H1477="","확인필요(입력누락)",IF(SUMPRODUCT((실물목록!$P$2:$P$1001&lt;&gt;"")*ISNUMBER(SEARCH(실물목록!$P$2:$P$1001,I1477))*(실물목록!$Q$2:$Q$1001&lt;&gt;"")*ISNUMBER(SEARCH(실물목록!$Q$2:$Q$1001,I1477))*(실물목록!$R$2:$R$1001="")*(실물목록!$O$2:$O$1001&lt;&gt;"")*(실물목록!$O$2:$O$1001=H1477))&gt;0,"실물 있음",IF(SUMPRODUCT((실물목록!$P$2:$P$1001&lt;&gt;"")*ISNUMBER(SEARCH(실물목록!$P$2:$P$1001,I1477))*(실물목록!$R$2:$R$1001&lt;&gt;""))&gt;0,"확인필요(입력누락)",IF(SUMPRODUCT((실물목록!$P$2:$P$1001&lt;&gt;"")*ISNUMBER(SEARCH(실물목록!$P$2:$P$1001,I1477))*(실물목록!$Q$2:$Q$1001&lt;&gt;"")*ISNUMBER(SEARCH(실물목록!$Q$2:$Q$1001,I1477))*(실물목록!$R$2:$R$1001="")*(실물목록!$O$2:$O$1001&lt;&gt;""))&gt;0,"확인필요(연도다름)","실물 없음")))))</f>
      </c>
      <c r="G1477" t="n" s="16">
        <f aca="0">IF(B1477="","",SUMPRODUCT((실물목록!$P$2:$P$1001&lt;&gt;"")*ISNUMBER(SEARCH(실물목록!$P$2:$P$1001,I1477))*(실물목록!$Q$2:$Q$1001&lt;&gt;"")*ISNUMBER(SEARCH(실물목록!$Q$2:$Q$1001,I1477))*(실물목록!$R$2:$R$1001="")*(실물목록!$O$2:$O$1001&lt;&gt;"")*(실물목록!$O$2:$O$1001=H1477)))</f>
      </c>
      <c r="H1477" t="str">
        <f>IFERROR(IF(AND(LEN(SUBSTITUTE(SUBSTITUTE(SUBSTITUTE(TRIM(A1477&amp;""),CHAR(160),"")," ",""),"년",""))=4,VALUE(SUBSTITUTE(SUBSTITUTE(SUBSTITUTE(TRIM(A1477&amp;""),CHAR(160),"")," ",""),"년",""))&gt;=1900,VALUE(SUBSTITUTE(SUBSTITUTE(SUBSTITUTE(TRIM(A1477&amp;""),CHAR(160),"")," ",""),"년",""))&lt;=2099,TEXT(VALUE(SUBSTITUTE(SUBSTITUTE(SUBSTITUTE(TRIM(A1477&amp;""),CHAR(160),"")," ",""),"년","")),"0000")=SUBSTITUTE(SUBSTITUTE(SUBSTITUTE(TRIM(A1477&amp;""),CHAR(160),"")," ",""),"년","")),SUBSTITUTE(SUBSTITUTE(SUBSTITUTE(TRIM(A1477&amp;""),CHAR(160),"")," ",""),"년",""),""),"")</f>
      </c>
      <c r="I1477" t="str">
        <f>SUBSTITUTE(SUBSTITUTE(SUBSTITUTE(SUBSTITUTE(SUBSTITUTE(TRIM(B1477&amp;""),CHAR(160),"")," ",""),"초등학교","초"),"중학교","중"),"고등학교","고")</f>
      </c>
    </row>
    <row r="1478" customFormat="false" ht="15" hidden="false" customHeight="false" outlineLevel="0" collapsed="false">
      <c r="A1478" s="8"/>
      <c r="B1478" s="8"/>
      <c r="C1478" s="8"/>
      <c r="D1478" s="8"/>
      <c r="E1478" s="8"/>
      <c r="F1478" t="str" s="15">
        <f aca="0">IF(B1478="","",IF(H1478="","확인필요(입력누락)",IF(SUMPRODUCT((실물목록!$P$2:$P$1001&lt;&gt;"")*ISNUMBER(SEARCH(실물목록!$P$2:$P$1001,I1478))*(실물목록!$Q$2:$Q$1001&lt;&gt;"")*ISNUMBER(SEARCH(실물목록!$Q$2:$Q$1001,I1478))*(실물목록!$R$2:$R$1001="")*(실물목록!$O$2:$O$1001&lt;&gt;"")*(실물목록!$O$2:$O$1001=H1478))&gt;0,"실물 있음",IF(SUMPRODUCT((실물목록!$P$2:$P$1001&lt;&gt;"")*ISNUMBER(SEARCH(실물목록!$P$2:$P$1001,I1478))*(실물목록!$R$2:$R$1001&lt;&gt;""))&gt;0,"확인필요(입력누락)",IF(SUMPRODUCT((실물목록!$P$2:$P$1001&lt;&gt;"")*ISNUMBER(SEARCH(실물목록!$P$2:$P$1001,I1478))*(실물목록!$Q$2:$Q$1001&lt;&gt;"")*ISNUMBER(SEARCH(실물목록!$Q$2:$Q$1001,I1478))*(실물목록!$R$2:$R$1001="")*(실물목록!$O$2:$O$1001&lt;&gt;""))&gt;0,"확인필요(연도다름)","실물 없음")))))</f>
      </c>
      <c r="G1478" t="n" s="16">
        <f aca="0">IF(B1478="","",SUMPRODUCT((실물목록!$P$2:$P$1001&lt;&gt;"")*ISNUMBER(SEARCH(실물목록!$P$2:$P$1001,I1478))*(실물목록!$Q$2:$Q$1001&lt;&gt;"")*ISNUMBER(SEARCH(실물목록!$Q$2:$Q$1001,I1478))*(실물목록!$R$2:$R$1001="")*(실물목록!$O$2:$O$1001&lt;&gt;"")*(실물목록!$O$2:$O$1001=H1478)))</f>
      </c>
      <c r="H1478" t="str">
        <f>IFERROR(IF(AND(LEN(SUBSTITUTE(SUBSTITUTE(SUBSTITUTE(TRIM(A1478&amp;""),CHAR(160),"")," ",""),"년",""))=4,VALUE(SUBSTITUTE(SUBSTITUTE(SUBSTITUTE(TRIM(A1478&amp;""),CHAR(160),"")," ",""),"년",""))&gt;=1900,VALUE(SUBSTITUTE(SUBSTITUTE(SUBSTITUTE(TRIM(A1478&amp;""),CHAR(160),"")," ",""),"년",""))&lt;=2099,TEXT(VALUE(SUBSTITUTE(SUBSTITUTE(SUBSTITUTE(TRIM(A1478&amp;""),CHAR(160),"")," ",""),"년","")),"0000")=SUBSTITUTE(SUBSTITUTE(SUBSTITUTE(TRIM(A1478&amp;""),CHAR(160),"")," ",""),"년","")),SUBSTITUTE(SUBSTITUTE(SUBSTITUTE(TRIM(A1478&amp;""),CHAR(160),"")," ",""),"년",""),""),"")</f>
      </c>
      <c r="I1478" t="str">
        <f>SUBSTITUTE(SUBSTITUTE(SUBSTITUTE(SUBSTITUTE(SUBSTITUTE(TRIM(B1478&amp;""),CHAR(160),"")," ",""),"초등학교","초"),"중학교","중"),"고등학교","고")</f>
      </c>
    </row>
    <row r="1479" customFormat="false" ht="15" hidden="false" customHeight="false" outlineLevel="0" collapsed="false">
      <c r="A1479" s="8"/>
      <c r="B1479" s="8"/>
      <c r="C1479" s="8"/>
      <c r="D1479" s="8"/>
      <c r="E1479" s="8"/>
      <c r="F1479" t="str" s="15">
        <f aca="0">IF(B1479="","",IF(H1479="","확인필요(입력누락)",IF(SUMPRODUCT((실물목록!$P$2:$P$1001&lt;&gt;"")*ISNUMBER(SEARCH(실물목록!$P$2:$P$1001,I1479))*(실물목록!$Q$2:$Q$1001&lt;&gt;"")*ISNUMBER(SEARCH(실물목록!$Q$2:$Q$1001,I1479))*(실물목록!$R$2:$R$1001="")*(실물목록!$O$2:$O$1001&lt;&gt;"")*(실물목록!$O$2:$O$1001=H1479))&gt;0,"실물 있음",IF(SUMPRODUCT((실물목록!$P$2:$P$1001&lt;&gt;"")*ISNUMBER(SEARCH(실물목록!$P$2:$P$1001,I1479))*(실물목록!$R$2:$R$1001&lt;&gt;""))&gt;0,"확인필요(입력누락)",IF(SUMPRODUCT((실물목록!$P$2:$P$1001&lt;&gt;"")*ISNUMBER(SEARCH(실물목록!$P$2:$P$1001,I1479))*(실물목록!$Q$2:$Q$1001&lt;&gt;"")*ISNUMBER(SEARCH(실물목록!$Q$2:$Q$1001,I1479))*(실물목록!$R$2:$R$1001="")*(실물목록!$O$2:$O$1001&lt;&gt;""))&gt;0,"확인필요(연도다름)","실물 없음")))))</f>
      </c>
      <c r="G1479" t="n" s="16">
        <f aca="0">IF(B1479="","",SUMPRODUCT((실물목록!$P$2:$P$1001&lt;&gt;"")*ISNUMBER(SEARCH(실물목록!$P$2:$P$1001,I1479))*(실물목록!$Q$2:$Q$1001&lt;&gt;"")*ISNUMBER(SEARCH(실물목록!$Q$2:$Q$1001,I1479))*(실물목록!$R$2:$R$1001="")*(실물목록!$O$2:$O$1001&lt;&gt;"")*(실물목록!$O$2:$O$1001=H1479)))</f>
      </c>
      <c r="H1479" t="str">
        <f>IFERROR(IF(AND(LEN(SUBSTITUTE(SUBSTITUTE(SUBSTITUTE(TRIM(A1479&amp;""),CHAR(160),"")," ",""),"년",""))=4,VALUE(SUBSTITUTE(SUBSTITUTE(SUBSTITUTE(TRIM(A1479&amp;""),CHAR(160),"")," ",""),"년",""))&gt;=1900,VALUE(SUBSTITUTE(SUBSTITUTE(SUBSTITUTE(TRIM(A1479&amp;""),CHAR(160),"")," ",""),"년",""))&lt;=2099,TEXT(VALUE(SUBSTITUTE(SUBSTITUTE(SUBSTITUTE(TRIM(A1479&amp;""),CHAR(160),"")," ",""),"년","")),"0000")=SUBSTITUTE(SUBSTITUTE(SUBSTITUTE(TRIM(A1479&amp;""),CHAR(160),"")," ",""),"년","")),SUBSTITUTE(SUBSTITUTE(SUBSTITUTE(TRIM(A1479&amp;""),CHAR(160),"")," ",""),"년",""),""),"")</f>
      </c>
      <c r="I1479" t="str">
        <f>SUBSTITUTE(SUBSTITUTE(SUBSTITUTE(SUBSTITUTE(SUBSTITUTE(TRIM(B1479&amp;""),CHAR(160),"")," ",""),"초등학교","초"),"중학교","중"),"고등학교","고")</f>
      </c>
    </row>
    <row r="1480" customFormat="false" ht="15" hidden="false" customHeight="false" outlineLevel="0" collapsed="false">
      <c r="A1480" s="8"/>
      <c r="B1480" s="8"/>
      <c r="C1480" s="8"/>
      <c r="D1480" s="8"/>
      <c r="E1480" s="8"/>
      <c r="F1480" t="str" s="15">
        <f aca="0">IF(B1480="","",IF(H1480="","확인필요(입력누락)",IF(SUMPRODUCT((실물목록!$P$2:$P$1001&lt;&gt;"")*ISNUMBER(SEARCH(실물목록!$P$2:$P$1001,I1480))*(실물목록!$Q$2:$Q$1001&lt;&gt;"")*ISNUMBER(SEARCH(실물목록!$Q$2:$Q$1001,I1480))*(실물목록!$R$2:$R$1001="")*(실물목록!$O$2:$O$1001&lt;&gt;"")*(실물목록!$O$2:$O$1001=H1480))&gt;0,"실물 있음",IF(SUMPRODUCT((실물목록!$P$2:$P$1001&lt;&gt;"")*ISNUMBER(SEARCH(실물목록!$P$2:$P$1001,I1480))*(실물목록!$R$2:$R$1001&lt;&gt;""))&gt;0,"확인필요(입력누락)",IF(SUMPRODUCT((실물목록!$P$2:$P$1001&lt;&gt;"")*ISNUMBER(SEARCH(실물목록!$P$2:$P$1001,I1480))*(실물목록!$Q$2:$Q$1001&lt;&gt;"")*ISNUMBER(SEARCH(실물목록!$Q$2:$Q$1001,I1480))*(실물목록!$R$2:$R$1001="")*(실물목록!$O$2:$O$1001&lt;&gt;""))&gt;0,"확인필요(연도다름)","실물 없음")))))</f>
      </c>
      <c r="G1480" t="n" s="16">
        <f aca="0">IF(B1480="","",SUMPRODUCT((실물목록!$P$2:$P$1001&lt;&gt;"")*ISNUMBER(SEARCH(실물목록!$P$2:$P$1001,I1480))*(실물목록!$Q$2:$Q$1001&lt;&gt;"")*ISNUMBER(SEARCH(실물목록!$Q$2:$Q$1001,I1480))*(실물목록!$R$2:$R$1001="")*(실물목록!$O$2:$O$1001&lt;&gt;"")*(실물목록!$O$2:$O$1001=H1480)))</f>
      </c>
      <c r="H1480" t="str">
        <f>IFERROR(IF(AND(LEN(SUBSTITUTE(SUBSTITUTE(SUBSTITUTE(TRIM(A1480&amp;""),CHAR(160),"")," ",""),"년",""))=4,VALUE(SUBSTITUTE(SUBSTITUTE(SUBSTITUTE(TRIM(A1480&amp;""),CHAR(160),"")," ",""),"년",""))&gt;=1900,VALUE(SUBSTITUTE(SUBSTITUTE(SUBSTITUTE(TRIM(A1480&amp;""),CHAR(160),"")," ",""),"년",""))&lt;=2099,TEXT(VALUE(SUBSTITUTE(SUBSTITUTE(SUBSTITUTE(TRIM(A1480&amp;""),CHAR(160),"")," ",""),"년","")),"0000")=SUBSTITUTE(SUBSTITUTE(SUBSTITUTE(TRIM(A1480&amp;""),CHAR(160),"")," ",""),"년","")),SUBSTITUTE(SUBSTITUTE(SUBSTITUTE(TRIM(A1480&amp;""),CHAR(160),"")," ",""),"년",""),""),"")</f>
      </c>
      <c r="I1480" t="str">
        <f>SUBSTITUTE(SUBSTITUTE(SUBSTITUTE(SUBSTITUTE(SUBSTITUTE(TRIM(B1480&amp;""),CHAR(160),"")," ",""),"초등학교","초"),"중학교","중"),"고등학교","고")</f>
      </c>
    </row>
    <row r="1481" customFormat="false" ht="15" hidden="false" customHeight="false" outlineLevel="0" collapsed="false">
      <c r="A1481" s="8"/>
      <c r="B1481" s="8"/>
      <c r="C1481" s="8"/>
      <c r="D1481" s="8"/>
      <c r="E1481" s="8"/>
      <c r="F1481" t="str" s="15">
        <f aca="0">IF(B1481="","",IF(H1481="","확인필요(입력누락)",IF(SUMPRODUCT((실물목록!$P$2:$P$1001&lt;&gt;"")*ISNUMBER(SEARCH(실물목록!$P$2:$P$1001,I1481))*(실물목록!$Q$2:$Q$1001&lt;&gt;"")*ISNUMBER(SEARCH(실물목록!$Q$2:$Q$1001,I1481))*(실물목록!$R$2:$R$1001="")*(실물목록!$O$2:$O$1001&lt;&gt;"")*(실물목록!$O$2:$O$1001=H1481))&gt;0,"실물 있음",IF(SUMPRODUCT((실물목록!$P$2:$P$1001&lt;&gt;"")*ISNUMBER(SEARCH(실물목록!$P$2:$P$1001,I1481))*(실물목록!$R$2:$R$1001&lt;&gt;""))&gt;0,"확인필요(입력누락)",IF(SUMPRODUCT((실물목록!$P$2:$P$1001&lt;&gt;"")*ISNUMBER(SEARCH(실물목록!$P$2:$P$1001,I1481))*(실물목록!$Q$2:$Q$1001&lt;&gt;"")*ISNUMBER(SEARCH(실물목록!$Q$2:$Q$1001,I1481))*(실물목록!$R$2:$R$1001="")*(실물목록!$O$2:$O$1001&lt;&gt;""))&gt;0,"확인필요(연도다름)","실물 없음")))))</f>
      </c>
      <c r="G1481" t="n" s="16">
        <f aca="0">IF(B1481="","",SUMPRODUCT((실물목록!$P$2:$P$1001&lt;&gt;"")*ISNUMBER(SEARCH(실물목록!$P$2:$P$1001,I1481))*(실물목록!$Q$2:$Q$1001&lt;&gt;"")*ISNUMBER(SEARCH(실물목록!$Q$2:$Q$1001,I1481))*(실물목록!$R$2:$R$1001="")*(실물목록!$O$2:$O$1001&lt;&gt;"")*(실물목록!$O$2:$O$1001=H1481)))</f>
      </c>
      <c r="H1481" t="str">
        <f>IFERROR(IF(AND(LEN(SUBSTITUTE(SUBSTITUTE(SUBSTITUTE(TRIM(A1481&amp;""),CHAR(160),"")," ",""),"년",""))=4,VALUE(SUBSTITUTE(SUBSTITUTE(SUBSTITUTE(TRIM(A1481&amp;""),CHAR(160),"")," ",""),"년",""))&gt;=1900,VALUE(SUBSTITUTE(SUBSTITUTE(SUBSTITUTE(TRIM(A1481&amp;""),CHAR(160),"")," ",""),"년",""))&lt;=2099,TEXT(VALUE(SUBSTITUTE(SUBSTITUTE(SUBSTITUTE(TRIM(A1481&amp;""),CHAR(160),"")," ",""),"년","")),"0000")=SUBSTITUTE(SUBSTITUTE(SUBSTITUTE(TRIM(A1481&amp;""),CHAR(160),"")," ",""),"년","")),SUBSTITUTE(SUBSTITUTE(SUBSTITUTE(TRIM(A1481&amp;""),CHAR(160),"")," ",""),"년",""),""),"")</f>
      </c>
      <c r="I1481" t="str">
        <f>SUBSTITUTE(SUBSTITUTE(SUBSTITUTE(SUBSTITUTE(SUBSTITUTE(TRIM(B1481&amp;""),CHAR(160),"")," ",""),"초등학교","초"),"중학교","중"),"고등학교","고")</f>
      </c>
    </row>
    <row r="1482" customFormat="false" ht="15" hidden="false" customHeight="false" outlineLevel="0" collapsed="false">
      <c r="A1482" s="8"/>
      <c r="B1482" s="8"/>
      <c r="C1482" s="8"/>
      <c r="D1482" s="8"/>
      <c r="E1482" s="8"/>
      <c r="F1482" t="str" s="15">
        <f aca="0">IF(B1482="","",IF(H1482="","확인필요(입력누락)",IF(SUMPRODUCT((실물목록!$P$2:$P$1001&lt;&gt;"")*ISNUMBER(SEARCH(실물목록!$P$2:$P$1001,I1482))*(실물목록!$Q$2:$Q$1001&lt;&gt;"")*ISNUMBER(SEARCH(실물목록!$Q$2:$Q$1001,I1482))*(실물목록!$R$2:$R$1001="")*(실물목록!$O$2:$O$1001&lt;&gt;"")*(실물목록!$O$2:$O$1001=H1482))&gt;0,"실물 있음",IF(SUMPRODUCT((실물목록!$P$2:$P$1001&lt;&gt;"")*ISNUMBER(SEARCH(실물목록!$P$2:$P$1001,I1482))*(실물목록!$R$2:$R$1001&lt;&gt;""))&gt;0,"확인필요(입력누락)",IF(SUMPRODUCT((실물목록!$P$2:$P$1001&lt;&gt;"")*ISNUMBER(SEARCH(실물목록!$P$2:$P$1001,I1482))*(실물목록!$Q$2:$Q$1001&lt;&gt;"")*ISNUMBER(SEARCH(실물목록!$Q$2:$Q$1001,I1482))*(실물목록!$R$2:$R$1001="")*(실물목록!$O$2:$O$1001&lt;&gt;""))&gt;0,"확인필요(연도다름)","실물 없음")))))</f>
      </c>
      <c r="G1482" t="n" s="16">
        <f aca="0">IF(B1482="","",SUMPRODUCT((실물목록!$P$2:$P$1001&lt;&gt;"")*ISNUMBER(SEARCH(실물목록!$P$2:$P$1001,I1482))*(실물목록!$Q$2:$Q$1001&lt;&gt;"")*ISNUMBER(SEARCH(실물목록!$Q$2:$Q$1001,I1482))*(실물목록!$R$2:$R$1001="")*(실물목록!$O$2:$O$1001&lt;&gt;"")*(실물목록!$O$2:$O$1001=H1482)))</f>
      </c>
      <c r="H1482" t="str">
        <f>IFERROR(IF(AND(LEN(SUBSTITUTE(SUBSTITUTE(SUBSTITUTE(TRIM(A1482&amp;""),CHAR(160),"")," ",""),"년",""))=4,VALUE(SUBSTITUTE(SUBSTITUTE(SUBSTITUTE(TRIM(A1482&amp;""),CHAR(160),"")," ",""),"년",""))&gt;=1900,VALUE(SUBSTITUTE(SUBSTITUTE(SUBSTITUTE(TRIM(A1482&amp;""),CHAR(160),"")," ",""),"년",""))&lt;=2099,TEXT(VALUE(SUBSTITUTE(SUBSTITUTE(SUBSTITUTE(TRIM(A1482&amp;""),CHAR(160),"")," ",""),"년","")),"0000")=SUBSTITUTE(SUBSTITUTE(SUBSTITUTE(TRIM(A1482&amp;""),CHAR(160),"")," ",""),"년","")),SUBSTITUTE(SUBSTITUTE(SUBSTITUTE(TRIM(A1482&amp;""),CHAR(160),"")," ",""),"년",""),""),"")</f>
      </c>
      <c r="I1482" t="str">
        <f>SUBSTITUTE(SUBSTITUTE(SUBSTITUTE(SUBSTITUTE(SUBSTITUTE(TRIM(B1482&amp;""),CHAR(160),"")," ",""),"초등학교","초"),"중학교","중"),"고등학교","고")</f>
      </c>
    </row>
    <row r="1483" customFormat="false" ht="15" hidden="false" customHeight="false" outlineLevel="0" collapsed="false">
      <c r="A1483" s="8"/>
      <c r="B1483" s="8"/>
      <c r="C1483" s="8"/>
      <c r="D1483" s="8"/>
      <c r="E1483" s="8"/>
      <c r="F1483" t="str" s="15">
        <f aca="0">IF(B1483="","",IF(H1483="","확인필요(입력누락)",IF(SUMPRODUCT((실물목록!$P$2:$P$1001&lt;&gt;"")*ISNUMBER(SEARCH(실물목록!$P$2:$P$1001,I1483))*(실물목록!$Q$2:$Q$1001&lt;&gt;"")*ISNUMBER(SEARCH(실물목록!$Q$2:$Q$1001,I1483))*(실물목록!$R$2:$R$1001="")*(실물목록!$O$2:$O$1001&lt;&gt;"")*(실물목록!$O$2:$O$1001=H1483))&gt;0,"실물 있음",IF(SUMPRODUCT((실물목록!$P$2:$P$1001&lt;&gt;"")*ISNUMBER(SEARCH(실물목록!$P$2:$P$1001,I1483))*(실물목록!$R$2:$R$1001&lt;&gt;""))&gt;0,"확인필요(입력누락)",IF(SUMPRODUCT((실물목록!$P$2:$P$1001&lt;&gt;"")*ISNUMBER(SEARCH(실물목록!$P$2:$P$1001,I1483))*(실물목록!$Q$2:$Q$1001&lt;&gt;"")*ISNUMBER(SEARCH(실물목록!$Q$2:$Q$1001,I1483))*(실물목록!$R$2:$R$1001="")*(실물목록!$O$2:$O$1001&lt;&gt;""))&gt;0,"확인필요(연도다름)","실물 없음")))))</f>
      </c>
      <c r="G1483" t="n" s="16">
        <f aca="0">IF(B1483="","",SUMPRODUCT((실물목록!$P$2:$P$1001&lt;&gt;"")*ISNUMBER(SEARCH(실물목록!$P$2:$P$1001,I1483))*(실물목록!$Q$2:$Q$1001&lt;&gt;"")*ISNUMBER(SEARCH(실물목록!$Q$2:$Q$1001,I1483))*(실물목록!$R$2:$R$1001="")*(실물목록!$O$2:$O$1001&lt;&gt;"")*(실물목록!$O$2:$O$1001=H1483)))</f>
      </c>
      <c r="H1483" t="str">
        <f>IFERROR(IF(AND(LEN(SUBSTITUTE(SUBSTITUTE(SUBSTITUTE(TRIM(A1483&amp;""),CHAR(160),"")," ",""),"년",""))=4,VALUE(SUBSTITUTE(SUBSTITUTE(SUBSTITUTE(TRIM(A1483&amp;""),CHAR(160),"")," ",""),"년",""))&gt;=1900,VALUE(SUBSTITUTE(SUBSTITUTE(SUBSTITUTE(TRIM(A1483&amp;""),CHAR(160),"")," ",""),"년",""))&lt;=2099,TEXT(VALUE(SUBSTITUTE(SUBSTITUTE(SUBSTITUTE(TRIM(A1483&amp;""),CHAR(160),"")," ",""),"년","")),"0000")=SUBSTITUTE(SUBSTITUTE(SUBSTITUTE(TRIM(A1483&amp;""),CHAR(160),"")," ",""),"년","")),SUBSTITUTE(SUBSTITUTE(SUBSTITUTE(TRIM(A1483&amp;""),CHAR(160),"")," ",""),"년",""),""),"")</f>
      </c>
      <c r="I1483" t="str">
        <f>SUBSTITUTE(SUBSTITUTE(SUBSTITUTE(SUBSTITUTE(SUBSTITUTE(TRIM(B1483&amp;""),CHAR(160),"")," ",""),"초등학교","초"),"중학교","중"),"고등학교","고")</f>
      </c>
    </row>
    <row r="1484" customFormat="false" ht="15" hidden="false" customHeight="false" outlineLevel="0" collapsed="false">
      <c r="A1484" s="8"/>
      <c r="B1484" s="8"/>
      <c r="C1484" s="8"/>
      <c r="D1484" s="8"/>
      <c r="E1484" s="8"/>
      <c r="F1484" t="str" s="15">
        <f aca="0">IF(B1484="","",IF(H1484="","확인필요(입력누락)",IF(SUMPRODUCT((실물목록!$P$2:$P$1001&lt;&gt;"")*ISNUMBER(SEARCH(실물목록!$P$2:$P$1001,I1484))*(실물목록!$Q$2:$Q$1001&lt;&gt;"")*ISNUMBER(SEARCH(실물목록!$Q$2:$Q$1001,I1484))*(실물목록!$R$2:$R$1001="")*(실물목록!$O$2:$O$1001&lt;&gt;"")*(실물목록!$O$2:$O$1001=H1484))&gt;0,"실물 있음",IF(SUMPRODUCT((실물목록!$P$2:$P$1001&lt;&gt;"")*ISNUMBER(SEARCH(실물목록!$P$2:$P$1001,I1484))*(실물목록!$R$2:$R$1001&lt;&gt;""))&gt;0,"확인필요(입력누락)",IF(SUMPRODUCT((실물목록!$P$2:$P$1001&lt;&gt;"")*ISNUMBER(SEARCH(실물목록!$P$2:$P$1001,I1484))*(실물목록!$Q$2:$Q$1001&lt;&gt;"")*ISNUMBER(SEARCH(실물목록!$Q$2:$Q$1001,I1484))*(실물목록!$R$2:$R$1001="")*(실물목록!$O$2:$O$1001&lt;&gt;""))&gt;0,"확인필요(연도다름)","실물 없음")))))</f>
      </c>
      <c r="G1484" t="n" s="16">
        <f aca="0">IF(B1484="","",SUMPRODUCT((실물목록!$P$2:$P$1001&lt;&gt;"")*ISNUMBER(SEARCH(실물목록!$P$2:$P$1001,I1484))*(실물목록!$Q$2:$Q$1001&lt;&gt;"")*ISNUMBER(SEARCH(실물목록!$Q$2:$Q$1001,I1484))*(실물목록!$R$2:$R$1001="")*(실물목록!$O$2:$O$1001&lt;&gt;"")*(실물목록!$O$2:$O$1001=H1484)))</f>
      </c>
      <c r="H1484" t="str">
        <f>IFERROR(IF(AND(LEN(SUBSTITUTE(SUBSTITUTE(SUBSTITUTE(TRIM(A1484&amp;""),CHAR(160),"")," ",""),"년",""))=4,VALUE(SUBSTITUTE(SUBSTITUTE(SUBSTITUTE(TRIM(A1484&amp;""),CHAR(160),"")," ",""),"년",""))&gt;=1900,VALUE(SUBSTITUTE(SUBSTITUTE(SUBSTITUTE(TRIM(A1484&amp;""),CHAR(160),"")," ",""),"년",""))&lt;=2099,TEXT(VALUE(SUBSTITUTE(SUBSTITUTE(SUBSTITUTE(TRIM(A1484&amp;""),CHAR(160),"")," ",""),"년","")),"0000")=SUBSTITUTE(SUBSTITUTE(SUBSTITUTE(TRIM(A1484&amp;""),CHAR(160),"")," ",""),"년","")),SUBSTITUTE(SUBSTITUTE(SUBSTITUTE(TRIM(A1484&amp;""),CHAR(160),"")," ",""),"년",""),""),"")</f>
      </c>
      <c r="I1484" t="str">
        <f>SUBSTITUTE(SUBSTITUTE(SUBSTITUTE(SUBSTITUTE(SUBSTITUTE(TRIM(B1484&amp;""),CHAR(160),"")," ",""),"초등학교","초"),"중학교","중"),"고등학교","고")</f>
      </c>
    </row>
    <row r="1485" customFormat="false" ht="15" hidden="false" customHeight="false" outlineLevel="0" collapsed="false">
      <c r="A1485" s="8"/>
      <c r="B1485" s="8"/>
      <c r="C1485" s="8"/>
      <c r="D1485" s="8"/>
      <c r="E1485" s="8"/>
      <c r="F1485" t="str" s="15">
        <f aca="0">IF(B1485="","",IF(H1485="","확인필요(입력누락)",IF(SUMPRODUCT((실물목록!$P$2:$P$1001&lt;&gt;"")*ISNUMBER(SEARCH(실물목록!$P$2:$P$1001,I1485))*(실물목록!$Q$2:$Q$1001&lt;&gt;"")*ISNUMBER(SEARCH(실물목록!$Q$2:$Q$1001,I1485))*(실물목록!$R$2:$R$1001="")*(실물목록!$O$2:$O$1001&lt;&gt;"")*(실물목록!$O$2:$O$1001=H1485))&gt;0,"실물 있음",IF(SUMPRODUCT((실물목록!$P$2:$P$1001&lt;&gt;"")*ISNUMBER(SEARCH(실물목록!$P$2:$P$1001,I1485))*(실물목록!$R$2:$R$1001&lt;&gt;""))&gt;0,"확인필요(입력누락)",IF(SUMPRODUCT((실물목록!$P$2:$P$1001&lt;&gt;"")*ISNUMBER(SEARCH(실물목록!$P$2:$P$1001,I1485))*(실물목록!$Q$2:$Q$1001&lt;&gt;"")*ISNUMBER(SEARCH(실물목록!$Q$2:$Q$1001,I1485))*(실물목록!$R$2:$R$1001="")*(실물목록!$O$2:$O$1001&lt;&gt;""))&gt;0,"확인필요(연도다름)","실물 없음")))))</f>
      </c>
      <c r="G1485" t="n" s="16">
        <f aca="0">IF(B1485="","",SUMPRODUCT((실물목록!$P$2:$P$1001&lt;&gt;"")*ISNUMBER(SEARCH(실물목록!$P$2:$P$1001,I1485))*(실물목록!$Q$2:$Q$1001&lt;&gt;"")*ISNUMBER(SEARCH(실물목록!$Q$2:$Q$1001,I1485))*(실물목록!$R$2:$R$1001="")*(실물목록!$O$2:$O$1001&lt;&gt;"")*(실물목록!$O$2:$O$1001=H1485)))</f>
      </c>
      <c r="H1485" t="str">
        <f>IFERROR(IF(AND(LEN(SUBSTITUTE(SUBSTITUTE(SUBSTITUTE(TRIM(A1485&amp;""),CHAR(160),"")," ",""),"년",""))=4,VALUE(SUBSTITUTE(SUBSTITUTE(SUBSTITUTE(TRIM(A1485&amp;""),CHAR(160),"")," ",""),"년",""))&gt;=1900,VALUE(SUBSTITUTE(SUBSTITUTE(SUBSTITUTE(TRIM(A1485&amp;""),CHAR(160),"")," ",""),"년",""))&lt;=2099,TEXT(VALUE(SUBSTITUTE(SUBSTITUTE(SUBSTITUTE(TRIM(A1485&amp;""),CHAR(160),"")," ",""),"년","")),"0000")=SUBSTITUTE(SUBSTITUTE(SUBSTITUTE(TRIM(A1485&amp;""),CHAR(160),"")," ",""),"년","")),SUBSTITUTE(SUBSTITUTE(SUBSTITUTE(TRIM(A1485&amp;""),CHAR(160),"")," ",""),"년",""),""),"")</f>
      </c>
      <c r="I1485" t="str">
        <f>SUBSTITUTE(SUBSTITUTE(SUBSTITUTE(SUBSTITUTE(SUBSTITUTE(TRIM(B1485&amp;""),CHAR(160),"")," ",""),"초등학교","초"),"중학교","중"),"고등학교","고")</f>
      </c>
    </row>
    <row r="1486" customFormat="false" ht="15" hidden="false" customHeight="false" outlineLevel="0" collapsed="false">
      <c r="A1486" s="8"/>
      <c r="B1486" s="8"/>
      <c r="C1486" s="8"/>
      <c r="D1486" s="8"/>
      <c r="E1486" s="8"/>
      <c r="F1486" t="str" s="15">
        <f aca="0">IF(B1486="","",IF(H1486="","확인필요(입력누락)",IF(SUMPRODUCT((실물목록!$P$2:$P$1001&lt;&gt;"")*ISNUMBER(SEARCH(실물목록!$P$2:$P$1001,I1486))*(실물목록!$Q$2:$Q$1001&lt;&gt;"")*ISNUMBER(SEARCH(실물목록!$Q$2:$Q$1001,I1486))*(실물목록!$R$2:$R$1001="")*(실물목록!$O$2:$O$1001&lt;&gt;"")*(실물목록!$O$2:$O$1001=H1486))&gt;0,"실물 있음",IF(SUMPRODUCT((실물목록!$P$2:$P$1001&lt;&gt;"")*ISNUMBER(SEARCH(실물목록!$P$2:$P$1001,I1486))*(실물목록!$R$2:$R$1001&lt;&gt;""))&gt;0,"확인필요(입력누락)",IF(SUMPRODUCT((실물목록!$P$2:$P$1001&lt;&gt;"")*ISNUMBER(SEARCH(실물목록!$P$2:$P$1001,I1486))*(실물목록!$Q$2:$Q$1001&lt;&gt;"")*ISNUMBER(SEARCH(실물목록!$Q$2:$Q$1001,I1486))*(실물목록!$R$2:$R$1001="")*(실물목록!$O$2:$O$1001&lt;&gt;""))&gt;0,"확인필요(연도다름)","실물 없음")))))</f>
      </c>
      <c r="G1486" t="n" s="16">
        <f aca="0">IF(B1486="","",SUMPRODUCT((실물목록!$P$2:$P$1001&lt;&gt;"")*ISNUMBER(SEARCH(실물목록!$P$2:$P$1001,I1486))*(실물목록!$Q$2:$Q$1001&lt;&gt;"")*ISNUMBER(SEARCH(실물목록!$Q$2:$Q$1001,I1486))*(실물목록!$R$2:$R$1001="")*(실물목록!$O$2:$O$1001&lt;&gt;"")*(실물목록!$O$2:$O$1001=H1486)))</f>
      </c>
      <c r="H1486" t="str">
        <f>IFERROR(IF(AND(LEN(SUBSTITUTE(SUBSTITUTE(SUBSTITUTE(TRIM(A1486&amp;""),CHAR(160),"")," ",""),"년",""))=4,VALUE(SUBSTITUTE(SUBSTITUTE(SUBSTITUTE(TRIM(A1486&amp;""),CHAR(160),"")," ",""),"년",""))&gt;=1900,VALUE(SUBSTITUTE(SUBSTITUTE(SUBSTITUTE(TRIM(A1486&amp;""),CHAR(160),"")," ",""),"년",""))&lt;=2099,TEXT(VALUE(SUBSTITUTE(SUBSTITUTE(SUBSTITUTE(TRIM(A1486&amp;""),CHAR(160),"")," ",""),"년","")),"0000")=SUBSTITUTE(SUBSTITUTE(SUBSTITUTE(TRIM(A1486&amp;""),CHAR(160),"")," ",""),"년","")),SUBSTITUTE(SUBSTITUTE(SUBSTITUTE(TRIM(A1486&amp;""),CHAR(160),"")," ",""),"년",""),""),"")</f>
      </c>
      <c r="I1486" t="str">
        <f>SUBSTITUTE(SUBSTITUTE(SUBSTITUTE(SUBSTITUTE(SUBSTITUTE(TRIM(B1486&amp;""),CHAR(160),"")," ",""),"초등학교","초"),"중학교","중"),"고등학교","고")</f>
      </c>
    </row>
    <row r="1487" customFormat="false" ht="15" hidden="false" customHeight="false" outlineLevel="0" collapsed="false">
      <c r="A1487" s="8"/>
      <c r="B1487" s="8"/>
      <c r="C1487" s="8"/>
      <c r="D1487" s="8"/>
      <c r="E1487" s="8"/>
      <c r="F1487" t="str" s="15">
        <f aca="0">IF(B1487="","",IF(H1487="","확인필요(입력누락)",IF(SUMPRODUCT((실물목록!$P$2:$P$1001&lt;&gt;"")*ISNUMBER(SEARCH(실물목록!$P$2:$P$1001,I1487))*(실물목록!$Q$2:$Q$1001&lt;&gt;"")*ISNUMBER(SEARCH(실물목록!$Q$2:$Q$1001,I1487))*(실물목록!$R$2:$R$1001="")*(실물목록!$O$2:$O$1001&lt;&gt;"")*(실물목록!$O$2:$O$1001=H1487))&gt;0,"실물 있음",IF(SUMPRODUCT((실물목록!$P$2:$P$1001&lt;&gt;"")*ISNUMBER(SEARCH(실물목록!$P$2:$P$1001,I1487))*(실물목록!$R$2:$R$1001&lt;&gt;""))&gt;0,"확인필요(입력누락)",IF(SUMPRODUCT((실물목록!$P$2:$P$1001&lt;&gt;"")*ISNUMBER(SEARCH(실물목록!$P$2:$P$1001,I1487))*(실물목록!$Q$2:$Q$1001&lt;&gt;"")*ISNUMBER(SEARCH(실물목록!$Q$2:$Q$1001,I1487))*(실물목록!$R$2:$R$1001="")*(실물목록!$O$2:$O$1001&lt;&gt;""))&gt;0,"확인필요(연도다름)","실물 없음")))))</f>
      </c>
      <c r="G1487" t="n" s="16">
        <f aca="0">IF(B1487="","",SUMPRODUCT((실물목록!$P$2:$P$1001&lt;&gt;"")*ISNUMBER(SEARCH(실물목록!$P$2:$P$1001,I1487))*(실물목록!$Q$2:$Q$1001&lt;&gt;"")*ISNUMBER(SEARCH(실물목록!$Q$2:$Q$1001,I1487))*(실물목록!$R$2:$R$1001="")*(실물목록!$O$2:$O$1001&lt;&gt;"")*(실물목록!$O$2:$O$1001=H1487)))</f>
      </c>
      <c r="H1487" t="str">
        <f>IFERROR(IF(AND(LEN(SUBSTITUTE(SUBSTITUTE(SUBSTITUTE(TRIM(A1487&amp;""),CHAR(160),"")," ",""),"년",""))=4,VALUE(SUBSTITUTE(SUBSTITUTE(SUBSTITUTE(TRIM(A1487&amp;""),CHAR(160),"")," ",""),"년",""))&gt;=1900,VALUE(SUBSTITUTE(SUBSTITUTE(SUBSTITUTE(TRIM(A1487&amp;""),CHAR(160),"")," ",""),"년",""))&lt;=2099,TEXT(VALUE(SUBSTITUTE(SUBSTITUTE(SUBSTITUTE(TRIM(A1487&amp;""),CHAR(160),"")," ",""),"년","")),"0000")=SUBSTITUTE(SUBSTITUTE(SUBSTITUTE(TRIM(A1487&amp;""),CHAR(160),"")," ",""),"년","")),SUBSTITUTE(SUBSTITUTE(SUBSTITUTE(TRIM(A1487&amp;""),CHAR(160),"")," ",""),"년",""),""),"")</f>
      </c>
      <c r="I1487" t="str">
        <f>SUBSTITUTE(SUBSTITUTE(SUBSTITUTE(SUBSTITUTE(SUBSTITUTE(TRIM(B1487&amp;""),CHAR(160),"")," ",""),"초등학교","초"),"중학교","중"),"고등학교","고")</f>
      </c>
    </row>
    <row r="1488" customFormat="false" ht="15" hidden="false" customHeight="false" outlineLevel="0" collapsed="false">
      <c r="A1488" s="8"/>
      <c r="B1488" s="8"/>
      <c r="C1488" s="8"/>
      <c r="D1488" s="8"/>
      <c r="E1488" s="8"/>
      <c r="F1488" t="str" s="15">
        <f aca="0">IF(B1488="","",IF(H1488="","확인필요(입력누락)",IF(SUMPRODUCT((실물목록!$P$2:$P$1001&lt;&gt;"")*ISNUMBER(SEARCH(실물목록!$P$2:$P$1001,I1488))*(실물목록!$Q$2:$Q$1001&lt;&gt;"")*ISNUMBER(SEARCH(실물목록!$Q$2:$Q$1001,I1488))*(실물목록!$R$2:$R$1001="")*(실물목록!$O$2:$O$1001&lt;&gt;"")*(실물목록!$O$2:$O$1001=H1488))&gt;0,"실물 있음",IF(SUMPRODUCT((실물목록!$P$2:$P$1001&lt;&gt;"")*ISNUMBER(SEARCH(실물목록!$P$2:$P$1001,I1488))*(실물목록!$R$2:$R$1001&lt;&gt;""))&gt;0,"확인필요(입력누락)",IF(SUMPRODUCT((실물목록!$P$2:$P$1001&lt;&gt;"")*ISNUMBER(SEARCH(실물목록!$P$2:$P$1001,I1488))*(실물목록!$Q$2:$Q$1001&lt;&gt;"")*ISNUMBER(SEARCH(실물목록!$Q$2:$Q$1001,I1488))*(실물목록!$R$2:$R$1001="")*(실물목록!$O$2:$O$1001&lt;&gt;""))&gt;0,"확인필요(연도다름)","실물 없음")))))</f>
      </c>
      <c r="G1488" t="n" s="16">
        <f aca="0">IF(B1488="","",SUMPRODUCT((실물목록!$P$2:$P$1001&lt;&gt;"")*ISNUMBER(SEARCH(실물목록!$P$2:$P$1001,I1488))*(실물목록!$Q$2:$Q$1001&lt;&gt;"")*ISNUMBER(SEARCH(실물목록!$Q$2:$Q$1001,I1488))*(실물목록!$R$2:$R$1001="")*(실물목록!$O$2:$O$1001&lt;&gt;"")*(실물목록!$O$2:$O$1001=H1488)))</f>
      </c>
      <c r="H1488" t="str">
        <f>IFERROR(IF(AND(LEN(SUBSTITUTE(SUBSTITUTE(SUBSTITUTE(TRIM(A1488&amp;""),CHAR(160),"")," ",""),"년",""))=4,VALUE(SUBSTITUTE(SUBSTITUTE(SUBSTITUTE(TRIM(A1488&amp;""),CHAR(160),"")," ",""),"년",""))&gt;=1900,VALUE(SUBSTITUTE(SUBSTITUTE(SUBSTITUTE(TRIM(A1488&amp;""),CHAR(160),"")," ",""),"년",""))&lt;=2099,TEXT(VALUE(SUBSTITUTE(SUBSTITUTE(SUBSTITUTE(TRIM(A1488&amp;""),CHAR(160),"")," ",""),"년","")),"0000")=SUBSTITUTE(SUBSTITUTE(SUBSTITUTE(TRIM(A1488&amp;""),CHAR(160),"")," ",""),"년","")),SUBSTITUTE(SUBSTITUTE(SUBSTITUTE(TRIM(A1488&amp;""),CHAR(160),"")," ",""),"년",""),""),"")</f>
      </c>
      <c r="I1488" t="str">
        <f>SUBSTITUTE(SUBSTITUTE(SUBSTITUTE(SUBSTITUTE(SUBSTITUTE(TRIM(B1488&amp;""),CHAR(160),"")," ",""),"초등학교","초"),"중학교","중"),"고등학교","고")</f>
      </c>
    </row>
    <row r="1489" customFormat="false" ht="15" hidden="false" customHeight="false" outlineLevel="0" collapsed="false">
      <c r="A1489" s="8"/>
      <c r="B1489" s="8"/>
      <c r="C1489" s="8"/>
      <c r="D1489" s="8"/>
      <c r="E1489" s="8"/>
      <c r="F1489" t="str" s="15">
        <f aca="0">IF(B1489="","",IF(H1489="","확인필요(입력누락)",IF(SUMPRODUCT((실물목록!$P$2:$P$1001&lt;&gt;"")*ISNUMBER(SEARCH(실물목록!$P$2:$P$1001,I1489))*(실물목록!$Q$2:$Q$1001&lt;&gt;"")*ISNUMBER(SEARCH(실물목록!$Q$2:$Q$1001,I1489))*(실물목록!$R$2:$R$1001="")*(실물목록!$O$2:$O$1001&lt;&gt;"")*(실물목록!$O$2:$O$1001=H1489))&gt;0,"실물 있음",IF(SUMPRODUCT((실물목록!$P$2:$P$1001&lt;&gt;"")*ISNUMBER(SEARCH(실물목록!$P$2:$P$1001,I1489))*(실물목록!$R$2:$R$1001&lt;&gt;""))&gt;0,"확인필요(입력누락)",IF(SUMPRODUCT((실물목록!$P$2:$P$1001&lt;&gt;"")*ISNUMBER(SEARCH(실물목록!$P$2:$P$1001,I1489))*(실물목록!$Q$2:$Q$1001&lt;&gt;"")*ISNUMBER(SEARCH(실물목록!$Q$2:$Q$1001,I1489))*(실물목록!$R$2:$R$1001="")*(실물목록!$O$2:$O$1001&lt;&gt;""))&gt;0,"확인필요(연도다름)","실물 없음")))))</f>
      </c>
      <c r="G1489" t="n" s="16">
        <f aca="0">IF(B1489="","",SUMPRODUCT((실물목록!$P$2:$P$1001&lt;&gt;"")*ISNUMBER(SEARCH(실물목록!$P$2:$P$1001,I1489))*(실물목록!$Q$2:$Q$1001&lt;&gt;"")*ISNUMBER(SEARCH(실물목록!$Q$2:$Q$1001,I1489))*(실물목록!$R$2:$R$1001="")*(실물목록!$O$2:$O$1001&lt;&gt;"")*(실물목록!$O$2:$O$1001=H1489)))</f>
      </c>
      <c r="H1489" t="str">
        <f>IFERROR(IF(AND(LEN(SUBSTITUTE(SUBSTITUTE(SUBSTITUTE(TRIM(A1489&amp;""),CHAR(160),"")," ",""),"년",""))=4,VALUE(SUBSTITUTE(SUBSTITUTE(SUBSTITUTE(TRIM(A1489&amp;""),CHAR(160),"")," ",""),"년",""))&gt;=1900,VALUE(SUBSTITUTE(SUBSTITUTE(SUBSTITUTE(TRIM(A1489&amp;""),CHAR(160),"")," ",""),"년",""))&lt;=2099,TEXT(VALUE(SUBSTITUTE(SUBSTITUTE(SUBSTITUTE(TRIM(A1489&amp;""),CHAR(160),"")," ",""),"년","")),"0000")=SUBSTITUTE(SUBSTITUTE(SUBSTITUTE(TRIM(A1489&amp;""),CHAR(160),"")," ",""),"년","")),SUBSTITUTE(SUBSTITUTE(SUBSTITUTE(TRIM(A1489&amp;""),CHAR(160),"")," ",""),"년",""),""),"")</f>
      </c>
      <c r="I1489" t="str">
        <f>SUBSTITUTE(SUBSTITUTE(SUBSTITUTE(SUBSTITUTE(SUBSTITUTE(TRIM(B1489&amp;""),CHAR(160),"")," ",""),"초등학교","초"),"중학교","중"),"고등학교","고")</f>
      </c>
    </row>
    <row r="1490" customFormat="false" ht="15" hidden="false" customHeight="false" outlineLevel="0" collapsed="false">
      <c r="A1490" s="8"/>
      <c r="B1490" s="8"/>
      <c r="C1490" s="8"/>
      <c r="D1490" s="8"/>
      <c r="E1490" s="8"/>
      <c r="F1490" t="str" s="15">
        <f aca="0">IF(B1490="","",IF(H1490="","확인필요(입력누락)",IF(SUMPRODUCT((실물목록!$P$2:$P$1001&lt;&gt;"")*ISNUMBER(SEARCH(실물목록!$P$2:$P$1001,I1490))*(실물목록!$Q$2:$Q$1001&lt;&gt;"")*ISNUMBER(SEARCH(실물목록!$Q$2:$Q$1001,I1490))*(실물목록!$R$2:$R$1001="")*(실물목록!$O$2:$O$1001&lt;&gt;"")*(실물목록!$O$2:$O$1001=H1490))&gt;0,"실물 있음",IF(SUMPRODUCT((실물목록!$P$2:$P$1001&lt;&gt;"")*ISNUMBER(SEARCH(실물목록!$P$2:$P$1001,I1490))*(실물목록!$R$2:$R$1001&lt;&gt;""))&gt;0,"확인필요(입력누락)",IF(SUMPRODUCT((실물목록!$P$2:$P$1001&lt;&gt;"")*ISNUMBER(SEARCH(실물목록!$P$2:$P$1001,I1490))*(실물목록!$Q$2:$Q$1001&lt;&gt;"")*ISNUMBER(SEARCH(실물목록!$Q$2:$Q$1001,I1490))*(실물목록!$R$2:$R$1001="")*(실물목록!$O$2:$O$1001&lt;&gt;""))&gt;0,"확인필요(연도다름)","실물 없음")))))</f>
      </c>
      <c r="G1490" t="n" s="16">
        <f aca="0">IF(B1490="","",SUMPRODUCT((실물목록!$P$2:$P$1001&lt;&gt;"")*ISNUMBER(SEARCH(실물목록!$P$2:$P$1001,I1490))*(실물목록!$Q$2:$Q$1001&lt;&gt;"")*ISNUMBER(SEARCH(실물목록!$Q$2:$Q$1001,I1490))*(실물목록!$R$2:$R$1001="")*(실물목록!$O$2:$O$1001&lt;&gt;"")*(실물목록!$O$2:$O$1001=H1490)))</f>
      </c>
      <c r="H1490" t="str">
        <f>IFERROR(IF(AND(LEN(SUBSTITUTE(SUBSTITUTE(SUBSTITUTE(TRIM(A1490&amp;""),CHAR(160),"")," ",""),"년",""))=4,VALUE(SUBSTITUTE(SUBSTITUTE(SUBSTITUTE(TRIM(A1490&amp;""),CHAR(160),"")," ",""),"년",""))&gt;=1900,VALUE(SUBSTITUTE(SUBSTITUTE(SUBSTITUTE(TRIM(A1490&amp;""),CHAR(160),"")," ",""),"년",""))&lt;=2099,TEXT(VALUE(SUBSTITUTE(SUBSTITUTE(SUBSTITUTE(TRIM(A1490&amp;""),CHAR(160),"")," ",""),"년","")),"0000")=SUBSTITUTE(SUBSTITUTE(SUBSTITUTE(TRIM(A1490&amp;""),CHAR(160),"")," ",""),"년","")),SUBSTITUTE(SUBSTITUTE(SUBSTITUTE(TRIM(A1490&amp;""),CHAR(160),"")," ",""),"년",""),""),"")</f>
      </c>
      <c r="I1490" t="str">
        <f>SUBSTITUTE(SUBSTITUTE(SUBSTITUTE(SUBSTITUTE(SUBSTITUTE(TRIM(B1490&amp;""),CHAR(160),"")," ",""),"초등학교","초"),"중학교","중"),"고등학교","고")</f>
      </c>
    </row>
    <row r="1491" customFormat="false" ht="15" hidden="false" customHeight="false" outlineLevel="0" collapsed="false">
      <c r="A1491" s="8"/>
      <c r="B1491" s="8"/>
      <c r="C1491" s="8"/>
      <c r="D1491" s="8"/>
      <c r="E1491" s="8"/>
      <c r="F1491" t="str" s="15">
        <f aca="0">IF(B1491="","",IF(H1491="","확인필요(입력누락)",IF(SUMPRODUCT((실물목록!$P$2:$P$1001&lt;&gt;"")*ISNUMBER(SEARCH(실물목록!$P$2:$P$1001,I1491))*(실물목록!$Q$2:$Q$1001&lt;&gt;"")*ISNUMBER(SEARCH(실물목록!$Q$2:$Q$1001,I1491))*(실물목록!$R$2:$R$1001="")*(실물목록!$O$2:$O$1001&lt;&gt;"")*(실물목록!$O$2:$O$1001=H1491))&gt;0,"실물 있음",IF(SUMPRODUCT((실물목록!$P$2:$P$1001&lt;&gt;"")*ISNUMBER(SEARCH(실물목록!$P$2:$P$1001,I1491))*(실물목록!$R$2:$R$1001&lt;&gt;""))&gt;0,"확인필요(입력누락)",IF(SUMPRODUCT((실물목록!$P$2:$P$1001&lt;&gt;"")*ISNUMBER(SEARCH(실물목록!$P$2:$P$1001,I1491))*(실물목록!$Q$2:$Q$1001&lt;&gt;"")*ISNUMBER(SEARCH(실물목록!$Q$2:$Q$1001,I1491))*(실물목록!$R$2:$R$1001="")*(실물목록!$O$2:$O$1001&lt;&gt;""))&gt;0,"확인필요(연도다름)","실물 없음")))))</f>
      </c>
      <c r="G1491" t="n" s="16">
        <f aca="0">IF(B1491="","",SUMPRODUCT((실물목록!$P$2:$P$1001&lt;&gt;"")*ISNUMBER(SEARCH(실물목록!$P$2:$P$1001,I1491))*(실물목록!$Q$2:$Q$1001&lt;&gt;"")*ISNUMBER(SEARCH(실물목록!$Q$2:$Q$1001,I1491))*(실물목록!$R$2:$R$1001="")*(실물목록!$O$2:$O$1001&lt;&gt;"")*(실물목록!$O$2:$O$1001=H1491)))</f>
      </c>
      <c r="H1491" t="str">
        <f>IFERROR(IF(AND(LEN(SUBSTITUTE(SUBSTITUTE(SUBSTITUTE(TRIM(A1491&amp;""),CHAR(160),"")," ",""),"년",""))=4,VALUE(SUBSTITUTE(SUBSTITUTE(SUBSTITUTE(TRIM(A1491&amp;""),CHAR(160),"")," ",""),"년",""))&gt;=1900,VALUE(SUBSTITUTE(SUBSTITUTE(SUBSTITUTE(TRIM(A1491&amp;""),CHAR(160),"")," ",""),"년",""))&lt;=2099,TEXT(VALUE(SUBSTITUTE(SUBSTITUTE(SUBSTITUTE(TRIM(A1491&amp;""),CHAR(160),"")," ",""),"년","")),"0000")=SUBSTITUTE(SUBSTITUTE(SUBSTITUTE(TRIM(A1491&amp;""),CHAR(160),"")," ",""),"년","")),SUBSTITUTE(SUBSTITUTE(SUBSTITUTE(TRIM(A1491&amp;""),CHAR(160),"")," ",""),"년",""),""),"")</f>
      </c>
      <c r="I1491" t="str">
        <f>SUBSTITUTE(SUBSTITUTE(SUBSTITUTE(SUBSTITUTE(SUBSTITUTE(TRIM(B1491&amp;""),CHAR(160),"")," ",""),"초등학교","초"),"중학교","중"),"고등학교","고")</f>
      </c>
    </row>
    <row r="1492" customFormat="false" ht="15" hidden="false" customHeight="false" outlineLevel="0" collapsed="false">
      <c r="A1492" s="8"/>
      <c r="B1492" s="8"/>
      <c r="C1492" s="8"/>
      <c r="D1492" s="8"/>
      <c r="E1492" s="8"/>
      <c r="F1492" t="str" s="15">
        <f aca="0">IF(B1492="","",IF(H1492="","확인필요(입력누락)",IF(SUMPRODUCT((실물목록!$P$2:$P$1001&lt;&gt;"")*ISNUMBER(SEARCH(실물목록!$P$2:$P$1001,I1492))*(실물목록!$Q$2:$Q$1001&lt;&gt;"")*ISNUMBER(SEARCH(실물목록!$Q$2:$Q$1001,I1492))*(실물목록!$R$2:$R$1001="")*(실물목록!$O$2:$O$1001&lt;&gt;"")*(실물목록!$O$2:$O$1001=H1492))&gt;0,"실물 있음",IF(SUMPRODUCT((실물목록!$P$2:$P$1001&lt;&gt;"")*ISNUMBER(SEARCH(실물목록!$P$2:$P$1001,I1492))*(실물목록!$R$2:$R$1001&lt;&gt;""))&gt;0,"확인필요(입력누락)",IF(SUMPRODUCT((실물목록!$P$2:$P$1001&lt;&gt;"")*ISNUMBER(SEARCH(실물목록!$P$2:$P$1001,I1492))*(실물목록!$Q$2:$Q$1001&lt;&gt;"")*ISNUMBER(SEARCH(실물목록!$Q$2:$Q$1001,I1492))*(실물목록!$R$2:$R$1001="")*(실물목록!$O$2:$O$1001&lt;&gt;""))&gt;0,"확인필요(연도다름)","실물 없음")))))</f>
      </c>
      <c r="G1492" t="n" s="16">
        <f aca="0">IF(B1492="","",SUMPRODUCT((실물목록!$P$2:$P$1001&lt;&gt;"")*ISNUMBER(SEARCH(실물목록!$P$2:$P$1001,I1492))*(실물목록!$Q$2:$Q$1001&lt;&gt;"")*ISNUMBER(SEARCH(실물목록!$Q$2:$Q$1001,I1492))*(실물목록!$R$2:$R$1001="")*(실물목록!$O$2:$O$1001&lt;&gt;"")*(실물목록!$O$2:$O$1001=H1492)))</f>
      </c>
      <c r="H1492" t="str">
        <f>IFERROR(IF(AND(LEN(SUBSTITUTE(SUBSTITUTE(SUBSTITUTE(TRIM(A1492&amp;""),CHAR(160),"")," ",""),"년",""))=4,VALUE(SUBSTITUTE(SUBSTITUTE(SUBSTITUTE(TRIM(A1492&amp;""),CHAR(160),"")," ",""),"년",""))&gt;=1900,VALUE(SUBSTITUTE(SUBSTITUTE(SUBSTITUTE(TRIM(A1492&amp;""),CHAR(160),"")," ",""),"년",""))&lt;=2099,TEXT(VALUE(SUBSTITUTE(SUBSTITUTE(SUBSTITUTE(TRIM(A1492&amp;""),CHAR(160),"")," ",""),"년","")),"0000")=SUBSTITUTE(SUBSTITUTE(SUBSTITUTE(TRIM(A1492&amp;""),CHAR(160),"")," ",""),"년","")),SUBSTITUTE(SUBSTITUTE(SUBSTITUTE(TRIM(A1492&amp;""),CHAR(160),"")," ",""),"년",""),""),"")</f>
      </c>
      <c r="I1492" t="str">
        <f>SUBSTITUTE(SUBSTITUTE(SUBSTITUTE(SUBSTITUTE(SUBSTITUTE(TRIM(B1492&amp;""),CHAR(160),"")," ",""),"초등학교","초"),"중학교","중"),"고등학교","고")</f>
      </c>
    </row>
    <row r="1493" customFormat="false" ht="15" hidden="false" customHeight="false" outlineLevel="0" collapsed="false">
      <c r="A1493" s="8"/>
      <c r="B1493" s="8"/>
      <c r="C1493" s="8"/>
      <c r="D1493" s="8"/>
      <c r="E1493" s="8"/>
      <c r="F1493" t="str" s="15">
        <f aca="0">IF(B1493="","",IF(H1493="","확인필요(입력누락)",IF(SUMPRODUCT((실물목록!$P$2:$P$1001&lt;&gt;"")*ISNUMBER(SEARCH(실물목록!$P$2:$P$1001,I1493))*(실물목록!$Q$2:$Q$1001&lt;&gt;"")*ISNUMBER(SEARCH(실물목록!$Q$2:$Q$1001,I1493))*(실물목록!$R$2:$R$1001="")*(실물목록!$O$2:$O$1001&lt;&gt;"")*(실물목록!$O$2:$O$1001=H1493))&gt;0,"실물 있음",IF(SUMPRODUCT((실물목록!$P$2:$P$1001&lt;&gt;"")*ISNUMBER(SEARCH(실물목록!$P$2:$P$1001,I1493))*(실물목록!$R$2:$R$1001&lt;&gt;""))&gt;0,"확인필요(입력누락)",IF(SUMPRODUCT((실물목록!$P$2:$P$1001&lt;&gt;"")*ISNUMBER(SEARCH(실물목록!$P$2:$P$1001,I1493))*(실물목록!$Q$2:$Q$1001&lt;&gt;"")*ISNUMBER(SEARCH(실물목록!$Q$2:$Q$1001,I1493))*(실물목록!$R$2:$R$1001="")*(실물목록!$O$2:$O$1001&lt;&gt;""))&gt;0,"확인필요(연도다름)","실물 없음")))))</f>
      </c>
      <c r="G1493" t="n" s="16">
        <f aca="0">IF(B1493="","",SUMPRODUCT((실물목록!$P$2:$P$1001&lt;&gt;"")*ISNUMBER(SEARCH(실물목록!$P$2:$P$1001,I1493))*(실물목록!$Q$2:$Q$1001&lt;&gt;"")*ISNUMBER(SEARCH(실물목록!$Q$2:$Q$1001,I1493))*(실물목록!$R$2:$R$1001="")*(실물목록!$O$2:$O$1001&lt;&gt;"")*(실물목록!$O$2:$O$1001=H1493)))</f>
      </c>
      <c r="H1493" t="str">
        <f>IFERROR(IF(AND(LEN(SUBSTITUTE(SUBSTITUTE(SUBSTITUTE(TRIM(A1493&amp;""),CHAR(160),"")," ",""),"년",""))=4,VALUE(SUBSTITUTE(SUBSTITUTE(SUBSTITUTE(TRIM(A1493&amp;""),CHAR(160),"")," ",""),"년",""))&gt;=1900,VALUE(SUBSTITUTE(SUBSTITUTE(SUBSTITUTE(TRIM(A1493&amp;""),CHAR(160),"")," ",""),"년",""))&lt;=2099,TEXT(VALUE(SUBSTITUTE(SUBSTITUTE(SUBSTITUTE(TRIM(A1493&amp;""),CHAR(160),"")," ",""),"년","")),"0000")=SUBSTITUTE(SUBSTITUTE(SUBSTITUTE(TRIM(A1493&amp;""),CHAR(160),"")," ",""),"년","")),SUBSTITUTE(SUBSTITUTE(SUBSTITUTE(TRIM(A1493&amp;""),CHAR(160),"")," ",""),"년",""),""),"")</f>
      </c>
      <c r="I1493" t="str">
        <f>SUBSTITUTE(SUBSTITUTE(SUBSTITUTE(SUBSTITUTE(SUBSTITUTE(TRIM(B1493&amp;""),CHAR(160),"")," ",""),"초등학교","초"),"중학교","중"),"고등학교","고")</f>
      </c>
    </row>
    <row r="1494" customFormat="false" ht="15" hidden="false" customHeight="false" outlineLevel="0" collapsed="false">
      <c r="A1494" s="8"/>
      <c r="B1494" s="8"/>
      <c r="C1494" s="8"/>
      <c r="D1494" s="8"/>
      <c r="E1494" s="8"/>
      <c r="F1494" t="str" s="15">
        <f aca="0">IF(B1494="","",IF(H1494="","확인필요(입력누락)",IF(SUMPRODUCT((실물목록!$P$2:$P$1001&lt;&gt;"")*ISNUMBER(SEARCH(실물목록!$P$2:$P$1001,I1494))*(실물목록!$Q$2:$Q$1001&lt;&gt;"")*ISNUMBER(SEARCH(실물목록!$Q$2:$Q$1001,I1494))*(실물목록!$R$2:$R$1001="")*(실물목록!$O$2:$O$1001&lt;&gt;"")*(실물목록!$O$2:$O$1001=H1494))&gt;0,"실물 있음",IF(SUMPRODUCT((실물목록!$P$2:$P$1001&lt;&gt;"")*ISNUMBER(SEARCH(실물목록!$P$2:$P$1001,I1494))*(실물목록!$R$2:$R$1001&lt;&gt;""))&gt;0,"확인필요(입력누락)",IF(SUMPRODUCT((실물목록!$P$2:$P$1001&lt;&gt;"")*ISNUMBER(SEARCH(실물목록!$P$2:$P$1001,I1494))*(실물목록!$Q$2:$Q$1001&lt;&gt;"")*ISNUMBER(SEARCH(실물목록!$Q$2:$Q$1001,I1494))*(실물목록!$R$2:$R$1001="")*(실물목록!$O$2:$O$1001&lt;&gt;""))&gt;0,"확인필요(연도다름)","실물 없음")))))</f>
      </c>
      <c r="G1494" t="n" s="16">
        <f aca="0">IF(B1494="","",SUMPRODUCT((실물목록!$P$2:$P$1001&lt;&gt;"")*ISNUMBER(SEARCH(실물목록!$P$2:$P$1001,I1494))*(실물목록!$Q$2:$Q$1001&lt;&gt;"")*ISNUMBER(SEARCH(실물목록!$Q$2:$Q$1001,I1494))*(실물목록!$R$2:$R$1001="")*(실물목록!$O$2:$O$1001&lt;&gt;"")*(실물목록!$O$2:$O$1001=H1494)))</f>
      </c>
      <c r="H1494" t="str">
        <f>IFERROR(IF(AND(LEN(SUBSTITUTE(SUBSTITUTE(SUBSTITUTE(TRIM(A1494&amp;""),CHAR(160),"")," ",""),"년",""))=4,VALUE(SUBSTITUTE(SUBSTITUTE(SUBSTITUTE(TRIM(A1494&amp;""),CHAR(160),"")," ",""),"년",""))&gt;=1900,VALUE(SUBSTITUTE(SUBSTITUTE(SUBSTITUTE(TRIM(A1494&amp;""),CHAR(160),"")," ",""),"년",""))&lt;=2099,TEXT(VALUE(SUBSTITUTE(SUBSTITUTE(SUBSTITUTE(TRIM(A1494&amp;""),CHAR(160),"")," ",""),"년","")),"0000")=SUBSTITUTE(SUBSTITUTE(SUBSTITUTE(TRIM(A1494&amp;""),CHAR(160),"")," ",""),"년","")),SUBSTITUTE(SUBSTITUTE(SUBSTITUTE(TRIM(A1494&amp;""),CHAR(160),"")," ",""),"년",""),""),"")</f>
      </c>
      <c r="I1494" t="str">
        <f>SUBSTITUTE(SUBSTITUTE(SUBSTITUTE(SUBSTITUTE(SUBSTITUTE(TRIM(B1494&amp;""),CHAR(160),"")," ",""),"초등학교","초"),"중학교","중"),"고등학교","고")</f>
      </c>
    </row>
    <row r="1495" customFormat="false" ht="15" hidden="false" customHeight="false" outlineLevel="0" collapsed="false">
      <c r="A1495" s="8"/>
      <c r="B1495" s="8"/>
      <c r="C1495" s="8"/>
      <c r="D1495" s="8"/>
      <c r="E1495" s="8"/>
      <c r="F1495" t="str" s="15">
        <f aca="0">IF(B1495="","",IF(H1495="","확인필요(입력누락)",IF(SUMPRODUCT((실물목록!$P$2:$P$1001&lt;&gt;"")*ISNUMBER(SEARCH(실물목록!$P$2:$P$1001,I1495))*(실물목록!$Q$2:$Q$1001&lt;&gt;"")*ISNUMBER(SEARCH(실물목록!$Q$2:$Q$1001,I1495))*(실물목록!$R$2:$R$1001="")*(실물목록!$O$2:$O$1001&lt;&gt;"")*(실물목록!$O$2:$O$1001=H1495))&gt;0,"실물 있음",IF(SUMPRODUCT((실물목록!$P$2:$P$1001&lt;&gt;"")*ISNUMBER(SEARCH(실물목록!$P$2:$P$1001,I1495))*(실물목록!$R$2:$R$1001&lt;&gt;""))&gt;0,"확인필요(입력누락)",IF(SUMPRODUCT((실물목록!$P$2:$P$1001&lt;&gt;"")*ISNUMBER(SEARCH(실물목록!$P$2:$P$1001,I1495))*(실물목록!$Q$2:$Q$1001&lt;&gt;"")*ISNUMBER(SEARCH(실물목록!$Q$2:$Q$1001,I1495))*(실물목록!$R$2:$R$1001="")*(실물목록!$O$2:$O$1001&lt;&gt;""))&gt;0,"확인필요(연도다름)","실물 없음")))))</f>
      </c>
      <c r="G1495" t="n" s="16">
        <f aca="0">IF(B1495="","",SUMPRODUCT((실물목록!$P$2:$P$1001&lt;&gt;"")*ISNUMBER(SEARCH(실물목록!$P$2:$P$1001,I1495))*(실물목록!$Q$2:$Q$1001&lt;&gt;"")*ISNUMBER(SEARCH(실물목록!$Q$2:$Q$1001,I1495))*(실물목록!$R$2:$R$1001="")*(실물목록!$O$2:$O$1001&lt;&gt;"")*(실물목록!$O$2:$O$1001=H1495)))</f>
      </c>
      <c r="H1495" t="str">
        <f>IFERROR(IF(AND(LEN(SUBSTITUTE(SUBSTITUTE(SUBSTITUTE(TRIM(A1495&amp;""),CHAR(160),"")," ",""),"년",""))=4,VALUE(SUBSTITUTE(SUBSTITUTE(SUBSTITUTE(TRIM(A1495&amp;""),CHAR(160),"")," ",""),"년",""))&gt;=1900,VALUE(SUBSTITUTE(SUBSTITUTE(SUBSTITUTE(TRIM(A1495&amp;""),CHAR(160),"")," ",""),"년",""))&lt;=2099,TEXT(VALUE(SUBSTITUTE(SUBSTITUTE(SUBSTITUTE(TRIM(A1495&amp;""),CHAR(160),"")," ",""),"년","")),"0000")=SUBSTITUTE(SUBSTITUTE(SUBSTITUTE(TRIM(A1495&amp;""),CHAR(160),"")," ",""),"년","")),SUBSTITUTE(SUBSTITUTE(SUBSTITUTE(TRIM(A1495&amp;""),CHAR(160),"")," ",""),"년",""),""),"")</f>
      </c>
      <c r="I1495" t="str">
        <f>SUBSTITUTE(SUBSTITUTE(SUBSTITUTE(SUBSTITUTE(SUBSTITUTE(TRIM(B1495&amp;""),CHAR(160),"")," ",""),"초등학교","초"),"중학교","중"),"고등학교","고")</f>
      </c>
    </row>
    <row r="1496" customFormat="false" ht="15" hidden="false" customHeight="false" outlineLevel="0" collapsed="false">
      <c r="A1496" s="8"/>
      <c r="B1496" s="8"/>
      <c r="C1496" s="8"/>
      <c r="D1496" s="8"/>
      <c r="E1496" s="8"/>
      <c r="F1496" t="str" s="15">
        <f aca="0">IF(B1496="","",IF(H1496="","확인필요(입력누락)",IF(SUMPRODUCT((실물목록!$P$2:$P$1001&lt;&gt;"")*ISNUMBER(SEARCH(실물목록!$P$2:$P$1001,I1496))*(실물목록!$Q$2:$Q$1001&lt;&gt;"")*ISNUMBER(SEARCH(실물목록!$Q$2:$Q$1001,I1496))*(실물목록!$R$2:$R$1001="")*(실물목록!$O$2:$O$1001&lt;&gt;"")*(실물목록!$O$2:$O$1001=H1496))&gt;0,"실물 있음",IF(SUMPRODUCT((실물목록!$P$2:$P$1001&lt;&gt;"")*ISNUMBER(SEARCH(실물목록!$P$2:$P$1001,I1496))*(실물목록!$R$2:$R$1001&lt;&gt;""))&gt;0,"확인필요(입력누락)",IF(SUMPRODUCT((실물목록!$P$2:$P$1001&lt;&gt;"")*ISNUMBER(SEARCH(실물목록!$P$2:$P$1001,I1496))*(실물목록!$Q$2:$Q$1001&lt;&gt;"")*ISNUMBER(SEARCH(실물목록!$Q$2:$Q$1001,I1496))*(실물목록!$R$2:$R$1001="")*(실물목록!$O$2:$O$1001&lt;&gt;""))&gt;0,"확인필요(연도다름)","실물 없음")))))</f>
      </c>
      <c r="G1496" t="n" s="16">
        <f aca="0">IF(B1496="","",SUMPRODUCT((실물목록!$P$2:$P$1001&lt;&gt;"")*ISNUMBER(SEARCH(실물목록!$P$2:$P$1001,I1496))*(실물목록!$Q$2:$Q$1001&lt;&gt;"")*ISNUMBER(SEARCH(실물목록!$Q$2:$Q$1001,I1496))*(실물목록!$R$2:$R$1001="")*(실물목록!$O$2:$O$1001&lt;&gt;"")*(실물목록!$O$2:$O$1001=H1496)))</f>
      </c>
      <c r="H1496" t="str">
        <f>IFERROR(IF(AND(LEN(SUBSTITUTE(SUBSTITUTE(SUBSTITUTE(TRIM(A1496&amp;""),CHAR(160),"")," ",""),"년",""))=4,VALUE(SUBSTITUTE(SUBSTITUTE(SUBSTITUTE(TRIM(A1496&amp;""),CHAR(160),"")," ",""),"년",""))&gt;=1900,VALUE(SUBSTITUTE(SUBSTITUTE(SUBSTITUTE(TRIM(A1496&amp;""),CHAR(160),"")," ",""),"년",""))&lt;=2099,TEXT(VALUE(SUBSTITUTE(SUBSTITUTE(SUBSTITUTE(TRIM(A1496&amp;""),CHAR(160),"")," ",""),"년","")),"0000")=SUBSTITUTE(SUBSTITUTE(SUBSTITUTE(TRIM(A1496&amp;""),CHAR(160),"")," ",""),"년","")),SUBSTITUTE(SUBSTITUTE(SUBSTITUTE(TRIM(A1496&amp;""),CHAR(160),"")," ",""),"년",""),""),"")</f>
      </c>
      <c r="I1496" t="str">
        <f>SUBSTITUTE(SUBSTITUTE(SUBSTITUTE(SUBSTITUTE(SUBSTITUTE(TRIM(B1496&amp;""),CHAR(160),"")," ",""),"초등학교","초"),"중학교","중"),"고등학교","고")</f>
      </c>
    </row>
    <row r="1497" customFormat="false" ht="15" hidden="false" customHeight="false" outlineLevel="0" collapsed="false">
      <c r="A1497" s="8"/>
      <c r="B1497" s="8"/>
      <c r="C1497" s="8"/>
      <c r="D1497" s="8"/>
      <c r="E1497" s="8"/>
      <c r="F1497" t="str" s="15">
        <f aca="0">IF(B1497="","",IF(H1497="","확인필요(입력누락)",IF(SUMPRODUCT((실물목록!$P$2:$P$1001&lt;&gt;"")*ISNUMBER(SEARCH(실물목록!$P$2:$P$1001,I1497))*(실물목록!$Q$2:$Q$1001&lt;&gt;"")*ISNUMBER(SEARCH(실물목록!$Q$2:$Q$1001,I1497))*(실물목록!$R$2:$R$1001="")*(실물목록!$O$2:$O$1001&lt;&gt;"")*(실물목록!$O$2:$O$1001=H1497))&gt;0,"실물 있음",IF(SUMPRODUCT((실물목록!$P$2:$P$1001&lt;&gt;"")*ISNUMBER(SEARCH(실물목록!$P$2:$P$1001,I1497))*(실물목록!$R$2:$R$1001&lt;&gt;""))&gt;0,"확인필요(입력누락)",IF(SUMPRODUCT((실물목록!$P$2:$P$1001&lt;&gt;"")*ISNUMBER(SEARCH(실물목록!$P$2:$P$1001,I1497))*(실물목록!$Q$2:$Q$1001&lt;&gt;"")*ISNUMBER(SEARCH(실물목록!$Q$2:$Q$1001,I1497))*(실물목록!$R$2:$R$1001="")*(실물목록!$O$2:$O$1001&lt;&gt;""))&gt;0,"확인필요(연도다름)","실물 없음")))))</f>
      </c>
      <c r="G1497" t="n" s="16">
        <f aca="0">IF(B1497="","",SUMPRODUCT((실물목록!$P$2:$P$1001&lt;&gt;"")*ISNUMBER(SEARCH(실물목록!$P$2:$P$1001,I1497))*(실물목록!$Q$2:$Q$1001&lt;&gt;"")*ISNUMBER(SEARCH(실물목록!$Q$2:$Q$1001,I1497))*(실물목록!$R$2:$R$1001="")*(실물목록!$O$2:$O$1001&lt;&gt;"")*(실물목록!$O$2:$O$1001=H1497)))</f>
      </c>
      <c r="H1497" t="str">
        <f>IFERROR(IF(AND(LEN(SUBSTITUTE(SUBSTITUTE(SUBSTITUTE(TRIM(A1497&amp;""),CHAR(160),"")," ",""),"년",""))=4,VALUE(SUBSTITUTE(SUBSTITUTE(SUBSTITUTE(TRIM(A1497&amp;""),CHAR(160),"")," ",""),"년",""))&gt;=1900,VALUE(SUBSTITUTE(SUBSTITUTE(SUBSTITUTE(TRIM(A1497&amp;""),CHAR(160),"")," ",""),"년",""))&lt;=2099,TEXT(VALUE(SUBSTITUTE(SUBSTITUTE(SUBSTITUTE(TRIM(A1497&amp;""),CHAR(160),"")," ",""),"년","")),"0000")=SUBSTITUTE(SUBSTITUTE(SUBSTITUTE(TRIM(A1497&amp;""),CHAR(160),"")," ",""),"년","")),SUBSTITUTE(SUBSTITUTE(SUBSTITUTE(TRIM(A1497&amp;""),CHAR(160),"")," ",""),"년",""),""),"")</f>
      </c>
      <c r="I1497" t="str">
        <f>SUBSTITUTE(SUBSTITUTE(SUBSTITUTE(SUBSTITUTE(SUBSTITUTE(TRIM(B1497&amp;""),CHAR(160),"")," ",""),"초등학교","초"),"중학교","중"),"고등학교","고")</f>
      </c>
    </row>
    <row r="1498" customFormat="false" ht="15" hidden="false" customHeight="false" outlineLevel="0" collapsed="false">
      <c r="A1498" s="8"/>
      <c r="B1498" s="8"/>
      <c r="C1498" s="8"/>
      <c r="D1498" s="8"/>
      <c r="E1498" s="8"/>
      <c r="F1498" t="str" s="15">
        <f aca="0">IF(B1498="","",IF(H1498="","확인필요(입력누락)",IF(SUMPRODUCT((실물목록!$P$2:$P$1001&lt;&gt;"")*ISNUMBER(SEARCH(실물목록!$P$2:$P$1001,I1498))*(실물목록!$Q$2:$Q$1001&lt;&gt;"")*ISNUMBER(SEARCH(실물목록!$Q$2:$Q$1001,I1498))*(실물목록!$R$2:$R$1001="")*(실물목록!$O$2:$O$1001&lt;&gt;"")*(실물목록!$O$2:$O$1001=H1498))&gt;0,"실물 있음",IF(SUMPRODUCT((실물목록!$P$2:$P$1001&lt;&gt;"")*ISNUMBER(SEARCH(실물목록!$P$2:$P$1001,I1498))*(실물목록!$R$2:$R$1001&lt;&gt;""))&gt;0,"확인필요(입력누락)",IF(SUMPRODUCT((실물목록!$P$2:$P$1001&lt;&gt;"")*ISNUMBER(SEARCH(실물목록!$P$2:$P$1001,I1498))*(실물목록!$Q$2:$Q$1001&lt;&gt;"")*ISNUMBER(SEARCH(실물목록!$Q$2:$Q$1001,I1498))*(실물목록!$R$2:$R$1001="")*(실물목록!$O$2:$O$1001&lt;&gt;""))&gt;0,"확인필요(연도다름)","실물 없음")))))</f>
      </c>
      <c r="G1498" t="n" s="16">
        <f aca="0">IF(B1498="","",SUMPRODUCT((실물목록!$P$2:$P$1001&lt;&gt;"")*ISNUMBER(SEARCH(실물목록!$P$2:$P$1001,I1498))*(실물목록!$Q$2:$Q$1001&lt;&gt;"")*ISNUMBER(SEARCH(실물목록!$Q$2:$Q$1001,I1498))*(실물목록!$R$2:$R$1001="")*(실물목록!$O$2:$O$1001&lt;&gt;"")*(실물목록!$O$2:$O$1001=H1498)))</f>
      </c>
      <c r="H1498" t="str">
        <f>IFERROR(IF(AND(LEN(SUBSTITUTE(SUBSTITUTE(SUBSTITUTE(TRIM(A1498&amp;""),CHAR(160),"")," ",""),"년",""))=4,VALUE(SUBSTITUTE(SUBSTITUTE(SUBSTITUTE(TRIM(A1498&amp;""),CHAR(160),"")," ",""),"년",""))&gt;=1900,VALUE(SUBSTITUTE(SUBSTITUTE(SUBSTITUTE(TRIM(A1498&amp;""),CHAR(160),"")," ",""),"년",""))&lt;=2099,TEXT(VALUE(SUBSTITUTE(SUBSTITUTE(SUBSTITUTE(TRIM(A1498&amp;""),CHAR(160),"")," ",""),"년","")),"0000")=SUBSTITUTE(SUBSTITUTE(SUBSTITUTE(TRIM(A1498&amp;""),CHAR(160),"")," ",""),"년","")),SUBSTITUTE(SUBSTITUTE(SUBSTITUTE(TRIM(A1498&amp;""),CHAR(160),"")," ",""),"년",""),""),"")</f>
      </c>
      <c r="I1498" t="str">
        <f>SUBSTITUTE(SUBSTITUTE(SUBSTITUTE(SUBSTITUTE(SUBSTITUTE(TRIM(B1498&amp;""),CHAR(160),"")," ",""),"초등학교","초"),"중학교","중"),"고등학교","고")</f>
      </c>
    </row>
    <row r="1499" customFormat="false" ht="15" hidden="false" customHeight="false" outlineLevel="0" collapsed="false">
      <c r="A1499" s="8"/>
      <c r="B1499" s="8"/>
      <c r="C1499" s="8"/>
      <c r="D1499" s="8"/>
      <c r="E1499" s="8"/>
      <c r="F1499" t="str" s="15">
        <f aca="0">IF(B1499="","",IF(H1499="","확인필요(입력누락)",IF(SUMPRODUCT((실물목록!$P$2:$P$1001&lt;&gt;"")*ISNUMBER(SEARCH(실물목록!$P$2:$P$1001,I1499))*(실물목록!$Q$2:$Q$1001&lt;&gt;"")*ISNUMBER(SEARCH(실물목록!$Q$2:$Q$1001,I1499))*(실물목록!$R$2:$R$1001="")*(실물목록!$O$2:$O$1001&lt;&gt;"")*(실물목록!$O$2:$O$1001=H1499))&gt;0,"실물 있음",IF(SUMPRODUCT((실물목록!$P$2:$P$1001&lt;&gt;"")*ISNUMBER(SEARCH(실물목록!$P$2:$P$1001,I1499))*(실물목록!$R$2:$R$1001&lt;&gt;""))&gt;0,"확인필요(입력누락)",IF(SUMPRODUCT((실물목록!$P$2:$P$1001&lt;&gt;"")*ISNUMBER(SEARCH(실물목록!$P$2:$P$1001,I1499))*(실물목록!$Q$2:$Q$1001&lt;&gt;"")*ISNUMBER(SEARCH(실물목록!$Q$2:$Q$1001,I1499))*(실물목록!$R$2:$R$1001="")*(실물목록!$O$2:$O$1001&lt;&gt;""))&gt;0,"확인필요(연도다름)","실물 없음")))))</f>
      </c>
      <c r="G1499" t="n" s="16">
        <f aca="0">IF(B1499="","",SUMPRODUCT((실물목록!$P$2:$P$1001&lt;&gt;"")*ISNUMBER(SEARCH(실물목록!$P$2:$P$1001,I1499))*(실물목록!$Q$2:$Q$1001&lt;&gt;"")*ISNUMBER(SEARCH(실물목록!$Q$2:$Q$1001,I1499))*(실물목록!$R$2:$R$1001="")*(실물목록!$O$2:$O$1001&lt;&gt;"")*(실물목록!$O$2:$O$1001=H1499)))</f>
      </c>
      <c r="H1499" t="str">
        <f>IFERROR(IF(AND(LEN(SUBSTITUTE(SUBSTITUTE(SUBSTITUTE(TRIM(A1499&amp;""),CHAR(160),"")," ",""),"년",""))=4,VALUE(SUBSTITUTE(SUBSTITUTE(SUBSTITUTE(TRIM(A1499&amp;""),CHAR(160),"")," ",""),"년",""))&gt;=1900,VALUE(SUBSTITUTE(SUBSTITUTE(SUBSTITUTE(TRIM(A1499&amp;""),CHAR(160),"")," ",""),"년",""))&lt;=2099,TEXT(VALUE(SUBSTITUTE(SUBSTITUTE(SUBSTITUTE(TRIM(A1499&amp;""),CHAR(160),"")," ",""),"년","")),"0000")=SUBSTITUTE(SUBSTITUTE(SUBSTITUTE(TRIM(A1499&amp;""),CHAR(160),"")," ",""),"년","")),SUBSTITUTE(SUBSTITUTE(SUBSTITUTE(TRIM(A1499&amp;""),CHAR(160),"")," ",""),"년",""),""),"")</f>
      </c>
      <c r="I1499" t="str">
        <f>SUBSTITUTE(SUBSTITUTE(SUBSTITUTE(SUBSTITUTE(SUBSTITUTE(TRIM(B1499&amp;""),CHAR(160),"")," ",""),"초등학교","초"),"중학교","중"),"고등학교","고")</f>
      </c>
    </row>
    <row r="1500" customFormat="false" ht="15" hidden="false" customHeight="false" outlineLevel="0" collapsed="false">
      <c r="A1500" s="8"/>
      <c r="B1500" s="8"/>
      <c r="C1500" s="8"/>
      <c r="D1500" s="8"/>
      <c r="E1500" s="8"/>
      <c r="F1500" t="str" s="15">
        <f aca="0">IF(B1500="","",IF(H1500="","확인필요(입력누락)",IF(SUMPRODUCT((실물목록!$P$2:$P$1001&lt;&gt;"")*ISNUMBER(SEARCH(실물목록!$P$2:$P$1001,I1500))*(실물목록!$Q$2:$Q$1001&lt;&gt;"")*ISNUMBER(SEARCH(실물목록!$Q$2:$Q$1001,I1500))*(실물목록!$R$2:$R$1001="")*(실물목록!$O$2:$O$1001&lt;&gt;"")*(실물목록!$O$2:$O$1001=H1500))&gt;0,"실물 있음",IF(SUMPRODUCT((실물목록!$P$2:$P$1001&lt;&gt;"")*ISNUMBER(SEARCH(실물목록!$P$2:$P$1001,I1500))*(실물목록!$R$2:$R$1001&lt;&gt;""))&gt;0,"확인필요(입력누락)",IF(SUMPRODUCT((실물목록!$P$2:$P$1001&lt;&gt;"")*ISNUMBER(SEARCH(실물목록!$P$2:$P$1001,I1500))*(실물목록!$Q$2:$Q$1001&lt;&gt;"")*ISNUMBER(SEARCH(실물목록!$Q$2:$Q$1001,I1500))*(실물목록!$R$2:$R$1001="")*(실물목록!$O$2:$O$1001&lt;&gt;""))&gt;0,"확인필요(연도다름)","실물 없음")))))</f>
      </c>
      <c r="G1500" t="n" s="16">
        <f aca="0">IF(B1500="","",SUMPRODUCT((실물목록!$P$2:$P$1001&lt;&gt;"")*ISNUMBER(SEARCH(실물목록!$P$2:$P$1001,I1500))*(실물목록!$Q$2:$Q$1001&lt;&gt;"")*ISNUMBER(SEARCH(실물목록!$Q$2:$Q$1001,I1500))*(실물목록!$R$2:$R$1001="")*(실물목록!$O$2:$O$1001&lt;&gt;"")*(실물목록!$O$2:$O$1001=H1500)))</f>
      </c>
      <c r="H1500" t="str">
        <f>IFERROR(IF(AND(LEN(SUBSTITUTE(SUBSTITUTE(SUBSTITUTE(TRIM(A1500&amp;""),CHAR(160),"")," ",""),"년",""))=4,VALUE(SUBSTITUTE(SUBSTITUTE(SUBSTITUTE(TRIM(A1500&amp;""),CHAR(160),"")," ",""),"년",""))&gt;=1900,VALUE(SUBSTITUTE(SUBSTITUTE(SUBSTITUTE(TRIM(A1500&amp;""),CHAR(160),"")," ",""),"년",""))&lt;=2099,TEXT(VALUE(SUBSTITUTE(SUBSTITUTE(SUBSTITUTE(TRIM(A1500&amp;""),CHAR(160),"")," ",""),"년","")),"0000")=SUBSTITUTE(SUBSTITUTE(SUBSTITUTE(TRIM(A1500&amp;""),CHAR(160),"")," ",""),"년","")),SUBSTITUTE(SUBSTITUTE(SUBSTITUTE(TRIM(A1500&amp;""),CHAR(160),"")," ",""),"년",""),""),"")</f>
      </c>
      <c r="I1500" t="str">
        <f>SUBSTITUTE(SUBSTITUTE(SUBSTITUTE(SUBSTITUTE(SUBSTITUTE(TRIM(B1500&amp;""),CHAR(160),"")," ",""),"초등학교","초"),"중학교","중"),"고등학교","고")</f>
      </c>
    </row>
    <row r="1501" customFormat="false" ht="15" hidden="false" customHeight="false" outlineLevel="0" collapsed="false">
      <c r="A1501" s="8"/>
      <c r="B1501" s="8"/>
      <c r="C1501" s="8"/>
      <c r="D1501" s="8"/>
      <c r="E1501" s="8"/>
      <c r="F1501" t="str" s="15">
        <f aca="0">IF(B1501="","",IF(H1501="","확인필요(입력누락)",IF(SUMPRODUCT((실물목록!$P$2:$P$1001&lt;&gt;"")*ISNUMBER(SEARCH(실물목록!$P$2:$P$1001,I1501))*(실물목록!$Q$2:$Q$1001&lt;&gt;"")*ISNUMBER(SEARCH(실물목록!$Q$2:$Q$1001,I1501))*(실물목록!$R$2:$R$1001="")*(실물목록!$O$2:$O$1001&lt;&gt;"")*(실물목록!$O$2:$O$1001=H1501))&gt;0,"실물 있음",IF(SUMPRODUCT((실물목록!$P$2:$P$1001&lt;&gt;"")*ISNUMBER(SEARCH(실물목록!$P$2:$P$1001,I1501))*(실물목록!$R$2:$R$1001&lt;&gt;""))&gt;0,"확인필요(입력누락)",IF(SUMPRODUCT((실물목록!$P$2:$P$1001&lt;&gt;"")*ISNUMBER(SEARCH(실물목록!$P$2:$P$1001,I1501))*(실물목록!$Q$2:$Q$1001&lt;&gt;"")*ISNUMBER(SEARCH(실물목록!$Q$2:$Q$1001,I1501))*(실물목록!$R$2:$R$1001="")*(실물목록!$O$2:$O$1001&lt;&gt;""))&gt;0,"확인필요(연도다름)","실물 없음")))))</f>
      </c>
      <c r="G1501" t="n" s="16">
        <f aca="0">IF(B1501="","",SUMPRODUCT((실물목록!$P$2:$P$1001&lt;&gt;"")*ISNUMBER(SEARCH(실물목록!$P$2:$P$1001,I1501))*(실물목록!$Q$2:$Q$1001&lt;&gt;"")*ISNUMBER(SEARCH(실물목록!$Q$2:$Q$1001,I1501))*(실물목록!$R$2:$R$1001="")*(실물목록!$O$2:$O$1001&lt;&gt;"")*(실물목록!$O$2:$O$1001=H1501)))</f>
      </c>
      <c r="H1501" t="str">
        <f>IFERROR(IF(AND(LEN(SUBSTITUTE(SUBSTITUTE(SUBSTITUTE(TRIM(A1501&amp;""),CHAR(160),"")," ",""),"년",""))=4,VALUE(SUBSTITUTE(SUBSTITUTE(SUBSTITUTE(TRIM(A1501&amp;""),CHAR(160),"")," ",""),"년",""))&gt;=1900,VALUE(SUBSTITUTE(SUBSTITUTE(SUBSTITUTE(TRIM(A1501&amp;""),CHAR(160),"")," ",""),"년",""))&lt;=2099,TEXT(VALUE(SUBSTITUTE(SUBSTITUTE(SUBSTITUTE(TRIM(A1501&amp;""),CHAR(160),"")," ",""),"년","")),"0000")=SUBSTITUTE(SUBSTITUTE(SUBSTITUTE(TRIM(A1501&amp;""),CHAR(160),"")," ",""),"년","")),SUBSTITUTE(SUBSTITUTE(SUBSTITUTE(TRIM(A1501&amp;""),CHAR(160),"")," ",""),"년",""),""),"")</f>
      </c>
      <c r="I1501" t="str">
        <f>SUBSTITUTE(SUBSTITUTE(SUBSTITUTE(SUBSTITUTE(SUBSTITUTE(TRIM(B1501&amp;""),CHAR(160),"")," ",""),"초등학교","초"),"중학교","중"),"고등학교","고")</f>
      </c>
    </row>
    <row r="1502" customFormat="false" ht="15" hidden="false" customHeight="false" outlineLevel="0" collapsed="false">
      <c r="A1502" s="8"/>
      <c r="B1502" s="8"/>
      <c r="C1502" s="8"/>
      <c r="D1502" s="8"/>
      <c r="E1502" s="8"/>
      <c r="F1502" t="str" s="15">
        <f aca="0">IF(B1502="","",IF(H1502="","확인필요(입력누락)",IF(SUMPRODUCT((실물목록!$P$2:$P$1001&lt;&gt;"")*ISNUMBER(SEARCH(실물목록!$P$2:$P$1001,I1502))*(실물목록!$Q$2:$Q$1001&lt;&gt;"")*ISNUMBER(SEARCH(실물목록!$Q$2:$Q$1001,I1502))*(실물목록!$R$2:$R$1001="")*(실물목록!$O$2:$O$1001&lt;&gt;"")*(실물목록!$O$2:$O$1001=H1502))&gt;0,"실물 있음",IF(SUMPRODUCT((실물목록!$P$2:$P$1001&lt;&gt;"")*ISNUMBER(SEARCH(실물목록!$P$2:$P$1001,I1502))*(실물목록!$R$2:$R$1001&lt;&gt;""))&gt;0,"확인필요(입력누락)",IF(SUMPRODUCT((실물목록!$P$2:$P$1001&lt;&gt;"")*ISNUMBER(SEARCH(실물목록!$P$2:$P$1001,I1502))*(실물목록!$Q$2:$Q$1001&lt;&gt;"")*ISNUMBER(SEARCH(실물목록!$Q$2:$Q$1001,I1502))*(실물목록!$R$2:$R$1001="")*(실물목록!$O$2:$O$1001&lt;&gt;""))&gt;0,"확인필요(연도다름)","실물 없음")))))</f>
      </c>
      <c r="G1502" t="n" s="16">
        <f aca="0">IF(B1502="","",SUMPRODUCT((실물목록!$P$2:$P$1001&lt;&gt;"")*ISNUMBER(SEARCH(실물목록!$P$2:$P$1001,I1502))*(실물목록!$Q$2:$Q$1001&lt;&gt;"")*ISNUMBER(SEARCH(실물목록!$Q$2:$Q$1001,I1502))*(실물목록!$R$2:$R$1001="")*(실물목록!$O$2:$O$1001&lt;&gt;"")*(실물목록!$O$2:$O$1001=H1502)))</f>
      </c>
      <c r="H1502" t="str">
        <f>IFERROR(IF(AND(LEN(SUBSTITUTE(SUBSTITUTE(SUBSTITUTE(TRIM(A1502&amp;""),CHAR(160),"")," ",""),"년",""))=4,VALUE(SUBSTITUTE(SUBSTITUTE(SUBSTITUTE(TRIM(A1502&amp;""),CHAR(160),"")," ",""),"년",""))&gt;=1900,VALUE(SUBSTITUTE(SUBSTITUTE(SUBSTITUTE(TRIM(A1502&amp;""),CHAR(160),"")," ",""),"년",""))&lt;=2099,TEXT(VALUE(SUBSTITUTE(SUBSTITUTE(SUBSTITUTE(TRIM(A1502&amp;""),CHAR(160),"")," ",""),"년","")),"0000")=SUBSTITUTE(SUBSTITUTE(SUBSTITUTE(TRIM(A1502&amp;""),CHAR(160),"")," ",""),"년","")),SUBSTITUTE(SUBSTITUTE(SUBSTITUTE(TRIM(A1502&amp;""),CHAR(160),"")," ",""),"년",""),""),"")</f>
      </c>
      <c r="I1502" t="str">
        <f>SUBSTITUTE(SUBSTITUTE(SUBSTITUTE(SUBSTITUTE(SUBSTITUTE(TRIM(B1502&amp;""),CHAR(160),"")," ",""),"초등학교","초"),"중학교","중"),"고등학교","고")</f>
      </c>
    </row>
    <row r="1503" customFormat="false" ht="15" hidden="false" customHeight="false" outlineLevel="0" collapsed="false">
      <c r="A1503" s="8"/>
      <c r="B1503" s="8"/>
      <c r="C1503" s="8"/>
      <c r="D1503" s="8"/>
      <c r="E1503" s="8"/>
      <c r="F1503" t="str" s="15">
        <f aca="0">IF(B1503="","",IF(H1503="","확인필요(입력누락)",IF(SUMPRODUCT((실물목록!$P$2:$P$1001&lt;&gt;"")*ISNUMBER(SEARCH(실물목록!$P$2:$P$1001,I1503))*(실물목록!$Q$2:$Q$1001&lt;&gt;"")*ISNUMBER(SEARCH(실물목록!$Q$2:$Q$1001,I1503))*(실물목록!$R$2:$R$1001="")*(실물목록!$O$2:$O$1001&lt;&gt;"")*(실물목록!$O$2:$O$1001=H1503))&gt;0,"실물 있음",IF(SUMPRODUCT((실물목록!$P$2:$P$1001&lt;&gt;"")*ISNUMBER(SEARCH(실물목록!$P$2:$P$1001,I1503))*(실물목록!$R$2:$R$1001&lt;&gt;""))&gt;0,"확인필요(입력누락)",IF(SUMPRODUCT((실물목록!$P$2:$P$1001&lt;&gt;"")*ISNUMBER(SEARCH(실물목록!$P$2:$P$1001,I1503))*(실물목록!$Q$2:$Q$1001&lt;&gt;"")*ISNUMBER(SEARCH(실물목록!$Q$2:$Q$1001,I1503))*(실물목록!$R$2:$R$1001="")*(실물목록!$O$2:$O$1001&lt;&gt;""))&gt;0,"확인필요(연도다름)","실물 없음")))))</f>
      </c>
      <c r="G1503" t="n" s="16">
        <f aca="0">IF(B1503="","",SUMPRODUCT((실물목록!$P$2:$P$1001&lt;&gt;"")*ISNUMBER(SEARCH(실물목록!$P$2:$P$1001,I1503))*(실물목록!$Q$2:$Q$1001&lt;&gt;"")*ISNUMBER(SEARCH(실물목록!$Q$2:$Q$1001,I1503))*(실물목록!$R$2:$R$1001="")*(실물목록!$O$2:$O$1001&lt;&gt;"")*(실물목록!$O$2:$O$1001=H1503)))</f>
      </c>
      <c r="H1503" t="str">
        <f>IFERROR(IF(AND(LEN(SUBSTITUTE(SUBSTITUTE(SUBSTITUTE(TRIM(A1503&amp;""),CHAR(160),"")," ",""),"년",""))=4,VALUE(SUBSTITUTE(SUBSTITUTE(SUBSTITUTE(TRIM(A1503&amp;""),CHAR(160),"")," ",""),"년",""))&gt;=1900,VALUE(SUBSTITUTE(SUBSTITUTE(SUBSTITUTE(TRIM(A1503&amp;""),CHAR(160),"")," ",""),"년",""))&lt;=2099,TEXT(VALUE(SUBSTITUTE(SUBSTITUTE(SUBSTITUTE(TRIM(A1503&amp;""),CHAR(160),"")," ",""),"년","")),"0000")=SUBSTITUTE(SUBSTITUTE(SUBSTITUTE(TRIM(A1503&amp;""),CHAR(160),"")," ",""),"년","")),SUBSTITUTE(SUBSTITUTE(SUBSTITUTE(TRIM(A1503&amp;""),CHAR(160),"")," ",""),"년",""),""),"")</f>
      </c>
      <c r="I1503" t="str">
        <f>SUBSTITUTE(SUBSTITUTE(SUBSTITUTE(SUBSTITUTE(SUBSTITUTE(TRIM(B1503&amp;""),CHAR(160),"")," ",""),"초등학교","초"),"중학교","중"),"고등학교","고")</f>
      </c>
    </row>
    <row r="1504" customFormat="false" ht="15" hidden="false" customHeight="false" outlineLevel="0" collapsed="false">
      <c r="A1504" s="8"/>
      <c r="B1504" s="8"/>
      <c r="C1504" s="8"/>
      <c r="D1504" s="8"/>
      <c r="E1504" s="8"/>
      <c r="F1504" t="str" s="15">
        <f aca="0">IF(B1504="","",IF(H1504="","확인필요(입력누락)",IF(SUMPRODUCT((실물목록!$P$2:$P$1001&lt;&gt;"")*ISNUMBER(SEARCH(실물목록!$P$2:$P$1001,I1504))*(실물목록!$Q$2:$Q$1001&lt;&gt;"")*ISNUMBER(SEARCH(실물목록!$Q$2:$Q$1001,I1504))*(실물목록!$R$2:$R$1001="")*(실물목록!$O$2:$O$1001&lt;&gt;"")*(실물목록!$O$2:$O$1001=H1504))&gt;0,"실물 있음",IF(SUMPRODUCT((실물목록!$P$2:$P$1001&lt;&gt;"")*ISNUMBER(SEARCH(실물목록!$P$2:$P$1001,I1504))*(실물목록!$R$2:$R$1001&lt;&gt;""))&gt;0,"확인필요(입력누락)",IF(SUMPRODUCT((실물목록!$P$2:$P$1001&lt;&gt;"")*ISNUMBER(SEARCH(실물목록!$P$2:$P$1001,I1504))*(실물목록!$Q$2:$Q$1001&lt;&gt;"")*ISNUMBER(SEARCH(실물목록!$Q$2:$Q$1001,I1504))*(실물목록!$R$2:$R$1001="")*(실물목록!$O$2:$O$1001&lt;&gt;""))&gt;0,"확인필요(연도다름)","실물 없음")))))</f>
      </c>
      <c r="G1504" t="n" s="16">
        <f aca="0">IF(B1504="","",SUMPRODUCT((실물목록!$P$2:$P$1001&lt;&gt;"")*ISNUMBER(SEARCH(실물목록!$P$2:$P$1001,I1504))*(실물목록!$Q$2:$Q$1001&lt;&gt;"")*ISNUMBER(SEARCH(실물목록!$Q$2:$Q$1001,I1504))*(실물목록!$R$2:$R$1001="")*(실물목록!$O$2:$O$1001&lt;&gt;"")*(실물목록!$O$2:$O$1001=H1504)))</f>
      </c>
      <c r="H1504" t="str">
        <f>IFERROR(IF(AND(LEN(SUBSTITUTE(SUBSTITUTE(SUBSTITUTE(TRIM(A1504&amp;""),CHAR(160),"")," ",""),"년",""))=4,VALUE(SUBSTITUTE(SUBSTITUTE(SUBSTITUTE(TRIM(A1504&amp;""),CHAR(160),"")," ",""),"년",""))&gt;=1900,VALUE(SUBSTITUTE(SUBSTITUTE(SUBSTITUTE(TRIM(A1504&amp;""),CHAR(160),"")," ",""),"년",""))&lt;=2099,TEXT(VALUE(SUBSTITUTE(SUBSTITUTE(SUBSTITUTE(TRIM(A1504&amp;""),CHAR(160),"")," ",""),"년","")),"0000")=SUBSTITUTE(SUBSTITUTE(SUBSTITUTE(TRIM(A1504&amp;""),CHAR(160),"")," ",""),"년","")),SUBSTITUTE(SUBSTITUTE(SUBSTITUTE(TRIM(A1504&amp;""),CHAR(160),"")," ",""),"년",""),""),"")</f>
      </c>
      <c r="I1504" t="str">
        <f>SUBSTITUTE(SUBSTITUTE(SUBSTITUTE(SUBSTITUTE(SUBSTITUTE(TRIM(B1504&amp;""),CHAR(160),"")," ",""),"초등학교","초"),"중학교","중"),"고등학교","고")</f>
      </c>
    </row>
    <row r="1505" customFormat="false" ht="15" hidden="false" customHeight="false" outlineLevel="0" collapsed="false">
      <c r="A1505" s="8"/>
      <c r="B1505" s="8"/>
      <c r="C1505" s="8"/>
      <c r="D1505" s="8"/>
      <c r="E1505" s="8"/>
      <c r="F1505" t="str" s="15">
        <f aca="0">IF(B1505="","",IF(H1505="","확인필요(입력누락)",IF(SUMPRODUCT((실물목록!$P$2:$P$1001&lt;&gt;"")*ISNUMBER(SEARCH(실물목록!$P$2:$P$1001,I1505))*(실물목록!$Q$2:$Q$1001&lt;&gt;"")*ISNUMBER(SEARCH(실물목록!$Q$2:$Q$1001,I1505))*(실물목록!$R$2:$R$1001="")*(실물목록!$O$2:$O$1001&lt;&gt;"")*(실물목록!$O$2:$O$1001=H1505))&gt;0,"실물 있음",IF(SUMPRODUCT((실물목록!$P$2:$P$1001&lt;&gt;"")*ISNUMBER(SEARCH(실물목록!$P$2:$P$1001,I1505))*(실물목록!$R$2:$R$1001&lt;&gt;""))&gt;0,"확인필요(입력누락)",IF(SUMPRODUCT((실물목록!$P$2:$P$1001&lt;&gt;"")*ISNUMBER(SEARCH(실물목록!$P$2:$P$1001,I1505))*(실물목록!$Q$2:$Q$1001&lt;&gt;"")*ISNUMBER(SEARCH(실물목록!$Q$2:$Q$1001,I1505))*(실물목록!$R$2:$R$1001="")*(실물목록!$O$2:$O$1001&lt;&gt;""))&gt;0,"확인필요(연도다름)","실물 없음")))))</f>
      </c>
      <c r="G1505" t="n" s="16">
        <f aca="0">IF(B1505="","",SUMPRODUCT((실물목록!$P$2:$P$1001&lt;&gt;"")*ISNUMBER(SEARCH(실물목록!$P$2:$P$1001,I1505))*(실물목록!$Q$2:$Q$1001&lt;&gt;"")*ISNUMBER(SEARCH(실물목록!$Q$2:$Q$1001,I1505))*(실물목록!$R$2:$R$1001="")*(실물목록!$O$2:$O$1001&lt;&gt;"")*(실물목록!$O$2:$O$1001=H1505)))</f>
      </c>
      <c r="H1505" t="str">
        <f>IFERROR(IF(AND(LEN(SUBSTITUTE(SUBSTITUTE(SUBSTITUTE(TRIM(A1505&amp;""),CHAR(160),"")," ",""),"년",""))=4,VALUE(SUBSTITUTE(SUBSTITUTE(SUBSTITUTE(TRIM(A1505&amp;""),CHAR(160),"")," ",""),"년",""))&gt;=1900,VALUE(SUBSTITUTE(SUBSTITUTE(SUBSTITUTE(TRIM(A1505&amp;""),CHAR(160),"")," ",""),"년",""))&lt;=2099,TEXT(VALUE(SUBSTITUTE(SUBSTITUTE(SUBSTITUTE(TRIM(A1505&amp;""),CHAR(160),"")," ",""),"년","")),"0000")=SUBSTITUTE(SUBSTITUTE(SUBSTITUTE(TRIM(A1505&amp;""),CHAR(160),"")," ",""),"년","")),SUBSTITUTE(SUBSTITUTE(SUBSTITUTE(TRIM(A1505&amp;""),CHAR(160),"")," ",""),"년",""),""),"")</f>
      </c>
      <c r="I1505" t="str">
        <f>SUBSTITUTE(SUBSTITUTE(SUBSTITUTE(SUBSTITUTE(SUBSTITUTE(TRIM(B1505&amp;""),CHAR(160),"")," ",""),"초등학교","초"),"중학교","중"),"고등학교","고")</f>
      </c>
    </row>
    <row r="1506" customFormat="false" ht="15" hidden="false" customHeight="false" outlineLevel="0" collapsed="false">
      <c r="A1506" s="8"/>
      <c r="B1506" s="8"/>
      <c r="C1506" s="8"/>
      <c r="D1506" s="8"/>
      <c r="E1506" s="8"/>
      <c r="F1506" t="str" s="15">
        <f aca="0">IF(B1506="","",IF(H1506="","확인필요(입력누락)",IF(SUMPRODUCT((실물목록!$P$2:$P$1001&lt;&gt;"")*ISNUMBER(SEARCH(실물목록!$P$2:$P$1001,I1506))*(실물목록!$Q$2:$Q$1001&lt;&gt;"")*ISNUMBER(SEARCH(실물목록!$Q$2:$Q$1001,I1506))*(실물목록!$R$2:$R$1001="")*(실물목록!$O$2:$O$1001&lt;&gt;"")*(실물목록!$O$2:$O$1001=H1506))&gt;0,"실물 있음",IF(SUMPRODUCT((실물목록!$P$2:$P$1001&lt;&gt;"")*ISNUMBER(SEARCH(실물목록!$P$2:$P$1001,I1506))*(실물목록!$R$2:$R$1001&lt;&gt;""))&gt;0,"확인필요(입력누락)",IF(SUMPRODUCT((실물목록!$P$2:$P$1001&lt;&gt;"")*ISNUMBER(SEARCH(실물목록!$P$2:$P$1001,I1506))*(실물목록!$Q$2:$Q$1001&lt;&gt;"")*ISNUMBER(SEARCH(실물목록!$Q$2:$Q$1001,I1506))*(실물목록!$R$2:$R$1001="")*(실물목록!$O$2:$O$1001&lt;&gt;""))&gt;0,"확인필요(연도다름)","실물 없음")))))</f>
      </c>
      <c r="G1506" t="n" s="16">
        <f aca="0">IF(B1506="","",SUMPRODUCT((실물목록!$P$2:$P$1001&lt;&gt;"")*ISNUMBER(SEARCH(실물목록!$P$2:$P$1001,I1506))*(실물목록!$Q$2:$Q$1001&lt;&gt;"")*ISNUMBER(SEARCH(실물목록!$Q$2:$Q$1001,I1506))*(실물목록!$R$2:$R$1001="")*(실물목록!$O$2:$O$1001&lt;&gt;"")*(실물목록!$O$2:$O$1001=H1506)))</f>
      </c>
      <c r="H1506" t="str">
        <f>IFERROR(IF(AND(LEN(SUBSTITUTE(SUBSTITUTE(SUBSTITUTE(TRIM(A1506&amp;""),CHAR(160),"")," ",""),"년",""))=4,VALUE(SUBSTITUTE(SUBSTITUTE(SUBSTITUTE(TRIM(A1506&amp;""),CHAR(160),"")," ",""),"년",""))&gt;=1900,VALUE(SUBSTITUTE(SUBSTITUTE(SUBSTITUTE(TRIM(A1506&amp;""),CHAR(160),"")," ",""),"년",""))&lt;=2099,TEXT(VALUE(SUBSTITUTE(SUBSTITUTE(SUBSTITUTE(TRIM(A1506&amp;""),CHAR(160),"")," ",""),"년","")),"0000")=SUBSTITUTE(SUBSTITUTE(SUBSTITUTE(TRIM(A1506&amp;""),CHAR(160),"")," ",""),"년","")),SUBSTITUTE(SUBSTITUTE(SUBSTITUTE(TRIM(A1506&amp;""),CHAR(160),"")," ",""),"년",""),""),"")</f>
      </c>
      <c r="I1506" t="str">
        <f>SUBSTITUTE(SUBSTITUTE(SUBSTITUTE(SUBSTITUTE(SUBSTITUTE(TRIM(B1506&amp;""),CHAR(160),"")," ",""),"초등학교","초"),"중학교","중"),"고등학교","고")</f>
      </c>
    </row>
    <row r="1507" customFormat="false" ht="15" hidden="false" customHeight="false" outlineLevel="0" collapsed="false">
      <c r="A1507" s="8"/>
      <c r="B1507" s="8"/>
      <c r="C1507" s="8"/>
      <c r="D1507" s="8"/>
      <c r="E1507" s="8"/>
      <c r="F1507" t="str" s="15">
        <f aca="0">IF(B1507="","",IF(H1507="","확인필요(입력누락)",IF(SUMPRODUCT((실물목록!$P$2:$P$1001&lt;&gt;"")*ISNUMBER(SEARCH(실물목록!$P$2:$P$1001,I1507))*(실물목록!$Q$2:$Q$1001&lt;&gt;"")*ISNUMBER(SEARCH(실물목록!$Q$2:$Q$1001,I1507))*(실물목록!$R$2:$R$1001="")*(실물목록!$O$2:$O$1001&lt;&gt;"")*(실물목록!$O$2:$O$1001=H1507))&gt;0,"실물 있음",IF(SUMPRODUCT((실물목록!$P$2:$P$1001&lt;&gt;"")*ISNUMBER(SEARCH(실물목록!$P$2:$P$1001,I1507))*(실물목록!$R$2:$R$1001&lt;&gt;""))&gt;0,"확인필요(입력누락)",IF(SUMPRODUCT((실물목록!$P$2:$P$1001&lt;&gt;"")*ISNUMBER(SEARCH(실물목록!$P$2:$P$1001,I1507))*(실물목록!$Q$2:$Q$1001&lt;&gt;"")*ISNUMBER(SEARCH(실물목록!$Q$2:$Q$1001,I1507))*(실물목록!$R$2:$R$1001="")*(실물목록!$O$2:$O$1001&lt;&gt;""))&gt;0,"확인필요(연도다름)","실물 없음")))))</f>
      </c>
      <c r="G1507" t="n" s="16">
        <f aca="0">IF(B1507="","",SUMPRODUCT((실물목록!$P$2:$P$1001&lt;&gt;"")*ISNUMBER(SEARCH(실물목록!$P$2:$P$1001,I1507))*(실물목록!$Q$2:$Q$1001&lt;&gt;"")*ISNUMBER(SEARCH(실물목록!$Q$2:$Q$1001,I1507))*(실물목록!$R$2:$R$1001="")*(실물목록!$O$2:$O$1001&lt;&gt;"")*(실물목록!$O$2:$O$1001=H1507)))</f>
      </c>
      <c r="H1507" t="str">
        <f>IFERROR(IF(AND(LEN(SUBSTITUTE(SUBSTITUTE(SUBSTITUTE(TRIM(A1507&amp;""),CHAR(160),"")," ",""),"년",""))=4,VALUE(SUBSTITUTE(SUBSTITUTE(SUBSTITUTE(TRIM(A1507&amp;""),CHAR(160),"")," ",""),"년",""))&gt;=1900,VALUE(SUBSTITUTE(SUBSTITUTE(SUBSTITUTE(TRIM(A1507&amp;""),CHAR(160),"")," ",""),"년",""))&lt;=2099,TEXT(VALUE(SUBSTITUTE(SUBSTITUTE(SUBSTITUTE(TRIM(A1507&amp;""),CHAR(160),"")," ",""),"년","")),"0000")=SUBSTITUTE(SUBSTITUTE(SUBSTITUTE(TRIM(A1507&amp;""),CHAR(160),"")," ",""),"년","")),SUBSTITUTE(SUBSTITUTE(SUBSTITUTE(TRIM(A1507&amp;""),CHAR(160),"")," ",""),"년",""),""),"")</f>
      </c>
      <c r="I1507" t="str">
        <f>SUBSTITUTE(SUBSTITUTE(SUBSTITUTE(SUBSTITUTE(SUBSTITUTE(TRIM(B1507&amp;""),CHAR(160),"")," ",""),"초등학교","초"),"중학교","중"),"고등학교","고")</f>
      </c>
    </row>
    <row r="1508" customFormat="false" ht="15" hidden="false" customHeight="false" outlineLevel="0" collapsed="false">
      <c r="A1508" s="8"/>
      <c r="B1508" s="8"/>
      <c r="C1508" s="8"/>
      <c r="D1508" s="8"/>
      <c r="E1508" s="8"/>
      <c r="F1508" t="str" s="15">
        <f aca="0">IF(B1508="","",IF(H1508="","확인필요(입력누락)",IF(SUMPRODUCT((실물목록!$P$2:$P$1001&lt;&gt;"")*ISNUMBER(SEARCH(실물목록!$P$2:$P$1001,I1508))*(실물목록!$Q$2:$Q$1001&lt;&gt;"")*ISNUMBER(SEARCH(실물목록!$Q$2:$Q$1001,I1508))*(실물목록!$R$2:$R$1001="")*(실물목록!$O$2:$O$1001&lt;&gt;"")*(실물목록!$O$2:$O$1001=H1508))&gt;0,"실물 있음",IF(SUMPRODUCT((실물목록!$P$2:$P$1001&lt;&gt;"")*ISNUMBER(SEARCH(실물목록!$P$2:$P$1001,I1508))*(실물목록!$R$2:$R$1001&lt;&gt;""))&gt;0,"확인필요(입력누락)",IF(SUMPRODUCT((실물목록!$P$2:$P$1001&lt;&gt;"")*ISNUMBER(SEARCH(실물목록!$P$2:$P$1001,I1508))*(실물목록!$Q$2:$Q$1001&lt;&gt;"")*ISNUMBER(SEARCH(실물목록!$Q$2:$Q$1001,I1508))*(실물목록!$R$2:$R$1001="")*(실물목록!$O$2:$O$1001&lt;&gt;""))&gt;0,"확인필요(연도다름)","실물 없음")))))</f>
      </c>
      <c r="G1508" t="n" s="16">
        <f aca="0">IF(B1508="","",SUMPRODUCT((실물목록!$P$2:$P$1001&lt;&gt;"")*ISNUMBER(SEARCH(실물목록!$P$2:$P$1001,I1508))*(실물목록!$Q$2:$Q$1001&lt;&gt;"")*ISNUMBER(SEARCH(실물목록!$Q$2:$Q$1001,I1508))*(실물목록!$R$2:$R$1001="")*(실물목록!$O$2:$O$1001&lt;&gt;"")*(실물목록!$O$2:$O$1001=H1508)))</f>
      </c>
      <c r="H1508" t="str">
        <f>IFERROR(IF(AND(LEN(SUBSTITUTE(SUBSTITUTE(SUBSTITUTE(TRIM(A1508&amp;""),CHAR(160),"")," ",""),"년",""))=4,VALUE(SUBSTITUTE(SUBSTITUTE(SUBSTITUTE(TRIM(A1508&amp;""),CHAR(160),"")," ",""),"년",""))&gt;=1900,VALUE(SUBSTITUTE(SUBSTITUTE(SUBSTITUTE(TRIM(A1508&amp;""),CHAR(160),"")," ",""),"년",""))&lt;=2099,TEXT(VALUE(SUBSTITUTE(SUBSTITUTE(SUBSTITUTE(TRIM(A1508&amp;""),CHAR(160),"")," ",""),"년","")),"0000")=SUBSTITUTE(SUBSTITUTE(SUBSTITUTE(TRIM(A1508&amp;""),CHAR(160),"")," ",""),"년","")),SUBSTITUTE(SUBSTITUTE(SUBSTITUTE(TRIM(A1508&amp;""),CHAR(160),"")," ",""),"년",""),""),"")</f>
      </c>
      <c r="I1508" t="str">
        <f>SUBSTITUTE(SUBSTITUTE(SUBSTITUTE(SUBSTITUTE(SUBSTITUTE(TRIM(B1508&amp;""),CHAR(160),"")," ",""),"초등학교","초"),"중학교","중"),"고등학교","고")</f>
      </c>
    </row>
    <row r="1509" customFormat="false" ht="15" hidden="false" customHeight="false" outlineLevel="0" collapsed="false">
      <c r="A1509" s="8"/>
      <c r="B1509" s="8"/>
      <c r="C1509" s="8"/>
      <c r="D1509" s="8"/>
      <c r="E1509" s="8"/>
      <c r="F1509" t="str" s="15">
        <f aca="0">IF(B1509="","",IF(H1509="","확인필요(입력누락)",IF(SUMPRODUCT((실물목록!$P$2:$P$1001&lt;&gt;"")*ISNUMBER(SEARCH(실물목록!$P$2:$P$1001,I1509))*(실물목록!$Q$2:$Q$1001&lt;&gt;"")*ISNUMBER(SEARCH(실물목록!$Q$2:$Q$1001,I1509))*(실물목록!$R$2:$R$1001="")*(실물목록!$O$2:$O$1001&lt;&gt;"")*(실물목록!$O$2:$O$1001=H1509))&gt;0,"실물 있음",IF(SUMPRODUCT((실물목록!$P$2:$P$1001&lt;&gt;"")*ISNUMBER(SEARCH(실물목록!$P$2:$P$1001,I1509))*(실물목록!$R$2:$R$1001&lt;&gt;""))&gt;0,"확인필요(입력누락)",IF(SUMPRODUCT((실물목록!$P$2:$P$1001&lt;&gt;"")*ISNUMBER(SEARCH(실물목록!$P$2:$P$1001,I1509))*(실물목록!$Q$2:$Q$1001&lt;&gt;"")*ISNUMBER(SEARCH(실물목록!$Q$2:$Q$1001,I1509))*(실물목록!$R$2:$R$1001="")*(실물목록!$O$2:$O$1001&lt;&gt;""))&gt;0,"확인필요(연도다름)","실물 없음")))))</f>
      </c>
      <c r="G1509" t="n" s="16">
        <f aca="0">IF(B1509="","",SUMPRODUCT((실물목록!$P$2:$P$1001&lt;&gt;"")*ISNUMBER(SEARCH(실물목록!$P$2:$P$1001,I1509))*(실물목록!$Q$2:$Q$1001&lt;&gt;"")*ISNUMBER(SEARCH(실물목록!$Q$2:$Q$1001,I1509))*(실물목록!$R$2:$R$1001="")*(실물목록!$O$2:$O$1001&lt;&gt;"")*(실물목록!$O$2:$O$1001=H1509)))</f>
      </c>
      <c r="H1509" t="str">
        <f>IFERROR(IF(AND(LEN(SUBSTITUTE(SUBSTITUTE(SUBSTITUTE(TRIM(A1509&amp;""),CHAR(160),"")," ",""),"년",""))=4,VALUE(SUBSTITUTE(SUBSTITUTE(SUBSTITUTE(TRIM(A1509&amp;""),CHAR(160),"")," ",""),"년",""))&gt;=1900,VALUE(SUBSTITUTE(SUBSTITUTE(SUBSTITUTE(TRIM(A1509&amp;""),CHAR(160),"")," ",""),"년",""))&lt;=2099,TEXT(VALUE(SUBSTITUTE(SUBSTITUTE(SUBSTITUTE(TRIM(A1509&amp;""),CHAR(160),"")," ",""),"년","")),"0000")=SUBSTITUTE(SUBSTITUTE(SUBSTITUTE(TRIM(A1509&amp;""),CHAR(160),"")," ",""),"년","")),SUBSTITUTE(SUBSTITUTE(SUBSTITUTE(TRIM(A1509&amp;""),CHAR(160),"")," ",""),"년",""),""),"")</f>
      </c>
      <c r="I1509" t="str">
        <f>SUBSTITUTE(SUBSTITUTE(SUBSTITUTE(SUBSTITUTE(SUBSTITUTE(TRIM(B1509&amp;""),CHAR(160),"")," ",""),"초등학교","초"),"중학교","중"),"고등학교","고")</f>
      </c>
    </row>
    <row r="1510" customFormat="false" ht="15" hidden="false" customHeight="false" outlineLevel="0" collapsed="false">
      <c r="A1510" s="8"/>
      <c r="B1510" s="8"/>
      <c r="C1510" s="8"/>
      <c r="D1510" s="8"/>
      <c r="E1510" s="8"/>
      <c r="F1510" t="str" s="15">
        <f aca="0">IF(B1510="","",IF(H1510="","확인필요(입력누락)",IF(SUMPRODUCT((실물목록!$P$2:$P$1001&lt;&gt;"")*ISNUMBER(SEARCH(실물목록!$P$2:$P$1001,I1510))*(실물목록!$Q$2:$Q$1001&lt;&gt;"")*ISNUMBER(SEARCH(실물목록!$Q$2:$Q$1001,I1510))*(실물목록!$R$2:$R$1001="")*(실물목록!$O$2:$O$1001&lt;&gt;"")*(실물목록!$O$2:$O$1001=H1510))&gt;0,"실물 있음",IF(SUMPRODUCT((실물목록!$P$2:$P$1001&lt;&gt;"")*ISNUMBER(SEARCH(실물목록!$P$2:$P$1001,I1510))*(실물목록!$R$2:$R$1001&lt;&gt;""))&gt;0,"확인필요(입력누락)",IF(SUMPRODUCT((실물목록!$P$2:$P$1001&lt;&gt;"")*ISNUMBER(SEARCH(실물목록!$P$2:$P$1001,I1510))*(실물목록!$Q$2:$Q$1001&lt;&gt;"")*ISNUMBER(SEARCH(실물목록!$Q$2:$Q$1001,I1510))*(실물목록!$R$2:$R$1001="")*(실물목록!$O$2:$O$1001&lt;&gt;""))&gt;0,"확인필요(연도다름)","실물 없음")))))</f>
      </c>
      <c r="G1510" t="n" s="16">
        <f aca="0">IF(B1510="","",SUMPRODUCT((실물목록!$P$2:$P$1001&lt;&gt;"")*ISNUMBER(SEARCH(실물목록!$P$2:$P$1001,I1510))*(실물목록!$Q$2:$Q$1001&lt;&gt;"")*ISNUMBER(SEARCH(실물목록!$Q$2:$Q$1001,I1510))*(실물목록!$R$2:$R$1001="")*(실물목록!$O$2:$O$1001&lt;&gt;"")*(실물목록!$O$2:$O$1001=H1510)))</f>
      </c>
      <c r="H1510" t="str">
        <f>IFERROR(IF(AND(LEN(SUBSTITUTE(SUBSTITUTE(SUBSTITUTE(TRIM(A1510&amp;""),CHAR(160),"")," ",""),"년",""))=4,VALUE(SUBSTITUTE(SUBSTITUTE(SUBSTITUTE(TRIM(A1510&amp;""),CHAR(160),"")," ",""),"년",""))&gt;=1900,VALUE(SUBSTITUTE(SUBSTITUTE(SUBSTITUTE(TRIM(A1510&amp;""),CHAR(160),"")," ",""),"년",""))&lt;=2099,TEXT(VALUE(SUBSTITUTE(SUBSTITUTE(SUBSTITUTE(TRIM(A1510&amp;""),CHAR(160),"")," ",""),"년","")),"0000")=SUBSTITUTE(SUBSTITUTE(SUBSTITUTE(TRIM(A1510&amp;""),CHAR(160),"")," ",""),"년","")),SUBSTITUTE(SUBSTITUTE(SUBSTITUTE(TRIM(A1510&amp;""),CHAR(160),"")," ",""),"년",""),""),"")</f>
      </c>
      <c r="I1510" t="str">
        <f>SUBSTITUTE(SUBSTITUTE(SUBSTITUTE(SUBSTITUTE(SUBSTITUTE(TRIM(B1510&amp;""),CHAR(160),"")," ",""),"초등학교","초"),"중학교","중"),"고등학교","고")</f>
      </c>
    </row>
    <row r="1511" customFormat="false" ht="15" hidden="false" customHeight="false" outlineLevel="0" collapsed="false">
      <c r="A1511" s="8"/>
      <c r="B1511" s="8"/>
      <c r="C1511" s="8"/>
      <c r="D1511" s="8"/>
      <c r="E1511" s="8"/>
      <c r="F1511" t="str" s="15">
        <f aca="0">IF(B1511="","",IF(H1511="","확인필요(입력누락)",IF(SUMPRODUCT((실물목록!$P$2:$P$1001&lt;&gt;"")*ISNUMBER(SEARCH(실물목록!$P$2:$P$1001,I1511))*(실물목록!$Q$2:$Q$1001&lt;&gt;"")*ISNUMBER(SEARCH(실물목록!$Q$2:$Q$1001,I1511))*(실물목록!$R$2:$R$1001="")*(실물목록!$O$2:$O$1001&lt;&gt;"")*(실물목록!$O$2:$O$1001=H1511))&gt;0,"실물 있음",IF(SUMPRODUCT((실물목록!$P$2:$P$1001&lt;&gt;"")*ISNUMBER(SEARCH(실물목록!$P$2:$P$1001,I1511))*(실물목록!$R$2:$R$1001&lt;&gt;""))&gt;0,"확인필요(입력누락)",IF(SUMPRODUCT((실물목록!$P$2:$P$1001&lt;&gt;"")*ISNUMBER(SEARCH(실물목록!$P$2:$P$1001,I1511))*(실물목록!$Q$2:$Q$1001&lt;&gt;"")*ISNUMBER(SEARCH(실물목록!$Q$2:$Q$1001,I1511))*(실물목록!$R$2:$R$1001="")*(실물목록!$O$2:$O$1001&lt;&gt;""))&gt;0,"확인필요(연도다름)","실물 없음")))))</f>
      </c>
      <c r="G1511" t="n" s="16">
        <f aca="0">IF(B1511="","",SUMPRODUCT((실물목록!$P$2:$P$1001&lt;&gt;"")*ISNUMBER(SEARCH(실물목록!$P$2:$P$1001,I1511))*(실물목록!$Q$2:$Q$1001&lt;&gt;"")*ISNUMBER(SEARCH(실물목록!$Q$2:$Q$1001,I1511))*(실물목록!$R$2:$R$1001="")*(실물목록!$O$2:$O$1001&lt;&gt;"")*(실물목록!$O$2:$O$1001=H1511)))</f>
      </c>
      <c r="H1511" t="str">
        <f>IFERROR(IF(AND(LEN(SUBSTITUTE(SUBSTITUTE(SUBSTITUTE(TRIM(A1511&amp;""),CHAR(160),"")," ",""),"년",""))=4,VALUE(SUBSTITUTE(SUBSTITUTE(SUBSTITUTE(TRIM(A1511&amp;""),CHAR(160),"")," ",""),"년",""))&gt;=1900,VALUE(SUBSTITUTE(SUBSTITUTE(SUBSTITUTE(TRIM(A1511&amp;""),CHAR(160),"")," ",""),"년",""))&lt;=2099,TEXT(VALUE(SUBSTITUTE(SUBSTITUTE(SUBSTITUTE(TRIM(A1511&amp;""),CHAR(160),"")," ",""),"년","")),"0000")=SUBSTITUTE(SUBSTITUTE(SUBSTITUTE(TRIM(A1511&amp;""),CHAR(160),"")," ",""),"년","")),SUBSTITUTE(SUBSTITUTE(SUBSTITUTE(TRIM(A1511&amp;""),CHAR(160),"")," ",""),"년",""),""),"")</f>
      </c>
      <c r="I1511" t="str">
        <f>SUBSTITUTE(SUBSTITUTE(SUBSTITUTE(SUBSTITUTE(SUBSTITUTE(TRIM(B1511&amp;""),CHAR(160),"")," ",""),"초등학교","초"),"중학교","중"),"고등학교","고")</f>
      </c>
    </row>
    <row r="1512" customFormat="false" ht="15" hidden="false" customHeight="false" outlineLevel="0" collapsed="false">
      <c r="A1512" s="8"/>
      <c r="B1512" s="8"/>
      <c r="C1512" s="8"/>
      <c r="D1512" s="8"/>
      <c r="E1512" s="8"/>
      <c r="F1512" t="str" s="15">
        <f aca="0">IF(B1512="","",IF(H1512="","확인필요(입력누락)",IF(SUMPRODUCT((실물목록!$P$2:$P$1001&lt;&gt;"")*ISNUMBER(SEARCH(실물목록!$P$2:$P$1001,I1512))*(실물목록!$Q$2:$Q$1001&lt;&gt;"")*ISNUMBER(SEARCH(실물목록!$Q$2:$Q$1001,I1512))*(실물목록!$R$2:$R$1001="")*(실물목록!$O$2:$O$1001&lt;&gt;"")*(실물목록!$O$2:$O$1001=H1512))&gt;0,"실물 있음",IF(SUMPRODUCT((실물목록!$P$2:$P$1001&lt;&gt;"")*ISNUMBER(SEARCH(실물목록!$P$2:$P$1001,I1512))*(실물목록!$R$2:$R$1001&lt;&gt;""))&gt;0,"확인필요(입력누락)",IF(SUMPRODUCT((실물목록!$P$2:$P$1001&lt;&gt;"")*ISNUMBER(SEARCH(실물목록!$P$2:$P$1001,I1512))*(실물목록!$Q$2:$Q$1001&lt;&gt;"")*ISNUMBER(SEARCH(실물목록!$Q$2:$Q$1001,I1512))*(실물목록!$R$2:$R$1001="")*(실물목록!$O$2:$O$1001&lt;&gt;""))&gt;0,"확인필요(연도다름)","실물 없음")))))</f>
      </c>
      <c r="G1512" t="n" s="16">
        <f aca="0">IF(B1512="","",SUMPRODUCT((실물목록!$P$2:$P$1001&lt;&gt;"")*ISNUMBER(SEARCH(실물목록!$P$2:$P$1001,I1512))*(실물목록!$Q$2:$Q$1001&lt;&gt;"")*ISNUMBER(SEARCH(실물목록!$Q$2:$Q$1001,I1512))*(실물목록!$R$2:$R$1001="")*(실물목록!$O$2:$O$1001&lt;&gt;"")*(실물목록!$O$2:$O$1001=H1512)))</f>
      </c>
      <c r="H1512" t="str">
        <f>IFERROR(IF(AND(LEN(SUBSTITUTE(SUBSTITUTE(SUBSTITUTE(TRIM(A1512&amp;""),CHAR(160),"")," ",""),"년",""))=4,VALUE(SUBSTITUTE(SUBSTITUTE(SUBSTITUTE(TRIM(A1512&amp;""),CHAR(160),"")," ",""),"년",""))&gt;=1900,VALUE(SUBSTITUTE(SUBSTITUTE(SUBSTITUTE(TRIM(A1512&amp;""),CHAR(160),"")," ",""),"년",""))&lt;=2099,TEXT(VALUE(SUBSTITUTE(SUBSTITUTE(SUBSTITUTE(TRIM(A1512&amp;""),CHAR(160),"")," ",""),"년","")),"0000")=SUBSTITUTE(SUBSTITUTE(SUBSTITUTE(TRIM(A1512&amp;""),CHAR(160),"")," ",""),"년","")),SUBSTITUTE(SUBSTITUTE(SUBSTITUTE(TRIM(A1512&amp;""),CHAR(160),"")," ",""),"년",""),""),"")</f>
      </c>
      <c r="I1512" t="str">
        <f>SUBSTITUTE(SUBSTITUTE(SUBSTITUTE(SUBSTITUTE(SUBSTITUTE(TRIM(B1512&amp;""),CHAR(160),"")," ",""),"초등학교","초"),"중학교","중"),"고등학교","고")</f>
      </c>
    </row>
    <row r="1513" customFormat="false" ht="15" hidden="false" customHeight="false" outlineLevel="0" collapsed="false">
      <c r="A1513" s="8"/>
      <c r="B1513" s="8"/>
      <c r="C1513" s="8"/>
      <c r="D1513" s="8"/>
      <c r="E1513" s="8"/>
      <c r="F1513" t="str" s="15">
        <f aca="0">IF(B1513="","",IF(H1513="","확인필요(입력누락)",IF(SUMPRODUCT((실물목록!$P$2:$P$1001&lt;&gt;"")*ISNUMBER(SEARCH(실물목록!$P$2:$P$1001,I1513))*(실물목록!$Q$2:$Q$1001&lt;&gt;"")*ISNUMBER(SEARCH(실물목록!$Q$2:$Q$1001,I1513))*(실물목록!$R$2:$R$1001="")*(실물목록!$O$2:$O$1001&lt;&gt;"")*(실물목록!$O$2:$O$1001=H1513))&gt;0,"실물 있음",IF(SUMPRODUCT((실물목록!$P$2:$P$1001&lt;&gt;"")*ISNUMBER(SEARCH(실물목록!$P$2:$P$1001,I1513))*(실물목록!$R$2:$R$1001&lt;&gt;""))&gt;0,"확인필요(입력누락)",IF(SUMPRODUCT((실물목록!$P$2:$P$1001&lt;&gt;"")*ISNUMBER(SEARCH(실물목록!$P$2:$P$1001,I1513))*(실물목록!$Q$2:$Q$1001&lt;&gt;"")*ISNUMBER(SEARCH(실물목록!$Q$2:$Q$1001,I1513))*(실물목록!$R$2:$R$1001="")*(실물목록!$O$2:$O$1001&lt;&gt;""))&gt;0,"확인필요(연도다름)","실물 없음")))))</f>
      </c>
      <c r="G1513" t="n" s="16">
        <f aca="0">IF(B1513="","",SUMPRODUCT((실물목록!$P$2:$P$1001&lt;&gt;"")*ISNUMBER(SEARCH(실물목록!$P$2:$P$1001,I1513))*(실물목록!$Q$2:$Q$1001&lt;&gt;"")*ISNUMBER(SEARCH(실물목록!$Q$2:$Q$1001,I1513))*(실물목록!$R$2:$R$1001="")*(실물목록!$O$2:$O$1001&lt;&gt;"")*(실물목록!$O$2:$O$1001=H1513)))</f>
      </c>
      <c r="H1513" t="str">
        <f>IFERROR(IF(AND(LEN(SUBSTITUTE(SUBSTITUTE(SUBSTITUTE(TRIM(A1513&amp;""),CHAR(160),"")," ",""),"년",""))=4,VALUE(SUBSTITUTE(SUBSTITUTE(SUBSTITUTE(TRIM(A1513&amp;""),CHAR(160),"")," ",""),"년",""))&gt;=1900,VALUE(SUBSTITUTE(SUBSTITUTE(SUBSTITUTE(TRIM(A1513&amp;""),CHAR(160),"")," ",""),"년",""))&lt;=2099,TEXT(VALUE(SUBSTITUTE(SUBSTITUTE(SUBSTITUTE(TRIM(A1513&amp;""),CHAR(160),"")," ",""),"년","")),"0000")=SUBSTITUTE(SUBSTITUTE(SUBSTITUTE(TRIM(A1513&amp;""),CHAR(160),"")," ",""),"년","")),SUBSTITUTE(SUBSTITUTE(SUBSTITUTE(TRIM(A1513&amp;""),CHAR(160),"")," ",""),"년",""),""),"")</f>
      </c>
      <c r="I1513" t="str">
        <f>SUBSTITUTE(SUBSTITUTE(SUBSTITUTE(SUBSTITUTE(SUBSTITUTE(TRIM(B1513&amp;""),CHAR(160),"")," ",""),"초등학교","초"),"중학교","중"),"고등학교","고")</f>
      </c>
    </row>
    <row r="1514" customFormat="false" ht="15" hidden="false" customHeight="false" outlineLevel="0" collapsed="false">
      <c r="A1514" s="8"/>
      <c r="B1514" s="8"/>
      <c r="C1514" s="8"/>
      <c r="D1514" s="8"/>
      <c r="E1514" s="8"/>
      <c r="F1514" t="str" s="15">
        <f aca="0">IF(B1514="","",IF(H1514="","확인필요(입력누락)",IF(SUMPRODUCT((실물목록!$P$2:$P$1001&lt;&gt;"")*ISNUMBER(SEARCH(실물목록!$P$2:$P$1001,I1514))*(실물목록!$Q$2:$Q$1001&lt;&gt;"")*ISNUMBER(SEARCH(실물목록!$Q$2:$Q$1001,I1514))*(실물목록!$R$2:$R$1001="")*(실물목록!$O$2:$O$1001&lt;&gt;"")*(실물목록!$O$2:$O$1001=H1514))&gt;0,"실물 있음",IF(SUMPRODUCT((실물목록!$P$2:$P$1001&lt;&gt;"")*ISNUMBER(SEARCH(실물목록!$P$2:$P$1001,I1514))*(실물목록!$R$2:$R$1001&lt;&gt;""))&gt;0,"확인필요(입력누락)",IF(SUMPRODUCT((실물목록!$P$2:$P$1001&lt;&gt;"")*ISNUMBER(SEARCH(실물목록!$P$2:$P$1001,I1514))*(실물목록!$Q$2:$Q$1001&lt;&gt;"")*ISNUMBER(SEARCH(실물목록!$Q$2:$Q$1001,I1514))*(실물목록!$R$2:$R$1001="")*(실물목록!$O$2:$O$1001&lt;&gt;""))&gt;0,"확인필요(연도다름)","실물 없음")))))</f>
      </c>
      <c r="G1514" t="n" s="16">
        <f aca="0">IF(B1514="","",SUMPRODUCT((실물목록!$P$2:$P$1001&lt;&gt;"")*ISNUMBER(SEARCH(실물목록!$P$2:$P$1001,I1514))*(실물목록!$Q$2:$Q$1001&lt;&gt;"")*ISNUMBER(SEARCH(실물목록!$Q$2:$Q$1001,I1514))*(실물목록!$R$2:$R$1001="")*(실물목록!$O$2:$O$1001&lt;&gt;"")*(실물목록!$O$2:$O$1001=H1514)))</f>
      </c>
      <c r="H1514" t="str">
        <f>IFERROR(IF(AND(LEN(SUBSTITUTE(SUBSTITUTE(SUBSTITUTE(TRIM(A1514&amp;""),CHAR(160),"")," ",""),"년",""))=4,VALUE(SUBSTITUTE(SUBSTITUTE(SUBSTITUTE(TRIM(A1514&amp;""),CHAR(160),"")," ",""),"년",""))&gt;=1900,VALUE(SUBSTITUTE(SUBSTITUTE(SUBSTITUTE(TRIM(A1514&amp;""),CHAR(160),"")," ",""),"년",""))&lt;=2099,TEXT(VALUE(SUBSTITUTE(SUBSTITUTE(SUBSTITUTE(TRIM(A1514&amp;""),CHAR(160),"")," ",""),"년","")),"0000")=SUBSTITUTE(SUBSTITUTE(SUBSTITUTE(TRIM(A1514&amp;""),CHAR(160),"")," ",""),"년","")),SUBSTITUTE(SUBSTITUTE(SUBSTITUTE(TRIM(A1514&amp;""),CHAR(160),"")," ",""),"년",""),""),"")</f>
      </c>
      <c r="I1514" t="str">
        <f>SUBSTITUTE(SUBSTITUTE(SUBSTITUTE(SUBSTITUTE(SUBSTITUTE(TRIM(B1514&amp;""),CHAR(160),"")," ",""),"초등학교","초"),"중학교","중"),"고등학교","고")</f>
      </c>
    </row>
    <row r="1515" customFormat="false" ht="15" hidden="false" customHeight="false" outlineLevel="0" collapsed="false">
      <c r="A1515" s="8"/>
      <c r="B1515" s="8"/>
      <c r="C1515" s="8"/>
      <c r="D1515" s="8"/>
      <c r="E1515" s="8"/>
      <c r="F1515" t="str" s="15">
        <f aca="0">IF(B1515="","",IF(H1515="","확인필요(입력누락)",IF(SUMPRODUCT((실물목록!$P$2:$P$1001&lt;&gt;"")*ISNUMBER(SEARCH(실물목록!$P$2:$P$1001,I1515))*(실물목록!$Q$2:$Q$1001&lt;&gt;"")*ISNUMBER(SEARCH(실물목록!$Q$2:$Q$1001,I1515))*(실물목록!$R$2:$R$1001="")*(실물목록!$O$2:$O$1001&lt;&gt;"")*(실물목록!$O$2:$O$1001=H1515))&gt;0,"실물 있음",IF(SUMPRODUCT((실물목록!$P$2:$P$1001&lt;&gt;"")*ISNUMBER(SEARCH(실물목록!$P$2:$P$1001,I1515))*(실물목록!$R$2:$R$1001&lt;&gt;""))&gt;0,"확인필요(입력누락)",IF(SUMPRODUCT((실물목록!$P$2:$P$1001&lt;&gt;"")*ISNUMBER(SEARCH(실물목록!$P$2:$P$1001,I1515))*(실물목록!$Q$2:$Q$1001&lt;&gt;"")*ISNUMBER(SEARCH(실물목록!$Q$2:$Q$1001,I1515))*(실물목록!$R$2:$R$1001="")*(실물목록!$O$2:$O$1001&lt;&gt;""))&gt;0,"확인필요(연도다름)","실물 없음")))))</f>
      </c>
      <c r="G1515" t="n" s="16">
        <f aca="0">IF(B1515="","",SUMPRODUCT((실물목록!$P$2:$P$1001&lt;&gt;"")*ISNUMBER(SEARCH(실물목록!$P$2:$P$1001,I1515))*(실물목록!$Q$2:$Q$1001&lt;&gt;"")*ISNUMBER(SEARCH(실물목록!$Q$2:$Q$1001,I1515))*(실물목록!$R$2:$R$1001="")*(실물목록!$O$2:$O$1001&lt;&gt;"")*(실물목록!$O$2:$O$1001=H1515)))</f>
      </c>
      <c r="H1515" t="str">
        <f>IFERROR(IF(AND(LEN(SUBSTITUTE(SUBSTITUTE(SUBSTITUTE(TRIM(A1515&amp;""),CHAR(160),"")," ",""),"년",""))=4,VALUE(SUBSTITUTE(SUBSTITUTE(SUBSTITUTE(TRIM(A1515&amp;""),CHAR(160),"")," ",""),"년",""))&gt;=1900,VALUE(SUBSTITUTE(SUBSTITUTE(SUBSTITUTE(TRIM(A1515&amp;""),CHAR(160),"")," ",""),"년",""))&lt;=2099,TEXT(VALUE(SUBSTITUTE(SUBSTITUTE(SUBSTITUTE(TRIM(A1515&amp;""),CHAR(160),"")," ",""),"년","")),"0000")=SUBSTITUTE(SUBSTITUTE(SUBSTITUTE(TRIM(A1515&amp;""),CHAR(160),"")," ",""),"년","")),SUBSTITUTE(SUBSTITUTE(SUBSTITUTE(TRIM(A1515&amp;""),CHAR(160),"")," ",""),"년",""),""),"")</f>
      </c>
      <c r="I1515" t="str">
        <f>SUBSTITUTE(SUBSTITUTE(SUBSTITUTE(SUBSTITUTE(SUBSTITUTE(TRIM(B1515&amp;""),CHAR(160),"")," ",""),"초등학교","초"),"중학교","중"),"고등학교","고")</f>
      </c>
    </row>
    <row r="1516" customFormat="false" ht="15" hidden="false" customHeight="false" outlineLevel="0" collapsed="false">
      <c r="A1516" s="8"/>
      <c r="B1516" s="8"/>
      <c r="C1516" s="8"/>
      <c r="D1516" s="8"/>
      <c r="E1516" s="8"/>
      <c r="F1516" t="str" s="15">
        <f aca="0">IF(B1516="","",IF(H1516="","확인필요(입력누락)",IF(SUMPRODUCT((실물목록!$P$2:$P$1001&lt;&gt;"")*ISNUMBER(SEARCH(실물목록!$P$2:$P$1001,I1516))*(실물목록!$Q$2:$Q$1001&lt;&gt;"")*ISNUMBER(SEARCH(실물목록!$Q$2:$Q$1001,I1516))*(실물목록!$R$2:$R$1001="")*(실물목록!$O$2:$O$1001&lt;&gt;"")*(실물목록!$O$2:$O$1001=H1516))&gt;0,"실물 있음",IF(SUMPRODUCT((실물목록!$P$2:$P$1001&lt;&gt;"")*ISNUMBER(SEARCH(실물목록!$P$2:$P$1001,I1516))*(실물목록!$R$2:$R$1001&lt;&gt;""))&gt;0,"확인필요(입력누락)",IF(SUMPRODUCT((실물목록!$P$2:$P$1001&lt;&gt;"")*ISNUMBER(SEARCH(실물목록!$P$2:$P$1001,I1516))*(실물목록!$Q$2:$Q$1001&lt;&gt;"")*ISNUMBER(SEARCH(실물목록!$Q$2:$Q$1001,I1516))*(실물목록!$R$2:$R$1001="")*(실물목록!$O$2:$O$1001&lt;&gt;""))&gt;0,"확인필요(연도다름)","실물 없음")))))</f>
      </c>
      <c r="G1516" t="n" s="16">
        <f aca="0">IF(B1516="","",SUMPRODUCT((실물목록!$P$2:$P$1001&lt;&gt;"")*ISNUMBER(SEARCH(실물목록!$P$2:$P$1001,I1516))*(실물목록!$Q$2:$Q$1001&lt;&gt;"")*ISNUMBER(SEARCH(실물목록!$Q$2:$Q$1001,I1516))*(실물목록!$R$2:$R$1001="")*(실물목록!$O$2:$O$1001&lt;&gt;"")*(실물목록!$O$2:$O$1001=H1516)))</f>
      </c>
      <c r="H1516" t="str">
        <f>IFERROR(IF(AND(LEN(SUBSTITUTE(SUBSTITUTE(SUBSTITUTE(TRIM(A1516&amp;""),CHAR(160),"")," ",""),"년",""))=4,VALUE(SUBSTITUTE(SUBSTITUTE(SUBSTITUTE(TRIM(A1516&amp;""),CHAR(160),"")," ",""),"년",""))&gt;=1900,VALUE(SUBSTITUTE(SUBSTITUTE(SUBSTITUTE(TRIM(A1516&amp;""),CHAR(160),"")," ",""),"년",""))&lt;=2099,TEXT(VALUE(SUBSTITUTE(SUBSTITUTE(SUBSTITUTE(TRIM(A1516&amp;""),CHAR(160),"")," ",""),"년","")),"0000")=SUBSTITUTE(SUBSTITUTE(SUBSTITUTE(TRIM(A1516&amp;""),CHAR(160),"")," ",""),"년","")),SUBSTITUTE(SUBSTITUTE(SUBSTITUTE(TRIM(A1516&amp;""),CHAR(160),"")," ",""),"년",""),""),"")</f>
      </c>
      <c r="I1516" t="str">
        <f>SUBSTITUTE(SUBSTITUTE(SUBSTITUTE(SUBSTITUTE(SUBSTITUTE(TRIM(B1516&amp;""),CHAR(160),"")," ",""),"초등학교","초"),"중학교","중"),"고등학교","고")</f>
      </c>
    </row>
    <row r="1517" customFormat="false" ht="15" hidden="false" customHeight="false" outlineLevel="0" collapsed="false">
      <c r="A1517" s="8"/>
      <c r="B1517" s="8"/>
      <c r="C1517" s="8"/>
      <c r="D1517" s="8"/>
      <c r="E1517" s="8"/>
      <c r="F1517" t="str" s="15">
        <f aca="0">IF(B1517="","",IF(H1517="","확인필요(입력누락)",IF(SUMPRODUCT((실물목록!$P$2:$P$1001&lt;&gt;"")*ISNUMBER(SEARCH(실물목록!$P$2:$P$1001,I1517))*(실물목록!$Q$2:$Q$1001&lt;&gt;"")*ISNUMBER(SEARCH(실물목록!$Q$2:$Q$1001,I1517))*(실물목록!$R$2:$R$1001="")*(실물목록!$O$2:$O$1001&lt;&gt;"")*(실물목록!$O$2:$O$1001=H1517))&gt;0,"실물 있음",IF(SUMPRODUCT((실물목록!$P$2:$P$1001&lt;&gt;"")*ISNUMBER(SEARCH(실물목록!$P$2:$P$1001,I1517))*(실물목록!$R$2:$R$1001&lt;&gt;""))&gt;0,"확인필요(입력누락)",IF(SUMPRODUCT((실물목록!$P$2:$P$1001&lt;&gt;"")*ISNUMBER(SEARCH(실물목록!$P$2:$P$1001,I1517))*(실물목록!$Q$2:$Q$1001&lt;&gt;"")*ISNUMBER(SEARCH(실물목록!$Q$2:$Q$1001,I1517))*(실물목록!$R$2:$R$1001="")*(실물목록!$O$2:$O$1001&lt;&gt;""))&gt;0,"확인필요(연도다름)","실물 없음")))))</f>
      </c>
      <c r="G1517" t="n" s="16">
        <f aca="0">IF(B1517="","",SUMPRODUCT((실물목록!$P$2:$P$1001&lt;&gt;"")*ISNUMBER(SEARCH(실물목록!$P$2:$P$1001,I1517))*(실물목록!$Q$2:$Q$1001&lt;&gt;"")*ISNUMBER(SEARCH(실물목록!$Q$2:$Q$1001,I1517))*(실물목록!$R$2:$R$1001="")*(실물목록!$O$2:$O$1001&lt;&gt;"")*(실물목록!$O$2:$O$1001=H1517)))</f>
      </c>
      <c r="H1517" t="str">
        <f>IFERROR(IF(AND(LEN(SUBSTITUTE(SUBSTITUTE(SUBSTITUTE(TRIM(A1517&amp;""),CHAR(160),"")," ",""),"년",""))=4,VALUE(SUBSTITUTE(SUBSTITUTE(SUBSTITUTE(TRIM(A1517&amp;""),CHAR(160),"")," ",""),"년",""))&gt;=1900,VALUE(SUBSTITUTE(SUBSTITUTE(SUBSTITUTE(TRIM(A1517&amp;""),CHAR(160),"")," ",""),"년",""))&lt;=2099,TEXT(VALUE(SUBSTITUTE(SUBSTITUTE(SUBSTITUTE(TRIM(A1517&amp;""),CHAR(160),"")," ",""),"년","")),"0000")=SUBSTITUTE(SUBSTITUTE(SUBSTITUTE(TRIM(A1517&amp;""),CHAR(160),"")," ",""),"년","")),SUBSTITUTE(SUBSTITUTE(SUBSTITUTE(TRIM(A1517&amp;""),CHAR(160),"")," ",""),"년",""),""),"")</f>
      </c>
      <c r="I1517" t="str">
        <f>SUBSTITUTE(SUBSTITUTE(SUBSTITUTE(SUBSTITUTE(SUBSTITUTE(TRIM(B1517&amp;""),CHAR(160),"")," ",""),"초등학교","초"),"중학교","중"),"고등학교","고")</f>
      </c>
    </row>
    <row r="1518" customFormat="false" ht="15" hidden="false" customHeight="false" outlineLevel="0" collapsed="false">
      <c r="A1518" s="8"/>
      <c r="B1518" s="8"/>
      <c r="C1518" s="8"/>
      <c r="D1518" s="8"/>
      <c r="E1518" s="8"/>
      <c r="F1518" t="str" s="15">
        <f aca="0">IF(B1518="","",IF(H1518="","확인필요(입력누락)",IF(SUMPRODUCT((실물목록!$P$2:$P$1001&lt;&gt;"")*ISNUMBER(SEARCH(실물목록!$P$2:$P$1001,I1518))*(실물목록!$Q$2:$Q$1001&lt;&gt;"")*ISNUMBER(SEARCH(실물목록!$Q$2:$Q$1001,I1518))*(실물목록!$R$2:$R$1001="")*(실물목록!$O$2:$O$1001&lt;&gt;"")*(실물목록!$O$2:$O$1001=H1518))&gt;0,"실물 있음",IF(SUMPRODUCT((실물목록!$P$2:$P$1001&lt;&gt;"")*ISNUMBER(SEARCH(실물목록!$P$2:$P$1001,I1518))*(실물목록!$R$2:$R$1001&lt;&gt;""))&gt;0,"확인필요(입력누락)",IF(SUMPRODUCT((실물목록!$P$2:$P$1001&lt;&gt;"")*ISNUMBER(SEARCH(실물목록!$P$2:$P$1001,I1518))*(실물목록!$Q$2:$Q$1001&lt;&gt;"")*ISNUMBER(SEARCH(실물목록!$Q$2:$Q$1001,I1518))*(실물목록!$R$2:$R$1001="")*(실물목록!$O$2:$O$1001&lt;&gt;""))&gt;0,"확인필요(연도다름)","실물 없음")))))</f>
      </c>
      <c r="G1518" t="n" s="16">
        <f aca="0">IF(B1518="","",SUMPRODUCT((실물목록!$P$2:$P$1001&lt;&gt;"")*ISNUMBER(SEARCH(실물목록!$P$2:$P$1001,I1518))*(실물목록!$Q$2:$Q$1001&lt;&gt;"")*ISNUMBER(SEARCH(실물목록!$Q$2:$Q$1001,I1518))*(실물목록!$R$2:$R$1001="")*(실물목록!$O$2:$O$1001&lt;&gt;"")*(실물목록!$O$2:$O$1001=H1518)))</f>
      </c>
      <c r="H1518" t="str">
        <f>IFERROR(IF(AND(LEN(SUBSTITUTE(SUBSTITUTE(SUBSTITUTE(TRIM(A1518&amp;""),CHAR(160),"")," ",""),"년",""))=4,VALUE(SUBSTITUTE(SUBSTITUTE(SUBSTITUTE(TRIM(A1518&amp;""),CHAR(160),"")," ",""),"년",""))&gt;=1900,VALUE(SUBSTITUTE(SUBSTITUTE(SUBSTITUTE(TRIM(A1518&amp;""),CHAR(160),"")," ",""),"년",""))&lt;=2099,TEXT(VALUE(SUBSTITUTE(SUBSTITUTE(SUBSTITUTE(TRIM(A1518&amp;""),CHAR(160),"")," ",""),"년","")),"0000")=SUBSTITUTE(SUBSTITUTE(SUBSTITUTE(TRIM(A1518&amp;""),CHAR(160),"")," ",""),"년","")),SUBSTITUTE(SUBSTITUTE(SUBSTITUTE(TRIM(A1518&amp;""),CHAR(160),"")," ",""),"년",""),""),"")</f>
      </c>
      <c r="I1518" t="str">
        <f>SUBSTITUTE(SUBSTITUTE(SUBSTITUTE(SUBSTITUTE(SUBSTITUTE(TRIM(B1518&amp;""),CHAR(160),"")," ",""),"초등학교","초"),"중학교","중"),"고등학교","고")</f>
      </c>
    </row>
    <row r="1519" customFormat="false" ht="15" hidden="false" customHeight="false" outlineLevel="0" collapsed="false">
      <c r="A1519" s="8"/>
      <c r="B1519" s="8"/>
      <c r="C1519" s="8"/>
      <c r="D1519" s="8"/>
      <c r="E1519" s="8"/>
      <c r="F1519" t="str" s="15">
        <f aca="0">IF(B1519="","",IF(H1519="","확인필요(입력누락)",IF(SUMPRODUCT((실물목록!$P$2:$P$1001&lt;&gt;"")*ISNUMBER(SEARCH(실물목록!$P$2:$P$1001,I1519))*(실물목록!$Q$2:$Q$1001&lt;&gt;"")*ISNUMBER(SEARCH(실물목록!$Q$2:$Q$1001,I1519))*(실물목록!$R$2:$R$1001="")*(실물목록!$O$2:$O$1001&lt;&gt;"")*(실물목록!$O$2:$O$1001=H1519))&gt;0,"실물 있음",IF(SUMPRODUCT((실물목록!$P$2:$P$1001&lt;&gt;"")*ISNUMBER(SEARCH(실물목록!$P$2:$P$1001,I1519))*(실물목록!$R$2:$R$1001&lt;&gt;""))&gt;0,"확인필요(입력누락)",IF(SUMPRODUCT((실물목록!$P$2:$P$1001&lt;&gt;"")*ISNUMBER(SEARCH(실물목록!$P$2:$P$1001,I1519))*(실물목록!$Q$2:$Q$1001&lt;&gt;"")*ISNUMBER(SEARCH(실물목록!$Q$2:$Q$1001,I1519))*(실물목록!$R$2:$R$1001="")*(실물목록!$O$2:$O$1001&lt;&gt;""))&gt;0,"확인필요(연도다름)","실물 없음")))))</f>
      </c>
      <c r="G1519" t="n" s="16">
        <f aca="0">IF(B1519="","",SUMPRODUCT((실물목록!$P$2:$P$1001&lt;&gt;"")*ISNUMBER(SEARCH(실물목록!$P$2:$P$1001,I1519))*(실물목록!$Q$2:$Q$1001&lt;&gt;"")*ISNUMBER(SEARCH(실물목록!$Q$2:$Q$1001,I1519))*(실물목록!$R$2:$R$1001="")*(실물목록!$O$2:$O$1001&lt;&gt;"")*(실물목록!$O$2:$O$1001=H1519)))</f>
      </c>
      <c r="H1519" t="str">
        <f>IFERROR(IF(AND(LEN(SUBSTITUTE(SUBSTITUTE(SUBSTITUTE(TRIM(A1519&amp;""),CHAR(160),"")," ",""),"년",""))=4,VALUE(SUBSTITUTE(SUBSTITUTE(SUBSTITUTE(TRIM(A1519&amp;""),CHAR(160),"")," ",""),"년",""))&gt;=1900,VALUE(SUBSTITUTE(SUBSTITUTE(SUBSTITUTE(TRIM(A1519&amp;""),CHAR(160),"")," ",""),"년",""))&lt;=2099,TEXT(VALUE(SUBSTITUTE(SUBSTITUTE(SUBSTITUTE(TRIM(A1519&amp;""),CHAR(160),"")," ",""),"년","")),"0000")=SUBSTITUTE(SUBSTITUTE(SUBSTITUTE(TRIM(A1519&amp;""),CHAR(160),"")," ",""),"년","")),SUBSTITUTE(SUBSTITUTE(SUBSTITUTE(TRIM(A1519&amp;""),CHAR(160),"")," ",""),"년",""),""),"")</f>
      </c>
      <c r="I1519" t="str">
        <f>SUBSTITUTE(SUBSTITUTE(SUBSTITUTE(SUBSTITUTE(SUBSTITUTE(TRIM(B1519&amp;""),CHAR(160),"")," ",""),"초등학교","초"),"중학교","중"),"고등학교","고")</f>
      </c>
    </row>
    <row r="1520" customFormat="false" ht="15" hidden="false" customHeight="false" outlineLevel="0" collapsed="false">
      <c r="A1520" s="8"/>
      <c r="B1520" s="8"/>
      <c r="C1520" s="8"/>
      <c r="D1520" s="8"/>
      <c r="E1520" s="8"/>
      <c r="F1520" t="str" s="15">
        <f aca="0">IF(B1520="","",IF(H1520="","확인필요(입력누락)",IF(SUMPRODUCT((실물목록!$P$2:$P$1001&lt;&gt;"")*ISNUMBER(SEARCH(실물목록!$P$2:$P$1001,I1520))*(실물목록!$Q$2:$Q$1001&lt;&gt;"")*ISNUMBER(SEARCH(실물목록!$Q$2:$Q$1001,I1520))*(실물목록!$R$2:$R$1001="")*(실물목록!$O$2:$O$1001&lt;&gt;"")*(실물목록!$O$2:$O$1001=H1520))&gt;0,"실물 있음",IF(SUMPRODUCT((실물목록!$P$2:$P$1001&lt;&gt;"")*ISNUMBER(SEARCH(실물목록!$P$2:$P$1001,I1520))*(실물목록!$R$2:$R$1001&lt;&gt;""))&gt;0,"확인필요(입력누락)",IF(SUMPRODUCT((실물목록!$P$2:$P$1001&lt;&gt;"")*ISNUMBER(SEARCH(실물목록!$P$2:$P$1001,I1520))*(실물목록!$Q$2:$Q$1001&lt;&gt;"")*ISNUMBER(SEARCH(실물목록!$Q$2:$Q$1001,I1520))*(실물목록!$R$2:$R$1001="")*(실물목록!$O$2:$O$1001&lt;&gt;""))&gt;0,"확인필요(연도다름)","실물 없음")))))</f>
      </c>
      <c r="G1520" t="n" s="16">
        <f aca="0">IF(B1520="","",SUMPRODUCT((실물목록!$P$2:$P$1001&lt;&gt;"")*ISNUMBER(SEARCH(실물목록!$P$2:$P$1001,I1520))*(실물목록!$Q$2:$Q$1001&lt;&gt;"")*ISNUMBER(SEARCH(실물목록!$Q$2:$Q$1001,I1520))*(실물목록!$R$2:$R$1001="")*(실물목록!$O$2:$O$1001&lt;&gt;"")*(실물목록!$O$2:$O$1001=H1520)))</f>
      </c>
      <c r="H1520" t="str">
        <f>IFERROR(IF(AND(LEN(SUBSTITUTE(SUBSTITUTE(SUBSTITUTE(TRIM(A1520&amp;""),CHAR(160),"")," ",""),"년",""))=4,VALUE(SUBSTITUTE(SUBSTITUTE(SUBSTITUTE(TRIM(A1520&amp;""),CHAR(160),"")," ",""),"년",""))&gt;=1900,VALUE(SUBSTITUTE(SUBSTITUTE(SUBSTITUTE(TRIM(A1520&amp;""),CHAR(160),"")," ",""),"년",""))&lt;=2099,TEXT(VALUE(SUBSTITUTE(SUBSTITUTE(SUBSTITUTE(TRIM(A1520&amp;""),CHAR(160),"")," ",""),"년","")),"0000")=SUBSTITUTE(SUBSTITUTE(SUBSTITUTE(TRIM(A1520&amp;""),CHAR(160),"")," ",""),"년","")),SUBSTITUTE(SUBSTITUTE(SUBSTITUTE(TRIM(A1520&amp;""),CHAR(160),"")," ",""),"년",""),""),"")</f>
      </c>
      <c r="I1520" t="str">
        <f>SUBSTITUTE(SUBSTITUTE(SUBSTITUTE(SUBSTITUTE(SUBSTITUTE(TRIM(B1520&amp;""),CHAR(160),"")," ",""),"초등학교","초"),"중학교","중"),"고등학교","고")</f>
      </c>
    </row>
    <row r="1521" customFormat="false" ht="15" hidden="false" customHeight="false" outlineLevel="0" collapsed="false">
      <c r="A1521" s="8"/>
      <c r="B1521" s="8"/>
      <c r="C1521" s="8"/>
      <c r="D1521" s="8"/>
      <c r="E1521" s="8"/>
      <c r="F1521" t="str" s="15">
        <f aca="0">IF(B1521="","",IF(H1521="","확인필요(입력누락)",IF(SUMPRODUCT((실물목록!$P$2:$P$1001&lt;&gt;"")*ISNUMBER(SEARCH(실물목록!$P$2:$P$1001,I1521))*(실물목록!$Q$2:$Q$1001&lt;&gt;"")*ISNUMBER(SEARCH(실물목록!$Q$2:$Q$1001,I1521))*(실물목록!$R$2:$R$1001="")*(실물목록!$O$2:$O$1001&lt;&gt;"")*(실물목록!$O$2:$O$1001=H1521))&gt;0,"실물 있음",IF(SUMPRODUCT((실물목록!$P$2:$P$1001&lt;&gt;"")*ISNUMBER(SEARCH(실물목록!$P$2:$P$1001,I1521))*(실물목록!$R$2:$R$1001&lt;&gt;""))&gt;0,"확인필요(입력누락)",IF(SUMPRODUCT((실물목록!$P$2:$P$1001&lt;&gt;"")*ISNUMBER(SEARCH(실물목록!$P$2:$P$1001,I1521))*(실물목록!$Q$2:$Q$1001&lt;&gt;"")*ISNUMBER(SEARCH(실물목록!$Q$2:$Q$1001,I1521))*(실물목록!$R$2:$R$1001="")*(실물목록!$O$2:$O$1001&lt;&gt;""))&gt;0,"확인필요(연도다름)","실물 없음")))))</f>
      </c>
      <c r="G1521" t="n" s="16">
        <f aca="0">IF(B1521="","",SUMPRODUCT((실물목록!$P$2:$P$1001&lt;&gt;"")*ISNUMBER(SEARCH(실물목록!$P$2:$P$1001,I1521))*(실물목록!$Q$2:$Q$1001&lt;&gt;"")*ISNUMBER(SEARCH(실물목록!$Q$2:$Q$1001,I1521))*(실물목록!$R$2:$R$1001="")*(실물목록!$O$2:$O$1001&lt;&gt;"")*(실물목록!$O$2:$O$1001=H1521)))</f>
      </c>
      <c r="H1521" t="str">
        <f>IFERROR(IF(AND(LEN(SUBSTITUTE(SUBSTITUTE(SUBSTITUTE(TRIM(A1521&amp;""),CHAR(160),"")," ",""),"년",""))=4,VALUE(SUBSTITUTE(SUBSTITUTE(SUBSTITUTE(TRIM(A1521&amp;""),CHAR(160),"")," ",""),"년",""))&gt;=1900,VALUE(SUBSTITUTE(SUBSTITUTE(SUBSTITUTE(TRIM(A1521&amp;""),CHAR(160),"")," ",""),"년",""))&lt;=2099,TEXT(VALUE(SUBSTITUTE(SUBSTITUTE(SUBSTITUTE(TRIM(A1521&amp;""),CHAR(160),"")," ",""),"년","")),"0000")=SUBSTITUTE(SUBSTITUTE(SUBSTITUTE(TRIM(A1521&amp;""),CHAR(160),"")," ",""),"년","")),SUBSTITUTE(SUBSTITUTE(SUBSTITUTE(TRIM(A1521&amp;""),CHAR(160),"")," ",""),"년",""),""),"")</f>
      </c>
      <c r="I1521" t="str">
        <f>SUBSTITUTE(SUBSTITUTE(SUBSTITUTE(SUBSTITUTE(SUBSTITUTE(TRIM(B1521&amp;""),CHAR(160),"")," ",""),"초등학교","초"),"중학교","중"),"고등학교","고")</f>
      </c>
    </row>
    <row r="1522" customFormat="false" ht="15" hidden="false" customHeight="false" outlineLevel="0" collapsed="false">
      <c r="A1522" s="8"/>
      <c r="B1522" s="8"/>
      <c r="C1522" s="8"/>
      <c r="D1522" s="8"/>
      <c r="E1522" s="8"/>
      <c r="F1522" t="str" s="15">
        <f aca="0">IF(B1522="","",IF(H1522="","확인필요(입력누락)",IF(SUMPRODUCT((실물목록!$P$2:$P$1001&lt;&gt;"")*ISNUMBER(SEARCH(실물목록!$P$2:$P$1001,I1522))*(실물목록!$Q$2:$Q$1001&lt;&gt;"")*ISNUMBER(SEARCH(실물목록!$Q$2:$Q$1001,I1522))*(실물목록!$R$2:$R$1001="")*(실물목록!$O$2:$O$1001&lt;&gt;"")*(실물목록!$O$2:$O$1001=H1522))&gt;0,"실물 있음",IF(SUMPRODUCT((실물목록!$P$2:$P$1001&lt;&gt;"")*ISNUMBER(SEARCH(실물목록!$P$2:$P$1001,I1522))*(실물목록!$R$2:$R$1001&lt;&gt;""))&gt;0,"확인필요(입력누락)",IF(SUMPRODUCT((실물목록!$P$2:$P$1001&lt;&gt;"")*ISNUMBER(SEARCH(실물목록!$P$2:$P$1001,I1522))*(실물목록!$Q$2:$Q$1001&lt;&gt;"")*ISNUMBER(SEARCH(실물목록!$Q$2:$Q$1001,I1522))*(실물목록!$R$2:$R$1001="")*(실물목록!$O$2:$O$1001&lt;&gt;""))&gt;0,"확인필요(연도다름)","실물 없음")))))</f>
      </c>
      <c r="G1522" t="n" s="16">
        <f aca="0">IF(B1522="","",SUMPRODUCT((실물목록!$P$2:$P$1001&lt;&gt;"")*ISNUMBER(SEARCH(실물목록!$P$2:$P$1001,I1522))*(실물목록!$Q$2:$Q$1001&lt;&gt;"")*ISNUMBER(SEARCH(실물목록!$Q$2:$Q$1001,I1522))*(실물목록!$R$2:$R$1001="")*(실물목록!$O$2:$O$1001&lt;&gt;"")*(실물목록!$O$2:$O$1001=H1522)))</f>
      </c>
      <c r="H1522" t="str">
        <f>IFERROR(IF(AND(LEN(SUBSTITUTE(SUBSTITUTE(SUBSTITUTE(TRIM(A1522&amp;""),CHAR(160),"")," ",""),"년",""))=4,VALUE(SUBSTITUTE(SUBSTITUTE(SUBSTITUTE(TRIM(A1522&amp;""),CHAR(160),"")," ",""),"년",""))&gt;=1900,VALUE(SUBSTITUTE(SUBSTITUTE(SUBSTITUTE(TRIM(A1522&amp;""),CHAR(160),"")," ",""),"년",""))&lt;=2099,TEXT(VALUE(SUBSTITUTE(SUBSTITUTE(SUBSTITUTE(TRIM(A1522&amp;""),CHAR(160),"")," ",""),"년","")),"0000")=SUBSTITUTE(SUBSTITUTE(SUBSTITUTE(TRIM(A1522&amp;""),CHAR(160),"")," ",""),"년","")),SUBSTITUTE(SUBSTITUTE(SUBSTITUTE(TRIM(A1522&amp;""),CHAR(160),"")," ",""),"년",""),""),"")</f>
      </c>
      <c r="I1522" t="str">
        <f>SUBSTITUTE(SUBSTITUTE(SUBSTITUTE(SUBSTITUTE(SUBSTITUTE(TRIM(B1522&amp;""),CHAR(160),"")," ",""),"초등학교","초"),"중학교","중"),"고등학교","고")</f>
      </c>
    </row>
    <row r="1523" customFormat="false" ht="15" hidden="false" customHeight="false" outlineLevel="0" collapsed="false">
      <c r="A1523" s="8"/>
      <c r="B1523" s="8"/>
      <c r="C1523" s="8"/>
      <c r="D1523" s="8"/>
      <c r="E1523" s="8"/>
      <c r="F1523" t="str" s="15">
        <f aca="0">IF(B1523="","",IF(H1523="","확인필요(입력누락)",IF(SUMPRODUCT((실물목록!$P$2:$P$1001&lt;&gt;"")*ISNUMBER(SEARCH(실물목록!$P$2:$P$1001,I1523))*(실물목록!$Q$2:$Q$1001&lt;&gt;"")*ISNUMBER(SEARCH(실물목록!$Q$2:$Q$1001,I1523))*(실물목록!$R$2:$R$1001="")*(실물목록!$O$2:$O$1001&lt;&gt;"")*(실물목록!$O$2:$O$1001=H1523))&gt;0,"실물 있음",IF(SUMPRODUCT((실물목록!$P$2:$P$1001&lt;&gt;"")*ISNUMBER(SEARCH(실물목록!$P$2:$P$1001,I1523))*(실물목록!$R$2:$R$1001&lt;&gt;""))&gt;0,"확인필요(입력누락)",IF(SUMPRODUCT((실물목록!$P$2:$P$1001&lt;&gt;"")*ISNUMBER(SEARCH(실물목록!$P$2:$P$1001,I1523))*(실물목록!$Q$2:$Q$1001&lt;&gt;"")*ISNUMBER(SEARCH(실물목록!$Q$2:$Q$1001,I1523))*(실물목록!$R$2:$R$1001="")*(실물목록!$O$2:$O$1001&lt;&gt;""))&gt;0,"확인필요(연도다름)","실물 없음")))))</f>
      </c>
      <c r="G1523" t="n" s="16">
        <f aca="0">IF(B1523="","",SUMPRODUCT((실물목록!$P$2:$P$1001&lt;&gt;"")*ISNUMBER(SEARCH(실물목록!$P$2:$P$1001,I1523))*(실물목록!$Q$2:$Q$1001&lt;&gt;"")*ISNUMBER(SEARCH(실물목록!$Q$2:$Q$1001,I1523))*(실물목록!$R$2:$R$1001="")*(실물목록!$O$2:$O$1001&lt;&gt;"")*(실물목록!$O$2:$O$1001=H1523)))</f>
      </c>
      <c r="H1523" t="str">
        <f>IFERROR(IF(AND(LEN(SUBSTITUTE(SUBSTITUTE(SUBSTITUTE(TRIM(A1523&amp;""),CHAR(160),"")," ",""),"년",""))=4,VALUE(SUBSTITUTE(SUBSTITUTE(SUBSTITUTE(TRIM(A1523&amp;""),CHAR(160),"")," ",""),"년",""))&gt;=1900,VALUE(SUBSTITUTE(SUBSTITUTE(SUBSTITUTE(TRIM(A1523&amp;""),CHAR(160),"")," ",""),"년",""))&lt;=2099,TEXT(VALUE(SUBSTITUTE(SUBSTITUTE(SUBSTITUTE(TRIM(A1523&amp;""),CHAR(160),"")," ",""),"년","")),"0000")=SUBSTITUTE(SUBSTITUTE(SUBSTITUTE(TRIM(A1523&amp;""),CHAR(160),"")," ",""),"년","")),SUBSTITUTE(SUBSTITUTE(SUBSTITUTE(TRIM(A1523&amp;""),CHAR(160),"")," ",""),"년",""),""),"")</f>
      </c>
      <c r="I1523" t="str">
        <f>SUBSTITUTE(SUBSTITUTE(SUBSTITUTE(SUBSTITUTE(SUBSTITUTE(TRIM(B1523&amp;""),CHAR(160),"")," ",""),"초등학교","초"),"중학교","중"),"고등학교","고")</f>
      </c>
    </row>
    <row r="1524" customFormat="false" ht="15" hidden="false" customHeight="false" outlineLevel="0" collapsed="false">
      <c r="A1524" s="8"/>
      <c r="B1524" s="8"/>
      <c r="C1524" s="8"/>
      <c r="D1524" s="8"/>
      <c r="E1524" s="8"/>
      <c r="F1524" t="str" s="15">
        <f aca="0">IF(B1524="","",IF(H1524="","확인필요(입력누락)",IF(SUMPRODUCT((실물목록!$P$2:$P$1001&lt;&gt;"")*ISNUMBER(SEARCH(실물목록!$P$2:$P$1001,I1524))*(실물목록!$Q$2:$Q$1001&lt;&gt;"")*ISNUMBER(SEARCH(실물목록!$Q$2:$Q$1001,I1524))*(실물목록!$R$2:$R$1001="")*(실물목록!$O$2:$O$1001&lt;&gt;"")*(실물목록!$O$2:$O$1001=H1524))&gt;0,"실물 있음",IF(SUMPRODUCT((실물목록!$P$2:$P$1001&lt;&gt;"")*ISNUMBER(SEARCH(실물목록!$P$2:$P$1001,I1524))*(실물목록!$R$2:$R$1001&lt;&gt;""))&gt;0,"확인필요(입력누락)",IF(SUMPRODUCT((실물목록!$P$2:$P$1001&lt;&gt;"")*ISNUMBER(SEARCH(실물목록!$P$2:$P$1001,I1524))*(실물목록!$Q$2:$Q$1001&lt;&gt;"")*ISNUMBER(SEARCH(실물목록!$Q$2:$Q$1001,I1524))*(실물목록!$R$2:$R$1001="")*(실물목록!$O$2:$O$1001&lt;&gt;""))&gt;0,"확인필요(연도다름)","실물 없음")))))</f>
      </c>
      <c r="G1524" t="n" s="16">
        <f aca="0">IF(B1524="","",SUMPRODUCT((실물목록!$P$2:$P$1001&lt;&gt;"")*ISNUMBER(SEARCH(실물목록!$P$2:$P$1001,I1524))*(실물목록!$Q$2:$Q$1001&lt;&gt;"")*ISNUMBER(SEARCH(실물목록!$Q$2:$Q$1001,I1524))*(실물목록!$R$2:$R$1001="")*(실물목록!$O$2:$O$1001&lt;&gt;"")*(실물목록!$O$2:$O$1001=H1524)))</f>
      </c>
      <c r="H1524" t="str">
        <f>IFERROR(IF(AND(LEN(SUBSTITUTE(SUBSTITUTE(SUBSTITUTE(TRIM(A1524&amp;""),CHAR(160),"")," ",""),"년",""))=4,VALUE(SUBSTITUTE(SUBSTITUTE(SUBSTITUTE(TRIM(A1524&amp;""),CHAR(160),"")," ",""),"년",""))&gt;=1900,VALUE(SUBSTITUTE(SUBSTITUTE(SUBSTITUTE(TRIM(A1524&amp;""),CHAR(160),"")," ",""),"년",""))&lt;=2099,TEXT(VALUE(SUBSTITUTE(SUBSTITUTE(SUBSTITUTE(TRIM(A1524&amp;""),CHAR(160),"")," ",""),"년","")),"0000")=SUBSTITUTE(SUBSTITUTE(SUBSTITUTE(TRIM(A1524&amp;""),CHAR(160),"")," ",""),"년","")),SUBSTITUTE(SUBSTITUTE(SUBSTITUTE(TRIM(A1524&amp;""),CHAR(160),"")," ",""),"년",""),""),"")</f>
      </c>
      <c r="I1524" t="str">
        <f>SUBSTITUTE(SUBSTITUTE(SUBSTITUTE(SUBSTITUTE(SUBSTITUTE(TRIM(B1524&amp;""),CHAR(160),"")," ",""),"초등학교","초"),"중학교","중"),"고등학교","고")</f>
      </c>
    </row>
    <row r="1525" customFormat="false" ht="15" hidden="false" customHeight="false" outlineLevel="0" collapsed="false">
      <c r="A1525" s="8"/>
      <c r="B1525" s="8"/>
      <c r="C1525" s="8"/>
      <c r="D1525" s="8"/>
      <c r="E1525" s="8"/>
      <c r="F1525" t="str" s="15">
        <f aca="0">IF(B1525="","",IF(H1525="","확인필요(입력누락)",IF(SUMPRODUCT((실물목록!$P$2:$P$1001&lt;&gt;"")*ISNUMBER(SEARCH(실물목록!$P$2:$P$1001,I1525))*(실물목록!$Q$2:$Q$1001&lt;&gt;"")*ISNUMBER(SEARCH(실물목록!$Q$2:$Q$1001,I1525))*(실물목록!$R$2:$R$1001="")*(실물목록!$O$2:$O$1001&lt;&gt;"")*(실물목록!$O$2:$O$1001=H1525))&gt;0,"실물 있음",IF(SUMPRODUCT((실물목록!$P$2:$P$1001&lt;&gt;"")*ISNUMBER(SEARCH(실물목록!$P$2:$P$1001,I1525))*(실물목록!$R$2:$R$1001&lt;&gt;""))&gt;0,"확인필요(입력누락)",IF(SUMPRODUCT((실물목록!$P$2:$P$1001&lt;&gt;"")*ISNUMBER(SEARCH(실물목록!$P$2:$P$1001,I1525))*(실물목록!$Q$2:$Q$1001&lt;&gt;"")*ISNUMBER(SEARCH(실물목록!$Q$2:$Q$1001,I1525))*(실물목록!$R$2:$R$1001="")*(실물목록!$O$2:$O$1001&lt;&gt;""))&gt;0,"확인필요(연도다름)","실물 없음")))))</f>
      </c>
      <c r="G1525" t="n" s="16">
        <f aca="0">IF(B1525="","",SUMPRODUCT((실물목록!$P$2:$P$1001&lt;&gt;"")*ISNUMBER(SEARCH(실물목록!$P$2:$P$1001,I1525))*(실물목록!$Q$2:$Q$1001&lt;&gt;"")*ISNUMBER(SEARCH(실물목록!$Q$2:$Q$1001,I1525))*(실물목록!$R$2:$R$1001="")*(실물목록!$O$2:$O$1001&lt;&gt;"")*(실물목록!$O$2:$O$1001=H1525)))</f>
      </c>
      <c r="H1525" t="str">
        <f>IFERROR(IF(AND(LEN(SUBSTITUTE(SUBSTITUTE(SUBSTITUTE(TRIM(A1525&amp;""),CHAR(160),"")," ",""),"년",""))=4,VALUE(SUBSTITUTE(SUBSTITUTE(SUBSTITUTE(TRIM(A1525&amp;""),CHAR(160),"")," ",""),"년",""))&gt;=1900,VALUE(SUBSTITUTE(SUBSTITUTE(SUBSTITUTE(TRIM(A1525&amp;""),CHAR(160),"")," ",""),"년",""))&lt;=2099,TEXT(VALUE(SUBSTITUTE(SUBSTITUTE(SUBSTITUTE(TRIM(A1525&amp;""),CHAR(160),"")," ",""),"년","")),"0000")=SUBSTITUTE(SUBSTITUTE(SUBSTITUTE(TRIM(A1525&amp;""),CHAR(160),"")," ",""),"년","")),SUBSTITUTE(SUBSTITUTE(SUBSTITUTE(TRIM(A1525&amp;""),CHAR(160),"")," ",""),"년",""),""),"")</f>
      </c>
      <c r="I1525" t="str">
        <f>SUBSTITUTE(SUBSTITUTE(SUBSTITUTE(SUBSTITUTE(SUBSTITUTE(TRIM(B1525&amp;""),CHAR(160),"")," ",""),"초등학교","초"),"중학교","중"),"고등학교","고")</f>
      </c>
    </row>
    <row r="1526" customFormat="false" ht="15" hidden="false" customHeight="false" outlineLevel="0" collapsed="false">
      <c r="A1526" s="8"/>
      <c r="B1526" s="8"/>
      <c r="C1526" s="8"/>
      <c r="D1526" s="8"/>
      <c r="E1526" s="8"/>
      <c r="F1526" t="str" s="15">
        <f aca="0">IF(B1526="","",IF(H1526="","확인필요(입력누락)",IF(SUMPRODUCT((실물목록!$P$2:$P$1001&lt;&gt;"")*ISNUMBER(SEARCH(실물목록!$P$2:$P$1001,I1526))*(실물목록!$Q$2:$Q$1001&lt;&gt;"")*ISNUMBER(SEARCH(실물목록!$Q$2:$Q$1001,I1526))*(실물목록!$R$2:$R$1001="")*(실물목록!$O$2:$O$1001&lt;&gt;"")*(실물목록!$O$2:$O$1001=H1526))&gt;0,"실물 있음",IF(SUMPRODUCT((실물목록!$P$2:$P$1001&lt;&gt;"")*ISNUMBER(SEARCH(실물목록!$P$2:$P$1001,I1526))*(실물목록!$R$2:$R$1001&lt;&gt;""))&gt;0,"확인필요(입력누락)",IF(SUMPRODUCT((실물목록!$P$2:$P$1001&lt;&gt;"")*ISNUMBER(SEARCH(실물목록!$P$2:$P$1001,I1526))*(실물목록!$Q$2:$Q$1001&lt;&gt;"")*ISNUMBER(SEARCH(실물목록!$Q$2:$Q$1001,I1526))*(실물목록!$R$2:$R$1001="")*(실물목록!$O$2:$O$1001&lt;&gt;""))&gt;0,"확인필요(연도다름)","실물 없음")))))</f>
      </c>
      <c r="G1526" t="n" s="16">
        <f aca="0">IF(B1526="","",SUMPRODUCT((실물목록!$P$2:$P$1001&lt;&gt;"")*ISNUMBER(SEARCH(실물목록!$P$2:$P$1001,I1526))*(실물목록!$Q$2:$Q$1001&lt;&gt;"")*ISNUMBER(SEARCH(실물목록!$Q$2:$Q$1001,I1526))*(실물목록!$R$2:$R$1001="")*(실물목록!$O$2:$O$1001&lt;&gt;"")*(실물목록!$O$2:$O$1001=H1526)))</f>
      </c>
      <c r="H1526" t="str">
        <f>IFERROR(IF(AND(LEN(SUBSTITUTE(SUBSTITUTE(SUBSTITUTE(TRIM(A1526&amp;""),CHAR(160),"")," ",""),"년",""))=4,VALUE(SUBSTITUTE(SUBSTITUTE(SUBSTITUTE(TRIM(A1526&amp;""),CHAR(160),"")," ",""),"년",""))&gt;=1900,VALUE(SUBSTITUTE(SUBSTITUTE(SUBSTITUTE(TRIM(A1526&amp;""),CHAR(160),"")," ",""),"년",""))&lt;=2099,TEXT(VALUE(SUBSTITUTE(SUBSTITUTE(SUBSTITUTE(TRIM(A1526&amp;""),CHAR(160),"")," ",""),"년","")),"0000")=SUBSTITUTE(SUBSTITUTE(SUBSTITUTE(TRIM(A1526&amp;""),CHAR(160),"")," ",""),"년","")),SUBSTITUTE(SUBSTITUTE(SUBSTITUTE(TRIM(A1526&amp;""),CHAR(160),"")," ",""),"년",""),""),"")</f>
      </c>
      <c r="I1526" t="str">
        <f>SUBSTITUTE(SUBSTITUTE(SUBSTITUTE(SUBSTITUTE(SUBSTITUTE(TRIM(B1526&amp;""),CHAR(160),"")," ",""),"초등학교","초"),"중학교","중"),"고등학교","고")</f>
      </c>
    </row>
    <row r="1527" customFormat="false" ht="15" hidden="false" customHeight="false" outlineLevel="0" collapsed="false">
      <c r="A1527" s="8"/>
      <c r="B1527" s="8"/>
      <c r="C1527" s="8"/>
      <c r="D1527" s="8"/>
      <c r="E1527" s="8"/>
      <c r="F1527" t="str" s="15">
        <f aca="0">IF(B1527="","",IF(H1527="","확인필요(입력누락)",IF(SUMPRODUCT((실물목록!$P$2:$P$1001&lt;&gt;"")*ISNUMBER(SEARCH(실물목록!$P$2:$P$1001,I1527))*(실물목록!$Q$2:$Q$1001&lt;&gt;"")*ISNUMBER(SEARCH(실물목록!$Q$2:$Q$1001,I1527))*(실물목록!$R$2:$R$1001="")*(실물목록!$O$2:$O$1001&lt;&gt;"")*(실물목록!$O$2:$O$1001=H1527))&gt;0,"실물 있음",IF(SUMPRODUCT((실물목록!$P$2:$P$1001&lt;&gt;"")*ISNUMBER(SEARCH(실물목록!$P$2:$P$1001,I1527))*(실물목록!$R$2:$R$1001&lt;&gt;""))&gt;0,"확인필요(입력누락)",IF(SUMPRODUCT((실물목록!$P$2:$P$1001&lt;&gt;"")*ISNUMBER(SEARCH(실물목록!$P$2:$P$1001,I1527))*(실물목록!$Q$2:$Q$1001&lt;&gt;"")*ISNUMBER(SEARCH(실물목록!$Q$2:$Q$1001,I1527))*(실물목록!$R$2:$R$1001="")*(실물목록!$O$2:$O$1001&lt;&gt;""))&gt;0,"확인필요(연도다름)","실물 없음")))))</f>
      </c>
      <c r="G1527" t="n" s="16">
        <f aca="0">IF(B1527="","",SUMPRODUCT((실물목록!$P$2:$P$1001&lt;&gt;"")*ISNUMBER(SEARCH(실물목록!$P$2:$P$1001,I1527))*(실물목록!$Q$2:$Q$1001&lt;&gt;"")*ISNUMBER(SEARCH(실물목록!$Q$2:$Q$1001,I1527))*(실물목록!$R$2:$R$1001="")*(실물목록!$O$2:$O$1001&lt;&gt;"")*(실물목록!$O$2:$O$1001=H1527)))</f>
      </c>
      <c r="H1527" t="str">
        <f>IFERROR(IF(AND(LEN(SUBSTITUTE(SUBSTITUTE(SUBSTITUTE(TRIM(A1527&amp;""),CHAR(160),"")," ",""),"년",""))=4,VALUE(SUBSTITUTE(SUBSTITUTE(SUBSTITUTE(TRIM(A1527&amp;""),CHAR(160),"")," ",""),"년",""))&gt;=1900,VALUE(SUBSTITUTE(SUBSTITUTE(SUBSTITUTE(TRIM(A1527&amp;""),CHAR(160),"")," ",""),"년",""))&lt;=2099,TEXT(VALUE(SUBSTITUTE(SUBSTITUTE(SUBSTITUTE(TRIM(A1527&amp;""),CHAR(160),"")," ",""),"년","")),"0000")=SUBSTITUTE(SUBSTITUTE(SUBSTITUTE(TRIM(A1527&amp;""),CHAR(160),"")," ",""),"년","")),SUBSTITUTE(SUBSTITUTE(SUBSTITUTE(TRIM(A1527&amp;""),CHAR(160),"")," ",""),"년",""),""),"")</f>
      </c>
      <c r="I1527" t="str">
        <f>SUBSTITUTE(SUBSTITUTE(SUBSTITUTE(SUBSTITUTE(SUBSTITUTE(TRIM(B1527&amp;""),CHAR(160),"")," ",""),"초등학교","초"),"중학교","중"),"고등학교","고")</f>
      </c>
    </row>
    <row r="1528" customFormat="false" ht="15" hidden="false" customHeight="false" outlineLevel="0" collapsed="false">
      <c r="A1528" s="8"/>
      <c r="B1528" s="8"/>
      <c r="C1528" s="8"/>
      <c r="D1528" s="8"/>
      <c r="E1528" s="8"/>
      <c r="F1528" t="str" s="15">
        <f aca="0">IF(B1528="","",IF(H1528="","확인필요(입력누락)",IF(SUMPRODUCT((실물목록!$P$2:$P$1001&lt;&gt;"")*ISNUMBER(SEARCH(실물목록!$P$2:$P$1001,I1528))*(실물목록!$Q$2:$Q$1001&lt;&gt;"")*ISNUMBER(SEARCH(실물목록!$Q$2:$Q$1001,I1528))*(실물목록!$R$2:$R$1001="")*(실물목록!$O$2:$O$1001&lt;&gt;"")*(실물목록!$O$2:$O$1001=H1528))&gt;0,"실물 있음",IF(SUMPRODUCT((실물목록!$P$2:$P$1001&lt;&gt;"")*ISNUMBER(SEARCH(실물목록!$P$2:$P$1001,I1528))*(실물목록!$R$2:$R$1001&lt;&gt;""))&gt;0,"확인필요(입력누락)",IF(SUMPRODUCT((실물목록!$P$2:$P$1001&lt;&gt;"")*ISNUMBER(SEARCH(실물목록!$P$2:$P$1001,I1528))*(실물목록!$Q$2:$Q$1001&lt;&gt;"")*ISNUMBER(SEARCH(실물목록!$Q$2:$Q$1001,I1528))*(실물목록!$R$2:$R$1001="")*(실물목록!$O$2:$O$1001&lt;&gt;""))&gt;0,"확인필요(연도다름)","실물 없음")))))</f>
      </c>
      <c r="G1528" t="n" s="16">
        <f aca="0">IF(B1528="","",SUMPRODUCT((실물목록!$P$2:$P$1001&lt;&gt;"")*ISNUMBER(SEARCH(실물목록!$P$2:$P$1001,I1528))*(실물목록!$Q$2:$Q$1001&lt;&gt;"")*ISNUMBER(SEARCH(실물목록!$Q$2:$Q$1001,I1528))*(실물목록!$R$2:$R$1001="")*(실물목록!$O$2:$O$1001&lt;&gt;"")*(실물목록!$O$2:$O$1001=H1528)))</f>
      </c>
      <c r="H1528" t="str">
        <f>IFERROR(IF(AND(LEN(SUBSTITUTE(SUBSTITUTE(SUBSTITUTE(TRIM(A1528&amp;""),CHAR(160),"")," ",""),"년",""))=4,VALUE(SUBSTITUTE(SUBSTITUTE(SUBSTITUTE(TRIM(A1528&amp;""),CHAR(160),"")," ",""),"년",""))&gt;=1900,VALUE(SUBSTITUTE(SUBSTITUTE(SUBSTITUTE(TRIM(A1528&amp;""),CHAR(160),"")," ",""),"년",""))&lt;=2099,TEXT(VALUE(SUBSTITUTE(SUBSTITUTE(SUBSTITUTE(TRIM(A1528&amp;""),CHAR(160),"")," ",""),"년","")),"0000")=SUBSTITUTE(SUBSTITUTE(SUBSTITUTE(TRIM(A1528&amp;""),CHAR(160),"")," ",""),"년","")),SUBSTITUTE(SUBSTITUTE(SUBSTITUTE(TRIM(A1528&amp;""),CHAR(160),"")," ",""),"년",""),""),"")</f>
      </c>
      <c r="I1528" t="str">
        <f>SUBSTITUTE(SUBSTITUTE(SUBSTITUTE(SUBSTITUTE(SUBSTITUTE(TRIM(B1528&amp;""),CHAR(160),"")," ",""),"초등학교","초"),"중학교","중"),"고등학교","고")</f>
      </c>
    </row>
    <row r="1529" customFormat="false" ht="15" hidden="false" customHeight="false" outlineLevel="0" collapsed="false">
      <c r="A1529" s="8"/>
      <c r="B1529" s="8"/>
      <c r="C1529" s="8"/>
      <c r="D1529" s="8"/>
      <c r="E1529" s="8"/>
      <c r="F1529" t="str" s="15">
        <f aca="0">IF(B1529="","",IF(H1529="","확인필요(입력누락)",IF(SUMPRODUCT((실물목록!$P$2:$P$1001&lt;&gt;"")*ISNUMBER(SEARCH(실물목록!$P$2:$P$1001,I1529))*(실물목록!$Q$2:$Q$1001&lt;&gt;"")*ISNUMBER(SEARCH(실물목록!$Q$2:$Q$1001,I1529))*(실물목록!$R$2:$R$1001="")*(실물목록!$O$2:$O$1001&lt;&gt;"")*(실물목록!$O$2:$O$1001=H1529))&gt;0,"실물 있음",IF(SUMPRODUCT((실물목록!$P$2:$P$1001&lt;&gt;"")*ISNUMBER(SEARCH(실물목록!$P$2:$P$1001,I1529))*(실물목록!$R$2:$R$1001&lt;&gt;""))&gt;0,"확인필요(입력누락)",IF(SUMPRODUCT((실물목록!$P$2:$P$1001&lt;&gt;"")*ISNUMBER(SEARCH(실물목록!$P$2:$P$1001,I1529))*(실물목록!$Q$2:$Q$1001&lt;&gt;"")*ISNUMBER(SEARCH(실물목록!$Q$2:$Q$1001,I1529))*(실물목록!$R$2:$R$1001="")*(실물목록!$O$2:$O$1001&lt;&gt;""))&gt;0,"확인필요(연도다름)","실물 없음")))))</f>
      </c>
      <c r="G1529" t="n" s="16">
        <f aca="0">IF(B1529="","",SUMPRODUCT((실물목록!$P$2:$P$1001&lt;&gt;"")*ISNUMBER(SEARCH(실물목록!$P$2:$P$1001,I1529))*(실물목록!$Q$2:$Q$1001&lt;&gt;"")*ISNUMBER(SEARCH(실물목록!$Q$2:$Q$1001,I1529))*(실물목록!$R$2:$R$1001="")*(실물목록!$O$2:$O$1001&lt;&gt;"")*(실물목록!$O$2:$O$1001=H1529)))</f>
      </c>
      <c r="H1529" t="str">
        <f>IFERROR(IF(AND(LEN(SUBSTITUTE(SUBSTITUTE(SUBSTITUTE(TRIM(A1529&amp;""),CHAR(160),"")," ",""),"년",""))=4,VALUE(SUBSTITUTE(SUBSTITUTE(SUBSTITUTE(TRIM(A1529&amp;""),CHAR(160),"")," ",""),"년",""))&gt;=1900,VALUE(SUBSTITUTE(SUBSTITUTE(SUBSTITUTE(TRIM(A1529&amp;""),CHAR(160),"")," ",""),"년",""))&lt;=2099,TEXT(VALUE(SUBSTITUTE(SUBSTITUTE(SUBSTITUTE(TRIM(A1529&amp;""),CHAR(160),"")," ",""),"년","")),"0000")=SUBSTITUTE(SUBSTITUTE(SUBSTITUTE(TRIM(A1529&amp;""),CHAR(160),"")," ",""),"년","")),SUBSTITUTE(SUBSTITUTE(SUBSTITUTE(TRIM(A1529&amp;""),CHAR(160),"")," ",""),"년",""),""),"")</f>
      </c>
      <c r="I1529" t="str">
        <f>SUBSTITUTE(SUBSTITUTE(SUBSTITUTE(SUBSTITUTE(SUBSTITUTE(TRIM(B1529&amp;""),CHAR(160),"")," ",""),"초등학교","초"),"중학교","중"),"고등학교","고")</f>
      </c>
    </row>
    <row r="1530" customFormat="false" ht="15" hidden="false" customHeight="false" outlineLevel="0" collapsed="false">
      <c r="A1530" s="8"/>
      <c r="B1530" s="8"/>
      <c r="C1530" s="8"/>
      <c r="D1530" s="8"/>
      <c r="E1530" s="8"/>
      <c r="F1530" t="str" s="15">
        <f aca="0">IF(B1530="","",IF(H1530="","확인필요(입력누락)",IF(SUMPRODUCT((실물목록!$P$2:$P$1001&lt;&gt;"")*ISNUMBER(SEARCH(실물목록!$P$2:$P$1001,I1530))*(실물목록!$Q$2:$Q$1001&lt;&gt;"")*ISNUMBER(SEARCH(실물목록!$Q$2:$Q$1001,I1530))*(실물목록!$R$2:$R$1001="")*(실물목록!$O$2:$O$1001&lt;&gt;"")*(실물목록!$O$2:$O$1001=H1530))&gt;0,"실물 있음",IF(SUMPRODUCT((실물목록!$P$2:$P$1001&lt;&gt;"")*ISNUMBER(SEARCH(실물목록!$P$2:$P$1001,I1530))*(실물목록!$R$2:$R$1001&lt;&gt;""))&gt;0,"확인필요(입력누락)",IF(SUMPRODUCT((실물목록!$P$2:$P$1001&lt;&gt;"")*ISNUMBER(SEARCH(실물목록!$P$2:$P$1001,I1530))*(실물목록!$Q$2:$Q$1001&lt;&gt;"")*ISNUMBER(SEARCH(실물목록!$Q$2:$Q$1001,I1530))*(실물목록!$R$2:$R$1001="")*(실물목록!$O$2:$O$1001&lt;&gt;""))&gt;0,"확인필요(연도다름)","실물 없음")))))</f>
      </c>
      <c r="G1530" t="n" s="16">
        <f aca="0">IF(B1530="","",SUMPRODUCT((실물목록!$P$2:$P$1001&lt;&gt;"")*ISNUMBER(SEARCH(실물목록!$P$2:$P$1001,I1530))*(실물목록!$Q$2:$Q$1001&lt;&gt;"")*ISNUMBER(SEARCH(실물목록!$Q$2:$Q$1001,I1530))*(실물목록!$R$2:$R$1001="")*(실물목록!$O$2:$O$1001&lt;&gt;"")*(실물목록!$O$2:$O$1001=H1530)))</f>
      </c>
      <c r="H1530" t="str">
        <f>IFERROR(IF(AND(LEN(SUBSTITUTE(SUBSTITUTE(SUBSTITUTE(TRIM(A1530&amp;""),CHAR(160),"")," ",""),"년",""))=4,VALUE(SUBSTITUTE(SUBSTITUTE(SUBSTITUTE(TRIM(A1530&amp;""),CHAR(160),"")," ",""),"년",""))&gt;=1900,VALUE(SUBSTITUTE(SUBSTITUTE(SUBSTITUTE(TRIM(A1530&amp;""),CHAR(160),"")," ",""),"년",""))&lt;=2099,TEXT(VALUE(SUBSTITUTE(SUBSTITUTE(SUBSTITUTE(TRIM(A1530&amp;""),CHAR(160),"")," ",""),"년","")),"0000")=SUBSTITUTE(SUBSTITUTE(SUBSTITUTE(TRIM(A1530&amp;""),CHAR(160),"")," ",""),"년","")),SUBSTITUTE(SUBSTITUTE(SUBSTITUTE(TRIM(A1530&amp;""),CHAR(160),"")," ",""),"년",""),""),"")</f>
      </c>
      <c r="I1530" t="str">
        <f>SUBSTITUTE(SUBSTITUTE(SUBSTITUTE(SUBSTITUTE(SUBSTITUTE(TRIM(B1530&amp;""),CHAR(160),"")," ",""),"초등학교","초"),"중학교","중"),"고등학교","고")</f>
      </c>
    </row>
    <row r="1531" customFormat="false" ht="15" hidden="false" customHeight="false" outlineLevel="0" collapsed="false">
      <c r="A1531" s="8"/>
      <c r="B1531" s="8"/>
      <c r="C1531" s="8"/>
      <c r="D1531" s="8"/>
      <c r="E1531" s="8"/>
      <c r="F1531" t="str" s="15">
        <f aca="0">IF(B1531="","",IF(H1531="","확인필요(입력누락)",IF(SUMPRODUCT((실물목록!$P$2:$P$1001&lt;&gt;"")*ISNUMBER(SEARCH(실물목록!$P$2:$P$1001,I1531))*(실물목록!$Q$2:$Q$1001&lt;&gt;"")*ISNUMBER(SEARCH(실물목록!$Q$2:$Q$1001,I1531))*(실물목록!$R$2:$R$1001="")*(실물목록!$O$2:$O$1001&lt;&gt;"")*(실물목록!$O$2:$O$1001=H1531))&gt;0,"실물 있음",IF(SUMPRODUCT((실물목록!$P$2:$P$1001&lt;&gt;"")*ISNUMBER(SEARCH(실물목록!$P$2:$P$1001,I1531))*(실물목록!$R$2:$R$1001&lt;&gt;""))&gt;0,"확인필요(입력누락)",IF(SUMPRODUCT((실물목록!$P$2:$P$1001&lt;&gt;"")*ISNUMBER(SEARCH(실물목록!$P$2:$P$1001,I1531))*(실물목록!$Q$2:$Q$1001&lt;&gt;"")*ISNUMBER(SEARCH(실물목록!$Q$2:$Q$1001,I1531))*(실물목록!$R$2:$R$1001="")*(실물목록!$O$2:$O$1001&lt;&gt;""))&gt;0,"확인필요(연도다름)","실물 없음")))))</f>
      </c>
      <c r="G1531" t="n" s="16">
        <f aca="0">IF(B1531="","",SUMPRODUCT((실물목록!$P$2:$P$1001&lt;&gt;"")*ISNUMBER(SEARCH(실물목록!$P$2:$P$1001,I1531))*(실물목록!$Q$2:$Q$1001&lt;&gt;"")*ISNUMBER(SEARCH(실물목록!$Q$2:$Q$1001,I1531))*(실물목록!$R$2:$R$1001="")*(실물목록!$O$2:$O$1001&lt;&gt;"")*(실물목록!$O$2:$O$1001=H1531)))</f>
      </c>
      <c r="H1531" t="str">
        <f>IFERROR(IF(AND(LEN(SUBSTITUTE(SUBSTITUTE(SUBSTITUTE(TRIM(A1531&amp;""),CHAR(160),"")," ",""),"년",""))=4,VALUE(SUBSTITUTE(SUBSTITUTE(SUBSTITUTE(TRIM(A1531&amp;""),CHAR(160),"")," ",""),"년",""))&gt;=1900,VALUE(SUBSTITUTE(SUBSTITUTE(SUBSTITUTE(TRIM(A1531&amp;""),CHAR(160),"")," ",""),"년",""))&lt;=2099,TEXT(VALUE(SUBSTITUTE(SUBSTITUTE(SUBSTITUTE(TRIM(A1531&amp;""),CHAR(160),"")," ",""),"년","")),"0000")=SUBSTITUTE(SUBSTITUTE(SUBSTITUTE(TRIM(A1531&amp;""),CHAR(160),"")," ",""),"년","")),SUBSTITUTE(SUBSTITUTE(SUBSTITUTE(TRIM(A1531&amp;""),CHAR(160),"")," ",""),"년",""),""),"")</f>
      </c>
      <c r="I1531" t="str">
        <f>SUBSTITUTE(SUBSTITUTE(SUBSTITUTE(SUBSTITUTE(SUBSTITUTE(TRIM(B1531&amp;""),CHAR(160),"")," ",""),"초등학교","초"),"중학교","중"),"고등학교","고")</f>
      </c>
    </row>
    <row r="1532" customFormat="false" ht="15" hidden="false" customHeight="false" outlineLevel="0" collapsed="false">
      <c r="A1532" s="8"/>
      <c r="B1532" s="8"/>
      <c r="C1532" s="8"/>
      <c r="D1532" s="8"/>
      <c r="E1532" s="8"/>
      <c r="F1532" t="str" s="15">
        <f aca="0">IF(B1532="","",IF(H1532="","확인필요(입력누락)",IF(SUMPRODUCT((실물목록!$P$2:$P$1001&lt;&gt;"")*ISNUMBER(SEARCH(실물목록!$P$2:$P$1001,I1532))*(실물목록!$Q$2:$Q$1001&lt;&gt;"")*ISNUMBER(SEARCH(실물목록!$Q$2:$Q$1001,I1532))*(실물목록!$R$2:$R$1001="")*(실물목록!$O$2:$O$1001&lt;&gt;"")*(실물목록!$O$2:$O$1001=H1532))&gt;0,"실물 있음",IF(SUMPRODUCT((실물목록!$P$2:$P$1001&lt;&gt;"")*ISNUMBER(SEARCH(실물목록!$P$2:$P$1001,I1532))*(실물목록!$R$2:$R$1001&lt;&gt;""))&gt;0,"확인필요(입력누락)",IF(SUMPRODUCT((실물목록!$P$2:$P$1001&lt;&gt;"")*ISNUMBER(SEARCH(실물목록!$P$2:$P$1001,I1532))*(실물목록!$Q$2:$Q$1001&lt;&gt;"")*ISNUMBER(SEARCH(실물목록!$Q$2:$Q$1001,I1532))*(실물목록!$R$2:$R$1001="")*(실물목록!$O$2:$O$1001&lt;&gt;""))&gt;0,"확인필요(연도다름)","실물 없음")))))</f>
      </c>
      <c r="G1532" t="n" s="16">
        <f aca="0">IF(B1532="","",SUMPRODUCT((실물목록!$P$2:$P$1001&lt;&gt;"")*ISNUMBER(SEARCH(실물목록!$P$2:$P$1001,I1532))*(실물목록!$Q$2:$Q$1001&lt;&gt;"")*ISNUMBER(SEARCH(실물목록!$Q$2:$Q$1001,I1532))*(실물목록!$R$2:$R$1001="")*(실물목록!$O$2:$O$1001&lt;&gt;"")*(실물목록!$O$2:$O$1001=H1532)))</f>
      </c>
      <c r="H1532" t="str">
        <f>IFERROR(IF(AND(LEN(SUBSTITUTE(SUBSTITUTE(SUBSTITUTE(TRIM(A1532&amp;""),CHAR(160),"")," ",""),"년",""))=4,VALUE(SUBSTITUTE(SUBSTITUTE(SUBSTITUTE(TRIM(A1532&amp;""),CHAR(160),"")," ",""),"년",""))&gt;=1900,VALUE(SUBSTITUTE(SUBSTITUTE(SUBSTITUTE(TRIM(A1532&amp;""),CHAR(160),"")," ",""),"년",""))&lt;=2099,TEXT(VALUE(SUBSTITUTE(SUBSTITUTE(SUBSTITUTE(TRIM(A1532&amp;""),CHAR(160),"")," ",""),"년","")),"0000")=SUBSTITUTE(SUBSTITUTE(SUBSTITUTE(TRIM(A1532&amp;""),CHAR(160),"")," ",""),"년","")),SUBSTITUTE(SUBSTITUTE(SUBSTITUTE(TRIM(A1532&amp;""),CHAR(160),"")," ",""),"년",""),""),"")</f>
      </c>
      <c r="I1532" t="str">
        <f>SUBSTITUTE(SUBSTITUTE(SUBSTITUTE(SUBSTITUTE(SUBSTITUTE(TRIM(B1532&amp;""),CHAR(160),"")," ",""),"초등학교","초"),"중학교","중"),"고등학교","고")</f>
      </c>
    </row>
    <row r="1533" customFormat="false" ht="15" hidden="false" customHeight="false" outlineLevel="0" collapsed="false">
      <c r="A1533" s="8"/>
      <c r="B1533" s="8"/>
      <c r="C1533" s="8"/>
      <c r="D1533" s="8"/>
      <c r="E1533" s="8"/>
      <c r="F1533" t="str" s="15">
        <f aca="0">IF(B1533="","",IF(H1533="","확인필요(입력누락)",IF(SUMPRODUCT((실물목록!$P$2:$P$1001&lt;&gt;"")*ISNUMBER(SEARCH(실물목록!$P$2:$P$1001,I1533))*(실물목록!$Q$2:$Q$1001&lt;&gt;"")*ISNUMBER(SEARCH(실물목록!$Q$2:$Q$1001,I1533))*(실물목록!$R$2:$R$1001="")*(실물목록!$O$2:$O$1001&lt;&gt;"")*(실물목록!$O$2:$O$1001=H1533))&gt;0,"실물 있음",IF(SUMPRODUCT((실물목록!$P$2:$P$1001&lt;&gt;"")*ISNUMBER(SEARCH(실물목록!$P$2:$P$1001,I1533))*(실물목록!$R$2:$R$1001&lt;&gt;""))&gt;0,"확인필요(입력누락)",IF(SUMPRODUCT((실물목록!$P$2:$P$1001&lt;&gt;"")*ISNUMBER(SEARCH(실물목록!$P$2:$P$1001,I1533))*(실물목록!$Q$2:$Q$1001&lt;&gt;"")*ISNUMBER(SEARCH(실물목록!$Q$2:$Q$1001,I1533))*(실물목록!$R$2:$R$1001="")*(실물목록!$O$2:$O$1001&lt;&gt;""))&gt;0,"확인필요(연도다름)","실물 없음")))))</f>
      </c>
      <c r="G1533" t="n" s="16">
        <f aca="0">IF(B1533="","",SUMPRODUCT((실물목록!$P$2:$P$1001&lt;&gt;"")*ISNUMBER(SEARCH(실물목록!$P$2:$P$1001,I1533))*(실물목록!$Q$2:$Q$1001&lt;&gt;"")*ISNUMBER(SEARCH(실물목록!$Q$2:$Q$1001,I1533))*(실물목록!$R$2:$R$1001="")*(실물목록!$O$2:$O$1001&lt;&gt;"")*(실물목록!$O$2:$O$1001=H1533)))</f>
      </c>
      <c r="H1533" t="str">
        <f>IFERROR(IF(AND(LEN(SUBSTITUTE(SUBSTITUTE(SUBSTITUTE(TRIM(A1533&amp;""),CHAR(160),"")," ",""),"년",""))=4,VALUE(SUBSTITUTE(SUBSTITUTE(SUBSTITUTE(TRIM(A1533&amp;""),CHAR(160),"")," ",""),"년",""))&gt;=1900,VALUE(SUBSTITUTE(SUBSTITUTE(SUBSTITUTE(TRIM(A1533&amp;""),CHAR(160),"")," ",""),"년",""))&lt;=2099,TEXT(VALUE(SUBSTITUTE(SUBSTITUTE(SUBSTITUTE(TRIM(A1533&amp;""),CHAR(160),"")," ",""),"년","")),"0000")=SUBSTITUTE(SUBSTITUTE(SUBSTITUTE(TRIM(A1533&amp;""),CHAR(160),"")," ",""),"년","")),SUBSTITUTE(SUBSTITUTE(SUBSTITUTE(TRIM(A1533&amp;""),CHAR(160),"")," ",""),"년",""),""),"")</f>
      </c>
      <c r="I1533" t="str">
        <f>SUBSTITUTE(SUBSTITUTE(SUBSTITUTE(SUBSTITUTE(SUBSTITUTE(TRIM(B1533&amp;""),CHAR(160),"")," ",""),"초등학교","초"),"중학교","중"),"고등학교","고")</f>
      </c>
    </row>
    <row r="1534" customFormat="false" ht="15" hidden="false" customHeight="false" outlineLevel="0" collapsed="false">
      <c r="A1534" s="8"/>
      <c r="B1534" s="8"/>
      <c r="C1534" s="8"/>
      <c r="D1534" s="8"/>
      <c r="E1534" s="8"/>
      <c r="F1534" t="str" s="15">
        <f aca="0">IF(B1534="","",IF(H1534="","확인필요(입력누락)",IF(SUMPRODUCT((실물목록!$P$2:$P$1001&lt;&gt;"")*ISNUMBER(SEARCH(실물목록!$P$2:$P$1001,I1534))*(실물목록!$Q$2:$Q$1001&lt;&gt;"")*ISNUMBER(SEARCH(실물목록!$Q$2:$Q$1001,I1534))*(실물목록!$R$2:$R$1001="")*(실물목록!$O$2:$O$1001&lt;&gt;"")*(실물목록!$O$2:$O$1001=H1534))&gt;0,"실물 있음",IF(SUMPRODUCT((실물목록!$P$2:$P$1001&lt;&gt;"")*ISNUMBER(SEARCH(실물목록!$P$2:$P$1001,I1534))*(실물목록!$R$2:$R$1001&lt;&gt;""))&gt;0,"확인필요(입력누락)",IF(SUMPRODUCT((실물목록!$P$2:$P$1001&lt;&gt;"")*ISNUMBER(SEARCH(실물목록!$P$2:$P$1001,I1534))*(실물목록!$Q$2:$Q$1001&lt;&gt;"")*ISNUMBER(SEARCH(실물목록!$Q$2:$Q$1001,I1534))*(실물목록!$R$2:$R$1001="")*(실물목록!$O$2:$O$1001&lt;&gt;""))&gt;0,"확인필요(연도다름)","실물 없음")))))</f>
      </c>
      <c r="G1534" t="n" s="16">
        <f aca="0">IF(B1534="","",SUMPRODUCT((실물목록!$P$2:$P$1001&lt;&gt;"")*ISNUMBER(SEARCH(실물목록!$P$2:$P$1001,I1534))*(실물목록!$Q$2:$Q$1001&lt;&gt;"")*ISNUMBER(SEARCH(실물목록!$Q$2:$Q$1001,I1534))*(실물목록!$R$2:$R$1001="")*(실물목록!$O$2:$O$1001&lt;&gt;"")*(실물목록!$O$2:$O$1001=H1534)))</f>
      </c>
      <c r="H1534" t="str">
        <f>IFERROR(IF(AND(LEN(SUBSTITUTE(SUBSTITUTE(SUBSTITUTE(TRIM(A1534&amp;""),CHAR(160),"")," ",""),"년",""))=4,VALUE(SUBSTITUTE(SUBSTITUTE(SUBSTITUTE(TRIM(A1534&amp;""),CHAR(160),"")," ",""),"년",""))&gt;=1900,VALUE(SUBSTITUTE(SUBSTITUTE(SUBSTITUTE(TRIM(A1534&amp;""),CHAR(160),"")," ",""),"년",""))&lt;=2099,TEXT(VALUE(SUBSTITUTE(SUBSTITUTE(SUBSTITUTE(TRIM(A1534&amp;""),CHAR(160),"")," ",""),"년","")),"0000")=SUBSTITUTE(SUBSTITUTE(SUBSTITUTE(TRIM(A1534&amp;""),CHAR(160),"")," ",""),"년","")),SUBSTITUTE(SUBSTITUTE(SUBSTITUTE(TRIM(A1534&amp;""),CHAR(160),"")," ",""),"년",""),""),"")</f>
      </c>
      <c r="I1534" t="str">
        <f>SUBSTITUTE(SUBSTITUTE(SUBSTITUTE(SUBSTITUTE(SUBSTITUTE(TRIM(B1534&amp;""),CHAR(160),"")," ",""),"초등학교","초"),"중학교","중"),"고등학교","고")</f>
      </c>
    </row>
    <row r="1535" customFormat="false" ht="15" hidden="false" customHeight="false" outlineLevel="0" collapsed="false">
      <c r="A1535" s="8"/>
      <c r="B1535" s="8"/>
      <c r="C1535" s="8"/>
      <c r="D1535" s="8"/>
      <c r="E1535" s="8"/>
      <c r="F1535" t="str" s="15">
        <f aca="0">IF(B1535="","",IF(H1535="","확인필요(입력누락)",IF(SUMPRODUCT((실물목록!$P$2:$P$1001&lt;&gt;"")*ISNUMBER(SEARCH(실물목록!$P$2:$P$1001,I1535))*(실물목록!$Q$2:$Q$1001&lt;&gt;"")*ISNUMBER(SEARCH(실물목록!$Q$2:$Q$1001,I1535))*(실물목록!$R$2:$R$1001="")*(실물목록!$O$2:$O$1001&lt;&gt;"")*(실물목록!$O$2:$O$1001=H1535))&gt;0,"실물 있음",IF(SUMPRODUCT((실물목록!$P$2:$P$1001&lt;&gt;"")*ISNUMBER(SEARCH(실물목록!$P$2:$P$1001,I1535))*(실물목록!$R$2:$R$1001&lt;&gt;""))&gt;0,"확인필요(입력누락)",IF(SUMPRODUCT((실물목록!$P$2:$P$1001&lt;&gt;"")*ISNUMBER(SEARCH(실물목록!$P$2:$P$1001,I1535))*(실물목록!$Q$2:$Q$1001&lt;&gt;"")*ISNUMBER(SEARCH(실물목록!$Q$2:$Q$1001,I1535))*(실물목록!$R$2:$R$1001="")*(실물목록!$O$2:$O$1001&lt;&gt;""))&gt;0,"확인필요(연도다름)","실물 없음")))))</f>
      </c>
      <c r="G1535" t="n" s="16">
        <f aca="0">IF(B1535="","",SUMPRODUCT((실물목록!$P$2:$P$1001&lt;&gt;"")*ISNUMBER(SEARCH(실물목록!$P$2:$P$1001,I1535))*(실물목록!$Q$2:$Q$1001&lt;&gt;"")*ISNUMBER(SEARCH(실물목록!$Q$2:$Q$1001,I1535))*(실물목록!$R$2:$R$1001="")*(실물목록!$O$2:$O$1001&lt;&gt;"")*(실물목록!$O$2:$O$1001=H1535)))</f>
      </c>
      <c r="H1535" t="str">
        <f>IFERROR(IF(AND(LEN(SUBSTITUTE(SUBSTITUTE(SUBSTITUTE(TRIM(A1535&amp;""),CHAR(160),"")," ",""),"년",""))=4,VALUE(SUBSTITUTE(SUBSTITUTE(SUBSTITUTE(TRIM(A1535&amp;""),CHAR(160),"")," ",""),"년",""))&gt;=1900,VALUE(SUBSTITUTE(SUBSTITUTE(SUBSTITUTE(TRIM(A1535&amp;""),CHAR(160),"")," ",""),"년",""))&lt;=2099,TEXT(VALUE(SUBSTITUTE(SUBSTITUTE(SUBSTITUTE(TRIM(A1535&amp;""),CHAR(160),"")," ",""),"년","")),"0000")=SUBSTITUTE(SUBSTITUTE(SUBSTITUTE(TRIM(A1535&amp;""),CHAR(160),"")," ",""),"년","")),SUBSTITUTE(SUBSTITUTE(SUBSTITUTE(TRIM(A1535&amp;""),CHAR(160),"")," ",""),"년",""),""),"")</f>
      </c>
      <c r="I1535" t="str">
        <f>SUBSTITUTE(SUBSTITUTE(SUBSTITUTE(SUBSTITUTE(SUBSTITUTE(TRIM(B1535&amp;""),CHAR(160),"")," ",""),"초등학교","초"),"중학교","중"),"고등학교","고")</f>
      </c>
    </row>
    <row r="1536" customFormat="false" ht="15" hidden="false" customHeight="false" outlineLevel="0" collapsed="false">
      <c r="A1536" s="8"/>
      <c r="B1536" s="8"/>
      <c r="C1536" s="8"/>
      <c r="D1536" s="8"/>
      <c r="E1536" s="8"/>
      <c r="F1536" t="str" s="15">
        <f aca="0">IF(B1536="","",IF(H1536="","확인필요(입력누락)",IF(SUMPRODUCT((실물목록!$P$2:$P$1001&lt;&gt;"")*ISNUMBER(SEARCH(실물목록!$P$2:$P$1001,I1536))*(실물목록!$Q$2:$Q$1001&lt;&gt;"")*ISNUMBER(SEARCH(실물목록!$Q$2:$Q$1001,I1536))*(실물목록!$R$2:$R$1001="")*(실물목록!$O$2:$O$1001&lt;&gt;"")*(실물목록!$O$2:$O$1001=H1536))&gt;0,"실물 있음",IF(SUMPRODUCT((실물목록!$P$2:$P$1001&lt;&gt;"")*ISNUMBER(SEARCH(실물목록!$P$2:$P$1001,I1536))*(실물목록!$R$2:$R$1001&lt;&gt;""))&gt;0,"확인필요(입력누락)",IF(SUMPRODUCT((실물목록!$P$2:$P$1001&lt;&gt;"")*ISNUMBER(SEARCH(실물목록!$P$2:$P$1001,I1536))*(실물목록!$Q$2:$Q$1001&lt;&gt;"")*ISNUMBER(SEARCH(실물목록!$Q$2:$Q$1001,I1536))*(실물목록!$R$2:$R$1001="")*(실물목록!$O$2:$O$1001&lt;&gt;""))&gt;0,"확인필요(연도다름)","실물 없음")))))</f>
      </c>
      <c r="G1536" t="n" s="16">
        <f aca="0">IF(B1536="","",SUMPRODUCT((실물목록!$P$2:$P$1001&lt;&gt;"")*ISNUMBER(SEARCH(실물목록!$P$2:$P$1001,I1536))*(실물목록!$Q$2:$Q$1001&lt;&gt;"")*ISNUMBER(SEARCH(실물목록!$Q$2:$Q$1001,I1536))*(실물목록!$R$2:$R$1001="")*(실물목록!$O$2:$O$1001&lt;&gt;"")*(실물목록!$O$2:$O$1001=H1536)))</f>
      </c>
      <c r="H1536" t="str">
        <f>IFERROR(IF(AND(LEN(SUBSTITUTE(SUBSTITUTE(SUBSTITUTE(TRIM(A1536&amp;""),CHAR(160),"")," ",""),"년",""))=4,VALUE(SUBSTITUTE(SUBSTITUTE(SUBSTITUTE(TRIM(A1536&amp;""),CHAR(160),"")," ",""),"년",""))&gt;=1900,VALUE(SUBSTITUTE(SUBSTITUTE(SUBSTITUTE(TRIM(A1536&amp;""),CHAR(160),"")," ",""),"년",""))&lt;=2099,TEXT(VALUE(SUBSTITUTE(SUBSTITUTE(SUBSTITUTE(TRIM(A1536&amp;""),CHAR(160),"")," ",""),"년","")),"0000")=SUBSTITUTE(SUBSTITUTE(SUBSTITUTE(TRIM(A1536&amp;""),CHAR(160),"")," ",""),"년","")),SUBSTITUTE(SUBSTITUTE(SUBSTITUTE(TRIM(A1536&amp;""),CHAR(160),"")," ",""),"년",""),""),"")</f>
      </c>
      <c r="I1536" t="str">
        <f>SUBSTITUTE(SUBSTITUTE(SUBSTITUTE(SUBSTITUTE(SUBSTITUTE(TRIM(B1536&amp;""),CHAR(160),"")," ",""),"초등학교","초"),"중학교","중"),"고등학교","고")</f>
      </c>
    </row>
    <row r="1537" customFormat="false" ht="15" hidden="false" customHeight="false" outlineLevel="0" collapsed="false">
      <c r="A1537" s="8"/>
      <c r="B1537" s="8"/>
      <c r="C1537" s="8"/>
      <c r="D1537" s="8"/>
      <c r="E1537" s="8"/>
      <c r="F1537" t="str" s="15">
        <f aca="0">IF(B1537="","",IF(H1537="","확인필요(입력누락)",IF(SUMPRODUCT((실물목록!$P$2:$P$1001&lt;&gt;"")*ISNUMBER(SEARCH(실물목록!$P$2:$P$1001,I1537))*(실물목록!$Q$2:$Q$1001&lt;&gt;"")*ISNUMBER(SEARCH(실물목록!$Q$2:$Q$1001,I1537))*(실물목록!$R$2:$R$1001="")*(실물목록!$O$2:$O$1001&lt;&gt;"")*(실물목록!$O$2:$O$1001=H1537))&gt;0,"실물 있음",IF(SUMPRODUCT((실물목록!$P$2:$P$1001&lt;&gt;"")*ISNUMBER(SEARCH(실물목록!$P$2:$P$1001,I1537))*(실물목록!$R$2:$R$1001&lt;&gt;""))&gt;0,"확인필요(입력누락)",IF(SUMPRODUCT((실물목록!$P$2:$P$1001&lt;&gt;"")*ISNUMBER(SEARCH(실물목록!$P$2:$P$1001,I1537))*(실물목록!$Q$2:$Q$1001&lt;&gt;"")*ISNUMBER(SEARCH(실물목록!$Q$2:$Q$1001,I1537))*(실물목록!$R$2:$R$1001="")*(실물목록!$O$2:$O$1001&lt;&gt;""))&gt;0,"확인필요(연도다름)","실물 없음")))))</f>
      </c>
      <c r="G1537" t="n" s="16">
        <f aca="0">IF(B1537="","",SUMPRODUCT((실물목록!$P$2:$P$1001&lt;&gt;"")*ISNUMBER(SEARCH(실물목록!$P$2:$P$1001,I1537))*(실물목록!$Q$2:$Q$1001&lt;&gt;"")*ISNUMBER(SEARCH(실물목록!$Q$2:$Q$1001,I1537))*(실물목록!$R$2:$R$1001="")*(실물목록!$O$2:$O$1001&lt;&gt;"")*(실물목록!$O$2:$O$1001=H1537)))</f>
      </c>
      <c r="H1537" t="str">
        <f>IFERROR(IF(AND(LEN(SUBSTITUTE(SUBSTITUTE(SUBSTITUTE(TRIM(A1537&amp;""),CHAR(160),"")," ",""),"년",""))=4,VALUE(SUBSTITUTE(SUBSTITUTE(SUBSTITUTE(TRIM(A1537&amp;""),CHAR(160),"")," ",""),"년",""))&gt;=1900,VALUE(SUBSTITUTE(SUBSTITUTE(SUBSTITUTE(TRIM(A1537&amp;""),CHAR(160),"")," ",""),"년",""))&lt;=2099,TEXT(VALUE(SUBSTITUTE(SUBSTITUTE(SUBSTITUTE(TRIM(A1537&amp;""),CHAR(160),"")," ",""),"년","")),"0000")=SUBSTITUTE(SUBSTITUTE(SUBSTITUTE(TRIM(A1537&amp;""),CHAR(160),"")," ",""),"년","")),SUBSTITUTE(SUBSTITUTE(SUBSTITUTE(TRIM(A1537&amp;""),CHAR(160),"")," ",""),"년",""),""),"")</f>
      </c>
      <c r="I1537" t="str">
        <f>SUBSTITUTE(SUBSTITUTE(SUBSTITUTE(SUBSTITUTE(SUBSTITUTE(TRIM(B1537&amp;""),CHAR(160),"")," ",""),"초등학교","초"),"중학교","중"),"고등학교","고")</f>
      </c>
    </row>
    <row r="1538" customFormat="false" ht="15" hidden="false" customHeight="false" outlineLevel="0" collapsed="false">
      <c r="A1538" s="8"/>
      <c r="B1538" s="8"/>
      <c r="C1538" s="8"/>
      <c r="D1538" s="8"/>
      <c r="E1538" s="8"/>
      <c r="F1538" t="str" s="15">
        <f aca="0">IF(B1538="","",IF(H1538="","확인필요(입력누락)",IF(SUMPRODUCT((실물목록!$P$2:$P$1001&lt;&gt;"")*ISNUMBER(SEARCH(실물목록!$P$2:$P$1001,I1538))*(실물목록!$Q$2:$Q$1001&lt;&gt;"")*ISNUMBER(SEARCH(실물목록!$Q$2:$Q$1001,I1538))*(실물목록!$R$2:$R$1001="")*(실물목록!$O$2:$O$1001&lt;&gt;"")*(실물목록!$O$2:$O$1001=H1538))&gt;0,"실물 있음",IF(SUMPRODUCT((실물목록!$P$2:$P$1001&lt;&gt;"")*ISNUMBER(SEARCH(실물목록!$P$2:$P$1001,I1538))*(실물목록!$R$2:$R$1001&lt;&gt;""))&gt;0,"확인필요(입력누락)",IF(SUMPRODUCT((실물목록!$P$2:$P$1001&lt;&gt;"")*ISNUMBER(SEARCH(실물목록!$P$2:$P$1001,I1538))*(실물목록!$Q$2:$Q$1001&lt;&gt;"")*ISNUMBER(SEARCH(실물목록!$Q$2:$Q$1001,I1538))*(실물목록!$R$2:$R$1001="")*(실물목록!$O$2:$O$1001&lt;&gt;""))&gt;0,"확인필요(연도다름)","실물 없음")))))</f>
      </c>
      <c r="G1538" t="n" s="16">
        <f aca="0">IF(B1538="","",SUMPRODUCT((실물목록!$P$2:$P$1001&lt;&gt;"")*ISNUMBER(SEARCH(실물목록!$P$2:$P$1001,I1538))*(실물목록!$Q$2:$Q$1001&lt;&gt;"")*ISNUMBER(SEARCH(실물목록!$Q$2:$Q$1001,I1538))*(실물목록!$R$2:$R$1001="")*(실물목록!$O$2:$O$1001&lt;&gt;"")*(실물목록!$O$2:$O$1001=H1538)))</f>
      </c>
      <c r="H1538" t="str">
        <f>IFERROR(IF(AND(LEN(SUBSTITUTE(SUBSTITUTE(SUBSTITUTE(TRIM(A1538&amp;""),CHAR(160),"")," ",""),"년",""))=4,VALUE(SUBSTITUTE(SUBSTITUTE(SUBSTITUTE(TRIM(A1538&amp;""),CHAR(160),"")," ",""),"년",""))&gt;=1900,VALUE(SUBSTITUTE(SUBSTITUTE(SUBSTITUTE(TRIM(A1538&amp;""),CHAR(160),"")," ",""),"년",""))&lt;=2099,TEXT(VALUE(SUBSTITUTE(SUBSTITUTE(SUBSTITUTE(TRIM(A1538&amp;""),CHAR(160),"")," ",""),"년","")),"0000")=SUBSTITUTE(SUBSTITUTE(SUBSTITUTE(TRIM(A1538&amp;""),CHAR(160),"")," ",""),"년","")),SUBSTITUTE(SUBSTITUTE(SUBSTITUTE(TRIM(A1538&amp;""),CHAR(160),"")," ",""),"년",""),""),"")</f>
      </c>
      <c r="I1538" t="str">
        <f>SUBSTITUTE(SUBSTITUTE(SUBSTITUTE(SUBSTITUTE(SUBSTITUTE(TRIM(B1538&amp;""),CHAR(160),"")," ",""),"초등학교","초"),"중학교","중"),"고등학교","고")</f>
      </c>
    </row>
    <row r="1539" customFormat="false" ht="15" hidden="false" customHeight="false" outlineLevel="0" collapsed="false">
      <c r="A1539" s="8"/>
      <c r="B1539" s="8"/>
      <c r="C1539" s="8"/>
      <c r="D1539" s="8"/>
      <c r="E1539" s="8"/>
      <c r="F1539" t="str" s="15">
        <f aca="0">IF(B1539="","",IF(H1539="","확인필요(입력누락)",IF(SUMPRODUCT((실물목록!$P$2:$P$1001&lt;&gt;"")*ISNUMBER(SEARCH(실물목록!$P$2:$P$1001,I1539))*(실물목록!$Q$2:$Q$1001&lt;&gt;"")*ISNUMBER(SEARCH(실물목록!$Q$2:$Q$1001,I1539))*(실물목록!$R$2:$R$1001="")*(실물목록!$O$2:$O$1001&lt;&gt;"")*(실물목록!$O$2:$O$1001=H1539))&gt;0,"실물 있음",IF(SUMPRODUCT((실물목록!$P$2:$P$1001&lt;&gt;"")*ISNUMBER(SEARCH(실물목록!$P$2:$P$1001,I1539))*(실물목록!$R$2:$R$1001&lt;&gt;""))&gt;0,"확인필요(입력누락)",IF(SUMPRODUCT((실물목록!$P$2:$P$1001&lt;&gt;"")*ISNUMBER(SEARCH(실물목록!$P$2:$P$1001,I1539))*(실물목록!$Q$2:$Q$1001&lt;&gt;"")*ISNUMBER(SEARCH(실물목록!$Q$2:$Q$1001,I1539))*(실물목록!$R$2:$R$1001="")*(실물목록!$O$2:$O$1001&lt;&gt;""))&gt;0,"확인필요(연도다름)","실물 없음")))))</f>
      </c>
      <c r="G1539" t="n" s="16">
        <f aca="0">IF(B1539="","",SUMPRODUCT((실물목록!$P$2:$P$1001&lt;&gt;"")*ISNUMBER(SEARCH(실물목록!$P$2:$P$1001,I1539))*(실물목록!$Q$2:$Q$1001&lt;&gt;"")*ISNUMBER(SEARCH(실물목록!$Q$2:$Q$1001,I1539))*(실물목록!$R$2:$R$1001="")*(실물목록!$O$2:$O$1001&lt;&gt;"")*(실물목록!$O$2:$O$1001=H1539)))</f>
      </c>
      <c r="H1539" t="str">
        <f>IFERROR(IF(AND(LEN(SUBSTITUTE(SUBSTITUTE(SUBSTITUTE(TRIM(A1539&amp;""),CHAR(160),"")," ",""),"년",""))=4,VALUE(SUBSTITUTE(SUBSTITUTE(SUBSTITUTE(TRIM(A1539&amp;""),CHAR(160),"")," ",""),"년",""))&gt;=1900,VALUE(SUBSTITUTE(SUBSTITUTE(SUBSTITUTE(TRIM(A1539&amp;""),CHAR(160),"")," ",""),"년",""))&lt;=2099,TEXT(VALUE(SUBSTITUTE(SUBSTITUTE(SUBSTITUTE(TRIM(A1539&amp;""),CHAR(160),"")," ",""),"년","")),"0000")=SUBSTITUTE(SUBSTITUTE(SUBSTITUTE(TRIM(A1539&amp;""),CHAR(160),"")," ",""),"년","")),SUBSTITUTE(SUBSTITUTE(SUBSTITUTE(TRIM(A1539&amp;""),CHAR(160),"")," ",""),"년",""),""),"")</f>
      </c>
      <c r="I1539" t="str">
        <f>SUBSTITUTE(SUBSTITUTE(SUBSTITUTE(SUBSTITUTE(SUBSTITUTE(TRIM(B1539&amp;""),CHAR(160),"")," ",""),"초등학교","초"),"중학교","중"),"고등학교","고")</f>
      </c>
    </row>
    <row r="1540" customFormat="false" ht="15" hidden="false" customHeight="false" outlineLevel="0" collapsed="false">
      <c r="A1540" s="8"/>
      <c r="B1540" s="8"/>
      <c r="C1540" s="8"/>
      <c r="D1540" s="8"/>
      <c r="E1540" s="8"/>
      <c r="F1540" t="str" s="15">
        <f aca="0">IF(B1540="","",IF(H1540="","확인필요(입력누락)",IF(SUMPRODUCT((실물목록!$P$2:$P$1001&lt;&gt;"")*ISNUMBER(SEARCH(실물목록!$P$2:$P$1001,I1540))*(실물목록!$Q$2:$Q$1001&lt;&gt;"")*ISNUMBER(SEARCH(실물목록!$Q$2:$Q$1001,I1540))*(실물목록!$R$2:$R$1001="")*(실물목록!$O$2:$O$1001&lt;&gt;"")*(실물목록!$O$2:$O$1001=H1540))&gt;0,"실물 있음",IF(SUMPRODUCT((실물목록!$P$2:$P$1001&lt;&gt;"")*ISNUMBER(SEARCH(실물목록!$P$2:$P$1001,I1540))*(실물목록!$R$2:$R$1001&lt;&gt;""))&gt;0,"확인필요(입력누락)",IF(SUMPRODUCT((실물목록!$P$2:$P$1001&lt;&gt;"")*ISNUMBER(SEARCH(실물목록!$P$2:$P$1001,I1540))*(실물목록!$Q$2:$Q$1001&lt;&gt;"")*ISNUMBER(SEARCH(실물목록!$Q$2:$Q$1001,I1540))*(실물목록!$R$2:$R$1001="")*(실물목록!$O$2:$O$1001&lt;&gt;""))&gt;0,"확인필요(연도다름)","실물 없음")))))</f>
      </c>
      <c r="G1540" t="n" s="16">
        <f aca="0">IF(B1540="","",SUMPRODUCT((실물목록!$P$2:$P$1001&lt;&gt;"")*ISNUMBER(SEARCH(실물목록!$P$2:$P$1001,I1540))*(실물목록!$Q$2:$Q$1001&lt;&gt;"")*ISNUMBER(SEARCH(실물목록!$Q$2:$Q$1001,I1540))*(실물목록!$R$2:$R$1001="")*(실물목록!$O$2:$O$1001&lt;&gt;"")*(실물목록!$O$2:$O$1001=H1540)))</f>
      </c>
      <c r="H1540" t="str">
        <f>IFERROR(IF(AND(LEN(SUBSTITUTE(SUBSTITUTE(SUBSTITUTE(TRIM(A1540&amp;""),CHAR(160),"")," ",""),"년",""))=4,VALUE(SUBSTITUTE(SUBSTITUTE(SUBSTITUTE(TRIM(A1540&amp;""),CHAR(160),"")," ",""),"년",""))&gt;=1900,VALUE(SUBSTITUTE(SUBSTITUTE(SUBSTITUTE(TRIM(A1540&amp;""),CHAR(160),"")," ",""),"년",""))&lt;=2099,TEXT(VALUE(SUBSTITUTE(SUBSTITUTE(SUBSTITUTE(TRIM(A1540&amp;""),CHAR(160),"")," ",""),"년","")),"0000")=SUBSTITUTE(SUBSTITUTE(SUBSTITUTE(TRIM(A1540&amp;""),CHAR(160),"")," ",""),"년","")),SUBSTITUTE(SUBSTITUTE(SUBSTITUTE(TRIM(A1540&amp;""),CHAR(160),"")," ",""),"년",""),""),"")</f>
      </c>
      <c r="I1540" t="str">
        <f>SUBSTITUTE(SUBSTITUTE(SUBSTITUTE(SUBSTITUTE(SUBSTITUTE(TRIM(B1540&amp;""),CHAR(160),"")," ",""),"초등학교","초"),"중학교","중"),"고등학교","고")</f>
      </c>
    </row>
    <row r="1541" customFormat="false" ht="15" hidden="false" customHeight="false" outlineLevel="0" collapsed="false">
      <c r="A1541" s="8"/>
      <c r="B1541" s="8"/>
      <c r="C1541" s="8"/>
      <c r="D1541" s="8"/>
      <c r="E1541" s="8"/>
      <c r="F1541" t="str" s="15">
        <f aca="0">IF(B1541="","",IF(H1541="","확인필요(입력누락)",IF(SUMPRODUCT((실물목록!$P$2:$P$1001&lt;&gt;"")*ISNUMBER(SEARCH(실물목록!$P$2:$P$1001,I1541))*(실물목록!$Q$2:$Q$1001&lt;&gt;"")*ISNUMBER(SEARCH(실물목록!$Q$2:$Q$1001,I1541))*(실물목록!$R$2:$R$1001="")*(실물목록!$O$2:$O$1001&lt;&gt;"")*(실물목록!$O$2:$O$1001=H1541))&gt;0,"실물 있음",IF(SUMPRODUCT((실물목록!$P$2:$P$1001&lt;&gt;"")*ISNUMBER(SEARCH(실물목록!$P$2:$P$1001,I1541))*(실물목록!$R$2:$R$1001&lt;&gt;""))&gt;0,"확인필요(입력누락)",IF(SUMPRODUCT((실물목록!$P$2:$P$1001&lt;&gt;"")*ISNUMBER(SEARCH(실물목록!$P$2:$P$1001,I1541))*(실물목록!$Q$2:$Q$1001&lt;&gt;"")*ISNUMBER(SEARCH(실물목록!$Q$2:$Q$1001,I1541))*(실물목록!$R$2:$R$1001="")*(실물목록!$O$2:$O$1001&lt;&gt;""))&gt;0,"확인필요(연도다름)","실물 없음")))))</f>
      </c>
      <c r="G1541" t="n" s="16">
        <f aca="0">IF(B1541="","",SUMPRODUCT((실물목록!$P$2:$P$1001&lt;&gt;"")*ISNUMBER(SEARCH(실물목록!$P$2:$P$1001,I1541))*(실물목록!$Q$2:$Q$1001&lt;&gt;"")*ISNUMBER(SEARCH(실물목록!$Q$2:$Q$1001,I1541))*(실물목록!$R$2:$R$1001="")*(실물목록!$O$2:$O$1001&lt;&gt;"")*(실물목록!$O$2:$O$1001=H1541)))</f>
      </c>
      <c r="H1541" t="str">
        <f>IFERROR(IF(AND(LEN(SUBSTITUTE(SUBSTITUTE(SUBSTITUTE(TRIM(A1541&amp;""),CHAR(160),"")," ",""),"년",""))=4,VALUE(SUBSTITUTE(SUBSTITUTE(SUBSTITUTE(TRIM(A1541&amp;""),CHAR(160),"")," ",""),"년",""))&gt;=1900,VALUE(SUBSTITUTE(SUBSTITUTE(SUBSTITUTE(TRIM(A1541&amp;""),CHAR(160),"")," ",""),"년",""))&lt;=2099,TEXT(VALUE(SUBSTITUTE(SUBSTITUTE(SUBSTITUTE(TRIM(A1541&amp;""),CHAR(160),"")," ",""),"년","")),"0000")=SUBSTITUTE(SUBSTITUTE(SUBSTITUTE(TRIM(A1541&amp;""),CHAR(160),"")," ",""),"년","")),SUBSTITUTE(SUBSTITUTE(SUBSTITUTE(TRIM(A1541&amp;""),CHAR(160),"")," ",""),"년",""),""),"")</f>
      </c>
      <c r="I1541" t="str">
        <f>SUBSTITUTE(SUBSTITUTE(SUBSTITUTE(SUBSTITUTE(SUBSTITUTE(TRIM(B1541&amp;""),CHAR(160),"")," ",""),"초등학교","초"),"중학교","중"),"고등학교","고")</f>
      </c>
    </row>
    <row r="1542" customFormat="false" ht="15" hidden="false" customHeight="false" outlineLevel="0" collapsed="false">
      <c r="A1542" s="8"/>
      <c r="B1542" s="8"/>
      <c r="C1542" s="8"/>
      <c r="D1542" s="8"/>
      <c r="E1542" s="8"/>
      <c r="F1542" t="str" s="15">
        <f aca="0">IF(B1542="","",IF(H1542="","확인필요(입력누락)",IF(SUMPRODUCT((실물목록!$P$2:$P$1001&lt;&gt;"")*ISNUMBER(SEARCH(실물목록!$P$2:$P$1001,I1542))*(실물목록!$Q$2:$Q$1001&lt;&gt;"")*ISNUMBER(SEARCH(실물목록!$Q$2:$Q$1001,I1542))*(실물목록!$R$2:$R$1001="")*(실물목록!$O$2:$O$1001&lt;&gt;"")*(실물목록!$O$2:$O$1001=H1542))&gt;0,"실물 있음",IF(SUMPRODUCT((실물목록!$P$2:$P$1001&lt;&gt;"")*ISNUMBER(SEARCH(실물목록!$P$2:$P$1001,I1542))*(실물목록!$R$2:$R$1001&lt;&gt;""))&gt;0,"확인필요(입력누락)",IF(SUMPRODUCT((실물목록!$P$2:$P$1001&lt;&gt;"")*ISNUMBER(SEARCH(실물목록!$P$2:$P$1001,I1542))*(실물목록!$Q$2:$Q$1001&lt;&gt;"")*ISNUMBER(SEARCH(실물목록!$Q$2:$Q$1001,I1542))*(실물목록!$R$2:$R$1001="")*(실물목록!$O$2:$O$1001&lt;&gt;""))&gt;0,"확인필요(연도다름)","실물 없음")))))</f>
      </c>
      <c r="G1542" t="n" s="16">
        <f aca="0">IF(B1542="","",SUMPRODUCT((실물목록!$P$2:$P$1001&lt;&gt;"")*ISNUMBER(SEARCH(실물목록!$P$2:$P$1001,I1542))*(실물목록!$Q$2:$Q$1001&lt;&gt;"")*ISNUMBER(SEARCH(실물목록!$Q$2:$Q$1001,I1542))*(실물목록!$R$2:$R$1001="")*(실물목록!$O$2:$O$1001&lt;&gt;"")*(실물목록!$O$2:$O$1001=H1542)))</f>
      </c>
      <c r="H1542" t="str">
        <f>IFERROR(IF(AND(LEN(SUBSTITUTE(SUBSTITUTE(SUBSTITUTE(TRIM(A1542&amp;""),CHAR(160),"")," ",""),"년",""))=4,VALUE(SUBSTITUTE(SUBSTITUTE(SUBSTITUTE(TRIM(A1542&amp;""),CHAR(160),"")," ",""),"년",""))&gt;=1900,VALUE(SUBSTITUTE(SUBSTITUTE(SUBSTITUTE(TRIM(A1542&amp;""),CHAR(160),"")," ",""),"년",""))&lt;=2099,TEXT(VALUE(SUBSTITUTE(SUBSTITUTE(SUBSTITUTE(TRIM(A1542&amp;""),CHAR(160),"")," ",""),"년","")),"0000")=SUBSTITUTE(SUBSTITUTE(SUBSTITUTE(TRIM(A1542&amp;""),CHAR(160),"")," ",""),"년","")),SUBSTITUTE(SUBSTITUTE(SUBSTITUTE(TRIM(A1542&amp;""),CHAR(160),"")," ",""),"년",""),""),"")</f>
      </c>
      <c r="I1542" t="str">
        <f>SUBSTITUTE(SUBSTITUTE(SUBSTITUTE(SUBSTITUTE(SUBSTITUTE(TRIM(B1542&amp;""),CHAR(160),"")," ",""),"초등학교","초"),"중학교","중"),"고등학교","고")</f>
      </c>
    </row>
    <row r="1543" customFormat="false" ht="15" hidden="false" customHeight="false" outlineLevel="0" collapsed="false">
      <c r="A1543" s="8"/>
      <c r="B1543" s="8"/>
      <c r="C1543" s="8"/>
      <c r="D1543" s="8"/>
      <c r="E1543" s="8"/>
      <c r="F1543" t="str" s="15">
        <f aca="0">IF(B1543="","",IF(H1543="","확인필요(입력누락)",IF(SUMPRODUCT((실물목록!$P$2:$P$1001&lt;&gt;"")*ISNUMBER(SEARCH(실물목록!$P$2:$P$1001,I1543))*(실물목록!$Q$2:$Q$1001&lt;&gt;"")*ISNUMBER(SEARCH(실물목록!$Q$2:$Q$1001,I1543))*(실물목록!$R$2:$R$1001="")*(실물목록!$O$2:$O$1001&lt;&gt;"")*(실물목록!$O$2:$O$1001=H1543))&gt;0,"실물 있음",IF(SUMPRODUCT((실물목록!$P$2:$P$1001&lt;&gt;"")*ISNUMBER(SEARCH(실물목록!$P$2:$P$1001,I1543))*(실물목록!$R$2:$R$1001&lt;&gt;""))&gt;0,"확인필요(입력누락)",IF(SUMPRODUCT((실물목록!$P$2:$P$1001&lt;&gt;"")*ISNUMBER(SEARCH(실물목록!$P$2:$P$1001,I1543))*(실물목록!$Q$2:$Q$1001&lt;&gt;"")*ISNUMBER(SEARCH(실물목록!$Q$2:$Q$1001,I1543))*(실물목록!$R$2:$R$1001="")*(실물목록!$O$2:$O$1001&lt;&gt;""))&gt;0,"확인필요(연도다름)","실물 없음")))))</f>
      </c>
      <c r="G1543" t="n" s="16">
        <f aca="0">IF(B1543="","",SUMPRODUCT((실물목록!$P$2:$P$1001&lt;&gt;"")*ISNUMBER(SEARCH(실물목록!$P$2:$P$1001,I1543))*(실물목록!$Q$2:$Q$1001&lt;&gt;"")*ISNUMBER(SEARCH(실물목록!$Q$2:$Q$1001,I1543))*(실물목록!$R$2:$R$1001="")*(실물목록!$O$2:$O$1001&lt;&gt;"")*(실물목록!$O$2:$O$1001=H1543)))</f>
      </c>
      <c r="H1543" t="str">
        <f>IFERROR(IF(AND(LEN(SUBSTITUTE(SUBSTITUTE(SUBSTITUTE(TRIM(A1543&amp;""),CHAR(160),"")," ",""),"년",""))=4,VALUE(SUBSTITUTE(SUBSTITUTE(SUBSTITUTE(TRIM(A1543&amp;""),CHAR(160),"")," ",""),"년",""))&gt;=1900,VALUE(SUBSTITUTE(SUBSTITUTE(SUBSTITUTE(TRIM(A1543&amp;""),CHAR(160),"")," ",""),"년",""))&lt;=2099,TEXT(VALUE(SUBSTITUTE(SUBSTITUTE(SUBSTITUTE(TRIM(A1543&amp;""),CHAR(160),"")," ",""),"년","")),"0000")=SUBSTITUTE(SUBSTITUTE(SUBSTITUTE(TRIM(A1543&amp;""),CHAR(160),"")," ",""),"년","")),SUBSTITUTE(SUBSTITUTE(SUBSTITUTE(TRIM(A1543&amp;""),CHAR(160),"")," ",""),"년",""),""),"")</f>
      </c>
      <c r="I1543" t="str">
        <f>SUBSTITUTE(SUBSTITUTE(SUBSTITUTE(SUBSTITUTE(SUBSTITUTE(TRIM(B1543&amp;""),CHAR(160),"")," ",""),"초등학교","초"),"중학교","중"),"고등학교","고")</f>
      </c>
    </row>
    <row r="1544" customFormat="false" ht="15" hidden="false" customHeight="false" outlineLevel="0" collapsed="false">
      <c r="A1544" s="8"/>
      <c r="B1544" s="8"/>
      <c r="C1544" s="8"/>
      <c r="D1544" s="8"/>
      <c r="E1544" s="8"/>
      <c r="F1544" t="str" s="15">
        <f aca="0">IF(B1544="","",IF(H1544="","확인필요(입력누락)",IF(SUMPRODUCT((실물목록!$P$2:$P$1001&lt;&gt;"")*ISNUMBER(SEARCH(실물목록!$P$2:$P$1001,I1544))*(실물목록!$Q$2:$Q$1001&lt;&gt;"")*ISNUMBER(SEARCH(실물목록!$Q$2:$Q$1001,I1544))*(실물목록!$R$2:$R$1001="")*(실물목록!$O$2:$O$1001&lt;&gt;"")*(실물목록!$O$2:$O$1001=H1544))&gt;0,"실물 있음",IF(SUMPRODUCT((실물목록!$P$2:$P$1001&lt;&gt;"")*ISNUMBER(SEARCH(실물목록!$P$2:$P$1001,I1544))*(실물목록!$R$2:$R$1001&lt;&gt;""))&gt;0,"확인필요(입력누락)",IF(SUMPRODUCT((실물목록!$P$2:$P$1001&lt;&gt;"")*ISNUMBER(SEARCH(실물목록!$P$2:$P$1001,I1544))*(실물목록!$Q$2:$Q$1001&lt;&gt;"")*ISNUMBER(SEARCH(실물목록!$Q$2:$Q$1001,I1544))*(실물목록!$R$2:$R$1001="")*(실물목록!$O$2:$O$1001&lt;&gt;""))&gt;0,"확인필요(연도다름)","실물 없음")))))</f>
      </c>
      <c r="G1544" t="n" s="16">
        <f aca="0">IF(B1544="","",SUMPRODUCT((실물목록!$P$2:$P$1001&lt;&gt;"")*ISNUMBER(SEARCH(실물목록!$P$2:$P$1001,I1544))*(실물목록!$Q$2:$Q$1001&lt;&gt;"")*ISNUMBER(SEARCH(실물목록!$Q$2:$Q$1001,I1544))*(실물목록!$R$2:$R$1001="")*(실물목록!$O$2:$O$1001&lt;&gt;"")*(실물목록!$O$2:$O$1001=H1544)))</f>
      </c>
      <c r="H1544" t="str">
        <f>IFERROR(IF(AND(LEN(SUBSTITUTE(SUBSTITUTE(SUBSTITUTE(TRIM(A1544&amp;""),CHAR(160),"")," ",""),"년",""))=4,VALUE(SUBSTITUTE(SUBSTITUTE(SUBSTITUTE(TRIM(A1544&amp;""),CHAR(160),"")," ",""),"년",""))&gt;=1900,VALUE(SUBSTITUTE(SUBSTITUTE(SUBSTITUTE(TRIM(A1544&amp;""),CHAR(160),"")," ",""),"년",""))&lt;=2099,TEXT(VALUE(SUBSTITUTE(SUBSTITUTE(SUBSTITUTE(TRIM(A1544&amp;""),CHAR(160),"")," ",""),"년","")),"0000")=SUBSTITUTE(SUBSTITUTE(SUBSTITUTE(TRIM(A1544&amp;""),CHAR(160),"")," ",""),"년","")),SUBSTITUTE(SUBSTITUTE(SUBSTITUTE(TRIM(A1544&amp;""),CHAR(160),"")," ",""),"년",""),""),"")</f>
      </c>
      <c r="I1544" t="str">
        <f>SUBSTITUTE(SUBSTITUTE(SUBSTITUTE(SUBSTITUTE(SUBSTITUTE(TRIM(B1544&amp;""),CHAR(160),"")," ",""),"초등학교","초"),"중학교","중"),"고등학교","고")</f>
      </c>
    </row>
    <row r="1545" customFormat="false" ht="15" hidden="false" customHeight="false" outlineLevel="0" collapsed="false">
      <c r="A1545" s="8"/>
      <c r="B1545" s="8"/>
      <c r="C1545" s="8"/>
      <c r="D1545" s="8"/>
      <c r="E1545" s="8"/>
      <c r="F1545" t="str" s="15">
        <f aca="0">IF(B1545="","",IF(H1545="","확인필요(입력누락)",IF(SUMPRODUCT((실물목록!$P$2:$P$1001&lt;&gt;"")*ISNUMBER(SEARCH(실물목록!$P$2:$P$1001,I1545))*(실물목록!$Q$2:$Q$1001&lt;&gt;"")*ISNUMBER(SEARCH(실물목록!$Q$2:$Q$1001,I1545))*(실물목록!$R$2:$R$1001="")*(실물목록!$O$2:$O$1001&lt;&gt;"")*(실물목록!$O$2:$O$1001=H1545))&gt;0,"실물 있음",IF(SUMPRODUCT((실물목록!$P$2:$P$1001&lt;&gt;"")*ISNUMBER(SEARCH(실물목록!$P$2:$P$1001,I1545))*(실물목록!$R$2:$R$1001&lt;&gt;""))&gt;0,"확인필요(입력누락)",IF(SUMPRODUCT((실물목록!$P$2:$P$1001&lt;&gt;"")*ISNUMBER(SEARCH(실물목록!$P$2:$P$1001,I1545))*(실물목록!$Q$2:$Q$1001&lt;&gt;"")*ISNUMBER(SEARCH(실물목록!$Q$2:$Q$1001,I1545))*(실물목록!$R$2:$R$1001="")*(실물목록!$O$2:$O$1001&lt;&gt;""))&gt;0,"확인필요(연도다름)","실물 없음")))))</f>
      </c>
      <c r="G1545" t="n" s="16">
        <f aca="0">IF(B1545="","",SUMPRODUCT((실물목록!$P$2:$P$1001&lt;&gt;"")*ISNUMBER(SEARCH(실물목록!$P$2:$P$1001,I1545))*(실물목록!$Q$2:$Q$1001&lt;&gt;"")*ISNUMBER(SEARCH(실물목록!$Q$2:$Q$1001,I1545))*(실물목록!$R$2:$R$1001="")*(실물목록!$O$2:$O$1001&lt;&gt;"")*(실물목록!$O$2:$O$1001=H1545)))</f>
      </c>
      <c r="H1545" t="str">
        <f>IFERROR(IF(AND(LEN(SUBSTITUTE(SUBSTITUTE(SUBSTITUTE(TRIM(A1545&amp;""),CHAR(160),"")," ",""),"년",""))=4,VALUE(SUBSTITUTE(SUBSTITUTE(SUBSTITUTE(TRIM(A1545&amp;""),CHAR(160),"")," ",""),"년",""))&gt;=1900,VALUE(SUBSTITUTE(SUBSTITUTE(SUBSTITUTE(TRIM(A1545&amp;""),CHAR(160),"")," ",""),"년",""))&lt;=2099,TEXT(VALUE(SUBSTITUTE(SUBSTITUTE(SUBSTITUTE(TRIM(A1545&amp;""),CHAR(160),"")," ",""),"년","")),"0000")=SUBSTITUTE(SUBSTITUTE(SUBSTITUTE(TRIM(A1545&amp;""),CHAR(160),"")," ",""),"년","")),SUBSTITUTE(SUBSTITUTE(SUBSTITUTE(TRIM(A1545&amp;""),CHAR(160),"")," ",""),"년",""),""),"")</f>
      </c>
      <c r="I1545" t="str">
        <f>SUBSTITUTE(SUBSTITUTE(SUBSTITUTE(SUBSTITUTE(SUBSTITUTE(TRIM(B1545&amp;""),CHAR(160),"")," ",""),"초등학교","초"),"중학교","중"),"고등학교","고")</f>
      </c>
    </row>
    <row r="1546" customFormat="false" ht="15" hidden="false" customHeight="false" outlineLevel="0" collapsed="false">
      <c r="A1546" s="8"/>
      <c r="B1546" s="8"/>
      <c r="C1546" s="8"/>
      <c r="D1546" s="8"/>
      <c r="E1546" s="8"/>
      <c r="F1546" t="str" s="15">
        <f aca="0">IF(B1546="","",IF(H1546="","확인필요(입력누락)",IF(SUMPRODUCT((실물목록!$P$2:$P$1001&lt;&gt;"")*ISNUMBER(SEARCH(실물목록!$P$2:$P$1001,I1546))*(실물목록!$Q$2:$Q$1001&lt;&gt;"")*ISNUMBER(SEARCH(실물목록!$Q$2:$Q$1001,I1546))*(실물목록!$R$2:$R$1001="")*(실물목록!$O$2:$O$1001&lt;&gt;"")*(실물목록!$O$2:$O$1001=H1546))&gt;0,"실물 있음",IF(SUMPRODUCT((실물목록!$P$2:$P$1001&lt;&gt;"")*ISNUMBER(SEARCH(실물목록!$P$2:$P$1001,I1546))*(실물목록!$R$2:$R$1001&lt;&gt;""))&gt;0,"확인필요(입력누락)",IF(SUMPRODUCT((실물목록!$P$2:$P$1001&lt;&gt;"")*ISNUMBER(SEARCH(실물목록!$P$2:$P$1001,I1546))*(실물목록!$Q$2:$Q$1001&lt;&gt;"")*ISNUMBER(SEARCH(실물목록!$Q$2:$Q$1001,I1546))*(실물목록!$R$2:$R$1001="")*(실물목록!$O$2:$O$1001&lt;&gt;""))&gt;0,"확인필요(연도다름)","실물 없음")))))</f>
      </c>
      <c r="G1546" t="n" s="16">
        <f aca="0">IF(B1546="","",SUMPRODUCT((실물목록!$P$2:$P$1001&lt;&gt;"")*ISNUMBER(SEARCH(실물목록!$P$2:$P$1001,I1546))*(실물목록!$Q$2:$Q$1001&lt;&gt;"")*ISNUMBER(SEARCH(실물목록!$Q$2:$Q$1001,I1546))*(실물목록!$R$2:$R$1001="")*(실물목록!$O$2:$O$1001&lt;&gt;"")*(실물목록!$O$2:$O$1001=H1546)))</f>
      </c>
      <c r="H1546" t="str">
        <f>IFERROR(IF(AND(LEN(SUBSTITUTE(SUBSTITUTE(SUBSTITUTE(TRIM(A1546&amp;""),CHAR(160),"")," ",""),"년",""))=4,VALUE(SUBSTITUTE(SUBSTITUTE(SUBSTITUTE(TRIM(A1546&amp;""),CHAR(160),"")," ",""),"년",""))&gt;=1900,VALUE(SUBSTITUTE(SUBSTITUTE(SUBSTITUTE(TRIM(A1546&amp;""),CHAR(160),"")," ",""),"년",""))&lt;=2099,TEXT(VALUE(SUBSTITUTE(SUBSTITUTE(SUBSTITUTE(TRIM(A1546&amp;""),CHAR(160),"")," ",""),"년","")),"0000")=SUBSTITUTE(SUBSTITUTE(SUBSTITUTE(TRIM(A1546&amp;""),CHAR(160),"")," ",""),"년","")),SUBSTITUTE(SUBSTITUTE(SUBSTITUTE(TRIM(A1546&amp;""),CHAR(160),"")," ",""),"년",""),""),"")</f>
      </c>
      <c r="I1546" t="str">
        <f>SUBSTITUTE(SUBSTITUTE(SUBSTITUTE(SUBSTITUTE(SUBSTITUTE(TRIM(B1546&amp;""),CHAR(160),"")," ",""),"초등학교","초"),"중학교","중"),"고등학교","고")</f>
      </c>
    </row>
    <row r="1547" customFormat="false" ht="15" hidden="false" customHeight="false" outlineLevel="0" collapsed="false">
      <c r="A1547" s="8"/>
      <c r="B1547" s="8"/>
      <c r="C1547" s="8"/>
      <c r="D1547" s="8"/>
      <c r="E1547" s="8"/>
      <c r="F1547" t="str" s="15">
        <f aca="0">IF(B1547="","",IF(H1547="","확인필요(입력누락)",IF(SUMPRODUCT((실물목록!$P$2:$P$1001&lt;&gt;"")*ISNUMBER(SEARCH(실물목록!$P$2:$P$1001,I1547))*(실물목록!$Q$2:$Q$1001&lt;&gt;"")*ISNUMBER(SEARCH(실물목록!$Q$2:$Q$1001,I1547))*(실물목록!$R$2:$R$1001="")*(실물목록!$O$2:$O$1001&lt;&gt;"")*(실물목록!$O$2:$O$1001=H1547))&gt;0,"실물 있음",IF(SUMPRODUCT((실물목록!$P$2:$P$1001&lt;&gt;"")*ISNUMBER(SEARCH(실물목록!$P$2:$P$1001,I1547))*(실물목록!$R$2:$R$1001&lt;&gt;""))&gt;0,"확인필요(입력누락)",IF(SUMPRODUCT((실물목록!$P$2:$P$1001&lt;&gt;"")*ISNUMBER(SEARCH(실물목록!$P$2:$P$1001,I1547))*(실물목록!$Q$2:$Q$1001&lt;&gt;"")*ISNUMBER(SEARCH(실물목록!$Q$2:$Q$1001,I1547))*(실물목록!$R$2:$R$1001="")*(실물목록!$O$2:$O$1001&lt;&gt;""))&gt;0,"확인필요(연도다름)","실물 없음")))))</f>
      </c>
      <c r="G1547" t="n" s="16">
        <f aca="0">IF(B1547="","",SUMPRODUCT((실물목록!$P$2:$P$1001&lt;&gt;"")*ISNUMBER(SEARCH(실물목록!$P$2:$P$1001,I1547))*(실물목록!$Q$2:$Q$1001&lt;&gt;"")*ISNUMBER(SEARCH(실물목록!$Q$2:$Q$1001,I1547))*(실물목록!$R$2:$R$1001="")*(실물목록!$O$2:$O$1001&lt;&gt;"")*(실물목록!$O$2:$O$1001=H1547)))</f>
      </c>
      <c r="H1547" t="str">
        <f>IFERROR(IF(AND(LEN(SUBSTITUTE(SUBSTITUTE(SUBSTITUTE(TRIM(A1547&amp;""),CHAR(160),"")," ",""),"년",""))=4,VALUE(SUBSTITUTE(SUBSTITUTE(SUBSTITUTE(TRIM(A1547&amp;""),CHAR(160),"")," ",""),"년",""))&gt;=1900,VALUE(SUBSTITUTE(SUBSTITUTE(SUBSTITUTE(TRIM(A1547&amp;""),CHAR(160),"")," ",""),"년",""))&lt;=2099,TEXT(VALUE(SUBSTITUTE(SUBSTITUTE(SUBSTITUTE(TRIM(A1547&amp;""),CHAR(160),"")," ",""),"년","")),"0000")=SUBSTITUTE(SUBSTITUTE(SUBSTITUTE(TRIM(A1547&amp;""),CHAR(160),"")," ",""),"년","")),SUBSTITUTE(SUBSTITUTE(SUBSTITUTE(TRIM(A1547&amp;""),CHAR(160),"")," ",""),"년",""),""),"")</f>
      </c>
      <c r="I1547" t="str">
        <f>SUBSTITUTE(SUBSTITUTE(SUBSTITUTE(SUBSTITUTE(SUBSTITUTE(TRIM(B1547&amp;""),CHAR(160),"")," ",""),"초등학교","초"),"중학교","중"),"고등학교","고")</f>
      </c>
    </row>
    <row r="1548" customFormat="false" ht="15" hidden="false" customHeight="false" outlineLevel="0" collapsed="false">
      <c r="A1548" s="8"/>
      <c r="B1548" s="8"/>
      <c r="C1548" s="8"/>
      <c r="D1548" s="8"/>
      <c r="E1548" s="8"/>
      <c r="F1548" t="str" s="15">
        <f aca="0">IF(B1548="","",IF(H1548="","확인필요(입력누락)",IF(SUMPRODUCT((실물목록!$P$2:$P$1001&lt;&gt;"")*ISNUMBER(SEARCH(실물목록!$P$2:$P$1001,I1548))*(실물목록!$Q$2:$Q$1001&lt;&gt;"")*ISNUMBER(SEARCH(실물목록!$Q$2:$Q$1001,I1548))*(실물목록!$R$2:$R$1001="")*(실물목록!$O$2:$O$1001&lt;&gt;"")*(실물목록!$O$2:$O$1001=H1548))&gt;0,"실물 있음",IF(SUMPRODUCT((실물목록!$P$2:$P$1001&lt;&gt;"")*ISNUMBER(SEARCH(실물목록!$P$2:$P$1001,I1548))*(실물목록!$R$2:$R$1001&lt;&gt;""))&gt;0,"확인필요(입력누락)",IF(SUMPRODUCT((실물목록!$P$2:$P$1001&lt;&gt;"")*ISNUMBER(SEARCH(실물목록!$P$2:$P$1001,I1548))*(실물목록!$Q$2:$Q$1001&lt;&gt;"")*ISNUMBER(SEARCH(실물목록!$Q$2:$Q$1001,I1548))*(실물목록!$R$2:$R$1001="")*(실물목록!$O$2:$O$1001&lt;&gt;""))&gt;0,"확인필요(연도다름)","실물 없음")))))</f>
      </c>
      <c r="G1548" t="n" s="16">
        <f aca="0">IF(B1548="","",SUMPRODUCT((실물목록!$P$2:$P$1001&lt;&gt;"")*ISNUMBER(SEARCH(실물목록!$P$2:$P$1001,I1548))*(실물목록!$Q$2:$Q$1001&lt;&gt;"")*ISNUMBER(SEARCH(실물목록!$Q$2:$Q$1001,I1548))*(실물목록!$R$2:$R$1001="")*(실물목록!$O$2:$O$1001&lt;&gt;"")*(실물목록!$O$2:$O$1001=H1548)))</f>
      </c>
      <c r="H1548" t="str">
        <f>IFERROR(IF(AND(LEN(SUBSTITUTE(SUBSTITUTE(SUBSTITUTE(TRIM(A1548&amp;""),CHAR(160),"")," ",""),"년",""))=4,VALUE(SUBSTITUTE(SUBSTITUTE(SUBSTITUTE(TRIM(A1548&amp;""),CHAR(160),"")," ",""),"년",""))&gt;=1900,VALUE(SUBSTITUTE(SUBSTITUTE(SUBSTITUTE(TRIM(A1548&amp;""),CHAR(160),"")," ",""),"년",""))&lt;=2099,TEXT(VALUE(SUBSTITUTE(SUBSTITUTE(SUBSTITUTE(TRIM(A1548&amp;""),CHAR(160),"")," ",""),"년","")),"0000")=SUBSTITUTE(SUBSTITUTE(SUBSTITUTE(TRIM(A1548&amp;""),CHAR(160),"")," ",""),"년","")),SUBSTITUTE(SUBSTITUTE(SUBSTITUTE(TRIM(A1548&amp;""),CHAR(160),"")," ",""),"년",""),""),"")</f>
      </c>
      <c r="I1548" t="str">
        <f>SUBSTITUTE(SUBSTITUTE(SUBSTITUTE(SUBSTITUTE(SUBSTITUTE(TRIM(B1548&amp;""),CHAR(160),"")," ",""),"초등학교","초"),"중학교","중"),"고등학교","고")</f>
      </c>
    </row>
    <row r="1549" customFormat="false" ht="15" hidden="false" customHeight="false" outlineLevel="0" collapsed="false">
      <c r="A1549" s="8"/>
      <c r="B1549" s="8"/>
      <c r="C1549" s="8"/>
      <c r="D1549" s="8"/>
      <c r="E1549" s="8"/>
      <c r="F1549" t="str" s="15">
        <f aca="0">IF(B1549="","",IF(H1549="","확인필요(입력누락)",IF(SUMPRODUCT((실물목록!$P$2:$P$1001&lt;&gt;"")*ISNUMBER(SEARCH(실물목록!$P$2:$P$1001,I1549))*(실물목록!$Q$2:$Q$1001&lt;&gt;"")*ISNUMBER(SEARCH(실물목록!$Q$2:$Q$1001,I1549))*(실물목록!$R$2:$R$1001="")*(실물목록!$O$2:$O$1001&lt;&gt;"")*(실물목록!$O$2:$O$1001=H1549))&gt;0,"실물 있음",IF(SUMPRODUCT((실물목록!$P$2:$P$1001&lt;&gt;"")*ISNUMBER(SEARCH(실물목록!$P$2:$P$1001,I1549))*(실물목록!$R$2:$R$1001&lt;&gt;""))&gt;0,"확인필요(입력누락)",IF(SUMPRODUCT((실물목록!$P$2:$P$1001&lt;&gt;"")*ISNUMBER(SEARCH(실물목록!$P$2:$P$1001,I1549))*(실물목록!$Q$2:$Q$1001&lt;&gt;"")*ISNUMBER(SEARCH(실물목록!$Q$2:$Q$1001,I1549))*(실물목록!$R$2:$R$1001="")*(실물목록!$O$2:$O$1001&lt;&gt;""))&gt;0,"확인필요(연도다름)","실물 없음")))))</f>
      </c>
      <c r="G1549" t="n" s="16">
        <f aca="0">IF(B1549="","",SUMPRODUCT((실물목록!$P$2:$P$1001&lt;&gt;"")*ISNUMBER(SEARCH(실물목록!$P$2:$P$1001,I1549))*(실물목록!$Q$2:$Q$1001&lt;&gt;"")*ISNUMBER(SEARCH(실물목록!$Q$2:$Q$1001,I1549))*(실물목록!$R$2:$R$1001="")*(실물목록!$O$2:$O$1001&lt;&gt;"")*(실물목록!$O$2:$O$1001=H1549)))</f>
      </c>
      <c r="H1549" t="str">
        <f>IFERROR(IF(AND(LEN(SUBSTITUTE(SUBSTITUTE(SUBSTITUTE(TRIM(A1549&amp;""),CHAR(160),"")," ",""),"년",""))=4,VALUE(SUBSTITUTE(SUBSTITUTE(SUBSTITUTE(TRIM(A1549&amp;""),CHAR(160),"")," ",""),"년",""))&gt;=1900,VALUE(SUBSTITUTE(SUBSTITUTE(SUBSTITUTE(TRIM(A1549&amp;""),CHAR(160),"")," ",""),"년",""))&lt;=2099,TEXT(VALUE(SUBSTITUTE(SUBSTITUTE(SUBSTITUTE(TRIM(A1549&amp;""),CHAR(160),"")," ",""),"년","")),"0000")=SUBSTITUTE(SUBSTITUTE(SUBSTITUTE(TRIM(A1549&amp;""),CHAR(160),"")," ",""),"년","")),SUBSTITUTE(SUBSTITUTE(SUBSTITUTE(TRIM(A1549&amp;""),CHAR(160),"")," ",""),"년",""),""),"")</f>
      </c>
      <c r="I1549" t="str">
        <f>SUBSTITUTE(SUBSTITUTE(SUBSTITUTE(SUBSTITUTE(SUBSTITUTE(TRIM(B1549&amp;""),CHAR(160),"")," ",""),"초등학교","초"),"중학교","중"),"고등학교","고")</f>
      </c>
    </row>
    <row r="1550" customFormat="false" ht="15" hidden="false" customHeight="false" outlineLevel="0" collapsed="false">
      <c r="A1550" s="8"/>
      <c r="B1550" s="8"/>
      <c r="C1550" s="8"/>
      <c r="D1550" s="8"/>
      <c r="E1550" s="8"/>
      <c r="F1550" t="str" s="15">
        <f aca="0">IF(B1550="","",IF(H1550="","확인필요(입력누락)",IF(SUMPRODUCT((실물목록!$P$2:$P$1001&lt;&gt;"")*ISNUMBER(SEARCH(실물목록!$P$2:$P$1001,I1550))*(실물목록!$Q$2:$Q$1001&lt;&gt;"")*ISNUMBER(SEARCH(실물목록!$Q$2:$Q$1001,I1550))*(실물목록!$R$2:$R$1001="")*(실물목록!$O$2:$O$1001&lt;&gt;"")*(실물목록!$O$2:$O$1001=H1550))&gt;0,"실물 있음",IF(SUMPRODUCT((실물목록!$P$2:$P$1001&lt;&gt;"")*ISNUMBER(SEARCH(실물목록!$P$2:$P$1001,I1550))*(실물목록!$R$2:$R$1001&lt;&gt;""))&gt;0,"확인필요(입력누락)",IF(SUMPRODUCT((실물목록!$P$2:$P$1001&lt;&gt;"")*ISNUMBER(SEARCH(실물목록!$P$2:$P$1001,I1550))*(실물목록!$Q$2:$Q$1001&lt;&gt;"")*ISNUMBER(SEARCH(실물목록!$Q$2:$Q$1001,I1550))*(실물목록!$R$2:$R$1001="")*(실물목록!$O$2:$O$1001&lt;&gt;""))&gt;0,"확인필요(연도다름)","실물 없음")))))</f>
      </c>
      <c r="G1550" t="n" s="16">
        <f aca="0">IF(B1550="","",SUMPRODUCT((실물목록!$P$2:$P$1001&lt;&gt;"")*ISNUMBER(SEARCH(실물목록!$P$2:$P$1001,I1550))*(실물목록!$Q$2:$Q$1001&lt;&gt;"")*ISNUMBER(SEARCH(실물목록!$Q$2:$Q$1001,I1550))*(실물목록!$R$2:$R$1001="")*(실물목록!$O$2:$O$1001&lt;&gt;"")*(실물목록!$O$2:$O$1001=H1550)))</f>
      </c>
      <c r="H1550" t="str">
        <f>IFERROR(IF(AND(LEN(SUBSTITUTE(SUBSTITUTE(SUBSTITUTE(TRIM(A1550&amp;""),CHAR(160),"")," ",""),"년",""))=4,VALUE(SUBSTITUTE(SUBSTITUTE(SUBSTITUTE(TRIM(A1550&amp;""),CHAR(160),"")," ",""),"년",""))&gt;=1900,VALUE(SUBSTITUTE(SUBSTITUTE(SUBSTITUTE(TRIM(A1550&amp;""),CHAR(160),"")," ",""),"년",""))&lt;=2099,TEXT(VALUE(SUBSTITUTE(SUBSTITUTE(SUBSTITUTE(TRIM(A1550&amp;""),CHAR(160),"")," ",""),"년","")),"0000")=SUBSTITUTE(SUBSTITUTE(SUBSTITUTE(TRIM(A1550&amp;""),CHAR(160),"")," ",""),"년","")),SUBSTITUTE(SUBSTITUTE(SUBSTITUTE(TRIM(A1550&amp;""),CHAR(160),"")," ",""),"년",""),""),"")</f>
      </c>
      <c r="I1550" t="str">
        <f>SUBSTITUTE(SUBSTITUTE(SUBSTITUTE(SUBSTITUTE(SUBSTITUTE(TRIM(B1550&amp;""),CHAR(160),"")," ",""),"초등학교","초"),"중학교","중"),"고등학교","고")</f>
      </c>
    </row>
    <row r="1551" customFormat="false" ht="15" hidden="false" customHeight="false" outlineLevel="0" collapsed="false">
      <c r="A1551" s="8"/>
      <c r="B1551" s="8"/>
      <c r="C1551" s="8"/>
      <c r="D1551" s="8"/>
      <c r="E1551" s="8"/>
      <c r="F1551" t="str" s="15">
        <f aca="0">IF(B1551="","",IF(H1551="","확인필요(입력누락)",IF(SUMPRODUCT((실물목록!$P$2:$P$1001&lt;&gt;"")*ISNUMBER(SEARCH(실물목록!$P$2:$P$1001,I1551))*(실물목록!$Q$2:$Q$1001&lt;&gt;"")*ISNUMBER(SEARCH(실물목록!$Q$2:$Q$1001,I1551))*(실물목록!$R$2:$R$1001="")*(실물목록!$O$2:$O$1001&lt;&gt;"")*(실물목록!$O$2:$O$1001=H1551))&gt;0,"실물 있음",IF(SUMPRODUCT((실물목록!$P$2:$P$1001&lt;&gt;"")*ISNUMBER(SEARCH(실물목록!$P$2:$P$1001,I1551))*(실물목록!$R$2:$R$1001&lt;&gt;""))&gt;0,"확인필요(입력누락)",IF(SUMPRODUCT((실물목록!$P$2:$P$1001&lt;&gt;"")*ISNUMBER(SEARCH(실물목록!$P$2:$P$1001,I1551))*(실물목록!$Q$2:$Q$1001&lt;&gt;"")*ISNUMBER(SEARCH(실물목록!$Q$2:$Q$1001,I1551))*(실물목록!$R$2:$R$1001="")*(실물목록!$O$2:$O$1001&lt;&gt;""))&gt;0,"확인필요(연도다름)","실물 없음")))))</f>
      </c>
      <c r="G1551" t="n" s="16">
        <f aca="0">IF(B1551="","",SUMPRODUCT((실물목록!$P$2:$P$1001&lt;&gt;"")*ISNUMBER(SEARCH(실물목록!$P$2:$P$1001,I1551))*(실물목록!$Q$2:$Q$1001&lt;&gt;"")*ISNUMBER(SEARCH(실물목록!$Q$2:$Q$1001,I1551))*(실물목록!$R$2:$R$1001="")*(실물목록!$O$2:$O$1001&lt;&gt;"")*(실물목록!$O$2:$O$1001=H1551)))</f>
      </c>
      <c r="H1551" t="str">
        <f>IFERROR(IF(AND(LEN(SUBSTITUTE(SUBSTITUTE(SUBSTITUTE(TRIM(A1551&amp;""),CHAR(160),"")," ",""),"년",""))=4,VALUE(SUBSTITUTE(SUBSTITUTE(SUBSTITUTE(TRIM(A1551&amp;""),CHAR(160),"")," ",""),"년",""))&gt;=1900,VALUE(SUBSTITUTE(SUBSTITUTE(SUBSTITUTE(TRIM(A1551&amp;""),CHAR(160),"")," ",""),"년",""))&lt;=2099,TEXT(VALUE(SUBSTITUTE(SUBSTITUTE(SUBSTITUTE(TRIM(A1551&amp;""),CHAR(160),"")," ",""),"년","")),"0000")=SUBSTITUTE(SUBSTITUTE(SUBSTITUTE(TRIM(A1551&amp;""),CHAR(160),"")," ",""),"년","")),SUBSTITUTE(SUBSTITUTE(SUBSTITUTE(TRIM(A1551&amp;""),CHAR(160),"")," ",""),"년",""),""),"")</f>
      </c>
      <c r="I1551" t="str">
        <f>SUBSTITUTE(SUBSTITUTE(SUBSTITUTE(SUBSTITUTE(SUBSTITUTE(TRIM(B1551&amp;""),CHAR(160),"")," ",""),"초등학교","초"),"중학교","중"),"고등학교","고")</f>
      </c>
    </row>
    <row r="1552" customFormat="false" ht="15" hidden="false" customHeight="false" outlineLevel="0" collapsed="false">
      <c r="A1552" s="8"/>
      <c r="B1552" s="8"/>
      <c r="C1552" s="8"/>
      <c r="D1552" s="8"/>
      <c r="E1552" s="8"/>
      <c r="F1552" t="str" s="15">
        <f aca="0">IF(B1552="","",IF(H1552="","확인필요(입력누락)",IF(SUMPRODUCT((실물목록!$P$2:$P$1001&lt;&gt;"")*ISNUMBER(SEARCH(실물목록!$P$2:$P$1001,I1552))*(실물목록!$Q$2:$Q$1001&lt;&gt;"")*ISNUMBER(SEARCH(실물목록!$Q$2:$Q$1001,I1552))*(실물목록!$R$2:$R$1001="")*(실물목록!$O$2:$O$1001&lt;&gt;"")*(실물목록!$O$2:$O$1001=H1552))&gt;0,"실물 있음",IF(SUMPRODUCT((실물목록!$P$2:$P$1001&lt;&gt;"")*ISNUMBER(SEARCH(실물목록!$P$2:$P$1001,I1552))*(실물목록!$R$2:$R$1001&lt;&gt;""))&gt;0,"확인필요(입력누락)",IF(SUMPRODUCT((실물목록!$P$2:$P$1001&lt;&gt;"")*ISNUMBER(SEARCH(실물목록!$P$2:$P$1001,I1552))*(실물목록!$Q$2:$Q$1001&lt;&gt;"")*ISNUMBER(SEARCH(실물목록!$Q$2:$Q$1001,I1552))*(실물목록!$R$2:$R$1001="")*(실물목록!$O$2:$O$1001&lt;&gt;""))&gt;0,"확인필요(연도다름)","실물 없음")))))</f>
      </c>
      <c r="G1552" t="n" s="16">
        <f aca="0">IF(B1552="","",SUMPRODUCT((실물목록!$P$2:$P$1001&lt;&gt;"")*ISNUMBER(SEARCH(실물목록!$P$2:$P$1001,I1552))*(실물목록!$Q$2:$Q$1001&lt;&gt;"")*ISNUMBER(SEARCH(실물목록!$Q$2:$Q$1001,I1552))*(실물목록!$R$2:$R$1001="")*(실물목록!$O$2:$O$1001&lt;&gt;"")*(실물목록!$O$2:$O$1001=H1552)))</f>
      </c>
      <c r="H1552" t="str">
        <f>IFERROR(IF(AND(LEN(SUBSTITUTE(SUBSTITUTE(SUBSTITUTE(TRIM(A1552&amp;""),CHAR(160),"")," ",""),"년",""))=4,VALUE(SUBSTITUTE(SUBSTITUTE(SUBSTITUTE(TRIM(A1552&amp;""),CHAR(160),"")," ",""),"년",""))&gt;=1900,VALUE(SUBSTITUTE(SUBSTITUTE(SUBSTITUTE(TRIM(A1552&amp;""),CHAR(160),"")," ",""),"년",""))&lt;=2099,TEXT(VALUE(SUBSTITUTE(SUBSTITUTE(SUBSTITUTE(TRIM(A1552&amp;""),CHAR(160),"")," ",""),"년","")),"0000")=SUBSTITUTE(SUBSTITUTE(SUBSTITUTE(TRIM(A1552&amp;""),CHAR(160),"")," ",""),"년","")),SUBSTITUTE(SUBSTITUTE(SUBSTITUTE(TRIM(A1552&amp;""),CHAR(160),"")," ",""),"년",""),""),"")</f>
      </c>
      <c r="I1552" t="str">
        <f>SUBSTITUTE(SUBSTITUTE(SUBSTITUTE(SUBSTITUTE(SUBSTITUTE(TRIM(B1552&amp;""),CHAR(160),"")," ",""),"초등학교","초"),"중학교","중"),"고등학교","고")</f>
      </c>
    </row>
    <row r="1553" customFormat="false" ht="15" hidden="false" customHeight="false" outlineLevel="0" collapsed="false">
      <c r="A1553" s="8"/>
      <c r="B1553" s="8"/>
      <c r="C1553" s="8"/>
      <c r="D1553" s="8"/>
      <c r="E1553" s="8"/>
      <c r="F1553" t="str" s="15">
        <f aca="0">IF(B1553="","",IF(H1553="","확인필요(입력누락)",IF(SUMPRODUCT((실물목록!$P$2:$P$1001&lt;&gt;"")*ISNUMBER(SEARCH(실물목록!$P$2:$P$1001,I1553))*(실물목록!$Q$2:$Q$1001&lt;&gt;"")*ISNUMBER(SEARCH(실물목록!$Q$2:$Q$1001,I1553))*(실물목록!$R$2:$R$1001="")*(실물목록!$O$2:$O$1001&lt;&gt;"")*(실물목록!$O$2:$O$1001=H1553))&gt;0,"실물 있음",IF(SUMPRODUCT((실물목록!$P$2:$P$1001&lt;&gt;"")*ISNUMBER(SEARCH(실물목록!$P$2:$P$1001,I1553))*(실물목록!$R$2:$R$1001&lt;&gt;""))&gt;0,"확인필요(입력누락)",IF(SUMPRODUCT((실물목록!$P$2:$P$1001&lt;&gt;"")*ISNUMBER(SEARCH(실물목록!$P$2:$P$1001,I1553))*(실물목록!$Q$2:$Q$1001&lt;&gt;"")*ISNUMBER(SEARCH(실물목록!$Q$2:$Q$1001,I1553))*(실물목록!$R$2:$R$1001="")*(실물목록!$O$2:$O$1001&lt;&gt;""))&gt;0,"확인필요(연도다름)","실물 없음")))))</f>
      </c>
      <c r="G1553" t="n" s="16">
        <f aca="0">IF(B1553="","",SUMPRODUCT((실물목록!$P$2:$P$1001&lt;&gt;"")*ISNUMBER(SEARCH(실물목록!$P$2:$P$1001,I1553))*(실물목록!$Q$2:$Q$1001&lt;&gt;"")*ISNUMBER(SEARCH(실물목록!$Q$2:$Q$1001,I1553))*(실물목록!$R$2:$R$1001="")*(실물목록!$O$2:$O$1001&lt;&gt;"")*(실물목록!$O$2:$O$1001=H1553)))</f>
      </c>
      <c r="H1553" t="str">
        <f>IFERROR(IF(AND(LEN(SUBSTITUTE(SUBSTITUTE(SUBSTITUTE(TRIM(A1553&amp;""),CHAR(160),"")," ",""),"년",""))=4,VALUE(SUBSTITUTE(SUBSTITUTE(SUBSTITUTE(TRIM(A1553&amp;""),CHAR(160),"")," ",""),"년",""))&gt;=1900,VALUE(SUBSTITUTE(SUBSTITUTE(SUBSTITUTE(TRIM(A1553&amp;""),CHAR(160),"")," ",""),"년",""))&lt;=2099,TEXT(VALUE(SUBSTITUTE(SUBSTITUTE(SUBSTITUTE(TRIM(A1553&amp;""),CHAR(160),"")," ",""),"년","")),"0000")=SUBSTITUTE(SUBSTITUTE(SUBSTITUTE(TRIM(A1553&amp;""),CHAR(160),"")," ",""),"년","")),SUBSTITUTE(SUBSTITUTE(SUBSTITUTE(TRIM(A1553&amp;""),CHAR(160),"")," ",""),"년",""),""),"")</f>
      </c>
      <c r="I1553" t="str">
        <f>SUBSTITUTE(SUBSTITUTE(SUBSTITUTE(SUBSTITUTE(SUBSTITUTE(TRIM(B1553&amp;""),CHAR(160),"")," ",""),"초등학교","초"),"중학교","중"),"고등학교","고")</f>
      </c>
    </row>
    <row r="1554" customFormat="false" ht="15" hidden="false" customHeight="false" outlineLevel="0" collapsed="false">
      <c r="A1554" s="8"/>
      <c r="B1554" s="8"/>
      <c r="C1554" s="8"/>
      <c r="D1554" s="8"/>
      <c r="E1554" s="8"/>
      <c r="F1554" t="str" s="15">
        <f aca="0">IF(B1554="","",IF(H1554="","확인필요(입력누락)",IF(SUMPRODUCT((실물목록!$P$2:$P$1001&lt;&gt;"")*ISNUMBER(SEARCH(실물목록!$P$2:$P$1001,I1554))*(실물목록!$Q$2:$Q$1001&lt;&gt;"")*ISNUMBER(SEARCH(실물목록!$Q$2:$Q$1001,I1554))*(실물목록!$R$2:$R$1001="")*(실물목록!$O$2:$O$1001&lt;&gt;"")*(실물목록!$O$2:$O$1001=H1554))&gt;0,"실물 있음",IF(SUMPRODUCT((실물목록!$P$2:$P$1001&lt;&gt;"")*ISNUMBER(SEARCH(실물목록!$P$2:$P$1001,I1554))*(실물목록!$R$2:$R$1001&lt;&gt;""))&gt;0,"확인필요(입력누락)",IF(SUMPRODUCT((실물목록!$P$2:$P$1001&lt;&gt;"")*ISNUMBER(SEARCH(실물목록!$P$2:$P$1001,I1554))*(실물목록!$Q$2:$Q$1001&lt;&gt;"")*ISNUMBER(SEARCH(실물목록!$Q$2:$Q$1001,I1554))*(실물목록!$R$2:$R$1001="")*(실물목록!$O$2:$O$1001&lt;&gt;""))&gt;0,"확인필요(연도다름)","실물 없음")))))</f>
      </c>
      <c r="G1554" t="n" s="16">
        <f aca="0">IF(B1554="","",SUMPRODUCT((실물목록!$P$2:$P$1001&lt;&gt;"")*ISNUMBER(SEARCH(실물목록!$P$2:$P$1001,I1554))*(실물목록!$Q$2:$Q$1001&lt;&gt;"")*ISNUMBER(SEARCH(실물목록!$Q$2:$Q$1001,I1554))*(실물목록!$R$2:$R$1001="")*(실물목록!$O$2:$O$1001&lt;&gt;"")*(실물목록!$O$2:$O$1001=H1554)))</f>
      </c>
      <c r="H1554" t="str">
        <f>IFERROR(IF(AND(LEN(SUBSTITUTE(SUBSTITUTE(SUBSTITUTE(TRIM(A1554&amp;""),CHAR(160),"")," ",""),"년",""))=4,VALUE(SUBSTITUTE(SUBSTITUTE(SUBSTITUTE(TRIM(A1554&amp;""),CHAR(160),"")," ",""),"년",""))&gt;=1900,VALUE(SUBSTITUTE(SUBSTITUTE(SUBSTITUTE(TRIM(A1554&amp;""),CHAR(160),"")," ",""),"년",""))&lt;=2099,TEXT(VALUE(SUBSTITUTE(SUBSTITUTE(SUBSTITUTE(TRIM(A1554&amp;""),CHAR(160),"")," ",""),"년","")),"0000")=SUBSTITUTE(SUBSTITUTE(SUBSTITUTE(TRIM(A1554&amp;""),CHAR(160),"")," ",""),"년","")),SUBSTITUTE(SUBSTITUTE(SUBSTITUTE(TRIM(A1554&amp;""),CHAR(160),"")," ",""),"년",""),""),"")</f>
      </c>
      <c r="I1554" t="str">
        <f>SUBSTITUTE(SUBSTITUTE(SUBSTITUTE(SUBSTITUTE(SUBSTITUTE(TRIM(B1554&amp;""),CHAR(160),"")," ",""),"초등학교","초"),"중학교","중"),"고등학교","고")</f>
      </c>
    </row>
    <row r="1555" customFormat="false" ht="15" hidden="false" customHeight="false" outlineLevel="0" collapsed="false">
      <c r="A1555" s="8"/>
      <c r="B1555" s="8"/>
      <c r="C1555" s="8"/>
      <c r="D1555" s="8"/>
      <c r="E1555" s="8"/>
      <c r="F1555" t="str" s="15">
        <f aca="0">IF(B1555="","",IF(H1555="","확인필요(입력누락)",IF(SUMPRODUCT((실물목록!$P$2:$P$1001&lt;&gt;"")*ISNUMBER(SEARCH(실물목록!$P$2:$P$1001,I1555))*(실물목록!$Q$2:$Q$1001&lt;&gt;"")*ISNUMBER(SEARCH(실물목록!$Q$2:$Q$1001,I1555))*(실물목록!$R$2:$R$1001="")*(실물목록!$O$2:$O$1001&lt;&gt;"")*(실물목록!$O$2:$O$1001=H1555))&gt;0,"실물 있음",IF(SUMPRODUCT((실물목록!$P$2:$P$1001&lt;&gt;"")*ISNUMBER(SEARCH(실물목록!$P$2:$P$1001,I1555))*(실물목록!$R$2:$R$1001&lt;&gt;""))&gt;0,"확인필요(입력누락)",IF(SUMPRODUCT((실물목록!$P$2:$P$1001&lt;&gt;"")*ISNUMBER(SEARCH(실물목록!$P$2:$P$1001,I1555))*(실물목록!$Q$2:$Q$1001&lt;&gt;"")*ISNUMBER(SEARCH(실물목록!$Q$2:$Q$1001,I1555))*(실물목록!$R$2:$R$1001="")*(실물목록!$O$2:$O$1001&lt;&gt;""))&gt;0,"확인필요(연도다름)","실물 없음")))))</f>
      </c>
      <c r="G1555" t="n" s="16">
        <f aca="0">IF(B1555="","",SUMPRODUCT((실물목록!$P$2:$P$1001&lt;&gt;"")*ISNUMBER(SEARCH(실물목록!$P$2:$P$1001,I1555))*(실물목록!$Q$2:$Q$1001&lt;&gt;"")*ISNUMBER(SEARCH(실물목록!$Q$2:$Q$1001,I1555))*(실물목록!$R$2:$R$1001="")*(실물목록!$O$2:$O$1001&lt;&gt;"")*(실물목록!$O$2:$O$1001=H1555)))</f>
      </c>
      <c r="H1555" t="str">
        <f>IFERROR(IF(AND(LEN(SUBSTITUTE(SUBSTITUTE(SUBSTITUTE(TRIM(A1555&amp;""),CHAR(160),"")," ",""),"년",""))=4,VALUE(SUBSTITUTE(SUBSTITUTE(SUBSTITUTE(TRIM(A1555&amp;""),CHAR(160),"")," ",""),"년",""))&gt;=1900,VALUE(SUBSTITUTE(SUBSTITUTE(SUBSTITUTE(TRIM(A1555&amp;""),CHAR(160),"")," ",""),"년",""))&lt;=2099,TEXT(VALUE(SUBSTITUTE(SUBSTITUTE(SUBSTITUTE(TRIM(A1555&amp;""),CHAR(160),"")," ",""),"년","")),"0000")=SUBSTITUTE(SUBSTITUTE(SUBSTITUTE(TRIM(A1555&amp;""),CHAR(160),"")," ",""),"년","")),SUBSTITUTE(SUBSTITUTE(SUBSTITUTE(TRIM(A1555&amp;""),CHAR(160),"")," ",""),"년",""),""),"")</f>
      </c>
      <c r="I1555" t="str">
        <f>SUBSTITUTE(SUBSTITUTE(SUBSTITUTE(SUBSTITUTE(SUBSTITUTE(TRIM(B1555&amp;""),CHAR(160),"")," ",""),"초등학교","초"),"중학교","중"),"고등학교","고")</f>
      </c>
    </row>
    <row r="1556" customFormat="false" ht="15" hidden="false" customHeight="false" outlineLevel="0" collapsed="false">
      <c r="A1556" s="8"/>
      <c r="B1556" s="8"/>
      <c r="C1556" s="8"/>
      <c r="D1556" s="8"/>
      <c r="E1556" s="8"/>
      <c r="F1556" t="str" s="15">
        <f aca="0">IF(B1556="","",IF(H1556="","확인필요(입력누락)",IF(SUMPRODUCT((실물목록!$P$2:$P$1001&lt;&gt;"")*ISNUMBER(SEARCH(실물목록!$P$2:$P$1001,I1556))*(실물목록!$Q$2:$Q$1001&lt;&gt;"")*ISNUMBER(SEARCH(실물목록!$Q$2:$Q$1001,I1556))*(실물목록!$R$2:$R$1001="")*(실물목록!$O$2:$O$1001&lt;&gt;"")*(실물목록!$O$2:$O$1001=H1556))&gt;0,"실물 있음",IF(SUMPRODUCT((실물목록!$P$2:$P$1001&lt;&gt;"")*ISNUMBER(SEARCH(실물목록!$P$2:$P$1001,I1556))*(실물목록!$R$2:$R$1001&lt;&gt;""))&gt;0,"확인필요(입력누락)",IF(SUMPRODUCT((실물목록!$P$2:$P$1001&lt;&gt;"")*ISNUMBER(SEARCH(실물목록!$P$2:$P$1001,I1556))*(실물목록!$Q$2:$Q$1001&lt;&gt;"")*ISNUMBER(SEARCH(실물목록!$Q$2:$Q$1001,I1556))*(실물목록!$R$2:$R$1001="")*(실물목록!$O$2:$O$1001&lt;&gt;""))&gt;0,"확인필요(연도다름)","실물 없음")))))</f>
      </c>
      <c r="G1556" t="n" s="16">
        <f aca="0">IF(B1556="","",SUMPRODUCT((실물목록!$P$2:$P$1001&lt;&gt;"")*ISNUMBER(SEARCH(실물목록!$P$2:$P$1001,I1556))*(실물목록!$Q$2:$Q$1001&lt;&gt;"")*ISNUMBER(SEARCH(실물목록!$Q$2:$Q$1001,I1556))*(실물목록!$R$2:$R$1001="")*(실물목록!$O$2:$O$1001&lt;&gt;"")*(실물목록!$O$2:$O$1001=H1556)))</f>
      </c>
      <c r="H1556" t="str">
        <f>IFERROR(IF(AND(LEN(SUBSTITUTE(SUBSTITUTE(SUBSTITUTE(TRIM(A1556&amp;""),CHAR(160),"")," ",""),"년",""))=4,VALUE(SUBSTITUTE(SUBSTITUTE(SUBSTITUTE(TRIM(A1556&amp;""),CHAR(160),"")," ",""),"년",""))&gt;=1900,VALUE(SUBSTITUTE(SUBSTITUTE(SUBSTITUTE(TRIM(A1556&amp;""),CHAR(160),"")," ",""),"년",""))&lt;=2099,TEXT(VALUE(SUBSTITUTE(SUBSTITUTE(SUBSTITUTE(TRIM(A1556&amp;""),CHAR(160),"")," ",""),"년","")),"0000")=SUBSTITUTE(SUBSTITUTE(SUBSTITUTE(TRIM(A1556&amp;""),CHAR(160),"")," ",""),"년","")),SUBSTITUTE(SUBSTITUTE(SUBSTITUTE(TRIM(A1556&amp;""),CHAR(160),"")," ",""),"년",""),""),"")</f>
      </c>
      <c r="I1556" t="str">
        <f>SUBSTITUTE(SUBSTITUTE(SUBSTITUTE(SUBSTITUTE(SUBSTITUTE(TRIM(B1556&amp;""),CHAR(160),"")," ",""),"초등학교","초"),"중학교","중"),"고등학교","고")</f>
      </c>
    </row>
    <row r="1557" customFormat="false" ht="15" hidden="false" customHeight="false" outlineLevel="0" collapsed="false">
      <c r="A1557" s="8"/>
      <c r="B1557" s="8"/>
      <c r="C1557" s="8"/>
      <c r="D1557" s="8"/>
      <c r="E1557" s="8"/>
      <c r="F1557" t="str" s="15">
        <f aca="0">IF(B1557="","",IF(H1557="","확인필요(입력누락)",IF(SUMPRODUCT((실물목록!$P$2:$P$1001&lt;&gt;"")*ISNUMBER(SEARCH(실물목록!$P$2:$P$1001,I1557))*(실물목록!$Q$2:$Q$1001&lt;&gt;"")*ISNUMBER(SEARCH(실물목록!$Q$2:$Q$1001,I1557))*(실물목록!$R$2:$R$1001="")*(실물목록!$O$2:$O$1001&lt;&gt;"")*(실물목록!$O$2:$O$1001=H1557))&gt;0,"실물 있음",IF(SUMPRODUCT((실물목록!$P$2:$P$1001&lt;&gt;"")*ISNUMBER(SEARCH(실물목록!$P$2:$P$1001,I1557))*(실물목록!$R$2:$R$1001&lt;&gt;""))&gt;0,"확인필요(입력누락)",IF(SUMPRODUCT((실물목록!$P$2:$P$1001&lt;&gt;"")*ISNUMBER(SEARCH(실물목록!$P$2:$P$1001,I1557))*(실물목록!$Q$2:$Q$1001&lt;&gt;"")*ISNUMBER(SEARCH(실물목록!$Q$2:$Q$1001,I1557))*(실물목록!$R$2:$R$1001="")*(실물목록!$O$2:$O$1001&lt;&gt;""))&gt;0,"확인필요(연도다름)","실물 없음")))))</f>
      </c>
      <c r="G1557" t="n" s="16">
        <f aca="0">IF(B1557="","",SUMPRODUCT((실물목록!$P$2:$P$1001&lt;&gt;"")*ISNUMBER(SEARCH(실물목록!$P$2:$P$1001,I1557))*(실물목록!$Q$2:$Q$1001&lt;&gt;"")*ISNUMBER(SEARCH(실물목록!$Q$2:$Q$1001,I1557))*(실물목록!$R$2:$R$1001="")*(실물목록!$O$2:$O$1001&lt;&gt;"")*(실물목록!$O$2:$O$1001=H1557)))</f>
      </c>
      <c r="H1557" t="str">
        <f>IFERROR(IF(AND(LEN(SUBSTITUTE(SUBSTITUTE(SUBSTITUTE(TRIM(A1557&amp;""),CHAR(160),"")," ",""),"년",""))=4,VALUE(SUBSTITUTE(SUBSTITUTE(SUBSTITUTE(TRIM(A1557&amp;""),CHAR(160),"")," ",""),"년",""))&gt;=1900,VALUE(SUBSTITUTE(SUBSTITUTE(SUBSTITUTE(TRIM(A1557&amp;""),CHAR(160),"")," ",""),"년",""))&lt;=2099,TEXT(VALUE(SUBSTITUTE(SUBSTITUTE(SUBSTITUTE(TRIM(A1557&amp;""),CHAR(160),"")," ",""),"년","")),"0000")=SUBSTITUTE(SUBSTITUTE(SUBSTITUTE(TRIM(A1557&amp;""),CHAR(160),"")," ",""),"년","")),SUBSTITUTE(SUBSTITUTE(SUBSTITUTE(TRIM(A1557&amp;""),CHAR(160),"")," ",""),"년",""),""),"")</f>
      </c>
      <c r="I1557" t="str">
        <f>SUBSTITUTE(SUBSTITUTE(SUBSTITUTE(SUBSTITUTE(SUBSTITUTE(TRIM(B1557&amp;""),CHAR(160),"")," ",""),"초등학교","초"),"중학교","중"),"고등학교","고")</f>
      </c>
    </row>
    <row r="1558" customFormat="false" ht="15" hidden="false" customHeight="false" outlineLevel="0" collapsed="false">
      <c r="A1558" s="8"/>
      <c r="B1558" s="8"/>
      <c r="C1558" s="8"/>
      <c r="D1558" s="8"/>
      <c r="E1558" s="8"/>
      <c r="F1558" t="str" s="15">
        <f aca="0">IF(B1558="","",IF(H1558="","확인필요(입력누락)",IF(SUMPRODUCT((실물목록!$P$2:$P$1001&lt;&gt;"")*ISNUMBER(SEARCH(실물목록!$P$2:$P$1001,I1558))*(실물목록!$Q$2:$Q$1001&lt;&gt;"")*ISNUMBER(SEARCH(실물목록!$Q$2:$Q$1001,I1558))*(실물목록!$R$2:$R$1001="")*(실물목록!$O$2:$O$1001&lt;&gt;"")*(실물목록!$O$2:$O$1001=H1558))&gt;0,"실물 있음",IF(SUMPRODUCT((실물목록!$P$2:$P$1001&lt;&gt;"")*ISNUMBER(SEARCH(실물목록!$P$2:$P$1001,I1558))*(실물목록!$R$2:$R$1001&lt;&gt;""))&gt;0,"확인필요(입력누락)",IF(SUMPRODUCT((실물목록!$P$2:$P$1001&lt;&gt;"")*ISNUMBER(SEARCH(실물목록!$P$2:$P$1001,I1558))*(실물목록!$Q$2:$Q$1001&lt;&gt;"")*ISNUMBER(SEARCH(실물목록!$Q$2:$Q$1001,I1558))*(실물목록!$R$2:$R$1001="")*(실물목록!$O$2:$O$1001&lt;&gt;""))&gt;0,"확인필요(연도다름)","실물 없음")))))</f>
      </c>
      <c r="G1558" t="n" s="16">
        <f aca="0">IF(B1558="","",SUMPRODUCT((실물목록!$P$2:$P$1001&lt;&gt;"")*ISNUMBER(SEARCH(실물목록!$P$2:$P$1001,I1558))*(실물목록!$Q$2:$Q$1001&lt;&gt;"")*ISNUMBER(SEARCH(실물목록!$Q$2:$Q$1001,I1558))*(실물목록!$R$2:$R$1001="")*(실물목록!$O$2:$O$1001&lt;&gt;"")*(실물목록!$O$2:$O$1001=H1558)))</f>
      </c>
      <c r="H1558" t="str">
        <f>IFERROR(IF(AND(LEN(SUBSTITUTE(SUBSTITUTE(SUBSTITUTE(TRIM(A1558&amp;""),CHAR(160),"")," ",""),"년",""))=4,VALUE(SUBSTITUTE(SUBSTITUTE(SUBSTITUTE(TRIM(A1558&amp;""),CHAR(160),"")," ",""),"년",""))&gt;=1900,VALUE(SUBSTITUTE(SUBSTITUTE(SUBSTITUTE(TRIM(A1558&amp;""),CHAR(160),"")," ",""),"년",""))&lt;=2099,TEXT(VALUE(SUBSTITUTE(SUBSTITUTE(SUBSTITUTE(TRIM(A1558&amp;""),CHAR(160),"")," ",""),"년","")),"0000")=SUBSTITUTE(SUBSTITUTE(SUBSTITUTE(TRIM(A1558&amp;""),CHAR(160),"")," ",""),"년","")),SUBSTITUTE(SUBSTITUTE(SUBSTITUTE(TRIM(A1558&amp;""),CHAR(160),"")," ",""),"년",""),""),"")</f>
      </c>
      <c r="I1558" t="str">
        <f>SUBSTITUTE(SUBSTITUTE(SUBSTITUTE(SUBSTITUTE(SUBSTITUTE(TRIM(B1558&amp;""),CHAR(160),"")," ",""),"초등학교","초"),"중학교","중"),"고등학교","고")</f>
      </c>
    </row>
    <row r="1559" customFormat="false" ht="15" hidden="false" customHeight="false" outlineLevel="0" collapsed="false">
      <c r="A1559" s="8"/>
      <c r="B1559" s="8"/>
      <c r="C1559" s="8"/>
      <c r="D1559" s="8"/>
      <c r="E1559" s="8"/>
      <c r="F1559" t="str" s="15">
        <f aca="0">IF(B1559="","",IF(H1559="","확인필요(입력누락)",IF(SUMPRODUCT((실물목록!$P$2:$P$1001&lt;&gt;"")*ISNUMBER(SEARCH(실물목록!$P$2:$P$1001,I1559))*(실물목록!$Q$2:$Q$1001&lt;&gt;"")*ISNUMBER(SEARCH(실물목록!$Q$2:$Q$1001,I1559))*(실물목록!$R$2:$R$1001="")*(실물목록!$O$2:$O$1001&lt;&gt;"")*(실물목록!$O$2:$O$1001=H1559))&gt;0,"실물 있음",IF(SUMPRODUCT((실물목록!$P$2:$P$1001&lt;&gt;"")*ISNUMBER(SEARCH(실물목록!$P$2:$P$1001,I1559))*(실물목록!$R$2:$R$1001&lt;&gt;""))&gt;0,"확인필요(입력누락)",IF(SUMPRODUCT((실물목록!$P$2:$P$1001&lt;&gt;"")*ISNUMBER(SEARCH(실물목록!$P$2:$P$1001,I1559))*(실물목록!$Q$2:$Q$1001&lt;&gt;"")*ISNUMBER(SEARCH(실물목록!$Q$2:$Q$1001,I1559))*(실물목록!$R$2:$R$1001="")*(실물목록!$O$2:$O$1001&lt;&gt;""))&gt;0,"확인필요(연도다름)","실물 없음")))))</f>
      </c>
      <c r="G1559" t="n" s="16">
        <f aca="0">IF(B1559="","",SUMPRODUCT((실물목록!$P$2:$P$1001&lt;&gt;"")*ISNUMBER(SEARCH(실물목록!$P$2:$P$1001,I1559))*(실물목록!$Q$2:$Q$1001&lt;&gt;"")*ISNUMBER(SEARCH(실물목록!$Q$2:$Q$1001,I1559))*(실물목록!$R$2:$R$1001="")*(실물목록!$O$2:$O$1001&lt;&gt;"")*(실물목록!$O$2:$O$1001=H1559)))</f>
      </c>
      <c r="H1559" t="str">
        <f>IFERROR(IF(AND(LEN(SUBSTITUTE(SUBSTITUTE(SUBSTITUTE(TRIM(A1559&amp;""),CHAR(160),"")," ",""),"년",""))=4,VALUE(SUBSTITUTE(SUBSTITUTE(SUBSTITUTE(TRIM(A1559&amp;""),CHAR(160),"")," ",""),"년",""))&gt;=1900,VALUE(SUBSTITUTE(SUBSTITUTE(SUBSTITUTE(TRIM(A1559&amp;""),CHAR(160),"")," ",""),"년",""))&lt;=2099,TEXT(VALUE(SUBSTITUTE(SUBSTITUTE(SUBSTITUTE(TRIM(A1559&amp;""),CHAR(160),"")," ",""),"년","")),"0000")=SUBSTITUTE(SUBSTITUTE(SUBSTITUTE(TRIM(A1559&amp;""),CHAR(160),"")," ",""),"년","")),SUBSTITUTE(SUBSTITUTE(SUBSTITUTE(TRIM(A1559&amp;""),CHAR(160),"")," ",""),"년",""),""),"")</f>
      </c>
      <c r="I1559" t="str">
        <f>SUBSTITUTE(SUBSTITUTE(SUBSTITUTE(SUBSTITUTE(SUBSTITUTE(TRIM(B1559&amp;""),CHAR(160),"")," ",""),"초등학교","초"),"중학교","중"),"고등학교","고")</f>
      </c>
    </row>
    <row r="1560" customFormat="false" ht="15" hidden="false" customHeight="false" outlineLevel="0" collapsed="false">
      <c r="A1560" s="8"/>
      <c r="B1560" s="8"/>
      <c r="C1560" s="8"/>
      <c r="D1560" s="8"/>
      <c r="E1560" s="8"/>
      <c r="F1560" t="str" s="15">
        <f aca="0">IF(B1560="","",IF(H1560="","확인필요(입력누락)",IF(SUMPRODUCT((실물목록!$P$2:$P$1001&lt;&gt;"")*ISNUMBER(SEARCH(실물목록!$P$2:$P$1001,I1560))*(실물목록!$Q$2:$Q$1001&lt;&gt;"")*ISNUMBER(SEARCH(실물목록!$Q$2:$Q$1001,I1560))*(실물목록!$R$2:$R$1001="")*(실물목록!$O$2:$O$1001&lt;&gt;"")*(실물목록!$O$2:$O$1001=H1560))&gt;0,"실물 있음",IF(SUMPRODUCT((실물목록!$P$2:$P$1001&lt;&gt;"")*ISNUMBER(SEARCH(실물목록!$P$2:$P$1001,I1560))*(실물목록!$R$2:$R$1001&lt;&gt;""))&gt;0,"확인필요(입력누락)",IF(SUMPRODUCT((실물목록!$P$2:$P$1001&lt;&gt;"")*ISNUMBER(SEARCH(실물목록!$P$2:$P$1001,I1560))*(실물목록!$Q$2:$Q$1001&lt;&gt;"")*ISNUMBER(SEARCH(실물목록!$Q$2:$Q$1001,I1560))*(실물목록!$R$2:$R$1001="")*(실물목록!$O$2:$O$1001&lt;&gt;""))&gt;0,"확인필요(연도다름)","실물 없음")))))</f>
      </c>
      <c r="G1560" t="n" s="16">
        <f aca="0">IF(B1560="","",SUMPRODUCT((실물목록!$P$2:$P$1001&lt;&gt;"")*ISNUMBER(SEARCH(실물목록!$P$2:$P$1001,I1560))*(실물목록!$Q$2:$Q$1001&lt;&gt;"")*ISNUMBER(SEARCH(실물목록!$Q$2:$Q$1001,I1560))*(실물목록!$R$2:$R$1001="")*(실물목록!$O$2:$O$1001&lt;&gt;"")*(실물목록!$O$2:$O$1001=H1560)))</f>
      </c>
      <c r="H1560" t="str">
        <f>IFERROR(IF(AND(LEN(SUBSTITUTE(SUBSTITUTE(SUBSTITUTE(TRIM(A1560&amp;""),CHAR(160),"")," ",""),"년",""))=4,VALUE(SUBSTITUTE(SUBSTITUTE(SUBSTITUTE(TRIM(A1560&amp;""),CHAR(160),"")," ",""),"년",""))&gt;=1900,VALUE(SUBSTITUTE(SUBSTITUTE(SUBSTITUTE(TRIM(A1560&amp;""),CHAR(160),"")," ",""),"년",""))&lt;=2099,TEXT(VALUE(SUBSTITUTE(SUBSTITUTE(SUBSTITUTE(TRIM(A1560&amp;""),CHAR(160),"")," ",""),"년","")),"0000")=SUBSTITUTE(SUBSTITUTE(SUBSTITUTE(TRIM(A1560&amp;""),CHAR(160),"")," ",""),"년","")),SUBSTITUTE(SUBSTITUTE(SUBSTITUTE(TRIM(A1560&amp;""),CHAR(160),"")," ",""),"년",""),""),"")</f>
      </c>
      <c r="I1560" t="str">
        <f>SUBSTITUTE(SUBSTITUTE(SUBSTITUTE(SUBSTITUTE(SUBSTITUTE(TRIM(B1560&amp;""),CHAR(160),"")," ",""),"초등학교","초"),"중학교","중"),"고등학교","고")</f>
      </c>
    </row>
    <row r="1561" customFormat="false" ht="15" hidden="false" customHeight="false" outlineLevel="0" collapsed="false">
      <c r="A1561" s="8"/>
      <c r="B1561" s="8"/>
      <c r="C1561" s="8"/>
      <c r="D1561" s="8"/>
      <c r="E1561" s="8"/>
      <c r="F1561" t="str" s="15">
        <f aca="0">IF(B1561="","",IF(H1561="","확인필요(입력누락)",IF(SUMPRODUCT((실물목록!$P$2:$P$1001&lt;&gt;"")*ISNUMBER(SEARCH(실물목록!$P$2:$P$1001,I1561))*(실물목록!$Q$2:$Q$1001&lt;&gt;"")*ISNUMBER(SEARCH(실물목록!$Q$2:$Q$1001,I1561))*(실물목록!$R$2:$R$1001="")*(실물목록!$O$2:$O$1001&lt;&gt;"")*(실물목록!$O$2:$O$1001=H1561))&gt;0,"실물 있음",IF(SUMPRODUCT((실물목록!$P$2:$P$1001&lt;&gt;"")*ISNUMBER(SEARCH(실물목록!$P$2:$P$1001,I1561))*(실물목록!$R$2:$R$1001&lt;&gt;""))&gt;0,"확인필요(입력누락)",IF(SUMPRODUCT((실물목록!$P$2:$P$1001&lt;&gt;"")*ISNUMBER(SEARCH(실물목록!$P$2:$P$1001,I1561))*(실물목록!$Q$2:$Q$1001&lt;&gt;"")*ISNUMBER(SEARCH(실물목록!$Q$2:$Q$1001,I1561))*(실물목록!$R$2:$R$1001="")*(실물목록!$O$2:$O$1001&lt;&gt;""))&gt;0,"확인필요(연도다름)","실물 없음")))))</f>
      </c>
      <c r="G1561" t="n" s="16">
        <f aca="0">IF(B1561="","",SUMPRODUCT((실물목록!$P$2:$P$1001&lt;&gt;"")*ISNUMBER(SEARCH(실물목록!$P$2:$P$1001,I1561))*(실물목록!$Q$2:$Q$1001&lt;&gt;"")*ISNUMBER(SEARCH(실물목록!$Q$2:$Q$1001,I1561))*(실물목록!$R$2:$R$1001="")*(실물목록!$O$2:$O$1001&lt;&gt;"")*(실물목록!$O$2:$O$1001=H1561)))</f>
      </c>
      <c r="H1561" t="str">
        <f>IFERROR(IF(AND(LEN(SUBSTITUTE(SUBSTITUTE(SUBSTITUTE(TRIM(A1561&amp;""),CHAR(160),"")," ",""),"년",""))=4,VALUE(SUBSTITUTE(SUBSTITUTE(SUBSTITUTE(TRIM(A1561&amp;""),CHAR(160),"")," ",""),"년",""))&gt;=1900,VALUE(SUBSTITUTE(SUBSTITUTE(SUBSTITUTE(TRIM(A1561&amp;""),CHAR(160),"")," ",""),"년",""))&lt;=2099,TEXT(VALUE(SUBSTITUTE(SUBSTITUTE(SUBSTITUTE(TRIM(A1561&amp;""),CHAR(160),"")," ",""),"년","")),"0000")=SUBSTITUTE(SUBSTITUTE(SUBSTITUTE(TRIM(A1561&amp;""),CHAR(160),"")," ",""),"년","")),SUBSTITUTE(SUBSTITUTE(SUBSTITUTE(TRIM(A1561&amp;""),CHAR(160),"")," ",""),"년",""),""),"")</f>
      </c>
      <c r="I1561" t="str">
        <f>SUBSTITUTE(SUBSTITUTE(SUBSTITUTE(SUBSTITUTE(SUBSTITUTE(TRIM(B1561&amp;""),CHAR(160),"")," ",""),"초등학교","초"),"중학교","중"),"고등학교","고")</f>
      </c>
    </row>
    <row r="1562" customFormat="false" ht="15" hidden="false" customHeight="false" outlineLevel="0" collapsed="false">
      <c r="A1562" s="8"/>
      <c r="B1562" s="8"/>
      <c r="C1562" s="8"/>
      <c r="D1562" s="8"/>
      <c r="E1562" s="8"/>
      <c r="F1562" t="str" s="15">
        <f aca="0">IF(B1562="","",IF(H1562="","확인필요(입력누락)",IF(SUMPRODUCT((실물목록!$P$2:$P$1001&lt;&gt;"")*ISNUMBER(SEARCH(실물목록!$P$2:$P$1001,I1562))*(실물목록!$Q$2:$Q$1001&lt;&gt;"")*ISNUMBER(SEARCH(실물목록!$Q$2:$Q$1001,I1562))*(실물목록!$R$2:$R$1001="")*(실물목록!$O$2:$O$1001&lt;&gt;"")*(실물목록!$O$2:$O$1001=H1562))&gt;0,"실물 있음",IF(SUMPRODUCT((실물목록!$P$2:$P$1001&lt;&gt;"")*ISNUMBER(SEARCH(실물목록!$P$2:$P$1001,I1562))*(실물목록!$R$2:$R$1001&lt;&gt;""))&gt;0,"확인필요(입력누락)",IF(SUMPRODUCT((실물목록!$P$2:$P$1001&lt;&gt;"")*ISNUMBER(SEARCH(실물목록!$P$2:$P$1001,I1562))*(실물목록!$Q$2:$Q$1001&lt;&gt;"")*ISNUMBER(SEARCH(실물목록!$Q$2:$Q$1001,I1562))*(실물목록!$R$2:$R$1001="")*(실물목록!$O$2:$O$1001&lt;&gt;""))&gt;0,"확인필요(연도다름)","실물 없음")))))</f>
      </c>
      <c r="G1562" t="n" s="16">
        <f aca="0">IF(B1562="","",SUMPRODUCT((실물목록!$P$2:$P$1001&lt;&gt;"")*ISNUMBER(SEARCH(실물목록!$P$2:$P$1001,I1562))*(실물목록!$Q$2:$Q$1001&lt;&gt;"")*ISNUMBER(SEARCH(실물목록!$Q$2:$Q$1001,I1562))*(실물목록!$R$2:$R$1001="")*(실물목록!$O$2:$O$1001&lt;&gt;"")*(실물목록!$O$2:$O$1001=H1562)))</f>
      </c>
      <c r="H1562" t="str">
        <f>IFERROR(IF(AND(LEN(SUBSTITUTE(SUBSTITUTE(SUBSTITUTE(TRIM(A1562&amp;""),CHAR(160),"")," ",""),"년",""))=4,VALUE(SUBSTITUTE(SUBSTITUTE(SUBSTITUTE(TRIM(A1562&amp;""),CHAR(160),"")," ",""),"년",""))&gt;=1900,VALUE(SUBSTITUTE(SUBSTITUTE(SUBSTITUTE(TRIM(A1562&amp;""),CHAR(160),"")," ",""),"년",""))&lt;=2099,TEXT(VALUE(SUBSTITUTE(SUBSTITUTE(SUBSTITUTE(TRIM(A1562&amp;""),CHAR(160),"")," ",""),"년","")),"0000")=SUBSTITUTE(SUBSTITUTE(SUBSTITUTE(TRIM(A1562&amp;""),CHAR(160),"")," ",""),"년","")),SUBSTITUTE(SUBSTITUTE(SUBSTITUTE(TRIM(A1562&amp;""),CHAR(160),"")," ",""),"년",""),""),"")</f>
      </c>
      <c r="I1562" t="str">
        <f>SUBSTITUTE(SUBSTITUTE(SUBSTITUTE(SUBSTITUTE(SUBSTITUTE(TRIM(B1562&amp;""),CHAR(160),"")," ",""),"초등학교","초"),"중학교","중"),"고등학교","고")</f>
      </c>
    </row>
    <row r="1563" customFormat="false" ht="15" hidden="false" customHeight="false" outlineLevel="0" collapsed="false">
      <c r="A1563" s="8"/>
      <c r="B1563" s="8"/>
      <c r="C1563" s="8"/>
      <c r="D1563" s="8"/>
      <c r="E1563" s="8"/>
      <c r="F1563" t="str" s="15">
        <f aca="0">IF(B1563="","",IF(H1563="","확인필요(입력누락)",IF(SUMPRODUCT((실물목록!$P$2:$P$1001&lt;&gt;"")*ISNUMBER(SEARCH(실물목록!$P$2:$P$1001,I1563))*(실물목록!$Q$2:$Q$1001&lt;&gt;"")*ISNUMBER(SEARCH(실물목록!$Q$2:$Q$1001,I1563))*(실물목록!$R$2:$R$1001="")*(실물목록!$O$2:$O$1001&lt;&gt;"")*(실물목록!$O$2:$O$1001=H1563))&gt;0,"실물 있음",IF(SUMPRODUCT((실물목록!$P$2:$P$1001&lt;&gt;"")*ISNUMBER(SEARCH(실물목록!$P$2:$P$1001,I1563))*(실물목록!$R$2:$R$1001&lt;&gt;""))&gt;0,"확인필요(입력누락)",IF(SUMPRODUCT((실물목록!$P$2:$P$1001&lt;&gt;"")*ISNUMBER(SEARCH(실물목록!$P$2:$P$1001,I1563))*(실물목록!$Q$2:$Q$1001&lt;&gt;"")*ISNUMBER(SEARCH(실물목록!$Q$2:$Q$1001,I1563))*(실물목록!$R$2:$R$1001="")*(실물목록!$O$2:$O$1001&lt;&gt;""))&gt;0,"확인필요(연도다름)","실물 없음")))))</f>
      </c>
      <c r="G1563" t="n" s="16">
        <f aca="0">IF(B1563="","",SUMPRODUCT((실물목록!$P$2:$P$1001&lt;&gt;"")*ISNUMBER(SEARCH(실물목록!$P$2:$P$1001,I1563))*(실물목록!$Q$2:$Q$1001&lt;&gt;"")*ISNUMBER(SEARCH(실물목록!$Q$2:$Q$1001,I1563))*(실물목록!$R$2:$R$1001="")*(실물목록!$O$2:$O$1001&lt;&gt;"")*(실물목록!$O$2:$O$1001=H1563)))</f>
      </c>
      <c r="H1563" t="str">
        <f>IFERROR(IF(AND(LEN(SUBSTITUTE(SUBSTITUTE(SUBSTITUTE(TRIM(A1563&amp;""),CHAR(160),"")," ",""),"년",""))=4,VALUE(SUBSTITUTE(SUBSTITUTE(SUBSTITUTE(TRIM(A1563&amp;""),CHAR(160),"")," ",""),"년",""))&gt;=1900,VALUE(SUBSTITUTE(SUBSTITUTE(SUBSTITUTE(TRIM(A1563&amp;""),CHAR(160),"")," ",""),"년",""))&lt;=2099,TEXT(VALUE(SUBSTITUTE(SUBSTITUTE(SUBSTITUTE(TRIM(A1563&amp;""),CHAR(160),"")," ",""),"년","")),"0000")=SUBSTITUTE(SUBSTITUTE(SUBSTITUTE(TRIM(A1563&amp;""),CHAR(160),"")," ",""),"년","")),SUBSTITUTE(SUBSTITUTE(SUBSTITUTE(TRIM(A1563&amp;""),CHAR(160),"")," ",""),"년",""),""),"")</f>
      </c>
      <c r="I1563" t="str">
        <f>SUBSTITUTE(SUBSTITUTE(SUBSTITUTE(SUBSTITUTE(SUBSTITUTE(TRIM(B1563&amp;""),CHAR(160),"")," ",""),"초등학교","초"),"중학교","중"),"고등학교","고")</f>
      </c>
    </row>
    <row r="1564" customFormat="false" ht="15" hidden="false" customHeight="false" outlineLevel="0" collapsed="false">
      <c r="A1564" s="8"/>
      <c r="B1564" s="8"/>
      <c r="C1564" s="8"/>
      <c r="D1564" s="8"/>
      <c r="E1564" s="8"/>
      <c r="F1564" t="str" s="15">
        <f aca="0">IF(B1564="","",IF(H1564="","확인필요(입력누락)",IF(SUMPRODUCT((실물목록!$P$2:$P$1001&lt;&gt;"")*ISNUMBER(SEARCH(실물목록!$P$2:$P$1001,I1564))*(실물목록!$Q$2:$Q$1001&lt;&gt;"")*ISNUMBER(SEARCH(실물목록!$Q$2:$Q$1001,I1564))*(실물목록!$R$2:$R$1001="")*(실물목록!$O$2:$O$1001&lt;&gt;"")*(실물목록!$O$2:$O$1001=H1564))&gt;0,"실물 있음",IF(SUMPRODUCT((실물목록!$P$2:$P$1001&lt;&gt;"")*ISNUMBER(SEARCH(실물목록!$P$2:$P$1001,I1564))*(실물목록!$R$2:$R$1001&lt;&gt;""))&gt;0,"확인필요(입력누락)",IF(SUMPRODUCT((실물목록!$P$2:$P$1001&lt;&gt;"")*ISNUMBER(SEARCH(실물목록!$P$2:$P$1001,I1564))*(실물목록!$Q$2:$Q$1001&lt;&gt;"")*ISNUMBER(SEARCH(실물목록!$Q$2:$Q$1001,I1564))*(실물목록!$R$2:$R$1001="")*(실물목록!$O$2:$O$1001&lt;&gt;""))&gt;0,"확인필요(연도다름)","실물 없음")))))</f>
      </c>
      <c r="G1564" t="n" s="16">
        <f aca="0">IF(B1564="","",SUMPRODUCT((실물목록!$P$2:$P$1001&lt;&gt;"")*ISNUMBER(SEARCH(실물목록!$P$2:$P$1001,I1564))*(실물목록!$Q$2:$Q$1001&lt;&gt;"")*ISNUMBER(SEARCH(실물목록!$Q$2:$Q$1001,I1564))*(실물목록!$R$2:$R$1001="")*(실물목록!$O$2:$O$1001&lt;&gt;"")*(실물목록!$O$2:$O$1001=H1564)))</f>
      </c>
      <c r="H1564" t="str">
        <f>IFERROR(IF(AND(LEN(SUBSTITUTE(SUBSTITUTE(SUBSTITUTE(TRIM(A1564&amp;""),CHAR(160),"")," ",""),"년",""))=4,VALUE(SUBSTITUTE(SUBSTITUTE(SUBSTITUTE(TRIM(A1564&amp;""),CHAR(160),"")," ",""),"년",""))&gt;=1900,VALUE(SUBSTITUTE(SUBSTITUTE(SUBSTITUTE(TRIM(A1564&amp;""),CHAR(160),"")," ",""),"년",""))&lt;=2099,TEXT(VALUE(SUBSTITUTE(SUBSTITUTE(SUBSTITUTE(TRIM(A1564&amp;""),CHAR(160),"")," ",""),"년","")),"0000")=SUBSTITUTE(SUBSTITUTE(SUBSTITUTE(TRIM(A1564&amp;""),CHAR(160),"")," ",""),"년","")),SUBSTITUTE(SUBSTITUTE(SUBSTITUTE(TRIM(A1564&amp;""),CHAR(160),"")," ",""),"년",""),""),"")</f>
      </c>
      <c r="I1564" t="str">
        <f>SUBSTITUTE(SUBSTITUTE(SUBSTITUTE(SUBSTITUTE(SUBSTITUTE(TRIM(B1564&amp;""),CHAR(160),"")," ",""),"초등학교","초"),"중학교","중"),"고등학교","고")</f>
      </c>
    </row>
    <row r="1565" customFormat="false" ht="15" hidden="false" customHeight="false" outlineLevel="0" collapsed="false">
      <c r="A1565" s="8"/>
      <c r="B1565" s="8"/>
      <c r="C1565" s="8"/>
      <c r="D1565" s="8"/>
      <c r="E1565" s="8"/>
      <c r="F1565" t="str" s="15">
        <f aca="0">IF(B1565="","",IF(H1565="","확인필요(입력누락)",IF(SUMPRODUCT((실물목록!$P$2:$P$1001&lt;&gt;"")*ISNUMBER(SEARCH(실물목록!$P$2:$P$1001,I1565))*(실물목록!$Q$2:$Q$1001&lt;&gt;"")*ISNUMBER(SEARCH(실물목록!$Q$2:$Q$1001,I1565))*(실물목록!$R$2:$R$1001="")*(실물목록!$O$2:$O$1001&lt;&gt;"")*(실물목록!$O$2:$O$1001=H1565))&gt;0,"실물 있음",IF(SUMPRODUCT((실물목록!$P$2:$P$1001&lt;&gt;"")*ISNUMBER(SEARCH(실물목록!$P$2:$P$1001,I1565))*(실물목록!$R$2:$R$1001&lt;&gt;""))&gt;0,"확인필요(입력누락)",IF(SUMPRODUCT((실물목록!$P$2:$P$1001&lt;&gt;"")*ISNUMBER(SEARCH(실물목록!$P$2:$P$1001,I1565))*(실물목록!$Q$2:$Q$1001&lt;&gt;"")*ISNUMBER(SEARCH(실물목록!$Q$2:$Q$1001,I1565))*(실물목록!$R$2:$R$1001="")*(실물목록!$O$2:$O$1001&lt;&gt;""))&gt;0,"확인필요(연도다름)","실물 없음")))))</f>
      </c>
      <c r="G1565" t="n" s="16">
        <f aca="0">IF(B1565="","",SUMPRODUCT((실물목록!$P$2:$P$1001&lt;&gt;"")*ISNUMBER(SEARCH(실물목록!$P$2:$P$1001,I1565))*(실물목록!$Q$2:$Q$1001&lt;&gt;"")*ISNUMBER(SEARCH(실물목록!$Q$2:$Q$1001,I1565))*(실물목록!$R$2:$R$1001="")*(실물목록!$O$2:$O$1001&lt;&gt;"")*(실물목록!$O$2:$O$1001=H1565)))</f>
      </c>
      <c r="H1565" t="str">
        <f>IFERROR(IF(AND(LEN(SUBSTITUTE(SUBSTITUTE(SUBSTITUTE(TRIM(A1565&amp;""),CHAR(160),"")," ",""),"년",""))=4,VALUE(SUBSTITUTE(SUBSTITUTE(SUBSTITUTE(TRIM(A1565&amp;""),CHAR(160),"")," ",""),"년",""))&gt;=1900,VALUE(SUBSTITUTE(SUBSTITUTE(SUBSTITUTE(TRIM(A1565&amp;""),CHAR(160),"")," ",""),"년",""))&lt;=2099,TEXT(VALUE(SUBSTITUTE(SUBSTITUTE(SUBSTITUTE(TRIM(A1565&amp;""),CHAR(160),"")," ",""),"년","")),"0000")=SUBSTITUTE(SUBSTITUTE(SUBSTITUTE(TRIM(A1565&amp;""),CHAR(160),"")," ",""),"년","")),SUBSTITUTE(SUBSTITUTE(SUBSTITUTE(TRIM(A1565&amp;""),CHAR(160),"")," ",""),"년",""),""),"")</f>
      </c>
      <c r="I1565" t="str">
        <f>SUBSTITUTE(SUBSTITUTE(SUBSTITUTE(SUBSTITUTE(SUBSTITUTE(TRIM(B1565&amp;""),CHAR(160),"")," ",""),"초등학교","초"),"중학교","중"),"고등학교","고")</f>
      </c>
    </row>
    <row r="1566" customFormat="false" ht="15" hidden="false" customHeight="false" outlineLevel="0" collapsed="false">
      <c r="A1566" s="8"/>
      <c r="B1566" s="8"/>
      <c r="C1566" s="8"/>
      <c r="D1566" s="8"/>
      <c r="E1566" s="8"/>
      <c r="F1566" t="str" s="15">
        <f aca="0">IF(B1566="","",IF(H1566="","확인필요(입력누락)",IF(SUMPRODUCT((실물목록!$P$2:$P$1001&lt;&gt;"")*ISNUMBER(SEARCH(실물목록!$P$2:$P$1001,I1566))*(실물목록!$Q$2:$Q$1001&lt;&gt;"")*ISNUMBER(SEARCH(실물목록!$Q$2:$Q$1001,I1566))*(실물목록!$R$2:$R$1001="")*(실물목록!$O$2:$O$1001&lt;&gt;"")*(실물목록!$O$2:$O$1001=H1566))&gt;0,"실물 있음",IF(SUMPRODUCT((실물목록!$P$2:$P$1001&lt;&gt;"")*ISNUMBER(SEARCH(실물목록!$P$2:$P$1001,I1566))*(실물목록!$R$2:$R$1001&lt;&gt;""))&gt;0,"확인필요(입력누락)",IF(SUMPRODUCT((실물목록!$P$2:$P$1001&lt;&gt;"")*ISNUMBER(SEARCH(실물목록!$P$2:$P$1001,I1566))*(실물목록!$Q$2:$Q$1001&lt;&gt;"")*ISNUMBER(SEARCH(실물목록!$Q$2:$Q$1001,I1566))*(실물목록!$R$2:$R$1001="")*(실물목록!$O$2:$O$1001&lt;&gt;""))&gt;0,"확인필요(연도다름)","실물 없음")))))</f>
      </c>
      <c r="G1566" t="n" s="16">
        <f aca="0">IF(B1566="","",SUMPRODUCT((실물목록!$P$2:$P$1001&lt;&gt;"")*ISNUMBER(SEARCH(실물목록!$P$2:$P$1001,I1566))*(실물목록!$Q$2:$Q$1001&lt;&gt;"")*ISNUMBER(SEARCH(실물목록!$Q$2:$Q$1001,I1566))*(실물목록!$R$2:$R$1001="")*(실물목록!$O$2:$O$1001&lt;&gt;"")*(실물목록!$O$2:$O$1001=H1566)))</f>
      </c>
      <c r="H1566" t="str">
        <f>IFERROR(IF(AND(LEN(SUBSTITUTE(SUBSTITUTE(SUBSTITUTE(TRIM(A1566&amp;""),CHAR(160),"")," ",""),"년",""))=4,VALUE(SUBSTITUTE(SUBSTITUTE(SUBSTITUTE(TRIM(A1566&amp;""),CHAR(160),"")," ",""),"년",""))&gt;=1900,VALUE(SUBSTITUTE(SUBSTITUTE(SUBSTITUTE(TRIM(A1566&amp;""),CHAR(160),"")," ",""),"년",""))&lt;=2099,TEXT(VALUE(SUBSTITUTE(SUBSTITUTE(SUBSTITUTE(TRIM(A1566&amp;""),CHAR(160),"")," ",""),"년","")),"0000")=SUBSTITUTE(SUBSTITUTE(SUBSTITUTE(TRIM(A1566&amp;""),CHAR(160),"")," ",""),"년","")),SUBSTITUTE(SUBSTITUTE(SUBSTITUTE(TRIM(A1566&amp;""),CHAR(160),"")," ",""),"년",""),""),"")</f>
      </c>
      <c r="I1566" t="str">
        <f>SUBSTITUTE(SUBSTITUTE(SUBSTITUTE(SUBSTITUTE(SUBSTITUTE(TRIM(B1566&amp;""),CHAR(160),"")," ",""),"초등학교","초"),"중학교","중"),"고등학교","고")</f>
      </c>
    </row>
    <row r="1567" customFormat="false" ht="15" hidden="false" customHeight="false" outlineLevel="0" collapsed="false">
      <c r="A1567" s="8"/>
      <c r="B1567" s="8"/>
      <c r="C1567" s="8"/>
      <c r="D1567" s="8"/>
      <c r="E1567" s="8"/>
      <c r="F1567" t="str" s="15">
        <f aca="0">IF(B1567="","",IF(H1567="","확인필요(입력누락)",IF(SUMPRODUCT((실물목록!$P$2:$P$1001&lt;&gt;"")*ISNUMBER(SEARCH(실물목록!$P$2:$P$1001,I1567))*(실물목록!$Q$2:$Q$1001&lt;&gt;"")*ISNUMBER(SEARCH(실물목록!$Q$2:$Q$1001,I1567))*(실물목록!$R$2:$R$1001="")*(실물목록!$O$2:$O$1001&lt;&gt;"")*(실물목록!$O$2:$O$1001=H1567))&gt;0,"실물 있음",IF(SUMPRODUCT((실물목록!$P$2:$P$1001&lt;&gt;"")*ISNUMBER(SEARCH(실물목록!$P$2:$P$1001,I1567))*(실물목록!$R$2:$R$1001&lt;&gt;""))&gt;0,"확인필요(입력누락)",IF(SUMPRODUCT((실물목록!$P$2:$P$1001&lt;&gt;"")*ISNUMBER(SEARCH(실물목록!$P$2:$P$1001,I1567))*(실물목록!$Q$2:$Q$1001&lt;&gt;"")*ISNUMBER(SEARCH(실물목록!$Q$2:$Q$1001,I1567))*(실물목록!$R$2:$R$1001="")*(실물목록!$O$2:$O$1001&lt;&gt;""))&gt;0,"확인필요(연도다름)","실물 없음")))))</f>
      </c>
      <c r="G1567" t="n" s="16">
        <f aca="0">IF(B1567="","",SUMPRODUCT((실물목록!$P$2:$P$1001&lt;&gt;"")*ISNUMBER(SEARCH(실물목록!$P$2:$P$1001,I1567))*(실물목록!$Q$2:$Q$1001&lt;&gt;"")*ISNUMBER(SEARCH(실물목록!$Q$2:$Q$1001,I1567))*(실물목록!$R$2:$R$1001="")*(실물목록!$O$2:$O$1001&lt;&gt;"")*(실물목록!$O$2:$O$1001=H1567)))</f>
      </c>
      <c r="H1567" t="str">
        <f>IFERROR(IF(AND(LEN(SUBSTITUTE(SUBSTITUTE(SUBSTITUTE(TRIM(A1567&amp;""),CHAR(160),"")," ",""),"년",""))=4,VALUE(SUBSTITUTE(SUBSTITUTE(SUBSTITUTE(TRIM(A1567&amp;""),CHAR(160),"")," ",""),"년",""))&gt;=1900,VALUE(SUBSTITUTE(SUBSTITUTE(SUBSTITUTE(TRIM(A1567&amp;""),CHAR(160),"")," ",""),"년",""))&lt;=2099,TEXT(VALUE(SUBSTITUTE(SUBSTITUTE(SUBSTITUTE(TRIM(A1567&amp;""),CHAR(160),"")," ",""),"년","")),"0000")=SUBSTITUTE(SUBSTITUTE(SUBSTITUTE(TRIM(A1567&amp;""),CHAR(160),"")," ",""),"년","")),SUBSTITUTE(SUBSTITUTE(SUBSTITUTE(TRIM(A1567&amp;""),CHAR(160),"")," ",""),"년",""),""),"")</f>
      </c>
      <c r="I1567" t="str">
        <f>SUBSTITUTE(SUBSTITUTE(SUBSTITUTE(SUBSTITUTE(SUBSTITUTE(TRIM(B1567&amp;""),CHAR(160),"")," ",""),"초등학교","초"),"중학교","중"),"고등학교","고")</f>
      </c>
    </row>
    <row r="1568" customFormat="false" ht="15" hidden="false" customHeight="false" outlineLevel="0" collapsed="false">
      <c r="A1568" s="8"/>
      <c r="B1568" s="8"/>
      <c r="C1568" s="8"/>
      <c r="D1568" s="8"/>
      <c r="E1568" s="8"/>
      <c r="F1568" t="str" s="15">
        <f aca="0">IF(B1568="","",IF(H1568="","확인필요(입력누락)",IF(SUMPRODUCT((실물목록!$P$2:$P$1001&lt;&gt;"")*ISNUMBER(SEARCH(실물목록!$P$2:$P$1001,I1568))*(실물목록!$Q$2:$Q$1001&lt;&gt;"")*ISNUMBER(SEARCH(실물목록!$Q$2:$Q$1001,I1568))*(실물목록!$R$2:$R$1001="")*(실물목록!$O$2:$O$1001&lt;&gt;"")*(실물목록!$O$2:$O$1001=H1568))&gt;0,"실물 있음",IF(SUMPRODUCT((실물목록!$P$2:$P$1001&lt;&gt;"")*ISNUMBER(SEARCH(실물목록!$P$2:$P$1001,I1568))*(실물목록!$R$2:$R$1001&lt;&gt;""))&gt;0,"확인필요(입력누락)",IF(SUMPRODUCT((실물목록!$P$2:$P$1001&lt;&gt;"")*ISNUMBER(SEARCH(실물목록!$P$2:$P$1001,I1568))*(실물목록!$Q$2:$Q$1001&lt;&gt;"")*ISNUMBER(SEARCH(실물목록!$Q$2:$Q$1001,I1568))*(실물목록!$R$2:$R$1001="")*(실물목록!$O$2:$O$1001&lt;&gt;""))&gt;0,"확인필요(연도다름)","실물 없음")))))</f>
      </c>
      <c r="G1568" t="n" s="16">
        <f aca="0">IF(B1568="","",SUMPRODUCT((실물목록!$P$2:$P$1001&lt;&gt;"")*ISNUMBER(SEARCH(실물목록!$P$2:$P$1001,I1568))*(실물목록!$Q$2:$Q$1001&lt;&gt;"")*ISNUMBER(SEARCH(실물목록!$Q$2:$Q$1001,I1568))*(실물목록!$R$2:$R$1001="")*(실물목록!$O$2:$O$1001&lt;&gt;"")*(실물목록!$O$2:$O$1001=H1568)))</f>
      </c>
      <c r="H1568" t="str">
        <f>IFERROR(IF(AND(LEN(SUBSTITUTE(SUBSTITUTE(SUBSTITUTE(TRIM(A1568&amp;""),CHAR(160),"")," ",""),"년",""))=4,VALUE(SUBSTITUTE(SUBSTITUTE(SUBSTITUTE(TRIM(A1568&amp;""),CHAR(160),"")," ",""),"년",""))&gt;=1900,VALUE(SUBSTITUTE(SUBSTITUTE(SUBSTITUTE(TRIM(A1568&amp;""),CHAR(160),"")," ",""),"년",""))&lt;=2099,TEXT(VALUE(SUBSTITUTE(SUBSTITUTE(SUBSTITUTE(TRIM(A1568&amp;""),CHAR(160),"")," ",""),"년","")),"0000")=SUBSTITUTE(SUBSTITUTE(SUBSTITUTE(TRIM(A1568&amp;""),CHAR(160),"")," ",""),"년","")),SUBSTITUTE(SUBSTITUTE(SUBSTITUTE(TRIM(A1568&amp;""),CHAR(160),"")," ",""),"년",""),""),"")</f>
      </c>
      <c r="I1568" t="str">
        <f>SUBSTITUTE(SUBSTITUTE(SUBSTITUTE(SUBSTITUTE(SUBSTITUTE(TRIM(B1568&amp;""),CHAR(160),"")," ",""),"초등학교","초"),"중학교","중"),"고등학교","고")</f>
      </c>
    </row>
    <row r="1569" customFormat="false" ht="15" hidden="false" customHeight="false" outlineLevel="0" collapsed="false">
      <c r="A1569" s="8"/>
      <c r="B1569" s="8"/>
      <c r="C1569" s="8"/>
      <c r="D1569" s="8"/>
      <c r="E1569" s="8"/>
      <c r="F1569" t="str" s="15">
        <f aca="0">IF(B1569="","",IF(H1569="","확인필요(입력누락)",IF(SUMPRODUCT((실물목록!$P$2:$P$1001&lt;&gt;"")*ISNUMBER(SEARCH(실물목록!$P$2:$P$1001,I1569))*(실물목록!$Q$2:$Q$1001&lt;&gt;"")*ISNUMBER(SEARCH(실물목록!$Q$2:$Q$1001,I1569))*(실물목록!$R$2:$R$1001="")*(실물목록!$O$2:$O$1001&lt;&gt;"")*(실물목록!$O$2:$O$1001=H1569))&gt;0,"실물 있음",IF(SUMPRODUCT((실물목록!$P$2:$P$1001&lt;&gt;"")*ISNUMBER(SEARCH(실물목록!$P$2:$P$1001,I1569))*(실물목록!$R$2:$R$1001&lt;&gt;""))&gt;0,"확인필요(입력누락)",IF(SUMPRODUCT((실물목록!$P$2:$P$1001&lt;&gt;"")*ISNUMBER(SEARCH(실물목록!$P$2:$P$1001,I1569))*(실물목록!$Q$2:$Q$1001&lt;&gt;"")*ISNUMBER(SEARCH(실물목록!$Q$2:$Q$1001,I1569))*(실물목록!$R$2:$R$1001="")*(실물목록!$O$2:$O$1001&lt;&gt;""))&gt;0,"확인필요(연도다름)","실물 없음")))))</f>
      </c>
      <c r="G1569" t="n" s="16">
        <f aca="0">IF(B1569="","",SUMPRODUCT((실물목록!$P$2:$P$1001&lt;&gt;"")*ISNUMBER(SEARCH(실물목록!$P$2:$P$1001,I1569))*(실물목록!$Q$2:$Q$1001&lt;&gt;"")*ISNUMBER(SEARCH(실물목록!$Q$2:$Q$1001,I1569))*(실물목록!$R$2:$R$1001="")*(실물목록!$O$2:$O$1001&lt;&gt;"")*(실물목록!$O$2:$O$1001=H1569)))</f>
      </c>
      <c r="H1569" t="str">
        <f>IFERROR(IF(AND(LEN(SUBSTITUTE(SUBSTITUTE(SUBSTITUTE(TRIM(A1569&amp;""),CHAR(160),"")," ",""),"년",""))=4,VALUE(SUBSTITUTE(SUBSTITUTE(SUBSTITUTE(TRIM(A1569&amp;""),CHAR(160),"")," ",""),"년",""))&gt;=1900,VALUE(SUBSTITUTE(SUBSTITUTE(SUBSTITUTE(TRIM(A1569&amp;""),CHAR(160),"")," ",""),"년",""))&lt;=2099,TEXT(VALUE(SUBSTITUTE(SUBSTITUTE(SUBSTITUTE(TRIM(A1569&amp;""),CHAR(160),"")," ",""),"년","")),"0000")=SUBSTITUTE(SUBSTITUTE(SUBSTITUTE(TRIM(A1569&amp;""),CHAR(160),"")," ",""),"년","")),SUBSTITUTE(SUBSTITUTE(SUBSTITUTE(TRIM(A1569&amp;""),CHAR(160),"")," ",""),"년",""),""),"")</f>
      </c>
      <c r="I1569" t="str">
        <f>SUBSTITUTE(SUBSTITUTE(SUBSTITUTE(SUBSTITUTE(SUBSTITUTE(TRIM(B1569&amp;""),CHAR(160),"")," ",""),"초등학교","초"),"중학교","중"),"고등학교","고")</f>
      </c>
    </row>
    <row r="1570" customFormat="false" ht="15" hidden="false" customHeight="false" outlineLevel="0" collapsed="false">
      <c r="A1570" s="8"/>
      <c r="B1570" s="8"/>
      <c r="C1570" s="8"/>
      <c r="D1570" s="8"/>
      <c r="E1570" s="8"/>
      <c r="F1570" t="str" s="15">
        <f aca="0">IF(B1570="","",IF(H1570="","확인필요(입력누락)",IF(SUMPRODUCT((실물목록!$P$2:$P$1001&lt;&gt;"")*ISNUMBER(SEARCH(실물목록!$P$2:$P$1001,I1570))*(실물목록!$Q$2:$Q$1001&lt;&gt;"")*ISNUMBER(SEARCH(실물목록!$Q$2:$Q$1001,I1570))*(실물목록!$R$2:$R$1001="")*(실물목록!$O$2:$O$1001&lt;&gt;"")*(실물목록!$O$2:$O$1001=H1570))&gt;0,"실물 있음",IF(SUMPRODUCT((실물목록!$P$2:$P$1001&lt;&gt;"")*ISNUMBER(SEARCH(실물목록!$P$2:$P$1001,I1570))*(실물목록!$R$2:$R$1001&lt;&gt;""))&gt;0,"확인필요(입력누락)",IF(SUMPRODUCT((실물목록!$P$2:$P$1001&lt;&gt;"")*ISNUMBER(SEARCH(실물목록!$P$2:$P$1001,I1570))*(실물목록!$Q$2:$Q$1001&lt;&gt;"")*ISNUMBER(SEARCH(실물목록!$Q$2:$Q$1001,I1570))*(실물목록!$R$2:$R$1001="")*(실물목록!$O$2:$O$1001&lt;&gt;""))&gt;0,"확인필요(연도다름)","실물 없음")))))</f>
      </c>
      <c r="G1570" t="n" s="16">
        <f aca="0">IF(B1570="","",SUMPRODUCT((실물목록!$P$2:$P$1001&lt;&gt;"")*ISNUMBER(SEARCH(실물목록!$P$2:$P$1001,I1570))*(실물목록!$Q$2:$Q$1001&lt;&gt;"")*ISNUMBER(SEARCH(실물목록!$Q$2:$Q$1001,I1570))*(실물목록!$R$2:$R$1001="")*(실물목록!$O$2:$O$1001&lt;&gt;"")*(실물목록!$O$2:$O$1001=H1570)))</f>
      </c>
      <c r="H1570" t="str">
        <f>IFERROR(IF(AND(LEN(SUBSTITUTE(SUBSTITUTE(SUBSTITUTE(TRIM(A1570&amp;""),CHAR(160),"")," ",""),"년",""))=4,VALUE(SUBSTITUTE(SUBSTITUTE(SUBSTITUTE(TRIM(A1570&amp;""),CHAR(160),"")," ",""),"년",""))&gt;=1900,VALUE(SUBSTITUTE(SUBSTITUTE(SUBSTITUTE(TRIM(A1570&amp;""),CHAR(160),"")," ",""),"년",""))&lt;=2099,TEXT(VALUE(SUBSTITUTE(SUBSTITUTE(SUBSTITUTE(TRIM(A1570&amp;""),CHAR(160),"")," ",""),"년","")),"0000")=SUBSTITUTE(SUBSTITUTE(SUBSTITUTE(TRIM(A1570&amp;""),CHAR(160),"")," ",""),"년","")),SUBSTITUTE(SUBSTITUTE(SUBSTITUTE(TRIM(A1570&amp;""),CHAR(160),"")," ",""),"년",""),""),"")</f>
      </c>
      <c r="I1570" t="str">
        <f>SUBSTITUTE(SUBSTITUTE(SUBSTITUTE(SUBSTITUTE(SUBSTITUTE(TRIM(B1570&amp;""),CHAR(160),"")," ",""),"초등학교","초"),"중학교","중"),"고등학교","고")</f>
      </c>
    </row>
    <row r="1571" customFormat="false" ht="15" hidden="false" customHeight="false" outlineLevel="0" collapsed="false">
      <c r="A1571" s="8"/>
      <c r="B1571" s="8"/>
      <c r="C1571" s="8"/>
      <c r="D1571" s="8"/>
      <c r="E1571" s="8"/>
      <c r="F1571" t="str" s="15">
        <f aca="0">IF(B1571="","",IF(H1571="","확인필요(입력누락)",IF(SUMPRODUCT((실물목록!$P$2:$P$1001&lt;&gt;"")*ISNUMBER(SEARCH(실물목록!$P$2:$P$1001,I1571))*(실물목록!$Q$2:$Q$1001&lt;&gt;"")*ISNUMBER(SEARCH(실물목록!$Q$2:$Q$1001,I1571))*(실물목록!$R$2:$R$1001="")*(실물목록!$O$2:$O$1001&lt;&gt;"")*(실물목록!$O$2:$O$1001=H1571))&gt;0,"실물 있음",IF(SUMPRODUCT((실물목록!$P$2:$P$1001&lt;&gt;"")*ISNUMBER(SEARCH(실물목록!$P$2:$P$1001,I1571))*(실물목록!$R$2:$R$1001&lt;&gt;""))&gt;0,"확인필요(입력누락)",IF(SUMPRODUCT((실물목록!$P$2:$P$1001&lt;&gt;"")*ISNUMBER(SEARCH(실물목록!$P$2:$P$1001,I1571))*(실물목록!$Q$2:$Q$1001&lt;&gt;"")*ISNUMBER(SEARCH(실물목록!$Q$2:$Q$1001,I1571))*(실물목록!$R$2:$R$1001="")*(실물목록!$O$2:$O$1001&lt;&gt;""))&gt;0,"확인필요(연도다름)","실물 없음")))))</f>
      </c>
      <c r="G1571" t="n" s="16">
        <f aca="0">IF(B1571="","",SUMPRODUCT((실물목록!$P$2:$P$1001&lt;&gt;"")*ISNUMBER(SEARCH(실물목록!$P$2:$P$1001,I1571))*(실물목록!$Q$2:$Q$1001&lt;&gt;"")*ISNUMBER(SEARCH(실물목록!$Q$2:$Q$1001,I1571))*(실물목록!$R$2:$R$1001="")*(실물목록!$O$2:$O$1001&lt;&gt;"")*(실물목록!$O$2:$O$1001=H1571)))</f>
      </c>
      <c r="H1571" t="str">
        <f>IFERROR(IF(AND(LEN(SUBSTITUTE(SUBSTITUTE(SUBSTITUTE(TRIM(A1571&amp;""),CHAR(160),"")," ",""),"년",""))=4,VALUE(SUBSTITUTE(SUBSTITUTE(SUBSTITUTE(TRIM(A1571&amp;""),CHAR(160),"")," ",""),"년",""))&gt;=1900,VALUE(SUBSTITUTE(SUBSTITUTE(SUBSTITUTE(TRIM(A1571&amp;""),CHAR(160),"")," ",""),"년",""))&lt;=2099,TEXT(VALUE(SUBSTITUTE(SUBSTITUTE(SUBSTITUTE(TRIM(A1571&amp;""),CHAR(160),"")," ",""),"년","")),"0000")=SUBSTITUTE(SUBSTITUTE(SUBSTITUTE(TRIM(A1571&amp;""),CHAR(160),"")," ",""),"년","")),SUBSTITUTE(SUBSTITUTE(SUBSTITUTE(TRIM(A1571&amp;""),CHAR(160),"")," ",""),"년",""),""),"")</f>
      </c>
      <c r="I1571" t="str">
        <f>SUBSTITUTE(SUBSTITUTE(SUBSTITUTE(SUBSTITUTE(SUBSTITUTE(TRIM(B1571&amp;""),CHAR(160),"")," ",""),"초등학교","초"),"중학교","중"),"고등학교","고")</f>
      </c>
    </row>
    <row r="1572" customFormat="false" ht="15" hidden="false" customHeight="false" outlineLevel="0" collapsed="false">
      <c r="A1572" s="8"/>
      <c r="B1572" s="8"/>
      <c r="C1572" s="8"/>
      <c r="D1572" s="8"/>
      <c r="E1572" s="8"/>
      <c r="F1572" t="str" s="15">
        <f aca="0">IF(B1572="","",IF(H1572="","확인필요(입력누락)",IF(SUMPRODUCT((실물목록!$P$2:$P$1001&lt;&gt;"")*ISNUMBER(SEARCH(실물목록!$P$2:$P$1001,I1572))*(실물목록!$Q$2:$Q$1001&lt;&gt;"")*ISNUMBER(SEARCH(실물목록!$Q$2:$Q$1001,I1572))*(실물목록!$R$2:$R$1001="")*(실물목록!$O$2:$O$1001&lt;&gt;"")*(실물목록!$O$2:$O$1001=H1572))&gt;0,"실물 있음",IF(SUMPRODUCT((실물목록!$P$2:$P$1001&lt;&gt;"")*ISNUMBER(SEARCH(실물목록!$P$2:$P$1001,I1572))*(실물목록!$R$2:$R$1001&lt;&gt;""))&gt;0,"확인필요(입력누락)",IF(SUMPRODUCT((실물목록!$P$2:$P$1001&lt;&gt;"")*ISNUMBER(SEARCH(실물목록!$P$2:$P$1001,I1572))*(실물목록!$Q$2:$Q$1001&lt;&gt;"")*ISNUMBER(SEARCH(실물목록!$Q$2:$Q$1001,I1572))*(실물목록!$R$2:$R$1001="")*(실물목록!$O$2:$O$1001&lt;&gt;""))&gt;0,"확인필요(연도다름)","실물 없음")))))</f>
      </c>
      <c r="G1572" t="n" s="16">
        <f aca="0">IF(B1572="","",SUMPRODUCT((실물목록!$P$2:$P$1001&lt;&gt;"")*ISNUMBER(SEARCH(실물목록!$P$2:$P$1001,I1572))*(실물목록!$Q$2:$Q$1001&lt;&gt;"")*ISNUMBER(SEARCH(실물목록!$Q$2:$Q$1001,I1572))*(실물목록!$R$2:$R$1001="")*(실물목록!$O$2:$O$1001&lt;&gt;"")*(실물목록!$O$2:$O$1001=H1572)))</f>
      </c>
      <c r="H1572" t="str">
        <f>IFERROR(IF(AND(LEN(SUBSTITUTE(SUBSTITUTE(SUBSTITUTE(TRIM(A1572&amp;""),CHAR(160),"")," ",""),"년",""))=4,VALUE(SUBSTITUTE(SUBSTITUTE(SUBSTITUTE(TRIM(A1572&amp;""),CHAR(160),"")," ",""),"년",""))&gt;=1900,VALUE(SUBSTITUTE(SUBSTITUTE(SUBSTITUTE(TRIM(A1572&amp;""),CHAR(160),"")," ",""),"년",""))&lt;=2099,TEXT(VALUE(SUBSTITUTE(SUBSTITUTE(SUBSTITUTE(TRIM(A1572&amp;""),CHAR(160),"")," ",""),"년","")),"0000")=SUBSTITUTE(SUBSTITUTE(SUBSTITUTE(TRIM(A1572&amp;""),CHAR(160),"")," ",""),"년","")),SUBSTITUTE(SUBSTITUTE(SUBSTITUTE(TRIM(A1572&amp;""),CHAR(160),"")," ",""),"년",""),""),"")</f>
      </c>
      <c r="I1572" t="str">
        <f>SUBSTITUTE(SUBSTITUTE(SUBSTITUTE(SUBSTITUTE(SUBSTITUTE(TRIM(B1572&amp;""),CHAR(160),"")," ",""),"초등학교","초"),"중학교","중"),"고등학교","고")</f>
      </c>
    </row>
    <row r="1573" customFormat="false" ht="15" hidden="false" customHeight="false" outlineLevel="0" collapsed="false">
      <c r="A1573" s="8"/>
      <c r="B1573" s="8"/>
      <c r="C1573" s="8"/>
      <c r="D1573" s="8"/>
      <c r="E1573" s="8"/>
      <c r="F1573" t="str" s="15">
        <f aca="0">IF(B1573="","",IF(H1573="","확인필요(입력누락)",IF(SUMPRODUCT((실물목록!$P$2:$P$1001&lt;&gt;"")*ISNUMBER(SEARCH(실물목록!$P$2:$P$1001,I1573))*(실물목록!$Q$2:$Q$1001&lt;&gt;"")*ISNUMBER(SEARCH(실물목록!$Q$2:$Q$1001,I1573))*(실물목록!$R$2:$R$1001="")*(실물목록!$O$2:$O$1001&lt;&gt;"")*(실물목록!$O$2:$O$1001=H1573))&gt;0,"실물 있음",IF(SUMPRODUCT((실물목록!$P$2:$P$1001&lt;&gt;"")*ISNUMBER(SEARCH(실물목록!$P$2:$P$1001,I1573))*(실물목록!$R$2:$R$1001&lt;&gt;""))&gt;0,"확인필요(입력누락)",IF(SUMPRODUCT((실물목록!$P$2:$P$1001&lt;&gt;"")*ISNUMBER(SEARCH(실물목록!$P$2:$P$1001,I1573))*(실물목록!$Q$2:$Q$1001&lt;&gt;"")*ISNUMBER(SEARCH(실물목록!$Q$2:$Q$1001,I1573))*(실물목록!$R$2:$R$1001="")*(실물목록!$O$2:$O$1001&lt;&gt;""))&gt;0,"확인필요(연도다름)","실물 없음")))))</f>
      </c>
      <c r="G1573" t="n" s="16">
        <f aca="0">IF(B1573="","",SUMPRODUCT((실물목록!$P$2:$P$1001&lt;&gt;"")*ISNUMBER(SEARCH(실물목록!$P$2:$P$1001,I1573))*(실물목록!$Q$2:$Q$1001&lt;&gt;"")*ISNUMBER(SEARCH(실물목록!$Q$2:$Q$1001,I1573))*(실물목록!$R$2:$R$1001="")*(실물목록!$O$2:$O$1001&lt;&gt;"")*(실물목록!$O$2:$O$1001=H1573)))</f>
      </c>
      <c r="H1573" t="str">
        <f>IFERROR(IF(AND(LEN(SUBSTITUTE(SUBSTITUTE(SUBSTITUTE(TRIM(A1573&amp;""),CHAR(160),"")," ",""),"년",""))=4,VALUE(SUBSTITUTE(SUBSTITUTE(SUBSTITUTE(TRIM(A1573&amp;""),CHAR(160),"")," ",""),"년",""))&gt;=1900,VALUE(SUBSTITUTE(SUBSTITUTE(SUBSTITUTE(TRIM(A1573&amp;""),CHAR(160),"")," ",""),"년",""))&lt;=2099,TEXT(VALUE(SUBSTITUTE(SUBSTITUTE(SUBSTITUTE(TRIM(A1573&amp;""),CHAR(160),"")," ",""),"년","")),"0000")=SUBSTITUTE(SUBSTITUTE(SUBSTITUTE(TRIM(A1573&amp;""),CHAR(160),"")," ",""),"년","")),SUBSTITUTE(SUBSTITUTE(SUBSTITUTE(TRIM(A1573&amp;""),CHAR(160),"")," ",""),"년",""),""),"")</f>
      </c>
      <c r="I1573" t="str">
        <f>SUBSTITUTE(SUBSTITUTE(SUBSTITUTE(SUBSTITUTE(SUBSTITUTE(TRIM(B1573&amp;""),CHAR(160),"")," ",""),"초등학교","초"),"중학교","중"),"고등학교","고")</f>
      </c>
    </row>
    <row r="1574" customFormat="false" ht="15" hidden="false" customHeight="false" outlineLevel="0" collapsed="false">
      <c r="A1574" s="8"/>
      <c r="B1574" s="8"/>
      <c r="C1574" s="8"/>
      <c r="D1574" s="8"/>
      <c r="E1574" s="8"/>
      <c r="F1574" t="str" s="15">
        <f aca="0">IF(B1574="","",IF(H1574="","확인필요(입력누락)",IF(SUMPRODUCT((실물목록!$P$2:$P$1001&lt;&gt;"")*ISNUMBER(SEARCH(실물목록!$P$2:$P$1001,I1574))*(실물목록!$Q$2:$Q$1001&lt;&gt;"")*ISNUMBER(SEARCH(실물목록!$Q$2:$Q$1001,I1574))*(실물목록!$R$2:$R$1001="")*(실물목록!$O$2:$O$1001&lt;&gt;"")*(실물목록!$O$2:$O$1001=H1574))&gt;0,"실물 있음",IF(SUMPRODUCT((실물목록!$P$2:$P$1001&lt;&gt;"")*ISNUMBER(SEARCH(실물목록!$P$2:$P$1001,I1574))*(실물목록!$R$2:$R$1001&lt;&gt;""))&gt;0,"확인필요(입력누락)",IF(SUMPRODUCT((실물목록!$P$2:$P$1001&lt;&gt;"")*ISNUMBER(SEARCH(실물목록!$P$2:$P$1001,I1574))*(실물목록!$Q$2:$Q$1001&lt;&gt;"")*ISNUMBER(SEARCH(실물목록!$Q$2:$Q$1001,I1574))*(실물목록!$R$2:$R$1001="")*(실물목록!$O$2:$O$1001&lt;&gt;""))&gt;0,"확인필요(연도다름)","실물 없음")))))</f>
      </c>
      <c r="G1574" t="n" s="16">
        <f aca="0">IF(B1574="","",SUMPRODUCT((실물목록!$P$2:$P$1001&lt;&gt;"")*ISNUMBER(SEARCH(실물목록!$P$2:$P$1001,I1574))*(실물목록!$Q$2:$Q$1001&lt;&gt;"")*ISNUMBER(SEARCH(실물목록!$Q$2:$Q$1001,I1574))*(실물목록!$R$2:$R$1001="")*(실물목록!$O$2:$O$1001&lt;&gt;"")*(실물목록!$O$2:$O$1001=H1574)))</f>
      </c>
      <c r="H1574" t="str">
        <f>IFERROR(IF(AND(LEN(SUBSTITUTE(SUBSTITUTE(SUBSTITUTE(TRIM(A1574&amp;""),CHAR(160),"")," ",""),"년",""))=4,VALUE(SUBSTITUTE(SUBSTITUTE(SUBSTITUTE(TRIM(A1574&amp;""),CHAR(160),"")," ",""),"년",""))&gt;=1900,VALUE(SUBSTITUTE(SUBSTITUTE(SUBSTITUTE(TRIM(A1574&amp;""),CHAR(160),"")," ",""),"년",""))&lt;=2099,TEXT(VALUE(SUBSTITUTE(SUBSTITUTE(SUBSTITUTE(TRIM(A1574&amp;""),CHAR(160),"")," ",""),"년","")),"0000")=SUBSTITUTE(SUBSTITUTE(SUBSTITUTE(TRIM(A1574&amp;""),CHAR(160),"")," ",""),"년","")),SUBSTITUTE(SUBSTITUTE(SUBSTITUTE(TRIM(A1574&amp;""),CHAR(160),"")," ",""),"년",""),""),"")</f>
      </c>
      <c r="I1574" t="str">
        <f>SUBSTITUTE(SUBSTITUTE(SUBSTITUTE(SUBSTITUTE(SUBSTITUTE(TRIM(B1574&amp;""),CHAR(160),"")," ",""),"초등학교","초"),"중학교","중"),"고등학교","고")</f>
      </c>
    </row>
    <row r="1575" customFormat="false" ht="15" hidden="false" customHeight="false" outlineLevel="0" collapsed="false">
      <c r="A1575" s="8"/>
      <c r="B1575" s="8"/>
      <c r="C1575" s="8"/>
      <c r="D1575" s="8"/>
      <c r="E1575" s="8"/>
      <c r="F1575" t="str" s="15">
        <f aca="0">IF(B1575="","",IF(H1575="","확인필요(입력누락)",IF(SUMPRODUCT((실물목록!$P$2:$P$1001&lt;&gt;"")*ISNUMBER(SEARCH(실물목록!$P$2:$P$1001,I1575))*(실물목록!$Q$2:$Q$1001&lt;&gt;"")*ISNUMBER(SEARCH(실물목록!$Q$2:$Q$1001,I1575))*(실물목록!$R$2:$R$1001="")*(실물목록!$O$2:$O$1001&lt;&gt;"")*(실물목록!$O$2:$O$1001=H1575))&gt;0,"실물 있음",IF(SUMPRODUCT((실물목록!$P$2:$P$1001&lt;&gt;"")*ISNUMBER(SEARCH(실물목록!$P$2:$P$1001,I1575))*(실물목록!$R$2:$R$1001&lt;&gt;""))&gt;0,"확인필요(입력누락)",IF(SUMPRODUCT((실물목록!$P$2:$P$1001&lt;&gt;"")*ISNUMBER(SEARCH(실물목록!$P$2:$P$1001,I1575))*(실물목록!$Q$2:$Q$1001&lt;&gt;"")*ISNUMBER(SEARCH(실물목록!$Q$2:$Q$1001,I1575))*(실물목록!$R$2:$R$1001="")*(실물목록!$O$2:$O$1001&lt;&gt;""))&gt;0,"확인필요(연도다름)","실물 없음")))))</f>
      </c>
      <c r="G1575" t="n" s="16">
        <f aca="0">IF(B1575="","",SUMPRODUCT((실물목록!$P$2:$P$1001&lt;&gt;"")*ISNUMBER(SEARCH(실물목록!$P$2:$P$1001,I1575))*(실물목록!$Q$2:$Q$1001&lt;&gt;"")*ISNUMBER(SEARCH(실물목록!$Q$2:$Q$1001,I1575))*(실물목록!$R$2:$R$1001="")*(실물목록!$O$2:$O$1001&lt;&gt;"")*(실물목록!$O$2:$O$1001=H1575)))</f>
      </c>
      <c r="H1575" t="str">
        <f>IFERROR(IF(AND(LEN(SUBSTITUTE(SUBSTITUTE(SUBSTITUTE(TRIM(A1575&amp;""),CHAR(160),"")," ",""),"년",""))=4,VALUE(SUBSTITUTE(SUBSTITUTE(SUBSTITUTE(TRIM(A1575&amp;""),CHAR(160),"")," ",""),"년",""))&gt;=1900,VALUE(SUBSTITUTE(SUBSTITUTE(SUBSTITUTE(TRIM(A1575&amp;""),CHAR(160),"")," ",""),"년",""))&lt;=2099,TEXT(VALUE(SUBSTITUTE(SUBSTITUTE(SUBSTITUTE(TRIM(A1575&amp;""),CHAR(160),"")," ",""),"년","")),"0000")=SUBSTITUTE(SUBSTITUTE(SUBSTITUTE(TRIM(A1575&amp;""),CHAR(160),"")," ",""),"년","")),SUBSTITUTE(SUBSTITUTE(SUBSTITUTE(TRIM(A1575&amp;""),CHAR(160),"")," ",""),"년",""),""),"")</f>
      </c>
      <c r="I1575" t="str">
        <f>SUBSTITUTE(SUBSTITUTE(SUBSTITUTE(SUBSTITUTE(SUBSTITUTE(TRIM(B1575&amp;""),CHAR(160),"")," ",""),"초등학교","초"),"중학교","중"),"고등학교","고")</f>
      </c>
    </row>
    <row r="1576" customFormat="false" ht="15" hidden="false" customHeight="false" outlineLevel="0" collapsed="false">
      <c r="A1576" s="8"/>
      <c r="B1576" s="8"/>
      <c r="C1576" s="8"/>
      <c r="D1576" s="8"/>
      <c r="E1576" s="8"/>
      <c r="F1576" t="str" s="15">
        <f aca="0">IF(B1576="","",IF(H1576="","확인필요(입력누락)",IF(SUMPRODUCT((실물목록!$P$2:$P$1001&lt;&gt;"")*ISNUMBER(SEARCH(실물목록!$P$2:$P$1001,I1576))*(실물목록!$Q$2:$Q$1001&lt;&gt;"")*ISNUMBER(SEARCH(실물목록!$Q$2:$Q$1001,I1576))*(실물목록!$R$2:$R$1001="")*(실물목록!$O$2:$O$1001&lt;&gt;"")*(실물목록!$O$2:$O$1001=H1576))&gt;0,"실물 있음",IF(SUMPRODUCT((실물목록!$P$2:$P$1001&lt;&gt;"")*ISNUMBER(SEARCH(실물목록!$P$2:$P$1001,I1576))*(실물목록!$R$2:$R$1001&lt;&gt;""))&gt;0,"확인필요(입력누락)",IF(SUMPRODUCT((실물목록!$P$2:$P$1001&lt;&gt;"")*ISNUMBER(SEARCH(실물목록!$P$2:$P$1001,I1576))*(실물목록!$Q$2:$Q$1001&lt;&gt;"")*ISNUMBER(SEARCH(실물목록!$Q$2:$Q$1001,I1576))*(실물목록!$R$2:$R$1001="")*(실물목록!$O$2:$O$1001&lt;&gt;""))&gt;0,"확인필요(연도다름)","실물 없음")))))</f>
      </c>
      <c r="G1576" t="n" s="16">
        <f aca="0">IF(B1576="","",SUMPRODUCT((실물목록!$P$2:$P$1001&lt;&gt;"")*ISNUMBER(SEARCH(실물목록!$P$2:$P$1001,I1576))*(실물목록!$Q$2:$Q$1001&lt;&gt;"")*ISNUMBER(SEARCH(실물목록!$Q$2:$Q$1001,I1576))*(실물목록!$R$2:$R$1001="")*(실물목록!$O$2:$O$1001&lt;&gt;"")*(실물목록!$O$2:$O$1001=H1576)))</f>
      </c>
      <c r="H1576" t="str">
        <f>IFERROR(IF(AND(LEN(SUBSTITUTE(SUBSTITUTE(SUBSTITUTE(TRIM(A1576&amp;""),CHAR(160),"")," ",""),"년",""))=4,VALUE(SUBSTITUTE(SUBSTITUTE(SUBSTITUTE(TRIM(A1576&amp;""),CHAR(160),"")," ",""),"년",""))&gt;=1900,VALUE(SUBSTITUTE(SUBSTITUTE(SUBSTITUTE(TRIM(A1576&amp;""),CHAR(160),"")," ",""),"년",""))&lt;=2099,TEXT(VALUE(SUBSTITUTE(SUBSTITUTE(SUBSTITUTE(TRIM(A1576&amp;""),CHAR(160),"")," ",""),"년","")),"0000")=SUBSTITUTE(SUBSTITUTE(SUBSTITUTE(TRIM(A1576&amp;""),CHAR(160),"")," ",""),"년","")),SUBSTITUTE(SUBSTITUTE(SUBSTITUTE(TRIM(A1576&amp;""),CHAR(160),"")," ",""),"년",""),""),"")</f>
      </c>
      <c r="I1576" t="str">
        <f>SUBSTITUTE(SUBSTITUTE(SUBSTITUTE(SUBSTITUTE(SUBSTITUTE(TRIM(B1576&amp;""),CHAR(160),"")," ",""),"초등학교","초"),"중학교","중"),"고등학교","고")</f>
      </c>
    </row>
    <row r="1577" customFormat="false" ht="15" hidden="false" customHeight="false" outlineLevel="0" collapsed="false">
      <c r="A1577" s="8"/>
      <c r="B1577" s="8"/>
      <c r="C1577" s="8"/>
      <c r="D1577" s="8"/>
      <c r="E1577" s="8"/>
      <c r="F1577" t="str" s="15">
        <f aca="0">IF(B1577="","",IF(H1577="","확인필요(입력누락)",IF(SUMPRODUCT((실물목록!$P$2:$P$1001&lt;&gt;"")*ISNUMBER(SEARCH(실물목록!$P$2:$P$1001,I1577))*(실물목록!$Q$2:$Q$1001&lt;&gt;"")*ISNUMBER(SEARCH(실물목록!$Q$2:$Q$1001,I1577))*(실물목록!$R$2:$R$1001="")*(실물목록!$O$2:$O$1001&lt;&gt;"")*(실물목록!$O$2:$O$1001=H1577))&gt;0,"실물 있음",IF(SUMPRODUCT((실물목록!$P$2:$P$1001&lt;&gt;"")*ISNUMBER(SEARCH(실물목록!$P$2:$P$1001,I1577))*(실물목록!$R$2:$R$1001&lt;&gt;""))&gt;0,"확인필요(입력누락)",IF(SUMPRODUCT((실물목록!$P$2:$P$1001&lt;&gt;"")*ISNUMBER(SEARCH(실물목록!$P$2:$P$1001,I1577))*(실물목록!$Q$2:$Q$1001&lt;&gt;"")*ISNUMBER(SEARCH(실물목록!$Q$2:$Q$1001,I1577))*(실물목록!$R$2:$R$1001="")*(실물목록!$O$2:$O$1001&lt;&gt;""))&gt;0,"확인필요(연도다름)","실물 없음")))))</f>
      </c>
      <c r="G1577" t="n" s="16">
        <f aca="0">IF(B1577="","",SUMPRODUCT((실물목록!$P$2:$P$1001&lt;&gt;"")*ISNUMBER(SEARCH(실물목록!$P$2:$P$1001,I1577))*(실물목록!$Q$2:$Q$1001&lt;&gt;"")*ISNUMBER(SEARCH(실물목록!$Q$2:$Q$1001,I1577))*(실물목록!$R$2:$R$1001="")*(실물목록!$O$2:$O$1001&lt;&gt;"")*(실물목록!$O$2:$O$1001=H1577)))</f>
      </c>
      <c r="H1577" t="str">
        <f>IFERROR(IF(AND(LEN(SUBSTITUTE(SUBSTITUTE(SUBSTITUTE(TRIM(A1577&amp;""),CHAR(160),"")," ",""),"년",""))=4,VALUE(SUBSTITUTE(SUBSTITUTE(SUBSTITUTE(TRIM(A1577&amp;""),CHAR(160),"")," ",""),"년",""))&gt;=1900,VALUE(SUBSTITUTE(SUBSTITUTE(SUBSTITUTE(TRIM(A1577&amp;""),CHAR(160),"")," ",""),"년",""))&lt;=2099,TEXT(VALUE(SUBSTITUTE(SUBSTITUTE(SUBSTITUTE(TRIM(A1577&amp;""),CHAR(160),"")," ",""),"년","")),"0000")=SUBSTITUTE(SUBSTITUTE(SUBSTITUTE(TRIM(A1577&amp;""),CHAR(160),"")," ",""),"년","")),SUBSTITUTE(SUBSTITUTE(SUBSTITUTE(TRIM(A1577&amp;""),CHAR(160),"")," ",""),"년",""),""),"")</f>
      </c>
      <c r="I1577" t="str">
        <f>SUBSTITUTE(SUBSTITUTE(SUBSTITUTE(SUBSTITUTE(SUBSTITUTE(TRIM(B1577&amp;""),CHAR(160),"")," ",""),"초등학교","초"),"중학교","중"),"고등학교","고")</f>
      </c>
    </row>
    <row r="1578" customFormat="false" ht="15" hidden="false" customHeight="false" outlineLevel="0" collapsed="false">
      <c r="A1578" s="8"/>
      <c r="B1578" s="8"/>
      <c r="C1578" s="8"/>
      <c r="D1578" s="8"/>
      <c r="E1578" s="8"/>
      <c r="F1578" t="str" s="15">
        <f aca="0">IF(B1578="","",IF(H1578="","확인필요(입력누락)",IF(SUMPRODUCT((실물목록!$P$2:$P$1001&lt;&gt;"")*ISNUMBER(SEARCH(실물목록!$P$2:$P$1001,I1578))*(실물목록!$Q$2:$Q$1001&lt;&gt;"")*ISNUMBER(SEARCH(실물목록!$Q$2:$Q$1001,I1578))*(실물목록!$R$2:$R$1001="")*(실물목록!$O$2:$O$1001&lt;&gt;"")*(실물목록!$O$2:$O$1001=H1578))&gt;0,"실물 있음",IF(SUMPRODUCT((실물목록!$P$2:$P$1001&lt;&gt;"")*ISNUMBER(SEARCH(실물목록!$P$2:$P$1001,I1578))*(실물목록!$R$2:$R$1001&lt;&gt;""))&gt;0,"확인필요(입력누락)",IF(SUMPRODUCT((실물목록!$P$2:$P$1001&lt;&gt;"")*ISNUMBER(SEARCH(실물목록!$P$2:$P$1001,I1578))*(실물목록!$Q$2:$Q$1001&lt;&gt;"")*ISNUMBER(SEARCH(실물목록!$Q$2:$Q$1001,I1578))*(실물목록!$R$2:$R$1001="")*(실물목록!$O$2:$O$1001&lt;&gt;""))&gt;0,"확인필요(연도다름)","실물 없음")))))</f>
      </c>
      <c r="G1578" t="n" s="16">
        <f aca="0">IF(B1578="","",SUMPRODUCT((실물목록!$P$2:$P$1001&lt;&gt;"")*ISNUMBER(SEARCH(실물목록!$P$2:$P$1001,I1578))*(실물목록!$Q$2:$Q$1001&lt;&gt;"")*ISNUMBER(SEARCH(실물목록!$Q$2:$Q$1001,I1578))*(실물목록!$R$2:$R$1001="")*(실물목록!$O$2:$O$1001&lt;&gt;"")*(실물목록!$O$2:$O$1001=H1578)))</f>
      </c>
      <c r="H1578" t="str">
        <f>IFERROR(IF(AND(LEN(SUBSTITUTE(SUBSTITUTE(SUBSTITUTE(TRIM(A1578&amp;""),CHAR(160),"")," ",""),"년",""))=4,VALUE(SUBSTITUTE(SUBSTITUTE(SUBSTITUTE(TRIM(A1578&amp;""),CHAR(160),"")," ",""),"년",""))&gt;=1900,VALUE(SUBSTITUTE(SUBSTITUTE(SUBSTITUTE(TRIM(A1578&amp;""),CHAR(160),"")," ",""),"년",""))&lt;=2099,TEXT(VALUE(SUBSTITUTE(SUBSTITUTE(SUBSTITUTE(TRIM(A1578&amp;""),CHAR(160),"")," ",""),"년","")),"0000")=SUBSTITUTE(SUBSTITUTE(SUBSTITUTE(TRIM(A1578&amp;""),CHAR(160),"")," ",""),"년","")),SUBSTITUTE(SUBSTITUTE(SUBSTITUTE(TRIM(A1578&amp;""),CHAR(160),"")," ",""),"년",""),""),"")</f>
      </c>
      <c r="I1578" t="str">
        <f>SUBSTITUTE(SUBSTITUTE(SUBSTITUTE(SUBSTITUTE(SUBSTITUTE(TRIM(B1578&amp;""),CHAR(160),"")," ",""),"초등학교","초"),"중학교","중"),"고등학교","고")</f>
      </c>
    </row>
    <row r="1579" customFormat="false" ht="15" hidden="false" customHeight="false" outlineLevel="0" collapsed="false">
      <c r="A1579" s="8"/>
      <c r="B1579" s="8"/>
      <c r="C1579" s="8"/>
      <c r="D1579" s="8"/>
      <c r="E1579" s="8"/>
      <c r="F1579" t="str" s="15">
        <f aca="0">IF(B1579="","",IF(H1579="","확인필요(입력누락)",IF(SUMPRODUCT((실물목록!$P$2:$P$1001&lt;&gt;"")*ISNUMBER(SEARCH(실물목록!$P$2:$P$1001,I1579))*(실물목록!$Q$2:$Q$1001&lt;&gt;"")*ISNUMBER(SEARCH(실물목록!$Q$2:$Q$1001,I1579))*(실물목록!$R$2:$R$1001="")*(실물목록!$O$2:$O$1001&lt;&gt;"")*(실물목록!$O$2:$O$1001=H1579))&gt;0,"실물 있음",IF(SUMPRODUCT((실물목록!$P$2:$P$1001&lt;&gt;"")*ISNUMBER(SEARCH(실물목록!$P$2:$P$1001,I1579))*(실물목록!$R$2:$R$1001&lt;&gt;""))&gt;0,"확인필요(입력누락)",IF(SUMPRODUCT((실물목록!$P$2:$P$1001&lt;&gt;"")*ISNUMBER(SEARCH(실물목록!$P$2:$P$1001,I1579))*(실물목록!$Q$2:$Q$1001&lt;&gt;"")*ISNUMBER(SEARCH(실물목록!$Q$2:$Q$1001,I1579))*(실물목록!$R$2:$R$1001="")*(실물목록!$O$2:$O$1001&lt;&gt;""))&gt;0,"확인필요(연도다름)","실물 없음")))))</f>
      </c>
      <c r="G1579" t="n" s="16">
        <f aca="0">IF(B1579="","",SUMPRODUCT((실물목록!$P$2:$P$1001&lt;&gt;"")*ISNUMBER(SEARCH(실물목록!$P$2:$P$1001,I1579))*(실물목록!$Q$2:$Q$1001&lt;&gt;"")*ISNUMBER(SEARCH(실물목록!$Q$2:$Q$1001,I1579))*(실물목록!$R$2:$R$1001="")*(실물목록!$O$2:$O$1001&lt;&gt;"")*(실물목록!$O$2:$O$1001=H1579)))</f>
      </c>
      <c r="H1579" t="str">
        <f>IFERROR(IF(AND(LEN(SUBSTITUTE(SUBSTITUTE(SUBSTITUTE(TRIM(A1579&amp;""),CHAR(160),"")," ",""),"년",""))=4,VALUE(SUBSTITUTE(SUBSTITUTE(SUBSTITUTE(TRIM(A1579&amp;""),CHAR(160),"")," ",""),"년",""))&gt;=1900,VALUE(SUBSTITUTE(SUBSTITUTE(SUBSTITUTE(TRIM(A1579&amp;""),CHAR(160),"")," ",""),"년",""))&lt;=2099,TEXT(VALUE(SUBSTITUTE(SUBSTITUTE(SUBSTITUTE(TRIM(A1579&amp;""),CHAR(160),"")," ",""),"년","")),"0000")=SUBSTITUTE(SUBSTITUTE(SUBSTITUTE(TRIM(A1579&amp;""),CHAR(160),"")," ",""),"년","")),SUBSTITUTE(SUBSTITUTE(SUBSTITUTE(TRIM(A1579&amp;""),CHAR(160),"")," ",""),"년",""),""),"")</f>
      </c>
      <c r="I1579" t="str">
        <f>SUBSTITUTE(SUBSTITUTE(SUBSTITUTE(SUBSTITUTE(SUBSTITUTE(TRIM(B1579&amp;""),CHAR(160),"")," ",""),"초등학교","초"),"중학교","중"),"고등학교","고")</f>
      </c>
    </row>
    <row r="1580" customFormat="false" ht="15" hidden="false" customHeight="false" outlineLevel="0" collapsed="false">
      <c r="A1580" s="8"/>
      <c r="B1580" s="8"/>
      <c r="C1580" s="8"/>
      <c r="D1580" s="8"/>
      <c r="E1580" s="8"/>
      <c r="F1580" t="str" s="15">
        <f aca="0">IF(B1580="","",IF(H1580="","확인필요(입력누락)",IF(SUMPRODUCT((실물목록!$P$2:$P$1001&lt;&gt;"")*ISNUMBER(SEARCH(실물목록!$P$2:$P$1001,I1580))*(실물목록!$Q$2:$Q$1001&lt;&gt;"")*ISNUMBER(SEARCH(실물목록!$Q$2:$Q$1001,I1580))*(실물목록!$R$2:$R$1001="")*(실물목록!$O$2:$O$1001&lt;&gt;"")*(실물목록!$O$2:$O$1001=H1580))&gt;0,"실물 있음",IF(SUMPRODUCT((실물목록!$P$2:$P$1001&lt;&gt;"")*ISNUMBER(SEARCH(실물목록!$P$2:$P$1001,I1580))*(실물목록!$R$2:$R$1001&lt;&gt;""))&gt;0,"확인필요(입력누락)",IF(SUMPRODUCT((실물목록!$P$2:$P$1001&lt;&gt;"")*ISNUMBER(SEARCH(실물목록!$P$2:$P$1001,I1580))*(실물목록!$Q$2:$Q$1001&lt;&gt;"")*ISNUMBER(SEARCH(실물목록!$Q$2:$Q$1001,I1580))*(실물목록!$R$2:$R$1001="")*(실물목록!$O$2:$O$1001&lt;&gt;""))&gt;0,"확인필요(연도다름)","실물 없음")))))</f>
      </c>
      <c r="G1580" t="n" s="16">
        <f aca="0">IF(B1580="","",SUMPRODUCT((실물목록!$P$2:$P$1001&lt;&gt;"")*ISNUMBER(SEARCH(실물목록!$P$2:$P$1001,I1580))*(실물목록!$Q$2:$Q$1001&lt;&gt;"")*ISNUMBER(SEARCH(실물목록!$Q$2:$Q$1001,I1580))*(실물목록!$R$2:$R$1001="")*(실물목록!$O$2:$O$1001&lt;&gt;"")*(실물목록!$O$2:$O$1001=H1580)))</f>
      </c>
      <c r="H1580" t="str">
        <f>IFERROR(IF(AND(LEN(SUBSTITUTE(SUBSTITUTE(SUBSTITUTE(TRIM(A1580&amp;""),CHAR(160),"")," ",""),"년",""))=4,VALUE(SUBSTITUTE(SUBSTITUTE(SUBSTITUTE(TRIM(A1580&amp;""),CHAR(160),"")," ",""),"년",""))&gt;=1900,VALUE(SUBSTITUTE(SUBSTITUTE(SUBSTITUTE(TRIM(A1580&amp;""),CHAR(160),"")," ",""),"년",""))&lt;=2099,TEXT(VALUE(SUBSTITUTE(SUBSTITUTE(SUBSTITUTE(TRIM(A1580&amp;""),CHAR(160),"")," ",""),"년","")),"0000")=SUBSTITUTE(SUBSTITUTE(SUBSTITUTE(TRIM(A1580&amp;""),CHAR(160),"")," ",""),"년","")),SUBSTITUTE(SUBSTITUTE(SUBSTITUTE(TRIM(A1580&amp;""),CHAR(160),"")," ",""),"년",""),""),"")</f>
      </c>
      <c r="I1580" t="str">
        <f>SUBSTITUTE(SUBSTITUTE(SUBSTITUTE(SUBSTITUTE(SUBSTITUTE(TRIM(B1580&amp;""),CHAR(160),"")," ",""),"초등학교","초"),"중학교","중"),"고등학교","고")</f>
      </c>
    </row>
    <row r="1581" customFormat="false" ht="15" hidden="false" customHeight="false" outlineLevel="0" collapsed="false">
      <c r="A1581" s="8"/>
      <c r="B1581" s="8"/>
      <c r="C1581" s="8"/>
      <c r="D1581" s="8"/>
      <c r="E1581" s="8"/>
      <c r="F1581" t="str" s="15">
        <f aca="0">IF(B1581="","",IF(H1581="","확인필요(입력누락)",IF(SUMPRODUCT((실물목록!$P$2:$P$1001&lt;&gt;"")*ISNUMBER(SEARCH(실물목록!$P$2:$P$1001,I1581))*(실물목록!$Q$2:$Q$1001&lt;&gt;"")*ISNUMBER(SEARCH(실물목록!$Q$2:$Q$1001,I1581))*(실물목록!$R$2:$R$1001="")*(실물목록!$O$2:$O$1001&lt;&gt;"")*(실물목록!$O$2:$O$1001=H1581))&gt;0,"실물 있음",IF(SUMPRODUCT((실물목록!$P$2:$P$1001&lt;&gt;"")*ISNUMBER(SEARCH(실물목록!$P$2:$P$1001,I1581))*(실물목록!$R$2:$R$1001&lt;&gt;""))&gt;0,"확인필요(입력누락)",IF(SUMPRODUCT((실물목록!$P$2:$P$1001&lt;&gt;"")*ISNUMBER(SEARCH(실물목록!$P$2:$P$1001,I1581))*(실물목록!$Q$2:$Q$1001&lt;&gt;"")*ISNUMBER(SEARCH(실물목록!$Q$2:$Q$1001,I1581))*(실물목록!$R$2:$R$1001="")*(실물목록!$O$2:$O$1001&lt;&gt;""))&gt;0,"확인필요(연도다름)","실물 없음")))))</f>
      </c>
      <c r="G1581" t="n" s="16">
        <f aca="0">IF(B1581="","",SUMPRODUCT((실물목록!$P$2:$P$1001&lt;&gt;"")*ISNUMBER(SEARCH(실물목록!$P$2:$P$1001,I1581))*(실물목록!$Q$2:$Q$1001&lt;&gt;"")*ISNUMBER(SEARCH(실물목록!$Q$2:$Q$1001,I1581))*(실물목록!$R$2:$R$1001="")*(실물목록!$O$2:$O$1001&lt;&gt;"")*(실물목록!$O$2:$O$1001=H1581)))</f>
      </c>
      <c r="H1581" t="str">
        <f>IFERROR(IF(AND(LEN(SUBSTITUTE(SUBSTITUTE(SUBSTITUTE(TRIM(A1581&amp;""),CHAR(160),"")," ",""),"년",""))=4,VALUE(SUBSTITUTE(SUBSTITUTE(SUBSTITUTE(TRIM(A1581&amp;""),CHAR(160),"")," ",""),"년",""))&gt;=1900,VALUE(SUBSTITUTE(SUBSTITUTE(SUBSTITUTE(TRIM(A1581&amp;""),CHAR(160),"")," ",""),"년",""))&lt;=2099,TEXT(VALUE(SUBSTITUTE(SUBSTITUTE(SUBSTITUTE(TRIM(A1581&amp;""),CHAR(160),"")," ",""),"년","")),"0000")=SUBSTITUTE(SUBSTITUTE(SUBSTITUTE(TRIM(A1581&amp;""),CHAR(160),"")," ",""),"년","")),SUBSTITUTE(SUBSTITUTE(SUBSTITUTE(TRIM(A1581&amp;""),CHAR(160),"")," ",""),"년",""),""),"")</f>
      </c>
      <c r="I1581" t="str">
        <f>SUBSTITUTE(SUBSTITUTE(SUBSTITUTE(SUBSTITUTE(SUBSTITUTE(TRIM(B1581&amp;""),CHAR(160),"")," ",""),"초등학교","초"),"중학교","중"),"고등학교","고")</f>
      </c>
    </row>
    <row r="1582" customFormat="false" ht="15" hidden="false" customHeight="false" outlineLevel="0" collapsed="false">
      <c r="A1582" s="8"/>
      <c r="B1582" s="8"/>
      <c r="C1582" s="8"/>
      <c r="D1582" s="8"/>
      <c r="E1582" s="8"/>
      <c r="F1582" t="str" s="15">
        <f aca="0">IF(B1582="","",IF(H1582="","확인필요(입력누락)",IF(SUMPRODUCT((실물목록!$P$2:$P$1001&lt;&gt;"")*ISNUMBER(SEARCH(실물목록!$P$2:$P$1001,I1582))*(실물목록!$Q$2:$Q$1001&lt;&gt;"")*ISNUMBER(SEARCH(실물목록!$Q$2:$Q$1001,I1582))*(실물목록!$R$2:$R$1001="")*(실물목록!$O$2:$O$1001&lt;&gt;"")*(실물목록!$O$2:$O$1001=H1582))&gt;0,"실물 있음",IF(SUMPRODUCT((실물목록!$P$2:$P$1001&lt;&gt;"")*ISNUMBER(SEARCH(실물목록!$P$2:$P$1001,I1582))*(실물목록!$R$2:$R$1001&lt;&gt;""))&gt;0,"확인필요(입력누락)",IF(SUMPRODUCT((실물목록!$P$2:$P$1001&lt;&gt;"")*ISNUMBER(SEARCH(실물목록!$P$2:$P$1001,I1582))*(실물목록!$Q$2:$Q$1001&lt;&gt;"")*ISNUMBER(SEARCH(실물목록!$Q$2:$Q$1001,I1582))*(실물목록!$R$2:$R$1001="")*(실물목록!$O$2:$O$1001&lt;&gt;""))&gt;0,"확인필요(연도다름)","실물 없음")))))</f>
      </c>
      <c r="G1582" t="n" s="16">
        <f aca="0">IF(B1582="","",SUMPRODUCT((실물목록!$P$2:$P$1001&lt;&gt;"")*ISNUMBER(SEARCH(실물목록!$P$2:$P$1001,I1582))*(실물목록!$Q$2:$Q$1001&lt;&gt;"")*ISNUMBER(SEARCH(실물목록!$Q$2:$Q$1001,I1582))*(실물목록!$R$2:$R$1001="")*(실물목록!$O$2:$O$1001&lt;&gt;"")*(실물목록!$O$2:$O$1001=H1582)))</f>
      </c>
      <c r="H1582" t="str">
        <f>IFERROR(IF(AND(LEN(SUBSTITUTE(SUBSTITUTE(SUBSTITUTE(TRIM(A1582&amp;""),CHAR(160),"")," ",""),"년",""))=4,VALUE(SUBSTITUTE(SUBSTITUTE(SUBSTITUTE(TRIM(A1582&amp;""),CHAR(160),"")," ",""),"년",""))&gt;=1900,VALUE(SUBSTITUTE(SUBSTITUTE(SUBSTITUTE(TRIM(A1582&amp;""),CHAR(160),"")," ",""),"년",""))&lt;=2099,TEXT(VALUE(SUBSTITUTE(SUBSTITUTE(SUBSTITUTE(TRIM(A1582&amp;""),CHAR(160),"")," ",""),"년","")),"0000")=SUBSTITUTE(SUBSTITUTE(SUBSTITUTE(TRIM(A1582&amp;""),CHAR(160),"")," ",""),"년","")),SUBSTITUTE(SUBSTITUTE(SUBSTITUTE(TRIM(A1582&amp;""),CHAR(160),"")," ",""),"년",""),""),"")</f>
      </c>
      <c r="I1582" t="str">
        <f>SUBSTITUTE(SUBSTITUTE(SUBSTITUTE(SUBSTITUTE(SUBSTITUTE(TRIM(B1582&amp;""),CHAR(160),"")," ",""),"초등학교","초"),"중학교","중"),"고등학교","고")</f>
      </c>
    </row>
    <row r="1583" customFormat="false" ht="15" hidden="false" customHeight="false" outlineLevel="0" collapsed="false">
      <c r="A1583" s="8"/>
      <c r="B1583" s="8"/>
      <c r="C1583" s="8"/>
      <c r="D1583" s="8"/>
      <c r="E1583" s="8"/>
      <c r="F1583" t="str" s="15">
        <f aca="0">IF(B1583="","",IF(H1583="","확인필요(입력누락)",IF(SUMPRODUCT((실물목록!$P$2:$P$1001&lt;&gt;"")*ISNUMBER(SEARCH(실물목록!$P$2:$P$1001,I1583))*(실물목록!$Q$2:$Q$1001&lt;&gt;"")*ISNUMBER(SEARCH(실물목록!$Q$2:$Q$1001,I1583))*(실물목록!$R$2:$R$1001="")*(실물목록!$O$2:$O$1001&lt;&gt;"")*(실물목록!$O$2:$O$1001=H1583))&gt;0,"실물 있음",IF(SUMPRODUCT((실물목록!$P$2:$P$1001&lt;&gt;"")*ISNUMBER(SEARCH(실물목록!$P$2:$P$1001,I1583))*(실물목록!$R$2:$R$1001&lt;&gt;""))&gt;0,"확인필요(입력누락)",IF(SUMPRODUCT((실물목록!$P$2:$P$1001&lt;&gt;"")*ISNUMBER(SEARCH(실물목록!$P$2:$P$1001,I1583))*(실물목록!$Q$2:$Q$1001&lt;&gt;"")*ISNUMBER(SEARCH(실물목록!$Q$2:$Q$1001,I1583))*(실물목록!$R$2:$R$1001="")*(실물목록!$O$2:$O$1001&lt;&gt;""))&gt;0,"확인필요(연도다름)","실물 없음")))))</f>
      </c>
      <c r="G1583" t="n" s="16">
        <f aca="0">IF(B1583="","",SUMPRODUCT((실물목록!$P$2:$P$1001&lt;&gt;"")*ISNUMBER(SEARCH(실물목록!$P$2:$P$1001,I1583))*(실물목록!$Q$2:$Q$1001&lt;&gt;"")*ISNUMBER(SEARCH(실물목록!$Q$2:$Q$1001,I1583))*(실물목록!$R$2:$R$1001="")*(실물목록!$O$2:$O$1001&lt;&gt;"")*(실물목록!$O$2:$O$1001=H1583)))</f>
      </c>
      <c r="H1583" t="str">
        <f>IFERROR(IF(AND(LEN(SUBSTITUTE(SUBSTITUTE(SUBSTITUTE(TRIM(A1583&amp;""),CHAR(160),"")," ",""),"년",""))=4,VALUE(SUBSTITUTE(SUBSTITUTE(SUBSTITUTE(TRIM(A1583&amp;""),CHAR(160),"")," ",""),"년",""))&gt;=1900,VALUE(SUBSTITUTE(SUBSTITUTE(SUBSTITUTE(TRIM(A1583&amp;""),CHAR(160),"")," ",""),"년",""))&lt;=2099,TEXT(VALUE(SUBSTITUTE(SUBSTITUTE(SUBSTITUTE(TRIM(A1583&amp;""),CHAR(160),"")," ",""),"년","")),"0000")=SUBSTITUTE(SUBSTITUTE(SUBSTITUTE(TRIM(A1583&amp;""),CHAR(160),"")," ",""),"년","")),SUBSTITUTE(SUBSTITUTE(SUBSTITUTE(TRIM(A1583&amp;""),CHAR(160),"")," ",""),"년",""),""),"")</f>
      </c>
      <c r="I1583" t="str">
        <f>SUBSTITUTE(SUBSTITUTE(SUBSTITUTE(SUBSTITUTE(SUBSTITUTE(TRIM(B1583&amp;""),CHAR(160),"")," ",""),"초등학교","초"),"중학교","중"),"고등학교","고")</f>
      </c>
    </row>
    <row r="1584" customFormat="false" ht="15" hidden="false" customHeight="false" outlineLevel="0" collapsed="false">
      <c r="A1584" s="8"/>
      <c r="B1584" s="8"/>
      <c r="C1584" s="8"/>
      <c r="D1584" s="8"/>
      <c r="E1584" s="8"/>
      <c r="F1584" t="str" s="15">
        <f aca="0">IF(B1584="","",IF(H1584="","확인필요(입력누락)",IF(SUMPRODUCT((실물목록!$P$2:$P$1001&lt;&gt;"")*ISNUMBER(SEARCH(실물목록!$P$2:$P$1001,I1584))*(실물목록!$Q$2:$Q$1001&lt;&gt;"")*ISNUMBER(SEARCH(실물목록!$Q$2:$Q$1001,I1584))*(실물목록!$R$2:$R$1001="")*(실물목록!$O$2:$O$1001&lt;&gt;"")*(실물목록!$O$2:$O$1001=H1584))&gt;0,"실물 있음",IF(SUMPRODUCT((실물목록!$P$2:$P$1001&lt;&gt;"")*ISNUMBER(SEARCH(실물목록!$P$2:$P$1001,I1584))*(실물목록!$R$2:$R$1001&lt;&gt;""))&gt;0,"확인필요(입력누락)",IF(SUMPRODUCT((실물목록!$P$2:$P$1001&lt;&gt;"")*ISNUMBER(SEARCH(실물목록!$P$2:$P$1001,I1584))*(실물목록!$Q$2:$Q$1001&lt;&gt;"")*ISNUMBER(SEARCH(실물목록!$Q$2:$Q$1001,I1584))*(실물목록!$R$2:$R$1001="")*(실물목록!$O$2:$O$1001&lt;&gt;""))&gt;0,"확인필요(연도다름)","실물 없음")))))</f>
      </c>
      <c r="G1584" t="n" s="16">
        <f aca="0">IF(B1584="","",SUMPRODUCT((실물목록!$P$2:$P$1001&lt;&gt;"")*ISNUMBER(SEARCH(실물목록!$P$2:$P$1001,I1584))*(실물목록!$Q$2:$Q$1001&lt;&gt;"")*ISNUMBER(SEARCH(실물목록!$Q$2:$Q$1001,I1584))*(실물목록!$R$2:$R$1001="")*(실물목록!$O$2:$O$1001&lt;&gt;"")*(실물목록!$O$2:$O$1001=H1584)))</f>
      </c>
      <c r="H1584" t="str">
        <f>IFERROR(IF(AND(LEN(SUBSTITUTE(SUBSTITUTE(SUBSTITUTE(TRIM(A1584&amp;""),CHAR(160),"")," ",""),"년",""))=4,VALUE(SUBSTITUTE(SUBSTITUTE(SUBSTITUTE(TRIM(A1584&amp;""),CHAR(160),"")," ",""),"년",""))&gt;=1900,VALUE(SUBSTITUTE(SUBSTITUTE(SUBSTITUTE(TRIM(A1584&amp;""),CHAR(160),"")," ",""),"년",""))&lt;=2099,TEXT(VALUE(SUBSTITUTE(SUBSTITUTE(SUBSTITUTE(TRIM(A1584&amp;""),CHAR(160),"")," ",""),"년","")),"0000")=SUBSTITUTE(SUBSTITUTE(SUBSTITUTE(TRIM(A1584&amp;""),CHAR(160),"")," ",""),"년","")),SUBSTITUTE(SUBSTITUTE(SUBSTITUTE(TRIM(A1584&amp;""),CHAR(160),"")," ",""),"년",""),""),"")</f>
      </c>
      <c r="I1584" t="str">
        <f>SUBSTITUTE(SUBSTITUTE(SUBSTITUTE(SUBSTITUTE(SUBSTITUTE(TRIM(B1584&amp;""),CHAR(160),"")," ",""),"초등학교","초"),"중학교","중"),"고등학교","고")</f>
      </c>
    </row>
    <row r="1585" customFormat="false" ht="15" hidden="false" customHeight="false" outlineLevel="0" collapsed="false">
      <c r="A1585" s="8"/>
      <c r="B1585" s="8"/>
      <c r="C1585" s="8"/>
      <c r="D1585" s="8"/>
      <c r="E1585" s="8"/>
      <c r="F1585" t="str" s="15">
        <f aca="0">IF(B1585="","",IF(H1585="","확인필요(입력누락)",IF(SUMPRODUCT((실물목록!$P$2:$P$1001&lt;&gt;"")*ISNUMBER(SEARCH(실물목록!$P$2:$P$1001,I1585))*(실물목록!$Q$2:$Q$1001&lt;&gt;"")*ISNUMBER(SEARCH(실물목록!$Q$2:$Q$1001,I1585))*(실물목록!$R$2:$R$1001="")*(실물목록!$O$2:$O$1001&lt;&gt;"")*(실물목록!$O$2:$O$1001=H1585))&gt;0,"실물 있음",IF(SUMPRODUCT((실물목록!$P$2:$P$1001&lt;&gt;"")*ISNUMBER(SEARCH(실물목록!$P$2:$P$1001,I1585))*(실물목록!$R$2:$R$1001&lt;&gt;""))&gt;0,"확인필요(입력누락)",IF(SUMPRODUCT((실물목록!$P$2:$P$1001&lt;&gt;"")*ISNUMBER(SEARCH(실물목록!$P$2:$P$1001,I1585))*(실물목록!$Q$2:$Q$1001&lt;&gt;"")*ISNUMBER(SEARCH(실물목록!$Q$2:$Q$1001,I1585))*(실물목록!$R$2:$R$1001="")*(실물목록!$O$2:$O$1001&lt;&gt;""))&gt;0,"확인필요(연도다름)","실물 없음")))))</f>
      </c>
      <c r="G1585" t="n" s="16">
        <f aca="0">IF(B1585="","",SUMPRODUCT((실물목록!$P$2:$P$1001&lt;&gt;"")*ISNUMBER(SEARCH(실물목록!$P$2:$P$1001,I1585))*(실물목록!$Q$2:$Q$1001&lt;&gt;"")*ISNUMBER(SEARCH(실물목록!$Q$2:$Q$1001,I1585))*(실물목록!$R$2:$R$1001="")*(실물목록!$O$2:$O$1001&lt;&gt;"")*(실물목록!$O$2:$O$1001=H1585)))</f>
      </c>
      <c r="H1585" t="str">
        <f>IFERROR(IF(AND(LEN(SUBSTITUTE(SUBSTITUTE(SUBSTITUTE(TRIM(A1585&amp;""),CHAR(160),"")," ",""),"년",""))=4,VALUE(SUBSTITUTE(SUBSTITUTE(SUBSTITUTE(TRIM(A1585&amp;""),CHAR(160),"")," ",""),"년",""))&gt;=1900,VALUE(SUBSTITUTE(SUBSTITUTE(SUBSTITUTE(TRIM(A1585&amp;""),CHAR(160),"")," ",""),"년",""))&lt;=2099,TEXT(VALUE(SUBSTITUTE(SUBSTITUTE(SUBSTITUTE(TRIM(A1585&amp;""),CHAR(160),"")," ",""),"년","")),"0000")=SUBSTITUTE(SUBSTITUTE(SUBSTITUTE(TRIM(A1585&amp;""),CHAR(160),"")," ",""),"년","")),SUBSTITUTE(SUBSTITUTE(SUBSTITUTE(TRIM(A1585&amp;""),CHAR(160),"")," ",""),"년",""),""),"")</f>
      </c>
      <c r="I1585" t="str">
        <f>SUBSTITUTE(SUBSTITUTE(SUBSTITUTE(SUBSTITUTE(SUBSTITUTE(TRIM(B1585&amp;""),CHAR(160),"")," ",""),"초등학교","초"),"중학교","중"),"고등학교","고")</f>
      </c>
    </row>
    <row r="1586" customFormat="false" ht="15" hidden="false" customHeight="false" outlineLevel="0" collapsed="false">
      <c r="A1586" s="8"/>
      <c r="B1586" s="8"/>
      <c r="C1586" s="8"/>
      <c r="D1586" s="8"/>
      <c r="E1586" s="8"/>
      <c r="F1586" t="str" s="15">
        <f aca="0">IF(B1586="","",IF(H1586="","확인필요(입력누락)",IF(SUMPRODUCT((실물목록!$P$2:$P$1001&lt;&gt;"")*ISNUMBER(SEARCH(실물목록!$P$2:$P$1001,I1586))*(실물목록!$Q$2:$Q$1001&lt;&gt;"")*ISNUMBER(SEARCH(실물목록!$Q$2:$Q$1001,I1586))*(실물목록!$R$2:$R$1001="")*(실물목록!$O$2:$O$1001&lt;&gt;"")*(실물목록!$O$2:$O$1001=H1586))&gt;0,"실물 있음",IF(SUMPRODUCT((실물목록!$P$2:$P$1001&lt;&gt;"")*ISNUMBER(SEARCH(실물목록!$P$2:$P$1001,I1586))*(실물목록!$R$2:$R$1001&lt;&gt;""))&gt;0,"확인필요(입력누락)",IF(SUMPRODUCT((실물목록!$P$2:$P$1001&lt;&gt;"")*ISNUMBER(SEARCH(실물목록!$P$2:$P$1001,I1586))*(실물목록!$Q$2:$Q$1001&lt;&gt;"")*ISNUMBER(SEARCH(실물목록!$Q$2:$Q$1001,I1586))*(실물목록!$R$2:$R$1001="")*(실물목록!$O$2:$O$1001&lt;&gt;""))&gt;0,"확인필요(연도다름)","실물 없음")))))</f>
      </c>
      <c r="G1586" t="n" s="16">
        <f aca="0">IF(B1586="","",SUMPRODUCT((실물목록!$P$2:$P$1001&lt;&gt;"")*ISNUMBER(SEARCH(실물목록!$P$2:$P$1001,I1586))*(실물목록!$Q$2:$Q$1001&lt;&gt;"")*ISNUMBER(SEARCH(실물목록!$Q$2:$Q$1001,I1586))*(실물목록!$R$2:$R$1001="")*(실물목록!$O$2:$O$1001&lt;&gt;"")*(실물목록!$O$2:$O$1001=H1586)))</f>
      </c>
      <c r="H1586" t="str">
        <f>IFERROR(IF(AND(LEN(SUBSTITUTE(SUBSTITUTE(SUBSTITUTE(TRIM(A1586&amp;""),CHAR(160),"")," ",""),"년",""))=4,VALUE(SUBSTITUTE(SUBSTITUTE(SUBSTITUTE(TRIM(A1586&amp;""),CHAR(160),"")," ",""),"년",""))&gt;=1900,VALUE(SUBSTITUTE(SUBSTITUTE(SUBSTITUTE(TRIM(A1586&amp;""),CHAR(160),"")," ",""),"년",""))&lt;=2099,TEXT(VALUE(SUBSTITUTE(SUBSTITUTE(SUBSTITUTE(TRIM(A1586&amp;""),CHAR(160),"")," ",""),"년","")),"0000")=SUBSTITUTE(SUBSTITUTE(SUBSTITUTE(TRIM(A1586&amp;""),CHAR(160),"")," ",""),"년","")),SUBSTITUTE(SUBSTITUTE(SUBSTITUTE(TRIM(A1586&amp;""),CHAR(160),"")," ",""),"년",""),""),"")</f>
      </c>
      <c r="I1586" t="str">
        <f>SUBSTITUTE(SUBSTITUTE(SUBSTITUTE(SUBSTITUTE(SUBSTITUTE(TRIM(B1586&amp;""),CHAR(160),"")," ",""),"초등학교","초"),"중학교","중"),"고등학교","고")</f>
      </c>
    </row>
    <row r="1587" customFormat="false" ht="15" hidden="false" customHeight="false" outlineLevel="0" collapsed="false">
      <c r="A1587" s="8"/>
      <c r="B1587" s="8"/>
      <c r="C1587" s="8"/>
      <c r="D1587" s="8"/>
      <c r="E1587" s="8"/>
      <c r="F1587" t="str" s="15">
        <f aca="0">IF(B1587="","",IF(H1587="","확인필요(입력누락)",IF(SUMPRODUCT((실물목록!$P$2:$P$1001&lt;&gt;"")*ISNUMBER(SEARCH(실물목록!$P$2:$P$1001,I1587))*(실물목록!$Q$2:$Q$1001&lt;&gt;"")*ISNUMBER(SEARCH(실물목록!$Q$2:$Q$1001,I1587))*(실물목록!$R$2:$R$1001="")*(실물목록!$O$2:$O$1001&lt;&gt;"")*(실물목록!$O$2:$O$1001=H1587))&gt;0,"실물 있음",IF(SUMPRODUCT((실물목록!$P$2:$P$1001&lt;&gt;"")*ISNUMBER(SEARCH(실물목록!$P$2:$P$1001,I1587))*(실물목록!$R$2:$R$1001&lt;&gt;""))&gt;0,"확인필요(입력누락)",IF(SUMPRODUCT((실물목록!$P$2:$P$1001&lt;&gt;"")*ISNUMBER(SEARCH(실물목록!$P$2:$P$1001,I1587))*(실물목록!$Q$2:$Q$1001&lt;&gt;"")*ISNUMBER(SEARCH(실물목록!$Q$2:$Q$1001,I1587))*(실물목록!$R$2:$R$1001="")*(실물목록!$O$2:$O$1001&lt;&gt;""))&gt;0,"확인필요(연도다름)","실물 없음")))))</f>
      </c>
      <c r="G1587" t="n" s="16">
        <f aca="0">IF(B1587="","",SUMPRODUCT((실물목록!$P$2:$P$1001&lt;&gt;"")*ISNUMBER(SEARCH(실물목록!$P$2:$P$1001,I1587))*(실물목록!$Q$2:$Q$1001&lt;&gt;"")*ISNUMBER(SEARCH(실물목록!$Q$2:$Q$1001,I1587))*(실물목록!$R$2:$R$1001="")*(실물목록!$O$2:$O$1001&lt;&gt;"")*(실물목록!$O$2:$O$1001=H1587)))</f>
      </c>
      <c r="H1587" t="str">
        <f>IFERROR(IF(AND(LEN(SUBSTITUTE(SUBSTITUTE(SUBSTITUTE(TRIM(A1587&amp;""),CHAR(160),"")," ",""),"년",""))=4,VALUE(SUBSTITUTE(SUBSTITUTE(SUBSTITUTE(TRIM(A1587&amp;""),CHAR(160),"")," ",""),"년",""))&gt;=1900,VALUE(SUBSTITUTE(SUBSTITUTE(SUBSTITUTE(TRIM(A1587&amp;""),CHAR(160),"")," ",""),"년",""))&lt;=2099,TEXT(VALUE(SUBSTITUTE(SUBSTITUTE(SUBSTITUTE(TRIM(A1587&amp;""),CHAR(160),"")," ",""),"년","")),"0000")=SUBSTITUTE(SUBSTITUTE(SUBSTITUTE(TRIM(A1587&amp;""),CHAR(160),"")," ",""),"년","")),SUBSTITUTE(SUBSTITUTE(SUBSTITUTE(TRIM(A1587&amp;""),CHAR(160),"")," ",""),"년",""),""),"")</f>
      </c>
      <c r="I1587" t="str">
        <f>SUBSTITUTE(SUBSTITUTE(SUBSTITUTE(SUBSTITUTE(SUBSTITUTE(TRIM(B1587&amp;""),CHAR(160),"")," ",""),"초등학교","초"),"중학교","중"),"고등학교","고")</f>
      </c>
    </row>
    <row r="1588" customFormat="false" ht="15" hidden="false" customHeight="false" outlineLevel="0" collapsed="false">
      <c r="A1588" s="8"/>
      <c r="B1588" s="8"/>
      <c r="C1588" s="8"/>
      <c r="D1588" s="8"/>
      <c r="E1588" s="8"/>
      <c r="F1588" t="str" s="15">
        <f aca="0">IF(B1588="","",IF(H1588="","확인필요(입력누락)",IF(SUMPRODUCT((실물목록!$P$2:$P$1001&lt;&gt;"")*ISNUMBER(SEARCH(실물목록!$P$2:$P$1001,I1588))*(실물목록!$Q$2:$Q$1001&lt;&gt;"")*ISNUMBER(SEARCH(실물목록!$Q$2:$Q$1001,I1588))*(실물목록!$R$2:$R$1001="")*(실물목록!$O$2:$O$1001&lt;&gt;"")*(실물목록!$O$2:$O$1001=H1588))&gt;0,"실물 있음",IF(SUMPRODUCT((실물목록!$P$2:$P$1001&lt;&gt;"")*ISNUMBER(SEARCH(실물목록!$P$2:$P$1001,I1588))*(실물목록!$R$2:$R$1001&lt;&gt;""))&gt;0,"확인필요(입력누락)",IF(SUMPRODUCT((실물목록!$P$2:$P$1001&lt;&gt;"")*ISNUMBER(SEARCH(실물목록!$P$2:$P$1001,I1588))*(실물목록!$Q$2:$Q$1001&lt;&gt;"")*ISNUMBER(SEARCH(실물목록!$Q$2:$Q$1001,I1588))*(실물목록!$R$2:$R$1001="")*(실물목록!$O$2:$O$1001&lt;&gt;""))&gt;0,"확인필요(연도다름)","실물 없음")))))</f>
      </c>
      <c r="G1588" t="n" s="16">
        <f aca="0">IF(B1588="","",SUMPRODUCT((실물목록!$P$2:$P$1001&lt;&gt;"")*ISNUMBER(SEARCH(실물목록!$P$2:$P$1001,I1588))*(실물목록!$Q$2:$Q$1001&lt;&gt;"")*ISNUMBER(SEARCH(실물목록!$Q$2:$Q$1001,I1588))*(실물목록!$R$2:$R$1001="")*(실물목록!$O$2:$O$1001&lt;&gt;"")*(실물목록!$O$2:$O$1001=H1588)))</f>
      </c>
      <c r="H1588" t="str">
        <f>IFERROR(IF(AND(LEN(SUBSTITUTE(SUBSTITUTE(SUBSTITUTE(TRIM(A1588&amp;""),CHAR(160),"")," ",""),"년",""))=4,VALUE(SUBSTITUTE(SUBSTITUTE(SUBSTITUTE(TRIM(A1588&amp;""),CHAR(160),"")," ",""),"년",""))&gt;=1900,VALUE(SUBSTITUTE(SUBSTITUTE(SUBSTITUTE(TRIM(A1588&amp;""),CHAR(160),"")," ",""),"년",""))&lt;=2099,TEXT(VALUE(SUBSTITUTE(SUBSTITUTE(SUBSTITUTE(TRIM(A1588&amp;""),CHAR(160),"")," ",""),"년","")),"0000")=SUBSTITUTE(SUBSTITUTE(SUBSTITUTE(TRIM(A1588&amp;""),CHAR(160),"")," ",""),"년","")),SUBSTITUTE(SUBSTITUTE(SUBSTITUTE(TRIM(A1588&amp;""),CHAR(160),"")," ",""),"년",""),""),"")</f>
      </c>
      <c r="I1588" t="str">
        <f>SUBSTITUTE(SUBSTITUTE(SUBSTITUTE(SUBSTITUTE(SUBSTITUTE(TRIM(B1588&amp;""),CHAR(160),"")," ",""),"초등학교","초"),"중학교","중"),"고등학교","고")</f>
      </c>
    </row>
    <row r="1589" customFormat="false" ht="15" hidden="false" customHeight="false" outlineLevel="0" collapsed="false">
      <c r="A1589" s="8"/>
      <c r="B1589" s="8"/>
      <c r="C1589" s="8"/>
      <c r="D1589" s="8"/>
      <c r="E1589" s="8"/>
      <c r="F1589" t="str" s="15">
        <f aca="0">IF(B1589="","",IF(H1589="","확인필요(입력누락)",IF(SUMPRODUCT((실물목록!$P$2:$P$1001&lt;&gt;"")*ISNUMBER(SEARCH(실물목록!$P$2:$P$1001,I1589))*(실물목록!$Q$2:$Q$1001&lt;&gt;"")*ISNUMBER(SEARCH(실물목록!$Q$2:$Q$1001,I1589))*(실물목록!$R$2:$R$1001="")*(실물목록!$O$2:$O$1001&lt;&gt;"")*(실물목록!$O$2:$O$1001=H1589))&gt;0,"실물 있음",IF(SUMPRODUCT((실물목록!$P$2:$P$1001&lt;&gt;"")*ISNUMBER(SEARCH(실물목록!$P$2:$P$1001,I1589))*(실물목록!$R$2:$R$1001&lt;&gt;""))&gt;0,"확인필요(입력누락)",IF(SUMPRODUCT((실물목록!$P$2:$P$1001&lt;&gt;"")*ISNUMBER(SEARCH(실물목록!$P$2:$P$1001,I1589))*(실물목록!$Q$2:$Q$1001&lt;&gt;"")*ISNUMBER(SEARCH(실물목록!$Q$2:$Q$1001,I1589))*(실물목록!$R$2:$R$1001="")*(실물목록!$O$2:$O$1001&lt;&gt;""))&gt;0,"확인필요(연도다름)","실물 없음")))))</f>
      </c>
      <c r="G1589" t="n" s="16">
        <f aca="0">IF(B1589="","",SUMPRODUCT((실물목록!$P$2:$P$1001&lt;&gt;"")*ISNUMBER(SEARCH(실물목록!$P$2:$P$1001,I1589))*(실물목록!$Q$2:$Q$1001&lt;&gt;"")*ISNUMBER(SEARCH(실물목록!$Q$2:$Q$1001,I1589))*(실물목록!$R$2:$R$1001="")*(실물목록!$O$2:$O$1001&lt;&gt;"")*(실물목록!$O$2:$O$1001=H1589)))</f>
      </c>
      <c r="H1589" t="str">
        <f>IFERROR(IF(AND(LEN(SUBSTITUTE(SUBSTITUTE(SUBSTITUTE(TRIM(A1589&amp;""),CHAR(160),"")," ",""),"년",""))=4,VALUE(SUBSTITUTE(SUBSTITUTE(SUBSTITUTE(TRIM(A1589&amp;""),CHAR(160),"")," ",""),"년",""))&gt;=1900,VALUE(SUBSTITUTE(SUBSTITUTE(SUBSTITUTE(TRIM(A1589&amp;""),CHAR(160),"")," ",""),"년",""))&lt;=2099,TEXT(VALUE(SUBSTITUTE(SUBSTITUTE(SUBSTITUTE(TRIM(A1589&amp;""),CHAR(160),"")," ",""),"년","")),"0000")=SUBSTITUTE(SUBSTITUTE(SUBSTITUTE(TRIM(A1589&amp;""),CHAR(160),"")," ",""),"년","")),SUBSTITUTE(SUBSTITUTE(SUBSTITUTE(TRIM(A1589&amp;""),CHAR(160),"")," ",""),"년",""),""),"")</f>
      </c>
      <c r="I1589" t="str">
        <f>SUBSTITUTE(SUBSTITUTE(SUBSTITUTE(SUBSTITUTE(SUBSTITUTE(TRIM(B1589&amp;""),CHAR(160),"")," ",""),"초등학교","초"),"중학교","중"),"고등학교","고")</f>
      </c>
    </row>
    <row r="1590" customFormat="false" ht="15" hidden="false" customHeight="false" outlineLevel="0" collapsed="false">
      <c r="A1590" s="8"/>
      <c r="B1590" s="8"/>
      <c r="C1590" s="8"/>
      <c r="D1590" s="8"/>
      <c r="E1590" s="8"/>
      <c r="F1590" t="str" s="15">
        <f aca="0">IF(B1590="","",IF(H1590="","확인필요(입력누락)",IF(SUMPRODUCT((실물목록!$P$2:$P$1001&lt;&gt;"")*ISNUMBER(SEARCH(실물목록!$P$2:$P$1001,I1590))*(실물목록!$Q$2:$Q$1001&lt;&gt;"")*ISNUMBER(SEARCH(실물목록!$Q$2:$Q$1001,I1590))*(실물목록!$R$2:$R$1001="")*(실물목록!$O$2:$O$1001&lt;&gt;"")*(실물목록!$O$2:$O$1001=H1590))&gt;0,"실물 있음",IF(SUMPRODUCT((실물목록!$P$2:$P$1001&lt;&gt;"")*ISNUMBER(SEARCH(실물목록!$P$2:$P$1001,I1590))*(실물목록!$R$2:$R$1001&lt;&gt;""))&gt;0,"확인필요(입력누락)",IF(SUMPRODUCT((실물목록!$P$2:$P$1001&lt;&gt;"")*ISNUMBER(SEARCH(실물목록!$P$2:$P$1001,I1590))*(실물목록!$Q$2:$Q$1001&lt;&gt;"")*ISNUMBER(SEARCH(실물목록!$Q$2:$Q$1001,I1590))*(실물목록!$R$2:$R$1001="")*(실물목록!$O$2:$O$1001&lt;&gt;""))&gt;0,"확인필요(연도다름)","실물 없음")))))</f>
      </c>
      <c r="G1590" t="n" s="16">
        <f aca="0">IF(B1590="","",SUMPRODUCT((실물목록!$P$2:$P$1001&lt;&gt;"")*ISNUMBER(SEARCH(실물목록!$P$2:$P$1001,I1590))*(실물목록!$Q$2:$Q$1001&lt;&gt;"")*ISNUMBER(SEARCH(실물목록!$Q$2:$Q$1001,I1590))*(실물목록!$R$2:$R$1001="")*(실물목록!$O$2:$O$1001&lt;&gt;"")*(실물목록!$O$2:$O$1001=H1590)))</f>
      </c>
      <c r="H1590" t="str">
        <f>IFERROR(IF(AND(LEN(SUBSTITUTE(SUBSTITUTE(SUBSTITUTE(TRIM(A1590&amp;""),CHAR(160),"")," ",""),"년",""))=4,VALUE(SUBSTITUTE(SUBSTITUTE(SUBSTITUTE(TRIM(A1590&amp;""),CHAR(160),"")," ",""),"년",""))&gt;=1900,VALUE(SUBSTITUTE(SUBSTITUTE(SUBSTITUTE(TRIM(A1590&amp;""),CHAR(160),"")," ",""),"년",""))&lt;=2099,TEXT(VALUE(SUBSTITUTE(SUBSTITUTE(SUBSTITUTE(TRIM(A1590&amp;""),CHAR(160),"")," ",""),"년","")),"0000")=SUBSTITUTE(SUBSTITUTE(SUBSTITUTE(TRIM(A1590&amp;""),CHAR(160),"")," ",""),"년","")),SUBSTITUTE(SUBSTITUTE(SUBSTITUTE(TRIM(A1590&amp;""),CHAR(160),"")," ",""),"년",""),""),"")</f>
      </c>
      <c r="I1590" t="str">
        <f>SUBSTITUTE(SUBSTITUTE(SUBSTITUTE(SUBSTITUTE(SUBSTITUTE(TRIM(B1590&amp;""),CHAR(160),"")," ",""),"초등학교","초"),"중학교","중"),"고등학교","고")</f>
      </c>
    </row>
    <row r="1591" customFormat="false" ht="15" hidden="false" customHeight="false" outlineLevel="0" collapsed="false">
      <c r="A1591" s="8"/>
      <c r="B1591" s="8"/>
      <c r="C1591" s="8"/>
      <c r="D1591" s="8"/>
      <c r="E1591" s="8"/>
      <c r="F1591" t="str" s="15">
        <f aca="0">IF(B1591="","",IF(H1591="","확인필요(입력누락)",IF(SUMPRODUCT((실물목록!$P$2:$P$1001&lt;&gt;"")*ISNUMBER(SEARCH(실물목록!$P$2:$P$1001,I1591))*(실물목록!$Q$2:$Q$1001&lt;&gt;"")*ISNUMBER(SEARCH(실물목록!$Q$2:$Q$1001,I1591))*(실물목록!$R$2:$R$1001="")*(실물목록!$O$2:$O$1001&lt;&gt;"")*(실물목록!$O$2:$O$1001=H1591))&gt;0,"실물 있음",IF(SUMPRODUCT((실물목록!$P$2:$P$1001&lt;&gt;"")*ISNUMBER(SEARCH(실물목록!$P$2:$P$1001,I1591))*(실물목록!$R$2:$R$1001&lt;&gt;""))&gt;0,"확인필요(입력누락)",IF(SUMPRODUCT((실물목록!$P$2:$P$1001&lt;&gt;"")*ISNUMBER(SEARCH(실물목록!$P$2:$P$1001,I1591))*(실물목록!$Q$2:$Q$1001&lt;&gt;"")*ISNUMBER(SEARCH(실물목록!$Q$2:$Q$1001,I1591))*(실물목록!$R$2:$R$1001="")*(실물목록!$O$2:$O$1001&lt;&gt;""))&gt;0,"확인필요(연도다름)","실물 없음")))))</f>
      </c>
      <c r="G1591" t="n" s="16">
        <f aca="0">IF(B1591="","",SUMPRODUCT((실물목록!$P$2:$P$1001&lt;&gt;"")*ISNUMBER(SEARCH(실물목록!$P$2:$P$1001,I1591))*(실물목록!$Q$2:$Q$1001&lt;&gt;"")*ISNUMBER(SEARCH(실물목록!$Q$2:$Q$1001,I1591))*(실물목록!$R$2:$R$1001="")*(실물목록!$O$2:$O$1001&lt;&gt;"")*(실물목록!$O$2:$O$1001=H1591)))</f>
      </c>
      <c r="H1591" t="str">
        <f>IFERROR(IF(AND(LEN(SUBSTITUTE(SUBSTITUTE(SUBSTITUTE(TRIM(A1591&amp;""),CHAR(160),"")," ",""),"년",""))=4,VALUE(SUBSTITUTE(SUBSTITUTE(SUBSTITUTE(TRIM(A1591&amp;""),CHAR(160),"")," ",""),"년",""))&gt;=1900,VALUE(SUBSTITUTE(SUBSTITUTE(SUBSTITUTE(TRIM(A1591&amp;""),CHAR(160),"")," ",""),"년",""))&lt;=2099,TEXT(VALUE(SUBSTITUTE(SUBSTITUTE(SUBSTITUTE(TRIM(A1591&amp;""),CHAR(160),"")," ",""),"년","")),"0000")=SUBSTITUTE(SUBSTITUTE(SUBSTITUTE(TRIM(A1591&amp;""),CHAR(160),"")," ",""),"년","")),SUBSTITUTE(SUBSTITUTE(SUBSTITUTE(TRIM(A1591&amp;""),CHAR(160),"")," ",""),"년",""),""),"")</f>
      </c>
      <c r="I1591" t="str">
        <f>SUBSTITUTE(SUBSTITUTE(SUBSTITUTE(SUBSTITUTE(SUBSTITUTE(TRIM(B1591&amp;""),CHAR(160),"")," ",""),"초등학교","초"),"중학교","중"),"고등학교","고")</f>
      </c>
    </row>
    <row r="1592" customFormat="false" ht="15" hidden="false" customHeight="false" outlineLevel="0" collapsed="false">
      <c r="A1592" s="8"/>
      <c r="B1592" s="8"/>
      <c r="C1592" s="8"/>
      <c r="D1592" s="8"/>
      <c r="E1592" s="8"/>
      <c r="F1592" t="str" s="15">
        <f aca="0">IF(B1592="","",IF(H1592="","확인필요(입력누락)",IF(SUMPRODUCT((실물목록!$P$2:$P$1001&lt;&gt;"")*ISNUMBER(SEARCH(실물목록!$P$2:$P$1001,I1592))*(실물목록!$Q$2:$Q$1001&lt;&gt;"")*ISNUMBER(SEARCH(실물목록!$Q$2:$Q$1001,I1592))*(실물목록!$R$2:$R$1001="")*(실물목록!$O$2:$O$1001&lt;&gt;"")*(실물목록!$O$2:$O$1001=H1592))&gt;0,"실물 있음",IF(SUMPRODUCT((실물목록!$P$2:$P$1001&lt;&gt;"")*ISNUMBER(SEARCH(실물목록!$P$2:$P$1001,I1592))*(실물목록!$R$2:$R$1001&lt;&gt;""))&gt;0,"확인필요(입력누락)",IF(SUMPRODUCT((실물목록!$P$2:$P$1001&lt;&gt;"")*ISNUMBER(SEARCH(실물목록!$P$2:$P$1001,I1592))*(실물목록!$Q$2:$Q$1001&lt;&gt;"")*ISNUMBER(SEARCH(실물목록!$Q$2:$Q$1001,I1592))*(실물목록!$R$2:$R$1001="")*(실물목록!$O$2:$O$1001&lt;&gt;""))&gt;0,"확인필요(연도다름)","실물 없음")))))</f>
      </c>
      <c r="G1592" t="n" s="16">
        <f aca="0">IF(B1592="","",SUMPRODUCT((실물목록!$P$2:$P$1001&lt;&gt;"")*ISNUMBER(SEARCH(실물목록!$P$2:$P$1001,I1592))*(실물목록!$Q$2:$Q$1001&lt;&gt;"")*ISNUMBER(SEARCH(실물목록!$Q$2:$Q$1001,I1592))*(실물목록!$R$2:$R$1001="")*(실물목록!$O$2:$O$1001&lt;&gt;"")*(실물목록!$O$2:$O$1001=H1592)))</f>
      </c>
      <c r="H1592" t="str">
        <f>IFERROR(IF(AND(LEN(SUBSTITUTE(SUBSTITUTE(SUBSTITUTE(TRIM(A1592&amp;""),CHAR(160),"")," ",""),"년",""))=4,VALUE(SUBSTITUTE(SUBSTITUTE(SUBSTITUTE(TRIM(A1592&amp;""),CHAR(160),"")," ",""),"년",""))&gt;=1900,VALUE(SUBSTITUTE(SUBSTITUTE(SUBSTITUTE(TRIM(A1592&amp;""),CHAR(160),"")," ",""),"년",""))&lt;=2099,TEXT(VALUE(SUBSTITUTE(SUBSTITUTE(SUBSTITUTE(TRIM(A1592&amp;""),CHAR(160),"")," ",""),"년","")),"0000")=SUBSTITUTE(SUBSTITUTE(SUBSTITUTE(TRIM(A1592&amp;""),CHAR(160),"")," ",""),"년","")),SUBSTITUTE(SUBSTITUTE(SUBSTITUTE(TRIM(A1592&amp;""),CHAR(160),"")," ",""),"년",""),""),"")</f>
      </c>
      <c r="I1592" t="str">
        <f>SUBSTITUTE(SUBSTITUTE(SUBSTITUTE(SUBSTITUTE(SUBSTITUTE(TRIM(B1592&amp;""),CHAR(160),"")," ",""),"초등학교","초"),"중학교","중"),"고등학교","고")</f>
      </c>
    </row>
    <row r="1593" customFormat="false" ht="15" hidden="false" customHeight="false" outlineLevel="0" collapsed="false">
      <c r="A1593" s="8"/>
      <c r="B1593" s="8"/>
      <c r="C1593" s="8"/>
      <c r="D1593" s="8"/>
      <c r="E1593" s="8"/>
      <c r="F1593" t="str" s="15">
        <f aca="0">IF(B1593="","",IF(H1593="","확인필요(입력누락)",IF(SUMPRODUCT((실물목록!$P$2:$P$1001&lt;&gt;"")*ISNUMBER(SEARCH(실물목록!$P$2:$P$1001,I1593))*(실물목록!$Q$2:$Q$1001&lt;&gt;"")*ISNUMBER(SEARCH(실물목록!$Q$2:$Q$1001,I1593))*(실물목록!$R$2:$R$1001="")*(실물목록!$O$2:$O$1001&lt;&gt;"")*(실물목록!$O$2:$O$1001=H1593))&gt;0,"실물 있음",IF(SUMPRODUCT((실물목록!$P$2:$P$1001&lt;&gt;"")*ISNUMBER(SEARCH(실물목록!$P$2:$P$1001,I1593))*(실물목록!$R$2:$R$1001&lt;&gt;""))&gt;0,"확인필요(입력누락)",IF(SUMPRODUCT((실물목록!$P$2:$P$1001&lt;&gt;"")*ISNUMBER(SEARCH(실물목록!$P$2:$P$1001,I1593))*(실물목록!$Q$2:$Q$1001&lt;&gt;"")*ISNUMBER(SEARCH(실물목록!$Q$2:$Q$1001,I1593))*(실물목록!$R$2:$R$1001="")*(실물목록!$O$2:$O$1001&lt;&gt;""))&gt;0,"확인필요(연도다름)","실물 없음")))))</f>
      </c>
      <c r="G1593" t="n" s="16">
        <f aca="0">IF(B1593="","",SUMPRODUCT((실물목록!$P$2:$P$1001&lt;&gt;"")*ISNUMBER(SEARCH(실물목록!$P$2:$P$1001,I1593))*(실물목록!$Q$2:$Q$1001&lt;&gt;"")*ISNUMBER(SEARCH(실물목록!$Q$2:$Q$1001,I1593))*(실물목록!$R$2:$R$1001="")*(실물목록!$O$2:$O$1001&lt;&gt;"")*(실물목록!$O$2:$O$1001=H1593)))</f>
      </c>
      <c r="H1593" t="str">
        <f>IFERROR(IF(AND(LEN(SUBSTITUTE(SUBSTITUTE(SUBSTITUTE(TRIM(A1593&amp;""),CHAR(160),"")," ",""),"년",""))=4,VALUE(SUBSTITUTE(SUBSTITUTE(SUBSTITUTE(TRIM(A1593&amp;""),CHAR(160),"")," ",""),"년",""))&gt;=1900,VALUE(SUBSTITUTE(SUBSTITUTE(SUBSTITUTE(TRIM(A1593&amp;""),CHAR(160),"")," ",""),"년",""))&lt;=2099,TEXT(VALUE(SUBSTITUTE(SUBSTITUTE(SUBSTITUTE(TRIM(A1593&amp;""),CHAR(160),"")," ",""),"년","")),"0000")=SUBSTITUTE(SUBSTITUTE(SUBSTITUTE(TRIM(A1593&amp;""),CHAR(160),"")," ",""),"년","")),SUBSTITUTE(SUBSTITUTE(SUBSTITUTE(TRIM(A1593&amp;""),CHAR(160),"")," ",""),"년",""),""),"")</f>
      </c>
      <c r="I1593" t="str">
        <f>SUBSTITUTE(SUBSTITUTE(SUBSTITUTE(SUBSTITUTE(SUBSTITUTE(TRIM(B1593&amp;""),CHAR(160),"")," ",""),"초등학교","초"),"중학교","중"),"고등학교","고")</f>
      </c>
    </row>
    <row r="1594" customFormat="false" ht="15" hidden="false" customHeight="false" outlineLevel="0" collapsed="false">
      <c r="A1594" s="8"/>
      <c r="B1594" s="8"/>
      <c r="C1594" s="8"/>
      <c r="D1594" s="8"/>
      <c r="E1594" s="8"/>
      <c r="F1594" t="str" s="15">
        <f aca="0">IF(B1594="","",IF(H1594="","확인필요(입력누락)",IF(SUMPRODUCT((실물목록!$P$2:$P$1001&lt;&gt;"")*ISNUMBER(SEARCH(실물목록!$P$2:$P$1001,I1594))*(실물목록!$Q$2:$Q$1001&lt;&gt;"")*ISNUMBER(SEARCH(실물목록!$Q$2:$Q$1001,I1594))*(실물목록!$R$2:$R$1001="")*(실물목록!$O$2:$O$1001&lt;&gt;"")*(실물목록!$O$2:$O$1001=H1594))&gt;0,"실물 있음",IF(SUMPRODUCT((실물목록!$P$2:$P$1001&lt;&gt;"")*ISNUMBER(SEARCH(실물목록!$P$2:$P$1001,I1594))*(실물목록!$R$2:$R$1001&lt;&gt;""))&gt;0,"확인필요(입력누락)",IF(SUMPRODUCT((실물목록!$P$2:$P$1001&lt;&gt;"")*ISNUMBER(SEARCH(실물목록!$P$2:$P$1001,I1594))*(실물목록!$Q$2:$Q$1001&lt;&gt;"")*ISNUMBER(SEARCH(실물목록!$Q$2:$Q$1001,I1594))*(실물목록!$R$2:$R$1001="")*(실물목록!$O$2:$O$1001&lt;&gt;""))&gt;0,"확인필요(연도다름)","실물 없음")))))</f>
      </c>
      <c r="G1594" t="n" s="16">
        <f aca="0">IF(B1594="","",SUMPRODUCT((실물목록!$P$2:$P$1001&lt;&gt;"")*ISNUMBER(SEARCH(실물목록!$P$2:$P$1001,I1594))*(실물목록!$Q$2:$Q$1001&lt;&gt;"")*ISNUMBER(SEARCH(실물목록!$Q$2:$Q$1001,I1594))*(실물목록!$R$2:$R$1001="")*(실물목록!$O$2:$O$1001&lt;&gt;"")*(실물목록!$O$2:$O$1001=H1594)))</f>
      </c>
      <c r="H1594" t="str">
        <f>IFERROR(IF(AND(LEN(SUBSTITUTE(SUBSTITUTE(SUBSTITUTE(TRIM(A1594&amp;""),CHAR(160),"")," ",""),"년",""))=4,VALUE(SUBSTITUTE(SUBSTITUTE(SUBSTITUTE(TRIM(A1594&amp;""),CHAR(160),"")," ",""),"년",""))&gt;=1900,VALUE(SUBSTITUTE(SUBSTITUTE(SUBSTITUTE(TRIM(A1594&amp;""),CHAR(160),"")," ",""),"년",""))&lt;=2099,TEXT(VALUE(SUBSTITUTE(SUBSTITUTE(SUBSTITUTE(TRIM(A1594&amp;""),CHAR(160),"")," ",""),"년","")),"0000")=SUBSTITUTE(SUBSTITUTE(SUBSTITUTE(TRIM(A1594&amp;""),CHAR(160),"")," ",""),"년","")),SUBSTITUTE(SUBSTITUTE(SUBSTITUTE(TRIM(A1594&amp;""),CHAR(160),"")," ",""),"년",""),""),"")</f>
      </c>
      <c r="I1594" t="str">
        <f>SUBSTITUTE(SUBSTITUTE(SUBSTITUTE(SUBSTITUTE(SUBSTITUTE(TRIM(B1594&amp;""),CHAR(160),"")," ",""),"초등학교","초"),"중학교","중"),"고등학교","고")</f>
      </c>
    </row>
    <row r="1595" customFormat="false" ht="15" hidden="false" customHeight="false" outlineLevel="0" collapsed="false">
      <c r="A1595" s="8"/>
      <c r="B1595" s="8"/>
      <c r="C1595" s="8"/>
      <c r="D1595" s="8"/>
      <c r="E1595" s="8"/>
      <c r="F1595" t="str" s="15">
        <f aca="0">IF(B1595="","",IF(H1595="","확인필요(입력누락)",IF(SUMPRODUCT((실물목록!$P$2:$P$1001&lt;&gt;"")*ISNUMBER(SEARCH(실물목록!$P$2:$P$1001,I1595))*(실물목록!$Q$2:$Q$1001&lt;&gt;"")*ISNUMBER(SEARCH(실물목록!$Q$2:$Q$1001,I1595))*(실물목록!$R$2:$R$1001="")*(실물목록!$O$2:$O$1001&lt;&gt;"")*(실물목록!$O$2:$O$1001=H1595))&gt;0,"실물 있음",IF(SUMPRODUCT((실물목록!$P$2:$P$1001&lt;&gt;"")*ISNUMBER(SEARCH(실물목록!$P$2:$P$1001,I1595))*(실물목록!$R$2:$R$1001&lt;&gt;""))&gt;0,"확인필요(입력누락)",IF(SUMPRODUCT((실물목록!$P$2:$P$1001&lt;&gt;"")*ISNUMBER(SEARCH(실물목록!$P$2:$P$1001,I1595))*(실물목록!$Q$2:$Q$1001&lt;&gt;"")*ISNUMBER(SEARCH(실물목록!$Q$2:$Q$1001,I1595))*(실물목록!$R$2:$R$1001="")*(실물목록!$O$2:$O$1001&lt;&gt;""))&gt;0,"확인필요(연도다름)","실물 없음")))))</f>
      </c>
      <c r="G1595" t="n" s="16">
        <f aca="0">IF(B1595="","",SUMPRODUCT((실물목록!$P$2:$P$1001&lt;&gt;"")*ISNUMBER(SEARCH(실물목록!$P$2:$P$1001,I1595))*(실물목록!$Q$2:$Q$1001&lt;&gt;"")*ISNUMBER(SEARCH(실물목록!$Q$2:$Q$1001,I1595))*(실물목록!$R$2:$R$1001="")*(실물목록!$O$2:$O$1001&lt;&gt;"")*(실물목록!$O$2:$O$1001=H1595)))</f>
      </c>
      <c r="H1595" t="str">
        <f>IFERROR(IF(AND(LEN(SUBSTITUTE(SUBSTITUTE(SUBSTITUTE(TRIM(A1595&amp;""),CHAR(160),"")," ",""),"년",""))=4,VALUE(SUBSTITUTE(SUBSTITUTE(SUBSTITUTE(TRIM(A1595&amp;""),CHAR(160),"")," ",""),"년",""))&gt;=1900,VALUE(SUBSTITUTE(SUBSTITUTE(SUBSTITUTE(TRIM(A1595&amp;""),CHAR(160),"")," ",""),"년",""))&lt;=2099,TEXT(VALUE(SUBSTITUTE(SUBSTITUTE(SUBSTITUTE(TRIM(A1595&amp;""),CHAR(160),"")," ",""),"년","")),"0000")=SUBSTITUTE(SUBSTITUTE(SUBSTITUTE(TRIM(A1595&amp;""),CHAR(160),"")," ",""),"년","")),SUBSTITUTE(SUBSTITUTE(SUBSTITUTE(TRIM(A1595&amp;""),CHAR(160),"")," ",""),"년",""),""),"")</f>
      </c>
      <c r="I1595" t="str">
        <f>SUBSTITUTE(SUBSTITUTE(SUBSTITUTE(SUBSTITUTE(SUBSTITUTE(TRIM(B1595&amp;""),CHAR(160),"")," ",""),"초등학교","초"),"중학교","중"),"고등학교","고")</f>
      </c>
    </row>
    <row r="1596" customFormat="false" ht="15" hidden="false" customHeight="false" outlineLevel="0" collapsed="false">
      <c r="A1596" s="8"/>
      <c r="B1596" s="8"/>
      <c r="C1596" s="8"/>
      <c r="D1596" s="8"/>
      <c r="E1596" s="8"/>
      <c r="F1596" t="str" s="15">
        <f aca="0">IF(B1596="","",IF(H1596="","확인필요(입력누락)",IF(SUMPRODUCT((실물목록!$P$2:$P$1001&lt;&gt;"")*ISNUMBER(SEARCH(실물목록!$P$2:$P$1001,I1596))*(실물목록!$Q$2:$Q$1001&lt;&gt;"")*ISNUMBER(SEARCH(실물목록!$Q$2:$Q$1001,I1596))*(실물목록!$R$2:$R$1001="")*(실물목록!$O$2:$O$1001&lt;&gt;"")*(실물목록!$O$2:$O$1001=H1596))&gt;0,"실물 있음",IF(SUMPRODUCT((실물목록!$P$2:$P$1001&lt;&gt;"")*ISNUMBER(SEARCH(실물목록!$P$2:$P$1001,I1596))*(실물목록!$R$2:$R$1001&lt;&gt;""))&gt;0,"확인필요(입력누락)",IF(SUMPRODUCT((실물목록!$P$2:$P$1001&lt;&gt;"")*ISNUMBER(SEARCH(실물목록!$P$2:$P$1001,I1596))*(실물목록!$Q$2:$Q$1001&lt;&gt;"")*ISNUMBER(SEARCH(실물목록!$Q$2:$Q$1001,I1596))*(실물목록!$R$2:$R$1001="")*(실물목록!$O$2:$O$1001&lt;&gt;""))&gt;0,"확인필요(연도다름)","실물 없음")))))</f>
      </c>
      <c r="G1596" t="n" s="16">
        <f aca="0">IF(B1596="","",SUMPRODUCT((실물목록!$P$2:$P$1001&lt;&gt;"")*ISNUMBER(SEARCH(실물목록!$P$2:$P$1001,I1596))*(실물목록!$Q$2:$Q$1001&lt;&gt;"")*ISNUMBER(SEARCH(실물목록!$Q$2:$Q$1001,I1596))*(실물목록!$R$2:$R$1001="")*(실물목록!$O$2:$O$1001&lt;&gt;"")*(실물목록!$O$2:$O$1001=H1596)))</f>
      </c>
      <c r="H1596" t="str">
        <f>IFERROR(IF(AND(LEN(SUBSTITUTE(SUBSTITUTE(SUBSTITUTE(TRIM(A1596&amp;""),CHAR(160),"")," ",""),"년",""))=4,VALUE(SUBSTITUTE(SUBSTITUTE(SUBSTITUTE(TRIM(A1596&amp;""),CHAR(160),"")," ",""),"년",""))&gt;=1900,VALUE(SUBSTITUTE(SUBSTITUTE(SUBSTITUTE(TRIM(A1596&amp;""),CHAR(160),"")," ",""),"년",""))&lt;=2099,TEXT(VALUE(SUBSTITUTE(SUBSTITUTE(SUBSTITUTE(TRIM(A1596&amp;""),CHAR(160),"")," ",""),"년","")),"0000")=SUBSTITUTE(SUBSTITUTE(SUBSTITUTE(TRIM(A1596&amp;""),CHAR(160),"")," ",""),"년","")),SUBSTITUTE(SUBSTITUTE(SUBSTITUTE(TRIM(A1596&amp;""),CHAR(160),"")," ",""),"년",""),""),"")</f>
      </c>
      <c r="I1596" t="str">
        <f>SUBSTITUTE(SUBSTITUTE(SUBSTITUTE(SUBSTITUTE(SUBSTITUTE(TRIM(B1596&amp;""),CHAR(160),"")," ",""),"초등학교","초"),"중학교","중"),"고등학교","고")</f>
      </c>
    </row>
    <row r="1597" customFormat="false" ht="15" hidden="false" customHeight="false" outlineLevel="0" collapsed="false">
      <c r="A1597" s="8"/>
      <c r="B1597" s="8"/>
      <c r="C1597" s="8"/>
      <c r="D1597" s="8"/>
      <c r="E1597" s="8"/>
      <c r="F1597" t="str" s="15">
        <f aca="0">IF(B1597="","",IF(H1597="","확인필요(입력누락)",IF(SUMPRODUCT((실물목록!$P$2:$P$1001&lt;&gt;"")*ISNUMBER(SEARCH(실물목록!$P$2:$P$1001,I1597))*(실물목록!$Q$2:$Q$1001&lt;&gt;"")*ISNUMBER(SEARCH(실물목록!$Q$2:$Q$1001,I1597))*(실물목록!$R$2:$R$1001="")*(실물목록!$O$2:$O$1001&lt;&gt;"")*(실물목록!$O$2:$O$1001=H1597))&gt;0,"실물 있음",IF(SUMPRODUCT((실물목록!$P$2:$P$1001&lt;&gt;"")*ISNUMBER(SEARCH(실물목록!$P$2:$P$1001,I1597))*(실물목록!$R$2:$R$1001&lt;&gt;""))&gt;0,"확인필요(입력누락)",IF(SUMPRODUCT((실물목록!$P$2:$P$1001&lt;&gt;"")*ISNUMBER(SEARCH(실물목록!$P$2:$P$1001,I1597))*(실물목록!$Q$2:$Q$1001&lt;&gt;"")*ISNUMBER(SEARCH(실물목록!$Q$2:$Q$1001,I1597))*(실물목록!$R$2:$R$1001="")*(실물목록!$O$2:$O$1001&lt;&gt;""))&gt;0,"확인필요(연도다름)","실물 없음")))))</f>
      </c>
      <c r="G1597" t="n" s="16">
        <f aca="0">IF(B1597="","",SUMPRODUCT((실물목록!$P$2:$P$1001&lt;&gt;"")*ISNUMBER(SEARCH(실물목록!$P$2:$P$1001,I1597))*(실물목록!$Q$2:$Q$1001&lt;&gt;"")*ISNUMBER(SEARCH(실물목록!$Q$2:$Q$1001,I1597))*(실물목록!$R$2:$R$1001="")*(실물목록!$O$2:$O$1001&lt;&gt;"")*(실물목록!$O$2:$O$1001=H1597)))</f>
      </c>
      <c r="H1597" t="str">
        <f>IFERROR(IF(AND(LEN(SUBSTITUTE(SUBSTITUTE(SUBSTITUTE(TRIM(A1597&amp;""),CHAR(160),"")," ",""),"년",""))=4,VALUE(SUBSTITUTE(SUBSTITUTE(SUBSTITUTE(TRIM(A1597&amp;""),CHAR(160),"")," ",""),"년",""))&gt;=1900,VALUE(SUBSTITUTE(SUBSTITUTE(SUBSTITUTE(TRIM(A1597&amp;""),CHAR(160),"")," ",""),"년",""))&lt;=2099,TEXT(VALUE(SUBSTITUTE(SUBSTITUTE(SUBSTITUTE(TRIM(A1597&amp;""),CHAR(160),"")," ",""),"년","")),"0000")=SUBSTITUTE(SUBSTITUTE(SUBSTITUTE(TRIM(A1597&amp;""),CHAR(160),"")," ",""),"년","")),SUBSTITUTE(SUBSTITUTE(SUBSTITUTE(TRIM(A1597&amp;""),CHAR(160),"")," ",""),"년",""),""),"")</f>
      </c>
      <c r="I1597" t="str">
        <f>SUBSTITUTE(SUBSTITUTE(SUBSTITUTE(SUBSTITUTE(SUBSTITUTE(TRIM(B1597&amp;""),CHAR(160),"")," ",""),"초등학교","초"),"중학교","중"),"고등학교","고")</f>
      </c>
    </row>
    <row r="1598" customFormat="false" ht="15" hidden="false" customHeight="false" outlineLevel="0" collapsed="false">
      <c r="A1598" s="8"/>
      <c r="B1598" s="8"/>
      <c r="C1598" s="8"/>
      <c r="D1598" s="8"/>
      <c r="E1598" s="8"/>
      <c r="F1598" t="str" s="15">
        <f aca="0">IF(B1598="","",IF(H1598="","확인필요(입력누락)",IF(SUMPRODUCT((실물목록!$P$2:$P$1001&lt;&gt;"")*ISNUMBER(SEARCH(실물목록!$P$2:$P$1001,I1598))*(실물목록!$Q$2:$Q$1001&lt;&gt;"")*ISNUMBER(SEARCH(실물목록!$Q$2:$Q$1001,I1598))*(실물목록!$R$2:$R$1001="")*(실물목록!$O$2:$O$1001&lt;&gt;"")*(실물목록!$O$2:$O$1001=H1598))&gt;0,"실물 있음",IF(SUMPRODUCT((실물목록!$P$2:$P$1001&lt;&gt;"")*ISNUMBER(SEARCH(실물목록!$P$2:$P$1001,I1598))*(실물목록!$R$2:$R$1001&lt;&gt;""))&gt;0,"확인필요(입력누락)",IF(SUMPRODUCT((실물목록!$P$2:$P$1001&lt;&gt;"")*ISNUMBER(SEARCH(실물목록!$P$2:$P$1001,I1598))*(실물목록!$Q$2:$Q$1001&lt;&gt;"")*ISNUMBER(SEARCH(실물목록!$Q$2:$Q$1001,I1598))*(실물목록!$R$2:$R$1001="")*(실물목록!$O$2:$O$1001&lt;&gt;""))&gt;0,"확인필요(연도다름)","실물 없음")))))</f>
      </c>
      <c r="G1598" t="n" s="16">
        <f aca="0">IF(B1598="","",SUMPRODUCT((실물목록!$P$2:$P$1001&lt;&gt;"")*ISNUMBER(SEARCH(실물목록!$P$2:$P$1001,I1598))*(실물목록!$Q$2:$Q$1001&lt;&gt;"")*ISNUMBER(SEARCH(실물목록!$Q$2:$Q$1001,I1598))*(실물목록!$R$2:$R$1001="")*(실물목록!$O$2:$O$1001&lt;&gt;"")*(실물목록!$O$2:$O$1001=H1598)))</f>
      </c>
      <c r="H1598" t="str">
        <f>IFERROR(IF(AND(LEN(SUBSTITUTE(SUBSTITUTE(SUBSTITUTE(TRIM(A1598&amp;""),CHAR(160),"")," ",""),"년",""))=4,VALUE(SUBSTITUTE(SUBSTITUTE(SUBSTITUTE(TRIM(A1598&amp;""),CHAR(160),"")," ",""),"년",""))&gt;=1900,VALUE(SUBSTITUTE(SUBSTITUTE(SUBSTITUTE(TRIM(A1598&amp;""),CHAR(160),"")," ",""),"년",""))&lt;=2099,TEXT(VALUE(SUBSTITUTE(SUBSTITUTE(SUBSTITUTE(TRIM(A1598&amp;""),CHAR(160),"")," ",""),"년","")),"0000")=SUBSTITUTE(SUBSTITUTE(SUBSTITUTE(TRIM(A1598&amp;""),CHAR(160),"")," ",""),"년","")),SUBSTITUTE(SUBSTITUTE(SUBSTITUTE(TRIM(A1598&amp;""),CHAR(160),"")," ",""),"년",""),""),"")</f>
      </c>
      <c r="I1598" t="str">
        <f>SUBSTITUTE(SUBSTITUTE(SUBSTITUTE(SUBSTITUTE(SUBSTITUTE(TRIM(B1598&amp;""),CHAR(160),"")," ",""),"초등학교","초"),"중학교","중"),"고등학교","고")</f>
      </c>
    </row>
    <row r="1599" customFormat="false" ht="15" hidden="false" customHeight="false" outlineLevel="0" collapsed="false">
      <c r="A1599" s="8"/>
      <c r="B1599" s="8"/>
      <c r="C1599" s="8"/>
      <c r="D1599" s="8"/>
      <c r="E1599" s="8"/>
      <c r="F1599" t="str" s="15">
        <f aca="0">IF(B1599="","",IF(H1599="","확인필요(입력누락)",IF(SUMPRODUCT((실물목록!$P$2:$P$1001&lt;&gt;"")*ISNUMBER(SEARCH(실물목록!$P$2:$P$1001,I1599))*(실물목록!$Q$2:$Q$1001&lt;&gt;"")*ISNUMBER(SEARCH(실물목록!$Q$2:$Q$1001,I1599))*(실물목록!$R$2:$R$1001="")*(실물목록!$O$2:$O$1001&lt;&gt;"")*(실물목록!$O$2:$O$1001=H1599))&gt;0,"실물 있음",IF(SUMPRODUCT((실물목록!$P$2:$P$1001&lt;&gt;"")*ISNUMBER(SEARCH(실물목록!$P$2:$P$1001,I1599))*(실물목록!$R$2:$R$1001&lt;&gt;""))&gt;0,"확인필요(입력누락)",IF(SUMPRODUCT((실물목록!$P$2:$P$1001&lt;&gt;"")*ISNUMBER(SEARCH(실물목록!$P$2:$P$1001,I1599))*(실물목록!$Q$2:$Q$1001&lt;&gt;"")*ISNUMBER(SEARCH(실물목록!$Q$2:$Q$1001,I1599))*(실물목록!$R$2:$R$1001="")*(실물목록!$O$2:$O$1001&lt;&gt;""))&gt;0,"확인필요(연도다름)","실물 없음")))))</f>
      </c>
      <c r="G1599" t="n" s="16">
        <f aca="0">IF(B1599="","",SUMPRODUCT((실물목록!$P$2:$P$1001&lt;&gt;"")*ISNUMBER(SEARCH(실물목록!$P$2:$P$1001,I1599))*(실물목록!$Q$2:$Q$1001&lt;&gt;"")*ISNUMBER(SEARCH(실물목록!$Q$2:$Q$1001,I1599))*(실물목록!$R$2:$R$1001="")*(실물목록!$O$2:$O$1001&lt;&gt;"")*(실물목록!$O$2:$O$1001=H1599)))</f>
      </c>
      <c r="H1599" t="str">
        <f>IFERROR(IF(AND(LEN(SUBSTITUTE(SUBSTITUTE(SUBSTITUTE(TRIM(A1599&amp;""),CHAR(160),"")," ",""),"년",""))=4,VALUE(SUBSTITUTE(SUBSTITUTE(SUBSTITUTE(TRIM(A1599&amp;""),CHAR(160),"")," ",""),"년",""))&gt;=1900,VALUE(SUBSTITUTE(SUBSTITUTE(SUBSTITUTE(TRIM(A1599&amp;""),CHAR(160),"")," ",""),"년",""))&lt;=2099,TEXT(VALUE(SUBSTITUTE(SUBSTITUTE(SUBSTITUTE(TRIM(A1599&amp;""),CHAR(160),"")," ",""),"년","")),"0000")=SUBSTITUTE(SUBSTITUTE(SUBSTITUTE(TRIM(A1599&amp;""),CHAR(160),"")," ",""),"년","")),SUBSTITUTE(SUBSTITUTE(SUBSTITUTE(TRIM(A1599&amp;""),CHAR(160),"")," ",""),"년",""),""),"")</f>
      </c>
      <c r="I1599" t="str">
        <f>SUBSTITUTE(SUBSTITUTE(SUBSTITUTE(SUBSTITUTE(SUBSTITUTE(TRIM(B1599&amp;""),CHAR(160),"")," ",""),"초등학교","초"),"중학교","중"),"고등학교","고")</f>
      </c>
    </row>
    <row r="1600" customFormat="false" ht="15" hidden="false" customHeight="false" outlineLevel="0" collapsed="false">
      <c r="A1600" s="8"/>
      <c r="B1600" s="8"/>
      <c r="C1600" s="8"/>
      <c r="D1600" s="8"/>
      <c r="E1600" s="8"/>
      <c r="F1600" t="str" s="15">
        <f aca="0">IF(B1600="","",IF(H1600="","확인필요(입력누락)",IF(SUMPRODUCT((실물목록!$P$2:$P$1001&lt;&gt;"")*ISNUMBER(SEARCH(실물목록!$P$2:$P$1001,I1600))*(실물목록!$Q$2:$Q$1001&lt;&gt;"")*ISNUMBER(SEARCH(실물목록!$Q$2:$Q$1001,I1600))*(실물목록!$R$2:$R$1001="")*(실물목록!$O$2:$O$1001&lt;&gt;"")*(실물목록!$O$2:$O$1001=H1600))&gt;0,"실물 있음",IF(SUMPRODUCT((실물목록!$P$2:$P$1001&lt;&gt;"")*ISNUMBER(SEARCH(실물목록!$P$2:$P$1001,I1600))*(실물목록!$R$2:$R$1001&lt;&gt;""))&gt;0,"확인필요(입력누락)",IF(SUMPRODUCT((실물목록!$P$2:$P$1001&lt;&gt;"")*ISNUMBER(SEARCH(실물목록!$P$2:$P$1001,I1600))*(실물목록!$Q$2:$Q$1001&lt;&gt;"")*ISNUMBER(SEARCH(실물목록!$Q$2:$Q$1001,I1600))*(실물목록!$R$2:$R$1001="")*(실물목록!$O$2:$O$1001&lt;&gt;""))&gt;0,"확인필요(연도다름)","실물 없음")))))</f>
      </c>
      <c r="G1600" t="n" s="16">
        <f aca="0">IF(B1600="","",SUMPRODUCT((실물목록!$P$2:$P$1001&lt;&gt;"")*ISNUMBER(SEARCH(실물목록!$P$2:$P$1001,I1600))*(실물목록!$Q$2:$Q$1001&lt;&gt;"")*ISNUMBER(SEARCH(실물목록!$Q$2:$Q$1001,I1600))*(실물목록!$R$2:$R$1001="")*(실물목록!$O$2:$O$1001&lt;&gt;"")*(실물목록!$O$2:$O$1001=H1600)))</f>
      </c>
      <c r="H1600" t="str">
        <f>IFERROR(IF(AND(LEN(SUBSTITUTE(SUBSTITUTE(SUBSTITUTE(TRIM(A1600&amp;""),CHAR(160),"")," ",""),"년",""))=4,VALUE(SUBSTITUTE(SUBSTITUTE(SUBSTITUTE(TRIM(A1600&amp;""),CHAR(160),"")," ",""),"년",""))&gt;=1900,VALUE(SUBSTITUTE(SUBSTITUTE(SUBSTITUTE(TRIM(A1600&amp;""),CHAR(160),"")," ",""),"년",""))&lt;=2099,TEXT(VALUE(SUBSTITUTE(SUBSTITUTE(SUBSTITUTE(TRIM(A1600&amp;""),CHAR(160),"")," ",""),"년","")),"0000")=SUBSTITUTE(SUBSTITUTE(SUBSTITUTE(TRIM(A1600&amp;""),CHAR(160),"")," ",""),"년","")),SUBSTITUTE(SUBSTITUTE(SUBSTITUTE(TRIM(A1600&amp;""),CHAR(160),"")," ",""),"년",""),""),"")</f>
      </c>
      <c r="I1600" t="str">
        <f>SUBSTITUTE(SUBSTITUTE(SUBSTITUTE(SUBSTITUTE(SUBSTITUTE(TRIM(B1600&amp;""),CHAR(160),"")," ",""),"초등학교","초"),"중학교","중"),"고등학교","고")</f>
      </c>
    </row>
    <row r="1601" customFormat="false" ht="15" hidden="false" customHeight="false" outlineLevel="0" collapsed="false">
      <c r="A1601" s="8"/>
      <c r="B1601" s="8"/>
      <c r="C1601" s="8"/>
      <c r="D1601" s="8"/>
      <c r="E1601" s="8"/>
      <c r="F1601" t="str" s="15">
        <f aca="0">IF(B1601="","",IF(H1601="","확인필요(입력누락)",IF(SUMPRODUCT((실물목록!$P$2:$P$1001&lt;&gt;"")*ISNUMBER(SEARCH(실물목록!$P$2:$P$1001,I1601))*(실물목록!$Q$2:$Q$1001&lt;&gt;"")*ISNUMBER(SEARCH(실물목록!$Q$2:$Q$1001,I1601))*(실물목록!$R$2:$R$1001="")*(실물목록!$O$2:$O$1001&lt;&gt;"")*(실물목록!$O$2:$O$1001=H1601))&gt;0,"실물 있음",IF(SUMPRODUCT((실물목록!$P$2:$P$1001&lt;&gt;"")*ISNUMBER(SEARCH(실물목록!$P$2:$P$1001,I1601))*(실물목록!$R$2:$R$1001&lt;&gt;""))&gt;0,"확인필요(입력누락)",IF(SUMPRODUCT((실물목록!$P$2:$P$1001&lt;&gt;"")*ISNUMBER(SEARCH(실물목록!$P$2:$P$1001,I1601))*(실물목록!$Q$2:$Q$1001&lt;&gt;"")*ISNUMBER(SEARCH(실물목록!$Q$2:$Q$1001,I1601))*(실물목록!$R$2:$R$1001="")*(실물목록!$O$2:$O$1001&lt;&gt;""))&gt;0,"확인필요(연도다름)","실물 없음")))))</f>
      </c>
      <c r="G1601" t="n" s="16">
        <f aca="0">IF(B1601="","",SUMPRODUCT((실물목록!$P$2:$P$1001&lt;&gt;"")*ISNUMBER(SEARCH(실물목록!$P$2:$P$1001,I1601))*(실물목록!$Q$2:$Q$1001&lt;&gt;"")*ISNUMBER(SEARCH(실물목록!$Q$2:$Q$1001,I1601))*(실물목록!$R$2:$R$1001="")*(실물목록!$O$2:$O$1001&lt;&gt;"")*(실물목록!$O$2:$O$1001=H1601)))</f>
      </c>
      <c r="H1601" t="str">
        <f>IFERROR(IF(AND(LEN(SUBSTITUTE(SUBSTITUTE(SUBSTITUTE(TRIM(A1601&amp;""),CHAR(160),"")," ",""),"년",""))=4,VALUE(SUBSTITUTE(SUBSTITUTE(SUBSTITUTE(TRIM(A1601&amp;""),CHAR(160),"")," ",""),"년",""))&gt;=1900,VALUE(SUBSTITUTE(SUBSTITUTE(SUBSTITUTE(TRIM(A1601&amp;""),CHAR(160),"")," ",""),"년",""))&lt;=2099,TEXT(VALUE(SUBSTITUTE(SUBSTITUTE(SUBSTITUTE(TRIM(A1601&amp;""),CHAR(160),"")," ",""),"년","")),"0000")=SUBSTITUTE(SUBSTITUTE(SUBSTITUTE(TRIM(A1601&amp;""),CHAR(160),"")," ",""),"년","")),SUBSTITUTE(SUBSTITUTE(SUBSTITUTE(TRIM(A1601&amp;""),CHAR(160),"")," ",""),"년",""),""),"")</f>
      </c>
      <c r="I1601" t="str">
        <f>SUBSTITUTE(SUBSTITUTE(SUBSTITUTE(SUBSTITUTE(SUBSTITUTE(TRIM(B1601&amp;""),CHAR(160),"")," ",""),"초등학교","초"),"중학교","중"),"고등학교","고")</f>
      </c>
    </row>
    <row r="1602" customFormat="false" ht="15" hidden="false" customHeight="false" outlineLevel="0" collapsed="false">
      <c r="A1602" s="8"/>
      <c r="B1602" s="8"/>
      <c r="C1602" s="8"/>
      <c r="D1602" s="8"/>
      <c r="E1602" s="8"/>
      <c r="F1602" t="str" s="15">
        <f aca="0">IF(B1602="","",IF(H1602="","확인필요(입력누락)",IF(SUMPRODUCT((실물목록!$P$2:$P$1001&lt;&gt;"")*ISNUMBER(SEARCH(실물목록!$P$2:$P$1001,I1602))*(실물목록!$Q$2:$Q$1001&lt;&gt;"")*ISNUMBER(SEARCH(실물목록!$Q$2:$Q$1001,I1602))*(실물목록!$R$2:$R$1001="")*(실물목록!$O$2:$O$1001&lt;&gt;"")*(실물목록!$O$2:$O$1001=H1602))&gt;0,"실물 있음",IF(SUMPRODUCT((실물목록!$P$2:$P$1001&lt;&gt;"")*ISNUMBER(SEARCH(실물목록!$P$2:$P$1001,I1602))*(실물목록!$R$2:$R$1001&lt;&gt;""))&gt;0,"확인필요(입력누락)",IF(SUMPRODUCT((실물목록!$P$2:$P$1001&lt;&gt;"")*ISNUMBER(SEARCH(실물목록!$P$2:$P$1001,I1602))*(실물목록!$Q$2:$Q$1001&lt;&gt;"")*ISNUMBER(SEARCH(실물목록!$Q$2:$Q$1001,I1602))*(실물목록!$R$2:$R$1001="")*(실물목록!$O$2:$O$1001&lt;&gt;""))&gt;0,"확인필요(연도다름)","실물 없음")))))</f>
      </c>
      <c r="G1602" t="n" s="16">
        <f aca="0">IF(B1602="","",SUMPRODUCT((실물목록!$P$2:$P$1001&lt;&gt;"")*ISNUMBER(SEARCH(실물목록!$P$2:$P$1001,I1602))*(실물목록!$Q$2:$Q$1001&lt;&gt;"")*ISNUMBER(SEARCH(실물목록!$Q$2:$Q$1001,I1602))*(실물목록!$R$2:$R$1001="")*(실물목록!$O$2:$O$1001&lt;&gt;"")*(실물목록!$O$2:$O$1001=H1602)))</f>
      </c>
      <c r="H1602" t="str">
        <f>IFERROR(IF(AND(LEN(SUBSTITUTE(SUBSTITUTE(SUBSTITUTE(TRIM(A1602&amp;""),CHAR(160),"")," ",""),"년",""))=4,VALUE(SUBSTITUTE(SUBSTITUTE(SUBSTITUTE(TRIM(A1602&amp;""),CHAR(160),"")," ",""),"년",""))&gt;=1900,VALUE(SUBSTITUTE(SUBSTITUTE(SUBSTITUTE(TRIM(A1602&amp;""),CHAR(160),"")," ",""),"년",""))&lt;=2099,TEXT(VALUE(SUBSTITUTE(SUBSTITUTE(SUBSTITUTE(TRIM(A1602&amp;""),CHAR(160),"")," ",""),"년","")),"0000")=SUBSTITUTE(SUBSTITUTE(SUBSTITUTE(TRIM(A1602&amp;""),CHAR(160),"")," ",""),"년","")),SUBSTITUTE(SUBSTITUTE(SUBSTITUTE(TRIM(A1602&amp;""),CHAR(160),"")," ",""),"년",""),""),"")</f>
      </c>
      <c r="I1602" t="str">
        <f>SUBSTITUTE(SUBSTITUTE(SUBSTITUTE(SUBSTITUTE(SUBSTITUTE(TRIM(B1602&amp;""),CHAR(160),"")," ",""),"초등학교","초"),"중학교","중"),"고등학교","고")</f>
      </c>
    </row>
    <row r="1603" customFormat="false" ht="15" hidden="false" customHeight="false" outlineLevel="0" collapsed="false">
      <c r="A1603" s="8"/>
      <c r="B1603" s="8"/>
      <c r="C1603" s="8"/>
      <c r="D1603" s="8"/>
      <c r="E1603" s="8"/>
      <c r="F1603" t="str" s="15">
        <f aca="0">IF(B1603="","",IF(H1603="","확인필요(입력누락)",IF(SUMPRODUCT((실물목록!$P$2:$P$1001&lt;&gt;"")*ISNUMBER(SEARCH(실물목록!$P$2:$P$1001,I1603))*(실물목록!$Q$2:$Q$1001&lt;&gt;"")*ISNUMBER(SEARCH(실물목록!$Q$2:$Q$1001,I1603))*(실물목록!$R$2:$R$1001="")*(실물목록!$O$2:$O$1001&lt;&gt;"")*(실물목록!$O$2:$O$1001=H1603))&gt;0,"실물 있음",IF(SUMPRODUCT((실물목록!$P$2:$P$1001&lt;&gt;"")*ISNUMBER(SEARCH(실물목록!$P$2:$P$1001,I1603))*(실물목록!$R$2:$R$1001&lt;&gt;""))&gt;0,"확인필요(입력누락)",IF(SUMPRODUCT((실물목록!$P$2:$P$1001&lt;&gt;"")*ISNUMBER(SEARCH(실물목록!$P$2:$P$1001,I1603))*(실물목록!$Q$2:$Q$1001&lt;&gt;"")*ISNUMBER(SEARCH(실물목록!$Q$2:$Q$1001,I1603))*(실물목록!$R$2:$R$1001="")*(실물목록!$O$2:$O$1001&lt;&gt;""))&gt;0,"확인필요(연도다름)","실물 없음")))))</f>
      </c>
      <c r="G1603" t="n" s="16">
        <f aca="0">IF(B1603="","",SUMPRODUCT((실물목록!$P$2:$P$1001&lt;&gt;"")*ISNUMBER(SEARCH(실물목록!$P$2:$P$1001,I1603))*(실물목록!$Q$2:$Q$1001&lt;&gt;"")*ISNUMBER(SEARCH(실물목록!$Q$2:$Q$1001,I1603))*(실물목록!$R$2:$R$1001="")*(실물목록!$O$2:$O$1001&lt;&gt;"")*(실물목록!$O$2:$O$1001=H1603)))</f>
      </c>
      <c r="H1603" t="str">
        <f>IFERROR(IF(AND(LEN(SUBSTITUTE(SUBSTITUTE(SUBSTITUTE(TRIM(A1603&amp;""),CHAR(160),"")," ",""),"년",""))=4,VALUE(SUBSTITUTE(SUBSTITUTE(SUBSTITUTE(TRIM(A1603&amp;""),CHAR(160),"")," ",""),"년",""))&gt;=1900,VALUE(SUBSTITUTE(SUBSTITUTE(SUBSTITUTE(TRIM(A1603&amp;""),CHAR(160),"")," ",""),"년",""))&lt;=2099,TEXT(VALUE(SUBSTITUTE(SUBSTITUTE(SUBSTITUTE(TRIM(A1603&amp;""),CHAR(160),"")," ",""),"년","")),"0000")=SUBSTITUTE(SUBSTITUTE(SUBSTITUTE(TRIM(A1603&amp;""),CHAR(160),"")," ",""),"년","")),SUBSTITUTE(SUBSTITUTE(SUBSTITUTE(TRIM(A1603&amp;""),CHAR(160),"")," ",""),"년",""),""),"")</f>
      </c>
      <c r="I1603" t="str">
        <f>SUBSTITUTE(SUBSTITUTE(SUBSTITUTE(SUBSTITUTE(SUBSTITUTE(TRIM(B1603&amp;""),CHAR(160),"")," ",""),"초등학교","초"),"중학교","중"),"고등학교","고")</f>
      </c>
    </row>
    <row r="1604" customFormat="false" ht="15" hidden="false" customHeight="false" outlineLevel="0" collapsed="false">
      <c r="A1604" s="8"/>
      <c r="B1604" s="8"/>
      <c r="C1604" s="8"/>
      <c r="D1604" s="8"/>
      <c r="E1604" s="8"/>
      <c r="F1604" t="str" s="15">
        <f aca="0">IF(B1604="","",IF(H1604="","확인필요(입력누락)",IF(SUMPRODUCT((실물목록!$P$2:$P$1001&lt;&gt;"")*ISNUMBER(SEARCH(실물목록!$P$2:$P$1001,I1604))*(실물목록!$Q$2:$Q$1001&lt;&gt;"")*ISNUMBER(SEARCH(실물목록!$Q$2:$Q$1001,I1604))*(실물목록!$R$2:$R$1001="")*(실물목록!$O$2:$O$1001&lt;&gt;"")*(실물목록!$O$2:$O$1001=H1604))&gt;0,"실물 있음",IF(SUMPRODUCT((실물목록!$P$2:$P$1001&lt;&gt;"")*ISNUMBER(SEARCH(실물목록!$P$2:$P$1001,I1604))*(실물목록!$R$2:$R$1001&lt;&gt;""))&gt;0,"확인필요(입력누락)",IF(SUMPRODUCT((실물목록!$P$2:$P$1001&lt;&gt;"")*ISNUMBER(SEARCH(실물목록!$P$2:$P$1001,I1604))*(실물목록!$Q$2:$Q$1001&lt;&gt;"")*ISNUMBER(SEARCH(실물목록!$Q$2:$Q$1001,I1604))*(실물목록!$R$2:$R$1001="")*(실물목록!$O$2:$O$1001&lt;&gt;""))&gt;0,"확인필요(연도다름)","실물 없음")))))</f>
      </c>
      <c r="G1604" t="n" s="16">
        <f aca="0">IF(B1604="","",SUMPRODUCT((실물목록!$P$2:$P$1001&lt;&gt;"")*ISNUMBER(SEARCH(실물목록!$P$2:$P$1001,I1604))*(실물목록!$Q$2:$Q$1001&lt;&gt;"")*ISNUMBER(SEARCH(실물목록!$Q$2:$Q$1001,I1604))*(실물목록!$R$2:$R$1001="")*(실물목록!$O$2:$O$1001&lt;&gt;"")*(실물목록!$O$2:$O$1001=H1604)))</f>
      </c>
      <c r="H1604" t="str">
        <f>IFERROR(IF(AND(LEN(SUBSTITUTE(SUBSTITUTE(SUBSTITUTE(TRIM(A1604&amp;""),CHAR(160),"")," ",""),"년",""))=4,VALUE(SUBSTITUTE(SUBSTITUTE(SUBSTITUTE(TRIM(A1604&amp;""),CHAR(160),"")," ",""),"년",""))&gt;=1900,VALUE(SUBSTITUTE(SUBSTITUTE(SUBSTITUTE(TRIM(A1604&amp;""),CHAR(160),"")," ",""),"년",""))&lt;=2099,TEXT(VALUE(SUBSTITUTE(SUBSTITUTE(SUBSTITUTE(TRIM(A1604&amp;""),CHAR(160),"")," ",""),"년","")),"0000")=SUBSTITUTE(SUBSTITUTE(SUBSTITUTE(TRIM(A1604&amp;""),CHAR(160),"")," ",""),"년","")),SUBSTITUTE(SUBSTITUTE(SUBSTITUTE(TRIM(A1604&amp;""),CHAR(160),"")," ",""),"년",""),""),"")</f>
      </c>
      <c r="I1604" t="str">
        <f>SUBSTITUTE(SUBSTITUTE(SUBSTITUTE(SUBSTITUTE(SUBSTITUTE(TRIM(B1604&amp;""),CHAR(160),"")," ",""),"초등학교","초"),"중학교","중"),"고등학교","고")</f>
      </c>
    </row>
    <row r="1605" customFormat="false" ht="15" hidden="false" customHeight="false" outlineLevel="0" collapsed="false">
      <c r="A1605" s="8"/>
      <c r="B1605" s="8"/>
      <c r="C1605" s="8"/>
      <c r="D1605" s="8"/>
      <c r="E1605" s="8"/>
      <c r="F1605" t="str" s="15">
        <f aca="0">IF(B1605="","",IF(H1605="","확인필요(입력누락)",IF(SUMPRODUCT((실물목록!$P$2:$P$1001&lt;&gt;"")*ISNUMBER(SEARCH(실물목록!$P$2:$P$1001,I1605))*(실물목록!$Q$2:$Q$1001&lt;&gt;"")*ISNUMBER(SEARCH(실물목록!$Q$2:$Q$1001,I1605))*(실물목록!$R$2:$R$1001="")*(실물목록!$O$2:$O$1001&lt;&gt;"")*(실물목록!$O$2:$O$1001=H1605))&gt;0,"실물 있음",IF(SUMPRODUCT((실물목록!$P$2:$P$1001&lt;&gt;"")*ISNUMBER(SEARCH(실물목록!$P$2:$P$1001,I1605))*(실물목록!$R$2:$R$1001&lt;&gt;""))&gt;0,"확인필요(입력누락)",IF(SUMPRODUCT((실물목록!$P$2:$P$1001&lt;&gt;"")*ISNUMBER(SEARCH(실물목록!$P$2:$P$1001,I1605))*(실물목록!$Q$2:$Q$1001&lt;&gt;"")*ISNUMBER(SEARCH(실물목록!$Q$2:$Q$1001,I1605))*(실물목록!$R$2:$R$1001="")*(실물목록!$O$2:$O$1001&lt;&gt;""))&gt;0,"확인필요(연도다름)","실물 없음")))))</f>
      </c>
      <c r="G1605" t="n" s="16">
        <f aca="0">IF(B1605="","",SUMPRODUCT((실물목록!$P$2:$P$1001&lt;&gt;"")*ISNUMBER(SEARCH(실물목록!$P$2:$P$1001,I1605))*(실물목록!$Q$2:$Q$1001&lt;&gt;"")*ISNUMBER(SEARCH(실물목록!$Q$2:$Q$1001,I1605))*(실물목록!$R$2:$R$1001="")*(실물목록!$O$2:$O$1001&lt;&gt;"")*(실물목록!$O$2:$O$1001=H1605)))</f>
      </c>
      <c r="H1605" t="str">
        <f>IFERROR(IF(AND(LEN(SUBSTITUTE(SUBSTITUTE(SUBSTITUTE(TRIM(A1605&amp;""),CHAR(160),"")," ",""),"년",""))=4,VALUE(SUBSTITUTE(SUBSTITUTE(SUBSTITUTE(TRIM(A1605&amp;""),CHAR(160),"")," ",""),"년",""))&gt;=1900,VALUE(SUBSTITUTE(SUBSTITUTE(SUBSTITUTE(TRIM(A1605&amp;""),CHAR(160),"")," ",""),"년",""))&lt;=2099,TEXT(VALUE(SUBSTITUTE(SUBSTITUTE(SUBSTITUTE(TRIM(A1605&amp;""),CHAR(160),"")," ",""),"년","")),"0000")=SUBSTITUTE(SUBSTITUTE(SUBSTITUTE(TRIM(A1605&amp;""),CHAR(160),"")," ",""),"년","")),SUBSTITUTE(SUBSTITUTE(SUBSTITUTE(TRIM(A1605&amp;""),CHAR(160),"")," ",""),"년",""),""),"")</f>
      </c>
      <c r="I1605" t="str">
        <f>SUBSTITUTE(SUBSTITUTE(SUBSTITUTE(SUBSTITUTE(SUBSTITUTE(TRIM(B1605&amp;""),CHAR(160),"")," ",""),"초등학교","초"),"중학교","중"),"고등학교","고")</f>
      </c>
    </row>
    <row r="1606" customFormat="false" ht="15" hidden="false" customHeight="false" outlineLevel="0" collapsed="false">
      <c r="A1606" s="8"/>
      <c r="B1606" s="8"/>
      <c r="C1606" s="8"/>
      <c r="D1606" s="8"/>
      <c r="E1606" s="8"/>
      <c r="F1606" t="str" s="15">
        <f aca="0">IF(B1606="","",IF(H1606="","확인필요(입력누락)",IF(SUMPRODUCT((실물목록!$P$2:$P$1001&lt;&gt;"")*ISNUMBER(SEARCH(실물목록!$P$2:$P$1001,I1606))*(실물목록!$Q$2:$Q$1001&lt;&gt;"")*ISNUMBER(SEARCH(실물목록!$Q$2:$Q$1001,I1606))*(실물목록!$R$2:$R$1001="")*(실물목록!$O$2:$O$1001&lt;&gt;"")*(실물목록!$O$2:$O$1001=H1606))&gt;0,"실물 있음",IF(SUMPRODUCT((실물목록!$P$2:$P$1001&lt;&gt;"")*ISNUMBER(SEARCH(실물목록!$P$2:$P$1001,I1606))*(실물목록!$R$2:$R$1001&lt;&gt;""))&gt;0,"확인필요(입력누락)",IF(SUMPRODUCT((실물목록!$P$2:$P$1001&lt;&gt;"")*ISNUMBER(SEARCH(실물목록!$P$2:$P$1001,I1606))*(실물목록!$Q$2:$Q$1001&lt;&gt;"")*ISNUMBER(SEARCH(실물목록!$Q$2:$Q$1001,I1606))*(실물목록!$R$2:$R$1001="")*(실물목록!$O$2:$O$1001&lt;&gt;""))&gt;0,"확인필요(연도다름)","실물 없음")))))</f>
      </c>
      <c r="G1606" t="n" s="16">
        <f aca="0">IF(B1606="","",SUMPRODUCT((실물목록!$P$2:$P$1001&lt;&gt;"")*ISNUMBER(SEARCH(실물목록!$P$2:$P$1001,I1606))*(실물목록!$Q$2:$Q$1001&lt;&gt;"")*ISNUMBER(SEARCH(실물목록!$Q$2:$Q$1001,I1606))*(실물목록!$R$2:$R$1001="")*(실물목록!$O$2:$O$1001&lt;&gt;"")*(실물목록!$O$2:$O$1001=H1606)))</f>
      </c>
      <c r="H1606" t="str">
        <f>IFERROR(IF(AND(LEN(SUBSTITUTE(SUBSTITUTE(SUBSTITUTE(TRIM(A1606&amp;""),CHAR(160),"")," ",""),"년",""))=4,VALUE(SUBSTITUTE(SUBSTITUTE(SUBSTITUTE(TRIM(A1606&amp;""),CHAR(160),"")," ",""),"년",""))&gt;=1900,VALUE(SUBSTITUTE(SUBSTITUTE(SUBSTITUTE(TRIM(A1606&amp;""),CHAR(160),"")," ",""),"년",""))&lt;=2099,TEXT(VALUE(SUBSTITUTE(SUBSTITUTE(SUBSTITUTE(TRIM(A1606&amp;""),CHAR(160),"")," ",""),"년","")),"0000")=SUBSTITUTE(SUBSTITUTE(SUBSTITUTE(TRIM(A1606&amp;""),CHAR(160),"")," ",""),"년","")),SUBSTITUTE(SUBSTITUTE(SUBSTITUTE(TRIM(A1606&amp;""),CHAR(160),"")," ",""),"년",""),""),"")</f>
      </c>
      <c r="I1606" t="str">
        <f>SUBSTITUTE(SUBSTITUTE(SUBSTITUTE(SUBSTITUTE(SUBSTITUTE(TRIM(B1606&amp;""),CHAR(160),"")," ",""),"초등학교","초"),"중학교","중"),"고등학교","고")</f>
      </c>
    </row>
    <row r="1607" customFormat="false" ht="15" hidden="false" customHeight="false" outlineLevel="0" collapsed="false">
      <c r="A1607" s="8"/>
      <c r="B1607" s="8"/>
      <c r="C1607" s="8"/>
      <c r="D1607" s="8"/>
      <c r="E1607" s="8"/>
      <c r="F1607" t="str" s="15">
        <f aca="0">IF(B1607="","",IF(H1607="","확인필요(입력누락)",IF(SUMPRODUCT((실물목록!$P$2:$P$1001&lt;&gt;"")*ISNUMBER(SEARCH(실물목록!$P$2:$P$1001,I1607))*(실물목록!$Q$2:$Q$1001&lt;&gt;"")*ISNUMBER(SEARCH(실물목록!$Q$2:$Q$1001,I1607))*(실물목록!$R$2:$R$1001="")*(실물목록!$O$2:$O$1001&lt;&gt;"")*(실물목록!$O$2:$O$1001=H1607))&gt;0,"실물 있음",IF(SUMPRODUCT((실물목록!$P$2:$P$1001&lt;&gt;"")*ISNUMBER(SEARCH(실물목록!$P$2:$P$1001,I1607))*(실물목록!$R$2:$R$1001&lt;&gt;""))&gt;0,"확인필요(입력누락)",IF(SUMPRODUCT((실물목록!$P$2:$P$1001&lt;&gt;"")*ISNUMBER(SEARCH(실물목록!$P$2:$P$1001,I1607))*(실물목록!$Q$2:$Q$1001&lt;&gt;"")*ISNUMBER(SEARCH(실물목록!$Q$2:$Q$1001,I1607))*(실물목록!$R$2:$R$1001="")*(실물목록!$O$2:$O$1001&lt;&gt;""))&gt;0,"확인필요(연도다름)","실물 없음")))))</f>
      </c>
      <c r="G1607" t="n" s="16">
        <f aca="0">IF(B1607="","",SUMPRODUCT((실물목록!$P$2:$P$1001&lt;&gt;"")*ISNUMBER(SEARCH(실물목록!$P$2:$P$1001,I1607))*(실물목록!$Q$2:$Q$1001&lt;&gt;"")*ISNUMBER(SEARCH(실물목록!$Q$2:$Q$1001,I1607))*(실물목록!$R$2:$R$1001="")*(실물목록!$O$2:$O$1001&lt;&gt;"")*(실물목록!$O$2:$O$1001=H1607)))</f>
      </c>
      <c r="H1607" t="str">
        <f>IFERROR(IF(AND(LEN(SUBSTITUTE(SUBSTITUTE(SUBSTITUTE(TRIM(A1607&amp;""),CHAR(160),"")," ",""),"년",""))=4,VALUE(SUBSTITUTE(SUBSTITUTE(SUBSTITUTE(TRIM(A1607&amp;""),CHAR(160),"")," ",""),"년",""))&gt;=1900,VALUE(SUBSTITUTE(SUBSTITUTE(SUBSTITUTE(TRIM(A1607&amp;""),CHAR(160),"")," ",""),"년",""))&lt;=2099,TEXT(VALUE(SUBSTITUTE(SUBSTITUTE(SUBSTITUTE(TRIM(A1607&amp;""),CHAR(160),"")," ",""),"년","")),"0000")=SUBSTITUTE(SUBSTITUTE(SUBSTITUTE(TRIM(A1607&amp;""),CHAR(160),"")," ",""),"년","")),SUBSTITUTE(SUBSTITUTE(SUBSTITUTE(TRIM(A1607&amp;""),CHAR(160),"")," ",""),"년",""),""),"")</f>
      </c>
      <c r="I1607" t="str">
        <f>SUBSTITUTE(SUBSTITUTE(SUBSTITUTE(SUBSTITUTE(SUBSTITUTE(TRIM(B1607&amp;""),CHAR(160),"")," ",""),"초등학교","초"),"중학교","중"),"고등학교","고")</f>
      </c>
    </row>
    <row r="1608" customFormat="false" ht="15" hidden="false" customHeight="false" outlineLevel="0" collapsed="false">
      <c r="A1608" s="8"/>
      <c r="B1608" s="8"/>
      <c r="C1608" s="8"/>
      <c r="D1608" s="8"/>
      <c r="E1608" s="8"/>
      <c r="F1608" t="str" s="15">
        <f aca="0">IF(B1608="","",IF(H1608="","확인필요(입력누락)",IF(SUMPRODUCT((실물목록!$P$2:$P$1001&lt;&gt;"")*ISNUMBER(SEARCH(실물목록!$P$2:$P$1001,I1608))*(실물목록!$Q$2:$Q$1001&lt;&gt;"")*ISNUMBER(SEARCH(실물목록!$Q$2:$Q$1001,I1608))*(실물목록!$R$2:$R$1001="")*(실물목록!$O$2:$O$1001&lt;&gt;"")*(실물목록!$O$2:$O$1001=H1608))&gt;0,"실물 있음",IF(SUMPRODUCT((실물목록!$P$2:$P$1001&lt;&gt;"")*ISNUMBER(SEARCH(실물목록!$P$2:$P$1001,I1608))*(실물목록!$R$2:$R$1001&lt;&gt;""))&gt;0,"확인필요(입력누락)",IF(SUMPRODUCT((실물목록!$P$2:$P$1001&lt;&gt;"")*ISNUMBER(SEARCH(실물목록!$P$2:$P$1001,I1608))*(실물목록!$Q$2:$Q$1001&lt;&gt;"")*ISNUMBER(SEARCH(실물목록!$Q$2:$Q$1001,I1608))*(실물목록!$R$2:$R$1001="")*(실물목록!$O$2:$O$1001&lt;&gt;""))&gt;0,"확인필요(연도다름)","실물 없음")))))</f>
      </c>
      <c r="G1608" t="n" s="16">
        <f aca="0">IF(B1608="","",SUMPRODUCT((실물목록!$P$2:$P$1001&lt;&gt;"")*ISNUMBER(SEARCH(실물목록!$P$2:$P$1001,I1608))*(실물목록!$Q$2:$Q$1001&lt;&gt;"")*ISNUMBER(SEARCH(실물목록!$Q$2:$Q$1001,I1608))*(실물목록!$R$2:$R$1001="")*(실물목록!$O$2:$O$1001&lt;&gt;"")*(실물목록!$O$2:$O$1001=H1608)))</f>
      </c>
      <c r="H1608" t="str">
        <f>IFERROR(IF(AND(LEN(SUBSTITUTE(SUBSTITUTE(SUBSTITUTE(TRIM(A1608&amp;""),CHAR(160),"")," ",""),"년",""))=4,VALUE(SUBSTITUTE(SUBSTITUTE(SUBSTITUTE(TRIM(A1608&amp;""),CHAR(160),"")," ",""),"년",""))&gt;=1900,VALUE(SUBSTITUTE(SUBSTITUTE(SUBSTITUTE(TRIM(A1608&amp;""),CHAR(160),"")," ",""),"년",""))&lt;=2099,TEXT(VALUE(SUBSTITUTE(SUBSTITUTE(SUBSTITUTE(TRIM(A1608&amp;""),CHAR(160),"")," ",""),"년","")),"0000")=SUBSTITUTE(SUBSTITUTE(SUBSTITUTE(TRIM(A1608&amp;""),CHAR(160),"")," ",""),"년","")),SUBSTITUTE(SUBSTITUTE(SUBSTITUTE(TRIM(A1608&amp;""),CHAR(160),"")," ",""),"년",""),""),"")</f>
      </c>
      <c r="I1608" t="str">
        <f>SUBSTITUTE(SUBSTITUTE(SUBSTITUTE(SUBSTITUTE(SUBSTITUTE(TRIM(B1608&amp;""),CHAR(160),"")," ",""),"초등학교","초"),"중학교","중"),"고등학교","고")</f>
      </c>
    </row>
    <row r="1609" customFormat="false" ht="15" hidden="false" customHeight="false" outlineLevel="0" collapsed="false">
      <c r="A1609" s="8"/>
      <c r="B1609" s="8"/>
      <c r="C1609" s="8"/>
      <c r="D1609" s="8"/>
      <c r="E1609" s="8"/>
      <c r="F1609" t="str" s="15">
        <f aca="0">IF(B1609="","",IF(H1609="","확인필요(입력누락)",IF(SUMPRODUCT((실물목록!$P$2:$P$1001&lt;&gt;"")*ISNUMBER(SEARCH(실물목록!$P$2:$P$1001,I1609))*(실물목록!$Q$2:$Q$1001&lt;&gt;"")*ISNUMBER(SEARCH(실물목록!$Q$2:$Q$1001,I1609))*(실물목록!$R$2:$R$1001="")*(실물목록!$O$2:$O$1001&lt;&gt;"")*(실물목록!$O$2:$O$1001=H1609))&gt;0,"실물 있음",IF(SUMPRODUCT((실물목록!$P$2:$P$1001&lt;&gt;"")*ISNUMBER(SEARCH(실물목록!$P$2:$P$1001,I1609))*(실물목록!$R$2:$R$1001&lt;&gt;""))&gt;0,"확인필요(입력누락)",IF(SUMPRODUCT((실물목록!$P$2:$P$1001&lt;&gt;"")*ISNUMBER(SEARCH(실물목록!$P$2:$P$1001,I1609))*(실물목록!$Q$2:$Q$1001&lt;&gt;"")*ISNUMBER(SEARCH(실물목록!$Q$2:$Q$1001,I1609))*(실물목록!$R$2:$R$1001="")*(실물목록!$O$2:$O$1001&lt;&gt;""))&gt;0,"확인필요(연도다름)","실물 없음")))))</f>
      </c>
      <c r="G1609" t="n" s="16">
        <f aca="0">IF(B1609="","",SUMPRODUCT((실물목록!$P$2:$P$1001&lt;&gt;"")*ISNUMBER(SEARCH(실물목록!$P$2:$P$1001,I1609))*(실물목록!$Q$2:$Q$1001&lt;&gt;"")*ISNUMBER(SEARCH(실물목록!$Q$2:$Q$1001,I1609))*(실물목록!$R$2:$R$1001="")*(실물목록!$O$2:$O$1001&lt;&gt;"")*(실물목록!$O$2:$O$1001=H1609)))</f>
      </c>
      <c r="H1609" t="str">
        <f>IFERROR(IF(AND(LEN(SUBSTITUTE(SUBSTITUTE(SUBSTITUTE(TRIM(A1609&amp;""),CHAR(160),"")," ",""),"년",""))=4,VALUE(SUBSTITUTE(SUBSTITUTE(SUBSTITUTE(TRIM(A1609&amp;""),CHAR(160),"")," ",""),"년",""))&gt;=1900,VALUE(SUBSTITUTE(SUBSTITUTE(SUBSTITUTE(TRIM(A1609&amp;""),CHAR(160),"")," ",""),"년",""))&lt;=2099,TEXT(VALUE(SUBSTITUTE(SUBSTITUTE(SUBSTITUTE(TRIM(A1609&amp;""),CHAR(160),"")," ",""),"년","")),"0000")=SUBSTITUTE(SUBSTITUTE(SUBSTITUTE(TRIM(A1609&amp;""),CHAR(160),"")," ",""),"년","")),SUBSTITUTE(SUBSTITUTE(SUBSTITUTE(TRIM(A1609&amp;""),CHAR(160),"")," ",""),"년",""),""),"")</f>
      </c>
      <c r="I1609" t="str">
        <f>SUBSTITUTE(SUBSTITUTE(SUBSTITUTE(SUBSTITUTE(SUBSTITUTE(TRIM(B1609&amp;""),CHAR(160),"")," ",""),"초등학교","초"),"중학교","중"),"고등학교","고")</f>
      </c>
    </row>
    <row r="1610" customFormat="false" ht="15" hidden="false" customHeight="false" outlineLevel="0" collapsed="false">
      <c r="A1610" s="8"/>
      <c r="B1610" s="8"/>
      <c r="C1610" s="8"/>
      <c r="D1610" s="8"/>
      <c r="E1610" s="8"/>
      <c r="F1610" t="str" s="15">
        <f aca="0">IF(B1610="","",IF(H1610="","확인필요(입력누락)",IF(SUMPRODUCT((실물목록!$P$2:$P$1001&lt;&gt;"")*ISNUMBER(SEARCH(실물목록!$P$2:$P$1001,I1610))*(실물목록!$Q$2:$Q$1001&lt;&gt;"")*ISNUMBER(SEARCH(실물목록!$Q$2:$Q$1001,I1610))*(실물목록!$R$2:$R$1001="")*(실물목록!$O$2:$O$1001&lt;&gt;"")*(실물목록!$O$2:$O$1001=H1610))&gt;0,"실물 있음",IF(SUMPRODUCT((실물목록!$P$2:$P$1001&lt;&gt;"")*ISNUMBER(SEARCH(실물목록!$P$2:$P$1001,I1610))*(실물목록!$R$2:$R$1001&lt;&gt;""))&gt;0,"확인필요(입력누락)",IF(SUMPRODUCT((실물목록!$P$2:$P$1001&lt;&gt;"")*ISNUMBER(SEARCH(실물목록!$P$2:$P$1001,I1610))*(실물목록!$Q$2:$Q$1001&lt;&gt;"")*ISNUMBER(SEARCH(실물목록!$Q$2:$Q$1001,I1610))*(실물목록!$R$2:$R$1001="")*(실물목록!$O$2:$O$1001&lt;&gt;""))&gt;0,"확인필요(연도다름)","실물 없음")))))</f>
      </c>
      <c r="G1610" t="n" s="16">
        <f aca="0">IF(B1610="","",SUMPRODUCT((실물목록!$P$2:$P$1001&lt;&gt;"")*ISNUMBER(SEARCH(실물목록!$P$2:$P$1001,I1610))*(실물목록!$Q$2:$Q$1001&lt;&gt;"")*ISNUMBER(SEARCH(실물목록!$Q$2:$Q$1001,I1610))*(실물목록!$R$2:$R$1001="")*(실물목록!$O$2:$O$1001&lt;&gt;"")*(실물목록!$O$2:$O$1001=H1610)))</f>
      </c>
      <c r="H1610" t="str">
        <f>IFERROR(IF(AND(LEN(SUBSTITUTE(SUBSTITUTE(SUBSTITUTE(TRIM(A1610&amp;""),CHAR(160),"")," ",""),"년",""))=4,VALUE(SUBSTITUTE(SUBSTITUTE(SUBSTITUTE(TRIM(A1610&amp;""),CHAR(160),"")," ",""),"년",""))&gt;=1900,VALUE(SUBSTITUTE(SUBSTITUTE(SUBSTITUTE(TRIM(A1610&amp;""),CHAR(160),"")," ",""),"년",""))&lt;=2099,TEXT(VALUE(SUBSTITUTE(SUBSTITUTE(SUBSTITUTE(TRIM(A1610&amp;""),CHAR(160),"")," ",""),"년","")),"0000")=SUBSTITUTE(SUBSTITUTE(SUBSTITUTE(TRIM(A1610&amp;""),CHAR(160),"")," ",""),"년","")),SUBSTITUTE(SUBSTITUTE(SUBSTITUTE(TRIM(A1610&amp;""),CHAR(160),"")," ",""),"년",""),""),"")</f>
      </c>
      <c r="I1610" t="str">
        <f>SUBSTITUTE(SUBSTITUTE(SUBSTITUTE(SUBSTITUTE(SUBSTITUTE(TRIM(B1610&amp;""),CHAR(160),"")," ",""),"초등학교","초"),"중학교","중"),"고등학교","고")</f>
      </c>
    </row>
    <row r="1611" customFormat="false" ht="15" hidden="false" customHeight="false" outlineLevel="0" collapsed="false">
      <c r="A1611" s="8"/>
      <c r="B1611" s="8"/>
      <c r="C1611" s="8"/>
      <c r="D1611" s="8"/>
      <c r="E1611" s="8"/>
      <c r="F1611" t="str" s="15">
        <f aca="0">IF(B1611="","",IF(H1611="","확인필요(입력누락)",IF(SUMPRODUCT((실물목록!$P$2:$P$1001&lt;&gt;"")*ISNUMBER(SEARCH(실물목록!$P$2:$P$1001,I1611))*(실물목록!$Q$2:$Q$1001&lt;&gt;"")*ISNUMBER(SEARCH(실물목록!$Q$2:$Q$1001,I1611))*(실물목록!$R$2:$R$1001="")*(실물목록!$O$2:$O$1001&lt;&gt;"")*(실물목록!$O$2:$O$1001=H1611))&gt;0,"실물 있음",IF(SUMPRODUCT((실물목록!$P$2:$P$1001&lt;&gt;"")*ISNUMBER(SEARCH(실물목록!$P$2:$P$1001,I1611))*(실물목록!$R$2:$R$1001&lt;&gt;""))&gt;0,"확인필요(입력누락)",IF(SUMPRODUCT((실물목록!$P$2:$P$1001&lt;&gt;"")*ISNUMBER(SEARCH(실물목록!$P$2:$P$1001,I1611))*(실물목록!$Q$2:$Q$1001&lt;&gt;"")*ISNUMBER(SEARCH(실물목록!$Q$2:$Q$1001,I1611))*(실물목록!$R$2:$R$1001="")*(실물목록!$O$2:$O$1001&lt;&gt;""))&gt;0,"확인필요(연도다름)","실물 없음")))))</f>
      </c>
      <c r="G1611" t="n" s="16">
        <f aca="0">IF(B1611="","",SUMPRODUCT((실물목록!$P$2:$P$1001&lt;&gt;"")*ISNUMBER(SEARCH(실물목록!$P$2:$P$1001,I1611))*(실물목록!$Q$2:$Q$1001&lt;&gt;"")*ISNUMBER(SEARCH(실물목록!$Q$2:$Q$1001,I1611))*(실물목록!$R$2:$R$1001="")*(실물목록!$O$2:$O$1001&lt;&gt;"")*(실물목록!$O$2:$O$1001=H1611)))</f>
      </c>
      <c r="H1611" t="str">
        <f>IFERROR(IF(AND(LEN(SUBSTITUTE(SUBSTITUTE(SUBSTITUTE(TRIM(A1611&amp;""),CHAR(160),"")," ",""),"년",""))=4,VALUE(SUBSTITUTE(SUBSTITUTE(SUBSTITUTE(TRIM(A1611&amp;""),CHAR(160),"")," ",""),"년",""))&gt;=1900,VALUE(SUBSTITUTE(SUBSTITUTE(SUBSTITUTE(TRIM(A1611&amp;""),CHAR(160),"")," ",""),"년",""))&lt;=2099,TEXT(VALUE(SUBSTITUTE(SUBSTITUTE(SUBSTITUTE(TRIM(A1611&amp;""),CHAR(160),"")," ",""),"년","")),"0000")=SUBSTITUTE(SUBSTITUTE(SUBSTITUTE(TRIM(A1611&amp;""),CHAR(160),"")," ",""),"년","")),SUBSTITUTE(SUBSTITUTE(SUBSTITUTE(TRIM(A1611&amp;""),CHAR(160),"")," ",""),"년",""),""),"")</f>
      </c>
      <c r="I1611" t="str">
        <f>SUBSTITUTE(SUBSTITUTE(SUBSTITUTE(SUBSTITUTE(SUBSTITUTE(TRIM(B1611&amp;""),CHAR(160),"")," ",""),"초등학교","초"),"중학교","중"),"고등학교","고")</f>
      </c>
    </row>
    <row r="1612" customFormat="false" ht="15" hidden="false" customHeight="false" outlineLevel="0" collapsed="false">
      <c r="A1612" s="8"/>
      <c r="B1612" s="8"/>
      <c r="C1612" s="8"/>
      <c r="D1612" s="8"/>
      <c r="E1612" s="8"/>
      <c r="F1612" t="str" s="15">
        <f aca="0">IF(B1612="","",IF(H1612="","확인필요(입력누락)",IF(SUMPRODUCT((실물목록!$P$2:$P$1001&lt;&gt;"")*ISNUMBER(SEARCH(실물목록!$P$2:$P$1001,I1612))*(실물목록!$Q$2:$Q$1001&lt;&gt;"")*ISNUMBER(SEARCH(실물목록!$Q$2:$Q$1001,I1612))*(실물목록!$R$2:$R$1001="")*(실물목록!$O$2:$O$1001&lt;&gt;"")*(실물목록!$O$2:$O$1001=H1612))&gt;0,"실물 있음",IF(SUMPRODUCT((실물목록!$P$2:$P$1001&lt;&gt;"")*ISNUMBER(SEARCH(실물목록!$P$2:$P$1001,I1612))*(실물목록!$R$2:$R$1001&lt;&gt;""))&gt;0,"확인필요(입력누락)",IF(SUMPRODUCT((실물목록!$P$2:$P$1001&lt;&gt;"")*ISNUMBER(SEARCH(실물목록!$P$2:$P$1001,I1612))*(실물목록!$Q$2:$Q$1001&lt;&gt;"")*ISNUMBER(SEARCH(실물목록!$Q$2:$Q$1001,I1612))*(실물목록!$R$2:$R$1001="")*(실물목록!$O$2:$O$1001&lt;&gt;""))&gt;0,"확인필요(연도다름)","실물 없음")))))</f>
      </c>
      <c r="G1612" t="n" s="16">
        <f aca="0">IF(B1612="","",SUMPRODUCT((실물목록!$P$2:$P$1001&lt;&gt;"")*ISNUMBER(SEARCH(실물목록!$P$2:$P$1001,I1612))*(실물목록!$Q$2:$Q$1001&lt;&gt;"")*ISNUMBER(SEARCH(실물목록!$Q$2:$Q$1001,I1612))*(실물목록!$R$2:$R$1001="")*(실물목록!$O$2:$O$1001&lt;&gt;"")*(실물목록!$O$2:$O$1001=H1612)))</f>
      </c>
      <c r="H1612" t="str">
        <f>IFERROR(IF(AND(LEN(SUBSTITUTE(SUBSTITUTE(SUBSTITUTE(TRIM(A1612&amp;""),CHAR(160),"")," ",""),"년",""))=4,VALUE(SUBSTITUTE(SUBSTITUTE(SUBSTITUTE(TRIM(A1612&amp;""),CHAR(160),"")," ",""),"년",""))&gt;=1900,VALUE(SUBSTITUTE(SUBSTITUTE(SUBSTITUTE(TRIM(A1612&amp;""),CHAR(160),"")," ",""),"년",""))&lt;=2099,TEXT(VALUE(SUBSTITUTE(SUBSTITUTE(SUBSTITUTE(TRIM(A1612&amp;""),CHAR(160),"")," ",""),"년","")),"0000")=SUBSTITUTE(SUBSTITUTE(SUBSTITUTE(TRIM(A1612&amp;""),CHAR(160),"")," ",""),"년","")),SUBSTITUTE(SUBSTITUTE(SUBSTITUTE(TRIM(A1612&amp;""),CHAR(160),"")," ",""),"년",""),""),"")</f>
      </c>
      <c r="I1612" t="str">
        <f>SUBSTITUTE(SUBSTITUTE(SUBSTITUTE(SUBSTITUTE(SUBSTITUTE(TRIM(B1612&amp;""),CHAR(160),"")," ",""),"초등학교","초"),"중학교","중"),"고등학교","고")</f>
      </c>
    </row>
    <row r="1613" customFormat="false" ht="15" hidden="false" customHeight="false" outlineLevel="0" collapsed="false">
      <c r="A1613" s="8"/>
      <c r="B1613" s="8"/>
      <c r="C1613" s="8"/>
      <c r="D1613" s="8"/>
      <c r="E1613" s="8"/>
      <c r="F1613" t="str" s="15">
        <f aca="0">IF(B1613="","",IF(H1613="","확인필요(입력누락)",IF(SUMPRODUCT((실물목록!$P$2:$P$1001&lt;&gt;"")*ISNUMBER(SEARCH(실물목록!$P$2:$P$1001,I1613))*(실물목록!$Q$2:$Q$1001&lt;&gt;"")*ISNUMBER(SEARCH(실물목록!$Q$2:$Q$1001,I1613))*(실물목록!$R$2:$R$1001="")*(실물목록!$O$2:$O$1001&lt;&gt;"")*(실물목록!$O$2:$O$1001=H1613))&gt;0,"실물 있음",IF(SUMPRODUCT((실물목록!$P$2:$P$1001&lt;&gt;"")*ISNUMBER(SEARCH(실물목록!$P$2:$P$1001,I1613))*(실물목록!$R$2:$R$1001&lt;&gt;""))&gt;0,"확인필요(입력누락)",IF(SUMPRODUCT((실물목록!$P$2:$P$1001&lt;&gt;"")*ISNUMBER(SEARCH(실물목록!$P$2:$P$1001,I1613))*(실물목록!$Q$2:$Q$1001&lt;&gt;"")*ISNUMBER(SEARCH(실물목록!$Q$2:$Q$1001,I1613))*(실물목록!$R$2:$R$1001="")*(실물목록!$O$2:$O$1001&lt;&gt;""))&gt;0,"확인필요(연도다름)","실물 없음")))))</f>
      </c>
      <c r="G1613" t="n" s="16">
        <f aca="0">IF(B1613="","",SUMPRODUCT((실물목록!$P$2:$P$1001&lt;&gt;"")*ISNUMBER(SEARCH(실물목록!$P$2:$P$1001,I1613))*(실물목록!$Q$2:$Q$1001&lt;&gt;"")*ISNUMBER(SEARCH(실물목록!$Q$2:$Q$1001,I1613))*(실물목록!$R$2:$R$1001="")*(실물목록!$O$2:$O$1001&lt;&gt;"")*(실물목록!$O$2:$O$1001=H1613)))</f>
      </c>
      <c r="H1613" t="str">
        <f>IFERROR(IF(AND(LEN(SUBSTITUTE(SUBSTITUTE(SUBSTITUTE(TRIM(A1613&amp;""),CHAR(160),"")," ",""),"년",""))=4,VALUE(SUBSTITUTE(SUBSTITUTE(SUBSTITUTE(TRIM(A1613&amp;""),CHAR(160),"")," ",""),"년",""))&gt;=1900,VALUE(SUBSTITUTE(SUBSTITUTE(SUBSTITUTE(TRIM(A1613&amp;""),CHAR(160),"")," ",""),"년",""))&lt;=2099,TEXT(VALUE(SUBSTITUTE(SUBSTITUTE(SUBSTITUTE(TRIM(A1613&amp;""),CHAR(160),"")," ",""),"년","")),"0000")=SUBSTITUTE(SUBSTITUTE(SUBSTITUTE(TRIM(A1613&amp;""),CHAR(160),"")," ",""),"년","")),SUBSTITUTE(SUBSTITUTE(SUBSTITUTE(TRIM(A1613&amp;""),CHAR(160),"")," ",""),"년",""),""),"")</f>
      </c>
      <c r="I1613" t="str">
        <f>SUBSTITUTE(SUBSTITUTE(SUBSTITUTE(SUBSTITUTE(SUBSTITUTE(TRIM(B1613&amp;""),CHAR(160),"")," ",""),"초등학교","초"),"중학교","중"),"고등학교","고")</f>
      </c>
    </row>
    <row r="1614" customFormat="false" ht="15" hidden="false" customHeight="false" outlineLevel="0" collapsed="false">
      <c r="A1614" s="8"/>
      <c r="B1614" s="8"/>
      <c r="C1614" s="8"/>
      <c r="D1614" s="8"/>
      <c r="E1614" s="8"/>
      <c r="F1614" t="str" s="15">
        <f aca="0">IF(B1614="","",IF(H1614="","확인필요(입력누락)",IF(SUMPRODUCT((실물목록!$P$2:$P$1001&lt;&gt;"")*ISNUMBER(SEARCH(실물목록!$P$2:$P$1001,I1614))*(실물목록!$Q$2:$Q$1001&lt;&gt;"")*ISNUMBER(SEARCH(실물목록!$Q$2:$Q$1001,I1614))*(실물목록!$R$2:$R$1001="")*(실물목록!$O$2:$O$1001&lt;&gt;"")*(실물목록!$O$2:$O$1001=H1614))&gt;0,"실물 있음",IF(SUMPRODUCT((실물목록!$P$2:$P$1001&lt;&gt;"")*ISNUMBER(SEARCH(실물목록!$P$2:$P$1001,I1614))*(실물목록!$R$2:$R$1001&lt;&gt;""))&gt;0,"확인필요(입력누락)",IF(SUMPRODUCT((실물목록!$P$2:$P$1001&lt;&gt;"")*ISNUMBER(SEARCH(실물목록!$P$2:$P$1001,I1614))*(실물목록!$Q$2:$Q$1001&lt;&gt;"")*ISNUMBER(SEARCH(실물목록!$Q$2:$Q$1001,I1614))*(실물목록!$R$2:$R$1001="")*(실물목록!$O$2:$O$1001&lt;&gt;""))&gt;0,"확인필요(연도다름)","실물 없음")))))</f>
      </c>
      <c r="G1614" t="n" s="16">
        <f aca="0">IF(B1614="","",SUMPRODUCT((실물목록!$P$2:$P$1001&lt;&gt;"")*ISNUMBER(SEARCH(실물목록!$P$2:$P$1001,I1614))*(실물목록!$Q$2:$Q$1001&lt;&gt;"")*ISNUMBER(SEARCH(실물목록!$Q$2:$Q$1001,I1614))*(실물목록!$R$2:$R$1001="")*(실물목록!$O$2:$O$1001&lt;&gt;"")*(실물목록!$O$2:$O$1001=H1614)))</f>
      </c>
      <c r="H1614" t="str">
        <f>IFERROR(IF(AND(LEN(SUBSTITUTE(SUBSTITUTE(SUBSTITUTE(TRIM(A1614&amp;""),CHAR(160),"")," ",""),"년",""))=4,VALUE(SUBSTITUTE(SUBSTITUTE(SUBSTITUTE(TRIM(A1614&amp;""),CHAR(160),"")," ",""),"년",""))&gt;=1900,VALUE(SUBSTITUTE(SUBSTITUTE(SUBSTITUTE(TRIM(A1614&amp;""),CHAR(160),"")," ",""),"년",""))&lt;=2099,TEXT(VALUE(SUBSTITUTE(SUBSTITUTE(SUBSTITUTE(TRIM(A1614&amp;""),CHAR(160),"")," ",""),"년","")),"0000")=SUBSTITUTE(SUBSTITUTE(SUBSTITUTE(TRIM(A1614&amp;""),CHAR(160),"")," ",""),"년","")),SUBSTITUTE(SUBSTITUTE(SUBSTITUTE(TRIM(A1614&amp;""),CHAR(160),"")," ",""),"년",""),""),"")</f>
      </c>
      <c r="I1614" t="str">
        <f>SUBSTITUTE(SUBSTITUTE(SUBSTITUTE(SUBSTITUTE(SUBSTITUTE(TRIM(B1614&amp;""),CHAR(160),"")," ",""),"초등학교","초"),"중학교","중"),"고등학교","고")</f>
      </c>
    </row>
    <row r="1615" customFormat="false" ht="15" hidden="false" customHeight="false" outlineLevel="0" collapsed="false">
      <c r="A1615" s="8"/>
      <c r="B1615" s="8"/>
      <c r="C1615" s="8"/>
      <c r="D1615" s="8"/>
      <c r="E1615" s="8"/>
      <c r="F1615" t="str" s="15">
        <f aca="0">IF(B1615="","",IF(H1615="","확인필요(입력누락)",IF(SUMPRODUCT((실물목록!$P$2:$P$1001&lt;&gt;"")*ISNUMBER(SEARCH(실물목록!$P$2:$P$1001,I1615))*(실물목록!$Q$2:$Q$1001&lt;&gt;"")*ISNUMBER(SEARCH(실물목록!$Q$2:$Q$1001,I1615))*(실물목록!$R$2:$R$1001="")*(실물목록!$O$2:$O$1001&lt;&gt;"")*(실물목록!$O$2:$O$1001=H1615))&gt;0,"실물 있음",IF(SUMPRODUCT((실물목록!$P$2:$P$1001&lt;&gt;"")*ISNUMBER(SEARCH(실물목록!$P$2:$P$1001,I1615))*(실물목록!$R$2:$R$1001&lt;&gt;""))&gt;0,"확인필요(입력누락)",IF(SUMPRODUCT((실물목록!$P$2:$P$1001&lt;&gt;"")*ISNUMBER(SEARCH(실물목록!$P$2:$P$1001,I1615))*(실물목록!$Q$2:$Q$1001&lt;&gt;"")*ISNUMBER(SEARCH(실물목록!$Q$2:$Q$1001,I1615))*(실물목록!$R$2:$R$1001="")*(실물목록!$O$2:$O$1001&lt;&gt;""))&gt;0,"확인필요(연도다름)","실물 없음")))))</f>
      </c>
      <c r="G1615" t="n" s="16">
        <f aca="0">IF(B1615="","",SUMPRODUCT((실물목록!$P$2:$P$1001&lt;&gt;"")*ISNUMBER(SEARCH(실물목록!$P$2:$P$1001,I1615))*(실물목록!$Q$2:$Q$1001&lt;&gt;"")*ISNUMBER(SEARCH(실물목록!$Q$2:$Q$1001,I1615))*(실물목록!$R$2:$R$1001="")*(실물목록!$O$2:$O$1001&lt;&gt;"")*(실물목록!$O$2:$O$1001=H1615)))</f>
      </c>
      <c r="H1615" t="str">
        <f>IFERROR(IF(AND(LEN(SUBSTITUTE(SUBSTITUTE(SUBSTITUTE(TRIM(A1615&amp;""),CHAR(160),"")," ",""),"년",""))=4,VALUE(SUBSTITUTE(SUBSTITUTE(SUBSTITUTE(TRIM(A1615&amp;""),CHAR(160),"")," ",""),"년",""))&gt;=1900,VALUE(SUBSTITUTE(SUBSTITUTE(SUBSTITUTE(TRIM(A1615&amp;""),CHAR(160),"")," ",""),"년",""))&lt;=2099,TEXT(VALUE(SUBSTITUTE(SUBSTITUTE(SUBSTITUTE(TRIM(A1615&amp;""),CHAR(160),"")," ",""),"년","")),"0000")=SUBSTITUTE(SUBSTITUTE(SUBSTITUTE(TRIM(A1615&amp;""),CHAR(160),"")," ",""),"년","")),SUBSTITUTE(SUBSTITUTE(SUBSTITUTE(TRIM(A1615&amp;""),CHAR(160),"")," ",""),"년",""),""),"")</f>
      </c>
      <c r="I1615" t="str">
        <f>SUBSTITUTE(SUBSTITUTE(SUBSTITUTE(SUBSTITUTE(SUBSTITUTE(TRIM(B1615&amp;""),CHAR(160),"")," ",""),"초등학교","초"),"중학교","중"),"고등학교","고")</f>
      </c>
    </row>
    <row r="1616" customFormat="false" ht="15" hidden="false" customHeight="false" outlineLevel="0" collapsed="false">
      <c r="A1616" s="8"/>
      <c r="B1616" s="8"/>
      <c r="C1616" s="8"/>
      <c r="D1616" s="8"/>
      <c r="E1616" s="8"/>
      <c r="F1616" t="str" s="15">
        <f aca="0">IF(B1616="","",IF(H1616="","확인필요(입력누락)",IF(SUMPRODUCT((실물목록!$P$2:$P$1001&lt;&gt;"")*ISNUMBER(SEARCH(실물목록!$P$2:$P$1001,I1616))*(실물목록!$Q$2:$Q$1001&lt;&gt;"")*ISNUMBER(SEARCH(실물목록!$Q$2:$Q$1001,I1616))*(실물목록!$R$2:$R$1001="")*(실물목록!$O$2:$O$1001&lt;&gt;"")*(실물목록!$O$2:$O$1001=H1616))&gt;0,"실물 있음",IF(SUMPRODUCT((실물목록!$P$2:$P$1001&lt;&gt;"")*ISNUMBER(SEARCH(실물목록!$P$2:$P$1001,I1616))*(실물목록!$R$2:$R$1001&lt;&gt;""))&gt;0,"확인필요(입력누락)",IF(SUMPRODUCT((실물목록!$P$2:$P$1001&lt;&gt;"")*ISNUMBER(SEARCH(실물목록!$P$2:$P$1001,I1616))*(실물목록!$Q$2:$Q$1001&lt;&gt;"")*ISNUMBER(SEARCH(실물목록!$Q$2:$Q$1001,I1616))*(실물목록!$R$2:$R$1001="")*(실물목록!$O$2:$O$1001&lt;&gt;""))&gt;0,"확인필요(연도다름)","실물 없음")))))</f>
      </c>
      <c r="G1616" t="n" s="16">
        <f aca="0">IF(B1616="","",SUMPRODUCT((실물목록!$P$2:$P$1001&lt;&gt;"")*ISNUMBER(SEARCH(실물목록!$P$2:$P$1001,I1616))*(실물목록!$Q$2:$Q$1001&lt;&gt;"")*ISNUMBER(SEARCH(실물목록!$Q$2:$Q$1001,I1616))*(실물목록!$R$2:$R$1001="")*(실물목록!$O$2:$O$1001&lt;&gt;"")*(실물목록!$O$2:$O$1001=H1616)))</f>
      </c>
      <c r="H1616" t="str">
        <f>IFERROR(IF(AND(LEN(SUBSTITUTE(SUBSTITUTE(SUBSTITUTE(TRIM(A1616&amp;""),CHAR(160),"")," ",""),"년",""))=4,VALUE(SUBSTITUTE(SUBSTITUTE(SUBSTITUTE(TRIM(A1616&amp;""),CHAR(160),"")," ",""),"년",""))&gt;=1900,VALUE(SUBSTITUTE(SUBSTITUTE(SUBSTITUTE(TRIM(A1616&amp;""),CHAR(160),"")," ",""),"년",""))&lt;=2099,TEXT(VALUE(SUBSTITUTE(SUBSTITUTE(SUBSTITUTE(TRIM(A1616&amp;""),CHAR(160),"")," ",""),"년","")),"0000")=SUBSTITUTE(SUBSTITUTE(SUBSTITUTE(TRIM(A1616&amp;""),CHAR(160),"")," ",""),"년","")),SUBSTITUTE(SUBSTITUTE(SUBSTITUTE(TRIM(A1616&amp;""),CHAR(160),"")," ",""),"년",""),""),"")</f>
      </c>
      <c r="I1616" t="str">
        <f>SUBSTITUTE(SUBSTITUTE(SUBSTITUTE(SUBSTITUTE(SUBSTITUTE(TRIM(B1616&amp;""),CHAR(160),"")," ",""),"초등학교","초"),"중학교","중"),"고등학교","고")</f>
      </c>
    </row>
    <row r="1617" customFormat="false" ht="15" hidden="false" customHeight="false" outlineLevel="0" collapsed="false">
      <c r="A1617" s="8"/>
      <c r="B1617" s="8"/>
      <c r="C1617" s="8"/>
      <c r="D1617" s="8"/>
      <c r="E1617" s="8"/>
      <c r="F1617" t="str" s="15">
        <f aca="0">IF(B1617="","",IF(H1617="","확인필요(입력누락)",IF(SUMPRODUCT((실물목록!$P$2:$P$1001&lt;&gt;"")*ISNUMBER(SEARCH(실물목록!$P$2:$P$1001,I1617))*(실물목록!$Q$2:$Q$1001&lt;&gt;"")*ISNUMBER(SEARCH(실물목록!$Q$2:$Q$1001,I1617))*(실물목록!$R$2:$R$1001="")*(실물목록!$O$2:$O$1001&lt;&gt;"")*(실물목록!$O$2:$O$1001=H1617))&gt;0,"실물 있음",IF(SUMPRODUCT((실물목록!$P$2:$P$1001&lt;&gt;"")*ISNUMBER(SEARCH(실물목록!$P$2:$P$1001,I1617))*(실물목록!$R$2:$R$1001&lt;&gt;""))&gt;0,"확인필요(입력누락)",IF(SUMPRODUCT((실물목록!$P$2:$P$1001&lt;&gt;"")*ISNUMBER(SEARCH(실물목록!$P$2:$P$1001,I1617))*(실물목록!$Q$2:$Q$1001&lt;&gt;"")*ISNUMBER(SEARCH(실물목록!$Q$2:$Q$1001,I1617))*(실물목록!$R$2:$R$1001="")*(실물목록!$O$2:$O$1001&lt;&gt;""))&gt;0,"확인필요(연도다름)","실물 없음")))))</f>
      </c>
      <c r="G1617" t="n" s="16">
        <f aca="0">IF(B1617="","",SUMPRODUCT((실물목록!$P$2:$P$1001&lt;&gt;"")*ISNUMBER(SEARCH(실물목록!$P$2:$P$1001,I1617))*(실물목록!$Q$2:$Q$1001&lt;&gt;"")*ISNUMBER(SEARCH(실물목록!$Q$2:$Q$1001,I1617))*(실물목록!$R$2:$R$1001="")*(실물목록!$O$2:$O$1001&lt;&gt;"")*(실물목록!$O$2:$O$1001=H1617)))</f>
      </c>
      <c r="H1617" t="str">
        <f>IFERROR(IF(AND(LEN(SUBSTITUTE(SUBSTITUTE(SUBSTITUTE(TRIM(A1617&amp;""),CHAR(160),"")," ",""),"년",""))=4,VALUE(SUBSTITUTE(SUBSTITUTE(SUBSTITUTE(TRIM(A1617&amp;""),CHAR(160),"")," ",""),"년",""))&gt;=1900,VALUE(SUBSTITUTE(SUBSTITUTE(SUBSTITUTE(TRIM(A1617&amp;""),CHAR(160),"")," ",""),"년",""))&lt;=2099,TEXT(VALUE(SUBSTITUTE(SUBSTITUTE(SUBSTITUTE(TRIM(A1617&amp;""),CHAR(160),"")," ",""),"년","")),"0000")=SUBSTITUTE(SUBSTITUTE(SUBSTITUTE(TRIM(A1617&amp;""),CHAR(160),"")," ",""),"년","")),SUBSTITUTE(SUBSTITUTE(SUBSTITUTE(TRIM(A1617&amp;""),CHAR(160),"")," ",""),"년",""),""),"")</f>
      </c>
      <c r="I1617" t="str">
        <f>SUBSTITUTE(SUBSTITUTE(SUBSTITUTE(SUBSTITUTE(SUBSTITUTE(TRIM(B1617&amp;""),CHAR(160),"")," ",""),"초등학교","초"),"중학교","중"),"고등학교","고")</f>
      </c>
    </row>
    <row r="1618" customFormat="false" ht="15" hidden="false" customHeight="false" outlineLevel="0" collapsed="false">
      <c r="A1618" s="8"/>
      <c r="B1618" s="8"/>
      <c r="C1618" s="8"/>
      <c r="D1618" s="8"/>
      <c r="E1618" s="8"/>
      <c r="F1618" t="str" s="15">
        <f aca="0">IF(B1618="","",IF(H1618="","확인필요(입력누락)",IF(SUMPRODUCT((실물목록!$P$2:$P$1001&lt;&gt;"")*ISNUMBER(SEARCH(실물목록!$P$2:$P$1001,I1618))*(실물목록!$Q$2:$Q$1001&lt;&gt;"")*ISNUMBER(SEARCH(실물목록!$Q$2:$Q$1001,I1618))*(실물목록!$R$2:$R$1001="")*(실물목록!$O$2:$O$1001&lt;&gt;"")*(실물목록!$O$2:$O$1001=H1618))&gt;0,"실물 있음",IF(SUMPRODUCT((실물목록!$P$2:$P$1001&lt;&gt;"")*ISNUMBER(SEARCH(실물목록!$P$2:$P$1001,I1618))*(실물목록!$R$2:$R$1001&lt;&gt;""))&gt;0,"확인필요(입력누락)",IF(SUMPRODUCT((실물목록!$P$2:$P$1001&lt;&gt;"")*ISNUMBER(SEARCH(실물목록!$P$2:$P$1001,I1618))*(실물목록!$Q$2:$Q$1001&lt;&gt;"")*ISNUMBER(SEARCH(실물목록!$Q$2:$Q$1001,I1618))*(실물목록!$R$2:$R$1001="")*(실물목록!$O$2:$O$1001&lt;&gt;""))&gt;0,"확인필요(연도다름)","실물 없음")))))</f>
      </c>
      <c r="G1618" t="n" s="16">
        <f aca="0">IF(B1618="","",SUMPRODUCT((실물목록!$P$2:$P$1001&lt;&gt;"")*ISNUMBER(SEARCH(실물목록!$P$2:$P$1001,I1618))*(실물목록!$Q$2:$Q$1001&lt;&gt;"")*ISNUMBER(SEARCH(실물목록!$Q$2:$Q$1001,I1618))*(실물목록!$R$2:$R$1001="")*(실물목록!$O$2:$O$1001&lt;&gt;"")*(실물목록!$O$2:$O$1001=H1618)))</f>
      </c>
      <c r="H1618" t="str">
        <f>IFERROR(IF(AND(LEN(SUBSTITUTE(SUBSTITUTE(SUBSTITUTE(TRIM(A1618&amp;""),CHAR(160),"")," ",""),"년",""))=4,VALUE(SUBSTITUTE(SUBSTITUTE(SUBSTITUTE(TRIM(A1618&amp;""),CHAR(160),"")," ",""),"년",""))&gt;=1900,VALUE(SUBSTITUTE(SUBSTITUTE(SUBSTITUTE(TRIM(A1618&amp;""),CHAR(160),"")," ",""),"년",""))&lt;=2099,TEXT(VALUE(SUBSTITUTE(SUBSTITUTE(SUBSTITUTE(TRIM(A1618&amp;""),CHAR(160),"")," ",""),"년","")),"0000")=SUBSTITUTE(SUBSTITUTE(SUBSTITUTE(TRIM(A1618&amp;""),CHAR(160),"")," ",""),"년","")),SUBSTITUTE(SUBSTITUTE(SUBSTITUTE(TRIM(A1618&amp;""),CHAR(160),"")," ",""),"년",""),""),"")</f>
      </c>
      <c r="I1618" t="str">
        <f>SUBSTITUTE(SUBSTITUTE(SUBSTITUTE(SUBSTITUTE(SUBSTITUTE(TRIM(B1618&amp;""),CHAR(160),"")," ",""),"초등학교","초"),"중학교","중"),"고등학교","고")</f>
      </c>
    </row>
    <row r="1619" customFormat="false" ht="15" hidden="false" customHeight="false" outlineLevel="0" collapsed="false">
      <c r="A1619" s="8"/>
      <c r="B1619" s="8"/>
      <c r="C1619" s="8"/>
      <c r="D1619" s="8"/>
      <c r="E1619" s="8"/>
      <c r="F1619" t="str" s="15">
        <f aca="0">IF(B1619="","",IF(H1619="","확인필요(입력누락)",IF(SUMPRODUCT((실물목록!$P$2:$P$1001&lt;&gt;"")*ISNUMBER(SEARCH(실물목록!$P$2:$P$1001,I1619))*(실물목록!$Q$2:$Q$1001&lt;&gt;"")*ISNUMBER(SEARCH(실물목록!$Q$2:$Q$1001,I1619))*(실물목록!$R$2:$R$1001="")*(실물목록!$O$2:$O$1001&lt;&gt;"")*(실물목록!$O$2:$O$1001=H1619))&gt;0,"실물 있음",IF(SUMPRODUCT((실물목록!$P$2:$P$1001&lt;&gt;"")*ISNUMBER(SEARCH(실물목록!$P$2:$P$1001,I1619))*(실물목록!$R$2:$R$1001&lt;&gt;""))&gt;0,"확인필요(입력누락)",IF(SUMPRODUCT((실물목록!$P$2:$P$1001&lt;&gt;"")*ISNUMBER(SEARCH(실물목록!$P$2:$P$1001,I1619))*(실물목록!$Q$2:$Q$1001&lt;&gt;"")*ISNUMBER(SEARCH(실물목록!$Q$2:$Q$1001,I1619))*(실물목록!$R$2:$R$1001="")*(실물목록!$O$2:$O$1001&lt;&gt;""))&gt;0,"확인필요(연도다름)","실물 없음")))))</f>
      </c>
      <c r="G1619" t="n" s="16">
        <f aca="0">IF(B1619="","",SUMPRODUCT((실물목록!$P$2:$P$1001&lt;&gt;"")*ISNUMBER(SEARCH(실물목록!$P$2:$P$1001,I1619))*(실물목록!$Q$2:$Q$1001&lt;&gt;"")*ISNUMBER(SEARCH(실물목록!$Q$2:$Q$1001,I1619))*(실물목록!$R$2:$R$1001="")*(실물목록!$O$2:$O$1001&lt;&gt;"")*(실물목록!$O$2:$O$1001=H1619)))</f>
      </c>
      <c r="H1619" t="str">
        <f>IFERROR(IF(AND(LEN(SUBSTITUTE(SUBSTITUTE(SUBSTITUTE(TRIM(A1619&amp;""),CHAR(160),"")," ",""),"년",""))=4,VALUE(SUBSTITUTE(SUBSTITUTE(SUBSTITUTE(TRIM(A1619&amp;""),CHAR(160),"")," ",""),"년",""))&gt;=1900,VALUE(SUBSTITUTE(SUBSTITUTE(SUBSTITUTE(TRIM(A1619&amp;""),CHAR(160),"")," ",""),"년",""))&lt;=2099,TEXT(VALUE(SUBSTITUTE(SUBSTITUTE(SUBSTITUTE(TRIM(A1619&amp;""),CHAR(160),"")," ",""),"년","")),"0000")=SUBSTITUTE(SUBSTITUTE(SUBSTITUTE(TRIM(A1619&amp;""),CHAR(160),"")," ",""),"년","")),SUBSTITUTE(SUBSTITUTE(SUBSTITUTE(TRIM(A1619&amp;""),CHAR(160),"")," ",""),"년",""),""),"")</f>
      </c>
      <c r="I1619" t="str">
        <f>SUBSTITUTE(SUBSTITUTE(SUBSTITUTE(SUBSTITUTE(SUBSTITUTE(TRIM(B1619&amp;""),CHAR(160),"")," ",""),"초등학교","초"),"중학교","중"),"고등학교","고")</f>
      </c>
    </row>
    <row r="1620" customFormat="false" ht="15" hidden="false" customHeight="false" outlineLevel="0" collapsed="false">
      <c r="A1620" s="8"/>
      <c r="B1620" s="8"/>
      <c r="C1620" s="8"/>
      <c r="D1620" s="8"/>
      <c r="E1620" s="8"/>
      <c r="F1620" t="str" s="15">
        <f aca="0">IF(B1620="","",IF(H1620="","확인필요(입력누락)",IF(SUMPRODUCT((실물목록!$P$2:$P$1001&lt;&gt;"")*ISNUMBER(SEARCH(실물목록!$P$2:$P$1001,I1620))*(실물목록!$Q$2:$Q$1001&lt;&gt;"")*ISNUMBER(SEARCH(실물목록!$Q$2:$Q$1001,I1620))*(실물목록!$R$2:$R$1001="")*(실물목록!$O$2:$O$1001&lt;&gt;"")*(실물목록!$O$2:$O$1001=H1620))&gt;0,"실물 있음",IF(SUMPRODUCT((실물목록!$P$2:$P$1001&lt;&gt;"")*ISNUMBER(SEARCH(실물목록!$P$2:$P$1001,I1620))*(실물목록!$R$2:$R$1001&lt;&gt;""))&gt;0,"확인필요(입력누락)",IF(SUMPRODUCT((실물목록!$P$2:$P$1001&lt;&gt;"")*ISNUMBER(SEARCH(실물목록!$P$2:$P$1001,I1620))*(실물목록!$Q$2:$Q$1001&lt;&gt;"")*ISNUMBER(SEARCH(실물목록!$Q$2:$Q$1001,I1620))*(실물목록!$R$2:$R$1001="")*(실물목록!$O$2:$O$1001&lt;&gt;""))&gt;0,"확인필요(연도다름)","실물 없음")))))</f>
      </c>
      <c r="G1620" t="n" s="16">
        <f aca="0">IF(B1620="","",SUMPRODUCT((실물목록!$P$2:$P$1001&lt;&gt;"")*ISNUMBER(SEARCH(실물목록!$P$2:$P$1001,I1620))*(실물목록!$Q$2:$Q$1001&lt;&gt;"")*ISNUMBER(SEARCH(실물목록!$Q$2:$Q$1001,I1620))*(실물목록!$R$2:$R$1001="")*(실물목록!$O$2:$O$1001&lt;&gt;"")*(실물목록!$O$2:$O$1001=H1620)))</f>
      </c>
      <c r="H1620" t="str">
        <f>IFERROR(IF(AND(LEN(SUBSTITUTE(SUBSTITUTE(SUBSTITUTE(TRIM(A1620&amp;""),CHAR(160),"")," ",""),"년",""))=4,VALUE(SUBSTITUTE(SUBSTITUTE(SUBSTITUTE(TRIM(A1620&amp;""),CHAR(160),"")," ",""),"년",""))&gt;=1900,VALUE(SUBSTITUTE(SUBSTITUTE(SUBSTITUTE(TRIM(A1620&amp;""),CHAR(160),"")," ",""),"년",""))&lt;=2099,TEXT(VALUE(SUBSTITUTE(SUBSTITUTE(SUBSTITUTE(TRIM(A1620&amp;""),CHAR(160),"")," ",""),"년","")),"0000")=SUBSTITUTE(SUBSTITUTE(SUBSTITUTE(TRIM(A1620&amp;""),CHAR(160),"")," ",""),"년","")),SUBSTITUTE(SUBSTITUTE(SUBSTITUTE(TRIM(A1620&amp;""),CHAR(160),"")," ",""),"년",""),""),"")</f>
      </c>
      <c r="I1620" t="str">
        <f>SUBSTITUTE(SUBSTITUTE(SUBSTITUTE(SUBSTITUTE(SUBSTITUTE(TRIM(B1620&amp;""),CHAR(160),"")," ",""),"초등학교","초"),"중학교","중"),"고등학교","고")</f>
      </c>
    </row>
    <row r="1621" customFormat="false" ht="15" hidden="false" customHeight="false" outlineLevel="0" collapsed="false">
      <c r="A1621" s="8"/>
      <c r="B1621" s="8"/>
      <c r="C1621" s="8"/>
      <c r="D1621" s="8"/>
      <c r="E1621" s="8"/>
      <c r="F1621" t="str" s="15">
        <f aca="0">IF(B1621="","",IF(H1621="","확인필요(입력누락)",IF(SUMPRODUCT((실물목록!$P$2:$P$1001&lt;&gt;"")*ISNUMBER(SEARCH(실물목록!$P$2:$P$1001,I1621))*(실물목록!$Q$2:$Q$1001&lt;&gt;"")*ISNUMBER(SEARCH(실물목록!$Q$2:$Q$1001,I1621))*(실물목록!$R$2:$R$1001="")*(실물목록!$O$2:$O$1001&lt;&gt;"")*(실물목록!$O$2:$O$1001=H1621))&gt;0,"실물 있음",IF(SUMPRODUCT((실물목록!$P$2:$P$1001&lt;&gt;"")*ISNUMBER(SEARCH(실물목록!$P$2:$P$1001,I1621))*(실물목록!$R$2:$R$1001&lt;&gt;""))&gt;0,"확인필요(입력누락)",IF(SUMPRODUCT((실물목록!$P$2:$P$1001&lt;&gt;"")*ISNUMBER(SEARCH(실물목록!$P$2:$P$1001,I1621))*(실물목록!$Q$2:$Q$1001&lt;&gt;"")*ISNUMBER(SEARCH(실물목록!$Q$2:$Q$1001,I1621))*(실물목록!$R$2:$R$1001="")*(실물목록!$O$2:$O$1001&lt;&gt;""))&gt;0,"확인필요(연도다름)","실물 없음")))))</f>
      </c>
      <c r="G1621" t="n" s="16">
        <f aca="0">IF(B1621="","",SUMPRODUCT((실물목록!$P$2:$P$1001&lt;&gt;"")*ISNUMBER(SEARCH(실물목록!$P$2:$P$1001,I1621))*(실물목록!$Q$2:$Q$1001&lt;&gt;"")*ISNUMBER(SEARCH(실물목록!$Q$2:$Q$1001,I1621))*(실물목록!$R$2:$R$1001="")*(실물목록!$O$2:$O$1001&lt;&gt;"")*(실물목록!$O$2:$O$1001=H1621)))</f>
      </c>
      <c r="H1621" t="str">
        <f>IFERROR(IF(AND(LEN(SUBSTITUTE(SUBSTITUTE(SUBSTITUTE(TRIM(A1621&amp;""),CHAR(160),"")," ",""),"년",""))=4,VALUE(SUBSTITUTE(SUBSTITUTE(SUBSTITUTE(TRIM(A1621&amp;""),CHAR(160),"")," ",""),"년",""))&gt;=1900,VALUE(SUBSTITUTE(SUBSTITUTE(SUBSTITUTE(TRIM(A1621&amp;""),CHAR(160),"")," ",""),"년",""))&lt;=2099,TEXT(VALUE(SUBSTITUTE(SUBSTITUTE(SUBSTITUTE(TRIM(A1621&amp;""),CHAR(160),"")," ",""),"년","")),"0000")=SUBSTITUTE(SUBSTITUTE(SUBSTITUTE(TRIM(A1621&amp;""),CHAR(160),"")," ",""),"년","")),SUBSTITUTE(SUBSTITUTE(SUBSTITUTE(TRIM(A1621&amp;""),CHAR(160),"")," ",""),"년",""),""),"")</f>
      </c>
      <c r="I1621" t="str">
        <f>SUBSTITUTE(SUBSTITUTE(SUBSTITUTE(SUBSTITUTE(SUBSTITUTE(TRIM(B1621&amp;""),CHAR(160),"")," ",""),"초등학교","초"),"중학교","중"),"고등학교","고")</f>
      </c>
    </row>
    <row r="1622" customFormat="false" ht="15" hidden="false" customHeight="false" outlineLevel="0" collapsed="false">
      <c r="A1622" s="8"/>
      <c r="B1622" s="8"/>
      <c r="C1622" s="8"/>
      <c r="D1622" s="8"/>
      <c r="E1622" s="8"/>
      <c r="F1622" t="str" s="15">
        <f aca="0">IF(B1622="","",IF(H1622="","확인필요(입력누락)",IF(SUMPRODUCT((실물목록!$P$2:$P$1001&lt;&gt;"")*ISNUMBER(SEARCH(실물목록!$P$2:$P$1001,I1622))*(실물목록!$Q$2:$Q$1001&lt;&gt;"")*ISNUMBER(SEARCH(실물목록!$Q$2:$Q$1001,I1622))*(실물목록!$R$2:$R$1001="")*(실물목록!$O$2:$O$1001&lt;&gt;"")*(실물목록!$O$2:$O$1001=H1622))&gt;0,"실물 있음",IF(SUMPRODUCT((실물목록!$P$2:$P$1001&lt;&gt;"")*ISNUMBER(SEARCH(실물목록!$P$2:$P$1001,I1622))*(실물목록!$R$2:$R$1001&lt;&gt;""))&gt;0,"확인필요(입력누락)",IF(SUMPRODUCT((실물목록!$P$2:$P$1001&lt;&gt;"")*ISNUMBER(SEARCH(실물목록!$P$2:$P$1001,I1622))*(실물목록!$Q$2:$Q$1001&lt;&gt;"")*ISNUMBER(SEARCH(실물목록!$Q$2:$Q$1001,I1622))*(실물목록!$R$2:$R$1001="")*(실물목록!$O$2:$O$1001&lt;&gt;""))&gt;0,"확인필요(연도다름)","실물 없음")))))</f>
      </c>
      <c r="G1622" t="n" s="16">
        <f aca="0">IF(B1622="","",SUMPRODUCT((실물목록!$P$2:$P$1001&lt;&gt;"")*ISNUMBER(SEARCH(실물목록!$P$2:$P$1001,I1622))*(실물목록!$Q$2:$Q$1001&lt;&gt;"")*ISNUMBER(SEARCH(실물목록!$Q$2:$Q$1001,I1622))*(실물목록!$R$2:$R$1001="")*(실물목록!$O$2:$O$1001&lt;&gt;"")*(실물목록!$O$2:$O$1001=H1622)))</f>
      </c>
      <c r="H1622" t="str">
        <f>IFERROR(IF(AND(LEN(SUBSTITUTE(SUBSTITUTE(SUBSTITUTE(TRIM(A1622&amp;""),CHAR(160),"")," ",""),"년",""))=4,VALUE(SUBSTITUTE(SUBSTITUTE(SUBSTITUTE(TRIM(A1622&amp;""),CHAR(160),"")," ",""),"년",""))&gt;=1900,VALUE(SUBSTITUTE(SUBSTITUTE(SUBSTITUTE(TRIM(A1622&amp;""),CHAR(160),"")," ",""),"년",""))&lt;=2099,TEXT(VALUE(SUBSTITUTE(SUBSTITUTE(SUBSTITUTE(TRIM(A1622&amp;""),CHAR(160),"")," ",""),"년","")),"0000")=SUBSTITUTE(SUBSTITUTE(SUBSTITUTE(TRIM(A1622&amp;""),CHAR(160),"")," ",""),"년","")),SUBSTITUTE(SUBSTITUTE(SUBSTITUTE(TRIM(A1622&amp;""),CHAR(160),"")," ",""),"년",""),""),"")</f>
      </c>
      <c r="I1622" t="str">
        <f>SUBSTITUTE(SUBSTITUTE(SUBSTITUTE(SUBSTITUTE(SUBSTITUTE(TRIM(B1622&amp;""),CHAR(160),"")," ",""),"초등학교","초"),"중학교","중"),"고등학교","고")</f>
      </c>
    </row>
    <row r="1623" customFormat="false" ht="15" hidden="false" customHeight="false" outlineLevel="0" collapsed="false">
      <c r="A1623" s="8"/>
      <c r="B1623" s="8"/>
      <c r="C1623" s="8"/>
      <c r="D1623" s="8"/>
      <c r="E1623" s="8"/>
      <c r="F1623" t="str" s="15">
        <f aca="0">IF(B1623="","",IF(H1623="","확인필요(입력누락)",IF(SUMPRODUCT((실물목록!$P$2:$P$1001&lt;&gt;"")*ISNUMBER(SEARCH(실물목록!$P$2:$P$1001,I1623))*(실물목록!$Q$2:$Q$1001&lt;&gt;"")*ISNUMBER(SEARCH(실물목록!$Q$2:$Q$1001,I1623))*(실물목록!$R$2:$R$1001="")*(실물목록!$O$2:$O$1001&lt;&gt;"")*(실물목록!$O$2:$O$1001=H1623))&gt;0,"실물 있음",IF(SUMPRODUCT((실물목록!$P$2:$P$1001&lt;&gt;"")*ISNUMBER(SEARCH(실물목록!$P$2:$P$1001,I1623))*(실물목록!$R$2:$R$1001&lt;&gt;""))&gt;0,"확인필요(입력누락)",IF(SUMPRODUCT((실물목록!$P$2:$P$1001&lt;&gt;"")*ISNUMBER(SEARCH(실물목록!$P$2:$P$1001,I1623))*(실물목록!$Q$2:$Q$1001&lt;&gt;"")*ISNUMBER(SEARCH(실물목록!$Q$2:$Q$1001,I1623))*(실물목록!$R$2:$R$1001="")*(실물목록!$O$2:$O$1001&lt;&gt;""))&gt;0,"확인필요(연도다름)","실물 없음")))))</f>
      </c>
      <c r="G1623" t="n" s="16">
        <f aca="0">IF(B1623="","",SUMPRODUCT((실물목록!$P$2:$P$1001&lt;&gt;"")*ISNUMBER(SEARCH(실물목록!$P$2:$P$1001,I1623))*(실물목록!$Q$2:$Q$1001&lt;&gt;"")*ISNUMBER(SEARCH(실물목록!$Q$2:$Q$1001,I1623))*(실물목록!$R$2:$R$1001="")*(실물목록!$O$2:$O$1001&lt;&gt;"")*(실물목록!$O$2:$O$1001=H1623)))</f>
      </c>
      <c r="H1623" t="str">
        <f>IFERROR(IF(AND(LEN(SUBSTITUTE(SUBSTITUTE(SUBSTITUTE(TRIM(A1623&amp;""),CHAR(160),"")," ",""),"년",""))=4,VALUE(SUBSTITUTE(SUBSTITUTE(SUBSTITUTE(TRIM(A1623&amp;""),CHAR(160),"")," ",""),"년",""))&gt;=1900,VALUE(SUBSTITUTE(SUBSTITUTE(SUBSTITUTE(TRIM(A1623&amp;""),CHAR(160),"")," ",""),"년",""))&lt;=2099,TEXT(VALUE(SUBSTITUTE(SUBSTITUTE(SUBSTITUTE(TRIM(A1623&amp;""),CHAR(160),"")," ",""),"년","")),"0000")=SUBSTITUTE(SUBSTITUTE(SUBSTITUTE(TRIM(A1623&amp;""),CHAR(160),"")," ",""),"년","")),SUBSTITUTE(SUBSTITUTE(SUBSTITUTE(TRIM(A1623&amp;""),CHAR(160),"")," ",""),"년",""),""),"")</f>
      </c>
      <c r="I1623" t="str">
        <f>SUBSTITUTE(SUBSTITUTE(SUBSTITUTE(SUBSTITUTE(SUBSTITUTE(TRIM(B1623&amp;""),CHAR(160),"")," ",""),"초등학교","초"),"중학교","중"),"고등학교","고")</f>
      </c>
    </row>
    <row r="1624" customFormat="false" ht="15" hidden="false" customHeight="false" outlineLevel="0" collapsed="false">
      <c r="A1624" s="8"/>
      <c r="B1624" s="8"/>
      <c r="C1624" s="8"/>
      <c r="D1624" s="8"/>
      <c r="E1624" s="8"/>
      <c r="F1624" t="str" s="15">
        <f aca="0">IF(B1624="","",IF(H1624="","확인필요(입력누락)",IF(SUMPRODUCT((실물목록!$P$2:$P$1001&lt;&gt;"")*ISNUMBER(SEARCH(실물목록!$P$2:$P$1001,I1624))*(실물목록!$Q$2:$Q$1001&lt;&gt;"")*ISNUMBER(SEARCH(실물목록!$Q$2:$Q$1001,I1624))*(실물목록!$R$2:$R$1001="")*(실물목록!$O$2:$O$1001&lt;&gt;"")*(실물목록!$O$2:$O$1001=H1624))&gt;0,"실물 있음",IF(SUMPRODUCT((실물목록!$P$2:$P$1001&lt;&gt;"")*ISNUMBER(SEARCH(실물목록!$P$2:$P$1001,I1624))*(실물목록!$R$2:$R$1001&lt;&gt;""))&gt;0,"확인필요(입력누락)",IF(SUMPRODUCT((실물목록!$P$2:$P$1001&lt;&gt;"")*ISNUMBER(SEARCH(실물목록!$P$2:$P$1001,I1624))*(실물목록!$Q$2:$Q$1001&lt;&gt;"")*ISNUMBER(SEARCH(실물목록!$Q$2:$Q$1001,I1624))*(실물목록!$R$2:$R$1001="")*(실물목록!$O$2:$O$1001&lt;&gt;""))&gt;0,"확인필요(연도다름)","실물 없음")))))</f>
      </c>
      <c r="G1624" t="n" s="16">
        <f aca="0">IF(B1624="","",SUMPRODUCT((실물목록!$P$2:$P$1001&lt;&gt;"")*ISNUMBER(SEARCH(실물목록!$P$2:$P$1001,I1624))*(실물목록!$Q$2:$Q$1001&lt;&gt;"")*ISNUMBER(SEARCH(실물목록!$Q$2:$Q$1001,I1624))*(실물목록!$R$2:$R$1001="")*(실물목록!$O$2:$O$1001&lt;&gt;"")*(실물목록!$O$2:$O$1001=H1624)))</f>
      </c>
      <c r="H1624" t="str">
        <f>IFERROR(IF(AND(LEN(SUBSTITUTE(SUBSTITUTE(SUBSTITUTE(TRIM(A1624&amp;""),CHAR(160),"")," ",""),"년",""))=4,VALUE(SUBSTITUTE(SUBSTITUTE(SUBSTITUTE(TRIM(A1624&amp;""),CHAR(160),"")," ",""),"년",""))&gt;=1900,VALUE(SUBSTITUTE(SUBSTITUTE(SUBSTITUTE(TRIM(A1624&amp;""),CHAR(160),"")," ",""),"년",""))&lt;=2099,TEXT(VALUE(SUBSTITUTE(SUBSTITUTE(SUBSTITUTE(TRIM(A1624&amp;""),CHAR(160),"")," ",""),"년","")),"0000")=SUBSTITUTE(SUBSTITUTE(SUBSTITUTE(TRIM(A1624&amp;""),CHAR(160),"")," ",""),"년","")),SUBSTITUTE(SUBSTITUTE(SUBSTITUTE(TRIM(A1624&amp;""),CHAR(160),"")," ",""),"년",""),""),"")</f>
      </c>
      <c r="I1624" t="str">
        <f>SUBSTITUTE(SUBSTITUTE(SUBSTITUTE(SUBSTITUTE(SUBSTITUTE(TRIM(B1624&amp;""),CHAR(160),"")," ",""),"초등학교","초"),"중학교","중"),"고등학교","고")</f>
      </c>
    </row>
    <row r="1625" customFormat="false" ht="15" hidden="false" customHeight="false" outlineLevel="0" collapsed="false">
      <c r="A1625" s="8"/>
      <c r="B1625" s="8"/>
      <c r="C1625" s="8"/>
      <c r="D1625" s="8"/>
      <c r="E1625" s="8"/>
      <c r="F1625" t="str" s="15">
        <f aca="0">IF(B1625="","",IF(H1625="","확인필요(입력누락)",IF(SUMPRODUCT((실물목록!$P$2:$P$1001&lt;&gt;"")*ISNUMBER(SEARCH(실물목록!$P$2:$P$1001,I1625))*(실물목록!$Q$2:$Q$1001&lt;&gt;"")*ISNUMBER(SEARCH(실물목록!$Q$2:$Q$1001,I1625))*(실물목록!$R$2:$R$1001="")*(실물목록!$O$2:$O$1001&lt;&gt;"")*(실물목록!$O$2:$O$1001=H1625))&gt;0,"실물 있음",IF(SUMPRODUCT((실물목록!$P$2:$P$1001&lt;&gt;"")*ISNUMBER(SEARCH(실물목록!$P$2:$P$1001,I1625))*(실물목록!$R$2:$R$1001&lt;&gt;""))&gt;0,"확인필요(입력누락)",IF(SUMPRODUCT((실물목록!$P$2:$P$1001&lt;&gt;"")*ISNUMBER(SEARCH(실물목록!$P$2:$P$1001,I1625))*(실물목록!$Q$2:$Q$1001&lt;&gt;"")*ISNUMBER(SEARCH(실물목록!$Q$2:$Q$1001,I1625))*(실물목록!$R$2:$R$1001="")*(실물목록!$O$2:$O$1001&lt;&gt;""))&gt;0,"확인필요(연도다름)","실물 없음")))))</f>
      </c>
      <c r="G1625" t="n" s="16">
        <f aca="0">IF(B1625="","",SUMPRODUCT((실물목록!$P$2:$P$1001&lt;&gt;"")*ISNUMBER(SEARCH(실물목록!$P$2:$P$1001,I1625))*(실물목록!$Q$2:$Q$1001&lt;&gt;"")*ISNUMBER(SEARCH(실물목록!$Q$2:$Q$1001,I1625))*(실물목록!$R$2:$R$1001="")*(실물목록!$O$2:$O$1001&lt;&gt;"")*(실물목록!$O$2:$O$1001=H1625)))</f>
      </c>
      <c r="H1625" t="str">
        <f>IFERROR(IF(AND(LEN(SUBSTITUTE(SUBSTITUTE(SUBSTITUTE(TRIM(A1625&amp;""),CHAR(160),"")," ",""),"년",""))=4,VALUE(SUBSTITUTE(SUBSTITUTE(SUBSTITUTE(TRIM(A1625&amp;""),CHAR(160),"")," ",""),"년",""))&gt;=1900,VALUE(SUBSTITUTE(SUBSTITUTE(SUBSTITUTE(TRIM(A1625&amp;""),CHAR(160),"")," ",""),"년",""))&lt;=2099,TEXT(VALUE(SUBSTITUTE(SUBSTITUTE(SUBSTITUTE(TRIM(A1625&amp;""),CHAR(160),"")," ",""),"년","")),"0000")=SUBSTITUTE(SUBSTITUTE(SUBSTITUTE(TRIM(A1625&amp;""),CHAR(160),"")," ",""),"년","")),SUBSTITUTE(SUBSTITUTE(SUBSTITUTE(TRIM(A1625&amp;""),CHAR(160),"")," ",""),"년",""),""),"")</f>
      </c>
      <c r="I1625" t="str">
        <f>SUBSTITUTE(SUBSTITUTE(SUBSTITUTE(SUBSTITUTE(SUBSTITUTE(TRIM(B1625&amp;""),CHAR(160),"")," ",""),"초등학교","초"),"중학교","중"),"고등학교","고")</f>
      </c>
    </row>
    <row r="1626" customFormat="false" ht="15" hidden="false" customHeight="false" outlineLevel="0" collapsed="false">
      <c r="A1626" s="8"/>
      <c r="B1626" s="8"/>
      <c r="C1626" s="8"/>
      <c r="D1626" s="8"/>
      <c r="E1626" s="8"/>
      <c r="F1626" t="str" s="15">
        <f aca="0">IF(B1626="","",IF(H1626="","확인필요(입력누락)",IF(SUMPRODUCT((실물목록!$P$2:$P$1001&lt;&gt;"")*ISNUMBER(SEARCH(실물목록!$P$2:$P$1001,I1626))*(실물목록!$Q$2:$Q$1001&lt;&gt;"")*ISNUMBER(SEARCH(실물목록!$Q$2:$Q$1001,I1626))*(실물목록!$R$2:$R$1001="")*(실물목록!$O$2:$O$1001&lt;&gt;"")*(실물목록!$O$2:$O$1001=H1626))&gt;0,"실물 있음",IF(SUMPRODUCT((실물목록!$P$2:$P$1001&lt;&gt;"")*ISNUMBER(SEARCH(실물목록!$P$2:$P$1001,I1626))*(실물목록!$R$2:$R$1001&lt;&gt;""))&gt;0,"확인필요(입력누락)",IF(SUMPRODUCT((실물목록!$P$2:$P$1001&lt;&gt;"")*ISNUMBER(SEARCH(실물목록!$P$2:$P$1001,I1626))*(실물목록!$Q$2:$Q$1001&lt;&gt;"")*ISNUMBER(SEARCH(실물목록!$Q$2:$Q$1001,I1626))*(실물목록!$R$2:$R$1001="")*(실물목록!$O$2:$O$1001&lt;&gt;""))&gt;0,"확인필요(연도다름)","실물 없음")))))</f>
      </c>
      <c r="G1626" t="n" s="16">
        <f aca="0">IF(B1626="","",SUMPRODUCT((실물목록!$P$2:$P$1001&lt;&gt;"")*ISNUMBER(SEARCH(실물목록!$P$2:$P$1001,I1626))*(실물목록!$Q$2:$Q$1001&lt;&gt;"")*ISNUMBER(SEARCH(실물목록!$Q$2:$Q$1001,I1626))*(실물목록!$R$2:$R$1001="")*(실물목록!$O$2:$O$1001&lt;&gt;"")*(실물목록!$O$2:$O$1001=H1626)))</f>
      </c>
      <c r="H1626" t="str">
        <f>IFERROR(IF(AND(LEN(SUBSTITUTE(SUBSTITUTE(SUBSTITUTE(TRIM(A1626&amp;""),CHAR(160),"")," ",""),"년",""))=4,VALUE(SUBSTITUTE(SUBSTITUTE(SUBSTITUTE(TRIM(A1626&amp;""),CHAR(160),"")," ",""),"년",""))&gt;=1900,VALUE(SUBSTITUTE(SUBSTITUTE(SUBSTITUTE(TRIM(A1626&amp;""),CHAR(160),"")," ",""),"년",""))&lt;=2099,TEXT(VALUE(SUBSTITUTE(SUBSTITUTE(SUBSTITUTE(TRIM(A1626&amp;""),CHAR(160),"")," ",""),"년","")),"0000")=SUBSTITUTE(SUBSTITUTE(SUBSTITUTE(TRIM(A1626&amp;""),CHAR(160),"")," ",""),"년","")),SUBSTITUTE(SUBSTITUTE(SUBSTITUTE(TRIM(A1626&amp;""),CHAR(160),"")," ",""),"년",""),""),"")</f>
      </c>
      <c r="I1626" t="str">
        <f>SUBSTITUTE(SUBSTITUTE(SUBSTITUTE(SUBSTITUTE(SUBSTITUTE(TRIM(B1626&amp;""),CHAR(160),"")," ",""),"초등학교","초"),"중학교","중"),"고등학교","고")</f>
      </c>
    </row>
    <row r="1627" customFormat="false" ht="15" hidden="false" customHeight="false" outlineLevel="0" collapsed="false">
      <c r="A1627" s="8"/>
      <c r="B1627" s="8"/>
      <c r="C1627" s="8"/>
      <c r="D1627" s="8"/>
      <c r="E1627" s="8"/>
      <c r="F1627" t="str" s="15">
        <f aca="0">IF(B1627="","",IF(H1627="","확인필요(입력누락)",IF(SUMPRODUCT((실물목록!$P$2:$P$1001&lt;&gt;"")*ISNUMBER(SEARCH(실물목록!$P$2:$P$1001,I1627))*(실물목록!$Q$2:$Q$1001&lt;&gt;"")*ISNUMBER(SEARCH(실물목록!$Q$2:$Q$1001,I1627))*(실물목록!$R$2:$R$1001="")*(실물목록!$O$2:$O$1001&lt;&gt;"")*(실물목록!$O$2:$O$1001=H1627))&gt;0,"실물 있음",IF(SUMPRODUCT((실물목록!$P$2:$P$1001&lt;&gt;"")*ISNUMBER(SEARCH(실물목록!$P$2:$P$1001,I1627))*(실물목록!$R$2:$R$1001&lt;&gt;""))&gt;0,"확인필요(입력누락)",IF(SUMPRODUCT((실물목록!$P$2:$P$1001&lt;&gt;"")*ISNUMBER(SEARCH(실물목록!$P$2:$P$1001,I1627))*(실물목록!$Q$2:$Q$1001&lt;&gt;"")*ISNUMBER(SEARCH(실물목록!$Q$2:$Q$1001,I1627))*(실물목록!$R$2:$R$1001="")*(실물목록!$O$2:$O$1001&lt;&gt;""))&gt;0,"확인필요(연도다름)","실물 없음")))))</f>
      </c>
      <c r="G1627" t="n" s="16">
        <f aca="0">IF(B1627="","",SUMPRODUCT((실물목록!$P$2:$P$1001&lt;&gt;"")*ISNUMBER(SEARCH(실물목록!$P$2:$P$1001,I1627))*(실물목록!$Q$2:$Q$1001&lt;&gt;"")*ISNUMBER(SEARCH(실물목록!$Q$2:$Q$1001,I1627))*(실물목록!$R$2:$R$1001="")*(실물목록!$O$2:$O$1001&lt;&gt;"")*(실물목록!$O$2:$O$1001=H1627)))</f>
      </c>
      <c r="H1627" t="str">
        <f>IFERROR(IF(AND(LEN(SUBSTITUTE(SUBSTITUTE(SUBSTITUTE(TRIM(A1627&amp;""),CHAR(160),"")," ",""),"년",""))=4,VALUE(SUBSTITUTE(SUBSTITUTE(SUBSTITUTE(TRIM(A1627&amp;""),CHAR(160),"")," ",""),"년",""))&gt;=1900,VALUE(SUBSTITUTE(SUBSTITUTE(SUBSTITUTE(TRIM(A1627&amp;""),CHAR(160),"")," ",""),"년",""))&lt;=2099,TEXT(VALUE(SUBSTITUTE(SUBSTITUTE(SUBSTITUTE(TRIM(A1627&amp;""),CHAR(160),"")," ",""),"년","")),"0000")=SUBSTITUTE(SUBSTITUTE(SUBSTITUTE(TRIM(A1627&amp;""),CHAR(160),"")," ",""),"년","")),SUBSTITUTE(SUBSTITUTE(SUBSTITUTE(TRIM(A1627&amp;""),CHAR(160),"")," ",""),"년",""),""),"")</f>
      </c>
      <c r="I1627" t="str">
        <f>SUBSTITUTE(SUBSTITUTE(SUBSTITUTE(SUBSTITUTE(SUBSTITUTE(TRIM(B1627&amp;""),CHAR(160),"")," ",""),"초등학교","초"),"중학교","중"),"고등학교","고")</f>
      </c>
    </row>
    <row r="1628" customFormat="false" ht="15" hidden="false" customHeight="false" outlineLevel="0" collapsed="false">
      <c r="A1628" s="8"/>
      <c r="B1628" s="8"/>
      <c r="C1628" s="8"/>
      <c r="D1628" s="8"/>
      <c r="E1628" s="8"/>
      <c r="F1628" t="str" s="15">
        <f aca="0">IF(B1628="","",IF(H1628="","확인필요(입력누락)",IF(SUMPRODUCT((실물목록!$P$2:$P$1001&lt;&gt;"")*ISNUMBER(SEARCH(실물목록!$P$2:$P$1001,I1628))*(실물목록!$Q$2:$Q$1001&lt;&gt;"")*ISNUMBER(SEARCH(실물목록!$Q$2:$Q$1001,I1628))*(실물목록!$R$2:$R$1001="")*(실물목록!$O$2:$O$1001&lt;&gt;"")*(실물목록!$O$2:$O$1001=H1628))&gt;0,"실물 있음",IF(SUMPRODUCT((실물목록!$P$2:$P$1001&lt;&gt;"")*ISNUMBER(SEARCH(실물목록!$P$2:$P$1001,I1628))*(실물목록!$R$2:$R$1001&lt;&gt;""))&gt;0,"확인필요(입력누락)",IF(SUMPRODUCT((실물목록!$P$2:$P$1001&lt;&gt;"")*ISNUMBER(SEARCH(실물목록!$P$2:$P$1001,I1628))*(실물목록!$Q$2:$Q$1001&lt;&gt;"")*ISNUMBER(SEARCH(실물목록!$Q$2:$Q$1001,I1628))*(실물목록!$R$2:$R$1001="")*(실물목록!$O$2:$O$1001&lt;&gt;""))&gt;0,"확인필요(연도다름)","실물 없음")))))</f>
      </c>
      <c r="G1628" t="n" s="16">
        <f aca="0">IF(B1628="","",SUMPRODUCT((실물목록!$P$2:$P$1001&lt;&gt;"")*ISNUMBER(SEARCH(실물목록!$P$2:$P$1001,I1628))*(실물목록!$Q$2:$Q$1001&lt;&gt;"")*ISNUMBER(SEARCH(실물목록!$Q$2:$Q$1001,I1628))*(실물목록!$R$2:$R$1001="")*(실물목록!$O$2:$O$1001&lt;&gt;"")*(실물목록!$O$2:$O$1001=H1628)))</f>
      </c>
      <c r="H1628" t="str">
        <f>IFERROR(IF(AND(LEN(SUBSTITUTE(SUBSTITUTE(SUBSTITUTE(TRIM(A1628&amp;""),CHAR(160),"")," ",""),"년",""))=4,VALUE(SUBSTITUTE(SUBSTITUTE(SUBSTITUTE(TRIM(A1628&amp;""),CHAR(160),"")," ",""),"년",""))&gt;=1900,VALUE(SUBSTITUTE(SUBSTITUTE(SUBSTITUTE(TRIM(A1628&amp;""),CHAR(160),"")," ",""),"년",""))&lt;=2099,TEXT(VALUE(SUBSTITUTE(SUBSTITUTE(SUBSTITUTE(TRIM(A1628&amp;""),CHAR(160),"")," ",""),"년","")),"0000")=SUBSTITUTE(SUBSTITUTE(SUBSTITUTE(TRIM(A1628&amp;""),CHAR(160),"")," ",""),"년","")),SUBSTITUTE(SUBSTITUTE(SUBSTITUTE(TRIM(A1628&amp;""),CHAR(160),"")," ",""),"년",""),""),"")</f>
      </c>
      <c r="I1628" t="str">
        <f>SUBSTITUTE(SUBSTITUTE(SUBSTITUTE(SUBSTITUTE(SUBSTITUTE(TRIM(B1628&amp;""),CHAR(160),"")," ",""),"초등학교","초"),"중학교","중"),"고등학교","고")</f>
      </c>
    </row>
    <row r="1629" customFormat="false" ht="15" hidden="false" customHeight="false" outlineLevel="0" collapsed="false">
      <c r="A1629" s="8"/>
      <c r="B1629" s="8"/>
      <c r="C1629" s="8"/>
      <c r="D1629" s="8"/>
      <c r="E1629" s="8"/>
      <c r="F1629" t="str" s="15">
        <f aca="0">IF(B1629="","",IF(H1629="","확인필요(입력누락)",IF(SUMPRODUCT((실물목록!$P$2:$P$1001&lt;&gt;"")*ISNUMBER(SEARCH(실물목록!$P$2:$P$1001,I1629))*(실물목록!$Q$2:$Q$1001&lt;&gt;"")*ISNUMBER(SEARCH(실물목록!$Q$2:$Q$1001,I1629))*(실물목록!$R$2:$R$1001="")*(실물목록!$O$2:$O$1001&lt;&gt;"")*(실물목록!$O$2:$O$1001=H1629))&gt;0,"실물 있음",IF(SUMPRODUCT((실물목록!$P$2:$P$1001&lt;&gt;"")*ISNUMBER(SEARCH(실물목록!$P$2:$P$1001,I1629))*(실물목록!$R$2:$R$1001&lt;&gt;""))&gt;0,"확인필요(입력누락)",IF(SUMPRODUCT((실물목록!$P$2:$P$1001&lt;&gt;"")*ISNUMBER(SEARCH(실물목록!$P$2:$P$1001,I1629))*(실물목록!$Q$2:$Q$1001&lt;&gt;"")*ISNUMBER(SEARCH(실물목록!$Q$2:$Q$1001,I1629))*(실물목록!$R$2:$R$1001="")*(실물목록!$O$2:$O$1001&lt;&gt;""))&gt;0,"확인필요(연도다름)","실물 없음")))))</f>
      </c>
      <c r="G1629" t="n" s="16">
        <f aca="0">IF(B1629="","",SUMPRODUCT((실물목록!$P$2:$P$1001&lt;&gt;"")*ISNUMBER(SEARCH(실물목록!$P$2:$P$1001,I1629))*(실물목록!$Q$2:$Q$1001&lt;&gt;"")*ISNUMBER(SEARCH(실물목록!$Q$2:$Q$1001,I1629))*(실물목록!$R$2:$R$1001="")*(실물목록!$O$2:$O$1001&lt;&gt;"")*(실물목록!$O$2:$O$1001=H1629)))</f>
      </c>
      <c r="H1629" t="str">
        <f>IFERROR(IF(AND(LEN(SUBSTITUTE(SUBSTITUTE(SUBSTITUTE(TRIM(A1629&amp;""),CHAR(160),"")," ",""),"년",""))=4,VALUE(SUBSTITUTE(SUBSTITUTE(SUBSTITUTE(TRIM(A1629&amp;""),CHAR(160),"")," ",""),"년",""))&gt;=1900,VALUE(SUBSTITUTE(SUBSTITUTE(SUBSTITUTE(TRIM(A1629&amp;""),CHAR(160),"")," ",""),"년",""))&lt;=2099,TEXT(VALUE(SUBSTITUTE(SUBSTITUTE(SUBSTITUTE(TRIM(A1629&amp;""),CHAR(160),"")," ",""),"년","")),"0000")=SUBSTITUTE(SUBSTITUTE(SUBSTITUTE(TRIM(A1629&amp;""),CHAR(160),"")," ",""),"년","")),SUBSTITUTE(SUBSTITUTE(SUBSTITUTE(TRIM(A1629&amp;""),CHAR(160),"")," ",""),"년",""),""),"")</f>
      </c>
      <c r="I1629" t="str">
        <f>SUBSTITUTE(SUBSTITUTE(SUBSTITUTE(SUBSTITUTE(SUBSTITUTE(TRIM(B1629&amp;""),CHAR(160),"")," ",""),"초등학교","초"),"중학교","중"),"고등학교","고")</f>
      </c>
    </row>
    <row r="1630" customFormat="false" ht="15" hidden="false" customHeight="false" outlineLevel="0" collapsed="false">
      <c r="A1630" s="8"/>
      <c r="B1630" s="8"/>
      <c r="C1630" s="8"/>
      <c r="D1630" s="8"/>
      <c r="E1630" s="8"/>
      <c r="F1630" t="str" s="15">
        <f aca="0">IF(B1630="","",IF(H1630="","확인필요(입력누락)",IF(SUMPRODUCT((실물목록!$P$2:$P$1001&lt;&gt;"")*ISNUMBER(SEARCH(실물목록!$P$2:$P$1001,I1630))*(실물목록!$Q$2:$Q$1001&lt;&gt;"")*ISNUMBER(SEARCH(실물목록!$Q$2:$Q$1001,I1630))*(실물목록!$R$2:$R$1001="")*(실물목록!$O$2:$O$1001&lt;&gt;"")*(실물목록!$O$2:$O$1001=H1630))&gt;0,"실물 있음",IF(SUMPRODUCT((실물목록!$P$2:$P$1001&lt;&gt;"")*ISNUMBER(SEARCH(실물목록!$P$2:$P$1001,I1630))*(실물목록!$R$2:$R$1001&lt;&gt;""))&gt;0,"확인필요(입력누락)",IF(SUMPRODUCT((실물목록!$P$2:$P$1001&lt;&gt;"")*ISNUMBER(SEARCH(실물목록!$P$2:$P$1001,I1630))*(실물목록!$Q$2:$Q$1001&lt;&gt;"")*ISNUMBER(SEARCH(실물목록!$Q$2:$Q$1001,I1630))*(실물목록!$R$2:$R$1001="")*(실물목록!$O$2:$O$1001&lt;&gt;""))&gt;0,"확인필요(연도다름)","실물 없음")))))</f>
      </c>
      <c r="G1630" t="n" s="16">
        <f aca="0">IF(B1630="","",SUMPRODUCT((실물목록!$P$2:$P$1001&lt;&gt;"")*ISNUMBER(SEARCH(실물목록!$P$2:$P$1001,I1630))*(실물목록!$Q$2:$Q$1001&lt;&gt;"")*ISNUMBER(SEARCH(실물목록!$Q$2:$Q$1001,I1630))*(실물목록!$R$2:$R$1001="")*(실물목록!$O$2:$O$1001&lt;&gt;"")*(실물목록!$O$2:$O$1001=H1630)))</f>
      </c>
      <c r="H1630" t="str">
        <f>IFERROR(IF(AND(LEN(SUBSTITUTE(SUBSTITUTE(SUBSTITUTE(TRIM(A1630&amp;""),CHAR(160),"")," ",""),"년",""))=4,VALUE(SUBSTITUTE(SUBSTITUTE(SUBSTITUTE(TRIM(A1630&amp;""),CHAR(160),"")," ",""),"년",""))&gt;=1900,VALUE(SUBSTITUTE(SUBSTITUTE(SUBSTITUTE(TRIM(A1630&amp;""),CHAR(160),"")," ",""),"년",""))&lt;=2099,TEXT(VALUE(SUBSTITUTE(SUBSTITUTE(SUBSTITUTE(TRIM(A1630&amp;""),CHAR(160),"")," ",""),"년","")),"0000")=SUBSTITUTE(SUBSTITUTE(SUBSTITUTE(TRIM(A1630&amp;""),CHAR(160),"")," ",""),"년","")),SUBSTITUTE(SUBSTITUTE(SUBSTITUTE(TRIM(A1630&amp;""),CHAR(160),"")," ",""),"년",""),""),"")</f>
      </c>
      <c r="I1630" t="str">
        <f>SUBSTITUTE(SUBSTITUTE(SUBSTITUTE(SUBSTITUTE(SUBSTITUTE(TRIM(B1630&amp;""),CHAR(160),"")," ",""),"초등학교","초"),"중학교","중"),"고등학교","고")</f>
      </c>
    </row>
    <row r="1631" customFormat="false" ht="15" hidden="false" customHeight="false" outlineLevel="0" collapsed="false">
      <c r="A1631" s="8"/>
      <c r="B1631" s="8"/>
      <c r="C1631" s="8"/>
      <c r="D1631" s="8"/>
      <c r="E1631" s="8"/>
      <c r="F1631" t="str" s="15">
        <f aca="0">IF(B1631="","",IF(H1631="","확인필요(입력누락)",IF(SUMPRODUCT((실물목록!$P$2:$P$1001&lt;&gt;"")*ISNUMBER(SEARCH(실물목록!$P$2:$P$1001,I1631))*(실물목록!$Q$2:$Q$1001&lt;&gt;"")*ISNUMBER(SEARCH(실물목록!$Q$2:$Q$1001,I1631))*(실물목록!$R$2:$R$1001="")*(실물목록!$O$2:$O$1001&lt;&gt;"")*(실물목록!$O$2:$O$1001=H1631))&gt;0,"실물 있음",IF(SUMPRODUCT((실물목록!$P$2:$P$1001&lt;&gt;"")*ISNUMBER(SEARCH(실물목록!$P$2:$P$1001,I1631))*(실물목록!$R$2:$R$1001&lt;&gt;""))&gt;0,"확인필요(입력누락)",IF(SUMPRODUCT((실물목록!$P$2:$P$1001&lt;&gt;"")*ISNUMBER(SEARCH(실물목록!$P$2:$P$1001,I1631))*(실물목록!$Q$2:$Q$1001&lt;&gt;"")*ISNUMBER(SEARCH(실물목록!$Q$2:$Q$1001,I1631))*(실물목록!$R$2:$R$1001="")*(실물목록!$O$2:$O$1001&lt;&gt;""))&gt;0,"확인필요(연도다름)","실물 없음")))))</f>
      </c>
      <c r="G1631" t="n" s="16">
        <f aca="0">IF(B1631="","",SUMPRODUCT((실물목록!$P$2:$P$1001&lt;&gt;"")*ISNUMBER(SEARCH(실물목록!$P$2:$P$1001,I1631))*(실물목록!$Q$2:$Q$1001&lt;&gt;"")*ISNUMBER(SEARCH(실물목록!$Q$2:$Q$1001,I1631))*(실물목록!$R$2:$R$1001="")*(실물목록!$O$2:$O$1001&lt;&gt;"")*(실물목록!$O$2:$O$1001=H1631)))</f>
      </c>
      <c r="H1631" t="str">
        <f>IFERROR(IF(AND(LEN(SUBSTITUTE(SUBSTITUTE(SUBSTITUTE(TRIM(A1631&amp;""),CHAR(160),"")," ",""),"년",""))=4,VALUE(SUBSTITUTE(SUBSTITUTE(SUBSTITUTE(TRIM(A1631&amp;""),CHAR(160),"")," ",""),"년",""))&gt;=1900,VALUE(SUBSTITUTE(SUBSTITUTE(SUBSTITUTE(TRIM(A1631&amp;""),CHAR(160),"")," ",""),"년",""))&lt;=2099,TEXT(VALUE(SUBSTITUTE(SUBSTITUTE(SUBSTITUTE(TRIM(A1631&amp;""),CHAR(160),"")," ",""),"년","")),"0000")=SUBSTITUTE(SUBSTITUTE(SUBSTITUTE(TRIM(A1631&amp;""),CHAR(160),"")," ",""),"년","")),SUBSTITUTE(SUBSTITUTE(SUBSTITUTE(TRIM(A1631&amp;""),CHAR(160),"")," ",""),"년",""),""),"")</f>
      </c>
      <c r="I1631" t="str">
        <f>SUBSTITUTE(SUBSTITUTE(SUBSTITUTE(SUBSTITUTE(SUBSTITUTE(TRIM(B1631&amp;""),CHAR(160),"")," ",""),"초등학교","초"),"중학교","중"),"고등학교","고")</f>
      </c>
    </row>
    <row r="1632" customFormat="false" ht="15" hidden="false" customHeight="false" outlineLevel="0" collapsed="false">
      <c r="A1632" s="8"/>
      <c r="B1632" s="8"/>
      <c r="C1632" s="8"/>
      <c r="D1632" s="8"/>
      <c r="E1632" s="8"/>
      <c r="F1632" t="str" s="15">
        <f aca="0">IF(B1632="","",IF(H1632="","확인필요(입력누락)",IF(SUMPRODUCT((실물목록!$P$2:$P$1001&lt;&gt;"")*ISNUMBER(SEARCH(실물목록!$P$2:$P$1001,I1632))*(실물목록!$Q$2:$Q$1001&lt;&gt;"")*ISNUMBER(SEARCH(실물목록!$Q$2:$Q$1001,I1632))*(실물목록!$R$2:$R$1001="")*(실물목록!$O$2:$O$1001&lt;&gt;"")*(실물목록!$O$2:$O$1001=H1632))&gt;0,"실물 있음",IF(SUMPRODUCT((실물목록!$P$2:$P$1001&lt;&gt;"")*ISNUMBER(SEARCH(실물목록!$P$2:$P$1001,I1632))*(실물목록!$R$2:$R$1001&lt;&gt;""))&gt;0,"확인필요(입력누락)",IF(SUMPRODUCT((실물목록!$P$2:$P$1001&lt;&gt;"")*ISNUMBER(SEARCH(실물목록!$P$2:$P$1001,I1632))*(실물목록!$Q$2:$Q$1001&lt;&gt;"")*ISNUMBER(SEARCH(실물목록!$Q$2:$Q$1001,I1632))*(실물목록!$R$2:$R$1001="")*(실물목록!$O$2:$O$1001&lt;&gt;""))&gt;0,"확인필요(연도다름)","실물 없음")))))</f>
      </c>
      <c r="G1632" t="n" s="16">
        <f aca="0">IF(B1632="","",SUMPRODUCT((실물목록!$P$2:$P$1001&lt;&gt;"")*ISNUMBER(SEARCH(실물목록!$P$2:$P$1001,I1632))*(실물목록!$Q$2:$Q$1001&lt;&gt;"")*ISNUMBER(SEARCH(실물목록!$Q$2:$Q$1001,I1632))*(실물목록!$R$2:$R$1001="")*(실물목록!$O$2:$O$1001&lt;&gt;"")*(실물목록!$O$2:$O$1001=H1632)))</f>
      </c>
      <c r="H1632" t="str">
        <f>IFERROR(IF(AND(LEN(SUBSTITUTE(SUBSTITUTE(SUBSTITUTE(TRIM(A1632&amp;""),CHAR(160),"")," ",""),"년",""))=4,VALUE(SUBSTITUTE(SUBSTITUTE(SUBSTITUTE(TRIM(A1632&amp;""),CHAR(160),"")," ",""),"년",""))&gt;=1900,VALUE(SUBSTITUTE(SUBSTITUTE(SUBSTITUTE(TRIM(A1632&amp;""),CHAR(160),"")," ",""),"년",""))&lt;=2099,TEXT(VALUE(SUBSTITUTE(SUBSTITUTE(SUBSTITUTE(TRIM(A1632&amp;""),CHAR(160),"")," ",""),"년","")),"0000")=SUBSTITUTE(SUBSTITUTE(SUBSTITUTE(TRIM(A1632&amp;""),CHAR(160),"")," ",""),"년","")),SUBSTITUTE(SUBSTITUTE(SUBSTITUTE(TRIM(A1632&amp;""),CHAR(160),"")," ",""),"년",""),""),"")</f>
      </c>
      <c r="I1632" t="str">
        <f>SUBSTITUTE(SUBSTITUTE(SUBSTITUTE(SUBSTITUTE(SUBSTITUTE(TRIM(B1632&amp;""),CHAR(160),"")," ",""),"초등학교","초"),"중학교","중"),"고등학교","고")</f>
      </c>
    </row>
    <row r="1633" customFormat="false" ht="15" hidden="false" customHeight="false" outlineLevel="0" collapsed="false">
      <c r="A1633" s="8"/>
      <c r="B1633" s="8"/>
      <c r="C1633" s="8"/>
      <c r="D1633" s="8"/>
      <c r="E1633" s="8"/>
      <c r="F1633" t="str" s="15">
        <f aca="0">IF(B1633="","",IF(H1633="","확인필요(입력누락)",IF(SUMPRODUCT((실물목록!$P$2:$P$1001&lt;&gt;"")*ISNUMBER(SEARCH(실물목록!$P$2:$P$1001,I1633))*(실물목록!$Q$2:$Q$1001&lt;&gt;"")*ISNUMBER(SEARCH(실물목록!$Q$2:$Q$1001,I1633))*(실물목록!$R$2:$R$1001="")*(실물목록!$O$2:$O$1001&lt;&gt;"")*(실물목록!$O$2:$O$1001=H1633))&gt;0,"실물 있음",IF(SUMPRODUCT((실물목록!$P$2:$P$1001&lt;&gt;"")*ISNUMBER(SEARCH(실물목록!$P$2:$P$1001,I1633))*(실물목록!$R$2:$R$1001&lt;&gt;""))&gt;0,"확인필요(입력누락)",IF(SUMPRODUCT((실물목록!$P$2:$P$1001&lt;&gt;"")*ISNUMBER(SEARCH(실물목록!$P$2:$P$1001,I1633))*(실물목록!$Q$2:$Q$1001&lt;&gt;"")*ISNUMBER(SEARCH(실물목록!$Q$2:$Q$1001,I1633))*(실물목록!$R$2:$R$1001="")*(실물목록!$O$2:$O$1001&lt;&gt;""))&gt;0,"확인필요(연도다름)","실물 없음")))))</f>
      </c>
      <c r="G1633" t="n" s="16">
        <f aca="0">IF(B1633="","",SUMPRODUCT((실물목록!$P$2:$P$1001&lt;&gt;"")*ISNUMBER(SEARCH(실물목록!$P$2:$P$1001,I1633))*(실물목록!$Q$2:$Q$1001&lt;&gt;"")*ISNUMBER(SEARCH(실물목록!$Q$2:$Q$1001,I1633))*(실물목록!$R$2:$R$1001="")*(실물목록!$O$2:$O$1001&lt;&gt;"")*(실물목록!$O$2:$O$1001=H1633)))</f>
      </c>
      <c r="H1633" t="str">
        <f>IFERROR(IF(AND(LEN(SUBSTITUTE(SUBSTITUTE(SUBSTITUTE(TRIM(A1633&amp;""),CHAR(160),"")," ",""),"년",""))=4,VALUE(SUBSTITUTE(SUBSTITUTE(SUBSTITUTE(TRIM(A1633&amp;""),CHAR(160),"")," ",""),"년",""))&gt;=1900,VALUE(SUBSTITUTE(SUBSTITUTE(SUBSTITUTE(TRIM(A1633&amp;""),CHAR(160),"")," ",""),"년",""))&lt;=2099,TEXT(VALUE(SUBSTITUTE(SUBSTITUTE(SUBSTITUTE(TRIM(A1633&amp;""),CHAR(160),"")," ",""),"년","")),"0000")=SUBSTITUTE(SUBSTITUTE(SUBSTITUTE(TRIM(A1633&amp;""),CHAR(160),"")," ",""),"년","")),SUBSTITUTE(SUBSTITUTE(SUBSTITUTE(TRIM(A1633&amp;""),CHAR(160),"")," ",""),"년",""),""),"")</f>
      </c>
      <c r="I1633" t="str">
        <f>SUBSTITUTE(SUBSTITUTE(SUBSTITUTE(SUBSTITUTE(SUBSTITUTE(TRIM(B1633&amp;""),CHAR(160),"")," ",""),"초등학교","초"),"중학교","중"),"고등학교","고")</f>
      </c>
    </row>
    <row r="1634" customFormat="false" ht="15" hidden="false" customHeight="false" outlineLevel="0" collapsed="false">
      <c r="A1634" s="8"/>
      <c r="B1634" s="8"/>
      <c r="C1634" s="8"/>
      <c r="D1634" s="8"/>
      <c r="E1634" s="8"/>
      <c r="F1634" t="str" s="15">
        <f aca="0">IF(B1634="","",IF(H1634="","확인필요(입력누락)",IF(SUMPRODUCT((실물목록!$P$2:$P$1001&lt;&gt;"")*ISNUMBER(SEARCH(실물목록!$P$2:$P$1001,I1634))*(실물목록!$Q$2:$Q$1001&lt;&gt;"")*ISNUMBER(SEARCH(실물목록!$Q$2:$Q$1001,I1634))*(실물목록!$R$2:$R$1001="")*(실물목록!$O$2:$O$1001&lt;&gt;"")*(실물목록!$O$2:$O$1001=H1634))&gt;0,"실물 있음",IF(SUMPRODUCT((실물목록!$P$2:$P$1001&lt;&gt;"")*ISNUMBER(SEARCH(실물목록!$P$2:$P$1001,I1634))*(실물목록!$R$2:$R$1001&lt;&gt;""))&gt;0,"확인필요(입력누락)",IF(SUMPRODUCT((실물목록!$P$2:$P$1001&lt;&gt;"")*ISNUMBER(SEARCH(실물목록!$P$2:$P$1001,I1634))*(실물목록!$Q$2:$Q$1001&lt;&gt;"")*ISNUMBER(SEARCH(실물목록!$Q$2:$Q$1001,I1634))*(실물목록!$R$2:$R$1001="")*(실물목록!$O$2:$O$1001&lt;&gt;""))&gt;0,"확인필요(연도다름)","실물 없음")))))</f>
      </c>
      <c r="G1634" t="n" s="16">
        <f aca="0">IF(B1634="","",SUMPRODUCT((실물목록!$P$2:$P$1001&lt;&gt;"")*ISNUMBER(SEARCH(실물목록!$P$2:$P$1001,I1634))*(실물목록!$Q$2:$Q$1001&lt;&gt;"")*ISNUMBER(SEARCH(실물목록!$Q$2:$Q$1001,I1634))*(실물목록!$R$2:$R$1001="")*(실물목록!$O$2:$O$1001&lt;&gt;"")*(실물목록!$O$2:$O$1001=H1634)))</f>
      </c>
      <c r="H1634" t="str">
        <f>IFERROR(IF(AND(LEN(SUBSTITUTE(SUBSTITUTE(SUBSTITUTE(TRIM(A1634&amp;""),CHAR(160),"")," ",""),"년",""))=4,VALUE(SUBSTITUTE(SUBSTITUTE(SUBSTITUTE(TRIM(A1634&amp;""),CHAR(160),"")," ",""),"년",""))&gt;=1900,VALUE(SUBSTITUTE(SUBSTITUTE(SUBSTITUTE(TRIM(A1634&amp;""),CHAR(160),"")," ",""),"년",""))&lt;=2099,TEXT(VALUE(SUBSTITUTE(SUBSTITUTE(SUBSTITUTE(TRIM(A1634&amp;""),CHAR(160),"")," ",""),"년","")),"0000")=SUBSTITUTE(SUBSTITUTE(SUBSTITUTE(TRIM(A1634&amp;""),CHAR(160),"")," ",""),"년","")),SUBSTITUTE(SUBSTITUTE(SUBSTITUTE(TRIM(A1634&amp;""),CHAR(160),"")," ",""),"년",""),""),"")</f>
      </c>
      <c r="I1634" t="str">
        <f>SUBSTITUTE(SUBSTITUTE(SUBSTITUTE(SUBSTITUTE(SUBSTITUTE(TRIM(B1634&amp;""),CHAR(160),"")," ",""),"초등학교","초"),"중학교","중"),"고등학교","고")</f>
      </c>
    </row>
    <row r="1635" customFormat="false" ht="15" hidden="false" customHeight="false" outlineLevel="0" collapsed="false">
      <c r="A1635" s="8"/>
      <c r="B1635" s="8"/>
      <c r="C1635" s="8"/>
      <c r="D1635" s="8"/>
      <c r="E1635" s="8"/>
      <c r="F1635" t="str" s="15">
        <f aca="0">IF(B1635="","",IF(H1635="","확인필요(입력누락)",IF(SUMPRODUCT((실물목록!$P$2:$P$1001&lt;&gt;"")*ISNUMBER(SEARCH(실물목록!$P$2:$P$1001,I1635))*(실물목록!$Q$2:$Q$1001&lt;&gt;"")*ISNUMBER(SEARCH(실물목록!$Q$2:$Q$1001,I1635))*(실물목록!$R$2:$R$1001="")*(실물목록!$O$2:$O$1001&lt;&gt;"")*(실물목록!$O$2:$O$1001=H1635))&gt;0,"실물 있음",IF(SUMPRODUCT((실물목록!$P$2:$P$1001&lt;&gt;"")*ISNUMBER(SEARCH(실물목록!$P$2:$P$1001,I1635))*(실물목록!$R$2:$R$1001&lt;&gt;""))&gt;0,"확인필요(입력누락)",IF(SUMPRODUCT((실물목록!$P$2:$P$1001&lt;&gt;"")*ISNUMBER(SEARCH(실물목록!$P$2:$P$1001,I1635))*(실물목록!$Q$2:$Q$1001&lt;&gt;"")*ISNUMBER(SEARCH(실물목록!$Q$2:$Q$1001,I1635))*(실물목록!$R$2:$R$1001="")*(실물목록!$O$2:$O$1001&lt;&gt;""))&gt;0,"확인필요(연도다름)","실물 없음")))))</f>
      </c>
      <c r="G1635" t="n" s="16">
        <f aca="0">IF(B1635="","",SUMPRODUCT((실물목록!$P$2:$P$1001&lt;&gt;"")*ISNUMBER(SEARCH(실물목록!$P$2:$P$1001,I1635))*(실물목록!$Q$2:$Q$1001&lt;&gt;"")*ISNUMBER(SEARCH(실물목록!$Q$2:$Q$1001,I1635))*(실물목록!$R$2:$R$1001="")*(실물목록!$O$2:$O$1001&lt;&gt;"")*(실물목록!$O$2:$O$1001=H1635)))</f>
      </c>
      <c r="H1635" t="str">
        <f>IFERROR(IF(AND(LEN(SUBSTITUTE(SUBSTITUTE(SUBSTITUTE(TRIM(A1635&amp;""),CHAR(160),"")," ",""),"년",""))=4,VALUE(SUBSTITUTE(SUBSTITUTE(SUBSTITUTE(TRIM(A1635&amp;""),CHAR(160),"")," ",""),"년",""))&gt;=1900,VALUE(SUBSTITUTE(SUBSTITUTE(SUBSTITUTE(TRIM(A1635&amp;""),CHAR(160),"")," ",""),"년",""))&lt;=2099,TEXT(VALUE(SUBSTITUTE(SUBSTITUTE(SUBSTITUTE(TRIM(A1635&amp;""),CHAR(160),"")," ",""),"년","")),"0000")=SUBSTITUTE(SUBSTITUTE(SUBSTITUTE(TRIM(A1635&amp;""),CHAR(160),"")," ",""),"년","")),SUBSTITUTE(SUBSTITUTE(SUBSTITUTE(TRIM(A1635&amp;""),CHAR(160),"")," ",""),"년",""),""),"")</f>
      </c>
      <c r="I1635" t="str">
        <f>SUBSTITUTE(SUBSTITUTE(SUBSTITUTE(SUBSTITUTE(SUBSTITUTE(TRIM(B1635&amp;""),CHAR(160),"")," ",""),"초등학교","초"),"중학교","중"),"고등학교","고")</f>
      </c>
    </row>
    <row r="1636" customFormat="false" ht="15" hidden="false" customHeight="false" outlineLevel="0" collapsed="false">
      <c r="A1636" s="8"/>
      <c r="B1636" s="8"/>
      <c r="C1636" s="8"/>
      <c r="D1636" s="8"/>
      <c r="E1636" s="8"/>
      <c r="F1636" t="str" s="15">
        <f aca="0">IF(B1636="","",IF(H1636="","확인필요(입력누락)",IF(SUMPRODUCT((실물목록!$P$2:$P$1001&lt;&gt;"")*ISNUMBER(SEARCH(실물목록!$P$2:$P$1001,I1636))*(실물목록!$Q$2:$Q$1001&lt;&gt;"")*ISNUMBER(SEARCH(실물목록!$Q$2:$Q$1001,I1636))*(실물목록!$R$2:$R$1001="")*(실물목록!$O$2:$O$1001&lt;&gt;"")*(실물목록!$O$2:$O$1001=H1636))&gt;0,"실물 있음",IF(SUMPRODUCT((실물목록!$P$2:$P$1001&lt;&gt;"")*ISNUMBER(SEARCH(실물목록!$P$2:$P$1001,I1636))*(실물목록!$R$2:$R$1001&lt;&gt;""))&gt;0,"확인필요(입력누락)",IF(SUMPRODUCT((실물목록!$P$2:$P$1001&lt;&gt;"")*ISNUMBER(SEARCH(실물목록!$P$2:$P$1001,I1636))*(실물목록!$Q$2:$Q$1001&lt;&gt;"")*ISNUMBER(SEARCH(실물목록!$Q$2:$Q$1001,I1636))*(실물목록!$R$2:$R$1001="")*(실물목록!$O$2:$O$1001&lt;&gt;""))&gt;0,"확인필요(연도다름)","실물 없음")))))</f>
      </c>
      <c r="G1636" t="n" s="16">
        <f aca="0">IF(B1636="","",SUMPRODUCT((실물목록!$P$2:$P$1001&lt;&gt;"")*ISNUMBER(SEARCH(실물목록!$P$2:$P$1001,I1636))*(실물목록!$Q$2:$Q$1001&lt;&gt;"")*ISNUMBER(SEARCH(실물목록!$Q$2:$Q$1001,I1636))*(실물목록!$R$2:$R$1001="")*(실물목록!$O$2:$O$1001&lt;&gt;"")*(실물목록!$O$2:$O$1001=H1636)))</f>
      </c>
      <c r="H1636" t="str">
        <f>IFERROR(IF(AND(LEN(SUBSTITUTE(SUBSTITUTE(SUBSTITUTE(TRIM(A1636&amp;""),CHAR(160),"")," ",""),"년",""))=4,VALUE(SUBSTITUTE(SUBSTITUTE(SUBSTITUTE(TRIM(A1636&amp;""),CHAR(160),"")," ",""),"년",""))&gt;=1900,VALUE(SUBSTITUTE(SUBSTITUTE(SUBSTITUTE(TRIM(A1636&amp;""),CHAR(160),"")," ",""),"년",""))&lt;=2099,TEXT(VALUE(SUBSTITUTE(SUBSTITUTE(SUBSTITUTE(TRIM(A1636&amp;""),CHAR(160),"")," ",""),"년","")),"0000")=SUBSTITUTE(SUBSTITUTE(SUBSTITUTE(TRIM(A1636&amp;""),CHAR(160),"")," ",""),"년","")),SUBSTITUTE(SUBSTITUTE(SUBSTITUTE(TRIM(A1636&amp;""),CHAR(160),"")," ",""),"년",""),""),"")</f>
      </c>
      <c r="I1636" t="str">
        <f>SUBSTITUTE(SUBSTITUTE(SUBSTITUTE(SUBSTITUTE(SUBSTITUTE(TRIM(B1636&amp;""),CHAR(160),"")," ",""),"초등학교","초"),"중학교","중"),"고등학교","고")</f>
      </c>
    </row>
    <row r="1637" customFormat="false" ht="15" hidden="false" customHeight="false" outlineLevel="0" collapsed="false">
      <c r="A1637" s="8"/>
      <c r="B1637" s="8"/>
      <c r="C1637" s="8"/>
      <c r="D1637" s="8"/>
      <c r="E1637" s="8"/>
      <c r="F1637" t="str" s="15">
        <f aca="0">IF(B1637="","",IF(H1637="","확인필요(입력누락)",IF(SUMPRODUCT((실물목록!$P$2:$P$1001&lt;&gt;"")*ISNUMBER(SEARCH(실물목록!$P$2:$P$1001,I1637))*(실물목록!$Q$2:$Q$1001&lt;&gt;"")*ISNUMBER(SEARCH(실물목록!$Q$2:$Q$1001,I1637))*(실물목록!$R$2:$R$1001="")*(실물목록!$O$2:$O$1001&lt;&gt;"")*(실물목록!$O$2:$O$1001=H1637))&gt;0,"실물 있음",IF(SUMPRODUCT((실물목록!$P$2:$P$1001&lt;&gt;"")*ISNUMBER(SEARCH(실물목록!$P$2:$P$1001,I1637))*(실물목록!$R$2:$R$1001&lt;&gt;""))&gt;0,"확인필요(입력누락)",IF(SUMPRODUCT((실물목록!$P$2:$P$1001&lt;&gt;"")*ISNUMBER(SEARCH(실물목록!$P$2:$P$1001,I1637))*(실물목록!$Q$2:$Q$1001&lt;&gt;"")*ISNUMBER(SEARCH(실물목록!$Q$2:$Q$1001,I1637))*(실물목록!$R$2:$R$1001="")*(실물목록!$O$2:$O$1001&lt;&gt;""))&gt;0,"확인필요(연도다름)","실물 없음")))))</f>
      </c>
      <c r="G1637" t="n" s="16">
        <f aca="0">IF(B1637="","",SUMPRODUCT((실물목록!$P$2:$P$1001&lt;&gt;"")*ISNUMBER(SEARCH(실물목록!$P$2:$P$1001,I1637))*(실물목록!$Q$2:$Q$1001&lt;&gt;"")*ISNUMBER(SEARCH(실물목록!$Q$2:$Q$1001,I1637))*(실물목록!$R$2:$R$1001="")*(실물목록!$O$2:$O$1001&lt;&gt;"")*(실물목록!$O$2:$O$1001=H1637)))</f>
      </c>
      <c r="H1637" t="str">
        <f>IFERROR(IF(AND(LEN(SUBSTITUTE(SUBSTITUTE(SUBSTITUTE(TRIM(A1637&amp;""),CHAR(160),"")," ",""),"년",""))=4,VALUE(SUBSTITUTE(SUBSTITUTE(SUBSTITUTE(TRIM(A1637&amp;""),CHAR(160),"")," ",""),"년",""))&gt;=1900,VALUE(SUBSTITUTE(SUBSTITUTE(SUBSTITUTE(TRIM(A1637&amp;""),CHAR(160),"")," ",""),"년",""))&lt;=2099,TEXT(VALUE(SUBSTITUTE(SUBSTITUTE(SUBSTITUTE(TRIM(A1637&amp;""),CHAR(160),"")," ",""),"년","")),"0000")=SUBSTITUTE(SUBSTITUTE(SUBSTITUTE(TRIM(A1637&amp;""),CHAR(160),"")," ",""),"년","")),SUBSTITUTE(SUBSTITUTE(SUBSTITUTE(TRIM(A1637&amp;""),CHAR(160),"")," ",""),"년",""),""),"")</f>
      </c>
      <c r="I1637" t="str">
        <f>SUBSTITUTE(SUBSTITUTE(SUBSTITUTE(SUBSTITUTE(SUBSTITUTE(TRIM(B1637&amp;""),CHAR(160),"")," ",""),"초등학교","초"),"중학교","중"),"고등학교","고")</f>
      </c>
    </row>
    <row r="1638" customFormat="false" ht="15" hidden="false" customHeight="false" outlineLevel="0" collapsed="false">
      <c r="A1638" s="8"/>
      <c r="B1638" s="8"/>
      <c r="C1638" s="8"/>
      <c r="D1638" s="8"/>
      <c r="E1638" s="8"/>
      <c r="F1638" t="str" s="15">
        <f aca="0">IF(B1638="","",IF(H1638="","확인필요(입력누락)",IF(SUMPRODUCT((실물목록!$P$2:$P$1001&lt;&gt;"")*ISNUMBER(SEARCH(실물목록!$P$2:$P$1001,I1638))*(실물목록!$Q$2:$Q$1001&lt;&gt;"")*ISNUMBER(SEARCH(실물목록!$Q$2:$Q$1001,I1638))*(실물목록!$R$2:$R$1001="")*(실물목록!$O$2:$O$1001&lt;&gt;"")*(실물목록!$O$2:$O$1001=H1638))&gt;0,"실물 있음",IF(SUMPRODUCT((실물목록!$P$2:$P$1001&lt;&gt;"")*ISNUMBER(SEARCH(실물목록!$P$2:$P$1001,I1638))*(실물목록!$R$2:$R$1001&lt;&gt;""))&gt;0,"확인필요(입력누락)",IF(SUMPRODUCT((실물목록!$P$2:$P$1001&lt;&gt;"")*ISNUMBER(SEARCH(실물목록!$P$2:$P$1001,I1638))*(실물목록!$Q$2:$Q$1001&lt;&gt;"")*ISNUMBER(SEARCH(실물목록!$Q$2:$Q$1001,I1638))*(실물목록!$R$2:$R$1001="")*(실물목록!$O$2:$O$1001&lt;&gt;""))&gt;0,"확인필요(연도다름)","실물 없음")))))</f>
      </c>
      <c r="G1638" t="n" s="16">
        <f aca="0">IF(B1638="","",SUMPRODUCT((실물목록!$P$2:$P$1001&lt;&gt;"")*ISNUMBER(SEARCH(실물목록!$P$2:$P$1001,I1638))*(실물목록!$Q$2:$Q$1001&lt;&gt;"")*ISNUMBER(SEARCH(실물목록!$Q$2:$Q$1001,I1638))*(실물목록!$R$2:$R$1001="")*(실물목록!$O$2:$O$1001&lt;&gt;"")*(실물목록!$O$2:$O$1001=H1638)))</f>
      </c>
      <c r="H1638" t="str">
        <f>IFERROR(IF(AND(LEN(SUBSTITUTE(SUBSTITUTE(SUBSTITUTE(TRIM(A1638&amp;""),CHAR(160),"")," ",""),"년",""))=4,VALUE(SUBSTITUTE(SUBSTITUTE(SUBSTITUTE(TRIM(A1638&amp;""),CHAR(160),"")," ",""),"년",""))&gt;=1900,VALUE(SUBSTITUTE(SUBSTITUTE(SUBSTITUTE(TRIM(A1638&amp;""),CHAR(160),"")," ",""),"년",""))&lt;=2099,TEXT(VALUE(SUBSTITUTE(SUBSTITUTE(SUBSTITUTE(TRIM(A1638&amp;""),CHAR(160),"")," ",""),"년","")),"0000")=SUBSTITUTE(SUBSTITUTE(SUBSTITUTE(TRIM(A1638&amp;""),CHAR(160),"")," ",""),"년","")),SUBSTITUTE(SUBSTITUTE(SUBSTITUTE(TRIM(A1638&amp;""),CHAR(160),"")," ",""),"년",""),""),"")</f>
      </c>
      <c r="I1638" t="str">
        <f>SUBSTITUTE(SUBSTITUTE(SUBSTITUTE(SUBSTITUTE(SUBSTITUTE(TRIM(B1638&amp;""),CHAR(160),"")," ",""),"초등학교","초"),"중학교","중"),"고등학교","고")</f>
      </c>
    </row>
    <row r="1639" customFormat="false" ht="15" hidden="false" customHeight="false" outlineLevel="0" collapsed="false">
      <c r="A1639" s="8"/>
      <c r="B1639" s="8"/>
      <c r="C1639" s="8"/>
      <c r="D1639" s="8"/>
      <c r="E1639" s="8"/>
      <c r="F1639" t="str" s="15">
        <f aca="0">IF(B1639="","",IF(H1639="","확인필요(입력누락)",IF(SUMPRODUCT((실물목록!$P$2:$P$1001&lt;&gt;"")*ISNUMBER(SEARCH(실물목록!$P$2:$P$1001,I1639))*(실물목록!$Q$2:$Q$1001&lt;&gt;"")*ISNUMBER(SEARCH(실물목록!$Q$2:$Q$1001,I1639))*(실물목록!$R$2:$R$1001="")*(실물목록!$O$2:$O$1001&lt;&gt;"")*(실물목록!$O$2:$O$1001=H1639))&gt;0,"실물 있음",IF(SUMPRODUCT((실물목록!$P$2:$P$1001&lt;&gt;"")*ISNUMBER(SEARCH(실물목록!$P$2:$P$1001,I1639))*(실물목록!$R$2:$R$1001&lt;&gt;""))&gt;0,"확인필요(입력누락)",IF(SUMPRODUCT((실물목록!$P$2:$P$1001&lt;&gt;"")*ISNUMBER(SEARCH(실물목록!$P$2:$P$1001,I1639))*(실물목록!$Q$2:$Q$1001&lt;&gt;"")*ISNUMBER(SEARCH(실물목록!$Q$2:$Q$1001,I1639))*(실물목록!$R$2:$R$1001="")*(실물목록!$O$2:$O$1001&lt;&gt;""))&gt;0,"확인필요(연도다름)","실물 없음")))))</f>
      </c>
      <c r="G1639" t="n" s="16">
        <f aca="0">IF(B1639="","",SUMPRODUCT((실물목록!$P$2:$P$1001&lt;&gt;"")*ISNUMBER(SEARCH(실물목록!$P$2:$P$1001,I1639))*(실물목록!$Q$2:$Q$1001&lt;&gt;"")*ISNUMBER(SEARCH(실물목록!$Q$2:$Q$1001,I1639))*(실물목록!$R$2:$R$1001="")*(실물목록!$O$2:$O$1001&lt;&gt;"")*(실물목록!$O$2:$O$1001=H1639)))</f>
      </c>
      <c r="H1639" t="str">
        <f>IFERROR(IF(AND(LEN(SUBSTITUTE(SUBSTITUTE(SUBSTITUTE(TRIM(A1639&amp;""),CHAR(160),"")," ",""),"년",""))=4,VALUE(SUBSTITUTE(SUBSTITUTE(SUBSTITUTE(TRIM(A1639&amp;""),CHAR(160),"")," ",""),"년",""))&gt;=1900,VALUE(SUBSTITUTE(SUBSTITUTE(SUBSTITUTE(TRIM(A1639&amp;""),CHAR(160),"")," ",""),"년",""))&lt;=2099,TEXT(VALUE(SUBSTITUTE(SUBSTITUTE(SUBSTITUTE(TRIM(A1639&amp;""),CHAR(160),"")," ",""),"년","")),"0000")=SUBSTITUTE(SUBSTITUTE(SUBSTITUTE(TRIM(A1639&amp;""),CHAR(160),"")," ",""),"년","")),SUBSTITUTE(SUBSTITUTE(SUBSTITUTE(TRIM(A1639&amp;""),CHAR(160),"")," ",""),"년",""),""),"")</f>
      </c>
      <c r="I1639" t="str">
        <f>SUBSTITUTE(SUBSTITUTE(SUBSTITUTE(SUBSTITUTE(SUBSTITUTE(TRIM(B1639&amp;""),CHAR(160),"")," ",""),"초등학교","초"),"중학교","중"),"고등학교","고")</f>
      </c>
    </row>
    <row r="1640" customFormat="false" ht="15" hidden="false" customHeight="false" outlineLevel="0" collapsed="false">
      <c r="A1640" s="8"/>
      <c r="B1640" s="8"/>
      <c r="C1640" s="8"/>
      <c r="D1640" s="8"/>
      <c r="E1640" s="8"/>
      <c r="F1640" t="str" s="15">
        <f aca="0">IF(B1640="","",IF(H1640="","확인필요(입력누락)",IF(SUMPRODUCT((실물목록!$P$2:$P$1001&lt;&gt;"")*ISNUMBER(SEARCH(실물목록!$P$2:$P$1001,I1640))*(실물목록!$Q$2:$Q$1001&lt;&gt;"")*ISNUMBER(SEARCH(실물목록!$Q$2:$Q$1001,I1640))*(실물목록!$R$2:$R$1001="")*(실물목록!$O$2:$O$1001&lt;&gt;"")*(실물목록!$O$2:$O$1001=H1640))&gt;0,"실물 있음",IF(SUMPRODUCT((실물목록!$P$2:$P$1001&lt;&gt;"")*ISNUMBER(SEARCH(실물목록!$P$2:$P$1001,I1640))*(실물목록!$R$2:$R$1001&lt;&gt;""))&gt;0,"확인필요(입력누락)",IF(SUMPRODUCT((실물목록!$P$2:$P$1001&lt;&gt;"")*ISNUMBER(SEARCH(실물목록!$P$2:$P$1001,I1640))*(실물목록!$Q$2:$Q$1001&lt;&gt;"")*ISNUMBER(SEARCH(실물목록!$Q$2:$Q$1001,I1640))*(실물목록!$R$2:$R$1001="")*(실물목록!$O$2:$O$1001&lt;&gt;""))&gt;0,"확인필요(연도다름)","실물 없음")))))</f>
      </c>
      <c r="G1640" t="n" s="16">
        <f aca="0">IF(B1640="","",SUMPRODUCT((실물목록!$P$2:$P$1001&lt;&gt;"")*ISNUMBER(SEARCH(실물목록!$P$2:$P$1001,I1640))*(실물목록!$Q$2:$Q$1001&lt;&gt;"")*ISNUMBER(SEARCH(실물목록!$Q$2:$Q$1001,I1640))*(실물목록!$R$2:$R$1001="")*(실물목록!$O$2:$O$1001&lt;&gt;"")*(실물목록!$O$2:$O$1001=H1640)))</f>
      </c>
      <c r="H1640" t="str">
        <f>IFERROR(IF(AND(LEN(SUBSTITUTE(SUBSTITUTE(SUBSTITUTE(TRIM(A1640&amp;""),CHAR(160),"")," ",""),"년",""))=4,VALUE(SUBSTITUTE(SUBSTITUTE(SUBSTITUTE(TRIM(A1640&amp;""),CHAR(160),"")," ",""),"년",""))&gt;=1900,VALUE(SUBSTITUTE(SUBSTITUTE(SUBSTITUTE(TRIM(A1640&amp;""),CHAR(160),"")," ",""),"년",""))&lt;=2099,TEXT(VALUE(SUBSTITUTE(SUBSTITUTE(SUBSTITUTE(TRIM(A1640&amp;""),CHAR(160),"")," ",""),"년","")),"0000")=SUBSTITUTE(SUBSTITUTE(SUBSTITUTE(TRIM(A1640&amp;""),CHAR(160),"")," ",""),"년","")),SUBSTITUTE(SUBSTITUTE(SUBSTITUTE(TRIM(A1640&amp;""),CHAR(160),"")," ",""),"년",""),""),"")</f>
      </c>
      <c r="I1640" t="str">
        <f>SUBSTITUTE(SUBSTITUTE(SUBSTITUTE(SUBSTITUTE(SUBSTITUTE(TRIM(B1640&amp;""),CHAR(160),"")," ",""),"초등학교","초"),"중학교","중"),"고등학교","고")</f>
      </c>
    </row>
    <row r="1641" customFormat="false" ht="15" hidden="false" customHeight="false" outlineLevel="0" collapsed="false">
      <c r="A1641" s="8"/>
      <c r="B1641" s="8"/>
      <c r="C1641" s="8"/>
      <c r="D1641" s="8"/>
      <c r="E1641" s="8"/>
      <c r="F1641" t="str" s="15">
        <f aca="0">IF(B1641="","",IF(H1641="","확인필요(입력누락)",IF(SUMPRODUCT((실물목록!$P$2:$P$1001&lt;&gt;"")*ISNUMBER(SEARCH(실물목록!$P$2:$P$1001,I1641))*(실물목록!$Q$2:$Q$1001&lt;&gt;"")*ISNUMBER(SEARCH(실물목록!$Q$2:$Q$1001,I1641))*(실물목록!$R$2:$R$1001="")*(실물목록!$O$2:$O$1001&lt;&gt;"")*(실물목록!$O$2:$O$1001=H1641))&gt;0,"실물 있음",IF(SUMPRODUCT((실물목록!$P$2:$P$1001&lt;&gt;"")*ISNUMBER(SEARCH(실물목록!$P$2:$P$1001,I1641))*(실물목록!$R$2:$R$1001&lt;&gt;""))&gt;0,"확인필요(입력누락)",IF(SUMPRODUCT((실물목록!$P$2:$P$1001&lt;&gt;"")*ISNUMBER(SEARCH(실물목록!$P$2:$P$1001,I1641))*(실물목록!$Q$2:$Q$1001&lt;&gt;"")*ISNUMBER(SEARCH(실물목록!$Q$2:$Q$1001,I1641))*(실물목록!$R$2:$R$1001="")*(실물목록!$O$2:$O$1001&lt;&gt;""))&gt;0,"확인필요(연도다름)","실물 없음")))))</f>
      </c>
      <c r="G1641" t="n" s="16">
        <f aca="0">IF(B1641="","",SUMPRODUCT((실물목록!$P$2:$P$1001&lt;&gt;"")*ISNUMBER(SEARCH(실물목록!$P$2:$P$1001,I1641))*(실물목록!$Q$2:$Q$1001&lt;&gt;"")*ISNUMBER(SEARCH(실물목록!$Q$2:$Q$1001,I1641))*(실물목록!$R$2:$R$1001="")*(실물목록!$O$2:$O$1001&lt;&gt;"")*(실물목록!$O$2:$O$1001=H1641)))</f>
      </c>
      <c r="H1641" t="str">
        <f>IFERROR(IF(AND(LEN(SUBSTITUTE(SUBSTITUTE(SUBSTITUTE(TRIM(A1641&amp;""),CHAR(160),"")," ",""),"년",""))=4,VALUE(SUBSTITUTE(SUBSTITUTE(SUBSTITUTE(TRIM(A1641&amp;""),CHAR(160),"")," ",""),"년",""))&gt;=1900,VALUE(SUBSTITUTE(SUBSTITUTE(SUBSTITUTE(TRIM(A1641&amp;""),CHAR(160),"")," ",""),"년",""))&lt;=2099,TEXT(VALUE(SUBSTITUTE(SUBSTITUTE(SUBSTITUTE(TRIM(A1641&amp;""),CHAR(160),"")," ",""),"년","")),"0000")=SUBSTITUTE(SUBSTITUTE(SUBSTITUTE(TRIM(A1641&amp;""),CHAR(160),"")," ",""),"년","")),SUBSTITUTE(SUBSTITUTE(SUBSTITUTE(TRIM(A1641&amp;""),CHAR(160),"")," ",""),"년",""),""),"")</f>
      </c>
      <c r="I1641" t="str">
        <f>SUBSTITUTE(SUBSTITUTE(SUBSTITUTE(SUBSTITUTE(SUBSTITUTE(TRIM(B1641&amp;""),CHAR(160),"")," ",""),"초등학교","초"),"중학교","중"),"고등학교","고")</f>
      </c>
    </row>
    <row r="1642" customFormat="false" ht="15" hidden="false" customHeight="false" outlineLevel="0" collapsed="false">
      <c r="A1642" s="8"/>
      <c r="B1642" s="8"/>
      <c r="C1642" s="8"/>
      <c r="D1642" s="8"/>
      <c r="E1642" s="8"/>
      <c r="F1642" t="str" s="15">
        <f aca="0">IF(B1642="","",IF(H1642="","확인필요(입력누락)",IF(SUMPRODUCT((실물목록!$P$2:$P$1001&lt;&gt;"")*ISNUMBER(SEARCH(실물목록!$P$2:$P$1001,I1642))*(실물목록!$Q$2:$Q$1001&lt;&gt;"")*ISNUMBER(SEARCH(실물목록!$Q$2:$Q$1001,I1642))*(실물목록!$R$2:$R$1001="")*(실물목록!$O$2:$O$1001&lt;&gt;"")*(실물목록!$O$2:$O$1001=H1642))&gt;0,"실물 있음",IF(SUMPRODUCT((실물목록!$P$2:$P$1001&lt;&gt;"")*ISNUMBER(SEARCH(실물목록!$P$2:$P$1001,I1642))*(실물목록!$R$2:$R$1001&lt;&gt;""))&gt;0,"확인필요(입력누락)",IF(SUMPRODUCT((실물목록!$P$2:$P$1001&lt;&gt;"")*ISNUMBER(SEARCH(실물목록!$P$2:$P$1001,I1642))*(실물목록!$Q$2:$Q$1001&lt;&gt;"")*ISNUMBER(SEARCH(실물목록!$Q$2:$Q$1001,I1642))*(실물목록!$R$2:$R$1001="")*(실물목록!$O$2:$O$1001&lt;&gt;""))&gt;0,"확인필요(연도다름)","실물 없음")))))</f>
      </c>
      <c r="G1642" t="n" s="16">
        <f aca="0">IF(B1642="","",SUMPRODUCT((실물목록!$P$2:$P$1001&lt;&gt;"")*ISNUMBER(SEARCH(실물목록!$P$2:$P$1001,I1642))*(실물목록!$Q$2:$Q$1001&lt;&gt;"")*ISNUMBER(SEARCH(실물목록!$Q$2:$Q$1001,I1642))*(실물목록!$R$2:$R$1001="")*(실물목록!$O$2:$O$1001&lt;&gt;"")*(실물목록!$O$2:$O$1001=H1642)))</f>
      </c>
      <c r="H1642" t="str">
        <f>IFERROR(IF(AND(LEN(SUBSTITUTE(SUBSTITUTE(SUBSTITUTE(TRIM(A1642&amp;""),CHAR(160),"")," ",""),"년",""))=4,VALUE(SUBSTITUTE(SUBSTITUTE(SUBSTITUTE(TRIM(A1642&amp;""),CHAR(160),"")," ",""),"년",""))&gt;=1900,VALUE(SUBSTITUTE(SUBSTITUTE(SUBSTITUTE(TRIM(A1642&amp;""),CHAR(160),"")," ",""),"년",""))&lt;=2099,TEXT(VALUE(SUBSTITUTE(SUBSTITUTE(SUBSTITUTE(TRIM(A1642&amp;""),CHAR(160),"")," ",""),"년","")),"0000")=SUBSTITUTE(SUBSTITUTE(SUBSTITUTE(TRIM(A1642&amp;""),CHAR(160),"")," ",""),"년","")),SUBSTITUTE(SUBSTITUTE(SUBSTITUTE(TRIM(A1642&amp;""),CHAR(160),"")," ",""),"년",""),""),"")</f>
      </c>
      <c r="I1642" t="str">
        <f>SUBSTITUTE(SUBSTITUTE(SUBSTITUTE(SUBSTITUTE(SUBSTITUTE(TRIM(B1642&amp;""),CHAR(160),"")," ",""),"초등학교","초"),"중학교","중"),"고등학교","고")</f>
      </c>
    </row>
    <row r="1643" customFormat="false" ht="15" hidden="false" customHeight="false" outlineLevel="0" collapsed="false">
      <c r="A1643" s="8"/>
      <c r="B1643" s="8"/>
      <c r="C1643" s="8"/>
      <c r="D1643" s="8"/>
      <c r="E1643" s="8"/>
      <c r="F1643" t="str" s="15">
        <f aca="0">IF(B1643="","",IF(H1643="","확인필요(입력누락)",IF(SUMPRODUCT((실물목록!$P$2:$P$1001&lt;&gt;"")*ISNUMBER(SEARCH(실물목록!$P$2:$P$1001,I1643))*(실물목록!$Q$2:$Q$1001&lt;&gt;"")*ISNUMBER(SEARCH(실물목록!$Q$2:$Q$1001,I1643))*(실물목록!$R$2:$R$1001="")*(실물목록!$O$2:$O$1001&lt;&gt;"")*(실물목록!$O$2:$O$1001=H1643))&gt;0,"실물 있음",IF(SUMPRODUCT((실물목록!$P$2:$P$1001&lt;&gt;"")*ISNUMBER(SEARCH(실물목록!$P$2:$P$1001,I1643))*(실물목록!$R$2:$R$1001&lt;&gt;""))&gt;0,"확인필요(입력누락)",IF(SUMPRODUCT((실물목록!$P$2:$P$1001&lt;&gt;"")*ISNUMBER(SEARCH(실물목록!$P$2:$P$1001,I1643))*(실물목록!$Q$2:$Q$1001&lt;&gt;"")*ISNUMBER(SEARCH(실물목록!$Q$2:$Q$1001,I1643))*(실물목록!$R$2:$R$1001="")*(실물목록!$O$2:$O$1001&lt;&gt;""))&gt;0,"확인필요(연도다름)","실물 없음")))))</f>
      </c>
      <c r="G1643" t="n" s="16">
        <f aca="0">IF(B1643="","",SUMPRODUCT((실물목록!$P$2:$P$1001&lt;&gt;"")*ISNUMBER(SEARCH(실물목록!$P$2:$P$1001,I1643))*(실물목록!$Q$2:$Q$1001&lt;&gt;"")*ISNUMBER(SEARCH(실물목록!$Q$2:$Q$1001,I1643))*(실물목록!$R$2:$R$1001="")*(실물목록!$O$2:$O$1001&lt;&gt;"")*(실물목록!$O$2:$O$1001=H1643)))</f>
      </c>
      <c r="H1643" t="str">
        <f>IFERROR(IF(AND(LEN(SUBSTITUTE(SUBSTITUTE(SUBSTITUTE(TRIM(A1643&amp;""),CHAR(160),"")," ",""),"년",""))=4,VALUE(SUBSTITUTE(SUBSTITUTE(SUBSTITUTE(TRIM(A1643&amp;""),CHAR(160),"")," ",""),"년",""))&gt;=1900,VALUE(SUBSTITUTE(SUBSTITUTE(SUBSTITUTE(TRIM(A1643&amp;""),CHAR(160),"")," ",""),"년",""))&lt;=2099,TEXT(VALUE(SUBSTITUTE(SUBSTITUTE(SUBSTITUTE(TRIM(A1643&amp;""),CHAR(160),"")," ",""),"년","")),"0000")=SUBSTITUTE(SUBSTITUTE(SUBSTITUTE(TRIM(A1643&amp;""),CHAR(160),"")," ",""),"년","")),SUBSTITUTE(SUBSTITUTE(SUBSTITUTE(TRIM(A1643&amp;""),CHAR(160),"")," ",""),"년",""),""),"")</f>
      </c>
      <c r="I1643" t="str">
        <f>SUBSTITUTE(SUBSTITUTE(SUBSTITUTE(SUBSTITUTE(SUBSTITUTE(TRIM(B1643&amp;""),CHAR(160),"")," ",""),"초등학교","초"),"중학교","중"),"고등학교","고")</f>
      </c>
    </row>
    <row r="1644" customFormat="false" ht="15" hidden="false" customHeight="false" outlineLevel="0" collapsed="false">
      <c r="A1644" s="8"/>
      <c r="B1644" s="8"/>
      <c r="C1644" s="8"/>
      <c r="D1644" s="8"/>
      <c r="E1644" s="8"/>
      <c r="F1644" t="str" s="15">
        <f aca="0">IF(B1644="","",IF(H1644="","확인필요(입력누락)",IF(SUMPRODUCT((실물목록!$P$2:$P$1001&lt;&gt;"")*ISNUMBER(SEARCH(실물목록!$P$2:$P$1001,I1644))*(실물목록!$Q$2:$Q$1001&lt;&gt;"")*ISNUMBER(SEARCH(실물목록!$Q$2:$Q$1001,I1644))*(실물목록!$R$2:$R$1001="")*(실물목록!$O$2:$O$1001&lt;&gt;"")*(실물목록!$O$2:$O$1001=H1644))&gt;0,"실물 있음",IF(SUMPRODUCT((실물목록!$P$2:$P$1001&lt;&gt;"")*ISNUMBER(SEARCH(실물목록!$P$2:$P$1001,I1644))*(실물목록!$R$2:$R$1001&lt;&gt;""))&gt;0,"확인필요(입력누락)",IF(SUMPRODUCT((실물목록!$P$2:$P$1001&lt;&gt;"")*ISNUMBER(SEARCH(실물목록!$P$2:$P$1001,I1644))*(실물목록!$Q$2:$Q$1001&lt;&gt;"")*ISNUMBER(SEARCH(실물목록!$Q$2:$Q$1001,I1644))*(실물목록!$R$2:$R$1001="")*(실물목록!$O$2:$O$1001&lt;&gt;""))&gt;0,"확인필요(연도다름)","실물 없음")))))</f>
      </c>
      <c r="G1644" t="n" s="16">
        <f aca="0">IF(B1644="","",SUMPRODUCT((실물목록!$P$2:$P$1001&lt;&gt;"")*ISNUMBER(SEARCH(실물목록!$P$2:$P$1001,I1644))*(실물목록!$Q$2:$Q$1001&lt;&gt;"")*ISNUMBER(SEARCH(실물목록!$Q$2:$Q$1001,I1644))*(실물목록!$R$2:$R$1001="")*(실물목록!$O$2:$O$1001&lt;&gt;"")*(실물목록!$O$2:$O$1001=H1644)))</f>
      </c>
      <c r="H1644" t="str">
        <f>IFERROR(IF(AND(LEN(SUBSTITUTE(SUBSTITUTE(SUBSTITUTE(TRIM(A1644&amp;""),CHAR(160),"")," ",""),"년",""))=4,VALUE(SUBSTITUTE(SUBSTITUTE(SUBSTITUTE(TRIM(A1644&amp;""),CHAR(160),"")," ",""),"년",""))&gt;=1900,VALUE(SUBSTITUTE(SUBSTITUTE(SUBSTITUTE(TRIM(A1644&amp;""),CHAR(160),"")," ",""),"년",""))&lt;=2099,TEXT(VALUE(SUBSTITUTE(SUBSTITUTE(SUBSTITUTE(TRIM(A1644&amp;""),CHAR(160),"")," ",""),"년","")),"0000")=SUBSTITUTE(SUBSTITUTE(SUBSTITUTE(TRIM(A1644&amp;""),CHAR(160),"")," ",""),"년","")),SUBSTITUTE(SUBSTITUTE(SUBSTITUTE(TRIM(A1644&amp;""),CHAR(160),"")," ",""),"년",""),""),"")</f>
      </c>
      <c r="I1644" t="str">
        <f>SUBSTITUTE(SUBSTITUTE(SUBSTITUTE(SUBSTITUTE(SUBSTITUTE(TRIM(B1644&amp;""),CHAR(160),"")," ",""),"초등학교","초"),"중학교","중"),"고등학교","고")</f>
      </c>
    </row>
    <row r="1645" customFormat="false" ht="15" hidden="false" customHeight="false" outlineLevel="0" collapsed="false">
      <c r="A1645" s="8"/>
      <c r="B1645" s="8"/>
      <c r="C1645" s="8"/>
      <c r="D1645" s="8"/>
      <c r="E1645" s="8"/>
      <c r="F1645" t="str" s="15">
        <f aca="0">IF(B1645="","",IF(H1645="","확인필요(입력누락)",IF(SUMPRODUCT((실물목록!$P$2:$P$1001&lt;&gt;"")*ISNUMBER(SEARCH(실물목록!$P$2:$P$1001,I1645))*(실물목록!$Q$2:$Q$1001&lt;&gt;"")*ISNUMBER(SEARCH(실물목록!$Q$2:$Q$1001,I1645))*(실물목록!$R$2:$R$1001="")*(실물목록!$O$2:$O$1001&lt;&gt;"")*(실물목록!$O$2:$O$1001=H1645))&gt;0,"실물 있음",IF(SUMPRODUCT((실물목록!$P$2:$P$1001&lt;&gt;"")*ISNUMBER(SEARCH(실물목록!$P$2:$P$1001,I1645))*(실물목록!$R$2:$R$1001&lt;&gt;""))&gt;0,"확인필요(입력누락)",IF(SUMPRODUCT((실물목록!$P$2:$P$1001&lt;&gt;"")*ISNUMBER(SEARCH(실물목록!$P$2:$P$1001,I1645))*(실물목록!$Q$2:$Q$1001&lt;&gt;"")*ISNUMBER(SEARCH(실물목록!$Q$2:$Q$1001,I1645))*(실물목록!$R$2:$R$1001="")*(실물목록!$O$2:$O$1001&lt;&gt;""))&gt;0,"확인필요(연도다름)","실물 없음")))))</f>
      </c>
      <c r="G1645" t="n" s="16">
        <f aca="0">IF(B1645="","",SUMPRODUCT((실물목록!$P$2:$P$1001&lt;&gt;"")*ISNUMBER(SEARCH(실물목록!$P$2:$P$1001,I1645))*(실물목록!$Q$2:$Q$1001&lt;&gt;"")*ISNUMBER(SEARCH(실물목록!$Q$2:$Q$1001,I1645))*(실물목록!$R$2:$R$1001="")*(실물목록!$O$2:$O$1001&lt;&gt;"")*(실물목록!$O$2:$O$1001=H1645)))</f>
      </c>
      <c r="H1645" t="str">
        <f>IFERROR(IF(AND(LEN(SUBSTITUTE(SUBSTITUTE(SUBSTITUTE(TRIM(A1645&amp;""),CHAR(160),"")," ",""),"년",""))=4,VALUE(SUBSTITUTE(SUBSTITUTE(SUBSTITUTE(TRIM(A1645&amp;""),CHAR(160),"")," ",""),"년",""))&gt;=1900,VALUE(SUBSTITUTE(SUBSTITUTE(SUBSTITUTE(TRIM(A1645&amp;""),CHAR(160),"")," ",""),"년",""))&lt;=2099,TEXT(VALUE(SUBSTITUTE(SUBSTITUTE(SUBSTITUTE(TRIM(A1645&amp;""),CHAR(160),"")," ",""),"년","")),"0000")=SUBSTITUTE(SUBSTITUTE(SUBSTITUTE(TRIM(A1645&amp;""),CHAR(160),"")," ",""),"년","")),SUBSTITUTE(SUBSTITUTE(SUBSTITUTE(TRIM(A1645&amp;""),CHAR(160),"")," ",""),"년",""),""),"")</f>
      </c>
      <c r="I1645" t="str">
        <f>SUBSTITUTE(SUBSTITUTE(SUBSTITUTE(SUBSTITUTE(SUBSTITUTE(TRIM(B1645&amp;""),CHAR(160),"")," ",""),"초등학교","초"),"중학교","중"),"고등학교","고")</f>
      </c>
    </row>
    <row r="1646" customFormat="false" ht="15" hidden="false" customHeight="false" outlineLevel="0" collapsed="false">
      <c r="A1646" s="8"/>
      <c r="B1646" s="8"/>
      <c r="C1646" s="8"/>
      <c r="D1646" s="8"/>
      <c r="E1646" s="8"/>
      <c r="F1646" t="str" s="15">
        <f aca="0">IF(B1646="","",IF(H1646="","확인필요(입력누락)",IF(SUMPRODUCT((실물목록!$P$2:$P$1001&lt;&gt;"")*ISNUMBER(SEARCH(실물목록!$P$2:$P$1001,I1646))*(실물목록!$Q$2:$Q$1001&lt;&gt;"")*ISNUMBER(SEARCH(실물목록!$Q$2:$Q$1001,I1646))*(실물목록!$R$2:$R$1001="")*(실물목록!$O$2:$O$1001&lt;&gt;"")*(실물목록!$O$2:$O$1001=H1646))&gt;0,"실물 있음",IF(SUMPRODUCT((실물목록!$P$2:$P$1001&lt;&gt;"")*ISNUMBER(SEARCH(실물목록!$P$2:$P$1001,I1646))*(실물목록!$R$2:$R$1001&lt;&gt;""))&gt;0,"확인필요(입력누락)",IF(SUMPRODUCT((실물목록!$P$2:$P$1001&lt;&gt;"")*ISNUMBER(SEARCH(실물목록!$P$2:$P$1001,I1646))*(실물목록!$Q$2:$Q$1001&lt;&gt;"")*ISNUMBER(SEARCH(실물목록!$Q$2:$Q$1001,I1646))*(실물목록!$R$2:$R$1001="")*(실물목록!$O$2:$O$1001&lt;&gt;""))&gt;0,"확인필요(연도다름)","실물 없음")))))</f>
      </c>
      <c r="G1646" t="n" s="16">
        <f aca="0">IF(B1646="","",SUMPRODUCT((실물목록!$P$2:$P$1001&lt;&gt;"")*ISNUMBER(SEARCH(실물목록!$P$2:$P$1001,I1646))*(실물목록!$Q$2:$Q$1001&lt;&gt;"")*ISNUMBER(SEARCH(실물목록!$Q$2:$Q$1001,I1646))*(실물목록!$R$2:$R$1001="")*(실물목록!$O$2:$O$1001&lt;&gt;"")*(실물목록!$O$2:$O$1001=H1646)))</f>
      </c>
      <c r="H1646" t="str">
        <f>IFERROR(IF(AND(LEN(SUBSTITUTE(SUBSTITUTE(SUBSTITUTE(TRIM(A1646&amp;""),CHAR(160),"")," ",""),"년",""))=4,VALUE(SUBSTITUTE(SUBSTITUTE(SUBSTITUTE(TRIM(A1646&amp;""),CHAR(160),"")," ",""),"년",""))&gt;=1900,VALUE(SUBSTITUTE(SUBSTITUTE(SUBSTITUTE(TRIM(A1646&amp;""),CHAR(160),"")," ",""),"년",""))&lt;=2099,TEXT(VALUE(SUBSTITUTE(SUBSTITUTE(SUBSTITUTE(TRIM(A1646&amp;""),CHAR(160),"")," ",""),"년","")),"0000")=SUBSTITUTE(SUBSTITUTE(SUBSTITUTE(TRIM(A1646&amp;""),CHAR(160),"")," ",""),"년","")),SUBSTITUTE(SUBSTITUTE(SUBSTITUTE(TRIM(A1646&amp;""),CHAR(160),"")," ",""),"년",""),""),"")</f>
      </c>
      <c r="I1646" t="str">
        <f>SUBSTITUTE(SUBSTITUTE(SUBSTITUTE(SUBSTITUTE(SUBSTITUTE(TRIM(B1646&amp;""),CHAR(160),"")," ",""),"초등학교","초"),"중학교","중"),"고등학교","고")</f>
      </c>
    </row>
    <row r="1647" customFormat="false" ht="15" hidden="false" customHeight="false" outlineLevel="0" collapsed="false">
      <c r="A1647" s="8"/>
      <c r="B1647" s="8"/>
      <c r="C1647" s="8"/>
      <c r="D1647" s="8"/>
      <c r="E1647" s="8"/>
      <c r="F1647" t="str" s="15">
        <f aca="0">IF(B1647="","",IF(H1647="","확인필요(입력누락)",IF(SUMPRODUCT((실물목록!$P$2:$P$1001&lt;&gt;"")*ISNUMBER(SEARCH(실물목록!$P$2:$P$1001,I1647))*(실물목록!$Q$2:$Q$1001&lt;&gt;"")*ISNUMBER(SEARCH(실물목록!$Q$2:$Q$1001,I1647))*(실물목록!$R$2:$R$1001="")*(실물목록!$O$2:$O$1001&lt;&gt;"")*(실물목록!$O$2:$O$1001=H1647))&gt;0,"실물 있음",IF(SUMPRODUCT((실물목록!$P$2:$P$1001&lt;&gt;"")*ISNUMBER(SEARCH(실물목록!$P$2:$P$1001,I1647))*(실물목록!$R$2:$R$1001&lt;&gt;""))&gt;0,"확인필요(입력누락)",IF(SUMPRODUCT((실물목록!$P$2:$P$1001&lt;&gt;"")*ISNUMBER(SEARCH(실물목록!$P$2:$P$1001,I1647))*(실물목록!$Q$2:$Q$1001&lt;&gt;"")*ISNUMBER(SEARCH(실물목록!$Q$2:$Q$1001,I1647))*(실물목록!$R$2:$R$1001="")*(실물목록!$O$2:$O$1001&lt;&gt;""))&gt;0,"확인필요(연도다름)","실물 없음")))))</f>
      </c>
      <c r="G1647" t="n" s="16">
        <f aca="0">IF(B1647="","",SUMPRODUCT((실물목록!$P$2:$P$1001&lt;&gt;"")*ISNUMBER(SEARCH(실물목록!$P$2:$P$1001,I1647))*(실물목록!$Q$2:$Q$1001&lt;&gt;"")*ISNUMBER(SEARCH(실물목록!$Q$2:$Q$1001,I1647))*(실물목록!$R$2:$R$1001="")*(실물목록!$O$2:$O$1001&lt;&gt;"")*(실물목록!$O$2:$O$1001=H1647)))</f>
      </c>
      <c r="H1647" t="str">
        <f>IFERROR(IF(AND(LEN(SUBSTITUTE(SUBSTITUTE(SUBSTITUTE(TRIM(A1647&amp;""),CHAR(160),"")," ",""),"년",""))=4,VALUE(SUBSTITUTE(SUBSTITUTE(SUBSTITUTE(TRIM(A1647&amp;""),CHAR(160),"")," ",""),"년",""))&gt;=1900,VALUE(SUBSTITUTE(SUBSTITUTE(SUBSTITUTE(TRIM(A1647&amp;""),CHAR(160),"")," ",""),"년",""))&lt;=2099,TEXT(VALUE(SUBSTITUTE(SUBSTITUTE(SUBSTITUTE(TRIM(A1647&amp;""),CHAR(160),"")," ",""),"년","")),"0000")=SUBSTITUTE(SUBSTITUTE(SUBSTITUTE(TRIM(A1647&amp;""),CHAR(160),"")," ",""),"년","")),SUBSTITUTE(SUBSTITUTE(SUBSTITUTE(TRIM(A1647&amp;""),CHAR(160),"")," ",""),"년",""),""),"")</f>
      </c>
      <c r="I1647" t="str">
        <f>SUBSTITUTE(SUBSTITUTE(SUBSTITUTE(SUBSTITUTE(SUBSTITUTE(TRIM(B1647&amp;""),CHAR(160),"")," ",""),"초등학교","초"),"중학교","중"),"고등학교","고")</f>
      </c>
    </row>
    <row r="1648" customFormat="false" ht="15" hidden="false" customHeight="false" outlineLevel="0" collapsed="false">
      <c r="A1648" s="8"/>
      <c r="B1648" s="8"/>
      <c r="C1648" s="8"/>
      <c r="D1648" s="8"/>
      <c r="E1648" s="8"/>
      <c r="F1648" t="str" s="15">
        <f aca="0">IF(B1648="","",IF(H1648="","확인필요(입력누락)",IF(SUMPRODUCT((실물목록!$P$2:$P$1001&lt;&gt;"")*ISNUMBER(SEARCH(실물목록!$P$2:$P$1001,I1648))*(실물목록!$Q$2:$Q$1001&lt;&gt;"")*ISNUMBER(SEARCH(실물목록!$Q$2:$Q$1001,I1648))*(실물목록!$R$2:$R$1001="")*(실물목록!$O$2:$O$1001&lt;&gt;"")*(실물목록!$O$2:$O$1001=H1648))&gt;0,"실물 있음",IF(SUMPRODUCT((실물목록!$P$2:$P$1001&lt;&gt;"")*ISNUMBER(SEARCH(실물목록!$P$2:$P$1001,I1648))*(실물목록!$R$2:$R$1001&lt;&gt;""))&gt;0,"확인필요(입력누락)",IF(SUMPRODUCT((실물목록!$P$2:$P$1001&lt;&gt;"")*ISNUMBER(SEARCH(실물목록!$P$2:$P$1001,I1648))*(실물목록!$Q$2:$Q$1001&lt;&gt;"")*ISNUMBER(SEARCH(실물목록!$Q$2:$Q$1001,I1648))*(실물목록!$R$2:$R$1001="")*(실물목록!$O$2:$O$1001&lt;&gt;""))&gt;0,"확인필요(연도다름)","실물 없음")))))</f>
      </c>
      <c r="G1648" t="n" s="16">
        <f aca="0">IF(B1648="","",SUMPRODUCT((실물목록!$P$2:$P$1001&lt;&gt;"")*ISNUMBER(SEARCH(실물목록!$P$2:$P$1001,I1648))*(실물목록!$Q$2:$Q$1001&lt;&gt;"")*ISNUMBER(SEARCH(실물목록!$Q$2:$Q$1001,I1648))*(실물목록!$R$2:$R$1001="")*(실물목록!$O$2:$O$1001&lt;&gt;"")*(실물목록!$O$2:$O$1001=H1648)))</f>
      </c>
      <c r="H1648" t="str">
        <f>IFERROR(IF(AND(LEN(SUBSTITUTE(SUBSTITUTE(SUBSTITUTE(TRIM(A1648&amp;""),CHAR(160),"")," ",""),"년",""))=4,VALUE(SUBSTITUTE(SUBSTITUTE(SUBSTITUTE(TRIM(A1648&amp;""),CHAR(160),"")," ",""),"년",""))&gt;=1900,VALUE(SUBSTITUTE(SUBSTITUTE(SUBSTITUTE(TRIM(A1648&amp;""),CHAR(160),"")," ",""),"년",""))&lt;=2099,TEXT(VALUE(SUBSTITUTE(SUBSTITUTE(SUBSTITUTE(TRIM(A1648&amp;""),CHAR(160),"")," ",""),"년","")),"0000")=SUBSTITUTE(SUBSTITUTE(SUBSTITUTE(TRIM(A1648&amp;""),CHAR(160),"")," ",""),"년","")),SUBSTITUTE(SUBSTITUTE(SUBSTITUTE(TRIM(A1648&amp;""),CHAR(160),"")," ",""),"년",""),""),"")</f>
      </c>
      <c r="I1648" t="str">
        <f>SUBSTITUTE(SUBSTITUTE(SUBSTITUTE(SUBSTITUTE(SUBSTITUTE(TRIM(B1648&amp;""),CHAR(160),"")," ",""),"초등학교","초"),"중학교","중"),"고등학교","고")</f>
      </c>
    </row>
    <row r="1649" customFormat="false" ht="15" hidden="false" customHeight="false" outlineLevel="0" collapsed="false">
      <c r="A1649" s="8"/>
      <c r="B1649" s="8"/>
      <c r="C1649" s="8"/>
      <c r="D1649" s="8"/>
      <c r="E1649" s="8"/>
      <c r="F1649" t="str" s="15">
        <f aca="0">IF(B1649="","",IF(H1649="","확인필요(입력누락)",IF(SUMPRODUCT((실물목록!$P$2:$P$1001&lt;&gt;"")*ISNUMBER(SEARCH(실물목록!$P$2:$P$1001,I1649))*(실물목록!$Q$2:$Q$1001&lt;&gt;"")*ISNUMBER(SEARCH(실물목록!$Q$2:$Q$1001,I1649))*(실물목록!$R$2:$R$1001="")*(실물목록!$O$2:$O$1001&lt;&gt;"")*(실물목록!$O$2:$O$1001=H1649))&gt;0,"실물 있음",IF(SUMPRODUCT((실물목록!$P$2:$P$1001&lt;&gt;"")*ISNUMBER(SEARCH(실물목록!$P$2:$P$1001,I1649))*(실물목록!$R$2:$R$1001&lt;&gt;""))&gt;0,"확인필요(입력누락)",IF(SUMPRODUCT((실물목록!$P$2:$P$1001&lt;&gt;"")*ISNUMBER(SEARCH(실물목록!$P$2:$P$1001,I1649))*(실물목록!$Q$2:$Q$1001&lt;&gt;"")*ISNUMBER(SEARCH(실물목록!$Q$2:$Q$1001,I1649))*(실물목록!$R$2:$R$1001="")*(실물목록!$O$2:$O$1001&lt;&gt;""))&gt;0,"확인필요(연도다름)","실물 없음")))))</f>
      </c>
      <c r="G1649" t="n" s="16">
        <f aca="0">IF(B1649="","",SUMPRODUCT((실물목록!$P$2:$P$1001&lt;&gt;"")*ISNUMBER(SEARCH(실물목록!$P$2:$P$1001,I1649))*(실물목록!$Q$2:$Q$1001&lt;&gt;"")*ISNUMBER(SEARCH(실물목록!$Q$2:$Q$1001,I1649))*(실물목록!$R$2:$R$1001="")*(실물목록!$O$2:$O$1001&lt;&gt;"")*(실물목록!$O$2:$O$1001=H1649)))</f>
      </c>
      <c r="H1649" t="str">
        <f>IFERROR(IF(AND(LEN(SUBSTITUTE(SUBSTITUTE(SUBSTITUTE(TRIM(A1649&amp;""),CHAR(160),"")," ",""),"년",""))=4,VALUE(SUBSTITUTE(SUBSTITUTE(SUBSTITUTE(TRIM(A1649&amp;""),CHAR(160),"")," ",""),"년",""))&gt;=1900,VALUE(SUBSTITUTE(SUBSTITUTE(SUBSTITUTE(TRIM(A1649&amp;""),CHAR(160),"")," ",""),"년",""))&lt;=2099,TEXT(VALUE(SUBSTITUTE(SUBSTITUTE(SUBSTITUTE(TRIM(A1649&amp;""),CHAR(160),"")," ",""),"년","")),"0000")=SUBSTITUTE(SUBSTITUTE(SUBSTITUTE(TRIM(A1649&amp;""),CHAR(160),"")," ",""),"년","")),SUBSTITUTE(SUBSTITUTE(SUBSTITUTE(TRIM(A1649&amp;""),CHAR(160),"")," ",""),"년",""),""),"")</f>
      </c>
      <c r="I1649" t="str">
        <f>SUBSTITUTE(SUBSTITUTE(SUBSTITUTE(SUBSTITUTE(SUBSTITUTE(TRIM(B1649&amp;""),CHAR(160),"")," ",""),"초등학교","초"),"중학교","중"),"고등학교","고")</f>
      </c>
    </row>
    <row r="1650" customFormat="false" ht="15" hidden="false" customHeight="false" outlineLevel="0" collapsed="false">
      <c r="A1650" s="8"/>
      <c r="B1650" s="8"/>
      <c r="C1650" s="8"/>
      <c r="D1650" s="8"/>
      <c r="E1650" s="8"/>
      <c r="F1650" t="str" s="15">
        <f aca="0">IF(B1650="","",IF(H1650="","확인필요(입력누락)",IF(SUMPRODUCT((실물목록!$P$2:$P$1001&lt;&gt;"")*ISNUMBER(SEARCH(실물목록!$P$2:$P$1001,I1650))*(실물목록!$Q$2:$Q$1001&lt;&gt;"")*ISNUMBER(SEARCH(실물목록!$Q$2:$Q$1001,I1650))*(실물목록!$R$2:$R$1001="")*(실물목록!$O$2:$O$1001&lt;&gt;"")*(실물목록!$O$2:$O$1001=H1650))&gt;0,"실물 있음",IF(SUMPRODUCT((실물목록!$P$2:$P$1001&lt;&gt;"")*ISNUMBER(SEARCH(실물목록!$P$2:$P$1001,I1650))*(실물목록!$R$2:$R$1001&lt;&gt;""))&gt;0,"확인필요(입력누락)",IF(SUMPRODUCT((실물목록!$P$2:$P$1001&lt;&gt;"")*ISNUMBER(SEARCH(실물목록!$P$2:$P$1001,I1650))*(실물목록!$Q$2:$Q$1001&lt;&gt;"")*ISNUMBER(SEARCH(실물목록!$Q$2:$Q$1001,I1650))*(실물목록!$R$2:$R$1001="")*(실물목록!$O$2:$O$1001&lt;&gt;""))&gt;0,"확인필요(연도다름)","실물 없음")))))</f>
      </c>
      <c r="G1650" t="n" s="16">
        <f aca="0">IF(B1650="","",SUMPRODUCT((실물목록!$P$2:$P$1001&lt;&gt;"")*ISNUMBER(SEARCH(실물목록!$P$2:$P$1001,I1650))*(실물목록!$Q$2:$Q$1001&lt;&gt;"")*ISNUMBER(SEARCH(실물목록!$Q$2:$Q$1001,I1650))*(실물목록!$R$2:$R$1001="")*(실물목록!$O$2:$O$1001&lt;&gt;"")*(실물목록!$O$2:$O$1001=H1650)))</f>
      </c>
      <c r="H1650" t="str">
        <f>IFERROR(IF(AND(LEN(SUBSTITUTE(SUBSTITUTE(SUBSTITUTE(TRIM(A1650&amp;""),CHAR(160),"")," ",""),"년",""))=4,VALUE(SUBSTITUTE(SUBSTITUTE(SUBSTITUTE(TRIM(A1650&amp;""),CHAR(160),"")," ",""),"년",""))&gt;=1900,VALUE(SUBSTITUTE(SUBSTITUTE(SUBSTITUTE(TRIM(A1650&amp;""),CHAR(160),"")," ",""),"년",""))&lt;=2099,TEXT(VALUE(SUBSTITUTE(SUBSTITUTE(SUBSTITUTE(TRIM(A1650&amp;""),CHAR(160),"")," ",""),"년","")),"0000")=SUBSTITUTE(SUBSTITUTE(SUBSTITUTE(TRIM(A1650&amp;""),CHAR(160),"")," ",""),"년","")),SUBSTITUTE(SUBSTITUTE(SUBSTITUTE(TRIM(A1650&amp;""),CHAR(160),"")," ",""),"년",""),""),"")</f>
      </c>
      <c r="I1650" t="str">
        <f>SUBSTITUTE(SUBSTITUTE(SUBSTITUTE(SUBSTITUTE(SUBSTITUTE(TRIM(B1650&amp;""),CHAR(160),"")," ",""),"초등학교","초"),"중학교","중"),"고등학교","고")</f>
      </c>
    </row>
    <row r="1651" customFormat="false" ht="15" hidden="false" customHeight="false" outlineLevel="0" collapsed="false">
      <c r="A1651" s="8"/>
      <c r="B1651" s="8"/>
      <c r="C1651" s="8"/>
      <c r="D1651" s="8"/>
      <c r="E1651" s="8"/>
      <c r="F1651" t="str" s="15">
        <f aca="0">IF(B1651="","",IF(H1651="","확인필요(입력누락)",IF(SUMPRODUCT((실물목록!$P$2:$P$1001&lt;&gt;"")*ISNUMBER(SEARCH(실물목록!$P$2:$P$1001,I1651))*(실물목록!$Q$2:$Q$1001&lt;&gt;"")*ISNUMBER(SEARCH(실물목록!$Q$2:$Q$1001,I1651))*(실물목록!$R$2:$R$1001="")*(실물목록!$O$2:$O$1001&lt;&gt;"")*(실물목록!$O$2:$O$1001=H1651))&gt;0,"실물 있음",IF(SUMPRODUCT((실물목록!$P$2:$P$1001&lt;&gt;"")*ISNUMBER(SEARCH(실물목록!$P$2:$P$1001,I1651))*(실물목록!$R$2:$R$1001&lt;&gt;""))&gt;0,"확인필요(입력누락)",IF(SUMPRODUCT((실물목록!$P$2:$P$1001&lt;&gt;"")*ISNUMBER(SEARCH(실물목록!$P$2:$P$1001,I1651))*(실물목록!$Q$2:$Q$1001&lt;&gt;"")*ISNUMBER(SEARCH(실물목록!$Q$2:$Q$1001,I1651))*(실물목록!$R$2:$R$1001="")*(실물목록!$O$2:$O$1001&lt;&gt;""))&gt;0,"확인필요(연도다름)","실물 없음")))))</f>
      </c>
      <c r="G1651" t="n" s="16">
        <f aca="0">IF(B1651="","",SUMPRODUCT((실물목록!$P$2:$P$1001&lt;&gt;"")*ISNUMBER(SEARCH(실물목록!$P$2:$P$1001,I1651))*(실물목록!$Q$2:$Q$1001&lt;&gt;"")*ISNUMBER(SEARCH(실물목록!$Q$2:$Q$1001,I1651))*(실물목록!$R$2:$R$1001="")*(실물목록!$O$2:$O$1001&lt;&gt;"")*(실물목록!$O$2:$O$1001=H1651)))</f>
      </c>
      <c r="H1651" t="str">
        <f>IFERROR(IF(AND(LEN(SUBSTITUTE(SUBSTITUTE(SUBSTITUTE(TRIM(A1651&amp;""),CHAR(160),"")," ",""),"년",""))=4,VALUE(SUBSTITUTE(SUBSTITUTE(SUBSTITUTE(TRIM(A1651&amp;""),CHAR(160),"")," ",""),"년",""))&gt;=1900,VALUE(SUBSTITUTE(SUBSTITUTE(SUBSTITUTE(TRIM(A1651&amp;""),CHAR(160),"")," ",""),"년",""))&lt;=2099,TEXT(VALUE(SUBSTITUTE(SUBSTITUTE(SUBSTITUTE(TRIM(A1651&amp;""),CHAR(160),"")," ",""),"년","")),"0000")=SUBSTITUTE(SUBSTITUTE(SUBSTITUTE(TRIM(A1651&amp;""),CHAR(160),"")," ",""),"년","")),SUBSTITUTE(SUBSTITUTE(SUBSTITUTE(TRIM(A1651&amp;""),CHAR(160),"")," ",""),"년",""),""),"")</f>
      </c>
      <c r="I1651" t="str">
        <f>SUBSTITUTE(SUBSTITUTE(SUBSTITUTE(SUBSTITUTE(SUBSTITUTE(TRIM(B1651&amp;""),CHAR(160),"")," ",""),"초등학교","초"),"중학교","중"),"고등학교","고")</f>
      </c>
    </row>
    <row r="1652" customFormat="false" ht="15" hidden="false" customHeight="false" outlineLevel="0" collapsed="false">
      <c r="A1652" s="8"/>
      <c r="B1652" s="8"/>
      <c r="C1652" s="8"/>
      <c r="D1652" s="8"/>
      <c r="E1652" s="8"/>
      <c r="F1652" t="str" s="15">
        <f aca="0">IF(B1652="","",IF(H1652="","확인필요(입력누락)",IF(SUMPRODUCT((실물목록!$P$2:$P$1001&lt;&gt;"")*ISNUMBER(SEARCH(실물목록!$P$2:$P$1001,I1652))*(실물목록!$Q$2:$Q$1001&lt;&gt;"")*ISNUMBER(SEARCH(실물목록!$Q$2:$Q$1001,I1652))*(실물목록!$R$2:$R$1001="")*(실물목록!$O$2:$O$1001&lt;&gt;"")*(실물목록!$O$2:$O$1001=H1652))&gt;0,"실물 있음",IF(SUMPRODUCT((실물목록!$P$2:$P$1001&lt;&gt;"")*ISNUMBER(SEARCH(실물목록!$P$2:$P$1001,I1652))*(실물목록!$R$2:$R$1001&lt;&gt;""))&gt;0,"확인필요(입력누락)",IF(SUMPRODUCT((실물목록!$P$2:$P$1001&lt;&gt;"")*ISNUMBER(SEARCH(실물목록!$P$2:$P$1001,I1652))*(실물목록!$Q$2:$Q$1001&lt;&gt;"")*ISNUMBER(SEARCH(실물목록!$Q$2:$Q$1001,I1652))*(실물목록!$R$2:$R$1001="")*(실물목록!$O$2:$O$1001&lt;&gt;""))&gt;0,"확인필요(연도다름)","실물 없음")))))</f>
      </c>
      <c r="G1652" t="n" s="16">
        <f aca="0">IF(B1652="","",SUMPRODUCT((실물목록!$P$2:$P$1001&lt;&gt;"")*ISNUMBER(SEARCH(실물목록!$P$2:$P$1001,I1652))*(실물목록!$Q$2:$Q$1001&lt;&gt;"")*ISNUMBER(SEARCH(실물목록!$Q$2:$Q$1001,I1652))*(실물목록!$R$2:$R$1001="")*(실물목록!$O$2:$O$1001&lt;&gt;"")*(실물목록!$O$2:$O$1001=H1652)))</f>
      </c>
      <c r="H1652" t="str">
        <f>IFERROR(IF(AND(LEN(SUBSTITUTE(SUBSTITUTE(SUBSTITUTE(TRIM(A1652&amp;""),CHAR(160),"")," ",""),"년",""))=4,VALUE(SUBSTITUTE(SUBSTITUTE(SUBSTITUTE(TRIM(A1652&amp;""),CHAR(160),"")," ",""),"년",""))&gt;=1900,VALUE(SUBSTITUTE(SUBSTITUTE(SUBSTITUTE(TRIM(A1652&amp;""),CHAR(160),"")," ",""),"년",""))&lt;=2099,TEXT(VALUE(SUBSTITUTE(SUBSTITUTE(SUBSTITUTE(TRIM(A1652&amp;""),CHAR(160),"")," ",""),"년","")),"0000")=SUBSTITUTE(SUBSTITUTE(SUBSTITUTE(TRIM(A1652&amp;""),CHAR(160),"")," ",""),"년","")),SUBSTITUTE(SUBSTITUTE(SUBSTITUTE(TRIM(A1652&amp;""),CHAR(160),"")," ",""),"년",""),""),"")</f>
      </c>
      <c r="I1652" t="str">
        <f>SUBSTITUTE(SUBSTITUTE(SUBSTITUTE(SUBSTITUTE(SUBSTITUTE(TRIM(B1652&amp;""),CHAR(160),"")," ",""),"초등학교","초"),"중학교","중"),"고등학교","고")</f>
      </c>
    </row>
    <row r="1653" customFormat="false" ht="15" hidden="false" customHeight="false" outlineLevel="0" collapsed="false">
      <c r="A1653" s="8"/>
      <c r="B1653" s="8"/>
      <c r="C1653" s="8"/>
      <c r="D1653" s="8"/>
      <c r="E1653" s="8"/>
      <c r="F1653" t="str" s="15">
        <f aca="0">IF(B1653="","",IF(H1653="","확인필요(입력누락)",IF(SUMPRODUCT((실물목록!$P$2:$P$1001&lt;&gt;"")*ISNUMBER(SEARCH(실물목록!$P$2:$P$1001,I1653))*(실물목록!$Q$2:$Q$1001&lt;&gt;"")*ISNUMBER(SEARCH(실물목록!$Q$2:$Q$1001,I1653))*(실물목록!$R$2:$R$1001="")*(실물목록!$O$2:$O$1001&lt;&gt;"")*(실물목록!$O$2:$O$1001=H1653))&gt;0,"실물 있음",IF(SUMPRODUCT((실물목록!$P$2:$P$1001&lt;&gt;"")*ISNUMBER(SEARCH(실물목록!$P$2:$P$1001,I1653))*(실물목록!$R$2:$R$1001&lt;&gt;""))&gt;0,"확인필요(입력누락)",IF(SUMPRODUCT((실물목록!$P$2:$P$1001&lt;&gt;"")*ISNUMBER(SEARCH(실물목록!$P$2:$P$1001,I1653))*(실물목록!$Q$2:$Q$1001&lt;&gt;"")*ISNUMBER(SEARCH(실물목록!$Q$2:$Q$1001,I1653))*(실물목록!$R$2:$R$1001="")*(실물목록!$O$2:$O$1001&lt;&gt;""))&gt;0,"확인필요(연도다름)","실물 없음")))))</f>
      </c>
      <c r="G1653" t="n" s="16">
        <f aca="0">IF(B1653="","",SUMPRODUCT((실물목록!$P$2:$P$1001&lt;&gt;"")*ISNUMBER(SEARCH(실물목록!$P$2:$P$1001,I1653))*(실물목록!$Q$2:$Q$1001&lt;&gt;"")*ISNUMBER(SEARCH(실물목록!$Q$2:$Q$1001,I1653))*(실물목록!$R$2:$R$1001="")*(실물목록!$O$2:$O$1001&lt;&gt;"")*(실물목록!$O$2:$O$1001=H1653)))</f>
      </c>
      <c r="H1653" t="str">
        <f>IFERROR(IF(AND(LEN(SUBSTITUTE(SUBSTITUTE(SUBSTITUTE(TRIM(A1653&amp;""),CHAR(160),"")," ",""),"년",""))=4,VALUE(SUBSTITUTE(SUBSTITUTE(SUBSTITUTE(TRIM(A1653&amp;""),CHAR(160),"")," ",""),"년",""))&gt;=1900,VALUE(SUBSTITUTE(SUBSTITUTE(SUBSTITUTE(TRIM(A1653&amp;""),CHAR(160),"")," ",""),"년",""))&lt;=2099,TEXT(VALUE(SUBSTITUTE(SUBSTITUTE(SUBSTITUTE(TRIM(A1653&amp;""),CHAR(160),"")," ",""),"년","")),"0000")=SUBSTITUTE(SUBSTITUTE(SUBSTITUTE(TRIM(A1653&amp;""),CHAR(160),"")," ",""),"년","")),SUBSTITUTE(SUBSTITUTE(SUBSTITUTE(TRIM(A1653&amp;""),CHAR(160),"")," ",""),"년",""),""),"")</f>
      </c>
      <c r="I1653" t="str">
        <f>SUBSTITUTE(SUBSTITUTE(SUBSTITUTE(SUBSTITUTE(SUBSTITUTE(TRIM(B1653&amp;""),CHAR(160),"")," ",""),"초등학교","초"),"중학교","중"),"고등학교","고")</f>
      </c>
    </row>
    <row r="1654" customFormat="false" ht="15" hidden="false" customHeight="false" outlineLevel="0" collapsed="false">
      <c r="A1654" s="8"/>
      <c r="B1654" s="8"/>
      <c r="C1654" s="8"/>
      <c r="D1654" s="8"/>
      <c r="E1654" s="8"/>
      <c r="F1654" t="str" s="15">
        <f aca="0">IF(B1654="","",IF(H1654="","확인필요(입력누락)",IF(SUMPRODUCT((실물목록!$P$2:$P$1001&lt;&gt;"")*ISNUMBER(SEARCH(실물목록!$P$2:$P$1001,I1654))*(실물목록!$Q$2:$Q$1001&lt;&gt;"")*ISNUMBER(SEARCH(실물목록!$Q$2:$Q$1001,I1654))*(실물목록!$R$2:$R$1001="")*(실물목록!$O$2:$O$1001&lt;&gt;"")*(실물목록!$O$2:$O$1001=H1654))&gt;0,"실물 있음",IF(SUMPRODUCT((실물목록!$P$2:$P$1001&lt;&gt;"")*ISNUMBER(SEARCH(실물목록!$P$2:$P$1001,I1654))*(실물목록!$R$2:$R$1001&lt;&gt;""))&gt;0,"확인필요(입력누락)",IF(SUMPRODUCT((실물목록!$P$2:$P$1001&lt;&gt;"")*ISNUMBER(SEARCH(실물목록!$P$2:$P$1001,I1654))*(실물목록!$Q$2:$Q$1001&lt;&gt;"")*ISNUMBER(SEARCH(실물목록!$Q$2:$Q$1001,I1654))*(실물목록!$R$2:$R$1001="")*(실물목록!$O$2:$O$1001&lt;&gt;""))&gt;0,"확인필요(연도다름)","실물 없음")))))</f>
      </c>
      <c r="G1654" t="n" s="16">
        <f aca="0">IF(B1654="","",SUMPRODUCT((실물목록!$P$2:$P$1001&lt;&gt;"")*ISNUMBER(SEARCH(실물목록!$P$2:$P$1001,I1654))*(실물목록!$Q$2:$Q$1001&lt;&gt;"")*ISNUMBER(SEARCH(실물목록!$Q$2:$Q$1001,I1654))*(실물목록!$R$2:$R$1001="")*(실물목록!$O$2:$O$1001&lt;&gt;"")*(실물목록!$O$2:$O$1001=H1654)))</f>
      </c>
      <c r="H1654" t="str">
        <f>IFERROR(IF(AND(LEN(SUBSTITUTE(SUBSTITUTE(SUBSTITUTE(TRIM(A1654&amp;""),CHAR(160),"")," ",""),"년",""))=4,VALUE(SUBSTITUTE(SUBSTITUTE(SUBSTITUTE(TRIM(A1654&amp;""),CHAR(160),"")," ",""),"년",""))&gt;=1900,VALUE(SUBSTITUTE(SUBSTITUTE(SUBSTITUTE(TRIM(A1654&amp;""),CHAR(160),"")," ",""),"년",""))&lt;=2099,TEXT(VALUE(SUBSTITUTE(SUBSTITUTE(SUBSTITUTE(TRIM(A1654&amp;""),CHAR(160),"")," ",""),"년","")),"0000")=SUBSTITUTE(SUBSTITUTE(SUBSTITUTE(TRIM(A1654&amp;""),CHAR(160),"")," ",""),"년","")),SUBSTITUTE(SUBSTITUTE(SUBSTITUTE(TRIM(A1654&amp;""),CHAR(160),"")," ",""),"년",""),""),"")</f>
      </c>
      <c r="I1654" t="str">
        <f>SUBSTITUTE(SUBSTITUTE(SUBSTITUTE(SUBSTITUTE(SUBSTITUTE(TRIM(B1654&amp;""),CHAR(160),"")," ",""),"초등학교","초"),"중학교","중"),"고등학교","고")</f>
      </c>
    </row>
    <row r="1655" customFormat="false" ht="15" hidden="false" customHeight="false" outlineLevel="0" collapsed="false">
      <c r="A1655" s="8"/>
      <c r="B1655" s="8"/>
      <c r="C1655" s="8"/>
      <c r="D1655" s="8"/>
      <c r="E1655" s="8"/>
      <c r="F1655" t="str" s="15">
        <f aca="0">IF(B1655="","",IF(H1655="","확인필요(입력누락)",IF(SUMPRODUCT((실물목록!$P$2:$P$1001&lt;&gt;"")*ISNUMBER(SEARCH(실물목록!$P$2:$P$1001,I1655))*(실물목록!$Q$2:$Q$1001&lt;&gt;"")*ISNUMBER(SEARCH(실물목록!$Q$2:$Q$1001,I1655))*(실물목록!$R$2:$R$1001="")*(실물목록!$O$2:$O$1001&lt;&gt;"")*(실물목록!$O$2:$O$1001=H1655))&gt;0,"실물 있음",IF(SUMPRODUCT((실물목록!$P$2:$P$1001&lt;&gt;"")*ISNUMBER(SEARCH(실물목록!$P$2:$P$1001,I1655))*(실물목록!$R$2:$R$1001&lt;&gt;""))&gt;0,"확인필요(입력누락)",IF(SUMPRODUCT((실물목록!$P$2:$P$1001&lt;&gt;"")*ISNUMBER(SEARCH(실물목록!$P$2:$P$1001,I1655))*(실물목록!$Q$2:$Q$1001&lt;&gt;"")*ISNUMBER(SEARCH(실물목록!$Q$2:$Q$1001,I1655))*(실물목록!$R$2:$R$1001="")*(실물목록!$O$2:$O$1001&lt;&gt;""))&gt;0,"확인필요(연도다름)","실물 없음")))))</f>
      </c>
      <c r="G1655" t="n" s="16">
        <f aca="0">IF(B1655="","",SUMPRODUCT((실물목록!$P$2:$P$1001&lt;&gt;"")*ISNUMBER(SEARCH(실물목록!$P$2:$P$1001,I1655))*(실물목록!$Q$2:$Q$1001&lt;&gt;"")*ISNUMBER(SEARCH(실물목록!$Q$2:$Q$1001,I1655))*(실물목록!$R$2:$R$1001="")*(실물목록!$O$2:$O$1001&lt;&gt;"")*(실물목록!$O$2:$O$1001=H1655)))</f>
      </c>
      <c r="H1655" t="str">
        <f>IFERROR(IF(AND(LEN(SUBSTITUTE(SUBSTITUTE(SUBSTITUTE(TRIM(A1655&amp;""),CHAR(160),"")," ",""),"년",""))=4,VALUE(SUBSTITUTE(SUBSTITUTE(SUBSTITUTE(TRIM(A1655&amp;""),CHAR(160),"")," ",""),"년",""))&gt;=1900,VALUE(SUBSTITUTE(SUBSTITUTE(SUBSTITUTE(TRIM(A1655&amp;""),CHAR(160),"")," ",""),"년",""))&lt;=2099,TEXT(VALUE(SUBSTITUTE(SUBSTITUTE(SUBSTITUTE(TRIM(A1655&amp;""),CHAR(160),"")," ",""),"년","")),"0000")=SUBSTITUTE(SUBSTITUTE(SUBSTITUTE(TRIM(A1655&amp;""),CHAR(160),"")," ",""),"년","")),SUBSTITUTE(SUBSTITUTE(SUBSTITUTE(TRIM(A1655&amp;""),CHAR(160),"")," ",""),"년",""),""),"")</f>
      </c>
      <c r="I1655" t="str">
        <f>SUBSTITUTE(SUBSTITUTE(SUBSTITUTE(SUBSTITUTE(SUBSTITUTE(TRIM(B1655&amp;""),CHAR(160),"")," ",""),"초등학교","초"),"중학교","중"),"고등학교","고")</f>
      </c>
    </row>
    <row r="1656" customFormat="false" ht="15" hidden="false" customHeight="false" outlineLevel="0" collapsed="false">
      <c r="A1656" s="8"/>
      <c r="B1656" s="8"/>
      <c r="C1656" s="8"/>
      <c r="D1656" s="8"/>
      <c r="E1656" s="8"/>
      <c r="F1656" t="str" s="15">
        <f aca="0">IF(B1656="","",IF(H1656="","확인필요(입력누락)",IF(SUMPRODUCT((실물목록!$P$2:$P$1001&lt;&gt;"")*ISNUMBER(SEARCH(실물목록!$P$2:$P$1001,I1656))*(실물목록!$Q$2:$Q$1001&lt;&gt;"")*ISNUMBER(SEARCH(실물목록!$Q$2:$Q$1001,I1656))*(실물목록!$R$2:$R$1001="")*(실물목록!$O$2:$O$1001&lt;&gt;"")*(실물목록!$O$2:$O$1001=H1656))&gt;0,"실물 있음",IF(SUMPRODUCT((실물목록!$P$2:$P$1001&lt;&gt;"")*ISNUMBER(SEARCH(실물목록!$P$2:$P$1001,I1656))*(실물목록!$R$2:$R$1001&lt;&gt;""))&gt;0,"확인필요(입력누락)",IF(SUMPRODUCT((실물목록!$P$2:$P$1001&lt;&gt;"")*ISNUMBER(SEARCH(실물목록!$P$2:$P$1001,I1656))*(실물목록!$Q$2:$Q$1001&lt;&gt;"")*ISNUMBER(SEARCH(실물목록!$Q$2:$Q$1001,I1656))*(실물목록!$R$2:$R$1001="")*(실물목록!$O$2:$O$1001&lt;&gt;""))&gt;0,"확인필요(연도다름)","실물 없음")))))</f>
      </c>
      <c r="G1656" t="n" s="16">
        <f aca="0">IF(B1656="","",SUMPRODUCT((실물목록!$P$2:$P$1001&lt;&gt;"")*ISNUMBER(SEARCH(실물목록!$P$2:$P$1001,I1656))*(실물목록!$Q$2:$Q$1001&lt;&gt;"")*ISNUMBER(SEARCH(실물목록!$Q$2:$Q$1001,I1656))*(실물목록!$R$2:$R$1001="")*(실물목록!$O$2:$O$1001&lt;&gt;"")*(실물목록!$O$2:$O$1001=H1656)))</f>
      </c>
      <c r="H1656" t="str">
        <f>IFERROR(IF(AND(LEN(SUBSTITUTE(SUBSTITUTE(SUBSTITUTE(TRIM(A1656&amp;""),CHAR(160),"")," ",""),"년",""))=4,VALUE(SUBSTITUTE(SUBSTITUTE(SUBSTITUTE(TRIM(A1656&amp;""),CHAR(160),"")," ",""),"년",""))&gt;=1900,VALUE(SUBSTITUTE(SUBSTITUTE(SUBSTITUTE(TRIM(A1656&amp;""),CHAR(160),"")," ",""),"년",""))&lt;=2099,TEXT(VALUE(SUBSTITUTE(SUBSTITUTE(SUBSTITUTE(TRIM(A1656&amp;""),CHAR(160),"")," ",""),"년","")),"0000")=SUBSTITUTE(SUBSTITUTE(SUBSTITUTE(TRIM(A1656&amp;""),CHAR(160),"")," ",""),"년","")),SUBSTITUTE(SUBSTITUTE(SUBSTITUTE(TRIM(A1656&amp;""),CHAR(160),"")," ",""),"년",""),""),"")</f>
      </c>
      <c r="I1656" t="str">
        <f>SUBSTITUTE(SUBSTITUTE(SUBSTITUTE(SUBSTITUTE(SUBSTITUTE(TRIM(B1656&amp;""),CHAR(160),"")," ",""),"초등학교","초"),"중학교","중"),"고등학교","고")</f>
      </c>
    </row>
    <row r="1657" customFormat="false" ht="15" hidden="false" customHeight="false" outlineLevel="0" collapsed="false">
      <c r="A1657" s="8"/>
      <c r="B1657" s="8"/>
      <c r="C1657" s="8"/>
      <c r="D1657" s="8"/>
      <c r="E1657" s="8"/>
      <c r="F1657" t="str" s="15">
        <f aca="0">IF(B1657="","",IF(H1657="","확인필요(입력누락)",IF(SUMPRODUCT((실물목록!$P$2:$P$1001&lt;&gt;"")*ISNUMBER(SEARCH(실물목록!$P$2:$P$1001,I1657))*(실물목록!$Q$2:$Q$1001&lt;&gt;"")*ISNUMBER(SEARCH(실물목록!$Q$2:$Q$1001,I1657))*(실물목록!$R$2:$R$1001="")*(실물목록!$O$2:$O$1001&lt;&gt;"")*(실물목록!$O$2:$O$1001=H1657))&gt;0,"실물 있음",IF(SUMPRODUCT((실물목록!$P$2:$P$1001&lt;&gt;"")*ISNUMBER(SEARCH(실물목록!$P$2:$P$1001,I1657))*(실물목록!$R$2:$R$1001&lt;&gt;""))&gt;0,"확인필요(입력누락)",IF(SUMPRODUCT((실물목록!$P$2:$P$1001&lt;&gt;"")*ISNUMBER(SEARCH(실물목록!$P$2:$P$1001,I1657))*(실물목록!$Q$2:$Q$1001&lt;&gt;"")*ISNUMBER(SEARCH(실물목록!$Q$2:$Q$1001,I1657))*(실물목록!$R$2:$R$1001="")*(실물목록!$O$2:$O$1001&lt;&gt;""))&gt;0,"확인필요(연도다름)","실물 없음")))))</f>
      </c>
      <c r="G1657" t="n" s="16">
        <f aca="0">IF(B1657="","",SUMPRODUCT((실물목록!$P$2:$P$1001&lt;&gt;"")*ISNUMBER(SEARCH(실물목록!$P$2:$P$1001,I1657))*(실물목록!$Q$2:$Q$1001&lt;&gt;"")*ISNUMBER(SEARCH(실물목록!$Q$2:$Q$1001,I1657))*(실물목록!$R$2:$R$1001="")*(실물목록!$O$2:$O$1001&lt;&gt;"")*(실물목록!$O$2:$O$1001=H1657)))</f>
      </c>
      <c r="H1657" t="str">
        <f>IFERROR(IF(AND(LEN(SUBSTITUTE(SUBSTITUTE(SUBSTITUTE(TRIM(A1657&amp;""),CHAR(160),"")," ",""),"년",""))=4,VALUE(SUBSTITUTE(SUBSTITUTE(SUBSTITUTE(TRIM(A1657&amp;""),CHAR(160),"")," ",""),"년",""))&gt;=1900,VALUE(SUBSTITUTE(SUBSTITUTE(SUBSTITUTE(TRIM(A1657&amp;""),CHAR(160),"")," ",""),"년",""))&lt;=2099,TEXT(VALUE(SUBSTITUTE(SUBSTITUTE(SUBSTITUTE(TRIM(A1657&amp;""),CHAR(160),"")," ",""),"년","")),"0000")=SUBSTITUTE(SUBSTITUTE(SUBSTITUTE(TRIM(A1657&amp;""),CHAR(160),"")," ",""),"년","")),SUBSTITUTE(SUBSTITUTE(SUBSTITUTE(TRIM(A1657&amp;""),CHAR(160),"")," ",""),"년",""),""),"")</f>
      </c>
      <c r="I1657" t="str">
        <f>SUBSTITUTE(SUBSTITUTE(SUBSTITUTE(SUBSTITUTE(SUBSTITUTE(TRIM(B1657&amp;""),CHAR(160),"")," ",""),"초등학교","초"),"중학교","중"),"고등학교","고")</f>
      </c>
    </row>
    <row r="1658" customFormat="false" ht="15" hidden="false" customHeight="false" outlineLevel="0" collapsed="false">
      <c r="A1658" s="8"/>
      <c r="B1658" s="8"/>
      <c r="C1658" s="8"/>
      <c r="D1658" s="8"/>
      <c r="E1658" s="8"/>
      <c r="F1658" t="str" s="15">
        <f aca="0">IF(B1658="","",IF(H1658="","확인필요(입력누락)",IF(SUMPRODUCT((실물목록!$P$2:$P$1001&lt;&gt;"")*ISNUMBER(SEARCH(실물목록!$P$2:$P$1001,I1658))*(실물목록!$Q$2:$Q$1001&lt;&gt;"")*ISNUMBER(SEARCH(실물목록!$Q$2:$Q$1001,I1658))*(실물목록!$R$2:$R$1001="")*(실물목록!$O$2:$O$1001&lt;&gt;"")*(실물목록!$O$2:$O$1001=H1658))&gt;0,"실물 있음",IF(SUMPRODUCT((실물목록!$P$2:$P$1001&lt;&gt;"")*ISNUMBER(SEARCH(실물목록!$P$2:$P$1001,I1658))*(실물목록!$R$2:$R$1001&lt;&gt;""))&gt;0,"확인필요(입력누락)",IF(SUMPRODUCT((실물목록!$P$2:$P$1001&lt;&gt;"")*ISNUMBER(SEARCH(실물목록!$P$2:$P$1001,I1658))*(실물목록!$Q$2:$Q$1001&lt;&gt;"")*ISNUMBER(SEARCH(실물목록!$Q$2:$Q$1001,I1658))*(실물목록!$R$2:$R$1001="")*(실물목록!$O$2:$O$1001&lt;&gt;""))&gt;0,"확인필요(연도다름)","실물 없음")))))</f>
      </c>
      <c r="G1658" t="n" s="16">
        <f aca="0">IF(B1658="","",SUMPRODUCT((실물목록!$P$2:$P$1001&lt;&gt;"")*ISNUMBER(SEARCH(실물목록!$P$2:$P$1001,I1658))*(실물목록!$Q$2:$Q$1001&lt;&gt;"")*ISNUMBER(SEARCH(실물목록!$Q$2:$Q$1001,I1658))*(실물목록!$R$2:$R$1001="")*(실물목록!$O$2:$O$1001&lt;&gt;"")*(실물목록!$O$2:$O$1001=H1658)))</f>
      </c>
      <c r="H1658" t="str">
        <f>IFERROR(IF(AND(LEN(SUBSTITUTE(SUBSTITUTE(SUBSTITUTE(TRIM(A1658&amp;""),CHAR(160),"")," ",""),"년",""))=4,VALUE(SUBSTITUTE(SUBSTITUTE(SUBSTITUTE(TRIM(A1658&amp;""),CHAR(160),"")," ",""),"년",""))&gt;=1900,VALUE(SUBSTITUTE(SUBSTITUTE(SUBSTITUTE(TRIM(A1658&amp;""),CHAR(160),"")," ",""),"년",""))&lt;=2099,TEXT(VALUE(SUBSTITUTE(SUBSTITUTE(SUBSTITUTE(TRIM(A1658&amp;""),CHAR(160),"")," ",""),"년","")),"0000")=SUBSTITUTE(SUBSTITUTE(SUBSTITUTE(TRIM(A1658&amp;""),CHAR(160),"")," ",""),"년","")),SUBSTITUTE(SUBSTITUTE(SUBSTITUTE(TRIM(A1658&amp;""),CHAR(160),"")," ",""),"년",""),""),"")</f>
      </c>
      <c r="I1658" t="str">
        <f>SUBSTITUTE(SUBSTITUTE(SUBSTITUTE(SUBSTITUTE(SUBSTITUTE(TRIM(B1658&amp;""),CHAR(160),"")," ",""),"초등학교","초"),"중학교","중"),"고등학교","고")</f>
      </c>
    </row>
    <row r="1659" customFormat="false" ht="15" hidden="false" customHeight="false" outlineLevel="0" collapsed="false">
      <c r="A1659" s="8"/>
      <c r="B1659" s="8"/>
      <c r="C1659" s="8"/>
      <c r="D1659" s="8"/>
      <c r="E1659" s="8"/>
      <c r="F1659" t="str" s="15">
        <f aca="0">IF(B1659="","",IF(H1659="","확인필요(입력누락)",IF(SUMPRODUCT((실물목록!$P$2:$P$1001&lt;&gt;"")*ISNUMBER(SEARCH(실물목록!$P$2:$P$1001,I1659))*(실물목록!$Q$2:$Q$1001&lt;&gt;"")*ISNUMBER(SEARCH(실물목록!$Q$2:$Q$1001,I1659))*(실물목록!$R$2:$R$1001="")*(실물목록!$O$2:$O$1001&lt;&gt;"")*(실물목록!$O$2:$O$1001=H1659))&gt;0,"실물 있음",IF(SUMPRODUCT((실물목록!$P$2:$P$1001&lt;&gt;"")*ISNUMBER(SEARCH(실물목록!$P$2:$P$1001,I1659))*(실물목록!$R$2:$R$1001&lt;&gt;""))&gt;0,"확인필요(입력누락)",IF(SUMPRODUCT((실물목록!$P$2:$P$1001&lt;&gt;"")*ISNUMBER(SEARCH(실물목록!$P$2:$P$1001,I1659))*(실물목록!$Q$2:$Q$1001&lt;&gt;"")*ISNUMBER(SEARCH(실물목록!$Q$2:$Q$1001,I1659))*(실물목록!$R$2:$R$1001="")*(실물목록!$O$2:$O$1001&lt;&gt;""))&gt;0,"확인필요(연도다름)","실물 없음")))))</f>
      </c>
      <c r="G1659" t="n" s="16">
        <f aca="0">IF(B1659="","",SUMPRODUCT((실물목록!$P$2:$P$1001&lt;&gt;"")*ISNUMBER(SEARCH(실물목록!$P$2:$P$1001,I1659))*(실물목록!$Q$2:$Q$1001&lt;&gt;"")*ISNUMBER(SEARCH(실물목록!$Q$2:$Q$1001,I1659))*(실물목록!$R$2:$R$1001="")*(실물목록!$O$2:$O$1001&lt;&gt;"")*(실물목록!$O$2:$O$1001=H1659)))</f>
      </c>
      <c r="H1659" t="str">
        <f>IFERROR(IF(AND(LEN(SUBSTITUTE(SUBSTITUTE(SUBSTITUTE(TRIM(A1659&amp;""),CHAR(160),"")," ",""),"년",""))=4,VALUE(SUBSTITUTE(SUBSTITUTE(SUBSTITUTE(TRIM(A1659&amp;""),CHAR(160),"")," ",""),"년",""))&gt;=1900,VALUE(SUBSTITUTE(SUBSTITUTE(SUBSTITUTE(TRIM(A1659&amp;""),CHAR(160),"")," ",""),"년",""))&lt;=2099,TEXT(VALUE(SUBSTITUTE(SUBSTITUTE(SUBSTITUTE(TRIM(A1659&amp;""),CHAR(160),"")," ",""),"년","")),"0000")=SUBSTITUTE(SUBSTITUTE(SUBSTITUTE(TRIM(A1659&amp;""),CHAR(160),"")," ",""),"년","")),SUBSTITUTE(SUBSTITUTE(SUBSTITUTE(TRIM(A1659&amp;""),CHAR(160),"")," ",""),"년",""),""),"")</f>
      </c>
      <c r="I1659" t="str">
        <f>SUBSTITUTE(SUBSTITUTE(SUBSTITUTE(SUBSTITUTE(SUBSTITUTE(TRIM(B1659&amp;""),CHAR(160),"")," ",""),"초등학교","초"),"중학교","중"),"고등학교","고")</f>
      </c>
    </row>
    <row r="1660" customFormat="false" ht="15" hidden="false" customHeight="false" outlineLevel="0" collapsed="false">
      <c r="A1660" s="8"/>
      <c r="B1660" s="8"/>
      <c r="C1660" s="8"/>
      <c r="D1660" s="8"/>
      <c r="E1660" s="8"/>
      <c r="F1660" t="str" s="15">
        <f aca="0">IF(B1660="","",IF(H1660="","확인필요(입력누락)",IF(SUMPRODUCT((실물목록!$P$2:$P$1001&lt;&gt;"")*ISNUMBER(SEARCH(실물목록!$P$2:$P$1001,I1660))*(실물목록!$Q$2:$Q$1001&lt;&gt;"")*ISNUMBER(SEARCH(실물목록!$Q$2:$Q$1001,I1660))*(실물목록!$R$2:$R$1001="")*(실물목록!$O$2:$O$1001&lt;&gt;"")*(실물목록!$O$2:$O$1001=H1660))&gt;0,"실물 있음",IF(SUMPRODUCT((실물목록!$P$2:$P$1001&lt;&gt;"")*ISNUMBER(SEARCH(실물목록!$P$2:$P$1001,I1660))*(실물목록!$R$2:$R$1001&lt;&gt;""))&gt;0,"확인필요(입력누락)",IF(SUMPRODUCT((실물목록!$P$2:$P$1001&lt;&gt;"")*ISNUMBER(SEARCH(실물목록!$P$2:$P$1001,I1660))*(실물목록!$Q$2:$Q$1001&lt;&gt;"")*ISNUMBER(SEARCH(실물목록!$Q$2:$Q$1001,I1660))*(실물목록!$R$2:$R$1001="")*(실물목록!$O$2:$O$1001&lt;&gt;""))&gt;0,"확인필요(연도다름)","실물 없음")))))</f>
      </c>
      <c r="G1660" t="n" s="16">
        <f aca="0">IF(B1660="","",SUMPRODUCT((실물목록!$P$2:$P$1001&lt;&gt;"")*ISNUMBER(SEARCH(실물목록!$P$2:$P$1001,I1660))*(실물목록!$Q$2:$Q$1001&lt;&gt;"")*ISNUMBER(SEARCH(실물목록!$Q$2:$Q$1001,I1660))*(실물목록!$R$2:$R$1001="")*(실물목록!$O$2:$O$1001&lt;&gt;"")*(실물목록!$O$2:$O$1001=H1660)))</f>
      </c>
      <c r="H1660" t="str">
        <f>IFERROR(IF(AND(LEN(SUBSTITUTE(SUBSTITUTE(SUBSTITUTE(TRIM(A1660&amp;""),CHAR(160),"")," ",""),"년",""))=4,VALUE(SUBSTITUTE(SUBSTITUTE(SUBSTITUTE(TRIM(A1660&amp;""),CHAR(160),"")," ",""),"년",""))&gt;=1900,VALUE(SUBSTITUTE(SUBSTITUTE(SUBSTITUTE(TRIM(A1660&amp;""),CHAR(160),"")," ",""),"년",""))&lt;=2099,TEXT(VALUE(SUBSTITUTE(SUBSTITUTE(SUBSTITUTE(TRIM(A1660&amp;""),CHAR(160),"")," ",""),"년","")),"0000")=SUBSTITUTE(SUBSTITUTE(SUBSTITUTE(TRIM(A1660&amp;""),CHAR(160),"")," ",""),"년","")),SUBSTITUTE(SUBSTITUTE(SUBSTITUTE(TRIM(A1660&amp;""),CHAR(160),"")," ",""),"년",""),""),"")</f>
      </c>
      <c r="I1660" t="str">
        <f>SUBSTITUTE(SUBSTITUTE(SUBSTITUTE(SUBSTITUTE(SUBSTITUTE(TRIM(B1660&amp;""),CHAR(160),"")," ",""),"초등학교","초"),"중학교","중"),"고등학교","고")</f>
      </c>
    </row>
    <row r="1661" customFormat="false" ht="15" hidden="false" customHeight="false" outlineLevel="0" collapsed="false">
      <c r="A1661" s="8"/>
      <c r="B1661" s="8"/>
      <c r="C1661" s="8"/>
      <c r="D1661" s="8"/>
      <c r="E1661" s="8"/>
      <c r="F1661" t="str" s="15">
        <f aca="0">IF(B1661="","",IF(H1661="","확인필요(입력누락)",IF(SUMPRODUCT((실물목록!$P$2:$P$1001&lt;&gt;"")*ISNUMBER(SEARCH(실물목록!$P$2:$P$1001,I1661))*(실물목록!$Q$2:$Q$1001&lt;&gt;"")*ISNUMBER(SEARCH(실물목록!$Q$2:$Q$1001,I1661))*(실물목록!$R$2:$R$1001="")*(실물목록!$O$2:$O$1001&lt;&gt;"")*(실물목록!$O$2:$O$1001=H1661))&gt;0,"실물 있음",IF(SUMPRODUCT((실물목록!$P$2:$P$1001&lt;&gt;"")*ISNUMBER(SEARCH(실물목록!$P$2:$P$1001,I1661))*(실물목록!$R$2:$R$1001&lt;&gt;""))&gt;0,"확인필요(입력누락)",IF(SUMPRODUCT((실물목록!$P$2:$P$1001&lt;&gt;"")*ISNUMBER(SEARCH(실물목록!$P$2:$P$1001,I1661))*(실물목록!$Q$2:$Q$1001&lt;&gt;"")*ISNUMBER(SEARCH(실물목록!$Q$2:$Q$1001,I1661))*(실물목록!$R$2:$R$1001="")*(실물목록!$O$2:$O$1001&lt;&gt;""))&gt;0,"확인필요(연도다름)","실물 없음")))))</f>
      </c>
      <c r="G1661" t="n" s="16">
        <f aca="0">IF(B1661="","",SUMPRODUCT((실물목록!$P$2:$P$1001&lt;&gt;"")*ISNUMBER(SEARCH(실물목록!$P$2:$P$1001,I1661))*(실물목록!$Q$2:$Q$1001&lt;&gt;"")*ISNUMBER(SEARCH(실물목록!$Q$2:$Q$1001,I1661))*(실물목록!$R$2:$R$1001="")*(실물목록!$O$2:$O$1001&lt;&gt;"")*(실물목록!$O$2:$O$1001=H1661)))</f>
      </c>
      <c r="H1661" t="str">
        <f>IFERROR(IF(AND(LEN(SUBSTITUTE(SUBSTITUTE(SUBSTITUTE(TRIM(A1661&amp;""),CHAR(160),"")," ",""),"년",""))=4,VALUE(SUBSTITUTE(SUBSTITUTE(SUBSTITUTE(TRIM(A1661&amp;""),CHAR(160),"")," ",""),"년",""))&gt;=1900,VALUE(SUBSTITUTE(SUBSTITUTE(SUBSTITUTE(TRIM(A1661&amp;""),CHAR(160),"")," ",""),"년",""))&lt;=2099,TEXT(VALUE(SUBSTITUTE(SUBSTITUTE(SUBSTITUTE(TRIM(A1661&amp;""),CHAR(160),"")," ",""),"년","")),"0000")=SUBSTITUTE(SUBSTITUTE(SUBSTITUTE(TRIM(A1661&amp;""),CHAR(160),"")," ",""),"년","")),SUBSTITUTE(SUBSTITUTE(SUBSTITUTE(TRIM(A1661&amp;""),CHAR(160),"")," ",""),"년",""),""),"")</f>
      </c>
      <c r="I1661" t="str">
        <f>SUBSTITUTE(SUBSTITUTE(SUBSTITUTE(SUBSTITUTE(SUBSTITUTE(TRIM(B1661&amp;""),CHAR(160),"")," ",""),"초등학교","초"),"중학교","중"),"고등학교","고")</f>
      </c>
    </row>
    <row r="1662" customFormat="false" ht="15" hidden="false" customHeight="false" outlineLevel="0" collapsed="false">
      <c r="A1662" s="8"/>
      <c r="B1662" s="8"/>
      <c r="C1662" s="8"/>
      <c r="D1662" s="8"/>
      <c r="E1662" s="8"/>
      <c r="F1662" t="str" s="15">
        <f aca="0">IF(B1662="","",IF(H1662="","확인필요(입력누락)",IF(SUMPRODUCT((실물목록!$P$2:$P$1001&lt;&gt;"")*ISNUMBER(SEARCH(실물목록!$P$2:$P$1001,I1662))*(실물목록!$Q$2:$Q$1001&lt;&gt;"")*ISNUMBER(SEARCH(실물목록!$Q$2:$Q$1001,I1662))*(실물목록!$R$2:$R$1001="")*(실물목록!$O$2:$O$1001&lt;&gt;"")*(실물목록!$O$2:$O$1001=H1662))&gt;0,"실물 있음",IF(SUMPRODUCT((실물목록!$P$2:$P$1001&lt;&gt;"")*ISNUMBER(SEARCH(실물목록!$P$2:$P$1001,I1662))*(실물목록!$R$2:$R$1001&lt;&gt;""))&gt;0,"확인필요(입력누락)",IF(SUMPRODUCT((실물목록!$P$2:$P$1001&lt;&gt;"")*ISNUMBER(SEARCH(실물목록!$P$2:$P$1001,I1662))*(실물목록!$Q$2:$Q$1001&lt;&gt;"")*ISNUMBER(SEARCH(실물목록!$Q$2:$Q$1001,I1662))*(실물목록!$R$2:$R$1001="")*(실물목록!$O$2:$O$1001&lt;&gt;""))&gt;0,"확인필요(연도다름)","실물 없음")))))</f>
      </c>
      <c r="G1662" t="n" s="16">
        <f aca="0">IF(B1662="","",SUMPRODUCT((실물목록!$P$2:$P$1001&lt;&gt;"")*ISNUMBER(SEARCH(실물목록!$P$2:$P$1001,I1662))*(실물목록!$Q$2:$Q$1001&lt;&gt;"")*ISNUMBER(SEARCH(실물목록!$Q$2:$Q$1001,I1662))*(실물목록!$R$2:$R$1001="")*(실물목록!$O$2:$O$1001&lt;&gt;"")*(실물목록!$O$2:$O$1001=H1662)))</f>
      </c>
      <c r="H1662" t="str">
        <f>IFERROR(IF(AND(LEN(SUBSTITUTE(SUBSTITUTE(SUBSTITUTE(TRIM(A1662&amp;""),CHAR(160),"")," ",""),"년",""))=4,VALUE(SUBSTITUTE(SUBSTITUTE(SUBSTITUTE(TRIM(A1662&amp;""),CHAR(160),"")," ",""),"년",""))&gt;=1900,VALUE(SUBSTITUTE(SUBSTITUTE(SUBSTITUTE(TRIM(A1662&amp;""),CHAR(160),"")," ",""),"년",""))&lt;=2099,TEXT(VALUE(SUBSTITUTE(SUBSTITUTE(SUBSTITUTE(TRIM(A1662&amp;""),CHAR(160),"")," ",""),"년","")),"0000")=SUBSTITUTE(SUBSTITUTE(SUBSTITUTE(TRIM(A1662&amp;""),CHAR(160),"")," ",""),"년","")),SUBSTITUTE(SUBSTITUTE(SUBSTITUTE(TRIM(A1662&amp;""),CHAR(160),"")," ",""),"년",""),""),"")</f>
      </c>
      <c r="I1662" t="str">
        <f>SUBSTITUTE(SUBSTITUTE(SUBSTITUTE(SUBSTITUTE(SUBSTITUTE(TRIM(B1662&amp;""),CHAR(160),"")," ",""),"초등학교","초"),"중학교","중"),"고등학교","고")</f>
      </c>
    </row>
    <row r="1663" customFormat="false" ht="15" hidden="false" customHeight="false" outlineLevel="0" collapsed="false">
      <c r="A1663" s="8"/>
      <c r="B1663" s="8"/>
      <c r="C1663" s="8"/>
      <c r="D1663" s="8"/>
      <c r="E1663" s="8"/>
      <c r="F1663" t="str" s="15">
        <f aca="0">IF(B1663="","",IF(H1663="","확인필요(입력누락)",IF(SUMPRODUCT((실물목록!$P$2:$P$1001&lt;&gt;"")*ISNUMBER(SEARCH(실물목록!$P$2:$P$1001,I1663))*(실물목록!$Q$2:$Q$1001&lt;&gt;"")*ISNUMBER(SEARCH(실물목록!$Q$2:$Q$1001,I1663))*(실물목록!$R$2:$R$1001="")*(실물목록!$O$2:$O$1001&lt;&gt;"")*(실물목록!$O$2:$O$1001=H1663))&gt;0,"실물 있음",IF(SUMPRODUCT((실물목록!$P$2:$P$1001&lt;&gt;"")*ISNUMBER(SEARCH(실물목록!$P$2:$P$1001,I1663))*(실물목록!$R$2:$R$1001&lt;&gt;""))&gt;0,"확인필요(입력누락)",IF(SUMPRODUCT((실물목록!$P$2:$P$1001&lt;&gt;"")*ISNUMBER(SEARCH(실물목록!$P$2:$P$1001,I1663))*(실물목록!$Q$2:$Q$1001&lt;&gt;"")*ISNUMBER(SEARCH(실물목록!$Q$2:$Q$1001,I1663))*(실물목록!$R$2:$R$1001="")*(실물목록!$O$2:$O$1001&lt;&gt;""))&gt;0,"확인필요(연도다름)","실물 없음")))))</f>
      </c>
      <c r="G1663" t="n" s="16">
        <f aca="0">IF(B1663="","",SUMPRODUCT((실물목록!$P$2:$P$1001&lt;&gt;"")*ISNUMBER(SEARCH(실물목록!$P$2:$P$1001,I1663))*(실물목록!$Q$2:$Q$1001&lt;&gt;"")*ISNUMBER(SEARCH(실물목록!$Q$2:$Q$1001,I1663))*(실물목록!$R$2:$R$1001="")*(실물목록!$O$2:$O$1001&lt;&gt;"")*(실물목록!$O$2:$O$1001=H1663)))</f>
      </c>
      <c r="H1663" t="str">
        <f>IFERROR(IF(AND(LEN(SUBSTITUTE(SUBSTITUTE(SUBSTITUTE(TRIM(A1663&amp;""),CHAR(160),"")," ",""),"년",""))=4,VALUE(SUBSTITUTE(SUBSTITUTE(SUBSTITUTE(TRIM(A1663&amp;""),CHAR(160),"")," ",""),"년",""))&gt;=1900,VALUE(SUBSTITUTE(SUBSTITUTE(SUBSTITUTE(TRIM(A1663&amp;""),CHAR(160),"")," ",""),"년",""))&lt;=2099,TEXT(VALUE(SUBSTITUTE(SUBSTITUTE(SUBSTITUTE(TRIM(A1663&amp;""),CHAR(160),"")," ",""),"년","")),"0000")=SUBSTITUTE(SUBSTITUTE(SUBSTITUTE(TRIM(A1663&amp;""),CHAR(160),"")," ",""),"년","")),SUBSTITUTE(SUBSTITUTE(SUBSTITUTE(TRIM(A1663&amp;""),CHAR(160),"")," ",""),"년",""),""),"")</f>
      </c>
      <c r="I1663" t="str">
        <f>SUBSTITUTE(SUBSTITUTE(SUBSTITUTE(SUBSTITUTE(SUBSTITUTE(TRIM(B1663&amp;""),CHAR(160),"")," ",""),"초등학교","초"),"중학교","중"),"고등학교","고")</f>
      </c>
    </row>
    <row r="1664" customFormat="false" ht="15" hidden="false" customHeight="false" outlineLevel="0" collapsed="false">
      <c r="A1664" s="8"/>
      <c r="B1664" s="8"/>
      <c r="C1664" s="8"/>
      <c r="D1664" s="8"/>
      <c r="E1664" s="8"/>
      <c r="F1664" t="str" s="15">
        <f aca="0">IF(B1664="","",IF(H1664="","확인필요(입력누락)",IF(SUMPRODUCT((실물목록!$P$2:$P$1001&lt;&gt;"")*ISNUMBER(SEARCH(실물목록!$P$2:$P$1001,I1664))*(실물목록!$Q$2:$Q$1001&lt;&gt;"")*ISNUMBER(SEARCH(실물목록!$Q$2:$Q$1001,I1664))*(실물목록!$R$2:$R$1001="")*(실물목록!$O$2:$O$1001&lt;&gt;"")*(실물목록!$O$2:$O$1001=H1664))&gt;0,"실물 있음",IF(SUMPRODUCT((실물목록!$P$2:$P$1001&lt;&gt;"")*ISNUMBER(SEARCH(실물목록!$P$2:$P$1001,I1664))*(실물목록!$R$2:$R$1001&lt;&gt;""))&gt;0,"확인필요(입력누락)",IF(SUMPRODUCT((실물목록!$P$2:$P$1001&lt;&gt;"")*ISNUMBER(SEARCH(실물목록!$P$2:$P$1001,I1664))*(실물목록!$Q$2:$Q$1001&lt;&gt;"")*ISNUMBER(SEARCH(실물목록!$Q$2:$Q$1001,I1664))*(실물목록!$R$2:$R$1001="")*(실물목록!$O$2:$O$1001&lt;&gt;""))&gt;0,"확인필요(연도다름)","실물 없음")))))</f>
      </c>
      <c r="G1664" t="n" s="16">
        <f aca="0">IF(B1664="","",SUMPRODUCT((실물목록!$P$2:$P$1001&lt;&gt;"")*ISNUMBER(SEARCH(실물목록!$P$2:$P$1001,I1664))*(실물목록!$Q$2:$Q$1001&lt;&gt;"")*ISNUMBER(SEARCH(실물목록!$Q$2:$Q$1001,I1664))*(실물목록!$R$2:$R$1001="")*(실물목록!$O$2:$O$1001&lt;&gt;"")*(실물목록!$O$2:$O$1001=H1664)))</f>
      </c>
      <c r="H1664" t="str">
        <f>IFERROR(IF(AND(LEN(SUBSTITUTE(SUBSTITUTE(SUBSTITUTE(TRIM(A1664&amp;""),CHAR(160),"")," ",""),"년",""))=4,VALUE(SUBSTITUTE(SUBSTITUTE(SUBSTITUTE(TRIM(A1664&amp;""),CHAR(160),"")," ",""),"년",""))&gt;=1900,VALUE(SUBSTITUTE(SUBSTITUTE(SUBSTITUTE(TRIM(A1664&amp;""),CHAR(160),"")," ",""),"년",""))&lt;=2099,TEXT(VALUE(SUBSTITUTE(SUBSTITUTE(SUBSTITUTE(TRIM(A1664&amp;""),CHAR(160),"")," ",""),"년","")),"0000")=SUBSTITUTE(SUBSTITUTE(SUBSTITUTE(TRIM(A1664&amp;""),CHAR(160),"")," ",""),"년","")),SUBSTITUTE(SUBSTITUTE(SUBSTITUTE(TRIM(A1664&amp;""),CHAR(160),"")," ",""),"년",""),""),"")</f>
      </c>
      <c r="I1664" t="str">
        <f>SUBSTITUTE(SUBSTITUTE(SUBSTITUTE(SUBSTITUTE(SUBSTITUTE(TRIM(B1664&amp;""),CHAR(160),"")," ",""),"초등학교","초"),"중학교","중"),"고등학교","고")</f>
      </c>
    </row>
    <row r="1665" customFormat="false" ht="15" hidden="false" customHeight="false" outlineLevel="0" collapsed="false">
      <c r="A1665" s="8"/>
      <c r="B1665" s="8"/>
      <c r="C1665" s="8"/>
      <c r="D1665" s="8"/>
      <c r="E1665" s="8"/>
      <c r="F1665" t="str" s="15">
        <f aca="0">IF(B1665="","",IF(H1665="","확인필요(입력누락)",IF(SUMPRODUCT((실물목록!$P$2:$P$1001&lt;&gt;"")*ISNUMBER(SEARCH(실물목록!$P$2:$P$1001,I1665))*(실물목록!$Q$2:$Q$1001&lt;&gt;"")*ISNUMBER(SEARCH(실물목록!$Q$2:$Q$1001,I1665))*(실물목록!$R$2:$R$1001="")*(실물목록!$O$2:$O$1001&lt;&gt;"")*(실물목록!$O$2:$O$1001=H1665))&gt;0,"실물 있음",IF(SUMPRODUCT((실물목록!$P$2:$P$1001&lt;&gt;"")*ISNUMBER(SEARCH(실물목록!$P$2:$P$1001,I1665))*(실물목록!$R$2:$R$1001&lt;&gt;""))&gt;0,"확인필요(입력누락)",IF(SUMPRODUCT((실물목록!$P$2:$P$1001&lt;&gt;"")*ISNUMBER(SEARCH(실물목록!$P$2:$P$1001,I1665))*(실물목록!$Q$2:$Q$1001&lt;&gt;"")*ISNUMBER(SEARCH(실물목록!$Q$2:$Q$1001,I1665))*(실물목록!$R$2:$R$1001="")*(실물목록!$O$2:$O$1001&lt;&gt;""))&gt;0,"확인필요(연도다름)","실물 없음")))))</f>
      </c>
      <c r="G1665" t="n" s="16">
        <f aca="0">IF(B1665="","",SUMPRODUCT((실물목록!$P$2:$P$1001&lt;&gt;"")*ISNUMBER(SEARCH(실물목록!$P$2:$P$1001,I1665))*(실물목록!$Q$2:$Q$1001&lt;&gt;"")*ISNUMBER(SEARCH(실물목록!$Q$2:$Q$1001,I1665))*(실물목록!$R$2:$R$1001="")*(실물목록!$O$2:$O$1001&lt;&gt;"")*(실물목록!$O$2:$O$1001=H1665)))</f>
      </c>
      <c r="H1665" t="str">
        <f>IFERROR(IF(AND(LEN(SUBSTITUTE(SUBSTITUTE(SUBSTITUTE(TRIM(A1665&amp;""),CHAR(160),"")," ",""),"년",""))=4,VALUE(SUBSTITUTE(SUBSTITUTE(SUBSTITUTE(TRIM(A1665&amp;""),CHAR(160),"")," ",""),"년",""))&gt;=1900,VALUE(SUBSTITUTE(SUBSTITUTE(SUBSTITUTE(TRIM(A1665&amp;""),CHAR(160),"")," ",""),"년",""))&lt;=2099,TEXT(VALUE(SUBSTITUTE(SUBSTITUTE(SUBSTITUTE(TRIM(A1665&amp;""),CHAR(160),"")," ",""),"년","")),"0000")=SUBSTITUTE(SUBSTITUTE(SUBSTITUTE(TRIM(A1665&amp;""),CHAR(160),"")," ",""),"년","")),SUBSTITUTE(SUBSTITUTE(SUBSTITUTE(TRIM(A1665&amp;""),CHAR(160),"")," ",""),"년",""),""),"")</f>
      </c>
      <c r="I1665" t="str">
        <f>SUBSTITUTE(SUBSTITUTE(SUBSTITUTE(SUBSTITUTE(SUBSTITUTE(TRIM(B1665&amp;""),CHAR(160),"")," ",""),"초등학교","초"),"중학교","중"),"고등학교","고")</f>
      </c>
    </row>
    <row r="1666" customFormat="false" ht="15" hidden="false" customHeight="false" outlineLevel="0" collapsed="false">
      <c r="A1666" s="8"/>
      <c r="B1666" s="8"/>
      <c r="C1666" s="8"/>
      <c r="D1666" s="8"/>
      <c r="E1666" s="8"/>
      <c r="F1666" t="str" s="15">
        <f aca="0">IF(B1666="","",IF(H1666="","확인필요(입력누락)",IF(SUMPRODUCT((실물목록!$P$2:$P$1001&lt;&gt;"")*ISNUMBER(SEARCH(실물목록!$P$2:$P$1001,I1666))*(실물목록!$Q$2:$Q$1001&lt;&gt;"")*ISNUMBER(SEARCH(실물목록!$Q$2:$Q$1001,I1666))*(실물목록!$R$2:$R$1001="")*(실물목록!$O$2:$O$1001&lt;&gt;"")*(실물목록!$O$2:$O$1001=H1666))&gt;0,"실물 있음",IF(SUMPRODUCT((실물목록!$P$2:$P$1001&lt;&gt;"")*ISNUMBER(SEARCH(실물목록!$P$2:$P$1001,I1666))*(실물목록!$R$2:$R$1001&lt;&gt;""))&gt;0,"확인필요(입력누락)",IF(SUMPRODUCT((실물목록!$P$2:$P$1001&lt;&gt;"")*ISNUMBER(SEARCH(실물목록!$P$2:$P$1001,I1666))*(실물목록!$Q$2:$Q$1001&lt;&gt;"")*ISNUMBER(SEARCH(실물목록!$Q$2:$Q$1001,I1666))*(실물목록!$R$2:$R$1001="")*(실물목록!$O$2:$O$1001&lt;&gt;""))&gt;0,"확인필요(연도다름)","실물 없음")))))</f>
      </c>
      <c r="G1666" t="n" s="16">
        <f aca="0">IF(B1666="","",SUMPRODUCT((실물목록!$P$2:$P$1001&lt;&gt;"")*ISNUMBER(SEARCH(실물목록!$P$2:$P$1001,I1666))*(실물목록!$Q$2:$Q$1001&lt;&gt;"")*ISNUMBER(SEARCH(실물목록!$Q$2:$Q$1001,I1666))*(실물목록!$R$2:$R$1001="")*(실물목록!$O$2:$O$1001&lt;&gt;"")*(실물목록!$O$2:$O$1001=H1666)))</f>
      </c>
      <c r="H1666" t="str">
        <f>IFERROR(IF(AND(LEN(SUBSTITUTE(SUBSTITUTE(SUBSTITUTE(TRIM(A1666&amp;""),CHAR(160),"")," ",""),"년",""))=4,VALUE(SUBSTITUTE(SUBSTITUTE(SUBSTITUTE(TRIM(A1666&amp;""),CHAR(160),"")," ",""),"년",""))&gt;=1900,VALUE(SUBSTITUTE(SUBSTITUTE(SUBSTITUTE(TRIM(A1666&amp;""),CHAR(160),"")," ",""),"년",""))&lt;=2099,TEXT(VALUE(SUBSTITUTE(SUBSTITUTE(SUBSTITUTE(TRIM(A1666&amp;""),CHAR(160),"")," ",""),"년","")),"0000")=SUBSTITUTE(SUBSTITUTE(SUBSTITUTE(TRIM(A1666&amp;""),CHAR(160),"")," ",""),"년","")),SUBSTITUTE(SUBSTITUTE(SUBSTITUTE(TRIM(A1666&amp;""),CHAR(160),"")," ",""),"년",""),""),"")</f>
      </c>
      <c r="I1666" t="str">
        <f>SUBSTITUTE(SUBSTITUTE(SUBSTITUTE(SUBSTITUTE(SUBSTITUTE(TRIM(B1666&amp;""),CHAR(160),"")," ",""),"초등학교","초"),"중학교","중"),"고등학교","고")</f>
      </c>
    </row>
    <row r="1667" customFormat="false" ht="15" hidden="false" customHeight="false" outlineLevel="0" collapsed="false">
      <c r="A1667" s="8"/>
      <c r="B1667" s="8"/>
      <c r="C1667" s="8"/>
      <c r="D1667" s="8"/>
      <c r="E1667" s="8"/>
      <c r="F1667" t="str" s="15">
        <f aca="0">IF(B1667="","",IF(H1667="","확인필요(입력누락)",IF(SUMPRODUCT((실물목록!$P$2:$P$1001&lt;&gt;"")*ISNUMBER(SEARCH(실물목록!$P$2:$P$1001,I1667))*(실물목록!$Q$2:$Q$1001&lt;&gt;"")*ISNUMBER(SEARCH(실물목록!$Q$2:$Q$1001,I1667))*(실물목록!$R$2:$R$1001="")*(실물목록!$O$2:$O$1001&lt;&gt;"")*(실물목록!$O$2:$O$1001=H1667))&gt;0,"실물 있음",IF(SUMPRODUCT((실물목록!$P$2:$P$1001&lt;&gt;"")*ISNUMBER(SEARCH(실물목록!$P$2:$P$1001,I1667))*(실물목록!$R$2:$R$1001&lt;&gt;""))&gt;0,"확인필요(입력누락)",IF(SUMPRODUCT((실물목록!$P$2:$P$1001&lt;&gt;"")*ISNUMBER(SEARCH(실물목록!$P$2:$P$1001,I1667))*(실물목록!$Q$2:$Q$1001&lt;&gt;"")*ISNUMBER(SEARCH(실물목록!$Q$2:$Q$1001,I1667))*(실물목록!$R$2:$R$1001="")*(실물목록!$O$2:$O$1001&lt;&gt;""))&gt;0,"확인필요(연도다름)","실물 없음")))))</f>
      </c>
      <c r="G1667" t="n" s="16">
        <f aca="0">IF(B1667="","",SUMPRODUCT((실물목록!$P$2:$P$1001&lt;&gt;"")*ISNUMBER(SEARCH(실물목록!$P$2:$P$1001,I1667))*(실물목록!$Q$2:$Q$1001&lt;&gt;"")*ISNUMBER(SEARCH(실물목록!$Q$2:$Q$1001,I1667))*(실물목록!$R$2:$R$1001="")*(실물목록!$O$2:$O$1001&lt;&gt;"")*(실물목록!$O$2:$O$1001=H1667)))</f>
      </c>
      <c r="H1667" t="str">
        <f>IFERROR(IF(AND(LEN(SUBSTITUTE(SUBSTITUTE(SUBSTITUTE(TRIM(A1667&amp;""),CHAR(160),"")," ",""),"년",""))=4,VALUE(SUBSTITUTE(SUBSTITUTE(SUBSTITUTE(TRIM(A1667&amp;""),CHAR(160),"")," ",""),"년",""))&gt;=1900,VALUE(SUBSTITUTE(SUBSTITUTE(SUBSTITUTE(TRIM(A1667&amp;""),CHAR(160),"")," ",""),"년",""))&lt;=2099,TEXT(VALUE(SUBSTITUTE(SUBSTITUTE(SUBSTITUTE(TRIM(A1667&amp;""),CHAR(160),"")," ",""),"년","")),"0000")=SUBSTITUTE(SUBSTITUTE(SUBSTITUTE(TRIM(A1667&amp;""),CHAR(160),"")," ",""),"년","")),SUBSTITUTE(SUBSTITUTE(SUBSTITUTE(TRIM(A1667&amp;""),CHAR(160),"")," ",""),"년",""),""),"")</f>
      </c>
      <c r="I1667" t="str">
        <f>SUBSTITUTE(SUBSTITUTE(SUBSTITUTE(SUBSTITUTE(SUBSTITUTE(TRIM(B1667&amp;""),CHAR(160),"")," ",""),"초등학교","초"),"중학교","중"),"고등학교","고")</f>
      </c>
    </row>
    <row r="1668" customFormat="false" ht="15" hidden="false" customHeight="false" outlineLevel="0" collapsed="false">
      <c r="A1668" s="8"/>
      <c r="B1668" s="8"/>
      <c r="C1668" s="8"/>
      <c r="D1668" s="8"/>
      <c r="E1668" s="8"/>
      <c r="F1668" t="str" s="15">
        <f aca="0">IF(B1668="","",IF(H1668="","확인필요(입력누락)",IF(SUMPRODUCT((실물목록!$P$2:$P$1001&lt;&gt;"")*ISNUMBER(SEARCH(실물목록!$P$2:$P$1001,I1668))*(실물목록!$Q$2:$Q$1001&lt;&gt;"")*ISNUMBER(SEARCH(실물목록!$Q$2:$Q$1001,I1668))*(실물목록!$R$2:$R$1001="")*(실물목록!$O$2:$O$1001&lt;&gt;"")*(실물목록!$O$2:$O$1001=H1668))&gt;0,"실물 있음",IF(SUMPRODUCT((실물목록!$P$2:$P$1001&lt;&gt;"")*ISNUMBER(SEARCH(실물목록!$P$2:$P$1001,I1668))*(실물목록!$R$2:$R$1001&lt;&gt;""))&gt;0,"확인필요(입력누락)",IF(SUMPRODUCT((실물목록!$P$2:$P$1001&lt;&gt;"")*ISNUMBER(SEARCH(실물목록!$P$2:$P$1001,I1668))*(실물목록!$Q$2:$Q$1001&lt;&gt;"")*ISNUMBER(SEARCH(실물목록!$Q$2:$Q$1001,I1668))*(실물목록!$R$2:$R$1001="")*(실물목록!$O$2:$O$1001&lt;&gt;""))&gt;0,"확인필요(연도다름)","실물 없음")))))</f>
      </c>
      <c r="G1668" t="n" s="16">
        <f aca="0">IF(B1668="","",SUMPRODUCT((실물목록!$P$2:$P$1001&lt;&gt;"")*ISNUMBER(SEARCH(실물목록!$P$2:$P$1001,I1668))*(실물목록!$Q$2:$Q$1001&lt;&gt;"")*ISNUMBER(SEARCH(실물목록!$Q$2:$Q$1001,I1668))*(실물목록!$R$2:$R$1001="")*(실물목록!$O$2:$O$1001&lt;&gt;"")*(실물목록!$O$2:$O$1001=H1668)))</f>
      </c>
      <c r="H1668" t="str">
        <f>IFERROR(IF(AND(LEN(SUBSTITUTE(SUBSTITUTE(SUBSTITUTE(TRIM(A1668&amp;""),CHAR(160),"")," ",""),"년",""))=4,VALUE(SUBSTITUTE(SUBSTITUTE(SUBSTITUTE(TRIM(A1668&amp;""),CHAR(160),"")," ",""),"년",""))&gt;=1900,VALUE(SUBSTITUTE(SUBSTITUTE(SUBSTITUTE(TRIM(A1668&amp;""),CHAR(160),"")," ",""),"년",""))&lt;=2099,TEXT(VALUE(SUBSTITUTE(SUBSTITUTE(SUBSTITUTE(TRIM(A1668&amp;""),CHAR(160),"")," ",""),"년","")),"0000")=SUBSTITUTE(SUBSTITUTE(SUBSTITUTE(TRIM(A1668&amp;""),CHAR(160),"")," ",""),"년","")),SUBSTITUTE(SUBSTITUTE(SUBSTITUTE(TRIM(A1668&amp;""),CHAR(160),"")," ",""),"년",""),""),"")</f>
      </c>
      <c r="I1668" t="str">
        <f>SUBSTITUTE(SUBSTITUTE(SUBSTITUTE(SUBSTITUTE(SUBSTITUTE(TRIM(B1668&amp;""),CHAR(160),"")," ",""),"초등학교","초"),"중학교","중"),"고등학교","고")</f>
      </c>
    </row>
    <row r="1669" customFormat="false" ht="15" hidden="false" customHeight="false" outlineLevel="0" collapsed="false">
      <c r="A1669" s="8"/>
      <c r="B1669" s="8"/>
      <c r="C1669" s="8"/>
      <c r="D1669" s="8"/>
      <c r="E1669" s="8"/>
      <c r="F1669" t="str" s="15">
        <f aca="0">IF(B1669="","",IF(H1669="","확인필요(입력누락)",IF(SUMPRODUCT((실물목록!$P$2:$P$1001&lt;&gt;"")*ISNUMBER(SEARCH(실물목록!$P$2:$P$1001,I1669))*(실물목록!$Q$2:$Q$1001&lt;&gt;"")*ISNUMBER(SEARCH(실물목록!$Q$2:$Q$1001,I1669))*(실물목록!$R$2:$R$1001="")*(실물목록!$O$2:$O$1001&lt;&gt;"")*(실물목록!$O$2:$O$1001=H1669))&gt;0,"실물 있음",IF(SUMPRODUCT((실물목록!$P$2:$P$1001&lt;&gt;"")*ISNUMBER(SEARCH(실물목록!$P$2:$P$1001,I1669))*(실물목록!$R$2:$R$1001&lt;&gt;""))&gt;0,"확인필요(입력누락)",IF(SUMPRODUCT((실물목록!$P$2:$P$1001&lt;&gt;"")*ISNUMBER(SEARCH(실물목록!$P$2:$P$1001,I1669))*(실물목록!$Q$2:$Q$1001&lt;&gt;"")*ISNUMBER(SEARCH(실물목록!$Q$2:$Q$1001,I1669))*(실물목록!$R$2:$R$1001="")*(실물목록!$O$2:$O$1001&lt;&gt;""))&gt;0,"확인필요(연도다름)","실물 없음")))))</f>
      </c>
      <c r="G1669" t="n" s="16">
        <f aca="0">IF(B1669="","",SUMPRODUCT((실물목록!$P$2:$P$1001&lt;&gt;"")*ISNUMBER(SEARCH(실물목록!$P$2:$P$1001,I1669))*(실물목록!$Q$2:$Q$1001&lt;&gt;"")*ISNUMBER(SEARCH(실물목록!$Q$2:$Q$1001,I1669))*(실물목록!$R$2:$R$1001="")*(실물목록!$O$2:$O$1001&lt;&gt;"")*(실물목록!$O$2:$O$1001=H1669)))</f>
      </c>
      <c r="H1669" t="str">
        <f>IFERROR(IF(AND(LEN(SUBSTITUTE(SUBSTITUTE(SUBSTITUTE(TRIM(A1669&amp;""),CHAR(160),"")," ",""),"년",""))=4,VALUE(SUBSTITUTE(SUBSTITUTE(SUBSTITUTE(TRIM(A1669&amp;""),CHAR(160),"")," ",""),"년",""))&gt;=1900,VALUE(SUBSTITUTE(SUBSTITUTE(SUBSTITUTE(TRIM(A1669&amp;""),CHAR(160),"")," ",""),"년",""))&lt;=2099,TEXT(VALUE(SUBSTITUTE(SUBSTITUTE(SUBSTITUTE(TRIM(A1669&amp;""),CHAR(160),"")," ",""),"년","")),"0000")=SUBSTITUTE(SUBSTITUTE(SUBSTITUTE(TRIM(A1669&amp;""),CHAR(160),"")," ",""),"년","")),SUBSTITUTE(SUBSTITUTE(SUBSTITUTE(TRIM(A1669&amp;""),CHAR(160),"")," ",""),"년",""),""),"")</f>
      </c>
      <c r="I1669" t="str">
        <f>SUBSTITUTE(SUBSTITUTE(SUBSTITUTE(SUBSTITUTE(SUBSTITUTE(TRIM(B1669&amp;""),CHAR(160),"")," ",""),"초등학교","초"),"중학교","중"),"고등학교","고")</f>
      </c>
    </row>
    <row r="1670" customFormat="false" ht="15" hidden="false" customHeight="false" outlineLevel="0" collapsed="false">
      <c r="A1670" s="8"/>
      <c r="B1670" s="8"/>
      <c r="C1670" s="8"/>
      <c r="D1670" s="8"/>
      <c r="E1670" s="8"/>
      <c r="F1670" t="str" s="15">
        <f aca="0">IF(B1670="","",IF(H1670="","확인필요(입력누락)",IF(SUMPRODUCT((실물목록!$P$2:$P$1001&lt;&gt;"")*ISNUMBER(SEARCH(실물목록!$P$2:$P$1001,I1670))*(실물목록!$Q$2:$Q$1001&lt;&gt;"")*ISNUMBER(SEARCH(실물목록!$Q$2:$Q$1001,I1670))*(실물목록!$R$2:$R$1001="")*(실물목록!$O$2:$O$1001&lt;&gt;"")*(실물목록!$O$2:$O$1001=H1670))&gt;0,"실물 있음",IF(SUMPRODUCT((실물목록!$P$2:$P$1001&lt;&gt;"")*ISNUMBER(SEARCH(실물목록!$P$2:$P$1001,I1670))*(실물목록!$R$2:$R$1001&lt;&gt;""))&gt;0,"확인필요(입력누락)",IF(SUMPRODUCT((실물목록!$P$2:$P$1001&lt;&gt;"")*ISNUMBER(SEARCH(실물목록!$P$2:$P$1001,I1670))*(실물목록!$Q$2:$Q$1001&lt;&gt;"")*ISNUMBER(SEARCH(실물목록!$Q$2:$Q$1001,I1670))*(실물목록!$R$2:$R$1001="")*(실물목록!$O$2:$O$1001&lt;&gt;""))&gt;0,"확인필요(연도다름)","실물 없음")))))</f>
      </c>
      <c r="G1670" t="n" s="16">
        <f aca="0">IF(B1670="","",SUMPRODUCT((실물목록!$P$2:$P$1001&lt;&gt;"")*ISNUMBER(SEARCH(실물목록!$P$2:$P$1001,I1670))*(실물목록!$Q$2:$Q$1001&lt;&gt;"")*ISNUMBER(SEARCH(실물목록!$Q$2:$Q$1001,I1670))*(실물목록!$R$2:$R$1001="")*(실물목록!$O$2:$O$1001&lt;&gt;"")*(실물목록!$O$2:$O$1001=H1670)))</f>
      </c>
      <c r="H1670" t="str">
        <f>IFERROR(IF(AND(LEN(SUBSTITUTE(SUBSTITUTE(SUBSTITUTE(TRIM(A1670&amp;""),CHAR(160),"")," ",""),"년",""))=4,VALUE(SUBSTITUTE(SUBSTITUTE(SUBSTITUTE(TRIM(A1670&amp;""),CHAR(160),"")," ",""),"년",""))&gt;=1900,VALUE(SUBSTITUTE(SUBSTITUTE(SUBSTITUTE(TRIM(A1670&amp;""),CHAR(160),"")," ",""),"년",""))&lt;=2099,TEXT(VALUE(SUBSTITUTE(SUBSTITUTE(SUBSTITUTE(TRIM(A1670&amp;""),CHAR(160),"")," ",""),"년","")),"0000")=SUBSTITUTE(SUBSTITUTE(SUBSTITUTE(TRIM(A1670&amp;""),CHAR(160),"")," ",""),"년","")),SUBSTITUTE(SUBSTITUTE(SUBSTITUTE(TRIM(A1670&amp;""),CHAR(160),"")," ",""),"년",""),""),"")</f>
      </c>
      <c r="I1670" t="str">
        <f>SUBSTITUTE(SUBSTITUTE(SUBSTITUTE(SUBSTITUTE(SUBSTITUTE(TRIM(B1670&amp;""),CHAR(160),"")," ",""),"초등학교","초"),"중학교","중"),"고등학교","고")</f>
      </c>
    </row>
    <row r="1671" customFormat="false" ht="15" hidden="false" customHeight="false" outlineLevel="0" collapsed="false">
      <c r="A1671" s="8"/>
      <c r="B1671" s="8"/>
      <c r="C1671" s="8"/>
      <c r="D1671" s="8"/>
      <c r="E1671" s="8"/>
      <c r="F1671" t="str" s="15">
        <f aca="0">IF(B1671="","",IF(H1671="","확인필요(입력누락)",IF(SUMPRODUCT((실물목록!$P$2:$P$1001&lt;&gt;"")*ISNUMBER(SEARCH(실물목록!$P$2:$P$1001,I1671))*(실물목록!$Q$2:$Q$1001&lt;&gt;"")*ISNUMBER(SEARCH(실물목록!$Q$2:$Q$1001,I1671))*(실물목록!$R$2:$R$1001="")*(실물목록!$O$2:$O$1001&lt;&gt;"")*(실물목록!$O$2:$O$1001=H1671))&gt;0,"실물 있음",IF(SUMPRODUCT((실물목록!$P$2:$P$1001&lt;&gt;"")*ISNUMBER(SEARCH(실물목록!$P$2:$P$1001,I1671))*(실물목록!$R$2:$R$1001&lt;&gt;""))&gt;0,"확인필요(입력누락)",IF(SUMPRODUCT((실물목록!$P$2:$P$1001&lt;&gt;"")*ISNUMBER(SEARCH(실물목록!$P$2:$P$1001,I1671))*(실물목록!$Q$2:$Q$1001&lt;&gt;"")*ISNUMBER(SEARCH(실물목록!$Q$2:$Q$1001,I1671))*(실물목록!$R$2:$R$1001="")*(실물목록!$O$2:$O$1001&lt;&gt;""))&gt;0,"확인필요(연도다름)","실물 없음")))))</f>
      </c>
      <c r="G1671" t="n" s="16">
        <f aca="0">IF(B1671="","",SUMPRODUCT((실물목록!$P$2:$P$1001&lt;&gt;"")*ISNUMBER(SEARCH(실물목록!$P$2:$P$1001,I1671))*(실물목록!$Q$2:$Q$1001&lt;&gt;"")*ISNUMBER(SEARCH(실물목록!$Q$2:$Q$1001,I1671))*(실물목록!$R$2:$R$1001="")*(실물목록!$O$2:$O$1001&lt;&gt;"")*(실물목록!$O$2:$O$1001=H1671)))</f>
      </c>
      <c r="H1671" t="str">
        <f>IFERROR(IF(AND(LEN(SUBSTITUTE(SUBSTITUTE(SUBSTITUTE(TRIM(A1671&amp;""),CHAR(160),"")," ",""),"년",""))=4,VALUE(SUBSTITUTE(SUBSTITUTE(SUBSTITUTE(TRIM(A1671&amp;""),CHAR(160),"")," ",""),"년",""))&gt;=1900,VALUE(SUBSTITUTE(SUBSTITUTE(SUBSTITUTE(TRIM(A1671&amp;""),CHAR(160),"")," ",""),"년",""))&lt;=2099,TEXT(VALUE(SUBSTITUTE(SUBSTITUTE(SUBSTITUTE(TRIM(A1671&amp;""),CHAR(160),"")," ",""),"년","")),"0000")=SUBSTITUTE(SUBSTITUTE(SUBSTITUTE(TRIM(A1671&amp;""),CHAR(160),"")," ",""),"년","")),SUBSTITUTE(SUBSTITUTE(SUBSTITUTE(TRIM(A1671&amp;""),CHAR(160),"")," ",""),"년",""),""),"")</f>
      </c>
      <c r="I1671" t="str">
        <f>SUBSTITUTE(SUBSTITUTE(SUBSTITUTE(SUBSTITUTE(SUBSTITUTE(TRIM(B1671&amp;""),CHAR(160),"")," ",""),"초등학교","초"),"중학교","중"),"고등학교","고")</f>
      </c>
    </row>
    <row r="1672" customFormat="false" ht="15" hidden="false" customHeight="false" outlineLevel="0" collapsed="false">
      <c r="A1672" s="8"/>
      <c r="B1672" s="8"/>
      <c r="C1672" s="8"/>
      <c r="D1672" s="8"/>
      <c r="E1672" s="8"/>
      <c r="F1672" t="str" s="15">
        <f aca="0">IF(B1672="","",IF(H1672="","확인필요(입력누락)",IF(SUMPRODUCT((실물목록!$P$2:$P$1001&lt;&gt;"")*ISNUMBER(SEARCH(실물목록!$P$2:$P$1001,I1672))*(실물목록!$Q$2:$Q$1001&lt;&gt;"")*ISNUMBER(SEARCH(실물목록!$Q$2:$Q$1001,I1672))*(실물목록!$R$2:$R$1001="")*(실물목록!$O$2:$O$1001&lt;&gt;"")*(실물목록!$O$2:$O$1001=H1672))&gt;0,"실물 있음",IF(SUMPRODUCT((실물목록!$P$2:$P$1001&lt;&gt;"")*ISNUMBER(SEARCH(실물목록!$P$2:$P$1001,I1672))*(실물목록!$R$2:$R$1001&lt;&gt;""))&gt;0,"확인필요(입력누락)",IF(SUMPRODUCT((실물목록!$P$2:$P$1001&lt;&gt;"")*ISNUMBER(SEARCH(실물목록!$P$2:$P$1001,I1672))*(실물목록!$Q$2:$Q$1001&lt;&gt;"")*ISNUMBER(SEARCH(실물목록!$Q$2:$Q$1001,I1672))*(실물목록!$R$2:$R$1001="")*(실물목록!$O$2:$O$1001&lt;&gt;""))&gt;0,"확인필요(연도다름)","실물 없음")))))</f>
      </c>
      <c r="G1672" t="n" s="16">
        <f aca="0">IF(B1672="","",SUMPRODUCT((실물목록!$P$2:$P$1001&lt;&gt;"")*ISNUMBER(SEARCH(실물목록!$P$2:$P$1001,I1672))*(실물목록!$Q$2:$Q$1001&lt;&gt;"")*ISNUMBER(SEARCH(실물목록!$Q$2:$Q$1001,I1672))*(실물목록!$R$2:$R$1001="")*(실물목록!$O$2:$O$1001&lt;&gt;"")*(실물목록!$O$2:$O$1001=H1672)))</f>
      </c>
      <c r="H1672" t="str">
        <f>IFERROR(IF(AND(LEN(SUBSTITUTE(SUBSTITUTE(SUBSTITUTE(TRIM(A1672&amp;""),CHAR(160),"")," ",""),"년",""))=4,VALUE(SUBSTITUTE(SUBSTITUTE(SUBSTITUTE(TRIM(A1672&amp;""),CHAR(160),"")," ",""),"년",""))&gt;=1900,VALUE(SUBSTITUTE(SUBSTITUTE(SUBSTITUTE(TRIM(A1672&amp;""),CHAR(160),"")," ",""),"년",""))&lt;=2099,TEXT(VALUE(SUBSTITUTE(SUBSTITUTE(SUBSTITUTE(TRIM(A1672&amp;""),CHAR(160),"")," ",""),"년","")),"0000")=SUBSTITUTE(SUBSTITUTE(SUBSTITUTE(TRIM(A1672&amp;""),CHAR(160),"")," ",""),"년","")),SUBSTITUTE(SUBSTITUTE(SUBSTITUTE(TRIM(A1672&amp;""),CHAR(160),"")," ",""),"년",""),""),"")</f>
      </c>
      <c r="I1672" t="str">
        <f>SUBSTITUTE(SUBSTITUTE(SUBSTITUTE(SUBSTITUTE(SUBSTITUTE(TRIM(B1672&amp;""),CHAR(160),"")," ",""),"초등학교","초"),"중학교","중"),"고등학교","고")</f>
      </c>
    </row>
    <row r="1673" customFormat="false" ht="15" hidden="false" customHeight="false" outlineLevel="0" collapsed="false">
      <c r="A1673" s="8"/>
      <c r="B1673" s="8"/>
      <c r="C1673" s="8"/>
      <c r="D1673" s="8"/>
      <c r="E1673" s="8"/>
      <c r="F1673" t="str" s="15">
        <f aca="0">IF(B1673="","",IF(H1673="","확인필요(입력누락)",IF(SUMPRODUCT((실물목록!$P$2:$P$1001&lt;&gt;"")*ISNUMBER(SEARCH(실물목록!$P$2:$P$1001,I1673))*(실물목록!$Q$2:$Q$1001&lt;&gt;"")*ISNUMBER(SEARCH(실물목록!$Q$2:$Q$1001,I1673))*(실물목록!$R$2:$R$1001="")*(실물목록!$O$2:$O$1001&lt;&gt;"")*(실물목록!$O$2:$O$1001=H1673))&gt;0,"실물 있음",IF(SUMPRODUCT((실물목록!$P$2:$P$1001&lt;&gt;"")*ISNUMBER(SEARCH(실물목록!$P$2:$P$1001,I1673))*(실물목록!$R$2:$R$1001&lt;&gt;""))&gt;0,"확인필요(입력누락)",IF(SUMPRODUCT((실물목록!$P$2:$P$1001&lt;&gt;"")*ISNUMBER(SEARCH(실물목록!$P$2:$P$1001,I1673))*(실물목록!$Q$2:$Q$1001&lt;&gt;"")*ISNUMBER(SEARCH(실물목록!$Q$2:$Q$1001,I1673))*(실물목록!$R$2:$R$1001="")*(실물목록!$O$2:$O$1001&lt;&gt;""))&gt;0,"확인필요(연도다름)","실물 없음")))))</f>
      </c>
      <c r="G1673" t="n" s="16">
        <f aca="0">IF(B1673="","",SUMPRODUCT((실물목록!$P$2:$P$1001&lt;&gt;"")*ISNUMBER(SEARCH(실물목록!$P$2:$P$1001,I1673))*(실물목록!$Q$2:$Q$1001&lt;&gt;"")*ISNUMBER(SEARCH(실물목록!$Q$2:$Q$1001,I1673))*(실물목록!$R$2:$R$1001="")*(실물목록!$O$2:$O$1001&lt;&gt;"")*(실물목록!$O$2:$O$1001=H1673)))</f>
      </c>
      <c r="H1673" t="str">
        <f>IFERROR(IF(AND(LEN(SUBSTITUTE(SUBSTITUTE(SUBSTITUTE(TRIM(A1673&amp;""),CHAR(160),"")," ",""),"년",""))=4,VALUE(SUBSTITUTE(SUBSTITUTE(SUBSTITUTE(TRIM(A1673&amp;""),CHAR(160),"")," ",""),"년",""))&gt;=1900,VALUE(SUBSTITUTE(SUBSTITUTE(SUBSTITUTE(TRIM(A1673&amp;""),CHAR(160),"")," ",""),"년",""))&lt;=2099,TEXT(VALUE(SUBSTITUTE(SUBSTITUTE(SUBSTITUTE(TRIM(A1673&amp;""),CHAR(160),"")," ",""),"년","")),"0000")=SUBSTITUTE(SUBSTITUTE(SUBSTITUTE(TRIM(A1673&amp;""),CHAR(160),"")," ",""),"년","")),SUBSTITUTE(SUBSTITUTE(SUBSTITUTE(TRIM(A1673&amp;""),CHAR(160),"")," ",""),"년",""),""),"")</f>
      </c>
      <c r="I1673" t="str">
        <f>SUBSTITUTE(SUBSTITUTE(SUBSTITUTE(SUBSTITUTE(SUBSTITUTE(TRIM(B1673&amp;""),CHAR(160),"")," ",""),"초등학교","초"),"중학교","중"),"고등학교","고")</f>
      </c>
    </row>
    <row r="1674" customFormat="false" ht="15" hidden="false" customHeight="false" outlineLevel="0" collapsed="false">
      <c r="A1674" s="8"/>
      <c r="B1674" s="8"/>
      <c r="C1674" s="8"/>
      <c r="D1674" s="8"/>
      <c r="E1674" s="8"/>
      <c r="F1674" t="str" s="15">
        <f aca="0">IF(B1674="","",IF(H1674="","확인필요(입력누락)",IF(SUMPRODUCT((실물목록!$P$2:$P$1001&lt;&gt;"")*ISNUMBER(SEARCH(실물목록!$P$2:$P$1001,I1674))*(실물목록!$Q$2:$Q$1001&lt;&gt;"")*ISNUMBER(SEARCH(실물목록!$Q$2:$Q$1001,I1674))*(실물목록!$R$2:$R$1001="")*(실물목록!$O$2:$O$1001&lt;&gt;"")*(실물목록!$O$2:$O$1001=H1674))&gt;0,"실물 있음",IF(SUMPRODUCT((실물목록!$P$2:$P$1001&lt;&gt;"")*ISNUMBER(SEARCH(실물목록!$P$2:$P$1001,I1674))*(실물목록!$R$2:$R$1001&lt;&gt;""))&gt;0,"확인필요(입력누락)",IF(SUMPRODUCT((실물목록!$P$2:$P$1001&lt;&gt;"")*ISNUMBER(SEARCH(실물목록!$P$2:$P$1001,I1674))*(실물목록!$Q$2:$Q$1001&lt;&gt;"")*ISNUMBER(SEARCH(실물목록!$Q$2:$Q$1001,I1674))*(실물목록!$R$2:$R$1001="")*(실물목록!$O$2:$O$1001&lt;&gt;""))&gt;0,"확인필요(연도다름)","실물 없음")))))</f>
      </c>
      <c r="G1674" t="n" s="16">
        <f aca="0">IF(B1674="","",SUMPRODUCT((실물목록!$P$2:$P$1001&lt;&gt;"")*ISNUMBER(SEARCH(실물목록!$P$2:$P$1001,I1674))*(실물목록!$Q$2:$Q$1001&lt;&gt;"")*ISNUMBER(SEARCH(실물목록!$Q$2:$Q$1001,I1674))*(실물목록!$R$2:$R$1001="")*(실물목록!$O$2:$O$1001&lt;&gt;"")*(실물목록!$O$2:$O$1001=H1674)))</f>
      </c>
      <c r="H1674" t="str">
        <f>IFERROR(IF(AND(LEN(SUBSTITUTE(SUBSTITUTE(SUBSTITUTE(TRIM(A1674&amp;""),CHAR(160),"")," ",""),"년",""))=4,VALUE(SUBSTITUTE(SUBSTITUTE(SUBSTITUTE(TRIM(A1674&amp;""),CHAR(160),"")," ",""),"년",""))&gt;=1900,VALUE(SUBSTITUTE(SUBSTITUTE(SUBSTITUTE(TRIM(A1674&amp;""),CHAR(160),"")," ",""),"년",""))&lt;=2099,TEXT(VALUE(SUBSTITUTE(SUBSTITUTE(SUBSTITUTE(TRIM(A1674&amp;""),CHAR(160),"")," ",""),"년","")),"0000")=SUBSTITUTE(SUBSTITUTE(SUBSTITUTE(TRIM(A1674&amp;""),CHAR(160),"")," ",""),"년","")),SUBSTITUTE(SUBSTITUTE(SUBSTITUTE(TRIM(A1674&amp;""),CHAR(160),"")," ",""),"년",""),""),"")</f>
      </c>
      <c r="I1674" t="str">
        <f>SUBSTITUTE(SUBSTITUTE(SUBSTITUTE(SUBSTITUTE(SUBSTITUTE(TRIM(B1674&amp;""),CHAR(160),"")," ",""),"초등학교","초"),"중학교","중"),"고등학교","고")</f>
      </c>
    </row>
    <row r="1675" customFormat="false" ht="15" hidden="false" customHeight="false" outlineLevel="0" collapsed="false">
      <c r="A1675" s="8"/>
      <c r="B1675" s="8"/>
      <c r="C1675" s="8"/>
      <c r="D1675" s="8"/>
      <c r="E1675" s="8"/>
      <c r="F1675" t="str" s="15">
        <f aca="0">IF(B1675="","",IF(H1675="","확인필요(입력누락)",IF(SUMPRODUCT((실물목록!$P$2:$P$1001&lt;&gt;"")*ISNUMBER(SEARCH(실물목록!$P$2:$P$1001,I1675))*(실물목록!$Q$2:$Q$1001&lt;&gt;"")*ISNUMBER(SEARCH(실물목록!$Q$2:$Q$1001,I1675))*(실물목록!$R$2:$R$1001="")*(실물목록!$O$2:$O$1001&lt;&gt;"")*(실물목록!$O$2:$O$1001=H1675))&gt;0,"실물 있음",IF(SUMPRODUCT((실물목록!$P$2:$P$1001&lt;&gt;"")*ISNUMBER(SEARCH(실물목록!$P$2:$P$1001,I1675))*(실물목록!$R$2:$R$1001&lt;&gt;""))&gt;0,"확인필요(입력누락)",IF(SUMPRODUCT((실물목록!$P$2:$P$1001&lt;&gt;"")*ISNUMBER(SEARCH(실물목록!$P$2:$P$1001,I1675))*(실물목록!$Q$2:$Q$1001&lt;&gt;"")*ISNUMBER(SEARCH(실물목록!$Q$2:$Q$1001,I1675))*(실물목록!$R$2:$R$1001="")*(실물목록!$O$2:$O$1001&lt;&gt;""))&gt;0,"확인필요(연도다름)","실물 없음")))))</f>
      </c>
      <c r="G1675" t="n" s="16">
        <f aca="0">IF(B1675="","",SUMPRODUCT((실물목록!$P$2:$P$1001&lt;&gt;"")*ISNUMBER(SEARCH(실물목록!$P$2:$P$1001,I1675))*(실물목록!$Q$2:$Q$1001&lt;&gt;"")*ISNUMBER(SEARCH(실물목록!$Q$2:$Q$1001,I1675))*(실물목록!$R$2:$R$1001="")*(실물목록!$O$2:$O$1001&lt;&gt;"")*(실물목록!$O$2:$O$1001=H1675)))</f>
      </c>
      <c r="H1675" t="str">
        <f>IFERROR(IF(AND(LEN(SUBSTITUTE(SUBSTITUTE(SUBSTITUTE(TRIM(A1675&amp;""),CHAR(160),"")," ",""),"년",""))=4,VALUE(SUBSTITUTE(SUBSTITUTE(SUBSTITUTE(TRIM(A1675&amp;""),CHAR(160),"")," ",""),"년",""))&gt;=1900,VALUE(SUBSTITUTE(SUBSTITUTE(SUBSTITUTE(TRIM(A1675&amp;""),CHAR(160),"")," ",""),"년",""))&lt;=2099,TEXT(VALUE(SUBSTITUTE(SUBSTITUTE(SUBSTITUTE(TRIM(A1675&amp;""),CHAR(160),"")," ",""),"년","")),"0000")=SUBSTITUTE(SUBSTITUTE(SUBSTITUTE(TRIM(A1675&amp;""),CHAR(160),"")," ",""),"년","")),SUBSTITUTE(SUBSTITUTE(SUBSTITUTE(TRIM(A1675&amp;""),CHAR(160),"")," ",""),"년",""),""),"")</f>
      </c>
      <c r="I1675" t="str">
        <f>SUBSTITUTE(SUBSTITUTE(SUBSTITUTE(SUBSTITUTE(SUBSTITUTE(TRIM(B1675&amp;""),CHAR(160),"")," ",""),"초등학교","초"),"중학교","중"),"고등학교","고")</f>
      </c>
    </row>
    <row r="1676" customFormat="false" ht="15" hidden="false" customHeight="false" outlineLevel="0" collapsed="false">
      <c r="A1676" s="8"/>
      <c r="B1676" s="8"/>
      <c r="C1676" s="8"/>
      <c r="D1676" s="8"/>
      <c r="E1676" s="8"/>
      <c r="F1676" t="str" s="15">
        <f aca="0">IF(B1676="","",IF(H1676="","확인필요(입력누락)",IF(SUMPRODUCT((실물목록!$P$2:$P$1001&lt;&gt;"")*ISNUMBER(SEARCH(실물목록!$P$2:$P$1001,I1676))*(실물목록!$Q$2:$Q$1001&lt;&gt;"")*ISNUMBER(SEARCH(실물목록!$Q$2:$Q$1001,I1676))*(실물목록!$R$2:$R$1001="")*(실물목록!$O$2:$O$1001&lt;&gt;"")*(실물목록!$O$2:$O$1001=H1676))&gt;0,"실물 있음",IF(SUMPRODUCT((실물목록!$P$2:$P$1001&lt;&gt;"")*ISNUMBER(SEARCH(실물목록!$P$2:$P$1001,I1676))*(실물목록!$R$2:$R$1001&lt;&gt;""))&gt;0,"확인필요(입력누락)",IF(SUMPRODUCT((실물목록!$P$2:$P$1001&lt;&gt;"")*ISNUMBER(SEARCH(실물목록!$P$2:$P$1001,I1676))*(실물목록!$Q$2:$Q$1001&lt;&gt;"")*ISNUMBER(SEARCH(실물목록!$Q$2:$Q$1001,I1676))*(실물목록!$R$2:$R$1001="")*(실물목록!$O$2:$O$1001&lt;&gt;""))&gt;0,"확인필요(연도다름)","실물 없음")))))</f>
      </c>
      <c r="G1676" t="n" s="16">
        <f aca="0">IF(B1676="","",SUMPRODUCT((실물목록!$P$2:$P$1001&lt;&gt;"")*ISNUMBER(SEARCH(실물목록!$P$2:$P$1001,I1676))*(실물목록!$Q$2:$Q$1001&lt;&gt;"")*ISNUMBER(SEARCH(실물목록!$Q$2:$Q$1001,I1676))*(실물목록!$R$2:$R$1001="")*(실물목록!$O$2:$O$1001&lt;&gt;"")*(실물목록!$O$2:$O$1001=H1676)))</f>
      </c>
      <c r="H1676" t="str">
        <f>IFERROR(IF(AND(LEN(SUBSTITUTE(SUBSTITUTE(SUBSTITUTE(TRIM(A1676&amp;""),CHAR(160),"")," ",""),"년",""))=4,VALUE(SUBSTITUTE(SUBSTITUTE(SUBSTITUTE(TRIM(A1676&amp;""),CHAR(160),"")," ",""),"년",""))&gt;=1900,VALUE(SUBSTITUTE(SUBSTITUTE(SUBSTITUTE(TRIM(A1676&amp;""),CHAR(160),"")," ",""),"년",""))&lt;=2099,TEXT(VALUE(SUBSTITUTE(SUBSTITUTE(SUBSTITUTE(TRIM(A1676&amp;""),CHAR(160),"")," ",""),"년","")),"0000")=SUBSTITUTE(SUBSTITUTE(SUBSTITUTE(TRIM(A1676&amp;""),CHAR(160),"")," ",""),"년","")),SUBSTITUTE(SUBSTITUTE(SUBSTITUTE(TRIM(A1676&amp;""),CHAR(160),"")," ",""),"년",""),""),"")</f>
      </c>
      <c r="I1676" t="str">
        <f>SUBSTITUTE(SUBSTITUTE(SUBSTITUTE(SUBSTITUTE(SUBSTITUTE(TRIM(B1676&amp;""),CHAR(160),"")," ",""),"초등학교","초"),"중학교","중"),"고등학교","고")</f>
      </c>
    </row>
    <row r="1677" customFormat="false" ht="15" hidden="false" customHeight="false" outlineLevel="0" collapsed="false">
      <c r="A1677" s="8"/>
      <c r="B1677" s="8"/>
      <c r="C1677" s="8"/>
      <c r="D1677" s="8"/>
      <c r="E1677" s="8"/>
      <c r="F1677" t="str" s="15">
        <f aca="0">IF(B1677="","",IF(H1677="","확인필요(입력누락)",IF(SUMPRODUCT((실물목록!$P$2:$P$1001&lt;&gt;"")*ISNUMBER(SEARCH(실물목록!$P$2:$P$1001,I1677))*(실물목록!$Q$2:$Q$1001&lt;&gt;"")*ISNUMBER(SEARCH(실물목록!$Q$2:$Q$1001,I1677))*(실물목록!$R$2:$R$1001="")*(실물목록!$O$2:$O$1001&lt;&gt;"")*(실물목록!$O$2:$O$1001=H1677))&gt;0,"실물 있음",IF(SUMPRODUCT((실물목록!$P$2:$P$1001&lt;&gt;"")*ISNUMBER(SEARCH(실물목록!$P$2:$P$1001,I1677))*(실물목록!$R$2:$R$1001&lt;&gt;""))&gt;0,"확인필요(입력누락)",IF(SUMPRODUCT((실물목록!$P$2:$P$1001&lt;&gt;"")*ISNUMBER(SEARCH(실물목록!$P$2:$P$1001,I1677))*(실물목록!$Q$2:$Q$1001&lt;&gt;"")*ISNUMBER(SEARCH(실물목록!$Q$2:$Q$1001,I1677))*(실물목록!$R$2:$R$1001="")*(실물목록!$O$2:$O$1001&lt;&gt;""))&gt;0,"확인필요(연도다름)","실물 없음")))))</f>
      </c>
      <c r="G1677" t="n" s="16">
        <f aca="0">IF(B1677="","",SUMPRODUCT((실물목록!$P$2:$P$1001&lt;&gt;"")*ISNUMBER(SEARCH(실물목록!$P$2:$P$1001,I1677))*(실물목록!$Q$2:$Q$1001&lt;&gt;"")*ISNUMBER(SEARCH(실물목록!$Q$2:$Q$1001,I1677))*(실물목록!$R$2:$R$1001="")*(실물목록!$O$2:$O$1001&lt;&gt;"")*(실물목록!$O$2:$O$1001=H1677)))</f>
      </c>
      <c r="H1677" t="str">
        <f>IFERROR(IF(AND(LEN(SUBSTITUTE(SUBSTITUTE(SUBSTITUTE(TRIM(A1677&amp;""),CHAR(160),"")," ",""),"년",""))=4,VALUE(SUBSTITUTE(SUBSTITUTE(SUBSTITUTE(TRIM(A1677&amp;""),CHAR(160),"")," ",""),"년",""))&gt;=1900,VALUE(SUBSTITUTE(SUBSTITUTE(SUBSTITUTE(TRIM(A1677&amp;""),CHAR(160),"")," ",""),"년",""))&lt;=2099,TEXT(VALUE(SUBSTITUTE(SUBSTITUTE(SUBSTITUTE(TRIM(A1677&amp;""),CHAR(160),"")," ",""),"년","")),"0000")=SUBSTITUTE(SUBSTITUTE(SUBSTITUTE(TRIM(A1677&amp;""),CHAR(160),"")," ",""),"년","")),SUBSTITUTE(SUBSTITUTE(SUBSTITUTE(TRIM(A1677&amp;""),CHAR(160),"")," ",""),"년",""),""),"")</f>
      </c>
      <c r="I1677" t="str">
        <f>SUBSTITUTE(SUBSTITUTE(SUBSTITUTE(SUBSTITUTE(SUBSTITUTE(TRIM(B1677&amp;""),CHAR(160),"")," ",""),"초등학교","초"),"중학교","중"),"고등학교","고")</f>
      </c>
    </row>
    <row r="1678" customFormat="false" ht="15" hidden="false" customHeight="false" outlineLevel="0" collapsed="false">
      <c r="A1678" s="8"/>
      <c r="B1678" s="8"/>
      <c r="C1678" s="8"/>
      <c r="D1678" s="8"/>
      <c r="E1678" s="8"/>
      <c r="F1678" t="str" s="15">
        <f aca="0">IF(B1678="","",IF(H1678="","확인필요(입력누락)",IF(SUMPRODUCT((실물목록!$P$2:$P$1001&lt;&gt;"")*ISNUMBER(SEARCH(실물목록!$P$2:$P$1001,I1678))*(실물목록!$Q$2:$Q$1001&lt;&gt;"")*ISNUMBER(SEARCH(실물목록!$Q$2:$Q$1001,I1678))*(실물목록!$R$2:$R$1001="")*(실물목록!$O$2:$O$1001&lt;&gt;"")*(실물목록!$O$2:$O$1001=H1678))&gt;0,"실물 있음",IF(SUMPRODUCT((실물목록!$P$2:$P$1001&lt;&gt;"")*ISNUMBER(SEARCH(실물목록!$P$2:$P$1001,I1678))*(실물목록!$R$2:$R$1001&lt;&gt;""))&gt;0,"확인필요(입력누락)",IF(SUMPRODUCT((실물목록!$P$2:$P$1001&lt;&gt;"")*ISNUMBER(SEARCH(실물목록!$P$2:$P$1001,I1678))*(실물목록!$Q$2:$Q$1001&lt;&gt;"")*ISNUMBER(SEARCH(실물목록!$Q$2:$Q$1001,I1678))*(실물목록!$R$2:$R$1001="")*(실물목록!$O$2:$O$1001&lt;&gt;""))&gt;0,"확인필요(연도다름)","실물 없음")))))</f>
      </c>
      <c r="G1678" t="n" s="16">
        <f aca="0">IF(B1678="","",SUMPRODUCT((실물목록!$P$2:$P$1001&lt;&gt;"")*ISNUMBER(SEARCH(실물목록!$P$2:$P$1001,I1678))*(실물목록!$Q$2:$Q$1001&lt;&gt;"")*ISNUMBER(SEARCH(실물목록!$Q$2:$Q$1001,I1678))*(실물목록!$R$2:$R$1001="")*(실물목록!$O$2:$O$1001&lt;&gt;"")*(실물목록!$O$2:$O$1001=H1678)))</f>
      </c>
      <c r="H1678" t="str">
        <f>IFERROR(IF(AND(LEN(SUBSTITUTE(SUBSTITUTE(SUBSTITUTE(TRIM(A1678&amp;""),CHAR(160),"")," ",""),"년",""))=4,VALUE(SUBSTITUTE(SUBSTITUTE(SUBSTITUTE(TRIM(A1678&amp;""),CHAR(160),"")," ",""),"년",""))&gt;=1900,VALUE(SUBSTITUTE(SUBSTITUTE(SUBSTITUTE(TRIM(A1678&amp;""),CHAR(160),"")," ",""),"년",""))&lt;=2099,TEXT(VALUE(SUBSTITUTE(SUBSTITUTE(SUBSTITUTE(TRIM(A1678&amp;""),CHAR(160),"")," ",""),"년","")),"0000")=SUBSTITUTE(SUBSTITUTE(SUBSTITUTE(TRIM(A1678&amp;""),CHAR(160),"")," ",""),"년","")),SUBSTITUTE(SUBSTITUTE(SUBSTITUTE(TRIM(A1678&amp;""),CHAR(160),"")," ",""),"년",""),""),"")</f>
      </c>
      <c r="I1678" t="str">
        <f>SUBSTITUTE(SUBSTITUTE(SUBSTITUTE(SUBSTITUTE(SUBSTITUTE(TRIM(B1678&amp;""),CHAR(160),"")," ",""),"초등학교","초"),"중학교","중"),"고등학교","고")</f>
      </c>
    </row>
    <row r="1679" customFormat="false" ht="15" hidden="false" customHeight="false" outlineLevel="0" collapsed="false">
      <c r="A1679" s="8"/>
      <c r="B1679" s="8"/>
      <c r="C1679" s="8"/>
      <c r="D1679" s="8"/>
      <c r="E1679" s="8"/>
      <c r="F1679" t="str" s="15">
        <f aca="0">IF(B1679="","",IF(H1679="","확인필요(입력누락)",IF(SUMPRODUCT((실물목록!$P$2:$P$1001&lt;&gt;"")*ISNUMBER(SEARCH(실물목록!$P$2:$P$1001,I1679))*(실물목록!$Q$2:$Q$1001&lt;&gt;"")*ISNUMBER(SEARCH(실물목록!$Q$2:$Q$1001,I1679))*(실물목록!$R$2:$R$1001="")*(실물목록!$O$2:$O$1001&lt;&gt;"")*(실물목록!$O$2:$O$1001=H1679))&gt;0,"실물 있음",IF(SUMPRODUCT((실물목록!$P$2:$P$1001&lt;&gt;"")*ISNUMBER(SEARCH(실물목록!$P$2:$P$1001,I1679))*(실물목록!$R$2:$R$1001&lt;&gt;""))&gt;0,"확인필요(입력누락)",IF(SUMPRODUCT((실물목록!$P$2:$P$1001&lt;&gt;"")*ISNUMBER(SEARCH(실물목록!$P$2:$P$1001,I1679))*(실물목록!$Q$2:$Q$1001&lt;&gt;"")*ISNUMBER(SEARCH(실물목록!$Q$2:$Q$1001,I1679))*(실물목록!$R$2:$R$1001="")*(실물목록!$O$2:$O$1001&lt;&gt;""))&gt;0,"확인필요(연도다름)","실물 없음")))))</f>
      </c>
      <c r="G1679" t="n" s="16">
        <f aca="0">IF(B1679="","",SUMPRODUCT((실물목록!$P$2:$P$1001&lt;&gt;"")*ISNUMBER(SEARCH(실물목록!$P$2:$P$1001,I1679))*(실물목록!$Q$2:$Q$1001&lt;&gt;"")*ISNUMBER(SEARCH(실물목록!$Q$2:$Q$1001,I1679))*(실물목록!$R$2:$R$1001="")*(실물목록!$O$2:$O$1001&lt;&gt;"")*(실물목록!$O$2:$O$1001=H1679)))</f>
      </c>
      <c r="H1679" t="str">
        <f>IFERROR(IF(AND(LEN(SUBSTITUTE(SUBSTITUTE(SUBSTITUTE(TRIM(A1679&amp;""),CHAR(160),"")," ",""),"년",""))=4,VALUE(SUBSTITUTE(SUBSTITUTE(SUBSTITUTE(TRIM(A1679&amp;""),CHAR(160),"")," ",""),"년",""))&gt;=1900,VALUE(SUBSTITUTE(SUBSTITUTE(SUBSTITUTE(TRIM(A1679&amp;""),CHAR(160),"")," ",""),"년",""))&lt;=2099,TEXT(VALUE(SUBSTITUTE(SUBSTITUTE(SUBSTITUTE(TRIM(A1679&amp;""),CHAR(160),"")," ",""),"년","")),"0000")=SUBSTITUTE(SUBSTITUTE(SUBSTITUTE(TRIM(A1679&amp;""),CHAR(160),"")," ",""),"년","")),SUBSTITUTE(SUBSTITUTE(SUBSTITUTE(TRIM(A1679&amp;""),CHAR(160),"")," ",""),"년",""),""),"")</f>
      </c>
      <c r="I1679" t="str">
        <f>SUBSTITUTE(SUBSTITUTE(SUBSTITUTE(SUBSTITUTE(SUBSTITUTE(TRIM(B1679&amp;""),CHAR(160),"")," ",""),"초등학교","초"),"중학교","중"),"고등학교","고")</f>
      </c>
    </row>
    <row r="1680" customFormat="false" ht="15" hidden="false" customHeight="false" outlineLevel="0" collapsed="false">
      <c r="A1680" s="8"/>
      <c r="B1680" s="8"/>
      <c r="C1680" s="8"/>
      <c r="D1680" s="8"/>
      <c r="E1680" s="8"/>
      <c r="F1680" t="str" s="15">
        <f aca="0">IF(B1680="","",IF(H1680="","확인필요(입력누락)",IF(SUMPRODUCT((실물목록!$P$2:$P$1001&lt;&gt;"")*ISNUMBER(SEARCH(실물목록!$P$2:$P$1001,I1680))*(실물목록!$Q$2:$Q$1001&lt;&gt;"")*ISNUMBER(SEARCH(실물목록!$Q$2:$Q$1001,I1680))*(실물목록!$R$2:$R$1001="")*(실물목록!$O$2:$O$1001&lt;&gt;"")*(실물목록!$O$2:$O$1001=H1680))&gt;0,"실물 있음",IF(SUMPRODUCT((실물목록!$P$2:$P$1001&lt;&gt;"")*ISNUMBER(SEARCH(실물목록!$P$2:$P$1001,I1680))*(실물목록!$R$2:$R$1001&lt;&gt;""))&gt;0,"확인필요(입력누락)",IF(SUMPRODUCT((실물목록!$P$2:$P$1001&lt;&gt;"")*ISNUMBER(SEARCH(실물목록!$P$2:$P$1001,I1680))*(실물목록!$Q$2:$Q$1001&lt;&gt;"")*ISNUMBER(SEARCH(실물목록!$Q$2:$Q$1001,I1680))*(실물목록!$R$2:$R$1001="")*(실물목록!$O$2:$O$1001&lt;&gt;""))&gt;0,"확인필요(연도다름)","실물 없음")))))</f>
      </c>
      <c r="G1680" t="n" s="16">
        <f aca="0">IF(B1680="","",SUMPRODUCT((실물목록!$P$2:$P$1001&lt;&gt;"")*ISNUMBER(SEARCH(실물목록!$P$2:$P$1001,I1680))*(실물목록!$Q$2:$Q$1001&lt;&gt;"")*ISNUMBER(SEARCH(실물목록!$Q$2:$Q$1001,I1680))*(실물목록!$R$2:$R$1001="")*(실물목록!$O$2:$O$1001&lt;&gt;"")*(실물목록!$O$2:$O$1001=H1680)))</f>
      </c>
      <c r="H1680" t="str">
        <f>IFERROR(IF(AND(LEN(SUBSTITUTE(SUBSTITUTE(SUBSTITUTE(TRIM(A1680&amp;""),CHAR(160),"")," ",""),"년",""))=4,VALUE(SUBSTITUTE(SUBSTITUTE(SUBSTITUTE(TRIM(A1680&amp;""),CHAR(160),"")," ",""),"년",""))&gt;=1900,VALUE(SUBSTITUTE(SUBSTITUTE(SUBSTITUTE(TRIM(A1680&amp;""),CHAR(160),"")," ",""),"년",""))&lt;=2099,TEXT(VALUE(SUBSTITUTE(SUBSTITUTE(SUBSTITUTE(TRIM(A1680&amp;""),CHAR(160),"")," ",""),"년","")),"0000")=SUBSTITUTE(SUBSTITUTE(SUBSTITUTE(TRIM(A1680&amp;""),CHAR(160),"")," ",""),"년","")),SUBSTITUTE(SUBSTITUTE(SUBSTITUTE(TRIM(A1680&amp;""),CHAR(160),"")," ",""),"년",""),""),"")</f>
      </c>
      <c r="I1680" t="str">
        <f>SUBSTITUTE(SUBSTITUTE(SUBSTITUTE(SUBSTITUTE(SUBSTITUTE(TRIM(B1680&amp;""),CHAR(160),"")," ",""),"초등학교","초"),"중학교","중"),"고등학교","고")</f>
      </c>
    </row>
    <row r="1681" customFormat="false" ht="15" hidden="false" customHeight="false" outlineLevel="0" collapsed="false">
      <c r="A1681" s="8"/>
      <c r="B1681" s="8"/>
      <c r="C1681" s="8"/>
      <c r="D1681" s="8"/>
      <c r="E1681" s="8"/>
      <c r="F1681" t="str" s="15">
        <f aca="0">IF(B1681="","",IF(H1681="","확인필요(입력누락)",IF(SUMPRODUCT((실물목록!$P$2:$P$1001&lt;&gt;"")*ISNUMBER(SEARCH(실물목록!$P$2:$P$1001,I1681))*(실물목록!$Q$2:$Q$1001&lt;&gt;"")*ISNUMBER(SEARCH(실물목록!$Q$2:$Q$1001,I1681))*(실물목록!$R$2:$R$1001="")*(실물목록!$O$2:$O$1001&lt;&gt;"")*(실물목록!$O$2:$O$1001=H1681))&gt;0,"실물 있음",IF(SUMPRODUCT((실물목록!$P$2:$P$1001&lt;&gt;"")*ISNUMBER(SEARCH(실물목록!$P$2:$P$1001,I1681))*(실물목록!$R$2:$R$1001&lt;&gt;""))&gt;0,"확인필요(입력누락)",IF(SUMPRODUCT((실물목록!$P$2:$P$1001&lt;&gt;"")*ISNUMBER(SEARCH(실물목록!$P$2:$P$1001,I1681))*(실물목록!$Q$2:$Q$1001&lt;&gt;"")*ISNUMBER(SEARCH(실물목록!$Q$2:$Q$1001,I1681))*(실물목록!$R$2:$R$1001="")*(실물목록!$O$2:$O$1001&lt;&gt;""))&gt;0,"확인필요(연도다름)","실물 없음")))))</f>
      </c>
      <c r="G1681" t="n" s="16">
        <f aca="0">IF(B1681="","",SUMPRODUCT((실물목록!$P$2:$P$1001&lt;&gt;"")*ISNUMBER(SEARCH(실물목록!$P$2:$P$1001,I1681))*(실물목록!$Q$2:$Q$1001&lt;&gt;"")*ISNUMBER(SEARCH(실물목록!$Q$2:$Q$1001,I1681))*(실물목록!$R$2:$R$1001="")*(실물목록!$O$2:$O$1001&lt;&gt;"")*(실물목록!$O$2:$O$1001=H1681)))</f>
      </c>
      <c r="H1681" t="str">
        <f>IFERROR(IF(AND(LEN(SUBSTITUTE(SUBSTITUTE(SUBSTITUTE(TRIM(A1681&amp;""),CHAR(160),"")," ",""),"년",""))=4,VALUE(SUBSTITUTE(SUBSTITUTE(SUBSTITUTE(TRIM(A1681&amp;""),CHAR(160),"")," ",""),"년",""))&gt;=1900,VALUE(SUBSTITUTE(SUBSTITUTE(SUBSTITUTE(TRIM(A1681&amp;""),CHAR(160),"")," ",""),"년",""))&lt;=2099,TEXT(VALUE(SUBSTITUTE(SUBSTITUTE(SUBSTITUTE(TRIM(A1681&amp;""),CHAR(160),"")," ",""),"년","")),"0000")=SUBSTITUTE(SUBSTITUTE(SUBSTITUTE(TRIM(A1681&amp;""),CHAR(160),"")," ",""),"년","")),SUBSTITUTE(SUBSTITUTE(SUBSTITUTE(TRIM(A1681&amp;""),CHAR(160),"")," ",""),"년",""),""),"")</f>
      </c>
      <c r="I1681" t="str">
        <f>SUBSTITUTE(SUBSTITUTE(SUBSTITUTE(SUBSTITUTE(SUBSTITUTE(TRIM(B1681&amp;""),CHAR(160),"")," ",""),"초등학교","초"),"중학교","중"),"고등학교","고")</f>
      </c>
    </row>
    <row r="1682" customFormat="false" ht="15" hidden="false" customHeight="false" outlineLevel="0" collapsed="false">
      <c r="A1682" s="8"/>
      <c r="B1682" s="8"/>
      <c r="C1682" s="8"/>
      <c r="D1682" s="8"/>
      <c r="E1682" s="8"/>
      <c r="F1682" t="str" s="15">
        <f aca="0">IF(B1682="","",IF(H1682="","확인필요(입력누락)",IF(SUMPRODUCT((실물목록!$P$2:$P$1001&lt;&gt;"")*ISNUMBER(SEARCH(실물목록!$P$2:$P$1001,I1682))*(실물목록!$Q$2:$Q$1001&lt;&gt;"")*ISNUMBER(SEARCH(실물목록!$Q$2:$Q$1001,I1682))*(실물목록!$R$2:$R$1001="")*(실물목록!$O$2:$O$1001&lt;&gt;"")*(실물목록!$O$2:$O$1001=H1682))&gt;0,"실물 있음",IF(SUMPRODUCT((실물목록!$P$2:$P$1001&lt;&gt;"")*ISNUMBER(SEARCH(실물목록!$P$2:$P$1001,I1682))*(실물목록!$R$2:$R$1001&lt;&gt;""))&gt;0,"확인필요(입력누락)",IF(SUMPRODUCT((실물목록!$P$2:$P$1001&lt;&gt;"")*ISNUMBER(SEARCH(실물목록!$P$2:$P$1001,I1682))*(실물목록!$Q$2:$Q$1001&lt;&gt;"")*ISNUMBER(SEARCH(실물목록!$Q$2:$Q$1001,I1682))*(실물목록!$R$2:$R$1001="")*(실물목록!$O$2:$O$1001&lt;&gt;""))&gt;0,"확인필요(연도다름)","실물 없음")))))</f>
      </c>
      <c r="G1682" t="n" s="16">
        <f aca="0">IF(B1682="","",SUMPRODUCT((실물목록!$P$2:$P$1001&lt;&gt;"")*ISNUMBER(SEARCH(실물목록!$P$2:$P$1001,I1682))*(실물목록!$Q$2:$Q$1001&lt;&gt;"")*ISNUMBER(SEARCH(실물목록!$Q$2:$Q$1001,I1682))*(실물목록!$R$2:$R$1001="")*(실물목록!$O$2:$O$1001&lt;&gt;"")*(실물목록!$O$2:$O$1001=H1682)))</f>
      </c>
      <c r="H1682" t="str">
        <f>IFERROR(IF(AND(LEN(SUBSTITUTE(SUBSTITUTE(SUBSTITUTE(TRIM(A1682&amp;""),CHAR(160),"")," ",""),"년",""))=4,VALUE(SUBSTITUTE(SUBSTITUTE(SUBSTITUTE(TRIM(A1682&amp;""),CHAR(160),"")," ",""),"년",""))&gt;=1900,VALUE(SUBSTITUTE(SUBSTITUTE(SUBSTITUTE(TRIM(A1682&amp;""),CHAR(160),"")," ",""),"년",""))&lt;=2099,TEXT(VALUE(SUBSTITUTE(SUBSTITUTE(SUBSTITUTE(TRIM(A1682&amp;""),CHAR(160),"")," ",""),"년","")),"0000")=SUBSTITUTE(SUBSTITUTE(SUBSTITUTE(TRIM(A1682&amp;""),CHAR(160),"")," ",""),"년","")),SUBSTITUTE(SUBSTITUTE(SUBSTITUTE(TRIM(A1682&amp;""),CHAR(160),"")," ",""),"년",""),""),"")</f>
      </c>
      <c r="I1682" t="str">
        <f>SUBSTITUTE(SUBSTITUTE(SUBSTITUTE(SUBSTITUTE(SUBSTITUTE(TRIM(B1682&amp;""),CHAR(160),"")," ",""),"초등학교","초"),"중학교","중"),"고등학교","고")</f>
      </c>
    </row>
    <row r="1683" customFormat="false" ht="15" hidden="false" customHeight="false" outlineLevel="0" collapsed="false">
      <c r="A1683" s="8"/>
      <c r="B1683" s="8"/>
      <c r="C1683" s="8"/>
      <c r="D1683" s="8"/>
      <c r="E1683" s="8"/>
      <c r="F1683" t="str" s="15">
        <f aca="0">IF(B1683="","",IF(H1683="","확인필요(입력누락)",IF(SUMPRODUCT((실물목록!$P$2:$P$1001&lt;&gt;"")*ISNUMBER(SEARCH(실물목록!$P$2:$P$1001,I1683))*(실물목록!$Q$2:$Q$1001&lt;&gt;"")*ISNUMBER(SEARCH(실물목록!$Q$2:$Q$1001,I1683))*(실물목록!$R$2:$R$1001="")*(실물목록!$O$2:$O$1001&lt;&gt;"")*(실물목록!$O$2:$O$1001=H1683))&gt;0,"실물 있음",IF(SUMPRODUCT((실물목록!$P$2:$P$1001&lt;&gt;"")*ISNUMBER(SEARCH(실물목록!$P$2:$P$1001,I1683))*(실물목록!$R$2:$R$1001&lt;&gt;""))&gt;0,"확인필요(입력누락)",IF(SUMPRODUCT((실물목록!$P$2:$P$1001&lt;&gt;"")*ISNUMBER(SEARCH(실물목록!$P$2:$P$1001,I1683))*(실물목록!$Q$2:$Q$1001&lt;&gt;"")*ISNUMBER(SEARCH(실물목록!$Q$2:$Q$1001,I1683))*(실물목록!$R$2:$R$1001="")*(실물목록!$O$2:$O$1001&lt;&gt;""))&gt;0,"확인필요(연도다름)","실물 없음")))))</f>
      </c>
      <c r="G1683" t="n" s="16">
        <f aca="0">IF(B1683="","",SUMPRODUCT((실물목록!$P$2:$P$1001&lt;&gt;"")*ISNUMBER(SEARCH(실물목록!$P$2:$P$1001,I1683))*(실물목록!$Q$2:$Q$1001&lt;&gt;"")*ISNUMBER(SEARCH(실물목록!$Q$2:$Q$1001,I1683))*(실물목록!$R$2:$R$1001="")*(실물목록!$O$2:$O$1001&lt;&gt;"")*(실물목록!$O$2:$O$1001=H1683)))</f>
      </c>
      <c r="H1683" t="str">
        <f>IFERROR(IF(AND(LEN(SUBSTITUTE(SUBSTITUTE(SUBSTITUTE(TRIM(A1683&amp;""),CHAR(160),"")," ",""),"년",""))=4,VALUE(SUBSTITUTE(SUBSTITUTE(SUBSTITUTE(TRIM(A1683&amp;""),CHAR(160),"")," ",""),"년",""))&gt;=1900,VALUE(SUBSTITUTE(SUBSTITUTE(SUBSTITUTE(TRIM(A1683&amp;""),CHAR(160),"")," ",""),"년",""))&lt;=2099,TEXT(VALUE(SUBSTITUTE(SUBSTITUTE(SUBSTITUTE(TRIM(A1683&amp;""),CHAR(160),"")," ",""),"년","")),"0000")=SUBSTITUTE(SUBSTITUTE(SUBSTITUTE(TRIM(A1683&amp;""),CHAR(160),"")," ",""),"년","")),SUBSTITUTE(SUBSTITUTE(SUBSTITUTE(TRIM(A1683&amp;""),CHAR(160),"")," ",""),"년",""),""),"")</f>
      </c>
      <c r="I1683" t="str">
        <f>SUBSTITUTE(SUBSTITUTE(SUBSTITUTE(SUBSTITUTE(SUBSTITUTE(TRIM(B1683&amp;""),CHAR(160),"")," ",""),"초등학교","초"),"중학교","중"),"고등학교","고")</f>
      </c>
    </row>
    <row r="1684" customFormat="false" ht="15" hidden="false" customHeight="false" outlineLevel="0" collapsed="false">
      <c r="A1684" s="8"/>
      <c r="B1684" s="8"/>
      <c r="C1684" s="8"/>
      <c r="D1684" s="8"/>
      <c r="E1684" s="8"/>
      <c r="F1684" t="str" s="15">
        <f aca="0">IF(B1684="","",IF(H1684="","확인필요(입력누락)",IF(SUMPRODUCT((실물목록!$P$2:$P$1001&lt;&gt;"")*ISNUMBER(SEARCH(실물목록!$P$2:$P$1001,I1684))*(실물목록!$Q$2:$Q$1001&lt;&gt;"")*ISNUMBER(SEARCH(실물목록!$Q$2:$Q$1001,I1684))*(실물목록!$R$2:$R$1001="")*(실물목록!$O$2:$O$1001&lt;&gt;"")*(실물목록!$O$2:$O$1001=H1684))&gt;0,"실물 있음",IF(SUMPRODUCT((실물목록!$P$2:$P$1001&lt;&gt;"")*ISNUMBER(SEARCH(실물목록!$P$2:$P$1001,I1684))*(실물목록!$R$2:$R$1001&lt;&gt;""))&gt;0,"확인필요(입력누락)",IF(SUMPRODUCT((실물목록!$P$2:$P$1001&lt;&gt;"")*ISNUMBER(SEARCH(실물목록!$P$2:$P$1001,I1684))*(실물목록!$Q$2:$Q$1001&lt;&gt;"")*ISNUMBER(SEARCH(실물목록!$Q$2:$Q$1001,I1684))*(실물목록!$R$2:$R$1001="")*(실물목록!$O$2:$O$1001&lt;&gt;""))&gt;0,"확인필요(연도다름)","실물 없음")))))</f>
      </c>
      <c r="G1684" t="n" s="16">
        <f aca="0">IF(B1684="","",SUMPRODUCT((실물목록!$P$2:$P$1001&lt;&gt;"")*ISNUMBER(SEARCH(실물목록!$P$2:$P$1001,I1684))*(실물목록!$Q$2:$Q$1001&lt;&gt;"")*ISNUMBER(SEARCH(실물목록!$Q$2:$Q$1001,I1684))*(실물목록!$R$2:$R$1001="")*(실물목록!$O$2:$O$1001&lt;&gt;"")*(실물목록!$O$2:$O$1001=H1684)))</f>
      </c>
      <c r="H1684" t="str">
        <f>IFERROR(IF(AND(LEN(SUBSTITUTE(SUBSTITUTE(SUBSTITUTE(TRIM(A1684&amp;""),CHAR(160),"")," ",""),"년",""))=4,VALUE(SUBSTITUTE(SUBSTITUTE(SUBSTITUTE(TRIM(A1684&amp;""),CHAR(160),"")," ",""),"년",""))&gt;=1900,VALUE(SUBSTITUTE(SUBSTITUTE(SUBSTITUTE(TRIM(A1684&amp;""),CHAR(160),"")," ",""),"년",""))&lt;=2099,TEXT(VALUE(SUBSTITUTE(SUBSTITUTE(SUBSTITUTE(TRIM(A1684&amp;""),CHAR(160),"")," ",""),"년","")),"0000")=SUBSTITUTE(SUBSTITUTE(SUBSTITUTE(TRIM(A1684&amp;""),CHAR(160),"")," ",""),"년","")),SUBSTITUTE(SUBSTITUTE(SUBSTITUTE(TRIM(A1684&amp;""),CHAR(160),"")," ",""),"년",""),""),"")</f>
      </c>
      <c r="I1684" t="str">
        <f>SUBSTITUTE(SUBSTITUTE(SUBSTITUTE(SUBSTITUTE(SUBSTITUTE(TRIM(B1684&amp;""),CHAR(160),"")," ",""),"초등학교","초"),"중학교","중"),"고등학교","고")</f>
      </c>
    </row>
    <row r="1685" customFormat="false" ht="15" hidden="false" customHeight="false" outlineLevel="0" collapsed="false">
      <c r="A1685" s="8"/>
      <c r="B1685" s="8"/>
      <c r="C1685" s="8"/>
      <c r="D1685" s="8"/>
      <c r="E1685" s="8"/>
      <c r="F1685" t="str" s="15">
        <f aca="0">IF(B1685="","",IF(H1685="","확인필요(입력누락)",IF(SUMPRODUCT((실물목록!$P$2:$P$1001&lt;&gt;"")*ISNUMBER(SEARCH(실물목록!$P$2:$P$1001,I1685))*(실물목록!$Q$2:$Q$1001&lt;&gt;"")*ISNUMBER(SEARCH(실물목록!$Q$2:$Q$1001,I1685))*(실물목록!$R$2:$R$1001="")*(실물목록!$O$2:$O$1001&lt;&gt;"")*(실물목록!$O$2:$O$1001=H1685))&gt;0,"실물 있음",IF(SUMPRODUCT((실물목록!$P$2:$P$1001&lt;&gt;"")*ISNUMBER(SEARCH(실물목록!$P$2:$P$1001,I1685))*(실물목록!$R$2:$R$1001&lt;&gt;""))&gt;0,"확인필요(입력누락)",IF(SUMPRODUCT((실물목록!$P$2:$P$1001&lt;&gt;"")*ISNUMBER(SEARCH(실물목록!$P$2:$P$1001,I1685))*(실물목록!$Q$2:$Q$1001&lt;&gt;"")*ISNUMBER(SEARCH(실물목록!$Q$2:$Q$1001,I1685))*(실물목록!$R$2:$R$1001="")*(실물목록!$O$2:$O$1001&lt;&gt;""))&gt;0,"확인필요(연도다름)","실물 없음")))))</f>
      </c>
      <c r="G1685" t="n" s="16">
        <f aca="0">IF(B1685="","",SUMPRODUCT((실물목록!$P$2:$P$1001&lt;&gt;"")*ISNUMBER(SEARCH(실물목록!$P$2:$P$1001,I1685))*(실물목록!$Q$2:$Q$1001&lt;&gt;"")*ISNUMBER(SEARCH(실물목록!$Q$2:$Q$1001,I1685))*(실물목록!$R$2:$R$1001="")*(실물목록!$O$2:$O$1001&lt;&gt;"")*(실물목록!$O$2:$O$1001=H1685)))</f>
      </c>
      <c r="H1685" t="str">
        <f>IFERROR(IF(AND(LEN(SUBSTITUTE(SUBSTITUTE(SUBSTITUTE(TRIM(A1685&amp;""),CHAR(160),"")," ",""),"년",""))=4,VALUE(SUBSTITUTE(SUBSTITUTE(SUBSTITUTE(TRIM(A1685&amp;""),CHAR(160),"")," ",""),"년",""))&gt;=1900,VALUE(SUBSTITUTE(SUBSTITUTE(SUBSTITUTE(TRIM(A1685&amp;""),CHAR(160),"")," ",""),"년",""))&lt;=2099,TEXT(VALUE(SUBSTITUTE(SUBSTITUTE(SUBSTITUTE(TRIM(A1685&amp;""),CHAR(160),"")," ",""),"년","")),"0000")=SUBSTITUTE(SUBSTITUTE(SUBSTITUTE(TRIM(A1685&amp;""),CHAR(160),"")," ",""),"년","")),SUBSTITUTE(SUBSTITUTE(SUBSTITUTE(TRIM(A1685&amp;""),CHAR(160),"")," ",""),"년",""),""),"")</f>
      </c>
      <c r="I1685" t="str">
        <f>SUBSTITUTE(SUBSTITUTE(SUBSTITUTE(SUBSTITUTE(SUBSTITUTE(TRIM(B1685&amp;""),CHAR(160),"")," ",""),"초등학교","초"),"중학교","중"),"고등학교","고")</f>
      </c>
    </row>
    <row r="1686" customFormat="false" ht="15" hidden="false" customHeight="false" outlineLevel="0" collapsed="false">
      <c r="A1686" s="8"/>
      <c r="B1686" s="8"/>
      <c r="C1686" s="8"/>
      <c r="D1686" s="8"/>
      <c r="E1686" s="8"/>
      <c r="F1686" t="str" s="15">
        <f aca="0">IF(B1686="","",IF(H1686="","확인필요(입력누락)",IF(SUMPRODUCT((실물목록!$P$2:$P$1001&lt;&gt;"")*ISNUMBER(SEARCH(실물목록!$P$2:$P$1001,I1686))*(실물목록!$Q$2:$Q$1001&lt;&gt;"")*ISNUMBER(SEARCH(실물목록!$Q$2:$Q$1001,I1686))*(실물목록!$R$2:$R$1001="")*(실물목록!$O$2:$O$1001&lt;&gt;"")*(실물목록!$O$2:$O$1001=H1686))&gt;0,"실물 있음",IF(SUMPRODUCT((실물목록!$P$2:$P$1001&lt;&gt;"")*ISNUMBER(SEARCH(실물목록!$P$2:$P$1001,I1686))*(실물목록!$R$2:$R$1001&lt;&gt;""))&gt;0,"확인필요(입력누락)",IF(SUMPRODUCT((실물목록!$P$2:$P$1001&lt;&gt;"")*ISNUMBER(SEARCH(실물목록!$P$2:$P$1001,I1686))*(실물목록!$Q$2:$Q$1001&lt;&gt;"")*ISNUMBER(SEARCH(실물목록!$Q$2:$Q$1001,I1686))*(실물목록!$R$2:$R$1001="")*(실물목록!$O$2:$O$1001&lt;&gt;""))&gt;0,"확인필요(연도다름)","실물 없음")))))</f>
      </c>
      <c r="G1686" t="n" s="16">
        <f aca="0">IF(B1686="","",SUMPRODUCT((실물목록!$P$2:$P$1001&lt;&gt;"")*ISNUMBER(SEARCH(실물목록!$P$2:$P$1001,I1686))*(실물목록!$Q$2:$Q$1001&lt;&gt;"")*ISNUMBER(SEARCH(실물목록!$Q$2:$Q$1001,I1686))*(실물목록!$R$2:$R$1001="")*(실물목록!$O$2:$O$1001&lt;&gt;"")*(실물목록!$O$2:$O$1001=H1686)))</f>
      </c>
      <c r="H1686" t="str">
        <f>IFERROR(IF(AND(LEN(SUBSTITUTE(SUBSTITUTE(SUBSTITUTE(TRIM(A1686&amp;""),CHAR(160),"")," ",""),"년",""))=4,VALUE(SUBSTITUTE(SUBSTITUTE(SUBSTITUTE(TRIM(A1686&amp;""),CHAR(160),"")," ",""),"년",""))&gt;=1900,VALUE(SUBSTITUTE(SUBSTITUTE(SUBSTITUTE(TRIM(A1686&amp;""),CHAR(160),"")," ",""),"년",""))&lt;=2099,TEXT(VALUE(SUBSTITUTE(SUBSTITUTE(SUBSTITUTE(TRIM(A1686&amp;""),CHAR(160),"")," ",""),"년","")),"0000")=SUBSTITUTE(SUBSTITUTE(SUBSTITUTE(TRIM(A1686&amp;""),CHAR(160),"")," ",""),"년","")),SUBSTITUTE(SUBSTITUTE(SUBSTITUTE(TRIM(A1686&amp;""),CHAR(160),"")," ",""),"년",""),""),"")</f>
      </c>
      <c r="I1686" t="str">
        <f>SUBSTITUTE(SUBSTITUTE(SUBSTITUTE(SUBSTITUTE(SUBSTITUTE(TRIM(B1686&amp;""),CHAR(160),"")," ",""),"초등학교","초"),"중학교","중"),"고등학교","고")</f>
      </c>
    </row>
    <row r="1687" customFormat="false" ht="15" hidden="false" customHeight="false" outlineLevel="0" collapsed="false">
      <c r="A1687" s="8"/>
      <c r="B1687" s="8"/>
      <c r="C1687" s="8"/>
      <c r="D1687" s="8"/>
      <c r="E1687" s="8"/>
      <c r="F1687" t="str" s="15">
        <f aca="0">IF(B1687="","",IF(H1687="","확인필요(입력누락)",IF(SUMPRODUCT((실물목록!$P$2:$P$1001&lt;&gt;"")*ISNUMBER(SEARCH(실물목록!$P$2:$P$1001,I1687))*(실물목록!$Q$2:$Q$1001&lt;&gt;"")*ISNUMBER(SEARCH(실물목록!$Q$2:$Q$1001,I1687))*(실물목록!$R$2:$R$1001="")*(실물목록!$O$2:$O$1001&lt;&gt;"")*(실물목록!$O$2:$O$1001=H1687))&gt;0,"실물 있음",IF(SUMPRODUCT((실물목록!$P$2:$P$1001&lt;&gt;"")*ISNUMBER(SEARCH(실물목록!$P$2:$P$1001,I1687))*(실물목록!$R$2:$R$1001&lt;&gt;""))&gt;0,"확인필요(입력누락)",IF(SUMPRODUCT((실물목록!$P$2:$P$1001&lt;&gt;"")*ISNUMBER(SEARCH(실물목록!$P$2:$P$1001,I1687))*(실물목록!$Q$2:$Q$1001&lt;&gt;"")*ISNUMBER(SEARCH(실물목록!$Q$2:$Q$1001,I1687))*(실물목록!$R$2:$R$1001="")*(실물목록!$O$2:$O$1001&lt;&gt;""))&gt;0,"확인필요(연도다름)","실물 없음")))))</f>
      </c>
      <c r="G1687" t="n" s="16">
        <f aca="0">IF(B1687="","",SUMPRODUCT((실물목록!$P$2:$P$1001&lt;&gt;"")*ISNUMBER(SEARCH(실물목록!$P$2:$P$1001,I1687))*(실물목록!$Q$2:$Q$1001&lt;&gt;"")*ISNUMBER(SEARCH(실물목록!$Q$2:$Q$1001,I1687))*(실물목록!$R$2:$R$1001="")*(실물목록!$O$2:$O$1001&lt;&gt;"")*(실물목록!$O$2:$O$1001=H1687)))</f>
      </c>
      <c r="H1687" t="str">
        <f>IFERROR(IF(AND(LEN(SUBSTITUTE(SUBSTITUTE(SUBSTITUTE(TRIM(A1687&amp;""),CHAR(160),"")," ",""),"년",""))=4,VALUE(SUBSTITUTE(SUBSTITUTE(SUBSTITUTE(TRIM(A1687&amp;""),CHAR(160),"")," ",""),"년",""))&gt;=1900,VALUE(SUBSTITUTE(SUBSTITUTE(SUBSTITUTE(TRIM(A1687&amp;""),CHAR(160),"")," ",""),"년",""))&lt;=2099,TEXT(VALUE(SUBSTITUTE(SUBSTITUTE(SUBSTITUTE(TRIM(A1687&amp;""),CHAR(160),"")," ",""),"년","")),"0000")=SUBSTITUTE(SUBSTITUTE(SUBSTITUTE(TRIM(A1687&amp;""),CHAR(160),"")," ",""),"년","")),SUBSTITUTE(SUBSTITUTE(SUBSTITUTE(TRIM(A1687&amp;""),CHAR(160),"")," ",""),"년",""),""),"")</f>
      </c>
      <c r="I1687" t="str">
        <f>SUBSTITUTE(SUBSTITUTE(SUBSTITUTE(SUBSTITUTE(SUBSTITUTE(TRIM(B1687&amp;""),CHAR(160),"")," ",""),"초등학교","초"),"중학교","중"),"고등학교","고")</f>
      </c>
    </row>
    <row r="1688" customFormat="false" ht="15" hidden="false" customHeight="false" outlineLevel="0" collapsed="false">
      <c r="A1688" s="8"/>
      <c r="B1688" s="8"/>
      <c r="C1688" s="8"/>
      <c r="D1688" s="8"/>
      <c r="E1688" s="8"/>
      <c r="F1688" t="str" s="15">
        <f aca="0">IF(B1688="","",IF(H1688="","확인필요(입력누락)",IF(SUMPRODUCT((실물목록!$P$2:$P$1001&lt;&gt;"")*ISNUMBER(SEARCH(실물목록!$P$2:$P$1001,I1688))*(실물목록!$Q$2:$Q$1001&lt;&gt;"")*ISNUMBER(SEARCH(실물목록!$Q$2:$Q$1001,I1688))*(실물목록!$R$2:$R$1001="")*(실물목록!$O$2:$O$1001&lt;&gt;"")*(실물목록!$O$2:$O$1001=H1688))&gt;0,"실물 있음",IF(SUMPRODUCT((실물목록!$P$2:$P$1001&lt;&gt;"")*ISNUMBER(SEARCH(실물목록!$P$2:$P$1001,I1688))*(실물목록!$R$2:$R$1001&lt;&gt;""))&gt;0,"확인필요(입력누락)",IF(SUMPRODUCT((실물목록!$P$2:$P$1001&lt;&gt;"")*ISNUMBER(SEARCH(실물목록!$P$2:$P$1001,I1688))*(실물목록!$Q$2:$Q$1001&lt;&gt;"")*ISNUMBER(SEARCH(실물목록!$Q$2:$Q$1001,I1688))*(실물목록!$R$2:$R$1001="")*(실물목록!$O$2:$O$1001&lt;&gt;""))&gt;0,"확인필요(연도다름)","실물 없음")))))</f>
      </c>
      <c r="G1688" t="n" s="16">
        <f aca="0">IF(B1688="","",SUMPRODUCT((실물목록!$P$2:$P$1001&lt;&gt;"")*ISNUMBER(SEARCH(실물목록!$P$2:$P$1001,I1688))*(실물목록!$Q$2:$Q$1001&lt;&gt;"")*ISNUMBER(SEARCH(실물목록!$Q$2:$Q$1001,I1688))*(실물목록!$R$2:$R$1001="")*(실물목록!$O$2:$O$1001&lt;&gt;"")*(실물목록!$O$2:$O$1001=H1688)))</f>
      </c>
      <c r="H1688" t="str">
        <f>IFERROR(IF(AND(LEN(SUBSTITUTE(SUBSTITUTE(SUBSTITUTE(TRIM(A1688&amp;""),CHAR(160),"")," ",""),"년",""))=4,VALUE(SUBSTITUTE(SUBSTITUTE(SUBSTITUTE(TRIM(A1688&amp;""),CHAR(160),"")," ",""),"년",""))&gt;=1900,VALUE(SUBSTITUTE(SUBSTITUTE(SUBSTITUTE(TRIM(A1688&amp;""),CHAR(160),"")," ",""),"년",""))&lt;=2099,TEXT(VALUE(SUBSTITUTE(SUBSTITUTE(SUBSTITUTE(TRIM(A1688&amp;""),CHAR(160),"")," ",""),"년","")),"0000")=SUBSTITUTE(SUBSTITUTE(SUBSTITUTE(TRIM(A1688&amp;""),CHAR(160),"")," ",""),"년","")),SUBSTITUTE(SUBSTITUTE(SUBSTITUTE(TRIM(A1688&amp;""),CHAR(160),"")," ",""),"년",""),""),"")</f>
      </c>
      <c r="I1688" t="str">
        <f>SUBSTITUTE(SUBSTITUTE(SUBSTITUTE(SUBSTITUTE(SUBSTITUTE(TRIM(B1688&amp;""),CHAR(160),"")," ",""),"초등학교","초"),"중학교","중"),"고등학교","고")</f>
      </c>
    </row>
    <row r="1689" customFormat="false" ht="15" hidden="false" customHeight="false" outlineLevel="0" collapsed="false">
      <c r="A1689" s="8"/>
      <c r="B1689" s="8"/>
      <c r="C1689" s="8"/>
      <c r="D1689" s="8"/>
      <c r="E1689" s="8"/>
      <c r="F1689" t="str" s="15">
        <f aca="0">IF(B1689="","",IF(H1689="","확인필요(입력누락)",IF(SUMPRODUCT((실물목록!$P$2:$P$1001&lt;&gt;"")*ISNUMBER(SEARCH(실물목록!$P$2:$P$1001,I1689))*(실물목록!$Q$2:$Q$1001&lt;&gt;"")*ISNUMBER(SEARCH(실물목록!$Q$2:$Q$1001,I1689))*(실물목록!$R$2:$R$1001="")*(실물목록!$O$2:$O$1001&lt;&gt;"")*(실물목록!$O$2:$O$1001=H1689))&gt;0,"실물 있음",IF(SUMPRODUCT((실물목록!$P$2:$P$1001&lt;&gt;"")*ISNUMBER(SEARCH(실물목록!$P$2:$P$1001,I1689))*(실물목록!$R$2:$R$1001&lt;&gt;""))&gt;0,"확인필요(입력누락)",IF(SUMPRODUCT((실물목록!$P$2:$P$1001&lt;&gt;"")*ISNUMBER(SEARCH(실물목록!$P$2:$P$1001,I1689))*(실물목록!$Q$2:$Q$1001&lt;&gt;"")*ISNUMBER(SEARCH(실물목록!$Q$2:$Q$1001,I1689))*(실물목록!$R$2:$R$1001="")*(실물목록!$O$2:$O$1001&lt;&gt;""))&gt;0,"확인필요(연도다름)","실물 없음")))))</f>
      </c>
      <c r="G1689" t="n" s="16">
        <f aca="0">IF(B1689="","",SUMPRODUCT((실물목록!$P$2:$P$1001&lt;&gt;"")*ISNUMBER(SEARCH(실물목록!$P$2:$P$1001,I1689))*(실물목록!$Q$2:$Q$1001&lt;&gt;"")*ISNUMBER(SEARCH(실물목록!$Q$2:$Q$1001,I1689))*(실물목록!$R$2:$R$1001="")*(실물목록!$O$2:$O$1001&lt;&gt;"")*(실물목록!$O$2:$O$1001=H1689)))</f>
      </c>
      <c r="H1689" t="str">
        <f>IFERROR(IF(AND(LEN(SUBSTITUTE(SUBSTITUTE(SUBSTITUTE(TRIM(A1689&amp;""),CHAR(160),"")," ",""),"년",""))=4,VALUE(SUBSTITUTE(SUBSTITUTE(SUBSTITUTE(TRIM(A1689&amp;""),CHAR(160),"")," ",""),"년",""))&gt;=1900,VALUE(SUBSTITUTE(SUBSTITUTE(SUBSTITUTE(TRIM(A1689&amp;""),CHAR(160),"")," ",""),"년",""))&lt;=2099,TEXT(VALUE(SUBSTITUTE(SUBSTITUTE(SUBSTITUTE(TRIM(A1689&amp;""),CHAR(160),"")," ",""),"년","")),"0000")=SUBSTITUTE(SUBSTITUTE(SUBSTITUTE(TRIM(A1689&amp;""),CHAR(160),"")," ",""),"년","")),SUBSTITUTE(SUBSTITUTE(SUBSTITUTE(TRIM(A1689&amp;""),CHAR(160),"")," ",""),"년",""),""),"")</f>
      </c>
      <c r="I1689" t="str">
        <f>SUBSTITUTE(SUBSTITUTE(SUBSTITUTE(SUBSTITUTE(SUBSTITUTE(TRIM(B1689&amp;""),CHAR(160),"")," ",""),"초등학교","초"),"중학교","중"),"고등학교","고")</f>
      </c>
    </row>
    <row r="1690" customFormat="false" ht="15" hidden="false" customHeight="false" outlineLevel="0" collapsed="false">
      <c r="A1690" s="8"/>
      <c r="B1690" s="8"/>
      <c r="C1690" s="8"/>
      <c r="D1690" s="8"/>
      <c r="E1690" s="8"/>
      <c r="F1690" t="str" s="15">
        <f aca="0">IF(B1690="","",IF(H1690="","확인필요(입력누락)",IF(SUMPRODUCT((실물목록!$P$2:$P$1001&lt;&gt;"")*ISNUMBER(SEARCH(실물목록!$P$2:$P$1001,I1690))*(실물목록!$Q$2:$Q$1001&lt;&gt;"")*ISNUMBER(SEARCH(실물목록!$Q$2:$Q$1001,I1690))*(실물목록!$R$2:$R$1001="")*(실물목록!$O$2:$O$1001&lt;&gt;"")*(실물목록!$O$2:$O$1001=H1690))&gt;0,"실물 있음",IF(SUMPRODUCT((실물목록!$P$2:$P$1001&lt;&gt;"")*ISNUMBER(SEARCH(실물목록!$P$2:$P$1001,I1690))*(실물목록!$R$2:$R$1001&lt;&gt;""))&gt;0,"확인필요(입력누락)",IF(SUMPRODUCT((실물목록!$P$2:$P$1001&lt;&gt;"")*ISNUMBER(SEARCH(실물목록!$P$2:$P$1001,I1690))*(실물목록!$Q$2:$Q$1001&lt;&gt;"")*ISNUMBER(SEARCH(실물목록!$Q$2:$Q$1001,I1690))*(실물목록!$R$2:$R$1001="")*(실물목록!$O$2:$O$1001&lt;&gt;""))&gt;0,"확인필요(연도다름)","실물 없음")))))</f>
      </c>
      <c r="G1690" t="n" s="16">
        <f aca="0">IF(B1690="","",SUMPRODUCT((실물목록!$P$2:$P$1001&lt;&gt;"")*ISNUMBER(SEARCH(실물목록!$P$2:$P$1001,I1690))*(실물목록!$Q$2:$Q$1001&lt;&gt;"")*ISNUMBER(SEARCH(실물목록!$Q$2:$Q$1001,I1690))*(실물목록!$R$2:$R$1001="")*(실물목록!$O$2:$O$1001&lt;&gt;"")*(실물목록!$O$2:$O$1001=H1690)))</f>
      </c>
      <c r="H1690" t="str">
        <f>IFERROR(IF(AND(LEN(SUBSTITUTE(SUBSTITUTE(SUBSTITUTE(TRIM(A1690&amp;""),CHAR(160),"")," ",""),"년",""))=4,VALUE(SUBSTITUTE(SUBSTITUTE(SUBSTITUTE(TRIM(A1690&amp;""),CHAR(160),"")," ",""),"년",""))&gt;=1900,VALUE(SUBSTITUTE(SUBSTITUTE(SUBSTITUTE(TRIM(A1690&amp;""),CHAR(160),"")," ",""),"년",""))&lt;=2099,TEXT(VALUE(SUBSTITUTE(SUBSTITUTE(SUBSTITUTE(TRIM(A1690&amp;""),CHAR(160),"")," ",""),"년","")),"0000")=SUBSTITUTE(SUBSTITUTE(SUBSTITUTE(TRIM(A1690&amp;""),CHAR(160),"")," ",""),"년","")),SUBSTITUTE(SUBSTITUTE(SUBSTITUTE(TRIM(A1690&amp;""),CHAR(160),"")," ",""),"년",""),""),"")</f>
      </c>
      <c r="I1690" t="str">
        <f>SUBSTITUTE(SUBSTITUTE(SUBSTITUTE(SUBSTITUTE(SUBSTITUTE(TRIM(B1690&amp;""),CHAR(160),"")," ",""),"초등학교","초"),"중학교","중"),"고등학교","고")</f>
      </c>
    </row>
    <row r="1691" customFormat="false" ht="15" hidden="false" customHeight="false" outlineLevel="0" collapsed="false">
      <c r="A1691" s="8"/>
      <c r="B1691" s="8"/>
      <c r="C1691" s="8"/>
      <c r="D1691" s="8"/>
      <c r="E1691" s="8"/>
      <c r="F1691" t="str" s="15">
        <f aca="0">IF(B1691="","",IF(H1691="","확인필요(입력누락)",IF(SUMPRODUCT((실물목록!$P$2:$P$1001&lt;&gt;"")*ISNUMBER(SEARCH(실물목록!$P$2:$P$1001,I1691))*(실물목록!$Q$2:$Q$1001&lt;&gt;"")*ISNUMBER(SEARCH(실물목록!$Q$2:$Q$1001,I1691))*(실물목록!$R$2:$R$1001="")*(실물목록!$O$2:$O$1001&lt;&gt;"")*(실물목록!$O$2:$O$1001=H1691))&gt;0,"실물 있음",IF(SUMPRODUCT((실물목록!$P$2:$P$1001&lt;&gt;"")*ISNUMBER(SEARCH(실물목록!$P$2:$P$1001,I1691))*(실물목록!$R$2:$R$1001&lt;&gt;""))&gt;0,"확인필요(입력누락)",IF(SUMPRODUCT((실물목록!$P$2:$P$1001&lt;&gt;"")*ISNUMBER(SEARCH(실물목록!$P$2:$P$1001,I1691))*(실물목록!$Q$2:$Q$1001&lt;&gt;"")*ISNUMBER(SEARCH(실물목록!$Q$2:$Q$1001,I1691))*(실물목록!$R$2:$R$1001="")*(실물목록!$O$2:$O$1001&lt;&gt;""))&gt;0,"확인필요(연도다름)","실물 없음")))))</f>
      </c>
      <c r="G1691" t="n" s="16">
        <f aca="0">IF(B1691="","",SUMPRODUCT((실물목록!$P$2:$P$1001&lt;&gt;"")*ISNUMBER(SEARCH(실물목록!$P$2:$P$1001,I1691))*(실물목록!$Q$2:$Q$1001&lt;&gt;"")*ISNUMBER(SEARCH(실물목록!$Q$2:$Q$1001,I1691))*(실물목록!$R$2:$R$1001="")*(실물목록!$O$2:$O$1001&lt;&gt;"")*(실물목록!$O$2:$O$1001=H1691)))</f>
      </c>
      <c r="H1691" t="str">
        <f>IFERROR(IF(AND(LEN(SUBSTITUTE(SUBSTITUTE(SUBSTITUTE(TRIM(A1691&amp;""),CHAR(160),"")," ",""),"년",""))=4,VALUE(SUBSTITUTE(SUBSTITUTE(SUBSTITUTE(TRIM(A1691&amp;""),CHAR(160),"")," ",""),"년",""))&gt;=1900,VALUE(SUBSTITUTE(SUBSTITUTE(SUBSTITUTE(TRIM(A1691&amp;""),CHAR(160),"")," ",""),"년",""))&lt;=2099,TEXT(VALUE(SUBSTITUTE(SUBSTITUTE(SUBSTITUTE(TRIM(A1691&amp;""),CHAR(160),"")," ",""),"년","")),"0000")=SUBSTITUTE(SUBSTITUTE(SUBSTITUTE(TRIM(A1691&amp;""),CHAR(160),"")," ",""),"년","")),SUBSTITUTE(SUBSTITUTE(SUBSTITUTE(TRIM(A1691&amp;""),CHAR(160),"")," ",""),"년",""),""),"")</f>
      </c>
      <c r="I1691" t="str">
        <f>SUBSTITUTE(SUBSTITUTE(SUBSTITUTE(SUBSTITUTE(SUBSTITUTE(TRIM(B1691&amp;""),CHAR(160),"")," ",""),"초등학교","초"),"중학교","중"),"고등학교","고")</f>
      </c>
    </row>
    <row r="1692" customFormat="false" ht="15" hidden="false" customHeight="false" outlineLevel="0" collapsed="false">
      <c r="A1692" s="8"/>
      <c r="B1692" s="8"/>
      <c r="C1692" s="8"/>
      <c r="D1692" s="8"/>
      <c r="E1692" s="8"/>
      <c r="F1692" t="str" s="15">
        <f aca="0">IF(B1692="","",IF(H1692="","확인필요(입력누락)",IF(SUMPRODUCT((실물목록!$P$2:$P$1001&lt;&gt;"")*ISNUMBER(SEARCH(실물목록!$P$2:$P$1001,I1692))*(실물목록!$Q$2:$Q$1001&lt;&gt;"")*ISNUMBER(SEARCH(실물목록!$Q$2:$Q$1001,I1692))*(실물목록!$R$2:$R$1001="")*(실물목록!$O$2:$O$1001&lt;&gt;"")*(실물목록!$O$2:$O$1001=H1692))&gt;0,"실물 있음",IF(SUMPRODUCT((실물목록!$P$2:$P$1001&lt;&gt;"")*ISNUMBER(SEARCH(실물목록!$P$2:$P$1001,I1692))*(실물목록!$R$2:$R$1001&lt;&gt;""))&gt;0,"확인필요(입력누락)",IF(SUMPRODUCT((실물목록!$P$2:$P$1001&lt;&gt;"")*ISNUMBER(SEARCH(실물목록!$P$2:$P$1001,I1692))*(실물목록!$Q$2:$Q$1001&lt;&gt;"")*ISNUMBER(SEARCH(실물목록!$Q$2:$Q$1001,I1692))*(실물목록!$R$2:$R$1001="")*(실물목록!$O$2:$O$1001&lt;&gt;""))&gt;0,"확인필요(연도다름)","실물 없음")))))</f>
      </c>
      <c r="G1692" t="n" s="16">
        <f aca="0">IF(B1692="","",SUMPRODUCT((실물목록!$P$2:$P$1001&lt;&gt;"")*ISNUMBER(SEARCH(실물목록!$P$2:$P$1001,I1692))*(실물목록!$Q$2:$Q$1001&lt;&gt;"")*ISNUMBER(SEARCH(실물목록!$Q$2:$Q$1001,I1692))*(실물목록!$R$2:$R$1001="")*(실물목록!$O$2:$O$1001&lt;&gt;"")*(실물목록!$O$2:$O$1001=H1692)))</f>
      </c>
      <c r="H1692" t="str">
        <f>IFERROR(IF(AND(LEN(SUBSTITUTE(SUBSTITUTE(SUBSTITUTE(TRIM(A1692&amp;""),CHAR(160),"")," ",""),"년",""))=4,VALUE(SUBSTITUTE(SUBSTITUTE(SUBSTITUTE(TRIM(A1692&amp;""),CHAR(160),"")," ",""),"년",""))&gt;=1900,VALUE(SUBSTITUTE(SUBSTITUTE(SUBSTITUTE(TRIM(A1692&amp;""),CHAR(160),"")," ",""),"년",""))&lt;=2099,TEXT(VALUE(SUBSTITUTE(SUBSTITUTE(SUBSTITUTE(TRIM(A1692&amp;""),CHAR(160),"")," ",""),"년","")),"0000")=SUBSTITUTE(SUBSTITUTE(SUBSTITUTE(TRIM(A1692&amp;""),CHAR(160),"")," ",""),"년","")),SUBSTITUTE(SUBSTITUTE(SUBSTITUTE(TRIM(A1692&amp;""),CHAR(160),"")," ",""),"년",""),""),"")</f>
      </c>
      <c r="I1692" t="str">
        <f>SUBSTITUTE(SUBSTITUTE(SUBSTITUTE(SUBSTITUTE(SUBSTITUTE(TRIM(B1692&amp;""),CHAR(160),"")," ",""),"초등학교","초"),"중학교","중"),"고등학교","고")</f>
      </c>
    </row>
    <row r="1693" customFormat="false" ht="15" hidden="false" customHeight="false" outlineLevel="0" collapsed="false">
      <c r="A1693" s="8"/>
      <c r="B1693" s="8"/>
      <c r="C1693" s="8"/>
      <c r="D1693" s="8"/>
      <c r="E1693" s="8"/>
      <c r="F1693" t="str" s="15">
        <f aca="0">IF(B1693="","",IF(H1693="","확인필요(입력누락)",IF(SUMPRODUCT((실물목록!$P$2:$P$1001&lt;&gt;"")*ISNUMBER(SEARCH(실물목록!$P$2:$P$1001,I1693))*(실물목록!$Q$2:$Q$1001&lt;&gt;"")*ISNUMBER(SEARCH(실물목록!$Q$2:$Q$1001,I1693))*(실물목록!$R$2:$R$1001="")*(실물목록!$O$2:$O$1001&lt;&gt;"")*(실물목록!$O$2:$O$1001=H1693))&gt;0,"실물 있음",IF(SUMPRODUCT((실물목록!$P$2:$P$1001&lt;&gt;"")*ISNUMBER(SEARCH(실물목록!$P$2:$P$1001,I1693))*(실물목록!$R$2:$R$1001&lt;&gt;""))&gt;0,"확인필요(입력누락)",IF(SUMPRODUCT((실물목록!$P$2:$P$1001&lt;&gt;"")*ISNUMBER(SEARCH(실물목록!$P$2:$P$1001,I1693))*(실물목록!$Q$2:$Q$1001&lt;&gt;"")*ISNUMBER(SEARCH(실물목록!$Q$2:$Q$1001,I1693))*(실물목록!$R$2:$R$1001="")*(실물목록!$O$2:$O$1001&lt;&gt;""))&gt;0,"확인필요(연도다름)","실물 없음")))))</f>
      </c>
      <c r="G1693" t="n" s="16">
        <f aca="0">IF(B1693="","",SUMPRODUCT((실물목록!$P$2:$P$1001&lt;&gt;"")*ISNUMBER(SEARCH(실물목록!$P$2:$P$1001,I1693))*(실물목록!$Q$2:$Q$1001&lt;&gt;"")*ISNUMBER(SEARCH(실물목록!$Q$2:$Q$1001,I1693))*(실물목록!$R$2:$R$1001="")*(실물목록!$O$2:$O$1001&lt;&gt;"")*(실물목록!$O$2:$O$1001=H1693)))</f>
      </c>
      <c r="H1693" t="str">
        <f>IFERROR(IF(AND(LEN(SUBSTITUTE(SUBSTITUTE(SUBSTITUTE(TRIM(A1693&amp;""),CHAR(160),"")," ",""),"년",""))=4,VALUE(SUBSTITUTE(SUBSTITUTE(SUBSTITUTE(TRIM(A1693&amp;""),CHAR(160),"")," ",""),"년",""))&gt;=1900,VALUE(SUBSTITUTE(SUBSTITUTE(SUBSTITUTE(TRIM(A1693&amp;""),CHAR(160),"")," ",""),"년",""))&lt;=2099,TEXT(VALUE(SUBSTITUTE(SUBSTITUTE(SUBSTITUTE(TRIM(A1693&amp;""),CHAR(160),"")," ",""),"년","")),"0000")=SUBSTITUTE(SUBSTITUTE(SUBSTITUTE(TRIM(A1693&amp;""),CHAR(160),"")," ",""),"년","")),SUBSTITUTE(SUBSTITUTE(SUBSTITUTE(TRIM(A1693&amp;""),CHAR(160),"")," ",""),"년",""),""),"")</f>
      </c>
      <c r="I1693" t="str">
        <f>SUBSTITUTE(SUBSTITUTE(SUBSTITUTE(SUBSTITUTE(SUBSTITUTE(TRIM(B1693&amp;""),CHAR(160),"")," ",""),"초등학교","초"),"중학교","중"),"고등학교","고")</f>
      </c>
    </row>
    <row r="1694" customFormat="false" ht="15" hidden="false" customHeight="false" outlineLevel="0" collapsed="false">
      <c r="A1694" s="8"/>
      <c r="B1694" s="8"/>
      <c r="C1694" s="8"/>
      <c r="D1694" s="8"/>
      <c r="E1694" s="8"/>
      <c r="F1694" t="str" s="15">
        <f aca="0">IF(B1694="","",IF(H1694="","확인필요(입력누락)",IF(SUMPRODUCT((실물목록!$P$2:$P$1001&lt;&gt;"")*ISNUMBER(SEARCH(실물목록!$P$2:$P$1001,I1694))*(실물목록!$Q$2:$Q$1001&lt;&gt;"")*ISNUMBER(SEARCH(실물목록!$Q$2:$Q$1001,I1694))*(실물목록!$R$2:$R$1001="")*(실물목록!$O$2:$O$1001&lt;&gt;"")*(실물목록!$O$2:$O$1001=H1694))&gt;0,"실물 있음",IF(SUMPRODUCT((실물목록!$P$2:$P$1001&lt;&gt;"")*ISNUMBER(SEARCH(실물목록!$P$2:$P$1001,I1694))*(실물목록!$R$2:$R$1001&lt;&gt;""))&gt;0,"확인필요(입력누락)",IF(SUMPRODUCT((실물목록!$P$2:$P$1001&lt;&gt;"")*ISNUMBER(SEARCH(실물목록!$P$2:$P$1001,I1694))*(실물목록!$Q$2:$Q$1001&lt;&gt;"")*ISNUMBER(SEARCH(실물목록!$Q$2:$Q$1001,I1694))*(실물목록!$R$2:$R$1001="")*(실물목록!$O$2:$O$1001&lt;&gt;""))&gt;0,"확인필요(연도다름)","실물 없음")))))</f>
      </c>
      <c r="G1694" t="n" s="16">
        <f aca="0">IF(B1694="","",SUMPRODUCT((실물목록!$P$2:$P$1001&lt;&gt;"")*ISNUMBER(SEARCH(실물목록!$P$2:$P$1001,I1694))*(실물목록!$Q$2:$Q$1001&lt;&gt;"")*ISNUMBER(SEARCH(실물목록!$Q$2:$Q$1001,I1694))*(실물목록!$R$2:$R$1001="")*(실물목록!$O$2:$O$1001&lt;&gt;"")*(실물목록!$O$2:$O$1001=H1694)))</f>
      </c>
      <c r="H1694" t="str">
        <f>IFERROR(IF(AND(LEN(SUBSTITUTE(SUBSTITUTE(SUBSTITUTE(TRIM(A1694&amp;""),CHAR(160),"")," ",""),"년",""))=4,VALUE(SUBSTITUTE(SUBSTITUTE(SUBSTITUTE(TRIM(A1694&amp;""),CHAR(160),"")," ",""),"년",""))&gt;=1900,VALUE(SUBSTITUTE(SUBSTITUTE(SUBSTITUTE(TRIM(A1694&amp;""),CHAR(160),"")," ",""),"년",""))&lt;=2099,TEXT(VALUE(SUBSTITUTE(SUBSTITUTE(SUBSTITUTE(TRIM(A1694&amp;""),CHAR(160),"")," ",""),"년","")),"0000")=SUBSTITUTE(SUBSTITUTE(SUBSTITUTE(TRIM(A1694&amp;""),CHAR(160),"")," ",""),"년","")),SUBSTITUTE(SUBSTITUTE(SUBSTITUTE(TRIM(A1694&amp;""),CHAR(160),"")," ",""),"년",""),""),"")</f>
      </c>
      <c r="I1694" t="str">
        <f>SUBSTITUTE(SUBSTITUTE(SUBSTITUTE(SUBSTITUTE(SUBSTITUTE(TRIM(B1694&amp;""),CHAR(160),"")," ",""),"초등학교","초"),"중학교","중"),"고등학교","고")</f>
      </c>
    </row>
    <row r="1695" customFormat="false" ht="15" hidden="false" customHeight="false" outlineLevel="0" collapsed="false">
      <c r="A1695" s="8"/>
      <c r="B1695" s="8"/>
      <c r="C1695" s="8"/>
      <c r="D1695" s="8"/>
      <c r="E1695" s="8"/>
      <c r="F1695" t="str" s="15">
        <f aca="0">IF(B1695="","",IF(H1695="","확인필요(입력누락)",IF(SUMPRODUCT((실물목록!$P$2:$P$1001&lt;&gt;"")*ISNUMBER(SEARCH(실물목록!$P$2:$P$1001,I1695))*(실물목록!$Q$2:$Q$1001&lt;&gt;"")*ISNUMBER(SEARCH(실물목록!$Q$2:$Q$1001,I1695))*(실물목록!$R$2:$R$1001="")*(실물목록!$O$2:$O$1001&lt;&gt;"")*(실물목록!$O$2:$O$1001=H1695))&gt;0,"실물 있음",IF(SUMPRODUCT((실물목록!$P$2:$P$1001&lt;&gt;"")*ISNUMBER(SEARCH(실물목록!$P$2:$P$1001,I1695))*(실물목록!$R$2:$R$1001&lt;&gt;""))&gt;0,"확인필요(입력누락)",IF(SUMPRODUCT((실물목록!$P$2:$P$1001&lt;&gt;"")*ISNUMBER(SEARCH(실물목록!$P$2:$P$1001,I1695))*(실물목록!$Q$2:$Q$1001&lt;&gt;"")*ISNUMBER(SEARCH(실물목록!$Q$2:$Q$1001,I1695))*(실물목록!$R$2:$R$1001="")*(실물목록!$O$2:$O$1001&lt;&gt;""))&gt;0,"확인필요(연도다름)","실물 없음")))))</f>
      </c>
      <c r="G1695" t="n" s="16">
        <f aca="0">IF(B1695="","",SUMPRODUCT((실물목록!$P$2:$P$1001&lt;&gt;"")*ISNUMBER(SEARCH(실물목록!$P$2:$P$1001,I1695))*(실물목록!$Q$2:$Q$1001&lt;&gt;"")*ISNUMBER(SEARCH(실물목록!$Q$2:$Q$1001,I1695))*(실물목록!$R$2:$R$1001="")*(실물목록!$O$2:$O$1001&lt;&gt;"")*(실물목록!$O$2:$O$1001=H1695)))</f>
      </c>
      <c r="H1695" t="str">
        <f>IFERROR(IF(AND(LEN(SUBSTITUTE(SUBSTITUTE(SUBSTITUTE(TRIM(A1695&amp;""),CHAR(160),"")," ",""),"년",""))=4,VALUE(SUBSTITUTE(SUBSTITUTE(SUBSTITUTE(TRIM(A1695&amp;""),CHAR(160),"")," ",""),"년",""))&gt;=1900,VALUE(SUBSTITUTE(SUBSTITUTE(SUBSTITUTE(TRIM(A1695&amp;""),CHAR(160),"")," ",""),"년",""))&lt;=2099,TEXT(VALUE(SUBSTITUTE(SUBSTITUTE(SUBSTITUTE(TRIM(A1695&amp;""),CHAR(160),"")," ",""),"년","")),"0000")=SUBSTITUTE(SUBSTITUTE(SUBSTITUTE(TRIM(A1695&amp;""),CHAR(160),"")," ",""),"년","")),SUBSTITUTE(SUBSTITUTE(SUBSTITUTE(TRIM(A1695&amp;""),CHAR(160),"")," ",""),"년",""),""),"")</f>
      </c>
      <c r="I1695" t="str">
        <f>SUBSTITUTE(SUBSTITUTE(SUBSTITUTE(SUBSTITUTE(SUBSTITUTE(TRIM(B1695&amp;""),CHAR(160),"")," ",""),"초등학교","초"),"중학교","중"),"고등학교","고")</f>
      </c>
    </row>
    <row r="1696" customFormat="false" ht="15" hidden="false" customHeight="false" outlineLevel="0" collapsed="false">
      <c r="A1696" s="8"/>
      <c r="B1696" s="8"/>
      <c r="C1696" s="8"/>
      <c r="D1696" s="8"/>
      <c r="E1696" s="8"/>
      <c r="F1696" t="str" s="15">
        <f aca="0">IF(B1696="","",IF(H1696="","확인필요(입력누락)",IF(SUMPRODUCT((실물목록!$P$2:$P$1001&lt;&gt;"")*ISNUMBER(SEARCH(실물목록!$P$2:$P$1001,I1696))*(실물목록!$Q$2:$Q$1001&lt;&gt;"")*ISNUMBER(SEARCH(실물목록!$Q$2:$Q$1001,I1696))*(실물목록!$R$2:$R$1001="")*(실물목록!$O$2:$O$1001&lt;&gt;"")*(실물목록!$O$2:$O$1001=H1696))&gt;0,"실물 있음",IF(SUMPRODUCT((실물목록!$P$2:$P$1001&lt;&gt;"")*ISNUMBER(SEARCH(실물목록!$P$2:$P$1001,I1696))*(실물목록!$R$2:$R$1001&lt;&gt;""))&gt;0,"확인필요(입력누락)",IF(SUMPRODUCT((실물목록!$P$2:$P$1001&lt;&gt;"")*ISNUMBER(SEARCH(실물목록!$P$2:$P$1001,I1696))*(실물목록!$Q$2:$Q$1001&lt;&gt;"")*ISNUMBER(SEARCH(실물목록!$Q$2:$Q$1001,I1696))*(실물목록!$R$2:$R$1001="")*(실물목록!$O$2:$O$1001&lt;&gt;""))&gt;0,"확인필요(연도다름)","실물 없음")))))</f>
      </c>
      <c r="G1696" t="n" s="16">
        <f aca="0">IF(B1696="","",SUMPRODUCT((실물목록!$P$2:$P$1001&lt;&gt;"")*ISNUMBER(SEARCH(실물목록!$P$2:$P$1001,I1696))*(실물목록!$Q$2:$Q$1001&lt;&gt;"")*ISNUMBER(SEARCH(실물목록!$Q$2:$Q$1001,I1696))*(실물목록!$R$2:$R$1001="")*(실물목록!$O$2:$O$1001&lt;&gt;"")*(실물목록!$O$2:$O$1001=H1696)))</f>
      </c>
      <c r="H1696" t="str">
        <f>IFERROR(IF(AND(LEN(SUBSTITUTE(SUBSTITUTE(SUBSTITUTE(TRIM(A1696&amp;""),CHAR(160),"")," ",""),"년",""))=4,VALUE(SUBSTITUTE(SUBSTITUTE(SUBSTITUTE(TRIM(A1696&amp;""),CHAR(160),"")," ",""),"년",""))&gt;=1900,VALUE(SUBSTITUTE(SUBSTITUTE(SUBSTITUTE(TRIM(A1696&amp;""),CHAR(160),"")," ",""),"년",""))&lt;=2099,TEXT(VALUE(SUBSTITUTE(SUBSTITUTE(SUBSTITUTE(TRIM(A1696&amp;""),CHAR(160),"")," ",""),"년","")),"0000")=SUBSTITUTE(SUBSTITUTE(SUBSTITUTE(TRIM(A1696&amp;""),CHAR(160),"")," ",""),"년","")),SUBSTITUTE(SUBSTITUTE(SUBSTITUTE(TRIM(A1696&amp;""),CHAR(160),"")," ",""),"년",""),""),"")</f>
      </c>
      <c r="I1696" t="str">
        <f>SUBSTITUTE(SUBSTITUTE(SUBSTITUTE(SUBSTITUTE(SUBSTITUTE(TRIM(B1696&amp;""),CHAR(160),"")," ",""),"초등학교","초"),"중학교","중"),"고등학교","고")</f>
      </c>
    </row>
    <row r="1697" customFormat="false" ht="15" hidden="false" customHeight="false" outlineLevel="0" collapsed="false">
      <c r="A1697" s="8"/>
      <c r="B1697" s="8"/>
      <c r="C1697" s="8"/>
      <c r="D1697" s="8"/>
      <c r="E1697" s="8"/>
      <c r="F1697" t="str" s="15">
        <f aca="0">IF(B1697="","",IF(H1697="","확인필요(입력누락)",IF(SUMPRODUCT((실물목록!$P$2:$P$1001&lt;&gt;"")*ISNUMBER(SEARCH(실물목록!$P$2:$P$1001,I1697))*(실물목록!$Q$2:$Q$1001&lt;&gt;"")*ISNUMBER(SEARCH(실물목록!$Q$2:$Q$1001,I1697))*(실물목록!$R$2:$R$1001="")*(실물목록!$O$2:$O$1001&lt;&gt;"")*(실물목록!$O$2:$O$1001=H1697))&gt;0,"실물 있음",IF(SUMPRODUCT((실물목록!$P$2:$P$1001&lt;&gt;"")*ISNUMBER(SEARCH(실물목록!$P$2:$P$1001,I1697))*(실물목록!$R$2:$R$1001&lt;&gt;""))&gt;0,"확인필요(입력누락)",IF(SUMPRODUCT((실물목록!$P$2:$P$1001&lt;&gt;"")*ISNUMBER(SEARCH(실물목록!$P$2:$P$1001,I1697))*(실물목록!$Q$2:$Q$1001&lt;&gt;"")*ISNUMBER(SEARCH(실물목록!$Q$2:$Q$1001,I1697))*(실물목록!$R$2:$R$1001="")*(실물목록!$O$2:$O$1001&lt;&gt;""))&gt;0,"확인필요(연도다름)","실물 없음")))))</f>
      </c>
      <c r="G1697" t="n" s="16">
        <f aca="0">IF(B1697="","",SUMPRODUCT((실물목록!$P$2:$P$1001&lt;&gt;"")*ISNUMBER(SEARCH(실물목록!$P$2:$P$1001,I1697))*(실물목록!$Q$2:$Q$1001&lt;&gt;"")*ISNUMBER(SEARCH(실물목록!$Q$2:$Q$1001,I1697))*(실물목록!$R$2:$R$1001="")*(실물목록!$O$2:$O$1001&lt;&gt;"")*(실물목록!$O$2:$O$1001=H1697)))</f>
      </c>
      <c r="H1697" t="str">
        <f>IFERROR(IF(AND(LEN(SUBSTITUTE(SUBSTITUTE(SUBSTITUTE(TRIM(A1697&amp;""),CHAR(160),"")," ",""),"년",""))=4,VALUE(SUBSTITUTE(SUBSTITUTE(SUBSTITUTE(TRIM(A1697&amp;""),CHAR(160),"")," ",""),"년",""))&gt;=1900,VALUE(SUBSTITUTE(SUBSTITUTE(SUBSTITUTE(TRIM(A1697&amp;""),CHAR(160),"")," ",""),"년",""))&lt;=2099,TEXT(VALUE(SUBSTITUTE(SUBSTITUTE(SUBSTITUTE(TRIM(A1697&amp;""),CHAR(160),"")," ",""),"년","")),"0000")=SUBSTITUTE(SUBSTITUTE(SUBSTITUTE(TRIM(A1697&amp;""),CHAR(160),"")," ",""),"년","")),SUBSTITUTE(SUBSTITUTE(SUBSTITUTE(TRIM(A1697&amp;""),CHAR(160),"")," ",""),"년",""),""),"")</f>
      </c>
      <c r="I1697" t="str">
        <f>SUBSTITUTE(SUBSTITUTE(SUBSTITUTE(SUBSTITUTE(SUBSTITUTE(TRIM(B1697&amp;""),CHAR(160),"")," ",""),"초등학교","초"),"중학교","중"),"고등학교","고")</f>
      </c>
    </row>
    <row r="1698" customFormat="false" ht="15" hidden="false" customHeight="false" outlineLevel="0" collapsed="false">
      <c r="A1698" s="8"/>
      <c r="B1698" s="8"/>
      <c r="C1698" s="8"/>
      <c r="D1698" s="8"/>
      <c r="E1698" s="8"/>
      <c r="F1698" t="str" s="15">
        <f aca="0">IF(B1698="","",IF(H1698="","확인필요(입력누락)",IF(SUMPRODUCT((실물목록!$P$2:$P$1001&lt;&gt;"")*ISNUMBER(SEARCH(실물목록!$P$2:$P$1001,I1698))*(실물목록!$Q$2:$Q$1001&lt;&gt;"")*ISNUMBER(SEARCH(실물목록!$Q$2:$Q$1001,I1698))*(실물목록!$R$2:$R$1001="")*(실물목록!$O$2:$O$1001&lt;&gt;"")*(실물목록!$O$2:$O$1001=H1698))&gt;0,"실물 있음",IF(SUMPRODUCT((실물목록!$P$2:$P$1001&lt;&gt;"")*ISNUMBER(SEARCH(실물목록!$P$2:$P$1001,I1698))*(실물목록!$R$2:$R$1001&lt;&gt;""))&gt;0,"확인필요(입력누락)",IF(SUMPRODUCT((실물목록!$P$2:$P$1001&lt;&gt;"")*ISNUMBER(SEARCH(실물목록!$P$2:$P$1001,I1698))*(실물목록!$Q$2:$Q$1001&lt;&gt;"")*ISNUMBER(SEARCH(실물목록!$Q$2:$Q$1001,I1698))*(실물목록!$R$2:$R$1001="")*(실물목록!$O$2:$O$1001&lt;&gt;""))&gt;0,"확인필요(연도다름)","실물 없음")))))</f>
      </c>
      <c r="G1698" t="n" s="16">
        <f aca="0">IF(B1698="","",SUMPRODUCT((실물목록!$P$2:$P$1001&lt;&gt;"")*ISNUMBER(SEARCH(실물목록!$P$2:$P$1001,I1698))*(실물목록!$Q$2:$Q$1001&lt;&gt;"")*ISNUMBER(SEARCH(실물목록!$Q$2:$Q$1001,I1698))*(실물목록!$R$2:$R$1001="")*(실물목록!$O$2:$O$1001&lt;&gt;"")*(실물목록!$O$2:$O$1001=H1698)))</f>
      </c>
      <c r="H1698" t="str">
        <f>IFERROR(IF(AND(LEN(SUBSTITUTE(SUBSTITUTE(SUBSTITUTE(TRIM(A1698&amp;""),CHAR(160),"")," ",""),"년",""))=4,VALUE(SUBSTITUTE(SUBSTITUTE(SUBSTITUTE(TRIM(A1698&amp;""),CHAR(160),"")," ",""),"년",""))&gt;=1900,VALUE(SUBSTITUTE(SUBSTITUTE(SUBSTITUTE(TRIM(A1698&amp;""),CHAR(160),"")," ",""),"년",""))&lt;=2099,TEXT(VALUE(SUBSTITUTE(SUBSTITUTE(SUBSTITUTE(TRIM(A1698&amp;""),CHAR(160),"")," ",""),"년","")),"0000")=SUBSTITUTE(SUBSTITUTE(SUBSTITUTE(TRIM(A1698&amp;""),CHAR(160),"")," ",""),"년","")),SUBSTITUTE(SUBSTITUTE(SUBSTITUTE(TRIM(A1698&amp;""),CHAR(160),"")," ",""),"년",""),""),"")</f>
      </c>
      <c r="I1698" t="str">
        <f>SUBSTITUTE(SUBSTITUTE(SUBSTITUTE(SUBSTITUTE(SUBSTITUTE(TRIM(B1698&amp;""),CHAR(160),"")," ",""),"초등학교","초"),"중학교","중"),"고등학교","고")</f>
      </c>
    </row>
    <row r="1699" customFormat="false" ht="15" hidden="false" customHeight="false" outlineLevel="0" collapsed="false">
      <c r="A1699" s="8"/>
      <c r="B1699" s="8"/>
      <c r="C1699" s="8"/>
      <c r="D1699" s="8"/>
      <c r="E1699" s="8"/>
      <c r="F1699" t="str" s="15">
        <f aca="0">IF(B1699="","",IF(H1699="","확인필요(입력누락)",IF(SUMPRODUCT((실물목록!$P$2:$P$1001&lt;&gt;"")*ISNUMBER(SEARCH(실물목록!$P$2:$P$1001,I1699))*(실물목록!$Q$2:$Q$1001&lt;&gt;"")*ISNUMBER(SEARCH(실물목록!$Q$2:$Q$1001,I1699))*(실물목록!$R$2:$R$1001="")*(실물목록!$O$2:$O$1001&lt;&gt;"")*(실물목록!$O$2:$O$1001=H1699))&gt;0,"실물 있음",IF(SUMPRODUCT((실물목록!$P$2:$P$1001&lt;&gt;"")*ISNUMBER(SEARCH(실물목록!$P$2:$P$1001,I1699))*(실물목록!$R$2:$R$1001&lt;&gt;""))&gt;0,"확인필요(입력누락)",IF(SUMPRODUCT((실물목록!$P$2:$P$1001&lt;&gt;"")*ISNUMBER(SEARCH(실물목록!$P$2:$P$1001,I1699))*(실물목록!$Q$2:$Q$1001&lt;&gt;"")*ISNUMBER(SEARCH(실물목록!$Q$2:$Q$1001,I1699))*(실물목록!$R$2:$R$1001="")*(실물목록!$O$2:$O$1001&lt;&gt;""))&gt;0,"확인필요(연도다름)","실물 없음")))))</f>
      </c>
      <c r="G1699" t="n" s="16">
        <f aca="0">IF(B1699="","",SUMPRODUCT((실물목록!$P$2:$P$1001&lt;&gt;"")*ISNUMBER(SEARCH(실물목록!$P$2:$P$1001,I1699))*(실물목록!$Q$2:$Q$1001&lt;&gt;"")*ISNUMBER(SEARCH(실물목록!$Q$2:$Q$1001,I1699))*(실물목록!$R$2:$R$1001="")*(실물목록!$O$2:$O$1001&lt;&gt;"")*(실물목록!$O$2:$O$1001=H1699)))</f>
      </c>
      <c r="H1699" t="str">
        <f>IFERROR(IF(AND(LEN(SUBSTITUTE(SUBSTITUTE(SUBSTITUTE(TRIM(A1699&amp;""),CHAR(160),"")," ",""),"년",""))=4,VALUE(SUBSTITUTE(SUBSTITUTE(SUBSTITUTE(TRIM(A1699&amp;""),CHAR(160),"")," ",""),"년",""))&gt;=1900,VALUE(SUBSTITUTE(SUBSTITUTE(SUBSTITUTE(TRIM(A1699&amp;""),CHAR(160),"")," ",""),"년",""))&lt;=2099,TEXT(VALUE(SUBSTITUTE(SUBSTITUTE(SUBSTITUTE(TRIM(A1699&amp;""),CHAR(160),"")," ",""),"년","")),"0000")=SUBSTITUTE(SUBSTITUTE(SUBSTITUTE(TRIM(A1699&amp;""),CHAR(160),"")," ",""),"년","")),SUBSTITUTE(SUBSTITUTE(SUBSTITUTE(TRIM(A1699&amp;""),CHAR(160),"")," ",""),"년",""),""),"")</f>
      </c>
      <c r="I1699" t="str">
        <f>SUBSTITUTE(SUBSTITUTE(SUBSTITUTE(SUBSTITUTE(SUBSTITUTE(TRIM(B1699&amp;""),CHAR(160),"")," ",""),"초등학교","초"),"중학교","중"),"고등학교","고")</f>
      </c>
    </row>
    <row r="1700" customFormat="false" ht="15" hidden="false" customHeight="false" outlineLevel="0" collapsed="false">
      <c r="A1700" s="8"/>
      <c r="B1700" s="8"/>
      <c r="C1700" s="8"/>
      <c r="D1700" s="8"/>
      <c r="E1700" s="8"/>
      <c r="F1700" t="str" s="15">
        <f aca="0">IF(B1700="","",IF(H1700="","확인필요(입력누락)",IF(SUMPRODUCT((실물목록!$P$2:$P$1001&lt;&gt;"")*ISNUMBER(SEARCH(실물목록!$P$2:$P$1001,I1700))*(실물목록!$Q$2:$Q$1001&lt;&gt;"")*ISNUMBER(SEARCH(실물목록!$Q$2:$Q$1001,I1700))*(실물목록!$R$2:$R$1001="")*(실물목록!$O$2:$O$1001&lt;&gt;"")*(실물목록!$O$2:$O$1001=H1700))&gt;0,"실물 있음",IF(SUMPRODUCT((실물목록!$P$2:$P$1001&lt;&gt;"")*ISNUMBER(SEARCH(실물목록!$P$2:$P$1001,I1700))*(실물목록!$R$2:$R$1001&lt;&gt;""))&gt;0,"확인필요(입력누락)",IF(SUMPRODUCT((실물목록!$P$2:$P$1001&lt;&gt;"")*ISNUMBER(SEARCH(실물목록!$P$2:$P$1001,I1700))*(실물목록!$Q$2:$Q$1001&lt;&gt;"")*ISNUMBER(SEARCH(실물목록!$Q$2:$Q$1001,I1700))*(실물목록!$R$2:$R$1001="")*(실물목록!$O$2:$O$1001&lt;&gt;""))&gt;0,"확인필요(연도다름)","실물 없음")))))</f>
      </c>
      <c r="G1700" t="n" s="16">
        <f aca="0">IF(B1700="","",SUMPRODUCT((실물목록!$P$2:$P$1001&lt;&gt;"")*ISNUMBER(SEARCH(실물목록!$P$2:$P$1001,I1700))*(실물목록!$Q$2:$Q$1001&lt;&gt;"")*ISNUMBER(SEARCH(실물목록!$Q$2:$Q$1001,I1700))*(실물목록!$R$2:$R$1001="")*(실물목록!$O$2:$O$1001&lt;&gt;"")*(실물목록!$O$2:$O$1001=H1700)))</f>
      </c>
      <c r="H1700" t="str">
        <f>IFERROR(IF(AND(LEN(SUBSTITUTE(SUBSTITUTE(SUBSTITUTE(TRIM(A1700&amp;""),CHAR(160),"")," ",""),"년",""))=4,VALUE(SUBSTITUTE(SUBSTITUTE(SUBSTITUTE(TRIM(A1700&amp;""),CHAR(160),"")," ",""),"년",""))&gt;=1900,VALUE(SUBSTITUTE(SUBSTITUTE(SUBSTITUTE(TRIM(A1700&amp;""),CHAR(160),"")," ",""),"년",""))&lt;=2099,TEXT(VALUE(SUBSTITUTE(SUBSTITUTE(SUBSTITUTE(TRIM(A1700&amp;""),CHAR(160),"")," ",""),"년","")),"0000")=SUBSTITUTE(SUBSTITUTE(SUBSTITUTE(TRIM(A1700&amp;""),CHAR(160),"")," ",""),"년","")),SUBSTITUTE(SUBSTITUTE(SUBSTITUTE(TRIM(A1700&amp;""),CHAR(160),"")," ",""),"년",""),""),"")</f>
      </c>
      <c r="I1700" t="str">
        <f>SUBSTITUTE(SUBSTITUTE(SUBSTITUTE(SUBSTITUTE(SUBSTITUTE(TRIM(B1700&amp;""),CHAR(160),"")," ",""),"초등학교","초"),"중학교","중"),"고등학교","고")</f>
      </c>
    </row>
    <row r="1701" customFormat="false" ht="15" hidden="false" customHeight="false" outlineLevel="0" collapsed="false">
      <c r="A1701" s="8"/>
      <c r="B1701" s="8"/>
      <c r="C1701" s="8"/>
      <c r="D1701" s="8"/>
      <c r="E1701" s="8"/>
      <c r="F1701" t="str" s="15">
        <f aca="0">IF(B1701="","",IF(H1701="","확인필요(입력누락)",IF(SUMPRODUCT((실물목록!$P$2:$P$1001&lt;&gt;"")*ISNUMBER(SEARCH(실물목록!$P$2:$P$1001,I1701))*(실물목록!$Q$2:$Q$1001&lt;&gt;"")*ISNUMBER(SEARCH(실물목록!$Q$2:$Q$1001,I1701))*(실물목록!$R$2:$R$1001="")*(실물목록!$O$2:$O$1001&lt;&gt;"")*(실물목록!$O$2:$O$1001=H1701))&gt;0,"실물 있음",IF(SUMPRODUCT((실물목록!$P$2:$P$1001&lt;&gt;"")*ISNUMBER(SEARCH(실물목록!$P$2:$P$1001,I1701))*(실물목록!$R$2:$R$1001&lt;&gt;""))&gt;0,"확인필요(입력누락)",IF(SUMPRODUCT((실물목록!$P$2:$P$1001&lt;&gt;"")*ISNUMBER(SEARCH(실물목록!$P$2:$P$1001,I1701))*(실물목록!$Q$2:$Q$1001&lt;&gt;"")*ISNUMBER(SEARCH(실물목록!$Q$2:$Q$1001,I1701))*(실물목록!$R$2:$R$1001="")*(실물목록!$O$2:$O$1001&lt;&gt;""))&gt;0,"확인필요(연도다름)","실물 없음")))))</f>
      </c>
      <c r="G1701" t="n" s="16">
        <f aca="0">IF(B1701="","",SUMPRODUCT((실물목록!$P$2:$P$1001&lt;&gt;"")*ISNUMBER(SEARCH(실물목록!$P$2:$P$1001,I1701))*(실물목록!$Q$2:$Q$1001&lt;&gt;"")*ISNUMBER(SEARCH(실물목록!$Q$2:$Q$1001,I1701))*(실물목록!$R$2:$R$1001="")*(실물목록!$O$2:$O$1001&lt;&gt;"")*(실물목록!$O$2:$O$1001=H1701)))</f>
      </c>
      <c r="H1701" t="str">
        <f>IFERROR(IF(AND(LEN(SUBSTITUTE(SUBSTITUTE(SUBSTITUTE(TRIM(A1701&amp;""),CHAR(160),"")," ",""),"년",""))=4,VALUE(SUBSTITUTE(SUBSTITUTE(SUBSTITUTE(TRIM(A1701&amp;""),CHAR(160),"")," ",""),"년",""))&gt;=1900,VALUE(SUBSTITUTE(SUBSTITUTE(SUBSTITUTE(TRIM(A1701&amp;""),CHAR(160),"")," ",""),"년",""))&lt;=2099,TEXT(VALUE(SUBSTITUTE(SUBSTITUTE(SUBSTITUTE(TRIM(A1701&amp;""),CHAR(160),"")," ",""),"년","")),"0000")=SUBSTITUTE(SUBSTITUTE(SUBSTITUTE(TRIM(A1701&amp;""),CHAR(160),"")," ",""),"년","")),SUBSTITUTE(SUBSTITUTE(SUBSTITUTE(TRIM(A1701&amp;""),CHAR(160),"")," ",""),"년",""),""),"")</f>
      </c>
      <c r="I1701" t="str">
        <f>SUBSTITUTE(SUBSTITUTE(SUBSTITUTE(SUBSTITUTE(SUBSTITUTE(TRIM(B1701&amp;""),CHAR(160),"")," ",""),"초등학교","초"),"중학교","중"),"고등학교","고")</f>
      </c>
    </row>
    <row r="1702" customFormat="false" ht="15" hidden="false" customHeight="false" outlineLevel="0" collapsed="false">
      <c r="A1702" s="8"/>
      <c r="B1702" s="8"/>
      <c r="C1702" s="8"/>
      <c r="D1702" s="8"/>
      <c r="E1702" s="8"/>
      <c r="F1702" t="str" s="15">
        <f aca="0">IF(B1702="","",IF(H1702="","확인필요(입력누락)",IF(SUMPRODUCT((실물목록!$P$2:$P$1001&lt;&gt;"")*ISNUMBER(SEARCH(실물목록!$P$2:$P$1001,I1702))*(실물목록!$Q$2:$Q$1001&lt;&gt;"")*ISNUMBER(SEARCH(실물목록!$Q$2:$Q$1001,I1702))*(실물목록!$R$2:$R$1001="")*(실물목록!$O$2:$O$1001&lt;&gt;"")*(실물목록!$O$2:$O$1001=H1702))&gt;0,"실물 있음",IF(SUMPRODUCT((실물목록!$P$2:$P$1001&lt;&gt;"")*ISNUMBER(SEARCH(실물목록!$P$2:$P$1001,I1702))*(실물목록!$R$2:$R$1001&lt;&gt;""))&gt;0,"확인필요(입력누락)",IF(SUMPRODUCT((실물목록!$P$2:$P$1001&lt;&gt;"")*ISNUMBER(SEARCH(실물목록!$P$2:$P$1001,I1702))*(실물목록!$Q$2:$Q$1001&lt;&gt;"")*ISNUMBER(SEARCH(실물목록!$Q$2:$Q$1001,I1702))*(실물목록!$R$2:$R$1001="")*(실물목록!$O$2:$O$1001&lt;&gt;""))&gt;0,"확인필요(연도다름)","실물 없음")))))</f>
      </c>
      <c r="G1702" t="n" s="16">
        <f aca="0">IF(B1702="","",SUMPRODUCT((실물목록!$P$2:$P$1001&lt;&gt;"")*ISNUMBER(SEARCH(실물목록!$P$2:$P$1001,I1702))*(실물목록!$Q$2:$Q$1001&lt;&gt;"")*ISNUMBER(SEARCH(실물목록!$Q$2:$Q$1001,I1702))*(실물목록!$R$2:$R$1001="")*(실물목록!$O$2:$O$1001&lt;&gt;"")*(실물목록!$O$2:$O$1001=H1702)))</f>
      </c>
      <c r="H1702" t="str">
        <f>IFERROR(IF(AND(LEN(SUBSTITUTE(SUBSTITUTE(SUBSTITUTE(TRIM(A1702&amp;""),CHAR(160),"")," ",""),"년",""))=4,VALUE(SUBSTITUTE(SUBSTITUTE(SUBSTITUTE(TRIM(A1702&amp;""),CHAR(160),"")," ",""),"년",""))&gt;=1900,VALUE(SUBSTITUTE(SUBSTITUTE(SUBSTITUTE(TRIM(A1702&amp;""),CHAR(160),"")," ",""),"년",""))&lt;=2099,TEXT(VALUE(SUBSTITUTE(SUBSTITUTE(SUBSTITUTE(TRIM(A1702&amp;""),CHAR(160),"")," ",""),"년","")),"0000")=SUBSTITUTE(SUBSTITUTE(SUBSTITUTE(TRIM(A1702&amp;""),CHAR(160),"")," ",""),"년","")),SUBSTITUTE(SUBSTITUTE(SUBSTITUTE(TRIM(A1702&amp;""),CHAR(160),"")," ",""),"년",""),""),"")</f>
      </c>
      <c r="I1702" t="str">
        <f>SUBSTITUTE(SUBSTITUTE(SUBSTITUTE(SUBSTITUTE(SUBSTITUTE(TRIM(B1702&amp;""),CHAR(160),"")," ",""),"초등학교","초"),"중학교","중"),"고등학교","고")</f>
      </c>
    </row>
    <row r="1703" customFormat="false" ht="15" hidden="false" customHeight="false" outlineLevel="0" collapsed="false">
      <c r="A1703" s="8"/>
      <c r="B1703" s="8"/>
      <c r="C1703" s="8"/>
      <c r="D1703" s="8"/>
      <c r="E1703" s="8"/>
      <c r="F1703" t="str" s="15">
        <f aca="0">IF(B1703="","",IF(H1703="","확인필요(입력누락)",IF(SUMPRODUCT((실물목록!$P$2:$P$1001&lt;&gt;"")*ISNUMBER(SEARCH(실물목록!$P$2:$P$1001,I1703))*(실물목록!$Q$2:$Q$1001&lt;&gt;"")*ISNUMBER(SEARCH(실물목록!$Q$2:$Q$1001,I1703))*(실물목록!$R$2:$R$1001="")*(실물목록!$O$2:$O$1001&lt;&gt;"")*(실물목록!$O$2:$O$1001=H1703))&gt;0,"실물 있음",IF(SUMPRODUCT((실물목록!$P$2:$P$1001&lt;&gt;"")*ISNUMBER(SEARCH(실물목록!$P$2:$P$1001,I1703))*(실물목록!$R$2:$R$1001&lt;&gt;""))&gt;0,"확인필요(입력누락)",IF(SUMPRODUCT((실물목록!$P$2:$P$1001&lt;&gt;"")*ISNUMBER(SEARCH(실물목록!$P$2:$P$1001,I1703))*(실물목록!$Q$2:$Q$1001&lt;&gt;"")*ISNUMBER(SEARCH(실물목록!$Q$2:$Q$1001,I1703))*(실물목록!$R$2:$R$1001="")*(실물목록!$O$2:$O$1001&lt;&gt;""))&gt;0,"확인필요(연도다름)","실물 없음")))))</f>
      </c>
      <c r="G1703" t="n" s="16">
        <f aca="0">IF(B1703="","",SUMPRODUCT((실물목록!$P$2:$P$1001&lt;&gt;"")*ISNUMBER(SEARCH(실물목록!$P$2:$P$1001,I1703))*(실물목록!$Q$2:$Q$1001&lt;&gt;"")*ISNUMBER(SEARCH(실물목록!$Q$2:$Q$1001,I1703))*(실물목록!$R$2:$R$1001="")*(실물목록!$O$2:$O$1001&lt;&gt;"")*(실물목록!$O$2:$O$1001=H1703)))</f>
      </c>
      <c r="H1703" t="str">
        <f>IFERROR(IF(AND(LEN(SUBSTITUTE(SUBSTITUTE(SUBSTITUTE(TRIM(A1703&amp;""),CHAR(160),"")," ",""),"년",""))=4,VALUE(SUBSTITUTE(SUBSTITUTE(SUBSTITUTE(TRIM(A1703&amp;""),CHAR(160),"")," ",""),"년",""))&gt;=1900,VALUE(SUBSTITUTE(SUBSTITUTE(SUBSTITUTE(TRIM(A1703&amp;""),CHAR(160),"")," ",""),"년",""))&lt;=2099,TEXT(VALUE(SUBSTITUTE(SUBSTITUTE(SUBSTITUTE(TRIM(A1703&amp;""),CHAR(160),"")," ",""),"년","")),"0000")=SUBSTITUTE(SUBSTITUTE(SUBSTITUTE(TRIM(A1703&amp;""),CHAR(160),"")," ",""),"년","")),SUBSTITUTE(SUBSTITUTE(SUBSTITUTE(TRIM(A1703&amp;""),CHAR(160),"")," ",""),"년",""),""),"")</f>
      </c>
      <c r="I1703" t="str">
        <f>SUBSTITUTE(SUBSTITUTE(SUBSTITUTE(SUBSTITUTE(SUBSTITUTE(TRIM(B1703&amp;""),CHAR(160),"")," ",""),"초등학교","초"),"중학교","중"),"고등학교","고")</f>
      </c>
    </row>
    <row r="1704" customFormat="false" ht="15" hidden="false" customHeight="false" outlineLevel="0" collapsed="false">
      <c r="A1704" s="8"/>
      <c r="B1704" s="8"/>
      <c r="C1704" s="8"/>
      <c r="D1704" s="8"/>
      <c r="E1704" s="8"/>
      <c r="F1704" t="str" s="15">
        <f aca="0">IF(B1704="","",IF(H1704="","확인필요(입력누락)",IF(SUMPRODUCT((실물목록!$P$2:$P$1001&lt;&gt;"")*ISNUMBER(SEARCH(실물목록!$P$2:$P$1001,I1704))*(실물목록!$Q$2:$Q$1001&lt;&gt;"")*ISNUMBER(SEARCH(실물목록!$Q$2:$Q$1001,I1704))*(실물목록!$R$2:$R$1001="")*(실물목록!$O$2:$O$1001&lt;&gt;"")*(실물목록!$O$2:$O$1001=H1704))&gt;0,"실물 있음",IF(SUMPRODUCT((실물목록!$P$2:$P$1001&lt;&gt;"")*ISNUMBER(SEARCH(실물목록!$P$2:$P$1001,I1704))*(실물목록!$R$2:$R$1001&lt;&gt;""))&gt;0,"확인필요(입력누락)",IF(SUMPRODUCT((실물목록!$P$2:$P$1001&lt;&gt;"")*ISNUMBER(SEARCH(실물목록!$P$2:$P$1001,I1704))*(실물목록!$Q$2:$Q$1001&lt;&gt;"")*ISNUMBER(SEARCH(실물목록!$Q$2:$Q$1001,I1704))*(실물목록!$R$2:$R$1001="")*(실물목록!$O$2:$O$1001&lt;&gt;""))&gt;0,"확인필요(연도다름)","실물 없음")))))</f>
      </c>
      <c r="G1704" t="n" s="16">
        <f aca="0">IF(B1704="","",SUMPRODUCT((실물목록!$P$2:$P$1001&lt;&gt;"")*ISNUMBER(SEARCH(실물목록!$P$2:$P$1001,I1704))*(실물목록!$Q$2:$Q$1001&lt;&gt;"")*ISNUMBER(SEARCH(실물목록!$Q$2:$Q$1001,I1704))*(실물목록!$R$2:$R$1001="")*(실물목록!$O$2:$O$1001&lt;&gt;"")*(실물목록!$O$2:$O$1001=H1704)))</f>
      </c>
      <c r="H1704" t="str">
        <f>IFERROR(IF(AND(LEN(SUBSTITUTE(SUBSTITUTE(SUBSTITUTE(TRIM(A1704&amp;""),CHAR(160),"")," ",""),"년",""))=4,VALUE(SUBSTITUTE(SUBSTITUTE(SUBSTITUTE(TRIM(A1704&amp;""),CHAR(160),"")," ",""),"년",""))&gt;=1900,VALUE(SUBSTITUTE(SUBSTITUTE(SUBSTITUTE(TRIM(A1704&amp;""),CHAR(160),"")," ",""),"년",""))&lt;=2099,TEXT(VALUE(SUBSTITUTE(SUBSTITUTE(SUBSTITUTE(TRIM(A1704&amp;""),CHAR(160),"")," ",""),"년","")),"0000")=SUBSTITUTE(SUBSTITUTE(SUBSTITUTE(TRIM(A1704&amp;""),CHAR(160),"")," ",""),"년","")),SUBSTITUTE(SUBSTITUTE(SUBSTITUTE(TRIM(A1704&amp;""),CHAR(160),"")," ",""),"년",""),""),"")</f>
      </c>
      <c r="I1704" t="str">
        <f>SUBSTITUTE(SUBSTITUTE(SUBSTITUTE(SUBSTITUTE(SUBSTITUTE(TRIM(B1704&amp;""),CHAR(160),"")," ",""),"초등학교","초"),"중학교","중"),"고등학교","고")</f>
      </c>
    </row>
    <row r="1705" customFormat="false" ht="15" hidden="false" customHeight="false" outlineLevel="0" collapsed="false">
      <c r="A1705" s="8"/>
      <c r="B1705" s="8"/>
      <c r="C1705" s="8"/>
      <c r="D1705" s="8"/>
      <c r="E1705" s="8"/>
      <c r="F1705" t="str" s="15">
        <f aca="0">IF(B1705="","",IF(H1705="","확인필요(입력누락)",IF(SUMPRODUCT((실물목록!$P$2:$P$1001&lt;&gt;"")*ISNUMBER(SEARCH(실물목록!$P$2:$P$1001,I1705))*(실물목록!$Q$2:$Q$1001&lt;&gt;"")*ISNUMBER(SEARCH(실물목록!$Q$2:$Q$1001,I1705))*(실물목록!$R$2:$R$1001="")*(실물목록!$O$2:$O$1001&lt;&gt;"")*(실물목록!$O$2:$O$1001=H1705))&gt;0,"실물 있음",IF(SUMPRODUCT((실물목록!$P$2:$P$1001&lt;&gt;"")*ISNUMBER(SEARCH(실물목록!$P$2:$P$1001,I1705))*(실물목록!$R$2:$R$1001&lt;&gt;""))&gt;0,"확인필요(입력누락)",IF(SUMPRODUCT((실물목록!$P$2:$P$1001&lt;&gt;"")*ISNUMBER(SEARCH(실물목록!$P$2:$P$1001,I1705))*(실물목록!$Q$2:$Q$1001&lt;&gt;"")*ISNUMBER(SEARCH(실물목록!$Q$2:$Q$1001,I1705))*(실물목록!$R$2:$R$1001="")*(실물목록!$O$2:$O$1001&lt;&gt;""))&gt;0,"확인필요(연도다름)","실물 없음")))))</f>
      </c>
      <c r="G1705" t="n" s="16">
        <f aca="0">IF(B1705="","",SUMPRODUCT((실물목록!$P$2:$P$1001&lt;&gt;"")*ISNUMBER(SEARCH(실물목록!$P$2:$P$1001,I1705))*(실물목록!$Q$2:$Q$1001&lt;&gt;"")*ISNUMBER(SEARCH(실물목록!$Q$2:$Q$1001,I1705))*(실물목록!$R$2:$R$1001="")*(실물목록!$O$2:$O$1001&lt;&gt;"")*(실물목록!$O$2:$O$1001=H1705)))</f>
      </c>
      <c r="H1705" t="str">
        <f>IFERROR(IF(AND(LEN(SUBSTITUTE(SUBSTITUTE(SUBSTITUTE(TRIM(A1705&amp;""),CHAR(160),"")," ",""),"년",""))=4,VALUE(SUBSTITUTE(SUBSTITUTE(SUBSTITUTE(TRIM(A1705&amp;""),CHAR(160),"")," ",""),"년",""))&gt;=1900,VALUE(SUBSTITUTE(SUBSTITUTE(SUBSTITUTE(TRIM(A1705&amp;""),CHAR(160),"")," ",""),"년",""))&lt;=2099,TEXT(VALUE(SUBSTITUTE(SUBSTITUTE(SUBSTITUTE(TRIM(A1705&amp;""),CHAR(160),"")," ",""),"년","")),"0000")=SUBSTITUTE(SUBSTITUTE(SUBSTITUTE(TRIM(A1705&amp;""),CHAR(160),"")," ",""),"년","")),SUBSTITUTE(SUBSTITUTE(SUBSTITUTE(TRIM(A1705&amp;""),CHAR(160),"")," ",""),"년",""),""),"")</f>
      </c>
      <c r="I1705" t="str">
        <f>SUBSTITUTE(SUBSTITUTE(SUBSTITUTE(SUBSTITUTE(SUBSTITUTE(TRIM(B1705&amp;""),CHAR(160),"")," ",""),"초등학교","초"),"중학교","중"),"고등학교","고")</f>
      </c>
    </row>
    <row r="1706" customFormat="false" ht="15" hidden="false" customHeight="false" outlineLevel="0" collapsed="false">
      <c r="A1706" s="8"/>
      <c r="B1706" s="8"/>
      <c r="C1706" s="8"/>
      <c r="D1706" s="8"/>
      <c r="E1706" s="8"/>
      <c r="F1706" t="str" s="15">
        <f aca="0">IF(B1706="","",IF(H1706="","확인필요(입력누락)",IF(SUMPRODUCT((실물목록!$P$2:$P$1001&lt;&gt;"")*ISNUMBER(SEARCH(실물목록!$P$2:$P$1001,I1706))*(실물목록!$Q$2:$Q$1001&lt;&gt;"")*ISNUMBER(SEARCH(실물목록!$Q$2:$Q$1001,I1706))*(실물목록!$R$2:$R$1001="")*(실물목록!$O$2:$O$1001&lt;&gt;"")*(실물목록!$O$2:$O$1001=H1706))&gt;0,"실물 있음",IF(SUMPRODUCT((실물목록!$P$2:$P$1001&lt;&gt;"")*ISNUMBER(SEARCH(실물목록!$P$2:$P$1001,I1706))*(실물목록!$R$2:$R$1001&lt;&gt;""))&gt;0,"확인필요(입력누락)",IF(SUMPRODUCT((실물목록!$P$2:$P$1001&lt;&gt;"")*ISNUMBER(SEARCH(실물목록!$P$2:$P$1001,I1706))*(실물목록!$Q$2:$Q$1001&lt;&gt;"")*ISNUMBER(SEARCH(실물목록!$Q$2:$Q$1001,I1706))*(실물목록!$R$2:$R$1001="")*(실물목록!$O$2:$O$1001&lt;&gt;""))&gt;0,"확인필요(연도다름)","실물 없음")))))</f>
      </c>
      <c r="G1706" t="n" s="16">
        <f aca="0">IF(B1706="","",SUMPRODUCT((실물목록!$P$2:$P$1001&lt;&gt;"")*ISNUMBER(SEARCH(실물목록!$P$2:$P$1001,I1706))*(실물목록!$Q$2:$Q$1001&lt;&gt;"")*ISNUMBER(SEARCH(실물목록!$Q$2:$Q$1001,I1706))*(실물목록!$R$2:$R$1001="")*(실물목록!$O$2:$O$1001&lt;&gt;"")*(실물목록!$O$2:$O$1001=H1706)))</f>
      </c>
      <c r="H1706" t="str">
        <f>IFERROR(IF(AND(LEN(SUBSTITUTE(SUBSTITUTE(SUBSTITUTE(TRIM(A1706&amp;""),CHAR(160),"")," ",""),"년",""))=4,VALUE(SUBSTITUTE(SUBSTITUTE(SUBSTITUTE(TRIM(A1706&amp;""),CHAR(160),"")," ",""),"년",""))&gt;=1900,VALUE(SUBSTITUTE(SUBSTITUTE(SUBSTITUTE(TRIM(A1706&amp;""),CHAR(160),"")," ",""),"년",""))&lt;=2099,TEXT(VALUE(SUBSTITUTE(SUBSTITUTE(SUBSTITUTE(TRIM(A1706&amp;""),CHAR(160),"")," ",""),"년","")),"0000")=SUBSTITUTE(SUBSTITUTE(SUBSTITUTE(TRIM(A1706&amp;""),CHAR(160),"")," ",""),"년","")),SUBSTITUTE(SUBSTITUTE(SUBSTITUTE(TRIM(A1706&amp;""),CHAR(160),"")," ",""),"년",""),""),"")</f>
      </c>
      <c r="I1706" t="str">
        <f>SUBSTITUTE(SUBSTITUTE(SUBSTITUTE(SUBSTITUTE(SUBSTITUTE(TRIM(B1706&amp;""),CHAR(160),"")," ",""),"초등학교","초"),"중학교","중"),"고등학교","고")</f>
      </c>
    </row>
    <row r="1707" customFormat="false" ht="15" hidden="false" customHeight="false" outlineLevel="0" collapsed="false">
      <c r="A1707" s="8"/>
      <c r="B1707" s="8"/>
      <c r="C1707" s="8"/>
      <c r="D1707" s="8"/>
      <c r="E1707" s="8"/>
      <c r="F1707" t="str" s="15">
        <f aca="0">IF(B1707="","",IF(H1707="","확인필요(입력누락)",IF(SUMPRODUCT((실물목록!$P$2:$P$1001&lt;&gt;"")*ISNUMBER(SEARCH(실물목록!$P$2:$P$1001,I1707))*(실물목록!$Q$2:$Q$1001&lt;&gt;"")*ISNUMBER(SEARCH(실물목록!$Q$2:$Q$1001,I1707))*(실물목록!$R$2:$R$1001="")*(실물목록!$O$2:$O$1001&lt;&gt;"")*(실물목록!$O$2:$O$1001=H1707))&gt;0,"실물 있음",IF(SUMPRODUCT((실물목록!$P$2:$P$1001&lt;&gt;"")*ISNUMBER(SEARCH(실물목록!$P$2:$P$1001,I1707))*(실물목록!$R$2:$R$1001&lt;&gt;""))&gt;0,"확인필요(입력누락)",IF(SUMPRODUCT((실물목록!$P$2:$P$1001&lt;&gt;"")*ISNUMBER(SEARCH(실물목록!$P$2:$P$1001,I1707))*(실물목록!$Q$2:$Q$1001&lt;&gt;"")*ISNUMBER(SEARCH(실물목록!$Q$2:$Q$1001,I1707))*(실물목록!$R$2:$R$1001="")*(실물목록!$O$2:$O$1001&lt;&gt;""))&gt;0,"확인필요(연도다름)","실물 없음")))))</f>
      </c>
      <c r="G1707" t="n" s="16">
        <f aca="0">IF(B1707="","",SUMPRODUCT((실물목록!$P$2:$P$1001&lt;&gt;"")*ISNUMBER(SEARCH(실물목록!$P$2:$P$1001,I1707))*(실물목록!$Q$2:$Q$1001&lt;&gt;"")*ISNUMBER(SEARCH(실물목록!$Q$2:$Q$1001,I1707))*(실물목록!$R$2:$R$1001="")*(실물목록!$O$2:$O$1001&lt;&gt;"")*(실물목록!$O$2:$O$1001=H1707)))</f>
      </c>
      <c r="H1707" t="str">
        <f>IFERROR(IF(AND(LEN(SUBSTITUTE(SUBSTITUTE(SUBSTITUTE(TRIM(A1707&amp;""),CHAR(160),"")," ",""),"년",""))=4,VALUE(SUBSTITUTE(SUBSTITUTE(SUBSTITUTE(TRIM(A1707&amp;""),CHAR(160),"")," ",""),"년",""))&gt;=1900,VALUE(SUBSTITUTE(SUBSTITUTE(SUBSTITUTE(TRIM(A1707&amp;""),CHAR(160),"")," ",""),"년",""))&lt;=2099,TEXT(VALUE(SUBSTITUTE(SUBSTITUTE(SUBSTITUTE(TRIM(A1707&amp;""),CHAR(160),"")," ",""),"년","")),"0000")=SUBSTITUTE(SUBSTITUTE(SUBSTITUTE(TRIM(A1707&amp;""),CHAR(160),"")," ",""),"년","")),SUBSTITUTE(SUBSTITUTE(SUBSTITUTE(TRIM(A1707&amp;""),CHAR(160),"")," ",""),"년",""),""),"")</f>
      </c>
      <c r="I1707" t="str">
        <f>SUBSTITUTE(SUBSTITUTE(SUBSTITUTE(SUBSTITUTE(SUBSTITUTE(TRIM(B1707&amp;""),CHAR(160),"")," ",""),"초등학교","초"),"중학교","중"),"고등학교","고")</f>
      </c>
    </row>
    <row r="1708" customFormat="false" ht="15" hidden="false" customHeight="false" outlineLevel="0" collapsed="false">
      <c r="A1708" s="8"/>
      <c r="B1708" s="8"/>
      <c r="C1708" s="8"/>
      <c r="D1708" s="8"/>
      <c r="E1708" s="8"/>
      <c r="F1708" t="str" s="15">
        <f aca="0">IF(B1708="","",IF(H1708="","확인필요(입력누락)",IF(SUMPRODUCT((실물목록!$P$2:$P$1001&lt;&gt;"")*ISNUMBER(SEARCH(실물목록!$P$2:$P$1001,I1708))*(실물목록!$Q$2:$Q$1001&lt;&gt;"")*ISNUMBER(SEARCH(실물목록!$Q$2:$Q$1001,I1708))*(실물목록!$R$2:$R$1001="")*(실물목록!$O$2:$O$1001&lt;&gt;"")*(실물목록!$O$2:$O$1001=H1708))&gt;0,"실물 있음",IF(SUMPRODUCT((실물목록!$P$2:$P$1001&lt;&gt;"")*ISNUMBER(SEARCH(실물목록!$P$2:$P$1001,I1708))*(실물목록!$R$2:$R$1001&lt;&gt;""))&gt;0,"확인필요(입력누락)",IF(SUMPRODUCT((실물목록!$P$2:$P$1001&lt;&gt;"")*ISNUMBER(SEARCH(실물목록!$P$2:$P$1001,I1708))*(실물목록!$Q$2:$Q$1001&lt;&gt;"")*ISNUMBER(SEARCH(실물목록!$Q$2:$Q$1001,I1708))*(실물목록!$R$2:$R$1001="")*(실물목록!$O$2:$O$1001&lt;&gt;""))&gt;0,"확인필요(연도다름)","실물 없음")))))</f>
      </c>
      <c r="G1708" t="n" s="16">
        <f aca="0">IF(B1708="","",SUMPRODUCT((실물목록!$P$2:$P$1001&lt;&gt;"")*ISNUMBER(SEARCH(실물목록!$P$2:$P$1001,I1708))*(실물목록!$Q$2:$Q$1001&lt;&gt;"")*ISNUMBER(SEARCH(실물목록!$Q$2:$Q$1001,I1708))*(실물목록!$R$2:$R$1001="")*(실물목록!$O$2:$O$1001&lt;&gt;"")*(실물목록!$O$2:$O$1001=H1708)))</f>
      </c>
      <c r="H1708" t="str">
        <f>IFERROR(IF(AND(LEN(SUBSTITUTE(SUBSTITUTE(SUBSTITUTE(TRIM(A1708&amp;""),CHAR(160),"")," ",""),"년",""))=4,VALUE(SUBSTITUTE(SUBSTITUTE(SUBSTITUTE(TRIM(A1708&amp;""),CHAR(160),"")," ",""),"년",""))&gt;=1900,VALUE(SUBSTITUTE(SUBSTITUTE(SUBSTITUTE(TRIM(A1708&amp;""),CHAR(160),"")," ",""),"년",""))&lt;=2099,TEXT(VALUE(SUBSTITUTE(SUBSTITUTE(SUBSTITUTE(TRIM(A1708&amp;""),CHAR(160),"")," ",""),"년","")),"0000")=SUBSTITUTE(SUBSTITUTE(SUBSTITUTE(TRIM(A1708&amp;""),CHAR(160),"")," ",""),"년","")),SUBSTITUTE(SUBSTITUTE(SUBSTITUTE(TRIM(A1708&amp;""),CHAR(160),"")," ",""),"년",""),""),"")</f>
      </c>
      <c r="I1708" t="str">
        <f>SUBSTITUTE(SUBSTITUTE(SUBSTITUTE(SUBSTITUTE(SUBSTITUTE(TRIM(B1708&amp;""),CHAR(160),"")," ",""),"초등학교","초"),"중학교","중"),"고등학교","고")</f>
      </c>
    </row>
    <row r="1709" customFormat="false" ht="15" hidden="false" customHeight="false" outlineLevel="0" collapsed="false">
      <c r="A1709" s="8"/>
      <c r="B1709" s="8"/>
      <c r="C1709" s="8"/>
      <c r="D1709" s="8"/>
      <c r="E1709" s="8"/>
      <c r="F1709" t="str" s="15">
        <f aca="0">IF(B1709="","",IF(H1709="","확인필요(입력누락)",IF(SUMPRODUCT((실물목록!$P$2:$P$1001&lt;&gt;"")*ISNUMBER(SEARCH(실물목록!$P$2:$P$1001,I1709))*(실물목록!$Q$2:$Q$1001&lt;&gt;"")*ISNUMBER(SEARCH(실물목록!$Q$2:$Q$1001,I1709))*(실물목록!$R$2:$R$1001="")*(실물목록!$O$2:$O$1001&lt;&gt;"")*(실물목록!$O$2:$O$1001=H1709))&gt;0,"실물 있음",IF(SUMPRODUCT((실물목록!$P$2:$P$1001&lt;&gt;"")*ISNUMBER(SEARCH(실물목록!$P$2:$P$1001,I1709))*(실물목록!$R$2:$R$1001&lt;&gt;""))&gt;0,"확인필요(입력누락)",IF(SUMPRODUCT((실물목록!$P$2:$P$1001&lt;&gt;"")*ISNUMBER(SEARCH(실물목록!$P$2:$P$1001,I1709))*(실물목록!$Q$2:$Q$1001&lt;&gt;"")*ISNUMBER(SEARCH(실물목록!$Q$2:$Q$1001,I1709))*(실물목록!$R$2:$R$1001="")*(실물목록!$O$2:$O$1001&lt;&gt;""))&gt;0,"확인필요(연도다름)","실물 없음")))))</f>
      </c>
      <c r="G1709" t="n" s="16">
        <f aca="0">IF(B1709="","",SUMPRODUCT((실물목록!$P$2:$P$1001&lt;&gt;"")*ISNUMBER(SEARCH(실물목록!$P$2:$P$1001,I1709))*(실물목록!$Q$2:$Q$1001&lt;&gt;"")*ISNUMBER(SEARCH(실물목록!$Q$2:$Q$1001,I1709))*(실물목록!$R$2:$R$1001="")*(실물목록!$O$2:$O$1001&lt;&gt;"")*(실물목록!$O$2:$O$1001=H1709)))</f>
      </c>
      <c r="H1709" t="str">
        <f>IFERROR(IF(AND(LEN(SUBSTITUTE(SUBSTITUTE(SUBSTITUTE(TRIM(A1709&amp;""),CHAR(160),"")," ",""),"년",""))=4,VALUE(SUBSTITUTE(SUBSTITUTE(SUBSTITUTE(TRIM(A1709&amp;""),CHAR(160),"")," ",""),"년",""))&gt;=1900,VALUE(SUBSTITUTE(SUBSTITUTE(SUBSTITUTE(TRIM(A1709&amp;""),CHAR(160),"")," ",""),"년",""))&lt;=2099,TEXT(VALUE(SUBSTITUTE(SUBSTITUTE(SUBSTITUTE(TRIM(A1709&amp;""),CHAR(160),"")," ",""),"년","")),"0000")=SUBSTITUTE(SUBSTITUTE(SUBSTITUTE(TRIM(A1709&amp;""),CHAR(160),"")," ",""),"년","")),SUBSTITUTE(SUBSTITUTE(SUBSTITUTE(TRIM(A1709&amp;""),CHAR(160),"")," ",""),"년",""),""),"")</f>
      </c>
      <c r="I1709" t="str">
        <f>SUBSTITUTE(SUBSTITUTE(SUBSTITUTE(SUBSTITUTE(SUBSTITUTE(TRIM(B1709&amp;""),CHAR(160),"")," ",""),"초등학교","초"),"중학교","중"),"고등학교","고")</f>
      </c>
    </row>
    <row r="1710" customFormat="false" ht="15" hidden="false" customHeight="false" outlineLevel="0" collapsed="false">
      <c r="A1710" s="8"/>
      <c r="B1710" s="8"/>
      <c r="C1710" s="8"/>
      <c r="D1710" s="8"/>
      <c r="E1710" s="8"/>
      <c r="F1710" t="str" s="15">
        <f aca="0">IF(B1710="","",IF(H1710="","확인필요(입력누락)",IF(SUMPRODUCT((실물목록!$P$2:$P$1001&lt;&gt;"")*ISNUMBER(SEARCH(실물목록!$P$2:$P$1001,I1710))*(실물목록!$Q$2:$Q$1001&lt;&gt;"")*ISNUMBER(SEARCH(실물목록!$Q$2:$Q$1001,I1710))*(실물목록!$R$2:$R$1001="")*(실물목록!$O$2:$O$1001&lt;&gt;"")*(실물목록!$O$2:$O$1001=H1710))&gt;0,"실물 있음",IF(SUMPRODUCT((실물목록!$P$2:$P$1001&lt;&gt;"")*ISNUMBER(SEARCH(실물목록!$P$2:$P$1001,I1710))*(실물목록!$R$2:$R$1001&lt;&gt;""))&gt;0,"확인필요(입력누락)",IF(SUMPRODUCT((실물목록!$P$2:$P$1001&lt;&gt;"")*ISNUMBER(SEARCH(실물목록!$P$2:$P$1001,I1710))*(실물목록!$Q$2:$Q$1001&lt;&gt;"")*ISNUMBER(SEARCH(실물목록!$Q$2:$Q$1001,I1710))*(실물목록!$R$2:$R$1001="")*(실물목록!$O$2:$O$1001&lt;&gt;""))&gt;0,"확인필요(연도다름)","실물 없음")))))</f>
      </c>
      <c r="G1710" t="n" s="16">
        <f aca="0">IF(B1710="","",SUMPRODUCT((실물목록!$P$2:$P$1001&lt;&gt;"")*ISNUMBER(SEARCH(실물목록!$P$2:$P$1001,I1710))*(실물목록!$Q$2:$Q$1001&lt;&gt;"")*ISNUMBER(SEARCH(실물목록!$Q$2:$Q$1001,I1710))*(실물목록!$R$2:$R$1001="")*(실물목록!$O$2:$O$1001&lt;&gt;"")*(실물목록!$O$2:$O$1001=H1710)))</f>
      </c>
      <c r="H1710" t="str">
        <f>IFERROR(IF(AND(LEN(SUBSTITUTE(SUBSTITUTE(SUBSTITUTE(TRIM(A1710&amp;""),CHAR(160),"")," ",""),"년",""))=4,VALUE(SUBSTITUTE(SUBSTITUTE(SUBSTITUTE(TRIM(A1710&amp;""),CHAR(160),"")," ",""),"년",""))&gt;=1900,VALUE(SUBSTITUTE(SUBSTITUTE(SUBSTITUTE(TRIM(A1710&amp;""),CHAR(160),"")," ",""),"년",""))&lt;=2099,TEXT(VALUE(SUBSTITUTE(SUBSTITUTE(SUBSTITUTE(TRIM(A1710&amp;""),CHAR(160),"")," ",""),"년","")),"0000")=SUBSTITUTE(SUBSTITUTE(SUBSTITUTE(TRIM(A1710&amp;""),CHAR(160),"")," ",""),"년","")),SUBSTITUTE(SUBSTITUTE(SUBSTITUTE(TRIM(A1710&amp;""),CHAR(160),"")," ",""),"년",""),""),"")</f>
      </c>
      <c r="I1710" t="str">
        <f>SUBSTITUTE(SUBSTITUTE(SUBSTITUTE(SUBSTITUTE(SUBSTITUTE(TRIM(B1710&amp;""),CHAR(160),"")," ",""),"초등학교","초"),"중학교","중"),"고등학교","고")</f>
      </c>
    </row>
    <row r="1711" customFormat="false" ht="15" hidden="false" customHeight="false" outlineLevel="0" collapsed="false">
      <c r="A1711" s="8"/>
      <c r="B1711" s="8"/>
      <c r="C1711" s="8"/>
      <c r="D1711" s="8"/>
      <c r="E1711" s="8"/>
      <c r="F1711" t="str" s="15">
        <f aca="0">IF(B1711="","",IF(H1711="","확인필요(입력누락)",IF(SUMPRODUCT((실물목록!$P$2:$P$1001&lt;&gt;"")*ISNUMBER(SEARCH(실물목록!$P$2:$P$1001,I1711))*(실물목록!$Q$2:$Q$1001&lt;&gt;"")*ISNUMBER(SEARCH(실물목록!$Q$2:$Q$1001,I1711))*(실물목록!$R$2:$R$1001="")*(실물목록!$O$2:$O$1001&lt;&gt;"")*(실물목록!$O$2:$O$1001=H1711))&gt;0,"실물 있음",IF(SUMPRODUCT((실물목록!$P$2:$P$1001&lt;&gt;"")*ISNUMBER(SEARCH(실물목록!$P$2:$P$1001,I1711))*(실물목록!$R$2:$R$1001&lt;&gt;""))&gt;0,"확인필요(입력누락)",IF(SUMPRODUCT((실물목록!$P$2:$P$1001&lt;&gt;"")*ISNUMBER(SEARCH(실물목록!$P$2:$P$1001,I1711))*(실물목록!$Q$2:$Q$1001&lt;&gt;"")*ISNUMBER(SEARCH(실물목록!$Q$2:$Q$1001,I1711))*(실물목록!$R$2:$R$1001="")*(실물목록!$O$2:$O$1001&lt;&gt;""))&gt;0,"확인필요(연도다름)","실물 없음")))))</f>
      </c>
      <c r="G1711" t="n" s="16">
        <f aca="0">IF(B1711="","",SUMPRODUCT((실물목록!$P$2:$P$1001&lt;&gt;"")*ISNUMBER(SEARCH(실물목록!$P$2:$P$1001,I1711))*(실물목록!$Q$2:$Q$1001&lt;&gt;"")*ISNUMBER(SEARCH(실물목록!$Q$2:$Q$1001,I1711))*(실물목록!$R$2:$R$1001="")*(실물목록!$O$2:$O$1001&lt;&gt;"")*(실물목록!$O$2:$O$1001=H1711)))</f>
      </c>
      <c r="H1711" t="str">
        <f>IFERROR(IF(AND(LEN(SUBSTITUTE(SUBSTITUTE(SUBSTITUTE(TRIM(A1711&amp;""),CHAR(160),"")," ",""),"년",""))=4,VALUE(SUBSTITUTE(SUBSTITUTE(SUBSTITUTE(TRIM(A1711&amp;""),CHAR(160),"")," ",""),"년",""))&gt;=1900,VALUE(SUBSTITUTE(SUBSTITUTE(SUBSTITUTE(TRIM(A1711&amp;""),CHAR(160),"")," ",""),"년",""))&lt;=2099,TEXT(VALUE(SUBSTITUTE(SUBSTITUTE(SUBSTITUTE(TRIM(A1711&amp;""),CHAR(160),"")," ",""),"년","")),"0000")=SUBSTITUTE(SUBSTITUTE(SUBSTITUTE(TRIM(A1711&amp;""),CHAR(160),"")," ",""),"년","")),SUBSTITUTE(SUBSTITUTE(SUBSTITUTE(TRIM(A1711&amp;""),CHAR(160),"")," ",""),"년",""),""),"")</f>
      </c>
      <c r="I1711" t="str">
        <f>SUBSTITUTE(SUBSTITUTE(SUBSTITUTE(SUBSTITUTE(SUBSTITUTE(TRIM(B1711&amp;""),CHAR(160),"")," ",""),"초등학교","초"),"중학교","중"),"고등학교","고")</f>
      </c>
    </row>
    <row r="1712" customFormat="false" ht="15" hidden="false" customHeight="false" outlineLevel="0" collapsed="false">
      <c r="A1712" s="8"/>
      <c r="B1712" s="8"/>
      <c r="C1712" s="8"/>
      <c r="D1712" s="8"/>
      <c r="E1712" s="8"/>
      <c r="F1712" t="str" s="15">
        <f aca="0">IF(B1712="","",IF(H1712="","확인필요(입력누락)",IF(SUMPRODUCT((실물목록!$P$2:$P$1001&lt;&gt;"")*ISNUMBER(SEARCH(실물목록!$P$2:$P$1001,I1712))*(실물목록!$Q$2:$Q$1001&lt;&gt;"")*ISNUMBER(SEARCH(실물목록!$Q$2:$Q$1001,I1712))*(실물목록!$R$2:$R$1001="")*(실물목록!$O$2:$O$1001&lt;&gt;"")*(실물목록!$O$2:$O$1001=H1712))&gt;0,"실물 있음",IF(SUMPRODUCT((실물목록!$P$2:$P$1001&lt;&gt;"")*ISNUMBER(SEARCH(실물목록!$P$2:$P$1001,I1712))*(실물목록!$R$2:$R$1001&lt;&gt;""))&gt;0,"확인필요(입력누락)",IF(SUMPRODUCT((실물목록!$P$2:$P$1001&lt;&gt;"")*ISNUMBER(SEARCH(실물목록!$P$2:$P$1001,I1712))*(실물목록!$Q$2:$Q$1001&lt;&gt;"")*ISNUMBER(SEARCH(실물목록!$Q$2:$Q$1001,I1712))*(실물목록!$R$2:$R$1001="")*(실물목록!$O$2:$O$1001&lt;&gt;""))&gt;0,"확인필요(연도다름)","실물 없음")))))</f>
      </c>
      <c r="G1712" t="n" s="16">
        <f aca="0">IF(B1712="","",SUMPRODUCT((실물목록!$P$2:$P$1001&lt;&gt;"")*ISNUMBER(SEARCH(실물목록!$P$2:$P$1001,I1712))*(실물목록!$Q$2:$Q$1001&lt;&gt;"")*ISNUMBER(SEARCH(실물목록!$Q$2:$Q$1001,I1712))*(실물목록!$R$2:$R$1001="")*(실물목록!$O$2:$O$1001&lt;&gt;"")*(실물목록!$O$2:$O$1001=H1712)))</f>
      </c>
      <c r="H1712" t="str">
        <f>IFERROR(IF(AND(LEN(SUBSTITUTE(SUBSTITUTE(SUBSTITUTE(TRIM(A1712&amp;""),CHAR(160),"")," ",""),"년",""))=4,VALUE(SUBSTITUTE(SUBSTITUTE(SUBSTITUTE(TRIM(A1712&amp;""),CHAR(160),"")," ",""),"년",""))&gt;=1900,VALUE(SUBSTITUTE(SUBSTITUTE(SUBSTITUTE(TRIM(A1712&amp;""),CHAR(160),"")," ",""),"년",""))&lt;=2099,TEXT(VALUE(SUBSTITUTE(SUBSTITUTE(SUBSTITUTE(TRIM(A1712&amp;""),CHAR(160),"")," ",""),"년","")),"0000")=SUBSTITUTE(SUBSTITUTE(SUBSTITUTE(TRIM(A1712&amp;""),CHAR(160),"")," ",""),"년","")),SUBSTITUTE(SUBSTITUTE(SUBSTITUTE(TRIM(A1712&amp;""),CHAR(160),"")," ",""),"년",""),""),"")</f>
      </c>
      <c r="I1712" t="str">
        <f>SUBSTITUTE(SUBSTITUTE(SUBSTITUTE(SUBSTITUTE(SUBSTITUTE(TRIM(B1712&amp;""),CHAR(160),"")," ",""),"초등학교","초"),"중학교","중"),"고등학교","고")</f>
      </c>
    </row>
    <row r="1713" customFormat="false" ht="15" hidden="false" customHeight="false" outlineLevel="0" collapsed="false">
      <c r="A1713" s="8"/>
      <c r="B1713" s="8"/>
      <c r="C1713" s="8"/>
      <c r="D1713" s="8"/>
      <c r="E1713" s="8"/>
      <c r="F1713" t="str" s="15">
        <f aca="0">IF(B1713="","",IF(H1713="","확인필요(입력누락)",IF(SUMPRODUCT((실물목록!$P$2:$P$1001&lt;&gt;"")*ISNUMBER(SEARCH(실물목록!$P$2:$P$1001,I1713))*(실물목록!$Q$2:$Q$1001&lt;&gt;"")*ISNUMBER(SEARCH(실물목록!$Q$2:$Q$1001,I1713))*(실물목록!$R$2:$R$1001="")*(실물목록!$O$2:$O$1001&lt;&gt;"")*(실물목록!$O$2:$O$1001=H1713))&gt;0,"실물 있음",IF(SUMPRODUCT((실물목록!$P$2:$P$1001&lt;&gt;"")*ISNUMBER(SEARCH(실물목록!$P$2:$P$1001,I1713))*(실물목록!$R$2:$R$1001&lt;&gt;""))&gt;0,"확인필요(입력누락)",IF(SUMPRODUCT((실물목록!$P$2:$P$1001&lt;&gt;"")*ISNUMBER(SEARCH(실물목록!$P$2:$P$1001,I1713))*(실물목록!$Q$2:$Q$1001&lt;&gt;"")*ISNUMBER(SEARCH(실물목록!$Q$2:$Q$1001,I1713))*(실물목록!$R$2:$R$1001="")*(실물목록!$O$2:$O$1001&lt;&gt;""))&gt;0,"확인필요(연도다름)","실물 없음")))))</f>
      </c>
      <c r="G1713" t="n" s="16">
        <f aca="0">IF(B1713="","",SUMPRODUCT((실물목록!$P$2:$P$1001&lt;&gt;"")*ISNUMBER(SEARCH(실물목록!$P$2:$P$1001,I1713))*(실물목록!$Q$2:$Q$1001&lt;&gt;"")*ISNUMBER(SEARCH(실물목록!$Q$2:$Q$1001,I1713))*(실물목록!$R$2:$R$1001="")*(실물목록!$O$2:$O$1001&lt;&gt;"")*(실물목록!$O$2:$O$1001=H1713)))</f>
      </c>
      <c r="H1713" t="str">
        <f>IFERROR(IF(AND(LEN(SUBSTITUTE(SUBSTITUTE(SUBSTITUTE(TRIM(A1713&amp;""),CHAR(160),"")," ",""),"년",""))=4,VALUE(SUBSTITUTE(SUBSTITUTE(SUBSTITUTE(TRIM(A1713&amp;""),CHAR(160),"")," ",""),"년",""))&gt;=1900,VALUE(SUBSTITUTE(SUBSTITUTE(SUBSTITUTE(TRIM(A1713&amp;""),CHAR(160),"")," ",""),"년",""))&lt;=2099,TEXT(VALUE(SUBSTITUTE(SUBSTITUTE(SUBSTITUTE(TRIM(A1713&amp;""),CHAR(160),"")," ",""),"년","")),"0000")=SUBSTITUTE(SUBSTITUTE(SUBSTITUTE(TRIM(A1713&amp;""),CHAR(160),"")," ",""),"년","")),SUBSTITUTE(SUBSTITUTE(SUBSTITUTE(TRIM(A1713&amp;""),CHAR(160),"")," ",""),"년",""),""),"")</f>
      </c>
      <c r="I1713" t="str">
        <f>SUBSTITUTE(SUBSTITUTE(SUBSTITUTE(SUBSTITUTE(SUBSTITUTE(TRIM(B1713&amp;""),CHAR(160),"")," ",""),"초등학교","초"),"중학교","중"),"고등학교","고")</f>
      </c>
    </row>
    <row r="1714" customFormat="false" ht="15" hidden="false" customHeight="false" outlineLevel="0" collapsed="false">
      <c r="A1714" s="8"/>
      <c r="B1714" s="8"/>
      <c r="C1714" s="8"/>
      <c r="D1714" s="8"/>
      <c r="E1714" s="8"/>
      <c r="F1714" t="str" s="15">
        <f aca="0">IF(B1714="","",IF(H1714="","확인필요(입력누락)",IF(SUMPRODUCT((실물목록!$P$2:$P$1001&lt;&gt;"")*ISNUMBER(SEARCH(실물목록!$P$2:$P$1001,I1714))*(실물목록!$Q$2:$Q$1001&lt;&gt;"")*ISNUMBER(SEARCH(실물목록!$Q$2:$Q$1001,I1714))*(실물목록!$R$2:$R$1001="")*(실물목록!$O$2:$O$1001&lt;&gt;"")*(실물목록!$O$2:$O$1001=H1714))&gt;0,"실물 있음",IF(SUMPRODUCT((실물목록!$P$2:$P$1001&lt;&gt;"")*ISNUMBER(SEARCH(실물목록!$P$2:$P$1001,I1714))*(실물목록!$R$2:$R$1001&lt;&gt;""))&gt;0,"확인필요(입력누락)",IF(SUMPRODUCT((실물목록!$P$2:$P$1001&lt;&gt;"")*ISNUMBER(SEARCH(실물목록!$P$2:$P$1001,I1714))*(실물목록!$Q$2:$Q$1001&lt;&gt;"")*ISNUMBER(SEARCH(실물목록!$Q$2:$Q$1001,I1714))*(실물목록!$R$2:$R$1001="")*(실물목록!$O$2:$O$1001&lt;&gt;""))&gt;0,"확인필요(연도다름)","실물 없음")))))</f>
      </c>
      <c r="G1714" t="n" s="16">
        <f aca="0">IF(B1714="","",SUMPRODUCT((실물목록!$P$2:$P$1001&lt;&gt;"")*ISNUMBER(SEARCH(실물목록!$P$2:$P$1001,I1714))*(실물목록!$Q$2:$Q$1001&lt;&gt;"")*ISNUMBER(SEARCH(실물목록!$Q$2:$Q$1001,I1714))*(실물목록!$R$2:$R$1001="")*(실물목록!$O$2:$O$1001&lt;&gt;"")*(실물목록!$O$2:$O$1001=H1714)))</f>
      </c>
      <c r="H1714" t="str">
        <f>IFERROR(IF(AND(LEN(SUBSTITUTE(SUBSTITUTE(SUBSTITUTE(TRIM(A1714&amp;""),CHAR(160),"")," ",""),"년",""))=4,VALUE(SUBSTITUTE(SUBSTITUTE(SUBSTITUTE(TRIM(A1714&amp;""),CHAR(160),"")," ",""),"년",""))&gt;=1900,VALUE(SUBSTITUTE(SUBSTITUTE(SUBSTITUTE(TRIM(A1714&amp;""),CHAR(160),"")," ",""),"년",""))&lt;=2099,TEXT(VALUE(SUBSTITUTE(SUBSTITUTE(SUBSTITUTE(TRIM(A1714&amp;""),CHAR(160),"")," ",""),"년","")),"0000")=SUBSTITUTE(SUBSTITUTE(SUBSTITUTE(TRIM(A1714&amp;""),CHAR(160),"")," ",""),"년","")),SUBSTITUTE(SUBSTITUTE(SUBSTITUTE(TRIM(A1714&amp;""),CHAR(160),"")," ",""),"년",""),""),"")</f>
      </c>
      <c r="I1714" t="str">
        <f>SUBSTITUTE(SUBSTITUTE(SUBSTITUTE(SUBSTITUTE(SUBSTITUTE(TRIM(B1714&amp;""),CHAR(160),"")," ",""),"초등학교","초"),"중학교","중"),"고등학교","고")</f>
      </c>
    </row>
    <row r="1715" customFormat="false" ht="15" hidden="false" customHeight="false" outlineLevel="0" collapsed="false">
      <c r="A1715" s="8"/>
      <c r="B1715" s="8"/>
      <c r="C1715" s="8"/>
      <c r="D1715" s="8"/>
      <c r="E1715" s="8"/>
      <c r="F1715" t="str" s="15">
        <f aca="0">IF(B1715="","",IF(H1715="","확인필요(입력누락)",IF(SUMPRODUCT((실물목록!$P$2:$P$1001&lt;&gt;"")*ISNUMBER(SEARCH(실물목록!$P$2:$P$1001,I1715))*(실물목록!$Q$2:$Q$1001&lt;&gt;"")*ISNUMBER(SEARCH(실물목록!$Q$2:$Q$1001,I1715))*(실물목록!$R$2:$R$1001="")*(실물목록!$O$2:$O$1001&lt;&gt;"")*(실물목록!$O$2:$O$1001=H1715))&gt;0,"실물 있음",IF(SUMPRODUCT((실물목록!$P$2:$P$1001&lt;&gt;"")*ISNUMBER(SEARCH(실물목록!$P$2:$P$1001,I1715))*(실물목록!$R$2:$R$1001&lt;&gt;""))&gt;0,"확인필요(입력누락)",IF(SUMPRODUCT((실물목록!$P$2:$P$1001&lt;&gt;"")*ISNUMBER(SEARCH(실물목록!$P$2:$P$1001,I1715))*(실물목록!$Q$2:$Q$1001&lt;&gt;"")*ISNUMBER(SEARCH(실물목록!$Q$2:$Q$1001,I1715))*(실물목록!$R$2:$R$1001="")*(실물목록!$O$2:$O$1001&lt;&gt;""))&gt;0,"확인필요(연도다름)","실물 없음")))))</f>
      </c>
      <c r="G1715" t="n" s="16">
        <f aca="0">IF(B1715="","",SUMPRODUCT((실물목록!$P$2:$P$1001&lt;&gt;"")*ISNUMBER(SEARCH(실물목록!$P$2:$P$1001,I1715))*(실물목록!$Q$2:$Q$1001&lt;&gt;"")*ISNUMBER(SEARCH(실물목록!$Q$2:$Q$1001,I1715))*(실물목록!$R$2:$R$1001="")*(실물목록!$O$2:$O$1001&lt;&gt;"")*(실물목록!$O$2:$O$1001=H1715)))</f>
      </c>
      <c r="H1715" t="str">
        <f>IFERROR(IF(AND(LEN(SUBSTITUTE(SUBSTITUTE(SUBSTITUTE(TRIM(A1715&amp;""),CHAR(160),"")," ",""),"년",""))=4,VALUE(SUBSTITUTE(SUBSTITUTE(SUBSTITUTE(TRIM(A1715&amp;""),CHAR(160),"")," ",""),"년",""))&gt;=1900,VALUE(SUBSTITUTE(SUBSTITUTE(SUBSTITUTE(TRIM(A1715&amp;""),CHAR(160),"")," ",""),"년",""))&lt;=2099,TEXT(VALUE(SUBSTITUTE(SUBSTITUTE(SUBSTITUTE(TRIM(A1715&amp;""),CHAR(160),"")," ",""),"년","")),"0000")=SUBSTITUTE(SUBSTITUTE(SUBSTITUTE(TRIM(A1715&amp;""),CHAR(160),"")," ",""),"년","")),SUBSTITUTE(SUBSTITUTE(SUBSTITUTE(TRIM(A1715&amp;""),CHAR(160),"")," ",""),"년",""),""),"")</f>
      </c>
      <c r="I1715" t="str">
        <f>SUBSTITUTE(SUBSTITUTE(SUBSTITUTE(SUBSTITUTE(SUBSTITUTE(TRIM(B1715&amp;""),CHAR(160),"")," ",""),"초등학교","초"),"중학교","중"),"고등학교","고")</f>
      </c>
    </row>
    <row r="1716" customFormat="false" ht="15" hidden="false" customHeight="false" outlineLevel="0" collapsed="false">
      <c r="A1716" s="8"/>
      <c r="B1716" s="8"/>
      <c r="C1716" s="8"/>
      <c r="D1716" s="8"/>
      <c r="E1716" s="8"/>
      <c r="F1716" t="str" s="15">
        <f aca="0">IF(B1716="","",IF(H1716="","확인필요(입력누락)",IF(SUMPRODUCT((실물목록!$P$2:$P$1001&lt;&gt;"")*ISNUMBER(SEARCH(실물목록!$P$2:$P$1001,I1716))*(실물목록!$Q$2:$Q$1001&lt;&gt;"")*ISNUMBER(SEARCH(실물목록!$Q$2:$Q$1001,I1716))*(실물목록!$R$2:$R$1001="")*(실물목록!$O$2:$O$1001&lt;&gt;"")*(실물목록!$O$2:$O$1001=H1716))&gt;0,"실물 있음",IF(SUMPRODUCT((실물목록!$P$2:$P$1001&lt;&gt;"")*ISNUMBER(SEARCH(실물목록!$P$2:$P$1001,I1716))*(실물목록!$R$2:$R$1001&lt;&gt;""))&gt;0,"확인필요(입력누락)",IF(SUMPRODUCT((실물목록!$P$2:$P$1001&lt;&gt;"")*ISNUMBER(SEARCH(실물목록!$P$2:$P$1001,I1716))*(실물목록!$Q$2:$Q$1001&lt;&gt;"")*ISNUMBER(SEARCH(실물목록!$Q$2:$Q$1001,I1716))*(실물목록!$R$2:$R$1001="")*(실물목록!$O$2:$O$1001&lt;&gt;""))&gt;0,"확인필요(연도다름)","실물 없음")))))</f>
      </c>
      <c r="G1716" t="n" s="16">
        <f aca="0">IF(B1716="","",SUMPRODUCT((실물목록!$P$2:$P$1001&lt;&gt;"")*ISNUMBER(SEARCH(실물목록!$P$2:$P$1001,I1716))*(실물목록!$Q$2:$Q$1001&lt;&gt;"")*ISNUMBER(SEARCH(실물목록!$Q$2:$Q$1001,I1716))*(실물목록!$R$2:$R$1001="")*(실물목록!$O$2:$O$1001&lt;&gt;"")*(실물목록!$O$2:$O$1001=H1716)))</f>
      </c>
      <c r="H1716" t="str">
        <f>IFERROR(IF(AND(LEN(SUBSTITUTE(SUBSTITUTE(SUBSTITUTE(TRIM(A1716&amp;""),CHAR(160),"")," ",""),"년",""))=4,VALUE(SUBSTITUTE(SUBSTITUTE(SUBSTITUTE(TRIM(A1716&amp;""),CHAR(160),"")," ",""),"년",""))&gt;=1900,VALUE(SUBSTITUTE(SUBSTITUTE(SUBSTITUTE(TRIM(A1716&amp;""),CHAR(160),"")," ",""),"년",""))&lt;=2099,TEXT(VALUE(SUBSTITUTE(SUBSTITUTE(SUBSTITUTE(TRIM(A1716&amp;""),CHAR(160),"")," ",""),"년","")),"0000")=SUBSTITUTE(SUBSTITUTE(SUBSTITUTE(TRIM(A1716&amp;""),CHAR(160),"")," ",""),"년","")),SUBSTITUTE(SUBSTITUTE(SUBSTITUTE(TRIM(A1716&amp;""),CHAR(160),"")," ",""),"년",""),""),"")</f>
      </c>
      <c r="I1716" t="str">
        <f>SUBSTITUTE(SUBSTITUTE(SUBSTITUTE(SUBSTITUTE(SUBSTITUTE(TRIM(B1716&amp;""),CHAR(160),"")," ",""),"초등학교","초"),"중학교","중"),"고등학교","고")</f>
      </c>
    </row>
    <row r="1717" customFormat="false" ht="15" hidden="false" customHeight="false" outlineLevel="0" collapsed="false">
      <c r="A1717" s="8"/>
      <c r="B1717" s="8"/>
      <c r="C1717" s="8"/>
      <c r="D1717" s="8"/>
      <c r="E1717" s="8"/>
      <c r="F1717" t="str" s="15">
        <f aca="0">IF(B1717="","",IF(H1717="","확인필요(입력누락)",IF(SUMPRODUCT((실물목록!$P$2:$P$1001&lt;&gt;"")*ISNUMBER(SEARCH(실물목록!$P$2:$P$1001,I1717))*(실물목록!$Q$2:$Q$1001&lt;&gt;"")*ISNUMBER(SEARCH(실물목록!$Q$2:$Q$1001,I1717))*(실물목록!$R$2:$R$1001="")*(실물목록!$O$2:$O$1001&lt;&gt;"")*(실물목록!$O$2:$O$1001=H1717))&gt;0,"실물 있음",IF(SUMPRODUCT((실물목록!$P$2:$P$1001&lt;&gt;"")*ISNUMBER(SEARCH(실물목록!$P$2:$P$1001,I1717))*(실물목록!$R$2:$R$1001&lt;&gt;""))&gt;0,"확인필요(입력누락)",IF(SUMPRODUCT((실물목록!$P$2:$P$1001&lt;&gt;"")*ISNUMBER(SEARCH(실물목록!$P$2:$P$1001,I1717))*(실물목록!$Q$2:$Q$1001&lt;&gt;"")*ISNUMBER(SEARCH(실물목록!$Q$2:$Q$1001,I1717))*(실물목록!$R$2:$R$1001="")*(실물목록!$O$2:$O$1001&lt;&gt;""))&gt;0,"확인필요(연도다름)","실물 없음")))))</f>
      </c>
      <c r="G1717" t="n" s="16">
        <f aca="0">IF(B1717="","",SUMPRODUCT((실물목록!$P$2:$P$1001&lt;&gt;"")*ISNUMBER(SEARCH(실물목록!$P$2:$P$1001,I1717))*(실물목록!$Q$2:$Q$1001&lt;&gt;"")*ISNUMBER(SEARCH(실물목록!$Q$2:$Q$1001,I1717))*(실물목록!$R$2:$R$1001="")*(실물목록!$O$2:$O$1001&lt;&gt;"")*(실물목록!$O$2:$O$1001=H1717)))</f>
      </c>
      <c r="H1717" t="str">
        <f>IFERROR(IF(AND(LEN(SUBSTITUTE(SUBSTITUTE(SUBSTITUTE(TRIM(A1717&amp;""),CHAR(160),"")," ",""),"년",""))=4,VALUE(SUBSTITUTE(SUBSTITUTE(SUBSTITUTE(TRIM(A1717&amp;""),CHAR(160),"")," ",""),"년",""))&gt;=1900,VALUE(SUBSTITUTE(SUBSTITUTE(SUBSTITUTE(TRIM(A1717&amp;""),CHAR(160),"")," ",""),"년",""))&lt;=2099,TEXT(VALUE(SUBSTITUTE(SUBSTITUTE(SUBSTITUTE(TRIM(A1717&amp;""),CHAR(160),"")," ",""),"년","")),"0000")=SUBSTITUTE(SUBSTITUTE(SUBSTITUTE(TRIM(A1717&amp;""),CHAR(160),"")," ",""),"년","")),SUBSTITUTE(SUBSTITUTE(SUBSTITUTE(TRIM(A1717&amp;""),CHAR(160),"")," ",""),"년",""),""),"")</f>
      </c>
      <c r="I1717" t="str">
        <f>SUBSTITUTE(SUBSTITUTE(SUBSTITUTE(SUBSTITUTE(SUBSTITUTE(TRIM(B1717&amp;""),CHAR(160),"")," ",""),"초등학교","초"),"중학교","중"),"고등학교","고")</f>
      </c>
    </row>
    <row r="1718" customFormat="false" ht="15" hidden="false" customHeight="false" outlineLevel="0" collapsed="false">
      <c r="A1718" s="8"/>
      <c r="B1718" s="8"/>
      <c r="C1718" s="8"/>
      <c r="D1718" s="8"/>
      <c r="E1718" s="8"/>
      <c r="F1718" t="str" s="15">
        <f aca="0">IF(B1718="","",IF(H1718="","확인필요(입력누락)",IF(SUMPRODUCT((실물목록!$P$2:$P$1001&lt;&gt;"")*ISNUMBER(SEARCH(실물목록!$P$2:$P$1001,I1718))*(실물목록!$Q$2:$Q$1001&lt;&gt;"")*ISNUMBER(SEARCH(실물목록!$Q$2:$Q$1001,I1718))*(실물목록!$R$2:$R$1001="")*(실물목록!$O$2:$O$1001&lt;&gt;"")*(실물목록!$O$2:$O$1001=H1718))&gt;0,"실물 있음",IF(SUMPRODUCT((실물목록!$P$2:$P$1001&lt;&gt;"")*ISNUMBER(SEARCH(실물목록!$P$2:$P$1001,I1718))*(실물목록!$R$2:$R$1001&lt;&gt;""))&gt;0,"확인필요(입력누락)",IF(SUMPRODUCT((실물목록!$P$2:$P$1001&lt;&gt;"")*ISNUMBER(SEARCH(실물목록!$P$2:$P$1001,I1718))*(실물목록!$Q$2:$Q$1001&lt;&gt;"")*ISNUMBER(SEARCH(실물목록!$Q$2:$Q$1001,I1718))*(실물목록!$R$2:$R$1001="")*(실물목록!$O$2:$O$1001&lt;&gt;""))&gt;0,"확인필요(연도다름)","실물 없음")))))</f>
      </c>
      <c r="G1718" t="n" s="16">
        <f aca="0">IF(B1718="","",SUMPRODUCT((실물목록!$P$2:$P$1001&lt;&gt;"")*ISNUMBER(SEARCH(실물목록!$P$2:$P$1001,I1718))*(실물목록!$Q$2:$Q$1001&lt;&gt;"")*ISNUMBER(SEARCH(실물목록!$Q$2:$Q$1001,I1718))*(실물목록!$R$2:$R$1001="")*(실물목록!$O$2:$O$1001&lt;&gt;"")*(실물목록!$O$2:$O$1001=H1718)))</f>
      </c>
      <c r="H1718" t="str">
        <f>IFERROR(IF(AND(LEN(SUBSTITUTE(SUBSTITUTE(SUBSTITUTE(TRIM(A1718&amp;""),CHAR(160),"")," ",""),"년",""))=4,VALUE(SUBSTITUTE(SUBSTITUTE(SUBSTITUTE(TRIM(A1718&amp;""),CHAR(160),"")," ",""),"년",""))&gt;=1900,VALUE(SUBSTITUTE(SUBSTITUTE(SUBSTITUTE(TRIM(A1718&amp;""),CHAR(160),"")," ",""),"년",""))&lt;=2099,TEXT(VALUE(SUBSTITUTE(SUBSTITUTE(SUBSTITUTE(TRIM(A1718&amp;""),CHAR(160),"")," ",""),"년","")),"0000")=SUBSTITUTE(SUBSTITUTE(SUBSTITUTE(TRIM(A1718&amp;""),CHAR(160),"")," ",""),"년","")),SUBSTITUTE(SUBSTITUTE(SUBSTITUTE(TRIM(A1718&amp;""),CHAR(160),"")," ",""),"년",""),""),"")</f>
      </c>
      <c r="I1718" t="str">
        <f>SUBSTITUTE(SUBSTITUTE(SUBSTITUTE(SUBSTITUTE(SUBSTITUTE(TRIM(B1718&amp;""),CHAR(160),"")," ",""),"초등학교","초"),"중학교","중"),"고등학교","고")</f>
      </c>
    </row>
    <row r="1719" customFormat="false" ht="15" hidden="false" customHeight="false" outlineLevel="0" collapsed="false">
      <c r="A1719" s="8"/>
      <c r="B1719" s="8"/>
      <c r="C1719" s="8"/>
      <c r="D1719" s="8"/>
      <c r="E1719" s="8"/>
      <c r="F1719" t="str" s="15">
        <f aca="0">IF(B1719="","",IF(H1719="","확인필요(입력누락)",IF(SUMPRODUCT((실물목록!$P$2:$P$1001&lt;&gt;"")*ISNUMBER(SEARCH(실물목록!$P$2:$P$1001,I1719))*(실물목록!$Q$2:$Q$1001&lt;&gt;"")*ISNUMBER(SEARCH(실물목록!$Q$2:$Q$1001,I1719))*(실물목록!$R$2:$R$1001="")*(실물목록!$O$2:$O$1001&lt;&gt;"")*(실물목록!$O$2:$O$1001=H1719))&gt;0,"실물 있음",IF(SUMPRODUCT((실물목록!$P$2:$P$1001&lt;&gt;"")*ISNUMBER(SEARCH(실물목록!$P$2:$P$1001,I1719))*(실물목록!$R$2:$R$1001&lt;&gt;""))&gt;0,"확인필요(입력누락)",IF(SUMPRODUCT((실물목록!$P$2:$P$1001&lt;&gt;"")*ISNUMBER(SEARCH(실물목록!$P$2:$P$1001,I1719))*(실물목록!$Q$2:$Q$1001&lt;&gt;"")*ISNUMBER(SEARCH(실물목록!$Q$2:$Q$1001,I1719))*(실물목록!$R$2:$R$1001="")*(실물목록!$O$2:$O$1001&lt;&gt;""))&gt;0,"확인필요(연도다름)","실물 없음")))))</f>
      </c>
      <c r="G1719" t="n" s="16">
        <f aca="0">IF(B1719="","",SUMPRODUCT((실물목록!$P$2:$P$1001&lt;&gt;"")*ISNUMBER(SEARCH(실물목록!$P$2:$P$1001,I1719))*(실물목록!$Q$2:$Q$1001&lt;&gt;"")*ISNUMBER(SEARCH(실물목록!$Q$2:$Q$1001,I1719))*(실물목록!$R$2:$R$1001="")*(실물목록!$O$2:$O$1001&lt;&gt;"")*(실물목록!$O$2:$O$1001=H1719)))</f>
      </c>
      <c r="H1719" t="str">
        <f>IFERROR(IF(AND(LEN(SUBSTITUTE(SUBSTITUTE(SUBSTITUTE(TRIM(A1719&amp;""),CHAR(160),"")," ",""),"년",""))=4,VALUE(SUBSTITUTE(SUBSTITUTE(SUBSTITUTE(TRIM(A1719&amp;""),CHAR(160),"")," ",""),"년",""))&gt;=1900,VALUE(SUBSTITUTE(SUBSTITUTE(SUBSTITUTE(TRIM(A1719&amp;""),CHAR(160),"")," ",""),"년",""))&lt;=2099,TEXT(VALUE(SUBSTITUTE(SUBSTITUTE(SUBSTITUTE(TRIM(A1719&amp;""),CHAR(160),"")," ",""),"년","")),"0000")=SUBSTITUTE(SUBSTITUTE(SUBSTITUTE(TRIM(A1719&amp;""),CHAR(160),"")," ",""),"년","")),SUBSTITUTE(SUBSTITUTE(SUBSTITUTE(TRIM(A1719&amp;""),CHAR(160),"")," ",""),"년",""),""),"")</f>
      </c>
      <c r="I1719" t="str">
        <f>SUBSTITUTE(SUBSTITUTE(SUBSTITUTE(SUBSTITUTE(SUBSTITUTE(TRIM(B1719&amp;""),CHAR(160),"")," ",""),"초등학교","초"),"중학교","중"),"고등학교","고")</f>
      </c>
    </row>
    <row r="1720" customFormat="false" ht="15" hidden="false" customHeight="false" outlineLevel="0" collapsed="false">
      <c r="A1720" s="8"/>
      <c r="B1720" s="8"/>
      <c r="C1720" s="8"/>
      <c r="D1720" s="8"/>
      <c r="E1720" s="8"/>
      <c r="F1720" t="str" s="15">
        <f aca="0">IF(B1720="","",IF(H1720="","확인필요(입력누락)",IF(SUMPRODUCT((실물목록!$P$2:$P$1001&lt;&gt;"")*ISNUMBER(SEARCH(실물목록!$P$2:$P$1001,I1720))*(실물목록!$Q$2:$Q$1001&lt;&gt;"")*ISNUMBER(SEARCH(실물목록!$Q$2:$Q$1001,I1720))*(실물목록!$R$2:$R$1001="")*(실물목록!$O$2:$O$1001&lt;&gt;"")*(실물목록!$O$2:$O$1001=H1720))&gt;0,"실물 있음",IF(SUMPRODUCT((실물목록!$P$2:$P$1001&lt;&gt;"")*ISNUMBER(SEARCH(실물목록!$P$2:$P$1001,I1720))*(실물목록!$R$2:$R$1001&lt;&gt;""))&gt;0,"확인필요(입력누락)",IF(SUMPRODUCT((실물목록!$P$2:$P$1001&lt;&gt;"")*ISNUMBER(SEARCH(실물목록!$P$2:$P$1001,I1720))*(실물목록!$Q$2:$Q$1001&lt;&gt;"")*ISNUMBER(SEARCH(실물목록!$Q$2:$Q$1001,I1720))*(실물목록!$R$2:$R$1001="")*(실물목록!$O$2:$O$1001&lt;&gt;""))&gt;0,"확인필요(연도다름)","실물 없음")))))</f>
      </c>
      <c r="G1720" t="n" s="16">
        <f aca="0">IF(B1720="","",SUMPRODUCT((실물목록!$P$2:$P$1001&lt;&gt;"")*ISNUMBER(SEARCH(실물목록!$P$2:$P$1001,I1720))*(실물목록!$Q$2:$Q$1001&lt;&gt;"")*ISNUMBER(SEARCH(실물목록!$Q$2:$Q$1001,I1720))*(실물목록!$R$2:$R$1001="")*(실물목록!$O$2:$O$1001&lt;&gt;"")*(실물목록!$O$2:$O$1001=H1720)))</f>
      </c>
      <c r="H1720" t="str">
        <f>IFERROR(IF(AND(LEN(SUBSTITUTE(SUBSTITUTE(SUBSTITUTE(TRIM(A1720&amp;""),CHAR(160),"")," ",""),"년",""))=4,VALUE(SUBSTITUTE(SUBSTITUTE(SUBSTITUTE(TRIM(A1720&amp;""),CHAR(160),"")," ",""),"년",""))&gt;=1900,VALUE(SUBSTITUTE(SUBSTITUTE(SUBSTITUTE(TRIM(A1720&amp;""),CHAR(160),"")," ",""),"년",""))&lt;=2099,TEXT(VALUE(SUBSTITUTE(SUBSTITUTE(SUBSTITUTE(TRIM(A1720&amp;""),CHAR(160),"")," ",""),"년","")),"0000")=SUBSTITUTE(SUBSTITUTE(SUBSTITUTE(TRIM(A1720&amp;""),CHAR(160),"")," ",""),"년","")),SUBSTITUTE(SUBSTITUTE(SUBSTITUTE(TRIM(A1720&amp;""),CHAR(160),"")," ",""),"년",""),""),"")</f>
      </c>
      <c r="I1720" t="str">
        <f>SUBSTITUTE(SUBSTITUTE(SUBSTITUTE(SUBSTITUTE(SUBSTITUTE(TRIM(B1720&amp;""),CHAR(160),"")," ",""),"초등학교","초"),"중학교","중"),"고등학교","고")</f>
      </c>
    </row>
    <row r="1721" customFormat="false" ht="15" hidden="false" customHeight="false" outlineLevel="0" collapsed="false">
      <c r="A1721" s="8"/>
      <c r="B1721" s="8"/>
      <c r="C1721" s="8"/>
      <c r="D1721" s="8"/>
      <c r="E1721" s="8"/>
      <c r="F1721" t="str" s="15">
        <f aca="0">IF(B1721="","",IF(H1721="","확인필요(입력누락)",IF(SUMPRODUCT((실물목록!$P$2:$P$1001&lt;&gt;"")*ISNUMBER(SEARCH(실물목록!$P$2:$P$1001,I1721))*(실물목록!$Q$2:$Q$1001&lt;&gt;"")*ISNUMBER(SEARCH(실물목록!$Q$2:$Q$1001,I1721))*(실물목록!$R$2:$R$1001="")*(실물목록!$O$2:$O$1001&lt;&gt;"")*(실물목록!$O$2:$O$1001=H1721))&gt;0,"실물 있음",IF(SUMPRODUCT((실물목록!$P$2:$P$1001&lt;&gt;"")*ISNUMBER(SEARCH(실물목록!$P$2:$P$1001,I1721))*(실물목록!$R$2:$R$1001&lt;&gt;""))&gt;0,"확인필요(입력누락)",IF(SUMPRODUCT((실물목록!$P$2:$P$1001&lt;&gt;"")*ISNUMBER(SEARCH(실물목록!$P$2:$P$1001,I1721))*(실물목록!$Q$2:$Q$1001&lt;&gt;"")*ISNUMBER(SEARCH(실물목록!$Q$2:$Q$1001,I1721))*(실물목록!$R$2:$R$1001="")*(실물목록!$O$2:$O$1001&lt;&gt;""))&gt;0,"확인필요(연도다름)","실물 없음")))))</f>
      </c>
      <c r="G1721" t="n" s="16">
        <f aca="0">IF(B1721="","",SUMPRODUCT((실물목록!$P$2:$P$1001&lt;&gt;"")*ISNUMBER(SEARCH(실물목록!$P$2:$P$1001,I1721))*(실물목록!$Q$2:$Q$1001&lt;&gt;"")*ISNUMBER(SEARCH(실물목록!$Q$2:$Q$1001,I1721))*(실물목록!$R$2:$R$1001="")*(실물목록!$O$2:$O$1001&lt;&gt;"")*(실물목록!$O$2:$O$1001=H1721)))</f>
      </c>
      <c r="H1721" t="str">
        <f>IFERROR(IF(AND(LEN(SUBSTITUTE(SUBSTITUTE(SUBSTITUTE(TRIM(A1721&amp;""),CHAR(160),"")," ",""),"년",""))=4,VALUE(SUBSTITUTE(SUBSTITUTE(SUBSTITUTE(TRIM(A1721&amp;""),CHAR(160),"")," ",""),"년",""))&gt;=1900,VALUE(SUBSTITUTE(SUBSTITUTE(SUBSTITUTE(TRIM(A1721&amp;""),CHAR(160),"")," ",""),"년",""))&lt;=2099,TEXT(VALUE(SUBSTITUTE(SUBSTITUTE(SUBSTITUTE(TRIM(A1721&amp;""),CHAR(160),"")," ",""),"년","")),"0000")=SUBSTITUTE(SUBSTITUTE(SUBSTITUTE(TRIM(A1721&amp;""),CHAR(160),"")," ",""),"년","")),SUBSTITUTE(SUBSTITUTE(SUBSTITUTE(TRIM(A1721&amp;""),CHAR(160),"")," ",""),"년",""),""),"")</f>
      </c>
      <c r="I1721" t="str">
        <f>SUBSTITUTE(SUBSTITUTE(SUBSTITUTE(SUBSTITUTE(SUBSTITUTE(TRIM(B1721&amp;""),CHAR(160),"")," ",""),"초등학교","초"),"중학교","중"),"고등학교","고")</f>
      </c>
    </row>
    <row r="1722" customFormat="false" ht="15" hidden="false" customHeight="false" outlineLevel="0" collapsed="false">
      <c r="A1722" s="8"/>
      <c r="B1722" s="8"/>
      <c r="C1722" s="8"/>
      <c r="D1722" s="8"/>
      <c r="E1722" s="8"/>
      <c r="F1722" t="str" s="15">
        <f aca="0">IF(B1722="","",IF(H1722="","확인필요(입력누락)",IF(SUMPRODUCT((실물목록!$P$2:$P$1001&lt;&gt;"")*ISNUMBER(SEARCH(실물목록!$P$2:$P$1001,I1722))*(실물목록!$Q$2:$Q$1001&lt;&gt;"")*ISNUMBER(SEARCH(실물목록!$Q$2:$Q$1001,I1722))*(실물목록!$R$2:$R$1001="")*(실물목록!$O$2:$O$1001&lt;&gt;"")*(실물목록!$O$2:$O$1001=H1722))&gt;0,"실물 있음",IF(SUMPRODUCT((실물목록!$P$2:$P$1001&lt;&gt;"")*ISNUMBER(SEARCH(실물목록!$P$2:$P$1001,I1722))*(실물목록!$R$2:$R$1001&lt;&gt;""))&gt;0,"확인필요(입력누락)",IF(SUMPRODUCT((실물목록!$P$2:$P$1001&lt;&gt;"")*ISNUMBER(SEARCH(실물목록!$P$2:$P$1001,I1722))*(실물목록!$Q$2:$Q$1001&lt;&gt;"")*ISNUMBER(SEARCH(실물목록!$Q$2:$Q$1001,I1722))*(실물목록!$R$2:$R$1001="")*(실물목록!$O$2:$O$1001&lt;&gt;""))&gt;0,"확인필요(연도다름)","실물 없음")))))</f>
      </c>
      <c r="G1722" t="n" s="16">
        <f aca="0">IF(B1722="","",SUMPRODUCT((실물목록!$P$2:$P$1001&lt;&gt;"")*ISNUMBER(SEARCH(실물목록!$P$2:$P$1001,I1722))*(실물목록!$Q$2:$Q$1001&lt;&gt;"")*ISNUMBER(SEARCH(실물목록!$Q$2:$Q$1001,I1722))*(실물목록!$R$2:$R$1001="")*(실물목록!$O$2:$O$1001&lt;&gt;"")*(실물목록!$O$2:$O$1001=H1722)))</f>
      </c>
      <c r="H1722" t="str">
        <f>IFERROR(IF(AND(LEN(SUBSTITUTE(SUBSTITUTE(SUBSTITUTE(TRIM(A1722&amp;""),CHAR(160),"")," ",""),"년",""))=4,VALUE(SUBSTITUTE(SUBSTITUTE(SUBSTITUTE(TRIM(A1722&amp;""),CHAR(160),"")," ",""),"년",""))&gt;=1900,VALUE(SUBSTITUTE(SUBSTITUTE(SUBSTITUTE(TRIM(A1722&amp;""),CHAR(160),"")," ",""),"년",""))&lt;=2099,TEXT(VALUE(SUBSTITUTE(SUBSTITUTE(SUBSTITUTE(TRIM(A1722&amp;""),CHAR(160),"")," ",""),"년","")),"0000")=SUBSTITUTE(SUBSTITUTE(SUBSTITUTE(TRIM(A1722&amp;""),CHAR(160),"")," ",""),"년","")),SUBSTITUTE(SUBSTITUTE(SUBSTITUTE(TRIM(A1722&amp;""),CHAR(160),"")," ",""),"년",""),""),"")</f>
      </c>
      <c r="I1722" t="str">
        <f>SUBSTITUTE(SUBSTITUTE(SUBSTITUTE(SUBSTITUTE(SUBSTITUTE(TRIM(B1722&amp;""),CHAR(160),"")," ",""),"초등학교","초"),"중학교","중"),"고등학교","고")</f>
      </c>
    </row>
    <row r="1723" customFormat="false" ht="15" hidden="false" customHeight="false" outlineLevel="0" collapsed="false">
      <c r="A1723" s="8"/>
      <c r="B1723" s="8"/>
      <c r="C1723" s="8"/>
      <c r="D1723" s="8"/>
      <c r="E1723" s="8"/>
      <c r="F1723" t="str" s="15">
        <f aca="0">IF(B1723="","",IF(H1723="","확인필요(입력누락)",IF(SUMPRODUCT((실물목록!$P$2:$P$1001&lt;&gt;"")*ISNUMBER(SEARCH(실물목록!$P$2:$P$1001,I1723))*(실물목록!$Q$2:$Q$1001&lt;&gt;"")*ISNUMBER(SEARCH(실물목록!$Q$2:$Q$1001,I1723))*(실물목록!$R$2:$R$1001="")*(실물목록!$O$2:$O$1001&lt;&gt;"")*(실물목록!$O$2:$O$1001=H1723))&gt;0,"실물 있음",IF(SUMPRODUCT((실물목록!$P$2:$P$1001&lt;&gt;"")*ISNUMBER(SEARCH(실물목록!$P$2:$P$1001,I1723))*(실물목록!$R$2:$R$1001&lt;&gt;""))&gt;0,"확인필요(입력누락)",IF(SUMPRODUCT((실물목록!$P$2:$P$1001&lt;&gt;"")*ISNUMBER(SEARCH(실물목록!$P$2:$P$1001,I1723))*(실물목록!$Q$2:$Q$1001&lt;&gt;"")*ISNUMBER(SEARCH(실물목록!$Q$2:$Q$1001,I1723))*(실물목록!$R$2:$R$1001="")*(실물목록!$O$2:$O$1001&lt;&gt;""))&gt;0,"확인필요(연도다름)","실물 없음")))))</f>
      </c>
      <c r="G1723" t="n" s="16">
        <f aca="0">IF(B1723="","",SUMPRODUCT((실물목록!$P$2:$P$1001&lt;&gt;"")*ISNUMBER(SEARCH(실물목록!$P$2:$P$1001,I1723))*(실물목록!$Q$2:$Q$1001&lt;&gt;"")*ISNUMBER(SEARCH(실물목록!$Q$2:$Q$1001,I1723))*(실물목록!$R$2:$R$1001="")*(실물목록!$O$2:$O$1001&lt;&gt;"")*(실물목록!$O$2:$O$1001=H1723)))</f>
      </c>
      <c r="H1723" t="str">
        <f>IFERROR(IF(AND(LEN(SUBSTITUTE(SUBSTITUTE(SUBSTITUTE(TRIM(A1723&amp;""),CHAR(160),"")," ",""),"년",""))=4,VALUE(SUBSTITUTE(SUBSTITUTE(SUBSTITUTE(TRIM(A1723&amp;""),CHAR(160),"")," ",""),"년",""))&gt;=1900,VALUE(SUBSTITUTE(SUBSTITUTE(SUBSTITUTE(TRIM(A1723&amp;""),CHAR(160),"")," ",""),"년",""))&lt;=2099,TEXT(VALUE(SUBSTITUTE(SUBSTITUTE(SUBSTITUTE(TRIM(A1723&amp;""),CHAR(160),"")," ",""),"년","")),"0000")=SUBSTITUTE(SUBSTITUTE(SUBSTITUTE(TRIM(A1723&amp;""),CHAR(160),"")," ",""),"년","")),SUBSTITUTE(SUBSTITUTE(SUBSTITUTE(TRIM(A1723&amp;""),CHAR(160),"")," ",""),"년",""),""),"")</f>
      </c>
      <c r="I1723" t="str">
        <f>SUBSTITUTE(SUBSTITUTE(SUBSTITUTE(SUBSTITUTE(SUBSTITUTE(TRIM(B1723&amp;""),CHAR(160),"")," ",""),"초등학교","초"),"중학교","중"),"고등학교","고")</f>
      </c>
    </row>
    <row r="1724" customFormat="false" ht="15" hidden="false" customHeight="false" outlineLevel="0" collapsed="false">
      <c r="A1724" s="8"/>
      <c r="B1724" s="8"/>
      <c r="C1724" s="8"/>
      <c r="D1724" s="8"/>
      <c r="E1724" s="8"/>
      <c r="F1724" t="str" s="15">
        <f aca="0">IF(B1724="","",IF(H1724="","확인필요(입력누락)",IF(SUMPRODUCT((실물목록!$P$2:$P$1001&lt;&gt;"")*ISNUMBER(SEARCH(실물목록!$P$2:$P$1001,I1724))*(실물목록!$Q$2:$Q$1001&lt;&gt;"")*ISNUMBER(SEARCH(실물목록!$Q$2:$Q$1001,I1724))*(실물목록!$R$2:$R$1001="")*(실물목록!$O$2:$O$1001&lt;&gt;"")*(실물목록!$O$2:$O$1001=H1724))&gt;0,"실물 있음",IF(SUMPRODUCT((실물목록!$P$2:$P$1001&lt;&gt;"")*ISNUMBER(SEARCH(실물목록!$P$2:$P$1001,I1724))*(실물목록!$R$2:$R$1001&lt;&gt;""))&gt;0,"확인필요(입력누락)",IF(SUMPRODUCT((실물목록!$P$2:$P$1001&lt;&gt;"")*ISNUMBER(SEARCH(실물목록!$P$2:$P$1001,I1724))*(실물목록!$Q$2:$Q$1001&lt;&gt;"")*ISNUMBER(SEARCH(실물목록!$Q$2:$Q$1001,I1724))*(실물목록!$R$2:$R$1001="")*(실물목록!$O$2:$O$1001&lt;&gt;""))&gt;0,"확인필요(연도다름)","실물 없음")))))</f>
      </c>
      <c r="G1724" t="n" s="16">
        <f aca="0">IF(B1724="","",SUMPRODUCT((실물목록!$P$2:$P$1001&lt;&gt;"")*ISNUMBER(SEARCH(실물목록!$P$2:$P$1001,I1724))*(실물목록!$Q$2:$Q$1001&lt;&gt;"")*ISNUMBER(SEARCH(실물목록!$Q$2:$Q$1001,I1724))*(실물목록!$R$2:$R$1001="")*(실물목록!$O$2:$O$1001&lt;&gt;"")*(실물목록!$O$2:$O$1001=H1724)))</f>
      </c>
      <c r="H1724" t="str">
        <f>IFERROR(IF(AND(LEN(SUBSTITUTE(SUBSTITUTE(SUBSTITUTE(TRIM(A1724&amp;""),CHAR(160),"")," ",""),"년",""))=4,VALUE(SUBSTITUTE(SUBSTITUTE(SUBSTITUTE(TRIM(A1724&amp;""),CHAR(160),"")," ",""),"년",""))&gt;=1900,VALUE(SUBSTITUTE(SUBSTITUTE(SUBSTITUTE(TRIM(A1724&amp;""),CHAR(160),"")," ",""),"년",""))&lt;=2099,TEXT(VALUE(SUBSTITUTE(SUBSTITUTE(SUBSTITUTE(TRIM(A1724&amp;""),CHAR(160),"")," ",""),"년","")),"0000")=SUBSTITUTE(SUBSTITUTE(SUBSTITUTE(TRIM(A1724&amp;""),CHAR(160),"")," ",""),"년","")),SUBSTITUTE(SUBSTITUTE(SUBSTITUTE(TRIM(A1724&amp;""),CHAR(160),"")," ",""),"년",""),""),"")</f>
      </c>
      <c r="I1724" t="str">
        <f>SUBSTITUTE(SUBSTITUTE(SUBSTITUTE(SUBSTITUTE(SUBSTITUTE(TRIM(B1724&amp;""),CHAR(160),"")," ",""),"초등학교","초"),"중학교","중"),"고등학교","고")</f>
      </c>
    </row>
    <row r="1725" customFormat="false" ht="15" hidden="false" customHeight="false" outlineLevel="0" collapsed="false">
      <c r="A1725" s="8"/>
      <c r="B1725" s="8"/>
      <c r="C1725" s="8"/>
      <c r="D1725" s="8"/>
      <c r="E1725" s="8"/>
      <c r="F1725" t="str" s="15">
        <f aca="0">IF(B1725="","",IF(H1725="","확인필요(입력누락)",IF(SUMPRODUCT((실물목록!$P$2:$P$1001&lt;&gt;"")*ISNUMBER(SEARCH(실물목록!$P$2:$P$1001,I1725))*(실물목록!$Q$2:$Q$1001&lt;&gt;"")*ISNUMBER(SEARCH(실물목록!$Q$2:$Q$1001,I1725))*(실물목록!$R$2:$R$1001="")*(실물목록!$O$2:$O$1001&lt;&gt;"")*(실물목록!$O$2:$O$1001=H1725))&gt;0,"실물 있음",IF(SUMPRODUCT((실물목록!$P$2:$P$1001&lt;&gt;"")*ISNUMBER(SEARCH(실물목록!$P$2:$P$1001,I1725))*(실물목록!$R$2:$R$1001&lt;&gt;""))&gt;0,"확인필요(입력누락)",IF(SUMPRODUCT((실물목록!$P$2:$P$1001&lt;&gt;"")*ISNUMBER(SEARCH(실물목록!$P$2:$P$1001,I1725))*(실물목록!$Q$2:$Q$1001&lt;&gt;"")*ISNUMBER(SEARCH(실물목록!$Q$2:$Q$1001,I1725))*(실물목록!$R$2:$R$1001="")*(실물목록!$O$2:$O$1001&lt;&gt;""))&gt;0,"확인필요(연도다름)","실물 없음")))))</f>
      </c>
      <c r="G1725" t="n" s="16">
        <f aca="0">IF(B1725="","",SUMPRODUCT((실물목록!$P$2:$P$1001&lt;&gt;"")*ISNUMBER(SEARCH(실물목록!$P$2:$P$1001,I1725))*(실물목록!$Q$2:$Q$1001&lt;&gt;"")*ISNUMBER(SEARCH(실물목록!$Q$2:$Q$1001,I1725))*(실물목록!$R$2:$R$1001="")*(실물목록!$O$2:$O$1001&lt;&gt;"")*(실물목록!$O$2:$O$1001=H1725)))</f>
      </c>
      <c r="H1725" t="str">
        <f>IFERROR(IF(AND(LEN(SUBSTITUTE(SUBSTITUTE(SUBSTITUTE(TRIM(A1725&amp;""),CHAR(160),"")," ",""),"년",""))=4,VALUE(SUBSTITUTE(SUBSTITUTE(SUBSTITUTE(TRIM(A1725&amp;""),CHAR(160),"")," ",""),"년",""))&gt;=1900,VALUE(SUBSTITUTE(SUBSTITUTE(SUBSTITUTE(TRIM(A1725&amp;""),CHAR(160),"")," ",""),"년",""))&lt;=2099,TEXT(VALUE(SUBSTITUTE(SUBSTITUTE(SUBSTITUTE(TRIM(A1725&amp;""),CHAR(160),"")," ",""),"년","")),"0000")=SUBSTITUTE(SUBSTITUTE(SUBSTITUTE(TRIM(A1725&amp;""),CHAR(160),"")," ",""),"년","")),SUBSTITUTE(SUBSTITUTE(SUBSTITUTE(TRIM(A1725&amp;""),CHAR(160),"")," ",""),"년",""),""),"")</f>
      </c>
      <c r="I1725" t="str">
        <f>SUBSTITUTE(SUBSTITUTE(SUBSTITUTE(SUBSTITUTE(SUBSTITUTE(TRIM(B1725&amp;""),CHAR(160),"")," ",""),"초등학교","초"),"중학교","중"),"고등학교","고")</f>
      </c>
    </row>
    <row r="1726" customFormat="false" ht="15" hidden="false" customHeight="false" outlineLevel="0" collapsed="false">
      <c r="A1726" s="8"/>
      <c r="B1726" s="8"/>
      <c r="C1726" s="8"/>
      <c r="D1726" s="8"/>
      <c r="E1726" s="8"/>
      <c r="F1726" t="str" s="15">
        <f aca="0">IF(B1726="","",IF(H1726="","확인필요(입력누락)",IF(SUMPRODUCT((실물목록!$P$2:$P$1001&lt;&gt;"")*ISNUMBER(SEARCH(실물목록!$P$2:$P$1001,I1726))*(실물목록!$Q$2:$Q$1001&lt;&gt;"")*ISNUMBER(SEARCH(실물목록!$Q$2:$Q$1001,I1726))*(실물목록!$R$2:$R$1001="")*(실물목록!$O$2:$O$1001&lt;&gt;"")*(실물목록!$O$2:$O$1001=H1726))&gt;0,"실물 있음",IF(SUMPRODUCT((실물목록!$P$2:$P$1001&lt;&gt;"")*ISNUMBER(SEARCH(실물목록!$P$2:$P$1001,I1726))*(실물목록!$R$2:$R$1001&lt;&gt;""))&gt;0,"확인필요(입력누락)",IF(SUMPRODUCT((실물목록!$P$2:$P$1001&lt;&gt;"")*ISNUMBER(SEARCH(실물목록!$P$2:$P$1001,I1726))*(실물목록!$Q$2:$Q$1001&lt;&gt;"")*ISNUMBER(SEARCH(실물목록!$Q$2:$Q$1001,I1726))*(실물목록!$R$2:$R$1001="")*(실물목록!$O$2:$O$1001&lt;&gt;""))&gt;0,"확인필요(연도다름)","실물 없음")))))</f>
      </c>
      <c r="G1726" t="n" s="16">
        <f aca="0">IF(B1726="","",SUMPRODUCT((실물목록!$P$2:$P$1001&lt;&gt;"")*ISNUMBER(SEARCH(실물목록!$P$2:$P$1001,I1726))*(실물목록!$Q$2:$Q$1001&lt;&gt;"")*ISNUMBER(SEARCH(실물목록!$Q$2:$Q$1001,I1726))*(실물목록!$R$2:$R$1001="")*(실물목록!$O$2:$O$1001&lt;&gt;"")*(실물목록!$O$2:$O$1001=H1726)))</f>
      </c>
      <c r="H1726" t="str">
        <f>IFERROR(IF(AND(LEN(SUBSTITUTE(SUBSTITUTE(SUBSTITUTE(TRIM(A1726&amp;""),CHAR(160),"")," ",""),"년",""))=4,VALUE(SUBSTITUTE(SUBSTITUTE(SUBSTITUTE(TRIM(A1726&amp;""),CHAR(160),"")," ",""),"년",""))&gt;=1900,VALUE(SUBSTITUTE(SUBSTITUTE(SUBSTITUTE(TRIM(A1726&amp;""),CHAR(160),"")," ",""),"년",""))&lt;=2099,TEXT(VALUE(SUBSTITUTE(SUBSTITUTE(SUBSTITUTE(TRIM(A1726&amp;""),CHAR(160),"")," ",""),"년","")),"0000")=SUBSTITUTE(SUBSTITUTE(SUBSTITUTE(TRIM(A1726&amp;""),CHAR(160),"")," ",""),"년","")),SUBSTITUTE(SUBSTITUTE(SUBSTITUTE(TRIM(A1726&amp;""),CHAR(160),"")," ",""),"년",""),""),"")</f>
      </c>
      <c r="I1726" t="str">
        <f>SUBSTITUTE(SUBSTITUTE(SUBSTITUTE(SUBSTITUTE(SUBSTITUTE(TRIM(B1726&amp;""),CHAR(160),"")," ",""),"초등학교","초"),"중학교","중"),"고등학교","고")</f>
      </c>
    </row>
    <row r="1727" customFormat="false" ht="15" hidden="false" customHeight="false" outlineLevel="0" collapsed="false">
      <c r="A1727" s="8"/>
      <c r="B1727" s="8"/>
      <c r="C1727" s="8"/>
      <c r="D1727" s="8"/>
      <c r="E1727" s="8"/>
      <c r="F1727" t="str" s="15">
        <f aca="0">IF(B1727="","",IF(H1727="","확인필요(입력누락)",IF(SUMPRODUCT((실물목록!$P$2:$P$1001&lt;&gt;"")*ISNUMBER(SEARCH(실물목록!$P$2:$P$1001,I1727))*(실물목록!$Q$2:$Q$1001&lt;&gt;"")*ISNUMBER(SEARCH(실물목록!$Q$2:$Q$1001,I1727))*(실물목록!$R$2:$R$1001="")*(실물목록!$O$2:$O$1001&lt;&gt;"")*(실물목록!$O$2:$O$1001=H1727))&gt;0,"실물 있음",IF(SUMPRODUCT((실물목록!$P$2:$P$1001&lt;&gt;"")*ISNUMBER(SEARCH(실물목록!$P$2:$P$1001,I1727))*(실물목록!$R$2:$R$1001&lt;&gt;""))&gt;0,"확인필요(입력누락)",IF(SUMPRODUCT((실물목록!$P$2:$P$1001&lt;&gt;"")*ISNUMBER(SEARCH(실물목록!$P$2:$P$1001,I1727))*(실물목록!$Q$2:$Q$1001&lt;&gt;"")*ISNUMBER(SEARCH(실물목록!$Q$2:$Q$1001,I1727))*(실물목록!$R$2:$R$1001="")*(실물목록!$O$2:$O$1001&lt;&gt;""))&gt;0,"확인필요(연도다름)","실물 없음")))))</f>
      </c>
      <c r="G1727" t="n" s="16">
        <f aca="0">IF(B1727="","",SUMPRODUCT((실물목록!$P$2:$P$1001&lt;&gt;"")*ISNUMBER(SEARCH(실물목록!$P$2:$P$1001,I1727))*(실물목록!$Q$2:$Q$1001&lt;&gt;"")*ISNUMBER(SEARCH(실물목록!$Q$2:$Q$1001,I1727))*(실물목록!$R$2:$R$1001="")*(실물목록!$O$2:$O$1001&lt;&gt;"")*(실물목록!$O$2:$O$1001=H1727)))</f>
      </c>
      <c r="H1727" t="str">
        <f>IFERROR(IF(AND(LEN(SUBSTITUTE(SUBSTITUTE(SUBSTITUTE(TRIM(A1727&amp;""),CHAR(160),"")," ",""),"년",""))=4,VALUE(SUBSTITUTE(SUBSTITUTE(SUBSTITUTE(TRIM(A1727&amp;""),CHAR(160),"")," ",""),"년",""))&gt;=1900,VALUE(SUBSTITUTE(SUBSTITUTE(SUBSTITUTE(TRIM(A1727&amp;""),CHAR(160),"")," ",""),"년",""))&lt;=2099,TEXT(VALUE(SUBSTITUTE(SUBSTITUTE(SUBSTITUTE(TRIM(A1727&amp;""),CHAR(160),"")," ",""),"년","")),"0000")=SUBSTITUTE(SUBSTITUTE(SUBSTITUTE(TRIM(A1727&amp;""),CHAR(160),"")," ",""),"년","")),SUBSTITUTE(SUBSTITUTE(SUBSTITUTE(TRIM(A1727&amp;""),CHAR(160),"")," ",""),"년",""),""),"")</f>
      </c>
      <c r="I1727" t="str">
        <f>SUBSTITUTE(SUBSTITUTE(SUBSTITUTE(SUBSTITUTE(SUBSTITUTE(TRIM(B1727&amp;""),CHAR(160),"")," ",""),"초등학교","초"),"중학교","중"),"고등학교","고")</f>
      </c>
    </row>
    <row r="1728" customFormat="false" ht="15" hidden="false" customHeight="false" outlineLevel="0" collapsed="false">
      <c r="A1728" s="8"/>
      <c r="B1728" s="8"/>
      <c r="C1728" s="8"/>
      <c r="D1728" s="8"/>
      <c r="E1728" s="8"/>
      <c r="F1728" t="str" s="15">
        <f aca="0">IF(B1728="","",IF(H1728="","확인필요(입력누락)",IF(SUMPRODUCT((실물목록!$P$2:$P$1001&lt;&gt;"")*ISNUMBER(SEARCH(실물목록!$P$2:$P$1001,I1728))*(실물목록!$Q$2:$Q$1001&lt;&gt;"")*ISNUMBER(SEARCH(실물목록!$Q$2:$Q$1001,I1728))*(실물목록!$R$2:$R$1001="")*(실물목록!$O$2:$O$1001&lt;&gt;"")*(실물목록!$O$2:$O$1001=H1728))&gt;0,"실물 있음",IF(SUMPRODUCT((실물목록!$P$2:$P$1001&lt;&gt;"")*ISNUMBER(SEARCH(실물목록!$P$2:$P$1001,I1728))*(실물목록!$R$2:$R$1001&lt;&gt;""))&gt;0,"확인필요(입력누락)",IF(SUMPRODUCT((실물목록!$P$2:$P$1001&lt;&gt;"")*ISNUMBER(SEARCH(실물목록!$P$2:$P$1001,I1728))*(실물목록!$Q$2:$Q$1001&lt;&gt;"")*ISNUMBER(SEARCH(실물목록!$Q$2:$Q$1001,I1728))*(실물목록!$R$2:$R$1001="")*(실물목록!$O$2:$O$1001&lt;&gt;""))&gt;0,"확인필요(연도다름)","실물 없음")))))</f>
      </c>
      <c r="G1728" t="n" s="16">
        <f aca="0">IF(B1728="","",SUMPRODUCT((실물목록!$P$2:$P$1001&lt;&gt;"")*ISNUMBER(SEARCH(실물목록!$P$2:$P$1001,I1728))*(실물목록!$Q$2:$Q$1001&lt;&gt;"")*ISNUMBER(SEARCH(실물목록!$Q$2:$Q$1001,I1728))*(실물목록!$R$2:$R$1001="")*(실물목록!$O$2:$O$1001&lt;&gt;"")*(실물목록!$O$2:$O$1001=H1728)))</f>
      </c>
      <c r="H1728" t="str">
        <f>IFERROR(IF(AND(LEN(SUBSTITUTE(SUBSTITUTE(SUBSTITUTE(TRIM(A1728&amp;""),CHAR(160),"")," ",""),"년",""))=4,VALUE(SUBSTITUTE(SUBSTITUTE(SUBSTITUTE(TRIM(A1728&amp;""),CHAR(160),"")," ",""),"년",""))&gt;=1900,VALUE(SUBSTITUTE(SUBSTITUTE(SUBSTITUTE(TRIM(A1728&amp;""),CHAR(160),"")," ",""),"년",""))&lt;=2099,TEXT(VALUE(SUBSTITUTE(SUBSTITUTE(SUBSTITUTE(TRIM(A1728&amp;""),CHAR(160),"")," ",""),"년","")),"0000")=SUBSTITUTE(SUBSTITUTE(SUBSTITUTE(TRIM(A1728&amp;""),CHAR(160),"")," ",""),"년","")),SUBSTITUTE(SUBSTITUTE(SUBSTITUTE(TRIM(A1728&amp;""),CHAR(160),"")," ",""),"년",""),""),"")</f>
      </c>
      <c r="I1728" t="str">
        <f>SUBSTITUTE(SUBSTITUTE(SUBSTITUTE(SUBSTITUTE(SUBSTITUTE(TRIM(B1728&amp;""),CHAR(160),"")," ",""),"초등학교","초"),"중학교","중"),"고등학교","고")</f>
      </c>
    </row>
    <row r="1729" customFormat="false" ht="15" hidden="false" customHeight="false" outlineLevel="0" collapsed="false">
      <c r="A1729" s="8"/>
      <c r="B1729" s="8"/>
      <c r="C1729" s="8"/>
      <c r="D1729" s="8"/>
      <c r="E1729" s="8"/>
      <c r="F1729" t="str" s="15">
        <f aca="0">IF(B1729="","",IF(H1729="","확인필요(입력누락)",IF(SUMPRODUCT((실물목록!$P$2:$P$1001&lt;&gt;"")*ISNUMBER(SEARCH(실물목록!$P$2:$P$1001,I1729))*(실물목록!$Q$2:$Q$1001&lt;&gt;"")*ISNUMBER(SEARCH(실물목록!$Q$2:$Q$1001,I1729))*(실물목록!$R$2:$R$1001="")*(실물목록!$O$2:$O$1001&lt;&gt;"")*(실물목록!$O$2:$O$1001=H1729))&gt;0,"실물 있음",IF(SUMPRODUCT((실물목록!$P$2:$P$1001&lt;&gt;"")*ISNUMBER(SEARCH(실물목록!$P$2:$P$1001,I1729))*(실물목록!$R$2:$R$1001&lt;&gt;""))&gt;0,"확인필요(입력누락)",IF(SUMPRODUCT((실물목록!$P$2:$P$1001&lt;&gt;"")*ISNUMBER(SEARCH(실물목록!$P$2:$P$1001,I1729))*(실물목록!$Q$2:$Q$1001&lt;&gt;"")*ISNUMBER(SEARCH(실물목록!$Q$2:$Q$1001,I1729))*(실물목록!$R$2:$R$1001="")*(실물목록!$O$2:$O$1001&lt;&gt;""))&gt;0,"확인필요(연도다름)","실물 없음")))))</f>
      </c>
      <c r="G1729" t="n" s="16">
        <f aca="0">IF(B1729="","",SUMPRODUCT((실물목록!$P$2:$P$1001&lt;&gt;"")*ISNUMBER(SEARCH(실물목록!$P$2:$P$1001,I1729))*(실물목록!$Q$2:$Q$1001&lt;&gt;"")*ISNUMBER(SEARCH(실물목록!$Q$2:$Q$1001,I1729))*(실물목록!$R$2:$R$1001="")*(실물목록!$O$2:$O$1001&lt;&gt;"")*(실물목록!$O$2:$O$1001=H1729)))</f>
      </c>
      <c r="H1729" t="str">
        <f>IFERROR(IF(AND(LEN(SUBSTITUTE(SUBSTITUTE(SUBSTITUTE(TRIM(A1729&amp;""),CHAR(160),"")," ",""),"년",""))=4,VALUE(SUBSTITUTE(SUBSTITUTE(SUBSTITUTE(TRIM(A1729&amp;""),CHAR(160),"")," ",""),"년",""))&gt;=1900,VALUE(SUBSTITUTE(SUBSTITUTE(SUBSTITUTE(TRIM(A1729&amp;""),CHAR(160),"")," ",""),"년",""))&lt;=2099,TEXT(VALUE(SUBSTITUTE(SUBSTITUTE(SUBSTITUTE(TRIM(A1729&amp;""),CHAR(160),"")," ",""),"년","")),"0000")=SUBSTITUTE(SUBSTITUTE(SUBSTITUTE(TRIM(A1729&amp;""),CHAR(160),"")," ",""),"년","")),SUBSTITUTE(SUBSTITUTE(SUBSTITUTE(TRIM(A1729&amp;""),CHAR(160),"")," ",""),"년",""),""),"")</f>
      </c>
      <c r="I1729" t="str">
        <f>SUBSTITUTE(SUBSTITUTE(SUBSTITUTE(SUBSTITUTE(SUBSTITUTE(TRIM(B1729&amp;""),CHAR(160),"")," ",""),"초등학교","초"),"중학교","중"),"고등학교","고")</f>
      </c>
    </row>
    <row r="1730" customFormat="false" ht="15" hidden="false" customHeight="false" outlineLevel="0" collapsed="false">
      <c r="A1730" s="8"/>
      <c r="B1730" s="8"/>
      <c r="C1730" s="8"/>
      <c r="D1730" s="8"/>
      <c r="E1730" s="8"/>
      <c r="F1730" t="str" s="15">
        <f aca="0">IF(B1730="","",IF(H1730="","확인필요(입력누락)",IF(SUMPRODUCT((실물목록!$P$2:$P$1001&lt;&gt;"")*ISNUMBER(SEARCH(실물목록!$P$2:$P$1001,I1730))*(실물목록!$Q$2:$Q$1001&lt;&gt;"")*ISNUMBER(SEARCH(실물목록!$Q$2:$Q$1001,I1730))*(실물목록!$R$2:$R$1001="")*(실물목록!$O$2:$O$1001&lt;&gt;"")*(실물목록!$O$2:$O$1001=H1730))&gt;0,"실물 있음",IF(SUMPRODUCT((실물목록!$P$2:$P$1001&lt;&gt;"")*ISNUMBER(SEARCH(실물목록!$P$2:$P$1001,I1730))*(실물목록!$R$2:$R$1001&lt;&gt;""))&gt;0,"확인필요(입력누락)",IF(SUMPRODUCT((실물목록!$P$2:$P$1001&lt;&gt;"")*ISNUMBER(SEARCH(실물목록!$P$2:$P$1001,I1730))*(실물목록!$Q$2:$Q$1001&lt;&gt;"")*ISNUMBER(SEARCH(실물목록!$Q$2:$Q$1001,I1730))*(실물목록!$R$2:$R$1001="")*(실물목록!$O$2:$O$1001&lt;&gt;""))&gt;0,"확인필요(연도다름)","실물 없음")))))</f>
      </c>
      <c r="G1730" t="n" s="16">
        <f aca="0">IF(B1730="","",SUMPRODUCT((실물목록!$P$2:$P$1001&lt;&gt;"")*ISNUMBER(SEARCH(실물목록!$P$2:$P$1001,I1730))*(실물목록!$Q$2:$Q$1001&lt;&gt;"")*ISNUMBER(SEARCH(실물목록!$Q$2:$Q$1001,I1730))*(실물목록!$R$2:$R$1001="")*(실물목록!$O$2:$O$1001&lt;&gt;"")*(실물목록!$O$2:$O$1001=H1730)))</f>
      </c>
      <c r="H1730" t="str">
        <f>IFERROR(IF(AND(LEN(SUBSTITUTE(SUBSTITUTE(SUBSTITUTE(TRIM(A1730&amp;""),CHAR(160),"")," ",""),"년",""))=4,VALUE(SUBSTITUTE(SUBSTITUTE(SUBSTITUTE(TRIM(A1730&amp;""),CHAR(160),"")," ",""),"년",""))&gt;=1900,VALUE(SUBSTITUTE(SUBSTITUTE(SUBSTITUTE(TRIM(A1730&amp;""),CHAR(160),"")," ",""),"년",""))&lt;=2099,TEXT(VALUE(SUBSTITUTE(SUBSTITUTE(SUBSTITUTE(TRIM(A1730&amp;""),CHAR(160),"")," ",""),"년","")),"0000")=SUBSTITUTE(SUBSTITUTE(SUBSTITUTE(TRIM(A1730&amp;""),CHAR(160),"")," ",""),"년","")),SUBSTITUTE(SUBSTITUTE(SUBSTITUTE(TRIM(A1730&amp;""),CHAR(160),"")," ",""),"년",""),""),"")</f>
      </c>
      <c r="I1730" t="str">
        <f>SUBSTITUTE(SUBSTITUTE(SUBSTITUTE(SUBSTITUTE(SUBSTITUTE(TRIM(B1730&amp;""),CHAR(160),"")," ",""),"초등학교","초"),"중학교","중"),"고등학교","고")</f>
      </c>
    </row>
    <row r="1731" customFormat="false" ht="15" hidden="false" customHeight="false" outlineLevel="0" collapsed="false">
      <c r="A1731" s="8"/>
      <c r="B1731" s="8"/>
      <c r="C1731" s="8"/>
      <c r="D1731" s="8"/>
      <c r="E1731" s="8"/>
      <c r="F1731" t="str" s="15">
        <f aca="0">IF(B1731="","",IF(H1731="","확인필요(입력누락)",IF(SUMPRODUCT((실물목록!$P$2:$P$1001&lt;&gt;"")*ISNUMBER(SEARCH(실물목록!$P$2:$P$1001,I1731))*(실물목록!$Q$2:$Q$1001&lt;&gt;"")*ISNUMBER(SEARCH(실물목록!$Q$2:$Q$1001,I1731))*(실물목록!$R$2:$R$1001="")*(실물목록!$O$2:$O$1001&lt;&gt;"")*(실물목록!$O$2:$O$1001=H1731))&gt;0,"실물 있음",IF(SUMPRODUCT((실물목록!$P$2:$P$1001&lt;&gt;"")*ISNUMBER(SEARCH(실물목록!$P$2:$P$1001,I1731))*(실물목록!$R$2:$R$1001&lt;&gt;""))&gt;0,"확인필요(입력누락)",IF(SUMPRODUCT((실물목록!$P$2:$P$1001&lt;&gt;"")*ISNUMBER(SEARCH(실물목록!$P$2:$P$1001,I1731))*(실물목록!$Q$2:$Q$1001&lt;&gt;"")*ISNUMBER(SEARCH(실물목록!$Q$2:$Q$1001,I1731))*(실물목록!$R$2:$R$1001="")*(실물목록!$O$2:$O$1001&lt;&gt;""))&gt;0,"확인필요(연도다름)","실물 없음")))))</f>
      </c>
      <c r="G1731" t="n" s="16">
        <f aca="0">IF(B1731="","",SUMPRODUCT((실물목록!$P$2:$P$1001&lt;&gt;"")*ISNUMBER(SEARCH(실물목록!$P$2:$P$1001,I1731))*(실물목록!$Q$2:$Q$1001&lt;&gt;"")*ISNUMBER(SEARCH(실물목록!$Q$2:$Q$1001,I1731))*(실물목록!$R$2:$R$1001="")*(실물목록!$O$2:$O$1001&lt;&gt;"")*(실물목록!$O$2:$O$1001=H1731)))</f>
      </c>
      <c r="H1731" t="str">
        <f>IFERROR(IF(AND(LEN(SUBSTITUTE(SUBSTITUTE(SUBSTITUTE(TRIM(A1731&amp;""),CHAR(160),"")," ",""),"년",""))=4,VALUE(SUBSTITUTE(SUBSTITUTE(SUBSTITUTE(TRIM(A1731&amp;""),CHAR(160),"")," ",""),"년",""))&gt;=1900,VALUE(SUBSTITUTE(SUBSTITUTE(SUBSTITUTE(TRIM(A1731&amp;""),CHAR(160),"")," ",""),"년",""))&lt;=2099,TEXT(VALUE(SUBSTITUTE(SUBSTITUTE(SUBSTITUTE(TRIM(A1731&amp;""),CHAR(160),"")," ",""),"년","")),"0000")=SUBSTITUTE(SUBSTITUTE(SUBSTITUTE(TRIM(A1731&amp;""),CHAR(160),"")," ",""),"년","")),SUBSTITUTE(SUBSTITUTE(SUBSTITUTE(TRIM(A1731&amp;""),CHAR(160),"")," ",""),"년",""),""),"")</f>
      </c>
      <c r="I1731" t="str">
        <f>SUBSTITUTE(SUBSTITUTE(SUBSTITUTE(SUBSTITUTE(SUBSTITUTE(TRIM(B1731&amp;""),CHAR(160),"")," ",""),"초등학교","초"),"중학교","중"),"고등학교","고")</f>
      </c>
    </row>
    <row r="1732" customFormat="false" ht="15" hidden="false" customHeight="false" outlineLevel="0" collapsed="false">
      <c r="A1732" s="8"/>
      <c r="B1732" s="8"/>
      <c r="C1732" s="8"/>
      <c r="D1732" s="8"/>
      <c r="E1732" s="8"/>
      <c r="F1732" t="str" s="15">
        <f aca="0">IF(B1732="","",IF(H1732="","확인필요(입력누락)",IF(SUMPRODUCT((실물목록!$P$2:$P$1001&lt;&gt;"")*ISNUMBER(SEARCH(실물목록!$P$2:$P$1001,I1732))*(실물목록!$Q$2:$Q$1001&lt;&gt;"")*ISNUMBER(SEARCH(실물목록!$Q$2:$Q$1001,I1732))*(실물목록!$R$2:$R$1001="")*(실물목록!$O$2:$O$1001&lt;&gt;"")*(실물목록!$O$2:$O$1001=H1732))&gt;0,"실물 있음",IF(SUMPRODUCT((실물목록!$P$2:$P$1001&lt;&gt;"")*ISNUMBER(SEARCH(실물목록!$P$2:$P$1001,I1732))*(실물목록!$R$2:$R$1001&lt;&gt;""))&gt;0,"확인필요(입력누락)",IF(SUMPRODUCT((실물목록!$P$2:$P$1001&lt;&gt;"")*ISNUMBER(SEARCH(실물목록!$P$2:$P$1001,I1732))*(실물목록!$Q$2:$Q$1001&lt;&gt;"")*ISNUMBER(SEARCH(실물목록!$Q$2:$Q$1001,I1732))*(실물목록!$R$2:$R$1001="")*(실물목록!$O$2:$O$1001&lt;&gt;""))&gt;0,"확인필요(연도다름)","실물 없음")))))</f>
      </c>
      <c r="G1732" t="n" s="16">
        <f aca="0">IF(B1732="","",SUMPRODUCT((실물목록!$P$2:$P$1001&lt;&gt;"")*ISNUMBER(SEARCH(실물목록!$P$2:$P$1001,I1732))*(실물목록!$Q$2:$Q$1001&lt;&gt;"")*ISNUMBER(SEARCH(실물목록!$Q$2:$Q$1001,I1732))*(실물목록!$R$2:$R$1001="")*(실물목록!$O$2:$O$1001&lt;&gt;"")*(실물목록!$O$2:$O$1001=H1732)))</f>
      </c>
      <c r="H1732" t="str">
        <f>IFERROR(IF(AND(LEN(SUBSTITUTE(SUBSTITUTE(SUBSTITUTE(TRIM(A1732&amp;""),CHAR(160),"")," ",""),"년",""))=4,VALUE(SUBSTITUTE(SUBSTITUTE(SUBSTITUTE(TRIM(A1732&amp;""),CHAR(160),"")," ",""),"년",""))&gt;=1900,VALUE(SUBSTITUTE(SUBSTITUTE(SUBSTITUTE(TRIM(A1732&amp;""),CHAR(160),"")," ",""),"년",""))&lt;=2099,TEXT(VALUE(SUBSTITUTE(SUBSTITUTE(SUBSTITUTE(TRIM(A1732&amp;""),CHAR(160),"")," ",""),"년","")),"0000")=SUBSTITUTE(SUBSTITUTE(SUBSTITUTE(TRIM(A1732&amp;""),CHAR(160),"")," ",""),"년","")),SUBSTITUTE(SUBSTITUTE(SUBSTITUTE(TRIM(A1732&amp;""),CHAR(160),"")," ",""),"년",""),""),"")</f>
      </c>
      <c r="I1732" t="str">
        <f>SUBSTITUTE(SUBSTITUTE(SUBSTITUTE(SUBSTITUTE(SUBSTITUTE(TRIM(B1732&amp;""),CHAR(160),"")," ",""),"초등학교","초"),"중학교","중"),"고등학교","고")</f>
      </c>
    </row>
    <row r="1733" customFormat="false" ht="15" hidden="false" customHeight="false" outlineLevel="0" collapsed="false">
      <c r="A1733" s="8"/>
      <c r="B1733" s="8"/>
      <c r="C1733" s="8"/>
      <c r="D1733" s="8"/>
      <c r="E1733" s="8"/>
      <c r="F1733" t="str" s="15">
        <f aca="0">IF(B1733="","",IF(H1733="","확인필요(입력누락)",IF(SUMPRODUCT((실물목록!$P$2:$P$1001&lt;&gt;"")*ISNUMBER(SEARCH(실물목록!$P$2:$P$1001,I1733))*(실물목록!$Q$2:$Q$1001&lt;&gt;"")*ISNUMBER(SEARCH(실물목록!$Q$2:$Q$1001,I1733))*(실물목록!$R$2:$R$1001="")*(실물목록!$O$2:$O$1001&lt;&gt;"")*(실물목록!$O$2:$O$1001=H1733))&gt;0,"실물 있음",IF(SUMPRODUCT((실물목록!$P$2:$P$1001&lt;&gt;"")*ISNUMBER(SEARCH(실물목록!$P$2:$P$1001,I1733))*(실물목록!$R$2:$R$1001&lt;&gt;""))&gt;0,"확인필요(입력누락)",IF(SUMPRODUCT((실물목록!$P$2:$P$1001&lt;&gt;"")*ISNUMBER(SEARCH(실물목록!$P$2:$P$1001,I1733))*(실물목록!$Q$2:$Q$1001&lt;&gt;"")*ISNUMBER(SEARCH(실물목록!$Q$2:$Q$1001,I1733))*(실물목록!$R$2:$R$1001="")*(실물목록!$O$2:$O$1001&lt;&gt;""))&gt;0,"확인필요(연도다름)","실물 없음")))))</f>
      </c>
      <c r="G1733" t="n" s="16">
        <f aca="0">IF(B1733="","",SUMPRODUCT((실물목록!$P$2:$P$1001&lt;&gt;"")*ISNUMBER(SEARCH(실물목록!$P$2:$P$1001,I1733))*(실물목록!$Q$2:$Q$1001&lt;&gt;"")*ISNUMBER(SEARCH(실물목록!$Q$2:$Q$1001,I1733))*(실물목록!$R$2:$R$1001="")*(실물목록!$O$2:$O$1001&lt;&gt;"")*(실물목록!$O$2:$O$1001=H1733)))</f>
      </c>
      <c r="H1733" t="str">
        <f>IFERROR(IF(AND(LEN(SUBSTITUTE(SUBSTITUTE(SUBSTITUTE(TRIM(A1733&amp;""),CHAR(160),"")," ",""),"년",""))=4,VALUE(SUBSTITUTE(SUBSTITUTE(SUBSTITUTE(TRIM(A1733&amp;""),CHAR(160),"")," ",""),"년",""))&gt;=1900,VALUE(SUBSTITUTE(SUBSTITUTE(SUBSTITUTE(TRIM(A1733&amp;""),CHAR(160),"")," ",""),"년",""))&lt;=2099,TEXT(VALUE(SUBSTITUTE(SUBSTITUTE(SUBSTITUTE(TRIM(A1733&amp;""),CHAR(160),"")," ",""),"년","")),"0000")=SUBSTITUTE(SUBSTITUTE(SUBSTITUTE(TRIM(A1733&amp;""),CHAR(160),"")," ",""),"년","")),SUBSTITUTE(SUBSTITUTE(SUBSTITUTE(TRIM(A1733&amp;""),CHAR(160),"")," ",""),"년",""),""),"")</f>
      </c>
      <c r="I1733" t="str">
        <f>SUBSTITUTE(SUBSTITUTE(SUBSTITUTE(SUBSTITUTE(SUBSTITUTE(TRIM(B1733&amp;""),CHAR(160),"")," ",""),"초등학교","초"),"중학교","중"),"고등학교","고")</f>
      </c>
    </row>
    <row r="1734" customFormat="false" ht="15" hidden="false" customHeight="false" outlineLevel="0" collapsed="false">
      <c r="A1734" s="8"/>
      <c r="B1734" s="8"/>
      <c r="C1734" s="8"/>
      <c r="D1734" s="8"/>
      <c r="E1734" s="8"/>
      <c r="F1734" t="str" s="15">
        <f aca="0">IF(B1734="","",IF(H1734="","확인필요(입력누락)",IF(SUMPRODUCT((실물목록!$P$2:$P$1001&lt;&gt;"")*ISNUMBER(SEARCH(실물목록!$P$2:$P$1001,I1734))*(실물목록!$Q$2:$Q$1001&lt;&gt;"")*ISNUMBER(SEARCH(실물목록!$Q$2:$Q$1001,I1734))*(실물목록!$R$2:$R$1001="")*(실물목록!$O$2:$O$1001&lt;&gt;"")*(실물목록!$O$2:$O$1001=H1734))&gt;0,"실물 있음",IF(SUMPRODUCT((실물목록!$P$2:$P$1001&lt;&gt;"")*ISNUMBER(SEARCH(실물목록!$P$2:$P$1001,I1734))*(실물목록!$R$2:$R$1001&lt;&gt;""))&gt;0,"확인필요(입력누락)",IF(SUMPRODUCT((실물목록!$P$2:$P$1001&lt;&gt;"")*ISNUMBER(SEARCH(실물목록!$P$2:$P$1001,I1734))*(실물목록!$Q$2:$Q$1001&lt;&gt;"")*ISNUMBER(SEARCH(실물목록!$Q$2:$Q$1001,I1734))*(실물목록!$R$2:$R$1001="")*(실물목록!$O$2:$O$1001&lt;&gt;""))&gt;0,"확인필요(연도다름)","실물 없음")))))</f>
      </c>
      <c r="G1734" t="n" s="16">
        <f aca="0">IF(B1734="","",SUMPRODUCT((실물목록!$P$2:$P$1001&lt;&gt;"")*ISNUMBER(SEARCH(실물목록!$P$2:$P$1001,I1734))*(실물목록!$Q$2:$Q$1001&lt;&gt;"")*ISNUMBER(SEARCH(실물목록!$Q$2:$Q$1001,I1734))*(실물목록!$R$2:$R$1001="")*(실물목록!$O$2:$O$1001&lt;&gt;"")*(실물목록!$O$2:$O$1001=H1734)))</f>
      </c>
      <c r="H1734" t="str">
        <f>IFERROR(IF(AND(LEN(SUBSTITUTE(SUBSTITUTE(SUBSTITUTE(TRIM(A1734&amp;""),CHAR(160),"")," ",""),"년",""))=4,VALUE(SUBSTITUTE(SUBSTITUTE(SUBSTITUTE(TRIM(A1734&amp;""),CHAR(160),"")," ",""),"년",""))&gt;=1900,VALUE(SUBSTITUTE(SUBSTITUTE(SUBSTITUTE(TRIM(A1734&amp;""),CHAR(160),"")," ",""),"년",""))&lt;=2099,TEXT(VALUE(SUBSTITUTE(SUBSTITUTE(SUBSTITUTE(TRIM(A1734&amp;""),CHAR(160),"")," ",""),"년","")),"0000")=SUBSTITUTE(SUBSTITUTE(SUBSTITUTE(TRIM(A1734&amp;""),CHAR(160),"")," ",""),"년","")),SUBSTITUTE(SUBSTITUTE(SUBSTITUTE(TRIM(A1734&amp;""),CHAR(160),"")," ",""),"년",""),""),"")</f>
      </c>
      <c r="I1734" t="str">
        <f>SUBSTITUTE(SUBSTITUTE(SUBSTITUTE(SUBSTITUTE(SUBSTITUTE(TRIM(B1734&amp;""),CHAR(160),"")," ",""),"초등학교","초"),"중학교","중"),"고등학교","고")</f>
      </c>
    </row>
    <row r="1735" customFormat="false" ht="15" hidden="false" customHeight="false" outlineLevel="0" collapsed="false">
      <c r="A1735" s="8"/>
      <c r="B1735" s="8"/>
      <c r="C1735" s="8"/>
      <c r="D1735" s="8"/>
      <c r="E1735" s="8"/>
      <c r="F1735" t="str" s="15">
        <f aca="0">IF(B1735="","",IF(H1735="","확인필요(입력누락)",IF(SUMPRODUCT((실물목록!$P$2:$P$1001&lt;&gt;"")*ISNUMBER(SEARCH(실물목록!$P$2:$P$1001,I1735))*(실물목록!$Q$2:$Q$1001&lt;&gt;"")*ISNUMBER(SEARCH(실물목록!$Q$2:$Q$1001,I1735))*(실물목록!$R$2:$R$1001="")*(실물목록!$O$2:$O$1001&lt;&gt;"")*(실물목록!$O$2:$O$1001=H1735))&gt;0,"실물 있음",IF(SUMPRODUCT((실물목록!$P$2:$P$1001&lt;&gt;"")*ISNUMBER(SEARCH(실물목록!$P$2:$P$1001,I1735))*(실물목록!$R$2:$R$1001&lt;&gt;""))&gt;0,"확인필요(입력누락)",IF(SUMPRODUCT((실물목록!$P$2:$P$1001&lt;&gt;"")*ISNUMBER(SEARCH(실물목록!$P$2:$P$1001,I1735))*(실물목록!$Q$2:$Q$1001&lt;&gt;"")*ISNUMBER(SEARCH(실물목록!$Q$2:$Q$1001,I1735))*(실물목록!$R$2:$R$1001="")*(실물목록!$O$2:$O$1001&lt;&gt;""))&gt;0,"확인필요(연도다름)","실물 없음")))))</f>
      </c>
      <c r="G1735" t="n" s="16">
        <f aca="0">IF(B1735="","",SUMPRODUCT((실물목록!$P$2:$P$1001&lt;&gt;"")*ISNUMBER(SEARCH(실물목록!$P$2:$P$1001,I1735))*(실물목록!$Q$2:$Q$1001&lt;&gt;"")*ISNUMBER(SEARCH(실물목록!$Q$2:$Q$1001,I1735))*(실물목록!$R$2:$R$1001="")*(실물목록!$O$2:$O$1001&lt;&gt;"")*(실물목록!$O$2:$O$1001=H1735)))</f>
      </c>
      <c r="H1735" t="str">
        <f>IFERROR(IF(AND(LEN(SUBSTITUTE(SUBSTITUTE(SUBSTITUTE(TRIM(A1735&amp;""),CHAR(160),"")," ",""),"년",""))=4,VALUE(SUBSTITUTE(SUBSTITUTE(SUBSTITUTE(TRIM(A1735&amp;""),CHAR(160),"")," ",""),"년",""))&gt;=1900,VALUE(SUBSTITUTE(SUBSTITUTE(SUBSTITUTE(TRIM(A1735&amp;""),CHAR(160),"")," ",""),"년",""))&lt;=2099,TEXT(VALUE(SUBSTITUTE(SUBSTITUTE(SUBSTITUTE(TRIM(A1735&amp;""),CHAR(160),"")," ",""),"년","")),"0000")=SUBSTITUTE(SUBSTITUTE(SUBSTITUTE(TRIM(A1735&amp;""),CHAR(160),"")," ",""),"년","")),SUBSTITUTE(SUBSTITUTE(SUBSTITUTE(TRIM(A1735&amp;""),CHAR(160),"")," ",""),"년",""),""),"")</f>
      </c>
      <c r="I1735" t="str">
        <f>SUBSTITUTE(SUBSTITUTE(SUBSTITUTE(SUBSTITUTE(SUBSTITUTE(TRIM(B1735&amp;""),CHAR(160),"")," ",""),"초등학교","초"),"중학교","중"),"고등학교","고")</f>
      </c>
    </row>
    <row r="1736" customFormat="false" ht="15" hidden="false" customHeight="false" outlineLevel="0" collapsed="false">
      <c r="A1736" s="8"/>
      <c r="B1736" s="8"/>
      <c r="C1736" s="8"/>
      <c r="D1736" s="8"/>
      <c r="E1736" s="8"/>
      <c r="F1736" t="str" s="15">
        <f aca="0">IF(B1736="","",IF(H1736="","확인필요(입력누락)",IF(SUMPRODUCT((실물목록!$P$2:$P$1001&lt;&gt;"")*ISNUMBER(SEARCH(실물목록!$P$2:$P$1001,I1736))*(실물목록!$Q$2:$Q$1001&lt;&gt;"")*ISNUMBER(SEARCH(실물목록!$Q$2:$Q$1001,I1736))*(실물목록!$R$2:$R$1001="")*(실물목록!$O$2:$O$1001&lt;&gt;"")*(실물목록!$O$2:$O$1001=H1736))&gt;0,"실물 있음",IF(SUMPRODUCT((실물목록!$P$2:$P$1001&lt;&gt;"")*ISNUMBER(SEARCH(실물목록!$P$2:$P$1001,I1736))*(실물목록!$R$2:$R$1001&lt;&gt;""))&gt;0,"확인필요(입력누락)",IF(SUMPRODUCT((실물목록!$P$2:$P$1001&lt;&gt;"")*ISNUMBER(SEARCH(실물목록!$P$2:$P$1001,I1736))*(실물목록!$Q$2:$Q$1001&lt;&gt;"")*ISNUMBER(SEARCH(실물목록!$Q$2:$Q$1001,I1736))*(실물목록!$R$2:$R$1001="")*(실물목록!$O$2:$O$1001&lt;&gt;""))&gt;0,"확인필요(연도다름)","실물 없음")))))</f>
      </c>
      <c r="G1736" t="n" s="16">
        <f aca="0">IF(B1736="","",SUMPRODUCT((실물목록!$P$2:$P$1001&lt;&gt;"")*ISNUMBER(SEARCH(실물목록!$P$2:$P$1001,I1736))*(실물목록!$Q$2:$Q$1001&lt;&gt;"")*ISNUMBER(SEARCH(실물목록!$Q$2:$Q$1001,I1736))*(실물목록!$R$2:$R$1001="")*(실물목록!$O$2:$O$1001&lt;&gt;"")*(실물목록!$O$2:$O$1001=H1736)))</f>
      </c>
      <c r="H1736" t="str">
        <f>IFERROR(IF(AND(LEN(SUBSTITUTE(SUBSTITUTE(SUBSTITUTE(TRIM(A1736&amp;""),CHAR(160),"")," ",""),"년",""))=4,VALUE(SUBSTITUTE(SUBSTITUTE(SUBSTITUTE(TRIM(A1736&amp;""),CHAR(160),"")," ",""),"년",""))&gt;=1900,VALUE(SUBSTITUTE(SUBSTITUTE(SUBSTITUTE(TRIM(A1736&amp;""),CHAR(160),"")," ",""),"년",""))&lt;=2099,TEXT(VALUE(SUBSTITUTE(SUBSTITUTE(SUBSTITUTE(TRIM(A1736&amp;""),CHAR(160),"")," ",""),"년","")),"0000")=SUBSTITUTE(SUBSTITUTE(SUBSTITUTE(TRIM(A1736&amp;""),CHAR(160),"")," ",""),"년","")),SUBSTITUTE(SUBSTITUTE(SUBSTITUTE(TRIM(A1736&amp;""),CHAR(160),"")," ",""),"년",""),""),"")</f>
      </c>
      <c r="I1736" t="str">
        <f>SUBSTITUTE(SUBSTITUTE(SUBSTITUTE(SUBSTITUTE(SUBSTITUTE(TRIM(B1736&amp;""),CHAR(160),"")," ",""),"초등학교","초"),"중학교","중"),"고등학교","고")</f>
      </c>
    </row>
    <row r="1737" customFormat="false" ht="15" hidden="false" customHeight="false" outlineLevel="0" collapsed="false">
      <c r="A1737" s="8"/>
      <c r="B1737" s="8"/>
      <c r="C1737" s="8"/>
      <c r="D1737" s="8"/>
      <c r="E1737" s="8"/>
      <c r="F1737" t="str" s="15">
        <f aca="0">IF(B1737="","",IF(H1737="","확인필요(입력누락)",IF(SUMPRODUCT((실물목록!$P$2:$P$1001&lt;&gt;"")*ISNUMBER(SEARCH(실물목록!$P$2:$P$1001,I1737))*(실물목록!$Q$2:$Q$1001&lt;&gt;"")*ISNUMBER(SEARCH(실물목록!$Q$2:$Q$1001,I1737))*(실물목록!$R$2:$R$1001="")*(실물목록!$O$2:$O$1001&lt;&gt;"")*(실물목록!$O$2:$O$1001=H1737))&gt;0,"실물 있음",IF(SUMPRODUCT((실물목록!$P$2:$P$1001&lt;&gt;"")*ISNUMBER(SEARCH(실물목록!$P$2:$P$1001,I1737))*(실물목록!$R$2:$R$1001&lt;&gt;""))&gt;0,"확인필요(입력누락)",IF(SUMPRODUCT((실물목록!$P$2:$P$1001&lt;&gt;"")*ISNUMBER(SEARCH(실물목록!$P$2:$P$1001,I1737))*(실물목록!$Q$2:$Q$1001&lt;&gt;"")*ISNUMBER(SEARCH(실물목록!$Q$2:$Q$1001,I1737))*(실물목록!$R$2:$R$1001="")*(실물목록!$O$2:$O$1001&lt;&gt;""))&gt;0,"확인필요(연도다름)","실물 없음")))))</f>
      </c>
      <c r="G1737" t="n" s="16">
        <f aca="0">IF(B1737="","",SUMPRODUCT((실물목록!$P$2:$P$1001&lt;&gt;"")*ISNUMBER(SEARCH(실물목록!$P$2:$P$1001,I1737))*(실물목록!$Q$2:$Q$1001&lt;&gt;"")*ISNUMBER(SEARCH(실물목록!$Q$2:$Q$1001,I1737))*(실물목록!$R$2:$R$1001="")*(실물목록!$O$2:$O$1001&lt;&gt;"")*(실물목록!$O$2:$O$1001=H1737)))</f>
      </c>
      <c r="H1737" t="str">
        <f>IFERROR(IF(AND(LEN(SUBSTITUTE(SUBSTITUTE(SUBSTITUTE(TRIM(A1737&amp;""),CHAR(160),"")," ",""),"년",""))=4,VALUE(SUBSTITUTE(SUBSTITUTE(SUBSTITUTE(TRIM(A1737&amp;""),CHAR(160),"")," ",""),"년",""))&gt;=1900,VALUE(SUBSTITUTE(SUBSTITUTE(SUBSTITUTE(TRIM(A1737&amp;""),CHAR(160),"")," ",""),"년",""))&lt;=2099,TEXT(VALUE(SUBSTITUTE(SUBSTITUTE(SUBSTITUTE(TRIM(A1737&amp;""),CHAR(160),"")," ",""),"년","")),"0000")=SUBSTITUTE(SUBSTITUTE(SUBSTITUTE(TRIM(A1737&amp;""),CHAR(160),"")," ",""),"년","")),SUBSTITUTE(SUBSTITUTE(SUBSTITUTE(TRIM(A1737&amp;""),CHAR(160),"")," ",""),"년",""),""),"")</f>
      </c>
      <c r="I1737" t="str">
        <f>SUBSTITUTE(SUBSTITUTE(SUBSTITUTE(SUBSTITUTE(SUBSTITUTE(TRIM(B1737&amp;""),CHAR(160),"")," ",""),"초등학교","초"),"중학교","중"),"고등학교","고")</f>
      </c>
    </row>
    <row r="1738" customFormat="false" ht="15" hidden="false" customHeight="false" outlineLevel="0" collapsed="false">
      <c r="A1738" s="8"/>
      <c r="B1738" s="8"/>
      <c r="C1738" s="8"/>
      <c r="D1738" s="8"/>
      <c r="E1738" s="8"/>
      <c r="F1738" t="str" s="15">
        <f aca="0">IF(B1738="","",IF(H1738="","확인필요(입력누락)",IF(SUMPRODUCT((실물목록!$P$2:$P$1001&lt;&gt;"")*ISNUMBER(SEARCH(실물목록!$P$2:$P$1001,I1738))*(실물목록!$Q$2:$Q$1001&lt;&gt;"")*ISNUMBER(SEARCH(실물목록!$Q$2:$Q$1001,I1738))*(실물목록!$R$2:$R$1001="")*(실물목록!$O$2:$O$1001&lt;&gt;"")*(실물목록!$O$2:$O$1001=H1738))&gt;0,"실물 있음",IF(SUMPRODUCT((실물목록!$P$2:$P$1001&lt;&gt;"")*ISNUMBER(SEARCH(실물목록!$P$2:$P$1001,I1738))*(실물목록!$R$2:$R$1001&lt;&gt;""))&gt;0,"확인필요(입력누락)",IF(SUMPRODUCT((실물목록!$P$2:$P$1001&lt;&gt;"")*ISNUMBER(SEARCH(실물목록!$P$2:$P$1001,I1738))*(실물목록!$Q$2:$Q$1001&lt;&gt;"")*ISNUMBER(SEARCH(실물목록!$Q$2:$Q$1001,I1738))*(실물목록!$R$2:$R$1001="")*(실물목록!$O$2:$O$1001&lt;&gt;""))&gt;0,"확인필요(연도다름)","실물 없음")))))</f>
      </c>
      <c r="G1738" t="n" s="16">
        <f aca="0">IF(B1738="","",SUMPRODUCT((실물목록!$P$2:$P$1001&lt;&gt;"")*ISNUMBER(SEARCH(실물목록!$P$2:$P$1001,I1738))*(실물목록!$Q$2:$Q$1001&lt;&gt;"")*ISNUMBER(SEARCH(실물목록!$Q$2:$Q$1001,I1738))*(실물목록!$R$2:$R$1001="")*(실물목록!$O$2:$O$1001&lt;&gt;"")*(실물목록!$O$2:$O$1001=H1738)))</f>
      </c>
      <c r="H1738" t="str">
        <f>IFERROR(IF(AND(LEN(SUBSTITUTE(SUBSTITUTE(SUBSTITUTE(TRIM(A1738&amp;""),CHAR(160),"")," ",""),"년",""))=4,VALUE(SUBSTITUTE(SUBSTITUTE(SUBSTITUTE(TRIM(A1738&amp;""),CHAR(160),"")," ",""),"년",""))&gt;=1900,VALUE(SUBSTITUTE(SUBSTITUTE(SUBSTITUTE(TRIM(A1738&amp;""),CHAR(160),"")," ",""),"년",""))&lt;=2099,TEXT(VALUE(SUBSTITUTE(SUBSTITUTE(SUBSTITUTE(TRIM(A1738&amp;""),CHAR(160),"")," ",""),"년","")),"0000")=SUBSTITUTE(SUBSTITUTE(SUBSTITUTE(TRIM(A1738&amp;""),CHAR(160),"")," ",""),"년","")),SUBSTITUTE(SUBSTITUTE(SUBSTITUTE(TRIM(A1738&amp;""),CHAR(160),"")," ",""),"년",""),""),"")</f>
      </c>
      <c r="I1738" t="str">
        <f>SUBSTITUTE(SUBSTITUTE(SUBSTITUTE(SUBSTITUTE(SUBSTITUTE(TRIM(B1738&amp;""),CHAR(160),"")," ",""),"초등학교","초"),"중학교","중"),"고등학교","고")</f>
      </c>
    </row>
    <row r="1739" customFormat="false" ht="15" hidden="false" customHeight="false" outlineLevel="0" collapsed="false">
      <c r="A1739" s="8"/>
      <c r="B1739" s="8"/>
      <c r="C1739" s="8"/>
      <c r="D1739" s="8"/>
      <c r="E1739" s="8"/>
      <c r="F1739" t="str" s="15">
        <f aca="0">IF(B1739="","",IF(H1739="","확인필요(입력누락)",IF(SUMPRODUCT((실물목록!$P$2:$P$1001&lt;&gt;"")*ISNUMBER(SEARCH(실물목록!$P$2:$P$1001,I1739))*(실물목록!$Q$2:$Q$1001&lt;&gt;"")*ISNUMBER(SEARCH(실물목록!$Q$2:$Q$1001,I1739))*(실물목록!$R$2:$R$1001="")*(실물목록!$O$2:$O$1001&lt;&gt;"")*(실물목록!$O$2:$O$1001=H1739))&gt;0,"실물 있음",IF(SUMPRODUCT((실물목록!$P$2:$P$1001&lt;&gt;"")*ISNUMBER(SEARCH(실물목록!$P$2:$P$1001,I1739))*(실물목록!$R$2:$R$1001&lt;&gt;""))&gt;0,"확인필요(입력누락)",IF(SUMPRODUCT((실물목록!$P$2:$P$1001&lt;&gt;"")*ISNUMBER(SEARCH(실물목록!$P$2:$P$1001,I1739))*(실물목록!$Q$2:$Q$1001&lt;&gt;"")*ISNUMBER(SEARCH(실물목록!$Q$2:$Q$1001,I1739))*(실물목록!$R$2:$R$1001="")*(실물목록!$O$2:$O$1001&lt;&gt;""))&gt;0,"확인필요(연도다름)","실물 없음")))))</f>
      </c>
      <c r="G1739" t="n" s="16">
        <f aca="0">IF(B1739="","",SUMPRODUCT((실물목록!$P$2:$P$1001&lt;&gt;"")*ISNUMBER(SEARCH(실물목록!$P$2:$P$1001,I1739))*(실물목록!$Q$2:$Q$1001&lt;&gt;"")*ISNUMBER(SEARCH(실물목록!$Q$2:$Q$1001,I1739))*(실물목록!$R$2:$R$1001="")*(실물목록!$O$2:$O$1001&lt;&gt;"")*(실물목록!$O$2:$O$1001=H1739)))</f>
      </c>
      <c r="H1739" t="str">
        <f>IFERROR(IF(AND(LEN(SUBSTITUTE(SUBSTITUTE(SUBSTITUTE(TRIM(A1739&amp;""),CHAR(160),"")," ",""),"년",""))=4,VALUE(SUBSTITUTE(SUBSTITUTE(SUBSTITUTE(TRIM(A1739&amp;""),CHAR(160),"")," ",""),"년",""))&gt;=1900,VALUE(SUBSTITUTE(SUBSTITUTE(SUBSTITUTE(TRIM(A1739&amp;""),CHAR(160),"")," ",""),"년",""))&lt;=2099,TEXT(VALUE(SUBSTITUTE(SUBSTITUTE(SUBSTITUTE(TRIM(A1739&amp;""),CHAR(160),"")," ",""),"년","")),"0000")=SUBSTITUTE(SUBSTITUTE(SUBSTITUTE(TRIM(A1739&amp;""),CHAR(160),"")," ",""),"년","")),SUBSTITUTE(SUBSTITUTE(SUBSTITUTE(TRIM(A1739&amp;""),CHAR(160),"")," ",""),"년",""),""),"")</f>
      </c>
      <c r="I1739" t="str">
        <f>SUBSTITUTE(SUBSTITUTE(SUBSTITUTE(SUBSTITUTE(SUBSTITUTE(TRIM(B1739&amp;""),CHAR(160),"")," ",""),"초등학교","초"),"중학교","중"),"고등학교","고")</f>
      </c>
    </row>
    <row r="1740" customFormat="false" ht="15" hidden="false" customHeight="false" outlineLevel="0" collapsed="false">
      <c r="A1740" s="8"/>
      <c r="B1740" s="8"/>
      <c r="C1740" s="8"/>
      <c r="D1740" s="8"/>
      <c r="E1740" s="8"/>
      <c r="F1740" t="str" s="15">
        <f aca="0">IF(B1740="","",IF(H1740="","확인필요(입력누락)",IF(SUMPRODUCT((실물목록!$P$2:$P$1001&lt;&gt;"")*ISNUMBER(SEARCH(실물목록!$P$2:$P$1001,I1740))*(실물목록!$Q$2:$Q$1001&lt;&gt;"")*ISNUMBER(SEARCH(실물목록!$Q$2:$Q$1001,I1740))*(실물목록!$R$2:$R$1001="")*(실물목록!$O$2:$O$1001&lt;&gt;"")*(실물목록!$O$2:$O$1001=H1740))&gt;0,"실물 있음",IF(SUMPRODUCT((실물목록!$P$2:$P$1001&lt;&gt;"")*ISNUMBER(SEARCH(실물목록!$P$2:$P$1001,I1740))*(실물목록!$R$2:$R$1001&lt;&gt;""))&gt;0,"확인필요(입력누락)",IF(SUMPRODUCT((실물목록!$P$2:$P$1001&lt;&gt;"")*ISNUMBER(SEARCH(실물목록!$P$2:$P$1001,I1740))*(실물목록!$Q$2:$Q$1001&lt;&gt;"")*ISNUMBER(SEARCH(실물목록!$Q$2:$Q$1001,I1740))*(실물목록!$R$2:$R$1001="")*(실물목록!$O$2:$O$1001&lt;&gt;""))&gt;0,"확인필요(연도다름)","실물 없음")))))</f>
      </c>
      <c r="G1740" t="n" s="16">
        <f aca="0">IF(B1740="","",SUMPRODUCT((실물목록!$P$2:$P$1001&lt;&gt;"")*ISNUMBER(SEARCH(실물목록!$P$2:$P$1001,I1740))*(실물목록!$Q$2:$Q$1001&lt;&gt;"")*ISNUMBER(SEARCH(실물목록!$Q$2:$Q$1001,I1740))*(실물목록!$R$2:$R$1001="")*(실물목록!$O$2:$O$1001&lt;&gt;"")*(실물목록!$O$2:$O$1001=H1740)))</f>
      </c>
      <c r="H1740" t="str">
        <f>IFERROR(IF(AND(LEN(SUBSTITUTE(SUBSTITUTE(SUBSTITUTE(TRIM(A1740&amp;""),CHAR(160),"")," ",""),"년",""))=4,VALUE(SUBSTITUTE(SUBSTITUTE(SUBSTITUTE(TRIM(A1740&amp;""),CHAR(160),"")," ",""),"년",""))&gt;=1900,VALUE(SUBSTITUTE(SUBSTITUTE(SUBSTITUTE(TRIM(A1740&amp;""),CHAR(160),"")," ",""),"년",""))&lt;=2099,TEXT(VALUE(SUBSTITUTE(SUBSTITUTE(SUBSTITUTE(TRIM(A1740&amp;""),CHAR(160),"")," ",""),"년","")),"0000")=SUBSTITUTE(SUBSTITUTE(SUBSTITUTE(TRIM(A1740&amp;""),CHAR(160),"")," ",""),"년","")),SUBSTITUTE(SUBSTITUTE(SUBSTITUTE(TRIM(A1740&amp;""),CHAR(160),"")," ",""),"년",""),""),"")</f>
      </c>
      <c r="I1740" t="str">
        <f>SUBSTITUTE(SUBSTITUTE(SUBSTITUTE(SUBSTITUTE(SUBSTITUTE(TRIM(B1740&amp;""),CHAR(160),"")," ",""),"초등학교","초"),"중학교","중"),"고등학교","고")</f>
      </c>
    </row>
    <row r="1741" customFormat="false" ht="15" hidden="false" customHeight="false" outlineLevel="0" collapsed="false">
      <c r="A1741" s="8"/>
      <c r="B1741" s="8"/>
      <c r="C1741" s="8"/>
      <c r="D1741" s="8"/>
      <c r="E1741" s="8"/>
      <c r="F1741" t="str" s="15">
        <f aca="0">IF(B1741="","",IF(H1741="","확인필요(입력누락)",IF(SUMPRODUCT((실물목록!$P$2:$P$1001&lt;&gt;"")*ISNUMBER(SEARCH(실물목록!$P$2:$P$1001,I1741))*(실물목록!$Q$2:$Q$1001&lt;&gt;"")*ISNUMBER(SEARCH(실물목록!$Q$2:$Q$1001,I1741))*(실물목록!$R$2:$R$1001="")*(실물목록!$O$2:$O$1001&lt;&gt;"")*(실물목록!$O$2:$O$1001=H1741))&gt;0,"실물 있음",IF(SUMPRODUCT((실물목록!$P$2:$P$1001&lt;&gt;"")*ISNUMBER(SEARCH(실물목록!$P$2:$P$1001,I1741))*(실물목록!$R$2:$R$1001&lt;&gt;""))&gt;0,"확인필요(입력누락)",IF(SUMPRODUCT((실물목록!$P$2:$P$1001&lt;&gt;"")*ISNUMBER(SEARCH(실물목록!$P$2:$P$1001,I1741))*(실물목록!$Q$2:$Q$1001&lt;&gt;"")*ISNUMBER(SEARCH(실물목록!$Q$2:$Q$1001,I1741))*(실물목록!$R$2:$R$1001="")*(실물목록!$O$2:$O$1001&lt;&gt;""))&gt;0,"확인필요(연도다름)","실물 없음")))))</f>
      </c>
      <c r="G1741" t="n" s="16">
        <f aca="0">IF(B1741="","",SUMPRODUCT((실물목록!$P$2:$P$1001&lt;&gt;"")*ISNUMBER(SEARCH(실물목록!$P$2:$P$1001,I1741))*(실물목록!$Q$2:$Q$1001&lt;&gt;"")*ISNUMBER(SEARCH(실물목록!$Q$2:$Q$1001,I1741))*(실물목록!$R$2:$R$1001="")*(실물목록!$O$2:$O$1001&lt;&gt;"")*(실물목록!$O$2:$O$1001=H1741)))</f>
      </c>
      <c r="H1741" t="str">
        <f>IFERROR(IF(AND(LEN(SUBSTITUTE(SUBSTITUTE(SUBSTITUTE(TRIM(A1741&amp;""),CHAR(160),"")," ",""),"년",""))=4,VALUE(SUBSTITUTE(SUBSTITUTE(SUBSTITUTE(TRIM(A1741&amp;""),CHAR(160),"")," ",""),"년",""))&gt;=1900,VALUE(SUBSTITUTE(SUBSTITUTE(SUBSTITUTE(TRIM(A1741&amp;""),CHAR(160),"")," ",""),"년",""))&lt;=2099,TEXT(VALUE(SUBSTITUTE(SUBSTITUTE(SUBSTITUTE(TRIM(A1741&amp;""),CHAR(160),"")," ",""),"년","")),"0000")=SUBSTITUTE(SUBSTITUTE(SUBSTITUTE(TRIM(A1741&amp;""),CHAR(160),"")," ",""),"년","")),SUBSTITUTE(SUBSTITUTE(SUBSTITUTE(TRIM(A1741&amp;""),CHAR(160),"")," ",""),"년",""),""),"")</f>
      </c>
      <c r="I1741" t="str">
        <f>SUBSTITUTE(SUBSTITUTE(SUBSTITUTE(SUBSTITUTE(SUBSTITUTE(TRIM(B1741&amp;""),CHAR(160),"")," ",""),"초등학교","초"),"중학교","중"),"고등학교","고")</f>
      </c>
    </row>
    <row r="1742" customFormat="false" ht="15" hidden="false" customHeight="false" outlineLevel="0" collapsed="false">
      <c r="A1742" s="8"/>
      <c r="B1742" s="8"/>
      <c r="C1742" s="8"/>
      <c r="D1742" s="8"/>
      <c r="E1742" s="8"/>
      <c r="F1742" t="str" s="15">
        <f aca="0">IF(B1742="","",IF(H1742="","확인필요(입력누락)",IF(SUMPRODUCT((실물목록!$P$2:$P$1001&lt;&gt;"")*ISNUMBER(SEARCH(실물목록!$P$2:$P$1001,I1742))*(실물목록!$Q$2:$Q$1001&lt;&gt;"")*ISNUMBER(SEARCH(실물목록!$Q$2:$Q$1001,I1742))*(실물목록!$R$2:$R$1001="")*(실물목록!$O$2:$O$1001&lt;&gt;"")*(실물목록!$O$2:$O$1001=H1742))&gt;0,"실물 있음",IF(SUMPRODUCT((실물목록!$P$2:$P$1001&lt;&gt;"")*ISNUMBER(SEARCH(실물목록!$P$2:$P$1001,I1742))*(실물목록!$R$2:$R$1001&lt;&gt;""))&gt;0,"확인필요(입력누락)",IF(SUMPRODUCT((실물목록!$P$2:$P$1001&lt;&gt;"")*ISNUMBER(SEARCH(실물목록!$P$2:$P$1001,I1742))*(실물목록!$Q$2:$Q$1001&lt;&gt;"")*ISNUMBER(SEARCH(실물목록!$Q$2:$Q$1001,I1742))*(실물목록!$R$2:$R$1001="")*(실물목록!$O$2:$O$1001&lt;&gt;""))&gt;0,"확인필요(연도다름)","실물 없음")))))</f>
      </c>
      <c r="G1742" t="n" s="16">
        <f aca="0">IF(B1742="","",SUMPRODUCT((실물목록!$P$2:$P$1001&lt;&gt;"")*ISNUMBER(SEARCH(실물목록!$P$2:$P$1001,I1742))*(실물목록!$Q$2:$Q$1001&lt;&gt;"")*ISNUMBER(SEARCH(실물목록!$Q$2:$Q$1001,I1742))*(실물목록!$R$2:$R$1001="")*(실물목록!$O$2:$O$1001&lt;&gt;"")*(실물목록!$O$2:$O$1001=H1742)))</f>
      </c>
      <c r="H1742" t="str">
        <f>IFERROR(IF(AND(LEN(SUBSTITUTE(SUBSTITUTE(SUBSTITUTE(TRIM(A1742&amp;""),CHAR(160),"")," ",""),"년",""))=4,VALUE(SUBSTITUTE(SUBSTITUTE(SUBSTITUTE(TRIM(A1742&amp;""),CHAR(160),"")," ",""),"년",""))&gt;=1900,VALUE(SUBSTITUTE(SUBSTITUTE(SUBSTITUTE(TRIM(A1742&amp;""),CHAR(160),"")," ",""),"년",""))&lt;=2099,TEXT(VALUE(SUBSTITUTE(SUBSTITUTE(SUBSTITUTE(TRIM(A1742&amp;""),CHAR(160),"")," ",""),"년","")),"0000")=SUBSTITUTE(SUBSTITUTE(SUBSTITUTE(TRIM(A1742&amp;""),CHAR(160),"")," ",""),"년","")),SUBSTITUTE(SUBSTITUTE(SUBSTITUTE(TRIM(A1742&amp;""),CHAR(160),"")," ",""),"년",""),""),"")</f>
      </c>
      <c r="I1742" t="str">
        <f>SUBSTITUTE(SUBSTITUTE(SUBSTITUTE(SUBSTITUTE(SUBSTITUTE(TRIM(B1742&amp;""),CHAR(160),"")," ",""),"초등학교","초"),"중학교","중"),"고등학교","고")</f>
      </c>
    </row>
    <row r="1743" customFormat="false" ht="15" hidden="false" customHeight="false" outlineLevel="0" collapsed="false">
      <c r="A1743" s="8"/>
      <c r="B1743" s="8"/>
      <c r="C1743" s="8"/>
      <c r="D1743" s="8"/>
      <c r="E1743" s="8"/>
      <c r="F1743" t="str" s="15">
        <f aca="0">IF(B1743="","",IF(H1743="","확인필요(입력누락)",IF(SUMPRODUCT((실물목록!$P$2:$P$1001&lt;&gt;"")*ISNUMBER(SEARCH(실물목록!$P$2:$P$1001,I1743))*(실물목록!$Q$2:$Q$1001&lt;&gt;"")*ISNUMBER(SEARCH(실물목록!$Q$2:$Q$1001,I1743))*(실물목록!$R$2:$R$1001="")*(실물목록!$O$2:$O$1001&lt;&gt;"")*(실물목록!$O$2:$O$1001=H1743))&gt;0,"실물 있음",IF(SUMPRODUCT((실물목록!$P$2:$P$1001&lt;&gt;"")*ISNUMBER(SEARCH(실물목록!$P$2:$P$1001,I1743))*(실물목록!$R$2:$R$1001&lt;&gt;""))&gt;0,"확인필요(입력누락)",IF(SUMPRODUCT((실물목록!$P$2:$P$1001&lt;&gt;"")*ISNUMBER(SEARCH(실물목록!$P$2:$P$1001,I1743))*(실물목록!$Q$2:$Q$1001&lt;&gt;"")*ISNUMBER(SEARCH(실물목록!$Q$2:$Q$1001,I1743))*(실물목록!$R$2:$R$1001="")*(실물목록!$O$2:$O$1001&lt;&gt;""))&gt;0,"확인필요(연도다름)","실물 없음")))))</f>
      </c>
      <c r="G1743" t="n" s="16">
        <f aca="0">IF(B1743="","",SUMPRODUCT((실물목록!$P$2:$P$1001&lt;&gt;"")*ISNUMBER(SEARCH(실물목록!$P$2:$P$1001,I1743))*(실물목록!$Q$2:$Q$1001&lt;&gt;"")*ISNUMBER(SEARCH(실물목록!$Q$2:$Q$1001,I1743))*(실물목록!$R$2:$R$1001="")*(실물목록!$O$2:$O$1001&lt;&gt;"")*(실물목록!$O$2:$O$1001=H1743)))</f>
      </c>
      <c r="H1743" t="str">
        <f>IFERROR(IF(AND(LEN(SUBSTITUTE(SUBSTITUTE(SUBSTITUTE(TRIM(A1743&amp;""),CHAR(160),"")," ",""),"년",""))=4,VALUE(SUBSTITUTE(SUBSTITUTE(SUBSTITUTE(TRIM(A1743&amp;""),CHAR(160),"")," ",""),"년",""))&gt;=1900,VALUE(SUBSTITUTE(SUBSTITUTE(SUBSTITUTE(TRIM(A1743&amp;""),CHAR(160),"")," ",""),"년",""))&lt;=2099,TEXT(VALUE(SUBSTITUTE(SUBSTITUTE(SUBSTITUTE(TRIM(A1743&amp;""),CHAR(160),"")," ",""),"년","")),"0000")=SUBSTITUTE(SUBSTITUTE(SUBSTITUTE(TRIM(A1743&amp;""),CHAR(160),"")," ",""),"년","")),SUBSTITUTE(SUBSTITUTE(SUBSTITUTE(TRIM(A1743&amp;""),CHAR(160),"")," ",""),"년",""),""),"")</f>
      </c>
      <c r="I1743" t="str">
        <f>SUBSTITUTE(SUBSTITUTE(SUBSTITUTE(SUBSTITUTE(SUBSTITUTE(TRIM(B1743&amp;""),CHAR(160),"")," ",""),"초등학교","초"),"중학교","중"),"고등학교","고")</f>
      </c>
    </row>
    <row r="1744" customFormat="false" ht="15" hidden="false" customHeight="false" outlineLevel="0" collapsed="false">
      <c r="A1744" s="8"/>
      <c r="B1744" s="8"/>
      <c r="C1744" s="8"/>
      <c r="D1744" s="8"/>
      <c r="E1744" s="8"/>
      <c r="F1744" t="str" s="15">
        <f aca="0">IF(B1744="","",IF(H1744="","확인필요(입력누락)",IF(SUMPRODUCT((실물목록!$P$2:$P$1001&lt;&gt;"")*ISNUMBER(SEARCH(실물목록!$P$2:$P$1001,I1744))*(실물목록!$Q$2:$Q$1001&lt;&gt;"")*ISNUMBER(SEARCH(실물목록!$Q$2:$Q$1001,I1744))*(실물목록!$R$2:$R$1001="")*(실물목록!$O$2:$O$1001&lt;&gt;"")*(실물목록!$O$2:$O$1001=H1744))&gt;0,"실물 있음",IF(SUMPRODUCT((실물목록!$P$2:$P$1001&lt;&gt;"")*ISNUMBER(SEARCH(실물목록!$P$2:$P$1001,I1744))*(실물목록!$R$2:$R$1001&lt;&gt;""))&gt;0,"확인필요(입력누락)",IF(SUMPRODUCT((실물목록!$P$2:$P$1001&lt;&gt;"")*ISNUMBER(SEARCH(실물목록!$P$2:$P$1001,I1744))*(실물목록!$Q$2:$Q$1001&lt;&gt;"")*ISNUMBER(SEARCH(실물목록!$Q$2:$Q$1001,I1744))*(실물목록!$R$2:$R$1001="")*(실물목록!$O$2:$O$1001&lt;&gt;""))&gt;0,"확인필요(연도다름)","실물 없음")))))</f>
      </c>
      <c r="G1744" t="n" s="16">
        <f aca="0">IF(B1744="","",SUMPRODUCT((실물목록!$P$2:$P$1001&lt;&gt;"")*ISNUMBER(SEARCH(실물목록!$P$2:$P$1001,I1744))*(실물목록!$Q$2:$Q$1001&lt;&gt;"")*ISNUMBER(SEARCH(실물목록!$Q$2:$Q$1001,I1744))*(실물목록!$R$2:$R$1001="")*(실물목록!$O$2:$O$1001&lt;&gt;"")*(실물목록!$O$2:$O$1001=H1744)))</f>
      </c>
      <c r="H1744" t="str">
        <f>IFERROR(IF(AND(LEN(SUBSTITUTE(SUBSTITUTE(SUBSTITUTE(TRIM(A1744&amp;""),CHAR(160),"")," ",""),"년",""))=4,VALUE(SUBSTITUTE(SUBSTITUTE(SUBSTITUTE(TRIM(A1744&amp;""),CHAR(160),"")," ",""),"년",""))&gt;=1900,VALUE(SUBSTITUTE(SUBSTITUTE(SUBSTITUTE(TRIM(A1744&amp;""),CHAR(160),"")," ",""),"년",""))&lt;=2099,TEXT(VALUE(SUBSTITUTE(SUBSTITUTE(SUBSTITUTE(TRIM(A1744&amp;""),CHAR(160),"")," ",""),"년","")),"0000")=SUBSTITUTE(SUBSTITUTE(SUBSTITUTE(TRIM(A1744&amp;""),CHAR(160),"")," ",""),"년","")),SUBSTITUTE(SUBSTITUTE(SUBSTITUTE(TRIM(A1744&amp;""),CHAR(160),"")," ",""),"년",""),""),"")</f>
      </c>
      <c r="I1744" t="str">
        <f>SUBSTITUTE(SUBSTITUTE(SUBSTITUTE(SUBSTITUTE(SUBSTITUTE(TRIM(B1744&amp;""),CHAR(160),"")," ",""),"초등학교","초"),"중학교","중"),"고등학교","고")</f>
      </c>
    </row>
    <row r="1745" customFormat="false" ht="15" hidden="false" customHeight="false" outlineLevel="0" collapsed="false">
      <c r="A1745" s="8"/>
      <c r="B1745" s="8"/>
      <c r="C1745" s="8"/>
      <c r="D1745" s="8"/>
      <c r="E1745" s="8"/>
      <c r="F1745" t="str" s="15">
        <f aca="0">IF(B1745="","",IF(H1745="","확인필요(입력누락)",IF(SUMPRODUCT((실물목록!$P$2:$P$1001&lt;&gt;"")*ISNUMBER(SEARCH(실물목록!$P$2:$P$1001,I1745))*(실물목록!$Q$2:$Q$1001&lt;&gt;"")*ISNUMBER(SEARCH(실물목록!$Q$2:$Q$1001,I1745))*(실물목록!$R$2:$R$1001="")*(실물목록!$O$2:$O$1001&lt;&gt;"")*(실물목록!$O$2:$O$1001=H1745))&gt;0,"실물 있음",IF(SUMPRODUCT((실물목록!$P$2:$P$1001&lt;&gt;"")*ISNUMBER(SEARCH(실물목록!$P$2:$P$1001,I1745))*(실물목록!$R$2:$R$1001&lt;&gt;""))&gt;0,"확인필요(입력누락)",IF(SUMPRODUCT((실물목록!$P$2:$P$1001&lt;&gt;"")*ISNUMBER(SEARCH(실물목록!$P$2:$P$1001,I1745))*(실물목록!$Q$2:$Q$1001&lt;&gt;"")*ISNUMBER(SEARCH(실물목록!$Q$2:$Q$1001,I1745))*(실물목록!$R$2:$R$1001="")*(실물목록!$O$2:$O$1001&lt;&gt;""))&gt;0,"확인필요(연도다름)","실물 없음")))))</f>
      </c>
      <c r="G1745" t="n" s="16">
        <f aca="0">IF(B1745="","",SUMPRODUCT((실물목록!$P$2:$P$1001&lt;&gt;"")*ISNUMBER(SEARCH(실물목록!$P$2:$P$1001,I1745))*(실물목록!$Q$2:$Q$1001&lt;&gt;"")*ISNUMBER(SEARCH(실물목록!$Q$2:$Q$1001,I1745))*(실물목록!$R$2:$R$1001="")*(실물목록!$O$2:$O$1001&lt;&gt;"")*(실물목록!$O$2:$O$1001=H1745)))</f>
      </c>
      <c r="H1745" t="str">
        <f>IFERROR(IF(AND(LEN(SUBSTITUTE(SUBSTITUTE(SUBSTITUTE(TRIM(A1745&amp;""),CHAR(160),"")," ",""),"년",""))=4,VALUE(SUBSTITUTE(SUBSTITUTE(SUBSTITUTE(TRIM(A1745&amp;""),CHAR(160),"")," ",""),"년",""))&gt;=1900,VALUE(SUBSTITUTE(SUBSTITUTE(SUBSTITUTE(TRIM(A1745&amp;""),CHAR(160),"")," ",""),"년",""))&lt;=2099,TEXT(VALUE(SUBSTITUTE(SUBSTITUTE(SUBSTITUTE(TRIM(A1745&amp;""),CHAR(160),"")," ",""),"년","")),"0000")=SUBSTITUTE(SUBSTITUTE(SUBSTITUTE(TRIM(A1745&amp;""),CHAR(160),"")," ",""),"년","")),SUBSTITUTE(SUBSTITUTE(SUBSTITUTE(TRIM(A1745&amp;""),CHAR(160),"")," ",""),"년",""),""),"")</f>
      </c>
      <c r="I1745" t="str">
        <f>SUBSTITUTE(SUBSTITUTE(SUBSTITUTE(SUBSTITUTE(SUBSTITUTE(TRIM(B1745&amp;""),CHAR(160),"")," ",""),"초등학교","초"),"중학교","중"),"고등학교","고")</f>
      </c>
    </row>
    <row r="1746" customFormat="false" ht="15" hidden="false" customHeight="false" outlineLevel="0" collapsed="false">
      <c r="A1746" s="8"/>
      <c r="B1746" s="8"/>
      <c r="C1746" s="8"/>
      <c r="D1746" s="8"/>
      <c r="E1746" s="8"/>
      <c r="F1746" t="str" s="15">
        <f aca="0">IF(B1746="","",IF(H1746="","확인필요(입력누락)",IF(SUMPRODUCT((실물목록!$P$2:$P$1001&lt;&gt;"")*ISNUMBER(SEARCH(실물목록!$P$2:$P$1001,I1746))*(실물목록!$Q$2:$Q$1001&lt;&gt;"")*ISNUMBER(SEARCH(실물목록!$Q$2:$Q$1001,I1746))*(실물목록!$R$2:$R$1001="")*(실물목록!$O$2:$O$1001&lt;&gt;"")*(실물목록!$O$2:$O$1001=H1746))&gt;0,"실물 있음",IF(SUMPRODUCT((실물목록!$P$2:$P$1001&lt;&gt;"")*ISNUMBER(SEARCH(실물목록!$P$2:$P$1001,I1746))*(실물목록!$R$2:$R$1001&lt;&gt;""))&gt;0,"확인필요(입력누락)",IF(SUMPRODUCT((실물목록!$P$2:$P$1001&lt;&gt;"")*ISNUMBER(SEARCH(실물목록!$P$2:$P$1001,I1746))*(실물목록!$Q$2:$Q$1001&lt;&gt;"")*ISNUMBER(SEARCH(실물목록!$Q$2:$Q$1001,I1746))*(실물목록!$R$2:$R$1001="")*(실물목록!$O$2:$O$1001&lt;&gt;""))&gt;0,"확인필요(연도다름)","실물 없음")))))</f>
      </c>
      <c r="G1746" t="n" s="16">
        <f aca="0">IF(B1746="","",SUMPRODUCT((실물목록!$P$2:$P$1001&lt;&gt;"")*ISNUMBER(SEARCH(실물목록!$P$2:$P$1001,I1746))*(실물목록!$Q$2:$Q$1001&lt;&gt;"")*ISNUMBER(SEARCH(실물목록!$Q$2:$Q$1001,I1746))*(실물목록!$R$2:$R$1001="")*(실물목록!$O$2:$O$1001&lt;&gt;"")*(실물목록!$O$2:$O$1001=H1746)))</f>
      </c>
      <c r="H1746" t="str">
        <f>IFERROR(IF(AND(LEN(SUBSTITUTE(SUBSTITUTE(SUBSTITUTE(TRIM(A1746&amp;""),CHAR(160),"")," ",""),"년",""))=4,VALUE(SUBSTITUTE(SUBSTITUTE(SUBSTITUTE(TRIM(A1746&amp;""),CHAR(160),"")," ",""),"년",""))&gt;=1900,VALUE(SUBSTITUTE(SUBSTITUTE(SUBSTITUTE(TRIM(A1746&amp;""),CHAR(160),"")," ",""),"년",""))&lt;=2099,TEXT(VALUE(SUBSTITUTE(SUBSTITUTE(SUBSTITUTE(TRIM(A1746&amp;""),CHAR(160),"")," ",""),"년","")),"0000")=SUBSTITUTE(SUBSTITUTE(SUBSTITUTE(TRIM(A1746&amp;""),CHAR(160),"")," ",""),"년","")),SUBSTITUTE(SUBSTITUTE(SUBSTITUTE(TRIM(A1746&amp;""),CHAR(160),"")," ",""),"년",""),""),"")</f>
      </c>
      <c r="I1746" t="str">
        <f>SUBSTITUTE(SUBSTITUTE(SUBSTITUTE(SUBSTITUTE(SUBSTITUTE(TRIM(B1746&amp;""),CHAR(160),"")," ",""),"초등학교","초"),"중학교","중"),"고등학교","고")</f>
      </c>
    </row>
    <row r="1747" customFormat="false" ht="15" hidden="false" customHeight="false" outlineLevel="0" collapsed="false">
      <c r="A1747" s="8"/>
      <c r="B1747" s="8"/>
      <c r="C1747" s="8"/>
      <c r="D1747" s="8"/>
      <c r="E1747" s="8"/>
      <c r="F1747" t="str" s="15">
        <f aca="0">IF(B1747="","",IF(H1747="","확인필요(입력누락)",IF(SUMPRODUCT((실물목록!$P$2:$P$1001&lt;&gt;"")*ISNUMBER(SEARCH(실물목록!$P$2:$P$1001,I1747))*(실물목록!$Q$2:$Q$1001&lt;&gt;"")*ISNUMBER(SEARCH(실물목록!$Q$2:$Q$1001,I1747))*(실물목록!$R$2:$R$1001="")*(실물목록!$O$2:$O$1001&lt;&gt;"")*(실물목록!$O$2:$O$1001=H1747))&gt;0,"실물 있음",IF(SUMPRODUCT((실물목록!$P$2:$P$1001&lt;&gt;"")*ISNUMBER(SEARCH(실물목록!$P$2:$P$1001,I1747))*(실물목록!$R$2:$R$1001&lt;&gt;""))&gt;0,"확인필요(입력누락)",IF(SUMPRODUCT((실물목록!$P$2:$P$1001&lt;&gt;"")*ISNUMBER(SEARCH(실물목록!$P$2:$P$1001,I1747))*(실물목록!$Q$2:$Q$1001&lt;&gt;"")*ISNUMBER(SEARCH(실물목록!$Q$2:$Q$1001,I1747))*(실물목록!$R$2:$R$1001="")*(실물목록!$O$2:$O$1001&lt;&gt;""))&gt;0,"확인필요(연도다름)","실물 없음")))))</f>
      </c>
      <c r="G1747" t="n" s="16">
        <f aca="0">IF(B1747="","",SUMPRODUCT((실물목록!$P$2:$P$1001&lt;&gt;"")*ISNUMBER(SEARCH(실물목록!$P$2:$P$1001,I1747))*(실물목록!$Q$2:$Q$1001&lt;&gt;"")*ISNUMBER(SEARCH(실물목록!$Q$2:$Q$1001,I1747))*(실물목록!$R$2:$R$1001="")*(실물목록!$O$2:$O$1001&lt;&gt;"")*(실물목록!$O$2:$O$1001=H1747)))</f>
      </c>
      <c r="H1747" t="str">
        <f>IFERROR(IF(AND(LEN(SUBSTITUTE(SUBSTITUTE(SUBSTITUTE(TRIM(A1747&amp;""),CHAR(160),"")," ",""),"년",""))=4,VALUE(SUBSTITUTE(SUBSTITUTE(SUBSTITUTE(TRIM(A1747&amp;""),CHAR(160),"")," ",""),"년",""))&gt;=1900,VALUE(SUBSTITUTE(SUBSTITUTE(SUBSTITUTE(TRIM(A1747&amp;""),CHAR(160),"")," ",""),"년",""))&lt;=2099,TEXT(VALUE(SUBSTITUTE(SUBSTITUTE(SUBSTITUTE(TRIM(A1747&amp;""),CHAR(160),"")," ",""),"년","")),"0000")=SUBSTITUTE(SUBSTITUTE(SUBSTITUTE(TRIM(A1747&amp;""),CHAR(160),"")," ",""),"년","")),SUBSTITUTE(SUBSTITUTE(SUBSTITUTE(TRIM(A1747&amp;""),CHAR(160),"")," ",""),"년",""),""),"")</f>
      </c>
      <c r="I1747" t="str">
        <f>SUBSTITUTE(SUBSTITUTE(SUBSTITUTE(SUBSTITUTE(SUBSTITUTE(TRIM(B1747&amp;""),CHAR(160),"")," ",""),"초등학교","초"),"중학교","중"),"고등학교","고")</f>
      </c>
    </row>
    <row r="1748" customFormat="false" ht="15" hidden="false" customHeight="false" outlineLevel="0" collapsed="false">
      <c r="A1748" s="8"/>
      <c r="B1748" s="8"/>
      <c r="C1748" s="8"/>
      <c r="D1748" s="8"/>
      <c r="E1748" s="8"/>
      <c r="F1748" t="str" s="15">
        <f aca="0">IF(B1748="","",IF(H1748="","확인필요(입력누락)",IF(SUMPRODUCT((실물목록!$P$2:$P$1001&lt;&gt;"")*ISNUMBER(SEARCH(실물목록!$P$2:$P$1001,I1748))*(실물목록!$Q$2:$Q$1001&lt;&gt;"")*ISNUMBER(SEARCH(실물목록!$Q$2:$Q$1001,I1748))*(실물목록!$R$2:$R$1001="")*(실물목록!$O$2:$O$1001&lt;&gt;"")*(실물목록!$O$2:$O$1001=H1748))&gt;0,"실물 있음",IF(SUMPRODUCT((실물목록!$P$2:$P$1001&lt;&gt;"")*ISNUMBER(SEARCH(실물목록!$P$2:$P$1001,I1748))*(실물목록!$R$2:$R$1001&lt;&gt;""))&gt;0,"확인필요(입력누락)",IF(SUMPRODUCT((실물목록!$P$2:$P$1001&lt;&gt;"")*ISNUMBER(SEARCH(실물목록!$P$2:$P$1001,I1748))*(실물목록!$Q$2:$Q$1001&lt;&gt;"")*ISNUMBER(SEARCH(실물목록!$Q$2:$Q$1001,I1748))*(실물목록!$R$2:$R$1001="")*(실물목록!$O$2:$O$1001&lt;&gt;""))&gt;0,"확인필요(연도다름)","실물 없음")))))</f>
      </c>
      <c r="G1748" t="n" s="16">
        <f aca="0">IF(B1748="","",SUMPRODUCT((실물목록!$P$2:$P$1001&lt;&gt;"")*ISNUMBER(SEARCH(실물목록!$P$2:$P$1001,I1748))*(실물목록!$Q$2:$Q$1001&lt;&gt;"")*ISNUMBER(SEARCH(실물목록!$Q$2:$Q$1001,I1748))*(실물목록!$R$2:$R$1001="")*(실물목록!$O$2:$O$1001&lt;&gt;"")*(실물목록!$O$2:$O$1001=H1748)))</f>
      </c>
      <c r="H1748" t="str">
        <f>IFERROR(IF(AND(LEN(SUBSTITUTE(SUBSTITUTE(SUBSTITUTE(TRIM(A1748&amp;""),CHAR(160),"")," ",""),"년",""))=4,VALUE(SUBSTITUTE(SUBSTITUTE(SUBSTITUTE(TRIM(A1748&amp;""),CHAR(160),"")," ",""),"년",""))&gt;=1900,VALUE(SUBSTITUTE(SUBSTITUTE(SUBSTITUTE(TRIM(A1748&amp;""),CHAR(160),"")," ",""),"년",""))&lt;=2099,TEXT(VALUE(SUBSTITUTE(SUBSTITUTE(SUBSTITUTE(TRIM(A1748&amp;""),CHAR(160),"")," ",""),"년","")),"0000")=SUBSTITUTE(SUBSTITUTE(SUBSTITUTE(TRIM(A1748&amp;""),CHAR(160),"")," ",""),"년","")),SUBSTITUTE(SUBSTITUTE(SUBSTITUTE(TRIM(A1748&amp;""),CHAR(160),"")," ",""),"년",""),""),"")</f>
      </c>
      <c r="I1748" t="str">
        <f>SUBSTITUTE(SUBSTITUTE(SUBSTITUTE(SUBSTITUTE(SUBSTITUTE(TRIM(B1748&amp;""),CHAR(160),"")," ",""),"초등학교","초"),"중학교","중"),"고등학교","고")</f>
      </c>
    </row>
    <row r="1749" customFormat="false" ht="15" hidden="false" customHeight="false" outlineLevel="0" collapsed="false">
      <c r="A1749" s="8"/>
      <c r="B1749" s="8"/>
      <c r="C1749" s="8"/>
      <c r="D1749" s="8"/>
      <c r="E1749" s="8"/>
      <c r="F1749" t="str" s="15">
        <f aca="0">IF(B1749="","",IF(H1749="","확인필요(입력누락)",IF(SUMPRODUCT((실물목록!$P$2:$P$1001&lt;&gt;"")*ISNUMBER(SEARCH(실물목록!$P$2:$P$1001,I1749))*(실물목록!$Q$2:$Q$1001&lt;&gt;"")*ISNUMBER(SEARCH(실물목록!$Q$2:$Q$1001,I1749))*(실물목록!$R$2:$R$1001="")*(실물목록!$O$2:$O$1001&lt;&gt;"")*(실물목록!$O$2:$O$1001=H1749))&gt;0,"실물 있음",IF(SUMPRODUCT((실물목록!$P$2:$P$1001&lt;&gt;"")*ISNUMBER(SEARCH(실물목록!$P$2:$P$1001,I1749))*(실물목록!$R$2:$R$1001&lt;&gt;""))&gt;0,"확인필요(입력누락)",IF(SUMPRODUCT((실물목록!$P$2:$P$1001&lt;&gt;"")*ISNUMBER(SEARCH(실물목록!$P$2:$P$1001,I1749))*(실물목록!$Q$2:$Q$1001&lt;&gt;"")*ISNUMBER(SEARCH(실물목록!$Q$2:$Q$1001,I1749))*(실물목록!$R$2:$R$1001="")*(실물목록!$O$2:$O$1001&lt;&gt;""))&gt;0,"확인필요(연도다름)","실물 없음")))))</f>
      </c>
      <c r="G1749" t="n" s="16">
        <f aca="0">IF(B1749="","",SUMPRODUCT((실물목록!$P$2:$P$1001&lt;&gt;"")*ISNUMBER(SEARCH(실물목록!$P$2:$P$1001,I1749))*(실물목록!$Q$2:$Q$1001&lt;&gt;"")*ISNUMBER(SEARCH(실물목록!$Q$2:$Q$1001,I1749))*(실물목록!$R$2:$R$1001="")*(실물목록!$O$2:$O$1001&lt;&gt;"")*(실물목록!$O$2:$O$1001=H1749)))</f>
      </c>
      <c r="H1749" t="str">
        <f>IFERROR(IF(AND(LEN(SUBSTITUTE(SUBSTITUTE(SUBSTITUTE(TRIM(A1749&amp;""),CHAR(160),"")," ",""),"년",""))=4,VALUE(SUBSTITUTE(SUBSTITUTE(SUBSTITUTE(TRIM(A1749&amp;""),CHAR(160),"")," ",""),"년",""))&gt;=1900,VALUE(SUBSTITUTE(SUBSTITUTE(SUBSTITUTE(TRIM(A1749&amp;""),CHAR(160),"")," ",""),"년",""))&lt;=2099,TEXT(VALUE(SUBSTITUTE(SUBSTITUTE(SUBSTITUTE(TRIM(A1749&amp;""),CHAR(160),"")," ",""),"년","")),"0000")=SUBSTITUTE(SUBSTITUTE(SUBSTITUTE(TRIM(A1749&amp;""),CHAR(160),"")," ",""),"년","")),SUBSTITUTE(SUBSTITUTE(SUBSTITUTE(TRIM(A1749&amp;""),CHAR(160),"")," ",""),"년",""),""),"")</f>
      </c>
      <c r="I1749" t="str">
        <f>SUBSTITUTE(SUBSTITUTE(SUBSTITUTE(SUBSTITUTE(SUBSTITUTE(TRIM(B1749&amp;""),CHAR(160),"")," ",""),"초등학교","초"),"중학교","중"),"고등학교","고")</f>
      </c>
    </row>
    <row r="1750" customFormat="false" ht="15" hidden="false" customHeight="false" outlineLevel="0" collapsed="false">
      <c r="A1750" s="8"/>
      <c r="B1750" s="8"/>
      <c r="C1750" s="8"/>
      <c r="D1750" s="8"/>
      <c r="E1750" s="8"/>
      <c r="F1750" t="str" s="15">
        <f aca="0">IF(B1750="","",IF(H1750="","확인필요(입력누락)",IF(SUMPRODUCT((실물목록!$P$2:$P$1001&lt;&gt;"")*ISNUMBER(SEARCH(실물목록!$P$2:$P$1001,I1750))*(실물목록!$Q$2:$Q$1001&lt;&gt;"")*ISNUMBER(SEARCH(실물목록!$Q$2:$Q$1001,I1750))*(실물목록!$R$2:$R$1001="")*(실물목록!$O$2:$O$1001&lt;&gt;"")*(실물목록!$O$2:$O$1001=H1750))&gt;0,"실물 있음",IF(SUMPRODUCT((실물목록!$P$2:$P$1001&lt;&gt;"")*ISNUMBER(SEARCH(실물목록!$P$2:$P$1001,I1750))*(실물목록!$R$2:$R$1001&lt;&gt;""))&gt;0,"확인필요(입력누락)",IF(SUMPRODUCT((실물목록!$P$2:$P$1001&lt;&gt;"")*ISNUMBER(SEARCH(실물목록!$P$2:$P$1001,I1750))*(실물목록!$Q$2:$Q$1001&lt;&gt;"")*ISNUMBER(SEARCH(실물목록!$Q$2:$Q$1001,I1750))*(실물목록!$R$2:$R$1001="")*(실물목록!$O$2:$O$1001&lt;&gt;""))&gt;0,"확인필요(연도다름)","실물 없음")))))</f>
      </c>
      <c r="G1750" t="n" s="16">
        <f aca="0">IF(B1750="","",SUMPRODUCT((실물목록!$P$2:$P$1001&lt;&gt;"")*ISNUMBER(SEARCH(실물목록!$P$2:$P$1001,I1750))*(실물목록!$Q$2:$Q$1001&lt;&gt;"")*ISNUMBER(SEARCH(실물목록!$Q$2:$Q$1001,I1750))*(실물목록!$R$2:$R$1001="")*(실물목록!$O$2:$O$1001&lt;&gt;"")*(실물목록!$O$2:$O$1001=H1750)))</f>
      </c>
      <c r="H1750" t="str">
        <f>IFERROR(IF(AND(LEN(SUBSTITUTE(SUBSTITUTE(SUBSTITUTE(TRIM(A1750&amp;""),CHAR(160),"")," ",""),"년",""))=4,VALUE(SUBSTITUTE(SUBSTITUTE(SUBSTITUTE(TRIM(A1750&amp;""),CHAR(160),"")," ",""),"년",""))&gt;=1900,VALUE(SUBSTITUTE(SUBSTITUTE(SUBSTITUTE(TRIM(A1750&amp;""),CHAR(160),"")," ",""),"년",""))&lt;=2099,TEXT(VALUE(SUBSTITUTE(SUBSTITUTE(SUBSTITUTE(TRIM(A1750&amp;""),CHAR(160),"")," ",""),"년","")),"0000")=SUBSTITUTE(SUBSTITUTE(SUBSTITUTE(TRIM(A1750&amp;""),CHAR(160),"")," ",""),"년","")),SUBSTITUTE(SUBSTITUTE(SUBSTITUTE(TRIM(A1750&amp;""),CHAR(160),"")," ",""),"년",""),""),"")</f>
      </c>
      <c r="I1750" t="str">
        <f>SUBSTITUTE(SUBSTITUTE(SUBSTITUTE(SUBSTITUTE(SUBSTITUTE(TRIM(B1750&amp;""),CHAR(160),"")," ",""),"초등학교","초"),"중학교","중"),"고등학교","고")</f>
      </c>
    </row>
    <row r="1751" customFormat="false" ht="15" hidden="false" customHeight="false" outlineLevel="0" collapsed="false">
      <c r="A1751" s="8"/>
      <c r="B1751" s="8"/>
      <c r="C1751" s="8"/>
      <c r="D1751" s="8"/>
      <c r="E1751" s="8"/>
      <c r="F1751" t="str" s="15">
        <f aca="0">IF(B1751="","",IF(H1751="","확인필요(입력누락)",IF(SUMPRODUCT((실물목록!$P$2:$P$1001&lt;&gt;"")*ISNUMBER(SEARCH(실물목록!$P$2:$P$1001,I1751))*(실물목록!$Q$2:$Q$1001&lt;&gt;"")*ISNUMBER(SEARCH(실물목록!$Q$2:$Q$1001,I1751))*(실물목록!$R$2:$R$1001="")*(실물목록!$O$2:$O$1001&lt;&gt;"")*(실물목록!$O$2:$O$1001=H1751))&gt;0,"실물 있음",IF(SUMPRODUCT((실물목록!$P$2:$P$1001&lt;&gt;"")*ISNUMBER(SEARCH(실물목록!$P$2:$P$1001,I1751))*(실물목록!$R$2:$R$1001&lt;&gt;""))&gt;0,"확인필요(입력누락)",IF(SUMPRODUCT((실물목록!$P$2:$P$1001&lt;&gt;"")*ISNUMBER(SEARCH(실물목록!$P$2:$P$1001,I1751))*(실물목록!$Q$2:$Q$1001&lt;&gt;"")*ISNUMBER(SEARCH(실물목록!$Q$2:$Q$1001,I1751))*(실물목록!$R$2:$R$1001="")*(실물목록!$O$2:$O$1001&lt;&gt;""))&gt;0,"확인필요(연도다름)","실물 없음")))))</f>
      </c>
      <c r="G1751" t="n" s="16">
        <f aca="0">IF(B1751="","",SUMPRODUCT((실물목록!$P$2:$P$1001&lt;&gt;"")*ISNUMBER(SEARCH(실물목록!$P$2:$P$1001,I1751))*(실물목록!$Q$2:$Q$1001&lt;&gt;"")*ISNUMBER(SEARCH(실물목록!$Q$2:$Q$1001,I1751))*(실물목록!$R$2:$R$1001="")*(실물목록!$O$2:$O$1001&lt;&gt;"")*(실물목록!$O$2:$O$1001=H1751)))</f>
      </c>
      <c r="H1751" t="str">
        <f>IFERROR(IF(AND(LEN(SUBSTITUTE(SUBSTITUTE(SUBSTITUTE(TRIM(A1751&amp;""),CHAR(160),"")," ",""),"년",""))=4,VALUE(SUBSTITUTE(SUBSTITUTE(SUBSTITUTE(TRIM(A1751&amp;""),CHAR(160),"")," ",""),"년",""))&gt;=1900,VALUE(SUBSTITUTE(SUBSTITUTE(SUBSTITUTE(TRIM(A1751&amp;""),CHAR(160),"")," ",""),"년",""))&lt;=2099,TEXT(VALUE(SUBSTITUTE(SUBSTITUTE(SUBSTITUTE(TRIM(A1751&amp;""),CHAR(160),"")," ",""),"년","")),"0000")=SUBSTITUTE(SUBSTITUTE(SUBSTITUTE(TRIM(A1751&amp;""),CHAR(160),"")," ",""),"년","")),SUBSTITUTE(SUBSTITUTE(SUBSTITUTE(TRIM(A1751&amp;""),CHAR(160),"")," ",""),"년",""),""),"")</f>
      </c>
      <c r="I1751" t="str">
        <f>SUBSTITUTE(SUBSTITUTE(SUBSTITUTE(SUBSTITUTE(SUBSTITUTE(TRIM(B1751&amp;""),CHAR(160),"")," ",""),"초등학교","초"),"중학교","중"),"고등학교","고")</f>
      </c>
    </row>
    <row r="1752" customFormat="false" ht="15" hidden="false" customHeight="false" outlineLevel="0" collapsed="false">
      <c r="A1752" s="8"/>
      <c r="B1752" s="8"/>
      <c r="C1752" s="8"/>
      <c r="D1752" s="8"/>
      <c r="E1752" s="8"/>
      <c r="F1752" t="str" s="15">
        <f aca="0">IF(B1752="","",IF(H1752="","확인필요(입력누락)",IF(SUMPRODUCT((실물목록!$P$2:$P$1001&lt;&gt;"")*ISNUMBER(SEARCH(실물목록!$P$2:$P$1001,I1752))*(실물목록!$Q$2:$Q$1001&lt;&gt;"")*ISNUMBER(SEARCH(실물목록!$Q$2:$Q$1001,I1752))*(실물목록!$R$2:$R$1001="")*(실물목록!$O$2:$O$1001&lt;&gt;"")*(실물목록!$O$2:$O$1001=H1752))&gt;0,"실물 있음",IF(SUMPRODUCT((실물목록!$P$2:$P$1001&lt;&gt;"")*ISNUMBER(SEARCH(실물목록!$P$2:$P$1001,I1752))*(실물목록!$R$2:$R$1001&lt;&gt;""))&gt;0,"확인필요(입력누락)",IF(SUMPRODUCT((실물목록!$P$2:$P$1001&lt;&gt;"")*ISNUMBER(SEARCH(실물목록!$P$2:$P$1001,I1752))*(실물목록!$Q$2:$Q$1001&lt;&gt;"")*ISNUMBER(SEARCH(실물목록!$Q$2:$Q$1001,I1752))*(실물목록!$R$2:$R$1001="")*(실물목록!$O$2:$O$1001&lt;&gt;""))&gt;0,"확인필요(연도다름)","실물 없음")))))</f>
      </c>
      <c r="G1752" t="n" s="16">
        <f aca="0">IF(B1752="","",SUMPRODUCT((실물목록!$P$2:$P$1001&lt;&gt;"")*ISNUMBER(SEARCH(실물목록!$P$2:$P$1001,I1752))*(실물목록!$Q$2:$Q$1001&lt;&gt;"")*ISNUMBER(SEARCH(실물목록!$Q$2:$Q$1001,I1752))*(실물목록!$R$2:$R$1001="")*(실물목록!$O$2:$O$1001&lt;&gt;"")*(실물목록!$O$2:$O$1001=H1752)))</f>
      </c>
      <c r="H1752" t="str">
        <f>IFERROR(IF(AND(LEN(SUBSTITUTE(SUBSTITUTE(SUBSTITUTE(TRIM(A1752&amp;""),CHAR(160),"")," ",""),"년",""))=4,VALUE(SUBSTITUTE(SUBSTITUTE(SUBSTITUTE(TRIM(A1752&amp;""),CHAR(160),"")," ",""),"년",""))&gt;=1900,VALUE(SUBSTITUTE(SUBSTITUTE(SUBSTITUTE(TRIM(A1752&amp;""),CHAR(160),"")," ",""),"년",""))&lt;=2099,TEXT(VALUE(SUBSTITUTE(SUBSTITUTE(SUBSTITUTE(TRIM(A1752&amp;""),CHAR(160),"")," ",""),"년","")),"0000")=SUBSTITUTE(SUBSTITUTE(SUBSTITUTE(TRIM(A1752&amp;""),CHAR(160),"")," ",""),"년","")),SUBSTITUTE(SUBSTITUTE(SUBSTITUTE(TRIM(A1752&amp;""),CHAR(160),"")," ",""),"년",""),""),"")</f>
      </c>
      <c r="I1752" t="str">
        <f>SUBSTITUTE(SUBSTITUTE(SUBSTITUTE(SUBSTITUTE(SUBSTITUTE(TRIM(B1752&amp;""),CHAR(160),"")," ",""),"초등학교","초"),"중학교","중"),"고등학교","고")</f>
      </c>
    </row>
    <row r="1753" customFormat="false" ht="15" hidden="false" customHeight="false" outlineLevel="0" collapsed="false">
      <c r="A1753" s="8"/>
      <c r="B1753" s="8"/>
      <c r="C1753" s="8"/>
      <c r="D1753" s="8"/>
      <c r="E1753" s="8"/>
      <c r="F1753" t="str" s="15">
        <f aca="0">IF(B1753="","",IF(H1753="","확인필요(입력누락)",IF(SUMPRODUCT((실물목록!$P$2:$P$1001&lt;&gt;"")*ISNUMBER(SEARCH(실물목록!$P$2:$P$1001,I1753))*(실물목록!$Q$2:$Q$1001&lt;&gt;"")*ISNUMBER(SEARCH(실물목록!$Q$2:$Q$1001,I1753))*(실물목록!$R$2:$R$1001="")*(실물목록!$O$2:$O$1001&lt;&gt;"")*(실물목록!$O$2:$O$1001=H1753))&gt;0,"실물 있음",IF(SUMPRODUCT((실물목록!$P$2:$P$1001&lt;&gt;"")*ISNUMBER(SEARCH(실물목록!$P$2:$P$1001,I1753))*(실물목록!$R$2:$R$1001&lt;&gt;""))&gt;0,"확인필요(입력누락)",IF(SUMPRODUCT((실물목록!$P$2:$P$1001&lt;&gt;"")*ISNUMBER(SEARCH(실물목록!$P$2:$P$1001,I1753))*(실물목록!$Q$2:$Q$1001&lt;&gt;"")*ISNUMBER(SEARCH(실물목록!$Q$2:$Q$1001,I1753))*(실물목록!$R$2:$R$1001="")*(실물목록!$O$2:$O$1001&lt;&gt;""))&gt;0,"확인필요(연도다름)","실물 없음")))))</f>
      </c>
      <c r="G1753" t="n" s="16">
        <f aca="0">IF(B1753="","",SUMPRODUCT((실물목록!$P$2:$P$1001&lt;&gt;"")*ISNUMBER(SEARCH(실물목록!$P$2:$P$1001,I1753))*(실물목록!$Q$2:$Q$1001&lt;&gt;"")*ISNUMBER(SEARCH(실물목록!$Q$2:$Q$1001,I1753))*(실물목록!$R$2:$R$1001="")*(실물목록!$O$2:$O$1001&lt;&gt;"")*(실물목록!$O$2:$O$1001=H1753)))</f>
      </c>
      <c r="H1753" t="str">
        <f>IFERROR(IF(AND(LEN(SUBSTITUTE(SUBSTITUTE(SUBSTITUTE(TRIM(A1753&amp;""),CHAR(160),"")," ",""),"년",""))=4,VALUE(SUBSTITUTE(SUBSTITUTE(SUBSTITUTE(TRIM(A1753&amp;""),CHAR(160),"")," ",""),"년",""))&gt;=1900,VALUE(SUBSTITUTE(SUBSTITUTE(SUBSTITUTE(TRIM(A1753&amp;""),CHAR(160),"")," ",""),"년",""))&lt;=2099,TEXT(VALUE(SUBSTITUTE(SUBSTITUTE(SUBSTITUTE(TRIM(A1753&amp;""),CHAR(160),"")," ",""),"년","")),"0000")=SUBSTITUTE(SUBSTITUTE(SUBSTITUTE(TRIM(A1753&amp;""),CHAR(160),"")," ",""),"년","")),SUBSTITUTE(SUBSTITUTE(SUBSTITUTE(TRIM(A1753&amp;""),CHAR(160),"")," ",""),"년",""),""),"")</f>
      </c>
      <c r="I1753" t="str">
        <f>SUBSTITUTE(SUBSTITUTE(SUBSTITUTE(SUBSTITUTE(SUBSTITUTE(TRIM(B1753&amp;""),CHAR(160),"")," ",""),"초등학교","초"),"중학교","중"),"고등학교","고")</f>
      </c>
    </row>
    <row r="1754" customFormat="false" ht="15" hidden="false" customHeight="false" outlineLevel="0" collapsed="false">
      <c r="A1754" s="8"/>
      <c r="B1754" s="8"/>
      <c r="C1754" s="8"/>
      <c r="D1754" s="8"/>
      <c r="E1754" s="8"/>
      <c r="F1754" t="str" s="15">
        <f aca="0">IF(B1754="","",IF(H1754="","확인필요(입력누락)",IF(SUMPRODUCT((실물목록!$P$2:$P$1001&lt;&gt;"")*ISNUMBER(SEARCH(실물목록!$P$2:$P$1001,I1754))*(실물목록!$Q$2:$Q$1001&lt;&gt;"")*ISNUMBER(SEARCH(실물목록!$Q$2:$Q$1001,I1754))*(실물목록!$R$2:$R$1001="")*(실물목록!$O$2:$O$1001&lt;&gt;"")*(실물목록!$O$2:$O$1001=H1754))&gt;0,"실물 있음",IF(SUMPRODUCT((실물목록!$P$2:$P$1001&lt;&gt;"")*ISNUMBER(SEARCH(실물목록!$P$2:$P$1001,I1754))*(실물목록!$R$2:$R$1001&lt;&gt;""))&gt;0,"확인필요(입력누락)",IF(SUMPRODUCT((실물목록!$P$2:$P$1001&lt;&gt;"")*ISNUMBER(SEARCH(실물목록!$P$2:$P$1001,I1754))*(실물목록!$Q$2:$Q$1001&lt;&gt;"")*ISNUMBER(SEARCH(실물목록!$Q$2:$Q$1001,I1754))*(실물목록!$R$2:$R$1001="")*(실물목록!$O$2:$O$1001&lt;&gt;""))&gt;0,"확인필요(연도다름)","실물 없음")))))</f>
      </c>
      <c r="G1754" t="n" s="16">
        <f aca="0">IF(B1754="","",SUMPRODUCT((실물목록!$P$2:$P$1001&lt;&gt;"")*ISNUMBER(SEARCH(실물목록!$P$2:$P$1001,I1754))*(실물목록!$Q$2:$Q$1001&lt;&gt;"")*ISNUMBER(SEARCH(실물목록!$Q$2:$Q$1001,I1754))*(실물목록!$R$2:$R$1001="")*(실물목록!$O$2:$O$1001&lt;&gt;"")*(실물목록!$O$2:$O$1001=H1754)))</f>
      </c>
      <c r="H1754" t="str">
        <f>IFERROR(IF(AND(LEN(SUBSTITUTE(SUBSTITUTE(SUBSTITUTE(TRIM(A1754&amp;""),CHAR(160),"")," ",""),"년",""))=4,VALUE(SUBSTITUTE(SUBSTITUTE(SUBSTITUTE(TRIM(A1754&amp;""),CHAR(160),"")," ",""),"년",""))&gt;=1900,VALUE(SUBSTITUTE(SUBSTITUTE(SUBSTITUTE(TRIM(A1754&amp;""),CHAR(160),"")," ",""),"년",""))&lt;=2099,TEXT(VALUE(SUBSTITUTE(SUBSTITUTE(SUBSTITUTE(TRIM(A1754&amp;""),CHAR(160),"")," ",""),"년","")),"0000")=SUBSTITUTE(SUBSTITUTE(SUBSTITUTE(TRIM(A1754&amp;""),CHAR(160),"")," ",""),"년","")),SUBSTITUTE(SUBSTITUTE(SUBSTITUTE(TRIM(A1754&amp;""),CHAR(160),"")," ",""),"년",""),""),"")</f>
      </c>
      <c r="I1754" t="str">
        <f>SUBSTITUTE(SUBSTITUTE(SUBSTITUTE(SUBSTITUTE(SUBSTITUTE(TRIM(B1754&amp;""),CHAR(160),"")," ",""),"초등학교","초"),"중학교","중"),"고등학교","고")</f>
      </c>
    </row>
    <row r="1755" customFormat="false" ht="15" hidden="false" customHeight="false" outlineLevel="0" collapsed="false">
      <c r="A1755" s="8"/>
      <c r="B1755" s="8"/>
      <c r="C1755" s="8"/>
      <c r="D1755" s="8"/>
      <c r="E1755" s="8"/>
      <c r="F1755" t="str" s="15">
        <f aca="0">IF(B1755="","",IF(H1755="","확인필요(입력누락)",IF(SUMPRODUCT((실물목록!$P$2:$P$1001&lt;&gt;"")*ISNUMBER(SEARCH(실물목록!$P$2:$P$1001,I1755))*(실물목록!$Q$2:$Q$1001&lt;&gt;"")*ISNUMBER(SEARCH(실물목록!$Q$2:$Q$1001,I1755))*(실물목록!$R$2:$R$1001="")*(실물목록!$O$2:$O$1001&lt;&gt;"")*(실물목록!$O$2:$O$1001=H1755))&gt;0,"실물 있음",IF(SUMPRODUCT((실물목록!$P$2:$P$1001&lt;&gt;"")*ISNUMBER(SEARCH(실물목록!$P$2:$P$1001,I1755))*(실물목록!$R$2:$R$1001&lt;&gt;""))&gt;0,"확인필요(입력누락)",IF(SUMPRODUCT((실물목록!$P$2:$P$1001&lt;&gt;"")*ISNUMBER(SEARCH(실물목록!$P$2:$P$1001,I1755))*(실물목록!$Q$2:$Q$1001&lt;&gt;"")*ISNUMBER(SEARCH(실물목록!$Q$2:$Q$1001,I1755))*(실물목록!$R$2:$R$1001="")*(실물목록!$O$2:$O$1001&lt;&gt;""))&gt;0,"확인필요(연도다름)","실물 없음")))))</f>
      </c>
      <c r="G1755" t="n" s="16">
        <f aca="0">IF(B1755="","",SUMPRODUCT((실물목록!$P$2:$P$1001&lt;&gt;"")*ISNUMBER(SEARCH(실물목록!$P$2:$P$1001,I1755))*(실물목록!$Q$2:$Q$1001&lt;&gt;"")*ISNUMBER(SEARCH(실물목록!$Q$2:$Q$1001,I1755))*(실물목록!$R$2:$R$1001="")*(실물목록!$O$2:$O$1001&lt;&gt;"")*(실물목록!$O$2:$O$1001=H1755)))</f>
      </c>
      <c r="H1755" t="str">
        <f>IFERROR(IF(AND(LEN(SUBSTITUTE(SUBSTITUTE(SUBSTITUTE(TRIM(A1755&amp;""),CHAR(160),"")," ",""),"년",""))=4,VALUE(SUBSTITUTE(SUBSTITUTE(SUBSTITUTE(TRIM(A1755&amp;""),CHAR(160),"")," ",""),"년",""))&gt;=1900,VALUE(SUBSTITUTE(SUBSTITUTE(SUBSTITUTE(TRIM(A1755&amp;""),CHAR(160),"")," ",""),"년",""))&lt;=2099,TEXT(VALUE(SUBSTITUTE(SUBSTITUTE(SUBSTITUTE(TRIM(A1755&amp;""),CHAR(160),"")," ",""),"년","")),"0000")=SUBSTITUTE(SUBSTITUTE(SUBSTITUTE(TRIM(A1755&amp;""),CHAR(160),"")," ",""),"년","")),SUBSTITUTE(SUBSTITUTE(SUBSTITUTE(TRIM(A1755&amp;""),CHAR(160),"")," ",""),"년",""),""),"")</f>
      </c>
      <c r="I1755" t="str">
        <f>SUBSTITUTE(SUBSTITUTE(SUBSTITUTE(SUBSTITUTE(SUBSTITUTE(TRIM(B1755&amp;""),CHAR(160),"")," ",""),"초등학교","초"),"중학교","중"),"고등학교","고")</f>
      </c>
    </row>
    <row r="1756" customFormat="false" ht="15" hidden="false" customHeight="false" outlineLevel="0" collapsed="false">
      <c r="A1756" s="8"/>
      <c r="B1756" s="8"/>
      <c r="C1756" s="8"/>
      <c r="D1756" s="8"/>
      <c r="E1756" s="8"/>
      <c r="F1756" t="str" s="15">
        <f aca="0">IF(B1756="","",IF(H1756="","확인필요(입력누락)",IF(SUMPRODUCT((실물목록!$P$2:$P$1001&lt;&gt;"")*ISNUMBER(SEARCH(실물목록!$P$2:$P$1001,I1756))*(실물목록!$Q$2:$Q$1001&lt;&gt;"")*ISNUMBER(SEARCH(실물목록!$Q$2:$Q$1001,I1756))*(실물목록!$R$2:$R$1001="")*(실물목록!$O$2:$O$1001&lt;&gt;"")*(실물목록!$O$2:$O$1001=H1756))&gt;0,"실물 있음",IF(SUMPRODUCT((실물목록!$P$2:$P$1001&lt;&gt;"")*ISNUMBER(SEARCH(실물목록!$P$2:$P$1001,I1756))*(실물목록!$R$2:$R$1001&lt;&gt;""))&gt;0,"확인필요(입력누락)",IF(SUMPRODUCT((실물목록!$P$2:$P$1001&lt;&gt;"")*ISNUMBER(SEARCH(실물목록!$P$2:$P$1001,I1756))*(실물목록!$Q$2:$Q$1001&lt;&gt;"")*ISNUMBER(SEARCH(실물목록!$Q$2:$Q$1001,I1756))*(실물목록!$R$2:$R$1001="")*(실물목록!$O$2:$O$1001&lt;&gt;""))&gt;0,"확인필요(연도다름)","실물 없음")))))</f>
      </c>
      <c r="G1756" t="n" s="16">
        <f aca="0">IF(B1756="","",SUMPRODUCT((실물목록!$P$2:$P$1001&lt;&gt;"")*ISNUMBER(SEARCH(실물목록!$P$2:$P$1001,I1756))*(실물목록!$Q$2:$Q$1001&lt;&gt;"")*ISNUMBER(SEARCH(실물목록!$Q$2:$Q$1001,I1756))*(실물목록!$R$2:$R$1001="")*(실물목록!$O$2:$O$1001&lt;&gt;"")*(실물목록!$O$2:$O$1001=H1756)))</f>
      </c>
      <c r="H1756" t="str">
        <f>IFERROR(IF(AND(LEN(SUBSTITUTE(SUBSTITUTE(SUBSTITUTE(TRIM(A1756&amp;""),CHAR(160),"")," ",""),"년",""))=4,VALUE(SUBSTITUTE(SUBSTITUTE(SUBSTITUTE(TRIM(A1756&amp;""),CHAR(160),"")," ",""),"년",""))&gt;=1900,VALUE(SUBSTITUTE(SUBSTITUTE(SUBSTITUTE(TRIM(A1756&amp;""),CHAR(160),"")," ",""),"년",""))&lt;=2099,TEXT(VALUE(SUBSTITUTE(SUBSTITUTE(SUBSTITUTE(TRIM(A1756&amp;""),CHAR(160),"")," ",""),"년","")),"0000")=SUBSTITUTE(SUBSTITUTE(SUBSTITUTE(TRIM(A1756&amp;""),CHAR(160),"")," ",""),"년","")),SUBSTITUTE(SUBSTITUTE(SUBSTITUTE(TRIM(A1756&amp;""),CHAR(160),"")," ",""),"년",""),""),"")</f>
      </c>
      <c r="I1756" t="str">
        <f>SUBSTITUTE(SUBSTITUTE(SUBSTITUTE(SUBSTITUTE(SUBSTITUTE(TRIM(B1756&amp;""),CHAR(160),"")," ",""),"초등학교","초"),"중학교","중"),"고등학교","고")</f>
      </c>
    </row>
    <row r="1757" customFormat="false" ht="15" hidden="false" customHeight="false" outlineLevel="0" collapsed="false">
      <c r="A1757" s="8"/>
      <c r="B1757" s="8"/>
      <c r="C1757" s="8"/>
      <c r="D1757" s="8"/>
      <c r="E1757" s="8"/>
      <c r="F1757" t="str" s="15">
        <f aca="0">IF(B1757="","",IF(H1757="","확인필요(입력누락)",IF(SUMPRODUCT((실물목록!$P$2:$P$1001&lt;&gt;"")*ISNUMBER(SEARCH(실물목록!$P$2:$P$1001,I1757))*(실물목록!$Q$2:$Q$1001&lt;&gt;"")*ISNUMBER(SEARCH(실물목록!$Q$2:$Q$1001,I1757))*(실물목록!$R$2:$R$1001="")*(실물목록!$O$2:$O$1001&lt;&gt;"")*(실물목록!$O$2:$O$1001=H1757))&gt;0,"실물 있음",IF(SUMPRODUCT((실물목록!$P$2:$P$1001&lt;&gt;"")*ISNUMBER(SEARCH(실물목록!$P$2:$P$1001,I1757))*(실물목록!$R$2:$R$1001&lt;&gt;""))&gt;0,"확인필요(입력누락)",IF(SUMPRODUCT((실물목록!$P$2:$P$1001&lt;&gt;"")*ISNUMBER(SEARCH(실물목록!$P$2:$P$1001,I1757))*(실물목록!$Q$2:$Q$1001&lt;&gt;"")*ISNUMBER(SEARCH(실물목록!$Q$2:$Q$1001,I1757))*(실물목록!$R$2:$R$1001="")*(실물목록!$O$2:$O$1001&lt;&gt;""))&gt;0,"확인필요(연도다름)","실물 없음")))))</f>
      </c>
      <c r="G1757" t="n" s="16">
        <f aca="0">IF(B1757="","",SUMPRODUCT((실물목록!$P$2:$P$1001&lt;&gt;"")*ISNUMBER(SEARCH(실물목록!$P$2:$P$1001,I1757))*(실물목록!$Q$2:$Q$1001&lt;&gt;"")*ISNUMBER(SEARCH(실물목록!$Q$2:$Q$1001,I1757))*(실물목록!$R$2:$R$1001="")*(실물목록!$O$2:$O$1001&lt;&gt;"")*(실물목록!$O$2:$O$1001=H1757)))</f>
      </c>
      <c r="H1757" t="str">
        <f>IFERROR(IF(AND(LEN(SUBSTITUTE(SUBSTITUTE(SUBSTITUTE(TRIM(A1757&amp;""),CHAR(160),"")," ",""),"년",""))=4,VALUE(SUBSTITUTE(SUBSTITUTE(SUBSTITUTE(TRIM(A1757&amp;""),CHAR(160),"")," ",""),"년",""))&gt;=1900,VALUE(SUBSTITUTE(SUBSTITUTE(SUBSTITUTE(TRIM(A1757&amp;""),CHAR(160),"")," ",""),"년",""))&lt;=2099,TEXT(VALUE(SUBSTITUTE(SUBSTITUTE(SUBSTITUTE(TRIM(A1757&amp;""),CHAR(160),"")," ",""),"년","")),"0000")=SUBSTITUTE(SUBSTITUTE(SUBSTITUTE(TRIM(A1757&amp;""),CHAR(160),"")," ",""),"년","")),SUBSTITUTE(SUBSTITUTE(SUBSTITUTE(TRIM(A1757&amp;""),CHAR(160),"")," ",""),"년",""),""),"")</f>
      </c>
      <c r="I1757" t="str">
        <f>SUBSTITUTE(SUBSTITUTE(SUBSTITUTE(SUBSTITUTE(SUBSTITUTE(TRIM(B1757&amp;""),CHAR(160),"")," ",""),"초등학교","초"),"중학교","중"),"고등학교","고")</f>
      </c>
    </row>
    <row r="1758" customFormat="false" ht="15" hidden="false" customHeight="false" outlineLevel="0" collapsed="false">
      <c r="A1758" s="8"/>
      <c r="B1758" s="8"/>
      <c r="C1758" s="8"/>
      <c r="D1758" s="8"/>
      <c r="E1758" s="8"/>
      <c r="F1758" t="str" s="15">
        <f aca="0">IF(B1758="","",IF(H1758="","확인필요(입력누락)",IF(SUMPRODUCT((실물목록!$P$2:$P$1001&lt;&gt;"")*ISNUMBER(SEARCH(실물목록!$P$2:$P$1001,I1758))*(실물목록!$Q$2:$Q$1001&lt;&gt;"")*ISNUMBER(SEARCH(실물목록!$Q$2:$Q$1001,I1758))*(실물목록!$R$2:$R$1001="")*(실물목록!$O$2:$O$1001&lt;&gt;"")*(실물목록!$O$2:$O$1001=H1758))&gt;0,"실물 있음",IF(SUMPRODUCT((실물목록!$P$2:$P$1001&lt;&gt;"")*ISNUMBER(SEARCH(실물목록!$P$2:$P$1001,I1758))*(실물목록!$R$2:$R$1001&lt;&gt;""))&gt;0,"확인필요(입력누락)",IF(SUMPRODUCT((실물목록!$P$2:$P$1001&lt;&gt;"")*ISNUMBER(SEARCH(실물목록!$P$2:$P$1001,I1758))*(실물목록!$Q$2:$Q$1001&lt;&gt;"")*ISNUMBER(SEARCH(실물목록!$Q$2:$Q$1001,I1758))*(실물목록!$R$2:$R$1001="")*(실물목록!$O$2:$O$1001&lt;&gt;""))&gt;0,"확인필요(연도다름)","실물 없음")))))</f>
      </c>
      <c r="G1758" t="n" s="16">
        <f aca="0">IF(B1758="","",SUMPRODUCT((실물목록!$P$2:$P$1001&lt;&gt;"")*ISNUMBER(SEARCH(실물목록!$P$2:$P$1001,I1758))*(실물목록!$Q$2:$Q$1001&lt;&gt;"")*ISNUMBER(SEARCH(실물목록!$Q$2:$Q$1001,I1758))*(실물목록!$R$2:$R$1001="")*(실물목록!$O$2:$O$1001&lt;&gt;"")*(실물목록!$O$2:$O$1001=H1758)))</f>
      </c>
      <c r="H1758" t="str">
        <f>IFERROR(IF(AND(LEN(SUBSTITUTE(SUBSTITUTE(SUBSTITUTE(TRIM(A1758&amp;""),CHAR(160),"")," ",""),"년",""))=4,VALUE(SUBSTITUTE(SUBSTITUTE(SUBSTITUTE(TRIM(A1758&amp;""),CHAR(160),"")," ",""),"년",""))&gt;=1900,VALUE(SUBSTITUTE(SUBSTITUTE(SUBSTITUTE(TRIM(A1758&amp;""),CHAR(160),"")," ",""),"년",""))&lt;=2099,TEXT(VALUE(SUBSTITUTE(SUBSTITUTE(SUBSTITUTE(TRIM(A1758&amp;""),CHAR(160),"")," ",""),"년","")),"0000")=SUBSTITUTE(SUBSTITUTE(SUBSTITUTE(TRIM(A1758&amp;""),CHAR(160),"")," ",""),"년","")),SUBSTITUTE(SUBSTITUTE(SUBSTITUTE(TRIM(A1758&amp;""),CHAR(160),"")," ",""),"년",""),""),"")</f>
      </c>
      <c r="I1758" t="str">
        <f>SUBSTITUTE(SUBSTITUTE(SUBSTITUTE(SUBSTITUTE(SUBSTITUTE(TRIM(B1758&amp;""),CHAR(160),"")," ",""),"초등학교","초"),"중학교","중"),"고등학교","고")</f>
      </c>
    </row>
    <row r="1759" customFormat="false" ht="15" hidden="false" customHeight="false" outlineLevel="0" collapsed="false">
      <c r="A1759" s="8"/>
      <c r="B1759" s="8"/>
      <c r="C1759" s="8"/>
      <c r="D1759" s="8"/>
      <c r="E1759" s="8"/>
      <c r="F1759" t="str" s="15">
        <f aca="0">IF(B1759="","",IF(H1759="","확인필요(입력누락)",IF(SUMPRODUCT((실물목록!$P$2:$P$1001&lt;&gt;"")*ISNUMBER(SEARCH(실물목록!$P$2:$P$1001,I1759))*(실물목록!$Q$2:$Q$1001&lt;&gt;"")*ISNUMBER(SEARCH(실물목록!$Q$2:$Q$1001,I1759))*(실물목록!$R$2:$R$1001="")*(실물목록!$O$2:$O$1001&lt;&gt;"")*(실물목록!$O$2:$O$1001=H1759))&gt;0,"실물 있음",IF(SUMPRODUCT((실물목록!$P$2:$P$1001&lt;&gt;"")*ISNUMBER(SEARCH(실물목록!$P$2:$P$1001,I1759))*(실물목록!$R$2:$R$1001&lt;&gt;""))&gt;0,"확인필요(입력누락)",IF(SUMPRODUCT((실물목록!$P$2:$P$1001&lt;&gt;"")*ISNUMBER(SEARCH(실물목록!$P$2:$P$1001,I1759))*(실물목록!$Q$2:$Q$1001&lt;&gt;"")*ISNUMBER(SEARCH(실물목록!$Q$2:$Q$1001,I1759))*(실물목록!$R$2:$R$1001="")*(실물목록!$O$2:$O$1001&lt;&gt;""))&gt;0,"확인필요(연도다름)","실물 없음")))))</f>
      </c>
      <c r="G1759" t="n" s="16">
        <f aca="0">IF(B1759="","",SUMPRODUCT((실물목록!$P$2:$P$1001&lt;&gt;"")*ISNUMBER(SEARCH(실물목록!$P$2:$P$1001,I1759))*(실물목록!$Q$2:$Q$1001&lt;&gt;"")*ISNUMBER(SEARCH(실물목록!$Q$2:$Q$1001,I1759))*(실물목록!$R$2:$R$1001="")*(실물목록!$O$2:$O$1001&lt;&gt;"")*(실물목록!$O$2:$O$1001=H1759)))</f>
      </c>
      <c r="H1759" t="str">
        <f>IFERROR(IF(AND(LEN(SUBSTITUTE(SUBSTITUTE(SUBSTITUTE(TRIM(A1759&amp;""),CHAR(160),"")," ",""),"년",""))=4,VALUE(SUBSTITUTE(SUBSTITUTE(SUBSTITUTE(TRIM(A1759&amp;""),CHAR(160),"")," ",""),"년",""))&gt;=1900,VALUE(SUBSTITUTE(SUBSTITUTE(SUBSTITUTE(TRIM(A1759&amp;""),CHAR(160),"")," ",""),"년",""))&lt;=2099,TEXT(VALUE(SUBSTITUTE(SUBSTITUTE(SUBSTITUTE(TRIM(A1759&amp;""),CHAR(160),"")," ",""),"년","")),"0000")=SUBSTITUTE(SUBSTITUTE(SUBSTITUTE(TRIM(A1759&amp;""),CHAR(160),"")," ",""),"년","")),SUBSTITUTE(SUBSTITUTE(SUBSTITUTE(TRIM(A1759&amp;""),CHAR(160),"")," ",""),"년",""),""),"")</f>
      </c>
      <c r="I1759" t="str">
        <f>SUBSTITUTE(SUBSTITUTE(SUBSTITUTE(SUBSTITUTE(SUBSTITUTE(TRIM(B1759&amp;""),CHAR(160),"")," ",""),"초등학교","초"),"중학교","중"),"고등학교","고")</f>
      </c>
    </row>
    <row r="1760" customFormat="false" ht="15" hidden="false" customHeight="false" outlineLevel="0" collapsed="false">
      <c r="A1760" s="8"/>
      <c r="B1760" s="8"/>
      <c r="C1760" s="8"/>
      <c r="D1760" s="8"/>
      <c r="E1760" s="8"/>
      <c r="F1760" t="str" s="15">
        <f aca="0">IF(B1760="","",IF(H1760="","확인필요(입력누락)",IF(SUMPRODUCT((실물목록!$P$2:$P$1001&lt;&gt;"")*ISNUMBER(SEARCH(실물목록!$P$2:$P$1001,I1760))*(실물목록!$Q$2:$Q$1001&lt;&gt;"")*ISNUMBER(SEARCH(실물목록!$Q$2:$Q$1001,I1760))*(실물목록!$R$2:$R$1001="")*(실물목록!$O$2:$O$1001&lt;&gt;"")*(실물목록!$O$2:$O$1001=H1760))&gt;0,"실물 있음",IF(SUMPRODUCT((실물목록!$P$2:$P$1001&lt;&gt;"")*ISNUMBER(SEARCH(실물목록!$P$2:$P$1001,I1760))*(실물목록!$R$2:$R$1001&lt;&gt;""))&gt;0,"확인필요(입력누락)",IF(SUMPRODUCT((실물목록!$P$2:$P$1001&lt;&gt;"")*ISNUMBER(SEARCH(실물목록!$P$2:$P$1001,I1760))*(실물목록!$Q$2:$Q$1001&lt;&gt;"")*ISNUMBER(SEARCH(실물목록!$Q$2:$Q$1001,I1760))*(실물목록!$R$2:$R$1001="")*(실물목록!$O$2:$O$1001&lt;&gt;""))&gt;0,"확인필요(연도다름)","실물 없음")))))</f>
      </c>
      <c r="G1760" t="n" s="16">
        <f aca="0">IF(B1760="","",SUMPRODUCT((실물목록!$P$2:$P$1001&lt;&gt;"")*ISNUMBER(SEARCH(실물목록!$P$2:$P$1001,I1760))*(실물목록!$Q$2:$Q$1001&lt;&gt;"")*ISNUMBER(SEARCH(실물목록!$Q$2:$Q$1001,I1760))*(실물목록!$R$2:$R$1001="")*(실물목록!$O$2:$O$1001&lt;&gt;"")*(실물목록!$O$2:$O$1001=H1760)))</f>
      </c>
      <c r="H1760" t="str">
        <f>IFERROR(IF(AND(LEN(SUBSTITUTE(SUBSTITUTE(SUBSTITUTE(TRIM(A1760&amp;""),CHAR(160),"")," ",""),"년",""))=4,VALUE(SUBSTITUTE(SUBSTITUTE(SUBSTITUTE(TRIM(A1760&amp;""),CHAR(160),"")," ",""),"년",""))&gt;=1900,VALUE(SUBSTITUTE(SUBSTITUTE(SUBSTITUTE(TRIM(A1760&amp;""),CHAR(160),"")," ",""),"년",""))&lt;=2099,TEXT(VALUE(SUBSTITUTE(SUBSTITUTE(SUBSTITUTE(TRIM(A1760&amp;""),CHAR(160),"")," ",""),"년","")),"0000")=SUBSTITUTE(SUBSTITUTE(SUBSTITUTE(TRIM(A1760&amp;""),CHAR(160),"")," ",""),"년","")),SUBSTITUTE(SUBSTITUTE(SUBSTITUTE(TRIM(A1760&amp;""),CHAR(160),"")," ",""),"년",""),""),"")</f>
      </c>
      <c r="I1760" t="str">
        <f>SUBSTITUTE(SUBSTITUTE(SUBSTITUTE(SUBSTITUTE(SUBSTITUTE(TRIM(B1760&amp;""),CHAR(160),"")," ",""),"초등학교","초"),"중학교","중"),"고등학교","고")</f>
      </c>
    </row>
    <row r="1761" customFormat="false" ht="15" hidden="false" customHeight="false" outlineLevel="0" collapsed="false">
      <c r="A1761" s="8"/>
      <c r="B1761" s="8"/>
      <c r="C1761" s="8"/>
      <c r="D1761" s="8"/>
      <c r="E1761" s="8"/>
      <c r="F1761" t="str" s="15">
        <f aca="0">IF(B1761="","",IF(H1761="","확인필요(입력누락)",IF(SUMPRODUCT((실물목록!$P$2:$P$1001&lt;&gt;"")*ISNUMBER(SEARCH(실물목록!$P$2:$P$1001,I1761))*(실물목록!$Q$2:$Q$1001&lt;&gt;"")*ISNUMBER(SEARCH(실물목록!$Q$2:$Q$1001,I1761))*(실물목록!$R$2:$R$1001="")*(실물목록!$O$2:$O$1001&lt;&gt;"")*(실물목록!$O$2:$O$1001=H1761))&gt;0,"실물 있음",IF(SUMPRODUCT((실물목록!$P$2:$P$1001&lt;&gt;"")*ISNUMBER(SEARCH(실물목록!$P$2:$P$1001,I1761))*(실물목록!$R$2:$R$1001&lt;&gt;""))&gt;0,"확인필요(입력누락)",IF(SUMPRODUCT((실물목록!$P$2:$P$1001&lt;&gt;"")*ISNUMBER(SEARCH(실물목록!$P$2:$P$1001,I1761))*(실물목록!$Q$2:$Q$1001&lt;&gt;"")*ISNUMBER(SEARCH(실물목록!$Q$2:$Q$1001,I1761))*(실물목록!$R$2:$R$1001="")*(실물목록!$O$2:$O$1001&lt;&gt;""))&gt;0,"확인필요(연도다름)","실물 없음")))))</f>
      </c>
      <c r="G1761" t="n" s="16">
        <f aca="0">IF(B1761="","",SUMPRODUCT((실물목록!$P$2:$P$1001&lt;&gt;"")*ISNUMBER(SEARCH(실물목록!$P$2:$P$1001,I1761))*(실물목록!$Q$2:$Q$1001&lt;&gt;"")*ISNUMBER(SEARCH(실물목록!$Q$2:$Q$1001,I1761))*(실물목록!$R$2:$R$1001="")*(실물목록!$O$2:$O$1001&lt;&gt;"")*(실물목록!$O$2:$O$1001=H1761)))</f>
      </c>
      <c r="H1761" t="str">
        <f>IFERROR(IF(AND(LEN(SUBSTITUTE(SUBSTITUTE(SUBSTITUTE(TRIM(A1761&amp;""),CHAR(160),"")," ",""),"년",""))=4,VALUE(SUBSTITUTE(SUBSTITUTE(SUBSTITUTE(TRIM(A1761&amp;""),CHAR(160),"")," ",""),"년",""))&gt;=1900,VALUE(SUBSTITUTE(SUBSTITUTE(SUBSTITUTE(TRIM(A1761&amp;""),CHAR(160),"")," ",""),"년",""))&lt;=2099,TEXT(VALUE(SUBSTITUTE(SUBSTITUTE(SUBSTITUTE(TRIM(A1761&amp;""),CHAR(160),"")," ",""),"년","")),"0000")=SUBSTITUTE(SUBSTITUTE(SUBSTITUTE(TRIM(A1761&amp;""),CHAR(160),"")," ",""),"년","")),SUBSTITUTE(SUBSTITUTE(SUBSTITUTE(TRIM(A1761&amp;""),CHAR(160),"")," ",""),"년",""),""),"")</f>
      </c>
      <c r="I1761" t="str">
        <f>SUBSTITUTE(SUBSTITUTE(SUBSTITUTE(SUBSTITUTE(SUBSTITUTE(TRIM(B1761&amp;""),CHAR(160),"")," ",""),"초등학교","초"),"중학교","중"),"고등학교","고")</f>
      </c>
    </row>
    <row r="1762" customFormat="false" ht="15" hidden="false" customHeight="false" outlineLevel="0" collapsed="false">
      <c r="A1762" s="8"/>
      <c r="B1762" s="8"/>
      <c r="C1762" s="8"/>
      <c r="D1762" s="8"/>
      <c r="E1762" s="8"/>
      <c r="F1762" t="str" s="15">
        <f aca="0">IF(B1762="","",IF(H1762="","확인필요(입력누락)",IF(SUMPRODUCT((실물목록!$P$2:$P$1001&lt;&gt;"")*ISNUMBER(SEARCH(실물목록!$P$2:$P$1001,I1762))*(실물목록!$Q$2:$Q$1001&lt;&gt;"")*ISNUMBER(SEARCH(실물목록!$Q$2:$Q$1001,I1762))*(실물목록!$R$2:$R$1001="")*(실물목록!$O$2:$O$1001&lt;&gt;"")*(실물목록!$O$2:$O$1001=H1762))&gt;0,"실물 있음",IF(SUMPRODUCT((실물목록!$P$2:$P$1001&lt;&gt;"")*ISNUMBER(SEARCH(실물목록!$P$2:$P$1001,I1762))*(실물목록!$R$2:$R$1001&lt;&gt;""))&gt;0,"확인필요(입력누락)",IF(SUMPRODUCT((실물목록!$P$2:$P$1001&lt;&gt;"")*ISNUMBER(SEARCH(실물목록!$P$2:$P$1001,I1762))*(실물목록!$Q$2:$Q$1001&lt;&gt;"")*ISNUMBER(SEARCH(실물목록!$Q$2:$Q$1001,I1762))*(실물목록!$R$2:$R$1001="")*(실물목록!$O$2:$O$1001&lt;&gt;""))&gt;0,"확인필요(연도다름)","실물 없음")))))</f>
      </c>
      <c r="G1762" t="n" s="16">
        <f aca="0">IF(B1762="","",SUMPRODUCT((실물목록!$P$2:$P$1001&lt;&gt;"")*ISNUMBER(SEARCH(실물목록!$P$2:$P$1001,I1762))*(실물목록!$Q$2:$Q$1001&lt;&gt;"")*ISNUMBER(SEARCH(실물목록!$Q$2:$Q$1001,I1762))*(실물목록!$R$2:$R$1001="")*(실물목록!$O$2:$O$1001&lt;&gt;"")*(실물목록!$O$2:$O$1001=H1762)))</f>
      </c>
      <c r="H1762" t="str">
        <f>IFERROR(IF(AND(LEN(SUBSTITUTE(SUBSTITUTE(SUBSTITUTE(TRIM(A1762&amp;""),CHAR(160),"")," ",""),"년",""))=4,VALUE(SUBSTITUTE(SUBSTITUTE(SUBSTITUTE(TRIM(A1762&amp;""),CHAR(160),"")," ",""),"년",""))&gt;=1900,VALUE(SUBSTITUTE(SUBSTITUTE(SUBSTITUTE(TRIM(A1762&amp;""),CHAR(160),"")," ",""),"년",""))&lt;=2099,TEXT(VALUE(SUBSTITUTE(SUBSTITUTE(SUBSTITUTE(TRIM(A1762&amp;""),CHAR(160),"")," ",""),"년","")),"0000")=SUBSTITUTE(SUBSTITUTE(SUBSTITUTE(TRIM(A1762&amp;""),CHAR(160),"")," ",""),"년","")),SUBSTITUTE(SUBSTITUTE(SUBSTITUTE(TRIM(A1762&amp;""),CHAR(160),"")," ",""),"년",""),""),"")</f>
      </c>
      <c r="I1762" t="str">
        <f>SUBSTITUTE(SUBSTITUTE(SUBSTITUTE(SUBSTITUTE(SUBSTITUTE(TRIM(B1762&amp;""),CHAR(160),"")," ",""),"초등학교","초"),"중학교","중"),"고등학교","고")</f>
      </c>
    </row>
    <row r="1763" customFormat="false" ht="15" hidden="false" customHeight="false" outlineLevel="0" collapsed="false">
      <c r="A1763" s="8"/>
      <c r="B1763" s="8"/>
      <c r="C1763" s="8"/>
      <c r="D1763" s="8"/>
      <c r="E1763" s="8"/>
      <c r="F1763" t="str" s="15">
        <f aca="0">IF(B1763="","",IF(H1763="","확인필요(입력누락)",IF(SUMPRODUCT((실물목록!$P$2:$P$1001&lt;&gt;"")*ISNUMBER(SEARCH(실물목록!$P$2:$P$1001,I1763))*(실물목록!$Q$2:$Q$1001&lt;&gt;"")*ISNUMBER(SEARCH(실물목록!$Q$2:$Q$1001,I1763))*(실물목록!$R$2:$R$1001="")*(실물목록!$O$2:$O$1001&lt;&gt;"")*(실물목록!$O$2:$O$1001=H1763))&gt;0,"실물 있음",IF(SUMPRODUCT((실물목록!$P$2:$P$1001&lt;&gt;"")*ISNUMBER(SEARCH(실물목록!$P$2:$P$1001,I1763))*(실물목록!$R$2:$R$1001&lt;&gt;""))&gt;0,"확인필요(입력누락)",IF(SUMPRODUCT((실물목록!$P$2:$P$1001&lt;&gt;"")*ISNUMBER(SEARCH(실물목록!$P$2:$P$1001,I1763))*(실물목록!$Q$2:$Q$1001&lt;&gt;"")*ISNUMBER(SEARCH(실물목록!$Q$2:$Q$1001,I1763))*(실물목록!$R$2:$R$1001="")*(실물목록!$O$2:$O$1001&lt;&gt;""))&gt;0,"확인필요(연도다름)","실물 없음")))))</f>
      </c>
      <c r="G1763" t="n" s="16">
        <f aca="0">IF(B1763="","",SUMPRODUCT((실물목록!$P$2:$P$1001&lt;&gt;"")*ISNUMBER(SEARCH(실물목록!$P$2:$P$1001,I1763))*(실물목록!$Q$2:$Q$1001&lt;&gt;"")*ISNUMBER(SEARCH(실물목록!$Q$2:$Q$1001,I1763))*(실물목록!$R$2:$R$1001="")*(실물목록!$O$2:$O$1001&lt;&gt;"")*(실물목록!$O$2:$O$1001=H1763)))</f>
      </c>
      <c r="H1763" t="str">
        <f>IFERROR(IF(AND(LEN(SUBSTITUTE(SUBSTITUTE(SUBSTITUTE(TRIM(A1763&amp;""),CHAR(160),"")," ",""),"년",""))=4,VALUE(SUBSTITUTE(SUBSTITUTE(SUBSTITUTE(TRIM(A1763&amp;""),CHAR(160),"")," ",""),"년",""))&gt;=1900,VALUE(SUBSTITUTE(SUBSTITUTE(SUBSTITUTE(TRIM(A1763&amp;""),CHAR(160),"")," ",""),"년",""))&lt;=2099,TEXT(VALUE(SUBSTITUTE(SUBSTITUTE(SUBSTITUTE(TRIM(A1763&amp;""),CHAR(160),"")," ",""),"년","")),"0000")=SUBSTITUTE(SUBSTITUTE(SUBSTITUTE(TRIM(A1763&amp;""),CHAR(160),"")," ",""),"년","")),SUBSTITUTE(SUBSTITUTE(SUBSTITUTE(TRIM(A1763&amp;""),CHAR(160),"")," ",""),"년",""),""),"")</f>
      </c>
      <c r="I1763" t="str">
        <f>SUBSTITUTE(SUBSTITUTE(SUBSTITUTE(SUBSTITUTE(SUBSTITUTE(TRIM(B1763&amp;""),CHAR(160),"")," ",""),"초등학교","초"),"중학교","중"),"고등학교","고")</f>
      </c>
    </row>
    <row r="1764" customFormat="false" ht="15" hidden="false" customHeight="false" outlineLevel="0" collapsed="false">
      <c r="A1764" s="8"/>
      <c r="B1764" s="8"/>
      <c r="C1764" s="8"/>
      <c r="D1764" s="8"/>
      <c r="E1764" s="8"/>
      <c r="F1764" t="str" s="15">
        <f aca="0">IF(B1764="","",IF(H1764="","확인필요(입력누락)",IF(SUMPRODUCT((실물목록!$P$2:$P$1001&lt;&gt;"")*ISNUMBER(SEARCH(실물목록!$P$2:$P$1001,I1764))*(실물목록!$Q$2:$Q$1001&lt;&gt;"")*ISNUMBER(SEARCH(실물목록!$Q$2:$Q$1001,I1764))*(실물목록!$R$2:$R$1001="")*(실물목록!$O$2:$O$1001&lt;&gt;"")*(실물목록!$O$2:$O$1001=H1764))&gt;0,"실물 있음",IF(SUMPRODUCT((실물목록!$P$2:$P$1001&lt;&gt;"")*ISNUMBER(SEARCH(실물목록!$P$2:$P$1001,I1764))*(실물목록!$R$2:$R$1001&lt;&gt;""))&gt;0,"확인필요(입력누락)",IF(SUMPRODUCT((실물목록!$P$2:$P$1001&lt;&gt;"")*ISNUMBER(SEARCH(실물목록!$P$2:$P$1001,I1764))*(실물목록!$Q$2:$Q$1001&lt;&gt;"")*ISNUMBER(SEARCH(실물목록!$Q$2:$Q$1001,I1764))*(실물목록!$R$2:$R$1001="")*(실물목록!$O$2:$O$1001&lt;&gt;""))&gt;0,"확인필요(연도다름)","실물 없음")))))</f>
      </c>
      <c r="G1764" t="n" s="16">
        <f aca="0">IF(B1764="","",SUMPRODUCT((실물목록!$P$2:$P$1001&lt;&gt;"")*ISNUMBER(SEARCH(실물목록!$P$2:$P$1001,I1764))*(실물목록!$Q$2:$Q$1001&lt;&gt;"")*ISNUMBER(SEARCH(실물목록!$Q$2:$Q$1001,I1764))*(실물목록!$R$2:$R$1001="")*(실물목록!$O$2:$O$1001&lt;&gt;"")*(실물목록!$O$2:$O$1001=H1764)))</f>
      </c>
      <c r="H1764" t="str">
        <f>IFERROR(IF(AND(LEN(SUBSTITUTE(SUBSTITUTE(SUBSTITUTE(TRIM(A1764&amp;""),CHAR(160),"")," ",""),"년",""))=4,VALUE(SUBSTITUTE(SUBSTITUTE(SUBSTITUTE(TRIM(A1764&amp;""),CHAR(160),"")," ",""),"년",""))&gt;=1900,VALUE(SUBSTITUTE(SUBSTITUTE(SUBSTITUTE(TRIM(A1764&amp;""),CHAR(160),"")," ",""),"년",""))&lt;=2099,TEXT(VALUE(SUBSTITUTE(SUBSTITUTE(SUBSTITUTE(TRIM(A1764&amp;""),CHAR(160),"")," ",""),"년","")),"0000")=SUBSTITUTE(SUBSTITUTE(SUBSTITUTE(TRIM(A1764&amp;""),CHAR(160),"")," ",""),"년","")),SUBSTITUTE(SUBSTITUTE(SUBSTITUTE(TRIM(A1764&amp;""),CHAR(160),"")," ",""),"년",""),""),"")</f>
      </c>
      <c r="I1764" t="str">
        <f>SUBSTITUTE(SUBSTITUTE(SUBSTITUTE(SUBSTITUTE(SUBSTITUTE(TRIM(B1764&amp;""),CHAR(160),"")," ",""),"초등학교","초"),"중학교","중"),"고등학교","고")</f>
      </c>
    </row>
    <row r="1765" customFormat="false" ht="15" hidden="false" customHeight="false" outlineLevel="0" collapsed="false">
      <c r="A1765" s="8"/>
      <c r="B1765" s="8"/>
      <c r="C1765" s="8"/>
      <c r="D1765" s="8"/>
      <c r="E1765" s="8"/>
      <c r="F1765" t="str" s="15">
        <f aca="0">IF(B1765="","",IF(H1765="","확인필요(입력누락)",IF(SUMPRODUCT((실물목록!$P$2:$P$1001&lt;&gt;"")*ISNUMBER(SEARCH(실물목록!$P$2:$P$1001,I1765))*(실물목록!$Q$2:$Q$1001&lt;&gt;"")*ISNUMBER(SEARCH(실물목록!$Q$2:$Q$1001,I1765))*(실물목록!$R$2:$R$1001="")*(실물목록!$O$2:$O$1001&lt;&gt;"")*(실물목록!$O$2:$O$1001=H1765))&gt;0,"실물 있음",IF(SUMPRODUCT((실물목록!$P$2:$P$1001&lt;&gt;"")*ISNUMBER(SEARCH(실물목록!$P$2:$P$1001,I1765))*(실물목록!$R$2:$R$1001&lt;&gt;""))&gt;0,"확인필요(입력누락)",IF(SUMPRODUCT((실물목록!$P$2:$P$1001&lt;&gt;"")*ISNUMBER(SEARCH(실물목록!$P$2:$P$1001,I1765))*(실물목록!$Q$2:$Q$1001&lt;&gt;"")*ISNUMBER(SEARCH(실물목록!$Q$2:$Q$1001,I1765))*(실물목록!$R$2:$R$1001="")*(실물목록!$O$2:$O$1001&lt;&gt;""))&gt;0,"확인필요(연도다름)","실물 없음")))))</f>
      </c>
      <c r="G1765" t="n" s="16">
        <f aca="0">IF(B1765="","",SUMPRODUCT((실물목록!$P$2:$P$1001&lt;&gt;"")*ISNUMBER(SEARCH(실물목록!$P$2:$P$1001,I1765))*(실물목록!$Q$2:$Q$1001&lt;&gt;"")*ISNUMBER(SEARCH(실물목록!$Q$2:$Q$1001,I1765))*(실물목록!$R$2:$R$1001="")*(실물목록!$O$2:$O$1001&lt;&gt;"")*(실물목록!$O$2:$O$1001=H1765)))</f>
      </c>
      <c r="H1765" t="str">
        <f>IFERROR(IF(AND(LEN(SUBSTITUTE(SUBSTITUTE(SUBSTITUTE(TRIM(A1765&amp;""),CHAR(160),"")," ",""),"년",""))=4,VALUE(SUBSTITUTE(SUBSTITUTE(SUBSTITUTE(TRIM(A1765&amp;""),CHAR(160),"")," ",""),"년",""))&gt;=1900,VALUE(SUBSTITUTE(SUBSTITUTE(SUBSTITUTE(TRIM(A1765&amp;""),CHAR(160),"")," ",""),"년",""))&lt;=2099,TEXT(VALUE(SUBSTITUTE(SUBSTITUTE(SUBSTITUTE(TRIM(A1765&amp;""),CHAR(160),"")," ",""),"년","")),"0000")=SUBSTITUTE(SUBSTITUTE(SUBSTITUTE(TRIM(A1765&amp;""),CHAR(160),"")," ",""),"년","")),SUBSTITUTE(SUBSTITUTE(SUBSTITUTE(TRIM(A1765&amp;""),CHAR(160),"")," ",""),"년",""),""),"")</f>
      </c>
      <c r="I1765" t="str">
        <f>SUBSTITUTE(SUBSTITUTE(SUBSTITUTE(SUBSTITUTE(SUBSTITUTE(TRIM(B1765&amp;""),CHAR(160),"")," ",""),"초등학교","초"),"중학교","중"),"고등학교","고")</f>
      </c>
    </row>
    <row r="1766" customFormat="false" ht="15" hidden="false" customHeight="false" outlineLevel="0" collapsed="false">
      <c r="A1766" s="8"/>
      <c r="B1766" s="8"/>
      <c r="C1766" s="8"/>
      <c r="D1766" s="8"/>
      <c r="E1766" s="8"/>
      <c r="F1766" t="str" s="15">
        <f aca="0">IF(B1766="","",IF(H1766="","확인필요(입력누락)",IF(SUMPRODUCT((실물목록!$P$2:$P$1001&lt;&gt;"")*ISNUMBER(SEARCH(실물목록!$P$2:$P$1001,I1766))*(실물목록!$Q$2:$Q$1001&lt;&gt;"")*ISNUMBER(SEARCH(실물목록!$Q$2:$Q$1001,I1766))*(실물목록!$R$2:$R$1001="")*(실물목록!$O$2:$O$1001&lt;&gt;"")*(실물목록!$O$2:$O$1001=H1766))&gt;0,"실물 있음",IF(SUMPRODUCT((실물목록!$P$2:$P$1001&lt;&gt;"")*ISNUMBER(SEARCH(실물목록!$P$2:$P$1001,I1766))*(실물목록!$R$2:$R$1001&lt;&gt;""))&gt;0,"확인필요(입력누락)",IF(SUMPRODUCT((실물목록!$P$2:$P$1001&lt;&gt;"")*ISNUMBER(SEARCH(실물목록!$P$2:$P$1001,I1766))*(실물목록!$Q$2:$Q$1001&lt;&gt;"")*ISNUMBER(SEARCH(실물목록!$Q$2:$Q$1001,I1766))*(실물목록!$R$2:$R$1001="")*(실물목록!$O$2:$O$1001&lt;&gt;""))&gt;0,"확인필요(연도다름)","실물 없음")))))</f>
      </c>
      <c r="G1766" t="n" s="16">
        <f aca="0">IF(B1766="","",SUMPRODUCT((실물목록!$P$2:$P$1001&lt;&gt;"")*ISNUMBER(SEARCH(실물목록!$P$2:$P$1001,I1766))*(실물목록!$Q$2:$Q$1001&lt;&gt;"")*ISNUMBER(SEARCH(실물목록!$Q$2:$Q$1001,I1766))*(실물목록!$R$2:$R$1001="")*(실물목록!$O$2:$O$1001&lt;&gt;"")*(실물목록!$O$2:$O$1001=H1766)))</f>
      </c>
      <c r="H1766" t="str">
        <f>IFERROR(IF(AND(LEN(SUBSTITUTE(SUBSTITUTE(SUBSTITUTE(TRIM(A1766&amp;""),CHAR(160),"")," ",""),"년",""))=4,VALUE(SUBSTITUTE(SUBSTITUTE(SUBSTITUTE(TRIM(A1766&amp;""),CHAR(160),"")," ",""),"년",""))&gt;=1900,VALUE(SUBSTITUTE(SUBSTITUTE(SUBSTITUTE(TRIM(A1766&amp;""),CHAR(160),"")," ",""),"년",""))&lt;=2099,TEXT(VALUE(SUBSTITUTE(SUBSTITUTE(SUBSTITUTE(TRIM(A1766&amp;""),CHAR(160),"")," ",""),"년","")),"0000")=SUBSTITUTE(SUBSTITUTE(SUBSTITUTE(TRIM(A1766&amp;""),CHAR(160),"")," ",""),"년","")),SUBSTITUTE(SUBSTITUTE(SUBSTITUTE(TRIM(A1766&amp;""),CHAR(160),"")," ",""),"년",""),""),"")</f>
      </c>
      <c r="I1766" t="str">
        <f>SUBSTITUTE(SUBSTITUTE(SUBSTITUTE(SUBSTITUTE(SUBSTITUTE(TRIM(B1766&amp;""),CHAR(160),"")," ",""),"초등학교","초"),"중학교","중"),"고등학교","고")</f>
      </c>
    </row>
    <row r="1767" customFormat="false" ht="15" hidden="false" customHeight="false" outlineLevel="0" collapsed="false">
      <c r="A1767" s="8"/>
      <c r="B1767" s="8"/>
      <c r="C1767" s="8"/>
      <c r="D1767" s="8"/>
      <c r="E1767" s="8"/>
      <c r="F1767" t="str" s="15">
        <f aca="0">IF(B1767="","",IF(H1767="","확인필요(입력누락)",IF(SUMPRODUCT((실물목록!$P$2:$P$1001&lt;&gt;"")*ISNUMBER(SEARCH(실물목록!$P$2:$P$1001,I1767))*(실물목록!$Q$2:$Q$1001&lt;&gt;"")*ISNUMBER(SEARCH(실물목록!$Q$2:$Q$1001,I1767))*(실물목록!$R$2:$R$1001="")*(실물목록!$O$2:$O$1001&lt;&gt;"")*(실물목록!$O$2:$O$1001=H1767))&gt;0,"실물 있음",IF(SUMPRODUCT((실물목록!$P$2:$P$1001&lt;&gt;"")*ISNUMBER(SEARCH(실물목록!$P$2:$P$1001,I1767))*(실물목록!$R$2:$R$1001&lt;&gt;""))&gt;0,"확인필요(입력누락)",IF(SUMPRODUCT((실물목록!$P$2:$P$1001&lt;&gt;"")*ISNUMBER(SEARCH(실물목록!$P$2:$P$1001,I1767))*(실물목록!$Q$2:$Q$1001&lt;&gt;"")*ISNUMBER(SEARCH(실물목록!$Q$2:$Q$1001,I1767))*(실물목록!$R$2:$R$1001="")*(실물목록!$O$2:$O$1001&lt;&gt;""))&gt;0,"확인필요(연도다름)","실물 없음")))))</f>
      </c>
      <c r="G1767" t="n" s="16">
        <f aca="0">IF(B1767="","",SUMPRODUCT((실물목록!$P$2:$P$1001&lt;&gt;"")*ISNUMBER(SEARCH(실물목록!$P$2:$P$1001,I1767))*(실물목록!$Q$2:$Q$1001&lt;&gt;"")*ISNUMBER(SEARCH(실물목록!$Q$2:$Q$1001,I1767))*(실물목록!$R$2:$R$1001="")*(실물목록!$O$2:$O$1001&lt;&gt;"")*(실물목록!$O$2:$O$1001=H1767)))</f>
      </c>
      <c r="H1767" t="str">
        <f>IFERROR(IF(AND(LEN(SUBSTITUTE(SUBSTITUTE(SUBSTITUTE(TRIM(A1767&amp;""),CHAR(160),"")," ",""),"년",""))=4,VALUE(SUBSTITUTE(SUBSTITUTE(SUBSTITUTE(TRIM(A1767&amp;""),CHAR(160),"")," ",""),"년",""))&gt;=1900,VALUE(SUBSTITUTE(SUBSTITUTE(SUBSTITUTE(TRIM(A1767&amp;""),CHAR(160),"")," ",""),"년",""))&lt;=2099,TEXT(VALUE(SUBSTITUTE(SUBSTITUTE(SUBSTITUTE(TRIM(A1767&amp;""),CHAR(160),"")," ",""),"년","")),"0000")=SUBSTITUTE(SUBSTITUTE(SUBSTITUTE(TRIM(A1767&amp;""),CHAR(160),"")," ",""),"년","")),SUBSTITUTE(SUBSTITUTE(SUBSTITUTE(TRIM(A1767&amp;""),CHAR(160),"")," ",""),"년",""),""),"")</f>
      </c>
      <c r="I1767" t="str">
        <f>SUBSTITUTE(SUBSTITUTE(SUBSTITUTE(SUBSTITUTE(SUBSTITUTE(TRIM(B1767&amp;""),CHAR(160),"")," ",""),"초등학교","초"),"중학교","중"),"고등학교","고")</f>
      </c>
    </row>
    <row r="1768" customFormat="false" ht="15" hidden="false" customHeight="false" outlineLevel="0" collapsed="false">
      <c r="A1768" s="8"/>
      <c r="B1768" s="8"/>
      <c r="C1768" s="8"/>
      <c r="D1768" s="8"/>
      <c r="E1768" s="8"/>
      <c r="F1768" t="str" s="15">
        <f aca="0">IF(B1768="","",IF(H1768="","확인필요(입력누락)",IF(SUMPRODUCT((실물목록!$P$2:$P$1001&lt;&gt;"")*ISNUMBER(SEARCH(실물목록!$P$2:$P$1001,I1768))*(실물목록!$Q$2:$Q$1001&lt;&gt;"")*ISNUMBER(SEARCH(실물목록!$Q$2:$Q$1001,I1768))*(실물목록!$R$2:$R$1001="")*(실물목록!$O$2:$O$1001&lt;&gt;"")*(실물목록!$O$2:$O$1001=H1768))&gt;0,"실물 있음",IF(SUMPRODUCT((실물목록!$P$2:$P$1001&lt;&gt;"")*ISNUMBER(SEARCH(실물목록!$P$2:$P$1001,I1768))*(실물목록!$R$2:$R$1001&lt;&gt;""))&gt;0,"확인필요(입력누락)",IF(SUMPRODUCT((실물목록!$P$2:$P$1001&lt;&gt;"")*ISNUMBER(SEARCH(실물목록!$P$2:$P$1001,I1768))*(실물목록!$Q$2:$Q$1001&lt;&gt;"")*ISNUMBER(SEARCH(실물목록!$Q$2:$Q$1001,I1768))*(실물목록!$R$2:$R$1001="")*(실물목록!$O$2:$O$1001&lt;&gt;""))&gt;0,"확인필요(연도다름)","실물 없음")))))</f>
      </c>
      <c r="G1768" t="n" s="16">
        <f aca="0">IF(B1768="","",SUMPRODUCT((실물목록!$P$2:$P$1001&lt;&gt;"")*ISNUMBER(SEARCH(실물목록!$P$2:$P$1001,I1768))*(실물목록!$Q$2:$Q$1001&lt;&gt;"")*ISNUMBER(SEARCH(실물목록!$Q$2:$Q$1001,I1768))*(실물목록!$R$2:$R$1001="")*(실물목록!$O$2:$O$1001&lt;&gt;"")*(실물목록!$O$2:$O$1001=H1768)))</f>
      </c>
      <c r="H1768" t="str">
        <f>IFERROR(IF(AND(LEN(SUBSTITUTE(SUBSTITUTE(SUBSTITUTE(TRIM(A1768&amp;""),CHAR(160),"")," ",""),"년",""))=4,VALUE(SUBSTITUTE(SUBSTITUTE(SUBSTITUTE(TRIM(A1768&amp;""),CHAR(160),"")," ",""),"년",""))&gt;=1900,VALUE(SUBSTITUTE(SUBSTITUTE(SUBSTITUTE(TRIM(A1768&amp;""),CHAR(160),"")," ",""),"년",""))&lt;=2099,TEXT(VALUE(SUBSTITUTE(SUBSTITUTE(SUBSTITUTE(TRIM(A1768&amp;""),CHAR(160),"")," ",""),"년","")),"0000")=SUBSTITUTE(SUBSTITUTE(SUBSTITUTE(TRIM(A1768&amp;""),CHAR(160),"")," ",""),"년","")),SUBSTITUTE(SUBSTITUTE(SUBSTITUTE(TRIM(A1768&amp;""),CHAR(160),"")," ",""),"년",""),""),"")</f>
      </c>
      <c r="I1768" t="str">
        <f>SUBSTITUTE(SUBSTITUTE(SUBSTITUTE(SUBSTITUTE(SUBSTITUTE(TRIM(B1768&amp;""),CHAR(160),"")," ",""),"초등학교","초"),"중학교","중"),"고등학교","고")</f>
      </c>
    </row>
    <row r="1769" customFormat="false" ht="15" hidden="false" customHeight="false" outlineLevel="0" collapsed="false">
      <c r="A1769" s="8"/>
      <c r="B1769" s="8"/>
      <c r="C1769" s="8"/>
      <c r="D1769" s="8"/>
      <c r="E1769" s="8"/>
      <c r="F1769" t="str" s="15">
        <f aca="0">IF(B1769="","",IF(H1769="","확인필요(입력누락)",IF(SUMPRODUCT((실물목록!$P$2:$P$1001&lt;&gt;"")*ISNUMBER(SEARCH(실물목록!$P$2:$P$1001,I1769))*(실물목록!$Q$2:$Q$1001&lt;&gt;"")*ISNUMBER(SEARCH(실물목록!$Q$2:$Q$1001,I1769))*(실물목록!$R$2:$R$1001="")*(실물목록!$O$2:$O$1001&lt;&gt;"")*(실물목록!$O$2:$O$1001=H1769))&gt;0,"실물 있음",IF(SUMPRODUCT((실물목록!$P$2:$P$1001&lt;&gt;"")*ISNUMBER(SEARCH(실물목록!$P$2:$P$1001,I1769))*(실물목록!$R$2:$R$1001&lt;&gt;""))&gt;0,"확인필요(입력누락)",IF(SUMPRODUCT((실물목록!$P$2:$P$1001&lt;&gt;"")*ISNUMBER(SEARCH(실물목록!$P$2:$P$1001,I1769))*(실물목록!$Q$2:$Q$1001&lt;&gt;"")*ISNUMBER(SEARCH(실물목록!$Q$2:$Q$1001,I1769))*(실물목록!$R$2:$R$1001="")*(실물목록!$O$2:$O$1001&lt;&gt;""))&gt;0,"확인필요(연도다름)","실물 없음")))))</f>
      </c>
      <c r="G1769" t="n" s="16">
        <f aca="0">IF(B1769="","",SUMPRODUCT((실물목록!$P$2:$P$1001&lt;&gt;"")*ISNUMBER(SEARCH(실물목록!$P$2:$P$1001,I1769))*(실물목록!$Q$2:$Q$1001&lt;&gt;"")*ISNUMBER(SEARCH(실물목록!$Q$2:$Q$1001,I1769))*(실물목록!$R$2:$R$1001="")*(실물목록!$O$2:$O$1001&lt;&gt;"")*(실물목록!$O$2:$O$1001=H1769)))</f>
      </c>
      <c r="H1769" t="str">
        <f>IFERROR(IF(AND(LEN(SUBSTITUTE(SUBSTITUTE(SUBSTITUTE(TRIM(A1769&amp;""),CHAR(160),"")," ",""),"년",""))=4,VALUE(SUBSTITUTE(SUBSTITUTE(SUBSTITUTE(TRIM(A1769&amp;""),CHAR(160),"")," ",""),"년",""))&gt;=1900,VALUE(SUBSTITUTE(SUBSTITUTE(SUBSTITUTE(TRIM(A1769&amp;""),CHAR(160),"")," ",""),"년",""))&lt;=2099,TEXT(VALUE(SUBSTITUTE(SUBSTITUTE(SUBSTITUTE(TRIM(A1769&amp;""),CHAR(160),"")," ",""),"년","")),"0000")=SUBSTITUTE(SUBSTITUTE(SUBSTITUTE(TRIM(A1769&amp;""),CHAR(160),"")," ",""),"년","")),SUBSTITUTE(SUBSTITUTE(SUBSTITUTE(TRIM(A1769&amp;""),CHAR(160),"")," ",""),"년",""),""),"")</f>
      </c>
      <c r="I1769" t="str">
        <f>SUBSTITUTE(SUBSTITUTE(SUBSTITUTE(SUBSTITUTE(SUBSTITUTE(TRIM(B1769&amp;""),CHAR(160),"")," ",""),"초등학교","초"),"중학교","중"),"고등학교","고")</f>
      </c>
    </row>
    <row r="1770" customFormat="false" ht="15" hidden="false" customHeight="false" outlineLevel="0" collapsed="false">
      <c r="A1770" s="8"/>
      <c r="B1770" s="8"/>
      <c r="C1770" s="8"/>
      <c r="D1770" s="8"/>
      <c r="E1770" s="8"/>
      <c r="F1770" t="str" s="15">
        <f aca="0">IF(B1770="","",IF(H1770="","확인필요(입력누락)",IF(SUMPRODUCT((실물목록!$P$2:$P$1001&lt;&gt;"")*ISNUMBER(SEARCH(실물목록!$P$2:$P$1001,I1770))*(실물목록!$Q$2:$Q$1001&lt;&gt;"")*ISNUMBER(SEARCH(실물목록!$Q$2:$Q$1001,I1770))*(실물목록!$R$2:$R$1001="")*(실물목록!$O$2:$O$1001&lt;&gt;"")*(실물목록!$O$2:$O$1001=H1770))&gt;0,"실물 있음",IF(SUMPRODUCT((실물목록!$P$2:$P$1001&lt;&gt;"")*ISNUMBER(SEARCH(실물목록!$P$2:$P$1001,I1770))*(실물목록!$R$2:$R$1001&lt;&gt;""))&gt;0,"확인필요(입력누락)",IF(SUMPRODUCT((실물목록!$P$2:$P$1001&lt;&gt;"")*ISNUMBER(SEARCH(실물목록!$P$2:$P$1001,I1770))*(실물목록!$Q$2:$Q$1001&lt;&gt;"")*ISNUMBER(SEARCH(실물목록!$Q$2:$Q$1001,I1770))*(실물목록!$R$2:$R$1001="")*(실물목록!$O$2:$O$1001&lt;&gt;""))&gt;0,"확인필요(연도다름)","실물 없음")))))</f>
      </c>
      <c r="G1770" t="n" s="16">
        <f aca="0">IF(B1770="","",SUMPRODUCT((실물목록!$P$2:$P$1001&lt;&gt;"")*ISNUMBER(SEARCH(실물목록!$P$2:$P$1001,I1770))*(실물목록!$Q$2:$Q$1001&lt;&gt;"")*ISNUMBER(SEARCH(실물목록!$Q$2:$Q$1001,I1770))*(실물목록!$R$2:$R$1001="")*(실물목록!$O$2:$O$1001&lt;&gt;"")*(실물목록!$O$2:$O$1001=H1770)))</f>
      </c>
      <c r="H1770" t="str">
        <f>IFERROR(IF(AND(LEN(SUBSTITUTE(SUBSTITUTE(SUBSTITUTE(TRIM(A1770&amp;""),CHAR(160),"")," ",""),"년",""))=4,VALUE(SUBSTITUTE(SUBSTITUTE(SUBSTITUTE(TRIM(A1770&amp;""),CHAR(160),"")," ",""),"년",""))&gt;=1900,VALUE(SUBSTITUTE(SUBSTITUTE(SUBSTITUTE(TRIM(A1770&amp;""),CHAR(160),"")," ",""),"년",""))&lt;=2099,TEXT(VALUE(SUBSTITUTE(SUBSTITUTE(SUBSTITUTE(TRIM(A1770&amp;""),CHAR(160),"")," ",""),"년","")),"0000")=SUBSTITUTE(SUBSTITUTE(SUBSTITUTE(TRIM(A1770&amp;""),CHAR(160),"")," ",""),"년","")),SUBSTITUTE(SUBSTITUTE(SUBSTITUTE(TRIM(A1770&amp;""),CHAR(160),"")," ",""),"년",""),""),"")</f>
      </c>
      <c r="I1770" t="str">
        <f>SUBSTITUTE(SUBSTITUTE(SUBSTITUTE(SUBSTITUTE(SUBSTITUTE(TRIM(B1770&amp;""),CHAR(160),"")," ",""),"초등학교","초"),"중학교","중"),"고등학교","고")</f>
      </c>
    </row>
    <row r="1771" customFormat="false" ht="15" hidden="false" customHeight="false" outlineLevel="0" collapsed="false">
      <c r="A1771" s="8"/>
      <c r="B1771" s="8"/>
      <c r="C1771" s="8"/>
      <c r="D1771" s="8"/>
      <c r="E1771" s="8"/>
      <c r="F1771" t="str" s="15">
        <f aca="0">IF(B1771="","",IF(H1771="","확인필요(입력누락)",IF(SUMPRODUCT((실물목록!$P$2:$P$1001&lt;&gt;"")*ISNUMBER(SEARCH(실물목록!$P$2:$P$1001,I1771))*(실물목록!$Q$2:$Q$1001&lt;&gt;"")*ISNUMBER(SEARCH(실물목록!$Q$2:$Q$1001,I1771))*(실물목록!$R$2:$R$1001="")*(실물목록!$O$2:$O$1001&lt;&gt;"")*(실물목록!$O$2:$O$1001=H1771))&gt;0,"실물 있음",IF(SUMPRODUCT((실물목록!$P$2:$P$1001&lt;&gt;"")*ISNUMBER(SEARCH(실물목록!$P$2:$P$1001,I1771))*(실물목록!$R$2:$R$1001&lt;&gt;""))&gt;0,"확인필요(입력누락)",IF(SUMPRODUCT((실물목록!$P$2:$P$1001&lt;&gt;"")*ISNUMBER(SEARCH(실물목록!$P$2:$P$1001,I1771))*(실물목록!$Q$2:$Q$1001&lt;&gt;"")*ISNUMBER(SEARCH(실물목록!$Q$2:$Q$1001,I1771))*(실물목록!$R$2:$R$1001="")*(실물목록!$O$2:$O$1001&lt;&gt;""))&gt;0,"확인필요(연도다름)","실물 없음")))))</f>
      </c>
      <c r="G1771" t="n" s="16">
        <f aca="0">IF(B1771="","",SUMPRODUCT((실물목록!$P$2:$P$1001&lt;&gt;"")*ISNUMBER(SEARCH(실물목록!$P$2:$P$1001,I1771))*(실물목록!$Q$2:$Q$1001&lt;&gt;"")*ISNUMBER(SEARCH(실물목록!$Q$2:$Q$1001,I1771))*(실물목록!$R$2:$R$1001="")*(실물목록!$O$2:$O$1001&lt;&gt;"")*(실물목록!$O$2:$O$1001=H1771)))</f>
      </c>
      <c r="H1771" t="str">
        <f>IFERROR(IF(AND(LEN(SUBSTITUTE(SUBSTITUTE(SUBSTITUTE(TRIM(A1771&amp;""),CHAR(160),"")," ",""),"년",""))=4,VALUE(SUBSTITUTE(SUBSTITUTE(SUBSTITUTE(TRIM(A1771&amp;""),CHAR(160),"")," ",""),"년",""))&gt;=1900,VALUE(SUBSTITUTE(SUBSTITUTE(SUBSTITUTE(TRIM(A1771&amp;""),CHAR(160),"")," ",""),"년",""))&lt;=2099,TEXT(VALUE(SUBSTITUTE(SUBSTITUTE(SUBSTITUTE(TRIM(A1771&amp;""),CHAR(160),"")," ",""),"년","")),"0000")=SUBSTITUTE(SUBSTITUTE(SUBSTITUTE(TRIM(A1771&amp;""),CHAR(160),"")," ",""),"년","")),SUBSTITUTE(SUBSTITUTE(SUBSTITUTE(TRIM(A1771&amp;""),CHAR(160),"")," ",""),"년",""),""),"")</f>
      </c>
      <c r="I1771" t="str">
        <f>SUBSTITUTE(SUBSTITUTE(SUBSTITUTE(SUBSTITUTE(SUBSTITUTE(TRIM(B1771&amp;""),CHAR(160),"")," ",""),"초등학교","초"),"중학교","중"),"고등학교","고")</f>
      </c>
    </row>
    <row r="1772" customFormat="false" ht="15" hidden="false" customHeight="false" outlineLevel="0" collapsed="false">
      <c r="A1772" s="8"/>
      <c r="B1772" s="8"/>
      <c r="C1772" s="8"/>
      <c r="D1772" s="8"/>
      <c r="E1772" s="8"/>
      <c r="F1772" t="str" s="15">
        <f aca="0">IF(B1772="","",IF(H1772="","확인필요(입력누락)",IF(SUMPRODUCT((실물목록!$P$2:$P$1001&lt;&gt;"")*ISNUMBER(SEARCH(실물목록!$P$2:$P$1001,I1772))*(실물목록!$Q$2:$Q$1001&lt;&gt;"")*ISNUMBER(SEARCH(실물목록!$Q$2:$Q$1001,I1772))*(실물목록!$R$2:$R$1001="")*(실물목록!$O$2:$O$1001&lt;&gt;"")*(실물목록!$O$2:$O$1001=H1772))&gt;0,"실물 있음",IF(SUMPRODUCT((실물목록!$P$2:$P$1001&lt;&gt;"")*ISNUMBER(SEARCH(실물목록!$P$2:$P$1001,I1772))*(실물목록!$R$2:$R$1001&lt;&gt;""))&gt;0,"확인필요(입력누락)",IF(SUMPRODUCT((실물목록!$P$2:$P$1001&lt;&gt;"")*ISNUMBER(SEARCH(실물목록!$P$2:$P$1001,I1772))*(실물목록!$Q$2:$Q$1001&lt;&gt;"")*ISNUMBER(SEARCH(실물목록!$Q$2:$Q$1001,I1772))*(실물목록!$R$2:$R$1001="")*(실물목록!$O$2:$O$1001&lt;&gt;""))&gt;0,"확인필요(연도다름)","실물 없음")))))</f>
      </c>
      <c r="G1772" t="n" s="16">
        <f aca="0">IF(B1772="","",SUMPRODUCT((실물목록!$P$2:$P$1001&lt;&gt;"")*ISNUMBER(SEARCH(실물목록!$P$2:$P$1001,I1772))*(실물목록!$Q$2:$Q$1001&lt;&gt;"")*ISNUMBER(SEARCH(실물목록!$Q$2:$Q$1001,I1772))*(실물목록!$R$2:$R$1001="")*(실물목록!$O$2:$O$1001&lt;&gt;"")*(실물목록!$O$2:$O$1001=H1772)))</f>
      </c>
      <c r="H1772" t="str">
        <f>IFERROR(IF(AND(LEN(SUBSTITUTE(SUBSTITUTE(SUBSTITUTE(TRIM(A1772&amp;""),CHAR(160),"")," ",""),"년",""))=4,VALUE(SUBSTITUTE(SUBSTITUTE(SUBSTITUTE(TRIM(A1772&amp;""),CHAR(160),"")," ",""),"년",""))&gt;=1900,VALUE(SUBSTITUTE(SUBSTITUTE(SUBSTITUTE(TRIM(A1772&amp;""),CHAR(160),"")," ",""),"년",""))&lt;=2099,TEXT(VALUE(SUBSTITUTE(SUBSTITUTE(SUBSTITUTE(TRIM(A1772&amp;""),CHAR(160),"")," ",""),"년","")),"0000")=SUBSTITUTE(SUBSTITUTE(SUBSTITUTE(TRIM(A1772&amp;""),CHAR(160),"")," ",""),"년","")),SUBSTITUTE(SUBSTITUTE(SUBSTITUTE(TRIM(A1772&amp;""),CHAR(160),"")," ",""),"년",""),""),"")</f>
      </c>
      <c r="I1772" t="str">
        <f>SUBSTITUTE(SUBSTITUTE(SUBSTITUTE(SUBSTITUTE(SUBSTITUTE(TRIM(B1772&amp;""),CHAR(160),"")," ",""),"초등학교","초"),"중학교","중"),"고등학교","고")</f>
      </c>
    </row>
    <row r="1773" customFormat="false" ht="15" hidden="false" customHeight="false" outlineLevel="0" collapsed="false">
      <c r="A1773" s="8"/>
      <c r="B1773" s="8"/>
      <c r="C1773" s="8"/>
      <c r="D1773" s="8"/>
      <c r="E1773" s="8"/>
      <c r="F1773" t="str" s="15">
        <f aca="0">IF(B1773="","",IF(H1773="","확인필요(입력누락)",IF(SUMPRODUCT((실물목록!$P$2:$P$1001&lt;&gt;"")*ISNUMBER(SEARCH(실물목록!$P$2:$P$1001,I1773))*(실물목록!$Q$2:$Q$1001&lt;&gt;"")*ISNUMBER(SEARCH(실물목록!$Q$2:$Q$1001,I1773))*(실물목록!$R$2:$R$1001="")*(실물목록!$O$2:$O$1001&lt;&gt;"")*(실물목록!$O$2:$O$1001=H1773))&gt;0,"실물 있음",IF(SUMPRODUCT((실물목록!$P$2:$P$1001&lt;&gt;"")*ISNUMBER(SEARCH(실물목록!$P$2:$P$1001,I1773))*(실물목록!$R$2:$R$1001&lt;&gt;""))&gt;0,"확인필요(입력누락)",IF(SUMPRODUCT((실물목록!$P$2:$P$1001&lt;&gt;"")*ISNUMBER(SEARCH(실물목록!$P$2:$P$1001,I1773))*(실물목록!$Q$2:$Q$1001&lt;&gt;"")*ISNUMBER(SEARCH(실물목록!$Q$2:$Q$1001,I1773))*(실물목록!$R$2:$R$1001="")*(실물목록!$O$2:$O$1001&lt;&gt;""))&gt;0,"확인필요(연도다름)","실물 없음")))))</f>
      </c>
      <c r="G1773" t="n" s="16">
        <f aca="0">IF(B1773="","",SUMPRODUCT((실물목록!$P$2:$P$1001&lt;&gt;"")*ISNUMBER(SEARCH(실물목록!$P$2:$P$1001,I1773))*(실물목록!$Q$2:$Q$1001&lt;&gt;"")*ISNUMBER(SEARCH(실물목록!$Q$2:$Q$1001,I1773))*(실물목록!$R$2:$R$1001="")*(실물목록!$O$2:$O$1001&lt;&gt;"")*(실물목록!$O$2:$O$1001=H1773)))</f>
      </c>
      <c r="H1773" t="str">
        <f>IFERROR(IF(AND(LEN(SUBSTITUTE(SUBSTITUTE(SUBSTITUTE(TRIM(A1773&amp;""),CHAR(160),"")," ",""),"년",""))=4,VALUE(SUBSTITUTE(SUBSTITUTE(SUBSTITUTE(TRIM(A1773&amp;""),CHAR(160),"")," ",""),"년",""))&gt;=1900,VALUE(SUBSTITUTE(SUBSTITUTE(SUBSTITUTE(TRIM(A1773&amp;""),CHAR(160),"")," ",""),"년",""))&lt;=2099,TEXT(VALUE(SUBSTITUTE(SUBSTITUTE(SUBSTITUTE(TRIM(A1773&amp;""),CHAR(160),"")," ",""),"년","")),"0000")=SUBSTITUTE(SUBSTITUTE(SUBSTITUTE(TRIM(A1773&amp;""),CHAR(160),"")," ",""),"년","")),SUBSTITUTE(SUBSTITUTE(SUBSTITUTE(TRIM(A1773&amp;""),CHAR(160),"")," ",""),"년",""),""),"")</f>
      </c>
      <c r="I1773" t="str">
        <f>SUBSTITUTE(SUBSTITUTE(SUBSTITUTE(SUBSTITUTE(SUBSTITUTE(TRIM(B1773&amp;""),CHAR(160),"")," ",""),"초등학교","초"),"중학교","중"),"고등학교","고")</f>
      </c>
    </row>
    <row r="1774" customFormat="false" ht="15" hidden="false" customHeight="false" outlineLevel="0" collapsed="false">
      <c r="A1774" s="8"/>
      <c r="B1774" s="8"/>
      <c r="C1774" s="8"/>
      <c r="D1774" s="8"/>
      <c r="E1774" s="8"/>
      <c r="F1774" t="str" s="15">
        <f aca="0">IF(B1774="","",IF(H1774="","확인필요(입력누락)",IF(SUMPRODUCT((실물목록!$P$2:$P$1001&lt;&gt;"")*ISNUMBER(SEARCH(실물목록!$P$2:$P$1001,I1774))*(실물목록!$Q$2:$Q$1001&lt;&gt;"")*ISNUMBER(SEARCH(실물목록!$Q$2:$Q$1001,I1774))*(실물목록!$R$2:$R$1001="")*(실물목록!$O$2:$O$1001&lt;&gt;"")*(실물목록!$O$2:$O$1001=H1774))&gt;0,"실물 있음",IF(SUMPRODUCT((실물목록!$P$2:$P$1001&lt;&gt;"")*ISNUMBER(SEARCH(실물목록!$P$2:$P$1001,I1774))*(실물목록!$R$2:$R$1001&lt;&gt;""))&gt;0,"확인필요(입력누락)",IF(SUMPRODUCT((실물목록!$P$2:$P$1001&lt;&gt;"")*ISNUMBER(SEARCH(실물목록!$P$2:$P$1001,I1774))*(실물목록!$Q$2:$Q$1001&lt;&gt;"")*ISNUMBER(SEARCH(실물목록!$Q$2:$Q$1001,I1774))*(실물목록!$R$2:$R$1001="")*(실물목록!$O$2:$O$1001&lt;&gt;""))&gt;0,"확인필요(연도다름)","실물 없음")))))</f>
      </c>
      <c r="G1774" t="n" s="16">
        <f aca="0">IF(B1774="","",SUMPRODUCT((실물목록!$P$2:$P$1001&lt;&gt;"")*ISNUMBER(SEARCH(실물목록!$P$2:$P$1001,I1774))*(실물목록!$Q$2:$Q$1001&lt;&gt;"")*ISNUMBER(SEARCH(실물목록!$Q$2:$Q$1001,I1774))*(실물목록!$R$2:$R$1001="")*(실물목록!$O$2:$O$1001&lt;&gt;"")*(실물목록!$O$2:$O$1001=H1774)))</f>
      </c>
      <c r="H1774" t="str">
        <f>IFERROR(IF(AND(LEN(SUBSTITUTE(SUBSTITUTE(SUBSTITUTE(TRIM(A1774&amp;""),CHAR(160),"")," ",""),"년",""))=4,VALUE(SUBSTITUTE(SUBSTITUTE(SUBSTITUTE(TRIM(A1774&amp;""),CHAR(160),"")," ",""),"년",""))&gt;=1900,VALUE(SUBSTITUTE(SUBSTITUTE(SUBSTITUTE(TRIM(A1774&amp;""),CHAR(160),"")," ",""),"년",""))&lt;=2099,TEXT(VALUE(SUBSTITUTE(SUBSTITUTE(SUBSTITUTE(TRIM(A1774&amp;""),CHAR(160),"")," ",""),"년","")),"0000")=SUBSTITUTE(SUBSTITUTE(SUBSTITUTE(TRIM(A1774&amp;""),CHAR(160),"")," ",""),"년","")),SUBSTITUTE(SUBSTITUTE(SUBSTITUTE(TRIM(A1774&amp;""),CHAR(160),"")," ",""),"년",""),""),"")</f>
      </c>
      <c r="I1774" t="str">
        <f>SUBSTITUTE(SUBSTITUTE(SUBSTITUTE(SUBSTITUTE(SUBSTITUTE(TRIM(B1774&amp;""),CHAR(160),"")," ",""),"초등학교","초"),"중학교","중"),"고등학교","고")</f>
      </c>
    </row>
    <row r="1775" customFormat="false" ht="15" hidden="false" customHeight="false" outlineLevel="0" collapsed="false">
      <c r="A1775" s="8"/>
      <c r="B1775" s="8"/>
      <c r="C1775" s="8"/>
      <c r="D1775" s="8"/>
      <c r="E1775" s="8"/>
      <c r="F1775" t="str" s="15">
        <f aca="0">IF(B1775="","",IF(H1775="","확인필요(입력누락)",IF(SUMPRODUCT((실물목록!$P$2:$P$1001&lt;&gt;"")*ISNUMBER(SEARCH(실물목록!$P$2:$P$1001,I1775))*(실물목록!$Q$2:$Q$1001&lt;&gt;"")*ISNUMBER(SEARCH(실물목록!$Q$2:$Q$1001,I1775))*(실물목록!$R$2:$R$1001="")*(실물목록!$O$2:$O$1001&lt;&gt;"")*(실물목록!$O$2:$O$1001=H1775))&gt;0,"실물 있음",IF(SUMPRODUCT((실물목록!$P$2:$P$1001&lt;&gt;"")*ISNUMBER(SEARCH(실물목록!$P$2:$P$1001,I1775))*(실물목록!$R$2:$R$1001&lt;&gt;""))&gt;0,"확인필요(입력누락)",IF(SUMPRODUCT((실물목록!$P$2:$P$1001&lt;&gt;"")*ISNUMBER(SEARCH(실물목록!$P$2:$P$1001,I1775))*(실물목록!$Q$2:$Q$1001&lt;&gt;"")*ISNUMBER(SEARCH(실물목록!$Q$2:$Q$1001,I1775))*(실물목록!$R$2:$R$1001="")*(실물목록!$O$2:$O$1001&lt;&gt;""))&gt;0,"확인필요(연도다름)","실물 없음")))))</f>
      </c>
      <c r="G1775" t="n" s="16">
        <f aca="0">IF(B1775="","",SUMPRODUCT((실물목록!$P$2:$P$1001&lt;&gt;"")*ISNUMBER(SEARCH(실물목록!$P$2:$P$1001,I1775))*(실물목록!$Q$2:$Q$1001&lt;&gt;"")*ISNUMBER(SEARCH(실물목록!$Q$2:$Q$1001,I1775))*(실물목록!$R$2:$R$1001="")*(실물목록!$O$2:$O$1001&lt;&gt;"")*(실물목록!$O$2:$O$1001=H1775)))</f>
      </c>
      <c r="H1775" t="str">
        <f>IFERROR(IF(AND(LEN(SUBSTITUTE(SUBSTITUTE(SUBSTITUTE(TRIM(A1775&amp;""),CHAR(160),"")," ",""),"년",""))=4,VALUE(SUBSTITUTE(SUBSTITUTE(SUBSTITUTE(TRIM(A1775&amp;""),CHAR(160),"")," ",""),"년",""))&gt;=1900,VALUE(SUBSTITUTE(SUBSTITUTE(SUBSTITUTE(TRIM(A1775&amp;""),CHAR(160),"")," ",""),"년",""))&lt;=2099,TEXT(VALUE(SUBSTITUTE(SUBSTITUTE(SUBSTITUTE(TRIM(A1775&amp;""),CHAR(160),"")," ",""),"년","")),"0000")=SUBSTITUTE(SUBSTITUTE(SUBSTITUTE(TRIM(A1775&amp;""),CHAR(160),"")," ",""),"년","")),SUBSTITUTE(SUBSTITUTE(SUBSTITUTE(TRIM(A1775&amp;""),CHAR(160),"")," ",""),"년",""),""),"")</f>
      </c>
      <c r="I1775" t="str">
        <f>SUBSTITUTE(SUBSTITUTE(SUBSTITUTE(SUBSTITUTE(SUBSTITUTE(TRIM(B1775&amp;""),CHAR(160),"")," ",""),"초등학교","초"),"중학교","중"),"고등학교","고")</f>
      </c>
    </row>
    <row r="1776" customFormat="false" ht="15" hidden="false" customHeight="false" outlineLevel="0" collapsed="false">
      <c r="A1776" s="8"/>
      <c r="B1776" s="8"/>
      <c r="C1776" s="8"/>
      <c r="D1776" s="8"/>
      <c r="E1776" s="8"/>
      <c r="F1776" t="str" s="15">
        <f aca="0">IF(B1776="","",IF(H1776="","확인필요(입력누락)",IF(SUMPRODUCT((실물목록!$P$2:$P$1001&lt;&gt;"")*ISNUMBER(SEARCH(실물목록!$P$2:$P$1001,I1776))*(실물목록!$Q$2:$Q$1001&lt;&gt;"")*ISNUMBER(SEARCH(실물목록!$Q$2:$Q$1001,I1776))*(실물목록!$R$2:$R$1001="")*(실물목록!$O$2:$O$1001&lt;&gt;"")*(실물목록!$O$2:$O$1001=H1776))&gt;0,"실물 있음",IF(SUMPRODUCT((실물목록!$P$2:$P$1001&lt;&gt;"")*ISNUMBER(SEARCH(실물목록!$P$2:$P$1001,I1776))*(실물목록!$R$2:$R$1001&lt;&gt;""))&gt;0,"확인필요(입력누락)",IF(SUMPRODUCT((실물목록!$P$2:$P$1001&lt;&gt;"")*ISNUMBER(SEARCH(실물목록!$P$2:$P$1001,I1776))*(실물목록!$Q$2:$Q$1001&lt;&gt;"")*ISNUMBER(SEARCH(실물목록!$Q$2:$Q$1001,I1776))*(실물목록!$R$2:$R$1001="")*(실물목록!$O$2:$O$1001&lt;&gt;""))&gt;0,"확인필요(연도다름)","실물 없음")))))</f>
      </c>
      <c r="G1776" t="n" s="16">
        <f aca="0">IF(B1776="","",SUMPRODUCT((실물목록!$P$2:$P$1001&lt;&gt;"")*ISNUMBER(SEARCH(실물목록!$P$2:$P$1001,I1776))*(실물목록!$Q$2:$Q$1001&lt;&gt;"")*ISNUMBER(SEARCH(실물목록!$Q$2:$Q$1001,I1776))*(실물목록!$R$2:$R$1001="")*(실물목록!$O$2:$O$1001&lt;&gt;"")*(실물목록!$O$2:$O$1001=H1776)))</f>
      </c>
      <c r="H1776" t="str">
        <f>IFERROR(IF(AND(LEN(SUBSTITUTE(SUBSTITUTE(SUBSTITUTE(TRIM(A1776&amp;""),CHAR(160),"")," ",""),"년",""))=4,VALUE(SUBSTITUTE(SUBSTITUTE(SUBSTITUTE(TRIM(A1776&amp;""),CHAR(160),"")," ",""),"년",""))&gt;=1900,VALUE(SUBSTITUTE(SUBSTITUTE(SUBSTITUTE(TRIM(A1776&amp;""),CHAR(160),"")," ",""),"년",""))&lt;=2099,TEXT(VALUE(SUBSTITUTE(SUBSTITUTE(SUBSTITUTE(TRIM(A1776&amp;""),CHAR(160),"")," ",""),"년","")),"0000")=SUBSTITUTE(SUBSTITUTE(SUBSTITUTE(TRIM(A1776&amp;""),CHAR(160),"")," ",""),"년","")),SUBSTITUTE(SUBSTITUTE(SUBSTITUTE(TRIM(A1776&amp;""),CHAR(160),"")," ",""),"년",""),""),"")</f>
      </c>
      <c r="I1776" t="str">
        <f>SUBSTITUTE(SUBSTITUTE(SUBSTITUTE(SUBSTITUTE(SUBSTITUTE(TRIM(B1776&amp;""),CHAR(160),"")," ",""),"초등학교","초"),"중학교","중"),"고등학교","고")</f>
      </c>
    </row>
    <row r="1777" customFormat="false" ht="15" hidden="false" customHeight="false" outlineLevel="0" collapsed="false">
      <c r="A1777" s="8"/>
      <c r="B1777" s="8"/>
      <c r="C1777" s="8"/>
      <c r="D1777" s="8"/>
      <c r="E1777" s="8"/>
      <c r="F1777" t="str" s="15">
        <f aca="0">IF(B1777="","",IF(H1777="","확인필요(입력누락)",IF(SUMPRODUCT((실물목록!$P$2:$P$1001&lt;&gt;"")*ISNUMBER(SEARCH(실물목록!$P$2:$P$1001,I1777))*(실물목록!$Q$2:$Q$1001&lt;&gt;"")*ISNUMBER(SEARCH(실물목록!$Q$2:$Q$1001,I1777))*(실물목록!$R$2:$R$1001="")*(실물목록!$O$2:$O$1001&lt;&gt;"")*(실물목록!$O$2:$O$1001=H1777))&gt;0,"실물 있음",IF(SUMPRODUCT((실물목록!$P$2:$P$1001&lt;&gt;"")*ISNUMBER(SEARCH(실물목록!$P$2:$P$1001,I1777))*(실물목록!$R$2:$R$1001&lt;&gt;""))&gt;0,"확인필요(입력누락)",IF(SUMPRODUCT((실물목록!$P$2:$P$1001&lt;&gt;"")*ISNUMBER(SEARCH(실물목록!$P$2:$P$1001,I1777))*(실물목록!$Q$2:$Q$1001&lt;&gt;"")*ISNUMBER(SEARCH(실물목록!$Q$2:$Q$1001,I1777))*(실물목록!$R$2:$R$1001="")*(실물목록!$O$2:$O$1001&lt;&gt;""))&gt;0,"확인필요(연도다름)","실물 없음")))))</f>
      </c>
      <c r="G1777" t="n" s="16">
        <f aca="0">IF(B1777="","",SUMPRODUCT((실물목록!$P$2:$P$1001&lt;&gt;"")*ISNUMBER(SEARCH(실물목록!$P$2:$P$1001,I1777))*(실물목록!$Q$2:$Q$1001&lt;&gt;"")*ISNUMBER(SEARCH(실물목록!$Q$2:$Q$1001,I1777))*(실물목록!$R$2:$R$1001="")*(실물목록!$O$2:$O$1001&lt;&gt;"")*(실물목록!$O$2:$O$1001=H1777)))</f>
      </c>
      <c r="H1777" t="str">
        <f>IFERROR(IF(AND(LEN(SUBSTITUTE(SUBSTITUTE(SUBSTITUTE(TRIM(A1777&amp;""),CHAR(160),"")," ",""),"년",""))=4,VALUE(SUBSTITUTE(SUBSTITUTE(SUBSTITUTE(TRIM(A1777&amp;""),CHAR(160),"")," ",""),"년",""))&gt;=1900,VALUE(SUBSTITUTE(SUBSTITUTE(SUBSTITUTE(TRIM(A1777&amp;""),CHAR(160),"")," ",""),"년",""))&lt;=2099,TEXT(VALUE(SUBSTITUTE(SUBSTITUTE(SUBSTITUTE(TRIM(A1777&amp;""),CHAR(160),"")," ",""),"년","")),"0000")=SUBSTITUTE(SUBSTITUTE(SUBSTITUTE(TRIM(A1777&amp;""),CHAR(160),"")," ",""),"년","")),SUBSTITUTE(SUBSTITUTE(SUBSTITUTE(TRIM(A1777&amp;""),CHAR(160),"")," ",""),"년",""),""),"")</f>
      </c>
      <c r="I1777" t="str">
        <f>SUBSTITUTE(SUBSTITUTE(SUBSTITUTE(SUBSTITUTE(SUBSTITUTE(TRIM(B1777&amp;""),CHAR(160),"")," ",""),"초등학교","초"),"중학교","중"),"고등학교","고")</f>
      </c>
    </row>
    <row r="1778" customFormat="false" ht="15" hidden="false" customHeight="false" outlineLevel="0" collapsed="false">
      <c r="A1778" s="8"/>
      <c r="B1778" s="8"/>
      <c r="C1778" s="8"/>
      <c r="D1778" s="8"/>
      <c r="E1778" s="8"/>
      <c r="F1778" t="str" s="15">
        <f aca="0">IF(B1778="","",IF(H1778="","확인필요(입력누락)",IF(SUMPRODUCT((실물목록!$P$2:$P$1001&lt;&gt;"")*ISNUMBER(SEARCH(실물목록!$P$2:$P$1001,I1778))*(실물목록!$Q$2:$Q$1001&lt;&gt;"")*ISNUMBER(SEARCH(실물목록!$Q$2:$Q$1001,I1778))*(실물목록!$R$2:$R$1001="")*(실물목록!$O$2:$O$1001&lt;&gt;"")*(실물목록!$O$2:$O$1001=H1778))&gt;0,"실물 있음",IF(SUMPRODUCT((실물목록!$P$2:$P$1001&lt;&gt;"")*ISNUMBER(SEARCH(실물목록!$P$2:$P$1001,I1778))*(실물목록!$R$2:$R$1001&lt;&gt;""))&gt;0,"확인필요(입력누락)",IF(SUMPRODUCT((실물목록!$P$2:$P$1001&lt;&gt;"")*ISNUMBER(SEARCH(실물목록!$P$2:$P$1001,I1778))*(실물목록!$Q$2:$Q$1001&lt;&gt;"")*ISNUMBER(SEARCH(실물목록!$Q$2:$Q$1001,I1778))*(실물목록!$R$2:$R$1001="")*(실물목록!$O$2:$O$1001&lt;&gt;""))&gt;0,"확인필요(연도다름)","실물 없음")))))</f>
      </c>
      <c r="G1778" t="n" s="16">
        <f aca="0">IF(B1778="","",SUMPRODUCT((실물목록!$P$2:$P$1001&lt;&gt;"")*ISNUMBER(SEARCH(실물목록!$P$2:$P$1001,I1778))*(실물목록!$Q$2:$Q$1001&lt;&gt;"")*ISNUMBER(SEARCH(실물목록!$Q$2:$Q$1001,I1778))*(실물목록!$R$2:$R$1001="")*(실물목록!$O$2:$O$1001&lt;&gt;"")*(실물목록!$O$2:$O$1001=H1778)))</f>
      </c>
      <c r="H1778" t="str">
        <f>IFERROR(IF(AND(LEN(SUBSTITUTE(SUBSTITUTE(SUBSTITUTE(TRIM(A1778&amp;""),CHAR(160),"")," ",""),"년",""))=4,VALUE(SUBSTITUTE(SUBSTITUTE(SUBSTITUTE(TRIM(A1778&amp;""),CHAR(160),"")," ",""),"년",""))&gt;=1900,VALUE(SUBSTITUTE(SUBSTITUTE(SUBSTITUTE(TRIM(A1778&amp;""),CHAR(160),"")," ",""),"년",""))&lt;=2099,TEXT(VALUE(SUBSTITUTE(SUBSTITUTE(SUBSTITUTE(TRIM(A1778&amp;""),CHAR(160),"")," ",""),"년","")),"0000")=SUBSTITUTE(SUBSTITUTE(SUBSTITUTE(TRIM(A1778&amp;""),CHAR(160),"")," ",""),"년","")),SUBSTITUTE(SUBSTITUTE(SUBSTITUTE(TRIM(A1778&amp;""),CHAR(160),"")," ",""),"년",""),""),"")</f>
      </c>
      <c r="I1778" t="str">
        <f>SUBSTITUTE(SUBSTITUTE(SUBSTITUTE(SUBSTITUTE(SUBSTITUTE(TRIM(B1778&amp;""),CHAR(160),"")," ",""),"초등학교","초"),"중학교","중"),"고등학교","고")</f>
      </c>
    </row>
    <row r="1779" customFormat="false" ht="15" hidden="false" customHeight="false" outlineLevel="0" collapsed="false">
      <c r="A1779" s="8"/>
      <c r="B1779" s="8"/>
      <c r="C1779" s="8"/>
      <c r="D1779" s="8"/>
      <c r="E1779" s="8"/>
      <c r="F1779" t="str" s="15">
        <f aca="0">IF(B1779="","",IF(H1779="","확인필요(입력누락)",IF(SUMPRODUCT((실물목록!$P$2:$P$1001&lt;&gt;"")*ISNUMBER(SEARCH(실물목록!$P$2:$P$1001,I1779))*(실물목록!$Q$2:$Q$1001&lt;&gt;"")*ISNUMBER(SEARCH(실물목록!$Q$2:$Q$1001,I1779))*(실물목록!$R$2:$R$1001="")*(실물목록!$O$2:$O$1001&lt;&gt;"")*(실물목록!$O$2:$O$1001=H1779))&gt;0,"실물 있음",IF(SUMPRODUCT((실물목록!$P$2:$P$1001&lt;&gt;"")*ISNUMBER(SEARCH(실물목록!$P$2:$P$1001,I1779))*(실물목록!$R$2:$R$1001&lt;&gt;""))&gt;0,"확인필요(입력누락)",IF(SUMPRODUCT((실물목록!$P$2:$P$1001&lt;&gt;"")*ISNUMBER(SEARCH(실물목록!$P$2:$P$1001,I1779))*(실물목록!$Q$2:$Q$1001&lt;&gt;"")*ISNUMBER(SEARCH(실물목록!$Q$2:$Q$1001,I1779))*(실물목록!$R$2:$R$1001="")*(실물목록!$O$2:$O$1001&lt;&gt;""))&gt;0,"확인필요(연도다름)","실물 없음")))))</f>
      </c>
      <c r="G1779" t="n" s="16">
        <f aca="0">IF(B1779="","",SUMPRODUCT((실물목록!$P$2:$P$1001&lt;&gt;"")*ISNUMBER(SEARCH(실물목록!$P$2:$P$1001,I1779))*(실물목록!$Q$2:$Q$1001&lt;&gt;"")*ISNUMBER(SEARCH(실물목록!$Q$2:$Q$1001,I1779))*(실물목록!$R$2:$R$1001="")*(실물목록!$O$2:$O$1001&lt;&gt;"")*(실물목록!$O$2:$O$1001=H1779)))</f>
      </c>
      <c r="H1779" t="str">
        <f>IFERROR(IF(AND(LEN(SUBSTITUTE(SUBSTITUTE(SUBSTITUTE(TRIM(A1779&amp;""),CHAR(160),"")," ",""),"년",""))=4,VALUE(SUBSTITUTE(SUBSTITUTE(SUBSTITUTE(TRIM(A1779&amp;""),CHAR(160),"")," ",""),"년",""))&gt;=1900,VALUE(SUBSTITUTE(SUBSTITUTE(SUBSTITUTE(TRIM(A1779&amp;""),CHAR(160),"")," ",""),"년",""))&lt;=2099,TEXT(VALUE(SUBSTITUTE(SUBSTITUTE(SUBSTITUTE(TRIM(A1779&amp;""),CHAR(160),"")," ",""),"년","")),"0000")=SUBSTITUTE(SUBSTITUTE(SUBSTITUTE(TRIM(A1779&amp;""),CHAR(160),"")," ",""),"년","")),SUBSTITUTE(SUBSTITUTE(SUBSTITUTE(TRIM(A1779&amp;""),CHAR(160),"")," ",""),"년",""),""),"")</f>
      </c>
      <c r="I1779" t="str">
        <f>SUBSTITUTE(SUBSTITUTE(SUBSTITUTE(SUBSTITUTE(SUBSTITUTE(TRIM(B1779&amp;""),CHAR(160),"")," ",""),"초등학교","초"),"중학교","중"),"고등학교","고")</f>
      </c>
    </row>
    <row r="1780" customFormat="false" ht="15" hidden="false" customHeight="false" outlineLevel="0" collapsed="false">
      <c r="A1780" s="8"/>
      <c r="B1780" s="8"/>
      <c r="C1780" s="8"/>
      <c r="D1780" s="8"/>
      <c r="E1780" s="8"/>
      <c r="F1780" t="str" s="15">
        <f aca="0">IF(B1780="","",IF(H1780="","확인필요(입력누락)",IF(SUMPRODUCT((실물목록!$P$2:$P$1001&lt;&gt;"")*ISNUMBER(SEARCH(실물목록!$P$2:$P$1001,I1780))*(실물목록!$Q$2:$Q$1001&lt;&gt;"")*ISNUMBER(SEARCH(실물목록!$Q$2:$Q$1001,I1780))*(실물목록!$R$2:$R$1001="")*(실물목록!$O$2:$O$1001&lt;&gt;"")*(실물목록!$O$2:$O$1001=H1780))&gt;0,"실물 있음",IF(SUMPRODUCT((실물목록!$P$2:$P$1001&lt;&gt;"")*ISNUMBER(SEARCH(실물목록!$P$2:$P$1001,I1780))*(실물목록!$R$2:$R$1001&lt;&gt;""))&gt;0,"확인필요(입력누락)",IF(SUMPRODUCT((실물목록!$P$2:$P$1001&lt;&gt;"")*ISNUMBER(SEARCH(실물목록!$P$2:$P$1001,I1780))*(실물목록!$Q$2:$Q$1001&lt;&gt;"")*ISNUMBER(SEARCH(실물목록!$Q$2:$Q$1001,I1780))*(실물목록!$R$2:$R$1001="")*(실물목록!$O$2:$O$1001&lt;&gt;""))&gt;0,"확인필요(연도다름)","실물 없음")))))</f>
      </c>
      <c r="G1780" t="n" s="16">
        <f aca="0">IF(B1780="","",SUMPRODUCT((실물목록!$P$2:$P$1001&lt;&gt;"")*ISNUMBER(SEARCH(실물목록!$P$2:$P$1001,I1780))*(실물목록!$Q$2:$Q$1001&lt;&gt;"")*ISNUMBER(SEARCH(실물목록!$Q$2:$Q$1001,I1780))*(실물목록!$R$2:$R$1001="")*(실물목록!$O$2:$O$1001&lt;&gt;"")*(실물목록!$O$2:$O$1001=H1780)))</f>
      </c>
      <c r="H1780" t="str">
        <f>IFERROR(IF(AND(LEN(SUBSTITUTE(SUBSTITUTE(SUBSTITUTE(TRIM(A1780&amp;""),CHAR(160),"")," ",""),"년",""))=4,VALUE(SUBSTITUTE(SUBSTITUTE(SUBSTITUTE(TRIM(A1780&amp;""),CHAR(160),"")," ",""),"년",""))&gt;=1900,VALUE(SUBSTITUTE(SUBSTITUTE(SUBSTITUTE(TRIM(A1780&amp;""),CHAR(160),"")," ",""),"년",""))&lt;=2099,TEXT(VALUE(SUBSTITUTE(SUBSTITUTE(SUBSTITUTE(TRIM(A1780&amp;""),CHAR(160),"")," ",""),"년","")),"0000")=SUBSTITUTE(SUBSTITUTE(SUBSTITUTE(TRIM(A1780&amp;""),CHAR(160),"")," ",""),"년","")),SUBSTITUTE(SUBSTITUTE(SUBSTITUTE(TRIM(A1780&amp;""),CHAR(160),"")," ",""),"년",""),""),"")</f>
      </c>
      <c r="I1780" t="str">
        <f>SUBSTITUTE(SUBSTITUTE(SUBSTITUTE(SUBSTITUTE(SUBSTITUTE(TRIM(B1780&amp;""),CHAR(160),"")," ",""),"초등학교","초"),"중학교","중"),"고등학교","고")</f>
      </c>
    </row>
    <row r="1781" customFormat="false" ht="15" hidden="false" customHeight="false" outlineLevel="0" collapsed="false">
      <c r="A1781" s="8"/>
      <c r="B1781" s="8"/>
      <c r="C1781" s="8"/>
      <c r="D1781" s="8"/>
      <c r="E1781" s="8"/>
      <c r="F1781" t="str" s="15">
        <f aca="0">IF(B1781="","",IF(H1781="","확인필요(입력누락)",IF(SUMPRODUCT((실물목록!$P$2:$P$1001&lt;&gt;"")*ISNUMBER(SEARCH(실물목록!$P$2:$P$1001,I1781))*(실물목록!$Q$2:$Q$1001&lt;&gt;"")*ISNUMBER(SEARCH(실물목록!$Q$2:$Q$1001,I1781))*(실물목록!$R$2:$R$1001="")*(실물목록!$O$2:$O$1001&lt;&gt;"")*(실물목록!$O$2:$O$1001=H1781))&gt;0,"실물 있음",IF(SUMPRODUCT((실물목록!$P$2:$P$1001&lt;&gt;"")*ISNUMBER(SEARCH(실물목록!$P$2:$P$1001,I1781))*(실물목록!$R$2:$R$1001&lt;&gt;""))&gt;0,"확인필요(입력누락)",IF(SUMPRODUCT((실물목록!$P$2:$P$1001&lt;&gt;"")*ISNUMBER(SEARCH(실물목록!$P$2:$P$1001,I1781))*(실물목록!$Q$2:$Q$1001&lt;&gt;"")*ISNUMBER(SEARCH(실물목록!$Q$2:$Q$1001,I1781))*(실물목록!$R$2:$R$1001="")*(실물목록!$O$2:$O$1001&lt;&gt;""))&gt;0,"확인필요(연도다름)","실물 없음")))))</f>
      </c>
      <c r="G1781" t="n" s="16">
        <f aca="0">IF(B1781="","",SUMPRODUCT((실물목록!$P$2:$P$1001&lt;&gt;"")*ISNUMBER(SEARCH(실물목록!$P$2:$P$1001,I1781))*(실물목록!$Q$2:$Q$1001&lt;&gt;"")*ISNUMBER(SEARCH(실물목록!$Q$2:$Q$1001,I1781))*(실물목록!$R$2:$R$1001="")*(실물목록!$O$2:$O$1001&lt;&gt;"")*(실물목록!$O$2:$O$1001=H1781)))</f>
      </c>
      <c r="H1781" t="str">
        <f>IFERROR(IF(AND(LEN(SUBSTITUTE(SUBSTITUTE(SUBSTITUTE(TRIM(A1781&amp;""),CHAR(160),"")," ",""),"년",""))=4,VALUE(SUBSTITUTE(SUBSTITUTE(SUBSTITUTE(TRIM(A1781&amp;""),CHAR(160),"")," ",""),"년",""))&gt;=1900,VALUE(SUBSTITUTE(SUBSTITUTE(SUBSTITUTE(TRIM(A1781&amp;""),CHAR(160),"")," ",""),"년",""))&lt;=2099,TEXT(VALUE(SUBSTITUTE(SUBSTITUTE(SUBSTITUTE(TRIM(A1781&amp;""),CHAR(160),"")," ",""),"년","")),"0000")=SUBSTITUTE(SUBSTITUTE(SUBSTITUTE(TRIM(A1781&amp;""),CHAR(160),"")," ",""),"년","")),SUBSTITUTE(SUBSTITUTE(SUBSTITUTE(TRIM(A1781&amp;""),CHAR(160),"")," ",""),"년",""),""),"")</f>
      </c>
      <c r="I1781" t="str">
        <f>SUBSTITUTE(SUBSTITUTE(SUBSTITUTE(SUBSTITUTE(SUBSTITUTE(TRIM(B1781&amp;""),CHAR(160),"")," ",""),"초등학교","초"),"중학교","중"),"고등학교","고")</f>
      </c>
    </row>
    <row r="1782" customFormat="false" ht="15" hidden="false" customHeight="false" outlineLevel="0" collapsed="false">
      <c r="A1782" s="8"/>
      <c r="B1782" s="8"/>
      <c r="C1782" s="8"/>
      <c r="D1782" s="8"/>
      <c r="E1782" s="8"/>
      <c r="F1782" t="str" s="15">
        <f aca="0">IF(B1782="","",IF(H1782="","확인필요(입력누락)",IF(SUMPRODUCT((실물목록!$P$2:$P$1001&lt;&gt;"")*ISNUMBER(SEARCH(실물목록!$P$2:$P$1001,I1782))*(실물목록!$Q$2:$Q$1001&lt;&gt;"")*ISNUMBER(SEARCH(실물목록!$Q$2:$Q$1001,I1782))*(실물목록!$R$2:$R$1001="")*(실물목록!$O$2:$O$1001&lt;&gt;"")*(실물목록!$O$2:$O$1001=H1782))&gt;0,"실물 있음",IF(SUMPRODUCT((실물목록!$P$2:$P$1001&lt;&gt;"")*ISNUMBER(SEARCH(실물목록!$P$2:$P$1001,I1782))*(실물목록!$R$2:$R$1001&lt;&gt;""))&gt;0,"확인필요(입력누락)",IF(SUMPRODUCT((실물목록!$P$2:$P$1001&lt;&gt;"")*ISNUMBER(SEARCH(실물목록!$P$2:$P$1001,I1782))*(실물목록!$Q$2:$Q$1001&lt;&gt;"")*ISNUMBER(SEARCH(실물목록!$Q$2:$Q$1001,I1782))*(실물목록!$R$2:$R$1001="")*(실물목록!$O$2:$O$1001&lt;&gt;""))&gt;0,"확인필요(연도다름)","실물 없음")))))</f>
      </c>
      <c r="G1782" t="n" s="16">
        <f aca="0">IF(B1782="","",SUMPRODUCT((실물목록!$P$2:$P$1001&lt;&gt;"")*ISNUMBER(SEARCH(실물목록!$P$2:$P$1001,I1782))*(실물목록!$Q$2:$Q$1001&lt;&gt;"")*ISNUMBER(SEARCH(실물목록!$Q$2:$Q$1001,I1782))*(실물목록!$R$2:$R$1001="")*(실물목록!$O$2:$O$1001&lt;&gt;"")*(실물목록!$O$2:$O$1001=H1782)))</f>
      </c>
      <c r="H1782" t="str">
        <f>IFERROR(IF(AND(LEN(SUBSTITUTE(SUBSTITUTE(SUBSTITUTE(TRIM(A1782&amp;""),CHAR(160),"")," ",""),"년",""))=4,VALUE(SUBSTITUTE(SUBSTITUTE(SUBSTITUTE(TRIM(A1782&amp;""),CHAR(160),"")," ",""),"년",""))&gt;=1900,VALUE(SUBSTITUTE(SUBSTITUTE(SUBSTITUTE(TRIM(A1782&amp;""),CHAR(160),"")," ",""),"년",""))&lt;=2099,TEXT(VALUE(SUBSTITUTE(SUBSTITUTE(SUBSTITUTE(TRIM(A1782&amp;""),CHAR(160),"")," ",""),"년","")),"0000")=SUBSTITUTE(SUBSTITUTE(SUBSTITUTE(TRIM(A1782&amp;""),CHAR(160),"")," ",""),"년","")),SUBSTITUTE(SUBSTITUTE(SUBSTITUTE(TRIM(A1782&amp;""),CHAR(160),"")," ",""),"년",""),""),"")</f>
      </c>
      <c r="I1782" t="str">
        <f>SUBSTITUTE(SUBSTITUTE(SUBSTITUTE(SUBSTITUTE(SUBSTITUTE(TRIM(B1782&amp;""),CHAR(160),"")," ",""),"초등학교","초"),"중학교","중"),"고등학교","고")</f>
      </c>
    </row>
    <row r="1783" customFormat="false" ht="15" hidden="false" customHeight="false" outlineLevel="0" collapsed="false">
      <c r="A1783" s="8"/>
      <c r="B1783" s="8"/>
      <c r="C1783" s="8"/>
      <c r="D1783" s="8"/>
      <c r="E1783" s="8"/>
      <c r="F1783" t="str" s="15">
        <f aca="0">IF(B1783="","",IF(H1783="","확인필요(입력누락)",IF(SUMPRODUCT((실물목록!$P$2:$P$1001&lt;&gt;"")*ISNUMBER(SEARCH(실물목록!$P$2:$P$1001,I1783))*(실물목록!$Q$2:$Q$1001&lt;&gt;"")*ISNUMBER(SEARCH(실물목록!$Q$2:$Q$1001,I1783))*(실물목록!$R$2:$R$1001="")*(실물목록!$O$2:$O$1001&lt;&gt;"")*(실물목록!$O$2:$O$1001=H1783))&gt;0,"실물 있음",IF(SUMPRODUCT((실물목록!$P$2:$P$1001&lt;&gt;"")*ISNUMBER(SEARCH(실물목록!$P$2:$P$1001,I1783))*(실물목록!$R$2:$R$1001&lt;&gt;""))&gt;0,"확인필요(입력누락)",IF(SUMPRODUCT((실물목록!$P$2:$P$1001&lt;&gt;"")*ISNUMBER(SEARCH(실물목록!$P$2:$P$1001,I1783))*(실물목록!$Q$2:$Q$1001&lt;&gt;"")*ISNUMBER(SEARCH(실물목록!$Q$2:$Q$1001,I1783))*(실물목록!$R$2:$R$1001="")*(실물목록!$O$2:$O$1001&lt;&gt;""))&gt;0,"확인필요(연도다름)","실물 없음")))))</f>
      </c>
      <c r="G1783" t="n" s="16">
        <f aca="0">IF(B1783="","",SUMPRODUCT((실물목록!$P$2:$P$1001&lt;&gt;"")*ISNUMBER(SEARCH(실물목록!$P$2:$P$1001,I1783))*(실물목록!$Q$2:$Q$1001&lt;&gt;"")*ISNUMBER(SEARCH(실물목록!$Q$2:$Q$1001,I1783))*(실물목록!$R$2:$R$1001="")*(실물목록!$O$2:$O$1001&lt;&gt;"")*(실물목록!$O$2:$O$1001=H1783)))</f>
      </c>
      <c r="H1783" t="str">
        <f>IFERROR(IF(AND(LEN(SUBSTITUTE(SUBSTITUTE(SUBSTITUTE(TRIM(A1783&amp;""),CHAR(160),"")," ",""),"년",""))=4,VALUE(SUBSTITUTE(SUBSTITUTE(SUBSTITUTE(TRIM(A1783&amp;""),CHAR(160),"")," ",""),"년",""))&gt;=1900,VALUE(SUBSTITUTE(SUBSTITUTE(SUBSTITUTE(TRIM(A1783&amp;""),CHAR(160),"")," ",""),"년",""))&lt;=2099,TEXT(VALUE(SUBSTITUTE(SUBSTITUTE(SUBSTITUTE(TRIM(A1783&amp;""),CHAR(160),"")," ",""),"년","")),"0000")=SUBSTITUTE(SUBSTITUTE(SUBSTITUTE(TRIM(A1783&amp;""),CHAR(160),"")," ",""),"년","")),SUBSTITUTE(SUBSTITUTE(SUBSTITUTE(TRIM(A1783&amp;""),CHAR(160),"")," ",""),"년",""),""),"")</f>
      </c>
      <c r="I1783" t="str">
        <f>SUBSTITUTE(SUBSTITUTE(SUBSTITUTE(SUBSTITUTE(SUBSTITUTE(TRIM(B1783&amp;""),CHAR(160),"")," ",""),"초등학교","초"),"중학교","중"),"고등학교","고")</f>
      </c>
    </row>
    <row r="1784" customFormat="false" ht="15" hidden="false" customHeight="false" outlineLevel="0" collapsed="false">
      <c r="A1784" s="8"/>
      <c r="B1784" s="8"/>
      <c r="C1784" s="8"/>
      <c r="D1784" s="8"/>
      <c r="E1784" s="8"/>
      <c r="F1784" t="str" s="15">
        <f aca="0">IF(B1784="","",IF(H1784="","확인필요(입력누락)",IF(SUMPRODUCT((실물목록!$P$2:$P$1001&lt;&gt;"")*ISNUMBER(SEARCH(실물목록!$P$2:$P$1001,I1784))*(실물목록!$Q$2:$Q$1001&lt;&gt;"")*ISNUMBER(SEARCH(실물목록!$Q$2:$Q$1001,I1784))*(실물목록!$R$2:$R$1001="")*(실물목록!$O$2:$O$1001&lt;&gt;"")*(실물목록!$O$2:$O$1001=H1784))&gt;0,"실물 있음",IF(SUMPRODUCT((실물목록!$P$2:$P$1001&lt;&gt;"")*ISNUMBER(SEARCH(실물목록!$P$2:$P$1001,I1784))*(실물목록!$R$2:$R$1001&lt;&gt;""))&gt;0,"확인필요(입력누락)",IF(SUMPRODUCT((실물목록!$P$2:$P$1001&lt;&gt;"")*ISNUMBER(SEARCH(실물목록!$P$2:$P$1001,I1784))*(실물목록!$Q$2:$Q$1001&lt;&gt;"")*ISNUMBER(SEARCH(실물목록!$Q$2:$Q$1001,I1784))*(실물목록!$R$2:$R$1001="")*(실물목록!$O$2:$O$1001&lt;&gt;""))&gt;0,"확인필요(연도다름)","실물 없음")))))</f>
      </c>
      <c r="G1784" t="n" s="16">
        <f aca="0">IF(B1784="","",SUMPRODUCT((실물목록!$P$2:$P$1001&lt;&gt;"")*ISNUMBER(SEARCH(실물목록!$P$2:$P$1001,I1784))*(실물목록!$Q$2:$Q$1001&lt;&gt;"")*ISNUMBER(SEARCH(실물목록!$Q$2:$Q$1001,I1784))*(실물목록!$R$2:$R$1001="")*(실물목록!$O$2:$O$1001&lt;&gt;"")*(실물목록!$O$2:$O$1001=H1784)))</f>
      </c>
      <c r="H1784" t="str">
        <f>IFERROR(IF(AND(LEN(SUBSTITUTE(SUBSTITUTE(SUBSTITUTE(TRIM(A1784&amp;""),CHAR(160),"")," ",""),"년",""))=4,VALUE(SUBSTITUTE(SUBSTITUTE(SUBSTITUTE(TRIM(A1784&amp;""),CHAR(160),"")," ",""),"년",""))&gt;=1900,VALUE(SUBSTITUTE(SUBSTITUTE(SUBSTITUTE(TRIM(A1784&amp;""),CHAR(160),"")," ",""),"년",""))&lt;=2099,TEXT(VALUE(SUBSTITUTE(SUBSTITUTE(SUBSTITUTE(TRIM(A1784&amp;""),CHAR(160),"")," ",""),"년","")),"0000")=SUBSTITUTE(SUBSTITUTE(SUBSTITUTE(TRIM(A1784&amp;""),CHAR(160),"")," ",""),"년","")),SUBSTITUTE(SUBSTITUTE(SUBSTITUTE(TRIM(A1784&amp;""),CHAR(160),"")," ",""),"년",""),""),"")</f>
      </c>
      <c r="I1784" t="str">
        <f>SUBSTITUTE(SUBSTITUTE(SUBSTITUTE(SUBSTITUTE(SUBSTITUTE(TRIM(B1784&amp;""),CHAR(160),"")," ",""),"초등학교","초"),"중학교","중"),"고등학교","고")</f>
      </c>
    </row>
    <row r="1785" customFormat="false" ht="15" hidden="false" customHeight="false" outlineLevel="0" collapsed="false">
      <c r="A1785" s="8"/>
      <c r="B1785" s="8"/>
      <c r="C1785" s="8"/>
      <c r="D1785" s="8"/>
      <c r="E1785" s="8"/>
      <c r="F1785" t="str" s="15">
        <f aca="0">IF(B1785="","",IF(H1785="","확인필요(입력누락)",IF(SUMPRODUCT((실물목록!$P$2:$P$1001&lt;&gt;"")*ISNUMBER(SEARCH(실물목록!$P$2:$P$1001,I1785))*(실물목록!$Q$2:$Q$1001&lt;&gt;"")*ISNUMBER(SEARCH(실물목록!$Q$2:$Q$1001,I1785))*(실물목록!$R$2:$R$1001="")*(실물목록!$O$2:$O$1001&lt;&gt;"")*(실물목록!$O$2:$O$1001=H1785))&gt;0,"실물 있음",IF(SUMPRODUCT((실물목록!$P$2:$P$1001&lt;&gt;"")*ISNUMBER(SEARCH(실물목록!$P$2:$P$1001,I1785))*(실물목록!$R$2:$R$1001&lt;&gt;""))&gt;0,"확인필요(입력누락)",IF(SUMPRODUCT((실물목록!$P$2:$P$1001&lt;&gt;"")*ISNUMBER(SEARCH(실물목록!$P$2:$P$1001,I1785))*(실물목록!$Q$2:$Q$1001&lt;&gt;"")*ISNUMBER(SEARCH(실물목록!$Q$2:$Q$1001,I1785))*(실물목록!$R$2:$R$1001="")*(실물목록!$O$2:$O$1001&lt;&gt;""))&gt;0,"확인필요(연도다름)","실물 없음")))))</f>
      </c>
      <c r="G1785" t="n" s="16">
        <f aca="0">IF(B1785="","",SUMPRODUCT((실물목록!$P$2:$P$1001&lt;&gt;"")*ISNUMBER(SEARCH(실물목록!$P$2:$P$1001,I1785))*(실물목록!$Q$2:$Q$1001&lt;&gt;"")*ISNUMBER(SEARCH(실물목록!$Q$2:$Q$1001,I1785))*(실물목록!$R$2:$R$1001="")*(실물목록!$O$2:$O$1001&lt;&gt;"")*(실물목록!$O$2:$O$1001=H1785)))</f>
      </c>
      <c r="H1785" t="str">
        <f>IFERROR(IF(AND(LEN(SUBSTITUTE(SUBSTITUTE(SUBSTITUTE(TRIM(A1785&amp;""),CHAR(160),"")," ",""),"년",""))=4,VALUE(SUBSTITUTE(SUBSTITUTE(SUBSTITUTE(TRIM(A1785&amp;""),CHAR(160),"")," ",""),"년",""))&gt;=1900,VALUE(SUBSTITUTE(SUBSTITUTE(SUBSTITUTE(TRIM(A1785&amp;""),CHAR(160),"")," ",""),"년",""))&lt;=2099,TEXT(VALUE(SUBSTITUTE(SUBSTITUTE(SUBSTITUTE(TRIM(A1785&amp;""),CHAR(160),"")," ",""),"년","")),"0000")=SUBSTITUTE(SUBSTITUTE(SUBSTITUTE(TRIM(A1785&amp;""),CHAR(160),"")," ",""),"년","")),SUBSTITUTE(SUBSTITUTE(SUBSTITUTE(TRIM(A1785&amp;""),CHAR(160),"")," ",""),"년",""),""),"")</f>
      </c>
      <c r="I1785" t="str">
        <f>SUBSTITUTE(SUBSTITUTE(SUBSTITUTE(SUBSTITUTE(SUBSTITUTE(TRIM(B1785&amp;""),CHAR(160),"")," ",""),"초등학교","초"),"중학교","중"),"고등학교","고")</f>
      </c>
    </row>
    <row r="1786" customFormat="false" ht="15" hidden="false" customHeight="false" outlineLevel="0" collapsed="false">
      <c r="A1786" s="8"/>
      <c r="B1786" s="8"/>
      <c r="C1786" s="8"/>
      <c r="D1786" s="8"/>
      <c r="E1786" s="8"/>
      <c r="F1786" t="str" s="15">
        <f aca="0">IF(B1786="","",IF(H1786="","확인필요(입력누락)",IF(SUMPRODUCT((실물목록!$P$2:$P$1001&lt;&gt;"")*ISNUMBER(SEARCH(실물목록!$P$2:$P$1001,I1786))*(실물목록!$Q$2:$Q$1001&lt;&gt;"")*ISNUMBER(SEARCH(실물목록!$Q$2:$Q$1001,I1786))*(실물목록!$R$2:$R$1001="")*(실물목록!$O$2:$O$1001&lt;&gt;"")*(실물목록!$O$2:$O$1001=H1786))&gt;0,"실물 있음",IF(SUMPRODUCT((실물목록!$P$2:$P$1001&lt;&gt;"")*ISNUMBER(SEARCH(실물목록!$P$2:$P$1001,I1786))*(실물목록!$R$2:$R$1001&lt;&gt;""))&gt;0,"확인필요(입력누락)",IF(SUMPRODUCT((실물목록!$P$2:$P$1001&lt;&gt;"")*ISNUMBER(SEARCH(실물목록!$P$2:$P$1001,I1786))*(실물목록!$Q$2:$Q$1001&lt;&gt;"")*ISNUMBER(SEARCH(실물목록!$Q$2:$Q$1001,I1786))*(실물목록!$R$2:$R$1001="")*(실물목록!$O$2:$O$1001&lt;&gt;""))&gt;0,"확인필요(연도다름)","실물 없음")))))</f>
      </c>
      <c r="G1786" t="n" s="16">
        <f aca="0">IF(B1786="","",SUMPRODUCT((실물목록!$P$2:$P$1001&lt;&gt;"")*ISNUMBER(SEARCH(실물목록!$P$2:$P$1001,I1786))*(실물목록!$Q$2:$Q$1001&lt;&gt;"")*ISNUMBER(SEARCH(실물목록!$Q$2:$Q$1001,I1786))*(실물목록!$R$2:$R$1001="")*(실물목록!$O$2:$O$1001&lt;&gt;"")*(실물목록!$O$2:$O$1001=H1786)))</f>
      </c>
      <c r="H1786" t="str">
        <f>IFERROR(IF(AND(LEN(SUBSTITUTE(SUBSTITUTE(SUBSTITUTE(TRIM(A1786&amp;""),CHAR(160),"")," ",""),"년",""))=4,VALUE(SUBSTITUTE(SUBSTITUTE(SUBSTITUTE(TRIM(A1786&amp;""),CHAR(160),"")," ",""),"년",""))&gt;=1900,VALUE(SUBSTITUTE(SUBSTITUTE(SUBSTITUTE(TRIM(A1786&amp;""),CHAR(160),"")," ",""),"년",""))&lt;=2099,TEXT(VALUE(SUBSTITUTE(SUBSTITUTE(SUBSTITUTE(TRIM(A1786&amp;""),CHAR(160),"")," ",""),"년","")),"0000")=SUBSTITUTE(SUBSTITUTE(SUBSTITUTE(TRIM(A1786&amp;""),CHAR(160),"")," ",""),"년","")),SUBSTITUTE(SUBSTITUTE(SUBSTITUTE(TRIM(A1786&amp;""),CHAR(160),"")," ",""),"년",""),""),"")</f>
      </c>
      <c r="I1786" t="str">
        <f>SUBSTITUTE(SUBSTITUTE(SUBSTITUTE(SUBSTITUTE(SUBSTITUTE(TRIM(B1786&amp;""),CHAR(160),"")," ",""),"초등학교","초"),"중학교","중"),"고등학교","고")</f>
      </c>
    </row>
    <row r="1787" customFormat="false" ht="15" hidden="false" customHeight="false" outlineLevel="0" collapsed="false">
      <c r="A1787" s="8"/>
      <c r="B1787" s="8"/>
      <c r="C1787" s="8"/>
      <c r="D1787" s="8"/>
      <c r="E1787" s="8"/>
      <c r="F1787" t="str" s="15">
        <f aca="0">IF(B1787="","",IF(H1787="","확인필요(입력누락)",IF(SUMPRODUCT((실물목록!$P$2:$P$1001&lt;&gt;"")*ISNUMBER(SEARCH(실물목록!$P$2:$P$1001,I1787))*(실물목록!$Q$2:$Q$1001&lt;&gt;"")*ISNUMBER(SEARCH(실물목록!$Q$2:$Q$1001,I1787))*(실물목록!$R$2:$R$1001="")*(실물목록!$O$2:$O$1001&lt;&gt;"")*(실물목록!$O$2:$O$1001=H1787))&gt;0,"실물 있음",IF(SUMPRODUCT((실물목록!$P$2:$P$1001&lt;&gt;"")*ISNUMBER(SEARCH(실물목록!$P$2:$P$1001,I1787))*(실물목록!$R$2:$R$1001&lt;&gt;""))&gt;0,"확인필요(입력누락)",IF(SUMPRODUCT((실물목록!$P$2:$P$1001&lt;&gt;"")*ISNUMBER(SEARCH(실물목록!$P$2:$P$1001,I1787))*(실물목록!$Q$2:$Q$1001&lt;&gt;"")*ISNUMBER(SEARCH(실물목록!$Q$2:$Q$1001,I1787))*(실물목록!$R$2:$R$1001="")*(실물목록!$O$2:$O$1001&lt;&gt;""))&gt;0,"확인필요(연도다름)","실물 없음")))))</f>
      </c>
      <c r="G1787" t="n" s="16">
        <f aca="0">IF(B1787="","",SUMPRODUCT((실물목록!$P$2:$P$1001&lt;&gt;"")*ISNUMBER(SEARCH(실물목록!$P$2:$P$1001,I1787))*(실물목록!$Q$2:$Q$1001&lt;&gt;"")*ISNUMBER(SEARCH(실물목록!$Q$2:$Q$1001,I1787))*(실물목록!$R$2:$R$1001="")*(실물목록!$O$2:$O$1001&lt;&gt;"")*(실물목록!$O$2:$O$1001=H1787)))</f>
      </c>
      <c r="H1787" t="str">
        <f>IFERROR(IF(AND(LEN(SUBSTITUTE(SUBSTITUTE(SUBSTITUTE(TRIM(A1787&amp;""),CHAR(160),"")," ",""),"년",""))=4,VALUE(SUBSTITUTE(SUBSTITUTE(SUBSTITUTE(TRIM(A1787&amp;""),CHAR(160),"")," ",""),"년",""))&gt;=1900,VALUE(SUBSTITUTE(SUBSTITUTE(SUBSTITUTE(TRIM(A1787&amp;""),CHAR(160),"")," ",""),"년",""))&lt;=2099,TEXT(VALUE(SUBSTITUTE(SUBSTITUTE(SUBSTITUTE(TRIM(A1787&amp;""),CHAR(160),"")," ",""),"년","")),"0000")=SUBSTITUTE(SUBSTITUTE(SUBSTITUTE(TRIM(A1787&amp;""),CHAR(160),"")," ",""),"년","")),SUBSTITUTE(SUBSTITUTE(SUBSTITUTE(TRIM(A1787&amp;""),CHAR(160),"")," ",""),"년",""),""),"")</f>
      </c>
      <c r="I1787" t="str">
        <f>SUBSTITUTE(SUBSTITUTE(SUBSTITUTE(SUBSTITUTE(SUBSTITUTE(TRIM(B1787&amp;""),CHAR(160),"")," ",""),"초등학교","초"),"중학교","중"),"고등학교","고")</f>
      </c>
    </row>
    <row r="1788" customFormat="false" ht="15" hidden="false" customHeight="false" outlineLevel="0" collapsed="false">
      <c r="A1788" s="8"/>
      <c r="B1788" s="8"/>
      <c r="C1788" s="8"/>
      <c r="D1788" s="8"/>
      <c r="E1788" s="8"/>
      <c r="F1788" t="str" s="15">
        <f aca="0">IF(B1788="","",IF(H1788="","확인필요(입력누락)",IF(SUMPRODUCT((실물목록!$P$2:$P$1001&lt;&gt;"")*ISNUMBER(SEARCH(실물목록!$P$2:$P$1001,I1788))*(실물목록!$Q$2:$Q$1001&lt;&gt;"")*ISNUMBER(SEARCH(실물목록!$Q$2:$Q$1001,I1788))*(실물목록!$R$2:$R$1001="")*(실물목록!$O$2:$O$1001&lt;&gt;"")*(실물목록!$O$2:$O$1001=H1788))&gt;0,"실물 있음",IF(SUMPRODUCT((실물목록!$P$2:$P$1001&lt;&gt;"")*ISNUMBER(SEARCH(실물목록!$P$2:$P$1001,I1788))*(실물목록!$R$2:$R$1001&lt;&gt;""))&gt;0,"확인필요(입력누락)",IF(SUMPRODUCT((실물목록!$P$2:$P$1001&lt;&gt;"")*ISNUMBER(SEARCH(실물목록!$P$2:$P$1001,I1788))*(실물목록!$Q$2:$Q$1001&lt;&gt;"")*ISNUMBER(SEARCH(실물목록!$Q$2:$Q$1001,I1788))*(실물목록!$R$2:$R$1001="")*(실물목록!$O$2:$O$1001&lt;&gt;""))&gt;0,"확인필요(연도다름)","실물 없음")))))</f>
      </c>
      <c r="G1788" t="n" s="16">
        <f aca="0">IF(B1788="","",SUMPRODUCT((실물목록!$P$2:$P$1001&lt;&gt;"")*ISNUMBER(SEARCH(실물목록!$P$2:$P$1001,I1788))*(실물목록!$Q$2:$Q$1001&lt;&gt;"")*ISNUMBER(SEARCH(실물목록!$Q$2:$Q$1001,I1788))*(실물목록!$R$2:$R$1001="")*(실물목록!$O$2:$O$1001&lt;&gt;"")*(실물목록!$O$2:$O$1001=H1788)))</f>
      </c>
      <c r="H1788" t="str">
        <f>IFERROR(IF(AND(LEN(SUBSTITUTE(SUBSTITUTE(SUBSTITUTE(TRIM(A1788&amp;""),CHAR(160),"")," ",""),"년",""))=4,VALUE(SUBSTITUTE(SUBSTITUTE(SUBSTITUTE(TRIM(A1788&amp;""),CHAR(160),"")," ",""),"년",""))&gt;=1900,VALUE(SUBSTITUTE(SUBSTITUTE(SUBSTITUTE(TRIM(A1788&amp;""),CHAR(160),"")," ",""),"년",""))&lt;=2099,TEXT(VALUE(SUBSTITUTE(SUBSTITUTE(SUBSTITUTE(TRIM(A1788&amp;""),CHAR(160),"")," ",""),"년","")),"0000")=SUBSTITUTE(SUBSTITUTE(SUBSTITUTE(TRIM(A1788&amp;""),CHAR(160),"")," ",""),"년","")),SUBSTITUTE(SUBSTITUTE(SUBSTITUTE(TRIM(A1788&amp;""),CHAR(160),"")," ",""),"년",""),""),"")</f>
      </c>
      <c r="I1788" t="str">
        <f>SUBSTITUTE(SUBSTITUTE(SUBSTITUTE(SUBSTITUTE(SUBSTITUTE(TRIM(B1788&amp;""),CHAR(160),"")," ",""),"초등학교","초"),"중학교","중"),"고등학교","고")</f>
      </c>
    </row>
    <row r="1789" customFormat="false" ht="15" hidden="false" customHeight="false" outlineLevel="0" collapsed="false">
      <c r="A1789" s="8"/>
      <c r="B1789" s="8"/>
      <c r="C1789" s="8"/>
      <c r="D1789" s="8"/>
      <c r="E1789" s="8"/>
      <c r="F1789" t="str" s="15">
        <f aca="0">IF(B1789="","",IF(H1789="","확인필요(입력누락)",IF(SUMPRODUCT((실물목록!$P$2:$P$1001&lt;&gt;"")*ISNUMBER(SEARCH(실물목록!$P$2:$P$1001,I1789))*(실물목록!$Q$2:$Q$1001&lt;&gt;"")*ISNUMBER(SEARCH(실물목록!$Q$2:$Q$1001,I1789))*(실물목록!$R$2:$R$1001="")*(실물목록!$O$2:$O$1001&lt;&gt;"")*(실물목록!$O$2:$O$1001=H1789))&gt;0,"실물 있음",IF(SUMPRODUCT((실물목록!$P$2:$P$1001&lt;&gt;"")*ISNUMBER(SEARCH(실물목록!$P$2:$P$1001,I1789))*(실물목록!$R$2:$R$1001&lt;&gt;""))&gt;0,"확인필요(입력누락)",IF(SUMPRODUCT((실물목록!$P$2:$P$1001&lt;&gt;"")*ISNUMBER(SEARCH(실물목록!$P$2:$P$1001,I1789))*(실물목록!$Q$2:$Q$1001&lt;&gt;"")*ISNUMBER(SEARCH(실물목록!$Q$2:$Q$1001,I1789))*(실물목록!$R$2:$R$1001="")*(실물목록!$O$2:$O$1001&lt;&gt;""))&gt;0,"확인필요(연도다름)","실물 없음")))))</f>
      </c>
      <c r="G1789" t="n" s="16">
        <f aca="0">IF(B1789="","",SUMPRODUCT((실물목록!$P$2:$P$1001&lt;&gt;"")*ISNUMBER(SEARCH(실물목록!$P$2:$P$1001,I1789))*(실물목록!$Q$2:$Q$1001&lt;&gt;"")*ISNUMBER(SEARCH(실물목록!$Q$2:$Q$1001,I1789))*(실물목록!$R$2:$R$1001="")*(실물목록!$O$2:$O$1001&lt;&gt;"")*(실물목록!$O$2:$O$1001=H1789)))</f>
      </c>
      <c r="H1789" t="str">
        <f>IFERROR(IF(AND(LEN(SUBSTITUTE(SUBSTITUTE(SUBSTITUTE(TRIM(A1789&amp;""),CHAR(160),"")," ",""),"년",""))=4,VALUE(SUBSTITUTE(SUBSTITUTE(SUBSTITUTE(TRIM(A1789&amp;""),CHAR(160),"")," ",""),"년",""))&gt;=1900,VALUE(SUBSTITUTE(SUBSTITUTE(SUBSTITUTE(TRIM(A1789&amp;""),CHAR(160),"")," ",""),"년",""))&lt;=2099,TEXT(VALUE(SUBSTITUTE(SUBSTITUTE(SUBSTITUTE(TRIM(A1789&amp;""),CHAR(160),"")," ",""),"년","")),"0000")=SUBSTITUTE(SUBSTITUTE(SUBSTITUTE(TRIM(A1789&amp;""),CHAR(160),"")," ",""),"년","")),SUBSTITUTE(SUBSTITUTE(SUBSTITUTE(TRIM(A1789&amp;""),CHAR(160),"")," ",""),"년",""),""),"")</f>
      </c>
      <c r="I1789" t="str">
        <f>SUBSTITUTE(SUBSTITUTE(SUBSTITUTE(SUBSTITUTE(SUBSTITUTE(TRIM(B1789&amp;""),CHAR(160),"")," ",""),"초등학교","초"),"중학교","중"),"고등학교","고")</f>
      </c>
    </row>
    <row r="1790" customFormat="false" ht="15" hidden="false" customHeight="false" outlineLevel="0" collapsed="false">
      <c r="A1790" s="8"/>
      <c r="B1790" s="8"/>
      <c r="C1790" s="8"/>
      <c r="D1790" s="8"/>
      <c r="E1790" s="8"/>
      <c r="F1790" t="str" s="15">
        <f aca="0">IF(B1790="","",IF(H1790="","확인필요(입력누락)",IF(SUMPRODUCT((실물목록!$P$2:$P$1001&lt;&gt;"")*ISNUMBER(SEARCH(실물목록!$P$2:$P$1001,I1790))*(실물목록!$Q$2:$Q$1001&lt;&gt;"")*ISNUMBER(SEARCH(실물목록!$Q$2:$Q$1001,I1790))*(실물목록!$R$2:$R$1001="")*(실물목록!$O$2:$O$1001&lt;&gt;"")*(실물목록!$O$2:$O$1001=H1790))&gt;0,"실물 있음",IF(SUMPRODUCT((실물목록!$P$2:$P$1001&lt;&gt;"")*ISNUMBER(SEARCH(실물목록!$P$2:$P$1001,I1790))*(실물목록!$R$2:$R$1001&lt;&gt;""))&gt;0,"확인필요(입력누락)",IF(SUMPRODUCT((실물목록!$P$2:$P$1001&lt;&gt;"")*ISNUMBER(SEARCH(실물목록!$P$2:$P$1001,I1790))*(실물목록!$Q$2:$Q$1001&lt;&gt;"")*ISNUMBER(SEARCH(실물목록!$Q$2:$Q$1001,I1790))*(실물목록!$R$2:$R$1001="")*(실물목록!$O$2:$O$1001&lt;&gt;""))&gt;0,"확인필요(연도다름)","실물 없음")))))</f>
      </c>
      <c r="G1790" t="n" s="16">
        <f aca="0">IF(B1790="","",SUMPRODUCT((실물목록!$P$2:$P$1001&lt;&gt;"")*ISNUMBER(SEARCH(실물목록!$P$2:$P$1001,I1790))*(실물목록!$Q$2:$Q$1001&lt;&gt;"")*ISNUMBER(SEARCH(실물목록!$Q$2:$Q$1001,I1790))*(실물목록!$R$2:$R$1001="")*(실물목록!$O$2:$O$1001&lt;&gt;"")*(실물목록!$O$2:$O$1001=H1790)))</f>
      </c>
      <c r="H1790" t="str">
        <f>IFERROR(IF(AND(LEN(SUBSTITUTE(SUBSTITUTE(SUBSTITUTE(TRIM(A1790&amp;""),CHAR(160),"")," ",""),"년",""))=4,VALUE(SUBSTITUTE(SUBSTITUTE(SUBSTITUTE(TRIM(A1790&amp;""),CHAR(160),"")," ",""),"년",""))&gt;=1900,VALUE(SUBSTITUTE(SUBSTITUTE(SUBSTITUTE(TRIM(A1790&amp;""),CHAR(160),"")," ",""),"년",""))&lt;=2099,TEXT(VALUE(SUBSTITUTE(SUBSTITUTE(SUBSTITUTE(TRIM(A1790&amp;""),CHAR(160),"")," ",""),"년","")),"0000")=SUBSTITUTE(SUBSTITUTE(SUBSTITUTE(TRIM(A1790&amp;""),CHAR(160),"")," ",""),"년","")),SUBSTITUTE(SUBSTITUTE(SUBSTITUTE(TRIM(A1790&amp;""),CHAR(160),"")," ",""),"년",""),""),"")</f>
      </c>
      <c r="I1790" t="str">
        <f>SUBSTITUTE(SUBSTITUTE(SUBSTITUTE(SUBSTITUTE(SUBSTITUTE(TRIM(B1790&amp;""),CHAR(160),"")," ",""),"초등학교","초"),"중학교","중"),"고등학교","고")</f>
      </c>
    </row>
    <row r="1791" customFormat="false" ht="15" hidden="false" customHeight="false" outlineLevel="0" collapsed="false">
      <c r="A1791" s="8"/>
      <c r="B1791" s="8"/>
      <c r="C1791" s="8"/>
      <c r="D1791" s="8"/>
      <c r="E1791" s="8"/>
      <c r="F1791" t="str" s="15">
        <f aca="0">IF(B1791="","",IF(H1791="","확인필요(입력누락)",IF(SUMPRODUCT((실물목록!$P$2:$P$1001&lt;&gt;"")*ISNUMBER(SEARCH(실물목록!$P$2:$P$1001,I1791))*(실물목록!$Q$2:$Q$1001&lt;&gt;"")*ISNUMBER(SEARCH(실물목록!$Q$2:$Q$1001,I1791))*(실물목록!$R$2:$R$1001="")*(실물목록!$O$2:$O$1001&lt;&gt;"")*(실물목록!$O$2:$O$1001=H1791))&gt;0,"실물 있음",IF(SUMPRODUCT((실물목록!$P$2:$P$1001&lt;&gt;"")*ISNUMBER(SEARCH(실물목록!$P$2:$P$1001,I1791))*(실물목록!$R$2:$R$1001&lt;&gt;""))&gt;0,"확인필요(입력누락)",IF(SUMPRODUCT((실물목록!$P$2:$P$1001&lt;&gt;"")*ISNUMBER(SEARCH(실물목록!$P$2:$P$1001,I1791))*(실물목록!$Q$2:$Q$1001&lt;&gt;"")*ISNUMBER(SEARCH(실물목록!$Q$2:$Q$1001,I1791))*(실물목록!$R$2:$R$1001="")*(실물목록!$O$2:$O$1001&lt;&gt;""))&gt;0,"확인필요(연도다름)","실물 없음")))))</f>
      </c>
      <c r="G1791" t="n" s="16">
        <f aca="0">IF(B1791="","",SUMPRODUCT((실물목록!$P$2:$P$1001&lt;&gt;"")*ISNUMBER(SEARCH(실물목록!$P$2:$P$1001,I1791))*(실물목록!$Q$2:$Q$1001&lt;&gt;"")*ISNUMBER(SEARCH(실물목록!$Q$2:$Q$1001,I1791))*(실물목록!$R$2:$R$1001="")*(실물목록!$O$2:$O$1001&lt;&gt;"")*(실물목록!$O$2:$O$1001=H1791)))</f>
      </c>
      <c r="H1791" t="str">
        <f>IFERROR(IF(AND(LEN(SUBSTITUTE(SUBSTITUTE(SUBSTITUTE(TRIM(A1791&amp;""),CHAR(160),"")," ",""),"년",""))=4,VALUE(SUBSTITUTE(SUBSTITUTE(SUBSTITUTE(TRIM(A1791&amp;""),CHAR(160),"")," ",""),"년",""))&gt;=1900,VALUE(SUBSTITUTE(SUBSTITUTE(SUBSTITUTE(TRIM(A1791&amp;""),CHAR(160),"")," ",""),"년",""))&lt;=2099,TEXT(VALUE(SUBSTITUTE(SUBSTITUTE(SUBSTITUTE(TRIM(A1791&amp;""),CHAR(160),"")," ",""),"년","")),"0000")=SUBSTITUTE(SUBSTITUTE(SUBSTITUTE(TRIM(A1791&amp;""),CHAR(160),"")," ",""),"년","")),SUBSTITUTE(SUBSTITUTE(SUBSTITUTE(TRIM(A1791&amp;""),CHAR(160),"")," ",""),"년",""),""),"")</f>
      </c>
      <c r="I1791" t="str">
        <f>SUBSTITUTE(SUBSTITUTE(SUBSTITUTE(SUBSTITUTE(SUBSTITUTE(TRIM(B1791&amp;""),CHAR(160),"")," ",""),"초등학교","초"),"중학교","중"),"고등학교","고")</f>
      </c>
    </row>
    <row r="1792" customFormat="false" ht="15" hidden="false" customHeight="false" outlineLevel="0" collapsed="false">
      <c r="A1792" s="8"/>
      <c r="B1792" s="8"/>
      <c r="C1792" s="8"/>
      <c r="D1792" s="8"/>
      <c r="E1792" s="8"/>
      <c r="F1792" t="str" s="15">
        <f aca="0">IF(B1792="","",IF(H1792="","확인필요(입력누락)",IF(SUMPRODUCT((실물목록!$P$2:$P$1001&lt;&gt;"")*ISNUMBER(SEARCH(실물목록!$P$2:$P$1001,I1792))*(실물목록!$Q$2:$Q$1001&lt;&gt;"")*ISNUMBER(SEARCH(실물목록!$Q$2:$Q$1001,I1792))*(실물목록!$R$2:$R$1001="")*(실물목록!$O$2:$O$1001&lt;&gt;"")*(실물목록!$O$2:$O$1001=H1792))&gt;0,"실물 있음",IF(SUMPRODUCT((실물목록!$P$2:$P$1001&lt;&gt;"")*ISNUMBER(SEARCH(실물목록!$P$2:$P$1001,I1792))*(실물목록!$R$2:$R$1001&lt;&gt;""))&gt;0,"확인필요(입력누락)",IF(SUMPRODUCT((실물목록!$P$2:$P$1001&lt;&gt;"")*ISNUMBER(SEARCH(실물목록!$P$2:$P$1001,I1792))*(실물목록!$Q$2:$Q$1001&lt;&gt;"")*ISNUMBER(SEARCH(실물목록!$Q$2:$Q$1001,I1792))*(실물목록!$R$2:$R$1001="")*(실물목록!$O$2:$O$1001&lt;&gt;""))&gt;0,"확인필요(연도다름)","실물 없음")))))</f>
      </c>
      <c r="G1792" t="n" s="16">
        <f aca="0">IF(B1792="","",SUMPRODUCT((실물목록!$P$2:$P$1001&lt;&gt;"")*ISNUMBER(SEARCH(실물목록!$P$2:$P$1001,I1792))*(실물목록!$Q$2:$Q$1001&lt;&gt;"")*ISNUMBER(SEARCH(실물목록!$Q$2:$Q$1001,I1792))*(실물목록!$R$2:$R$1001="")*(실물목록!$O$2:$O$1001&lt;&gt;"")*(실물목록!$O$2:$O$1001=H1792)))</f>
      </c>
      <c r="H1792" t="str">
        <f>IFERROR(IF(AND(LEN(SUBSTITUTE(SUBSTITUTE(SUBSTITUTE(TRIM(A1792&amp;""),CHAR(160),"")," ",""),"년",""))=4,VALUE(SUBSTITUTE(SUBSTITUTE(SUBSTITUTE(TRIM(A1792&amp;""),CHAR(160),"")," ",""),"년",""))&gt;=1900,VALUE(SUBSTITUTE(SUBSTITUTE(SUBSTITUTE(TRIM(A1792&amp;""),CHAR(160),"")," ",""),"년",""))&lt;=2099,TEXT(VALUE(SUBSTITUTE(SUBSTITUTE(SUBSTITUTE(TRIM(A1792&amp;""),CHAR(160),"")," ",""),"년","")),"0000")=SUBSTITUTE(SUBSTITUTE(SUBSTITUTE(TRIM(A1792&amp;""),CHAR(160),"")," ",""),"년","")),SUBSTITUTE(SUBSTITUTE(SUBSTITUTE(TRIM(A1792&amp;""),CHAR(160),"")," ",""),"년",""),""),"")</f>
      </c>
      <c r="I1792" t="str">
        <f>SUBSTITUTE(SUBSTITUTE(SUBSTITUTE(SUBSTITUTE(SUBSTITUTE(TRIM(B1792&amp;""),CHAR(160),"")," ",""),"초등학교","초"),"중학교","중"),"고등학교","고")</f>
      </c>
    </row>
    <row r="1793" customFormat="false" ht="15" hidden="false" customHeight="false" outlineLevel="0" collapsed="false">
      <c r="A1793" s="8"/>
      <c r="B1793" s="8"/>
      <c r="C1793" s="8"/>
      <c r="D1793" s="8"/>
      <c r="E1793" s="8"/>
      <c r="F1793" t="str" s="15">
        <f aca="0">IF(B1793="","",IF(H1793="","확인필요(입력누락)",IF(SUMPRODUCT((실물목록!$P$2:$P$1001&lt;&gt;"")*ISNUMBER(SEARCH(실물목록!$P$2:$P$1001,I1793))*(실물목록!$Q$2:$Q$1001&lt;&gt;"")*ISNUMBER(SEARCH(실물목록!$Q$2:$Q$1001,I1793))*(실물목록!$R$2:$R$1001="")*(실물목록!$O$2:$O$1001&lt;&gt;"")*(실물목록!$O$2:$O$1001=H1793))&gt;0,"실물 있음",IF(SUMPRODUCT((실물목록!$P$2:$P$1001&lt;&gt;"")*ISNUMBER(SEARCH(실물목록!$P$2:$P$1001,I1793))*(실물목록!$R$2:$R$1001&lt;&gt;""))&gt;0,"확인필요(입력누락)",IF(SUMPRODUCT((실물목록!$P$2:$P$1001&lt;&gt;"")*ISNUMBER(SEARCH(실물목록!$P$2:$P$1001,I1793))*(실물목록!$Q$2:$Q$1001&lt;&gt;"")*ISNUMBER(SEARCH(실물목록!$Q$2:$Q$1001,I1793))*(실물목록!$R$2:$R$1001="")*(실물목록!$O$2:$O$1001&lt;&gt;""))&gt;0,"확인필요(연도다름)","실물 없음")))))</f>
      </c>
      <c r="G1793" t="n" s="16">
        <f aca="0">IF(B1793="","",SUMPRODUCT((실물목록!$P$2:$P$1001&lt;&gt;"")*ISNUMBER(SEARCH(실물목록!$P$2:$P$1001,I1793))*(실물목록!$Q$2:$Q$1001&lt;&gt;"")*ISNUMBER(SEARCH(실물목록!$Q$2:$Q$1001,I1793))*(실물목록!$R$2:$R$1001="")*(실물목록!$O$2:$O$1001&lt;&gt;"")*(실물목록!$O$2:$O$1001=H1793)))</f>
      </c>
      <c r="H1793" t="str">
        <f>IFERROR(IF(AND(LEN(SUBSTITUTE(SUBSTITUTE(SUBSTITUTE(TRIM(A1793&amp;""),CHAR(160),"")," ",""),"년",""))=4,VALUE(SUBSTITUTE(SUBSTITUTE(SUBSTITUTE(TRIM(A1793&amp;""),CHAR(160),"")," ",""),"년",""))&gt;=1900,VALUE(SUBSTITUTE(SUBSTITUTE(SUBSTITUTE(TRIM(A1793&amp;""),CHAR(160),"")," ",""),"년",""))&lt;=2099,TEXT(VALUE(SUBSTITUTE(SUBSTITUTE(SUBSTITUTE(TRIM(A1793&amp;""),CHAR(160),"")," ",""),"년","")),"0000")=SUBSTITUTE(SUBSTITUTE(SUBSTITUTE(TRIM(A1793&amp;""),CHAR(160),"")," ",""),"년","")),SUBSTITUTE(SUBSTITUTE(SUBSTITUTE(TRIM(A1793&amp;""),CHAR(160),"")," ",""),"년",""),""),"")</f>
      </c>
      <c r="I1793" t="str">
        <f>SUBSTITUTE(SUBSTITUTE(SUBSTITUTE(SUBSTITUTE(SUBSTITUTE(TRIM(B1793&amp;""),CHAR(160),"")," ",""),"초등학교","초"),"중학교","중"),"고등학교","고")</f>
      </c>
    </row>
    <row r="1794" customFormat="false" ht="15" hidden="false" customHeight="false" outlineLevel="0" collapsed="false">
      <c r="A1794" s="8"/>
      <c r="B1794" s="8"/>
      <c r="C1794" s="8"/>
      <c r="D1794" s="8"/>
      <c r="E1794" s="8"/>
      <c r="F1794" t="str" s="15">
        <f aca="0">IF(B1794="","",IF(H1794="","확인필요(입력누락)",IF(SUMPRODUCT((실물목록!$P$2:$P$1001&lt;&gt;"")*ISNUMBER(SEARCH(실물목록!$P$2:$P$1001,I1794))*(실물목록!$Q$2:$Q$1001&lt;&gt;"")*ISNUMBER(SEARCH(실물목록!$Q$2:$Q$1001,I1794))*(실물목록!$R$2:$R$1001="")*(실물목록!$O$2:$O$1001&lt;&gt;"")*(실물목록!$O$2:$O$1001=H1794))&gt;0,"실물 있음",IF(SUMPRODUCT((실물목록!$P$2:$P$1001&lt;&gt;"")*ISNUMBER(SEARCH(실물목록!$P$2:$P$1001,I1794))*(실물목록!$R$2:$R$1001&lt;&gt;""))&gt;0,"확인필요(입력누락)",IF(SUMPRODUCT((실물목록!$P$2:$P$1001&lt;&gt;"")*ISNUMBER(SEARCH(실물목록!$P$2:$P$1001,I1794))*(실물목록!$Q$2:$Q$1001&lt;&gt;"")*ISNUMBER(SEARCH(실물목록!$Q$2:$Q$1001,I1794))*(실물목록!$R$2:$R$1001="")*(실물목록!$O$2:$O$1001&lt;&gt;""))&gt;0,"확인필요(연도다름)","실물 없음")))))</f>
      </c>
      <c r="G1794" t="n" s="16">
        <f aca="0">IF(B1794="","",SUMPRODUCT((실물목록!$P$2:$P$1001&lt;&gt;"")*ISNUMBER(SEARCH(실물목록!$P$2:$P$1001,I1794))*(실물목록!$Q$2:$Q$1001&lt;&gt;"")*ISNUMBER(SEARCH(실물목록!$Q$2:$Q$1001,I1794))*(실물목록!$R$2:$R$1001="")*(실물목록!$O$2:$O$1001&lt;&gt;"")*(실물목록!$O$2:$O$1001=H1794)))</f>
      </c>
      <c r="H1794" t="str">
        <f>IFERROR(IF(AND(LEN(SUBSTITUTE(SUBSTITUTE(SUBSTITUTE(TRIM(A1794&amp;""),CHAR(160),"")," ",""),"년",""))=4,VALUE(SUBSTITUTE(SUBSTITUTE(SUBSTITUTE(TRIM(A1794&amp;""),CHAR(160),"")," ",""),"년",""))&gt;=1900,VALUE(SUBSTITUTE(SUBSTITUTE(SUBSTITUTE(TRIM(A1794&amp;""),CHAR(160),"")," ",""),"년",""))&lt;=2099,TEXT(VALUE(SUBSTITUTE(SUBSTITUTE(SUBSTITUTE(TRIM(A1794&amp;""),CHAR(160),"")," ",""),"년","")),"0000")=SUBSTITUTE(SUBSTITUTE(SUBSTITUTE(TRIM(A1794&amp;""),CHAR(160),"")," ",""),"년","")),SUBSTITUTE(SUBSTITUTE(SUBSTITUTE(TRIM(A1794&amp;""),CHAR(160),"")," ",""),"년",""),""),"")</f>
      </c>
      <c r="I1794" t="str">
        <f>SUBSTITUTE(SUBSTITUTE(SUBSTITUTE(SUBSTITUTE(SUBSTITUTE(TRIM(B1794&amp;""),CHAR(160),"")," ",""),"초등학교","초"),"중학교","중"),"고등학교","고")</f>
      </c>
    </row>
    <row r="1795" customFormat="false" ht="15" hidden="false" customHeight="false" outlineLevel="0" collapsed="false">
      <c r="A1795" s="8"/>
      <c r="B1795" s="8"/>
      <c r="C1795" s="8"/>
      <c r="D1795" s="8"/>
      <c r="E1795" s="8"/>
      <c r="F1795" t="str" s="15">
        <f aca="0">IF(B1795="","",IF(H1795="","확인필요(입력누락)",IF(SUMPRODUCT((실물목록!$P$2:$P$1001&lt;&gt;"")*ISNUMBER(SEARCH(실물목록!$P$2:$P$1001,I1795))*(실물목록!$Q$2:$Q$1001&lt;&gt;"")*ISNUMBER(SEARCH(실물목록!$Q$2:$Q$1001,I1795))*(실물목록!$R$2:$R$1001="")*(실물목록!$O$2:$O$1001&lt;&gt;"")*(실물목록!$O$2:$O$1001=H1795))&gt;0,"실물 있음",IF(SUMPRODUCT((실물목록!$P$2:$P$1001&lt;&gt;"")*ISNUMBER(SEARCH(실물목록!$P$2:$P$1001,I1795))*(실물목록!$R$2:$R$1001&lt;&gt;""))&gt;0,"확인필요(입력누락)",IF(SUMPRODUCT((실물목록!$P$2:$P$1001&lt;&gt;"")*ISNUMBER(SEARCH(실물목록!$P$2:$P$1001,I1795))*(실물목록!$Q$2:$Q$1001&lt;&gt;"")*ISNUMBER(SEARCH(실물목록!$Q$2:$Q$1001,I1795))*(실물목록!$R$2:$R$1001="")*(실물목록!$O$2:$O$1001&lt;&gt;""))&gt;0,"확인필요(연도다름)","실물 없음")))))</f>
      </c>
      <c r="G1795" t="n" s="16">
        <f aca="0">IF(B1795="","",SUMPRODUCT((실물목록!$P$2:$P$1001&lt;&gt;"")*ISNUMBER(SEARCH(실물목록!$P$2:$P$1001,I1795))*(실물목록!$Q$2:$Q$1001&lt;&gt;"")*ISNUMBER(SEARCH(실물목록!$Q$2:$Q$1001,I1795))*(실물목록!$R$2:$R$1001="")*(실물목록!$O$2:$O$1001&lt;&gt;"")*(실물목록!$O$2:$O$1001=H1795)))</f>
      </c>
      <c r="H1795" t="str">
        <f>IFERROR(IF(AND(LEN(SUBSTITUTE(SUBSTITUTE(SUBSTITUTE(TRIM(A1795&amp;""),CHAR(160),"")," ",""),"년",""))=4,VALUE(SUBSTITUTE(SUBSTITUTE(SUBSTITUTE(TRIM(A1795&amp;""),CHAR(160),"")," ",""),"년",""))&gt;=1900,VALUE(SUBSTITUTE(SUBSTITUTE(SUBSTITUTE(TRIM(A1795&amp;""),CHAR(160),"")," ",""),"년",""))&lt;=2099,TEXT(VALUE(SUBSTITUTE(SUBSTITUTE(SUBSTITUTE(TRIM(A1795&amp;""),CHAR(160),"")," ",""),"년","")),"0000")=SUBSTITUTE(SUBSTITUTE(SUBSTITUTE(TRIM(A1795&amp;""),CHAR(160),"")," ",""),"년","")),SUBSTITUTE(SUBSTITUTE(SUBSTITUTE(TRIM(A1795&amp;""),CHAR(160),"")," ",""),"년",""),""),"")</f>
      </c>
      <c r="I1795" t="str">
        <f>SUBSTITUTE(SUBSTITUTE(SUBSTITUTE(SUBSTITUTE(SUBSTITUTE(TRIM(B1795&amp;""),CHAR(160),"")," ",""),"초등학교","초"),"중학교","중"),"고등학교","고")</f>
      </c>
    </row>
    <row r="1796" customFormat="false" ht="15" hidden="false" customHeight="false" outlineLevel="0" collapsed="false">
      <c r="A1796" s="8"/>
      <c r="B1796" s="8"/>
      <c r="C1796" s="8"/>
      <c r="D1796" s="8"/>
      <c r="E1796" s="8"/>
      <c r="F1796" t="str" s="15">
        <f aca="0">IF(B1796="","",IF(H1796="","확인필요(입력누락)",IF(SUMPRODUCT((실물목록!$P$2:$P$1001&lt;&gt;"")*ISNUMBER(SEARCH(실물목록!$P$2:$P$1001,I1796))*(실물목록!$Q$2:$Q$1001&lt;&gt;"")*ISNUMBER(SEARCH(실물목록!$Q$2:$Q$1001,I1796))*(실물목록!$R$2:$R$1001="")*(실물목록!$O$2:$O$1001&lt;&gt;"")*(실물목록!$O$2:$O$1001=H1796))&gt;0,"실물 있음",IF(SUMPRODUCT((실물목록!$P$2:$P$1001&lt;&gt;"")*ISNUMBER(SEARCH(실물목록!$P$2:$P$1001,I1796))*(실물목록!$R$2:$R$1001&lt;&gt;""))&gt;0,"확인필요(입력누락)",IF(SUMPRODUCT((실물목록!$P$2:$P$1001&lt;&gt;"")*ISNUMBER(SEARCH(실물목록!$P$2:$P$1001,I1796))*(실물목록!$Q$2:$Q$1001&lt;&gt;"")*ISNUMBER(SEARCH(실물목록!$Q$2:$Q$1001,I1796))*(실물목록!$R$2:$R$1001="")*(실물목록!$O$2:$O$1001&lt;&gt;""))&gt;0,"확인필요(연도다름)","실물 없음")))))</f>
      </c>
      <c r="G1796" t="n" s="16">
        <f aca="0">IF(B1796="","",SUMPRODUCT((실물목록!$P$2:$P$1001&lt;&gt;"")*ISNUMBER(SEARCH(실물목록!$P$2:$P$1001,I1796))*(실물목록!$Q$2:$Q$1001&lt;&gt;"")*ISNUMBER(SEARCH(실물목록!$Q$2:$Q$1001,I1796))*(실물목록!$R$2:$R$1001="")*(실물목록!$O$2:$O$1001&lt;&gt;"")*(실물목록!$O$2:$O$1001=H1796)))</f>
      </c>
      <c r="H1796" t="str">
        <f>IFERROR(IF(AND(LEN(SUBSTITUTE(SUBSTITUTE(SUBSTITUTE(TRIM(A1796&amp;""),CHAR(160),"")," ",""),"년",""))=4,VALUE(SUBSTITUTE(SUBSTITUTE(SUBSTITUTE(TRIM(A1796&amp;""),CHAR(160),"")," ",""),"년",""))&gt;=1900,VALUE(SUBSTITUTE(SUBSTITUTE(SUBSTITUTE(TRIM(A1796&amp;""),CHAR(160),"")," ",""),"년",""))&lt;=2099,TEXT(VALUE(SUBSTITUTE(SUBSTITUTE(SUBSTITUTE(TRIM(A1796&amp;""),CHAR(160),"")," ",""),"년","")),"0000")=SUBSTITUTE(SUBSTITUTE(SUBSTITUTE(TRIM(A1796&amp;""),CHAR(160),"")," ",""),"년","")),SUBSTITUTE(SUBSTITUTE(SUBSTITUTE(TRIM(A1796&amp;""),CHAR(160),"")," ",""),"년",""),""),"")</f>
      </c>
      <c r="I1796" t="str">
        <f>SUBSTITUTE(SUBSTITUTE(SUBSTITUTE(SUBSTITUTE(SUBSTITUTE(TRIM(B1796&amp;""),CHAR(160),"")," ",""),"초등학교","초"),"중학교","중"),"고등학교","고")</f>
      </c>
    </row>
    <row r="1797" customFormat="false" ht="15" hidden="false" customHeight="false" outlineLevel="0" collapsed="false">
      <c r="A1797" s="8"/>
      <c r="B1797" s="8"/>
      <c r="C1797" s="8"/>
      <c r="D1797" s="8"/>
      <c r="E1797" s="8"/>
      <c r="F1797" t="str" s="15">
        <f aca="0">IF(B1797="","",IF(H1797="","확인필요(입력누락)",IF(SUMPRODUCT((실물목록!$P$2:$P$1001&lt;&gt;"")*ISNUMBER(SEARCH(실물목록!$P$2:$P$1001,I1797))*(실물목록!$Q$2:$Q$1001&lt;&gt;"")*ISNUMBER(SEARCH(실물목록!$Q$2:$Q$1001,I1797))*(실물목록!$R$2:$R$1001="")*(실물목록!$O$2:$O$1001&lt;&gt;"")*(실물목록!$O$2:$O$1001=H1797))&gt;0,"실물 있음",IF(SUMPRODUCT((실물목록!$P$2:$P$1001&lt;&gt;"")*ISNUMBER(SEARCH(실물목록!$P$2:$P$1001,I1797))*(실물목록!$R$2:$R$1001&lt;&gt;""))&gt;0,"확인필요(입력누락)",IF(SUMPRODUCT((실물목록!$P$2:$P$1001&lt;&gt;"")*ISNUMBER(SEARCH(실물목록!$P$2:$P$1001,I1797))*(실물목록!$Q$2:$Q$1001&lt;&gt;"")*ISNUMBER(SEARCH(실물목록!$Q$2:$Q$1001,I1797))*(실물목록!$R$2:$R$1001="")*(실물목록!$O$2:$O$1001&lt;&gt;""))&gt;0,"확인필요(연도다름)","실물 없음")))))</f>
      </c>
      <c r="G1797" t="n" s="16">
        <f aca="0">IF(B1797="","",SUMPRODUCT((실물목록!$P$2:$P$1001&lt;&gt;"")*ISNUMBER(SEARCH(실물목록!$P$2:$P$1001,I1797))*(실물목록!$Q$2:$Q$1001&lt;&gt;"")*ISNUMBER(SEARCH(실물목록!$Q$2:$Q$1001,I1797))*(실물목록!$R$2:$R$1001="")*(실물목록!$O$2:$O$1001&lt;&gt;"")*(실물목록!$O$2:$O$1001=H1797)))</f>
      </c>
      <c r="H1797" t="str">
        <f>IFERROR(IF(AND(LEN(SUBSTITUTE(SUBSTITUTE(SUBSTITUTE(TRIM(A1797&amp;""),CHAR(160),"")," ",""),"년",""))=4,VALUE(SUBSTITUTE(SUBSTITUTE(SUBSTITUTE(TRIM(A1797&amp;""),CHAR(160),"")," ",""),"년",""))&gt;=1900,VALUE(SUBSTITUTE(SUBSTITUTE(SUBSTITUTE(TRIM(A1797&amp;""),CHAR(160),"")," ",""),"년",""))&lt;=2099,TEXT(VALUE(SUBSTITUTE(SUBSTITUTE(SUBSTITUTE(TRIM(A1797&amp;""),CHAR(160),"")," ",""),"년","")),"0000")=SUBSTITUTE(SUBSTITUTE(SUBSTITUTE(TRIM(A1797&amp;""),CHAR(160),"")," ",""),"년","")),SUBSTITUTE(SUBSTITUTE(SUBSTITUTE(TRIM(A1797&amp;""),CHAR(160),"")," ",""),"년",""),""),"")</f>
      </c>
      <c r="I1797" t="str">
        <f>SUBSTITUTE(SUBSTITUTE(SUBSTITUTE(SUBSTITUTE(SUBSTITUTE(TRIM(B1797&amp;""),CHAR(160),"")," ",""),"초등학교","초"),"중학교","중"),"고등학교","고")</f>
      </c>
    </row>
    <row r="1798" customFormat="false" ht="15" hidden="false" customHeight="false" outlineLevel="0" collapsed="false">
      <c r="A1798" s="8"/>
      <c r="B1798" s="8"/>
      <c r="C1798" s="8"/>
      <c r="D1798" s="8"/>
      <c r="E1798" s="8"/>
      <c r="F1798" t="str" s="15">
        <f aca="0">IF(B1798="","",IF(H1798="","확인필요(입력누락)",IF(SUMPRODUCT((실물목록!$P$2:$P$1001&lt;&gt;"")*ISNUMBER(SEARCH(실물목록!$P$2:$P$1001,I1798))*(실물목록!$Q$2:$Q$1001&lt;&gt;"")*ISNUMBER(SEARCH(실물목록!$Q$2:$Q$1001,I1798))*(실물목록!$R$2:$R$1001="")*(실물목록!$O$2:$O$1001&lt;&gt;"")*(실물목록!$O$2:$O$1001=H1798))&gt;0,"실물 있음",IF(SUMPRODUCT((실물목록!$P$2:$P$1001&lt;&gt;"")*ISNUMBER(SEARCH(실물목록!$P$2:$P$1001,I1798))*(실물목록!$R$2:$R$1001&lt;&gt;""))&gt;0,"확인필요(입력누락)",IF(SUMPRODUCT((실물목록!$P$2:$P$1001&lt;&gt;"")*ISNUMBER(SEARCH(실물목록!$P$2:$P$1001,I1798))*(실물목록!$Q$2:$Q$1001&lt;&gt;"")*ISNUMBER(SEARCH(실물목록!$Q$2:$Q$1001,I1798))*(실물목록!$R$2:$R$1001="")*(실물목록!$O$2:$O$1001&lt;&gt;""))&gt;0,"확인필요(연도다름)","실물 없음")))))</f>
      </c>
      <c r="G1798" t="n" s="16">
        <f aca="0">IF(B1798="","",SUMPRODUCT((실물목록!$P$2:$P$1001&lt;&gt;"")*ISNUMBER(SEARCH(실물목록!$P$2:$P$1001,I1798))*(실물목록!$Q$2:$Q$1001&lt;&gt;"")*ISNUMBER(SEARCH(실물목록!$Q$2:$Q$1001,I1798))*(실물목록!$R$2:$R$1001="")*(실물목록!$O$2:$O$1001&lt;&gt;"")*(실물목록!$O$2:$O$1001=H1798)))</f>
      </c>
      <c r="H1798" t="str">
        <f>IFERROR(IF(AND(LEN(SUBSTITUTE(SUBSTITUTE(SUBSTITUTE(TRIM(A1798&amp;""),CHAR(160),"")," ",""),"년",""))=4,VALUE(SUBSTITUTE(SUBSTITUTE(SUBSTITUTE(TRIM(A1798&amp;""),CHAR(160),"")," ",""),"년",""))&gt;=1900,VALUE(SUBSTITUTE(SUBSTITUTE(SUBSTITUTE(TRIM(A1798&amp;""),CHAR(160),"")," ",""),"년",""))&lt;=2099,TEXT(VALUE(SUBSTITUTE(SUBSTITUTE(SUBSTITUTE(TRIM(A1798&amp;""),CHAR(160),"")," ",""),"년","")),"0000")=SUBSTITUTE(SUBSTITUTE(SUBSTITUTE(TRIM(A1798&amp;""),CHAR(160),"")," ",""),"년","")),SUBSTITUTE(SUBSTITUTE(SUBSTITUTE(TRIM(A1798&amp;""),CHAR(160),"")," ",""),"년",""),""),"")</f>
      </c>
      <c r="I1798" t="str">
        <f>SUBSTITUTE(SUBSTITUTE(SUBSTITUTE(SUBSTITUTE(SUBSTITUTE(TRIM(B1798&amp;""),CHAR(160),"")," ",""),"초등학교","초"),"중학교","중"),"고등학교","고")</f>
      </c>
    </row>
    <row r="1799" customFormat="false" ht="15" hidden="false" customHeight="false" outlineLevel="0" collapsed="false">
      <c r="A1799" s="8"/>
      <c r="B1799" s="8"/>
      <c r="C1799" s="8"/>
      <c r="D1799" s="8"/>
      <c r="E1799" s="8"/>
      <c r="F1799" t="str" s="15">
        <f aca="0">IF(B1799="","",IF(H1799="","확인필요(입력누락)",IF(SUMPRODUCT((실물목록!$P$2:$P$1001&lt;&gt;"")*ISNUMBER(SEARCH(실물목록!$P$2:$P$1001,I1799))*(실물목록!$Q$2:$Q$1001&lt;&gt;"")*ISNUMBER(SEARCH(실물목록!$Q$2:$Q$1001,I1799))*(실물목록!$R$2:$R$1001="")*(실물목록!$O$2:$O$1001&lt;&gt;"")*(실물목록!$O$2:$O$1001=H1799))&gt;0,"실물 있음",IF(SUMPRODUCT((실물목록!$P$2:$P$1001&lt;&gt;"")*ISNUMBER(SEARCH(실물목록!$P$2:$P$1001,I1799))*(실물목록!$R$2:$R$1001&lt;&gt;""))&gt;0,"확인필요(입력누락)",IF(SUMPRODUCT((실물목록!$P$2:$P$1001&lt;&gt;"")*ISNUMBER(SEARCH(실물목록!$P$2:$P$1001,I1799))*(실물목록!$Q$2:$Q$1001&lt;&gt;"")*ISNUMBER(SEARCH(실물목록!$Q$2:$Q$1001,I1799))*(실물목록!$R$2:$R$1001="")*(실물목록!$O$2:$O$1001&lt;&gt;""))&gt;0,"확인필요(연도다름)","실물 없음")))))</f>
      </c>
      <c r="G1799" t="n" s="16">
        <f aca="0">IF(B1799="","",SUMPRODUCT((실물목록!$P$2:$P$1001&lt;&gt;"")*ISNUMBER(SEARCH(실물목록!$P$2:$P$1001,I1799))*(실물목록!$Q$2:$Q$1001&lt;&gt;"")*ISNUMBER(SEARCH(실물목록!$Q$2:$Q$1001,I1799))*(실물목록!$R$2:$R$1001="")*(실물목록!$O$2:$O$1001&lt;&gt;"")*(실물목록!$O$2:$O$1001=H1799)))</f>
      </c>
      <c r="H1799" t="str">
        <f>IFERROR(IF(AND(LEN(SUBSTITUTE(SUBSTITUTE(SUBSTITUTE(TRIM(A1799&amp;""),CHAR(160),"")," ",""),"년",""))=4,VALUE(SUBSTITUTE(SUBSTITUTE(SUBSTITUTE(TRIM(A1799&amp;""),CHAR(160),"")," ",""),"년",""))&gt;=1900,VALUE(SUBSTITUTE(SUBSTITUTE(SUBSTITUTE(TRIM(A1799&amp;""),CHAR(160),"")," ",""),"년",""))&lt;=2099,TEXT(VALUE(SUBSTITUTE(SUBSTITUTE(SUBSTITUTE(TRIM(A1799&amp;""),CHAR(160),"")," ",""),"년","")),"0000")=SUBSTITUTE(SUBSTITUTE(SUBSTITUTE(TRIM(A1799&amp;""),CHAR(160),"")," ",""),"년","")),SUBSTITUTE(SUBSTITUTE(SUBSTITUTE(TRIM(A1799&amp;""),CHAR(160),"")," ",""),"년",""),""),"")</f>
      </c>
      <c r="I1799" t="str">
        <f>SUBSTITUTE(SUBSTITUTE(SUBSTITUTE(SUBSTITUTE(SUBSTITUTE(TRIM(B1799&amp;""),CHAR(160),"")," ",""),"초등학교","초"),"중학교","중"),"고등학교","고")</f>
      </c>
    </row>
    <row r="1800" customFormat="false" ht="15" hidden="false" customHeight="false" outlineLevel="0" collapsed="false">
      <c r="A1800" s="8"/>
      <c r="B1800" s="8"/>
      <c r="C1800" s="8"/>
      <c r="D1800" s="8"/>
      <c r="E1800" s="8"/>
      <c r="F1800" t="str" s="15">
        <f aca="0">IF(B1800="","",IF(H1800="","확인필요(입력누락)",IF(SUMPRODUCT((실물목록!$P$2:$P$1001&lt;&gt;"")*ISNUMBER(SEARCH(실물목록!$P$2:$P$1001,I1800))*(실물목록!$Q$2:$Q$1001&lt;&gt;"")*ISNUMBER(SEARCH(실물목록!$Q$2:$Q$1001,I1800))*(실물목록!$R$2:$R$1001="")*(실물목록!$O$2:$O$1001&lt;&gt;"")*(실물목록!$O$2:$O$1001=H1800))&gt;0,"실물 있음",IF(SUMPRODUCT((실물목록!$P$2:$P$1001&lt;&gt;"")*ISNUMBER(SEARCH(실물목록!$P$2:$P$1001,I1800))*(실물목록!$R$2:$R$1001&lt;&gt;""))&gt;0,"확인필요(입력누락)",IF(SUMPRODUCT((실물목록!$P$2:$P$1001&lt;&gt;"")*ISNUMBER(SEARCH(실물목록!$P$2:$P$1001,I1800))*(실물목록!$Q$2:$Q$1001&lt;&gt;"")*ISNUMBER(SEARCH(실물목록!$Q$2:$Q$1001,I1800))*(실물목록!$R$2:$R$1001="")*(실물목록!$O$2:$O$1001&lt;&gt;""))&gt;0,"확인필요(연도다름)","실물 없음")))))</f>
      </c>
      <c r="G1800" t="n" s="16">
        <f aca="0">IF(B1800="","",SUMPRODUCT((실물목록!$P$2:$P$1001&lt;&gt;"")*ISNUMBER(SEARCH(실물목록!$P$2:$P$1001,I1800))*(실물목록!$Q$2:$Q$1001&lt;&gt;"")*ISNUMBER(SEARCH(실물목록!$Q$2:$Q$1001,I1800))*(실물목록!$R$2:$R$1001="")*(실물목록!$O$2:$O$1001&lt;&gt;"")*(실물목록!$O$2:$O$1001=H1800)))</f>
      </c>
      <c r="H1800" t="str">
        <f>IFERROR(IF(AND(LEN(SUBSTITUTE(SUBSTITUTE(SUBSTITUTE(TRIM(A1800&amp;""),CHAR(160),"")," ",""),"년",""))=4,VALUE(SUBSTITUTE(SUBSTITUTE(SUBSTITUTE(TRIM(A1800&amp;""),CHAR(160),"")," ",""),"년",""))&gt;=1900,VALUE(SUBSTITUTE(SUBSTITUTE(SUBSTITUTE(TRIM(A1800&amp;""),CHAR(160),"")," ",""),"년",""))&lt;=2099,TEXT(VALUE(SUBSTITUTE(SUBSTITUTE(SUBSTITUTE(TRIM(A1800&amp;""),CHAR(160),"")," ",""),"년","")),"0000")=SUBSTITUTE(SUBSTITUTE(SUBSTITUTE(TRIM(A1800&amp;""),CHAR(160),"")," ",""),"년","")),SUBSTITUTE(SUBSTITUTE(SUBSTITUTE(TRIM(A1800&amp;""),CHAR(160),"")," ",""),"년",""),""),"")</f>
      </c>
      <c r="I1800" t="str">
        <f>SUBSTITUTE(SUBSTITUTE(SUBSTITUTE(SUBSTITUTE(SUBSTITUTE(TRIM(B1800&amp;""),CHAR(160),"")," ",""),"초등학교","초"),"중학교","중"),"고등학교","고")</f>
      </c>
    </row>
    <row r="1801" customFormat="false" ht="15" hidden="false" customHeight="false" outlineLevel="0" collapsed="false">
      <c r="A1801" s="8"/>
      <c r="B1801" s="8"/>
      <c r="C1801" s="8"/>
      <c r="D1801" s="8"/>
      <c r="E1801" s="8"/>
      <c r="F1801" t="str" s="15">
        <f aca="0">IF(B1801="","",IF(H1801="","확인필요(입력누락)",IF(SUMPRODUCT((실물목록!$P$2:$P$1001&lt;&gt;"")*ISNUMBER(SEARCH(실물목록!$P$2:$P$1001,I1801))*(실물목록!$Q$2:$Q$1001&lt;&gt;"")*ISNUMBER(SEARCH(실물목록!$Q$2:$Q$1001,I1801))*(실물목록!$R$2:$R$1001="")*(실물목록!$O$2:$O$1001&lt;&gt;"")*(실물목록!$O$2:$O$1001=H1801))&gt;0,"실물 있음",IF(SUMPRODUCT((실물목록!$P$2:$P$1001&lt;&gt;"")*ISNUMBER(SEARCH(실물목록!$P$2:$P$1001,I1801))*(실물목록!$R$2:$R$1001&lt;&gt;""))&gt;0,"확인필요(입력누락)",IF(SUMPRODUCT((실물목록!$P$2:$P$1001&lt;&gt;"")*ISNUMBER(SEARCH(실물목록!$P$2:$P$1001,I1801))*(실물목록!$Q$2:$Q$1001&lt;&gt;"")*ISNUMBER(SEARCH(실물목록!$Q$2:$Q$1001,I1801))*(실물목록!$R$2:$R$1001="")*(실물목록!$O$2:$O$1001&lt;&gt;""))&gt;0,"확인필요(연도다름)","실물 없음")))))</f>
      </c>
      <c r="G1801" t="n" s="16">
        <f aca="0">IF(B1801="","",SUMPRODUCT((실물목록!$P$2:$P$1001&lt;&gt;"")*ISNUMBER(SEARCH(실물목록!$P$2:$P$1001,I1801))*(실물목록!$Q$2:$Q$1001&lt;&gt;"")*ISNUMBER(SEARCH(실물목록!$Q$2:$Q$1001,I1801))*(실물목록!$R$2:$R$1001="")*(실물목록!$O$2:$O$1001&lt;&gt;"")*(실물목록!$O$2:$O$1001=H1801)))</f>
      </c>
      <c r="H1801" t="str">
        <f>IFERROR(IF(AND(LEN(SUBSTITUTE(SUBSTITUTE(SUBSTITUTE(TRIM(A1801&amp;""),CHAR(160),"")," ",""),"년",""))=4,VALUE(SUBSTITUTE(SUBSTITUTE(SUBSTITUTE(TRIM(A1801&amp;""),CHAR(160),"")," ",""),"년",""))&gt;=1900,VALUE(SUBSTITUTE(SUBSTITUTE(SUBSTITUTE(TRIM(A1801&amp;""),CHAR(160),"")," ",""),"년",""))&lt;=2099,TEXT(VALUE(SUBSTITUTE(SUBSTITUTE(SUBSTITUTE(TRIM(A1801&amp;""),CHAR(160),"")," ",""),"년","")),"0000")=SUBSTITUTE(SUBSTITUTE(SUBSTITUTE(TRIM(A1801&amp;""),CHAR(160),"")," ",""),"년","")),SUBSTITUTE(SUBSTITUTE(SUBSTITUTE(TRIM(A1801&amp;""),CHAR(160),"")," ",""),"년",""),""),"")</f>
      </c>
      <c r="I1801" t="str">
        <f>SUBSTITUTE(SUBSTITUTE(SUBSTITUTE(SUBSTITUTE(SUBSTITUTE(TRIM(B1801&amp;""),CHAR(160),"")," ",""),"초등학교","초"),"중학교","중"),"고등학교","고")</f>
      </c>
    </row>
    <row r="1802" customFormat="false" ht="15" hidden="false" customHeight="false" outlineLevel="0" collapsed="false">
      <c r="A1802" s="8"/>
      <c r="B1802" s="8"/>
      <c r="C1802" s="8"/>
      <c r="D1802" s="8"/>
      <c r="E1802" s="8"/>
      <c r="F1802" t="str" s="15">
        <f aca="0">IF(B1802="","",IF(H1802="","확인필요(입력누락)",IF(SUMPRODUCT((실물목록!$P$2:$P$1001&lt;&gt;"")*ISNUMBER(SEARCH(실물목록!$P$2:$P$1001,I1802))*(실물목록!$Q$2:$Q$1001&lt;&gt;"")*ISNUMBER(SEARCH(실물목록!$Q$2:$Q$1001,I1802))*(실물목록!$R$2:$R$1001="")*(실물목록!$O$2:$O$1001&lt;&gt;"")*(실물목록!$O$2:$O$1001=H1802))&gt;0,"실물 있음",IF(SUMPRODUCT((실물목록!$P$2:$P$1001&lt;&gt;"")*ISNUMBER(SEARCH(실물목록!$P$2:$P$1001,I1802))*(실물목록!$R$2:$R$1001&lt;&gt;""))&gt;0,"확인필요(입력누락)",IF(SUMPRODUCT((실물목록!$P$2:$P$1001&lt;&gt;"")*ISNUMBER(SEARCH(실물목록!$P$2:$P$1001,I1802))*(실물목록!$Q$2:$Q$1001&lt;&gt;"")*ISNUMBER(SEARCH(실물목록!$Q$2:$Q$1001,I1802))*(실물목록!$R$2:$R$1001="")*(실물목록!$O$2:$O$1001&lt;&gt;""))&gt;0,"확인필요(연도다름)","실물 없음")))))</f>
      </c>
      <c r="G1802" t="n" s="16">
        <f aca="0">IF(B1802="","",SUMPRODUCT((실물목록!$P$2:$P$1001&lt;&gt;"")*ISNUMBER(SEARCH(실물목록!$P$2:$P$1001,I1802))*(실물목록!$Q$2:$Q$1001&lt;&gt;"")*ISNUMBER(SEARCH(실물목록!$Q$2:$Q$1001,I1802))*(실물목록!$R$2:$R$1001="")*(실물목록!$O$2:$O$1001&lt;&gt;"")*(실물목록!$O$2:$O$1001=H1802)))</f>
      </c>
      <c r="H1802" t="str">
        <f>IFERROR(IF(AND(LEN(SUBSTITUTE(SUBSTITUTE(SUBSTITUTE(TRIM(A1802&amp;""),CHAR(160),"")," ",""),"년",""))=4,VALUE(SUBSTITUTE(SUBSTITUTE(SUBSTITUTE(TRIM(A1802&amp;""),CHAR(160),"")," ",""),"년",""))&gt;=1900,VALUE(SUBSTITUTE(SUBSTITUTE(SUBSTITUTE(TRIM(A1802&amp;""),CHAR(160),"")," ",""),"년",""))&lt;=2099,TEXT(VALUE(SUBSTITUTE(SUBSTITUTE(SUBSTITUTE(TRIM(A1802&amp;""),CHAR(160),"")," ",""),"년","")),"0000")=SUBSTITUTE(SUBSTITUTE(SUBSTITUTE(TRIM(A1802&amp;""),CHAR(160),"")," ",""),"년","")),SUBSTITUTE(SUBSTITUTE(SUBSTITUTE(TRIM(A1802&amp;""),CHAR(160),"")," ",""),"년",""),""),"")</f>
      </c>
      <c r="I1802" t="str">
        <f>SUBSTITUTE(SUBSTITUTE(SUBSTITUTE(SUBSTITUTE(SUBSTITUTE(TRIM(B1802&amp;""),CHAR(160),"")," ",""),"초등학교","초"),"중학교","중"),"고등학교","고")</f>
      </c>
    </row>
    <row r="1803" customFormat="false" ht="15" hidden="false" customHeight="false" outlineLevel="0" collapsed="false">
      <c r="A1803" s="8"/>
      <c r="B1803" s="8"/>
      <c r="C1803" s="8"/>
      <c r="D1803" s="8"/>
      <c r="E1803" s="8"/>
      <c r="F1803" t="str" s="15">
        <f aca="0">IF(B1803="","",IF(H1803="","확인필요(입력누락)",IF(SUMPRODUCT((실물목록!$P$2:$P$1001&lt;&gt;"")*ISNUMBER(SEARCH(실물목록!$P$2:$P$1001,I1803))*(실물목록!$Q$2:$Q$1001&lt;&gt;"")*ISNUMBER(SEARCH(실물목록!$Q$2:$Q$1001,I1803))*(실물목록!$R$2:$R$1001="")*(실물목록!$O$2:$O$1001&lt;&gt;"")*(실물목록!$O$2:$O$1001=H1803))&gt;0,"실물 있음",IF(SUMPRODUCT((실물목록!$P$2:$P$1001&lt;&gt;"")*ISNUMBER(SEARCH(실물목록!$P$2:$P$1001,I1803))*(실물목록!$R$2:$R$1001&lt;&gt;""))&gt;0,"확인필요(입력누락)",IF(SUMPRODUCT((실물목록!$P$2:$P$1001&lt;&gt;"")*ISNUMBER(SEARCH(실물목록!$P$2:$P$1001,I1803))*(실물목록!$Q$2:$Q$1001&lt;&gt;"")*ISNUMBER(SEARCH(실물목록!$Q$2:$Q$1001,I1803))*(실물목록!$R$2:$R$1001="")*(실물목록!$O$2:$O$1001&lt;&gt;""))&gt;0,"확인필요(연도다름)","실물 없음")))))</f>
      </c>
      <c r="G1803" t="n" s="16">
        <f aca="0">IF(B1803="","",SUMPRODUCT((실물목록!$P$2:$P$1001&lt;&gt;"")*ISNUMBER(SEARCH(실물목록!$P$2:$P$1001,I1803))*(실물목록!$Q$2:$Q$1001&lt;&gt;"")*ISNUMBER(SEARCH(실물목록!$Q$2:$Q$1001,I1803))*(실물목록!$R$2:$R$1001="")*(실물목록!$O$2:$O$1001&lt;&gt;"")*(실물목록!$O$2:$O$1001=H1803)))</f>
      </c>
      <c r="H1803" t="str">
        <f>IFERROR(IF(AND(LEN(SUBSTITUTE(SUBSTITUTE(SUBSTITUTE(TRIM(A1803&amp;""),CHAR(160),"")," ",""),"년",""))=4,VALUE(SUBSTITUTE(SUBSTITUTE(SUBSTITUTE(TRIM(A1803&amp;""),CHAR(160),"")," ",""),"년",""))&gt;=1900,VALUE(SUBSTITUTE(SUBSTITUTE(SUBSTITUTE(TRIM(A1803&amp;""),CHAR(160),"")," ",""),"년",""))&lt;=2099,TEXT(VALUE(SUBSTITUTE(SUBSTITUTE(SUBSTITUTE(TRIM(A1803&amp;""),CHAR(160),"")," ",""),"년","")),"0000")=SUBSTITUTE(SUBSTITUTE(SUBSTITUTE(TRIM(A1803&amp;""),CHAR(160),"")," ",""),"년","")),SUBSTITUTE(SUBSTITUTE(SUBSTITUTE(TRIM(A1803&amp;""),CHAR(160),"")," ",""),"년",""),""),"")</f>
      </c>
      <c r="I1803" t="str">
        <f>SUBSTITUTE(SUBSTITUTE(SUBSTITUTE(SUBSTITUTE(SUBSTITUTE(TRIM(B1803&amp;""),CHAR(160),"")," ",""),"초등학교","초"),"중학교","중"),"고등학교","고")</f>
      </c>
    </row>
    <row r="1804" customFormat="false" ht="15" hidden="false" customHeight="false" outlineLevel="0" collapsed="false">
      <c r="A1804" s="8"/>
      <c r="B1804" s="8"/>
      <c r="C1804" s="8"/>
      <c r="D1804" s="8"/>
      <c r="E1804" s="8"/>
      <c r="F1804" t="str" s="15">
        <f aca="0">IF(B1804="","",IF(H1804="","확인필요(입력누락)",IF(SUMPRODUCT((실물목록!$P$2:$P$1001&lt;&gt;"")*ISNUMBER(SEARCH(실물목록!$P$2:$P$1001,I1804))*(실물목록!$Q$2:$Q$1001&lt;&gt;"")*ISNUMBER(SEARCH(실물목록!$Q$2:$Q$1001,I1804))*(실물목록!$R$2:$R$1001="")*(실물목록!$O$2:$O$1001&lt;&gt;"")*(실물목록!$O$2:$O$1001=H1804))&gt;0,"실물 있음",IF(SUMPRODUCT((실물목록!$P$2:$P$1001&lt;&gt;"")*ISNUMBER(SEARCH(실물목록!$P$2:$P$1001,I1804))*(실물목록!$R$2:$R$1001&lt;&gt;""))&gt;0,"확인필요(입력누락)",IF(SUMPRODUCT((실물목록!$P$2:$P$1001&lt;&gt;"")*ISNUMBER(SEARCH(실물목록!$P$2:$P$1001,I1804))*(실물목록!$Q$2:$Q$1001&lt;&gt;"")*ISNUMBER(SEARCH(실물목록!$Q$2:$Q$1001,I1804))*(실물목록!$R$2:$R$1001="")*(실물목록!$O$2:$O$1001&lt;&gt;""))&gt;0,"확인필요(연도다름)","실물 없음")))))</f>
      </c>
      <c r="G1804" t="n" s="16">
        <f aca="0">IF(B1804="","",SUMPRODUCT((실물목록!$P$2:$P$1001&lt;&gt;"")*ISNUMBER(SEARCH(실물목록!$P$2:$P$1001,I1804))*(실물목록!$Q$2:$Q$1001&lt;&gt;"")*ISNUMBER(SEARCH(실물목록!$Q$2:$Q$1001,I1804))*(실물목록!$R$2:$R$1001="")*(실물목록!$O$2:$O$1001&lt;&gt;"")*(실물목록!$O$2:$O$1001=H1804)))</f>
      </c>
      <c r="H1804" t="str">
        <f>IFERROR(IF(AND(LEN(SUBSTITUTE(SUBSTITUTE(SUBSTITUTE(TRIM(A1804&amp;""),CHAR(160),"")," ",""),"년",""))=4,VALUE(SUBSTITUTE(SUBSTITUTE(SUBSTITUTE(TRIM(A1804&amp;""),CHAR(160),"")," ",""),"년",""))&gt;=1900,VALUE(SUBSTITUTE(SUBSTITUTE(SUBSTITUTE(TRIM(A1804&amp;""),CHAR(160),"")," ",""),"년",""))&lt;=2099,TEXT(VALUE(SUBSTITUTE(SUBSTITUTE(SUBSTITUTE(TRIM(A1804&amp;""),CHAR(160),"")," ",""),"년","")),"0000")=SUBSTITUTE(SUBSTITUTE(SUBSTITUTE(TRIM(A1804&amp;""),CHAR(160),"")," ",""),"년","")),SUBSTITUTE(SUBSTITUTE(SUBSTITUTE(TRIM(A1804&amp;""),CHAR(160),"")," ",""),"년",""),""),"")</f>
      </c>
      <c r="I1804" t="str">
        <f>SUBSTITUTE(SUBSTITUTE(SUBSTITUTE(SUBSTITUTE(SUBSTITUTE(TRIM(B1804&amp;""),CHAR(160),"")," ",""),"초등학교","초"),"중학교","중"),"고등학교","고")</f>
      </c>
    </row>
    <row r="1805" customFormat="false" ht="15" hidden="false" customHeight="false" outlineLevel="0" collapsed="false">
      <c r="A1805" s="8"/>
      <c r="B1805" s="8"/>
      <c r="C1805" s="8"/>
      <c r="D1805" s="8"/>
      <c r="E1805" s="8"/>
      <c r="F1805" t="str" s="15">
        <f aca="0">IF(B1805="","",IF(H1805="","확인필요(입력누락)",IF(SUMPRODUCT((실물목록!$P$2:$P$1001&lt;&gt;"")*ISNUMBER(SEARCH(실물목록!$P$2:$P$1001,I1805))*(실물목록!$Q$2:$Q$1001&lt;&gt;"")*ISNUMBER(SEARCH(실물목록!$Q$2:$Q$1001,I1805))*(실물목록!$R$2:$R$1001="")*(실물목록!$O$2:$O$1001&lt;&gt;"")*(실물목록!$O$2:$O$1001=H1805))&gt;0,"실물 있음",IF(SUMPRODUCT((실물목록!$P$2:$P$1001&lt;&gt;"")*ISNUMBER(SEARCH(실물목록!$P$2:$P$1001,I1805))*(실물목록!$R$2:$R$1001&lt;&gt;""))&gt;0,"확인필요(입력누락)",IF(SUMPRODUCT((실물목록!$P$2:$P$1001&lt;&gt;"")*ISNUMBER(SEARCH(실물목록!$P$2:$P$1001,I1805))*(실물목록!$Q$2:$Q$1001&lt;&gt;"")*ISNUMBER(SEARCH(실물목록!$Q$2:$Q$1001,I1805))*(실물목록!$R$2:$R$1001="")*(실물목록!$O$2:$O$1001&lt;&gt;""))&gt;0,"확인필요(연도다름)","실물 없음")))))</f>
      </c>
      <c r="G1805" t="n" s="16">
        <f aca="0">IF(B1805="","",SUMPRODUCT((실물목록!$P$2:$P$1001&lt;&gt;"")*ISNUMBER(SEARCH(실물목록!$P$2:$P$1001,I1805))*(실물목록!$Q$2:$Q$1001&lt;&gt;"")*ISNUMBER(SEARCH(실물목록!$Q$2:$Q$1001,I1805))*(실물목록!$R$2:$R$1001="")*(실물목록!$O$2:$O$1001&lt;&gt;"")*(실물목록!$O$2:$O$1001=H1805)))</f>
      </c>
      <c r="H1805" t="str">
        <f>IFERROR(IF(AND(LEN(SUBSTITUTE(SUBSTITUTE(SUBSTITUTE(TRIM(A1805&amp;""),CHAR(160),"")," ",""),"년",""))=4,VALUE(SUBSTITUTE(SUBSTITUTE(SUBSTITUTE(TRIM(A1805&amp;""),CHAR(160),"")," ",""),"년",""))&gt;=1900,VALUE(SUBSTITUTE(SUBSTITUTE(SUBSTITUTE(TRIM(A1805&amp;""),CHAR(160),"")," ",""),"년",""))&lt;=2099,TEXT(VALUE(SUBSTITUTE(SUBSTITUTE(SUBSTITUTE(TRIM(A1805&amp;""),CHAR(160),"")," ",""),"년","")),"0000")=SUBSTITUTE(SUBSTITUTE(SUBSTITUTE(TRIM(A1805&amp;""),CHAR(160),"")," ",""),"년","")),SUBSTITUTE(SUBSTITUTE(SUBSTITUTE(TRIM(A1805&amp;""),CHAR(160),"")," ",""),"년",""),""),"")</f>
      </c>
      <c r="I1805" t="str">
        <f>SUBSTITUTE(SUBSTITUTE(SUBSTITUTE(SUBSTITUTE(SUBSTITUTE(TRIM(B1805&amp;""),CHAR(160),"")," ",""),"초등학교","초"),"중학교","중"),"고등학교","고")</f>
      </c>
    </row>
    <row r="1806" customFormat="false" ht="15" hidden="false" customHeight="false" outlineLevel="0" collapsed="false">
      <c r="A1806" s="8"/>
      <c r="B1806" s="8"/>
      <c r="C1806" s="8"/>
      <c r="D1806" s="8"/>
      <c r="E1806" s="8"/>
      <c r="F1806" t="str" s="15">
        <f aca="0">IF(B1806="","",IF(H1806="","확인필요(입력누락)",IF(SUMPRODUCT((실물목록!$P$2:$P$1001&lt;&gt;"")*ISNUMBER(SEARCH(실물목록!$P$2:$P$1001,I1806))*(실물목록!$Q$2:$Q$1001&lt;&gt;"")*ISNUMBER(SEARCH(실물목록!$Q$2:$Q$1001,I1806))*(실물목록!$R$2:$R$1001="")*(실물목록!$O$2:$O$1001&lt;&gt;"")*(실물목록!$O$2:$O$1001=H1806))&gt;0,"실물 있음",IF(SUMPRODUCT((실물목록!$P$2:$P$1001&lt;&gt;"")*ISNUMBER(SEARCH(실물목록!$P$2:$P$1001,I1806))*(실물목록!$R$2:$R$1001&lt;&gt;""))&gt;0,"확인필요(입력누락)",IF(SUMPRODUCT((실물목록!$P$2:$P$1001&lt;&gt;"")*ISNUMBER(SEARCH(실물목록!$P$2:$P$1001,I1806))*(실물목록!$Q$2:$Q$1001&lt;&gt;"")*ISNUMBER(SEARCH(실물목록!$Q$2:$Q$1001,I1806))*(실물목록!$R$2:$R$1001="")*(실물목록!$O$2:$O$1001&lt;&gt;""))&gt;0,"확인필요(연도다름)","실물 없음")))))</f>
      </c>
      <c r="G1806" t="n" s="16">
        <f aca="0">IF(B1806="","",SUMPRODUCT((실물목록!$P$2:$P$1001&lt;&gt;"")*ISNUMBER(SEARCH(실물목록!$P$2:$P$1001,I1806))*(실물목록!$Q$2:$Q$1001&lt;&gt;"")*ISNUMBER(SEARCH(실물목록!$Q$2:$Q$1001,I1806))*(실물목록!$R$2:$R$1001="")*(실물목록!$O$2:$O$1001&lt;&gt;"")*(실물목록!$O$2:$O$1001=H1806)))</f>
      </c>
      <c r="H1806" t="str">
        <f>IFERROR(IF(AND(LEN(SUBSTITUTE(SUBSTITUTE(SUBSTITUTE(TRIM(A1806&amp;""),CHAR(160),"")," ",""),"년",""))=4,VALUE(SUBSTITUTE(SUBSTITUTE(SUBSTITUTE(TRIM(A1806&amp;""),CHAR(160),"")," ",""),"년",""))&gt;=1900,VALUE(SUBSTITUTE(SUBSTITUTE(SUBSTITUTE(TRIM(A1806&amp;""),CHAR(160),"")," ",""),"년",""))&lt;=2099,TEXT(VALUE(SUBSTITUTE(SUBSTITUTE(SUBSTITUTE(TRIM(A1806&amp;""),CHAR(160),"")," ",""),"년","")),"0000")=SUBSTITUTE(SUBSTITUTE(SUBSTITUTE(TRIM(A1806&amp;""),CHAR(160),"")," ",""),"년","")),SUBSTITUTE(SUBSTITUTE(SUBSTITUTE(TRIM(A1806&amp;""),CHAR(160),"")," ",""),"년",""),""),"")</f>
      </c>
      <c r="I1806" t="str">
        <f>SUBSTITUTE(SUBSTITUTE(SUBSTITUTE(SUBSTITUTE(SUBSTITUTE(TRIM(B1806&amp;""),CHAR(160),"")," ",""),"초등학교","초"),"중학교","중"),"고등학교","고")</f>
      </c>
    </row>
    <row r="1807" customFormat="false" ht="15" hidden="false" customHeight="false" outlineLevel="0" collapsed="false">
      <c r="A1807" s="8"/>
      <c r="B1807" s="8"/>
      <c r="C1807" s="8"/>
      <c r="D1807" s="8"/>
      <c r="E1807" s="8"/>
      <c r="F1807" t="str" s="15">
        <f aca="0">IF(B1807="","",IF(H1807="","확인필요(입력누락)",IF(SUMPRODUCT((실물목록!$P$2:$P$1001&lt;&gt;"")*ISNUMBER(SEARCH(실물목록!$P$2:$P$1001,I1807))*(실물목록!$Q$2:$Q$1001&lt;&gt;"")*ISNUMBER(SEARCH(실물목록!$Q$2:$Q$1001,I1807))*(실물목록!$R$2:$R$1001="")*(실물목록!$O$2:$O$1001&lt;&gt;"")*(실물목록!$O$2:$O$1001=H1807))&gt;0,"실물 있음",IF(SUMPRODUCT((실물목록!$P$2:$P$1001&lt;&gt;"")*ISNUMBER(SEARCH(실물목록!$P$2:$P$1001,I1807))*(실물목록!$R$2:$R$1001&lt;&gt;""))&gt;0,"확인필요(입력누락)",IF(SUMPRODUCT((실물목록!$P$2:$P$1001&lt;&gt;"")*ISNUMBER(SEARCH(실물목록!$P$2:$P$1001,I1807))*(실물목록!$Q$2:$Q$1001&lt;&gt;"")*ISNUMBER(SEARCH(실물목록!$Q$2:$Q$1001,I1807))*(실물목록!$R$2:$R$1001="")*(실물목록!$O$2:$O$1001&lt;&gt;""))&gt;0,"확인필요(연도다름)","실물 없음")))))</f>
      </c>
      <c r="G1807" t="n" s="16">
        <f aca="0">IF(B1807="","",SUMPRODUCT((실물목록!$P$2:$P$1001&lt;&gt;"")*ISNUMBER(SEARCH(실물목록!$P$2:$P$1001,I1807))*(실물목록!$Q$2:$Q$1001&lt;&gt;"")*ISNUMBER(SEARCH(실물목록!$Q$2:$Q$1001,I1807))*(실물목록!$R$2:$R$1001="")*(실물목록!$O$2:$O$1001&lt;&gt;"")*(실물목록!$O$2:$O$1001=H1807)))</f>
      </c>
      <c r="H1807" t="str">
        <f>IFERROR(IF(AND(LEN(SUBSTITUTE(SUBSTITUTE(SUBSTITUTE(TRIM(A1807&amp;""),CHAR(160),"")," ",""),"년",""))=4,VALUE(SUBSTITUTE(SUBSTITUTE(SUBSTITUTE(TRIM(A1807&amp;""),CHAR(160),"")," ",""),"년",""))&gt;=1900,VALUE(SUBSTITUTE(SUBSTITUTE(SUBSTITUTE(TRIM(A1807&amp;""),CHAR(160),"")," ",""),"년",""))&lt;=2099,TEXT(VALUE(SUBSTITUTE(SUBSTITUTE(SUBSTITUTE(TRIM(A1807&amp;""),CHAR(160),"")," ",""),"년","")),"0000")=SUBSTITUTE(SUBSTITUTE(SUBSTITUTE(TRIM(A1807&amp;""),CHAR(160),"")," ",""),"년","")),SUBSTITUTE(SUBSTITUTE(SUBSTITUTE(TRIM(A1807&amp;""),CHAR(160),"")," ",""),"년",""),""),"")</f>
      </c>
      <c r="I1807" t="str">
        <f>SUBSTITUTE(SUBSTITUTE(SUBSTITUTE(SUBSTITUTE(SUBSTITUTE(TRIM(B1807&amp;""),CHAR(160),"")," ",""),"초등학교","초"),"중학교","중"),"고등학교","고")</f>
      </c>
    </row>
    <row r="1808" customFormat="false" ht="15" hidden="false" customHeight="false" outlineLevel="0" collapsed="false">
      <c r="A1808" s="8"/>
      <c r="B1808" s="8"/>
      <c r="C1808" s="8"/>
      <c r="D1808" s="8"/>
      <c r="E1808" s="8"/>
      <c r="F1808" t="str" s="15">
        <f aca="0">IF(B1808="","",IF(H1808="","확인필요(입력누락)",IF(SUMPRODUCT((실물목록!$P$2:$P$1001&lt;&gt;"")*ISNUMBER(SEARCH(실물목록!$P$2:$P$1001,I1808))*(실물목록!$Q$2:$Q$1001&lt;&gt;"")*ISNUMBER(SEARCH(실물목록!$Q$2:$Q$1001,I1808))*(실물목록!$R$2:$R$1001="")*(실물목록!$O$2:$O$1001&lt;&gt;"")*(실물목록!$O$2:$O$1001=H1808))&gt;0,"실물 있음",IF(SUMPRODUCT((실물목록!$P$2:$P$1001&lt;&gt;"")*ISNUMBER(SEARCH(실물목록!$P$2:$P$1001,I1808))*(실물목록!$R$2:$R$1001&lt;&gt;""))&gt;0,"확인필요(입력누락)",IF(SUMPRODUCT((실물목록!$P$2:$P$1001&lt;&gt;"")*ISNUMBER(SEARCH(실물목록!$P$2:$P$1001,I1808))*(실물목록!$Q$2:$Q$1001&lt;&gt;"")*ISNUMBER(SEARCH(실물목록!$Q$2:$Q$1001,I1808))*(실물목록!$R$2:$R$1001="")*(실물목록!$O$2:$O$1001&lt;&gt;""))&gt;0,"확인필요(연도다름)","실물 없음")))))</f>
      </c>
      <c r="G1808" t="n" s="16">
        <f aca="0">IF(B1808="","",SUMPRODUCT((실물목록!$P$2:$P$1001&lt;&gt;"")*ISNUMBER(SEARCH(실물목록!$P$2:$P$1001,I1808))*(실물목록!$Q$2:$Q$1001&lt;&gt;"")*ISNUMBER(SEARCH(실물목록!$Q$2:$Q$1001,I1808))*(실물목록!$R$2:$R$1001="")*(실물목록!$O$2:$O$1001&lt;&gt;"")*(실물목록!$O$2:$O$1001=H1808)))</f>
      </c>
      <c r="H1808" t="str">
        <f>IFERROR(IF(AND(LEN(SUBSTITUTE(SUBSTITUTE(SUBSTITUTE(TRIM(A1808&amp;""),CHAR(160),"")," ",""),"년",""))=4,VALUE(SUBSTITUTE(SUBSTITUTE(SUBSTITUTE(TRIM(A1808&amp;""),CHAR(160),"")," ",""),"년",""))&gt;=1900,VALUE(SUBSTITUTE(SUBSTITUTE(SUBSTITUTE(TRIM(A1808&amp;""),CHAR(160),"")," ",""),"년",""))&lt;=2099,TEXT(VALUE(SUBSTITUTE(SUBSTITUTE(SUBSTITUTE(TRIM(A1808&amp;""),CHAR(160),"")," ",""),"년","")),"0000")=SUBSTITUTE(SUBSTITUTE(SUBSTITUTE(TRIM(A1808&amp;""),CHAR(160),"")," ",""),"년","")),SUBSTITUTE(SUBSTITUTE(SUBSTITUTE(TRIM(A1808&amp;""),CHAR(160),"")," ",""),"년",""),""),"")</f>
      </c>
      <c r="I1808" t="str">
        <f>SUBSTITUTE(SUBSTITUTE(SUBSTITUTE(SUBSTITUTE(SUBSTITUTE(TRIM(B1808&amp;""),CHAR(160),"")," ",""),"초등학교","초"),"중학교","중"),"고등학교","고")</f>
      </c>
    </row>
    <row r="1809" customFormat="false" ht="15" hidden="false" customHeight="false" outlineLevel="0" collapsed="false">
      <c r="A1809" s="8"/>
      <c r="B1809" s="8"/>
      <c r="C1809" s="8"/>
      <c r="D1809" s="8"/>
      <c r="E1809" s="8"/>
      <c r="F1809" t="str" s="15">
        <f aca="0">IF(B1809="","",IF(H1809="","확인필요(입력누락)",IF(SUMPRODUCT((실물목록!$P$2:$P$1001&lt;&gt;"")*ISNUMBER(SEARCH(실물목록!$P$2:$P$1001,I1809))*(실물목록!$Q$2:$Q$1001&lt;&gt;"")*ISNUMBER(SEARCH(실물목록!$Q$2:$Q$1001,I1809))*(실물목록!$R$2:$R$1001="")*(실물목록!$O$2:$O$1001&lt;&gt;"")*(실물목록!$O$2:$O$1001=H1809))&gt;0,"실물 있음",IF(SUMPRODUCT((실물목록!$P$2:$P$1001&lt;&gt;"")*ISNUMBER(SEARCH(실물목록!$P$2:$P$1001,I1809))*(실물목록!$R$2:$R$1001&lt;&gt;""))&gt;0,"확인필요(입력누락)",IF(SUMPRODUCT((실물목록!$P$2:$P$1001&lt;&gt;"")*ISNUMBER(SEARCH(실물목록!$P$2:$P$1001,I1809))*(실물목록!$Q$2:$Q$1001&lt;&gt;"")*ISNUMBER(SEARCH(실물목록!$Q$2:$Q$1001,I1809))*(실물목록!$R$2:$R$1001="")*(실물목록!$O$2:$O$1001&lt;&gt;""))&gt;0,"확인필요(연도다름)","실물 없음")))))</f>
      </c>
      <c r="G1809" t="n" s="16">
        <f aca="0">IF(B1809="","",SUMPRODUCT((실물목록!$P$2:$P$1001&lt;&gt;"")*ISNUMBER(SEARCH(실물목록!$P$2:$P$1001,I1809))*(실물목록!$Q$2:$Q$1001&lt;&gt;"")*ISNUMBER(SEARCH(실물목록!$Q$2:$Q$1001,I1809))*(실물목록!$R$2:$R$1001="")*(실물목록!$O$2:$O$1001&lt;&gt;"")*(실물목록!$O$2:$O$1001=H1809)))</f>
      </c>
      <c r="H1809" t="str">
        <f>IFERROR(IF(AND(LEN(SUBSTITUTE(SUBSTITUTE(SUBSTITUTE(TRIM(A1809&amp;""),CHAR(160),"")," ",""),"년",""))=4,VALUE(SUBSTITUTE(SUBSTITUTE(SUBSTITUTE(TRIM(A1809&amp;""),CHAR(160),"")," ",""),"년",""))&gt;=1900,VALUE(SUBSTITUTE(SUBSTITUTE(SUBSTITUTE(TRIM(A1809&amp;""),CHAR(160),"")," ",""),"년",""))&lt;=2099,TEXT(VALUE(SUBSTITUTE(SUBSTITUTE(SUBSTITUTE(TRIM(A1809&amp;""),CHAR(160),"")," ",""),"년","")),"0000")=SUBSTITUTE(SUBSTITUTE(SUBSTITUTE(TRIM(A1809&amp;""),CHAR(160),"")," ",""),"년","")),SUBSTITUTE(SUBSTITUTE(SUBSTITUTE(TRIM(A1809&amp;""),CHAR(160),"")," ",""),"년",""),""),"")</f>
      </c>
      <c r="I1809" t="str">
        <f>SUBSTITUTE(SUBSTITUTE(SUBSTITUTE(SUBSTITUTE(SUBSTITUTE(TRIM(B1809&amp;""),CHAR(160),"")," ",""),"초등학교","초"),"중학교","중"),"고등학교","고")</f>
      </c>
    </row>
    <row r="1810" customFormat="false" ht="15" hidden="false" customHeight="false" outlineLevel="0" collapsed="false">
      <c r="A1810" s="8"/>
      <c r="B1810" s="8"/>
      <c r="C1810" s="8"/>
      <c r="D1810" s="8"/>
      <c r="E1810" s="8"/>
      <c r="F1810" t="str" s="15">
        <f aca="0">IF(B1810="","",IF(H1810="","확인필요(입력누락)",IF(SUMPRODUCT((실물목록!$P$2:$P$1001&lt;&gt;"")*ISNUMBER(SEARCH(실물목록!$P$2:$P$1001,I1810))*(실물목록!$Q$2:$Q$1001&lt;&gt;"")*ISNUMBER(SEARCH(실물목록!$Q$2:$Q$1001,I1810))*(실물목록!$R$2:$R$1001="")*(실물목록!$O$2:$O$1001&lt;&gt;"")*(실물목록!$O$2:$O$1001=H1810))&gt;0,"실물 있음",IF(SUMPRODUCT((실물목록!$P$2:$P$1001&lt;&gt;"")*ISNUMBER(SEARCH(실물목록!$P$2:$P$1001,I1810))*(실물목록!$R$2:$R$1001&lt;&gt;""))&gt;0,"확인필요(입력누락)",IF(SUMPRODUCT((실물목록!$P$2:$P$1001&lt;&gt;"")*ISNUMBER(SEARCH(실물목록!$P$2:$P$1001,I1810))*(실물목록!$Q$2:$Q$1001&lt;&gt;"")*ISNUMBER(SEARCH(실물목록!$Q$2:$Q$1001,I1810))*(실물목록!$R$2:$R$1001="")*(실물목록!$O$2:$O$1001&lt;&gt;""))&gt;0,"확인필요(연도다름)","실물 없음")))))</f>
      </c>
      <c r="G1810" t="n" s="16">
        <f aca="0">IF(B1810="","",SUMPRODUCT((실물목록!$P$2:$P$1001&lt;&gt;"")*ISNUMBER(SEARCH(실물목록!$P$2:$P$1001,I1810))*(실물목록!$Q$2:$Q$1001&lt;&gt;"")*ISNUMBER(SEARCH(실물목록!$Q$2:$Q$1001,I1810))*(실물목록!$R$2:$R$1001="")*(실물목록!$O$2:$O$1001&lt;&gt;"")*(실물목록!$O$2:$O$1001=H1810)))</f>
      </c>
      <c r="H1810" t="str">
        <f>IFERROR(IF(AND(LEN(SUBSTITUTE(SUBSTITUTE(SUBSTITUTE(TRIM(A1810&amp;""),CHAR(160),"")," ",""),"년",""))=4,VALUE(SUBSTITUTE(SUBSTITUTE(SUBSTITUTE(TRIM(A1810&amp;""),CHAR(160),"")," ",""),"년",""))&gt;=1900,VALUE(SUBSTITUTE(SUBSTITUTE(SUBSTITUTE(TRIM(A1810&amp;""),CHAR(160),"")," ",""),"년",""))&lt;=2099,TEXT(VALUE(SUBSTITUTE(SUBSTITUTE(SUBSTITUTE(TRIM(A1810&amp;""),CHAR(160),"")," ",""),"년","")),"0000")=SUBSTITUTE(SUBSTITUTE(SUBSTITUTE(TRIM(A1810&amp;""),CHAR(160),"")," ",""),"년","")),SUBSTITUTE(SUBSTITUTE(SUBSTITUTE(TRIM(A1810&amp;""),CHAR(160),"")," ",""),"년",""),""),"")</f>
      </c>
      <c r="I1810" t="str">
        <f>SUBSTITUTE(SUBSTITUTE(SUBSTITUTE(SUBSTITUTE(SUBSTITUTE(TRIM(B1810&amp;""),CHAR(160),"")," ",""),"초등학교","초"),"중학교","중"),"고등학교","고")</f>
      </c>
    </row>
    <row r="1811" customFormat="false" ht="15" hidden="false" customHeight="false" outlineLevel="0" collapsed="false">
      <c r="A1811" s="8"/>
      <c r="B1811" s="8"/>
      <c r="C1811" s="8"/>
      <c r="D1811" s="8"/>
      <c r="E1811" s="8"/>
      <c r="F1811" t="str" s="15">
        <f aca="0">IF(B1811="","",IF(H1811="","확인필요(입력누락)",IF(SUMPRODUCT((실물목록!$P$2:$P$1001&lt;&gt;"")*ISNUMBER(SEARCH(실물목록!$P$2:$P$1001,I1811))*(실물목록!$Q$2:$Q$1001&lt;&gt;"")*ISNUMBER(SEARCH(실물목록!$Q$2:$Q$1001,I1811))*(실물목록!$R$2:$R$1001="")*(실물목록!$O$2:$O$1001&lt;&gt;"")*(실물목록!$O$2:$O$1001=H1811))&gt;0,"실물 있음",IF(SUMPRODUCT((실물목록!$P$2:$P$1001&lt;&gt;"")*ISNUMBER(SEARCH(실물목록!$P$2:$P$1001,I1811))*(실물목록!$R$2:$R$1001&lt;&gt;""))&gt;0,"확인필요(입력누락)",IF(SUMPRODUCT((실물목록!$P$2:$P$1001&lt;&gt;"")*ISNUMBER(SEARCH(실물목록!$P$2:$P$1001,I1811))*(실물목록!$Q$2:$Q$1001&lt;&gt;"")*ISNUMBER(SEARCH(실물목록!$Q$2:$Q$1001,I1811))*(실물목록!$R$2:$R$1001="")*(실물목록!$O$2:$O$1001&lt;&gt;""))&gt;0,"확인필요(연도다름)","실물 없음")))))</f>
      </c>
      <c r="G1811" t="n" s="16">
        <f aca="0">IF(B1811="","",SUMPRODUCT((실물목록!$P$2:$P$1001&lt;&gt;"")*ISNUMBER(SEARCH(실물목록!$P$2:$P$1001,I1811))*(실물목록!$Q$2:$Q$1001&lt;&gt;"")*ISNUMBER(SEARCH(실물목록!$Q$2:$Q$1001,I1811))*(실물목록!$R$2:$R$1001="")*(실물목록!$O$2:$O$1001&lt;&gt;"")*(실물목록!$O$2:$O$1001=H1811)))</f>
      </c>
      <c r="H1811" t="str">
        <f>IFERROR(IF(AND(LEN(SUBSTITUTE(SUBSTITUTE(SUBSTITUTE(TRIM(A1811&amp;""),CHAR(160),"")," ",""),"년",""))=4,VALUE(SUBSTITUTE(SUBSTITUTE(SUBSTITUTE(TRIM(A1811&amp;""),CHAR(160),"")," ",""),"년",""))&gt;=1900,VALUE(SUBSTITUTE(SUBSTITUTE(SUBSTITUTE(TRIM(A1811&amp;""),CHAR(160),"")," ",""),"년",""))&lt;=2099,TEXT(VALUE(SUBSTITUTE(SUBSTITUTE(SUBSTITUTE(TRIM(A1811&amp;""),CHAR(160),"")," ",""),"년","")),"0000")=SUBSTITUTE(SUBSTITUTE(SUBSTITUTE(TRIM(A1811&amp;""),CHAR(160),"")," ",""),"년","")),SUBSTITUTE(SUBSTITUTE(SUBSTITUTE(TRIM(A1811&amp;""),CHAR(160),"")," ",""),"년",""),""),"")</f>
      </c>
      <c r="I1811" t="str">
        <f>SUBSTITUTE(SUBSTITUTE(SUBSTITUTE(SUBSTITUTE(SUBSTITUTE(TRIM(B1811&amp;""),CHAR(160),"")," ",""),"초등학교","초"),"중학교","중"),"고등학교","고")</f>
      </c>
    </row>
    <row r="1812" customFormat="false" ht="15" hidden="false" customHeight="false" outlineLevel="0" collapsed="false">
      <c r="A1812" s="8"/>
      <c r="B1812" s="8"/>
      <c r="C1812" s="8"/>
      <c r="D1812" s="8"/>
      <c r="E1812" s="8"/>
      <c r="F1812" t="str" s="15">
        <f aca="0">IF(B1812="","",IF(H1812="","확인필요(입력누락)",IF(SUMPRODUCT((실물목록!$P$2:$P$1001&lt;&gt;"")*ISNUMBER(SEARCH(실물목록!$P$2:$P$1001,I1812))*(실물목록!$Q$2:$Q$1001&lt;&gt;"")*ISNUMBER(SEARCH(실물목록!$Q$2:$Q$1001,I1812))*(실물목록!$R$2:$R$1001="")*(실물목록!$O$2:$O$1001&lt;&gt;"")*(실물목록!$O$2:$O$1001=H1812))&gt;0,"실물 있음",IF(SUMPRODUCT((실물목록!$P$2:$P$1001&lt;&gt;"")*ISNUMBER(SEARCH(실물목록!$P$2:$P$1001,I1812))*(실물목록!$R$2:$R$1001&lt;&gt;""))&gt;0,"확인필요(입력누락)",IF(SUMPRODUCT((실물목록!$P$2:$P$1001&lt;&gt;"")*ISNUMBER(SEARCH(실물목록!$P$2:$P$1001,I1812))*(실물목록!$Q$2:$Q$1001&lt;&gt;"")*ISNUMBER(SEARCH(실물목록!$Q$2:$Q$1001,I1812))*(실물목록!$R$2:$R$1001="")*(실물목록!$O$2:$O$1001&lt;&gt;""))&gt;0,"확인필요(연도다름)","실물 없음")))))</f>
      </c>
      <c r="G1812" t="n" s="16">
        <f aca="0">IF(B1812="","",SUMPRODUCT((실물목록!$P$2:$P$1001&lt;&gt;"")*ISNUMBER(SEARCH(실물목록!$P$2:$P$1001,I1812))*(실물목록!$Q$2:$Q$1001&lt;&gt;"")*ISNUMBER(SEARCH(실물목록!$Q$2:$Q$1001,I1812))*(실물목록!$R$2:$R$1001="")*(실물목록!$O$2:$O$1001&lt;&gt;"")*(실물목록!$O$2:$O$1001=H1812)))</f>
      </c>
      <c r="H1812" t="str">
        <f>IFERROR(IF(AND(LEN(SUBSTITUTE(SUBSTITUTE(SUBSTITUTE(TRIM(A1812&amp;""),CHAR(160),"")," ",""),"년",""))=4,VALUE(SUBSTITUTE(SUBSTITUTE(SUBSTITUTE(TRIM(A1812&amp;""),CHAR(160),"")," ",""),"년",""))&gt;=1900,VALUE(SUBSTITUTE(SUBSTITUTE(SUBSTITUTE(TRIM(A1812&amp;""),CHAR(160),"")," ",""),"년",""))&lt;=2099,TEXT(VALUE(SUBSTITUTE(SUBSTITUTE(SUBSTITUTE(TRIM(A1812&amp;""),CHAR(160),"")," ",""),"년","")),"0000")=SUBSTITUTE(SUBSTITUTE(SUBSTITUTE(TRIM(A1812&amp;""),CHAR(160),"")," ",""),"년","")),SUBSTITUTE(SUBSTITUTE(SUBSTITUTE(TRIM(A1812&amp;""),CHAR(160),"")," ",""),"년",""),""),"")</f>
      </c>
      <c r="I1812" t="str">
        <f>SUBSTITUTE(SUBSTITUTE(SUBSTITUTE(SUBSTITUTE(SUBSTITUTE(TRIM(B1812&amp;""),CHAR(160),"")," ",""),"초등학교","초"),"중학교","중"),"고등학교","고")</f>
      </c>
    </row>
    <row r="1813" customFormat="false" ht="15" hidden="false" customHeight="false" outlineLevel="0" collapsed="false">
      <c r="A1813" s="8"/>
      <c r="B1813" s="8"/>
      <c r="C1813" s="8"/>
      <c r="D1813" s="8"/>
      <c r="E1813" s="8"/>
      <c r="F1813" t="str" s="15">
        <f aca="0">IF(B1813="","",IF(H1813="","확인필요(입력누락)",IF(SUMPRODUCT((실물목록!$P$2:$P$1001&lt;&gt;"")*ISNUMBER(SEARCH(실물목록!$P$2:$P$1001,I1813))*(실물목록!$Q$2:$Q$1001&lt;&gt;"")*ISNUMBER(SEARCH(실물목록!$Q$2:$Q$1001,I1813))*(실물목록!$R$2:$R$1001="")*(실물목록!$O$2:$O$1001&lt;&gt;"")*(실물목록!$O$2:$O$1001=H1813))&gt;0,"실물 있음",IF(SUMPRODUCT((실물목록!$P$2:$P$1001&lt;&gt;"")*ISNUMBER(SEARCH(실물목록!$P$2:$P$1001,I1813))*(실물목록!$R$2:$R$1001&lt;&gt;""))&gt;0,"확인필요(입력누락)",IF(SUMPRODUCT((실물목록!$P$2:$P$1001&lt;&gt;"")*ISNUMBER(SEARCH(실물목록!$P$2:$P$1001,I1813))*(실물목록!$Q$2:$Q$1001&lt;&gt;"")*ISNUMBER(SEARCH(실물목록!$Q$2:$Q$1001,I1813))*(실물목록!$R$2:$R$1001="")*(실물목록!$O$2:$O$1001&lt;&gt;""))&gt;0,"확인필요(연도다름)","실물 없음")))))</f>
      </c>
      <c r="G1813" t="n" s="16">
        <f aca="0">IF(B1813="","",SUMPRODUCT((실물목록!$P$2:$P$1001&lt;&gt;"")*ISNUMBER(SEARCH(실물목록!$P$2:$P$1001,I1813))*(실물목록!$Q$2:$Q$1001&lt;&gt;"")*ISNUMBER(SEARCH(실물목록!$Q$2:$Q$1001,I1813))*(실물목록!$R$2:$R$1001="")*(실물목록!$O$2:$O$1001&lt;&gt;"")*(실물목록!$O$2:$O$1001=H1813)))</f>
      </c>
      <c r="H1813" t="str">
        <f>IFERROR(IF(AND(LEN(SUBSTITUTE(SUBSTITUTE(SUBSTITUTE(TRIM(A1813&amp;""),CHAR(160),"")," ",""),"년",""))=4,VALUE(SUBSTITUTE(SUBSTITUTE(SUBSTITUTE(TRIM(A1813&amp;""),CHAR(160),"")," ",""),"년",""))&gt;=1900,VALUE(SUBSTITUTE(SUBSTITUTE(SUBSTITUTE(TRIM(A1813&amp;""),CHAR(160),"")," ",""),"년",""))&lt;=2099,TEXT(VALUE(SUBSTITUTE(SUBSTITUTE(SUBSTITUTE(TRIM(A1813&amp;""),CHAR(160),"")," ",""),"년","")),"0000")=SUBSTITUTE(SUBSTITUTE(SUBSTITUTE(TRIM(A1813&amp;""),CHAR(160),"")," ",""),"년","")),SUBSTITUTE(SUBSTITUTE(SUBSTITUTE(TRIM(A1813&amp;""),CHAR(160),"")," ",""),"년",""),""),"")</f>
      </c>
      <c r="I1813" t="str">
        <f>SUBSTITUTE(SUBSTITUTE(SUBSTITUTE(SUBSTITUTE(SUBSTITUTE(TRIM(B1813&amp;""),CHAR(160),"")," ",""),"초등학교","초"),"중학교","중"),"고등학교","고")</f>
      </c>
    </row>
    <row r="1814" customFormat="false" ht="15" hidden="false" customHeight="false" outlineLevel="0" collapsed="false">
      <c r="A1814" s="8"/>
      <c r="B1814" s="8"/>
      <c r="C1814" s="8"/>
      <c r="D1814" s="8"/>
      <c r="E1814" s="8"/>
      <c r="F1814" t="str" s="15">
        <f aca="0">IF(B1814="","",IF(H1814="","확인필요(입력누락)",IF(SUMPRODUCT((실물목록!$P$2:$P$1001&lt;&gt;"")*ISNUMBER(SEARCH(실물목록!$P$2:$P$1001,I1814))*(실물목록!$Q$2:$Q$1001&lt;&gt;"")*ISNUMBER(SEARCH(실물목록!$Q$2:$Q$1001,I1814))*(실물목록!$R$2:$R$1001="")*(실물목록!$O$2:$O$1001&lt;&gt;"")*(실물목록!$O$2:$O$1001=H1814))&gt;0,"실물 있음",IF(SUMPRODUCT((실물목록!$P$2:$P$1001&lt;&gt;"")*ISNUMBER(SEARCH(실물목록!$P$2:$P$1001,I1814))*(실물목록!$R$2:$R$1001&lt;&gt;""))&gt;0,"확인필요(입력누락)",IF(SUMPRODUCT((실물목록!$P$2:$P$1001&lt;&gt;"")*ISNUMBER(SEARCH(실물목록!$P$2:$P$1001,I1814))*(실물목록!$Q$2:$Q$1001&lt;&gt;"")*ISNUMBER(SEARCH(실물목록!$Q$2:$Q$1001,I1814))*(실물목록!$R$2:$R$1001="")*(실물목록!$O$2:$O$1001&lt;&gt;""))&gt;0,"확인필요(연도다름)","실물 없음")))))</f>
      </c>
      <c r="G1814" t="n" s="16">
        <f aca="0">IF(B1814="","",SUMPRODUCT((실물목록!$P$2:$P$1001&lt;&gt;"")*ISNUMBER(SEARCH(실물목록!$P$2:$P$1001,I1814))*(실물목록!$Q$2:$Q$1001&lt;&gt;"")*ISNUMBER(SEARCH(실물목록!$Q$2:$Q$1001,I1814))*(실물목록!$R$2:$R$1001="")*(실물목록!$O$2:$O$1001&lt;&gt;"")*(실물목록!$O$2:$O$1001=H1814)))</f>
      </c>
      <c r="H1814" t="str">
        <f>IFERROR(IF(AND(LEN(SUBSTITUTE(SUBSTITUTE(SUBSTITUTE(TRIM(A1814&amp;""),CHAR(160),"")," ",""),"년",""))=4,VALUE(SUBSTITUTE(SUBSTITUTE(SUBSTITUTE(TRIM(A1814&amp;""),CHAR(160),"")," ",""),"년",""))&gt;=1900,VALUE(SUBSTITUTE(SUBSTITUTE(SUBSTITUTE(TRIM(A1814&amp;""),CHAR(160),"")," ",""),"년",""))&lt;=2099,TEXT(VALUE(SUBSTITUTE(SUBSTITUTE(SUBSTITUTE(TRIM(A1814&amp;""),CHAR(160),"")," ",""),"년","")),"0000")=SUBSTITUTE(SUBSTITUTE(SUBSTITUTE(TRIM(A1814&amp;""),CHAR(160),"")," ",""),"년","")),SUBSTITUTE(SUBSTITUTE(SUBSTITUTE(TRIM(A1814&amp;""),CHAR(160),"")," ",""),"년",""),""),"")</f>
      </c>
      <c r="I1814" t="str">
        <f>SUBSTITUTE(SUBSTITUTE(SUBSTITUTE(SUBSTITUTE(SUBSTITUTE(TRIM(B1814&amp;""),CHAR(160),"")," ",""),"초등학교","초"),"중학교","중"),"고등학교","고")</f>
      </c>
    </row>
    <row r="1815" customFormat="false" ht="15" hidden="false" customHeight="false" outlineLevel="0" collapsed="false">
      <c r="A1815" s="8"/>
      <c r="B1815" s="8"/>
      <c r="C1815" s="8"/>
      <c r="D1815" s="8"/>
      <c r="E1815" s="8"/>
      <c r="F1815" t="str" s="15">
        <f aca="0">IF(B1815="","",IF(H1815="","확인필요(입력누락)",IF(SUMPRODUCT((실물목록!$P$2:$P$1001&lt;&gt;"")*ISNUMBER(SEARCH(실물목록!$P$2:$P$1001,I1815))*(실물목록!$Q$2:$Q$1001&lt;&gt;"")*ISNUMBER(SEARCH(실물목록!$Q$2:$Q$1001,I1815))*(실물목록!$R$2:$R$1001="")*(실물목록!$O$2:$O$1001&lt;&gt;"")*(실물목록!$O$2:$O$1001=H1815))&gt;0,"실물 있음",IF(SUMPRODUCT((실물목록!$P$2:$P$1001&lt;&gt;"")*ISNUMBER(SEARCH(실물목록!$P$2:$P$1001,I1815))*(실물목록!$R$2:$R$1001&lt;&gt;""))&gt;0,"확인필요(입력누락)",IF(SUMPRODUCT((실물목록!$P$2:$P$1001&lt;&gt;"")*ISNUMBER(SEARCH(실물목록!$P$2:$P$1001,I1815))*(실물목록!$Q$2:$Q$1001&lt;&gt;"")*ISNUMBER(SEARCH(실물목록!$Q$2:$Q$1001,I1815))*(실물목록!$R$2:$R$1001="")*(실물목록!$O$2:$O$1001&lt;&gt;""))&gt;0,"확인필요(연도다름)","실물 없음")))))</f>
      </c>
      <c r="G1815" t="n" s="16">
        <f aca="0">IF(B1815="","",SUMPRODUCT((실물목록!$P$2:$P$1001&lt;&gt;"")*ISNUMBER(SEARCH(실물목록!$P$2:$P$1001,I1815))*(실물목록!$Q$2:$Q$1001&lt;&gt;"")*ISNUMBER(SEARCH(실물목록!$Q$2:$Q$1001,I1815))*(실물목록!$R$2:$R$1001="")*(실물목록!$O$2:$O$1001&lt;&gt;"")*(실물목록!$O$2:$O$1001=H1815)))</f>
      </c>
      <c r="H1815" t="str">
        <f>IFERROR(IF(AND(LEN(SUBSTITUTE(SUBSTITUTE(SUBSTITUTE(TRIM(A1815&amp;""),CHAR(160),"")," ",""),"년",""))=4,VALUE(SUBSTITUTE(SUBSTITUTE(SUBSTITUTE(TRIM(A1815&amp;""),CHAR(160),"")," ",""),"년",""))&gt;=1900,VALUE(SUBSTITUTE(SUBSTITUTE(SUBSTITUTE(TRIM(A1815&amp;""),CHAR(160),"")," ",""),"년",""))&lt;=2099,TEXT(VALUE(SUBSTITUTE(SUBSTITUTE(SUBSTITUTE(TRIM(A1815&amp;""),CHAR(160),"")," ",""),"년","")),"0000")=SUBSTITUTE(SUBSTITUTE(SUBSTITUTE(TRIM(A1815&amp;""),CHAR(160),"")," ",""),"년","")),SUBSTITUTE(SUBSTITUTE(SUBSTITUTE(TRIM(A1815&amp;""),CHAR(160),"")," ",""),"년",""),""),"")</f>
      </c>
      <c r="I1815" t="str">
        <f>SUBSTITUTE(SUBSTITUTE(SUBSTITUTE(SUBSTITUTE(SUBSTITUTE(TRIM(B1815&amp;""),CHAR(160),"")," ",""),"초등학교","초"),"중학교","중"),"고등학교","고")</f>
      </c>
    </row>
    <row r="1816" customFormat="false" ht="15" hidden="false" customHeight="false" outlineLevel="0" collapsed="false">
      <c r="A1816" s="8"/>
      <c r="B1816" s="8"/>
      <c r="C1816" s="8"/>
      <c r="D1816" s="8"/>
      <c r="E1816" s="8"/>
      <c r="F1816" t="str" s="15">
        <f aca="0">IF(B1816="","",IF(H1816="","확인필요(입력누락)",IF(SUMPRODUCT((실물목록!$P$2:$P$1001&lt;&gt;"")*ISNUMBER(SEARCH(실물목록!$P$2:$P$1001,I1816))*(실물목록!$Q$2:$Q$1001&lt;&gt;"")*ISNUMBER(SEARCH(실물목록!$Q$2:$Q$1001,I1816))*(실물목록!$R$2:$R$1001="")*(실물목록!$O$2:$O$1001&lt;&gt;"")*(실물목록!$O$2:$O$1001=H1816))&gt;0,"실물 있음",IF(SUMPRODUCT((실물목록!$P$2:$P$1001&lt;&gt;"")*ISNUMBER(SEARCH(실물목록!$P$2:$P$1001,I1816))*(실물목록!$R$2:$R$1001&lt;&gt;""))&gt;0,"확인필요(입력누락)",IF(SUMPRODUCT((실물목록!$P$2:$P$1001&lt;&gt;"")*ISNUMBER(SEARCH(실물목록!$P$2:$P$1001,I1816))*(실물목록!$Q$2:$Q$1001&lt;&gt;"")*ISNUMBER(SEARCH(실물목록!$Q$2:$Q$1001,I1816))*(실물목록!$R$2:$R$1001="")*(실물목록!$O$2:$O$1001&lt;&gt;""))&gt;0,"확인필요(연도다름)","실물 없음")))))</f>
      </c>
      <c r="G1816" t="n" s="16">
        <f aca="0">IF(B1816="","",SUMPRODUCT((실물목록!$P$2:$P$1001&lt;&gt;"")*ISNUMBER(SEARCH(실물목록!$P$2:$P$1001,I1816))*(실물목록!$Q$2:$Q$1001&lt;&gt;"")*ISNUMBER(SEARCH(실물목록!$Q$2:$Q$1001,I1816))*(실물목록!$R$2:$R$1001="")*(실물목록!$O$2:$O$1001&lt;&gt;"")*(실물목록!$O$2:$O$1001=H1816)))</f>
      </c>
      <c r="H1816" t="str">
        <f>IFERROR(IF(AND(LEN(SUBSTITUTE(SUBSTITUTE(SUBSTITUTE(TRIM(A1816&amp;""),CHAR(160),"")," ",""),"년",""))=4,VALUE(SUBSTITUTE(SUBSTITUTE(SUBSTITUTE(TRIM(A1816&amp;""),CHAR(160),"")," ",""),"년",""))&gt;=1900,VALUE(SUBSTITUTE(SUBSTITUTE(SUBSTITUTE(TRIM(A1816&amp;""),CHAR(160),"")," ",""),"년",""))&lt;=2099,TEXT(VALUE(SUBSTITUTE(SUBSTITUTE(SUBSTITUTE(TRIM(A1816&amp;""),CHAR(160),"")," ",""),"년","")),"0000")=SUBSTITUTE(SUBSTITUTE(SUBSTITUTE(TRIM(A1816&amp;""),CHAR(160),"")," ",""),"년","")),SUBSTITUTE(SUBSTITUTE(SUBSTITUTE(TRIM(A1816&amp;""),CHAR(160),"")," ",""),"년",""),""),"")</f>
      </c>
      <c r="I1816" t="str">
        <f>SUBSTITUTE(SUBSTITUTE(SUBSTITUTE(SUBSTITUTE(SUBSTITUTE(TRIM(B1816&amp;""),CHAR(160),"")," ",""),"초등학교","초"),"중학교","중"),"고등학교","고")</f>
      </c>
    </row>
    <row r="1817" customFormat="false" ht="15" hidden="false" customHeight="false" outlineLevel="0" collapsed="false">
      <c r="A1817" s="8"/>
      <c r="B1817" s="8"/>
      <c r="C1817" s="8"/>
      <c r="D1817" s="8"/>
      <c r="E1817" s="8"/>
      <c r="F1817" t="str" s="15">
        <f aca="0">IF(B1817="","",IF(H1817="","확인필요(입력누락)",IF(SUMPRODUCT((실물목록!$P$2:$P$1001&lt;&gt;"")*ISNUMBER(SEARCH(실물목록!$P$2:$P$1001,I1817))*(실물목록!$Q$2:$Q$1001&lt;&gt;"")*ISNUMBER(SEARCH(실물목록!$Q$2:$Q$1001,I1817))*(실물목록!$R$2:$R$1001="")*(실물목록!$O$2:$O$1001&lt;&gt;"")*(실물목록!$O$2:$O$1001=H1817))&gt;0,"실물 있음",IF(SUMPRODUCT((실물목록!$P$2:$P$1001&lt;&gt;"")*ISNUMBER(SEARCH(실물목록!$P$2:$P$1001,I1817))*(실물목록!$R$2:$R$1001&lt;&gt;""))&gt;0,"확인필요(입력누락)",IF(SUMPRODUCT((실물목록!$P$2:$P$1001&lt;&gt;"")*ISNUMBER(SEARCH(실물목록!$P$2:$P$1001,I1817))*(실물목록!$Q$2:$Q$1001&lt;&gt;"")*ISNUMBER(SEARCH(실물목록!$Q$2:$Q$1001,I1817))*(실물목록!$R$2:$R$1001="")*(실물목록!$O$2:$O$1001&lt;&gt;""))&gt;0,"확인필요(연도다름)","실물 없음")))))</f>
      </c>
      <c r="G1817" t="n" s="16">
        <f aca="0">IF(B1817="","",SUMPRODUCT((실물목록!$P$2:$P$1001&lt;&gt;"")*ISNUMBER(SEARCH(실물목록!$P$2:$P$1001,I1817))*(실물목록!$Q$2:$Q$1001&lt;&gt;"")*ISNUMBER(SEARCH(실물목록!$Q$2:$Q$1001,I1817))*(실물목록!$R$2:$R$1001="")*(실물목록!$O$2:$O$1001&lt;&gt;"")*(실물목록!$O$2:$O$1001=H1817)))</f>
      </c>
      <c r="H1817" t="str">
        <f>IFERROR(IF(AND(LEN(SUBSTITUTE(SUBSTITUTE(SUBSTITUTE(TRIM(A1817&amp;""),CHAR(160),"")," ",""),"년",""))=4,VALUE(SUBSTITUTE(SUBSTITUTE(SUBSTITUTE(TRIM(A1817&amp;""),CHAR(160),"")," ",""),"년",""))&gt;=1900,VALUE(SUBSTITUTE(SUBSTITUTE(SUBSTITUTE(TRIM(A1817&amp;""),CHAR(160),"")," ",""),"년",""))&lt;=2099,TEXT(VALUE(SUBSTITUTE(SUBSTITUTE(SUBSTITUTE(TRIM(A1817&amp;""),CHAR(160),"")," ",""),"년","")),"0000")=SUBSTITUTE(SUBSTITUTE(SUBSTITUTE(TRIM(A1817&amp;""),CHAR(160),"")," ",""),"년","")),SUBSTITUTE(SUBSTITUTE(SUBSTITUTE(TRIM(A1817&amp;""),CHAR(160),"")," ",""),"년",""),""),"")</f>
      </c>
      <c r="I1817" t="str">
        <f>SUBSTITUTE(SUBSTITUTE(SUBSTITUTE(SUBSTITUTE(SUBSTITUTE(TRIM(B1817&amp;""),CHAR(160),"")," ",""),"초등학교","초"),"중학교","중"),"고등학교","고")</f>
      </c>
    </row>
    <row r="1818" customFormat="false" ht="15" hidden="false" customHeight="false" outlineLevel="0" collapsed="false">
      <c r="A1818" s="8"/>
      <c r="B1818" s="8"/>
      <c r="C1818" s="8"/>
      <c r="D1818" s="8"/>
      <c r="E1818" s="8"/>
      <c r="F1818" t="str" s="15">
        <f aca="0">IF(B1818="","",IF(H1818="","확인필요(입력누락)",IF(SUMPRODUCT((실물목록!$P$2:$P$1001&lt;&gt;"")*ISNUMBER(SEARCH(실물목록!$P$2:$P$1001,I1818))*(실물목록!$Q$2:$Q$1001&lt;&gt;"")*ISNUMBER(SEARCH(실물목록!$Q$2:$Q$1001,I1818))*(실물목록!$R$2:$R$1001="")*(실물목록!$O$2:$O$1001&lt;&gt;"")*(실물목록!$O$2:$O$1001=H1818))&gt;0,"실물 있음",IF(SUMPRODUCT((실물목록!$P$2:$P$1001&lt;&gt;"")*ISNUMBER(SEARCH(실물목록!$P$2:$P$1001,I1818))*(실물목록!$R$2:$R$1001&lt;&gt;""))&gt;0,"확인필요(입력누락)",IF(SUMPRODUCT((실물목록!$P$2:$P$1001&lt;&gt;"")*ISNUMBER(SEARCH(실물목록!$P$2:$P$1001,I1818))*(실물목록!$Q$2:$Q$1001&lt;&gt;"")*ISNUMBER(SEARCH(실물목록!$Q$2:$Q$1001,I1818))*(실물목록!$R$2:$R$1001="")*(실물목록!$O$2:$O$1001&lt;&gt;""))&gt;0,"확인필요(연도다름)","실물 없음")))))</f>
      </c>
      <c r="G1818" t="n" s="16">
        <f aca="0">IF(B1818="","",SUMPRODUCT((실물목록!$P$2:$P$1001&lt;&gt;"")*ISNUMBER(SEARCH(실물목록!$P$2:$P$1001,I1818))*(실물목록!$Q$2:$Q$1001&lt;&gt;"")*ISNUMBER(SEARCH(실물목록!$Q$2:$Q$1001,I1818))*(실물목록!$R$2:$R$1001="")*(실물목록!$O$2:$O$1001&lt;&gt;"")*(실물목록!$O$2:$O$1001=H1818)))</f>
      </c>
      <c r="H1818" t="str">
        <f>IFERROR(IF(AND(LEN(SUBSTITUTE(SUBSTITUTE(SUBSTITUTE(TRIM(A1818&amp;""),CHAR(160),"")," ",""),"년",""))=4,VALUE(SUBSTITUTE(SUBSTITUTE(SUBSTITUTE(TRIM(A1818&amp;""),CHAR(160),"")," ",""),"년",""))&gt;=1900,VALUE(SUBSTITUTE(SUBSTITUTE(SUBSTITUTE(TRIM(A1818&amp;""),CHAR(160),"")," ",""),"년",""))&lt;=2099,TEXT(VALUE(SUBSTITUTE(SUBSTITUTE(SUBSTITUTE(TRIM(A1818&amp;""),CHAR(160),"")," ",""),"년","")),"0000")=SUBSTITUTE(SUBSTITUTE(SUBSTITUTE(TRIM(A1818&amp;""),CHAR(160),"")," ",""),"년","")),SUBSTITUTE(SUBSTITUTE(SUBSTITUTE(TRIM(A1818&amp;""),CHAR(160),"")," ",""),"년",""),""),"")</f>
      </c>
      <c r="I1818" t="str">
        <f>SUBSTITUTE(SUBSTITUTE(SUBSTITUTE(SUBSTITUTE(SUBSTITUTE(TRIM(B1818&amp;""),CHAR(160),"")," ",""),"초등학교","초"),"중학교","중"),"고등학교","고")</f>
      </c>
    </row>
    <row r="1819" customFormat="false" ht="15" hidden="false" customHeight="false" outlineLevel="0" collapsed="false">
      <c r="A1819" s="8"/>
      <c r="B1819" s="8"/>
      <c r="C1819" s="8"/>
      <c r="D1819" s="8"/>
      <c r="E1819" s="8"/>
      <c r="F1819" t="str" s="15">
        <f aca="0">IF(B1819="","",IF(H1819="","확인필요(입력누락)",IF(SUMPRODUCT((실물목록!$P$2:$P$1001&lt;&gt;"")*ISNUMBER(SEARCH(실물목록!$P$2:$P$1001,I1819))*(실물목록!$Q$2:$Q$1001&lt;&gt;"")*ISNUMBER(SEARCH(실물목록!$Q$2:$Q$1001,I1819))*(실물목록!$R$2:$R$1001="")*(실물목록!$O$2:$O$1001&lt;&gt;"")*(실물목록!$O$2:$O$1001=H1819))&gt;0,"실물 있음",IF(SUMPRODUCT((실물목록!$P$2:$P$1001&lt;&gt;"")*ISNUMBER(SEARCH(실물목록!$P$2:$P$1001,I1819))*(실물목록!$R$2:$R$1001&lt;&gt;""))&gt;0,"확인필요(입력누락)",IF(SUMPRODUCT((실물목록!$P$2:$P$1001&lt;&gt;"")*ISNUMBER(SEARCH(실물목록!$P$2:$P$1001,I1819))*(실물목록!$Q$2:$Q$1001&lt;&gt;"")*ISNUMBER(SEARCH(실물목록!$Q$2:$Q$1001,I1819))*(실물목록!$R$2:$R$1001="")*(실물목록!$O$2:$O$1001&lt;&gt;""))&gt;0,"확인필요(연도다름)","실물 없음")))))</f>
      </c>
      <c r="G1819" t="n" s="16">
        <f aca="0">IF(B1819="","",SUMPRODUCT((실물목록!$P$2:$P$1001&lt;&gt;"")*ISNUMBER(SEARCH(실물목록!$P$2:$P$1001,I1819))*(실물목록!$Q$2:$Q$1001&lt;&gt;"")*ISNUMBER(SEARCH(실물목록!$Q$2:$Q$1001,I1819))*(실물목록!$R$2:$R$1001="")*(실물목록!$O$2:$O$1001&lt;&gt;"")*(실물목록!$O$2:$O$1001=H1819)))</f>
      </c>
      <c r="H1819" t="str">
        <f>IFERROR(IF(AND(LEN(SUBSTITUTE(SUBSTITUTE(SUBSTITUTE(TRIM(A1819&amp;""),CHAR(160),"")," ",""),"년",""))=4,VALUE(SUBSTITUTE(SUBSTITUTE(SUBSTITUTE(TRIM(A1819&amp;""),CHAR(160),"")," ",""),"년",""))&gt;=1900,VALUE(SUBSTITUTE(SUBSTITUTE(SUBSTITUTE(TRIM(A1819&amp;""),CHAR(160),"")," ",""),"년",""))&lt;=2099,TEXT(VALUE(SUBSTITUTE(SUBSTITUTE(SUBSTITUTE(TRIM(A1819&amp;""),CHAR(160),"")," ",""),"년","")),"0000")=SUBSTITUTE(SUBSTITUTE(SUBSTITUTE(TRIM(A1819&amp;""),CHAR(160),"")," ",""),"년","")),SUBSTITUTE(SUBSTITUTE(SUBSTITUTE(TRIM(A1819&amp;""),CHAR(160),"")," ",""),"년",""),""),"")</f>
      </c>
      <c r="I1819" t="str">
        <f>SUBSTITUTE(SUBSTITUTE(SUBSTITUTE(SUBSTITUTE(SUBSTITUTE(TRIM(B1819&amp;""),CHAR(160),"")," ",""),"초등학교","초"),"중학교","중"),"고등학교","고")</f>
      </c>
    </row>
    <row r="1820" customFormat="false" ht="15" hidden="false" customHeight="false" outlineLevel="0" collapsed="false">
      <c r="A1820" s="8"/>
      <c r="B1820" s="8"/>
      <c r="C1820" s="8"/>
      <c r="D1820" s="8"/>
      <c r="E1820" s="8"/>
      <c r="F1820" t="str" s="15">
        <f aca="0">IF(B1820="","",IF(H1820="","확인필요(입력누락)",IF(SUMPRODUCT((실물목록!$P$2:$P$1001&lt;&gt;"")*ISNUMBER(SEARCH(실물목록!$P$2:$P$1001,I1820))*(실물목록!$Q$2:$Q$1001&lt;&gt;"")*ISNUMBER(SEARCH(실물목록!$Q$2:$Q$1001,I1820))*(실물목록!$R$2:$R$1001="")*(실물목록!$O$2:$O$1001&lt;&gt;"")*(실물목록!$O$2:$O$1001=H1820))&gt;0,"실물 있음",IF(SUMPRODUCT((실물목록!$P$2:$P$1001&lt;&gt;"")*ISNUMBER(SEARCH(실물목록!$P$2:$P$1001,I1820))*(실물목록!$R$2:$R$1001&lt;&gt;""))&gt;0,"확인필요(입력누락)",IF(SUMPRODUCT((실물목록!$P$2:$P$1001&lt;&gt;"")*ISNUMBER(SEARCH(실물목록!$P$2:$P$1001,I1820))*(실물목록!$Q$2:$Q$1001&lt;&gt;"")*ISNUMBER(SEARCH(실물목록!$Q$2:$Q$1001,I1820))*(실물목록!$R$2:$R$1001="")*(실물목록!$O$2:$O$1001&lt;&gt;""))&gt;0,"확인필요(연도다름)","실물 없음")))))</f>
      </c>
      <c r="G1820" t="n" s="16">
        <f aca="0">IF(B1820="","",SUMPRODUCT((실물목록!$P$2:$P$1001&lt;&gt;"")*ISNUMBER(SEARCH(실물목록!$P$2:$P$1001,I1820))*(실물목록!$Q$2:$Q$1001&lt;&gt;"")*ISNUMBER(SEARCH(실물목록!$Q$2:$Q$1001,I1820))*(실물목록!$R$2:$R$1001="")*(실물목록!$O$2:$O$1001&lt;&gt;"")*(실물목록!$O$2:$O$1001=H1820)))</f>
      </c>
      <c r="H1820" t="str">
        <f>IFERROR(IF(AND(LEN(SUBSTITUTE(SUBSTITUTE(SUBSTITUTE(TRIM(A1820&amp;""),CHAR(160),"")," ",""),"년",""))=4,VALUE(SUBSTITUTE(SUBSTITUTE(SUBSTITUTE(TRIM(A1820&amp;""),CHAR(160),"")," ",""),"년",""))&gt;=1900,VALUE(SUBSTITUTE(SUBSTITUTE(SUBSTITUTE(TRIM(A1820&amp;""),CHAR(160),"")," ",""),"년",""))&lt;=2099,TEXT(VALUE(SUBSTITUTE(SUBSTITUTE(SUBSTITUTE(TRIM(A1820&amp;""),CHAR(160),"")," ",""),"년","")),"0000")=SUBSTITUTE(SUBSTITUTE(SUBSTITUTE(TRIM(A1820&amp;""),CHAR(160),"")," ",""),"년","")),SUBSTITUTE(SUBSTITUTE(SUBSTITUTE(TRIM(A1820&amp;""),CHAR(160),"")," ",""),"년",""),""),"")</f>
      </c>
      <c r="I1820" t="str">
        <f>SUBSTITUTE(SUBSTITUTE(SUBSTITUTE(SUBSTITUTE(SUBSTITUTE(TRIM(B1820&amp;""),CHAR(160),"")," ",""),"초등학교","초"),"중학교","중"),"고등학교","고")</f>
      </c>
    </row>
    <row r="1821" customFormat="false" ht="15" hidden="false" customHeight="false" outlineLevel="0" collapsed="false">
      <c r="A1821" s="8"/>
      <c r="B1821" s="8"/>
      <c r="C1821" s="8"/>
      <c r="D1821" s="8"/>
      <c r="E1821" s="8"/>
      <c r="F1821" t="str" s="15">
        <f aca="0">IF(B1821="","",IF(H1821="","확인필요(입력누락)",IF(SUMPRODUCT((실물목록!$P$2:$P$1001&lt;&gt;"")*ISNUMBER(SEARCH(실물목록!$P$2:$P$1001,I1821))*(실물목록!$Q$2:$Q$1001&lt;&gt;"")*ISNUMBER(SEARCH(실물목록!$Q$2:$Q$1001,I1821))*(실물목록!$R$2:$R$1001="")*(실물목록!$O$2:$O$1001&lt;&gt;"")*(실물목록!$O$2:$O$1001=H1821))&gt;0,"실물 있음",IF(SUMPRODUCT((실물목록!$P$2:$P$1001&lt;&gt;"")*ISNUMBER(SEARCH(실물목록!$P$2:$P$1001,I1821))*(실물목록!$R$2:$R$1001&lt;&gt;""))&gt;0,"확인필요(입력누락)",IF(SUMPRODUCT((실물목록!$P$2:$P$1001&lt;&gt;"")*ISNUMBER(SEARCH(실물목록!$P$2:$P$1001,I1821))*(실물목록!$Q$2:$Q$1001&lt;&gt;"")*ISNUMBER(SEARCH(실물목록!$Q$2:$Q$1001,I1821))*(실물목록!$R$2:$R$1001="")*(실물목록!$O$2:$O$1001&lt;&gt;""))&gt;0,"확인필요(연도다름)","실물 없음")))))</f>
      </c>
      <c r="G1821" t="n" s="16">
        <f aca="0">IF(B1821="","",SUMPRODUCT((실물목록!$P$2:$P$1001&lt;&gt;"")*ISNUMBER(SEARCH(실물목록!$P$2:$P$1001,I1821))*(실물목록!$Q$2:$Q$1001&lt;&gt;"")*ISNUMBER(SEARCH(실물목록!$Q$2:$Q$1001,I1821))*(실물목록!$R$2:$R$1001="")*(실물목록!$O$2:$O$1001&lt;&gt;"")*(실물목록!$O$2:$O$1001=H1821)))</f>
      </c>
      <c r="H1821" t="str">
        <f>IFERROR(IF(AND(LEN(SUBSTITUTE(SUBSTITUTE(SUBSTITUTE(TRIM(A1821&amp;""),CHAR(160),"")," ",""),"년",""))=4,VALUE(SUBSTITUTE(SUBSTITUTE(SUBSTITUTE(TRIM(A1821&amp;""),CHAR(160),"")," ",""),"년",""))&gt;=1900,VALUE(SUBSTITUTE(SUBSTITUTE(SUBSTITUTE(TRIM(A1821&amp;""),CHAR(160),"")," ",""),"년",""))&lt;=2099,TEXT(VALUE(SUBSTITUTE(SUBSTITUTE(SUBSTITUTE(TRIM(A1821&amp;""),CHAR(160),"")," ",""),"년","")),"0000")=SUBSTITUTE(SUBSTITUTE(SUBSTITUTE(TRIM(A1821&amp;""),CHAR(160),"")," ",""),"년","")),SUBSTITUTE(SUBSTITUTE(SUBSTITUTE(TRIM(A1821&amp;""),CHAR(160),"")," ",""),"년",""),""),"")</f>
      </c>
      <c r="I1821" t="str">
        <f>SUBSTITUTE(SUBSTITUTE(SUBSTITUTE(SUBSTITUTE(SUBSTITUTE(TRIM(B1821&amp;""),CHAR(160),"")," ",""),"초등학교","초"),"중학교","중"),"고등학교","고")</f>
      </c>
    </row>
    <row r="1822" customFormat="false" ht="15" hidden="false" customHeight="false" outlineLevel="0" collapsed="false">
      <c r="A1822" s="8"/>
      <c r="B1822" s="8"/>
      <c r="C1822" s="8"/>
      <c r="D1822" s="8"/>
      <c r="E1822" s="8"/>
      <c r="F1822" t="str" s="15">
        <f aca="0">IF(B1822="","",IF(H1822="","확인필요(입력누락)",IF(SUMPRODUCT((실물목록!$P$2:$P$1001&lt;&gt;"")*ISNUMBER(SEARCH(실물목록!$P$2:$P$1001,I1822))*(실물목록!$Q$2:$Q$1001&lt;&gt;"")*ISNUMBER(SEARCH(실물목록!$Q$2:$Q$1001,I1822))*(실물목록!$R$2:$R$1001="")*(실물목록!$O$2:$O$1001&lt;&gt;"")*(실물목록!$O$2:$O$1001=H1822))&gt;0,"실물 있음",IF(SUMPRODUCT((실물목록!$P$2:$P$1001&lt;&gt;"")*ISNUMBER(SEARCH(실물목록!$P$2:$P$1001,I1822))*(실물목록!$R$2:$R$1001&lt;&gt;""))&gt;0,"확인필요(입력누락)",IF(SUMPRODUCT((실물목록!$P$2:$P$1001&lt;&gt;"")*ISNUMBER(SEARCH(실물목록!$P$2:$P$1001,I1822))*(실물목록!$Q$2:$Q$1001&lt;&gt;"")*ISNUMBER(SEARCH(실물목록!$Q$2:$Q$1001,I1822))*(실물목록!$R$2:$R$1001="")*(실물목록!$O$2:$O$1001&lt;&gt;""))&gt;0,"확인필요(연도다름)","실물 없음")))))</f>
      </c>
      <c r="G1822" t="n" s="16">
        <f aca="0">IF(B1822="","",SUMPRODUCT((실물목록!$P$2:$P$1001&lt;&gt;"")*ISNUMBER(SEARCH(실물목록!$P$2:$P$1001,I1822))*(실물목록!$Q$2:$Q$1001&lt;&gt;"")*ISNUMBER(SEARCH(실물목록!$Q$2:$Q$1001,I1822))*(실물목록!$R$2:$R$1001="")*(실물목록!$O$2:$O$1001&lt;&gt;"")*(실물목록!$O$2:$O$1001=H1822)))</f>
      </c>
      <c r="H1822" t="str">
        <f>IFERROR(IF(AND(LEN(SUBSTITUTE(SUBSTITUTE(SUBSTITUTE(TRIM(A1822&amp;""),CHAR(160),"")," ",""),"년",""))=4,VALUE(SUBSTITUTE(SUBSTITUTE(SUBSTITUTE(TRIM(A1822&amp;""),CHAR(160),"")," ",""),"년",""))&gt;=1900,VALUE(SUBSTITUTE(SUBSTITUTE(SUBSTITUTE(TRIM(A1822&amp;""),CHAR(160),"")," ",""),"년",""))&lt;=2099,TEXT(VALUE(SUBSTITUTE(SUBSTITUTE(SUBSTITUTE(TRIM(A1822&amp;""),CHAR(160),"")," ",""),"년","")),"0000")=SUBSTITUTE(SUBSTITUTE(SUBSTITUTE(TRIM(A1822&amp;""),CHAR(160),"")," ",""),"년","")),SUBSTITUTE(SUBSTITUTE(SUBSTITUTE(TRIM(A1822&amp;""),CHAR(160),"")," ",""),"년",""),""),"")</f>
      </c>
      <c r="I1822" t="str">
        <f>SUBSTITUTE(SUBSTITUTE(SUBSTITUTE(SUBSTITUTE(SUBSTITUTE(TRIM(B1822&amp;""),CHAR(160),"")," ",""),"초등학교","초"),"중학교","중"),"고등학교","고")</f>
      </c>
    </row>
    <row r="1823" customFormat="false" ht="15" hidden="false" customHeight="false" outlineLevel="0" collapsed="false">
      <c r="A1823" s="8"/>
      <c r="B1823" s="8"/>
      <c r="C1823" s="8"/>
      <c r="D1823" s="8"/>
      <c r="E1823" s="8"/>
      <c r="F1823" t="str" s="15">
        <f aca="0">IF(B1823="","",IF(H1823="","확인필요(입력누락)",IF(SUMPRODUCT((실물목록!$P$2:$P$1001&lt;&gt;"")*ISNUMBER(SEARCH(실물목록!$P$2:$P$1001,I1823))*(실물목록!$Q$2:$Q$1001&lt;&gt;"")*ISNUMBER(SEARCH(실물목록!$Q$2:$Q$1001,I1823))*(실물목록!$R$2:$R$1001="")*(실물목록!$O$2:$O$1001&lt;&gt;"")*(실물목록!$O$2:$O$1001=H1823))&gt;0,"실물 있음",IF(SUMPRODUCT((실물목록!$P$2:$P$1001&lt;&gt;"")*ISNUMBER(SEARCH(실물목록!$P$2:$P$1001,I1823))*(실물목록!$R$2:$R$1001&lt;&gt;""))&gt;0,"확인필요(입력누락)",IF(SUMPRODUCT((실물목록!$P$2:$P$1001&lt;&gt;"")*ISNUMBER(SEARCH(실물목록!$P$2:$P$1001,I1823))*(실물목록!$Q$2:$Q$1001&lt;&gt;"")*ISNUMBER(SEARCH(실물목록!$Q$2:$Q$1001,I1823))*(실물목록!$R$2:$R$1001="")*(실물목록!$O$2:$O$1001&lt;&gt;""))&gt;0,"확인필요(연도다름)","실물 없음")))))</f>
      </c>
      <c r="G1823" t="n" s="16">
        <f aca="0">IF(B1823="","",SUMPRODUCT((실물목록!$P$2:$P$1001&lt;&gt;"")*ISNUMBER(SEARCH(실물목록!$P$2:$P$1001,I1823))*(실물목록!$Q$2:$Q$1001&lt;&gt;"")*ISNUMBER(SEARCH(실물목록!$Q$2:$Q$1001,I1823))*(실물목록!$R$2:$R$1001="")*(실물목록!$O$2:$O$1001&lt;&gt;"")*(실물목록!$O$2:$O$1001=H1823)))</f>
      </c>
      <c r="H1823" t="str">
        <f>IFERROR(IF(AND(LEN(SUBSTITUTE(SUBSTITUTE(SUBSTITUTE(TRIM(A1823&amp;""),CHAR(160),"")," ",""),"년",""))=4,VALUE(SUBSTITUTE(SUBSTITUTE(SUBSTITUTE(TRIM(A1823&amp;""),CHAR(160),"")," ",""),"년",""))&gt;=1900,VALUE(SUBSTITUTE(SUBSTITUTE(SUBSTITUTE(TRIM(A1823&amp;""),CHAR(160),"")," ",""),"년",""))&lt;=2099,TEXT(VALUE(SUBSTITUTE(SUBSTITUTE(SUBSTITUTE(TRIM(A1823&amp;""),CHAR(160),"")," ",""),"년","")),"0000")=SUBSTITUTE(SUBSTITUTE(SUBSTITUTE(TRIM(A1823&amp;""),CHAR(160),"")," ",""),"년","")),SUBSTITUTE(SUBSTITUTE(SUBSTITUTE(TRIM(A1823&amp;""),CHAR(160),"")," ",""),"년",""),""),"")</f>
      </c>
      <c r="I1823" t="str">
        <f>SUBSTITUTE(SUBSTITUTE(SUBSTITUTE(SUBSTITUTE(SUBSTITUTE(TRIM(B1823&amp;""),CHAR(160),"")," ",""),"초등학교","초"),"중학교","중"),"고등학교","고")</f>
      </c>
    </row>
    <row r="1824" customFormat="false" ht="15" hidden="false" customHeight="false" outlineLevel="0" collapsed="false">
      <c r="A1824" s="8"/>
      <c r="B1824" s="8"/>
      <c r="C1824" s="8"/>
      <c r="D1824" s="8"/>
      <c r="E1824" s="8"/>
      <c r="F1824" t="str" s="15">
        <f aca="0">IF(B1824="","",IF(H1824="","확인필요(입력누락)",IF(SUMPRODUCT((실물목록!$P$2:$P$1001&lt;&gt;"")*ISNUMBER(SEARCH(실물목록!$P$2:$P$1001,I1824))*(실물목록!$Q$2:$Q$1001&lt;&gt;"")*ISNUMBER(SEARCH(실물목록!$Q$2:$Q$1001,I1824))*(실물목록!$R$2:$R$1001="")*(실물목록!$O$2:$O$1001&lt;&gt;"")*(실물목록!$O$2:$O$1001=H1824))&gt;0,"실물 있음",IF(SUMPRODUCT((실물목록!$P$2:$P$1001&lt;&gt;"")*ISNUMBER(SEARCH(실물목록!$P$2:$P$1001,I1824))*(실물목록!$R$2:$R$1001&lt;&gt;""))&gt;0,"확인필요(입력누락)",IF(SUMPRODUCT((실물목록!$P$2:$P$1001&lt;&gt;"")*ISNUMBER(SEARCH(실물목록!$P$2:$P$1001,I1824))*(실물목록!$Q$2:$Q$1001&lt;&gt;"")*ISNUMBER(SEARCH(실물목록!$Q$2:$Q$1001,I1824))*(실물목록!$R$2:$R$1001="")*(실물목록!$O$2:$O$1001&lt;&gt;""))&gt;0,"확인필요(연도다름)","실물 없음")))))</f>
      </c>
      <c r="G1824" t="n" s="16">
        <f aca="0">IF(B1824="","",SUMPRODUCT((실물목록!$P$2:$P$1001&lt;&gt;"")*ISNUMBER(SEARCH(실물목록!$P$2:$P$1001,I1824))*(실물목록!$Q$2:$Q$1001&lt;&gt;"")*ISNUMBER(SEARCH(실물목록!$Q$2:$Q$1001,I1824))*(실물목록!$R$2:$R$1001="")*(실물목록!$O$2:$O$1001&lt;&gt;"")*(실물목록!$O$2:$O$1001=H1824)))</f>
      </c>
      <c r="H1824" t="str">
        <f>IFERROR(IF(AND(LEN(SUBSTITUTE(SUBSTITUTE(SUBSTITUTE(TRIM(A1824&amp;""),CHAR(160),"")," ",""),"년",""))=4,VALUE(SUBSTITUTE(SUBSTITUTE(SUBSTITUTE(TRIM(A1824&amp;""),CHAR(160),"")," ",""),"년",""))&gt;=1900,VALUE(SUBSTITUTE(SUBSTITUTE(SUBSTITUTE(TRIM(A1824&amp;""),CHAR(160),"")," ",""),"년",""))&lt;=2099,TEXT(VALUE(SUBSTITUTE(SUBSTITUTE(SUBSTITUTE(TRIM(A1824&amp;""),CHAR(160),"")," ",""),"년","")),"0000")=SUBSTITUTE(SUBSTITUTE(SUBSTITUTE(TRIM(A1824&amp;""),CHAR(160),"")," ",""),"년","")),SUBSTITUTE(SUBSTITUTE(SUBSTITUTE(TRIM(A1824&amp;""),CHAR(160),"")," ",""),"년",""),""),"")</f>
      </c>
      <c r="I1824" t="str">
        <f>SUBSTITUTE(SUBSTITUTE(SUBSTITUTE(SUBSTITUTE(SUBSTITUTE(TRIM(B1824&amp;""),CHAR(160),"")," ",""),"초등학교","초"),"중학교","중"),"고등학교","고")</f>
      </c>
    </row>
    <row r="1825" customFormat="false" ht="15" hidden="false" customHeight="false" outlineLevel="0" collapsed="false">
      <c r="A1825" s="8"/>
      <c r="B1825" s="8"/>
      <c r="C1825" s="8"/>
      <c r="D1825" s="8"/>
      <c r="E1825" s="8"/>
      <c r="F1825" t="str" s="15">
        <f aca="0">IF(B1825="","",IF(H1825="","확인필요(입력누락)",IF(SUMPRODUCT((실물목록!$P$2:$P$1001&lt;&gt;"")*ISNUMBER(SEARCH(실물목록!$P$2:$P$1001,I1825))*(실물목록!$Q$2:$Q$1001&lt;&gt;"")*ISNUMBER(SEARCH(실물목록!$Q$2:$Q$1001,I1825))*(실물목록!$R$2:$R$1001="")*(실물목록!$O$2:$O$1001&lt;&gt;"")*(실물목록!$O$2:$O$1001=H1825))&gt;0,"실물 있음",IF(SUMPRODUCT((실물목록!$P$2:$P$1001&lt;&gt;"")*ISNUMBER(SEARCH(실물목록!$P$2:$P$1001,I1825))*(실물목록!$R$2:$R$1001&lt;&gt;""))&gt;0,"확인필요(입력누락)",IF(SUMPRODUCT((실물목록!$P$2:$P$1001&lt;&gt;"")*ISNUMBER(SEARCH(실물목록!$P$2:$P$1001,I1825))*(실물목록!$Q$2:$Q$1001&lt;&gt;"")*ISNUMBER(SEARCH(실물목록!$Q$2:$Q$1001,I1825))*(실물목록!$R$2:$R$1001="")*(실물목록!$O$2:$O$1001&lt;&gt;""))&gt;0,"확인필요(연도다름)","실물 없음")))))</f>
      </c>
      <c r="G1825" t="n" s="16">
        <f aca="0">IF(B1825="","",SUMPRODUCT((실물목록!$P$2:$P$1001&lt;&gt;"")*ISNUMBER(SEARCH(실물목록!$P$2:$P$1001,I1825))*(실물목록!$Q$2:$Q$1001&lt;&gt;"")*ISNUMBER(SEARCH(실물목록!$Q$2:$Q$1001,I1825))*(실물목록!$R$2:$R$1001="")*(실물목록!$O$2:$O$1001&lt;&gt;"")*(실물목록!$O$2:$O$1001=H1825)))</f>
      </c>
      <c r="H1825" t="str">
        <f>IFERROR(IF(AND(LEN(SUBSTITUTE(SUBSTITUTE(SUBSTITUTE(TRIM(A1825&amp;""),CHAR(160),"")," ",""),"년",""))=4,VALUE(SUBSTITUTE(SUBSTITUTE(SUBSTITUTE(TRIM(A1825&amp;""),CHAR(160),"")," ",""),"년",""))&gt;=1900,VALUE(SUBSTITUTE(SUBSTITUTE(SUBSTITUTE(TRIM(A1825&amp;""),CHAR(160),"")," ",""),"년",""))&lt;=2099,TEXT(VALUE(SUBSTITUTE(SUBSTITUTE(SUBSTITUTE(TRIM(A1825&amp;""),CHAR(160),"")," ",""),"년","")),"0000")=SUBSTITUTE(SUBSTITUTE(SUBSTITUTE(TRIM(A1825&amp;""),CHAR(160),"")," ",""),"년","")),SUBSTITUTE(SUBSTITUTE(SUBSTITUTE(TRIM(A1825&amp;""),CHAR(160),"")," ",""),"년",""),""),"")</f>
      </c>
      <c r="I1825" t="str">
        <f>SUBSTITUTE(SUBSTITUTE(SUBSTITUTE(SUBSTITUTE(SUBSTITUTE(TRIM(B1825&amp;""),CHAR(160),"")," ",""),"초등학교","초"),"중학교","중"),"고등학교","고")</f>
      </c>
    </row>
    <row r="1826" customFormat="false" ht="15" hidden="false" customHeight="false" outlineLevel="0" collapsed="false">
      <c r="A1826" s="8"/>
      <c r="B1826" s="8"/>
      <c r="C1826" s="8"/>
      <c r="D1826" s="8"/>
      <c r="E1826" s="8"/>
      <c r="F1826" t="str" s="15">
        <f aca="0">IF(B1826="","",IF(H1826="","확인필요(입력누락)",IF(SUMPRODUCT((실물목록!$P$2:$P$1001&lt;&gt;"")*ISNUMBER(SEARCH(실물목록!$P$2:$P$1001,I1826))*(실물목록!$Q$2:$Q$1001&lt;&gt;"")*ISNUMBER(SEARCH(실물목록!$Q$2:$Q$1001,I1826))*(실물목록!$R$2:$R$1001="")*(실물목록!$O$2:$O$1001&lt;&gt;"")*(실물목록!$O$2:$O$1001=H1826))&gt;0,"실물 있음",IF(SUMPRODUCT((실물목록!$P$2:$P$1001&lt;&gt;"")*ISNUMBER(SEARCH(실물목록!$P$2:$P$1001,I1826))*(실물목록!$R$2:$R$1001&lt;&gt;""))&gt;0,"확인필요(입력누락)",IF(SUMPRODUCT((실물목록!$P$2:$P$1001&lt;&gt;"")*ISNUMBER(SEARCH(실물목록!$P$2:$P$1001,I1826))*(실물목록!$Q$2:$Q$1001&lt;&gt;"")*ISNUMBER(SEARCH(실물목록!$Q$2:$Q$1001,I1826))*(실물목록!$R$2:$R$1001="")*(실물목록!$O$2:$O$1001&lt;&gt;""))&gt;0,"확인필요(연도다름)","실물 없음")))))</f>
      </c>
      <c r="G1826" t="n" s="16">
        <f aca="0">IF(B1826="","",SUMPRODUCT((실물목록!$P$2:$P$1001&lt;&gt;"")*ISNUMBER(SEARCH(실물목록!$P$2:$P$1001,I1826))*(실물목록!$Q$2:$Q$1001&lt;&gt;"")*ISNUMBER(SEARCH(실물목록!$Q$2:$Q$1001,I1826))*(실물목록!$R$2:$R$1001="")*(실물목록!$O$2:$O$1001&lt;&gt;"")*(실물목록!$O$2:$O$1001=H1826)))</f>
      </c>
      <c r="H1826" t="str">
        <f>IFERROR(IF(AND(LEN(SUBSTITUTE(SUBSTITUTE(SUBSTITUTE(TRIM(A1826&amp;""),CHAR(160),"")," ",""),"년",""))=4,VALUE(SUBSTITUTE(SUBSTITUTE(SUBSTITUTE(TRIM(A1826&amp;""),CHAR(160),"")," ",""),"년",""))&gt;=1900,VALUE(SUBSTITUTE(SUBSTITUTE(SUBSTITUTE(TRIM(A1826&amp;""),CHAR(160),"")," ",""),"년",""))&lt;=2099,TEXT(VALUE(SUBSTITUTE(SUBSTITUTE(SUBSTITUTE(TRIM(A1826&amp;""),CHAR(160),"")," ",""),"년","")),"0000")=SUBSTITUTE(SUBSTITUTE(SUBSTITUTE(TRIM(A1826&amp;""),CHAR(160),"")," ",""),"년","")),SUBSTITUTE(SUBSTITUTE(SUBSTITUTE(TRIM(A1826&amp;""),CHAR(160),"")," ",""),"년",""),""),"")</f>
      </c>
      <c r="I1826" t="str">
        <f>SUBSTITUTE(SUBSTITUTE(SUBSTITUTE(SUBSTITUTE(SUBSTITUTE(TRIM(B1826&amp;""),CHAR(160),"")," ",""),"초등학교","초"),"중학교","중"),"고등학교","고")</f>
      </c>
    </row>
    <row r="1827" customFormat="false" ht="15" hidden="false" customHeight="false" outlineLevel="0" collapsed="false">
      <c r="A1827" s="8"/>
      <c r="B1827" s="8"/>
      <c r="C1827" s="8"/>
      <c r="D1827" s="8"/>
      <c r="E1827" s="8"/>
      <c r="F1827" t="str" s="15">
        <f aca="0">IF(B1827="","",IF(H1827="","확인필요(입력누락)",IF(SUMPRODUCT((실물목록!$P$2:$P$1001&lt;&gt;"")*ISNUMBER(SEARCH(실물목록!$P$2:$P$1001,I1827))*(실물목록!$Q$2:$Q$1001&lt;&gt;"")*ISNUMBER(SEARCH(실물목록!$Q$2:$Q$1001,I1827))*(실물목록!$R$2:$R$1001="")*(실물목록!$O$2:$O$1001&lt;&gt;"")*(실물목록!$O$2:$O$1001=H1827))&gt;0,"실물 있음",IF(SUMPRODUCT((실물목록!$P$2:$P$1001&lt;&gt;"")*ISNUMBER(SEARCH(실물목록!$P$2:$P$1001,I1827))*(실물목록!$R$2:$R$1001&lt;&gt;""))&gt;0,"확인필요(입력누락)",IF(SUMPRODUCT((실물목록!$P$2:$P$1001&lt;&gt;"")*ISNUMBER(SEARCH(실물목록!$P$2:$P$1001,I1827))*(실물목록!$Q$2:$Q$1001&lt;&gt;"")*ISNUMBER(SEARCH(실물목록!$Q$2:$Q$1001,I1827))*(실물목록!$R$2:$R$1001="")*(실물목록!$O$2:$O$1001&lt;&gt;""))&gt;0,"확인필요(연도다름)","실물 없음")))))</f>
      </c>
      <c r="G1827" t="n" s="16">
        <f aca="0">IF(B1827="","",SUMPRODUCT((실물목록!$P$2:$P$1001&lt;&gt;"")*ISNUMBER(SEARCH(실물목록!$P$2:$P$1001,I1827))*(실물목록!$Q$2:$Q$1001&lt;&gt;"")*ISNUMBER(SEARCH(실물목록!$Q$2:$Q$1001,I1827))*(실물목록!$R$2:$R$1001="")*(실물목록!$O$2:$O$1001&lt;&gt;"")*(실물목록!$O$2:$O$1001=H1827)))</f>
      </c>
      <c r="H1827" t="str">
        <f>IFERROR(IF(AND(LEN(SUBSTITUTE(SUBSTITUTE(SUBSTITUTE(TRIM(A1827&amp;""),CHAR(160),"")," ",""),"년",""))=4,VALUE(SUBSTITUTE(SUBSTITUTE(SUBSTITUTE(TRIM(A1827&amp;""),CHAR(160),"")," ",""),"년",""))&gt;=1900,VALUE(SUBSTITUTE(SUBSTITUTE(SUBSTITUTE(TRIM(A1827&amp;""),CHAR(160),"")," ",""),"년",""))&lt;=2099,TEXT(VALUE(SUBSTITUTE(SUBSTITUTE(SUBSTITUTE(TRIM(A1827&amp;""),CHAR(160),"")," ",""),"년","")),"0000")=SUBSTITUTE(SUBSTITUTE(SUBSTITUTE(TRIM(A1827&amp;""),CHAR(160),"")," ",""),"년","")),SUBSTITUTE(SUBSTITUTE(SUBSTITUTE(TRIM(A1827&amp;""),CHAR(160),"")," ",""),"년",""),""),"")</f>
      </c>
      <c r="I1827" t="str">
        <f>SUBSTITUTE(SUBSTITUTE(SUBSTITUTE(SUBSTITUTE(SUBSTITUTE(TRIM(B1827&amp;""),CHAR(160),"")," ",""),"초등학교","초"),"중학교","중"),"고등학교","고")</f>
      </c>
    </row>
    <row r="1828" customFormat="false" ht="15" hidden="false" customHeight="false" outlineLevel="0" collapsed="false">
      <c r="A1828" s="8"/>
      <c r="B1828" s="8"/>
      <c r="C1828" s="8"/>
      <c r="D1828" s="8"/>
      <c r="E1828" s="8"/>
      <c r="F1828" t="str" s="15">
        <f aca="0">IF(B1828="","",IF(H1828="","확인필요(입력누락)",IF(SUMPRODUCT((실물목록!$P$2:$P$1001&lt;&gt;"")*ISNUMBER(SEARCH(실물목록!$P$2:$P$1001,I1828))*(실물목록!$Q$2:$Q$1001&lt;&gt;"")*ISNUMBER(SEARCH(실물목록!$Q$2:$Q$1001,I1828))*(실물목록!$R$2:$R$1001="")*(실물목록!$O$2:$O$1001&lt;&gt;"")*(실물목록!$O$2:$O$1001=H1828))&gt;0,"실물 있음",IF(SUMPRODUCT((실물목록!$P$2:$P$1001&lt;&gt;"")*ISNUMBER(SEARCH(실물목록!$P$2:$P$1001,I1828))*(실물목록!$R$2:$R$1001&lt;&gt;""))&gt;0,"확인필요(입력누락)",IF(SUMPRODUCT((실물목록!$P$2:$P$1001&lt;&gt;"")*ISNUMBER(SEARCH(실물목록!$P$2:$P$1001,I1828))*(실물목록!$Q$2:$Q$1001&lt;&gt;"")*ISNUMBER(SEARCH(실물목록!$Q$2:$Q$1001,I1828))*(실물목록!$R$2:$R$1001="")*(실물목록!$O$2:$O$1001&lt;&gt;""))&gt;0,"확인필요(연도다름)","실물 없음")))))</f>
      </c>
      <c r="G1828" t="n" s="16">
        <f aca="0">IF(B1828="","",SUMPRODUCT((실물목록!$P$2:$P$1001&lt;&gt;"")*ISNUMBER(SEARCH(실물목록!$P$2:$P$1001,I1828))*(실물목록!$Q$2:$Q$1001&lt;&gt;"")*ISNUMBER(SEARCH(실물목록!$Q$2:$Q$1001,I1828))*(실물목록!$R$2:$R$1001="")*(실물목록!$O$2:$O$1001&lt;&gt;"")*(실물목록!$O$2:$O$1001=H1828)))</f>
      </c>
      <c r="H1828" t="str">
        <f>IFERROR(IF(AND(LEN(SUBSTITUTE(SUBSTITUTE(SUBSTITUTE(TRIM(A1828&amp;""),CHAR(160),"")," ",""),"년",""))=4,VALUE(SUBSTITUTE(SUBSTITUTE(SUBSTITUTE(TRIM(A1828&amp;""),CHAR(160),"")," ",""),"년",""))&gt;=1900,VALUE(SUBSTITUTE(SUBSTITUTE(SUBSTITUTE(TRIM(A1828&amp;""),CHAR(160),"")," ",""),"년",""))&lt;=2099,TEXT(VALUE(SUBSTITUTE(SUBSTITUTE(SUBSTITUTE(TRIM(A1828&amp;""),CHAR(160),"")," ",""),"년","")),"0000")=SUBSTITUTE(SUBSTITUTE(SUBSTITUTE(TRIM(A1828&amp;""),CHAR(160),"")," ",""),"년","")),SUBSTITUTE(SUBSTITUTE(SUBSTITUTE(TRIM(A1828&amp;""),CHAR(160),"")," ",""),"년",""),""),"")</f>
      </c>
      <c r="I1828" t="str">
        <f>SUBSTITUTE(SUBSTITUTE(SUBSTITUTE(SUBSTITUTE(SUBSTITUTE(TRIM(B1828&amp;""),CHAR(160),"")," ",""),"초등학교","초"),"중학교","중"),"고등학교","고")</f>
      </c>
    </row>
    <row r="1829" customFormat="false" ht="15" hidden="false" customHeight="false" outlineLevel="0" collapsed="false">
      <c r="A1829" s="8"/>
      <c r="B1829" s="8"/>
      <c r="C1829" s="8"/>
      <c r="D1829" s="8"/>
      <c r="E1829" s="8"/>
      <c r="F1829" t="str" s="15">
        <f aca="0">IF(B1829="","",IF(H1829="","확인필요(입력누락)",IF(SUMPRODUCT((실물목록!$P$2:$P$1001&lt;&gt;"")*ISNUMBER(SEARCH(실물목록!$P$2:$P$1001,I1829))*(실물목록!$Q$2:$Q$1001&lt;&gt;"")*ISNUMBER(SEARCH(실물목록!$Q$2:$Q$1001,I1829))*(실물목록!$R$2:$R$1001="")*(실물목록!$O$2:$O$1001&lt;&gt;"")*(실물목록!$O$2:$O$1001=H1829))&gt;0,"실물 있음",IF(SUMPRODUCT((실물목록!$P$2:$P$1001&lt;&gt;"")*ISNUMBER(SEARCH(실물목록!$P$2:$P$1001,I1829))*(실물목록!$R$2:$R$1001&lt;&gt;""))&gt;0,"확인필요(입력누락)",IF(SUMPRODUCT((실물목록!$P$2:$P$1001&lt;&gt;"")*ISNUMBER(SEARCH(실물목록!$P$2:$P$1001,I1829))*(실물목록!$Q$2:$Q$1001&lt;&gt;"")*ISNUMBER(SEARCH(실물목록!$Q$2:$Q$1001,I1829))*(실물목록!$R$2:$R$1001="")*(실물목록!$O$2:$O$1001&lt;&gt;""))&gt;0,"확인필요(연도다름)","실물 없음")))))</f>
      </c>
      <c r="G1829" t="n" s="16">
        <f aca="0">IF(B1829="","",SUMPRODUCT((실물목록!$P$2:$P$1001&lt;&gt;"")*ISNUMBER(SEARCH(실물목록!$P$2:$P$1001,I1829))*(실물목록!$Q$2:$Q$1001&lt;&gt;"")*ISNUMBER(SEARCH(실물목록!$Q$2:$Q$1001,I1829))*(실물목록!$R$2:$R$1001="")*(실물목록!$O$2:$O$1001&lt;&gt;"")*(실물목록!$O$2:$O$1001=H1829)))</f>
      </c>
      <c r="H1829" t="str">
        <f>IFERROR(IF(AND(LEN(SUBSTITUTE(SUBSTITUTE(SUBSTITUTE(TRIM(A1829&amp;""),CHAR(160),"")," ",""),"년",""))=4,VALUE(SUBSTITUTE(SUBSTITUTE(SUBSTITUTE(TRIM(A1829&amp;""),CHAR(160),"")," ",""),"년",""))&gt;=1900,VALUE(SUBSTITUTE(SUBSTITUTE(SUBSTITUTE(TRIM(A1829&amp;""),CHAR(160),"")," ",""),"년",""))&lt;=2099,TEXT(VALUE(SUBSTITUTE(SUBSTITUTE(SUBSTITUTE(TRIM(A1829&amp;""),CHAR(160),"")," ",""),"년","")),"0000")=SUBSTITUTE(SUBSTITUTE(SUBSTITUTE(TRIM(A1829&amp;""),CHAR(160),"")," ",""),"년","")),SUBSTITUTE(SUBSTITUTE(SUBSTITUTE(TRIM(A1829&amp;""),CHAR(160),"")," ",""),"년",""),""),"")</f>
      </c>
      <c r="I1829" t="str">
        <f>SUBSTITUTE(SUBSTITUTE(SUBSTITUTE(SUBSTITUTE(SUBSTITUTE(TRIM(B1829&amp;""),CHAR(160),"")," ",""),"초등학교","초"),"중학교","중"),"고등학교","고")</f>
      </c>
    </row>
    <row r="1830" customFormat="false" ht="15" hidden="false" customHeight="false" outlineLevel="0" collapsed="false">
      <c r="A1830" s="8"/>
      <c r="B1830" s="8"/>
      <c r="C1830" s="8"/>
      <c r="D1830" s="8"/>
      <c r="E1830" s="8"/>
      <c r="F1830" t="str" s="15">
        <f aca="0">IF(B1830="","",IF(H1830="","확인필요(입력누락)",IF(SUMPRODUCT((실물목록!$P$2:$P$1001&lt;&gt;"")*ISNUMBER(SEARCH(실물목록!$P$2:$P$1001,I1830))*(실물목록!$Q$2:$Q$1001&lt;&gt;"")*ISNUMBER(SEARCH(실물목록!$Q$2:$Q$1001,I1830))*(실물목록!$R$2:$R$1001="")*(실물목록!$O$2:$O$1001&lt;&gt;"")*(실물목록!$O$2:$O$1001=H1830))&gt;0,"실물 있음",IF(SUMPRODUCT((실물목록!$P$2:$P$1001&lt;&gt;"")*ISNUMBER(SEARCH(실물목록!$P$2:$P$1001,I1830))*(실물목록!$R$2:$R$1001&lt;&gt;""))&gt;0,"확인필요(입력누락)",IF(SUMPRODUCT((실물목록!$P$2:$P$1001&lt;&gt;"")*ISNUMBER(SEARCH(실물목록!$P$2:$P$1001,I1830))*(실물목록!$Q$2:$Q$1001&lt;&gt;"")*ISNUMBER(SEARCH(실물목록!$Q$2:$Q$1001,I1830))*(실물목록!$R$2:$R$1001="")*(실물목록!$O$2:$O$1001&lt;&gt;""))&gt;0,"확인필요(연도다름)","실물 없음")))))</f>
      </c>
      <c r="G1830" t="n" s="16">
        <f aca="0">IF(B1830="","",SUMPRODUCT((실물목록!$P$2:$P$1001&lt;&gt;"")*ISNUMBER(SEARCH(실물목록!$P$2:$P$1001,I1830))*(실물목록!$Q$2:$Q$1001&lt;&gt;"")*ISNUMBER(SEARCH(실물목록!$Q$2:$Q$1001,I1830))*(실물목록!$R$2:$R$1001="")*(실물목록!$O$2:$O$1001&lt;&gt;"")*(실물목록!$O$2:$O$1001=H1830)))</f>
      </c>
      <c r="H1830" t="str">
        <f>IFERROR(IF(AND(LEN(SUBSTITUTE(SUBSTITUTE(SUBSTITUTE(TRIM(A1830&amp;""),CHAR(160),"")," ",""),"년",""))=4,VALUE(SUBSTITUTE(SUBSTITUTE(SUBSTITUTE(TRIM(A1830&amp;""),CHAR(160),"")," ",""),"년",""))&gt;=1900,VALUE(SUBSTITUTE(SUBSTITUTE(SUBSTITUTE(TRIM(A1830&amp;""),CHAR(160),"")," ",""),"년",""))&lt;=2099,TEXT(VALUE(SUBSTITUTE(SUBSTITUTE(SUBSTITUTE(TRIM(A1830&amp;""),CHAR(160),"")," ",""),"년","")),"0000")=SUBSTITUTE(SUBSTITUTE(SUBSTITUTE(TRIM(A1830&amp;""),CHAR(160),"")," ",""),"년","")),SUBSTITUTE(SUBSTITUTE(SUBSTITUTE(TRIM(A1830&amp;""),CHAR(160),"")," ",""),"년",""),""),"")</f>
      </c>
      <c r="I1830" t="str">
        <f>SUBSTITUTE(SUBSTITUTE(SUBSTITUTE(SUBSTITUTE(SUBSTITUTE(TRIM(B1830&amp;""),CHAR(160),"")," ",""),"초등학교","초"),"중학교","중"),"고등학교","고")</f>
      </c>
    </row>
    <row r="1831" customFormat="false" ht="15" hidden="false" customHeight="false" outlineLevel="0" collapsed="false">
      <c r="A1831" s="8"/>
      <c r="B1831" s="8"/>
      <c r="C1831" s="8"/>
      <c r="D1831" s="8"/>
      <c r="E1831" s="8"/>
      <c r="F1831" t="str" s="15">
        <f aca="0">IF(B1831="","",IF(H1831="","확인필요(입력누락)",IF(SUMPRODUCT((실물목록!$P$2:$P$1001&lt;&gt;"")*ISNUMBER(SEARCH(실물목록!$P$2:$P$1001,I1831))*(실물목록!$Q$2:$Q$1001&lt;&gt;"")*ISNUMBER(SEARCH(실물목록!$Q$2:$Q$1001,I1831))*(실물목록!$R$2:$R$1001="")*(실물목록!$O$2:$O$1001&lt;&gt;"")*(실물목록!$O$2:$O$1001=H1831))&gt;0,"실물 있음",IF(SUMPRODUCT((실물목록!$P$2:$P$1001&lt;&gt;"")*ISNUMBER(SEARCH(실물목록!$P$2:$P$1001,I1831))*(실물목록!$R$2:$R$1001&lt;&gt;""))&gt;0,"확인필요(입력누락)",IF(SUMPRODUCT((실물목록!$P$2:$P$1001&lt;&gt;"")*ISNUMBER(SEARCH(실물목록!$P$2:$P$1001,I1831))*(실물목록!$Q$2:$Q$1001&lt;&gt;"")*ISNUMBER(SEARCH(실물목록!$Q$2:$Q$1001,I1831))*(실물목록!$R$2:$R$1001="")*(실물목록!$O$2:$O$1001&lt;&gt;""))&gt;0,"확인필요(연도다름)","실물 없음")))))</f>
      </c>
      <c r="G1831" t="n" s="16">
        <f aca="0">IF(B1831="","",SUMPRODUCT((실물목록!$P$2:$P$1001&lt;&gt;"")*ISNUMBER(SEARCH(실물목록!$P$2:$P$1001,I1831))*(실물목록!$Q$2:$Q$1001&lt;&gt;"")*ISNUMBER(SEARCH(실물목록!$Q$2:$Q$1001,I1831))*(실물목록!$R$2:$R$1001="")*(실물목록!$O$2:$O$1001&lt;&gt;"")*(실물목록!$O$2:$O$1001=H1831)))</f>
      </c>
      <c r="H1831" t="str">
        <f>IFERROR(IF(AND(LEN(SUBSTITUTE(SUBSTITUTE(SUBSTITUTE(TRIM(A1831&amp;""),CHAR(160),"")," ",""),"년",""))=4,VALUE(SUBSTITUTE(SUBSTITUTE(SUBSTITUTE(TRIM(A1831&amp;""),CHAR(160),"")," ",""),"년",""))&gt;=1900,VALUE(SUBSTITUTE(SUBSTITUTE(SUBSTITUTE(TRIM(A1831&amp;""),CHAR(160),"")," ",""),"년",""))&lt;=2099,TEXT(VALUE(SUBSTITUTE(SUBSTITUTE(SUBSTITUTE(TRIM(A1831&amp;""),CHAR(160),"")," ",""),"년","")),"0000")=SUBSTITUTE(SUBSTITUTE(SUBSTITUTE(TRIM(A1831&amp;""),CHAR(160),"")," ",""),"년","")),SUBSTITUTE(SUBSTITUTE(SUBSTITUTE(TRIM(A1831&amp;""),CHAR(160),"")," ",""),"년",""),""),"")</f>
      </c>
      <c r="I1831" t="str">
        <f>SUBSTITUTE(SUBSTITUTE(SUBSTITUTE(SUBSTITUTE(SUBSTITUTE(TRIM(B1831&amp;""),CHAR(160),"")," ",""),"초등학교","초"),"중학교","중"),"고등학교","고")</f>
      </c>
    </row>
    <row r="1832" customFormat="false" ht="15" hidden="false" customHeight="false" outlineLevel="0" collapsed="false">
      <c r="A1832" s="8"/>
      <c r="B1832" s="8"/>
      <c r="C1832" s="8"/>
      <c r="D1832" s="8"/>
      <c r="E1832" s="8"/>
      <c r="F1832" t="str" s="15">
        <f aca="0">IF(B1832="","",IF(H1832="","확인필요(입력누락)",IF(SUMPRODUCT((실물목록!$P$2:$P$1001&lt;&gt;"")*ISNUMBER(SEARCH(실물목록!$P$2:$P$1001,I1832))*(실물목록!$Q$2:$Q$1001&lt;&gt;"")*ISNUMBER(SEARCH(실물목록!$Q$2:$Q$1001,I1832))*(실물목록!$R$2:$R$1001="")*(실물목록!$O$2:$O$1001&lt;&gt;"")*(실물목록!$O$2:$O$1001=H1832))&gt;0,"실물 있음",IF(SUMPRODUCT((실물목록!$P$2:$P$1001&lt;&gt;"")*ISNUMBER(SEARCH(실물목록!$P$2:$P$1001,I1832))*(실물목록!$R$2:$R$1001&lt;&gt;""))&gt;0,"확인필요(입력누락)",IF(SUMPRODUCT((실물목록!$P$2:$P$1001&lt;&gt;"")*ISNUMBER(SEARCH(실물목록!$P$2:$P$1001,I1832))*(실물목록!$Q$2:$Q$1001&lt;&gt;"")*ISNUMBER(SEARCH(실물목록!$Q$2:$Q$1001,I1832))*(실물목록!$R$2:$R$1001="")*(실물목록!$O$2:$O$1001&lt;&gt;""))&gt;0,"확인필요(연도다름)","실물 없음")))))</f>
      </c>
      <c r="G1832" t="n" s="16">
        <f aca="0">IF(B1832="","",SUMPRODUCT((실물목록!$P$2:$P$1001&lt;&gt;"")*ISNUMBER(SEARCH(실물목록!$P$2:$P$1001,I1832))*(실물목록!$Q$2:$Q$1001&lt;&gt;"")*ISNUMBER(SEARCH(실물목록!$Q$2:$Q$1001,I1832))*(실물목록!$R$2:$R$1001="")*(실물목록!$O$2:$O$1001&lt;&gt;"")*(실물목록!$O$2:$O$1001=H1832)))</f>
      </c>
      <c r="H1832" t="str">
        <f>IFERROR(IF(AND(LEN(SUBSTITUTE(SUBSTITUTE(SUBSTITUTE(TRIM(A1832&amp;""),CHAR(160),"")," ",""),"년",""))=4,VALUE(SUBSTITUTE(SUBSTITUTE(SUBSTITUTE(TRIM(A1832&amp;""),CHAR(160),"")," ",""),"년",""))&gt;=1900,VALUE(SUBSTITUTE(SUBSTITUTE(SUBSTITUTE(TRIM(A1832&amp;""),CHAR(160),"")," ",""),"년",""))&lt;=2099,TEXT(VALUE(SUBSTITUTE(SUBSTITUTE(SUBSTITUTE(TRIM(A1832&amp;""),CHAR(160),"")," ",""),"년","")),"0000")=SUBSTITUTE(SUBSTITUTE(SUBSTITUTE(TRIM(A1832&amp;""),CHAR(160),"")," ",""),"년","")),SUBSTITUTE(SUBSTITUTE(SUBSTITUTE(TRIM(A1832&amp;""),CHAR(160),"")," ",""),"년",""),""),"")</f>
      </c>
      <c r="I1832" t="str">
        <f>SUBSTITUTE(SUBSTITUTE(SUBSTITUTE(SUBSTITUTE(SUBSTITUTE(TRIM(B1832&amp;""),CHAR(160),"")," ",""),"초등학교","초"),"중학교","중"),"고등학교","고")</f>
      </c>
    </row>
    <row r="1833" customFormat="false" ht="15" hidden="false" customHeight="false" outlineLevel="0" collapsed="false">
      <c r="A1833" s="8"/>
      <c r="B1833" s="8"/>
      <c r="C1833" s="8"/>
      <c r="D1833" s="8"/>
      <c r="E1833" s="8"/>
      <c r="F1833" t="str" s="15">
        <f aca="0">IF(B1833="","",IF(H1833="","확인필요(입력누락)",IF(SUMPRODUCT((실물목록!$P$2:$P$1001&lt;&gt;"")*ISNUMBER(SEARCH(실물목록!$P$2:$P$1001,I1833))*(실물목록!$Q$2:$Q$1001&lt;&gt;"")*ISNUMBER(SEARCH(실물목록!$Q$2:$Q$1001,I1833))*(실물목록!$R$2:$R$1001="")*(실물목록!$O$2:$O$1001&lt;&gt;"")*(실물목록!$O$2:$O$1001=H1833))&gt;0,"실물 있음",IF(SUMPRODUCT((실물목록!$P$2:$P$1001&lt;&gt;"")*ISNUMBER(SEARCH(실물목록!$P$2:$P$1001,I1833))*(실물목록!$R$2:$R$1001&lt;&gt;""))&gt;0,"확인필요(입력누락)",IF(SUMPRODUCT((실물목록!$P$2:$P$1001&lt;&gt;"")*ISNUMBER(SEARCH(실물목록!$P$2:$P$1001,I1833))*(실물목록!$Q$2:$Q$1001&lt;&gt;"")*ISNUMBER(SEARCH(실물목록!$Q$2:$Q$1001,I1833))*(실물목록!$R$2:$R$1001="")*(실물목록!$O$2:$O$1001&lt;&gt;""))&gt;0,"확인필요(연도다름)","실물 없음")))))</f>
      </c>
      <c r="G1833" t="n" s="16">
        <f aca="0">IF(B1833="","",SUMPRODUCT((실물목록!$P$2:$P$1001&lt;&gt;"")*ISNUMBER(SEARCH(실물목록!$P$2:$P$1001,I1833))*(실물목록!$Q$2:$Q$1001&lt;&gt;"")*ISNUMBER(SEARCH(실물목록!$Q$2:$Q$1001,I1833))*(실물목록!$R$2:$R$1001="")*(실물목록!$O$2:$O$1001&lt;&gt;"")*(실물목록!$O$2:$O$1001=H1833)))</f>
      </c>
      <c r="H1833" t="str">
        <f>IFERROR(IF(AND(LEN(SUBSTITUTE(SUBSTITUTE(SUBSTITUTE(TRIM(A1833&amp;""),CHAR(160),"")," ",""),"년",""))=4,VALUE(SUBSTITUTE(SUBSTITUTE(SUBSTITUTE(TRIM(A1833&amp;""),CHAR(160),"")," ",""),"년",""))&gt;=1900,VALUE(SUBSTITUTE(SUBSTITUTE(SUBSTITUTE(TRIM(A1833&amp;""),CHAR(160),"")," ",""),"년",""))&lt;=2099,TEXT(VALUE(SUBSTITUTE(SUBSTITUTE(SUBSTITUTE(TRIM(A1833&amp;""),CHAR(160),"")," ",""),"년","")),"0000")=SUBSTITUTE(SUBSTITUTE(SUBSTITUTE(TRIM(A1833&amp;""),CHAR(160),"")," ",""),"년","")),SUBSTITUTE(SUBSTITUTE(SUBSTITUTE(TRIM(A1833&amp;""),CHAR(160),"")," ",""),"년",""),""),"")</f>
      </c>
      <c r="I1833" t="str">
        <f>SUBSTITUTE(SUBSTITUTE(SUBSTITUTE(SUBSTITUTE(SUBSTITUTE(TRIM(B1833&amp;""),CHAR(160),"")," ",""),"초등학교","초"),"중학교","중"),"고등학교","고")</f>
      </c>
    </row>
    <row r="1834" customFormat="false" ht="15" hidden="false" customHeight="false" outlineLevel="0" collapsed="false">
      <c r="A1834" s="8"/>
      <c r="B1834" s="8"/>
      <c r="C1834" s="8"/>
      <c r="D1834" s="8"/>
      <c r="E1834" s="8"/>
      <c r="F1834" t="str" s="15">
        <f aca="0">IF(B1834="","",IF(H1834="","확인필요(입력누락)",IF(SUMPRODUCT((실물목록!$P$2:$P$1001&lt;&gt;"")*ISNUMBER(SEARCH(실물목록!$P$2:$P$1001,I1834))*(실물목록!$Q$2:$Q$1001&lt;&gt;"")*ISNUMBER(SEARCH(실물목록!$Q$2:$Q$1001,I1834))*(실물목록!$R$2:$R$1001="")*(실물목록!$O$2:$O$1001&lt;&gt;"")*(실물목록!$O$2:$O$1001=H1834))&gt;0,"실물 있음",IF(SUMPRODUCT((실물목록!$P$2:$P$1001&lt;&gt;"")*ISNUMBER(SEARCH(실물목록!$P$2:$P$1001,I1834))*(실물목록!$R$2:$R$1001&lt;&gt;""))&gt;0,"확인필요(입력누락)",IF(SUMPRODUCT((실물목록!$P$2:$P$1001&lt;&gt;"")*ISNUMBER(SEARCH(실물목록!$P$2:$P$1001,I1834))*(실물목록!$Q$2:$Q$1001&lt;&gt;"")*ISNUMBER(SEARCH(실물목록!$Q$2:$Q$1001,I1834))*(실물목록!$R$2:$R$1001="")*(실물목록!$O$2:$O$1001&lt;&gt;""))&gt;0,"확인필요(연도다름)","실물 없음")))))</f>
      </c>
      <c r="G1834" t="n" s="16">
        <f aca="0">IF(B1834="","",SUMPRODUCT((실물목록!$P$2:$P$1001&lt;&gt;"")*ISNUMBER(SEARCH(실물목록!$P$2:$P$1001,I1834))*(실물목록!$Q$2:$Q$1001&lt;&gt;"")*ISNUMBER(SEARCH(실물목록!$Q$2:$Q$1001,I1834))*(실물목록!$R$2:$R$1001="")*(실물목록!$O$2:$O$1001&lt;&gt;"")*(실물목록!$O$2:$O$1001=H1834)))</f>
      </c>
      <c r="H1834" t="str">
        <f>IFERROR(IF(AND(LEN(SUBSTITUTE(SUBSTITUTE(SUBSTITUTE(TRIM(A1834&amp;""),CHAR(160),"")," ",""),"년",""))=4,VALUE(SUBSTITUTE(SUBSTITUTE(SUBSTITUTE(TRIM(A1834&amp;""),CHAR(160),"")," ",""),"년",""))&gt;=1900,VALUE(SUBSTITUTE(SUBSTITUTE(SUBSTITUTE(TRIM(A1834&amp;""),CHAR(160),"")," ",""),"년",""))&lt;=2099,TEXT(VALUE(SUBSTITUTE(SUBSTITUTE(SUBSTITUTE(TRIM(A1834&amp;""),CHAR(160),"")," ",""),"년","")),"0000")=SUBSTITUTE(SUBSTITUTE(SUBSTITUTE(TRIM(A1834&amp;""),CHAR(160),"")," ",""),"년","")),SUBSTITUTE(SUBSTITUTE(SUBSTITUTE(TRIM(A1834&amp;""),CHAR(160),"")," ",""),"년",""),""),"")</f>
      </c>
      <c r="I1834" t="str">
        <f>SUBSTITUTE(SUBSTITUTE(SUBSTITUTE(SUBSTITUTE(SUBSTITUTE(TRIM(B1834&amp;""),CHAR(160),"")," ",""),"초등학교","초"),"중학교","중"),"고등학교","고")</f>
      </c>
    </row>
    <row r="1835" customFormat="false" ht="15" hidden="false" customHeight="false" outlineLevel="0" collapsed="false">
      <c r="A1835" s="8"/>
      <c r="B1835" s="8"/>
      <c r="C1835" s="8"/>
      <c r="D1835" s="8"/>
      <c r="E1835" s="8"/>
      <c r="F1835" t="str" s="15">
        <f aca="0">IF(B1835="","",IF(H1835="","확인필요(입력누락)",IF(SUMPRODUCT((실물목록!$P$2:$P$1001&lt;&gt;"")*ISNUMBER(SEARCH(실물목록!$P$2:$P$1001,I1835))*(실물목록!$Q$2:$Q$1001&lt;&gt;"")*ISNUMBER(SEARCH(실물목록!$Q$2:$Q$1001,I1835))*(실물목록!$R$2:$R$1001="")*(실물목록!$O$2:$O$1001&lt;&gt;"")*(실물목록!$O$2:$O$1001=H1835))&gt;0,"실물 있음",IF(SUMPRODUCT((실물목록!$P$2:$P$1001&lt;&gt;"")*ISNUMBER(SEARCH(실물목록!$P$2:$P$1001,I1835))*(실물목록!$R$2:$R$1001&lt;&gt;""))&gt;0,"확인필요(입력누락)",IF(SUMPRODUCT((실물목록!$P$2:$P$1001&lt;&gt;"")*ISNUMBER(SEARCH(실물목록!$P$2:$P$1001,I1835))*(실물목록!$Q$2:$Q$1001&lt;&gt;"")*ISNUMBER(SEARCH(실물목록!$Q$2:$Q$1001,I1835))*(실물목록!$R$2:$R$1001="")*(실물목록!$O$2:$O$1001&lt;&gt;""))&gt;0,"확인필요(연도다름)","실물 없음")))))</f>
      </c>
      <c r="G1835" t="n" s="16">
        <f aca="0">IF(B1835="","",SUMPRODUCT((실물목록!$P$2:$P$1001&lt;&gt;"")*ISNUMBER(SEARCH(실물목록!$P$2:$P$1001,I1835))*(실물목록!$Q$2:$Q$1001&lt;&gt;"")*ISNUMBER(SEARCH(실물목록!$Q$2:$Q$1001,I1835))*(실물목록!$R$2:$R$1001="")*(실물목록!$O$2:$O$1001&lt;&gt;"")*(실물목록!$O$2:$O$1001=H1835)))</f>
      </c>
      <c r="H1835" t="str">
        <f>IFERROR(IF(AND(LEN(SUBSTITUTE(SUBSTITUTE(SUBSTITUTE(TRIM(A1835&amp;""),CHAR(160),"")," ",""),"년",""))=4,VALUE(SUBSTITUTE(SUBSTITUTE(SUBSTITUTE(TRIM(A1835&amp;""),CHAR(160),"")," ",""),"년",""))&gt;=1900,VALUE(SUBSTITUTE(SUBSTITUTE(SUBSTITUTE(TRIM(A1835&amp;""),CHAR(160),"")," ",""),"년",""))&lt;=2099,TEXT(VALUE(SUBSTITUTE(SUBSTITUTE(SUBSTITUTE(TRIM(A1835&amp;""),CHAR(160),"")," ",""),"년","")),"0000")=SUBSTITUTE(SUBSTITUTE(SUBSTITUTE(TRIM(A1835&amp;""),CHAR(160),"")," ",""),"년","")),SUBSTITUTE(SUBSTITUTE(SUBSTITUTE(TRIM(A1835&amp;""),CHAR(160),"")," ",""),"년",""),""),"")</f>
      </c>
      <c r="I1835" t="str">
        <f>SUBSTITUTE(SUBSTITUTE(SUBSTITUTE(SUBSTITUTE(SUBSTITUTE(TRIM(B1835&amp;""),CHAR(160),"")," ",""),"초등학교","초"),"중학교","중"),"고등학교","고")</f>
      </c>
    </row>
    <row r="1836" customFormat="false" ht="15" hidden="false" customHeight="false" outlineLevel="0" collapsed="false">
      <c r="A1836" s="8"/>
      <c r="B1836" s="8"/>
      <c r="C1836" s="8"/>
      <c r="D1836" s="8"/>
      <c r="E1836" s="8"/>
      <c r="F1836" t="str" s="15">
        <f aca="0">IF(B1836="","",IF(H1836="","확인필요(입력누락)",IF(SUMPRODUCT((실물목록!$P$2:$P$1001&lt;&gt;"")*ISNUMBER(SEARCH(실물목록!$P$2:$P$1001,I1836))*(실물목록!$Q$2:$Q$1001&lt;&gt;"")*ISNUMBER(SEARCH(실물목록!$Q$2:$Q$1001,I1836))*(실물목록!$R$2:$R$1001="")*(실물목록!$O$2:$O$1001&lt;&gt;"")*(실물목록!$O$2:$O$1001=H1836))&gt;0,"실물 있음",IF(SUMPRODUCT((실물목록!$P$2:$P$1001&lt;&gt;"")*ISNUMBER(SEARCH(실물목록!$P$2:$P$1001,I1836))*(실물목록!$R$2:$R$1001&lt;&gt;""))&gt;0,"확인필요(입력누락)",IF(SUMPRODUCT((실물목록!$P$2:$P$1001&lt;&gt;"")*ISNUMBER(SEARCH(실물목록!$P$2:$P$1001,I1836))*(실물목록!$Q$2:$Q$1001&lt;&gt;"")*ISNUMBER(SEARCH(실물목록!$Q$2:$Q$1001,I1836))*(실물목록!$R$2:$R$1001="")*(실물목록!$O$2:$O$1001&lt;&gt;""))&gt;0,"확인필요(연도다름)","실물 없음")))))</f>
      </c>
      <c r="G1836" t="n" s="16">
        <f aca="0">IF(B1836="","",SUMPRODUCT((실물목록!$P$2:$P$1001&lt;&gt;"")*ISNUMBER(SEARCH(실물목록!$P$2:$P$1001,I1836))*(실물목록!$Q$2:$Q$1001&lt;&gt;"")*ISNUMBER(SEARCH(실물목록!$Q$2:$Q$1001,I1836))*(실물목록!$R$2:$R$1001="")*(실물목록!$O$2:$O$1001&lt;&gt;"")*(실물목록!$O$2:$O$1001=H1836)))</f>
      </c>
      <c r="H1836" t="str">
        <f>IFERROR(IF(AND(LEN(SUBSTITUTE(SUBSTITUTE(SUBSTITUTE(TRIM(A1836&amp;""),CHAR(160),"")," ",""),"년",""))=4,VALUE(SUBSTITUTE(SUBSTITUTE(SUBSTITUTE(TRIM(A1836&amp;""),CHAR(160),"")," ",""),"년",""))&gt;=1900,VALUE(SUBSTITUTE(SUBSTITUTE(SUBSTITUTE(TRIM(A1836&amp;""),CHAR(160),"")," ",""),"년",""))&lt;=2099,TEXT(VALUE(SUBSTITUTE(SUBSTITUTE(SUBSTITUTE(TRIM(A1836&amp;""),CHAR(160),"")," ",""),"년","")),"0000")=SUBSTITUTE(SUBSTITUTE(SUBSTITUTE(TRIM(A1836&amp;""),CHAR(160),"")," ",""),"년","")),SUBSTITUTE(SUBSTITUTE(SUBSTITUTE(TRIM(A1836&amp;""),CHAR(160),"")," ",""),"년",""),""),"")</f>
      </c>
      <c r="I1836" t="str">
        <f>SUBSTITUTE(SUBSTITUTE(SUBSTITUTE(SUBSTITUTE(SUBSTITUTE(TRIM(B1836&amp;""),CHAR(160),"")," ",""),"초등학교","초"),"중학교","중"),"고등학교","고")</f>
      </c>
    </row>
    <row r="1837" customFormat="false" ht="15" hidden="false" customHeight="false" outlineLevel="0" collapsed="false">
      <c r="A1837" s="8"/>
      <c r="B1837" s="8"/>
      <c r="C1837" s="8"/>
      <c r="D1837" s="8"/>
      <c r="E1837" s="8"/>
      <c r="F1837" t="str" s="15">
        <f aca="0">IF(B1837="","",IF(H1837="","확인필요(입력누락)",IF(SUMPRODUCT((실물목록!$P$2:$P$1001&lt;&gt;"")*ISNUMBER(SEARCH(실물목록!$P$2:$P$1001,I1837))*(실물목록!$Q$2:$Q$1001&lt;&gt;"")*ISNUMBER(SEARCH(실물목록!$Q$2:$Q$1001,I1837))*(실물목록!$R$2:$R$1001="")*(실물목록!$O$2:$O$1001&lt;&gt;"")*(실물목록!$O$2:$O$1001=H1837))&gt;0,"실물 있음",IF(SUMPRODUCT((실물목록!$P$2:$P$1001&lt;&gt;"")*ISNUMBER(SEARCH(실물목록!$P$2:$P$1001,I1837))*(실물목록!$R$2:$R$1001&lt;&gt;""))&gt;0,"확인필요(입력누락)",IF(SUMPRODUCT((실물목록!$P$2:$P$1001&lt;&gt;"")*ISNUMBER(SEARCH(실물목록!$P$2:$P$1001,I1837))*(실물목록!$Q$2:$Q$1001&lt;&gt;"")*ISNUMBER(SEARCH(실물목록!$Q$2:$Q$1001,I1837))*(실물목록!$R$2:$R$1001="")*(실물목록!$O$2:$O$1001&lt;&gt;""))&gt;0,"확인필요(연도다름)","실물 없음")))))</f>
      </c>
      <c r="G1837" t="n" s="16">
        <f aca="0">IF(B1837="","",SUMPRODUCT((실물목록!$P$2:$P$1001&lt;&gt;"")*ISNUMBER(SEARCH(실물목록!$P$2:$P$1001,I1837))*(실물목록!$Q$2:$Q$1001&lt;&gt;"")*ISNUMBER(SEARCH(실물목록!$Q$2:$Q$1001,I1837))*(실물목록!$R$2:$R$1001="")*(실물목록!$O$2:$O$1001&lt;&gt;"")*(실물목록!$O$2:$O$1001=H1837)))</f>
      </c>
      <c r="H1837" t="str">
        <f>IFERROR(IF(AND(LEN(SUBSTITUTE(SUBSTITUTE(SUBSTITUTE(TRIM(A1837&amp;""),CHAR(160),"")," ",""),"년",""))=4,VALUE(SUBSTITUTE(SUBSTITUTE(SUBSTITUTE(TRIM(A1837&amp;""),CHAR(160),"")," ",""),"년",""))&gt;=1900,VALUE(SUBSTITUTE(SUBSTITUTE(SUBSTITUTE(TRIM(A1837&amp;""),CHAR(160),"")," ",""),"년",""))&lt;=2099,TEXT(VALUE(SUBSTITUTE(SUBSTITUTE(SUBSTITUTE(TRIM(A1837&amp;""),CHAR(160),"")," ",""),"년","")),"0000")=SUBSTITUTE(SUBSTITUTE(SUBSTITUTE(TRIM(A1837&amp;""),CHAR(160),"")," ",""),"년","")),SUBSTITUTE(SUBSTITUTE(SUBSTITUTE(TRIM(A1837&amp;""),CHAR(160),"")," ",""),"년",""),""),"")</f>
      </c>
      <c r="I1837" t="str">
        <f>SUBSTITUTE(SUBSTITUTE(SUBSTITUTE(SUBSTITUTE(SUBSTITUTE(TRIM(B1837&amp;""),CHAR(160),"")," ",""),"초등학교","초"),"중학교","중"),"고등학교","고")</f>
      </c>
    </row>
    <row r="1838" customFormat="false" ht="15" hidden="false" customHeight="false" outlineLevel="0" collapsed="false">
      <c r="A1838" s="8"/>
      <c r="B1838" s="8"/>
      <c r="C1838" s="8"/>
      <c r="D1838" s="8"/>
      <c r="E1838" s="8"/>
      <c r="F1838" t="str" s="15">
        <f aca="0">IF(B1838="","",IF(H1838="","확인필요(입력누락)",IF(SUMPRODUCT((실물목록!$P$2:$P$1001&lt;&gt;"")*ISNUMBER(SEARCH(실물목록!$P$2:$P$1001,I1838))*(실물목록!$Q$2:$Q$1001&lt;&gt;"")*ISNUMBER(SEARCH(실물목록!$Q$2:$Q$1001,I1838))*(실물목록!$R$2:$R$1001="")*(실물목록!$O$2:$O$1001&lt;&gt;"")*(실물목록!$O$2:$O$1001=H1838))&gt;0,"실물 있음",IF(SUMPRODUCT((실물목록!$P$2:$P$1001&lt;&gt;"")*ISNUMBER(SEARCH(실물목록!$P$2:$P$1001,I1838))*(실물목록!$R$2:$R$1001&lt;&gt;""))&gt;0,"확인필요(입력누락)",IF(SUMPRODUCT((실물목록!$P$2:$P$1001&lt;&gt;"")*ISNUMBER(SEARCH(실물목록!$P$2:$P$1001,I1838))*(실물목록!$Q$2:$Q$1001&lt;&gt;"")*ISNUMBER(SEARCH(실물목록!$Q$2:$Q$1001,I1838))*(실물목록!$R$2:$R$1001="")*(실물목록!$O$2:$O$1001&lt;&gt;""))&gt;0,"확인필요(연도다름)","실물 없음")))))</f>
      </c>
      <c r="G1838" t="n" s="16">
        <f aca="0">IF(B1838="","",SUMPRODUCT((실물목록!$P$2:$P$1001&lt;&gt;"")*ISNUMBER(SEARCH(실물목록!$P$2:$P$1001,I1838))*(실물목록!$Q$2:$Q$1001&lt;&gt;"")*ISNUMBER(SEARCH(실물목록!$Q$2:$Q$1001,I1838))*(실물목록!$R$2:$R$1001="")*(실물목록!$O$2:$O$1001&lt;&gt;"")*(실물목록!$O$2:$O$1001=H1838)))</f>
      </c>
      <c r="H1838" t="str">
        <f>IFERROR(IF(AND(LEN(SUBSTITUTE(SUBSTITUTE(SUBSTITUTE(TRIM(A1838&amp;""),CHAR(160),"")," ",""),"년",""))=4,VALUE(SUBSTITUTE(SUBSTITUTE(SUBSTITUTE(TRIM(A1838&amp;""),CHAR(160),"")," ",""),"년",""))&gt;=1900,VALUE(SUBSTITUTE(SUBSTITUTE(SUBSTITUTE(TRIM(A1838&amp;""),CHAR(160),"")," ",""),"년",""))&lt;=2099,TEXT(VALUE(SUBSTITUTE(SUBSTITUTE(SUBSTITUTE(TRIM(A1838&amp;""),CHAR(160),"")," ",""),"년","")),"0000")=SUBSTITUTE(SUBSTITUTE(SUBSTITUTE(TRIM(A1838&amp;""),CHAR(160),"")," ",""),"년","")),SUBSTITUTE(SUBSTITUTE(SUBSTITUTE(TRIM(A1838&amp;""),CHAR(160),"")," ",""),"년",""),""),"")</f>
      </c>
      <c r="I1838" t="str">
        <f>SUBSTITUTE(SUBSTITUTE(SUBSTITUTE(SUBSTITUTE(SUBSTITUTE(TRIM(B1838&amp;""),CHAR(160),"")," ",""),"초등학교","초"),"중학교","중"),"고등학교","고")</f>
      </c>
    </row>
    <row r="1839" customFormat="false" ht="15" hidden="false" customHeight="false" outlineLevel="0" collapsed="false">
      <c r="A1839" s="8"/>
      <c r="B1839" s="8"/>
      <c r="C1839" s="8"/>
      <c r="D1839" s="8"/>
      <c r="E1839" s="8"/>
      <c r="F1839" t="str" s="15">
        <f aca="0">IF(B1839="","",IF(H1839="","확인필요(입력누락)",IF(SUMPRODUCT((실물목록!$P$2:$P$1001&lt;&gt;"")*ISNUMBER(SEARCH(실물목록!$P$2:$P$1001,I1839))*(실물목록!$Q$2:$Q$1001&lt;&gt;"")*ISNUMBER(SEARCH(실물목록!$Q$2:$Q$1001,I1839))*(실물목록!$R$2:$R$1001="")*(실물목록!$O$2:$O$1001&lt;&gt;"")*(실물목록!$O$2:$O$1001=H1839))&gt;0,"실물 있음",IF(SUMPRODUCT((실물목록!$P$2:$P$1001&lt;&gt;"")*ISNUMBER(SEARCH(실물목록!$P$2:$P$1001,I1839))*(실물목록!$R$2:$R$1001&lt;&gt;""))&gt;0,"확인필요(입력누락)",IF(SUMPRODUCT((실물목록!$P$2:$P$1001&lt;&gt;"")*ISNUMBER(SEARCH(실물목록!$P$2:$P$1001,I1839))*(실물목록!$Q$2:$Q$1001&lt;&gt;"")*ISNUMBER(SEARCH(실물목록!$Q$2:$Q$1001,I1839))*(실물목록!$R$2:$R$1001="")*(실물목록!$O$2:$O$1001&lt;&gt;""))&gt;0,"확인필요(연도다름)","실물 없음")))))</f>
      </c>
      <c r="G1839" t="n" s="16">
        <f aca="0">IF(B1839="","",SUMPRODUCT((실물목록!$P$2:$P$1001&lt;&gt;"")*ISNUMBER(SEARCH(실물목록!$P$2:$P$1001,I1839))*(실물목록!$Q$2:$Q$1001&lt;&gt;"")*ISNUMBER(SEARCH(실물목록!$Q$2:$Q$1001,I1839))*(실물목록!$R$2:$R$1001="")*(실물목록!$O$2:$O$1001&lt;&gt;"")*(실물목록!$O$2:$O$1001=H1839)))</f>
      </c>
      <c r="H1839" t="str">
        <f>IFERROR(IF(AND(LEN(SUBSTITUTE(SUBSTITUTE(SUBSTITUTE(TRIM(A1839&amp;""),CHAR(160),"")," ",""),"년",""))=4,VALUE(SUBSTITUTE(SUBSTITUTE(SUBSTITUTE(TRIM(A1839&amp;""),CHAR(160),"")," ",""),"년",""))&gt;=1900,VALUE(SUBSTITUTE(SUBSTITUTE(SUBSTITUTE(TRIM(A1839&amp;""),CHAR(160),"")," ",""),"년",""))&lt;=2099,TEXT(VALUE(SUBSTITUTE(SUBSTITUTE(SUBSTITUTE(TRIM(A1839&amp;""),CHAR(160),"")," ",""),"년","")),"0000")=SUBSTITUTE(SUBSTITUTE(SUBSTITUTE(TRIM(A1839&amp;""),CHAR(160),"")," ",""),"년","")),SUBSTITUTE(SUBSTITUTE(SUBSTITUTE(TRIM(A1839&amp;""),CHAR(160),"")," ",""),"년",""),""),"")</f>
      </c>
      <c r="I1839" t="str">
        <f>SUBSTITUTE(SUBSTITUTE(SUBSTITUTE(SUBSTITUTE(SUBSTITUTE(TRIM(B1839&amp;""),CHAR(160),"")," ",""),"초등학교","초"),"중학교","중"),"고등학교","고")</f>
      </c>
    </row>
    <row r="1840" customFormat="false" ht="15" hidden="false" customHeight="false" outlineLevel="0" collapsed="false">
      <c r="A1840" s="8"/>
      <c r="B1840" s="8"/>
      <c r="C1840" s="8"/>
      <c r="D1840" s="8"/>
      <c r="E1840" s="8"/>
      <c r="F1840" t="str" s="15">
        <f aca="0">IF(B1840="","",IF(H1840="","확인필요(입력누락)",IF(SUMPRODUCT((실물목록!$P$2:$P$1001&lt;&gt;"")*ISNUMBER(SEARCH(실물목록!$P$2:$P$1001,I1840))*(실물목록!$Q$2:$Q$1001&lt;&gt;"")*ISNUMBER(SEARCH(실물목록!$Q$2:$Q$1001,I1840))*(실물목록!$R$2:$R$1001="")*(실물목록!$O$2:$O$1001&lt;&gt;"")*(실물목록!$O$2:$O$1001=H1840))&gt;0,"실물 있음",IF(SUMPRODUCT((실물목록!$P$2:$P$1001&lt;&gt;"")*ISNUMBER(SEARCH(실물목록!$P$2:$P$1001,I1840))*(실물목록!$R$2:$R$1001&lt;&gt;""))&gt;0,"확인필요(입력누락)",IF(SUMPRODUCT((실물목록!$P$2:$P$1001&lt;&gt;"")*ISNUMBER(SEARCH(실물목록!$P$2:$P$1001,I1840))*(실물목록!$Q$2:$Q$1001&lt;&gt;"")*ISNUMBER(SEARCH(실물목록!$Q$2:$Q$1001,I1840))*(실물목록!$R$2:$R$1001="")*(실물목록!$O$2:$O$1001&lt;&gt;""))&gt;0,"확인필요(연도다름)","실물 없음")))))</f>
      </c>
      <c r="G1840" t="n" s="16">
        <f aca="0">IF(B1840="","",SUMPRODUCT((실물목록!$P$2:$P$1001&lt;&gt;"")*ISNUMBER(SEARCH(실물목록!$P$2:$P$1001,I1840))*(실물목록!$Q$2:$Q$1001&lt;&gt;"")*ISNUMBER(SEARCH(실물목록!$Q$2:$Q$1001,I1840))*(실물목록!$R$2:$R$1001="")*(실물목록!$O$2:$O$1001&lt;&gt;"")*(실물목록!$O$2:$O$1001=H1840)))</f>
      </c>
      <c r="H1840" t="str">
        <f>IFERROR(IF(AND(LEN(SUBSTITUTE(SUBSTITUTE(SUBSTITUTE(TRIM(A1840&amp;""),CHAR(160),"")," ",""),"년",""))=4,VALUE(SUBSTITUTE(SUBSTITUTE(SUBSTITUTE(TRIM(A1840&amp;""),CHAR(160),"")," ",""),"년",""))&gt;=1900,VALUE(SUBSTITUTE(SUBSTITUTE(SUBSTITUTE(TRIM(A1840&amp;""),CHAR(160),"")," ",""),"년",""))&lt;=2099,TEXT(VALUE(SUBSTITUTE(SUBSTITUTE(SUBSTITUTE(TRIM(A1840&amp;""),CHAR(160),"")," ",""),"년","")),"0000")=SUBSTITUTE(SUBSTITUTE(SUBSTITUTE(TRIM(A1840&amp;""),CHAR(160),"")," ",""),"년","")),SUBSTITUTE(SUBSTITUTE(SUBSTITUTE(TRIM(A1840&amp;""),CHAR(160),"")," ",""),"년",""),""),"")</f>
      </c>
      <c r="I1840" t="str">
        <f>SUBSTITUTE(SUBSTITUTE(SUBSTITUTE(SUBSTITUTE(SUBSTITUTE(TRIM(B1840&amp;""),CHAR(160),"")," ",""),"초등학교","초"),"중학교","중"),"고등학교","고")</f>
      </c>
    </row>
    <row r="1841" customFormat="false" ht="15" hidden="false" customHeight="false" outlineLevel="0" collapsed="false">
      <c r="A1841" s="8"/>
      <c r="B1841" s="8"/>
      <c r="C1841" s="8"/>
      <c r="D1841" s="8"/>
      <c r="E1841" s="8"/>
      <c r="F1841" t="str" s="15">
        <f aca="0">IF(B1841="","",IF(H1841="","확인필요(입력누락)",IF(SUMPRODUCT((실물목록!$P$2:$P$1001&lt;&gt;"")*ISNUMBER(SEARCH(실물목록!$P$2:$P$1001,I1841))*(실물목록!$Q$2:$Q$1001&lt;&gt;"")*ISNUMBER(SEARCH(실물목록!$Q$2:$Q$1001,I1841))*(실물목록!$R$2:$R$1001="")*(실물목록!$O$2:$O$1001&lt;&gt;"")*(실물목록!$O$2:$O$1001=H1841))&gt;0,"실물 있음",IF(SUMPRODUCT((실물목록!$P$2:$P$1001&lt;&gt;"")*ISNUMBER(SEARCH(실물목록!$P$2:$P$1001,I1841))*(실물목록!$R$2:$R$1001&lt;&gt;""))&gt;0,"확인필요(입력누락)",IF(SUMPRODUCT((실물목록!$P$2:$P$1001&lt;&gt;"")*ISNUMBER(SEARCH(실물목록!$P$2:$P$1001,I1841))*(실물목록!$Q$2:$Q$1001&lt;&gt;"")*ISNUMBER(SEARCH(실물목록!$Q$2:$Q$1001,I1841))*(실물목록!$R$2:$R$1001="")*(실물목록!$O$2:$O$1001&lt;&gt;""))&gt;0,"확인필요(연도다름)","실물 없음")))))</f>
      </c>
      <c r="G1841" t="n" s="16">
        <f aca="0">IF(B1841="","",SUMPRODUCT((실물목록!$P$2:$P$1001&lt;&gt;"")*ISNUMBER(SEARCH(실물목록!$P$2:$P$1001,I1841))*(실물목록!$Q$2:$Q$1001&lt;&gt;"")*ISNUMBER(SEARCH(실물목록!$Q$2:$Q$1001,I1841))*(실물목록!$R$2:$R$1001="")*(실물목록!$O$2:$O$1001&lt;&gt;"")*(실물목록!$O$2:$O$1001=H1841)))</f>
      </c>
      <c r="H1841" t="str">
        <f>IFERROR(IF(AND(LEN(SUBSTITUTE(SUBSTITUTE(SUBSTITUTE(TRIM(A1841&amp;""),CHAR(160),"")," ",""),"년",""))=4,VALUE(SUBSTITUTE(SUBSTITUTE(SUBSTITUTE(TRIM(A1841&amp;""),CHAR(160),"")," ",""),"년",""))&gt;=1900,VALUE(SUBSTITUTE(SUBSTITUTE(SUBSTITUTE(TRIM(A1841&amp;""),CHAR(160),"")," ",""),"년",""))&lt;=2099,TEXT(VALUE(SUBSTITUTE(SUBSTITUTE(SUBSTITUTE(TRIM(A1841&amp;""),CHAR(160),"")," ",""),"년","")),"0000")=SUBSTITUTE(SUBSTITUTE(SUBSTITUTE(TRIM(A1841&amp;""),CHAR(160),"")," ",""),"년","")),SUBSTITUTE(SUBSTITUTE(SUBSTITUTE(TRIM(A1841&amp;""),CHAR(160),"")," ",""),"년",""),""),"")</f>
      </c>
      <c r="I1841" t="str">
        <f>SUBSTITUTE(SUBSTITUTE(SUBSTITUTE(SUBSTITUTE(SUBSTITUTE(TRIM(B1841&amp;""),CHAR(160),"")," ",""),"초등학교","초"),"중학교","중"),"고등학교","고")</f>
      </c>
    </row>
    <row r="1842" customFormat="false" ht="15" hidden="false" customHeight="false" outlineLevel="0" collapsed="false">
      <c r="A1842" s="8"/>
      <c r="B1842" s="8"/>
      <c r="C1842" s="8"/>
      <c r="D1842" s="8"/>
      <c r="E1842" s="8"/>
      <c r="F1842" t="str" s="15">
        <f aca="0">IF(B1842="","",IF(H1842="","확인필요(입력누락)",IF(SUMPRODUCT((실물목록!$P$2:$P$1001&lt;&gt;"")*ISNUMBER(SEARCH(실물목록!$P$2:$P$1001,I1842))*(실물목록!$Q$2:$Q$1001&lt;&gt;"")*ISNUMBER(SEARCH(실물목록!$Q$2:$Q$1001,I1842))*(실물목록!$R$2:$R$1001="")*(실물목록!$O$2:$O$1001&lt;&gt;"")*(실물목록!$O$2:$O$1001=H1842))&gt;0,"실물 있음",IF(SUMPRODUCT((실물목록!$P$2:$P$1001&lt;&gt;"")*ISNUMBER(SEARCH(실물목록!$P$2:$P$1001,I1842))*(실물목록!$R$2:$R$1001&lt;&gt;""))&gt;0,"확인필요(입력누락)",IF(SUMPRODUCT((실물목록!$P$2:$P$1001&lt;&gt;"")*ISNUMBER(SEARCH(실물목록!$P$2:$P$1001,I1842))*(실물목록!$Q$2:$Q$1001&lt;&gt;"")*ISNUMBER(SEARCH(실물목록!$Q$2:$Q$1001,I1842))*(실물목록!$R$2:$R$1001="")*(실물목록!$O$2:$O$1001&lt;&gt;""))&gt;0,"확인필요(연도다름)","실물 없음")))))</f>
      </c>
      <c r="G1842" t="n" s="16">
        <f aca="0">IF(B1842="","",SUMPRODUCT((실물목록!$P$2:$P$1001&lt;&gt;"")*ISNUMBER(SEARCH(실물목록!$P$2:$P$1001,I1842))*(실물목록!$Q$2:$Q$1001&lt;&gt;"")*ISNUMBER(SEARCH(실물목록!$Q$2:$Q$1001,I1842))*(실물목록!$R$2:$R$1001="")*(실물목록!$O$2:$O$1001&lt;&gt;"")*(실물목록!$O$2:$O$1001=H1842)))</f>
      </c>
      <c r="H1842" t="str">
        <f>IFERROR(IF(AND(LEN(SUBSTITUTE(SUBSTITUTE(SUBSTITUTE(TRIM(A1842&amp;""),CHAR(160),"")," ",""),"년",""))=4,VALUE(SUBSTITUTE(SUBSTITUTE(SUBSTITUTE(TRIM(A1842&amp;""),CHAR(160),"")," ",""),"년",""))&gt;=1900,VALUE(SUBSTITUTE(SUBSTITUTE(SUBSTITUTE(TRIM(A1842&amp;""),CHAR(160),"")," ",""),"년",""))&lt;=2099,TEXT(VALUE(SUBSTITUTE(SUBSTITUTE(SUBSTITUTE(TRIM(A1842&amp;""),CHAR(160),"")," ",""),"년","")),"0000")=SUBSTITUTE(SUBSTITUTE(SUBSTITUTE(TRIM(A1842&amp;""),CHAR(160),"")," ",""),"년","")),SUBSTITUTE(SUBSTITUTE(SUBSTITUTE(TRIM(A1842&amp;""),CHAR(160),"")," ",""),"년",""),""),"")</f>
      </c>
      <c r="I1842" t="str">
        <f>SUBSTITUTE(SUBSTITUTE(SUBSTITUTE(SUBSTITUTE(SUBSTITUTE(TRIM(B1842&amp;""),CHAR(160),"")," ",""),"초등학교","초"),"중학교","중"),"고등학교","고")</f>
      </c>
    </row>
    <row r="1843" customFormat="false" ht="15" hidden="false" customHeight="false" outlineLevel="0" collapsed="false">
      <c r="A1843" s="8"/>
      <c r="B1843" s="8"/>
      <c r="C1843" s="8"/>
      <c r="D1843" s="8"/>
      <c r="E1843" s="8"/>
      <c r="F1843" t="str" s="15">
        <f aca="0">IF(B1843="","",IF(H1843="","확인필요(입력누락)",IF(SUMPRODUCT((실물목록!$P$2:$P$1001&lt;&gt;"")*ISNUMBER(SEARCH(실물목록!$P$2:$P$1001,I1843))*(실물목록!$Q$2:$Q$1001&lt;&gt;"")*ISNUMBER(SEARCH(실물목록!$Q$2:$Q$1001,I1843))*(실물목록!$R$2:$R$1001="")*(실물목록!$O$2:$O$1001&lt;&gt;"")*(실물목록!$O$2:$O$1001=H1843))&gt;0,"실물 있음",IF(SUMPRODUCT((실물목록!$P$2:$P$1001&lt;&gt;"")*ISNUMBER(SEARCH(실물목록!$P$2:$P$1001,I1843))*(실물목록!$R$2:$R$1001&lt;&gt;""))&gt;0,"확인필요(입력누락)",IF(SUMPRODUCT((실물목록!$P$2:$P$1001&lt;&gt;"")*ISNUMBER(SEARCH(실물목록!$P$2:$P$1001,I1843))*(실물목록!$Q$2:$Q$1001&lt;&gt;"")*ISNUMBER(SEARCH(실물목록!$Q$2:$Q$1001,I1843))*(실물목록!$R$2:$R$1001="")*(실물목록!$O$2:$O$1001&lt;&gt;""))&gt;0,"확인필요(연도다름)","실물 없음")))))</f>
      </c>
      <c r="G1843" t="n" s="16">
        <f aca="0">IF(B1843="","",SUMPRODUCT((실물목록!$P$2:$P$1001&lt;&gt;"")*ISNUMBER(SEARCH(실물목록!$P$2:$P$1001,I1843))*(실물목록!$Q$2:$Q$1001&lt;&gt;"")*ISNUMBER(SEARCH(실물목록!$Q$2:$Q$1001,I1843))*(실물목록!$R$2:$R$1001="")*(실물목록!$O$2:$O$1001&lt;&gt;"")*(실물목록!$O$2:$O$1001=H1843)))</f>
      </c>
      <c r="H1843" t="str">
        <f>IFERROR(IF(AND(LEN(SUBSTITUTE(SUBSTITUTE(SUBSTITUTE(TRIM(A1843&amp;""),CHAR(160),"")," ",""),"년",""))=4,VALUE(SUBSTITUTE(SUBSTITUTE(SUBSTITUTE(TRIM(A1843&amp;""),CHAR(160),"")," ",""),"년",""))&gt;=1900,VALUE(SUBSTITUTE(SUBSTITUTE(SUBSTITUTE(TRIM(A1843&amp;""),CHAR(160),"")," ",""),"년",""))&lt;=2099,TEXT(VALUE(SUBSTITUTE(SUBSTITUTE(SUBSTITUTE(TRIM(A1843&amp;""),CHAR(160),"")," ",""),"년","")),"0000")=SUBSTITUTE(SUBSTITUTE(SUBSTITUTE(TRIM(A1843&amp;""),CHAR(160),"")," ",""),"년","")),SUBSTITUTE(SUBSTITUTE(SUBSTITUTE(TRIM(A1843&amp;""),CHAR(160),"")," ",""),"년",""),""),"")</f>
      </c>
      <c r="I1843" t="str">
        <f>SUBSTITUTE(SUBSTITUTE(SUBSTITUTE(SUBSTITUTE(SUBSTITUTE(TRIM(B1843&amp;""),CHAR(160),"")," ",""),"초등학교","초"),"중학교","중"),"고등학교","고")</f>
      </c>
    </row>
    <row r="1844" customFormat="false" ht="15" hidden="false" customHeight="false" outlineLevel="0" collapsed="false">
      <c r="A1844" s="8"/>
      <c r="B1844" s="8"/>
      <c r="C1844" s="8"/>
      <c r="D1844" s="8"/>
      <c r="E1844" s="8"/>
      <c r="F1844" t="str" s="15">
        <f aca="0">IF(B1844="","",IF(H1844="","확인필요(입력누락)",IF(SUMPRODUCT((실물목록!$P$2:$P$1001&lt;&gt;"")*ISNUMBER(SEARCH(실물목록!$P$2:$P$1001,I1844))*(실물목록!$Q$2:$Q$1001&lt;&gt;"")*ISNUMBER(SEARCH(실물목록!$Q$2:$Q$1001,I1844))*(실물목록!$R$2:$R$1001="")*(실물목록!$O$2:$O$1001&lt;&gt;"")*(실물목록!$O$2:$O$1001=H1844))&gt;0,"실물 있음",IF(SUMPRODUCT((실물목록!$P$2:$P$1001&lt;&gt;"")*ISNUMBER(SEARCH(실물목록!$P$2:$P$1001,I1844))*(실물목록!$R$2:$R$1001&lt;&gt;""))&gt;0,"확인필요(입력누락)",IF(SUMPRODUCT((실물목록!$P$2:$P$1001&lt;&gt;"")*ISNUMBER(SEARCH(실물목록!$P$2:$P$1001,I1844))*(실물목록!$Q$2:$Q$1001&lt;&gt;"")*ISNUMBER(SEARCH(실물목록!$Q$2:$Q$1001,I1844))*(실물목록!$R$2:$R$1001="")*(실물목록!$O$2:$O$1001&lt;&gt;""))&gt;0,"확인필요(연도다름)","실물 없음")))))</f>
      </c>
      <c r="G1844" t="n" s="16">
        <f aca="0">IF(B1844="","",SUMPRODUCT((실물목록!$P$2:$P$1001&lt;&gt;"")*ISNUMBER(SEARCH(실물목록!$P$2:$P$1001,I1844))*(실물목록!$Q$2:$Q$1001&lt;&gt;"")*ISNUMBER(SEARCH(실물목록!$Q$2:$Q$1001,I1844))*(실물목록!$R$2:$R$1001="")*(실물목록!$O$2:$O$1001&lt;&gt;"")*(실물목록!$O$2:$O$1001=H1844)))</f>
      </c>
      <c r="H1844" t="str">
        <f>IFERROR(IF(AND(LEN(SUBSTITUTE(SUBSTITUTE(SUBSTITUTE(TRIM(A1844&amp;""),CHAR(160),"")," ",""),"년",""))=4,VALUE(SUBSTITUTE(SUBSTITUTE(SUBSTITUTE(TRIM(A1844&amp;""),CHAR(160),"")," ",""),"년",""))&gt;=1900,VALUE(SUBSTITUTE(SUBSTITUTE(SUBSTITUTE(TRIM(A1844&amp;""),CHAR(160),"")," ",""),"년",""))&lt;=2099,TEXT(VALUE(SUBSTITUTE(SUBSTITUTE(SUBSTITUTE(TRIM(A1844&amp;""),CHAR(160),"")," ",""),"년","")),"0000")=SUBSTITUTE(SUBSTITUTE(SUBSTITUTE(TRIM(A1844&amp;""),CHAR(160),"")," ",""),"년","")),SUBSTITUTE(SUBSTITUTE(SUBSTITUTE(TRIM(A1844&amp;""),CHAR(160),"")," ",""),"년",""),""),"")</f>
      </c>
      <c r="I1844" t="str">
        <f>SUBSTITUTE(SUBSTITUTE(SUBSTITUTE(SUBSTITUTE(SUBSTITUTE(TRIM(B1844&amp;""),CHAR(160),"")," ",""),"초등학교","초"),"중학교","중"),"고등학교","고")</f>
      </c>
    </row>
    <row r="1845" customFormat="false" ht="15" hidden="false" customHeight="false" outlineLevel="0" collapsed="false">
      <c r="A1845" s="8"/>
      <c r="B1845" s="8"/>
      <c r="C1845" s="8"/>
      <c r="D1845" s="8"/>
      <c r="E1845" s="8"/>
      <c r="F1845" t="str" s="15">
        <f aca="0">IF(B1845="","",IF(H1845="","확인필요(입력누락)",IF(SUMPRODUCT((실물목록!$P$2:$P$1001&lt;&gt;"")*ISNUMBER(SEARCH(실물목록!$P$2:$P$1001,I1845))*(실물목록!$Q$2:$Q$1001&lt;&gt;"")*ISNUMBER(SEARCH(실물목록!$Q$2:$Q$1001,I1845))*(실물목록!$R$2:$R$1001="")*(실물목록!$O$2:$O$1001&lt;&gt;"")*(실물목록!$O$2:$O$1001=H1845))&gt;0,"실물 있음",IF(SUMPRODUCT((실물목록!$P$2:$P$1001&lt;&gt;"")*ISNUMBER(SEARCH(실물목록!$P$2:$P$1001,I1845))*(실물목록!$R$2:$R$1001&lt;&gt;""))&gt;0,"확인필요(입력누락)",IF(SUMPRODUCT((실물목록!$P$2:$P$1001&lt;&gt;"")*ISNUMBER(SEARCH(실물목록!$P$2:$P$1001,I1845))*(실물목록!$Q$2:$Q$1001&lt;&gt;"")*ISNUMBER(SEARCH(실물목록!$Q$2:$Q$1001,I1845))*(실물목록!$R$2:$R$1001="")*(실물목록!$O$2:$O$1001&lt;&gt;""))&gt;0,"확인필요(연도다름)","실물 없음")))))</f>
      </c>
      <c r="G1845" t="n" s="16">
        <f aca="0">IF(B1845="","",SUMPRODUCT((실물목록!$P$2:$P$1001&lt;&gt;"")*ISNUMBER(SEARCH(실물목록!$P$2:$P$1001,I1845))*(실물목록!$Q$2:$Q$1001&lt;&gt;"")*ISNUMBER(SEARCH(실물목록!$Q$2:$Q$1001,I1845))*(실물목록!$R$2:$R$1001="")*(실물목록!$O$2:$O$1001&lt;&gt;"")*(실물목록!$O$2:$O$1001=H1845)))</f>
      </c>
      <c r="H1845" t="str">
        <f>IFERROR(IF(AND(LEN(SUBSTITUTE(SUBSTITUTE(SUBSTITUTE(TRIM(A1845&amp;""),CHAR(160),"")," ",""),"년",""))=4,VALUE(SUBSTITUTE(SUBSTITUTE(SUBSTITUTE(TRIM(A1845&amp;""),CHAR(160),"")," ",""),"년",""))&gt;=1900,VALUE(SUBSTITUTE(SUBSTITUTE(SUBSTITUTE(TRIM(A1845&amp;""),CHAR(160),"")," ",""),"년",""))&lt;=2099,TEXT(VALUE(SUBSTITUTE(SUBSTITUTE(SUBSTITUTE(TRIM(A1845&amp;""),CHAR(160),"")," ",""),"년","")),"0000")=SUBSTITUTE(SUBSTITUTE(SUBSTITUTE(TRIM(A1845&amp;""),CHAR(160),"")," ",""),"년","")),SUBSTITUTE(SUBSTITUTE(SUBSTITUTE(TRIM(A1845&amp;""),CHAR(160),"")," ",""),"년",""),""),"")</f>
      </c>
      <c r="I1845" t="str">
        <f>SUBSTITUTE(SUBSTITUTE(SUBSTITUTE(SUBSTITUTE(SUBSTITUTE(TRIM(B1845&amp;""),CHAR(160),"")," ",""),"초등학교","초"),"중학교","중"),"고등학교","고")</f>
      </c>
    </row>
    <row r="1846" customFormat="false" ht="15" hidden="false" customHeight="false" outlineLevel="0" collapsed="false">
      <c r="A1846" s="8"/>
      <c r="B1846" s="8"/>
      <c r="C1846" s="8"/>
      <c r="D1846" s="8"/>
      <c r="E1846" s="8"/>
      <c r="F1846" t="str" s="15">
        <f aca="0">IF(B1846="","",IF(H1846="","확인필요(입력누락)",IF(SUMPRODUCT((실물목록!$P$2:$P$1001&lt;&gt;"")*ISNUMBER(SEARCH(실물목록!$P$2:$P$1001,I1846))*(실물목록!$Q$2:$Q$1001&lt;&gt;"")*ISNUMBER(SEARCH(실물목록!$Q$2:$Q$1001,I1846))*(실물목록!$R$2:$R$1001="")*(실물목록!$O$2:$O$1001&lt;&gt;"")*(실물목록!$O$2:$O$1001=H1846))&gt;0,"실물 있음",IF(SUMPRODUCT((실물목록!$P$2:$P$1001&lt;&gt;"")*ISNUMBER(SEARCH(실물목록!$P$2:$P$1001,I1846))*(실물목록!$R$2:$R$1001&lt;&gt;""))&gt;0,"확인필요(입력누락)",IF(SUMPRODUCT((실물목록!$P$2:$P$1001&lt;&gt;"")*ISNUMBER(SEARCH(실물목록!$P$2:$P$1001,I1846))*(실물목록!$Q$2:$Q$1001&lt;&gt;"")*ISNUMBER(SEARCH(실물목록!$Q$2:$Q$1001,I1846))*(실물목록!$R$2:$R$1001="")*(실물목록!$O$2:$O$1001&lt;&gt;""))&gt;0,"확인필요(연도다름)","실물 없음")))))</f>
      </c>
      <c r="G1846" t="n" s="16">
        <f aca="0">IF(B1846="","",SUMPRODUCT((실물목록!$P$2:$P$1001&lt;&gt;"")*ISNUMBER(SEARCH(실물목록!$P$2:$P$1001,I1846))*(실물목록!$Q$2:$Q$1001&lt;&gt;"")*ISNUMBER(SEARCH(실물목록!$Q$2:$Q$1001,I1846))*(실물목록!$R$2:$R$1001="")*(실물목록!$O$2:$O$1001&lt;&gt;"")*(실물목록!$O$2:$O$1001=H1846)))</f>
      </c>
      <c r="H1846" t="str">
        <f>IFERROR(IF(AND(LEN(SUBSTITUTE(SUBSTITUTE(SUBSTITUTE(TRIM(A1846&amp;""),CHAR(160),"")," ",""),"년",""))=4,VALUE(SUBSTITUTE(SUBSTITUTE(SUBSTITUTE(TRIM(A1846&amp;""),CHAR(160),"")," ",""),"년",""))&gt;=1900,VALUE(SUBSTITUTE(SUBSTITUTE(SUBSTITUTE(TRIM(A1846&amp;""),CHAR(160),"")," ",""),"년",""))&lt;=2099,TEXT(VALUE(SUBSTITUTE(SUBSTITUTE(SUBSTITUTE(TRIM(A1846&amp;""),CHAR(160),"")," ",""),"년","")),"0000")=SUBSTITUTE(SUBSTITUTE(SUBSTITUTE(TRIM(A1846&amp;""),CHAR(160),"")," ",""),"년","")),SUBSTITUTE(SUBSTITUTE(SUBSTITUTE(TRIM(A1846&amp;""),CHAR(160),"")," ",""),"년",""),""),"")</f>
      </c>
      <c r="I1846" t="str">
        <f>SUBSTITUTE(SUBSTITUTE(SUBSTITUTE(SUBSTITUTE(SUBSTITUTE(TRIM(B1846&amp;""),CHAR(160),"")," ",""),"초등학교","초"),"중학교","중"),"고등학교","고")</f>
      </c>
    </row>
    <row r="1847" customFormat="false" ht="15" hidden="false" customHeight="false" outlineLevel="0" collapsed="false">
      <c r="A1847" s="8"/>
      <c r="B1847" s="8"/>
      <c r="C1847" s="8"/>
      <c r="D1847" s="8"/>
      <c r="E1847" s="8"/>
      <c r="F1847" t="str" s="15">
        <f aca="0">IF(B1847="","",IF(H1847="","확인필요(입력누락)",IF(SUMPRODUCT((실물목록!$P$2:$P$1001&lt;&gt;"")*ISNUMBER(SEARCH(실물목록!$P$2:$P$1001,I1847))*(실물목록!$Q$2:$Q$1001&lt;&gt;"")*ISNUMBER(SEARCH(실물목록!$Q$2:$Q$1001,I1847))*(실물목록!$R$2:$R$1001="")*(실물목록!$O$2:$O$1001&lt;&gt;"")*(실물목록!$O$2:$O$1001=H1847))&gt;0,"실물 있음",IF(SUMPRODUCT((실물목록!$P$2:$P$1001&lt;&gt;"")*ISNUMBER(SEARCH(실물목록!$P$2:$P$1001,I1847))*(실물목록!$R$2:$R$1001&lt;&gt;""))&gt;0,"확인필요(입력누락)",IF(SUMPRODUCT((실물목록!$P$2:$P$1001&lt;&gt;"")*ISNUMBER(SEARCH(실물목록!$P$2:$P$1001,I1847))*(실물목록!$Q$2:$Q$1001&lt;&gt;"")*ISNUMBER(SEARCH(실물목록!$Q$2:$Q$1001,I1847))*(실물목록!$R$2:$R$1001="")*(실물목록!$O$2:$O$1001&lt;&gt;""))&gt;0,"확인필요(연도다름)","실물 없음")))))</f>
      </c>
      <c r="G1847" t="n" s="16">
        <f aca="0">IF(B1847="","",SUMPRODUCT((실물목록!$P$2:$P$1001&lt;&gt;"")*ISNUMBER(SEARCH(실물목록!$P$2:$P$1001,I1847))*(실물목록!$Q$2:$Q$1001&lt;&gt;"")*ISNUMBER(SEARCH(실물목록!$Q$2:$Q$1001,I1847))*(실물목록!$R$2:$R$1001="")*(실물목록!$O$2:$O$1001&lt;&gt;"")*(실물목록!$O$2:$O$1001=H1847)))</f>
      </c>
      <c r="H1847" t="str">
        <f>IFERROR(IF(AND(LEN(SUBSTITUTE(SUBSTITUTE(SUBSTITUTE(TRIM(A1847&amp;""),CHAR(160),"")," ",""),"년",""))=4,VALUE(SUBSTITUTE(SUBSTITUTE(SUBSTITUTE(TRIM(A1847&amp;""),CHAR(160),"")," ",""),"년",""))&gt;=1900,VALUE(SUBSTITUTE(SUBSTITUTE(SUBSTITUTE(TRIM(A1847&amp;""),CHAR(160),"")," ",""),"년",""))&lt;=2099,TEXT(VALUE(SUBSTITUTE(SUBSTITUTE(SUBSTITUTE(TRIM(A1847&amp;""),CHAR(160),"")," ",""),"년","")),"0000")=SUBSTITUTE(SUBSTITUTE(SUBSTITUTE(TRIM(A1847&amp;""),CHAR(160),"")," ",""),"년","")),SUBSTITUTE(SUBSTITUTE(SUBSTITUTE(TRIM(A1847&amp;""),CHAR(160),"")," ",""),"년",""),""),"")</f>
      </c>
      <c r="I1847" t="str">
        <f>SUBSTITUTE(SUBSTITUTE(SUBSTITUTE(SUBSTITUTE(SUBSTITUTE(TRIM(B1847&amp;""),CHAR(160),"")," ",""),"초등학교","초"),"중학교","중"),"고등학교","고")</f>
      </c>
    </row>
    <row r="1848" customFormat="false" ht="15" hidden="false" customHeight="false" outlineLevel="0" collapsed="false">
      <c r="A1848" s="8"/>
      <c r="B1848" s="8"/>
      <c r="C1848" s="8"/>
      <c r="D1848" s="8"/>
      <c r="E1848" s="8"/>
      <c r="F1848" t="str" s="15">
        <f aca="0">IF(B1848="","",IF(H1848="","확인필요(입력누락)",IF(SUMPRODUCT((실물목록!$P$2:$P$1001&lt;&gt;"")*ISNUMBER(SEARCH(실물목록!$P$2:$P$1001,I1848))*(실물목록!$Q$2:$Q$1001&lt;&gt;"")*ISNUMBER(SEARCH(실물목록!$Q$2:$Q$1001,I1848))*(실물목록!$R$2:$R$1001="")*(실물목록!$O$2:$O$1001&lt;&gt;"")*(실물목록!$O$2:$O$1001=H1848))&gt;0,"실물 있음",IF(SUMPRODUCT((실물목록!$P$2:$P$1001&lt;&gt;"")*ISNUMBER(SEARCH(실물목록!$P$2:$P$1001,I1848))*(실물목록!$R$2:$R$1001&lt;&gt;""))&gt;0,"확인필요(입력누락)",IF(SUMPRODUCT((실물목록!$P$2:$P$1001&lt;&gt;"")*ISNUMBER(SEARCH(실물목록!$P$2:$P$1001,I1848))*(실물목록!$Q$2:$Q$1001&lt;&gt;"")*ISNUMBER(SEARCH(실물목록!$Q$2:$Q$1001,I1848))*(실물목록!$R$2:$R$1001="")*(실물목록!$O$2:$O$1001&lt;&gt;""))&gt;0,"확인필요(연도다름)","실물 없음")))))</f>
      </c>
      <c r="G1848" t="n" s="16">
        <f aca="0">IF(B1848="","",SUMPRODUCT((실물목록!$P$2:$P$1001&lt;&gt;"")*ISNUMBER(SEARCH(실물목록!$P$2:$P$1001,I1848))*(실물목록!$Q$2:$Q$1001&lt;&gt;"")*ISNUMBER(SEARCH(실물목록!$Q$2:$Q$1001,I1848))*(실물목록!$R$2:$R$1001="")*(실물목록!$O$2:$O$1001&lt;&gt;"")*(실물목록!$O$2:$O$1001=H1848)))</f>
      </c>
      <c r="H1848" t="str">
        <f>IFERROR(IF(AND(LEN(SUBSTITUTE(SUBSTITUTE(SUBSTITUTE(TRIM(A1848&amp;""),CHAR(160),"")," ",""),"년",""))=4,VALUE(SUBSTITUTE(SUBSTITUTE(SUBSTITUTE(TRIM(A1848&amp;""),CHAR(160),"")," ",""),"년",""))&gt;=1900,VALUE(SUBSTITUTE(SUBSTITUTE(SUBSTITUTE(TRIM(A1848&amp;""),CHAR(160),"")," ",""),"년",""))&lt;=2099,TEXT(VALUE(SUBSTITUTE(SUBSTITUTE(SUBSTITUTE(TRIM(A1848&amp;""),CHAR(160),"")," ",""),"년","")),"0000")=SUBSTITUTE(SUBSTITUTE(SUBSTITUTE(TRIM(A1848&amp;""),CHAR(160),"")," ",""),"년","")),SUBSTITUTE(SUBSTITUTE(SUBSTITUTE(TRIM(A1848&amp;""),CHAR(160),"")," ",""),"년",""),""),"")</f>
      </c>
      <c r="I1848" t="str">
        <f>SUBSTITUTE(SUBSTITUTE(SUBSTITUTE(SUBSTITUTE(SUBSTITUTE(TRIM(B1848&amp;""),CHAR(160),"")," ",""),"초등학교","초"),"중학교","중"),"고등학교","고")</f>
      </c>
    </row>
    <row r="1849" customFormat="false" ht="15" hidden="false" customHeight="false" outlineLevel="0" collapsed="false">
      <c r="A1849" s="8"/>
      <c r="B1849" s="8"/>
      <c r="C1849" s="8"/>
      <c r="D1849" s="8"/>
      <c r="E1849" s="8"/>
      <c r="F1849" t="str" s="15">
        <f aca="0">IF(B1849="","",IF(H1849="","확인필요(입력누락)",IF(SUMPRODUCT((실물목록!$P$2:$P$1001&lt;&gt;"")*ISNUMBER(SEARCH(실물목록!$P$2:$P$1001,I1849))*(실물목록!$Q$2:$Q$1001&lt;&gt;"")*ISNUMBER(SEARCH(실물목록!$Q$2:$Q$1001,I1849))*(실물목록!$R$2:$R$1001="")*(실물목록!$O$2:$O$1001&lt;&gt;"")*(실물목록!$O$2:$O$1001=H1849))&gt;0,"실물 있음",IF(SUMPRODUCT((실물목록!$P$2:$P$1001&lt;&gt;"")*ISNUMBER(SEARCH(실물목록!$P$2:$P$1001,I1849))*(실물목록!$R$2:$R$1001&lt;&gt;""))&gt;0,"확인필요(입력누락)",IF(SUMPRODUCT((실물목록!$P$2:$P$1001&lt;&gt;"")*ISNUMBER(SEARCH(실물목록!$P$2:$P$1001,I1849))*(실물목록!$Q$2:$Q$1001&lt;&gt;"")*ISNUMBER(SEARCH(실물목록!$Q$2:$Q$1001,I1849))*(실물목록!$R$2:$R$1001="")*(실물목록!$O$2:$O$1001&lt;&gt;""))&gt;0,"확인필요(연도다름)","실물 없음")))))</f>
      </c>
      <c r="G1849" t="n" s="16">
        <f aca="0">IF(B1849="","",SUMPRODUCT((실물목록!$P$2:$P$1001&lt;&gt;"")*ISNUMBER(SEARCH(실물목록!$P$2:$P$1001,I1849))*(실물목록!$Q$2:$Q$1001&lt;&gt;"")*ISNUMBER(SEARCH(실물목록!$Q$2:$Q$1001,I1849))*(실물목록!$R$2:$R$1001="")*(실물목록!$O$2:$O$1001&lt;&gt;"")*(실물목록!$O$2:$O$1001=H1849)))</f>
      </c>
      <c r="H1849" t="str">
        <f>IFERROR(IF(AND(LEN(SUBSTITUTE(SUBSTITUTE(SUBSTITUTE(TRIM(A1849&amp;""),CHAR(160),"")," ",""),"년",""))=4,VALUE(SUBSTITUTE(SUBSTITUTE(SUBSTITUTE(TRIM(A1849&amp;""),CHAR(160),"")," ",""),"년",""))&gt;=1900,VALUE(SUBSTITUTE(SUBSTITUTE(SUBSTITUTE(TRIM(A1849&amp;""),CHAR(160),"")," ",""),"년",""))&lt;=2099,TEXT(VALUE(SUBSTITUTE(SUBSTITUTE(SUBSTITUTE(TRIM(A1849&amp;""),CHAR(160),"")," ",""),"년","")),"0000")=SUBSTITUTE(SUBSTITUTE(SUBSTITUTE(TRIM(A1849&amp;""),CHAR(160),"")," ",""),"년","")),SUBSTITUTE(SUBSTITUTE(SUBSTITUTE(TRIM(A1849&amp;""),CHAR(160),"")," ",""),"년",""),""),"")</f>
      </c>
      <c r="I1849" t="str">
        <f>SUBSTITUTE(SUBSTITUTE(SUBSTITUTE(SUBSTITUTE(SUBSTITUTE(TRIM(B1849&amp;""),CHAR(160),"")," ",""),"초등학교","초"),"중학교","중"),"고등학교","고")</f>
      </c>
    </row>
    <row r="1850" customFormat="false" ht="15" hidden="false" customHeight="false" outlineLevel="0" collapsed="false">
      <c r="A1850" s="8"/>
      <c r="B1850" s="8"/>
      <c r="C1850" s="8"/>
      <c r="D1850" s="8"/>
      <c r="E1850" s="8"/>
      <c r="F1850" t="str" s="15">
        <f aca="0">IF(B1850="","",IF(H1850="","확인필요(입력누락)",IF(SUMPRODUCT((실물목록!$P$2:$P$1001&lt;&gt;"")*ISNUMBER(SEARCH(실물목록!$P$2:$P$1001,I1850))*(실물목록!$Q$2:$Q$1001&lt;&gt;"")*ISNUMBER(SEARCH(실물목록!$Q$2:$Q$1001,I1850))*(실물목록!$R$2:$R$1001="")*(실물목록!$O$2:$O$1001&lt;&gt;"")*(실물목록!$O$2:$O$1001=H1850))&gt;0,"실물 있음",IF(SUMPRODUCT((실물목록!$P$2:$P$1001&lt;&gt;"")*ISNUMBER(SEARCH(실물목록!$P$2:$P$1001,I1850))*(실물목록!$R$2:$R$1001&lt;&gt;""))&gt;0,"확인필요(입력누락)",IF(SUMPRODUCT((실물목록!$P$2:$P$1001&lt;&gt;"")*ISNUMBER(SEARCH(실물목록!$P$2:$P$1001,I1850))*(실물목록!$Q$2:$Q$1001&lt;&gt;"")*ISNUMBER(SEARCH(실물목록!$Q$2:$Q$1001,I1850))*(실물목록!$R$2:$R$1001="")*(실물목록!$O$2:$O$1001&lt;&gt;""))&gt;0,"확인필요(연도다름)","실물 없음")))))</f>
      </c>
      <c r="G1850" t="n" s="16">
        <f aca="0">IF(B1850="","",SUMPRODUCT((실물목록!$P$2:$P$1001&lt;&gt;"")*ISNUMBER(SEARCH(실물목록!$P$2:$P$1001,I1850))*(실물목록!$Q$2:$Q$1001&lt;&gt;"")*ISNUMBER(SEARCH(실물목록!$Q$2:$Q$1001,I1850))*(실물목록!$R$2:$R$1001="")*(실물목록!$O$2:$O$1001&lt;&gt;"")*(실물목록!$O$2:$O$1001=H1850)))</f>
      </c>
      <c r="H1850" t="str">
        <f>IFERROR(IF(AND(LEN(SUBSTITUTE(SUBSTITUTE(SUBSTITUTE(TRIM(A1850&amp;""),CHAR(160),"")," ",""),"년",""))=4,VALUE(SUBSTITUTE(SUBSTITUTE(SUBSTITUTE(TRIM(A1850&amp;""),CHAR(160),"")," ",""),"년",""))&gt;=1900,VALUE(SUBSTITUTE(SUBSTITUTE(SUBSTITUTE(TRIM(A1850&amp;""),CHAR(160),"")," ",""),"년",""))&lt;=2099,TEXT(VALUE(SUBSTITUTE(SUBSTITUTE(SUBSTITUTE(TRIM(A1850&amp;""),CHAR(160),"")," ",""),"년","")),"0000")=SUBSTITUTE(SUBSTITUTE(SUBSTITUTE(TRIM(A1850&amp;""),CHAR(160),"")," ",""),"년","")),SUBSTITUTE(SUBSTITUTE(SUBSTITUTE(TRIM(A1850&amp;""),CHAR(160),"")," ",""),"년",""),""),"")</f>
      </c>
      <c r="I1850" t="str">
        <f>SUBSTITUTE(SUBSTITUTE(SUBSTITUTE(SUBSTITUTE(SUBSTITUTE(TRIM(B1850&amp;""),CHAR(160),"")," ",""),"초등학교","초"),"중학교","중"),"고등학교","고")</f>
      </c>
    </row>
    <row r="1851" customFormat="false" ht="15" hidden="false" customHeight="false" outlineLevel="0" collapsed="false">
      <c r="A1851" s="8"/>
      <c r="B1851" s="8"/>
      <c r="C1851" s="8"/>
      <c r="D1851" s="8"/>
      <c r="E1851" s="8"/>
      <c r="F1851" t="str" s="15">
        <f aca="0">IF(B1851="","",IF(H1851="","확인필요(입력누락)",IF(SUMPRODUCT((실물목록!$P$2:$P$1001&lt;&gt;"")*ISNUMBER(SEARCH(실물목록!$P$2:$P$1001,I1851))*(실물목록!$Q$2:$Q$1001&lt;&gt;"")*ISNUMBER(SEARCH(실물목록!$Q$2:$Q$1001,I1851))*(실물목록!$R$2:$R$1001="")*(실물목록!$O$2:$O$1001&lt;&gt;"")*(실물목록!$O$2:$O$1001=H1851))&gt;0,"실물 있음",IF(SUMPRODUCT((실물목록!$P$2:$P$1001&lt;&gt;"")*ISNUMBER(SEARCH(실물목록!$P$2:$P$1001,I1851))*(실물목록!$R$2:$R$1001&lt;&gt;""))&gt;0,"확인필요(입력누락)",IF(SUMPRODUCT((실물목록!$P$2:$P$1001&lt;&gt;"")*ISNUMBER(SEARCH(실물목록!$P$2:$P$1001,I1851))*(실물목록!$Q$2:$Q$1001&lt;&gt;"")*ISNUMBER(SEARCH(실물목록!$Q$2:$Q$1001,I1851))*(실물목록!$R$2:$R$1001="")*(실물목록!$O$2:$O$1001&lt;&gt;""))&gt;0,"확인필요(연도다름)","실물 없음")))))</f>
      </c>
      <c r="G1851" t="n" s="16">
        <f aca="0">IF(B1851="","",SUMPRODUCT((실물목록!$P$2:$P$1001&lt;&gt;"")*ISNUMBER(SEARCH(실물목록!$P$2:$P$1001,I1851))*(실물목록!$Q$2:$Q$1001&lt;&gt;"")*ISNUMBER(SEARCH(실물목록!$Q$2:$Q$1001,I1851))*(실물목록!$R$2:$R$1001="")*(실물목록!$O$2:$O$1001&lt;&gt;"")*(실물목록!$O$2:$O$1001=H1851)))</f>
      </c>
      <c r="H1851" t="str">
        <f>IFERROR(IF(AND(LEN(SUBSTITUTE(SUBSTITUTE(SUBSTITUTE(TRIM(A1851&amp;""),CHAR(160),"")," ",""),"년",""))=4,VALUE(SUBSTITUTE(SUBSTITUTE(SUBSTITUTE(TRIM(A1851&amp;""),CHAR(160),"")," ",""),"년",""))&gt;=1900,VALUE(SUBSTITUTE(SUBSTITUTE(SUBSTITUTE(TRIM(A1851&amp;""),CHAR(160),"")," ",""),"년",""))&lt;=2099,TEXT(VALUE(SUBSTITUTE(SUBSTITUTE(SUBSTITUTE(TRIM(A1851&amp;""),CHAR(160),"")," ",""),"년","")),"0000")=SUBSTITUTE(SUBSTITUTE(SUBSTITUTE(TRIM(A1851&amp;""),CHAR(160),"")," ",""),"년","")),SUBSTITUTE(SUBSTITUTE(SUBSTITUTE(TRIM(A1851&amp;""),CHAR(160),"")," ",""),"년",""),""),"")</f>
      </c>
      <c r="I1851" t="str">
        <f>SUBSTITUTE(SUBSTITUTE(SUBSTITUTE(SUBSTITUTE(SUBSTITUTE(TRIM(B1851&amp;""),CHAR(160),"")," ",""),"초등학교","초"),"중학교","중"),"고등학교","고")</f>
      </c>
    </row>
    <row r="1852" customFormat="false" ht="15" hidden="false" customHeight="false" outlineLevel="0" collapsed="false">
      <c r="A1852" s="8"/>
      <c r="B1852" s="8"/>
      <c r="C1852" s="8"/>
      <c r="D1852" s="8"/>
      <c r="E1852" s="8"/>
      <c r="F1852" t="str" s="15">
        <f aca="0">IF(B1852="","",IF(H1852="","확인필요(입력누락)",IF(SUMPRODUCT((실물목록!$P$2:$P$1001&lt;&gt;"")*ISNUMBER(SEARCH(실물목록!$P$2:$P$1001,I1852))*(실물목록!$Q$2:$Q$1001&lt;&gt;"")*ISNUMBER(SEARCH(실물목록!$Q$2:$Q$1001,I1852))*(실물목록!$R$2:$R$1001="")*(실물목록!$O$2:$O$1001&lt;&gt;"")*(실물목록!$O$2:$O$1001=H1852))&gt;0,"실물 있음",IF(SUMPRODUCT((실물목록!$P$2:$P$1001&lt;&gt;"")*ISNUMBER(SEARCH(실물목록!$P$2:$P$1001,I1852))*(실물목록!$R$2:$R$1001&lt;&gt;""))&gt;0,"확인필요(입력누락)",IF(SUMPRODUCT((실물목록!$P$2:$P$1001&lt;&gt;"")*ISNUMBER(SEARCH(실물목록!$P$2:$P$1001,I1852))*(실물목록!$Q$2:$Q$1001&lt;&gt;"")*ISNUMBER(SEARCH(실물목록!$Q$2:$Q$1001,I1852))*(실물목록!$R$2:$R$1001="")*(실물목록!$O$2:$O$1001&lt;&gt;""))&gt;0,"확인필요(연도다름)","실물 없음")))))</f>
      </c>
      <c r="G1852" t="n" s="16">
        <f aca="0">IF(B1852="","",SUMPRODUCT((실물목록!$P$2:$P$1001&lt;&gt;"")*ISNUMBER(SEARCH(실물목록!$P$2:$P$1001,I1852))*(실물목록!$Q$2:$Q$1001&lt;&gt;"")*ISNUMBER(SEARCH(실물목록!$Q$2:$Q$1001,I1852))*(실물목록!$R$2:$R$1001="")*(실물목록!$O$2:$O$1001&lt;&gt;"")*(실물목록!$O$2:$O$1001=H1852)))</f>
      </c>
      <c r="H1852" t="str">
        <f>IFERROR(IF(AND(LEN(SUBSTITUTE(SUBSTITUTE(SUBSTITUTE(TRIM(A1852&amp;""),CHAR(160),"")," ",""),"년",""))=4,VALUE(SUBSTITUTE(SUBSTITUTE(SUBSTITUTE(TRIM(A1852&amp;""),CHAR(160),"")," ",""),"년",""))&gt;=1900,VALUE(SUBSTITUTE(SUBSTITUTE(SUBSTITUTE(TRIM(A1852&amp;""),CHAR(160),"")," ",""),"년",""))&lt;=2099,TEXT(VALUE(SUBSTITUTE(SUBSTITUTE(SUBSTITUTE(TRIM(A1852&amp;""),CHAR(160),"")," ",""),"년","")),"0000")=SUBSTITUTE(SUBSTITUTE(SUBSTITUTE(TRIM(A1852&amp;""),CHAR(160),"")," ",""),"년","")),SUBSTITUTE(SUBSTITUTE(SUBSTITUTE(TRIM(A1852&amp;""),CHAR(160),"")," ",""),"년",""),""),"")</f>
      </c>
      <c r="I1852" t="str">
        <f>SUBSTITUTE(SUBSTITUTE(SUBSTITUTE(SUBSTITUTE(SUBSTITUTE(TRIM(B1852&amp;""),CHAR(160),"")," ",""),"초등학교","초"),"중학교","중"),"고등학교","고")</f>
      </c>
    </row>
    <row r="1853" customFormat="false" ht="15" hidden="false" customHeight="false" outlineLevel="0" collapsed="false">
      <c r="A1853" s="8"/>
      <c r="B1853" s="8"/>
      <c r="C1853" s="8"/>
      <c r="D1853" s="8"/>
      <c r="E1853" s="8"/>
      <c r="F1853" t="str" s="15">
        <f aca="0">IF(B1853="","",IF(H1853="","확인필요(입력누락)",IF(SUMPRODUCT((실물목록!$P$2:$P$1001&lt;&gt;"")*ISNUMBER(SEARCH(실물목록!$P$2:$P$1001,I1853))*(실물목록!$Q$2:$Q$1001&lt;&gt;"")*ISNUMBER(SEARCH(실물목록!$Q$2:$Q$1001,I1853))*(실물목록!$R$2:$R$1001="")*(실물목록!$O$2:$O$1001&lt;&gt;"")*(실물목록!$O$2:$O$1001=H1853))&gt;0,"실물 있음",IF(SUMPRODUCT((실물목록!$P$2:$P$1001&lt;&gt;"")*ISNUMBER(SEARCH(실물목록!$P$2:$P$1001,I1853))*(실물목록!$R$2:$R$1001&lt;&gt;""))&gt;0,"확인필요(입력누락)",IF(SUMPRODUCT((실물목록!$P$2:$P$1001&lt;&gt;"")*ISNUMBER(SEARCH(실물목록!$P$2:$P$1001,I1853))*(실물목록!$Q$2:$Q$1001&lt;&gt;"")*ISNUMBER(SEARCH(실물목록!$Q$2:$Q$1001,I1853))*(실물목록!$R$2:$R$1001="")*(실물목록!$O$2:$O$1001&lt;&gt;""))&gt;0,"확인필요(연도다름)","실물 없음")))))</f>
      </c>
      <c r="G1853" t="n" s="16">
        <f aca="0">IF(B1853="","",SUMPRODUCT((실물목록!$P$2:$P$1001&lt;&gt;"")*ISNUMBER(SEARCH(실물목록!$P$2:$P$1001,I1853))*(실물목록!$Q$2:$Q$1001&lt;&gt;"")*ISNUMBER(SEARCH(실물목록!$Q$2:$Q$1001,I1853))*(실물목록!$R$2:$R$1001="")*(실물목록!$O$2:$O$1001&lt;&gt;"")*(실물목록!$O$2:$O$1001=H1853)))</f>
      </c>
      <c r="H1853" t="str">
        <f>IFERROR(IF(AND(LEN(SUBSTITUTE(SUBSTITUTE(SUBSTITUTE(TRIM(A1853&amp;""),CHAR(160),"")," ",""),"년",""))=4,VALUE(SUBSTITUTE(SUBSTITUTE(SUBSTITUTE(TRIM(A1853&amp;""),CHAR(160),"")," ",""),"년",""))&gt;=1900,VALUE(SUBSTITUTE(SUBSTITUTE(SUBSTITUTE(TRIM(A1853&amp;""),CHAR(160),"")," ",""),"년",""))&lt;=2099,TEXT(VALUE(SUBSTITUTE(SUBSTITUTE(SUBSTITUTE(TRIM(A1853&amp;""),CHAR(160),"")," ",""),"년","")),"0000")=SUBSTITUTE(SUBSTITUTE(SUBSTITUTE(TRIM(A1853&amp;""),CHAR(160),"")," ",""),"년","")),SUBSTITUTE(SUBSTITUTE(SUBSTITUTE(TRIM(A1853&amp;""),CHAR(160),"")," ",""),"년",""),""),"")</f>
      </c>
      <c r="I1853" t="str">
        <f>SUBSTITUTE(SUBSTITUTE(SUBSTITUTE(SUBSTITUTE(SUBSTITUTE(TRIM(B1853&amp;""),CHAR(160),"")," ",""),"초등학교","초"),"중학교","중"),"고등학교","고")</f>
      </c>
    </row>
    <row r="1854" customFormat="false" ht="15" hidden="false" customHeight="false" outlineLevel="0" collapsed="false">
      <c r="A1854" s="8"/>
      <c r="B1854" s="8"/>
      <c r="C1854" s="8"/>
      <c r="D1854" s="8"/>
      <c r="E1854" s="8"/>
      <c r="F1854" t="str" s="15">
        <f aca="0">IF(B1854="","",IF(H1854="","확인필요(입력누락)",IF(SUMPRODUCT((실물목록!$P$2:$P$1001&lt;&gt;"")*ISNUMBER(SEARCH(실물목록!$P$2:$P$1001,I1854))*(실물목록!$Q$2:$Q$1001&lt;&gt;"")*ISNUMBER(SEARCH(실물목록!$Q$2:$Q$1001,I1854))*(실물목록!$R$2:$R$1001="")*(실물목록!$O$2:$O$1001&lt;&gt;"")*(실물목록!$O$2:$O$1001=H1854))&gt;0,"실물 있음",IF(SUMPRODUCT((실물목록!$P$2:$P$1001&lt;&gt;"")*ISNUMBER(SEARCH(실물목록!$P$2:$P$1001,I1854))*(실물목록!$R$2:$R$1001&lt;&gt;""))&gt;0,"확인필요(입력누락)",IF(SUMPRODUCT((실물목록!$P$2:$P$1001&lt;&gt;"")*ISNUMBER(SEARCH(실물목록!$P$2:$P$1001,I1854))*(실물목록!$Q$2:$Q$1001&lt;&gt;"")*ISNUMBER(SEARCH(실물목록!$Q$2:$Q$1001,I1854))*(실물목록!$R$2:$R$1001="")*(실물목록!$O$2:$O$1001&lt;&gt;""))&gt;0,"확인필요(연도다름)","실물 없음")))))</f>
      </c>
      <c r="G1854" t="n" s="16">
        <f aca="0">IF(B1854="","",SUMPRODUCT((실물목록!$P$2:$P$1001&lt;&gt;"")*ISNUMBER(SEARCH(실물목록!$P$2:$P$1001,I1854))*(실물목록!$Q$2:$Q$1001&lt;&gt;"")*ISNUMBER(SEARCH(실물목록!$Q$2:$Q$1001,I1854))*(실물목록!$R$2:$R$1001="")*(실물목록!$O$2:$O$1001&lt;&gt;"")*(실물목록!$O$2:$O$1001=H1854)))</f>
      </c>
      <c r="H1854" t="str">
        <f>IFERROR(IF(AND(LEN(SUBSTITUTE(SUBSTITUTE(SUBSTITUTE(TRIM(A1854&amp;""),CHAR(160),"")," ",""),"년",""))=4,VALUE(SUBSTITUTE(SUBSTITUTE(SUBSTITUTE(TRIM(A1854&amp;""),CHAR(160),"")," ",""),"년",""))&gt;=1900,VALUE(SUBSTITUTE(SUBSTITUTE(SUBSTITUTE(TRIM(A1854&amp;""),CHAR(160),"")," ",""),"년",""))&lt;=2099,TEXT(VALUE(SUBSTITUTE(SUBSTITUTE(SUBSTITUTE(TRIM(A1854&amp;""),CHAR(160),"")," ",""),"년","")),"0000")=SUBSTITUTE(SUBSTITUTE(SUBSTITUTE(TRIM(A1854&amp;""),CHAR(160),"")," ",""),"년","")),SUBSTITUTE(SUBSTITUTE(SUBSTITUTE(TRIM(A1854&amp;""),CHAR(160),"")," ",""),"년",""),""),"")</f>
      </c>
      <c r="I1854" t="str">
        <f>SUBSTITUTE(SUBSTITUTE(SUBSTITUTE(SUBSTITUTE(SUBSTITUTE(TRIM(B1854&amp;""),CHAR(160),"")," ",""),"초등학교","초"),"중학교","중"),"고등학교","고")</f>
      </c>
    </row>
    <row r="1855" customFormat="false" ht="15" hidden="false" customHeight="false" outlineLevel="0" collapsed="false">
      <c r="A1855" s="8"/>
      <c r="B1855" s="8"/>
      <c r="C1855" s="8"/>
      <c r="D1855" s="8"/>
      <c r="E1855" s="8"/>
      <c r="F1855" t="str" s="15">
        <f aca="0">IF(B1855="","",IF(H1855="","확인필요(입력누락)",IF(SUMPRODUCT((실물목록!$P$2:$P$1001&lt;&gt;"")*ISNUMBER(SEARCH(실물목록!$P$2:$P$1001,I1855))*(실물목록!$Q$2:$Q$1001&lt;&gt;"")*ISNUMBER(SEARCH(실물목록!$Q$2:$Q$1001,I1855))*(실물목록!$R$2:$R$1001="")*(실물목록!$O$2:$O$1001&lt;&gt;"")*(실물목록!$O$2:$O$1001=H1855))&gt;0,"실물 있음",IF(SUMPRODUCT((실물목록!$P$2:$P$1001&lt;&gt;"")*ISNUMBER(SEARCH(실물목록!$P$2:$P$1001,I1855))*(실물목록!$R$2:$R$1001&lt;&gt;""))&gt;0,"확인필요(입력누락)",IF(SUMPRODUCT((실물목록!$P$2:$P$1001&lt;&gt;"")*ISNUMBER(SEARCH(실물목록!$P$2:$P$1001,I1855))*(실물목록!$Q$2:$Q$1001&lt;&gt;"")*ISNUMBER(SEARCH(실물목록!$Q$2:$Q$1001,I1855))*(실물목록!$R$2:$R$1001="")*(실물목록!$O$2:$O$1001&lt;&gt;""))&gt;0,"확인필요(연도다름)","실물 없음")))))</f>
      </c>
      <c r="G1855" t="n" s="16">
        <f aca="0">IF(B1855="","",SUMPRODUCT((실물목록!$P$2:$P$1001&lt;&gt;"")*ISNUMBER(SEARCH(실물목록!$P$2:$P$1001,I1855))*(실물목록!$Q$2:$Q$1001&lt;&gt;"")*ISNUMBER(SEARCH(실물목록!$Q$2:$Q$1001,I1855))*(실물목록!$R$2:$R$1001="")*(실물목록!$O$2:$O$1001&lt;&gt;"")*(실물목록!$O$2:$O$1001=H1855)))</f>
      </c>
      <c r="H1855" t="str">
        <f>IFERROR(IF(AND(LEN(SUBSTITUTE(SUBSTITUTE(SUBSTITUTE(TRIM(A1855&amp;""),CHAR(160),"")," ",""),"년",""))=4,VALUE(SUBSTITUTE(SUBSTITUTE(SUBSTITUTE(TRIM(A1855&amp;""),CHAR(160),"")," ",""),"년",""))&gt;=1900,VALUE(SUBSTITUTE(SUBSTITUTE(SUBSTITUTE(TRIM(A1855&amp;""),CHAR(160),"")," ",""),"년",""))&lt;=2099,TEXT(VALUE(SUBSTITUTE(SUBSTITUTE(SUBSTITUTE(TRIM(A1855&amp;""),CHAR(160),"")," ",""),"년","")),"0000")=SUBSTITUTE(SUBSTITUTE(SUBSTITUTE(TRIM(A1855&amp;""),CHAR(160),"")," ",""),"년","")),SUBSTITUTE(SUBSTITUTE(SUBSTITUTE(TRIM(A1855&amp;""),CHAR(160),"")," ",""),"년",""),""),"")</f>
      </c>
      <c r="I1855" t="str">
        <f>SUBSTITUTE(SUBSTITUTE(SUBSTITUTE(SUBSTITUTE(SUBSTITUTE(TRIM(B1855&amp;""),CHAR(160),"")," ",""),"초등학교","초"),"중학교","중"),"고등학교","고")</f>
      </c>
    </row>
    <row r="1856" customFormat="false" ht="15" hidden="false" customHeight="false" outlineLevel="0" collapsed="false">
      <c r="A1856" s="8"/>
      <c r="B1856" s="8"/>
      <c r="C1856" s="8"/>
      <c r="D1856" s="8"/>
      <c r="E1856" s="8"/>
      <c r="F1856" t="str" s="15">
        <f aca="0">IF(B1856="","",IF(H1856="","확인필요(입력누락)",IF(SUMPRODUCT((실물목록!$P$2:$P$1001&lt;&gt;"")*ISNUMBER(SEARCH(실물목록!$P$2:$P$1001,I1856))*(실물목록!$Q$2:$Q$1001&lt;&gt;"")*ISNUMBER(SEARCH(실물목록!$Q$2:$Q$1001,I1856))*(실물목록!$R$2:$R$1001="")*(실물목록!$O$2:$O$1001&lt;&gt;"")*(실물목록!$O$2:$O$1001=H1856))&gt;0,"실물 있음",IF(SUMPRODUCT((실물목록!$P$2:$P$1001&lt;&gt;"")*ISNUMBER(SEARCH(실물목록!$P$2:$P$1001,I1856))*(실물목록!$R$2:$R$1001&lt;&gt;""))&gt;0,"확인필요(입력누락)",IF(SUMPRODUCT((실물목록!$P$2:$P$1001&lt;&gt;"")*ISNUMBER(SEARCH(실물목록!$P$2:$P$1001,I1856))*(실물목록!$Q$2:$Q$1001&lt;&gt;"")*ISNUMBER(SEARCH(실물목록!$Q$2:$Q$1001,I1856))*(실물목록!$R$2:$R$1001="")*(실물목록!$O$2:$O$1001&lt;&gt;""))&gt;0,"확인필요(연도다름)","실물 없음")))))</f>
      </c>
      <c r="G1856" t="n" s="16">
        <f aca="0">IF(B1856="","",SUMPRODUCT((실물목록!$P$2:$P$1001&lt;&gt;"")*ISNUMBER(SEARCH(실물목록!$P$2:$P$1001,I1856))*(실물목록!$Q$2:$Q$1001&lt;&gt;"")*ISNUMBER(SEARCH(실물목록!$Q$2:$Q$1001,I1856))*(실물목록!$R$2:$R$1001="")*(실물목록!$O$2:$O$1001&lt;&gt;"")*(실물목록!$O$2:$O$1001=H1856)))</f>
      </c>
      <c r="H1856" t="str">
        <f>IFERROR(IF(AND(LEN(SUBSTITUTE(SUBSTITUTE(SUBSTITUTE(TRIM(A1856&amp;""),CHAR(160),"")," ",""),"년",""))=4,VALUE(SUBSTITUTE(SUBSTITUTE(SUBSTITUTE(TRIM(A1856&amp;""),CHAR(160),"")," ",""),"년",""))&gt;=1900,VALUE(SUBSTITUTE(SUBSTITUTE(SUBSTITUTE(TRIM(A1856&amp;""),CHAR(160),"")," ",""),"년",""))&lt;=2099,TEXT(VALUE(SUBSTITUTE(SUBSTITUTE(SUBSTITUTE(TRIM(A1856&amp;""),CHAR(160),"")," ",""),"년","")),"0000")=SUBSTITUTE(SUBSTITUTE(SUBSTITUTE(TRIM(A1856&amp;""),CHAR(160),"")," ",""),"년","")),SUBSTITUTE(SUBSTITUTE(SUBSTITUTE(TRIM(A1856&amp;""),CHAR(160),"")," ",""),"년",""),""),"")</f>
      </c>
      <c r="I1856" t="str">
        <f>SUBSTITUTE(SUBSTITUTE(SUBSTITUTE(SUBSTITUTE(SUBSTITUTE(TRIM(B1856&amp;""),CHAR(160),"")," ",""),"초등학교","초"),"중학교","중"),"고등학교","고")</f>
      </c>
    </row>
    <row r="1857" customFormat="false" ht="15" hidden="false" customHeight="false" outlineLevel="0" collapsed="false">
      <c r="A1857" s="8"/>
      <c r="B1857" s="8"/>
      <c r="C1857" s="8"/>
      <c r="D1857" s="8"/>
      <c r="E1857" s="8"/>
      <c r="F1857" t="str" s="15">
        <f aca="0">IF(B1857="","",IF(H1857="","확인필요(입력누락)",IF(SUMPRODUCT((실물목록!$P$2:$P$1001&lt;&gt;"")*ISNUMBER(SEARCH(실물목록!$P$2:$P$1001,I1857))*(실물목록!$Q$2:$Q$1001&lt;&gt;"")*ISNUMBER(SEARCH(실물목록!$Q$2:$Q$1001,I1857))*(실물목록!$R$2:$R$1001="")*(실물목록!$O$2:$O$1001&lt;&gt;"")*(실물목록!$O$2:$O$1001=H1857))&gt;0,"실물 있음",IF(SUMPRODUCT((실물목록!$P$2:$P$1001&lt;&gt;"")*ISNUMBER(SEARCH(실물목록!$P$2:$P$1001,I1857))*(실물목록!$R$2:$R$1001&lt;&gt;""))&gt;0,"확인필요(입력누락)",IF(SUMPRODUCT((실물목록!$P$2:$P$1001&lt;&gt;"")*ISNUMBER(SEARCH(실물목록!$P$2:$P$1001,I1857))*(실물목록!$Q$2:$Q$1001&lt;&gt;"")*ISNUMBER(SEARCH(실물목록!$Q$2:$Q$1001,I1857))*(실물목록!$R$2:$R$1001="")*(실물목록!$O$2:$O$1001&lt;&gt;""))&gt;0,"확인필요(연도다름)","실물 없음")))))</f>
      </c>
      <c r="G1857" t="n" s="16">
        <f aca="0">IF(B1857="","",SUMPRODUCT((실물목록!$P$2:$P$1001&lt;&gt;"")*ISNUMBER(SEARCH(실물목록!$P$2:$P$1001,I1857))*(실물목록!$Q$2:$Q$1001&lt;&gt;"")*ISNUMBER(SEARCH(실물목록!$Q$2:$Q$1001,I1857))*(실물목록!$R$2:$R$1001="")*(실물목록!$O$2:$O$1001&lt;&gt;"")*(실물목록!$O$2:$O$1001=H1857)))</f>
      </c>
      <c r="H1857" t="str">
        <f>IFERROR(IF(AND(LEN(SUBSTITUTE(SUBSTITUTE(SUBSTITUTE(TRIM(A1857&amp;""),CHAR(160),"")," ",""),"년",""))=4,VALUE(SUBSTITUTE(SUBSTITUTE(SUBSTITUTE(TRIM(A1857&amp;""),CHAR(160),"")," ",""),"년",""))&gt;=1900,VALUE(SUBSTITUTE(SUBSTITUTE(SUBSTITUTE(TRIM(A1857&amp;""),CHAR(160),"")," ",""),"년",""))&lt;=2099,TEXT(VALUE(SUBSTITUTE(SUBSTITUTE(SUBSTITUTE(TRIM(A1857&amp;""),CHAR(160),"")," ",""),"년","")),"0000")=SUBSTITUTE(SUBSTITUTE(SUBSTITUTE(TRIM(A1857&amp;""),CHAR(160),"")," ",""),"년","")),SUBSTITUTE(SUBSTITUTE(SUBSTITUTE(TRIM(A1857&amp;""),CHAR(160),"")," ",""),"년",""),""),"")</f>
      </c>
      <c r="I1857" t="str">
        <f>SUBSTITUTE(SUBSTITUTE(SUBSTITUTE(SUBSTITUTE(SUBSTITUTE(TRIM(B1857&amp;""),CHAR(160),"")," ",""),"초등학교","초"),"중학교","중"),"고등학교","고")</f>
      </c>
    </row>
    <row r="1858" customFormat="false" ht="15" hidden="false" customHeight="false" outlineLevel="0" collapsed="false">
      <c r="A1858" s="8"/>
      <c r="B1858" s="8"/>
      <c r="C1858" s="8"/>
      <c r="D1858" s="8"/>
      <c r="E1858" s="8"/>
      <c r="F1858" t="str" s="15">
        <f aca="0">IF(B1858="","",IF(H1858="","확인필요(입력누락)",IF(SUMPRODUCT((실물목록!$P$2:$P$1001&lt;&gt;"")*ISNUMBER(SEARCH(실물목록!$P$2:$P$1001,I1858))*(실물목록!$Q$2:$Q$1001&lt;&gt;"")*ISNUMBER(SEARCH(실물목록!$Q$2:$Q$1001,I1858))*(실물목록!$R$2:$R$1001="")*(실물목록!$O$2:$O$1001&lt;&gt;"")*(실물목록!$O$2:$O$1001=H1858))&gt;0,"실물 있음",IF(SUMPRODUCT((실물목록!$P$2:$P$1001&lt;&gt;"")*ISNUMBER(SEARCH(실물목록!$P$2:$P$1001,I1858))*(실물목록!$R$2:$R$1001&lt;&gt;""))&gt;0,"확인필요(입력누락)",IF(SUMPRODUCT((실물목록!$P$2:$P$1001&lt;&gt;"")*ISNUMBER(SEARCH(실물목록!$P$2:$P$1001,I1858))*(실물목록!$Q$2:$Q$1001&lt;&gt;"")*ISNUMBER(SEARCH(실물목록!$Q$2:$Q$1001,I1858))*(실물목록!$R$2:$R$1001="")*(실물목록!$O$2:$O$1001&lt;&gt;""))&gt;0,"확인필요(연도다름)","실물 없음")))))</f>
      </c>
      <c r="G1858" t="n" s="16">
        <f aca="0">IF(B1858="","",SUMPRODUCT((실물목록!$P$2:$P$1001&lt;&gt;"")*ISNUMBER(SEARCH(실물목록!$P$2:$P$1001,I1858))*(실물목록!$Q$2:$Q$1001&lt;&gt;"")*ISNUMBER(SEARCH(실물목록!$Q$2:$Q$1001,I1858))*(실물목록!$R$2:$R$1001="")*(실물목록!$O$2:$O$1001&lt;&gt;"")*(실물목록!$O$2:$O$1001=H1858)))</f>
      </c>
      <c r="H1858" t="str">
        <f>IFERROR(IF(AND(LEN(SUBSTITUTE(SUBSTITUTE(SUBSTITUTE(TRIM(A1858&amp;""),CHAR(160),"")," ",""),"년",""))=4,VALUE(SUBSTITUTE(SUBSTITUTE(SUBSTITUTE(TRIM(A1858&amp;""),CHAR(160),"")," ",""),"년",""))&gt;=1900,VALUE(SUBSTITUTE(SUBSTITUTE(SUBSTITUTE(TRIM(A1858&amp;""),CHAR(160),"")," ",""),"년",""))&lt;=2099,TEXT(VALUE(SUBSTITUTE(SUBSTITUTE(SUBSTITUTE(TRIM(A1858&amp;""),CHAR(160),"")," ",""),"년","")),"0000")=SUBSTITUTE(SUBSTITUTE(SUBSTITUTE(TRIM(A1858&amp;""),CHAR(160),"")," ",""),"년","")),SUBSTITUTE(SUBSTITUTE(SUBSTITUTE(TRIM(A1858&amp;""),CHAR(160),"")," ",""),"년",""),""),"")</f>
      </c>
      <c r="I1858" t="str">
        <f>SUBSTITUTE(SUBSTITUTE(SUBSTITUTE(SUBSTITUTE(SUBSTITUTE(TRIM(B1858&amp;""),CHAR(160),"")," ",""),"초등학교","초"),"중학교","중"),"고등학교","고")</f>
      </c>
    </row>
    <row r="1859" customFormat="false" ht="15" hidden="false" customHeight="false" outlineLevel="0" collapsed="false">
      <c r="A1859" s="8"/>
      <c r="B1859" s="8"/>
      <c r="C1859" s="8"/>
      <c r="D1859" s="8"/>
      <c r="E1859" s="8"/>
      <c r="F1859" t="str" s="15">
        <f aca="0">IF(B1859="","",IF(H1859="","확인필요(입력누락)",IF(SUMPRODUCT((실물목록!$P$2:$P$1001&lt;&gt;"")*ISNUMBER(SEARCH(실물목록!$P$2:$P$1001,I1859))*(실물목록!$Q$2:$Q$1001&lt;&gt;"")*ISNUMBER(SEARCH(실물목록!$Q$2:$Q$1001,I1859))*(실물목록!$R$2:$R$1001="")*(실물목록!$O$2:$O$1001&lt;&gt;"")*(실물목록!$O$2:$O$1001=H1859))&gt;0,"실물 있음",IF(SUMPRODUCT((실물목록!$P$2:$P$1001&lt;&gt;"")*ISNUMBER(SEARCH(실물목록!$P$2:$P$1001,I1859))*(실물목록!$R$2:$R$1001&lt;&gt;""))&gt;0,"확인필요(입력누락)",IF(SUMPRODUCT((실물목록!$P$2:$P$1001&lt;&gt;"")*ISNUMBER(SEARCH(실물목록!$P$2:$P$1001,I1859))*(실물목록!$Q$2:$Q$1001&lt;&gt;"")*ISNUMBER(SEARCH(실물목록!$Q$2:$Q$1001,I1859))*(실물목록!$R$2:$R$1001="")*(실물목록!$O$2:$O$1001&lt;&gt;""))&gt;0,"확인필요(연도다름)","실물 없음")))))</f>
      </c>
      <c r="G1859" t="n" s="16">
        <f aca="0">IF(B1859="","",SUMPRODUCT((실물목록!$P$2:$P$1001&lt;&gt;"")*ISNUMBER(SEARCH(실물목록!$P$2:$P$1001,I1859))*(실물목록!$Q$2:$Q$1001&lt;&gt;"")*ISNUMBER(SEARCH(실물목록!$Q$2:$Q$1001,I1859))*(실물목록!$R$2:$R$1001="")*(실물목록!$O$2:$O$1001&lt;&gt;"")*(실물목록!$O$2:$O$1001=H1859)))</f>
      </c>
      <c r="H1859" t="str">
        <f>IFERROR(IF(AND(LEN(SUBSTITUTE(SUBSTITUTE(SUBSTITUTE(TRIM(A1859&amp;""),CHAR(160),"")," ",""),"년",""))=4,VALUE(SUBSTITUTE(SUBSTITUTE(SUBSTITUTE(TRIM(A1859&amp;""),CHAR(160),"")," ",""),"년",""))&gt;=1900,VALUE(SUBSTITUTE(SUBSTITUTE(SUBSTITUTE(TRIM(A1859&amp;""),CHAR(160),"")," ",""),"년",""))&lt;=2099,TEXT(VALUE(SUBSTITUTE(SUBSTITUTE(SUBSTITUTE(TRIM(A1859&amp;""),CHAR(160),"")," ",""),"년","")),"0000")=SUBSTITUTE(SUBSTITUTE(SUBSTITUTE(TRIM(A1859&amp;""),CHAR(160),"")," ",""),"년","")),SUBSTITUTE(SUBSTITUTE(SUBSTITUTE(TRIM(A1859&amp;""),CHAR(160),"")," ",""),"년",""),""),"")</f>
      </c>
      <c r="I1859" t="str">
        <f>SUBSTITUTE(SUBSTITUTE(SUBSTITUTE(SUBSTITUTE(SUBSTITUTE(TRIM(B1859&amp;""),CHAR(160),"")," ",""),"초등학교","초"),"중학교","중"),"고등학교","고")</f>
      </c>
    </row>
    <row r="1860" customFormat="false" ht="15" hidden="false" customHeight="false" outlineLevel="0" collapsed="false">
      <c r="A1860" s="8"/>
      <c r="B1860" s="8"/>
      <c r="C1860" s="8"/>
      <c r="D1860" s="8"/>
      <c r="E1860" s="8"/>
      <c r="F1860" t="str" s="15">
        <f aca="0">IF(B1860="","",IF(H1860="","확인필요(입력누락)",IF(SUMPRODUCT((실물목록!$P$2:$P$1001&lt;&gt;"")*ISNUMBER(SEARCH(실물목록!$P$2:$P$1001,I1860))*(실물목록!$Q$2:$Q$1001&lt;&gt;"")*ISNUMBER(SEARCH(실물목록!$Q$2:$Q$1001,I1860))*(실물목록!$R$2:$R$1001="")*(실물목록!$O$2:$O$1001&lt;&gt;"")*(실물목록!$O$2:$O$1001=H1860))&gt;0,"실물 있음",IF(SUMPRODUCT((실물목록!$P$2:$P$1001&lt;&gt;"")*ISNUMBER(SEARCH(실물목록!$P$2:$P$1001,I1860))*(실물목록!$R$2:$R$1001&lt;&gt;""))&gt;0,"확인필요(입력누락)",IF(SUMPRODUCT((실물목록!$P$2:$P$1001&lt;&gt;"")*ISNUMBER(SEARCH(실물목록!$P$2:$P$1001,I1860))*(실물목록!$Q$2:$Q$1001&lt;&gt;"")*ISNUMBER(SEARCH(실물목록!$Q$2:$Q$1001,I1860))*(실물목록!$R$2:$R$1001="")*(실물목록!$O$2:$O$1001&lt;&gt;""))&gt;0,"확인필요(연도다름)","실물 없음")))))</f>
      </c>
      <c r="G1860" t="n" s="16">
        <f aca="0">IF(B1860="","",SUMPRODUCT((실물목록!$P$2:$P$1001&lt;&gt;"")*ISNUMBER(SEARCH(실물목록!$P$2:$P$1001,I1860))*(실물목록!$Q$2:$Q$1001&lt;&gt;"")*ISNUMBER(SEARCH(실물목록!$Q$2:$Q$1001,I1860))*(실물목록!$R$2:$R$1001="")*(실물목록!$O$2:$O$1001&lt;&gt;"")*(실물목록!$O$2:$O$1001=H1860)))</f>
      </c>
      <c r="H1860" t="str">
        <f>IFERROR(IF(AND(LEN(SUBSTITUTE(SUBSTITUTE(SUBSTITUTE(TRIM(A1860&amp;""),CHAR(160),"")," ",""),"년",""))=4,VALUE(SUBSTITUTE(SUBSTITUTE(SUBSTITUTE(TRIM(A1860&amp;""),CHAR(160),"")," ",""),"년",""))&gt;=1900,VALUE(SUBSTITUTE(SUBSTITUTE(SUBSTITUTE(TRIM(A1860&amp;""),CHAR(160),"")," ",""),"년",""))&lt;=2099,TEXT(VALUE(SUBSTITUTE(SUBSTITUTE(SUBSTITUTE(TRIM(A1860&amp;""),CHAR(160),"")," ",""),"년","")),"0000")=SUBSTITUTE(SUBSTITUTE(SUBSTITUTE(TRIM(A1860&amp;""),CHAR(160),"")," ",""),"년","")),SUBSTITUTE(SUBSTITUTE(SUBSTITUTE(TRIM(A1860&amp;""),CHAR(160),"")," ",""),"년",""),""),"")</f>
      </c>
      <c r="I1860" t="str">
        <f>SUBSTITUTE(SUBSTITUTE(SUBSTITUTE(SUBSTITUTE(SUBSTITUTE(TRIM(B1860&amp;""),CHAR(160),"")," ",""),"초등학교","초"),"중학교","중"),"고등학교","고")</f>
      </c>
    </row>
    <row r="1861" customFormat="false" ht="15" hidden="false" customHeight="false" outlineLevel="0" collapsed="false">
      <c r="A1861" s="8"/>
      <c r="B1861" s="8"/>
      <c r="C1861" s="8"/>
      <c r="D1861" s="8"/>
      <c r="E1861" s="8"/>
      <c r="F1861" t="str" s="15">
        <f aca="0">IF(B1861="","",IF(H1861="","확인필요(입력누락)",IF(SUMPRODUCT((실물목록!$P$2:$P$1001&lt;&gt;"")*ISNUMBER(SEARCH(실물목록!$P$2:$P$1001,I1861))*(실물목록!$Q$2:$Q$1001&lt;&gt;"")*ISNUMBER(SEARCH(실물목록!$Q$2:$Q$1001,I1861))*(실물목록!$R$2:$R$1001="")*(실물목록!$O$2:$O$1001&lt;&gt;"")*(실물목록!$O$2:$O$1001=H1861))&gt;0,"실물 있음",IF(SUMPRODUCT((실물목록!$P$2:$P$1001&lt;&gt;"")*ISNUMBER(SEARCH(실물목록!$P$2:$P$1001,I1861))*(실물목록!$R$2:$R$1001&lt;&gt;""))&gt;0,"확인필요(입력누락)",IF(SUMPRODUCT((실물목록!$P$2:$P$1001&lt;&gt;"")*ISNUMBER(SEARCH(실물목록!$P$2:$P$1001,I1861))*(실물목록!$Q$2:$Q$1001&lt;&gt;"")*ISNUMBER(SEARCH(실물목록!$Q$2:$Q$1001,I1861))*(실물목록!$R$2:$R$1001="")*(실물목록!$O$2:$O$1001&lt;&gt;""))&gt;0,"확인필요(연도다름)","실물 없음")))))</f>
      </c>
      <c r="G1861" t="n" s="16">
        <f aca="0">IF(B1861="","",SUMPRODUCT((실물목록!$P$2:$P$1001&lt;&gt;"")*ISNUMBER(SEARCH(실물목록!$P$2:$P$1001,I1861))*(실물목록!$Q$2:$Q$1001&lt;&gt;"")*ISNUMBER(SEARCH(실물목록!$Q$2:$Q$1001,I1861))*(실물목록!$R$2:$R$1001="")*(실물목록!$O$2:$O$1001&lt;&gt;"")*(실물목록!$O$2:$O$1001=H1861)))</f>
      </c>
      <c r="H1861" t="str">
        <f>IFERROR(IF(AND(LEN(SUBSTITUTE(SUBSTITUTE(SUBSTITUTE(TRIM(A1861&amp;""),CHAR(160),"")," ",""),"년",""))=4,VALUE(SUBSTITUTE(SUBSTITUTE(SUBSTITUTE(TRIM(A1861&amp;""),CHAR(160),"")," ",""),"년",""))&gt;=1900,VALUE(SUBSTITUTE(SUBSTITUTE(SUBSTITUTE(TRIM(A1861&amp;""),CHAR(160),"")," ",""),"년",""))&lt;=2099,TEXT(VALUE(SUBSTITUTE(SUBSTITUTE(SUBSTITUTE(TRIM(A1861&amp;""),CHAR(160),"")," ",""),"년","")),"0000")=SUBSTITUTE(SUBSTITUTE(SUBSTITUTE(TRIM(A1861&amp;""),CHAR(160),"")," ",""),"년","")),SUBSTITUTE(SUBSTITUTE(SUBSTITUTE(TRIM(A1861&amp;""),CHAR(160),"")," ",""),"년",""),""),"")</f>
      </c>
      <c r="I1861" t="str">
        <f>SUBSTITUTE(SUBSTITUTE(SUBSTITUTE(SUBSTITUTE(SUBSTITUTE(TRIM(B1861&amp;""),CHAR(160),"")," ",""),"초등학교","초"),"중학교","중"),"고등학교","고")</f>
      </c>
    </row>
    <row r="1862" customFormat="false" ht="15" hidden="false" customHeight="false" outlineLevel="0" collapsed="false">
      <c r="A1862" s="8"/>
      <c r="B1862" s="8"/>
      <c r="C1862" s="8"/>
      <c r="D1862" s="8"/>
      <c r="E1862" s="8"/>
      <c r="F1862" t="str" s="15">
        <f aca="0">IF(B1862="","",IF(H1862="","확인필요(입력누락)",IF(SUMPRODUCT((실물목록!$P$2:$P$1001&lt;&gt;"")*ISNUMBER(SEARCH(실물목록!$P$2:$P$1001,I1862))*(실물목록!$Q$2:$Q$1001&lt;&gt;"")*ISNUMBER(SEARCH(실물목록!$Q$2:$Q$1001,I1862))*(실물목록!$R$2:$R$1001="")*(실물목록!$O$2:$O$1001&lt;&gt;"")*(실물목록!$O$2:$O$1001=H1862))&gt;0,"실물 있음",IF(SUMPRODUCT((실물목록!$P$2:$P$1001&lt;&gt;"")*ISNUMBER(SEARCH(실물목록!$P$2:$P$1001,I1862))*(실물목록!$R$2:$R$1001&lt;&gt;""))&gt;0,"확인필요(입력누락)",IF(SUMPRODUCT((실물목록!$P$2:$P$1001&lt;&gt;"")*ISNUMBER(SEARCH(실물목록!$P$2:$P$1001,I1862))*(실물목록!$Q$2:$Q$1001&lt;&gt;"")*ISNUMBER(SEARCH(실물목록!$Q$2:$Q$1001,I1862))*(실물목록!$R$2:$R$1001="")*(실물목록!$O$2:$O$1001&lt;&gt;""))&gt;0,"확인필요(연도다름)","실물 없음")))))</f>
      </c>
      <c r="G1862" t="n" s="16">
        <f aca="0">IF(B1862="","",SUMPRODUCT((실물목록!$P$2:$P$1001&lt;&gt;"")*ISNUMBER(SEARCH(실물목록!$P$2:$P$1001,I1862))*(실물목록!$Q$2:$Q$1001&lt;&gt;"")*ISNUMBER(SEARCH(실물목록!$Q$2:$Q$1001,I1862))*(실물목록!$R$2:$R$1001="")*(실물목록!$O$2:$O$1001&lt;&gt;"")*(실물목록!$O$2:$O$1001=H1862)))</f>
      </c>
      <c r="H1862" t="str">
        <f>IFERROR(IF(AND(LEN(SUBSTITUTE(SUBSTITUTE(SUBSTITUTE(TRIM(A1862&amp;""),CHAR(160),"")," ",""),"년",""))=4,VALUE(SUBSTITUTE(SUBSTITUTE(SUBSTITUTE(TRIM(A1862&amp;""),CHAR(160),"")," ",""),"년",""))&gt;=1900,VALUE(SUBSTITUTE(SUBSTITUTE(SUBSTITUTE(TRIM(A1862&amp;""),CHAR(160),"")," ",""),"년",""))&lt;=2099,TEXT(VALUE(SUBSTITUTE(SUBSTITUTE(SUBSTITUTE(TRIM(A1862&amp;""),CHAR(160),"")," ",""),"년","")),"0000")=SUBSTITUTE(SUBSTITUTE(SUBSTITUTE(TRIM(A1862&amp;""),CHAR(160),"")," ",""),"년","")),SUBSTITUTE(SUBSTITUTE(SUBSTITUTE(TRIM(A1862&amp;""),CHAR(160),"")," ",""),"년",""),""),"")</f>
      </c>
      <c r="I1862" t="str">
        <f>SUBSTITUTE(SUBSTITUTE(SUBSTITUTE(SUBSTITUTE(SUBSTITUTE(TRIM(B1862&amp;""),CHAR(160),"")," ",""),"초등학교","초"),"중학교","중"),"고등학교","고")</f>
      </c>
    </row>
    <row r="1863" customFormat="false" ht="15" hidden="false" customHeight="false" outlineLevel="0" collapsed="false">
      <c r="A1863" s="8"/>
      <c r="B1863" s="8"/>
      <c r="C1863" s="8"/>
      <c r="D1863" s="8"/>
      <c r="E1863" s="8"/>
      <c r="F1863" t="str" s="15">
        <f aca="0">IF(B1863="","",IF(H1863="","확인필요(입력누락)",IF(SUMPRODUCT((실물목록!$P$2:$P$1001&lt;&gt;"")*ISNUMBER(SEARCH(실물목록!$P$2:$P$1001,I1863))*(실물목록!$Q$2:$Q$1001&lt;&gt;"")*ISNUMBER(SEARCH(실물목록!$Q$2:$Q$1001,I1863))*(실물목록!$R$2:$R$1001="")*(실물목록!$O$2:$O$1001&lt;&gt;"")*(실물목록!$O$2:$O$1001=H1863))&gt;0,"실물 있음",IF(SUMPRODUCT((실물목록!$P$2:$P$1001&lt;&gt;"")*ISNUMBER(SEARCH(실물목록!$P$2:$P$1001,I1863))*(실물목록!$R$2:$R$1001&lt;&gt;""))&gt;0,"확인필요(입력누락)",IF(SUMPRODUCT((실물목록!$P$2:$P$1001&lt;&gt;"")*ISNUMBER(SEARCH(실물목록!$P$2:$P$1001,I1863))*(실물목록!$Q$2:$Q$1001&lt;&gt;"")*ISNUMBER(SEARCH(실물목록!$Q$2:$Q$1001,I1863))*(실물목록!$R$2:$R$1001="")*(실물목록!$O$2:$O$1001&lt;&gt;""))&gt;0,"확인필요(연도다름)","실물 없음")))))</f>
      </c>
      <c r="G1863" t="n" s="16">
        <f aca="0">IF(B1863="","",SUMPRODUCT((실물목록!$P$2:$P$1001&lt;&gt;"")*ISNUMBER(SEARCH(실물목록!$P$2:$P$1001,I1863))*(실물목록!$Q$2:$Q$1001&lt;&gt;"")*ISNUMBER(SEARCH(실물목록!$Q$2:$Q$1001,I1863))*(실물목록!$R$2:$R$1001="")*(실물목록!$O$2:$O$1001&lt;&gt;"")*(실물목록!$O$2:$O$1001=H1863)))</f>
      </c>
      <c r="H1863" t="str">
        <f>IFERROR(IF(AND(LEN(SUBSTITUTE(SUBSTITUTE(SUBSTITUTE(TRIM(A1863&amp;""),CHAR(160),"")," ",""),"년",""))=4,VALUE(SUBSTITUTE(SUBSTITUTE(SUBSTITUTE(TRIM(A1863&amp;""),CHAR(160),"")," ",""),"년",""))&gt;=1900,VALUE(SUBSTITUTE(SUBSTITUTE(SUBSTITUTE(TRIM(A1863&amp;""),CHAR(160),"")," ",""),"년",""))&lt;=2099,TEXT(VALUE(SUBSTITUTE(SUBSTITUTE(SUBSTITUTE(TRIM(A1863&amp;""),CHAR(160),"")," ",""),"년","")),"0000")=SUBSTITUTE(SUBSTITUTE(SUBSTITUTE(TRIM(A1863&amp;""),CHAR(160),"")," ",""),"년","")),SUBSTITUTE(SUBSTITUTE(SUBSTITUTE(TRIM(A1863&amp;""),CHAR(160),"")," ",""),"년",""),""),"")</f>
      </c>
      <c r="I1863" t="str">
        <f>SUBSTITUTE(SUBSTITUTE(SUBSTITUTE(SUBSTITUTE(SUBSTITUTE(TRIM(B1863&amp;""),CHAR(160),"")," ",""),"초등학교","초"),"중학교","중"),"고등학교","고")</f>
      </c>
    </row>
    <row r="1864" customFormat="false" ht="15" hidden="false" customHeight="false" outlineLevel="0" collapsed="false">
      <c r="A1864" s="8"/>
      <c r="B1864" s="8"/>
      <c r="C1864" s="8"/>
      <c r="D1864" s="8"/>
      <c r="E1864" s="8"/>
      <c r="F1864" t="str" s="15">
        <f aca="0">IF(B1864="","",IF(H1864="","확인필요(입력누락)",IF(SUMPRODUCT((실물목록!$P$2:$P$1001&lt;&gt;"")*ISNUMBER(SEARCH(실물목록!$P$2:$P$1001,I1864))*(실물목록!$Q$2:$Q$1001&lt;&gt;"")*ISNUMBER(SEARCH(실물목록!$Q$2:$Q$1001,I1864))*(실물목록!$R$2:$R$1001="")*(실물목록!$O$2:$O$1001&lt;&gt;"")*(실물목록!$O$2:$O$1001=H1864))&gt;0,"실물 있음",IF(SUMPRODUCT((실물목록!$P$2:$P$1001&lt;&gt;"")*ISNUMBER(SEARCH(실물목록!$P$2:$P$1001,I1864))*(실물목록!$R$2:$R$1001&lt;&gt;""))&gt;0,"확인필요(입력누락)",IF(SUMPRODUCT((실물목록!$P$2:$P$1001&lt;&gt;"")*ISNUMBER(SEARCH(실물목록!$P$2:$P$1001,I1864))*(실물목록!$Q$2:$Q$1001&lt;&gt;"")*ISNUMBER(SEARCH(실물목록!$Q$2:$Q$1001,I1864))*(실물목록!$R$2:$R$1001="")*(실물목록!$O$2:$O$1001&lt;&gt;""))&gt;0,"확인필요(연도다름)","실물 없음")))))</f>
      </c>
      <c r="G1864" t="n" s="16">
        <f aca="0">IF(B1864="","",SUMPRODUCT((실물목록!$P$2:$P$1001&lt;&gt;"")*ISNUMBER(SEARCH(실물목록!$P$2:$P$1001,I1864))*(실물목록!$Q$2:$Q$1001&lt;&gt;"")*ISNUMBER(SEARCH(실물목록!$Q$2:$Q$1001,I1864))*(실물목록!$R$2:$R$1001="")*(실물목록!$O$2:$O$1001&lt;&gt;"")*(실물목록!$O$2:$O$1001=H1864)))</f>
      </c>
      <c r="H1864" t="str">
        <f>IFERROR(IF(AND(LEN(SUBSTITUTE(SUBSTITUTE(SUBSTITUTE(TRIM(A1864&amp;""),CHAR(160),"")," ",""),"년",""))=4,VALUE(SUBSTITUTE(SUBSTITUTE(SUBSTITUTE(TRIM(A1864&amp;""),CHAR(160),"")," ",""),"년",""))&gt;=1900,VALUE(SUBSTITUTE(SUBSTITUTE(SUBSTITUTE(TRIM(A1864&amp;""),CHAR(160),"")," ",""),"년",""))&lt;=2099,TEXT(VALUE(SUBSTITUTE(SUBSTITUTE(SUBSTITUTE(TRIM(A1864&amp;""),CHAR(160),"")," ",""),"년","")),"0000")=SUBSTITUTE(SUBSTITUTE(SUBSTITUTE(TRIM(A1864&amp;""),CHAR(160),"")," ",""),"년","")),SUBSTITUTE(SUBSTITUTE(SUBSTITUTE(TRIM(A1864&amp;""),CHAR(160),"")," ",""),"년",""),""),"")</f>
      </c>
      <c r="I1864" t="str">
        <f>SUBSTITUTE(SUBSTITUTE(SUBSTITUTE(SUBSTITUTE(SUBSTITUTE(TRIM(B1864&amp;""),CHAR(160),"")," ",""),"초등학교","초"),"중학교","중"),"고등학교","고")</f>
      </c>
    </row>
    <row r="1865" customFormat="false" ht="15" hidden="false" customHeight="false" outlineLevel="0" collapsed="false">
      <c r="A1865" s="8"/>
      <c r="B1865" s="8"/>
      <c r="C1865" s="8"/>
      <c r="D1865" s="8"/>
      <c r="E1865" s="8"/>
      <c r="F1865" t="str" s="15">
        <f aca="0">IF(B1865="","",IF(H1865="","확인필요(입력누락)",IF(SUMPRODUCT((실물목록!$P$2:$P$1001&lt;&gt;"")*ISNUMBER(SEARCH(실물목록!$P$2:$P$1001,I1865))*(실물목록!$Q$2:$Q$1001&lt;&gt;"")*ISNUMBER(SEARCH(실물목록!$Q$2:$Q$1001,I1865))*(실물목록!$R$2:$R$1001="")*(실물목록!$O$2:$O$1001&lt;&gt;"")*(실물목록!$O$2:$O$1001=H1865))&gt;0,"실물 있음",IF(SUMPRODUCT((실물목록!$P$2:$P$1001&lt;&gt;"")*ISNUMBER(SEARCH(실물목록!$P$2:$P$1001,I1865))*(실물목록!$R$2:$R$1001&lt;&gt;""))&gt;0,"확인필요(입력누락)",IF(SUMPRODUCT((실물목록!$P$2:$P$1001&lt;&gt;"")*ISNUMBER(SEARCH(실물목록!$P$2:$P$1001,I1865))*(실물목록!$Q$2:$Q$1001&lt;&gt;"")*ISNUMBER(SEARCH(실물목록!$Q$2:$Q$1001,I1865))*(실물목록!$R$2:$R$1001="")*(실물목록!$O$2:$O$1001&lt;&gt;""))&gt;0,"확인필요(연도다름)","실물 없음")))))</f>
      </c>
      <c r="G1865" t="n" s="16">
        <f aca="0">IF(B1865="","",SUMPRODUCT((실물목록!$P$2:$P$1001&lt;&gt;"")*ISNUMBER(SEARCH(실물목록!$P$2:$P$1001,I1865))*(실물목록!$Q$2:$Q$1001&lt;&gt;"")*ISNUMBER(SEARCH(실물목록!$Q$2:$Q$1001,I1865))*(실물목록!$R$2:$R$1001="")*(실물목록!$O$2:$O$1001&lt;&gt;"")*(실물목록!$O$2:$O$1001=H1865)))</f>
      </c>
      <c r="H1865" t="str">
        <f>IFERROR(IF(AND(LEN(SUBSTITUTE(SUBSTITUTE(SUBSTITUTE(TRIM(A1865&amp;""),CHAR(160),"")," ",""),"년",""))=4,VALUE(SUBSTITUTE(SUBSTITUTE(SUBSTITUTE(TRIM(A1865&amp;""),CHAR(160),"")," ",""),"년",""))&gt;=1900,VALUE(SUBSTITUTE(SUBSTITUTE(SUBSTITUTE(TRIM(A1865&amp;""),CHAR(160),"")," ",""),"년",""))&lt;=2099,TEXT(VALUE(SUBSTITUTE(SUBSTITUTE(SUBSTITUTE(TRIM(A1865&amp;""),CHAR(160),"")," ",""),"년","")),"0000")=SUBSTITUTE(SUBSTITUTE(SUBSTITUTE(TRIM(A1865&amp;""),CHAR(160),"")," ",""),"년","")),SUBSTITUTE(SUBSTITUTE(SUBSTITUTE(TRIM(A1865&amp;""),CHAR(160),"")," ",""),"년",""),""),"")</f>
      </c>
      <c r="I1865" t="str">
        <f>SUBSTITUTE(SUBSTITUTE(SUBSTITUTE(SUBSTITUTE(SUBSTITUTE(TRIM(B1865&amp;""),CHAR(160),"")," ",""),"초등학교","초"),"중학교","중"),"고등학교","고")</f>
      </c>
    </row>
    <row r="1866" customFormat="false" ht="15" hidden="false" customHeight="false" outlineLevel="0" collapsed="false">
      <c r="A1866" s="8"/>
      <c r="B1866" s="8"/>
      <c r="C1866" s="8"/>
      <c r="D1866" s="8"/>
      <c r="E1866" s="8"/>
      <c r="F1866" t="str" s="15">
        <f aca="0">IF(B1866="","",IF(H1866="","확인필요(입력누락)",IF(SUMPRODUCT((실물목록!$P$2:$P$1001&lt;&gt;"")*ISNUMBER(SEARCH(실물목록!$P$2:$P$1001,I1866))*(실물목록!$Q$2:$Q$1001&lt;&gt;"")*ISNUMBER(SEARCH(실물목록!$Q$2:$Q$1001,I1866))*(실물목록!$R$2:$R$1001="")*(실물목록!$O$2:$O$1001&lt;&gt;"")*(실물목록!$O$2:$O$1001=H1866))&gt;0,"실물 있음",IF(SUMPRODUCT((실물목록!$P$2:$P$1001&lt;&gt;"")*ISNUMBER(SEARCH(실물목록!$P$2:$P$1001,I1866))*(실물목록!$R$2:$R$1001&lt;&gt;""))&gt;0,"확인필요(입력누락)",IF(SUMPRODUCT((실물목록!$P$2:$P$1001&lt;&gt;"")*ISNUMBER(SEARCH(실물목록!$P$2:$P$1001,I1866))*(실물목록!$Q$2:$Q$1001&lt;&gt;"")*ISNUMBER(SEARCH(실물목록!$Q$2:$Q$1001,I1866))*(실물목록!$R$2:$R$1001="")*(실물목록!$O$2:$O$1001&lt;&gt;""))&gt;0,"확인필요(연도다름)","실물 없음")))))</f>
      </c>
      <c r="G1866" t="n" s="16">
        <f aca="0">IF(B1866="","",SUMPRODUCT((실물목록!$P$2:$P$1001&lt;&gt;"")*ISNUMBER(SEARCH(실물목록!$P$2:$P$1001,I1866))*(실물목록!$Q$2:$Q$1001&lt;&gt;"")*ISNUMBER(SEARCH(실물목록!$Q$2:$Q$1001,I1866))*(실물목록!$R$2:$R$1001="")*(실물목록!$O$2:$O$1001&lt;&gt;"")*(실물목록!$O$2:$O$1001=H1866)))</f>
      </c>
      <c r="H1866" t="str">
        <f>IFERROR(IF(AND(LEN(SUBSTITUTE(SUBSTITUTE(SUBSTITUTE(TRIM(A1866&amp;""),CHAR(160),"")," ",""),"년",""))=4,VALUE(SUBSTITUTE(SUBSTITUTE(SUBSTITUTE(TRIM(A1866&amp;""),CHAR(160),"")," ",""),"년",""))&gt;=1900,VALUE(SUBSTITUTE(SUBSTITUTE(SUBSTITUTE(TRIM(A1866&amp;""),CHAR(160),"")," ",""),"년",""))&lt;=2099,TEXT(VALUE(SUBSTITUTE(SUBSTITUTE(SUBSTITUTE(TRIM(A1866&amp;""),CHAR(160),"")," ",""),"년","")),"0000")=SUBSTITUTE(SUBSTITUTE(SUBSTITUTE(TRIM(A1866&amp;""),CHAR(160),"")," ",""),"년","")),SUBSTITUTE(SUBSTITUTE(SUBSTITUTE(TRIM(A1866&amp;""),CHAR(160),"")," ",""),"년",""),""),"")</f>
      </c>
      <c r="I1866" t="str">
        <f>SUBSTITUTE(SUBSTITUTE(SUBSTITUTE(SUBSTITUTE(SUBSTITUTE(TRIM(B1866&amp;""),CHAR(160),"")," ",""),"초등학교","초"),"중학교","중"),"고등학교","고")</f>
      </c>
    </row>
    <row r="1867" customFormat="false" ht="15" hidden="false" customHeight="false" outlineLevel="0" collapsed="false">
      <c r="A1867" s="8"/>
      <c r="B1867" s="8"/>
      <c r="C1867" s="8"/>
      <c r="D1867" s="8"/>
      <c r="E1867" s="8"/>
      <c r="F1867" t="str" s="15">
        <f aca="0">IF(B1867="","",IF(H1867="","확인필요(입력누락)",IF(SUMPRODUCT((실물목록!$P$2:$P$1001&lt;&gt;"")*ISNUMBER(SEARCH(실물목록!$P$2:$P$1001,I1867))*(실물목록!$Q$2:$Q$1001&lt;&gt;"")*ISNUMBER(SEARCH(실물목록!$Q$2:$Q$1001,I1867))*(실물목록!$R$2:$R$1001="")*(실물목록!$O$2:$O$1001&lt;&gt;"")*(실물목록!$O$2:$O$1001=H1867))&gt;0,"실물 있음",IF(SUMPRODUCT((실물목록!$P$2:$P$1001&lt;&gt;"")*ISNUMBER(SEARCH(실물목록!$P$2:$P$1001,I1867))*(실물목록!$R$2:$R$1001&lt;&gt;""))&gt;0,"확인필요(입력누락)",IF(SUMPRODUCT((실물목록!$P$2:$P$1001&lt;&gt;"")*ISNUMBER(SEARCH(실물목록!$P$2:$P$1001,I1867))*(실물목록!$Q$2:$Q$1001&lt;&gt;"")*ISNUMBER(SEARCH(실물목록!$Q$2:$Q$1001,I1867))*(실물목록!$R$2:$R$1001="")*(실물목록!$O$2:$O$1001&lt;&gt;""))&gt;0,"확인필요(연도다름)","실물 없음")))))</f>
      </c>
      <c r="G1867" t="n" s="16">
        <f aca="0">IF(B1867="","",SUMPRODUCT((실물목록!$P$2:$P$1001&lt;&gt;"")*ISNUMBER(SEARCH(실물목록!$P$2:$P$1001,I1867))*(실물목록!$Q$2:$Q$1001&lt;&gt;"")*ISNUMBER(SEARCH(실물목록!$Q$2:$Q$1001,I1867))*(실물목록!$R$2:$R$1001="")*(실물목록!$O$2:$O$1001&lt;&gt;"")*(실물목록!$O$2:$O$1001=H1867)))</f>
      </c>
      <c r="H1867" t="str">
        <f>IFERROR(IF(AND(LEN(SUBSTITUTE(SUBSTITUTE(SUBSTITUTE(TRIM(A1867&amp;""),CHAR(160),"")," ",""),"년",""))=4,VALUE(SUBSTITUTE(SUBSTITUTE(SUBSTITUTE(TRIM(A1867&amp;""),CHAR(160),"")," ",""),"년",""))&gt;=1900,VALUE(SUBSTITUTE(SUBSTITUTE(SUBSTITUTE(TRIM(A1867&amp;""),CHAR(160),"")," ",""),"년",""))&lt;=2099,TEXT(VALUE(SUBSTITUTE(SUBSTITUTE(SUBSTITUTE(TRIM(A1867&amp;""),CHAR(160),"")," ",""),"년","")),"0000")=SUBSTITUTE(SUBSTITUTE(SUBSTITUTE(TRIM(A1867&amp;""),CHAR(160),"")," ",""),"년","")),SUBSTITUTE(SUBSTITUTE(SUBSTITUTE(TRIM(A1867&amp;""),CHAR(160),"")," ",""),"년",""),""),"")</f>
      </c>
      <c r="I1867" t="str">
        <f>SUBSTITUTE(SUBSTITUTE(SUBSTITUTE(SUBSTITUTE(SUBSTITUTE(TRIM(B1867&amp;""),CHAR(160),"")," ",""),"초등학교","초"),"중학교","중"),"고등학교","고")</f>
      </c>
    </row>
    <row r="1868" customFormat="false" ht="15" hidden="false" customHeight="false" outlineLevel="0" collapsed="false">
      <c r="A1868" s="8"/>
      <c r="B1868" s="8"/>
      <c r="C1868" s="8"/>
      <c r="D1868" s="8"/>
      <c r="E1868" s="8"/>
      <c r="F1868" t="str" s="15">
        <f aca="0">IF(B1868="","",IF(H1868="","확인필요(입력누락)",IF(SUMPRODUCT((실물목록!$P$2:$P$1001&lt;&gt;"")*ISNUMBER(SEARCH(실물목록!$P$2:$P$1001,I1868))*(실물목록!$Q$2:$Q$1001&lt;&gt;"")*ISNUMBER(SEARCH(실물목록!$Q$2:$Q$1001,I1868))*(실물목록!$R$2:$R$1001="")*(실물목록!$O$2:$O$1001&lt;&gt;"")*(실물목록!$O$2:$O$1001=H1868))&gt;0,"실물 있음",IF(SUMPRODUCT((실물목록!$P$2:$P$1001&lt;&gt;"")*ISNUMBER(SEARCH(실물목록!$P$2:$P$1001,I1868))*(실물목록!$R$2:$R$1001&lt;&gt;""))&gt;0,"확인필요(입력누락)",IF(SUMPRODUCT((실물목록!$P$2:$P$1001&lt;&gt;"")*ISNUMBER(SEARCH(실물목록!$P$2:$P$1001,I1868))*(실물목록!$Q$2:$Q$1001&lt;&gt;"")*ISNUMBER(SEARCH(실물목록!$Q$2:$Q$1001,I1868))*(실물목록!$R$2:$R$1001="")*(실물목록!$O$2:$O$1001&lt;&gt;""))&gt;0,"확인필요(연도다름)","실물 없음")))))</f>
      </c>
      <c r="G1868" t="n" s="16">
        <f aca="0">IF(B1868="","",SUMPRODUCT((실물목록!$P$2:$P$1001&lt;&gt;"")*ISNUMBER(SEARCH(실물목록!$P$2:$P$1001,I1868))*(실물목록!$Q$2:$Q$1001&lt;&gt;"")*ISNUMBER(SEARCH(실물목록!$Q$2:$Q$1001,I1868))*(실물목록!$R$2:$R$1001="")*(실물목록!$O$2:$O$1001&lt;&gt;"")*(실물목록!$O$2:$O$1001=H1868)))</f>
      </c>
      <c r="H1868" t="str">
        <f>IFERROR(IF(AND(LEN(SUBSTITUTE(SUBSTITUTE(SUBSTITUTE(TRIM(A1868&amp;""),CHAR(160),"")," ",""),"년",""))=4,VALUE(SUBSTITUTE(SUBSTITUTE(SUBSTITUTE(TRIM(A1868&amp;""),CHAR(160),"")," ",""),"년",""))&gt;=1900,VALUE(SUBSTITUTE(SUBSTITUTE(SUBSTITUTE(TRIM(A1868&amp;""),CHAR(160),"")," ",""),"년",""))&lt;=2099,TEXT(VALUE(SUBSTITUTE(SUBSTITUTE(SUBSTITUTE(TRIM(A1868&amp;""),CHAR(160),"")," ",""),"년","")),"0000")=SUBSTITUTE(SUBSTITUTE(SUBSTITUTE(TRIM(A1868&amp;""),CHAR(160),"")," ",""),"년","")),SUBSTITUTE(SUBSTITUTE(SUBSTITUTE(TRIM(A1868&amp;""),CHAR(160),"")," ",""),"년",""),""),"")</f>
      </c>
      <c r="I1868" t="str">
        <f>SUBSTITUTE(SUBSTITUTE(SUBSTITUTE(SUBSTITUTE(SUBSTITUTE(TRIM(B1868&amp;""),CHAR(160),"")," ",""),"초등학교","초"),"중학교","중"),"고등학교","고")</f>
      </c>
    </row>
    <row r="1869" customFormat="false" ht="15" hidden="false" customHeight="false" outlineLevel="0" collapsed="false">
      <c r="A1869" s="8"/>
      <c r="B1869" s="8"/>
      <c r="C1869" s="8"/>
      <c r="D1869" s="8"/>
      <c r="E1869" s="8"/>
      <c r="F1869" t="str" s="15">
        <f aca="0">IF(B1869="","",IF(H1869="","확인필요(입력누락)",IF(SUMPRODUCT((실물목록!$P$2:$P$1001&lt;&gt;"")*ISNUMBER(SEARCH(실물목록!$P$2:$P$1001,I1869))*(실물목록!$Q$2:$Q$1001&lt;&gt;"")*ISNUMBER(SEARCH(실물목록!$Q$2:$Q$1001,I1869))*(실물목록!$R$2:$R$1001="")*(실물목록!$O$2:$O$1001&lt;&gt;"")*(실물목록!$O$2:$O$1001=H1869))&gt;0,"실물 있음",IF(SUMPRODUCT((실물목록!$P$2:$P$1001&lt;&gt;"")*ISNUMBER(SEARCH(실물목록!$P$2:$P$1001,I1869))*(실물목록!$R$2:$R$1001&lt;&gt;""))&gt;0,"확인필요(입력누락)",IF(SUMPRODUCT((실물목록!$P$2:$P$1001&lt;&gt;"")*ISNUMBER(SEARCH(실물목록!$P$2:$P$1001,I1869))*(실물목록!$Q$2:$Q$1001&lt;&gt;"")*ISNUMBER(SEARCH(실물목록!$Q$2:$Q$1001,I1869))*(실물목록!$R$2:$R$1001="")*(실물목록!$O$2:$O$1001&lt;&gt;""))&gt;0,"확인필요(연도다름)","실물 없음")))))</f>
      </c>
      <c r="G1869" t="n" s="16">
        <f aca="0">IF(B1869="","",SUMPRODUCT((실물목록!$P$2:$P$1001&lt;&gt;"")*ISNUMBER(SEARCH(실물목록!$P$2:$P$1001,I1869))*(실물목록!$Q$2:$Q$1001&lt;&gt;"")*ISNUMBER(SEARCH(실물목록!$Q$2:$Q$1001,I1869))*(실물목록!$R$2:$R$1001="")*(실물목록!$O$2:$O$1001&lt;&gt;"")*(실물목록!$O$2:$O$1001=H1869)))</f>
      </c>
      <c r="H1869" t="str">
        <f>IFERROR(IF(AND(LEN(SUBSTITUTE(SUBSTITUTE(SUBSTITUTE(TRIM(A1869&amp;""),CHAR(160),"")," ",""),"년",""))=4,VALUE(SUBSTITUTE(SUBSTITUTE(SUBSTITUTE(TRIM(A1869&amp;""),CHAR(160),"")," ",""),"년",""))&gt;=1900,VALUE(SUBSTITUTE(SUBSTITUTE(SUBSTITUTE(TRIM(A1869&amp;""),CHAR(160),"")," ",""),"년",""))&lt;=2099,TEXT(VALUE(SUBSTITUTE(SUBSTITUTE(SUBSTITUTE(TRIM(A1869&amp;""),CHAR(160),"")," ",""),"년","")),"0000")=SUBSTITUTE(SUBSTITUTE(SUBSTITUTE(TRIM(A1869&amp;""),CHAR(160),"")," ",""),"년","")),SUBSTITUTE(SUBSTITUTE(SUBSTITUTE(TRIM(A1869&amp;""),CHAR(160),"")," ",""),"년",""),""),"")</f>
      </c>
      <c r="I1869" t="str">
        <f>SUBSTITUTE(SUBSTITUTE(SUBSTITUTE(SUBSTITUTE(SUBSTITUTE(TRIM(B1869&amp;""),CHAR(160),"")," ",""),"초등학교","초"),"중학교","중"),"고등학교","고")</f>
      </c>
    </row>
    <row r="1870" customFormat="false" ht="15" hidden="false" customHeight="false" outlineLevel="0" collapsed="false">
      <c r="A1870" s="8"/>
      <c r="B1870" s="8"/>
      <c r="C1870" s="8"/>
      <c r="D1870" s="8"/>
      <c r="E1870" s="8"/>
      <c r="F1870" t="str" s="15">
        <f aca="0">IF(B1870="","",IF(H1870="","확인필요(입력누락)",IF(SUMPRODUCT((실물목록!$P$2:$P$1001&lt;&gt;"")*ISNUMBER(SEARCH(실물목록!$P$2:$P$1001,I1870))*(실물목록!$Q$2:$Q$1001&lt;&gt;"")*ISNUMBER(SEARCH(실물목록!$Q$2:$Q$1001,I1870))*(실물목록!$R$2:$R$1001="")*(실물목록!$O$2:$O$1001&lt;&gt;"")*(실물목록!$O$2:$O$1001=H1870))&gt;0,"실물 있음",IF(SUMPRODUCT((실물목록!$P$2:$P$1001&lt;&gt;"")*ISNUMBER(SEARCH(실물목록!$P$2:$P$1001,I1870))*(실물목록!$R$2:$R$1001&lt;&gt;""))&gt;0,"확인필요(입력누락)",IF(SUMPRODUCT((실물목록!$P$2:$P$1001&lt;&gt;"")*ISNUMBER(SEARCH(실물목록!$P$2:$P$1001,I1870))*(실물목록!$Q$2:$Q$1001&lt;&gt;"")*ISNUMBER(SEARCH(실물목록!$Q$2:$Q$1001,I1870))*(실물목록!$R$2:$R$1001="")*(실물목록!$O$2:$O$1001&lt;&gt;""))&gt;0,"확인필요(연도다름)","실물 없음")))))</f>
      </c>
      <c r="G1870" t="n" s="16">
        <f aca="0">IF(B1870="","",SUMPRODUCT((실물목록!$P$2:$P$1001&lt;&gt;"")*ISNUMBER(SEARCH(실물목록!$P$2:$P$1001,I1870))*(실물목록!$Q$2:$Q$1001&lt;&gt;"")*ISNUMBER(SEARCH(실물목록!$Q$2:$Q$1001,I1870))*(실물목록!$R$2:$R$1001="")*(실물목록!$O$2:$O$1001&lt;&gt;"")*(실물목록!$O$2:$O$1001=H1870)))</f>
      </c>
      <c r="H1870" t="str">
        <f>IFERROR(IF(AND(LEN(SUBSTITUTE(SUBSTITUTE(SUBSTITUTE(TRIM(A1870&amp;""),CHAR(160),"")," ",""),"년",""))=4,VALUE(SUBSTITUTE(SUBSTITUTE(SUBSTITUTE(TRIM(A1870&amp;""),CHAR(160),"")," ",""),"년",""))&gt;=1900,VALUE(SUBSTITUTE(SUBSTITUTE(SUBSTITUTE(TRIM(A1870&amp;""),CHAR(160),"")," ",""),"년",""))&lt;=2099,TEXT(VALUE(SUBSTITUTE(SUBSTITUTE(SUBSTITUTE(TRIM(A1870&amp;""),CHAR(160),"")," ",""),"년","")),"0000")=SUBSTITUTE(SUBSTITUTE(SUBSTITUTE(TRIM(A1870&amp;""),CHAR(160),"")," ",""),"년","")),SUBSTITUTE(SUBSTITUTE(SUBSTITUTE(TRIM(A1870&amp;""),CHAR(160),"")," ",""),"년",""),""),"")</f>
      </c>
      <c r="I1870" t="str">
        <f>SUBSTITUTE(SUBSTITUTE(SUBSTITUTE(SUBSTITUTE(SUBSTITUTE(TRIM(B1870&amp;""),CHAR(160),"")," ",""),"초등학교","초"),"중학교","중"),"고등학교","고")</f>
      </c>
    </row>
    <row r="1871" customFormat="false" ht="15" hidden="false" customHeight="false" outlineLevel="0" collapsed="false">
      <c r="A1871" s="8"/>
      <c r="B1871" s="8"/>
      <c r="C1871" s="8"/>
      <c r="D1871" s="8"/>
      <c r="E1871" s="8"/>
      <c r="F1871" t="str" s="15">
        <f aca="0">IF(B1871="","",IF(H1871="","확인필요(입력누락)",IF(SUMPRODUCT((실물목록!$P$2:$P$1001&lt;&gt;"")*ISNUMBER(SEARCH(실물목록!$P$2:$P$1001,I1871))*(실물목록!$Q$2:$Q$1001&lt;&gt;"")*ISNUMBER(SEARCH(실물목록!$Q$2:$Q$1001,I1871))*(실물목록!$R$2:$R$1001="")*(실물목록!$O$2:$O$1001&lt;&gt;"")*(실물목록!$O$2:$O$1001=H1871))&gt;0,"실물 있음",IF(SUMPRODUCT((실물목록!$P$2:$P$1001&lt;&gt;"")*ISNUMBER(SEARCH(실물목록!$P$2:$P$1001,I1871))*(실물목록!$R$2:$R$1001&lt;&gt;""))&gt;0,"확인필요(입력누락)",IF(SUMPRODUCT((실물목록!$P$2:$P$1001&lt;&gt;"")*ISNUMBER(SEARCH(실물목록!$P$2:$P$1001,I1871))*(실물목록!$Q$2:$Q$1001&lt;&gt;"")*ISNUMBER(SEARCH(실물목록!$Q$2:$Q$1001,I1871))*(실물목록!$R$2:$R$1001="")*(실물목록!$O$2:$O$1001&lt;&gt;""))&gt;0,"확인필요(연도다름)","실물 없음")))))</f>
      </c>
      <c r="G1871" t="n" s="16">
        <f aca="0">IF(B1871="","",SUMPRODUCT((실물목록!$P$2:$P$1001&lt;&gt;"")*ISNUMBER(SEARCH(실물목록!$P$2:$P$1001,I1871))*(실물목록!$Q$2:$Q$1001&lt;&gt;"")*ISNUMBER(SEARCH(실물목록!$Q$2:$Q$1001,I1871))*(실물목록!$R$2:$R$1001="")*(실물목록!$O$2:$O$1001&lt;&gt;"")*(실물목록!$O$2:$O$1001=H1871)))</f>
      </c>
      <c r="H1871" t="str">
        <f>IFERROR(IF(AND(LEN(SUBSTITUTE(SUBSTITUTE(SUBSTITUTE(TRIM(A1871&amp;""),CHAR(160),"")," ",""),"년",""))=4,VALUE(SUBSTITUTE(SUBSTITUTE(SUBSTITUTE(TRIM(A1871&amp;""),CHAR(160),"")," ",""),"년",""))&gt;=1900,VALUE(SUBSTITUTE(SUBSTITUTE(SUBSTITUTE(TRIM(A1871&amp;""),CHAR(160),"")," ",""),"년",""))&lt;=2099,TEXT(VALUE(SUBSTITUTE(SUBSTITUTE(SUBSTITUTE(TRIM(A1871&amp;""),CHAR(160),"")," ",""),"년","")),"0000")=SUBSTITUTE(SUBSTITUTE(SUBSTITUTE(TRIM(A1871&amp;""),CHAR(160),"")," ",""),"년","")),SUBSTITUTE(SUBSTITUTE(SUBSTITUTE(TRIM(A1871&amp;""),CHAR(160),"")," ",""),"년",""),""),"")</f>
      </c>
      <c r="I1871" t="str">
        <f>SUBSTITUTE(SUBSTITUTE(SUBSTITUTE(SUBSTITUTE(SUBSTITUTE(TRIM(B1871&amp;""),CHAR(160),"")," ",""),"초등학교","초"),"중학교","중"),"고등학교","고")</f>
      </c>
    </row>
    <row r="1872" customFormat="false" ht="15" hidden="false" customHeight="false" outlineLevel="0" collapsed="false">
      <c r="A1872" s="8"/>
      <c r="B1872" s="8"/>
      <c r="C1872" s="8"/>
      <c r="D1872" s="8"/>
      <c r="E1872" s="8"/>
      <c r="F1872" t="str" s="15">
        <f aca="0">IF(B1872="","",IF(H1872="","확인필요(입력누락)",IF(SUMPRODUCT((실물목록!$P$2:$P$1001&lt;&gt;"")*ISNUMBER(SEARCH(실물목록!$P$2:$P$1001,I1872))*(실물목록!$Q$2:$Q$1001&lt;&gt;"")*ISNUMBER(SEARCH(실물목록!$Q$2:$Q$1001,I1872))*(실물목록!$R$2:$R$1001="")*(실물목록!$O$2:$O$1001&lt;&gt;"")*(실물목록!$O$2:$O$1001=H1872))&gt;0,"실물 있음",IF(SUMPRODUCT((실물목록!$P$2:$P$1001&lt;&gt;"")*ISNUMBER(SEARCH(실물목록!$P$2:$P$1001,I1872))*(실물목록!$R$2:$R$1001&lt;&gt;""))&gt;0,"확인필요(입력누락)",IF(SUMPRODUCT((실물목록!$P$2:$P$1001&lt;&gt;"")*ISNUMBER(SEARCH(실물목록!$P$2:$P$1001,I1872))*(실물목록!$Q$2:$Q$1001&lt;&gt;"")*ISNUMBER(SEARCH(실물목록!$Q$2:$Q$1001,I1872))*(실물목록!$R$2:$R$1001="")*(실물목록!$O$2:$O$1001&lt;&gt;""))&gt;0,"확인필요(연도다름)","실물 없음")))))</f>
      </c>
      <c r="G1872" t="n" s="16">
        <f aca="0">IF(B1872="","",SUMPRODUCT((실물목록!$P$2:$P$1001&lt;&gt;"")*ISNUMBER(SEARCH(실물목록!$P$2:$P$1001,I1872))*(실물목록!$Q$2:$Q$1001&lt;&gt;"")*ISNUMBER(SEARCH(실물목록!$Q$2:$Q$1001,I1872))*(실물목록!$R$2:$R$1001="")*(실물목록!$O$2:$O$1001&lt;&gt;"")*(실물목록!$O$2:$O$1001=H1872)))</f>
      </c>
      <c r="H1872" t="str">
        <f>IFERROR(IF(AND(LEN(SUBSTITUTE(SUBSTITUTE(SUBSTITUTE(TRIM(A1872&amp;""),CHAR(160),"")," ",""),"년",""))=4,VALUE(SUBSTITUTE(SUBSTITUTE(SUBSTITUTE(TRIM(A1872&amp;""),CHAR(160),"")," ",""),"년",""))&gt;=1900,VALUE(SUBSTITUTE(SUBSTITUTE(SUBSTITUTE(TRIM(A1872&amp;""),CHAR(160),"")," ",""),"년",""))&lt;=2099,TEXT(VALUE(SUBSTITUTE(SUBSTITUTE(SUBSTITUTE(TRIM(A1872&amp;""),CHAR(160),"")," ",""),"년","")),"0000")=SUBSTITUTE(SUBSTITUTE(SUBSTITUTE(TRIM(A1872&amp;""),CHAR(160),"")," ",""),"년","")),SUBSTITUTE(SUBSTITUTE(SUBSTITUTE(TRIM(A1872&amp;""),CHAR(160),"")," ",""),"년",""),""),"")</f>
      </c>
      <c r="I1872" t="str">
        <f>SUBSTITUTE(SUBSTITUTE(SUBSTITUTE(SUBSTITUTE(SUBSTITUTE(TRIM(B1872&amp;""),CHAR(160),"")," ",""),"초등학교","초"),"중학교","중"),"고등학교","고")</f>
      </c>
    </row>
    <row r="1873" customFormat="false" ht="15" hidden="false" customHeight="false" outlineLevel="0" collapsed="false">
      <c r="A1873" s="8"/>
      <c r="B1873" s="8"/>
      <c r="C1873" s="8"/>
      <c r="D1873" s="8"/>
      <c r="E1873" s="8"/>
      <c r="F1873" t="str" s="15">
        <f aca="0">IF(B1873="","",IF(H1873="","확인필요(입력누락)",IF(SUMPRODUCT((실물목록!$P$2:$P$1001&lt;&gt;"")*ISNUMBER(SEARCH(실물목록!$P$2:$P$1001,I1873))*(실물목록!$Q$2:$Q$1001&lt;&gt;"")*ISNUMBER(SEARCH(실물목록!$Q$2:$Q$1001,I1873))*(실물목록!$R$2:$R$1001="")*(실물목록!$O$2:$O$1001&lt;&gt;"")*(실물목록!$O$2:$O$1001=H1873))&gt;0,"실물 있음",IF(SUMPRODUCT((실물목록!$P$2:$P$1001&lt;&gt;"")*ISNUMBER(SEARCH(실물목록!$P$2:$P$1001,I1873))*(실물목록!$R$2:$R$1001&lt;&gt;""))&gt;0,"확인필요(입력누락)",IF(SUMPRODUCT((실물목록!$P$2:$P$1001&lt;&gt;"")*ISNUMBER(SEARCH(실물목록!$P$2:$P$1001,I1873))*(실물목록!$Q$2:$Q$1001&lt;&gt;"")*ISNUMBER(SEARCH(실물목록!$Q$2:$Q$1001,I1873))*(실물목록!$R$2:$R$1001="")*(실물목록!$O$2:$O$1001&lt;&gt;""))&gt;0,"확인필요(연도다름)","실물 없음")))))</f>
      </c>
      <c r="G1873" t="n" s="16">
        <f aca="0">IF(B1873="","",SUMPRODUCT((실물목록!$P$2:$P$1001&lt;&gt;"")*ISNUMBER(SEARCH(실물목록!$P$2:$P$1001,I1873))*(실물목록!$Q$2:$Q$1001&lt;&gt;"")*ISNUMBER(SEARCH(실물목록!$Q$2:$Q$1001,I1873))*(실물목록!$R$2:$R$1001="")*(실물목록!$O$2:$O$1001&lt;&gt;"")*(실물목록!$O$2:$O$1001=H1873)))</f>
      </c>
      <c r="H1873" t="str">
        <f>IFERROR(IF(AND(LEN(SUBSTITUTE(SUBSTITUTE(SUBSTITUTE(TRIM(A1873&amp;""),CHAR(160),"")," ",""),"년",""))=4,VALUE(SUBSTITUTE(SUBSTITUTE(SUBSTITUTE(TRIM(A1873&amp;""),CHAR(160),"")," ",""),"년",""))&gt;=1900,VALUE(SUBSTITUTE(SUBSTITUTE(SUBSTITUTE(TRIM(A1873&amp;""),CHAR(160),"")," ",""),"년",""))&lt;=2099,TEXT(VALUE(SUBSTITUTE(SUBSTITUTE(SUBSTITUTE(TRIM(A1873&amp;""),CHAR(160),"")," ",""),"년","")),"0000")=SUBSTITUTE(SUBSTITUTE(SUBSTITUTE(TRIM(A1873&amp;""),CHAR(160),"")," ",""),"년","")),SUBSTITUTE(SUBSTITUTE(SUBSTITUTE(TRIM(A1873&amp;""),CHAR(160),"")," ",""),"년",""),""),"")</f>
      </c>
      <c r="I1873" t="str">
        <f>SUBSTITUTE(SUBSTITUTE(SUBSTITUTE(SUBSTITUTE(SUBSTITUTE(TRIM(B1873&amp;""),CHAR(160),"")," ",""),"초등학교","초"),"중학교","중"),"고등학교","고")</f>
      </c>
    </row>
    <row r="1874" customFormat="false" ht="15" hidden="false" customHeight="false" outlineLevel="0" collapsed="false">
      <c r="A1874" s="8"/>
      <c r="B1874" s="8"/>
      <c r="C1874" s="8"/>
      <c r="D1874" s="8"/>
      <c r="E1874" s="8"/>
      <c r="F1874" t="str" s="15">
        <f aca="0">IF(B1874="","",IF(H1874="","확인필요(입력누락)",IF(SUMPRODUCT((실물목록!$P$2:$P$1001&lt;&gt;"")*ISNUMBER(SEARCH(실물목록!$P$2:$P$1001,I1874))*(실물목록!$Q$2:$Q$1001&lt;&gt;"")*ISNUMBER(SEARCH(실물목록!$Q$2:$Q$1001,I1874))*(실물목록!$R$2:$R$1001="")*(실물목록!$O$2:$O$1001&lt;&gt;"")*(실물목록!$O$2:$O$1001=H1874))&gt;0,"실물 있음",IF(SUMPRODUCT((실물목록!$P$2:$P$1001&lt;&gt;"")*ISNUMBER(SEARCH(실물목록!$P$2:$P$1001,I1874))*(실물목록!$R$2:$R$1001&lt;&gt;""))&gt;0,"확인필요(입력누락)",IF(SUMPRODUCT((실물목록!$P$2:$P$1001&lt;&gt;"")*ISNUMBER(SEARCH(실물목록!$P$2:$P$1001,I1874))*(실물목록!$Q$2:$Q$1001&lt;&gt;"")*ISNUMBER(SEARCH(실물목록!$Q$2:$Q$1001,I1874))*(실물목록!$R$2:$R$1001="")*(실물목록!$O$2:$O$1001&lt;&gt;""))&gt;0,"확인필요(연도다름)","실물 없음")))))</f>
      </c>
      <c r="G1874" t="n" s="16">
        <f aca="0">IF(B1874="","",SUMPRODUCT((실물목록!$P$2:$P$1001&lt;&gt;"")*ISNUMBER(SEARCH(실물목록!$P$2:$P$1001,I1874))*(실물목록!$Q$2:$Q$1001&lt;&gt;"")*ISNUMBER(SEARCH(실물목록!$Q$2:$Q$1001,I1874))*(실물목록!$R$2:$R$1001="")*(실물목록!$O$2:$O$1001&lt;&gt;"")*(실물목록!$O$2:$O$1001=H1874)))</f>
      </c>
      <c r="H1874" t="str">
        <f>IFERROR(IF(AND(LEN(SUBSTITUTE(SUBSTITUTE(SUBSTITUTE(TRIM(A1874&amp;""),CHAR(160),"")," ",""),"년",""))=4,VALUE(SUBSTITUTE(SUBSTITUTE(SUBSTITUTE(TRIM(A1874&amp;""),CHAR(160),"")," ",""),"년",""))&gt;=1900,VALUE(SUBSTITUTE(SUBSTITUTE(SUBSTITUTE(TRIM(A1874&amp;""),CHAR(160),"")," ",""),"년",""))&lt;=2099,TEXT(VALUE(SUBSTITUTE(SUBSTITUTE(SUBSTITUTE(TRIM(A1874&amp;""),CHAR(160),"")," ",""),"년","")),"0000")=SUBSTITUTE(SUBSTITUTE(SUBSTITUTE(TRIM(A1874&amp;""),CHAR(160),"")," ",""),"년","")),SUBSTITUTE(SUBSTITUTE(SUBSTITUTE(TRIM(A1874&amp;""),CHAR(160),"")," ",""),"년",""),""),"")</f>
      </c>
      <c r="I1874" t="str">
        <f>SUBSTITUTE(SUBSTITUTE(SUBSTITUTE(SUBSTITUTE(SUBSTITUTE(TRIM(B1874&amp;""),CHAR(160),"")," ",""),"초등학교","초"),"중학교","중"),"고등학교","고")</f>
      </c>
    </row>
    <row r="1875" customFormat="false" ht="15" hidden="false" customHeight="false" outlineLevel="0" collapsed="false">
      <c r="A1875" s="8"/>
      <c r="B1875" s="8"/>
      <c r="C1875" s="8"/>
      <c r="D1875" s="8"/>
      <c r="E1875" s="8"/>
      <c r="F1875" t="str" s="15">
        <f aca="0">IF(B1875="","",IF(H1875="","확인필요(입력누락)",IF(SUMPRODUCT((실물목록!$P$2:$P$1001&lt;&gt;"")*ISNUMBER(SEARCH(실물목록!$P$2:$P$1001,I1875))*(실물목록!$Q$2:$Q$1001&lt;&gt;"")*ISNUMBER(SEARCH(실물목록!$Q$2:$Q$1001,I1875))*(실물목록!$R$2:$R$1001="")*(실물목록!$O$2:$O$1001&lt;&gt;"")*(실물목록!$O$2:$O$1001=H1875))&gt;0,"실물 있음",IF(SUMPRODUCT((실물목록!$P$2:$P$1001&lt;&gt;"")*ISNUMBER(SEARCH(실물목록!$P$2:$P$1001,I1875))*(실물목록!$R$2:$R$1001&lt;&gt;""))&gt;0,"확인필요(입력누락)",IF(SUMPRODUCT((실물목록!$P$2:$P$1001&lt;&gt;"")*ISNUMBER(SEARCH(실물목록!$P$2:$P$1001,I1875))*(실물목록!$Q$2:$Q$1001&lt;&gt;"")*ISNUMBER(SEARCH(실물목록!$Q$2:$Q$1001,I1875))*(실물목록!$R$2:$R$1001="")*(실물목록!$O$2:$O$1001&lt;&gt;""))&gt;0,"확인필요(연도다름)","실물 없음")))))</f>
      </c>
      <c r="G1875" t="n" s="16">
        <f aca="0">IF(B1875="","",SUMPRODUCT((실물목록!$P$2:$P$1001&lt;&gt;"")*ISNUMBER(SEARCH(실물목록!$P$2:$P$1001,I1875))*(실물목록!$Q$2:$Q$1001&lt;&gt;"")*ISNUMBER(SEARCH(실물목록!$Q$2:$Q$1001,I1875))*(실물목록!$R$2:$R$1001="")*(실물목록!$O$2:$O$1001&lt;&gt;"")*(실물목록!$O$2:$O$1001=H1875)))</f>
      </c>
      <c r="H1875" t="str">
        <f>IFERROR(IF(AND(LEN(SUBSTITUTE(SUBSTITUTE(SUBSTITUTE(TRIM(A1875&amp;""),CHAR(160),"")," ",""),"년",""))=4,VALUE(SUBSTITUTE(SUBSTITUTE(SUBSTITUTE(TRIM(A1875&amp;""),CHAR(160),"")," ",""),"년",""))&gt;=1900,VALUE(SUBSTITUTE(SUBSTITUTE(SUBSTITUTE(TRIM(A1875&amp;""),CHAR(160),"")," ",""),"년",""))&lt;=2099,TEXT(VALUE(SUBSTITUTE(SUBSTITUTE(SUBSTITUTE(TRIM(A1875&amp;""),CHAR(160),"")," ",""),"년","")),"0000")=SUBSTITUTE(SUBSTITUTE(SUBSTITUTE(TRIM(A1875&amp;""),CHAR(160),"")," ",""),"년","")),SUBSTITUTE(SUBSTITUTE(SUBSTITUTE(TRIM(A1875&amp;""),CHAR(160),"")," ",""),"년",""),""),"")</f>
      </c>
      <c r="I1875" t="str">
        <f>SUBSTITUTE(SUBSTITUTE(SUBSTITUTE(SUBSTITUTE(SUBSTITUTE(TRIM(B1875&amp;""),CHAR(160),"")," ",""),"초등학교","초"),"중학교","중"),"고등학교","고")</f>
      </c>
    </row>
    <row r="1876" customFormat="false" ht="15" hidden="false" customHeight="false" outlineLevel="0" collapsed="false">
      <c r="A1876" s="8"/>
      <c r="B1876" s="8"/>
      <c r="C1876" s="8"/>
      <c r="D1876" s="8"/>
      <c r="E1876" s="8"/>
      <c r="F1876" t="str" s="15">
        <f aca="0">IF(B1876="","",IF(H1876="","확인필요(입력누락)",IF(SUMPRODUCT((실물목록!$P$2:$P$1001&lt;&gt;"")*ISNUMBER(SEARCH(실물목록!$P$2:$P$1001,I1876))*(실물목록!$Q$2:$Q$1001&lt;&gt;"")*ISNUMBER(SEARCH(실물목록!$Q$2:$Q$1001,I1876))*(실물목록!$R$2:$R$1001="")*(실물목록!$O$2:$O$1001&lt;&gt;"")*(실물목록!$O$2:$O$1001=H1876))&gt;0,"실물 있음",IF(SUMPRODUCT((실물목록!$P$2:$P$1001&lt;&gt;"")*ISNUMBER(SEARCH(실물목록!$P$2:$P$1001,I1876))*(실물목록!$R$2:$R$1001&lt;&gt;""))&gt;0,"확인필요(입력누락)",IF(SUMPRODUCT((실물목록!$P$2:$P$1001&lt;&gt;"")*ISNUMBER(SEARCH(실물목록!$P$2:$P$1001,I1876))*(실물목록!$Q$2:$Q$1001&lt;&gt;"")*ISNUMBER(SEARCH(실물목록!$Q$2:$Q$1001,I1876))*(실물목록!$R$2:$R$1001="")*(실물목록!$O$2:$O$1001&lt;&gt;""))&gt;0,"확인필요(연도다름)","실물 없음")))))</f>
      </c>
      <c r="G1876" t="n" s="16">
        <f aca="0">IF(B1876="","",SUMPRODUCT((실물목록!$P$2:$P$1001&lt;&gt;"")*ISNUMBER(SEARCH(실물목록!$P$2:$P$1001,I1876))*(실물목록!$Q$2:$Q$1001&lt;&gt;"")*ISNUMBER(SEARCH(실물목록!$Q$2:$Q$1001,I1876))*(실물목록!$R$2:$R$1001="")*(실물목록!$O$2:$O$1001&lt;&gt;"")*(실물목록!$O$2:$O$1001=H1876)))</f>
      </c>
      <c r="H1876" t="str">
        <f>IFERROR(IF(AND(LEN(SUBSTITUTE(SUBSTITUTE(SUBSTITUTE(TRIM(A1876&amp;""),CHAR(160),"")," ",""),"년",""))=4,VALUE(SUBSTITUTE(SUBSTITUTE(SUBSTITUTE(TRIM(A1876&amp;""),CHAR(160),"")," ",""),"년",""))&gt;=1900,VALUE(SUBSTITUTE(SUBSTITUTE(SUBSTITUTE(TRIM(A1876&amp;""),CHAR(160),"")," ",""),"년",""))&lt;=2099,TEXT(VALUE(SUBSTITUTE(SUBSTITUTE(SUBSTITUTE(TRIM(A1876&amp;""),CHAR(160),"")," ",""),"년","")),"0000")=SUBSTITUTE(SUBSTITUTE(SUBSTITUTE(TRIM(A1876&amp;""),CHAR(160),"")," ",""),"년","")),SUBSTITUTE(SUBSTITUTE(SUBSTITUTE(TRIM(A1876&amp;""),CHAR(160),"")," ",""),"년",""),""),"")</f>
      </c>
      <c r="I1876" t="str">
        <f>SUBSTITUTE(SUBSTITUTE(SUBSTITUTE(SUBSTITUTE(SUBSTITUTE(TRIM(B1876&amp;""),CHAR(160),"")," ",""),"초등학교","초"),"중학교","중"),"고등학교","고")</f>
      </c>
    </row>
    <row r="1877" customFormat="false" ht="15" hidden="false" customHeight="false" outlineLevel="0" collapsed="false">
      <c r="A1877" s="8"/>
      <c r="B1877" s="8"/>
      <c r="C1877" s="8"/>
      <c r="D1877" s="8"/>
      <c r="E1877" s="8"/>
      <c r="F1877" t="str" s="15">
        <f aca="0">IF(B1877="","",IF(H1877="","확인필요(입력누락)",IF(SUMPRODUCT((실물목록!$P$2:$P$1001&lt;&gt;"")*ISNUMBER(SEARCH(실물목록!$P$2:$P$1001,I1877))*(실물목록!$Q$2:$Q$1001&lt;&gt;"")*ISNUMBER(SEARCH(실물목록!$Q$2:$Q$1001,I1877))*(실물목록!$R$2:$R$1001="")*(실물목록!$O$2:$O$1001&lt;&gt;"")*(실물목록!$O$2:$O$1001=H1877))&gt;0,"실물 있음",IF(SUMPRODUCT((실물목록!$P$2:$P$1001&lt;&gt;"")*ISNUMBER(SEARCH(실물목록!$P$2:$P$1001,I1877))*(실물목록!$R$2:$R$1001&lt;&gt;""))&gt;0,"확인필요(입력누락)",IF(SUMPRODUCT((실물목록!$P$2:$P$1001&lt;&gt;"")*ISNUMBER(SEARCH(실물목록!$P$2:$P$1001,I1877))*(실물목록!$Q$2:$Q$1001&lt;&gt;"")*ISNUMBER(SEARCH(실물목록!$Q$2:$Q$1001,I1877))*(실물목록!$R$2:$R$1001="")*(실물목록!$O$2:$O$1001&lt;&gt;""))&gt;0,"확인필요(연도다름)","실물 없음")))))</f>
      </c>
      <c r="G1877" t="n" s="16">
        <f aca="0">IF(B1877="","",SUMPRODUCT((실물목록!$P$2:$P$1001&lt;&gt;"")*ISNUMBER(SEARCH(실물목록!$P$2:$P$1001,I1877))*(실물목록!$Q$2:$Q$1001&lt;&gt;"")*ISNUMBER(SEARCH(실물목록!$Q$2:$Q$1001,I1877))*(실물목록!$R$2:$R$1001="")*(실물목록!$O$2:$O$1001&lt;&gt;"")*(실물목록!$O$2:$O$1001=H1877)))</f>
      </c>
      <c r="H1877" t="str">
        <f>IFERROR(IF(AND(LEN(SUBSTITUTE(SUBSTITUTE(SUBSTITUTE(TRIM(A1877&amp;""),CHAR(160),"")," ",""),"년",""))=4,VALUE(SUBSTITUTE(SUBSTITUTE(SUBSTITUTE(TRIM(A1877&amp;""),CHAR(160),"")," ",""),"년",""))&gt;=1900,VALUE(SUBSTITUTE(SUBSTITUTE(SUBSTITUTE(TRIM(A1877&amp;""),CHAR(160),"")," ",""),"년",""))&lt;=2099,TEXT(VALUE(SUBSTITUTE(SUBSTITUTE(SUBSTITUTE(TRIM(A1877&amp;""),CHAR(160),"")," ",""),"년","")),"0000")=SUBSTITUTE(SUBSTITUTE(SUBSTITUTE(TRIM(A1877&amp;""),CHAR(160),"")," ",""),"년","")),SUBSTITUTE(SUBSTITUTE(SUBSTITUTE(TRIM(A1877&amp;""),CHAR(160),"")," ",""),"년",""),""),"")</f>
      </c>
      <c r="I1877" t="str">
        <f>SUBSTITUTE(SUBSTITUTE(SUBSTITUTE(SUBSTITUTE(SUBSTITUTE(TRIM(B1877&amp;""),CHAR(160),"")," ",""),"초등학교","초"),"중학교","중"),"고등학교","고")</f>
      </c>
    </row>
    <row r="1878" customFormat="false" ht="15" hidden="false" customHeight="false" outlineLevel="0" collapsed="false">
      <c r="A1878" s="8"/>
      <c r="B1878" s="8"/>
      <c r="C1878" s="8"/>
      <c r="D1878" s="8"/>
      <c r="E1878" s="8"/>
      <c r="F1878" t="str" s="15">
        <f aca="0">IF(B1878="","",IF(H1878="","확인필요(입력누락)",IF(SUMPRODUCT((실물목록!$P$2:$P$1001&lt;&gt;"")*ISNUMBER(SEARCH(실물목록!$P$2:$P$1001,I1878))*(실물목록!$Q$2:$Q$1001&lt;&gt;"")*ISNUMBER(SEARCH(실물목록!$Q$2:$Q$1001,I1878))*(실물목록!$R$2:$R$1001="")*(실물목록!$O$2:$O$1001&lt;&gt;"")*(실물목록!$O$2:$O$1001=H1878))&gt;0,"실물 있음",IF(SUMPRODUCT((실물목록!$P$2:$P$1001&lt;&gt;"")*ISNUMBER(SEARCH(실물목록!$P$2:$P$1001,I1878))*(실물목록!$R$2:$R$1001&lt;&gt;""))&gt;0,"확인필요(입력누락)",IF(SUMPRODUCT((실물목록!$P$2:$P$1001&lt;&gt;"")*ISNUMBER(SEARCH(실물목록!$P$2:$P$1001,I1878))*(실물목록!$Q$2:$Q$1001&lt;&gt;"")*ISNUMBER(SEARCH(실물목록!$Q$2:$Q$1001,I1878))*(실물목록!$R$2:$R$1001="")*(실물목록!$O$2:$O$1001&lt;&gt;""))&gt;0,"확인필요(연도다름)","실물 없음")))))</f>
      </c>
      <c r="G1878" t="n" s="16">
        <f aca="0">IF(B1878="","",SUMPRODUCT((실물목록!$P$2:$P$1001&lt;&gt;"")*ISNUMBER(SEARCH(실물목록!$P$2:$P$1001,I1878))*(실물목록!$Q$2:$Q$1001&lt;&gt;"")*ISNUMBER(SEARCH(실물목록!$Q$2:$Q$1001,I1878))*(실물목록!$R$2:$R$1001="")*(실물목록!$O$2:$O$1001&lt;&gt;"")*(실물목록!$O$2:$O$1001=H1878)))</f>
      </c>
      <c r="H1878" t="str">
        <f>IFERROR(IF(AND(LEN(SUBSTITUTE(SUBSTITUTE(SUBSTITUTE(TRIM(A1878&amp;""),CHAR(160),"")," ",""),"년",""))=4,VALUE(SUBSTITUTE(SUBSTITUTE(SUBSTITUTE(TRIM(A1878&amp;""),CHAR(160),"")," ",""),"년",""))&gt;=1900,VALUE(SUBSTITUTE(SUBSTITUTE(SUBSTITUTE(TRIM(A1878&amp;""),CHAR(160),"")," ",""),"년",""))&lt;=2099,TEXT(VALUE(SUBSTITUTE(SUBSTITUTE(SUBSTITUTE(TRIM(A1878&amp;""),CHAR(160),"")," ",""),"년","")),"0000")=SUBSTITUTE(SUBSTITUTE(SUBSTITUTE(TRIM(A1878&amp;""),CHAR(160),"")," ",""),"년","")),SUBSTITUTE(SUBSTITUTE(SUBSTITUTE(TRIM(A1878&amp;""),CHAR(160),"")," ",""),"년",""),""),"")</f>
      </c>
      <c r="I1878" t="str">
        <f>SUBSTITUTE(SUBSTITUTE(SUBSTITUTE(SUBSTITUTE(SUBSTITUTE(TRIM(B1878&amp;""),CHAR(160),"")," ",""),"초등학교","초"),"중학교","중"),"고등학교","고")</f>
      </c>
    </row>
    <row r="1879" customFormat="false" ht="15" hidden="false" customHeight="false" outlineLevel="0" collapsed="false">
      <c r="A1879" s="8"/>
      <c r="B1879" s="8"/>
      <c r="C1879" s="8"/>
      <c r="D1879" s="8"/>
      <c r="E1879" s="8"/>
      <c r="F1879" t="str" s="15">
        <f aca="0">IF(B1879="","",IF(H1879="","확인필요(입력누락)",IF(SUMPRODUCT((실물목록!$P$2:$P$1001&lt;&gt;"")*ISNUMBER(SEARCH(실물목록!$P$2:$P$1001,I1879))*(실물목록!$Q$2:$Q$1001&lt;&gt;"")*ISNUMBER(SEARCH(실물목록!$Q$2:$Q$1001,I1879))*(실물목록!$R$2:$R$1001="")*(실물목록!$O$2:$O$1001&lt;&gt;"")*(실물목록!$O$2:$O$1001=H1879))&gt;0,"실물 있음",IF(SUMPRODUCT((실물목록!$P$2:$P$1001&lt;&gt;"")*ISNUMBER(SEARCH(실물목록!$P$2:$P$1001,I1879))*(실물목록!$R$2:$R$1001&lt;&gt;""))&gt;0,"확인필요(입력누락)",IF(SUMPRODUCT((실물목록!$P$2:$P$1001&lt;&gt;"")*ISNUMBER(SEARCH(실물목록!$P$2:$P$1001,I1879))*(실물목록!$Q$2:$Q$1001&lt;&gt;"")*ISNUMBER(SEARCH(실물목록!$Q$2:$Q$1001,I1879))*(실물목록!$R$2:$R$1001="")*(실물목록!$O$2:$O$1001&lt;&gt;""))&gt;0,"확인필요(연도다름)","실물 없음")))))</f>
      </c>
      <c r="G1879" t="n" s="16">
        <f aca="0">IF(B1879="","",SUMPRODUCT((실물목록!$P$2:$P$1001&lt;&gt;"")*ISNUMBER(SEARCH(실물목록!$P$2:$P$1001,I1879))*(실물목록!$Q$2:$Q$1001&lt;&gt;"")*ISNUMBER(SEARCH(실물목록!$Q$2:$Q$1001,I1879))*(실물목록!$R$2:$R$1001="")*(실물목록!$O$2:$O$1001&lt;&gt;"")*(실물목록!$O$2:$O$1001=H1879)))</f>
      </c>
      <c r="H1879" t="str">
        <f>IFERROR(IF(AND(LEN(SUBSTITUTE(SUBSTITUTE(SUBSTITUTE(TRIM(A1879&amp;""),CHAR(160),"")," ",""),"년",""))=4,VALUE(SUBSTITUTE(SUBSTITUTE(SUBSTITUTE(TRIM(A1879&amp;""),CHAR(160),"")," ",""),"년",""))&gt;=1900,VALUE(SUBSTITUTE(SUBSTITUTE(SUBSTITUTE(TRIM(A1879&amp;""),CHAR(160),"")," ",""),"년",""))&lt;=2099,TEXT(VALUE(SUBSTITUTE(SUBSTITUTE(SUBSTITUTE(TRIM(A1879&amp;""),CHAR(160),"")," ",""),"년","")),"0000")=SUBSTITUTE(SUBSTITUTE(SUBSTITUTE(TRIM(A1879&amp;""),CHAR(160),"")," ",""),"년","")),SUBSTITUTE(SUBSTITUTE(SUBSTITUTE(TRIM(A1879&amp;""),CHAR(160),"")," ",""),"년",""),""),"")</f>
      </c>
      <c r="I1879" t="str">
        <f>SUBSTITUTE(SUBSTITUTE(SUBSTITUTE(SUBSTITUTE(SUBSTITUTE(TRIM(B1879&amp;""),CHAR(160),"")," ",""),"초등학교","초"),"중학교","중"),"고등학교","고")</f>
      </c>
    </row>
    <row r="1880" customFormat="false" ht="15" hidden="false" customHeight="false" outlineLevel="0" collapsed="false">
      <c r="A1880" s="8"/>
      <c r="B1880" s="8"/>
      <c r="C1880" s="8"/>
      <c r="D1880" s="8"/>
      <c r="E1880" s="8"/>
      <c r="F1880" t="str" s="15">
        <f aca="0">IF(B1880="","",IF(H1880="","확인필요(입력누락)",IF(SUMPRODUCT((실물목록!$P$2:$P$1001&lt;&gt;"")*ISNUMBER(SEARCH(실물목록!$P$2:$P$1001,I1880))*(실물목록!$Q$2:$Q$1001&lt;&gt;"")*ISNUMBER(SEARCH(실물목록!$Q$2:$Q$1001,I1880))*(실물목록!$R$2:$R$1001="")*(실물목록!$O$2:$O$1001&lt;&gt;"")*(실물목록!$O$2:$O$1001=H1880))&gt;0,"실물 있음",IF(SUMPRODUCT((실물목록!$P$2:$P$1001&lt;&gt;"")*ISNUMBER(SEARCH(실물목록!$P$2:$P$1001,I1880))*(실물목록!$R$2:$R$1001&lt;&gt;""))&gt;0,"확인필요(입력누락)",IF(SUMPRODUCT((실물목록!$P$2:$P$1001&lt;&gt;"")*ISNUMBER(SEARCH(실물목록!$P$2:$P$1001,I1880))*(실물목록!$Q$2:$Q$1001&lt;&gt;"")*ISNUMBER(SEARCH(실물목록!$Q$2:$Q$1001,I1880))*(실물목록!$R$2:$R$1001="")*(실물목록!$O$2:$O$1001&lt;&gt;""))&gt;0,"확인필요(연도다름)","실물 없음")))))</f>
      </c>
      <c r="G1880" t="n" s="16">
        <f aca="0">IF(B1880="","",SUMPRODUCT((실물목록!$P$2:$P$1001&lt;&gt;"")*ISNUMBER(SEARCH(실물목록!$P$2:$P$1001,I1880))*(실물목록!$Q$2:$Q$1001&lt;&gt;"")*ISNUMBER(SEARCH(실물목록!$Q$2:$Q$1001,I1880))*(실물목록!$R$2:$R$1001="")*(실물목록!$O$2:$O$1001&lt;&gt;"")*(실물목록!$O$2:$O$1001=H1880)))</f>
      </c>
      <c r="H1880" t="str">
        <f>IFERROR(IF(AND(LEN(SUBSTITUTE(SUBSTITUTE(SUBSTITUTE(TRIM(A1880&amp;""),CHAR(160),"")," ",""),"년",""))=4,VALUE(SUBSTITUTE(SUBSTITUTE(SUBSTITUTE(TRIM(A1880&amp;""),CHAR(160),"")," ",""),"년",""))&gt;=1900,VALUE(SUBSTITUTE(SUBSTITUTE(SUBSTITUTE(TRIM(A1880&amp;""),CHAR(160),"")," ",""),"년",""))&lt;=2099,TEXT(VALUE(SUBSTITUTE(SUBSTITUTE(SUBSTITUTE(TRIM(A1880&amp;""),CHAR(160),"")," ",""),"년","")),"0000")=SUBSTITUTE(SUBSTITUTE(SUBSTITUTE(TRIM(A1880&amp;""),CHAR(160),"")," ",""),"년","")),SUBSTITUTE(SUBSTITUTE(SUBSTITUTE(TRIM(A1880&amp;""),CHAR(160),"")," ",""),"년",""),""),"")</f>
      </c>
      <c r="I1880" t="str">
        <f>SUBSTITUTE(SUBSTITUTE(SUBSTITUTE(SUBSTITUTE(SUBSTITUTE(TRIM(B1880&amp;""),CHAR(160),"")," ",""),"초등학교","초"),"중학교","중"),"고등학교","고")</f>
      </c>
    </row>
    <row r="1881" customFormat="false" ht="15" hidden="false" customHeight="false" outlineLevel="0" collapsed="false">
      <c r="A1881" s="8"/>
      <c r="B1881" s="8"/>
      <c r="C1881" s="8"/>
      <c r="D1881" s="8"/>
      <c r="E1881" s="8"/>
      <c r="F1881" t="str" s="15">
        <f aca="0">IF(B1881="","",IF(H1881="","확인필요(입력누락)",IF(SUMPRODUCT((실물목록!$P$2:$P$1001&lt;&gt;"")*ISNUMBER(SEARCH(실물목록!$P$2:$P$1001,I1881))*(실물목록!$Q$2:$Q$1001&lt;&gt;"")*ISNUMBER(SEARCH(실물목록!$Q$2:$Q$1001,I1881))*(실물목록!$R$2:$R$1001="")*(실물목록!$O$2:$O$1001&lt;&gt;"")*(실물목록!$O$2:$O$1001=H1881))&gt;0,"실물 있음",IF(SUMPRODUCT((실물목록!$P$2:$P$1001&lt;&gt;"")*ISNUMBER(SEARCH(실물목록!$P$2:$P$1001,I1881))*(실물목록!$R$2:$R$1001&lt;&gt;""))&gt;0,"확인필요(입력누락)",IF(SUMPRODUCT((실물목록!$P$2:$P$1001&lt;&gt;"")*ISNUMBER(SEARCH(실물목록!$P$2:$P$1001,I1881))*(실물목록!$Q$2:$Q$1001&lt;&gt;"")*ISNUMBER(SEARCH(실물목록!$Q$2:$Q$1001,I1881))*(실물목록!$R$2:$R$1001="")*(실물목록!$O$2:$O$1001&lt;&gt;""))&gt;0,"확인필요(연도다름)","실물 없음")))))</f>
      </c>
      <c r="G1881" t="n" s="16">
        <f aca="0">IF(B1881="","",SUMPRODUCT((실물목록!$P$2:$P$1001&lt;&gt;"")*ISNUMBER(SEARCH(실물목록!$P$2:$P$1001,I1881))*(실물목록!$Q$2:$Q$1001&lt;&gt;"")*ISNUMBER(SEARCH(실물목록!$Q$2:$Q$1001,I1881))*(실물목록!$R$2:$R$1001="")*(실물목록!$O$2:$O$1001&lt;&gt;"")*(실물목록!$O$2:$O$1001=H1881)))</f>
      </c>
      <c r="H1881" t="str">
        <f>IFERROR(IF(AND(LEN(SUBSTITUTE(SUBSTITUTE(SUBSTITUTE(TRIM(A1881&amp;""),CHAR(160),"")," ",""),"년",""))=4,VALUE(SUBSTITUTE(SUBSTITUTE(SUBSTITUTE(TRIM(A1881&amp;""),CHAR(160),"")," ",""),"년",""))&gt;=1900,VALUE(SUBSTITUTE(SUBSTITUTE(SUBSTITUTE(TRIM(A1881&amp;""),CHAR(160),"")," ",""),"년",""))&lt;=2099,TEXT(VALUE(SUBSTITUTE(SUBSTITUTE(SUBSTITUTE(TRIM(A1881&amp;""),CHAR(160),"")," ",""),"년","")),"0000")=SUBSTITUTE(SUBSTITUTE(SUBSTITUTE(TRIM(A1881&amp;""),CHAR(160),"")," ",""),"년","")),SUBSTITUTE(SUBSTITUTE(SUBSTITUTE(TRIM(A1881&amp;""),CHAR(160),"")," ",""),"년",""),""),"")</f>
      </c>
      <c r="I1881" t="str">
        <f>SUBSTITUTE(SUBSTITUTE(SUBSTITUTE(SUBSTITUTE(SUBSTITUTE(TRIM(B1881&amp;""),CHAR(160),"")," ",""),"초등학교","초"),"중학교","중"),"고등학교","고")</f>
      </c>
    </row>
    <row r="1882" customFormat="false" ht="15" hidden="false" customHeight="false" outlineLevel="0" collapsed="false">
      <c r="A1882" s="8"/>
      <c r="B1882" s="8"/>
      <c r="C1882" s="8"/>
      <c r="D1882" s="8"/>
      <c r="E1882" s="8"/>
      <c r="F1882" t="str" s="15">
        <f aca="0">IF(B1882="","",IF(H1882="","확인필요(입력누락)",IF(SUMPRODUCT((실물목록!$P$2:$P$1001&lt;&gt;"")*ISNUMBER(SEARCH(실물목록!$P$2:$P$1001,I1882))*(실물목록!$Q$2:$Q$1001&lt;&gt;"")*ISNUMBER(SEARCH(실물목록!$Q$2:$Q$1001,I1882))*(실물목록!$R$2:$R$1001="")*(실물목록!$O$2:$O$1001&lt;&gt;"")*(실물목록!$O$2:$O$1001=H1882))&gt;0,"실물 있음",IF(SUMPRODUCT((실물목록!$P$2:$P$1001&lt;&gt;"")*ISNUMBER(SEARCH(실물목록!$P$2:$P$1001,I1882))*(실물목록!$R$2:$R$1001&lt;&gt;""))&gt;0,"확인필요(입력누락)",IF(SUMPRODUCT((실물목록!$P$2:$P$1001&lt;&gt;"")*ISNUMBER(SEARCH(실물목록!$P$2:$P$1001,I1882))*(실물목록!$Q$2:$Q$1001&lt;&gt;"")*ISNUMBER(SEARCH(실물목록!$Q$2:$Q$1001,I1882))*(실물목록!$R$2:$R$1001="")*(실물목록!$O$2:$O$1001&lt;&gt;""))&gt;0,"확인필요(연도다름)","실물 없음")))))</f>
      </c>
      <c r="G1882" t="n" s="16">
        <f aca="0">IF(B1882="","",SUMPRODUCT((실물목록!$P$2:$P$1001&lt;&gt;"")*ISNUMBER(SEARCH(실물목록!$P$2:$P$1001,I1882))*(실물목록!$Q$2:$Q$1001&lt;&gt;"")*ISNUMBER(SEARCH(실물목록!$Q$2:$Q$1001,I1882))*(실물목록!$R$2:$R$1001="")*(실물목록!$O$2:$O$1001&lt;&gt;"")*(실물목록!$O$2:$O$1001=H1882)))</f>
      </c>
      <c r="H1882" t="str">
        <f>IFERROR(IF(AND(LEN(SUBSTITUTE(SUBSTITUTE(SUBSTITUTE(TRIM(A1882&amp;""),CHAR(160),"")," ",""),"년",""))=4,VALUE(SUBSTITUTE(SUBSTITUTE(SUBSTITUTE(TRIM(A1882&amp;""),CHAR(160),"")," ",""),"년",""))&gt;=1900,VALUE(SUBSTITUTE(SUBSTITUTE(SUBSTITUTE(TRIM(A1882&amp;""),CHAR(160),"")," ",""),"년",""))&lt;=2099,TEXT(VALUE(SUBSTITUTE(SUBSTITUTE(SUBSTITUTE(TRIM(A1882&amp;""),CHAR(160),"")," ",""),"년","")),"0000")=SUBSTITUTE(SUBSTITUTE(SUBSTITUTE(TRIM(A1882&amp;""),CHAR(160),"")," ",""),"년","")),SUBSTITUTE(SUBSTITUTE(SUBSTITUTE(TRIM(A1882&amp;""),CHAR(160),"")," ",""),"년",""),""),"")</f>
      </c>
      <c r="I1882" t="str">
        <f>SUBSTITUTE(SUBSTITUTE(SUBSTITUTE(SUBSTITUTE(SUBSTITUTE(TRIM(B1882&amp;""),CHAR(160),"")," ",""),"초등학교","초"),"중학교","중"),"고등학교","고")</f>
      </c>
    </row>
    <row r="1883" customFormat="false" ht="15" hidden="false" customHeight="false" outlineLevel="0" collapsed="false">
      <c r="A1883" s="8"/>
      <c r="B1883" s="8"/>
      <c r="C1883" s="8"/>
      <c r="D1883" s="8"/>
      <c r="E1883" s="8"/>
      <c r="F1883" t="str" s="15">
        <f aca="0">IF(B1883="","",IF(H1883="","확인필요(입력누락)",IF(SUMPRODUCT((실물목록!$P$2:$P$1001&lt;&gt;"")*ISNUMBER(SEARCH(실물목록!$P$2:$P$1001,I1883))*(실물목록!$Q$2:$Q$1001&lt;&gt;"")*ISNUMBER(SEARCH(실물목록!$Q$2:$Q$1001,I1883))*(실물목록!$R$2:$R$1001="")*(실물목록!$O$2:$O$1001&lt;&gt;"")*(실물목록!$O$2:$O$1001=H1883))&gt;0,"실물 있음",IF(SUMPRODUCT((실물목록!$P$2:$P$1001&lt;&gt;"")*ISNUMBER(SEARCH(실물목록!$P$2:$P$1001,I1883))*(실물목록!$R$2:$R$1001&lt;&gt;""))&gt;0,"확인필요(입력누락)",IF(SUMPRODUCT((실물목록!$P$2:$P$1001&lt;&gt;"")*ISNUMBER(SEARCH(실물목록!$P$2:$P$1001,I1883))*(실물목록!$Q$2:$Q$1001&lt;&gt;"")*ISNUMBER(SEARCH(실물목록!$Q$2:$Q$1001,I1883))*(실물목록!$R$2:$R$1001="")*(실물목록!$O$2:$O$1001&lt;&gt;""))&gt;0,"확인필요(연도다름)","실물 없음")))))</f>
      </c>
      <c r="G1883" t="n" s="16">
        <f aca="0">IF(B1883="","",SUMPRODUCT((실물목록!$P$2:$P$1001&lt;&gt;"")*ISNUMBER(SEARCH(실물목록!$P$2:$P$1001,I1883))*(실물목록!$Q$2:$Q$1001&lt;&gt;"")*ISNUMBER(SEARCH(실물목록!$Q$2:$Q$1001,I1883))*(실물목록!$R$2:$R$1001="")*(실물목록!$O$2:$O$1001&lt;&gt;"")*(실물목록!$O$2:$O$1001=H1883)))</f>
      </c>
      <c r="H1883" t="str">
        <f>IFERROR(IF(AND(LEN(SUBSTITUTE(SUBSTITUTE(SUBSTITUTE(TRIM(A1883&amp;""),CHAR(160),"")," ",""),"년",""))=4,VALUE(SUBSTITUTE(SUBSTITUTE(SUBSTITUTE(TRIM(A1883&amp;""),CHAR(160),"")," ",""),"년",""))&gt;=1900,VALUE(SUBSTITUTE(SUBSTITUTE(SUBSTITUTE(TRIM(A1883&amp;""),CHAR(160),"")," ",""),"년",""))&lt;=2099,TEXT(VALUE(SUBSTITUTE(SUBSTITUTE(SUBSTITUTE(TRIM(A1883&amp;""),CHAR(160),"")," ",""),"년","")),"0000")=SUBSTITUTE(SUBSTITUTE(SUBSTITUTE(TRIM(A1883&amp;""),CHAR(160),"")," ",""),"년","")),SUBSTITUTE(SUBSTITUTE(SUBSTITUTE(TRIM(A1883&amp;""),CHAR(160),"")," ",""),"년",""),""),"")</f>
      </c>
      <c r="I1883" t="str">
        <f>SUBSTITUTE(SUBSTITUTE(SUBSTITUTE(SUBSTITUTE(SUBSTITUTE(TRIM(B1883&amp;""),CHAR(160),"")," ",""),"초등학교","초"),"중학교","중"),"고등학교","고")</f>
      </c>
    </row>
    <row r="1884" customFormat="false" ht="15" hidden="false" customHeight="false" outlineLevel="0" collapsed="false">
      <c r="A1884" s="8"/>
      <c r="B1884" s="8"/>
      <c r="C1884" s="8"/>
      <c r="D1884" s="8"/>
      <c r="E1884" s="8"/>
      <c r="F1884" t="str" s="15">
        <f aca="0">IF(B1884="","",IF(H1884="","확인필요(입력누락)",IF(SUMPRODUCT((실물목록!$P$2:$P$1001&lt;&gt;"")*ISNUMBER(SEARCH(실물목록!$P$2:$P$1001,I1884))*(실물목록!$Q$2:$Q$1001&lt;&gt;"")*ISNUMBER(SEARCH(실물목록!$Q$2:$Q$1001,I1884))*(실물목록!$R$2:$R$1001="")*(실물목록!$O$2:$O$1001&lt;&gt;"")*(실물목록!$O$2:$O$1001=H1884))&gt;0,"실물 있음",IF(SUMPRODUCT((실물목록!$P$2:$P$1001&lt;&gt;"")*ISNUMBER(SEARCH(실물목록!$P$2:$P$1001,I1884))*(실물목록!$R$2:$R$1001&lt;&gt;""))&gt;0,"확인필요(입력누락)",IF(SUMPRODUCT((실물목록!$P$2:$P$1001&lt;&gt;"")*ISNUMBER(SEARCH(실물목록!$P$2:$P$1001,I1884))*(실물목록!$Q$2:$Q$1001&lt;&gt;"")*ISNUMBER(SEARCH(실물목록!$Q$2:$Q$1001,I1884))*(실물목록!$R$2:$R$1001="")*(실물목록!$O$2:$O$1001&lt;&gt;""))&gt;0,"확인필요(연도다름)","실물 없음")))))</f>
      </c>
      <c r="G1884" t="n" s="16">
        <f aca="0">IF(B1884="","",SUMPRODUCT((실물목록!$P$2:$P$1001&lt;&gt;"")*ISNUMBER(SEARCH(실물목록!$P$2:$P$1001,I1884))*(실물목록!$Q$2:$Q$1001&lt;&gt;"")*ISNUMBER(SEARCH(실물목록!$Q$2:$Q$1001,I1884))*(실물목록!$R$2:$R$1001="")*(실물목록!$O$2:$O$1001&lt;&gt;"")*(실물목록!$O$2:$O$1001=H1884)))</f>
      </c>
      <c r="H1884" t="str">
        <f>IFERROR(IF(AND(LEN(SUBSTITUTE(SUBSTITUTE(SUBSTITUTE(TRIM(A1884&amp;""),CHAR(160),"")," ",""),"년",""))=4,VALUE(SUBSTITUTE(SUBSTITUTE(SUBSTITUTE(TRIM(A1884&amp;""),CHAR(160),"")," ",""),"년",""))&gt;=1900,VALUE(SUBSTITUTE(SUBSTITUTE(SUBSTITUTE(TRIM(A1884&amp;""),CHAR(160),"")," ",""),"년",""))&lt;=2099,TEXT(VALUE(SUBSTITUTE(SUBSTITUTE(SUBSTITUTE(TRIM(A1884&amp;""),CHAR(160),"")," ",""),"년","")),"0000")=SUBSTITUTE(SUBSTITUTE(SUBSTITUTE(TRIM(A1884&amp;""),CHAR(160),"")," ",""),"년","")),SUBSTITUTE(SUBSTITUTE(SUBSTITUTE(TRIM(A1884&amp;""),CHAR(160),"")," ",""),"년",""),""),"")</f>
      </c>
      <c r="I1884" t="str">
        <f>SUBSTITUTE(SUBSTITUTE(SUBSTITUTE(SUBSTITUTE(SUBSTITUTE(TRIM(B1884&amp;""),CHAR(160),"")," ",""),"초등학교","초"),"중학교","중"),"고등학교","고")</f>
      </c>
    </row>
    <row r="1885" customFormat="false" ht="15" hidden="false" customHeight="false" outlineLevel="0" collapsed="false">
      <c r="A1885" s="8"/>
      <c r="B1885" s="8"/>
      <c r="C1885" s="8"/>
      <c r="D1885" s="8"/>
      <c r="E1885" s="8"/>
      <c r="F1885" t="str" s="15">
        <f aca="0">IF(B1885="","",IF(H1885="","확인필요(입력누락)",IF(SUMPRODUCT((실물목록!$P$2:$P$1001&lt;&gt;"")*ISNUMBER(SEARCH(실물목록!$P$2:$P$1001,I1885))*(실물목록!$Q$2:$Q$1001&lt;&gt;"")*ISNUMBER(SEARCH(실물목록!$Q$2:$Q$1001,I1885))*(실물목록!$R$2:$R$1001="")*(실물목록!$O$2:$O$1001&lt;&gt;"")*(실물목록!$O$2:$O$1001=H1885))&gt;0,"실물 있음",IF(SUMPRODUCT((실물목록!$P$2:$P$1001&lt;&gt;"")*ISNUMBER(SEARCH(실물목록!$P$2:$P$1001,I1885))*(실물목록!$R$2:$R$1001&lt;&gt;""))&gt;0,"확인필요(입력누락)",IF(SUMPRODUCT((실물목록!$P$2:$P$1001&lt;&gt;"")*ISNUMBER(SEARCH(실물목록!$P$2:$P$1001,I1885))*(실물목록!$Q$2:$Q$1001&lt;&gt;"")*ISNUMBER(SEARCH(실물목록!$Q$2:$Q$1001,I1885))*(실물목록!$R$2:$R$1001="")*(실물목록!$O$2:$O$1001&lt;&gt;""))&gt;0,"확인필요(연도다름)","실물 없음")))))</f>
      </c>
      <c r="G1885" t="n" s="16">
        <f aca="0">IF(B1885="","",SUMPRODUCT((실물목록!$P$2:$P$1001&lt;&gt;"")*ISNUMBER(SEARCH(실물목록!$P$2:$P$1001,I1885))*(실물목록!$Q$2:$Q$1001&lt;&gt;"")*ISNUMBER(SEARCH(실물목록!$Q$2:$Q$1001,I1885))*(실물목록!$R$2:$R$1001="")*(실물목록!$O$2:$O$1001&lt;&gt;"")*(실물목록!$O$2:$O$1001=H1885)))</f>
      </c>
      <c r="H1885" t="str">
        <f>IFERROR(IF(AND(LEN(SUBSTITUTE(SUBSTITUTE(SUBSTITUTE(TRIM(A1885&amp;""),CHAR(160),"")," ",""),"년",""))=4,VALUE(SUBSTITUTE(SUBSTITUTE(SUBSTITUTE(TRIM(A1885&amp;""),CHAR(160),"")," ",""),"년",""))&gt;=1900,VALUE(SUBSTITUTE(SUBSTITUTE(SUBSTITUTE(TRIM(A1885&amp;""),CHAR(160),"")," ",""),"년",""))&lt;=2099,TEXT(VALUE(SUBSTITUTE(SUBSTITUTE(SUBSTITUTE(TRIM(A1885&amp;""),CHAR(160),"")," ",""),"년","")),"0000")=SUBSTITUTE(SUBSTITUTE(SUBSTITUTE(TRIM(A1885&amp;""),CHAR(160),"")," ",""),"년","")),SUBSTITUTE(SUBSTITUTE(SUBSTITUTE(TRIM(A1885&amp;""),CHAR(160),"")," ",""),"년",""),""),"")</f>
      </c>
      <c r="I1885" t="str">
        <f>SUBSTITUTE(SUBSTITUTE(SUBSTITUTE(SUBSTITUTE(SUBSTITUTE(TRIM(B1885&amp;""),CHAR(160),"")," ",""),"초등학교","초"),"중학교","중"),"고등학교","고")</f>
      </c>
    </row>
    <row r="1886" customFormat="false" ht="15" hidden="false" customHeight="false" outlineLevel="0" collapsed="false">
      <c r="A1886" s="8"/>
      <c r="B1886" s="8"/>
      <c r="C1886" s="8"/>
      <c r="D1886" s="8"/>
      <c r="E1886" s="8"/>
      <c r="F1886" t="str" s="15">
        <f aca="0">IF(B1886="","",IF(H1886="","확인필요(입력누락)",IF(SUMPRODUCT((실물목록!$P$2:$P$1001&lt;&gt;"")*ISNUMBER(SEARCH(실물목록!$P$2:$P$1001,I1886))*(실물목록!$Q$2:$Q$1001&lt;&gt;"")*ISNUMBER(SEARCH(실물목록!$Q$2:$Q$1001,I1886))*(실물목록!$R$2:$R$1001="")*(실물목록!$O$2:$O$1001&lt;&gt;"")*(실물목록!$O$2:$O$1001=H1886))&gt;0,"실물 있음",IF(SUMPRODUCT((실물목록!$P$2:$P$1001&lt;&gt;"")*ISNUMBER(SEARCH(실물목록!$P$2:$P$1001,I1886))*(실물목록!$R$2:$R$1001&lt;&gt;""))&gt;0,"확인필요(입력누락)",IF(SUMPRODUCT((실물목록!$P$2:$P$1001&lt;&gt;"")*ISNUMBER(SEARCH(실물목록!$P$2:$P$1001,I1886))*(실물목록!$Q$2:$Q$1001&lt;&gt;"")*ISNUMBER(SEARCH(실물목록!$Q$2:$Q$1001,I1886))*(실물목록!$R$2:$R$1001="")*(실물목록!$O$2:$O$1001&lt;&gt;""))&gt;0,"확인필요(연도다름)","실물 없음")))))</f>
      </c>
      <c r="G1886" t="n" s="16">
        <f aca="0">IF(B1886="","",SUMPRODUCT((실물목록!$P$2:$P$1001&lt;&gt;"")*ISNUMBER(SEARCH(실물목록!$P$2:$P$1001,I1886))*(실물목록!$Q$2:$Q$1001&lt;&gt;"")*ISNUMBER(SEARCH(실물목록!$Q$2:$Q$1001,I1886))*(실물목록!$R$2:$R$1001="")*(실물목록!$O$2:$O$1001&lt;&gt;"")*(실물목록!$O$2:$O$1001=H1886)))</f>
      </c>
      <c r="H1886" t="str">
        <f>IFERROR(IF(AND(LEN(SUBSTITUTE(SUBSTITUTE(SUBSTITUTE(TRIM(A1886&amp;""),CHAR(160),"")," ",""),"년",""))=4,VALUE(SUBSTITUTE(SUBSTITUTE(SUBSTITUTE(TRIM(A1886&amp;""),CHAR(160),"")," ",""),"년",""))&gt;=1900,VALUE(SUBSTITUTE(SUBSTITUTE(SUBSTITUTE(TRIM(A1886&amp;""),CHAR(160),"")," ",""),"년",""))&lt;=2099,TEXT(VALUE(SUBSTITUTE(SUBSTITUTE(SUBSTITUTE(TRIM(A1886&amp;""),CHAR(160),"")," ",""),"년","")),"0000")=SUBSTITUTE(SUBSTITUTE(SUBSTITUTE(TRIM(A1886&amp;""),CHAR(160),"")," ",""),"년","")),SUBSTITUTE(SUBSTITUTE(SUBSTITUTE(TRIM(A1886&amp;""),CHAR(160),"")," ",""),"년",""),""),"")</f>
      </c>
      <c r="I1886" t="str">
        <f>SUBSTITUTE(SUBSTITUTE(SUBSTITUTE(SUBSTITUTE(SUBSTITUTE(TRIM(B1886&amp;""),CHAR(160),"")," ",""),"초등학교","초"),"중학교","중"),"고등학교","고")</f>
      </c>
    </row>
    <row r="1887" customFormat="false" ht="15" hidden="false" customHeight="false" outlineLevel="0" collapsed="false">
      <c r="A1887" s="8"/>
      <c r="B1887" s="8"/>
      <c r="C1887" s="8"/>
      <c r="D1887" s="8"/>
      <c r="E1887" s="8"/>
      <c r="F1887" t="str" s="15">
        <f aca="0">IF(B1887="","",IF(H1887="","확인필요(입력누락)",IF(SUMPRODUCT((실물목록!$P$2:$P$1001&lt;&gt;"")*ISNUMBER(SEARCH(실물목록!$P$2:$P$1001,I1887))*(실물목록!$Q$2:$Q$1001&lt;&gt;"")*ISNUMBER(SEARCH(실물목록!$Q$2:$Q$1001,I1887))*(실물목록!$R$2:$R$1001="")*(실물목록!$O$2:$O$1001&lt;&gt;"")*(실물목록!$O$2:$O$1001=H1887))&gt;0,"실물 있음",IF(SUMPRODUCT((실물목록!$P$2:$P$1001&lt;&gt;"")*ISNUMBER(SEARCH(실물목록!$P$2:$P$1001,I1887))*(실물목록!$R$2:$R$1001&lt;&gt;""))&gt;0,"확인필요(입력누락)",IF(SUMPRODUCT((실물목록!$P$2:$P$1001&lt;&gt;"")*ISNUMBER(SEARCH(실물목록!$P$2:$P$1001,I1887))*(실물목록!$Q$2:$Q$1001&lt;&gt;"")*ISNUMBER(SEARCH(실물목록!$Q$2:$Q$1001,I1887))*(실물목록!$R$2:$R$1001="")*(실물목록!$O$2:$O$1001&lt;&gt;""))&gt;0,"확인필요(연도다름)","실물 없음")))))</f>
      </c>
      <c r="G1887" t="n" s="16">
        <f aca="0">IF(B1887="","",SUMPRODUCT((실물목록!$P$2:$P$1001&lt;&gt;"")*ISNUMBER(SEARCH(실물목록!$P$2:$P$1001,I1887))*(실물목록!$Q$2:$Q$1001&lt;&gt;"")*ISNUMBER(SEARCH(실물목록!$Q$2:$Q$1001,I1887))*(실물목록!$R$2:$R$1001="")*(실물목록!$O$2:$O$1001&lt;&gt;"")*(실물목록!$O$2:$O$1001=H1887)))</f>
      </c>
      <c r="H1887" t="str">
        <f>IFERROR(IF(AND(LEN(SUBSTITUTE(SUBSTITUTE(SUBSTITUTE(TRIM(A1887&amp;""),CHAR(160),"")," ",""),"년",""))=4,VALUE(SUBSTITUTE(SUBSTITUTE(SUBSTITUTE(TRIM(A1887&amp;""),CHAR(160),"")," ",""),"년",""))&gt;=1900,VALUE(SUBSTITUTE(SUBSTITUTE(SUBSTITUTE(TRIM(A1887&amp;""),CHAR(160),"")," ",""),"년",""))&lt;=2099,TEXT(VALUE(SUBSTITUTE(SUBSTITUTE(SUBSTITUTE(TRIM(A1887&amp;""),CHAR(160),"")," ",""),"년","")),"0000")=SUBSTITUTE(SUBSTITUTE(SUBSTITUTE(TRIM(A1887&amp;""),CHAR(160),"")," ",""),"년","")),SUBSTITUTE(SUBSTITUTE(SUBSTITUTE(TRIM(A1887&amp;""),CHAR(160),"")," ",""),"년",""),""),"")</f>
      </c>
      <c r="I1887" t="str">
        <f>SUBSTITUTE(SUBSTITUTE(SUBSTITUTE(SUBSTITUTE(SUBSTITUTE(TRIM(B1887&amp;""),CHAR(160),"")," ",""),"초등학교","초"),"중학교","중"),"고등학교","고")</f>
      </c>
    </row>
    <row r="1888" customFormat="false" ht="15" hidden="false" customHeight="false" outlineLevel="0" collapsed="false">
      <c r="A1888" s="8"/>
      <c r="B1888" s="8"/>
      <c r="C1888" s="8"/>
      <c r="D1888" s="8"/>
      <c r="E1888" s="8"/>
      <c r="F1888" t="str" s="15">
        <f aca="0">IF(B1888="","",IF(H1888="","확인필요(입력누락)",IF(SUMPRODUCT((실물목록!$P$2:$P$1001&lt;&gt;"")*ISNUMBER(SEARCH(실물목록!$P$2:$P$1001,I1888))*(실물목록!$Q$2:$Q$1001&lt;&gt;"")*ISNUMBER(SEARCH(실물목록!$Q$2:$Q$1001,I1888))*(실물목록!$R$2:$R$1001="")*(실물목록!$O$2:$O$1001&lt;&gt;"")*(실물목록!$O$2:$O$1001=H1888))&gt;0,"실물 있음",IF(SUMPRODUCT((실물목록!$P$2:$P$1001&lt;&gt;"")*ISNUMBER(SEARCH(실물목록!$P$2:$P$1001,I1888))*(실물목록!$R$2:$R$1001&lt;&gt;""))&gt;0,"확인필요(입력누락)",IF(SUMPRODUCT((실물목록!$P$2:$P$1001&lt;&gt;"")*ISNUMBER(SEARCH(실물목록!$P$2:$P$1001,I1888))*(실물목록!$Q$2:$Q$1001&lt;&gt;"")*ISNUMBER(SEARCH(실물목록!$Q$2:$Q$1001,I1888))*(실물목록!$R$2:$R$1001="")*(실물목록!$O$2:$O$1001&lt;&gt;""))&gt;0,"확인필요(연도다름)","실물 없음")))))</f>
      </c>
      <c r="G1888" t="n" s="16">
        <f aca="0">IF(B1888="","",SUMPRODUCT((실물목록!$P$2:$P$1001&lt;&gt;"")*ISNUMBER(SEARCH(실물목록!$P$2:$P$1001,I1888))*(실물목록!$Q$2:$Q$1001&lt;&gt;"")*ISNUMBER(SEARCH(실물목록!$Q$2:$Q$1001,I1888))*(실물목록!$R$2:$R$1001="")*(실물목록!$O$2:$O$1001&lt;&gt;"")*(실물목록!$O$2:$O$1001=H1888)))</f>
      </c>
      <c r="H1888" t="str">
        <f>IFERROR(IF(AND(LEN(SUBSTITUTE(SUBSTITUTE(SUBSTITUTE(TRIM(A1888&amp;""),CHAR(160),"")," ",""),"년",""))=4,VALUE(SUBSTITUTE(SUBSTITUTE(SUBSTITUTE(TRIM(A1888&amp;""),CHAR(160),"")," ",""),"년",""))&gt;=1900,VALUE(SUBSTITUTE(SUBSTITUTE(SUBSTITUTE(TRIM(A1888&amp;""),CHAR(160),"")," ",""),"년",""))&lt;=2099,TEXT(VALUE(SUBSTITUTE(SUBSTITUTE(SUBSTITUTE(TRIM(A1888&amp;""),CHAR(160),"")," ",""),"년","")),"0000")=SUBSTITUTE(SUBSTITUTE(SUBSTITUTE(TRIM(A1888&amp;""),CHAR(160),"")," ",""),"년","")),SUBSTITUTE(SUBSTITUTE(SUBSTITUTE(TRIM(A1888&amp;""),CHAR(160),"")," ",""),"년",""),""),"")</f>
      </c>
      <c r="I1888" t="str">
        <f>SUBSTITUTE(SUBSTITUTE(SUBSTITUTE(SUBSTITUTE(SUBSTITUTE(TRIM(B1888&amp;""),CHAR(160),"")," ",""),"초등학교","초"),"중학교","중"),"고등학교","고")</f>
      </c>
    </row>
    <row r="1889" customFormat="false" ht="15" hidden="false" customHeight="false" outlineLevel="0" collapsed="false">
      <c r="A1889" s="8"/>
      <c r="B1889" s="8"/>
      <c r="C1889" s="8"/>
      <c r="D1889" s="8"/>
      <c r="E1889" s="8"/>
      <c r="F1889" t="str" s="15">
        <f aca="0">IF(B1889="","",IF(H1889="","확인필요(입력누락)",IF(SUMPRODUCT((실물목록!$P$2:$P$1001&lt;&gt;"")*ISNUMBER(SEARCH(실물목록!$P$2:$P$1001,I1889))*(실물목록!$Q$2:$Q$1001&lt;&gt;"")*ISNUMBER(SEARCH(실물목록!$Q$2:$Q$1001,I1889))*(실물목록!$R$2:$R$1001="")*(실물목록!$O$2:$O$1001&lt;&gt;"")*(실물목록!$O$2:$O$1001=H1889))&gt;0,"실물 있음",IF(SUMPRODUCT((실물목록!$P$2:$P$1001&lt;&gt;"")*ISNUMBER(SEARCH(실물목록!$P$2:$P$1001,I1889))*(실물목록!$R$2:$R$1001&lt;&gt;""))&gt;0,"확인필요(입력누락)",IF(SUMPRODUCT((실물목록!$P$2:$P$1001&lt;&gt;"")*ISNUMBER(SEARCH(실물목록!$P$2:$P$1001,I1889))*(실물목록!$Q$2:$Q$1001&lt;&gt;"")*ISNUMBER(SEARCH(실물목록!$Q$2:$Q$1001,I1889))*(실물목록!$R$2:$R$1001="")*(실물목록!$O$2:$O$1001&lt;&gt;""))&gt;0,"확인필요(연도다름)","실물 없음")))))</f>
      </c>
      <c r="G1889" t="n" s="16">
        <f aca="0">IF(B1889="","",SUMPRODUCT((실물목록!$P$2:$P$1001&lt;&gt;"")*ISNUMBER(SEARCH(실물목록!$P$2:$P$1001,I1889))*(실물목록!$Q$2:$Q$1001&lt;&gt;"")*ISNUMBER(SEARCH(실물목록!$Q$2:$Q$1001,I1889))*(실물목록!$R$2:$R$1001="")*(실물목록!$O$2:$O$1001&lt;&gt;"")*(실물목록!$O$2:$O$1001=H1889)))</f>
      </c>
      <c r="H1889" t="str">
        <f>IFERROR(IF(AND(LEN(SUBSTITUTE(SUBSTITUTE(SUBSTITUTE(TRIM(A1889&amp;""),CHAR(160),"")," ",""),"년",""))=4,VALUE(SUBSTITUTE(SUBSTITUTE(SUBSTITUTE(TRIM(A1889&amp;""),CHAR(160),"")," ",""),"년",""))&gt;=1900,VALUE(SUBSTITUTE(SUBSTITUTE(SUBSTITUTE(TRIM(A1889&amp;""),CHAR(160),"")," ",""),"년",""))&lt;=2099,TEXT(VALUE(SUBSTITUTE(SUBSTITUTE(SUBSTITUTE(TRIM(A1889&amp;""),CHAR(160),"")," ",""),"년","")),"0000")=SUBSTITUTE(SUBSTITUTE(SUBSTITUTE(TRIM(A1889&amp;""),CHAR(160),"")," ",""),"년","")),SUBSTITUTE(SUBSTITUTE(SUBSTITUTE(TRIM(A1889&amp;""),CHAR(160),"")," ",""),"년",""),""),"")</f>
      </c>
      <c r="I1889" t="str">
        <f>SUBSTITUTE(SUBSTITUTE(SUBSTITUTE(SUBSTITUTE(SUBSTITUTE(TRIM(B1889&amp;""),CHAR(160),"")," ",""),"초등학교","초"),"중학교","중"),"고등학교","고")</f>
      </c>
    </row>
    <row r="1890" customFormat="false" ht="15" hidden="false" customHeight="false" outlineLevel="0" collapsed="false">
      <c r="A1890" s="8"/>
      <c r="B1890" s="8"/>
      <c r="C1890" s="8"/>
      <c r="D1890" s="8"/>
      <c r="E1890" s="8"/>
      <c r="F1890" t="str" s="15">
        <f aca="0">IF(B1890="","",IF(H1890="","확인필요(입력누락)",IF(SUMPRODUCT((실물목록!$P$2:$P$1001&lt;&gt;"")*ISNUMBER(SEARCH(실물목록!$P$2:$P$1001,I1890))*(실물목록!$Q$2:$Q$1001&lt;&gt;"")*ISNUMBER(SEARCH(실물목록!$Q$2:$Q$1001,I1890))*(실물목록!$R$2:$R$1001="")*(실물목록!$O$2:$O$1001&lt;&gt;"")*(실물목록!$O$2:$O$1001=H1890))&gt;0,"실물 있음",IF(SUMPRODUCT((실물목록!$P$2:$P$1001&lt;&gt;"")*ISNUMBER(SEARCH(실물목록!$P$2:$P$1001,I1890))*(실물목록!$R$2:$R$1001&lt;&gt;""))&gt;0,"확인필요(입력누락)",IF(SUMPRODUCT((실물목록!$P$2:$P$1001&lt;&gt;"")*ISNUMBER(SEARCH(실물목록!$P$2:$P$1001,I1890))*(실물목록!$Q$2:$Q$1001&lt;&gt;"")*ISNUMBER(SEARCH(실물목록!$Q$2:$Q$1001,I1890))*(실물목록!$R$2:$R$1001="")*(실물목록!$O$2:$O$1001&lt;&gt;""))&gt;0,"확인필요(연도다름)","실물 없음")))))</f>
      </c>
      <c r="G1890" t="n" s="16">
        <f aca="0">IF(B1890="","",SUMPRODUCT((실물목록!$P$2:$P$1001&lt;&gt;"")*ISNUMBER(SEARCH(실물목록!$P$2:$P$1001,I1890))*(실물목록!$Q$2:$Q$1001&lt;&gt;"")*ISNUMBER(SEARCH(실물목록!$Q$2:$Q$1001,I1890))*(실물목록!$R$2:$R$1001="")*(실물목록!$O$2:$O$1001&lt;&gt;"")*(실물목록!$O$2:$O$1001=H1890)))</f>
      </c>
      <c r="H1890" t="str">
        <f>IFERROR(IF(AND(LEN(SUBSTITUTE(SUBSTITUTE(SUBSTITUTE(TRIM(A1890&amp;""),CHAR(160),"")," ",""),"년",""))=4,VALUE(SUBSTITUTE(SUBSTITUTE(SUBSTITUTE(TRIM(A1890&amp;""),CHAR(160),"")," ",""),"년",""))&gt;=1900,VALUE(SUBSTITUTE(SUBSTITUTE(SUBSTITUTE(TRIM(A1890&amp;""),CHAR(160),"")," ",""),"년",""))&lt;=2099,TEXT(VALUE(SUBSTITUTE(SUBSTITUTE(SUBSTITUTE(TRIM(A1890&amp;""),CHAR(160),"")," ",""),"년","")),"0000")=SUBSTITUTE(SUBSTITUTE(SUBSTITUTE(TRIM(A1890&amp;""),CHAR(160),"")," ",""),"년","")),SUBSTITUTE(SUBSTITUTE(SUBSTITUTE(TRIM(A1890&amp;""),CHAR(160),"")," ",""),"년",""),""),"")</f>
      </c>
      <c r="I1890" t="str">
        <f>SUBSTITUTE(SUBSTITUTE(SUBSTITUTE(SUBSTITUTE(SUBSTITUTE(TRIM(B1890&amp;""),CHAR(160),"")," ",""),"초등학교","초"),"중학교","중"),"고등학교","고")</f>
      </c>
    </row>
    <row r="1891" customFormat="false" ht="15" hidden="false" customHeight="false" outlineLevel="0" collapsed="false">
      <c r="A1891" s="8"/>
      <c r="B1891" s="8"/>
      <c r="C1891" s="8"/>
      <c r="D1891" s="8"/>
      <c r="E1891" s="8"/>
      <c r="F1891" t="str" s="15">
        <f aca="0">IF(B1891="","",IF(H1891="","확인필요(입력누락)",IF(SUMPRODUCT((실물목록!$P$2:$P$1001&lt;&gt;"")*ISNUMBER(SEARCH(실물목록!$P$2:$P$1001,I1891))*(실물목록!$Q$2:$Q$1001&lt;&gt;"")*ISNUMBER(SEARCH(실물목록!$Q$2:$Q$1001,I1891))*(실물목록!$R$2:$R$1001="")*(실물목록!$O$2:$O$1001&lt;&gt;"")*(실물목록!$O$2:$O$1001=H1891))&gt;0,"실물 있음",IF(SUMPRODUCT((실물목록!$P$2:$P$1001&lt;&gt;"")*ISNUMBER(SEARCH(실물목록!$P$2:$P$1001,I1891))*(실물목록!$R$2:$R$1001&lt;&gt;""))&gt;0,"확인필요(입력누락)",IF(SUMPRODUCT((실물목록!$P$2:$P$1001&lt;&gt;"")*ISNUMBER(SEARCH(실물목록!$P$2:$P$1001,I1891))*(실물목록!$Q$2:$Q$1001&lt;&gt;"")*ISNUMBER(SEARCH(실물목록!$Q$2:$Q$1001,I1891))*(실물목록!$R$2:$R$1001="")*(실물목록!$O$2:$O$1001&lt;&gt;""))&gt;0,"확인필요(연도다름)","실물 없음")))))</f>
      </c>
      <c r="G1891" t="n" s="16">
        <f aca="0">IF(B1891="","",SUMPRODUCT((실물목록!$P$2:$P$1001&lt;&gt;"")*ISNUMBER(SEARCH(실물목록!$P$2:$P$1001,I1891))*(실물목록!$Q$2:$Q$1001&lt;&gt;"")*ISNUMBER(SEARCH(실물목록!$Q$2:$Q$1001,I1891))*(실물목록!$R$2:$R$1001="")*(실물목록!$O$2:$O$1001&lt;&gt;"")*(실물목록!$O$2:$O$1001=H1891)))</f>
      </c>
      <c r="H1891" t="str">
        <f>IFERROR(IF(AND(LEN(SUBSTITUTE(SUBSTITUTE(SUBSTITUTE(TRIM(A1891&amp;""),CHAR(160),"")," ",""),"년",""))=4,VALUE(SUBSTITUTE(SUBSTITUTE(SUBSTITUTE(TRIM(A1891&amp;""),CHAR(160),"")," ",""),"년",""))&gt;=1900,VALUE(SUBSTITUTE(SUBSTITUTE(SUBSTITUTE(TRIM(A1891&amp;""),CHAR(160),"")," ",""),"년",""))&lt;=2099,TEXT(VALUE(SUBSTITUTE(SUBSTITUTE(SUBSTITUTE(TRIM(A1891&amp;""),CHAR(160),"")," ",""),"년","")),"0000")=SUBSTITUTE(SUBSTITUTE(SUBSTITUTE(TRIM(A1891&amp;""),CHAR(160),"")," ",""),"년","")),SUBSTITUTE(SUBSTITUTE(SUBSTITUTE(TRIM(A1891&amp;""),CHAR(160),"")," ",""),"년",""),""),"")</f>
      </c>
      <c r="I1891" t="str">
        <f>SUBSTITUTE(SUBSTITUTE(SUBSTITUTE(SUBSTITUTE(SUBSTITUTE(TRIM(B1891&amp;""),CHAR(160),"")," ",""),"초등학교","초"),"중학교","중"),"고등학교","고")</f>
      </c>
    </row>
    <row r="1892" customFormat="false" ht="15" hidden="false" customHeight="false" outlineLevel="0" collapsed="false">
      <c r="A1892" s="8"/>
      <c r="B1892" s="8"/>
      <c r="C1892" s="8"/>
      <c r="D1892" s="8"/>
      <c r="E1892" s="8"/>
      <c r="F1892" t="str" s="15">
        <f aca="0">IF(B1892="","",IF(H1892="","확인필요(입력누락)",IF(SUMPRODUCT((실물목록!$P$2:$P$1001&lt;&gt;"")*ISNUMBER(SEARCH(실물목록!$P$2:$P$1001,I1892))*(실물목록!$Q$2:$Q$1001&lt;&gt;"")*ISNUMBER(SEARCH(실물목록!$Q$2:$Q$1001,I1892))*(실물목록!$R$2:$R$1001="")*(실물목록!$O$2:$O$1001&lt;&gt;"")*(실물목록!$O$2:$O$1001=H1892))&gt;0,"실물 있음",IF(SUMPRODUCT((실물목록!$P$2:$P$1001&lt;&gt;"")*ISNUMBER(SEARCH(실물목록!$P$2:$P$1001,I1892))*(실물목록!$R$2:$R$1001&lt;&gt;""))&gt;0,"확인필요(입력누락)",IF(SUMPRODUCT((실물목록!$P$2:$P$1001&lt;&gt;"")*ISNUMBER(SEARCH(실물목록!$P$2:$P$1001,I1892))*(실물목록!$Q$2:$Q$1001&lt;&gt;"")*ISNUMBER(SEARCH(실물목록!$Q$2:$Q$1001,I1892))*(실물목록!$R$2:$R$1001="")*(실물목록!$O$2:$O$1001&lt;&gt;""))&gt;0,"확인필요(연도다름)","실물 없음")))))</f>
      </c>
      <c r="G1892" t="n" s="16">
        <f aca="0">IF(B1892="","",SUMPRODUCT((실물목록!$P$2:$P$1001&lt;&gt;"")*ISNUMBER(SEARCH(실물목록!$P$2:$P$1001,I1892))*(실물목록!$Q$2:$Q$1001&lt;&gt;"")*ISNUMBER(SEARCH(실물목록!$Q$2:$Q$1001,I1892))*(실물목록!$R$2:$R$1001="")*(실물목록!$O$2:$O$1001&lt;&gt;"")*(실물목록!$O$2:$O$1001=H1892)))</f>
      </c>
      <c r="H1892" t="str">
        <f>IFERROR(IF(AND(LEN(SUBSTITUTE(SUBSTITUTE(SUBSTITUTE(TRIM(A1892&amp;""),CHAR(160),"")," ",""),"년",""))=4,VALUE(SUBSTITUTE(SUBSTITUTE(SUBSTITUTE(TRIM(A1892&amp;""),CHAR(160),"")," ",""),"년",""))&gt;=1900,VALUE(SUBSTITUTE(SUBSTITUTE(SUBSTITUTE(TRIM(A1892&amp;""),CHAR(160),"")," ",""),"년",""))&lt;=2099,TEXT(VALUE(SUBSTITUTE(SUBSTITUTE(SUBSTITUTE(TRIM(A1892&amp;""),CHAR(160),"")," ",""),"년","")),"0000")=SUBSTITUTE(SUBSTITUTE(SUBSTITUTE(TRIM(A1892&amp;""),CHAR(160),"")," ",""),"년","")),SUBSTITUTE(SUBSTITUTE(SUBSTITUTE(TRIM(A1892&amp;""),CHAR(160),"")," ",""),"년",""),""),"")</f>
      </c>
      <c r="I1892" t="str">
        <f>SUBSTITUTE(SUBSTITUTE(SUBSTITUTE(SUBSTITUTE(SUBSTITUTE(TRIM(B1892&amp;""),CHAR(160),"")," ",""),"초등학교","초"),"중학교","중"),"고등학교","고")</f>
      </c>
    </row>
    <row r="1893" customFormat="false" ht="15" hidden="false" customHeight="false" outlineLevel="0" collapsed="false">
      <c r="A1893" s="8"/>
      <c r="B1893" s="8"/>
      <c r="C1893" s="8"/>
      <c r="D1893" s="8"/>
      <c r="E1893" s="8"/>
      <c r="F1893" t="str" s="15">
        <f aca="0">IF(B1893="","",IF(H1893="","확인필요(입력누락)",IF(SUMPRODUCT((실물목록!$P$2:$P$1001&lt;&gt;"")*ISNUMBER(SEARCH(실물목록!$P$2:$P$1001,I1893))*(실물목록!$Q$2:$Q$1001&lt;&gt;"")*ISNUMBER(SEARCH(실물목록!$Q$2:$Q$1001,I1893))*(실물목록!$R$2:$R$1001="")*(실물목록!$O$2:$O$1001&lt;&gt;"")*(실물목록!$O$2:$O$1001=H1893))&gt;0,"실물 있음",IF(SUMPRODUCT((실물목록!$P$2:$P$1001&lt;&gt;"")*ISNUMBER(SEARCH(실물목록!$P$2:$P$1001,I1893))*(실물목록!$R$2:$R$1001&lt;&gt;""))&gt;0,"확인필요(입력누락)",IF(SUMPRODUCT((실물목록!$P$2:$P$1001&lt;&gt;"")*ISNUMBER(SEARCH(실물목록!$P$2:$P$1001,I1893))*(실물목록!$Q$2:$Q$1001&lt;&gt;"")*ISNUMBER(SEARCH(실물목록!$Q$2:$Q$1001,I1893))*(실물목록!$R$2:$R$1001="")*(실물목록!$O$2:$O$1001&lt;&gt;""))&gt;0,"확인필요(연도다름)","실물 없음")))))</f>
      </c>
      <c r="G1893" t="n" s="16">
        <f aca="0">IF(B1893="","",SUMPRODUCT((실물목록!$P$2:$P$1001&lt;&gt;"")*ISNUMBER(SEARCH(실물목록!$P$2:$P$1001,I1893))*(실물목록!$Q$2:$Q$1001&lt;&gt;"")*ISNUMBER(SEARCH(실물목록!$Q$2:$Q$1001,I1893))*(실물목록!$R$2:$R$1001="")*(실물목록!$O$2:$O$1001&lt;&gt;"")*(실물목록!$O$2:$O$1001=H1893)))</f>
      </c>
      <c r="H1893" t="str">
        <f>IFERROR(IF(AND(LEN(SUBSTITUTE(SUBSTITUTE(SUBSTITUTE(TRIM(A1893&amp;""),CHAR(160),"")," ",""),"년",""))=4,VALUE(SUBSTITUTE(SUBSTITUTE(SUBSTITUTE(TRIM(A1893&amp;""),CHAR(160),"")," ",""),"년",""))&gt;=1900,VALUE(SUBSTITUTE(SUBSTITUTE(SUBSTITUTE(TRIM(A1893&amp;""),CHAR(160),"")," ",""),"년",""))&lt;=2099,TEXT(VALUE(SUBSTITUTE(SUBSTITUTE(SUBSTITUTE(TRIM(A1893&amp;""),CHAR(160),"")," ",""),"년","")),"0000")=SUBSTITUTE(SUBSTITUTE(SUBSTITUTE(TRIM(A1893&amp;""),CHAR(160),"")," ",""),"년","")),SUBSTITUTE(SUBSTITUTE(SUBSTITUTE(TRIM(A1893&amp;""),CHAR(160),"")," ",""),"년",""),""),"")</f>
      </c>
      <c r="I1893" t="str">
        <f>SUBSTITUTE(SUBSTITUTE(SUBSTITUTE(SUBSTITUTE(SUBSTITUTE(TRIM(B1893&amp;""),CHAR(160),"")," ",""),"초등학교","초"),"중학교","중"),"고등학교","고")</f>
      </c>
    </row>
    <row r="1894" customFormat="false" ht="15" hidden="false" customHeight="false" outlineLevel="0" collapsed="false">
      <c r="A1894" s="8"/>
      <c r="B1894" s="8"/>
      <c r="C1894" s="8"/>
      <c r="D1894" s="8"/>
      <c r="E1894" s="8"/>
      <c r="F1894" t="str" s="15">
        <f aca="0">IF(B1894="","",IF(H1894="","확인필요(입력누락)",IF(SUMPRODUCT((실물목록!$P$2:$P$1001&lt;&gt;"")*ISNUMBER(SEARCH(실물목록!$P$2:$P$1001,I1894))*(실물목록!$Q$2:$Q$1001&lt;&gt;"")*ISNUMBER(SEARCH(실물목록!$Q$2:$Q$1001,I1894))*(실물목록!$R$2:$R$1001="")*(실물목록!$O$2:$O$1001&lt;&gt;"")*(실물목록!$O$2:$O$1001=H1894))&gt;0,"실물 있음",IF(SUMPRODUCT((실물목록!$P$2:$P$1001&lt;&gt;"")*ISNUMBER(SEARCH(실물목록!$P$2:$P$1001,I1894))*(실물목록!$R$2:$R$1001&lt;&gt;""))&gt;0,"확인필요(입력누락)",IF(SUMPRODUCT((실물목록!$P$2:$P$1001&lt;&gt;"")*ISNUMBER(SEARCH(실물목록!$P$2:$P$1001,I1894))*(실물목록!$Q$2:$Q$1001&lt;&gt;"")*ISNUMBER(SEARCH(실물목록!$Q$2:$Q$1001,I1894))*(실물목록!$R$2:$R$1001="")*(실물목록!$O$2:$O$1001&lt;&gt;""))&gt;0,"확인필요(연도다름)","실물 없음")))))</f>
      </c>
      <c r="G1894" t="n" s="16">
        <f aca="0">IF(B1894="","",SUMPRODUCT((실물목록!$P$2:$P$1001&lt;&gt;"")*ISNUMBER(SEARCH(실물목록!$P$2:$P$1001,I1894))*(실물목록!$Q$2:$Q$1001&lt;&gt;"")*ISNUMBER(SEARCH(실물목록!$Q$2:$Q$1001,I1894))*(실물목록!$R$2:$R$1001="")*(실물목록!$O$2:$O$1001&lt;&gt;"")*(실물목록!$O$2:$O$1001=H1894)))</f>
      </c>
      <c r="H1894" t="str">
        <f>IFERROR(IF(AND(LEN(SUBSTITUTE(SUBSTITUTE(SUBSTITUTE(TRIM(A1894&amp;""),CHAR(160),"")," ",""),"년",""))=4,VALUE(SUBSTITUTE(SUBSTITUTE(SUBSTITUTE(TRIM(A1894&amp;""),CHAR(160),"")," ",""),"년",""))&gt;=1900,VALUE(SUBSTITUTE(SUBSTITUTE(SUBSTITUTE(TRIM(A1894&amp;""),CHAR(160),"")," ",""),"년",""))&lt;=2099,TEXT(VALUE(SUBSTITUTE(SUBSTITUTE(SUBSTITUTE(TRIM(A1894&amp;""),CHAR(160),"")," ",""),"년","")),"0000")=SUBSTITUTE(SUBSTITUTE(SUBSTITUTE(TRIM(A1894&amp;""),CHAR(160),"")," ",""),"년","")),SUBSTITUTE(SUBSTITUTE(SUBSTITUTE(TRIM(A1894&amp;""),CHAR(160),"")," ",""),"년",""),""),"")</f>
      </c>
      <c r="I1894" t="str">
        <f>SUBSTITUTE(SUBSTITUTE(SUBSTITUTE(SUBSTITUTE(SUBSTITUTE(TRIM(B1894&amp;""),CHAR(160),"")," ",""),"초등학교","초"),"중학교","중"),"고등학교","고")</f>
      </c>
    </row>
    <row r="1895" customFormat="false" ht="15" hidden="false" customHeight="false" outlineLevel="0" collapsed="false">
      <c r="A1895" s="8"/>
      <c r="B1895" s="8"/>
      <c r="C1895" s="8"/>
      <c r="D1895" s="8"/>
      <c r="E1895" s="8"/>
      <c r="F1895" t="str" s="15">
        <f aca="0">IF(B1895="","",IF(H1895="","확인필요(입력누락)",IF(SUMPRODUCT((실물목록!$P$2:$P$1001&lt;&gt;"")*ISNUMBER(SEARCH(실물목록!$P$2:$P$1001,I1895))*(실물목록!$Q$2:$Q$1001&lt;&gt;"")*ISNUMBER(SEARCH(실물목록!$Q$2:$Q$1001,I1895))*(실물목록!$R$2:$R$1001="")*(실물목록!$O$2:$O$1001&lt;&gt;"")*(실물목록!$O$2:$O$1001=H1895))&gt;0,"실물 있음",IF(SUMPRODUCT((실물목록!$P$2:$P$1001&lt;&gt;"")*ISNUMBER(SEARCH(실물목록!$P$2:$P$1001,I1895))*(실물목록!$R$2:$R$1001&lt;&gt;""))&gt;0,"확인필요(입력누락)",IF(SUMPRODUCT((실물목록!$P$2:$P$1001&lt;&gt;"")*ISNUMBER(SEARCH(실물목록!$P$2:$P$1001,I1895))*(실물목록!$Q$2:$Q$1001&lt;&gt;"")*ISNUMBER(SEARCH(실물목록!$Q$2:$Q$1001,I1895))*(실물목록!$R$2:$R$1001="")*(실물목록!$O$2:$O$1001&lt;&gt;""))&gt;0,"확인필요(연도다름)","실물 없음")))))</f>
      </c>
      <c r="G1895" t="n" s="16">
        <f aca="0">IF(B1895="","",SUMPRODUCT((실물목록!$P$2:$P$1001&lt;&gt;"")*ISNUMBER(SEARCH(실물목록!$P$2:$P$1001,I1895))*(실물목록!$Q$2:$Q$1001&lt;&gt;"")*ISNUMBER(SEARCH(실물목록!$Q$2:$Q$1001,I1895))*(실물목록!$R$2:$R$1001="")*(실물목록!$O$2:$O$1001&lt;&gt;"")*(실물목록!$O$2:$O$1001=H1895)))</f>
      </c>
      <c r="H1895" t="str">
        <f>IFERROR(IF(AND(LEN(SUBSTITUTE(SUBSTITUTE(SUBSTITUTE(TRIM(A1895&amp;""),CHAR(160),"")," ",""),"년",""))=4,VALUE(SUBSTITUTE(SUBSTITUTE(SUBSTITUTE(TRIM(A1895&amp;""),CHAR(160),"")," ",""),"년",""))&gt;=1900,VALUE(SUBSTITUTE(SUBSTITUTE(SUBSTITUTE(TRIM(A1895&amp;""),CHAR(160),"")," ",""),"년",""))&lt;=2099,TEXT(VALUE(SUBSTITUTE(SUBSTITUTE(SUBSTITUTE(TRIM(A1895&amp;""),CHAR(160),"")," ",""),"년","")),"0000")=SUBSTITUTE(SUBSTITUTE(SUBSTITUTE(TRIM(A1895&amp;""),CHAR(160),"")," ",""),"년","")),SUBSTITUTE(SUBSTITUTE(SUBSTITUTE(TRIM(A1895&amp;""),CHAR(160),"")," ",""),"년",""),""),"")</f>
      </c>
      <c r="I1895" t="str">
        <f>SUBSTITUTE(SUBSTITUTE(SUBSTITUTE(SUBSTITUTE(SUBSTITUTE(TRIM(B1895&amp;""),CHAR(160),"")," ",""),"초등학교","초"),"중학교","중"),"고등학교","고")</f>
      </c>
    </row>
    <row r="1896" customFormat="false" ht="15" hidden="false" customHeight="false" outlineLevel="0" collapsed="false">
      <c r="A1896" s="8"/>
      <c r="B1896" s="8"/>
      <c r="C1896" s="8"/>
      <c r="D1896" s="8"/>
      <c r="E1896" s="8"/>
      <c r="F1896" t="str" s="15">
        <f aca="0">IF(B1896="","",IF(H1896="","확인필요(입력누락)",IF(SUMPRODUCT((실물목록!$P$2:$P$1001&lt;&gt;"")*ISNUMBER(SEARCH(실물목록!$P$2:$P$1001,I1896))*(실물목록!$Q$2:$Q$1001&lt;&gt;"")*ISNUMBER(SEARCH(실물목록!$Q$2:$Q$1001,I1896))*(실물목록!$R$2:$R$1001="")*(실물목록!$O$2:$O$1001&lt;&gt;"")*(실물목록!$O$2:$O$1001=H1896))&gt;0,"실물 있음",IF(SUMPRODUCT((실물목록!$P$2:$P$1001&lt;&gt;"")*ISNUMBER(SEARCH(실물목록!$P$2:$P$1001,I1896))*(실물목록!$R$2:$R$1001&lt;&gt;""))&gt;0,"확인필요(입력누락)",IF(SUMPRODUCT((실물목록!$P$2:$P$1001&lt;&gt;"")*ISNUMBER(SEARCH(실물목록!$P$2:$P$1001,I1896))*(실물목록!$Q$2:$Q$1001&lt;&gt;"")*ISNUMBER(SEARCH(실물목록!$Q$2:$Q$1001,I1896))*(실물목록!$R$2:$R$1001="")*(실물목록!$O$2:$O$1001&lt;&gt;""))&gt;0,"확인필요(연도다름)","실물 없음")))))</f>
      </c>
      <c r="G1896" t="n" s="16">
        <f aca="0">IF(B1896="","",SUMPRODUCT((실물목록!$P$2:$P$1001&lt;&gt;"")*ISNUMBER(SEARCH(실물목록!$P$2:$P$1001,I1896))*(실물목록!$Q$2:$Q$1001&lt;&gt;"")*ISNUMBER(SEARCH(실물목록!$Q$2:$Q$1001,I1896))*(실물목록!$R$2:$R$1001="")*(실물목록!$O$2:$O$1001&lt;&gt;"")*(실물목록!$O$2:$O$1001=H1896)))</f>
      </c>
      <c r="H1896" t="str">
        <f>IFERROR(IF(AND(LEN(SUBSTITUTE(SUBSTITUTE(SUBSTITUTE(TRIM(A1896&amp;""),CHAR(160),"")," ",""),"년",""))=4,VALUE(SUBSTITUTE(SUBSTITUTE(SUBSTITUTE(TRIM(A1896&amp;""),CHAR(160),"")," ",""),"년",""))&gt;=1900,VALUE(SUBSTITUTE(SUBSTITUTE(SUBSTITUTE(TRIM(A1896&amp;""),CHAR(160),"")," ",""),"년",""))&lt;=2099,TEXT(VALUE(SUBSTITUTE(SUBSTITUTE(SUBSTITUTE(TRIM(A1896&amp;""),CHAR(160),"")," ",""),"년","")),"0000")=SUBSTITUTE(SUBSTITUTE(SUBSTITUTE(TRIM(A1896&amp;""),CHAR(160),"")," ",""),"년","")),SUBSTITUTE(SUBSTITUTE(SUBSTITUTE(TRIM(A1896&amp;""),CHAR(160),"")," ",""),"년",""),""),"")</f>
      </c>
      <c r="I1896" t="str">
        <f>SUBSTITUTE(SUBSTITUTE(SUBSTITUTE(SUBSTITUTE(SUBSTITUTE(TRIM(B1896&amp;""),CHAR(160),"")," ",""),"초등학교","초"),"중학교","중"),"고등학교","고")</f>
      </c>
    </row>
    <row r="1897" customFormat="false" ht="15" hidden="false" customHeight="false" outlineLevel="0" collapsed="false">
      <c r="A1897" s="8"/>
      <c r="B1897" s="8"/>
      <c r="C1897" s="8"/>
      <c r="D1897" s="8"/>
      <c r="E1897" s="8"/>
      <c r="F1897" t="str" s="15">
        <f aca="0">IF(B1897="","",IF(H1897="","확인필요(입력누락)",IF(SUMPRODUCT((실물목록!$P$2:$P$1001&lt;&gt;"")*ISNUMBER(SEARCH(실물목록!$P$2:$P$1001,I1897))*(실물목록!$Q$2:$Q$1001&lt;&gt;"")*ISNUMBER(SEARCH(실물목록!$Q$2:$Q$1001,I1897))*(실물목록!$R$2:$R$1001="")*(실물목록!$O$2:$O$1001&lt;&gt;"")*(실물목록!$O$2:$O$1001=H1897))&gt;0,"실물 있음",IF(SUMPRODUCT((실물목록!$P$2:$P$1001&lt;&gt;"")*ISNUMBER(SEARCH(실물목록!$P$2:$P$1001,I1897))*(실물목록!$R$2:$R$1001&lt;&gt;""))&gt;0,"확인필요(입력누락)",IF(SUMPRODUCT((실물목록!$P$2:$P$1001&lt;&gt;"")*ISNUMBER(SEARCH(실물목록!$P$2:$P$1001,I1897))*(실물목록!$Q$2:$Q$1001&lt;&gt;"")*ISNUMBER(SEARCH(실물목록!$Q$2:$Q$1001,I1897))*(실물목록!$R$2:$R$1001="")*(실물목록!$O$2:$O$1001&lt;&gt;""))&gt;0,"확인필요(연도다름)","실물 없음")))))</f>
      </c>
      <c r="G1897" t="n" s="16">
        <f aca="0">IF(B1897="","",SUMPRODUCT((실물목록!$P$2:$P$1001&lt;&gt;"")*ISNUMBER(SEARCH(실물목록!$P$2:$P$1001,I1897))*(실물목록!$Q$2:$Q$1001&lt;&gt;"")*ISNUMBER(SEARCH(실물목록!$Q$2:$Q$1001,I1897))*(실물목록!$R$2:$R$1001="")*(실물목록!$O$2:$O$1001&lt;&gt;"")*(실물목록!$O$2:$O$1001=H1897)))</f>
      </c>
      <c r="H1897" t="str">
        <f>IFERROR(IF(AND(LEN(SUBSTITUTE(SUBSTITUTE(SUBSTITUTE(TRIM(A1897&amp;""),CHAR(160),"")," ",""),"년",""))=4,VALUE(SUBSTITUTE(SUBSTITUTE(SUBSTITUTE(TRIM(A1897&amp;""),CHAR(160),"")," ",""),"년",""))&gt;=1900,VALUE(SUBSTITUTE(SUBSTITUTE(SUBSTITUTE(TRIM(A1897&amp;""),CHAR(160),"")," ",""),"년",""))&lt;=2099,TEXT(VALUE(SUBSTITUTE(SUBSTITUTE(SUBSTITUTE(TRIM(A1897&amp;""),CHAR(160),"")," ",""),"년","")),"0000")=SUBSTITUTE(SUBSTITUTE(SUBSTITUTE(TRIM(A1897&amp;""),CHAR(160),"")," ",""),"년","")),SUBSTITUTE(SUBSTITUTE(SUBSTITUTE(TRIM(A1897&amp;""),CHAR(160),"")," ",""),"년",""),""),"")</f>
      </c>
      <c r="I1897" t="str">
        <f>SUBSTITUTE(SUBSTITUTE(SUBSTITUTE(SUBSTITUTE(SUBSTITUTE(TRIM(B1897&amp;""),CHAR(160),"")," ",""),"초등학교","초"),"중학교","중"),"고등학교","고")</f>
      </c>
    </row>
    <row r="1898" customFormat="false" ht="15" hidden="false" customHeight="false" outlineLevel="0" collapsed="false">
      <c r="A1898" s="8"/>
      <c r="B1898" s="8"/>
      <c r="C1898" s="8"/>
      <c r="D1898" s="8"/>
      <c r="E1898" s="8"/>
      <c r="F1898" t="str" s="15">
        <f aca="0">IF(B1898="","",IF(H1898="","확인필요(입력누락)",IF(SUMPRODUCT((실물목록!$P$2:$P$1001&lt;&gt;"")*ISNUMBER(SEARCH(실물목록!$P$2:$P$1001,I1898))*(실물목록!$Q$2:$Q$1001&lt;&gt;"")*ISNUMBER(SEARCH(실물목록!$Q$2:$Q$1001,I1898))*(실물목록!$R$2:$R$1001="")*(실물목록!$O$2:$O$1001&lt;&gt;"")*(실물목록!$O$2:$O$1001=H1898))&gt;0,"실물 있음",IF(SUMPRODUCT((실물목록!$P$2:$P$1001&lt;&gt;"")*ISNUMBER(SEARCH(실물목록!$P$2:$P$1001,I1898))*(실물목록!$R$2:$R$1001&lt;&gt;""))&gt;0,"확인필요(입력누락)",IF(SUMPRODUCT((실물목록!$P$2:$P$1001&lt;&gt;"")*ISNUMBER(SEARCH(실물목록!$P$2:$P$1001,I1898))*(실물목록!$Q$2:$Q$1001&lt;&gt;"")*ISNUMBER(SEARCH(실물목록!$Q$2:$Q$1001,I1898))*(실물목록!$R$2:$R$1001="")*(실물목록!$O$2:$O$1001&lt;&gt;""))&gt;0,"확인필요(연도다름)","실물 없음")))))</f>
      </c>
      <c r="G1898" t="n" s="16">
        <f aca="0">IF(B1898="","",SUMPRODUCT((실물목록!$P$2:$P$1001&lt;&gt;"")*ISNUMBER(SEARCH(실물목록!$P$2:$P$1001,I1898))*(실물목록!$Q$2:$Q$1001&lt;&gt;"")*ISNUMBER(SEARCH(실물목록!$Q$2:$Q$1001,I1898))*(실물목록!$R$2:$R$1001="")*(실물목록!$O$2:$O$1001&lt;&gt;"")*(실물목록!$O$2:$O$1001=H1898)))</f>
      </c>
      <c r="H1898" t="str">
        <f>IFERROR(IF(AND(LEN(SUBSTITUTE(SUBSTITUTE(SUBSTITUTE(TRIM(A1898&amp;""),CHAR(160),"")," ",""),"년",""))=4,VALUE(SUBSTITUTE(SUBSTITUTE(SUBSTITUTE(TRIM(A1898&amp;""),CHAR(160),"")," ",""),"년",""))&gt;=1900,VALUE(SUBSTITUTE(SUBSTITUTE(SUBSTITUTE(TRIM(A1898&amp;""),CHAR(160),"")," ",""),"년",""))&lt;=2099,TEXT(VALUE(SUBSTITUTE(SUBSTITUTE(SUBSTITUTE(TRIM(A1898&amp;""),CHAR(160),"")," ",""),"년","")),"0000")=SUBSTITUTE(SUBSTITUTE(SUBSTITUTE(TRIM(A1898&amp;""),CHAR(160),"")," ",""),"년","")),SUBSTITUTE(SUBSTITUTE(SUBSTITUTE(TRIM(A1898&amp;""),CHAR(160),"")," ",""),"년",""),""),"")</f>
      </c>
      <c r="I1898" t="str">
        <f>SUBSTITUTE(SUBSTITUTE(SUBSTITUTE(SUBSTITUTE(SUBSTITUTE(TRIM(B1898&amp;""),CHAR(160),"")," ",""),"초등학교","초"),"중학교","중"),"고등학교","고")</f>
      </c>
    </row>
    <row r="1899" customFormat="false" ht="15" hidden="false" customHeight="false" outlineLevel="0" collapsed="false">
      <c r="A1899" s="8"/>
      <c r="B1899" s="8"/>
      <c r="C1899" s="8"/>
      <c r="D1899" s="8"/>
      <c r="E1899" s="8"/>
      <c r="F1899" t="str" s="15">
        <f aca="0">IF(B1899="","",IF(H1899="","확인필요(입력누락)",IF(SUMPRODUCT((실물목록!$P$2:$P$1001&lt;&gt;"")*ISNUMBER(SEARCH(실물목록!$P$2:$P$1001,I1899))*(실물목록!$Q$2:$Q$1001&lt;&gt;"")*ISNUMBER(SEARCH(실물목록!$Q$2:$Q$1001,I1899))*(실물목록!$R$2:$R$1001="")*(실물목록!$O$2:$O$1001&lt;&gt;"")*(실물목록!$O$2:$O$1001=H1899))&gt;0,"실물 있음",IF(SUMPRODUCT((실물목록!$P$2:$P$1001&lt;&gt;"")*ISNUMBER(SEARCH(실물목록!$P$2:$P$1001,I1899))*(실물목록!$R$2:$R$1001&lt;&gt;""))&gt;0,"확인필요(입력누락)",IF(SUMPRODUCT((실물목록!$P$2:$P$1001&lt;&gt;"")*ISNUMBER(SEARCH(실물목록!$P$2:$P$1001,I1899))*(실물목록!$Q$2:$Q$1001&lt;&gt;"")*ISNUMBER(SEARCH(실물목록!$Q$2:$Q$1001,I1899))*(실물목록!$R$2:$R$1001="")*(실물목록!$O$2:$O$1001&lt;&gt;""))&gt;0,"확인필요(연도다름)","실물 없음")))))</f>
      </c>
      <c r="G1899" t="n" s="16">
        <f aca="0">IF(B1899="","",SUMPRODUCT((실물목록!$P$2:$P$1001&lt;&gt;"")*ISNUMBER(SEARCH(실물목록!$P$2:$P$1001,I1899))*(실물목록!$Q$2:$Q$1001&lt;&gt;"")*ISNUMBER(SEARCH(실물목록!$Q$2:$Q$1001,I1899))*(실물목록!$R$2:$R$1001="")*(실물목록!$O$2:$O$1001&lt;&gt;"")*(실물목록!$O$2:$O$1001=H1899)))</f>
      </c>
      <c r="H1899" t="str">
        <f>IFERROR(IF(AND(LEN(SUBSTITUTE(SUBSTITUTE(SUBSTITUTE(TRIM(A1899&amp;""),CHAR(160),"")," ",""),"년",""))=4,VALUE(SUBSTITUTE(SUBSTITUTE(SUBSTITUTE(TRIM(A1899&amp;""),CHAR(160),"")," ",""),"년",""))&gt;=1900,VALUE(SUBSTITUTE(SUBSTITUTE(SUBSTITUTE(TRIM(A1899&amp;""),CHAR(160),"")," ",""),"년",""))&lt;=2099,TEXT(VALUE(SUBSTITUTE(SUBSTITUTE(SUBSTITUTE(TRIM(A1899&amp;""),CHAR(160),"")," ",""),"년","")),"0000")=SUBSTITUTE(SUBSTITUTE(SUBSTITUTE(TRIM(A1899&amp;""),CHAR(160),"")," ",""),"년","")),SUBSTITUTE(SUBSTITUTE(SUBSTITUTE(TRIM(A1899&amp;""),CHAR(160),"")," ",""),"년",""),""),"")</f>
      </c>
      <c r="I1899" t="str">
        <f>SUBSTITUTE(SUBSTITUTE(SUBSTITUTE(SUBSTITUTE(SUBSTITUTE(TRIM(B1899&amp;""),CHAR(160),"")," ",""),"초등학교","초"),"중학교","중"),"고등학교","고")</f>
      </c>
    </row>
    <row r="1900" customFormat="false" ht="15" hidden="false" customHeight="false" outlineLevel="0" collapsed="false">
      <c r="A1900" s="8"/>
      <c r="B1900" s="8"/>
      <c r="C1900" s="8"/>
      <c r="D1900" s="8"/>
      <c r="E1900" s="8"/>
      <c r="F1900" t="str" s="15">
        <f aca="0">IF(B1900="","",IF(H1900="","확인필요(입력누락)",IF(SUMPRODUCT((실물목록!$P$2:$P$1001&lt;&gt;"")*ISNUMBER(SEARCH(실물목록!$P$2:$P$1001,I1900))*(실물목록!$Q$2:$Q$1001&lt;&gt;"")*ISNUMBER(SEARCH(실물목록!$Q$2:$Q$1001,I1900))*(실물목록!$R$2:$R$1001="")*(실물목록!$O$2:$O$1001&lt;&gt;"")*(실물목록!$O$2:$O$1001=H1900))&gt;0,"실물 있음",IF(SUMPRODUCT((실물목록!$P$2:$P$1001&lt;&gt;"")*ISNUMBER(SEARCH(실물목록!$P$2:$P$1001,I1900))*(실물목록!$R$2:$R$1001&lt;&gt;""))&gt;0,"확인필요(입력누락)",IF(SUMPRODUCT((실물목록!$P$2:$P$1001&lt;&gt;"")*ISNUMBER(SEARCH(실물목록!$P$2:$P$1001,I1900))*(실물목록!$Q$2:$Q$1001&lt;&gt;"")*ISNUMBER(SEARCH(실물목록!$Q$2:$Q$1001,I1900))*(실물목록!$R$2:$R$1001="")*(실물목록!$O$2:$O$1001&lt;&gt;""))&gt;0,"확인필요(연도다름)","실물 없음")))))</f>
      </c>
      <c r="G1900" t="n" s="16">
        <f aca="0">IF(B1900="","",SUMPRODUCT((실물목록!$P$2:$P$1001&lt;&gt;"")*ISNUMBER(SEARCH(실물목록!$P$2:$P$1001,I1900))*(실물목록!$Q$2:$Q$1001&lt;&gt;"")*ISNUMBER(SEARCH(실물목록!$Q$2:$Q$1001,I1900))*(실물목록!$R$2:$R$1001="")*(실물목록!$O$2:$O$1001&lt;&gt;"")*(실물목록!$O$2:$O$1001=H1900)))</f>
      </c>
      <c r="H1900" t="str">
        <f>IFERROR(IF(AND(LEN(SUBSTITUTE(SUBSTITUTE(SUBSTITUTE(TRIM(A1900&amp;""),CHAR(160),"")," ",""),"년",""))=4,VALUE(SUBSTITUTE(SUBSTITUTE(SUBSTITUTE(TRIM(A1900&amp;""),CHAR(160),"")," ",""),"년",""))&gt;=1900,VALUE(SUBSTITUTE(SUBSTITUTE(SUBSTITUTE(TRIM(A1900&amp;""),CHAR(160),"")," ",""),"년",""))&lt;=2099,TEXT(VALUE(SUBSTITUTE(SUBSTITUTE(SUBSTITUTE(TRIM(A1900&amp;""),CHAR(160),"")," ",""),"년","")),"0000")=SUBSTITUTE(SUBSTITUTE(SUBSTITUTE(TRIM(A1900&amp;""),CHAR(160),"")," ",""),"년","")),SUBSTITUTE(SUBSTITUTE(SUBSTITUTE(TRIM(A1900&amp;""),CHAR(160),"")," ",""),"년",""),""),"")</f>
      </c>
      <c r="I1900" t="str">
        <f>SUBSTITUTE(SUBSTITUTE(SUBSTITUTE(SUBSTITUTE(SUBSTITUTE(TRIM(B1900&amp;""),CHAR(160),"")," ",""),"초등학교","초"),"중학교","중"),"고등학교","고")</f>
      </c>
    </row>
    <row r="1901" customFormat="false" ht="15" hidden="false" customHeight="false" outlineLevel="0" collapsed="false">
      <c r="A1901" s="8"/>
      <c r="B1901" s="8"/>
      <c r="C1901" s="8"/>
      <c r="D1901" s="8"/>
      <c r="E1901" s="8"/>
      <c r="F1901" t="str" s="15">
        <f aca="0">IF(B1901="","",IF(H1901="","확인필요(입력누락)",IF(SUMPRODUCT((실물목록!$P$2:$P$1001&lt;&gt;"")*ISNUMBER(SEARCH(실물목록!$P$2:$P$1001,I1901))*(실물목록!$Q$2:$Q$1001&lt;&gt;"")*ISNUMBER(SEARCH(실물목록!$Q$2:$Q$1001,I1901))*(실물목록!$R$2:$R$1001="")*(실물목록!$O$2:$O$1001&lt;&gt;"")*(실물목록!$O$2:$O$1001=H1901))&gt;0,"실물 있음",IF(SUMPRODUCT((실물목록!$P$2:$P$1001&lt;&gt;"")*ISNUMBER(SEARCH(실물목록!$P$2:$P$1001,I1901))*(실물목록!$R$2:$R$1001&lt;&gt;""))&gt;0,"확인필요(입력누락)",IF(SUMPRODUCT((실물목록!$P$2:$P$1001&lt;&gt;"")*ISNUMBER(SEARCH(실물목록!$P$2:$P$1001,I1901))*(실물목록!$Q$2:$Q$1001&lt;&gt;"")*ISNUMBER(SEARCH(실물목록!$Q$2:$Q$1001,I1901))*(실물목록!$R$2:$R$1001="")*(실물목록!$O$2:$O$1001&lt;&gt;""))&gt;0,"확인필요(연도다름)","실물 없음")))))</f>
      </c>
      <c r="G1901" t="n" s="16">
        <f aca="0">IF(B1901="","",SUMPRODUCT((실물목록!$P$2:$P$1001&lt;&gt;"")*ISNUMBER(SEARCH(실물목록!$P$2:$P$1001,I1901))*(실물목록!$Q$2:$Q$1001&lt;&gt;"")*ISNUMBER(SEARCH(실물목록!$Q$2:$Q$1001,I1901))*(실물목록!$R$2:$R$1001="")*(실물목록!$O$2:$O$1001&lt;&gt;"")*(실물목록!$O$2:$O$1001=H1901)))</f>
      </c>
      <c r="H1901" t="str">
        <f>IFERROR(IF(AND(LEN(SUBSTITUTE(SUBSTITUTE(SUBSTITUTE(TRIM(A1901&amp;""),CHAR(160),"")," ",""),"년",""))=4,VALUE(SUBSTITUTE(SUBSTITUTE(SUBSTITUTE(TRIM(A1901&amp;""),CHAR(160),"")," ",""),"년",""))&gt;=1900,VALUE(SUBSTITUTE(SUBSTITUTE(SUBSTITUTE(TRIM(A1901&amp;""),CHAR(160),"")," ",""),"년",""))&lt;=2099,TEXT(VALUE(SUBSTITUTE(SUBSTITUTE(SUBSTITUTE(TRIM(A1901&amp;""),CHAR(160),"")," ",""),"년","")),"0000")=SUBSTITUTE(SUBSTITUTE(SUBSTITUTE(TRIM(A1901&amp;""),CHAR(160),"")," ",""),"년","")),SUBSTITUTE(SUBSTITUTE(SUBSTITUTE(TRIM(A1901&amp;""),CHAR(160),"")," ",""),"년",""),""),"")</f>
      </c>
      <c r="I1901" t="str">
        <f>SUBSTITUTE(SUBSTITUTE(SUBSTITUTE(SUBSTITUTE(SUBSTITUTE(TRIM(B1901&amp;""),CHAR(160),"")," ",""),"초등학교","초"),"중학교","중"),"고등학교","고")</f>
      </c>
    </row>
    <row r="1902" customFormat="false" ht="15" hidden="false" customHeight="false" outlineLevel="0" collapsed="false">
      <c r="A1902" s="8"/>
      <c r="B1902" s="8"/>
      <c r="C1902" s="8"/>
      <c r="D1902" s="8"/>
      <c r="E1902" s="8"/>
      <c r="F1902" t="str" s="15">
        <f aca="0">IF(B1902="","",IF(H1902="","확인필요(입력누락)",IF(SUMPRODUCT((실물목록!$P$2:$P$1001&lt;&gt;"")*ISNUMBER(SEARCH(실물목록!$P$2:$P$1001,I1902))*(실물목록!$Q$2:$Q$1001&lt;&gt;"")*ISNUMBER(SEARCH(실물목록!$Q$2:$Q$1001,I1902))*(실물목록!$R$2:$R$1001="")*(실물목록!$O$2:$O$1001&lt;&gt;"")*(실물목록!$O$2:$O$1001=H1902))&gt;0,"실물 있음",IF(SUMPRODUCT((실물목록!$P$2:$P$1001&lt;&gt;"")*ISNUMBER(SEARCH(실물목록!$P$2:$P$1001,I1902))*(실물목록!$R$2:$R$1001&lt;&gt;""))&gt;0,"확인필요(입력누락)",IF(SUMPRODUCT((실물목록!$P$2:$P$1001&lt;&gt;"")*ISNUMBER(SEARCH(실물목록!$P$2:$P$1001,I1902))*(실물목록!$Q$2:$Q$1001&lt;&gt;"")*ISNUMBER(SEARCH(실물목록!$Q$2:$Q$1001,I1902))*(실물목록!$R$2:$R$1001="")*(실물목록!$O$2:$O$1001&lt;&gt;""))&gt;0,"확인필요(연도다름)","실물 없음")))))</f>
      </c>
      <c r="G1902" t="n" s="16">
        <f aca="0">IF(B1902="","",SUMPRODUCT((실물목록!$P$2:$P$1001&lt;&gt;"")*ISNUMBER(SEARCH(실물목록!$P$2:$P$1001,I1902))*(실물목록!$Q$2:$Q$1001&lt;&gt;"")*ISNUMBER(SEARCH(실물목록!$Q$2:$Q$1001,I1902))*(실물목록!$R$2:$R$1001="")*(실물목록!$O$2:$O$1001&lt;&gt;"")*(실물목록!$O$2:$O$1001=H1902)))</f>
      </c>
      <c r="H1902" t="str">
        <f>IFERROR(IF(AND(LEN(SUBSTITUTE(SUBSTITUTE(SUBSTITUTE(TRIM(A1902&amp;""),CHAR(160),"")," ",""),"년",""))=4,VALUE(SUBSTITUTE(SUBSTITUTE(SUBSTITUTE(TRIM(A1902&amp;""),CHAR(160),"")," ",""),"년",""))&gt;=1900,VALUE(SUBSTITUTE(SUBSTITUTE(SUBSTITUTE(TRIM(A1902&amp;""),CHAR(160),"")," ",""),"년",""))&lt;=2099,TEXT(VALUE(SUBSTITUTE(SUBSTITUTE(SUBSTITUTE(TRIM(A1902&amp;""),CHAR(160),"")," ",""),"년","")),"0000")=SUBSTITUTE(SUBSTITUTE(SUBSTITUTE(TRIM(A1902&amp;""),CHAR(160),"")," ",""),"년","")),SUBSTITUTE(SUBSTITUTE(SUBSTITUTE(TRIM(A1902&amp;""),CHAR(160),"")," ",""),"년",""),""),"")</f>
      </c>
      <c r="I1902" t="str">
        <f>SUBSTITUTE(SUBSTITUTE(SUBSTITUTE(SUBSTITUTE(SUBSTITUTE(TRIM(B1902&amp;""),CHAR(160),"")," ",""),"초등학교","초"),"중학교","중"),"고등학교","고")</f>
      </c>
    </row>
    <row r="1903" customFormat="false" ht="15" hidden="false" customHeight="false" outlineLevel="0" collapsed="false">
      <c r="A1903" s="8"/>
      <c r="B1903" s="8"/>
      <c r="C1903" s="8"/>
      <c r="D1903" s="8"/>
      <c r="E1903" s="8"/>
      <c r="F1903" t="str" s="15">
        <f aca="0">IF(B1903="","",IF(H1903="","확인필요(입력누락)",IF(SUMPRODUCT((실물목록!$P$2:$P$1001&lt;&gt;"")*ISNUMBER(SEARCH(실물목록!$P$2:$P$1001,I1903))*(실물목록!$Q$2:$Q$1001&lt;&gt;"")*ISNUMBER(SEARCH(실물목록!$Q$2:$Q$1001,I1903))*(실물목록!$R$2:$R$1001="")*(실물목록!$O$2:$O$1001&lt;&gt;"")*(실물목록!$O$2:$O$1001=H1903))&gt;0,"실물 있음",IF(SUMPRODUCT((실물목록!$P$2:$P$1001&lt;&gt;"")*ISNUMBER(SEARCH(실물목록!$P$2:$P$1001,I1903))*(실물목록!$R$2:$R$1001&lt;&gt;""))&gt;0,"확인필요(입력누락)",IF(SUMPRODUCT((실물목록!$P$2:$P$1001&lt;&gt;"")*ISNUMBER(SEARCH(실물목록!$P$2:$P$1001,I1903))*(실물목록!$Q$2:$Q$1001&lt;&gt;"")*ISNUMBER(SEARCH(실물목록!$Q$2:$Q$1001,I1903))*(실물목록!$R$2:$R$1001="")*(실물목록!$O$2:$O$1001&lt;&gt;""))&gt;0,"확인필요(연도다름)","실물 없음")))))</f>
      </c>
      <c r="G1903" t="n" s="16">
        <f aca="0">IF(B1903="","",SUMPRODUCT((실물목록!$P$2:$P$1001&lt;&gt;"")*ISNUMBER(SEARCH(실물목록!$P$2:$P$1001,I1903))*(실물목록!$Q$2:$Q$1001&lt;&gt;"")*ISNUMBER(SEARCH(실물목록!$Q$2:$Q$1001,I1903))*(실물목록!$R$2:$R$1001="")*(실물목록!$O$2:$O$1001&lt;&gt;"")*(실물목록!$O$2:$O$1001=H1903)))</f>
      </c>
      <c r="H1903" t="str">
        <f>IFERROR(IF(AND(LEN(SUBSTITUTE(SUBSTITUTE(SUBSTITUTE(TRIM(A1903&amp;""),CHAR(160),"")," ",""),"년",""))=4,VALUE(SUBSTITUTE(SUBSTITUTE(SUBSTITUTE(TRIM(A1903&amp;""),CHAR(160),"")," ",""),"년",""))&gt;=1900,VALUE(SUBSTITUTE(SUBSTITUTE(SUBSTITUTE(TRIM(A1903&amp;""),CHAR(160),"")," ",""),"년",""))&lt;=2099,TEXT(VALUE(SUBSTITUTE(SUBSTITUTE(SUBSTITUTE(TRIM(A1903&amp;""),CHAR(160),"")," ",""),"년","")),"0000")=SUBSTITUTE(SUBSTITUTE(SUBSTITUTE(TRIM(A1903&amp;""),CHAR(160),"")," ",""),"년","")),SUBSTITUTE(SUBSTITUTE(SUBSTITUTE(TRIM(A1903&amp;""),CHAR(160),"")," ",""),"년",""),""),"")</f>
      </c>
      <c r="I1903" t="str">
        <f>SUBSTITUTE(SUBSTITUTE(SUBSTITUTE(SUBSTITUTE(SUBSTITUTE(TRIM(B1903&amp;""),CHAR(160),"")," ",""),"초등학교","초"),"중학교","중"),"고등학교","고")</f>
      </c>
    </row>
    <row r="1904" customFormat="false" ht="15" hidden="false" customHeight="false" outlineLevel="0" collapsed="false">
      <c r="A1904" s="8"/>
      <c r="B1904" s="8"/>
      <c r="C1904" s="8"/>
      <c r="D1904" s="8"/>
      <c r="E1904" s="8"/>
      <c r="F1904" t="str" s="15">
        <f aca="0">IF(B1904="","",IF(H1904="","확인필요(입력누락)",IF(SUMPRODUCT((실물목록!$P$2:$P$1001&lt;&gt;"")*ISNUMBER(SEARCH(실물목록!$P$2:$P$1001,I1904))*(실물목록!$Q$2:$Q$1001&lt;&gt;"")*ISNUMBER(SEARCH(실물목록!$Q$2:$Q$1001,I1904))*(실물목록!$R$2:$R$1001="")*(실물목록!$O$2:$O$1001&lt;&gt;"")*(실물목록!$O$2:$O$1001=H1904))&gt;0,"실물 있음",IF(SUMPRODUCT((실물목록!$P$2:$P$1001&lt;&gt;"")*ISNUMBER(SEARCH(실물목록!$P$2:$P$1001,I1904))*(실물목록!$R$2:$R$1001&lt;&gt;""))&gt;0,"확인필요(입력누락)",IF(SUMPRODUCT((실물목록!$P$2:$P$1001&lt;&gt;"")*ISNUMBER(SEARCH(실물목록!$P$2:$P$1001,I1904))*(실물목록!$Q$2:$Q$1001&lt;&gt;"")*ISNUMBER(SEARCH(실물목록!$Q$2:$Q$1001,I1904))*(실물목록!$R$2:$R$1001="")*(실물목록!$O$2:$O$1001&lt;&gt;""))&gt;0,"확인필요(연도다름)","실물 없음")))))</f>
      </c>
      <c r="G1904" t="n" s="16">
        <f aca="0">IF(B1904="","",SUMPRODUCT((실물목록!$P$2:$P$1001&lt;&gt;"")*ISNUMBER(SEARCH(실물목록!$P$2:$P$1001,I1904))*(실물목록!$Q$2:$Q$1001&lt;&gt;"")*ISNUMBER(SEARCH(실물목록!$Q$2:$Q$1001,I1904))*(실물목록!$R$2:$R$1001="")*(실물목록!$O$2:$O$1001&lt;&gt;"")*(실물목록!$O$2:$O$1001=H1904)))</f>
      </c>
      <c r="H1904" t="str">
        <f>IFERROR(IF(AND(LEN(SUBSTITUTE(SUBSTITUTE(SUBSTITUTE(TRIM(A1904&amp;""),CHAR(160),"")," ",""),"년",""))=4,VALUE(SUBSTITUTE(SUBSTITUTE(SUBSTITUTE(TRIM(A1904&amp;""),CHAR(160),"")," ",""),"년",""))&gt;=1900,VALUE(SUBSTITUTE(SUBSTITUTE(SUBSTITUTE(TRIM(A1904&amp;""),CHAR(160),"")," ",""),"년",""))&lt;=2099,TEXT(VALUE(SUBSTITUTE(SUBSTITUTE(SUBSTITUTE(TRIM(A1904&amp;""),CHAR(160),"")," ",""),"년","")),"0000")=SUBSTITUTE(SUBSTITUTE(SUBSTITUTE(TRIM(A1904&amp;""),CHAR(160),"")," ",""),"년","")),SUBSTITUTE(SUBSTITUTE(SUBSTITUTE(TRIM(A1904&amp;""),CHAR(160),"")," ",""),"년",""),""),"")</f>
      </c>
      <c r="I1904" t="str">
        <f>SUBSTITUTE(SUBSTITUTE(SUBSTITUTE(SUBSTITUTE(SUBSTITUTE(TRIM(B1904&amp;""),CHAR(160),"")," ",""),"초등학교","초"),"중학교","중"),"고등학교","고")</f>
      </c>
    </row>
    <row r="1905" customFormat="false" ht="15" hidden="false" customHeight="false" outlineLevel="0" collapsed="false">
      <c r="A1905" s="8"/>
      <c r="B1905" s="8"/>
      <c r="C1905" s="8"/>
      <c r="D1905" s="8"/>
      <c r="E1905" s="8"/>
      <c r="F1905" t="str" s="15">
        <f aca="0">IF(B1905="","",IF(H1905="","확인필요(입력누락)",IF(SUMPRODUCT((실물목록!$P$2:$P$1001&lt;&gt;"")*ISNUMBER(SEARCH(실물목록!$P$2:$P$1001,I1905))*(실물목록!$Q$2:$Q$1001&lt;&gt;"")*ISNUMBER(SEARCH(실물목록!$Q$2:$Q$1001,I1905))*(실물목록!$R$2:$R$1001="")*(실물목록!$O$2:$O$1001&lt;&gt;"")*(실물목록!$O$2:$O$1001=H1905))&gt;0,"실물 있음",IF(SUMPRODUCT((실물목록!$P$2:$P$1001&lt;&gt;"")*ISNUMBER(SEARCH(실물목록!$P$2:$P$1001,I1905))*(실물목록!$R$2:$R$1001&lt;&gt;""))&gt;0,"확인필요(입력누락)",IF(SUMPRODUCT((실물목록!$P$2:$P$1001&lt;&gt;"")*ISNUMBER(SEARCH(실물목록!$P$2:$P$1001,I1905))*(실물목록!$Q$2:$Q$1001&lt;&gt;"")*ISNUMBER(SEARCH(실물목록!$Q$2:$Q$1001,I1905))*(실물목록!$R$2:$R$1001="")*(실물목록!$O$2:$O$1001&lt;&gt;""))&gt;0,"확인필요(연도다름)","실물 없음")))))</f>
      </c>
      <c r="G1905" t="n" s="16">
        <f aca="0">IF(B1905="","",SUMPRODUCT((실물목록!$P$2:$P$1001&lt;&gt;"")*ISNUMBER(SEARCH(실물목록!$P$2:$P$1001,I1905))*(실물목록!$Q$2:$Q$1001&lt;&gt;"")*ISNUMBER(SEARCH(실물목록!$Q$2:$Q$1001,I1905))*(실물목록!$R$2:$R$1001="")*(실물목록!$O$2:$O$1001&lt;&gt;"")*(실물목록!$O$2:$O$1001=H1905)))</f>
      </c>
      <c r="H1905" t="str">
        <f>IFERROR(IF(AND(LEN(SUBSTITUTE(SUBSTITUTE(SUBSTITUTE(TRIM(A1905&amp;""),CHAR(160),"")," ",""),"년",""))=4,VALUE(SUBSTITUTE(SUBSTITUTE(SUBSTITUTE(TRIM(A1905&amp;""),CHAR(160),"")," ",""),"년",""))&gt;=1900,VALUE(SUBSTITUTE(SUBSTITUTE(SUBSTITUTE(TRIM(A1905&amp;""),CHAR(160),"")," ",""),"년",""))&lt;=2099,TEXT(VALUE(SUBSTITUTE(SUBSTITUTE(SUBSTITUTE(TRIM(A1905&amp;""),CHAR(160),"")," ",""),"년","")),"0000")=SUBSTITUTE(SUBSTITUTE(SUBSTITUTE(TRIM(A1905&amp;""),CHAR(160),"")," ",""),"년","")),SUBSTITUTE(SUBSTITUTE(SUBSTITUTE(TRIM(A1905&amp;""),CHAR(160),"")," ",""),"년",""),""),"")</f>
      </c>
      <c r="I1905" t="str">
        <f>SUBSTITUTE(SUBSTITUTE(SUBSTITUTE(SUBSTITUTE(SUBSTITUTE(TRIM(B1905&amp;""),CHAR(160),"")," ",""),"초등학교","초"),"중학교","중"),"고등학교","고")</f>
      </c>
    </row>
    <row r="1906" customFormat="false" ht="15" hidden="false" customHeight="false" outlineLevel="0" collapsed="false">
      <c r="A1906" s="8"/>
      <c r="B1906" s="8"/>
      <c r="C1906" s="8"/>
      <c r="D1906" s="8"/>
      <c r="E1906" s="8"/>
      <c r="F1906" t="str" s="15">
        <f aca="0">IF(B1906="","",IF(H1906="","확인필요(입력누락)",IF(SUMPRODUCT((실물목록!$P$2:$P$1001&lt;&gt;"")*ISNUMBER(SEARCH(실물목록!$P$2:$P$1001,I1906))*(실물목록!$Q$2:$Q$1001&lt;&gt;"")*ISNUMBER(SEARCH(실물목록!$Q$2:$Q$1001,I1906))*(실물목록!$R$2:$R$1001="")*(실물목록!$O$2:$O$1001&lt;&gt;"")*(실물목록!$O$2:$O$1001=H1906))&gt;0,"실물 있음",IF(SUMPRODUCT((실물목록!$P$2:$P$1001&lt;&gt;"")*ISNUMBER(SEARCH(실물목록!$P$2:$P$1001,I1906))*(실물목록!$R$2:$R$1001&lt;&gt;""))&gt;0,"확인필요(입력누락)",IF(SUMPRODUCT((실물목록!$P$2:$P$1001&lt;&gt;"")*ISNUMBER(SEARCH(실물목록!$P$2:$P$1001,I1906))*(실물목록!$Q$2:$Q$1001&lt;&gt;"")*ISNUMBER(SEARCH(실물목록!$Q$2:$Q$1001,I1906))*(실물목록!$R$2:$R$1001="")*(실물목록!$O$2:$O$1001&lt;&gt;""))&gt;0,"확인필요(연도다름)","실물 없음")))))</f>
      </c>
      <c r="G1906" t="n" s="16">
        <f aca="0">IF(B1906="","",SUMPRODUCT((실물목록!$P$2:$P$1001&lt;&gt;"")*ISNUMBER(SEARCH(실물목록!$P$2:$P$1001,I1906))*(실물목록!$Q$2:$Q$1001&lt;&gt;"")*ISNUMBER(SEARCH(실물목록!$Q$2:$Q$1001,I1906))*(실물목록!$R$2:$R$1001="")*(실물목록!$O$2:$O$1001&lt;&gt;"")*(실물목록!$O$2:$O$1001=H1906)))</f>
      </c>
      <c r="H1906" t="str">
        <f>IFERROR(IF(AND(LEN(SUBSTITUTE(SUBSTITUTE(SUBSTITUTE(TRIM(A1906&amp;""),CHAR(160),"")," ",""),"년",""))=4,VALUE(SUBSTITUTE(SUBSTITUTE(SUBSTITUTE(TRIM(A1906&amp;""),CHAR(160),"")," ",""),"년",""))&gt;=1900,VALUE(SUBSTITUTE(SUBSTITUTE(SUBSTITUTE(TRIM(A1906&amp;""),CHAR(160),"")," ",""),"년",""))&lt;=2099,TEXT(VALUE(SUBSTITUTE(SUBSTITUTE(SUBSTITUTE(TRIM(A1906&amp;""),CHAR(160),"")," ",""),"년","")),"0000")=SUBSTITUTE(SUBSTITUTE(SUBSTITUTE(TRIM(A1906&amp;""),CHAR(160),"")," ",""),"년","")),SUBSTITUTE(SUBSTITUTE(SUBSTITUTE(TRIM(A1906&amp;""),CHAR(160),"")," ",""),"년",""),""),"")</f>
      </c>
      <c r="I1906" t="str">
        <f>SUBSTITUTE(SUBSTITUTE(SUBSTITUTE(SUBSTITUTE(SUBSTITUTE(TRIM(B1906&amp;""),CHAR(160),"")," ",""),"초등학교","초"),"중학교","중"),"고등학교","고")</f>
      </c>
    </row>
    <row r="1907" customFormat="false" ht="15" hidden="false" customHeight="false" outlineLevel="0" collapsed="false">
      <c r="A1907" s="8"/>
      <c r="B1907" s="8"/>
      <c r="C1907" s="8"/>
      <c r="D1907" s="8"/>
      <c r="E1907" s="8"/>
      <c r="F1907" t="str" s="15">
        <f aca="0">IF(B1907="","",IF(H1907="","확인필요(입력누락)",IF(SUMPRODUCT((실물목록!$P$2:$P$1001&lt;&gt;"")*ISNUMBER(SEARCH(실물목록!$P$2:$P$1001,I1907))*(실물목록!$Q$2:$Q$1001&lt;&gt;"")*ISNUMBER(SEARCH(실물목록!$Q$2:$Q$1001,I1907))*(실물목록!$R$2:$R$1001="")*(실물목록!$O$2:$O$1001&lt;&gt;"")*(실물목록!$O$2:$O$1001=H1907))&gt;0,"실물 있음",IF(SUMPRODUCT((실물목록!$P$2:$P$1001&lt;&gt;"")*ISNUMBER(SEARCH(실물목록!$P$2:$P$1001,I1907))*(실물목록!$R$2:$R$1001&lt;&gt;""))&gt;0,"확인필요(입력누락)",IF(SUMPRODUCT((실물목록!$P$2:$P$1001&lt;&gt;"")*ISNUMBER(SEARCH(실물목록!$P$2:$P$1001,I1907))*(실물목록!$Q$2:$Q$1001&lt;&gt;"")*ISNUMBER(SEARCH(실물목록!$Q$2:$Q$1001,I1907))*(실물목록!$R$2:$R$1001="")*(실물목록!$O$2:$O$1001&lt;&gt;""))&gt;0,"확인필요(연도다름)","실물 없음")))))</f>
      </c>
      <c r="G1907" t="n" s="16">
        <f aca="0">IF(B1907="","",SUMPRODUCT((실물목록!$P$2:$P$1001&lt;&gt;"")*ISNUMBER(SEARCH(실물목록!$P$2:$P$1001,I1907))*(실물목록!$Q$2:$Q$1001&lt;&gt;"")*ISNUMBER(SEARCH(실물목록!$Q$2:$Q$1001,I1907))*(실물목록!$R$2:$R$1001="")*(실물목록!$O$2:$O$1001&lt;&gt;"")*(실물목록!$O$2:$O$1001=H1907)))</f>
      </c>
      <c r="H1907" t="str">
        <f>IFERROR(IF(AND(LEN(SUBSTITUTE(SUBSTITUTE(SUBSTITUTE(TRIM(A1907&amp;""),CHAR(160),"")," ",""),"년",""))=4,VALUE(SUBSTITUTE(SUBSTITUTE(SUBSTITUTE(TRIM(A1907&amp;""),CHAR(160),"")," ",""),"년",""))&gt;=1900,VALUE(SUBSTITUTE(SUBSTITUTE(SUBSTITUTE(TRIM(A1907&amp;""),CHAR(160),"")," ",""),"년",""))&lt;=2099,TEXT(VALUE(SUBSTITUTE(SUBSTITUTE(SUBSTITUTE(TRIM(A1907&amp;""),CHAR(160),"")," ",""),"년","")),"0000")=SUBSTITUTE(SUBSTITUTE(SUBSTITUTE(TRIM(A1907&amp;""),CHAR(160),"")," ",""),"년","")),SUBSTITUTE(SUBSTITUTE(SUBSTITUTE(TRIM(A1907&amp;""),CHAR(160),"")," ",""),"년",""),""),"")</f>
      </c>
      <c r="I1907" t="str">
        <f>SUBSTITUTE(SUBSTITUTE(SUBSTITUTE(SUBSTITUTE(SUBSTITUTE(TRIM(B1907&amp;""),CHAR(160),"")," ",""),"초등학교","초"),"중학교","중"),"고등학교","고")</f>
      </c>
    </row>
    <row r="1908" customFormat="false" ht="15" hidden="false" customHeight="false" outlineLevel="0" collapsed="false">
      <c r="A1908" s="8"/>
      <c r="B1908" s="8"/>
      <c r="C1908" s="8"/>
      <c r="D1908" s="8"/>
      <c r="E1908" s="8"/>
      <c r="F1908" t="str" s="15">
        <f aca="0">IF(B1908="","",IF(H1908="","확인필요(입력누락)",IF(SUMPRODUCT((실물목록!$P$2:$P$1001&lt;&gt;"")*ISNUMBER(SEARCH(실물목록!$P$2:$P$1001,I1908))*(실물목록!$Q$2:$Q$1001&lt;&gt;"")*ISNUMBER(SEARCH(실물목록!$Q$2:$Q$1001,I1908))*(실물목록!$R$2:$R$1001="")*(실물목록!$O$2:$O$1001&lt;&gt;"")*(실물목록!$O$2:$O$1001=H1908))&gt;0,"실물 있음",IF(SUMPRODUCT((실물목록!$P$2:$P$1001&lt;&gt;"")*ISNUMBER(SEARCH(실물목록!$P$2:$P$1001,I1908))*(실물목록!$R$2:$R$1001&lt;&gt;""))&gt;0,"확인필요(입력누락)",IF(SUMPRODUCT((실물목록!$P$2:$P$1001&lt;&gt;"")*ISNUMBER(SEARCH(실물목록!$P$2:$P$1001,I1908))*(실물목록!$Q$2:$Q$1001&lt;&gt;"")*ISNUMBER(SEARCH(실물목록!$Q$2:$Q$1001,I1908))*(실물목록!$R$2:$R$1001="")*(실물목록!$O$2:$O$1001&lt;&gt;""))&gt;0,"확인필요(연도다름)","실물 없음")))))</f>
      </c>
      <c r="G1908" t="n" s="16">
        <f aca="0">IF(B1908="","",SUMPRODUCT((실물목록!$P$2:$P$1001&lt;&gt;"")*ISNUMBER(SEARCH(실물목록!$P$2:$P$1001,I1908))*(실물목록!$Q$2:$Q$1001&lt;&gt;"")*ISNUMBER(SEARCH(실물목록!$Q$2:$Q$1001,I1908))*(실물목록!$R$2:$R$1001="")*(실물목록!$O$2:$O$1001&lt;&gt;"")*(실물목록!$O$2:$O$1001=H1908)))</f>
      </c>
      <c r="H1908" t="str">
        <f>IFERROR(IF(AND(LEN(SUBSTITUTE(SUBSTITUTE(SUBSTITUTE(TRIM(A1908&amp;""),CHAR(160),"")," ",""),"년",""))=4,VALUE(SUBSTITUTE(SUBSTITUTE(SUBSTITUTE(TRIM(A1908&amp;""),CHAR(160),"")," ",""),"년",""))&gt;=1900,VALUE(SUBSTITUTE(SUBSTITUTE(SUBSTITUTE(TRIM(A1908&amp;""),CHAR(160),"")," ",""),"년",""))&lt;=2099,TEXT(VALUE(SUBSTITUTE(SUBSTITUTE(SUBSTITUTE(TRIM(A1908&amp;""),CHAR(160),"")," ",""),"년","")),"0000")=SUBSTITUTE(SUBSTITUTE(SUBSTITUTE(TRIM(A1908&amp;""),CHAR(160),"")," ",""),"년","")),SUBSTITUTE(SUBSTITUTE(SUBSTITUTE(TRIM(A1908&amp;""),CHAR(160),"")," ",""),"년",""),""),"")</f>
      </c>
      <c r="I1908" t="str">
        <f>SUBSTITUTE(SUBSTITUTE(SUBSTITUTE(SUBSTITUTE(SUBSTITUTE(TRIM(B1908&amp;""),CHAR(160),"")," ",""),"초등학교","초"),"중학교","중"),"고등학교","고")</f>
      </c>
    </row>
    <row r="1909" customFormat="false" ht="15" hidden="false" customHeight="false" outlineLevel="0" collapsed="false">
      <c r="A1909" s="8"/>
      <c r="B1909" s="8"/>
      <c r="C1909" s="8"/>
      <c r="D1909" s="8"/>
      <c r="E1909" s="8"/>
      <c r="F1909" t="str" s="15">
        <f aca="0">IF(B1909="","",IF(H1909="","확인필요(입력누락)",IF(SUMPRODUCT((실물목록!$P$2:$P$1001&lt;&gt;"")*ISNUMBER(SEARCH(실물목록!$P$2:$P$1001,I1909))*(실물목록!$Q$2:$Q$1001&lt;&gt;"")*ISNUMBER(SEARCH(실물목록!$Q$2:$Q$1001,I1909))*(실물목록!$R$2:$R$1001="")*(실물목록!$O$2:$O$1001&lt;&gt;"")*(실물목록!$O$2:$O$1001=H1909))&gt;0,"실물 있음",IF(SUMPRODUCT((실물목록!$P$2:$P$1001&lt;&gt;"")*ISNUMBER(SEARCH(실물목록!$P$2:$P$1001,I1909))*(실물목록!$R$2:$R$1001&lt;&gt;""))&gt;0,"확인필요(입력누락)",IF(SUMPRODUCT((실물목록!$P$2:$P$1001&lt;&gt;"")*ISNUMBER(SEARCH(실물목록!$P$2:$P$1001,I1909))*(실물목록!$Q$2:$Q$1001&lt;&gt;"")*ISNUMBER(SEARCH(실물목록!$Q$2:$Q$1001,I1909))*(실물목록!$R$2:$R$1001="")*(실물목록!$O$2:$O$1001&lt;&gt;""))&gt;0,"확인필요(연도다름)","실물 없음")))))</f>
      </c>
      <c r="G1909" t="n" s="16">
        <f aca="0">IF(B1909="","",SUMPRODUCT((실물목록!$P$2:$P$1001&lt;&gt;"")*ISNUMBER(SEARCH(실물목록!$P$2:$P$1001,I1909))*(실물목록!$Q$2:$Q$1001&lt;&gt;"")*ISNUMBER(SEARCH(실물목록!$Q$2:$Q$1001,I1909))*(실물목록!$R$2:$R$1001="")*(실물목록!$O$2:$O$1001&lt;&gt;"")*(실물목록!$O$2:$O$1001=H1909)))</f>
      </c>
      <c r="H1909" t="str">
        <f>IFERROR(IF(AND(LEN(SUBSTITUTE(SUBSTITUTE(SUBSTITUTE(TRIM(A1909&amp;""),CHAR(160),"")," ",""),"년",""))=4,VALUE(SUBSTITUTE(SUBSTITUTE(SUBSTITUTE(TRIM(A1909&amp;""),CHAR(160),"")," ",""),"년",""))&gt;=1900,VALUE(SUBSTITUTE(SUBSTITUTE(SUBSTITUTE(TRIM(A1909&amp;""),CHAR(160),"")," ",""),"년",""))&lt;=2099,TEXT(VALUE(SUBSTITUTE(SUBSTITUTE(SUBSTITUTE(TRIM(A1909&amp;""),CHAR(160),"")," ",""),"년","")),"0000")=SUBSTITUTE(SUBSTITUTE(SUBSTITUTE(TRIM(A1909&amp;""),CHAR(160),"")," ",""),"년","")),SUBSTITUTE(SUBSTITUTE(SUBSTITUTE(TRIM(A1909&amp;""),CHAR(160),"")," ",""),"년",""),""),"")</f>
      </c>
      <c r="I1909" t="str">
        <f>SUBSTITUTE(SUBSTITUTE(SUBSTITUTE(SUBSTITUTE(SUBSTITUTE(TRIM(B1909&amp;""),CHAR(160),"")," ",""),"초등학교","초"),"중학교","중"),"고등학교","고")</f>
      </c>
    </row>
    <row r="1910" customFormat="false" ht="15" hidden="false" customHeight="false" outlineLevel="0" collapsed="false">
      <c r="A1910" s="8"/>
      <c r="B1910" s="8"/>
      <c r="C1910" s="8"/>
      <c r="D1910" s="8"/>
      <c r="E1910" s="8"/>
      <c r="F1910" t="str" s="15">
        <f aca="0">IF(B1910="","",IF(H1910="","확인필요(입력누락)",IF(SUMPRODUCT((실물목록!$P$2:$P$1001&lt;&gt;"")*ISNUMBER(SEARCH(실물목록!$P$2:$P$1001,I1910))*(실물목록!$Q$2:$Q$1001&lt;&gt;"")*ISNUMBER(SEARCH(실물목록!$Q$2:$Q$1001,I1910))*(실물목록!$R$2:$R$1001="")*(실물목록!$O$2:$O$1001&lt;&gt;"")*(실물목록!$O$2:$O$1001=H1910))&gt;0,"실물 있음",IF(SUMPRODUCT((실물목록!$P$2:$P$1001&lt;&gt;"")*ISNUMBER(SEARCH(실물목록!$P$2:$P$1001,I1910))*(실물목록!$R$2:$R$1001&lt;&gt;""))&gt;0,"확인필요(입력누락)",IF(SUMPRODUCT((실물목록!$P$2:$P$1001&lt;&gt;"")*ISNUMBER(SEARCH(실물목록!$P$2:$P$1001,I1910))*(실물목록!$Q$2:$Q$1001&lt;&gt;"")*ISNUMBER(SEARCH(실물목록!$Q$2:$Q$1001,I1910))*(실물목록!$R$2:$R$1001="")*(실물목록!$O$2:$O$1001&lt;&gt;""))&gt;0,"확인필요(연도다름)","실물 없음")))))</f>
      </c>
      <c r="G1910" t="n" s="16">
        <f aca="0">IF(B1910="","",SUMPRODUCT((실물목록!$P$2:$P$1001&lt;&gt;"")*ISNUMBER(SEARCH(실물목록!$P$2:$P$1001,I1910))*(실물목록!$Q$2:$Q$1001&lt;&gt;"")*ISNUMBER(SEARCH(실물목록!$Q$2:$Q$1001,I1910))*(실물목록!$R$2:$R$1001="")*(실물목록!$O$2:$O$1001&lt;&gt;"")*(실물목록!$O$2:$O$1001=H1910)))</f>
      </c>
      <c r="H1910" t="str">
        <f>IFERROR(IF(AND(LEN(SUBSTITUTE(SUBSTITUTE(SUBSTITUTE(TRIM(A1910&amp;""),CHAR(160),"")," ",""),"년",""))=4,VALUE(SUBSTITUTE(SUBSTITUTE(SUBSTITUTE(TRIM(A1910&amp;""),CHAR(160),"")," ",""),"년",""))&gt;=1900,VALUE(SUBSTITUTE(SUBSTITUTE(SUBSTITUTE(TRIM(A1910&amp;""),CHAR(160),"")," ",""),"년",""))&lt;=2099,TEXT(VALUE(SUBSTITUTE(SUBSTITUTE(SUBSTITUTE(TRIM(A1910&amp;""),CHAR(160),"")," ",""),"년","")),"0000")=SUBSTITUTE(SUBSTITUTE(SUBSTITUTE(TRIM(A1910&amp;""),CHAR(160),"")," ",""),"년","")),SUBSTITUTE(SUBSTITUTE(SUBSTITUTE(TRIM(A1910&amp;""),CHAR(160),"")," ",""),"년",""),""),"")</f>
      </c>
      <c r="I1910" t="str">
        <f>SUBSTITUTE(SUBSTITUTE(SUBSTITUTE(SUBSTITUTE(SUBSTITUTE(TRIM(B1910&amp;""),CHAR(160),"")," ",""),"초등학교","초"),"중학교","중"),"고등학교","고")</f>
      </c>
    </row>
    <row r="1911" customFormat="false" ht="15" hidden="false" customHeight="false" outlineLevel="0" collapsed="false">
      <c r="A1911" s="8"/>
      <c r="B1911" s="8"/>
      <c r="C1911" s="8"/>
      <c r="D1911" s="8"/>
      <c r="E1911" s="8"/>
      <c r="F1911" t="str" s="15">
        <f aca="0">IF(B1911="","",IF(H1911="","확인필요(입력누락)",IF(SUMPRODUCT((실물목록!$P$2:$P$1001&lt;&gt;"")*ISNUMBER(SEARCH(실물목록!$P$2:$P$1001,I1911))*(실물목록!$Q$2:$Q$1001&lt;&gt;"")*ISNUMBER(SEARCH(실물목록!$Q$2:$Q$1001,I1911))*(실물목록!$R$2:$R$1001="")*(실물목록!$O$2:$O$1001&lt;&gt;"")*(실물목록!$O$2:$O$1001=H1911))&gt;0,"실물 있음",IF(SUMPRODUCT((실물목록!$P$2:$P$1001&lt;&gt;"")*ISNUMBER(SEARCH(실물목록!$P$2:$P$1001,I1911))*(실물목록!$R$2:$R$1001&lt;&gt;""))&gt;0,"확인필요(입력누락)",IF(SUMPRODUCT((실물목록!$P$2:$P$1001&lt;&gt;"")*ISNUMBER(SEARCH(실물목록!$P$2:$P$1001,I1911))*(실물목록!$Q$2:$Q$1001&lt;&gt;"")*ISNUMBER(SEARCH(실물목록!$Q$2:$Q$1001,I1911))*(실물목록!$R$2:$R$1001="")*(실물목록!$O$2:$O$1001&lt;&gt;""))&gt;0,"확인필요(연도다름)","실물 없음")))))</f>
      </c>
      <c r="G1911" t="n" s="16">
        <f aca="0">IF(B1911="","",SUMPRODUCT((실물목록!$P$2:$P$1001&lt;&gt;"")*ISNUMBER(SEARCH(실물목록!$P$2:$P$1001,I1911))*(실물목록!$Q$2:$Q$1001&lt;&gt;"")*ISNUMBER(SEARCH(실물목록!$Q$2:$Q$1001,I1911))*(실물목록!$R$2:$R$1001="")*(실물목록!$O$2:$O$1001&lt;&gt;"")*(실물목록!$O$2:$O$1001=H1911)))</f>
      </c>
      <c r="H1911" t="str">
        <f>IFERROR(IF(AND(LEN(SUBSTITUTE(SUBSTITUTE(SUBSTITUTE(TRIM(A1911&amp;""),CHAR(160),"")," ",""),"년",""))=4,VALUE(SUBSTITUTE(SUBSTITUTE(SUBSTITUTE(TRIM(A1911&amp;""),CHAR(160),"")," ",""),"년",""))&gt;=1900,VALUE(SUBSTITUTE(SUBSTITUTE(SUBSTITUTE(TRIM(A1911&amp;""),CHAR(160),"")," ",""),"년",""))&lt;=2099,TEXT(VALUE(SUBSTITUTE(SUBSTITUTE(SUBSTITUTE(TRIM(A1911&amp;""),CHAR(160),"")," ",""),"년","")),"0000")=SUBSTITUTE(SUBSTITUTE(SUBSTITUTE(TRIM(A1911&amp;""),CHAR(160),"")," ",""),"년","")),SUBSTITUTE(SUBSTITUTE(SUBSTITUTE(TRIM(A1911&amp;""),CHAR(160),"")," ",""),"년",""),""),"")</f>
      </c>
      <c r="I1911" t="str">
        <f>SUBSTITUTE(SUBSTITUTE(SUBSTITUTE(SUBSTITUTE(SUBSTITUTE(TRIM(B1911&amp;""),CHAR(160),"")," ",""),"초등학교","초"),"중학교","중"),"고등학교","고")</f>
      </c>
    </row>
    <row r="1912" customFormat="false" ht="15" hidden="false" customHeight="false" outlineLevel="0" collapsed="false">
      <c r="A1912" s="8"/>
      <c r="B1912" s="8"/>
      <c r="C1912" s="8"/>
      <c r="D1912" s="8"/>
      <c r="E1912" s="8"/>
      <c r="F1912" t="str" s="15">
        <f aca="0">IF(B1912="","",IF(H1912="","확인필요(입력누락)",IF(SUMPRODUCT((실물목록!$P$2:$P$1001&lt;&gt;"")*ISNUMBER(SEARCH(실물목록!$P$2:$P$1001,I1912))*(실물목록!$Q$2:$Q$1001&lt;&gt;"")*ISNUMBER(SEARCH(실물목록!$Q$2:$Q$1001,I1912))*(실물목록!$R$2:$R$1001="")*(실물목록!$O$2:$O$1001&lt;&gt;"")*(실물목록!$O$2:$O$1001=H1912))&gt;0,"실물 있음",IF(SUMPRODUCT((실물목록!$P$2:$P$1001&lt;&gt;"")*ISNUMBER(SEARCH(실물목록!$P$2:$P$1001,I1912))*(실물목록!$R$2:$R$1001&lt;&gt;""))&gt;0,"확인필요(입력누락)",IF(SUMPRODUCT((실물목록!$P$2:$P$1001&lt;&gt;"")*ISNUMBER(SEARCH(실물목록!$P$2:$P$1001,I1912))*(실물목록!$Q$2:$Q$1001&lt;&gt;"")*ISNUMBER(SEARCH(실물목록!$Q$2:$Q$1001,I1912))*(실물목록!$R$2:$R$1001="")*(실물목록!$O$2:$O$1001&lt;&gt;""))&gt;0,"확인필요(연도다름)","실물 없음")))))</f>
      </c>
      <c r="G1912" t="n" s="16">
        <f aca="0">IF(B1912="","",SUMPRODUCT((실물목록!$P$2:$P$1001&lt;&gt;"")*ISNUMBER(SEARCH(실물목록!$P$2:$P$1001,I1912))*(실물목록!$Q$2:$Q$1001&lt;&gt;"")*ISNUMBER(SEARCH(실물목록!$Q$2:$Q$1001,I1912))*(실물목록!$R$2:$R$1001="")*(실물목록!$O$2:$O$1001&lt;&gt;"")*(실물목록!$O$2:$O$1001=H1912)))</f>
      </c>
      <c r="H1912" t="str">
        <f>IFERROR(IF(AND(LEN(SUBSTITUTE(SUBSTITUTE(SUBSTITUTE(TRIM(A1912&amp;""),CHAR(160),"")," ",""),"년",""))=4,VALUE(SUBSTITUTE(SUBSTITUTE(SUBSTITUTE(TRIM(A1912&amp;""),CHAR(160),"")," ",""),"년",""))&gt;=1900,VALUE(SUBSTITUTE(SUBSTITUTE(SUBSTITUTE(TRIM(A1912&amp;""),CHAR(160),"")," ",""),"년",""))&lt;=2099,TEXT(VALUE(SUBSTITUTE(SUBSTITUTE(SUBSTITUTE(TRIM(A1912&amp;""),CHAR(160),"")," ",""),"년","")),"0000")=SUBSTITUTE(SUBSTITUTE(SUBSTITUTE(TRIM(A1912&amp;""),CHAR(160),"")," ",""),"년","")),SUBSTITUTE(SUBSTITUTE(SUBSTITUTE(TRIM(A1912&amp;""),CHAR(160),"")," ",""),"년",""),""),"")</f>
      </c>
      <c r="I1912" t="str">
        <f>SUBSTITUTE(SUBSTITUTE(SUBSTITUTE(SUBSTITUTE(SUBSTITUTE(TRIM(B1912&amp;""),CHAR(160),"")," ",""),"초등학교","초"),"중학교","중"),"고등학교","고")</f>
      </c>
    </row>
    <row r="1913" customFormat="false" ht="15" hidden="false" customHeight="false" outlineLevel="0" collapsed="false">
      <c r="A1913" s="8"/>
      <c r="B1913" s="8"/>
      <c r="C1913" s="8"/>
      <c r="D1913" s="8"/>
      <c r="E1913" s="8"/>
      <c r="F1913" t="str" s="15">
        <f aca="0">IF(B1913="","",IF(H1913="","확인필요(입력누락)",IF(SUMPRODUCT((실물목록!$P$2:$P$1001&lt;&gt;"")*ISNUMBER(SEARCH(실물목록!$P$2:$P$1001,I1913))*(실물목록!$Q$2:$Q$1001&lt;&gt;"")*ISNUMBER(SEARCH(실물목록!$Q$2:$Q$1001,I1913))*(실물목록!$R$2:$R$1001="")*(실물목록!$O$2:$O$1001&lt;&gt;"")*(실물목록!$O$2:$O$1001=H1913))&gt;0,"실물 있음",IF(SUMPRODUCT((실물목록!$P$2:$P$1001&lt;&gt;"")*ISNUMBER(SEARCH(실물목록!$P$2:$P$1001,I1913))*(실물목록!$R$2:$R$1001&lt;&gt;""))&gt;0,"확인필요(입력누락)",IF(SUMPRODUCT((실물목록!$P$2:$P$1001&lt;&gt;"")*ISNUMBER(SEARCH(실물목록!$P$2:$P$1001,I1913))*(실물목록!$Q$2:$Q$1001&lt;&gt;"")*ISNUMBER(SEARCH(실물목록!$Q$2:$Q$1001,I1913))*(실물목록!$R$2:$R$1001="")*(실물목록!$O$2:$O$1001&lt;&gt;""))&gt;0,"확인필요(연도다름)","실물 없음")))))</f>
      </c>
      <c r="G1913" t="n" s="16">
        <f aca="0">IF(B1913="","",SUMPRODUCT((실물목록!$P$2:$P$1001&lt;&gt;"")*ISNUMBER(SEARCH(실물목록!$P$2:$P$1001,I1913))*(실물목록!$Q$2:$Q$1001&lt;&gt;"")*ISNUMBER(SEARCH(실물목록!$Q$2:$Q$1001,I1913))*(실물목록!$R$2:$R$1001="")*(실물목록!$O$2:$O$1001&lt;&gt;"")*(실물목록!$O$2:$O$1001=H1913)))</f>
      </c>
      <c r="H1913" t="str">
        <f>IFERROR(IF(AND(LEN(SUBSTITUTE(SUBSTITUTE(SUBSTITUTE(TRIM(A1913&amp;""),CHAR(160),"")," ",""),"년",""))=4,VALUE(SUBSTITUTE(SUBSTITUTE(SUBSTITUTE(TRIM(A1913&amp;""),CHAR(160),"")," ",""),"년",""))&gt;=1900,VALUE(SUBSTITUTE(SUBSTITUTE(SUBSTITUTE(TRIM(A1913&amp;""),CHAR(160),"")," ",""),"년",""))&lt;=2099,TEXT(VALUE(SUBSTITUTE(SUBSTITUTE(SUBSTITUTE(TRIM(A1913&amp;""),CHAR(160),"")," ",""),"년","")),"0000")=SUBSTITUTE(SUBSTITUTE(SUBSTITUTE(TRIM(A1913&amp;""),CHAR(160),"")," ",""),"년","")),SUBSTITUTE(SUBSTITUTE(SUBSTITUTE(TRIM(A1913&amp;""),CHAR(160),"")," ",""),"년",""),""),"")</f>
      </c>
      <c r="I1913" t="str">
        <f>SUBSTITUTE(SUBSTITUTE(SUBSTITUTE(SUBSTITUTE(SUBSTITUTE(TRIM(B1913&amp;""),CHAR(160),"")," ",""),"초등학교","초"),"중학교","중"),"고등학교","고")</f>
      </c>
    </row>
    <row r="1914" customFormat="false" ht="15" hidden="false" customHeight="false" outlineLevel="0" collapsed="false">
      <c r="A1914" s="8"/>
      <c r="B1914" s="8"/>
      <c r="C1914" s="8"/>
      <c r="D1914" s="8"/>
      <c r="E1914" s="8"/>
      <c r="F1914" t="str" s="15">
        <f aca="0">IF(B1914="","",IF(H1914="","확인필요(입력누락)",IF(SUMPRODUCT((실물목록!$P$2:$P$1001&lt;&gt;"")*ISNUMBER(SEARCH(실물목록!$P$2:$P$1001,I1914))*(실물목록!$Q$2:$Q$1001&lt;&gt;"")*ISNUMBER(SEARCH(실물목록!$Q$2:$Q$1001,I1914))*(실물목록!$R$2:$R$1001="")*(실물목록!$O$2:$O$1001&lt;&gt;"")*(실물목록!$O$2:$O$1001=H1914))&gt;0,"실물 있음",IF(SUMPRODUCT((실물목록!$P$2:$P$1001&lt;&gt;"")*ISNUMBER(SEARCH(실물목록!$P$2:$P$1001,I1914))*(실물목록!$R$2:$R$1001&lt;&gt;""))&gt;0,"확인필요(입력누락)",IF(SUMPRODUCT((실물목록!$P$2:$P$1001&lt;&gt;"")*ISNUMBER(SEARCH(실물목록!$P$2:$P$1001,I1914))*(실물목록!$Q$2:$Q$1001&lt;&gt;"")*ISNUMBER(SEARCH(실물목록!$Q$2:$Q$1001,I1914))*(실물목록!$R$2:$R$1001="")*(실물목록!$O$2:$O$1001&lt;&gt;""))&gt;0,"확인필요(연도다름)","실물 없음")))))</f>
      </c>
      <c r="G1914" t="n" s="16">
        <f aca="0">IF(B1914="","",SUMPRODUCT((실물목록!$P$2:$P$1001&lt;&gt;"")*ISNUMBER(SEARCH(실물목록!$P$2:$P$1001,I1914))*(실물목록!$Q$2:$Q$1001&lt;&gt;"")*ISNUMBER(SEARCH(실물목록!$Q$2:$Q$1001,I1914))*(실물목록!$R$2:$R$1001="")*(실물목록!$O$2:$O$1001&lt;&gt;"")*(실물목록!$O$2:$O$1001=H1914)))</f>
      </c>
      <c r="H1914" t="str">
        <f>IFERROR(IF(AND(LEN(SUBSTITUTE(SUBSTITUTE(SUBSTITUTE(TRIM(A1914&amp;""),CHAR(160),"")," ",""),"년",""))=4,VALUE(SUBSTITUTE(SUBSTITUTE(SUBSTITUTE(TRIM(A1914&amp;""),CHAR(160),"")," ",""),"년",""))&gt;=1900,VALUE(SUBSTITUTE(SUBSTITUTE(SUBSTITUTE(TRIM(A1914&amp;""),CHAR(160),"")," ",""),"년",""))&lt;=2099,TEXT(VALUE(SUBSTITUTE(SUBSTITUTE(SUBSTITUTE(TRIM(A1914&amp;""),CHAR(160),"")," ",""),"년","")),"0000")=SUBSTITUTE(SUBSTITUTE(SUBSTITUTE(TRIM(A1914&amp;""),CHAR(160),"")," ",""),"년","")),SUBSTITUTE(SUBSTITUTE(SUBSTITUTE(TRIM(A1914&amp;""),CHAR(160),"")," ",""),"년",""),""),"")</f>
      </c>
      <c r="I1914" t="str">
        <f>SUBSTITUTE(SUBSTITUTE(SUBSTITUTE(SUBSTITUTE(SUBSTITUTE(TRIM(B1914&amp;""),CHAR(160),"")," ",""),"초등학교","초"),"중학교","중"),"고등학교","고")</f>
      </c>
    </row>
    <row r="1915" customFormat="false" ht="15" hidden="false" customHeight="false" outlineLevel="0" collapsed="false">
      <c r="A1915" s="8"/>
      <c r="B1915" s="8"/>
      <c r="C1915" s="8"/>
      <c r="D1915" s="8"/>
      <c r="E1915" s="8"/>
      <c r="F1915" t="str" s="15">
        <f aca="0">IF(B1915="","",IF(H1915="","확인필요(입력누락)",IF(SUMPRODUCT((실물목록!$P$2:$P$1001&lt;&gt;"")*ISNUMBER(SEARCH(실물목록!$P$2:$P$1001,I1915))*(실물목록!$Q$2:$Q$1001&lt;&gt;"")*ISNUMBER(SEARCH(실물목록!$Q$2:$Q$1001,I1915))*(실물목록!$R$2:$R$1001="")*(실물목록!$O$2:$O$1001&lt;&gt;"")*(실물목록!$O$2:$O$1001=H1915))&gt;0,"실물 있음",IF(SUMPRODUCT((실물목록!$P$2:$P$1001&lt;&gt;"")*ISNUMBER(SEARCH(실물목록!$P$2:$P$1001,I1915))*(실물목록!$R$2:$R$1001&lt;&gt;""))&gt;0,"확인필요(입력누락)",IF(SUMPRODUCT((실물목록!$P$2:$P$1001&lt;&gt;"")*ISNUMBER(SEARCH(실물목록!$P$2:$P$1001,I1915))*(실물목록!$Q$2:$Q$1001&lt;&gt;"")*ISNUMBER(SEARCH(실물목록!$Q$2:$Q$1001,I1915))*(실물목록!$R$2:$R$1001="")*(실물목록!$O$2:$O$1001&lt;&gt;""))&gt;0,"확인필요(연도다름)","실물 없음")))))</f>
      </c>
      <c r="G1915" t="n" s="16">
        <f aca="0">IF(B1915="","",SUMPRODUCT((실물목록!$P$2:$P$1001&lt;&gt;"")*ISNUMBER(SEARCH(실물목록!$P$2:$P$1001,I1915))*(실물목록!$Q$2:$Q$1001&lt;&gt;"")*ISNUMBER(SEARCH(실물목록!$Q$2:$Q$1001,I1915))*(실물목록!$R$2:$R$1001="")*(실물목록!$O$2:$O$1001&lt;&gt;"")*(실물목록!$O$2:$O$1001=H1915)))</f>
      </c>
      <c r="H1915" t="str">
        <f>IFERROR(IF(AND(LEN(SUBSTITUTE(SUBSTITUTE(SUBSTITUTE(TRIM(A1915&amp;""),CHAR(160),"")," ",""),"년",""))=4,VALUE(SUBSTITUTE(SUBSTITUTE(SUBSTITUTE(TRIM(A1915&amp;""),CHAR(160),"")," ",""),"년",""))&gt;=1900,VALUE(SUBSTITUTE(SUBSTITUTE(SUBSTITUTE(TRIM(A1915&amp;""),CHAR(160),"")," ",""),"년",""))&lt;=2099,TEXT(VALUE(SUBSTITUTE(SUBSTITUTE(SUBSTITUTE(TRIM(A1915&amp;""),CHAR(160),"")," ",""),"년","")),"0000")=SUBSTITUTE(SUBSTITUTE(SUBSTITUTE(TRIM(A1915&amp;""),CHAR(160),"")," ",""),"년","")),SUBSTITUTE(SUBSTITUTE(SUBSTITUTE(TRIM(A1915&amp;""),CHAR(160),"")," ",""),"년",""),""),"")</f>
      </c>
      <c r="I1915" t="str">
        <f>SUBSTITUTE(SUBSTITUTE(SUBSTITUTE(SUBSTITUTE(SUBSTITUTE(TRIM(B1915&amp;""),CHAR(160),"")," ",""),"초등학교","초"),"중학교","중"),"고등학교","고")</f>
      </c>
    </row>
    <row r="1916" customFormat="false" ht="15" hidden="false" customHeight="false" outlineLevel="0" collapsed="false">
      <c r="A1916" s="8"/>
      <c r="B1916" s="8"/>
      <c r="C1916" s="8"/>
      <c r="D1916" s="8"/>
      <c r="E1916" s="8"/>
      <c r="F1916" t="str" s="15">
        <f aca="0">IF(B1916="","",IF(H1916="","확인필요(입력누락)",IF(SUMPRODUCT((실물목록!$P$2:$P$1001&lt;&gt;"")*ISNUMBER(SEARCH(실물목록!$P$2:$P$1001,I1916))*(실물목록!$Q$2:$Q$1001&lt;&gt;"")*ISNUMBER(SEARCH(실물목록!$Q$2:$Q$1001,I1916))*(실물목록!$R$2:$R$1001="")*(실물목록!$O$2:$O$1001&lt;&gt;"")*(실물목록!$O$2:$O$1001=H1916))&gt;0,"실물 있음",IF(SUMPRODUCT((실물목록!$P$2:$P$1001&lt;&gt;"")*ISNUMBER(SEARCH(실물목록!$P$2:$P$1001,I1916))*(실물목록!$R$2:$R$1001&lt;&gt;""))&gt;0,"확인필요(입력누락)",IF(SUMPRODUCT((실물목록!$P$2:$P$1001&lt;&gt;"")*ISNUMBER(SEARCH(실물목록!$P$2:$P$1001,I1916))*(실물목록!$Q$2:$Q$1001&lt;&gt;"")*ISNUMBER(SEARCH(실물목록!$Q$2:$Q$1001,I1916))*(실물목록!$R$2:$R$1001="")*(실물목록!$O$2:$O$1001&lt;&gt;""))&gt;0,"확인필요(연도다름)","실물 없음")))))</f>
      </c>
      <c r="G1916" t="n" s="16">
        <f aca="0">IF(B1916="","",SUMPRODUCT((실물목록!$P$2:$P$1001&lt;&gt;"")*ISNUMBER(SEARCH(실물목록!$P$2:$P$1001,I1916))*(실물목록!$Q$2:$Q$1001&lt;&gt;"")*ISNUMBER(SEARCH(실물목록!$Q$2:$Q$1001,I1916))*(실물목록!$R$2:$R$1001="")*(실물목록!$O$2:$O$1001&lt;&gt;"")*(실물목록!$O$2:$O$1001=H1916)))</f>
      </c>
      <c r="H1916" t="str">
        <f>IFERROR(IF(AND(LEN(SUBSTITUTE(SUBSTITUTE(SUBSTITUTE(TRIM(A1916&amp;""),CHAR(160),"")," ",""),"년",""))=4,VALUE(SUBSTITUTE(SUBSTITUTE(SUBSTITUTE(TRIM(A1916&amp;""),CHAR(160),"")," ",""),"년",""))&gt;=1900,VALUE(SUBSTITUTE(SUBSTITUTE(SUBSTITUTE(TRIM(A1916&amp;""),CHAR(160),"")," ",""),"년",""))&lt;=2099,TEXT(VALUE(SUBSTITUTE(SUBSTITUTE(SUBSTITUTE(TRIM(A1916&amp;""),CHAR(160),"")," ",""),"년","")),"0000")=SUBSTITUTE(SUBSTITUTE(SUBSTITUTE(TRIM(A1916&amp;""),CHAR(160),"")," ",""),"년","")),SUBSTITUTE(SUBSTITUTE(SUBSTITUTE(TRIM(A1916&amp;""),CHAR(160),"")," ",""),"년",""),""),"")</f>
      </c>
      <c r="I1916" t="str">
        <f>SUBSTITUTE(SUBSTITUTE(SUBSTITUTE(SUBSTITUTE(SUBSTITUTE(TRIM(B1916&amp;""),CHAR(160),"")," ",""),"초등학교","초"),"중학교","중"),"고등학교","고")</f>
      </c>
    </row>
    <row r="1917" customFormat="false" ht="15" hidden="false" customHeight="false" outlineLevel="0" collapsed="false">
      <c r="A1917" s="8"/>
      <c r="B1917" s="8"/>
      <c r="C1917" s="8"/>
      <c r="D1917" s="8"/>
      <c r="E1917" s="8"/>
      <c r="F1917" t="str" s="15">
        <f aca="0">IF(B1917="","",IF(H1917="","확인필요(입력누락)",IF(SUMPRODUCT((실물목록!$P$2:$P$1001&lt;&gt;"")*ISNUMBER(SEARCH(실물목록!$P$2:$P$1001,I1917))*(실물목록!$Q$2:$Q$1001&lt;&gt;"")*ISNUMBER(SEARCH(실물목록!$Q$2:$Q$1001,I1917))*(실물목록!$R$2:$R$1001="")*(실물목록!$O$2:$O$1001&lt;&gt;"")*(실물목록!$O$2:$O$1001=H1917))&gt;0,"실물 있음",IF(SUMPRODUCT((실물목록!$P$2:$P$1001&lt;&gt;"")*ISNUMBER(SEARCH(실물목록!$P$2:$P$1001,I1917))*(실물목록!$R$2:$R$1001&lt;&gt;""))&gt;0,"확인필요(입력누락)",IF(SUMPRODUCT((실물목록!$P$2:$P$1001&lt;&gt;"")*ISNUMBER(SEARCH(실물목록!$P$2:$P$1001,I1917))*(실물목록!$Q$2:$Q$1001&lt;&gt;"")*ISNUMBER(SEARCH(실물목록!$Q$2:$Q$1001,I1917))*(실물목록!$R$2:$R$1001="")*(실물목록!$O$2:$O$1001&lt;&gt;""))&gt;0,"확인필요(연도다름)","실물 없음")))))</f>
      </c>
      <c r="G1917" t="n" s="16">
        <f aca="0">IF(B1917="","",SUMPRODUCT((실물목록!$P$2:$P$1001&lt;&gt;"")*ISNUMBER(SEARCH(실물목록!$P$2:$P$1001,I1917))*(실물목록!$Q$2:$Q$1001&lt;&gt;"")*ISNUMBER(SEARCH(실물목록!$Q$2:$Q$1001,I1917))*(실물목록!$R$2:$R$1001="")*(실물목록!$O$2:$O$1001&lt;&gt;"")*(실물목록!$O$2:$O$1001=H1917)))</f>
      </c>
      <c r="H1917" t="str">
        <f>IFERROR(IF(AND(LEN(SUBSTITUTE(SUBSTITUTE(SUBSTITUTE(TRIM(A1917&amp;""),CHAR(160),"")," ",""),"년",""))=4,VALUE(SUBSTITUTE(SUBSTITUTE(SUBSTITUTE(TRIM(A1917&amp;""),CHAR(160),"")," ",""),"년",""))&gt;=1900,VALUE(SUBSTITUTE(SUBSTITUTE(SUBSTITUTE(TRIM(A1917&amp;""),CHAR(160),"")," ",""),"년",""))&lt;=2099,TEXT(VALUE(SUBSTITUTE(SUBSTITUTE(SUBSTITUTE(TRIM(A1917&amp;""),CHAR(160),"")," ",""),"년","")),"0000")=SUBSTITUTE(SUBSTITUTE(SUBSTITUTE(TRIM(A1917&amp;""),CHAR(160),"")," ",""),"년","")),SUBSTITUTE(SUBSTITUTE(SUBSTITUTE(TRIM(A1917&amp;""),CHAR(160),"")," ",""),"년",""),""),"")</f>
      </c>
      <c r="I1917" t="str">
        <f>SUBSTITUTE(SUBSTITUTE(SUBSTITUTE(SUBSTITUTE(SUBSTITUTE(TRIM(B1917&amp;""),CHAR(160),"")," ",""),"초등학교","초"),"중학교","중"),"고등학교","고")</f>
      </c>
    </row>
    <row r="1918" customFormat="false" ht="15" hidden="false" customHeight="false" outlineLevel="0" collapsed="false">
      <c r="A1918" s="8"/>
      <c r="B1918" s="8"/>
      <c r="C1918" s="8"/>
      <c r="D1918" s="8"/>
      <c r="E1918" s="8"/>
      <c r="F1918" t="str" s="15">
        <f aca="0">IF(B1918="","",IF(H1918="","확인필요(입력누락)",IF(SUMPRODUCT((실물목록!$P$2:$P$1001&lt;&gt;"")*ISNUMBER(SEARCH(실물목록!$P$2:$P$1001,I1918))*(실물목록!$Q$2:$Q$1001&lt;&gt;"")*ISNUMBER(SEARCH(실물목록!$Q$2:$Q$1001,I1918))*(실물목록!$R$2:$R$1001="")*(실물목록!$O$2:$O$1001&lt;&gt;"")*(실물목록!$O$2:$O$1001=H1918))&gt;0,"실물 있음",IF(SUMPRODUCT((실물목록!$P$2:$P$1001&lt;&gt;"")*ISNUMBER(SEARCH(실물목록!$P$2:$P$1001,I1918))*(실물목록!$R$2:$R$1001&lt;&gt;""))&gt;0,"확인필요(입력누락)",IF(SUMPRODUCT((실물목록!$P$2:$P$1001&lt;&gt;"")*ISNUMBER(SEARCH(실물목록!$P$2:$P$1001,I1918))*(실물목록!$Q$2:$Q$1001&lt;&gt;"")*ISNUMBER(SEARCH(실물목록!$Q$2:$Q$1001,I1918))*(실물목록!$R$2:$R$1001="")*(실물목록!$O$2:$O$1001&lt;&gt;""))&gt;0,"확인필요(연도다름)","실물 없음")))))</f>
      </c>
      <c r="G1918" t="n" s="16">
        <f aca="0">IF(B1918="","",SUMPRODUCT((실물목록!$P$2:$P$1001&lt;&gt;"")*ISNUMBER(SEARCH(실물목록!$P$2:$P$1001,I1918))*(실물목록!$Q$2:$Q$1001&lt;&gt;"")*ISNUMBER(SEARCH(실물목록!$Q$2:$Q$1001,I1918))*(실물목록!$R$2:$R$1001="")*(실물목록!$O$2:$O$1001&lt;&gt;"")*(실물목록!$O$2:$O$1001=H1918)))</f>
      </c>
      <c r="H1918" t="str">
        <f>IFERROR(IF(AND(LEN(SUBSTITUTE(SUBSTITUTE(SUBSTITUTE(TRIM(A1918&amp;""),CHAR(160),"")," ",""),"년",""))=4,VALUE(SUBSTITUTE(SUBSTITUTE(SUBSTITUTE(TRIM(A1918&amp;""),CHAR(160),"")," ",""),"년",""))&gt;=1900,VALUE(SUBSTITUTE(SUBSTITUTE(SUBSTITUTE(TRIM(A1918&amp;""),CHAR(160),"")," ",""),"년",""))&lt;=2099,TEXT(VALUE(SUBSTITUTE(SUBSTITUTE(SUBSTITUTE(TRIM(A1918&amp;""),CHAR(160),"")," ",""),"년","")),"0000")=SUBSTITUTE(SUBSTITUTE(SUBSTITUTE(TRIM(A1918&amp;""),CHAR(160),"")," ",""),"년","")),SUBSTITUTE(SUBSTITUTE(SUBSTITUTE(TRIM(A1918&amp;""),CHAR(160),"")," ",""),"년",""),""),"")</f>
      </c>
      <c r="I1918" t="str">
        <f>SUBSTITUTE(SUBSTITUTE(SUBSTITUTE(SUBSTITUTE(SUBSTITUTE(TRIM(B1918&amp;""),CHAR(160),"")," ",""),"초등학교","초"),"중학교","중"),"고등학교","고")</f>
      </c>
    </row>
    <row r="1919" customFormat="false" ht="15" hidden="false" customHeight="false" outlineLevel="0" collapsed="false">
      <c r="A1919" s="8"/>
      <c r="B1919" s="8"/>
      <c r="C1919" s="8"/>
      <c r="D1919" s="8"/>
      <c r="E1919" s="8"/>
      <c r="F1919" t="str" s="15">
        <f aca="0">IF(B1919="","",IF(H1919="","확인필요(입력누락)",IF(SUMPRODUCT((실물목록!$P$2:$P$1001&lt;&gt;"")*ISNUMBER(SEARCH(실물목록!$P$2:$P$1001,I1919))*(실물목록!$Q$2:$Q$1001&lt;&gt;"")*ISNUMBER(SEARCH(실물목록!$Q$2:$Q$1001,I1919))*(실물목록!$R$2:$R$1001="")*(실물목록!$O$2:$O$1001&lt;&gt;"")*(실물목록!$O$2:$O$1001=H1919))&gt;0,"실물 있음",IF(SUMPRODUCT((실물목록!$P$2:$P$1001&lt;&gt;"")*ISNUMBER(SEARCH(실물목록!$P$2:$P$1001,I1919))*(실물목록!$R$2:$R$1001&lt;&gt;""))&gt;0,"확인필요(입력누락)",IF(SUMPRODUCT((실물목록!$P$2:$P$1001&lt;&gt;"")*ISNUMBER(SEARCH(실물목록!$P$2:$P$1001,I1919))*(실물목록!$Q$2:$Q$1001&lt;&gt;"")*ISNUMBER(SEARCH(실물목록!$Q$2:$Q$1001,I1919))*(실물목록!$R$2:$R$1001="")*(실물목록!$O$2:$O$1001&lt;&gt;""))&gt;0,"확인필요(연도다름)","실물 없음")))))</f>
      </c>
      <c r="G1919" t="n" s="16">
        <f aca="0">IF(B1919="","",SUMPRODUCT((실물목록!$P$2:$P$1001&lt;&gt;"")*ISNUMBER(SEARCH(실물목록!$P$2:$P$1001,I1919))*(실물목록!$Q$2:$Q$1001&lt;&gt;"")*ISNUMBER(SEARCH(실물목록!$Q$2:$Q$1001,I1919))*(실물목록!$R$2:$R$1001="")*(실물목록!$O$2:$O$1001&lt;&gt;"")*(실물목록!$O$2:$O$1001=H1919)))</f>
      </c>
      <c r="H1919" t="str">
        <f>IFERROR(IF(AND(LEN(SUBSTITUTE(SUBSTITUTE(SUBSTITUTE(TRIM(A1919&amp;""),CHAR(160),"")," ",""),"년",""))=4,VALUE(SUBSTITUTE(SUBSTITUTE(SUBSTITUTE(TRIM(A1919&amp;""),CHAR(160),"")," ",""),"년",""))&gt;=1900,VALUE(SUBSTITUTE(SUBSTITUTE(SUBSTITUTE(TRIM(A1919&amp;""),CHAR(160),"")," ",""),"년",""))&lt;=2099,TEXT(VALUE(SUBSTITUTE(SUBSTITUTE(SUBSTITUTE(TRIM(A1919&amp;""),CHAR(160),"")," ",""),"년","")),"0000")=SUBSTITUTE(SUBSTITUTE(SUBSTITUTE(TRIM(A1919&amp;""),CHAR(160),"")," ",""),"년","")),SUBSTITUTE(SUBSTITUTE(SUBSTITUTE(TRIM(A1919&amp;""),CHAR(160),"")," ",""),"년",""),""),"")</f>
      </c>
      <c r="I1919" t="str">
        <f>SUBSTITUTE(SUBSTITUTE(SUBSTITUTE(SUBSTITUTE(SUBSTITUTE(TRIM(B1919&amp;""),CHAR(160),"")," ",""),"초등학교","초"),"중학교","중"),"고등학교","고")</f>
      </c>
    </row>
    <row r="1920" customFormat="false" ht="15" hidden="false" customHeight="false" outlineLevel="0" collapsed="false">
      <c r="A1920" s="8"/>
      <c r="B1920" s="8"/>
      <c r="C1920" s="8"/>
      <c r="D1920" s="8"/>
      <c r="E1920" s="8"/>
      <c r="F1920" t="str" s="15">
        <f aca="0">IF(B1920="","",IF(H1920="","확인필요(입력누락)",IF(SUMPRODUCT((실물목록!$P$2:$P$1001&lt;&gt;"")*ISNUMBER(SEARCH(실물목록!$P$2:$P$1001,I1920))*(실물목록!$Q$2:$Q$1001&lt;&gt;"")*ISNUMBER(SEARCH(실물목록!$Q$2:$Q$1001,I1920))*(실물목록!$R$2:$R$1001="")*(실물목록!$O$2:$O$1001&lt;&gt;"")*(실물목록!$O$2:$O$1001=H1920))&gt;0,"실물 있음",IF(SUMPRODUCT((실물목록!$P$2:$P$1001&lt;&gt;"")*ISNUMBER(SEARCH(실물목록!$P$2:$P$1001,I1920))*(실물목록!$R$2:$R$1001&lt;&gt;""))&gt;0,"확인필요(입력누락)",IF(SUMPRODUCT((실물목록!$P$2:$P$1001&lt;&gt;"")*ISNUMBER(SEARCH(실물목록!$P$2:$P$1001,I1920))*(실물목록!$Q$2:$Q$1001&lt;&gt;"")*ISNUMBER(SEARCH(실물목록!$Q$2:$Q$1001,I1920))*(실물목록!$R$2:$R$1001="")*(실물목록!$O$2:$O$1001&lt;&gt;""))&gt;0,"확인필요(연도다름)","실물 없음")))))</f>
      </c>
      <c r="G1920" t="n" s="16">
        <f aca="0">IF(B1920="","",SUMPRODUCT((실물목록!$P$2:$P$1001&lt;&gt;"")*ISNUMBER(SEARCH(실물목록!$P$2:$P$1001,I1920))*(실물목록!$Q$2:$Q$1001&lt;&gt;"")*ISNUMBER(SEARCH(실물목록!$Q$2:$Q$1001,I1920))*(실물목록!$R$2:$R$1001="")*(실물목록!$O$2:$O$1001&lt;&gt;"")*(실물목록!$O$2:$O$1001=H1920)))</f>
      </c>
      <c r="H1920" t="str">
        <f>IFERROR(IF(AND(LEN(SUBSTITUTE(SUBSTITUTE(SUBSTITUTE(TRIM(A1920&amp;""),CHAR(160),"")," ",""),"년",""))=4,VALUE(SUBSTITUTE(SUBSTITUTE(SUBSTITUTE(TRIM(A1920&amp;""),CHAR(160),"")," ",""),"년",""))&gt;=1900,VALUE(SUBSTITUTE(SUBSTITUTE(SUBSTITUTE(TRIM(A1920&amp;""),CHAR(160),"")," ",""),"년",""))&lt;=2099,TEXT(VALUE(SUBSTITUTE(SUBSTITUTE(SUBSTITUTE(TRIM(A1920&amp;""),CHAR(160),"")," ",""),"년","")),"0000")=SUBSTITUTE(SUBSTITUTE(SUBSTITUTE(TRIM(A1920&amp;""),CHAR(160),"")," ",""),"년","")),SUBSTITUTE(SUBSTITUTE(SUBSTITUTE(TRIM(A1920&amp;""),CHAR(160),"")," ",""),"년",""),""),"")</f>
      </c>
      <c r="I1920" t="str">
        <f>SUBSTITUTE(SUBSTITUTE(SUBSTITUTE(SUBSTITUTE(SUBSTITUTE(TRIM(B1920&amp;""),CHAR(160),"")," ",""),"초등학교","초"),"중학교","중"),"고등학교","고")</f>
      </c>
    </row>
    <row r="1921" customFormat="false" ht="15" hidden="false" customHeight="false" outlineLevel="0" collapsed="false">
      <c r="A1921" s="8"/>
      <c r="B1921" s="8"/>
      <c r="C1921" s="8"/>
      <c r="D1921" s="8"/>
      <c r="E1921" s="8"/>
      <c r="F1921" t="str" s="15">
        <f aca="0">IF(B1921="","",IF(H1921="","확인필요(입력누락)",IF(SUMPRODUCT((실물목록!$P$2:$P$1001&lt;&gt;"")*ISNUMBER(SEARCH(실물목록!$P$2:$P$1001,I1921))*(실물목록!$Q$2:$Q$1001&lt;&gt;"")*ISNUMBER(SEARCH(실물목록!$Q$2:$Q$1001,I1921))*(실물목록!$R$2:$R$1001="")*(실물목록!$O$2:$O$1001&lt;&gt;"")*(실물목록!$O$2:$O$1001=H1921))&gt;0,"실물 있음",IF(SUMPRODUCT((실물목록!$P$2:$P$1001&lt;&gt;"")*ISNUMBER(SEARCH(실물목록!$P$2:$P$1001,I1921))*(실물목록!$R$2:$R$1001&lt;&gt;""))&gt;0,"확인필요(입력누락)",IF(SUMPRODUCT((실물목록!$P$2:$P$1001&lt;&gt;"")*ISNUMBER(SEARCH(실물목록!$P$2:$P$1001,I1921))*(실물목록!$Q$2:$Q$1001&lt;&gt;"")*ISNUMBER(SEARCH(실물목록!$Q$2:$Q$1001,I1921))*(실물목록!$R$2:$R$1001="")*(실물목록!$O$2:$O$1001&lt;&gt;""))&gt;0,"확인필요(연도다름)","실물 없음")))))</f>
      </c>
      <c r="G1921" t="n" s="16">
        <f aca="0">IF(B1921="","",SUMPRODUCT((실물목록!$P$2:$P$1001&lt;&gt;"")*ISNUMBER(SEARCH(실물목록!$P$2:$P$1001,I1921))*(실물목록!$Q$2:$Q$1001&lt;&gt;"")*ISNUMBER(SEARCH(실물목록!$Q$2:$Q$1001,I1921))*(실물목록!$R$2:$R$1001="")*(실물목록!$O$2:$O$1001&lt;&gt;"")*(실물목록!$O$2:$O$1001=H1921)))</f>
      </c>
      <c r="H1921" t="str">
        <f>IFERROR(IF(AND(LEN(SUBSTITUTE(SUBSTITUTE(SUBSTITUTE(TRIM(A1921&amp;""),CHAR(160),"")," ",""),"년",""))=4,VALUE(SUBSTITUTE(SUBSTITUTE(SUBSTITUTE(TRIM(A1921&amp;""),CHAR(160),"")," ",""),"년",""))&gt;=1900,VALUE(SUBSTITUTE(SUBSTITUTE(SUBSTITUTE(TRIM(A1921&amp;""),CHAR(160),"")," ",""),"년",""))&lt;=2099,TEXT(VALUE(SUBSTITUTE(SUBSTITUTE(SUBSTITUTE(TRIM(A1921&amp;""),CHAR(160),"")," ",""),"년","")),"0000")=SUBSTITUTE(SUBSTITUTE(SUBSTITUTE(TRIM(A1921&amp;""),CHAR(160),"")," ",""),"년","")),SUBSTITUTE(SUBSTITUTE(SUBSTITUTE(TRIM(A1921&amp;""),CHAR(160),"")," ",""),"년",""),""),"")</f>
      </c>
      <c r="I1921" t="str">
        <f>SUBSTITUTE(SUBSTITUTE(SUBSTITUTE(SUBSTITUTE(SUBSTITUTE(TRIM(B1921&amp;""),CHAR(160),"")," ",""),"초등학교","초"),"중학교","중"),"고등학교","고")</f>
      </c>
    </row>
    <row r="1922" customFormat="false" ht="15" hidden="false" customHeight="false" outlineLevel="0" collapsed="false">
      <c r="A1922" s="8"/>
      <c r="B1922" s="8"/>
      <c r="C1922" s="8"/>
      <c r="D1922" s="8"/>
      <c r="E1922" s="8"/>
      <c r="F1922" t="str" s="15">
        <f aca="0">IF(B1922="","",IF(H1922="","확인필요(입력누락)",IF(SUMPRODUCT((실물목록!$P$2:$P$1001&lt;&gt;"")*ISNUMBER(SEARCH(실물목록!$P$2:$P$1001,I1922))*(실물목록!$Q$2:$Q$1001&lt;&gt;"")*ISNUMBER(SEARCH(실물목록!$Q$2:$Q$1001,I1922))*(실물목록!$R$2:$R$1001="")*(실물목록!$O$2:$O$1001&lt;&gt;"")*(실물목록!$O$2:$O$1001=H1922))&gt;0,"실물 있음",IF(SUMPRODUCT((실물목록!$P$2:$P$1001&lt;&gt;"")*ISNUMBER(SEARCH(실물목록!$P$2:$P$1001,I1922))*(실물목록!$R$2:$R$1001&lt;&gt;""))&gt;0,"확인필요(입력누락)",IF(SUMPRODUCT((실물목록!$P$2:$P$1001&lt;&gt;"")*ISNUMBER(SEARCH(실물목록!$P$2:$P$1001,I1922))*(실물목록!$Q$2:$Q$1001&lt;&gt;"")*ISNUMBER(SEARCH(실물목록!$Q$2:$Q$1001,I1922))*(실물목록!$R$2:$R$1001="")*(실물목록!$O$2:$O$1001&lt;&gt;""))&gt;0,"확인필요(연도다름)","실물 없음")))))</f>
      </c>
      <c r="G1922" t="n" s="16">
        <f aca="0">IF(B1922="","",SUMPRODUCT((실물목록!$P$2:$P$1001&lt;&gt;"")*ISNUMBER(SEARCH(실물목록!$P$2:$P$1001,I1922))*(실물목록!$Q$2:$Q$1001&lt;&gt;"")*ISNUMBER(SEARCH(실물목록!$Q$2:$Q$1001,I1922))*(실물목록!$R$2:$R$1001="")*(실물목록!$O$2:$O$1001&lt;&gt;"")*(실물목록!$O$2:$O$1001=H1922)))</f>
      </c>
      <c r="H1922" t="str">
        <f>IFERROR(IF(AND(LEN(SUBSTITUTE(SUBSTITUTE(SUBSTITUTE(TRIM(A1922&amp;""),CHAR(160),"")," ",""),"년",""))=4,VALUE(SUBSTITUTE(SUBSTITUTE(SUBSTITUTE(TRIM(A1922&amp;""),CHAR(160),"")," ",""),"년",""))&gt;=1900,VALUE(SUBSTITUTE(SUBSTITUTE(SUBSTITUTE(TRIM(A1922&amp;""),CHAR(160),"")," ",""),"년",""))&lt;=2099,TEXT(VALUE(SUBSTITUTE(SUBSTITUTE(SUBSTITUTE(TRIM(A1922&amp;""),CHAR(160),"")," ",""),"년","")),"0000")=SUBSTITUTE(SUBSTITUTE(SUBSTITUTE(TRIM(A1922&amp;""),CHAR(160),"")," ",""),"년","")),SUBSTITUTE(SUBSTITUTE(SUBSTITUTE(TRIM(A1922&amp;""),CHAR(160),"")," ",""),"년",""),""),"")</f>
      </c>
      <c r="I1922" t="str">
        <f>SUBSTITUTE(SUBSTITUTE(SUBSTITUTE(SUBSTITUTE(SUBSTITUTE(TRIM(B1922&amp;""),CHAR(160),"")," ",""),"초등학교","초"),"중학교","중"),"고등학교","고")</f>
      </c>
    </row>
    <row r="1923" customFormat="false" ht="15" hidden="false" customHeight="false" outlineLevel="0" collapsed="false">
      <c r="A1923" s="8"/>
      <c r="B1923" s="8"/>
      <c r="C1923" s="8"/>
      <c r="D1923" s="8"/>
      <c r="E1923" s="8"/>
      <c r="F1923" t="str" s="15">
        <f aca="0">IF(B1923="","",IF(H1923="","확인필요(입력누락)",IF(SUMPRODUCT((실물목록!$P$2:$P$1001&lt;&gt;"")*ISNUMBER(SEARCH(실물목록!$P$2:$P$1001,I1923))*(실물목록!$Q$2:$Q$1001&lt;&gt;"")*ISNUMBER(SEARCH(실물목록!$Q$2:$Q$1001,I1923))*(실물목록!$R$2:$R$1001="")*(실물목록!$O$2:$O$1001&lt;&gt;"")*(실물목록!$O$2:$O$1001=H1923))&gt;0,"실물 있음",IF(SUMPRODUCT((실물목록!$P$2:$P$1001&lt;&gt;"")*ISNUMBER(SEARCH(실물목록!$P$2:$P$1001,I1923))*(실물목록!$R$2:$R$1001&lt;&gt;""))&gt;0,"확인필요(입력누락)",IF(SUMPRODUCT((실물목록!$P$2:$P$1001&lt;&gt;"")*ISNUMBER(SEARCH(실물목록!$P$2:$P$1001,I1923))*(실물목록!$Q$2:$Q$1001&lt;&gt;"")*ISNUMBER(SEARCH(실물목록!$Q$2:$Q$1001,I1923))*(실물목록!$R$2:$R$1001="")*(실물목록!$O$2:$O$1001&lt;&gt;""))&gt;0,"확인필요(연도다름)","실물 없음")))))</f>
      </c>
      <c r="G1923" t="n" s="16">
        <f aca="0">IF(B1923="","",SUMPRODUCT((실물목록!$P$2:$P$1001&lt;&gt;"")*ISNUMBER(SEARCH(실물목록!$P$2:$P$1001,I1923))*(실물목록!$Q$2:$Q$1001&lt;&gt;"")*ISNUMBER(SEARCH(실물목록!$Q$2:$Q$1001,I1923))*(실물목록!$R$2:$R$1001="")*(실물목록!$O$2:$O$1001&lt;&gt;"")*(실물목록!$O$2:$O$1001=H1923)))</f>
      </c>
      <c r="H1923" t="str">
        <f>IFERROR(IF(AND(LEN(SUBSTITUTE(SUBSTITUTE(SUBSTITUTE(TRIM(A1923&amp;""),CHAR(160),"")," ",""),"년",""))=4,VALUE(SUBSTITUTE(SUBSTITUTE(SUBSTITUTE(TRIM(A1923&amp;""),CHAR(160),"")," ",""),"년",""))&gt;=1900,VALUE(SUBSTITUTE(SUBSTITUTE(SUBSTITUTE(TRIM(A1923&amp;""),CHAR(160),"")," ",""),"년",""))&lt;=2099,TEXT(VALUE(SUBSTITUTE(SUBSTITUTE(SUBSTITUTE(TRIM(A1923&amp;""),CHAR(160),"")," ",""),"년","")),"0000")=SUBSTITUTE(SUBSTITUTE(SUBSTITUTE(TRIM(A1923&amp;""),CHAR(160),"")," ",""),"년","")),SUBSTITUTE(SUBSTITUTE(SUBSTITUTE(TRIM(A1923&amp;""),CHAR(160),"")," ",""),"년",""),""),"")</f>
      </c>
      <c r="I1923" t="str">
        <f>SUBSTITUTE(SUBSTITUTE(SUBSTITUTE(SUBSTITUTE(SUBSTITUTE(TRIM(B1923&amp;""),CHAR(160),"")," ",""),"초등학교","초"),"중학교","중"),"고등학교","고")</f>
      </c>
    </row>
    <row r="1924" customFormat="false" ht="15" hidden="false" customHeight="false" outlineLevel="0" collapsed="false">
      <c r="A1924" s="8"/>
      <c r="B1924" s="8"/>
      <c r="C1924" s="8"/>
      <c r="D1924" s="8"/>
      <c r="E1924" s="8"/>
      <c r="F1924" t="str" s="15">
        <f aca="0">IF(B1924="","",IF(H1924="","확인필요(입력누락)",IF(SUMPRODUCT((실물목록!$P$2:$P$1001&lt;&gt;"")*ISNUMBER(SEARCH(실물목록!$P$2:$P$1001,I1924))*(실물목록!$Q$2:$Q$1001&lt;&gt;"")*ISNUMBER(SEARCH(실물목록!$Q$2:$Q$1001,I1924))*(실물목록!$R$2:$R$1001="")*(실물목록!$O$2:$O$1001&lt;&gt;"")*(실물목록!$O$2:$O$1001=H1924))&gt;0,"실물 있음",IF(SUMPRODUCT((실물목록!$P$2:$P$1001&lt;&gt;"")*ISNUMBER(SEARCH(실물목록!$P$2:$P$1001,I1924))*(실물목록!$R$2:$R$1001&lt;&gt;""))&gt;0,"확인필요(입력누락)",IF(SUMPRODUCT((실물목록!$P$2:$P$1001&lt;&gt;"")*ISNUMBER(SEARCH(실물목록!$P$2:$P$1001,I1924))*(실물목록!$Q$2:$Q$1001&lt;&gt;"")*ISNUMBER(SEARCH(실물목록!$Q$2:$Q$1001,I1924))*(실물목록!$R$2:$R$1001="")*(실물목록!$O$2:$O$1001&lt;&gt;""))&gt;0,"확인필요(연도다름)","실물 없음")))))</f>
      </c>
      <c r="G1924" t="n" s="16">
        <f aca="0">IF(B1924="","",SUMPRODUCT((실물목록!$P$2:$P$1001&lt;&gt;"")*ISNUMBER(SEARCH(실물목록!$P$2:$P$1001,I1924))*(실물목록!$Q$2:$Q$1001&lt;&gt;"")*ISNUMBER(SEARCH(실물목록!$Q$2:$Q$1001,I1924))*(실물목록!$R$2:$R$1001="")*(실물목록!$O$2:$O$1001&lt;&gt;"")*(실물목록!$O$2:$O$1001=H1924)))</f>
      </c>
      <c r="H1924" t="str">
        <f>IFERROR(IF(AND(LEN(SUBSTITUTE(SUBSTITUTE(SUBSTITUTE(TRIM(A1924&amp;""),CHAR(160),"")," ",""),"년",""))=4,VALUE(SUBSTITUTE(SUBSTITUTE(SUBSTITUTE(TRIM(A1924&amp;""),CHAR(160),"")," ",""),"년",""))&gt;=1900,VALUE(SUBSTITUTE(SUBSTITUTE(SUBSTITUTE(TRIM(A1924&amp;""),CHAR(160),"")," ",""),"년",""))&lt;=2099,TEXT(VALUE(SUBSTITUTE(SUBSTITUTE(SUBSTITUTE(TRIM(A1924&amp;""),CHAR(160),"")," ",""),"년","")),"0000")=SUBSTITUTE(SUBSTITUTE(SUBSTITUTE(TRIM(A1924&amp;""),CHAR(160),"")," ",""),"년","")),SUBSTITUTE(SUBSTITUTE(SUBSTITUTE(TRIM(A1924&amp;""),CHAR(160),"")," ",""),"년",""),""),"")</f>
      </c>
      <c r="I1924" t="str">
        <f>SUBSTITUTE(SUBSTITUTE(SUBSTITUTE(SUBSTITUTE(SUBSTITUTE(TRIM(B1924&amp;""),CHAR(160),"")," ",""),"초등학교","초"),"중학교","중"),"고등학교","고")</f>
      </c>
    </row>
    <row r="1925" customFormat="false" ht="15" hidden="false" customHeight="false" outlineLevel="0" collapsed="false">
      <c r="A1925" s="8"/>
      <c r="B1925" s="8"/>
      <c r="C1925" s="8"/>
      <c r="D1925" s="8"/>
      <c r="E1925" s="8"/>
      <c r="F1925" t="str" s="15">
        <f aca="0">IF(B1925="","",IF(H1925="","확인필요(입력누락)",IF(SUMPRODUCT((실물목록!$P$2:$P$1001&lt;&gt;"")*ISNUMBER(SEARCH(실물목록!$P$2:$P$1001,I1925))*(실물목록!$Q$2:$Q$1001&lt;&gt;"")*ISNUMBER(SEARCH(실물목록!$Q$2:$Q$1001,I1925))*(실물목록!$R$2:$R$1001="")*(실물목록!$O$2:$O$1001&lt;&gt;"")*(실물목록!$O$2:$O$1001=H1925))&gt;0,"실물 있음",IF(SUMPRODUCT((실물목록!$P$2:$P$1001&lt;&gt;"")*ISNUMBER(SEARCH(실물목록!$P$2:$P$1001,I1925))*(실물목록!$R$2:$R$1001&lt;&gt;""))&gt;0,"확인필요(입력누락)",IF(SUMPRODUCT((실물목록!$P$2:$P$1001&lt;&gt;"")*ISNUMBER(SEARCH(실물목록!$P$2:$P$1001,I1925))*(실물목록!$Q$2:$Q$1001&lt;&gt;"")*ISNUMBER(SEARCH(실물목록!$Q$2:$Q$1001,I1925))*(실물목록!$R$2:$R$1001="")*(실물목록!$O$2:$O$1001&lt;&gt;""))&gt;0,"확인필요(연도다름)","실물 없음")))))</f>
      </c>
      <c r="G1925" t="n" s="16">
        <f aca="0">IF(B1925="","",SUMPRODUCT((실물목록!$P$2:$P$1001&lt;&gt;"")*ISNUMBER(SEARCH(실물목록!$P$2:$P$1001,I1925))*(실물목록!$Q$2:$Q$1001&lt;&gt;"")*ISNUMBER(SEARCH(실물목록!$Q$2:$Q$1001,I1925))*(실물목록!$R$2:$R$1001="")*(실물목록!$O$2:$O$1001&lt;&gt;"")*(실물목록!$O$2:$O$1001=H1925)))</f>
      </c>
      <c r="H1925" t="str">
        <f>IFERROR(IF(AND(LEN(SUBSTITUTE(SUBSTITUTE(SUBSTITUTE(TRIM(A1925&amp;""),CHAR(160),"")," ",""),"년",""))=4,VALUE(SUBSTITUTE(SUBSTITUTE(SUBSTITUTE(TRIM(A1925&amp;""),CHAR(160),"")," ",""),"년",""))&gt;=1900,VALUE(SUBSTITUTE(SUBSTITUTE(SUBSTITUTE(TRIM(A1925&amp;""),CHAR(160),"")," ",""),"년",""))&lt;=2099,TEXT(VALUE(SUBSTITUTE(SUBSTITUTE(SUBSTITUTE(TRIM(A1925&amp;""),CHAR(160),"")," ",""),"년","")),"0000")=SUBSTITUTE(SUBSTITUTE(SUBSTITUTE(TRIM(A1925&amp;""),CHAR(160),"")," ",""),"년","")),SUBSTITUTE(SUBSTITUTE(SUBSTITUTE(TRIM(A1925&amp;""),CHAR(160),"")," ",""),"년",""),""),"")</f>
      </c>
      <c r="I1925" t="str">
        <f>SUBSTITUTE(SUBSTITUTE(SUBSTITUTE(SUBSTITUTE(SUBSTITUTE(TRIM(B1925&amp;""),CHAR(160),"")," ",""),"초등학교","초"),"중학교","중"),"고등학교","고")</f>
      </c>
    </row>
    <row r="1926" customFormat="false" ht="15" hidden="false" customHeight="false" outlineLevel="0" collapsed="false">
      <c r="A1926" s="8"/>
      <c r="B1926" s="8"/>
      <c r="C1926" s="8"/>
      <c r="D1926" s="8"/>
      <c r="E1926" s="8"/>
      <c r="F1926" t="str" s="15">
        <f aca="0">IF(B1926="","",IF(H1926="","확인필요(입력누락)",IF(SUMPRODUCT((실물목록!$P$2:$P$1001&lt;&gt;"")*ISNUMBER(SEARCH(실물목록!$P$2:$P$1001,I1926))*(실물목록!$Q$2:$Q$1001&lt;&gt;"")*ISNUMBER(SEARCH(실물목록!$Q$2:$Q$1001,I1926))*(실물목록!$R$2:$R$1001="")*(실물목록!$O$2:$O$1001&lt;&gt;"")*(실물목록!$O$2:$O$1001=H1926))&gt;0,"실물 있음",IF(SUMPRODUCT((실물목록!$P$2:$P$1001&lt;&gt;"")*ISNUMBER(SEARCH(실물목록!$P$2:$P$1001,I1926))*(실물목록!$R$2:$R$1001&lt;&gt;""))&gt;0,"확인필요(입력누락)",IF(SUMPRODUCT((실물목록!$P$2:$P$1001&lt;&gt;"")*ISNUMBER(SEARCH(실물목록!$P$2:$P$1001,I1926))*(실물목록!$Q$2:$Q$1001&lt;&gt;"")*ISNUMBER(SEARCH(실물목록!$Q$2:$Q$1001,I1926))*(실물목록!$R$2:$R$1001="")*(실물목록!$O$2:$O$1001&lt;&gt;""))&gt;0,"확인필요(연도다름)","실물 없음")))))</f>
      </c>
      <c r="G1926" t="n" s="16">
        <f aca="0">IF(B1926="","",SUMPRODUCT((실물목록!$P$2:$P$1001&lt;&gt;"")*ISNUMBER(SEARCH(실물목록!$P$2:$P$1001,I1926))*(실물목록!$Q$2:$Q$1001&lt;&gt;"")*ISNUMBER(SEARCH(실물목록!$Q$2:$Q$1001,I1926))*(실물목록!$R$2:$R$1001="")*(실물목록!$O$2:$O$1001&lt;&gt;"")*(실물목록!$O$2:$O$1001=H1926)))</f>
      </c>
      <c r="H1926" t="str">
        <f>IFERROR(IF(AND(LEN(SUBSTITUTE(SUBSTITUTE(SUBSTITUTE(TRIM(A1926&amp;""),CHAR(160),"")," ",""),"년",""))=4,VALUE(SUBSTITUTE(SUBSTITUTE(SUBSTITUTE(TRIM(A1926&amp;""),CHAR(160),"")," ",""),"년",""))&gt;=1900,VALUE(SUBSTITUTE(SUBSTITUTE(SUBSTITUTE(TRIM(A1926&amp;""),CHAR(160),"")," ",""),"년",""))&lt;=2099,TEXT(VALUE(SUBSTITUTE(SUBSTITUTE(SUBSTITUTE(TRIM(A1926&amp;""),CHAR(160),"")," ",""),"년","")),"0000")=SUBSTITUTE(SUBSTITUTE(SUBSTITUTE(TRIM(A1926&amp;""),CHAR(160),"")," ",""),"년","")),SUBSTITUTE(SUBSTITUTE(SUBSTITUTE(TRIM(A1926&amp;""),CHAR(160),"")," ",""),"년",""),""),"")</f>
      </c>
      <c r="I1926" t="str">
        <f>SUBSTITUTE(SUBSTITUTE(SUBSTITUTE(SUBSTITUTE(SUBSTITUTE(TRIM(B1926&amp;""),CHAR(160),"")," ",""),"초등학교","초"),"중학교","중"),"고등학교","고")</f>
      </c>
    </row>
    <row r="1927" customFormat="false" ht="15" hidden="false" customHeight="false" outlineLevel="0" collapsed="false">
      <c r="A1927" s="8"/>
      <c r="B1927" s="8"/>
      <c r="C1927" s="8"/>
      <c r="D1927" s="8"/>
      <c r="E1927" s="8"/>
      <c r="F1927" t="str" s="15">
        <f aca="0">IF(B1927="","",IF(H1927="","확인필요(입력누락)",IF(SUMPRODUCT((실물목록!$P$2:$P$1001&lt;&gt;"")*ISNUMBER(SEARCH(실물목록!$P$2:$P$1001,I1927))*(실물목록!$Q$2:$Q$1001&lt;&gt;"")*ISNUMBER(SEARCH(실물목록!$Q$2:$Q$1001,I1927))*(실물목록!$R$2:$R$1001="")*(실물목록!$O$2:$O$1001&lt;&gt;"")*(실물목록!$O$2:$O$1001=H1927))&gt;0,"실물 있음",IF(SUMPRODUCT((실물목록!$P$2:$P$1001&lt;&gt;"")*ISNUMBER(SEARCH(실물목록!$P$2:$P$1001,I1927))*(실물목록!$R$2:$R$1001&lt;&gt;""))&gt;0,"확인필요(입력누락)",IF(SUMPRODUCT((실물목록!$P$2:$P$1001&lt;&gt;"")*ISNUMBER(SEARCH(실물목록!$P$2:$P$1001,I1927))*(실물목록!$Q$2:$Q$1001&lt;&gt;"")*ISNUMBER(SEARCH(실물목록!$Q$2:$Q$1001,I1927))*(실물목록!$R$2:$R$1001="")*(실물목록!$O$2:$O$1001&lt;&gt;""))&gt;0,"확인필요(연도다름)","실물 없음")))))</f>
      </c>
      <c r="G1927" t="n" s="16">
        <f aca="0">IF(B1927="","",SUMPRODUCT((실물목록!$P$2:$P$1001&lt;&gt;"")*ISNUMBER(SEARCH(실물목록!$P$2:$P$1001,I1927))*(실물목록!$Q$2:$Q$1001&lt;&gt;"")*ISNUMBER(SEARCH(실물목록!$Q$2:$Q$1001,I1927))*(실물목록!$R$2:$R$1001="")*(실물목록!$O$2:$O$1001&lt;&gt;"")*(실물목록!$O$2:$O$1001=H1927)))</f>
      </c>
      <c r="H1927" t="str">
        <f>IFERROR(IF(AND(LEN(SUBSTITUTE(SUBSTITUTE(SUBSTITUTE(TRIM(A1927&amp;""),CHAR(160),"")," ",""),"년",""))=4,VALUE(SUBSTITUTE(SUBSTITUTE(SUBSTITUTE(TRIM(A1927&amp;""),CHAR(160),"")," ",""),"년",""))&gt;=1900,VALUE(SUBSTITUTE(SUBSTITUTE(SUBSTITUTE(TRIM(A1927&amp;""),CHAR(160),"")," ",""),"년",""))&lt;=2099,TEXT(VALUE(SUBSTITUTE(SUBSTITUTE(SUBSTITUTE(TRIM(A1927&amp;""),CHAR(160),"")," ",""),"년","")),"0000")=SUBSTITUTE(SUBSTITUTE(SUBSTITUTE(TRIM(A1927&amp;""),CHAR(160),"")," ",""),"년","")),SUBSTITUTE(SUBSTITUTE(SUBSTITUTE(TRIM(A1927&amp;""),CHAR(160),"")," ",""),"년",""),""),"")</f>
      </c>
      <c r="I1927" t="str">
        <f>SUBSTITUTE(SUBSTITUTE(SUBSTITUTE(SUBSTITUTE(SUBSTITUTE(TRIM(B1927&amp;""),CHAR(160),"")," ",""),"초등학교","초"),"중학교","중"),"고등학교","고")</f>
      </c>
    </row>
    <row r="1928" customFormat="false" ht="15" hidden="false" customHeight="false" outlineLevel="0" collapsed="false">
      <c r="A1928" s="8"/>
      <c r="B1928" s="8"/>
      <c r="C1928" s="8"/>
      <c r="D1928" s="8"/>
      <c r="E1928" s="8"/>
      <c r="F1928" t="str" s="15">
        <f aca="0">IF(B1928="","",IF(H1928="","확인필요(입력누락)",IF(SUMPRODUCT((실물목록!$P$2:$P$1001&lt;&gt;"")*ISNUMBER(SEARCH(실물목록!$P$2:$P$1001,I1928))*(실물목록!$Q$2:$Q$1001&lt;&gt;"")*ISNUMBER(SEARCH(실물목록!$Q$2:$Q$1001,I1928))*(실물목록!$R$2:$R$1001="")*(실물목록!$O$2:$O$1001&lt;&gt;"")*(실물목록!$O$2:$O$1001=H1928))&gt;0,"실물 있음",IF(SUMPRODUCT((실물목록!$P$2:$P$1001&lt;&gt;"")*ISNUMBER(SEARCH(실물목록!$P$2:$P$1001,I1928))*(실물목록!$R$2:$R$1001&lt;&gt;""))&gt;0,"확인필요(입력누락)",IF(SUMPRODUCT((실물목록!$P$2:$P$1001&lt;&gt;"")*ISNUMBER(SEARCH(실물목록!$P$2:$P$1001,I1928))*(실물목록!$Q$2:$Q$1001&lt;&gt;"")*ISNUMBER(SEARCH(실물목록!$Q$2:$Q$1001,I1928))*(실물목록!$R$2:$R$1001="")*(실물목록!$O$2:$O$1001&lt;&gt;""))&gt;0,"확인필요(연도다름)","실물 없음")))))</f>
      </c>
      <c r="G1928" t="n" s="16">
        <f aca="0">IF(B1928="","",SUMPRODUCT((실물목록!$P$2:$P$1001&lt;&gt;"")*ISNUMBER(SEARCH(실물목록!$P$2:$P$1001,I1928))*(실물목록!$Q$2:$Q$1001&lt;&gt;"")*ISNUMBER(SEARCH(실물목록!$Q$2:$Q$1001,I1928))*(실물목록!$R$2:$R$1001="")*(실물목록!$O$2:$O$1001&lt;&gt;"")*(실물목록!$O$2:$O$1001=H1928)))</f>
      </c>
      <c r="H1928" t="str">
        <f>IFERROR(IF(AND(LEN(SUBSTITUTE(SUBSTITUTE(SUBSTITUTE(TRIM(A1928&amp;""),CHAR(160),"")," ",""),"년",""))=4,VALUE(SUBSTITUTE(SUBSTITUTE(SUBSTITUTE(TRIM(A1928&amp;""),CHAR(160),"")," ",""),"년",""))&gt;=1900,VALUE(SUBSTITUTE(SUBSTITUTE(SUBSTITUTE(TRIM(A1928&amp;""),CHAR(160),"")," ",""),"년",""))&lt;=2099,TEXT(VALUE(SUBSTITUTE(SUBSTITUTE(SUBSTITUTE(TRIM(A1928&amp;""),CHAR(160),"")," ",""),"년","")),"0000")=SUBSTITUTE(SUBSTITUTE(SUBSTITUTE(TRIM(A1928&amp;""),CHAR(160),"")," ",""),"년","")),SUBSTITUTE(SUBSTITUTE(SUBSTITUTE(TRIM(A1928&amp;""),CHAR(160),"")," ",""),"년",""),""),"")</f>
      </c>
      <c r="I1928" t="str">
        <f>SUBSTITUTE(SUBSTITUTE(SUBSTITUTE(SUBSTITUTE(SUBSTITUTE(TRIM(B1928&amp;""),CHAR(160),"")," ",""),"초등학교","초"),"중학교","중"),"고등학교","고")</f>
      </c>
    </row>
    <row r="1929" customFormat="false" ht="15" hidden="false" customHeight="false" outlineLevel="0" collapsed="false">
      <c r="A1929" s="8"/>
      <c r="B1929" s="8"/>
      <c r="C1929" s="8"/>
      <c r="D1929" s="8"/>
      <c r="E1929" s="8"/>
      <c r="F1929" t="str" s="15">
        <f aca="0">IF(B1929="","",IF(H1929="","확인필요(입력누락)",IF(SUMPRODUCT((실물목록!$P$2:$P$1001&lt;&gt;"")*ISNUMBER(SEARCH(실물목록!$P$2:$P$1001,I1929))*(실물목록!$Q$2:$Q$1001&lt;&gt;"")*ISNUMBER(SEARCH(실물목록!$Q$2:$Q$1001,I1929))*(실물목록!$R$2:$R$1001="")*(실물목록!$O$2:$O$1001&lt;&gt;"")*(실물목록!$O$2:$O$1001=H1929))&gt;0,"실물 있음",IF(SUMPRODUCT((실물목록!$P$2:$P$1001&lt;&gt;"")*ISNUMBER(SEARCH(실물목록!$P$2:$P$1001,I1929))*(실물목록!$R$2:$R$1001&lt;&gt;""))&gt;0,"확인필요(입력누락)",IF(SUMPRODUCT((실물목록!$P$2:$P$1001&lt;&gt;"")*ISNUMBER(SEARCH(실물목록!$P$2:$P$1001,I1929))*(실물목록!$Q$2:$Q$1001&lt;&gt;"")*ISNUMBER(SEARCH(실물목록!$Q$2:$Q$1001,I1929))*(실물목록!$R$2:$R$1001="")*(실물목록!$O$2:$O$1001&lt;&gt;""))&gt;0,"확인필요(연도다름)","실물 없음")))))</f>
      </c>
      <c r="G1929" t="n" s="16">
        <f aca="0">IF(B1929="","",SUMPRODUCT((실물목록!$P$2:$P$1001&lt;&gt;"")*ISNUMBER(SEARCH(실물목록!$P$2:$P$1001,I1929))*(실물목록!$Q$2:$Q$1001&lt;&gt;"")*ISNUMBER(SEARCH(실물목록!$Q$2:$Q$1001,I1929))*(실물목록!$R$2:$R$1001="")*(실물목록!$O$2:$O$1001&lt;&gt;"")*(실물목록!$O$2:$O$1001=H1929)))</f>
      </c>
      <c r="H1929" t="str">
        <f>IFERROR(IF(AND(LEN(SUBSTITUTE(SUBSTITUTE(SUBSTITUTE(TRIM(A1929&amp;""),CHAR(160),"")," ",""),"년",""))=4,VALUE(SUBSTITUTE(SUBSTITUTE(SUBSTITUTE(TRIM(A1929&amp;""),CHAR(160),"")," ",""),"년",""))&gt;=1900,VALUE(SUBSTITUTE(SUBSTITUTE(SUBSTITUTE(TRIM(A1929&amp;""),CHAR(160),"")," ",""),"년",""))&lt;=2099,TEXT(VALUE(SUBSTITUTE(SUBSTITUTE(SUBSTITUTE(TRIM(A1929&amp;""),CHAR(160),"")," ",""),"년","")),"0000")=SUBSTITUTE(SUBSTITUTE(SUBSTITUTE(TRIM(A1929&amp;""),CHAR(160),"")," ",""),"년","")),SUBSTITUTE(SUBSTITUTE(SUBSTITUTE(TRIM(A1929&amp;""),CHAR(160),"")," ",""),"년",""),""),"")</f>
      </c>
      <c r="I1929" t="str">
        <f>SUBSTITUTE(SUBSTITUTE(SUBSTITUTE(SUBSTITUTE(SUBSTITUTE(TRIM(B1929&amp;""),CHAR(160),"")," ",""),"초등학교","초"),"중학교","중"),"고등학교","고")</f>
      </c>
    </row>
    <row r="1930" customFormat="false" ht="15" hidden="false" customHeight="false" outlineLevel="0" collapsed="false">
      <c r="A1930" s="8"/>
      <c r="B1930" s="8"/>
      <c r="C1930" s="8"/>
      <c r="D1930" s="8"/>
      <c r="E1930" s="8"/>
      <c r="F1930" t="str" s="15">
        <f aca="0">IF(B1930="","",IF(H1930="","확인필요(입력누락)",IF(SUMPRODUCT((실물목록!$P$2:$P$1001&lt;&gt;"")*ISNUMBER(SEARCH(실물목록!$P$2:$P$1001,I1930))*(실물목록!$Q$2:$Q$1001&lt;&gt;"")*ISNUMBER(SEARCH(실물목록!$Q$2:$Q$1001,I1930))*(실물목록!$R$2:$R$1001="")*(실물목록!$O$2:$O$1001&lt;&gt;"")*(실물목록!$O$2:$O$1001=H1930))&gt;0,"실물 있음",IF(SUMPRODUCT((실물목록!$P$2:$P$1001&lt;&gt;"")*ISNUMBER(SEARCH(실물목록!$P$2:$P$1001,I1930))*(실물목록!$R$2:$R$1001&lt;&gt;""))&gt;0,"확인필요(입력누락)",IF(SUMPRODUCT((실물목록!$P$2:$P$1001&lt;&gt;"")*ISNUMBER(SEARCH(실물목록!$P$2:$P$1001,I1930))*(실물목록!$Q$2:$Q$1001&lt;&gt;"")*ISNUMBER(SEARCH(실물목록!$Q$2:$Q$1001,I1930))*(실물목록!$R$2:$R$1001="")*(실물목록!$O$2:$O$1001&lt;&gt;""))&gt;0,"확인필요(연도다름)","실물 없음")))))</f>
      </c>
      <c r="G1930" t="n" s="16">
        <f aca="0">IF(B1930="","",SUMPRODUCT((실물목록!$P$2:$P$1001&lt;&gt;"")*ISNUMBER(SEARCH(실물목록!$P$2:$P$1001,I1930))*(실물목록!$Q$2:$Q$1001&lt;&gt;"")*ISNUMBER(SEARCH(실물목록!$Q$2:$Q$1001,I1930))*(실물목록!$R$2:$R$1001="")*(실물목록!$O$2:$O$1001&lt;&gt;"")*(실물목록!$O$2:$O$1001=H1930)))</f>
      </c>
      <c r="H1930" t="str">
        <f>IFERROR(IF(AND(LEN(SUBSTITUTE(SUBSTITUTE(SUBSTITUTE(TRIM(A1930&amp;""),CHAR(160),"")," ",""),"년",""))=4,VALUE(SUBSTITUTE(SUBSTITUTE(SUBSTITUTE(TRIM(A1930&amp;""),CHAR(160),"")," ",""),"년",""))&gt;=1900,VALUE(SUBSTITUTE(SUBSTITUTE(SUBSTITUTE(TRIM(A1930&amp;""),CHAR(160),"")," ",""),"년",""))&lt;=2099,TEXT(VALUE(SUBSTITUTE(SUBSTITUTE(SUBSTITUTE(TRIM(A1930&amp;""),CHAR(160),"")," ",""),"년","")),"0000")=SUBSTITUTE(SUBSTITUTE(SUBSTITUTE(TRIM(A1930&amp;""),CHAR(160),"")," ",""),"년","")),SUBSTITUTE(SUBSTITUTE(SUBSTITUTE(TRIM(A1930&amp;""),CHAR(160),"")," ",""),"년",""),""),"")</f>
      </c>
      <c r="I1930" t="str">
        <f>SUBSTITUTE(SUBSTITUTE(SUBSTITUTE(SUBSTITUTE(SUBSTITUTE(TRIM(B1930&amp;""),CHAR(160),"")," ",""),"초등학교","초"),"중학교","중"),"고등학교","고")</f>
      </c>
    </row>
    <row r="1931" customFormat="false" ht="15" hidden="false" customHeight="false" outlineLevel="0" collapsed="false">
      <c r="A1931" s="8"/>
      <c r="B1931" s="8"/>
      <c r="C1931" s="8"/>
      <c r="D1931" s="8"/>
      <c r="E1931" s="8"/>
      <c r="F1931" t="str" s="15">
        <f aca="0">IF(B1931="","",IF(H1931="","확인필요(입력누락)",IF(SUMPRODUCT((실물목록!$P$2:$P$1001&lt;&gt;"")*ISNUMBER(SEARCH(실물목록!$P$2:$P$1001,I1931))*(실물목록!$Q$2:$Q$1001&lt;&gt;"")*ISNUMBER(SEARCH(실물목록!$Q$2:$Q$1001,I1931))*(실물목록!$R$2:$R$1001="")*(실물목록!$O$2:$O$1001&lt;&gt;"")*(실물목록!$O$2:$O$1001=H1931))&gt;0,"실물 있음",IF(SUMPRODUCT((실물목록!$P$2:$P$1001&lt;&gt;"")*ISNUMBER(SEARCH(실물목록!$P$2:$P$1001,I1931))*(실물목록!$R$2:$R$1001&lt;&gt;""))&gt;0,"확인필요(입력누락)",IF(SUMPRODUCT((실물목록!$P$2:$P$1001&lt;&gt;"")*ISNUMBER(SEARCH(실물목록!$P$2:$P$1001,I1931))*(실물목록!$Q$2:$Q$1001&lt;&gt;"")*ISNUMBER(SEARCH(실물목록!$Q$2:$Q$1001,I1931))*(실물목록!$R$2:$R$1001="")*(실물목록!$O$2:$O$1001&lt;&gt;""))&gt;0,"확인필요(연도다름)","실물 없음")))))</f>
      </c>
      <c r="G1931" t="n" s="16">
        <f aca="0">IF(B1931="","",SUMPRODUCT((실물목록!$P$2:$P$1001&lt;&gt;"")*ISNUMBER(SEARCH(실물목록!$P$2:$P$1001,I1931))*(실물목록!$Q$2:$Q$1001&lt;&gt;"")*ISNUMBER(SEARCH(실물목록!$Q$2:$Q$1001,I1931))*(실물목록!$R$2:$R$1001="")*(실물목록!$O$2:$O$1001&lt;&gt;"")*(실물목록!$O$2:$O$1001=H1931)))</f>
      </c>
      <c r="H1931" t="str">
        <f>IFERROR(IF(AND(LEN(SUBSTITUTE(SUBSTITUTE(SUBSTITUTE(TRIM(A1931&amp;""),CHAR(160),"")," ",""),"년",""))=4,VALUE(SUBSTITUTE(SUBSTITUTE(SUBSTITUTE(TRIM(A1931&amp;""),CHAR(160),"")," ",""),"년",""))&gt;=1900,VALUE(SUBSTITUTE(SUBSTITUTE(SUBSTITUTE(TRIM(A1931&amp;""),CHAR(160),"")," ",""),"년",""))&lt;=2099,TEXT(VALUE(SUBSTITUTE(SUBSTITUTE(SUBSTITUTE(TRIM(A1931&amp;""),CHAR(160),"")," ",""),"년","")),"0000")=SUBSTITUTE(SUBSTITUTE(SUBSTITUTE(TRIM(A1931&amp;""),CHAR(160),"")," ",""),"년","")),SUBSTITUTE(SUBSTITUTE(SUBSTITUTE(TRIM(A1931&amp;""),CHAR(160),"")," ",""),"년",""),""),"")</f>
      </c>
      <c r="I1931" t="str">
        <f>SUBSTITUTE(SUBSTITUTE(SUBSTITUTE(SUBSTITUTE(SUBSTITUTE(TRIM(B1931&amp;""),CHAR(160),"")," ",""),"초등학교","초"),"중학교","중"),"고등학교","고")</f>
      </c>
    </row>
    <row r="1932" customFormat="false" ht="15" hidden="false" customHeight="false" outlineLevel="0" collapsed="false">
      <c r="A1932" s="8"/>
      <c r="B1932" s="8"/>
      <c r="C1932" s="8"/>
      <c r="D1932" s="8"/>
      <c r="E1932" s="8"/>
      <c r="F1932" t="str" s="15">
        <f aca="0">IF(B1932="","",IF(H1932="","확인필요(입력누락)",IF(SUMPRODUCT((실물목록!$P$2:$P$1001&lt;&gt;"")*ISNUMBER(SEARCH(실물목록!$P$2:$P$1001,I1932))*(실물목록!$Q$2:$Q$1001&lt;&gt;"")*ISNUMBER(SEARCH(실물목록!$Q$2:$Q$1001,I1932))*(실물목록!$R$2:$R$1001="")*(실물목록!$O$2:$O$1001&lt;&gt;"")*(실물목록!$O$2:$O$1001=H1932))&gt;0,"실물 있음",IF(SUMPRODUCT((실물목록!$P$2:$P$1001&lt;&gt;"")*ISNUMBER(SEARCH(실물목록!$P$2:$P$1001,I1932))*(실물목록!$R$2:$R$1001&lt;&gt;""))&gt;0,"확인필요(입력누락)",IF(SUMPRODUCT((실물목록!$P$2:$P$1001&lt;&gt;"")*ISNUMBER(SEARCH(실물목록!$P$2:$P$1001,I1932))*(실물목록!$Q$2:$Q$1001&lt;&gt;"")*ISNUMBER(SEARCH(실물목록!$Q$2:$Q$1001,I1932))*(실물목록!$R$2:$R$1001="")*(실물목록!$O$2:$O$1001&lt;&gt;""))&gt;0,"확인필요(연도다름)","실물 없음")))))</f>
      </c>
      <c r="G1932" t="n" s="16">
        <f aca="0">IF(B1932="","",SUMPRODUCT((실물목록!$P$2:$P$1001&lt;&gt;"")*ISNUMBER(SEARCH(실물목록!$P$2:$P$1001,I1932))*(실물목록!$Q$2:$Q$1001&lt;&gt;"")*ISNUMBER(SEARCH(실물목록!$Q$2:$Q$1001,I1932))*(실물목록!$R$2:$R$1001="")*(실물목록!$O$2:$O$1001&lt;&gt;"")*(실물목록!$O$2:$O$1001=H1932)))</f>
      </c>
      <c r="H1932" t="str">
        <f>IFERROR(IF(AND(LEN(SUBSTITUTE(SUBSTITUTE(SUBSTITUTE(TRIM(A1932&amp;""),CHAR(160),"")," ",""),"년",""))=4,VALUE(SUBSTITUTE(SUBSTITUTE(SUBSTITUTE(TRIM(A1932&amp;""),CHAR(160),"")," ",""),"년",""))&gt;=1900,VALUE(SUBSTITUTE(SUBSTITUTE(SUBSTITUTE(TRIM(A1932&amp;""),CHAR(160),"")," ",""),"년",""))&lt;=2099,TEXT(VALUE(SUBSTITUTE(SUBSTITUTE(SUBSTITUTE(TRIM(A1932&amp;""),CHAR(160),"")," ",""),"년","")),"0000")=SUBSTITUTE(SUBSTITUTE(SUBSTITUTE(TRIM(A1932&amp;""),CHAR(160),"")," ",""),"년","")),SUBSTITUTE(SUBSTITUTE(SUBSTITUTE(TRIM(A1932&amp;""),CHAR(160),"")," ",""),"년",""),""),"")</f>
      </c>
      <c r="I1932" t="str">
        <f>SUBSTITUTE(SUBSTITUTE(SUBSTITUTE(SUBSTITUTE(SUBSTITUTE(TRIM(B1932&amp;""),CHAR(160),"")," ",""),"초등학교","초"),"중학교","중"),"고등학교","고")</f>
      </c>
    </row>
    <row r="1933" customFormat="false" ht="15" hidden="false" customHeight="false" outlineLevel="0" collapsed="false">
      <c r="A1933" s="8"/>
      <c r="B1933" s="8"/>
      <c r="C1933" s="8"/>
      <c r="D1933" s="8"/>
      <c r="E1933" s="8"/>
      <c r="F1933" t="str" s="15">
        <f aca="0">IF(B1933="","",IF(H1933="","확인필요(입력누락)",IF(SUMPRODUCT((실물목록!$P$2:$P$1001&lt;&gt;"")*ISNUMBER(SEARCH(실물목록!$P$2:$P$1001,I1933))*(실물목록!$Q$2:$Q$1001&lt;&gt;"")*ISNUMBER(SEARCH(실물목록!$Q$2:$Q$1001,I1933))*(실물목록!$R$2:$R$1001="")*(실물목록!$O$2:$O$1001&lt;&gt;"")*(실물목록!$O$2:$O$1001=H1933))&gt;0,"실물 있음",IF(SUMPRODUCT((실물목록!$P$2:$P$1001&lt;&gt;"")*ISNUMBER(SEARCH(실물목록!$P$2:$P$1001,I1933))*(실물목록!$R$2:$R$1001&lt;&gt;""))&gt;0,"확인필요(입력누락)",IF(SUMPRODUCT((실물목록!$P$2:$P$1001&lt;&gt;"")*ISNUMBER(SEARCH(실물목록!$P$2:$P$1001,I1933))*(실물목록!$Q$2:$Q$1001&lt;&gt;"")*ISNUMBER(SEARCH(실물목록!$Q$2:$Q$1001,I1933))*(실물목록!$R$2:$R$1001="")*(실물목록!$O$2:$O$1001&lt;&gt;""))&gt;0,"확인필요(연도다름)","실물 없음")))))</f>
      </c>
      <c r="G1933" t="n" s="16">
        <f aca="0">IF(B1933="","",SUMPRODUCT((실물목록!$P$2:$P$1001&lt;&gt;"")*ISNUMBER(SEARCH(실물목록!$P$2:$P$1001,I1933))*(실물목록!$Q$2:$Q$1001&lt;&gt;"")*ISNUMBER(SEARCH(실물목록!$Q$2:$Q$1001,I1933))*(실물목록!$R$2:$R$1001="")*(실물목록!$O$2:$O$1001&lt;&gt;"")*(실물목록!$O$2:$O$1001=H1933)))</f>
      </c>
      <c r="H1933" t="str">
        <f>IFERROR(IF(AND(LEN(SUBSTITUTE(SUBSTITUTE(SUBSTITUTE(TRIM(A1933&amp;""),CHAR(160),"")," ",""),"년",""))=4,VALUE(SUBSTITUTE(SUBSTITUTE(SUBSTITUTE(TRIM(A1933&amp;""),CHAR(160),"")," ",""),"년",""))&gt;=1900,VALUE(SUBSTITUTE(SUBSTITUTE(SUBSTITUTE(TRIM(A1933&amp;""),CHAR(160),"")," ",""),"년",""))&lt;=2099,TEXT(VALUE(SUBSTITUTE(SUBSTITUTE(SUBSTITUTE(TRIM(A1933&amp;""),CHAR(160),"")," ",""),"년","")),"0000")=SUBSTITUTE(SUBSTITUTE(SUBSTITUTE(TRIM(A1933&amp;""),CHAR(160),"")," ",""),"년","")),SUBSTITUTE(SUBSTITUTE(SUBSTITUTE(TRIM(A1933&amp;""),CHAR(160),"")," ",""),"년",""),""),"")</f>
      </c>
      <c r="I1933" t="str">
        <f>SUBSTITUTE(SUBSTITUTE(SUBSTITUTE(SUBSTITUTE(SUBSTITUTE(TRIM(B1933&amp;""),CHAR(160),"")," ",""),"초등학교","초"),"중학교","중"),"고등학교","고")</f>
      </c>
    </row>
    <row r="1934" customFormat="false" ht="15" hidden="false" customHeight="false" outlineLevel="0" collapsed="false">
      <c r="A1934" s="8"/>
      <c r="B1934" s="8"/>
      <c r="C1934" s="8"/>
      <c r="D1934" s="8"/>
      <c r="E1934" s="8"/>
      <c r="F1934" t="str" s="15">
        <f aca="0">IF(B1934="","",IF(H1934="","확인필요(입력누락)",IF(SUMPRODUCT((실물목록!$P$2:$P$1001&lt;&gt;"")*ISNUMBER(SEARCH(실물목록!$P$2:$P$1001,I1934))*(실물목록!$Q$2:$Q$1001&lt;&gt;"")*ISNUMBER(SEARCH(실물목록!$Q$2:$Q$1001,I1934))*(실물목록!$R$2:$R$1001="")*(실물목록!$O$2:$O$1001&lt;&gt;"")*(실물목록!$O$2:$O$1001=H1934))&gt;0,"실물 있음",IF(SUMPRODUCT((실물목록!$P$2:$P$1001&lt;&gt;"")*ISNUMBER(SEARCH(실물목록!$P$2:$P$1001,I1934))*(실물목록!$R$2:$R$1001&lt;&gt;""))&gt;0,"확인필요(입력누락)",IF(SUMPRODUCT((실물목록!$P$2:$P$1001&lt;&gt;"")*ISNUMBER(SEARCH(실물목록!$P$2:$P$1001,I1934))*(실물목록!$Q$2:$Q$1001&lt;&gt;"")*ISNUMBER(SEARCH(실물목록!$Q$2:$Q$1001,I1934))*(실물목록!$R$2:$R$1001="")*(실물목록!$O$2:$O$1001&lt;&gt;""))&gt;0,"확인필요(연도다름)","실물 없음")))))</f>
      </c>
      <c r="G1934" t="n" s="16">
        <f aca="0">IF(B1934="","",SUMPRODUCT((실물목록!$P$2:$P$1001&lt;&gt;"")*ISNUMBER(SEARCH(실물목록!$P$2:$P$1001,I1934))*(실물목록!$Q$2:$Q$1001&lt;&gt;"")*ISNUMBER(SEARCH(실물목록!$Q$2:$Q$1001,I1934))*(실물목록!$R$2:$R$1001="")*(실물목록!$O$2:$O$1001&lt;&gt;"")*(실물목록!$O$2:$O$1001=H1934)))</f>
      </c>
      <c r="H1934" t="str">
        <f>IFERROR(IF(AND(LEN(SUBSTITUTE(SUBSTITUTE(SUBSTITUTE(TRIM(A1934&amp;""),CHAR(160),"")," ",""),"년",""))=4,VALUE(SUBSTITUTE(SUBSTITUTE(SUBSTITUTE(TRIM(A1934&amp;""),CHAR(160),"")," ",""),"년",""))&gt;=1900,VALUE(SUBSTITUTE(SUBSTITUTE(SUBSTITUTE(TRIM(A1934&amp;""),CHAR(160),"")," ",""),"년",""))&lt;=2099,TEXT(VALUE(SUBSTITUTE(SUBSTITUTE(SUBSTITUTE(TRIM(A1934&amp;""),CHAR(160),"")," ",""),"년","")),"0000")=SUBSTITUTE(SUBSTITUTE(SUBSTITUTE(TRIM(A1934&amp;""),CHAR(160),"")," ",""),"년","")),SUBSTITUTE(SUBSTITUTE(SUBSTITUTE(TRIM(A1934&amp;""),CHAR(160),"")," ",""),"년",""),""),"")</f>
      </c>
      <c r="I1934" t="str">
        <f>SUBSTITUTE(SUBSTITUTE(SUBSTITUTE(SUBSTITUTE(SUBSTITUTE(TRIM(B1934&amp;""),CHAR(160),"")," ",""),"초등학교","초"),"중학교","중"),"고등학교","고")</f>
      </c>
    </row>
    <row r="1935" customFormat="false" ht="15" hidden="false" customHeight="false" outlineLevel="0" collapsed="false">
      <c r="A1935" s="8"/>
      <c r="B1935" s="8"/>
      <c r="C1935" s="8"/>
      <c r="D1935" s="8"/>
      <c r="E1935" s="8"/>
      <c r="F1935" t="str" s="15">
        <f aca="0">IF(B1935="","",IF(H1935="","확인필요(입력누락)",IF(SUMPRODUCT((실물목록!$P$2:$P$1001&lt;&gt;"")*ISNUMBER(SEARCH(실물목록!$P$2:$P$1001,I1935))*(실물목록!$Q$2:$Q$1001&lt;&gt;"")*ISNUMBER(SEARCH(실물목록!$Q$2:$Q$1001,I1935))*(실물목록!$R$2:$R$1001="")*(실물목록!$O$2:$O$1001&lt;&gt;"")*(실물목록!$O$2:$O$1001=H1935))&gt;0,"실물 있음",IF(SUMPRODUCT((실물목록!$P$2:$P$1001&lt;&gt;"")*ISNUMBER(SEARCH(실물목록!$P$2:$P$1001,I1935))*(실물목록!$R$2:$R$1001&lt;&gt;""))&gt;0,"확인필요(입력누락)",IF(SUMPRODUCT((실물목록!$P$2:$P$1001&lt;&gt;"")*ISNUMBER(SEARCH(실물목록!$P$2:$P$1001,I1935))*(실물목록!$Q$2:$Q$1001&lt;&gt;"")*ISNUMBER(SEARCH(실물목록!$Q$2:$Q$1001,I1935))*(실물목록!$R$2:$R$1001="")*(실물목록!$O$2:$O$1001&lt;&gt;""))&gt;0,"확인필요(연도다름)","실물 없음")))))</f>
      </c>
      <c r="G1935" t="n" s="16">
        <f aca="0">IF(B1935="","",SUMPRODUCT((실물목록!$P$2:$P$1001&lt;&gt;"")*ISNUMBER(SEARCH(실물목록!$P$2:$P$1001,I1935))*(실물목록!$Q$2:$Q$1001&lt;&gt;"")*ISNUMBER(SEARCH(실물목록!$Q$2:$Q$1001,I1935))*(실물목록!$R$2:$R$1001="")*(실물목록!$O$2:$O$1001&lt;&gt;"")*(실물목록!$O$2:$O$1001=H1935)))</f>
      </c>
      <c r="H1935" t="str">
        <f>IFERROR(IF(AND(LEN(SUBSTITUTE(SUBSTITUTE(SUBSTITUTE(TRIM(A1935&amp;""),CHAR(160),"")," ",""),"년",""))=4,VALUE(SUBSTITUTE(SUBSTITUTE(SUBSTITUTE(TRIM(A1935&amp;""),CHAR(160),"")," ",""),"년",""))&gt;=1900,VALUE(SUBSTITUTE(SUBSTITUTE(SUBSTITUTE(TRIM(A1935&amp;""),CHAR(160),"")," ",""),"년",""))&lt;=2099,TEXT(VALUE(SUBSTITUTE(SUBSTITUTE(SUBSTITUTE(TRIM(A1935&amp;""),CHAR(160),"")," ",""),"년","")),"0000")=SUBSTITUTE(SUBSTITUTE(SUBSTITUTE(TRIM(A1935&amp;""),CHAR(160),"")," ",""),"년","")),SUBSTITUTE(SUBSTITUTE(SUBSTITUTE(TRIM(A1935&amp;""),CHAR(160),"")," ",""),"년",""),""),"")</f>
      </c>
      <c r="I1935" t="str">
        <f>SUBSTITUTE(SUBSTITUTE(SUBSTITUTE(SUBSTITUTE(SUBSTITUTE(TRIM(B1935&amp;""),CHAR(160),"")," ",""),"초등학교","초"),"중학교","중"),"고등학교","고")</f>
      </c>
    </row>
    <row r="1936" customFormat="false" ht="15" hidden="false" customHeight="false" outlineLevel="0" collapsed="false">
      <c r="A1936" s="8"/>
      <c r="B1936" s="8"/>
      <c r="C1936" s="8"/>
      <c r="D1936" s="8"/>
      <c r="E1936" s="8"/>
      <c r="F1936" t="str" s="15">
        <f aca="0">IF(B1936="","",IF(H1936="","확인필요(입력누락)",IF(SUMPRODUCT((실물목록!$P$2:$P$1001&lt;&gt;"")*ISNUMBER(SEARCH(실물목록!$P$2:$P$1001,I1936))*(실물목록!$Q$2:$Q$1001&lt;&gt;"")*ISNUMBER(SEARCH(실물목록!$Q$2:$Q$1001,I1936))*(실물목록!$R$2:$R$1001="")*(실물목록!$O$2:$O$1001&lt;&gt;"")*(실물목록!$O$2:$O$1001=H1936))&gt;0,"실물 있음",IF(SUMPRODUCT((실물목록!$P$2:$P$1001&lt;&gt;"")*ISNUMBER(SEARCH(실물목록!$P$2:$P$1001,I1936))*(실물목록!$R$2:$R$1001&lt;&gt;""))&gt;0,"확인필요(입력누락)",IF(SUMPRODUCT((실물목록!$P$2:$P$1001&lt;&gt;"")*ISNUMBER(SEARCH(실물목록!$P$2:$P$1001,I1936))*(실물목록!$Q$2:$Q$1001&lt;&gt;"")*ISNUMBER(SEARCH(실물목록!$Q$2:$Q$1001,I1936))*(실물목록!$R$2:$R$1001="")*(실물목록!$O$2:$O$1001&lt;&gt;""))&gt;0,"확인필요(연도다름)","실물 없음")))))</f>
      </c>
      <c r="G1936" t="n" s="16">
        <f aca="0">IF(B1936="","",SUMPRODUCT((실물목록!$P$2:$P$1001&lt;&gt;"")*ISNUMBER(SEARCH(실물목록!$P$2:$P$1001,I1936))*(실물목록!$Q$2:$Q$1001&lt;&gt;"")*ISNUMBER(SEARCH(실물목록!$Q$2:$Q$1001,I1936))*(실물목록!$R$2:$R$1001="")*(실물목록!$O$2:$O$1001&lt;&gt;"")*(실물목록!$O$2:$O$1001=H1936)))</f>
      </c>
      <c r="H1936" t="str">
        <f>IFERROR(IF(AND(LEN(SUBSTITUTE(SUBSTITUTE(SUBSTITUTE(TRIM(A1936&amp;""),CHAR(160),"")," ",""),"년",""))=4,VALUE(SUBSTITUTE(SUBSTITUTE(SUBSTITUTE(TRIM(A1936&amp;""),CHAR(160),"")," ",""),"년",""))&gt;=1900,VALUE(SUBSTITUTE(SUBSTITUTE(SUBSTITUTE(TRIM(A1936&amp;""),CHAR(160),"")," ",""),"년",""))&lt;=2099,TEXT(VALUE(SUBSTITUTE(SUBSTITUTE(SUBSTITUTE(TRIM(A1936&amp;""),CHAR(160),"")," ",""),"년","")),"0000")=SUBSTITUTE(SUBSTITUTE(SUBSTITUTE(TRIM(A1936&amp;""),CHAR(160),"")," ",""),"년","")),SUBSTITUTE(SUBSTITUTE(SUBSTITUTE(TRIM(A1936&amp;""),CHAR(160),"")," ",""),"년",""),""),"")</f>
      </c>
      <c r="I1936" t="str">
        <f>SUBSTITUTE(SUBSTITUTE(SUBSTITUTE(SUBSTITUTE(SUBSTITUTE(TRIM(B1936&amp;""),CHAR(160),"")," ",""),"초등학교","초"),"중학교","중"),"고등학교","고")</f>
      </c>
    </row>
    <row r="1937" customFormat="false" ht="15" hidden="false" customHeight="false" outlineLevel="0" collapsed="false">
      <c r="A1937" s="8"/>
      <c r="B1937" s="8"/>
      <c r="C1937" s="8"/>
      <c r="D1937" s="8"/>
      <c r="E1937" s="8"/>
      <c r="F1937" t="str" s="15">
        <f aca="0">IF(B1937="","",IF(H1937="","확인필요(입력누락)",IF(SUMPRODUCT((실물목록!$P$2:$P$1001&lt;&gt;"")*ISNUMBER(SEARCH(실물목록!$P$2:$P$1001,I1937))*(실물목록!$Q$2:$Q$1001&lt;&gt;"")*ISNUMBER(SEARCH(실물목록!$Q$2:$Q$1001,I1937))*(실물목록!$R$2:$R$1001="")*(실물목록!$O$2:$O$1001&lt;&gt;"")*(실물목록!$O$2:$O$1001=H1937))&gt;0,"실물 있음",IF(SUMPRODUCT((실물목록!$P$2:$P$1001&lt;&gt;"")*ISNUMBER(SEARCH(실물목록!$P$2:$P$1001,I1937))*(실물목록!$R$2:$R$1001&lt;&gt;""))&gt;0,"확인필요(입력누락)",IF(SUMPRODUCT((실물목록!$P$2:$P$1001&lt;&gt;"")*ISNUMBER(SEARCH(실물목록!$P$2:$P$1001,I1937))*(실물목록!$Q$2:$Q$1001&lt;&gt;"")*ISNUMBER(SEARCH(실물목록!$Q$2:$Q$1001,I1937))*(실물목록!$R$2:$R$1001="")*(실물목록!$O$2:$O$1001&lt;&gt;""))&gt;0,"확인필요(연도다름)","실물 없음")))))</f>
      </c>
      <c r="G1937" t="n" s="16">
        <f aca="0">IF(B1937="","",SUMPRODUCT((실물목록!$P$2:$P$1001&lt;&gt;"")*ISNUMBER(SEARCH(실물목록!$P$2:$P$1001,I1937))*(실물목록!$Q$2:$Q$1001&lt;&gt;"")*ISNUMBER(SEARCH(실물목록!$Q$2:$Q$1001,I1937))*(실물목록!$R$2:$R$1001="")*(실물목록!$O$2:$O$1001&lt;&gt;"")*(실물목록!$O$2:$O$1001=H1937)))</f>
      </c>
      <c r="H1937" t="str">
        <f>IFERROR(IF(AND(LEN(SUBSTITUTE(SUBSTITUTE(SUBSTITUTE(TRIM(A1937&amp;""),CHAR(160),"")," ",""),"년",""))=4,VALUE(SUBSTITUTE(SUBSTITUTE(SUBSTITUTE(TRIM(A1937&amp;""),CHAR(160),"")," ",""),"년",""))&gt;=1900,VALUE(SUBSTITUTE(SUBSTITUTE(SUBSTITUTE(TRIM(A1937&amp;""),CHAR(160),"")," ",""),"년",""))&lt;=2099,TEXT(VALUE(SUBSTITUTE(SUBSTITUTE(SUBSTITUTE(TRIM(A1937&amp;""),CHAR(160),"")," ",""),"년","")),"0000")=SUBSTITUTE(SUBSTITUTE(SUBSTITUTE(TRIM(A1937&amp;""),CHAR(160),"")," ",""),"년","")),SUBSTITUTE(SUBSTITUTE(SUBSTITUTE(TRIM(A1937&amp;""),CHAR(160),"")," ",""),"년",""),""),"")</f>
      </c>
      <c r="I1937" t="str">
        <f>SUBSTITUTE(SUBSTITUTE(SUBSTITUTE(SUBSTITUTE(SUBSTITUTE(TRIM(B1937&amp;""),CHAR(160),"")," ",""),"초등학교","초"),"중학교","중"),"고등학교","고")</f>
      </c>
    </row>
    <row r="1938" customFormat="false" ht="15" hidden="false" customHeight="false" outlineLevel="0" collapsed="false">
      <c r="A1938" s="8"/>
      <c r="B1938" s="8"/>
      <c r="C1938" s="8"/>
      <c r="D1938" s="8"/>
      <c r="E1938" s="8"/>
      <c r="F1938" t="str" s="15">
        <f aca="0">IF(B1938="","",IF(H1938="","확인필요(입력누락)",IF(SUMPRODUCT((실물목록!$P$2:$P$1001&lt;&gt;"")*ISNUMBER(SEARCH(실물목록!$P$2:$P$1001,I1938))*(실물목록!$Q$2:$Q$1001&lt;&gt;"")*ISNUMBER(SEARCH(실물목록!$Q$2:$Q$1001,I1938))*(실물목록!$R$2:$R$1001="")*(실물목록!$O$2:$O$1001&lt;&gt;"")*(실물목록!$O$2:$O$1001=H1938))&gt;0,"실물 있음",IF(SUMPRODUCT((실물목록!$P$2:$P$1001&lt;&gt;"")*ISNUMBER(SEARCH(실물목록!$P$2:$P$1001,I1938))*(실물목록!$R$2:$R$1001&lt;&gt;""))&gt;0,"확인필요(입력누락)",IF(SUMPRODUCT((실물목록!$P$2:$P$1001&lt;&gt;"")*ISNUMBER(SEARCH(실물목록!$P$2:$P$1001,I1938))*(실물목록!$Q$2:$Q$1001&lt;&gt;"")*ISNUMBER(SEARCH(실물목록!$Q$2:$Q$1001,I1938))*(실물목록!$R$2:$R$1001="")*(실물목록!$O$2:$O$1001&lt;&gt;""))&gt;0,"확인필요(연도다름)","실물 없음")))))</f>
      </c>
      <c r="G1938" t="n" s="16">
        <f aca="0">IF(B1938="","",SUMPRODUCT((실물목록!$P$2:$P$1001&lt;&gt;"")*ISNUMBER(SEARCH(실물목록!$P$2:$P$1001,I1938))*(실물목록!$Q$2:$Q$1001&lt;&gt;"")*ISNUMBER(SEARCH(실물목록!$Q$2:$Q$1001,I1938))*(실물목록!$R$2:$R$1001="")*(실물목록!$O$2:$O$1001&lt;&gt;"")*(실물목록!$O$2:$O$1001=H1938)))</f>
      </c>
      <c r="H1938" t="str">
        <f>IFERROR(IF(AND(LEN(SUBSTITUTE(SUBSTITUTE(SUBSTITUTE(TRIM(A1938&amp;""),CHAR(160),"")," ",""),"년",""))=4,VALUE(SUBSTITUTE(SUBSTITUTE(SUBSTITUTE(TRIM(A1938&amp;""),CHAR(160),"")," ",""),"년",""))&gt;=1900,VALUE(SUBSTITUTE(SUBSTITUTE(SUBSTITUTE(TRIM(A1938&amp;""),CHAR(160),"")," ",""),"년",""))&lt;=2099,TEXT(VALUE(SUBSTITUTE(SUBSTITUTE(SUBSTITUTE(TRIM(A1938&amp;""),CHAR(160),"")," ",""),"년","")),"0000")=SUBSTITUTE(SUBSTITUTE(SUBSTITUTE(TRIM(A1938&amp;""),CHAR(160),"")," ",""),"년","")),SUBSTITUTE(SUBSTITUTE(SUBSTITUTE(TRIM(A1938&amp;""),CHAR(160),"")," ",""),"년",""),""),"")</f>
      </c>
      <c r="I1938" t="str">
        <f>SUBSTITUTE(SUBSTITUTE(SUBSTITUTE(SUBSTITUTE(SUBSTITUTE(TRIM(B1938&amp;""),CHAR(160),"")," ",""),"초등학교","초"),"중학교","중"),"고등학교","고")</f>
      </c>
    </row>
    <row r="1939" customFormat="false" ht="15" hidden="false" customHeight="false" outlineLevel="0" collapsed="false">
      <c r="A1939" s="8"/>
      <c r="B1939" s="8"/>
      <c r="C1939" s="8"/>
      <c r="D1939" s="8"/>
      <c r="E1939" s="8"/>
      <c r="F1939" t="str" s="15">
        <f aca="0">IF(B1939="","",IF(H1939="","확인필요(입력누락)",IF(SUMPRODUCT((실물목록!$P$2:$P$1001&lt;&gt;"")*ISNUMBER(SEARCH(실물목록!$P$2:$P$1001,I1939))*(실물목록!$Q$2:$Q$1001&lt;&gt;"")*ISNUMBER(SEARCH(실물목록!$Q$2:$Q$1001,I1939))*(실물목록!$R$2:$R$1001="")*(실물목록!$O$2:$O$1001&lt;&gt;"")*(실물목록!$O$2:$O$1001=H1939))&gt;0,"실물 있음",IF(SUMPRODUCT((실물목록!$P$2:$P$1001&lt;&gt;"")*ISNUMBER(SEARCH(실물목록!$P$2:$P$1001,I1939))*(실물목록!$R$2:$R$1001&lt;&gt;""))&gt;0,"확인필요(입력누락)",IF(SUMPRODUCT((실물목록!$P$2:$P$1001&lt;&gt;"")*ISNUMBER(SEARCH(실물목록!$P$2:$P$1001,I1939))*(실물목록!$Q$2:$Q$1001&lt;&gt;"")*ISNUMBER(SEARCH(실물목록!$Q$2:$Q$1001,I1939))*(실물목록!$R$2:$R$1001="")*(실물목록!$O$2:$O$1001&lt;&gt;""))&gt;0,"확인필요(연도다름)","실물 없음")))))</f>
      </c>
      <c r="G1939" t="n" s="16">
        <f aca="0">IF(B1939="","",SUMPRODUCT((실물목록!$P$2:$P$1001&lt;&gt;"")*ISNUMBER(SEARCH(실물목록!$P$2:$P$1001,I1939))*(실물목록!$Q$2:$Q$1001&lt;&gt;"")*ISNUMBER(SEARCH(실물목록!$Q$2:$Q$1001,I1939))*(실물목록!$R$2:$R$1001="")*(실물목록!$O$2:$O$1001&lt;&gt;"")*(실물목록!$O$2:$O$1001=H1939)))</f>
      </c>
      <c r="H1939" t="str">
        <f>IFERROR(IF(AND(LEN(SUBSTITUTE(SUBSTITUTE(SUBSTITUTE(TRIM(A1939&amp;""),CHAR(160),"")," ",""),"년",""))=4,VALUE(SUBSTITUTE(SUBSTITUTE(SUBSTITUTE(TRIM(A1939&amp;""),CHAR(160),"")," ",""),"년",""))&gt;=1900,VALUE(SUBSTITUTE(SUBSTITUTE(SUBSTITUTE(TRIM(A1939&amp;""),CHAR(160),"")," ",""),"년",""))&lt;=2099,TEXT(VALUE(SUBSTITUTE(SUBSTITUTE(SUBSTITUTE(TRIM(A1939&amp;""),CHAR(160),"")," ",""),"년","")),"0000")=SUBSTITUTE(SUBSTITUTE(SUBSTITUTE(TRIM(A1939&amp;""),CHAR(160),"")," ",""),"년","")),SUBSTITUTE(SUBSTITUTE(SUBSTITUTE(TRIM(A1939&amp;""),CHAR(160),"")," ",""),"년",""),""),"")</f>
      </c>
      <c r="I1939" t="str">
        <f>SUBSTITUTE(SUBSTITUTE(SUBSTITUTE(SUBSTITUTE(SUBSTITUTE(TRIM(B1939&amp;""),CHAR(160),"")," ",""),"초등학교","초"),"중학교","중"),"고등학교","고")</f>
      </c>
    </row>
    <row r="1940" customFormat="false" ht="15" hidden="false" customHeight="false" outlineLevel="0" collapsed="false">
      <c r="A1940" s="8"/>
      <c r="B1940" s="8"/>
      <c r="C1940" s="8"/>
      <c r="D1940" s="8"/>
      <c r="E1940" s="8"/>
      <c r="F1940" t="str" s="15">
        <f aca="0">IF(B1940="","",IF(H1940="","확인필요(입력누락)",IF(SUMPRODUCT((실물목록!$P$2:$P$1001&lt;&gt;"")*ISNUMBER(SEARCH(실물목록!$P$2:$P$1001,I1940))*(실물목록!$Q$2:$Q$1001&lt;&gt;"")*ISNUMBER(SEARCH(실물목록!$Q$2:$Q$1001,I1940))*(실물목록!$R$2:$R$1001="")*(실물목록!$O$2:$O$1001&lt;&gt;"")*(실물목록!$O$2:$O$1001=H1940))&gt;0,"실물 있음",IF(SUMPRODUCT((실물목록!$P$2:$P$1001&lt;&gt;"")*ISNUMBER(SEARCH(실물목록!$P$2:$P$1001,I1940))*(실물목록!$R$2:$R$1001&lt;&gt;""))&gt;0,"확인필요(입력누락)",IF(SUMPRODUCT((실물목록!$P$2:$P$1001&lt;&gt;"")*ISNUMBER(SEARCH(실물목록!$P$2:$P$1001,I1940))*(실물목록!$Q$2:$Q$1001&lt;&gt;"")*ISNUMBER(SEARCH(실물목록!$Q$2:$Q$1001,I1940))*(실물목록!$R$2:$R$1001="")*(실물목록!$O$2:$O$1001&lt;&gt;""))&gt;0,"확인필요(연도다름)","실물 없음")))))</f>
      </c>
      <c r="G1940" t="n" s="16">
        <f aca="0">IF(B1940="","",SUMPRODUCT((실물목록!$P$2:$P$1001&lt;&gt;"")*ISNUMBER(SEARCH(실물목록!$P$2:$P$1001,I1940))*(실물목록!$Q$2:$Q$1001&lt;&gt;"")*ISNUMBER(SEARCH(실물목록!$Q$2:$Q$1001,I1940))*(실물목록!$R$2:$R$1001="")*(실물목록!$O$2:$O$1001&lt;&gt;"")*(실물목록!$O$2:$O$1001=H1940)))</f>
      </c>
      <c r="H1940" t="str">
        <f>IFERROR(IF(AND(LEN(SUBSTITUTE(SUBSTITUTE(SUBSTITUTE(TRIM(A1940&amp;""),CHAR(160),"")," ",""),"년",""))=4,VALUE(SUBSTITUTE(SUBSTITUTE(SUBSTITUTE(TRIM(A1940&amp;""),CHAR(160),"")," ",""),"년",""))&gt;=1900,VALUE(SUBSTITUTE(SUBSTITUTE(SUBSTITUTE(TRIM(A1940&amp;""),CHAR(160),"")," ",""),"년",""))&lt;=2099,TEXT(VALUE(SUBSTITUTE(SUBSTITUTE(SUBSTITUTE(TRIM(A1940&amp;""),CHAR(160),"")," ",""),"년","")),"0000")=SUBSTITUTE(SUBSTITUTE(SUBSTITUTE(TRIM(A1940&amp;""),CHAR(160),"")," ",""),"년","")),SUBSTITUTE(SUBSTITUTE(SUBSTITUTE(TRIM(A1940&amp;""),CHAR(160),"")," ",""),"년",""),""),"")</f>
      </c>
      <c r="I1940" t="str">
        <f>SUBSTITUTE(SUBSTITUTE(SUBSTITUTE(SUBSTITUTE(SUBSTITUTE(TRIM(B1940&amp;""),CHAR(160),"")," ",""),"초등학교","초"),"중학교","중"),"고등학교","고")</f>
      </c>
    </row>
    <row r="1941" customFormat="false" ht="15" hidden="false" customHeight="false" outlineLevel="0" collapsed="false">
      <c r="A1941" s="8"/>
      <c r="B1941" s="8"/>
      <c r="C1941" s="8"/>
      <c r="D1941" s="8"/>
      <c r="E1941" s="8"/>
      <c r="F1941" t="str" s="15">
        <f aca="0">IF(B1941="","",IF(H1941="","확인필요(입력누락)",IF(SUMPRODUCT((실물목록!$P$2:$P$1001&lt;&gt;"")*ISNUMBER(SEARCH(실물목록!$P$2:$P$1001,I1941))*(실물목록!$Q$2:$Q$1001&lt;&gt;"")*ISNUMBER(SEARCH(실물목록!$Q$2:$Q$1001,I1941))*(실물목록!$R$2:$R$1001="")*(실물목록!$O$2:$O$1001&lt;&gt;"")*(실물목록!$O$2:$O$1001=H1941))&gt;0,"실물 있음",IF(SUMPRODUCT((실물목록!$P$2:$P$1001&lt;&gt;"")*ISNUMBER(SEARCH(실물목록!$P$2:$P$1001,I1941))*(실물목록!$R$2:$R$1001&lt;&gt;""))&gt;0,"확인필요(입력누락)",IF(SUMPRODUCT((실물목록!$P$2:$P$1001&lt;&gt;"")*ISNUMBER(SEARCH(실물목록!$P$2:$P$1001,I1941))*(실물목록!$Q$2:$Q$1001&lt;&gt;"")*ISNUMBER(SEARCH(실물목록!$Q$2:$Q$1001,I1941))*(실물목록!$R$2:$R$1001="")*(실물목록!$O$2:$O$1001&lt;&gt;""))&gt;0,"확인필요(연도다름)","실물 없음")))))</f>
      </c>
      <c r="G1941" t="n" s="16">
        <f aca="0">IF(B1941="","",SUMPRODUCT((실물목록!$P$2:$P$1001&lt;&gt;"")*ISNUMBER(SEARCH(실물목록!$P$2:$P$1001,I1941))*(실물목록!$Q$2:$Q$1001&lt;&gt;"")*ISNUMBER(SEARCH(실물목록!$Q$2:$Q$1001,I1941))*(실물목록!$R$2:$R$1001="")*(실물목록!$O$2:$O$1001&lt;&gt;"")*(실물목록!$O$2:$O$1001=H1941)))</f>
      </c>
      <c r="H1941" t="str">
        <f>IFERROR(IF(AND(LEN(SUBSTITUTE(SUBSTITUTE(SUBSTITUTE(TRIM(A1941&amp;""),CHAR(160),"")," ",""),"년",""))=4,VALUE(SUBSTITUTE(SUBSTITUTE(SUBSTITUTE(TRIM(A1941&amp;""),CHAR(160),"")," ",""),"년",""))&gt;=1900,VALUE(SUBSTITUTE(SUBSTITUTE(SUBSTITUTE(TRIM(A1941&amp;""),CHAR(160),"")," ",""),"년",""))&lt;=2099,TEXT(VALUE(SUBSTITUTE(SUBSTITUTE(SUBSTITUTE(TRIM(A1941&amp;""),CHAR(160),"")," ",""),"년","")),"0000")=SUBSTITUTE(SUBSTITUTE(SUBSTITUTE(TRIM(A1941&amp;""),CHAR(160),"")," ",""),"년","")),SUBSTITUTE(SUBSTITUTE(SUBSTITUTE(TRIM(A1941&amp;""),CHAR(160),"")," ",""),"년",""),""),"")</f>
      </c>
      <c r="I1941" t="str">
        <f>SUBSTITUTE(SUBSTITUTE(SUBSTITUTE(SUBSTITUTE(SUBSTITUTE(TRIM(B1941&amp;""),CHAR(160),"")," ",""),"초등학교","초"),"중학교","중"),"고등학교","고")</f>
      </c>
    </row>
    <row r="1942" customFormat="false" ht="15" hidden="false" customHeight="false" outlineLevel="0" collapsed="false">
      <c r="A1942" s="8"/>
      <c r="B1942" s="8"/>
      <c r="C1942" s="8"/>
      <c r="D1942" s="8"/>
      <c r="E1942" s="8"/>
      <c r="F1942" t="str" s="15">
        <f aca="0">IF(B1942="","",IF(H1942="","확인필요(입력누락)",IF(SUMPRODUCT((실물목록!$P$2:$P$1001&lt;&gt;"")*ISNUMBER(SEARCH(실물목록!$P$2:$P$1001,I1942))*(실물목록!$Q$2:$Q$1001&lt;&gt;"")*ISNUMBER(SEARCH(실물목록!$Q$2:$Q$1001,I1942))*(실물목록!$R$2:$R$1001="")*(실물목록!$O$2:$O$1001&lt;&gt;"")*(실물목록!$O$2:$O$1001=H1942))&gt;0,"실물 있음",IF(SUMPRODUCT((실물목록!$P$2:$P$1001&lt;&gt;"")*ISNUMBER(SEARCH(실물목록!$P$2:$P$1001,I1942))*(실물목록!$R$2:$R$1001&lt;&gt;""))&gt;0,"확인필요(입력누락)",IF(SUMPRODUCT((실물목록!$P$2:$P$1001&lt;&gt;"")*ISNUMBER(SEARCH(실물목록!$P$2:$P$1001,I1942))*(실물목록!$Q$2:$Q$1001&lt;&gt;"")*ISNUMBER(SEARCH(실물목록!$Q$2:$Q$1001,I1942))*(실물목록!$R$2:$R$1001="")*(실물목록!$O$2:$O$1001&lt;&gt;""))&gt;0,"확인필요(연도다름)","실물 없음")))))</f>
      </c>
      <c r="G1942" t="n" s="16">
        <f aca="0">IF(B1942="","",SUMPRODUCT((실물목록!$P$2:$P$1001&lt;&gt;"")*ISNUMBER(SEARCH(실물목록!$P$2:$P$1001,I1942))*(실물목록!$Q$2:$Q$1001&lt;&gt;"")*ISNUMBER(SEARCH(실물목록!$Q$2:$Q$1001,I1942))*(실물목록!$R$2:$R$1001="")*(실물목록!$O$2:$O$1001&lt;&gt;"")*(실물목록!$O$2:$O$1001=H1942)))</f>
      </c>
      <c r="H1942" t="str">
        <f>IFERROR(IF(AND(LEN(SUBSTITUTE(SUBSTITUTE(SUBSTITUTE(TRIM(A1942&amp;""),CHAR(160),"")," ",""),"년",""))=4,VALUE(SUBSTITUTE(SUBSTITUTE(SUBSTITUTE(TRIM(A1942&amp;""),CHAR(160),"")," ",""),"년",""))&gt;=1900,VALUE(SUBSTITUTE(SUBSTITUTE(SUBSTITUTE(TRIM(A1942&amp;""),CHAR(160),"")," ",""),"년",""))&lt;=2099,TEXT(VALUE(SUBSTITUTE(SUBSTITUTE(SUBSTITUTE(TRIM(A1942&amp;""),CHAR(160),"")," ",""),"년","")),"0000")=SUBSTITUTE(SUBSTITUTE(SUBSTITUTE(TRIM(A1942&amp;""),CHAR(160),"")," ",""),"년","")),SUBSTITUTE(SUBSTITUTE(SUBSTITUTE(TRIM(A1942&amp;""),CHAR(160),"")," ",""),"년",""),""),"")</f>
      </c>
      <c r="I1942" t="str">
        <f>SUBSTITUTE(SUBSTITUTE(SUBSTITUTE(SUBSTITUTE(SUBSTITUTE(TRIM(B1942&amp;""),CHAR(160),"")," ",""),"초등학교","초"),"중학교","중"),"고등학교","고")</f>
      </c>
    </row>
    <row r="1943" customFormat="false" ht="15" hidden="false" customHeight="false" outlineLevel="0" collapsed="false">
      <c r="A1943" s="8"/>
      <c r="B1943" s="8"/>
      <c r="C1943" s="8"/>
      <c r="D1943" s="8"/>
      <c r="E1943" s="8"/>
      <c r="F1943" t="str" s="15">
        <f aca="0">IF(B1943="","",IF(H1943="","확인필요(입력누락)",IF(SUMPRODUCT((실물목록!$P$2:$P$1001&lt;&gt;"")*ISNUMBER(SEARCH(실물목록!$P$2:$P$1001,I1943))*(실물목록!$Q$2:$Q$1001&lt;&gt;"")*ISNUMBER(SEARCH(실물목록!$Q$2:$Q$1001,I1943))*(실물목록!$R$2:$R$1001="")*(실물목록!$O$2:$O$1001&lt;&gt;"")*(실물목록!$O$2:$O$1001=H1943))&gt;0,"실물 있음",IF(SUMPRODUCT((실물목록!$P$2:$P$1001&lt;&gt;"")*ISNUMBER(SEARCH(실물목록!$P$2:$P$1001,I1943))*(실물목록!$R$2:$R$1001&lt;&gt;""))&gt;0,"확인필요(입력누락)",IF(SUMPRODUCT((실물목록!$P$2:$P$1001&lt;&gt;"")*ISNUMBER(SEARCH(실물목록!$P$2:$P$1001,I1943))*(실물목록!$Q$2:$Q$1001&lt;&gt;"")*ISNUMBER(SEARCH(실물목록!$Q$2:$Q$1001,I1943))*(실물목록!$R$2:$R$1001="")*(실물목록!$O$2:$O$1001&lt;&gt;""))&gt;0,"확인필요(연도다름)","실물 없음")))))</f>
      </c>
      <c r="G1943" t="n" s="16">
        <f aca="0">IF(B1943="","",SUMPRODUCT((실물목록!$P$2:$P$1001&lt;&gt;"")*ISNUMBER(SEARCH(실물목록!$P$2:$P$1001,I1943))*(실물목록!$Q$2:$Q$1001&lt;&gt;"")*ISNUMBER(SEARCH(실물목록!$Q$2:$Q$1001,I1943))*(실물목록!$R$2:$R$1001="")*(실물목록!$O$2:$O$1001&lt;&gt;"")*(실물목록!$O$2:$O$1001=H1943)))</f>
      </c>
      <c r="H1943" t="str">
        <f>IFERROR(IF(AND(LEN(SUBSTITUTE(SUBSTITUTE(SUBSTITUTE(TRIM(A1943&amp;""),CHAR(160),"")," ",""),"년",""))=4,VALUE(SUBSTITUTE(SUBSTITUTE(SUBSTITUTE(TRIM(A1943&amp;""),CHAR(160),"")," ",""),"년",""))&gt;=1900,VALUE(SUBSTITUTE(SUBSTITUTE(SUBSTITUTE(TRIM(A1943&amp;""),CHAR(160),"")," ",""),"년",""))&lt;=2099,TEXT(VALUE(SUBSTITUTE(SUBSTITUTE(SUBSTITUTE(TRIM(A1943&amp;""),CHAR(160),"")," ",""),"년","")),"0000")=SUBSTITUTE(SUBSTITUTE(SUBSTITUTE(TRIM(A1943&amp;""),CHAR(160),"")," ",""),"년","")),SUBSTITUTE(SUBSTITUTE(SUBSTITUTE(TRIM(A1943&amp;""),CHAR(160),"")," ",""),"년",""),""),"")</f>
      </c>
      <c r="I1943" t="str">
        <f>SUBSTITUTE(SUBSTITUTE(SUBSTITUTE(SUBSTITUTE(SUBSTITUTE(TRIM(B1943&amp;""),CHAR(160),"")," ",""),"초등학교","초"),"중학교","중"),"고등학교","고")</f>
      </c>
    </row>
    <row r="1944" customFormat="false" ht="15" hidden="false" customHeight="false" outlineLevel="0" collapsed="false">
      <c r="A1944" s="8"/>
      <c r="B1944" s="8"/>
      <c r="C1944" s="8"/>
      <c r="D1944" s="8"/>
      <c r="E1944" s="8"/>
      <c r="F1944" t="str" s="15">
        <f aca="0">IF(B1944="","",IF(H1944="","확인필요(입력누락)",IF(SUMPRODUCT((실물목록!$P$2:$P$1001&lt;&gt;"")*ISNUMBER(SEARCH(실물목록!$P$2:$P$1001,I1944))*(실물목록!$Q$2:$Q$1001&lt;&gt;"")*ISNUMBER(SEARCH(실물목록!$Q$2:$Q$1001,I1944))*(실물목록!$R$2:$R$1001="")*(실물목록!$O$2:$O$1001&lt;&gt;"")*(실물목록!$O$2:$O$1001=H1944))&gt;0,"실물 있음",IF(SUMPRODUCT((실물목록!$P$2:$P$1001&lt;&gt;"")*ISNUMBER(SEARCH(실물목록!$P$2:$P$1001,I1944))*(실물목록!$R$2:$R$1001&lt;&gt;""))&gt;0,"확인필요(입력누락)",IF(SUMPRODUCT((실물목록!$P$2:$P$1001&lt;&gt;"")*ISNUMBER(SEARCH(실물목록!$P$2:$P$1001,I1944))*(실물목록!$Q$2:$Q$1001&lt;&gt;"")*ISNUMBER(SEARCH(실물목록!$Q$2:$Q$1001,I1944))*(실물목록!$R$2:$R$1001="")*(실물목록!$O$2:$O$1001&lt;&gt;""))&gt;0,"확인필요(연도다름)","실물 없음")))))</f>
      </c>
      <c r="G1944" t="n" s="16">
        <f aca="0">IF(B1944="","",SUMPRODUCT((실물목록!$P$2:$P$1001&lt;&gt;"")*ISNUMBER(SEARCH(실물목록!$P$2:$P$1001,I1944))*(실물목록!$Q$2:$Q$1001&lt;&gt;"")*ISNUMBER(SEARCH(실물목록!$Q$2:$Q$1001,I1944))*(실물목록!$R$2:$R$1001="")*(실물목록!$O$2:$O$1001&lt;&gt;"")*(실물목록!$O$2:$O$1001=H1944)))</f>
      </c>
      <c r="H1944" t="str">
        <f>IFERROR(IF(AND(LEN(SUBSTITUTE(SUBSTITUTE(SUBSTITUTE(TRIM(A1944&amp;""),CHAR(160),"")," ",""),"년",""))=4,VALUE(SUBSTITUTE(SUBSTITUTE(SUBSTITUTE(TRIM(A1944&amp;""),CHAR(160),"")," ",""),"년",""))&gt;=1900,VALUE(SUBSTITUTE(SUBSTITUTE(SUBSTITUTE(TRIM(A1944&amp;""),CHAR(160),"")," ",""),"년",""))&lt;=2099,TEXT(VALUE(SUBSTITUTE(SUBSTITUTE(SUBSTITUTE(TRIM(A1944&amp;""),CHAR(160),"")," ",""),"년","")),"0000")=SUBSTITUTE(SUBSTITUTE(SUBSTITUTE(TRIM(A1944&amp;""),CHAR(160),"")," ",""),"년","")),SUBSTITUTE(SUBSTITUTE(SUBSTITUTE(TRIM(A1944&amp;""),CHAR(160),"")," ",""),"년",""),""),"")</f>
      </c>
      <c r="I1944" t="str">
        <f>SUBSTITUTE(SUBSTITUTE(SUBSTITUTE(SUBSTITUTE(SUBSTITUTE(TRIM(B1944&amp;""),CHAR(160),"")," ",""),"초등학교","초"),"중학교","중"),"고등학교","고")</f>
      </c>
    </row>
    <row r="1945" customFormat="false" ht="15" hidden="false" customHeight="false" outlineLevel="0" collapsed="false">
      <c r="A1945" s="8"/>
      <c r="B1945" s="8"/>
      <c r="C1945" s="8"/>
      <c r="D1945" s="8"/>
      <c r="E1945" s="8"/>
      <c r="F1945" t="str" s="15">
        <f aca="0">IF(B1945="","",IF(H1945="","확인필요(입력누락)",IF(SUMPRODUCT((실물목록!$P$2:$P$1001&lt;&gt;"")*ISNUMBER(SEARCH(실물목록!$P$2:$P$1001,I1945))*(실물목록!$Q$2:$Q$1001&lt;&gt;"")*ISNUMBER(SEARCH(실물목록!$Q$2:$Q$1001,I1945))*(실물목록!$R$2:$R$1001="")*(실물목록!$O$2:$O$1001&lt;&gt;"")*(실물목록!$O$2:$O$1001=H1945))&gt;0,"실물 있음",IF(SUMPRODUCT((실물목록!$P$2:$P$1001&lt;&gt;"")*ISNUMBER(SEARCH(실물목록!$P$2:$P$1001,I1945))*(실물목록!$R$2:$R$1001&lt;&gt;""))&gt;0,"확인필요(입력누락)",IF(SUMPRODUCT((실물목록!$P$2:$P$1001&lt;&gt;"")*ISNUMBER(SEARCH(실물목록!$P$2:$P$1001,I1945))*(실물목록!$Q$2:$Q$1001&lt;&gt;"")*ISNUMBER(SEARCH(실물목록!$Q$2:$Q$1001,I1945))*(실물목록!$R$2:$R$1001="")*(실물목록!$O$2:$O$1001&lt;&gt;""))&gt;0,"확인필요(연도다름)","실물 없음")))))</f>
      </c>
      <c r="G1945" t="n" s="16">
        <f aca="0">IF(B1945="","",SUMPRODUCT((실물목록!$P$2:$P$1001&lt;&gt;"")*ISNUMBER(SEARCH(실물목록!$P$2:$P$1001,I1945))*(실물목록!$Q$2:$Q$1001&lt;&gt;"")*ISNUMBER(SEARCH(실물목록!$Q$2:$Q$1001,I1945))*(실물목록!$R$2:$R$1001="")*(실물목록!$O$2:$O$1001&lt;&gt;"")*(실물목록!$O$2:$O$1001=H1945)))</f>
      </c>
      <c r="H1945" t="str">
        <f>IFERROR(IF(AND(LEN(SUBSTITUTE(SUBSTITUTE(SUBSTITUTE(TRIM(A1945&amp;""),CHAR(160),"")," ",""),"년",""))=4,VALUE(SUBSTITUTE(SUBSTITUTE(SUBSTITUTE(TRIM(A1945&amp;""),CHAR(160),"")," ",""),"년",""))&gt;=1900,VALUE(SUBSTITUTE(SUBSTITUTE(SUBSTITUTE(TRIM(A1945&amp;""),CHAR(160),"")," ",""),"년",""))&lt;=2099,TEXT(VALUE(SUBSTITUTE(SUBSTITUTE(SUBSTITUTE(TRIM(A1945&amp;""),CHAR(160),"")," ",""),"년","")),"0000")=SUBSTITUTE(SUBSTITUTE(SUBSTITUTE(TRIM(A1945&amp;""),CHAR(160),"")," ",""),"년","")),SUBSTITUTE(SUBSTITUTE(SUBSTITUTE(TRIM(A1945&amp;""),CHAR(160),"")," ",""),"년",""),""),"")</f>
      </c>
      <c r="I1945" t="str">
        <f>SUBSTITUTE(SUBSTITUTE(SUBSTITUTE(SUBSTITUTE(SUBSTITUTE(TRIM(B1945&amp;""),CHAR(160),"")," ",""),"초등학교","초"),"중학교","중"),"고등학교","고")</f>
      </c>
    </row>
    <row r="1946" customFormat="false" ht="15" hidden="false" customHeight="false" outlineLevel="0" collapsed="false">
      <c r="A1946" s="8"/>
      <c r="B1946" s="8"/>
      <c r="C1946" s="8"/>
      <c r="D1946" s="8"/>
      <c r="E1946" s="8"/>
      <c r="F1946" t="str" s="15">
        <f aca="0">IF(B1946="","",IF(H1946="","확인필요(입력누락)",IF(SUMPRODUCT((실물목록!$P$2:$P$1001&lt;&gt;"")*ISNUMBER(SEARCH(실물목록!$P$2:$P$1001,I1946))*(실물목록!$Q$2:$Q$1001&lt;&gt;"")*ISNUMBER(SEARCH(실물목록!$Q$2:$Q$1001,I1946))*(실물목록!$R$2:$R$1001="")*(실물목록!$O$2:$O$1001&lt;&gt;"")*(실물목록!$O$2:$O$1001=H1946))&gt;0,"실물 있음",IF(SUMPRODUCT((실물목록!$P$2:$P$1001&lt;&gt;"")*ISNUMBER(SEARCH(실물목록!$P$2:$P$1001,I1946))*(실물목록!$R$2:$R$1001&lt;&gt;""))&gt;0,"확인필요(입력누락)",IF(SUMPRODUCT((실물목록!$P$2:$P$1001&lt;&gt;"")*ISNUMBER(SEARCH(실물목록!$P$2:$P$1001,I1946))*(실물목록!$Q$2:$Q$1001&lt;&gt;"")*ISNUMBER(SEARCH(실물목록!$Q$2:$Q$1001,I1946))*(실물목록!$R$2:$R$1001="")*(실물목록!$O$2:$O$1001&lt;&gt;""))&gt;0,"확인필요(연도다름)","실물 없음")))))</f>
      </c>
      <c r="G1946" t="n" s="16">
        <f aca="0">IF(B1946="","",SUMPRODUCT((실물목록!$P$2:$P$1001&lt;&gt;"")*ISNUMBER(SEARCH(실물목록!$P$2:$P$1001,I1946))*(실물목록!$Q$2:$Q$1001&lt;&gt;"")*ISNUMBER(SEARCH(실물목록!$Q$2:$Q$1001,I1946))*(실물목록!$R$2:$R$1001="")*(실물목록!$O$2:$O$1001&lt;&gt;"")*(실물목록!$O$2:$O$1001=H1946)))</f>
      </c>
      <c r="H1946" t="str">
        <f>IFERROR(IF(AND(LEN(SUBSTITUTE(SUBSTITUTE(SUBSTITUTE(TRIM(A1946&amp;""),CHAR(160),"")," ",""),"년",""))=4,VALUE(SUBSTITUTE(SUBSTITUTE(SUBSTITUTE(TRIM(A1946&amp;""),CHAR(160),"")," ",""),"년",""))&gt;=1900,VALUE(SUBSTITUTE(SUBSTITUTE(SUBSTITUTE(TRIM(A1946&amp;""),CHAR(160),"")," ",""),"년",""))&lt;=2099,TEXT(VALUE(SUBSTITUTE(SUBSTITUTE(SUBSTITUTE(TRIM(A1946&amp;""),CHAR(160),"")," ",""),"년","")),"0000")=SUBSTITUTE(SUBSTITUTE(SUBSTITUTE(TRIM(A1946&amp;""),CHAR(160),"")," ",""),"년","")),SUBSTITUTE(SUBSTITUTE(SUBSTITUTE(TRIM(A1946&amp;""),CHAR(160),"")," ",""),"년",""),""),"")</f>
      </c>
      <c r="I1946" t="str">
        <f>SUBSTITUTE(SUBSTITUTE(SUBSTITUTE(SUBSTITUTE(SUBSTITUTE(TRIM(B1946&amp;""),CHAR(160),"")," ",""),"초등학교","초"),"중학교","중"),"고등학교","고")</f>
      </c>
    </row>
    <row r="1947" customFormat="false" ht="15" hidden="false" customHeight="false" outlineLevel="0" collapsed="false">
      <c r="A1947" s="8"/>
      <c r="B1947" s="8"/>
      <c r="C1947" s="8"/>
      <c r="D1947" s="8"/>
      <c r="E1947" s="8"/>
      <c r="F1947" t="str" s="15">
        <f aca="0">IF(B1947="","",IF(H1947="","확인필요(입력누락)",IF(SUMPRODUCT((실물목록!$P$2:$P$1001&lt;&gt;"")*ISNUMBER(SEARCH(실물목록!$P$2:$P$1001,I1947))*(실물목록!$Q$2:$Q$1001&lt;&gt;"")*ISNUMBER(SEARCH(실물목록!$Q$2:$Q$1001,I1947))*(실물목록!$R$2:$R$1001="")*(실물목록!$O$2:$O$1001&lt;&gt;"")*(실물목록!$O$2:$O$1001=H1947))&gt;0,"실물 있음",IF(SUMPRODUCT((실물목록!$P$2:$P$1001&lt;&gt;"")*ISNUMBER(SEARCH(실물목록!$P$2:$P$1001,I1947))*(실물목록!$R$2:$R$1001&lt;&gt;""))&gt;0,"확인필요(입력누락)",IF(SUMPRODUCT((실물목록!$P$2:$P$1001&lt;&gt;"")*ISNUMBER(SEARCH(실물목록!$P$2:$P$1001,I1947))*(실물목록!$Q$2:$Q$1001&lt;&gt;"")*ISNUMBER(SEARCH(실물목록!$Q$2:$Q$1001,I1947))*(실물목록!$R$2:$R$1001="")*(실물목록!$O$2:$O$1001&lt;&gt;""))&gt;0,"확인필요(연도다름)","실물 없음")))))</f>
      </c>
      <c r="G1947" t="n" s="16">
        <f aca="0">IF(B1947="","",SUMPRODUCT((실물목록!$P$2:$P$1001&lt;&gt;"")*ISNUMBER(SEARCH(실물목록!$P$2:$P$1001,I1947))*(실물목록!$Q$2:$Q$1001&lt;&gt;"")*ISNUMBER(SEARCH(실물목록!$Q$2:$Q$1001,I1947))*(실물목록!$R$2:$R$1001="")*(실물목록!$O$2:$O$1001&lt;&gt;"")*(실물목록!$O$2:$O$1001=H1947)))</f>
      </c>
      <c r="H1947" t="str">
        <f>IFERROR(IF(AND(LEN(SUBSTITUTE(SUBSTITUTE(SUBSTITUTE(TRIM(A1947&amp;""),CHAR(160),"")," ",""),"년",""))=4,VALUE(SUBSTITUTE(SUBSTITUTE(SUBSTITUTE(TRIM(A1947&amp;""),CHAR(160),"")," ",""),"년",""))&gt;=1900,VALUE(SUBSTITUTE(SUBSTITUTE(SUBSTITUTE(TRIM(A1947&amp;""),CHAR(160),"")," ",""),"년",""))&lt;=2099,TEXT(VALUE(SUBSTITUTE(SUBSTITUTE(SUBSTITUTE(TRIM(A1947&amp;""),CHAR(160),"")," ",""),"년","")),"0000")=SUBSTITUTE(SUBSTITUTE(SUBSTITUTE(TRIM(A1947&amp;""),CHAR(160),"")," ",""),"년","")),SUBSTITUTE(SUBSTITUTE(SUBSTITUTE(TRIM(A1947&amp;""),CHAR(160),"")," ",""),"년",""),""),"")</f>
      </c>
      <c r="I1947" t="str">
        <f>SUBSTITUTE(SUBSTITUTE(SUBSTITUTE(SUBSTITUTE(SUBSTITUTE(TRIM(B1947&amp;""),CHAR(160),"")," ",""),"초등학교","초"),"중학교","중"),"고등학교","고")</f>
      </c>
    </row>
    <row r="1948" customFormat="false" ht="15" hidden="false" customHeight="false" outlineLevel="0" collapsed="false">
      <c r="A1948" s="8"/>
      <c r="B1948" s="8"/>
      <c r="C1948" s="8"/>
      <c r="D1948" s="8"/>
      <c r="E1948" s="8"/>
      <c r="F1948" t="str" s="15">
        <f aca="0">IF(B1948="","",IF(H1948="","확인필요(입력누락)",IF(SUMPRODUCT((실물목록!$P$2:$P$1001&lt;&gt;"")*ISNUMBER(SEARCH(실물목록!$P$2:$P$1001,I1948))*(실물목록!$Q$2:$Q$1001&lt;&gt;"")*ISNUMBER(SEARCH(실물목록!$Q$2:$Q$1001,I1948))*(실물목록!$R$2:$R$1001="")*(실물목록!$O$2:$O$1001&lt;&gt;"")*(실물목록!$O$2:$O$1001=H1948))&gt;0,"실물 있음",IF(SUMPRODUCT((실물목록!$P$2:$P$1001&lt;&gt;"")*ISNUMBER(SEARCH(실물목록!$P$2:$P$1001,I1948))*(실물목록!$R$2:$R$1001&lt;&gt;""))&gt;0,"확인필요(입력누락)",IF(SUMPRODUCT((실물목록!$P$2:$P$1001&lt;&gt;"")*ISNUMBER(SEARCH(실물목록!$P$2:$P$1001,I1948))*(실물목록!$Q$2:$Q$1001&lt;&gt;"")*ISNUMBER(SEARCH(실물목록!$Q$2:$Q$1001,I1948))*(실물목록!$R$2:$R$1001="")*(실물목록!$O$2:$O$1001&lt;&gt;""))&gt;0,"확인필요(연도다름)","실물 없음")))))</f>
      </c>
      <c r="G1948" t="n" s="16">
        <f aca="0">IF(B1948="","",SUMPRODUCT((실물목록!$P$2:$P$1001&lt;&gt;"")*ISNUMBER(SEARCH(실물목록!$P$2:$P$1001,I1948))*(실물목록!$Q$2:$Q$1001&lt;&gt;"")*ISNUMBER(SEARCH(실물목록!$Q$2:$Q$1001,I1948))*(실물목록!$R$2:$R$1001="")*(실물목록!$O$2:$O$1001&lt;&gt;"")*(실물목록!$O$2:$O$1001=H1948)))</f>
      </c>
      <c r="H1948" t="str">
        <f>IFERROR(IF(AND(LEN(SUBSTITUTE(SUBSTITUTE(SUBSTITUTE(TRIM(A1948&amp;""),CHAR(160),"")," ",""),"년",""))=4,VALUE(SUBSTITUTE(SUBSTITUTE(SUBSTITUTE(TRIM(A1948&amp;""),CHAR(160),"")," ",""),"년",""))&gt;=1900,VALUE(SUBSTITUTE(SUBSTITUTE(SUBSTITUTE(TRIM(A1948&amp;""),CHAR(160),"")," ",""),"년",""))&lt;=2099,TEXT(VALUE(SUBSTITUTE(SUBSTITUTE(SUBSTITUTE(TRIM(A1948&amp;""),CHAR(160),"")," ",""),"년","")),"0000")=SUBSTITUTE(SUBSTITUTE(SUBSTITUTE(TRIM(A1948&amp;""),CHAR(160),"")," ",""),"년","")),SUBSTITUTE(SUBSTITUTE(SUBSTITUTE(TRIM(A1948&amp;""),CHAR(160),"")," ",""),"년",""),""),"")</f>
      </c>
      <c r="I1948" t="str">
        <f>SUBSTITUTE(SUBSTITUTE(SUBSTITUTE(SUBSTITUTE(SUBSTITUTE(TRIM(B1948&amp;""),CHAR(160),"")," ",""),"초등학교","초"),"중학교","중"),"고등학교","고")</f>
      </c>
    </row>
    <row r="1949" customFormat="false" ht="15" hidden="false" customHeight="false" outlineLevel="0" collapsed="false">
      <c r="A1949" s="8"/>
      <c r="B1949" s="8"/>
      <c r="C1949" s="8"/>
      <c r="D1949" s="8"/>
      <c r="E1949" s="8"/>
      <c r="F1949" t="str" s="15">
        <f aca="0">IF(B1949="","",IF(H1949="","확인필요(입력누락)",IF(SUMPRODUCT((실물목록!$P$2:$P$1001&lt;&gt;"")*ISNUMBER(SEARCH(실물목록!$P$2:$P$1001,I1949))*(실물목록!$Q$2:$Q$1001&lt;&gt;"")*ISNUMBER(SEARCH(실물목록!$Q$2:$Q$1001,I1949))*(실물목록!$R$2:$R$1001="")*(실물목록!$O$2:$O$1001&lt;&gt;"")*(실물목록!$O$2:$O$1001=H1949))&gt;0,"실물 있음",IF(SUMPRODUCT((실물목록!$P$2:$P$1001&lt;&gt;"")*ISNUMBER(SEARCH(실물목록!$P$2:$P$1001,I1949))*(실물목록!$R$2:$R$1001&lt;&gt;""))&gt;0,"확인필요(입력누락)",IF(SUMPRODUCT((실물목록!$P$2:$P$1001&lt;&gt;"")*ISNUMBER(SEARCH(실물목록!$P$2:$P$1001,I1949))*(실물목록!$Q$2:$Q$1001&lt;&gt;"")*ISNUMBER(SEARCH(실물목록!$Q$2:$Q$1001,I1949))*(실물목록!$R$2:$R$1001="")*(실물목록!$O$2:$O$1001&lt;&gt;""))&gt;0,"확인필요(연도다름)","실물 없음")))))</f>
      </c>
      <c r="G1949" t="n" s="16">
        <f aca="0">IF(B1949="","",SUMPRODUCT((실물목록!$P$2:$P$1001&lt;&gt;"")*ISNUMBER(SEARCH(실물목록!$P$2:$P$1001,I1949))*(실물목록!$Q$2:$Q$1001&lt;&gt;"")*ISNUMBER(SEARCH(실물목록!$Q$2:$Q$1001,I1949))*(실물목록!$R$2:$R$1001="")*(실물목록!$O$2:$O$1001&lt;&gt;"")*(실물목록!$O$2:$O$1001=H1949)))</f>
      </c>
      <c r="H1949" t="str">
        <f>IFERROR(IF(AND(LEN(SUBSTITUTE(SUBSTITUTE(SUBSTITUTE(TRIM(A1949&amp;""),CHAR(160),"")," ",""),"년",""))=4,VALUE(SUBSTITUTE(SUBSTITUTE(SUBSTITUTE(TRIM(A1949&amp;""),CHAR(160),"")," ",""),"년",""))&gt;=1900,VALUE(SUBSTITUTE(SUBSTITUTE(SUBSTITUTE(TRIM(A1949&amp;""),CHAR(160),"")," ",""),"년",""))&lt;=2099,TEXT(VALUE(SUBSTITUTE(SUBSTITUTE(SUBSTITUTE(TRIM(A1949&amp;""),CHAR(160),"")," ",""),"년","")),"0000")=SUBSTITUTE(SUBSTITUTE(SUBSTITUTE(TRIM(A1949&amp;""),CHAR(160),"")," ",""),"년","")),SUBSTITUTE(SUBSTITUTE(SUBSTITUTE(TRIM(A1949&amp;""),CHAR(160),"")," ",""),"년",""),""),"")</f>
      </c>
      <c r="I1949" t="str">
        <f>SUBSTITUTE(SUBSTITUTE(SUBSTITUTE(SUBSTITUTE(SUBSTITUTE(TRIM(B1949&amp;""),CHAR(160),"")," ",""),"초등학교","초"),"중학교","중"),"고등학교","고")</f>
      </c>
    </row>
    <row r="1950" customFormat="false" ht="15" hidden="false" customHeight="false" outlineLevel="0" collapsed="false">
      <c r="A1950" s="8"/>
      <c r="B1950" s="8"/>
      <c r="C1950" s="8"/>
      <c r="D1950" s="8"/>
      <c r="E1950" s="8"/>
      <c r="F1950" t="str" s="15">
        <f aca="0">IF(B1950="","",IF(H1950="","확인필요(입력누락)",IF(SUMPRODUCT((실물목록!$P$2:$P$1001&lt;&gt;"")*ISNUMBER(SEARCH(실물목록!$P$2:$P$1001,I1950))*(실물목록!$Q$2:$Q$1001&lt;&gt;"")*ISNUMBER(SEARCH(실물목록!$Q$2:$Q$1001,I1950))*(실물목록!$R$2:$R$1001="")*(실물목록!$O$2:$O$1001&lt;&gt;"")*(실물목록!$O$2:$O$1001=H1950))&gt;0,"실물 있음",IF(SUMPRODUCT((실물목록!$P$2:$P$1001&lt;&gt;"")*ISNUMBER(SEARCH(실물목록!$P$2:$P$1001,I1950))*(실물목록!$R$2:$R$1001&lt;&gt;""))&gt;0,"확인필요(입력누락)",IF(SUMPRODUCT((실물목록!$P$2:$P$1001&lt;&gt;"")*ISNUMBER(SEARCH(실물목록!$P$2:$P$1001,I1950))*(실물목록!$Q$2:$Q$1001&lt;&gt;"")*ISNUMBER(SEARCH(실물목록!$Q$2:$Q$1001,I1950))*(실물목록!$R$2:$R$1001="")*(실물목록!$O$2:$O$1001&lt;&gt;""))&gt;0,"확인필요(연도다름)","실물 없음")))))</f>
      </c>
      <c r="G1950" t="n" s="16">
        <f aca="0">IF(B1950="","",SUMPRODUCT((실물목록!$P$2:$P$1001&lt;&gt;"")*ISNUMBER(SEARCH(실물목록!$P$2:$P$1001,I1950))*(실물목록!$Q$2:$Q$1001&lt;&gt;"")*ISNUMBER(SEARCH(실물목록!$Q$2:$Q$1001,I1950))*(실물목록!$R$2:$R$1001="")*(실물목록!$O$2:$O$1001&lt;&gt;"")*(실물목록!$O$2:$O$1001=H1950)))</f>
      </c>
      <c r="H1950" t="str">
        <f>IFERROR(IF(AND(LEN(SUBSTITUTE(SUBSTITUTE(SUBSTITUTE(TRIM(A1950&amp;""),CHAR(160),"")," ",""),"년",""))=4,VALUE(SUBSTITUTE(SUBSTITUTE(SUBSTITUTE(TRIM(A1950&amp;""),CHAR(160),"")," ",""),"년",""))&gt;=1900,VALUE(SUBSTITUTE(SUBSTITUTE(SUBSTITUTE(TRIM(A1950&amp;""),CHAR(160),"")," ",""),"년",""))&lt;=2099,TEXT(VALUE(SUBSTITUTE(SUBSTITUTE(SUBSTITUTE(TRIM(A1950&amp;""),CHAR(160),"")," ",""),"년","")),"0000")=SUBSTITUTE(SUBSTITUTE(SUBSTITUTE(TRIM(A1950&amp;""),CHAR(160),"")," ",""),"년","")),SUBSTITUTE(SUBSTITUTE(SUBSTITUTE(TRIM(A1950&amp;""),CHAR(160),"")," ",""),"년",""),""),"")</f>
      </c>
      <c r="I1950" t="str">
        <f>SUBSTITUTE(SUBSTITUTE(SUBSTITUTE(SUBSTITUTE(SUBSTITUTE(TRIM(B1950&amp;""),CHAR(160),"")," ",""),"초등학교","초"),"중학교","중"),"고등학교","고")</f>
      </c>
    </row>
    <row r="1951" customFormat="false" ht="15" hidden="false" customHeight="false" outlineLevel="0" collapsed="false">
      <c r="A1951" s="8"/>
      <c r="B1951" s="8"/>
      <c r="C1951" s="8"/>
      <c r="D1951" s="8"/>
      <c r="E1951" s="8"/>
      <c r="F1951" t="str" s="15">
        <f aca="0">IF(B1951="","",IF(H1951="","확인필요(입력누락)",IF(SUMPRODUCT((실물목록!$P$2:$P$1001&lt;&gt;"")*ISNUMBER(SEARCH(실물목록!$P$2:$P$1001,I1951))*(실물목록!$Q$2:$Q$1001&lt;&gt;"")*ISNUMBER(SEARCH(실물목록!$Q$2:$Q$1001,I1951))*(실물목록!$R$2:$R$1001="")*(실물목록!$O$2:$O$1001&lt;&gt;"")*(실물목록!$O$2:$O$1001=H1951))&gt;0,"실물 있음",IF(SUMPRODUCT((실물목록!$P$2:$P$1001&lt;&gt;"")*ISNUMBER(SEARCH(실물목록!$P$2:$P$1001,I1951))*(실물목록!$R$2:$R$1001&lt;&gt;""))&gt;0,"확인필요(입력누락)",IF(SUMPRODUCT((실물목록!$P$2:$P$1001&lt;&gt;"")*ISNUMBER(SEARCH(실물목록!$P$2:$P$1001,I1951))*(실물목록!$Q$2:$Q$1001&lt;&gt;"")*ISNUMBER(SEARCH(실물목록!$Q$2:$Q$1001,I1951))*(실물목록!$R$2:$R$1001="")*(실물목록!$O$2:$O$1001&lt;&gt;""))&gt;0,"확인필요(연도다름)","실물 없음")))))</f>
      </c>
      <c r="G1951" t="n" s="16">
        <f aca="0">IF(B1951="","",SUMPRODUCT((실물목록!$P$2:$P$1001&lt;&gt;"")*ISNUMBER(SEARCH(실물목록!$P$2:$P$1001,I1951))*(실물목록!$Q$2:$Q$1001&lt;&gt;"")*ISNUMBER(SEARCH(실물목록!$Q$2:$Q$1001,I1951))*(실물목록!$R$2:$R$1001="")*(실물목록!$O$2:$O$1001&lt;&gt;"")*(실물목록!$O$2:$O$1001=H1951)))</f>
      </c>
      <c r="H1951" t="str">
        <f>IFERROR(IF(AND(LEN(SUBSTITUTE(SUBSTITUTE(SUBSTITUTE(TRIM(A1951&amp;""),CHAR(160),"")," ",""),"년",""))=4,VALUE(SUBSTITUTE(SUBSTITUTE(SUBSTITUTE(TRIM(A1951&amp;""),CHAR(160),"")," ",""),"년",""))&gt;=1900,VALUE(SUBSTITUTE(SUBSTITUTE(SUBSTITUTE(TRIM(A1951&amp;""),CHAR(160),"")," ",""),"년",""))&lt;=2099,TEXT(VALUE(SUBSTITUTE(SUBSTITUTE(SUBSTITUTE(TRIM(A1951&amp;""),CHAR(160),"")," ",""),"년","")),"0000")=SUBSTITUTE(SUBSTITUTE(SUBSTITUTE(TRIM(A1951&amp;""),CHAR(160),"")," ",""),"년","")),SUBSTITUTE(SUBSTITUTE(SUBSTITUTE(TRIM(A1951&amp;""),CHAR(160),"")," ",""),"년",""),""),"")</f>
      </c>
      <c r="I1951" t="str">
        <f>SUBSTITUTE(SUBSTITUTE(SUBSTITUTE(SUBSTITUTE(SUBSTITUTE(TRIM(B1951&amp;""),CHAR(160),"")," ",""),"초등학교","초"),"중학교","중"),"고등학교","고")</f>
      </c>
    </row>
    <row r="1952" customFormat="false" ht="15" hidden="false" customHeight="false" outlineLevel="0" collapsed="false">
      <c r="A1952" s="8"/>
      <c r="B1952" s="8"/>
      <c r="C1952" s="8"/>
      <c r="D1952" s="8"/>
      <c r="E1952" s="8"/>
      <c r="F1952" t="str" s="15">
        <f aca="0">IF(B1952="","",IF(H1952="","확인필요(입력누락)",IF(SUMPRODUCT((실물목록!$P$2:$P$1001&lt;&gt;"")*ISNUMBER(SEARCH(실물목록!$P$2:$P$1001,I1952))*(실물목록!$Q$2:$Q$1001&lt;&gt;"")*ISNUMBER(SEARCH(실물목록!$Q$2:$Q$1001,I1952))*(실물목록!$R$2:$R$1001="")*(실물목록!$O$2:$O$1001&lt;&gt;"")*(실물목록!$O$2:$O$1001=H1952))&gt;0,"실물 있음",IF(SUMPRODUCT((실물목록!$P$2:$P$1001&lt;&gt;"")*ISNUMBER(SEARCH(실물목록!$P$2:$P$1001,I1952))*(실물목록!$R$2:$R$1001&lt;&gt;""))&gt;0,"확인필요(입력누락)",IF(SUMPRODUCT((실물목록!$P$2:$P$1001&lt;&gt;"")*ISNUMBER(SEARCH(실물목록!$P$2:$P$1001,I1952))*(실물목록!$Q$2:$Q$1001&lt;&gt;"")*ISNUMBER(SEARCH(실물목록!$Q$2:$Q$1001,I1952))*(실물목록!$R$2:$R$1001="")*(실물목록!$O$2:$O$1001&lt;&gt;""))&gt;0,"확인필요(연도다름)","실물 없음")))))</f>
      </c>
      <c r="G1952" t="n" s="16">
        <f aca="0">IF(B1952="","",SUMPRODUCT((실물목록!$P$2:$P$1001&lt;&gt;"")*ISNUMBER(SEARCH(실물목록!$P$2:$P$1001,I1952))*(실물목록!$Q$2:$Q$1001&lt;&gt;"")*ISNUMBER(SEARCH(실물목록!$Q$2:$Q$1001,I1952))*(실물목록!$R$2:$R$1001="")*(실물목록!$O$2:$O$1001&lt;&gt;"")*(실물목록!$O$2:$O$1001=H1952)))</f>
      </c>
      <c r="H1952" t="str">
        <f>IFERROR(IF(AND(LEN(SUBSTITUTE(SUBSTITUTE(SUBSTITUTE(TRIM(A1952&amp;""),CHAR(160),"")," ",""),"년",""))=4,VALUE(SUBSTITUTE(SUBSTITUTE(SUBSTITUTE(TRIM(A1952&amp;""),CHAR(160),"")," ",""),"년",""))&gt;=1900,VALUE(SUBSTITUTE(SUBSTITUTE(SUBSTITUTE(TRIM(A1952&amp;""),CHAR(160),"")," ",""),"년",""))&lt;=2099,TEXT(VALUE(SUBSTITUTE(SUBSTITUTE(SUBSTITUTE(TRIM(A1952&amp;""),CHAR(160),"")," ",""),"년","")),"0000")=SUBSTITUTE(SUBSTITUTE(SUBSTITUTE(TRIM(A1952&amp;""),CHAR(160),"")," ",""),"년","")),SUBSTITUTE(SUBSTITUTE(SUBSTITUTE(TRIM(A1952&amp;""),CHAR(160),"")," ",""),"년",""),""),"")</f>
      </c>
      <c r="I1952" t="str">
        <f>SUBSTITUTE(SUBSTITUTE(SUBSTITUTE(SUBSTITUTE(SUBSTITUTE(TRIM(B1952&amp;""),CHAR(160),"")," ",""),"초등학교","초"),"중학교","중"),"고등학교","고")</f>
      </c>
    </row>
    <row r="1953" customFormat="false" ht="15" hidden="false" customHeight="false" outlineLevel="0" collapsed="false">
      <c r="A1953" s="8"/>
      <c r="B1953" s="8"/>
      <c r="C1953" s="8"/>
      <c r="D1953" s="8"/>
      <c r="E1953" s="8"/>
      <c r="F1953" t="str" s="15">
        <f aca="0">IF(B1953="","",IF(H1953="","확인필요(입력누락)",IF(SUMPRODUCT((실물목록!$P$2:$P$1001&lt;&gt;"")*ISNUMBER(SEARCH(실물목록!$P$2:$P$1001,I1953))*(실물목록!$Q$2:$Q$1001&lt;&gt;"")*ISNUMBER(SEARCH(실물목록!$Q$2:$Q$1001,I1953))*(실물목록!$R$2:$R$1001="")*(실물목록!$O$2:$O$1001&lt;&gt;"")*(실물목록!$O$2:$O$1001=H1953))&gt;0,"실물 있음",IF(SUMPRODUCT((실물목록!$P$2:$P$1001&lt;&gt;"")*ISNUMBER(SEARCH(실물목록!$P$2:$P$1001,I1953))*(실물목록!$R$2:$R$1001&lt;&gt;""))&gt;0,"확인필요(입력누락)",IF(SUMPRODUCT((실물목록!$P$2:$P$1001&lt;&gt;"")*ISNUMBER(SEARCH(실물목록!$P$2:$P$1001,I1953))*(실물목록!$Q$2:$Q$1001&lt;&gt;"")*ISNUMBER(SEARCH(실물목록!$Q$2:$Q$1001,I1953))*(실물목록!$R$2:$R$1001="")*(실물목록!$O$2:$O$1001&lt;&gt;""))&gt;0,"확인필요(연도다름)","실물 없음")))))</f>
      </c>
      <c r="G1953" t="n" s="16">
        <f aca="0">IF(B1953="","",SUMPRODUCT((실물목록!$P$2:$P$1001&lt;&gt;"")*ISNUMBER(SEARCH(실물목록!$P$2:$P$1001,I1953))*(실물목록!$Q$2:$Q$1001&lt;&gt;"")*ISNUMBER(SEARCH(실물목록!$Q$2:$Q$1001,I1953))*(실물목록!$R$2:$R$1001="")*(실물목록!$O$2:$O$1001&lt;&gt;"")*(실물목록!$O$2:$O$1001=H1953)))</f>
      </c>
      <c r="H1953" t="str">
        <f>IFERROR(IF(AND(LEN(SUBSTITUTE(SUBSTITUTE(SUBSTITUTE(TRIM(A1953&amp;""),CHAR(160),"")," ",""),"년",""))=4,VALUE(SUBSTITUTE(SUBSTITUTE(SUBSTITUTE(TRIM(A1953&amp;""),CHAR(160),"")," ",""),"년",""))&gt;=1900,VALUE(SUBSTITUTE(SUBSTITUTE(SUBSTITUTE(TRIM(A1953&amp;""),CHAR(160),"")," ",""),"년",""))&lt;=2099,TEXT(VALUE(SUBSTITUTE(SUBSTITUTE(SUBSTITUTE(TRIM(A1953&amp;""),CHAR(160),"")," ",""),"년","")),"0000")=SUBSTITUTE(SUBSTITUTE(SUBSTITUTE(TRIM(A1953&amp;""),CHAR(160),"")," ",""),"년","")),SUBSTITUTE(SUBSTITUTE(SUBSTITUTE(TRIM(A1953&amp;""),CHAR(160),"")," ",""),"년",""),""),"")</f>
      </c>
      <c r="I1953" t="str">
        <f>SUBSTITUTE(SUBSTITUTE(SUBSTITUTE(SUBSTITUTE(SUBSTITUTE(TRIM(B1953&amp;""),CHAR(160),"")," ",""),"초등학교","초"),"중학교","중"),"고등학교","고")</f>
      </c>
    </row>
    <row r="1954" customFormat="false" ht="15" hidden="false" customHeight="false" outlineLevel="0" collapsed="false">
      <c r="A1954" s="8"/>
      <c r="B1954" s="8"/>
      <c r="C1954" s="8"/>
      <c r="D1954" s="8"/>
      <c r="E1954" s="8"/>
      <c r="F1954" t="str" s="15">
        <f aca="0">IF(B1954="","",IF(H1954="","확인필요(입력누락)",IF(SUMPRODUCT((실물목록!$P$2:$P$1001&lt;&gt;"")*ISNUMBER(SEARCH(실물목록!$P$2:$P$1001,I1954))*(실물목록!$Q$2:$Q$1001&lt;&gt;"")*ISNUMBER(SEARCH(실물목록!$Q$2:$Q$1001,I1954))*(실물목록!$R$2:$R$1001="")*(실물목록!$O$2:$O$1001&lt;&gt;"")*(실물목록!$O$2:$O$1001=H1954))&gt;0,"실물 있음",IF(SUMPRODUCT((실물목록!$P$2:$P$1001&lt;&gt;"")*ISNUMBER(SEARCH(실물목록!$P$2:$P$1001,I1954))*(실물목록!$R$2:$R$1001&lt;&gt;""))&gt;0,"확인필요(입력누락)",IF(SUMPRODUCT((실물목록!$P$2:$P$1001&lt;&gt;"")*ISNUMBER(SEARCH(실물목록!$P$2:$P$1001,I1954))*(실물목록!$Q$2:$Q$1001&lt;&gt;"")*ISNUMBER(SEARCH(실물목록!$Q$2:$Q$1001,I1954))*(실물목록!$R$2:$R$1001="")*(실물목록!$O$2:$O$1001&lt;&gt;""))&gt;0,"확인필요(연도다름)","실물 없음")))))</f>
      </c>
      <c r="G1954" t="n" s="16">
        <f aca="0">IF(B1954="","",SUMPRODUCT((실물목록!$P$2:$P$1001&lt;&gt;"")*ISNUMBER(SEARCH(실물목록!$P$2:$P$1001,I1954))*(실물목록!$Q$2:$Q$1001&lt;&gt;"")*ISNUMBER(SEARCH(실물목록!$Q$2:$Q$1001,I1954))*(실물목록!$R$2:$R$1001="")*(실물목록!$O$2:$O$1001&lt;&gt;"")*(실물목록!$O$2:$O$1001=H1954)))</f>
      </c>
      <c r="H1954" t="str">
        <f>IFERROR(IF(AND(LEN(SUBSTITUTE(SUBSTITUTE(SUBSTITUTE(TRIM(A1954&amp;""),CHAR(160),"")," ",""),"년",""))=4,VALUE(SUBSTITUTE(SUBSTITUTE(SUBSTITUTE(TRIM(A1954&amp;""),CHAR(160),"")," ",""),"년",""))&gt;=1900,VALUE(SUBSTITUTE(SUBSTITUTE(SUBSTITUTE(TRIM(A1954&amp;""),CHAR(160),"")," ",""),"년",""))&lt;=2099,TEXT(VALUE(SUBSTITUTE(SUBSTITUTE(SUBSTITUTE(TRIM(A1954&amp;""),CHAR(160),"")," ",""),"년","")),"0000")=SUBSTITUTE(SUBSTITUTE(SUBSTITUTE(TRIM(A1954&amp;""),CHAR(160),"")," ",""),"년","")),SUBSTITUTE(SUBSTITUTE(SUBSTITUTE(TRIM(A1954&amp;""),CHAR(160),"")," ",""),"년",""),""),"")</f>
      </c>
      <c r="I1954" t="str">
        <f>SUBSTITUTE(SUBSTITUTE(SUBSTITUTE(SUBSTITUTE(SUBSTITUTE(TRIM(B1954&amp;""),CHAR(160),"")," ",""),"초등학교","초"),"중학교","중"),"고등학교","고")</f>
      </c>
    </row>
    <row r="1955" customFormat="false" ht="15" hidden="false" customHeight="false" outlineLevel="0" collapsed="false">
      <c r="A1955" s="8"/>
      <c r="B1955" s="8"/>
      <c r="C1955" s="8"/>
      <c r="D1955" s="8"/>
      <c r="E1955" s="8"/>
      <c r="F1955" t="str" s="15">
        <f aca="0">IF(B1955="","",IF(H1955="","확인필요(입력누락)",IF(SUMPRODUCT((실물목록!$P$2:$P$1001&lt;&gt;"")*ISNUMBER(SEARCH(실물목록!$P$2:$P$1001,I1955))*(실물목록!$Q$2:$Q$1001&lt;&gt;"")*ISNUMBER(SEARCH(실물목록!$Q$2:$Q$1001,I1955))*(실물목록!$R$2:$R$1001="")*(실물목록!$O$2:$O$1001&lt;&gt;"")*(실물목록!$O$2:$O$1001=H1955))&gt;0,"실물 있음",IF(SUMPRODUCT((실물목록!$P$2:$P$1001&lt;&gt;"")*ISNUMBER(SEARCH(실물목록!$P$2:$P$1001,I1955))*(실물목록!$R$2:$R$1001&lt;&gt;""))&gt;0,"확인필요(입력누락)",IF(SUMPRODUCT((실물목록!$P$2:$P$1001&lt;&gt;"")*ISNUMBER(SEARCH(실물목록!$P$2:$P$1001,I1955))*(실물목록!$Q$2:$Q$1001&lt;&gt;"")*ISNUMBER(SEARCH(실물목록!$Q$2:$Q$1001,I1955))*(실물목록!$R$2:$R$1001="")*(실물목록!$O$2:$O$1001&lt;&gt;""))&gt;0,"확인필요(연도다름)","실물 없음")))))</f>
      </c>
      <c r="G1955" t="n" s="16">
        <f aca="0">IF(B1955="","",SUMPRODUCT((실물목록!$P$2:$P$1001&lt;&gt;"")*ISNUMBER(SEARCH(실물목록!$P$2:$P$1001,I1955))*(실물목록!$Q$2:$Q$1001&lt;&gt;"")*ISNUMBER(SEARCH(실물목록!$Q$2:$Q$1001,I1955))*(실물목록!$R$2:$R$1001="")*(실물목록!$O$2:$O$1001&lt;&gt;"")*(실물목록!$O$2:$O$1001=H1955)))</f>
      </c>
      <c r="H1955" t="str">
        <f>IFERROR(IF(AND(LEN(SUBSTITUTE(SUBSTITUTE(SUBSTITUTE(TRIM(A1955&amp;""),CHAR(160),"")," ",""),"년",""))=4,VALUE(SUBSTITUTE(SUBSTITUTE(SUBSTITUTE(TRIM(A1955&amp;""),CHAR(160),"")," ",""),"년",""))&gt;=1900,VALUE(SUBSTITUTE(SUBSTITUTE(SUBSTITUTE(TRIM(A1955&amp;""),CHAR(160),"")," ",""),"년",""))&lt;=2099,TEXT(VALUE(SUBSTITUTE(SUBSTITUTE(SUBSTITUTE(TRIM(A1955&amp;""),CHAR(160),"")," ",""),"년","")),"0000")=SUBSTITUTE(SUBSTITUTE(SUBSTITUTE(TRIM(A1955&amp;""),CHAR(160),"")," ",""),"년","")),SUBSTITUTE(SUBSTITUTE(SUBSTITUTE(TRIM(A1955&amp;""),CHAR(160),"")," ",""),"년",""),""),"")</f>
      </c>
      <c r="I1955" t="str">
        <f>SUBSTITUTE(SUBSTITUTE(SUBSTITUTE(SUBSTITUTE(SUBSTITUTE(TRIM(B1955&amp;""),CHAR(160),"")," ",""),"초등학교","초"),"중학교","중"),"고등학교","고")</f>
      </c>
    </row>
    <row r="1956" customFormat="false" ht="15" hidden="false" customHeight="false" outlineLevel="0" collapsed="false">
      <c r="A1956" s="8"/>
      <c r="B1956" s="8"/>
      <c r="C1956" s="8"/>
      <c r="D1956" s="8"/>
      <c r="E1956" s="8"/>
      <c r="F1956" t="str" s="15">
        <f aca="0">IF(B1956="","",IF(H1956="","확인필요(입력누락)",IF(SUMPRODUCT((실물목록!$P$2:$P$1001&lt;&gt;"")*ISNUMBER(SEARCH(실물목록!$P$2:$P$1001,I1956))*(실물목록!$Q$2:$Q$1001&lt;&gt;"")*ISNUMBER(SEARCH(실물목록!$Q$2:$Q$1001,I1956))*(실물목록!$R$2:$R$1001="")*(실물목록!$O$2:$O$1001&lt;&gt;"")*(실물목록!$O$2:$O$1001=H1956))&gt;0,"실물 있음",IF(SUMPRODUCT((실물목록!$P$2:$P$1001&lt;&gt;"")*ISNUMBER(SEARCH(실물목록!$P$2:$P$1001,I1956))*(실물목록!$R$2:$R$1001&lt;&gt;""))&gt;0,"확인필요(입력누락)",IF(SUMPRODUCT((실물목록!$P$2:$P$1001&lt;&gt;"")*ISNUMBER(SEARCH(실물목록!$P$2:$P$1001,I1956))*(실물목록!$Q$2:$Q$1001&lt;&gt;"")*ISNUMBER(SEARCH(실물목록!$Q$2:$Q$1001,I1956))*(실물목록!$R$2:$R$1001="")*(실물목록!$O$2:$O$1001&lt;&gt;""))&gt;0,"확인필요(연도다름)","실물 없음")))))</f>
      </c>
      <c r="G1956" t="n" s="16">
        <f aca="0">IF(B1956="","",SUMPRODUCT((실물목록!$P$2:$P$1001&lt;&gt;"")*ISNUMBER(SEARCH(실물목록!$P$2:$P$1001,I1956))*(실물목록!$Q$2:$Q$1001&lt;&gt;"")*ISNUMBER(SEARCH(실물목록!$Q$2:$Q$1001,I1956))*(실물목록!$R$2:$R$1001="")*(실물목록!$O$2:$O$1001&lt;&gt;"")*(실물목록!$O$2:$O$1001=H1956)))</f>
      </c>
      <c r="H1956" t="str">
        <f>IFERROR(IF(AND(LEN(SUBSTITUTE(SUBSTITUTE(SUBSTITUTE(TRIM(A1956&amp;""),CHAR(160),"")," ",""),"년",""))=4,VALUE(SUBSTITUTE(SUBSTITUTE(SUBSTITUTE(TRIM(A1956&amp;""),CHAR(160),"")," ",""),"년",""))&gt;=1900,VALUE(SUBSTITUTE(SUBSTITUTE(SUBSTITUTE(TRIM(A1956&amp;""),CHAR(160),"")," ",""),"년",""))&lt;=2099,TEXT(VALUE(SUBSTITUTE(SUBSTITUTE(SUBSTITUTE(TRIM(A1956&amp;""),CHAR(160),"")," ",""),"년","")),"0000")=SUBSTITUTE(SUBSTITUTE(SUBSTITUTE(TRIM(A1956&amp;""),CHAR(160),"")," ",""),"년","")),SUBSTITUTE(SUBSTITUTE(SUBSTITUTE(TRIM(A1956&amp;""),CHAR(160),"")," ",""),"년",""),""),"")</f>
      </c>
      <c r="I1956" t="str">
        <f>SUBSTITUTE(SUBSTITUTE(SUBSTITUTE(SUBSTITUTE(SUBSTITUTE(TRIM(B1956&amp;""),CHAR(160),"")," ",""),"초등학교","초"),"중학교","중"),"고등학교","고")</f>
      </c>
    </row>
    <row r="1957" customFormat="false" ht="15" hidden="false" customHeight="false" outlineLevel="0" collapsed="false">
      <c r="A1957" s="8"/>
      <c r="B1957" s="8"/>
      <c r="C1957" s="8"/>
      <c r="D1957" s="8"/>
      <c r="E1957" s="8"/>
      <c r="F1957" t="str" s="15">
        <f aca="0">IF(B1957="","",IF(H1957="","확인필요(입력누락)",IF(SUMPRODUCT((실물목록!$P$2:$P$1001&lt;&gt;"")*ISNUMBER(SEARCH(실물목록!$P$2:$P$1001,I1957))*(실물목록!$Q$2:$Q$1001&lt;&gt;"")*ISNUMBER(SEARCH(실물목록!$Q$2:$Q$1001,I1957))*(실물목록!$R$2:$R$1001="")*(실물목록!$O$2:$O$1001&lt;&gt;"")*(실물목록!$O$2:$O$1001=H1957))&gt;0,"실물 있음",IF(SUMPRODUCT((실물목록!$P$2:$P$1001&lt;&gt;"")*ISNUMBER(SEARCH(실물목록!$P$2:$P$1001,I1957))*(실물목록!$R$2:$R$1001&lt;&gt;""))&gt;0,"확인필요(입력누락)",IF(SUMPRODUCT((실물목록!$P$2:$P$1001&lt;&gt;"")*ISNUMBER(SEARCH(실물목록!$P$2:$P$1001,I1957))*(실물목록!$Q$2:$Q$1001&lt;&gt;"")*ISNUMBER(SEARCH(실물목록!$Q$2:$Q$1001,I1957))*(실물목록!$R$2:$R$1001="")*(실물목록!$O$2:$O$1001&lt;&gt;""))&gt;0,"확인필요(연도다름)","실물 없음")))))</f>
      </c>
      <c r="G1957" t="n" s="16">
        <f aca="0">IF(B1957="","",SUMPRODUCT((실물목록!$P$2:$P$1001&lt;&gt;"")*ISNUMBER(SEARCH(실물목록!$P$2:$P$1001,I1957))*(실물목록!$Q$2:$Q$1001&lt;&gt;"")*ISNUMBER(SEARCH(실물목록!$Q$2:$Q$1001,I1957))*(실물목록!$R$2:$R$1001="")*(실물목록!$O$2:$O$1001&lt;&gt;"")*(실물목록!$O$2:$O$1001=H1957)))</f>
      </c>
      <c r="H1957" t="str">
        <f>IFERROR(IF(AND(LEN(SUBSTITUTE(SUBSTITUTE(SUBSTITUTE(TRIM(A1957&amp;""),CHAR(160),"")," ",""),"년",""))=4,VALUE(SUBSTITUTE(SUBSTITUTE(SUBSTITUTE(TRIM(A1957&amp;""),CHAR(160),"")," ",""),"년",""))&gt;=1900,VALUE(SUBSTITUTE(SUBSTITUTE(SUBSTITUTE(TRIM(A1957&amp;""),CHAR(160),"")," ",""),"년",""))&lt;=2099,TEXT(VALUE(SUBSTITUTE(SUBSTITUTE(SUBSTITUTE(TRIM(A1957&amp;""),CHAR(160),"")," ",""),"년","")),"0000")=SUBSTITUTE(SUBSTITUTE(SUBSTITUTE(TRIM(A1957&amp;""),CHAR(160),"")," ",""),"년","")),SUBSTITUTE(SUBSTITUTE(SUBSTITUTE(TRIM(A1957&amp;""),CHAR(160),"")," ",""),"년",""),""),"")</f>
      </c>
      <c r="I1957" t="str">
        <f>SUBSTITUTE(SUBSTITUTE(SUBSTITUTE(SUBSTITUTE(SUBSTITUTE(TRIM(B1957&amp;""),CHAR(160),"")," ",""),"초등학교","초"),"중학교","중"),"고등학교","고")</f>
      </c>
    </row>
    <row r="1958" customFormat="false" ht="15" hidden="false" customHeight="false" outlineLevel="0" collapsed="false">
      <c r="A1958" s="8"/>
      <c r="B1958" s="8"/>
      <c r="C1958" s="8"/>
      <c r="D1958" s="8"/>
      <c r="E1958" s="8"/>
      <c r="F1958" t="str" s="15">
        <f aca="0">IF(B1958="","",IF(H1958="","확인필요(입력누락)",IF(SUMPRODUCT((실물목록!$P$2:$P$1001&lt;&gt;"")*ISNUMBER(SEARCH(실물목록!$P$2:$P$1001,I1958))*(실물목록!$Q$2:$Q$1001&lt;&gt;"")*ISNUMBER(SEARCH(실물목록!$Q$2:$Q$1001,I1958))*(실물목록!$R$2:$R$1001="")*(실물목록!$O$2:$O$1001&lt;&gt;"")*(실물목록!$O$2:$O$1001=H1958))&gt;0,"실물 있음",IF(SUMPRODUCT((실물목록!$P$2:$P$1001&lt;&gt;"")*ISNUMBER(SEARCH(실물목록!$P$2:$P$1001,I1958))*(실물목록!$R$2:$R$1001&lt;&gt;""))&gt;0,"확인필요(입력누락)",IF(SUMPRODUCT((실물목록!$P$2:$P$1001&lt;&gt;"")*ISNUMBER(SEARCH(실물목록!$P$2:$P$1001,I1958))*(실물목록!$Q$2:$Q$1001&lt;&gt;"")*ISNUMBER(SEARCH(실물목록!$Q$2:$Q$1001,I1958))*(실물목록!$R$2:$R$1001="")*(실물목록!$O$2:$O$1001&lt;&gt;""))&gt;0,"확인필요(연도다름)","실물 없음")))))</f>
      </c>
      <c r="G1958" t="n" s="16">
        <f aca="0">IF(B1958="","",SUMPRODUCT((실물목록!$P$2:$P$1001&lt;&gt;"")*ISNUMBER(SEARCH(실물목록!$P$2:$P$1001,I1958))*(실물목록!$Q$2:$Q$1001&lt;&gt;"")*ISNUMBER(SEARCH(실물목록!$Q$2:$Q$1001,I1958))*(실물목록!$R$2:$R$1001="")*(실물목록!$O$2:$O$1001&lt;&gt;"")*(실물목록!$O$2:$O$1001=H1958)))</f>
      </c>
      <c r="H1958" t="str">
        <f>IFERROR(IF(AND(LEN(SUBSTITUTE(SUBSTITUTE(SUBSTITUTE(TRIM(A1958&amp;""),CHAR(160),"")," ",""),"년",""))=4,VALUE(SUBSTITUTE(SUBSTITUTE(SUBSTITUTE(TRIM(A1958&amp;""),CHAR(160),"")," ",""),"년",""))&gt;=1900,VALUE(SUBSTITUTE(SUBSTITUTE(SUBSTITUTE(TRIM(A1958&amp;""),CHAR(160),"")," ",""),"년",""))&lt;=2099,TEXT(VALUE(SUBSTITUTE(SUBSTITUTE(SUBSTITUTE(TRIM(A1958&amp;""),CHAR(160),"")," ",""),"년","")),"0000")=SUBSTITUTE(SUBSTITUTE(SUBSTITUTE(TRIM(A1958&amp;""),CHAR(160),"")," ",""),"년","")),SUBSTITUTE(SUBSTITUTE(SUBSTITUTE(TRIM(A1958&amp;""),CHAR(160),"")," ",""),"년",""),""),"")</f>
      </c>
      <c r="I1958" t="str">
        <f>SUBSTITUTE(SUBSTITUTE(SUBSTITUTE(SUBSTITUTE(SUBSTITUTE(TRIM(B1958&amp;""),CHAR(160),"")," ",""),"초등학교","초"),"중학교","중"),"고등학교","고")</f>
      </c>
    </row>
    <row r="1959" customFormat="false" ht="15" hidden="false" customHeight="false" outlineLevel="0" collapsed="false">
      <c r="A1959" s="8"/>
      <c r="B1959" s="8"/>
      <c r="C1959" s="8"/>
      <c r="D1959" s="8"/>
      <c r="E1959" s="8"/>
      <c r="F1959" t="str" s="15">
        <f aca="0">IF(B1959="","",IF(H1959="","확인필요(입력누락)",IF(SUMPRODUCT((실물목록!$P$2:$P$1001&lt;&gt;"")*ISNUMBER(SEARCH(실물목록!$P$2:$P$1001,I1959))*(실물목록!$Q$2:$Q$1001&lt;&gt;"")*ISNUMBER(SEARCH(실물목록!$Q$2:$Q$1001,I1959))*(실물목록!$R$2:$R$1001="")*(실물목록!$O$2:$O$1001&lt;&gt;"")*(실물목록!$O$2:$O$1001=H1959))&gt;0,"실물 있음",IF(SUMPRODUCT((실물목록!$P$2:$P$1001&lt;&gt;"")*ISNUMBER(SEARCH(실물목록!$P$2:$P$1001,I1959))*(실물목록!$R$2:$R$1001&lt;&gt;""))&gt;0,"확인필요(입력누락)",IF(SUMPRODUCT((실물목록!$P$2:$P$1001&lt;&gt;"")*ISNUMBER(SEARCH(실물목록!$P$2:$P$1001,I1959))*(실물목록!$Q$2:$Q$1001&lt;&gt;"")*ISNUMBER(SEARCH(실물목록!$Q$2:$Q$1001,I1959))*(실물목록!$R$2:$R$1001="")*(실물목록!$O$2:$O$1001&lt;&gt;""))&gt;0,"확인필요(연도다름)","실물 없음")))))</f>
      </c>
      <c r="G1959" t="n" s="16">
        <f aca="0">IF(B1959="","",SUMPRODUCT((실물목록!$P$2:$P$1001&lt;&gt;"")*ISNUMBER(SEARCH(실물목록!$P$2:$P$1001,I1959))*(실물목록!$Q$2:$Q$1001&lt;&gt;"")*ISNUMBER(SEARCH(실물목록!$Q$2:$Q$1001,I1959))*(실물목록!$R$2:$R$1001="")*(실물목록!$O$2:$O$1001&lt;&gt;"")*(실물목록!$O$2:$O$1001=H1959)))</f>
      </c>
      <c r="H1959" t="str">
        <f>IFERROR(IF(AND(LEN(SUBSTITUTE(SUBSTITUTE(SUBSTITUTE(TRIM(A1959&amp;""),CHAR(160),"")," ",""),"년",""))=4,VALUE(SUBSTITUTE(SUBSTITUTE(SUBSTITUTE(TRIM(A1959&amp;""),CHAR(160),"")," ",""),"년",""))&gt;=1900,VALUE(SUBSTITUTE(SUBSTITUTE(SUBSTITUTE(TRIM(A1959&amp;""),CHAR(160),"")," ",""),"년",""))&lt;=2099,TEXT(VALUE(SUBSTITUTE(SUBSTITUTE(SUBSTITUTE(TRIM(A1959&amp;""),CHAR(160),"")," ",""),"년","")),"0000")=SUBSTITUTE(SUBSTITUTE(SUBSTITUTE(TRIM(A1959&amp;""),CHAR(160),"")," ",""),"년","")),SUBSTITUTE(SUBSTITUTE(SUBSTITUTE(TRIM(A1959&amp;""),CHAR(160),"")," ",""),"년",""),""),"")</f>
      </c>
      <c r="I1959" t="str">
        <f>SUBSTITUTE(SUBSTITUTE(SUBSTITUTE(SUBSTITUTE(SUBSTITUTE(TRIM(B1959&amp;""),CHAR(160),"")," ",""),"초등학교","초"),"중학교","중"),"고등학교","고")</f>
      </c>
    </row>
    <row r="1960" customFormat="false" ht="15" hidden="false" customHeight="false" outlineLevel="0" collapsed="false">
      <c r="A1960" s="8"/>
      <c r="B1960" s="8"/>
      <c r="C1960" s="8"/>
      <c r="D1960" s="8"/>
      <c r="E1960" s="8"/>
      <c r="F1960" t="str" s="15">
        <f aca="0">IF(B1960="","",IF(H1960="","확인필요(입력누락)",IF(SUMPRODUCT((실물목록!$P$2:$P$1001&lt;&gt;"")*ISNUMBER(SEARCH(실물목록!$P$2:$P$1001,I1960))*(실물목록!$Q$2:$Q$1001&lt;&gt;"")*ISNUMBER(SEARCH(실물목록!$Q$2:$Q$1001,I1960))*(실물목록!$R$2:$R$1001="")*(실물목록!$O$2:$O$1001&lt;&gt;"")*(실물목록!$O$2:$O$1001=H1960))&gt;0,"실물 있음",IF(SUMPRODUCT((실물목록!$P$2:$P$1001&lt;&gt;"")*ISNUMBER(SEARCH(실물목록!$P$2:$P$1001,I1960))*(실물목록!$R$2:$R$1001&lt;&gt;""))&gt;0,"확인필요(입력누락)",IF(SUMPRODUCT((실물목록!$P$2:$P$1001&lt;&gt;"")*ISNUMBER(SEARCH(실물목록!$P$2:$P$1001,I1960))*(실물목록!$Q$2:$Q$1001&lt;&gt;"")*ISNUMBER(SEARCH(실물목록!$Q$2:$Q$1001,I1960))*(실물목록!$R$2:$R$1001="")*(실물목록!$O$2:$O$1001&lt;&gt;""))&gt;0,"확인필요(연도다름)","실물 없음")))))</f>
      </c>
      <c r="G1960" t="n" s="16">
        <f aca="0">IF(B1960="","",SUMPRODUCT((실물목록!$P$2:$P$1001&lt;&gt;"")*ISNUMBER(SEARCH(실물목록!$P$2:$P$1001,I1960))*(실물목록!$Q$2:$Q$1001&lt;&gt;"")*ISNUMBER(SEARCH(실물목록!$Q$2:$Q$1001,I1960))*(실물목록!$R$2:$R$1001="")*(실물목록!$O$2:$O$1001&lt;&gt;"")*(실물목록!$O$2:$O$1001=H1960)))</f>
      </c>
      <c r="H1960" t="str">
        <f>IFERROR(IF(AND(LEN(SUBSTITUTE(SUBSTITUTE(SUBSTITUTE(TRIM(A1960&amp;""),CHAR(160),"")," ",""),"년",""))=4,VALUE(SUBSTITUTE(SUBSTITUTE(SUBSTITUTE(TRIM(A1960&amp;""),CHAR(160),"")," ",""),"년",""))&gt;=1900,VALUE(SUBSTITUTE(SUBSTITUTE(SUBSTITUTE(TRIM(A1960&amp;""),CHAR(160),"")," ",""),"년",""))&lt;=2099,TEXT(VALUE(SUBSTITUTE(SUBSTITUTE(SUBSTITUTE(TRIM(A1960&amp;""),CHAR(160),"")," ",""),"년","")),"0000")=SUBSTITUTE(SUBSTITUTE(SUBSTITUTE(TRIM(A1960&amp;""),CHAR(160),"")," ",""),"년","")),SUBSTITUTE(SUBSTITUTE(SUBSTITUTE(TRIM(A1960&amp;""),CHAR(160),"")," ",""),"년",""),""),"")</f>
      </c>
      <c r="I1960" t="str">
        <f>SUBSTITUTE(SUBSTITUTE(SUBSTITUTE(SUBSTITUTE(SUBSTITUTE(TRIM(B1960&amp;""),CHAR(160),"")," ",""),"초등학교","초"),"중학교","중"),"고등학교","고")</f>
      </c>
    </row>
    <row r="1961" customFormat="false" ht="15" hidden="false" customHeight="false" outlineLevel="0" collapsed="false">
      <c r="A1961" s="8"/>
      <c r="B1961" s="8"/>
      <c r="C1961" s="8"/>
      <c r="D1961" s="8"/>
      <c r="E1961" s="8"/>
      <c r="F1961" t="str" s="15">
        <f aca="0">IF(B1961="","",IF(H1961="","확인필요(입력누락)",IF(SUMPRODUCT((실물목록!$P$2:$P$1001&lt;&gt;"")*ISNUMBER(SEARCH(실물목록!$P$2:$P$1001,I1961))*(실물목록!$Q$2:$Q$1001&lt;&gt;"")*ISNUMBER(SEARCH(실물목록!$Q$2:$Q$1001,I1961))*(실물목록!$R$2:$R$1001="")*(실물목록!$O$2:$O$1001&lt;&gt;"")*(실물목록!$O$2:$O$1001=H1961))&gt;0,"실물 있음",IF(SUMPRODUCT((실물목록!$P$2:$P$1001&lt;&gt;"")*ISNUMBER(SEARCH(실물목록!$P$2:$P$1001,I1961))*(실물목록!$R$2:$R$1001&lt;&gt;""))&gt;0,"확인필요(입력누락)",IF(SUMPRODUCT((실물목록!$P$2:$P$1001&lt;&gt;"")*ISNUMBER(SEARCH(실물목록!$P$2:$P$1001,I1961))*(실물목록!$Q$2:$Q$1001&lt;&gt;"")*ISNUMBER(SEARCH(실물목록!$Q$2:$Q$1001,I1961))*(실물목록!$R$2:$R$1001="")*(실물목록!$O$2:$O$1001&lt;&gt;""))&gt;0,"확인필요(연도다름)","실물 없음")))))</f>
      </c>
      <c r="G1961" t="n" s="16">
        <f aca="0">IF(B1961="","",SUMPRODUCT((실물목록!$P$2:$P$1001&lt;&gt;"")*ISNUMBER(SEARCH(실물목록!$P$2:$P$1001,I1961))*(실물목록!$Q$2:$Q$1001&lt;&gt;"")*ISNUMBER(SEARCH(실물목록!$Q$2:$Q$1001,I1961))*(실물목록!$R$2:$R$1001="")*(실물목록!$O$2:$O$1001&lt;&gt;"")*(실물목록!$O$2:$O$1001=H1961)))</f>
      </c>
      <c r="H1961" t="str">
        <f>IFERROR(IF(AND(LEN(SUBSTITUTE(SUBSTITUTE(SUBSTITUTE(TRIM(A1961&amp;""),CHAR(160),"")," ",""),"년",""))=4,VALUE(SUBSTITUTE(SUBSTITUTE(SUBSTITUTE(TRIM(A1961&amp;""),CHAR(160),"")," ",""),"년",""))&gt;=1900,VALUE(SUBSTITUTE(SUBSTITUTE(SUBSTITUTE(TRIM(A1961&amp;""),CHAR(160),"")," ",""),"년",""))&lt;=2099,TEXT(VALUE(SUBSTITUTE(SUBSTITUTE(SUBSTITUTE(TRIM(A1961&amp;""),CHAR(160),"")," ",""),"년","")),"0000")=SUBSTITUTE(SUBSTITUTE(SUBSTITUTE(TRIM(A1961&amp;""),CHAR(160),"")," ",""),"년","")),SUBSTITUTE(SUBSTITUTE(SUBSTITUTE(TRIM(A1961&amp;""),CHAR(160),"")," ",""),"년",""),""),"")</f>
      </c>
      <c r="I1961" t="str">
        <f>SUBSTITUTE(SUBSTITUTE(SUBSTITUTE(SUBSTITUTE(SUBSTITUTE(TRIM(B1961&amp;""),CHAR(160),"")," ",""),"초등학교","초"),"중학교","중"),"고등학교","고")</f>
      </c>
    </row>
    <row r="1962" customFormat="false" ht="15" hidden="false" customHeight="false" outlineLevel="0" collapsed="false">
      <c r="A1962" s="8"/>
      <c r="B1962" s="8"/>
      <c r="C1962" s="8"/>
      <c r="D1962" s="8"/>
      <c r="E1962" s="8"/>
      <c r="F1962" t="str" s="15">
        <f aca="0">IF(B1962="","",IF(H1962="","확인필요(입력누락)",IF(SUMPRODUCT((실물목록!$P$2:$P$1001&lt;&gt;"")*ISNUMBER(SEARCH(실물목록!$P$2:$P$1001,I1962))*(실물목록!$Q$2:$Q$1001&lt;&gt;"")*ISNUMBER(SEARCH(실물목록!$Q$2:$Q$1001,I1962))*(실물목록!$R$2:$R$1001="")*(실물목록!$O$2:$O$1001&lt;&gt;"")*(실물목록!$O$2:$O$1001=H1962))&gt;0,"실물 있음",IF(SUMPRODUCT((실물목록!$P$2:$P$1001&lt;&gt;"")*ISNUMBER(SEARCH(실물목록!$P$2:$P$1001,I1962))*(실물목록!$R$2:$R$1001&lt;&gt;""))&gt;0,"확인필요(입력누락)",IF(SUMPRODUCT((실물목록!$P$2:$P$1001&lt;&gt;"")*ISNUMBER(SEARCH(실물목록!$P$2:$P$1001,I1962))*(실물목록!$Q$2:$Q$1001&lt;&gt;"")*ISNUMBER(SEARCH(실물목록!$Q$2:$Q$1001,I1962))*(실물목록!$R$2:$R$1001="")*(실물목록!$O$2:$O$1001&lt;&gt;""))&gt;0,"확인필요(연도다름)","실물 없음")))))</f>
      </c>
      <c r="G1962" t="n" s="16">
        <f aca="0">IF(B1962="","",SUMPRODUCT((실물목록!$P$2:$P$1001&lt;&gt;"")*ISNUMBER(SEARCH(실물목록!$P$2:$P$1001,I1962))*(실물목록!$Q$2:$Q$1001&lt;&gt;"")*ISNUMBER(SEARCH(실물목록!$Q$2:$Q$1001,I1962))*(실물목록!$R$2:$R$1001="")*(실물목록!$O$2:$O$1001&lt;&gt;"")*(실물목록!$O$2:$O$1001=H1962)))</f>
      </c>
      <c r="H1962" t="str">
        <f>IFERROR(IF(AND(LEN(SUBSTITUTE(SUBSTITUTE(SUBSTITUTE(TRIM(A1962&amp;""),CHAR(160),"")," ",""),"년",""))=4,VALUE(SUBSTITUTE(SUBSTITUTE(SUBSTITUTE(TRIM(A1962&amp;""),CHAR(160),"")," ",""),"년",""))&gt;=1900,VALUE(SUBSTITUTE(SUBSTITUTE(SUBSTITUTE(TRIM(A1962&amp;""),CHAR(160),"")," ",""),"년",""))&lt;=2099,TEXT(VALUE(SUBSTITUTE(SUBSTITUTE(SUBSTITUTE(TRIM(A1962&amp;""),CHAR(160),"")," ",""),"년","")),"0000")=SUBSTITUTE(SUBSTITUTE(SUBSTITUTE(TRIM(A1962&amp;""),CHAR(160),"")," ",""),"년","")),SUBSTITUTE(SUBSTITUTE(SUBSTITUTE(TRIM(A1962&amp;""),CHAR(160),"")," ",""),"년",""),""),"")</f>
      </c>
      <c r="I1962" t="str">
        <f>SUBSTITUTE(SUBSTITUTE(SUBSTITUTE(SUBSTITUTE(SUBSTITUTE(TRIM(B1962&amp;""),CHAR(160),"")," ",""),"초등학교","초"),"중학교","중"),"고등학교","고")</f>
      </c>
    </row>
    <row r="1963" customFormat="false" ht="15" hidden="false" customHeight="false" outlineLevel="0" collapsed="false">
      <c r="A1963" s="8"/>
      <c r="B1963" s="8"/>
      <c r="C1963" s="8"/>
      <c r="D1963" s="8"/>
      <c r="E1963" s="8"/>
      <c r="F1963" t="str" s="15">
        <f aca="0">IF(B1963="","",IF(H1963="","확인필요(입력누락)",IF(SUMPRODUCT((실물목록!$P$2:$P$1001&lt;&gt;"")*ISNUMBER(SEARCH(실물목록!$P$2:$P$1001,I1963))*(실물목록!$Q$2:$Q$1001&lt;&gt;"")*ISNUMBER(SEARCH(실물목록!$Q$2:$Q$1001,I1963))*(실물목록!$R$2:$R$1001="")*(실물목록!$O$2:$O$1001&lt;&gt;"")*(실물목록!$O$2:$O$1001=H1963))&gt;0,"실물 있음",IF(SUMPRODUCT((실물목록!$P$2:$P$1001&lt;&gt;"")*ISNUMBER(SEARCH(실물목록!$P$2:$P$1001,I1963))*(실물목록!$R$2:$R$1001&lt;&gt;""))&gt;0,"확인필요(입력누락)",IF(SUMPRODUCT((실물목록!$P$2:$P$1001&lt;&gt;"")*ISNUMBER(SEARCH(실물목록!$P$2:$P$1001,I1963))*(실물목록!$Q$2:$Q$1001&lt;&gt;"")*ISNUMBER(SEARCH(실물목록!$Q$2:$Q$1001,I1963))*(실물목록!$R$2:$R$1001="")*(실물목록!$O$2:$O$1001&lt;&gt;""))&gt;0,"확인필요(연도다름)","실물 없음")))))</f>
      </c>
      <c r="G1963" t="n" s="16">
        <f aca="0">IF(B1963="","",SUMPRODUCT((실물목록!$P$2:$P$1001&lt;&gt;"")*ISNUMBER(SEARCH(실물목록!$P$2:$P$1001,I1963))*(실물목록!$Q$2:$Q$1001&lt;&gt;"")*ISNUMBER(SEARCH(실물목록!$Q$2:$Q$1001,I1963))*(실물목록!$R$2:$R$1001="")*(실물목록!$O$2:$O$1001&lt;&gt;"")*(실물목록!$O$2:$O$1001=H1963)))</f>
      </c>
      <c r="H1963" t="str">
        <f>IFERROR(IF(AND(LEN(SUBSTITUTE(SUBSTITUTE(SUBSTITUTE(TRIM(A1963&amp;""),CHAR(160),"")," ",""),"년",""))=4,VALUE(SUBSTITUTE(SUBSTITUTE(SUBSTITUTE(TRIM(A1963&amp;""),CHAR(160),"")," ",""),"년",""))&gt;=1900,VALUE(SUBSTITUTE(SUBSTITUTE(SUBSTITUTE(TRIM(A1963&amp;""),CHAR(160),"")," ",""),"년",""))&lt;=2099,TEXT(VALUE(SUBSTITUTE(SUBSTITUTE(SUBSTITUTE(TRIM(A1963&amp;""),CHAR(160),"")," ",""),"년","")),"0000")=SUBSTITUTE(SUBSTITUTE(SUBSTITUTE(TRIM(A1963&amp;""),CHAR(160),"")," ",""),"년","")),SUBSTITUTE(SUBSTITUTE(SUBSTITUTE(TRIM(A1963&amp;""),CHAR(160),"")," ",""),"년",""),""),"")</f>
      </c>
      <c r="I1963" t="str">
        <f>SUBSTITUTE(SUBSTITUTE(SUBSTITUTE(SUBSTITUTE(SUBSTITUTE(TRIM(B1963&amp;""),CHAR(160),"")," ",""),"초등학교","초"),"중학교","중"),"고등학교","고")</f>
      </c>
    </row>
    <row r="1964" customFormat="false" ht="15" hidden="false" customHeight="false" outlineLevel="0" collapsed="false">
      <c r="A1964" s="8"/>
      <c r="B1964" s="8"/>
      <c r="C1964" s="8"/>
      <c r="D1964" s="8"/>
      <c r="E1964" s="8"/>
      <c r="F1964" t="str" s="15">
        <f aca="0">IF(B1964="","",IF(H1964="","확인필요(입력누락)",IF(SUMPRODUCT((실물목록!$P$2:$P$1001&lt;&gt;"")*ISNUMBER(SEARCH(실물목록!$P$2:$P$1001,I1964))*(실물목록!$Q$2:$Q$1001&lt;&gt;"")*ISNUMBER(SEARCH(실물목록!$Q$2:$Q$1001,I1964))*(실물목록!$R$2:$R$1001="")*(실물목록!$O$2:$O$1001&lt;&gt;"")*(실물목록!$O$2:$O$1001=H1964))&gt;0,"실물 있음",IF(SUMPRODUCT((실물목록!$P$2:$P$1001&lt;&gt;"")*ISNUMBER(SEARCH(실물목록!$P$2:$P$1001,I1964))*(실물목록!$R$2:$R$1001&lt;&gt;""))&gt;0,"확인필요(입력누락)",IF(SUMPRODUCT((실물목록!$P$2:$P$1001&lt;&gt;"")*ISNUMBER(SEARCH(실물목록!$P$2:$P$1001,I1964))*(실물목록!$Q$2:$Q$1001&lt;&gt;"")*ISNUMBER(SEARCH(실물목록!$Q$2:$Q$1001,I1964))*(실물목록!$R$2:$R$1001="")*(실물목록!$O$2:$O$1001&lt;&gt;""))&gt;0,"확인필요(연도다름)","실물 없음")))))</f>
      </c>
      <c r="G1964" t="n" s="16">
        <f aca="0">IF(B1964="","",SUMPRODUCT((실물목록!$P$2:$P$1001&lt;&gt;"")*ISNUMBER(SEARCH(실물목록!$P$2:$P$1001,I1964))*(실물목록!$Q$2:$Q$1001&lt;&gt;"")*ISNUMBER(SEARCH(실물목록!$Q$2:$Q$1001,I1964))*(실물목록!$R$2:$R$1001="")*(실물목록!$O$2:$O$1001&lt;&gt;"")*(실물목록!$O$2:$O$1001=H1964)))</f>
      </c>
      <c r="H1964" t="str">
        <f>IFERROR(IF(AND(LEN(SUBSTITUTE(SUBSTITUTE(SUBSTITUTE(TRIM(A1964&amp;""),CHAR(160),"")," ",""),"년",""))=4,VALUE(SUBSTITUTE(SUBSTITUTE(SUBSTITUTE(TRIM(A1964&amp;""),CHAR(160),"")," ",""),"년",""))&gt;=1900,VALUE(SUBSTITUTE(SUBSTITUTE(SUBSTITUTE(TRIM(A1964&amp;""),CHAR(160),"")," ",""),"년",""))&lt;=2099,TEXT(VALUE(SUBSTITUTE(SUBSTITUTE(SUBSTITUTE(TRIM(A1964&amp;""),CHAR(160),"")," ",""),"년","")),"0000")=SUBSTITUTE(SUBSTITUTE(SUBSTITUTE(TRIM(A1964&amp;""),CHAR(160),"")," ",""),"년","")),SUBSTITUTE(SUBSTITUTE(SUBSTITUTE(TRIM(A1964&amp;""),CHAR(160),"")," ",""),"년",""),""),"")</f>
      </c>
      <c r="I1964" t="str">
        <f>SUBSTITUTE(SUBSTITUTE(SUBSTITUTE(SUBSTITUTE(SUBSTITUTE(TRIM(B1964&amp;""),CHAR(160),"")," ",""),"초등학교","초"),"중학교","중"),"고등학교","고")</f>
      </c>
    </row>
    <row r="1965" customFormat="false" ht="15" hidden="false" customHeight="false" outlineLevel="0" collapsed="false">
      <c r="A1965" s="8"/>
      <c r="B1965" s="8"/>
      <c r="C1965" s="8"/>
      <c r="D1965" s="8"/>
      <c r="E1965" s="8"/>
      <c r="F1965" t="str" s="15">
        <f aca="0">IF(B1965="","",IF(H1965="","확인필요(입력누락)",IF(SUMPRODUCT((실물목록!$P$2:$P$1001&lt;&gt;"")*ISNUMBER(SEARCH(실물목록!$P$2:$P$1001,I1965))*(실물목록!$Q$2:$Q$1001&lt;&gt;"")*ISNUMBER(SEARCH(실물목록!$Q$2:$Q$1001,I1965))*(실물목록!$R$2:$R$1001="")*(실물목록!$O$2:$O$1001&lt;&gt;"")*(실물목록!$O$2:$O$1001=H1965))&gt;0,"실물 있음",IF(SUMPRODUCT((실물목록!$P$2:$P$1001&lt;&gt;"")*ISNUMBER(SEARCH(실물목록!$P$2:$P$1001,I1965))*(실물목록!$R$2:$R$1001&lt;&gt;""))&gt;0,"확인필요(입력누락)",IF(SUMPRODUCT((실물목록!$P$2:$P$1001&lt;&gt;"")*ISNUMBER(SEARCH(실물목록!$P$2:$P$1001,I1965))*(실물목록!$Q$2:$Q$1001&lt;&gt;"")*ISNUMBER(SEARCH(실물목록!$Q$2:$Q$1001,I1965))*(실물목록!$R$2:$R$1001="")*(실물목록!$O$2:$O$1001&lt;&gt;""))&gt;0,"확인필요(연도다름)","실물 없음")))))</f>
      </c>
      <c r="G1965" t="n" s="16">
        <f aca="0">IF(B1965="","",SUMPRODUCT((실물목록!$P$2:$P$1001&lt;&gt;"")*ISNUMBER(SEARCH(실물목록!$P$2:$P$1001,I1965))*(실물목록!$Q$2:$Q$1001&lt;&gt;"")*ISNUMBER(SEARCH(실물목록!$Q$2:$Q$1001,I1965))*(실물목록!$R$2:$R$1001="")*(실물목록!$O$2:$O$1001&lt;&gt;"")*(실물목록!$O$2:$O$1001=H1965)))</f>
      </c>
      <c r="H1965" t="str">
        <f>IFERROR(IF(AND(LEN(SUBSTITUTE(SUBSTITUTE(SUBSTITUTE(TRIM(A1965&amp;""),CHAR(160),"")," ",""),"년",""))=4,VALUE(SUBSTITUTE(SUBSTITUTE(SUBSTITUTE(TRIM(A1965&amp;""),CHAR(160),"")," ",""),"년",""))&gt;=1900,VALUE(SUBSTITUTE(SUBSTITUTE(SUBSTITUTE(TRIM(A1965&amp;""),CHAR(160),"")," ",""),"년",""))&lt;=2099,TEXT(VALUE(SUBSTITUTE(SUBSTITUTE(SUBSTITUTE(TRIM(A1965&amp;""),CHAR(160),"")," ",""),"년","")),"0000")=SUBSTITUTE(SUBSTITUTE(SUBSTITUTE(TRIM(A1965&amp;""),CHAR(160),"")," ",""),"년","")),SUBSTITUTE(SUBSTITUTE(SUBSTITUTE(TRIM(A1965&amp;""),CHAR(160),"")," ",""),"년",""),""),"")</f>
      </c>
      <c r="I1965" t="str">
        <f>SUBSTITUTE(SUBSTITUTE(SUBSTITUTE(SUBSTITUTE(SUBSTITUTE(TRIM(B1965&amp;""),CHAR(160),"")," ",""),"초등학교","초"),"중학교","중"),"고등학교","고")</f>
      </c>
    </row>
    <row r="1966" customFormat="false" ht="15" hidden="false" customHeight="false" outlineLevel="0" collapsed="false">
      <c r="A1966" s="8"/>
      <c r="B1966" s="8"/>
      <c r="C1966" s="8"/>
      <c r="D1966" s="8"/>
      <c r="E1966" s="8"/>
      <c r="F1966" t="str" s="15">
        <f aca="0">IF(B1966="","",IF(H1966="","확인필요(입력누락)",IF(SUMPRODUCT((실물목록!$P$2:$P$1001&lt;&gt;"")*ISNUMBER(SEARCH(실물목록!$P$2:$P$1001,I1966))*(실물목록!$Q$2:$Q$1001&lt;&gt;"")*ISNUMBER(SEARCH(실물목록!$Q$2:$Q$1001,I1966))*(실물목록!$R$2:$R$1001="")*(실물목록!$O$2:$O$1001&lt;&gt;"")*(실물목록!$O$2:$O$1001=H1966))&gt;0,"실물 있음",IF(SUMPRODUCT((실물목록!$P$2:$P$1001&lt;&gt;"")*ISNUMBER(SEARCH(실물목록!$P$2:$P$1001,I1966))*(실물목록!$R$2:$R$1001&lt;&gt;""))&gt;0,"확인필요(입력누락)",IF(SUMPRODUCT((실물목록!$P$2:$P$1001&lt;&gt;"")*ISNUMBER(SEARCH(실물목록!$P$2:$P$1001,I1966))*(실물목록!$Q$2:$Q$1001&lt;&gt;"")*ISNUMBER(SEARCH(실물목록!$Q$2:$Q$1001,I1966))*(실물목록!$R$2:$R$1001="")*(실물목록!$O$2:$O$1001&lt;&gt;""))&gt;0,"확인필요(연도다름)","실물 없음")))))</f>
      </c>
      <c r="G1966" t="n" s="16">
        <f aca="0">IF(B1966="","",SUMPRODUCT((실물목록!$P$2:$P$1001&lt;&gt;"")*ISNUMBER(SEARCH(실물목록!$P$2:$P$1001,I1966))*(실물목록!$Q$2:$Q$1001&lt;&gt;"")*ISNUMBER(SEARCH(실물목록!$Q$2:$Q$1001,I1966))*(실물목록!$R$2:$R$1001="")*(실물목록!$O$2:$O$1001&lt;&gt;"")*(실물목록!$O$2:$O$1001=H1966)))</f>
      </c>
      <c r="H1966" t="str">
        <f>IFERROR(IF(AND(LEN(SUBSTITUTE(SUBSTITUTE(SUBSTITUTE(TRIM(A1966&amp;""),CHAR(160),"")," ",""),"년",""))=4,VALUE(SUBSTITUTE(SUBSTITUTE(SUBSTITUTE(TRIM(A1966&amp;""),CHAR(160),"")," ",""),"년",""))&gt;=1900,VALUE(SUBSTITUTE(SUBSTITUTE(SUBSTITUTE(TRIM(A1966&amp;""),CHAR(160),"")," ",""),"년",""))&lt;=2099,TEXT(VALUE(SUBSTITUTE(SUBSTITUTE(SUBSTITUTE(TRIM(A1966&amp;""),CHAR(160),"")," ",""),"년","")),"0000")=SUBSTITUTE(SUBSTITUTE(SUBSTITUTE(TRIM(A1966&amp;""),CHAR(160),"")," ",""),"년","")),SUBSTITUTE(SUBSTITUTE(SUBSTITUTE(TRIM(A1966&amp;""),CHAR(160),"")," ",""),"년",""),""),"")</f>
      </c>
      <c r="I1966" t="str">
        <f>SUBSTITUTE(SUBSTITUTE(SUBSTITUTE(SUBSTITUTE(SUBSTITUTE(TRIM(B1966&amp;""),CHAR(160),"")," ",""),"초등학교","초"),"중학교","중"),"고등학교","고")</f>
      </c>
    </row>
    <row r="1967" customFormat="false" ht="15" hidden="false" customHeight="false" outlineLevel="0" collapsed="false">
      <c r="A1967" s="8"/>
      <c r="B1967" s="8"/>
      <c r="C1967" s="8"/>
      <c r="D1967" s="8"/>
      <c r="E1967" s="8"/>
      <c r="F1967" t="str" s="15">
        <f aca="0">IF(B1967="","",IF(H1967="","확인필요(입력누락)",IF(SUMPRODUCT((실물목록!$P$2:$P$1001&lt;&gt;"")*ISNUMBER(SEARCH(실물목록!$P$2:$P$1001,I1967))*(실물목록!$Q$2:$Q$1001&lt;&gt;"")*ISNUMBER(SEARCH(실물목록!$Q$2:$Q$1001,I1967))*(실물목록!$R$2:$R$1001="")*(실물목록!$O$2:$O$1001&lt;&gt;"")*(실물목록!$O$2:$O$1001=H1967))&gt;0,"실물 있음",IF(SUMPRODUCT((실물목록!$P$2:$P$1001&lt;&gt;"")*ISNUMBER(SEARCH(실물목록!$P$2:$P$1001,I1967))*(실물목록!$R$2:$R$1001&lt;&gt;""))&gt;0,"확인필요(입력누락)",IF(SUMPRODUCT((실물목록!$P$2:$P$1001&lt;&gt;"")*ISNUMBER(SEARCH(실물목록!$P$2:$P$1001,I1967))*(실물목록!$Q$2:$Q$1001&lt;&gt;"")*ISNUMBER(SEARCH(실물목록!$Q$2:$Q$1001,I1967))*(실물목록!$R$2:$R$1001="")*(실물목록!$O$2:$O$1001&lt;&gt;""))&gt;0,"확인필요(연도다름)","실물 없음")))))</f>
      </c>
      <c r="G1967" t="n" s="16">
        <f aca="0">IF(B1967="","",SUMPRODUCT((실물목록!$P$2:$P$1001&lt;&gt;"")*ISNUMBER(SEARCH(실물목록!$P$2:$P$1001,I1967))*(실물목록!$Q$2:$Q$1001&lt;&gt;"")*ISNUMBER(SEARCH(실물목록!$Q$2:$Q$1001,I1967))*(실물목록!$R$2:$R$1001="")*(실물목록!$O$2:$O$1001&lt;&gt;"")*(실물목록!$O$2:$O$1001=H1967)))</f>
      </c>
      <c r="H1967" t="str">
        <f>IFERROR(IF(AND(LEN(SUBSTITUTE(SUBSTITUTE(SUBSTITUTE(TRIM(A1967&amp;""),CHAR(160),"")," ",""),"년",""))=4,VALUE(SUBSTITUTE(SUBSTITUTE(SUBSTITUTE(TRIM(A1967&amp;""),CHAR(160),"")," ",""),"년",""))&gt;=1900,VALUE(SUBSTITUTE(SUBSTITUTE(SUBSTITUTE(TRIM(A1967&amp;""),CHAR(160),"")," ",""),"년",""))&lt;=2099,TEXT(VALUE(SUBSTITUTE(SUBSTITUTE(SUBSTITUTE(TRIM(A1967&amp;""),CHAR(160),"")," ",""),"년","")),"0000")=SUBSTITUTE(SUBSTITUTE(SUBSTITUTE(TRIM(A1967&amp;""),CHAR(160),"")," ",""),"년","")),SUBSTITUTE(SUBSTITUTE(SUBSTITUTE(TRIM(A1967&amp;""),CHAR(160),"")," ",""),"년",""),""),"")</f>
      </c>
      <c r="I1967" t="str">
        <f>SUBSTITUTE(SUBSTITUTE(SUBSTITUTE(SUBSTITUTE(SUBSTITUTE(TRIM(B1967&amp;""),CHAR(160),"")," ",""),"초등학교","초"),"중학교","중"),"고등학교","고")</f>
      </c>
    </row>
    <row r="1968" customFormat="false" ht="15" hidden="false" customHeight="false" outlineLevel="0" collapsed="false">
      <c r="A1968" s="8"/>
      <c r="B1968" s="8"/>
      <c r="C1968" s="8"/>
      <c r="D1968" s="8"/>
      <c r="E1968" s="8"/>
      <c r="F1968" t="str" s="15">
        <f aca="0">IF(B1968="","",IF(H1968="","확인필요(입력누락)",IF(SUMPRODUCT((실물목록!$P$2:$P$1001&lt;&gt;"")*ISNUMBER(SEARCH(실물목록!$P$2:$P$1001,I1968))*(실물목록!$Q$2:$Q$1001&lt;&gt;"")*ISNUMBER(SEARCH(실물목록!$Q$2:$Q$1001,I1968))*(실물목록!$R$2:$R$1001="")*(실물목록!$O$2:$O$1001&lt;&gt;"")*(실물목록!$O$2:$O$1001=H1968))&gt;0,"실물 있음",IF(SUMPRODUCT((실물목록!$P$2:$P$1001&lt;&gt;"")*ISNUMBER(SEARCH(실물목록!$P$2:$P$1001,I1968))*(실물목록!$R$2:$R$1001&lt;&gt;""))&gt;0,"확인필요(입력누락)",IF(SUMPRODUCT((실물목록!$P$2:$P$1001&lt;&gt;"")*ISNUMBER(SEARCH(실물목록!$P$2:$P$1001,I1968))*(실물목록!$Q$2:$Q$1001&lt;&gt;"")*ISNUMBER(SEARCH(실물목록!$Q$2:$Q$1001,I1968))*(실물목록!$R$2:$R$1001="")*(실물목록!$O$2:$O$1001&lt;&gt;""))&gt;0,"확인필요(연도다름)","실물 없음")))))</f>
      </c>
      <c r="G1968" t="n" s="16">
        <f aca="0">IF(B1968="","",SUMPRODUCT((실물목록!$P$2:$P$1001&lt;&gt;"")*ISNUMBER(SEARCH(실물목록!$P$2:$P$1001,I1968))*(실물목록!$Q$2:$Q$1001&lt;&gt;"")*ISNUMBER(SEARCH(실물목록!$Q$2:$Q$1001,I1968))*(실물목록!$R$2:$R$1001="")*(실물목록!$O$2:$O$1001&lt;&gt;"")*(실물목록!$O$2:$O$1001=H1968)))</f>
      </c>
      <c r="H1968" t="str">
        <f>IFERROR(IF(AND(LEN(SUBSTITUTE(SUBSTITUTE(SUBSTITUTE(TRIM(A1968&amp;""),CHAR(160),"")," ",""),"년",""))=4,VALUE(SUBSTITUTE(SUBSTITUTE(SUBSTITUTE(TRIM(A1968&amp;""),CHAR(160),"")," ",""),"년",""))&gt;=1900,VALUE(SUBSTITUTE(SUBSTITUTE(SUBSTITUTE(TRIM(A1968&amp;""),CHAR(160),"")," ",""),"년",""))&lt;=2099,TEXT(VALUE(SUBSTITUTE(SUBSTITUTE(SUBSTITUTE(TRIM(A1968&amp;""),CHAR(160),"")," ",""),"년","")),"0000")=SUBSTITUTE(SUBSTITUTE(SUBSTITUTE(TRIM(A1968&amp;""),CHAR(160),"")," ",""),"년","")),SUBSTITUTE(SUBSTITUTE(SUBSTITUTE(TRIM(A1968&amp;""),CHAR(160),"")," ",""),"년",""),""),"")</f>
      </c>
      <c r="I1968" t="str">
        <f>SUBSTITUTE(SUBSTITUTE(SUBSTITUTE(SUBSTITUTE(SUBSTITUTE(TRIM(B1968&amp;""),CHAR(160),"")," ",""),"초등학교","초"),"중학교","중"),"고등학교","고")</f>
      </c>
    </row>
    <row r="1969" customFormat="false" ht="15" hidden="false" customHeight="false" outlineLevel="0" collapsed="false">
      <c r="A1969" s="8"/>
      <c r="B1969" s="8"/>
      <c r="C1969" s="8"/>
      <c r="D1969" s="8"/>
      <c r="E1969" s="8"/>
      <c r="F1969" t="str" s="15">
        <f aca="0">IF(B1969="","",IF(H1969="","확인필요(입력누락)",IF(SUMPRODUCT((실물목록!$P$2:$P$1001&lt;&gt;"")*ISNUMBER(SEARCH(실물목록!$P$2:$P$1001,I1969))*(실물목록!$Q$2:$Q$1001&lt;&gt;"")*ISNUMBER(SEARCH(실물목록!$Q$2:$Q$1001,I1969))*(실물목록!$R$2:$R$1001="")*(실물목록!$O$2:$O$1001&lt;&gt;"")*(실물목록!$O$2:$O$1001=H1969))&gt;0,"실물 있음",IF(SUMPRODUCT((실물목록!$P$2:$P$1001&lt;&gt;"")*ISNUMBER(SEARCH(실물목록!$P$2:$P$1001,I1969))*(실물목록!$R$2:$R$1001&lt;&gt;""))&gt;0,"확인필요(입력누락)",IF(SUMPRODUCT((실물목록!$P$2:$P$1001&lt;&gt;"")*ISNUMBER(SEARCH(실물목록!$P$2:$P$1001,I1969))*(실물목록!$Q$2:$Q$1001&lt;&gt;"")*ISNUMBER(SEARCH(실물목록!$Q$2:$Q$1001,I1969))*(실물목록!$R$2:$R$1001="")*(실물목록!$O$2:$O$1001&lt;&gt;""))&gt;0,"확인필요(연도다름)","실물 없음")))))</f>
      </c>
      <c r="G1969" t="n" s="16">
        <f aca="0">IF(B1969="","",SUMPRODUCT((실물목록!$P$2:$P$1001&lt;&gt;"")*ISNUMBER(SEARCH(실물목록!$P$2:$P$1001,I1969))*(실물목록!$Q$2:$Q$1001&lt;&gt;"")*ISNUMBER(SEARCH(실물목록!$Q$2:$Q$1001,I1969))*(실물목록!$R$2:$R$1001="")*(실물목록!$O$2:$O$1001&lt;&gt;"")*(실물목록!$O$2:$O$1001=H1969)))</f>
      </c>
      <c r="H1969" t="str">
        <f>IFERROR(IF(AND(LEN(SUBSTITUTE(SUBSTITUTE(SUBSTITUTE(TRIM(A1969&amp;""),CHAR(160),"")," ",""),"년",""))=4,VALUE(SUBSTITUTE(SUBSTITUTE(SUBSTITUTE(TRIM(A1969&amp;""),CHAR(160),"")," ",""),"년",""))&gt;=1900,VALUE(SUBSTITUTE(SUBSTITUTE(SUBSTITUTE(TRIM(A1969&amp;""),CHAR(160),"")," ",""),"년",""))&lt;=2099,TEXT(VALUE(SUBSTITUTE(SUBSTITUTE(SUBSTITUTE(TRIM(A1969&amp;""),CHAR(160),"")," ",""),"년","")),"0000")=SUBSTITUTE(SUBSTITUTE(SUBSTITUTE(TRIM(A1969&amp;""),CHAR(160),"")," ",""),"년","")),SUBSTITUTE(SUBSTITUTE(SUBSTITUTE(TRIM(A1969&amp;""),CHAR(160),"")," ",""),"년",""),""),"")</f>
      </c>
      <c r="I1969" t="str">
        <f>SUBSTITUTE(SUBSTITUTE(SUBSTITUTE(SUBSTITUTE(SUBSTITUTE(TRIM(B1969&amp;""),CHAR(160),"")," ",""),"초등학교","초"),"중학교","중"),"고등학교","고")</f>
      </c>
    </row>
    <row r="1970" customFormat="false" ht="15" hidden="false" customHeight="false" outlineLevel="0" collapsed="false">
      <c r="A1970" s="8"/>
      <c r="B1970" s="8"/>
      <c r="C1970" s="8"/>
      <c r="D1970" s="8"/>
      <c r="E1970" s="8"/>
      <c r="F1970" t="str" s="15">
        <f aca="0">IF(B1970="","",IF(H1970="","확인필요(입력누락)",IF(SUMPRODUCT((실물목록!$P$2:$P$1001&lt;&gt;"")*ISNUMBER(SEARCH(실물목록!$P$2:$P$1001,I1970))*(실물목록!$Q$2:$Q$1001&lt;&gt;"")*ISNUMBER(SEARCH(실물목록!$Q$2:$Q$1001,I1970))*(실물목록!$R$2:$R$1001="")*(실물목록!$O$2:$O$1001&lt;&gt;"")*(실물목록!$O$2:$O$1001=H1970))&gt;0,"실물 있음",IF(SUMPRODUCT((실물목록!$P$2:$P$1001&lt;&gt;"")*ISNUMBER(SEARCH(실물목록!$P$2:$P$1001,I1970))*(실물목록!$R$2:$R$1001&lt;&gt;""))&gt;0,"확인필요(입력누락)",IF(SUMPRODUCT((실물목록!$P$2:$P$1001&lt;&gt;"")*ISNUMBER(SEARCH(실물목록!$P$2:$P$1001,I1970))*(실물목록!$Q$2:$Q$1001&lt;&gt;"")*ISNUMBER(SEARCH(실물목록!$Q$2:$Q$1001,I1970))*(실물목록!$R$2:$R$1001="")*(실물목록!$O$2:$O$1001&lt;&gt;""))&gt;0,"확인필요(연도다름)","실물 없음")))))</f>
      </c>
      <c r="G1970" t="n" s="16">
        <f aca="0">IF(B1970="","",SUMPRODUCT((실물목록!$P$2:$P$1001&lt;&gt;"")*ISNUMBER(SEARCH(실물목록!$P$2:$P$1001,I1970))*(실물목록!$Q$2:$Q$1001&lt;&gt;"")*ISNUMBER(SEARCH(실물목록!$Q$2:$Q$1001,I1970))*(실물목록!$R$2:$R$1001="")*(실물목록!$O$2:$O$1001&lt;&gt;"")*(실물목록!$O$2:$O$1001=H1970)))</f>
      </c>
      <c r="H1970" t="str">
        <f>IFERROR(IF(AND(LEN(SUBSTITUTE(SUBSTITUTE(SUBSTITUTE(TRIM(A1970&amp;""),CHAR(160),"")," ",""),"년",""))=4,VALUE(SUBSTITUTE(SUBSTITUTE(SUBSTITUTE(TRIM(A1970&amp;""),CHAR(160),"")," ",""),"년",""))&gt;=1900,VALUE(SUBSTITUTE(SUBSTITUTE(SUBSTITUTE(TRIM(A1970&amp;""),CHAR(160),"")," ",""),"년",""))&lt;=2099,TEXT(VALUE(SUBSTITUTE(SUBSTITUTE(SUBSTITUTE(TRIM(A1970&amp;""),CHAR(160),"")," ",""),"년","")),"0000")=SUBSTITUTE(SUBSTITUTE(SUBSTITUTE(TRIM(A1970&amp;""),CHAR(160),"")," ",""),"년","")),SUBSTITUTE(SUBSTITUTE(SUBSTITUTE(TRIM(A1970&amp;""),CHAR(160),"")," ",""),"년",""),""),"")</f>
      </c>
      <c r="I1970" t="str">
        <f>SUBSTITUTE(SUBSTITUTE(SUBSTITUTE(SUBSTITUTE(SUBSTITUTE(TRIM(B1970&amp;""),CHAR(160),"")," ",""),"초등학교","초"),"중학교","중"),"고등학교","고")</f>
      </c>
    </row>
    <row r="1971" customFormat="false" ht="15" hidden="false" customHeight="false" outlineLevel="0" collapsed="false">
      <c r="A1971" s="8"/>
      <c r="B1971" s="8"/>
      <c r="C1971" s="8"/>
      <c r="D1971" s="8"/>
      <c r="E1971" s="8"/>
      <c r="F1971" t="str" s="15">
        <f aca="0">IF(B1971="","",IF(H1971="","확인필요(입력누락)",IF(SUMPRODUCT((실물목록!$P$2:$P$1001&lt;&gt;"")*ISNUMBER(SEARCH(실물목록!$P$2:$P$1001,I1971))*(실물목록!$Q$2:$Q$1001&lt;&gt;"")*ISNUMBER(SEARCH(실물목록!$Q$2:$Q$1001,I1971))*(실물목록!$R$2:$R$1001="")*(실물목록!$O$2:$O$1001&lt;&gt;"")*(실물목록!$O$2:$O$1001=H1971))&gt;0,"실물 있음",IF(SUMPRODUCT((실물목록!$P$2:$P$1001&lt;&gt;"")*ISNUMBER(SEARCH(실물목록!$P$2:$P$1001,I1971))*(실물목록!$R$2:$R$1001&lt;&gt;""))&gt;0,"확인필요(입력누락)",IF(SUMPRODUCT((실물목록!$P$2:$P$1001&lt;&gt;"")*ISNUMBER(SEARCH(실물목록!$P$2:$P$1001,I1971))*(실물목록!$Q$2:$Q$1001&lt;&gt;"")*ISNUMBER(SEARCH(실물목록!$Q$2:$Q$1001,I1971))*(실물목록!$R$2:$R$1001="")*(실물목록!$O$2:$O$1001&lt;&gt;""))&gt;0,"확인필요(연도다름)","실물 없음")))))</f>
      </c>
      <c r="G1971" t="n" s="16">
        <f aca="0">IF(B1971="","",SUMPRODUCT((실물목록!$P$2:$P$1001&lt;&gt;"")*ISNUMBER(SEARCH(실물목록!$P$2:$P$1001,I1971))*(실물목록!$Q$2:$Q$1001&lt;&gt;"")*ISNUMBER(SEARCH(실물목록!$Q$2:$Q$1001,I1971))*(실물목록!$R$2:$R$1001="")*(실물목록!$O$2:$O$1001&lt;&gt;"")*(실물목록!$O$2:$O$1001=H1971)))</f>
      </c>
      <c r="H1971" t="str">
        <f>IFERROR(IF(AND(LEN(SUBSTITUTE(SUBSTITUTE(SUBSTITUTE(TRIM(A1971&amp;""),CHAR(160),"")," ",""),"년",""))=4,VALUE(SUBSTITUTE(SUBSTITUTE(SUBSTITUTE(TRIM(A1971&amp;""),CHAR(160),"")," ",""),"년",""))&gt;=1900,VALUE(SUBSTITUTE(SUBSTITUTE(SUBSTITUTE(TRIM(A1971&amp;""),CHAR(160),"")," ",""),"년",""))&lt;=2099,TEXT(VALUE(SUBSTITUTE(SUBSTITUTE(SUBSTITUTE(TRIM(A1971&amp;""),CHAR(160),"")," ",""),"년","")),"0000")=SUBSTITUTE(SUBSTITUTE(SUBSTITUTE(TRIM(A1971&amp;""),CHAR(160),"")," ",""),"년","")),SUBSTITUTE(SUBSTITUTE(SUBSTITUTE(TRIM(A1971&amp;""),CHAR(160),"")," ",""),"년",""),""),"")</f>
      </c>
      <c r="I1971" t="str">
        <f>SUBSTITUTE(SUBSTITUTE(SUBSTITUTE(SUBSTITUTE(SUBSTITUTE(TRIM(B1971&amp;""),CHAR(160),"")," ",""),"초등학교","초"),"중학교","중"),"고등학교","고")</f>
      </c>
    </row>
    <row r="1972" customFormat="false" ht="15" hidden="false" customHeight="false" outlineLevel="0" collapsed="false">
      <c r="A1972" s="8"/>
      <c r="B1972" s="8"/>
      <c r="C1972" s="8"/>
      <c r="D1972" s="8"/>
      <c r="E1972" s="8"/>
      <c r="F1972" t="str" s="15">
        <f aca="0">IF(B1972="","",IF(H1972="","확인필요(입력누락)",IF(SUMPRODUCT((실물목록!$P$2:$P$1001&lt;&gt;"")*ISNUMBER(SEARCH(실물목록!$P$2:$P$1001,I1972))*(실물목록!$Q$2:$Q$1001&lt;&gt;"")*ISNUMBER(SEARCH(실물목록!$Q$2:$Q$1001,I1972))*(실물목록!$R$2:$R$1001="")*(실물목록!$O$2:$O$1001&lt;&gt;"")*(실물목록!$O$2:$O$1001=H1972))&gt;0,"실물 있음",IF(SUMPRODUCT((실물목록!$P$2:$P$1001&lt;&gt;"")*ISNUMBER(SEARCH(실물목록!$P$2:$P$1001,I1972))*(실물목록!$R$2:$R$1001&lt;&gt;""))&gt;0,"확인필요(입력누락)",IF(SUMPRODUCT((실물목록!$P$2:$P$1001&lt;&gt;"")*ISNUMBER(SEARCH(실물목록!$P$2:$P$1001,I1972))*(실물목록!$Q$2:$Q$1001&lt;&gt;"")*ISNUMBER(SEARCH(실물목록!$Q$2:$Q$1001,I1972))*(실물목록!$R$2:$R$1001="")*(실물목록!$O$2:$O$1001&lt;&gt;""))&gt;0,"확인필요(연도다름)","실물 없음")))))</f>
      </c>
      <c r="G1972" t="n" s="16">
        <f aca="0">IF(B1972="","",SUMPRODUCT((실물목록!$P$2:$P$1001&lt;&gt;"")*ISNUMBER(SEARCH(실물목록!$P$2:$P$1001,I1972))*(실물목록!$Q$2:$Q$1001&lt;&gt;"")*ISNUMBER(SEARCH(실물목록!$Q$2:$Q$1001,I1972))*(실물목록!$R$2:$R$1001="")*(실물목록!$O$2:$O$1001&lt;&gt;"")*(실물목록!$O$2:$O$1001=H1972)))</f>
      </c>
      <c r="H1972" t="str">
        <f>IFERROR(IF(AND(LEN(SUBSTITUTE(SUBSTITUTE(SUBSTITUTE(TRIM(A1972&amp;""),CHAR(160),"")," ",""),"년",""))=4,VALUE(SUBSTITUTE(SUBSTITUTE(SUBSTITUTE(TRIM(A1972&amp;""),CHAR(160),"")," ",""),"년",""))&gt;=1900,VALUE(SUBSTITUTE(SUBSTITUTE(SUBSTITUTE(TRIM(A1972&amp;""),CHAR(160),"")," ",""),"년",""))&lt;=2099,TEXT(VALUE(SUBSTITUTE(SUBSTITUTE(SUBSTITUTE(TRIM(A1972&amp;""),CHAR(160),"")," ",""),"년","")),"0000")=SUBSTITUTE(SUBSTITUTE(SUBSTITUTE(TRIM(A1972&amp;""),CHAR(160),"")," ",""),"년","")),SUBSTITUTE(SUBSTITUTE(SUBSTITUTE(TRIM(A1972&amp;""),CHAR(160),"")," ",""),"년",""),""),"")</f>
      </c>
      <c r="I1972" t="str">
        <f>SUBSTITUTE(SUBSTITUTE(SUBSTITUTE(SUBSTITUTE(SUBSTITUTE(TRIM(B1972&amp;""),CHAR(160),"")," ",""),"초등학교","초"),"중학교","중"),"고등학교","고")</f>
      </c>
    </row>
    <row r="1973" customFormat="false" ht="15" hidden="false" customHeight="false" outlineLevel="0" collapsed="false">
      <c r="A1973" s="8"/>
      <c r="B1973" s="8"/>
      <c r="C1973" s="8"/>
      <c r="D1973" s="8"/>
      <c r="E1973" s="8"/>
      <c r="F1973" t="str" s="15">
        <f aca="0">IF(B1973="","",IF(H1973="","확인필요(입력누락)",IF(SUMPRODUCT((실물목록!$P$2:$P$1001&lt;&gt;"")*ISNUMBER(SEARCH(실물목록!$P$2:$P$1001,I1973))*(실물목록!$Q$2:$Q$1001&lt;&gt;"")*ISNUMBER(SEARCH(실물목록!$Q$2:$Q$1001,I1973))*(실물목록!$R$2:$R$1001="")*(실물목록!$O$2:$O$1001&lt;&gt;"")*(실물목록!$O$2:$O$1001=H1973))&gt;0,"실물 있음",IF(SUMPRODUCT((실물목록!$P$2:$P$1001&lt;&gt;"")*ISNUMBER(SEARCH(실물목록!$P$2:$P$1001,I1973))*(실물목록!$R$2:$R$1001&lt;&gt;""))&gt;0,"확인필요(입력누락)",IF(SUMPRODUCT((실물목록!$P$2:$P$1001&lt;&gt;"")*ISNUMBER(SEARCH(실물목록!$P$2:$P$1001,I1973))*(실물목록!$Q$2:$Q$1001&lt;&gt;"")*ISNUMBER(SEARCH(실물목록!$Q$2:$Q$1001,I1973))*(실물목록!$R$2:$R$1001="")*(실물목록!$O$2:$O$1001&lt;&gt;""))&gt;0,"확인필요(연도다름)","실물 없음")))))</f>
      </c>
      <c r="G1973" t="n" s="16">
        <f aca="0">IF(B1973="","",SUMPRODUCT((실물목록!$P$2:$P$1001&lt;&gt;"")*ISNUMBER(SEARCH(실물목록!$P$2:$P$1001,I1973))*(실물목록!$Q$2:$Q$1001&lt;&gt;"")*ISNUMBER(SEARCH(실물목록!$Q$2:$Q$1001,I1973))*(실물목록!$R$2:$R$1001="")*(실물목록!$O$2:$O$1001&lt;&gt;"")*(실물목록!$O$2:$O$1001=H1973)))</f>
      </c>
      <c r="H1973" t="str">
        <f>IFERROR(IF(AND(LEN(SUBSTITUTE(SUBSTITUTE(SUBSTITUTE(TRIM(A1973&amp;""),CHAR(160),"")," ",""),"년",""))=4,VALUE(SUBSTITUTE(SUBSTITUTE(SUBSTITUTE(TRIM(A1973&amp;""),CHAR(160),"")," ",""),"년",""))&gt;=1900,VALUE(SUBSTITUTE(SUBSTITUTE(SUBSTITUTE(TRIM(A1973&amp;""),CHAR(160),"")," ",""),"년",""))&lt;=2099,TEXT(VALUE(SUBSTITUTE(SUBSTITUTE(SUBSTITUTE(TRIM(A1973&amp;""),CHAR(160),"")," ",""),"년","")),"0000")=SUBSTITUTE(SUBSTITUTE(SUBSTITUTE(TRIM(A1973&amp;""),CHAR(160),"")," ",""),"년","")),SUBSTITUTE(SUBSTITUTE(SUBSTITUTE(TRIM(A1973&amp;""),CHAR(160),"")," ",""),"년",""),""),"")</f>
      </c>
      <c r="I1973" t="str">
        <f>SUBSTITUTE(SUBSTITUTE(SUBSTITUTE(SUBSTITUTE(SUBSTITUTE(TRIM(B1973&amp;""),CHAR(160),"")," ",""),"초등학교","초"),"중학교","중"),"고등학교","고")</f>
      </c>
    </row>
    <row r="1974" customFormat="false" ht="15" hidden="false" customHeight="false" outlineLevel="0" collapsed="false">
      <c r="A1974" s="8"/>
      <c r="B1974" s="8"/>
      <c r="C1974" s="8"/>
      <c r="D1974" s="8"/>
      <c r="E1974" s="8"/>
      <c r="F1974" t="str" s="15">
        <f aca="0">IF(B1974="","",IF(H1974="","확인필요(입력누락)",IF(SUMPRODUCT((실물목록!$P$2:$P$1001&lt;&gt;"")*ISNUMBER(SEARCH(실물목록!$P$2:$P$1001,I1974))*(실물목록!$Q$2:$Q$1001&lt;&gt;"")*ISNUMBER(SEARCH(실물목록!$Q$2:$Q$1001,I1974))*(실물목록!$R$2:$R$1001="")*(실물목록!$O$2:$O$1001&lt;&gt;"")*(실물목록!$O$2:$O$1001=H1974))&gt;0,"실물 있음",IF(SUMPRODUCT((실물목록!$P$2:$P$1001&lt;&gt;"")*ISNUMBER(SEARCH(실물목록!$P$2:$P$1001,I1974))*(실물목록!$R$2:$R$1001&lt;&gt;""))&gt;0,"확인필요(입력누락)",IF(SUMPRODUCT((실물목록!$P$2:$P$1001&lt;&gt;"")*ISNUMBER(SEARCH(실물목록!$P$2:$P$1001,I1974))*(실물목록!$Q$2:$Q$1001&lt;&gt;"")*ISNUMBER(SEARCH(실물목록!$Q$2:$Q$1001,I1974))*(실물목록!$R$2:$R$1001="")*(실물목록!$O$2:$O$1001&lt;&gt;""))&gt;0,"확인필요(연도다름)","실물 없음")))))</f>
      </c>
      <c r="G1974" t="n" s="16">
        <f aca="0">IF(B1974="","",SUMPRODUCT((실물목록!$P$2:$P$1001&lt;&gt;"")*ISNUMBER(SEARCH(실물목록!$P$2:$P$1001,I1974))*(실물목록!$Q$2:$Q$1001&lt;&gt;"")*ISNUMBER(SEARCH(실물목록!$Q$2:$Q$1001,I1974))*(실물목록!$R$2:$R$1001="")*(실물목록!$O$2:$O$1001&lt;&gt;"")*(실물목록!$O$2:$O$1001=H1974)))</f>
      </c>
      <c r="H1974" t="str">
        <f>IFERROR(IF(AND(LEN(SUBSTITUTE(SUBSTITUTE(SUBSTITUTE(TRIM(A1974&amp;""),CHAR(160),"")," ",""),"년",""))=4,VALUE(SUBSTITUTE(SUBSTITUTE(SUBSTITUTE(TRIM(A1974&amp;""),CHAR(160),"")," ",""),"년",""))&gt;=1900,VALUE(SUBSTITUTE(SUBSTITUTE(SUBSTITUTE(TRIM(A1974&amp;""),CHAR(160),"")," ",""),"년",""))&lt;=2099,TEXT(VALUE(SUBSTITUTE(SUBSTITUTE(SUBSTITUTE(TRIM(A1974&amp;""),CHAR(160),"")," ",""),"년","")),"0000")=SUBSTITUTE(SUBSTITUTE(SUBSTITUTE(TRIM(A1974&amp;""),CHAR(160),"")," ",""),"년","")),SUBSTITUTE(SUBSTITUTE(SUBSTITUTE(TRIM(A1974&amp;""),CHAR(160),"")," ",""),"년",""),""),"")</f>
      </c>
      <c r="I1974" t="str">
        <f>SUBSTITUTE(SUBSTITUTE(SUBSTITUTE(SUBSTITUTE(SUBSTITUTE(TRIM(B1974&amp;""),CHAR(160),"")," ",""),"초등학교","초"),"중학교","중"),"고등학교","고")</f>
      </c>
    </row>
    <row r="1975" customFormat="false" ht="15" hidden="false" customHeight="false" outlineLevel="0" collapsed="false">
      <c r="A1975" s="8"/>
      <c r="B1975" s="8"/>
      <c r="C1975" s="8"/>
      <c r="D1975" s="8"/>
      <c r="E1975" s="8"/>
      <c r="F1975" t="str" s="15">
        <f aca="0">IF(B1975="","",IF(H1975="","확인필요(입력누락)",IF(SUMPRODUCT((실물목록!$P$2:$P$1001&lt;&gt;"")*ISNUMBER(SEARCH(실물목록!$P$2:$P$1001,I1975))*(실물목록!$Q$2:$Q$1001&lt;&gt;"")*ISNUMBER(SEARCH(실물목록!$Q$2:$Q$1001,I1975))*(실물목록!$R$2:$R$1001="")*(실물목록!$O$2:$O$1001&lt;&gt;"")*(실물목록!$O$2:$O$1001=H1975))&gt;0,"실물 있음",IF(SUMPRODUCT((실물목록!$P$2:$P$1001&lt;&gt;"")*ISNUMBER(SEARCH(실물목록!$P$2:$P$1001,I1975))*(실물목록!$R$2:$R$1001&lt;&gt;""))&gt;0,"확인필요(입력누락)",IF(SUMPRODUCT((실물목록!$P$2:$P$1001&lt;&gt;"")*ISNUMBER(SEARCH(실물목록!$P$2:$P$1001,I1975))*(실물목록!$Q$2:$Q$1001&lt;&gt;"")*ISNUMBER(SEARCH(실물목록!$Q$2:$Q$1001,I1975))*(실물목록!$R$2:$R$1001="")*(실물목록!$O$2:$O$1001&lt;&gt;""))&gt;0,"확인필요(연도다름)","실물 없음")))))</f>
      </c>
      <c r="G1975" t="n" s="16">
        <f aca="0">IF(B1975="","",SUMPRODUCT((실물목록!$P$2:$P$1001&lt;&gt;"")*ISNUMBER(SEARCH(실물목록!$P$2:$P$1001,I1975))*(실물목록!$Q$2:$Q$1001&lt;&gt;"")*ISNUMBER(SEARCH(실물목록!$Q$2:$Q$1001,I1975))*(실물목록!$R$2:$R$1001="")*(실물목록!$O$2:$O$1001&lt;&gt;"")*(실물목록!$O$2:$O$1001=H1975)))</f>
      </c>
      <c r="H1975" t="str">
        <f>IFERROR(IF(AND(LEN(SUBSTITUTE(SUBSTITUTE(SUBSTITUTE(TRIM(A1975&amp;""),CHAR(160),"")," ",""),"년",""))=4,VALUE(SUBSTITUTE(SUBSTITUTE(SUBSTITUTE(TRIM(A1975&amp;""),CHAR(160),"")," ",""),"년",""))&gt;=1900,VALUE(SUBSTITUTE(SUBSTITUTE(SUBSTITUTE(TRIM(A1975&amp;""),CHAR(160),"")," ",""),"년",""))&lt;=2099,TEXT(VALUE(SUBSTITUTE(SUBSTITUTE(SUBSTITUTE(TRIM(A1975&amp;""),CHAR(160),"")," ",""),"년","")),"0000")=SUBSTITUTE(SUBSTITUTE(SUBSTITUTE(TRIM(A1975&amp;""),CHAR(160),"")," ",""),"년","")),SUBSTITUTE(SUBSTITUTE(SUBSTITUTE(TRIM(A1975&amp;""),CHAR(160),"")," ",""),"년",""),""),"")</f>
      </c>
      <c r="I1975" t="str">
        <f>SUBSTITUTE(SUBSTITUTE(SUBSTITUTE(SUBSTITUTE(SUBSTITUTE(TRIM(B1975&amp;""),CHAR(160),"")," ",""),"초등학교","초"),"중학교","중"),"고등학교","고")</f>
      </c>
    </row>
    <row r="1976" customFormat="false" ht="15" hidden="false" customHeight="false" outlineLevel="0" collapsed="false">
      <c r="A1976" s="8"/>
      <c r="B1976" s="8"/>
      <c r="C1976" s="8"/>
      <c r="D1976" s="8"/>
      <c r="E1976" s="8"/>
      <c r="F1976" t="str" s="15">
        <f aca="0">IF(B1976="","",IF(H1976="","확인필요(입력누락)",IF(SUMPRODUCT((실물목록!$P$2:$P$1001&lt;&gt;"")*ISNUMBER(SEARCH(실물목록!$P$2:$P$1001,I1976))*(실물목록!$Q$2:$Q$1001&lt;&gt;"")*ISNUMBER(SEARCH(실물목록!$Q$2:$Q$1001,I1976))*(실물목록!$R$2:$R$1001="")*(실물목록!$O$2:$O$1001&lt;&gt;"")*(실물목록!$O$2:$O$1001=H1976))&gt;0,"실물 있음",IF(SUMPRODUCT((실물목록!$P$2:$P$1001&lt;&gt;"")*ISNUMBER(SEARCH(실물목록!$P$2:$P$1001,I1976))*(실물목록!$R$2:$R$1001&lt;&gt;""))&gt;0,"확인필요(입력누락)",IF(SUMPRODUCT((실물목록!$P$2:$P$1001&lt;&gt;"")*ISNUMBER(SEARCH(실물목록!$P$2:$P$1001,I1976))*(실물목록!$Q$2:$Q$1001&lt;&gt;"")*ISNUMBER(SEARCH(실물목록!$Q$2:$Q$1001,I1976))*(실물목록!$R$2:$R$1001="")*(실물목록!$O$2:$O$1001&lt;&gt;""))&gt;0,"확인필요(연도다름)","실물 없음")))))</f>
      </c>
      <c r="G1976" t="n" s="16">
        <f aca="0">IF(B1976="","",SUMPRODUCT((실물목록!$P$2:$P$1001&lt;&gt;"")*ISNUMBER(SEARCH(실물목록!$P$2:$P$1001,I1976))*(실물목록!$Q$2:$Q$1001&lt;&gt;"")*ISNUMBER(SEARCH(실물목록!$Q$2:$Q$1001,I1976))*(실물목록!$R$2:$R$1001="")*(실물목록!$O$2:$O$1001&lt;&gt;"")*(실물목록!$O$2:$O$1001=H1976)))</f>
      </c>
      <c r="H1976" t="str">
        <f>IFERROR(IF(AND(LEN(SUBSTITUTE(SUBSTITUTE(SUBSTITUTE(TRIM(A1976&amp;""),CHAR(160),"")," ",""),"년",""))=4,VALUE(SUBSTITUTE(SUBSTITUTE(SUBSTITUTE(TRIM(A1976&amp;""),CHAR(160),"")," ",""),"년",""))&gt;=1900,VALUE(SUBSTITUTE(SUBSTITUTE(SUBSTITUTE(TRIM(A1976&amp;""),CHAR(160),"")," ",""),"년",""))&lt;=2099,TEXT(VALUE(SUBSTITUTE(SUBSTITUTE(SUBSTITUTE(TRIM(A1976&amp;""),CHAR(160),"")," ",""),"년","")),"0000")=SUBSTITUTE(SUBSTITUTE(SUBSTITUTE(TRIM(A1976&amp;""),CHAR(160),"")," ",""),"년","")),SUBSTITUTE(SUBSTITUTE(SUBSTITUTE(TRIM(A1976&amp;""),CHAR(160),"")," ",""),"년",""),""),"")</f>
      </c>
      <c r="I1976" t="str">
        <f>SUBSTITUTE(SUBSTITUTE(SUBSTITUTE(SUBSTITUTE(SUBSTITUTE(TRIM(B1976&amp;""),CHAR(160),"")," ",""),"초등학교","초"),"중학교","중"),"고등학교","고")</f>
      </c>
    </row>
    <row r="1977" customFormat="false" ht="15" hidden="false" customHeight="false" outlineLevel="0" collapsed="false">
      <c r="A1977" s="8"/>
      <c r="B1977" s="8"/>
      <c r="C1977" s="8"/>
      <c r="D1977" s="8"/>
      <c r="E1977" s="8"/>
      <c r="F1977" t="str" s="15">
        <f aca="0">IF(B1977="","",IF(H1977="","확인필요(입력누락)",IF(SUMPRODUCT((실물목록!$P$2:$P$1001&lt;&gt;"")*ISNUMBER(SEARCH(실물목록!$P$2:$P$1001,I1977))*(실물목록!$Q$2:$Q$1001&lt;&gt;"")*ISNUMBER(SEARCH(실물목록!$Q$2:$Q$1001,I1977))*(실물목록!$R$2:$R$1001="")*(실물목록!$O$2:$O$1001&lt;&gt;"")*(실물목록!$O$2:$O$1001=H1977))&gt;0,"실물 있음",IF(SUMPRODUCT((실물목록!$P$2:$P$1001&lt;&gt;"")*ISNUMBER(SEARCH(실물목록!$P$2:$P$1001,I1977))*(실물목록!$R$2:$R$1001&lt;&gt;""))&gt;0,"확인필요(입력누락)",IF(SUMPRODUCT((실물목록!$P$2:$P$1001&lt;&gt;"")*ISNUMBER(SEARCH(실물목록!$P$2:$P$1001,I1977))*(실물목록!$Q$2:$Q$1001&lt;&gt;"")*ISNUMBER(SEARCH(실물목록!$Q$2:$Q$1001,I1977))*(실물목록!$R$2:$R$1001="")*(실물목록!$O$2:$O$1001&lt;&gt;""))&gt;0,"확인필요(연도다름)","실물 없음")))))</f>
      </c>
      <c r="G1977" t="n" s="16">
        <f aca="0">IF(B1977="","",SUMPRODUCT((실물목록!$P$2:$P$1001&lt;&gt;"")*ISNUMBER(SEARCH(실물목록!$P$2:$P$1001,I1977))*(실물목록!$Q$2:$Q$1001&lt;&gt;"")*ISNUMBER(SEARCH(실물목록!$Q$2:$Q$1001,I1977))*(실물목록!$R$2:$R$1001="")*(실물목록!$O$2:$O$1001&lt;&gt;"")*(실물목록!$O$2:$O$1001=H1977)))</f>
      </c>
      <c r="H1977" t="str">
        <f>IFERROR(IF(AND(LEN(SUBSTITUTE(SUBSTITUTE(SUBSTITUTE(TRIM(A1977&amp;""),CHAR(160),"")," ",""),"년",""))=4,VALUE(SUBSTITUTE(SUBSTITUTE(SUBSTITUTE(TRIM(A1977&amp;""),CHAR(160),"")," ",""),"년",""))&gt;=1900,VALUE(SUBSTITUTE(SUBSTITUTE(SUBSTITUTE(TRIM(A1977&amp;""),CHAR(160),"")," ",""),"년",""))&lt;=2099,TEXT(VALUE(SUBSTITUTE(SUBSTITUTE(SUBSTITUTE(TRIM(A1977&amp;""),CHAR(160),"")," ",""),"년","")),"0000")=SUBSTITUTE(SUBSTITUTE(SUBSTITUTE(TRIM(A1977&amp;""),CHAR(160),"")," ",""),"년","")),SUBSTITUTE(SUBSTITUTE(SUBSTITUTE(TRIM(A1977&amp;""),CHAR(160),"")," ",""),"년",""),""),"")</f>
      </c>
      <c r="I1977" t="str">
        <f>SUBSTITUTE(SUBSTITUTE(SUBSTITUTE(SUBSTITUTE(SUBSTITUTE(TRIM(B1977&amp;""),CHAR(160),"")," ",""),"초등학교","초"),"중학교","중"),"고등학교","고")</f>
      </c>
    </row>
    <row r="1978" customFormat="false" ht="15" hidden="false" customHeight="false" outlineLevel="0" collapsed="false">
      <c r="A1978" s="8"/>
      <c r="B1978" s="8"/>
      <c r="C1978" s="8"/>
      <c r="D1978" s="8"/>
      <c r="E1978" s="8"/>
      <c r="F1978" t="str" s="15">
        <f aca="0">IF(B1978="","",IF(H1978="","확인필요(입력누락)",IF(SUMPRODUCT((실물목록!$P$2:$P$1001&lt;&gt;"")*ISNUMBER(SEARCH(실물목록!$P$2:$P$1001,I1978))*(실물목록!$Q$2:$Q$1001&lt;&gt;"")*ISNUMBER(SEARCH(실물목록!$Q$2:$Q$1001,I1978))*(실물목록!$R$2:$R$1001="")*(실물목록!$O$2:$O$1001&lt;&gt;"")*(실물목록!$O$2:$O$1001=H1978))&gt;0,"실물 있음",IF(SUMPRODUCT((실물목록!$P$2:$P$1001&lt;&gt;"")*ISNUMBER(SEARCH(실물목록!$P$2:$P$1001,I1978))*(실물목록!$R$2:$R$1001&lt;&gt;""))&gt;0,"확인필요(입력누락)",IF(SUMPRODUCT((실물목록!$P$2:$P$1001&lt;&gt;"")*ISNUMBER(SEARCH(실물목록!$P$2:$P$1001,I1978))*(실물목록!$Q$2:$Q$1001&lt;&gt;"")*ISNUMBER(SEARCH(실물목록!$Q$2:$Q$1001,I1978))*(실물목록!$R$2:$R$1001="")*(실물목록!$O$2:$O$1001&lt;&gt;""))&gt;0,"확인필요(연도다름)","실물 없음")))))</f>
      </c>
      <c r="G1978" t="n" s="16">
        <f aca="0">IF(B1978="","",SUMPRODUCT((실물목록!$P$2:$P$1001&lt;&gt;"")*ISNUMBER(SEARCH(실물목록!$P$2:$P$1001,I1978))*(실물목록!$Q$2:$Q$1001&lt;&gt;"")*ISNUMBER(SEARCH(실물목록!$Q$2:$Q$1001,I1978))*(실물목록!$R$2:$R$1001="")*(실물목록!$O$2:$O$1001&lt;&gt;"")*(실물목록!$O$2:$O$1001=H1978)))</f>
      </c>
      <c r="H1978" t="str">
        <f>IFERROR(IF(AND(LEN(SUBSTITUTE(SUBSTITUTE(SUBSTITUTE(TRIM(A1978&amp;""),CHAR(160),"")," ",""),"년",""))=4,VALUE(SUBSTITUTE(SUBSTITUTE(SUBSTITUTE(TRIM(A1978&amp;""),CHAR(160),"")," ",""),"년",""))&gt;=1900,VALUE(SUBSTITUTE(SUBSTITUTE(SUBSTITUTE(TRIM(A1978&amp;""),CHAR(160),"")," ",""),"년",""))&lt;=2099,TEXT(VALUE(SUBSTITUTE(SUBSTITUTE(SUBSTITUTE(TRIM(A1978&amp;""),CHAR(160),"")," ",""),"년","")),"0000")=SUBSTITUTE(SUBSTITUTE(SUBSTITUTE(TRIM(A1978&amp;""),CHAR(160),"")," ",""),"년","")),SUBSTITUTE(SUBSTITUTE(SUBSTITUTE(TRIM(A1978&amp;""),CHAR(160),"")," ",""),"년",""),""),"")</f>
      </c>
      <c r="I1978" t="str">
        <f>SUBSTITUTE(SUBSTITUTE(SUBSTITUTE(SUBSTITUTE(SUBSTITUTE(TRIM(B1978&amp;""),CHAR(160),"")," ",""),"초등학교","초"),"중학교","중"),"고등학교","고")</f>
      </c>
    </row>
    <row r="1979" customFormat="false" ht="15" hidden="false" customHeight="false" outlineLevel="0" collapsed="false">
      <c r="A1979" s="8"/>
      <c r="B1979" s="8"/>
      <c r="C1979" s="8"/>
      <c r="D1979" s="8"/>
      <c r="E1979" s="8"/>
      <c r="F1979" t="str" s="15">
        <f aca="0">IF(B1979="","",IF(H1979="","확인필요(입력누락)",IF(SUMPRODUCT((실물목록!$P$2:$P$1001&lt;&gt;"")*ISNUMBER(SEARCH(실물목록!$P$2:$P$1001,I1979))*(실물목록!$Q$2:$Q$1001&lt;&gt;"")*ISNUMBER(SEARCH(실물목록!$Q$2:$Q$1001,I1979))*(실물목록!$R$2:$R$1001="")*(실물목록!$O$2:$O$1001&lt;&gt;"")*(실물목록!$O$2:$O$1001=H1979))&gt;0,"실물 있음",IF(SUMPRODUCT((실물목록!$P$2:$P$1001&lt;&gt;"")*ISNUMBER(SEARCH(실물목록!$P$2:$P$1001,I1979))*(실물목록!$R$2:$R$1001&lt;&gt;""))&gt;0,"확인필요(입력누락)",IF(SUMPRODUCT((실물목록!$P$2:$P$1001&lt;&gt;"")*ISNUMBER(SEARCH(실물목록!$P$2:$P$1001,I1979))*(실물목록!$Q$2:$Q$1001&lt;&gt;"")*ISNUMBER(SEARCH(실물목록!$Q$2:$Q$1001,I1979))*(실물목록!$R$2:$R$1001="")*(실물목록!$O$2:$O$1001&lt;&gt;""))&gt;0,"확인필요(연도다름)","실물 없음")))))</f>
      </c>
      <c r="G1979" t="n" s="16">
        <f aca="0">IF(B1979="","",SUMPRODUCT((실물목록!$P$2:$P$1001&lt;&gt;"")*ISNUMBER(SEARCH(실물목록!$P$2:$P$1001,I1979))*(실물목록!$Q$2:$Q$1001&lt;&gt;"")*ISNUMBER(SEARCH(실물목록!$Q$2:$Q$1001,I1979))*(실물목록!$R$2:$R$1001="")*(실물목록!$O$2:$O$1001&lt;&gt;"")*(실물목록!$O$2:$O$1001=H1979)))</f>
      </c>
      <c r="H1979" t="str">
        <f>IFERROR(IF(AND(LEN(SUBSTITUTE(SUBSTITUTE(SUBSTITUTE(TRIM(A1979&amp;""),CHAR(160),"")," ",""),"년",""))=4,VALUE(SUBSTITUTE(SUBSTITUTE(SUBSTITUTE(TRIM(A1979&amp;""),CHAR(160),"")," ",""),"년",""))&gt;=1900,VALUE(SUBSTITUTE(SUBSTITUTE(SUBSTITUTE(TRIM(A1979&amp;""),CHAR(160),"")," ",""),"년",""))&lt;=2099,TEXT(VALUE(SUBSTITUTE(SUBSTITUTE(SUBSTITUTE(TRIM(A1979&amp;""),CHAR(160),"")," ",""),"년","")),"0000")=SUBSTITUTE(SUBSTITUTE(SUBSTITUTE(TRIM(A1979&amp;""),CHAR(160),"")," ",""),"년","")),SUBSTITUTE(SUBSTITUTE(SUBSTITUTE(TRIM(A1979&amp;""),CHAR(160),"")," ",""),"년",""),""),"")</f>
      </c>
      <c r="I1979" t="str">
        <f>SUBSTITUTE(SUBSTITUTE(SUBSTITUTE(SUBSTITUTE(SUBSTITUTE(TRIM(B1979&amp;""),CHAR(160),"")," ",""),"초등학교","초"),"중학교","중"),"고등학교","고")</f>
      </c>
    </row>
    <row r="1980" customFormat="false" ht="15" hidden="false" customHeight="false" outlineLevel="0" collapsed="false">
      <c r="A1980" s="8"/>
      <c r="B1980" s="8"/>
      <c r="C1980" s="8"/>
      <c r="D1980" s="8"/>
      <c r="E1980" s="8"/>
      <c r="F1980" t="str" s="15">
        <f aca="0">IF(B1980="","",IF(H1980="","확인필요(입력누락)",IF(SUMPRODUCT((실물목록!$P$2:$P$1001&lt;&gt;"")*ISNUMBER(SEARCH(실물목록!$P$2:$P$1001,I1980))*(실물목록!$Q$2:$Q$1001&lt;&gt;"")*ISNUMBER(SEARCH(실물목록!$Q$2:$Q$1001,I1980))*(실물목록!$R$2:$R$1001="")*(실물목록!$O$2:$O$1001&lt;&gt;"")*(실물목록!$O$2:$O$1001=H1980))&gt;0,"실물 있음",IF(SUMPRODUCT((실물목록!$P$2:$P$1001&lt;&gt;"")*ISNUMBER(SEARCH(실물목록!$P$2:$P$1001,I1980))*(실물목록!$R$2:$R$1001&lt;&gt;""))&gt;0,"확인필요(입력누락)",IF(SUMPRODUCT((실물목록!$P$2:$P$1001&lt;&gt;"")*ISNUMBER(SEARCH(실물목록!$P$2:$P$1001,I1980))*(실물목록!$Q$2:$Q$1001&lt;&gt;"")*ISNUMBER(SEARCH(실물목록!$Q$2:$Q$1001,I1980))*(실물목록!$R$2:$R$1001="")*(실물목록!$O$2:$O$1001&lt;&gt;""))&gt;0,"확인필요(연도다름)","실물 없음")))))</f>
      </c>
      <c r="G1980" t="n" s="16">
        <f aca="0">IF(B1980="","",SUMPRODUCT((실물목록!$P$2:$P$1001&lt;&gt;"")*ISNUMBER(SEARCH(실물목록!$P$2:$P$1001,I1980))*(실물목록!$Q$2:$Q$1001&lt;&gt;"")*ISNUMBER(SEARCH(실물목록!$Q$2:$Q$1001,I1980))*(실물목록!$R$2:$R$1001="")*(실물목록!$O$2:$O$1001&lt;&gt;"")*(실물목록!$O$2:$O$1001=H1980)))</f>
      </c>
      <c r="H1980" t="str">
        <f>IFERROR(IF(AND(LEN(SUBSTITUTE(SUBSTITUTE(SUBSTITUTE(TRIM(A1980&amp;""),CHAR(160),"")," ",""),"년",""))=4,VALUE(SUBSTITUTE(SUBSTITUTE(SUBSTITUTE(TRIM(A1980&amp;""),CHAR(160),"")," ",""),"년",""))&gt;=1900,VALUE(SUBSTITUTE(SUBSTITUTE(SUBSTITUTE(TRIM(A1980&amp;""),CHAR(160),"")," ",""),"년",""))&lt;=2099,TEXT(VALUE(SUBSTITUTE(SUBSTITUTE(SUBSTITUTE(TRIM(A1980&amp;""),CHAR(160),"")," ",""),"년","")),"0000")=SUBSTITUTE(SUBSTITUTE(SUBSTITUTE(TRIM(A1980&amp;""),CHAR(160),"")," ",""),"년","")),SUBSTITUTE(SUBSTITUTE(SUBSTITUTE(TRIM(A1980&amp;""),CHAR(160),"")," ",""),"년",""),""),"")</f>
      </c>
      <c r="I1980" t="str">
        <f>SUBSTITUTE(SUBSTITUTE(SUBSTITUTE(SUBSTITUTE(SUBSTITUTE(TRIM(B1980&amp;""),CHAR(160),"")," ",""),"초등학교","초"),"중학교","중"),"고등학교","고")</f>
      </c>
    </row>
    <row r="1981" customFormat="false" ht="15" hidden="false" customHeight="false" outlineLevel="0" collapsed="false">
      <c r="A1981" s="8"/>
      <c r="B1981" s="8"/>
      <c r="C1981" s="8"/>
      <c r="D1981" s="8"/>
      <c r="E1981" s="8"/>
      <c r="F1981" t="str" s="15">
        <f aca="0">IF(B1981="","",IF(H1981="","확인필요(입력누락)",IF(SUMPRODUCT((실물목록!$P$2:$P$1001&lt;&gt;"")*ISNUMBER(SEARCH(실물목록!$P$2:$P$1001,I1981))*(실물목록!$Q$2:$Q$1001&lt;&gt;"")*ISNUMBER(SEARCH(실물목록!$Q$2:$Q$1001,I1981))*(실물목록!$R$2:$R$1001="")*(실물목록!$O$2:$O$1001&lt;&gt;"")*(실물목록!$O$2:$O$1001=H1981))&gt;0,"실물 있음",IF(SUMPRODUCT((실물목록!$P$2:$P$1001&lt;&gt;"")*ISNUMBER(SEARCH(실물목록!$P$2:$P$1001,I1981))*(실물목록!$R$2:$R$1001&lt;&gt;""))&gt;0,"확인필요(입력누락)",IF(SUMPRODUCT((실물목록!$P$2:$P$1001&lt;&gt;"")*ISNUMBER(SEARCH(실물목록!$P$2:$P$1001,I1981))*(실물목록!$Q$2:$Q$1001&lt;&gt;"")*ISNUMBER(SEARCH(실물목록!$Q$2:$Q$1001,I1981))*(실물목록!$R$2:$R$1001="")*(실물목록!$O$2:$O$1001&lt;&gt;""))&gt;0,"확인필요(연도다름)","실물 없음")))))</f>
      </c>
      <c r="G1981" t="n" s="16">
        <f aca="0">IF(B1981="","",SUMPRODUCT((실물목록!$P$2:$P$1001&lt;&gt;"")*ISNUMBER(SEARCH(실물목록!$P$2:$P$1001,I1981))*(실물목록!$Q$2:$Q$1001&lt;&gt;"")*ISNUMBER(SEARCH(실물목록!$Q$2:$Q$1001,I1981))*(실물목록!$R$2:$R$1001="")*(실물목록!$O$2:$O$1001&lt;&gt;"")*(실물목록!$O$2:$O$1001=H1981)))</f>
      </c>
      <c r="H1981" t="str">
        <f>IFERROR(IF(AND(LEN(SUBSTITUTE(SUBSTITUTE(SUBSTITUTE(TRIM(A1981&amp;""),CHAR(160),"")," ",""),"년",""))=4,VALUE(SUBSTITUTE(SUBSTITUTE(SUBSTITUTE(TRIM(A1981&amp;""),CHAR(160),"")," ",""),"년",""))&gt;=1900,VALUE(SUBSTITUTE(SUBSTITUTE(SUBSTITUTE(TRIM(A1981&amp;""),CHAR(160),"")," ",""),"년",""))&lt;=2099,TEXT(VALUE(SUBSTITUTE(SUBSTITUTE(SUBSTITUTE(TRIM(A1981&amp;""),CHAR(160),"")," ",""),"년","")),"0000")=SUBSTITUTE(SUBSTITUTE(SUBSTITUTE(TRIM(A1981&amp;""),CHAR(160),"")," ",""),"년","")),SUBSTITUTE(SUBSTITUTE(SUBSTITUTE(TRIM(A1981&amp;""),CHAR(160),"")," ",""),"년",""),""),"")</f>
      </c>
      <c r="I1981" t="str">
        <f>SUBSTITUTE(SUBSTITUTE(SUBSTITUTE(SUBSTITUTE(SUBSTITUTE(TRIM(B1981&amp;""),CHAR(160),"")," ",""),"초등학교","초"),"중학교","중"),"고등학교","고")</f>
      </c>
    </row>
    <row r="1982" customFormat="false" ht="15" hidden="false" customHeight="false" outlineLevel="0" collapsed="false">
      <c r="A1982" s="8"/>
      <c r="B1982" s="8"/>
      <c r="C1982" s="8"/>
      <c r="D1982" s="8"/>
      <c r="E1982" s="8"/>
      <c r="F1982" t="str" s="15">
        <f aca="0">IF(B1982="","",IF(H1982="","확인필요(입력누락)",IF(SUMPRODUCT((실물목록!$P$2:$P$1001&lt;&gt;"")*ISNUMBER(SEARCH(실물목록!$P$2:$P$1001,I1982))*(실물목록!$Q$2:$Q$1001&lt;&gt;"")*ISNUMBER(SEARCH(실물목록!$Q$2:$Q$1001,I1982))*(실물목록!$R$2:$R$1001="")*(실물목록!$O$2:$O$1001&lt;&gt;"")*(실물목록!$O$2:$O$1001=H1982))&gt;0,"실물 있음",IF(SUMPRODUCT((실물목록!$P$2:$P$1001&lt;&gt;"")*ISNUMBER(SEARCH(실물목록!$P$2:$P$1001,I1982))*(실물목록!$R$2:$R$1001&lt;&gt;""))&gt;0,"확인필요(입력누락)",IF(SUMPRODUCT((실물목록!$P$2:$P$1001&lt;&gt;"")*ISNUMBER(SEARCH(실물목록!$P$2:$P$1001,I1982))*(실물목록!$Q$2:$Q$1001&lt;&gt;"")*ISNUMBER(SEARCH(실물목록!$Q$2:$Q$1001,I1982))*(실물목록!$R$2:$R$1001="")*(실물목록!$O$2:$O$1001&lt;&gt;""))&gt;0,"확인필요(연도다름)","실물 없음")))))</f>
      </c>
      <c r="G1982" t="n" s="16">
        <f aca="0">IF(B1982="","",SUMPRODUCT((실물목록!$P$2:$P$1001&lt;&gt;"")*ISNUMBER(SEARCH(실물목록!$P$2:$P$1001,I1982))*(실물목록!$Q$2:$Q$1001&lt;&gt;"")*ISNUMBER(SEARCH(실물목록!$Q$2:$Q$1001,I1982))*(실물목록!$R$2:$R$1001="")*(실물목록!$O$2:$O$1001&lt;&gt;"")*(실물목록!$O$2:$O$1001=H1982)))</f>
      </c>
      <c r="H1982" t="str">
        <f>IFERROR(IF(AND(LEN(SUBSTITUTE(SUBSTITUTE(SUBSTITUTE(TRIM(A1982&amp;""),CHAR(160),"")," ",""),"년",""))=4,VALUE(SUBSTITUTE(SUBSTITUTE(SUBSTITUTE(TRIM(A1982&amp;""),CHAR(160),"")," ",""),"년",""))&gt;=1900,VALUE(SUBSTITUTE(SUBSTITUTE(SUBSTITUTE(TRIM(A1982&amp;""),CHAR(160),"")," ",""),"년",""))&lt;=2099,TEXT(VALUE(SUBSTITUTE(SUBSTITUTE(SUBSTITUTE(TRIM(A1982&amp;""),CHAR(160),"")," ",""),"년","")),"0000")=SUBSTITUTE(SUBSTITUTE(SUBSTITUTE(TRIM(A1982&amp;""),CHAR(160),"")," ",""),"년","")),SUBSTITUTE(SUBSTITUTE(SUBSTITUTE(TRIM(A1982&amp;""),CHAR(160),"")," ",""),"년",""),""),"")</f>
      </c>
      <c r="I1982" t="str">
        <f>SUBSTITUTE(SUBSTITUTE(SUBSTITUTE(SUBSTITUTE(SUBSTITUTE(TRIM(B1982&amp;""),CHAR(160),"")," ",""),"초등학교","초"),"중학교","중"),"고등학교","고")</f>
      </c>
    </row>
    <row r="1983" customFormat="false" ht="15" hidden="false" customHeight="false" outlineLevel="0" collapsed="false">
      <c r="A1983" s="8"/>
      <c r="B1983" s="8"/>
      <c r="C1983" s="8"/>
      <c r="D1983" s="8"/>
      <c r="E1983" s="8"/>
      <c r="F1983" t="str" s="15">
        <f aca="0">IF(B1983="","",IF(H1983="","확인필요(입력누락)",IF(SUMPRODUCT((실물목록!$P$2:$P$1001&lt;&gt;"")*ISNUMBER(SEARCH(실물목록!$P$2:$P$1001,I1983))*(실물목록!$Q$2:$Q$1001&lt;&gt;"")*ISNUMBER(SEARCH(실물목록!$Q$2:$Q$1001,I1983))*(실물목록!$R$2:$R$1001="")*(실물목록!$O$2:$O$1001&lt;&gt;"")*(실물목록!$O$2:$O$1001=H1983))&gt;0,"실물 있음",IF(SUMPRODUCT((실물목록!$P$2:$P$1001&lt;&gt;"")*ISNUMBER(SEARCH(실물목록!$P$2:$P$1001,I1983))*(실물목록!$R$2:$R$1001&lt;&gt;""))&gt;0,"확인필요(입력누락)",IF(SUMPRODUCT((실물목록!$P$2:$P$1001&lt;&gt;"")*ISNUMBER(SEARCH(실물목록!$P$2:$P$1001,I1983))*(실물목록!$Q$2:$Q$1001&lt;&gt;"")*ISNUMBER(SEARCH(실물목록!$Q$2:$Q$1001,I1983))*(실물목록!$R$2:$R$1001="")*(실물목록!$O$2:$O$1001&lt;&gt;""))&gt;0,"확인필요(연도다름)","실물 없음")))))</f>
      </c>
      <c r="G1983" t="n" s="16">
        <f aca="0">IF(B1983="","",SUMPRODUCT((실물목록!$P$2:$P$1001&lt;&gt;"")*ISNUMBER(SEARCH(실물목록!$P$2:$P$1001,I1983))*(실물목록!$Q$2:$Q$1001&lt;&gt;"")*ISNUMBER(SEARCH(실물목록!$Q$2:$Q$1001,I1983))*(실물목록!$R$2:$R$1001="")*(실물목록!$O$2:$O$1001&lt;&gt;"")*(실물목록!$O$2:$O$1001=H1983)))</f>
      </c>
      <c r="H1983" t="str">
        <f>IFERROR(IF(AND(LEN(SUBSTITUTE(SUBSTITUTE(SUBSTITUTE(TRIM(A1983&amp;""),CHAR(160),"")," ",""),"년",""))=4,VALUE(SUBSTITUTE(SUBSTITUTE(SUBSTITUTE(TRIM(A1983&amp;""),CHAR(160),"")," ",""),"년",""))&gt;=1900,VALUE(SUBSTITUTE(SUBSTITUTE(SUBSTITUTE(TRIM(A1983&amp;""),CHAR(160),"")," ",""),"년",""))&lt;=2099,TEXT(VALUE(SUBSTITUTE(SUBSTITUTE(SUBSTITUTE(TRIM(A1983&amp;""),CHAR(160),"")," ",""),"년","")),"0000")=SUBSTITUTE(SUBSTITUTE(SUBSTITUTE(TRIM(A1983&amp;""),CHAR(160),"")," ",""),"년","")),SUBSTITUTE(SUBSTITUTE(SUBSTITUTE(TRIM(A1983&amp;""),CHAR(160),"")," ",""),"년",""),""),"")</f>
      </c>
      <c r="I1983" t="str">
        <f>SUBSTITUTE(SUBSTITUTE(SUBSTITUTE(SUBSTITUTE(SUBSTITUTE(TRIM(B1983&amp;""),CHAR(160),"")," ",""),"초등학교","초"),"중학교","중"),"고등학교","고")</f>
      </c>
    </row>
    <row r="1984" customFormat="false" ht="15" hidden="false" customHeight="false" outlineLevel="0" collapsed="false">
      <c r="A1984" s="8"/>
      <c r="B1984" s="8"/>
      <c r="C1984" s="8"/>
      <c r="D1984" s="8"/>
      <c r="E1984" s="8"/>
      <c r="F1984" t="str" s="15">
        <f aca="0">IF(B1984="","",IF(H1984="","확인필요(입력누락)",IF(SUMPRODUCT((실물목록!$P$2:$P$1001&lt;&gt;"")*ISNUMBER(SEARCH(실물목록!$P$2:$P$1001,I1984))*(실물목록!$Q$2:$Q$1001&lt;&gt;"")*ISNUMBER(SEARCH(실물목록!$Q$2:$Q$1001,I1984))*(실물목록!$R$2:$R$1001="")*(실물목록!$O$2:$O$1001&lt;&gt;"")*(실물목록!$O$2:$O$1001=H1984))&gt;0,"실물 있음",IF(SUMPRODUCT((실물목록!$P$2:$P$1001&lt;&gt;"")*ISNUMBER(SEARCH(실물목록!$P$2:$P$1001,I1984))*(실물목록!$R$2:$R$1001&lt;&gt;""))&gt;0,"확인필요(입력누락)",IF(SUMPRODUCT((실물목록!$P$2:$P$1001&lt;&gt;"")*ISNUMBER(SEARCH(실물목록!$P$2:$P$1001,I1984))*(실물목록!$Q$2:$Q$1001&lt;&gt;"")*ISNUMBER(SEARCH(실물목록!$Q$2:$Q$1001,I1984))*(실물목록!$R$2:$R$1001="")*(실물목록!$O$2:$O$1001&lt;&gt;""))&gt;0,"확인필요(연도다름)","실물 없음")))))</f>
      </c>
      <c r="G1984" t="n" s="16">
        <f aca="0">IF(B1984="","",SUMPRODUCT((실물목록!$P$2:$P$1001&lt;&gt;"")*ISNUMBER(SEARCH(실물목록!$P$2:$P$1001,I1984))*(실물목록!$Q$2:$Q$1001&lt;&gt;"")*ISNUMBER(SEARCH(실물목록!$Q$2:$Q$1001,I1984))*(실물목록!$R$2:$R$1001="")*(실물목록!$O$2:$O$1001&lt;&gt;"")*(실물목록!$O$2:$O$1001=H1984)))</f>
      </c>
      <c r="H1984" t="str">
        <f>IFERROR(IF(AND(LEN(SUBSTITUTE(SUBSTITUTE(SUBSTITUTE(TRIM(A1984&amp;""),CHAR(160),"")," ",""),"년",""))=4,VALUE(SUBSTITUTE(SUBSTITUTE(SUBSTITUTE(TRIM(A1984&amp;""),CHAR(160),"")," ",""),"년",""))&gt;=1900,VALUE(SUBSTITUTE(SUBSTITUTE(SUBSTITUTE(TRIM(A1984&amp;""),CHAR(160),"")," ",""),"년",""))&lt;=2099,TEXT(VALUE(SUBSTITUTE(SUBSTITUTE(SUBSTITUTE(TRIM(A1984&amp;""),CHAR(160),"")," ",""),"년","")),"0000")=SUBSTITUTE(SUBSTITUTE(SUBSTITUTE(TRIM(A1984&amp;""),CHAR(160),"")," ",""),"년","")),SUBSTITUTE(SUBSTITUTE(SUBSTITUTE(TRIM(A1984&amp;""),CHAR(160),"")," ",""),"년",""),""),"")</f>
      </c>
      <c r="I1984" t="str">
        <f>SUBSTITUTE(SUBSTITUTE(SUBSTITUTE(SUBSTITUTE(SUBSTITUTE(TRIM(B1984&amp;""),CHAR(160),"")," ",""),"초등학교","초"),"중학교","중"),"고등학교","고")</f>
      </c>
    </row>
    <row r="1985" customFormat="false" ht="15" hidden="false" customHeight="false" outlineLevel="0" collapsed="false">
      <c r="A1985" s="8"/>
      <c r="B1985" s="8"/>
      <c r="C1985" s="8"/>
      <c r="D1985" s="8"/>
      <c r="E1985" s="8"/>
      <c r="F1985" t="str" s="15">
        <f aca="0">IF(B1985="","",IF(H1985="","확인필요(입력누락)",IF(SUMPRODUCT((실물목록!$P$2:$P$1001&lt;&gt;"")*ISNUMBER(SEARCH(실물목록!$P$2:$P$1001,I1985))*(실물목록!$Q$2:$Q$1001&lt;&gt;"")*ISNUMBER(SEARCH(실물목록!$Q$2:$Q$1001,I1985))*(실물목록!$R$2:$R$1001="")*(실물목록!$O$2:$O$1001&lt;&gt;"")*(실물목록!$O$2:$O$1001=H1985))&gt;0,"실물 있음",IF(SUMPRODUCT((실물목록!$P$2:$P$1001&lt;&gt;"")*ISNUMBER(SEARCH(실물목록!$P$2:$P$1001,I1985))*(실물목록!$R$2:$R$1001&lt;&gt;""))&gt;0,"확인필요(입력누락)",IF(SUMPRODUCT((실물목록!$P$2:$P$1001&lt;&gt;"")*ISNUMBER(SEARCH(실물목록!$P$2:$P$1001,I1985))*(실물목록!$Q$2:$Q$1001&lt;&gt;"")*ISNUMBER(SEARCH(실물목록!$Q$2:$Q$1001,I1985))*(실물목록!$R$2:$R$1001="")*(실물목록!$O$2:$O$1001&lt;&gt;""))&gt;0,"확인필요(연도다름)","실물 없음")))))</f>
      </c>
      <c r="G1985" t="n" s="16">
        <f aca="0">IF(B1985="","",SUMPRODUCT((실물목록!$P$2:$P$1001&lt;&gt;"")*ISNUMBER(SEARCH(실물목록!$P$2:$P$1001,I1985))*(실물목록!$Q$2:$Q$1001&lt;&gt;"")*ISNUMBER(SEARCH(실물목록!$Q$2:$Q$1001,I1985))*(실물목록!$R$2:$R$1001="")*(실물목록!$O$2:$O$1001&lt;&gt;"")*(실물목록!$O$2:$O$1001=H1985)))</f>
      </c>
      <c r="H1985" t="str">
        <f>IFERROR(IF(AND(LEN(SUBSTITUTE(SUBSTITUTE(SUBSTITUTE(TRIM(A1985&amp;""),CHAR(160),"")," ",""),"년",""))=4,VALUE(SUBSTITUTE(SUBSTITUTE(SUBSTITUTE(TRIM(A1985&amp;""),CHAR(160),"")," ",""),"년",""))&gt;=1900,VALUE(SUBSTITUTE(SUBSTITUTE(SUBSTITUTE(TRIM(A1985&amp;""),CHAR(160),"")," ",""),"년",""))&lt;=2099,TEXT(VALUE(SUBSTITUTE(SUBSTITUTE(SUBSTITUTE(TRIM(A1985&amp;""),CHAR(160),"")," ",""),"년","")),"0000")=SUBSTITUTE(SUBSTITUTE(SUBSTITUTE(TRIM(A1985&amp;""),CHAR(160),"")," ",""),"년","")),SUBSTITUTE(SUBSTITUTE(SUBSTITUTE(TRIM(A1985&amp;""),CHAR(160),"")," ",""),"년",""),""),"")</f>
      </c>
      <c r="I1985" t="str">
        <f>SUBSTITUTE(SUBSTITUTE(SUBSTITUTE(SUBSTITUTE(SUBSTITUTE(TRIM(B1985&amp;""),CHAR(160),"")," ",""),"초등학교","초"),"중학교","중"),"고등학교","고")</f>
      </c>
    </row>
    <row r="1986" customFormat="false" ht="15" hidden="false" customHeight="false" outlineLevel="0" collapsed="false">
      <c r="A1986" s="8"/>
      <c r="B1986" s="8"/>
      <c r="C1986" s="8"/>
      <c r="D1986" s="8"/>
      <c r="E1986" s="8"/>
      <c r="F1986" t="str" s="15">
        <f aca="0">IF(B1986="","",IF(H1986="","확인필요(입력누락)",IF(SUMPRODUCT((실물목록!$P$2:$P$1001&lt;&gt;"")*ISNUMBER(SEARCH(실물목록!$P$2:$P$1001,I1986))*(실물목록!$Q$2:$Q$1001&lt;&gt;"")*ISNUMBER(SEARCH(실물목록!$Q$2:$Q$1001,I1986))*(실물목록!$R$2:$R$1001="")*(실물목록!$O$2:$O$1001&lt;&gt;"")*(실물목록!$O$2:$O$1001=H1986))&gt;0,"실물 있음",IF(SUMPRODUCT((실물목록!$P$2:$P$1001&lt;&gt;"")*ISNUMBER(SEARCH(실물목록!$P$2:$P$1001,I1986))*(실물목록!$R$2:$R$1001&lt;&gt;""))&gt;0,"확인필요(입력누락)",IF(SUMPRODUCT((실물목록!$P$2:$P$1001&lt;&gt;"")*ISNUMBER(SEARCH(실물목록!$P$2:$P$1001,I1986))*(실물목록!$Q$2:$Q$1001&lt;&gt;"")*ISNUMBER(SEARCH(실물목록!$Q$2:$Q$1001,I1986))*(실물목록!$R$2:$R$1001="")*(실물목록!$O$2:$O$1001&lt;&gt;""))&gt;0,"확인필요(연도다름)","실물 없음")))))</f>
      </c>
      <c r="G1986" t="n" s="16">
        <f aca="0">IF(B1986="","",SUMPRODUCT((실물목록!$P$2:$P$1001&lt;&gt;"")*ISNUMBER(SEARCH(실물목록!$P$2:$P$1001,I1986))*(실물목록!$Q$2:$Q$1001&lt;&gt;"")*ISNUMBER(SEARCH(실물목록!$Q$2:$Q$1001,I1986))*(실물목록!$R$2:$R$1001="")*(실물목록!$O$2:$O$1001&lt;&gt;"")*(실물목록!$O$2:$O$1001=H1986)))</f>
      </c>
      <c r="H1986" t="str">
        <f>IFERROR(IF(AND(LEN(SUBSTITUTE(SUBSTITUTE(SUBSTITUTE(TRIM(A1986&amp;""),CHAR(160),"")," ",""),"년",""))=4,VALUE(SUBSTITUTE(SUBSTITUTE(SUBSTITUTE(TRIM(A1986&amp;""),CHAR(160),"")," ",""),"년",""))&gt;=1900,VALUE(SUBSTITUTE(SUBSTITUTE(SUBSTITUTE(TRIM(A1986&amp;""),CHAR(160),"")," ",""),"년",""))&lt;=2099,TEXT(VALUE(SUBSTITUTE(SUBSTITUTE(SUBSTITUTE(TRIM(A1986&amp;""),CHAR(160),"")," ",""),"년","")),"0000")=SUBSTITUTE(SUBSTITUTE(SUBSTITUTE(TRIM(A1986&amp;""),CHAR(160),"")," ",""),"년","")),SUBSTITUTE(SUBSTITUTE(SUBSTITUTE(TRIM(A1986&amp;""),CHAR(160),"")," ",""),"년",""),""),"")</f>
      </c>
      <c r="I1986" t="str">
        <f>SUBSTITUTE(SUBSTITUTE(SUBSTITUTE(SUBSTITUTE(SUBSTITUTE(TRIM(B1986&amp;""),CHAR(160),"")," ",""),"초등학교","초"),"중학교","중"),"고등학교","고")</f>
      </c>
    </row>
    <row r="1987" customFormat="false" ht="15" hidden="false" customHeight="false" outlineLevel="0" collapsed="false">
      <c r="A1987" s="8"/>
      <c r="B1987" s="8"/>
      <c r="C1987" s="8"/>
      <c r="D1987" s="8"/>
      <c r="E1987" s="8"/>
      <c r="F1987" t="str" s="15">
        <f aca="0">IF(B1987="","",IF(H1987="","확인필요(입력누락)",IF(SUMPRODUCT((실물목록!$P$2:$P$1001&lt;&gt;"")*ISNUMBER(SEARCH(실물목록!$P$2:$P$1001,I1987))*(실물목록!$Q$2:$Q$1001&lt;&gt;"")*ISNUMBER(SEARCH(실물목록!$Q$2:$Q$1001,I1987))*(실물목록!$R$2:$R$1001="")*(실물목록!$O$2:$O$1001&lt;&gt;"")*(실물목록!$O$2:$O$1001=H1987))&gt;0,"실물 있음",IF(SUMPRODUCT((실물목록!$P$2:$P$1001&lt;&gt;"")*ISNUMBER(SEARCH(실물목록!$P$2:$P$1001,I1987))*(실물목록!$R$2:$R$1001&lt;&gt;""))&gt;0,"확인필요(입력누락)",IF(SUMPRODUCT((실물목록!$P$2:$P$1001&lt;&gt;"")*ISNUMBER(SEARCH(실물목록!$P$2:$P$1001,I1987))*(실물목록!$Q$2:$Q$1001&lt;&gt;"")*ISNUMBER(SEARCH(실물목록!$Q$2:$Q$1001,I1987))*(실물목록!$R$2:$R$1001="")*(실물목록!$O$2:$O$1001&lt;&gt;""))&gt;0,"확인필요(연도다름)","실물 없음")))))</f>
      </c>
      <c r="G1987" t="n" s="16">
        <f aca="0">IF(B1987="","",SUMPRODUCT((실물목록!$P$2:$P$1001&lt;&gt;"")*ISNUMBER(SEARCH(실물목록!$P$2:$P$1001,I1987))*(실물목록!$Q$2:$Q$1001&lt;&gt;"")*ISNUMBER(SEARCH(실물목록!$Q$2:$Q$1001,I1987))*(실물목록!$R$2:$R$1001="")*(실물목록!$O$2:$O$1001&lt;&gt;"")*(실물목록!$O$2:$O$1001=H1987)))</f>
      </c>
      <c r="H1987" t="str">
        <f>IFERROR(IF(AND(LEN(SUBSTITUTE(SUBSTITUTE(SUBSTITUTE(TRIM(A1987&amp;""),CHAR(160),"")," ",""),"년",""))=4,VALUE(SUBSTITUTE(SUBSTITUTE(SUBSTITUTE(TRIM(A1987&amp;""),CHAR(160),"")," ",""),"년",""))&gt;=1900,VALUE(SUBSTITUTE(SUBSTITUTE(SUBSTITUTE(TRIM(A1987&amp;""),CHAR(160),"")," ",""),"년",""))&lt;=2099,TEXT(VALUE(SUBSTITUTE(SUBSTITUTE(SUBSTITUTE(TRIM(A1987&amp;""),CHAR(160),"")," ",""),"년","")),"0000")=SUBSTITUTE(SUBSTITUTE(SUBSTITUTE(TRIM(A1987&amp;""),CHAR(160),"")," ",""),"년","")),SUBSTITUTE(SUBSTITUTE(SUBSTITUTE(TRIM(A1987&amp;""),CHAR(160),"")," ",""),"년",""),""),"")</f>
      </c>
      <c r="I1987" t="str">
        <f>SUBSTITUTE(SUBSTITUTE(SUBSTITUTE(SUBSTITUTE(SUBSTITUTE(TRIM(B1987&amp;""),CHAR(160),"")," ",""),"초등학교","초"),"중학교","중"),"고등학교","고")</f>
      </c>
    </row>
    <row r="1988" customFormat="false" ht="15" hidden="false" customHeight="false" outlineLevel="0" collapsed="false">
      <c r="A1988" s="8"/>
      <c r="B1988" s="8"/>
      <c r="C1988" s="8"/>
      <c r="D1988" s="8"/>
      <c r="E1988" s="8"/>
      <c r="F1988" t="str" s="15">
        <f aca="0">IF(B1988="","",IF(H1988="","확인필요(입력누락)",IF(SUMPRODUCT((실물목록!$P$2:$P$1001&lt;&gt;"")*ISNUMBER(SEARCH(실물목록!$P$2:$P$1001,I1988))*(실물목록!$Q$2:$Q$1001&lt;&gt;"")*ISNUMBER(SEARCH(실물목록!$Q$2:$Q$1001,I1988))*(실물목록!$R$2:$R$1001="")*(실물목록!$O$2:$O$1001&lt;&gt;"")*(실물목록!$O$2:$O$1001=H1988))&gt;0,"실물 있음",IF(SUMPRODUCT((실물목록!$P$2:$P$1001&lt;&gt;"")*ISNUMBER(SEARCH(실물목록!$P$2:$P$1001,I1988))*(실물목록!$R$2:$R$1001&lt;&gt;""))&gt;0,"확인필요(입력누락)",IF(SUMPRODUCT((실물목록!$P$2:$P$1001&lt;&gt;"")*ISNUMBER(SEARCH(실물목록!$P$2:$P$1001,I1988))*(실물목록!$Q$2:$Q$1001&lt;&gt;"")*ISNUMBER(SEARCH(실물목록!$Q$2:$Q$1001,I1988))*(실물목록!$R$2:$R$1001="")*(실물목록!$O$2:$O$1001&lt;&gt;""))&gt;0,"확인필요(연도다름)","실물 없음")))))</f>
      </c>
      <c r="G1988" t="n" s="16">
        <f aca="0">IF(B1988="","",SUMPRODUCT((실물목록!$P$2:$P$1001&lt;&gt;"")*ISNUMBER(SEARCH(실물목록!$P$2:$P$1001,I1988))*(실물목록!$Q$2:$Q$1001&lt;&gt;"")*ISNUMBER(SEARCH(실물목록!$Q$2:$Q$1001,I1988))*(실물목록!$R$2:$R$1001="")*(실물목록!$O$2:$O$1001&lt;&gt;"")*(실물목록!$O$2:$O$1001=H1988)))</f>
      </c>
      <c r="H1988" t="str">
        <f>IFERROR(IF(AND(LEN(SUBSTITUTE(SUBSTITUTE(SUBSTITUTE(TRIM(A1988&amp;""),CHAR(160),"")," ",""),"년",""))=4,VALUE(SUBSTITUTE(SUBSTITUTE(SUBSTITUTE(TRIM(A1988&amp;""),CHAR(160),"")," ",""),"년",""))&gt;=1900,VALUE(SUBSTITUTE(SUBSTITUTE(SUBSTITUTE(TRIM(A1988&amp;""),CHAR(160),"")," ",""),"년",""))&lt;=2099,TEXT(VALUE(SUBSTITUTE(SUBSTITUTE(SUBSTITUTE(TRIM(A1988&amp;""),CHAR(160),"")," ",""),"년","")),"0000")=SUBSTITUTE(SUBSTITUTE(SUBSTITUTE(TRIM(A1988&amp;""),CHAR(160),"")," ",""),"년","")),SUBSTITUTE(SUBSTITUTE(SUBSTITUTE(TRIM(A1988&amp;""),CHAR(160),"")," ",""),"년",""),""),"")</f>
      </c>
      <c r="I1988" t="str">
        <f>SUBSTITUTE(SUBSTITUTE(SUBSTITUTE(SUBSTITUTE(SUBSTITUTE(TRIM(B1988&amp;""),CHAR(160),"")," ",""),"초등학교","초"),"중학교","중"),"고등학교","고")</f>
      </c>
    </row>
    <row r="1989" customFormat="false" ht="15" hidden="false" customHeight="false" outlineLevel="0" collapsed="false">
      <c r="A1989" s="8"/>
      <c r="B1989" s="8"/>
      <c r="C1989" s="8"/>
      <c r="D1989" s="8"/>
      <c r="E1989" s="8"/>
      <c r="F1989" t="str" s="15">
        <f aca="0">IF(B1989="","",IF(H1989="","확인필요(입력누락)",IF(SUMPRODUCT((실물목록!$P$2:$P$1001&lt;&gt;"")*ISNUMBER(SEARCH(실물목록!$P$2:$P$1001,I1989))*(실물목록!$Q$2:$Q$1001&lt;&gt;"")*ISNUMBER(SEARCH(실물목록!$Q$2:$Q$1001,I1989))*(실물목록!$R$2:$R$1001="")*(실물목록!$O$2:$O$1001&lt;&gt;"")*(실물목록!$O$2:$O$1001=H1989))&gt;0,"실물 있음",IF(SUMPRODUCT((실물목록!$P$2:$P$1001&lt;&gt;"")*ISNUMBER(SEARCH(실물목록!$P$2:$P$1001,I1989))*(실물목록!$R$2:$R$1001&lt;&gt;""))&gt;0,"확인필요(입력누락)",IF(SUMPRODUCT((실물목록!$P$2:$P$1001&lt;&gt;"")*ISNUMBER(SEARCH(실물목록!$P$2:$P$1001,I1989))*(실물목록!$Q$2:$Q$1001&lt;&gt;"")*ISNUMBER(SEARCH(실물목록!$Q$2:$Q$1001,I1989))*(실물목록!$R$2:$R$1001="")*(실물목록!$O$2:$O$1001&lt;&gt;""))&gt;0,"확인필요(연도다름)","실물 없음")))))</f>
      </c>
      <c r="G1989" t="n" s="16">
        <f aca="0">IF(B1989="","",SUMPRODUCT((실물목록!$P$2:$P$1001&lt;&gt;"")*ISNUMBER(SEARCH(실물목록!$P$2:$P$1001,I1989))*(실물목록!$Q$2:$Q$1001&lt;&gt;"")*ISNUMBER(SEARCH(실물목록!$Q$2:$Q$1001,I1989))*(실물목록!$R$2:$R$1001="")*(실물목록!$O$2:$O$1001&lt;&gt;"")*(실물목록!$O$2:$O$1001=H1989)))</f>
      </c>
      <c r="H1989" t="str">
        <f>IFERROR(IF(AND(LEN(SUBSTITUTE(SUBSTITUTE(SUBSTITUTE(TRIM(A1989&amp;""),CHAR(160),"")," ",""),"년",""))=4,VALUE(SUBSTITUTE(SUBSTITUTE(SUBSTITUTE(TRIM(A1989&amp;""),CHAR(160),"")," ",""),"년",""))&gt;=1900,VALUE(SUBSTITUTE(SUBSTITUTE(SUBSTITUTE(TRIM(A1989&amp;""),CHAR(160),"")," ",""),"년",""))&lt;=2099,TEXT(VALUE(SUBSTITUTE(SUBSTITUTE(SUBSTITUTE(TRIM(A1989&amp;""),CHAR(160),"")," ",""),"년","")),"0000")=SUBSTITUTE(SUBSTITUTE(SUBSTITUTE(TRIM(A1989&amp;""),CHAR(160),"")," ",""),"년","")),SUBSTITUTE(SUBSTITUTE(SUBSTITUTE(TRIM(A1989&amp;""),CHAR(160),"")," ",""),"년",""),""),"")</f>
      </c>
      <c r="I1989" t="str">
        <f>SUBSTITUTE(SUBSTITUTE(SUBSTITUTE(SUBSTITUTE(SUBSTITUTE(TRIM(B1989&amp;""),CHAR(160),"")," ",""),"초등학교","초"),"중학교","중"),"고등학교","고")</f>
      </c>
    </row>
    <row r="1990" customFormat="false" ht="15" hidden="false" customHeight="false" outlineLevel="0" collapsed="false">
      <c r="A1990" s="8"/>
      <c r="B1990" s="8"/>
      <c r="C1990" s="8"/>
      <c r="D1990" s="8"/>
      <c r="E1990" s="8"/>
      <c r="F1990" t="str" s="15">
        <f aca="0">IF(B1990="","",IF(H1990="","확인필요(입력누락)",IF(SUMPRODUCT((실물목록!$P$2:$P$1001&lt;&gt;"")*ISNUMBER(SEARCH(실물목록!$P$2:$P$1001,I1990))*(실물목록!$Q$2:$Q$1001&lt;&gt;"")*ISNUMBER(SEARCH(실물목록!$Q$2:$Q$1001,I1990))*(실물목록!$R$2:$R$1001="")*(실물목록!$O$2:$O$1001&lt;&gt;"")*(실물목록!$O$2:$O$1001=H1990))&gt;0,"실물 있음",IF(SUMPRODUCT((실물목록!$P$2:$P$1001&lt;&gt;"")*ISNUMBER(SEARCH(실물목록!$P$2:$P$1001,I1990))*(실물목록!$R$2:$R$1001&lt;&gt;""))&gt;0,"확인필요(입력누락)",IF(SUMPRODUCT((실물목록!$P$2:$P$1001&lt;&gt;"")*ISNUMBER(SEARCH(실물목록!$P$2:$P$1001,I1990))*(실물목록!$Q$2:$Q$1001&lt;&gt;"")*ISNUMBER(SEARCH(실물목록!$Q$2:$Q$1001,I1990))*(실물목록!$R$2:$R$1001="")*(실물목록!$O$2:$O$1001&lt;&gt;""))&gt;0,"확인필요(연도다름)","실물 없음")))))</f>
      </c>
      <c r="G1990" t="n" s="16">
        <f aca="0">IF(B1990="","",SUMPRODUCT((실물목록!$P$2:$P$1001&lt;&gt;"")*ISNUMBER(SEARCH(실물목록!$P$2:$P$1001,I1990))*(실물목록!$Q$2:$Q$1001&lt;&gt;"")*ISNUMBER(SEARCH(실물목록!$Q$2:$Q$1001,I1990))*(실물목록!$R$2:$R$1001="")*(실물목록!$O$2:$O$1001&lt;&gt;"")*(실물목록!$O$2:$O$1001=H1990)))</f>
      </c>
      <c r="H1990" t="str">
        <f>IFERROR(IF(AND(LEN(SUBSTITUTE(SUBSTITUTE(SUBSTITUTE(TRIM(A1990&amp;""),CHAR(160),"")," ",""),"년",""))=4,VALUE(SUBSTITUTE(SUBSTITUTE(SUBSTITUTE(TRIM(A1990&amp;""),CHAR(160),"")," ",""),"년",""))&gt;=1900,VALUE(SUBSTITUTE(SUBSTITUTE(SUBSTITUTE(TRIM(A1990&amp;""),CHAR(160),"")," ",""),"년",""))&lt;=2099,TEXT(VALUE(SUBSTITUTE(SUBSTITUTE(SUBSTITUTE(TRIM(A1990&amp;""),CHAR(160),"")," ",""),"년","")),"0000")=SUBSTITUTE(SUBSTITUTE(SUBSTITUTE(TRIM(A1990&amp;""),CHAR(160),"")," ",""),"년","")),SUBSTITUTE(SUBSTITUTE(SUBSTITUTE(TRIM(A1990&amp;""),CHAR(160),"")," ",""),"년",""),""),"")</f>
      </c>
      <c r="I1990" t="str">
        <f>SUBSTITUTE(SUBSTITUTE(SUBSTITUTE(SUBSTITUTE(SUBSTITUTE(TRIM(B1990&amp;""),CHAR(160),"")," ",""),"초등학교","초"),"중학교","중"),"고등학교","고")</f>
      </c>
    </row>
    <row r="1991" customFormat="false" ht="15" hidden="false" customHeight="false" outlineLevel="0" collapsed="false">
      <c r="A1991" s="8"/>
      <c r="B1991" s="8"/>
      <c r="C1991" s="8"/>
      <c r="D1991" s="8"/>
      <c r="E1991" s="8"/>
      <c r="F1991" t="str" s="15">
        <f aca="0">IF(B1991="","",IF(H1991="","확인필요(입력누락)",IF(SUMPRODUCT((실물목록!$P$2:$P$1001&lt;&gt;"")*ISNUMBER(SEARCH(실물목록!$P$2:$P$1001,I1991))*(실물목록!$Q$2:$Q$1001&lt;&gt;"")*ISNUMBER(SEARCH(실물목록!$Q$2:$Q$1001,I1991))*(실물목록!$R$2:$R$1001="")*(실물목록!$O$2:$O$1001&lt;&gt;"")*(실물목록!$O$2:$O$1001=H1991))&gt;0,"실물 있음",IF(SUMPRODUCT((실물목록!$P$2:$P$1001&lt;&gt;"")*ISNUMBER(SEARCH(실물목록!$P$2:$P$1001,I1991))*(실물목록!$R$2:$R$1001&lt;&gt;""))&gt;0,"확인필요(입력누락)",IF(SUMPRODUCT((실물목록!$P$2:$P$1001&lt;&gt;"")*ISNUMBER(SEARCH(실물목록!$P$2:$P$1001,I1991))*(실물목록!$Q$2:$Q$1001&lt;&gt;"")*ISNUMBER(SEARCH(실물목록!$Q$2:$Q$1001,I1991))*(실물목록!$R$2:$R$1001="")*(실물목록!$O$2:$O$1001&lt;&gt;""))&gt;0,"확인필요(연도다름)","실물 없음")))))</f>
      </c>
      <c r="G1991" t="n" s="16">
        <f aca="0">IF(B1991="","",SUMPRODUCT((실물목록!$P$2:$P$1001&lt;&gt;"")*ISNUMBER(SEARCH(실물목록!$P$2:$P$1001,I1991))*(실물목록!$Q$2:$Q$1001&lt;&gt;"")*ISNUMBER(SEARCH(실물목록!$Q$2:$Q$1001,I1991))*(실물목록!$R$2:$R$1001="")*(실물목록!$O$2:$O$1001&lt;&gt;"")*(실물목록!$O$2:$O$1001=H1991)))</f>
      </c>
      <c r="H1991" t="str">
        <f>IFERROR(IF(AND(LEN(SUBSTITUTE(SUBSTITUTE(SUBSTITUTE(TRIM(A1991&amp;""),CHAR(160),"")," ",""),"년",""))=4,VALUE(SUBSTITUTE(SUBSTITUTE(SUBSTITUTE(TRIM(A1991&amp;""),CHAR(160),"")," ",""),"년",""))&gt;=1900,VALUE(SUBSTITUTE(SUBSTITUTE(SUBSTITUTE(TRIM(A1991&amp;""),CHAR(160),"")," ",""),"년",""))&lt;=2099,TEXT(VALUE(SUBSTITUTE(SUBSTITUTE(SUBSTITUTE(TRIM(A1991&amp;""),CHAR(160),"")," ",""),"년","")),"0000")=SUBSTITUTE(SUBSTITUTE(SUBSTITUTE(TRIM(A1991&amp;""),CHAR(160),"")," ",""),"년","")),SUBSTITUTE(SUBSTITUTE(SUBSTITUTE(TRIM(A1991&amp;""),CHAR(160),"")," ",""),"년",""),""),"")</f>
      </c>
      <c r="I1991" t="str">
        <f>SUBSTITUTE(SUBSTITUTE(SUBSTITUTE(SUBSTITUTE(SUBSTITUTE(TRIM(B1991&amp;""),CHAR(160),"")," ",""),"초등학교","초"),"중학교","중"),"고등학교","고")</f>
      </c>
    </row>
    <row r="1992" customFormat="false" ht="15" hidden="false" customHeight="false" outlineLevel="0" collapsed="false">
      <c r="A1992" s="8"/>
      <c r="B1992" s="8"/>
      <c r="C1992" s="8"/>
      <c r="D1992" s="8"/>
      <c r="E1992" s="8"/>
      <c r="F1992" t="str" s="15">
        <f aca="0">IF(B1992="","",IF(H1992="","확인필요(입력누락)",IF(SUMPRODUCT((실물목록!$P$2:$P$1001&lt;&gt;"")*ISNUMBER(SEARCH(실물목록!$P$2:$P$1001,I1992))*(실물목록!$Q$2:$Q$1001&lt;&gt;"")*ISNUMBER(SEARCH(실물목록!$Q$2:$Q$1001,I1992))*(실물목록!$R$2:$R$1001="")*(실물목록!$O$2:$O$1001&lt;&gt;"")*(실물목록!$O$2:$O$1001=H1992))&gt;0,"실물 있음",IF(SUMPRODUCT((실물목록!$P$2:$P$1001&lt;&gt;"")*ISNUMBER(SEARCH(실물목록!$P$2:$P$1001,I1992))*(실물목록!$R$2:$R$1001&lt;&gt;""))&gt;0,"확인필요(입력누락)",IF(SUMPRODUCT((실물목록!$P$2:$P$1001&lt;&gt;"")*ISNUMBER(SEARCH(실물목록!$P$2:$P$1001,I1992))*(실물목록!$Q$2:$Q$1001&lt;&gt;"")*ISNUMBER(SEARCH(실물목록!$Q$2:$Q$1001,I1992))*(실물목록!$R$2:$R$1001="")*(실물목록!$O$2:$O$1001&lt;&gt;""))&gt;0,"확인필요(연도다름)","실물 없음")))))</f>
      </c>
      <c r="G1992" t="n" s="16">
        <f aca="0">IF(B1992="","",SUMPRODUCT((실물목록!$P$2:$P$1001&lt;&gt;"")*ISNUMBER(SEARCH(실물목록!$P$2:$P$1001,I1992))*(실물목록!$Q$2:$Q$1001&lt;&gt;"")*ISNUMBER(SEARCH(실물목록!$Q$2:$Q$1001,I1992))*(실물목록!$R$2:$R$1001="")*(실물목록!$O$2:$O$1001&lt;&gt;"")*(실물목록!$O$2:$O$1001=H1992)))</f>
      </c>
      <c r="H1992" t="str">
        <f>IFERROR(IF(AND(LEN(SUBSTITUTE(SUBSTITUTE(SUBSTITUTE(TRIM(A1992&amp;""),CHAR(160),"")," ",""),"년",""))=4,VALUE(SUBSTITUTE(SUBSTITUTE(SUBSTITUTE(TRIM(A1992&amp;""),CHAR(160),"")," ",""),"년",""))&gt;=1900,VALUE(SUBSTITUTE(SUBSTITUTE(SUBSTITUTE(TRIM(A1992&amp;""),CHAR(160),"")," ",""),"년",""))&lt;=2099,TEXT(VALUE(SUBSTITUTE(SUBSTITUTE(SUBSTITUTE(TRIM(A1992&amp;""),CHAR(160),"")," ",""),"년","")),"0000")=SUBSTITUTE(SUBSTITUTE(SUBSTITUTE(TRIM(A1992&amp;""),CHAR(160),"")," ",""),"년","")),SUBSTITUTE(SUBSTITUTE(SUBSTITUTE(TRIM(A1992&amp;""),CHAR(160),"")," ",""),"년",""),""),"")</f>
      </c>
      <c r="I1992" t="str">
        <f>SUBSTITUTE(SUBSTITUTE(SUBSTITUTE(SUBSTITUTE(SUBSTITUTE(TRIM(B1992&amp;""),CHAR(160),"")," ",""),"초등학교","초"),"중학교","중"),"고등학교","고")</f>
      </c>
    </row>
    <row r="1993" customFormat="false" ht="15" hidden="false" customHeight="false" outlineLevel="0" collapsed="false">
      <c r="A1993" s="8"/>
      <c r="B1993" s="8"/>
      <c r="C1993" s="8"/>
      <c r="D1993" s="8"/>
      <c r="E1993" s="8"/>
      <c r="F1993" t="str" s="15">
        <f aca="0">IF(B1993="","",IF(H1993="","확인필요(입력누락)",IF(SUMPRODUCT((실물목록!$P$2:$P$1001&lt;&gt;"")*ISNUMBER(SEARCH(실물목록!$P$2:$P$1001,I1993))*(실물목록!$Q$2:$Q$1001&lt;&gt;"")*ISNUMBER(SEARCH(실물목록!$Q$2:$Q$1001,I1993))*(실물목록!$R$2:$R$1001="")*(실물목록!$O$2:$O$1001&lt;&gt;"")*(실물목록!$O$2:$O$1001=H1993))&gt;0,"실물 있음",IF(SUMPRODUCT((실물목록!$P$2:$P$1001&lt;&gt;"")*ISNUMBER(SEARCH(실물목록!$P$2:$P$1001,I1993))*(실물목록!$R$2:$R$1001&lt;&gt;""))&gt;0,"확인필요(입력누락)",IF(SUMPRODUCT((실물목록!$P$2:$P$1001&lt;&gt;"")*ISNUMBER(SEARCH(실물목록!$P$2:$P$1001,I1993))*(실물목록!$Q$2:$Q$1001&lt;&gt;"")*ISNUMBER(SEARCH(실물목록!$Q$2:$Q$1001,I1993))*(실물목록!$R$2:$R$1001="")*(실물목록!$O$2:$O$1001&lt;&gt;""))&gt;0,"확인필요(연도다름)","실물 없음")))))</f>
      </c>
      <c r="G1993" t="n" s="16">
        <f aca="0">IF(B1993="","",SUMPRODUCT((실물목록!$P$2:$P$1001&lt;&gt;"")*ISNUMBER(SEARCH(실물목록!$P$2:$P$1001,I1993))*(실물목록!$Q$2:$Q$1001&lt;&gt;"")*ISNUMBER(SEARCH(실물목록!$Q$2:$Q$1001,I1993))*(실물목록!$R$2:$R$1001="")*(실물목록!$O$2:$O$1001&lt;&gt;"")*(실물목록!$O$2:$O$1001=H1993)))</f>
      </c>
      <c r="H1993" t="str">
        <f>IFERROR(IF(AND(LEN(SUBSTITUTE(SUBSTITUTE(SUBSTITUTE(TRIM(A1993&amp;""),CHAR(160),"")," ",""),"년",""))=4,VALUE(SUBSTITUTE(SUBSTITUTE(SUBSTITUTE(TRIM(A1993&amp;""),CHAR(160),"")," ",""),"년",""))&gt;=1900,VALUE(SUBSTITUTE(SUBSTITUTE(SUBSTITUTE(TRIM(A1993&amp;""),CHAR(160),"")," ",""),"년",""))&lt;=2099,TEXT(VALUE(SUBSTITUTE(SUBSTITUTE(SUBSTITUTE(TRIM(A1993&amp;""),CHAR(160),"")," ",""),"년","")),"0000")=SUBSTITUTE(SUBSTITUTE(SUBSTITUTE(TRIM(A1993&amp;""),CHAR(160),"")," ",""),"년","")),SUBSTITUTE(SUBSTITUTE(SUBSTITUTE(TRIM(A1993&amp;""),CHAR(160),"")," ",""),"년",""),""),"")</f>
      </c>
      <c r="I1993" t="str">
        <f>SUBSTITUTE(SUBSTITUTE(SUBSTITUTE(SUBSTITUTE(SUBSTITUTE(TRIM(B1993&amp;""),CHAR(160),"")," ",""),"초등학교","초"),"중학교","중"),"고등학교","고")</f>
      </c>
    </row>
    <row r="1994" customFormat="false" ht="15" hidden="false" customHeight="false" outlineLevel="0" collapsed="false">
      <c r="A1994" s="8"/>
      <c r="B1994" s="8"/>
      <c r="C1994" s="8"/>
      <c r="D1994" s="8"/>
      <c r="E1994" s="8"/>
      <c r="F1994" t="str" s="15">
        <f aca="0">IF(B1994="","",IF(H1994="","확인필요(입력누락)",IF(SUMPRODUCT((실물목록!$P$2:$P$1001&lt;&gt;"")*ISNUMBER(SEARCH(실물목록!$P$2:$P$1001,I1994))*(실물목록!$Q$2:$Q$1001&lt;&gt;"")*ISNUMBER(SEARCH(실물목록!$Q$2:$Q$1001,I1994))*(실물목록!$R$2:$R$1001="")*(실물목록!$O$2:$O$1001&lt;&gt;"")*(실물목록!$O$2:$O$1001=H1994))&gt;0,"실물 있음",IF(SUMPRODUCT((실물목록!$P$2:$P$1001&lt;&gt;"")*ISNUMBER(SEARCH(실물목록!$P$2:$P$1001,I1994))*(실물목록!$R$2:$R$1001&lt;&gt;""))&gt;0,"확인필요(입력누락)",IF(SUMPRODUCT((실물목록!$P$2:$P$1001&lt;&gt;"")*ISNUMBER(SEARCH(실물목록!$P$2:$P$1001,I1994))*(실물목록!$Q$2:$Q$1001&lt;&gt;"")*ISNUMBER(SEARCH(실물목록!$Q$2:$Q$1001,I1994))*(실물목록!$R$2:$R$1001="")*(실물목록!$O$2:$O$1001&lt;&gt;""))&gt;0,"확인필요(연도다름)","실물 없음")))))</f>
      </c>
      <c r="G1994" t="n" s="16">
        <f aca="0">IF(B1994="","",SUMPRODUCT((실물목록!$P$2:$P$1001&lt;&gt;"")*ISNUMBER(SEARCH(실물목록!$P$2:$P$1001,I1994))*(실물목록!$Q$2:$Q$1001&lt;&gt;"")*ISNUMBER(SEARCH(실물목록!$Q$2:$Q$1001,I1994))*(실물목록!$R$2:$R$1001="")*(실물목록!$O$2:$O$1001&lt;&gt;"")*(실물목록!$O$2:$O$1001=H1994)))</f>
      </c>
      <c r="H1994" t="str">
        <f>IFERROR(IF(AND(LEN(SUBSTITUTE(SUBSTITUTE(SUBSTITUTE(TRIM(A1994&amp;""),CHAR(160),"")," ",""),"년",""))=4,VALUE(SUBSTITUTE(SUBSTITUTE(SUBSTITUTE(TRIM(A1994&amp;""),CHAR(160),"")," ",""),"년",""))&gt;=1900,VALUE(SUBSTITUTE(SUBSTITUTE(SUBSTITUTE(TRIM(A1994&amp;""),CHAR(160),"")," ",""),"년",""))&lt;=2099,TEXT(VALUE(SUBSTITUTE(SUBSTITUTE(SUBSTITUTE(TRIM(A1994&amp;""),CHAR(160),"")," ",""),"년","")),"0000")=SUBSTITUTE(SUBSTITUTE(SUBSTITUTE(TRIM(A1994&amp;""),CHAR(160),"")," ",""),"년","")),SUBSTITUTE(SUBSTITUTE(SUBSTITUTE(TRIM(A1994&amp;""),CHAR(160),"")," ",""),"년",""),""),"")</f>
      </c>
      <c r="I1994" t="str">
        <f>SUBSTITUTE(SUBSTITUTE(SUBSTITUTE(SUBSTITUTE(SUBSTITUTE(TRIM(B1994&amp;""),CHAR(160),"")," ",""),"초등학교","초"),"중학교","중"),"고등학교","고")</f>
      </c>
    </row>
    <row r="1995" customFormat="false" ht="15" hidden="false" customHeight="false" outlineLevel="0" collapsed="false">
      <c r="A1995" s="8"/>
      <c r="B1995" s="8"/>
      <c r="C1995" s="8"/>
      <c r="D1995" s="8"/>
      <c r="E1995" s="8"/>
      <c r="F1995" t="str" s="15">
        <f aca="0">IF(B1995="","",IF(H1995="","확인필요(입력누락)",IF(SUMPRODUCT((실물목록!$P$2:$P$1001&lt;&gt;"")*ISNUMBER(SEARCH(실물목록!$P$2:$P$1001,I1995))*(실물목록!$Q$2:$Q$1001&lt;&gt;"")*ISNUMBER(SEARCH(실물목록!$Q$2:$Q$1001,I1995))*(실물목록!$R$2:$R$1001="")*(실물목록!$O$2:$O$1001&lt;&gt;"")*(실물목록!$O$2:$O$1001=H1995))&gt;0,"실물 있음",IF(SUMPRODUCT((실물목록!$P$2:$P$1001&lt;&gt;"")*ISNUMBER(SEARCH(실물목록!$P$2:$P$1001,I1995))*(실물목록!$R$2:$R$1001&lt;&gt;""))&gt;0,"확인필요(입력누락)",IF(SUMPRODUCT((실물목록!$P$2:$P$1001&lt;&gt;"")*ISNUMBER(SEARCH(실물목록!$P$2:$P$1001,I1995))*(실물목록!$Q$2:$Q$1001&lt;&gt;"")*ISNUMBER(SEARCH(실물목록!$Q$2:$Q$1001,I1995))*(실물목록!$R$2:$R$1001="")*(실물목록!$O$2:$O$1001&lt;&gt;""))&gt;0,"확인필요(연도다름)","실물 없음")))))</f>
      </c>
      <c r="G1995" t="n" s="16">
        <f aca="0">IF(B1995="","",SUMPRODUCT((실물목록!$P$2:$P$1001&lt;&gt;"")*ISNUMBER(SEARCH(실물목록!$P$2:$P$1001,I1995))*(실물목록!$Q$2:$Q$1001&lt;&gt;"")*ISNUMBER(SEARCH(실물목록!$Q$2:$Q$1001,I1995))*(실물목록!$R$2:$R$1001="")*(실물목록!$O$2:$O$1001&lt;&gt;"")*(실물목록!$O$2:$O$1001=H1995)))</f>
      </c>
      <c r="H1995" t="str">
        <f>IFERROR(IF(AND(LEN(SUBSTITUTE(SUBSTITUTE(SUBSTITUTE(TRIM(A1995&amp;""),CHAR(160),"")," ",""),"년",""))=4,VALUE(SUBSTITUTE(SUBSTITUTE(SUBSTITUTE(TRIM(A1995&amp;""),CHAR(160),"")," ",""),"년",""))&gt;=1900,VALUE(SUBSTITUTE(SUBSTITUTE(SUBSTITUTE(TRIM(A1995&amp;""),CHAR(160),"")," ",""),"년",""))&lt;=2099,TEXT(VALUE(SUBSTITUTE(SUBSTITUTE(SUBSTITUTE(TRIM(A1995&amp;""),CHAR(160),"")," ",""),"년","")),"0000")=SUBSTITUTE(SUBSTITUTE(SUBSTITUTE(TRIM(A1995&amp;""),CHAR(160),"")," ",""),"년","")),SUBSTITUTE(SUBSTITUTE(SUBSTITUTE(TRIM(A1995&amp;""),CHAR(160),"")," ",""),"년",""),""),"")</f>
      </c>
      <c r="I1995" t="str">
        <f>SUBSTITUTE(SUBSTITUTE(SUBSTITUTE(SUBSTITUTE(SUBSTITUTE(TRIM(B1995&amp;""),CHAR(160),"")," ",""),"초등학교","초"),"중학교","중"),"고등학교","고")</f>
      </c>
    </row>
    <row r="1996" customFormat="false" ht="15" hidden="false" customHeight="false" outlineLevel="0" collapsed="false">
      <c r="A1996" s="8"/>
      <c r="B1996" s="8"/>
      <c r="C1996" s="8"/>
      <c r="D1996" s="8"/>
      <c r="E1996" s="8"/>
      <c r="F1996" t="str" s="15">
        <f aca="0">IF(B1996="","",IF(H1996="","확인필요(입력누락)",IF(SUMPRODUCT((실물목록!$P$2:$P$1001&lt;&gt;"")*ISNUMBER(SEARCH(실물목록!$P$2:$P$1001,I1996))*(실물목록!$Q$2:$Q$1001&lt;&gt;"")*ISNUMBER(SEARCH(실물목록!$Q$2:$Q$1001,I1996))*(실물목록!$R$2:$R$1001="")*(실물목록!$O$2:$O$1001&lt;&gt;"")*(실물목록!$O$2:$O$1001=H1996))&gt;0,"실물 있음",IF(SUMPRODUCT((실물목록!$P$2:$P$1001&lt;&gt;"")*ISNUMBER(SEARCH(실물목록!$P$2:$P$1001,I1996))*(실물목록!$R$2:$R$1001&lt;&gt;""))&gt;0,"확인필요(입력누락)",IF(SUMPRODUCT((실물목록!$P$2:$P$1001&lt;&gt;"")*ISNUMBER(SEARCH(실물목록!$P$2:$P$1001,I1996))*(실물목록!$Q$2:$Q$1001&lt;&gt;"")*ISNUMBER(SEARCH(실물목록!$Q$2:$Q$1001,I1996))*(실물목록!$R$2:$R$1001="")*(실물목록!$O$2:$O$1001&lt;&gt;""))&gt;0,"확인필요(연도다름)","실물 없음")))))</f>
      </c>
      <c r="G1996" t="n" s="16">
        <f aca="0">IF(B1996="","",SUMPRODUCT((실물목록!$P$2:$P$1001&lt;&gt;"")*ISNUMBER(SEARCH(실물목록!$P$2:$P$1001,I1996))*(실물목록!$Q$2:$Q$1001&lt;&gt;"")*ISNUMBER(SEARCH(실물목록!$Q$2:$Q$1001,I1996))*(실물목록!$R$2:$R$1001="")*(실물목록!$O$2:$O$1001&lt;&gt;"")*(실물목록!$O$2:$O$1001=H1996)))</f>
      </c>
      <c r="H1996" t="str">
        <f>IFERROR(IF(AND(LEN(SUBSTITUTE(SUBSTITUTE(SUBSTITUTE(TRIM(A1996&amp;""),CHAR(160),"")," ",""),"년",""))=4,VALUE(SUBSTITUTE(SUBSTITUTE(SUBSTITUTE(TRIM(A1996&amp;""),CHAR(160),"")," ",""),"년",""))&gt;=1900,VALUE(SUBSTITUTE(SUBSTITUTE(SUBSTITUTE(TRIM(A1996&amp;""),CHAR(160),"")," ",""),"년",""))&lt;=2099,TEXT(VALUE(SUBSTITUTE(SUBSTITUTE(SUBSTITUTE(TRIM(A1996&amp;""),CHAR(160),"")," ",""),"년","")),"0000")=SUBSTITUTE(SUBSTITUTE(SUBSTITUTE(TRIM(A1996&amp;""),CHAR(160),"")," ",""),"년","")),SUBSTITUTE(SUBSTITUTE(SUBSTITUTE(TRIM(A1996&amp;""),CHAR(160),"")," ",""),"년",""),""),"")</f>
      </c>
      <c r="I1996" t="str">
        <f>SUBSTITUTE(SUBSTITUTE(SUBSTITUTE(SUBSTITUTE(SUBSTITUTE(TRIM(B1996&amp;""),CHAR(160),"")," ",""),"초등학교","초"),"중학교","중"),"고등학교","고")</f>
      </c>
    </row>
    <row r="1997" customFormat="false" ht="15" hidden="false" customHeight="false" outlineLevel="0" collapsed="false">
      <c r="A1997" s="8"/>
      <c r="B1997" s="8"/>
      <c r="C1997" s="8"/>
      <c r="D1997" s="8"/>
      <c r="E1997" s="8"/>
      <c r="F1997" t="str" s="15">
        <f aca="0">IF(B1997="","",IF(H1997="","확인필요(입력누락)",IF(SUMPRODUCT((실물목록!$P$2:$P$1001&lt;&gt;"")*ISNUMBER(SEARCH(실물목록!$P$2:$P$1001,I1997))*(실물목록!$Q$2:$Q$1001&lt;&gt;"")*ISNUMBER(SEARCH(실물목록!$Q$2:$Q$1001,I1997))*(실물목록!$R$2:$R$1001="")*(실물목록!$O$2:$O$1001&lt;&gt;"")*(실물목록!$O$2:$O$1001=H1997))&gt;0,"실물 있음",IF(SUMPRODUCT((실물목록!$P$2:$P$1001&lt;&gt;"")*ISNUMBER(SEARCH(실물목록!$P$2:$P$1001,I1997))*(실물목록!$R$2:$R$1001&lt;&gt;""))&gt;0,"확인필요(입력누락)",IF(SUMPRODUCT((실물목록!$P$2:$P$1001&lt;&gt;"")*ISNUMBER(SEARCH(실물목록!$P$2:$P$1001,I1997))*(실물목록!$Q$2:$Q$1001&lt;&gt;"")*ISNUMBER(SEARCH(실물목록!$Q$2:$Q$1001,I1997))*(실물목록!$R$2:$R$1001="")*(실물목록!$O$2:$O$1001&lt;&gt;""))&gt;0,"확인필요(연도다름)","실물 없음")))))</f>
      </c>
      <c r="G1997" t="n" s="16">
        <f aca="0">IF(B1997="","",SUMPRODUCT((실물목록!$P$2:$P$1001&lt;&gt;"")*ISNUMBER(SEARCH(실물목록!$P$2:$P$1001,I1997))*(실물목록!$Q$2:$Q$1001&lt;&gt;"")*ISNUMBER(SEARCH(실물목록!$Q$2:$Q$1001,I1997))*(실물목록!$R$2:$R$1001="")*(실물목록!$O$2:$O$1001&lt;&gt;"")*(실물목록!$O$2:$O$1001=H1997)))</f>
      </c>
      <c r="H1997" t="str">
        <f>IFERROR(IF(AND(LEN(SUBSTITUTE(SUBSTITUTE(SUBSTITUTE(TRIM(A1997&amp;""),CHAR(160),"")," ",""),"년",""))=4,VALUE(SUBSTITUTE(SUBSTITUTE(SUBSTITUTE(TRIM(A1997&amp;""),CHAR(160),"")," ",""),"년",""))&gt;=1900,VALUE(SUBSTITUTE(SUBSTITUTE(SUBSTITUTE(TRIM(A1997&amp;""),CHAR(160),"")," ",""),"년",""))&lt;=2099,TEXT(VALUE(SUBSTITUTE(SUBSTITUTE(SUBSTITUTE(TRIM(A1997&amp;""),CHAR(160),"")," ",""),"년","")),"0000")=SUBSTITUTE(SUBSTITUTE(SUBSTITUTE(TRIM(A1997&amp;""),CHAR(160),"")," ",""),"년","")),SUBSTITUTE(SUBSTITUTE(SUBSTITUTE(TRIM(A1997&amp;""),CHAR(160),"")," ",""),"년",""),""),"")</f>
      </c>
      <c r="I1997" t="str">
        <f>SUBSTITUTE(SUBSTITUTE(SUBSTITUTE(SUBSTITUTE(SUBSTITUTE(TRIM(B1997&amp;""),CHAR(160),"")," ",""),"초등학교","초"),"중학교","중"),"고등학교","고")</f>
      </c>
    </row>
    <row r="1998" customFormat="false" ht="15" hidden="false" customHeight="false" outlineLevel="0" collapsed="false">
      <c r="A1998" s="8"/>
      <c r="B1998" s="8"/>
      <c r="C1998" s="8"/>
      <c r="D1998" s="8"/>
      <c r="E1998" s="8"/>
      <c r="F1998" t="str" s="15">
        <f aca="0">IF(B1998="","",IF(H1998="","확인필요(입력누락)",IF(SUMPRODUCT((실물목록!$P$2:$P$1001&lt;&gt;"")*ISNUMBER(SEARCH(실물목록!$P$2:$P$1001,I1998))*(실물목록!$Q$2:$Q$1001&lt;&gt;"")*ISNUMBER(SEARCH(실물목록!$Q$2:$Q$1001,I1998))*(실물목록!$R$2:$R$1001="")*(실물목록!$O$2:$O$1001&lt;&gt;"")*(실물목록!$O$2:$O$1001=H1998))&gt;0,"실물 있음",IF(SUMPRODUCT((실물목록!$P$2:$P$1001&lt;&gt;"")*ISNUMBER(SEARCH(실물목록!$P$2:$P$1001,I1998))*(실물목록!$R$2:$R$1001&lt;&gt;""))&gt;0,"확인필요(입력누락)",IF(SUMPRODUCT((실물목록!$P$2:$P$1001&lt;&gt;"")*ISNUMBER(SEARCH(실물목록!$P$2:$P$1001,I1998))*(실물목록!$Q$2:$Q$1001&lt;&gt;"")*ISNUMBER(SEARCH(실물목록!$Q$2:$Q$1001,I1998))*(실물목록!$R$2:$R$1001="")*(실물목록!$O$2:$O$1001&lt;&gt;""))&gt;0,"확인필요(연도다름)","실물 없음")))))</f>
      </c>
      <c r="G1998" t="n" s="16">
        <f aca="0">IF(B1998="","",SUMPRODUCT((실물목록!$P$2:$P$1001&lt;&gt;"")*ISNUMBER(SEARCH(실물목록!$P$2:$P$1001,I1998))*(실물목록!$Q$2:$Q$1001&lt;&gt;"")*ISNUMBER(SEARCH(실물목록!$Q$2:$Q$1001,I1998))*(실물목록!$R$2:$R$1001="")*(실물목록!$O$2:$O$1001&lt;&gt;"")*(실물목록!$O$2:$O$1001=H1998)))</f>
      </c>
      <c r="H1998" t="str">
        <f>IFERROR(IF(AND(LEN(SUBSTITUTE(SUBSTITUTE(SUBSTITUTE(TRIM(A1998&amp;""),CHAR(160),"")," ",""),"년",""))=4,VALUE(SUBSTITUTE(SUBSTITUTE(SUBSTITUTE(TRIM(A1998&amp;""),CHAR(160),"")," ",""),"년",""))&gt;=1900,VALUE(SUBSTITUTE(SUBSTITUTE(SUBSTITUTE(TRIM(A1998&amp;""),CHAR(160),"")," ",""),"년",""))&lt;=2099,TEXT(VALUE(SUBSTITUTE(SUBSTITUTE(SUBSTITUTE(TRIM(A1998&amp;""),CHAR(160),"")," ",""),"년","")),"0000")=SUBSTITUTE(SUBSTITUTE(SUBSTITUTE(TRIM(A1998&amp;""),CHAR(160),"")," ",""),"년","")),SUBSTITUTE(SUBSTITUTE(SUBSTITUTE(TRIM(A1998&amp;""),CHAR(160),"")," ",""),"년",""),""),"")</f>
      </c>
      <c r="I1998" t="str">
        <f>SUBSTITUTE(SUBSTITUTE(SUBSTITUTE(SUBSTITUTE(SUBSTITUTE(TRIM(B1998&amp;""),CHAR(160),"")," ",""),"초등학교","초"),"중학교","중"),"고등학교","고")</f>
      </c>
    </row>
    <row r="1999" customFormat="false" ht="15" hidden="false" customHeight="false" outlineLevel="0" collapsed="false">
      <c r="A1999" s="8"/>
      <c r="B1999" s="8"/>
      <c r="C1999" s="8"/>
      <c r="D1999" s="8"/>
      <c r="E1999" s="8"/>
      <c r="F1999" t="str" s="15">
        <f aca="0">IF(B1999="","",IF(H1999="","확인필요(입력누락)",IF(SUMPRODUCT((실물목록!$P$2:$P$1001&lt;&gt;"")*ISNUMBER(SEARCH(실물목록!$P$2:$P$1001,I1999))*(실물목록!$Q$2:$Q$1001&lt;&gt;"")*ISNUMBER(SEARCH(실물목록!$Q$2:$Q$1001,I1999))*(실물목록!$R$2:$R$1001="")*(실물목록!$O$2:$O$1001&lt;&gt;"")*(실물목록!$O$2:$O$1001=H1999))&gt;0,"실물 있음",IF(SUMPRODUCT((실물목록!$P$2:$P$1001&lt;&gt;"")*ISNUMBER(SEARCH(실물목록!$P$2:$P$1001,I1999))*(실물목록!$R$2:$R$1001&lt;&gt;""))&gt;0,"확인필요(입력누락)",IF(SUMPRODUCT((실물목록!$P$2:$P$1001&lt;&gt;"")*ISNUMBER(SEARCH(실물목록!$P$2:$P$1001,I1999))*(실물목록!$Q$2:$Q$1001&lt;&gt;"")*ISNUMBER(SEARCH(실물목록!$Q$2:$Q$1001,I1999))*(실물목록!$R$2:$R$1001="")*(실물목록!$O$2:$O$1001&lt;&gt;""))&gt;0,"확인필요(연도다름)","실물 없음")))))</f>
      </c>
      <c r="G1999" t="n" s="16">
        <f aca="0">IF(B1999="","",SUMPRODUCT((실물목록!$P$2:$P$1001&lt;&gt;"")*ISNUMBER(SEARCH(실물목록!$P$2:$P$1001,I1999))*(실물목록!$Q$2:$Q$1001&lt;&gt;"")*ISNUMBER(SEARCH(실물목록!$Q$2:$Q$1001,I1999))*(실물목록!$R$2:$R$1001="")*(실물목록!$O$2:$O$1001&lt;&gt;"")*(실물목록!$O$2:$O$1001=H1999)))</f>
      </c>
      <c r="H1999" t="str">
        <f>IFERROR(IF(AND(LEN(SUBSTITUTE(SUBSTITUTE(SUBSTITUTE(TRIM(A1999&amp;""),CHAR(160),"")," ",""),"년",""))=4,VALUE(SUBSTITUTE(SUBSTITUTE(SUBSTITUTE(TRIM(A1999&amp;""),CHAR(160),"")," ",""),"년",""))&gt;=1900,VALUE(SUBSTITUTE(SUBSTITUTE(SUBSTITUTE(TRIM(A1999&amp;""),CHAR(160),"")," ",""),"년",""))&lt;=2099,TEXT(VALUE(SUBSTITUTE(SUBSTITUTE(SUBSTITUTE(TRIM(A1999&amp;""),CHAR(160),"")," ",""),"년","")),"0000")=SUBSTITUTE(SUBSTITUTE(SUBSTITUTE(TRIM(A1999&amp;""),CHAR(160),"")," ",""),"년","")),SUBSTITUTE(SUBSTITUTE(SUBSTITUTE(TRIM(A1999&amp;""),CHAR(160),"")," ",""),"년",""),""),"")</f>
      </c>
      <c r="I1999" t="str">
        <f>SUBSTITUTE(SUBSTITUTE(SUBSTITUTE(SUBSTITUTE(SUBSTITUTE(TRIM(B1999&amp;""),CHAR(160),"")," ",""),"초등학교","초"),"중학교","중"),"고등학교","고")</f>
      </c>
    </row>
    <row r="2000" customFormat="false" ht="15" hidden="false" customHeight="false" outlineLevel="0" collapsed="false">
      <c r="A2000" s="8"/>
      <c r="B2000" s="8"/>
      <c r="C2000" s="8"/>
      <c r="D2000" s="8"/>
      <c r="E2000" s="8"/>
      <c r="F2000" t="str" s="15">
        <f aca="0">IF(B2000="","",IF(H2000="","확인필요(입력누락)",IF(SUMPRODUCT((실물목록!$P$2:$P$1001&lt;&gt;"")*ISNUMBER(SEARCH(실물목록!$P$2:$P$1001,I2000))*(실물목록!$Q$2:$Q$1001&lt;&gt;"")*ISNUMBER(SEARCH(실물목록!$Q$2:$Q$1001,I2000))*(실물목록!$R$2:$R$1001="")*(실물목록!$O$2:$O$1001&lt;&gt;"")*(실물목록!$O$2:$O$1001=H2000))&gt;0,"실물 있음",IF(SUMPRODUCT((실물목록!$P$2:$P$1001&lt;&gt;"")*ISNUMBER(SEARCH(실물목록!$P$2:$P$1001,I2000))*(실물목록!$R$2:$R$1001&lt;&gt;""))&gt;0,"확인필요(입력누락)",IF(SUMPRODUCT((실물목록!$P$2:$P$1001&lt;&gt;"")*ISNUMBER(SEARCH(실물목록!$P$2:$P$1001,I2000))*(실물목록!$Q$2:$Q$1001&lt;&gt;"")*ISNUMBER(SEARCH(실물목록!$Q$2:$Q$1001,I2000))*(실물목록!$R$2:$R$1001="")*(실물목록!$O$2:$O$1001&lt;&gt;""))&gt;0,"확인필요(연도다름)","실물 없음")))))</f>
      </c>
      <c r="G2000" t="n" s="16">
        <f aca="0">IF(B2000="","",SUMPRODUCT((실물목록!$P$2:$P$1001&lt;&gt;"")*ISNUMBER(SEARCH(실물목록!$P$2:$P$1001,I2000))*(실물목록!$Q$2:$Q$1001&lt;&gt;"")*ISNUMBER(SEARCH(실물목록!$Q$2:$Q$1001,I2000))*(실물목록!$R$2:$R$1001="")*(실물목록!$O$2:$O$1001&lt;&gt;"")*(실물목록!$O$2:$O$1001=H2000)))</f>
      </c>
      <c r="H2000" t="str">
        <f>IFERROR(IF(AND(LEN(SUBSTITUTE(SUBSTITUTE(SUBSTITUTE(TRIM(A2000&amp;""),CHAR(160),"")," ",""),"년",""))=4,VALUE(SUBSTITUTE(SUBSTITUTE(SUBSTITUTE(TRIM(A2000&amp;""),CHAR(160),"")," ",""),"년",""))&gt;=1900,VALUE(SUBSTITUTE(SUBSTITUTE(SUBSTITUTE(TRIM(A2000&amp;""),CHAR(160),"")," ",""),"년",""))&lt;=2099,TEXT(VALUE(SUBSTITUTE(SUBSTITUTE(SUBSTITUTE(TRIM(A2000&amp;""),CHAR(160),"")," ",""),"년","")),"0000")=SUBSTITUTE(SUBSTITUTE(SUBSTITUTE(TRIM(A2000&amp;""),CHAR(160),"")," ",""),"년","")),SUBSTITUTE(SUBSTITUTE(SUBSTITUTE(TRIM(A2000&amp;""),CHAR(160),"")," ",""),"년",""),""),"")</f>
      </c>
      <c r="I2000" t="str">
        <f>SUBSTITUTE(SUBSTITUTE(SUBSTITUTE(SUBSTITUTE(SUBSTITUTE(TRIM(B2000&amp;""),CHAR(160),"")," ",""),"초등학교","초"),"중학교","중"),"고등학교","고")</f>
      </c>
    </row>
    <row r="2001" customFormat="false" ht="15" hidden="false" customHeight="false" outlineLevel="0" collapsed="false">
      <c r="A2001" s="8"/>
      <c r="B2001" s="8"/>
      <c r="C2001" s="8"/>
      <c r="D2001" s="8"/>
      <c r="E2001" s="8"/>
      <c r="F2001" t="str" s="15">
        <f aca="0">IF(B2001="","",IF(H2001="","확인필요(입력누락)",IF(SUMPRODUCT((실물목록!$P$2:$P$1001&lt;&gt;"")*ISNUMBER(SEARCH(실물목록!$P$2:$P$1001,I2001))*(실물목록!$Q$2:$Q$1001&lt;&gt;"")*ISNUMBER(SEARCH(실물목록!$Q$2:$Q$1001,I2001))*(실물목록!$R$2:$R$1001="")*(실물목록!$O$2:$O$1001&lt;&gt;"")*(실물목록!$O$2:$O$1001=H2001))&gt;0,"실물 있음",IF(SUMPRODUCT((실물목록!$P$2:$P$1001&lt;&gt;"")*ISNUMBER(SEARCH(실물목록!$P$2:$P$1001,I2001))*(실물목록!$R$2:$R$1001&lt;&gt;""))&gt;0,"확인필요(입력누락)",IF(SUMPRODUCT((실물목록!$P$2:$P$1001&lt;&gt;"")*ISNUMBER(SEARCH(실물목록!$P$2:$P$1001,I2001))*(실물목록!$Q$2:$Q$1001&lt;&gt;"")*ISNUMBER(SEARCH(실물목록!$Q$2:$Q$1001,I2001))*(실물목록!$R$2:$R$1001="")*(실물목록!$O$2:$O$1001&lt;&gt;""))&gt;0,"확인필요(연도다름)","실물 없음")))))</f>
      </c>
      <c r="G2001" t="n" s="16">
        <f aca="0">IF(B2001="","",SUMPRODUCT((실물목록!$P$2:$P$1001&lt;&gt;"")*ISNUMBER(SEARCH(실물목록!$P$2:$P$1001,I2001))*(실물목록!$Q$2:$Q$1001&lt;&gt;"")*ISNUMBER(SEARCH(실물목록!$Q$2:$Q$1001,I2001))*(실물목록!$R$2:$R$1001="")*(실물목록!$O$2:$O$1001&lt;&gt;"")*(실물목록!$O$2:$O$1001=H2001)))</f>
      </c>
      <c r="H2001" t="str">
        <f>IFERROR(IF(AND(LEN(SUBSTITUTE(SUBSTITUTE(SUBSTITUTE(TRIM(A2001&amp;""),CHAR(160),"")," ",""),"년",""))=4,VALUE(SUBSTITUTE(SUBSTITUTE(SUBSTITUTE(TRIM(A2001&amp;""),CHAR(160),"")," ",""),"년",""))&gt;=1900,VALUE(SUBSTITUTE(SUBSTITUTE(SUBSTITUTE(TRIM(A2001&amp;""),CHAR(160),"")," ",""),"년",""))&lt;=2099,TEXT(VALUE(SUBSTITUTE(SUBSTITUTE(SUBSTITUTE(TRIM(A2001&amp;""),CHAR(160),"")," ",""),"년","")),"0000")=SUBSTITUTE(SUBSTITUTE(SUBSTITUTE(TRIM(A2001&amp;""),CHAR(160),"")," ",""),"년","")),SUBSTITUTE(SUBSTITUTE(SUBSTITUTE(TRIM(A2001&amp;""),CHAR(160),"")," ",""),"년",""),""),"")</f>
      </c>
      <c r="I2001" t="str">
        <f>SUBSTITUTE(SUBSTITUTE(SUBSTITUTE(SUBSTITUTE(SUBSTITUTE(TRIM(B2001&amp;""),CHAR(160),"")," ",""),"초등학교","초"),"중학교","중"),"고등학교","고")</f>
      </c>
    </row>
    <row r="2002" customFormat="false" ht="15" hidden="false" customHeight="false" outlineLevel="0" collapsed="false">
      <c r="A2002" s="8"/>
      <c r="B2002" s="8"/>
      <c r="C2002" s="8"/>
      <c r="D2002" s="8"/>
      <c r="E2002" s="8"/>
      <c r="F2002" t="str" s="15">
        <f aca="0">IF(B2002="","",IF(H2002="","확인필요(입력누락)",IF(SUMPRODUCT((실물목록!$P$2:$P$1001&lt;&gt;"")*ISNUMBER(SEARCH(실물목록!$P$2:$P$1001,I2002))*(실물목록!$Q$2:$Q$1001&lt;&gt;"")*ISNUMBER(SEARCH(실물목록!$Q$2:$Q$1001,I2002))*(실물목록!$R$2:$R$1001="")*(실물목록!$O$2:$O$1001&lt;&gt;"")*(실물목록!$O$2:$O$1001=H2002))&gt;0,"실물 있음",IF(SUMPRODUCT((실물목록!$P$2:$P$1001&lt;&gt;"")*ISNUMBER(SEARCH(실물목록!$P$2:$P$1001,I2002))*(실물목록!$R$2:$R$1001&lt;&gt;""))&gt;0,"확인필요(입력누락)",IF(SUMPRODUCT((실물목록!$P$2:$P$1001&lt;&gt;"")*ISNUMBER(SEARCH(실물목록!$P$2:$P$1001,I2002))*(실물목록!$Q$2:$Q$1001&lt;&gt;"")*ISNUMBER(SEARCH(실물목록!$Q$2:$Q$1001,I2002))*(실물목록!$R$2:$R$1001="")*(실물목록!$O$2:$O$1001&lt;&gt;""))&gt;0,"확인필요(연도다름)","실물 없음")))))</f>
      </c>
      <c r="G2002" t="n" s="16">
        <f aca="0">IF(B2002="","",SUMPRODUCT((실물목록!$P$2:$P$1001&lt;&gt;"")*ISNUMBER(SEARCH(실물목록!$P$2:$P$1001,I2002))*(실물목록!$Q$2:$Q$1001&lt;&gt;"")*ISNUMBER(SEARCH(실물목록!$Q$2:$Q$1001,I2002))*(실물목록!$R$2:$R$1001="")*(실물목록!$O$2:$O$1001&lt;&gt;"")*(실물목록!$O$2:$O$1001=H2002)))</f>
      </c>
      <c r="H2002" t="str">
        <f>IFERROR(IF(AND(LEN(SUBSTITUTE(SUBSTITUTE(SUBSTITUTE(TRIM(A2002&amp;""),CHAR(160),"")," ",""),"년",""))=4,VALUE(SUBSTITUTE(SUBSTITUTE(SUBSTITUTE(TRIM(A2002&amp;""),CHAR(160),"")," ",""),"년",""))&gt;=1900,VALUE(SUBSTITUTE(SUBSTITUTE(SUBSTITUTE(TRIM(A2002&amp;""),CHAR(160),"")," ",""),"년",""))&lt;=2099,TEXT(VALUE(SUBSTITUTE(SUBSTITUTE(SUBSTITUTE(TRIM(A2002&amp;""),CHAR(160),"")," ",""),"년","")),"0000")=SUBSTITUTE(SUBSTITUTE(SUBSTITUTE(TRIM(A2002&amp;""),CHAR(160),"")," ",""),"년","")),SUBSTITUTE(SUBSTITUTE(SUBSTITUTE(TRIM(A2002&amp;""),CHAR(160),"")," ",""),"년",""),""),"")</f>
      </c>
      <c r="I2002" t="str">
        <f>SUBSTITUTE(SUBSTITUTE(SUBSTITUTE(SUBSTITUTE(SUBSTITUTE(TRIM(B2002&amp;""),CHAR(160),"")," ",""),"초등학교","초"),"중학교","중"),"고등학교","고")</f>
      </c>
    </row>
    <row r="2003" customFormat="false" ht="15" hidden="false" customHeight="false" outlineLevel="0" collapsed="false">
      <c r="A2003" s="8"/>
      <c r="B2003" s="8"/>
      <c r="C2003" s="8"/>
      <c r="D2003" s="8"/>
      <c r="E2003" s="8"/>
      <c r="F2003" t="str" s="15">
        <f aca="0">IF(B2003="","",IF(H2003="","확인필요(입력누락)",IF(SUMPRODUCT((실물목록!$P$2:$P$1001&lt;&gt;"")*ISNUMBER(SEARCH(실물목록!$P$2:$P$1001,I2003))*(실물목록!$Q$2:$Q$1001&lt;&gt;"")*ISNUMBER(SEARCH(실물목록!$Q$2:$Q$1001,I2003))*(실물목록!$R$2:$R$1001="")*(실물목록!$O$2:$O$1001&lt;&gt;"")*(실물목록!$O$2:$O$1001=H2003))&gt;0,"실물 있음",IF(SUMPRODUCT((실물목록!$P$2:$P$1001&lt;&gt;"")*ISNUMBER(SEARCH(실물목록!$P$2:$P$1001,I2003))*(실물목록!$R$2:$R$1001&lt;&gt;""))&gt;0,"확인필요(입력누락)",IF(SUMPRODUCT((실물목록!$P$2:$P$1001&lt;&gt;"")*ISNUMBER(SEARCH(실물목록!$P$2:$P$1001,I2003))*(실물목록!$Q$2:$Q$1001&lt;&gt;"")*ISNUMBER(SEARCH(실물목록!$Q$2:$Q$1001,I2003))*(실물목록!$R$2:$R$1001="")*(실물목록!$O$2:$O$1001&lt;&gt;""))&gt;0,"확인필요(연도다름)","실물 없음")))))</f>
      </c>
      <c r="G2003" t="n" s="16">
        <f aca="0">IF(B2003="","",SUMPRODUCT((실물목록!$P$2:$P$1001&lt;&gt;"")*ISNUMBER(SEARCH(실물목록!$P$2:$P$1001,I2003))*(실물목록!$Q$2:$Q$1001&lt;&gt;"")*ISNUMBER(SEARCH(실물목록!$Q$2:$Q$1001,I2003))*(실물목록!$R$2:$R$1001="")*(실물목록!$O$2:$O$1001&lt;&gt;"")*(실물목록!$O$2:$O$1001=H2003)))</f>
      </c>
      <c r="H2003" t="str">
        <f>IFERROR(IF(AND(LEN(SUBSTITUTE(SUBSTITUTE(SUBSTITUTE(TRIM(A2003&amp;""),CHAR(160),"")," ",""),"년",""))=4,VALUE(SUBSTITUTE(SUBSTITUTE(SUBSTITUTE(TRIM(A2003&amp;""),CHAR(160),"")," ",""),"년",""))&gt;=1900,VALUE(SUBSTITUTE(SUBSTITUTE(SUBSTITUTE(TRIM(A2003&amp;""),CHAR(160),"")," ",""),"년",""))&lt;=2099,TEXT(VALUE(SUBSTITUTE(SUBSTITUTE(SUBSTITUTE(TRIM(A2003&amp;""),CHAR(160),"")," ",""),"년","")),"0000")=SUBSTITUTE(SUBSTITUTE(SUBSTITUTE(TRIM(A2003&amp;""),CHAR(160),"")," ",""),"년","")),SUBSTITUTE(SUBSTITUTE(SUBSTITUTE(TRIM(A2003&amp;""),CHAR(160),"")," ",""),"년",""),""),"")</f>
      </c>
      <c r="I2003" t="str">
        <f>SUBSTITUTE(SUBSTITUTE(SUBSTITUTE(SUBSTITUTE(SUBSTITUTE(TRIM(B2003&amp;""),CHAR(160),"")," ",""),"초등학교","초"),"중학교","중"),"고등학교","고")</f>
      </c>
    </row>
    <row r="2004" customFormat="false" ht="15" hidden="false" customHeight="false" outlineLevel="0" collapsed="false">
      <c r="A2004" s="8"/>
      <c r="B2004" s="8"/>
      <c r="C2004" s="8"/>
      <c r="D2004" s="8"/>
      <c r="E2004" s="8"/>
      <c r="F2004" t="str" s="15">
        <f aca="0">IF(B2004="","",IF(H2004="","확인필요(입력누락)",IF(SUMPRODUCT((실물목록!$P$2:$P$1001&lt;&gt;"")*ISNUMBER(SEARCH(실물목록!$P$2:$P$1001,I2004))*(실물목록!$Q$2:$Q$1001&lt;&gt;"")*ISNUMBER(SEARCH(실물목록!$Q$2:$Q$1001,I2004))*(실물목록!$R$2:$R$1001="")*(실물목록!$O$2:$O$1001&lt;&gt;"")*(실물목록!$O$2:$O$1001=H2004))&gt;0,"실물 있음",IF(SUMPRODUCT((실물목록!$P$2:$P$1001&lt;&gt;"")*ISNUMBER(SEARCH(실물목록!$P$2:$P$1001,I2004))*(실물목록!$R$2:$R$1001&lt;&gt;""))&gt;0,"확인필요(입력누락)",IF(SUMPRODUCT((실물목록!$P$2:$P$1001&lt;&gt;"")*ISNUMBER(SEARCH(실물목록!$P$2:$P$1001,I2004))*(실물목록!$Q$2:$Q$1001&lt;&gt;"")*ISNUMBER(SEARCH(실물목록!$Q$2:$Q$1001,I2004))*(실물목록!$R$2:$R$1001="")*(실물목록!$O$2:$O$1001&lt;&gt;""))&gt;0,"확인필요(연도다름)","실물 없음")))))</f>
      </c>
      <c r="G2004" t="n" s="16">
        <f aca="0">IF(B2004="","",SUMPRODUCT((실물목록!$P$2:$P$1001&lt;&gt;"")*ISNUMBER(SEARCH(실물목록!$P$2:$P$1001,I2004))*(실물목록!$Q$2:$Q$1001&lt;&gt;"")*ISNUMBER(SEARCH(실물목록!$Q$2:$Q$1001,I2004))*(실물목록!$R$2:$R$1001="")*(실물목록!$O$2:$O$1001&lt;&gt;"")*(실물목록!$O$2:$O$1001=H2004)))</f>
      </c>
      <c r="H2004" t="str">
        <f>IFERROR(IF(AND(LEN(SUBSTITUTE(SUBSTITUTE(SUBSTITUTE(TRIM(A2004&amp;""),CHAR(160),"")," ",""),"년",""))=4,VALUE(SUBSTITUTE(SUBSTITUTE(SUBSTITUTE(TRIM(A2004&amp;""),CHAR(160),"")," ",""),"년",""))&gt;=1900,VALUE(SUBSTITUTE(SUBSTITUTE(SUBSTITUTE(TRIM(A2004&amp;""),CHAR(160),"")," ",""),"년",""))&lt;=2099,TEXT(VALUE(SUBSTITUTE(SUBSTITUTE(SUBSTITUTE(TRIM(A2004&amp;""),CHAR(160),"")," ",""),"년","")),"0000")=SUBSTITUTE(SUBSTITUTE(SUBSTITUTE(TRIM(A2004&amp;""),CHAR(160),"")," ",""),"년","")),SUBSTITUTE(SUBSTITUTE(SUBSTITUTE(TRIM(A2004&amp;""),CHAR(160),"")," ",""),"년",""),""),"")</f>
      </c>
      <c r="I2004" t="str">
        <f>SUBSTITUTE(SUBSTITUTE(SUBSTITUTE(SUBSTITUTE(SUBSTITUTE(TRIM(B2004&amp;""),CHAR(160),"")," ",""),"초등학교","초"),"중학교","중"),"고등학교","고")</f>
      </c>
    </row>
    <row r="2005" customFormat="false" ht="15" hidden="false" customHeight="false" outlineLevel="0" collapsed="false">
      <c r="A2005" s="8"/>
      <c r="B2005" s="8"/>
      <c r="C2005" s="8"/>
      <c r="D2005" s="8"/>
      <c r="E2005" s="8"/>
      <c r="F2005" t="str" s="15">
        <f aca="0">IF(B2005="","",IF(H2005="","확인필요(입력누락)",IF(SUMPRODUCT((실물목록!$P$2:$P$1001&lt;&gt;"")*ISNUMBER(SEARCH(실물목록!$P$2:$P$1001,I2005))*(실물목록!$Q$2:$Q$1001&lt;&gt;"")*ISNUMBER(SEARCH(실물목록!$Q$2:$Q$1001,I2005))*(실물목록!$R$2:$R$1001="")*(실물목록!$O$2:$O$1001&lt;&gt;"")*(실물목록!$O$2:$O$1001=H2005))&gt;0,"실물 있음",IF(SUMPRODUCT((실물목록!$P$2:$P$1001&lt;&gt;"")*ISNUMBER(SEARCH(실물목록!$P$2:$P$1001,I2005))*(실물목록!$R$2:$R$1001&lt;&gt;""))&gt;0,"확인필요(입력누락)",IF(SUMPRODUCT((실물목록!$P$2:$P$1001&lt;&gt;"")*ISNUMBER(SEARCH(실물목록!$P$2:$P$1001,I2005))*(실물목록!$Q$2:$Q$1001&lt;&gt;"")*ISNUMBER(SEARCH(실물목록!$Q$2:$Q$1001,I2005))*(실물목록!$R$2:$R$1001="")*(실물목록!$O$2:$O$1001&lt;&gt;""))&gt;0,"확인필요(연도다름)","실물 없음")))))</f>
      </c>
      <c r="G2005" t="n" s="16">
        <f aca="0">IF(B2005="","",SUMPRODUCT((실물목록!$P$2:$P$1001&lt;&gt;"")*ISNUMBER(SEARCH(실물목록!$P$2:$P$1001,I2005))*(실물목록!$Q$2:$Q$1001&lt;&gt;"")*ISNUMBER(SEARCH(실물목록!$Q$2:$Q$1001,I2005))*(실물목록!$R$2:$R$1001="")*(실물목록!$O$2:$O$1001&lt;&gt;"")*(실물목록!$O$2:$O$1001=H2005)))</f>
      </c>
      <c r="H2005" t="str">
        <f>IFERROR(IF(AND(LEN(SUBSTITUTE(SUBSTITUTE(SUBSTITUTE(TRIM(A2005&amp;""),CHAR(160),"")," ",""),"년",""))=4,VALUE(SUBSTITUTE(SUBSTITUTE(SUBSTITUTE(TRIM(A2005&amp;""),CHAR(160),"")," ",""),"년",""))&gt;=1900,VALUE(SUBSTITUTE(SUBSTITUTE(SUBSTITUTE(TRIM(A2005&amp;""),CHAR(160),"")," ",""),"년",""))&lt;=2099,TEXT(VALUE(SUBSTITUTE(SUBSTITUTE(SUBSTITUTE(TRIM(A2005&amp;""),CHAR(160),"")," ",""),"년","")),"0000")=SUBSTITUTE(SUBSTITUTE(SUBSTITUTE(TRIM(A2005&amp;""),CHAR(160),"")," ",""),"년","")),SUBSTITUTE(SUBSTITUTE(SUBSTITUTE(TRIM(A2005&amp;""),CHAR(160),"")," ",""),"년",""),""),"")</f>
      </c>
      <c r="I2005" t="str">
        <f>SUBSTITUTE(SUBSTITUTE(SUBSTITUTE(SUBSTITUTE(SUBSTITUTE(TRIM(B2005&amp;""),CHAR(160),"")," ",""),"초등학교","초"),"중학교","중"),"고등학교","고")</f>
      </c>
    </row>
    <row r="2006" customFormat="false" ht="15" hidden="false" customHeight="false" outlineLevel="0" collapsed="false">
      <c r="A2006" s="8"/>
      <c r="B2006" s="8"/>
      <c r="C2006" s="8"/>
      <c r="D2006" s="8"/>
      <c r="E2006" s="8"/>
      <c r="F2006" t="str" s="15">
        <f aca="0">IF(B2006="","",IF(H2006="","확인필요(입력누락)",IF(SUMPRODUCT((실물목록!$P$2:$P$1001&lt;&gt;"")*ISNUMBER(SEARCH(실물목록!$P$2:$P$1001,I2006))*(실물목록!$Q$2:$Q$1001&lt;&gt;"")*ISNUMBER(SEARCH(실물목록!$Q$2:$Q$1001,I2006))*(실물목록!$R$2:$R$1001="")*(실물목록!$O$2:$O$1001&lt;&gt;"")*(실물목록!$O$2:$O$1001=H2006))&gt;0,"실물 있음",IF(SUMPRODUCT((실물목록!$P$2:$P$1001&lt;&gt;"")*ISNUMBER(SEARCH(실물목록!$P$2:$P$1001,I2006))*(실물목록!$R$2:$R$1001&lt;&gt;""))&gt;0,"확인필요(입력누락)",IF(SUMPRODUCT((실물목록!$P$2:$P$1001&lt;&gt;"")*ISNUMBER(SEARCH(실물목록!$P$2:$P$1001,I2006))*(실물목록!$Q$2:$Q$1001&lt;&gt;"")*ISNUMBER(SEARCH(실물목록!$Q$2:$Q$1001,I2006))*(실물목록!$R$2:$R$1001="")*(실물목록!$O$2:$O$1001&lt;&gt;""))&gt;0,"확인필요(연도다름)","실물 없음")))))</f>
      </c>
      <c r="G2006" t="n" s="16">
        <f aca="0">IF(B2006="","",SUMPRODUCT((실물목록!$P$2:$P$1001&lt;&gt;"")*ISNUMBER(SEARCH(실물목록!$P$2:$P$1001,I2006))*(실물목록!$Q$2:$Q$1001&lt;&gt;"")*ISNUMBER(SEARCH(실물목록!$Q$2:$Q$1001,I2006))*(실물목록!$R$2:$R$1001="")*(실물목록!$O$2:$O$1001&lt;&gt;"")*(실물목록!$O$2:$O$1001=H2006)))</f>
      </c>
      <c r="H2006" t="str">
        <f>IFERROR(IF(AND(LEN(SUBSTITUTE(SUBSTITUTE(SUBSTITUTE(TRIM(A2006&amp;""),CHAR(160),"")," ",""),"년",""))=4,VALUE(SUBSTITUTE(SUBSTITUTE(SUBSTITUTE(TRIM(A2006&amp;""),CHAR(160),"")," ",""),"년",""))&gt;=1900,VALUE(SUBSTITUTE(SUBSTITUTE(SUBSTITUTE(TRIM(A2006&amp;""),CHAR(160),"")," ",""),"년",""))&lt;=2099,TEXT(VALUE(SUBSTITUTE(SUBSTITUTE(SUBSTITUTE(TRIM(A2006&amp;""),CHAR(160),"")," ",""),"년","")),"0000")=SUBSTITUTE(SUBSTITUTE(SUBSTITUTE(TRIM(A2006&amp;""),CHAR(160),"")," ",""),"년","")),SUBSTITUTE(SUBSTITUTE(SUBSTITUTE(TRIM(A2006&amp;""),CHAR(160),"")," ",""),"년",""),""),"")</f>
      </c>
      <c r="I2006" t="str">
        <f>SUBSTITUTE(SUBSTITUTE(SUBSTITUTE(SUBSTITUTE(SUBSTITUTE(TRIM(B2006&amp;""),CHAR(160),"")," ",""),"초등학교","초"),"중학교","중"),"고등학교","고")</f>
      </c>
    </row>
    <row r="2007" customFormat="false" ht="15" hidden="false" customHeight="false" outlineLevel="0" collapsed="false">
      <c r="A2007" s="8"/>
      <c r="B2007" s="8"/>
      <c r="C2007" s="8"/>
      <c r="D2007" s="8"/>
      <c r="E2007" s="8"/>
      <c r="F2007" t="str" s="15">
        <f aca="0">IF(B2007="","",IF(H2007="","확인필요(입력누락)",IF(SUMPRODUCT((실물목록!$P$2:$P$1001&lt;&gt;"")*ISNUMBER(SEARCH(실물목록!$P$2:$P$1001,I2007))*(실물목록!$Q$2:$Q$1001&lt;&gt;"")*ISNUMBER(SEARCH(실물목록!$Q$2:$Q$1001,I2007))*(실물목록!$R$2:$R$1001="")*(실물목록!$O$2:$O$1001&lt;&gt;"")*(실물목록!$O$2:$O$1001=H2007))&gt;0,"실물 있음",IF(SUMPRODUCT((실물목록!$P$2:$P$1001&lt;&gt;"")*ISNUMBER(SEARCH(실물목록!$P$2:$P$1001,I2007))*(실물목록!$R$2:$R$1001&lt;&gt;""))&gt;0,"확인필요(입력누락)",IF(SUMPRODUCT((실물목록!$P$2:$P$1001&lt;&gt;"")*ISNUMBER(SEARCH(실물목록!$P$2:$P$1001,I2007))*(실물목록!$Q$2:$Q$1001&lt;&gt;"")*ISNUMBER(SEARCH(실물목록!$Q$2:$Q$1001,I2007))*(실물목록!$R$2:$R$1001="")*(실물목록!$O$2:$O$1001&lt;&gt;""))&gt;0,"확인필요(연도다름)","실물 없음")))))</f>
      </c>
      <c r="G2007" t="n" s="16">
        <f aca="0">IF(B2007="","",SUMPRODUCT((실물목록!$P$2:$P$1001&lt;&gt;"")*ISNUMBER(SEARCH(실물목록!$P$2:$P$1001,I2007))*(실물목록!$Q$2:$Q$1001&lt;&gt;"")*ISNUMBER(SEARCH(실물목록!$Q$2:$Q$1001,I2007))*(실물목록!$R$2:$R$1001="")*(실물목록!$O$2:$O$1001&lt;&gt;"")*(실물목록!$O$2:$O$1001=H2007)))</f>
      </c>
      <c r="H2007" t="str">
        <f>IFERROR(IF(AND(LEN(SUBSTITUTE(SUBSTITUTE(SUBSTITUTE(TRIM(A2007&amp;""),CHAR(160),"")," ",""),"년",""))=4,VALUE(SUBSTITUTE(SUBSTITUTE(SUBSTITUTE(TRIM(A2007&amp;""),CHAR(160),"")," ",""),"년",""))&gt;=1900,VALUE(SUBSTITUTE(SUBSTITUTE(SUBSTITUTE(TRIM(A2007&amp;""),CHAR(160),"")," ",""),"년",""))&lt;=2099,TEXT(VALUE(SUBSTITUTE(SUBSTITUTE(SUBSTITUTE(TRIM(A2007&amp;""),CHAR(160),"")," ",""),"년","")),"0000")=SUBSTITUTE(SUBSTITUTE(SUBSTITUTE(TRIM(A2007&amp;""),CHAR(160),"")," ",""),"년","")),SUBSTITUTE(SUBSTITUTE(SUBSTITUTE(TRIM(A2007&amp;""),CHAR(160),"")," ",""),"년",""),""),"")</f>
      </c>
      <c r="I2007" t="str">
        <f>SUBSTITUTE(SUBSTITUTE(SUBSTITUTE(SUBSTITUTE(SUBSTITUTE(TRIM(B2007&amp;""),CHAR(160),"")," ",""),"초등학교","초"),"중학교","중"),"고등학교","고")</f>
      </c>
    </row>
    <row r="2008" customFormat="false" ht="15" hidden="false" customHeight="false" outlineLevel="0" collapsed="false">
      <c r="A2008" s="8"/>
      <c r="B2008" s="8"/>
      <c r="C2008" s="8"/>
      <c r="D2008" s="8"/>
      <c r="E2008" s="8"/>
      <c r="F2008" t="str" s="15">
        <f aca="0">IF(B2008="","",IF(H2008="","확인필요(입력누락)",IF(SUMPRODUCT((실물목록!$P$2:$P$1001&lt;&gt;"")*ISNUMBER(SEARCH(실물목록!$P$2:$P$1001,I2008))*(실물목록!$Q$2:$Q$1001&lt;&gt;"")*ISNUMBER(SEARCH(실물목록!$Q$2:$Q$1001,I2008))*(실물목록!$R$2:$R$1001="")*(실물목록!$O$2:$O$1001&lt;&gt;"")*(실물목록!$O$2:$O$1001=H2008))&gt;0,"실물 있음",IF(SUMPRODUCT((실물목록!$P$2:$P$1001&lt;&gt;"")*ISNUMBER(SEARCH(실물목록!$P$2:$P$1001,I2008))*(실물목록!$R$2:$R$1001&lt;&gt;""))&gt;0,"확인필요(입력누락)",IF(SUMPRODUCT((실물목록!$P$2:$P$1001&lt;&gt;"")*ISNUMBER(SEARCH(실물목록!$P$2:$P$1001,I2008))*(실물목록!$Q$2:$Q$1001&lt;&gt;"")*ISNUMBER(SEARCH(실물목록!$Q$2:$Q$1001,I2008))*(실물목록!$R$2:$R$1001="")*(실물목록!$O$2:$O$1001&lt;&gt;""))&gt;0,"확인필요(연도다름)","실물 없음")))))</f>
      </c>
      <c r="G2008" t="n" s="16">
        <f aca="0">IF(B2008="","",SUMPRODUCT((실물목록!$P$2:$P$1001&lt;&gt;"")*ISNUMBER(SEARCH(실물목록!$P$2:$P$1001,I2008))*(실물목록!$Q$2:$Q$1001&lt;&gt;"")*ISNUMBER(SEARCH(실물목록!$Q$2:$Q$1001,I2008))*(실물목록!$R$2:$R$1001="")*(실물목록!$O$2:$O$1001&lt;&gt;"")*(실물목록!$O$2:$O$1001=H2008)))</f>
      </c>
      <c r="H2008" t="str">
        <f>IFERROR(IF(AND(LEN(SUBSTITUTE(SUBSTITUTE(SUBSTITUTE(TRIM(A2008&amp;""),CHAR(160),"")," ",""),"년",""))=4,VALUE(SUBSTITUTE(SUBSTITUTE(SUBSTITUTE(TRIM(A2008&amp;""),CHAR(160),"")," ",""),"년",""))&gt;=1900,VALUE(SUBSTITUTE(SUBSTITUTE(SUBSTITUTE(TRIM(A2008&amp;""),CHAR(160),"")," ",""),"년",""))&lt;=2099,TEXT(VALUE(SUBSTITUTE(SUBSTITUTE(SUBSTITUTE(TRIM(A2008&amp;""),CHAR(160),"")," ",""),"년","")),"0000")=SUBSTITUTE(SUBSTITUTE(SUBSTITUTE(TRIM(A2008&amp;""),CHAR(160),"")," ",""),"년","")),SUBSTITUTE(SUBSTITUTE(SUBSTITUTE(TRIM(A2008&amp;""),CHAR(160),"")," ",""),"년",""),""),"")</f>
      </c>
      <c r="I2008" t="str">
        <f>SUBSTITUTE(SUBSTITUTE(SUBSTITUTE(SUBSTITUTE(SUBSTITUTE(TRIM(B2008&amp;""),CHAR(160),"")," ",""),"초등학교","초"),"중학교","중"),"고등학교","고")</f>
      </c>
    </row>
    <row r="2009" customFormat="false" ht="15" hidden="false" customHeight="false" outlineLevel="0" collapsed="false">
      <c r="A2009" s="8"/>
      <c r="B2009" s="8"/>
      <c r="C2009" s="8"/>
      <c r="D2009" s="8"/>
      <c r="E2009" s="8"/>
      <c r="F2009" t="str" s="15">
        <f aca="0">IF(B2009="","",IF(H2009="","확인필요(입력누락)",IF(SUMPRODUCT((실물목록!$P$2:$P$1001&lt;&gt;"")*ISNUMBER(SEARCH(실물목록!$P$2:$P$1001,I2009))*(실물목록!$Q$2:$Q$1001&lt;&gt;"")*ISNUMBER(SEARCH(실물목록!$Q$2:$Q$1001,I2009))*(실물목록!$R$2:$R$1001="")*(실물목록!$O$2:$O$1001&lt;&gt;"")*(실물목록!$O$2:$O$1001=H2009))&gt;0,"실물 있음",IF(SUMPRODUCT((실물목록!$P$2:$P$1001&lt;&gt;"")*ISNUMBER(SEARCH(실물목록!$P$2:$P$1001,I2009))*(실물목록!$R$2:$R$1001&lt;&gt;""))&gt;0,"확인필요(입력누락)",IF(SUMPRODUCT((실물목록!$P$2:$P$1001&lt;&gt;"")*ISNUMBER(SEARCH(실물목록!$P$2:$P$1001,I2009))*(실물목록!$Q$2:$Q$1001&lt;&gt;"")*ISNUMBER(SEARCH(실물목록!$Q$2:$Q$1001,I2009))*(실물목록!$R$2:$R$1001="")*(실물목록!$O$2:$O$1001&lt;&gt;""))&gt;0,"확인필요(연도다름)","실물 없음")))))</f>
      </c>
      <c r="G2009" t="n" s="16">
        <f aca="0">IF(B2009="","",SUMPRODUCT((실물목록!$P$2:$P$1001&lt;&gt;"")*ISNUMBER(SEARCH(실물목록!$P$2:$P$1001,I2009))*(실물목록!$Q$2:$Q$1001&lt;&gt;"")*ISNUMBER(SEARCH(실물목록!$Q$2:$Q$1001,I2009))*(실물목록!$R$2:$R$1001="")*(실물목록!$O$2:$O$1001&lt;&gt;"")*(실물목록!$O$2:$O$1001=H2009)))</f>
      </c>
      <c r="H2009" t="str">
        <f>IFERROR(IF(AND(LEN(SUBSTITUTE(SUBSTITUTE(SUBSTITUTE(TRIM(A2009&amp;""),CHAR(160),"")," ",""),"년",""))=4,VALUE(SUBSTITUTE(SUBSTITUTE(SUBSTITUTE(TRIM(A2009&amp;""),CHAR(160),"")," ",""),"년",""))&gt;=1900,VALUE(SUBSTITUTE(SUBSTITUTE(SUBSTITUTE(TRIM(A2009&amp;""),CHAR(160),"")," ",""),"년",""))&lt;=2099,TEXT(VALUE(SUBSTITUTE(SUBSTITUTE(SUBSTITUTE(TRIM(A2009&amp;""),CHAR(160),"")," ",""),"년","")),"0000")=SUBSTITUTE(SUBSTITUTE(SUBSTITUTE(TRIM(A2009&amp;""),CHAR(160),"")," ",""),"년","")),SUBSTITUTE(SUBSTITUTE(SUBSTITUTE(TRIM(A2009&amp;""),CHAR(160),"")," ",""),"년",""),""),"")</f>
      </c>
      <c r="I2009" t="str">
        <f>SUBSTITUTE(SUBSTITUTE(SUBSTITUTE(SUBSTITUTE(SUBSTITUTE(TRIM(B2009&amp;""),CHAR(160),"")," ",""),"초등학교","초"),"중학교","중"),"고등학교","고")</f>
      </c>
    </row>
    <row r="2010" customFormat="false" ht="15" hidden="false" customHeight="false" outlineLevel="0" collapsed="false">
      <c r="A2010" s="8"/>
      <c r="B2010" s="8"/>
      <c r="C2010" s="8"/>
      <c r="D2010" s="8"/>
      <c r="E2010" s="8"/>
      <c r="F2010" t="str" s="15">
        <f aca="0">IF(B2010="","",IF(H2010="","확인필요(입력누락)",IF(SUMPRODUCT((실물목록!$P$2:$P$1001&lt;&gt;"")*ISNUMBER(SEARCH(실물목록!$P$2:$P$1001,I2010))*(실물목록!$Q$2:$Q$1001&lt;&gt;"")*ISNUMBER(SEARCH(실물목록!$Q$2:$Q$1001,I2010))*(실물목록!$R$2:$R$1001="")*(실물목록!$O$2:$O$1001&lt;&gt;"")*(실물목록!$O$2:$O$1001=H2010))&gt;0,"실물 있음",IF(SUMPRODUCT((실물목록!$P$2:$P$1001&lt;&gt;"")*ISNUMBER(SEARCH(실물목록!$P$2:$P$1001,I2010))*(실물목록!$R$2:$R$1001&lt;&gt;""))&gt;0,"확인필요(입력누락)",IF(SUMPRODUCT((실물목록!$P$2:$P$1001&lt;&gt;"")*ISNUMBER(SEARCH(실물목록!$P$2:$P$1001,I2010))*(실물목록!$Q$2:$Q$1001&lt;&gt;"")*ISNUMBER(SEARCH(실물목록!$Q$2:$Q$1001,I2010))*(실물목록!$R$2:$R$1001="")*(실물목록!$O$2:$O$1001&lt;&gt;""))&gt;0,"확인필요(연도다름)","실물 없음")))))</f>
      </c>
      <c r="G2010" t="n" s="16">
        <f aca="0">IF(B2010="","",SUMPRODUCT((실물목록!$P$2:$P$1001&lt;&gt;"")*ISNUMBER(SEARCH(실물목록!$P$2:$P$1001,I2010))*(실물목록!$Q$2:$Q$1001&lt;&gt;"")*ISNUMBER(SEARCH(실물목록!$Q$2:$Q$1001,I2010))*(실물목록!$R$2:$R$1001="")*(실물목록!$O$2:$O$1001&lt;&gt;"")*(실물목록!$O$2:$O$1001=H2010)))</f>
      </c>
      <c r="H2010" t="str">
        <f>IFERROR(IF(AND(LEN(SUBSTITUTE(SUBSTITUTE(SUBSTITUTE(TRIM(A2010&amp;""),CHAR(160),"")," ",""),"년",""))=4,VALUE(SUBSTITUTE(SUBSTITUTE(SUBSTITUTE(TRIM(A2010&amp;""),CHAR(160),"")," ",""),"년",""))&gt;=1900,VALUE(SUBSTITUTE(SUBSTITUTE(SUBSTITUTE(TRIM(A2010&amp;""),CHAR(160),"")," ",""),"년",""))&lt;=2099,TEXT(VALUE(SUBSTITUTE(SUBSTITUTE(SUBSTITUTE(TRIM(A2010&amp;""),CHAR(160),"")," ",""),"년","")),"0000")=SUBSTITUTE(SUBSTITUTE(SUBSTITUTE(TRIM(A2010&amp;""),CHAR(160),"")," ",""),"년","")),SUBSTITUTE(SUBSTITUTE(SUBSTITUTE(TRIM(A2010&amp;""),CHAR(160),"")," ",""),"년",""),""),"")</f>
      </c>
      <c r="I2010" t="str">
        <f>SUBSTITUTE(SUBSTITUTE(SUBSTITUTE(SUBSTITUTE(SUBSTITUTE(TRIM(B2010&amp;""),CHAR(160),"")," ",""),"초등학교","초"),"중학교","중"),"고등학교","고")</f>
      </c>
    </row>
    <row r="2011" customFormat="false" ht="15" hidden="false" customHeight="false" outlineLevel="0" collapsed="false">
      <c r="A2011" s="8"/>
      <c r="B2011" s="8"/>
      <c r="C2011" s="8"/>
      <c r="D2011" s="8"/>
      <c r="E2011" s="8"/>
      <c r="F2011" t="str" s="15">
        <f aca="0">IF(B2011="","",IF(H2011="","확인필요(입력누락)",IF(SUMPRODUCT((실물목록!$P$2:$P$1001&lt;&gt;"")*ISNUMBER(SEARCH(실물목록!$P$2:$P$1001,I2011))*(실물목록!$Q$2:$Q$1001&lt;&gt;"")*ISNUMBER(SEARCH(실물목록!$Q$2:$Q$1001,I2011))*(실물목록!$R$2:$R$1001="")*(실물목록!$O$2:$O$1001&lt;&gt;"")*(실물목록!$O$2:$O$1001=H2011))&gt;0,"실물 있음",IF(SUMPRODUCT((실물목록!$P$2:$P$1001&lt;&gt;"")*ISNUMBER(SEARCH(실물목록!$P$2:$P$1001,I2011))*(실물목록!$R$2:$R$1001&lt;&gt;""))&gt;0,"확인필요(입력누락)",IF(SUMPRODUCT((실물목록!$P$2:$P$1001&lt;&gt;"")*ISNUMBER(SEARCH(실물목록!$P$2:$P$1001,I2011))*(실물목록!$Q$2:$Q$1001&lt;&gt;"")*ISNUMBER(SEARCH(실물목록!$Q$2:$Q$1001,I2011))*(실물목록!$R$2:$R$1001="")*(실물목록!$O$2:$O$1001&lt;&gt;""))&gt;0,"확인필요(연도다름)","실물 없음")))))</f>
      </c>
      <c r="G2011" t="n" s="16">
        <f aca="0">IF(B2011="","",SUMPRODUCT((실물목록!$P$2:$P$1001&lt;&gt;"")*ISNUMBER(SEARCH(실물목록!$P$2:$P$1001,I2011))*(실물목록!$Q$2:$Q$1001&lt;&gt;"")*ISNUMBER(SEARCH(실물목록!$Q$2:$Q$1001,I2011))*(실물목록!$R$2:$R$1001="")*(실물목록!$O$2:$O$1001&lt;&gt;"")*(실물목록!$O$2:$O$1001=H2011)))</f>
      </c>
      <c r="H2011" t="str">
        <f>IFERROR(IF(AND(LEN(SUBSTITUTE(SUBSTITUTE(SUBSTITUTE(TRIM(A2011&amp;""),CHAR(160),"")," ",""),"년",""))=4,VALUE(SUBSTITUTE(SUBSTITUTE(SUBSTITUTE(TRIM(A2011&amp;""),CHAR(160),"")," ",""),"년",""))&gt;=1900,VALUE(SUBSTITUTE(SUBSTITUTE(SUBSTITUTE(TRIM(A2011&amp;""),CHAR(160),"")," ",""),"년",""))&lt;=2099,TEXT(VALUE(SUBSTITUTE(SUBSTITUTE(SUBSTITUTE(TRIM(A2011&amp;""),CHAR(160),"")," ",""),"년","")),"0000")=SUBSTITUTE(SUBSTITUTE(SUBSTITUTE(TRIM(A2011&amp;""),CHAR(160),"")," ",""),"년","")),SUBSTITUTE(SUBSTITUTE(SUBSTITUTE(TRIM(A2011&amp;""),CHAR(160),"")," ",""),"년",""),""),"")</f>
      </c>
      <c r="I2011" t="str">
        <f>SUBSTITUTE(SUBSTITUTE(SUBSTITUTE(SUBSTITUTE(SUBSTITUTE(TRIM(B2011&amp;""),CHAR(160),"")," ",""),"초등학교","초"),"중학교","중"),"고등학교","고")</f>
      </c>
    </row>
    <row r="2012" customFormat="false" ht="15" hidden="false" customHeight="false" outlineLevel="0" collapsed="false">
      <c r="A2012" s="8"/>
      <c r="B2012" s="8"/>
      <c r="C2012" s="8"/>
      <c r="D2012" s="8"/>
      <c r="E2012" s="8"/>
      <c r="F2012" t="str" s="15">
        <f aca="0">IF(B2012="","",IF(H2012="","확인필요(입력누락)",IF(SUMPRODUCT((실물목록!$P$2:$P$1001&lt;&gt;"")*ISNUMBER(SEARCH(실물목록!$P$2:$P$1001,I2012))*(실물목록!$Q$2:$Q$1001&lt;&gt;"")*ISNUMBER(SEARCH(실물목록!$Q$2:$Q$1001,I2012))*(실물목록!$R$2:$R$1001="")*(실물목록!$O$2:$O$1001&lt;&gt;"")*(실물목록!$O$2:$O$1001=H2012))&gt;0,"실물 있음",IF(SUMPRODUCT((실물목록!$P$2:$P$1001&lt;&gt;"")*ISNUMBER(SEARCH(실물목록!$P$2:$P$1001,I2012))*(실물목록!$R$2:$R$1001&lt;&gt;""))&gt;0,"확인필요(입력누락)",IF(SUMPRODUCT((실물목록!$P$2:$P$1001&lt;&gt;"")*ISNUMBER(SEARCH(실물목록!$P$2:$P$1001,I2012))*(실물목록!$Q$2:$Q$1001&lt;&gt;"")*ISNUMBER(SEARCH(실물목록!$Q$2:$Q$1001,I2012))*(실물목록!$R$2:$R$1001="")*(실물목록!$O$2:$O$1001&lt;&gt;""))&gt;0,"확인필요(연도다름)","실물 없음")))))</f>
      </c>
      <c r="G2012" t="n" s="16">
        <f aca="0">IF(B2012="","",SUMPRODUCT((실물목록!$P$2:$P$1001&lt;&gt;"")*ISNUMBER(SEARCH(실물목록!$P$2:$P$1001,I2012))*(실물목록!$Q$2:$Q$1001&lt;&gt;"")*ISNUMBER(SEARCH(실물목록!$Q$2:$Q$1001,I2012))*(실물목록!$R$2:$R$1001="")*(실물목록!$O$2:$O$1001&lt;&gt;"")*(실물목록!$O$2:$O$1001=H2012)))</f>
      </c>
      <c r="H2012" t="str">
        <f>IFERROR(IF(AND(LEN(SUBSTITUTE(SUBSTITUTE(SUBSTITUTE(TRIM(A2012&amp;""),CHAR(160),"")," ",""),"년",""))=4,VALUE(SUBSTITUTE(SUBSTITUTE(SUBSTITUTE(TRIM(A2012&amp;""),CHAR(160),"")," ",""),"년",""))&gt;=1900,VALUE(SUBSTITUTE(SUBSTITUTE(SUBSTITUTE(TRIM(A2012&amp;""),CHAR(160),"")," ",""),"년",""))&lt;=2099,TEXT(VALUE(SUBSTITUTE(SUBSTITUTE(SUBSTITUTE(TRIM(A2012&amp;""),CHAR(160),"")," ",""),"년","")),"0000")=SUBSTITUTE(SUBSTITUTE(SUBSTITUTE(TRIM(A2012&amp;""),CHAR(160),"")," ",""),"년","")),SUBSTITUTE(SUBSTITUTE(SUBSTITUTE(TRIM(A2012&amp;""),CHAR(160),"")," ",""),"년",""),""),"")</f>
      </c>
      <c r="I2012" t="str">
        <f>SUBSTITUTE(SUBSTITUTE(SUBSTITUTE(SUBSTITUTE(SUBSTITUTE(TRIM(B2012&amp;""),CHAR(160),"")," ",""),"초등학교","초"),"중학교","중"),"고등학교","고")</f>
      </c>
    </row>
    <row r="2013" customFormat="false" ht="15" hidden="false" customHeight="false" outlineLevel="0" collapsed="false">
      <c r="A2013" s="8"/>
      <c r="B2013" s="8"/>
      <c r="C2013" s="8"/>
      <c r="D2013" s="8"/>
      <c r="E2013" s="8"/>
      <c r="F2013" t="str" s="15">
        <f aca="0">IF(B2013="","",IF(H2013="","확인필요(입력누락)",IF(SUMPRODUCT((실물목록!$P$2:$P$1001&lt;&gt;"")*ISNUMBER(SEARCH(실물목록!$P$2:$P$1001,I2013))*(실물목록!$Q$2:$Q$1001&lt;&gt;"")*ISNUMBER(SEARCH(실물목록!$Q$2:$Q$1001,I2013))*(실물목록!$R$2:$R$1001="")*(실물목록!$O$2:$O$1001&lt;&gt;"")*(실물목록!$O$2:$O$1001=H2013))&gt;0,"실물 있음",IF(SUMPRODUCT((실물목록!$P$2:$P$1001&lt;&gt;"")*ISNUMBER(SEARCH(실물목록!$P$2:$P$1001,I2013))*(실물목록!$R$2:$R$1001&lt;&gt;""))&gt;0,"확인필요(입력누락)",IF(SUMPRODUCT((실물목록!$P$2:$P$1001&lt;&gt;"")*ISNUMBER(SEARCH(실물목록!$P$2:$P$1001,I2013))*(실물목록!$Q$2:$Q$1001&lt;&gt;"")*ISNUMBER(SEARCH(실물목록!$Q$2:$Q$1001,I2013))*(실물목록!$R$2:$R$1001="")*(실물목록!$O$2:$O$1001&lt;&gt;""))&gt;0,"확인필요(연도다름)","실물 없음")))))</f>
      </c>
      <c r="G2013" t="n" s="16">
        <f aca="0">IF(B2013="","",SUMPRODUCT((실물목록!$P$2:$P$1001&lt;&gt;"")*ISNUMBER(SEARCH(실물목록!$P$2:$P$1001,I2013))*(실물목록!$Q$2:$Q$1001&lt;&gt;"")*ISNUMBER(SEARCH(실물목록!$Q$2:$Q$1001,I2013))*(실물목록!$R$2:$R$1001="")*(실물목록!$O$2:$O$1001&lt;&gt;"")*(실물목록!$O$2:$O$1001=H2013)))</f>
      </c>
      <c r="H2013" t="str">
        <f>IFERROR(IF(AND(LEN(SUBSTITUTE(SUBSTITUTE(SUBSTITUTE(TRIM(A2013&amp;""),CHAR(160),"")," ",""),"년",""))=4,VALUE(SUBSTITUTE(SUBSTITUTE(SUBSTITUTE(TRIM(A2013&amp;""),CHAR(160),"")," ",""),"년",""))&gt;=1900,VALUE(SUBSTITUTE(SUBSTITUTE(SUBSTITUTE(TRIM(A2013&amp;""),CHAR(160),"")," ",""),"년",""))&lt;=2099,TEXT(VALUE(SUBSTITUTE(SUBSTITUTE(SUBSTITUTE(TRIM(A2013&amp;""),CHAR(160),"")," ",""),"년","")),"0000")=SUBSTITUTE(SUBSTITUTE(SUBSTITUTE(TRIM(A2013&amp;""),CHAR(160),"")," ",""),"년","")),SUBSTITUTE(SUBSTITUTE(SUBSTITUTE(TRIM(A2013&amp;""),CHAR(160),"")," ",""),"년",""),""),"")</f>
      </c>
      <c r="I2013" t="str">
        <f>SUBSTITUTE(SUBSTITUTE(SUBSTITUTE(SUBSTITUTE(SUBSTITUTE(TRIM(B2013&amp;""),CHAR(160),"")," ",""),"초등학교","초"),"중학교","중"),"고등학교","고")</f>
      </c>
    </row>
    <row r="2014" customFormat="false" ht="15" hidden="false" customHeight="false" outlineLevel="0" collapsed="false">
      <c r="A2014" s="8"/>
      <c r="B2014" s="8"/>
      <c r="C2014" s="8"/>
      <c r="D2014" s="8"/>
      <c r="E2014" s="8"/>
      <c r="F2014" t="str" s="15">
        <f aca="0">IF(B2014="","",IF(H2014="","확인필요(입력누락)",IF(SUMPRODUCT((실물목록!$P$2:$P$1001&lt;&gt;"")*ISNUMBER(SEARCH(실물목록!$P$2:$P$1001,I2014))*(실물목록!$Q$2:$Q$1001&lt;&gt;"")*ISNUMBER(SEARCH(실물목록!$Q$2:$Q$1001,I2014))*(실물목록!$R$2:$R$1001="")*(실물목록!$O$2:$O$1001&lt;&gt;"")*(실물목록!$O$2:$O$1001=H2014))&gt;0,"실물 있음",IF(SUMPRODUCT((실물목록!$P$2:$P$1001&lt;&gt;"")*ISNUMBER(SEARCH(실물목록!$P$2:$P$1001,I2014))*(실물목록!$R$2:$R$1001&lt;&gt;""))&gt;0,"확인필요(입력누락)",IF(SUMPRODUCT((실물목록!$P$2:$P$1001&lt;&gt;"")*ISNUMBER(SEARCH(실물목록!$P$2:$P$1001,I2014))*(실물목록!$Q$2:$Q$1001&lt;&gt;"")*ISNUMBER(SEARCH(실물목록!$Q$2:$Q$1001,I2014))*(실물목록!$R$2:$R$1001="")*(실물목록!$O$2:$O$1001&lt;&gt;""))&gt;0,"확인필요(연도다름)","실물 없음")))))</f>
      </c>
      <c r="G2014" t="n" s="16">
        <f aca="0">IF(B2014="","",SUMPRODUCT((실물목록!$P$2:$P$1001&lt;&gt;"")*ISNUMBER(SEARCH(실물목록!$P$2:$P$1001,I2014))*(실물목록!$Q$2:$Q$1001&lt;&gt;"")*ISNUMBER(SEARCH(실물목록!$Q$2:$Q$1001,I2014))*(실물목록!$R$2:$R$1001="")*(실물목록!$O$2:$O$1001&lt;&gt;"")*(실물목록!$O$2:$O$1001=H2014)))</f>
      </c>
      <c r="H2014" t="str">
        <f>IFERROR(IF(AND(LEN(SUBSTITUTE(SUBSTITUTE(SUBSTITUTE(TRIM(A2014&amp;""),CHAR(160),"")," ",""),"년",""))=4,VALUE(SUBSTITUTE(SUBSTITUTE(SUBSTITUTE(TRIM(A2014&amp;""),CHAR(160),"")," ",""),"년",""))&gt;=1900,VALUE(SUBSTITUTE(SUBSTITUTE(SUBSTITUTE(TRIM(A2014&amp;""),CHAR(160),"")," ",""),"년",""))&lt;=2099,TEXT(VALUE(SUBSTITUTE(SUBSTITUTE(SUBSTITUTE(TRIM(A2014&amp;""),CHAR(160),"")," ",""),"년","")),"0000")=SUBSTITUTE(SUBSTITUTE(SUBSTITUTE(TRIM(A2014&amp;""),CHAR(160),"")," ",""),"년","")),SUBSTITUTE(SUBSTITUTE(SUBSTITUTE(TRIM(A2014&amp;""),CHAR(160),"")," ",""),"년",""),""),"")</f>
      </c>
      <c r="I2014" t="str">
        <f>SUBSTITUTE(SUBSTITUTE(SUBSTITUTE(SUBSTITUTE(SUBSTITUTE(TRIM(B2014&amp;""),CHAR(160),"")," ",""),"초등학교","초"),"중학교","중"),"고등학교","고")</f>
      </c>
    </row>
    <row r="2015" customFormat="false" ht="15" hidden="false" customHeight="false" outlineLevel="0" collapsed="false">
      <c r="A2015" s="8"/>
      <c r="B2015" s="8"/>
      <c r="C2015" s="8"/>
      <c r="D2015" s="8"/>
      <c r="E2015" s="8"/>
      <c r="F2015" t="str" s="15">
        <f aca="0">IF(B2015="","",IF(H2015="","확인필요(입력누락)",IF(SUMPRODUCT((실물목록!$P$2:$P$1001&lt;&gt;"")*ISNUMBER(SEARCH(실물목록!$P$2:$P$1001,I2015))*(실물목록!$Q$2:$Q$1001&lt;&gt;"")*ISNUMBER(SEARCH(실물목록!$Q$2:$Q$1001,I2015))*(실물목록!$R$2:$R$1001="")*(실물목록!$O$2:$O$1001&lt;&gt;"")*(실물목록!$O$2:$O$1001=H2015))&gt;0,"실물 있음",IF(SUMPRODUCT((실물목록!$P$2:$P$1001&lt;&gt;"")*ISNUMBER(SEARCH(실물목록!$P$2:$P$1001,I2015))*(실물목록!$R$2:$R$1001&lt;&gt;""))&gt;0,"확인필요(입력누락)",IF(SUMPRODUCT((실물목록!$P$2:$P$1001&lt;&gt;"")*ISNUMBER(SEARCH(실물목록!$P$2:$P$1001,I2015))*(실물목록!$Q$2:$Q$1001&lt;&gt;"")*ISNUMBER(SEARCH(실물목록!$Q$2:$Q$1001,I2015))*(실물목록!$R$2:$R$1001="")*(실물목록!$O$2:$O$1001&lt;&gt;""))&gt;0,"확인필요(연도다름)","실물 없음")))))</f>
      </c>
      <c r="G2015" t="n" s="16">
        <f aca="0">IF(B2015="","",SUMPRODUCT((실물목록!$P$2:$P$1001&lt;&gt;"")*ISNUMBER(SEARCH(실물목록!$P$2:$P$1001,I2015))*(실물목록!$Q$2:$Q$1001&lt;&gt;"")*ISNUMBER(SEARCH(실물목록!$Q$2:$Q$1001,I2015))*(실물목록!$R$2:$R$1001="")*(실물목록!$O$2:$O$1001&lt;&gt;"")*(실물목록!$O$2:$O$1001=H2015)))</f>
      </c>
      <c r="H2015" t="str">
        <f>IFERROR(IF(AND(LEN(SUBSTITUTE(SUBSTITUTE(SUBSTITUTE(TRIM(A2015&amp;""),CHAR(160),"")," ",""),"년",""))=4,VALUE(SUBSTITUTE(SUBSTITUTE(SUBSTITUTE(TRIM(A2015&amp;""),CHAR(160),"")," ",""),"년",""))&gt;=1900,VALUE(SUBSTITUTE(SUBSTITUTE(SUBSTITUTE(TRIM(A2015&amp;""),CHAR(160),"")," ",""),"년",""))&lt;=2099,TEXT(VALUE(SUBSTITUTE(SUBSTITUTE(SUBSTITUTE(TRIM(A2015&amp;""),CHAR(160),"")," ",""),"년","")),"0000")=SUBSTITUTE(SUBSTITUTE(SUBSTITUTE(TRIM(A2015&amp;""),CHAR(160),"")," ",""),"년","")),SUBSTITUTE(SUBSTITUTE(SUBSTITUTE(TRIM(A2015&amp;""),CHAR(160),"")," ",""),"년",""),""),"")</f>
      </c>
      <c r="I2015" t="str">
        <f>SUBSTITUTE(SUBSTITUTE(SUBSTITUTE(SUBSTITUTE(SUBSTITUTE(TRIM(B2015&amp;""),CHAR(160),"")," ",""),"초등학교","초"),"중학교","중"),"고등학교","고")</f>
      </c>
    </row>
    <row r="2016" customFormat="false" ht="15" hidden="false" customHeight="false" outlineLevel="0" collapsed="false">
      <c r="A2016" s="8"/>
      <c r="B2016" s="8"/>
      <c r="C2016" s="8"/>
      <c r="D2016" s="8"/>
      <c r="E2016" s="8"/>
      <c r="F2016" t="str" s="15">
        <f aca="0">IF(B2016="","",IF(H2016="","확인필요(입력누락)",IF(SUMPRODUCT((실물목록!$P$2:$P$1001&lt;&gt;"")*ISNUMBER(SEARCH(실물목록!$P$2:$P$1001,I2016))*(실물목록!$Q$2:$Q$1001&lt;&gt;"")*ISNUMBER(SEARCH(실물목록!$Q$2:$Q$1001,I2016))*(실물목록!$R$2:$R$1001="")*(실물목록!$O$2:$O$1001&lt;&gt;"")*(실물목록!$O$2:$O$1001=H2016))&gt;0,"실물 있음",IF(SUMPRODUCT((실물목록!$P$2:$P$1001&lt;&gt;"")*ISNUMBER(SEARCH(실물목록!$P$2:$P$1001,I2016))*(실물목록!$R$2:$R$1001&lt;&gt;""))&gt;0,"확인필요(입력누락)",IF(SUMPRODUCT((실물목록!$P$2:$P$1001&lt;&gt;"")*ISNUMBER(SEARCH(실물목록!$P$2:$P$1001,I2016))*(실물목록!$Q$2:$Q$1001&lt;&gt;"")*ISNUMBER(SEARCH(실물목록!$Q$2:$Q$1001,I2016))*(실물목록!$R$2:$R$1001="")*(실물목록!$O$2:$O$1001&lt;&gt;""))&gt;0,"확인필요(연도다름)","실물 없음")))))</f>
      </c>
      <c r="G2016" t="n" s="16">
        <f aca="0">IF(B2016="","",SUMPRODUCT((실물목록!$P$2:$P$1001&lt;&gt;"")*ISNUMBER(SEARCH(실물목록!$P$2:$P$1001,I2016))*(실물목록!$Q$2:$Q$1001&lt;&gt;"")*ISNUMBER(SEARCH(실물목록!$Q$2:$Q$1001,I2016))*(실물목록!$R$2:$R$1001="")*(실물목록!$O$2:$O$1001&lt;&gt;"")*(실물목록!$O$2:$O$1001=H2016)))</f>
      </c>
      <c r="H2016" t="str">
        <f>IFERROR(IF(AND(LEN(SUBSTITUTE(SUBSTITUTE(SUBSTITUTE(TRIM(A2016&amp;""),CHAR(160),"")," ",""),"년",""))=4,VALUE(SUBSTITUTE(SUBSTITUTE(SUBSTITUTE(TRIM(A2016&amp;""),CHAR(160),"")," ",""),"년",""))&gt;=1900,VALUE(SUBSTITUTE(SUBSTITUTE(SUBSTITUTE(TRIM(A2016&amp;""),CHAR(160),"")," ",""),"년",""))&lt;=2099,TEXT(VALUE(SUBSTITUTE(SUBSTITUTE(SUBSTITUTE(TRIM(A2016&amp;""),CHAR(160),"")," ",""),"년","")),"0000")=SUBSTITUTE(SUBSTITUTE(SUBSTITUTE(TRIM(A2016&amp;""),CHAR(160),"")," ",""),"년","")),SUBSTITUTE(SUBSTITUTE(SUBSTITUTE(TRIM(A2016&amp;""),CHAR(160),"")," ",""),"년",""),""),"")</f>
      </c>
      <c r="I2016" t="str">
        <f>SUBSTITUTE(SUBSTITUTE(SUBSTITUTE(SUBSTITUTE(SUBSTITUTE(TRIM(B2016&amp;""),CHAR(160),"")," ",""),"초등학교","초"),"중학교","중"),"고등학교","고")</f>
      </c>
    </row>
    <row r="2017" customFormat="false" ht="15" hidden="false" customHeight="false" outlineLevel="0" collapsed="false">
      <c r="A2017" s="8"/>
      <c r="B2017" s="8"/>
      <c r="C2017" s="8"/>
      <c r="D2017" s="8"/>
      <c r="E2017" s="8"/>
      <c r="F2017" t="str" s="15">
        <f aca="0">IF(B2017="","",IF(H2017="","확인필요(입력누락)",IF(SUMPRODUCT((실물목록!$P$2:$P$1001&lt;&gt;"")*ISNUMBER(SEARCH(실물목록!$P$2:$P$1001,I2017))*(실물목록!$Q$2:$Q$1001&lt;&gt;"")*ISNUMBER(SEARCH(실물목록!$Q$2:$Q$1001,I2017))*(실물목록!$R$2:$R$1001="")*(실물목록!$O$2:$O$1001&lt;&gt;"")*(실물목록!$O$2:$O$1001=H2017))&gt;0,"실물 있음",IF(SUMPRODUCT((실물목록!$P$2:$P$1001&lt;&gt;"")*ISNUMBER(SEARCH(실물목록!$P$2:$P$1001,I2017))*(실물목록!$R$2:$R$1001&lt;&gt;""))&gt;0,"확인필요(입력누락)",IF(SUMPRODUCT((실물목록!$P$2:$P$1001&lt;&gt;"")*ISNUMBER(SEARCH(실물목록!$P$2:$P$1001,I2017))*(실물목록!$Q$2:$Q$1001&lt;&gt;"")*ISNUMBER(SEARCH(실물목록!$Q$2:$Q$1001,I2017))*(실물목록!$R$2:$R$1001="")*(실물목록!$O$2:$O$1001&lt;&gt;""))&gt;0,"확인필요(연도다름)","실물 없음")))))</f>
      </c>
      <c r="G2017" t="n" s="16">
        <f aca="0">IF(B2017="","",SUMPRODUCT((실물목록!$P$2:$P$1001&lt;&gt;"")*ISNUMBER(SEARCH(실물목록!$P$2:$P$1001,I2017))*(실물목록!$Q$2:$Q$1001&lt;&gt;"")*ISNUMBER(SEARCH(실물목록!$Q$2:$Q$1001,I2017))*(실물목록!$R$2:$R$1001="")*(실물목록!$O$2:$O$1001&lt;&gt;"")*(실물목록!$O$2:$O$1001=H2017)))</f>
      </c>
      <c r="H2017" t="str">
        <f>IFERROR(IF(AND(LEN(SUBSTITUTE(SUBSTITUTE(SUBSTITUTE(TRIM(A2017&amp;""),CHAR(160),"")," ",""),"년",""))=4,VALUE(SUBSTITUTE(SUBSTITUTE(SUBSTITUTE(TRIM(A2017&amp;""),CHAR(160),"")," ",""),"년",""))&gt;=1900,VALUE(SUBSTITUTE(SUBSTITUTE(SUBSTITUTE(TRIM(A2017&amp;""),CHAR(160),"")," ",""),"년",""))&lt;=2099,TEXT(VALUE(SUBSTITUTE(SUBSTITUTE(SUBSTITUTE(TRIM(A2017&amp;""),CHAR(160),"")," ",""),"년","")),"0000")=SUBSTITUTE(SUBSTITUTE(SUBSTITUTE(TRIM(A2017&amp;""),CHAR(160),"")," ",""),"년","")),SUBSTITUTE(SUBSTITUTE(SUBSTITUTE(TRIM(A2017&amp;""),CHAR(160),"")," ",""),"년",""),""),"")</f>
      </c>
      <c r="I2017" t="str">
        <f>SUBSTITUTE(SUBSTITUTE(SUBSTITUTE(SUBSTITUTE(SUBSTITUTE(TRIM(B2017&amp;""),CHAR(160),"")," ",""),"초등학교","초"),"중학교","중"),"고등학교","고")</f>
      </c>
    </row>
    <row r="2018" customFormat="false" ht="15" hidden="false" customHeight="false" outlineLevel="0" collapsed="false">
      <c r="A2018" s="8"/>
      <c r="B2018" s="8"/>
      <c r="C2018" s="8"/>
      <c r="D2018" s="8"/>
      <c r="E2018" s="8"/>
      <c r="F2018" t="str" s="15">
        <f aca="0">IF(B2018="","",IF(H2018="","확인필요(입력누락)",IF(SUMPRODUCT((실물목록!$P$2:$P$1001&lt;&gt;"")*ISNUMBER(SEARCH(실물목록!$P$2:$P$1001,I2018))*(실물목록!$Q$2:$Q$1001&lt;&gt;"")*ISNUMBER(SEARCH(실물목록!$Q$2:$Q$1001,I2018))*(실물목록!$R$2:$R$1001="")*(실물목록!$O$2:$O$1001&lt;&gt;"")*(실물목록!$O$2:$O$1001=H2018))&gt;0,"실물 있음",IF(SUMPRODUCT((실물목록!$P$2:$P$1001&lt;&gt;"")*ISNUMBER(SEARCH(실물목록!$P$2:$P$1001,I2018))*(실물목록!$R$2:$R$1001&lt;&gt;""))&gt;0,"확인필요(입력누락)",IF(SUMPRODUCT((실물목록!$P$2:$P$1001&lt;&gt;"")*ISNUMBER(SEARCH(실물목록!$P$2:$P$1001,I2018))*(실물목록!$Q$2:$Q$1001&lt;&gt;"")*ISNUMBER(SEARCH(실물목록!$Q$2:$Q$1001,I2018))*(실물목록!$R$2:$R$1001="")*(실물목록!$O$2:$O$1001&lt;&gt;""))&gt;0,"확인필요(연도다름)","실물 없음")))))</f>
      </c>
      <c r="G2018" t="n" s="16">
        <f aca="0">IF(B2018="","",SUMPRODUCT((실물목록!$P$2:$P$1001&lt;&gt;"")*ISNUMBER(SEARCH(실물목록!$P$2:$P$1001,I2018))*(실물목록!$Q$2:$Q$1001&lt;&gt;"")*ISNUMBER(SEARCH(실물목록!$Q$2:$Q$1001,I2018))*(실물목록!$R$2:$R$1001="")*(실물목록!$O$2:$O$1001&lt;&gt;"")*(실물목록!$O$2:$O$1001=H2018)))</f>
      </c>
      <c r="H2018" t="str">
        <f>IFERROR(IF(AND(LEN(SUBSTITUTE(SUBSTITUTE(SUBSTITUTE(TRIM(A2018&amp;""),CHAR(160),"")," ",""),"년",""))=4,VALUE(SUBSTITUTE(SUBSTITUTE(SUBSTITUTE(TRIM(A2018&amp;""),CHAR(160),"")," ",""),"년",""))&gt;=1900,VALUE(SUBSTITUTE(SUBSTITUTE(SUBSTITUTE(TRIM(A2018&amp;""),CHAR(160),"")," ",""),"년",""))&lt;=2099,TEXT(VALUE(SUBSTITUTE(SUBSTITUTE(SUBSTITUTE(TRIM(A2018&amp;""),CHAR(160),"")," ",""),"년","")),"0000")=SUBSTITUTE(SUBSTITUTE(SUBSTITUTE(TRIM(A2018&amp;""),CHAR(160),"")," ",""),"년","")),SUBSTITUTE(SUBSTITUTE(SUBSTITUTE(TRIM(A2018&amp;""),CHAR(160),"")," ",""),"년",""),""),"")</f>
      </c>
      <c r="I2018" t="str">
        <f>SUBSTITUTE(SUBSTITUTE(SUBSTITUTE(SUBSTITUTE(SUBSTITUTE(TRIM(B2018&amp;""),CHAR(160),"")," ",""),"초등학교","초"),"중학교","중"),"고등학교","고")</f>
      </c>
    </row>
    <row r="2019" customFormat="false" ht="15" hidden="false" customHeight="false" outlineLevel="0" collapsed="false">
      <c r="A2019" s="8"/>
      <c r="B2019" s="8"/>
      <c r="C2019" s="8"/>
      <c r="D2019" s="8"/>
      <c r="E2019" s="8"/>
      <c r="F2019" t="str" s="15">
        <f aca="0">IF(B2019="","",IF(H2019="","확인필요(입력누락)",IF(SUMPRODUCT((실물목록!$P$2:$P$1001&lt;&gt;"")*ISNUMBER(SEARCH(실물목록!$P$2:$P$1001,I2019))*(실물목록!$Q$2:$Q$1001&lt;&gt;"")*ISNUMBER(SEARCH(실물목록!$Q$2:$Q$1001,I2019))*(실물목록!$R$2:$R$1001="")*(실물목록!$O$2:$O$1001&lt;&gt;"")*(실물목록!$O$2:$O$1001=H2019))&gt;0,"실물 있음",IF(SUMPRODUCT((실물목록!$P$2:$P$1001&lt;&gt;"")*ISNUMBER(SEARCH(실물목록!$P$2:$P$1001,I2019))*(실물목록!$R$2:$R$1001&lt;&gt;""))&gt;0,"확인필요(입력누락)",IF(SUMPRODUCT((실물목록!$P$2:$P$1001&lt;&gt;"")*ISNUMBER(SEARCH(실물목록!$P$2:$P$1001,I2019))*(실물목록!$Q$2:$Q$1001&lt;&gt;"")*ISNUMBER(SEARCH(실물목록!$Q$2:$Q$1001,I2019))*(실물목록!$R$2:$R$1001="")*(실물목록!$O$2:$O$1001&lt;&gt;""))&gt;0,"확인필요(연도다름)","실물 없음")))))</f>
      </c>
      <c r="G2019" t="n" s="16">
        <f aca="0">IF(B2019="","",SUMPRODUCT((실물목록!$P$2:$P$1001&lt;&gt;"")*ISNUMBER(SEARCH(실물목록!$P$2:$P$1001,I2019))*(실물목록!$Q$2:$Q$1001&lt;&gt;"")*ISNUMBER(SEARCH(실물목록!$Q$2:$Q$1001,I2019))*(실물목록!$R$2:$R$1001="")*(실물목록!$O$2:$O$1001&lt;&gt;"")*(실물목록!$O$2:$O$1001=H2019)))</f>
      </c>
      <c r="H2019" t="str">
        <f>IFERROR(IF(AND(LEN(SUBSTITUTE(SUBSTITUTE(SUBSTITUTE(TRIM(A2019&amp;""),CHAR(160),"")," ",""),"년",""))=4,VALUE(SUBSTITUTE(SUBSTITUTE(SUBSTITUTE(TRIM(A2019&amp;""),CHAR(160),"")," ",""),"년",""))&gt;=1900,VALUE(SUBSTITUTE(SUBSTITUTE(SUBSTITUTE(TRIM(A2019&amp;""),CHAR(160),"")," ",""),"년",""))&lt;=2099,TEXT(VALUE(SUBSTITUTE(SUBSTITUTE(SUBSTITUTE(TRIM(A2019&amp;""),CHAR(160),"")," ",""),"년","")),"0000")=SUBSTITUTE(SUBSTITUTE(SUBSTITUTE(TRIM(A2019&amp;""),CHAR(160),"")," ",""),"년","")),SUBSTITUTE(SUBSTITUTE(SUBSTITUTE(TRIM(A2019&amp;""),CHAR(160),"")," ",""),"년",""),""),"")</f>
      </c>
      <c r="I2019" t="str">
        <f>SUBSTITUTE(SUBSTITUTE(SUBSTITUTE(SUBSTITUTE(SUBSTITUTE(TRIM(B2019&amp;""),CHAR(160),"")," ",""),"초등학교","초"),"중학교","중"),"고등학교","고")</f>
      </c>
    </row>
    <row r="2020" customFormat="false" ht="15" hidden="false" customHeight="false" outlineLevel="0" collapsed="false">
      <c r="A2020" s="8"/>
      <c r="B2020" s="8"/>
      <c r="C2020" s="8"/>
      <c r="D2020" s="8"/>
      <c r="E2020" s="8"/>
      <c r="F2020" t="str" s="15">
        <f aca="0">IF(B2020="","",IF(H2020="","확인필요(입력누락)",IF(SUMPRODUCT((실물목록!$P$2:$P$1001&lt;&gt;"")*ISNUMBER(SEARCH(실물목록!$P$2:$P$1001,I2020))*(실물목록!$Q$2:$Q$1001&lt;&gt;"")*ISNUMBER(SEARCH(실물목록!$Q$2:$Q$1001,I2020))*(실물목록!$R$2:$R$1001="")*(실물목록!$O$2:$O$1001&lt;&gt;"")*(실물목록!$O$2:$O$1001=H2020))&gt;0,"실물 있음",IF(SUMPRODUCT((실물목록!$P$2:$P$1001&lt;&gt;"")*ISNUMBER(SEARCH(실물목록!$P$2:$P$1001,I2020))*(실물목록!$R$2:$R$1001&lt;&gt;""))&gt;0,"확인필요(입력누락)",IF(SUMPRODUCT((실물목록!$P$2:$P$1001&lt;&gt;"")*ISNUMBER(SEARCH(실물목록!$P$2:$P$1001,I2020))*(실물목록!$Q$2:$Q$1001&lt;&gt;"")*ISNUMBER(SEARCH(실물목록!$Q$2:$Q$1001,I2020))*(실물목록!$R$2:$R$1001="")*(실물목록!$O$2:$O$1001&lt;&gt;""))&gt;0,"확인필요(연도다름)","실물 없음")))))</f>
      </c>
      <c r="G2020" t="n" s="16">
        <f aca="0">IF(B2020="","",SUMPRODUCT((실물목록!$P$2:$P$1001&lt;&gt;"")*ISNUMBER(SEARCH(실물목록!$P$2:$P$1001,I2020))*(실물목록!$Q$2:$Q$1001&lt;&gt;"")*ISNUMBER(SEARCH(실물목록!$Q$2:$Q$1001,I2020))*(실물목록!$R$2:$R$1001="")*(실물목록!$O$2:$O$1001&lt;&gt;"")*(실물목록!$O$2:$O$1001=H2020)))</f>
      </c>
      <c r="H2020" t="str">
        <f>IFERROR(IF(AND(LEN(SUBSTITUTE(SUBSTITUTE(SUBSTITUTE(TRIM(A2020&amp;""),CHAR(160),"")," ",""),"년",""))=4,VALUE(SUBSTITUTE(SUBSTITUTE(SUBSTITUTE(TRIM(A2020&amp;""),CHAR(160),"")," ",""),"년",""))&gt;=1900,VALUE(SUBSTITUTE(SUBSTITUTE(SUBSTITUTE(TRIM(A2020&amp;""),CHAR(160),"")," ",""),"년",""))&lt;=2099,TEXT(VALUE(SUBSTITUTE(SUBSTITUTE(SUBSTITUTE(TRIM(A2020&amp;""),CHAR(160),"")," ",""),"년","")),"0000")=SUBSTITUTE(SUBSTITUTE(SUBSTITUTE(TRIM(A2020&amp;""),CHAR(160),"")," ",""),"년","")),SUBSTITUTE(SUBSTITUTE(SUBSTITUTE(TRIM(A2020&amp;""),CHAR(160),"")," ",""),"년",""),""),"")</f>
      </c>
      <c r="I2020" t="str">
        <f>SUBSTITUTE(SUBSTITUTE(SUBSTITUTE(SUBSTITUTE(SUBSTITUTE(TRIM(B2020&amp;""),CHAR(160),"")," ",""),"초등학교","초"),"중학교","중"),"고등학교","고")</f>
      </c>
    </row>
    <row r="2021" customFormat="false" ht="15" hidden="false" customHeight="false" outlineLevel="0" collapsed="false">
      <c r="A2021" s="8"/>
      <c r="B2021" s="8"/>
      <c r="C2021" s="8"/>
      <c r="D2021" s="8"/>
      <c r="E2021" s="8"/>
      <c r="F2021" t="str" s="15">
        <f aca="0">IF(B2021="","",IF(H2021="","확인필요(입력누락)",IF(SUMPRODUCT((실물목록!$P$2:$P$1001&lt;&gt;"")*ISNUMBER(SEARCH(실물목록!$P$2:$P$1001,I2021))*(실물목록!$Q$2:$Q$1001&lt;&gt;"")*ISNUMBER(SEARCH(실물목록!$Q$2:$Q$1001,I2021))*(실물목록!$R$2:$R$1001="")*(실물목록!$O$2:$O$1001&lt;&gt;"")*(실물목록!$O$2:$O$1001=H2021))&gt;0,"실물 있음",IF(SUMPRODUCT((실물목록!$P$2:$P$1001&lt;&gt;"")*ISNUMBER(SEARCH(실물목록!$P$2:$P$1001,I2021))*(실물목록!$R$2:$R$1001&lt;&gt;""))&gt;0,"확인필요(입력누락)",IF(SUMPRODUCT((실물목록!$P$2:$P$1001&lt;&gt;"")*ISNUMBER(SEARCH(실물목록!$P$2:$P$1001,I2021))*(실물목록!$Q$2:$Q$1001&lt;&gt;"")*ISNUMBER(SEARCH(실물목록!$Q$2:$Q$1001,I2021))*(실물목록!$R$2:$R$1001="")*(실물목록!$O$2:$O$1001&lt;&gt;""))&gt;0,"확인필요(연도다름)","실물 없음")))))</f>
      </c>
      <c r="G2021" t="n" s="16">
        <f aca="0">IF(B2021="","",SUMPRODUCT((실물목록!$P$2:$P$1001&lt;&gt;"")*ISNUMBER(SEARCH(실물목록!$P$2:$P$1001,I2021))*(실물목록!$Q$2:$Q$1001&lt;&gt;"")*ISNUMBER(SEARCH(실물목록!$Q$2:$Q$1001,I2021))*(실물목록!$R$2:$R$1001="")*(실물목록!$O$2:$O$1001&lt;&gt;"")*(실물목록!$O$2:$O$1001=H2021)))</f>
      </c>
      <c r="H2021" t="str">
        <f>IFERROR(IF(AND(LEN(SUBSTITUTE(SUBSTITUTE(SUBSTITUTE(TRIM(A2021&amp;""),CHAR(160),"")," ",""),"년",""))=4,VALUE(SUBSTITUTE(SUBSTITUTE(SUBSTITUTE(TRIM(A2021&amp;""),CHAR(160),"")," ",""),"년",""))&gt;=1900,VALUE(SUBSTITUTE(SUBSTITUTE(SUBSTITUTE(TRIM(A2021&amp;""),CHAR(160),"")," ",""),"년",""))&lt;=2099,TEXT(VALUE(SUBSTITUTE(SUBSTITUTE(SUBSTITUTE(TRIM(A2021&amp;""),CHAR(160),"")," ",""),"년","")),"0000")=SUBSTITUTE(SUBSTITUTE(SUBSTITUTE(TRIM(A2021&amp;""),CHAR(160),"")," ",""),"년","")),SUBSTITUTE(SUBSTITUTE(SUBSTITUTE(TRIM(A2021&amp;""),CHAR(160),"")," ",""),"년",""),""),"")</f>
      </c>
      <c r="I2021" t="str">
        <f>SUBSTITUTE(SUBSTITUTE(SUBSTITUTE(SUBSTITUTE(SUBSTITUTE(TRIM(B2021&amp;""),CHAR(160),"")," ",""),"초등학교","초"),"중학교","중"),"고등학교","고")</f>
      </c>
    </row>
    <row r="2022" customFormat="false" ht="15" hidden="false" customHeight="false" outlineLevel="0" collapsed="false">
      <c r="A2022" s="8"/>
      <c r="B2022" s="8"/>
      <c r="C2022" s="8"/>
      <c r="D2022" s="8"/>
      <c r="E2022" s="8"/>
      <c r="F2022" t="str" s="15">
        <f aca="0">IF(B2022="","",IF(H2022="","확인필요(입력누락)",IF(SUMPRODUCT((실물목록!$P$2:$P$1001&lt;&gt;"")*ISNUMBER(SEARCH(실물목록!$P$2:$P$1001,I2022))*(실물목록!$Q$2:$Q$1001&lt;&gt;"")*ISNUMBER(SEARCH(실물목록!$Q$2:$Q$1001,I2022))*(실물목록!$R$2:$R$1001="")*(실물목록!$O$2:$O$1001&lt;&gt;"")*(실물목록!$O$2:$O$1001=H2022))&gt;0,"실물 있음",IF(SUMPRODUCT((실물목록!$P$2:$P$1001&lt;&gt;"")*ISNUMBER(SEARCH(실물목록!$P$2:$P$1001,I2022))*(실물목록!$R$2:$R$1001&lt;&gt;""))&gt;0,"확인필요(입력누락)",IF(SUMPRODUCT((실물목록!$P$2:$P$1001&lt;&gt;"")*ISNUMBER(SEARCH(실물목록!$P$2:$P$1001,I2022))*(실물목록!$Q$2:$Q$1001&lt;&gt;"")*ISNUMBER(SEARCH(실물목록!$Q$2:$Q$1001,I2022))*(실물목록!$R$2:$R$1001="")*(실물목록!$O$2:$O$1001&lt;&gt;""))&gt;0,"확인필요(연도다름)","실물 없음")))))</f>
      </c>
      <c r="G2022" t="n" s="16">
        <f aca="0">IF(B2022="","",SUMPRODUCT((실물목록!$P$2:$P$1001&lt;&gt;"")*ISNUMBER(SEARCH(실물목록!$P$2:$P$1001,I2022))*(실물목록!$Q$2:$Q$1001&lt;&gt;"")*ISNUMBER(SEARCH(실물목록!$Q$2:$Q$1001,I2022))*(실물목록!$R$2:$R$1001="")*(실물목록!$O$2:$O$1001&lt;&gt;"")*(실물목록!$O$2:$O$1001=H2022)))</f>
      </c>
      <c r="H2022" t="str">
        <f>IFERROR(IF(AND(LEN(SUBSTITUTE(SUBSTITUTE(SUBSTITUTE(TRIM(A2022&amp;""),CHAR(160),"")," ",""),"년",""))=4,VALUE(SUBSTITUTE(SUBSTITUTE(SUBSTITUTE(TRIM(A2022&amp;""),CHAR(160),"")," ",""),"년",""))&gt;=1900,VALUE(SUBSTITUTE(SUBSTITUTE(SUBSTITUTE(TRIM(A2022&amp;""),CHAR(160),"")," ",""),"년",""))&lt;=2099,TEXT(VALUE(SUBSTITUTE(SUBSTITUTE(SUBSTITUTE(TRIM(A2022&amp;""),CHAR(160),"")," ",""),"년","")),"0000")=SUBSTITUTE(SUBSTITUTE(SUBSTITUTE(TRIM(A2022&amp;""),CHAR(160),"")," ",""),"년","")),SUBSTITUTE(SUBSTITUTE(SUBSTITUTE(TRIM(A2022&amp;""),CHAR(160),"")," ",""),"년",""),""),"")</f>
      </c>
      <c r="I2022" t="str">
        <f>SUBSTITUTE(SUBSTITUTE(SUBSTITUTE(SUBSTITUTE(SUBSTITUTE(TRIM(B2022&amp;""),CHAR(160),"")," ",""),"초등학교","초"),"중학교","중"),"고등학교","고")</f>
      </c>
    </row>
    <row r="2023" customFormat="false" ht="15" hidden="false" customHeight="false" outlineLevel="0" collapsed="false">
      <c r="A2023" s="8"/>
      <c r="B2023" s="8"/>
      <c r="C2023" s="8"/>
      <c r="D2023" s="8"/>
      <c r="E2023" s="8"/>
      <c r="F2023" t="str" s="15">
        <f aca="0">IF(B2023="","",IF(H2023="","확인필요(입력누락)",IF(SUMPRODUCT((실물목록!$P$2:$P$1001&lt;&gt;"")*ISNUMBER(SEARCH(실물목록!$P$2:$P$1001,I2023))*(실물목록!$Q$2:$Q$1001&lt;&gt;"")*ISNUMBER(SEARCH(실물목록!$Q$2:$Q$1001,I2023))*(실물목록!$R$2:$R$1001="")*(실물목록!$O$2:$O$1001&lt;&gt;"")*(실물목록!$O$2:$O$1001=H2023))&gt;0,"실물 있음",IF(SUMPRODUCT((실물목록!$P$2:$P$1001&lt;&gt;"")*ISNUMBER(SEARCH(실물목록!$P$2:$P$1001,I2023))*(실물목록!$R$2:$R$1001&lt;&gt;""))&gt;0,"확인필요(입력누락)",IF(SUMPRODUCT((실물목록!$P$2:$P$1001&lt;&gt;"")*ISNUMBER(SEARCH(실물목록!$P$2:$P$1001,I2023))*(실물목록!$Q$2:$Q$1001&lt;&gt;"")*ISNUMBER(SEARCH(실물목록!$Q$2:$Q$1001,I2023))*(실물목록!$R$2:$R$1001="")*(실물목록!$O$2:$O$1001&lt;&gt;""))&gt;0,"확인필요(연도다름)","실물 없음")))))</f>
      </c>
      <c r="G2023" t="n" s="16">
        <f aca="0">IF(B2023="","",SUMPRODUCT((실물목록!$P$2:$P$1001&lt;&gt;"")*ISNUMBER(SEARCH(실물목록!$P$2:$P$1001,I2023))*(실물목록!$Q$2:$Q$1001&lt;&gt;"")*ISNUMBER(SEARCH(실물목록!$Q$2:$Q$1001,I2023))*(실물목록!$R$2:$R$1001="")*(실물목록!$O$2:$O$1001&lt;&gt;"")*(실물목록!$O$2:$O$1001=H2023)))</f>
      </c>
      <c r="H2023" t="str">
        <f>IFERROR(IF(AND(LEN(SUBSTITUTE(SUBSTITUTE(SUBSTITUTE(TRIM(A2023&amp;""),CHAR(160),"")," ",""),"년",""))=4,VALUE(SUBSTITUTE(SUBSTITUTE(SUBSTITUTE(TRIM(A2023&amp;""),CHAR(160),"")," ",""),"년",""))&gt;=1900,VALUE(SUBSTITUTE(SUBSTITUTE(SUBSTITUTE(TRIM(A2023&amp;""),CHAR(160),"")," ",""),"년",""))&lt;=2099,TEXT(VALUE(SUBSTITUTE(SUBSTITUTE(SUBSTITUTE(TRIM(A2023&amp;""),CHAR(160),"")," ",""),"년","")),"0000")=SUBSTITUTE(SUBSTITUTE(SUBSTITUTE(TRIM(A2023&amp;""),CHAR(160),"")," ",""),"년","")),SUBSTITUTE(SUBSTITUTE(SUBSTITUTE(TRIM(A2023&amp;""),CHAR(160),"")," ",""),"년",""),""),"")</f>
      </c>
      <c r="I2023" t="str">
        <f>SUBSTITUTE(SUBSTITUTE(SUBSTITUTE(SUBSTITUTE(SUBSTITUTE(TRIM(B2023&amp;""),CHAR(160),"")," ",""),"초등학교","초"),"중학교","중"),"고등학교","고")</f>
      </c>
    </row>
    <row r="2024" customFormat="false" ht="15" hidden="false" customHeight="false" outlineLevel="0" collapsed="false">
      <c r="A2024" s="8"/>
      <c r="B2024" s="8"/>
      <c r="C2024" s="8"/>
      <c r="D2024" s="8"/>
      <c r="E2024" s="8"/>
      <c r="F2024" t="str" s="15">
        <f aca="0">IF(B2024="","",IF(H2024="","확인필요(입력누락)",IF(SUMPRODUCT((실물목록!$P$2:$P$1001&lt;&gt;"")*ISNUMBER(SEARCH(실물목록!$P$2:$P$1001,I2024))*(실물목록!$Q$2:$Q$1001&lt;&gt;"")*ISNUMBER(SEARCH(실물목록!$Q$2:$Q$1001,I2024))*(실물목록!$R$2:$R$1001="")*(실물목록!$O$2:$O$1001&lt;&gt;"")*(실물목록!$O$2:$O$1001=H2024))&gt;0,"실물 있음",IF(SUMPRODUCT((실물목록!$P$2:$P$1001&lt;&gt;"")*ISNUMBER(SEARCH(실물목록!$P$2:$P$1001,I2024))*(실물목록!$R$2:$R$1001&lt;&gt;""))&gt;0,"확인필요(입력누락)",IF(SUMPRODUCT((실물목록!$P$2:$P$1001&lt;&gt;"")*ISNUMBER(SEARCH(실물목록!$P$2:$P$1001,I2024))*(실물목록!$Q$2:$Q$1001&lt;&gt;"")*ISNUMBER(SEARCH(실물목록!$Q$2:$Q$1001,I2024))*(실물목록!$R$2:$R$1001="")*(실물목록!$O$2:$O$1001&lt;&gt;""))&gt;0,"확인필요(연도다름)","실물 없음")))))</f>
      </c>
      <c r="G2024" t="n" s="16">
        <f aca="0">IF(B2024="","",SUMPRODUCT((실물목록!$P$2:$P$1001&lt;&gt;"")*ISNUMBER(SEARCH(실물목록!$P$2:$P$1001,I2024))*(실물목록!$Q$2:$Q$1001&lt;&gt;"")*ISNUMBER(SEARCH(실물목록!$Q$2:$Q$1001,I2024))*(실물목록!$R$2:$R$1001="")*(실물목록!$O$2:$O$1001&lt;&gt;"")*(실물목록!$O$2:$O$1001=H2024)))</f>
      </c>
      <c r="H2024" t="str">
        <f>IFERROR(IF(AND(LEN(SUBSTITUTE(SUBSTITUTE(SUBSTITUTE(TRIM(A2024&amp;""),CHAR(160),"")," ",""),"년",""))=4,VALUE(SUBSTITUTE(SUBSTITUTE(SUBSTITUTE(TRIM(A2024&amp;""),CHAR(160),"")," ",""),"년",""))&gt;=1900,VALUE(SUBSTITUTE(SUBSTITUTE(SUBSTITUTE(TRIM(A2024&amp;""),CHAR(160),"")," ",""),"년",""))&lt;=2099,TEXT(VALUE(SUBSTITUTE(SUBSTITUTE(SUBSTITUTE(TRIM(A2024&amp;""),CHAR(160),"")," ",""),"년","")),"0000")=SUBSTITUTE(SUBSTITUTE(SUBSTITUTE(TRIM(A2024&amp;""),CHAR(160),"")," ",""),"년","")),SUBSTITUTE(SUBSTITUTE(SUBSTITUTE(TRIM(A2024&amp;""),CHAR(160),"")," ",""),"년",""),""),"")</f>
      </c>
      <c r="I2024" t="str">
        <f>SUBSTITUTE(SUBSTITUTE(SUBSTITUTE(SUBSTITUTE(SUBSTITUTE(TRIM(B2024&amp;""),CHAR(160),"")," ",""),"초등학교","초"),"중학교","중"),"고등학교","고")</f>
      </c>
    </row>
    <row r="2025" customFormat="false" ht="15" hidden="false" customHeight="false" outlineLevel="0" collapsed="false">
      <c r="A2025" s="8"/>
      <c r="B2025" s="8"/>
      <c r="C2025" s="8"/>
      <c r="D2025" s="8"/>
      <c r="E2025" s="8"/>
      <c r="F2025" t="str" s="15">
        <f aca="0">IF(B2025="","",IF(H2025="","확인필요(입력누락)",IF(SUMPRODUCT((실물목록!$P$2:$P$1001&lt;&gt;"")*ISNUMBER(SEARCH(실물목록!$P$2:$P$1001,I2025))*(실물목록!$Q$2:$Q$1001&lt;&gt;"")*ISNUMBER(SEARCH(실물목록!$Q$2:$Q$1001,I2025))*(실물목록!$R$2:$R$1001="")*(실물목록!$O$2:$O$1001&lt;&gt;"")*(실물목록!$O$2:$O$1001=H2025))&gt;0,"실물 있음",IF(SUMPRODUCT((실물목록!$P$2:$P$1001&lt;&gt;"")*ISNUMBER(SEARCH(실물목록!$P$2:$P$1001,I2025))*(실물목록!$R$2:$R$1001&lt;&gt;""))&gt;0,"확인필요(입력누락)",IF(SUMPRODUCT((실물목록!$P$2:$P$1001&lt;&gt;"")*ISNUMBER(SEARCH(실물목록!$P$2:$P$1001,I2025))*(실물목록!$Q$2:$Q$1001&lt;&gt;"")*ISNUMBER(SEARCH(실물목록!$Q$2:$Q$1001,I2025))*(실물목록!$R$2:$R$1001="")*(실물목록!$O$2:$O$1001&lt;&gt;""))&gt;0,"확인필요(연도다름)","실물 없음")))))</f>
      </c>
      <c r="G2025" t="n" s="16">
        <f aca="0">IF(B2025="","",SUMPRODUCT((실물목록!$P$2:$P$1001&lt;&gt;"")*ISNUMBER(SEARCH(실물목록!$P$2:$P$1001,I2025))*(실물목록!$Q$2:$Q$1001&lt;&gt;"")*ISNUMBER(SEARCH(실물목록!$Q$2:$Q$1001,I2025))*(실물목록!$R$2:$R$1001="")*(실물목록!$O$2:$O$1001&lt;&gt;"")*(실물목록!$O$2:$O$1001=H2025)))</f>
      </c>
      <c r="H2025" t="str">
        <f>IFERROR(IF(AND(LEN(SUBSTITUTE(SUBSTITUTE(SUBSTITUTE(TRIM(A2025&amp;""),CHAR(160),"")," ",""),"년",""))=4,VALUE(SUBSTITUTE(SUBSTITUTE(SUBSTITUTE(TRIM(A2025&amp;""),CHAR(160),"")," ",""),"년",""))&gt;=1900,VALUE(SUBSTITUTE(SUBSTITUTE(SUBSTITUTE(TRIM(A2025&amp;""),CHAR(160),"")," ",""),"년",""))&lt;=2099,TEXT(VALUE(SUBSTITUTE(SUBSTITUTE(SUBSTITUTE(TRIM(A2025&amp;""),CHAR(160),"")," ",""),"년","")),"0000")=SUBSTITUTE(SUBSTITUTE(SUBSTITUTE(TRIM(A2025&amp;""),CHAR(160),"")," ",""),"년","")),SUBSTITUTE(SUBSTITUTE(SUBSTITUTE(TRIM(A2025&amp;""),CHAR(160),"")," ",""),"년",""),""),"")</f>
      </c>
      <c r="I2025" t="str">
        <f>SUBSTITUTE(SUBSTITUTE(SUBSTITUTE(SUBSTITUTE(SUBSTITUTE(TRIM(B2025&amp;""),CHAR(160),"")," ",""),"초등학교","초"),"중학교","중"),"고등학교","고")</f>
      </c>
    </row>
    <row r="2026" customFormat="false" ht="15" hidden="false" customHeight="false" outlineLevel="0" collapsed="false">
      <c r="A2026" s="8"/>
      <c r="B2026" s="8"/>
      <c r="C2026" s="8"/>
      <c r="D2026" s="8"/>
      <c r="E2026" s="8"/>
      <c r="F2026" t="str" s="15">
        <f aca="0">IF(B2026="","",IF(H2026="","확인필요(입력누락)",IF(SUMPRODUCT((실물목록!$P$2:$P$1001&lt;&gt;"")*ISNUMBER(SEARCH(실물목록!$P$2:$P$1001,I2026))*(실물목록!$Q$2:$Q$1001&lt;&gt;"")*ISNUMBER(SEARCH(실물목록!$Q$2:$Q$1001,I2026))*(실물목록!$R$2:$R$1001="")*(실물목록!$O$2:$O$1001&lt;&gt;"")*(실물목록!$O$2:$O$1001=H2026))&gt;0,"실물 있음",IF(SUMPRODUCT((실물목록!$P$2:$P$1001&lt;&gt;"")*ISNUMBER(SEARCH(실물목록!$P$2:$P$1001,I2026))*(실물목록!$R$2:$R$1001&lt;&gt;""))&gt;0,"확인필요(입력누락)",IF(SUMPRODUCT((실물목록!$P$2:$P$1001&lt;&gt;"")*ISNUMBER(SEARCH(실물목록!$P$2:$P$1001,I2026))*(실물목록!$Q$2:$Q$1001&lt;&gt;"")*ISNUMBER(SEARCH(실물목록!$Q$2:$Q$1001,I2026))*(실물목록!$R$2:$R$1001="")*(실물목록!$O$2:$O$1001&lt;&gt;""))&gt;0,"확인필요(연도다름)","실물 없음")))))</f>
      </c>
      <c r="G2026" t="n" s="16">
        <f aca="0">IF(B2026="","",SUMPRODUCT((실물목록!$P$2:$P$1001&lt;&gt;"")*ISNUMBER(SEARCH(실물목록!$P$2:$P$1001,I2026))*(실물목록!$Q$2:$Q$1001&lt;&gt;"")*ISNUMBER(SEARCH(실물목록!$Q$2:$Q$1001,I2026))*(실물목록!$R$2:$R$1001="")*(실물목록!$O$2:$O$1001&lt;&gt;"")*(실물목록!$O$2:$O$1001=H2026)))</f>
      </c>
      <c r="H2026" t="str">
        <f>IFERROR(IF(AND(LEN(SUBSTITUTE(SUBSTITUTE(SUBSTITUTE(TRIM(A2026&amp;""),CHAR(160),"")," ",""),"년",""))=4,VALUE(SUBSTITUTE(SUBSTITUTE(SUBSTITUTE(TRIM(A2026&amp;""),CHAR(160),"")," ",""),"년",""))&gt;=1900,VALUE(SUBSTITUTE(SUBSTITUTE(SUBSTITUTE(TRIM(A2026&amp;""),CHAR(160),"")," ",""),"년",""))&lt;=2099,TEXT(VALUE(SUBSTITUTE(SUBSTITUTE(SUBSTITUTE(TRIM(A2026&amp;""),CHAR(160),"")," ",""),"년","")),"0000")=SUBSTITUTE(SUBSTITUTE(SUBSTITUTE(TRIM(A2026&amp;""),CHAR(160),"")," ",""),"년","")),SUBSTITUTE(SUBSTITUTE(SUBSTITUTE(TRIM(A2026&amp;""),CHAR(160),"")," ",""),"년",""),""),"")</f>
      </c>
      <c r="I2026" t="str">
        <f>SUBSTITUTE(SUBSTITUTE(SUBSTITUTE(SUBSTITUTE(SUBSTITUTE(TRIM(B2026&amp;""),CHAR(160),"")," ",""),"초등학교","초"),"중학교","중"),"고등학교","고")</f>
      </c>
    </row>
    <row r="2027" customFormat="false" ht="15" hidden="false" customHeight="false" outlineLevel="0" collapsed="false">
      <c r="A2027" s="8"/>
      <c r="B2027" s="8"/>
      <c r="C2027" s="8"/>
      <c r="D2027" s="8"/>
      <c r="E2027" s="8"/>
      <c r="F2027" t="str" s="15">
        <f aca="0">IF(B2027="","",IF(H2027="","확인필요(입력누락)",IF(SUMPRODUCT((실물목록!$P$2:$P$1001&lt;&gt;"")*ISNUMBER(SEARCH(실물목록!$P$2:$P$1001,I2027))*(실물목록!$Q$2:$Q$1001&lt;&gt;"")*ISNUMBER(SEARCH(실물목록!$Q$2:$Q$1001,I2027))*(실물목록!$R$2:$R$1001="")*(실물목록!$O$2:$O$1001&lt;&gt;"")*(실물목록!$O$2:$O$1001=H2027))&gt;0,"실물 있음",IF(SUMPRODUCT((실물목록!$P$2:$P$1001&lt;&gt;"")*ISNUMBER(SEARCH(실물목록!$P$2:$P$1001,I2027))*(실물목록!$R$2:$R$1001&lt;&gt;""))&gt;0,"확인필요(입력누락)",IF(SUMPRODUCT((실물목록!$P$2:$P$1001&lt;&gt;"")*ISNUMBER(SEARCH(실물목록!$P$2:$P$1001,I2027))*(실물목록!$Q$2:$Q$1001&lt;&gt;"")*ISNUMBER(SEARCH(실물목록!$Q$2:$Q$1001,I2027))*(실물목록!$R$2:$R$1001="")*(실물목록!$O$2:$O$1001&lt;&gt;""))&gt;0,"확인필요(연도다름)","실물 없음")))))</f>
      </c>
      <c r="G2027" t="n" s="16">
        <f aca="0">IF(B2027="","",SUMPRODUCT((실물목록!$P$2:$P$1001&lt;&gt;"")*ISNUMBER(SEARCH(실물목록!$P$2:$P$1001,I2027))*(실물목록!$Q$2:$Q$1001&lt;&gt;"")*ISNUMBER(SEARCH(실물목록!$Q$2:$Q$1001,I2027))*(실물목록!$R$2:$R$1001="")*(실물목록!$O$2:$O$1001&lt;&gt;"")*(실물목록!$O$2:$O$1001=H2027)))</f>
      </c>
      <c r="H2027" t="str">
        <f>IFERROR(IF(AND(LEN(SUBSTITUTE(SUBSTITUTE(SUBSTITUTE(TRIM(A2027&amp;""),CHAR(160),"")," ",""),"년",""))=4,VALUE(SUBSTITUTE(SUBSTITUTE(SUBSTITUTE(TRIM(A2027&amp;""),CHAR(160),"")," ",""),"년",""))&gt;=1900,VALUE(SUBSTITUTE(SUBSTITUTE(SUBSTITUTE(TRIM(A2027&amp;""),CHAR(160),"")," ",""),"년",""))&lt;=2099,TEXT(VALUE(SUBSTITUTE(SUBSTITUTE(SUBSTITUTE(TRIM(A2027&amp;""),CHAR(160),"")," ",""),"년","")),"0000")=SUBSTITUTE(SUBSTITUTE(SUBSTITUTE(TRIM(A2027&amp;""),CHAR(160),"")," ",""),"년","")),SUBSTITUTE(SUBSTITUTE(SUBSTITUTE(TRIM(A2027&amp;""),CHAR(160),"")," ",""),"년",""),""),"")</f>
      </c>
      <c r="I2027" t="str">
        <f>SUBSTITUTE(SUBSTITUTE(SUBSTITUTE(SUBSTITUTE(SUBSTITUTE(TRIM(B2027&amp;""),CHAR(160),"")," ",""),"초등학교","초"),"중학교","중"),"고등학교","고")</f>
      </c>
    </row>
    <row r="2028" customFormat="false" ht="15" hidden="false" customHeight="false" outlineLevel="0" collapsed="false">
      <c r="A2028" s="8"/>
      <c r="B2028" s="8"/>
      <c r="C2028" s="8"/>
      <c r="D2028" s="8"/>
      <c r="E2028" s="8"/>
      <c r="F2028" t="str" s="15">
        <f aca="0">IF(B2028="","",IF(H2028="","확인필요(입력누락)",IF(SUMPRODUCT((실물목록!$P$2:$P$1001&lt;&gt;"")*ISNUMBER(SEARCH(실물목록!$P$2:$P$1001,I2028))*(실물목록!$Q$2:$Q$1001&lt;&gt;"")*ISNUMBER(SEARCH(실물목록!$Q$2:$Q$1001,I2028))*(실물목록!$R$2:$R$1001="")*(실물목록!$O$2:$O$1001&lt;&gt;"")*(실물목록!$O$2:$O$1001=H2028))&gt;0,"실물 있음",IF(SUMPRODUCT((실물목록!$P$2:$P$1001&lt;&gt;"")*ISNUMBER(SEARCH(실물목록!$P$2:$P$1001,I2028))*(실물목록!$R$2:$R$1001&lt;&gt;""))&gt;0,"확인필요(입력누락)",IF(SUMPRODUCT((실물목록!$P$2:$P$1001&lt;&gt;"")*ISNUMBER(SEARCH(실물목록!$P$2:$P$1001,I2028))*(실물목록!$Q$2:$Q$1001&lt;&gt;"")*ISNUMBER(SEARCH(실물목록!$Q$2:$Q$1001,I2028))*(실물목록!$R$2:$R$1001="")*(실물목록!$O$2:$O$1001&lt;&gt;""))&gt;0,"확인필요(연도다름)","실물 없음")))))</f>
      </c>
      <c r="G2028" t="n" s="16">
        <f aca="0">IF(B2028="","",SUMPRODUCT((실물목록!$P$2:$P$1001&lt;&gt;"")*ISNUMBER(SEARCH(실물목록!$P$2:$P$1001,I2028))*(실물목록!$Q$2:$Q$1001&lt;&gt;"")*ISNUMBER(SEARCH(실물목록!$Q$2:$Q$1001,I2028))*(실물목록!$R$2:$R$1001="")*(실물목록!$O$2:$O$1001&lt;&gt;"")*(실물목록!$O$2:$O$1001=H2028)))</f>
      </c>
      <c r="H2028" t="str">
        <f>IFERROR(IF(AND(LEN(SUBSTITUTE(SUBSTITUTE(SUBSTITUTE(TRIM(A2028&amp;""),CHAR(160),"")," ",""),"년",""))=4,VALUE(SUBSTITUTE(SUBSTITUTE(SUBSTITUTE(TRIM(A2028&amp;""),CHAR(160),"")," ",""),"년",""))&gt;=1900,VALUE(SUBSTITUTE(SUBSTITUTE(SUBSTITUTE(TRIM(A2028&amp;""),CHAR(160),"")," ",""),"년",""))&lt;=2099,TEXT(VALUE(SUBSTITUTE(SUBSTITUTE(SUBSTITUTE(TRIM(A2028&amp;""),CHAR(160),"")," ",""),"년","")),"0000")=SUBSTITUTE(SUBSTITUTE(SUBSTITUTE(TRIM(A2028&amp;""),CHAR(160),"")," ",""),"년","")),SUBSTITUTE(SUBSTITUTE(SUBSTITUTE(TRIM(A2028&amp;""),CHAR(160),"")," ",""),"년",""),""),"")</f>
      </c>
      <c r="I2028" t="str">
        <f>SUBSTITUTE(SUBSTITUTE(SUBSTITUTE(SUBSTITUTE(SUBSTITUTE(TRIM(B2028&amp;""),CHAR(160),"")," ",""),"초등학교","초"),"중학교","중"),"고등학교","고")</f>
      </c>
    </row>
    <row r="2029" customFormat="false" ht="15" hidden="false" customHeight="false" outlineLevel="0" collapsed="false">
      <c r="A2029" s="8"/>
      <c r="B2029" s="8"/>
      <c r="C2029" s="8"/>
      <c r="D2029" s="8"/>
      <c r="E2029" s="8"/>
      <c r="F2029" t="str" s="15">
        <f aca="0">IF(B2029="","",IF(H2029="","확인필요(입력누락)",IF(SUMPRODUCT((실물목록!$P$2:$P$1001&lt;&gt;"")*ISNUMBER(SEARCH(실물목록!$P$2:$P$1001,I2029))*(실물목록!$Q$2:$Q$1001&lt;&gt;"")*ISNUMBER(SEARCH(실물목록!$Q$2:$Q$1001,I2029))*(실물목록!$R$2:$R$1001="")*(실물목록!$O$2:$O$1001&lt;&gt;"")*(실물목록!$O$2:$O$1001=H2029))&gt;0,"실물 있음",IF(SUMPRODUCT((실물목록!$P$2:$P$1001&lt;&gt;"")*ISNUMBER(SEARCH(실물목록!$P$2:$P$1001,I2029))*(실물목록!$R$2:$R$1001&lt;&gt;""))&gt;0,"확인필요(입력누락)",IF(SUMPRODUCT((실물목록!$P$2:$P$1001&lt;&gt;"")*ISNUMBER(SEARCH(실물목록!$P$2:$P$1001,I2029))*(실물목록!$Q$2:$Q$1001&lt;&gt;"")*ISNUMBER(SEARCH(실물목록!$Q$2:$Q$1001,I2029))*(실물목록!$R$2:$R$1001="")*(실물목록!$O$2:$O$1001&lt;&gt;""))&gt;0,"확인필요(연도다름)","실물 없음")))))</f>
      </c>
      <c r="G2029" t="n" s="16">
        <f aca="0">IF(B2029="","",SUMPRODUCT((실물목록!$P$2:$P$1001&lt;&gt;"")*ISNUMBER(SEARCH(실물목록!$P$2:$P$1001,I2029))*(실물목록!$Q$2:$Q$1001&lt;&gt;"")*ISNUMBER(SEARCH(실물목록!$Q$2:$Q$1001,I2029))*(실물목록!$R$2:$R$1001="")*(실물목록!$O$2:$O$1001&lt;&gt;"")*(실물목록!$O$2:$O$1001=H2029)))</f>
      </c>
      <c r="H2029" t="str">
        <f>IFERROR(IF(AND(LEN(SUBSTITUTE(SUBSTITUTE(SUBSTITUTE(TRIM(A2029&amp;""),CHAR(160),"")," ",""),"년",""))=4,VALUE(SUBSTITUTE(SUBSTITUTE(SUBSTITUTE(TRIM(A2029&amp;""),CHAR(160),"")," ",""),"년",""))&gt;=1900,VALUE(SUBSTITUTE(SUBSTITUTE(SUBSTITUTE(TRIM(A2029&amp;""),CHAR(160),"")," ",""),"년",""))&lt;=2099,TEXT(VALUE(SUBSTITUTE(SUBSTITUTE(SUBSTITUTE(TRIM(A2029&amp;""),CHAR(160),"")," ",""),"년","")),"0000")=SUBSTITUTE(SUBSTITUTE(SUBSTITUTE(TRIM(A2029&amp;""),CHAR(160),"")," ",""),"년","")),SUBSTITUTE(SUBSTITUTE(SUBSTITUTE(TRIM(A2029&amp;""),CHAR(160),"")," ",""),"년",""),""),"")</f>
      </c>
      <c r="I2029" t="str">
        <f>SUBSTITUTE(SUBSTITUTE(SUBSTITUTE(SUBSTITUTE(SUBSTITUTE(TRIM(B2029&amp;""),CHAR(160),"")," ",""),"초등학교","초"),"중학교","중"),"고등학교","고")</f>
      </c>
    </row>
    <row r="2030" customFormat="false" ht="15" hidden="false" customHeight="false" outlineLevel="0" collapsed="false">
      <c r="A2030" s="8"/>
      <c r="B2030" s="8"/>
      <c r="C2030" s="8"/>
      <c r="D2030" s="8"/>
      <c r="E2030" s="8"/>
      <c r="F2030" t="str" s="15">
        <f aca="0">IF(B2030="","",IF(H2030="","확인필요(입력누락)",IF(SUMPRODUCT((실물목록!$P$2:$P$1001&lt;&gt;"")*ISNUMBER(SEARCH(실물목록!$P$2:$P$1001,I2030))*(실물목록!$Q$2:$Q$1001&lt;&gt;"")*ISNUMBER(SEARCH(실물목록!$Q$2:$Q$1001,I2030))*(실물목록!$R$2:$R$1001="")*(실물목록!$O$2:$O$1001&lt;&gt;"")*(실물목록!$O$2:$O$1001=H2030))&gt;0,"실물 있음",IF(SUMPRODUCT((실물목록!$P$2:$P$1001&lt;&gt;"")*ISNUMBER(SEARCH(실물목록!$P$2:$P$1001,I2030))*(실물목록!$R$2:$R$1001&lt;&gt;""))&gt;0,"확인필요(입력누락)",IF(SUMPRODUCT((실물목록!$P$2:$P$1001&lt;&gt;"")*ISNUMBER(SEARCH(실물목록!$P$2:$P$1001,I2030))*(실물목록!$Q$2:$Q$1001&lt;&gt;"")*ISNUMBER(SEARCH(실물목록!$Q$2:$Q$1001,I2030))*(실물목록!$R$2:$R$1001="")*(실물목록!$O$2:$O$1001&lt;&gt;""))&gt;0,"확인필요(연도다름)","실물 없음")))))</f>
      </c>
      <c r="G2030" t="n" s="16">
        <f aca="0">IF(B2030="","",SUMPRODUCT((실물목록!$P$2:$P$1001&lt;&gt;"")*ISNUMBER(SEARCH(실물목록!$P$2:$P$1001,I2030))*(실물목록!$Q$2:$Q$1001&lt;&gt;"")*ISNUMBER(SEARCH(실물목록!$Q$2:$Q$1001,I2030))*(실물목록!$R$2:$R$1001="")*(실물목록!$O$2:$O$1001&lt;&gt;"")*(실물목록!$O$2:$O$1001=H2030)))</f>
      </c>
      <c r="H2030" t="str">
        <f>IFERROR(IF(AND(LEN(SUBSTITUTE(SUBSTITUTE(SUBSTITUTE(TRIM(A2030&amp;""),CHAR(160),"")," ",""),"년",""))=4,VALUE(SUBSTITUTE(SUBSTITUTE(SUBSTITUTE(TRIM(A2030&amp;""),CHAR(160),"")," ",""),"년",""))&gt;=1900,VALUE(SUBSTITUTE(SUBSTITUTE(SUBSTITUTE(TRIM(A2030&amp;""),CHAR(160),"")," ",""),"년",""))&lt;=2099,TEXT(VALUE(SUBSTITUTE(SUBSTITUTE(SUBSTITUTE(TRIM(A2030&amp;""),CHAR(160),"")," ",""),"년","")),"0000")=SUBSTITUTE(SUBSTITUTE(SUBSTITUTE(TRIM(A2030&amp;""),CHAR(160),"")," ",""),"년","")),SUBSTITUTE(SUBSTITUTE(SUBSTITUTE(TRIM(A2030&amp;""),CHAR(160),"")," ",""),"년",""),""),"")</f>
      </c>
      <c r="I2030" t="str">
        <f>SUBSTITUTE(SUBSTITUTE(SUBSTITUTE(SUBSTITUTE(SUBSTITUTE(TRIM(B2030&amp;""),CHAR(160),"")," ",""),"초등학교","초"),"중학교","중"),"고등학교","고")</f>
      </c>
    </row>
    <row r="2031" customFormat="false" ht="15" hidden="false" customHeight="false" outlineLevel="0" collapsed="false">
      <c r="A2031" s="8"/>
      <c r="B2031" s="8"/>
      <c r="C2031" s="8"/>
      <c r="D2031" s="8"/>
      <c r="E2031" s="8"/>
      <c r="F2031" t="str" s="15">
        <f aca="0">IF(B2031="","",IF(H2031="","확인필요(입력누락)",IF(SUMPRODUCT((실물목록!$P$2:$P$1001&lt;&gt;"")*ISNUMBER(SEARCH(실물목록!$P$2:$P$1001,I2031))*(실물목록!$Q$2:$Q$1001&lt;&gt;"")*ISNUMBER(SEARCH(실물목록!$Q$2:$Q$1001,I2031))*(실물목록!$R$2:$R$1001="")*(실물목록!$O$2:$O$1001&lt;&gt;"")*(실물목록!$O$2:$O$1001=H2031))&gt;0,"실물 있음",IF(SUMPRODUCT((실물목록!$P$2:$P$1001&lt;&gt;"")*ISNUMBER(SEARCH(실물목록!$P$2:$P$1001,I2031))*(실물목록!$R$2:$R$1001&lt;&gt;""))&gt;0,"확인필요(입력누락)",IF(SUMPRODUCT((실물목록!$P$2:$P$1001&lt;&gt;"")*ISNUMBER(SEARCH(실물목록!$P$2:$P$1001,I2031))*(실물목록!$Q$2:$Q$1001&lt;&gt;"")*ISNUMBER(SEARCH(실물목록!$Q$2:$Q$1001,I2031))*(실물목록!$R$2:$R$1001="")*(실물목록!$O$2:$O$1001&lt;&gt;""))&gt;0,"확인필요(연도다름)","실물 없음")))))</f>
      </c>
      <c r="G2031" t="n" s="16">
        <f aca="0">IF(B2031="","",SUMPRODUCT((실물목록!$P$2:$P$1001&lt;&gt;"")*ISNUMBER(SEARCH(실물목록!$P$2:$P$1001,I2031))*(실물목록!$Q$2:$Q$1001&lt;&gt;"")*ISNUMBER(SEARCH(실물목록!$Q$2:$Q$1001,I2031))*(실물목록!$R$2:$R$1001="")*(실물목록!$O$2:$O$1001&lt;&gt;"")*(실물목록!$O$2:$O$1001=H2031)))</f>
      </c>
      <c r="H2031" t="str">
        <f>IFERROR(IF(AND(LEN(SUBSTITUTE(SUBSTITUTE(SUBSTITUTE(TRIM(A2031&amp;""),CHAR(160),"")," ",""),"년",""))=4,VALUE(SUBSTITUTE(SUBSTITUTE(SUBSTITUTE(TRIM(A2031&amp;""),CHAR(160),"")," ",""),"년",""))&gt;=1900,VALUE(SUBSTITUTE(SUBSTITUTE(SUBSTITUTE(TRIM(A2031&amp;""),CHAR(160),"")," ",""),"년",""))&lt;=2099,TEXT(VALUE(SUBSTITUTE(SUBSTITUTE(SUBSTITUTE(TRIM(A2031&amp;""),CHAR(160),"")," ",""),"년","")),"0000")=SUBSTITUTE(SUBSTITUTE(SUBSTITUTE(TRIM(A2031&amp;""),CHAR(160),"")," ",""),"년","")),SUBSTITUTE(SUBSTITUTE(SUBSTITUTE(TRIM(A2031&amp;""),CHAR(160),"")," ",""),"년",""),""),"")</f>
      </c>
      <c r="I2031" t="str">
        <f>SUBSTITUTE(SUBSTITUTE(SUBSTITUTE(SUBSTITUTE(SUBSTITUTE(TRIM(B2031&amp;""),CHAR(160),"")," ",""),"초등학교","초"),"중학교","중"),"고등학교","고")</f>
      </c>
    </row>
    <row r="2032" customFormat="false" ht="15" hidden="false" customHeight="false" outlineLevel="0" collapsed="false">
      <c r="A2032" s="8"/>
      <c r="B2032" s="8"/>
      <c r="C2032" s="8"/>
      <c r="D2032" s="8"/>
      <c r="E2032" s="8"/>
      <c r="F2032" t="str" s="15">
        <f aca="0">IF(B2032="","",IF(H2032="","확인필요(입력누락)",IF(SUMPRODUCT((실물목록!$P$2:$P$1001&lt;&gt;"")*ISNUMBER(SEARCH(실물목록!$P$2:$P$1001,I2032))*(실물목록!$Q$2:$Q$1001&lt;&gt;"")*ISNUMBER(SEARCH(실물목록!$Q$2:$Q$1001,I2032))*(실물목록!$R$2:$R$1001="")*(실물목록!$O$2:$O$1001&lt;&gt;"")*(실물목록!$O$2:$O$1001=H2032))&gt;0,"실물 있음",IF(SUMPRODUCT((실물목록!$P$2:$P$1001&lt;&gt;"")*ISNUMBER(SEARCH(실물목록!$P$2:$P$1001,I2032))*(실물목록!$R$2:$R$1001&lt;&gt;""))&gt;0,"확인필요(입력누락)",IF(SUMPRODUCT((실물목록!$P$2:$P$1001&lt;&gt;"")*ISNUMBER(SEARCH(실물목록!$P$2:$P$1001,I2032))*(실물목록!$Q$2:$Q$1001&lt;&gt;"")*ISNUMBER(SEARCH(실물목록!$Q$2:$Q$1001,I2032))*(실물목록!$R$2:$R$1001="")*(실물목록!$O$2:$O$1001&lt;&gt;""))&gt;0,"확인필요(연도다름)","실물 없음")))))</f>
      </c>
      <c r="G2032" t="n" s="16">
        <f aca="0">IF(B2032="","",SUMPRODUCT((실물목록!$P$2:$P$1001&lt;&gt;"")*ISNUMBER(SEARCH(실물목록!$P$2:$P$1001,I2032))*(실물목록!$Q$2:$Q$1001&lt;&gt;"")*ISNUMBER(SEARCH(실물목록!$Q$2:$Q$1001,I2032))*(실물목록!$R$2:$R$1001="")*(실물목록!$O$2:$O$1001&lt;&gt;"")*(실물목록!$O$2:$O$1001=H2032)))</f>
      </c>
      <c r="H2032" t="str">
        <f>IFERROR(IF(AND(LEN(SUBSTITUTE(SUBSTITUTE(SUBSTITUTE(TRIM(A2032&amp;""),CHAR(160),"")," ",""),"년",""))=4,VALUE(SUBSTITUTE(SUBSTITUTE(SUBSTITUTE(TRIM(A2032&amp;""),CHAR(160),"")," ",""),"년",""))&gt;=1900,VALUE(SUBSTITUTE(SUBSTITUTE(SUBSTITUTE(TRIM(A2032&amp;""),CHAR(160),"")," ",""),"년",""))&lt;=2099,TEXT(VALUE(SUBSTITUTE(SUBSTITUTE(SUBSTITUTE(TRIM(A2032&amp;""),CHAR(160),"")," ",""),"년","")),"0000")=SUBSTITUTE(SUBSTITUTE(SUBSTITUTE(TRIM(A2032&amp;""),CHAR(160),"")," ",""),"년","")),SUBSTITUTE(SUBSTITUTE(SUBSTITUTE(TRIM(A2032&amp;""),CHAR(160),"")," ",""),"년",""),""),"")</f>
      </c>
      <c r="I2032" t="str">
        <f>SUBSTITUTE(SUBSTITUTE(SUBSTITUTE(SUBSTITUTE(SUBSTITUTE(TRIM(B2032&amp;""),CHAR(160),"")," ",""),"초등학교","초"),"중학교","중"),"고등학교","고")</f>
      </c>
    </row>
    <row r="2033" customFormat="false" ht="15" hidden="false" customHeight="false" outlineLevel="0" collapsed="false">
      <c r="A2033" s="8"/>
      <c r="B2033" s="8"/>
      <c r="C2033" s="8"/>
      <c r="D2033" s="8"/>
      <c r="E2033" s="8"/>
      <c r="F2033" t="str" s="15">
        <f aca="0">IF(B2033="","",IF(H2033="","확인필요(입력누락)",IF(SUMPRODUCT((실물목록!$P$2:$P$1001&lt;&gt;"")*ISNUMBER(SEARCH(실물목록!$P$2:$P$1001,I2033))*(실물목록!$Q$2:$Q$1001&lt;&gt;"")*ISNUMBER(SEARCH(실물목록!$Q$2:$Q$1001,I2033))*(실물목록!$R$2:$R$1001="")*(실물목록!$O$2:$O$1001&lt;&gt;"")*(실물목록!$O$2:$O$1001=H2033))&gt;0,"실물 있음",IF(SUMPRODUCT((실물목록!$P$2:$P$1001&lt;&gt;"")*ISNUMBER(SEARCH(실물목록!$P$2:$P$1001,I2033))*(실물목록!$R$2:$R$1001&lt;&gt;""))&gt;0,"확인필요(입력누락)",IF(SUMPRODUCT((실물목록!$P$2:$P$1001&lt;&gt;"")*ISNUMBER(SEARCH(실물목록!$P$2:$P$1001,I2033))*(실물목록!$Q$2:$Q$1001&lt;&gt;"")*ISNUMBER(SEARCH(실물목록!$Q$2:$Q$1001,I2033))*(실물목록!$R$2:$R$1001="")*(실물목록!$O$2:$O$1001&lt;&gt;""))&gt;0,"확인필요(연도다름)","실물 없음")))))</f>
      </c>
      <c r="G2033" t="n" s="16">
        <f aca="0">IF(B2033="","",SUMPRODUCT((실물목록!$P$2:$P$1001&lt;&gt;"")*ISNUMBER(SEARCH(실물목록!$P$2:$P$1001,I2033))*(실물목록!$Q$2:$Q$1001&lt;&gt;"")*ISNUMBER(SEARCH(실물목록!$Q$2:$Q$1001,I2033))*(실물목록!$R$2:$R$1001="")*(실물목록!$O$2:$O$1001&lt;&gt;"")*(실물목록!$O$2:$O$1001=H2033)))</f>
      </c>
      <c r="H2033" t="str">
        <f>IFERROR(IF(AND(LEN(SUBSTITUTE(SUBSTITUTE(SUBSTITUTE(TRIM(A2033&amp;""),CHAR(160),"")," ",""),"년",""))=4,VALUE(SUBSTITUTE(SUBSTITUTE(SUBSTITUTE(TRIM(A2033&amp;""),CHAR(160),"")," ",""),"년",""))&gt;=1900,VALUE(SUBSTITUTE(SUBSTITUTE(SUBSTITUTE(TRIM(A2033&amp;""),CHAR(160),"")," ",""),"년",""))&lt;=2099,TEXT(VALUE(SUBSTITUTE(SUBSTITUTE(SUBSTITUTE(TRIM(A2033&amp;""),CHAR(160),"")," ",""),"년","")),"0000")=SUBSTITUTE(SUBSTITUTE(SUBSTITUTE(TRIM(A2033&amp;""),CHAR(160),"")," ",""),"년","")),SUBSTITUTE(SUBSTITUTE(SUBSTITUTE(TRIM(A2033&amp;""),CHAR(160),"")," ",""),"년",""),""),"")</f>
      </c>
      <c r="I2033" t="str">
        <f>SUBSTITUTE(SUBSTITUTE(SUBSTITUTE(SUBSTITUTE(SUBSTITUTE(TRIM(B2033&amp;""),CHAR(160),"")," ",""),"초등학교","초"),"중학교","중"),"고등학교","고")</f>
      </c>
    </row>
    <row r="2034" customFormat="false" ht="15" hidden="false" customHeight="false" outlineLevel="0" collapsed="false">
      <c r="A2034" s="8"/>
      <c r="B2034" s="8"/>
      <c r="C2034" s="8"/>
      <c r="D2034" s="8"/>
      <c r="E2034" s="8"/>
      <c r="F2034" t="str" s="15">
        <f aca="0">IF(B2034="","",IF(H2034="","확인필요(입력누락)",IF(SUMPRODUCT((실물목록!$P$2:$P$1001&lt;&gt;"")*ISNUMBER(SEARCH(실물목록!$P$2:$P$1001,I2034))*(실물목록!$Q$2:$Q$1001&lt;&gt;"")*ISNUMBER(SEARCH(실물목록!$Q$2:$Q$1001,I2034))*(실물목록!$R$2:$R$1001="")*(실물목록!$O$2:$O$1001&lt;&gt;"")*(실물목록!$O$2:$O$1001=H2034))&gt;0,"실물 있음",IF(SUMPRODUCT((실물목록!$P$2:$P$1001&lt;&gt;"")*ISNUMBER(SEARCH(실물목록!$P$2:$P$1001,I2034))*(실물목록!$R$2:$R$1001&lt;&gt;""))&gt;0,"확인필요(입력누락)",IF(SUMPRODUCT((실물목록!$P$2:$P$1001&lt;&gt;"")*ISNUMBER(SEARCH(실물목록!$P$2:$P$1001,I2034))*(실물목록!$Q$2:$Q$1001&lt;&gt;"")*ISNUMBER(SEARCH(실물목록!$Q$2:$Q$1001,I2034))*(실물목록!$R$2:$R$1001="")*(실물목록!$O$2:$O$1001&lt;&gt;""))&gt;0,"확인필요(연도다름)","실물 없음")))))</f>
      </c>
      <c r="G2034" t="n" s="16">
        <f aca="0">IF(B2034="","",SUMPRODUCT((실물목록!$P$2:$P$1001&lt;&gt;"")*ISNUMBER(SEARCH(실물목록!$P$2:$P$1001,I2034))*(실물목록!$Q$2:$Q$1001&lt;&gt;"")*ISNUMBER(SEARCH(실물목록!$Q$2:$Q$1001,I2034))*(실물목록!$R$2:$R$1001="")*(실물목록!$O$2:$O$1001&lt;&gt;"")*(실물목록!$O$2:$O$1001=H2034)))</f>
      </c>
      <c r="H2034" t="str">
        <f>IFERROR(IF(AND(LEN(SUBSTITUTE(SUBSTITUTE(SUBSTITUTE(TRIM(A2034&amp;""),CHAR(160),"")," ",""),"년",""))=4,VALUE(SUBSTITUTE(SUBSTITUTE(SUBSTITUTE(TRIM(A2034&amp;""),CHAR(160),"")," ",""),"년",""))&gt;=1900,VALUE(SUBSTITUTE(SUBSTITUTE(SUBSTITUTE(TRIM(A2034&amp;""),CHAR(160),"")," ",""),"년",""))&lt;=2099,TEXT(VALUE(SUBSTITUTE(SUBSTITUTE(SUBSTITUTE(TRIM(A2034&amp;""),CHAR(160),"")," ",""),"년","")),"0000")=SUBSTITUTE(SUBSTITUTE(SUBSTITUTE(TRIM(A2034&amp;""),CHAR(160),"")," ",""),"년","")),SUBSTITUTE(SUBSTITUTE(SUBSTITUTE(TRIM(A2034&amp;""),CHAR(160),"")," ",""),"년",""),""),"")</f>
      </c>
      <c r="I2034" t="str">
        <f>SUBSTITUTE(SUBSTITUTE(SUBSTITUTE(SUBSTITUTE(SUBSTITUTE(TRIM(B2034&amp;""),CHAR(160),"")," ",""),"초등학교","초"),"중학교","중"),"고등학교","고")</f>
      </c>
    </row>
    <row r="2035" customFormat="false" ht="15" hidden="false" customHeight="false" outlineLevel="0" collapsed="false">
      <c r="A2035" s="8"/>
      <c r="B2035" s="8"/>
      <c r="C2035" s="8"/>
      <c r="D2035" s="8"/>
      <c r="E2035" s="8"/>
      <c r="F2035" t="str" s="15">
        <f aca="0">IF(B2035="","",IF(H2035="","확인필요(입력누락)",IF(SUMPRODUCT((실물목록!$P$2:$P$1001&lt;&gt;"")*ISNUMBER(SEARCH(실물목록!$P$2:$P$1001,I2035))*(실물목록!$Q$2:$Q$1001&lt;&gt;"")*ISNUMBER(SEARCH(실물목록!$Q$2:$Q$1001,I2035))*(실물목록!$R$2:$R$1001="")*(실물목록!$O$2:$O$1001&lt;&gt;"")*(실물목록!$O$2:$O$1001=H2035))&gt;0,"실물 있음",IF(SUMPRODUCT((실물목록!$P$2:$P$1001&lt;&gt;"")*ISNUMBER(SEARCH(실물목록!$P$2:$P$1001,I2035))*(실물목록!$R$2:$R$1001&lt;&gt;""))&gt;0,"확인필요(입력누락)",IF(SUMPRODUCT((실물목록!$P$2:$P$1001&lt;&gt;"")*ISNUMBER(SEARCH(실물목록!$P$2:$P$1001,I2035))*(실물목록!$Q$2:$Q$1001&lt;&gt;"")*ISNUMBER(SEARCH(실물목록!$Q$2:$Q$1001,I2035))*(실물목록!$R$2:$R$1001="")*(실물목록!$O$2:$O$1001&lt;&gt;""))&gt;0,"확인필요(연도다름)","실물 없음")))))</f>
      </c>
      <c r="G2035" t="n" s="16">
        <f aca="0">IF(B2035="","",SUMPRODUCT((실물목록!$P$2:$P$1001&lt;&gt;"")*ISNUMBER(SEARCH(실물목록!$P$2:$P$1001,I2035))*(실물목록!$Q$2:$Q$1001&lt;&gt;"")*ISNUMBER(SEARCH(실물목록!$Q$2:$Q$1001,I2035))*(실물목록!$R$2:$R$1001="")*(실물목록!$O$2:$O$1001&lt;&gt;"")*(실물목록!$O$2:$O$1001=H2035)))</f>
      </c>
      <c r="H2035" t="str">
        <f>IFERROR(IF(AND(LEN(SUBSTITUTE(SUBSTITUTE(SUBSTITUTE(TRIM(A2035&amp;""),CHAR(160),"")," ",""),"년",""))=4,VALUE(SUBSTITUTE(SUBSTITUTE(SUBSTITUTE(TRIM(A2035&amp;""),CHAR(160),"")," ",""),"년",""))&gt;=1900,VALUE(SUBSTITUTE(SUBSTITUTE(SUBSTITUTE(TRIM(A2035&amp;""),CHAR(160),"")," ",""),"년",""))&lt;=2099,TEXT(VALUE(SUBSTITUTE(SUBSTITUTE(SUBSTITUTE(TRIM(A2035&amp;""),CHAR(160),"")," ",""),"년","")),"0000")=SUBSTITUTE(SUBSTITUTE(SUBSTITUTE(TRIM(A2035&amp;""),CHAR(160),"")," ",""),"년","")),SUBSTITUTE(SUBSTITUTE(SUBSTITUTE(TRIM(A2035&amp;""),CHAR(160),"")," ",""),"년",""),""),"")</f>
      </c>
      <c r="I2035" t="str">
        <f>SUBSTITUTE(SUBSTITUTE(SUBSTITUTE(SUBSTITUTE(SUBSTITUTE(TRIM(B2035&amp;""),CHAR(160),"")," ",""),"초등학교","초"),"중학교","중"),"고등학교","고")</f>
      </c>
    </row>
    <row r="2036" customFormat="false" ht="15" hidden="false" customHeight="false" outlineLevel="0" collapsed="false">
      <c r="A2036" s="8"/>
      <c r="B2036" s="8"/>
      <c r="C2036" s="8"/>
      <c r="D2036" s="8"/>
      <c r="E2036" s="8"/>
      <c r="F2036" t="str" s="15">
        <f aca="0">IF(B2036="","",IF(H2036="","확인필요(입력누락)",IF(SUMPRODUCT((실물목록!$P$2:$P$1001&lt;&gt;"")*ISNUMBER(SEARCH(실물목록!$P$2:$P$1001,I2036))*(실물목록!$Q$2:$Q$1001&lt;&gt;"")*ISNUMBER(SEARCH(실물목록!$Q$2:$Q$1001,I2036))*(실물목록!$R$2:$R$1001="")*(실물목록!$O$2:$O$1001&lt;&gt;"")*(실물목록!$O$2:$O$1001=H2036))&gt;0,"실물 있음",IF(SUMPRODUCT((실물목록!$P$2:$P$1001&lt;&gt;"")*ISNUMBER(SEARCH(실물목록!$P$2:$P$1001,I2036))*(실물목록!$R$2:$R$1001&lt;&gt;""))&gt;0,"확인필요(입력누락)",IF(SUMPRODUCT((실물목록!$P$2:$P$1001&lt;&gt;"")*ISNUMBER(SEARCH(실물목록!$P$2:$P$1001,I2036))*(실물목록!$Q$2:$Q$1001&lt;&gt;"")*ISNUMBER(SEARCH(실물목록!$Q$2:$Q$1001,I2036))*(실물목록!$R$2:$R$1001="")*(실물목록!$O$2:$O$1001&lt;&gt;""))&gt;0,"확인필요(연도다름)","실물 없음")))))</f>
      </c>
      <c r="G2036" t="n" s="16">
        <f aca="0">IF(B2036="","",SUMPRODUCT((실물목록!$P$2:$P$1001&lt;&gt;"")*ISNUMBER(SEARCH(실물목록!$P$2:$P$1001,I2036))*(실물목록!$Q$2:$Q$1001&lt;&gt;"")*ISNUMBER(SEARCH(실물목록!$Q$2:$Q$1001,I2036))*(실물목록!$R$2:$R$1001="")*(실물목록!$O$2:$O$1001&lt;&gt;"")*(실물목록!$O$2:$O$1001=H2036)))</f>
      </c>
      <c r="H2036" t="str">
        <f>IFERROR(IF(AND(LEN(SUBSTITUTE(SUBSTITUTE(SUBSTITUTE(TRIM(A2036&amp;""),CHAR(160),"")," ",""),"년",""))=4,VALUE(SUBSTITUTE(SUBSTITUTE(SUBSTITUTE(TRIM(A2036&amp;""),CHAR(160),"")," ",""),"년",""))&gt;=1900,VALUE(SUBSTITUTE(SUBSTITUTE(SUBSTITUTE(TRIM(A2036&amp;""),CHAR(160),"")," ",""),"년",""))&lt;=2099,TEXT(VALUE(SUBSTITUTE(SUBSTITUTE(SUBSTITUTE(TRIM(A2036&amp;""),CHAR(160),"")," ",""),"년","")),"0000")=SUBSTITUTE(SUBSTITUTE(SUBSTITUTE(TRIM(A2036&amp;""),CHAR(160),"")," ",""),"년","")),SUBSTITUTE(SUBSTITUTE(SUBSTITUTE(TRIM(A2036&amp;""),CHAR(160),"")," ",""),"년",""),""),"")</f>
      </c>
      <c r="I2036" t="str">
        <f>SUBSTITUTE(SUBSTITUTE(SUBSTITUTE(SUBSTITUTE(SUBSTITUTE(TRIM(B2036&amp;""),CHAR(160),"")," ",""),"초등학교","초"),"중학교","중"),"고등학교","고")</f>
      </c>
    </row>
    <row r="2037" customFormat="false" ht="15" hidden="false" customHeight="false" outlineLevel="0" collapsed="false">
      <c r="A2037" s="8"/>
      <c r="B2037" s="8"/>
      <c r="C2037" s="8"/>
      <c r="D2037" s="8"/>
      <c r="E2037" s="8"/>
      <c r="F2037" t="str" s="15">
        <f aca="0">IF(B2037="","",IF(H2037="","확인필요(입력누락)",IF(SUMPRODUCT((실물목록!$P$2:$P$1001&lt;&gt;"")*ISNUMBER(SEARCH(실물목록!$P$2:$P$1001,I2037))*(실물목록!$Q$2:$Q$1001&lt;&gt;"")*ISNUMBER(SEARCH(실물목록!$Q$2:$Q$1001,I2037))*(실물목록!$R$2:$R$1001="")*(실물목록!$O$2:$O$1001&lt;&gt;"")*(실물목록!$O$2:$O$1001=H2037))&gt;0,"실물 있음",IF(SUMPRODUCT((실물목록!$P$2:$P$1001&lt;&gt;"")*ISNUMBER(SEARCH(실물목록!$P$2:$P$1001,I2037))*(실물목록!$R$2:$R$1001&lt;&gt;""))&gt;0,"확인필요(입력누락)",IF(SUMPRODUCT((실물목록!$P$2:$P$1001&lt;&gt;"")*ISNUMBER(SEARCH(실물목록!$P$2:$P$1001,I2037))*(실물목록!$Q$2:$Q$1001&lt;&gt;"")*ISNUMBER(SEARCH(실물목록!$Q$2:$Q$1001,I2037))*(실물목록!$R$2:$R$1001="")*(실물목록!$O$2:$O$1001&lt;&gt;""))&gt;0,"확인필요(연도다름)","실물 없음")))))</f>
      </c>
      <c r="G2037" t="n" s="16">
        <f aca="0">IF(B2037="","",SUMPRODUCT((실물목록!$P$2:$P$1001&lt;&gt;"")*ISNUMBER(SEARCH(실물목록!$P$2:$P$1001,I2037))*(실물목록!$Q$2:$Q$1001&lt;&gt;"")*ISNUMBER(SEARCH(실물목록!$Q$2:$Q$1001,I2037))*(실물목록!$R$2:$R$1001="")*(실물목록!$O$2:$O$1001&lt;&gt;"")*(실물목록!$O$2:$O$1001=H2037)))</f>
      </c>
      <c r="H2037" t="str">
        <f>IFERROR(IF(AND(LEN(SUBSTITUTE(SUBSTITUTE(SUBSTITUTE(TRIM(A2037&amp;""),CHAR(160),"")," ",""),"년",""))=4,VALUE(SUBSTITUTE(SUBSTITUTE(SUBSTITUTE(TRIM(A2037&amp;""),CHAR(160),"")," ",""),"년",""))&gt;=1900,VALUE(SUBSTITUTE(SUBSTITUTE(SUBSTITUTE(TRIM(A2037&amp;""),CHAR(160),"")," ",""),"년",""))&lt;=2099,TEXT(VALUE(SUBSTITUTE(SUBSTITUTE(SUBSTITUTE(TRIM(A2037&amp;""),CHAR(160),"")," ",""),"년","")),"0000")=SUBSTITUTE(SUBSTITUTE(SUBSTITUTE(TRIM(A2037&amp;""),CHAR(160),"")," ",""),"년","")),SUBSTITUTE(SUBSTITUTE(SUBSTITUTE(TRIM(A2037&amp;""),CHAR(160),"")," ",""),"년",""),""),"")</f>
      </c>
      <c r="I2037" t="str">
        <f>SUBSTITUTE(SUBSTITUTE(SUBSTITUTE(SUBSTITUTE(SUBSTITUTE(TRIM(B2037&amp;""),CHAR(160),"")," ",""),"초등학교","초"),"중학교","중"),"고등학교","고")</f>
      </c>
    </row>
    <row r="2038" customFormat="false" ht="15" hidden="false" customHeight="false" outlineLevel="0" collapsed="false">
      <c r="A2038" s="8"/>
      <c r="B2038" s="8"/>
      <c r="C2038" s="8"/>
      <c r="D2038" s="8"/>
      <c r="E2038" s="8"/>
      <c r="F2038" t="str" s="15">
        <f aca="0">IF(B2038="","",IF(H2038="","확인필요(입력누락)",IF(SUMPRODUCT((실물목록!$P$2:$P$1001&lt;&gt;"")*ISNUMBER(SEARCH(실물목록!$P$2:$P$1001,I2038))*(실물목록!$Q$2:$Q$1001&lt;&gt;"")*ISNUMBER(SEARCH(실물목록!$Q$2:$Q$1001,I2038))*(실물목록!$R$2:$R$1001="")*(실물목록!$O$2:$O$1001&lt;&gt;"")*(실물목록!$O$2:$O$1001=H2038))&gt;0,"실물 있음",IF(SUMPRODUCT((실물목록!$P$2:$P$1001&lt;&gt;"")*ISNUMBER(SEARCH(실물목록!$P$2:$P$1001,I2038))*(실물목록!$R$2:$R$1001&lt;&gt;""))&gt;0,"확인필요(입력누락)",IF(SUMPRODUCT((실물목록!$P$2:$P$1001&lt;&gt;"")*ISNUMBER(SEARCH(실물목록!$P$2:$P$1001,I2038))*(실물목록!$Q$2:$Q$1001&lt;&gt;"")*ISNUMBER(SEARCH(실물목록!$Q$2:$Q$1001,I2038))*(실물목록!$R$2:$R$1001="")*(실물목록!$O$2:$O$1001&lt;&gt;""))&gt;0,"확인필요(연도다름)","실물 없음")))))</f>
      </c>
      <c r="G2038" t="n" s="16">
        <f aca="0">IF(B2038="","",SUMPRODUCT((실물목록!$P$2:$P$1001&lt;&gt;"")*ISNUMBER(SEARCH(실물목록!$P$2:$P$1001,I2038))*(실물목록!$Q$2:$Q$1001&lt;&gt;"")*ISNUMBER(SEARCH(실물목록!$Q$2:$Q$1001,I2038))*(실물목록!$R$2:$R$1001="")*(실물목록!$O$2:$O$1001&lt;&gt;"")*(실물목록!$O$2:$O$1001=H2038)))</f>
      </c>
      <c r="H2038" t="str">
        <f>IFERROR(IF(AND(LEN(SUBSTITUTE(SUBSTITUTE(SUBSTITUTE(TRIM(A2038&amp;""),CHAR(160),"")," ",""),"년",""))=4,VALUE(SUBSTITUTE(SUBSTITUTE(SUBSTITUTE(TRIM(A2038&amp;""),CHAR(160),"")," ",""),"년",""))&gt;=1900,VALUE(SUBSTITUTE(SUBSTITUTE(SUBSTITUTE(TRIM(A2038&amp;""),CHAR(160),"")," ",""),"년",""))&lt;=2099,TEXT(VALUE(SUBSTITUTE(SUBSTITUTE(SUBSTITUTE(TRIM(A2038&amp;""),CHAR(160),"")," ",""),"년","")),"0000")=SUBSTITUTE(SUBSTITUTE(SUBSTITUTE(TRIM(A2038&amp;""),CHAR(160),"")," ",""),"년","")),SUBSTITUTE(SUBSTITUTE(SUBSTITUTE(TRIM(A2038&amp;""),CHAR(160),"")," ",""),"년",""),""),"")</f>
      </c>
      <c r="I2038" t="str">
        <f>SUBSTITUTE(SUBSTITUTE(SUBSTITUTE(SUBSTITUTE(SUBSTITUTE(TRIM(B2038&amp;""),CHAR(160),"")," ",""),"초등학교","초"),"중학교","중"),"고등학교","고")</f>
      </c>
    </row>
    <row r="2039" customFormat="false" ht="15" hidden="false" customHeight="false" outlineLevel="0" collapsed="false">
      <c r="A2039" s="8"/>
      <c r="B2039" s="8"/>
      <c r="C2039" s="8"/>
      <c r="D2039" s="8"/>
      <c r="E2039" s="8"/>
      <c r="F2039" t="str" s="15">
        <f aca="0">IF(B2039="","",IF(H2039="","확인필요(입력누락)",IF(SUMPRODUCT((실물목록!$P$2:$P$1001&lt;&gt;"")*ISNUMBER(SEARCH(실물목록!$P$2:$P$1001,I2039))*(실물목록!$Q$2:$Q$1001&lt;&gt;"")*ISNUMBER(SEARCH(실물목록!$Q$2:$Q$1001,I2039))*(실물목록!$R$2:$R$1001="")*(실물목록!$O$2:$O$1001&lt;&gt;"")*(실물목록!$O$2:$O$1001=H2039))&gt;0,"실물 있음",IF(SUMPRODUCT((실물목록!$P$2:$P$1001&lt;&gt;"")*ISNUMBER(SEARCH(실물목록!$P$2:$P$1001,I2039))*(실물목록!$R$2:$R$1001&lt;&gt;""))&gt;0,"확인필요(입력누락)",IF(SUMPRODUCT((실물목록!$P$2:$P$1001&lt;&gt;"")*ISNUMBER(SEARCH(실물목록!$P$2:$P$1001,I2039))*(실물목록!$Q$2:$Q$1001&lt;&gt;"")*ISNUMBER(SEARCH(실물목록!$Q$2:$Q$1001,I2039))*(실물목록!$R$2:$R$1001="")*(실물목록!$O$2:$O$1001&lt;&gt;""))&gt;0,"확인필요(연도다름)","실물 없음")))))</f>
      </c>
      <c r="G2039" t="n" s="16">
        <f aca="0">IF(B2039="","",SUMPRODUCT((실물목록!$P$2:$P$1001&lt;&gt;"")*ISNUMBER(SEARCH(실물목록!$P$2:$P$1001,I2039))*(실물목록!$Q$2:$Q$1001&lt;&gt;"")*ISNUMBER(SEARCH(실물목록!$Q$2:$Q$1001,I2039))*(실물목록!$R$2:$R$1001="")*(실물목록!$O$2:$O$1001&lt;&gt;"")*(실물목록!$O$2:$O$1001=H2039)))</f>
      </c>
      <c r="H2039" t="str">
        <f>IFERROR(IF(AND(LEN(SUBSTITUTE(SUBSTITUTE(SUBSTITUTE(TRIM(A2039&amp;""),CHAR(160),"")," ",""),"년",""))=4,VALUE(SUBSTITUTE(SUBSTITUTE(SUBSTITUTE(TRIM(A2039&amp;""),CHAR(160),"")," ",""),"년",""))&gt;=1900,VALUE(SUBSTITUTE(SUBSTITUTE(SUBSTITUTE(TRIM(A2039&amp;""),CHAR(160),"")," ",""),"년",""))&lt;=2099,TEXT(VALUE(SUBSTITUTE(SUBSTITUTE(SUBSTITUTE(TRIM(A2039&amp;""),CHAR(160),"")," ",""),"년","")),"0000")=SUBSTITUTE(SUBSTITUTE(SUBSTITUTE(TRIM(A2039&amp;""),CHAR(160),"")," ",""),"년","")),SUBSTITUTE(SUBSTITUTE(SUBSTITUTE(TRIM(A2039&amp;""),CHAR(160),"")," ",""),"년",""),""),"")</f>
      </c>
      <c r="I2039" t="str">
        <f>SUBSTITUTE(SUBSTITUTE(SUBSTITUTE(SUBSTITUTE(SUBSTITUTE(TRIM(B2039&amp;""),CHAR(160),"")," ",""),"초등학교","초"),"중학교","중"),"고등학교","고")</f>
      </c>
    </row>
    <row r="2040" customFormat="false" ht="15" hidden="false" customHeight="false" outlineLevel="0" collapsed="false">
      <c r="A2040" s="8"/>
      <c r="B2040" s="8"/>
      <c r="C2040" s="8"/>
      <c r="D2040" s="8"/>
      <c r="E2040" s="8"/>
      <c r="F2040" t="str" s="15">
        <f aca="0">IF(B2040="","",IF(H2040="","확인필요(입력누락)",IF(SUMPRODUCT((실물목록!$P$2:$P$1001&lt;&gt;"")*ISNUMBER(SEARCH(실물목록!$P$2:$P$1001,I2040))*(실물목록!$Q$2:$Q$1001&lt;&gt;"")*ISNUMBER(SEARCH(실물목록!$Q$2:$Q$1001,I2040))*(실물목록!$R$2:$R$1001="")*(실물목록!$O$2:$O$1001&lt;&gt;"")*(실물목록!$O$2:$O$1001=H2040))&gt;0,"실물 있음",IF(SUMPRODUCT((실물목록!$P$2:$P$1001&lt;&gt;"")*ISNUMBER(SEARCH(실물목록!$P$2:$P$1001,I2040))*(실물목록!$R$2:$R$1001&lt;&gt;""))&gt;0,"확인필요(입력누락)",IF(SUMPRODUCT((실물목록!$P$2:$P$1001&lt;&gt;"")*ISNUMBER(SEARCH(실물목록!$P$2:$P$1001,I2040))*(실물목록!$Q$2:$Q$1001&lt;&gt;"")*ISNUMBER(SEARCH(실물목록!$Q$2:$Q$1001,I2040))*(실물목록!$R$2:$R$1001="")*(실물목록!$O$2:$O$1001&lt;&gt;""))&gt;0,"확인필요(연도다름)","실물 없음")))))</f>
      </c>
      <c r="G2040" t="n" s="16">
        <f aca="0">IF(B2040="","",SUMPRODUCT((실물목록!$P$2:$P$1001&lt;&gt;"")*ISNUMBER(SEARCH(실물목록!$P$2:$P$1001,I2040))*(실물목록!$Q$2:$Q$1001&lt;&gt;"")*ISNUMBER(SEARCH(실물목록!$Q$2:$Q$1001,I2040))*(실물목록!$R$2:$R$1001="")*(실물목록!$O$2:$O$1001&lt;&gt;"")*(실물목록!$O$2:$O$1001=H2040)))</f>
      </c>
      <c r="H2040" t="str">
        <f>IFERROR(IF(AND(LEN(SUBSTITUTE(SUBSTITUTE(SUBSTITUTE(TRIM(A2040&amp;""),CHAR(160),"")," ",""),"년",""))=4,VALUE(SUBSTITUTE(SUBSTITUTE(SUBSTITUTE(TRIM(A2040&amp;""),CHAR(160),"")," ",""),"년",""))&gt;=1900,VALUE(SUBSTITUTE(SUBSTITUTE(SUBSTITUTE(TRIM(A2040&amp;""),CHAR(160),"")," ",""),"년",""))&lt;=2099,TEXT(VALUE(SUBSTITUTE(SUBSTITUTE(SUBSTITUTE(TRIM(A2040&amp;""),CHAR(160),"")," ",""),"년","")),"0000")=SUBSTITUTE(SUBSTITUTE(SUBSTITUTE(TRIM(A2040&amp;""),CHAR(160),"")," ",""),"년","")),SUBSTITUTE(SUBSTITUTE(SUBSTITUTE(TRIM(A2040&amp;""),CHAR(160),"")," ",""),"년",""),""),"")</f>
      </c>
      <c r="I2040" t="str">
        <f>SUBSTITUTE(SUBSTITUTE(SUBSTITUTE(SUBSTITUTE(SUBSTITUTE(TRIM(B2040&amp;""),CHAR(160),"")," ",""),"초등학교","초"),"중학교","중"),"고등학교","고")</f>
      </c>
    </row>
    <row r="2041" customFormat="false" ht="15" hidden="false" customHeight="false" outlineLevel="0" collapsed="false">
      <c r="A2041" s="8"/>
      <c r="B2041" s="8"/>
      <c r="C2041" s="8"/>
      <c r="D2041" s="8"/>
      <c r="E2041" s="8"/>
      <c r="F2041" t="str" s="15">
        <f aca="0">IF(B2041="","",IF(H2041="","확인필요(입력누락)",IF(SUMPRODUCT((실물목록!$P$2:$P$1001&lt;&gt;"")*ISNUMBER(SEARCH(실물목록!$P$2:$P$1001,I2041))*(실물목록!$Q$2:$Q$1001&lt;&gt;"")*ISNUMBER(SEARCH(실물목록!$Q$2:$Q$1001,I2041))*(실물목록!$R$2:$R$1001="")*(실물목록!$O$2:$O$1001&lt;&gt;"")*(실물목록!$O$2:$O$1001=H2041))&gt;0,"실물 있음",IF(SUMPRODUCT((실물목록!$P$2:$P$1001&lt;&gt;"")*ISNUMBER(SEARCH(실물목록!$P$2:$P$1001,I2041))*(실물목록!$R$2:$R$1001&lt;&gt;""))&gt;0,"확인필요(입력누락)",IF(SUMPRODUCT((실물목록!$P$2:$P$1001&lt;&gt;"")*ISNUMBER(SEARCH(실물목록!$P$2:$P$1001,I2041))*(실물목록!$Q$2:$Q$1001&lt;&gt;"")*ISNUMBER(SEARCH(실물목록!$Q$2:$Q$1001,I2041))*(실물목록!$R$2:$R$1001="")*(실물목록!$O$2:$O$1001&lt;&gt;""))&gt;0,"확인필요(연도다름)","실물 없음")))))</f>
      </c>
      <c r="G2041" t="n" s="16">
        <f aca="0">IF(B2041="","",SUMPRODUCT((실물목록!$P$2:$P$1001&lt;&gt;"")*ISNUMBER(SEARCH(실물목록!$P$2:$P$1001,I2041))*(실물목록!$Q$2:$Q$1001&lt;&gt;"")*ISNUMBER(SEARCH(실물목록!$Q$2:$Q$1001,I2041))*(실물목록!$R$2:$R$1001="")*(실물목록!$O$2:$O$1001&lt;&gt;"")*(실물목록!$O$2:$O$1001=H2041)))</f>
      </c>
      <c r="H2041" t="str">
        <f>IFERROR(IF(AND(LEN(SUBSTITUTE(SUBSTITUTE(SUBSTITUTE(TRIM(A2041&amp;""),CHAR(160),"")," ",""),"년",""))=4,VALUE(SUBSTITUTE(SUBSTITUTE(SUBSTITUTE(TRIM(A2041&amp;""),CHAR(160),"")," ",""),"년",""))&gt;=1900,VALUE(SUBSTITUTE(SUBSTITUTE(SUBSTITUTE(TRIM(A2041&amp;""),CHAR(160),"")," ",""),"년",""))&lt;=2099,TEXT(VALUE(SUBSTITUTE(SUBSTITUTE(SUBSTITUTE(TRIM(A2041&amp;""),CHAR(160),"")," ",""),"년","")),"0000")=SUBSTITUTE(SUBSTITUTE(SUBSTITUTE(TRIM(A2041&amp;""),CHAR(160),"")," ",""),"년","")),SUBSTITUTE(SUBSTITUTE(SUBSTITUTE(TRIM(A2041&amp;""),CHAR(160),"")," ",""),"년",""),""),"")</f>
      </c>
      <c r="I2041" t="str">
        <f>SUBSTITUTE(SUBSTITUTE(SUBSTITUTE(SUBSTITUTE(SUBSTITUTE(TRIM(B2041&amp;""),CHAR(160),"")," ",""),"초등학교","초"),"중학교","중"),"고등학교","고")</f>
      </c>
    </row>
    <row r="2042" customFormat="false" ht="15" hidden="false" customHeight="false" outlineLevel="0" collapsed="false">
      <c r="A2042" s="8"/>
      <c r="B2042" s="8"/>
      <c r="C2042" s="8"/>
      <c r="D2042" s="8"/>
      <c r="E2042" s="8"/>
      <c r="F2042" t="str" s="15">
        <f aca="0">IF(B2042="","",IF(H2042="","확인필요(입력누락)",IF(SUMPRODUCT((실물목록!$P$2:$P$1001&lt;&gt;"")*ISNUMBER(SEARCH(실물목록!$P$2:$P$1001,I2042))*(실물목록!$Q$2:$Q$1001&lt;&gt;"")*ISNUMBER(SEARCH(실물목록!$Q$2:$Q$1001,I2042))*(실물목록!$R$2:$R$1001="")*(실물목록!$O$2:$O$1001&lt;&gt;"")*(실물목록!$O$2:$O$1001=H2042))&gt;0,"실물 있음",IF(SUMPRODUCT((실물목록!$P$2:$P$1001&lt;&gt;"")*ISNUMBER(SEARCH(실물목록!$P$2:$P$1001,I2042))*(실물목록!$R$2:$R$1001&lt;&gt;""))&gt;0,"확인필요(입력누락)",IF(SUMPRODUCT((실물목록!$P$2:$P$1001&lt;&gt;"")*ISNUMBER(SEARCH(실물목록!$P$2:$P$1001,I2042))*(실물목록!$Q$2:$Q$1001&lt;&gt;"")*ISNUMBER(SEARCH(실물목록!$Q$2:$Q$1001,I2042))*(실물목록!$R$2:$R$1001="")*(실물목록!$O$2:$O$1001&lt;&gt;""))&gt;0,"확인필요(연도다름)","실물 없음")))))</f>
      </c>
      <c r="G2042" t="n" s="16">
        <f aca="0">IF(B2042="","",SUMPRODUCT((실물목록!$P$2:$P$1001&lt;&gt;"")*ISNUMBER(SEARCH(실물목록!$P$2:$P$1001,I2042))*(실물목록!$Q$2:$Q$1001&lt;&gt;"")*ISNUMBER(SEARCH(실물목록!$Q$2:$Q$1001,I2042))*(실물목록!$R$2:$R$1001="")*(실물목록!$O$2:$O$1001&lt;&gt;"")*(실물목록!$O$2:$O$1001=H2042)))</f>
      </c>
      <c r="H2042" t="str">
        <f>IFERROR(IF(AND(LEN(SUBSTITUTE(SUBSTITUTE(SUBSTITUTE(TRIM(A2042&amp;""),CHAR(160),"")," ",""),"년",""))=4,VALUE(SUBSTITUTE(SUBSTITUTE(SUBSTITUTE(TRIM(A2042&amp;""),CHAR(160),"")," ",""),"년",""))&gt;=1900,VALUE(SUBSTITUTE(SUBSTITUTE(SUBSTITUTE(TRIM(A2042&amp;""),CHAR(160),"")," ",""),"년",""))&lt;=2099,TEXT(VALUE(SUBSTITUTE(SUBSTITUTE(SUBSTITUTE(TRIM(A2042&amp;""),CHAR(160),"")," ",""),"년","")),"0000")=SUBSTITUTE(SUBSTITUTE(SUBSTITUTE(TRIM(A2042&amp;""),CHAR(160),"")," ",""),"년","")),SUBSTITUTE(SUBSTITUTE(SUBSTITUTE(TRIM(A2042&amp;""),CHAR(160),"")," ",""),"년",""),""),"")</f>
      </c>
      <c r="I2042" t="str">
        <f>SUBSTITUTE(SUBSTITUTE(SUBSTITUTE(SUBSTITUTE(SUBSTITUTE(TRIM(B2042&amp;""),CHAR(160),"")," ",""),"초등학교","초"),"중학교","중"),"고등학교","고")</f>
      </c>
    </row>
    <row r="2043" customFormat="false" ht="15" hidden="false" customHeight="false" outlineLevel="0" collapsed="false">
      <c r="A2043" s="8"/>
      <c r="B2043" s="8"/>
      <c r="C2043" s="8"/>
      <c r="D2043" s="8"/>
      <c r="E2043" s="8"/>
      <c r="F2043" t="str" s="15">
        <f aca="0">IF(B2043="","",IF(H2043="","확인필요(입력누락)",IF(SUMPRODUCT((실물목록!$P$2:$P$1001&lt;&gt;"")*ISNUMBER(SEARCH(실물목록!$P$2:$P$1001,I2043))*(실물목록!$Q$2:$Q$1001&lt;&gt;"")*ISNUMBER(SEARCH(실물목록!$Q$2:$Q$1001,I2043))*(실물목록!$R$2:$R$1001="")*(실물목록!$O$2:$O$1001&lt;&gt;"")*(실물목록!$O$2:$O$1001=H2043))&gt;0,"실물 있음",IF(SUMPRODUCT((실물목록!$P$2:$P$1001&lt;&gt;"")*ISNUMBER(SEARCH(실물목록!$P$2:$P$1001,I2043))*(실물목록!$R$2:$R$1001&lt;&gt;""))&gt;0,"확인필요(입력누락)",IF(SUMPRODUCT((실물목록!$P$2:$P$1001&lt;&gt;"")*ISNUMBER(SEARCH(실물목록!$P$2:$P$1001,I2043))*(실물목록!$Q$2:$Q$1001&lt;&gt;"")*ISNUMBER(SEARCH(실물목록!$Q$2:$Q$1001,I2043))*(실물목록!$R$2:$R$1001="")*(실물목록!$O$2:$O$1001&lt;&gt;""))&gt;0,"확인필요(연도다름)","실물 없음")))))</f>
      </c>
      <c r="G2043" t="n" s="16">
        <f aca="0">IF(B2043="","",SUMPRODUCT((실물목록!$P$2:$P$1001&lt;&gt;"")*ISNUMBER(SEARCH(실물목록!$P$2:$P$1001,I2043))*(실물목록!$Q$2:$Q$1001&lt;&gt;"")*ISNUMBER(SEARCH(실물목록!$Q$2:$Q$1001,I2043))*(실물목록!$R$2:$R$1001="")*(실물목록!$O$2:$O$1001&lt;&gt;"")*(실물목록!$O$2:$O$1001=H2043)))</f>
      </c>
      <c r="H2043" t="str">
        <f>IFERROR(IF(AND(LEN(SUBSTITUTE(SUBSTITUTE(SUBSTITUTE(TRIM(A2043&amp;""),CHAR(160),"")," ",""),"년",""))=4,VALUE(SUBSTITUTE(SUBSTITUTE(SUBSTITUTE(TRIM(A2043&amp;""),CHAR(160),"")," ",""),"년",""))&gt;=1900,VALUE(SUBSTITUTE(SUBSTITUTE(SUBSTITUTE(TRIM(A2043&amp;""),CHAR(160),"")," ",""),"년",""))&lt;=2099,TEXT(VALUE(SUBSTITUTE(SUBSTITUTE(SUBSTITUTE(TRIM(A2043&amp;""),CHAR(160),"")," ",""),"년","")),"0000")=SUBSTITUTE(SUBSTITUTE(SUBSTITUTE(TRIM(A2043&amp;""),CHAR(160),"")," ",""),"년","")),SUBSTITUTE(SUBSTITUTE(SUBSTITUTE(TRIM(A2043&amp;""),CHAR(160),"")," ",""),"년",""),""),"")</f>
      </c>
      <c r="I2043" t="str">
        <f>SUBSTITUTE(SUBSTITUTE(SUBSTITUTE(SUBSTITUTE(SUBSTITUTE(TRIM(B2043&amp;""),CHAR(160),"")," ",""),"초등학교","초"),"중학교","중"),"고등학교","고")</f>
      </c>
    </row>
    <row r="2044" customFormat="false" ht="15" hidden="false" customHeight="false" outlineLevel="0" collapsed="false">
      <c r="A2044" s="8"/>
      <c r="B2044" s="8"/>
      <c r="C2044" s="8"/>
      <c r="D2044" s="8"/>
      <c r="E2044" s="8"/>
      <c r="F2044" t="str" s="15">
        <f aca="0">IF(B2044="","",IF(H2044="","확인필요(입력누락)",IF(SUMPRODUCT((실물목록!$P$2:$P$1001&lt;&gt;"")*ISNUMBER(SEARCH(실물목록!$P$2:$P$1001,I2044))*(실물목록!$Q$2:$Q$1001&lt;&gt;"")*ISNUMBER(SEARCH(실물목록!$Q$2:$Q$1001,I2044))*(실물목록!$R$2:$R$1001="")*(실물목록!$O$2:$O$1001&lt;&gt;"")*(실물목록!$O$2:$O$1001=H2044))&gt;0,"실물 있음",IF(SUMPRODUCT((실물목록!$P$2:$P$1001&lt;&gt;"")*ISNUMBER(SEARCH(실물목록!$P$2:$P$1001,I2044))*(실물목록!$R$2:$R$1001&lt;&gt;""))&gt;0,"확인필요(입력누락)",IF(SUMPRODUCT((실물목록!$P$2:$P$1001&lt;&gt;"")*ISNUMBER(SEARCH(실물목록!$P$2:$P$1001,I2044))*(실물목록!$Q$2:$Q$1001&lt;&gt;"")*ISNUMBER(SEARCH(실물목록!$Q$2:$Q$1001,I2044))*(실물목록!$R$2:$R$1001="")*(실물목록!$O$2:$O$1001&lt;&gt;""))&gt;0,"확인필요(연도다름)","실물 없음")))))</f>
      </c>
      <c r="G2044" t="n" s="16">
        <f aca="0">IF(B2044="","",SUMPRODUCT((실물목록!$P$2:$P$1001&lt;&gt;"")*ISNUMBER(SEARCH(실물목록!$P$2:$P$1001,I2044))*(실물목록!$Q$2:$Q$1001&lt;&gt;"")*ISNUMBER(SEARCH(실물목록!$Q$2:$Q$1001,I2044))*(실물목록!$R$2:$R$1001="")*(실물목록!$O$2:$O$1001&lt;&gt;"")*(실물목록!$O$2:$O$1001=H2044)))</f>
      </c>
      <c r="H2044" t="str">
        <f>IFERROR(IF(AND(LEN(SUBSTITUTE(SUBSTITUTE(SUBSTITUTE(TRIM(A2044&amp;""),CHAR(160),"")," ",""),"년",""))=4,VALUE(SUBSTITUTE(SUBSTITUTE(SUBSTITUTE(TRIM(A2044&amp;""),CHAR(160),"")," ",""),"년",""))&gt;=1900,VALUE(SUBSTITUTE(SUBSTITUTE(SUBSTITUTE(TRIM(A2044&amp;""),CHAR(160),"")," ",""),"년",""))&lt;=2099,TEXT(VALUE(SUBSTITUTE(SUBSTITUTE(SUBSTITUTE(TRIM(A2044&amp;""),CHAR(160),"")," ",""),"년","")),"0000")=SUBSTITUTE(SUBSTITUTE(SUBSTITUTE(TRIM(A2044&amp;""),CHAR(160),"")," ",""),"년","")),SUBSTITUTE(SUBSTITUTE(SUBSTITUTE(TRIM(A2044&amp;""),CHAR(160),"")," ",""),"년",""),""),"")</f>
      </c>
      <c r="I2044" t="str">
        <f>SUBSTITUTE(SUBSTITUTE(SUBSTITUTE(SUBSTITUTE(SUBSTITUTE(TRIM(B2044&amp;""),CHAR(160),"")," ",""),"초등학교","초"),"중학교","중"),"고등학교","고")</f>
      </c>
    </row>
    <row r="2045" customFormat="false" ht="15" hidden="false" customHeight="false" outlineLevel="0" collapsed="false">
      <c r="A2045" s="8"/>
      <c r="B2045" s="8"/>
      <c r="C2045" s="8"/>
      <c r="D2045" s="8"/>
      <c r="E2045" s="8"/>
      <c r="F2045" t="str" s="15">
        <f aca="0">IF(B2045="","",IF(H2045="","확인필요(입력누락)",IF(SUMPRODUCT((실물목록!$P$2:$P$1001&lt;&gt;"")*ISNUMBER(SEARCH(실물목록!$P$2:$P$1001,I2045))*(실물목록!$Q$2:$Q$1001&lt;&gt;"")*ISNUMBER(SEARCH(실물목록!$Q$2:$Q$1001,I2045))*(실물목록!$R$2:$R$1001="")*(실물목록!$O$2:$O$1001&lt;&gt;"")*(실물목록!$O$2:$O$1001=H2045))&gt;0,"실물 있음",IF(SUMPRODUCT((실물목록!$P$2:$P$1001&lt;&gt;"")*ISNUMBER(SEARCH(실물목록!$P$2:$P$1001,I2045))*(실물목록!$R$2:$R$1001&lt;&gt;""))&gt;0,"확인필요(입력누락)",IF(SUMPRODUCT((실물목록!$P$2:$P$1001&lt;&gt;"")*ISNUMBER(SEARCH(실물목록!$P$2:$P$1001,I2045))*(실물목록!$Q$2:$Q$1001&lt;&gt;"")*ISNUMBER(SEARCH(실물목록!$Q$2:$Q$1001,I2045))*(실물목록!$R$2:$R$1001="")*(실물목록!$O$2:$O$1001&lt;&gt;""))&gt;0,"확인필요(연도다름)","실물 없음")))))</f>
      </c>
      <c r="G2045" t="n" s="16">
        <f aca="0">IF(B2045="","",SUMPRODUCT((실물목록!$P$2:$P$1001&lt;&gt;"")*ISNUMBER(SEARCH(실물목록!$P$2:$P$1001,I2045))*(실물목록!$Q$2:$Q$1001&lt;&gt;"")*ISNUMBER(SEARCH(실물목록!$Q$2:$Q$1001,I2045))*(실물목록!$R$2:$R$1001="")*(실물목록!$O$2:$O$1001&lt;&gt;"")*(실물목록!$O$2:$O$1001=H2045)))</f>
      </c>
      <c r="H2045" t="str">
        <f>IFERROR(IF(AND(LEN(SUBSTITUTE(SUBSTITUTE(SUBSTITUTE(TRIM(A2045&amp;""),CHAR(160),"")," ",""),"년",""))=4,VALUE(SUBSTITUTE(SUBSTITUTE(SUBSTITUTE(TRIM(A2045&amp;""),CHAR(160),"")," ",""),"년",""))&gt;=1900,VALUE(SUBSTITUTE(SUBSTITUTE(SUBSTITUTE(TRIM(A2045&amp;""),CHAR(160),"")," ",""),"년",""))&lt;=2099,TEXT(VALUE(SUBSTITUTE(SUBSTITUTE(SUBSTITUTE(TRIM(A2045&amp;""),CHAR(160),"")," ",""),"년","")),"0000")=SUBSTITUTE(SUBSTITUTE(SUBSTITUTE(TRIM(A2045&amp;""),CHAR(160),"")," ",""),"년","")),SUBSTITUTE(SUBSTITUTE(SUBSTITUTE(TRIM(A2045&amp;""),CHAR(160),"")," ",""),"년",""),""),"")</f>
      </c>
      <c r="I2045" t="str">
        <f>SUBSTITUTE(SUBSTITUTE(SUBSTITUTE(SUBSTITUTE(SUBSTITUTE(TRIM(B2045&amp;""),CHAR(160),"")," ",""),"초등학교","초"),"중학교","중"),"고등학교","고")</f>
      </c>
    </row>
    <row r="2046" customFormat="false" ht="15" hidden="false" customHeight="false" outlineLevel="0" collapsed="false">
      <c r="A2046" s="8"/>
      <c r="B2046" s="8"/>
      <c r="C2046" s="8"/>
      <c r="D2046" s="8"/>
      <c r="E2046" s="8"/>
      <c r="F2046" t="str" s="15">
        <f aca="0">IF(B2046="","",IF(H2046="","확인필요(입력누락)",IF(SUMPRODUCT((실물목록!$P$2:$P$1001&lt;&gt;"")*ISNUMBER(SEARCH(실물목록!$P$2:$P$1001,I2046))*(실물목록!$Q$2:$Q$1001&lt;&gt;"")*ISNUMBER(SEARCH(실물목록!$Q$2:$Q$1001,I2046))*(실물목록!$R$2:$R$1001="")*(실물목록!$O$2:$O$1001&lt;&gt;"")*(실물목록!$O$2:$O$1001=H2046))&gt;0,"실물 있음",IF(SUMPRODUCT((실물목록!$P$2:$P$1001&lt;&gt;"")*ISNUMBER(SEARCH(실물목록!$P$2:$P$1001,I2046))*(실물목록!$R$2:$R$1001&lt;&gt;""))&gt;0,"확인필요(입력누락)",IF(SUMPRODUCT((실물목록!$P$2:$P$1001&lt;&gt;"")*ISNUMBER(SEARCH(실물목록!$P$2:$P$1001,I2046))*(실물목록!$Q$2:$Q$1001&lt;&gt;"")*ISNUMBER(SEARCH(실물목록!$Q$2:$Q$1001,I2046))*(실물목록!$R$2:$R$1001="")*(실물목록!$O$2:$O$1001&lt;&gt;""))&gt;0,"확인필요(연도다름)","실물 없음")))))</f>
      </c>
      <c r="G2046" t="n" s="16">
        <f aca="0">IF(B2046="","",SUMPRODUCT((실물목록!$P$2:$P$1001&lt;&gt;"")*ISNUMBER(SEARCH(실물목록!$P$2:$P$1001,I2046))*(실물목록!$Q$2:$Q$1001&lt;&gt;"")*ISNUMBER(SEARCH(실물목록!$Q$2:$Q$1001,I2046))*(실물목록!$R$2:$R$1001="")*(실물목록!$O$2:$O$1001&lt;&gt;"")*(실물목록!$O$2:$O$1001=H2046)))</f>
      </c>
      <c r="H2046" t="str">
        <f>IFERROR(IF(AND(LEN(SUBSTITUTE(SUBSTITUTE(SUBSTITUTE(TRIM(A2046&amp;""),CHAR(160),"")," ",""),"년",""))=4,VALUE(SUBSTITUTE(SUBSTITUTE(SUBSTITUTE(TRIM(A2046&amp;""),CHAR(160),"")," ",""),"년",""))&gt;=1900,VALUE(SUBSTITUTE(SUBSTITUTE(SUBSTITUTE(TRIM(A2046&amp;""),CHAR(160),"")," ",""),"년",""))&lt;=2099,TEXT(VALUE(SUBSTITUTE(SUBSTITUTE(SUBSTITUTE(TRIM(A2046&amp;""),CHAR(160),"")," ",""),"년","")),"0000")=SUBSTITUTE(SUBSTITUTE(SUBSTITUTE(TRIM(A2046&amp;""),CHAR(160),"")," ",""),"년","")),SUBSTITUTE(SUBSTITUTE(SUBSTITUTE(TRIM(A2046&amp;""),CHAR(160),"")," ",""),"년",""),""),"")</f>
      </c>
      <c r="I2046" t="str">
        <f>SUBSTITUTE(SUBSTITUTE(SUBSTITUTE(SUBSTITUTE(SUBSTITUTE(TRIM(B2046&amp;""),CHAR(160),"")," ",""),"초등학교","초"),"중학교","중"),"고등학교","고")</f>
      </c>
    </row>
    <row r="2047" customFormat="false" ht="15" hidden="false" customHeight="false" outlineLevel="0" collapsed="false">
      <c r="A2047" s="8"/>
      <c r="B2047" s="8"/>
      <c r="C2047" s="8"/>
      <c r="D2047" s="8"/>
      <c r="E2047" s="8"/>
      <c r="F2047" t="str" s="15">
        <f aca="0">IF(B2047="","",IF(H2047="","확인필요(입력누락)",IF(SUMPRODUCT((실물목록!$P$2:$P$1001&lt;&gt;"")*ISNUMBER(SEARCH(실물목록!$P$2:$P$1001,I2047))*(실물목록!$Q$2:$Q$1001&lt;&gt;"")*ISNUMBER(SEARCH(실물목록!$Q$2:$Q$1001,I2047))*(실물목록!$R$2:$R$1001="")*(실물목록!$O$2:$O$1001&lt;&gt;"")*(실물목록!$O$2:$O$1001=H2047))&gt;0,"실물 있음",IF(SUMPRODUCT((실물목록!$P$2:$P$1001&lt;&gt;"")*ISNUMBER(SEARCH(실물목록!$P$2:$P$1001,I2047))*(실물목록!$R$2:$R$1001&lt;&gt;""))&gt;0,"확인필요(입력누락)",IF(SUMPRODUCT((실물목록!$P$2:$P$1001&lt;&gt;"")*ISNUMBER(SEARCH(실물목록!$P$2:$P$1001,I2047))*(실물목록!$Q$2:$Q$1001&lt;&gt;"")*ISNUMBER(SEARCH(실물목록!$Q$2:$Q$1001,I2047))*(실물목록!$R$2:$R$1001="")*(실물목록!$O$2:$O$1001&lt;&gt;""))&gt;0,"확인필요(연도다름)","실물 없음")))))</f>
      </c>
      <c r="G2047" t="n" s="16">
        <f aca="0">IF(B2047="","",SUMPRODUCT((실물목록!$P$2:$P$1001&lt;&gt;"")*ISNUMBER(SEARCH(실물목록!$P$2:$P$1001,I2047))*(실물목록!$Q$2:$Q$1001&lt;&gt;"")*ISNUMBER(SEARCH(실물목록!$Q$2:$Q$1001,I2047))*(실물목록!$R$2:$R$1001="")*(실물목록!$O$2:$O$1001&lt;&gt;"")*(실물목록!$O$2:$O$1001=H2047)))</f>
      </c>
      <c r="H2047" t="str">
        <f>IFERROR(IF(AND(LEN(SUBSTITUTE(SUBSTITUTE(SUBSTITUTE(TRIM(A2047&amp;""),CHAR(160),"")," ",""),"년",""))=4,VALUE(SUBSTITUTE(SUBSTITUTE(SUBSTITUTE(TRIM(A2047&amp;""),CHAR(160),"")," ",""),"년",""))&gt;=1900,VALUE(SUBSTITUTE(SUBSTITUTE(SUBSTITUTE(TRIM(A2047&amp;""),CHAR(160),"")," ",""),"년",""))&lt;=2099,TEXT(VALUE(SUBSTITUTE(SUBSTITUTE(SUBSTITUTE(TRIM(A2047&amp;""),CHAR(160),"")," ",""),"년","")),"0000")=SUBSTITUTE(SUBSTITUTE(SUBSTITUTE(TRIM(A2047&amp;""),CHAR(160),"")," ",""),"년","")),SUBSTITUTE(SUBSTITUTE(SUBSTITUTE(TRIM(A2047&amp;""),CHAR(160),"")," ",""),"년",""),""),"")</f>
      </c>
      <c r="I2047" t="str">
        <f>SUBSTITUTE(SUBSTITUTE(SUBSTITUTE(SUBSTITUTE(SUBSTITUTE(TRIM(B2047&amp;""),CHAR(160),"")," ",""),"초등학교","초"),"중학교","중"),"고등학교","고")</f>
      </c>
    </row>
    <row r="2048" customFormat="false" ht="15" hidden="false" customHeight="false" outlineLevel="0" collapsed="false">
      <c r="A2048" s="8"/>
      <c r="B2048" s="8"/>
      <c r="C2048" s="8"/>
      <c r="D2048" s="8"/>
      <c r="E2048" s="8"/>
      <c r="F2048" t="str" s="15">
        <f aca="0">IF(B2048="","",IF(H2048="","확인필요(입력누락)",IF(SUMPRODUCT((실물목록!$P$2:$P$1001&lt;&gt;"")*ISNUMBER(SEARCH(실물목록!$P$2:$P$1001,I2048))*(실물목록!$Q$2:$Q$1001&lt;&gt;"")*ISNUMBER(SEARCH(실물목록!$Q$2:$Q$1001,I2048))*(실물목록!$R$2:$R$1001="")*(실물목록!$O$2:$O$1001&lt;&gt;"")*(실물목록!$O$2:$O$1001=H2048))&gt;0,"실물 있음",IF(SUMPRODUCT((실물목록!$P$2:$P$1001&lt;&gt;"")*ISNUMBER(SEARCH(실물목록!$P$2:$P$1001,I2048))*(실물목록!$R$2:$R$1001&lt;&gt;""))&gt;0,"확인필요(입력누락)",IF(SUMPRODUCT((실물목록!$P$2:$P$1001&lt;&gt;"")*ISNUMBER(SEARCH(실물목록!$P$2:$P$1001,I2048))*(실물목록!$Q$2:$Q$1001&lt;&gt;"")*ISNUMBER(SEARCH(실물목록!$Q$2:$Q$1001,I2048))*(실물목록!$R$2:$R$1001="")*(실물목록!$O$2:$O$1001&lt;&gt;""))&gt;0,"확인필요(연도다름)","실물 없음")))))</f>
      </c>
      <c r="G2048" t="n" s="16">
        <f aca="0">IF(B2048="","",SUMPRODUCT((실물목록!$P$2:$P$1001&lt;&gt;"")*ISNUMBER(SEARCH(실물목록!$P$2:$P$1001,I2048))*(실물목록!$Q$2:$Q$1001&lt;&gt;"")*ISNUMBER(SEARCH(실물목록!$Q$2:$Q$1001,I2048))*(실물목록!$R$2:$R$1001="")*(실물목록!$O$2:$O$1001&lt;&gt;"")*(실물목록!$O$2:$O$1001=H2048)))</f>
      </c>
      <c r="H2048" t="str">
        <f>IFERROR(IF(AND(LEN(SUBSTITUTE(SUBSTITUTE(SUBSTITUTE(TRIM(A2048&amp;""),CHAR(160),"")," ",""),"년",""))=4,VALUE(SUBSTITUTE(SUBSTITUTE(SUBSTITUTE(TRIM(A2048&amp;""),CHAR(160),"")," ",""),"년",""))&gt;=1900,VALUE(SUBSTITUTE(SUBSTITUTE(SUBSTITUTE(TRIM(A2048&amp;""),CHAR(160),"")," ",""),"년",""))&lt;=2099,TEXT(VALUE(SUBSTITUTE(SUBSTITUTE(SUBSTITUTE(TRIM(A2048&amp;""),CHAR(160),"")," ",""),"년","")),"0000")=SUBSTITUTE(SUBSTITUTE(SUBSTITUTE(TRIM(A2048&amp;""),CHAR(160),"")," ",""),"년","")),SUBSTITUTE(SUBSTITUTE(SUBSTITUTE(TRIM(A2048&amp;""),CHAR(160),"")," ",""),"년",""),""),"")</f>
      </c>
      <c r="I2048" t="str">
        <f>SUBSTITUTE(SUBSTITUTE(SUBSTITUTE(SUBSTITUTE(SUBSTITUTE(TRIM(B2048&amp;""),CHAR(160),"")," ",""),"초등학교","초"),"중학교","중"),"고등학교","고")</f>
      </c>
    </row>
    <row r="2049" customFormat="false" ht="15" hidden="false" customHeight="false" outlineLevel="0" collapsed="false">
      <c r="A2049" s="8"/>
      <c r="B2049" s="8"/>
      <c r="C2049" s="8"/>
      <c r="D2049" s="8"/>
      <c r="E2049" s="8"/>
      <c r="F2049" t="str" s="15">
        <f aca="0">IF(B2049="","",IF(H2049="","확인필요(입력누락)",IF(SUMPRODUCT((실물목록!$P$2:$P$1001&lt;&gt;"")*ISNUMBER(SEARCH(실물목록!$P$2:$P$1001,I2049))*(실물목록!$Q$2:$Q$1001&lt;&gt;"")*ISNUMBER(SEARCH(실물목록!$Q$2:$Q$1001,I2049))*(실물목록!$R$2:$R$1001="")*(실물목록!$O$2:$O$1001&lt;&gt;"")*(실물목록!$O$2:$O$1001=H2049))&gt;0,"실물 있음",IF(SUMPRODUCT((실물목록!$P$2:$P$1001&lt;&gt;"")*ISNUMBER(SEARCH(실물목록!$P$2:$P$1001,I2049))*(실물목록!$R$2:$R$1001&lt;&gt;""))&gt;0,"확인필요(입력누락)",IF(SUMPRODUCT((실물목록!$P$2:$P$1001&lt;&gt;"")*ISNUMBER(SEARCH(실물목록!$P$2:$P$1001,I2049))*(실물목록!$Q$2:$Q$1001&lt;&gt;"")*ISNUMBER(SEARCH(실물목록!$Q$2:$Q$1001,I2049))*(실물목록!$R$2:$R$1001="")*(실물목록!$O$2:$O$1001&lt;&gt;""))&gt;0,"확인필요(연도다름)","실물 없음")))))</f>
      </c>
      <c r="G2049" t="n" s="16">
        <f aca="0">IF(B2049="","",SUMPRODUCT((실물목록!$P$2:$P$1001&lt;&gt;"")*ISNUMBER(SEARCH(실물목록!$P$2:$P$1001,I2049))*(실물목록!$Q$2:$Q$1001&lt;&gt;"")*ISNUMBER(SEARCH(실물목록!$Q$2:$Q$1001,I2049))*(실물목록!$R$2:$R$1001="")*(실물목록!$O$2:$O$1001&lt;&gt;"")*(실물목록!$O$2:$O$1001=H2049)))</f>
      </c>
      <c r="H2049" t="str">
        <f>IFERROR(IF(AND(LEN(SUBSTITUTE(SUBSTITUTE(SUBSTITUTE(TRIM(A2049&amp;""),CHAR(160),"")," ",""),"년",""))=4,VALUE(SUBSTITUTE(SUBSTITUTE(SUBSTITUTE(TRIM(A2049&amp;""),CHAR(160),"")," ",""),"년",""))&gt;=1900,VALUE(SUBSTITUTE(SUBSTITUTE(SUBSTITUTE(TRIM(A2049&amp;""),CHAR(160),"")," ",""),"년",""))&lt;=2099,TEXT(VALUE(SUBSTITUTE(SUBSTITUTE(SUBSTITUTE(TRIM(A2049&amp;""),CHAR(160),"")," ",""),"년","")),"0000")=SUBSTITUTE(SUBSTITUTE(SUBSTITUTE(TRIM(A2049&amp;""),CHAR(160),"")," ",""),"년","")),SUBSTITUTE(SUBSTITUTE(SUBSTITUTE(TRIM(A2049&amp;""),CHAR(160),"")," ",""),"년",""),""),"")</f>
      </c>
      <c r="I2049" t="str">
        <f>SUBSTITUTE(SUBSTITUTE(SUBSTITUTE(SUBSTITUTE(SUBSTITUTE(TRIM(B2049&amp;""),CHAR(160),"")," ",""),"초등학교","초"),"중학교","중"),"고등학교","고")</f>
      </c>
    </row>
    <row r="2050" customFormat="false" ht="15" hidden="false" customHeight="false" outlineLevel="0" collapsed="false">
      <c r="A2050" s="8"/>
      <c r="B2050" s="8"/>
      <c r="C2050" s="8"/>
      <c r="D2050" s="8"/>
      <c r="E2050" s="8"/>
      <c r="F2050" t="str" s="15">
        <f aca="0">IF(B2050="","",IF(H2050="","확인필요(입력누락)",IF(SUMPRODUCT((실물목록!$P$2:$P$1001&lt;&gt;"")*ISNUMBER(SEARCH(실물목록!$P$2:$P$1001,I2050))*(실물목록!$Q$2:$Q$1001&lt;&gt;"")*ISNUMBER(SEARCH(실물목록!$Q$2:$Q$1001,I2050))*(실물목록!$R$2:$R$1001="")*(실물목록!$O$2:$O$1001&lt;&gt;"")*(실물목록!$O$2:$O$1001=H2050))&gt;0,"실물 있음",IF(SUMPRODUCT((실물목록!$P$2:$P$1001&lt;&gt;"")*ISNUMBER(SEARCH(실물목록!$P$2:$P$1001,I2050))*(실물목록!$R$2:$R$1001&lt;&gt;""))&gt;0,"확인필요(입력누락)",IF(SUMPRODUCT((실물목록!$P$2:$P$1001&lt;&gt;"")*ISNUMBER(SEARCH(실물목록!$P$2:$P$1001,I2050))*(실물목록!$Q$2:$Q$1001&lt;&gt;"")*ISNUMBER(SEARCH(실물목록!$Q$2:$Q$1001,I2050))*(실물목록!$R$2:$R$1001="")*(실물목록!$O$2:$O$1001&lt;&gt;""))&gt;0,"확인필요(연도다름)","실물 없음")))))</f>
      </c>
      <c r="G2050" t="n" s="16">
        <f aca="0">IF(B2050="","",SUMPRODUCT((실물목록!$P$2:$P$1001&lt;&gt;"")*ISNUMBER(SEARCH(실물목록!$P$2:$P$1001,I2050))*(실물목록!$Q$2:$Q$1001&lt;&gt;"")*ISNUMBER(SEARCH(실물목록!$Q$2:$Q$1001,I2050))*(실물목록!$R$2:$R$1001="")*(실물목록!$O$2:$O$1001&lt;&gt;"")*(실물목록!$O$2:$O$1001=H2050)))</f>
      </c>
      <c r="H2050" t="str">
        <f>IFERROR(IF(AND(LEN(SUBSTITUTE(SUBSTITUTE(SUBSTITUTE(TRIM(A2050&amp;""),CHAR(160),"")," ",""),"년",""))=4,VALUE(SUBSTITUTE(SUBSTITUTE(SUBSTITUTE(TRIM(A2050&amp;""),CHAR(160),"")," ",""),"년",""))&gt;=1900,VALUE(SUBSTITUTE(SUBSTITUTE(SUBSTITUTE(TRIM(A2050&amp;""),CHAR(160),"")," ",""),"년",""))&lt;=2099,TEXT(VALUE(SUBSTITUTE(SUBSTITUTE(SUBSTITUTE(TRIM(A2050&amp;""),CHAR(160),"")," ",""),"년","")),"0000")=SUBSTITUTE(SUBSTITUTE(SUBSTITUTE(TRIM(A2050&amp;""),CHAR(160),"")," ",""),"년","")),SUBSTITUTE(SUBSTITUTE(SUBSTITUTE(TRIM(A2050&amp;""),CHAR(160),"")," ",""),"년",""),""),"")</f>
      </c>
      <c r="I2050" t="str">
        <f>SUBSTITUTE(SUBSTITUTE(SUBSTITUTE(SUBSTITUTE(SUBSTITUTE(TRIM(B2050&amp;""),CHAR(160),"")," ",""),"초등학교","초"),"중학교","중"),"고등학교","고")</f>
      </c>
    </row>
    <row r="2051" customFormat="false" ht="15" hidden="false" customHeight="false" outlineLevel="0" collapsed="false">
      <c r="A2051" s="8"/>
      <c r="B2051" s="8"/>
      <c r="C2051" s="8"/>
      <c r="D2051" s="8"/>
      <c r="E2051" s="8"/>
      <c r="F2051" t="str" s="15">
        <f aca="0">IF(B2051="","",IF(H2051="","확인필요(입력누락)",IF(SUMPRODUCT((실물목록!$P$2:$P$1001&lt;&gt;"")*ISNUMBER(SEARCH(실물목록!$P$2:$P$1001,I2051))*(실물목록!$Q$2:$Q$1001&lt;&gt;"")*ISNUMBER(SEARCH(실물목록!$Q$2:$Q$1001,I2051))*(실물목록!$R$2:$R$1001="")*(실물목록!$O$2:$O$1001&lt;&gt;"")*(실물목록!$O$2:$O$1001=H2051))&gt;0,"실물 있음",IF(SUMPRODUCT((실물목록!$P$2:$P$1001&lt;&gt;"")*ISNUMBER(SEARCH(실물목록!$P$2:$P$1001,I2051))*(실물목록!$R$2:$R$1001&lt;&gt;""))&gt;0,"확인필요(입력누락)",IF(SUMPRODUCT((실물목록!$P$2:$P$1001&lt;&gt;"")*ISNUMBER(SEARCH(실물목록!$P$2:$P$1001,I2051))*(실물목록!$Q$2:$Q$1001&lt;&gt;"")*ISNUMBER(SEARCH(실물목록!$Q$2:$Q$1001,I2051))*(실물목록!$R$2:$R$1001="")*(실물목록!$O$2:$O$1001&lt;&gt;""))&gt;0,"확인필요(연도다름)","실물 없음")))))</f>
      </c>
      <c r="G2051" t="n" s="16">
        <f aca="0">IF(B2051="","",SUMPRODUCT((실물목록!$P$2:$P$1001&lt;&gt;"")*ISNUMBER(SEARCH(실물목록!$P$2:$P$1001,I2051))*(실물목록!$Q$2:$Q$1001&lt;&gt;"")*ISNUMBER(SEARCH(실물목록!$Q$2:$Q$1001,I2051))*(실물목록!$R$2:$R$1001="")*(실물목록!$O$2:$O$1001&lt;&gt;"")*(실물목록!$O$2:$O$1001=H2051)))</f>
      </c>
      <c r="H2051" t="str">
        <f>IFERROR(IF(AND(LEN(SUBSTITUTE(SUBSTITUTE(SUBSTITUTE(TRIM(A2051&amp;""),CHAR(160),"")," ",""),"년",""))=4,VALUE(SUBSTITUTE(SUBSTITUTE(SUBSTITUTE(TRIM(A2051&amp;""),CHAR(160),"")," ",""),"년",""))&gt;=1900,VALUE(SUBSTITUTE(SUBSTITUTE(SUBSTITUTE(TRIM(A2051&amp;""),CHAR(160),"")," ",""),"년",""))&lt;=2099,TEXT(VALUE(SUBSTITUTE(SUBSTITUTE(SUBSTITUTE(TRIM(A2051&amp;""),CHAR(160),"")," ",""),"년","")),"0000")=SUBSTITUTE(SUBSTITUTE(SUBSTITUTE(TRIM(A2051&amp;""),CHAR(160),"")," ",""),"년","")),SUBSTITUTE(SUBSTITUTE(SUBSTITUTE(TRIM(A2051&amp;""),CHAR(160),"")," ",""),"년",""),""),"")</f>
      </c>
      <c r="I2051" t="str">
        <f>SUBSTITUTE(SUBSTITUTE(SUBSTITUTE(SUBSTITUTE(SUBSTITUTE(TRIM(B2051&amp;""),CHAR(160),"")," ",""),"초등학교","초"),"중학교","중"),"고등학교","고")</f>
      </c>
    </row>
    <row r="2052" customFormat="false" ht="15" hidden="false" customHeight="false" outlineLevel="0" collapsed="false">
      <c r="A2052" s="8"/>
      <c r="B2052" s="8"/>
      <c r="C2052" s="8"/>
      <c r="D2052" s="8"/>
      <c r="E2052" s="8"/>
      <c r="F2052" t="str" s="15">
        <f aca="0">IF(B2052="","",IF(H2052="","확인필요(입력누락)",IF(SUMPRODUCT((실물목록!$P$2:$P$1001&lt;&gt;"")*ISNUMBER(SEARCH(실물목록!$P$2:$P$1001,I2052))*(실물목록!$Q$2:$Q$1001&lt;&gt;"")*ISNUMBER(SEARCH(실물목록!$Q$2:$Q$1001,I2052))*(실물목록!$R$2:$R$1001="")*(실물목록!$O$2:$O$1001&lt;&gt;"")*(실물목록!$O$2:$O$1001=H2052))&gt;0,"실물 있음",IF(SUMPRODUCT((실물목록!$P$2:$P$1001&lt;&gt;"")*ISNUMBER(SEARCH(실물목록!$P$2:$P$1001,I2052))*(실물목록!$R$2:$R$1001&lt;&gt;""))&gt;0,"확인필요(입력누락)",IF(SUMPRODUCT((실물목록!$P$2:$P$1001&lt;&gt;"")*ISNUMBER(SEARCH(실물목록!$P$2:$P$1001,I2052))*(실물목록!$Q$2:$Q$1001&lt;&gt;"")*ISNUMBER(SEARCH(실물목록!$Q$2:$Q$1001,I2052))*(실물목록!$R$2:$R$1001="")*(실물목록!$O$2:$O$1001&lt;&gt;""))&gt;0,"확인필요(연도다름)","실물 없음")))))</f>
      </c>
      <c r="G2052" t="n" s="16">
        <f aca="0">IF(B2052="","",SUMPRODUCT((실물목록!$P$2:$P$1001&lt;&gt;"")*ISNUMBER(SEARCH(실물목록!$P$2:$P$1001,I2052))*(실물목록!$Q$2:$Q$1001&lt;&gt;"")*ISNUMBER(SEARCH(실물목록!$Q$2:$Q$1001,I2052))*(실물목록!$R$2:$R$1001="")*(실물목록!$O$2:$O$1001&lt;&gt;"")*(실물목록!$O$2:$O$1001=H2052)))</f>
      </c>
      <c r="H2052" t="str">
        <f>IFERROR(IF(AND(LEN(SUBSTITUTE(SUBSTITUTE(SUBSTITUTE(TRIM(A2052&amp;""),CHAR(160),"")," ",""),"년",""))=4,VALUE(SUBSTITUTE(SUBSTITUTE(SUBSTITUTE(TRIM(A2052&amp;""),CHAR(160),"")," ",""),"년",""))&gt;=1900,VALUE(SUBSTITUTE(SUBSTITUTE(SUBSTITUTE(TRIM(A2052&amp;""),CHAR(160),"")," ",""),"년",""))&lt;=2099,TEXT(VALUE(SUBSTITUTE(SUBSTITUTE(SUBSTITUTE(TRIM(A2052&amp;""),CHAR(160),"")," ",""),"년","")),"0000")=SUBSTITUTE(SUBSTITUTE(SUBSTITUTE(TRIM(A2052&amp;""),CHAR(160),"")," ",""),"년","")),SUBSTITUTE(SUBSTITUTE(SUBSTITUTE(TRIM(A2052&amp;""),CHAR(160),"")," ",""),"년",""),""),"")</f>
      </c>
      <c r="I2052" t="str">
        <f>SUBSTITUTE(SUBSTITUTE(SUBSTITUTE(SUBSTITUTE(SUBSTITUTE(TRIM(B2052&amp;""),CHAR(160),"")," ",""),"초등학교","초"),"중학교","중"),"고등학교","고")</f>
      </c>
    </row>
    <row r="2053" customFormat="false" ht="15" hidden="false" customHeight="false" outlineLevel="0" collapsed="false">
      <c r="A2053" s="8"/>
      <c r="B2053" s="8"/>
      <c r="C2053" s="8"/>
      <c r="D2053" s="8"/>
      <c r="E2053" s="8"/>
      <c r="F2053" t="str" s="15">
        <f aca="0">IF(B2053="","",IF(H2053="","확인필요(입력누락)",IF(SUMPRODUCT((실물목록!$P$2:$P$1001&lt;&gt;"")*ISNUMBER(SEARCH(실물목록!$P$2:$P$1001,I2053))*(실물목록!$Q$2:$Q$1001&lt;&gt;"")*ISNUMBER(SEARCH(실물목록!$Q$2:$Q$1001,I2053))*(실물목록!$R$2:$R$1001="")*(실물목록!$O$2:$O$1001&lt;&gt;"")*(실물목록!$O$2:$O$1001=H2053))&gt;0,"실물 있음",IF(SUMPRODUCT((실물목록!$P$2:$P$1001&lt;&gt;"")*ISNUMBER(SEARCH(실물목록!$P$2:$P$1001,I2053))*(실물목록!$R$2:$R$1001&lt;&gt;""))&gt;0,"확인필요(입력누락)",IF(SUMPRODUCT((실물목록!$P$2:$P$1001&lt;&gt;"")*ISNUMBER(SEARCH(실물목록!$P$2:$P$1001,I2053))*(실물목록!$Q$2:$Q$1001&lt;&gt;"")*ISNUMBER(SEARCH(실물목록!$Q$2:$Q$1001,I2053))*(실물목록!$R$2:$R$1001="")*(실물목록!$O$2:$O$1001&lt;&gt;""))&gt;0,"확인필요(연도다름)","실물 없음")))))</f>
      </c>
      <c r="G2053" t="n" s="16">
        <f aca="0">IF(B2053="","",SUMPRODUCT((실물목록!$P$2:$P$1001&lt;&gt;"")*ISNUMBER(SEARCH(실물목록!$P$2:$P$1001,I2053))*(실물목록!$Q$2:$Q$1001&lt;&gt;"")*ISNUMBER(SEARCH(실물목록!$Q$2:$Q$1001,I2053))*(실물목록!$R$2:$R$1001="")*(실물목록!$O$2:$O$1001&lt;&gt;"")*(실물목록!$O$2:$O$1001=H2053)))</f>
      </c>
      <c r="H2053" t="str">
        <f>IFERROR(IF(AND(LEN(SUBSTITUTE(SUBSTITUTE(SUBSTITUTE(TRIM(A2053&amp;""),CHAR(160),"")," ",""),"년",""))=4,VALUE(SUBSTITUTE(SUBSTITUTE(SUBSTITUTE(TRIM(A2053&amp;""),CHAR(160),"")," ",""),"년",""))&gt;=1900,VALUE(SUBSTITUTE(SUBSTITUTE(SUBSTITUTE(TRIM(A2053&amp;""),CHAR(160),"")," ",""),"년",""))&lt;=2099,TEXT(VALUE(SUBSTITUTE(SUBSTITUTE(SUBSTITUTE(TRIM(A2053&amp;""),CHAR(160),"")," ",""),"년","")),"0000")=SUBSTITUTE(SUBSTITUTE(SUBSTITUTE(TRIM(A2053&amp;""),CHAR(160),"")," ",""),"년","")),SUBSTITUTE(SUBSTITUTE(SUBSTITUTE(TRIM(A2053&amp;""),CHAR(160),"")," ",""),"년",""),""),"")</f>
      </c>
      <c r="I2053" t="str">
        <f>SUBSTITUTE(SUBSTITUTE(SUBSTITUTE(SUBSTITUTE(SUBSTITUTE(TRIM(B2053&amp;""),CHAR(160),"")," ",""),"초등학교","초"),"중학교","중"),"고등학교","고")</f>
      </c>
    </row>
    <row r="2054" customFormat="false" ht="15" hidden="false" customHeight="false" outlineLevel="0" collapsed="false">
      <c r="A2054" s="8"/>
      <c r="B2054" s="8"/>
      <c r="C2054" s="8"/>
      <c r="D2054" s="8"/>
      <c r="E2054" s="8"/>
      <c r="F2054" t="str" s="15">
        <f aca="0">IF(B2054="","",IF(H2054="","확인필요(입력누락)",IF(SUMPRODUCT((실물목록!$P$2:$P$1001&lt;&gt;"")*ISNUMBER(SEARCH(실물목록!$P$2:$P$1001,I2054))*(실물목록!$Q$2:$Q$1001&lt;&gt;"")*ISNUMBER(SEARCH(실물목록!$Q$2:$Q$1001,I2054))*(실물목록!$R$2:$R$1001="")*(실물목록!$O$2:$O$1001&lt;&gt;"")*(실물목록!$O$2:$O$1001=H2054))&gt;0,"실물 있음",IF(SUMPRODUCT((실물목록!$P$2:$P$1001&lt;&gt;"")*ISNUMBER(SEARCH(실물목록!$P$2:$P$1001,I2054))*(실물목록!$R$2:$R$1001&lt;&gt;""))&gt;0,"확인필요(입력누락)",IF(SUMPRODUCT((실물목록!$P$2:$P$1001&lt;&gt;"")*ISNUMBER(SEARCH(실물목록!$P$2:$P$1001,I2054))*(실물목록!$Q$2:$Q$1001&lt;&gt;"")*ISNUMBER(SEARCH(실물목록!$Q$2:$Q$1001,I2054))*(실물목록!$R$2:$R$1001="")*(실물목록!$O$2:$O$1001&lt;&gt;""))&gt;0,"확인필요(연도다름)","실물 없음")))))</f>
      </c>
      <c r="G2054" t="n" s="16">
        <f aca="0">IF(B2054="","",SUMPRODUCT((실물목록!$P$2:$P$1001&lt;&gt;"")*ISNUMBER(SEARCH(실물목록!$P$2:$P$1001,I2054))*(실물목록!$Q$2:$Q$1001&lt;&gt;"")*ISNUMBER(SEARCH(실물목록!$Q$2:$Q$1001,I2054))*(실물목록!$R$2:$R$1001="")*(실물목록!$O$2:$O$1001&lt;&gt;"")*(실물목록!$O$2:$O$1001=H2054)))</f>
      </c>
      <c r="H2054" t="str">
        <f>IFERROR(IF(AND(LEN(SUBSTITUTE(SUBSTITUTE(SUBSTITUTE(TRIM(A2054&amp;""),CHAR(160),"")," ",""),"년",""))=4,VALUE(SUBSTITUTE(SUBSTITUTE(SUBSTITUTE(TRIM(A2054&amp;""),CHAR(160),"")," ",""),"년",""))&gt;=1900,VALUE(SUBSTITUTE(SUBSTITUTE(SUBSTITUTE(TRIM(A2054&amp;""),CHAR(160),"")," ",""),"년",""))&lt;=2099,TEXT(VALUE(SUBSTITUTE(SUBSTITUTE(SUBSTITUTE(TRIM(A2054&amp;""),CHAR(160),"")," ",""),"년","")),"0000")=SUBSTITUTE(SUBSTITUTE(SUBSTITUTE(TRIM(A2054&amp;""),CHAR(160),"")," ",""),"년","")),SUBSTITUTE(SUBSTITUTE(SUBSTITUTE(TRIM(A2054&amp;""),CHAR(160),"")," ",""),"년",""),""),"")</f>
      </c>
      <c r="I2054" t="str">
        <f>SUBSTITUTE(SUBSTITUTE(SUBSTITUTE(SUBSTITUTE(SUBSTITUTE(TRIM(B2054&amp;""),CHAR(160),"")," ",""),"초등학교","초"),"중학교","중"),"고등학교","고")</f>
      </c>
    </row>
    <row r="2055" customFormat="false" ht="15" hidden="false" customHeight="false" outlineLevel="0" collapsed="false">
      <c r="A2055" s="8"/>
      <c r="B2055" s="8"/>
      <c r="C2055" s="8"/>
      <c r="D2055" s="8"/>
      <c r="E2055" s="8"/>
      <c r="F2055" t="str" s="15">
        <f aca="0">IF(B2055="","",IF(H2055="","확인필요(입력누락)",IF(SUMPRODUCT((실물목록!$P$2:$P$1001&lt;&gt;"")*ISNUMBER(SEARCH(실물목록!$P$2:$P$1001,I2055))*(실물목록!$Q$2:$Q$1001&lt;&gt;"")*ISNUMBER(SEARCH(실물목록!$Q$2:$Q$1001,I2055))*(실물목록!$R$2:$R$1001="")*(실물목록!$O$2:$O$1001&lt;&gt;"")*(실물목록!$O$2:$O$1001=H2055))&gt;0,"실물 있음",IF(SUMPRODUCT((실물목록!$P$2:$P$1001&lt;&gt;"")*ISNUMBER(SEARCH(실물목록!$P$2:$P$1001,I2055))*(실물목록!$R$2:$R$1001&lt;&gt;""))&gt;0,"확인필요(입력누락)",IF(SUMPRODUCT((실물목록!$P$2:$P$1001&lt;&gt;"")*ISNUMBER(SEARCH(실물목록!$P$2:$P$1001,I2055))*(실물목록!$Q$2:$Q$1001&lt;&gt;"")*ISNUMBER(SEARCH(실물목록!$Q$2:$Q$1001,I2055))*(실물목록!$R$2:$R$1001="")*(실물목록!$O$2:$O$1001&lt;&gt;""))&gt;0,"확인필요(연도다름)","실물 없음")))))</f>
      </c>
      <c r="G2055" t="n" s="16">
        <f aca="0">IF(B2055="","",SUMPRODUCT((실물목록!$P$2:$P$1001&lt;&gt;"")*ISNUMBER(SEARCH(실물목록!$P$2:$P$1001,I2055))*(실물목록!$Q$2:$Q$1001&lt;&gt;"")*ISNUMBER(SEARCH(실물목록!$Q$2:$Q$1001,I2055))*(실물목록!$R$2:$R$1001="")*(실물목록!$O$2:$O$1001&lt;&gt;"")*(실물목록!$O$2:$O$1001=H2055)))</f>
      </c>
      <c r="H2055" t="str">
        <f>IFERROR(IF(AND(LEN(SUBSTITUTE(SUBSTITUTE(SUBSTITUTE(TRIM(A2055&amp;""),CHAR(160),"")," ",""),"년",""))=4,VALUE(SUBSTITUTE(SUBSTITUTE(SUBSTITUTE(TRIM(A2055&amp;""),CHAR(160),"")," ",""),"년",""))&gt;=1900,VALUE(SUBSTITUTE(SUBSTITUTE(SUBSTITUTE(TRIM(A2055&amp;""),CHAR(160),"")," ",""),"년",""))&lt;=2099,TEXT(VALUE(SUBSTITUTE(SUBSTITUTE(SUBSTITUTE(TRIM(A2055&amp;""),CHAR(160),"")," ",""),"년","")),"0000")=SUBSTITUTE(SUBSTITUTE(SUBSTITUTE(TRIM(A2055&amp;""),CHAR(160),"")," ",""),"년","")),SUBSTITUTE(SUBSTITUTE(SUBSTITUTE(TRIM(A2055&amp;""),CHAR(160),"")," ",""),"년",""),""),"")</f>
      </c>
      <c r="I2055" t="str">
        <f>SUBSTITUTE(SUBSTITUTE(SUBSTITUTE(SUBSTITUTE(SUBSTITUTE(TRIM(B2055&amp;""),CHAR(160),"")," ",""),"초등학교","초"),"중학교","중"),"고등학교","고")</f>
      </c>
    </row>
    <row r="2056" customFormat="false" ht="15" hidden="false" customHeight="false" outlineLevel="0" collapsed="false">
      <c r="A2056" s="8"/>
      <c r="B2056" s="8"/>
      <c r="C2056" s="8"/>
      <c r="D2056" s="8"/>
      <c r="E2056" s="8"/>
      <c r="F2056" t="str" s="15">
        <f aca="0">IF(B2056="","",IF(H2056="","확인필요(입력누락)",IF(SUMPRODUCT((실물목록!$P$2:$P$1001&lt;&gt;"")*ISNUMBER(SEARCH(실물목록!$P$2:$P$1001,I2056))*(실물목록!$Q$2:$Q$1001&lt;&gt;"")*ISNUMBER(SEARCH(실물목록!$Q$2:$Q$1001,I2056))*(실물목록!$R$2:$R$1001="")*(실물목록!$O$2:$O$1001&lt;&gt;"")*(실물목록!$O$2:$O$1001=H2056))&gt;0,"실물 있음",IF(SUMPRODUCT((실물목록!$P$2:$P$1001&lt;&gt;"")*ISNUMBER(SEARCH(실물목록!$P$2:$P$1001,I2056))*(실물목록!$R$2:$R$1001&lt;&gt;""))&gt;0,"확인필요(입력누락)",IF(SUMPRODUCT((실물목록!$P$2:$P$1001&lt;&gt;"")*ISNUMBER(SEARCH(실물목록!$P$2:$P$1001,I2056))*(실물목록!$Q$2:$Q$1001&lt;&gt;"")*ISNUMBER(SEARCH(실물목록!$Q$2:$Q$1001,I2056))*(실물목록!$R$2:$R$1001="")*(실물목록!$O$2:$O$1001&lt;&gt;""))&gt;0,"확인필요(연도다름)","실물 없음")))))</f>
      </c>
      <c r="G2056" t="n" s="16">
        <f aca="0">IF(B2056="","",SUMPRODUCT((실물목록!$P$2:$P$1001&lt;&gt;"")*ISNUMBER(SEARCH(실물목록!$P$2:$P$1001,I2056))*(실물목록!$Q$2:$Q$1001&lt;&gt;"")*ISNUMBER(SEARCH(실물목록!$Q$2:$Q$1001,I2056))*(실물목록!$R$2:$R$1001="")*(실물목록!$O$2:$O$1001&lt;&gt;"")*(실물목록!$O$2:$O$1001=H2056)))</f>
      </c>
      <c r="H2056" t="str">
        <f>IFERROR(IF(AND(LEN(SUBSTITUTE(SUBSTITUTE(SUBSTITUTE(TRIM(A2056&amp;""),CHAR(160),"")," ",""),"년",""))=4,VALUE(SUBSTITUTE(SUBSTITUTE(SUBSTITUTE(TRIM(A2056&amp;""),CHAR(160),"")," ",""),"년",""))&gt;=1900,VALUE(SUBSTITUTE(SUBSTITUTE(SUBSTITUTE(TRIM(A2056&amp;""),CHAR(160),"")," ",""),"년",""))&lt;=2099,TEXT(VALUE(SUBSTITUTE(SUBSTITUTE(SUBSTITUTE(TRIM(A2056&amp;""),CHAR(160),"")," ",""),"년","")),"0000")=SUBSTITUTE(SUBSTITUTE(SUBSTITUTE(TRIM(A2056&amp;""),CHAR(160),"")," ",""),"년","")),SUBSTITUTE(SUBSTITUTE(SUBSTITUTE(TRIM(A2056&amp;""),CHAR(160),"")," ",""),"년",""),""),"")</f>
      </c>
      <c r="I2056" t="str">
        <f>SUBSTITUTE(SUBSTITUTE(SUBSTITUTE(SUBSTITUTE(SUBSTITUTE(TRIM(B2056&amp;""),CHAR(160),"")," ",""),"초등학교","초"),"중학교","중"),"고등학교","고")</f>
      </c>
    </row>
    <row r="2057" customFormat="false" ht="15" hidden="false" customHeight="false" outlineLevel="0" collapsed="false">
      <c r="A2057" s="8"/>
      <c r="B2057" s="8"/>
      <c r="C2057" s="8"/>
      <c r="D2057" s="8"/>
      <c r="E2057" s="8"/>
      <c r="F2057" t="str" s="15">
        <f aca="0">IF(B2057="","",IF(H2057="","확인필요(입력누락)",IF(SUMPRODUCT((실물목록!$P$2:$P$1001&lt;&gt;"")*ISNUMBER(SEARCH(실물목록!$P$2:$P$1001,I2057))*(실물목록!$Q$2:$Q$1001&lt;&gt;"")*ISNUMBER(SEARCH(실물목록!$Q$2:$Q$1001,I2057))*(실물목록!$R$2:$R$1001="")*(실물목록!$O$2:$O$1001&lt;&gt;"")*(실물목록!$O$2:$O$1001=H2057))&gt;0,"실물 있음",IF(SUMPRODUCT((실물목록!$P$2:$P$1001&lt;&gt;"")*ISNUMBER(SEARCH(실물목록!$P$2:$P$1001,I2057))*(실물목록!$R$2:$R$1001&lt;&gt;""))&gt;0,"확인필요(입력누락)",IF(SUMPRODUCT((실물목록!$P$2:$P$1001&lt;&gt;"")*ISNUMBER(SEARCH(실물목록!$P$2:$P$1001,I2057))*(실물목록!$Q$2:$Q$1001&lt;&gt;"")*ISNUMBER(SEARCH(실물목록!$Q$2:$Q$1001,I2057))*(실물목록!$R$2:$R$1001="")*(실물목록!$O$2:$O$1001&lt;&gt;""))&gt;0,"확인필요(연도다름)","실물 없음")))))</f>
      </c>
      <c r="G2057" t="n" s="16">
        <f aca="0">IF(B2057="","",SUMPRODUCT((실물목록!$P$2:$P$1001&lt;&gt;"")*ISNUMBER(SEARCH(실물목록!$P$2:$P$1001,I2057))*(실물목록!$Q$2:$Q$1001&lt;&gt;"")*ISNUMBER(SEARCH(실물목록!$Q$2:$Q$1001,I2057))*(실물목록!$R$2:$R$1001="")*(실물목록!$O$2:$O$1001&lt;&gt;"")*(실물목록!$O$2:$O$1001=H2057)))</f>
      </c>
      <c r="H2057" t="str">
        <f>IFERROR(IF(AND(LEN(SUBSTITUTE(SUBSTITUTE(SUBSTITUTE(TRIM(A2057&amp;""),CHAR(160),"")," ",""),"년",""))=4,VALUE(SUBSTITUTE(SUBSTITUTE(SUBSTITUTE(TRIM(A2057&amp;""),CHAR(160),"")," ",""),"년",""))&gt;=1900,VALUE(SUBSTITUTE(SUBSTITUTE(SUBSTITUTE(TRIM(A2057&amp;""),CHAR(160),"")," ",""),"년",""))&lt;=2099,TEXT(VALUE(SUBSTITUTE(SUBSTITUTE(SUBSTITUTE(TRIM(A2057&amp;""),CHAR(160),"")," ",""),"년","")),"0000")=SUBSTITUTE(SUBSTITUTE(SUBSTITUTE(TRIM(A2057&amp;""),CHAR(160),"")," ",""),"년","")),SUBSTITUTE(SUBSTITUTE(SUBSTITUTE(TRIM(A2057&amp;""),CHAR(160),"")," ",""),"년",""),""),"")</f>
      </c>
      <c r="I2057" t="str">
        <f>SUBSTITUTE(SUBSTITUTE(SUBSTITUTE(SUBSTITUTE(SUBSTITUTE(TRIM(B2057&amp;""),CHAR(160),"")," ",""),"초등학교","초"),"중학교","중"),"고등학교","고")</f>
      </c>
    </row>
    <row r="2058" customFormat="false" ht="15" hidden="false" customHeight="false" outlineLevel="0" collapsed="false">
      <c r="A2058" s="8"/>
      <c r="B2058" s="8"/>
      <c r="C2058" s="8"/>
      <c r="D2058" s="8"/>
      <c r="E2058" s="8"/>
      <c r="F2058" t="str" s="15">
        <f aca="0">IF(B2058="","",IF(H2058="","확인필요(입력누락)",IF(SUMPRODUCT((실물목록!$P$2:$P$1001&lt;&gt;"")*ISNUMBER(SEARCH(실물목록!$P$2:$P$1001,I2058))*(실물목록!$Q$2:$Q$1001&lt;&gt;"")*ISNUMBER(SEARCH(실물목록!$Q$2:$Q$1001,I2058))*(실물목록!$R$2:$R$1001="")*(실물목록!$O$2:$O$1001&lt;&gt;"")*(실물목록!$O$2:$O$1001=H2058))&gt;0,"실물 있음",IF(SUMPRODUCT((실물목록!$P$2:$P$1001&lt;&gt;"")*ISNUMBER(SEARCH(실물목록!$P$2:$P$1001,I2058))*(실물목록!$R$2:$R$1001&lt;&gt;""))&gt;0,"확인필요(입력누락)",IF(SUMPRODUCT((실물목록!$P$2:$P$1001&lt;&gt;"")*ISNUMBER(SEARCH(실물목록!$P$2:$P$1001,I2058))*(실물목록!$Q$2:$Q$1001&lt;&gt;"")*ISNUMBER(SEARCH(실물목록!$Q$2:$Q$1001,I2058))*(실물목록!$R$2:$R$1001="")*(실물목록!$O$2:$O$1001&lt;&gt;""))&gt;0,"확인필요(연도다름)","실물 없음")))))</f>
      </c>
      <c r="G2058" t="n" s="16">
        <f aca="0">IF(B2058="","",SUMPRODUCT((실물목록!$P$2:$P$1001&lt;&gt;"")*ISNUMBER(SEARCH(실물목록!$P$2:$P$1001,I2058))*(실물목록!$Q$2:$Q$1001&lt;&gt;"")*ISNUMBER(SEARCH(실물목록!$Q$2:$Q$1001,I2058))*(실물목록!$R$2:$R$1001="")*(실물목록!$O$2:$O$1001&lt;&gt;"")*(실물목록!$O$2:$O$1001=H2058)))</f>
      </c>
      <c r="H2058" t="str">
        <f>IFERROR(IF(AND(LEN(SUBSTITUTE(SUBSTITUTE(SUBSTITUTE(TRIM(A2058&amp;""),CHAR(160),"")," ",""),"년",""))=4,VALUE(SUBSTITUTE(SUBSTITUTE(SUBSTITUTE(TRIM(A2058&amp;""),CHAR(160),"")," ",""),"년",""))&gt;=1900,VALUE(SUBSTITUTE(SUBSTITUTE(SUBSTITUTE(TRIM(A2058&amp;""),CHAR(160),"")," ",""),"년",""))&lt;=2099,TEXT(VALUE(SUBSTITUTE(SUBSTITUTE(SUBSTITUTE(TRIM(A2058&amp;""),CHAR(160),"")," ",""),"년","")),"0000")=SUBSTITUTE(SUBSTITUTE(SUBSTITUTE(TRIM(A2058&amp;""),CHAR(160),"")," ",""),"년","")),SUBSTITUTE(SUBSTITUTE(SUBSTITUTE(TRIM(A2058&amp;""),CHAR(160),"")," ",""),"년",""),""),"")</f>
      </c>
      <c r="I2058" t="str">
        <f>SUBSTITUTE(SUBSTITUTE(SUBSTITUTE(SUBSTITUTE(SUBSTITUTE(TRIM(B2058&amp;""),CHAR(160),"")," ",""),"초등학교","초"),"중학교","중"),"고등학교","고")</f>
      </c>
    </row>
    <row r="2059" customFormat="false" ht="15" hidden="false" customHeight="false" outlineLevel="0" collapsed="false">
      <c r="A2059" s="8"/>
      <c r="B2059" s="8"/>
      <c r="C2059" s="8"/>
      <c r="D2059" s="8"/>
      <c r="E2059" s="8"/>
      <c r="F2059" t="str" s="15">
        <f aca="0">IF(B2059="","",IF(H2059="","확인필요(입력누락)",IF(SUMPRODUCT((실물목록!$P$2:$P$1001&lt;&gt;"")*ISNUMBER(SEARCH(실물목록!$P$2:$P$1001,I2059))*(실물목록!$Q$2:$Q$1001&lt;&gt;"")*ISNUMBER(SEARCH(실물목록!$Q$2:$Q$1001,I2059))*(실물목록!$R$2:$R$1001="")*(실물목록!$O$2:$O$1001&lt;&gt;"")*(실물목록!$O$2:$O$1001=H2059))&gt;0,"실물 있음",IF(SUMPRODUCT((실물목록!$P$2:$P$1001&lt;&gt;"")*ISNUMBER(SEARCH(실물목록!$P$2:$P$1001,I2059))*(실물목록!$R$2:$R$1001&lt;&gt;""))&gt;0,"확인필요(입력누락)",IF(SUMPRODUCT((실물목록!$P$2:$P$1001&lt;&gt;"")*ISNUMBER(SEARCH(실물목록!$P$2:$P$1001,I2059))*(실물목록!$Q$2:$Q$1001&lt;&gt;"")*ISNUMBER(SEARCH(실물목록!$Q$2:$Q$1001,I2059))*(실물목록!$R$2:$R$1001="")*(실물목록!$O$2:$O$1001&lt;&gt;""))&gt;0,"확인필요(연도다름)","실물 없음")))))</f>
      </c>
      <c r="G2059" t="n" s="16">
        <f aca="0">IF(B2059="","",SUMPRODUCT((실물목록!$P$2:$P$1001&lt;&gt;"")*ISNUMBER(SEARCH(실물목록!$P$2:$P$1001,I2059))*(실물목록!$Q$2:$Q$1001&lt;&gt;"")*ISNUMBER(SEARCH(실물목록!$Q$2:$Q$1001,I2059))*(실물목록!$R$2:$R$1001="")*(실물목록!$O$2:$O$1001&lt;&gt;"")*(실물목록!$O$2:$O$1001=H2059)))</f>
      </c>
      <c r="H2059" t="str">
        <f>IFERROR(IF(AND(LEN(SUBSTITUTE(SUBSTITUTE(SUBSTITUTE(TRIM(A2059&amp;""),CHAR(160),"")," ",""),"년",""))=4,VALUE(SUBSTITUTE(SUBSTITUTE(SUBSTITUTE(TRIM(A2059&amp;""),CHAR(160),"")," ",""),"년",""))&gt;=1900,VALUE(SUBSTITUTE(SUBSTITUTE(SUBSTITUTE(TRIM(A2059&amp;""),CHAR(160),"")," ",""),"년",""))&lt;=2099,TEXT(VALUE(SUBSTITUTE(SUBSTITUTE(SUBSTITUTE(TRIM(A2059&amp;""),CHAR(160),"")," ",""),"년","")),"0000")=SUBSTITUTE(SUBSTITUTE(SUBSTITUTE(TRIM(A2059&amp;""),CHAR(160),"")," ",""),"년","")),SUBSTITUTE(SUBSTITUTE(SUBSTITUTE(TRIM(A2059&amp;""),CHAR(160),"")," ",""),"년",""),""),"")</f>
      </c>
      <c r="I2059" t="str">
        <f>SUBSTITUTE(SUBSTITUTE(SUBSTITUTE(SUBSTITUTE(SUBSTITUTE(TRIM(B2059&amp;""),CHAR(160),"")," ",""),"초등학교","초"),"중학교","중"),"고등학교","고")</f>
      </c>
    </row>
    <row r="2060" customFormat="false" ht="15" hidden="false" customHeight="false" outlineLevel="0" collapsed="false">
      <c r="A2060" s="8"/>
      <c r="B2060" s="8"/>
      <c r="C2060" s="8"/>
      <c r="D2060" s="8"/>
      <c r="E2060" s="8"/>
      <c r="F2060" t="str" s="15">
        <f aca="0">IF(B2060="","",IF(H2060="","확인필요(입력누락)",IF(SUMPRODUCT((실물목록!$P$2:$P$1001&lt;&gt;"")*ISNUMBER(SEARCH(실물목록!$P$2:$P$1001,I2060))*(실물목록!$Q$2:$Q$1001&lt;&gt;"")*ISNUMBER(SEARCH(실물목록!$Q$2:$Q$1001,I2060))*(실물목록!$R$2:$R$1001="")*(실물목록!$O$2:$O$1001&lt;&gt;"")*(실물목록!$O$2:$O$1001=H2060))&gt;0,"실물 있음",IF(SUMPRODUCT((실물목록!$P$2:$P$1001&lt;&gt;"")*ISNUMBER(SEARCH(실물목록!$P$2:$P$1001,I2060))*(실물목록!$R$2:$R$1001&lt;&gt;""))&gt;0,"확인필요(입력누락)",IF(SUMPRODUCT((실물목록!$P$2:$P$1001&lt;&gt;"")*ISNUMBER(SEARCH(실물목록!$P$2:$P$1001,I2060))*(실물목록!$Q$2:$Q$1001&lt;&gt;"")*ISNUMBER(SEARCH(실물목록!$Q$2:$Q$1001,I2060))*(실물목록!$R$2:$R$1001="")*(실물목록!$O$2:$O$1001&lt;&gt;""))&gt;0,"확인필요(연도다름)","실물 없음")))))</f>
      </c>
      <c r="G2060" t="n" s="16">
        <f aca="0">IF(B2060="","",SUMPRODUCT((실물목록!$P$2:$P$1001&lt;&gt;"")*ISNUMBER(SEARCH(실물목록!$P$2:$P$1001,I2060))*(실물목록!$Q$2:$Q$1001&lt;&gt;"")*ISNUMBER(SEARCH(실물목록!$Q$2:$Q$1001,I2060))*(실물목록!$R$2:$R$1001="")*(실물목록!$O$2:$O$1001&lt;&gt;"")*(실물목록!$O$2:$O$1001=H2060)))</f>
      </c>
      <c r="H2060" t="str">
        <f>IFERROR(IF(AND(LEN(SUBSTITUTE(SUBSTITUTE(SUBSTITUTE(TRIM(A2060&amp;""),CHAR(160),"")," ",""),"년",""))=4,VALUE(SUBSTITUTE(SUBSTITUTE(SUBSTITUTE(TRIM(A2060&amp;""),CHAR(160),"")," ",""),"년",""))&gt;=1900,VALUE(SUBSTITUTE(SUBSTITUTE(SUBSTITUTE(TRIM(A2060&amp;""),CHAR(160),"")," ",""),"년",""))&lt;=2099,TEXT(VALUE(SUBSTITUTE(SUBSTITUTE(SUBSTITUTE(TRIM(A2060&amp;""),CHAR(160),"")," ",""),"년","")),"0000")=SUBSTITUTE(SUBSTITUTE(SUBSTITUTE(TRIM(A2060&amp;""),CHAR(160),"")," ",""),"년","")),SUBSTITUTE(SUBSTITUTE(SUBSTITUTE(TRIM(A2060&amp;""),CHAR(160),"")," ",""),"년",""),""),"")</f>
      </c>
      <c r="I2060" t="str">
        <f>SUBSTITUTE(SUBSTITUTE(SUBSTITUTE(SUBSTITUTE(SUBSTITUTE(TRIM(B2060&amp;""),CHAR(160),"")," ",""),"초등학교","초"),"중학교","중"),"고등학교","고")</f>
      </c>
    </row>
    <row r="2061" customFormat="false" ht="15" hidden="false" customHeight="false" outlineLevel="0" collapsed="false">
      <c r="A2061" s="8"/>
      <c r="B2061" s="8"/>
      <c r="C2061" s="8"/>
      <c r="D2061" s="8"/>
      <c r="E2061" s="8"/>
      <c r="F2061" t="str" s="15">
        <f aca="0">IF(B2061="","",IF(H2061="","확인필요(입력누락)",IF(SUMPRODUCT((실물목록!$P$2:$P$1001&lt;&gt;"")*ISNUMBER(SEARCH(실물목록!$P$2:$P$1001,I2061))*(실물목록!$Q$2:$Q$1001&lt;&gt;"")*ISNUMBER(SEARCH(실물목록!$Q$2:$Q$1001,I2061))*(실물목록!$R$2:$R$1001="")*(실물목록!$O$2:$O$1001&lt;&gt;"")*(실물목록!$O$2:$O$1001=H2061))&gt;0,"실물 있음",IF(SUMPRODUCT((실물목록!$P$2:$P$1001&lt;&gt;"")*ISNUMBER(SEARCH(실물목록!$P$2:$P$1001,I2061))*(실물목록!$R$2:$R$1001&lt;&gt;""))&gt;0,"확인필요(입력누락)",IF(SUMPRODUCT((실물목록!$P$2:$P$1001&lt;&gt;"")*ISNUMBER(SEARCH(실물목록!$P$2:$P$1001,I2061))*(실물목록!$Q$2:$Q$1001&lt;&gt;"")*ISNUMBER(SEARCH(실물목록!$Q$2:$Q$1001,I2061))*(실물목록!$R$2:$R$1001="")*(실물목록!$O$2:$O$1001&lt;&gt;""))&gt;0,"확인필요(연도다름)","실물 없음")))))</f>
      </c>
      <c r="G2061" t="n" s="16">
        <f aca="0">IF(B2061="","",SUMPRODUCT((실물목록!$P$2:$P$1001&lt;&gt;"")*ISNUMBER(SEARCH(실물목록!$P$2:$P$1001,I2061))*(실물목록!$Q$2:$Q$1001&lt;&gt;"")*ISNUMBER(SEARCH(실물목록!$Q$2:$Q$1001,I2061))*(실물목록!$R$2:$R$1001="")*(실물목록!$O$2:$O$1001&lt;&gt;"")*(실물목록!$O$2:$O$1001=H2061)))</f>
      </c>
      <c r="H2061" t="str">
        <f>IFERROR(IF(AND(LEN(SUBSTITUTE(SUBSTITUTE(SUBSTITUTE(TRIM(A2061&amp;""),CHAR(160),"")," ",""),"년",""))=4,VALUE(SUBSTITUTE(SUBSTITUTE(SUBSTITUTE(TRIM(A2061&amp;""),CHAR(160),"")," ",""),"년",""))&gt;=1900,VALUE(SUBSTITUTE(SUBSTITUTE(SUBSTITUTE(TRIM(A2061&amp;""),CHAR(160),"")," ",""),"년",""))&lt;=2099,TEXT(VALUE(SUBSTITUTE(SUBSTITUTE(SUBSTITUTE(TRIM(A2061&amp;""),CHAR(160),"")," ",""),"년","")),"0000")=SUBSTITUTE(SUBSTITUTE(SUBSTITUTE(TRIM(A2061&amp;""),CHAR(160),"")," ",""),"년","")),SUBSTITUTE(SUBSTITUTE(SUBSTITUTE(TRIM(A2061&amp;""),CHAR(160),"")," ",""),"년",""),""),"")</f>
      </c>
      <c r="I2061" t="str">
        <f>SUBSTITUTE(SUBSTITUTE(SUBSTITUTE(SUBSTITUTE(SUBSTITUTE(TRIM(B2061&amp;""),CHAR(160),"")," ",""),"초등학교","초"),"중학교","중"),"고등학교","고")</f>
      </c>
    </row>
    <row r="2062" customFormat="false" ht="15" hidden="false" customHeight="false" outlineLevel="0" collapsed="false">
      <c r="A2062" s="8"/>
      <c r="B2062" s="8"/>
      <c r="C2062" s="8"/>
      <c r="D2062" s="8"/>
      <c r="E2062" s="8"/>
      <c r="F2062" t="str" s="15">
        <f aca="0">IF(B2062="","",IF(H2062="","확인필요(입력누락)",IF(SUMPRODUCT((실물목록!$P$2:$P$1001&lt;&gt;"")*ISNUMBER(SEARCH(실물목록!$P$2:$P$1001,I2062))*(실물목록!$Q$2:$Q$1001&lt;&gt;"")*ISNUMBER(SEARCH(실물목록!$Q$2:$Q$1001,I2062))*(실물목록!$R$2:$R$1001="")*(실물목록!$O$2:$O$1001&lt;&gt;"")*(실물목록!$O$2:$O$1001=H2062))&gt;0,"실물 있음",IF(SUMPRODUCT((실물목록!$P$2:$P$1001&lt;&gt;"")*ISNUMBER(SEARCH(실물목록!$P$2:$P$1001,I2062))*(실물목록!$R$2:$R$1001&lt;&gt;""))&gt;0,"확인필요(입력누락)",IF(SUMPRODUCT((실물목록!$P$2:$P$1001&lt;&gt;"")*ISNUMBER(SEARCH(실물목록!$P$2:$P$1001,I2062))*(실물목록!$Q$2:$Q$1001&lt;&gt;"")*ISNUMBER(SEARCH(실물목록!$Q$2:$Q$1001,I2062))*(실물목록!$R$2:$R$1001="")*(실물목록!$O$2:$O$1001&lt;&gt;""))&gt;0,"확인필요(연도다름)","실물 없음")))))</f>
      </c>
      <c r="G2062" t="n" s="16">
        <f aca="0">IF(B2062="","",SUMPRODUCT((실물목록!$P$2:$P$1001&lt;&gt;"")*ISNUMBER(SEARCH(실물목록!$P$2:$P$1001,I2062))*(실물목록!$Q$2:$Q$1001&lt;&gt;"")*ISNUMBER(SEARCH(실물목록!$Q$2:$Q$1001,I2062))*(실물목록!$R$2:$R$1001="")*(실물목록!$O$2:$O$1001&lt;&gt;"")*(실물목록!$O$2:$O$1001=H2062)))</f>
      </c>
      <c r="H2062" t="str">
        <f>IFERROR(IF(AND(LEN(SUBSTITUTE(SUBSTITUTE(SUBSTITUTE(TRIM(A2062&amp;""),CHAR(160),"")," ",""),"년",""))=4,VALUE(SUBSTITUTE(SUBSTITUTE(SUBSTITUTE(TRIM(A2062&amp;""),CHAR(160),"")," ",""),"년",""))&gt;=1900,VALUE(SUBSTITUTE(SUBSTITUTE(SUBSTITUTE(TRIM(A2062&amp;""),CHAR(160),"")," ",""),"년",""))&lt;=2099,TEXT(VALUE(SUBSTITUTE(SUBSTITUTE(SUBSTITUTE(TRIM(A2062&amp;""),CHAR(160),"")," ",""),"년","")),"0000")=SUBSTITUTE(SUBSTITUTE(SUBSTITUTE(TRIM(A2062&amp;""),CHAR(160),"")," ",""),"년","")),SUBSTITUTE(SUBSTITUTE(SUBSTITUTE(TRIM(A2062&amp;""),CHAR(160),"")," ",""),"년",""),""),"")</f>
      </c>
      <c r="I2062" t="str">
        <f>SUBSTITUTE(SUBSTITUTE(SUBSTITUTE(SUBSTITUTE(SUBSTITUTE(TRIM(B2062&amp;""),CHAR(160),"")," ",""),"초등학교","초"),"중학교","중"),"고등학교","고")</f>
      </c>
    </row>
    <row r="2063" customFormat="false" ht="15" hidden="false" customHeight="false" outlineLevel="0" collapsed="false">
      <c r="A2063" s="8"/>
      <c r="B2063" s="8"/>
      <c r="C2063" s="8"/>
      <c r="D2063" s="8"/>
      <c r="E2063" s="8"/>
      <c r="F2063" t="str" s="15">
        <f aca="0">IF(B2063="","",IF(H2063="","확인필요(입력누락)",IF(SUMPRODUCT((실물목록!$P$2:$P$1001&lt;&gt;"")*ISNUMBER(SEARCH(실물목록!$P$2:$P$1001,I2063))*(실물목록!$Q$2:$Q$1001&lt;&gt;"")*ISNUMBER(SEARCH(실물목록!$Q$2:$Q$1001,I2063))*(실물목록!$R$2:$R$1001="")*(실물목록!$O$2:$O$1001&lt;&gt;"")*(실물목록!$O$2:$O$1001=H2063))&gt;0,"실물 있음",IF(SUMPRODUCT((실물목록!$P$2:$P$1001&lt;&gt;"")*ISNUMBER(SEARCH(실물목록!$P$2:$P$1001,I2063))*(실물목록!$R$2:$R$1001&lt;&gt;""))&gt;0,"확인필요(입력누락)",IF(SUMPRODUCT((실물목록!$P$2:$P$1001&lt;&gt;"")*ISNUMBER(SEARCH(실물목록!$P$2:$P$1001,I2063))*(실물목록!$Q$2:$Q$1001&lt;&gt;"")*ISNUMBER(SEARCH(실물목록!$Q$2:$Q$1001,I2063))*(실물목록!$R$2:$R$1001="")*(실물목록!$O$2:$O$1001&lt;&gt;""))&gt;0,"확인필요(연도다름)","실물 없음")))))</f>
      </c>
      <c r="G2063" t="n" s="16">
        <f aca="0">IF(B2063="","",SUMPRODUCT((실물목록!$P$2:$P$1001&lt;&gt;"")*ISNUMBER(SEARCH(실물목록!$P$2:$P$1001,I2063))*(실물목록!$Q$2:$Q$1001&lt;&gt;"")*ISNUMBER(SEARCH(실물목록!$Q$2:$Q$1001,I2063))*(실물목록!$R$2:$R$1001="")*(실물목록!$O$2:$O$1001&lt;&gt;"")*(실물목록!$O$2:$O$1001=H2063)))</f>
      </c>
      <c r="H2063" t="str">
        <f>IFERROR(IF(AND(LEN(SUBSTITUTE(SUBSTITUTE(SUBSTITUTE(TRIM(A2063&amp;""),CHAR(160),"")," ",""),"년",""))=4,VALUE(SUBSTITUTE(SUBSTITUTE(SUBSTITUTE(TRIM(A2063&amp;""),CHAR(160),"")," ",""),"년",""))&gt;=1900,VALUE(SUBSTITUTE(SUBSTITUTE(SUBSTITUTE(TRIM(A2063&amp;""),CHAR(160),"")," ",""),"년",""))&lt;=2099,TEXT(VALUE(SUBSTITUTE(SUBSTITUTE(SUBSTITUTE(TRIM(A2063&amp;""),CHAR(160),"")," ",""),"년","")),"0000")=SUBSTITUTE(SUBSTITUTE(SUBSTITUTE(TRIM(A2063&amp;""),CHAR(160),"")," ",""),"년","")),SUBSTITUTE(SUBSTITUTE(SUBSTITUTE(TRIM(A2063&amp;""),CHAR(160),"")," ",""),"년",""),""),"")</f>
      </c>
      <c r="I2063" t="str">
        <f>SUBSTITUTE(SUBSTITUTE(SUBSTITUTE(SUBSTITUTE(SUBSTITUTE(TRIM(B2063&amp;""),CHAR(160),"")," ",""),"초등학교","초"),"중학교","중"),"고등학교","고")</f>
      </c>
    </row>
    <row r="2064" customFormat="false" ht="15" hidden="false" customHeight="false" outlineLevel="0" collapsed="false">
      <c r="A2064" s="8"/>
      <c r="B2064" s="8"/>
      <c r="C2064" s="8"/>
      <c r="D2064" s="8"/>
      <c r="E2064" s="8"/>
      <c r="F2064" t="str" s="15">
        <f aca="0">IF(B2064="","",IF(H2064="","확인필요(입력누락)",IF(SUMPRODUCT((실물목록!$P$2:$P$1001&lt;&gt;"")*ISNUMBER(SEARCH(실물목록!$P$2:$P$1001,I2064))*(실물목록!$Q$2:$Q$1001&lt;&gt;"")*ISNUMBER(SEARCH(실물목록!$Q$2:$Q$1001,I2064))*(실물목록!$R$2:$R$1001="")*(실물목록!$O$2:$O$1001&lt;&gt;"")*(실물목록!$O$2:$O$1001=H2064))&gt;0,"실물 있음",IF(SUMPRODUCT((실물목록!$P$2:$P$1001&lt;&gt;"")*ISNUMBER(SEARCH(실물목록!$P$2:$P$1001,I2064))*(실물목록!$R$2:$R$1001&lt;&gt;""))&gt;0,"확인필요(입력누락)",IF(SUMPRODUCT((실물목록!$P$2:$P$1001&lt;&gt;"")*ISNUMBER(SEARCH(실물목록!$P$2:$P$1001,I2064))*(실물목록!$Q$2:$Q$1001&lt;&gt;"")*ISNUMBER(SEARCH(실물목록!$Q$2:$Q$1001,I2064))*(실물목록!$R$2:$R$1001="")*(실물목록!$O$2:$O$1001&lt;&gt;""))&gt;0,"확인필요(연도다름)","실물 없음")))))</f>
      </c>
      <c r="G2064" t="n" s="16">
        <f aca="0">IF(B2064="","",SUMPRODUCT((실물목록!$P$2:$P$1001&lt;&gt;"")*ISNUMBER(SEARCH(실물목록!$P$2:$P$1001,I2064))*(실물목록!$Q$2:$Q$1001&lt;&gt;"")*ISNUMBER(SEARCH(실물목록!$Q$2:$Q$1001,I2064))*(실물목록!$R$2:$R$1001="")*(실물목록!$O$2:$O$1001&lt;&gt;"")*(실물목록!$O$2:$O$1001=H2064)))</f>
      </c>
      <c r="H2064" t="str">
        <f>IFERROR(IF(AND(LEN(SUBSTITUTE(SUBSTITUTE(SUBSTITUTE(TRIM(A2064&amp;""),CHAR(160),"")," ",""),"년",""))=4,VALUE(SUBSTITUTE(SUBSTITUTE(SUBSTITUTE(TRIM(A2064&amp;""),CHAR(160),"")," ",""),"년",""))&gt;=1900,VALUE(SUBSTITUTE(SUBSTITUTE(SUBSTITUTE(TRIM(A2064&amp;""),CHAR(160),"")," ",""),"년",""))&lt;=2099,TEXT(VALUE(SUBSTITUTE(SUBSTITUTE(SUBSTITUTE(TRIM(A2064&amp;""),CHAR(160),"")," ",""),"년","")),"0000")=SUBSTITUTE(SUBSTITUTE(SUBSTITUTE(TRIM(A2064&amp;""),CHAR(160),"")," ",""),"년","")),SUBSTITUTE(SUBSTITUTE(SUBSTITUTE(TRIM(A2064&amp;""),CHAR(160),"")," ",""),"년",""),""),"")</f>
      </c>
      <c r="I2064" t="str">
        <f>SUBSTITUTE(SUBSTITUTE(SUBSTITUTE(SUBSTITUTE(SUBSTITUTE(TRIM(B2064&amp;""),CHAR(160),"")," ",""),"초등학교","초"),"중학교","중"),"고등학교","고")</f>
      </c>
    </row>
    <row r="2065" customFormat="false" ht="15" hidden="false" customHeight="false" outlineLevel="0" collapsed="false">
      <c r="A2065" s="8"/>
      <c r="B2065" s="8"/>
      <c r="C2065" s="8"/>
      <c r="D2065" s="8"/>
      <c r="E2065" s="8"/>
      <c r="F2065" t="str" s="15">
        <f aca="0">IF(B2065="","",IF(H2065="","확인필요(입력누락)",IF(SUMPRODUCT((실물목록!$P$2:$P$1001&lt;&gt;"")*ISNUMBER(SEARCH(실물목록!$P$2:$P$1001,I2065))*(실물목록!$Q$2:$Q$1001&lt;&gt;"")*ISNUMBER(SEARCH(실물목록!$Q$2:$Q$1001,I2065))*(실물목록!$R$2:$R$1001="")*(실물목록!$O$2:$O$1001&lt;&gt;"")*(실물목록!$O$2:$O$1001=H2065))&gt;0,"실물 있음",IF(SUMPRODUCT((실물목록!$P$2:$P$1001&lt;&gt;"")*ISNUMBER(SEARCH(실물목록!$P$2:$P$1001,I2065))*(실물목록!$R$2:$R$1001&lt;&gt;""))&gt;0,"확인필요(입력누락)",IF(SUMPRODUCT((실물목록!$P$2:$P$1001&lt;&gt;"")*ISNUMBER(SEARCH(실물목록!$P$2:$P$1001,I2065))*(실물목록!$Q$2:$Q$1001&lt;&gt;"")*ISNUMBER(SEARCH(실물목록!$Q$2:$Q$1001,I2065))*(실물목록!$R$2:$R$1001="")*(실물목록!$O$2:$O$1001&lt;&gt;""))&gt;0,"확인필요(연도다름)","실물 없음")))))</f>
      </c>
      <c r="G2065" t="n" s="16">
        <f aca="0">IF(B2065="","",SUMPRODUCT((실물목록!$P$2:$P$1001&lt;&gt;"")*ISNUMBER(SEARCH(실물목록!$P$2:$P$1001,I2065))*(실물목록!$Q$2:$Q$1001&lt;&gt;"")*ISNUMBER(SEARCH(실물목록!$Q$2:$Q$1001,I2065))*(실물목록!$R$2:$R$1001="")*(실물목록!$O$2:$O$1001&lt;&gt;"")*(실물목록!$O$2:$O$1001=H2065)))</f>
      </c>
      <c r="H2065" t="str">
        <f>IFERROR(IF(AND(LEN(SUBSTITUTE(SUBSTITUTE(SUBSTITUTE(TRIM(A2065&amp;""),CHAR(160),"")," ",""),"년",""))=4,VALUE(SUBSTITUTE(SUBSTITUTE(SUBSTITUTE(TRIM(A2065&amp;""),CHAR(160),"")," ",""),"년",""))&gt;=1900,VALUE(SUBSTITUTE(SUBSTITUTE(SUBSTITUTE(TRIM(A2065&amp;""),CHAR(160),"")," ",""),"년",""))&lt;=2099,TEXT(VALUE(SUBSTITUTE(SUBSTITUTE(SUBSTITUTE(TRIM(A2065&amp;""),CHAR(160),"")," ",""),"년","")),"0000")=SUBSTITUTE(SUBSTITUTE(SUBSTITUTE(TRIM(A2065&amp;""),CHAR(160),"")," ",""),"년","")),SUBSTITUTE(SUBSTITUTE(SUBSTITUTE(TRIM(A2065&amp;""),CHAR(160),"")," ",""),"년",""),""),"")</f>
      </c>
      <c r="I2065" t="str">
        <f>SUBSTITUTE(SUBSTITUTE(SUBSTITUTE(SUBSTITUTE(SUBSTITUTE(TRIM(B2065&amp;""),CHAR(160),"")," ",""),"초등학교","초"),"중학교","중"),"고등학교","고")</f>
      </c>
    </row>
    <row r="2066" customFormat="false" ht="15" hidden="false" customHeight="false" outlineLevel="0" collapsed="false">
      <c r="A2066" s="8"/>
      <c r="B2066" s="8"/>
      <c r="C2066" s="8"/>
      <c r="D2066" s="8"/>
      <c r="E2066" s="8"/>
      <c r="F2066" t="str" s="15">
        <f aca="0">IF(B2066="","",IF(H2066="","확인필요(입력누락)",IF(SUMPRODUCT((실물목록!$P$2:$P$1001&lt;&gt;"")*ISNUMBER(SEARCH(실물목록!$P$2:$P$1001,I2066))*(실물목록!$Q$2:$Q$1001&lt;&gt;"")*ISNUMBER(SEARCH(실물목록!$Q$2:$Q$1001,I2066))*(실물목록!$R$2:$R$1001="")*(실물목록!$O$2:$O$1001&lt;&gt;"")*(실물목록!$O$2:$O$1001=H2066))&gt;0,"실물 있음",IF(SUMPRODUCT((실물목록!$P$2:$P$1001&lt;&gt;"")*ISNUMBER(SEARCH(실물목록!$P$2:$P$1001,I2066))*(실물목록!$R$2:$R$1001&lt;&gt;""))&gt;0,"확인필요(입력누락)",IF(SUMPRODUCT((실물목록!$P$2:$P$1001&lt;&gt;"")*ISNUMBER(SEARCH(실물목록!$P$2:$P$1001,I2066))*(실물목록!$Q$2:$Q$1001&lt;&gt;"")*ISNUMBER(SEARCH(실물목록!$Q$2:$Q$1001,I2066))*(실물목록!$R$2:$R$1001="")*(실물목록!$O$2:$O$1001&lt;&gt;""))&gt;0,"확인필요(연도다름)","실물 없음")))))</f>
      </c>
      <c r="G2066" t="n" s="16">
        <f aca="0">IF(B2066="","",SUMPRODUCT((실물목록!$P$2:$P$1001&lt;&gt;"")*ISNUMBER(SEARCH(실물목록!$P$2:$P$1001,I2066))*(실물목록!$Q$2:$Q$1001&lt;&gt;"")*ISNUMBER(SEARCH(실물목록!$Q$2:$Q$1001,I2066))*(실물목록!$R$2:$R$1001="")*(실물목록!$O$2:$O$1001&lt;&gt;"")*(실물목록!$O$2:$O$1001=H2066)))</f>
      </c>
      <c r="H2066" t="str">
        <f>IFERROR(IF(AND(LEN(SUBSTITUTE(SUBSTITUTE(SUBSTITUTE(TRIM(A2066&amp;""),CHAR(160),"")," ",""),"년",""))=4,VALUE(SUBSTITUTE(SUBSTITUTE(SUBSTITUTE(TRIM(A2066&amp;""),CHAR(160),"")," ",""),"년",""))&gt;=1900,VALUE(SUBSTITUTE(SUBSTITUTE(SUBSTITUTE(TRIM(A2066&amp;""),CHAR(160),"")," ",""),"년",""))&lt;=2099,TEXT(VALUE(SUBSTITUTE(SUBSTITUTE(SUBSTITUTE(TRIM(A2066&amp;""),CHAR(160),"")," ",""),"년","")),"0000")=SUBSTITUTE(SUBSTITUTE(SUBSTITUTE(TRIM(A2066&amp;""),CHAR(160),"")," ",""),"년","")),SUBSTITUTE(SUBSTITUTE(SUBSTITUTE(TRIM(A2066&amp;""),CHAR(160),"")," ",""),"년",""),""),"")</f>
      </c>
      <c r="I2066" t="str">
        <f>SUBSTITUTE(SUBSTITUTE(SUBSTITUTE(SUBSTITUTE(SUBSTITUTE(TRIM(B2066&amp;""),CHAR(160),"")," ",""),"초등학교","초"),"중학교","중"),"고등학교","고")</f>
      </c>
    </row>
    <row r="2067" customFormat="false" ht="15" hidden="false" customHeight="false" outlineLevel="0" collapsed="false">
      <c r="A2067" s="8"/>
      <c r="B2067" s="8"/>
      <c r="C2067" s="8"/>
      <c r="D2067" s="8"/>
      <c r="E2067" s="8"/>
      <c r="F2067" t="str" s="15">
        <f aca="0">IF(B2067="","",IF(H2067="","확인필요(입력누락)",IF(SUMPRODUCT((실물목록!$P$2:$P$1001&lt;&gt;"")*ISNUMBER(SEARCH(실물목록!$P$2:$P$1001,I2067))*(실물목록!$Q$2:$Q$1001&lt;&gt;"")*ISNUMBER(SEARCH(실물목록!$Q$2:$Q$1001,I2067))*(실물목록!$R$2:$R$1001="")*(실물목록!$O$2:$O$1001&lt;&gt;"")*(실물목록!$O$2:$O$1001=H2067))&gt;0,"실물 있음",IF(SUMPRODUCT((실물목록!$P$2:$P$1001&lt;&gt;"")*ISNUMBER(SEARCH(실물목록!$P$2:$P$1001,I2067))*(실물목록!$R$2:$R$1001&lt;&gt;""))&gt;0,"확인필요(입력누락)",IF(SUMPRODUCT((실물목록!$P$2:$P$1001&lt;&gt;"")*ISNUMBER(SEARCH(실물목록!$P$2:$P$1001,I2067))*(실물목록!$Q$2:$Q$1001&lt;&gt;"")*ISNUMBER(SEARCH(실물목록!$Q$2:$Q$1001,I2067))*(실물목록!$R$2:$R$1001="")*(실물목록!$O$2:$O$1001&lt;&gt;""))&gt;0,"확인필요(연도다름)","실물 없음")))))</f>
      </c>
      <c r="G2067" t="n" s="16">
        <f aca="0">IF(B2067="","",SUMPRODUCT((실물목록!$P$2:$P$1001&lt;&gt;"")*ISNUMBER(SEARCH(실물목록!$P$2:$P$1001,I2067))*(실물목록!$Q$2:$Q$1001&lt;&gt;"")*ISNUMBER(SEARCH(실물목록!$Q$2:$Q$1001,I2067))*(실물목록!$R$2:$R$1001="")*(실물목록!$O$2:$O$1001&lt;&gt;"")*(실물목록!$O$2:$O$1001=H2067)))</f>
      </c>
      <c r="H2067" t="str">
        <f>IFERROR(IF(AND(LEN(SUBSTITUTE(SUBSTITUTE(SUBSTITUTE(TRIM(A2067&amp;""),CHAR(160),"")," ",""),"년",""))=4,VALUE(SUBSTITUTE(SUBSTITUTE(SUBSTITUTE(TRIM(A2067&amp;""),CHAR(160),"")," ",""),"년",""))&gt;=1900,VALUE(SUBSTITUTE(SUBSTITUTE(SUBSTITUTE(TRIM(A2067&amp;""),CHAR(160),"")," ",""),"년",""))&lt;=2099,TEXT(VALUE(SUBSTITUTE(SUBSTITUTE(SUBSTITUTE(TRIM(A2067&amp;""),CHAR(160),"")," ",""),"년","")),"0000")=SUBSTITUTE(SUBSTITUTE(SUBSTITUTE(TRIM(A2067&amp;""),CHAR(160),"")," ",""),"년","")),SUBSTITUTE(SUBSTITUTE(SUBSTITUTE(TRIM(A2067&amp;""),CHAR(160),"")," ",""),"년",""),""),"")</f>
      </c>
      <c r="I2067" t="str">
        <f>SUBSTITUTE(SUBSTITUTE(SUBSTITUTE(SUBSTITUTE(SUBSTITUTE(TRIM(B2067&amp;""),CHAR(160),"")," ",""),"초등학교","초"),"중학교","중"),"고등학교","고")</f>
      </c>
    </row>
    <row r="2068" customFormat="false" ht="15" hidden="false" customHeight="false" outlineLevel="0" collapsed="false">
      <c r="A2068" s="8"/>
      <c r="B2068" s="8"/>
      <c r="C2068" s="8"/>
      <c r="D2068" s="8"/>
      <c r="E2068" s="8"/>
      <c r="F2068" t="str" s="15">
        <f aca="0">IF(B2068="","",IF(H2068="","확인필요(입력누락)",IF(SUMPRODUCT((실물목록!$P$2:$P$1001&lt;&gt;"")*ISNUMBER(SEARCH(실물목록!$P$2:$P$1001,I2068))*(실물목록!$Q$2:$Q$1001&lt;&gt;"")*ISNUMBER(SEARCH(실물목록!$Q$2:$Q$1001,I2068))*(실물목록!$R$2:$R$1001="")*(실물목록!$O$2:$O$1001&lt;&gt;"")*(실물목록!$O$2:$O$1001=H2068))&gt;0,"실물 있음",IF(SUMPRODUCT((실물목록!$P$2:$P$1001&lt;&gt;"")*ISNUMBER(SEARCH(실물목록!$P$2:$P$1001,I2068))*(실물목록!$R$2:$R$1001&lt;&gt;""))&gt;0,"확인필요(입력누락)",IF(SUMPRODUCT((실물목록!$P$2:$P$1001&lt;&gt;"")*ISNUMBER(SEARCH(실물목록!$P$2:$P$1001,I2068))*(실물목록!$Q$2:$Q$1001&lt;&gt;"")*ISNUMBER(SEARCH(실물목록!$Q$2:$Q$1001,I2068))*(실물목록!$R$2:$R$1001="")*(실물목록!$O$2:$O$1001&lt;&gt;""))&gt;0,"확인필요(연도다름)","실물 없음")))))</f>
      </c>
      <c r="G2068" t="n" s="16">
        <f aca="0">IF(B2068="","",SUMPRODUCT((실물목록!$P$2:$P$1001&lt;&gt;"")*ISNUMBER(SEARCH(실물목록!$P$2:$P$1001,I2068))*(실물목록!$Q$2:$Q$1001&lt;&gt;"")*ISNUMBER(SEARCH(실물목록!$Q$2:$Q$1001,I2068))*(실물목록!$R$2:$R$1001="")*(실물목록!$O$2:$O$1001&lt;&gt;"")*(실물목록!$O$2:$O$1001=H2068)))</f>
      </c>
      <c r="H2068" t="str">
        <f>IFERROR(IF(AND(LEN(SUBSTITUTE(SUBSTITUTE(SUBSTITUTE(TRIM(A2068&amp;""),CHAR(160),"")," ",""),"년",""))=4,VALUE(SUBSTITUTE(SUBSTITUTE(SUBSTITUTE(TRIM(A2068&amp;""),CHAR(160),"")," ",""),"년",""))&gt;=1900,VALUE(SUBSTITUTE(SUBSTITUTE(SUBSTITUTE(TRIM(A2068&amp;""),CHAR(160),"")," ",""),"년",""))&lt;=2099,TEXT(VALUE(SUBSTITUTE(SUBSTITUTE(SUBSTITUTE(TRIM(A2068&amp;""),CHAR(160),"")," ",""),"년","")),"0000")=SUBSTITUTE(SUBSTITUTE(SUBSTITUTE(TRIM(A2068&amp;""),CHAR(160),"")," ",""),"년","")),SUBSTITUTE(SUBSTITUTE(SUBSTITUTE(TRIM(A2068&amp;""),CHAR(160),"")," ",""),"년",""),""),"")</f>
      </c>
      <c r="I2068" t="str">
        <f>SUBSTITUTE(SUBSTITUTE(SUBSTITUTE(SUBSTITUTE(SUBSTITUTE(TRIM(B2068&amp;""),CHAR(160),"")," ",""),"초등학교","초"),"중학교","중"),"고등학교","고")</f>
      </c>
    </row>
    <row r="2069" customFormat="false" ht="15" hidden="false" customHeight="false" outlineLevel="0" collapsed="false">
      <c r="A2069" s="8"/>
      <c r="B2069" s="8"/>
      <c r="C2069" s="8"/>
      <c r="D2069" s="8"/>
      <c r="E2069" s="8"/>
      <c r="F2069" t="str" s="15">
        <f aca="0">IF(B2069="","",IF(H2069="","확인필요(입력누락)",IF(SUMPRODUCT((실물목록!$P$2:$P$1001&lt;&gt;"")*ISNUMBER(SEARCH(실물목록!$P$2:$P$1001,I2069))*(실물목록!$Q$2:$Q$1001&lt;&gt;"")*ISNUMBER(SEARCH(실물목록!$Q$2:$Q$1001,I2069))*(실물목록!$R$2:$R$1001="")*(실물목록!$O$2:$O$1001&lt;&gt;"")*(실물목록!$O$2:$O$1001=H2069))&gt;0,"실물 있음",IF(SUMPRODUCT((실물목록!$P$2:$P$1001&lt;&gt;"")*ISNUMBER(SEARCH(실물목록!$P$2:$P$1001,I2069))*(실물목록!$R$2:$R$1001&lt;&gt;""))&gt;0,"확인필요(입력누락)",IF(SUMPRODUCT((실물목록!$P$2:$P$1001&lt;&gt;"")*ISNUMBER(SEARCH(실물목록!$P$2:$P$1001,I2069))*(실물목록!$Q$2:$Q$1001&lt;&gt;"")*ISNUMBER(SEARCH(실물목록!$Q$2:$Q$1001,I2069))*(실물목록!$R$2:$R$1001="")*(실물목록!$O$2:$O$1001&lt;&gt;""))&gt;0,"확인필요(연도다름)","실물 없음")))))</f>
      </c>
      <c r="G2069" t="n" s="16">
        <f aca="0">IF(B2069="","",SUMPRODUCT((실물목록!$P$2:$P$1001&lt;&gt;"")*ISNUMBER(SEARCH(실물목록!$P$2:$P$1001,I2069))*(실물목록!$Q$2:$Q$1001&lt;&gt;"")*ISNUMBER(SEARCH(실물목록!$Q$2:$Q$1001,I2069))*(실물목록!$R$2:$R$1001="")*(실물목록!$O$2:$O$1001&lt;&gt;"")*(실물목록!$O$2:$O$1001=H2069)))</f>
      </c>
      <c r="H2069" t="str">
        <f>IFERROR(IF(AND(LEN(SUBSTITUTE(SUBSTITUTE(SUBSTITUTE(TRIM(A2069&amp;""),CHAR(160),"")," ",""),"년",""))=4,VALUE(SUBSTITUTE(SUBSTITUTE(SUBSTITUTE(TRIM(A2069&amp;""),CHAR(160),"")," ",""),"년",""))&gt;=1900,VALUE(SUBSTITUTE(SUBSTITUTE(SUBSTITUTE(TRIM(A2069&amp;""),CHAR(160),"")," ",""),"년",""))&lt;=2099,TEXT(VALUE(SUBSTITUTE(SUBSTITUTE(SUBSTITUTE(TRIM(A2069&amp;""),CHAR(160),"")," ",""),"년","")),"0000")=SUBSTITUTE(SUBSTITUTE(SUBSTITUTE(TRIM(A2069&amp;""),CHAR(160),"")," ",""),"년","")),SUBSTITUTE(SUBSTITUTE(SUBSTITUTE(TRIM(A2069&amp;""),CHAR(160),"")," ",""),"년",""),""),"")</f>
      </c>
      <c r="I2069" t="str">
        <f>SUBSTITUTE(SUBSTITUTE(SUBSTITUTE(SUBSTITUTE(SUBSTITUTE(TRIM(B2069&amp;""),CHAR(160),"")," ",""),"초등학교","초"),"중학교","중"),"고등학교","고")</f>
      </c>
    </row>
    <row r="2070" customFormat="false" ht="15" hidden="false" customHeight="false" outlineLevel="0" collapsed="false">
      <c r="A2070" s="8"/>
      <c r="B2070" s="8"/>
      <c r="C2070" s="8"/>
      <c r="D2070" s="8"/>
      <c r="E2070" s="8"/>
      <c r="F2070" t="str" s="15">
        <f aca="0">IF(B2070="","",IF(H2070="","확인필요(입력누락)",IF(SUMPRODUCT((실물목록!$P$2:$P$1001&lt;&gt;"")*ISNUMBER(SEARCH(실물목록!$P$2:$P$1001,I2070))*(실물목록!$Q$2:$Q$1001&lt;&gt;"")*ISNUMBER(SEARCH(실물목록!$Q$2:$Q$1001,I2070))*(실물목록!$R$2:$R$1001="")*(실물목록!$O$2:$O$1001&lt;&gt;"")*(실물목록!$O$2:$O$1001=H2070))&gt;0,"실물 있음",IF(SUMPRODUCT((실물목록!$P$2:$P$1001&lt;&gt;"")*ISNUMBER(SEARCH(실물목록!$P$2:$P$1001,I2070))*(실물목록!$R$2:$R$1001&lt;&gt;""))&gt;0,"확인필요(입력누락)",IF(SUMPRODUCT((실물목록!$P$2:$P$1001&lt;&gt;"")*ISNUMBER(SEARCH(실물목록!$P$2:$P$1001,I2070))*(실물목록!$Q$2:$Q$1001&lt;&gt;"")*ISNUMBER(SEARCH(실물목록!$Q$2:$Q$1001,I2070))*(실물목록!$R$2:$R$1001="")*(실물목록!$O$2:$O$1001&lt;&gt;""))&gt;0,"확인필요(연도다름)","실물 없음")))))</f>
      </c>
      <c r="G2070" t="n" s="16">
        <f aca="0">IF(B2070="","",SUMPRODUCT((실물목록!$P$2:$P$1001&lt;&gt;"")*ISNUMBER(SEARCH(실물목록!$P$2:$P$1001,I2070))*(실물목록!$Q$2:$Q$1001&lt;&gt;"")*ISNUMBER(SEARCH(실물목록!$Q$2:$Q$1001,I2070))*(실물목록!$R$2:$R$1001="")*(실물목록!$O$2:$O$1001&lt;&gt;"")*(실물목록!$O$2:$O$1001=H2070)))</f>
      </c>
      <c r="H2070" t="str">
        <f>IFERROR(IF(AND(LEN(SUBSTITUTE(SUBSTITUTE(SUBSTITUTE(TRIM(A2070&amp;""),CHAR(160),"")," ",""),"년",""))=4,VALUE(SUBSTITUTE(SUBSTITUTE(SUBSTITUTE(TRIM(A2070&amp;""),CHAR(160),"")," ",""),"년",""))&gt;=1900,VALUE(SUBSTITUTE(SUBSTITUTE(SUBSTITUTE(TRIM(A2070&amp;""),CHAR(160),"")," ",""),"년",""))&lt;=2099,TEXT(VALUE(SUBSTITUTE(SUBSTITUTE(SUBSTITUTE(TRIM(A2070&amp;""),CHAR(160),"")," ",""),"년","")),"0000")=SUBSTITUTE(SUBSTITUTE(SUBSTITUTE(TRIM(A2070&amp;""),CHAR(160),"")," ",""),"년","")),SUBSTITUTE(SUBSTITUTE(SUBSTITUTE(TRIM(A2070&amp;""),CHAR(160),"")," ",""),"년",""),""),"")</f>
      </c>
      <c r="I2070" t="str">
        <f>SUBSTITUTE(SUBSTITUTE(SUBSTITUTE(SUBSTITUTE(SUBSTITUTE(TRIM(B2070&amp;""),CHAR(160),"")," ",""),"초등학교","초"),"중학교","중"),"고등학교","고")</f>
      </c>
    </row>
    <row r="2071" customFormat="false" ht="15" hidden="false" customHeight="false" outlineLevel="0" collapsed="false">
      <c r="A2071" s="8"/>
      <c r="B2071" s="8"/>
      <c r="C2071" s="8"/>
      <c r="D2071" s="8"/>
      <c r="E2071" s="8"/>
      <c r="F2071" t="str" s="15">
        <f aca="0">IF(B2071="","",IF(H2071="","확인필요(입력누락)",IF(SUMPRODUCT((실물목록!$P$2:$P$1001&lt;&gt;"")*ISNUMBER(SEARCH(실물목록!$P$2:$P$1001,I2071))*(실물목록!$Q$2:$Q$1001&lt;&gt;"")*ISNUMBER(SEARCH(실물목록!$Q$2:$Q$1001,I2071))*(실물목록!$R$2:$R$1001="")*(실물목록!$O$2:$O$1001&lt;&gt;"")*(실물목록!$O$2:$O$1001=H2071))&gt;0,"실물 있음",IF(SUMPRODUCT((실물목록!$P$2:$P$1001&lt;&gt;"")*ISNUMBER(SEARCH(실물목록!$P$2:$P$1001,I2071))*(실물목록!$R$2:$R$1001&lt;&gt;""))&gt;0,"확인필요(입력누락)",IF(SUMPRODUCT((실물목록!$P$2:$P$1001&lt;&gt;"")*ISNUMBER(SEARCH(실물목록!$P$2:$P$1001,I2071))*(실물목록!$Q$2:$Q$1001&lt;&gt;"")*ISNUMBER(SEARCH(실물목록!$Q$2:$Q$1001,I2071))*(실물목록!$R$2:$R$1001="")*(실물목록!$O$2:$O$1001&lt;&gt;""))&gt;0,"확인필요(연도다름)","실물 없음")))))</f>
      </c>
      <c r="G2071" t="n" s="16">
        <f aca="0">IF(B2071="","",SUMPRODUCT((실물목록!$P$2:$P$1001&lt;&gt;"")*ISNUMBER(SEARCH(실물목록!$P$2:$P$1001,I2071))*(실물목록!$Q$2:$Q$1001&lt;&gt;"")*ISNUMBER(SEARCH(실물목록!$Q$2:$Q$1001,I2071))*(실물목록!$R$2:$R$1001="")*(실물목록!$O$2:$O$1001&lt;&gt;"")*(실물목록!$O$2:$O$1001=H2071)))</f>
      </c>
      <c r="H2071" t="str">
        <f>IFERROR(IF(AND(LEN(SUBSTITUTE(SUBSTITUTE(SUBSTITUTE(TRIM(A2071&amp;""),CHAR(160),"")," ",""),"년",""))=4,VALUE(SUBSTITUTE(SUBSTITUTE(SUBSTITUTE(TRIM(A2071&amp;""),CHAR(160),"")," ",""),"년",""))&gt;=1900,VALUE(SUBSTITUTE(SUBSTITUTE(SUBSTITUTE(TRIM(A2071&amp;""),CHAR(160),"")," ",""),"년",""))&lt;=2099,TEXT(VALUE(SUBSTITUTE(SUBSTITUTE(SUBSTITUTE(TRIM(A2071&amp;""),CHAR(160),"")," ",""),"년","")),"0000")=SUBSTITUTE(SUBSTITUTE(SUBSTITUTE(TRIM(A2071&amp;""),CHAR(160),"")," ",""),"년","")),SUBSTITUTE(SUBSTITUTE(SUBSTITUTE(TRIM(A2071&amp;""),CHAR(160),"")," ",""),"년",""),""),"")</f>
      </c>
      <c r="I2071" t="str">
        <f>SUBSTITUTE(SUBSTITUTE(SUBSTITUTE(SUBSTITUTE(SUBSTITUTE(TRIM(B2071&amp;""),CHAR(160),"")," ",""),"초등학교","초"),"중학교","중"),"고등학교","고")</f>
      </c>
    </row>
    <row r="2072" customFormat="false" ht="15" hidden="false" customHeight="false" outlineLevel="0" collapsed="false">
      <c r="A2072" s="8"/>
      <c r="B2072" s="8"/>
      <c r="C2072" s="8"/>
      <c r="D2072" s="8"/>
      <c r="E2072" s="8"/>
      <c r="F2072" t="str" s="15">
        <f aca="0">IF(B2072="","",IF(H2072="","확인필요(입력누락)",IF(SUMPRODUCT((실물목록!$P$2:$P$1001&lt;&gt;"")*ISNUMBER(SEARCH(실물목록!$P$2:$P$1001,I2072))*(실물목록!$Q$2:$Q$1001&lt;&gt;"")*ISNUMBER(SEARCH(실물목록!$Q$2:$Q$1001,I2072))*(실물목록!$R$2:$R$1001="")*(실물목록!$O$2:$O$1001&lt;&gt;"")*(실물목록!$O$2:$O$1001=H2072))&gt;0,"실물 있음",IF(SUMPRODUCT((실물목록!$P$2:$P$1001&lt;&gt;"")*ISNUMBER(SEARCH(실물목록!$P$2:$P$1001,I2072))*(실물목록!$R$2:$R$1001&lt;&gt;""))&gt;0,"확인필요(입력누락)",IF(SUMPRODUCT((실물목록!$P$2:$P$1001&lt;&gt;"")*ISNUMBER(SEARCH(실물목록!$P$2:$P$1001,I2072))*(실물목록!$Q$2:$Q$1001&lt;&gt;"")*ISNUMBER(SEARCH(실물목록!$Q$2:$Q$1001,I2072))*(실물목록!$R$2:$R$1001="")*(실물목록!$O$2:$O$1001&lt;&gt;""))&gt;0,"확인필요(연도다름)","실물 없음")))))</f>
      </c>
      <c r="G2072" t="n" s="16">
        <f aca="0">IF(B2072="","",SUMPRODUCT((실물목록!$P$2:$P$1001&lt;&gt;"")*ISNUMBER(SEARCH(실물목록!$P$2:$P$1001,I2072))*(실물목록!$Q$2:$Q$1001&lt;&gt;"")*ISNUMBER(SEARCH(실물목록!$Q$2:$Q$1001,I2072))*(실물목록!$R$2:$R$1001="")*(실물목록!$O$2:$O$1001&lt;&gt;"")*(실물목록!$O$2:$O$1001=H2072)))</f>
      </c>
      <c r="H2072" t="str">
        <f>IFERROR(IF(AND(LEN(SUBSTITUTE(SUBSTITUTE(SUBSTITUTE(TRIM(A2072&amp;""),CHAR(160),"")," ",""),"년",""))=4,VALUE(SUBSTITUTE(SUBSTITUTE(SUBSTITUTE(TRIM(A2072&amp;""),CHAR(160),"")," ",""),"년",""))&gt;=1900,VALUE(SUBSTITUTE(SUBSTITUTE(SUBSTITUTE(TRIM(A2072&amp;""),CHAR(160),"")," ",""),"년",""))&lt;=2099,TEXT(VALUE(SUBSTITUTE(SUBSTITUTE(SUBSTITUTE(TRIM(A2072&amp;""),CHAR(160),"")," ",""),"년","")),"0000")=SUBSTITUTE(SUBSTITUTE(SUBSTITUTE(TRIM(A2072&amp;""),CHAR(160),"")," ",""),"년","")),SUBSTITUTE(SUBSTITUTE(SUBSTITUTE(TRIM(A2072&amp;""),CHAR(160),"")," ",""),"년",""),""),"")</f>
      </c>
      <c r="I2072" t="str">
        <f>SUBSTITUTE(SUBSTITUTE(SUBSTITUTE(SUBSTITUTE(SUBSTITUTE(TRIM(B2072&amp;""),CHAR(160),"")," ",""),"초등학교","초"),"중학교","중"),"고등학교","고")</f>
      </c>
    </row>
    <row r="2073" customFormat="false" ht="15" hidden="false" customHeight="false" outlineLevel="0" collapsed="false">
      <c r="A2073" s="8"/>
      <c r="B2073" s="8"/>
      <c r="C2073" s="8"/>
      <c r="D2073" s="8"/>
      <c r="E2073" s="8"/>
      <c r="F2073" t="str" s="15">
        <f aca="0">IF(B2073="","",IF(H2073="","확인필요(입력누락)",IF(SUMPRODUCT((실물목록!$P$2:$P$1001&lt;&gt;"")*ISNUMBER(SEARCH(실물목록!$P$2:$P$1001,I2073))*(실물목록!$Q$2:$Q$1001&lt;&gt;"")*ISNUMBER(SEARCH(실물목록!$Q$2:$Q$1001,I2073))*(실물목록!$R$2:$R$1001="")*(실물목록!$O$2:$O$1001&lt;&gt;"")*(실물목록!$O$2:$O$1001=H2073))&gt;0,"실물 있음",IF(SUMPRODUCT((실물목록!$P$2:$P$1001&lt;&gt;"")*ISNUMBER(SEARCH(실물목록!$P$2:$P$1001,I2073))*(실물목록!$R$2:$R$1001&lt;&gt;""))&gt;0,"확인필요(입력누락)",IF(SUMPRODUCT((실물목록!$P$2:$P$1001&lt;&gt;"")*ISNUMBER(SEARCH(실물목록!$P$2:$P$1001,I2073))*(실물목록!$Q$2:$Q$1001&lt;&gt;"")*ISNUMBER(SEARCH(실물목록!$Q$2:$Q$1001,I2073))*(실물목록!$R$2:$R$1001="")*(실물목록!$O$2:$O$1001&lt;&gt;""))&gt;0,"확인필요(연도다름)","실물 없음")))))</f>
      </c>
      <c r="G2073" t="n" s="16">
        <f aca="0">IF(B2073="","",SUMPRODUCT((실물목록!$P$2:$P$1001&lt;&gt;"")*ISNUMBER(SEARCH(실물목록!$P$2:$P$1001,I2073))*(실물목록!$Q$2:$Q$1001&lt;&gt;"")*ISNUMBER(SEARCH(실물목록!$Q$2:$Q$1001,I2073))*(실물목록!$R$2:$R$1001="")*(실물목록!$O$2:$O$1001&lt;&gt;"")*(실물목록!$O$2:$O$1001=H2073)))</f>
      </c>
      <c r="H2073" t="str">
        <f>IFERROR(IF(AND(LEN(SUBSTITUTE(SUBSTITUTE(SUBSTITUTE(TRIM(A2073&amp;""),CHAR(160),"")," ",""),"년",""))=4,VALUE(SUBSTITUTE(SUBSTITUTE(SUBSTITUTE(TRIM(A2073&amp;""),CHAR(160),"")," ",""),"년",""))&gt;=1900,VALUE(SUBSTITUTE(SUBSTITUTE(SUBSTITUTE(TRIM(A2073&amp;""),CHAR(160),"")," ",""),"년",""))&lt;=2099,TEXT(VALUE(SUBSTITUTE(SUBSTITUTE(SUBSTITUTE(TRIM(A2073&amp;""),CHAR(160),"")," ",""),"년","")),"0000")=SUBSTITUTE(SUBSTITUTE(SUBSTITUTE(TRIM(A2073&amp;""),CHAR(160),"")," ",""),"년","")),SUBSTITUTE(SUBSTITUTE(SUBSTITUTE(TRIM(A2073&amp;""),CHAR(160),"")," ",""),"년",""),""),"")</f>
      </c>
      <c r="I2073" t="str">
        <f>SUBSTITUTE(SUBSTITUTE(SUBSTITUTE(SUBSTITUTE(SUBSTITUTE(TRIM(B2073&amp;""),CHAR(160),"")," ",""),"초등학교","초"),"중학교","중"),"고등학교","고")</f>
      </c>
    </row>
    <row r="2074" customFormat="false" ht="15" hidden="false" customHeight="false" outlineLevel="0" collapsed="false">
      <c r="A2074" s="8"/>
      <c r="B2074" s="8"/>
      <c r="C2074" s="8"/>
      <c r="D2074" s="8"/>
      <c r="E2074" s="8"/>
      <c r="F2074" t="str" s="15">
        <f aca="0">IF(B2074="","",IF(H2074="","확인필요(입력누락)",IF(SUMPRODUCT((실물목록!$P$2:$P$1001&lt;&gt;"")*ISNUMBER(SEARCH(실물목록!$P$2:$P$1001,I2074))*(실물목록!$Q$2:$Q$1001&lt;&gt;"")*ISNUMBER(SEARCH(실물목록!$Q$2:$Q$1001,I2074))*(실물목록!$R$2:$R$1001="")*(실물목록!$O$2:$O$1001&lt;&gt;"")*(실물목록!$O$2:$O$1001=H2074))&gt;0,"실물 있음",IF(SUMPRODUCT((실물목록!$P$2:$P$1001&lt;&gt;"")*ISNUMBER(SEARCH(실물목록!$P$2:$P$1001,I2074))*(실물목록!$R$2:$R$1001&lt;&gt;""))&gt;0,"확인필요(입력누락)",IF(SUMPRODUCT((실물목록!$P$2:$P$1001&lt;&gt;"")*ISNUMBER(SEARCH(실물목록!$P$2:$P$1001,I2074))*(실물목록!$Q$2:$Q$1001&lt;&gt;"")*ISNUMBER(SEARCH(실물목록!$Q$2:$Q$1001,I2074))*(실물목록!$R$2:$R$1001="")*(실물목록!$O$2:$O$1001&lt;&gt;""))&gt;0,"확인필요(연도다름)","실물 없음")))))</f>
      </c>
      <c r="G2074" t="n" s="16">
        <f aca="0">IF(B2074="","",SUMPRODUCT((실물목록!$P$2:$P$1001&lt;&gt;"")*ISNUMBER(SEARCH(실물목록!$P$2:$P$1001,I2074))*(실물목록!$Q$2:$Q$1001&lt;&gt;"")*ISNUMBER(SEARCH(실물목록!$Q$2:$Q$1001,I2074))*(실물목록!$R$2:$R$1001="")*(실물목록!$O$2:$O$1001&lt;&gt;"")*(실물목록!$O$2:$O$1001=H2074)))</f>
      </c>
      <c r="H2074" t="str">
        <f>IFERROR(IF(AND(LEN(SUBSTITUTE(SUBSTITUTE(SUBSTITUTE(TRIM(A2074&amp;""),CHAR(160),"")," ",""),"년",""))=4,VALUE(SUBSTITUTE(SUBSTITUTE(SUBSTITUTE(TRIM(A2074&amp;""),CHAR(160),"")," ",""),"년",""))&gt;=1900,VALUE(SUBSTITUTE(SUBSTITUTE(SUBSTITUTE(TRIM(A2074&amp;""),CHAR(160),"")," ",""),"년",""))&lt;=2099,TEXT(VALUE(SUBSTITUTE(SUBSTITUTE(SUBSTITUTE(TRIM(A2074&amp;""),CHAR(160),"")," ",""),"년","")),"0000")=SUBSTITUTE(SUBSTITUTE(SUBSTITUTE(TRIM(A2074&amp;""),CHAR(160),"")," ",""),"년","")),SUBSTITUTE(SUBSTITUTE(SUBSTITUTE(TRIM(A2074&amp;""),CHAR(160),"")," ",""),"년",""),""),"")</f>
      </c>
      <c r="I2074" t="str">
        <f>SUBSTITUTE(SUBSTITUTE(SUBSTITUTE(SUBSTITUTE(SUBSTITUTE(TRIM(B2074&amp;""),CHAR(160),"")," ",""),"초등학교","초"),"중학교","중"),"고등학교","고")</f>
      </c>
    </row>
    <row r="2075" customFormat="false" ht="15" hidden="false" customHeight="false" outlineLevel="0" collapsed="false">
      <c r="A2075" s="8"/>
      <c r="B2075" s="8"/>
      <c r="C2075" s="8"/>
      <c r="D2075" s="8"/>
      <c r="E2075" s="8"/>
      <c r="F2075" t="str" s="15">
        <f aca="0">IF(B2075="","",IF(H2075="","확인필요(입력누락)",IF(SUMPRODUCT((실물목록!$P$2:$P$1001&lt;&gt;"")*ISNUMBER(SEARCH(실물목록!$P$2:$P$1001,I2075))*(실물목록!$Q$2:$Q$1001&lt;&gt;"")*ISNUMBER(SEARCH(실물목록!$Q$2:$Q$1001,I2075))*(실물목록!$R$2:$R$1001="")*(실물목록!$O$2:$O$1001&lt;&gt;"")*(실물목록!$O$2:$O$1001=H2075))&gt;0,"실물 있음",IF(SUMPRODUCT((실물목록!$P$2:$P$1001&lt;&gt;"")*ISNUMBER(SEARCH(실물목록!$P$2:$P$1001,I2075))*(실물목록!$R$2:$R$1001&lt;&gt;""))&gt;0,"확인필요(입력누락)",IF(SUMPRODUCT((실물목록!$P$2:$P$1001&lt;&gt;"")*ISNUMBER(SEARCH(실물목록!$P$2:$P$1001,I2075))*(실물목록!$Q$2:$Q$1001&lt;&gt;"")*ISNUMBER(SEARCH(실물목록!$Q$2:$Q$1001,I2075))*(실물목록!$R$2:$R$1001="")*(실물목록!$O$2:$O$1001&lt;&gt;""))&gt;0,"확인필요(연도다름)","실물 없음")))))</f>
      </c>
      <c r="G2075" t="n" s="16">
        <f aca="0">IF(B2075="","",SUMPRODUCT((실물목록!$P$2:$P$1001&lt;&gt;"")*ISNUMBER(SEARCH(실물목록!$P$2:$P$1001,I2075))*(실물목록!$Q$2:$Q$1001&lt;&gt;"")*ISNUMBER(SEARCH(실물목록!$Q$2:$Q$1001,I2075))*(실물목록!$R$2:$R$1001="")*(실물목록!$O$2:$O$1001&lt;&gt;"")*(실물목록!$O$2:$O$1001=H2075)))</f>
      </c>
      <c r="H2075" t="str">
        <f>IFERROR(IF(AND(LEN(SUBSTITUTE(SUBSTITUTE(SUBSTITUTE(TRIM(A2075&amp;""),CHAR(160),"")," ",""),"년",""))=4,VALUE(SUBSTITUTE(SUBSTITUTE(SUBSTITUTE(TRIM(A2075&amp;""),CHAR(160),"")," ",""),"년",""))&gt;=1900,VALUE(SUBSTITUTE(SUBSTITUTE(SUBSTITUTE(TRIM(A2075&amp;""),CHAR(160),"")," ",""),"년",""))&lt;=2099,TEXT(VALUE(SUBSTITUTE(SUBSTITUTE(SUBSTITUTE(TRIM(A2075&amp;""),CHAR(160),"")," ",""),"년","")),"0000")=SUBSTITUTE(SUBSTITUTE(SUBSTITUTE(TRIM(A2075&amp;""),CHAR(160),"")," ",""),"년","")),SUBSTITUTE(SUBSTITUTE(SUBSTITUTE(TRIM(A2075&amp;""),CHAR(160),"")," ",""),"년",""),""),"")</f>
      </c>
      <c r="I2075" t="str">
        <f>SUBSTITUTE(SUBSTITUTE(SUBSTITUTE(SUBSTITUTE(SUBSTITUTE(TRIM(B2075&amp;""),CHAR(160),"")," ",""),"초등학교","초"),"중학교","중"),"고등학교","고")</f>
      </c>
    </row>
    <row r="2076" customFormat="false" ht="15" hidden="false" customHeight="false" outlineLevel="0" collapsed="false">
      <c r="A2076" s="8"/>
      <c r="B2076" s="8"/>
      <c r="C2076" s="8"/>
      <c r="D2076" s="8"/>
      <c r="E2076" s="8"/>
      <c r="F2076" t="str" s="15">
        <f aca="0">IF(B2076="","",IF(H2076="","확인필요(입력누락)",IF(SUMPRODUCT((실물목록!$P$2:$P$1001&lt;&gt;"")*ISNUMBER(SEARCH(실물목록!$P$2:$P$1001,I2076))*(실물목록!$Q$2:$Q$1001&lt;&gt;"")*ISNUMBER(SEARCH(실물목록!$Q$2:$Q$1001,I2076))*(실물목록!$R$2:$R$1001="")*(실물목록!$O$2:$O$1001&lt;&gt;"")*(실물목록!$O$2:$O$1001=H2076))&gt;0,"실물 있음",IF(SUMPRODUCT((실물목록!$P$2:$P$1001&lt;&gt;"")*ISNUMBER(SEARCH(실물목록!$P$2:$P$1001,I2076))*(실물목록!$R$2:$R$1001&lt;&gt;""))&gt;0,"확인필요(입력누락)",IF(SUMPRODUCT((실물목록!$P$2:$P$1001&lt;&gt;"")*ISNUMBER(SEARCH(실물목록!$P$2:$P$1001,I2076))*(실물목록!$Q$2:$Q$1001&lt;&gt;"")*ISNUMBER(SEARCH(실물목록!$Q$2:$Q$1001,I2076))*(실물목록!$R$2:$R$1001="")*(실물목록!$O$2:$O$1001&lt;&gt;""))&gt;0,"확인필요(연도다름)","실물 없음")))))</f>
      </c>
      <c r="G2076" t="n" s="16">
        <f aca="0">IF(B2076="","",SUMPRODUCT((실물목록!$P$2:$P$1001&lt;&gt;"")*ISNUMBER(SEARCH(실물목록!$P$2:$P$1001,I2076))*(실물목록!$Q$2:$Q$1001&lt;&gt;"")*ISNUMBER(SEARCH(실물목록!$Q$2:$Q$1001,I2076))*(실물목록!$R$2:$R$1001="")*(실물목록!$O$2:$O$1001&lt;&gt;"")*(실물목록!$O$2:$O$1001=H2076)))</f>
      </c>
      <c r="H2076" t="str">
        <f>IFERROR(IF(AND(LEN(SUBSTITUTE(SUBSTITUTE(SUBSTITUTE(TRIM(A2076&amp;""),CHAR(160),"")," ",""),"년",""))=4,VALUE(SUBSTITUTE(SUBSTITUTE(SUBSTITUTE(TRIM(A2076&amp;""),CHAR(160),"")," ",""),"년",""))&gt;=1900,VALUE(SUBSTITUTE(SUBSTITUTE(SUBSTITUTE(TRIM(A2076&amp;""),CHAR(160),"")," ",""),"년",""))&lt;=2099,TEXT(VALUE(SUBSTITUTE(SUBSTITUTE(SUBSTITUTE(TRIM(A2076&amp;""),CHAR(160),"")," ",""),"년","")),"0000")=SUBSTITUTE(SUBSTITUTE(SUBSTITUTE(TRIM(A2076&amp;""),CHAR(160),"")," ",""),"년","")),SUBSTITUTE(SUBSTITUTE(SUBSTITUTE(TRIM(A2076&amp;""),CHAR(160),"")," ",""),"년",""),""),"")</f>
      </c>
      <c r="I2076" t="str">
        <f>SUBSTITUTE(SUBSTITUTE(SUBSTITUTE(SUBSTITUTE(SUBSTITUTE(TRIM(B2076&amp;""),CHAR(160),"")," ",""),"초등학교","초"),"중학교","중"),"고등학교","고")</f>
      </c>
    </row>
    <row r="2077" customFormat="false" ht="15" hidden="false" customHeight="false" outlineLevel="0" collapsed="false">
      <c r="A2077" s="8"/>
      <c r="B2077" s="8"/>
      <c r="C2077" s="8"/>
      <c r="D2077" s="8"/>
      <c r="E2077" s="8"/>
      <c r="F2077" t="str" s="15">
        <f aca="0">IF(B2077="","",IF(H2077="","확인필요(입력누락)",IF(SUMPRODUCT((실물목록!$P$2:$P$1001&lt;&gt;"")*ISNUMBER(SEARCH(실물목록!$P$2:$P$1001,I2077))*(실물목록!$Q$2:$Q$1001&lt;&gt;"")*ISNUMBER(SEARCH(실물목록!$Q$2:$Q$1001,I2077))*(실물목록!$R$2:$R$1001="")*(실물목록!$O$2:$O$1001&lt;&gt;"")*(실물목록!$O$2:$O$1001=H2077))&gt;0,"실물 있음",IF(SUMPRODUCT((실물목록!$P$2:$P$1001&lt;&gt;"")*ISNUMBER(SEARCH(실물목록!$P$2:$P$1001,I2077))*(실물목록!$R$2:$R$1001&lt;&gt;""))&gt;0,"확인필요(입력누락)",IF(SUMPRODUCT((실물목록!$P$2:$P$1001&lt;&gt;"")*ISNUMBER(SEARCH(실물목록!$P$2:$P$1001,I2077))*(실물목록!$Q$2:$Q$1001&lt;&gt;"")*ISNUMBER(SEARCH(실물목록!$Q$2:$Q$1001,I2077))*(실물목록!$R$2:$R$1001="")*(실물목록!$O$2:$O$1001&lt;&gt;""))&gt;0,"확인필요(연도다름)","실물 없음")))))</f>
      </c>
      <c r="G2077" t="n" s="16">
        <f aca="0">IF(B2077="","",SUMPRODUCT((실물목록!$P$2:$P$1001&lt;&gt;"")*ISNUMBER(SEARCH(실물목록!$P$2:$P$1001,I2077))*(실물목록!$Q$2:$Q$1001&lt;&gt;"")*ISNUMBER(SEARCH(실물목록!$Q$2:$Q$1001,I2077))*(실물목록!$R$2:$R$1001="")*(실물목록!$O$2:$O$1001&lt;&gt;"")*(실물목록!$O$2:$O$1001=H2077)))</f>
      </c>
      <c r="H2077" t="str">
        <f>IFERROR(IF(AND(LEN(SUBSTITUTE(SUBSTITUTE(SUBSTITUTE(TRIM(A2077&amp;""),CHAR(160),"")," ",""),"년",""))=4,VALUE(SUBSTITUTE(SUBSTITUTE(SUBSTITUTE(TRIM(A2077&amp;""),CHAR(160),"")," ",""),"년",""))&gt;=1900,VALUE(SUBSTITUTE(SUBSTITUTE(SUBSTITUTE(TRIM(A2077&amp;""),CHAR(160),"")," ",""),"년",""))&lt;=2099,TEXT(VALUE(SUBSTITUTE(SUBSTITUTE(SUBSTITUTE(TRIM(A2077&amp;""),CHAR(160),"")," ",""),"년","")),"0000")=SUBSTITUTE(SUBSTITUTE(SUBSTITUTE(TRIM(A2077&amp;""),CHAR(160),"")," ",""),"년","")),SUBSTITUTE(SUBSTITUTE(SUBSTITUTE(TRIM(A2077&amp;""),CHAR(160),"")," ",""),"년",""),""),"")</f>
      </c>
      <c r="I2077" t="str">
        <f>SUBSTITUTE(SUBSTITUTE(SUBSTITUTE(SUBSTITUTE(SUBSTITUTE(TRIM(B2077&amp;""),CHAR(160),"")," ",""),"초등학교","초"),"중학교","중"),"고등학교","고")</f>
      </c>
    </row>
    <row r="2078" customFormat="false" ht="15" hidden="false" customHeight="false" outlineLevel="0" collapsed="false">
      <c r="A2078" s="8"/>
      <c r="B2078" s="8"/>
      <c r="C2078" s="8"/>
      <c r="D2078" s="8"/>
      <c r="E2078" s="8"/>
      <c r="F2078" t="str" s="15">
        <f aca="0">IF(B2078="","",IF(H2078="","확인필요(입력누락)",IF(SUMPRODUCT((실물목록!$P$2:$P$1001&lt;&gt;"")*ISNUMBER(SEARCH(실물목록!$P$2:$P$1001,I2078))*(실물목록!$Q$2:$Q$1001&lt;&gt;"")*ISNUMBER(SEARCH(실물목록!$Q$2:$Q$1001,I2078))*(실물목록!$R$2:$R$1001="")*(실물목록!$O$2:$O$1001&lt;&gt;"")*(실물목록!$O$2:$O$1001=H2078))&gt;0,"실물 있음",IF(SUMPRODUCT((실물목록!$P$2:$P$1001&lt;&gt;"")*ISNUMBER(SEARCH(실물목록!$P$2:$P$1001,I2078))*(실물목록!$R$2:$R$1001&lt;&gt;""))&gt;0,"확인필요(입력누락)",IF(SUMPRODUCT((실물목록!$P$2:$P$1001&lt;&gt;"")*ISNUMBER(SEARCH(실물목록!$P$2:$P$1001,I2078))*(실물목록!$Q$2:$Q$1001&lt;&gt;"")*ISNUMBER(SEARCH(실물목록!$Q$2:$Q$1001,I2078))*(실물목록!$R$2:$R$1001="")*(실물목록!$O$2:$O$1001&lt;&gt;""))&gt;0,"확인필요(연도다름)","실물 없음")))))</f>
      </c>
      <c r="G2078" t="n" s="16">
        <f aca="0">IF(B2078="","",SUMPRODUCT((실물목록!$P$2:$P$1001&lt;&gt;"")*ISNUMBER(SEARCH(실물목록!$P$2:$P$1001,I2078))*(실물목록!$Q$2:$Q$1001&lt;&gt;"")*ISNUMBER(SEARCH(실물목록!$Q$2:$Q$1001,I2078))*(실물목록!$R$2:$R$1001="")*(실물목록!$O$2:$O$1001&lt;&gt;"")*(실물목록!$O$2:$O$1001=H2078)))</f>
      </c>
      <c r="H2078" t="str">
        <f>IFERROR(IF(AND(LEN(SUBSTITUTE(SUBSTITUTE(SUBSTITUTE(TRIM(A2078&amp;""),CHAR(160),"")," ",""),"년",""))=4,VALUE(SUBSTITUTE(SUBSTITUTE(SUBSTITUTE(TRIM(A2078&amp;""),CHAR(160),"")," ",""),"년",""))&gt;=1900,VALUE(SUBSTITUTE(SUBSTITUTE(SUBSTITUTE(TRIM(A2078&amp;""),CHAR(160),"")," ",""),"년",""))&lt;=2099,TEXT(VALUE(SUBSTITUTE(SUBSTITUTE(SUBSTITUTE(TRIM(A2078&amp;""),CHAR(160),"")," ",""),"년","")),"0000")=SUBSTITUTE(SUBSTITUTE(SUBSTITUTE(TRIM(A2078&amp;""),CHAR(160),"")," ",""),"년","")),SUBSTITUTE(SUBSTITUTE(SUBSTITUTE(TRIM(A2078&amp;""),CHAR(160),"")," ",""),"년",""),""),"")</f>
      </c>
      <c r="I2078" t="str">
        <f>SUBSTITUTE(SUBSTITUTE(SUBSTITUTE(SUBSTITUTE(SUBSTITUTE(TRIM(B2078&amp;""),CHAR(160),"")," ",""),"초등학교","초"),"중학교","중"),"고등학교","고")</f>
      </c>
    </row>
    <row r="2079" customFormat="false" ht="15" hidden="false" customHeight="false" outlineLevel="0" collapsed="false">
      <c r="A2079" s="8"/>
      <c r="B2079" s="8"/>
      <c r="C2079" s="8"/>
      <c r="D2079" s="8"/>
      <c r="E2079" s="8"/>
      <c r="F2079" t="str" s="15">
        <f aca="0">IF(B2079="","",IF(H2079="","확인필요(입력누락)",IF(SUMPRODUCT((실물목록!$P$2:$P$1001&lt;&gt;"")*ISNUMBER(SEARCH(실물목록!$P$2:$P$1001,I2079))*(실물목록!$Q$2:$Q$1001&lt;&gt;"")*ISNUMBER(SEARCH(실물목록!$Q$2:$Q$1001,I2079))*(실물목록!$R$2:$R$1001="")*(실물목록!$O$2:$O$1001&lt;&gt;"")*(실물목록!$O$2:$O$1001=H2079))&gt;0,"실물 있음",IF(SUMPRODUCT((실물목록!$P$2:$P$1001&lt;&gt;"")*ISNUMBER(SEARCH(실물목록!$P$2:$P$1001,I2079))*(실물목록!$R$2:$R$1001&lt;&gt;""))&gt;0,"확인필요(입력누락)",IF(SUMPRODUCT((실물목록!$P$2:$P$1001&lt;&gt;"")*ISNUMBER(SEARCH(실물목록!$P$2:$P$1001,I2079))*(실물목록!$Q$2:$Q$1001&lt;&gt;"")*ISNUMBER(SEARCH(실물목록!$Q$2:$Q$1001,I2079))*(실물목록!$R$2:$R$1001="")*(실물목록!$O$2:$O$1001&lt;&gt;""))&gt;0,"확인필요(연도다름)","실물 없음")))))</f>
      </c>
      <c r="G2079" t="n" s="16">
        <f aca="0">IF(B2079="","",SUMPRODUCT((실물목록!$P$2:$P$1001&lt;&gt;"")*ISNUMBER(SEARCH(실물목록!$P$2:$P$1001,I2079))*(실물목록!$Q$2:$Q$1001&lt;&gt;"")*ISNUMBER(SEARCH(실물목록!$Q$2:$Q$1001,I2079))*(실물목록!$R$2:$R$1001="")*(실물목록!$O$2:$O$1001&lt;&gt;"")*(실물목록!$O$2:$O$1001=H2079)))</f>
      </c>
      <c r="H2079" t="str">
        <f>IFERROR(IF(AND(LEN(SUBSTITUTE(SUBSTITUTE(SUBSTITUTE(TRIM(A2079&amp;""),CHAR(160),"")," ",""),"년",""))=4,VALUE(SUBSTITUTE(SUBSTITUTE(SUBSTITUTE(TRIM(A2079&amp;""),CHAR(160),"")," ",""),"년",""))&gt;=1900,VALUE(SUBSTITUTE(SUBSTITUTE(SUBSTITUTE(TRIM(A2079&amp;""),CHAR(160),"")," ",""),"년",""))&lt;=2099,TEXT(VALUE(SUBSTITUTE(SUBSTITUTE(SUBSTITUTE(TRIM(A2079&amp;""),CHAR(160),"")," ",""),"년","")),"0000")=SUBSTITUTE(SUBSTITUTE(SUBSTITUTE(TRIM(A2079&amp;""),CHAR(160),"")," ",""),"년","")),SUBSTITUTE(SUBSTITUTE(SUBSTITUTE(TRIM(A2079&amp;""),CHAR(160),"")," ",""),"년",""),""),"")</f>
      </c>
      <c r="I2079" t="str">
        <f>SUBSTITUTE(SUBSTITUTE(SUBSTITUTE(SUBSTITUTE(SUBSTITUTE(TRIM(B2079&amp;""),CHAR(160),"")," ",""),"초등학교","초"),"중학교","중"),"고등학교","고")</f>
      </c>
    </row>
    <row r="2080" customFormat="false" ht="15" hidden="false" customHeight="false" outlineLevel="0" collapsed="false">
      <c r="A2080" s="8"/>
      <c r="B2080" s="8"/>
      <c r="C2080" s="8"/>
      <c r="D2080" s="8"/>
      <c r="E2080" s="8"/>
      <c r="F2080" t="str" s="15">
        <f aca="0">IF(B2080="","",IF(H2080="","확인필요(입력누락)",IF(SUMPRODUCT((실물목록!$P$2:$P$1001&lt;&gt;"")*ISNUMBER(SEARCH(실물목록!$P$2:$P$1001,I2080))*(실물목록!$Q$2:$Q$1001&lt;&gt;"")*ISNUMBER(SEARCH(실물목록!$Q$2:$Q$1001,I2080))*(실물목록!$R$2:$R$1001="")*(실물목록!$O$2:$O$1001&lt;&gt;"")*(실물목록!$O$2:$O$1001=H2080))&gt;0,"실물 있음",IF(SUMPRODUCT((실물목록!$P$2:$P$1001&lt;&gt;"")*ISNUMBER(SEARCH(실물목록!$P$2:$P$1001,I2080))*(실물목록!$R$2:$R$1001&lt;&gt;""))&gt;0,"확인필요(입력누락)",IF(SUMPRODUCT((실물목록!$P$2:$P$1001&lt;&gt;"")*ISNUMBER(SEARCH(실물목록!$P$2:$P$1001,I2080))*(실물목록!$Q$2:$Q$1001&lt;&gt;"")*ISNUMBER(SEARCH(실물목록!$Q$2:$Q$1001,I2080))*(실물목록!$R$2:$R$1001="")*(실물목록!$O$2:$O$1001&lt;&gt;""))&gt;0,"확인필요(연도다름)","실물 없음")))))</f>
      </c>
      <c r="G2080" t="n" s="16">
        <f aca="0">IF(B2080="","",SUMPRODUCT((실물목록!$P$2:$P$1001&lt;&gt;"")*ISNUMBER(SEARCH(실물목록!$P$2:$P$1001,I2080))*(실물목록!$Q$2:$Q$1001&lt;&gt;"")*ISNUMBER(SEARCH(실물목록!$Q$2:$Q$1001,I2080))*(실물목록!$R$2:$R$1001="")*(실물목록!$O$2:$O$1001&lt;&gt;"")*(실물목록!$O$2:$O$1001=H2080)))</f>
      </c>
      <c r="H2080" t="str">
        <f>IFERROR(IF(AND(LEN(SUBSTITUTE(SUBSTITUTE(SUBSTITUTE(TRIM(A2080&amp;""),CHAR(160),"")," ",""),"년",""))=4,VALUE(SUBSTITUTE(SUBSTITUTE(SUBSTITUTE(TRIM(A2080&amp;""),CHAR(160),"")," ",""),"년",""))&gt;=1900,VALUE(SUBSTITUTE(SUBSTITUTE(SUBSTITUTE(TRIM(A2080&amp;""),CHAR(160),"")," ",""),"년",""))&lt;=2099,TEXT(VALUE(SUBSTITUTE(SUBSTITUTE(SUBSTITUTE(TRIM(A2080&amp;""),CHAR(160),"")," ",""),"년","")),"0000")=SUBSTITUTE(SUBSTITUTE(SUBSTITUTE(TRIM(A2080&amp;""),CHAR(160),"")," ",""),"년","")),SUBSTITUTE(SUBSTITUTE(SUBSTITUTE(TRIM(A2080&amp;""),CHAR(160),"")," ",""),"년",""),""),"")</f>
      </c>
      <c r="I2080" t="str">
        <f>SUBSTITUTE(SUBSTITUTE(SUBSTITUTE(SUBSTITUTE(SUBSTITUTE(TRIM(B2080&amp;""),CHAR(160),"")," ",""),"초등학교","초"),"중학교","중"),"고등학교","고")</f>
      </c>
    </row>
    <row r="2081" customFormat="false" ht="15" hidden="false" customHeight="false" outlineLevel="0" collapsed="false">
      <c r="A2081" s="8"/>
      <c r="B2081" s="8"/>
      <c r="C2081" s="8"/>
      <c r="D2081" s="8"/>
      <c r="E2081" s="8"/>
      <c r="F2081" t="str" s="15">
        <f aca="0">IF(B2081="","",IF(H2081="","확인필요(입력누락)",IF(SUMPRODUCT((실물목록!$P$2:$P$1001&lt;&gt;"")*ISNUMBER(SEARCH(실물목록!$P$2:$P$1001,I2081))*(실물목록!$Q$2:$Q$1001&lt;&gt;"")*ISNUMBER(SEARCH(실물목록!$Q$2:$Q$1001,I2081))*(실물목록!$R$2:$R$1001="")*(실물목록!$O$2:$O$1001&lt;&gt;"")*(실물목록!$O$2:$O$1001=H2081))&gt;0,"실물 있음",IF(SUMPRODUCT((실물목록!$P$2:$P$1001&lt;&gt;"")*ISNUMBER(SEARCH(실물목록!$P$2:$P$1001,I2081))*(실물목록!$R$2:$R$1001&lt;&gt;""))&gt;0,"확인필요(입력누락)",IF(SUMPRODUCT((실물목록!$P$2:$P$1001&lt;&gt;"")*ISNUMBER(SEARCH(실물목록!$P$2:$P$1001,I2081))*(실물목록!$Q$2:$Q$1001&lt;&gt;"")*ISNUMBER(SEARCH(실물목록!$Q$2:$Q$1001,I2081))*(실물목록!$R$2:$R$1001="")*(실물목록!$O$2:$O$1001&lt;&gt;""))&gt;0,"확인필요(연도다름)","실물 없음")))))</f>
      </c>
      <c r="G2081" t="n" s="16">
        <f aca="0">IF(B2081="","",SUMPRODUCT((실물목록!$P$2:$P$1001&lt;&gt;"")*ISNUMBER(SEARCH(실물목록!$P$2:$P$1001,I2081))*(실물목록!$Q$2:$Q$1001&lt;&gt;"")*ISNUMBER(SEARCH(실물목록!$Q$2:$Q$1001,I2081))*(실물목록!$R$2:$R$1001="")*(실물목록!$O$2:$O$1001&lt;&gt;"")*(실물목록!$O$2:$O$1001=H2081)))</f>
      </c>
      <c r="H2081" t="str">
        <f>IFERROR(IF(AND(LEN(SUBSTITUTE(SUBSTITUTE(SUBSTITUTE(TRIM(A2081&amp;""),CHAR(160),"")," ",""),"년",""))=4,VALUE(SUBSTITUTE(SUBSTITUTE(SUBSTITUTE(TRIM(A2081&amp;""),CHAR(160),"")," ",""),"년",""))&gt;=1900,VALUE(SUBSTITUTE(SUBSTITUTE(SUBSTITUTE(TRIM(A2081&amp;""),CHAR(160),"")," ",""),"년",""))&lt;=2099,TEXT(VALUE(SUBSTITUTE(SUBSTITUTE(SUBSTITUTE(TRIM(A2081&amp;""),CHAR(160),"")," ",""),"년","")),"0000")=SUBSTITUTE(SUBSTITUTE(SUBSTITUTE(TRIM(A2081&amp;""),CHAR(160),"")," ",""),"년","")),SUBSTITUTE(SUBSTITUTE(SUBSTITUTE(TRIM(A2081&amp;""),CHAR(160),"")," ",""),"년",""),""),"")</f>
      </c>
      <c r="I2081" t="str">
        <f>SUBSTITUTE(SUBSTITUTE(SUBSTITUTE(SUBSTITUTE(SUBSTITUTE(TRIM(B2081&amp;""),CHAR(160),"")," ",""),"초등학교","초"),"중학교","중"),"고등학교","고")</f>
      </c>
    </row>
    <row r="2082" customFormat="false" ht="15" hidden="false" customHeight="false" outlineLevel="0" collapsed="false">
      <c r="A2082" s="8"/>
      <c r="B2082" s="8"/>
      <c r="C2082" s="8"/>
      <c r="D2082" s="8"/>
      <c r="E2082" s="8"/>
      <c r="F2082" t="str" s="15">
        <f aca="0">IF(B2082="","",IF(H2082="","확인필요(입력누락)",IF(SUMPRODUCT((실물목록!$P$2:$P$1001&lt;&gt;"")*ISNUMBER(SEARCH(실물목록!$P$2:$P$1001,I2082))*(실물목록!$Q$2:$Q$1001&lt;&gt;"")*ISNUMBER(SEARCH(실물목록!$Q$2:$Q$1001,I2082))*(실물목록!$R$2:$R$1001="")*(실물목록!$O$2:$O$1001&lt;&gt;"")*(실물목록!$O$2:$O$1001=H2082))&gt;0,"실물 있음",IF(SUMPRODUCT((실물목록!$P$2:$P$1001&lt;&gt;"")*ISNUMBER(SEARCH(실물목록!$P$2:$P$1001,I2082))*(실물목록!$R$2:$R$1001&lt;&gt;""))&gt;0,"확인필요(입력누락)",IF(SUMPRODUCT((실물목록!$P$2:$P$1001&lt;&gt;"")*ISNUMBER(SEARCH(실물목록!$P$2:$P$1001,I2082))*(실물목록!$Q$2:$Q$1001&lt;&gt;"")*ISNUMBER(SEARCH(실물목록!$Q$2:$Q$1001,I2082))*(실물목록!$R$2:$R$1001="")*(실물목록!$O$2:$O$1001&lt;&gt;""))&gt;0,"확인필요(연도다름)","실물 없음")))))</f>
      </c>
      <c r="G2082" t="n" s="16">
        <f aca="0">IF(B2082="","",SUMPRODUCT((실물목록!$P$2:$P$1001&lt;&gt;"")*ISNUMBER(SEARCH(실물목록!$P$2:$P$1001,I2082))*(실물목록!$Q$2:$Q$1001&lt;&gt;"")*ISNUMBER(SEARCH(실물목록!$Q$2:$Q$1001,I2082))*(실물목록!$R$2:$R$1001="")*(실물목록!$O$2:$O$1001&lt;&gt;"")*(실물목록!$O$2:$O$1001=H2082)))</f>
      </c>
      <c r="H2082" t="str">
        <f>IFERROR(IF(AND(LEN(SUBSTITUTE(SUBSTITUTE(SUBSTITUTE(TRIM(A2082&amp;""),CHAR(160),"")," ",""),"년",""))=4,VALUE(SUBSTITUTE(SUBSTITUTE(SUBSTITUTE(TRIM(A2082&amp;""),CHAR(160),"")," ",""),"년",""))&gt;=1900,VALUE(SUBSTITUTE(SUBSTITUTE(SUBSTITUTE(TRIM(A2082&amp;""),CHAR(160),"")," ",""),"년",""))&lt;=2099,TEXT(VALUE(SUBSTITUTE(SUBSTITUTE(SUBSTITUTE(TRIM(A2082&amp;""),CHAR(160),"")," ",""),"년","")),"0000")=SUBSTITUTE(SUBSTITUTE(SUBSTITUTE(TRIM(A2082&amp;""),CHAR(160),"")," ",""),"년","")),SUBSTITUTE(SUBSTITUTE(SUBSTITUTE(TRIM(A2082&amp;""),CHAR(160),"")," ",""),"년",""),""),"")</f>
      </c>
      <c r="I2082" t="str">
        <f>SUBSTITUTE(SUBSTITUTE(SUBSTITUTE(SUBSTITUTE(SUBSTITUTE(TRIM(B2082&amp;""),CHAR(160),"")," ",""),"초등학교","초"),"중학교","중"),"고등학교","고")</f>
      </c>
    </row>
    <row r="2083" customFormat="false" ht="15" hidden="false" customHeight="false" outlineLevel="0" collapsed="false">
      <c r="A2083" s="8"/>
      <c r="B2083" s="8"/>
      <c r="C2083" s="8"/>
      <c r="D2083" s="8"/>
      <c r="E2083" s="8"/>
      <c r="F2083" t="str" s="15">
        <f aca="0">IF(B2083="","",IF(H2083="","확인필요(입력누락)",IF(SUMPRODUCT((실물목록!$P$2:$P$1001&lt;&gt;"")*ISNUMBER(SEARCH(실물목록!$P$2:$P$1001,I2083))*(실물목록!$Q$2:$Q$1001&lt;&gt;"")*ISNUMBER(SEARCH(실물목록!$Q$2:$Q$1001,I2083))*(실물목록!$R$2:$R$1001="")*(실물목록!$O$2:$O$1001&lt;&gt;"")*(실물목록!$O$2:$O$1001=H2083))&gt;0,"실물 있음",IF(SUMPRODUCT((실물목록!$P$2:$P$1001&lt;&gt;"")*ISNUMBER(SEARCH(실물목록!$P$2:$P$1001,I2083))*(실물목록!$R$2:$R$1001&lt;&gt;""))&gt;0,"확인필요(입력누락)",IF(SUMPRODUCT((실물목록!$P$2:$P$1001&lt;&gt;"")*ISNUMBER(SEARCH(실물목록!$P$2:$P$1001,I2083))*(실물목록!$Q$2:$Q$1001&lt;&gt;"")*ISNUMBER(SEARCH(실물목록!$Q$2:$Q$1001,I2083))*(실물목록!$R$2:$R$1001="")*(실물목록!$O$2:$O$1001&lt;&gt;""))&gt;0,"확인필요(연도다름)","실물 없음")))))</f>
      </c>
      <c r="G2083" t="n" s="16">
        <f aca="0">IF(B2083="","",SUMPRODUCT((실물목록!$P$2:$P$1001&lt;&gt;"")*ISNUMBER(SEARCH(실물목록!$P$2:$P$1001,I2083))*(실물목록!$Q$2:$Q$1001&lt;&gt;"")*ISNUMBER(SEARCH(실물목록!$Q$2:$Q$1001,I2083))*(실물목록!$R$2:$R$1001="")*(실물목록!$O$2:$O$1001&lt;&gt;"")*(실물목록!$O$2:$O$1001=H2083)))</f>
      </c>
      <c r="H2083" t="str">
        <f>IFERROR(IF(AND(LEN(SUBSTITUTE(SUBSTITUTE(SUBSTITUTE(TRIM(A2083&amp;""),CHAR(160),"")," ",""),"년",""))=4,VALUE(SUBSTITUTE(SUBSTITUTE(SUBSTITUTE(TRIM(A2083&amp;""),CHAR(160),"")," ",""),"년",""))&gt;=1900,VALUE(SUBSTITUTE(SUBSTITUTE(SUBSTITUTE(TRIM(A2083&amp;""),CHAR(160),"")," ",""),"년",""))&lt;=2099,TEXT(VALUE(SUBSTITUTE(SUBSTITUTE(SUBSTITUTE(TRIM(A2083&amp;""),CHAR(160),"")," ",""),"년","")),"0000")=SUBSTITUTE(SUBSTITUTE(SUBSTITUTE(TRIM(A2083&amp;""),CHAR(160),"")," ",""),"년","")),SUBSTITUTE(SUBSTITUTE(SUBSTITUTE(TRIM(A2083&amp;""),CHAR(160),"")," ",""),"년",""),""),"")</f>
      </c>
      <c r="I2083" t="str">
        <f>SUBSTITUTE(SUBSTITUTE(SUBSTITUTE(SUBSTITUTE(SUBSTITUTE(TRIM(B2083&amp;""),CHAR(160),"")," ",""),"초등학교","초"),"중학교","중"),"고등학교","고")</f>
      </c>
    </row>
    <row r="2084" customFormat="false" ht="15" hidden="false" customHeight="false" outlineLevel="0" collapsed="false">
      <c r="A2084" s="8"/>
      <c r="B2084" s="8"/>
      <c r="C2084" s="8"/>
      <c r="D2084" s="8"/>
      <c r="E2084" s="8"/>
      <c r="F2084" t="str" s="15">
        <f aca="0">IF(B2084="","",IF(H2084="","확인필요(입력누락)",IF(SUMPRODUCT((실물목록!$P$2:$P$1001&lt;&gt;"")*ISNUMBER(SEARCH(실물목록!$P$2:$P$1001,I2084))*(실물목록!$Q$2:$Q$1001&lt;&gt;"")*ISNUMBER(SEARCH(실물목록!$Q$2:$Q$1001,I2084))*(실물목록!$R$2:$R$1001="")*(실물목록!$O$2:$O$1001&lt;&gt;"")*(실물목록!$O$2:$O$1001=H2084))&gt;0,"실물 있음",IF(SUMPRODUCT((실물목록!$P$2:$P$1001&lt;&gt;"")*ISNUMBER(SEARCH(실물목록!$P$2:$P$1001,I2084))*(실물목록!$R$2:$R$1001&lt;&gt;""))&gt;0,"확인필요(입력누락)",IF(SUMPRODUCT((실물목록!$P$2:$P$1001&lt;&gt;"")*ISNUMBER(SEARCH(실물목록!$P$2:$P$1001,I2084))*(실물목록!$Q$2:$Q$1001&lt;&gt;"")*ISNUMBER(SEARCH(실물목록!$Q$2:$Q$1001,I2084))*(실물목록!$R$2:$R$1001="")*(실물목록!$O$2:$O$1001&lt;&gt;""))&gt;0,"확인필요(연도다름)","실물 없음")))))</f>
      </c>
      <c r="G2084" t="n" s="16">
        <f aca="0">IF(B2084="","",SUMPRODUCT((실물목록!$P$2:$P$1001&lt;&gt;"")*ISNUMBER(SEARCH(실물목록!$P$2:$P$1001,I2084))*(실물목록!$Q$2:$Q$1001&lt;&gt;"")*ISNUMBER(SEARCH(실물목록!$Q$2:$Q$1001,I2084))*(실물목록!$R$2:$R$1001="")*(실물목록!$O$2:$O$1001&lt;&gt;"")*(실물목록!$O$2:$O$1001=H2084)))</f>
      </c>
      <c r="H2084" t="str">
        <f>IFERROR(IF(AND(LEN(SUBSTITUTE(SUBSTITUTE(SUBSTITUTE(TRIM(A2084&amp;""),CHAR(160),"")," ",""),"년",""))=4,VALUE(SUBSTITUTE(SUBSTITUTE(SUBSTITUTE(TRIM(A2084&amp;""),CHAR(160),"")," ",""),"년",""))&gt;=1900,VALUE(SUBSTITUTE(SUBSTITUTE(SUBSTITUTE(TRIM(A2084&amp;""),CHAR(160),"")," ",""),"년",""))&lt;=2099,TEXT(VALUE(SUBSTITUTE(SUBSTITUTE(SUBSTITUTE(TRIM(A2084&amp;""),CHAR(160),"")," ",""),"년","")),"0000")=SUBSTITUTE(SUBSTITUTE(SUBSTITUTE(TRIM(A2084&amp;""),CHAR(160),"")," ",""),"년","")),SUBSTITUTE(SUBSTITUTE(SUBSTITUTE(TRIM(A2084&amp;""),CHAR(160),"")," ",""),"년",""),""),"")</f>
      </c>
      <c r="I2084" t="str">
        <f>SUBSTITUTE(SUBSTITUTE(SUBSTITUTE(SUBSTITUTE(SUBSTITUTE(TRIM(B2084&amp;""),CHAR(160),"")," ",""),"초등학교","초"),"중학교","중"),"고등학교","고")</f>
      </c>
    </row>
    <row r="2085" customFormat="false" ht="15" hidden="false" customHeight="false" outlineLevel="0" collapsed="false">
      <c r="A2085" s="8"/>
      <c r="B2085" s="8"/>
      <c r="C2085" s="8"/>
      <c r="D2085" s="8"/>
      <c r="E2085" s="8"/>
      <c r="F2085" t="str" s="15">
        <f aca="0">IF(B2085="","",IF(H2085="","확인필요(입력누락)",IF(SUMPRODUCT((실물목록!$P$2:$P$1001&lt;&gt;"")*ISNUMBER(SEARCH(실물목록!$P$2:$P$1001,I2085))*(실물목록!$Q$2:$Q$1001&lt;&gt;"")*ISNUMBER(SEARCH(실물목록!$Q$2:$Q$1001,I2085))*(실물목록!$R$2:$R$1001="")*(실물목록!$O$2:$O$1001&lt;&gt;"")*(실물목록!$O$2:$O$1001=H2085))&gt;0,"실물 있음",IF(SUMPRODUCT((실물목록!$P$2:$P$1001&lt;&gt;"")*ISNUMBER(SEARCH(실물목록!$P$2:$P$1001,I2085))*(실물목록!$R$2:$R$1001&lt;&gt;""))&gt;0,"확인필요(입력누락)",IF(SUMPRODUCT((실물목록!$P$2:$P$1001&lt;&gt;"")*ISNUMBER(SEARCH(실물목록!$P$2:$P$1001,I2085))*(실물목록!$Q$2:$Q$1001&lt;&gt;"")*ISNUMBER(SEARCH(실물목록!$Q$2:$Q$1001,I2085))*(실물목록!$R$2:$R$1001="")*(실물목록!$O$2:$O$1001&lt;&gt;""))&gt;0,"확인필요(연도다름)","실물 없음")))))</f>
      </c>
      <c r="G2085" t="n" s="16">
        <f aca="0">IF(B2085="","",SUMPRODUCT((실물목록!$P$2:$P$1001&lt;&gt;"")*ISNUMBER(SEARCH(실물목록!$P$2:$P$1001,I2085))*(실물목록!$Q$2:$Q$1001&lt;&gt;"")*ISNUMBER(SEARCH(실물목록!$Q$2:$Q$1001,I2085))*(실물목록!$R$2:$R$1001="")*(실물목록!$O$2:$O$1001&lt;&gt;"")*(실물목록!$O$2:$O$1001=H2085)))</f>
      </c>
      <c r="H2085" t="str">
        <f>IFERROR(IF(AND(LEN(SUBSTITUTE(SUBSTITUTE(SUBSTITUTE(TRIM(A2085&amp;""),CHAR(160),"")," ",""),"년",""))=4,VALUE(SUBSTITUTE(SUBSTITUTE(SUBSTITUTE(TRIM(A2085&amp;""),CHAR(160),"")," ",""),"년",""))&gt;=1900,VALUE(SUBSTITUTE(SUBSTITUTE(SUBSTITUTE(TRIM(A2085&amp;""),CHAR(160),"")," ",""),"년",""))&lt;=2099,TEXT(VALUE(SUBSTITUTE(SUBSTITUTE(SUBSTITUTE(TRIM(A2085&amp;""),CHAR(160),"")," ",""),"년","")),"0000")=SUBSTITUTE(SUBSTITUTE(SUBSTITUTE(TRIM(A2085&amp;""),CHAR(160),"")," ",""),"년","")),SUBSTITUTE(SUBSTITUTE(SUBSTITUTE(TRIM(A2085&amp;""),CHAR(160),"")," ",""),"년",""),""),"")</f>
      </c>
      <c r="I2085" t="str">
        <f>SUBSTITUTE(SUBSTITUTE(SUBSTITUTE(SUBSTITUTE(SUBSTITUTE(TRIM(B2085&amp;""),CHAR(160),"")," ",""),"초등학교","초"),"중학교","중"),"고등학교","고")</f>
      </c>
    </row>
    <row r="2086" customFormat="false" ht="15" hidden="false" customHeight="false" outlineLevel="0" collapsed="false">
      <c r="A2086" s="8"/>
      <c r="B2086" s="8"/>
      <c r="C2086" s="8"/>
      <c r="D2086" s="8"/>
      <c r="E2086" s="8"/>
      <c r="F2086" t="str" s="15">
        <f aca="0">IF(B2086="","",IF(H2086="","확인필요(입력누락)",IF(SUMPRODUCT((실물목록!$P$2:$P$1001&lt;&gt;"")*ISNUMBER(SEARCH(실물목록!$P$2:$P$1001,I2086))*(실물목록!$Q$2:$Q$1001&lt;&gt;"")*ISNUMBER(SEARCH(실물목록!$Q$2:$Q$1001,I2086))*(실물목록!$R$2:$R$1001="")*(실물목록!$O$2:$O$1001&lt;&gt;"")*(실물목록!$O$2:$O$1001=H2086))&gt;0,"실물 있음",IF(SUMPRODUCT((실물목록!$P$2:$P$1001&lt;&gt;"")*ISNUMBER(SEARCH(실물목록!$P$2:$P$1001,I2086))*(실물목록!$R$2:$R$1001&lt;&gt;""))&gt;0,"확인필요(입력누락)",IF(SUMPRODUCT((실물목록!$P$2:$P$1001&lt;&gt;"")*ISNUMBER(SEARCH(실물목록!$P$2:$P$1001,I2086))*(실물목록!$Q$2:$Q$1001&lt;&gt;"")*ISNUMBER(SEARCH(실물목록!$Q$2:$Q$1001,I2086))*(실물목록!$R$2:$R$1001="")*(실물목록!$O$2:$O$1001&lt;&gt;""))&gt;0,"확인필요(연도다름)","실물 없음")))))</f>
      </c>
      <c r="G2086" t="n" s="16">
        <f aca="0">IF(B2086="","",SUMPRODUCT((실물목록!$P$2:$P$1001&lt;&gt;"")*ISNUMBER(SEARCH(실물목록!$P$2:$P$1001,I2086))*(실물목록!$Q$2:$Q$1001&lt;&gt;"")*ISNUMBER(SEARCH(실물목록!$Q$2:$Q$1001,I2086))*(실물목록!$R$2:$R$1001="")*(실물목록!$O$2:$O$1001&lt;&gt;"")*(실물목록!$O$2:$O$1001=H2086)))</f>
      </c>
      <c r="H2086" t="str">
        <f>IFERROR(IF(AND(LEN(SUBSTITUTE(SUBSTITUTE(SUBSTITUTE(TRIM(A2086&amp;""),CHAR(160),"")," ",""),"년",""))=4,VALUE(SUBSTITUTE(SUBSTITUTE(SUBSTITUTE(TRIM(A2086&amp;""),CHAR(160),"")," ",""),"년",""))&gt;=1900,VALUE(SUBSTITUTE(SUBSTITUTE(SUBSTITUTE(TRIM(A2086&amp;""),CHAR(160),"")," ",""),"년",""))&lt;=2099,TEXT(VALUE(SUBSTITUTE(SUBSTITUTE(SUBSTITUTE(TRIM(A2086&amp;""),CHAR(160),"")," ",""),"년","")),"0000")=SUBSTITUTE(SUBSTITUTE(SUBSTITUTE(TRIM(A2086&amp;""),CHAR(160),"")," ",""),"년","")),SUBSTITUTE(SUBSTITUTE(SUBSTITUTE(TRIM(A2086&amp;""),CHAR(160),"")," ",""),"년",""),""),"")</f>
      </c>
      <c r="I2086" t="str">
        <f>SUBSTITUTE(SUBSTITUTE(SUBSTITUTE(SUBSTITUTE(SUBSTITUTE(TRIM(B2086&amp;""),CHAR(160),"")," ",""),"초등학교","초"),"중학교","중"),"고등학교","고")</f>
      </c>
    </row>
    <row r="2087" customFormat="false" ht="15" hidden="false" customHeight="false" outlineLevel="0" collapsed="false">
      <c r="A2087" s="8"/>
      <c r="B2087" s="8"/>
      <c r="C2087" s="8"/>
      <c r="D2087" s="8"/>
      <c r="E2087" s="8"/>
      <c r="F2087" t="str" s="15">
        <f aca="0">IF(B2087="","",IF(H2087="","확인필요(입력누락)",IF(SUMPRODUCT((실물목록!$P$2:$P$1001&lt;&gt;"")*ISNUMBER(SEARCH(실물목록!$P$2:$P$1001,I2087))*(실물목록!$Q$2:$Q$1001&lt;&gt;"")*ISNUMBER(SEARCH(실물목록!$Q$2:$Q$1001,I2087))*(실물목록!$R$2:$R$1001="")*(실물목록!$O$2:$O$1001&lt;&gt;"")*(실물목록!$O$2:$O$1001=H2087))&gt;0,"실물 있음",IF(SUMPRODUCT((실물목록!$P$2:$P$1001&lt;&gt;"")*ISNUMBER(SEARCH(실물목록!$P$2:$P$1001,I2087))*(실물목록!$R$2:$R$1001&lt;&gt;""))&gt;0,"확인필요(입력누락)",IF(SUMPRODUCT((실물목록!$P$2:$P$1001&lt;&gt;"")*ISNUMBER(SEARCH(실물목록!$P$2:$P$1001,I2087))*(실물목록!$Q$2:$Q$1001&lt;&gt;"")*ISNUMBER(SEARCH(실물목록!$Q$2:$Q$1001,I2087))*(실물목록!$R$2:$R$1001="")*(실물목록!$O$2:$O$1001&lt;&gt;""))&gt;0,"확인필요(연도다름)","실물 없음")))))</f>
      </c>
      <c r="G2087" t="n" s="16">
        <f aca="0">IF(B2087="","",SUMPRODUCT((실물목록!$P$2:$P$1001&lt;&gt;"")*ISNUMBER(SEARCH(실물목록!$P$2:$P$1001,I2087))*(실물목록!$Q$2:$Q$1001&lt;&gt;"")*ISNUMBER(SEARCH(실물목록!$Q$2:$Q$1001,I2087))*(실물목록!$R$2:$R$1001="")*(실물목록!$O$2:$O$1001&lt;&gt;"")*(실물목록!$O$2:$O$1001=H2087)))</f>
      </c>
      <c r="H2087" t="str">
        <f>IFERROR(IF(AND(LEN(SUBSTITUTE(SUBSTITUTE(SUBSTITUTE(TRIM(A2087&amp;""),CHAR(160),"")," ",""),"년",""))=4,VALUE(SUBSTITUTE(SUBSTITUTE(SUBSTITUTE(TRIM(A2087&amp;""),CHAR(160),"")," ",""),"년",""))&gt;=1900,VALUE(SUBSTITUTE(SUBSTITUTE(SUBSTITUTE(TRIM(A2087&amp;""),CHAR(160),"")," ",""),"년",""))&lt;=2099,TEXT(VALUE(SUBSTITUTE(SUBSTITUTE(SUBSTITUTE(TRIM(A2087&amp;""),CHAR(160),"")," ",""),"년","")),"0000")=SUBSTITUTE(SUBSTITUTE(SUBSTITUTE(TRIM(A2087&amp;""),CHAR(160),"")," ",""),"년","")),SUBSTITUTE(SUBSTITUTE(SUBSTITUTE(TRIM(A2087&amp;""),CHAR(160),"")," ",""),"년",""),""),"")</f>
      </c>
      <c r="I2087" t="str">
        <f>SUBSTITUTE(SUBSTITUTE(SUBSTITUTE(SUBSTITUTE(SUBSTITUTE(TRIM(B2087&amp;""),CHAR(160),"")," ",""),"초등학교","초"),"중학교","중"),"고등학교","고")</f>
      </c>
    </row>
    <row r="2088" customFormat="false" ht="15" hidden="false" customHeight="false" outlineLevel="0" collapsed="false">
      <c r="A2088" s="8"/>
      <c r="B2088" s="8"/>
      <c r="C2088" s="8"/>
      <c r="D2088" s="8"/>
      <c r="E2088" s="8"/>
      <c r="F2088" t="str" s="15">
        <f aca="0">IF(B2088="","",IF(H2088="","확인필요(입력누락)",IF(SUMPRODUCT((실물목록!$P$2:$P$1001&lt;&gt;"")*ISNUMBER(SEARCH(실물목록!$P$2:$P$1001,I2088))*(실물목록!$Q$2:$Q$1001&lt;&gt;"")*ISNUMBER(SEARCH(실물목록!$Q$2:$Q$1001,I2088))*(실물목록!$R$2:$R$1001="")*(실물목록!$O$2:$O$1001&lt;&gt;"")*(실물목록!$O$2:$O$1001=H2088))&gt;0,"실물 있음",IF(SUMPRODUCT((실물목록!$P$2:$P$1001&lt;&gt;"")*ISNUMBER(SEARCH(실물목록!$P$2:$P$1001,I2088))*(실물목록!$R$2:$R$1001&lt;&gt;""))&gt;0,"확인필요(입력누락)",IF(SUMPRODUCT((실물목록!$P$2:$P$1001&lt;&gt;"")*ISNUMBER(SEARCH(실물목록!$P$2:$P$1001,I2088))*(실물목록!$Q$2:$Q$1001&lt;&gt;"")*ISNUMBER(SEARCH(실물목록!$Q$2:$Q$1001,I2088))*(실물목록!$R$2:$R$1001="")*(실물목록!$O$2:$O$1001&lt;&gt;""))&gt;0,"확인필요(연도다름)","실물 없음")))))</f>
      </c>
      <c r="G2088" t="n" s="16">
        <f aca="0">IF(B2088="","",SUMPRODUCT((실물목록!$P$2:$P$1001&lt;&gt;"")*ISNUMBER(SEARCH(실물목록!$P$2:$P$1001,I2088))*(실물목록!$Q$2:$Q$1001&lt;&gt;"")*ISNUMBER(SEARCH(실물목록!$Q$2:$Q$1001,I2088))*(실물목록!$R$2:$R$1001="")*(실물목록!$O$2:$O$1001&lt;&gt;"")*(실물목록!$O$2:$O$1001=H2088)))</f>
      </c>
      <c r="H2088" t="str">
        <f>IFERROR(IF(AND(LEN(SUBSTITUTE(SUBSTITUTE(SUBSTITUTE(TRIM(A2088&amp;""),CHAR(160),"")," ",""),"년",""))=4,VALUE(SUBSTITUTE(SUBSTITUTE(SUBSTITUTE(TRIM(A2088&amp;""),CHAR(160),"")," ",""),"년",""))&gt;=1900,VALUE(SUBSTITUTE(SUBSTITUTE(SUBSTITUTE(TRIM(A2088&amp;""),CHAR(160),"")," ",""),"년",""))&lt;=2099,TEXT(VALUE(SUBSTITUTE(SUBSTITUTE(SUBSTITUTE(TRIM(A2088&amp;""),CHAR(160),"")," ",""),"년","")),"0000")=SUBSTITUTE(SUBSTITUTE(SUBSTITUTE(TRIM(A2088&amp;""),CHAR(160),"")," ",""),"년","")),SUBSTITUTE(SUBSTITUTE(SUBSTITUTE(TRIM(A2088&amp;""),CHAR(160),"")," ",""),"년",""),""),"")</f>
      </c>
      <c r="I2088" t="str">
        <f>SUBSTITUTE(SUBSTITUTE(SUBSTITUTE(SUBSTITUTE(SUBSTITUTE(TRIM(B2088&amp;""),CHAR(160),"")," ",""),"초등학교","초"),"중학교","중"),"고등학교","고")</f>
      </c>
    </row>
    <row r="2089" customFormat="false" ht="15" hidden="false" customHeight="false" outlineLevel="0" collapsed="false">
      <c r="A2089" s="8"/>
      <c r="B2089" s="8"/>
      <c r="C2089" s="8"/>
      <c r="D2089" s="8"/>
      <c r="E2089" s="8"/>
      <c r="F2089" t="str" s="15">
        <f aca="0">IF(B2089="","",IF(H2089="","확인필요(입력누락)",IF(SUMPRODUCT((실물목록!$P$2:$P$1001&lt;&gt;"")*ISNUMBER(SEARCH(실물목록!$P$2:$P$1001,I2089))*(실물목록!$Q$2:$Q$1001&lt;&gt;"")*ISNUMBER(SEARCH(실물목록!$Q$2:$Q$1001,I2089))*(실물목록!$R$2:$R$1001="")*(실물목록!$O$2:$O$1001&lt;&gt;"")*(실물목록!$O$2:$O$1001=H2089))&gt;0,"실물 있음",IF(SUMPRODUCT((실물목록!$P$2:$P$1001&lt;&gt;"")*ISNUMBER(SEARCH(실물목록!$P$2:$P$1001,I2089))*(실물목록!$R$2:$R$1001&lt;&gt;""))&gt;0,"확인필요(입력누락)",IF(SUMPRODUCT((실물목록!$P$2:$P$1001&lt;&gt;"")*ISNUMBER(SEARCH(실물목록!$P$2:$P$1001,I2089))*(실물목록!$Q$2:$Q$1001&lt;&gt;"")*ISNUMBER(SEARCH(실물목록!$Q$2:$Q$1001,I2089))*(실물목록!$R$2:$R$1001="")*(실물목록!$O$2:$O$1001&lt;&gt;""))&gt;0,"확인필요(연도다름)","실물 없음")))))</f>
      </c>
      <c r="G2089" t="n" s="16">
        <f aca="0">IF(B2089="","",SUMPRODUCT((실물목록!$P$2:$P$1001&lt;&gt;"")*ISNUMBER(SEARCH(실물목록!$P$2:$P$1001,I2089))*(실물목록!$Q$2:$Q$1001&lt;&gt;"")*ISNUMBER(SEARCH(실물목록!$Q$2:$Q$1001,I2089))*(실물목록!$R$2:$R$1001="")*(실물목록!$O$2:$O$1001&lt;&gt;"")*(실물목록!$O$2:$O$1001=H2089)))</f>
      </c>
      <c r="H2089" t="str">
        <f>IFERROR(IF(AND(LEN(SUBSTITUTE(SUBSTITUTE(SUBSTITUTE(TRIM(A2089&amp;""),CHAR(160),"")," ",""),"년",""))=4,VALUE(SUBSTITUTE(SUBSTITUTE(SUBSTITUTE(TRIM(A2089&amp;""),CHAR(160),"")," ",""),"년",""))&gt;=1900,VALUE(SUBSTITUTE(SUBSTITUTE(SUBSTITUTE(TRIM(A2089&amp;""),CHAR(160),"")," ",""),"년",""))&lt;=2099,TEXT(VALUE(SUBSTITUTE(SUBSTITUTE(SUBSTITUTE(TRIM(A2089&amp;""),CHAR(160),"")," ",""),"년","")),"0000")=SUBSTITUTE(SUBSTITUTE(SUBSTITUTE(TRIM(A2089&amp;""),CHAR(160),"")," ",""),"년","")),SUBSTITUTE(SUBSTITUTE(SUBSTITUTE(TRIM(A2089&amp;""),CHAR(160),"")," ",""),"년",""),""),"")</f>
      </c>
      <c r="I2089" t="str">
        <f>SUBSTITUTE(SUBSTITUTE(SUBSTITUTE(SUBSTITUTE(SUBSTITUTE(TRIM(B2089&amp;""),CHAR(160),"")," ",""),"초등학교","초"),"중학교","중"),"고등학교","고")</f>
      </c>
    </row>
    <row r="2090" customFormat="false" ht="15" hidden="false" customHeight="false" outlineLevel="0" collapsed="false">
      <c r="A2090" s="8"/>
      <c r="B2090" s="8"/>
      <c r="C2090" s="8"/>
      <c r="D2090" s="8"/>
      <c r="E2090" s="8"/>
      <c r="F2090" t="str" s="15">
        <f aca="0">IF(B2090="","",IF(H2090="","확인필요(입력누락)",IF(SUMPRODUCT((실물목록!$P$2:$P$1001&lt;&gt;"")*ISNUMBER(SEARCH(실물목록!$P$2:$P$1001,I2090))*(실물목록!$Q$2:$Q$1001&lt;&gt;"")*ISNUMBER(SEARCH(실물목록!$Q$2:$Q$1001,I2090))*(실물목록!$R$2:$R$1001="")*(실물목록!$O$2:$O$1001&lt;&gt;"")*(실물목록!$O$2:$O$1001=H2090))&gt;0,"실물 있음",IF(SUMPRODUCT((실물목록!$P$2:$P$1001&lt;&gt;"")*ISNUMBER(SEARCH(실물목록!$P$2:$P$1001,I2090))*(실물목록!$R$2:$R$1001&lt;&gt;""))&gt;0,"확인필요(입력누락)",IF(SUMPRODUCT((실물목록!$P$2:$P$1001&lt;&gt;"")*ISNUMBER(SEARCH(실물목록!$P$2:$P$1001,I2090))*(실물목록!$Q$2:$Q$1001&lt;&gt;"")*ISNUMBER(SEARCH(실물목록!$Q$2:$Q$1001,I2090))*(실물목록!$R$2:$R$1001="")*(실물목록!$O$2:$O$1001&lt;&gt;""))&gt;0,"확인필요(연도다름)","실물 없음")))))</f>
      </c>
      <c r="G2090" t="n" s="16">
        <f aca="0">IF(B2090="","",SUMPRODUCT((실물목록!$P$2:$P$1001&lt;&gt;"")*ISNUMBER(SEARCH(실물목록!$P$2:$P$1001,I2090))*(실물목록!$Q$2:$Q$1001&lt;&gt;"")*ISNUMBER(SEARCH(실물목록!$Q$2:$Q$1001,I2090))*(실물목록!$R$2:$R$1001="")*(실물목록!$O$2:$O$1001&lt;&gt;"")*(실물목록!$O$2:$O$1001=H2090)))</f>
      </c>
      <c r="H2090" t="str">
        <f>IFERROR(IF(AND(LEN(SUBSTITUTE(SUBSTITUTE(SUBSTITUTE(TRIM(A2090&amp;""),CHAR(160),"")," ",""),"년",""))=4,VALUE(SUBSTITUTE(SUBSTITUTE(SUBSTITUTE(TRIM(A2090&amp;""),CHAR(160),"")," ",""),"년",""))&gt;=1900,VALUE(SUBSTITUTE(SUBSTITUTE(SUBSTITUTE(TRIM(A2090&amp;""),CHAR(160),"")," ",""),"년",""))&lt;=2099,TEXT(VALUE(SUBSTITUTE(SUBSTITUTE(SUBSTITUTE(TRIM(A2090&amp;""),CHAR(160),"")," ",""),"년","")),"0000")=SUBSTITUTE(SUBSTITUTE(SUBSTITUTE(TRIM(A2090&amp;""),CHAR(160),"")," ",""),"년","")),SUBSTITUTE(SUBSTITUTE(SUBSTITUTE(TRIM(A2090&amp;""),CHAR(160),"")," ",""),"년",""),""),"")</f>
      </c>
      <c r="I2090" t="str">
        <f>SUBSTITUTE(SUBSTITUTE(SUBSTITUTE(SUBSTITUTE(SUBSTITUTE(TRIM(B2090&amp;""),CHAR(160),"")," ",""),"초등학교","초"),"중학교","중"),"고등학교","고")</f>
      </c>
    </row>
    <row r="2091" customFormat="false" ht="15" hidden="false" customHeight="false" outlineLevel="0" collapsed="false">
      <c r="A2091" s="8"/>
      <c r="B2091" s="8"/>
      <c r="C2091" s="8"/>
      <c r="D2091" s="8"/>
      <c r="E2091" s="8"/>
      <c r="F2091" t="str" s="15">
        <f aca="0">IF(B2091="","",IF(H2091="","확인필요(입력누락)",IF(SUMPRODUCT((실물목록!$P$2:$P$1001&lt;&gt;"")*ISNUMBER(SEARCH(실물목록!$P$2:$P$1001,I2091))*(실물목록!$Q$2:$Q$1001&lt;&gt;"")*ISNUMBER(SEARCH(실물목록!$Q$2:$Q$1001,I2091))*(실물목록!$R$2:$R$1001="")*(실물목록!$O$2:$O$1001&lt;&gt;"")*(실물목록!$O$2:$O$1001=H2091))&gt;0,"실물 있음",IF(SUMPRODUCT((실물목록!$P$2:$P$1001&lt;&gt;"")*ISNUMBER(SEARCH(실물목록!$P$2:$P$1001,I2091))*(실물목록!$R$2:$R$1001&lt;&gt;""))&gt;0,"확인필요(입력누락)",IF(SUMPRODUCT((실물목록!$P$2:$P$1001&lt;&gt;"")*ISNUMBER(SEARCH(실물목록!$P$2:$P$1001,I2091))*(실물목록!$Q$2:$Q$1001&lt;&gt;"")*ISNUMBER(SEARCH(실물목록!$Q$2:$Q$1001,I2091))*(실물목록!$R$2:$R$1001="")*(실물목록!$O$2:$O$1001&lt;&gt;""))&gt;0,"확인필요(연도다름)","실물 없음")))))</f>
      </c>
      <c r="G2091" t="n" s="16">
        <f aca="0">IF(B2091="","",SUMPRODUCT((실물목록!$P$2:$P$1001&lt;&gt;"")*ISNUMBER(SEARCH(실물목록!$P$2:$P$1001,I2091))*(실물목록!$Q$2:$Q$1001&lt;&gt;"")*ISNUMBER(SEARCH(실물목록!$Q$2:$Q$1001,I2091))*(실물목록!$R$2:$R$1001="")*(실물목록!$O$2:$O$1001&lt;&gt;"")*(실물목록!$O$2:$O$1001=H2091)))</f>
      </c>
      <c r="H2091" t="str">
        <f>IFERROR(IF(AND(LEN(SUBSTITUTE(SUBSTITUTE(SUBSTITUTE(TRIM(A2091&amp;""),CHAR(160),"")," ",""),"년",""))=4,VALUE(SUBSTITUTE(SUBSTITUTE(SUBSTITUTE(TRIM(A2091&amp;""),CHAR(160),"")," ",""),"년",""))&gt;=1900,VALUE(SUBSTITUTE(SUBSTITUTE(SUBSTITUTE(TRIM(A2091&amp;""),CHAR(160),"")," ",""),"년",""))&lt;=2099,TEXT(VALUE(SUBSTITUTE(SUBSTITUTE(SUBSTITUTE(TRIM(A2091&amp;""),CHAR(160),"")," ",""),"년","")),"0000")=SUBSTITUTE(SUBSTITUTE(SUBSTITUTE(TRIM(A2091&amp;""),CHAR(160),"")," ",""),"년","")),SUBSTITUTE(SUBSTITUTE(SUBSTITUTE(TRIM(A2091&amp;""),CHAR(160),"")," ",""),"년",""),""),"")</f>
      </c>
      <c r="I2091" t="str">
        <f>SUBSTITUTE(SUBSTITUTE(SUBSTITUTE(SUBSTITUTE(SUBSTITUTE(TRIM(B2091&amp;""),CHAR(160),"")," ",""),"초등학교","초"),"중학교","중"),"고등학교","고")</f>
      </c>
    </row>
    <row r="2092" customFormat="false" ht="15" hidden="false" customHeight="false" outlineLevel="0" collapsed="false">
      <c r="A2092" s="8"/>
      <c r="B2092" s="8"/>
      <c r="C2092" s="8"/>
      <c r="D2092" s="8"/>
      <c r="E2092" s="8"/>
      <c r="F2092" t="str" s="15">
        <f aca="0">IF(B2092="","",IF(H2092="","확인필요(입력누락)",IF(SUMPRODUCT((실물목록!$P$2:$P$1001&lt;&gt;"")*ISNUMBER(SEARCH(실물목록!$P$2:$P$1001,I2092))*(실물목록!$Q$2:$Q$1001&lt;&gt;"")*ISNUMBER(SEARCH(실물목록!$Q$2:$Q$1001,I2092))*(실물목록!$R$2:$R$1001="")*(실물목록!$O$2:$O$1001&lt;&gt;"")*(실물목록!$O$2:$O$1001=H2092))&gt;0,"실물 있음",IF(SUMPRODUCT((실물목록!$P$2:$P$1001&lt;&gt;"")*ISNUMBER(SEARCH(실물목록!$P$2:$P$1001,I2092))*(실물목록!$R$2:$R$1001&lt;&gt;""))&gt;0,"확인필요(입력누락)",IF(SUMPRODUCT((실물목록!$P$2:$P$1001&lt;&gt;"")*ISNUMBER(SEARCH(실물목록!$P$2:$P$1001,I2092))*(실물목록!$Q$2:$Q$1001&lt;&gt;"")*ISNUMBER(SEARCH(실물목록!$Q$2:$Q$1001,I2092))*(실물목록!$R$2:$R$1001="")*(실물목록!$O$2:$O$1001&lt;&gt;""))&gt;0,"확인필요(연도다름)","실물 없음")))))</f>
      </c>
      <c r="G2092" t="n" s="16">
        <f aca="0">IF(B2092="","",SUMPRODUCT((실물목록!$P$2:$P$1001&lt;&gt;"")*ISNUMBER(SEARCH(실물목록!$P$2:$P$1001,I2092))*(실물목록!$Q$2:$Q$1001&lt;&gt;"")*ISNUMBER(SEARCH(실물목록!$Q$2:$Q$1001,I2092))*(실물목록!$R$2:$R$1001="")*(실물목록!$O$2:$O$1001&lt;&gt;"")*(실물목록!$O$2:$O$1001=H2092)))</f>
      </c>
      <c r="H2092" t="str">
        <f>IFERROR(IF(AND(LEN(SUBSTITUTE(SUBSTITUTE(SUBSTITUTE(TRIM(A2092&amp;""),CHAR(160),"")," ",""),"년",""))=4,VALUE(SUBSTITUTE(SUBSTITUTE(SUBSTITUTE(TRIM(A2092&amp;""),CHAR(160),"")," ",""),"년",""))&gt;=1900,VALUE(SUBSTITUTE(SUBSTITUTE(SUBSTITUTE(TRIM(A2092&amp;""),CHAR(160),"")," ",""),"년",""))&lt;=2099,TEXT(VALUE(SUBSTITUTE(SUBSTITUTE(SUBSTITUTE(TRIM(A2092&amp;""),CHAR(160),"")," ",""),"년","")),"0000")=SUBSTITUTE(SUBSTITUTE(SUBSTITUTE(TRIM(A2092&amp;""),CHAR(160),"")," ",""),"년","")),SUBSTITUTE(SUBSTITUTE(SUBSTITUTE(TRIM(A2092&amp;""),CHAR(160),"")," ",""),"년",""),""),"")</f>
      </c>
      <c r="I2092" t="str">
        <f>SUBSTITUTE(SUBSTITUTE(SUBSTITUTE(SUBSTITUTE(SUBSTITUTE(TRIM(B2092&amp;""),CHAR(160),"")," ",""),"초등학교","초"),"중학교","중"),"고등학교","고")</f>
      </c>
    </row>
    <row r="2093" customFormat="false" ht="15" hidden="false" customHeight="false" outlineLevel="0" collapsed="false">
      <c r="A2093" s="8"/>
      <c r="B2093" s="8"/>
      <c r="C2093" s="8"/>
      <c r="D2093" s="8"/>
      <c r="E2093" s="8"/>
      <c r="F2093" t="str" s="15">
        <f aca="0">IF(B2093="","",IF(H2093="","확인필요(입력누락)",IF(SUMPRODUCT((실물목록!$P$2:$P$1001&lt;&gt;"")*ISNUMBER(SEARCH(실물목록!$P$2:$P$1001,I2093))*(실물목록!$Q$2:$Q$1001&lt;&gt;"")*ISNUMBER(SEARCH(실물목록!$Q$2:$Q$1001,I2093))*(실물목록!$R$2:$R$1001="")*(실물목록!$O$2:$O$1001&lt;&gt;"")*(실물목록!$O$2:$O$1001=H2093))&gt;0,"실물 있음",IF(SUMPRODUCT((실물목록!$P$2:$P$1001&lt;&gt;"")*ISNUMBER(SEARCH(실물목록!$P$2:$P$1001,I2093))*(실물목록!$R$2:$R$1001&lt;&gt;""))&gt;0,"확인필요(입력누락)",IF(SUMPRODUCT((실물목록!$P$2:$P$1001&lt;&gt;"")*ISNUMBER(SEARCH(실물목록!$P$2:$P$1001,I2093))*(실물목록!$Q$2:$Q$1001&lt;&gt;"")*ISNUMBER(SEARCH(실물목록!$Q$2:$Q$1001,I2093))*(실물목록!$R$2:$R$1001="")*(실물목록!$O$2:$O$1001&lt;&gt;""))&gt;0,"확인필요(연도다름)","실물 없음")))))</f>
      </c>
      <c r="G2093" t="n" s="16">
        <f aca="0">IF(B2093="","",SUMPRODUCT((실물목록!$P$2:$P$1001&lt;&gt;"")*ISNUMBER(SEARCH(실물목록!$P$2:$P$1001,I2093))*(실물목록!$Q$2:$Q$1001&lt;&gt;"")*ISNUMBER(SEARCH(실물목록!$Q$2:$Q$1001,I2093))*(실물목록!$R$2:$R$1001="")*(실물목록!$O$2:$O$1001&lt;&gt;"")*(실물목록!$O$2:$O$1001=H2093)))</f>
      </c>
      <c r="H2093" t="str">
        <f>IFERROR(IF(AND(LEN(SUBSTITUTE(SUBSTITUTE(SUBSTITUTE(TRIM(A2093&amp;""),CHAR(160),"")," ",""),"년",""))=4,VALUE(SUBSTITUTE(SUBSTITUTE(SUBSTITUTE(TRIM(A2093&amp;""),CHAR(160),"")," ",""),"년",""))&gt;=1900,VALUE(SUBSTITUTE(SUBSTITUTE(SUBSTITUTE(TRIM(A2093&amp;""),CHAR(160),"")," ",""),"년",""))&lt;=2099,TEXT(VALUE(SUBSTITUTE(SUBSTITUTE(SUBSTITUTE(TRIM(A2093&amp;""),CHAR(160),"")," ",""),"년","")),"0000")=SUBSTITUTE(SUBSTITUTE(SUBSTITUTE(TRIM(A2093&amp;""),CHAR(160),"")," ",""),"년","")),SUBSTITUTE(SUBSTITUTE(SUBSTITUTE(TRIM(A2093&amp;""),CHAR(160),"")," ",""),"년",""),""),"")</f>
      </c>
      <c r="I2093" t="str">
        <f>SUBSTITUTE(SUBSTITUTE(SUBSTITUTE(SUBSTITUTE(SUBSTITUTE(TRIM(B2093&amp;""),CHAR(160),"")," ",""),"초등학교","초"),"중학교","중"),"고등학교","고")</f>
      </c>
    </row>
    <row r="2094" customFormat="false" ht="15" hidden="false" customHeight="false" outlineLevel="0" collapsed="false">
      <c r="A2094" s="8"/>
      <c r="B2094" s="8"/>
      <c r="C2094" s="8"/>
      <c r="D2094" s="8"/>
      <c r="E2094" s="8"/>
      <c r="F2094" t="str" s="15">
        <f aca="0">IF(B2094="","",IF(H2094="","확인필요(입력누락)",IF(SUMPRODUCT((실물목록!$P$2:$P$1001&lt;&gt;"")*ISNUMBER(SEARCH(실물목록!$P$2:$P$1001,I2094))*(실물목록!$Q$2:$Q$1001&lt;&gt;"")*ISNUMBER(SEARCH(실물목록!$Q$2:$Q$1001,I2094))*(실물목록!$R$2:$R$1001="")*(실물목록!$O$2:$O$1001&lt;&gt;"")*(실물목록!$O$2:$O$1001=H2094))&gt;0,"실물 있음",IF(SUMPRODUCT((실물목록!$P$2:$P$1001&lt;&gt;"")*ISNUMBER(SEARCH(실물목록!$P$2:$P$1001,I2094))*(실물목록!$R$2:$R$1001&lt;&gt;""))&gt;0,"확인필요(입력누락)",IF(SUMPRODUCT((실물목록!$P$2:$P$1001&lt;&gt;"")*ISNUMBER(SEARCH(실물목록!$P$2:$P$1001,I2094))*(실물목록!$Q$2:$Q$1001&lt;&gt;"")*ISNUMBER(SEARCH(실물목록!$Q$2:$Q$1001,I2094))*(실물목록!$R$2:$R$1001="")*(실물목록!$O$2:$O$1001&lt;&gt;""))&gt;0,"확인필요(연도다름)","실물 없음")))))</f>
      </c>
      <c r="G2094" t="n" s="16">
        <f aca="0">IF(B2094="","",SUMPRODUCT((실물목록!$P$2:$P$1001&lt;&gt;"")*ISNUMBER(SEARCH(실물목록!$P$2:$P$1001,I2094))*(실물목록!$Q$2:$Q$1001&lt;&gt;"")*ISNUMBER(SEARCH(실물목록!$Q$2:$Q$1001,I2094))*(실물목록!$R$2:$R$1001="")*(실물목록!$O$2:$O$1001&lt;&gt;"")*(실물목록!$O$2:$O$1001=H2094)))</f>
      </c>
      <c r="H2094" t="str">
        <f>IFERROR(IF(AND(LEN(SUBSTITUTE(SUBSTITUTE(SUBSTITUTE(TRIM(A2094&amp;""),CHAR(160),"")," ",""),"년",""))=4,VALUE(SUBSTITUTE(SUBSTITUTE(SUBSTITUTE(TRIM(A2094&amp;""),CHAR(160),"")," ",""),"년",""))&gt;=1900,VALUE(SUBSTITUTE(SUBSTITUTE(SUBSTITUTE(TRIM(A2094&amp;""),CHAR(160),"")," ",""),"년",""))&lt;=2099,TEXT(VALUE(SUBSTITUTE(SUBSTITUTE(SUBSTITUTE(TRIM(A2094&amp;""),CHAR(160),"")," ",""),"년","")),"0000")=SUBSTITUTE(SUBSTITUTE(SUBSTITUTE(TRIM(A2094&amp;""),CHAR(160),"")," ",""),"년","")),SUBSTITUTE(SUBSTITUTE(SUBSTITUTE(TRIM(A2094&amp;""),CHAR(160),"")," ",""),"년",""),""),"")</f>
      </c>
      <c r="I2094" t="str">
        <f>SUBSTITUTE(SUBSTITUTE(SUBSTITUTE(SUBSTITUTE(SUBSTITUTE(TRIM(B2094&amp;""),CHAR(160),"")," ",""),"초등학교","초"),"중학교","중"),"고등학교","고")</f>
      </c>
    </row>
    <row r="2095" customFormat="false" ht="15" hidden="false" customHeight="false" outlineLevel="0" collapsed="false">
      <c r="A2095" s="8"/>
      <c r="B2095" s="8"/>
      <c r="C2095" s="8"/>
      <c r="D2095" s="8"/>
      <c r="E2095" s="8"/>
      <c r="F2095" t="str" s="15">
        <f aca="0">IF(B2095="","",IF(H2095="","확인필요(입력누락)",IF(SUMPRODUCT((실물목록!$P$2:$P$1001&lt;&gt;"")*ISNUMBER(SEARCH(실물목록!$P$2:$P$1001,I2095))*(실물목록!$Q$2:$Q$1001&lt;&gt;"")*ISNUMBER(SEARCH(실물목록!$Q$2:$Q$1001,I2095))*(실물목록!$R$2:$R$1001="")*(실물목록!$O$2:$O$1001&lt;&gt;"")*(실물목록!$O$2:$O$1001=H2095))&gt;0,"실물 있음",IF(SUMPRODUCT((실물목록!$P$2:$P$1001&lt;&gt;"")*ISNUMBER(SEARCH(실물목록!$P$2:$P$1001,I2095))*(실물목록!$R$2:$R$1001&lt;&gt;""))&gt;0,"확인필요(입력누락)",IF(SUMPRODUCT((실물목록!$P$2:$P$1001&lt;&gt;"")*ISNUMBER(SEARCH(실물목록!$P$2:$P$1001,I2095))*(실물목록!$Q$2:$Q$1001&lt;&gt;"")*ISNUMBER(SEARCH(실물목록!$Q$2:$Q$1001,I2095))*(실물목록!$R$2:$R$1001="")*(실물목록!$O$2:$O$1001&lt;&gt;""))&gt;0,"확인필요(연도다름)","실물 없음")))))</f>
      </c>
      <c r="G2095" t="n" s="16">
        <f aca="0">IF(B2095="","",SUMPRODUCT((실물목록!$P$2:$P$1001&lt;&gt;"")*ISNUMBER(SEARCH(실물목록!$P$2:$P$1001,I2095))*(실물목록!$Q$2:$Q$1001&lt;&gt;"")*ISNUMBER(SEARCH(실물목록!$Q$2:$Q$1001,I2095))*(실물목록!$R$2:$R$1001="")*(실물목록!$O$2:$O$1001&lt;&gt;"")*(실물목록!$O$2:$O$1001=H2095)))</f>
      </c>
      <c r="H2095" t="str">
        <f>IFERROR(IF(AND(LEN(SUBSTITUTE(SUBSTITUTE(SUBSTITUTE(TRIM(A2095&amp;""),CHAR(160),"")," ",""),"년",""))=4,VALUE(SUBSTITUTE(SUBSTITUTE(SUBSTITUTE(TRIM(A2095&amp;""),CHAR(160),"")," ",""),"년",""))&gt;=1900,VALUE(SUBSTITUTE(SUBSTITUTE(SUBSTITUTE(TRIM(A2095&amp;""),CHAR(160),"")," ",""),"년",""))&lt;=2099,TEXT(VALUE(SUBSTITUTE(SUBSTITUTE(SUBSTITUTE(TRIM(A2095&amp;""),CHAR(160),"")," ",""),"년","")),"0000")=SUBSTITUTE(SUBSTITUTE(SUBSTITUTE(TRIM(A2095&amp;""),CHAR(160),"")," ",""),"년","")),SUBSTITUTE(SUBSTITUTE(SUBSTITUTE(TRIM(A2095&amp;""),CHAR(160),"")," ",""),"년",""),""),"")</f>
      </c>
      <c r="I2095" t="str">
        <f>SUBSTITUTE(SUBSTITUTE(SUBSTITUTE(SUBSTITUTE(SUBSTITUTE(TRIM(B2095&amp;""),CHAR(160),"")," ",""),"초등학교","초"),"중학교","중"),"고등학교","고")</f>
      </c>
    </row>
    <row r="2096" customFormat="false" ht="15" hidden="false" customHeight="false" outlineLevel="0" collapsed="false">
      <c r="A2096" s="8"/>
      <c r="B2096" s="8"/>
      <c r="C2096" s="8"/>
      <c r="D2096" s="8"/>
      <c r="E2096" s="8"/>
      <c r="F2096" t="str" s="15">
        <f aca="0">IF(B2096="","",IF(H2096="","확인필요(입력누락)",IF(SUMPRODUCT((실물목록!$P$2:$P$1001&lt;&gt;"")*ISNUMBER(SEARCH(실물목록!$P$2:$P$1001,I2096))*(실물목록!$Q$2:$Q$1001&lt;&gt;"")*ISNUMBER(SEARCH(실물목록!$Q$2:$Q$1001,I2096))*(실물목록!$R$2:$R$1001="")*(실물목록!$O$2:$O$1001&lt;&gt;"")*(실물목록!$O$2:$O$1001=H2096))&gt;0,"실물 있음",IF(SUMPRODUCT((실물목록!$P$2:$P$1001&lt;&gt;"")*ISNUMBER(SEARCH(실물목록!$P$2:$P$1001,I2096))*(실물목록!$R$2:$R$1001&lt;&gt;""))&gt;0,"확인필요(입력누락)",IF(SUMPRODUCT((실물목록!$P$2:$P$1001&lt;&gt;"")*ISNUMBER(SEARCH(실물목록!$P$2:$P$1001,I2096))*(실물목록!$Q$2:$Q$1001&lt;&gt;"")*ISNUMBER(SEARCH(실물목록!$Q$2:$Q$1001,I2096))*(실물목록!$R$2:$R$1001="")*(실물목록!$O$2:$O$1001&lt;&gt;""))&gt;0,"확인필요(연도다름)","실물 없음")))))</f>
      </c>
      <c r="G2096" t="n" s="16">
        <f aca="0">IF(B2096="","",SUMPRODUCT((실물목록!$P$2:$P$1001&lt;&gt;"")*ISNUMBER(SEARCH(실물목록!$P$2:$P$1001,I2096))*(실물목록!$Q$2:$Q$1001&lt;&gt;"")*ISNUMBER(SEARCH(실물목록!$Q$2:$Q$1001,I2096))*(실물목록!$R$2:$R$1001="")*(실물목록!$O$2:$O$1001&lt;&gt;"")*(실물목록!$O$2:$O$1001=H2096)))</f>
      </c>
      <c r="H2096" t="str">
        <f>IFERROR(IF(AND(LEN(SUBSTITUTE(SUBSTITUTE(SUBSTITUTE(TRIM(A2096&amp;""),CHAR(160),"")," ",""),"년",""))=4,VALUE(SUBSTITUTE(SUBSTITUTE(SUBSTITUTE(TRIM(A2096&amp;""),CHAR(160),"")," ",""),"년",""))&gt;=1900,VALUE(SUBSTITUTE(SUBSTITUTE(SUBSTITUTE(TRIM(A2096&amp;""),CHAR(160),"")," ",""),"년",""))&lt;=2099,TEXT(VALUE(SUBSTITUTE(SUBSTITUTE(SUBSTITUTE(TRIM(A2096&amp;""),CHAR(160),"")," ",""),"년","")),"0000")=SUBSTITUTE(SUBSTITUTE(SUBSTITUTE(TRIM(A2096&amp;""),CHAR(160),"")," ",""),"년","")),SUBSTITUTE(SUBSTITUTE(SUBSTITUTE(TRIM(A2096&amp;""),CHAR(160),"")," ",""),"년",""),""),"")</f>
      </c>
      <c r="I2096" t="str">
        <f>SUBSTITUTE(SUBSTITUTE(SUBSTITUTE(SUBSTITUTE(SUBSTITUTE(TRIM(B2096&amp;""),CHAR(160),"")," ",""),"초등학교","초"),"중학교","중"),"고등학교","고")</f>
      </c>
    </row>
    <row r="2097" customFormat="false" ht="15" hidden="false" customHeight="false" outlineLevel="0" collapsed="false">
      <c r="A2097" s="8"/>
      <c r="B2097" s="8"/>
      <c r="C2097" s="8"/>
      <c r="D2097" s="8"/>
      <c r="E2097" s="8"/>
      <c r="F2097" t="str" s="15">
        <f aca="0">IF(B2097="","",IF(H2097="","확인필요(입력누락)",IF(SUMPRODUCT((실물목록!$P$2:$P$1001&lt;&gt;"")*ISNUMBER(SEARCH(실물목록!$P$2:$P$1001,I2097))*(실물목록!$Q$2:$Q$1001&lt;&gt;"")*ISNUMBER(SEARCH(실물목록!$Q$2:$Q$1001,I2097))*(실물목록!$R$2:$R$1001="")*(실물목록!$O$2:$O$1001&lt;&gt;"")*(실물목록!$O$2:$O$1001=H2097))&gt;0,"실물 있음",IF(SUMPRODUCT((실물목록!$P$2:$P$1001&lt;&gt;"")*ISNUMBER(SEARCH(실물목록!$P$2:$P$1001,I2097))*(실물목록!$R$2:$R$1001&lt;&gt;""))&gt;0,"확인필요(입력누락)",IF(SUMPRODUCT((실물목록!$P$2:$P$1001&lt;&gt;"")*ISNUMBER(SEARCH(실물목록!$P$2:$P$1001,I2097))*(실물목록!$Q$2:$Q$1001&lt;&gt;"")*ISNUMBER(SEARCH(실물목록!$Q$2:$Q$1001,I2097))*(실물목록!$R$2:$R$1001="")*(실물목록!$O$2:$O$1001&lt;&gt;""))&gt;0,"확인필요(연도다름)","실물 없음")))))</f>
      </c>
      <c r="G2097" t="n" s="16">
        <f aca="0">IF(B2097="","",SUMPRODUCT((실물목록!$P$2:$P$1001&lt;&gt;"")*ISNUMBER(SEARCH(실물목록!$P$2:$P$1001,I2097))*(실물목록!$Q$2:$Q$1001&lt;&gt;"")*ISNUMBER(SEARCH(실물목록!$Q$2:$Q$1001,I2097))*(실물목록!$R$2:$R$1001="")*(실물목록!$O$2:$O$1001&lt;&gt;"")*(실물목록!$O$2:$O$1001=H2097)))</f>
      </c>
      <c r="H2097" t="str">
        <f>IFERROR(IF(AND(LEN(SUBSTITUTE(SUBSTITUTE(SUBSTITUTE(TRIM(A2097&amp;""),CHAR(160),"")," ",""),"년",""))=4,VALUE(SUBSTITUTE(SUBSTITUTE(SUBSTITUTE(TRIM(A2097&amp;""),CHAR(160),"")," ",""),"년",""))&gt;=1900,VALUE(SUBSTITUTE(SUBSTITUTE(SUBSTITUTE(TRIM(A2097&amp;""),CHAR(160),"")," ",""),"년",""))&lt;=2099,TEXT(VALUE(SUBSTITUTE(SUBSTITUTE(SUBSTITUTE(TRIM(A2097&amp;""),CHAR(160),"")," ",""),"년","")),"0000")=SUBSTITUTE(SUBSTITUTE(SUBSTITUTE(TRIM(A2097&amp;""),CHAR(160),"")," ",""),"년","")),SUBSTITUTE(SUBSTITUTE(SUBSTITUTE(TRIM(A2097&amp;""),CHAR(160),"")," ",""),"년",""),""),"")</f>
      </c>
      <c r="I2097" t="str">
        <f>SUBSTITUTE(SUBSTITUTE(SUBSTITUTE(SUBSTITUTE(SUBSTITUTE(TRIM(B2097&amp;""),CHAR(160),"")," ",""),"초등학교","초"),"중학교","중"),"고등학교","고")</f>
      </c>
    </row>
    <row r="2098" customFormat="false" ht="15" hidden="false" customHeight="false" outlineLevel="0" collapsed="false">
      <c r="A2098" s="8"/>
      <c r="B2098" s="8"/>
      <c r="C2098" s="8"/>
      <c r="D2098" s="8"/>
      <c r="E2098" s="8"/>
      <c r="F2098" t="str" s="15">
        <f aca="0">IF(B2098="","",IF(H2098="","확인필요(입력누락)",IF(SUMPRODUCT((실물목록!$P$2:$P$1001&lt;&gt;"")*ISNUMBER(SEARCH(실물목록!$P$2:$P$1001,I2098))*(실물목록!$Q$2:$Q$1001&lt;&gt;"")*ISNUMBER(SEARCH(실물목록!$Q$2:$Q$1001,I2098))*(실물목록!$R$2:$R$1001="")*(실물목록!$O$2:$O$1001&lt;&gt;"")*(실물목록!$O$2:$O$1001=H2098))&gt;0,"실물 있음",IF(SUMPRODUCT((실물목록!$P$2:$P$1001&lt;&gt;"")*ISNUMBER(SEARCH(실물목록!$P$2:$P$1001,I2098))*(실물목록!$R$2:$R$1001&lt;&gt;""))&gt;0,"확인필요(입력누락)",IF(SUMPRODUCT((실물목록!$P$2:$P$1001&lt;&gt;"")*ISNUMBER(SEARCH(실물목록!$P$2:$P$1001,I2098))*(실물목록!$Q$2:$Q$1001&lt;&gt;"")*ISNUMBER(SEARCH(실물목록!$Q$2:$Q$1001,I2098))*(실물목록!$R$2:$R$1001="")*(실물목록!$O$2:$O$1001&lt;&gt;""))&gt;0,"확인필요(연도다름)","실물 없음")))))</f>
      </c>
      <c r="G2098" t="n" s="16">
        <f aca="0">IF(B2098="","",SUMPRODUCT((실물목록!$P$2:$P$1001&lt;&gt;"")*ISNUMBER(SEARCH(실물목록!$P$2:$P$1001,I2098))*(실물목록!$Q$2:$Q$1001&lt;&gt;"")*ISNUMBER(SEARCH(실물목록!$Q$2:$Q$1001,I2098))*(실물목록!$R$2:$R$1001="")*(실물목록!$O$2:$O$1001&lt;&gt;"")*(실물목록!$O$2:$O$1001=H2098)))</f>
      </c>
      <c r="H2098" t="str">
        <f>IFERROR(IF(AND(LEN(SUBSTITUTE(SUBSTITUTE(SUBSTITUTE(TRIM(A2098&amp;""),CHAR(160),"")," ",""),"년",""))=4,VALUE(SUBSTITUTE(SUBSTITUTE(SUBSTITUTE(TRIM(A2098&amp;""),CHAR(160),"")," ",""),"년",""))&gt;=1900,VALUE(SUBSTITUTE(SUBSTITUTE(SUBSTITUTE(TRIM(A2098&amp;""),CHAR(160),"")," ",""),"년",""))&lt;=2099,TEXT(VALUE(SUBSTITUTE(SUBSTITUTE(SUBSTITUTE(TRIM(A2098&amp;""),CHAR(160),"")," ",""),"년","")),"0000")=SUBSTITUTE(SUBSTITUTE(SUBSTITUTE(TRIM(A2098&amp;""),CHAR(160),"")," ",""),"년","")),SUBSTITUTE(SUBSTITUTE(SUBSTITUTE(TRIM(A2098&amp;""),CHAR(160),"")," ",""),"년",""),""),"")</f>
      </c>
      <c r="I2098" t="str">
        <f>SUBSTITUTE(SUBSTITUTE(SUBSTITUTE(SUBSTITUTE(SUBSTITUTE(TRIM(B2098&amp;""),CHAR(160),"")," ",""),"초등학교","초"),"중학교","중"),"고등학교","고")</f>
      </c>
    </row>
    <row r="2099" customFormat="false" ht="15" hidden="false" customHeight="false" outlineLevel="0" collapsed="false">
      <c r="A2099" s="8"/>
      <c r="B2099" s="8"/>
      <c r="C2099" s="8"/>
      <c r="D2099" s="8"/>
      <c r="E2099" s="8"/>
      <c r="F2099" t="str" s="15">
        <f aca="0">IF(B2099="","",IF(H2099="","확인필요(입력누락)",IF(SUMPRODUCT((실물목록!$P$2:$P$1001&lt;&gt;"")*ISNUMBER(SEARCH(실물목록!$P$2:$P$1001,I2099))*(실물목록!$Q$2:$Q$1001&lt;&gt;"")*ISNUMBER(SEARCH(실물목록!$Q$2:$Q$1001,I2099))*(실물목록!$R$2:$R$1001="")*(실물목록!$O$2:$O$1001&lt;&gt;"")*(실물목록!$O$2:$O$1001=H2099))&gt;0,"실물 있음",IF(SUMPRODUCT((실물목록!$P$2:$P$1001&lt;&gt;"")*ISNUMBER(SEARCH(실물목록!$P$2:$P$1001,I2099))*(실물목록!$R$2:$R$1001&lt;&gt;""))&gt;0,"확인필요(입력누락)",IF(SUMPRODUCT((실물목록!$P$2:$P$1001&lt;&gt;"")*ISNUMBER(SEARCH(실물목록!$P$2:$P$1001,I2099))*(실물목록!$Q$2:$Q$1001&lt;&gt;"")*ISNUMBER(SEARCH(실물목록!$Q$2:$Q$1001,I2099))*(실물목록!$R$2:$R$1001="")*(실물목록!$O$2:$O$1001&lt;&gt;""))&gt;0,"확인필요(연도다름)","실물 없음")))))</f>
      </c>
      <c r="G2099" t="n" s="16">
        <f aca="0">IF(B2099="","",SUMPRODUCT((실물목록!$P$2:$P$1001&lt;&gt;"")*ISNUMBER(SEARCH(실물목록!$P$2:$P$1001,I2099))*(실물목록!$Q$2:$Q$1001&lt;&gt;"")*ISNUMBER(SEARCH(실물목록!$Q$2:$Q$1001,I2099))*(실물목록!$R$2:$R$1001="")*(실물목록!$O$2:$O$1001&lt;&gt;"")*(실물목록!$O$2:$O$1001=H2099)))</f>
      </c>
      <c r="H2099" t="str">
        <f>IFERROR(IF(AND(LEN(SUBSTITUTE(SUBSTITUTE(SUBSTITUTE(TRIM(A2099&amp;""),CHAR(160),"")," ",""),"년",""))=4,VALUE(SUBSTITUTE(SUBSTITUTE(SUBSTITUTE(TRIM(A2099&amp;""),CHAR(160),"")," ",""),"년",""))&gt;=1900,VALUE(SUBSTITUTE(SUBSTITUTE(SUBSTITUTE(TRIM(A2099&amp;""),CHAR(160),"")," ",""),"년",""))&lt;=2099,TEXT(VALUE(SUBSTITUTE(SUBSTITUTE(SUBSTITUTE(TRIM(A2099&amp;""),CHAR(160),"")," ",""),"년","")),"0000")=SUBSTITUTE(SUBSTITUTE(SUBSTITUTE(TRIM(A2099&amp;""),CHAR(160),"")," ",""),"년","")),SUBSTITUTE(SUBSTITUTE(SUBSTITUTE(TRIM(A2099&amp;""),CHAR(160),"")," ",""),"년",""),""),"")</f>
      </c>
      <c r="I2099" t="str">
        <f>SUBSTITUTE(SUBSTITUTE(SUBSTITUTE(SUBSTITUTE(SUBSTITUTE(TRIM(B2099&amp;""),CHAR(160),"")," ",""),"초등학교","초"),"중학교","중"),"고등학교","고")</f>
      </c>
    </row>
    <row r="2100" customFormat="false" ht="15" hidden="false" customHeight="false" outlineLevel="0" collapsed="false">
      <c r="A2100" s="8"/>
      <c r="B2100" s="8"/>
      <c r="C2100" s="8"/>
      <c r="D2100" s="8"/>
      <c r="E2100" s="8"/>
      <c r="F2100" t="str" s="15">
        <f aca="0">IF(B2100="","",IF(H2100="","확인필요(입력누락)",IF(SUMPRODUCT((실물목록!$P$2:$P$1001&lt;&gt;"")*ISNUMBER(SEARCH(실물목록!$P$2:$P$1001,I2100))*(실물목록!$Q$2:$Q$1001&lt;&gt;"")*ISNUMBER(SEARCH(실물목록!$Q$2:$Q$1001,I2100))*(실물목록!$R$2:$R$1001="")*(실물목록!$O$2:$O$1001&lt;&gt;"")*(실물목록!$O$2:$O$1001=H2100))&gt;0,"실물 있음",IF(SUMPRODUCT((실물목록!$P$2:$P$1001&lt;&gt;"")*ISNUMBER(SEARCH(실물목록!$P$2:$P$1001,I2100))*(실물목록!$R$2:$R$1001&lt;&gt;""))&gt;0,"확인필요(입력누락)",IF(SUMPRODUCT((실물목록!$P$2:$P$1001&lt;&gt;"")*ISNUMBER(SEARCH(실물목록!$P$2:$P$1001,I2100))*(실물목록!$Q$2:$Q$1001&lt;&gt;"")*ISNUMBER(SEARCH(실물목록!$Q$2:$Q$1001,I2100))*(실물목록!$R$2:$R$1001="")*(실물목록!$O$2:$O$1001&lt;&gt;""))&gt;0,"확인필요(연도다름)","실물 없음")))))</f>
      </c>
      <c r="G2100" t="n" s="16">
        <f aca="0">IF(B2100="","",SUMPRODUCT((실물목록!$P$2:$P$1001&lt;&gt;"")*ISNUMBER(SEARCH(실물목록!$P$2:$P$1001,I2100))*(실물목록!$Q$2:$Q$1001&lt;&gt;"")*ISNUMBER(SEARCH(실물목록!$Q$2:$Q$1001,I2100))*(실물목록!$R$2:$R$1001="")*(실물목록!$O$2:$O$1001&lt;&gt;"")*(실물목록!$O$2:$O$1001=H2100)))</f>
      </c>
      <c r="H2100" t="str">
        <f>IFERROR(IF(AND(LEN(SUBSTITUTE(SUBSTITUTE(SUBSTITUTE(TRIM(A2100&amp;""),CHAR(160),"")," ",""),"년",""))=4,VALUE(SUBSTITUTE(SUBSTITUTE(SUBSTITUTE(TRIM(A2100&amp;""),CHAR(160),"")," ",""),"년",""))&gt;=1900,VALUE(SUBSTITUTE(SUBSTITUTE(SUBSTITUTE(TRIM(A2100&amp;""),CHAR(160),"")," ",""),"년",""))&lt;=2099,TEXT(VALUE(SUBSTITUTE(SUBSTITUTE(SUBSTITUTE(TRIM(A2100&amp;""),CHAR(160),"")," ",""),"년","")),"0000")=SUBSTITUTE(SUBSTITUTE(SUBSTITUTE(TRIM(A2100&amp;""),CHAR(160),"")," ",""),"년","")),SUBSTITUTE(SUBSTITUTE(SUBSTITUTE(TRIM(A2100&amp;""),CHAR(160),"")," ",""),"년",""),""),"")</f>
      </c>
      <c r="I2100" t="str">
        <f>SUBSTITUTE(SUBSTITUTE(SUBSTITUTE(SUBSTITUTE(SUBSTITUTE(TRIM(B2100&amp;""),CHAR(160),"")," ",""),"초등학교","초"),"중학교","중"),"고등학교","고")</f>
      </c>
    </row>
    <row r="2101" customFormat="false" ht="15" hidden="false" customHeight="false" outlineLevel="0" collapsed="false">
      <c r="A2101" s="8"/>
      <c r="B2101" s="8"/>
      <c r="C2101" s="8"/>
      <c r="D2101" s="8"/>
      <c r="E2101" s="8"/>
      <c r="F2101" t="str" s="15">
        <f aca="0">IF(B2101="","",IF(H2101="","확인필요(입력누락)",IF(SUMPRODUCT((실물목록!$P$2:$P$1001&lt;&gt;"")*ISNUMBER(SEARCH(실물목록!$P$2:$P$1001,I2101))*(실물목록!$Q$2:$Q$1001&lt;&gt;"")*ISNUMBER(SEARCH(실물목록!$Q$2:$Q$1001,I2101))*(실물목록!$R$2:$R$1001="")*(실물목록!$O$2:$O$1001&lt;&gt;"")*(실물목록!$O$2:$O$1001=H2101))&gt;0,"실물 있음",IF(SUMPRODUCT((실물목록!$P$2:$P$1001&lt;&gt;"")*ISNUMBER(SEARCH(실물목록!$P$2:$P$1001,I2101))*(실물목록!$R$2:$R$1001&lt;&gt;""))&gt;0,"확인필요(입력누락)",IF(SUMPRODUCT((실물목록!$P$2:$P$1001&lt;&gt;"")*ISNUMBER(SEARCH(실물목록!$P$2:$P$1001,I2101))*(실물목록!$Q$2:$Q$1001&lt;&gt;"")*ISNUMBER(SEARCH(실물목록!$Q$2:$Q$1001,I2101))*(실물목록!$R$2:$R$1001="")*(실물목록!$O$2:$O$1001&lt;&gt;""))&gt;0,"확인필요(연도다름)","실물 없음")))))</f>
      </c>
      <c r="G2101" t="n" s="16">
        <f aca="0">IF(B2101="","",SUMPRODUCT((실물목록!$P$2:$P$1001&lt;&gt;"")*ISNUMBER(SEARCH(실물목록!$P$2:$P$1001,I2101))*(실물목록!$Q$2:$Q$1001&lt;&gt;"")*ISNUMBER(SEARCH(실물목록!$Q$2:$Q$1001,I2101))*(실물목록!$R$2:$R$1001="")*(실물목록!$O$2:$O$1001&lt;&gt;"")*(실물목록!$O$2:$O$1001=H2101)))</f>
      </c>
      <c r="H2101" t="str">
        <f>IFERROR(IF(AND(LEN(SUBSTITUTE(SUBSTITUTE(SUBSTITUTE(TRIM(A2101&amp;""),CHAR(160),"")," ",""),"년",""))=4,VALUE(SUBSTITUTE(SUBSTITUTE(SUBSTITUTE(TRIM(A2101&amp;""),CHAR(160),"")," ",""),"년",""))&gt;=1900,VALUE(SUBSTITUTE(SUBSTITUTE(SUBSTITUTE(TRIM(A2101&amp;""),CHAR(160),"")," ",""),"년",""))&lt;=2099,TEXT(VALUE(SUBSTITUTE(SUBSTITUTE(SUBSTITUTE(TRIM(A2101&amp;""),CHAR(160),"")," ",""),"년","")),"0000")=SUBSTITUTE(SUBSTITUTE(SUBSTITUTE(TRIM(A2101&amp;""),CHAR(160),"")," ",""),"년","")),SUBSTITUTE(SUBSTITUTE(SUBSTITUTE(TRIM(A2101&amp;""),CHAR(160),"")," ",""),"년",""),""),"")</f>
      </c>
      <c r="I2101" t="str">
        <f>SUBSTITUTE(SUBSTITUTE(SUBSTITUTE(SUBSTITUTE(SUBSTITUTE(TRIM(B2101&amp;""),CHAR(160),"")," ",""),"초등학교","초"),"중학교","중"),"고등학교","고")</f>
      </c>
    </row>
    <row r="2102" customFormat="false" ht="15" hidden="false" customHeight="false" outlineLevel="0" collapsed="false">
      <c r="A2102" s="8"/>
      <c r="B2102" s="8"/>
      <c r="C2102" s="8"/>
      <c r="D2102" s="8"/>
      <c r="E2102" s="8"/>
      <c r="F2102" t="str" s="15">
        <f aca="0">IF(B2102="","",IF(H2102="","확인필요(입력누락)",IF(SUMPRODUCT((실물목록!$P$2:$P$1001&lt;&gt;"")*ISNUMBER(SEARCH(실물목록!$P$2:$P$1001,I2102))*(실물목록!$Q$2:$Q$1001&lt;&gt;"")*ISNUMBER(SEARCH(실물목록!$Q$2:$Q$1001,I2102))*(실물목록!$R$2:$R$1001="")*(실물목록!$O$2:$O$1001&lt;&gt;"")*(실물목록!$O$2:$O$1001=H2102))&gt;0,"실물 있음",IF(SUMPRODUCT((실물목록!$P$2:$P$1001&lt;&gt;"")*ISNUMBER(SEARCH(실물목록!$P$2:$P$1001,I2102))*(실물목록!$R$2:$R$1001&lt;&gt;""))&gt;0,"확인필요(입력누락)",IF(SUMPRODUCT((실물목록!$P$2:$P$1001&lt;&gt;"")*ISNUMBER(SEARCH(실물목록!$P$2:$P$1001,I2102))*(실물목록!$Q$2:$Q$1001&lt;&gt;"")*ISNUMBER(SEARCH(실물목록!$Q$2:$Q$1001,I2102))*(실물목록!$R$2:$R$1001="")*(실물목록!$O$2:$O$1001&lt;&gt;""))&gt;0,"확인필요(연도다름)","실물 없음")))))</f>
      </c>
      <c r="G2102" t="n" s="16">
        <f aca="0">IF(B2102="","",SUMPRODUCT((실물목록!$P$2:$P$1001&lt;&gt;"")*ISNUMBER(SEARCH(실물목록!$P$2:$P$1001,I2102))*(실물목록!$Q$2:$Q$1001&lt;&gt;"")*ISNUMBER(SEARCH(실물목록!$Q$2:$Q$1001,I2102))*(실물목록!$R$2:$R$1001="")*(실물목록!$O$2:$O$1001&lt;&gt;"")*(실물목록!$O$2:$O$1001=H2102)))</f>
      </c>
      <c r="H2102" t="str">
        <f>IFERROR(IF(AND(LEN(SUBSTITUTE(SUBSTITUTE(SUBSTITUTE(TRIM(A2102&amp;""),CHAR(160),"")," ",""),"년",""))=4,VALUE(SUBSTITUTE(SUBSTITUTE(SUBSTITUTE(TRIM(A2102&amp;""),CHAR(160),"")," ",""),"년",""))&gt;=1900,VALUE(SUBSTITUTE(SUBSTITUTE(SUBSTITUTE(TRIM(A2102&amp;""),CHAR(160),"")," ",""),"년",""))&lt;=2099,TEXT(VALUE(SUBSTITUTE(SUBSTITUTE(SUBSTITUTE(TRIM(A2102&amp;""),CHAR(160),"")," ",""),"년","")),"0000")=SUBSTITUTE(SUBSTITUTE(SUBSTITUTE(TRIM(A2102&amp;""),CHAR(160),"")," ",""),"년","")),SUBSTITUTE(SUBSTITUTE(SUBSTITUTE(TRIM(A2102&amp;""),CHAR(160),"")," ",""),"년",""),""),"")</f>
      </c>
      <c r="I2102" t="str">
        <f>SUBSTITUTE(SUBSTITUTE(SUBSTITUTE(SUBSTITUTE(SUBSTITUTE(TRIM(B2102&amp;""),CHAR(160),"")," ",""),"초등학교","초"),"중학교","중"),"고등학교","고")</f>
      </c>
    </row>
    <row r="2103" customFormat="false" ht="15" hidden="false" customHeight="false" outlineLevel="0" collapsed="false">
      <c r="A2103" s="8"/>
      <c r="B2103" s="8"/>
      <c r="C2103" s="8"/>
      <c r="D2103" s="8"/>
      <c r="E2103" s="8"/>
      <c r="F2103" t="str" s="15">
        <f aca="0">IF(B2103="","",IF(H2103="","확인필요(입력누락)",IF(SUMPRODUCT((실물목록!$P$2:$P$1001&lt;&gt;"")*ISNUMBER(SEARCH(실물목록!$P$2:$P$1001,I2103))*(실물목록!$Q$2:$Q$1001&lt;&gt;"")*ISNUMBER(SEARCH(실물목록!$Q$2:$Q$1001,I2103))*(실물목록!$R$2:$R$1001="")*(실물목록!$O$2:$O$1001&lt;&gt;"")*(실물목록!$O$2:$O$1001=H2103))&gt;0,"실물 있음",IF(SUMPRODUCT((실물목록!$P$2:$P$1001&lt;&gt;"")*ISNUMBER(SEARCH(실물목록!$P$2:$P$1001,I2103))*(실물목록!$R$2:$R$1001&lt;&gt;""))&gt;0,"확인필요(입력누락)",IF(SUMPRODUCT((실물목록!$P$2:$P$1001&lt;&gt;"")*ISNUMBER(SEARCH(실물목록!$P$2:$P$1001,I2103))*(실물목록!$Q$2:$Q$1001&lt;&gt;"")*ISNUMBER(SEARCH(실물목록!$Q$2:$Q$1001,I2103))*(실물목록!$R$2:$R$1001="")*(실물목록!$O$2:$O$1001&lt;&gt;""))&gt;0,"확인필요(연도다름)","실물 없음")))))</f>
      </c>
      <c r="G2103" t="n" s="16">
        <f aca="0">IF(B2103="","",SUMPRODUCT((실물목록!$P$2:$P$1001&lt;&gt;"")*ISNUMBER(SEARCH(실물목록!$P$2:$P$1001,I2103))*(실물목록!$Q$2:$Q$1001&lt;&gt;"")*ISNUMBER(SEARCH(실물목록!$Q$2:$Q$1001,I2103))*(실물목록!$R$2:$R$1001="")*(실물목록!$O$2:$O$1001&lt;&gt;"")*(실물목록!$O$2:$O$1001=H2103)))</f>
      </c>
      <c r="H2103" t="str">
        <f>IFERROR(IF(AND(LEN(SUBSTITUTE(SUBSTITUTE(SUBSTITUTE(TRIM(A2103&amp;""),CHAR(160),"")," ",""),"년",""))=4,VALUE(SUBSTITUTE(SUBSTITUTE(SUBSTITUTE(TRIM(A2103&amp;""),CHAR(160),"")," ",""),"년",""))&gt;=1900,VALUE(SUBSTITUTE(SUBSTITUTE(SUBSTITUTE(TRIM(A2103&amp;""),CHAR(160),"")," ",""),"년",""))&lt;=2099,TEXT(VALUE(SUBSTITUTE(SUBSTITUTE(SUBSTITUTE(TRIM(A2103&amp;""),CHAR(160),"")," ",""),"년","")),"0000")=SUBSTITUTE(SUBSTITUTE(SUBSTITUTE(TRIM(A2103&amp;""),CHAR(160),"")," ",""),"년","")),SUBSTITUTE(SUBSTITUTE(SUBSTITUTE(TRIM(A2103&amp;""),CHAR(160),"")," ",""),"년",""),""),"")</f>
      </c>
      <c r="I2103" t="str">
        <f>SUBSTITUTE(SUBSTITUTE(SUBSTITUTE(SUBSTITUTE(SUBSTITUTE(TRIM(B2103&amp;""),CHAR(160),"")," ",""),"초등학교","초"),"중학교","중"),"고등학교","고")</f>
      </c>
    </row>
    <row r="2104" customFormat="false" ht="15" hidden="false" customHeight="false" outlineLevel="0" collapsed="false">
      <c r="A2104" s="8"/>
      <c r="B2104" s="8"/>
      <c r="C2104" s="8"/>
      <c r="D2104" s="8"/>
      <c r="E2104" s="8"/>
      <c r="F2104" t="str" s="15">
        <f aca="0">IF(B2104="","",IF(H2104="","확인필요(입력누락)",IF(SUMPRODUCT((실물목록!$P$2:$P$1001&lt;&gt;"")*ISNUMBER(SEARCH(실물목록!$P$2:$P$1001,I2104))*(실물목록!$Q$2:$Q$1001&lt;&gt;"")*ISNUMBER(SEARCH(실물목록!$Q$2:$Q$1001,I2104))*(실물목록!$R$2:$R$1001="")*(실물목록!$O$2:$O$1001&lt;&gt;"")*(실물목록!$O$2:$O$1001=H2104))&gt;0,"실물 있음",IF(SUMPRODUCT((실물목록!$P$2:$P$1001&lt;&gt;"")*ISNUMBER(SEARCH(실물목록!$P$2:$P$1001,I2104))*(실물목록!$R$2:$R$1001&lt;&gt;""))&gt;0,"확인필요(입력누락)",IF(SUMPRODUCT((실물목록!$P$2:$P$1001&lt;&gt;"")*ISNUMBER(SEARCH(실물목록!$P$2:$P$1001,I2104))*(실물목록!$Q$2:$Q$1001&lt;&gt;"")*ISNUMBER(SEARCH(실물목록!$Q$2:$Q$1001,I2104))*(실물목록!$R$2:$R$1001="")*(실물목록!$O$2:$O$1001&lt;&gt;""))&gt;0,"확인필요(연도다름)","실물 없음")))))</f>
      </c>
      <c r="G2104" t="n" s="16">
        <f aca="0">IF(B2104="","",SUMPRODUCT((실물목록!$P$2:$P$1001&lt;&gt;"")*ISNUMBER(SEARCH(실물목록!$P$2:$P$1001,I2104))*(실물목록!$Q$2:$Q$1001&lt;&gt;"")*ISNUMBER(SEARCH(실물목록!$Q$2:$Q$1001,I2104))*(실물목록!$R$2:$R$1001="")*(실물목록!$O$2:$O$1001&lt;&gt;"")*(실물목록!$O$2:$O$1001=H2104)))</f>
      </c>
      <c r="H2104" t="str">
        <f>IFERROR(IF(AND(LEN(SUBSTITUTE(SUBSTITUTE(SUBSTITUTE(TRIM(A2104&amp;""),CHAR(160),"")," ",""),"년",""))=4,VALUE(SUBSTITUTE(SUBSTITUTE(SUBSTITUTE(TRIM(A2104&amp;""),CHAR(160),"")," ",""),"년",""))&gt;=1900,VALUE(SUBSTITUTE(SUBSTITUTE(SUBSTITUTE(TRIM(A2104&amp;""),CHAR(160),"")," ",""),"년",""))&lt;=2099,TEXT(VALUE(SUBSTITUTE(SUBSTITUTE(SUBSTITUTE(TRIM(A2104&amp;""),CHAR(160),"")," ",""),"년","")),"0000")=SUBSTITUTE(SUBSTITUTE(SUBSTITUTE(TRIM(A2104&amp;""),CHAR(160),"")," ",""),"년","")),SUBSTITUTE(SUBSTITUTE(SUBSTITUTE(TRIM(A2104&amp;""),CHAR(160),"")," ",""),"년",""),""),"")</f>
      </c>
      <c r="I2104" t="str">
        <f>SUBSTITUTE(SUBSTITUTE(SUBSTITUTE(SUBSTITUTE(SUBSTITUTE(TRIM(B2104&amp;""),CHAR(160),"")," ",""),"초등학교","초"),"중학교","중"),"고등학교","고")</f>
      </c>
    </row>
    <row r="2105" customFormat="false" ht="15" hidden="false" customHeight="false" outlineLevel="0" collapsed="false">
      <c r="A2105" s="8"/>
      <c r="B2105" s="8"/>
      <c r="C2105" s="8"/>
      <c r="D2105" s="8"/>
      <c r="E2105" s="8"/>
      <c r="F2105" t="str" s="15">
        <f aca="0">IF(B2105="","",IF(H2105="","확인필요(입력누락)",IF(SUMPRODUCT((실물목록!$P$2:$P$1001&lt;&gt;"")*ISNUMBER(SEARCH(실물목록!$P$2:$P$1001,I2105))*(실물목록!$Q$2:$Q$1001&lt;&gt;"")*ISNUMBER(SEARCH(실물목록!$Q$2:$Q$1001,I2105))*(실물목록!$R$2:$R$1001="")*(실물목록!$O$2:$O$1001&lt;&gt;"")*(실물목록!$O$2:$O$1001=H2105))&gt;0,"실물 있음",IF(SUMPRODUCT((실물목록!$P$2:$P$1001&lt;&gt;"")*ISNUMBER(SEARCH(실물목록!$P$2:$P$1001,I2105))*(실물목록!$R$2:$R$1001&lt;&gt;""))&gt;0,"확인필요(입력누락)",IF(SUMPRODUCT((실물목록!$P$2:$P$1001&lt;&gt;"")*ISNUMBER(SEARCH(실물목록!$P$2:$P$1001,I2105))*(실물목록!$Q$2:$Q$1001&lt;&gt;"")*ISNUMBER(SEARCH(실물목록!$Q$2:$Q$1001,I2105))*(실물목록!$R$2:$R$1001="")*(실물목록!$O$2:$O$1001&lt;&gt;""))&gt;0,"확인필요(연도다름)","실물 없음")))))</f>
      </c>
      <c r="G2105" t="n" s="16">
        <f aca="0">IF(B2105="","",SUMPRODUCT((실물목록!$P$2:$P$1001&lt;&gt;"")*ISNUMBER(SEARCH(실물목록!$P$2:$P$1001,I2105))*(실물목록!$Q$2:$Q$1001&lt;&gt;"")*ISNUMBER(SEARCH(실물목록!$Q$2:$Q$1001,I2105))*(실물목록!$R$2:$R$1001="")*(실물목록!$O$2:$O$1001&lt;&gt;"")*(실물목록!$O$2:$O$1001=H2105)))</f>
      </c>
      <c r="H2105" t="str">
        <f>IFERROR(IF(AND(LEN(SUBSTITUTE(SUBSTITUTE(SUBSTITUTE(TRIM(A2105&amp;""),CHAR(160),"")," ",""),"년",""))=4,VALUE(SUBSTITUTE(SUBSTITUTE(SUBSTITUTE(TRIM(A2105&amp;""),CHAR(160),"")," ",""),"년",""))&gt;=1900,VALUE(SUBSTITUTE(SUBSTITUTE(SUBSTITUTE(TRIM(A2105&amp;""),CHAR(160),"")," ",""),"년",""))&lt;=2099,TEXT(VALUE(SUBSTITUTE(SUBSTITUTE(SUBSTITUTE(TRIM(A2105&amp;""),CHAR(160),"")," ",""),"년","")),"0000")=SUBSTITUTE(SUBSTITUTE(SUBSTITUTE(TRIM(A2105&amp;""),CHAR(160),"")," ",""),"년","")),SUBSTITUTE(SUBSTITUTE(SUBSTITUTE(TRIM(A2105&amp;""),CHAR(160),"")," ",""),"년",""),""),"")</f>
      </c>
      <c r="I2105" t="str">
        <f>SUBSTITUTE(SUBSTITUTE(SUBSTITUTE(SUBSTITUTE(SUBSTITUTE(TRIM(B2105&amp;""),CHAR(160),"")," ",""),"초등학교","초"),"중학교","중"),"고등학교","고")</f>
      </c>
    </row>
    <row r="2106" customFormat="false" ht="15" hidden="false" customHeight="false" outlineLevel="0" collapsed="false">
      <c r="A2106" s="8"/>
      <c r="B2106" s="8"/>
      <c r="C2106" s="8"/>
      <c r="D2106" s="8"/>
      <c r="E2106" s="8"/>
      <c r="F2106" t="str" s="15">
        <f aca="0">IF(B2106="","",IF(H2106="","확인필요(입력누락)",IF(SUMPRODUCT((실물목록!$P$2:$P$1001&lt;&gt;"")*ISNUMBER(SEARCH(실물목록!$P$2:$P$1001,I2106))*(실물목록!$Q$2:$Q$1001&lt;&gt;"")*ISNUMBER(SEARCH(실물목록!$Q$2:$Q$1001,I2106))*(실물목록!$R$2:$R$1001="")*(실물목록!$O$2:$O$1001&lt;&gt;"")*(실물목록!$O$2:$O$1001=H2106))&gt;0,"실물 있음",IF(SUMPRODUCT((실물목록!$P$2:$P$1001&lt;&gt;"")*ISNUMBER(SEARCH(실물목록!$P$2:$P$1001,I2106))*(실물목록!$R$2:$R$1001&lt;&gt;""))&gt;0,"확인필요(입력누락)",IF(SUMPRODUCT((실물목록!$P$2:$P$1001&lt;&gt;"")*ISNUMBER(SEARCH(실물목록!$P$2:$P$1001,I2106))*(실물목록!$Q$2:$Q$1001&lt;&gt;"")*ISNUMBER(SEARCH(실물목록!$Q$2:$Q$1001,I2106))*(실물목록!$R$2:$R$1001="")*(실물목록!$O$2:$O$1001&lt;&gt;""))&gt;0,"확인필요(연도다름)","실물 없음")))))</f>
      </c>
      <c r="G2106" t="n" s="16">
        <f aca="0">IF(B2106="","",SUMPRODUCT((실물목록!$P$2:$P$1001&lt;&gt;"")*ISNUMBER(SEARCH(실물목록!$P$2:$P$1001,I2106))*(실물목록!$Q$2:$Q$1001&lt;&gt;"")*ISNUMBER(SEARCH(실물목록!$Q$2:$Q$1001,I2106))*(실물목록!$R$2:$R$1001="")*(실물목록!$O$2:$O$1001&lt;&gt;"")*(실물목록!$O$2:$O$1001=H2106)))</f>
      </c>
      <c r="H2106" t="str">
        <f>IFERROR(IF(AND(LEN(SUBSTITUTE(SUBSTITUTE(SUBSTITUTE(TRIM(A2106&amp;""),CHAR(160),"")," ",""),"년",""))=4,VALUE(SUBSTITUTE(SUBSTITUTE(SUBSTITUTE(TRIM(A2106&amp;""),CHAR(160),"")," ",""),"년",""))&gt;=1900,VALUE(SUBSTITUTE(SUBSTITUTE(SUBSTITUTE(TRIM(A2106&amp;""),CHAR(160),"")," ",""),"년",""))&lt;=2099,TEXT(VALUE(SUBSTITUTE(SUBSTITUTE(SUBSTITUTE(TRIM(A2106&amp;""),CHAR(160),"")," ",""),"년","")),"0000")=SUBSTITUTE(SUBSTITUTE(SUBSTITUTE(TRIM(A2106&amp;""),CHAR(160),"")," ",""),"년","")),SUBSTITUTE(SUBSTITUTE(SUBSTITUTE(TRIM(A2106&amp;""),CHAR(160),"")," ",""),"년",""),""),"")</f>
      </c>
      <c r="I2106" t="str">
        <f>SUBSTITUTE(SUBSTITUTE(SUBSTITUTE(SUBSTITUTE(SUBSTITUTE(TRIM(B2106&amp;""),CHAR(160),"")," ",""),"초등학교","초"),"중학교","중"),"고등학교","고")</f>
      </c>
    </row>
    <row r="2107" customFormat="false" ht="15" hidden="false" customHeight="false" outlineLevel="0" collapsed="false">
      <c r="A2107" s="8"/>
      <c r="B2107" s="8"/>
      <c r="C2107" s="8"/>
      <c r="D2107" s="8"/>
      <c r="E2107" s="8"/>
      <c r="F2107" t="str" s="15">
        <f aca="0">IF(B2107="","",IF(H2107="","확인필요(입력누락)",IF(SUMPRODUCT((실물목록!$P$2:$P$1001&lt;&gt;"")*ISNUMBER(SEARCH(실물목록!$P$2:$P$1001,I2107))*(실물목록!$Q$2:$Q$1001&lt;&gt;"")*ISNUMBER(SEARCH(실물목록!$Q$2:$Q$1001,I2107))*(실물목록!$R$2:$R$1001="")*(실물목록!$O$2:$O$1001&lt;&gt;"")*(실물목록!$O$2:$O$1001=H2107))&gt;0,"실물 있음",IF(SUMPRODUCT((실물목록!$P$2:$P$1001&lt;&gt;"")*ISNUMBER(SEARCH(실물목록!$P$2:$P$1001,I2107))*(실물목록!$R$2:$R$1001&lt;&gt;""))&gt;0,"확인필요(입력누락)",IF(SUMPRODUCT((실물목록!$P$2:$P$1001&lt;&gt;"")*ISNUMBER(SEARCH(실물목록!$P$2:$P$1001,I2107))*(실물목록!$Q$2:$Q$1001&lt;&gt;"")*ISNUMBER(SEARCH(실물목록!$Q$2:$Q$1001,I2107))*(실물목록!$R$2:$R$1001="")*(실물목록!$O$2:$O$1001&lt;&gt;""))&gt;0,"확인필요(연도다름)","실물 없음")))))</f>
      </c>
      <c r="G2107" t="n" s="16">
        <f aca="0">IF(B2107="","",SUMPRODUCT((실물목록!$P$2:$P$1001&lt;&gt;"")*ISNUMBER(SEARCH(실물목록!$P$2:$P$1001,I2107))*(실물목록!$Q$2:$Q$1001&lt;&gt;"")*ISNUMBER(SEARCH(실물목록!$Q$2:$Q$1001,I2107))*(실물목록!$R$2:$R$1001="")*(실물목록!$O$2:$O$1001&lt;&gt;"")*(실물목록!$O$2:$O$1001=H2107)))</f>
      </c>
      <c r="H2107" t="str">
        <f>IFERROR(IF(AND(LEN(SUBSTITUTE(SUBSTITUTE(SUBSTITUTE(TRIM(A2107&amp;""),CHAR(160),"")," ",""),"년",""))=4,VALUE(SUBSTITUTE(SUBSTITUTE(SUBSTITUTE(TRIM(A2107&amp;""),CHAR(160),"")," ",""),"년",""))&gt;=1900,VALUE(SUBSTITUTE(SUBSTITUTE(SUBSTITUTE(TRIM(A2107&amp;""),CHAR(160),"")," ",""),"년",""))&lt;=2099,TEXT(VALUE(SUBSTITUTE(SUBSTITUTE(SUBSTITUTE(TRIM(A2107&amp;""),CHAR(160),"")," ",""),"년","")),"0000")=SUBSTITUTE(SUBSTITUTE(SUBSTITUTE(TRIM(A2107&amp;""),CHAR(160),"")," ",""),"년","")),SUBSTITUTE(SUBSTITUTE(SUBSTITUTE(TRIM(A2107&amp;""),CHAR(160),"")," ",""),"년",""),""),"")</f>
      </c>
      <c r="I2107" t="str">
        <f>SUBSTITUTE(SUBSTITUTE(SUBSTITUTE(SUBSTITUTE(SUBSTITUTE(TRIM(B2107&amp;""),CHAR(160),"")," ",""),"초등학교","초"),"중학교","중"),"고등학교","고")</f>
      </c>
    </row>
    <row r="2108" customFormat="false" ht="15" hidden="false" customHeight="false" outlineLevel="0" collapsed="false">
      <c r="A2108" s="8"/>
      <c r="B2108" s="8"/>
      <c r="C2108" s="8"/>
      <c r="D2108" s="8"/>
      <c r="E2108" s="8"/>
      <c r="F2108" t="str" s="15">
        <f aca="0">IF(B2108="","",IF(H2108="","확인필요(입력누락)",IF(SUMPRODUCT((실물목록!$P$2:$P$1001&lt;&gt;"")*ISNUMBER(SEARCH(실물목록!$P$2:$P$1001,I2108))*(실물목록!$Q$2:$Q$1001&lt;&gt;"")*ISNUMBER(SEARCH(실물목록!$Q$2:$Q$1001,I2108))*(실물목록!$R$2:$R$1001="")*(실물목록!$O$2:$O$1001&lt;&gt;"")*(실물목록!$O$2:$O$1001=H2108))&gt;0,"실물 있음",IF(SUMPRODUCT((실물목록!$P$2:$P$1001&lt;&gt;"")*ISNUMBER(SEARCH(실물목록!$P$2:$P$1001,I2108))*(실물목록!$R$2:$R$1001&lt;&gt;""))&gt;0,"확인필요(입력누락)",IF(SUMPRODUCT((실물목록!$P$2:$P$1001&lt;&gt;"")*ISNUMBER(SEARCH(실물목록!$P$2:$P$1001,I2108))*(실물목록!$Q$2:$Q$1001&lt;&gt;"")*ISNUMBER(SEARCH(실물목록!$Q$2:$Q$1001,I2108))*(실물목록!$R$2:$R$1001="")*(실물목록!$O$2:$O$1001&lt;&gt;""))&gt;0,"확인필요(연도다름)","실물 없음")))))</f>
      </c>
      <c r="G2108" t="n" s="16">
        <f aca="0">IF(B2108="","",SUMPRODUCT((실물목록!$P$2:$P$1001&lt;&gt;"")*ISNUMBER(SEARCH(실물목록!$P$2:$P$1001,I2108))*(실물목록!$Q$2:$Q$1001&lt;&gt;"")*ISNUMBER(SEARCH(실물목록!$Q$2:$Q$1001,I2108))*(실물목록!$R$2:$R$1001="")*(실물목록!$O$2:$O$1001&lt;&gt;"")*(실물목록!$O$2:$O$1001=H2108)))</f>
      </c>
      <c r="H2108" t="str">
        <f>IFERROR(IF(AND(LEN(SUBSTITUTE(SUBSTITUTE(SUBSTITUTE(TRIM(A2108&amp;""),CHAR(160),"")," ",""),"년",""))=4,VALUE(SUBSTITUTE(SUBSTITUTE(SUBSTITUTE(TRIM(A2108&amp;""),CHAR(160),"")," ",""),"년",""))&gt;=1900,VALUE(SUBSTITUTE(SUBSTITUTE(SUBSTITUTE(TRIM(A2108&amp;""),CHAR(160),"")," ",""),"년",""))&lt;=2099,TEXT(VALUE(SUBSTITUTE(SUBSTITUTE(SUBSTITUTE(TRIM(A2108&amp;""),CHAR(160),"")," ",""),"년","")),"0000")=SUBSTITUTE(SUBSTITUTE(SUBSTITUTE(TRIM(A2108&amp;""),CHAR(160),"")," ",""),"년","")),SUBSTITUTE(SUBSTITUTE(SUBSTITUTE(TRIM(A2108&amp;""),CHAR(160),"")," ",""),"년",""),""),"")</f>
      </c>
      <c r="I2108" t="str">
        <f>SUBSTITUTE(SUBSTITUTE(SUBSTITUTE(SUBSTITUTE(SUBSTITUTE(TRIM(B2108&amp;""),CHAR(160),"")," ",""),"초등학교","초"),"중학교","중"),"고등학교","고")</f>
      </c>
    </row>
    <row r="2109" customFormat="false" ht="15" hidden="false" customHeight="false" outlineLevel="0" collapsed="false">
      <c r="A2109" s="8"/>
      <c r="B2109" s="8"/>
      <c r="C2109" s="8"/>
      <c r="D2109" s="8"/>
      <c r="E2109" s="8"/>
      <c r="F2109" t="str" s="15">
        <f aca="0">IF(B2109="","",IF(H2109="","확인필요(입력누락)",IF(SUMPRODUCT((실물목록!$P$2:$P$1001&lt;&gt;"")*ISNUMBER(SEARCH(실물목록!$P$2:$P$1001,I2109))*(실물목록!$Q$2:$Q$1001&lt;&gt;"")*ISNUMBER(SEARCH(실물목록!$Q$2:$Q$1001,I2109))*(실물목록!$R$2:$R$1001="")*(실물목록!$O$2:$O$1001&lt;&gt;"")*(실물목록!$O$2:$O$1001=H2109))&gt;0,"실물 있음",IF(SUMPRODUCT((실물목록!$P$2:$P$1001&lt;&gt;"")*ISNUMBER(SEARCH(실물목록!$P$2:$P$1001,I2109))*(실물목록!$R$2:$R$1001&lt;&gt;""))&gt;0,"확인필요(입력누락)",IF(SUMPRODUCT((실물목록!$P$2:$P$1001&lt;&gt;"")*ISNUMBER(SEARCH(실물목록!$P$2:$P$1001,I2109))*(실물목록!$Q$2:$Q$1001&lt;&gt;"")*ISNUMBER(SEARCH(실물목록!$Q$2:$Q$1001,I2109))*(실물목록!$R$2:$R$1001="")*(실물목록!$O$2:$O$1001&lt;&gt;""))&gt;0,"확인필요(연도다름)","실물 없음")))))</f>
      </c>
      <c r="G2109" t="n" s="16">
        <f aca="0">IF(B2109="","",SUMPRODUCT((실물목록!$P$2:$P$1001&lt;&gt;"")*ISNUMBER(SEARCH(실물목록!$P$2:$P$1001,I2109))*(실물목록!$Q$2:$Q$1001&lt;&gt;"")*ISNUMBER(SEARCH(실물목록!$Q$2:$Q$1001,I2109))*(실물목록!$R$2:$R$1001="")*(실물목록!$O$2:$O$1001&lt;&gt;"")*(실물목록!$O$2:$O$1001=H2109)))</f>
      </c>
      <c r="H2109" t="str">
        <f>IFERROR(IF(AND(LEN(SUBSTITUTE(SUBSTITUTE(SUBSTITUTE(TRIM(A2109&amp;""),CHAR(160),"")," ",""),"년",""))=4,VALUE(SUBSTITUTE(SUBSTITUTE(SUBSTITUTE(TRIM(A2109&amp;""),CHAR(160),"")," ",""),"년",""))&gt;=1900,VALUE(SUBSTITUTE(SUBSTITUTE(SUBSTITUTE(TRIM(A2109&amp;""),CHAR(160),"")," ",""),"년",""))&lt;=2099,TEXT(VALUE(SUBSTITUTE(SUBSTITUTE(SUBSTITUTE(TRIM(A2109&amp;""),CHAR(160),"")," ",""),"년","")),"0000")=SUBSTITUTE(SUBSTITUTE(SUBSTITUTE(TRIM(A2109&amp;""),CHAR(160),"")," ",""),"년","")),SUBSTITUTE(SUBSTITUTE(SUBSTITUTE(TRIM(A2109&amp;""),CHAR(160),"")," ",""),"년",""),""),"")</f>
      </c>
      <c r="I2109" t="str">
        <f>SUBSTITUTE(SUBSTITUTE(SUBSTITUTE(SUBSTITUTE(SUBSTITUTE(TRIM(B2109&amp;""),CHAR(160),"")," ",""),"초등학교","초"),"중학교","중"),"고등학교","고")</f>
      </c>
    </row>
    <row r="2110" customFormat="false" ht="15" hidden="false" customHeight="false" outlineLevel="0" collapsed="false">
      <c r="A2110" s="8"/>
      <c r="B2110" s="8"/>
      <c r="C2110" s="8"/>
      <c r="D2110" s="8"/>
      <c r="E2110" s="8"/>
      <c r="F2110" t="str" s="15">
        <f aca="0">IF(B2110="","",IF(H2110="","확인필요(입력누락)",IF(SUMPRODUCT((실물목록!$P$2:$P$1001&lt;&gt;"")*ISNUMBER(SEARCH(실물목록!$P$2:$P$1001,I2110))*(실물목록!$Q$2:$Q$1001&lt;&gt;"")*ISNUMBER(SEARCH(실물목록!$Q$2:$Q$1001,I2110))*(실물목록!$R$2:$R$1001="")*(실물목록!$O$2:$O$1001&lt;&gt;"")*(실물목록!$O$2:$O$1001=H2110))&gt;0,"실물 있음",IF(SUMPRODUCT((실물목록!$P$2:$P$1001&lt;&gt;"")*ISNUMBER(SEARCH(실물목록!$P$2:$P$1001,I2110))*(실물목록!$R$2:$R$1001&lt;&gt;""))&gt;0,"확인필요(입력누락)",IF(SUMPRODUCT((실물목록!$P$2:$P$1001&lt;&gt;"")*ISNUMBER(SEARCH(실물목록!$P$2:$P$1001,I2110))*(실물목록!$Q$2:$Q$1001&lt;&gt;"")*ISNUMBER(SEARCH(실물목록!$Q$2:$Q$1001,I2110))*(실물목록!$R$2:$R$1001="")*(실물목록!$O$2:$O$1001&lt;&gt;""))&gt;0,"확인필요(연도다름)","실물 없음")))))</f>
      </c>
      <c r="G2110" t="n" s="16">
        <f aca="0">IF(B2110="","",SUMPRODUCT((실물목록!$P$2:$P$1001&lt;&gt;"")*ISNUMBER(SEARCH(실물목록!$P$2:$P$1001,I2110))*(실물목록!$Q$2:$Q$1001&lt;&gt;"")*ISNUMBER(SEARCH(실물목록!$Q$2:$Q$1001,I2110))*(실물목록!$R$2:$R$1001="")*(실물목록!$O$2:$O$1001&lt;&gt;"")*(실물목록!$O$2:$O$1001=H2110)))</f>
      </c>
      <c r="H2110" t="str">
        <f>IFERROR(IF(AND(LEN(SUBSTITUTE(SUBSTITUTE(SUBSTITUTE(TRIM(A2110&amp;""),CHAR(160),"")," ",""),"년",""))=4,VALUE(SUBSTITUTE(SUBSTITUTE(SUBSTITUTE(TRIM(A2110&amp;""),CHAR(160),"")," ",""),"년",""))&gt;=1900,VALUE(SUBSTITUTE(SUBSTITUTE(SUBSTITUTE(TRIM(A2110&amp;""),CHAR(160),"")," ",""),"년",""))&lt;=2099,TEXT(VALUE(SUBSTITUTE(SUBSTITUTE(SUBSTITUTE(TRIM(A2110&amp;""),CHAR(160),"")," ",""),"년","")),"0000")=SUBSTITUTE(SUBSTITUTE(SUBSTITUTE(TRIM(A2110&amp;""),CHAR(160),"")," ",""),"년","")),SUBSTITUTE(SUBSTITUTE(SUBSTITUTE(TRIM(A2110&amp;""),CHAR(160),"")," ",""),"년",""),""),"")</f>
      </c>
      <c r="I2110" t="str">
        <f>SUBSTITUTE(SUBSTITUTE(SUBSTITUTE(SUBSTITUTE(SUBSTITUTE(TRIM(B2110&amp;""),CHAR(160),"")," ",""),"초등학교","초"),"중학교","중"),"고등학교","고")</f>
      </c>
    </row>
    <row r="2111" customFormat="false" ht="15" hidden="false" customHeight="false" outlineLevel="0" collapsed="false">
      <c r="A2111" s="8"/>
      <c r="B2111" s="8"/>
      <c r="C2111" s="8"/>
      <c r="D2111" s="8"/>
      <c r="E2111" s="8"/>
      <c r="F2111" t="str" s="15">
        <f aca="0">IF(B2111="","",IF(H2111="","확인필요(입력누락)",IF(SUMPRODUCT((실물목록!$P$2:$P$1001&lt;&gt;"")*ISNUMBER(SEARCH(실물목록!$P$2:$P$1001,I2111))*(실물목록!$Q$2:$Q$1001&lt;&gt;"")*ISNUMBER(SEARCH(실물목록!$Q$2:$Q$1001,I2111))*(실물목록!$R$2:$R$1001="")*(실물목록!$O$2:$O$1001&lt;&gt;"")*(실물목록!$O$2:$O$1001=H2111))&gt;0,"실물 있음",IF(SUMPRODUCT((실물목록!$P$2:$P$1001&lt;&gt;"")*ISNUMBER(SEARCH(실물목록!$P$2:$P$1001,I2111))*(실물목록!$R$2:$R$1001&lt;&gt;""))&gt;0,"확인필요(입력누락)",IF(SUMPRODUCT((실물목록!$P$2:$P$1001&lt;&gt;"")*ISNUMBER(SEARCH(실물목록!$P$2:$P$1001,I2111))*(실물목록!$Q$2:$Q$1001&lt;&gt;"")*ISNUMBER(SEARCH(실물목록!$Q$2:$Q$1001,I2111))*(실물목록!$R$2:$R$1001="")*(실물목록!$O$2:$O$1001&lt;&gt;""))&gt;0,"확인필요(연도다름)","실물 없음")))))</f>
      </c>
      <c r="G2111" t="n" s="16">
        <f aca="0">IF(B2111="","",SUMPRODUCT((실물목록!$P$2:$P$1001&lt;&gt;"")*ISNUMBER(SEARCH(실물목록!$P$2:$P$1001,I2111))*(실물목록!$Q$2:$Q$1001&lt;&gt;"")*ISNUMBER(SEARCH(실물목록!$Q$2:$Q$1001,I2111))*(실물목록!$R$2:$R$1001="")*(실물목록!$O$2:$O$1001&lt;&gt;"")*(실물목록!$O$2:$O$1001=H2111)))</f>
      </c>
      <c r="H2111" t="str">
        <f>IFERROR(IF(AND(LEN(SUBSTITUTE(SUBSTITUTE(SUBSTITUTE(TRIM(A2111&amp;""),CHAR(160),"")," ",""),"년",""))=4,VALUE(SUBSTITUTE(SUBSTITUTE(SUBSTITUTE(TRIM(A2111&amp;""),CHAR(160),"")," ",""),"년",""))&gt;=1900,VALUE(SUBSTITUTE(SUBSTITUTE(SUBSTITUTE(TRIM(A2111&amp;""),CHAR(160),"")," ",""),"년",""))&lt;=2099,TEXT(VALUE(SUBSTITUTE(SUBSTITUTE(SUBSTITUTE(TRIM(A2111&amp;""),CHAR(160),"")," ",""),"년","")),"0000")=SUBSTITUTE(SUBSTITUTE(SUBSTITUTE(TRIM(A2111&amp;""),CHAR(160),"")," ",""),"년","")),SUBSTITUTE(SUBSTITUTE(SUBSTITUTE(TRIM(A2111&amp;""),CHAR(160),"")," ",""),"년",""),""),"")</f>
      </c>
      <c r="I2111" t="str">
        <f>SUBSTITUTE(SUBSTITUTE(SUBSTITUTE(SUBSTITUTE(SUBSTITUTE(TRIM(B2111&amp;""),CHAR(160),"")," ",""),"초등학교","초"),"중학교","중"),"고등학교","고")</f>
      </c>
    </row>
    <row r="2112" customFormat="false" ht="15" hidden="false" customHeight="false" outlineLevel="0" collapsed="false">
      <c r="A2112" s="8"/>
      <c r="B2112" s="8"/>
      <c r="C2112" s="8"/>
      <c r="D2112" s="8"/>
      <c r="E2112" s="8"/>
      <c r="F2112" t="str" s="15">
        <f aca="0">IF(B2112="","",IF(H2112="","확인필요(입력누락)",IF(SUMPRODUCT((실물목록!$P$2:$P$1001&lt;&gt;"")*ISNUMBER(SEARCH(실물목록!$P$2:$P$1001,I2112))*(실물목록!$Q$2:$Q$1001&lt;&gt;"")*ISNUMBER(SEARCH(실물목록!$Q$2:$Q$1001,I2112))*(실물목록!$R$2:$R$1001="")*(실물목록!$O$2:$O$1001&lt;&gt;"")*(실물목록!$O$2:$O$1001=H2112))&gt;0,"실물 있음",IF(SUMPRODUCT((실물목록!$P$2:$P$1001&lt;&gt;"")*ISNUMBER(SEARCH(실물목록!$P$2:$P$1001,I2112))*(실물목록!$R$2:$R$1001&lt;&gt;""))&gt;0,"확인필요(입력누락)",IF(SUMPRODUCT((실물목록!$P$2:$P$1001&lt;&gt;"")*ISNUMBER(SEARCH(실물목록!$P$2:$P$1001,I2112))*(실물목록!$Q$2:$Q$1001&lt;&gt;"")*ISNUMBER(SEARCH(실물목록!$Q$2:$Q$1001,I2112))*(실물목록!$R$2:$R$1001="")*(실물목록!$O$2:$O$1001&lt;&gt;""))&gt;0,"확인필요(연도다름)","실물 없음")))))</f>
      </c>
      <c r="G2112" t="n" s="16">
        <f aca="0">IF(B2112="","",SUMPRODUCT((실물목록!$P$2:$P$1001&lt;&gt;"")*ISNUMBER(SEARCH(실물목록!$P$2:$P$1001,I2112))*(실물목록!$Q$2:$Q$1001&lt;&gt;"")*ISNUMBER(SEARCH(실물목록!$Q$2:$Q$1001,I2112))*(실물목록!$R$2:$R$1001="")*(실물목록!$O$2:$O$1001&lt;&gt;"")*(실물목록!$O$2:$O$1001=H2112)))</f>
      </c>
      <c r="H2112" t="str">
        <f>IFERROR(IF(AND(LEN(SUBSTITUTE(SUBSTITUTE(SUBSTITUTE(TRIM(A2112&amp;""),CHAR(160),"")," ",""),"년",""))=4,VALUE(SUBSTITUTE(SUBSTITUTE(SUBSTITUTE(TRIM(A2112&amp;""),CHAR(160),"")," ",""),"년",""))&gt;=1900,VALUE(SUBSTITUTE(SUBSTITUTE(SUBSTITUTE(TRIM(A2112&amp;""),CHAR(160),"")," ",""),"년",""))&lt;=2099,TEXT(VALUE(SUBSTITUTE(SUBSTITUTE(SUBSTITUTE(TRIM(A2112&amp;""),CHAR(160),"")," ",""),"년","")),"0000")=SUBSTITUTE(SUBSTITUTE(SUBSTITUTE(TRIM(A2112&amp;""),CHAR(160),"")," ",""),"년","")),SUBSTITUTE(SUBSTITUTE(SUBSTITUTE(TRIM(A2112&amp;""),CHAR(160),"")," ",""),"년",""),""),"")</f>
      </c>
      <c r="I2112" t="str">
        <f>SUBSTITUTE(SUBSTITUTE(SUBSTITUTE(SUBSTITUTE(SUBSTITUTE(TRIM(B2112&amp;""),CHAR(160),"")," ",""),"초등학교","초"),"중학교","중"),"고등학교","고")</f>
      </c>
    </row>
    <row r="2113" customFormat="false" ht="15" hidden="false" customHeight="false" outlineLevel="0" collapsed="false">
      <c r="A2113" s="8"/>
      <c r="B2113" s="8"/>
      <c r="C2113" s="8"/>
      <c r="D2113" s="8"/>
      <c r="E2113" s="8"/>
      <c r="F2113" t="str" s="15">
        <f aca="0">IF(B2113="","",IF(H2113="","확인필요(입력누락)",IF(SUMPRODUCT((실물목록!$P$2:$P$1001&lt;&gt;"")*ISNUMBER(SEARCH(실물목록!$P$2:$P$1001,I2113))*(실물목록!$Q$2:$Q$1001&lt;&gt;"")*ISNUMBER(SEARCH(실물목록!$Q$2:$Q$1001,I2113))*(실물목록!$R$2:$R$1001="")*(실물목록!$O$2:$O$1001&lt;&gt;"")*(실물목록!$O$2:$O$1001=H2113))&gt;0,"실물 있음",IF(SUMPRODUCT((실물목록!$P$2:$P$1001&lt;&gt;"")*ISNUMBER(SEARCH(실물목록!$P$2:$P$1001,I2113))*(실물목록!$R$2:$R$1001&lt;&gt;""))&gt;0,"확인필요(입력누락)",IF(SUMPRODUCT((실물목록!$P$2:$P$1001&lt;&gt;"")*ISNUMBER(SEARCH(실물목록!$P$2:$P$1001,I2113))*(실물목록!$Q$2:$Q$1001&lt;&gt;"")*ISNUMBER(SEARCH(실물목록!$Q$2:$Q$1001,I2113))*(실물목록!$R$2:$R$1001="")*(실물목록!$O$2:$O$1001&lt;&gt;""))&gt;0,"확인필요(연도다름)","실물 없음")))))</f>
      </c>
      <c r="G2113" t="n" s="16">
        <f aca="0">IF(B2113="","",SUMPRODUCT((실물목록!$P$2:$P$1001&lt;&gt;"")*ISNUMBER(SEARCH(실물목록!$P$2:$P$1001,I2113))*(실물목록!$Q$2:$Q$1001&lt;&gt;"")*ISNUMBER(SEARCH(실물목록!$Q$2:$Q$1001,I2113))*(실물목록!$R$2:$R$1001="")*(실물목록!$O$2:$O$1001&lt;&gt;"")*(실물목록!$O$2:$O$1001=H2113)))</f>
      </c>
      <c r="H2113" t="str">
        <f>IFERROR(IF(AND(LEN(SUBSTITUTE(SUBSTITUTE(SUBSTITUTE(TRIM(A2113&amp;""),CHAR(160),"")," ",""),"년",""))=4,VALUE(SUBSTITUTE(SUBSTITUTE(SUBSTITUTE(TRIM(A2113&amp;""),CHAR(160),"")," ",""),"년",""))&gt;=1900,VALUE(SUBSTITUTE(SUBSTITUTE(SUBSTITUTE(TRIM(A2113&amp;""),CHAR(160),"")," ",""),"년",""))&lt;=2099,TEXT(VALUE(SUBSTITUTE(SUBSTITUTE(SUBSTITUTE(TRIM(A2113&amp;""),CHAR(160),"")," ",""),"년","")),"0000")=SUBSTITUTE(SUBSTITUTE(SUBSTITUTE(TRIM(A2113&amp;""),CHAR(160),"")," ",""),"년","")),SUBSTITUTE(SUBSTITUTE(SUBSTITUTE(TRIM(A2113&amp;""),CHAR(160),"")," ",""),"년",""),""),"")</f>
      </c>
      <c r="I2113" t="str">
        <f>SUBSTITUTE(SUBSTITUTE(SUBSTITUTE(SUBSTITUTE(SUBSTITUTE(TRIM(B2113&amp;""),CHAR(160),"")," ",""),"초등학교","초"),"중학교","중"),"고등학교","고")</f>
      </c>
    </row>
    <row r="2114" customFormat="false" ht="15" hidden="false" customHeight="false" outlineLevel="0" collapsed="false">
      <c r="A2114" s="8"/>
      <c r="B2114" s="8"/>
      <c r="C2114" s="8"/>
      <c r="D2114" s="8"/>
      <c r="E2114" s="8"/>
      <c r="F2114" t="str" s="15">
        <f aca="0">IF(B2114="","",IF(H2114="","확인필요(입력누락)",IF(SUMPRODUCT((실물목록!$P$2:$P$1001&lt;&gt;"")*ISNUMBER(SEARCH(실물목록!$P$2:$P$1001,I2114))*(실물목록!$Q$2:$Q$1001&lt;&gt;"")*ISNUMBER(SEARCH(실물목록!$Q$2:$Q$1001,I2114))*(실물목록!$R$2:$R$1001="")*(실물목록!$O$2:$O$1001&lt;&gt;"")*(실물목록!$O$2:$O$1001=H2114))&gt;0,"실물 있음",IF(SUMPRODUCT((실물목록!$P$2:$P$1001&lt;&gt;"")*ISNUMBER(SEARCH(실물목록!$P$2:$P$1001,I2114))*(실물목록!$R$2:$R$1001&lt;&gt;""))&gt;0,"확인필요(입력누락)",IF(SUMPRODUCT((실물목록!$P$2:$P$1001&lt;&gt;"")*ISNUMBER(SEARCH(실물목록!$P$2:$P$1001,I2114))*(실물목록!$Q$2:$Q$1001&lt;&gt;"")*ISNUMBER(SEARCH(실물목록!$Q$2:$Q$1001,I2114))*(실물목록!$R$2:$R$1001="")*(실물목록!$O$2:$O$1001&lt;&gt;""))&gt;0,"확인필요(연도다름)","실물 없음")))))</f>
      </c>
      <c r="G2114" t="n" s="16">
        <f aca="0">IF(B2114="","",SUMPRODUCT((실물목록!$P$2:$P$1001&lt;&gt;"")*ISNUMBER(SEARCH(실물목록!$P$2:$P$1001,I2114))*(실물목록!$Q$2:$Q$1001&lt;&gt;"")*ISNUMBER(SEARCH(실물목록!$Q$2:$Q$1001,I2114))*(실물목록!$R$2:$R$1001="")*(실물목록!$O$2:$O$1001&lt;&gt;"")*(실물목록!$O$2:$O$1001=H2114)))</f>
      </c>
      <c r="H2114" t="str">
        <f>IFERROR(IF(AND(LEN(SUBSTITUTE(SUBSTITUTE(SUBSTITUTE(TRIM(A2114&amp;""),CHAR(160),"")," ",""),"년",""))=4,VALUE(SUBSTITUTE(SUBSTITUTE(SUBSTITUTE(TRIM(A2114&amp;""),CHAR(160),"")," ",""),"년",""))&gt;=1900,VALUE(SUBSTITUTE(SUBSTITUTE(SUBSTITUTE(TRIM(A2114&amp;""),CHAR(160),"")," ",""),"년",""))&lt;=2099,TEXT(VALUE(SUBSTITUTE(SUBSTITUTE(SUBSTITUTE(TRIM(A2114&amp;""),CHAR(160),"")," ",""),"년","")),"0000")=SUBSTITUTE(SUBSTITUTE(SUBSTITUTE(TRIM(A2114&amp;""),CHAR(160),"")," ",""),"년","")),SUBSTITUTE(SUBSTITUTE(SUBSTITUTE(TRIM(A2114&amp;""),CHAR(160),"")," ",""),"년",""),""),"")</f>
      </c>
      <c r="I2114" t="str">
        <f>SUBSTITUTE(SUBSTITUTE(SUBSTITUTE(SUBSTITUTE(SUBSTITUTE(TRIM(B2114&amp;""),CHAR(160),"")," ",""),"초등학교","초"),"중학교","중"),"고등학교","고")</f>
      </c>
    </row>
    <row r="2115" customFormat="false" ht="15" hidden="false" customHeight="false" outlineLevel="0" collapsed="false">
      <c r="A2115" s="8"/>
      <c r="B2115" s="8"/>
      <c r="C2115" s="8"/>
      <c r="D2115" s="8"/>
      <c r="E2115" s="8"/>
      <c r="F2115" t="str" s="15">
        <f aca="0">IF(B2115="","",IF(H2115="","확인필요(입력누락)",IF(SUMPRODUCT((실물목록!$P$2:$P$1001&lt;&gt;"")*ISNUMBER(SEARCH(실물목록!$P$2:$P$1001,I2115))*(실물목록!$Q$2:$Q$1001&lt;&gt;"")*ISNUMBER(SEARCH(실물목록!$Q$2:$Q$1001,I2115))*(실물목록!$R$2:$R$1001="")*(실물목록!$O$2:$O$1001&lt;&gt;"")*(실물목록!$O$2:$O$1001=H2115))&gt;0,"실물 있음",IF(SUMPRODUCT((실물목록!$P$2:$P$1001&lt;&gt;"")*ISNUMBER(SEARCH(실물목록!$P$2:$P$1001,I2115))*(실물목록!$R$2:$R$1001&lt;&gt;""))&gt;0,"확인필요(입력누락)",IF(SUMPRODUCT((실물목록!$P$2:$P$1001&lt;&gt;"")*ISNUMBER(SEARCH(실물목록!$P$2:$P$1001,I2115))*(실물목록!$Q$2:$Q$1001&lt;&gt;"")*ISNUMBER(SEARCH(실물목록!$Q$2:$Q$1001,I2115))*(실물목록!$R$2:$R$1001="")*(실물목록!$O$2:$O$1001&lt;&gt;""))&gt;0,"확인필요(연도다름)","실물 없음")))))</f>
      </c>
      <c r="G2115" t="n" s="16">
        <f aca="0">IF(B2115="","",SUMPRODUCT((실물목록!$P$2:$P$1001&lt;&gt;"")*ISNUMBER(SEARCH(실물목록!$P$2:$P$1001,I2115))*(실물목록!$Q$2:$Q$1001&lt;&gt;"")*ISNUMBER(SEARCH(실물목록!$Q$2:$Q$1001,I2115))*(실물목록!$R$2:$R$1001="")*(실물목록!$O$2:$O$1001&lt;&gt;"")*(실물목록!$O$2:$O$1001=H2115)))</f>
      </c>
      <c r="H2115" t="str">
        <f>IFERROR(IF(AND(LEN(SUBSTITUTE(SUBSTITUTE(SUBSTITUTE(TRIM(A2115&amp;""),CHAR(160),"")," ",""),"년",""))=4,VALUE(SUBSTITUTE(SUBSTITUTE(SUBSTITUTE(TRIM(A2115&amp;""),CHAR(160),"")," ",""),"년",""))&gt;=1900,VALUE(SUBSTITUTE(SUBSTITUTE(SUBSTITUTE(TRIM(A2115&amp;""),CHAR(160),"")," ",""),"년",""))&lt;=2099,TEXT(VALUE(SUBSTITUTE(SUBSTITUTE(SUBSTITUTE(TRIM(A2115&amp;""),CHAR(160),"")," ",""),"년","")),"0000")=SUBSTITUTE(SUBSTITUTE(SUBSTITUTE(TRIM(A2115&amp;""),CHAR(160),"")," ",""),"년","")),SUBSTITUTE(SUBSTITUTE(SUBSTITUTE(TRIM(A2115&amp;""),CHAR(160),"")," ",""),"년",""),""),"")</f>
      </c>
      <c r="I2115" t="str">
        <f>SUBSTITUTE(SUBSTITUTE(SUBSTITUTE(SUBSTITUTE(SUBSTITUTE(TRIM(B2115&amp;""),CHAR(160),"")," ",""),"초등학교","초"),"중학교","중"),"고등학교","고")</f>
      </c>
    </row>
    <row r="2116" customFormat="false" ht="15" hidden="false" customHeight="false" outlineLevel="0" collapsed="false">
      <c r="A2116" s="8"/>
      <c r="B2116" s="8"/>
      <c r="C2116" s="8"/>
      <c r="D2116" s="8"/>
      <c r="E2116" s="8"/>
      <c r="F2116" t="str" s="15">
        <f aca="0">IF(B2116="","",IF(H2116="","확인필요(입력누락)",IF(SUMPRODUCT((실물목록!$P$2:$P$1001&lt;&gt;"")*ISNUMBER(SEARCH(실물목록!$P$2:$P$1001,I2116))*(실물목록!$Q$2:$Q$1001&lt;&gt;"")*ISNUMBER(SEARCH(실물목록!$Q$2:$Q$1001,I2116))*(실물목록!$R$2:$R$1001="")*(실물목록!$O$2:$O$1001&lt;&gt;"")*(실물목록!$O$2:$O$1001=H2116))&gt;0,"실물 있음",IF(SUMPRODUCT((실물목록!$P$2:$P$1001&lt;&gt;"")*ISNUMBER(SEARCH(실물목록!$P$2:$P$1001,I2116))*(실물목록!$R$2:$R$1001&lt;&gt;""))&gt;0,"확인필요(입력누락)",IF(SUMPRODUCT((실물목록!$P$2:$P$1001&lt;&gt;"")*ISNUMBER(SEARCH(실물목록!$P$2:$P$1001,I2116))*(실물목록!$Q$2:$Q$1001&lt;&gt;"")*ISNUMBER(SEARCH(실물목록!$Q$2:$Q$1001,I2116))*(실물목록!$R$2:$R$1001="")*(실물목록!$O$2:$O$1001&lt;&gt;""))&gt;0,"확인필요(연도다름)","실물 없음")))))</f>
      </c>
      <c r="G2116" t="n" s="16">
        <f aca="0">IF(B2116="","",SUMPRODUCT((실물목록!$P$2:$P$1001&lt;&gt;"")*ISNUMBER(SEARCH(실물목록!$P$2:$P$1001,I2116))*(실물목록!$Q$2:$Q$1001&lt;&gt;"")*ISNUMBER(SEARCH(실물목록!$Q$2:$Q$1001,I2116))*(실물목록!$R$2:$R$1001="")*(실물목록!$O$2:$O$1001&lt;&gt;"")*(실물목록!$O$2:$O$1001=H2116)))</f>
      </c>
      <c r="H2116" t="str">
        <f>IFERROR(IF(AND(LEN(SUBSTITUTE(SUBSTITUTE(SUBSTITUTE(TRIM(A2116&amp;""),CHAR(160),"")," ",""),"년",""))=4,VALUE(SUBSTITUTE(SUBSTITUTE(SUBSTITUTE(TRIM(A2116&amp;""),CHAR(160),"")," ",""),"년",""))&gt;=1900,VALUE(SUBSTITUTE(SUBSTITUTE(SUBSTITUTE(TRIM(A2116&amp;""),CHAR(160),"")," ",""),"년",""))&lt;=2099,TEXT(VALUE(SUBSTITUTE(SUBSTITUTE(SUBSTITUTE(TRIM(A2116&amp;""),CHAR(160),"")," ",""),"년","")),"0000")=SUBSTITUTE(SUBSTITUTE(SUBSTITUTE(TRIM(A2116&amp;""),CHAR(160),"")," ",""),"년","")),SUBSTITUTE(SUBSTITUTE(SUBSTITUTE(TRIM(A2116&amp;""),CHAR(160),"")," ",""),"년",""),""),"")</f>
      </c>
      <c r="I2116" t="str">
        <f>SUBSTITUTE(SUBSTITUTE(SUBSTITUTE(SUBSTITUTE(SUBSTITUTE(TRIM(B2116&amp;""),CHAR(160),"")," ",""),"초등학교","초"),"중학교","중"),"고등학교","고")</f>
      </c>
    </row>
    <row r="2117" customFormat="false" ht="15" hidden="false" customHeight="false" outlineLevel="0" collapsed="false">
      <c r="A2117" s="8"/>
      <c r="B2117" s="8"/>
      <c r="C2117" s="8"/>
      <c r="D2117" s="8"/>
      <c r="E2117" s="8"/>
      <c r="F2117" t="str" s="15">
        <f aca="0">IF(B2117="","",IF(H2117="","확인필요(입력누락)",IF(SUMPRODUCT((실물목록!$P$2:$P$1001&lt;&gt;"")*ISNUMBER(SEARCH(실물목록!$P$2:$P$1001,I2117))*(실물목록!$Q$2:$Q$1001&lt;&gt;"")*ISNUMBER(SEARCH(실물목록!$Q$2:$Q$1001,I2117))*(실물목록!$R$2:$R$1001="")*(실물목록!$O$2:$O$1001&lt;&gt;"")*(실물목록!$O$2:$O$1001=H2117))&gt;0,"실물 있음",IF(SUMPRODUCT((실물목록!$P$2:$P$1001&lt;&gt;"")*ISNUMBER(SEARCH(실물목록!$P$2:$P$1001,I2117))*(실물목록!$R$2:$R$1001&lt;&gt;""))&gt;0,"확인필요(입력누락)",IF(SUMPRODUCT((실물목록!$P$2:$P$1001&lt;&gt;"")*ISNUMBER(SEARCH(실물목록!$P$2:$P$1001,I2117))*(실물목록!$Q$2:$Q$1001&lt;&gt;"")*ISNUMBER(SEARCH(실물목록!$Q$2:$Q$1001,I2117))*(실물목록!$R$2:$R$1001="")*(실물목록!$O$2:$O$1001&lt;&gt;""))&gt;0,"확인필요(연도다름)","실물 없음")))))</f>
      </c>
      <c r="G2117" t="n" s="16">
        <f aca="0">IF(B2117="","",SUMPRODUCT((실물목록!$P$2:$P$1001&lt;&gt;"")*ISNUMBER(SEARCH(실물목록!$P$2:$P$1001,I2117))*(실물목록!$Q$2:$Q$1001&lt;&gt;"")*ISNUMBER(SEARCH(실물목록!$Q$2:$Q$1001,I2117))*(실물목록!$R$2:$R$1001="")*(실물목록!$O$2:$O$1001&lt;&gt;"")*(실물목록!$O$2:$O$1001=H2117)))</f>
      </c>
      <c r="H2117" t="str">
        <f>IFERROR(IF(AND(LEN(SUBSTITUTE(SUBSTITUTE(SUBSTITUTE(TRIM(A2117&amp;""),CHAR(160),"")," ",""),"년",""))=4,VALUE(SUBSTITUTE(SUBSTITUTE(SUBSTITUTE(TRIM(A2117&amp;""),CHAR(160),"")," ",""),"년",""))&gt;=1900,VALUE(SUBSTITUTE(SUBSTITUTE(SUBSTITUTE(TRIM(A2117&amp;""),CHAR(160),"")," ",""),"년",""))&lt;=2099,TEXT(VALUE(SUBSTITUTE(SUBSTITUTE(SUBSTITUTE(TRIM(A2117&amp;""),CHAR(160),"")," ",""),"년","")),"0000")=SUBSTITUTE(SUBSTITUTE(SUBSTITUTE(TRIM(A2117&amp;""),CHAR(160),"")," ",""),"년","")),SUBSTITUTE(SUBSTITUTE(SUBSTITUTE(TRIM(A2117&amp;""),CHAR(160),"")," ",""),"년",""),""),"")</f>
      </c>
      <c r="I2117" t="str">
        <f>SUBSTITUTE(SUBSTITUTE(SUBSTITUTE(SUBSTITUTE(SUBSTITUTE(TRIM(B2117&amp;""),CHAR(160),"")," ",""),"초등학교","초"),"중학교","중"),"고등학교","고")</f>
      </c>
    </row>
    <row r="2118" customFormat="false" ht="15" hidden="false" customHeight="false" outlineLevel="0" collapsed="false">
      <c r="A2118" s="8"/>
      <c r="B2118" s="8"/>
      <c r="C2118" s="8"/>
      <c r="D2118" s="8"/>
      <c r="E2118" s="8"/>
      <c r="F2118" t="str" s="15">
        <f aca="0">IF(B2118="","",IF(H2118="","확인필요(입력누락)",IF(SUMPRODUCT((실물목록!$P$2:$P$1001&lt;&gt;"")*ISNUMBER(SEARCH(실물목록!$P$2:$P$1001,I2118))*(실물목록!$Q$2:$Q$1001&lt;&gt;"")*ISNUMBER(SEARCH(실물목록!$Q$2:$Q$1001,I2118))*(실물목록!$R$2:$R$1001="")*(실물목록!$O$2:$O$1001&lt;&gt;"")*(실물목록!$O$2:$O$1001=H2118))&gt;0,"실물 있음",IF(SUMPRODUCT((실물목록!$P$2:$P$1001&lt;&gt;"")*ISNUMBER(SEARCH(실물목록!$P$2:$P$1001,I2118))*(실물목록!$R$2:$R$1001&lt;&gt;""))&gt;0,"확인필요(입력누락)",IF(SUMPRODUCT((실물목록!$P$2:$P$1001&lt;&gt;"")*ISNUMBER(SEARCH(실물목록!$P$2:$P$1001,I2118))*(실물목록!$Q$2:$Q$1001&lt;&gt;"")*ISNUMBER(SEARCH(실물목록!$Q$2:$Q$1001,I2118))*(실물목록!$R$2:$R$1001="")*(실물목록!$O$2:$O$1001&lt;&gt;""))&gt;0,"확인필요(연도다름)","실물 없음")))))</f>
      </c>
      <c r="G2118" t="n" s="16">
        <f aca="0">IF(B2118="","",SUMPRODUCT((실물목록!$P$2:$P$1001&lt;&gt;"")*ISNUMBER(SEARCH(실물목록!$P$2:$P$1001,I2118))*(실물목록!$Q$2:$Q$1001&lt;&gt;"")*ISNUMBER(SEARCH(실물목록!$Q$2:$Q$1001,I2118))*(실물목록!$R$2:$R$1001="")*(실물목록!$O$2:$O$1001&lt;&gt;"")*(실물목록!$O$2:$O$1001=H2118)))</f>
      </c>
      <c r="H2118" t="str">
        <f>IFERROR(IF(AND(LEN(SUBSTITUTE(SUBSTITUTE(SUBSTITUTE(TRIM(A2118&amp;""),CHAR(160),"")," ",""),"년",""))=4,VALUE(SUBSTITUTE(SUBSTITUTE(SUBSTITUTE(TRIM(A2118&amp;""),CHAR(160),"")," ",""),"년",""))&gt;=1900,VALUE(SUBSTITUTE(SUBSTITUTE(SUBSTITUTE(TRIM(A2118&amp;""),CHAR(160),"")," ",""),"년",""))&lt;=2099,TEXT(VALUE(SUBSTITUTE(SUBSTITUTE(SUBSTITUTE(TRIM(A2118&amp;""),CHAR(160),"")," ",""),"년","")),"0000")=SUBSTITUTE(SUBSTITUTE(SUBSTITUTE(TRIM(A2118&amp;""),CHAR(160),"")," ",""),"년","")),SUBSTITUTE(SUBSTITUTE(SUBSTITUTE(TRIM(A2118&amp;""),CHAR(160),"")," ",""),"년",""),""),"")</f>
      </c>
      <c r="I2118" t="str">
        <f>SUBSTITUTE(SUBSTITUTE(SUBSTITUTE(SUBSTITUTE(SUBSTITUTE(TRIM(B2118&amp;""),CHAR(160),"")," ",""),"초등학교","초"),"중학교","중"),"고등학교","고")</f>
      </c>
    </row>
    <row r="2119" customFormat="false" ht="15" hidden="false" customHeight="false" outlineLevel="0" collapsed="false">
      <c r="A2119" s="8"/>
      <c r="B2119" s="8"/>
      <c r="C2119" s="8"/>
      <c r="D2119" s="8"/>
      <c r="E2119" s="8"/>
      <c r="F2119" t="str" s="15">
        <f aca="0">IF(B2119="","",IF(H2119="","확인필요(입력누락)",IF(SUMPRODUCT((실물목록!$P$2:$P$1001&lt;&gt;"")*ISNUMBER(SEARCH(실물목록!$P$2:$P$1001,I2119))*(실물목록!$Q$2:$Q$1001&lt;&gt;"")*ISNUMBER(SEARCH(실물목록!$Q$2:$Q$1001,I2119))*(실물목록!$R$2:$R$1001="")*(실물목록!$O$2:$O$1001&lt;&gt;"")*(실물목록!$O$2:$O$1001=H2119))&gt;0,"실물 있음",IF(SUMPRODUCT((실물목록!$P$2:$P$1001&lt;&gt;"")*ISNUMBER(SEARCH(실물목록!$P$2:$P$1001,I2119))*(실물목록!$R$2:$R$1001&lt;&gt;""))&gt;0,"확인필요(입력누락)",IF(SUMPRODUCT((실물목록!$P$2:$P$1001&lt;&gt;"")*ISNUMBER(SEARCH(실물목록!$P$2:$P$1001,I2119))*(실물목록!$Q$2:$Q$1001&lt;&gt;"")*ISNUMBER(SEARCH(실물목록!$Q$2:$Q$1001,I2119))*(실물목록!$R$2:$R$1001="")*(실물목록!$O$2:$O$1001&lt;&gt;""))&gt;0,"확인필요(연도다름)","실물 없음")))))</f>
      </c>
      <c r="G2119" t="n" s="16">
        <f aca="0">IF(B2119="","",SUMPRODUCT((실물목록!$P$2:$P$1001&lt;&gt;"")*ISNUMBER(SEARCH(실물목록!$P$2:$P$1001,I2119))*(실물목록!$Q$2:$Q$1001&lt;&gt;"")*ISNUMBER(SEARCH(실물목록!$Q$2:$Q$1001,I2119))*(실물목록!$R$2:$R$1001="")*(실물목록!$O$2:$O$1001&lt;&gt;"")*(실물목록!$O$2:$O$1001=H2119)))</f>
      </c>
      <c r="H2119" t="str">
        <f>IFERROR(IF(AND(LEN(SUBSTITUTE(SUBSTITUTE(SUBSTITUTE(TRIM(A2119&amp;""),CHAR(160),"")," ",""),"년",""))=4,VALUE(SUBSTITUTE(SUBSTITUTE(SUBSTITUTE(TRIM(A2119&amp;""),CHAR(160),"")," ",""),"년",""))&gt;=1900,VALUE(SUBSTITUTE(SUBSTITUTE(SUBSTITUTE(TRIM(A2119&amp;""),CHAR(160),"")," ",""),"년",""))&lt;=2099,TEXT(VALUE(SUBSTITUTE(SUBSTITUTE(SUBSTITUTE(TRIM(A2119&amp;""),CHAR(160),"")," ",""),"년","")),"0000")=SUBSTITUTE(SUBSTITUTE(SUBSTITUTE(TRIM(A2119&amp;""),CHAR(160),"")," ",""),"년","")),SUBSTITUTE(SUBSTITUTE(SUBSTITUTE(TRIM(A2119&amp;""),CHAR(160),"")," ",""),"년",""),""),"")</f>
      </c>
      <c r="I2119" t="str">
        <f>SUBSTITUTE(SUBSTITUTE(SUBSTITUTE(SUBSTITUTE(SUBSTITUTE(TRIM(B2119&amp;""),CHAR(160),"")," ",""),"초등학교","초"),"중학교","중"),"고등학교","고")</f>
      </c>
    </row>
    <row r="2120" customFormat="false" ht="15" hidden="false" customHeight="false" outlineLevel="0" collapsed="false">
      <c r="A2120" s="8"/>
      <c r="B2120" s="8"/>
      <c r="C2120" s="8"/>
      <c r="D2120" s="8"/>
      <c r="E2120" s="8"/>
      <c r="F2120" t="str" s="15">
        <f aca="0">IF(B2120="","",IF(H2120="","확인필요(입력누락)",IF(SUMPRODUCT((실물목록!$P$2:$P$1001&lt;&gt;"")*ISNUMBER(SEARCH(실물목록!$P$2:$P$1001,I2120))*(실물목록!$Q$2:$Q$1001&lt;&gt;"")*ISNUMBER(SEARCH(실물목록!$Q$2:$Q$1001,I2120))*(실물목록!$R$2:$R$1001="")*(실물목록!$O$2:$O$1001&lt;&gt;"")*(실물목록!$O$2:$O$1001=H2120))&gt;0,"실물 있음",IF(SUMPRODUCT((실물목록!$P$2:$P$1001&lt;&gt;"")*ISNUMBER(SEARCH(실물목록!$P$2:$P$1001,I2120))*(실물목록!$R$2:$R$1001&lt;&gt;""))&gt;0,"확인필요(입력누락)",IF(SUMPRODUCT((실물목록!$P$2:$P$1001&lt;&gt;"")*ISNUMBER(SEARCH(실물목록!$P$2:$P$1001,I2120))*(실물목록!$Q$2:$Q$1001&lt;&gt;"")*ISNUMBER(SEARCH(실물목록!$Q$2:$Q$1001,I2120))*(실물목록!$R$2:$R$1001="")*(실물목록!$O$2:$O$1001&lt;&gt;""))&gt;0,"확인필요(연도다름)","실물 없음")))))</f>
      </c>
      <c r="G2120" t="n" s="16">
        <f aca="0">IF(B2120="","",SUMPRODUCT((실물목록!$P$2:$P$1001&lt;&gt;"")*ISNUMBER(SEARCH(실물목록!$P$2:$P$1001,I2120))*(실물목록!$Q$2:$Q$1001&lt;&gt;"")*ISNUMBER(SEARCH(실물목록!$Q$2:$Q$1001,I2120))*(실물목록!$R$2:$R$1001="")*(실물목록!$O$2:$O$1001&lt;&gt;"")*(실물목록!$O$2:$O$1001=H2120)))</f>
      </c>
      <c r="H2120" t="str">
        <f>IFERROR(IF(AND(LEN(SUBSTITUTE(SUBSTITUTE(SUBSTITUTE(TRIM(A2120&amp;""),CHAR(160),"")," ",""),"년",""))=4,VALUE(SUBSTITUTE(SUBSTITUTE(SUBSTITUTE(TRIM(A2120&amp;""),CHAR(160),"")," ",""),"년",""))&gt;=1900,VALUE(SUBSTITUTE(SUBSTITUTE(SUBSTITUTE(TRIM(A2120&amp;""),CHAR(160),"")," ",""),"년",""))&lt;=2099,TEXT(VALUE(SUBSTITUTE(SUBSTITUTE(SUBSTITUTE(TRIM(A2120&amp;""),CHAR(160),"")," ",""),"년","")),"0000")=SUBSTITUTE(SUBSTITUTE(SUBSTITUTE(TRIM(A2120&amp;""),CHAR(160),"")," ",""),"년","")),SUBSTITUTE(SUBSTITUTE(SUBSTITUTE(TRIM(A2120&amp;""),CHAR(160),"")," ",""),"년",""),""),"")</f>
      </c>
      <c r="I2120" t="str">
        <f>SUBSTITUTE(SUBSTITUTE(SUBSTITUTE(SUBSTITUTE(SUBSTITUTE(TRIM(B2120&amp;""),CHAR(160),"")," ",""),"초등학교","초"),"중학교","중"),"고등학교","고")</f>
      </c>
    </row>
    <row r="2121" customFormat="false" ht="15" hidden="false" customHeight="false" outlineLevel="0" collapsed="false">
      <c r="A2121" s="8"/>
      <c r="B2121" s="8"/>
      <c r="C2121" s="8"/>
      <c r="D2121" s="8"/>
      <c r="E2121" s="8"/>
      <c r="F2121" t="str" s="15">
        <f aca="0">IF(B2121="","",IF(H2121="","확인필요(입력누락)",IF(SUMPRODUCT((실물목록!$P$2:$P$1001&lt;&gt;"")*ISNUMBER(SEARCH(실물목록!$P$2:$P$1001,I2121))*(실물목록!$Q$2:$Q$1001&lt;&gt;"")*ISNUMBER(SEARCH(실물목록!$Q$2:$Q$1001,I2121))*(실물목록!$R$2:$R$1001="")*(실물목록!$O$2:$O$1001&lt;&gt;"")*(실물목록!$O$2:$O$1001=H2121))&gt;0,"실물 있음",IF(SUMPRODUCT((실물목록!$P$2:$P$1001&lt;&gt;"")*ISNUMBER(SEARCH(실물목록!$P$2:$P$1001,I2121))*(실물목록!$R$2:$R$1001&lt;&gt;""))&gt;0,"확인필요(입력누락)",IF(SUMPRODUCT((실물목록!$P$2:$P$1001&lt;&gt;"")*ISNUMBER(SEARCH(실물목록!$P$2:$P$1001,I2121))*(실물목록!$Q$2:$Q$1001&lt;&gt;"")*ISNUMBER(SEARCH(실물목록!$Q$2:$Q$1001,I2121))*(실물목록!$R$2:$R$1001="")*(실물목록!$O$2:$O$1001&lt;&gt;""))&gt;0,"확인필요(연도다름)","실물 없음")))))</f>
      </c>
      <c r="G2121" t="n" s="16">
        <f aca="0">IF(B2121="","",SUMPRODUCT((실물목록!$P$2:$P$1001&lt;&gt;"")*ISNUMBER(SEARCH(실물목록!$P$2:$P$1001,I2121))*(실물목록!$Q$2:$Q$1001&lt;&gt;"")*ISNUMBER(SEARCH(실물목록!$Q$2:$Q$1001,I2121))*(실물목록!$R$2:$R$1001="")*(실물목록!$O$2:$O$1001&lt;&gt;"")*(실물목록!$O$2:$O$1001=H2121)))</f>
      </c>
      <c r="H2121" t="str">
        <f>IFERROR(IF(AND(LEN(SUBSTITUTE(SUBSTITUTE(SUBSTITUTE(TRIM(A2121&amp;""),CHAR(160),"")," ",""),"년",""))=4,VALUE(SUBSTITUTE(SUBSTITUTE(SUBSTITUTE(TRIM(A2121&amp;""),CHAR(160),"")," ",""),"년",""))&gt;=1900,VALUE(SUBSTITUTE(SUBSTITUTE(SUBSTITUTE(TRIM(A2121&amp;""),CHAR(160),"")," ",""),"년",""))&lt;=2099,TEXT(VALUE(SUBSTITUTE(SUBSTITUTE(SUBSTITUTE(TRIM(A2121&amp;""),CHAR(160),"")," ",""),"년","")),"0000")=SUBSTITUTE(SUBSTITUTE(SUBSTITUTE(TRIM(A2121&amp;""),CHAR(160),"")," ",""),"년","")),SUBSTITUTE(SUBSTITUTE(SUBSTITUTE(TRIM(A2121&amp;""),CHAR(160),"")," ",""),"년",""),""),"")</f>
      </c>
      <c r="I2121" t="str">
        <f>SUBSTITUTE(SUBSTITUTE(SUBSTITUTE(SUBSTITUTE(SUBSTITUTE(TRIM(B2121&amp;""),CHAR(160),"")," ",""),"초등학교","초"),"중학교","중"),"고등학교","고")</f>
      </c>
    </row>
    <row r="2122" customFormat="false" ht="15" hidden="false" customHeight="false" outlineLevel="0" collapsed="false">
      <c r="A2122" s="8"/>
      <c r="B2122" s="8"/>
      <c r="C2122" s="8"/>
      <c r="D2122" s="8"/>
      <c r="E2122" s="8"/>
      <c r="F2122" t="str" s="15">
        <f aca="0">IF(B2122="","",IF(H2122="","확인필요(입력누락)",IF(SUMPRODUCT((실물목록!$P$2:$P$1001&lt;&gt;"")*ISNUMBER(SEARCH(실물목록!$P$2:$P$1001,I2122))*(실물목록!$Q$2:$Q$1001&lt;&gt;"")*ISNUMBER(SEARCH(실물목록!$Q$2:$Q$1001,I2122))*(실물목록!$R$2:$R$1001="")*(실물목록!$O$2:$O$1001&lt;&gt;"")*(실물목록!$O$2:$O$1001=H2122))&gt;0,"실물 있음",IF(SUMPRODUCT((실물목록!$P$2:$P$1001&lt;&gt;"")*ISNUMBER(SEARCH(실물목록!$P$2:$P$1001,I2122))*(실물목록!$R$2:$R$1001&lt;&gt;""))&gt;0,"확인필요(입력누락)",IF(SUMPRODUCT((실물목록!$P$2:$P$1001&lt;&gt;"")*ISNUMBER(SEARCH(실물목록!$P$2:$P$1001,I2122))*(실물목록!$Q$2:$Q$1001&lt;&gt;"")*ISNUMBER(SEARCH(실물목록!$Q$2:$Q$1001,I2122))*(실물목록!$R$2:$R$1001="")*(실물목록!$O$2:$O$1001&lt;&gt;""))&gt;0,"확인필요(연도다름)","실물 없음")))))</f>
      </c>
      <c r="G2122" t="n" s="16">
        <f aca="0">IF(B2122="","",SUMPRODUCT((실물목록!$P$2:$P$1001&lt;&gt;"")*ISNUMBER(SEARCH(실물목록!$P$2:$P$1001,I2122))*(실물목록!$Q$2:$Q$1001&lt;&gt;"")*ISNUMBER(SEARCH(실물목록!$Q$2:$Q$1001,I2122))*(실물목록!$R$2:$R$1001="")*(실물목록!$O$2:$O$1001&lt;&gt;"")*(실물목록!$O$2:$O$1001=H2122)))</f>
      </c>
      <c r="H2122" t="str">
        <f>IFERROR(IF(AND(LEN(SUBSTITUTE(SUBSTITUTE(SUBSTITUTE(TRIM(A2122&amp;""),CHAR(160),"")," ",""),"년",""))=4,VALUE(SUBSTITUTE(SUBSTITUTE(SUBSTITUTE(TRIM(A2122&amp;""),CHAR(160),"")," ",""),"년",""))&gt;=1900,VALUE(SUBSTITUTE(SUBSTITUTE(SUBSTITUTE(TRIM(A2122&amp;""),CHAR(160),"")," ",""),"년",""))&lt;=2099,TEXT(VALUE(SUBSTITUTE(SUBSTITUTE(SUBSTITUTE(TRIM(A2122&amp;""),CHAR(160),"")," ",""),"년","")),"0000")=SUBSTITUTE(SUBSTITUTE(SUBSTITUTE(TRIM(A2122&amp;""),CHAR(160),"")," ",""),"년","")),SUBSTITUTE(SUBSTITUTE(SUBSTITUTE(TRIM(A2122&amp;""),CHAR(160),"")," ",""),"년",""),""),"")</f>
      </c>
      <c r="I2122" t="str">
        <f>SUBSTITUTE(SUBSTITUTE(SUBSTITUTE(SUBSTITUTE(SUBSTITUTE(TRIM(B2122&amp;""),CHAR(160),"")," ",""),"초등학교","초"),"중학교","중"),"고등학교","고")</f>
      </c>
    </row>
    <row r="2123" customFormat="false" ht="15" hidden="false" customHeight="false" outlineLevel="0" collapsed="false">
      <c r="A2123" s="8"/>
      <c r="B2123" s="8"/>
      <c r="C2123" s="8"/>
      <c r="D2123" s="8"/>
      <c r="E2123" s="8"/>
      <c r="F2123" t="str" s="15">
        <f aca="0">IF(B2123="","",IF(H2123="","확인필요(입력누락)",IF(SUMPRODUCT((실물목록!$P$2:$P$1001&lt;&gt;"")*ISNUMBER(SEARCH(실물목록!$P$2:$P$1001,I2123))*(실물목록!$Q$2:$Q$1001&lt;&gt;"")*ISNUMBER(SEARCH(실물목록!$Q$2:$Q$1001,I2123))*(실물목록!$R$2:$R$1001="")*(실물목록!$O$2:$O$1001&lt;&gt;"")*(실물목록!$O$2:$O$1001=H2123))&gt;0,"실물 있음",IF(SUMPRODUCT((실물목록!$P$2:$P$1001&lt;&gt;"")*ISNUMBER(SEARCH(실물목록!$P$2:$P$1001,I2123))*(실물목록!$R$2:$R$1001&lt;&gt;""))&gt;0,"확인필요(입력누락)",IF(SUMPRODUCT((실물목록!$P$2:$P$1001&lt;&gt;"")*ISNUMBER(SEARCH(실물목록!$P$2:$P$1001,I2123))*(실물목록!$Q$2:$Q$1001&lt;&gt;"")*ISNUMBER(SEARCH(실물목록!$Q$2:$Q$1001,I2123))*(실물목록!$R$2:$R$1001="")*(실물목록!$O$2:$O$1001&lt;&gt;""))&gt;0,"확인필요(연도다름)","실물 없음")))))</f>
      </c>
      <c r="G2123" t="n" s="16">
        <f aca="0">IF(B2123="","",SUMPRODUCT((실물목록!$P$2:$P$1001&lt;&gt;"")*ISNUMBER(SEARCH(실물목록!$P$2:$P$1001,I2123))*(실물목록!$Q$2:$Q$1001&lt;&gt;"")*ISNUMBER(SEARCH(실물목록!$Q$2:$Q$1001,I2123))*(실물목록!$R$2:$R$1001="")*(실물목록!$O$2:$O$1001&lt;&gt;"")*(실물목록!$O$2:$O$1001=H2123)))</f>
      </c>
      <c r="H2123" t="str">
        <f>IFERROR(IF(AND(LEN(SUBSTITUTE(SUBSTITUTE(SUBSTITUTE(TRIM(A2123&amp;""),CHAR(160),"")," ",""),"년",""))=4,VALUE(SUBSTITUTE(SUBSTITUTE(SUBSTITUTE(TRIM(A2123&amp;""),CHAR(160),"")," ",""),"년",""))&gt;=1900,VALUE(SUBSTITUTE(SUBSTITUTE(SUBSTITUTE(TRIM(A2123&amp;""),CHAR(160),"")," ",""),"년",""))&lt;=2099,TEXT(VALUE(SUBSTITUTE(SUBSTITUTE(SUBSTITUTE(TRIM(A2123&amp;""),CHAR(160),"")," ",""),"년","")),"0000")=SUBSTITUTE(SUBSTITUTE(SUBSTITUTE(TRIM(A2123&amp;""),CHAR(160),"")," ",""),"년","")),SUBSTITUTE(SUBSTITUTE(SUBSTITUTE(TRIM(A2123&amp;""),CHAR(160),"")," ",""),"년",""),""),"")</f>
      </c>
      <c r="I2123" t="str">
        <f>SUBSTITUTE(SUBSTITUTE(SUBSTITUTE(SUBSTITUTE(SUBSTITUTE(TRIM(B2123&amp;""),CHAR(160),"")," ",""),"초등학교","초"),"중학교","중"),"고등학교","고")</f>
      </c>
    </row>
    <row r="2124" customFormat="false" ht="15" hidden="false" customHeight="false" outlineLevel="0" collapsed="false">
      <c r="A2124" s="8"/>
      <c r="B2124" s="8"/>
      <c r="C2124" s="8"/>
      <c r="D2124" s="8"/>
      <c r="E2124" s="8"/>
      <c r="F2124" t="str" s="15">
        <f aca="0">IF(B2124="","",IF(H2124="","확인필요(입력누락)",IF(SUMPRODUCT((실물목록!$P$2:$P$1001&lt;&gt;"")*ISNUMBER(SEARCH(실물목록!$P$2:$P$1001,I2124))*(실물목록!$Q$2:$Q$1001&lt;&gt;"")*ISNUMBER(SEARCH(실물목록!$Q$2:$Q$1001,I2124))*(실물목록!$R$2:$R$1001="")*(실물목록!$O$2:$O$1001&lt;&gt;"")*(실물목록!$O$2:$O$1001=H2124))&gt;0,"실물 있음",IF(SUMPRODUCT((실물목록!$P$2:$P$1001&lt;&gt;"")*ISNUMBER(SEARCH(실물목록!$P$2:$P$1001,I2124))*(실물목록!$R$2:$R$1001&lt;&gt;""))&gt;0,"확인필요(입력누락)",IF(SUMPRODUCT((실물목록!$P$2:$P$1001&lt;&gt;"")*ISNUMBER(SEARCH(실물목록!$P$2:$P$1001,I2124))*(실물목록!$Q$2:$Q$1001&lt;&gt;"")*ISNUMBER(SEARCH(실물목록!$Q$2:$Q$1001,I2124))*(실물목록!$R$2:$R$1001="")*(실물목록!$O$2:$O$1001&lt;&gt;""))&gt;0,"확인필요(연도다름)","실물 없음")))))</f>
      </c>
      <c r="G2124" t="n" s="16">
        <f aca="0">IF(B2124="","",SUMPRODUCT((실물목록!$P$2:$P$1001&lt;&gt;"")*ISNUMBER(SEARCH(실물목록!$P$2:$P$1001,I2124))*(실물목록!$Q$2:$Q$1001&lt;&gt;"")*ISNUMBER(SEARCH(실물목록!$Q$2:$Q$1001,I2124))*(실물목록!$R$2:$R$1001="")*(실물목록!$O$2:$O$1001&lt;&gt;"")*(실물목록!$O$2:$O$1001=H2124)))</f>
      </c>
      <c r="H2124" t="str">
        <f>IFERROR(IF(AND(LEN(SUBSTITUTE(SUBSTITUTE(SUBSTITUTE(TRIM(A2124&amp;""),CHAR(160),"")," ",""),"년",""))=4,VALUE(SUBSTITUTE(SUBSTITUTE(SUBSTITUTE(TRIM(A2124&amp;""),CHAR(160),"")," ",""),"년",""))&gt;=1900,VALUE(SUBSTITUTE(SUBSTITUTE(SUBSTITUTE(TRIM(A2124&amp;""),CHAR(160),"")," ",""),"년",""))&lt;=2099,TEXT(VALUE(SUBSTITUTE(SUBSTITUTE(SUBSTITUTE(TRIM(A2124&amp;""),CHAR(160),"")," ",""),"년","")),"0000")=SUBSTITUTE(SUBSTITUTE(SUBSTITUTE(TRIM(A2124&amp;""),CHAR(160),"")," ",""),"년","")),SUBSTITUTE(SUBSTITUTE(SUBSTITUTE(TRIM(A2124&amp;""),CHAR(160),"")," ",""),"년",""),""),"")</f>
      </c>
      <c r="I2124" t="str">
        <f>SUBSTITUTE(SUBSTITUTE(SUBSTITUTE(SUBSTITUTE(SUBSTITUTE(TRIM(B2124&amp;""),CHAR(160),"")," ",""),"초등학교","초"),"중학교","중"),"고등학교","고")</f>
      </c>
    </row>
    <row r="2125" customFormat="false" ht="15" hidden="false" customHeight="false" outlineLevel="0" collapsed="false">
      <c r="A2125" s="8"/>
      <c r="B2125" s="8"/>
      <c r="C2125" s="8"/>
      <c r="D2125" s="8"/>
      <c r="E2125" s="8"/>
      <c r="F2125" t="str" s="15">
        <f aca="0">IF(B2125="","",IF(H2125="","확인필요(입력누락)",IF(SUMPRODUCT((실물목록!$P$2:$P$1001&lt;&gt;"")*ISNUMBER(SEARCH(실물목록!$P$2:$P$1001,I2125))*(실물목록!$Q$2:$Q$1001&lt;&gt;"")*ISNUMBER(SEARCH(실물목록!$Q$2:$Q$1001,I2125))*(실물목록!$R$2:$R$1001="")*(실물목록!$O$2:$O$1001&lt;&gt;"")*(실물목록!$O$2:$O$1001=H2125))&gt;0,"실물 있음",IF(SUMPRODUCT((실물목록!$P$2:$P$1001&lt;&gt;"")*ISNUMBER(SEARCH(실물목록!$P$2:$P$1001,I2125))*(실물목록!$R$2:$R$1001&lt;&gt;""))&gt;0,"확인필요(입력누락)",IF(SUMPRODUCT((실물목록!$P$2:$P$1001&lt;&gt;"")*ISNUMBER(SEARCH(실물목록!$P$2:$P$1001,I2125))*(실물목록!$Q$2:$Q$1001&lt;&gt;"")*ISNUMBER(SEARCH(실물목록!$Q$2:$Q$1001,I2125))*(실물목록!$R$2:$R$1001="")*(실물목록!$O$2:$O$1001&lt;&gt;""))&gt;0,"확인필요(연도다름)","실물 없음")))))</f>
      </c>
      <c r="G2125" t="n" s="16">
        <f aca="0">IF(B2125="","",SUMPRODUCT((실물목록!$P$2:$P$1001&lt;&gt;"")*ISNUMBER(SEARCH(실물목록!$P$2:$P$1001,I2125))*(실물목록!$Q$2:$Q$1001&lt;&gt;"")*ISNUMBER(SEARCH(실물목록!$Q$2:$Q$1001,I2125))*(실물목록!$R$2:$R$1001="")*(실물목록!$O$2:$O$1001&lt;&gt;"")*(실물목록!$O$2:$O$1001=H2125)))</f>
      </c>
      <c r="H2125" t="str">
        <f>IFERROR(IF(AND(LEN(SUBSTITUTE(SUBSTITUTE(SUBSTITUTE(TRIM(A2125&amp;""),CHAR(160),"")," ",""),"년",""))=4,VALUE(SUBSTITUTE(SUBSTITUTE(SUBSTITUTE(TRIM(A2125&amp;""),CHAR(160),"")," ",""),"년",""))&gt;=1900,VALUE(SUBSTITUTE(SUBSTITUTE(SUBSTITUTE(TRIM(A2125&amp;""),CHAR(160),"")," ",""),"년",""))&lt;=2099,TEXT(VALUE(SUBSTITUTE(SUBSTITUTE(SUBSTITUTE(TRIM(A2125&amp;""),CHAR(160),"")," ",""),"년","")),"0000")=SUBSTITUTE(SUBSTITUTE(SUBSTITUTE(TRIM(A2125&amp;""),CHAR(160),"")," ",""),"년","")),SUBSTITUTE(SUBSTITUTE(SUBSTITUTE(TRIM(A2125&amp;""),CHAR(160),"")," ",""),"년",""),""),"")</f>
      </c>
      <c r="I2125" t="str">
        <f>SUBSTITUTE(SUBSTITUTE(SUBSTITUTE(SUBSTITUTE(SUBSTITUTE(TRIM(B2125&amp;""),CHAR(160),"")," ",""),"초등학교","초"),"중학교","중"),"고등학교","고")</f>
      </c>
    </row>
    <row r="2126" customFormat="false" ht="15" hidden="false" customHeight="false" outlineLevel="0" collapsed="false">
      <c r="A2126" s="8"/>
      <c r="B2126" s="8"/>
      <c r="C2126" s="8"/>
      <c r="D2126" s="8"/>
      <c r="E2126" s="8"/>
      <c r="F2126" t="str" s="15">
        <f aca="0">IF(B2126="","",IF(H2126="","확인필요(입력누락)",IF(SUMPRODUCT((실물목록!$P$2:$P$1001&lt;&gt;"")*ISNUMBER(SEARCH(실물목록!$P$2:$P$1001,I2126))*(실물목록!$Q$2:$Q$1001&lt;&gt;"")*ISNUMBER(SEARCH(실물목록!$Q$2:$Q$1001,I2126))*(실물목록!$R$2:$R$1001="")*(실물목록!$O$2:$O$1001&lt;&gt;"")*(실물목록!$O$2:$O$1001=H2126))&gt;0,"실물 있음",IF(SUMPRODUCT((실물목록!$P$2:$P$1001&lt;&gt;"")*ISNUMBER(SEARCH(실물목록!$P$2:$P$1001,I2126))*(실물목록!$R$2:$R$1001&lt;&gt;""))&gt;0,"확인필요(입력누락)",IF(SUMPRODUCT((실물목록!$P$2:$P$1001&lt;&gt;"")*ISNUMBER(SEARCH(실물목록!$P$2:$P$1001,I2126))*(실물목록!$Q$2:$Q$1001&lt;&gt;"")*ISNUMBER(SEARCH(실물목록!$Q$2:$Q$1001,I2126))*(실물목록!$R$2:$R$1001="")*(실물목록!$O$2:$O$1001&lt;&gt;""))&gt;0,"확인필요(연도다름)","실물 없음")))))</f>
      </c>
      <c r="G2126" t="n" s="16">
        <f aca="0">IF(B2126="","",SUMPRODUCT((실물목록!$P$2:$P$1001&lt;&gt;"")*ISNUMBER(SEARCH(실물목록!$P$2:$P$1001,I2126))*(실물목록!$Q$2:$Q$1001&lt;&gt;"")*ISNUMBER(SEARCH(실물목록!$Q$2:$Q$1001,I2126))*(실물목록!$R$2:$R$1001="")*(실물목록!$O$2:$O$1001&lt;&gt;"")*(실물목록!$O$2:$O$1001=H2126)))</f>
      </c>
      <c r="H2126" t="str">
        <f>IFERROR(IF(AND(LEN(SUBSTITUTE(SUBSTITUTE(SUBSTITUTE(TRIM(A2126&amp;""),CHAR(160),"")," ",""),"년",""))=4,VALUE(SUBSTITUTE(SUBSTITUTE(SUBSTITUTE(TRIM(A2126&amp;""),CHAR(160),"")," ",""),"년",""))&gt;=1900,VALUE(SUBSTITUTE(SUBSTITUTE(SUBSTITUTE(TRIM(A2126&amp;""),CHAR(160),"")," ",""),"년",""))&lt;=2099,TEXT(VALUE(SUBSTITUTE(SUBSTITUTE(SUBSTITUTE(TRIM(A2126&amp;""),CHAR(160),"")," ",""),"년","")),"0000")=SUBSTITUTE(SUBSTITUTE(SUBSTITUTE(TRIM(A2126&amp;""),CHAR(160),"")," ",""),"년","")),SUBSTITUTE(SUBSTITUTE(SUBSTITUTE(TRIM(A2126&amp;""),CHAR(160),"")," ",""),"년",""),""),"")</f>
      </c>
      <c r="I2126" t="str">
        <f>SUBSTITUTE(SUBSTITUTE(SUBSTITUTE(SUBSTITUTE(SUBSTITUTE(TRIM(B2126&amp;""),CHAR(160),"")," ",""),"초등학교","초"),"중학교","중"),"고등학교","고")</f>
      </c>
    </row>
    <row r="2127" customFormat="false" ht="15" hidden="false" customHeight="false" outlineLevel="0" collapsed="false">
      <c r="A2127" s="8"/>
      <c r="B2127" s="8"/>
      <c r="C2127" s="8"/>
      <c r="D2127" s="8"/>
      <c r="E2127" s="8"/>
      <c r="F2127" t="str" s="15">
        <f aca="0">IF(B2127="","",IF(H2127="","확인필요(입력누락)",IF(SUMPRODUCT((실물목록!$P$2:$P$1001&lt;&gt;"")*ISNUMBER(SEARCH(실물목록!$P$2:$P$1001,I2127))*(실물목록!$Q$2:$Q$1001&lt;&gt;"")*ISNUMBER(SEARCH(실물목록!$Q$2:$Q$1001,I2127))*(실물목록!$R$2:$R$1001="")*(실물목록!$O$2:$O$1001&lt;&gt;"")*(실물목록!$O$2:$O$1001=H2127))&gt;0,"실물 있음",IF(SUMPRODUCT((실물목록!$P$2:$P$1001&lt;&gt;"")*ISNUMBER(SEARCH(실물목록!$P$2:$P$1001,I2127))*(실물목록!$R$2:$R$1001&lt;&gt;""))&gt;0,"확인필요(입력누락)",IF(SUMPRODUCT((실물목록!$P$2:$P$1001&lt;&gt;"")*ISNUMBER(SEARCH(실물목록!$P$2:$P$1001,I2127))*(실물목록!$Q$2:$Q$1001&lt;&gt;"")*ISNUMBER(SEARCH(실물목록!$Q$2:$Q$1001,I2127))*(실물목록!$R$2:$R$1001="")*(실물목록!$O$2:$O$1001&lt;&gt;""))&gt;0,"확인필요(연도다름)","실물 없음")))))</f>
      </c>
      <c r="G2127" t="n" s="16">
        <f aca="0">IF(B2127="","",SUMPRODUCT((실물목록!$P$2:$P$1001&lt;&gt;"")*ISNUMBER(SEARCH(실물목록!$P$2:$P$1001,I2127))*(실물목록!$Q$2:$Q$1001&lt;&gt;"")*ISNUMBER(SEARCH(실물목록!$Q$2:$Q$1001,I2127))*(실물목록!$R$2:$R$1001="")*(실물목록!$O$2:$O$1001&lt;&gt;"")*(실물목록!$O$2:$O$1001=H2127)))</f>
      </c>
      <c r="H2127" t="str">
        <f>IFERROR(IF(AND(LEN(SUBSTITUTE(SUBSTITUTE(SUBSTITUTE(TRIM(A2127&amp;""),CHAR(160),"")," ",""),"년",""))=4,VALUE(SUBSTITUTE(SUBSTITUTE(SUBSTITUTE(TRIM(A2127&amp;""),CHAR(160),"")," ",""),"년",""))&gt;=1900,VALUE(SUBSTITUTE(SUBSTITUTE(SUBSTITUTE(TRIM(A2127&amp;""),CHAR(160),"")," ",""),"년",""))&lt;=2099,TEXT(VALUE(SUBSTITUTE(SUBSTITUTE(SUBSTITUTE(TRIM(A2127&amp;""),CHAR(160),"")," ",""),"년","")),"0000")=SUBSTITUTE(SUBSTITUTE(SUBSTITUTE(TRIM(A2127&amp;""),CHAR(160),"")," ",""),"년","")),SUBSTITUTE(SUBSTITUTE(SUBSTITUTE(TRIM(A2127&amp;""),CHAR(160),"")," ",""),"년",""),""),"")</f>
      </c>
      <c r="I2127" t="str">
        <f>SUBSTITUTE(SUBSTITUTE(SUBSTITUTE(SUBSTITUTE(SUBSTITUTE(TRIM(B2127&amp;""),CHAR(160),"")," ",""),"초등학교","초"),"중학교","중"),"고등학교","고")</f>
      </c>
    </row>
    <row r="2128" customFormat="false" ht="15" hidden="false" customHeight="false" outlineLevel="0" collapsed="false">
      <c r="A2128" s="8"/>
      <c r="B2128" s="8"/>
      <c r="C2128" s="8"/>
      <c r="D2128" s="8"/>
      <c r="E2128" s="8"/>
      <c r="F2128" t="str" s="15">
        <f aca="0">IF(B2128="","",IF(H2128="","확인필요(입력누락)",IF(SUMPRODUCT((실물목록!$P$2:$P$1001&lt;&gt;"")*ISNUMBER(SEARCH(실물목록!$P$2:$P$1001,I2128))*(실물목록!$Q$2:$Q$1001&lt;&gt;"")*ISNUMBER(SEARCH(실물목록!$Q$2:$Q$1001,I2128))*(실물목록!$R$2:$R$1001="")*(실물목록!$O$2:$O$1001&lt;&gt;"")*(실물목록!$O$2:$O$1001=H2128))&gt;0,"실물 있음",IF(SUMPRODUCT((실물목록!$P$2:$P$1001&lt;&gt;"")*ISNUMBER(SEARCH(실물목록!$P$2:$P$1001,I2128))*(실물목록!$R$2:$R$1001&lt;&gt;""))&gt;0,"확인필요(입력누락)",IF(SUMPRODUCT((실물목록!$P$2:$P$1001&lt;&gt;"")*ISNUMBER(SEARCH(실물목록!$P$2:$P$1001,I2128))*(실물목록!$Q$2:$Q$1001&lt;&gt;"")*ISNUMBER(SEARCH(실물목록!$Q$2:$Q$1001,I2128))*(실물목록!$R$2:$R$1001="")*(실물목록!$O$2:$O$1001&lt;&gt;""))&gt;0,"확인필요(연도다름)","실물 없음")))))</f>
      </c>
      <c r="G2128" t="n" s="16">
        <f aca="0">IF(B2128="","",SUMPRODUCT((실물목록!$P$2:$P$1001&lt;&gt;"")*ISNUMBER(SEARCH(실물목록!$P$2:$P$1001,I2128))*(실물목록!$Q$2:$Q$1001&lt;&gt;"")*ISNUMBER(SEARCH(실물목록!$Q$2:$Q$1001,I2128))*(실물목록!$R$2:$R$1001="")*(실물목록!$O$2:$O$1001&lt;&gt;"")*(실물목록!$O$2:$O$1001=H2128)))</f>
      </c>
      <c r="H2128" t="str">
        <f>IFERROR(IF(AND(LEN(SUBSTITUTE(SUBSTITUTE(SUBSTITUTE(TRIM(A2128&amp;""),CHAR(160),"")," ",""),"년",""))=4,VALUE(SUBSTITUTE(SUBSTITUTE(SUBSTITUTE(TRIM(A2128&amp;""),CHAR(160),"")," ",""),"년",""))&gt;=1900,VALUE(SUBSTITUTE(SUBSTITUTE(SUBSTITUTE(TRIM(A2128&amp;""),CHAR(160),"")," ",""),"년",""))&lt;=2099,TEXT(VALUE(SUBSTITUTE(SUBSTITUTE(SUBSTITUTE(TRIM(A2128&amp;""),CHAR(160),"")," ",""),"년","")),"0000")=SUBSTITUTE(SUBSTITUTE(SUBSTITUTE(TRIM(A2128&amp;""),CHAR(160),"")," ",""),"년","")),SUBSTITUTE(SUBSTITUTE(SUBSTITUTE(TRIM(A2128&amp;""),CHAR(160),"")," ",""),"년",""),""),"")</f>
      </c>
      <c r="I2128" t="str">
        <f>SUBSTITUTE(SUBSTITUTE(SUBSTITUTE(SUBSTITUTE(SUBSTITUTE(TRIM(B2128&amp;""),CHAR(160),"")," ",""),"초등학교","초"),"중학교","중"),"고등학교","고")</f>
      </c>
    </row>
    <row r="2129" customFormat="false" ht="15" hidden="false" customHeight="false" outlineLevel="0" collapsed="false">
      <c r="A2129" s="8"/>
      <c r="B2129" s="8"/>
      <c r="C2129" s="8"/>
      <c r="D2129" s="8"/>
      <c r="E2129" s="8"/>
      <c r="F2129" t="str" s="15">
        <f aca="0">IF(B2129="","",IF(H2129="","확인필요(입력누락)",IF(SUMPRODUCT((실물목록!$P$2:$P$1001&lt;&gt;"")*ISNUMBER(SEARCH(실물목록!$P$2:$P$1001,I2129))*(실물목록!$Q$2:$Q$1001&lt;&gt;"")*ISNUMBER(SEARCH(실물목록!$Q$2:$Q$1001,I2129))*(실물목록!$R$2:$R$1001="")*(실물목록!$O$2:$O$1001&lt;&gt;"")*(실물목록!$O$2:$O$1001=H2129))&gt;0,"실물 있음",IF(SUMPRODUCT((실물목록!$P$2:$P$1001&lt;&gt;"")*ISNUMBER(SEARCH(실물목록!$P$2:$P$1001,I2129))*(실물목록!$R$2:$R$1001&lt;&gt;""))&gt;0,"확인필요(입력누락)",IF(SUMPRODUCT((실물목록!$P$2:$P$1001&lt;&gt;"")*ISNUMBER(SEARCH(실물목록!$P$2:$P$1001,I2129))*(실물목록!$Q$2:$Q$1001&lt;&gt;"")*ISNUMBER(SEARCH(실물목록!$Q$2:$Q$1001,I2129))*(실물목록!$R$2:$R$1001="")*(실물목록!$O$2:$O$1001&lt;&gt;""))&gt;0,"확인필요(연도다름)","실물 없음")))))</f>
      </c>
      <c r="G2129" t="n" s="16">
        <f aca="0">IF(B2129="","",SUMPRODUCT((실물목록!$P$2:$P$1001&lt;&gt;"")*ISNUMBER(SEARCH(실물목록!$P$2:$P$1001,I2129))*(실물목록!$Q$2:$Q$1001&lt;&gt;"")*ISNUMBER(SEARCH(실물목록!$Q$2:$Q$1001,I2129))*(실물목록!$R$2:$R$1001="")*(실물목록!$O$2:$O$1001&lt;&gt;"")*(실물목록!$O$2:$O$1001=H2129)))</f>
      </c>
      <c r="H2129" t="str">
        <f>IFERROR(IF(AND(LEN(SUBSTITUTE(SUBSTITUTE(SUBSTITUTE(TRIM(A2129&amp;""),CHAR(160),"")," ",""),"년",""))=4,VALUE(SUBSTITUTE(SUBSTITUTE(SUBSTITUTE(TRIM(A2129&amp;""),CHAR(160),"")," ",""),"년",""))&gt;=1900,VALUE(SUBSTITUTE(SUBSTITUTE(SUBSTITUTE(TRIM(A2129&amp;""),CHAR(160),"")," ",""),"년",""))&lt;=2099,TEXT(VALUE(SUBSTITUTE(SUBSTITUTE(SUBSTITUTE(TRIM(A2129&amp;""),CHAR(160),"")," ",""),"년","")),"0000")=SUBSTITUTE(SUBSTITUTE(SUBSTITUTE(TRIM(A2129&amp;""),CHAR(160),"")," ",""),"년","")),SUBSTITUTE(SUBSTITUTE(SUBSTITUTE(TRIM(A2129&amp;""),CHAR(160),"")," ",""),"년",""),""),"")</f>
      </c>
      <c r="I2129" t="str">
        <f>SUBSTITUTE(SUBSTITUTE(SUBSTITUTE(SUBSTITUTE(SUBSTITUTE(TRIM(B2129&amp;""),CHAR(160),"")," ",""),"초등학교","초"),"중학교","중"),"고등학교","고")</f>
      </c>
    </row>
    <row r="2130" customFormat="false" ht="15" hidden="false" customHeight="false" outlineLevel="0" collapsed="false">
      <c r="A2130" s="8"/>
      <c r="B2130" s="8"/>
      <c r="C2130" s="8"/>
      <c r="D2130" s="8"/>
      <c r="E2130" s="8"/>
      <c r="F2130" t="str" s="15">
        <f aca="0">IF(B2130="","",IF(H2130="","확인필요(입력누락)",IF(SUMPRODUCT((실물목록!$P$2:$P$1001&lt;&gt;"")*ISNUMBER(SEARCH(실물목록!$P$2:$P$1001,I2130))*(실물목록!$Q$2:$Q$1001&lt;&gt;"")*ISNUMBER(SEARCH(실물목록!$Q$2:$Q$1001,I2130))*(실물목록!$R$2:$R$1001="")*(실물목록!$O$2:$O$1001&lt;&gt;"")*(실물목록!$O$2:$O$1001=H2130))&gt;0,"실물 있음",IF(SUMPRODUCT((실물목록!$P$2:$P$1001&lt;&gt;"")*ISNUMBER(SEARCH(실물목록!$P$2:$P$1001,I2130))*(실물목록!$R$2:$R$1001&lt;&gt;""))&gt;0,"확인필요(입력누락)",IF(SUMPRODUCT((실물목록!$P$2:$P$1001&lt;&gt;"")*ISNUMBER(SEARCH(실물목록!$P$2:$P$1001,I2130))*(실물목록!$Q$2:$Q$1001&lt;&gt;"")*ISNUMBER(SEARCH(실물목록!$Q$2:$Q$1001,I2130))*(실물목록!$R$2:$R$1001="")*(실물목록!$O$2:$O$1001&lt;&gt;""))&gt;0,"확인필요(연도다름)","실물 없음")))))</f>
      </c>
      <c r="G2130" t="n" s="16">
        <f aca="0">IF(B2130="","",SUMPRODUCT((실물목록!$P$2:$P$1001&lt;&gt;"")*ISNUMBER(SEARCH(실물목록!$P$2:$P$1001,I2130))*(실물목록!$Q$2:$Q$1001&lt;&gt;"")*ISNUMBER(SEARCH(실물목록!$Q$2:$Q$1001,I2130))*(실물목록!$R$2:$R$1001="")*(실물목록!$O$2:$O$1001&lt;&gt;"")*(실물목록!$O$2:$O$1001=H2130)))</f>
      </c>
      <c r="H2130" t="str">
        <f>IFERROR(IF(AND(LEN(SUBSTITUTE(SUBSTITUTE(SUBSTITUTE(TRIM(A2130&amp;""),CHAR(160),"")," ",""),"년",""))=4,VALUE(SUBSTITUTE(SUBSTITUTE(SUBSTITUTE(TRIM(A2130&amp;""),CHAR(160),"")," ",""),"년",""))&gt;=1900,VALUE(SUBSTITUTE(SUBSTITUTE(SUBSTITUTE(TRIM(A2130&amp;""),CHAR(160),"")," ",""),"년",""))&lt;=2099,TEXT(VALUE(SUBSTITUTE(SUBSTITUTE(SUBSTITUTE(TRIM(A2130&amp;""),CHAR(160),"")," ",""),"년","")),"0000")=SUBSTITUTE(SUBSTITUTE(SUBSTITUTE(TRIM(A2130&amp;""),CHAR(160),"")," ",""),"년","")),SUBSTITUTE(SUBSTITUTE(SUBSTITUTE(TRIM(A2130&amp;""),CHAR(160),"")," ",""),"년",""),""),"")</f>
      </c>
      <c r="I2130" t="str">
        <f>SUBSTITUTE(SUBSTITUTE(SUBSTITUTE(SUBSTITUTE(SUBSTITUTE(TRIM(B2130&amp;""),CHAR(160),"")," ",""),"초등학교","초"),"중학교","중"),"고등학교","고")</f>
      </c>
    </row>
    <row r="2131" customFormat="false" ht="15" hidden="false" customHeight="false" outlineLevel="0" collapsed="false">
      <c r="A2131" s="8"/>
      <c r="B2131" s="8"/>
      <c r="C2131" s="8"/>
      <c r="D2131" s="8"/>
      <c r="E2131" s="8"/>
      <c r="F2131" t="str" s="15">
        <f aca="0">IF(B2131="","",IF(H2131="","확인필요(입력누락)",IF(SUMPRODUCT((실물목록!$P$2:$P$1001&lt;&gt;"")*ISNUMBER(SEARCH(실물목록!$P$2:$P$1001,I2131))*(실물목록!$Q$2:$Q$1001&lt;&gt;"")*ISNUMBER(SEARCH(실물목록!$Q$2:$Q$1001,I2131))*(실물목록!$R$2:$R$1001="")*(실물목록!$O$2:$O$1001&lt;&gt;"")*(실물목록!$O$2:$O$1001=H2131))&gt;0,"실물 있음",IF(SUMPRODUCT((실물목록!$P$2:$P$1001&lt;&gt;"")*ISNUMBER(SEARCH(실물목록!$P$2:$P$1001,I2131))*(실물목록!$R$2:$R$1001&lt;&gt;""))&gt;0,"확인필요(입력누락)",IF(SUMPRODUCT((실물목록!$P$2:$P$1001&lt;&gt;"")*ISNUMBER(SEARCH(실물목록!$P$2:$P$1001,I2131))*(실물목록!$Q$2:$Q$1001&lt;&gt;"")*ISNUMBER(SEARCH(실물목록!$Q$2:$Q$1001,I2131))*(실물목록!$R$2:$R$1001="")*(실물목록!$O$2:$O$1001&lt;&gt;""))&gt;0,"확인필요(연도다름)","실물 없음")))))</f>
      </c>
      <c r="G2131" t="n" s="16">
        <f aca="0">IF(B2131="","",SUMPRODUCT((실물목록!$P$2:$P$1001&lt;&gt;"")*ISNUMBER(SEARCH(실물목록!$P$2:$P$1001,I2131))*(실물목록!$Q$2:$Q$1001&lt;&gt;"")*ISNUMBER(SEARCH(실물목록!$Q$2:$Q$1001,I2131))*(실물목록!$R$2:$R$1001="")*(실물목록!$O$2:$O$1001&lt;&gt;"")*(실물목록!$O$2:$O$1001=H2131)))</f>
      </c>
      <c r="H2131" t="str">
        <f>IFERROR(IF(AND(LEN(SUBSTITUTE(SUBSTITUTE(SUBSTITUTE(TRIM(A2131&amp;""),CHAR(160),"")," ",""),"년",""))=4,VALUE(SUBSTITUTE(SUBSTITUTE(SUBSTITUTE(TRIM(A2131&amp;""),CHAR(160),"")," ",""),"년",""))&gt;=1900,VALUE(SUBSTITUTE(SUBSTITUTE(SUBSTITUTE(TRIM(A2131&amp;""),CHAR(160),"")," ",""),"년",""))&lt;=2099,TEXT(VALUE(SUBSTITUTE(SUBSTITUTE(SUBSTITUTE(TRIM(A2131&amp;""),CHAR(160),"")," ",""),"년","")),"0000")=SUBSTITUTE(SUBSTITUTE(SUBSTITUTE(TRIM(A2131&amp;""),CHAR(160),"")," ",""),"년","")),SUBSTITUTE(SUBSTITUTE(SUBSTITUTE(TRIM(A2131&amp;""),CHAR(160),"")," ",""),"년",""),""),"")</f>
      </c>
      <c r="I2131" t="str">
        <f>SUBSTITUTE(SUBSTITUTE(SUBSTITUTE(SUBSTITUTE(SUBSTITUTE(TRIM(B2131&amp;""),CHAR(160),"")," ",""),"초등학교","초"),"중학교","중"),"고등학교","고")</f>
      </c>
    </row>
    <row r="2132" customFormat="false" ht="15" hidden="false" customHeight="false" outlineLevel="0" collapsed="false">
      <c r="A2132" s="8"/>
      <c r="B2132" s="8"/>
      <c r="C2132" s="8"/>
      <c r="D2132" s="8"/>
      <c r="E2132" s="8"/>
      <c r="F2132" t="str" s="15">
        <f aca="0">IF(B2132="","",IF(H2132="","확인필요(입력누락)",IF(SUMPRODUCT((실물목록!$P$2:$P$1001&lt;&gt;"")*ISNUMBER(SEARCH(실물목록!$P$2:$P$1001,I2132))*(실물목록!$Q$2:$Q$1001&lt;&gt;"")*ISNUMBER(SEARCH(실물목록!$Q$2:$Q$1001,I2132))*(실물목록!$R$2:$R$1001="")*(실물목록!$O$2:$O$1001&lt;&gt;"")*(실물목록!$O$2:$O$1001=H2132))&gt;0,"실물 있음",IF(SUMPRODUCT((실물목록!$P$2:$P$1001&lt;&gt;"")*ISNUMBER(SEARCH(실물목록!$P$2:$P$1001,I2132))*(실물목록!$R$2:$R$1001&lt;&gt;""))&gt;0,"확인필요(입력누락)",IF(SUMPRODUCT((실물목록!$P$2:$P$1001&lt;&gt;"")*ISNUMBER(SEARCH(실물목록!$P$2:$P$1001,I2132))*(실물목록!$Q$2:$Q$1001&lt;&gt;"")*ISNUMBER(SEARCH(실물목록!$Q$2:$Q$1001,I2132))*(실물목록!$R$2:$R$1001="")*(실물목록!$O$2:$O$1001&lt;&gt;""))&gt;0,"확인필요(연도다름)","실물 없음")))))</f>
      </c>
      <c r="G2132" t="n" s="16">
        <f aca="0">IF(B2132="","",SUMPRODUCT((실물목록!$P$2:$P$1001&lt;&gt;"")*ISNUMBER(SEARCH(실물목록!$P$2:$P$1001,I2132))*(실물목록!$Q$2:$Q$1001&lt;&gt;"")*ISNUMBER(SEARCH(실물목록!$Q$2:$Q$1001,I2132))*(실물목록!$R$2:$R$1001="")*(실물목록!$O$2:$O$1001&lt;&gt;"")*(실물목록!$O$2:$O$1001=H2132)))</f>
      </c>
      <c r="H2132" t="str">
        <f>IFERROR(IF(AND(LEN(SUBSTITUTE(SUBSTITUTE(SUBSTITUTE(TRIM(A2132&amp;""),CHAR(160),"")," ",""),"년",""))=4,VALUE(SUBSTITUTE(SUBSTITUTE(SUBSTITUTE(TRIM(A2132&amp;""),CHAR(160),"")," ",""),"년",""))&gt;=1900,VALUE(SUBSTITUTE(SUBSTITUTE(SUBSTITUTE(TRIM(A2132&amp;""),CHAR(160),"")," ",""),"년",""))&lt;=2099,TEXT(VALUE(SUBSTITUTE(SUBSTITUTE(SUBSTITUTE(TRIM(A2132&amp;""),CHAR(160),"")," ",""),"년","")),"0000")=SUBSTITUTE(SUBSTITUTE(SUBSTITUTE(TRIM(A2132&amp;""),CHAR(160),"")," ",""),"년","")),SUBSTITUTE(SUBSTITUTE(SUBSTITUTE(TRIM(A2132&amp;""),CHAR(160),"")," ",""),"년",""),""),"")</f>
      </c>
      <c r="I2132" t="str">
        <f>SUBSTITUTE(SUBSTITUTE(SUBSTITUTE(SUBSTITUTE(SUBSTITUTE(TRIM(B2132&amp;""),CHAR(160),"")," ",""),"초등학교","초"),"중학교","중"),"고등학교","고")</f>
      </c>
    </row>
    <row r="2133" customFormat="false" ht="15" hidden="false" customHeight="false" outlineLevel="0" collapsed="false">
      <c r="A2133" s="8"/>
      <c r="B2133" s="8"/>
      <c r="C2133" s="8"/>
      <c r="D2133" s="8"/>
      <c r="E2133" s="8"/>
      <c r="F2133" t="str" s="15">
        <f aca="0">IF(B2133="","",IF(H2133="","확인필요(입력누락)",IF(SUMPRODUCT((실물목록!$P$2:$P$1001&lt;&gt;"")*ISNUMBER(SEARCH(실물목록!$P$2:$P$1001,I2133))*(실물목록!$Q$2:$Q$1001&lt;&gt;"")*ISNUMBER(SEARCH(실물목록!$Q$2:$Q$1001,I2133))*(실물목록!$R$2:$R$1001="")*(실물목록!$O$2:$O$1001&lt;&gt;"")*(실물목록!$O$2:$O$1001=H2133))&gt;0,"실물 있음",IF(SUMPRODUCT((실물목록!$P$2:$P$1001&lt;&gt;"")*ISNUMBER(SEARCH(실물목록!$P$2:$P$1001,I2133))*(실물목록!$R$2:$R$1001&lt;&gt;""))&gt;0,"확인필요(입력누락)",IF(SUMPRODUCT((실물목록!$P$2:$P$1001&lt;&gt;"")*ISNUMBER(SEARCH(실물목록!$P$2:$P$1001,I2133))*(실물목록!$Q$2:$Q$1001&lt;&gt;"")*ISNUMBER(SEARCH(실물목록!$Q$2:$Q$1001,I2133))*(실물목록!$R$2:$R$1001="")*(실물목록!$O$2:$O$1001&lt;&gt;""))&gt;0,"확인필요(연도다름)","실물 없음")))))</f>
      </c>
      <c r="G2133" t="n" s="16">
        <f aca="0">IF(B2133="","",SUMPRODUCT((실물목록!$P$2:$P$1001&lt;&gt;"")*ISNUMBER(SEARCH(실물목록!$P$2:$P$1001,I2133))*(실물목록!$Q$2:$Q$1001&lt;&gt;"")*ISNUMBER(SEARCH(실물목록!$Q$2:$Q$1001,I2133))*(실물목록!$R$2:$R$1001="")*(실물목록!$O$2:$O$1001&lt;&gt;"")*(실물목록!$O$2:$O$1001=H2133)))</f>
      </c>
      <c r="H2133" t="str">
        <f>IFERROR(IF(AND(LEN(SUBSTITUTE(SUBSTITUTE(SUBSTITUTE(TRIM(A2133&amp;""),CHAR(160),"")," ",""),"년",""))=4,VALUE(SUBSTITUTE(SUBSTITUTE(SUBSTITUTE(TRIM(A2133&amp;""),CHAR(160),"")," ",""),"년",""))&gt;=1900,VALUE(SUBSTITUTE(SUBSTITUTE(SUBSTITUTE(TRIM(A2133&amp;""),CHAR(160),"")," ",""),"년",""))&lt;=2099,TEXT(VALUE(SUBSTITUTE(SUBSTITUTE(SUBSTITUTE(TRIM(A2133&amp;""),CHAR(160),"")," ",""),"년","")),"0000")=SUBSTITUTE(SUBSTITUTE(SUBSTITUTE(TRIM(A2133&amp;""),CHAR(160),"")," ",""),"년","")),SUBSTITUTE(SUBSTITUTE(SUBSTITUTE(TRIM(A2133&amp;""),CHAR(160),"")," ",""),"년",""),""),"")</f>
      </c>
      <c r="I2133" t="str">
        <f>SUBSTITUTE(SUBSTITUTE(SUBSTITUTE(SUBSTITUTE(SUBSTITUTE(TRIM(B2133&amp;""),CHAR(160),"")," ",""),"초등학교","초"),"중학교","중"),"고등학교","고")</f>
      </c>
    </row>
    <row r="2134" customFormat="false" ht="15" hidden="false" customHeight="false" outlineLevel="0" collapsed="false">
      <c r="A2134" s="8"/>
      <c r="B2134" s="8"/>
      <c r="C2134" s="8"/>
      <c r="D2134" s="8"/>
      <c r="E2134" s="8"/>
      <c r="F2134" t="str" s="15">
        <f aca="0">IF(B2134="","",IF(H2134="","확인필요(입력누락)",IF(SUMPRODUCT((실물목록!$P$2:$P$1001&lt;&gt;"")*ISNUMBER(SEARCH(실물목록!$P$2:$P$1001,I2134))*(실물목록!$Q$2:$Q$1001&lt;&gt;"")*ISNUMBER(SEARCH(실물목록!$Q$2:$Q$1001,I2134))*(실물목록!$R$2:$R$1001="")*(실물목록!$O$2:$O$1001&lt;&gt;"")*(실물목록!$O$2:$O$1001=H2134))&gt;0,"실물 있음",IF(SUMPRODUCT((실물목록!$P$2:$P$1001&lt;&gt;"")*ISNUMBER(SEARCH(실물목록!$P$2:$P$1001,I2134))*(실물목록!$R$2:$R$1001&lt;&gt;""))&gt;0,"확인필요(입력누락)",IF(SUMPRODUCT((실물목록!$P$2:$P$1001&lt;&gt;"")*ISNUMBER(SEARCH(실물목록!$P$2:$P$1001,I2134))*(실물목록!$Q$2:$Q$1001&lt;&gt;"")*ISNUMBER(SEARCH(실물목록!$Q$2:$Q$1001,I2134))*(실물목록!$R$2:$R$1001="")*(실물목록!$O$2:$O$1001&lt;&gt;""))&gt;0,"확인필요(연도다름)","실물 없음")))))</f>
      </c>
      <c r="G2134" t="n" s="16">
        <f aca="0">IF(B2134="","",SUMPRODUCT((실물목록!$P$2:$P$1001&lt;&gt;"")*ISNUMBER(SEARCH(실물목록!$P$2:$P$1001,I2134))*(실물목록!$Q$2:$Q$1001&lt;&gt;"")*ISNUMBER(SEARCH(실물목록!$Q$2:$Q$1001,I2134))*(실물목록!$R$2:$R$1001="")*(실물목록!$O$2:$O$1001&lt;&gt;"")*(실물목록!$O$2:$O$1001=H2134)))</f>
      </c>
      <c r="H2134" t="str">
        <f>IFERROR(IF(AND(LEN(SUBSTITUTE(SUBSTITUTE(SUBSTITUTE(TRIM(A2134&amp;""),CHAR(160),"")," ",""),"년",""))=4,VALUE(SUBSTITUTE(SUBSTITUTE(SUBSTITUTE(TRIM(A2134&amp;""),CHAR(160),"")," ",""),"년",""))&gt;=1900,VALUE(SUBSTITUTE(SUBSTITUTE(SUBSTITUTE(TRIM(A2134&amp;""),CHAR(160),"")," ",""),"년",""))&lt;=2099,TEXT(VALUE(SUBSTITUTE(SUBSTITUTE(SUBSTITUTE(TRIM(A2134&amp;""),CHAR(160),"")," ",""),"년","")),"0000")=SUBSTITUTE(SUBSTITUTE(SUBSTITUTE(TRIM(A2134&amp;""),CHAR(160),"")," ",""),"년","")),SUBSTITUTE(SUBSTITUTE(SUBSTITUTE(TRIM(A2134&amp;""),CHAR(160),"")," ",""),"년",""),""),"")</f>
      </c>
      <c r="I2134" t="str">
        <f>SUBSTITUTE(SUBSTITUTE(SUBSTITUTE(SUBSTITUTE(SUBSTITUTE(TRIM(B2134&amp;""),CHAR(160),"")," ",""),"초등학교","초"),"중학교","중"),"고등학교","고")</f>
      </c>
    </row>
    <row r="2135" customFormat="false" ht="15" hidden="false" customHeight="false" outlineLevel="0" collapsed="false">
      <c r="A2135" s="8"/>
      <c r="B2135" s="8"/>
      <c r="C2135" s="8"/>
      <c r="D2135" s="8"/>
      <c r="E2135" s="8"/>
      <c r="F2135" t="str" s="15">
        <f aca="0">IF(B2135="","",IF(H2135="","확인필요(입력누락)",IF(SUMPRODUCT((실물목록!$P$2:$P$1001&lt;&gt;"")*ISNUMBER(SEARCH(실물목록!$P$2:$P$1001,I2135))*(실물목록!$Q$2:$Q$1001&lt;&gt;"")*ISNUMBER(SEARCH(실물목록!$Q$2:$Q$1001,I2135))*(실물목록!$R$2:$R$1001="")*(실물목록!$O$2:$O$1001&lt;&gt;"")*(실물목록!$O$2:$O$1001=H2135))&gt;0,"실물 있음",IF(SUMPRODUCT((실물목록!$P$2:$P$1001&lt;&gt;"")*ISNUMBER(SEARCH(실물목록!$P$2:$P$1001,I2135))*(실물목록!$R$2:$R$1001&lt;&gt;""))&gt;0,"확인필요(입력누락)",IF(SUMPRODUCT((실물목록!$P$2:$P$1001&lt;&gt;"")*ISNUMBER(SEARCH(실물목록!$P$2:$P$1001,I2135))*(실물목록!$Q$2:$Q$1001&lt;&gt;"")*ISNUMBER(SEARCH(실물목록!$Q$2:$Q$1001,I2135))*(실물목록!$R$2:$R$1001="")*(실물목록!$O$2:$O$1001&lt;&gt;""))&gt;0,"확인필요(연도다름)","실물 없음")))))</f>
      </c>
      <c r="G2135" t="n" s="16">
        <f aca="0">IF(B2135="","",SUMPRODUCT((실물목록!$P$2:$P$1001&lt;&gt;"")*ISNUMBER(SEARCH(실물목록!$P$2:$P$1001,I2135))*(실물목록!$Q$2:$Q$1001&lt;&gt;"")*ISNUMBER(SEARCH(실물목록!$Q$2:$Q$1001,I2135))*(실물목록!$R$2:$R$1001="")*(실물목록!$O$2:$O$1001&lt;&gt;"")*(실물목록!$O$2:$O$1001=H2135)))</f>
      </c>
      <c r="H2135" t="str">
        <f>IFERROR(IF(AND(LEN(SUBSTITUTE(SUBSTITUTE(SUBSTITUTE(TRIM(A2135&amp;""),CHAR(160),"")," ",""),"년",""))=4,VALUE(SUBSTITUTE(SUBSTITUTE(SUBSTITUTE(TRIM(A2135&amp;""),CHAR(160),"")," ",""),"년",""))&gt;=1900,VALUE(SUBSTITUTE(SUBSTITUTE(SUBSTITUTE(TRIM(A2135&amp;""),CHAR(160),"")," ",""),"년",""))&lt;=2099,TEXT(VALUE(SUBSTITUTE(SUBSTITUTE(SUBSTITUTE(TRIM(A2135&amp;""),CHAR(160),"")," ",""),"년","")),"0000")=SUBSTITUTE(SUBSTITUTE(SUBSTITUTE(TRIM(A2135&amp;""),CHAR(160),"")," ",""),"년","")),SUBSTITUTE(SUBSTITUTE(SUBSTITUTE(TRIM(A2135&amp;""),CHAR(160),"")," ",""),"년",""),""),"")</f>
      </c>
      <c r="I2135" t="str">
        <f>SUBSTITUTE(SUBSTITUTE(SUBSTITUTE(SUBSTITUTE(SUBSTITUTE(TRIM(B2135&amp;""),CHAR(160),"")," ",""),"초등학교","초"),"중학교","중"),"고등학교","고")</f>
      </c>
    </row>
    <row r="2136" customFormat="false" ht="15" hidden="false" customHeight="false" outlineLevel="0" collapsed="false">
      <c r="A2136" s="8"/>
      <c r="B2136" s="8"/>
      <c r="C2136" s="8"/>
      <c r="D2136" s="8"/>
      <c r="E2136" s="8"/>
      <c r="F2136" t="str" s="15">
        <f aca="0">IF(B2136="","",IF(H2136="","확인필요(입력누락)",IF(SUMPRODUCT((실물목록!$P$2:$P$1001&lt;&gt;"")*ISNUMBER(SEARCH(실물목록!$P$2:$P$1001,I2136))*(실물목록!$Q$2:$Q$1001&lt;&gt;"")*ISNUMBER(SEARCH(실물목록!$Q$2:$Q$1001,I2136))*(실물목록!$R$2:$R$1001="")*(실물목록!$O$2:$O$1001&lt;&gt;"")*(실물목록!$O$2:$O$1001=H2136))&gt;0,"실물 있음",IF(SUMPRODUCT((실물목록!$P$2:$P$1001&lt;&gt;"")*ISNUMBER(SEARCH(실물목록!$P$2:$P$1001,I2136))*(실물목록!$R$2:$R$1001&lt;&gt;""))&gt;0,"확인필요(입력누락)",IF(SUMPRODUCT((실물목록!$P$2:$P$1001&lt;&gt;"")*ISNUMBER(SEARCH(실물목록!$P$2:$P$1001,I2136))*(실물목록!$Q$2:$Q$1001&lt;&gt;"")*ISNUMBER(SEARCH(실물목록!$Q$2:$Q$1001,I2136))*(실물목록!$R$2:$R$1001="")*(실물목록!$O$2:$O$1001&lt;&gt;""))&gt;0,"확인필요(연도다름)","실물 없음")))))</f>
      </c>
      <c r="G2136" t="n" s="16">
        <f aca="0">IF(B2136="","",SUMPRODUCT((실물목록!$P$2:$P$1001&lt;&gt;"")*ISNUMBER(SEARCH(실물목록!$P$2:$P$1001,I2136))*(실물목록!$Q$2:$Q$1001&lt;&gt;"")*ISNUMBER(SEARCH(실물목록!$Q$2:$Q$1001,I2136))*(실물목록!$R$2:$R$1001="")*(실물목록!$O$2:$O$1001&lt;&gt;"")*(실물목록!$O$2:$O$1001=H2136)))</f>
      </c>
      <c r="H2136" t="str">
        <f>IFERROR(IF(AND(LEN(SUBSTITUTE(SUBSTITUTE(SUBSTITUTE(TRIM(A2136&amp;""),CHAR(160),"")," ",""),"년",""))=4,VALUE(SUBSTITUTE(SUBSTITUTE(SUBSTITUTE(TRIM(A2136&amp;""),CHAR(160),"")," ",""),"년",""))&gt;=1900,VALUE(SUBSTITUTE(SUBSTITUTE(SUBSTITUTE(TRIM(A2136&amp;""),CHAR(160),"")," ",""),"년",""))&lt;=2099,TEXT(VALUE(SUBSTITUTE(SUBSTITUTE(SUBSTITUTE(TRIM(A2136&amp;""),CHAR(160),"")," ",""),"년","")),"0000")=SUBSTITUTE(SUBSTITUTE(SUBSTITUTE(TRIM(A2136&amp;""),CHAR(160),"")," ",""),"년","")),SUBSTITUTE(SUBSTITUTE(SUBSTITUTE(TRIM(A2136&amp;""),CHAR(160),"")," ",""),"년",""),""),"")</f>
      </c>
      <c r="I2136" t="str">
        <f>SUBSTITUTE(SUBSTITUTE(SUBSTITUTE(SUBSTITUTE(SUBSTITUTE(TRIM(B2136&amp;""),CHAR(160),"")," ",""),"초등학교","초"),"중학교","중"),"고등학교","고")</f>
      </c>
    </row>
    <row r="2137" customFormat="false" ht="15" hidden="false" customHeight="false" outlineLevel="0" collapsed="false">
      <c r="A2137" s="8"/>
      <c r="B2137" s="8"/>
      <c r="C2137" s="8"/>
      <c r="D2137" s="8"/>
      <c r="E2137" s="8"/>
      <c r="F2137" t="str" s="15">
        <f aca="0">IF(B2137="","",IF(H2137="","확인필요(입력누락)",IF(SUMPRODUCT((실물목록!$P$2:$P$1001&lt;&gt;"")*ISNUMBER(SEARCH(실물목록!$P$2:$P$1001,I2137))*(실물목록!$Q$2:$Q$1001&lt;&gt;"")*ISNUMBER(SEARCH(실물목록!$Q$2:$Q$1001,I2137))*(실물목록!$R$2:$R$1001="")*(실물목록!$O$2:$O$1001&lt;&gt;"")*(실물목록!$O$2:$O$1001=H2137))&gt;0,"실물 있음",IF(SUMPRODUCT((실물목록!$P$2:$P$1001&lt;&gt;"")*ISNUMBER(SEARCH(실물목록!$P$2:$P$1001,I2137))*(실물목록!$R$2:$R$1001&lt;&gt;""))&gt;0,"확인필요(입력누락)",IF(SUMPRODUCT((실물목록!$P$2:$P$1001&lt;&gt;"")*ISNUMBER(SEARCH(실물목록!$P$2:$P$1001,I2137))*(실물목록!$Q$2:$Q$1001&lt;&gt;"")*ISNUMBER(SEARCH(실물목록!$Q$2:$Q$1001,I2137))*(실물목록!$R$2:$R$1001="")*(실물목록!$O$2:$O$1001&lt;&gt;""))&gt;0,"확인필요(연도다름)","실물 없음")))))</f>
      </c>
      <c r="G2137" t="n" s="16">
        <f aca="0">IF(B2137="","",SUMPRODUCT((실물목록!$P$2:$P$1001&lt;&gt;"")*ISNUMBER(SEARCH(실물목록!$P$2:$P$1001,I2137))*(실물목록!$Q$2:$Q$1001&lt;&gt;"")*ISNUMBER(SEARCH(실물목록!$Q$2:$Q$1001,I2137))*(실물목록!$R$2:$R$1001="")*(실물목록!$O$2:$O$1001&lt;&gt;"")*(실물목록!$O$2:$O$1001=H2137)))</f>
      </c>
      <c r="H2137" t="str">
        <f>IFERROR(IF(AND(LEN(SUBSTITUTE(SUBSTITUTE(SUBSTITUTE(TRIM(A2137&amp;""),CHAR(160),"")," ",""),"년",""))=4,VALUE(SUBSTITUTE(SUBSTITUTE(SUBSTITUTE(TRIM(A2137&amp;""),CHAR(160),"")," ",""),"년",""))&gt;=1900,VALUE(SUBSTITUTE(SUBSTITUTE(SUBSTITUTE(TRIM(A2137&amp;""),CHAR(160),"")," ",""),"년",""))&lt;=2099,TEXT(VALUE(SUBSTITUTE(SUBSTITUTE(SUBSTITUTE(TRIM(A2137&amp;""),CHAR(160),"")," ",""),"년","")),"0000")=SUBSTITUTE(SUBSTITUTE(SUBSTITUTE(TRIM(A2137&amp;""),CHAR(160),"")," ",""),"년","")),SUBSTITUTE(SUBSTITUTE(SUBSTITUTE(TRIM(A2137&amp;""),CHAR(160),"")," ",""),"년",""),""),"")</f>
      </c>
      <c r="I2137" t="str">
        <f>SUBSTITUTE(SUBSTITUTE(SUBSTITUTE(SUBSTITUTE(SUBSTITUTE(TRIM(B2137&amp;""),CHAR(160),"")," ",""),"초등학교","초"),"중학교","중"),"고등학교","고")</f>
      </c>
    </row>
    <row r="2138" customFormat="false" ht="15" hidden="false" customHeight="false" outlineLevel="0" collapsed="false">
      <c r="A2138" s="8"/>
      <c r="B2138" s="8"/>
      <c r="C2138" s="8"/>
      <c r="D2138" s="8"/>
      <c r="E2138" s="8"/>
      <c r="F2138" t="str" s="15">
        <f aca="0">IF(B2138="","",IF(H2138="","확인필요(입력누락)",IF(SUMPRODUCT((실물목록!$P$2:$P$1001&lt;&gt;"")*ISNUMBER(SEARCH(실물목록!$P$2:$P$1001,I2138))*(실물목록!$Q$2:$Q$1001&lt;&gt;"")*ISNUMBER(SEARCH(실물목록!$Q$2:$Q$1001,I2138))*(실물목록!$R$2:$R$1001="")*(실물목록!$O$2:$O$1001&lt;&gt;"")*(실물목록!$O$2:$O$1001=H2138))&gt;0,"실물 있음",IF(SUMPRODUCT((실물목록!$P$2:$P$1001&lt;&gt;"")*ISNUMBER(SEARCH(실물목록!$P$2:$P$1001,I2138))*(실물목록!$R$2:$R$1001&lt;&gt;""))&gt;0,"확인필요(입력누락)",IF(SUMPRODUCT((실물목록!$P$2:$P$1001&lt;&gt;"")*ISNUMBER(SEARCH(실물목록!$P$2:$P$1001,I2138))*(실물목록!$Q$2:$Q$1001&lt;&gt;"")*ISNUMBER(SEARCH(실물목록!$Q$2:$Q$1001,I2138))*(실물목록!$R$2:$R$1001="")*(실물목록!$O$2:$O$1001&lt;&gt;""))&gt;0,"확인필요(연도다름)","실물 없음")))))</f>
      </c>
      <c r="G2138" t="n" s="16">
        <f aca="0">IF(B2138="","",SUMPRODUCT((실물목록!$P$2:$P$1001&lt;&gt;"")*ISNUMBER(SEARCH(실물목록!$P$2:$P$1001,I2138))*(실물목록!$Q$2:$Q$1001&lt;&gt;"")*ISNUMBER(SEARCH(실물목록!$Q$2:$Q$1001,I2138))*(실물목록!$R$2:$R$1001="")*(실물목록!$O$2:$O$1001&lt;&gt;"")*(실물목록!$O$2:$O$1001=H2138)))</f>
      </c>
      <c r="H2138" t="str">
        <f>IFERROR(IF(AND(LEN(SUBSTITUTE(SUBSTITUTE(SUBSTITUTE(TRIM(A2138&amp;""),CHAR(160),"")," ",""),"년",""))=4,VALUE(SUBSTITUTE(SUBSTITUTE(SUBSTITUTE(TRIM(A2138&amp;""),CHAR(160),"")," ",""),"년",""))&gt;=1900,VALUE(SUBSTITUTE(SUBSTITUTE(SUBSTITUTE(TRIM(A2138&amp;""),CHAR(160),"")," ",""),"년",""))&lt;=2099,TEXT(VALUE(SUBSTITUTE(SUBSTITUTE(SUBSTITUTE(TRIM(A2138&amp;""),CHAR(160),"")," ",""),"년","")),"0000")=SUBSTITUTE(SUBSTITUTE(SUBSTITUTE(TRIM(A2138&amp;""),CHAR(160),"")," ",""),"년","")),SUBSTITUTE(SUBSTITUTE(SUBSTITUTE(TRIM(A2138&amp;""),CHAR(160),"")," ",""),"년",""),""),"")</f>
      </c>
      <c r="I2138" t="str">
        <f>SUBSTITUTE(SUBSTITUTE(SUBSTITUTE(SUBSTITUTE(SUBSTITUTE(TRIM(B2138&amp;""),CHAR(160),"")," ",""),"초등학교","초"),"중학교","중"),"고등학교","고")</f>
      </c>
    </row>
    <row r="2139" customFormat="false" ht="15" hidden="false" customHeight="false" outlineLevel="0" collapsed="false">
      <c r="A2139" s="8"/>
      <c r="B2139" s="8"/>
      <c r="C2139" s="8"/>
      <c r="D2139" s="8"/>
      <c r="E2139" s="8"/>
      <c r="F2139" t="str" s="15">
        <f aca="0">IF(B2139="","",IF(H2139="","확인필요(입력누락)",IF(SUMPRODUCT((실물목록!$P$2:$P$1001&lt;&gt;"")*ISNUMBER(SEARCH(실물목록!$P$2:$P$1001,I2139))*(실물목록!$Q$2:$Q$1001&lt;&gt;"")*ISNUMBER(SEARCH(실물목록!$Q$2:$Q$1001,I2139))*(실물목록!$R$2:$R$1001="")*(실물목록!$O$2:$O$1001&lt;&gt;"")*(실물목록!$O$2:$O$1001=H2139))&gt;0,"실물 있음",IF(SUMPRODUCT((실물목록!$P$2:$P$1001&lt;&gt;"")*ISNUMBER(SEARCH(실물목록!$P$2:$P$1001,I2139))*(실물목록!$R$2:$R$1001&lt;&gt;""))&gt;0,"확인필요(입력누락)",IF(SUMPRODUCT((실물목록!$P$2:$P$1001&lt;&gt;"")*ISNUMBER(SEARCH(실물목록!$P$2:$P$1001,I2139))*(실물목록!$Q$2:$Q$1001&lt;&gt;"")*ISNUMBER(SEARCH(실물목록!$Q$2:$Q$1001,I2139))*(실물목록!$R$2:$R$1001="")*(실물목록!$O$2:$O$1001&lt;&gt;""))&gt;0,"확인필요(연도다름)","실물 없음")))))</f>
      </c>
      <c r="G2139" t="n" s="16">
        <f aca="0">IF(B2139="","",SUMPRODUCT((실물목록!$P$2:$P$1001&lt;&gt;"")*ISNUMBER(SEARCH(실물목록!$P$2:$P$1001,I2139))*(실물목록!$Q$2:$Q$1001&lt;&gt;"")*ISNUMBER(SEARCH(실물목록!$Q$2:$Q$1001,I2139))*(실물목록!$R$2:$R$1001="")*(실물목록!$O$2:$O$1001&lt;&gt;"")*(실물목록!$O$2:$O$1001=H2139)))</f>
      </c>
      <c r="H2139" t="str">
        <f>IFERROR(IF(AND(LEN(SUBSTITUTE(SUBSTITUTE(SUBSTITUTE(TRIM(A2139&amp;""),CHAR(160),"")," ",""),"년",""))=4,VALUE(SUBSTITUTE(SUBSTITUTE(SUBSTITUTE(TRIM(A2139&amp;""),CHAR(160),"")," ",""),"년",""))&gt;=1900,VALUE(SUBSTITUTE(SUBSTITUTE(SUBSTITUTE(TRIM(A2139&amp;""),CHAR(160),"")," ",""),"년",""))&lt;=2099,TEXT(VALUE(SUBSTITUTE(SUBSTITUTE(SUBSTITUTE(TRIM(A2139&amp;""),CHAR(160),"")," ",""),"년","")),"0000")=SUBSTITUTE(SUBSTITUTE(SUBSTITUTE(TRIM(A2139&amp;""),CHAR(160),"")," ",""),"년","")),SUBSTITUTE(SUBSTITUTE(SUBSTITUTE(TRIM(A2139&amp;""),CHAR(160),"")," ",""),"년",""),""),"")</f>
      </c>
      <c r="I2139" t="str">
        <f>SUBSTITUTE(SUBSTITUTE(SUBSTITUTE(SUBSTITUTE(SUBSTITUTE(TRIM(B2139&amp;""),CHAR(160),"")," ",""),"초등학교","초"),"중학교","중"),"고등학교","고")</f>
      </c>
    </row>
    <row r="2140" customFormat="false" ht="15" hidden="false" customHeight="false" outlineLevel="0" collapsed="false">
      <c r="A2140" s="8"/>
      <c r="B2140" s="8"/>
      <c r="C2140" s="8"/>
      <c r="D2140" s="8"/>
      <c r="E2140" s="8"/>
      <c r="F2140" t="str" s="15">
        <f aca="0">IF(B2140="","",IF(H2140="","확인필요(입력누락)",IF(SUMPRODUCT((실물목록!$P$2:$P$1001&lt;&gt;"")*ISNUMBER(SEARCH(실물목록!$P$2:$P$1001,I2140))*(실물목록!$Q$2:$Q$1001&lt;&gt;"")*ISNUMBER(SEARCH(실물목록!$Q$2:$Q$1001,I2140))*(실물목록!$R$2:$R$1001="")*(실물목록!$O$2:$O$1001&lt;&gt;"")*(실물목록!$O$2:$O$1001=H2140))&gt;0,"실물 있음",IF(SUMPRODUCT((실물목록!$P$2:$P$1001&lt;&gt;"")*ISNUMBER(SEARCH(실물목록!$P$2:$P$1001,I2140))*(실물목록!$R$2:$R$1001&lt;&gt;""))&gt;0,"확인필요(입력누락)",IF(SUMPRODUCT((실물목록!$P$2:$P$1001&lt;&gt;"")*ISNUMBER(SEARCH(실물목록!$P$2:$P$1001,I2140))*(실물목록!$Q$2:$Q$1001&lt;&gt;"")*ISNUMBER(SEARCH(실물목록!$Q$2:$Q$1001,I2140))*(실물목록!$R$2:$R$1001="")*(실물목록!$O$2:$O$1001&lt;&gt;""))&gt;0,"확인필요(연도다름)","실물 없음")))))</f>
      </c>
      <c r="G2140" t="n" s="16">
        <f aca="0">IF(B2140="","",SUMPRODUCT((실물목록!$P$2:$P$1001&lt;&gt;"")*ISNUMBER(SEARCH(실물목록!$P$2:$P$1001,I2140))*(실물목록!$Q$2:$Q$1001&lt;&gt;"")*ISNUMBER(SEARCH(실물목록!$Q$2:$Q$1001,I2140))*(실물목록!$R$2:$R$1001="")*(실물목록!$O$2:$O$1001&lt;&gt;"")*(실물목록!$O$2:$O$1001=H2140)))</f>
      </c>
      <c r="H2140" t="str">
        <f>IFERROR(IF(AND(LEN(SUBSTITUTE(SUBSTITUTE(SUBSTITUTE(TRIM(A2140&amp;""),CHAR(160),"")," ",""),"년",""))=4,VALUE(SUBSTITUTE(SUBSTITUTE(SUBSTITUTE(TRIM(A2140&amp;""),CHAR(160),"")," ",""),"년",""))&gt;=1900,VALUE(SUBSTITUTE(SUBSTITUTE(SUBSTITUTE(TRIM(A2140&amp;""),CHAR(160),"")," ",""),"년",""))&lt;=2099,TEXT(VALUE(SUBSTITUTE(SUBSTITUTE(SUBSTITUTE(TRIM(A2140&amp;""),CHAR(160),"")," ",""),"년","")),"0000")=SUBSTITUTE(SUBSTITUTE(SUBSTITUTE(TRIM(A2140&amp;""),CHAR(160),"")," ",""),"년","")),SUBSTITUTE(SUBSTITUTE(SUBSTITUTE(TRIM(A2140&amp;""),CHAR(160),"")," ",""),"년",""),""),"")</f>
      </c>
      <c r="I2140" t="str">
        <f>SUBSTITUTE(SUBSTITUTE(SUBSTITUTE(SUBSTITUTE(SUBSTITUTE(TRIM(B2140&amp;""),CHAR(160),"")," ",""),"초등학교","초"),"중학교","중"),"고등학교","고")</f>
      </c>
    </row>
    <row r="2141" customFormat="false" ht="15" hidden="false" customHeight="false" outlineLevel="0" collapsed="false">
      <c r="A2141" s="8"/>
      <c r="B2141" s="8"/>
      <c r="C2141" s="8"/>
      <c r="D2141" s="8"/>
      <c r="E2141" s="8"/>
      <c r="F2141" t="str" s="15">
        <f aca="0">IF(B2141="","",IF(H2141="","확인필요(입력누락)",IF(SUMPRODUCT((실물목록!$P$2:$P$1001&lt;&gt;"")*ISNUMBER(SEARCH(실물목록!$P$2:$P$1001,I2141))*(실물목록!$Q$2:$Q$1001&lt;&gt;"")*ISNUMBER(SEARCH(실물목록!$Q$2:$Q$1001,I2141))*(실물목록!$R$2:$R$1001="")*(실물목록!$O$2:$O$1001&lt;&gt;"")*(실물목록!$O$2:$O$1001=H2141))&gt;0,"실물 있음",IF(SUMPRODUCT((실물목록!$P$2:$P$1001&lt;&gt;"")*ISNUMBER(SEARCH(실물목록!$P$2:$P$1001,I2141))*(실물목록!$R$2:$R$1001&lt;&gt;""))&gt;0,"확인필요(입력누락)",IF(SUMPRODUCT((실물목록!$P$2:$P$1001&lt;&gt;"")*ISNUMBER(SEARCH(실물목록!$P$2:$P$1001,I2141))*(실물목록!$Q$2:$Q$1001&lt;&gt;"")*ISNUMBER(SEARCH(실물목록!$Q$2:$Q$1001,I2141))*(실물목록!$R$2:$R$1001="")*(실물목록!$O$2:$O$1001&lt;&gt;""))&gt;0,"확인필요(연도다름)","실물 없음")))))</f>
      </c>
      <c r="G2141" t="n" s="16">
        <f aca="0">IF(B2141="","",SUMPRODUCT((실물목록!$P$2:$P$1001&lt;&gt;"")*ISNUMBER(SEARCH(실물목록!$P$2:$P$1001,I2141))*(실물목록!$Q$2:$Q$1001&lt;&gt;"")*ISNUMBER(SEARCH(실물목록!$Q$2:$Q$1001,I2141))*(실물목록!$R$2:$R$1001="")*(실물목록!$O$2:$O$1001&lt;&gt;"")*(실물목록!$O$2:$O$1001=H2141)))</f>
      </c>
      <c r="H2141" t="str">
        <f>IFERROR(IF(AND(LEN(SUBSTITUTE(SUBSTITUTE(SUBSTITUTE(TRIM(A2141&amp;""),CHAR(160),"")," ",""),"년",""))=4,VALUE(SUBSTITUTE(SUBSTITUTE(SUBSTITUTE(TRIM(A2141&amp;""),CHAR(160),"")," ",""),"년",""))&gt;=1900,VALUE(SUBSTITUTE(SUBSTITUTE(SUBSTITUTE(TRIM(A2141&amp;""),CHAR(160),"")," ",""),"년",""))&lt;=2099,TEXT(VALUE(SUBSTITUTE(SUBSTITUTE(SUBSTITUTE(TRIM(A2141&amp;""),CHAR(160),"")," ",""),"년","")),"0000")=SUBSTITUTE(SUBSTITUTE(SUBSTITUTE(TRIM(A2141&amp;""),CHAR(160),"")," ",""),"년","")),SUBSTITUTE(SUBSTITUTE(SUBSTITUTE(TRIM(A2141&amp;""),CHAR(160),"")," ",""),"년",""),""),"")</f>
      </c>
      <c r="I2141" t="str">
        <f>SUBSTITUTE(SUBSTITUTE(SUBSTITUTE(SUBSTITUTE(SUBSTITUTE(TRIM(B2141&amp;""),CHAR(160),"")," ",""),"초등학교","초"),"중학교","중"),"고등학교","고")</f>
      </c>
    </row>
    <row r="2142" customFormat="false" ht="15" hidden="false" customHeight="false" outlineLevel="0" collapsed="false">
      <c r="A2142" s="8"/>
      <c r="B2142" s="8"/>
      <c r="C2142" s="8"/>
      <c r="D2142" s="8"/>
      <c r="E2142" s="8"/>
      <c r="F2142" t="str" s="15">
        <f aca="0">IF(B2142="","",IF(H2142="","확인필요(입력누락)",IF(SUMPRODUCT((실물목록!$P$2:$P$1001&lt;&gt;"")*ISNUMBER(SEARCH(실물목록!$P$2:$P$1001,I2142))*(실물목록!$Q$2:$Q$1001&lt;&gt;"")*ISNUMBER(SEARCH(실물목록!$Q$2:$Q$1001,I2142))*(실물목록!$R$2:$R$1001="")*(실물목록!$O$2:$O$1001&lt;&gt;"")*(실물목록!$O$2:$O$1001=H2142))&gt;0,"실물 있음",IF(SUMPRODUCT((실물목록!$P$2:$P$1001&lt;&gt;"")*ISNUMBER(SEARCH(실물목록!$P$2:$P$1001,I2142))*(실물목록!$R$2:$R$1001&lt;&gt;""))&gt;0,"확인필요(입력누락)",IF(SUMPRODUCT((실물목록!$P$2:$P$1001&lt;&gt;"")*ISNUMBER(SEARCH(실물목록!$P$2:$P$1001,I2142))*(실물목록!$Q$2:$Q$1001&lt;&gt;"")*ISNUMBER(SEARCH(실물목록!$Q$2:$Q$1001,I2142))*(실물목록!$R$2:$R$1001="")*(실물목록!$O$2:$O$1001&lt;&gt;""))&gt;0,"확인필요(연도다름)","실물 없음")))))</f>
      </c>
      <c r="G2142" t="n" s="16">
        <f aca="0">IF(B2142="","",SUMPRODUCT((실물목록!$P$2:$P$1001&lt;&gt;"")*ISNUMBER(SEARCH(실물목록!$P$2:$P$1001,I2142))*(실물목록!$Q$2:$Q$1001&lt;&gt;"")*ISNUMBER(SEARCH(실물목록!$Q$2:$Q$1001,I2142))*(실물목록!$R$2:$R$1001="")*(실물목록!$O$2:$O$1001&lt;&gt;"")*(실물목록!$O$2:$O$1001=H2142)))</f>
      </c>
      <c r="H2142" t="str">
        <f>IFERROR(IF(AND(LEN(SUBSTITUTE(SUBSTITUTE(SUBSTITUTE(TRIM(A2142&amp;""),CHAR(160),"")," ",""),"년",""))=4,VALUE(SUBSTITUTE(SUBSTITUTE(SUBSTITUTE(TRIM(A2142&amp;""),CHAR(160),"")," ",""),"년",""))&gt;=1900,VALUE(SUBSTITUTE(SUBSTITUTE(SUBSTITUTE(TRIM(A2142&amp;""),CHAR(160),"")," ",""),"년",""))&lt;=2099,TEXT(VALUE(SUBSTITUTE(SUBSTITUTE(SUBSTITUTE(TRIM(A2142&amp;""),CHAR(160),"")," ",""),"년","")),"0000")=SUBSTITUTE(SUBSTITUTE(SUBSTITUTE(TRIM(A2142&amp;""),CHAR(160),"")," ",""),"년","")),SUBSTITUTE(SUBSTITUTE(SUBSTITUTE(TRIM(A2142&amp;""),CHAR(160),"")," ",""),"년",""),""),"")</f>
      </c>
      <c r="I2142" t="str">
        <f>SUBSTITUTE(SUBSTITUTE(SUBSTITUTE(SUBSTITUTE(SUBSTITUTE(TRIM(B2142&amp;""),CHAR(160),"")," ",""),"초등학교","초"),"중학교","중"),"고등학교","고")</f>
      </c>
    </row>
    <row r="2143" customFormat="false" ht="15" hidden="false" customHeight="false" outlineLevel="0" collapsed="false">
      <c r="A2143" s="8"/>
      <c r="B2143" s="8"/>
      <c r="C2143" s="8"/>
      <c r="D2143" s="8"/>
      <c r="E2143" s="8"/>
      <c r="F2143" t="str" s="15">
        <f aca="0">IF(B2143="","",IF(H2143="","확인필요(입력누락)",IF(SUMPRODUCT((실물목록!$P$2:$P$1001&lt;&gt;"")*ISNUMBER(SEARCH(실물목록!$P$2:$P$1001,I2143))*(실물목록!$Q$2:$Q$1001&lt;&gt;"")*ISNUMBER(SEARCH(실물목록!$Q$2:$Q$1001,I2143))*(실물목록!$R$2:$R$1001="")*(실물목록!$O$2:$O$1001&lt;&gt;"")*(실물목록!$O$2:$O$1001=H2143))&gt;0,"실물 있음",IF(SUMPRODUCT((실물목록!$P$2:$P$1001&lt;&gt;"")*ISNUMBER(SEARCH(실물목록!$P$2:$P$1001,I2143))*(실물목록!$R$2:$R$1001&lt;&gt;""))&gt;0,"확인필요(입력누락)",IF(SUMPRODUCT((실물목록!$P$2:$P$1001&lt;&gt;"")*ISNUMBER(SEARCH(실물목록!$P$2:$P$1001,I2143))*(실물목록!$Q$2:$Q$1001&lt;&gt;"")*ISNUMBER(SEARCH(실물목록!$Q$2:$Q$1001,I2143))*(실물목록!$R$2:$R$1001="")*(실물목록!$O$2:$O$1001&lt;&gt;""))&gt;0,"확인필요(연도다름)","실물 없음")))))</f>
      </c>
      <c r="G2143" t="n" s="16">
        <f aca="0">IF(B2143="","",SUMPRODUCT((실물목록!$P$2:$P$1001&lt;&gt;"")*ISNUMBER(SEARCH(실물목록!$P$2:$P$1001,I2143))*(실물목록!$Q$2:$Q$1001&lt;&gt;"")*ISNUMBER(SEARCH(실물목록!$Q$2:$Q$1001,I2143))*(실물목록!$R$2:$R$1001="")*(실물목록!$O$2:$O$1001&lt;&gt;"")*(실물목록!$O$2:$O$1001=H2143)))</f>
      </c>
      <c r="H2143" t="str">
        <f>IFERROR(IF(AND(LEN(SUBSTITUTE(SUBSTITUTE(SUBSTITUTE(TRIM(A2143&amp;""),CHAR(160),"")," ",""),"년",""))=4,VALUE(SUBSTITUTE(SUBSTITUTE(SUBSTITUTE(TRIM(A2143&amp;""),CHAR(160),"")," ",""),"년",""))&gt;=1900,VALUE(SUBSTITUTE(SUBSTITUTE(SUBSTITUTE(TRIM(A2143&amp;""),CHAR(160),"")," ",""),"년",""))&lt;=2099,TEXT(VALUE(SUBSTITUTE(SUBSTITUTE(SUBSTITUTE(TRIM(A2143&amp;""),CHAR(160),"")," ",""),"년","")),"0000")=SUBSTITUTE(SUBSTITUTE(SUBSTITUTE(TRIM(A2143&amp;""),CHAR(160),"")," ",""),"년","")),SUBSTITUTE(SUBSTITUTE(SUBSTITUTE(TRIM(A2143&amp;""),CHAR(160),"")," ",""),"년",""),""),"")</f>
      </c>
      <c r="I2143" t="str">
        <f>SUBSTITUTE(SUBSTITUTE(SUBSTITUTE(SUBSTITUTE(SUBSTITUTE(TRIM(B2143&amp;""),CHAR(160),"")," ",""),"초등학교","초"),"중학교","중"),"고등학교","고")</f>
      </c>
    </row>
    <row r="2144" customFormat="false" ht="15" hidden="false" customHeight="false" outlineLevel="0" collapsed="false">
      <c r="A2144" s="8"/>
      <c r="B2144" s="8"/>
      <c r="C2144" s="8"/>
      <c r="D2144" s="8"/>
      <c r="E2144" s="8"/>
      <c r="F2144" t="str" s="15">
        <f aca="0">IF(B2144="","",IF(H2144="","확인필요(입력누락)",IF(SUMPRODUCT((실물목록!$P$2:$P$1001&lt;&gt;"")*ISNUMBER(SEARCH(실물목록!$P$2:$P$1001,I2144))*(실물목록!$Q$2:$Q$1001&lt;&gt;"")*ISNUMBER(SEARCH(실물목록!$Q$2:$Q$1001,I2144))*(실물목록!$R$2:$R$1001="")*(실물목록!$O$2:$O$1001&lt;&gt;"")*(실물목록!$O$2:$O$1001=H2144))&gt;0,"실물 있음",IF(SUMPRODUCT((실물목록!$P$2:$P$1001&lt;&gt;"")*ISNUMBER(SEARCH(실물목록!$P$2:$P$1001,I2144))*(실물목록!$R$2:$R$1001&lt;&gt;""))&gt;0,"확인필요(입력누락)",IF(SUMPRODUCT((실물목록!$P$2:$P$1001&lt;&gt;"")*ISNUMBER(SEARCH(실물목록!$P$2:$P$1001,I2144))*(실물목록!$Q$2:$Q$1001&lt;&gt;"")*ISNUMBER(SEARCH(실물목록!$Q$2:$Q$1001,I2144))*(실물목록!$R$2:$R$1001="")*(실물목록!$O$2:$O$1001&lt;&gt;""))&gt;0,"확인필요(연도다름)","실물 없음")))))</f>
      </c>
      <c r="G2144" t="n" s="16">
        <f aca="0">IF(B2144="","",SUMPRODUCT((실물목록!$P$2:$P$1001&lt;&gt;"")*ISNUMBER(SEARCH(실물목록!$P$2:$P$1001,I2144))*(실물목록!$Q$2:$Q$1001&lt;&gt;"")*ISNUMBER(SEARCH(실물목록!$Q$2:$Q$1001,I2144))*(실물목록!$R$2:$R$1001="")*(실물목록!$O$2:$O$1001&lt;&gt;"")*(실물목록!$O$2:$O$1001=H2144)))</f>
      </c>
      <c r="H2144" t="str">
        <f>IFERROR(IF(AND(LEN(SUBSTITUTE(SUBSTITUTE(SUBSTITUTE(TRIM(A2144&amp;""),CHAR(160),"")," ",""),"년",""))=4,VALUE(SUBSTITUTE(SUBSTITUTE(SUBSTITUTE(TRIM(A2144&amp;""),CHAR(160),"")," ",""),"년",""))&gt;=1900,VALUE(SUBSTITUTE(SUBSTITUTE(SUBSTITUTE(TRIM(A2144&amp;""),CHAR(160),"")," ",""),"년",""))&lt;=2099,TEXT(VALUE(SUBSTITUTE(SUBSTITUTE(SUBSTITUTE(TRIM(A2144&amp;""),CHAR(160),"")," ",""),"년","")),"0000")=SUBSTITUTE(SUBSTITUTE(SUBSTITUTE(TRIM(A2144&amp;""),CHAR(160),"")," ",""),"년","")),SUBSTITUTE(SUBSTITUTE(SUBSTITUTE(TRIM(A2144&amp;""),CHAR(160),"")," ",""),"년",""),""),"")</f>
      </c>
      <c r="I2144" t="str">
        <f>SUBSTITUTE(SUBSTITUTE(SUBSTITUTE(SUBSTITUTE(SUBSTITUTE(TRIM(B2144&amp;""),CHAR(160),"")," ",""),"초등학교","초"),"중학교","중"),"고등학교","고")</f>
      </c>
    </row>
    <row r="2145" customFormat="false" ht="15" hidden="false" customHeight="false" outlineLevel="0" collapsed="false">
      <c r="A2145" s="8"/>
      <c r="B2145" s="8"/>
      <c r="C2145" s="8"/>
      <c r="D2145" s="8"/>
      <c r="E2145" s="8"/>
      <c r="F2145" t="str" s="15">
        <f aca="0">IF(B2145="","",IF(H2145="","확인필요(입력누락)",IF(SUMPRODUCT((실물목록!$P$2:$P$1001&lt;&gt;"")*ISNUMBER(SEARCH(실물목록!$P$2:$P$1001,I2145))*(실물목록!$Q$2:$Q$1001&lt;&gt;"")*ISNUMBER(SEARCH(실물목록!$Q$2:$Q$1001,I2145))*(실물목록!$R$2:$R$1001="")*(실물목록!$O$2:$O$1001&lt;&gt;"")*(실물목록!$O$2:$O$1001=H2145))&gt;0,"실물 있음",IF(SUMPRODUCT((실물목록!$P$2:$P$1001&lt;&gt;"")*ISNUMBER(SEARCH(실물목록!$P$2:$P$1001,I2145))*(실물목록!$R$2:$R$1001&lt;&gt;""))&gt;0,"확인필요(입력누락)",IF(SUMPRODUCT((실물목록!$P$2:$P$1001&lt;&gt;"")*ISNUMBER(SEARCH(실물목록!$P$2:$P$1001,I2145))*(실물목록!$Q$2:$Q$1001&lt;&gt;"")*ISNUMBER(SEARCH(실물목록!$Q$2:$Q$1001,I2145))*(실물목록!$R$2:$R$1001="")*(실물목록!$O$2:$O$1001&lt;&gt;""))&gt;0,"확인필요(연도다름)","실물 없음")))))</f>
      </c>
      <c r="G2145" t="n" s="16">
        <f aca="0">IF(B2145="","",SUMPRODUCT((실물목록!$P$2:$P$1001&lt;&gt;"")*ISNUMBER(SEARCH(실물목록!$P$2:$P$1001,I2145))*(실물목록!$Q$2:$Q$1001&lt;&gt;"")*ISNUMBER(SEARCH(실물목록!$Q$2:$Q$1001,I2145))*(실물목록!$R$2:$R$1001="")*(실물목록!$O$2:$O$1001&lt;&gt;"")*(실물목록!$O$2:$O$1001=H2145)))</f>
      </c>
      <c r="H2145" t="str">
        <f>IFERROR(IF(AND(LEN(SUBSTITUTE(SUBSTITUTE(SUBSTITUTE(TRIM(A2145&amp;""),CHAR(160),"")," ",""),"년",""))=4,VALUE(SUBSTITUTE(SUBSTITUTE(SUBSTITUTE(TRIM(A2145&amp;""),CHAR(160),"")," ",""),"년",""))&gt;=1900,VALUE(SUBSTITUTE(SUBSTITUTE(SUBSTITUTE(TRIM(A2145&amp;""),CHAR(160),"")," ",""),"년",""))&lt;=2099,TEXT(VALUE(SUBSTITUTE(SUBSTITUTE(SUBSTITUTE(TRIM(A2145&amp;""),CHAR(160),"")," ",""),"년","")),"0000")=SUBSTITUTE(SUBSTITUTE(SUBSTITUTE(TRIM(A2145&amp;""),CHAR(160),"")," ",""),"년","")),SUBSTITUTE(SUBSTITUTE(SUBSTITUTE(TRIM(A2145&amp;""),CHAR(160),"")," ",""),"년",""),""),"")</f>
      </c>
      <c r="I2145" t="str">
        <f>SUBSTITUTE(SUBSTITUTE(SUBSTITUTE(SUBSTITUTE(SUBSTITUTE(TRIM(B2145&amp;""),CHAR(160),"")," ",""),"초등학교","초"),"중학교","중"),"고등학교","고")</f>
      </c>
    </row>
    <row r="2146" customFormat="false" ht="15" hidden="false" customHeight="false" outlineLevel="0" collapsed="false">
      <c r="A2146" s="8"/>
      <c r="B2146" s="8"/>
      <c r="C2146" s="8"/>
      <c r="D2146" s="8"/>
      <c r="E2146" s="8"/>
      <c r="F2146" t="str" s="15">
        <f aca="0">IF(B2146="","",IF(H2146="","확인필요(입력누락)",IF(SUMPRODUCT((실물목록!$P$2:$P$1001&lt;&gt;"")*ISNUMBER(SEARCH(실물목록!$P$2:$P$1001,I2146))*(실물목록!$Q$2:$Q$1001&lt;&gt;"")*ISNUMBER(SEARCH(실물목록!$Q$2:$Q$1001,I2146))*(실물목록!$R$2:$R$1001="")*(실물목록!$O$2:$O$1001&lt;&gt;"")*(실물목록!$O$2:$O$1001=H2146))&gt;0,"실물 있음",IF(SUMPRODUCT((실물목록!$P$2:$P$1001&lt;&gt;"")*ISNUMBER(SEARCH(실물목록!$P$2:$P$1001,I2146))*(실물목록!$R$2:$R$1001&lt;&gt;""))&gt;0,"확인필요(입력누락)",IF(SUMPRODUCT((실물목록!$P$2:$P$1001&lt;&gt;"")*ISNUMBER(SEARCH(실물목록!$P$2:$P$1001,I2146))*(실물목록!$Q$2:$Q$1001&lt;&gt;"")*ISNUMBER(SEARCH(실물목록!$Q$2:$Q$1001,I2146))*(실물목록!$R$2:$R$1001="")*(실물목록!$O$2:$O$1001&lt;&gt;""))&gt;0,"확인필요(연도다름)","실물 없음")))))</f>
      </c>
      <c r="G2146" t="n" s="16">
        <f aca="0">IF(B2146="","",SUMPRODUCT((실물목록!$P$2:$P$1001&lt;&gt;"")*ISNUMBER(SEARCH(실물목록!$P$2:$P$1001,I2146))*(실물목록!$Q$2:$Q$1001&lt;&gt;"")*ISNUMBER(SEARCH(실물목록!$Q$2:$Q$1001,I2146))*(실물목록!$R$2:$R$1001="")*(실물목록!$O$2:$O$1001&lt;&gt;"")*(실물목록!$O$2:$O$1001=H2146)))</f>
      </c>
      <c r="H2146" t="str">
        <f>IFERROR(IF(AND(LEN(SUBSTITUTE(SUBSTITUTE(SUBSTITUTE(TRIM(A2146&amp;""),CHAR(160),"")," ",""),"년",""))=4,VALUE(SUBSTITUTE(SUBSTITUTE(SUBSTITUTE(TRIM(A2146&amp;""),CHAR(160),"")," ",""),"년",""))&gt;=1900,VALUE(SUBSTITUTE(SUBSTITUTE(SUBSTITUTE(TRIM(A2146&amp;""),CHAR(160),"")," ",""),"년",""))&lt;=2099,TEXT(VALUE(SUBSTITUTE(SUBSTITUTE(SUBSTITUTE(TRIM(A2146&amp;""),CHAR(160),"")," ",""),"년","")),"0000")=SUBSTITUTE(SUBSTITUTE(SUBSTITUTE(TRIM(A2146&amp;""),CHAR(160),"")," ",""),"년","")),SUBSTITUTE(SUBSTITUTE(SUBSTITUTE(TRIM(A2146&amp;""),CHAR(160),"")," ",""),"년",""),""),"")</f>
      </c>
      <c r="I2146" t="str">
        <f>SUBSTITUTE(SUBSTITUTE(SUBSTITUTE(SUBSTITUTE(SUBSTITUTE(TRIM(B2146&amp;""),CHAR(160),"")," ",""),"초등학교","초"),"중학교","중"),"고등학교","고")</f>
      </c>
    </row>
    <row r="2147" customFormat="false" ht="15" hidden="false" customHeight="false" outlineLevel="0" collapsed="false">
      <c r="A2147" s="8"/>
      <c r="B2147" s="8"/>
      <c r="C2147" s="8"/>
      <c r="D2147" s="8"/>
      <c r="E2147" s="8"/>
      <c r="F2147" t="str" s="15">
        <f aca="0">IF(B2147="","",IF(H2147="","확인필요(입력누락)",IF(SUMPRODUCT((실물목록!$P$2:$P$1001&lt;&gt;"")*ISNUMBER(SEARCH(실물목록!$P$2:$P$1001,I2147))*(실물목록!$Q$2:$Q$1001&lt;&gt;"")*ISNUMBER(SEARCH(실물목록!$Q$2:$Q$1001,I2147))*(실물목록!$R$2:$R$1001="")*(실물목록!$O$2:$O$1001&lt;&gt;"")*(실물목록!$O$2:$O$1001=H2147))&gt;0,"실물 있음",IF(SUMPRODUCT((실물목록!$P$2:$P$1001&lt;&gt;"")*ISNUMBER(SEARCH(실물목록!$P$2:$P$1001,I2147))*(실물목록!$R$2:$R$1001&lt;&gt;""))&gt;0,"확인필요(입력누락)",IF(SUMPRODUCT((실물목록!$P$2:$P$1001&lt;&gt;"")*ISNUMBER(SEARCH(실물목록!$P$2:$P$1001,I2147))*(실물목록!$Q$2:$Q$1001&lt;&gt;"")*ISNUMBER(SEARCH(실물목록!$Q$2:$Q$1001,I2147))*(실물목록!$R$2:$R$1001="")*(실물목록!$O$2:$O$1001&lt;&gt;""))&gt;0,"확인필요(연도다름)","실물 없음")))))</f>
      </c>
      <c r="G2147" t="n" s="16">
        <f aca="0">IF(B2147="","",SUMPRODUCT((실물목록!$P$2:$P$1001&lt;&gt;"")*ISNUMBER(SEARCH(실물목록!$P$2:$P$1001,I2147))*(실물목록!$Q$2:$Q$1001&lt;&gt;"")*ISNUMBER(SEARCH(실물목록!$Q$2:$Q$1001,I2147))*(실물목록!$R$2:$R$1001="")*(실물목록!$O$2:$O$1001&lt;&gt;"")*(실물목록!$O$2:$O$1001=H2147)))</f>
      </c>
      <c r="H2147" t="str">
        <f>IFERROR(IF(AND(LEN(SUBSTITUTE(SUBSTITUTE(SUBSTITUTE(TRIM(A2147&amp;""),CHAR(160),"")," ",""),"년",""))=4,VALUE(SUBSTITUTE(SUBSTITUTE(SUBSTITUTE(TRIM(A2147&amp;""),CHAR(160),"")," ",""),"년",""))&gt;=1900,VALUE(SUBSTITUTE(SUBSTITUTE(SUBSTITUTE(TRIM(A2147&amp;""),CHAR(160),"")," ",""),"년",""))&lt;=2099,TEXT(VALUE(SUBSTITUTE(SUBSTITUTE(SUBSTITUTE(TRIM(A2147&amp;""),CHAR(160),"")," ",""),"년","")),"0000")=SUBSTITUTE(SUBSTITUTE(SUBSTITUTE(TRIM(A2147&amp;""),CHAR(160),"")," ",""),"년","")),SUBSTITUTE(SUBSTITUTE(SUBSTITUTE(TRIM(A2147&amp;""),CHAR(160),"")," ",""),"년",""),""),"")</f>
      </c>
      <c r="I2147" t="str">
        <f>SUBSTITUTE(SUBSTITUTE(SUBSTITUTE(SUBSTITUTE(SUBSTITUTE(TRIM(B2147&amp;""),CHAR(160),"")," ",""),"초등학교","초"),"중학교","중"),"고등학교","고")</f>
      </c>
    </row>
    <row r="2148" customFormat="false" ht="15" hidden="false" customHeight="false" outlineLevel="0" collapsed="false">
      <c r="A2148" s="8"/>
      <c r="B2148" s="8"/>
      <c r="C2148" s="8"/>
      <c r="D2148" s="8"/>
      <c r="E2148" s="8"/>
      <c r="F2148" t="str" s="15">
        <f aca="0">IF(B2148="","",IF(H2148="","확인필요(입력누락)",IF(SUMPRODUCT((실물목록!$P$2:$P$1001&lt;&gt;"")*ISNUMBER(SEARCH(실물목록!$P$2:$P$1001,I2148))*(실물목록!$Q$2:$Q$1001&lt;&gt;"")*ISNUMBER(SEARCH(실물목록!$Q$2:$Q$1001,I2148))*(실물목록!$R$2:$R$1001="")*(실물목록!$O$2:$O$1001&lt;&gt;"")*(실물목록!$O$2:$O$1001=H2148))&gt;0,"실물 있음",IF(SUMPRODUCT((실물목록!$P$2:$P$1001&lt;&gt;"")*ISNUMBER(SEARCH(실물목록!$P$2:$P$1001,I2148))*(실물목록!$R$2:$R$1001&lt;&gt;""))&gt;0,"확인필요(입력누락)",IF(SUMPRODUCT((실물목록!$P$2:$P$1001&lt;&gt;"")*ISNUMBER(SEARCH(실물목록!$P$2:$P$1001,I2148))*(실물목록!$Q$2:$Q$1001&lt;&gt;"")*ISNUMBER(SEARCH(실물목록!$Q$2:$Q$1001,I2148))*(실물목록!$R$2:$R$1001="")*(실물목록!$O$2:$O$1001&lt;&gt;""))&gt;0,"확인필요(연도다름)","실물 없음")))))</f>
      </c>
      <c r="G2148" t="n" s="16">
        <f aca="0">IF(B2148="","",SUMPRODUCT((실물목록!$P$2:$P$1001&lt;&gt;"")*ISNUMBER(SEARCH(실물목록!$P$2:$P$1001,I2148))*(실물목록!$Q$2:$Q$1001&lt;&gt;"")*ISNUMBER(SEARCH(실물목록!$Q$2:$Q$1001,I2148))*(실물목록!$R$2:$R$1001="")*(실물목록!$O$2:$O$1001&lt;&gt;"")*(실물목록!$O$2:$O$1001=H2148)))</f>
      </c>
      <c r="H2148" t="str">
        <f>IFERROR(IF(AND(LEN(SUBSTITUTE(SUBSTITUTE(SUBSTITUTE(TRIM(A2148&amp;""),CHAR(160),"")," ",""),"년",""))=4,VALUE(SUBSTITUTE(SUBSTITUTE(SUBSTITUTE(TRIM(A2148&amp;""),CHAR(160),"")," ",""),"년",""))&gt;=1900,VALUE(SUBSTITUTE(SUBSTITUTE(SUBSTITUTE(TRIM(A2148&amp;""),CHAR(160),"")," ",""),"년",""))&lt;=2099,TEXT(VALUE(SUBSTITUTE(SUBSTITUTE(SUBSTITUTE(TRIM(A2148&amp;""),CHAR(160),"")," ",""),"년","")),"0000")=SUBSTITUTE(SUBSTITUTE(SUBSTITUTE(TRIM(A2148&amp;""),CHAR(160),"")," ",""),"년","")),SUBSTITUTE(SUBSTITUTE(SUBSTITUTE(TRIM(A2148&amp;""),CHAR(160),"")," ",""),"년",""),""),"")</f>
      </c>
      <c r="I2148" t="str">
        <f>SUBSTITUTE(SUBSTITUTE(SUBSTITUTE(SUBSTITUTE(SUBSTITUTE(TRIM(B2148&amp;""),CHAR(160),"")," ",""),"초등학교","초"),"중학교","중"),"고등학교","고")</f>
      </c>
    </row>
    <row r="2149" customFormat="false" ht="15" hidden="false" customHeight="false" outlineLevel="0" collapsed="false">
      <c r="A2149" s="8"/>
      <c r="B2149" s="8"/>
      <c r="C2149" s="8"/>
      <c r="D2149" s="8"/>
      <c r="E2149" s="8"/>
      <c r="F2149" t="str" s="15">
        <f aca="0">IF(B2149="","",IF(H2149="","확인필요(입력누락)",IF(SUMPRODUCT((실물목록!$P$2:$P$1001&lt;&gt;"")*ISNUMBER(SEARCH(실물목록!$P$2:$P$1001,I2149))*(실물목록!$Q$2:$Q$1001&lt;&gt;"")*ISNUMBER(SEARCH(실물목록!$Q$2:$Q$1001,I2149))*(실물목록!$R$2:$R$1001="")*(실물목록!$O$2:$O$1001&lt;&gt;"")*(실물목록!$O$2:$O$1001=H2149))&gt;0,"실물 있음",IF(SUMPRODUCT((실물목록!$P$2:$P$1001&lt;&gt;"")*ISNUMBER(SEARCH(실물목록!$P$2:$P$1001,I2149))*(실물목록!$R$2:$R$1001&lt;&gt;""))&gt;0,"확인필요(입력누락)",IF(SUMPRODUCT((실물목록!$P$2:$P$1001&lt;&gt;"")*ISNUMBER(SEARCH(실물목록!$P$2:$P$1001,I2149))*(실물목록!$Q$2:$Q$1001&lt;&gt;"")*ISNUMBER(SEARCH(실물목록!$Q$2:$Q$1001,I2149))*(실물목록!$R$2:$R$1001="")*(실물목록!$O$2:$O$1001&lt;&gt;""))&gt;0,"확인필요(연도다름)","실물 없음")))))</f>
      </c>
      <c r="G2149" t="n" s="16">
        <f aca="0">IF(B2149="","",SUMPRODUCT((실물목록!$P$2:$P$1001&lt;&gt;"")*ISNUMBER(SEARCH(실물목록!$P$2:$P$1001,I2149))*(실물목록!$Q$2:$Q$1001&lt;&gt;"")*ISNUMBER(SEARCH(실물목록!$Q$2:$Q$1001,I2149))*(실물목록!$R$2:$R$1001="")*(실물목록!$O$2:$O$1001&lt;&gt;"")*(실물목록!$O$2:$O$1001=H2149)))</f>
      </c>
      <c r="H2149" t="str">
        <f>IFERROR(IF(AND(LEN(SUBSTITUTE(SUBSTITUTE(SUBSTITUTE(TRIM(A2149&amp;""),CHAR(160),"")," ",""),"년",""))=4,VALUE(SUBSTITUTE(SUBSTITUTE(SUBSTITUTE(TRIM(A2149&amp;""),CHAR(160),"")," ",""),"년",""))&gt;=1900,VALUE(SUBSTITUTE(SUBSTITUTE(SUBSTITUTE(TRIM(A2149&amp;""),CHAR(160),"")," ",""),"년",""))&lt;=2099,TEXT(VALUE(SUBSTITUTE(SUBSTITUTE(SUBSTITUTE(TRIM(A2149&amp;""),CHAR(160),"")," ",""),"년","")),"0000")=SUBSTITUTE(SUBSTITUTE(SUBSTITUTE(TRIM(A2149&amp;""),CHAR(160),"")," ",""),"년","")),SUBSTITUTE(SUBSTITUTE(SUBSTITUTE(TRIM(A2149&amp;""),CHAR(160),"")," ",""),"년",""),""),"")</f>
      </c>
      <c r="I2149" t="str">
        <f>SUBSTITUTE(SUBSTITUTE(SUBSTITUTE(SUBSTITUTE(SUBSTITUTE(TRIM(B2149&amp;""),CHAR(160),"")," ",""),"초등학교","초"),"중학교","중"),"고등학교","고")</f>
      </c>
    </row>
    <row r="2150" customFormat="false" ht="15" hidden="false" customHeight="false" outlineLevel="0" collapsed="false">
      <c r="A2150" s="8"/>
      <c r="B2150" s="8"/>
      <c r="C2150" s="8"/>
      <c r="D2150" s="8"/>
      <c r="E2150" s="8"/>
      <c r="F2150" t="str" s="15">
        <f aca="0">IF(B2150="","",IF(H2150="","확인필요(입력누락)",IF(SUMPRODUCT((실물목록!$P$2:$P$1001&lt;&gt;"")*ISNUMBER(SEARCH(실물목록!$P$2:$P$1001,I2150))*(실물목록!$Q$2:$Q$1001&lt;&gt;"")*ISNUMBER(SEARCH(실물목록!$Q$2:$Q$1001,I2150))*(실물목록!$R$2:$R$1001="")*(실물목록!$O$2:$O$1001&lt;&gt;"")*(실물목록!$O$2:$O$1001=H2150))&gt;0,"실물 있음",IF(SUMPRODUCT((실물목록!$P$2:$P$1001&lt;&gt;"")*ISNUMBER(SEARCH(실물목록!$P$2:$P$1001,I2150))*(실물목록!$R$2:$R$1001&lt;&gt;""))&gt;0,"확인필요(입력누락)",IF(SUMPRODUCT((실물목록!$P$2:$P$1001&lt;&gt;"")*ISNUMBER(SEARCH(실물목록!$P$2:$P$1001,I2150))*(실물목록!$Q$2:$Q$1001&lt;&gt;"")*ISNUMBER(SEARCH(실물목록!$Q$2:$Q$1001,I2150))*(실물목록!$R$2:$R$1001="")*(실물목록!$O$2:$O$1001&lt;&gt;""))&gt;0,"확인필요(연도다름)","실물 없음")))))</f>
      </c>
      <c r="G2150" t="n" s="16">
        <f aca="0">IF(B2150="","",SUMPRODUCT((실물목록!$P$2:$P$1001&lt;&gt;"")*ISNUMBER(SEARCH(실물목록!$P$2:$P$1001,I2150))*(실물목록!$Q$2:$Q$1001&lt;&gt;"")*ISNUMBER(SEARCH(실물목록!$Q$2:$Q$1001,I2150))*(실물목록!$R$2:$R$1001="")*(실물목록!$O$2:$O$1001&lt;&gt;"")*(실물목록!$O$2:$O$1001=H2150)))</f>
      </c>
      <c r="H2150" t="str">
        <f>IFERROR(IF(AND(LEN(SUBSTITUTE(SUBSTITUTE(SUBSTITUTE(TRIM(A2150&amp;""),CHAR(160),"")," ",""),"년",""))=4,VALUE(SUBSTITUTE(SUBSTITUTE(SUBSTITUTE(TRIM(A2150&amp;""),CHAR(160),"")," ",""),"년",""))&gt;=1900,VALUE(SUBSTITUTE(SUBSTITUTE(SUBSTITUTE(TRIM(A2150&amp;""),CHAR(160),"")," ",""),"년",""))&lt;=2099,TEXT(VALUE(SUBSTITUTE(SUBSTITUTE(SUBSTITUTE(TRIM(A2150&amp;""),CHAR(160),"")," ",""),"년","")),"0000")=SUBSTITUTE(SUBSTITUTE(SUBSTITUTE(TRIM(A2150&amp;""),CHAR(160),"")," ",""),"년","")),SUBSTITUTE(SUBSTITUTE(SUBSTITUTE(TRIM(A2150&amp;""),CHAR(160),"")," ",""),"년",""),""),"")</f>
      </c>
      <c r="I2150" t="str">
        <f>SUBSTITUTE(SUBSTITUTE(SUBSTITUTE(SUBSTITUTE(SUBSTITUTE(TRIM(B2150&amp;""),CHAR(160),"")," ",""),"초등학교","초"),"중학교","중"),"고등학교","고")</f>
      </c>
    </row>
    <row r="2151" customFormat="false" ht="15" hidden="false" customHeight="false" outlineLevel="0" collapsed="false">
      <c r="A2151" s="8"/>
      <c r="B2151" s="8"/>
      <c r="C2151" s="8"/>
      <c r="D2151" s="8"/>
      <c r="E2151" s="8"/>
      <c r="F2151" t="str" s="15">
        <f aca="0">IF(B2151="","",IF(H2151="","확인필요(입력누락)",IF(SUMPRODUCT((실물목록!$P$2:$P$1001&lt;&gt;"")*ISNUMBER(SEARCH(실물목록!$P$2:$P$1001,I2151))*(실물목록!$Q$2:$Q$1001&lt;&gt;"")*ISNUMBER(SEARCH(실물목록!$Q$2:$Q$1001,I2151))*(실물목록!$R$2:$R$1001="")*(실물목록!$O$2:$O$1001&lt;&gt;"")*(실물목록!$O$2:$O$1001=H2151))&gt;0,"실물 있음",IF(SUMPRODUCT((실물목록!$P$2:$P$1001&lt;&gt;"")*ISNUMBER(SEARCH(실물목록!$P$2:$P$1001,I2151))*(실물목록!$R$2:$R$1001&lt;&gt;""))&gt;0,"확인필요(입력누락)",IF(SUMPRODUCT((실물목록!$P$2:$P$1001&lt;&gt;"")*ISNUMBER(SEARCH(실물목록!$P$2:$P$1001,I2151))*(실물목록!$Q$2:$Q$1001&lt;&gt;"")*ISNUMBER(SEARCH(실물목록!$Q$2:$Q$1001,I2151))*(실물목록!$R$2:$R$1001="")*(실물목록!$O$2:$O$1001&lt;&gt;""))&gt;0,"확인필요(연도다름)","실물 없음")))))</f>
      </c>
      <c r="G2151" t="n" s="16">
        <f aca="0">IF(B2151="","",SUMPRODUCT((실물목록!$P$2:$P$1001&lt;&gt;"")*ISNUMBER(SEARCH(실물목록!$P$2:$P$1001,I2151))*(실물목록!$Q$2:$Q$1001&lt;&gt;"")*ISNUMBER(SEARCH(실물목록!$Q$2:$Q$1001,I2151))*(실물목록!$R$2:$R$1001="")*(실물목록!$O$2:$O$1001&lt;&gt;"")*(실물목록!$O$2:$O$1001=H2151)))</f>
      </c>
      <c r="H2151" t="str">
        <f>IFERROR(IF(AND(LEN(SUBSTITUTE(SUBSTITUTE(SUBSTITUTE(TRIM(A2151&amp;""),CHAR(160),"")," ",""),"년",""))=4,VALUE(SUBSTITUTE(SUBSTITUTE(SUBSTITUTE(TRIM(A2151&amp;""),CHAR(160),"")," ",""),"년",""))&gt;=1900,VALUE(SUBSTITUTE(SUBSTITUTE(SUBSTITUTE(TRIM(A2151&amp;""),CHAR(160),"")," ",""),"년",""))&lt;=2099,TEXT(VALUE(SUBSTITUTE(SUBSTITUTE(SUBSTITUTE(TRIM(A2151&amp;""),CHAR(160),"")," ",""),"년","")),"0000")=SUBSTITUTE(SUBSTITUTE(SUBSTITUTE(TRIM(A2151&amp;""),CHAR(160),"")," ",""),"년","")),SUBSTITUTE(SUBSTITUTE(SUBSTITUTE(TRIM(A2151&amp;""),CHAR(160),"")," ",""),"년",""),""),"")</f>
      </c>
      <c r="I2151" t="str">
        <f>SUBSTITUTE(SUBSTITUTE(SUBSTITUTE(SUBSTITUTE(SUBSTITUTE(TRIM(B2151&amp;""),CHAR(160),"")," ",""),"초등학교","초"),"중학교","중"),"고등학교","고")</f>
      </c>
    </row>
    <row r="2152" customFormat="false" ht="15" hidden="false" customHeight="false" outlineLevel="0" collapsed="false">
      <c r="A2152" s="8"/>
      <c r="B2152" s="8"/>
      <c r="C2152" s="8"/>
      <c r="D2152" s="8"/>
      <c r="E2152" s="8"/>
      <c r="F2152" t="str" s="15">
        <f aca="0">IF(B2152="","",IF(H2152="","확인필요(입력누락)",IF(SUMPRODUCT((실물목록!$P$2:$P$1001&lt;&gt;"")*ISNUMBER(SEARCH(실물목록!$P$2:$P$1001,I2152))*(실물목록!$Q$2:$Q$1001&lt;&gt;"")*ISNUMBER(SEARCH(실물목록!$Q$2:$Q$1001,I2152))*(실물목록!$R$2:$R$1001="")*(실물목록!$O$2:$O$1001&lt;&gt;"")*(실물목록!$O$2:$O$1001=H2152))&gt;0,"실물 있음",IF(SUMPRODUCT((실물목록!$P$2:$P$1001&lt;&gt;"")*ISNUMBER(SEARCH(실물목록!$P$2:$P$1001,I2152))*(실물목록!$R$2:$R$1001&lt;&gt;""))&gt;0,"확인필요(입력누락)",IF(SUMPRODUCT((실물목록!$P$2:$P$1001&lt;&gt;"")*ISNUMBER(SEARCH(실물목록!$P$2:$P$1001,I2152))*(실물목록!$Q$2:$Q$1001&lt;&gt;"")*ISNUMBER(SEARCH(실물목록!$Q$2:$Q$1001,I2152))*(실물목록!$R$2:$R$1001="")*(실물목록!$O$2:$O$1001&lt;&gt;""))&gt;0,"확인필요(연도다름)","실물 없음")))))</f>
      </c>
      <c r="G2152" t="n" s="16">
        <f aca="0">IF(B2152="","",SUMPRODUCT((실물목록!$P$2:$P$1001&lt;&gt;"")*ISNUMBER(SEARCH(실물목록!$P$2:$P$1001,I2152))*(실물목록!$Q$2:$Q$1001&lt;&gt;"")*ISNUMBER(SEARCH(실물목록!$Q$2:$Q$1001,I2152))*(실물목록!$R$2:$R$1001="")*(실물목록!$O$2:$O$1001&lt;&gt;"")*(실물목록!$O$2:$O$1001=H2152)))</f>
      </c>
      <c r="H2152" t="str">
        <f>IFERROR(IF(AND(LEN(SUBSTITUTE(SUBSTITUTE(SUBSTITUTE(TRIM(A2152&amp;""),CHAR(160),"")," ",""),"년",""))=4,VALUE(SUBSTITUTE(SUBSTITUTE(SUBSTITUTE(TRIM(A2152&amp;""),CHAR(160),"")," ",""),"년",""))&gt;=1900,VALUE(SUBSTITUTE(SUBSTITUTE(SUBSTITUTE(TRIM(A2152&amp;""),CHAR(160),"")," ",""),"년",""))&lt;=2099,TEXT(VALUE(SUBSTITUTE(SUBSTITUTE(SUBSTITUTE(TRIM(A2152&amp;""),CHAR(160),"")," ",""),"년","")),"0000")=SUBSTITUTE(SUBSTITUTE(SUBSTITUTE(TRIM(A2152&amp;""),CHAR(160),"")," ",""),"년","")),SUBSTITUTE(SUBSTITUTE(SUBSTITUTE(TRIM(A2152&amp;""),CHAR(160),"")," ",""),"년",""),""),"")</f>
      </c>
      <c r="I2152" t="str">
        <f>SUBSTITUTE(SUBSTITUTE(SUBSTITUTE(SUBSTITUTE(SUBSTITUTE(TRIM(B2152&amp;""),CHAR(160),"")," ",""),"초등학교","초"),"중학교","중"),"고등학교","고")</f>
      </c>
    </row>
    <row r="2153" customFormat="false" ht="15" hidden="false" customHeight="false" outlineLevel="0" collapsed="false">
      <c r="A2153" s="8"/>
      <c r="B2153" s="8"/>
      <c r="C2153" s="8"/>
      <c r="D2153" s="8"/>
      <c r="E2153" s="8"/>
      <c r="F2153" t="str" s="15">
        <f aca="0">IF(B2153="","",IF(H2153="","확인필요(입력누락)",IF(SUMPRODUCT((실물목록!$P$2:$P$1001&lt;&gt;"")*ISNUMBER(SEARCH(실물목록!$P$2:$P$1001,I2153))*(실물목록!$Q$2:$Q$1001&lt;&gt;"")*ISNUMBER(SEARCH(실물목록!$Q$2:$Q$1001,I2153))*(실물목록!$R$2:$R$1001="")*(실물목록!$O$2:$O$1001&lt;&gt;"")*(실물목록!$O$2:$O$1001=H2153))&gt;0,"실물 있음",IF(SUMPRODUCT((실물목록!$P$2:$P$1001&lt;&gt;"")*ISNUMBER(SEARCH(실물목록!$P$2:$P$1001,I2153))*(실물목록!$R$2:$R$1001&lt;&gt;""))&gt;0,"확인필요(입력누락)",IF(SUMPRODUCT((실물목록!$P$2:$P$1001&lt;&gt;"")*ISNUMBER(SEARCH(실물목록!$P$2:$P$1001,I2153))*(실물목록!$Q$2:$Q$1001&lt;&gt;"")*ISNUMBER(SEARCH(실물목록!$Q$2:$Q$1001,I2153))*(실물목록!$R$2:$R$1001="")*(실물목록!$O$2:$O$1001&lt;&gt;""))&gt;0,"확인필요(연도다름)","실물 없음")))))</f>
      </c>
      <c r="G2153" t="n" s="16">
        <f aca="0">IF(B2153="","",SUMPRODUCT((실물목록!$P$2:$P$1001&lt;&gt;"")*ISNUMBER(SEARCH(실물목록!$P$2:$P$1001,I2153))*(실물목록!$Q$2:$Q$1001&lt;&gt;"")*ISNUMBER(SEARCH(실물목록!$Q$2:$Q$1001,I2153))*(실물목록!$R$2:$R$1001="")*(실물목록!$O$2:$O$1001&lt;&gt;"")*(실물목록!$O$2:$O$1001=H2153)))</f>
      </c>
      <c r="H2153" t="str">
        <f>IFERROR(IF(AND(LEN(SUBSTITUTE(SUBSTITUTE(SUBSTITUTE(TRIM(A2153&amp;""),CHAR(160),"")," ",""),"년",""))=4,VALUE(SUBSTITUTE(SUBSTITUTE(SUBSTITUTE(TRIM(A2153&amp;""),CHAR(160),"")," ",""),"년",""))&gt;=1900,VALUE(SUBSTITUTE(SUBSTITUTE(SUBSTITUTE(TRIM(A2153&amp;""),CHAR(160),"")," ",""),"년",""))&lt;=2099,TEXT(VALUE(SUBSTITUTE(SUBSTITUTE(SUBSTITUTE(TRIM(A2153&amp;""),CHAR(160),"")," ",""),"년","")),"0000")=SUBSTITUTE(SUBSTITUTE(SUBSTITUTE(TRIM(A2153&amp;""),CHAR(160),"")," ",""),"년","")),SUBSTITUTE(SUBSTITUTE(SUBSTITUTE(TRIM(A2153&amp;""),CHAR(160),"")," ",""),"년",""),""),"")</f>
      </c>
      <c r="I2153" t="str">
        <f>SUBSTITUTE(SUBSTITUTE(SUBSTITUTE(SUBSTITUTE(SUBSTITUTE(TRIM(B2153&amp;""),CHAR(160),"")," ",""),"초등학교","초"),"중학교","중"),"고등학교","고")</f>
      </c>
    </row>
    <row r="2154" customFormat="false" ht="15" hidden="false" customHeight="false" outlineLevel="0" collapsed="false">
      <c r="A2154" s="8"/>
      <c r="B2154" s="8"/>
      <c r="C2154" s="8"/>
      <c r="D2154" s="8"/>
      <c r="E2154" s="8"/>
      <c r="F2154" t="str" s="15">
        <f aca="0">IF(B2154="","",IF(H2154="","확인필요(입력누락)",IF(SUMPRODUCT((실물목록!$P$2:$P$1001&lt;&gt;"")*ISNUMBER(SEARCH(실물목록!$P$2:$P$1001,I2154))*(실물목록!$Q$2:$Q$1001&lt;&gt;"")*ISNUMBER(SEARCH(실물목록!$Q$2:$Q$1001,I2154))*(실물목록!$R$2:$R$1001="")*(실물목록!$O$2:$O$1001&lt;&gt;"")*(실물목록!$O$2:$O$1001=H2154))&gt;0,"실물 있음",IF(SUMPRODUCT((실물목록!$P$2:$P$1001&lt;&gt;"")*ISNUMBER(SEARCH(실물목록!$P$2:$P$1001,I2154))*(실물목록!$R$2:$R$1001&lt;&gt;""))&gt;0,"확인필요(입력누락)",IF(SUMPRODUCT((실물목록!$P$2:$P$1001&lt;&gt;"")*ISNUMBER(SEARCH(실물목록!$P$2:$P$1001,I2154))*(실물목록!$Q$2:$Q$1001&lt;&gt;"")*ISNUMBER(SEARCH(실물목록!$Q$2:$Q$1001,I2154))*(실물목록!$R$2:$R$1001="")*(실물목록!$O$2:$O$1001&lt;&gt;""))&gt;0,"확인필요(연도다름)","실물 없음")))))</f>
      </c>
      <c r="G2154" t="n" s="16">
        <f aca="0">IF(B2154="","",SUMPRODUCT((실물목록!$P$2:$P$1001&lt;&gt;"")*ISNUMBER(SEARCH(실물목록!$P$2:$P$1001,I2154))*(실물목록!$Q$2:$Q$1001&lt;&gt;"")*ISNUMBER(SEARCH(실물목록!$Q$2:$Q$1001,I2154))*(실물목록!$R$2:$R$1001="")*(실물목록!$O$2:$O$1001&lt;&gt;"")*(실물목록!$O$2:$O$1001=H2154)))</f>
      </c>
      <c r="H2154" t="str">
        <f>IFERROR(IF(AND(LEN(SUBSTITUTE(SUBSTITUTE(SUBSTITUTE(TRIM(A2154&amp;""),CHAR(160),"")," ",""),"년",""))=4,VALUE(SUBSTITUTE(SUBSTITUTE(SUBSTITUTE(TRIM(A2154&amp;""),CHAR(160),"")," ",""),"년",""))&gt;=1900,VALUE(SUBSTITUTE(SUBSTITUTE(SUBSTITUTE(TRIM(A2154&amp;""),CHAR(160),"")," ",""),"년",""))&lt;=2099,TEXT(VALUE(SUBSTITUTE(SUBSTITUTE(SUBSTITUTE(TRIM(A2154&amp;""),CHAR(160),"")," ",""),"년","")),"0000")=SUBSTITUTE(SUBSTITUTE(SUBSTITUTE(TRIM(A2154&amp;""),CHAR(160),"")," ",""),"년","")),SUBSTITUTE(SUBSTITUTE(SUBSTITUTE(TRIM(A2154&amp;""),CHAR(160),"")," ",""),"년",""),""),"")</f>
      </c>
      <c r="I2154" t="str">
        <f>SUBSTITUTE(SUBSTITUTE(SUBSTITUTE(SUBSTITUTE(SUBSTITUTE(TRIM(B2154&amp;""),CHAR(160),"")," ",""),"초등학교","초"),"중학교","중"),"고등학교","고")</f>
      </c>
    </row>
    <row r="2155" customFormat="false" ht="15" hidden="false" customHeight="false" outlineLevel="0" collapsed="false">
      <c r="A2155" s="8"/>
      <c r="B2155" s="8"/>
      <c r="C2155" s="8"/>
      <c r="D2155" s="8"/>
      <c r="E2155" s="8"/>
      <c r="F2155" t="str" s="15">
        <f aca="0">IF(B2155="","",IF(H2155="","확인필요(입력누락)",IF(SUMPRODUCT((실물목록!$P$2:$P$1001&lt;&gt;"")*ISNUMBER(SEARCH(실물목록!$P$2:$P$1001,I2155))*(실물목록!$Q$2:$Q$1001&lt;&gt;"")*ISNUMBER(SEARCH(실물목록!$Q$2:$Q$1001,I2155))*(실물목록!$R$2:$R$1001="")*(실물목록!$O$2:$O$1001&lt;&gt;"")*(실물목록!$O$2:$O$1001=H2155))&gt;0,"실물 있음",IF(SUMPRODUCT((실물목록!$P$2:$P$1001&lt;&gt;"")*ISNUMBER(SEARCH(실물목록!$P$2:$P$1001,I2155))*(실물목록!$R$2:$R$1001&lt;&gt;""))&gt;0,"확인필요(입력누락)",IF(SUMPRODUCT((실물목록!$P$2:$P$1001&lt;&gt;"")*ISNUMBER(SEARCH(실물목록!$P$2:$P$1001,I2155))*(실물목록!$Q$2:$Q$1001&lt;&gt;"")*ISNUMBER(SEARCH(실물목록!$Q$2:$Q$1001,I2155))*(실물목록!$R$2:$R$1001="")*(실물목록!$O$2:$O$1001&lt;&gt;""))&gt;0,"확인필요(연도다름)","실물 없음")))))</f>
      </c>
      <c r="G2155" t="n" s="16">
        <f aca="0">IF(B2155="","",SUMPRODUCT((실물목록!$P$2:$P$1001&lt;&gt;"")*ISNUMBER(SEARCH(실물목록!$P$2:$P$1001,I2155))*(실물목록!$Q$2:$Q$1001&lt;&gt;"")*ISNUMBER(SEARCH(실물목록!$Q$2:$Q$1001,I2155))*(실물목록!$R$2:$R$1001="")*(실물목록!$O$2:$O$1001&lt;&gt;"")*(실물목록!$O$2:$O$1001=H2155)))</f>
      </c>
      <c r="H2155" t="str">
        <f>IFERROR(IF(AND(LEN(SUBSTITUTE(SUBSTITUTE(SUBSTITUTE(TRIM(A2155&amp;""),CHAR(160),"")," ",""),"년",""))=4,VALUE(SUBSTITUTE(SUBSTITUTE(SUBSTITUTE(TRIM(A2155&amp;""),CHAR(160),"")," ",""),"년",""))&gt;=1900,VALUE(SUBSTITUTE(SUBSTITUTE(SUBSTITUTE(TRIM(A2155&amp;""),CHAR(160),"")," ",""),"년",""))&lt;=2099,TEXT(VALUE(SUBSTITUTE(SUBSTITUTE(SUBSTITUTE(TRIM(A2155&amp;""),CHAR(160),"")," ",""),"년","")),"0000")=SUBSTITUTE(SUBSTITUTE(SUBSTITUTE(TRIM(A2155&amp;""),CHAR(160),"")," ",""),"년","")),SUBSTITUTE(SUBSTITUTE(SUBSTITUTE(TRIM(A2155&amp;""),CHAR(160),"")," ",""),"년",""),""),"")</f>
      </c>
      <c r="I2155" t="str">
        <f>SUBSTITUTE(SUBSTITUTE(SUBSTITUTE(SUBSTITUTE(SUBSTITUTE(TRIM(B2155&amp;""),CHAR(160),"")," ",""),"초등학교","초"),"중학교","중"),"고등학교","고")</f>
      </c>
    </row>
    <row r="2156" customFormat="false" ht="15" hidden="false" customHeight="false" outlineLevel="0" collapsed="false">
      <c r="A2156" s="8"/>
      <c r="B2156" s="8"/>
      <c r="C2156" s="8"/>
      <c r="D2156" s="8"/>
      <c r="E2156" s="8"/>
      <c r="F2156" t="str" s="15">
        <f aca="0">IF(B2156="","",IF(H2156="","확인필요(입력누락)",IF(SUMPRODUCT((실물목록!$P$2:$P$1001&lt;&gt;"")*ISNUMBER(SEARCH(실물목록!$P$2:$P$1001,I2156))*(실물목록!$Q$2:$Q$1001&lt;&gt;"")*ISNUMBER(SEARCH(실물목록!$Q$2:$Q$1001,I2156))*(실물목록!$R$2:$R$1001="")*(실물목록!$O$2:$O$1001&lt;&gt;"")*(실물목록!$O$2:$O$1001=H2156))&gt;0,"실물 있음",IF(SUMPRODUCT((실물목록!$P$2:$P$1001&lt;&gt;"")*ISNUMBER(SEARCH(실물목록!$P$2:$P$1001,I2156))*(실물목록!$R$2:$R$1001&lt;&gt;""))&gt;0,"확인필요(입력누락)",IF(SUMPRODUCT((실물목록!$P$2:$P$1001&lt;&gt;"")*ISNUMBER(SEARCH(실물목록!$P$2:$P$1001,I2156))*(실물목록!$Q$2:$Q$1001&lt;&gt;"")*ISNUMBER(SEARCH(실물목록!$Q$2:$Q$1001,I2156))*(실물목록!$R$2:$R$1001="")*(실물목록!$O$2:$O$1001&lt;&gt;""))&gt;0,"확인필요(연도다름)","실물 없음")))))</f>
      </c>
      <c r="G2156" t="n" s="16">
        <f aca="0">IF(B2156="","",SUMPRODUCT((실물목록!$P$2:$P$1001&lt;&gt;"")*ISNUMBER(SEARCH(실물목록!$P$2:$P$1001,I2156))*(실물목록!$Q$2:$Q$1001&lt;&gt;"")*ISNUMBER(SEARCH(실물목록!$Q$2:$Q$1001,I2156))*(실물목록!$R$2:$R$1001="")*(실물목록!$O$2:$O$1001&lt;&gt;"")*(실물목록!$O$2:$O$1001=H2156)))</f>
      </c>
      <c r="H2156" t="str">
        <f>IFERROR(IF(AND(LEN(SUBSTITUTE(SUBSTITUTE(SUBSTITUTE(TRIM(A2156&amp;""),CHAR(160),"")," ",""),"년",""))=4,VALUE(SUBSTITUTE(SUBSTITUTE(SUBSTITUTE(TRIM(A2156&amp;""),CHAR(160),"")," ",""),"년",""))&gt;=1900,VALUE(SUBSTITUTE(SUBSTITUTE(SUBSTITUTE(TRIM(A2156&amp;""),CHAR(160),"")," ",""),"년",""))&lt;=2099,TEXT(VALUE(SUBSTITUTE(SUBSTITUTE(SUBSTITUTE(TRIM(A2156&amp;""),CHAR(160),"")," ",""),"년","")),"0000")=SUBSTITUTE(SUBSTITUTE(SUBSTITUTE(TRIM(A2156&amp;""),CHAR(160),"")," ",""),"년","")),SUBSTITUTE(SUBSTITUTE(SUBSTITUTE(TRIM(A2156&amp;""),CHAR(160),"")," ",""),"년",""),""),"")</f>
      </c>
      <c r="I2156" t="str">
        <f>SUBSTITUTE(SUBSTITUTE(SUBSTITUTE(SUBSTITUTE(SUBSTITUTE(TRIM(B2156&amp;""),CHAR(160),"")," ",""),"초등학교","초"),"중학교","중"),"고등학교","고")</f>
      </c>
    </row>
    <row r="2157" customFormat="false" ht="15" hidden="false" customHeight="false" outlineLevel="0" collapsed="false">
      <c r="A2157" s="8"/>
      <c r="B2157" s="8"/>
      <c r="C2157" s="8"/>
      <c r="D2157" s="8"/>
      <c r="E2157" s="8"/>
      <c r="F2157" t="str" s="15">
        <f aca="0">IF(B2157="","",IF(H2157="","확인필요(입력누락)",IF(SUMPRODUCT((실물목록!$P$2:$P$1001&lt;&gt;"")*ISNUMBER(SEARCH(실물목록!$P$2:$P$1001,I2157))*(실물목록!$Q$2:$Q$1001&lt;&gt;"")*ISNUMBER(SEARCH(실물목록!$Q$2:$Q$1001,I2157))*(실물목록!$R$2:$R$1001="")*(실물목록!$O$2:$O$1001&lt;&gt;"")*(실물목록!$O$2:$O$1001=H2157))&gt;0,"실물 있음",IF(SUMPRODUCT((실물목록!$P$2:$P$1001&lt;&gt;"")*ISNUMBER(SEARCH(실물목록!$P$2:$P$1001,I2157))*(실물목록!$R$2:$R$1001&lt;&gt;""))&gt;0,"확인필요(입력누락)",IF(SUMPRODUCT((실물목록!$P$2:$P$1001&lt;&gt;"")*ISNUMBER(SEARCH(실물목록!$P$2:$P$1001,I2157))*(실물목록!$Q$2:$Q$1001&lt;&gt;"")*ISNUMBER(SEARCH(실물목록!$Q$2:$Q$1001,I2157))*(실물목록!$R$2:$R$1001="")*(실물목록!$O$2:$O$1001&lt;&gt;""))&gt;0,"확인필요(연도다름)","실물 없음")))))</f>
      </c>
      <c r="G2157" t="n" s="16">
        <f aca="0">IF(B2157="","",SUMPRODUCT((실물목록!$P$2:$P$1001&lt;&gt;"")*ISNUMBER(SEARCH(실물목록!$P$2:$P$1001,I2157))*(실물목록!$Q$2:$Q$1001&lt;&gt;"")*ISNUMBER(SEARCH(실물목록!$Q$2:$Q$1001,I2157))*(실물목록!$R$2:$R$1001="")*(실물목록!$O$2:$O$1001&lt;&gt;"")*(실물목록!$O$2:$O$1001=H2157)))</f>
      </c>
      <c r="H2157" t="str">
        <f>IFERROR(IF(AND(LEN(SUBSTITUTE(SUBSTITUTE(SUBSTITUTE(TRIM(A2157&amp;""),CHAR(160),"")," ",""),"년",""))=4,VALUE(SUBSTITUTE(SUBSTITUTE(SUBSTITUTE(TRIM(A2157&amp;""),CHAR(160),"")," ",""),"년",""))&gt;=1900,VALUE(SUBSTITUTE(SUBSTITUTE(SUBSTITUTE(TRIM(A2157&amp;""),CHAR(160),"")," ",""),"년",""))&lt;=2099,TEXT(VALUE(SUBSTITUTE(SUBSTITUTE(SUBSTITUTE(TRIM(A2157&amp;""),CHAR(160),"")," ",""),"년","")),"0000")=SUBSTITUTE(SUBSTITUTE(SUBSTITUTE(TRIM(A2157&amp;""),CHAR(160),"")," ",""),"년","")),SUBSTITUTE(SUBSTITUTE(SUBSTITUTE(TRIM(A2157&amp;""),CHAR(160),"")," ",""),"년",""),""),"")</f>
      </c>
      <c r="I2157" t="str">
        <f>SUBSTITUTE(SUBSTITUTE(SUBSTITUTE(SUBSTITUTE(SUBSTITUTE(TRIM(B2157&amp;""),CHAR(160),"")," ",""),"초등학교","초"),"중학교","중"),"고등학교","고")</f>
      </c>
    </row>
    <row r="2158" customFormat="false" ht="15" hidden="false" customHeight="false" outlineLevel="0" collapsed="false">
      <c r="A2158" s="8"/>
      <c r="B2158" s="8"/>
      <c r="C2158" s="8"/>
      <c r="D2158" s="8"/>
      <c r="E2158" s="8"/>
      <c r="F2158" t="str" s="15">
        <f aca="0">IF(B2158="","",IF(H2158="","확인필요(입력누락)",IF(SUMPRODUCT((실물목록!$P$2:$P$1001&lt;&gt;"")*ISNUMBER(SEARCH(실물목록!$P$2:$P$1001,I2158))*(실물목록!$Q$2:$Q$1001&lt;&gt;"")*ISNUMBER(SEARCH(실물목록!$Q$2:$Q$1001,I2158))*(실물목록!$R$2:$R$1001="")*(실물목록!$O$2:$O$1001&lt;&gt;"")*(실물목록!$O$2:$O$1001=H2158))&gt;0,"실물 있음",IF(SUMPRODUCT((실물목록!$P$2:$P$1001&lt;&gt;"")*ISNUMBER(SEARCH(실물목록!$P$2:$P$1001,I2158))*(실물목록!$R$2:$R$1001&lt;&gt;""))&gt;0,"확인필요(입력누락)",IF(SUMPRODUCT((실물목록!$P$2:$P$1001&lt;&gt;"")*ISNUMBER(SEARCH(실물목록!$P$2:$P$1001,I2158))*(실물목록!$Q$2:$Q$1001&lt;&gt;"")*ISNUMBER(SEARCH(실물목록!$Q$2:$Q$1001,I2158))*(실물목록!$R$2:$R$1001="")*(실물목록!$O$2:$O$1001&lt;&gt;""))&gt;0,"확인필요(연도다름)","실물 없음")))))</f>
      </c>
      <c r="G2158" t="n" s="16">
        <f aca="0">IF(B2158="","",SUMPRODUCT((실물목록!$P$2:$P$1001&lt;&gt;"")*ISNUMBER(SEARCH(실물목록!$P$2:$P$1001,I2158))*(실물목록!$Q$2:$Q$1001&lt;&gt;"")*ISNUMBER(SEARCH(실물목록!$Q$2:$Q$1001,I2158))*(실물목록!$R$2:$R$1001="")*(실물목록!$O$2:$O$1001&lt;&gt;"")*(실물목록!$O$2:$O$1001=H2158)))</f>
      </c>
      <c r="H2158" t="str">
        <f>IFERROR(IF(AND(LEN(SUBSTITUTE(SUBSTITUTE(SUBSTITUTE(TRIM(A2158&amp;""),CHAR(160),"")," ",""),"년",""))=4,VALUE(SUBSTITUTE(SUBSTITUTE(SUBSTITUTE(TRIM(A2158&amp;""),CHAR(160),"")," ",""),"년",""))&gt;=1900,VALUE(SUBSTITUTE(SUBSTITUTE(SUBSTITUTE(TRIM(A2158&amp;""),CHAR(160),"")," ",""),"년",""))&lt;=2099,TEXT(VALUE(SUBSTITUTE(SUBSTITUTE(SUBSTITUTE(TRIM(A2158&amp;""),CHAR(160),"")," ",""),"년","")),"0000")=SUBSTITUTE(SUBSTITUTE(SUBSTITUTE(TRIM(A2158&amp;""),CHAR(160),"")," ",""),"년","")),SUBSTITUTE(SUBSTITUTE(SUBSTITUTE(TRIM(A2158&amp;""),CHAR(160),"")," ",""),"년",""),""),"")</f>
      </c>
      <c r="I2158" t="str">
        <f>SUBSTITUTE(SUBSTITUTE(SUBSTITUTE(SUBSTITUTE(SUBSTITUTE(TRIM(B2158&amp;""),CHAR(160),"")," ",""),"초등학교","초"),"중학교","중"),"고등학교","고")</f>
      </c>
    </row>
    <row r="2159" customFormat="false" ht="15" hidden="false" customHeight="false" outlineLevel="0" collapsed="false">
      <c r="A2159" s="8"/>
      <c r="B2159" s="8"/>
      <c r="C2159" s="8"/>
      <c r="D2159" s="8"/>
      <c r="E2159" s="8"/>
      <c r="F2159" t="str" s="15">
        <f aca="0">IF(B2159="","",IF(H2159="","확인필요(입력누락)",IF(SUMPRODUCT((실물목록!$P$2:$P$1001&lt;&gt;"")*ISNUMBER(SEARCH(실물목록!$P$2:$P$1001,I2159))*(실물목록!$Q$2:$Q$1001&lt;&gt;"")*ISNUMBER(SEARCH(실물목록!$Q$2:$Q$1001,I2159))*(실물목록!$R$2:$R$1001="")*(실물목록!$O$2:$O$1001&lt;&gt;"")*(실물목록!$O$2:$O$1001=H2159))&gt;0,"실물 있음",IF(SUMPRODUCT((실물목록!$P$2:$P$1001&lt;&gt;"")*ISNUMBER(SEARCH(실물목록!$P$2:$P$1001,I2159))*(실물목록!$R$2:$R$1001&lt;&gt;""))&gt;0,"확인필요(입력누락)",IF(SUMPRODUCT((실물목록!$P$2:$P$1001&lt;&gt;"")*ISNUMBER(SEARCH(실물목록!$P$2:$P$1001,I2159))*(실물목록!$Q$2:$Q$1001&lt;&gt;"")*ISNUMBER(SEARCH(실물목록!$Q$2:$Q$1001,I2159))*(실물목록!$R$2:$R$1001="")*(실물목록!$O$2:$O$1001&lt;&gt;""))&gt;0,"확인필요(연도다름)","실물 없음")))))</f>
      </c>
      <c r="G2159" t="n" s="16">
        <f aca="0">IF(B2159="","",SUMPRODUCT((실물목록!$P$2:$P$1001&lt;&gt;"")*ISNUMBER(SEARCH(실물목록!$P$2:$P$1001,I2159))*(실물목록!$Q$2:$Q$1001&lt;&gt;"")*ISNUMBER(SEARCH(실물목록!$Q$2:$Q$1001,I2159))*(실물목록!$R$2:$R$1001="")*(실물목록!$O$2:$O$1001&lt;&gt;"")*(실물목록!$O$2:$O$1001=H2159)))</f>
      </c>
      <c r="H2159" t="str">
        <f>IFERROR(IF(AND(LEN(SUBSTITUTE(SUBSTITUTE(SUBSTITUTE(TRIM(A2159&amp;""),CHAR(160),"")," ",""),"년",""))=4,VALUE(SUBSTITUTE(SUBSTITUTE(SUBSTITUTE(TRIM(A2159&amp;""),CHAR(160),"")," ",""),"년",""))&gt;=1900,VALUE(SUBSTITUTE(SUBSTITUTE(SUBSTITUTE(TRIM(A2159&amp;""),CHAR(160),"")," ",""),"년",""))&lt;=2099,TEXT(VALUE(SUBSTITUTE(SUBSTITUTE(SUBSTITUTE(TRIM(A2159&amp;""),CHAR(160),"")," ",""),"년","")),"0000")=SUBSTITUTE(SUBSTITUTE(SUBSTITUTE(TRIM(A2159&amp;""),CHAR(160),"")," ",""),"년","")),SUBSTITUTE(SUBSTITUTE(SUBSTITUTE(TRIM(A2159&amp;""),CHAR(160),"")," ",""),"년",""),""),"")</f>
      </c>
      <c r="I2159" t="str">
        <f>SUBSTITUTE(SUBSTITUTE(SUBSTITUTE(SUBSTITUTE(SUBSTITUTE(TRIM(B2159&amp;""),CHAR(160),"")," ",""),"초등학교","초"),"중학교","중"),"고등학교","고")</f>
      </c>
    </row>
    <row r="2160" customFormat="false" ht="15" hidden="false" customHeight="false" outlineLevel="0" collapsed="false">
      <c r="A2160" s="8"/>
      <c r="B2160" s="8"/>
      <c r="C2160" s="8"/>
      <c r="D2160" s="8"/>
      <c r="E2160" s="8"/>
      <c r="F2160" t="str" s="15">
        <f aca="0">IF(B2160="","",IF(H2160="","확인필요(입력누락)",IF(SUMPRODUCT((실물목록!$P$2:$P$1001&lt;&gt;"")*ISNUMBER(SEARCH(실물목록!$P$2:$P$1001,I2160))*(실물목록!$Q$2:$Q$1001&lt;&gt;"")*ISNUMBER(SEARCH(실물목록!$Q$2:$Q$1001,I2160))*(실물목록!$R$2:$R$1001="")*(실물목록!$O$2:$O$1001&lt;&gt;"")*(실물목록!$O$2:$O$1001=H2160))&gt;0,"실물 있음",IF(SUMPRODUCT((실물목록!$P$2:$P$1001&lt;&gt;"")*ISNUMBER(SEARCH(실물목록!$P$2:$P$1001,I2160))*(실물목록!$R$2:$R$1001&lt;&gt;""))&gt;0,"확인필요(입력누락)",IF(SUMPRODUCT((실물목록!$P$2:$P$1001&lt;&gt;"")*ISNUMBER(SEARCH(실물목록!$P$2:$P$1001,I2160))*(실물목록!$Q$2:$Q$1001&lt;&gt;"")*ISNUMBER(SEARCH(실물목록!$Q$2:$Q$1001,I2160))*(실물목록!$R$2:$R$1001="")*(실물목록!$O$2:$O$1001&lt;&gt;""))&gt;0,"확인필요(연도다름)","실물 없음")))))</f>
      </c>
      <c r="G2160" t="n" s="16">
        <f aca="0">IF(B2160="","",SUMPRODUCT((실물목록!$P$2:$P$1001&lt;&gt;"")*ISNUMBER(SEARCH(실물목록!$P$2:$P$1001,I2160))*(실물목록!$Q$2:$Q$1001&lt;&gt;"")*ISNUMBER(SEARCH(실물목록!$Q$2:$Q$1001,I2160))*(실물목록!$R$2:$R$1001="")*(실물목록!$O$2:$O$1001&lt;&gt;"")*(실물목록!$O$2:$O$1001=H2160)))</f>
      </c>
      <c r="H2160" t="str">
        <f>IFERROR(IF(AND(LEN(SUBSTITUTE(SUBSTITUTE(SUBSTITUTE(TRIM(A2160&amp;""),CHAR(160),"")," ",""),"년",""))=4,VALUE(SUBSTITUTE(SUBSTITUTE(SUBSTITUTE(TRIM(A2160&amp;""),CHAR(160),"")," ",""),"년",""))&gt;=1900,VALUE(SUBSTITUTE(SUBSTITUTE(SUBSTITUTE(TRIM(A2160&amp;""),CHAR(160),"")," ",""),"년",""))&lt;=2099,TEXT(VALUE(SUBSTITUTE(SUBSTITUTE(SUBSTITUTE(TRIM(A2160&amp;""),CHAR(160),"")," ",""),"년","")),"0000")=SUBSTITUTE(SUBSTITUTE(SUBSTITUTE(TRIM(A2160&amp;""),CHAR(160),"")," ",""),"년","")),SUBSTITUTE(SUBSTITUTE(SUBSTITUTE(TRIM(A2160&amp;""),CHAR(160),"")," ",""),"년",""),""),"")</f>
      </c>
      <c r="I2160" t="str">
        <f>SUBSTITUTE(SUBSTITUTE(SUBSTITUTE(SUBSTITUTE(SUBSTITUTE(TRIM(B2160&amp;""),CHAR(160),"")," ",""),"초등학교","초"),"중학교","중"),"고등학교","고")</f>
      </c>
    </row>
    <row r="2161" customFormat="false" ht="15" hidden="false" customHeight="false" outlineLevel="0" collapsed="false">
      <c r="A2161" s="8"/>
      <c r="B2161" s="8"/>
      <c r="C2161" s="8"/>
      <c r="D2161" s="8"/>
      <c r="E2161" s="8"/>
      <c r="F2161" t="str" s="15">
        <f aca="0">IF(B2161="","",IF(H2161="","확인필요(입력누락)",IF(SUMPRODUCT((실물목록!$P$2:$P$1001&lt;&gt;"")*ISNUMBER(SEARCH(실물목록!$P$2:$P$1001,I2161))*(실물목록!$Q$2:$Q$1001&lt;&gt;"")*ISNUMBER(SEARCH(실물목록!$Q$2:$Q$1001,I2161))*(실물목록!$R$2:$R$1001="")*(실물목록!$O$2:$O$1001&lt;&gt;"")*(실물목록!$O$2:$O$1001=H2161))&gt;0,"실물 있음",IF(SUMPRODUCT((실물목록!$P$2:$P$1001&lt;&gt;"")*ISNUMBER(SEARCH(실물목록!$P$2:$P$1001,I2161))*(실물목록!$R$2:$R$1001&lt;&gt;""))&gt;0,"확인필요(입력누락)",IF(SUMPRODUCT((실물목록!$P$2:$P$1001&lt;&gt;"")*ISNUMBER(SEARCH(실물목록!$P$2:$P$1001,I2161))*(실물목록!$Q$2:$Q$1001&lt;&gt;"")*ISNUMBER(SEARCH(실물목록!$Q$2:$Q$1001,I2161))*(실물목록!$R$2:$R$1001="")*(실물목록!$O$2:$O$1001&lt;&gt;""))&gt;0,"확인필요(연도다름)","실물 없음")))))</f>
      </c>
      <c r="G2161" t="n" s="16">
        <f aca="0">IF(B2161="","",SUMPRODUCT((실물목록!$P$2:$P$1001&lt;&gt;"")*ISNUMBER(SEARCH(실물목록!$P$2:$P$1001,I2161))*(실물목록!$Q$2:$Q$1001&lt;&gt;"")*ISNUMBER(SEARCH(실물목록!$Q$2:$Q$1001,I2161))*(실물목록!$R$2:$R$1001="")*(실물목록!$O$2:$O$1001&lt;&gt;"")*(실물목록!$O$2:$O$1001=H2161)))</f>
      </c>
      <c r="H2161" t="str">
        <f>IFERROR(IF(AND(LEN(SUBSTITUTE(SUBSTITUTE(SUBSTITUTE(TRIM(A2161&amp;""),CHAR(160),"")," ",""),"년",""))=4,VALUE(SUBSTITUTE(SUBSTITUTE(SUBSTITUTE(TRIM(A2161&amp;""),CHAR(160),"")," ",""),"년",""))&gt;=1900,VALUE(SUBSTITUTE(SUBSTITUTE(SUBSTITUTE(TRIM(A2161&amp;""),CHAR(160),"")," ",""),"년",""))&lt;=2099,TEXT(VALUE(SUBSTITUTE(SUBSTITUTE(SUBSTITUTE(TRIM(A2161&amp;""),CHAR(160),"")," ",""),"년","")),"0000")=SUBSTITUTE(SUBSTITUTE(SUBSTITUTE(TRIM(A2161&amp;""),CHAR(160),"")," ",""),"년","")),SUBSTITUTE(SUBSTITUTE(SUBSTITUTE(TRIM(A2161&amp;""),CHAR(160),"")," ",""),"년",""),""),"")</f>
      </c>
      <c r="I2161" t="str">
        <f>SUBSTITUTE(SUBSTITUTE(SUBSTITUTE(SUBSTITUTE(SUBSTITUTE(TRIM(B2161&amp;""),CHAR(160),"")," ",""),"초등학교","초"),"중학교","중"),"고등학교","고")</f>
      </c>
    </row>
    <row r="2162" customFormat="false" ht="15" hidden="false" customHeight="false" outlineLevel="0" collapsed="false">
      <c r="A2162" s="8"/>
      <c r="B2162" s="8"/>
      <c r="C2162" s="8"/>
      <c r="D2162" s="8"/>
      <c r="E2162" s="8"/>
      <c r="F2162" t="str" s="15">
        <f aca="0">IF(B2162="","",IF(H2162="","확인필요(입력누락)",IF(SUMPRODUCT((실물목록!$P$2:$P$1001&lt;&gt;"")*ISNUMBER(SEARCH(실물목록!$P$2:$P$1001,I2162))*(실물목록!$Q$2:$Q$1001&lt;&gt;"")*ISNUMBER(SEARCH(실물목록!$Q$2:$Q$1001,I2162))*(실물목록!$R$2:$R$1001="")*(실물목록!$O$2:$O$1001&lt;&gt;"")*(실물목록!$O$2:$O$1001=H2162))&gt;0,"실물 있음",IF(SUMPRODUCT((실물목록!$P$2:$P$1001&lt;&gt;"")*ISNUMBER(SEARCH(실물목록!$P$2:$P$1001,I2162))*(실물목록!$R$2:$R$1001&lt;&gt;""))&gt;0,"확인필요(입력누락)",IF(SUMPRODUCT((실물목록!$P$2:$P$1001&lt;&gt;"")*ISNUMBER(SEARCH(실물목록!$P$2:$P$1001,I2162))*(실물목록!$Q$2:$Q$1001&lt;&gt;"")*ISNUMBER(SEARCH(실물목록!$Q$2:$Q$1001,I2162))*(실물목록!$R$2:$R$1001="")*(실물목록!$O$2:$O$1001&lt;&gt;""))&gt;0,"확인필요(연도다름)","실물 없음")))))</f>
      </c>
      <c r="G2162" t="n" s="16">
        <f aca="0">IF(B2162="","",SUMPRODUCT((실물목록!$P$2:$P$1001&lt;&gt;"")*ISNUMBER(SEARCH(실물목록!$P$2:$P$1001,I2162))*(실물목록!$Q$2:$Q$1001&lt;&gt;"")*ISNUMBER(SEARCH(실물목록!$Q$2:$Q$1001,I2162))*(실물목록!$R$2:$R$1001="")*(실물목록!$O$2:$O$1001&lt;&gt;"")*(실물목록!$O$2:$O$1001=H2162)))</f>
      </c>
      <c r="H2162" t="str">
        <f>IFERROR(IF(AND(LEN(SUBSTITUTE(SUBSTITUTE(SUBSTITUTE(TRIM(A2162&amp;""),CHAR(160),"")," ",""),"년",""))=4,VALUE(SUBSTITUTE(SUBSTITUTE(SUBSTITUTE(TRIM(A2162&amp;""),CHAR(160),"")," ",""),"년",""))&gt;=1900,VALUE(SUBSTITUTE(SUBSTITUTE(SUBSTITUTE(TRIM(A2162&amp;""),CHAR(160),"")," ",""),"년",""))&lt;=2099,TEXT(VALUE(SUBSTITUTE(SUBSTITUTE(SUBSTITUTE(TRIM(A2162&amp;""),CHAR(160),"")," ",""),"년","")),"0000")=SUBSTITUTE(SUBSTITUTE(SUBSTITUTE(TRIM(A2162&amp;""),CHAR(160),"")," ",""),"년","")),SUBSTITUTE(SUBSTITUTE(SUBSTITUTE(TRIM(A2162&amp;""),CHAR(160),"")," ",""),"년",""),""),"")</f>
      </c>
      <c r="I2162" t="str">
        <f>SUBSTITUTE(SUBSTITUTE(SUBSTITUTE(SUBSTITUTE(SUBSTITUTE(TRIM(B2162&amp;""),CHAR(160),"")," ",""),"초등학교","초"),"중학교","중"),"고등학교","고")</f>
      </c>
    </row>
    <row r="2163" customFormat="false" ht="15" hidden="false" customHeight="false" outlineLevel="0" collapsed="false">
      <c r="A2163" s="8"/>
      <c r="B2163" s="8"/>
      <c r="C2163" s="8"/>
      <c r="D2163" s="8"/>
      <c r="E2163" s="8"/>
      <c r="F2163" t="str" s="15">
        <f aca="0">IF(B2163="","",IF(H2163="","확인필요(입력누락)",IF(SUMPRODUCT((실물목록!$P$2:$P$1001&lt;&gt;"")*ISNUMBER(SEARCH(실물목록!$P$2:$P$1001,I2163))*(실물목록!$Q$2:$Q$1001&lt;&gt;"")*ISNUMBER(SEARCH(실물목록!$Q$2:$Q$1001,I2163))*(실물목록!$R$2:$R$1001="")*(실물목록!$O$2:$O$1001&lt;&gt;"")*(실물목록!$O$2:$O$1001=H2163))&gt;0,"실물 있음",IF(SUMPRODUCT((실물목록!$P$2:$P$1001&lt;&gt;"")*ISNUMBER(SEARCH(실물목록!$P$2:$P$1001,I2163))*(실물목록!$R$2:$R$1001&lt;&gt;""))&gt;0,"확인필요(입력누락)",IF(SUMPRODUCT((실물목록!$P$2:$P$1001&lt;&gt;"")*ISNUMBER(SEARCH(실물목록!$P$2:$P$1001,I2163))*(실물목록!$Q$2:$Q$1001&lt;&gt;"")*ISNUMBER(SEARCH(실물목록!$Q$2:$Q$1001,I2163))*(실물목록!$R$2:$R$1001="")*(실물목록!$O$2:$O$1001&lt;&gt;""))&gt;0,"확인필요(연도다름)","실물 없음")))))</f>
      </c>
      <c r="G2163" t="n" s="16">
        <f aca="0">IF(B2163="","",SUMPRODUCT((실물목록!$P$2:$P$1001&lt;&gt;"")*ISNUMBER(SEARCH(실물목록!$P$2:$P$1001,I2163))*(실물목록!$Q$2:$Q$1001&lt;&gt;"")*ISNUMBER(SEARCH(실물목록!$Q$2:$Q$1001,I2163))*(실물목록!$R$2:$R$1001="")*(실물목록!$O$2:$O$1001&lt;&gt;"")*(실물목록!$O$2:$O$1001=H2163)))</f>
      </c>
      <c r="H2163" t="str">
        <f>IFERROR(IF(AND(LEN(SUBSTITUTE(SUBSTITUTE(SUBSTITUTE(TRIM(A2163&amp;""),CHAR(160),"")," ",""),"년",""))=4,VALUE(SUBSTITUTE(SUBSTITUTE(SUBSTITUTE(TRIM(A2163&amp;""),CHAR(160),"")," ",""),"년",""))&gt;=1900,VALUE(SUBSTITUTE(SUBSTITUTE(SUBSTITUTE(TRIM(A2163&amp;""),CHAR(160),"")," ",""),"년",""))&lt;=2099,TEXT(VALUE(SUBSTITUTE(SUBSTITUTE(SUBSTITUTE(TRIM(A2163&amp;""),CHAR(160),"")," ",""),"년","")),"0000")=SUBSTITUTE(SUBSTITUTE(SUBSTITUTE(TRIM(A2163&amp;""),CHAR(160),"")," ",""),"년","")),SUBSTITUTE(SUBSTITUTE(SUBSTITUTE(TRIM(A2163&amp;""),CHAR(160),"")," ",""),"년",""),""),"")</f>
      </c>
      <c r="I2163" t="str">
        <f>SUBSTITUTE(SUBSTITUTE(SUBSTITUTE(SUBSTITUTE(SUBSTITUTE(TRIM(B2163&amp;""),CHAR(160),"")," ",""),"초등학교","초"),"중학교","중"),"고등학교","고")</f>
      </c>
    </row>
    <row r="2164" customFormat="false" ht="15" hidden="false" customHeight="false" outlineLevel="0" collapsed="false">
      <c r="A2164" s="8"/>
      <c r="B2164" s="8"/>
      <c r="C2164" s="8"/>
      <c r="D2164" s="8"/>
      <c r="E2164" s="8"/>
      <c r="F2164" t="str" s="15">
        <f aca="0">IF(B2164="","",IF(H2164="","확인필요(입력누락)",IF(SUMPRODUCT((실물목록!$P$2:$P$1001&lt;&gt;"")*ISNUMBER(SEARCH(실물목록!$P$2:$P$1001,I2164))*(실물목록!$Q$2:$Q$1001&lt;&gt;"")*ISNUMBER(SEARCH(실물목록!$Q$2:$Q$1001,I2164))*(실물목록!$R$2:$R$1001="")*(실물목록!$O$2:$O$1001&lt;&gt;"")*(실물목록!$O$2:$O$1001=H2164))&gt;0,"실물 있음",IF(SUMPRODUCT((실물목록!$P$2:$P$1001&lt;&gt;"")*ISNUMBER(SEARCH(실물목록!$P$2:$P$1001,I2164))*(실물목록!$R$2:$R$1001&lt;&gt;""))&gt;0,"확인필요(입력누락)",IF(SUMPRODUCT((실물목록!$P$2:$P$1001&lt;&gt;"")*ISNUMBER(SEARCH(실물목록!$P$2:$P$1001,I2164))*(실물목록!$Q$2:$Q$1001&lt;&gt;"")*ISNUMBER(SEARCH(실물목록!$Q$2:$Q$1001,I2164))*(실물목록!$R$2:$R$1001="")*(실물목록!$O$2:$O$1001&lt;&gt;""))&gt;0,"확인필요(연도다름)","실물 없음")))))</f>
      </c>
      <c r="G2164" t="n" s="16">
        <f aca="0">IF(B2164="","",SUMPRODUCT((실물목록!$P$2:$P$1001&lt;&gt;"")*ISNUMBER(SEARCH(실물목록!$P$2:$P$1001,I2164))*(실물목록!$Q$2:$Q$1001&lt;&gt;"")*ISNUMBER(SEARCH(실물목록!$Q$2:$Q$1001,I2164))*(실물목록!$R$2:$R$1001="")*(실물목록!$O$2:$O$1001&lt;&gt;"")*(실물목록!$O$2:$O$1001=H2164)))</f>
      </c>
      <c r="H2164" t="str">
        <f>IFERROR(IF(AND(LEN(SUBSTITUTE(SUBSTITUTE(SUBSTITUTE(TRIM(A2164&amp;""),CHAR(160),"")," ",""),"년",""))=4,VALUE(SUBSTITUTE(SUBSTITUTE(SUBSTITUTE(TRIM(A2164&amp;""),CHAR(160),"")," ",""),"년",""))&gt;=1900,VALUE(SUBSTITUTE(SUBSTITUTE(SUBSTITUTE(TRIM(A2164&amp;""),CHAR(160),"")," ",""),"년",""))&lt;=2099,TEXT(VALUE(SUBSTITUTE(SUBSTITUTE(SUBSTITUTE(TRIM(A2164&amp;""),CHAR(160),"")," ",""),"년","")),"0000")=SUBSTITUTE(SUBSTITUTE(SUBSTITUTE(TRIM(A2164&amp;""),CHAR(160),"")," ",""),"년","")),SUBSTITUTE(SUBSTITUTE(SUBSTITUTE(TRIM(A2164&amp;""),CHAR(160),"")," ",""),"년",""),""),"")</f>
      </c>
      <c r="I2164" t="str">
        <f>SUBSTITUTE(SUBSTITUTE(SUBSTITUTE(SUBSTITUTE(SUBSTITUTE(TRIM(B2164&amp;""),CHAR(160),"")," ",""),"초등학교","초"),"중학교","중"),"고등학교","고")</f>
      </c>
    </row>
    <row r="2165" customFormat="false" ht="15" hidden="false" customHeight="false" outlineLevel="0" collapsed="false">
      <c r="A2165" s="8"/>
      <c r="B2165" s="8"/>
      <c r="C2165" s="8"/>
      <c r="D2165" s="8"/>
      <c r="E2165" s="8"/>
      <c r="F2165" t="str" s="15">
        <f aca="0">IF(B2165="","",IF(H2165="","확인필요(입력누락)",IF(SUMPRODUCT((실물목록!$P$2:$P$1001&lt;&gt;"")*ISNUMBER(SEARCH(실물목록!$P$2:$P$1001,I2165))*(실물목록!$Q$2:$Q$1001&lt;&gt;"")*ISNUMBER(SEARCH(실물목록!$Q$2:$Q$1001,I2165))*(실물목록!$R$2:$R$1001="")*(실물목록!$O$2:$O$1001&lt;&gt;"")*(실물목록!$O$2:$O$1001=H2165))&gt;0,"실물 있음",IF(SUMPRODUCT((실물목록!$P$2:$P$1001&lt;&gt;"")*ISNUMBER(SEARCH(실물목록!$P$2:$P$1001,I2165))*(실물목록!$R$2:$R$1001&lt;&gt;""))&gt;0,"확인필요(입력누락)",IF(SUMPRODUCT((실물목록!$P$2:$P$1001&lt;&gt;"")*ISNUMBER(SEARCH(실물목록!$P$2:$P$1001,I2165))*(실물목록!$Q$2:$Q$1001&lt;&gt;"")*ISNUMBER(SEARCH(실물목록!$Q$2:$Q$1001,I2165))*(실물목록!$R$2:$R$1001="")*(실물목록!$O$2:$O$1001&lt;&gt;""))&gt;0,"확인필요(연도다름)","실물 없음")))))</f>
      </c>
      <c r="G2165" t="n" s="16">
        <f aca="0">IF(B2165="","",SUMPRODUCT((실물목록!$P$2:$P$1001&lt;&gt;"")*ISNUMBER(SEARCH(실물목록!$P$2:$P$1001,I2165))*(실물목록!$Q$2:$Q$1001&lt;&gt;"")*ISNUMBER(SEARCH(실물목록!$Q$2:$Q$1001,I2165))*(실물목록!$R$2:$R$1001="")*(실물목록!$O$2:$O$1001&lt;&gt;"")*(실물목록!$O$2:$O$1001=H2165)))</f>
      </c>
      <c r="H2165" t="str">
        <f>IFERROR(IF(AND(LEN(SUBSTITUTE(SUBSTITUTE(SUBSTITUTE(TRIM(A2165&amp;""),CHAR(160),"")," ",""),"년",""))=4,VALUE(SUBSTITUTE(SUBSTITUTE(SUBSTITUTE(TRIM(A2165&amp;""),CHAR(160),"")," ",""),"년",""))&gt;=1900,VALUE(SUBSTITUTE(SUBSTITUTE(SUBSTITUTE(TRIM(A2165&amp;""),CHAR(160),"")," ",""),"년",""))&lt;=2099,TEXT(VALUE(SUBSTITUTE(SUBSTITUTE(SUBSTITUTE(TRIM(A2165&amp;""),CHAR(160),"")," ",""),"년","")),"0000")=SUBSTITUTE(SUBSTITUTE(SUBSTITUTE(TRIM(A2165&amp;""),CHAR(160),"")," ",""),"년","")),SUBSTITUTE(SUBSTITUTE(SUBSTITUTE(TRIM(A2165&amp;""),CHAR(160),"")," ",""),"년",""),""),"")</f>
      </c>
      <c r="I2165" t="str">
        <f>SUBSTITUTE(SUBSTITUTE(SUBSTITUTE(SUBSTITUTE(SUBSTITUTE(TRIM(B2165&amp;""),CHAR(160),"")," ",""),"초등학교","초"),"중학교","중"),"고등학교","고")</f>
      </c>
    </row>
    <row r="2166" customFormat="false" ht="15" hidden="false" customHeight="false" outlineLevel="0" collapsed="false">
      <c r="A2166" s="8"/>
      <c r="B2166" s="8"/>
      <c r="C2166" s="8"/>
      <c r="D2166" s="8"/>
      <c r="E2166" s="8"/>
      <c r="F2166" t="str" s="15">
        <f aca="0">IF(B2166="","",IF(H2166="","확인필요(입력누락)",IF(SUMPRODUCT((실물목록!$P$2:$P$1001&lt;&gt;"")*ISNUMBER(SEARCH(실물목록!$P$2:$P$1001,I2166))*(실물목록!$Q$2:$Q$1001&lt;&gt;"")*ISNUMBER(SEARCH(실물목록!$Q$2:$Q$1001,I2166))*(실물목록!$R$2:$R$1001="")*(실물목록!$O$2:$O$1001&lt;&gt;"")*(실물목록!$O$2:$O$1001=H2166))&gt;0,"실물 있음",IF(SUMPRODUCT((실물목록!$P$2:$P$1001&lt;&gt;"")*ISNUMBER(SEARCH(실물목록!$P$2:$P$1001,I2166))*(실물목록!$R$2:$R$1001&lt;&gt;""))&gt;0,"확인필요(입력누락)",IF(SUMPRODUCT((실물목록!$P$2:$P$1001&lt;&gt;"")*ISNUMBER(SEARCH(실물목록!$P$2:$P$1001,I2166))*(실물목록!$Q$2:$Q$1001&lt;&gt;"")*ISNUMBER(SEARCH(실물목록!$Q$2:$Q$1001,I2166))*(실물목록!$R$2:$R$1001="")*(실물목록!$O$2:$O$1001&lt;&gt;""))&gt;0,"확인필요(연도다름)","실물 없음")))))</f>
      </c>
      <c r="G2166" t="n" s="16">
        <f aca="0">IF(B2166="","",SUMPRODUCT((실물목록!$P$2:$P$1001&lt;&gt;"")*ISNUMBER(SEARCH(실물목록!$P$2:$P$1001,I2166))*(실물목록!$Q$2:$Q$1001&lt;&gt;"")*ISNUMBER(SEARCH(실물목록!$Q$2:$Q$1001,I2166))*(실물목록!$R$2:$R$1001="")*(실물목록!$O$2:$O$1001&lt;&gt;"")*(실물목록!$O$2:$O$1001=H2166)))</f>
      </c>
      <c r="H2166" t="str">
        <f>IFERROR(IF(AND(LEN(SUBSTITUTE(SUBSTITUTE(SUBSTITUTE(TRIM(A2166&amp;""),CHAR(160),"")," ",""),"년",""))=4,VALUE(SUBSTITUTE(SUBSTITUTE(SUBSTITUTE(TRIM(A2166&amp;""),CHAR(160),"")," ",""),"년",""))&gt;=1900,VALUE(SUBSTITUTE(SUBSTITUTE(SUBSTITUTE(TRIM(A2166&amp;""),CHAR(160),"")," ",""),"년",""))&lt;=2099,TEXT(VALUE(SUBSTITUTE(SUBSTITUTE(SUBSTITUTE(TRIM(A2166&amp;""),CHAR(160),"")," ",""),"년","")),"0000")=SUBSTITUTE(SUBSTITUTE(SUBSTITUTE(TRIM(A2166&amp;""),CHAR(160),"")," ",""),"년","")),SUBSTITUTE(SUBSTITUTE(SUBSTITUTE(TRIM(A2166&amp;""),CHAR(160),"")," ",""),"년",""),""),"")</f>
      </c>
      <c r="I2166" t="str">
        <f>SUBSTITUTE(SUBSTITUTE(SUBSTITUTE(SUBSTITUTE(SUBSTITUTE(TRIM(B2166&amp;""),CHAR(160),"")," ",""),"초등학교","초"),"중학교","중"),"고등학교","고")</f>
      </c>
    </row>
    <row r="2167" customFormat="false" ht="15" hidden="false" customHeight="false" outlineLevel="0" collapsed="false">
      <c r="A2167" s="8"/>
      <c r="B2167" s="8"/>
      <c r="C2167" s="8"/>
      <c r="D2167" s="8"/>
      <c r="E2167" s="8"/>
      <c r="F2167" t="str" s="15">
        <f aca="0">IF(B2167="","",IF(H2167="","확인필요(입력누락)",IF(SUMPRODUCT((실물목록!$P$2:$P$1001&lt;&gt;"")*ISNUMBER(SEARCH(실물목록!$P$2:$P$1001,I2167))*(실물목록!$Q$2:$Q$1001&lt;&gt;"")*ISNUMBER(SEARCH(실물목록!$Q$2:$Q$1001,I2167))*(실물목록!$R$2:$R$1001="")*(실물목록!$O$2:$O$1001&lt;&gt;"")*(실물목록!$O$2:$O$1001=H2167))&gt;0,"실물 있음",IF(SUMPRODUCT((실물목록!$P$2:$P$1001&lt;&gt;"")*ISNUMBER(SEARCH(실물목록!$P$2:$P$1001,I2167))*(실물목록!$R$2:$R$1001&lt;&gt;""))&gt;0,"확인필요(입력누락)",IF(SUMPRODUCT((실물목록!$P$2:$P$1001&lt;&gt;"")*ISNUMBER(SEARCH(실물목록!$P$2:$P$1001,I2167))*(실물목록!$Q$2:$Q$1001&lt;&gt;"")*ISNUMBER(SEARCH(실물목록!$Q$2:$Q$1001,I2167))*(실물목록!$R$2:$R$1001="")*(실물목록!$O$2:$O$1001&lt;&gt;""))&gt;0,"확인필요(연도다름)","실물 없음")))))</f>
      </c>
      <c r="G2167" t="n" s="16">
        <f aca="0">IF(B2167="","",SUMPRODUCT((실물목록!$P$2:$P$1001&lt;&gt;"")*ISNUMBER(SEARCH(실물목록!$P$2:$P$1001,I2167))*(실물목록!$Q$2:$Q$1001&lt;&gt;"")*ISNUMBER(SEARCH(실물목록!$Q$2:$Q$1001,I2167))*(실물목록!$R$2:$R$1001="")*(실물목록!$O$2:$O$1001&lt;&gt;"")*(실물목록!$O$2:$O$1001=H2167)))</f>
      </c>
      <c r="H2167" t="str">
        <f>IFERROR(IF(AND(LEN(SUBSTITUTE(SUBSTITUTE(SUBSTITUTE(TRIM(A2167&amp;""),CHAR(160),"")," ",""),"년",""))=4,VALUE(SUBSTITUTE(SUBSTITUTE(SUBSTITUTE(TRIM(A2167&amp;""),CHAR(160),"")," ",""),"년",""))&gt;=1900,VALUE(SUBSTITUTE(SUBSTITUTE(SUBSTITUTE(TRIM(A2167&amp;""),CHAR(160),"")," ",""),"년",""))&lt;=2099,TEXT(VALUE(SUBSTITUTE(SUBSTITUTE(SUBSTITUTE(TRIM(A2167&amp;""),CHAR(160),"")," ",""),"년","")),"0000")=SUBSTITUTE(SUBSTITUTE(SUBSTITUTE(TRIM(A2167&amp;""),CHAR(160),"")," ",""),"년","")),SUBSTITUTE(SUBSTITUTE(SUBSTITUTE(TRIM(A2167&amp;""),CHAR(160),"")," ",""),"년",""),""),"")</f>
      </c>
      <c r="I2167" t="str">
        <f>SUBSTITUTE(SUBSTITUTE(SUBSTITUTE(SUBSTITUTE(SUBSTITUTE(TRIM(B2167&amp;""),CHAR(160),"")," ",""),"초등학교","초"),"중학교","중"),"고등학교","고")</f>
      </c>
    </row>
    <row r="2168" customFormat="false" ht="15" hidden="false" customHeight="false" outlineLevel="0" collapsed="false">
      <c r="A2168" s="8"/>
      <c r="B2168" s="8"/>
      <c r="C2168" s="8"/>
      <c r="D2168" s="8"/>
      <c r="E2168" s="8"/>
      <c r="F2168" t="str" s="15">
        <f aca="0">IF(B2168="","",IF(H2168="","확인필요(입력누락)",IF(SUMPRODUCT((실물목록!$P$2:$P$1001&lt;&gt;"")*ISNUMBER(SEARCH(실물목록!$P$2:$P$1001,I2168))*(실물목록!$Q$2:$Q$1001&lt;&gt;"")*ISNUMBER(SEARCH(실물목록!$Q$2:$Q$1001,I2168))*(실물목록!$R$2:$R$1001="")*(실물목록!$O$2:$O$1001&lt;&gt;"")*(실물목록!$O$2:$O$1001=H2168))&gt;0,"실물 있음",IF(SUMPRODUCT((실물목록!$P$2:$P$1001&lt;&gt;"")*ISNUMBER(SEARCH(실물목록!$P$2:$P$1001,I2168))*(실물목록!$R$2:$R$1001&lt;&gt;""))&gt;0,"확인필요(입력누락)",IF(SUMPRODUCT((실물목록!$P$2:$P$1001&lt;&gt;"")*ISNUMBER(SEARCH(실물목록!$P$2:$P$1001,I2168))*(실물목록!$Q$2:$Q$1001&lt;&gt;"")*ISNUMBER(SEARCH(실물목록!$Q$2:$Q$1001,I2168))*(실물목록!$R$2:$R$1001="")*(실물목록!$O$2:$O$1001&lt;&gt;""))&gt;0,"확인필요(연도다름)","실물 없음")))))</f>
      </c>
      <c r="G2168" t="n" s="16">
        <f aca="0">IF(B2168="","",SUMPRODUCT((실물목록!$P$2:$P$1001&lt;&gt;"")*ISNUMBER(SEARCH(실물목록!$P$2:$P$1001,I2168))*(실물목록!$Q$2:$Q$1001&lt;&gt;"")*ISNUMBER(SEARCH(실물목록!$Q$2:$Q$1001,I2168))*(실물목록!$R$2:$R$1001="")*(실물목록!$O$2:$O$1001&lt;&gt;"")*(실물목록!$O$2:$O$1001=H2168)))</f>
      </c>
      <c r="H2168" t="str">
        <f>IFERROR(IF(AND(LEN(SUBSTITUTE(SUBSTITUTE(SUBSTITUTE(TRIM(A2168&amp;""),CHAR(160),"")," ",""),"년",""))=4,VALUE(SUBSTITUTE(SUBSTITUTE(SUBSTITUTE(TRIM(A2168&amp;""),CHAR(160),"")," ",""),"년",""))&gt;=1900,VALUE(SUBSTITUTE(SUBSTITUTE(SUBSTITUTE(TRIM(A2168&amp;""),CHAR(160),"")," ",""),"년",""))&lt;=2099,TEXT(VALUE(SUBSTITUTE(SUBSTITUTE(SUBSTITUTE(TRIM(A2168&amp;""),CHAR(160),"")," ",""),"년","")),"0000")=SUBSTITUTE(SUBSTITUTE(SUBSTITUTE(TRIM(A2168&amp;""),CHAR(160),"")," ",""),"년","")),SUBSTITUTE(SUBSTITUTE(SUBSTITUTE(TRIM(A2168&amp;""),CHAR(160),"")," ",""),"년",""),""),"")</f>
      </c>
      <c r="I2168" t="str">
        <f>SUBSTITUTE(SUBSTITUTE(SUBSTITUTE(SUBSTITUTE(SUBSTITUTE(TRIM(B2168&amp;""),CHAR(160),"")," ",""),"초등학교","초"),"중학교","중"),"고등학교","고")</f>
      </c>
    </row>
    <row r="2169" customFormat="false" ht="15" hidden="false" customHeight="false" outlineLevel="0" collapsed="false">
      <c r="A2169" s="8"/>
      <c r="B2169" s="8"/>
      <c r="C2169" s="8"/>
      <c r="D2169" s="8"/>
      <c r="E2169" s="8"/>
      <c r="F2169" t="str" s="15">
        <f aca="0">IF(B2169="","",IF(H2169="","확인필요(입력누락)",IF(SUMPRODUCT((실물목록!$P$2:$P$1001&lt;&gt;"")*ISNUMBER(SEARCH(실물목록!$P$2:$P$1001,I2169))*(실물목록!$Q$2:$Q$1001&lt;&gt;"")*ISNUMBER(SEARCH(실물목록!$Q$2:$Q$1001,I2169))*(실물목록!$R$2:$R$1001="")*(실물목록!$O$2:$O$1001&lt;&gt;"")*(실물목록!$O$2:$O$1001=H2169))&gt;0,"실물 있음",IF(SUMPRODUCT((실물목록!$P$2:$P$1001&lt;&gt;"")*ISNUMBER(SEARCH(실물목록!$P$2:$P$1001,I2169))*(실물목록!$R$2:$R$1001&lt;&gt;""))&gt;0,"확인필요(입력누락)",IF(SUMPRODUCT((실물목록!$P$2:$P$1001&lt;&gt;"")*ISNUMBER(SEARCH(실물목록!$P$2:$P$1001,I2169))*(실물목록!$Q$2:$Q$1001&lt;&gt;"")*ISNUMBER(SEARCH(실물목록!$Q$2:$Q$1001,I2169))*(실물목록!$R$2:$R$1001="")*(실물목록!$O$2:$O$1001&lt;&gt;""))&gt;0,"확인필요(연도다름)","실물 없음")))))</f>
      </c>
      <c r="G2169" t="n" s="16">
        <f aca="0">IF(B2169="","",SUMPRODUCT((실물목록!$P$2:$P$1001&lt;&gt;"")*ISNUMBER(SEARCH(실물목록!$P$2:$P$1001,I2169))*(실물목록!$Q$2:$Q$1001&lt;&gt;"")*ISNUMBER(SEARCH(실물목록!$Q$2:$Q$1001,I2169))*(실물목록!$R$2:$R$1001="")*(실물목록!$O$2:$O$1001&lt;&gt;"")*(실물목록!$O$2:$O$1001=H2169)))</f>
      </c>
      <c r="H2169" t="str">
        <f>IFERROR(IF(AND(LEN(SUBSTITUTE(SUBSTITUTE(SUBSTITUTE(TRIM(A2169&amp;""),CHAR(160),"")," ",""),"년",""))=4,VALUE(SUBSTITUTE(SUBSTITUTE(SUBSTITUTE(TRIM(A2169&amp;""),CHAR(160),"")," ",""),"년",""))&gt;=1900,VALUE(SUBSTITUTE(SUBSTITUTE(SUBSTITUTE(TRIM(A2169&amp;""),CHAR(160),"")," ",""),"년",""))&lt;=2099,TEXT(VALUE(SUBSTITUTE(SUBSTITUTE(SUBSTITUTE(TRIM(A2169&amp;""),CHAR(160),"")," ",""),"년","")),"0000")=SUBSTITUTE(SUBSTITUTE(SUBSTITUTE(TRIM(A2169&amp;""),CHAR(160),"")," ",""),"년","")),SUBSTITUTE(SUBSTITUTE(SUBSTITUTE(TRIM(A2169&amp;""),CHAR(160),"")," ",""),"년",""),""),"")</f>
      </c>
      <c r="I2169" t="str">
        <f>SUBSTITUTE(SUBSTITUTE(SUBSTITUTE(SUBSTITUTE(SUBSTITUTE(TRIM(B2169&amp;""),CHAR(160),"")," ",""),"초등학교","초"),"중학교","중"),"고등학교","고")</f>
      </c>
    </row>
    <row r="2170" customFormat="false" ht="15" hidden="false" customHeight="false" outlineLevel="0" collapsed="false">
      <c r="A2170" s="8"/>
      <c r="B2170" s="8"/>
      <c r="C2170" s="8"/>
      <c r="D2170" s="8"/>
      <c r="E2170" s="8"/>
      <c r="F2170" t="str" s="15">
        <f aca="0">IF(B2170="","",IF(H2170="","확인필요(입력누락)",IF(SUMPRODUCT((실물목록!$P$2:$P$1001&lt;&gt;"")*ISNUMBER(SEARCH(실물목록!$P$2:$P$1001,I2170))*(실물목록!$Q$2:$Q$1001&lt;&gt;"")*ISNUMBER(SEARCH(실물목록!$Q$2:$Q$1001,I2170))*(실물목록!$R$2:$R$1001="")*(실물목록!$O$2:$O$1001&lt;&gt;"")*(실물목록!$O$2:$O$1001=H2170))&gt;0,"실물 있음",IF(SUMPRODUCT((실물목록!$P$2:$P$1001&lt;&gt;"")*ISNUMBER(SEARCH(실물목록!$P$2:$P$1001,I2170))*(실물목록!$R$2:$R$1001&lt;&gt;""))&gt;0,"확인필요(입력누락)",IF(SUMPRODUCT((실물목록!$P$2:$P$1001&lt;&gt;"")*ISNUMBER(SEARCH(실물목록!$P$2:$P$1001,I2170))*(실물목록!$Q$2:$Q$1001&lt;&gt;"")*ISNUMBER(SEARCH(실물목록!$Q$2:$Q$1001,I2170))*(실물목록!$R$2:$R$1001="")*(실물목록!$O$2:$O$1001&lt;&gt;""))&gt;0,"확인필요(연도다름)","실물 없음")))))</f>
      </c>
      <c r="G2170" t="n" s="16">
        <f aca="0">IF(B2170="","",SUMPRODUCT((실물목록!$P$2:$P$1001&lt;&gt;"")*ISNUMBER(SEARCH(실물목록!$P$2:$P$1001,I2170))*(실물목록!$Q$2:$Q$1001&lt;&gt;"")*ISNUMBER(SEARCH(실물목록!$Q$2:$Q$1001,I2170))*(실물목록!$R$2:$R$1001="")*(실물목록!$O$2:$O$1001&lt;&gt;"")*(실물목록!$O$2:$O$1001=H2170)))</f>
      </c>
      <c r="H2170" t="str">
        <f>IFERROR(IF(AND(LEN(SUBSTITUTE(SUBSTITUTE(SUBSTITUTE(TRIM(A2170&amp;""),CHAR(160),"")," ",""),"년",""))=4,VALUE(SUBSTITUTE(SUBSTITUTE(SUBSTITUTE(TRIM(A2170&amp;""),CHAR(160),"")," ",""),"년",""))&gt;=1900,VALUE(SUBSTITUTE(SUBSTITUTE(SUBSTITUTE(TRIM(A2170&amp;""),CHAR(160),"")," ",""),"년",""))&lt;=2099,TEXT(VALUE(SUBSTITUTE(SUBSTITUTE(SUBSTITUTE(TRIM(A2170&amp;""),CHAR(160),"")," ",""),"년","")),"0000")=SUBSTITUTE(SUBSTITUTE(SUBSTITUTE(TRIM(A2170&amp;""),CHAR(160),"")," ",""),"년","")),SUBSTITUTE(SUBSTITUTE(SUBSTITUTE(TRIM(A2170&amp;""),CHAR(160),"")," ",""),"년",""),""),"")</f>
      </c>
      <c r="I2170" t="str">
        <f>SUBSTITUTE(SUBSTITUTE(SUBSTITUTE(SUBSTITUTE(SUBSTITUTE(TRIM(B2170&amp;""),CHAR(160),"")," ",""),"초등학교","초"),"중학교","중"),"고등학교","고")</f>
      </c>
    </row>
    <row r="2171" customFormat="false" ht="15" hidden="false" customHeight="false" outlineLevel="0" collapsed="false">
      <c r="A2171" s="8"/>
      <c r="B2171" s="8"/>
      <c r="C2171" s="8"/>
      <c r="D2171" s="8"/>
      <c r="E2171" s="8"/>
      <c r="F2171" t="str" s="15">
        <f aca="0">IF(B2171="","",IF(H2171="","확인필요(입력누락)",IF(SUMPRODUCT((실물목록!$P$2:$P$1001&lt;&gt;"")*ISNUMBER(SEARCH(실물목록!$P$2:$P$1001,I2171))*(실물목록!$Q$2:$Q$1001&lt;&gt;"")*ISNUMBER(SEARCH(실물목록!$Q$2:$Q$1001,I2171))*(실물목록!$R$2:$R$1001="")*(실물목록!$O$2:$O$1001&lt;&gt;"")*(실물목록!$O$2:$O$1001=H2171))&gt;0,"실물 있음",IF(SUMPRODUCT((실물목록!$P$2:$P$1001&lt;&gt;"")*ISNUMBER(SEARCH(실물목록!$P$2:$P$1001,I2171))*(실물목록!$R$2:$R$1001&lt;&gt;""))&gt;0,"확인필요(입력누락)",IF(SUMPRODUCT((실물목록!$P$2:$P$1001&lt;&gt;"")*ISNUMBER(SEARCH(실물목록!$P$2:$P$1001,I2171))*(실물목록!$Q$2:$Q$1001&lt;&gt;"")*ISNUMBER(SEARCH(실물목록!$Q$2:$Q$1001,I2171))*(실물목록!$R$2:$R$1001="")*(실물목록!$O$2:$O$1001&lt;&gt;""))&gt;0,"확인필요(연도다름)","실물 없음")))))</f>
      </c>
      <c r="G2171" t="n" s="16">
        <f aca="0">IF(B2171="","",SUMPRODUCT((실물목록!$P$2:$P$1001&lt;&gt;"")*ISNUMBER(SEARCH(실물목록!$P$2:$P$1001,I2171))*(실물목록!$Q$2:$Q$1001&lt;&gt;"")*ISNUMBER(SEARCH(실물목록!$Q$2:$Q$1001,I2171))*(실물목록!$R$2:$R$1001="")*(실물목록!$O$2:$O$1001&lt;&gt;"")*(실물목록!$O$2:$O$1001=H2171)))</f>
      </c>
      <c r="H2171" t="str">
        <f>IFERROR(IF(AND(LEN(SUBSTITUTE(SUBSTITUTE(SUBSTITUTE(TRIM(A2171&amp;""),CHAR(160),"")," ",""),"년",""))=4,VALUE(SUBSTITUTE(SUBSTITUTE(SUBSTITUTE(TRIM(A2171&amp;""),CHAR(160),"")," ",""),"년",""))&gt;=1900,VALUE(SUBSTITUTE(SUBSTITUTE(SUBSTITUTE(TRIM(A2171&amp;""),CHAR(160),"")," ",""),"년",""))&lt;=2099,TEXT(VALUE(SUBSTITUTE(SUBSTITUTE(SUBSTITUTE(TRIM(A2171&amp;""),CHAR(160),"")," ",""),"년","")),"0000")=SUBSTITUTE(SUBSTITUTE(SUBSTITUTE(TRIM(A2171&amp;""),CHAR(160),"")," ",""),"년","")),SUBSTITUTE(SUBSTITUTE(SUBSTITUTE(TRIM(A2171&amp;""),CHAR(160),"")," ",""),"년",""),""),"")</f>
      </c>
      <c r="I2171" t="str">
        <f>SUBSTITUTE(SUBSTITUTE(SUBSTITUTE(SUBSTITUTE(SUBSTITUTE(TRIM(B2171&amp;""),CHAR(160),"")," ",""),"초등학교","초"),"중학교","중"),"고등학교","고")</f>
      </c>
    </row>
    <row r="2172" customFormat="false" ht="15" hidden="false" customHeight="false" outlineLevel="0" collapsed="false">
      <c r="A2172" s="8"/>
      <c r="B2172" s="8"/>
      <c r="C2172" s="8"/>
      <c r="D2172" s="8"/>
      <c r="E2172" s="8"/>
      <c r="F2172" t="str" s="15">
        <f aca="0">IF(B2172="","",IF(H2172="","확인필요(입력누락)",IF(SUMPRODUCT((실물목록!$P$2:$P$1001&lt;&gt;"")*ISNUMBER(SEARCH(실물목록!$P$2:$P$1001,I2172))*(실물목록!$Q$2:$Q$1001&lt;&gt;"")*ISNUMBER(SEARCH(실물목록!$Q$2:$Q$1001,I2172))*(실물목록!$R$2:$R$1001="")*(실물목록!$O$2:$O$1001&lt;&gt;"")*(실물목록!$O$2:$O$1001=H2172))&gt;0,"실물 있음",IF(SUMPRODUCT((실물목록!$P$2:$P$1001&lt;&gt;"")*ISNUMBER(SEARCH(실물목록!$P$2:$P$1001,I2172))*(실물목록!$R$2:$R$1001&lt;&gt;""))&gt;0,"확인필요(입력누락)",IF(SUMPRODUCT((실물목록!$P$2:$P$1001&lt;&gt;"")*ISNUMBER(SEARCH(실물목록!$P$2:$P$1001,I2172))*(실물목록!$Q$2:$Q$1001&lt;&gt;"")*ISNUMBER(SEARCH(실물목록!$Q$2:$Q$1001,I2172))*(실물목록!$R$2:$R$1001="")*(실물목록!$O$2:$O$1001&lt;&gt;""))&gt;0,"확인필요(연도다름)","실물 없음")))))</f>
      </c>
      <c r="G2172" t="n" s="16">
        <f aca="0">IF(B2172="","",SUMPRODUCT((실물목록!$P$2:$P$1001&lt;&gt;"")*ISNUMBER(SEARCH(실물목록!$P$2:$P$1001,I2172))*(실물목록!$Q$2:$Q$1001&lt;&gt;"")*ISNUMBER(SEARCH(실물목록!$Q$2:$Q$1001,I2172))*(실물목록!$R$2:$R$1001="")*(실물목록!$O$2:$O$1001&lt;&gt;"")*(실물목록!$O$2:$O$1001=H2172)))</f>
      </c>
      <c r="H2172" t="str">
        <f>IFERROR(IF(AND(LEN(SUBSTITUTE(SUBSTITUTE(SUBSTITUTE(TRIM(A2172&amp;""),CHAR(160),"")," ",""),"년",""))=4,VALUE(SUBSTITUTE(SUBSTITUTE(SUBSTITUTE(TRIM(A2172&amp;""),CHAR(160),"")," ",""),"년",""))&gt;=1900,VALUE(SUBSTITUTE(SUBSTITUTE(SUBSTITUTE(TRIM(A2172&amp;""),CHAR(160),"")," ",""),"년",""))&lt;=2099,TEXT(VALUE(SUBSTITUTE(SUBSTITUTE(SUBSTITUTE(TRIM(A2172&amp;""),CHAR(160),"")," ",""),"년","")),"0000")=SUBSTITUTE(SUBSTITUTE(SUBSTITUTE(TRIM(A2172&amp;""),CHAR(160),"")," ",""),"년","")),SUBSTITUTE(SUBSTITUTE(SUBSTITUTE(TRIM(A2172&amp;""),CHAR(160),"")," ",""),"년",""),""),"")</f>
      </c>
      <c r="I2172" t="str">
        <f>SUBSTITUTE(SUBSTITUTE(SUBSTITUTE(SUBSTITUTE(SUBSTITUTE(TRIM(B2172&amp;""),CHAR(160),"")," ",""),"초등학교","초"),"중학교","중"),"고등학교","고")</f>
      </c>
    </row>
    <row r="2173" customFormat="false" ht="15" hidden="false" customHeight="false" outlineLevel="0" collapsed="false">
      <c r="A2173" s="8"/>
      <c r="B2173" s="8"/>
      <c r="C2173" s="8"/>
      <c r="D2173" s="8"/>
      <c r="E2173" s="8"/>
      <c r="F2173" t="str" s="15">
        <f aca="0">IF(B2173="","",IF(H2173="","확인필요(입력누락)",IF(SUMPRODUCT((실물목록!$P$2:$P$1001&lt;&gt;"")*ISNUMBER(SEARCH(실물목록!$P$2:$P$1001,I2173))*(실물목록!$Q$2:$Q$1001&lt;&gt;"")*ISNUMBER(SEARCH(실물목록!$Q$2:$Q$1001,I2173))*(실물목록!$R$2:$R$1001="")*(실물목록!$O$2:$O$1001&lt;&gt;"")*(실물목록!$O$2:$O$1001=H2173))&gt;0,"실물 있음",IF(SUMPRODUCT((실물목록!$P$2:$P$1001&lt;&gt;"")*ISNUMBER(SEARCH(실물목록!$P$2:$P$1001,I2173))*(실물목록!$R$2:$R$1001&lt;&gt;""))&gt;0,"확인필요(입력누락)",IF(SUMPRODUCT((실물목록!$P$2:$P$1001&lt;&gt;"")*ISNUMBER(SEARCH(실물목록!$P$2:$P$1001,I2173))*(실물목록!$Q$2:$Q$1001&lt;&gt;"")*ISNUMBER(SEARCH(실물목록!$Q$2:$Q$1001,I2173))*(실물목록!$R$2:$R$1001="")*(실물목록!$O$2:$O$1001&lt;&gt;""))&gt;0,"확인필요(연도다름)","실물 없음")))))</f>
      </c>
      <c r="G2173" t="n" s="16">
        <f aca="0">IF(B2173="","",SUMPRODUCT((실물목록!$P$2:$P$1001&lt;&gt;"")*ISNUMBER(SEARCH(실물목록!$P$2:$P$1001,I2173))*(실물목록!$Q$2:$Q$1001&lt;&gt;"")*ISNUMBER(SEARCH(실물목록!$Q$2:$Q$1001,I2173))*(실물목록!$R$2:$R$1001="")*(실물목록!$O$2:$O$1001&lt;&gt;"")*(실물목록!$O$2:$O$1001=H2173)))</f>
      </c>
      <c r="H2173" t="str">
        <f>IFERROR(IF(AND(LEN(SUBSTITUTE(SUBSTITUTE(SUBSTITUTE(TRIM(A2173&amp;""),CHAR(160),"")," ",""),"년",""))=4,VALUE(SUBSTITUTE(SUBSTITUTE(SUBSTITUTE(TRIM(A2173&amp;""),CHAR(160),"")," ",""),"년",""))&gt;=1900,VALUE(SUBSTITUTE(SUBSTITUTE(SUBSTITUTE(TRIM(A2173&amp;""),CHAR(160),"")," ",""),"년",""))&lt;=2099,TEXT(VALUE(SUBSTITUTE(SUBSTITUTE(SUBSTITUTE(TRIM(A2173&amp;""),CHAR(160),"")," ",""),"년","")),"0000")=SUBSTITUTE(SUBSTITUTE(SUBSTITUTE(TRIM(A2173&amp;""),CHAR(160),"")," ",""),"년","")),SUBSTITUTE(SUBSTITUTE(SUBSTITUTE(TRIM(A2173&amp;""),CHAR(160),"")," ",""),"년",""),""),"")</f>
      </c>
      <c r="I2173" t="str">
        <f>SUBSTITUTE(SUBSTITUTE(SUBSTITUTE(SUBSTITUTE(SUBSTITUTE(TRIM(B2173&amp;""),CHAR(160),"")," ",""),"초등학교","초"),"중학교","중"),"고등학교","고")</f>
      </c>
    </row>
    <row r="2174" customFormat="false" ht="15" hidden="false" customHeight="false" outlineLevel="0" collapsed="false">
      <c r="A2174" s="8"/>
      <c r="B2174" s="8"/>
      <c r="C2174" s="8"/>
      <c r="D2174" s="8"/>
      <c r="E2174" s="8"/>
      <c r="F2174" t="str" s="15">
        <f aca="0">IF(B2174="","",IF(H2174="","확인필요(입력누락)",IF(SUMPRODUCT((실물목록!$P$2:$P$1001&lt;&gt;"")*ISNUMBER(SEARCH(실물목록!$P$2:$P$1001,I2174))*(실물목록!$Q$2:$Q$1001&lt;&gt;"")*ISNUMBER(SEARCH(실물목록!$Q$2:$Q$1001,I2174))*(실물목록!$R$2:$R$1001="")*(실물목록!$O$2:$O$1001&lt;&gt;"")*(실물목록!$O$2:$O$1001=H2174))&gt;0,"실물 있음",IF(SUMPRODUCT((실물목록!$P$2:$P$1001&lt;&gt;"")*ISNUMBER(SEARCH(실물목록!$P$2:$P$1001,I2174))*(실물목록!$R$2:$R$1001&lt;&gt;""))&gt;0,"확인필요(입력누락)",IF(SUMPRODUCT((실물목록!$P$2:$P$1001&lt;&gt;"")*ISNUMBER(SEARCH(실물목록!$P$2:$P$1001,I2174))*(실물목록!$Q$2:$Q$1001&lt;&gt;"")*ISNUMBER(SEARCH(실물목록!$Q$2:$Q$1001,I2174))*(실물목록!$R$2:$R$1001="")*(실물목록!$O$2:$O$1001&lt;&gt;""))&gt;0,"확인필요(연도다름)","실물 없음")))))</f>
      </c>
      <c r="G2174" t="n" s="16">
        <f aca="0">IF(B2174="","",SUMPRODUCT((실물목록!$P$2:$P$1001&lt;&gt;"")*ISNUMBER(SEARCH(실물목록!$P$2:$P$1001,I2174))*(실물목록!$Q$2:$Q$1001&lt;&gt;"")*ISNUMBER(SEARCH(실물목록!$Q$2:$Q$1001,I2174))*(실물목록!$R$2:$R$1001="")*(실물목록!$O$2:$O$1001&lt;&gt;"")*(실물목록!$O$2:$O$1001=H2174)))</f>
      </c>
      <c r="H2174" t="str">
        <f>IFERROR(IF(AND(LEN(SUBSTITUTE(SUBSTITUTE(SUBSTITUTE(TRIM(A2174&amp;""),CHAR(160),"")," ",""),"년",""))=4,VALUE(SUBSTITUTE(SUBSTITUTE(SUBSTITUTE(TRIM(A2174&amp;""),CHAR(160),"")," ",""),"년",""))&gt;=1900,VALUE(SUBSTITUTE(SUBSTITUTE(SUBSTITUTE(TRIM(A2174&amp;""),CHAR(160),"")," ",""),"년",""))&lt;=2099,TEXT(VALUE(SUBSTITUTE(SUBSTITUTE(SUBSTITUTE(TRIM(A2174&amp;""),CHAR(160),"")," ",""),"년","")),"0000")=SUBSTITUTE(SUBSTITUTE(SUBSTITUTE(TRIM(A2174&amp;""),CHAR(160),"")," ",""),"년","")),SUBSTITUTE(SUBSTITUTE(SUBSTITUTE(TRIM(A2174&amp;""),CHAR(160),"")," ",""),"년",""),""),"")</f>
      </c>
      <c r="I2174" t="str">
        <f>SUBSTITUTE(SUBSTITUTE(SUBSTITUTE(SUBSTITUTE(SUBSTITUTE(TRIM(B2174&amp;""),CHAR(160),"")," ",""),"초등학교","초"),"중학교","중"),"고등학교","고")</f>
      </c>
    </row>
    <row r="2175" customFormat="false" ht="15" hidden="false" customHeight="false" outlineLevel="0" collapsed="false">
      <c r="A2175" s="8"/>
      <c r="B2175" s="8"/>
      <c r="C2175" s="8"/>
      <c r="D2175" s="8"/>
      <c r="E2175" s="8"/>
      <c r="F2175" t="str" s="15">
        <f aca="0">IF(B2175="","",IF(H2175="","확인필요(입력누락)",IF(SUMPRODUCT((실물목록!$P$2:$P$1001&lt;&gt;"")*ISNUMBER(SEARCH(실물목록!$P$2:$P$1001,I2175))*(실물목록!$Q$2:$Q$1001&lt;&gt;"")*ISNUMBER(SEARCH(실물목록!$Q$2:$Q$1001,I2175))*(실물목록!$R$2:$R$1001="")*(실물목록!$O$2:$O$1001&lt;&gt;"")*(실물목록!$O$2:$O$1001=H2175))&gt;0,"실물 있음",IF(SUMPRODUCT((실물목록!$P$2:$P$1001&lt;&gt;"")*ISNUMBER(SEARCH(실물목록!$P$2:$P$1001,I2175))*(실물목록!$R$2:$R$1001&lt;&gt;""))&gt;0,"확인필요(입력누락)",IF(SUMPRODUCT((실물목록!$P$2:$P$1001&lt;&gt;"")*ISNUMBER(SEARCH(실물목록!$P$2:$P$1001,I2175))*(실물목록!$Q$2:$Q$1001&lt;&gt;"")*ISNUMBER(SEARCH(실물목록!$Q$2:$Q$1001,I2175))*(실물목록!$R$2:$R$1001="")*(실물목록!$O$2:$O$1001&lt;&gt;""))&gt;0,"확인필요(연도다름)","실물 없음")))))</f>
      </c>
      <c r="G2175" t="n" s="16">
        <f aca="0">IF(B2175="","",SUMPRODUCT((실물목록!$P$2:$P$1001&lt;&gt;"")*ISNUMBER(SEARCH(실물목록!$P$2:$P$1001,I2175))*(실물목록!$Q$2:$Q$1001&lt;&gt;"")*ISNUMBER(SEARCH(실물목록!$Q$2:$Q$1001,I2175))*(실물목록!$R$2:$R$1001="")*(실물목록!$O$2:$O$1001&lt;&gt;"")*(실물목록!$O$2:$O$1001=H2175)))</f>
      </c>
      <c r="H2175" t="str">
        <f>IFERROR(IF(AND(LEN(SUBSTITUTE(SUBSTITUTE(SUBSTITUTE(TRIM(A2175&amp;""),CHAR(160),"")," ",""),"년",""))=4,VALUE(SUBSTITUTE(SUBSTITUTE(SUBSTITUTE(TRIM(A2175&amp;""),CHAR(160),"")," ",""),"년",""))&gt;=1900,VALUE(SUBSTITUTE(SUBSTITUTE(SUBSTITUTE(TRIM(A2175&amp;""),CHAR(160),"")," ",""),"년",""))&lt;=2099,TEXT(VALUE(SUBSTITUTE(SUBSTITUTE(SUBSTITUTE(TRIM(A2175&amp;""),CHAR(160),"")," ",""),"년","")),"0000")=SUBSTITUTE(SUBSTITUTE(SUBSTITUTE(TRIM(A2175&amp;""),CHAR(160),"")," ",""),"년","")),SUBSTITUTE(SUBSTITUTE(SUBSTITUTE(TRIM(A2175&amp;""),CHAR(160),"")," ",""),"년",""),""),"")</f>
      </c>
      <c r="I2175" t="str">
        <f>SUBSTITUTE(SUBSTITUTE(SUBSTITUTE(SUBSTITUTE(SUBSTITUTE(TRIM(B2175&amp;""),CHAR(160),"")," ",""),"초등학교","초"),"중학교","중"),"고등학교","고")</f>
      </c>
    </row>
    <row r="2176" customFormat="false" ht="15" hidden="false" customHeight="false" outlineLevel="0" collapsed="false">
      <c r="A2176" s="8"/>
      <c r="B2176" s="8"/>
      <c r="C2176" s="8"/>
      <c r="D2176" s="8"/>
      <c r="E2176" s="8"/>
      <c r="F2176" t="str" s="15">
        <f aca="0">IF(B2176="","",IF(H2176="","확인필요(입력누락)",IF(SUMPRODUCT((실물목록!$P$2:$P$1001&lt;&gt;"")*ISNUMBER(SEARCH(실물목록!$P$2:$P$1001,I2176))*(실물목록!$Q$2:$Q$1001&lt;&gt;"")*ISNUMBER(SEARCH(실물목록!$Q$2:$Q$1001,I2176))*(실물목록!$R$2:$R$1001="")*(실물목록!$O$2:$O$1001&lt;&gt;"")*(실물목록!$O$2:$O$1001=H2176))&gt;0,"실물 있음",IF(SUMPRODUCT((실물목록!$P$2:$P$1001&lt;&gt;"")*ISNUMBER(SEARCH(실물목록!$P$2:$P$1001,I2176))*(실물목록!$R$2:$R$1001&lt;&gt;""))&gt;0,"확인필요(입력누락)",IF(SUMPRODUCT((실물목록!$P$2:$P$1001&lt;&gt;"")*ISNUMBER(SEARCH(실물목록!$P$2:$P$1001,I2176))*(실물목록!$Q$2:$Q$1001&lt;&gt;"")*ISNUMBER(SEARCH(실물목록!$Q$2:$Q$1001,I2176))*(실물목록!$R$2:$R$1001="")*(실물목록!$O$2:$O$1001&lt;&gt;""))&gt;0,"확인필요(연도다름)","실물 없음")))))</f>
      </c>
      <c r="G2176" t="n" s="16">
        <f aca="0">IF(B2176="","",SUMPRODUCT((실물목록!$P$2:$P$1001&lt;&gt;"")*ISNUMBER(SEARCH(실물목록!$P$2:$P$1001,I2176))*(실물목록!$Q$2:$Q$1001&lt;&gt;"")*ISNUMBER(SEARCH(실물목록!$Q$2:$Q$1001,I2176))*(실물목록!$R$2:$R$1001="")*(실물목록!$O$2:$O$1001&lt;&gt;"")*(실물목록!$O$2:$O$1001=H2176)))</f>
      </c>
      <c r="H2176" t="str">
        <f>IFERROR(IF(AND(LEN(SUBSTITUTE(SUBSTITUTE(SUBSTITUTE(TRIM(A2176&amp;""),CHAR(160),"")," ",""),"년",""))=4,VALUE(SUBSTITUTE(SUBSTITUTE(SUBSTITUTE(TRIM(A2176&amp;""),CHAR(160),"")," ",""),"년",""))&gt;=1900,VALUE(SUBSTITUTE(SUBSTITUTE(SUBSTITUTE(TRIM(A2176&amp;""),CHAR(160),"")," ",""),"년",""))&lt;=2099,TEXT(VALUE(SUBSTITUTE(SUBSTITUTE(SUBSTITUTE(TRIM(A2176&amp;""),CHAR(160),"")," ",""),"년","")),"0000")=SUBSTITUTE(SUBSTITUTE(SUBSTITUTE(TRIM(A2176&amp;""),CHAR(160),"")," ",""),"년","")),SUBSTITUTE(SUBSTITUTE(SUBSTITUTE(TRIM(A2176&amp;""),CHAR(160),"")," ",""),"년",""),""),"")</f>
      </c>
      <c r="I2176" t="str">
        <f>SUBSTITUTE(SUBSTITUTE(SUBSTITUTE(SUBSTITUTE(SUBSTITUTE(TRIM(B2176&amp;""),CHAR(160),"")," ",""),"초등학교","초"),"중학교","중"),"고등학교","고")</f>
      </c>
    </row>
    <row r="2177" customFormat="false" ht="15" hidden="false" customHeight="false" outlineLevel="0" collapsed="false">
      <c r="A2177" s="8"/>
      <c r="B2177" s="8"/>
      <c r="C2177" s="8"/>
      <c r="D2177" s="8"/>
      <c r="E2177" s="8"/>
      <c r="F2177" t="str" s="15">
        <f aca="0">IF(B2177="","",IF(H2177="","확인필요(입력누락)",IF(SUMPRODUCT((실물목록!$P$2:$P$1001&lt;&gt;"")*ISNUMBER(SEARCH(실물목록!$P$2:$P$1001,I2177))*(실물목록!$Q$2:$Q$1001&lt;&gt;"")*ISNUMBER(SEARCH(실물목록!$Q$2:$Q$1001,I2177))*(실물목록!$R$2:$R$1001="")*(실물목록!$O$2:$O$1001&lt;&gt;"")*(실물목록!$O$2:$O$1001=H2177))&gt;0,"실물 있음",IF(SUMPRODUCT((실물목록!$P$2:$P$1001&lt;&gt;"")*ISNUMBER(SEARCH(실물목록!$P$2:$P$1001,I2177))*(실물목록!$R$2:$R$1001&lt;&gt;""))&gt;0,"확인필요(입력누락)",IF(SUMPRODUCT((실물목록!$P$2:$P$1001&lt;&gt;"")*ISNUMBER(SEARCH(실물목록!$P$2:$P$1001,I2177))*(실물목록!$Q$2:$Q$1001&lt;&gt;"")*ISNUMBER(SEARCH(실물목록!$Q$2:$Q$1001,I2177))*(실물목록!$R$2:$R$1001="")*(실물목록!$O$2:$O$1001&lt;&gt;""))&gt;0,"확인필요(연도다름)","실물 없음")))))</f>
      </c>
      <c r="G2177" t="n" s="16">
        <f aca="0">IF(B2177="","",SUMPRODUCT((실물목록!$P$2:$P$1001&lt;&gt;"")*ISNUMBER(SEARCH(실물목록!$P$2:$P$1001,I2177))*(실물목록!$Q$2:$Q$1001&lt;&gt;"")*ISNUMBER(SEARCH(실물목록!$Q$2:$Q$1001,I2177))*(실물목록!$R$2:$R$1001="")*(실물목록!$O$2:$O$1001&lt;&gt;"")*(실물목록!$O$2:$O$1001=H2177)))</f>
      </c>
      <c r="H2177" t="str">
        <f>IFERROR(IF(AND(LEN(SUBSTITUTE(SUBSTITUTE(SUBSTITUTE(TRIM(A2177&amp;""),CHAR(160),"")," ",""),"년",""))=4,VALUE(SUBSTITUTE(SUBSTITUTE(SUBSTITUTE(TRIM(A2177&amp;""),CHAR(160),"")," ",""),"년",""))&gt;=1900,VALUE(SUBSTITUTE(SUBSTITUTE(SUBSTITUTE(TRIM(A2177&amp;""),CHAR(160),"")," ",""),"년",""))&lt;=2099,TEXT(VALUE(SUBSTITUTE(SUBSTITUTE(SUBSTITUTE(TRIM(A2177&amp;""),CHAR(160),"")," ",""),"년","")),"0000")=SUBSTITUTE(SUBSTITUTE(SUBSTITUTE(TRIM(A2177&amp;""),CHAR(160),"")," ",""),"년","")),SUBSTITUTE(SUBSTITUTE(SUBSTITUTE(TRIM(A2177&amp;""),CHAR(160),"")," ",""),"년",""),""),"")</f>
      </c>
      <c r="I2177" t="str">
        <f>SUBSTITUTE(SUBSTITUTE(SUBSTITUTE(SUBSTITUTE(SUBSTITUTE(TRIM(B2177&amp;""),CHAR(160),"")," ",""),"초등학교","초"),"중학교","중"),"고등학교","고")</f>
      </c>
    </row>
    <row r="2178" customFormat="false" ht="15" hidden="false" customHeight="false" outlineLevel="0" collapsed="false">
      <c r="A2178" s="8"/>
      <c r="B2178" s="8"/>
      <c r="C2178" s="8"/>
      <c r="D2178" s="8"/>
      <c r="E2178" s="8"/>
      <c r="F2178" t="str" s="15">
        <f aca="0">IF(B2178="","",IF(H2178="","확인필요(입력누락)",IF(SUMPRODUCT((실물목록!$P$2:$P$1001&lt;&gt;"")*ISNUMBER(SEARCH(실물목록!$P$2:$P$1001,I2178))*(실물목록!$Q$2:$Q$1001&lt;&gt;"")*ISNUMBER(SEARCH(실물목록!$Q$2:$Q$1001,I2178))*(실물목록!$R$2:$R$1001="")*(실물목록!$O$2:$O$1001&lt;&gt;"")*(실물목록!$O$2:$O$1001=H2178))&gt;0,"실물 있음",IF(SUMPRODUCT((실물목록!$P$2:$P$1001&lt;&gt;"")*ISNUMBER(SEARCH(실물목록!$P$2:$P$1001,I2178))*(실물목록!$R$2:$R$1001&lt;&gt;""))&gt;0,"확인필요(입력누락)",IF(SUMPRODUCT((실물목록!$P$2:$P$1001&lt;&gt;"")*ISNUMBER(SEARCH(실물목록!$P$2:$P$1001,I2178))*(실물목록!$Q$2:$Q$1001&lt;&gt;"")*ISNUMBER(SEARCH(실물목록!$Q$2:$Q$1001,I2178))*(실물목록!$R$2:$R$1001="")*(실물목록!$O$2:$O$1001&lt;&gt;""))&gt;0,"확인필요(연도다름)","실물 없음")))))</f>
      </c>
      <c r="G2178" t="n" s="16">
        <f aca="0">IF(B2178="","",SUMPRODUCT((실물목록!$P$2:$P$1001&lt;&gt;"")*ISNUMBER(SEARCH(실물목록!$P$2:$P$1001,I2178))*(실물목록!$Q$2:$Q$1001&lt;&gt;"")*ISNUMBER(SEARCH(실물목록!$Q$2:$Q$1001,I2178))*(실물목록!$R$2:$R$1001="")*(실물목록!$O$2:$O$1001&lt;&gt;"")*(실물목록!$O$2:$O$1001=H2178)))</f>
      </c>
      <c r="H2178" t="str">
        <f>IFERROR(IF(AND(LEN(SUBSTITUTE(SUBSTITUTE(SUBSTITUTE(TRIM(A2178&amp;""),CHAR(160),"")," ",""),"년",""))=4,VALUE(SUBSTITUTE(SUBSTITUTE(SUBSTITUTE(TRIM(A2178&amp;""),CHAR(160),"")," ",""),"년",""))&gt;=1900,VALUE(SUBSTITUTE(SUBSTITUTE(SUBSTITUTE(TRIM(A2178&amp;""),CHAR(160),"")," ",""),"년",""))&lt;=2099,TEXT(VALUE(SUBSTITUTE(SUBSTITUTE(SUBSTITUTE(TRIM(A2178&amp;""),CHAR(160),"")," ",""),"년","")),"0000")=SUBSTITUTE(SUBSTITUTE(SUBSTITUTE(TRIM(A2178&amp;""),CHAR(160),"")," ",""),"년","")),SUBSTITUTE(SUBSTITUTE(SUBSTITUTE(TRIM(A2178&amp;""),CHAR(160),"")," ",""),"년",""),""),"")</f>
      </c>
      <c r="I2178" t="str">
        <f>SUBSTITUTE(SUBSTITUTE(SUBSTITUTE(SUBSTITUTE(SUBSTITUTE(TRIM(B2178&amp;""),CHAR(160),"")," ",""),"초등학교","초"),"중학교","중"),"고등학교","고")</f>
      </c>
    </row>
    <row r="2179" customFormat="false" ht="15" hidden="false" customHeight="false" outlineLevel="0" collapsed="false">
      <c r="A2179" s="8"/>
      <c r="B2179" s="8"/>
      <c r="C2179" s="8"/>
      <c r="D2179" s="8"/>
      <c r="E2179" s="8"/>
      <c r="F2179" t="str" s="15">
        <f aca="0">IF(B2179="","",IF(H2179="","확인필요(입력누락)",IF(SUMPRODUCT((실물목록!$P$2:$P$1001&lt;&gt;"")*ISNUMBER(SEARCH(실물목록!$P$2:$P$1001,I2179))*(실물목록!$Q$2:$Q$1001&lt;&gt;"")*ISNUMBER(SEARCH(실물목록!$Q$2:$Q$1001,I2179))*(실물목록!$R$2:$R$1001="")*(실물목록!$O$2:$O$1001&lt;&gt;"")*(실물목록!$O$2:$O$1001=H2179))&gt;0,"실물 있음",IF(SUMPRODUCT((실물목록!$P$2:$P$1001&lt;&gt;"")*ISNUMBER(SEARCH(실물목록!$P$2:$P$1001,I2179))*(실물목록!$R$2:$R$1001&lt;&gt;""))&gt;0,"확인필요(입력누락)",IF(SUMPRODUCT((실물목록!$P$2:$P$1001&lt;&gt;"")*ISNUMBER(SEARCH(실물목록!$P$2:$P$1001,I2179))*(실물목록!$Q$2:$Q$1001&lt;&gt;"")*ISNUMBER(SEARCH(실물목록!$Q$2:$Q$1001,I2179))*(실물목록!$R$2:$R$1001="")*(실물목록!$O$2:$O$1001&lt;&gt;""))&gt;0,"확인필요(연도다름)","실물 없음")))))</f>
      </c>
      <c r="G2179" t="n" s="16">
        <f aca="0">IF(B2179="","",SUMPRODUCT((실물목록!$P$2:$P$1001&lt;&gt;"")*ISNUMBER(SEARCH(실물목록!$P$2:$P$1001,I2179))*(실물목록!$Q$2:$Q$1001&lt;&gt;"")*ISNUMBER(SEARCH(실물목록!$Q$2:$Q$1001,I2179))*(실물목록!$R$2:$R$1001="")*(실물목록!$O$2:$O$1001&lt;&gt;"")*(실물목록!$O$2:$O$1001=H2179)))</f>
      </c>
      <c r="H2179" t="str">
        <f>IFERROR(IF(AND(LEN(SUBSTITUTE(SUBSTITUTE(SUBSTITUTE(TRIM(A2179&amp;""),CHAR(160),"")," ",""),"년",""))=4,VALUE(SUBSTITUTE(SUBSTITUTE(SUBSTITUTE(TRIM(A2179&amp;""),CHAR(160),"")," ",""),"년",""))&gt;=1900,VALUE(SUBSTITUTE(SUBSTITUTE(SUBSTITUTE(TRIM(A2179&amp;""),CHAR(160),"")," ",""),"년",""))&lt;=2099,TEXT(VALUE(SUBSTITUTE(SUBSTITUTE(SUBSTITUTE(TRIM(A2179&amp;""),CHAR(160),"")," ",""),"년","")),"0000")=SUBSTITUTE(SUBSTITUTE(SUBSTITUTE(TRIM(A2179&amp;""),CHAR(160),"")," ",""),"년","")),SUBSTITUTE(SUBSTITUTE(SUBSTITUTE(TRIM(A2179&amp;""),CHAR(160),"")," ",""),"년",""),""),"")</f>
      </c>
      <c r="I2179" t="str">
        <f>SUBSTITUTE(SUBSTITUTE(SUBSTITUTE(SUBSTITUTE(SUBSTITUTE(TRIM(B2179&amp;""),CHAR(160),"")," ",""),"초등학교","초"),"중학교","중"),"고등학교","고")</f>
      </c>
    </row>
    <row r="2180" customFormat="false" ht="15" hidden="false" customHeight="false" outlineLevel="0" collapsed="false">
      <c r="A2180" s="8"/>
      <c r="B2180" s="8"/>
      <c r="C2180" s="8"/>
      <c r="D2180" s="8"/>
      <c r="E2180" s="8"/>
      <c r="F2180" t="str" s="15">
        <f aca="0">IF(B2180="","",IF(H2180="","확인필요(입력누락)",IF(SUMPRODUCT((실물목록!$P$2:$P$1001&lt;&gt;"")*ISNUMBER(SEARCH(실물목록!$P$2:$P$1001,I2180))*(실물목록!$Q$2:$Q$1001&lt;&gt;"")*ISNUMBER(SEARCH(실물목록!$Q$2:$Q$1001,I2180))*(실물목록!$R$2:$R$1001="")*(실물목록!$O$2:$O$1001&lt;&gt;"")*(실물목록!$O$2:$O$1001=H2180))&gt;0,"실물 있음",IF(SUMPRODUCT((실물목록!$P$2:$P$1001&lt;&gt;"")*ISNUMBER(SEARCH(실물목록!$P$2:$P$1001,I2180))*(실물목록!$R$2:$R$1001&lt;&gt;""))&gt;0,"확인필요(입력누락)",IF(SUMPRODUCT((실물목록!$P$2:$P$1001&lt;&gt;"")*ISNUMBER(SEARCH(실물목록!$P$2:$P$1001,I2180))*(실물목록!$Q$2:$Q$1001&lt;&gt;"")*ISNUMBER(SEARCH(실물목록!$Q$2:$Q$1001,I2180))*(실물목록!$R$2:$R$1001="")*(실물목록!$O$2:$O$1001&lt;&gt;""))&gt;0,"확인필요(연도다름)","실물 없음")))))</f>
      </c>
      <c r="G2180" t="n" s="16">
        <f aca="0">IF(B2180="","",SUMPRODUCT((실물목록!$P$2:$P$1001&lt;&gt;"")*ISNUMBER(SEARCH(실물목록!$P$2:$P$1001,I2180))*(실물목록!$Q$2:$Q$1001&lt;&gt;"")*ISNUMBER(SEARCH(실물목록!$Q$2:$Q$1001,I2180))*(실물목록!$R$2:$R$1001="")*(실물목록!$O$2:$O$1001&lt;&gt;"")*(실물목록!$O$2:$O$1001=H2180)))</f>
      </c>
      <c r="H2180" t="str">
        <f>IFERROR(IF(AND(LEN(SUBSTITUTE(SUBSTITUTE(SUBSTITUTE(TRIM(A2180&amp;""),CHAR(160),"")," ",""),"년",""))=4,VALUE(SUBSTITUTE(SUBSTITUTE(SUBSTITUTE(TRIM(A2180&amp;""),CHAR(160),"")," ",""),"년",""))&gt;=1900,VALUE(SUBSTITUTE(SUBSTITUTE(SUBSTITUTE(TRIM(A2180&amp;""),CHAR(160),"")," ",""),"년",""))&lt;=2099,TEXT(VALUE(SUBSTITUTE(SUBSTITUTE(SUBSTITUTE(TRIM(A2180&amp;""),CHAR(160),"")," ",""),"년","")),"0000")=SUBSTITUTE(SUBSTITUTE(SUBSTITUTE(TRIM(A2180&amp;""),CHAR(160),"")," ",""),"년","")),SUBSTITUTE(SUBSTITUTE(SUBSTITUTE(TRIM(A2180&amp;""),CHAR(160),"")," ",""),"년",""),""),"")</f>
      </c>
      <c r="I2180" t="str">
        <f>SUBSTITUTE(SUBSTITUTE(SUBSTITUTE(SUBSTITUTE(SUBSTITUTE(TRIM(B2180&amp;""),CHAR(160),"")," ",""),"초등학교","초"),"중학교","중"),"고등학교","고")</f>
      </c>
    </row>
    <row r="2181" customFormat="false" ht="15" hidden="false" customHeight="false" outlineLevel="0" collapsed="false">
      <c r="A2181" s="8"/>
      <c r="B2181" s="8"/>
      <c r="C2181" s="8"/>
      <c r="D2181" s="8"/>
      <c r="E2181" s="8"/>
      <c r="F2181" t="str" s="15">
        <f aca="0">IF(B2181="","",IF(H2181="","확인필요(입력누락)",IF(SUMPRODUCT((실물목록!$P$2:$P$1001&lt;&gt;"")*ISNUMBER(SEARCH(실물목록!$P$2:$P$1001,I2181))*(실물목록!$Q$2:$Q$1001&lt;&gt;"")*ISNUMBER(SEARCH(실물목록!$Q$2:$Q$1001,I2181))*(실물목록!$R$2:$R$1001="")*(실물목록!$O$2:$O$1001&lt;&gt;"")*(실물목록!$O$2:$O$1001=H2181))&gt;0,"실물 있음",IF(SUMPRODUCT((실물목록!$P$2:$P$1001&lt;&gt;"")*ISNUMBER(SEARCH(실물목록!$P$2:$P$1001,I2181))*(실물목록!$R$2:$R$1001&lt;&gt;""))&gt;0,"확인필요(입력누락)",IF(SUMPRODUCT((실물목록!$P$2:$P$1001&lt;&gt;"")*ISNUMBER(SEARCH(실물목록!$P$2:$P$1001,I2181))*(실물목록!$Q$2:$Q$1001&lt;&gt;"")*ISNUMBER(SEARCH(실물목록!$Q$2:$Q$1001,I2181))*(실물목록!$R$2:$R$1001="")*(실물목록!$O$2:$O$1001&lt;&gt;""))&gt;0,"확인필요(연도다름)","실물 없음")))))</f>
      </c>
      <c r="G2181" t="n" s="16">
        <f aca="0">IF(B2181="","",SUMPRODUCT((실물목록!$P$2:$P$1001&lt;&gt;"")*ISNUMBER(SEARCH(실물목록!$P$2:$P$1001,I2181))*(실물목록!$Q$2:$Q$1001&lt;&gt;"")*ISNUMBER(SEARCH(실물목록!$Q$2:$Q$1001,I2181))*(실물목록!$R$2:$R$1001="")*(실물목록!$O$2:$O$1001&lt;&gt;"")*(실물목록!$O$2:$O$1001=H2181)))</f>
      </c>
      <c r="H2181" t="str">
        <f>IFERROR(IF(AND(LEN(SUBSTITUTE(SUBSTITUTE(SUBSTITUTE(TRIM(A2181&amp;""),CHAR(160),"")," ",""),"년",""))=4,VALUE(SUBSTITUTE(SUBSTITUTE(SUBSTITUTE(TRIM(A2181&amp;""),CHAR(160),"")," ",""),"년",""))&gt;=1900,VALUE(SUBSTITUTE(SUBSTITUTE(SUBSTITUTE(TRIM(A2181&amp;""),CHAR(160),"")," ",""),"년",""))&lt;=2099,TEXT(VALUE(SUBSTITUTE(SUBSTITUTE(SUBSTITUTE(TRIM(A2181&amp;""),CHAR(160),"")," ",""),"년","")),"0000")=SUBSTITUTE(SUBSTITUTE(SUBSTITUTE(TRIM(A2181&amp;""),CHAR(160),"")," ",""),"년","")),SUBSTITUTE(SUBSTITUTE(SUBSTITUTE(TRIM(A2181&amp;""),CHAR(160),"")," ",""),"년",""),""),"")</f>
      </c>
      <c r="I2181" t="str">
        <f>SUBSTITUTE(SUBSTITUTE(SUBSTITUTE(SUBSTITUTE(SUBSTITUTE(TRIM(B2181&amp;""),CHAR(160),"")," ",""),"초등학교","초"),"중학교","중"),"고등학교","고")</f>
      </c>
    </row>
    <row r="2182" customFormat="false" ht="15" hidden="false" customHeight="false" outlineLevel="0" collapsed="false">
      <c r="A2182" s="8"/>
      <c r="B2182" s="8"/>
      <c r="C2182" s="8"/>
      <c r="D2182" s="8"/>
      <c r="E2182" s="8"/>
      <c r="F2182" t="str" s="15">
        <f aca="0">IF(B2182="","",IF(H2182="","확인필요(입력누락)",IF(SUMPRODUCT((실물목록!$P$2:$P$1001&lt;&gt;"")*ISNUMBER(SEARCH(실물목록!$P$2:$P$1001,I2182))*(실물목록!$Q$2:$Q$1001&lt;&gt;"")*ISNUMBER(SEARCH(실물목록!$Q$2:$Q$1001,I2182))*(실물목록!$R$2:$R$1001="")*(실물목록!$O$2:$O$1001&lt;&gt;"")*(실물목록!$O$2:$O$1001=H2182))&gt;0,"실물 있음",IF(SUMPRODUCT((실물목록!$P$2:$P$1001&lt;&gt;"")*ISNUMBER(SEARCH(실물목록!$P$2:$P$1001,I2182))*(실물목록!$R$2:$R$1001&lt;&gt;""))&gt;0,"확인필요(입력누락)",IF(SUMPRODUCT((실물목록!$P$2:$P$1001&lt;&gt;"")*ISNUMBER(SEARCH(실물목록!$P$2:$P$1001,I2182))*(실물목록!$Q$2:$Q$1001&lt;&gt;"")*ISNUMBER(SEARCH(실물목록!$Q$2:$Q$1001,I2182))*(실물목록!$R$2:$R$1001="")*(실물목록!$O$2:$O$1001&lt;&gt;""))&gt;0,"확인필요(연도다름)","실물 없음")))))</f>
      </c>
      <c r="G2182" t="n" s="16">
        <f aca="0">IF(B2182="","",SUMPRODUCT((실물목록!$P$2:$P$1001&lt;&gt;"")*ISNUMBER(SEARCH(실물목록!$P$2:$P$1001,I2182))*(실물목록!$Q$2:$Q$1001&lt;&gt;"")*ISNUMBER(SEARCH(실물목록!$Q$2:$Q$1001,I2182))*(실물목록!$R$2:$R$1001="")*(실물목록!$O$2:$O$1001&lt;&gt;"")*(실물목록!$O$2:$O$1001=H2182)))</f>
      </c>
      <c r="H2182" t="str">
        <f>IFERROR(IF(AND(LEN(SUBSTITUTE(SUBSTITUTE(SUBSTITUTE(TRIM(A2182&amp;""),CHAR(160),"")," ",""),"년",""))=4,VALUE(SUBSTITUTE(SUBSTITUTE(SUBSTITUTE(TRIM(A2182&amp;""),CHAR(160),"")," ",""),"년",""))&gt;=1900,VALUE(SUBSTITUTE(SUBSTITUTE(SUBSTITUTE(TRIM(A2182&amp;""),CHAR(160),"")," ",""),"년",""))&lt;=2099,TEXT(VALUE(SUBSTITUTE(SUBSTITUTE(SUBSTITUTE(TRIM(A2182&amp;""),CHAR(160),"")," ",""),"년","")),"0000")=SUBSTITUTE(SUBSTITUTE(SUBSTITUTE(TRIM(A2182&amp;""),CHAR(160),"")," ",""),"년","")),SUBSTITUTE(SUBSTITUTE(SUBSTITUTE(TRIM(A2182&amp;""),CHAR(160),"")," ",""),"년",""),""),"")</f>
      </c>
      <c r="I2182" t="str">
        <f>SUBSTITUTE(SUBSTITUTE(SUBSTITUTE(SUBSTITUTE(SUBSTITUTE(TRIM(B2182&amp;""),CHAR(160),"")," ",""),"초등학교","초"),"중학교","중"),"고등학교","고")</f>
      </c>
    </row>
    <row r="2183" customFormat="false" ht="15" hidden="false" customHeight="false" outlineLevel="0" collapsed="false">
      <c r="A2183" s="8"/>
      <c r="B2183" s="8"/>
      <c r="C2183" s="8"/>
      <c r="D2183" s="8"/>
      <c r="E2183" s="8"/>
      <c r="F2183" t="str" s="15">
        <f aca="0">IF(B2183="","",IF(H2183="","확인필요(입력누락)",IF(SUMPRODUCT((실물목록!$P$2:$P$1001&lt;&gt;"")*ISNUMBER(SEARCH(실물목록!$P$2:$P$1001,I2183))*(실물목록!$Q$2:$Q$1001&lt;&gt;"")*ISNUMBER(SEARCH(실물목록!$Q$2:$Q$1001,I2183))*(실물목록!$R$2:$R$1001="")*(실물목록!$O$2:$O$1001&lt;&gt;"")*(실물목록!$O$2:$O$1001=H2183))&gt;0,"실물 있음",IF(SUMPRODUCT((실물목록!$P$2:$P$1001&lt;&gt;"")*ISNUMBER(SEARCH(실물목록!$P$2:$P$1001,I2183))*(실물목록!$R$2:$R$1001&lt;&gt;""))&gt;0,"확인필요(입력누락)",IF(SUMPRODUCT((실물목록!$P$2:$P$1001&lt;&gt;"")*ISNUMBER(SEARCH(실물목록!$P$2:$P$1001,I2183))*(실물목록!$Q$2:$Q$1001&lt;&gt;"")*ISNUMBER(SEARCH(실물목록!$Q$2:$Q$1001,I2183))*(실물목록!$R$2:$R$1001="")*(실물목록!$O$2:$O$1001&lt;&gt;""))&gt;0,"확인필요(연도다름)","실물 없음")))))</f>
      </c>
      <c r="G2183" t="n" s="16">
        <f aca="0">IF(B2183="","",SUMPRODUCT((실물목록!$P$2:$P$1001&lt;&gt;"")*ISNUMBER(SEARCH(실물목록!$P$2:$P$1001,I2183))*(실물목록!$Q$2:$Q$1001&lt;&gt;"")*ISNUMBER(SEARCH(실물목록!$Q$2:$Q$1001,I2183))*(실물목록!$R$2:$R$1001="")*(실물목록!$O$2:$O$1001&lt;&gt;"")*(실물목록!$O$2:$O$1001=H2183)))</f>
      </c>
      <c r="H2183" t="str">
        <f>IFERROR(IF(AND(LEN(SUBSTITUTE(SUBSTITUTE(SUBSTITUTE(TRIM(A2183&amp;""),CHAR(160),"")," ",""),"년",""))=4,VALUE(SUBSTITUTE(SUBSTITUTE(SUBSTITUTE(TRIM(A2183&amp;""),CHAR(160),"")," ",""),"년",""))&gt;=1900,VALUE(SUBSTITUTE(SUBSTITUTE(SUBSTITUTE(TRIM(A2183&amp;""),CHAR(160),"")," ",""),"년",""))&lt;=2099,TEXT(VALUE(SUBSTITUTE(SUBSTITUTE(SUBSTITUTE(TRIM(A2183&amp;""),CHAR(160),"")," ",""),"년","")),"0000")=SUBSTITUTE(SUBSTITUTE(SUBSTITUTE(TRIM(A2183&amp;""),CHAR(160),"")," ",""),"년","")),SUBSTITUTE(SUBSTITUTE(SUBSTITUTE(TRIM(A2183&amp;""),CHAR(160),"")," ",""),"년",""),""),"")</f>
      </c>
      <c r="I2183" t="str">
        <f>SUBSTITUTE(SUBSTITUTE(SUBSTITUTE(SUBSTITUTE(SUBSTITUTE(TRIM(B2183&amp;""),CHAR(160),"")," ",""),"초등학교","초"),"중학교","중"),"고등학교","고")</f>
      </c>
    </row>
    <row r="2184" customFormat="false" ht="15" hidden="false" customHeight="false" outlineLevel="0" collapsed="false">
      <c r="A2184" s="8"/>
      <c r="B2184" s="8"/>
      <c r="C2184" s="8"/>
      <c r="D2184" s="8"/>
      <c r="E2184" s="8"/>
      <c r="F2184" t="str" s="15">
        <f aca="0">IF(B2184="","",IF(H2184="","확인필요(입력누락)",IF(SUMPRODUCT((실물목록!$P$2:$P$1001&lt;&gt;"")*ISNUMBER(SEARCH(실물목록!$P$2:$P$1001,I2184))*(실물목록!$Q$2:$Q$1001&lt;&gt;"")*ISNUMBER(SEARCH(실물목록!$Q$2:$Q$1001,I2184))*(실물목록!$R$2:$R$1001="")*(실물목록!$O$2:$O$1001&lt;&gt;"")*(실물목록!$O$2:$O$1001=H2184))&gt;0,"실물 있음",IF(SUMPRODUCT((실물목록!$P$2:$P$1001&lt;&gt;"")*ISNUMBER(SEARCH(실물목록!$P$2:$P$1001,I2184))*(실물목록!$R$2:$R$1001&lt;&gt;""))&gt;0,"확인필요(입력누락)",IF(SUMPRODUCT((실물목록!$P$2:$P$1001&lt;&gt;"")*ISNUMBER(SEARCH(실물목록!$P$2:$P$1001,I2184))*(실물목록!$Q$2:$Q$1001&lt;&gt;"")*ISNUMBER(SEARCH(실물목록!$Q$2:$Q$1001,I2184))*(실물목록!$R$2:$R$1001="")*(실물목록!$O$2:$O$1001&lt;&gt;""))&gt;0,"확인필요(연도다름)","실물 없음")))))</f>
      </c>
      <c r="G2184" t="n" s="16">
        <f aca="0">IF(B2184="","",SUMPRODUCT((실물목록!$P$2:$P$1001&lt;&gt;"")*ISNUMBER(SEARCH(실물목록!$P$2:$P$1001,I2184))*(실물목록!$Q$2:$Q$1001&lt;&gt;"")*ISNUMBER(SEARCH(실물목록!$Q$2:$Q$1001,I2184))*(실물목록!$R$2:$R$1001="")*(실물목록!$O$2:$O$1001&lt;&gt;"")*(실물목록!$O$2:$O$1001=H2184)))</f>
      </c>
      <c r="H2184" t="str">
        <f>IFERROR(IF(AND(LEN(SUBSTITUTE(SUBSTITUTE(SUBSTITUTE(TRIM(A2184&amp;""),CHAR(160),"")," ",""),"년",""))=4,VALUE(SUBSTITUTE(SUBSTITUTE(SUBSTITUTE(TRIM(A2184&amp;""),CHAR(160),"")," ",""),"년",""))&gt;=1900,VALUE(SUBSTITUTE(SUBSTITUTE(SUBSTITUTE(TRIM(A2184&amp;""),CHAR(160),"")," ",""),"년",""))&lt;=2099,TEXT(VALUE(SUBSTITUTE(SUBSTITUTE(SUBSTITUTE(TRIM(A2184&amp;""),CHAR(160),"")," ",""),"년","")),"0000")=SUBSTITUTE(SUBSTITUTE(SUBSTITUTE(TRIM(A2184&amp;""),CHAR(160),"")," ",""),"년","")),SUBSTITUTE(SUBSTITUTE(SUBSTITUTE(TRIM(A2184&amp;""),CHAR(160),"")," ",""),"년",""),""),"")</f>
      </c>
      <c r="I2184" t="str">
        <f>SUBSTITUTE(SUBSTITUTE(SUBSTITUTE(SUBSTITUTE(SUBSTITUTE(TRIM(B2184&amp;""),CHAR(160),"")," ",""),"초등학교","초"),"중학교","중"),"고등학교","고")</f>
      </c>
    </row>
    <row r="2185" customFormat="false" ht="15" hidden="false" customHeight="false" outlineLevel="0" collapsed="false">
      <c r="A2185" s="8"/>
      <c r="B2185" s="8"/>
      <c r="C2185" s="8"/>
      <c r="D2185" s="8"/>
      <c r="E2185" s="8"/>
      <c r="F2185" t="str" s="15">
        <f aca="0">IF(B2185="","",IF(H2185="","확인필요(입력누락)",IF(SUMPRODUCT((실물목록!$P$2:$P$1001&lt;&gt;"")*ISNUMBER(SEARCH(실물목록!$P$2:$P$1001,I2185))*(실물목록!$Q$2:$Q$1001&lt;&gt;"")*ISNUMBER(SEARCH(실물목록!$Q$2:$Q$1001,I2185))*(실물목록!$R$2:$R$1001="")*(실물목록!$O$2:$O$1001&lt;&gt;"")*(실물목록!$O$2:$O$1001=H2185))&gt;0,"실물 있음",IF(SUMPRODUCT((실물목록!$P$2:$P$1001&lt;&gt;"")*ISNUMBER(SEARCH(실물목록!$P$2:$P$1001,I2185))*(실물목록!$R$2:$R$1001&lt;&gt;""))&gt;0,"확인필요(입력누락)",IF(SUMPRODUCT((실물목록!$P$2:$P$1001&lt;&gt;"")*ISNUMBER(SEARCH(실물목록!$P$2:$P$1001,I2185))*(실물목록!$Q$2:$Q$1001&lt;&gt;"")*ISNUMBER(SEARCH(실물목록!$Q$2:$Q$1001,I2185))*(실물목록!$R$2:$R$1001="")*(실물목록!$O$2:$O$1001&lt;&gt;""))&gt;0,"확인필요(연도다름)","실물 없음")))))</f>
      </c>
      <c r="G2185" t="n" s="16">
        <f aca="0">IF(B2185="","",SUMPRODUCT((실물목록!$P$2:$P$1001&lt;&gt;"")*ISNUMBER(SEARCH(실물목록!$P$2:$P$1001,I2185))*(실물목록!$Q$2:$Q$1001&lt;&gt;"")*ISNUMBER(SEARCH(실물목록!$Q$2:$Q$1001,I2185))*(실물목록!$R$2:$R$1001="")*(실물목록!$O$2:$O$1001&lt;&gt;"")*(실물목록!$O$2:$O$1001=H2185)))</f>
      </c>
      <c r="H2185" t="str">
        <f>IFERROR(IF(AND(LEN(SUBSTITUTE(SUBSTITUTE(SUBSTITUTE(TRIM(A2185&amp;""),CHAR(160),"")," ",""),"년",""))=4,VALUE(SUBSTITUTE(SUBSTITUTE(SUBSTITUTE(TRIM(A2185&amp;""),CHAR(160),"")," ",""),"년",""))&gt;=1900,VALUE(SUBSTITUTE(SUBSTITUTE(SUBSTITUTE(TRIM(A2185&amp;""),CHAR(160),"")," ",""),"년",""))&lt;=2099,TEXT(VALUE(SUBSTITUTE(SUBSTITUTE(SUBSTITUTE(TRIM(A2185&amp;""),CHAR(160),"")," ",""),"년","")),"0000")=SUBSTITUTE(SUBSTITUTE(SUBSTITUTE(TRIM(A2185&amp;""),CHAR(160),"")," ",""),"년","")),SUBSTITUTE(SUBSTITUTE(SUBSTITUTE(TRIM(A2185&amp;""),CHAR(160),"")," ",""),"년",""),""),"")</f>
      </c>
      <c r="I2185" t="str">
        <f>SUBSTITUTE(SUBSTITUTE(SUBSTITUTE(SUBSTITUTE(SUBSTITUTE(TRIM(B2185&amp;""),CHAR(160),"")," ",""),"초등학교","초"),"중학교","중"),"고등학교","고")</f>
      </c>
    </row>
    <row r="2186" customFormat="false" ht="15" hidden="false" customHeight="false" outlineLevel="0" collapsed="false">
      <c r="A2186" s="8"/>
      <c r="B2186" s="8"/>
      <c r="C2186" s="8"/>
      <c r="D2186" s="8"/>
      <c r="E2186" s="8"/>
      <c r="F2186" t="str" s="15">
        <f aca="0">IF(B2186="","",IF(H2186="","확인필요(입력누락)",IF(SUMPRODUCT((실물목록!$P$2:$P$1001&lt;&gt;"")*ISNUMBER(SEARCH(실물목록!$P$2:$P$1001,I2186))*(실물목록!$Q$2:$Q$1001&lt;&gt;"")*ISNUMBER(SEARCH(실물목록!$Q$2:$Q$1001,I2186))*(실물목록!$R$2:$R$1001="")*(실물목록!$O$2:$O$1001&lt;&gt;"")*(실물목록!$O$2:$O$1001=H2186))&gt;0,"실물 있음",IF(SUMPRODUCT((실물목록!$P$2:$P$1001&lt;&gt;"")*ISNUMBER(SEARCH(실물목록!$P$2:$P$1001,I2186))*(실물목록!$R$2:$R$1001&lt;&gt;""))&gt;0,"확인필요(입력누락)",IF(SUMPRODUCT((실물목록!$P$2:$P$1001&lt;&gt;"")*ISNUMBER(SEARCH(실물목록!$P$2:$P$1001,I2186))*(실물목록!$Q$2:$Q$1001&lt;&gt;"")*ISNUMBER(SEARCH(실물목록!$Q$2:$Q$1001,I2186))*(실물목록!$R$2:$R$1001="")*(실물목록!$O$2:$O$1001&lt;&gt;""))&gt;0,"확인필요(연도다름)","실물 없음")))))</f>
      </c>
      <c r="G2186" t="n" s="16">
        <f aca="0">IF(B2186="","",SUMPRODUCT((실물목록!$P$2:$P$1001&lt;&gt;"")*ISNUMBER(SEARCH(실물목록!$P$2:$P$1001,I2186))*(실물목록!$Q$2:$Q$1001&lt;&gt;"")*ISNUMBER(SEARCH(실물목록!$Q$2:$Q$1001,I2186))*(실물목록!$R$2:$R$1001="")*(실물목록!$O$2:$O$1001&lt;&gt;"")*(실물목록!$O$2:$O$1001=H2186)))</f>
      </c>
      <c r="H2186" t="str">
        <f>IFERROR(IF(AND(LEN(SUBSTITUTE(SUBSTITUTE(SUBSTITUTE(TRIM(A2186&amp;""),CHAR(160),"")," ",""),"년",""))=4,VALUE(SUBSTITUTE(SUBSTITUTE(SUBSTITUTE(TRIM(A2186&amp;""),CHAR(160),"")," ",""),"년",""))&gt;=1900,VALUE(SUBSTITUTE(SUBSTITUTE(SUBSTITUTE(TRIM(A2186&amp;""),CHAR(160),"")," ",""),"년",""))&lt;=2099,TEXT(VALUE(SUBSTITUTE(SUBSTITUTE(SUBSTITUTE(TRIM(A2186&amp;""),CHAR(160),"")," ",""),"년","")),"0000")=SUBSTITUTE(SUBSTITUTE(SUBSTITUTE(TRIM(A2186&amp;""),CHAR(160),"")," ",""),"년","")),SUBSTITUTE(SUBSTITUTE(SUBSTITUTE(TRIM(A2186&amp;""),CHAR(160),"")," ",""),"년",""),""),"")</f>
      </c>
      <c r="I2186" t="str">
        <f>SUBSTITUTE(SUBSTITUTE(SUBSTITUTE(SUBSTITUTE(SUBSTITUTE(TRIM(B2186&amp;""),CHAR(160),"")," ",""),"초등학교","초"),"중학교","중"),"고등학교","고")</f>
      </c>
    </row>
    <row r="2187" customFormat="false" ht="15" hidden="false" customHeight="false" outlineLevel="0" collapsed="false">
      <c r="A2187" s="8"/>
      <c r="B2187" s="8"/>
      <c r="C2187" s="8"/>
      <c r="D2187" s="8"/>
      <c r="E2187" s="8"/>
      <c r="F2187" t="str" s="15">
        <f aca="0">IF(B2187="","",IF(H2187="","확인필요(입력누락)",IF(SUMPRODUCT((실물목록!$P$2:$P$1001&lt;&gt;"")*ISNUMBER(SEARCH(실물목록!$P$2:$P$1001,I2187))*(실물목록!$Q$2:$Q$1001&lt;&gt;"")*ISNUMBER(SEARCH(실물목록!$Q$2:$Q$1001,I2187))*(실물목록!$R$2:$R$1001="")*(실물목록!$O$2:$O$1001&lt;&gt;"")*(실물목록!$O$2:$O$1001=H2187))&gt;0,"실물 있음",IF(SUMPRODUCT((실물목록!$P$2:$P$1001&lt;&gt;"")*ISNUMBER(SEARCH(실물목록!$P$2:$P$1001,I2187))*(실물목록!$R$2:$R$1001&lt;&gt;""))&gt;0,"확인필요(입력누락)",IF(SUMPRODUCT((실물목록!$P$2:$P$1001&lt;&gt;"")*ISNUMBER(SEARCH(실물목록!$P$2:$P$1001,I2187))*(실물목록!$Q$2:$Q$1001&lt;&gt;"")*ISNUMBER(SEARCH(실물목록!$Q$2:$Q$1001,I2187))*(실물목록!$R$2:$R$1001="")*(실물목록!$O$2:$O$1001&lt;&gt;""))&gt;0,"확인필요(연도다름)","실물 없음")))))</f>
      </c>
      <c r="G2187" t="n" s="16">
        <f aca="0">IF(B2187="","",SUMPRODUCT((실물목록!$P$2:$P$1001&lt;&gt;"")*ISNUMBER(SEARCH(실물목록!$P$2:$P$1001,I2187))*(실물목록!$Q$2:$Q$1001&lt;&gt;"")*ISNUMBER(SEARCH(실물목록!$Q$2:$Q$1001,I2187))*(실물목록!$R$2:$R$1001="")*(실물목록!$O$2:$O$1001&lt;&gt;"")*(실물목록!$O$2:$O$1001=H2187)))</f>
      </c>
      <c r="H2187" t="str">
        <f>IFERROR(IF(AND(LEN(SUBSTITUTE(SUBSTITUTE(SUBSTITUTE(TRIM(A2187&amp;""),CHAR(160),"")," ",""),"년",""))=4,VALUE(SUBSTITUTE(SUBSTITUTE(SUBSTITUTE(TRIM(A2187&amp;""),CHAR(160),"")," ",""),"년",""))&gt;=1900,VALUE(SUBSTITUTE(SUBSTITUTE(SUBSTITUTE(TRIM(A2187&amp;""),CHAR(160),"")," ",""),"년",""))&lt;=2099,TEXT(VALUE(SUBSTITUTE(SUBSTITUTE(SUBSTITUTE(TRIM(A2187&amp;""),CHAR(160),"")," ",""),"년","")),"0000")=SUBSTITUTE(SUBSTITUTE(SUBSTITUTE(TRIM(A2187&amp;""),CHAR(160),"")," ",""),"년","")),SUBSTITUTE(SUBSTITUTE(SUBSTITUTE(TRIM(A2187&amp;""),CHAR(160),"")," ",""),"년",""),""),"")</f>
      </c>
      <c r="I2187" t="str">
        <f>SUBSTITUTE(SUBSTITUTE(SUBSTITUTE(SUBSTITUTE(SUBSTITUTE(TRIM(B2187&amp;""),CHAR(160),"")," ",""),"초등학교","초"),"중학교","중"),"고등학교","고")</f>
      </c>
    </row>
    <row r="2188" customFormat="false" ht="15" hidden="false" customHeight="false" outlineLevel="0" collapsed="false">
      <c r="A2188" s="8"/>
      <c r="B2188" s="8"/>
      <c r="C2188" s="8"/>
      <c r="D2188" s="8"/>
      <c r="E2188" s="8"/>
      <c r="F2188" t="str" s="15">
        <f aca="0">IF(B2188="","",IF(H2188="","확인필요(입력누락)",IF(SUMPRODUCT((실물목록!$P$2:$P$1001&lt;&gt;"")*ISNUMBER(SEARCH(실물목록!$P$2:$P$1001,I2188))*(실물목록!$Q$2:$Q$1001&lt;&gt;"")*ISNUMBER(SEARCH(실물목록!$Q$2:$Q$1001,I2188))*(실물목록!$R$2:$R$1001="")*(실물목록!$O$2:$O$1001&lt;&gt;"")*(실물목록!$O$2:$O$1001=H2188))&gt;0,"실물 있음",IF(SUMPRODUCT((실물목록!$P$2:$P$1001&lt;&gt;"")*ISNUMBER(SEARCH(실물목록!$P$2:$P$1001,I2188))*(실물목록!$R$2:$R$1001&lt;&gt;""))&gt;0,"확인필요(입력누락)",IF(SUMPRODUCT((실물목록!$P$2:$P$1001&lt;&gt;"")*ISNUMBER(SEARCH(실물목록!$P$2:$P$1001,I2188))*(실물목록!$Q$2:$Q$1001&lt;&gt;"")*ISNUMBER(SEARCH(실물목록!$Q$2:$Q$1001,I2188))*(실물목록!$R$2:$R$1001="")*(실물목록!$O$2:$O$1001&lt;&gt;""))&gt;0,"확인필요(연도다름)","실물 없음")))))</f>
      </c>
      <c r="G2188" t="n" s="16">
        <f aca="0">IF(B2188="","",SUMPRODUCT((실물목록!$P$2:$P$1001&lt;&gt;"")*ISNUMBER(SEARCH(실물목록!$P$2:$P$1001,I2188))*(실물목록!$Q$2:$Q$1001&lt;&gt;"")*ISNUMBER(SEARCH(실물목록!$Q$2:$Q$1001,I2188))*(실물목록!$R$2:$R$1001="")*(실물목록!$O$2:$O$1001&lt;&gt;"")*(실물목록!$O$2:$O$1001=H2188)))</f>
      </c>
      <c r="H2188" t="str">
        <f>IFERROR(IF(AND(LEN(SUBSTITUTE(SUBSTITUTE(SUBSTITUTE(TRIM(A2188&amp;""),CHAR(160),"")," ",""),"년",""))=4,VALUE(SUBSTITUTE(SUBSTITUTE(SUBSTITUTE(TRIM(A2188&amp;""),CHAR(160),"")," ",""),"년",""))&gt;=1900,VALUE(SUBSTITUTE(SUBSTITUTE(SUBSTITUTE(TRIM(A2188&amp;""),CHAR(160),"")," ",""),"년",""))&lt;=2099,TEXT(VALUE(SUBSTITUTE(SUBSTITUTE(SUBSTITUTE(TRIM(A2188&amp;""),CHAR(160),"")," ",""),"년","")),"0000")=SUBSTITUTE(SUBSTITUTE(SUBSTITUTE(TRIM(A2188&amp;""),CHAR(160),"")," ",""),"년","")),SUBSTITUTE(SUBSTITUTE(SUBSTITUTE(TRIM(A2188&amp;""),CHAR(160),"")," ",""),"년",""),""),"")</f>
      </c>
      <c r="I2188" t="str">
        <f>SUBSTITUTE(SUBSTITUTE(SUBSTITUTE(SUBSTITUTE(SUBSTITUTE(TRIM(B2188&amp;""),CHAR(160),"")," ",""),"초등학교","초"),"중학교","중"),"고등학교","고")</f>
      </c>
    </row>
    <row r="2189" customFormat="false" ht="15" hidden="false" customHeight="false" outlineLevel="0" collapsed="false">
      <c r="A2189" s="8"/>
      <c r="B2189" s="8"/>
      <c r="C2189" s="8"/>
      <c r="D2189" s="8"/>
      <c r="E2189" s="8"/>
      <c r="F2189" t="str" s="15">
        <f aca="0">IF(B2189="","",IF(H2189="","확인필요(입력누락)",IF(SUMPRODUCT((실물목록!$P$2:$P$1001&lt;&gt;"")*ISNUMBER(SEARCH(실물목록!$P$2:$P$1001,I2189))*(실물목록!$Q$2:$Q$1001&lt;&gt;"")*ISNUMBER(SEARCH(실물목록!$Q$2:$Q$1001,I2189))*(실물목록!$R$2:$R$1001="")*(실물목록!$O$2:$O$1001&lt;&gt;"")*(실물목록!$O$2:$O$1001=H2189))&gt;0,"실물 있음",IF(SUMPRODUCT((실물목록!$P$2:$P$1001&lt;&gt;"")*ISNUMBER(SEARCH(실물목록!$P$2:$P$1001,I2189))*(실물목록!$R$2:$R$1001&lt;&gt;""))&gt;0,"확인필요(입력누락)",IF(SUMPRODUCT((실물목록!$P$2:$P$1001&lt;&gt;"")*ISNUMBER(SEARCH(실물목록!$P$2:$P$1001,I2189))*(실물목록!$Q$2:$Q$1001&lt;&gt;"")*ISNUMBER(SEARCH(실물목록!$Q$2:$Q$1001,I2189))*(실물목록!$R$2:$R$1001="")*(실물목록!$O$2:$O$1001&lt;&gt;""))&gt;0,"확인필요(연도다름)","실물 없음")))))</f>
      </c>
      <c r="G2189" t="n" s="16">
        <f aca="0">IF(B2189="","",SUMPRODUCT((실물목록!$P$2:$P$1001&lt;&gt;"")*ISNUMBER(SEARCH(실물목록!$P$2:$P$1001,I2189))*(실물목록!$Q$2:$Q$1001&lt;&gt;"")*ISNUMBER(SEARCH(실물목록!$Q$2:$Q$1001,I2189))*(실물목록!$R$2:$R$1001="")*(실물목록!$O$2:$O$1001&lt;&gt;"")*(실물목록!$O$2:$O$1001=H2189)))</f>
      </c>
      <c r="H2189" t="str">
        <f>IFERROR(IF(AND(LEN(SUBSTITUTE(SUBSTITUTE(SUBSTITUTE(TRIM(A2189&amp;""),CHAR(160),"")," ",""),"년",""))=4,VALUE(SUBSTITUTE(SUBSTITUTE(SUBSTITUTE(TRIM(A2189&amp;""),CHAR(160),"")," ",""),"년",""))&gt;=1900,VALUE(SUBSTITUTE(SUBSTITUTE(SUBSTITUTE(TRIM(A2189&amp;""),CHAR(160),"")," ",""),"년",""))&lt;=2099,TEXT(VALUE(SUBSTITUTE(SUBSTITUTE(SUBSTITUTE(TRIM(A2189&amp;""),CHAR(160),"")," ",""),"년","")),"0000")=SUBSTITUTE(SUBSTITUTE(SUBSTITUTE(TRIM(A2189&amp;""),CHAR(160),"")," ",""),"년","")),SUBSTITUTE(SUBSTITUTE(SUBSTITUTE(TRIM(A2189&amp;""),CHAR(160),"")," ",""),"년",""),""),"")</f>
      </c>
      <c r="I2189" t="str">
        <f>SUBSTITUTE(SUBSTITUTE(SUBSTITUTE(SUBSTITUTE(SUBSTITUTE(TRIM(B2189&amp;""),CHAR(160),"")," ",""),"초등학교","초"),"중학교","중"),"고등학교","고")</f>
      </c>
    </row>
    <row r="2190" customFormat="false" ht="15" hidden="false" customHeight="false" outlineLevel="0" collapsed="false">
      <c r="A2190" s="8"/>
      <c r="B2190" s="8"/>
      <c r="C2190" s="8"/>
      <c r="D2190" s="8"/>
      <c r="E2190" s="8"/>
      <c r="F2190" t="str" s="15">
        <f aca="0">IF(B2190="","",IF(H2190="","확인필요(입력누락)",IF(SUMPRODUCT((실물목록!$P$2:$P$1001&lt;&gt;"")*ISNUMBER(SEARCH(실물목록!$P$2:$P$1001,I2190))*(실물목록!$Q$2:$Q$1001&lt;&gt;"")*ISNUMBER(SEARCH(실물목록!$Q$2:$Q$1001,I2190))*(실물목록!$R$2:$R$1001="")*(실물목록!$O$2:$O$1001&lt;&gt;"")*(실물목록!$O$2:$O$1001=H2190))&gt;0,"실물 있음",IF(SUMPRODUCT((실물목록!$P$2:$P$1001&lt;&gt;"")*ISNUMBER(SEARCH(실물목록!$P$2:$P$1001,I2190))*(실물목록!$R$2:$R$1001&lt;&gt;""))&gt;0,"확인필요(입력누락)",IF(SUMPRODUCT((실물목록!$P$2:$P$1001&lt;&gt;"")*ISNUMBER(SEARCH(실물목록!$P$2:$P$1001,I2190))*(실물목록!$Q$2:$Q$1001&lt;&gt;"")*ISNUMBER(SEARCH(실물목록!$Q$2:$Q$1001,I2190))*(실물목록!$R$2:$R$1001="")*(실물목록!$O$2:$O$1001&lt;&gt;""))&gt;0,"확인필요(연도다름)","실물 없음")))))</f>
      </c>
      <c r="G2190" t="n" s="16">
        <f aca="0">IF(B2190="","",SUMPRODUCT((실물목록!$P$2:$P$1001&lt;&gt;"")*ISNUMBER(SEARCH(실물목록!$P$2:$P$1001,I2190))*(실물목록!$Q$2:$Q$1001&lt;&gt;"")*ISNUMBER(SEARCH(실물목록!$Q$2:$Q$1001,I2190))*(실물목록!$R$2:$R$1001="")*(실물목록!$O$2:$O$1001&lt;&gt;"")*(실물목록!$O$2:$O$1001=H2190)))</f>
      </c>
      <c r="H2190" t="str">
        <f>IFERROR(IF(AND(LEN(SUBSTITUTE(SUBSTITUTE(SUBSTITUTE(TRIM(A2190&amp;""),CHAR(160),"")," ",""),"년",""))=4,VALUE(SUBSTITUTE(SUBSTITUTE(SUBSTITUTE(TRIM(A2190&amp;""),CHAR(160),"")," ",""),"년",""))&gt;=1900,VALUE(SUBSTITUTE(SUBSTITUTE(SUBSTITUTE(TRIM(A2190&amp;""),CHAR(160),"")," ",""),"년",""))&lt;=2099,TEXT(VALUE(SUBSTITUTE(SUBSTITUTE(SUBSTITUTE(TRIM(A2190&amp;""),CHAR(160),"")," ",""),"년","")),"0000")=SUBSTITUTE(SUBSTITUTE(SUBSTITUTE(TRIM(A2190&amp;""),CHAR(160),"")," ",""),"년","")),SUBSTITUTE(SUBSTITUTE(SUBSTITUTE(TRIM(A2190&amp;""),CHAR(160),"")," ",""),"년",""),""),"")</f>
      </c>
      <c r="I2190" t="str">
        <f>SUBSTITUTE(SUBSTITUTE(SUBSTITUTE(SUBSTITUTE(SUBSTITUTE(TRIM(B2190&amp;""),CHAR(160),"")," ",""),"초등학교","초"),"중학교","중"),"고등학교","고")</f>
      </c>
    </row>
    <row r="2191" customFormat="false" ht="15" hidden="false" customHeight="false" outlineLevel="0" collapsed="false">
      <c r="A2191" s="8"/>
      <c r="B2191" s="8"/>
      <c r="C2191" s="8"/>
      <c r="D2191" s="8"/>
      <c r="E2191" s="8"/>
      <c r="F2191" t="str" s="15">
        <f aca="0">IF(B2191="","",IF(H2191="","확인필요(입력누락)",IF(SUMPRODUCT((실물목록!$P$2:$P$1001&lt;&gt;"")*ISNUMBER(SEARCH(실물목록!$P$2:$P$1001,I2191))*(실물목록!$Q$2:$Q$1001&lt;&gt;"")*ISNUMBER(SEARCH(실물목록!$Q$2:$Q$1001,I2191))*(실물목록!$R$2:$R$1001="")*(실물목록!$O$2:$O$1001&lt;&gt;"")*(실물목록!$O$2:$O$1001=H2191))&gt;0,"실물 있음",IF(SUMPRODUCT((실물목록!$P$2:$P$1001&lt;&gt;"")*ISNUMBER(SEARCH(실물목록!$P$2:$P$1001,I2191))*(실물목록!$R$2:$R$1001&lt;&gt;""))&gt;0,"확인필요(입력누락)",IF(SUMPRODUCT((실물목록!$P$2:$P$1001&lt;&gt;"")*ISNUMBER(SEARCH(실물목록!$P$2:$P$1001,I2191))*(실물목록!$Q$2:$Q$1001&lt;&gt;"")*ISNUMBER(SEARCH(실물목록!$Q$2:$Q$1001,I2191))*(실물목록!$R$2:$R$1001="")*(실물목록!$O$2:$O$1001&lt;&gt;""))&gt;0,"확인필요(연도다름)","실물 없음")))))</f>
      </c>
      <c r="G2191" t="n" s="16">
        <f aca="0">IF(B2191="","",SUMPRODUCT((실물목록!$P$2:$P$1001&lt;&gt;"")*ISNUMBER(SEARCH(실물목록!$P$2:$P$1001,I2191))*(실물목록!$Q$2:$Q$1001&lt;&gt;"")*ISNUMBER(SEARCH(실물목록!$Q$2:$Q$1001,I2191))*(실물목록!$R$2:$R$1001="")*(실물목록!$O$2:$O$1001&lt;&gt;"")*(실물목록!$O$2:$O$1001=H2191)))</f>
      </c>
      <c r="H2191" t="str">
        <f>IFERROR(IF(AND(LEN(SUBSTITUTE(SUBSTITUTE(SUBSTITUTE(TRIM(A2191&amp;""),CHAR(160),"")," ",""),"년",""))=4,VALUE(SUBSTITUTE(SUBSTITUTE(SUBSTITUTE(TRIM(A2191&amp;""),CHAR(160),"")," ",""),"년",""))&gt;=1900,VALUE(SUBSTITUTE(SUBSTITUTE(SUBSTITUTE(TRIM(A2191&amp;""),CHAR(160),"")," ",""),"년",""))&lt;=2099,TEXT(VALUE(SUBSTITUTE(SUBSTITUTE(SUBSTITUTE(TRIM(A2191&amp;""),CHAR(160),"")," ",""),"년","")),"0000")=SUBSTITUTE(SUBSTITUTE(SUBSTITUTE(TRIM(A2191&amp;""),CHAR(160),"")," ",""),"년","")),SUBSTITUTE(SUBSTITUTE(SUBSTITUTE(TRIM(A2191&amp;""),CHAR(160),"")," ",""),"년",""),""),"")</f>
      </c>
      <c r="I2191" t="str">
        <f>SUBSTITUTE(SUBSTITUTE(SUBSTITUTE(SUBSTITUTE(SUBSTITUTE(TRIM(B2191&amp;""),CHAR(160),"")," ",""),"초등학교","초"),"중학교","중"),"고등학교","고")</f>
      </c>
    </row>
    <row r="2192" customFormat="false" ht="15" hidden="false" customHeight="false" outlineLevel="0" collapsed="false">
      <c r="A2192" s="8"/>
      <c r="B2192" s="8"/>
      <c r="C2192" s="8"/>
      <c r="D2192" s="8"/>
      <c r="E2192" s="8"/>
      <c r="F2192" t="str" s="15">
        <f aca="0">IF(B2192="","",IF(H2192="","확인필요(입력누락)",IF(SUMPRODUCT((실물목록!$P$2:$P$1001&lt;&gt;"")*ISNUMBER(SEARCH(실물목록!$P$2:$P$1001,I2192))*(실물목록!$Q$2:$Q$1001&lt;&gt;"")*ISNUMBER(SEARCH(실물목록!$Q$2:$Q$1001,I2192))*(실물목록!$R$2:$R$1001="")*(실물목록!$O$2:$O$1001&lt;&gt;"")*(실물목록!$O$2:$O$1001=H2192))&gt;0,"실물 있음",IF(SUMPRODUCT((실물목록!$P$2:$P$1001&lt;&gt;"")*ISNUMBER(SEARCH(실물목록!$P$2:$P$1001,I2192))*(실물목록!$R$2:$R$1001&lt;&gt;""))&gt;0,"확인필요(입력누락)",IF(SUMPRODUCT((실물목록!$P$2:$P$1001&lt;&gt;"")*ISNUMBER(SEARCH(실물목록!$P$2:$P$1001,I2192))*(실물목록!$Q$2:$Q$1001&lt;&gt;"")*ISNUMBER(SEARCH(실물목록!$Q$2:$Q$1001,I2192))*(실물목록!$R$2:$R$1001="")*(실물목록!$O$2:$O$1001&lt;&gt;""))&gt;0,"확인필요(연도다름)","실물 없음")))))</f>
      </c>
      <c r="G2192" t="n" s="16">
        <f aca="0">IF(B2192="","",SUMPRODUCT((실물목록!$P$2:$P$1001&lt;&gt;"")*ISNUMBER(SEARCH(실물목록!$P$2:$P$1001,I2192))*(실물목록!$Q$2:$Q$1001&lt;&gt;"")*ISNUMBER(SEARCH(실물목록!$Q$2:$Q$1001,I2192))*(실물목록!$R$2:$R$1001="")*(실물목록!$O$2:$O$1001&lt;&gt;"")*(실물목록!$O$2:$O$1001=H2192)))</f>
      </c>
      <c r="H2192" t="str">
        <f>IFERROR(IF(AND(LEN(SUBSTITUTE(SUBSTITUTE(SUBSTITUTE(TRIM(A2192&amp;""),CHAR(160),"")," ",""),"년",""))=4,VALUE(SUBSTITUTE(SUBSTITUTE(SUBSTITUTE(TRIM(A2192&amp;""),CHAR(160),"")," ",""),"년",""))&gt;=1900,VALUE(SUBSTITUTE(SUBSTITUTE(SUBSTITUTE(TRIM(A2192&amp;""),CHAR(160),"")," ",""),"년",""))&lt;=2099,TEXT(VALUE(SUBSTITUTE(SUBSTITUTE(SUBSTITUTE(TRIM(A2192&amp;""),CHAR(160),"")," ",""),"년","")),"0000")=SUBSTITUTE(SUBSTITUTE(SUBSTITUTE(TRIM(A2192&amp;""),CHAR(160),"")," ",""),"년","")),SUBSTITUTE(SUBSTITUTE(SUBSTITUTE(TRIM(A2192&amp;""),CHAR(160),"")," ",""),"년",""),""),"")</f>
      </c>
      <c r="I2192" t="str">
        <f>SUBSTITUTE(SUBSTITUTE(SUBSTITUTE(SUBSTITUTE(SUBSTITUTE(TRIM(B2192&amp;""),CHAR(160),"")," ",""),"초등학교","초"),"중학교","중"),"고등학교","고")</f>
      </c>
    </row>
    <row r="2193" customFormat="false" ht="15" hidden="false" customHeight="false" outlineLevel="0" collapsed="false">
      <c r="A2193" s="8"/>
      <c r="B2193" s="8"/>
      <c r="C2193" s="8"/>
      <c r="D2193" s="8"/>
      <c r="E2193" s="8"/>
      <c r="F2193" t="str" s="15">
        <f aca="0">IF(B2193="","",IF(H2193="","확인필요(입력누락)",IF(SUMPRODUCT((실물목록!$P$2:$P$1001&lt;&gt;"")*ISNUMBER(SEARCH(실물목록!$P$2:$P$1001,I2193))*(실물목록!$Q$2:$Q$1001&lt;&gt;"")*ISNUMBER(SEARCH(실물목록!$Q$2:$Q$1001,I2193))*(실물목록!$R$2:$R$1001="")*(실물목록!$O$2:$O$1001&lt;&gt;"")*(실물목록!$O$2:$O$1001=H2193))&gt;0,"실물 있음",IF(SUMPRODUCT((실물목록!$P$2:$P$1001&lt;&gt;"")*ISNUMBER(SEARCH(실물목록!$P$2:$P$1001,I2193))*(실물목록!$R$2:$R$1001&lt;&gt;""))&gt;0,"확인필요(입력누락)",IF(SUMPRODUCT((실물목록!$P$2:$P$1001&lt;&gt;"")*ISNUMBER(SEARCH(실물목록!$P$2:$P$1001,I2193))*(실물목록!$Q$2:$Q$1001&lt;&gt;"")*ISNUMBER(SEARCH(실물목록!$Q$2:$Q$1001,I2193))*(실물목록!$R$2:$R$1001="")*(실물목록!$O$2:$O$1001&lt;&gt;""))&gt;0,"확인필요(연도다름)","실물 없음")))))</f>
      </c>
      <c r="G2193" t="n" s="16">
        <f aca="0">IF(B2193="","",SUMPRODUCT((실물목록!$P$2:$P$1001&lt;&gt;"")*ISNUMBER(SEARCH(실물목록!$P$2:$P$1001,I2193))*(실물목록!$Q$2:$Q$1001&lt;&gt;"")*ISNUMBER(SEARCH(실물목록!$Q$2:$Q$1001,I2193))*(실물목록!$R$2:$R$1001="")*(실물목록!$O$2:$O$1001&lt;&gt;"")*(실물목록!$O$2:$O$1001=H2193)))</f>
      </c>
      <c r="H2193" t="str">
        <f>IFERROR(IF(AND(LEN(SUBSTITUTE(SUBSTITUTE(SUBSTITUTE(TRIM(A2193&amp;""),CHAR(160),"")," ",""),"년",""))=4,VALUE(SUBSTITUTE(SUBSTITUTE(SUBSTITUTE(TRIM(A2193&amp;""),CHAR(160),"")," ",""),"년",""))&gt;=1900,VALUE(SUBSTITUTE(SUBSTITUTE(SUBSTITUTE(TRIM(A2193&amp;""),CHAR(160),"")," ",""),"년",""))&lt;=2099,TEXT(VALUE(SUBSTITUTE(SUBSTITUTE(SUBSTITUTE(TRIM(A2193&amp;""),CHAR(160),"")," ",""),"년","")),"0000")=SUBSTITUTE(SUBSTITUTE(SUBSTITUTE(TRIM(A2193&amp;""),CHAR(160),"")," ",""),"년","")),SUBSTITUTE(SUBSTITUTE(SUBSTITUTE(TRIM(A2193&amp;""),CHAR(160),"")," ",""),"년",""),""),"")</f>
      </c>
      <c r="I2193" t="str">
        <f>SUBSTITUTE(SUBSTITUTE(SUBSTITUTE(SUBSTITUTE(SUBSTITUTE(TRIM(B2193&amp;""),CHAR(160),"")," ",""),"초등학교","초"),"중학교","중"),"고등학교","고")</f>
      </c>
    </row>
    <row r="2194" customFormat="false" ht="15" hidden="false" customHeight="false" outlineLevel="0" collapsed="false">
      <c r="A2194" s="8"/>
      <c r="B2194" s="8"/>
      <c r="C2194" s="8"/>
      <c r="D2194" s="8"/>
      <c r="E2194" s="8"/>
      <c r="F2194" t="str" s="15">
        <f aca="0">IF(B2194="","",IF(H2194="","확인필요(입력누락)",IF(SUMPRODUCT((실물목록!$P$2:$P$1001&lt;&gt;"")*ISNUMBER(SEARCH(실물목록!$P$2:$P$1001,I2194))*(실물목록!$Q$2:$Q$1001&lt;&gt;"")*ISNUMBER(SEARCH(실물목록!$Q$2:$Q$1001,I2194))*(실물목록!$R$2:$R$1001="")*(실물목록!$O$2:$O$1001&lt;&gt;"")*(실물목록!$O$2:$O$1001=H2194))&gt;0,"실물 있음",IF(SUMPRODUCT((실물목록!$P$2:$P$1001&lt;&gt;"")*ISNUMBER(SEARCH(실물목록!$P$2:$P$1001,I2194))*(실물목록!$R$2:$R$1001&lt;&gt;""))&gt;0,"확인필요(입력누락)",IF(SUMPRODUCT((실물목록!$P$2:$P$1001&lt;&gt;"")*ISNUMBER(SEARCH(실물목록!$P$2:$P$1001,I2194))*(실물목록!$Q$2:$Q$1001&lt;&gt;"")*ISNUMBER(SEARCH(실물목록!$Q$2:$Q$1001,I2194))*(실물목록!$R$2:$R$1001="")*(실물목록!$O$2:$O$1001&lt;&gt;""))&gt;0,"확인필요(연도다름)","실물 없음")))))</f>
      </c>
      <c r="G2194" t="n" s="16">
        <f aca="0">IF(B2194="","",SUMPRODUCT((실물목록!$P$2:$P$1001&lt;&gt;"")*ISNUMBER(SEARCH(실물목록!$P$2:$P$1001,I2194))*(실물목록!$Q$2:$Q$1001&lt;&gt;"")*ISNUMBER(SEARCH(실물목록!$Q$2:$Q$1001,I2194))*(실물목록!$R$2:$R$1001="")*(실물목록!$O$2:$O$1001&lt;&gt;"")*(실물목록!$O$2:$O$1001=H2194)))</f>
      </c>
      <c r="H2194" t="str">
        <f>IFERROR(IF(AND(LEN(SUBSTITUTE(SUBSTITUTE(SUBSTITUTE(TRIM(A2194&amp;""),CHAR(160),"")," ",""),"년",""))=4,VALUE(SUBSTITUTE(SUBSTITUTE(SUBSTITUTE(TRIM(A2194&amp;""),CHAR(160),"")," ",""),"년",""))&gt;=1900,VALUE(SUBSTITUTE(SUBSTITUTE(SUBSTITUTE(TRIM(A2194&amp;""),CHAR(160),"")," ",""),"년",""))&lt;=2099,TEXT(VALUE(SUBSTITUTE(SUBSTITUTE(SUBSTITUTE(TRIM(A2194&amp;""),CHAR(160),"")," ",""),"년","")),"0000")=SUBSTITUTE(SUBSTITUTE(SUBSTITUTE(TRIM(A2194&amp;""),CHAR(160),"")," ",""),"년","")),SUBSTITUTE(SUBSTITUTE(SUBSTITUTE(TRIM(A2194&amp;""),CHAR(160),"")," ",""),"년",""),""),"")</f>
      </c>
      <c r="I2194" t="str">
        <f>SUBSTITUTE(SUBSTITUTE(SUBSTITUTE(SUBSTITUTE(SUBSTITUTE(TRIM(B2194&amp;""),CHAR(160),"")," ",""),"초등학교","초"),"중학교","중"),"고등학교","고")</f>
      </c>
    </row>
    <row r="2195" customFormat="false" ht="15" hidden="false" customHeight="false" outlineLevel="0" collapsed="false">
      <c r="A2195" s="8"/>
      <c r="B2195" s="8"/>
      <c r="C2195" s="8"/>
      <c r="D2195" s="8"/>
      <c r="E2195" s="8"/>
      <c r="F2195" t="str" s="15">
        <f aca="0">IF(B2195="","",IF(H2195="","확인필요(입력누락)",IF(SUMPRODUCT((실물목록!$P$2:$P$1001&lt;&gt;"")*ISNUMBER(SEARCH(실물목록!$P$2:$P$1001,I2195))*(실물목록!$Q$2:$Q$1001&lt;&gt;"")*ISNUMBER(SEARCH(실물목록!$Q$2:$Q$1001,I2195))*(실물목록!$R$2:$R$1001="")*(실물목록!$O$2:$O$1001&lt;&gt;"")*(실물목록!$O$2:$O$1001=H2195))&gt;0,"실물 있음",IF(SUMPRODUCT((실물목록!$P$2:$P$1001&lt;&gt;"")*ISNUMBER(SEARCH(실물목록!$P$2:$P$1001,I2195))*(실물목록!$R$2:$R$1001&lt;&gt;""))&gt;0,"확인필요(입력누락)",IF(SUMPRODUCT((실물목록!$P$2:$P$1001&lt;&gt;"")*ISNUMBER(SEARCH(실물목록!$P$2:$P$1001,I2195))*(실물목록!$Q$2:$Q$1001&lt;&gt;"")*ISNUMBER(SEARCH(실물목록!$Q$2:$Q$1001,I2195))*(실물목록!$R$2:$R$1001="")*(실물목록!$O$2:$O$1001&lt;&gt;""))&gt;0,"확인필요(연도다름)","실물 없음")))))</f>
      </c>
      <c r="G2195" t="n" s="16">
        <f aca="0">IF(B2195="","",SUMPRODUCT((실물목록!$P$2:$P$1001&lt;&gt;"")*ISNUMBER(SEARCH(실물목록!$P$2:$P$1001,I2195))*(실물목록!$Q$2:$Q$1001&lt;&gt;"")*ISNUMBER(SEARCH(실물목록!$Q$2:$Q$1001,I2195))*(실물목록!$R$2:$R$1001="")*(실물목록!$O$2:$O$1001&lt;&gt;"")*(실물목록!$O$2:$O$1001=H2195)))</f>
      </c>
      <c r="H2195" t="str">
        <f>IFERROR(IF(AND(LEN(SUBSTITUTE(SUBSTITUTE(SUBSTITUTE(TRIM(A2195&amp;""),CHAR(160),"")," ",""),"년",""))=4,VALUE(SUBSTITUTE(SUBSTITUTE(SUBSTITUTE(TRIM(A2195&amp;""),CHAR(160),"")," ",""),"년",""))&gt;=1900,VALUE(SUBSTITUTE(SUBSTITUTE(SUBSTITUTE(TRIM(A2195&amp;""),CHAR(160),"")," ",""),"년",""))&lt;=2099,TEXT(VALUE(SUBSTITUTE(SUBSTITUTE(SUBSTITUTE(TRIM(A2195&amp;""),CHAR(160),"")," ",""),"년","")),"0000")=SUBSTITUTE(SUBSTITUTE(SUBSTITUTE(TRIM(A2195&amp;""),CHAR(160),"")," ",""),"년","")),SUBSTITUTE(SUBSTITUTE(SUBSTITUTE(TRIM(A2195&amp;""),CHAR(160),"")," ",""),"년",""),""),"")</f>
      </c>
      <c r="I2195" t="str">
        <f>SUBSTITUTE(SUBSTITUTE(SUBSTITUTE(SUBSTITUTE(SUBSTITUTE(TRIM(B2195&amp;""),CHAR(160),"")," ",""),"초등학교","초"),"중학교","중"),"고등학교","고")</f>
      </c>
    </row>
    <row r="2196" customFormat="false" ht="15" hidden="false" customHeight="false" outlineLevel="0" collapsed="false">
      <c r="A2196" s="8"/>
      <c r="B2196" s="8"/>
      <c r="C2196" s="8"/>
      <c r="D2196" s="8"/>
      <c r="E2196" s="8"/>
      <c r="F2196" t="str" s="15">
        <f aca="0">IF(B2196="","",IF(H2196="","확인필요(입력누락)",IF(SUMPRODUCT((실물목록!$P$2:$P$1001&lt;&gt;"")*ISNUMBER(SEARCH(실물목록!$P$2:$P$1001,I2196))*(실물목록!$Q$2:$Q$1001&lt;&gt;"")*ISNUMBER(SEARCH(실물목록!$Q$2:$Q$1001,I2196))*(실물목록!$R$2:$R$1001="")*(실물목록!$O$2:$O$1001&lt;&gt;"")*(실물목록!$O$2:$O$1001=H2196))&gt;0,"실물 있음",IF(SUMPRODUCT((실물목록!$P$2:$P$1001&lt;&gt;"")*ISNUMBER(SEARCH(실물목록!$P$2:$P$1001,I2196))*(실물목록!$R$2:$R$1001&lt;&gt;""))&gt;0,"확인필요(입력누락)",IF(SUMPRODUCT((실물목록!$P$2:$P$1001&lt;&gt;"")*ISNUMBER(SEARCH(실물목록!$P$2:$P$1001,I2196))*(실물목록!$Q$2:$Q$1001&lt;&gt;"")*ISNUMBER(SEARCH(실물목록!$Q$2:$Q$1001,I2196))*(실물목록!$R$2:$R$1001="")*(실물목록!$O$2:$O$1001&lt;&gt;""))&gt;0,"확인필요(연도다름)","실물 없음")))))</f>
      </c>
      <c r="G2196" t="n" s="16">
        <f aca="0">IF(B2196="","",SUMPRODUCT((실물목록!$P$2:$P$1001&lt;&gt;"")*ISNUMBER(SEARCH(실물목록!$P$2:$P$1001,I2196))*(실물목록!$Q$2:$Q$1001&lt;&gt;"")*ISNUMBER(SEARCH(실물목록!$Q$2:$Q$1001,I2196))*(실물목록!$R$2:$R$1001="")*(실물목록!$O$2:$O$1001&lt;&gt;"")*(실물목록!$O$2:$O$1001=H2196)))</f>
      </c>
      <c r="H2196" t="str">
        <f>IFERROR(IF(AND(LEN(SUBSTITUTE(SUBSTITUTE(SUBSTITUTE(TRIM(A2196&amp;""),CHAR(160),"")," ",""),"년",""))=4,VALUE(SUBSTITUTE(SUBSTITUTE(SUBSTITUTE(TRIM(A2196&amp;""),CHAR(160),"")," ",""),"년",""))&gt;=1900,VALUE(SUBSTITUTE(SUBSTITUTE(SUBSTITUTE(TRIM(A2196&amp;""),CHAR(160),"")," ",""),"년",""))&lt;=2099,TEXT(VALUE(SUBSTITUTE(SUBSTITUTE(SUBSTITUTE(TRIM(A2196&amp;""),CHAR(160),"")," ",""),"년","")),"0000")=SUBSTITUTE(SUBSTITUTE(SUBSTITUTE(TRIM(A2196&amp;""),CHAR(160),"")," ",""),"년","")),SUBSTITUTE(SUBSTITUTE(SUBSTITUTE(TRIM(A2196&amp;""),CHAR(160),"")," ",""),"년",""),""),"")</f>
      </c>
      <c r="I2196" t="str">
        <f>SUBSTITUTE(SUBSTITUTE(SUBSTITUTE(SUBSTITUTE(SUBSTITUTE(TRIM(B2196&amp;""),CHAR(160),"")," ",""),"초등학교","초"),"중학교","중"),"고등학교","고")</f>
      </c>
    </row>
    <row r="2197" customFormat="false" ht="15" hidden="false" customHeight="false" outlineLevel="0" collapsed="false">
      <c r="A2197" s="8"/>
      <c r="B2197" s="8"/>
      <c r="C2197" s="8"/>
      <c r="D2197" s="8"/>
      <c r="E2197" s="8"/>
      <c r="F2197" t="str" s="15">
        <f aca="0">IF(B2197="","",IF(H2197="","확인필요(입력누락)",IF(SUMPRODUCT((실물목록!$P$2:$P$1001&lt;&gt;"")*ISNUMBER(SEARCH(실물목록!$P$2:$P$1001,I2197))*(실물목록!$Q$2:$Q$1001&lt;&gt;"")*ISNUMBER(SEARCH(실물목록!$Q$2:$Q$1001,I2197))*(실물목록!$R$2:$R$1001="")*(실물목록!$O$2:$O$1001&lt;&gt;"")*(실물목록!$O$2:$O$1001=H2197))&gt;0,"실물 있음",IF(SUMPRODUCT((실물목록!$P$2:$P$1001&lt;&gt;"")*ISNUMBER(SEARCH(실물목록!$P$2:$P$1001,I2197))*(실물목록!$R$2:$R$1001&lt;&gt;""))&gt;0,"확인필요(입력누락)",IF(SUMPRODUCT((실물목록!$P$2:$P$1001&lt;&gt;"")*ISNUMBER(SEARCH(실물목록!$P$2:$P$1001,I2197))*(실물목록!$Q$2:$Q$1001&lt;&gt;"")*ISNUMBER(SEARCH(실물목록!$Q$2:$Q$1001,I2197))*(실물목록!$R$2:$R$1001="")*(실물목록!$O$2:$O$1001&lt;&gt;""))&gt;0,"확인필요(연도다름)","실물 없음")))))</f>
      </c>
      <c r="G2197" t="n" s="16">
        <f aca="0">IF(B2197="","",SUMPRODUCT((실물목록!$P$2:$P$1001&lt;&gt;"")*ISNUMBER(SEARCH(실물목록!$P$2:$P$1001,I2197))*(실물목록!$Q$2:$Q$1001&lt;&gt;"")*ISNUMBER(SEARCH(실물목록!$Q$2:$Q$1001,I2197))*(실물목록!$R$2:$R$1001="")*(실물목록!$O$2:$O$1001&lt;&gt;"")*(실물목록!$O$2:$O$1001=H2197)))</f>
      </c>
      <c r="H2197" t="str">
        <f>IFERROR(IF(AND(LEN(SUBSTITUTE(SUBSTITUTE(SUBSTITUTE(TRIM(A2197&amp;""),CHAR(160),"")," ",""),"년",""))=4,VALUE(SUBSTITUTE(SUBSTITUTE(SUBSTITUTE(TRIM(A2197&amp;""),CHAR(160),"")," ",""),"년",""))&gt;=1900,VALUE(SUBSTITUTE(SUBSTITUTE(SUBSTITUTE(TRIM(A2197&amp;""),CHAR(160),"")," ",""),"년",""))&lt;=2099,TEXT(VALUE(SUBSTITUTE(SUBSTITUTE(SUBSTITUTE(TRIM(A2197&amp;""),CHAR(160),"")," ",""),"년","")),"0000")=SUBSTITUTE(SUBSTITUTE(SUBSTITUTE(TRIM(A2197&amp;""),CHAR(160),"")," ",""),"년","")),SUBSTITUTE(SUBSTITUTE(SUBSTITUTE(TRIM(A2197&amp;""),CHAR(160),"")," ",""),"년",""),""),"")</f>
      </c>
      <c r="I2197" t="str">
        <f>SUBSTITUTE(SUBSTITUTE(SUBSTITUTE(SUBSTITUTE(SUBSTITUTE(TRIM(B2197&amp;""),CHAR(160),"")," ",""),"초등학교","초"),"중학교","중"),"고등학교","고")</f>
      </c>
    </row>
    <row r="2198" customFormat="false" ht="15" hidden="false" customHeight="false" outlineLevel="0" collapsed="false">
      <c r="A2198" s="8"/>
      <c r="B2198" s="8"/>
      <c r="C2198" s="8"/>
      <c r="D2198" s="8"/>
      <c r="E2198" s="8"/>
      <c r="F2198" t="str" s="15">
        <f aca="0">IF(B2198="","",IF(H2198="","확인필요(입력누락)",IF(SUMPRODUCT((실물목록!$P$2:$P$1001&lt;&gt;"")*ISNUMBER(SEARCH(실물목록!$P$2:$P$1001,I2198))*(실물목록!$Q$2:$Q$1001&lt;&gt;"")*ISNUMBER(SEARCH(실물목록!$Q$2:$Q$1001,I2198))*(실물목록!$R$2:$R$1001="")*(실물목록!$O$2:$O$1001&lt;&gt;"")*(실물목록!$O$2:$O$1001=H2198))&gt;0,"실물 있음",IF(SUMPRODUCT((실물목록!$P$2:$P$1001&lt;&gt;"")*ISNUMBER(SEARCH(실물목록!$P$2:$P$1001,I2198))*(실물목록!$R$2:$R$1001&lt;&gt;""))&gt;0,"확인필요(입력누락)",IF(SUMPRODUCT((실물목록!$P$2:$P$1001&lt;&gt;"")*ISNUMBER(SEARCH(실물목록!$P$2:$P$1001,I2198))*(실물목록!$Q$2:$Q$1001&lt;&gt;"")*ISNUMBER(SEARCH(실물목록!$Q$2:$Q$1001,I2198))*(실물목록!$R$2:$R$1001="")*(실물목록!$O$2:$O$1001&lt;&gt;""))&gt;0,"확인필요(연도다름)","실물 없음")))))</f>
      </c>
      <c r="G2198" t="n" s="16">
        <f aca="0">IF(B2198="","",SUMPRODUCT((실물목록!$P$2:$P$1001&lt;&gt;"")*ISNUMBER(SEARCH(실물목록!$P$2:$P$1001,I2198))*(실물목록!$Q$2:$Q$1001&lt;&gt;"")*ISNUMBER(SEARCH(실물목록!$Q$2:$Q$1001,I2198))*(실물목록!$R$2:$R$1001="")*(실물목록!$O$2:$O$1001&lt;&gt;"")*(실물목록!$O$2:$O$1001=H2198)))</f>
      </c>
      <c r="H2198" t="str">
        <f>IFERROR(IF(AND(LEN(SUBSTITUTE(SUBSTITUTE(SUBSTITUTE(TRIM(A2198&amp;""),CHAR(160),"")," ",""),"년",""))=4,VALUE(SUBSTITUTE(SUBSTITUTE(SUBSTITUTE(TRIM(A2198&amp;""),CHAR(160),"")," ",""),"년",""))&gt;=1900,VALUE(SUBSTITUTE(SUBSTITUTE(SUBSTITUTE(TRIM(A2198&amp;""),CHAR(160),"")," ",""),"년",""))&lt;=2099,TEXT(VALUE(SUBSTITUTE(SUBSTITUTE(SUBSTITUTE(TRIM(A2198&amp;""),CHAR(160),"")," ",""),"년","")),"0000")=SUBSTITUTE(SUBSTITUTE(SUBSTITUTE(TRIM(A2198&amp;""),CHAR(160),"")," ",""),"년","")),SUBSTITUTE(SUBSTITUTE(SUBSTITUTE(TRIM(A2198&amp;""),CHAR(160),"")," ",""),"년",""),""),"")</f>
      </c>
      <c r="I2198" t="str">
        <f>SUBSTITUTE(SUBSTITUTE(SUBSTITUTE(SUBSTITUTE(SUBSTITUTE(TRIM(B2198&amp;""),CHAR(160),"")," ",""),"초등학교","초"),"중학교","중"),"고등학교","고")</f>
      </c>
    </row>
    <row r="2199" customFormat="false" ht="15" hidden="false" customHeight="false" outlineLevel="0" collapsed="false">
      <c r="A2199" s="8"/>
      <c r="B2199" s="8"/>
      <c r="C2199" s="8"/>
      <c r="D2199" s="8"/>
      <c r="E2199" s="8"/>
      <c r="F2199" t="str" s="15">
        <f aca="0">IF(B2199="","",IF(H2199="","확인필요(입력누락)",IF(SUMPRODUCT((실물목록!$P$2:$P$1001&lt;&gt;"")*ISNUMBER(SEARCH(실물목록!$P$2:$P$1001,I2199))*(실물목록!$Q$2:$Q$1001&lt;&gt;"")*ISNUMBER(SEARCH(실물목록!$Q$2:$Q$1001,I2199))*(실물목록!$R$2:$R$1001="")*(실물목록!$O$2:$O$1001&lt;&gt;"")*(실물목록!$O$2:$O$1001=H2199))&gt;0,"실물 있음",IF(SUMPRODUCT((실물목록!$P$2:$P$1001&lt;&gt;"")*ISNUMBER(SEARCH(실물목록!$P$2:$P$1001,I2199))*(실물목록!$R$2:$R$1001&lt;&gt;""))&gt;0,"확인필요(입력누락)",IF(SUMPRODUCT((실물목록!$P$2:$P$1001&lt;&gt;"")*ISNUMBER(SEARCH(실물목록!$P$2:$P$1001,I2199))*(실물목록!$Q$2:$Q$1001&lt;&gt;"")*ISNUMBER(SEARCH(실물목록!$Q$2:$Q$1001,I2199))*(실물목록!$R$2:$R$1001="")*(실물목록!$O$2:$O$1001&lt;&gt;""))&gt;0,"확인필요(연도다름)","실물 없음")))))</f>
      </c>
      <c r="G2199" t="n" s="16">
        <f aca="0">IF(B2199="","",SUMPRODUCT((실물목록!$P$2:$P$1001&lt;&gt;"")*ISNUMBER(SEARCH(실물목록!$P$2:$P$1001,I2199))*(실물목록!$Q$2:$Q$1001&lt;&gt;"")*ISNUMBER(SEARCH(실물목록!$Q$2:$Q$1001,I2199))*(실물목록!$R$2:$R$1001="")*(실물목록!$O$2:$O$1001&lt;&gt;"")*(실물목록!$O$2:$O$1001=H2199)))</f>
      </c>
      <c r="H2199" t="str">
        <f>IFERROR(IF(AND(LEN(SUBSTITUTE(SUBSTITUTE(SUBSTITUTE(TRIM(A2199&amp;""),CHAR(160),"")," ",""),"년",""))=4,VALUE(SUBSTITUTE(SUBSTITUTE(SUBSTITUTE(TRIM(A2199&amp;""),CHAR(160),"")," ",""),"년",""))&gt;=1900,VALUE(SUBSTITUTE(SUBSTITUTE(SUBSTITUTE(TRIM(A2199&amp;""),CHAR(160),"")," ",""),"년",""))&lt;=2099,TEXT(VALUE(SUBSTITUTE(SUBSTITUTE(SUBSTITUTE(TRIM(A2199&amp;""),CHAR(160),"")," ",""),"년","")),"0000")=SUBSTITUTE(SUBSTITUTE(SUBSTITUTE(TRIM(A2199&amp;""),CHAR(160),"")," ",""),"년","")),SUBSTITUTE(SUBSTITUTE(SUBSTITUTE(TRIM(A2199&amp;""),CHAR(160),"")," ",""),"년",""),""),"")</f>
      </c>
      <c r="I2199" t="str">
        <f>SUBSTITUTE(SUBSTITUTE(SUBSTITUTE(SUBSTITUTE(SUBSTITUTE(TRIM(B2199&amp;""),CHAR(160),"")," ",""),"초등학교","초"),"중학교","중"),"고등학교","고")</f>
      </c>
    </row>
    <row r="2200" customFormat="false" ht="15" hidden="false" customHeight="false" outlineLevel="0" collapsed="false">
      <c r="A2200" s="8"/>
      <c r="B2200" s="8"/>
      <c r="C2200" s="8"/>
      <c r="D2200" s="8"/>
      <c r="E2200" s="8"/>
      <c r="F2200" t="str" s="15">
        <f aca="0">IF(B2200="","",IF(H2200="","확인필요(입력누락)",IF(SUMPRODUCT((실물목록!$P$2:$P$1001&lt;&gt;"")*ISNUMBER(SEARCH(실물목록!$P$2:$P$1001,I2200))*(실물목록!$Q$2:$Q$1001&lt;&gt;"")*ISNUMBER(SEARCH(실물목록!$Q$2:$Q$1001,I2200))*(실물목록!$R$2:$R$1001="")*(실물목록!$O$2:$O$1001&lt;&gt;"")*(실물목록!$O$2:$O$1001=H2200))&gt;0,"실물 있음",IF(SUMPRODUCT((실물목록!$P$2:$P$1001&lt;&gt;"")*ISNUMBER(SEARCH(실물목록!$P$2:$P$1001,I2200))*(실물목록!$R$2:$R$1001&lt;&gt;""))&gt;0,"확인필요(입력누락)",IF(SUMPRODUCT((실물목록!$P$2:$P$1001&lt;&gt;"")*ISNUMBER(SEARCH(실물목록!$P$2:$P$1001,I2200))*(실물목록!$Q$2:$Q$1001&lt;&gt;"")*ISNUMBER(SEARCH(실물목록!$Q$2:$Q$1001,I2200))*(실물목록!$R$2:$R$1001="")*(실물목록!$O$2:$O$1001&lt;&gt;""))&gt;0,"확인필요(연도다름)","실물 없음")))))</f>
      </c>
      <c r="G2200" t="n" s="16">
        <f aca="0">IF(B2200="","",SUMPRODUCT((실물목록!$P$2:$P$1001&lt;&gt;"")*ISNUMBER(SEARCH(실물목록!$P$2:$P$1001,I2200))*(실물목록!$Q$2:$Q$1001&lt;&gt;"")*ISNUMBER(SEARCH(실물목록!$Q$2:$Q$1001,I2200))*(실물목록!$R$2:$R$1001="")*(실물목록!$O$2:$O$1001&lt;&gt;"")*(실물목록!$O$2:$O$1001=H2200)))</f>
      </c>
      <c r="H2200" t="str">
        <f>IFERROR(IF(AND(LEN(SUBSTITUTE(SUBSTITUTE(SUBSTITUTE(TRIM(A2200&amp;""),CHAR(160),"")," ",""),"년",""))=4,VALUE(SUBSTITUTE(SUBSTITUTE(SUBSTITUTE(TRIM(A2200&amp;""),CHAR(160),"")," ",""),"년",""))&gt;=1900,VALUE(SUBSTITUTE(SUBSTITUTE(SUBSTITUTE(TRIM(A2200&amp;""),CHAR(160),"")," ",""),"년",""))&lt;=2099,TEXT(VALUE(SUBSTITUTE(SUBSTITUTE(SUBSTITUTE(TRIM(A2200&amp;""),CHAR(160),"")," ",""),"년","")),"0000")=SUBSTITUTE(SUBSTITUTE(SUBSTITUTE(TRIM(A2200&amp;""),CHAR(160),"")," ",""),"년","")),SUBSTITUTE(SUBSTITUTE(SUBSTITUTE(TRIM(A2200&amp;""),CHAR(160),"")," ",""),"년",""),""),"")</f>
      </c>
      <c r="I2200" t="str">
        <f>SUBSTITUTE(SUBSTITUTE(SUBSTITUTE(SUBSTITUTE(SUBSTITUTE(TRIM(B2200&amp;""),CHAR(160),"")," ",""),"초등학교","초"),"중학교","중"),"고등학교","고")</f>
      </c>
    </row>
    <row r="2201" customFormat="false" ht="15" hidden="false" customHeight="false" outlineLevel="0" collapsed="false">
      <c r="A2201" s="8"/>
      <c r="B2201" s="8"/>
      <c r="C2201" s="8"/>
      <c r="D2201" s="8"/>
      <c r="E2201" s="8"/>
      <c r="F2201" t="str" s="15">
        <f aca="0">IF(B2201="","",IF(H2201="","확인필요(입력누락)",IF(SUMPRODUCT((실물목록!$P$2:$P$1001&lt;&gt;"")*ISNUMBER(SEARCH(실물목록!$P$2:$P$1001,I2201))*(실물목록!$Q$2:$Q$1001&lt;&gt;"")*ISNUMBER(SEARCH(실물목록!$Q$2:$Q$1001,I2201))*(실물목록!$R$2:$R$1001="")*(실물목록!$O$2:$O$1001&lt;&gt;"")*(실물목록!$O$2:$O$1001=H2201))&gt;0,"실물 있음",IF(SUMPRODUCT((실물목록!$P$2:$P$1001&lt;&gt;"")*ISNUMBER(SEARCH(실물목록!$P$2:$P$1001,I2201))*(실물목록!$R$2:$R$1001&lt;&gt;""))&gt;0,"확인필요(입력누락)",IF(SUMPRODUCT((실물목록!$P$2:$P$1001&lt;&gt;"")*ISNUMBER(SEARCH(실물목록!$P$2:$P$1001,I2201))*(실물목록!$Q$2:$Q$1001&lt;&gt;"")*ISNUMBER(SEARCH(실물목록!$Q$2:$Q$1001,I2201))*(실물목록!$R$2:$R$1001="")*(실물목록!$O$2:$O$1001&lt;&gt;""))&gt;0,"확인필요(연도다름)","실물 없음")))))</f>
      </c>
      <c r="G2201" t="n" s="16">
        <f aca="0">IF(B2201="","",SUMPRODUCT((실물목록!$P$2:$P$1001&lt;&gt;"")*ISNUMBER(SEARCH(실물목록!$P$2:$P$1001,I2201))*(실물목록!$Q$2:$Q$1001&lt;&gt;"")*ISNUMBER(SEARCH(실물목록!$Q$2:$Q$1001,I2201))*(실물목록!$R$2:$R$1001="")*(실물목록!$O$2:$O$1001&lt;&gt;"")*(실물목록!$O$2:$O$1001=H2201)))</f>
      </c>
      <c r="H2201" t="str">
        <f>IFERROR(IF(AND(LEN(SUBSTITUTE(SUBSTITUTE(SUBSTITUTE(TRIM(A2201&amp;""),CHAR(160),"")," ",""),"년",""))=4,VALUE(SUBSTITUTE(SUBSTITUTE(SUBSTITUTE(TRIM(A2201&amp;""),CHAR(160),"")," ",""),"년",""))&gt;=1900,VALUE(SUBSTITUTE(SUBSTITUTE(SUBSTITUTE(TRIM(A2201&amp;""),CHAR(160),"")," ",""),"년",""))&lt;=2099,TEXT(VALUE(SUBSTITUTE(SUBSTITUTE(SUBSTITUTE(TRIM(A2201&amp;""),CHAR(160),"")," ",""),"년","")),"0000")=SUBSTITUTE(SUBSTITUTE(SUBSTITUTE(TRIM(A2201&amp;""),CHAR(160),"")," ",""),"년","")),SUBSTITUTE(SUBSTITUTE(SUBSTITUTE(TRIM(A2201&amp;""),CHAR(160),"")," ",""),"년",""),""),"")</f>
      </c>
      <c r="I2201" t="str">
        <f>SUBSTITUTE(SUBSTITUTE(SUBSTITUTE(SUBSTITUTE(SUBSTITUTE(TRIM(B2201&amp;""),CHAR(160),"")," ",""),"초등학교","초"),"중학교","중"),"고등학교","고")</f>
      </c>
    </row>
    <row r="2202" customFormat="false" ht="15" hidden="false" customHeight="false" outlineLevel="0" collapsed="false">
      <c r="A2202" s="8"/>
      <c r="B2202" s="8"/>
      <c r="C2202" s="8"/>
      <c r="D2202" s="8"/>
      <c r="E2202" s="8"/>
      <c r="F2202" t="str" s="15">
        <f aca="0">IF(B2202="","",IF(H2202="","확인필요(입력누락)",IF(SUMPRODUCT((실물목록!$P$2:$P$1001&lt;&gt;"")*ISNUMBER(SEARCH(실물목록!$P$2:$P$1001,I2202))*(실물목록!$Q$2:$Q$1001&lt;&gt;"")*ISNUMBER(SEARCH(실물목록!$Q$2:$Q$1001,I2202))*(실물목록!$R$2:$R$1001="")*(실물목록!$O$2:$O$1001&lt;&gt;"")*(실물목록!$O$2:$O$1001=H2202))&gt;0,"실물 있음",IF(SUMPRODUCT((실물목록!$P$2:$P$1001&lt;&gt;"")*ISNUMBER(SEARCH(실물목록!$P$2:$P$1001,I2202))*(실물목록!$R$2:$R$1001&lt;&gt;""))&gt;0,"확인필요(입력누락)",IF(SUMPRODUCT((실물목록!$P$2:$P$1001&lt;&gt;"")*ISNUMBER(SEARCH(실물목록!$P$2:$P$1001,I2202))*(실물목록!$Q$2:$Q$1001&lt;&gt;"")*ISNUMBER(SEARCH(실물목록!$Q$2:$Q$1001,I2202))*(실물목록!$R$2:$R$1001="")*(실물목록!$O$2:$O$1001&lt;&gt;""))&gt;0,"확인필요(연도다름)","실물 없음")))))</f>
      </c>
      <c r="G2202" t="n" s="16">
        <f aca="0">IF(B2202="","",SUMPRODUCT((실물목록!$P$2:$P$1001&lt;&gt;"")*ISNUMBER(SEARCH(실물목록!$P$2:$P$1001,I2202))*(실물목록!$Q$2:$Q$1001&lt;&gt;"")*ISNUMBER(SEARCH(실물목록!$Q$2:$Q$1001,I2202))*(실물목록!$R$2:$R$1001="")*(실물목록!$O$2:$O$1001&lt;&gt;"")*(실물목록!$O$2:$O$1001=H2202)))</f>
      </c>
      <c r="H2202" t="str">
        <f>IFERROR(IF(AND(LEN(SUBSTITUTE(SUBSTITUTE(SUBSTITUTE(TRIM(A2202&amp;""),CHAR(160),"")," ",""),"년",""))=4,VALUE(SUBSTITUTE(SUBSTITUTE(SUBSTITUTE(TRIM(A2202&amp;""),CHAR(160),"")," ",""),"년",""))&gt;=1900,VALUE(SUBSTITUTE(SUBSTITUTE(SUBSTITUTE(TRIM(A2202&amp;""),CHAR(160),"")," ",""),"년",""))&lt;=2099,TEXT(VALUE(SUBSTITUTE(SUBSTITUTE(SUBSTITUTE(TRIM(A2202&amp;""),CHAR(160),"")," ",""),"년","")),"0000")=SUBSTITUTE(SUBSTITUTE(SUBSTITUTE(TRIM(A2202&amp;""),CHAR(160),"")," ",""),"년","")),SUBSTITUTE(SUBSTITUTE(SUBSTITUTE(TRIM(A2202&amp;""),CHAR(160),"")," ",""),"년",""),""),"")</f>
      </c>
      <c r="I2202" t="str">
        <f>SUBSTITUTE(SUBSTITUTE(SUBSTITUTE(SUBSTITUTE(SUBSTITUTE(TRIM(B2202&amp;""),CHAR(160),"")," ",""),"초등학교","초"),"중학교","중"),"고등학교","고")</f>
      </c>
    </row>
    <row r="2203" customFormat="false" ht="15" hidden="false" customHeight="false" outlineLevel="0" collapsed="false">
      <c r="A2203" s="8"/>
      <c r="B2203" s="8"/>
      <c r="C2203" s="8"/>
      <c r="D2203" s="8"/>
      <c r="E2203" s="8"/>
      <c r="F2203" t="str" s="15">
        <f aca="0">IF(B2203="","",IF(H2203="","확인필요(입력누락)",IF(SUMPRODUCT((실물목록!$P$2:$P$1001&lt;&gt;"")*ISNUMBER(SEARCH(실물목록!$P$2:$P$1001,I2203))*(실물목록!$Q$2:$Q$1001&lt;&gt;"")*ISNUMBER(SEARCH(실물목록!$Q$2:$Q$1001,I2203))*(실물목록!$R$2:$R$1001="")*(실물목록!$O$2:$O$1001&lt;&gt;"")*(실물목록!$O$2:$O$1001=H2203))&gt;0,"실물 있음",IF(SUMPRODUCT((실물목록!$P$2:$P$1001&lt;&gt;"")*ISNUMBER(SEARCH(실물목록!$P$2:$P$1001,I2203))*(실물목록!$R$2:$R$1001&lt;&gt;""))&gt;0,"확인필요(입력누락)",IF(SUMPRODUCT((실물목록!$P$2:$P$1001&lt;&gt;"")*ISNUMBER(SEARCH(실물목록!$P$2:$P$1001,I2203))*(실물목록!$Q$2:$Q$1001&lt;&gt;"")*ISNUMBER(SEARCH(실물목록!$Q$2:$Q$1001,I2203))*(실물목록!$R$2:$R$1001="")*(실물목록!$O$2:$O$1001&lt;&gt;""))&gt;0,"확인필요(연도다름)","실물 없음")))))</f>
      </c>
      <c r="G2203" t="n" s="16">
        <f aca="0">IF(B2203="","",SUMPRODUCT((실물목록!$P$2:$P$1001&lt;&gt;"")*ISNUMBER(SEARCH(실물목록!$P$2:$P$1001,I2203))*(실물목록!$Q$2:$Q$1001&lt;&gt;"")*ISNUMBER(SEARCH(실물목록!$Q$2:$Q$1001,I2203))*(실물목록!$R$2:$R$1001="")*(실물목록!$O$2:$O$1001&lt;&gt;"")*(실물목록!$O$2:$O$1001=H2203)))</f>
      </c>
      <c r="H2203" t="str">
        <f>IFERROR(IF(AND(LEN(SUBSTITUTE(SUBSTITUTE(SUBSTITUTE(TRIM(A2203&amp;""),CHAR(160),"")," ",""),"년",""))=4,VALUE(SUBSTITUTE(SUBSTITUTE(SUBSTITUTE(TRIM(A2203&amp;""),CHAR(160),"")," ",""),"년",""))&gt;=1900,VALUE(SUBSTITUTE(SUBSTITUTE(SUBSTITUTE(TRIM(A2203&amp;""),CHAR(160),"")," ",""),"년",""))&lt;=2099,TEXT(VALUE(SUBSTITUTE(SUBSTITUTE(SUBSTITUTE(TRIM(A2203&amp;""),CHAR(160),"")," ",""),"년","")),"0000")=SUBSTITUTE(SUBSTITUTE(SUBSTITUTE(TRIM(A2203&amp;""),CHAR(160),"")," ",""),"년","")),SUBSTITUTE(SUBSTITUTE(SUBSTITUTE(TRIM(A2203&amp;""),CHAR(160),"")," ",""),"년",""),""),"")</f>
      </c>
      <c r="I2203" t="str">
        <f>SUBSTITUTE(SUBSTITUTE(SUBSTITUTE(SUBSTITUTE(SUBSTITUTE(TRIM(B2203&amp;""),CHAR(160),"")," ",""),"초등학교","초"),"중학교","중"),"고등학교","고")</f>
      </c>
    </row>
    <row r="2204" customFormat="false" ht="15" hidden="false" customHeight="false" outlineLevel="0" collapsed="false">
      <c r="A2204" s="8"/>
      <c r="B2204" s="8"/>
      <c r="C2204" s="8"/>
      <c r="D2204" s="8"/>
      <c r="E2204" s="8"/>
      <c r="F2204" t="str" s="15">
        <f aca="0">IF(B2204="","",IF(H2204="","확인필요(입력누락)",IF(SUMPRODUCT((실물목록!$P$2:$P$1001&lt;&gt;"")*ISNUMBER(SEARCH(실물목록!$P$2:$P$1001,I2204))*(실물목록!$Q$2:$Q$1001&lt;&gt;"")*ISNUMBER(SEARCH(실물목록!$Q$2:$Q$1001,I2204))*(실물목록!$R$2:$R$1001="")*(실물목록!$O$2:$O$1001&lt;&gt;"")*(실물목록!$O$2:$O$1001=H2204))&gt;0,"실물 있음",IF(SUMPRODUCT((실물목록!$P$2:$P$1001&lt;&gt;"")*ISNUMBER(SEARCH(실물목록!$P$2:$P$1001,I2204))*(실물목록!$R$2:$R$1001&lt;&gt;""))&gt;0,"확인필요(입력누락)",IF(SUMPRODUCT((실물목록!$P$2:$P$1001&lt;&gt;"")*ISNUMBER(SEARCH(실물목록!$P$2:$P$1001,I2204))*(실물목록!$Q$2:$Q$1001&lt;&gt;"")*ISNUMBER(SEARCH(실물목록!$Q$2:$Q$1001,I2204))*(실물목록!$R$2:$R$1001="")*(실물목록!$O$2:$O$1001&lt;&gt;""))&gt;0,"확인필요(연도다름)","실물 없음")))))</f>
      </c>
      <c r="G2204" t="n" s="16">
        <f aca="0">IF(B2204="","",SUMPRODUCT((실물목록!$P$2:$P$1001&lt;&gt;"")*ISNUMBER(SEARCH(실물목록!$P$2:$P$1001,I2204))*(실물목록!$Q$2:$Q$1001&lt;&gt;"")*ISNUMBER(SEARCH(실물목록!$Q$2:$Q$1001,I2204))*(실물목록!$R$2:$R$1001="")*(실물목록!$O$2:$O$1001&lt;&gt;"")*(실물목록!$O$2:$O$1001=H2204)))</f>
      </c>
      <c r="H2204" t="str">
        <f>IFERROR(IF(AND(LEN(SUBSTITUTE(SUBSTITUTE(SUBSTITUTE(TRIM(A2204&amp;""),CHAR(160),"")," ",""),"년",""))=4,VALUE(SUBSTITUTE(SUBSTITUTE(SUBSTITUTE(TRIM(A2204&amp;""),CHAR(160),"")," ",""),"년",""))&gt;=1900,VALUE(SUBSTITUTE(SUBSTITUTE(SUBSTITUTE(TRIM(A2204&amp;""),CHAR(160),"")," ",""),"년",""))&lt;=2099,TEXT(VALUE(SUBSTITUTE(SUBSTITUTE(SUBSTITUTE(TRIM(A2204&amp;""),CHAR(160),"")," ",""),"년","")),"0000")=SUBSTITUTE(SUBSTITUTE(SUBSTITUTE(TRIM(A2204&amp;""),CHAR(160),"")," ",""),"년","")),SUBSTITUTE(SUBSTITUTE(SUBSTITUTE(TRIM(A2204&amp;""),CHAR(160),"")," ",""),"년",""),""),"")</f>
      </c>
      <c r="I2204" t="str">
        <f>SUBSTITUTE(SUBSTITUTE(SUBSTITUTE(SUBSTITUTE(SUBSTITUTE(TRIM(B2204&amp;""),CHAR(160),"")," ",""),"초등학교","초"),"중학교","중"),"고등학교","고")</f>
      </c>
    </row>
    <row r="2205" customFormat="false" ht="15" hidden="false" customHeight="false" outlineLevel="0" collapsed="false">
      <c r="A2205" s="8"/>
      <c r="B2205" s="8"/>
      <c r="C2205" s="8"/>
      <c r="D2205" s="8"/>
      <c r="E2205" s="8"/>
      <c r="F2205" t="str" s="15">
        <f aca="0">IF(B2205="","",IF(H2205="","확인필요(입력누락)",IF(SUMPRODUCT((실물목록!$P$2:$P$1001&lt;&gt;"")*ISNUMBER(SEARCH(실물목록!$P$2:$P$1001,I2205))*(실물목록!$Q$2:$Q$1001&lt;&gt;"")*ISNUMBER(SEARCH(실물목록!$Q$2:$Q$1001,I2205))*(실물목록!$R$2:$R$1001="")*(실물목록!$O$2:$O$1001&lt;&gt;"")*(실물목록!$O$2:$O$1001=H2205))&gt;0,"실물 있음",IF(SUMPRODUCT((실물목록!$P$2:$P$1001&lt;&gt;"")*ISNUMBER(SEARCH(실물목록!$P$2:$P$1001,I2205))*(실물목록!$R$2:$R$1001&lt;&gt;""))&gt;0,"확인필요(입력누락)",IF(SUMPRODUCT((실물목록!$P$2:$P$1001&lt;&gt;"")*ISNUMBER(SEARCH(실물목록!$P$2:$P$1001,I2205))*(실물목록!$Q$2:$Q$1001&lt;&gt;"")*ISNUMBER(SEARCH(실물목록!$Q$2:$Q$1001,I2205))*(실물목록!$R$2:$R$1001="")*(실물목록!$O$2:$O$1001&lt;&gt;""))&gt;0,"확인필요(연도다름)","실물 없음")))))</f>
      </c>
      <c r="G2205" t="n" s="16">
        <f aca="0">IF(B2205="","",SUMPRODUCT((실물목록!$P$2:$P$1001&lt;&gt;"")*ISNUMBER(SEARCH(실물목록!$P$2:$P$1001,I2205))*(실물목록!$Q$2:$Q$1001&lt;&gt;"")*ISNUMBER(SEARCH(실물목록!$Q$2:$Q$1001,I2205))*(실물목록!$R$2:$R$1001="")*(실물목록!$O$2:$O$1001&lt;&gt;"")*(실물목록!$O$2:$O$1001=H2205)))</f>
      </c>
      <c r="H2205" t="str">
        <f>IFERROR(IF(AND(LEN(SUBSTITUTE(SUBSTITUTE(SUBSTITUTE(TRIM(A2205&amp;""),CHAR(160),"")," ",""),"년",""))=4,VALUE(SUBSTITUTE(SUBSTITUTE(SUBSTITUTE(TRIM(A2205&amp;""),CHAR(160),"")," ",""),"년",""))&gt;=1900,VALUE(SUBSTITUTE(SUBSTITUTE(SUBSTITUTE(TRIM(A2205&amp;""),CHAR(160),"")," ",""),"년",""))&lt;=2099,TEXT(VALUE(SUBSTITUTE(SUBSTITUTE(SUBSTITUTE(TRIM(A2205&amp;""),CHAR(160),"")," ",""),"년","")),"0000")=SUBSTITUTE(SUBSTITUTE(SUBSTITUTE(TRIM(A2205&amp;""),CHAR(160),"")," ",""),"년","")),SUBSTITUTE(SUBSTITUTE(SUBSTITUTE(TRIM(A2205&amp;""),CHAR(160),"")," ",""),"년",""),""),"")</f>
      </c>
      <c r="I2205" t="str">
        <f>SUBSTITUTE(SUBSTITUTE(SUBSTITUTE(SUBSTITUTE(SUBSTITUTE(TRIM(B2205&amp;""),CHAR(160),"")," ",""),"초등학교","초"),"중학교","중"),"고등학교","고")</f>
      </c>
    </row>
    <row r="2206" customFormat="false" ht="15" hidden="false" customHeight="false" outlineLevel="0" collapsed="false">
      <c r="A2206" s="8"/>
      <c r="B2206" s="8"/>
      <c r="C2206" s="8"/>
      <c r="D2206" s="8"/>
      <c r="E2206" s="8"/>
      <c r="F2206" t="str" s="15">
        <f aca="0">IF(B2206="","",IF(H2206="","확인필요(입력누락)",IF(SUMPRODUCT((실물목록!$P$2:$P$1001&lt;&gt;"")*ISNUMBER(SEARCH(실물목록!$P$2:$P$1001,I2206))*(실물목록!$Q$2:$Q$1001&lt;&gt;"")*ISNUMBER(SEARCH(실물목록!$Q$2:$Q$1001,I2206))*(실물목록!$R$2:$R$1001="")*(실물목록!$O$2:$O$1001&lt;&gt;"")*(실물목록!$O$2:$O$1001=H2206))&gt;0,"실물 있음",IF(SUMPRODUCT((실물목록!$P$2:$P$1001&lt;&gt;"")*ISNUMBER(SEARCH(실물목록!$P$2:$P$1001,I2206))*(실물목록!$R$2:$R$1001&lt;&gt;""))&gt;0,"확인필요(입력누락)",IF(SUMPRODUCT((실물목록!$P$2:$P$1001&lt;&gt;"")*ISNUMBER(SEARCH(실물목록!$P$2:$P$1001,I2206))*(실물목록!$Q$2:$Q$1001&lt;&gt;"")*ISNUMBER(SEARCH(실물목록!$Q$2:$Q$1001,I2206))*(실물목록!$R$2:$R$1001="")*(실물목록!$O$2:$O$1001&lt;&gt;""))&gt;0,"확인필요(연도다름)","실물 없음")))))</f>
      </c>
      <c r="G2206" t="n" s="16">
        <f aca="0">IF(B2206="","",SUMPRODUCT((실물목록!$P$2:$P$1001&lt;&gt;"")*ISNUMBER(SEARCH(실물목록!$P$2:$P$1001,I2206))*(실물목록!$Q$2:$Q$1001&lt;&gt;"")*ISNUMBER(SEARCH(실물목록!$Q$2:$Q$1001,I2206))*(실물목록!$R$2:$R$1001="")*(실물목록!$O$2:$O$1001&lt;&gt;"")*(실물목록!$O$2:$O$1001=H2206)))</f>
      </c>
      <c r="H2206" t="str">
        <f>IFERROR(IF(AND(LEN(SUBSTITUTE(SUBSTITUTE(SUBSTITUTE(TRIM(A2206&amp;""),CHAR(160),"")," ",""),"년",""))=4,VALUE(SUBSTITUTE(SUBSTITUTE(SUBSTITUTE(TRIM(A2206&amp;""),CHAR(160),"")," ",""),"년",""))&gt;=1900,VALUE(SUBSTITUTE(SUBSTITUTE(SUBSTITUTE(TRIM(A2206&amp;""),CHAR(160),"")," ",""),"년",""))&lt;=2099,TEXT(VALUE(SUBSTITUTE(SUBSTITUTE(SUBSTITUTE(TRIM(A2206&amp;""),CHAR(160),"")," ",""),"년","")),"0000")=SUBSTITUTE(SUBSTITUTE(SUBSTITUTE(TRIM(A2206&amp;""),CHAR(160),"")," ",""),"년","")),SUBSTITUTE(SUBSTITUTE(SUBSTITUTE(TRIM(A2206&amp;""),CHAR(160),"")," ",""),"년",""),""),"")</f>
      </c>
      <c r="I2206" t="str">
        <f>SUBSTITUTE(SUBSTITUTE(SUBSTITUTE(SUBSTITUTE(SUBSTITUTE(TRIM(B2206&amp;""),CHAR(160),"")," ",""),"초등학교","초"),"중학교","중"),"고등학교","고")</f>
      </c>
    </row>
    <row r="2207" customFormat="false" ht="15" hidden="false" customHeight="false" outlineLevel="0" collapsed="false">
      <c r="A2207" s="8"/>
      <c r="B2207" s="8"/>
      <c r="C2207" s="8"/>
      <c r="D2207" s="8"/>
      <c r="E2207" s="8"/>
      <c r="F2207" t="str" s="15">
        <f aca="0">IF(B2207="","",IF(H2207="","확인필요(입력누락)",IF(SUMPRODUCT((실물목록!$P$2:$P$1001&lt;&gt;"")*ISNUMBER(SEARCH(실물목록!$P$2:$P$1001,I2207))*(실물목록!$Q$2:$Q$1001&lt;&gt;"")*ISNUMBER(SEARCH(실물목록!$Q$2:$Q$1001,I2207))*(실물목록!$R$2:$R$1001="")*(실물목록!$O$2:$O$1001&lt;&gt;"")*(실물목록!$O$2:$O$1001=H2207))&gt;0,"실물 있음",IF(SUMPRODUCT((실물목록!$P$2:$P$1001&lt;&gt;"")*ISNUMBER(SEARCH(실물목록!$P$2:$P$1001,I2207))*(실물목록!$R$2:$R$1001&lt;&gt;""))&gt;0,"확인필요(입력누락)",IF(SUMPRODUCT((실물목록!$P$2:$P$1001&lt;&gt;"")*ISNUMBER(SEARCH(실물목록!$P$2:$P$1001,I2207))*(실물목록!$Q$2:$Q$1001&lt;&gt;"")*ISNUMBER(SEARCH(실물목록!$Q$2:$Q$1001,I2207))*(실물목록!$R$2:$R$1001="")*(실물목록!$O$2:$O$1001&lt;&gt;""))&gt;0,"확인필요(연도다름)","실물 없음")))))</f>
      </c>
      <c r="G2207" t="n" s="16">
        <f aca="0">IF(B2207="","",SUMPRODUCT((실물목록!$P$2:$P$1001&lt;&gt;"")*ISNUMBER(SEARCH(실물목록!$P$2:$P$1001,I2207))*(실물목록!$Q$2:$Q$1001&lt;&gt;"")*ISNUMBER(SEARCH(실물목록!$Q$2:$Q$1001,I2207))*(실물목록!$R$2:$R$1001="")*(실물목록!$O$2:$O$1001&lt;&gt;"")*(실물목록!$O$2:$O$1001=H2207)))</f>
      </c>
      <c r="H2207" t="str">
        <f>IFERROR(IF(AND(LEN(SUBSTITUTE(SUBSTITUTE(SUBSTITUTE(TRIM(A2207&amp;""),CHAR(160),"")," ",""),"년",""))=4,VALUE(SUBSTITUTE(SUBSTITUTE(SUBSTITUTE(TRIM(A2207&amp;""),CHAR(160),"")," ",""),"년",""))&gt;=1900,VALUE(SUBSTITUTE(SUBSTITUTE(SUBSTITUTE(TRIM(A2207&amp;""),CHAR(160),"")," ",""),"년",""))&lt;=2099,TEXT(VALUE(SUBSTITUTE(SUBSTITUTE(SUBSTITUTE(TRIM(A2207&amp;""),CHAR(160),"")," ",""),"년","")),"0000")=SUBSTITUTE(SUBSTITUTE(SUBSTITUTE(TRIM(A2207&amp;""),CHAR(160),"")," ",""),"년","")),SUBSTITUTE(SUBSTITUTE(SUBSTITUTE(TRIM(A2207&amp;""),CHAR(160),"")," ",""),"년",""),""),"")</f>
      </c>
      <c r="I2207" t="str">
        <f>SUBSTITUTE(SUBSTITUTE(SUBSTITUTE(SUBSTITUTE(SUBSTITUTE(TRIM(B2207&amp;""),CHAR(160),"")," ",""),"초등학교","초"),"중학교","중"),"고등학교","고")</f>
      </c>
    </row>
    <row r="2208" customFormat="false" ht="15" hidden="false" customHeight="false" outlineLevel="0" collapsed="false">
      <c r="A2208" s="8"/>
      <c r="B2208" s="8"/>
      <c r="C2208" s="8"/>
      <c r="D2208" s="8"/>
      <c r="E2208" s="8"/>
      <c r="F2208" t="str" s="15">
        <f aca="0">IF(B2208="","",IF(H2208="","확인필요(입력누락)",IF(SUMPRODUCT((실물목록!$P$2:$P$1001&lt;&gt;"")*ISNUMBER(SEARCH(실물목록!$P$2:$P$1001,I2208))*(실물목록!$Q$2:$Q$1001&lt;&gt;"")*ISNUMBER(SEARCH(실물목록!$Q$2:$Q$1001,I2208))*(실물목록!$R$2:$R$1001="")*(실물목록!$O$2:$O$1001&lt;&gt;"")*(실물목록!$O$2:$O$1001=H2208))&gt;0,"실물 있음",IF(SUMPRODUCT((실물목록!$P$2:$P$1001&lt;&gt;"")*ISNUMBER(SEARCH(실물목록!$P$2:$P$1001,I2208))*(실물목록!$R$2:$R$1001&lt;&gt;""))&gt;0,"확인필요(입력누락)",IF(SUMPRODUCT((실물목록!$P$2:$P$1001&lt;&gt;"")*ISNUMBER(SEARCH(실물목록!$P$2:$P$1001,I2208))*(실물목록!$Q$2:$Q$1001&lt;&gt;"")*ISNUMBER(SEARCH(실물목록!$Q$2:$Q$1001,I2208))*(실물목록!$R$2:$R$1001="")*(실물목록!$O$2:$O$1001&lt;&gt;""))&gt;0,"확인필요(연도다름)","실물 없음")))))</f>
      </c>
      <c r="G2208" t="n" s="16">
        <f aca="0">IF(B2208="","",SUMPRODUCT((실물목록!$P$2:$P$1001&lt;&gt;"")*ISNUMBER(SEARCH(실물목록!$P$2:$P$1001,I2208))*(실물목록!$Q$2:$Q$1001&lt;&gt;"")*ISNUMBER(SEARCH(실물목록!$Q$2:$Q$1001,I2208))*(실물목록!$R$2:$R$1001="")*(실물목록!$O$2:$O$1001&lt;&gt;"")*(실물목록!$O$2:$O$1001=H2208)))</f>
      </c>
      <c r="H2208" t="str">
        <f>IFERROR(IF(AND(LEN(SUBSTITUTE(SUBSTITUTE(SUBSTITUTE(TRIM(A2208&amp;""),CHAR(160),"")," ",""),"년",""))=4,VALUE(SUBSTITUTE(SUBSTITUTE(SUBSTITUTE(TRIM(A2208&amp;""),CHAR(160),"")," ",""),"년",""))&gt;=1900,VALUE(SUBSTITUTE(SUBSTITUTE(SUBSTITUTE(TRIM(A2208&amp;""),CHAR(160),"")," ",""),"년",""))&lt;=2099,TEXT(VALUE(SUBSTITUTE(SUBSTITUTE(SUBSTITUTE(TRIM(A2208&amp;""),CHAR(160),"")," ",""),"년","")),"0000")=SUBSTITUTE(SUBSTITUTE(SUBSTITUTE(TRIM(A2208&amp;""),CHAR(160),"")," ",""),"년","")),SUBSTITUTE(SUBSTITUTE(SUBSTITUTE(TRIM(A2208&amp;""),CHAR(160),"")," ",""),"년",""),""),"")</f>
      </c>
      <c r="I2208" t="str">
        <f>SUBSTITUTE(SUBSTITUTE(SUBSTITUTE(SUBSTITUTE(SUBSTITUTE(TRIM(B2208&amp;""),CHAR(160),"")," ",""),"초등학교","초"),"중학교","중"),"고등학교","고")</f>
      </c>
    </row>
    <row r="2209" customFormat="false" ht="15" hidden="false" customHeight="false" outlineLevel="0" collapsed="false">
      <c r="A2209" s="8"/>
      <c r="B2209" s="8"/>
      <c r="C2209" s="8"/>
      <c r="D2209" s="8"/>
      <c r="E2209" s="8"/>
      <c r="F2209" t="str" s="15">
        <f aca="0">IF(B2209="","",IF(H2209="","확인필요(입력누락)",IF(SUMPRODUCT((실물목록!$P$2:$P$1001&lt;&gt;"")*ISNUMBER(SEARCH(실물목록!$P$2:$P$1001,I2209))*(실물목록!$Q$2:$Q$1001&lt;&gt;"")*ISNUMBER(SEARCH(실물목록!$Q$2:$Q$1001,I2209))*(실물목록!$R$2:$R$1001="")*(실물목록!$O$2:$O$1001&lt;&gt;"")*(실물목록!$O$2:$O$1001=H2209))&gt;0,"실물 있음",IF(SUMPRODUCT((실물목록!$P$2:$P$1001&lt;&gt;"")*ISNUMBER(SEARCH(실물목록!$P$2:$P$1001,I2209))*(실물목록!$R$2:$R$1001&lt;&gt;""))&gt;0,"확인필요(입력누락)",IF(SUMPRODUCT((실물목록!$P$2:$P$1001&lt;&gt;"")*ISNUMBER(SEARCH(실물목록!$P$2:$P$1001,I2209))*(실물목록!$Q$2:$Q$1001&lt;&gt;"")*ISNUMBER(SEARCH(실물목록!$Q$2:$Q$1001,I2209))*(실물목록!$R$2:$R$1001="")*(실물목록!$O$2:$O$1001&lt;&gt;""))&gt;0,"확인필요(연도다름)","실물 없음")))))</f>
      </c>
      <c r="G2209" t="n" s="16">
        <f aca="0">IF(B2209="","",SUMPRODUCT((실물목록!$P$2:$P$1001&lt;&gt;"")*ISNUMBER(SEARCH(실물목록!$P$2:$P$1001,I2209))*(실물목록!$Q$2:$Q$1001&lt;&gt;"")*ISNUMBER(SEARCH(실물목록!$Q$2:$Q$1001,I2209))*(실물목록!$R$2:$R$1001="")*(실물목록!$O$2:$O$1001&lt;&gt;"")*(실물목록!$O$2:$O$1001=H2209)))</f>
      </c>
      <c r="H2209" t="str">
        <f>IFERROR(IF(AND(LEN(SUBSTITUTE(SUBSTITUTE(SUBSTITUTE(TRIM(A2209&amp;""),CHAR(160),"")," ",""),"년",""))=4,VALUE(SUBSTITUTE(SUBSTITUTE(SUBSTITUTE(TRIM(A2209&amp;""),CHAR(160),"")," ",""),"년",""))&gt;=1900,VALUE(SUBSTITUTE(SUBSTITUTE(SUBSTITUTE(TRIM(A2209&amp;""),CHAR(160),"")," ",""),"년",""))&lt;=2099,TEXT(VALUE(SUBSTITUTE(SUBSTITUTE(SUBSTITUTE(TRIM(A2209&amp;""),CHAR(160),"")," ",""),"년","")),"0000")=SUBSTITUTE(SUBSTITUTE(SUBSTITUTE(TRIM(A2209&amp;""),CHAR(160),"")," ",""),"년","")),SUBSTITUTE(SUBSTITUTE(SUBSTITUTE(TRIM(A2209&amp;""),CHAR(160),"")," ",""),"년",""),""),"")</f>
      </c>
      <c r="I2209" t="str">
        <f>SUBSTITUTE(SUBSTITUTE(SUBSTITUTE(SUBSTITUTE(SUBSTITUTE(TRIM(B2209&amp;""),CHAR(160),"")," ",""),"초등학교","초"),"중학교","중"),"고등학교","고")</f>
      </c>
    </row>
    <row r="2210" customFormat="false" ht="15" hidden="false" customHeight="false" outlineLevel="0" collapsed="false">
      <c r="A2210" s="8"/>
      <c r="B2210" s="8"/>
      <c r="C2210" s="8"/>
      <c r="D2210" s="8"/>
      <c r="E2210" s="8"/>
      <c r="F2210" t="str" s="15">
        <f aca="0">IF(B2210="","",IF(H2210="","확인필요(입력누락)",IF(SUMPRODUCT((실물목록!$P$2:$P$1001&lt;&gt;"")*ISNUMBER(SEARCH(실물목록!$P$2:$P$1001,I2210))*(실물목록!$Q$2:$Q$1001&lt;&gt;"")*ISNUMBER(SEARCH(실물목록!$Q$2:$Q$1001,I2210))*(실물목록!$R$2:$R$1001="")*(실물목록!$O$2:$O$1001&lt;&gt;"")*(실물목록!$O$2:$O$1001=H2210))&gt;0,"실물 있음",IF(SUMPRODUCT((실물목록!$P$2:$P$1001&lt;&gt;"")*ISNUMBER(SEARCH(실물목록!$P$2:$P$1001,I2210))*(실물목록!$R$2:$R$1001&lt;&gt;""))&gt;0,"확인필요(입력누락)",IF(SUMPRODUCT((실물목록!$P$2:$P$1001&lt;&gt;"")*ISNUMBER(SEARCH(실물목록!$P$2:$P$1001,I2210))*(실물목록!$Q$2:$Q$1001&lt;&gt;"")*ISNUMBER(SEARCH(실물목록!$Q$2:$Q$1001,I2210))*(실물목록!$R$2:$R$1001="")*(실물목록!$O$2:$O$1001&lt;&gt;""))&gt;0,"확인필요(연도다름)","실물 없음")))))</f>
      </c>
      <c r="G2210" t="n" s="16">
        <f aca="0">IF(B2210="","",SUMPRODUCT((실물목록!$P$2:$P$1001&lt;&gt;"")*ISNUMBER(SEARCH(실물목록!$P$2:$P$1001,I2210))*(실물목록!$Q$2:$Q$1001&lt;&gt;"")*ISNUMBER(SEARCH(실물목록!$Q$2:$Q$1001,I2210))*(실물목록!$R$2:$R$1001="")*(실물목록!$O$2:$O$1001&lt;&gt;"")*(실물목록!$O$2:$O$1001=H2210)))</f>
      </c>
      <c r="H2210" t="str">
        <f>IFERROR(IF(AND(LEN(SUBSTITUTE(SUBSTITUTE(SUBSTITUTE(TRIM(A2210&amp;""),CHAR(160),"")," ",""),"년",""))=4,VALUE(SUBSTITUTE(SUBSTITUTE(SUBSTITUTE(TRIM(A2210&amp;""),CHAR(160),"")," ",""),"년",""))&gt;=1900,VALUE(SUBSTITUTE(SUBSTITUTE(SUBSTITUTE(TRIM(A2210&amp;""),CHAR(160),"")," ",""),"년",""))&lt;=2099,TEXT(VALUE(SUBSTITUTE(SUBSTITUTE(SUBSTITUTE(TRIM(A2210&amp;""),CHAR(160),"")," ",""),"년","")),"0000")=SUBSTITUTE(SUBSTITUTE(SUBSTITUTE(TRIM(A2210&amp;""),CHAR(160),"")," ",""),"년","")),SUBSTITUTE(SUBSTITUTE(SUBSTITUTE(TRIM(A2210&amp;""),CHAR(160),"")," ",""),"년",""),""),"")</f>
      </c>
      <c r="I2210" t="str">
        <f>SUBSTITUTE(SUBSTITUTE(SUBSTITUTE(SUBSTITUTE(SUBSTITUTE(TRIM(B2210&amp;""),CHAR(160),"")," ",""),"초등학교","초"),"중학교","중"),"고등학교","고")</f>
      </c>
    </row>
    <row r="2211" customFormat="false" ht="15" hidden="false" customHeight="false" outlineLevel="0" collapsed="false">
      <c r="A2211" s="8"/>
      <c r="B2211" s="8"/>
      <c r="C2211" s="8"/>
      <c r="D2211" s="8"/>
      <c r="E2211" s="8"/>
      <c r="F2211" t="str" s="15">
        <f aca="0">IF(B2211="","",IF(H2211="","확인필요(입력누락)",IF(SUMPRODUCT((실물목록!$P$2:$P$1001&lt;&gt;"")*ISNUMBER(SEARCH(실물목록!$P$2:$P$1001,I2211))*(실물목록!$Q$2:$Q$1001&lt;&gt;"")*ISNUMBER(SEARCH(실물목록!$Q$2:$Q$1001,I2211))*(실물목록!$R$2:$R$1001="")*(실물목록!$O$2:$O$1001&lt;&gt;"")*(실물목록!$O$2:$O$1001=H2211))&gt;0,"실물 있음",IF(SUMPRODUCT((실물목록!$P$2:$P$1001&lt;&gt;"")*ISNUMBER(SEARCH(실물목록!$P$2:$P$1001,I2211))*(실물목록!$R$2:$R$1001&lt;&gt;""))&gt;0,"확인필요(입력누락)",IF(SUMPRODUCT((실물목록!$P$2:$P$1001&lt;&gt;"")*ISNUMBER(SEARCH(실물목록!$P$2:$P$1001,I2211))*(실물목록!$Q$2:$Q$1001&lt;&gt;"")*ISNUMBER(SEARCH(실물목록!$Q$2:$Q$1001,I2211))*(실물목록!$R$2:$R$1001="")*(실물목록!$O$2:$O$1001&lt;&gt;""))&gt;0,"확인필요(연도다름)","실물 없음")))))</f>
      </c>
      <c r="G2211" t="n" s="16">
        <f aca="0">IF(B2211="","",SUMPRODUCT((실물목록!$P$2:$P$1001&lt;&gt;"")*ISNUMBER(SEARCH(실물목록!$P$2:$P$1001,I2211))*(실물목록!$Q$2:$Q$1001&lt;&gt;"")*ISNUMBER(SEARCH(실물목록!$Q$2:$Q$1001,I2211))*(실물목록!$R$2:$R$1001="")*(실물목록!$O$2:$O$1001&lt;&gt;"")*(실물목록!$O$2:$O$1001=H2211)))</f>
      </c>
      <c r="H2211" t="str">
        <f>IFERROR(IF(AND(LEN(SUBSTITUTE(SUBSTITUTE(SUBSTITUTE(TRIM(A2211&amp;""),CHAR(160),"")," ",""),"년",""))=4,VALUE(SUBSTITUTE(SUBSTITUTE(SUBSTITUTE(TRIM(A2211&amp;""),CHAR(160),"")," ",""),"년",""))&gt;=1900,VALUE(SUBSTITUTE(SUBSTITUTE(SUBSTITUTE(TRIM(A2211&amp;""),CHAR(160),"")," ",""),"년",""))&lt;=2099,TEXT(VALUE(SUBSTITUTE(SUBSTITUTE(SUBSTITUTE(TRIM(A2211&amp;""),CHAR(160),"")," ",""),"년","")),"0000")=SUBSTITUTE(SUBSTITUTE(SUBSTITUTE(TRIM(A2211&amp;""),CHAR(160),"")," ",""),"년","")),SUBSTITUTE(SUBSTITUTE(SUBSTITUTE(TRIM(A2211&amp;""),CHAR(160),"")," ",""),"년",""),""),"")</f>
      </c>
      <c r="I2211" t="str">
        <f>SUBSTITUTE(SUBSTITUTE(SUBSTITUTE(SUBSTITUTE(SUBSTITUTE(TRIM(B2211&amp;""),CHAR(160),"")," ",""),"초등학교","초"),"중학교","중"),"고등학교","고")</f>
      </c>
    </row>
    <row r="2212" customFormat="false" ht="15" hidden="false" customHeight="false" outlineLevel="0" collapsed="false">
      <c r="A2212" s="8"/>
      <c r="B2212" s="8"/>
      <c r="C2212" s="8"/>
      <c r="D2212" s="8"/>
      <c r="E2212" s="8"/>
      <c r="F2212" t="str" s="15">
        <f aca="0">IF(B2212="","",IF(H2212="","확인필요(입력누락)",IF(SUMPRODUCT((실물목록!$P$2:$P$1001&lt;&gt;"")*ISNUMBER(SEARCH(실물목록!$P$2:$P$1001,I2212))*(실물목록!$Q$2:$Q$1001&lt;&gt;"")*ISNUMBER(SEARCH(실물목록!$Q$2:$Q$1001,I2212))*(실물목록!$R$2:$R$1001="")*(실물목록!$O$2:$O$1001&lt;&gt;"")*(실물목록!$O$2:$O$1001=H2212))&gt;0,"실물 있음",IF(SUMPRODUCT((실물목록!$P$2:$P$1001&lt;&gt;"")*ISNUMBER(SEARCH(실물목록!$P$2:$P$1001,I2212))*(실물목록!$R$2:$R$1001&lt;&gt;""))&gt;0,"확인필요(입력누락)",IF(SUMPRODUCT((실물목록!$P$2:$P$1001&lt;&gt;"")*ISNUMBER(SEARCH(실물목록!$P$2:$P$1001,I2212))*(실물목록!$Q$2:$Q$1001&lt;&gt;"")*ISNUMBER(SEARCH(실물목록!$Q$2:$Q$1001,I2212))*(실물목록!$R$2:$R$1001="")*(실물목록!$O$2:$O$1001&lt;&gt;""))&gt;0,"확인필요(연도다름)","실물 없음")))))</f>
      </c>
      <c r="G2212" t="n" s="16">
        <f aca="0">IF(B2212="","",SUMPRODUCT((실물목록!$P$2:$P$1001&lt;&gt;"")*ISNUMBER(SEARCH(실물목록!$P$2:$P$1001,I2212))*(실물목록!$Q$2:$Q$1001&lt;&gt;"")*ISNUMBER(SEARCH(실물목록!$Q$2:$Q$1001,I2212))*(실물목록!$R$2:$R$1001="")*(실물목록!$O$2:$O$1001&lt;&gt;"")*(실물목록!$O$2:$O$1001=H2212)))</f>
      </c>
      <c r="H2212" t="str">
        <f>IFERROR(IF(AND(LEN(SUBSTITUTE(SUBSTITUTE(SUBSTITUTE(TRIM(A2212&amp;""),CHAR(160),"")," ",""),"년",""))=4,VALUE(SUBSTITUTE(SUBSTITUTE(SUBSTITUTE(TRIM(A2212&amp;""),CHAR(160),"")," ",""),"년",""))&gt;=1900,VALUE(SUBSTITUTE(SUBSTITUTE(SUBSTITUTE(TRIM(A2212&amp;""),CHAR(160),"")," ",""),"년",""))&lt;=2099,TEXT(VALUE(SUBSTITUTE(SUBSTITUTE(SUBSTITUTE(TRIM(A2212&amp;""),CHAR(160),"")," ",""),"년","")),"0000")=SUBSTITUTE(SUBSTITUTE(SUBSTITUTE(TRIM(A2212&amp;""),CHAR(160),"")," ",""),"년","")),SUBSTITUTE(SUBSTITUTE(SUBSTITUTE(TRIM(A2212&amp;""),CHAR(160),"")," ",""),"년",""),""),"")</f>
      </c>
      <c r="I2212" t="str">
        <f>SUBSTITUTE(SUBSTITUTE(SUBSTITUTE(SUBSTITUTE(SUBSTITUTE(TRIM(B2212&amp;""),CHAR(160),"")," ",""),"초등학교","초"),"중학교","중"),"고등학교","고")</f>
      </c>
    </row>
    <row r="2213" customFormat="false" ht="15" hidden="false" customHeight="false" outlineLevel="0" collapsed="false">
      <c r="A2213" s="8"/>
      <c r="B2213" s="8"/>
      <c r="C2213" s="8"/>
      <c r="D2213" s="8"/>
      <c r="E2213" s="8"/>
      <c r="F2213" t="str" s="15">
        <f aca="0">IF(B2213="","",IF(H2213="","확인필요(입력누락)",IF(SUMPRODUCT((실물목록!$P$2:$P$1001&lt;&gt;"")*ISNUMBER(SEARCH(실물목록!$P$2:$P$1001,I2213))*(실물목록!$Q$2:$Q$1001&lt;&gt;"")*ISNUMBER(SEARCH(실물목록!$Q$2:$Q$1001,I2213))*(실물목록!$R$2:$R$1001="")*(실물목록!$O$2:$O$1001&lt;&gt;"")*(실물목록!$O$2:$O$1001=H2213))&gt;0,"실물 있음",IF(SUMPRODUCT((실물목록!$P$2:$P$1001&lt;&gt;"")*ISNUMBER(SEARCH(실물목록!$P$2:$P$1001,I2213))*(실물목록!$R$2:$R$1001&lt;&gt;""))&gt;0,"확인필요(입력누락)",IF(SUMPRODUCT((실물목록!$P$2:$P$1001&lt;&gt;"")*ISNUMBER(SEARCH(실물목록!$P$2:$P$1001,I2213))*(실물목록!$Q$2:$Q$1001&lt;&gt;"")*ISNUMBER(SEARCH(실물목록!$Q$2:$Q$1001,I2213))*(실물목록!$R$2:$R$1001="")*(실물목록!$O$2:$O$1001&lt;&gt;""))&gt;0,"확인필요(연도다름)","실물 없음")))))</f>
      </c>
      <c r="G2213" t="n" s="16">
        <f aca="0">IF(B2213="","",SUMPRODUCT((실물목록!$P$2:$P$1001&lt;&gt;"")*ISNUMBER(SEARCH(실물목록!$P$2:$P$1001,I2213))*(실물목록!$Q$2:$Q$1001&lt;&gt;"")*ISNUMBER(SEARCH(실물목록!$Q$2:$Q$1001,I2213))*(실물목록!$R$2:$R$1001="")*(실물목록!$O$2:$O$1001&lt;&gt;"")*(실물목록!$O$2:$O$1001=H2213)))</f>
      </c>
      <c r="H2213" t="str">
        <f>IFERROR(IF(AND(LEN(SUBSTITUTE(SUBSTITUTE(SUBSTITUTE(TRIM(A2213&amp;""),CHAR(160),"")," ",""),"년",""))=4,VALUE(SUBSTITUTE(SUBSTITUTE(SUBSTITUTE(TRIM(A2213&amp;""),CHAR(160),"")," ",""),"년",""))&gt;=1900,VALUE(SUBSTITUTE(SUBSTITUTE(SUBSTITUTE(TRIM(A2213&amp;""),CHAR(160),"")," ",""),"년",""))&lt;=2099,TEXT(VALUE(SUBSTITUTE(SUBSTITUTE(SUBSTITUTE(TRIM(A2213&amp;""),CHAR(160),"")," ",""),"년","")),"0000")=SUBSTITUTE(SUBSTITUTE(SUBSTITUTE(TRIM(A2213&amp;""),CHAR(160),"")," ",""),"년","")),SUBSTITUTE(SUBSTITUTE(SUBSTITUTE(TRIM(A2213&amp;""),CHAR(160),"")," ",""),"년",""),""),"")</f>
      </c>
      <c r="I2213" t="str">
        <f>SUBSTITUTE(SUBSTITUTE(SUBSTITUTE(SUBSTITUTE(SUBSTITUTE(TRIM(B2213&amp;""),CHAR(160),"")," ",""),"초등학교","초"),"중학교","중"),"고등학교","고")</f>
      </c>
    </row>
    <row r="2214" customFormat="false" ht="15" hidden="false" customHeight="false" outlineLevel="0" collapsed="false">
      <c r="A2214" s="8"/>
      <c r="B2214" s="8"/>
      <c r="C2214" s="8"/>
      <c r="D2214" s="8"/>
      <c r="E2214" s="8"/>
      <c r="F2214" t="str" s="15">
        <f aca="0">IF(B2214="","",IF(H2214="","확인필요(입력누락)",IF(SUMPRODUCT((실물목록!$P$2:$P$1001&lt;&gt;"")*ISNUMBER(SEARCH(실물목록!$P$2:$P$1001,I2214))*(실물목록!$Q$2:$Q$1001&lt;&gt;"")*ISNUMBER(SEARCH(실물목록!$Q$2:$Q$1001,I2214))*(실물목록!$R$2:$R$1001="")*(실물목록!$O$2:$O$1001&lt;&gt;"")*(실물목록!$O$2:$O$1001=H2214))&gt;0,"실물 있음",IF(SUMPRODUCT((실물목록!$P$2:$P$1001&lt;&gt;"")*ISNUMBER(SEARCH(실물목록!$P$2:$P$1001,I2214))*(실물목록!$R$2:$R$1001&lt;&gt;""))&gt;0,"확인필요(입력누락)",IF(SUMPRODUCT((실물목록!$P$2:$P$1001&lt;&gt;"")*ISNUMBER(SEARCH(실물목록!$P$2:$P$1001,I2214))*(실물목록!$Q$2:$Q$1001&lt;&gt;"")*ISNUMBER(SEARCH(실물목록!$Q$2:$Q$1001,I2214))*(실물목록!$R$2:$R$1001="")*(실물목록!$O$2:$O$1001&lt;&gt;""))&gt;0,"확인필요(연도다름)","실물 없음")))))</f>
      </c>
      <c r="G2214" t="n" s="16">
        <f aca="0">IF(B2214="","",SUMPRODUCT((실물목록!$P$2:$P$1001&lt;&gt;"")*ISNUMBER(SEARCH(실물목록!$P$2:$P$1001,I2214))*(실물목록!$Q$2:$Q$1001&lt;&gt;"")*ISNUMBER(SEARCH(실물목록!$Q$2:$Q$1001,I2214))*(실물목록!$R$2:$R$1001="")*(실물목록!$O$2:$O$1001&lt;&gt;"")*(실물목록!$O$2:$O$1001=H2214)))</f>
      </c>
      <c r="H2214" t="str">
        <f>IFERROR(IF(AND(LEN(SUBSTITUTE(SUBSTITUTE(SUBSTITUTE(TRIM(A2214&amp;""),CHAR(160),"")," ",""),"년",""))=4,VALUE(SUBSTITUTE(SUBSTITUTE(SUBSTITUTE(TRIM(A2214&amp;""),CHAR(160),"")," ",""),"년",""))&gt;=1900,VALUE(SUBSTITUTE(SUBSTITUTE(SUBSTITUTE(TRIM(A2214&amp;""),CHAR(160),"")," ",""),"년",""))&lt;=2099,TEXT(VALUE(SUBSTITUTE(SUBSTITUTE(SUBSTITUTE(TRIM(A2214&amp;""),CHAR(160),"")," ",""),"년","")),"0000")=SUBSTITUTE(SUBSTITUTE(SUBSTITUTE(TRIM(A2214&amp;""),CHAR(160),"")," ",""),"년","")),SUBSTITUTE(SUBSTITUTE(SUBSTITUTE(TRIM(A2214&amp;""),CHAR(160),"")," ",""),"년",""),""),"")</f>
      </c>
      <c r="I2214" t="str">
        <f>SUBSTITUTE(SUBSTITUTE(SUBSTITUTE(SUBSTITUTE(SUBSTITUTE(TRIM(B2214&amp;""),CHAR(160),"")," ",""),"초등학교","초"),"중학교","중"),"고등학교","고")</f>
      </c>
    </row>
    <row r="2215" customFormat="false" ht="15" hidden="false" customHeight="false" outlineLevel="0" collapsed="false">
      <c r="A2215" s="8"/>
      <c r="B2215" s="8"/>
      <c r="C2215" s="8"/>
      <c r="D2215" s="8"/>
      <c r="E2215" s="8"/>
      <c r="F2215" t="str" s="15">
        <f aca="0">IF(B2215="","",IF(H2215="","확인필요(입력누락)",IF(SUMPRODUCT((실물목록!$P$2:$P$1001&lt;&gt;"")*ISNUMBER(SEARCH(실물목록!$P$2:$P$1001,I2215))*(실물목록!$Q$2:$Q$1001&lt;&gt;"")*ISNUMBER(SEARCH(실물목록!$Q$2:$Q$1001,I2215))*(실물목록!$R$2:$R$1001="")*(실물목록!$O$2:$O$1001&lt;&gt;"")*(실물목록!$O$2:$O$1001=H2215))&gt;0,"실물 있음",IF(SUMPRODUCT((실물목록!$P$2:$P$1001&lt;&gt;"")*ISNUMBER(SEARCH(실물목록!$P$2:$P$1001,I2215))*(실물목록!$R$2:$R$1001&lt;&gt;""))&gt;0,"확인필요(입력누락)",IF(SUMPRODUCT((실물목록!$P$2:$P$1001&lt;&gt;"")*ISNUMBER(SEARCH(실물목록!$P$2:$P$1001,I2215))*(실물목록!$Q$2:$Q$1001&lt;&gt;"")*ISNUMBER(SEARCH(실물목록!$Q$2:$Q$1001,I2215))*(실물목록!$R$2:$R$1001="")*(실물목록!$O$2:$O$1001&lt;&gt;""))&gt;0,"확인필요(연도다름)","실물 없음")))))</f>
      </c>
      <c r="G2215" t="n" s="16">
        <f aca="0">IF(B2215="","",SUMPRODUCT((실물목록!$P$2:$P$1001&lt;&gt;"")*ISNUMBER(SEARCH(실물목록!$P$2:$P$1001,I2215))*(실물목록!$Q$2:$Q$1001&lt;&gt;"")*ISNUMBER(SEARCH(실물목록!$Q$2:$Q$1001,I2215))*(실물목록!$R$2:$R$1001="")*(실물목록!$O$2:$O$1001&lt;&gt;"")*(실물목록!$O$2:$O$1001=H2215)))</f>
      </c>
      <c r="H2215" t="str">
        <f>IFERROR(IF(AND(LEN(SUBSTITUTE(SUBSTITUTE(SUBSTITUTE(TRIM(A2215&amp;""),CHAR(160),"")," ",""),"년",""))=4,VALUE(SUBSTITUTE(SUBSTITUTE(SUBSTITUTE(TRIM(A2215&amp;""),CHAR(160),"")," ",""),"년",""))&gt;=1900,VALUE(SUBSTITUTE(SUBSTITUTE(SUBSTITUTE(TRIM(A2215&amp;""),CHAR(160),"")," ",""),"년",""))&lt;=2099,TEXT(VALUE(SUBSTITUTE(SUBSTITUTE(SUBSTITUTE(TRIM(A2215&amp;""),CHAR(160),"")," ",""),"년","")),"0000")=SUBSTITUTE(SUBSTITUTE(SUBSTITUTE(TRIM(A2215&amp;""),CHAR(160),"")," ",""),"년","")),SUBSTITUTE(SUBSTITUTE(SUBSTITUTE(TRIM(A2215&amp;""),CHAR(160),"")," ",""),"년",""),""),"")</f>
      </c>
      <c r="I2215" t="str">
        <f>SUBSTITUTE(SUBSTITUTE(SUBSTITUTE(SUBSTITUTE(SUBSTITUTE(TRIM(B2215&amp;""),CHAR(160),"")," ",""),"초등학교","초"),"중학교","중"),"고등학교","고")</f>
      </c>
    </row>
    <row r="2216" customFormat="false" ht="15" hidden="false" customHeight="false" outlineLevel="0" collapsed="false">
      <c r="A2216" s="8"/>
      <c r="B2216" s="8"/>
      <c r="C2216" s="8"/>
      <c r="D2216" s="8"/>
      <c r="E2216" s="8"/>
      <c r="F2216" t="str" s="15">
        <f aca="0">IF(B2216="","",IF(H2216="","확인필요(입력누락)",IF(SUMPRODUCT((실물목록!$P$2:$P$1001&lt;&gt;"")*ISNUMBER(SEARCH(실물목록!$P$2:$P$1001,I2216))*(실물목록!$Q$2:$Q$1001&lt;&gt;"")*ISNUMBER(SEARCH(실물목록!$Q$2:$Q$1001,I2216))*(실물목록!$R$2:$R$1001="")*(실물목록!$O$2:$O$1001&lt;&gt;"")*(실물목록!$O$2:$O$1001=H2216))&gt;0,"실물 있음",IF(SUMPRODUCT((실물목록!$P$2:$P$1001&lt;&gt;"")*ISNUMBER(SEARCH(실물목록!$P$2:$P$1001,I2216))*(실물목록!$R$2:$R$1001&lt;&gt;""))&gt;0,"확인필요(입력누락)",IF(SUMPRODUCT((실물목록!$P$2:$P$1001&lt;&gt;"")*ISNUMBER(SEARCH(실물목록!$P$2:$P$1001,I2216))*(실물목록!$Q$2:$Q$1001&lt;&gt;"")*ISNUMBER(SEARCH(실물목록!$Q$2:$Q$1001,I2216))*(실물목록!$R$2:$R$1001="")*(실물목록!$O$2:$O$1001&lt;&gt;""))&gt;0,"확인필요(연도다름)","실물 없음")))))</f>
      </c>
      <c r="G2216" t="n" s="16">
        <f aca="0">IF(B2216="","",SUMPRODUCT((실물목록!$P$2:$P$1001&lt;&gt;"")*ISNUMBER(SEARCH(실물목록!$P$2:$P$1001,I2216))*(실물목록!$Q$2:$Q$1001&lt;&gt;"")*ISNUMBER(SEARCH(실물목록!$Q$2:$Q$1001,I2216))*(실물목록!$R$2:$R$1001="")*(실물목록!$O$2:$O$1001&lt;&gt;"")*(실물목록!$O$2:$O$1001=H2216)))</f>
      </c>
      <c r="H2216" t="str">
        <f>IFERROR(IF(AND(LEN(SUBSTITUTE(SUBSTITUTE(SUBSTITUTE(TRIM(A2216&amp;""),CHAR(160),"")," ",""),"년",""))=4,VALUE(SUBSTITUTE(SUBSTITUTE(SUBSTITUTE(TRIM(A2216&amp;""),CHAR(160),"")," ",""),"년",""))&gt;=1900,VALUE(SUBSTITUTE(SUBSTITUTE(SUBSTITUTE(TRIM(A2216&amp;""),CHAR(160),"")," ",""),"년",""))&lt;=2099,TEXT(VALUE(SUBSTITUTE(SUBSTITUTE(SUBSTITUTE(TRIM(A2216&amp;""),CHAR(160),"")," ",""),"년","")),"0000")=SUBSTITUTE(SUBSTITUTE(SUBSTITUTE(TRIM(A2216&amp;""),CHAR(160),"")," ",""),"년","")),SUBSTITUTE(SUBSTITUTE(SUBSTITUTE(TRIM(A2216&amp;""),CHAR(160),"")," ",""),"년",""),""),"")</f>
      </c>
      <c r="I2216" t="str">
        <f>SUBSTITUTE(SUBSTITUTE(SUBSTITUTE(SUBSTITUTE(SUBSTITUTE(TRIM(B2216&amp;""),CHAR(160),"")," ",""),"초등학교","초"),"중학교","중"),"고등학교","고")</f>
      </c>
    </row>
    <row r="2217" customFormat="false" ht="15" hidden="false" customHeight="false" outlineLevel="0" collapsed="false">
      <c r="A2217" s="8"/>
      <c r="B2217" s="8"/>
      <c r="C2217" s="8"/>
      <c r="D2217" s="8"/>
      <c r="E2217" s="8"/>
      <c r="F2217" t="str" s="15">
        <f aca="0">IF(B2217="","",IF(H2217="","확인필요(입력누락)",IF(SUMPRODUCT((실물목록!$P$2:$P$1001&lt;&gt;"")*ISNUMBER(SEARCH(실물목록!$P$2:$P$1001,I2217))*(실물목록!$Q$2:$Q$1001&lt;&gt;"")*ISNUMBER(SEARCH(실물목록!$Q$2:$Q$1001,I2217))*(실물목록!$R$2:$R$1001="")*(실물목록!$O$2:$O$1001&lt;&gt;"")*(실물목록!$O$2:$O$1001=H2217))&gt;0,"실물 있음",IF(SUMPRODUCT((실물목록!$P$2:$P$1001&lt;&gt;"")*ISNUMBER(SEARCH(실물목록!$P$2:$P$1001,I2217))*(실물목록!$R$2:$R$1001&lt;&gt;""))&gt;0,"확인필요(입력누락)",IF(SUMPRODUCT((실물목록!$P$2:$P$1001&lt;&gt;"")*ISNUMBER(SEARCH(실물목록!$P$2:$P$1001,I2217))*(실물목록!$Q$2:$Q$1001&lt;&gt;"")*ISNUMBER(SEARCH(실물목록!$Q$2:$Q$1001,I2217))*(실물목록!$R$2:$R$1001="")*(실물목록!$O$2:$O$1001&lt;&gt;""))&gt;0,"확인필요(연도다름)","실물 없음")))))</f>
      </c>
      <c r="G2217" t="n" s="16">
        <f aca="0">IF(B2217="","",SUMPRODUCT((실물목록!$P$2:$P$1001&lt;&gt;"")*ISNUMBER(SEARCH(실물목록!$P$2:$P$1001,I2217))*(실물목록!$Q$2:$Q$1001&lt;&gt;"")*ISNUMBER(SEARCH(실물목록!$Q$2:$Q$1001,I2217))*(실물목록!$R$2:$R$1001="")*(실물목록!$O$2:$O$1001&lt;&gt;"")*(실물목록!$O$2:$O$1001=H2217)))</f>
      </c>
      <c r="H2217" t="str">
        <f>IFERROR(IF(AND(LEN(SUBSTITUTE(SUBSTITUTE(SUBSTITUTE(TRIM(A2217&amp;""),CHAR(160),"")," ",""),"년",""))=4,VALUE(SUBSTITUTE(SUBSTITUTE(SUBSTITUTE(TRIM(A2217&amp;""),CHAR(160),"")," ",""),"년",""))&gt;=1900,VALUE(SUBSTITUTE(SUBSTITUTE(SUBSTITUTE(TRIM(A2217&amp;""),CHAR(160),"")," ",""),"년",""))&lt;=2099,TEXT(VALUE(SUBSTITUTE(SUBSTITUTE(SUBSTITUTE(TRIM(A2217&amp;""),CHAR(160),"")," ",""),"년","")),"0000")=SUBSTITUTE(SUBSTITUTE(SUBSTITUTE(TRIM(A2217&amp;""),CHAR(160),"")," ",""),"년","")),SUBSTITUTE(SUBSTITUTE(SUBSTITUTE(TRIM(A2217&amp;""),CHAR(160),"")," ",""),"년",""),""),"")</f>
      </c>
      <c r="I2217" t="str">
        <f>SUBSTITUTE(SUBSTITUTE(SUBSTITUTE(SUBSTITUTE(SUBSTITUTE(TRIM(B2217&amp;""),CHAR(160),"")," ",""),"초등학교","초"),"중학교","중"),"고등학교","고")</f>
      </c>
    </row>
    <row r="2218" customFormat="false" ht="15" hidden="false" customHeight="false" outlineLevel="0" collapsed="false">
      <c r="A2218" s="8"/>
      <c r="B2218" s="8"/>
      <c r="C2218" s="8"/>
      <c r="D2218" s="8"/>
      <c r="E2218" s="8"/>
      <c r="F2218" t="str" s="15">
        <f aca="0">IF(B2218="","",IF(H2218="","확인필요(입력누락)",IF(SUMPRODUCT((실물목록!$P$2:$P$1001&lt;&gt;"")*ISNUMBER(SEARCH(실물목록!$P$2:$P$1001,I2218))*(실물목록!$Q$2:$Q$1001&lt;&gt;"")*ISNUMBER(SEARCH(실물목록!$Q$2:$Q$1001,I2218))*(실물목록!$R$2:$R$1001="")*(실물목록!$O$2:$O$1001&lt;&gt;"")*(실물목록!$O$2:$O$1001=H2218))&gt;0,"실물 있음",IF(SUMPRODUCT((실물목록!$P$2:$P$1001&lt;&gt;"")*ISNUMBER(SEARCH(실물목록!$P$2:$P$1001,I2218))*(실물목록!$R$2:$R$1001&lt;&gt;""))&gt;0,"확인필요(입력누락)",IF(SUMPRODUCT((실물목록!$P$2:$P$1001&lt;&gt;"")*ISNUMBER(SEARCH(실물목록!$P$2:$P$1001,I2218))*(실물목록!$Q$2:$Q$1001&lt;&gt;"")*ISNUMBER(SEARCH(실물목록!$Q$2:$Q$1001,I2218))*(실물목록!$R$2:$R$1001="")*(실물목록!$O$2:$O$1001&lt;&gt;""))&gt;0,"확인필요(연도다름)","실물 없음")))))</f>
      </c>
      <c r="G2218" t="n" s="16">
        <f aca="0">IF(B2218="","",SUMPRODUCT((실물목록!$P$2:$P$1001&lt;&gt;"")*ISNUMBER(SEARCH(실물목록!$P$2:$P$1001,I2218))*(실물목록!$Q$2:$Q$1001&lt;&gt;"")*ISNUMBER(SEARCH(실물목록!$Q$2:$Q$1001,I2218))*(실물목록!$R$2:$R$1001="")*(실물목록!$O$2:$O$1001&lt;&gt;"")*(실물목록!$O$2:$O$1001=H2218)))</f>
      </c>
      <c r="H2218" t="str">
        <f>IFERROR(IF(AND(LEN(SUBSTITUTE(SUBSTITUTE(SUBSTITUTE(TRIM(A2218&amp;""),CHAR(160),"")," ",""),"년",""))=4,VALUE(SUBSTITUTE(SUBSTITUTE(SUBSTITUTE(TRIM(A2218&amp;""),CHAR(160),"")," ",""),"년",""))&gt;=1900,VALUE(SUBSTITUTE(SUBSTITUTE(SUBSTITUTE(TRIM(A2218&amp;""),CHAR(160),"")," ",""),"년",""))&lt;=2099,TEXT(VALUE(SUBSTITUTE(SUBSTITUTE(SUBSTITUTE(TRIM(A2218&amp;""),CHAR(160),"")," ",""),"년","")),"0000")=SUBSTITUTE(SUBSTITUTE(SUBSTITUTE(TRIM(A2218&amp;""),CHAR(160),"")," ",""),"년","")),SUBSTITUTE(SUBSTITUTE(SUBSTITUTE(TRIM(A2218&amp;""),CHAR(160),"")," ",""),"년",""),""),"")</f>
      </c>
      <c r="I2218" t="str">
        <f>SUBSTITUTE(SUBSTITUTE(SUBSTITUTE(SUBSTITUTE(SUBSTITUTE(TRIM(B2218&amp;""),CHAR(160),"")," ",""),"초등학교","초"),"중학교","중"),"고등학교","고")</f>
      </c>
    </row>
    <row r="2219" customFormat="false" ht="15" hidden="false" customHeight="false" outlineLevel="0" collapsed="false">
      <c r="A2219" s="8"/>
      <c r="B2219" s="8"/>
      <c r="C2219" s="8"/>
      <c r="D2219" s="8"/>
      <c r="E2219" s="8"/>
      <c r="F2219" t="str" s="15">
        <f aca="0">IF(B2219="","",IF(H2219="","확인필요(입력누락)",IF(SUMPRODUCT((실물목록!$P$2:$P$1001&lt;&gt;"")*ISNUMBER(SEARCH(실물목록!$P$2:$P$1001,I2219))*(실물목록!$Q$2:$Q$1001&lt;&gt;"")*ISNUMBER(SEARCH(실물목록!$Q$2:$Q$1001,I2219))*(실물목록!$R$2:$R$1001="")*(실물목록!$O$2:$O$1001&lt;&gt;"")*(실물목록!$O$2:$O$1001=H2219))&gt;0,"실물 있음",IF(SUMPRODUCT((실물목록!$P$2:$P$1001&lt;&gt;"")*ISNUMBER(SEARCH(실물목록!$P$2:$P$1001,I2219))*(실물목록!$R$2:$R$1001&lt;&gt;""))&gt;0,"확인필요(입력누락)",IF(SUMPRODUCT((실물목록!$P$2:$P$1001&lt;&gt;"")*ISNUMBER(SEARCH(실물목록!$P$2:$P$1001,I2219))*(실물목록!$Q$2:$Q$1001&lt;&gt;"")*ISNUMBER(SEARCH(실물목록!$Q$2:$Q$1001,I2219))*(실물목록!$R$2:$R$1001="")*(실물목록!$O$2:$O$1001&lt;&gt;""))&gt;0,"확인필요(연도다름)","실물 없음")))))</f>
      </c>
      <c r="G2219" t="n" s="16">
        <f aca="0">IF(B2219="","",SUMPRODUCT((실물목록!$P$2:$P$1001&lt;&gt;"")*ISNUMBER(SEARCH(실물목록!$P$2:$P$1001,I2219))*(실물목록!$Q$2:$Q$1001&lt;&gt;"")*ISNUMBER(SEARCH(실물목록!$Q$2:$Q$1001,I2219))*(실물목록!$R$2:$R$1001="")*(실물목록!$O$2:$O$1001&lt;&gt;"")*(실물목록!$O$2:$O$1001=H2219)))</f>
      </c>
      <c r="H2219" t="str">
        <f>IFERROR(IF(AND(LEN(SUBSTITUTE(SUBSTITUTE(SUBSTITUTE(TRIM(A2219&amp;""),CHAR(160),"")," ",""),"년",""))=4,VALUE(SUBSTITUTE(SUBSTITUTE(SUBSTITUTE(TRIM(A2219&amp;""),CHAR(160),"")," ",""),"년",""))&gt;=1900,VALUE(SUBSTITUTE(SUBSTITUTE(SUBSTITUTE(TRIM(A2219&amp;""),CHAR(160),"")," ",""),"년",""))&lt;=2099,TEXT(VALUE(SUBSTITUTE(SUBSTITUTE(SUBSTITUTE(TRIM(A2219&amp;""),CHAR(160),"")," ",""),"년","")),"0000")=SUBSTITUTE(SUBSTITUTE(SUBSTITUTE(TRIM(A2219&amp;""),CHAR(160),"")," ",""),"년","")),SUBSTITUTE(SUBSTITUTE(SUBSTITUTE(TRIM(A2219&amp;""),CHAR(160),"")," ",""),"년",""),""),"")</f>
      </c>
      <c r="I2219" t="str">
        <f>SUBSTITUTE(SUBSTITUTE(SUBSTITUTE(SUBSTITUTE(SUBSTITUTE(TRIM(B2219&amp;""),CHAR(160),"")," ",""),"초등학교","초"),"중학교","중"),"고등학교","고")</f>
      </c>
    </row>
    <row r="2220" customFormat="false" ht="15" hidden="false" customHeight="false" outlineLevel="0" collapsed="false">
      <c r="A2220" s="8"/>
      <c r="B2220" s="8"/>
      <c r="C2220" s="8"/>
      <c r="D2220" s="8"/>
      <c r="E2220" s="8"/>
      <c r="F2220" t="str" s="15">
        <f aca="0">IF(B2220="","",IF(H2220="","확인필요(입력누락)",IF(SUMPRODUCT((실물목록!$P$2:$P$1001&lt;&gt;"")*ISNUMBER(SEARCH(실물목록!$P$2:$P$1001,I2220))*(실물목록!$Q$2:$Q$1001&lt;&gt;"")*ISNUMBER(SEARCH(실물목록!$Q$2:$Q$1001,I2220))*(실물목록!$R$2:$R$1001="")*(실물목록!$O$2:$O$1001&lt;&gt;"")*(실물목록!$O$2:$O$1001=H2220))&gt;0,"실물 있음",IF(SUMPRODUCT((실물목록!$P$2:$P$1001&lt;&gt;"")*ISNUMBER(SEARCH(실물목록!$P$2:$P$1001,I2220))*(실물목록!$R$2:$R$1001&lt;&gt;""))&gt;0,"확인필요(입력누락)",IF(SUMPRODUCT((실물목록!$P$2:$P$1001&lt;&gt;"")*ISNUMBER(SEARCH(실물목록!$P$2:$P$1001,I2220))*(실물목록!$Q$2:$Q$1001&lt;&gt;"")*ISNUMBER(SEARCH(실물목록!$Q$2:$Q$1001,I2220))*(실물목록!$R$2:$R$1001="")*(실물목록!$O$2:$O$1001&lt;&gt;""))&gt;0,"확인필요(연도다름)","실물 없음")))))</f>
      </c>
      <c r="G2220" t="n" s="16">
        <f aca="0">IF(B2220="","",SUMPRODUCT((실물목록!$P$2:$P$1001&lt;&gt;"")*ISNUMBER(SEARCH(실물목록!$P$2:$P$1001,I2220))*(실물목록!$Q$2:$Q$1001&lt;&gt;"")*ISNUMBER(SEARCH(실물목록!$Q$2:$Q$1001,I2220))*(실물목록!$R$2:$R$1001="")*(실물목록!$O$2:$O$1001&lt;&gt;"")*(실물목록!$O$2:$O$1001=H2220)))</f>
      </c>
      <c r="H2220" t="str">
        <f>IFERROR(IF(AND(LEN(SUBSTITUTE(SUBSTITUTE(SUBSTITUTE(TRIM(A2220&amp;""),CHAR(160),"")," ",""),"년",""))=4,VALUE(SUBSTITUTE(SUBSTITUTE(SUBSTITUTE(TRIM(A2220&amp;""),CHAR(160),"")," ",""),"년",""))&gt;=1900,VALUE(SUBSTITUTE(SUBSTITUTE(SUBSTITUTE(TRIM(A2220&amp;""),CHAR(160),"")," ",""),"년",""))&lt;=2099,TEXT(VALUE(SUBSTITUTE(SUBSTITUTE(SUBSTITUTE(TRIM(A2220&amp;""),CHAR(160),"")," ",""),"년","")),"0000")=SUBSTITUTE(SUBSTITUTE(SUBSTITUTE(TRIM(A2220&amp;""),CHAR(160),"")," ",""),"년","")),SUBSTITUTE(SUBSTITUTE(SUBSTITUTE(TRIM(A2220&amp;""),CHAR(160),"")," ",""),"년",""),""),"")</f>
      </c>
      <c r="I2220" t="str">
        <f>SUBSTITUTE(SUBSTITUTE(SUBSTITUTE(SUBSTITUTE(SUBSTITUTE(TRIM(B2220&amp;""),CHAR(160),"")," ",""),"초등학교","초"),"중학교","중"),"고등학교","고")</f>
      </c>
    </row>
    <row r="2221" customFormat="false" ht="15" hidden="false" customHeight="false" outlineLevel="0" collapsed="false">
      <c r="A2221" s="8"/>
      <c r="B2221" s="8"/>
      <c r="C2221" s="8"/>
      <c r="D2221" s="8"/>
      <c r="E2221" s="8"/>
      <c r="F2221" t="str" s="15">
        <f aca="0">IF(B2221="","",IF(H2221="","확인필요(입력누락)",IF(SUMPRODUCT((실물목록!$P$2:$P$1001&lt;&gt;"")*ISNUMBER(SEARCH(실물목록!$P$2:$P$1001,I2221))*(실물목록!$Q$2:$Q$1001&lt;&gt;"")*ISNUMBER(SEARCH(실물목록!$Q$2:$Q$1001,I2221))*(실물목록!$R$2:$R$1001="")*(실물목록!$O$2:$O$1001&lt;&gt;"")*(실물목록!$O$2:$O$1001=H2221))&gt;0,"실물 있음",IF(SUMPRODUCT((실물목록!$P$2:$P$1001&lt;&gt;"")*ISNUMBER(SEARCH(실물목록!$P$2:$P$1001,I2221))*(실물목록!$R$2:$R$1001&lt;&gt;""))&gt;0,"확인필요(입력누락)",IF(SUMPRODUCT((실물목록!$P$2:$P$1001&lt;&gt;"")*ISNUMBER(SEARCH(실물목록!$P$2:$P$1001,I2221))*(실물목록!$Q$2:$Q$1001&lt;&gt;"")*ISNUMBER(SEARCH(실물목록!$Q$2:$Q$1001,I2221))*(실물목록!$R$2:$R$1001="")*(실물목록!$O$2:$O$1001&lt;&gt;""))&gt;0,"확인필요(연도다름)","실물 없음")))))</f>
      </c>
      <c r="G2221" t="n" s="16">
        <f aca="0">IF(B2221="","",SUMPRODUCT((실물목록!$P$2:$P$1001&lt;&gt;"")*ISNUMBER(SEARCH(실물목록!$P$2:$P$1001,I2221))*(실물목록!$Q$2:$Q$1001&lt;&gt;"")*ISNUMBER(SEARCH(실물목록!$Q$2:$Q$1001,I2221))*(실물목록!$R$2:$R$1001="")*(실물목록!$O$2:$O$1001&lt;&gt;"")*(실물목록!$O$2:$O$1001=H2221)))</f>
      </c>
      <c r="H2221" t="str">
        <f>IFERROR(IF(AND(LEN(SUBSTITUTE(SUBSTITUTE(SUBSTITUTE(TRIM(A2221&amp;""),CHAR(160),"")," ",""),"년",""))=4,VALUE(SUBSTITUTE(SUBSTITUTE(SUBSTITUTE(TRIM(A2221&amp;""),CHAR(160),"")," ",""),"년",""))&gt;=1900,VALUE(SUBSTITUTE(SUBSTITUTE(SUBSTITUTE(TRIM(A2221&amp;""),CHAR(160),"")," ",""),"년",""))&lt;=2099,TEXT(VALUE(SUBSTITUTE(SUBSTITUTE(SUBSTITUTE(TRIM(A2221&amp;""),CHAR(160),"")," ",""),"년","")),"0000")=SUBSTITUTE(SUBSTITUTE(SUBSTITUTE(TRIM(A2221&amp;""),CHAR(160),"")," ",""),"년","")),SUBSTITUTE(SUBSTITUTE(SUBSTITUTE(TRIM(A2221&amp;""),CHAR(160),"")," ",""),"년",""),""),"")</f>
      </c>
      <c r="I2221" t="str">
        <f>SUBSTITUTE(SUBSTITUTE(SUBSTITUTE(SUBSTITUTE(SUBSTITUTE(TRIM(B2221&amp;""),CHAR(160),"")," ",""),"초등학교","초"),"중학교","중"),"고등학교","고")</f>
      </c>
    </row>
    <row r="2222" customFormat="false" ht="15" hidden="false" customHeight="false" outlineLevel="0" collapsed="false">
      <c r="A2222" s="8"/>
      <c r="B2222" s="8"/>
      <c r="C2222" s="8"/>
      <c r="D2222" s="8"/>
      <c r="E2222" s="8"/>
      <c r="F2222" t="str" s="15">
        <f aca="0">IF(B2222="","",IF(H2222="","확인필요(입력누락)",IF(SUMPRODUCT((실물목록!$P$2:$P$1001&lt;&gt;"")*ISNUMBER(SEARCH(실물목록!$P$2:$P$1001,I2222))*(실물목록!$Q$2:$Q$1001&lt;&gt;"")*ISNUMBER(SEARCH(실물목록!$Q$2:$Q$1001,I2222))*(실물목록!$R$2:$R$1001="")*(실물목록!$O$2:$O$1001&lt;&gt;"")*(실물목록!$O$2:$O$1001=H2222))&gt;0,"실물 있음",IF(SUMPRODUCT((실물목록!$P$2:$P$1001&lt;&gt;"")*ISNUMBER(SEARCH(실물목록!$P$2:$P$1001,I2222))*(실물목록!$R$2:$R$1001&lt;&gt;""))&gt;0,"확인필요(입력누락)",IF(SUMPRODUCT((실물목록!$P$2:$P$1001&lt;&gt;"")*ISNUMBER(SEARCH(실물목록!$P$2:$P$1001,I2222))*(실물목록!$Q$2:$Q$1001&lt;&gt;"")*ISNUMBER(SEARCH(실물목록!$Q$2:$Q$1001,I2222))*(실물목록!$R$2:$R$1001="")*(실물목록!$O$2:$O$1001&lt;&gt;""))&gt;0,"확인필요(연도다름)","실물 없음")))))</f>
      </c>
      <c r="G2222" t="n" s="16">
        <f aca="0">IF(B2222="","",SUMPRODUCT((실물목록!$P$2:$P$1001&lt;&gt;"")*ISNUMBER(SEARCH(실물목록!$P$2:$P$1001,I2222))*(실물목록!$Q$2:$Q$1001&lt;&gt;"")*ISNUMBER(SEARCH(실물목록!$Q$2:$Q$1001,I2222))*(실물목록!$R$2:$R$1001="")*(실물목록!$O$2:$O$1001&lt;&gt;"")*(실물목록!$O$2:$O$1001=H2222)))</f>
      </c>
      <c r="H2222" t="str">
        <f>IFERROR(IF(AND(LEN(SUBSTITUTE(SUBSTITUTE(SUBSTITUTE(TRIM(A2222&amp;""),CHAR(160),"")," ",""),"년",""))=4,VALUE(SUBSTITUTE(SUBSTITUTE(SUBSTITUTE(TRIM(A2222&amp;""),CHAR(160),"")," ",""),"년",""))&gt;=1900,VALUE(SUBSTITUTE(SUBSTITUTE(SUBSTITUTE(TRIM(A2222&amp;""),CHAR(160),"")," ",""),"년",""))&lt;=2099,TEXT(VALUE(SUBSTITUTE(SUBSTITUTE(SUBSTITUTE(TRIM(A2222&amp;""),CHAR(160),"")," ",""),"년","")),"0000")=SUBSTITUTE(SUBSTITUTE(SUBSTITUTE(TRIM(A2222&amp;""),CHAR(160),"")," ",""),"년","")),SUBSTITUTE(SUBSTITUTE(SUBSTITUTE(TRIM(A2222&amp;""),CHAR(160),"")," ",""),"년",""),""),"")</f>
      </c>
      <c r="I2222" t="str">
        <f>SUBSTITUTE(SUBSTITUTE(SUBSTITUTE(SUBSTITUTE(SUBSTITUTE(TRIM(B2222&amp;""),CHAR(160),"")," ",""),"초등학교","초"),"중학교","중"),"고등학교","고")</f>
      </c>
    </row>
    <row r="2223" customFormat="false" ht="15" hidden="false" customHeight="false" outlineLevel="0" collapsed="false">
      <c r="A2223" s="8"/>
      <c r="B2223" s="8"/>
      <c r="C2223" s="8"/>
      <c r="D2223" s="8"/>
      <c r="E2223" s="8"/>
      <c r="F2223" t="str" s="15">
        <f aca="0">IF(B2223="","",IF(H2223="","확인필요(입력누락)",IF(SUMPRODUCT((실물목록!$P$2:$P$1001&lt;&gt;"")*ISNUMBER(SEARCH(실물목록!$P$2:$P$1001,I2223))*(실물목록!$Q$2:$Q$1001&lt;&gt;"")*ISNUMBER(SEARCH(실물목록!$Q$2:$Q$1001,I2223))*(실물목록!$R$2:$R$1001="")*(실물목록!$O$2:$O$1001&lt;&gt;"")*(실물목록!$O$2:$O$1001=H2223))&gt;0,"실물 있음",IF(SUMPRODUCT((실물목록!$P$2:$P$1001&lt;&gt;"")*ISNUMBER(SEARCH(실물목록!$P$2:$P$1001,I2223))*(실물목록!$R$2:$R$1001&lt;&gt;""))&gt;0,"확인필요(입력누락)",IF(SUMPRODUCT((실물목록!$P$2:$P$1001&lt;&gt;"")*ISNUMBER(SEARCH(실물목록!$P$2:$P$1001,I2223))*(실물목록!$Q$2:$Q$1001&lt;&gt;"")*ISNUMBER(SEARCH(실물목록!$Q$2:$Q$1001,I2223))*(실물목록!$R$2:$R$1001="")*(실물목록!$O$2:$O$1001&lt;&gt;""))&gt;0,"확인필요(연도다름)","실물 없음")))))</f>
      </c>
      <c r="G2223" t="n" s="16">
        <f aca="0">IF(B2223="","",SUMPRODUCT((실물목록!$P$2:$P$1001&lt;&gt;"")*ISNUMBER(SEARCH(실물목록!$P$2:$P$1001,I2223))*(실물목록!$Q$2:$Q$1001&lt;&gt;"")*ISNUMBER(SEARCH(실물목록!$Q$2:$Q$1001,I2223))*(실물목록!$R$2:$R$1001="")*(실물목록!$O$2:$O$1001&lt;&gt;"")*(실물목록!$O$2:$O$1001=H2223)))</f>
      </c>
      <c r="H2223" t="str">
        <f>IFERROR(IF(AND(LEN(SUBSTITUTE(SUBSTITUTE(SUBSTITUTE(TRIM(A2223&amp;""),CHAR(160),"")," ",""),"년",""))=4,VALUE(SUBSTITUTE(SUBSTITUTE(SUBSTITUTE(TRIM(A2223&amp;""),CHAR(160),"")," ",""),"년",""))&gt;=1900,VALUE(SUBSTITUTE(SUBSTITUTE(SUBSTITUTE(TRIM(A2223&amp;""),CHAR(160),"")," ",""),"년",""))&lt;=2099,TEXT(VALUE(SUBSTITUTE(SUBSTITUTE(SUBSTITUTE(TRIM(A2223&amp;""),CHAR(160),"")," ",""),"년","")),"0000")=SUBSTITUTE(SUBSTITUTE(SUBSTITUTE(TRIM(A2223&amp;""),CHAR(160),"")," ",""),"년","")),SUBSTITUTE(SUBSTITUTE(SUBSTITUTE(TRIM(A2223&amp;""),CHAR(160),"")," ",""),"년",""),""),"")</f>
      </c>
      <c r="I2223" t="str">
        <f>SUBSTITUTE(SUBSTITUTE(SUBSTITUTE(SUBSTITUTE(SUBSTITUTE(TRIM(B2223&amp;""),CHAR(160),"")," ",""),"초등학교","초"),"중학교","중"),"고등학교","고")</f>
      </c>
    </row>
    <row r="2224" customFormat="false" ht="15" hidden="false" customHeight="false" outlineLevel="0" collapsed="false">
      <c r="A2224" s="8"/>
      <c r="B2224" s="8"/>
      <c r="C2224" s="8"/>
      <c r="D2224" s="8"/>
      <c r="E2224" s="8"/>
      <c r="F2224" t="str" s="15">
        <f aca="0">IF(B2224="","",IF(H2224="","확인필요(입력누락)",IF(SUMPRODUCT((실물목록!$P$2:$P$1001&lt;&gt;"")*ISNUMBER(SEARCH(실물목록!$P$2:$P$1001,I2224))*(실물목록!$Q$2:$Q$1001&lt;&gt;"")*ISNUMBER(SEARCH(실물목록!$Q$2:$Q$1001,I2224))*(실물목록!$R$2:$R$1001="")*(실물목록!$O$2:$O$1001&lt;&gt;"")*(실물목록!$O$2:$O$1001=H2224))&gt;0,"실물 있음",IF(SUMPRODUCT((실물목록!$P$2:$P$1001&lt;&gt;"")*ISNUMBER(SEARCH(실물목록!$P$2:$P$1001,I2224))*(실물목록!$R$2:$R$1001&lt;&gt;""))&gt;0,"확인필요(입력누락)",IF(SUMPRODUCT((실물목록!$P$2:$P$1001&lt;&gt;"")*ISNUMBER(SEARCH(실물목록!$P$2:$P$1001,I2224))*(실물목록!$Q$2:$Q$1001&lt;&gt;"")*ISNUMBER(SEARCH(실물목록!$Q$2:$Q$1001,I2224))*(실물목록!$R$2:$R$1001="")*(실물목록!$O$2:$O$1001&lt;&gt;""))&gt;0,"확인필요(연도다름)","실물 없음")))))</f>
      </c>
      <c r="G2224" t="n" s="16">
        <f aca="0">IF(B2224="","",SUMPRODUCT((실물목록!$P$2:$P$1001&lt;&gt;"")*ISNUMBER(SEARCH(실물목록!$P$2:$P$1001,I2224))*(실물목록!$Q$2:$Q$1001&lt;&gt;"")*ISNUMBER(SEARCH(실물목록!$Q$2:$Q$1001,I2224))*(실물목록!$R$2:$R$1001="")*(실물목록!$O$2:$O$1001&lt;&gt;"")*(실물목록!$O$2:$O$1001=H2224)))</f>
      </c>
      <c r="H2224" t="str">
        <f>IFERROR(IF(AND(LEN(SUBSTITUTE(SUBSTITUTE(SUBSTITUTE(TRIM(A2224&amp;""),CHAR(160),"")," ",""),"년",""))=4,VALUE(SUBSTITUTE(SUBSTITUTE(SUBSTITUTE(TRIM(A2224&amp;""),CHAR(160),"")," ",""),"년",""))&gt;=1900,VALUE(SUBSTITUTE(SUBSTITUTE(SUBSTITUTE(TRIM(A2224&amp;""),CHAR(160),"")," ",""),"년",""))&lt;=2099,TEXT(VALUE(SUBSTITUTE(SUBSTITUTE(SUBSTITUTE(TRIM(A2224&amp;""),CHAR(160),"")," ",""),"년","")),"0000")=SUBSTITUTE(SUBSTITUTE(SUBSTITUTE(TRIM(A2224&amp;""),CHAR(160),"")," ",""),"년","")),SUBSTITUTE(SUBSTITUTE(SUBSTITUTE(TRIM(A2224&amp;""),CHAR(160),"")," ",""),"년",""),""),"")</f>
      </c>
      <c r="I2224" t="str">
        <f>SUBSTITUTE(SUBSTITUTE(SUBSTITUTE(SUBSTITUTE(SUBSTITUTE(TRIM(B2224&amp;""),CHAR(160),"")," ",""),"초등학교","초"),"중학교","중"),"고등학교","고")</f>
      </c>
    </row>
    <row r="2225" customFormat="false" ht="15" hidden="false" customHeight="false" outlineLevel="0" collapsed="false">
      <c r="A2225" s="8"/>
      <c r="B2225" s="8"/>
      <c r="C2225" s="8"/>
      <c r="D2225" s="8"/>
      <c r="E2225" s="8"/>
      <c r="F2225" t="str" s="15">
        <f aca="0">IF(B2225="","",IF(H2225="","확인필요(입력누락)",IF(SUMPRODUCT((실물목록!$P$2:$P$1001&lt;&gt;"")*ISNUMBER(SEARCH(실물목록!$P$2:$P$1001,I2225))*(실물목록!$Q$2:$Q$1001&lt;&gt;"")*ISNUMBER(SEARCH(실물목록!$Q$2:$Q$1001,I2225))*(실물목록!$R$2:$R$1001="")*(실물목록!$O$2:$O$1001&lt;&gt;"")*(실물목록!$O$2:$O$1001=H2225))&gt;0,"실물 있음",IF(SUMPRODUCT((실물목록!$P$2:$P$1001&lt;&gt;"")*ISNUMBER(SEARCH(실물목록!$P$2:$P$1001,I2225))*(실물목록!$R$2:$R$1001&lt;&gt;""))&gt;0,"확인필요(입력누락)",IF(SUMPRODUCT((실물목록!$P$2:$P$1001&lt;&gt;"")*ISNUMBER(SEARCH(실물목록!$P$2:$P$1001,I2225))*(실물목록!$Q$2:$Q$1001&lt;&gt;"")*ISNUMBER(SEARCH(실물목록!$Q$2:$Q$1001,I2225))*(실물목록!$R$2:$R$1001="")*(실물목록!$O$2:$O$1001&lt;&gt;""))&gt;0,"확인필요(연도다름)","실물 없음")))))</f>
      </c>
      <c r="G2225" t="n" s="16">
        <f aca="0">IF(B2225="","",SUMPRODUCT((실물목록!$P$2:$P$1001&lt;&gt;"")*ISNUMBER(SEARCH(실물목록!$P$2:$P$1001,I2225))*(실물목록!$Q$2:$Q$1001&lt;&gt;"")*ISNUMBER(SEARCH(실물목록!$Q$2:$Q$1001,I2225))*(실물목록!$R$2:$R$1001="")*(실물목록!$O$2:$O$1001&lt;&gt;"")*(실물목록!$O$2:$O$1001=H2225)))</f>
      </c>
      <c r="H2225" t="str">
        <f>IFERROR(IF(AND(LEN(SUBSTITUTE(SUBSTITUTE(SUBSTITUTE(TRIM(A2225&amp;""),CHAR(160),"")," ",""),"년",""))=4,VALUE(SUBSTITUTE(SUBSTITUTE(SUBSTITUTE(TRIM(A2225&amp;""),CHAR(160),"")," ",""),"년",""))&gt;=1900,VALUE(SUBSTITUTE(SUBSTITUTE(SUBSTITUTE(TRIM(A2225&amp;""),CHAR(160),"")," ",""),"년",""))&lt;=2099,TEXT(VALUE(SUBSTITUTE(SUBSTITUTE(SUBSTITUTE(TRIM(A2225&amp;""),CHAR(160),"")," ",""),"년","")),"0000")=SUBSTITUTE(SUBSTITUTE(SUBSTITUTE(TRIM(A2225&amp;""),CHAR(160),"")," ",""),"년","")),SUBSTITUTE(SUBSTITUTE(SUBSTITUTE(TRIM(A2225&amp;""),CHAR(160),"")," ",""),"년",""),""),"")</f>
      </c>
      <c r="I2225" t="str">
        <f>SUBSTITUTE(SUBSTITUTE(SUBSTITUTE(SUBSTITUTE(SUBSTITUTE(TRIM(B2225&amp;""),CHAR(160),"")," ",""),"초등학교","초"),"중학교","중"),"고등학교","고")</f>
      </c>
    </row>
    <row r="2226" customFormat="false" ht="15" hidden="false" customHeight="false" outlineLevel="0" collapsed="false">
      <c r="A2226" s="8"/>
      <c r="B2226" s="8"/>
      <c r="C2226" s="8"/>
      <c r="D2226" s="8"/>
      <c r="E2226" s="8"/>
      <c r="F2226" t="str" s="15">
        <f aca="0">IF(B2226="","",IF(H2226="","확인필요(입력누락)",IF(SUMPRODUCT((실물목록!$P$2:$P$1001&lt;&gt;"")*ISNUMBER(SEARCH(실물목록!$P$2:$P$1001,I2226))*(실물목록!$Q$2:$Q$1001&lt;&gt;"")*ISNUMBER(SEARCH(실물목록!$Q$2:$Q$1001,I2226))*(실물목록!$R$2:$R$1001="")*(실물목록!$O$2:$O$1001&lt;&gt;"")*(실물목록!$O$2:$O$1001=H2226))&gt;0,"실물 있음",IF(SUMPRODUCT((실물목록!$P$2:$P$1001&lt;&gt;"")*ISNUMBER(SEARCH(실물목록!$P$2:$P$1001,I2226))*(실물목록!$R$2:$R$1001&lt;&gt;""))&gt;0,"확인필요(입력누락)",IF(SUMPRODUCT((실물목록!$P$2:$P$1001&lt;&gt;"")*ISNUMBER(SEARCH(실물목록!$P$2:$P$1001,I2226))*(실물목록!$Q$2:$Q$1001&lt;&gt;"")*ISNUMBER(SEARCH(실물목록!$Q$2:$Q$1001,I2226))*(실물목록!$R$2:$R$1001="")*(실물목록!$O$2:$O$1001&lt;&gt;""))&gt;0,"확인필요(연도다름)","실물 없음")))))</f>
      </c>
      <c r="G2226" t="n" s="16">
        <f aca="0">IF(B2226="","",SUMPRODUCT((실물목록!$P$2:$P$1001&lt;&gt;"")*ISNUMBER(SEARCH(실물목록!$P$2:$P$1001,I2226))*(실물목록!$Q$2:$Q$1001&lt;&gt;"")*ISNUMBER(SEARCH(실물목록!$Q$2:$Q$1001,I2226))*(실물목록!$R$2:$R$1001="")*(실물목록!$O$2:$O$1001&lt;&gt;"")*(실물목록!$O$2:$O$1001=H2226)))</f>
      </c>
      <c r="H2226" t="str">
        <f>IFERROR(IF(AND(LEN(SUBSTITUTE(SUBSTITUTE(SUBSTITUTE(TRIM(A2226&amp;""),CHAR(160),"")," ",""),"년",""))=4,VALUE(SUBSTITUTE(SUBSTITUTE(SUBSTITUTE(TRIM(A2226&amp;""),CHAR(160),"")," ",""),"년",""))&gt;=1900,VALUE(SUBSTITUTE(SUBSTITUTE(SUBSTITUTE(TRIM(A2226&amp;""),CHAR(160),"")," ",""),"년",""))&lt;=2099,TEXT(VALUE(SUBSTITUTE(SUBSTITUTE(SUBSTITUTE(TRIM(A2226&amp;""),CHAR(160),"")," ",""),"년","")),"0000")=SUBSTITUTE(SUBSTITUTE(SUBSTITUTE(TRIM(A2226&amp;""),CHAR(160),"")," ",""),"년","")),SUBSTITUTE(SUBSTITUTE(SUBSTITUTE(TRIM(A2226&amp;""),CHAR(160),"")," ",""),"년",""),""),"")</f>
      </c>
      <c r="I2226" t="str">
        <f>SUBSTITUTE(SUBSTITUTE(SUBSTITUTE(SUBSTITUTE(SUBSTITUTE(TRIM(B2226&amp;""),CHAR(160),"")," ",""),"초등학교","초"),"중학교","중"),"고등학교","고")</f>
      </c>
    </row>
    <row r="2227" customFormat="false" ht="15" hidden="false" customHeight="false" outlineLevel="0" collapsed="false">
      <c r="A2227" s="8"/>
      <c r="B2227" s="8"/>
      <c r="C2227" s="8"/>
      <c r="D2227" s="8"/>
      <c r="E2227" s="8"/>
      <c r="F2227" t="str" s="15">
        <f aca="0">IF(B2227="","",IF(H2227="","확인필요(입력누락)",IF(SUMPRODUCT((실물목록!$P$2:$P$1001&lt;&gt;"")*ISNUMBER(SEARCH(실물목록!$P$2:$P$1001,I2227))*(실물목록!$Q$2:$Q$1001&lt;&gt;"")*ISNUMBER(SEARCH(실물목록!$Q$2:$Q$1001,I2227))*(실물목록!$R$2:$R$1001="")*(실물목록!$O$2:$O$1001&lt;&gt;"")*(실물목록!$O$2:$O$1001=H2227))&gt;0,"실물 있음",IF(SUMPRODUCT((실물목록!$P$2:$P$1001&lt;&gt;"")*ISNUMBER(SEARCH(실물목록!$P$2:$P$1001,I2227))*(실물목록!$R$2:$R$1001&lt;&gt;""))&gt;0,"확인필요(입력누락)",IF(SUMPRODUCT((실물목록!$P$2:$P$1001&lt;&gt;"")*ISNUMBER(SEARCH(실물목록!$P$2:$P$1001,I2227))*(실물목록!$Q$2:$Q$1001&lt;&gt;"")*ISNUMBER(SEARCH(실물목록!$Q$2:$Q$1001,I2227))*(실물목록!$R$2:$R$1001="")*(실물목록!$O$2:$O$1001&lt;&gt;""))&gt;0,"확인필요(연도다름)","실물 없음")))))</f>
      </c>
      <c r="G2227" t="n" s="16">
        <f aca="0">IF(B2227="","",SUMPRODUCT((실물목록!$P$2:$P$1001&lt;&gt;"")*ISNUMBER(SEARCH(실물목록!$P$2:$P$1001,I2227))*(실물목록!$Q$2:$Q$1001&lt;&gt;"")*ISNUMBER(SEARCH(실물목록!$Q$2:$Q$1001,I2227))*(실물목록!$R$2:$R$1001="")*(실물목록!$O$2:$O$1001&lt;&gt;"")*(실물목록!$O$2:$O$1001=H2227)))</f>
      </c>
      <c r="H2227" t="str">
        <f>IFERROR(IF(AND(LEN(SUBSTITUTE(SUBSTITUTE(SUBSTITUTE(TRIM(A2227&amp;""),CHAR(160),"")," ",""),"년",""))=4,VALUE(SUBSTITUTE(SUBSTITUTE(SUBSTITUTE(TRIM(A2227&amp;""),CHAR(160),"")," ",""),"년",""))&gt;=1900,VALUE(SUBSTITUTE(SUBSTITUTE(SUBSTITUTE(TRIM(A2227&amp;""),CHAR(160),"")," ",""),"년",""))&lt;=2099,TEXT(VALUE(SUBSTITUTE(SUBSTITUTE(SUBSTITUTE(TRIM(A2227&amp;""),CHAR(160),"")," ",""),"년","")),"0000")=SUBSTITUTE(SUBSTITUTE(SUBSTITUTE(TRIM(A2227&amp;""),CHAR(160),"")," ",""),"년","")),SUBSTITUTE(SUBSTITUTE(SUBSTITUTE(TRIM(A2227&amp;""),CHAR(160),"")," ",""),"년",""),""),"")</f>
      </c>
      <c r="I2227" t="str">
        <f>SUBSTITUTE(SUBSTITUTE(SUBSTITUTE(SUBSTITUTE(SUBSTITUTE(TRIM(B2227&amp;""),CHAR(160),"")," ",""),"초등학교","초"),"중학교","중"),"고등학교","고")</f>
      </c>
    </row>
    <row r="2228" customFormat="false" ht="15" hidden="false" customHeight="false" outlineLevel="0" collapsed="false">
      <c r="A2228" s="8"/>
      <c r="B2228" s="8"/>
      <c r="C2228" s="8"/>
      <c r="D2228" s="8"/>
      <c r="E2228" s="8"/>
      <c r="F2228" t="str" s="15">
        <f aca="0">IF(B2228="","",IF(H2228="","확인필요(입력누락)",IF(SUMPRODUCT((실물목록!$P$2:$P$1001&lt;&gt;"")*ISNUMBER(SEARCH(실물목록!$P$2:$P$1001,I2228))*(실물목록!$Q$2:$Q$1001&lt;&gt;"")*ISNUMBER(SEARCH(실물목록!$Q$2:$Q$1001,I2228))*(실물목록!$R$2:$R$1001="")*(실물목록!$O$2:$O$1001&lt;&gt;"")*(실물목록!$O$2:$O$1001=H2228))&gt;0,"실물 있음",IF(SUMPRODUCT((실물목록!$P$2:$P$1001&lt;&gt;"")*ISNUMBER(SEARCH(실물목록!$P$2:$P$1001,I2228))*(실물목록!$R$2:$R$1001&lt;&gt;""))&gt;0,"확인필요(입력누락)",IF(SUMPRODUCT((실물목록!$P$2:$P$1001&lt;&gt;"")*ISNUMBER(SEARCH(실물목록!$P$2:$P$1001,I2228))*(실물목록!$Q$2:$Q$1001&lt;&gt;"")*ISNUMBER(SEARCH(실물목록!$Q$2:$Q$1001,I2228))*(실물목록!$R$2:$R$1001="")*(실물목록!$O$2:$O$1001&lt;&gt;""))&gt;0,"확인필요(연도다름)","실물 없음")))))</f>
      </c>
      <c r="G2228" t="n" s="16">
        <f aca="0">IF(B2228="","",SUMPRODUCT((실물목록!$P$2:$P$1001&lt;&gt;"")*ISNUMBER(SEARCH(실물목록!$P$2:$P$1001,I2228))*(실물목록!$Q$2:$Q$1001&lt;&gt;"")*ISNUMBER(SEARCH(실물목록!$Q$2:$Q$1001,I2228))*(실물목록!$R$2:$R$1001="")*(실물목록!$O$2:$O$1001&lt;&gt;"")*(실물목록!$O$2:$O$1001=H2228)))</f>
      </c>
      <c r="H2228" t="str">
        <f>IFERROR(IF(AND(LEN(SUBSTITUTE(SUBSTITUTE(SUBSTITUTE(TRIM(A2228&amp;""),CHAR(160),"")," ",""),"년",""))=4,VALUE(SUBSTITUTE(SUBSTITUTE(SUBSTITUTE(TRIM(A2228&amp;""),CHAR(160),"")," ",""),"년",""))&gt;=1900,VALUE(SUBSTITUTE(SUBSTITUTE(SUBSTITUTE(TRIM(A2228&amp;""),CHAR(160),"")," ",""),"년",""))&lt;=2099,TEXT(VALUE(SUBSTITUTE(SUBSTITUTE(SUBSTITUTE(TRIM(A2228&amp;""),CHAR(160),"")," ",""),"년","")),"0000")=SUBSTITUTE(SUBSTITUTE(SUBSTITUTE(TRIM(A2228&amp;""),CHAR(160),"")," ",""),"년","")),SUBSTITUTE(SUBSTITUTE(SUBSTITUTE(TRIM(A2228&amp;""),CHAR(160),"")," ",""),"년",""),""),"")</f>
      </c>
      <c r="I2228" t="str">
        <f>SUBSTITUTE(SUBSTITUTE(SUBSTITUTE(SUBSTITUTE(SUBSTITUTE(TRIM(B2228&amp;""),CHAR(160),"")," ",""),"초등학교","초"),"중학교","중"),"고등학교","고")</f>
      </c>
    </row>
    <row r="2229" customFormat="false" ht="15" hidden="false" customHeight="false" outlineLevel="0" collapsed="false">
      <c r="A2229" s="8"/>
      <c r="B2229" s="8"/>
      <c r="C2229" s="8"/>
      <c r="D2229" s="8"/>
      <c r="E2229" s="8"/>
      <c r="F2229" t="str" s="15">
        <f aca="0">IF(B2229="","",IF(H2229="","확인필요(입력누락)",IF(SUMPRODUCT((실물목록!$P$2:$P$1001&lt;&gt;"")*ISNUMBER(SEARCH(실물목록!$P$2:$P$1001,I2229))*(실물목록!$Q$2:$Q$1001&lt;&gt;"")*ISNUMBER(SEARCH(실물목록!$Q$2:$Q$1001,I2229))*(실물목록!$R$2:$R$1001="")*(실물목록!$O$2:$O$1001&lt;&gt;"")*(실물목록!$O$2:$O$1001=H2229))&gt;0,"실물 있음",IF(SUMPRODUCT((실물목록!$P$2:$P$1001&lt;&gt;"")*ISNUMBER(SEARCH(실물목록!$P$2:$P$1001,I2229))*(실물목록!$R$2:$R$1001&lt;&gt;""))&gt;0,"확인필요(입력누락)",IF(SUMPRODUCT((실물목록!$P$2:$P$1001&lt;&gt;"")*ISNUMBER(SEARCH(실물목록!$P$2:$P$1001,I2229))*(실물목록!$Q$2:$Q$1001&lt;&gt;"")*ISNUMBER(SEARCH(실물목록!$Q$2:$Q$1001,I2229))*(실물목록!$R$2:$R$1001="")*(실물목록!$O$2:$O$1001&lt;&gt;""))&gt;0,"확인필요(연도다름)","실물 없음")))))</f>
      </c>
      <c r="G2229" t="n" s="16">
        <f aca="0">IF(B2229="","",SUMPRODUCT((실물목록!$P$2:$P$1001&lt;&gt;"")*ISNUMBER(SEARCH(실물목록!$P$2:$P$1001,I2229))*(실물목록!$Q$2:$Q$1001&lt;&gt;"")*ISNUMBER(SEARCH(실물목록!$Q$2:$Q$1001,I2229))*(실물목록!$R$2:$R$1001="")*(실물목록!$O$2:$O$1001&lt;&gt;"")*(실물목록!$O$2:$O$1001=H2229)))</f>
      </c>
      <c r="H2229" t="str">
        <f>IFERROR(IF(AND(LEN(SUBSTITUTE(SUBSTITUTE(SUBSTITUTE(TRIM(A2229&amp;""),CHAR(160),"")," ",""),"년",""))=4,VALUE(SUBSTITUTE(SUBSTITUTE(SUBSTITUTE(TRIM(A2229&amp;""),CHAR(160),"")," ",""),"년",""))&gt;=1900,VALUE(SUBSTITUTE(SUBSTITUTE(SUBSTITUTE(TRIM(A2229&amp;""),CHAR(160),"")," ",""),"년",""))&lt;=2099,TEXT(VALUE(SUBSTITUTE(SUBSTITUTE(SUBSTITUTE(TRIM(A2229&amp;""),CHAR(160),"")," ",""),"년","")),"0000")=SUBSTITUTE(SUBSTITUTE(SUBSTITUTE(TRIM(A2229&amp;""),CHAR(160),"")," ",""),"년","")),SUBSTITUTE(SUBSTITUTE(SUBSTITUTE(TRIM(A2229&amp;""),CHAR(160),"")," ",""),"년",""),""),"")</f>
      </c>
      <c r="I2229" t="str">
        <f>SUBSTITUTE(SUBSTITUTE(SUBSTITUTE(SUBSTITUTE(SUBSTITUTE(TRIM(B2229&amp;""),CHAR(160),"")," ",""),"초등학교","초"),"중학교","중"),"고등학교","고")</f>
      </c>
    </row>
    <row r="2230" customFormat="false" ht="15" hidden="false" customHeight="false" outlineLevel="0" collapsed="false">
      <c r="A2230" s="8"/>
      <c r="B2230" s="8"/>
      <c r="C2230" s="8"/>
      <c r="D2230" s="8"/>
      <c r="E2230" s="8"/>
      <c r="F2230" t="str" s="15">
        <f aca="0">IF(B2230="","",IF(H2230="","확인필요(입력누락)",IF(SUMPRODUCT((실물목록!$P$2:$P$1001&lt;&gt;"")*ISNUMBER(SEARCH(실물목록!$P$2:$P$1001,I2230))*(실물목록!$Q$2:$Q$1001&lt;&gt;"")*ISNUMBER(SEARCH(실물목록!$Q$2:$Q$1001,I2230))*(실물목록!$R$2:$R$1001="")*(실물목록!$O$2:$O$1001&lt;&gt;"")*(실물목록!$O$2:$O$1001=H2230))&gt;0,"실물 있음",IF(SUMPRODUCT((실물목록!$P$2:$P$1001&lt;&gt;"")*ISNUMBER(SEARCH(실물목록!$P$2:$P$1001,I2230))*(실물목록!$R$2:$R$1001&lt;&gt;""))&gt;0,"확인필요(입력누락)",IF(SUMPRODUCT((실물목록!$P$2:$P$1001&lt;&gt;"")*ISNUMBER(SEARCH(실물목록!$P$2:$P$1001,I2230))*(실물목록!$Q$2:$Q$1001&lt;&gt;"")*ISNUMBER(SEARCH(실물목록!$Q$2:$Q$1001,I2230))*(실물목록!$R$2:$R$1001="")*(실물목록!$O$2:$O$1001&lt;&gt;""))&gt;0,"확인필요(연도다름)","실물 없음")))))</f>
      </c>
      <c r="G2230" t="n" s="16">
        <f aca="0">IF(B2230="","",SUMPRODUCT((실물목록!$P$2:$P$1001&lt;&gt;"")*ISNUMBER(SEARCH(실물목록!$P$2:$P$1001,I2230))*(실물목록!$Q$2:$Q$1001&lt;&gt;"")*ISNUMBER(SEARCH(실물목록!$Q$2:$Q$1001,I2230))*(실물목록!$R$2:$R$1001="")*(실물목록!$O$2:$O$1001&lt;&gt;"")*(실물목록!$O$2:$O$1001=H2230)))</f>
      </c>
      <c r="H2230" t="str">
        <f>IFERROR(IF(AND(LEN(SUBSTITUTE(SUBSTITUTE(SUBSTITUTE(TRIM(A2230&amp;""),CHAR(160),"")," ",""),"년",""))=4,VALUE(SUBSTITUTE(SUBSTITUTE(SUBSTITUTE(TRIM(A2230&amp;""),CHAR(160),"")," ",""),"년",""))&gt;=1900,VALUE(SUBSTITUTE(SUBSTITUTE(SUBSTITUTE(TRIM(A2230&amp;""),CHAR(160),"")," ",""),"년",""))&lt;=2099,TEXT(VALUE(SUBSTITUTE(SUBSTITUTE(SUBSTITUTE(TRIM(A2230&amp;""),CHAR(160),"")," ",""),"년","")),"0000")=SUBSTITUTE(SUBSTITUTE(SUBSTITUTE(TRIM(A2230&amp;""),CHAR(160),"")," ",""),"년","")),SUBSTITUTE(SUBSTITUTE(SUBSTITUTE(TRIM(A2230&amp;""),CHAR(160),"")," ",""),"년",""),""),"")</f>
      </c>
      <c r="I2230" t="str">
        <f>SUBSTITUTE(SUBSTITUTE(SUBSTITUTE(SUBSTITUTE(SUBSTITUTE(TRIM(B2230&amp;""),CHAR(160),"")," ",""),"초등학교","초"),"중학교","중"),"고등학교","고")</f>
      </c>
    </row>
    <row r="2231" customFormat="false" ht="15" hidden="false" customHeight="false" outlineLevel="0" collapsed="false">
      <c r="A2231" s="8"/>
      <c r="B2231" s="8"/>
      <c r="C2231" s="8"/>
      <c r="D2231" s="8"/>
      <c r="E2231" s="8"/>
      <c r="F2231" t="str" s="15">
        <f aca="0">IF(B2231="","",IF(H2231="","확인필요(입력누락)",IF(SUMPRODUCT((실물목록!$P$2:$P$1001&lt;&gt;"")*ISNUMBER(SEARCH(실물목록!$P$2:$P$1001,I2231))*(실물목록!$Q$2:$Q$1001&lt;&gt;"")*ISNUMBER(SEARCH(실물목록!$Q$2:$Q$1001,I2231))*(실물목록!$R$2:$R$1001="")*(실물목록!$O$2:$O$1001&lt;&gt;"")*(실물목록!$O$2:$O$1001=H2231))&gt;0,"실물 있음",IF(SUMPRODUCT((실물목록!$P$2:$P$1001&lt;&gt;"")*ISNUMBER(SEARCH(실물목록!$P$2:$P$1001,I2231))*(실물목록!$R$2:$R$1001&lt;&gt;""))&gt;0,"확인필요(입력누락)",IF(SUMPRODUCT((실물목록!$P$2:$P$1001&lt;&gt;"")*ISNUMBER(SEARCH(실물목록!$P$2:$P$1001,I2231))*(실물목록!$Q$2:$Q$1001&lt;&gt;"")*ISNUMBER(SEARCH(실물목록!$Q$2:$Q$1001,I2231))*(실물목록!$R$2:$R$1001="")*(실물목록!$O$2:$O$1001&lt;&gt;""))&gt;0,"확인필요(연도다름)","실물 없음")))))</f>
      </c>
      <c r="G2231" t="n" s="16">
        <f aca="0">IF(B2231="","",SUMPRODUCT((실물목록!$P$2:$P$1001&lt;&gt;"")*ISNUMBER(SEARCH(실물목록!$P$2:$P$1001,I2231))*(실물목록!$Q$2:$Q$1001&lt;&gt;"")*ISNUMBER(SEARCH(실물목록!$Q$2:$Q$1001,I2231))*(실물목록!$R$2:$R$1001="")*(실물목록!$O$2:$O$1001&lt;&gt;"")*(실물목록!$O$2:$O$1001=H2231)))</f>
      </c>
      <c r="H2231" t="str">
        <f>IFERROR(IF(AND(LEN(SUBSTITUTE(SUBSTITUTE(SUBSTITUTE(TRIM(A2231&amp;""),CHAR(160),"")," ",""),"년",""))=4,VALUE(SUBSTITUTE(SUBSTITUTE(SUBSTITUTE(TRIM(A2231&amp;""),CHAR(160),"")," ",""),"년",""))&gt;=1900,VALUE(SUBSTITUTE(SUBSTITUTE(SUBSTITUTE(TRIM(A2231&amp;""),CHAR(160),"")," ",""),"년",""))&lt;=2099,TEXT(VALUE(SUBSTITUTE(SUBSTITUTE(SUBSTITUTE(TRIM(A2231&amp;""),CHAR(160),"")," ",""),"년","")),"0000")=SUBSTITUTE(SUBSTITUTE(SUBSTITUTE(TRIM(A2231&amp;""),CHAR(160),"")," ",""),"년","")),SUBSTITUTE(SUBSTITUTE(SUBSTITUTE(TRIM(A2231&amp;""),CHAR(160),"")," ",""),"년",""),""),"")</f>
      </c>
      <c r="I2231" t="str">
        <f>SUBSTITUTE(SUBSTITUTE(SUBSTITUTE(SUBSTITUTE(SUBSTITUTE(TRIM(B2231&amp;""),CHAR(160),"")," ",""),"초등학교","초"),"중학교","중"),"고등학교","고")</f>
      </c>
    </row>
    <row r="2232" customFormat="false" ht="15" hidden="false" customHeight="false" outlineLevel="0" collapsed="false">
      <c r="A2232" s="8"/>
      <c r="B2232" s="8"/>
      <c r="C2232" s="8"/>
      <c r="D2232" s="8"/>
      <c r="E2232" s="8"/>
      <c r="F2232" t="str" s="15">
        <f aca="0">IF(B2232="","",IF(H2232="","확인필요(입력누락)",IF(SUMPRODUCT((실물목록!$P$2:$P$1001&lt;&gt;"")*ISNUMBER(SEARCH(실물목록!$P$2:$P$1001,I2232))*(실물목록!$Q$2:$Q$1001&lt;&gt;"")*ISNUMBER(SEARCH(실물목록!$Q$2:$Q$1001,I2232))*(실물목록!$R$2:$R$1001="")*(실물목록!$O$2:$O$1001&lt;&gt;"")*(실물목록!$O$2:$O$1001=H2232))&gt;0,"실물 있음",IF(SUMPRODUCT((실물목록!$P$2:$P$1001&lt;&gt;"")*ISNUMBER(SEARCH(실물목록!$P$2:$P$1001,I2232))*(실물목록!$R$2:$R$1001&lt;&gt;""))&gt;0,"확인필요(입력누락)",IF(SUMPRODUCT((실물목록!$P$2:$P$1001&lt;&gt;"")*ISNUMBER(SEARCH(실물목록!$P$2:$P$1001,I2232))*(실물목록!$Q$2:$Q$1001&lt;&gt;"")*ISNUMBER(SEARCH(실물목록!$Q$2:$Q$1001,I2232))*(실물목록!$R$2:$R$1001="")*(실물목록!$O$2:$O$1001&lt;&gt;""))&gt;0,"확인필요(연도다름)","실물 없음")))))</f>
      </c>
      <c r="G2232" t="n" s="16">
        <f aca="0">IF(B2232="","",SUMPRODUCT((실물목록!$P$2:$P$1001&lt;&gt;"")*ISNUMBER(SEARCH(실물목록!$P$2:$P$1001,I2232))*(실물목록!$Q$2:$Q$1001&lt;&gt;"")*ISNUMBER(SEARCH(실물목록!$Q$2:$Q$1001,I2232))*(실물목록!$R$2:$R$1001="")*(실물목록!$O$2:$O$1001&lt;&gt;"")*(실물목록!$O$2:$O$1001=H2232)))</f>
      </c>
      <c r="H2232" t="str">
        <f>IFERROR(IF(AND(LEN(SUBSTITUTE(SUBSTITUTE(SUBSTITUTE(TRIM(A2232&amp;""),CHAR(160),"")," ",""),"년",""))=4,VALUE(SUBSTITUTE(SUBSTITUTE(SUBSTITUTE(TRIM(A2232&amp;""),CHAR(160),"")," ",""),"년",""))&gt;=1900,VALUE(SUBSTITUTE(SUBSTITUTE(SUBSTITUTE(TRIM(A2232&amp;""),CHAR(160),"")," ",""),"년",""))&lt;=2099,TEXT(VALUE(SUBSTITUTE(SUBSTITUTE(SUBSTITUTE(TRIM(A2232&amp;""),CHAR(160),"")," ",""),"년","")),"0000")=SUBSTITUTE(SUBSTITUTE(SUBSTITUTE(TRIM(A2232&amp;""),CHAR(160),"")," ",""),"년","")),SUBSTITUTE(SUBSTITUTE(SUBSTITUTE(TRIM(A2232&amp;""),CHAR(160),"")," ",""),"년",""),""),"")</f>
      </c>
      <c r="I2232" t="str">
        <f>SUBSTITUTE(SUBSTITUTE(SUBSTITUTE(SUBSTITUTE(SUBSTITUTE(TRIM(B2232&amp;""),CHAR(160),"")," ",""),"초등학교","초"),"중학교","중"),"고등학교","고")</f>
      </c>
    </row>
    <row r="2233" customFormat="false" ht="15" hidden="false" customHeight="false" outlineLevel="0" collapsed="false">
      <c r="A2233" s="8"/>
      <c r="B2233" s="8"/>
      <c r="C2233" s="8"/>
      <c r="D2233" s="8"/>
      <c r="E2233" s="8"/>
      <c r="F2233" t="str" s="15">
        <f aca="0">IF(B2233="","",IF(H2233="","확인필요(입력누락)",IF(SUMPRODUCT((실물목록!$P$2:$P$1001&lt;&gt;"")*ISNUMBER(SEARCH(실물목록!$P$2:$P$1001,I2233))*(실물목록!$Q$2:$Q$1001&lt;&gt;"")*ISNUMBER(SEARCH(실물목록!$Q$2:$Q$1001,I2233))*(실물목록!$R$2:$R$1001="")*(실물목록!$O$2:$O$1001&lt;&gt;"")*(실물목록!$O$2:$O$1001=H2233))&gt;0,"실물 있음",IF(SUMPRODUCT((실물목록!$P$2:$P$1001&lt;&gt;"")*ISNUMBER(SEARCH(실물목록!$P$2:$P$1001,I2233))*(실물목록!$R$2:$R$1001&lt;&gt;""))&gt;0,"확인필요(입력누락)",IF(SUMPRODUCT((실물목록!$P$2:$P$1001&lt;&gt;"")*ISNUMBER(SEARCH(실물목록!$P$2:$P$1001,I2233))*(실물목록!$Q$2:$Q$1001&lt;&gt;"")*ISNUMBER(SEARCH(실물목록!$Q$2:$Q$1001,I2233))*(실물목록!$R$2:$R$1001="")*(실물목록!$O$2:$O$1001&lt;&gt;""))&gt;0,"확인필요(연도다름)","실물 없음")))))</f>
      </c>
      <c r="G2233" t="n" s="16">
        <f aca="0">IF(B2233="","",SUMPRODUCT((실물목록!$P$2:$P$1001&lt;&gt;"")*ISNUMBER(SEARCH(실물목록!$P$2:$P$1001,I2233))*(실물목록!$Q$2:$Q$1001&lt;&gt;"")*ISNUMBER(SEARCH(실물목록!$Q$2:$Q$1001,I2233))*(실물목록!$R$2:$R$1001="")*(실물목록!$O$2:$O$1001&lt;&gt;"")*(실물목록!$O$2:$O$1001=H2233)))</f>
      </c>
      <c r="H2233" t="str">
        <f>IFERROR(IF(AND(LEN(SUBSTITUTE(SUBSTITUTE(SUBSTITUTE(TRIM(A2233&amp;""),CHAR(160),"")," ",""),"년",""))=4,VALUE(SUBSTITUTE(SUBSTITUTE(SUBSTITUTE(TRIM(A2233&amp;""),CHAR(160),"")," ",""),"년",""))&gt;=1900,VALUE(SUBSTITUTE(SUBSTITUTE(SUBSTITUTE(TRIM(A2233&amp;""),CHAR(160),"")," ",""),"년",""))&lt;=2099,TEXT(VALUE(SUBSTITUTE(SUBSTITUTE(SUBSTITUTE(TRIM(A2233&amp;""),CHAR(160),"")," ",""),"년","")),"0000")=SUBSTITUTE(SUBSTITUTE(SUBSTITUTE(TRIM(A2233&amp;""),CHAR(160),"")," ",""),"년","")),SUBSTITUTE(SUBSTITUTE(SUBSTITUTE(TRIM(A2233&amp;""),CHAR(160),"")," ",""),"년",""),""),"")</f>
      </c>
      <c r="I2233" t="str">
        <f>SUBSTITUTE(SUBSTITUTE(SUBSTITUTE(SUBSTITUTE(SUBSTITUTE(TRIM(B2233&amp;""),CHAR(160),"")," ",""),"초등학교","초"),"중학교","중"),"고등학교","고")</f>
      </c>
    </row>
    <row r="2234" customFormat="false" ht="15" hidden="false" customHeight="false" outlineLevel="0" collapsed="false">
      <c r="A2234" s="8"/>
      <c r="B2234" s="8"/>
      <c r="C2234" s="8"/>
      <c r="D2234" s="8"/>
      <c r="E2234" s="8"/>
      <c r="F2234" t="str" s="15">
        <f aca="0">IF(B2234="","",IF(H2234="","확인필요(입력누락)",IF(SUMPRODUCT((실물목록!$P$2:$P$1001&lt;&gt;"")*ISNUMBER(SEARCH(실물목록!$P$2:$P$1001,I2234))*(실물목록!$Q$2:$Q$1001&lt;&gt;"")*ISNUMBER(SEARCH(실물목록!$Q$2:$Q$1001,I2234))*(실물목록!$R$2:$R$1001="")*(실물목록!$O$2:$O$1001&lt;&gt;"")*(실물목록!$O$2:$O$1001=H2234))&gt;0,"실물 있음",IF(SUMPRODUCT((실물목록!$P$2:$P$1001&lt;&gt;"")*ISNUMBER(SEARCH(실물목록!$P$2:$P$1001,I2234))*(실물목록!$R$2:$R$1001&lt;&gt;""))&gt;0,"확인필요(입력누락)",IF(SUMPRODUCT((실물목록!$P$2:$P$1001&lt;&gt;"")*ISNUMBER(SEARCH(실물목록!$P$2:$P$1001,I2234))*(실물목록!$Q$2:$Q$1001&lt;&gt;"")*ISNUMBER(SEARCH(실물목록!$Q$2:$Q$1001,I2234))*(실물목록!$R$2:$R$1001="")*(실물목록!$O$2:$O$1001&lt;&gt;""))&gt;0,"확인필요(연도다름)","실물 없음")))))</f>
      </c>
      <c r="G2234" t="n" s="16">
        <f aca="0">IF(B2234="","",SUMPRODUCT((실물목록!$P$2:$P$1001&lt;&gt;"")*ISNUMBER(SEARCH(실물목록!$P$2:$P$1001,I2234))*(실물목록!$Q$2:$Q$1001&lt;&gt;"")*ISNUMBER(SEARCH(실물목록!$Q$2:$Q$1001,I2234))*(실물목록!$R$2:$R$1001="")*(실물목록!$O$2:$O$1001&lt;&gt;"")*(실물목록!$O$2:$O$1001=H2234)))</f>
      </c>
      <c r="H2234" t="str">
        <f>IFERROR(IF(AND(LEN(SUBSTITUTE(SUBSTITUTE(SUBSTITUTE(TRIM(A2234&amp;""),CHAR(160),"")," ",""),"년",""))=4,VALUE(SUBSTITUTE(SUBSTITUTE(SUBSTITUTE(TRIM(A2234&amp;""),CHAR(160),"")," ",""),"년",""))&gt;=1900,VALUE(SUBSTITUTE(SUBSTITUTE(SUBSTITUTE(TRIM(A2234&amp;""),CHAR(160),"")," ",""),"년",""))&lt;=2099,TEXT(VALUE(SUBSTITUTE(SUBSTITUTE(SUBSTITUTE(TRIM(A2234&amp;""),CHAR(160),"")," ",""),"년","")),"0000")=SUBSTITUTE(SUBSTITUTE(SUBSTITUTE(TRIM(A2234&amp;""),CHAR(160),"")," ",""),"년","")),SUBSTITUTE(SUBSTITUTE(SUBSTITUTE(TRIM(A2234&amp;""),CHAR(160),"")," ",""),"년",""),""),"")</f>
      </c>
      <c r="I2234" t="str">
        <f>SUBSTITUTE(SUBSTITUTE(SUBSTITUTE(SUBSTITUTE(SUBSTITUTE(TRIM(B2234&amp;""),CHAR(160),"")," ",""),"초등학교","초"),"중학교","중"),"고등학교","고")</f>
      </c>
    </row>
    <row r="2235" customFormat="false" ht="15" hidden="false" customHeight="false" outlineLevel="0" collapsed="false">
      <c r="A2235" s="8"/>
      <c r="B2235" s="8"/>
      <c r="C2235" s="8"/>
      <c r="D2235" s="8"/>
      <c r="E2235" s="8"/>
      <c r="F2235" t="str" s="15">
        <f aca="0">IF(B2235="","",IF(H2235="","확인필요(입력누락)",IF(SUMPRODUCT((실물목록!$P$2:$P$1001&lt;&gt;"")*ISNUMBER(SEARCH(실물목록!$P$2:$P$1001,I2235))*(실물목록!$Q$2:$Q$1001&lt;&gt;"")*ISNUMBER(SEARCH(실물목록!$Q$2:$Q$1001,I2235))*(실물목록!$R$2:$R$1001="")*(실물목록!$O$2:$O$1001&lt;&gt;"")*(실물목록!$O$2:$O$1001=H2235))&gt;0,"실물 있음",IF(SUMPRODUCT((실물목록!$P$2:$P$1001&lt;&gt;"")*ISNUMBER(SEARCH(실물목록!$P$2:$P$1001,I2235))*(실물목록!$R$2:$R$1001&lt;&gt;""))&gt;0,"확인필요(입력누락)",IF(SUMPRODUCT((실물목록!$P$2:$P$1001&lt;&gt;"")*ISNUMBER(SEARCH(실물목록!$P$2:$P$1001,I2235))*(실물목록!$Q$2:$Q$1001&lt;&gt;"")*ISNUMBER(SEARCH(실물목록!$Q$2:$Q$1001,I2235))*(실물목록!$R$2:$R$1001="")*(실물목록!$O$2:$O$1001&lt;&gt;""))&gt;0,"확인필요(연도다름)","실물 없음")))))</f>
      </c>
      <c r="G2235" t="n" s="16">
        <f aca="0">IF(B2235="","",SUMPRODUCT((실물목록!$P$2:$P$1001&lt;&gt;"")*ISNUMBER(SEARCH(실물목록!$P$2:$P$1001,I2235))*(실물목록!$Q$2:$Q$1001&lt;&gt;"")*ISNUMBER(SEARCH(실물목록!$Q$2:$Q$1001,I2235))*(실물목록!$R$2:$R$1001="")*(실물목록!$O$2:$O$1001&lt;&gt;"")*(실물목록!$O$2:$O$1001=H2235)))</f>
      </c>
      <c r="H2235" t="str">
        <f>IFERROR(IF(AND(LEN(SUBSTITUTE(SUBSTITUTE(SUBSTITUTE(TRIM(A2235&amp;""),CHAR(160),"")," ",""),"년",""))=4,VALUE(SUBSTITUTE(SUBSTITUTE(SUBSTITUTE(TRIM(A2235&amp;""),CHAR(160),"")," ",""),"년",""))&gt;=1900,VALUE(SUBSTITUTE(SUBSTITUTE(SUBSTITUTE(TRIM(A2235&amp;""),CHAR(160),"")," ",""),"년",""))&lt;=2099,TEXT(VALUE(SUBSTITUTE(SUBSTITUTE(SUBSTITUTE(TRIM(A2235&amp;""),CHAR(160),"")," ",""),"년","")),"0000")=SUBSTITUTE(SUBSTITUTE(SUBSTITUTE(TRIM(A2235&amp;""),CHAR(160),"")," ",""),"년","")),SUBSTITUTE(SUBSTITUTE(SUBSTITUTE(TRIM(A2235&amp;""),CHAR(160),"")," ",""),"년",""),""),"")</f>
      </c>
      <c r="I2235" t="str">
        <f>SUBSTITUTE(SUBSTITUTE(SUBSTITUTE(SUBSTITUTE(SUBSTITUTE(TRIM(B2235&amp;""),CHAR(160),"")," ",""),"초등학교","초"),"중학교","중"),"고등학교","고")</f>
      </c>
    </row>
    <row r="2236" customFormat="false" ht="15" hidden="false" customHeight="false" outlineLevel="0" collapsed="false">
      <c r="A2236" s="8"/>
      <c r="B2236" s="8"/>
      <c r="C2236" s="8"/>
      <c r="D2236" s="8"/>
      <c r="E2236" s="8"/>
      <c r="F2236" t="str" s="15">
        <f aca="0">IF(B2236="","",IF(H2236="","확인필요(입력누락)",IF(SUMPRODUCT((실물목록!$P$2:$P$1001&lt;&gt;"")*ISNUMBER(SEARCH(실물목록!$P$2:$P$1001,I2236))*(실물목록!$Q$2:$Q$1001&lt;&gt;"")*ISNUMBER(SEARCH(실물목록!$Q$2:$Q$1001,I2236))*(실물목록!$R$2:$R$1001="")*(실물목록!$O$2:$O$1001&lt;&gt;"")*(실물목록!$O$2:$O$1001=H2236))&gt;0,"실물 있음",IF(SUMPRODUCT((실물목록!$P$2:$P$1001&lt;&gt;"")*ISNUMBER(SEARCH(실물목록!$P$2:$P$1001,I2236))*(실물목록!$R$2:$R$1001&lt;&gt;""))&gt;0,"확인필요(입력누락)",IF(SUMPRODUCT((실물목록!$P$2:$P$1001&lt;&gt;"")*ISNUMBER(SEARCH(실물목록!$P$2:$P$1001,I2236))*(실물목록!$Q$2:$Q$1001&lt;&gt;"")*ISNUMBER(SEARCH(실물목록!$Q$2:$Q$1001,I2236))*(실물목록!$R$2:$R$1001="")*(실물목록!$O$2:$O$1001&lt;&gt;""))&gt;0,"확인필요(연도다름)","실물 없음")))))</f>
      </c>
      <c r="G2236" t="n" s="16">
        <f aca="0">IF(B2236="","",SUMPRODUCT((실물목록!$P$2:$P$1001&lt;&gt;"")*ISNUMBER(SEARCH(실물목록!$P$2:$P$1001,I2236))*(실물목록!$Q$2:$Q$1001&lt;&gt;"")*ISNUMBER(SEARCH(실물목록!$Q$2:$Q$1001,I2236))*(실물목록!$R$2:$R$1001="")*(실물목록!$O$2:$O$1001&lt;&gt;"")*(실물목록!$O$2:$O$1001=H2236)))</f>
      </c>
      <c r="H2236" t="str">
        <f>IFERROR(IF(AND(LEN(SUBSTITUTE(SUBSTITUTE(SUBSTITUTE(TRIM(A2236&amp;""),CHAR(160),"")," ",""),"년",""))=4,VALUE(SUBSTITUTE(SUBSTITUTE(SUBSTITUTE(TRIM(A2236&amp;""),CHAR(160),"")," ",""),"년",""))&gt;=1900,VALUE(SUBSTITUTE(SUBSTITUTE(SUBSTITUTE(TRIM(A2236&amp;""),CHAR(160),"")," ",""),"년",""))&lt;=2099,TEXT(VALUE(SUBSTITUTE(SUBSTITUTE(SUBSTITUTE(TRIM(A2236&amp;""),CHAR(160),"")," ",""),"년","")),"0000")=SUBSTITUTE(SUBSTITUTE(SUBSTITUTE(TRIM(A2236&amp;""),CHAR(160),"")," ",""),"년","")),SUBSTITUTE(SUBSTITUTE(SUBSTITUTE(TRIM(A2236&amp;""),CHAR(160),"")," ",""),"년",""),""),"")</f>
      </c>
      <c r="I2236" t="str">
        <f>SUBSTITUTE(SUBSTITUTE(SUBSTITUTE(SUBSTITUTE(SUBSTITUTE(TRIM(B2236&amp;""),CHAR(160),"")," ",""),"초등학교","초"),"중학교","중"),"고등학교","고")</f>
      </c>
    </row>
    <row r="2237" customFormat="false" ht="15" hidden="false" customHeight="false" outlineLevel="0" collapsed="false">
      <c r="A2237" s="8"/>
      <c r="B2237" s="8"/>
      <c r="C2237" s="8"/>
      <c r="D2237" s="8"/>
      <c r="E2237" s="8"/>
      <c r="F2237" t="str" s="15">
        <f aca="0">IF(B2237="","",IF(H2237="","확인필요(입력누락)",IF(SUMPRODUCT((실물목록!$P$2:$P$1001&lt;&gt;"")*ISNUMBER(SEARCH(실물목록!$P$2:$P$1001,I2237))*(실물목록!$Q$2:$Q$1001&lt;&gt;"")*ISNUMBER(SEARCH(실물목록!$Q$2:$Q$1001,I2237))*(실물목록!$R$2:$R$1001="")*(실물목록!$O$2:$O$1001&lt;&gt;"")*(실물목록!$O$2:$O$1001=H2237))&gt;0,"실물 있음",IF(SUMPRODUCT((실물목록!$P$2:$P$1001&lt;&gt;"")*ISNUMBER(SEARCH(실물목록!$P$2:$P$1001,I2237))*(실물목록!$R$2:$R$1001&lt;&gt;""))&gt;0,"확인필요(입력누락)",IF(SUMPRODUCT((실물목록!$P$2:$P$1001&lt;&gt;"")*ISNUMBER(SEARCH(실물목록!$P$2:$P$1001,I2237))*(실물목록!$Q$2:$Q$1001&lt;&gt;"")*ISNUMBER(SEARCH(실물목록!$Q$2:$Q$1001,I2237))*(실물목록!$R$2:$R$1001="")*(실물목록!$O$2:$O$1001&lt;&gt;""))&gt;0,"확인필요(연도다름)","실물 없음")))))</f>
      </c>
      <c r="G2237" t="n" s="16">
        <f aca="0">IF(B2237="","",SUMPRODUCT((실물목록!$P$2:$P$1001&lt;&gt;"")*ISNUMBER(SEARCH(실물목록!$P$2:$P$1001,I2237))*(실물목록!$Q$2:$Q$1001&lt;&gt;"")*ISNUMBER(SEARCH(실물목록!$Q$2:$Q$1001,I2237))*(실물목록!$R$2:$R$1001="")*(실물목록!$O$2:$O$1001&lt;&gt;"")*(실물목록!$O$2:$O$1001=H2237)))</f>
      </c>
      <c r="H2237" t="str">
        <f>IFERROR(IF(AND(LEN(SUBSTITUTE(SUBSTITUTE(SUBSTITUTE(TRIM(A2237&amp;""),CHAR(160),"")," ",""),"년",""))=4,VALUE(SUBSTITUTE(SUBSTITUTE(SUBSTITUTE(TRIM(A2237&amp;""),CHAR(160),"")," ",""),"년",""))&gt;=1900,VALUE(SUBSTITUTE(SUBSTITUTE(SUBSTITUTE(TRIM(A2237&amp;""),CHAR(160),"")," ",""),"년",""))&lt;=2099,TEXT(VALUE(SUBSTITUTE(SUBSTITUTE(SUBSTITUTE(TRIM(A2237&amp;""),CHAR(160),"")," ",""),"년","")),"0000")=SUBSTITUTE(SUBSTITUTE(SUBSTITUTE(TRIM(A2237&amp;""),CHAR(160),"")," ",""),"년","")),SUBSTITUTE(SUBSTITUTE(SUBSTITUTE(TRIM(A2237&amp;""),CHAR(160),"")," ",""),"년",""),""),"")</f>
      </c>
      <c r="I2237" t="str">
        <f>SUBSTITUTE(SUBSTITUTE(SUBSTITUTE(SUBSTITUTE(SUBSTITUTE(TRIM(B2237&amp;""),CHAR(160),"")," ",""),"초등학교","초"),"중학교","중"),"고등학교","고")</f>
      </c>
    </row>
    <row r="2238" customFormat="false" ht="15" hidden="false" customHeight="false" outlineLevel="0" collapsed="false">
      <c r="A2238" s="8"/>
      <c r="B2238" s="8"/>
      <c r="C2238" s="8"/>
      <c r="D2238" s="8"/>
      <c r="E2238" s="8"/>
      <c r="F2238" t="str" s="15">
        <f aca="0">IF(B2238="","",IF(H2238="","확인필요(입력누락)",IF(SUMPRODUCT((실물목록!$P$2:$P$1001&lt;&gt;"")*ISNUMBER(SEARCH(실물목록!$P$2:$P$1001,I2238))*(실물목록!$Q$2:$Q$1001&lt;&gt;"")*ISNUMBER(SEARCH(실물목록!$Q$2:$Q$1001,I2238))*(실물목록!$R$2:$R$1001="")*(실물목록!$O$2:$O$1001&lt;&gt;"")*(실물목록!$O$2:$O$1001=H2238))&gt;0,"실물 있음",IF(SUMPRODUCT((실물목록!$P$2:$P$1001&lt;&gt;"")*ISNUMBER(SEARCH(실물목록!$P$2:$P$1001,I2238))*(실물목록!$R$2:$R$1001&lt;&gt;""))&gt;0,"확인필요(입력누락)",IF(SUMPRODUCT((실물목록!$P$2:$P$1001&lt;&gt;"")*ISNUMBER(SEARCH(실물목록!$P$2:$P$1001,I2238))*(실물목록!$Q$2:$Q$1001&lt;&gt;"")*ISNUMBER(SEARCH(실물목록!$Q$2:$Q$1001,I2238))*(실물목록!$R$2:$R$1001="")*(실물목록!$O$2:$O$1001&lt;&gt;""))&gt;0,"확인필요(연도다름)","실물 없음")))))</f>
      </c>
      <c r="G2238" t="n" s="16">
        <f aca="0">IF(B2238="","",SUMPRODUCT((실물목록!$P$2:$P$1001&lt;&gt;"")*ISNUMBER(SEARCH(실물목록!$P$2:$P$1001,I2238))*(실물목록!$Q$2:$Q$1001&lt;&gt;"")*ISNUMBER(SEARCH(실물목록!$Q$2:$Q$1001,I2238))*(실물목록!$R$2:$R$1001="")*(실물목록!$O$2:$O$1001&lt;&gt;"")*(실물목록!$O$2:$O$1001=H2238)))</f>
      </c>
      <c r="H2238" t="str">
        <f>IFERROR(IF(AND(LEN(SUBSTITUTE(SUBSTITUTE(SUBSTITUTE(TRIM(A2238&amp;""),CHAR(160),"")," ",""),"년",""))=4,VALUE(SUBSTITUTE(SUBSTITUTE(SUBSTITUTE(TRIM(A2238&amp;""),CHAR(160),"")," ",""),"년",""))&gt;=1900,VALUE(SUBSTITUTE(SUBSTITUTE(SUBSTITUTE(TRIM(A2238&amp;""),CHAR(160),"")," ",""),"년",""))&lt;=2099,TEXT(VALUE(SUBSTITUTE(SUBSTITUTE(SUBSTITUTE(TRIM(A2238&amp;""),CHAR(160),"")," ",""),"년","")),"0000")=SUBSTITUTE(SUBSTITUTE(SUBSTITUTE(TRIM(A2238&amp;""),CHAR(160),"")," ",""),"년","")),SUBSTITUTE(SUBSTITUTE(SUBSTITUTE(TRIM(A2238&amp;""),CHAR(160),"")," ",""),"년",""),""),"")</f>
      </c>
      <c r="I2238" t="str">
        <f>SUBSTITUTE(SUBSTITUTE(SUBSTITUTE(SUBSTITUTE(SUBSTITUTE(TRIM(B2238&amp;""),CHAR(160),"")," ",""),"초등학교","초"),"중학교","중"),"고등학교","고")</f>
      </c>
    </row>
    <row r="2239" customFormat="false" ht="15" hidden="false" customHeight="false" outlineLevel="0" collapsed="false">
      <c r="A2239" s="8"/>
      <c r="B2239" s="8"/>
      <c r="C2239" s="8"/>
      <c r="D2239" s="8"/>
      <c r="E2239" s="8"/>
      <c r="F2239" t="str" s="15">
        <f aca="0">IF(B2239="","",IF(H2239="","확인필요(입력누락)",IF(SUMPRODUCT((실물목록!$P$2:$P$1001&lt;&gt;"")*ISNUMBER(SEARCH(실물목록!$P$2:$P$1001,I2239))*(실물목록!$Q$2:$Q$1001&lt;&gt;"")*ISNUMBER(SEARCH(실물목록!$Q$2:$Q$1001,I2239))*(실물목록!$R$2:$R$1001="")*(실물목록!$O$2:$O$1001&lt;&gt;"")*(실물목록!$O$2:$O$1001=H2239))&gt;0,"실물 있음",IF(SUMPRODUCT((실물목록!$P$2:$P$1001&lt;&gt;"")*ISNUMBER(SEARCH(실물목록!$P$2:$P$1001,I2239))*(실물목록!$R$2:$R$1001&lt;&gt;""))&gt;0,"확인필요(입력누락)",IF(SUMPRODUCT((실물목록!$P$2:$P$1001&lt;&gt;"")*ISNUMBER(SEARCH(실물목록!$P$2:$P$1001,I2239))*(실물목록!$Q$2:$Q$1001&lt;&gt;"")*ISNUMBER(SEARCH(실물목록!$Q$2:$Q$1001,I2239))*(실물목록!$R$2:$R$1001="")*(실물목록!$O$2:$O$1001&lt;&gt;""))&gt;0,"확인필요(연도다름)","실물 없음")))))</f>
      </c>
      <c r="G2239" t="n" s="16">
        <f aca="0">IF(B2239="","",SUMPRODUCT((실물목록!$P$2:$P$1001&lt;&gt;"")*ISNUMBER(SEARCH(실물목록!$P$2:$P$1001,I2239))*(실물목록!$Q$2:$Q$1001&lt;&gt;"")*ISNUMBER(SEARCH(실물목록!$Q$2:$Q$1001,I2239))*(실물목록!$R$2:$R$1001="")*(실물목록!$O$2:$O$1001&lt;&gt;"")*(실물목록!$O$2:$O$1001=H2239)))</f>
      </c>
      <c r="H2239" t="str">
        <f>IFERROR(IF(AND(LEN(SUBSTITUTE(SUBSTITUTE(SUBSTITUTE(TRIM(A2239&amp;""),CHAR(160),"")," ",""),"년",""))=4,VALUE(SUBSTITUTE(SUBSTITUTE(SUBSTITUTE(TRIM(A2239&amp;""),CHAR(160),"")," ",""),"년",""))&gt;=1900,VALUE(SUBSTITUTE(SUBSTITUTE(SUBSTITUTE(TRIM(A2239&amp;""),CHAR(160),"")," ",""),"년",""))&lt;=2099,TEXT(VALUE(SUBSTITUTE(SUBSTITUTE(SUBSTITUTE(TRIM(A2239&amp;""),CHAR(160),"")," ",""),"년","")),"0000")=SUBSTITUTE(SUBSTITUTE(SUBSTITUTE(TRIM(A2239&amp;""),CHAR(160),"")," ",""),"년","")),SUBSTITUTE(SUBSTITUTE(SUBSTITUTE(TRIM(A2239&amp;""),CHAR(160),"")," ",""),"년",""),""),"")</f>
      </c>
      <c r="I2239" t="str">
        <f>SUBSTITUTE(SUBSTITUTE(SUBSTITUTE(SUBSTITUTE(SUBSTITUTE(TRIM(B2239&amp;""),CHAR(160),"")," ",""),"초등학교","초"),"중학교","중"),"고등학교","고")</f>
      </c>
    </row>
    <row r="2240" customFormat="false" ht="15" hidden="false" customHeight="false" outlineLevel="0" collapsed="false">
      <c r="A2240" s="8"/>
      <c r="B2240" s="8"/>
      <c r="C2240" s="8"/>
      <c r="D2240" s="8"/>
      <c r="E2240" s="8"/>
      <c r="F2240" t="str" s="15">
        <f aca="0">IF(B2240="","",IF(H2240="","확인필요(입력누락)",IF(SUMPRODUCT((실물목록!$P$2:$P$1001&lt;&gt;"")*ISNUMBER(SEARCH(실물목록!$P$2:$P$1001,I2240))*(실물목록!$Q$2:$Q$1001&lt;&gt;"")*ISNUMBER(SEARCH(실물목록!$Q$2:$Q$1001,I2240))*(실물목록!$R$2:$R$1001="")*(실물목록!$O$2:$O$1001&lt;&gt;"")*(실물목록!$O$2:$O$1001=H2240))&gt;0,"실물 있음",IF(SUMPRODUCT((실물목록!$P$2:$P$1001&lt;&gt;"")*ISNUMBER(SEARCH(실물목록!$P$2:$P$1001,I2240))*(실물목록!$R$2:$R$1001&lt;&gt;""))&gt;0,"확인필요(입력누락)",IF(SUMPRODUCT((실물목록!$P$2:$P$1001&lt;&gt;"")*ISNUMBER(SEARCH(실물목록!$P$2:$P$1001,I2240))*(실물목록!$Q$2:$Q$1001&lt;&gt;"")*ISNUMBER(SEARCH(실물목록!$Q$2:$Q$1001,I2240))*(실물목록!$R$2:$R$1001="")*(실물목록!$O$2:$O$1001&lt;&gt;""))&gt;0,"확인필요(연도다름)","실물 없음")))))</f>
      </c>
      <c r="G2240" t="n" s="16">
        <f aca="0">IF(B2240="","",SUMPRODUCT((실물목록!$P$2:$P$1001&lt;&gt;"")*ISNUMBER(SEARCH(실물목록!$P$2:$P$1001,I2240))*(실물목록!$Q$2:$Q$1001&lt;&gt;"")*ISNUMBER(SEARCH(실물목록!$Q$2:$Q$1001,I2240))*(실물목록!$R$2:$R$1001="")*(실물목록!$O$2:$O$1001&lt;&gt;"")*(실물목록!$O$2:$O$1001=H2240)))</f>
      </c>
      <c r="H2240" t="str">
        <f>IFERROR(IF(AND(LEN(SUBSTITUTE(SUBSTITUTE(SUBSTITUTE(TRIM(A2240&amp;""),CHAR(160),"")," ",""),"년",""))=4,VALUE(SUBSTITUTE(SUBSTITUTE(SUBSTITUTE(TRIM(A2240&amp;""),CHAR(160),"")," ",""),"년",""))&gt;=1900,VALUE(SUBSTITUTE(SUBSTITUTE(SUBSTITUTE(TRIM(A2240&amp;""),CHAR(160),"")," ",""),"년",""))&lt;=2099,TEXT(VALUE(SUBSTITUTE(SUBSTITUTE(SUBSTITUTE(TRIM(A2240&amp;""),CHAR(160),"")," ",""),"년","")),"0000")=SUBSTITUTE(SUBSTITUTE(SUBSTITUTE(TRIM(A2240&amp;""),CHAR(160),"")," ",""),"년","")),SUBSTITUTE(SUBSTITUTE(SUBSTITUTE(TRIM(A2240&amp;""),CHAR(160),"")," ",""),"년",""),""),"")</f>
      </c>
      <c r="I2240" t="str">
        <f>SUBSTITUTE(SUBSTITUTE(SUBSTITUTE(SUBSTITUTE(SUBSTITUTE(TRIM(B2240&amp;""),CHAR(160),"")," ",""),"초등학교","초"),"중학교","중"),"고등학교","고")</f>
      </c>
    </row>
    <row r="2241" customFormat="false" ht="15" hidden="false" customHeight="false" outlineLevel="0" collapsed="false">
      <c r="A2241" s="8"/>
      <c r="B2241" s="8"/>
      <c r="C2241" s="8"/>
      <c r="D2241" s="8"/>
      <c r="E2241" s="8"/>
      <c r="F2241" t="str" s="15">
        <f aca="0">IF(B2241="","",IF(H2241="","확인필요(입력누락)",IF(SUMPRODUCT((실물목록!$P$2:$P$1001&lt;&gt;"")*ISNUMBER(SEARCH(실물목록!$P$2:$P$1001,I2241))*(실물목록!$Q$2:$Q$1001&lt;&gt;"")*ISNUMBER(SEARCH(실물목록!$Q$2:$Q$1001,I2241))*(실물목록!$R$2:$R$1001="")*(실물목록!$O$2:$O$1001&lt;&gt;"")*(실물목록!$O$2:$O$1001=H2241))&gt;0,"실물 있음",IF(SUMPRODUCT((실물목록!$P$2:$P$1001&lt;&gt;"")*ISNUMBER(SEARCH(실물목록!$P$2:$P$1001,I2241))*(실물목록!$R$2:$R$1001&lt;&gt;""))&gt;0,"확인필요(입력누락)",IF(SUMPRODUCT((실물목록!$P$2:$P$1001&lt;&gt;"")*ISNUMBER(SEARCH(실물목록!$P$2:$P$1001,I2241))*(실물목록!$Q$2:$Q$1001&lt;&gt;"")*ISNUMBER(SEARCH(실물목록!$Q$2:$Q$1001,I2241))*(실물목록!$R$2:$R$1001="")*(실물목록!$O$2:$O$1001&lt;&gt;""))&gt;0,"확인필요(연도다름)","실물 없음")))))</f>
      </c>
      <c r="G2241" t="n" s="16">
        <f aca="0">IF(B2241="","",SUMPRODUCT((실물목록!$P$2:$P$1001&lt;&gt;"")*ISNUMBER(SEARCH(실물목록!$P$2:$P$1001,I2241))*(실물목록!$Q$2:$Q$1001&lt;&gt;"")*ISNUMBER(SEARCH(실물목록!$Q$2:$Q$1001,I2241))*(실물목록!$R$2:$R$1001="")*(실물목록!$O$2:$O$1001&lt;&gt;"")*(실물목록!$O$2:$O$1001=H2241)))</f>
      </c>
      <c r="H2241" t="str">
        <f>IFERROR(IF(AND(LEN(SUBSTITUTE(SUBSTITUTE(SUBSTITUTE(TRIM(A2241&amp;""),CHAR(160),"")," ",""),"년",""))=4,VALUE(SUBSTITUTE(SUBSTITUTE(SUBSTITUTE(TRIM(A2241&amp;""),CHAR(160),"")," ",""),"년",""))&gt;=1900,VALUE(SUBSTITUTE(SUBSTITUTE(SUBSTITUTE(TRIM(A2241&amp;""),CHAR(160),"")," ",""),"년",""))&lt;=2099,TEXT(VALUE(SUBSTITUTE(SUBSTITUTE(SUBSTITUTE(TRIM(A2241&amp;""),CHAR(160),"")," ",""),"년","")),"0000")=SUBSTITUTE(SUBSTITUTE(SUBSTITUTE(TRIM(A2241&amp;""),CHAR(160),"")," ",""),"년","")),SUBSTITUTE(SUBSTITUTE(SUBSTITUTE(TRIM(A2241&amp;""),CHAR(160),"")," ",""),"년",""),""),"")</f>
      </c>
      <c r="I2241" t="str">
        <f>SUBSTITUTE(SUBSTITUTE(SUBSTITUTE(SUBSTITUTE(SUBSTITUTE(TRIM(B2241&amp;""),CHAR(160),"")," ",""),"초등학교","초"),"중학교","중"),"고등학교","고")</f>
      </c>
    </row>
    <row r="2242" customFormat="false" ht="15" hidden="false" customHeight="false" outlineLevel="0" collapsed="false">
      <c r="A2242" s="8"/>
      <c r="B2242" s="8"/>
      <c r="C2242" s="8"/>
      <c r="D2242" s="8"/>
      <c r="E2242" s="8"/>
      <c r="F2242" t="str" s="15">
        <f aca="0">IF(B2242="","",IF(H2242="","확인필요(입력누락)",IF(SUMPRODUCT((실물목록!$P$2:$P$1001&lt;&gt;"")*ISNUMBER(SEARCH(실물목록!$P$2:$P$1001,I2242))*(실물목록!$Q$2:$Q$1001&lt;&gt;"")*ISNUMBER(SEARCH(실물목록!$Q$2:$Q$1001,I2242))*(실물목록!$R$2:$R$1001="")*(실물목록!$O$2:$O$1001&lt;&gt;"")*(실물목록!$O$2:$O$1001=H2242))&gt;0,"실물 있음",IF(SUMPRODUCT((실물목록!$P$2:$P$1001&lt;&gt;"")*ISNUMBER(SEARCH(실물목록!$P$2:$P$1001,I2242))*(실물목록!$R$2:$R$1001&lt;&gt;""))&gt;0,"확인필요(입력누락)",IF(SUMPRODUCT((실물목록!$P$2:$P$1001&lt;&gt;"")*ISNUMBER(SEARCH(실물목록!$P$2:$P$1001,I2242))*(실물목록!$Q$2:$Q$1001&lt;&gt;"")*ISNUMBER(SEARCH(실물목록!$Q$2:$Q$1001,I2242))*(실물목록!$R$2:$R$1001="")*(실물목록!$O$2:$O$1001&lt;&gt;""))&gt;0,"확인필요(연도다름)","실물 없음")))))</f>
      </c>
      <c r="G2242" t="n" s="16">
        <f aca="0">IF(B2242="","",SUMPRODUCT((실물목록!$P$2:$P$1001&lt;&gt;"")*ISNUMBER(SEARCH(실물목록!$P$2:$P$1001,I2242))*(실물목록!$Q$2:$Q$1001&lt;&gt;"")*ISNUMBER(SEARCH(실물목록!$Q$2:$Q$1001,I2242))*(실물목록!$R$2:$R$1001="")*(실물목록!$O$2:$O$1001&lt;&gt;"")*(실물목록!$O$2:$O$1001=H2242)))</f>
      </c>
      <c r="H2242" t="str">
        <f>IFERROR(IF(AND(LEN(SUBSTITUTE(SUBSTITUTE(SUBSTITUTE(TRIM(A2242&amp;""),CHAR(160),"")," ",""),"년",""))=4,VALUE(SUBSTITUTE(SUBSTITUTE(SUBSTITUTE(TRIM(A2242&amp;""),CHAR(160),"")," ",""),"년",""))&gt;=1900,VALUE(SUBSTITUTE(SUBSTITUTE(SUBSTITUTE(TRIM(A2242&amp;""),CHAR(160),"")," ",""),"년",""))&lt;=2099,TEXT(VALUE(SUBSTITUTE(SUBSTITUTE(SUBSTITUTE(TRIM(A2242&amp;""),CHAR(160),"")," ",""),"년","")),"0000")=SUBSTITUTE(SUBSTITUTE(SUBSTITUTE(TRIM(A2242&amp;""),CHAR(160),"")," ",""),"년","")),SUBSTITUTE(SUBSTITUTE(SUBSTITUTE(TRIM(A2242&amp;""),CHAR(160),"")," ",""),"년",""),""),"")</f>
      </c>
      <c r="I2242" t="str">
        <f>SUBSTITUTE(SUBSTITUTE(SUBSTITUTE(SUBSTITUTE(SUBSTITUTE(TRIM(B2242&amp;""),CHAR(160),"")," ",""),"초등학교","초"),"중학교","중"),"고등학교","고")</f>
      </c>
    </row>
    <row r="2243" customFormat="false" ht="15" hidden="false" customHeight="false" outlineLevel="0" collapsed="false">
      <c r="A2243" s="8"/>
      <c r="B2243" s="8"/>
      <c r="C2243" s="8"/>
      <c r="D2243" s="8"/>
      <c r="E2243" s="8"/>
      <c r="F2243" t="str" s="15">
        <f aca="0">IF(B2243="","",IF(H2243="","확인필요(입력누락)",IF(SUMPRODUCT((실물목록!$P$2:$P$1001&lt;&gt;"")*ISNUMBER(SEARCH(실물목록!$P$2:$P$1001,I2243))*(실물목록!$Q$2:$Q$1001&lt;&gt;"")*ISNUMBER(SEARCH(실물목록!$Q$2:$Q$1001,I2243))*(실물목록!$R$2:$R$1001="")*(실물목록!$O$2:$O$1001&lt;&gt;"")*(실물목록!$O$2:$O$1001=H2243))&gt;0,"실물 있음",IF(SUMPRODUCT((실물목록!$P$2:$P$1001&lt;&gt;"")*ISNUMBER(SEARCH(실물목록!$P$2:$P$1001,I2243))*(실물목록!$R$2:$R$1001&lt;&gt;""))&gt;0,"확인필요(입력누락)",IF(SUMPRODUCT((실물목록!$P$2:$P$1001&lt;&gt;"")*ISNUMBER(SEARCH(실물목록!$P$2:$P$1001,I2243))*(실물목록!$Q$2:$Q$1001&lt;&gt;"")*ISNUMBER(SEARCH(실물목록!$Q$2:$Q$1001,I2243))*(실물목록!$R$2:$R$1001="")*(실물목록!$O$2:$O$1001&lt;&gt;""))&gt;0,"확인필요(연도다름)","실물 없음")))))</f>
      </c>
      <c r="G2243" t="n" s="16">
        <f aca="0">IF(B2243="","",SUMPRODUCT((실물목록!$P$2:$P$1001&lt;&gt;"")*ISNUMBER(SEARCH(실물목록!$P$2:$P$1001,I2243))*(실물목록!$Q$2:$Q$1001&lt;&gt;"")*ISNUMBER(SEARCH(실물목록!$Q$2:$Q$1001,I2243))*(실물목록!$R$2:$R$1001="")*(실물목록!$O$2:$O$1001&lt;&gt;"")*(실물목록!$O$2:$O$1001=H2243)))</f>
      </c>
      <c r="H2243" t="str">
        <f>IFERROR(IF(AND(LEN(SUBSTITUTE(SUBSTITUTE(SUBSTITUTE(TRIM(A2243&amp;""),CHAR(160),"")," ",""),"년",""))=4,VALUE(SUBSTITUTE(SUBSTITUTE(SUBSTITUTE(TRIM(A2243&amp;""),CHAR(160),"")," ",""),"년",""))&gt;=1900,VALUE(SUBSTITUTE(SUBSTITUTE(SUBSTITUTE(TRIM(A2243&amp;""),CHAR(160),"")," ",""),"년",""))&lt;=2099,TEXT(VALUE(SUBSTITUTE(SUBSTITUTE(SUBSTITUTE(TRIM(A2243&amp;""),CHAR(160),"")," ",""),"년","")),"0000")=SUBSTITUTE(SUBSTITUTE(SUBSTITUTE(TRIM(A2243&amp;""),CHAR(160),"")," ",""),"년","")),SUBSTITUTE(SUBSTITUTE(SUBSTITUTE(TRIM(A2243&amp;""),CHAR(160),"")," ",""),"년",""),""),"")</f>
      </c>
      <c r="I2243" t="str">
        <f>SUBSTITUTE(SUBSTITUTE(SUBSTITUTE(SUBSTITUTE(SUBSTITUTE(TRIM(B2243&amp;""),CHAR(160),"")," ",""),"초등학교","초"),"중학교","중"),"고등학교","고")</f>
      </c>
    </row>
    <row r="2244" customFormat="false" ht="15" hidden="false" customHeight="false" outlineLevel="0" collapsed="false">
      <c r="A2244" s="8"/>
      <c r="B2244" s="8"/>
      <c r="C2244" s="8"/>
      <c r="D2244" s="8"/>
      <c r="E2244" s="8"/>
      <c r="F2244" t="str" s="15">
        <f aca="0">IF(B2244="","",IF(H2244="","확인필요(입력누락)",IF(SUMPRODUCT((실물목록!$P$2:$P$1001&lt;&gt;"")*ISNUMBER(SEARCH(실물목록!$P$2:$P$1001,I2244))*(실물목록!$Q$2:$Q$1001&lt;&gt;"")*ISNUMBER(SEARCH(실물목록!$Q$2:$Q$1001,I2244))*(실물목록!$R$2:$R$1001="")*(실물목록!$O$2:$O$1001&lt;&gt;"")*(실물목록!$O$2:$O$1001=H2244))&gt;0,"실물 있음",IF(SUMPRODUCT((실물목록!$P$2:$P$1001&lt;&gt;"")*ISNUMBER(SEARCH(실물목록!$P$2:$P$1001,I2244))*(실물목록!$R$2:$R$1001&lt;&gt;""))&gt;0,"확인필요(입력누락)",IF(SUMPRODUCT((실물목록!$P$2:$P$1001&lt;&gt;"")*ISNUMBER(SEARCH(실물목록!$P$2:$P$1001,I2244))*(실물목록!$Q$2:$Q$1001&lt;&gt;"")*ISNUMBER(SEARCH(실물목록!$Q$2:$Q$1001,I2244))*(실물목록!$R$2:$R$1001="")*(실물목록!$O$2:$O$1001&lt;&gt;""))&gt;0,"확인필요(연도다름)","실물 없음")))))</f>
      </c>
      <c r="G2244" t="n" s="16">
        <f aca="0">IF(B2244="","",SUMPRODUCT((실물목록!$P$2:$P$1001&lt;&gt;"")*ISNUMBER(SEARCH(실물목록!$P$2:$P$1001,I2244))*(실물목록!$Q$2:$Q$1001&lt;&gt;"")*ISNUMBER(SEARCH(실물목록!$Q$2:$Q$1001,I2244))*(실물목록!$R$2:$R$1001="")*(실물목록!$O$2:$O$1001&lt;&gt;"")*(실물목록!$O$2:$O$1001=H2244)))</f>
      </c>
      <c r="H2244" t="str">
        <f>IFERROR(IF(AND(LEN(SUBSTITUTE(SUBSTITUTE(SUBSTITUTE(TRIM(A2244&amp;""),CHAR(160),"")," ",""),"년",""))=4,VALUE(SUBSTITUTE(SUBSTITUTE(SUBSTITUTE(TRIM(A2244&amp;""),CHAR(160),"")," ",""),"년",""))&gt;=1900,VALUE(SUBSTITUTE(SUBSTITUTE(SUBSTITUTE(TRIM(A2244&amp;""),CHAR(160),"")," ",""),"년",""))&lt;=2099,TEXT(VALUE(SUBSTITUTE(SUBSTITUTE(SUBSTITUTE(TRIM(A2244&amp;""),CHAR(160),"")," ",""),"년","")),"0000")=SUBSTITUTE(SUBSTITUTE(SUBSTITUTE(TRIM(A2244&amp;""),CHAR(160),"")," ",""),"년","")),SUBSTITUTE(SUBSTITUTE(SUBSTITUTE(TRIM(A2244&amp;""),CHAR(160),"")," ",""),"년",""),""),"")</f>
      </c>
      <c r="I2244" t="str">
        <f>SUBSTITUTE(SUBSTITUTE(SUBSTITUTE(SUBSTITUTE(SUBSTITUTE(TRIM(B2244&amp;""),CHAR(160),"")," ",""),"초등학교","초"),"중학교","중"),"고등학교","고")</f>
      </c>
    </row>
    <row r="2245" customFormat="false" ht="15" hidden="false" customHeight="false" outlineLevel="0" collapsed="false">
      <c r="A2245" s="8"/>
      <c r="B2245" s="8"/>
      <c r="C2245" s="8"/>
      <c r="D2245" s="8"/>
      <c r="E2245" s="8"/>
      <c r="F2245" t="str" s="15">
        <f aca="0">IF(B2245="","",IF(H2245="","확인필요(입력누락)",IF(SUMPRODUCT((실물목록!$P$2:$P$1001&lt;&gt;"")*ISNUMBER(SEARCH(실물목록!$P$2:$P$1001,I2245))*(실물목록!$Q$2:$Q$1001&lt;&gt;"")*ISNUMBER(SEARCH(실물목록!$Q$2:$Q$1001,I2245))*(실물목록!$R$2:$R$1001="")*(실물목록!$O$2:$O$1001&lt;&gt;"")*(실물목록!$O$2:$O$1001=H2245))&gt;0,"실물 있음",IF(SUMPRODUCT((실물목록!$P$2:$P$1001&lt;&gt;"")*ISNUMBER(SEARCH(실물목록!$P$2:$P$1001,I2245))*(실물목록!$R$2:$R$1001&lt;&gt;""))&gt;0,"확인필요(입력누락)",IF(SUMPRODUCT((실물목록!$P$2:$P$1001&lt;&gt;"")*ISNUMBER(SEARCH(실물목록!$P$2:$P$1001,I2245))*(실물목록!$Q$2:$Q$1001&lt;&gt;"")*ISNUMBER(SEARCH(실물목록!$Q$2:$Q$1001,I2245))*(실물목록!$R$2:$R$1001="")*(실물목록!$O$2:$O$1001&lt;&gt;""))&gt;0,"확인필요(연도다름)","실물 없음")))))</f>
      </c>
      <c r="G2245" t="n" s="16">
        <f aca="0">IF(B2245="","",SUMPRODUCT((실물목록!$P$2:$P$1001&lt;&gt;"")*ISNUMBER(SEARCH(실물목록!$P$2:$P$1001,I2245))*(실물목록!$Q$2:$Q$1001&lt;&gt;"")*ISNUMBER(SEARCH(실물목록!$Q$2:$Q$1001,I2245))*(실물목록!$R$2:$R$1001="")*(실물목록!$O$2:$O$1001&lt;&gt;"")*(실물목록!$O$2:$O$1001=H2245)))</f>
      </c>
      <c r="H2245" t="str">
        <f>IFERROR(IF(AND(LEN(SUBSTITUTE(SUBSTITUTE(SUBSTITUTE(TRIM(A2245&amp;""),CHAR(160),"")," ",""),"년",""))=4,VALUE(SUBSTITUTE(SUBSTITUTE(SUBSTITUTE(TRIM(A2245&amp;""),CHAR(160),"")," ",""),"년",""))&gt;=1900,VALUE(SUBSTITUTE(SUBSTITUTE(SUBSTITUTE(TRIM(A2245&amp;""),CHAR(160),"")," ",""),"년",""))&lt;=2099,TEXT(VALUE(SUBSTITUTE(SUBSTITUTE(SUBSTITUTE(TRIM(A2245&amp;""),CHAR(160),"")," ",""),"년","")),"0000")=SUBSTITUTE(SUBSTITUTE(SUBSTITUTE(TRIM(A2245&amp;""),CHAR(160),"")," ",""),"년","")),SUBSTITUTE(SUBSTITUTE(SUBSTITUTE(TRIM(A2245&amp;""),CHAR(160),"")," ",""),"년",""),""),"")</f>
      </c>
      <c r="I2245" t="str">
        <f>SUBSTITUTE(SUBSTITUTE(SUBSTITUTE(SUBSTITUTE(SUBSTITUTE(TRIM(B2245&amp;""),CHAR(160),"")," ",""),"초등학교","초"),"중학교","중"),"고등학교","고")</f>
      </c>
    </row>
    <row r="2246" customFormat="false" ht="15" hidden="false" customHeight="false" outlineLevel="0" collapsed="false">
      <c r="A2246" s="8"/>
      <c r="B2246" s="8"/>
      <c r="C2246" s="8"/>
      <c r="D2246" s="8"/>
      <c r="E2246" s="8"/>
      <c r="F2246" t="str" s="15">
        <f aca="0">IF(B2246="","",IF(H2246="","확인필요(입력누락)",IF(SUMPRODUCT((실물목록!$P$2:$P$1001&lt;&gt;"")*ISNUMBER(SEARCH(실물목록!$P$2:$P$1001,I2246))*(실물목록!$Q$2:$Q$1001&lt;&gt;"")*ISNUMBER(SEARCH(실물목록!$Q$2:$Q$1001,I2246))*(실물목록!$R$2:$R$1001="")*(실물목록!$O$2:$O$1001&lt;&gt;"")*(실물목록!$O$2:$O$1001=H2246))&gt;0,"실물 있음",IF(SUMPRODUCT((실물목록!$P$2:$P$1001&lt;&gt;"")*ISNUMBER(SEARCH(실물목록!$P$2:$P$1001,I2246))*(실물목록!$R$2:$R$1001&lt;&gt;""))&gt;0,"확인필요(입력누락)",IF(SUMPRODUCT((실물목록!$P$2:$P$1001&lt;&gt;"")*ISNUMBER(SEARCH(실물목록!$P$2:$P$1001,I2246))*(실물목록!$Q$2:$Q$1001&lt;&gt;"")*ISNUMBER(SEARCH(실물목록!$Q$2:$Q$1001,I2246))*(실물목록!$R$2:$R$1001="")*(실물목록!$O$2:$O$1001&lt;&gt;""))&gt;0,"확인필요(연도다름)","실물 없음")))))</f>
      </c>
      <c r="G2246" t="n" s="16">
        <f aca="0">IF(B2246="","",SUMPRODUCT((실물목록!$P$2:$P$1001&lt;&gt;"")*ISNUMBER(SEARCH(실물목록!$P$2:$P$1001,I2246))*(실물목록!$Q$2:$Q$1001&lt;&gt;"")*ISNUMBER(SEARCH(실물목록!$Q$2:$Q$1001,I2246))*(실물목록!$R$2:$R$1001="")*(실물목록!$O$2:$O$1001&lt;&gt;"")*(실물목록!$O$2:$O$1001=H2246)))</f>
      </c>
      <c r="H2246" t="str">
        <f>IFERROR(IF(AND(LEN(SUBSTITUTE(SUBSTITUTE(SUBSTITUTE(TRIM(A2246&amp;""),CHAR(160),"")," ",""),"년",""))=4,VALUE(SUBSTITUTE(SUBSTITUTE(SUBSTITUTE(TRIM(A2246&amp;""),CHAR(160),"")," ",""),"년",""))&gt;=1900,VALUE(SUBSTITUTE(SUBSTITUTE(SUBSTITUTE(TRIM(A2246&amp;""),CHAR(160),"")," ",""),"년",""))&lt;=2099,TEXT(VALUE(SUBSTITUTE(SUBSTITUTE(SUBSTITUTE(TRIM(A2246&amp;""),CHAR(160),"")," ",""),"년","")),"0000")=SUBSTITUTE(SUBSTITUTE(SUBSTITUTE(TRIM(A2246&amp;""),CHAR(160),"")," ",""),"년","")),SUBSTITUTE(SUBSTITUTE(SUBSTITUTE(TRIM(A2246&amp;""),CHAR(160),"")," ",""),"년",""),""),"")</f>
      </c>
      <c r="I2246" t="str">
        <f>SUBSTITUTE(SUBSTITUTE(SUBSTITUTE(SUBSTITUTE(SUBSTITUTE(TRIM(B2246&amp;""),CHAR(160),"")," ",""),"초등학교","초"),"중학교","중"),"고등학교","고")</f>
      </c>
    </row>
    <row r="2247" customFormat="false" ht="15" hidden="false" customHeight="false" outlineLevel="0" collapsed="false">
      <c r="A2247" s="8"/>
      <c r="B2247" s="8"/>
      <c r="C2247" s="8"/>
      <c r="D2247" s="8"/>
      <c r="E2247" s="8"/>
      <c r="F2247" t="str" s="15">
        <f aca="0">IF(B2247="","",IF(H2247="","확인필요(입력누락)",IF(SUMPRODUCT((실물목록!$P$2:$P$1001&lt;&gt;"")*ISNUMBER(SEARCH(실물목록!$P$2:$P$1001,I2247))*(실물목록!$Q$2:$Q$1001&lt;&gt;"")*ISNUMBER(SEARCH(실물목록!$Q$2:$Q$1001,I2247))*(실물목록!$R$2:$R$1001="")*(실물목록!$O$2:$O$1001&lt;&gt;"")*(실물목록!$O$2:$O$1001=H2247))&gt;0,"실물 있음",IF(SUMPRODUCT((실물목록!$P$2:$P$1001&lt;&gt;"")*ISNUMBER(SEARCH(실물목록!$P$2:$P$1001,I2247))*(실물목록!$R$2:$R$1001&lt;&gt;""))&gt;0,"확인필요(입력누락)",IF(SUMPRODUCT((실물목록!$P$2:$P$1001&lt;&gt;"")*ISNUMBER(SEARCH(실물목록!$P$2:$P$1001,I2247))*(실물목록!$Q$2:$Q$1001&lt;&gt;"")*ISNUMBER(SEARCH(실물목록!$Q$2:$Q$1001,I2247))*(실물목록!$R$2:$R$1001="")*(실물목록!$O$2:$O$1001&lt;&gt;""))&gt;0,"확인필요(연도다름)","실물 없음")))))</f>
      </c>
      <c r="G2247" t="n" s="16">
        <f aca="0">IF(B2247="","",SUMPRODUCT((실물목록!$P$2:$P$1001&lt;&gt;"")*ISNUMBER(SEARCH(실물목록!$P$2:$P$1001,I2247))*(실물목록!$Q$2:$Q$1001&lt;&gt;"")*ISNUMBER(SEARCH(실물목록!$Q$2:$Q$1001,I2247))*(실물목록!$R$2:$R$1001="")*(실물목록!$O$2:$O$1001&lt;&gt;"")*(실물목록!$O$2:$O$1001=H2247)))</f>
      </c>
      <c r="H2247" t="str">
        <f>IFERROR(IF(AND(LEN(SUBSTITUTE(SUBSTITUTE(SUBSTITUTE(TRIM(A2247&amp;""),CHAR(160),"")," ",""),"년",""))=4,VALUE(SUBSTITUTE(SUBSTITUTE(SUBSTITUTE(TRIM(A2247&amp;""),CHAR(160),"")," ",""),"년",""))&gt;=1900,VALUE(SUBSTITUTE(SUBSTITUTE(SUBSTITUTE(TRIM(A2247&amp;""),CHAR(160),"")," ",""),"년",""))&lt;=2099,TEXT(VALUE(SUBSTITUTE(SUBSTITUTE(SUBSTITUTE(TRIM(A2247&amp;""),CHAR(160),"")," ",""),"년","")),"0000")=SUBSTITUTE(SUBSTITUTE(SUBSTITUTE(TRIM(A2247&amp;""),CHAR(160),"")," ",""),"년","")),SUBSTITUTE(SUBSTITUTE(SUBSTITUTE(TRIM(A2247&amp;""),CHAR(160),"")," ",""),"년",""),""),"")</f>
      </c>
      <c r="I2247" t="str">
        <f>SUBSTITUTE(SUBSTITUTE(SUBSTITUTE(SUBSTITUTE(SUBSTITUTE(TRIM(B2247&amp;""),CHAR(160),"")," ",""),"초등학교","초"),"중학교","중"),"고등학교","고")</f>
      </c>
    </row>
    <row r="2248" customFormat="false" ht="15" hidden="false" customHeight="false" outlineLevel="0" collapsed="false">
      <c r="A2248" s="8"/>
      <c r="B2248" s="8"/>
      <c r="C2248" s="8"/>
      <c r="D2248" s="8"/>
      <c r="E2248" s="8"/>
      <c r="F2248" t="str" s="15">
        <f aca="0">IF(B2248="","",IF(H2248="","확인필요(입력누락)",IF(SUMPRODUCT((실물목록!$P$2:$P$1001&lt;&gt;"")*ISNUMBER(SEARCH(실물목록!$P$2:$P$1001,I2248))*(실물목록!$Q$2:$Q$1001&lt;&gt;"")*ISNUMBER(SEARCH(실물목록!$Q$2:$Q$1001,I2248))*(실물목록!$R$2:$R$1001="")*(실물목록!$O$2:$O$1001&lt;&gt;"")*(실물목록!$O$2:$O$1001=H2248))&gt;0,"실물 있음",IF(SUMPRODUCT((실물목록!$P$2:$P$1001&lt;&gt;"")*ISNUMBER(SEARCH(실물목록!$P$2:$P$1001,I2248))*(실물목록!$R$2:$R$1001&lt;&gt;""))&gt;0,"확인필요(입력누락)",IF(SUMPRODUCT((실물목록!$P$2:$P$1001&lt;&gt;"")*ISNUMBER(SEARCH(실물목록!$P$2:$P$1001,I2248))*(실물목록!$Q$2:$Q$1001&lt;&gt;"")*ISNUMBER(SEARCH(실물목록!$Q$2:$Q$1001,I2248))*(실물목록!$R$2:$R$1001="")*(실물목록!$O$2:$O$1001&lt;&gt;""))&gt;0,"확인필요(연도다름)","실물 없음")))))</f>
      </c>
      <c r="G2248" t="n" s="16">
        <f aca="0">IF(B2248="","",SUMPRODUCT((실물목록!$P$2:$P$1001&lt;&gt;"")*ISNUMBER(SEARCH(실물목록!$P$2:$P$1001,I2248))*(실물목록!$Q$2:$Q$1001&lt;&gt;"")*ISNUMBER(SEARCH(실물목록!$Q$2:$Q$1001,I2248))*(실물목록!$R$2:$R$1001="")*(실물목록!$O$2:$O$1001&lt;&gt;"")*(실물목록!$O$2:$O$1001=H2248)))</f>
      </c>
      <c r="H2248" t="str">
        <f>IFERROR(IF(AND(LEN(SUBSTITUTE(SUBSTITUTE(SUBSTITUTE(TRIM(A2248&amp;""),CHAR(160),"")," ",""),"년",""))=4,VALUE(SUBSTITUTE(SUBSTITUTE(SUBSTITUTE(TRIM(A2248&amp;""),CHAR(160),"")," ",""),"년",""))&gt;=1900,VALUE(SUBSTITUTE(SUBSTITUTE(SUBSTITUTE(TRIM(A2248&amp;""),CHAR(160),"")," ",""),"년",""))&lt;=2099,TEXT(VALUE(SUBSTITUTE(SUBSTITUTE(SUBSTITUTE(TRIM(A2248&amp;""),CHAR(160),"")," ",""),"년","")),"0000")=SUBSTITUTE(SUBSTITUTE(SUBSTITUTE(TRIM(A2248&amp;""),CHAR(160),"")," ",""),"년","")),SUBSTITUTE(SUBSTITUTE(SUBSTITUTE(TRIM(A2248&amp;""),CHAR(160),"")," ",""),"년",""),""),"")</f>
      </c>
      <c r="I2248" t="str">
        <f>SUBSTITUTE(SUBSTITUTE(SUBSTITUTE(SUBSTITUTE(SUBSTITUTE(TRIM(B2248&amp;""),CHAR(160),"")," ",""),"초등학교","초"),"중학교","중"),"고등학교","고")</f>
      </c>
    </row>
    <row r="2249" customFormat="false" ht="15" hidden="false" customHeight="false" outlineLevel="0" collapsed="false">
      <c r="A2249" s="8"/>
      <c r="B2249" s="8"/>
      <c r="C2249" s="8"/>
      <c r="D2249" s="8"/>
      <c r="E2249" s="8"/>
      <c r="F2249" t="str" s="15">
        <f aca="0">IF(B2249="","",IF(H2249="","확인필요(입력누락)",IF(SUMPRODUCT((실물목록!$P$2:$P$1001&lt;&gt;"")*ISNUMBER(SEARCH(실물목록!$P$2:$P$1001,I2249))*(실물목록!$Q$2:$Q$1001&lt;&gt;"")*ISNUMBER(SEARCH(실물목록!$Q$2:$Q$1001,I2249))*(실물목록!$R$2:$R$1001="")*(실물목록!$O$2:$O$1001&lt;&gt;"")*(실물목록!$O$2:$O$1001=H2249))&gt;0,"실물 있음",IF(SUMPRODUCT((실물목록!$P$2:$P$1001&lt;&gt;"")*ISNUMBER(SEARCH(실물목록!$P$2:$P$1001,I2249))*(실물목록!$R$2:$R$1001&lt;&gt;""))&gt;0,"확인필요(입력누락)",IF(SUMPRODUCT((실물목록!$P$2:$P$1001&lt;&gt;"")*ISNUMBER(SEARCH(실물목록!$P$2:$P$1001,I2249))*(실물목록!$Q$2:$Q$1001&lt;&gt;"")*ISNUMBER(SEARCH(실물목록!$Q$2:$Q$1001,I2249))*(실물목록!$R$2:$R$1001="")*(실물목록!$O$2:$O$1001&lt;&gt;""))&gt;0,"확인필요(연도다름)","실물 없음")))))</f>
      </c>
      <c r="G2249" t="n" s="16">
        <f aca="0">IF(B2249="","",SUMPRODUCT((실물목록!$P$2:$P$1001&lt;&gt;"")*ISNUMBER(SEARCH(실물목록!$P$2:$P$1001,I2249))*(실물목록!$Q$2:$Q$1001&lt;&gt;"")*ISNUMBER(SEARCH(실물목록!$Q$2:$Q$1001,I2249))*(실물목록!$R$2:$R$1001="")*(실물목록!$O$2:$O$1001&lt;&gt;"")*(실물목록!$O$2:$O$1001=H2249)))</f>
      </c>
      <c r="H2249" t="str">
        <f>IFERROR(IF(AND(LEN(SUBSTITUTE(SUBSTITUTE(SUBSTITUTE(TRIM(A2249&amp;""),CHAR(160),"")," ",""),"년",""))=4,VALUE(SUBSTITUTE(SUBSTITUTE(SUBSTITUTE(TRIM(A2249&amp;""),CHAR(160),"")," ",""),"년",""))&gt;=1900,VALUE(SUBSTITUTE(SUBSTITUTE(SUBSTITUTE(TRIM(A2249&amp;""),CHAR(160),"")," ",""),"년",""))&lt;=2099,TEXT(VALUE(SUBSTITUTE(SUBSTITUTE(SUBSTITUTE(TRIM(A2249&amp;""),CHAR(160),"")," ",""),"년","")),"0000")=SUBSTITUTE(SUBSTITUTE(SUBSTITUTE(TRIM(A2249&amp;""),CHAR(160),"")," ",""),"년","")),SUBSTITUTE(SUBSTITUTE(SUBSTITUTE(TRIM(A2249&amp;""),CHAR(160),"")," ",""),"년",""),""),"")</f>
      </c>
      <c r="I2249" t="str">
        <f>SUBSTITUTE(SUBSTITUTE(SUBSTITUTE(SUBSTITUTE(SUBSTITUTE(TRIM(B2249&amp;""),CHAR(160),"")," ",""),"초등학교","초"),"중학교","중"),"고등학교","고")</f>
      </c>
    </row>
    <row r="2250" customFormat="false" ht="15" hidden="false" customHeight="false" outlineLevel="0" collapsed="false">
      <c r="A2250" s="8"/>
      <c r="B2250" s="8"/>
      <c r="C2250" s="8"/>
      <c r="D2250" s="8"/>
      <c r="E2250" s="8"/>
      <c r="F2250" t="str" s="15">
        <f aca="0">IF(B2250="","",IF(H2250="","확인필요(입력누락)",IF(SUMPRODUCT((실물목록!$P$2:$P$1001&lt;&gt;"")*ISNUMBER(SEARCH(실물목록!$P$2:$P$1001,I2250))*(실물목록!$Q$2:$Q$1001&lt;&gt;"")*ISNUMBER(SEARCH(실물목록!$Q$2:$Q$1001,I2250))*(실물목록!$R$2:$R$1001="")*(실물목록!$O$2:$O$1001&lt;&gt;"")*(실물목록!$O$2:$O$1001=H2250))&gt;0,"실물 있음",IF(SUMPRODUCT((실물목록!$P$2:$P$1001&lt;&gt;"")*ISNUMBER(SEARCH(실물목록!$P$2:$P$1001,I2250))*(실물목록!$R$2:$R$1001&lt;&gt;""))&gt;0,"확인필요(입력누락)",IF(SUMPRODUCT((실물목록!$P$2:$P$1001&lt;&gt;"")*ISNUMBER(SEARCH(실물목록!$P$2:$P$1001,I2250))*(실물목록!$Q$2:$Q$1001&lt;&gt;"")*ISNUMBER(SEARCH(실물목록!$Q$2:$Q$1001,I2250))*(실물목록!$R$2:$R$1001="")*(실물목록!$O$2:$O$1001&lt;&gt;""))&gt;0,"확인필요(연도다름)","실물 없음")))))</f>
      </c>
      <c r="G2250" t="n" s="16">
        <f aca="0">IF(B2250="","",SUMPRODUCT((실물목록!$P$2:$P$1001&lt;&gt;"")*ISNUMBER(SEARCH(실물목록!$P$2:$P$1001,I2250))*(실물목록!$Q$2:$Q$1001&lt;&gt;"")*ISNUMBER(SEARCH(실물목록!$Q$2:$Q$1001,I2250))*(실물목록!$R$2:$R$1001="")*(실물목록!$O$2:$O$1001&lt;&gt;"")*(실물목록!$O$2:$O$1001=H2250)))</f>
      </c>
      <c r="H2250" t="str">
        <f>IFERROR(IF(AND(LEN(SUBSTITUTE(SUBSTITUTE(SUBSTITUTE(TRIM(A2250&amp;""),CHAR(160),"")," ",""),"년",""))=4,VALUE(SUBSTITUTE(SUBSTITUTE(SUBSTITUTE(TRIM(A2250&amp;""),CHAR(160),"")," ",""),"년",""))&gt;=1900,VALUE(SUBSTITUTE(SUBSTITUTE(SUBSTITUTE(TRIM(A2250&amp;""),CHAR(160),"")," ",""),"년",""))&lt;=2099,TEXT(VALUE(SUBSTITUTE(SUBSTITUTE(SUBSTITUTE(TRIM(A2250&amp;""),CHAR(160),"")," ",""),"년","")),"0000")=SUBSTITUTE(SUBSTITUTE(SUBSTITUTE(TRIM(A2250&amp;""),CHAR(160),"")," ",""),"년","")),SUBSTITUTE(SUBSTITUTE(SUBSTITUTE(TRIM(A2250&amp;""),CHAR(160),"")," ",""),"년",""),""),"")</f>
      </c>
      <c r="I2250" t="str">
        <f>SUBSTITUTE(SUBSTITUTE(SUBSTITUTE(SUBSTITUTE(SUBSTITUTE(TRIM(B2250&amp;""),CHAR(160),"")," ",""),"초등학교","초"),"중학교","중"),"고등학교","고")</f>
      </c>
    </row>
    <row r="2251" customFormat="false" ht="15" hidden="false" customHeight="false" outlineLevel="0" collapsed="false">
      <c r="A2251" s="8"/>
      <c r="B2251" s="8"/>
      <c r="C2251" s="8"/>
      <c r="D2251" s="8"/>
      <c r="E2251" s="8"/>
      <c r="F2251" t="str" s="15">
        <f aca="0">IF(B2251="","",IF(H2251="","확인필요(입력누락)",IF(SUMPRODUCT((실물목록!$P$2:$P$1001&lt;&gt;"")*ISNUMBER(SEARCH(실물목록!$P$2:$P$1001,I2251))*(실물목록!$Q$2:$Q$1001&lt;&gt;"")*ISNUMBER(SEARCH(실물목록!$Q$2:$Q$1001,I2251))*(실물목록!$R$2:$R$1001="")*(실물목록!$O$2:$O$1001&lt;&gt;"")*(실물목록!$O$2:$O$1001=H2251))&gt;0,"실물 있음",IF(SUMPRODUCT((실물목록!$P$2:$P$1001&lt;&gt;"")*ISNUMBER(SEARCH(실물목록!$P$2:$P$1001,I2251))*(실물목록!$R$2:$R$1001&lt;&gt;""))&gt;0,"확인필요(입력누락)",IF(SUMPRODUCT((실물목록!$P$2:$P$1001&lt;&gt;"")*ISNUMBER(SEARCH(실물목록!$P$2:$P$1001,I2251))*(실물목록!$Q$2:$Q$1001&lt;&gt;"")*ISNUMBER(SEARCH(실물목록!$Q$2:$Q$1001,I2251))*(실물목록!$R$2:$R$1001="")*(실물목록!$O$2:$O$1001&lt;&gt;""))&gt;0,"확인필요(연도다름)","실물 없음")))))</f>
      </c>
      <c r="G2251" t="n" s="16">
        <f aca="0">IF(B2251="","",SUMPRODUCT((실물목록!$P$2:$P$1001&lt;&gt;"")*ISNUMBER(SEARCH(실물목록!$P$2:$P$1001,I2251))*(실물목록!$Q$2:$Q$1001&lt;&gt;"")*ISNUMBER(SEARCH(실물목록!$Q$2:$Q$1001,I2251))*(실물목록!$R$2:$R$1001="")*(실물목록!$O$2:$O$1001&lt;&gt;"")*(실물목록!$O$2:$O$1001=H2251)))</f>
      </c>
      <c r="H2251" t="str">
        <f>IFERROR(IF(AND(LEN(SUBSTITUTE(SUBSTITUTE(SUBSTITUTE(TRIM(A2251&amp;""),CHAR(160),"")," ",""),"년",""))=4,VALUE(SUBSTITUTE(SUBSTITUTE(SUBSTITUTE(TRIM(A2251&amp;""),CHAR(160),"")," ",""),"년",""))&gt;=1900,VALUE(SUBSTITUTE(SUBSTITUTE(SUBSTITUTE(TRIM(A2251&amp;""),CHAR(160),"")," ",""),"년",""))&lt;=2099,TEXT(VALUE(SUBSTITUTE(SUBSTITUTE(SUBSTITUTE(TRIM(A2251&amp;""),CHAR(160),"")," ",""),"년","")),"0000")=SUBSTITUTE(SUBSTITUTE(SUBSTITUTE(TRIM(A2251&amp;""),CHAR(160),"")," ",""),"년","")),SUBSTITUTE(SUBSTITUTE(SUBSTITUTE(TRIM(A2251&amp;""),CHAR(160),"")," ",""),"년",""),""),"")</f>
      </c>
      <c r="I2251" t="str">
        <f>SUBSTITUTE(SUBSTITUTE(SUBSTITUTE(SUBSTITUTE(SUBSTITUTE(TRIM(B2251&amp;""),CHAR(160),"")," ",""),"초등학교","초"),"중학교","중"),"고등학교","고")</f>
      </c>
    </row>
    <row r="2252" customFormat="false" ht="15" hidden="false" customHeight="false" outlineLevel="0" collapsed="false">
      <c r="A2252" s="8"/>
      <c r="B2252" s="8"/>
      <c r="C2252" s="8"/>
      <c r="D2252" s="8"/>
      <c r="E2252" s="8"/>
      <c r="F2252" t="str" s="15">
        <f aca="0">IF(B2252="","",IF(H2252="","확인필요(입력누락)",IF(SUMPRODUCT((실물목록!$P$2:$P$1001&lt;&gt;"")*ISNUMBER(SEARCH(실물목록!$P$2:$P$1001,I2252))*(실물목록!$Q$2:$Q$1001&lt;&gt;"")*ISNUMBER(SEARCH(실물목록!$Q$2:$Q$1001,I2252))*(실물목록!$R$2:$R$1001="")*(실물목록!$O$2:$O$1001&lt;&gt;"")*(실물목록!$O$2:$O$1001=H2252))&gt;0,"실물 있음",IF(SUMPRODUCT((실물목록!$P$2:$P$1001&lt;&gt;"")*ISNUMBER(SEARCH(실물목록!$P$2:$P$1001,I2252))*(실물목록!$R$2:$R$1001&lt;&gt;""))&gt;0,"확인필요(입력누락)",IF(SUMPRODUCT((실물목록!$P$2:$P$1001&lt;&gt;"")*ISNUMBER(SEARCH(실물목록!$P$2:$P$1001,I2252))*(실물목록!$Q$2:$Q$1001&lt;&gt;"")*ISNUMBER(SEARCH(실물목록!$Q$2:$Q$1001,I2252))*(실물목록!$R$2:$R$1001="")*(실물목록!$O$2:$O$1001&lt;&gt;""))&gt;0,"확인필요(연도다름)","실물 없음")))))</f>
      </c>
      <c r="G2252" t="n" s="16">
        <f aca="0">IF(B2252="","",SUMPRODUCT((실물목록!$P$2:$P$1001&lt;&gt;"")*ISNUMBER(SEARCH(실물목록!$P$2:$P$1001,I2252))*(실물목록!$Q$2:$Q$1001&lt;&gt;"")*ISNUMBER(SEARCH(실물목록!$Q$2:$Q$1001,I2252))*(실물목록!$R$2:$R$1001="")*(실물목록!$O$2:$O$1001&lt;&gt;"")*(실물목록!$O$2:$O$1001=H2252)))</f>
      </c>
      <c r="H2252" t="str">
        <f>IFERROR(IF(AND(LEN(SUBSTITUTE(SUBSTITUTE(SUBSTITUTE(TRIM(A2252&amp;""),CHAR(160),"")," ",""),"년",""))=4,VALUE(SUBSTITUTE(SUBSTITUTE(SUBSTITUTE(TRIM(A2252&amp;""),CHAR(160),"")," ",""),"년",""))&gt;=1900,VALUE(SUBSTITUTE(SUBSTITUTE(SUBSTITUTE(TRIM(A2252&amp;""),CHAR(160),"")," ",""),"년",""))&lt;=2099,TEXT(VALUE(SUBSTITUTE(SUBSTITUTE(SUBSTITUTE(TRIM(A2252&amp;""),CHAR(160),"")," ",""),"년","")),"0000")=SUBSTITUTE(SUBSTITUTE(SUBSTITUTE(TRIM(A2252&amp;""),CHAR(160),"")," ",""),"년","")),SUBSTITUTE(SUBSTITUTE(SUBSTITUTE(TRIM(A2252&amp;""),CHAR(160),"")," ",""),"년",""),""),"")</f>
      </c>
      <c r="I2252" t="str">
        <f>SUBSTITUTE(SUBSTITUTE(SUBSTITUTE(SUBSTITUTE(SUBSTITUTE(TRIM(B2252&amp;""),CHAR(160),"")," ",""),"초등학교","초"),"중학교","중"),"고등학교","고")</f>
      </c>
    </row>
    <row r="2253" customFormat="false" ht="15" hidden="false" customHeight="false" outlineLevel="0" collapsed="false">
      <c r="A2253" s="8"/>
      <c r="B2253" s="8"/>
      <c r="C2253" s="8"/>
      <c r="D2253" s="8"/>
      <c r="E2253" s="8"/>
      <c r="F2253" t="str" s="15">
        <f aca="0">IF(B2253="","",IF(H2253="","확인필요(입력누락)",IF(SUMPRODUCT((실물목록!$P$2:$P$1001&lt;&gt;"")*ISNUMBER(SEARCH(실물목록!$P$2:$P$1001,I2253))*(실물목록!$Q$2:$Q$1001&lt;&gt;"")*ISNUMBER(SEARCH(실물목록!$Q$2:$Q$1001,I2253))*(실물목록!$R$2:$R$1001="")*(실물목록!$O$2:$O$1001&lt;&gt;"")*(실물목록!$O$2:$O$1001=H2253))&gt;0,"실물 있음",IF(SUMPRODUCT((실물목록!$P$2:$P$1001&lt;&gt;"")*ISNUMBER(SEARCH(실물목록!$P$2:$P$1001,I2253))*(실물목록!$R$2:$R$1001&lt;&gt;""))&gt;0,"확인필요(입력누락)",IF(SUMPRODUCT((실물목록!$P$2:$P$1001&lt;&gt;"")*ISNUMBER(SEARCH(실물목록!$P$2:$P$1001,I2253))*(실물목록!$Q$2:$Q$1001&lt;&gt;"")*ISNUMBER(SEARCH(실물목록!$Q$2:$Q$1001,I2253))*(실물목록!$R$2:$R$1001="")*(실물목록!$O$2:$O$1001&lt;&gt;""))&gt;0,"확인필요(연도다름)","실물 없음")))))</f>
      </c>
      <c r="G2253" t="n" s="16">
        <f aca="0">IF(B2253="","",SUMPRODUCT((실물목록!$P$2:$P$1001&lt;&gt;"")*ISNUMBER(SEARCH(실물목록!$P$2:$P$1001,I2253))*(실물목록!$Q$2:$Q$1001&lt;&gt;"")*ISNUMBER(SEARCH(실물목록!$Q$2:$Q$1001,I2253))*(실물목록!$R$2:$R$1001="")*(실물목록!$O$2:$O$1001&lt;&gt;"")*(실물목록!$O$2:$O$1001=H2253)))</f>
      </c>
      <c r="H2253" t="str">
        <f>IFERROR(IF(AND(LEN(SUBSTITUTE(SUBSTITUTE(SUBSTITUTE(TRIM(A2253&amp;""),CHAR(160),"")," ",""),"년",""))=4,VALUE(SUBSTITUTE(SUBSTITUTE(SUBSTITUTE(TRIM(A2253&amp;""),CHAR(160),"")," ",""),"년",""))&gt;=1900,VALUE(SUBSTITUTE(SUBSTITUTE(SUBSTITUTE(TRIM(A2253&amp;""),CHAR(160),"")," ",""),"년",""))&lt;=2099,TEXT(VALUE(SUBSTITUTE(SUBSTITUTE(SUBSTITUTE(TRIM(A2253&amp;""),CHAR(160),"")," ",""),"년","")),"0000")=SUBSTITUTE(SUBSTITUTE(SUBSTITUTE(TRIM(A2253&amp;""),CHAR(160),"")," ",""),"년","")),SUBSTITUTE(SUBSTITUTE(SUBSTITUTE(TRIM(A2253&amp;""),CHAR(160),"")," ",""),"년",""),""),"")</f>
      </c>
      <c r="I2253" t="str">
        <f>SUBSTITUTE(SUBSTITUTE(SUBSTITUTE(SUBSTITUTE(SUBSTITUTE(TRIM(B2253&amp;""),CHAR(160),"")," ",""),"초등학교","초"),"중학교","중"),"고등학교","고")</f>
      </c>
    </row>
    <row r="2254" customFormat="false" ht="15" hidden="false" customHeight="false" outlineLevel="0" collapsed="false">
      <c r="A2254" s="8"/>
      <c r="B2254" s="8"/>
      <c r="C2254" s="8"/>
      <c r="D2254" s="8"/>
      <c r="E2254" s="8"/>
      <c r="F2254" t="str" s="15">
        <f aca="0">IF(B2254="","",IF(H2254="","확인필요(입력누락)",IF(SUMPRODUCT((실물목록!$P$2:$P$1001&lt;&gt;"")*ISNUMBER(SEARCH(실물목록!$P$2:$P$1001,I2254))*(실물목록!$Q$2:$Q$1001&lt;&gt;"")*ISNUMBER(SEARCH(실물목록!$Q$2:$Q$1001,I2254))*(실물목록!$R$2:$R$1001="")*(실물목록!$O$2:$O$1001&lt;&gt;"")*(실물목록!$O$2:$O$1001=H2254))&gt;0,"실물 있음",IF(SUMPRODUCT((실물목록!$P$2:$P$1001&lt;&gt;"")*ISNUMBER(SEARCH(실물목록!$P$2:$P$1001,I2254))*(실물목록!$R$2:$R$1001&lt;&gt;""))&gt;0,"확인필요(입력누락)",IF(SUMPRODUCT((실물목록!$P$2:$P$1001&lt;&gt;"")*ISNUMBER(SEARCH(실물목록!$P$2:$P$1001,I2254))*(실물목록!$Q$2:$Q$1001&lt;&gt;"")*ISNUMBER(SEARCH(실물목록!$Q$2:$Q$1001,I2254))*(실물목록!$R$2:$R$1001="")*(실물목록!$O$2:$O$1001&lt;&gt;""))&gt;0,"확인필요(연도다름)","실물 없음")))))</f>
      </c>
      <c r="G2254" t="n" s="16">
        <f aca="0">IF(B2254="","",SUMPRODUCT((실물목록!$P$2:$P$1001&lt;&gt;"")*ISNUMBER(SEARCH(실물목록!$P$2:$P$1001,I2254))*(실물목록!$Q$2:$Q$1001&lt;&gt;"")*ISNUMBER(SEARCH(실물목록!$Q$2:$Q$1001,I2254))*(실물목록!$R$2:$R$1001="")*(실물목록!$O$2:$O$1001&lt;&gt;"")*(실물목록!$O$2:$O$1001=H2254)))</f>
      </c>
      <c r="H2254" t="str">
        <f>IFERROR(IF(AND(LEN(SUBSTITUTE(SUBSTITUTE(SUBSTITUTE(TRIM(A2254&amp;""),CHAR(160),"")," ",""),"년",""))=4,VALUE(SUBSTITUTE(SUBSTITUTE(SUBSTITUTE(TRIM(A2254&amp;""),CHAR(160),"")," ",""),"년",""))&gt;=1900,VALUE(SUBSTITUTE(SUBSTITUTE(SUBSTITUTE(TRIM(A2254&amp;""),CHAR(160),"")," ",""),"년",""))&lt;=2099,TEXT(VALUE(SUBSTITUTE(SUBSTITUTE(SUBSTITUTE(TRIM(A2254&amp;""),CHAR(160),"")," ",""),"년","")),"0000")=SUBSTITUTE(SUBSTITUTE(SUBSTITUTE(TRIM(A2254&amp;""),CHAR(160),"")," ",""),"년","")),SUBSTITUTE(SUBSTITUTE(SUBSTITUTE(TRIM(A2254&amp;""),CHAR(160),"")," ",""),"년",""),""),"")</f>
      </c>
      <c r="I2254" t="str">
        <f>SUBSTITUTE(SUBSTITUTE(SUBSTITUTE(SUBSTITUTE(SUBSTITUTE(TRIM(B2254&amp;""),CHAR(160),"")," ",""),"초등학교","초"),"중학교","중"),"고등학교","고")</f>
      </c>
    </row>
    <row r="2255" customFormat="false" ht="15" hidden="false" customHeight="false" outlineLevel="0" collapsed="false">
      <c r="A2255" s="8"/>
      <c r="B2255" s="8"/>
      <c r="C2255" s="8"/>
      <c r="D2255" s="8"/>
      <c r="E2255" s="8"/>
      <c r="F2255" t="str" s="15">
        <f aca="0">IF(B2255="","",IF(H2255="","확인필요(입력누락)",IF(SUMPRODUCT((실물목록!$P$2:$P$1001&lt;&gt;"")*ISNUMBER(SEARCH(실물목록!$P$2:$P$1001,I2255))*(실물목록!$Q$2:$Q$1001&lt;&gt;"")*ISNUMBER(SEARCH(실물목록!$Q$2:$Q$1001,I2255))*(실물목록!$R$2:$R$1001="")*(실물목록!$O$2:$O$1001&lt;&gt;"")*(실물목록!$O$2:$O$1001=H2255))&gt;0,"실물 있음",IF(SUMPRODUCT((실물목록!$P$2:$P$1001&lt;&gt;"")*ISNUMBER(SEARCH(실물목록!$P$2:$P$1001,I2255))*(실물목록!$R$2:$R$1001&lt;&gt;""))&gt;0,"확인필요(입력누락)",IF(SUMPRODUCT((실물목록!$P$2:$P$1001&lt;&gt;"")*ISNUMBER(SEARCH(실물목록!$P$2:$P$1001,I2255))*(실물목록!$Q$2:$Q$1001&lt;&gt;"")*ISNUMBER(SEARCH(실물목록!$Q$2:$Q$1001,I2255))*(실물목록!$R$2:$R$1001="")*(실물목록!$O$2:$O$1001&lt;&gt;""))&gt;0,"확인필요(연도다름)","실물 없음")))))</f>
      </c>
      <c r="G2255" t="n" s="16">
        <f aca="0">IF(B2255="","",SUMPRODUCT((실물목록!$P$2:$P$1001&lt;&gt;"")*ISNUMBER(SEARCH(실물목록!$P$2:$P$1001,I2255))*(실물목록!$Q$2:$Q$1001&lt;&gt;"")*ISNUMBER(SEARCH(실물목록!$Q$2:$Q$1001,I2255))*(실물목록!$R$2:$R$1001="")*(실물목록!$O$2:$O$1001&lt;&gt;"")*(실물목록!$O$2:$O$1001=H2255)))</f>
      </c>
      <c r="H2255" t="str">
        <f>IFERROR(IF(AND(LEN(SUBSTITUTE(SUBSTITUTE(SUBSTITUTE(TRIM(A2255&amp;""),CHAR(160),"")," ",""),"년",""))=4,VALUE(SUBSTITUTE(SUBSTITUTE(SUBSTITUTE(TRIM(A2255&amp;""),CHAR(160),"")," ",""),"년",""))&gt;=1900,VALUE(SUBSTITUTE(SUBSTITUTE(SUBSTITUTE(TRIM(A2255&amp;""),CHAR(160),"")," ",""),"년",""))&lt;=2099,TEXT(VALUE(SUBSTITUTE(SUBSTITUTE(SUBSTITUTE(TRIM(A2255&amp;""),CHAR(160),"")," ",""),"년","")),"0000")=SUBSTITUTE(SUBSTITUTE(SUBSTITUTE(TRIM(A2255&amp;""),CHAR(160),"")," ",""),"년","")),SUBSTITUTE(SUBSTITUTE(SUBSTITUTE(TRIM(A2255&amp;""),CHAR(160),"")," ",""),"년",""),""),"")</f>
      </c>
      <c r="I2255" t="str">
        <f>SUBSTITUTE(SUBSTITUTE(SUBSTITUTE(SUBSTITUTE(SUBSTITUTE(TRIM(B2255&amp;""),CHAR(160),"")," ",""),"초등학교","초"),"중학교","중"),"고등학교","고")</f>
      </c>
    </row>
    <row r="2256" customFormat="false" ht="15" hidden="false" customHeight="false" outlineLevel="0" collapsed="false">
      <c r="A2256" s="8"/>
      <c r="B2256" s="8"/>
      <c r="C2256" s="8"/>
      <c r="D2256" s="8"/>
      <c r="E2256" s="8"/>
      <c r="F2256" t="str" s="15">
        <f aca="0">IF(B2256="","",IF(H2256="","확인필요(입력누락)",IF(SUMPRODUCT((실물목록!$P$2:$P$1001&lt;&gt;"")*ISNUMBER(SEARCH(실물목록!$P$2:$P$1001,I2256))*(실물목록!$Q$2:$Q$1001&lt;&gt;"")*ISNUMBER(SEARCH(실물목록!$Q$2:$Q$1001,I2256))*(실물목록!$R$2:$R$1001="")*(실물목록!$O$2:$O$1001&lt;&gt;"")*(실물목록!$O$2:$O$1001=H2256))&gt;0,"실물 있음",IF(SUMPRODUCT((실물목록!$P$2:$P$1001&lt;&gt;"")*ISNUMBER(SEARCH(실물목록!$P$2:$P$1001,I2256))*(실물목록!$R$2:$R$1001&lt;&gt;""))&gt;0,"확인필요(입력누락)",IF(SUMPRODUCT((실물목록!$P$2:$P$1001&lt;&gt;"")*ISNUMBER(SEARCH(실물목록!$P$2:$P$1001,I2256))*(실물목록!$Q$2:$Q$1001&lt;&gt;"")*ISNUMBER(SEARCH(실물목록!$Q$2:$Q$1001,I2256))*(실물목록!$R$2:$R$1001="")*(실물목록!$O$2:$O$1001&lt;&gt;""))&gt;0,"확인필요(연도다름)","실물 없음")))))</f>
      </c>
      <c r="G2256" t="n" s="16">
        <f aca="0">IF(B2256="","",SUMPRODUCT((실물목록!$P$2:$P$1001&lt;&gt;"")*ISNUMBER(SEARCH(실물목록!$P$2:$P$1001,I2256))*(실물목록!$Q$2:$Q$1001&lt;&gt;"")*ISNUMBER(SEARCH(실물목록!$Q$2:$Q$1001,I2256))*(실물목록!$R$2:$R$1001="")*(실물목록!$O$2:$O$1001&lt;&gt;"")*(실물목록!$O$2:$O$1001=H2256)))</f>
      </c>
      <c r="H2256" t="str">
        <f>IFERROR(IF(AND(LEN(SUBSTITUTE(SUBSTITUTE(SUBSTITUTE(TRIM(A2256&amp;""),CHAR(160),"")," ",""),"년",""))=4,VALUE(SUBSTITUTE(SUBSTITUTE(SUBSTITUTE(TRIM(A2256&amp;""),CHAR(160),"")," ",""),"년",""))&gt;=1900,VALUE(SUBSTITUTE(SUBSTITUTE(SUBSTITUTE(TRIM(A2256&amp;""),CHAR(160),"")," ",""),"년",""))&lt;=2099,TEXT(VALUE(SUBSTITUTE(SUBSTITUTE(SUBSTITUTE(TRIM(A2256&amp;""),CHAR(160),"")," ",""),"년","")),"0000")=SUBSTITUTE(SUBSTITUTE(SUBSTITUTE(TRIM(A2256&amp;""),CHAR(160),"")," ",""),"년","")),SUBSTITUTE(SUBSTITUTE(SUBSTITUTE(TRIM(A2256&amp;""),CHAR(160),"")," ",""),"년",""),""),"")</f>
      </c>
      <c r="I2256" t="str">
        <f>SUBSTITUTE(SUBSTITUTE(SUBSTITUTE(SUBSTITUTE(SUBSTITUTE(TRIM(B2256&amp;""),CHAR(160),"")," ",""),"초등학교","초"),"중학교","중"),"고등학교","고")</f>
      </c>
    </row>
    <row r="2257" customFormat="false" ht="15" hidden="false" customHeight="false" outlineLevel="0" collapsed="false">
      <c r="A2257" s="8"/>
      <c r="B2257" s="8"/>
      <c r="C2257" s="8"/>
      <c r="D2257" s="8"/>
      <c r="E2257" s="8"/>
      <c r="F2257" t="str" s="15">
        <f aca="0">IF(B2257="","",IF(H2257="","확인필요(입력누락)",IF(SUMPRODUCT((실물목록!$P$2:$P$1001&lt;&gt;"")*ISNUMBER(SEARCH(실물목록!$P$2:$P$1001,I2257))*(실물목록!$Q$2:$Q$1001&lt;&gt;"")*ISNUMBER(SEARCH(실물목록!$Q$2:$Q$1001,I2257))*(실물목록!$R$2:$R$1001="")*(실물목록!$O$2:$O$1001&lt;&gt;"")*(실물목록!$O$2:$O$1001=H2257))&gt;0,"실물 있음",IF(SUMPRODUCT((실물목록!$P$2:$P$1001&lt;&gt;"")*ISNUMBER(SEARCH(실물목록!$P$2:$P$1001,I2257))*(실물목록!$R$2:$R$1001&lt;&gt;""))&gt;0,"확인필요(입력누락)",IF(SUMPRODUCT((실물목록!$P$2:$P$1001&lt;&gt;"")*ISNUMBER(SEARCH(실물목록!$P$2:$P$1001,I2257))*(실물목록!$Q$2:$Q$1001&lt;&gt;"")*ISNUMBER(SEARCH(실물목록!$Q$2:$Q$1001,I2257))*(실물목록!$R$2:$R$1001="")*(실물목록!$O$2:$O$1001&lt;&gt;""))&gt;0,"확인필요(연도다름)","실물 없음")))))</f>
      </c>
      <c r="G2257" t="n" s="16">
        <f aca="0">IF(B2257="","",SUMPRODUCT((실물목록!$P$2:$P$1001&lt;&gt;"")*ISNUMBER(SEARCH(실물목록!$P$2:$P$1001,I2257))*(실물목록!$Q$2:$Q$1001&lt;&gt;"")*ISNUMBER(SEARCH(실물목록!$Q$2:$Q$1001,I2257))*(실물목록!$R$2:$R$1001="")*(실물목록!$O$2:$O$1001&lt;&gt;"")*(실물목록!$O$2:$O$1001=H2257)))</f>
      </c>
      <c r="H2257" t="str">
        <f>IFERROR(IF(AND(LEN(SUBSTITUTE(SUBSTITUTE(SUBSTITUTE(TRIM(A2257&amp;""),CHAR(160),"")," ",""),"년",""))=4,VALUE(SUBSTITUTE(SUBSTITUTE(SUBSTITUTE(TRIM(A2257&amp;""),CHAR(160),"")," ",""),"년",""))&gt;=1900,VALUE(SUBSTITUTE(SUBSTITUTE(SUBSTITUTE(TRIM(A2257&amp;""),CHAR(160),"")," ",""),"년",""))&lt;=2099,TEXT(VALUE(SUBSTITUTE(SUBSTITUTE(SUBSTITUTE(TRIM(A2257&amp;""),CHAR(160),"")," ",""),"년","")),"0000")=SUBSTITUTE(SUBSTITUTE(SUBSTITUTE(TRIM(A2257&amp;""),CHAR(160),"")," ",""),"년","")),SUBSTITUTE(SUBSTITUTE(SUBSTITUTE(TRIM(A2257&amp;""),CHAR(160),"")," ",""),"년",""),""),"")</f>
      </c>
      <c r="I2257" t="str">
        <f>SUBSTITUTE(SUBSTITUTE(SUBSTITUTE(SUBSTITUTE(SUBSTITUTE(TRIM(B2257&amp;""),CHAR(160),"")," ",""),"초등학교","초"),"중학교","중"),"고등학교","고")</f>
      </c>
    </row>
    <row r="2258" customFormat="false" ht="15" hidden="false" customHeight="false" outlineLevel="0" collapsed="false">
      <c r="A2258" s="8"/>
      <c r="B2258" s="8"/>
      <c r="C2258" s="8"/>
      <c r="D2258" s="8"/>
      <c r="E2258" s="8"/>
      <c r="F2258" t="str" s="15">
        <f aca="0">IF(B2258="","",IF(H2258="","확인필요(입력누락)",IF(SUMPRODUCT((실물목록!$P$2:$P$1001&lt;&gt;"")*ISNUMBER(SEARCH(실물목록!$P$2:$P$1001,I2258))*(실물목록!$Q$2:$Q$1001&lt;&gt;"")*ISNUMBER(SEARCH(실물목록!$Q$2:$Q$1001,I2258))*(실물목록!$R$2:$R$1001="")*(실물목록!$O$2:$O$1001&lt;&gt;"")*(실물목록!$O$2:$O$1001=H2258))&gt;0,"실물 있음",IF(SUMPRODUCT((실물목록!$P$2:$P$1001&lt;&gt;"")*ISNUMBER(SEARCH(실물목록!$P$2:$P$1001,I2258))*(실물목록!$R$2:$R$1001&lt;&gt;""))&gt;0,"확인필요(입력누락)",IF(SUMPRODUCT((실물목록!$P$2:$P$1001&lt;&gt;"")*ISNUMBER(SEARCH(실물목록!$P$2:$P$1001,I2258))*(실물목록!$Q$2:$Q$1001&lt;&gt;"")*ISNUMBER(SEARCH(실물목록!$Q$2:$Q$1001,I2258))*(실물목록!$R$2:$R$1001="")*(실물목록!$O$2:$O$1001&lt;&gt;""))&gt;0,"확인필요(연도다름)","실물 없음")))))</f>
      </c>
      <c r="G2258" t="n" s="16">
        <f aca="0">IF(B2258="","",SUMPRODUCT((실물목록!$P$2:$P$1001&lt;&gt;"")*ISNUMBER(SEARCH(실물목록!$P$2:$P$1001,I2258))*(실물목록!$Q$2:$Q$1001&lt;&gt;"")*ISNUMBER(SEARCH(실물목록!$Q$2:$Q$1001,I2258))*(실물목록!$R$2:$R$1001="")*(실물목록!$O$2:$O$1001&lt;&gt;"")*(실물목록!$O$2:$O$1001=H2258)))</f>
      </c>
      <c r="H2258" t="str">
        <f>IFERROR(IF(AND(LEN(SUBSTITUTE(SUBSTITUTE(SUBSTITUTE(TRIM(A2258&amp;""),CHAR(160),"")," ",""),"년",""))=4,VALUE(SUBSTITUTE(SUBSTITUTE(SUBSTITUTE(TRIM(A2258&amp;""),CHAR(160),"")," ",""),"년",""))&gt;=1900,VALUE(SUBSTITUTE(SUBSTITUTE(SUBSTITUTE(TRIM(A2258&amp;""),CHAR(160),"")," ",""),"년",""))&lt;=2099,TEXT(VALUE(SUBSTITUTE(SUBSTITUTE(SUBSTITUTE(TRIM(A2258&amp;""),CHAR(160),"")," ",""),"년","")),"0000")=SUBSTITUTE(SUBSTITUTE(SUBSTITUTE(TRIM(A2258&amp;""),CHAR(160),"")," ",""),"년","")),SUBSTITUTE(SUBSTITUTE(SUBSTITUTE(TRIM(A2258&amp;""),CHAR(160),"")," ",""),"년",""),""),"")</f>
      </c>
      <c r="I2258" t="str">
        <f>SUBSTITUTE(SUBSTITUTE(SUBSTITUTE(SUBSTITUTE(SUBSTITUTE(TRIM(B2258&amp;""),CHAR(160),"")," ",""),"초등학교","초"),"중학교","중"),"고등학교","고")</f>
      </c>
    </row>
    <row r="2259" customFormat="false" ht="15" hidden="false" customHeight="false" outlineLevel="0" collapsed="false">
      <c r="A2259" s="8"/>
      <c r="B2259" s="8"/>
      <c r="C2259" s="8"/>
      <c r="D2259" s="8"/>
      <c r="E2259" s="8"/>
      <c r="F2259" t="str" s="15">
        <f aca="0">IF(B2259="","",IF(H2259="","확인필요(입력누락)",IF(SUMPRODUCT((실물목록!$P$2:$P$1001&lt;&gt;"")*ISNUMBER(SEARCH(실물목록!$P$2:$P$1001,I2259))*(실물목록!$Q$2:$Q$1001&lt;&gt;"")*ISNUMBER(SEARCH(실물목록!$Q$2:$Q$1001,I2259))*(실물목록!$R$2:$R$1001="")*(실물목록!$O$2:$O$1001&lt;&gt;"")*(실물목록!$O$2:$O$1001=H2259))&gt;0,"실물 있음",IF(SUMPRODUCT((실물목록!$P$2:$P$1001&lt;&gt;"")*ISNUMBER(SEARCH(실물목록!$P$2:$P$1001,I2259))*(실물목록!$R$2:$R$1001&lt;&gt;""))&gt;0,"확인필요(입력누락)",IF(SUMPRODUCT((실물목록!$P$2:$P$1001&lt;&gt;"")*ISNUMBER(SEARCH(실물목록!$P$2:$P$1001,I2259))*(실물목록!$Q$2:$Q$1001&lt;&gt;"")*ISNUMBER(SEARCH(실물목록!$Q$2:$Q$1001,I2259))*(실물목록!$R$2:$R$1001="")*(실물목록!$O$2:$O$1001&lt;&gt;""))&gt;0,"확인필요(연도다름)","실물 없음")))))</f>
      </c>
      <c r="G2259" t="n" s="16">
        <f aca="0">IF(B2259="","",SUMPRODUCT((실물목록!$P$2:$P$1001&lt;&gt;"")*ISNUMBER(SEARCH(실물목록!$P$2:$P$1001,I2259))*(실물목록!$Q$2:$Q$1001&lt;&gt;"")*ISNUMBER(SEARCH(실물목록!$Q$2:$Q$1001,I2259))*(실물목록!$R$2:$R$1001="")*(실물목록!$O$2:$O$1001&lt;&gt;"")*(실물목록!$O$2:$O$1001=H2259)))</f>
      </c>
      <c r="H2259" t="str">
        <f>IFERROR(IF(AND(LEN(SUBSTITUTE(SUBSTITUTE(SUBSTITUTE(TRIM(A2259&amp;""),CHAR(160),"")," ",""),"년",""))=4,VALUE(SUBSTITUTE(SUBSTITUTE(SUBSTITUTE(TRIM(A2259&amp;""),CHAR(160),"")," ",""),"년",""))&gt;=1900,VALUE(SUBSTITUTE(SUBSTITUTE(SUBSTITUTE(TRIM(A2259&amp;""),CHAR(160),"")," ",""),"년",""))&lt;=2099,TEXT(VALUE(SUBSTITUTE(SUBSTITUTE(SUBSTITUTE(TRIM(A2259&amp;""),CHAR(160),"")," ",""),"년","")),"0000")=SUBSTITUTE(SUBSTITUTE(SUBSTITUTE(TRIM(A2259&amp;""),CHAR(160),"")," ",""),"년","")),SUBSTITUTE(SUBSTITUTE(SUBSTITUTE(TRIM(A2259&amp;""),CHAR(160),"")," ",""),"년",""),""),"")</f>
      </c>
      <c r="I2259" t="str">
        <f>SUBSTITUTE(SUBSTITUTE(SUBSTITUTE(SUBSTITUTE(SUBSTITUTE(TRIM(B2259&amp;""),CHAR(160),"")," ",""),"초등학교","초"),"중학교","중"),"고등학교","고")</f>
      </c>
    </row>
    <row r="2260" customFormat="false" ht="15" hidden="false" customHeight="false" outlineLevel="0" collapsed="false">
      <c r="A2260" s="8"/>
      <c r="B2260" s="8"/>
      <c r="C2260" s="8"/>
      <c r="D2260" s="8"/>
      <c r="E2260" s="8"/>
      <c r="F2260" t="str" s="15">
        <f aca="0">IF(B2260="","",IF(H2260="","확인필요(입력누락)",IF(SUMPRODUCT((실물목록!$P$2:$P$1001&lt;&gt;"")*ISNUMBER(SEARCH(실물목록!$P$2:$P$1001,I2260))*(실물목록!$Q$2:$Q$1001&lt;&gt;"")*ISNUMBER(SEARCH(실물목록!$Q$2:$Q$1001,I2260))*(실물목록!$R$2:$R$1001="")*(실물목록!$O$2:$O$1001&lt;&gt;"")*(실물목록!$O$2:$O$1001=H2260))&gt;0,"실물 있음",IF(SUMPRODUCT((실물목록!$P$2:$P$1001&lt;&gt;"")*ISNUMBER(SEARCH(실물목록!$P$2:$P$1001,I2260))*(실물목록!$R$2:$R$1001&lt;&gt;""))&gt;0,"확인필요(입력누락)",IF(SUMPRODUCT((실물목록!$P$2:$P$1001&lt;&gt;"")*ISNUMBER(SEARCH(실물목록!$P$2:$P$1001,I2260))*(실물목록!$Q$2:$Q$1001&lt;&gt;"")*ISNUMBER(SEARCH(실물목록!$Q$2:$Q$1001,I2260))*(실물목록!$R$2:$R$1001="")*(실물목록!$O$2:$O$1001&lt;&gt;""))&gt;0,"확인필요(연도다름)","실물 없음")))))</f>
      </c>
      <c r="G2260" t="n" s="16">
        <f aca="0">IF(B2260="","",SUMPRODUCT((실물목록!$P$2:$P$1001&lt;&gt;"")*ISNUMBER(SEARCH(실물목록!$P$2:$P$1001,I2260))*(실물목록!$Q$2:$Q$1001&lt;&gt;"")*ISNUMBER(SEARCH(실물목록!$Q$2:$Q$1001,I2260))*(실물목록!$R$2:$R$1001="")*(실물목록!$O$2:$O$1001&lt;&gt;"")*(실물목록!$O$2:$O$1001=H2260)))</f>
      </c>
      <c r="H2260" t="str">
        <f>IFERROR(IF(AND(LEN(SUBSTITUTE(SUBSTITUTE(SUBSTITUTE(TRIM(A2260&amp;""),CHAR(160),"")," ",""),"년",""))=4,VALUE(SUBSTITUTE(SUBSTITUTE(SUBSTITUTE(TRIM(A2260&amp;""),CHAR(160),"")," ",""),"년",""))&gt;=1900,VALUE(SUBSTITUTE(SUBSTITUTE(SUBSTITUTE(TRIM(A2260&amp;""),CHAR(160),"")," ",""),"년",""))&lt;=2099,TEXT(VALUE(SUBSTITUTE(SUBSTITUTE(SUBSTITUTE(TRIM(A2260&amp;""),CHAR(160),"")," ",""),"년","")),"0000")=SUBSTITUTE(SUBSTITUTE(SUBSTITUTE(TRIM(A2260&amp;""),CHAR(160),"")," ",""),"년","")),SUBSTITUTE(SUBSTITUTE(SUBSTITUTE(TRIM(A2260&amp;""),CHAR(160),"")," ",""),"년",""),""),"")</f>
      </c>
      <c r="I2260" t="str">
        <f>SUBSTITUTE(SUBSTITUTE(SUBSTITUTE(SUBSTITUTE(SUBSTITUTE(TRIM(B2260&amp;""),CHAR(160),"")," ",""),"초등학교","초"),"중학교","중"),"고등학교","고")</f>
      </c>
    </row>
    <row r="2261" customFormat="false" ht="15" hidden="false" customHeight="false" outlineLevel="0" collapsed="false">
      <c r="A2261" s="8"/>
      <c r="B2261" s="8"/>
      <c r="C2261" s="8"/>
      <c r="D2261" s="8"/>
      <c r="E2261" s="8"/>
      <c r="F2261" t="str" s="15">
        <f aca="0">IF(B2261="","",IF(H2261="","확인필요(입력누락)",IF(SUMPRODUCT((실물목록!$P$2:$P$1001&lt;&gt;"")*ISNUMBER(SEARCH(실물목록!$P$2:$P$1001,I2261))*(실물목록!$Q$2:$Q$1001&lt;&gt;"")*ISNUMBER(SEARCH(실물목록!$Q$2:$Q$1001,I2261))*(실물목록!$R$2:$R$1001="")*(실물목록!$O$2:$O$1001&lt;&gt;"")*(실물목록!$O$2:$O$1001=H2261))&gt;0,"실물 있음",IF(SUMPRODUCT((실물목록!$P$2:$P$1001&lt;&gt;"")*ISNUMBER(SEARCH(실물목록!$P$2:$P$1001,I2261))*(실물목록!$R$2:$R$1001&lt;&gt;""))&gt;0,"확인필요(입력누락)",IF(SUMPRODUCT((실물목록!$P$2:$P$1001&lt;&gt;"")*ISNUMBER(SEARCH(실물목록!$P$2:$P$1001,I2261))*(실물목록!$Q$2:$Q$1001&lt;&gt;"")*ISNUMBER(SEARCH(실물목록!$Q$2:$Q$1001,I2261))*(실물목록!$R$2:$R$1001="")*(실물목록!$O$2:$O$1001&lt;&gt;""))&gt;0,"확인필요(연도다름)","실물 없음")))))</f>
      </c>
      <c r="G2261" t="n" s="16">
        <f aca="0">IF(B2261="","",SUMPRODUCT((실물목록!$P$2:$P$1001&lt;&gt;"")*ISNUMBER(SEARCH(실물목록!$P$2:$P$1001,I2261))*(실물목록!$Q$2:$Q$1001&lt;&gt;"")*ISNUMBER(SEARCH(실물목록!$Q$2:$Q$1001,I2261))*(실물목록!$R$2:$R$1001="")*(실물목록!$O$2:$O$1001&lt;&gt;"")*(실물목록!$O$2:$O$1001=H2261)))</f>
      </c>
      <c r="H2261" t="str">
        <f>IFERROR(IF(AND(LEN(SUBSTITUTE(SUBSTITUTE(SUBSTITUTE(TRIM(A2261&amp;""),CHAR(160),"")," ",""),"년",""))=4,VALUE(SUBSTITUTE(SUBSTITUTE(SUBSTITUTE(TRIM(A2261&amp;""),CHAR(160),"")," ",""),"년",""))&gt;=1900,VALUE(SUBSTITUTE(SUBSTITUTE(SUBSTITUTE(TRIM(A2261&amp;""),CHAR(160),"")," ",""),"년",""))&lt;=2099,TEXT(VALUE(SUBSTITUTE(SUBSTITUTE(SUBSTITUTE(TRIM(A2261&amp;""),CHAR(160),"")," ",""),"년","")),"0000")=SUBSTITUTE(SUBSTITUTE(SUBSTITUTE(TRIM(A2261&amp;""),CHAR(160),"")," ",""),"년","")),SUBSTITUTE(SUBSTITUTE(SUBSTITUTE(TRIM(A2261&amp;""),CHAR(160),"")," ",""),"년",""),""),"")</f>
      </c>
      <c r="I2261" t="str">
        <f>SUBSTITUTE(SUBSTITUTE(SUBSTITUTE(SUBSTITUTE(SUBSTITUTE(TRIM(B2261&amp;""),CHAR(160),"")," ",""),"초등학교","초"),"중학교","중"),"고등학교","고")</f>
      </c>
    </row>
    <row r="2262" customFormat="false" ht="15" hidden="false" customHeight="false" outlineLevel="0" collapsed="false">
      <c r="A2262" s="8"/>
      <c r="B2262" s="8"/>
      <c r="C2262" s="8"/>
      <c r="D2262" s="8"/>
      <c r="E2262" s="8"/>
      <c r="F2262" t="str" s="15">
        <f aca="0">IF(B2262="","",IF(H2262="","확인필요(입력누락)",IF(SUMPRODUCT((실물목록!$P$2:$P$1001&lt;&gt;"")*ISNUMBER(SEARCH(실물목록!$P$2:$P$1001,I2262))*(실물목록!$Q$2:$Q$1001&lt;&gt;"")*ISNUMBER(SEARCH(실물목록!$Q$2:$Q$1001,I2262))*(실물목록!$R$2:$R$1001="")*(실물목록!$O$2:$O$1001&lt;&gt;"")*(실물목록!$O$2:$O$1001=H2262))&gt;0,"실물 있음",IF(SUMPRODUCT((실물목록!$P$2:$P$1001&lt;&gt;"")*ISNUMBER(SEARCH(실물목록!$P$2:$P$1001,I2262))*(실물목록!$R$2:$R$1001&lt;&gt;""))&gt;0,"확인필요(입력누락)",IF(SUMPRODUCT((실물목록!$P$2:$P$1001&lt;&gt;"")*ISNUMBER(SEARCH(실물목록!$P$2:$P$1001,I2262))*(실물목록!$Q$2:$Q$1001&lt;&gt;"")*ISNUMBER(SEARCH(실물목록!$Q$2:$Q$1001,I2262))*(실물목록!$R$2:$R$1001="")*(실물목록!$O$2:$O$1001&lt;&gt;""))&gt;0,"확인필요(연도다름)","실물 없음")))))</f>
      </c>
      <c r="G2262" t="n" s="16">
        <f aca="0">IF(B2262="","",SUMPRODUCT((실물목록!$P$2:$P$1001&lt;&gt;"")*ISNUMBER(SEARCH(실물목록!$P$2:$P$1001,I2262))*(실물목록!$Q$2:$Q$1001&lt;&gt;"")*ISNUMBER(SEARCH(실물목록!$Q$2:$Q$1001,I2262))*(실물목록!$R$2:$R$1001="")*(실물목록!$O$2:$O$1001&lt;&gt;"")*(실물목록!$O$2:$O$1001=H2262)))</f>
      </c>
      <c r="H2262" t="str">
        <f>IFERROR(IF(AND(LEN(SUBSTITUTE(SUBSTITUTE(SUBSTITUTE(TRIM(A2262&amp;""),CHAR(160),"")," ",""),"년",""))=4,VALUE(SUBSTITUTE(SUBSTITUTE(SUBSTITUTE(TRIM(A2262&amp;""),CHAR(160),"")," ",""),"년",""))&gt;=1900,VALUE(SUBSTITUTE(SUBSTITUTE(SUBSTITUTE(TRIM(A2262&amp;""),CHAR(160),"")," ",""),"년",""))&lt;=2099,TEXT(VALUE(SUBSTITUTE(SUBSTITUTE(SUBSTITUTE(TRIM(A2262&amp;""),CHAR(160),"")," ",""),"년","")),"0000")=SUBSTITUTE(SUBSTITUTE(SUBSTITUTE(TRIM(A2262&amp;""),CHAR(160),"")," ",""),"년","")),SUBSTITUTE(SUBSTITUTE(SUBSTITUTE(TRIM(A2262&amp;""),CHAR(160),"")," ",""),"년",""),""),"")</f>
      </c>
      <c r="I2262" t="str">
        <f>SUBSTITUTE(SUBSTITUTE(SUBSTITUTE(SUBSTITUTE(SUBSTITUTE(TRIM(B2262&amp;""),CHAR(160),"")," ",""),"초등학교","초"),"중학교","중"),"고등학교","고")</f>
      </c>
    </row>
    <row r="2263" customFormat="false" ht="15" hidden="false" customHeight="false" outlineLevel="0" collapsed="false">
      <c r="A2263" s="8"/>
      <c r="B2263" s="8"/>
      <c r="C2263" s="8"/>
      <c r="D2263" s="8"/>
      <c r="E2263" s="8"/>
      <c r="F2263" t="str" s="15">
        <f aca="0">IF(B2263="","",IF(H2263="","확인필요(입력누락)",IF(SUMPRODUCT((실물목록!$P$2:$P$1001&lt;&gt;"")*ISNUMBER(SEARCH(실물목록!$P$2:$P$1001,I2263))*(실물목록!$Q$2:$Q$1001&lt;&gt;"")*ISNUMBER(SEARCH(실물목록!$Q$2:$Q$1001,I2263))*(실물목록!$R$2:$R$1001="")*(실물목록!$O$2:$O$1001&lt;&gt;"")*(실물목록!$O$2:$O$1001=H2263))&gt;0,"실물 있음",IF(SUMPRODUCT((실물목록!$P$2:$P$1001&lt;&gt;"")*ISNUMBER(SEARCH(실물목록!$P$2:$P$1001,I2263))*(실물목록!$R$2:$R$1001&lt;&gt;""))&gt;0,"확인필요(입력누락)",IF(SUMPRODUCT((실물목록!$P$2:$P$1001&lt;&gt;"")*ISNUMBER(SEARCH(실물목록!$P$2:$P$1001,I2263))*(실물목록!$Q$2:$Q$1001&lt;&gt;"")*ISNUMBER(SEARCH(실물목록!$Q$2:$Q$1001,I2263))*(실물목록!$R$2:$R$1001="")*(실물목록!$O$2:$O$1001&lt;&gt;""))&gt;0,"확인필요(연도다름)","실물 없음")))))</f>
      </c>
      <c r="G2263" t="n" s="16">
        <f aca="0">IF(B2263="","",SUMPRODUCT((실물목록!$P$2:$P$1001&lt;&gt;"")*ISNUMBER(SEARCH(실물목록!$P$2:$P$1001,I2263))*(실물목록!$Q$2:$Q$1001&lt;&gt;"")*ISNUMBER(SEARCH(실물목록!$Q$2:$Q$1001,I2263))*(실물목록!$R$2:$R$1001="")*(실물목록!$O$2:$O$1001&lt;&gt;"")*(실물목록!$O$2:$O$1001=H2263)))</f>
      </c>
      <c r="H2263" t="str">
        <f>IFERROR(IF(AND(LEN(SUBSTITUTE(SUBSTITUTE(SUBSTITUTE(TRIM(A2263&amp;""),CHAR(160),"")," ",""),"년",""))=4,VALUE(SUBSTITUTE(SUBSTITUTE(SUBSTITUTE(TRIM(A2263&amp;""),CHAR(160),"")," ",""),"년",""))&gt;=1900,VALUE(SUBSTITUTE(SUBSTITUTE(SUBSTITUTE(TRIM(A2263&amp;""),CHAR(160),"")," ",""),"년",""))&lt;=2099,TEXT(VALUE(SUBSTITUTE(SUBSTITUTE(SUBSTITUTE(TRIM(A2263&amp;""),CHAR(160),"")," ",""),"년","")),"0000")=SUBSTITUTE(SUBSTITUTE(SUBSTITUTE(TRIM(A2263&amp;""),CHAR(160),"")," ",""),"년","")),SUBSTITUTE(SUBSTITUTE(SUBSTITUTE(TRIM(A2263&amp;""),CHAR(160),"")," ",""),"년",""),""),"")</f>
      </c>
      <c r="I2263" t="str">
        <f>SUBSTITUTE(SUBSTITUTE(SUBSTITUTE(SUBSTITUTE(SUBSTITUTE(TRIM(B2263&amp;""),CHAR(160),"")," ",""),"초등학교","초"),"중학교","중"),"고등학교","고")</f>
      </c>
    </row>
    <row r="2264" customFormat="false" ht="15" hidden="false" customHeight="false" outlineLevel="0" collapsed="false">
      <c r="A2264" s="8"/>
      <c r="B2264" s="8"/>
      <c r="C2264" s="8"/>
      <c r="D2264" s="8"/>
      <c r="E2264" s="8"/>
      <c r="F2264" t="str" s="15">
        <f aca="0">IF(B2264="","",IF(H2264="","확인필요(입력누락)",IF(SUMPRODUCT((실물목록!$P$2:$P$1001&lt;&gt;"")*ISNUMBER(SEARCH(실물목록!$P$2:$P$1001,I2264))*(실물목록!$Q$2:$Q$1001&lt;&gt;"")*ISNUMBER(SEARCH(실물목록!$Q$2:$Q$1001,I2264))*(실물목록!$R$2:$R$1001="")*(실물목록!$O$2:$O$1001&lt;&gt;"")*(실물목록!$O$2:$O$1001=H2264))&gt;0,"실물 있음",IF(SUMPRODUCT((실물목록!$P$2:$P$1001&lt;&gt;"")*ISNUMBER(SEARCH(실물목록!$P$2:$P$1001,I2264))*(실물목록!$R$2:$R$1001&lt;&gt;""))&gt;0,"확인필요(입력누락)",IF(SUMPRODUCT((실물목록!$P$2:$P$1001&lt;&gt;"")*ISNUMBER(SEARCH(실물목록!$P$2:$P$1001,I2264))*(실물목록!$Q$2:$Q$1001&lt;&gt;"")*ISNUMBER(SEARCH(실물목록!$Q$2:$Q$1001,I2264))*(실물목록!$R$2:$R$1001="")*(실물목록!$O$2:$O$1001&lt;&gt;""))&gt;0,"확인필요(연도다름)","실물 없음")))))</f>
      </c>
      <c r="G2264" t="n" s="16">
        <f aca="0">IF(B2264="","",SUMPRODUCT((실물목록!$P$2:$P$1001&lt;&gt;"")*ISNUMBER(SEARCH(실물목록!$P$2:$P$1001,I2264))*(실물목록!$Q$2:$Q$1001&lt;&gt;"")*ISNUMBER(SEARCH(실물목록!$Q$2:$Q$1001,I2264))*(실물목록!$R$2:$R$1001="")*(실물목록!$O$2:$O$1001&lt;&gt;"")*(실물목록!$O$2:$O$1001=H2264)))</f>
      </c>
      <c r="H2264" t="str">
        <f>IFERROR(IF(AND(LEN(SUBSTITUTE(SUBSTITUTE(SUBSTITUTE(TRIM(A2264&amp;""),CHAR(160),"")," ",""),"년",""))=4,VALUE(SUBSTITUTE(SUBSTITUTE(SUBSTITUTE(TRIM(A2264&amp;""),CHAR(160),"")," ",""),"년",""))&gt;=1900,VALUE(SUBSTITUTE(SUBSTITUTE(SUBSTITUTE(TRIM(A2264&amp;""),CHAR(160),"")," ",""),"년",""))&lt;=2099,TEXT(VALUE(SUBSTITUTE(SUBSTITUTE(SUBSTITUTE(TRIM(A2264&amp;""),CHAR(160),"")," ",""),"년","")),"0000")=SUBSTITUTE(SUBSTITUTE(SUBSTITUTE(TRIM(A2264&amp;""),CHAR(160),"")," ",""),"년","")),SUBSTITUTE(SUBSTITUTE(SUBSTITUTE(TRIM(A2264&amp;""),CHAR(160),"")," ",""),"년",""),""),"")</f>
      </c>
      <c r="I2264" t="str">
        <f>SUBSTITUTE(SUBSTITUTE(SUBSTITUTE(SUBSTITUTE(SUBSTITUTE(TRIM(B2264&amp;""),CHAR(160),"")," ",""),"초등학교","초"),"중학교","중"),"고등학교","고")</f>
      </c>
    </row>
    <row r="2265" customFormat="false" ht="15" hidden="false" customHeight="false" outlineLevel="0" collapsed="false">
      <c r="A2265" s="8"/>
      <c r="B2265" s="8"/>
      <c r="C2265" s="8"/>
      <c r="D2265" s="8"/>
      <c r="E2265" s="8"/>
      <c r="F2265" t="str" s="15">
        <f aca="0">IF(B2265="","",IF(H2265="","확인필요(입력누락)",IF(SUMPRODUCT((실물목록!$P$2:$P$1001&lt;&gt;"")*ISNUMBER(SEARCH(실물목록!$P$2:$P$1001,I2265))*(실물목록!$Q$2:$Q$1001&lt;&gt;"")*ISNUMBER(SEARCH(실물목록!$Q$2:$Q$1001,I2265))*(실물목록!$R$2:$R$1001="")*(실물목록!$O$2:$O$1001&lt;&gt;"")*(실물목록!$O$2:$O$1001=H2265))&gt;0,"실물 있음",IF(SUMPRODUCT((실물목록!$P$2:$P$1001&lt;&gt;"")*ISNUMBER(SEARCH(실물목록!$P$2:$P$1001,I2265))*(실물목록!$R$2:$R$1001&lt;&gt;""))&gt;0,"확인필요(입력누락)",IF(SUMPRODUCT((실물목록!$P$2:$P$1001&lt;&gt;"")*ISNUMBER(SEARCH(실물목록!$P$2:$P$1001,I2265))*(실물목록!$Q$2:$Q$1001&lt;&gt;"")*ISNUMBER(SEARCH(실물목록!$Q$2:$Q$1001,I2265))*(실물목록!$R$2:$R$1001="")*(실물목록!$O$2:$O$1001&lt;&gt;""))&gt;0,"확인필요(연도다름)","실물 없음")))))</f>
      </c>
      <c r="G2265" t="n" s="16">
        <f aca="0">IF(B2265="","",SUMPRODUCT((실물목록!$P$2:$P$1001&lt;&gt;"")*ISNUMBER(SEARCH(실물목록!$P$2:$P$1001,I2265))*(실물목록!$Q$2:$Q$1001&lt;&gt;"")*ISNUMBER(SEARCH(실물목록!$Q$2:$Q$1001,I2265))*(실물목록!$R$2:$R$1001="")*(실물목록!$O$2:$O$1001&lt;&gt;"")*(실물목록!$O$2:$O$1001=H2265)))</f>
      </c>
      <c r="H2265" t="str">
        <f>IFERROR(IF(AND(LEN(SUBSTITUTE(SUBSTITUTE(SUBSTITUTE(TRIM(A2265&amp;""),CHAR(160),"")," ",""),"년",""))=4,VALUE(SUBSTITUTE(SUBSTITUTE(SUBSTITUTE(TRIM(A2265&amp;""),CHAR(160),"")," ",""),"년",""))&gt;=1900,VALUE(SUBSTITUTE(SUBSTITUTE(SUBSTITUTE(TRIM(A2265&amp;""),CHAR(160),"")," ",""),"년",""))&lt;=2099,TEXT(VALUE(SUBSTITUTE(SUBSTITUTE(SUBSTITUTE(TRIM(A2265&amp;""),CHAR(160),"")," ",""),"년","")),"0000")=SUBSTITUTE(SUBSTITUTE(SUBSTITUTE(TRIM(A2265&amp;""),CHAR(160),"")," ",""),"년","")),SUBSTITUTE(SUBSTITUTE(SUBSTITUTE(TRIM(A2265&amp;""),CHAR(160),"")," ",""),"년",""),""),"")</f>
      </c>
      <c r="I2265" t="str">
        <f>SUBSTITUTE(SUBSTITUTE(SUBSTITUTE(SUBSTITUTE(SUBSTITUTE(TRIM(B2265&amp;""),CHAR(160),"")," ",""),"초등학교","초"),"중학교","중"),"고등학교","고")</f>
      </c>
    </row>
    <row r="2266" customFormat="false" ht="15" hidden="false" customHeight="false" outlineLevel="0" collapsed="false">
      <c r="A2266" s="8"/>
      <c r="B2266" s="8"/>
      <c r="C2266" s="8"/>
      <c r="D2266" s="8"/>
      <c r="E2266" s="8"/>
      <c r="F2266" t="str" s="15">
        <f aca="0">IF(B2266="","",IF(H2266="","확인필요(입력누락)",IF(SUMPRODUCT((실물목록!$P$2:$P$1001&lt;&gt;"")*ISNUMBER(SEARCH(실물목록!$P$2:$P$1001,I2266))*(실물목록!$Q$2:$Q$1001&lt;&gt;"")*ISNUMBER(SEARCH(실물목록!$Q$2:$Q$1001,I2266))*(실물목록!$R$2:$R$1001="")*(실물목록!$O$2:$O$1001&lt;&gt;"")*(실물목록!$O$2:$O$1001=H2266))&gt;0,"실물 있음",IF(SUMPRODUCT((실물목록!$P$2:$P$1001&lt;&gt;"")*ISNUMBER(SEARCH(실물목록!$P$2:$P$1001,I2266))*(실물목록!$R$2:$R$1001&lt;&gt;""))&gt;0,"확인필요(입력누락)",IF(SUMPRODUCT((실물목록!$P$2:$P$1001&lt;&gt;"")*ISNUMBER(SEARCH(실물목록!$P$2:$P$1001,I2266))*(실물목록!$Q$2:$Q$1001&lt;&gt;"")*ISNUMBER(SEARCH(실물목록!$Q$2:$Q$1001,I2266))*(실물목록!$R$2:$R$1001="")*(실물목록!$O$2:$O$1001&lt;&gt;""))&gt;0,"확인필요(연도다름)","실물 없음")))))</f>
      </c>
      <c r="G2266" t="n" s="16">
        <f aca="0">IF(B2266="","",SUMPRODUCT((실물목록!$P$2:$P$1001&lt;&gt;"")*ISNUMBER(SEARCH(실물목록!$P$2:$P$1001,I2266))*(실물목록!$Q$2:$Q$1001&lt;&gt;"")*ISNUMBER(SEARCH(실물목록!$Q$2:$Q$1001,I2266))*(실물목록!$R$2:$R$1001="")*(실물목록!$O$2:$O$1001&lt;&gt;"")*(실물목록!$O$2:$O$1001=H2266)))</f>
      </c>
      <c r="H2266" t="str">
        <f>IFERROR(IF(AND(LEN(SUBSTITUTE(SUBSTITUTE(SUBSTITUTE(TRIM(A2266&amp;""),CHAR(160),"")," ",""),"년",""))=4,VALUE(SUBSTITUTE(SUBSTITUTE(SUBSTITUTE(TRIM(A2266&amp;""),CHAR(160),"")," ",""),"년",""))&gt;=1900,VALUE(SUBSTITUTE(SUBSTITUTE(SUBSTITUTE(TRIM(A2266&amp;""),CHAR(160),"")," ",""),"년",""))&lt;=2099,TEXT(VALUE(SUBSTITUTE(SUBSTITUTE(SUBSTITUTE(TRIM(A2266&amp;""),CHAR(160),"")," ",""),"년","")),"0000")=SUBSTITUTE(SUBSTITUTE(SUBSTITUTE(TRIM(A2266&amp;""),CHAR(160),"")," ",""),"년","")),SUBSTITUTE(SUBSTITUTE(SUBSTITUTE(TRIM(A2266&amp;""),CHAR(160),"")," ",""),"년",""),""),"")</f>
      </c>
      <c r="I2266" t="str">
        <f>SUBSTITUTE(SUBSTITUTE(SUBSTITUTE(SUBSTITUTE(SUBSTITUTE(TRIM(B2266&amp;""),CHAR(160),"")," ",""),"초등학교","초"),"중학교","중"),"고등학교","고")</f>
      </c>
    </row>
    <row r="2267" customFormat="false" ht="15" hidden="false" customHeight="false" outlineLevel="0" collapsed="false">
      <c r="A2267" s="8"/>
      <c r="B2267" s="8"/>
      <c r="C2267" s="8"/>
      <c r="D2267" s="8"/>
      <c r="E2267" s="8"/>
      <c r="F2267" t="str" s="15">
        <f aca="0">IF(B2267="","",IF(H2267="","확인필요(입력누락)",IF(SUMPRODUCT((실물목록!$P$2:$P$1001&lt;&gt;"")*ISNUMBER(SEARCH(실물목록!$P$2:$P$1001,I2267))*(실물목록!$Q$2:$Q$1001&lt;&gt;"")*ISNUMBER(SEARCH(실물목록!$Q$2:$Q$1001,I2267))*(실물목록!$R$2:$R$1001="")*(실물목록!$O$2:$O$1001&lt;&gt;"")*(실물목록!$O$2:$O$1001=H2267))&gt;0,"실물 있음",IF(SUMPRODUCT((실물목록!$P$2:$P$1001&lt;&gt;"")*ISNUMBER(SEARCH(실물목록!$P$2:$P$1001,I2267))*(실물목록!$R$2:$R$1001&lt;&gt;""))&gt;0,"확인필요(입력누락)",IF(SUMPRODUCT((실물목록!$P$2:$P$1001&lt;&gt;"")*ISNUMBER(SEARCH(실물목록!$P$2:$P$1001,I2267))*(실물목록!$Q$2:$Q$1001&lt;&gt;"")*ISNUMBER(SEARCH(실물목록!$Q$2:$Q$1001,I2267))*(실물목록!$R$2:$R$1001="")*(실물목록!$O$2:$O$1001&lt;&gt;""))&gt;0,"확인필요(연도다름)","실물 없음")))))</f>
      </c>
      <c r="G2267" t="n" s="16">
        <f aca="0">IF(B2267="","",SUMPRODUCT((실물목록!$P$2:$P$1001&lt;&gt;"")*ISNUMBER(SEARCH(실물목록!$P$2:$P$1001,I2267))*(실물목록!$Q$2:$Q$1001&lt;&gt;"")*ISNUMBER(SEARCH(실물목록!$Q$2:$Q$1001,I2267))*(실물목록!$R$2:$R$1001="")*(실물목록!$O$2:$O$1001&lt;&gt;"")*(실물목록!$O$2:$O$1001=H2267)))</f>
      </c>
      <c r="H2267" t="str">
        <f>IFERROR(IF(AND(LEN(SUBSTITUTE(SUBSTITUTE(SUBSTITUTE(TRIM(A2267&amp;""),CHAR(160),"")," ",""),"년",""))=4,VALUE(SUBSTITUTE(SUBSTITUTE(SUBSTITUTE(TRIM(A2267&amp;""),CHAR(160),"")," ",""),"년",""))&gt;=1900,VALUE(SUBSTITUTE(SUBSTITUTE(SUBSTITUTE(TRIM(A2267&amp;""),CHAR(160),"")," ",""),"년",""))&lt;=2099,TEXT(VALUE(SUBSTITUTE(SUBSTITUTE(SUBSTITUTE(TRIM(A2267&amp;""),CHAR(160),"")," ",""),"년","")),"0000")=SUBSTITUTE(SUBSTITUTE(SUBSTITUTE(TRIM(A2267&amp;""),CHAR(160),"")," ",""),"년","")),SUBSTITUTE(SUBSTITUTE(SUBSTITUTE(TRIM(A2267&amp;""),CHAR(160),"")," ",""),"년",""),""),"")</f>
      </c>
      <c r="I2267" t="str">
        <f>SUBSTITUTE(SUBSTITUTE(SUBSTITUTE(SUBSTITUTE(SUBSTITUTE(TRIM(B2267&amp;""),CHAR(160),"")," ",""),"초등학교","초"),"중학교","중"),"고등학교","고")</f>
      </c>
    </row>
    <row r="2268" customFormat="false" ht="15" hidden="false" customHeight="false" outlineLevel="0" collapsed="false">
      <c r="A2268" s="8"/>
      <c r="B2268" s="8"/>
      <c r="C2268" s="8"/>
      <c r="D2268" s="8"/>
      <c r="E2268" s="8"/>
      <c r="F2268" t="str" s="15">
        <f aca="0">IF(B2268="","",IF(H2268="","확인필요(입력누락)",IF(SUMPRODUCT((실물목록!$P$2:$P$1001&lt;&gt;"")*ISNUMBER(SEARCH(실물목록!$P$2:$P$1001,I2268))*(실물목록!$Q$2:$Q$1001&lt;&gt;"")*ISNUMBER(SEARCH(실물목록!$Q$2:$Q$1001,I2268))*(실물목록!$R$2:$R$1001="")*(실물목록!$O$2:$O$1001&lt;&gt;"")*(실물목록!$O$2:$O$1001=H2268))&gt;0,"실물 있음",IF(SUMPRODUCT((실물목록!$P$2:$P$1001&lt;&gt;"")*ISNUMBER(SEARCH(실물목록!$P$2:$P$1001,I2268))*(실물목록!$R$2:$R$1001&lt;&gt;""))&gt;0,"확인필요(입력누락)",IF(SUMPRODUCT((실물목록!$P$2:$P$1001&lt;&gt;"")*ISNUMBER(SEARCH(실물목록!$P$2:$P$1001,I2268))*(실물목록!$Q$2:$Q$1001&lt;&gt;"")*ISNUMBER(SEARCH(실물목록!$Q$2:$Q$1001,I2268))*(실물목록!$R$2:$R$1001="")*(실물목록!$O$2:$O$1001&lt;&gt;""))&gt;0,"확인필요(연도다름)","실물 없음")))))</f>
      </c>
      <c r="G2268" t="n" s="16">
        <f aca="0">IF(B2268="","",SUMPRODUCT((실물목록!$P$2:$P$1001&lt;&gt;"")*ISNUMBER(SEARCH(실물목록!$P$2:$P$1001,I2268))*(실물목록!$Q$2:$Q$1001&lt;&gt;"")*ISNUMBER(SEARCH(실물목록!$Q$2:$Q$1001,I2268))*(실물목록!$R$2:$R$1001="")*(실물목록!$O$2:$O$1001&lt;&gt;"")*(실물목록!$O$2:$O$1001=H2268)))</f>
      </c>
      <c r="H2268" t="str">
        <f>IFERROR(IF(AND(LEN(SUBSTITUTE(SUBSTITUTE(SUBSTITUTE(TRIM(A2268&amp;""),CHAR(160),"")," ",""),"년",""))=4,VALUE(SUBSTITUTE(SUBSTITUTE(SUBSTITUTE(TRIM(A2268&amp;""),CHAR(160),"")," ",""),"년",""))&gt;=1900,VALUE(SUBSTITUTE(SUBSTITUTE(SUBSTITUTE(TRIM(A2268&amp;""),CHAR(160),"")," ",""),"년",""))&lt;=2099,TEXT(VALUE(SUBSTITUTE(SUBSTITUTE(SUBSTITUTE(TRIM(A2268&amp;""),CHAR(160),"")," ",""),"년","")),"0000")=SUBSTITUTE(SUBSTITUTE(SUBSTITUTE(TRIM(A2268&amp;""),CHAR(160),"")," ",""),"년","")),SUBSTITUTE(SUBSTITUTE(SUBSTITUTE(TRIM(A2268&amp;""),CHAR(160),"")," ",""),"년",""),""),"")</f>
      </c>
      <c r="I2268" t="str">
        <f>SUBSTITUTE(SUBSTITUTE(SUBSTITUTE(SUBSTITUTE(SUBSTITUTE(TRIM(B2268&amp;""),CHAR(160),"")," ",""),"초등학교","초"),"중학교","중"),"고등학교","고")</f>
      </c>
    </row>
    <row r="2269" customFormat="false" ht="15" hidden="false" customHeight="false" outlineLevel="0" collapsed="false">
      <c r="A2269" s="8"/>
      <c r="B2269" s="8"/>
      <c r="C2269" s="8"/>
      <c r="D2269" s="8"/>
      <c r="E2269" s="8"/>
      <c r="F2269" t="str" s="15">
        <f aca="0">IF(B2269="","",IF(H2269="","확인필요(입력누락)",IF(SUMPRODUCT((실물목록!$P$2:$P$1001&lt;&gt;"")*ISNUMBER(SEARCH(실물목록!$P$2:$P$1001,I2269))*(실물목록!$Q$2:$Q$1001&lt;&gt;"")*ISNUMBER(SEARCH(실물목록!$Q$2:$Q$1001,I2269))*(실물목록!$R$2:$R$1001="")*(실물목록!$O$2:$O$1001&lt;&gt;"")*(실물목록!$O$2:$O$1001=H2269))&gt;0,"실물 있음",IF(SUMPRODUCT((실물목록!$P$2:$P$1001&lt;&gt;"")*ISNUMBER(SEARCH(실물목록!$P$2:$P$1001,I2269))*(실물목록!$R$2:$R$1001&lt;&gt;""))&gt;0,"확인필요(입력누락)",IF(SUMPRODUCT((실물목록!$P$2:$P$1001&lt;&gt;"")*ISNUMBER(SEARCH(실물목록!$P$2:$P$1001,I2269))*(실물목록!$Q$2:$Q$1001&lt;&gt;"")*ISNUMBER(SEARCH(실물목록!$Q$2:$Q$1001,I2269))*(실물목록!$R$2:$R$1001="")*(실물목록!$O$2:$O$1001&lt;&gt;""))&gt;0,"확인필요(연도다름)","실물 없음")))))</f>
      </c>
      <c r="G2269" t="n" s="16">
        <f aca="0">IF(B2269="","",SUMPRODUCT((실물목록!$P$2:$P$1001&lt;&gt;"")*ISNUMBER(SEARCH(실물목록!$P$2:$P$1001,I2269))*(실물목록!$Q$2:$Q$1001&lt;&gt;"")*ISNUMBER(SEARCH(실물목록!$Q$2:$Q$1001,I2269))*(실물목록!$R$2:$R$1001="")*(실물목록!$O$2:$O$1001&lt;&gt;"")*(실물목록!$O$2:$O$1001=H2269)))</f>
      </c>
      <c r="H2269" t="str">
        <f>IFERROR(IF(AND(LEN(SUBSTITUTE(SUBSTITUTE(SUBSTITUTE(TRIM(A2269&amp;""),CHAR(160),"")," ",""),"년",""))=4,VALUE(SUBSTITUTE(SUBSTITUTE(SUBSTITUTE(TRIM(A2269&amp;""),CHAR(160),"")," ",""),"년",""))&gt;=1900,VALUE(SUBSTITUTE(SUBSTITUTE(SUBSTITUTE(TRIM(A2269&amp;""),CHAR(160),"")," ",""),"년",""))&lt;=2099,TEXT(VALUE(SUBSTITUTE(SUBSTITUTE(SUBSTITUTE(TRIM(A2269&amp;""),CHAR(160),"")," ",""),"년","")),"0000")=SUBSTITUTE(SUBSTITUTE(SUBSTITUTE(TRIM(A2269&amp;""),CHAR(160),"")," ",""),"년","")),SUBSTITUTE(SUBSTITUTE(SUBSTITUTE(TRIM(A2269&amp;""),CHAR(160),"")," ",""),"년",""),""),"")</f>
      </c>
      <c r="I2269" t="str">
        <f>SUBSTITUTE(SUBSTITUTE(SUBSTITUTE(SUBSTITUTE(SUBSTITUTE(TRIM(B2269&amp;""),CHAR(160),"")," ",""),"초등학교","초"),"중학교","중"),"고등학교","고")</f>
      </c>
    </row>
    <row r="2270" customFormat="false" ht="15" hidden="false" customHeight="false" outlineLevel="0" collapsed="false">
      <c r="A2270" s="8"/>
      <c r="B2270" s="8"/>
      <c r="C2270" s="8"/>
      <c r="D2270" s="8"/>
      <c r="E2270" s="8"/>
      <c r="F2270" t="str" s="15">
        <f aca="0">IF(B2270="","",IF(H2270="","확인필요(입력누락)",IF(SUMPRODUCT((실물목록!$P$2:$P$1001&lt;&gt;"")*ISNUMBER(SEARCH(실물목록!$P$2:$P$1001,I2270))*(실물목록!$Q$2:$Q$1001&lt;&gt;"")*ISNUMBER(SEARCH(실물목록!$Q$2:$Q$1001,I2270))*(실물목록!$R$2:$R$1001="")*(실물목록!$O$2:$O$1001&lt;&gt;"")*(실물목록!$O$2:$O$1001=H2270))&gt;0,"실물 있음",IF(SUMPRODUCT((실물목록!$P$2:$P$1001&lt;&gt;"")*ISNUMBER(SEARCH(실물목록!$P$2:$P$1001,I2270))*(실물목록!$R$2:$R$1001&lt;&gt;""))&gt;0,"확인필요(입력누락)",IF(SUMPRODUCT((실물목록!$P$2:$P$1001&lt;&gt;"")*ISNUMBER(SEARCH(실물목록!$P$2:$P$1001,I2270))*(실물목록!$Q$2:$Q$1001&lt;&gt;"")*ISNUMBER(SEARCH(실물목록!$Q$2:$Q$1001,I2270))*(실물목록!$R$2:$R$1001="")*(실물목록!$O$2:$O$1001&lt;&gt;""))&gt;0,"확인필요(연도다름)","실물 없음")))))</f>
      </c>
      <c r="G2270" t="n" s="16">
        <f aca="0">IF(B2270="","",SUMPRODUCT((실물목록!$P$2:$P$1001&lt;&gt;"")*ISNUMBER(SEARCH(실물목록!$P$2:$P$1001,I2270))*(실물목록!$Q$2:$Q$1001&lt;&gt;"")*ISNUMBER(SEARCH(실물목록!$Q$2:$Q$1001,I2270))*(실물목록!$R$2:$R$1001="")*(실물목록!$O$2:$O$1001&lt;&gt;"")*(실물목록!$O$2:$O$1001=H2270)))</f>
      </c>
      <c r="H2270" t="str">
        <f>IFERROR(IF(AND(LEN(SUBSTITUTE(SUBSTITUTE(SUBSTITUTE(TRIM(A2270&amp;""),CHAR(160),"")," ",""),"년",""))=4,VALUE(SUBSTITUTE(SUBSTITUTE(SUBSTITUTE(TRIM(A2270&amp;""),CHAR(160),"")," ",""),"년",""))&gt;=1900,VALUE(SUBSTITUTE(SUBSTITUTE(SUBSTITUTE(TRIM(A2270&amp;""),CHAR(160),"")," ",""),"년",""))&lt;=2099,TEXT(VALUE(SUBSTITUTE(SUBSTITUTE(SUBSTITUTE(TRIM(A2270&amp;""),CHAR(160),"")," ",""),"년","")),"0000")=SUBSTITUTE(SUBSTITUTE(SUBSTITUTE(TRIM(A2270&amp;""),CHAR(160),"")," ",""),"년","")),SUBSTITUTE(SUBSTITUTE(SUBSTITUTE(TRIM(A2270&amp;""),CHAR(160),"")," ",""),"년",""),""),"")</f>
      </c>
      <c r="I2270" t="str">
        <f>SUBSTITUTE(SUBSTITUTE(SUBSTITUTE(SUBSTITUTE(SUBSTITUTE(TRIM(B2270&amp;""),CHAR(160),"")," ",""),"초등학교","초"),"중학교","중"),"고등학교","고")</f>
      </c>
    </row>
    <row r="2271" customFormat="false" ht="15" hidden="false" customHeight="false" outlineLevel="0" collapsed="false">
      <c r="A2271" s="8"/>
      <c r="B2271" s="8"/>
      <c r="C2271" s="8"/>
      <c r="D2271" s="8"/>
      <c r="E2271" s="8"/>
      <c r="F2271" t="str" s="15">
        <f aca="0">IF(B2271="","",IF(H2271="","확인필요(입력누락)",IF(SUMPRODUCT((실물목록!$P$2:$P$1001&lt;&gt;"")*ISNUMBER(SEARCH(실물목록!$P$2:$P$1001,I2271))*(실물목록!$Q$2:$Q$1001&lt;&gt;"")*ISNUMBER(SEARCH(실물목록!$Q$2:$Q$1001,I2271))*(실물목록!$R$2:$R$1001="")*(실물목록!$O$2:$O$1001&lt;&gt;"")*(실물목록!$O$2:$O$1001=H2271))&gt;0,"실물 있음",IF(SUMPRODUCT((실물목록!$P$2:$P$1001&lt;&gt;"")*ISNUMBER(SEARCH(실물목록!$P$2:$P$1001,I2271))*(실물목록!$R$2:$R$1001&lt;&gt;""))&gt;0,"확인필요(입력누락)",IF(SUMPRODUCT((실물목록!$P$2:$P$1001&lt;&gt;"")*ISNUMBER(SEARCH(실물목록!$P$2:$P$1001,I2271))*(실물목록!$Q$2:$Q$1001&lt;&gt;"")*ISNUMBER(SEARCH(실물목록!$Q$2:$Q$1001,I2271))*(실물목록!$R$2:$R$1001="")*(실물목록!$O$2:$O$1001&lt;&gt;""))&gt;0,"확인필요(연도다름)","실물 없음")))))</f>
      </c>
      <c r="G2271" t="n" s="16">
        <f aca="0">IF(B2271="","",SUMPRODUCT((실물목록!$P$2:$P$1001&lt;&gt;"")*ISNUMBER(SEARCH(실물목록!$P$2:$P$1001,I2271))*(실물목록!$Q$2:$Q$1001&lt;&gt;"")*ISNUMBER(SEARCH(실물목록!$Q$2:$Q$1001,I2271))*(실물목록!$R$2:$R$1001="")*(실물목록!$O$2:$O$1001&lt;&gt;"")*(실물목록!$O$2:$O$1001=H2271)))</f>
      </c>
      <c r="H2271" t="str">
        <f>IFERROR(IF(AND(LEN(SUBSTITUTE(SUBSTITUTE(SUBSTITUTE(TRIM(A2271&amp;""),CHAR(160),"")," ",""),"년",""))=4,VALUE(SUBSTITUTE(SUBSTITUTE(SUBSTITUTE(TRIM(A2271&amp;""),CHAR(160),"")," ",""),"년",""))&gt;=1900,VALUE(SUBSTITUTE(SUBSTITUTE(SUBSTITUTE(TRIM(A2271&amp;""),CHAR(160),"")," ",""),"년",""))&lt;=2099,TEXT(VALUE(SUBSTITUTE(SUBSTITUTE(SUBSTITUTE(TRIM(A2271&amp;""),CHAR(160),"")," ",""),"년","")),"0000")=SUBSTITUTE(SUBSTITUTE(SUBSTITUTE(TRIM(A2271&amp;""),CHAR(160),"")," ",""),"년","")),SUBSTITUTE(SUBSTITUTE(SUBSTITUTE(TRIM(A2271&amp;""),CHAR(160),"")," ",""),"년",""),""),"")</f>
      </c>
      <c r="I2271" t="str">
        <f>SUBSTITUTE(SUBSTITUTE(SUBSTITUTE(SUBSTITUTE(SUBSTITUTE(TRIM(B2271&amp;""),CHAR(160),"")," ",""),"초등학교","초"),"중학교","중"),"고등학교","고")</f>
      </c>
    </row>
    <row r="2272" customFormat="false" ht="15" hidden="false" customHeight="false" outlineLevel="0" collapsed="false">
      <c r="A2272" s="8"/>
      <c r="B2272" s="8"/>
      <c r="C2272" s="8"/>
      <c r="D2272" s="8"/>
      <c r="E2272" s="8"/>
      <c r="F2272" t="str" s="15">
        <f aca="0">IF(B2272="","",IF(H2272="","확인필요(입력누락)",IF(SUMPRODUCT((실물목록!$P$2:$P$1001&lt;&gt;"")*ISNUMBER(SEARCH(실물목록!$P$2:$P$1001,I2272))*(실물목록!$Q$2:$Q$1001&lt;&gt;"")*ISNUMBER(SEARCH(실물목록!$Q$2:$Q$1001,I2272))*(실물목록!$R$2:$R$1001="")*(실물목록!$O$2:$O$1001&lt;&gt;"")*(실물목록!$O$2:$O$1001=H2272))&gt;0,"실물 있음",IF(SUMPRODUCT((실물목록!$P$2:$P$1001&lt;&gt;"")*ISNUMBER(SEARCH(실물목록!$P$2:$P$1001,I2272))*(실물목록!$R$2:$R$1001&lt;&gt;""))&gt;0,"확인필요(입력누락)",IF(SUMPRODUCT((실물목록!$P$2:$P$1001&lt;&gt;"")*ISNUMBER(SEARCH(실물목록!$P$2:$P$1001,I2272))*(실물목록!$Q$2:$Q$1001&lt;&gt;"")*ISNUMBER(SEARCH(실물목록!$Q$2:$Q$1001,I2272))*(실물목록!$R$2:$R$1001="")*(실물목록!$O$2:$O$1001&lt;&gt;""))&gt;0,"확인필요(연도다름)","실물 없음")))))</f>
      </c>
      <c r="G2272" t="n" s="16">
        <f aca="0">IF(B2272="","",SUMPRODUCT((실물목록!$P$2:$P$1001&lt;&gt;"")*ISNUMBER(SEARCH(실물목록!$P$2:$P$1001,I2272))*(실물목록!$Q$2:$Q$1001&lt;&gt;"")*ISNUMBER(SEARCH(실물목록!$Q$2:$Q$1001,I2272))*(실물목록!$R$2:$R$1001="")*(실물목록!$O$2:$O$1001&lt;&gt;"")*(실물목록!$O$2:$O$1001=H2272)))</f>
      </c>
      <c r="H2272" t="str">
        <f>IFERROR(IF(AND(LEN(SUBSTITUTE(SUBSTITUTE(SUBSTITUTE(TRIM(A2272&amp;""),CHAR(160),"")," ",""),"년",""))=4,VALUE(SUBSTITUTE(SUBSTITUTE(SUBSTITUTE(TRIM(A2272&amp;""),CHAR(160),"")," ",""),"년",""))&gt;=1900,VALUE(SUBSTITUTE(SUBSTITUTE(SUBSTITUTE(TRIM(A2272&amp;""),CHAR(160),"")," ",""),"년",""))&lt;=2099,TEXT(VALUE(SUBSTITUTE(SUBSTITUTE(SUBSTITUTE(TRIM(A2272&amp;""),CHAR(160),"")," ",""),"년","")),"0000")=SUBSTITUTE(SUBSTITUTE(SUBSTITUTE(TRIM(A2272&amp;""),CHAR(160),"")," ",""),"년","")),SUBSTITUTE(SUBSTITUTE(SUBSTITUTE(TRIM(A2272&amp;""),CHAR(160),"")," ",""),"년",""),""),"")</f>
      </c>
      <c r="I2272" t="str">
        <f>SUBSTITUTE(SUBSTITUTE(SUBSTITUTE(SUBSTITUTE(SUBSTITUTE(TRIM(B2272&amp;""),CHAR(160),"")," ",""),"초등학교","초"),"중학교","중"),"고등학교","고")</f>
      </c>
    </row>
    <row r="2273" customFormat="false" ht="15" hidden="false" customHeight="false" outlineLevel="0" collapsed="false">
      <c r="A2273" s="8"/>
      <c r="B2273" s="8"/>
      <c r="C2273" s="8"/>
      <c r="D2273" s="8"/>
      <c r="E2273" s="8"/>
      <c r="F2273" t="str" s="15">
        <f aca="0">IF(B2273="","",IF(H2273="","확인필요(입력누락)",IF(SUMPRODUCT((실물목록!$P$2:$P$1001&lt;&gt;"")*ISNUMBER(SEARCH(실물목록!$P$2:$P$1001,I2273))*(실물목록!$Q$2:$Q$1001&lt;&gt;"")*ISNUMBER(SEARCH(실물목록!$Q$2:$Q$1001,I2273))*(실물목록!$R$2:$R$1001="")*(실물목록!$O$2:$O$1001&lt;&gt;"")*(실물목록!$O$2:$O$1001=H2273))&gt;0,"실물 있음",IF(SUMPRODUCT((실물목록!$P$2:$P$1001&lt;&gt;"")*ISNUMBER(SEARCH(실물목록!$P$2:$P$1001,I2273))*(실물목록!$R$2:$R$1001&lt;&gt;""))&gt;0,"확인필요(입력누락)",IF(SUMPRODUCT((실물목록!$P$2:$P$1001&lt;&gt;"")*ISNUMBER(SEARCH(실물목록!$P$2:$P$1001,I2273))*(실물목록!$Q$2:$Q$1001&lt;&gt;"")*ISNUMBER(SEARCH(실물목록!$Q$2:$Q$1001,I2273))*(실물목록!$R$2:$R$1001="")*(실물목록!$O$2:$O$1001&lt;&gt;""))&gt;0,"확인필요(연도다름)","실물 없음")))))</f>
      </c>
      <c r="G2273" t="n" s="16">
        <f aca="0">IF(B2273="","",SUMPRODUCT((실물목록!$P$2:$P$1001&lt;&gt;"")*ISNUMBER(SEARCH(실물목록!$P$2:$P$1001,I2273))*(실물목록!$Q$2:$Q$1001&lt;&gt;"")*ISNUMBER(SEARCH(실물목록!$Q$2:$Q$1001,I2273))*(실물목록!$R$2:$R$1001="")*(실물목록!$O$2:$O$1001&lt;&gt;"")*(실물목록!$O$2:$O$1001=H2273)))</f>
      </c>
      <c r="H2273" t="str">
        <f>IFERROR(IF(AND(LEN(SUBSTITUTE(SUBSTITUTE(SUBSTITUTE(TRIM(A2273&amp;""),CHAR(160),"")," ",""),"년",""))=4,VALUE(SUBSTITUTE(SUBSTITUTE(SUBSTITUTE(TRIM(A2273&amp;""),CHAR(160),"")," ",""),"년",""))&gt;=1900,VALUE(SUBSTITUTE(SUBSTITUTE(SUBSTITUTE(TRIM(A2273&amp;""),CHAR(160),"")," ",""),"년",""))&lt;=2099,TEXT(VALUE(SUBSTITUTE(SUBSTITUTE(SUBSTITUTE(TRIM(A2273&amp;""),CHAR(160),"")," ",""),"년","")),"0000")=SUBSTITUTE(SUBSTITUTE(SUBSTITUTE(TRIM(A2273&amp;""),CHAR(160),"")," ",""),"년","")),SUBSTITUTE(SUBSTITUTE(SUBSTITUTE(TRIM(A2273&amp;""),CHAR(160),"")," ",""),"년",""),""),"")</f>
      </c>
      <c r="I2273" t="str">
        <f>SUBSTITUTE(SUBSTITUTE(SUBSTITUTE(SUBSTITUTE(SUBSTITUTE(TRIM(B2273&amp;""),CHAR(160),"")," ",""),"초등학교","초"),"중학교","중"),"고등학교","고")</f>
      </c>
    </row>
    <row r="2274" customFormat="false" ht="15" hidden="false" customHeight="false" outlineLevel="0" collapsed="false">
      <c r="A2274" s="8"/>
      <c r="B2274" s="8"/>
      <c r="C2274" s="8"/>
      <c r="D2274" s="8"/>
      <c r="E2274" s="8"/>
      <c r="F2274" t="str" s="15">
        <f aca="0">IF(B2274="","",IF(H2274="","확인필요(입력누락)",IF(SUMPRODUCT((실물목록!$P$2:$P$1001&lt;&gt;"")*ISNUMBER(SEARCH(실물목록!$P$2:$P$1001,I2274))*(실물목록!$Q$2:$Q$1001&lt;&gt;"")*ISNUMBER(SEARCH(실물목록!$Q$2:$Q$1001,I2274))*(실물목록!$R$2:$R$1001="")*(실물목록!$O$2:$O$1001&lt;&gt;"")*(실물목록!$O$2:$O$1001=H2274))&gt;0,"실물 있음",IF(SUMPRODUCT((실물목록!$P$2:$P$1001&lt;&gt;"")*ISNUMBER(SEARCH(실물목록!$P$2:$P$1001,I2274))*(실물목록!$R$2:$R$1001&lt;&gt;""))&gt;0,"확인필요(입력누락)",IF(SUMPRODUCT((실물목록!$P$2:$P$1001&lt;&gt;"")*ISNUMBER(SEARCH(실물목록!$P$2:$P$1001,I2274))*(실물목록!$Q$2:$Q$1001&lt;&gt;"")*ISNUMBER(SEARCH(실물목록!$Q$2:$Q$1001,I2274))*(실물목록!$R$2:$R$1001="")*(실물목록!$O$2:$O$1001&lt;&gt;""))&gt;0,"확인필요(연도다름)","실물 없음")))))</f>
      </c>
      <c r="G2274" t="n" s="16">
        <f aca="0">IF(B2274="","",SUMPRODUCT((실물목록!$P$2:$P$1001&lt;&gt;"")*ISNUMBER(SEARCH(실물목록!$P$2:$P$1001,I2274))*(실물목록!$Q$2:$Q$1001&lt;&gt;"")*ISNUMBER(SEARCH(실물목록!$Q$2:$Q$1001,I2274))*(실물목록!$R$2:$R$1001="")*(실물목록!$O$2:$O$1001&lt;&gt;"")*(실물목록!$O$2:$O$1001=H2274)))</f>
      </c>
      <c r="H2274" t="str">
        <f>IFERROR(IF(AND(LEN(SUBSTITUTE(SUBSTITUTE(SUBSTITUTE(TRIM(A2274&amp;""),CHAR(160),"")," ",""),"년",""))=4,VALUE(SUBSTITUTE(SUBSTITUTE(SUBSTITUTE(TRIM(A2274&amp;""),CHAR(160),"")," ",""),"년",""))&gt;=1900,VALUE(SUBSTITUTE(SUBSTITUTE(SUBSTITUTE(TRIM(A2274&amp;""),CHAR(160),"")," ",""),"년",""))&lt;=2099,TEXT(VALUE(SUBSTITUTE(SUBSTITUTE(SUBSTITUTE(TRIM(A2274&amp;""),CHAR(160),"")," ",""),"년","")),"0000")=SUBSTITUTE(SUBSTITUTE(SUBSTITUTE(TRIM(A2274&amp;""),CHAR(160),"")," ",""),"년","")),SUBSTITUTE(SUBSTITUTE(SUBSTITUTE(TRIM(A2274&amp;""),CHAR(160),"")," ",""),"년",""),""),"")</f>
      </c>
      <c r="I2274" t="str">
        <f>SUBSTITUTE(SUBSTITUTE(SUBSTITUTE(SUBSTITUTE(SUBSTITUTE(TRIM(B2274&amp;""),CHAR(160),"")," ",""),"초등학교","초"),"중학교","중"),"고등학교","고")</f>
      </c>
    </row>
    <row r="2275" customFormat="false" ht="15" hidden="false" customHeight="false" outlineLevel="0" collapsed="false">
      <c r="A2275" s="8"/>
      <c r="B2275" s="8"/>
      <c r="C2275" s="8"/>
      <c r="D2275" s="8"/>
      <c r="E2275" s="8"/>
      <c r="F2275" t="str" s="15">
        <f aca="0">IF(B2275="","",IF(H2275="","확인필요(입력누락)",IF(SUMPRODUCT((실물목록!$P$2:$P$1001&lt;&gt;"")*ISNUMBER(SEARCH(실물목록!$P$2:$P$1001,I2275))*(실물목록!$Q$2:$Q$1001&lt;&gt;"")*ISNUMBER(SEARCH(실물목록!$Q$2:$Q$1001,I2275))*(실물목록!$R$2:$R$1001="")*(실물목록!$O$2:$O$1001&lt;&gt;"")*(실물목록!$O$2:$O$1001=H2275))&gt;0,"실물 있음",IF(SUMPRODUCT((실물목록!$P$2:$P$1001&lt;&gt;"")*ISNUMBER(SEARCH(실물목록!$P$2:$P$1001,I2275))*(실물목록!$R$2:$R$1001&lt;&gt;""))&gt;0,"확인필요(입력누락)",IF(SUMPRODUCT((실물목록!$P$2:$P$1001&lt;&gt;"")*ISNUMBER(SEARCH(실물목록!$P$2:$P$1001,I2275))*(실물목록!$Q$2:$Q$1001&lt;&gt;"")*ISNUMBER(SEARCH(실물목록!$Q$2:$Q$1001,I2275))*(실물목록!$R$2:$R$1001="")*(실물목록!$O$2:$O$1001&lt;&gt;""))&gt;0,"확인필요(연도다름)","실물 없음")))))</f>
      </c>
      <c r="G2275" t="n" s="16">
        <f aca="0">IF(B2275="","",SUMPRODUCT((실물목록!$P$2:$P$1001&lt;&gt;"")*ISNUMBER(SEARCH(실물목록!$P$2:$P$1001,I2275))*(실물목록!$Q$2:$Q$1001&lt;&gt;"")*ISNUMBER(SEARCH(실물목록!$Q$2:$Q$1001,I2275))*(실물목록!$R$2:$R$1001="")*(실물목록!$O$2:$O$1001&lt;&gt;"")*(실물목록!$O$2:$O$1001=H2275)))</f>
      </c>
      <c r="H2275" t="str">
        <f>IFERROR(IF(AND(LEN(SUBSTITUTE(SUBSTITUTE(SUBSTITUTE(TRIM(A2275&amp;""),CHAR(160),"")," ",""),"년",""))=4,VALUE(SUBSTITUTE(SUBSTITUTE(SUBSTITUTE(TRIM(A2275&amp;""),CHAR(160),"")," ",""),"년",""))&gt;=1900,VALUE(SUBSTITUTE(SUBSTITUTE(SUBSTITUTE(TRIM(A2275&amp;""),CHAR(160),"")," ",""),"년",""))&lt;=2099,TEXT(VALUE(SUBSTITUTE(SUBSTITUTE(SUBSTITUTE(TRIM(A2275&amp;""),CHAR(160),"")," ",""),"년","")),"0000")=SUBSTITUTE(SUBSTITUTE(SUBSTITUTE(TRIM(A2275&amp;""),CHAR(160),"")," ",""),"년","")),SUBSTITUTE(SUBSTITUTE(SUBSTITUTE(TRIM(A2275&amp;""),CHAR(160),"")," ",""),"년",""),""),"")</f>
      </c>
      <c r="I2275" t="str">
        <f>SUBSTITUTE(SUBSTITUTE(SUBSTITUTE(SUBSTITUTE(SUBSTITUTE(TRIM(B2275&amp;""),CHAR(160),"")," ",""),"초등학교","초"),"중학교","중"),"고등학교","고")</f>
      </c>
    </row>
    <row r="2276" customFormat="false" ht="15" hidden="false" customHeight="false" outlineLevel="0" collapsed="false">
      <c r="A2276" s="8"/>
      <c r="B2276" s="8"/>
      <c r="C2276" s="8"/>
      <c r="D2276" s="8"/>
      <c r="E2276" s="8"/>
      <c r="F2276" t="str" s="15">
        <f aca="0">IF(B2276="","",IF(H2276="","확인필요(입력누락)",IF(SUMPRODUCT((실물목록!$P$2:$P$1001&lt;&gt;"")*ISNUMBER(SEARCH(실물목록!$P$2:$P$1001,I2276))*(실물목록!$Q$2:$Q$1001&lt;&gt;"")*ISNUMBER(SEARCH(실물목록!$Q$2:$Q$1001,I2276))*(실물목록!$R$2:$R$1001="")*(실물목록!$O$2:$O$1001&lt;&gt;"")*(실물목록!$O$2:$O$1001=H2276))&gt;0,"실물 있음",IF(SUMPRODUCT((실물목록!$P$2:$P$1001&lt;&gt;"")*ISNUMBER(SEARCH(실물목록!$P$2:$P$1001,I2276))*(실물목록!$R$2:$R$1001&lt;&gt;""))&gt;0,"확인필요(입력누락)",IF(SUMPRODUCT((실물목록!$P$2:$P$1001&lt;&gt;"")*ISNUMBER(SEARCH(실물목록!$P$2:$P$1001,I2276))*(실물목록!$Q$2:$Q$1001&lt;&gt;"")*ISNUMBER(SEARCH(실물목록!$Q$2:$Q$1001,I2276))*(실물목록!$R$2:$R$1001="")*(실물목록!$O$2:$O$1001&lt;&gt;""))&gt;0,"확인필요(연도다름)","실물 없음")))))</f>
      </c>
      <c r="G2276" t="n" s="16">
        <f aca="0">IF(B2276="","",SUMPRODUCT((실물목록!$P$2:$P$1001&lt;&gt;"")*ISNUMBER(SEARCH(실물목록!$P$2:$P$1001,I2276))*(실물목록!$Q$2:$Q$1001&lt;&gt;"")*ISNUMBER(SEARCH(실물목록!$Q$2:$Q$1001,I2276))*(실물목록!$R$2:$R$1001="")*(실물목록!$O$2:$O$1001&lt;&gt;"")*(실물목록!$O$2:$O$1001=H2276)))</f>
      </c>
      <c r="H2276" t="str">
        <f>IFERROR(IF(AND(LEN(SUBSTITUTE(SUBSTITUTE(SUBSTITUTE(TRIM(A2276&amp;""),CHAR(160),"")," ",""),"년",""))=4,VALUE(SUBSTITUTE(SUBSTITUTE(SUBSTITUTE(TRIM(A2276&amp;""),CHAR(160),"")," ",""),"년",""))&gt;=1900,VALUE(SUBSTITUTE(SUBSTITUTE(SUBSTITUTE(TRIM(A2276&amp;""),CHAR(160),"")," ",""),"년",""))&lt;=2099,TEXT(VALUE(SUBSTITUTE(SUBSTITUTE(SUBSTITUTE(TRIM(A2276&amp;""),CHAR(160),"")," ",""),"년","")),"0000")=SUBSTITUTE(SUBSTITUTE(SUBSTITUTE(TRIM(A2276&amp;""),CHAR(160),"")," ",""),"년","")),SUBSTITUTE(SUBSTITUTE(SUBSTITUTE(TRIM(A2276&amp;""),CHAR(160),"")," ",""),"년",""),""),"")</f>
      </c>
      <c r="I2276" t="str">
        <f>SUBSTITUTE(SUBSTITUTE(SUBSTITUTE(SUBSTITUTE(SUBSTITUTE(TRIM(B2276&amp;""),CHAR(160),"")," ",""),"초등학교","초"),"중학교","중"),"고등학교","고")</f>
      </c>
    </row>
    <row r="2277" customFormat="false" ht="15" hidden="false" customHeight="false" outlineLevel="0" collapsed="false">
      <c r="A2277" s="8"/>
      <c r="B2277" s="8"/>
      <c r="C2277" s="8"/>
      <c r="D2277" s="8"/>
      <c r="E2277" s="8"/>
      <c r="F2277" t="str" s="15">
        <f aca="0">IF(B2277="","",IF(H2277="","확인필요(입력누락)",IF(SUMPRODUCT((실물목록!$P$2:$P$1001&lt;&gt;"")*ISNUMBER(SEARCH(실물목록!$P$2:$P$1001,I2277))*(실물목록!$Q$2:$Q$1001&lt;&gt;"")*ISNUMBER(SEARCH(실물목록!$Q$2:$Q$1001,I2277))*(실물목록!$R$2:$R$1001="")*(실물목록!$O$2:$O$1001&lt;&gt;"")*(실물목록!$O$2:$O$1001=H2277))&gt;0,"실물 있음",IF(SUMPRODUCT((실물목록!$P$2:$P$1001&lt;&gt;"")*ISNUMBER(SEARCH(실물목록!$P$2:$P$1001,I2277))*(실물목록!$R$2:$R$1001&lt;&gt;""))&gt;0,"확인필요(입력누락)",IF(SUMPRODUCT((실물목록!$P$2:$P$1001&lt;&gt;"")*ISNUMBER(SEARCH(실물목록!$P$2:$P$1001,I2277))*(실물목록!$Q$2:$Q$1001&lt;&gt;"")*ISNUMBER(SEARCH(실물목록!$Q$2:$Q$1001,I2277))*(실물목록!$R$2:$R$1001="")*(실물목록!$O$2:$O$1001&lt;&gt;""))&gt;0,"확인필요(연도다름)","실물 없음")))))</f>
      </c>
      <c r="G2277" t="n" s="16">
        <f aca="0">IF(B2277="","",SUMPRODUCT((실물목록!$P$2:$P$1001&lt;&gt;"")*ISNUMBER(SEARCH(실물목록!$P$2:$P$1001,I2277))*(실물목록!$Q$2:$Q$1001&lt;&gt;"")*ISNUMBER(SEARCH(실물목록!$Q$2:$Q$1001,I2277))*(실물목록!$R$2:$R$1001="")*(실물목록!$O$2:$O$1001&lt;&gt;"")*(실물목록!$O$2:$O$1001=H2277)))</f>
      </c>
      <c r="H2277" t="str">
        <f>IFERROR(IF(AND(LEN(SUBSTITUTE(SUBSTITUTE(SUBSTITUTE(TRIM(A2277&amp;""),CHAR(160),"")," ",""),"년",""))=4,VALUE(SUBSTITUTE(SUBSTITUTE(SUBSTITUTE(TRIM(A2277&amp;""),CHAR(160),"")," ",""),"년",""))&gt;=1900,VALUE(SUBSTITUTE(SUBSTITUTE(SUBSTITUTE(TRIM(A2277&amp;""),CHAR(160),"")," ",""),"년",""))&lt;=2099,TEXT(VALUE(SUBSTITUTE(SUBSTITUTE(SUBSTITUTE(TRIM(A2277&amp;""),CHAR(160),"")," ",""),"년","")),"0000")=SUBSTITUTE(SUBSTITUTE(SUBSTITUTE(TRIM(A2277&amp;""),CHAR(160),"")," ",""),"년","")),SUBSTITUTE(SUBSTITUTE(SUBSTITUTE(TRIM(A2277&amp;""),CHAR(160),"")," ",""),"년",""),""),"")</f>
      </c>
      <c r="I2277" t="str">
        <f>SUBSTITUTE(SUBSTITUTE(SUBSTITUTE(SUBSTITUTE(SUBSTITUTE(TRIM(B2277&amp;""),CHAR(160),"")," ",""),"초등학교","초"),"중학교","중"),"고등학교","고")</f>
      </c>
    </row>
    <row r="2278" customFormat="false" ht="15" hidden="false" customHeight="false" outlineLevel="0" collapsed="false">
      <c r="A2278" s="8"/>
      <c r="B2278" s="8"/>
      <c r="C2278" s="8"/>
      <c r="D2278" s="8"/>
      <c r="E2278" s="8"/>
      <c r="F2278" t="str" s="15">
        <f aca="0">IF(B2278="","",IF(H2278="","확인필요(입력누락)",IF(SUMPRODUCT((실물목록!$P$2:$P$1001&lt;&gt;"")*ISNUMBER(SEARCH(실물목록!$P$2:$P$1001,I2278))*(실물목록!$Q$2:$Q$1001&lt;&gt;"")*ISNUMBER(SEARCH(실물목록!$Q$2:$Q$1001,I2278))*(실물목록!$R$2:$R$1001="")*(실물목록!$O$2:$O$1001&lt;&gt;"")*(실물목록!$O$2:$O$1001=H2278))&gt;0,"실물 있음",IF(SUMPRODUCT((실물목록!$P$2:$P$1001&lt;&gt;"")*ISNUMBER(SEARCH(실물목록!$P$2:$P$1001,I2278))*(실물목록!$R$2:$R$1001&lt;&gt;""))&gt;0,"확인필요(입력누락)",IF(SUMPRODUCT((실물목록!$P$2:$P$1001&lt;&gt;"")*ISNUMBER(SEARCH(실물목록!$P$2:$P$1001,I2278))*(실물목록!$Q$2:$Q$1001&lt;&gt;"")*ISNUMBER(SEARCH(실물목록!$Q$2:$Q$1001,I2278))*(실물목록!$R$2:$R$1001="")*(실물목록!$O$2:$O$1001&lt;&gt;""))&gt;0,"확인필요(연도다름)","실물 없음")))))</f>
      </c>
      <c r="G2278" t="n" s="16">
        <f aca="0">IF(B2278="","",SUMPRODUCT((실물목록!$P$2:$P$1001&lt;&gt;"")*ISNUMBER(SEARCH(실물목록!$P$2:$P$1001,I2278))*(실물목록!$Q$2:$Q$1001&lt;&gt;"")*ISNUMBER(SEARCH(실물목록!$Q$2:$Q$1001,I2278))*(실물목록!$R$2:$R$1001="")*(실물목록!$O$2:$O$1001&lt;&gt;"")*(실물목록!$O$2:$O$1001=H2278)))</f>
      </c>
      <c r="H2278" t="str">
        <f>IFERROR(IF(AND(LEN(SUBSTITUTE(SUBSTITUTE(SUBSTITUTE(TRIM(A2278&amp;""),CHAR(160),"")," ",""),"년",""))=4,VALUE(SUBSTITUTE(SUBSTITUTE(SUBSTITUTE(TRIM(A2278&amp;""),CHAR(160),"")," ",""),"년",""))&gt;=1900,VALUE(SUBSTITUTE(SUBSTITUTE(SUBSTITUTE(TRIM(A2278&amp;""),CHAR(160),"")," ",""),"년",""))&lt;=2099,TEXT(VALUE(SUBSTITUTE(SUBSTITUTE(SUBSTITUTE(TRIM(A2278&amp;""),CHAR(160),"")," ",""),"년","")),"0000")=SUBSTITUTE(SUBSTITUTE(SUBSTITUTE(TRIM(A2278&amp;""),CHAR(160),"")," ",""),"년","")),SUBSTITUTE(SUBSTITUTE(SUBSTITUTE(TRIM(A2278&amp;""),CHAR(160),"")," ",""),"년",""),""),"")</f>
      </c>
      <c r="I2278" t="str">
        <f>SUBSTITUTE(SUBSTITUTE(SUBSTITUTE(SUBSTITUTE(SUBSTITUTE(TRIM(B2278&amp;""),CHAR(160),"")," ",""),"초등학교","초"),"중학교","중"),"고등학교","고")</f>
      </c>
    </row>
    <row r="2279" customFormat="false" ht="15" hidden="false" customHeight="false" outlineLevel="0" collapsed="false">
      <c r="A2279" s="8"/>
      <c r="B2279" s="8"/>
      <c r="C2279" s="8"/>
      <c r="D2279" s="8"/>
      <c r="E2279" s="8"/>
      <c r="F2279" t="str" s="15">
        <f aca="0">IF(B2279="","",IF(H2279="","확인필요(입력누락)",IF(SUMPRODUCT((실물목록!$P$2:$P$1001&lt;&gt;"")*ISNUMBER(SEARCH(실물목록!$P$2:$P$1001,I2279))*(실물목록!$Q$2:$Q$1001&lt;&gt;"")*ISNUMBER(SEARCH(실물목록!$Q$2:$Q$1001,I2279))*(실물목록!$R$2:$R$1001="")*(실물목록!$O$2:$O$1001&lt;&gt;"")*(실물목록!$O$2:$O$1001=H2279))&gt;0,"실물 있음",IF(SUMPRODUCT((실물목록!$P$2:$P$1001&lt;&gt;"")*ISNUMBER(SEARCH(실물목록!$P$2:$P$1001,I2279))*(실물목록!$R$2:$R$1001&lt;&gt;""))&gt;0,"확인필요(입력누락)",IF(SUMPRODUCT((실물목록!$P$2:$P$1001&lt;&gt;"")*ISNUMBER(SEARCH(실물목록!$P$2:$P$1001,I2279))*(실물목록!$Q$2:$Q$1001&lt;&gt;"")*ISNUMBER(SEARCH(실물목록!$Q$2:$Q$1001,I2279))*(실물목록!$R$2:$R$1001="")*(실물목록!$O$2:$O$1001&lt;&gt;""))&gt;0,"확인필요(연도다름)","실물 없음")))))</f>
      </c>
      <c r="G2279" t="n" s="16">
        <f aca="0">IF(B2279="","",SUMPRODUCT((실물목록!$P$2:$P$1001&lt;&gt;"")*ISNUMBER(SEARCH(실물목록!$P$2:$P$1001,I2279))*(실물목록!$Q$2:$Q$1001&lt;&gt;"")*ISNUMBER(SEARCH(실물목록!$Q$2:$Q$1001,I2279))*(실물목록!$R$2:$R$1001="")*(실물목록!$O$2:$O$1001&lt;&gt;"")*(실물목록!$O$2:$O$1001=H2279)))</f>
      </c>
      <c r="H2279" t="str">
        <f>IFERROR(IF(AND(LEN(SUBSTITUTE(SUBSTITUTE(SUBSTITUTE(TRIM(A2279&amp;""),CHAR(160),"")," ",""),"년",""))=4,VALUE(SUBSTITUTE(SUBSTITUTE(SUBSTITUTE(TRIM(A2279&amp;""),CHAR(160),"")," ",""),"년",""))&gt;=1900,VALUE(SUBSTITUTE(SUBSTITUTE(SUBSTITUTE(TRIM(A2279&amp;""),CHAR(160),"")," ",""),"년",""))&lt;=2099,TEXT(VALUE(SUBSTITUTE(SUBSTITUTE(SUBSTITUTE(TRIM(A2279&amp;""),CHAR(160),"")," ",""),"년","")),"0000")=SUBSTITUTE(SUBSTITUTE(SUBSTITUTE(TRIM(A2279&amp;""),CHAR(160),"")," ",""),"년","")),SUBSTITUTE(SUBSTITUTE(SUBSTITUTE(TRIM(A2279&amp;""),CHAR(160),"")," ",""),"년",""),""),"")</f>
      </c>
      <c r="I2279" t="str">
        <f>SUBSTITUTE(SUBSTITUTE(SUBSTITUTE(SUBSTITUTE(SUBSTITUTE(TRIM(B2279&amp;""),CHAR(160),"")," ",""),"초등학교","초"),"중학교","중"),"고등학교","고")</f>
      </c>
    </row>
    <row r="2280" customFormat="false" ht="15" hidden="false" customHeight="false" outlineLevel="0" collapsed="false">
      <c r="A2280" s="8"/>
      <c r="B2280" s="8"/>
      <c r="C2280" s="8"/>
      <c r="D2280" s="8"/>
      <c r="E2280" s="8"/>
      <c r="F2280" t="str" s="15">
        <f aca="0">IF(B2280="","",IF(H2280="","확인필요(입력누락)",IF(SUMPRODUCT((실물목록!$P$2:$P$1001&lt;&gt;"")*ISNUMBER(SEARCH(실물목록!$P$2:$P$1001,I2280))*(실물목록!$Q$2:$Q$1001&lt;&gt;"")*ISNUMBER(SEARCH(실물목록!$Q$2:$Q$1001,I2280))*(실물목록!$R$2:$R$1001="")*(실물목록!$O$2:$O$1001&lt;&gt;"")*(실물목록!$O$2:$O$1001=H2280))&gt;0,"실물 있음",IF(SUMPRODUCT((실물목록!$P$2:$P$1001&lt;&gt;"")*ISNUMBER(SEARCH(실물목록!$P$2:$P$1001,I2280))*(실물목록!$R$2:$R$1001&lt;&gt;""))&gt;0,"확인필요(입력누락)",IF(SUMPRODUCT((실물목록!$P$2:$P$1001&lt;&gt;"")*ISNUMBER(SEARCH(실물목록!$P$2:$P$1001,I2280))*(실물목록!$Q$2:$Q$1001&lt;&gt;"")*ISNUMBER(SEARCH(실물목록!$Q$2:$Q$1001,I2280))*(실물목록!$R$2:$R$1001="")*(실물목록!$O$2:$O$1001&lt;&gt;""))&gt;0,"확인필요(연도다름)","실물 없음")))))</f>
      </c>
      <c r="G2280" t="n" s="16">
        <f aca="0">IF(B2280="","",SUMPRODUCT((실물목록!$P$2:$P$1001&lt;&gt;"")*ISNUMBER(SEARCH(실물목록!$P$2:$P$1001,I2280))*(실물목록!$Q$2:$Q$1001&lt;&gt;"")*ISNUMBER(SEARCH(실물목록!$Q$2:$Q$1001,I2280))*(실물목록!$R$2:$R$1001="")*(실물목록!$O$2:$O$1001&lt;&gt;"")*(실물목록!$O$2:$O$1001=H2280)))</f>
      </c>
      <c r="H2280" t="str">
        <f>IFERROR(IF(AND(LEN(SUBSTITUTE(SUBSTITUTE(SUBSTITUTE(TRIM(A2280&amp;""),CHAR(160),"")," ",""),"년",""))=4,VALUE(SUBSTITUTE(SUBSTITUTE(SUBSTITUTE(TRIM(A2280&amp;""),CHAR(160),"")," ",""),"년",""))&gt;=1900,VALUE(SUBSTITUTE(SUBSTITUTE(SUBSTITUTE(TRIM(A2280&amp;""),CHAR(160),"")," ",""),"년",""))&lt;=2099,TEXT(VALUE(SUBSTITUTE(SUBSTITUTE(SUBSTITUTE(TRIM(A2280&amp;""),CHAR(160),"")," ",""),"년","")),"0000")=SUBSTITUTE(SUBSTITUTE(SUBSTITUTE(TRIM(A2280&amp;""),CHAR(160),"")," ",""),"년","")),SUBSTITUTE(SUBSTITUTE(SUBSTITUTE(TRIM(A2280&amp;""),CHAR(160),"")," ",""),"년",""),""),"")</f>
      </c>
      <c r="I2280" t="str">
        <f>SUBSTITUTE(SUBSTITUTE(SUBSTITUTE(SUBSTITUTE(SUBSTITUTE(TRIM(B2280&amp;""),CHAR(160),"")," ",""),"초등학교","초"),"중학교","중"),"고등학교","고")</f>
      </c>
    </row>
    <row r="2281" customFormat="false" ht="15" hidden="false" customHeight="false" outlineLevel="0" collapsed="false">
      <c r="A2281" s="8"/>
      <c r="B2281" s="8"/>
      <c r="C2281" s="8"/>
      <c r="D2281" s="8"/>
      <c r="E2281" s="8"/>
      <c r="F2281" t="str" s="15">
        <f aca="0">IF(B2281="","",IF(H2281="","확인필요(입력누락)",IF(SUMPRODUCT((실물목록!$P$2:$P$1001&lt;&gt;"")*ISNUMBER(SEARCH(실물목록!$P$2:$P$1001,I2281))*(실물목록!$Q$2:$Q$1001&lt;&gt;"")*ISNUMBER(SEARCH(실물목록!$Q$2:$Q$1001,I2281))*(실물목록!$R$2:$R$1001="")*(실물목록!$O$2:$O$1001&lt;&gt;"")*(실물목록!$O$2:$O$1001=H2281))&gt;0,"실물 있음",IF(SUMPRODUCT((실물목록!$P$2:$P$1001&lt;&gt;"")*ISNUMBER(SEARCH(실물목록!$P$2:$P$1001,I2281))*(실물목록!$R$2:$R$1001&lt;&gt;""))&gt;0,"확인필요(입력누락)",IF(SUMPRODUCT((실물목록!$P$2:$P$1001&lt;&gt;"")*ISNUMBER(SEARCH(실물목록!$P$2:$P$1001,I2281))*(실물목록!$Q$2:$Q$1001&lt;&gt;"")*ISNUMBER(SEARCH(실물목록!$Q$2:$Q$1001,I2281))*(실물목록!$R$2:$R$1001="")*(실물목록!$O$2:$O$1001&lt;&gt;""))&gt;0,"확인필요(연도다름)","실물 없음")))))</f>
      </c>
      <c r="G2281" t="n" s="16">
        <f aca="0">IF(B2281="","",SUMPRODUCT((실물목록!$P$2:$P$1001&lt;&gt;"")*ISNUMBER(SEARCH(실물목록!$P$2:$P$1001,I2281))*(실물목록!$Q$2:$Q$1001&lt;&gt;"")*ISNUMBER(SEARCH(실물목록!$Q$2:$Q$1001,I2281))*(실물목록!$R$2:$R$1001="")*(실물목록!$O$2:$O$1001&lt;&gt;"")*(실물목록!$O$2:$O$1001=H2281)))</f>
      </c>
      <c r="H2281" t="str">
        <f>IFERROR(IF(AND(LEN(SUBSTITUTE(SUBSTITUTE(SUBSTITUTE(TRIM(A2281&amp;""),CHAR(160),"")," ",""),"년",""))=4,VALUE(SUBSTITUTE(SUBSTITUTE(SUBSTITUTE(TRIM(A2281&amp;""),CHAR(160),"")," ",""),"년",""))&gt;=1900,VALUE(SUBSTITUTE(SUBSTITUTE(SUBSTITUTE(TRIM(A2281&amp;""),CHAR(160),"")," ",""),"년",""))&lt;=2099,TEXT(VALUE(SUBSTITUTE(SUBSTITUTE(SUBSTITUTE(TRIM(A2281&amp;""),CHAR(160),"")," ",""),"년","")),"0000")=SUBSTITUTE(SUBSTITUTE(SUBSTITUTE(TRIM(A2281&amp;""),CHAR(160),"")," ",""),"년","")),SUBSTITUTE(SUBSTITUTE(SUBSTITUTE(TRIM(A2281&amp;""),CHAR(160),"")," ",""),"년",""),""),"")</f>
      </c>
      <c r="I2281" t="str">
        <f>SUBSTITUTE(SUBSTITUTE(SUBSTITUTE(SUBSTITUTE(SUBSTITUTE(TRIM(B2281&amp;""),CHAR(160),"")," ",""),"초등학교","초"),"중학교","중"),"고등학교","고")</f>
      </c>
    </row>
    <row r="2282" customFormat="false" ht="15" hidden="false" customHeight="false" outlineLevel="0" collapsed="false">
      <c r="A2282" s="8"/>
      <c r="B2282" s="8"/>
      <c r="C2282" s="8"/>
      <c r="D2282" s="8"/>
      <c r="E2282" s="8"/>
      <c r="F2282" t="str" s="15">
        <f aca="0">IF(B2282="","",IF(H2282="","확인필요(입력누락)",IF(SUMPRODUCT((실물목록!$P$2:$P$1001&lt;&gt;"")*ISNUMBER(SEARCH(실물목록!$P$2:$P$1001,I2282))*(실물목록!$Q$2:$Q$1001&lt;&gt;"")*ISNUMBER(SEARCH(실물목록!$Q$2:$Q$1001,I2282))*(실물목록!$R$2:$R$1001="")*(실물목록!$O$2:$O$1001&lt;&gt;"")*(실물목록!$O$2:$O$1001=H2282))&gt;0,"실물 있음",IF(SUMPRODUCT((실물목록!$P$2:$P$1001&lt;&gt;"")*ISNUMBER(SEARCH(실물목록!$P$2:$P$1001,I2282))*(실물목록!$R$2:$R$1001&lt;&gt;""))&gt;0,"확인필요(입력누락)",IF(SUMPRODUCT((실물목록!$P$2:$P$1001&lt;&gt;"")*ISNUMBER(SEARCH(실물목록!$P$2:$P$1001,I2282))*(실물목록!$Q$2:$Q$1001&lt;&gt;"")*ISNUMBER(SEARCH(실물목록!$Q$2:$Q$1001,I2282))*(실물목록!$R$2:$R$1001="")*(실물목록!$O$2:$O$1001&lt;&gt;""))&gt;0,"확인필요(연도다름)","실물 없음")))))</f>
      </c>
      <c r="G2282" t="n" s="16">
        <f aca="0">IF(B2282="","",SUMPRODUCT((실물목록!$P$2:$P$1001&lt;&gt;"")*ISNUMBER(SEARCH(실물목록!$P$2:$P$1001,I2282))*(실물목록!$Q$2:$Q$1001&lt;&gt;"")*ISNUMBER(SEARCH(실물목록!$Q$2:$Q$1001,I2282))*(실물목록!$R$2:$R$1001="")*(실물목록!$O$2:$O$1001&lt;&gt;"")*(실물목록!$O$2:$O$1001=H2282)))</f>
      </c>
      <c r="H2282" t="str">
        <f>IFERROR(IF(AND(LEN(SUBSTITUTE(SUBSTITUTE(SUBSTITUTE(TRIM(A2282&amp;""),CHAR(160),"")," ",""),"년",""))=4,VALUE(SUBSTITUTE(SUBSTITUTE(SUBSTITUTE(TRIM(A2282&amp;""),CHAR(160),"")," ",""),"년",""))&gt;=1900,VALUE(SUBSTITUTE(SUBSTITUTE(SUBSTITUTE(TRIM(A2282&amp;""),CHAR(160),"")," ",""),"년",""))&lt;=2099,TEXT(VALUE(SUBSTITUTE(SUBSTITUTE(SUBSTITUTE(TRIM(A2282&amp;""),CHAR(160),"")," ",""),"년","")),"0000")=SUBSTITUTE(SUBSTITUTE(SUBSTITUTE(TRIM(A2282&amp;""),CHAR(160),"")," ",""),"년","")),SUBSTITUTE(SUBSTITUTE(SUBSTITUTE(TRIM(A2282&amp;""),CHAR(160),"")," ",""),"년",""),""),"")</f>
      </c>
      <c r="I2282" t="str">
        <f>SUBSTITUTE(SUBSTITUTE(SUBSTITUTE(SUBSTITUTE(SUBSTITUTE(TRIM(B2282&amp;""),CHAR(160),"")," ",""),"초등학교","초"),"중학교","중"),"고등학교","고")</f>
      </c>
    </row>
    <row r="2283" customFormat="false" ht="15" hidden="false" customHeight="false" outlineLevel="0" collapsed="false">
      <c r="A2283" s="8"/>
      <c r="B2283" s="8"/>
      <c r="C2283" s="8"/>
      <c r="D2283" s="8"/>
      <c r="E2283" s="8"/>
      <c r="F2283" t="str" s="15">
        <f aca="0">IF(B2283="","",IF(H2283="","확인필요(입력누락)",IF(SUMPRODUCT((실물목록!$P$2:$P$1001&lt;&gt;"")*ISNUMBER(SEARCH(실물목록!$P$2:$P$1001,I2283))*(실물목록!$Q$2:$Q$1001&lt;&gt;"")*ISNUMBER(SEARCH(실물목록!$Q$2:$Q$1001,I2283))*(실물목록!$R$2:$R$1001="")*(실물목록!$O$2:$O$1001&lt;&gt;"")*(실물목록!$O$2:$O$1001=H2283))&gt;0,"실물 있음",IF(SUMPRODUCT((실물목록!$P$2:$P$1001&lt;&gt;"")*ISNUMBER(SEARCH(실물목록!$P$2:$P$1001,I2283))*(실물목록!$R$2:$R$1001&lt;&gt;""))&gt;0,"확인필요(입력누락)",IF(SUMPRODUCT((실물목록!$P$2:$P$1001&lt;&gt;"")*ISNUMBER(SEARCH(실물목록!$P$2:$P$1001,I2283))*(실물목록!$Q$2:$Q$1001&lt;&gt;"")*ISNUMBER(SEARCH(실물목록!$Q$2:$Q$1001,I2283))*(실물목록!$R$2:$R$1001="")*(실물목록!$O$2:$O$1001&lt;&gt;""))&gt;0,"확인필요(연도다름)","실물 없음")))))</f>
      </c>
      <c r="G2283" t="n" s="16">
        <f aca="0">IF(B2283="","",SUMPRODUCT((실물목록!$P$2:$P$1001&lt;&gt;"")*ISNUMBER(SEARCH(실물목록!$P$2:$P$1001,I2283))*(실물목록!$Q$2:$Q$1001&lt;&gt;"")*ISNUMBER(SEARCH(실물목록!$Q$2:$Q$1001,I2283))*(실물목록!$R$2:$R$1001="")*(실물목록!$O$2:$O$1001&lt;&gt;"")*(실물목록!$O$2:$O$1001=H2283)))</f>
      </c>
      <c r="H2283" t="str">
        <f>IFERROR(IF(AND(LEN(SUBSTITUTE(SUBSTITUTE(SUBSTITUTE(TRIM(A2283&amp;""),CHAR(160),"")," ",""),"년",""))=4,VALUE(SUBSTITUTE(SUBSTITUTE(SUBSTITUTE(TRIM(A2283&amp;""),CHAR(160),"")," ",""),"년",""))&gt;=1900,VALUE(SUBSTITUTE(SUBSTITUTE(SUBSTITUTE(TRIM(A2283&amp;""),CHAR(160),"")," ",""),"년",""))&lt;=2099,TEXT(VALUE(SUBSTITUTE(SUBSTITUTE(SUBSTITUTE(TRIM(A2283&amp;""),CHAR(160),"")," ",""),"년","")),"0000")=SUBSTITUTE(SUBSTITUTE(SUBSTITUTE(TRIM(A2283&amp;""),CHAR(160),"")," ",""),"년","")),SUBSTITUTE(SUBSTITUTE(SUBSTITUTE(TRIM(A2283&amp;""),CHAR(160),"")," ",""),"년",""),""),"")</f>
      </c>
      <c r="I2283" t="str">
        <f>SUBSTITUTE(SUBSTITUTE(SUBSTITUTE(SUBSTITUTE(SUBSTITUTE(TRIM(B2283&amp;""),CHAR(160),"")," ",""),"초등학교","초"),"중학교","중"),"고등학교","고")</f>
      </c>
    </row>
    <row r="2284" customFormat="false" ht="15" hidden="false" customHeight="false" outlineLevel="0" collapsed="false">
      <c r="A2284" s="8"/>
      <c r="B2284" s="8"/>
      <c r="C2284" s="8"/>
      <c r="D2284" s="8"/>
      <c r="E2284" s="8"/>
      <c r="F2284" t="str" s="15">
        <f aca="0">IF(B2284="","",IF(H2284="","확인필요(입력누락)",IF(SUMPRODUCT((실물목록!$P$2:$P$1001&lt;&gt;"")*ISNUMBER(SEARCH(실물목록!$P$2:$P$1001,I2284))*(실물목록!$Q$2:$Q$1001&lt;&gt;"")*ISNUMBER(SEARCH(실물목록!$Q$2:$Q$1001,I2284))*(실물목록!$R$2:$R$1001="")*(실물목록!$O$2:$O$1001&lt;&gt;"")*(실물목록!$O$2:$O$1001=H2284))&gt;0,"실물 있음",IF(SUMPRODUCT((실물목록!$P$2:$P$1001&lt;&gt;"")*ISNUMBER(SEARCH(실물목록!$P$2:$P$1001,I2284))*(실물목록!$R$2:$R$1001&lt;&gt;""))&gt;0,"확인필요(입력누락)",IF(SUMPRODUCT((실물목록!$P$2:$P$1001&lt;&gt;"")*ISNUMBER(SEARCH(실물목록!$P$2:$P$1001,I2284))*(실물목록!$Q$2:$Q$1001&lt;&gt;"")*ISNUMBER(SEARCH(실물목록!$Q$2:$Q$1001,I2284))*(실물목록!$R$2:$R$1001="")*(실물목록!$O$2:$O$1001&lt;&gt;""))&gt;0,"확인필요(연도다름)","실물 없음")))))</f>
      </c>
      <c r="G2284" t="n" s="16">
        <f aca="0">IF(B2284="","",SUMPRODUCT((실물목록!$P$2:$P$1001&lt;&gt;"")*ISNUMBER(SEARCH(실물목록!$P$2:$P$1001,I2284))*(실물목록!$Q$2:$Q$1001&lt;&gt;"")*ISNUMBER(SEARCH(실물목록!$Q$2:$Q$1001,I2284))*(실물목록!$R$2:$R$1001="")*(실물목록!$O$2:$O$1001&lt;&gt;"")*(실물목록!$O$2:$O$1001=H2284)))</f>
      </c>
      <c r="H2284" t="str">
        <f>IFERROR(IF(AND(LEN(SUBSTITUTE(SUBSTITUTE(SUBSTITUTE(TRIM(A2284&amp;""),CHAR(160),"")," ",""),"년",""))=4,VALUE(SUBSTITUTE(SUBSTITUTE(SUBSTITUTE(TRIM(A2284&amp;""),CHAR(160),"")," ",""),"년",""))&gt;=1900,VALUE(SUBSTITUTE(SUBSTITUTE(SUBSTITUTE(TRIM(A2284&amp;""),CHAR(160),"")," ",""),"년",""))&lt;=2099,TEXT(VALUE(SUBSTITUTE(SUBSTITUTE(SUBSTITUTE(TRIM(A2284&amp;""),CHAR(160),"")," ",""),"년","")),"0000")=SUBSTITUTE(SUBSTITUTE(SUBSTITUTE(TRIM(A2284&amp;""),CHAR(160),"")," ",""),"년","")),SUBSTITUTE(SUBSTITUTE(SUBSTITUTE(TRIM(A2284&amp;""),CHAR(160),"")," ",""),"년",""),""),"")</f>
      </c>
      <c r="I2284" t="str">
        <f>SUBSTITUTE(SUBSTITUTE(SUBSTITUTE(SUBSTITUTE(SUBSTITUTE(TRIM(B2284&amp;""),CHAR(160),"")," ",""),"초등학교","초"),"중학교","중"),"고등학교","고")</f>
      </c>
    </row>
    <row r="2285" customFormat="false" ht="15" hidden="false" customHeight="false" outlineLevel="0" collapsed="false">
      <c r="A2285" s="8"/>
      <c r="B2285" s="8"/>
      <c r="C2285" s="8"/>
      <c r="D2285" s="8"/>
      <c r="E2285" s="8"/>
      <c r="F2285" t="str" s="15">
        <f aca="0">IF(B2285="","",IF(H2285="","확인필요(입력누락)",IF(SUMPRODUCT((실물목록!$P$2:$P$1001&lt;&gt;"")*ISNUMBER(SEARCH(실물목록!$P$2:$P$1001,I2285))*(실물목록!$Q$2:$Q$1001&lt;&gt;"")*ISNUMBER(SEARCH(실물목록!$Q$2:$Q$1001,I2285))*(실물목록!$R$2:$R$1001="")*(실물목록!$O$2:$O$1001&lt;&gt;"")*(실물목록!$O$2:$O$1001=H2285))&gt;0,"실물 있음",IF(SUMPRODUCT((실물목록!$P$2:$P$1001&lt;&gt;"")*ISNUMBER(SEARCH(실물목록!$P$2:$P$1001,I2285))*(실물목록!$R$2:$R$1001&lt;&gt;""))&gt;0,"확인필요(입력누락)",IF(SUMPRODUCT((실물목록!$P$2:$P$1001&lt;&gt;"")*ISNUMBER(SEARCH(실물목록!$P$2:$P$1001,I2285))*(실물목록!$Q$2:$Q$1001&lt;&gt;"")*ISNUMBER(SEARCH(실물목록!$Q$2:$Q$1001,I2285))*(실물목록!$R$2:$R$1001="")*(실물목록!$O$2:$O$1001&lt;&gt;""))&gt;0,"확인필요(연도다름)","실물 없음")))))</f>
      </c>
      <c r="G2285" t="n" s="16">
        <f aca="0">IF(B2285="","",SUMPRODUCT((실물목록!$P$2:$P$1001&lt;&gt;"")*ISNUMBER(SEARCH(실물목록!$P$2:$P$1001,I2285))*(실물목록!$Q$2:$Q$1001&lt;&gt;"")*ISNUMBER(SEARCH(실물목록!$Q$2:$Q$1001,I2285))*(실물목록!$R$2:$R$1001="")*(실물목록!$O$2:$O$1001&lt;&gt;"")*(실물목록!$O$2:$O$1001=H2285)))</f>
      </c>
      <c r="H2285" t="str">
        <f>IFERROR(IF(AND(LEN(SUBSTITUTE(SUBSTITUTE(SUBSTITUTE(TRIM(A2285&amp;""),CHAR(160),"")," ",""),"년",""))=4,VALUE(SUBSTITUTE(SUBSTITUTE(SUBSTITUTE(TRIM(A2285&amp;""),CHAR(160),"")," ",""),"년",""))&gt;=1900,VALUE(SUBSTITUTE(SUBSTITUTE(SUBSTITUTE(TRIM(A2285&amp;""),CHAR(160),"")," ",""),"년",""))&lt;=2099,TEXT(VALUE(SUBSTITUTE(SUBSTITUTE(SUBSTITUTE(TRIM(A2285&amp;""),CHAR(160),"")," ",""),"년","")),"0000")=SUBSTITUTE(SUBSTITUTE(SUBSTITUTE(TRIM(A2285&amp;""),CHAR(160),"")," ",""),"년","")),SUBSTITUTE(SUBSTITUTE(SUBSTITUTE(TRIM(A2285&amp;""),CHAR(160),"")," ",""),"년",""),""),"")</f>
      </c>
      <c r="I2285" t="str">
        <f>SUBSTITUTE(SUBSTITUTE(SUBSTITUTE(SUBSTITUTE(SUBSTITUTE(TRIM(B2285&amp;""),CHAR(160),"")," ",""),"초등학교","초"),"중학교","중"),"고등학교","고")</f>
      </c>
    </row>
    <row r="2286" customFormat="false" ht="15" hidden="false" customHeight="false" outlineLevel="0" collapsed="false">
      <c r="A2286" s="8"/>
      <c r="B2286" s="8"/>
      <c r="C2286" s="8"/>
      <c r="D2286" s="8"/>
      <c r="E2286" s="8"/>
      <c r="F2286" t="str" s="15">
        <f aca="0">IF(B2286="","",IF(H2286="","확인필요(입력누락)",IF(SUMPRODUCT((실물목록!$P$2:$P$1001&lt;&gt;"")*ISNUMBER(SEARCH(실물목록!$P$2:$P$1001,I2286))*(실물목록!$Q$2:$Q$1001&lt;&gt;"")*ISNUMBER(SEARCH(실물목록!$Q$2:$Q$1001,I2286))*(실물목록!$R$2:$R$1001="")*(실물목록!$O$2:$O$1001&lt;&gt;"")*(실물목록!$O$2:$O$1001=H2286))&gt;0,"실물 있음",IF(SUMPRODUCT((실물목록!$P$2:$P$1001&lt;&gt;"")*ISNUMBER(SEARCH(실물목록!$P$2:$P$1001,I2286))*(실물목록!$R$2:$R$1001&lt;&gt;""))&gt;0,"확인필요(입력누락)",IF(SUMPRODUCT((실물목록!$P$2:$P$1001&lt;&gt;"")*ISNUMBER(SEARCH(실물목록!$P$2:$P$1001,I2286))*(실물목록!$Q$2:$Q$1001&lt;&gt;"")*ISNUMBER(SEARCH(실물목록!$Q$2:$Q$1001,I2286))*(실물목록!$R$2:$R$1001="")*(실물목록!$O$2:$O$1001&lt;&gt;""))&gt;0,"확인필요(연도다름)","실물 없음")))))</f>
      </c>
      <c r="G2286" t="n" s="16">
        <f aca="0">IF(B2286="","",SUMPRODUCT((실물목록!$P$2:$P$1001&lt;&gt;"")*ISNUMBER(SEARCH(실물목록!$P$2:$P$1001,I2286))*(실물목록!$Q$2:$Q$1001&lt;&gt;"")*ISNUMBER(SEARCH(실물목록!$Q$2:$Q$1001,I2286))*(실물목록!$R$2:$R$1001="")*(실물목록!$O$2:$O$1001&lt;&gt;"")*(실물목록!$O$2:$O$1001=H2286)))</f>
      </c>
      <c r="H2286" t="str">
        <f>IFERROR(IF(AND(LEN(SUBSTITUTE(SUBSTITUTE(SUBSTITUTE(TRIM(A2286&amp;""),CHAR(160),"")," ",""),"년",""))=4,VALUE(SUBSTITUTE(SUBSTITUTE(SUBSTITUTE(TRIM(A2286&amp;""),CHAR(160),"")," ",""),"년",""))&gt;=1900,VALUE(SUBSTITUTE(SUBSTITUTE(SUBSTITUTE(TRIM(A2286&amp;""),CHAR(160),"")," ",""),"년",""))&lt;=2099,TEXT(VALUE(SUBSTITUTE(SUBSTITUTE(SUBSTITUTE(TRIM(A2286&amp;""),CHAR(160),"")," ",""),"년","")),"0000")=SUBSTITUTE(SUBSTITUTE(SUBSTITUTE(TRIM(A2286&amp;""),CHAR(160),"")," ",""),"년","")),SUBSTITUTE(SUBSTITUTE(SUBSTITUTE(TRIM(A2286&amp;""),CHAR(160),"")," ",""),"년",""),""),"")</f>
      </c>
      <c r="I2286" t="str">
        <f>SUBSTITUTE(SUBSTITUTE(SUBSTITUTE(SUBSTITUTE(SUBSTITUTE(TRIM(B2286&amp;""),CHAR(160),"")," ",""),"초등학교","초"),"중학교","중"),"고등학교","고")</f>
      </c>
    </row>
    <row r="2287" customFormat="false" ht="15" hidden="false" customHeight="false" outlineLevel="0" collapsed="false">
      <c r="A2287" s="8"/>
      <c r="B2287" s="8"/>
      <c r="C2287" s="8"/>
      <c r="D2287" s="8"/>
      <c r="E2287" s="8"/>
      <c r="F2287" t="str" s="15">
        <f aca="0">IF(B2287="","",IF(H2287="","확인필요(입력누락)",IF(SUMPRODUCT((실물목록!$P$2:$P$1001&lt;&gt;"")*ISNUMBER(SEARCH(실물목록!$P$2:$P$1001,I2287))*(실물목록!$Q$2:$Q$1001&lt;&gt;"")*ISNUMBER(SEARCH(실물목록!$Q$2:$Q$1001,I2287))*(실물목록!$R$2:$R$1001="")*(실물목록!$O$2:$O$1001&lt;&gt;"")*(실물목록!$O$2:$O$1001=H2287))&gt;0,"실물 있음",IF(SUMPRODUCT((실물목록!$P$2:$P$1001&lt;&gt;"")*ISNUMBER(SEARCH(실물목록!$P$2:$P$1001,I2287))*(실물목록!$R$2:$R$1001&lt;&gt;""))&gt;0,"확인필요(입력누락)",IF(SUMPRODUCT((실물목록!$P$2:$P$1001&lt;&gt;"")*ISNUMBER(SEARCH(실물목록!$P$2:$P$1001,I2287))*(실물목록!$Q$2:$Q$1001&lt;&gt;"")*ISNUMBER(SEARCH(실물목록!$Q$2:$Q$1001,I2287))*(실물목록!$R$2:$R$1001="")*(실물목록!$O$2:$O$1001&lt;&gt;""))&gt;0,"확인필요(연도다름)","실물 없음")))))</f>
      </c>
      <c r="G2287" t="n" s="16">
        <f aca="0">IF(B2287="","",SUMPRODUCT((실물목록!$P$2:$P$1001&lt;&gt;"")*ISNUMBER(SEARCH(실물목록!$P$2:$P$1001,I2287))*(실물목록!$Q$2:$Q$1001&lt;&gt;"")*ISNUMBER(SEARCH(실물목록!$Q$2:$Q$1001,I2287))*(실물목록!$R$2:$R$1001="")*(실물목록!$O$2:$O$1001&lt;&gt;"")*(실물목록!$O$2:$O$1001=H2287)))</f>
      </c>
      <c r="H2287" t="str">
        <f>IFERROR(IF(AND(LEN(SUBSTITUTE(SUBSTITUTE(SUBSTITUTE(TRIM(A2287&amp;""),CHAR(160),"")," ",""),"년",""))=4,VALUE(SUBSTITUTE(SUBSTITUTE(SUBSTITUTE(TRIM(A2287&amp;""),CHAR(160),"")," ",""),"년",""))&gt;=1900,VALUE(SUBSTITUTE(SUBSTITUTE(SUBSTITUTE(TRIM(A2287&amp;""),CHAR(160),"")," ",""),"년",""))&lt;=2099,TEXT(VALUE(SUBSTITUTE(SUBSTITUTE(SUBSTITUTE(TRIM(A2287&amp;""),CHAR(160),"")," ",""),"년","")),"0000")=SUBSTITUTE(SUBSTITUTE(SUBSTITUTE(TRIM(A2287&amp;""),CHAR(160),"")," ",""),"년","")),SUBSTITUTE(SUBSTITUTE(SUBSTITUTE(TRIM(A2287&amp;""),CHAR(160),"")," ",""),"년",""),""),"")</f>
      </c>
      <c r="I2287" t="str">
        <f>SUBSTITUTE(SUBSTITUTE(SUBSTITUTE(SUBSTITUTE(SUBSTITUTE(TRIM(B2287&amp;""),CHAR(160),"")," ",""),"초등학교","초"),"중학교","중"),"고등학교","고")</f>
      </c>
    </row>
    <row r="2288" customFormat="false" ht="15" hidden="false" customHeight="false" outlineLevel="0" collapsed="false">
      <c r="A2288" s="8"/>
      <c r="B2288" s="8"/>
      <c r="C2288" s="8"/>
      <c r="D2288" s="8"/>
      <c r="E2288" s="8"/>
      <c r="F2288" t="str" s="15">
        <f aca="0">IF(B2288="","",IF(H2288="","확인필요(입력누락)",IF(SUMPRODUCT((실물목록!$P$2:$P$1001&lt;&gt;"")*ISNUMBER(SEARCH(실물목록!$P$2:$P$1001,I2288))*(실물목록!$Q$2:$Q$1001&lt;&gt;"")*ISNUMBER(SEARCH(실물목록!$Q$2:$Q$1001,I2288))*(실물목록!$R$2:$R$1001="")*(실물목록!$O$2:$O$1001&lt;&gt;"")*(실물목록!$O$2:$O$1001=H2288))&gt;0,"실물 있음",IF(SUMPRODUCT((실물목록!$P$2:$P$1001&lt;&gt;"")*ISNUMBER(SEARCH(실물목록!$P$2:$P$1001,I2288))*(실물목록!$R$2:$R$1001&lt;&gt;""))&gt;0,"확인필요(입력누락)",IF(SUMPRODUCT((실물목록!$P$2:$P$1001&lt;&gt;"")*ISNUMBER(SEARCH(실물목록!$P$2:$P$1001,I2288))*(실물목록!$Q$2:$Q$1001&lt;&gt;"")*ISNUMBER(SEARCH(실물목록!$Q$2:$Q$1001,I2288))*(실물목록!$R$2:$R$1001="")*(실물목록!$O$2:$O$1001&lt;&gt;""))&gt;0,"확인필요(연도다름)","실물 없음")))))</f>
      </c>
      <c r="G2288" t="n" s="16">
        <f aca="0">IF(B2288="","",SUMPRODUCT((실물목록!$P$2:$P$1001&lt;&gt;"")*ISNUMBER(SEARCH(실물목록!$P$2:$P$1001,I2288))*(실물목록!$Q$2:$Q$1001&lt;&gt;"")*ISNUMBER(SEARCH(실물목록!$Q$2:$Q$1001,I2288))*(실물목록!$R$2:$R$1001="")*(실물목록!$O$2:$O$1001&lt;&gt;"")*(실물목록!$O$2:$O$1001=H2288)))</f>
      </c>
      <c r="H2288" t="str">
        <f>IFERROR(IF(AND(LEN(SUBSTITUTE(SUBSTITUTE(SUBSTITUTE(TRIM(A2288&amp;""),CHAR(160),"")," ",""),"년",""))=4,VALUE(SUBSTITUTE(SUBSTITUTE(SUBSTITUTE(TRIM(A2288&amp;""),CHAR(160),"")," ",""),"년",""))&gt;=1900,VALUE(SUBSTITUTE(SUBSTITUTE(SUBSTITUTE(TRIM(A2288&amp;""),CHAR(160),"")," ",""),"년",""))&lt;=2099,TEXT(VALUE(SUBSTITUTE(SUBSTITUTE(SUBSTITUTE(TRIM(A2288&amp;""),CHAR(160),"")," ",""),"년","")),"0000")=SUBSTITUTE(SUBSTITUTE(SUBSTITUTE(TRIM(A2288&amp;""),CHAR(160),"")," ",""),"년","")),SUBSTITUTE(SUBSTITUTE(SUBSTITUTE(TRIM(A2288&amp;""),CHAR(160),"")," ",""),"년",""),""),"")</f>
      </c>
      <c r="I2288" t="str">
        <f>SUBSTITUTE(SUBSTITUTE(SUBSTITUTE(SUBSTITUTE(SUBSTITUTE(TRIM(B2288&amp;""),CHAR(160),"")," ",""),"초등학교","초"),"중학교","중"),"고등학교","고")</f>
      </c>
    </row>
    <row r="2289" customFormat="false" ht="15" hidden="false" customHeight="false" outlineLevel="0" collapsed="false">
      <c r="A2289" s="8"/>
      <c r="B2289" s="8"/>
      <c r="C2289" s="8"/>
      <c r="D2289" s="8"/>
      <c r="E2289" s="8"/>
      <c r="F2289" t="str" s="15">
        <f aca="0">IF(B2289="","",IF(H2289="","확인필요(입력누락)",IF(SUMPRODUCT((실물목록!$P$2:$P$1001&lt;&gt;"")*ISNUMBER(SEARCH(실물목록!$P$2:$P$1001,I2289))*(실물목록!$Q$2:$Q$1001&lt;&gt;"")*ISNUMBER(SEARCH(실물목록!$Q$2:$Q$1001,I2289))*(실물목록!$R$2:$R$1001="")*(실물목록!$O$2:$O$1001&lt;&gt;"")*(실물목록!$O$2:$O$1001=H2289))&gt;0,"실물 있음",IF(SUMPRODUCT((실물목록!$P$2:$P$1001&lt;&gt;"")*ISNUMBER(SEARCH(실물목록!$P$2:$P$1001,I2289))*(실물목록!$R$2:$R$1001&lt;&gt;""))&gt;0,"확인필요(입력누락)",IF(SUMPRODUCT((실물목록!$P$2:$P$1001&lt;&gt;"")*ISNUMBER(SEARCH(실물목록!$P$2:$P$1001,I2289))*(실물목록!$Q$2:$Q$1001&lt;&gt;"")*ISNUMBER(SEARCH(실물목록!$Q$2:$Q$1001,I2289))*(실물목록!$R$2:$R$1001="")*(실물목록!$O$2:$O$1001&lt;&gt;""))&gt;0,"확인필요(연도다름)","실물 없음")))))</f>
      </c>
      <c r="G2289" t="n" s="16">
        <f aca="0">IF(B2289="","",SUMPRODUCT((실물목록!$P$2:$P$1001&lt;&gt;"")*ISNUMBER(SEARCH(실물목록!$P$2:$P$1001,I2289))*(실물목록!$Q$2:$Q$1001&lt;&gt;"")*ISNUMBER(SEARCH(실물목록!$Q$2:$Q$1001,I2289))*(실물목록!$R$2:$R$1001="")*(실물목록!$O$2:$O$1001&lt;&gt;"")*(실물목록!$O$2:$O$1001=H2289)))</f>
      </c>
      <c r="H2289" t="str">
        <f>IFERROR(IF(AND(LEN(SUBSTITUTE(SUBSTITUTE(SUBSTITUTE(TRIM(A2289&amp;""),CHAR(160),"")," ",""),"년",""))=4,VALUE(SUBSTITUTE(SUBSTITUTE(SUBSTITUTE(TRIM(A2289&amp;""),CHAR(160),"")," ",""),"년",""))&gt;=1900,VALUE(SUBSTITUTE(SUBSTITUTE(SUBSTITUTE(TRIM(A2289&amp;""),CHAR(160),"")," ",""),"년",""))&lt;=2099,TEXT(VALUE(SUBSTITUTE(SUBSTITUTE(SUBSTITUTE(TRIM(A2289&amp;""),CHAR(160),"")," ",""),"년","")),"0000")=SUBSTITUTE(SUBSTITUTE(SUBSTITUTE(TRIM(A2289&amp;""),CHAR(160),"")," ",""),"년","")),SUBSTITUTE(SUBSTITUTE(SUBSTITUTE(TRIM(A2289&amp;""),CHAR(160),"")," ",""),"년",""),""),"")</f>
      </c>
      <c r="I2289" t="str">
        <f>SUBSTITUTE(SUBSTITUTE(SUBSTITUTE(SUBSTITUTE(SUBSTITUTE(TRIM(B2289&amp;""),CHAR(160),"")," ",""),"초등학교","초"),"중학교","중"),"고등학교","고")</f>
      </c>
    </row>
    <row r="2290" customFormat="false" ht="15" hidden="false" customHeight="false" outlineLevel="0" collapsed="false">
      <c r="A2290" s="8"/>
      <c r="B2290" s="8"/>
      <c r="C2290" s="8"/>
      <c r="D2290" s="8"/>
      <c r="E2290" s="8"/>
      <c r="F2290" t="str" s="15">
        <f aca="0">IF(B2290="","",IF(H2290="","확인필요(입력누락)",IF(SUMPRODUCT((실물목록!$P$2:$P$1001&lt;&gt;"")*ISNUMBER(SEARCH(실물목록!$P$2:$P$1001,I2290))*(실물목록!$Q$2:$Q$1001&lt;&gt;"")*ISNUMBER(SEARCH(실물목록!$Q$2:$Q$1001,I2290))*(실물목록!$R$2:$R$1001="")*(실물목록!$O$2:$O$1001&lt;&gt;"")*(실물목록!$O$2:$O$1001=H2290))&gt;0,"실물 있음",IF(SUMPRODUCT((실물목록!$P$2:$P$1001&lt;&gt;"")*ISNUMBER(SEARCH(실물목록!$P$2:$P$1001,I2290))*(실물목록!$R$2:$R$1001&lt;&gt;""))&gt;0,"확인필요(입력누락)",IF(SUMPRODUCT((실물목록!$P$2:$P$1001&lt;&gt;"")*ISNUMBER(SEARCH(실물목록!$P$2:$P$1001,I2290))*(실물목록!$Q$2:$Q$1001&lt;&gt;"")*ISNUMBER(SEARCH(실물목록!$Q$2:$Q$1001,I2290))*(실물목록!$R$2:$R$1001="")*(실물목록!$O$2:$O$1001&lt;&gt;""))&gt;0,"확인필요(연도다름)","실물 없음")))))</f>
      </c>
      <c r="G2290" t="n" s="16">
        <f aca="0">IF(B2290="","",SUMPRODUCT((실물목록!$P$2:$P$1001&lt;&gt;"")*ISNUMBER(SEARCH(실물목록!$P$2:$P$1001,I2290))*(실물목록!$Q$2:$Q$1001&lt;&gt;"")*ISNUMBER(SEARCH(실물목록!$Q$2:$Q$1001,I2290))*(실물목록!$R$2:$R$1001="")*(실물목록!$O$2:$O$1001&lt;&gt;"")*(실물목록!$O$2:$O$1001=H2290)))</f>
      </c>
      <c r="H2290" t="str">
        <f>IFERROR(IF(AND(LEN(SUBSTITUTE(SUBSTITUTE(SUBSTITUTE(TRIM(A2290&amp;""),CHAR(160),"")," ",""),"년",""))=4,VALUE(SUBSTITUTE(SUBSTITUTE(SUBSTITUTE(TRIM(A2290&amp;""),CHAR(160),"")," ",""),"년",""))&gt;=1900,VALUE(SUBSTITUTE(SUBSTITUTE(SUBSTITUTE(TRIM(A2290&amp;""),CHAR(160),"")," ",""),"년",""))&lt;=2099,TEXT(VALUE(SUBSTITUTE(SUBSTITUTE(SUBSTITUTE(TRIM(A2290&amp;""),CHAR(160),"")," ",""),"년","")),"0000")=SUBSTITUTE(SUBSTITUTE(SUBSTITUTE(TRIM(A2290&amp;""),CHAR(160),"")," ",""),"년","")),SUBSTITUTE(SUBSTITUTE(SUBSTITUTE(TRIM(A2290&amp;""),CHAR(160),"")," ",""),"년",""),""),"")</f>
      </c>
      <c r="I2290" t="str">
        <f>SUBSTITUTE(SUBSTITUTE(SUBSTITUTE(SUBSTITUTE(SUBSTITUTE(TRIM(B2290&amp;""),CHAR(160),"")," ",""),"초등학교","초"),"중학교","중"),"고등학교","고")</f>
      </c>
    </row>
    <row r="2291" customFormat="false" ht="15" hidden="false" customHeight="false" outlineLevel="0" collapsed="false">
      <c r="A2291" s="8"/>
      <c r="B2291" s="8"/>
      <c r="C2291" s="8"/>
      <c r="D2291" s="8"/>
      <c r="E2291" s="8"/>
      <c r="F2291" t="str" s="15">
        <f aca="0">IF(B2291="","",IF(H2291="","확인필요(입력누락)",IF(SUMPRODUCT((실물목록!$P$2:$P$1001&lt;&gt;"")*ISNUMBER(SEARCH(실물목록!$P$2:$P$1001,I2291))*(실물목록!$Q$2:$Q$1001&lt;&gt;"")*ISNUMBER(SEARCH(실물목록!$Q$2:$Q$1001,I2291))*(실물목록!$R$2:$R$1001="")*(실물목록!$O$2:$O$1001&lt;&gt;"")*(실물목록!$O$2:$O$1001=H2291))&gt;0,"실물 있음",IF(SUMPRODUCT((실물목록!$P$2:$P$1001&lt;&gt;"")*ISNUMBER(SEARCH(실물목록!$P$2:$P$1001,I2291))*(실물목록!$R$2:$R$1001&lt;&gt;""))&gt;0,"확인필요(입력누락)",IF(SUMPRODUCT((실물목록!$P$2:$P$1001&lt;&gt;"")*ISNUMBER(SEARCH(실물목록!$P$2:$P$1001,I2291))*(실물목록!$Q$2:$Q$1001&lt;&gt;"")*ISNUMBER(SEARCH(실물목록!$Q$2:$Q$1001,I2291))*(실물목록!$R$2:$R$1001="")*(실물목록!$O$2:$O$1001&lt;&gt;""))&gt;0,"확인필요(연도다름)","실물 없음")))))</f>
      </c>
      <c r="G2291" t="n" s="16">
        <f aca="0">IF(B2291="","",SUMPRODUCT((실물목록!$P$2:$P$1001&lt;&gt;"")*ISNUMBER(SEARCH(실물목록!$P$2:$P$1001,I2291))*(실물목록!$Q$2:$Q$1001&lt;&gt;"")*ISNUMBER(SEARCH(실물목록!$Q$2:$Q$1001,I2291))*(실물목록!$R$2:$R$1001="")*(실물목록!$O$2:$O$1001&lt;&gt;"")*(실물목록!$O$2:$O$1001=H2291)))</f>
      </c>
      <c r="H2291" t="str">
        <f>IFERROR(IF(AND(LEN(SUBSTITUTE(SUBSTITUTE(SUBSTITUTE(TRIM(A2291&amp;""),CHAR(160),"")," ",""),"년",""))=4,VALUE(SUBSTITUTE(SUBSTITUTE(SUBSTITUTE(TRIM(A2291&amp;""),CHAR(160),"")," ",""),"년",""))&gt;=1900,VALUE(SUBSTITUTE(SUBSTITUTE(SUBSTITUTE(TRIM(A2291&amp;""),CHAR(160),"")," ",""),"년",""))&lt;=2099,TEXT(VALUE(SUBSTITUTE(SUBSTITUTE(SUBSTITUTE(TRIM(A2291&amp;""),CHAR(160),"")," ",""),"년","")),"0000")=SUBSTITUTE(SUBSTITUTE(SUBSTITUTE(TRIM(A2291&amp;""),CHAR(160),"")," ",""),"년","")),SUBSTITUTE(SUBSTITUTE(SUBSTITUTE(TRIM(A2291&amp;""),CHAR(160),"")," ",""),"년",""),""),"")</f>
      </c>
      <c r="I2291" t="str">
        <f>SUBSTITUTE(SUBSTITUTE(SUBSTITUTE(SUBSTITUTE(SUBSTITUTE(TRIM(B2291&amp;""),CHAR(160),"")," ",""),"초등학교","초"),"중학교","중"),"고등학교","고")</f>
      </c>
    </row>
    <row r="2292" customFormat="false" ht="15" hidden="false" customHeight="false" outlineLevel="0" collapsed="false">
      <c r="A2292" s="8"/>
      <c r="B2292" s="8"/>
      <c r="C2292" s="8"/>
      <c r="D2292" s="8"/>
      <c r="E2292" s="8"/>
      <c r="F2292" t="str" s="15">
        <f aca="0">IF(B2292="","",IF(H2292="","확인필요(입력누락)",IF(SUMPRODUCT((실물목록!$P$2:$P$1001&lt;&gt;"")*ISNUMBER(SEARCH(실물목록!$P$2:$P$1001,I2292))*(실물목록!$Q$2:$Q$1001&lt;&gt;"")*ISNUMBER(SEARCH(실물목록!$Q$2:$Q$1001,I2292))*(실물목록!$R$2:$R$1001="")*(실물목록!$O$2:$O$1001&lt;&gt;"")*(실물목록!$O$2:$O$1001=H2292))&gt;0,"실물 있음",IF(SUMPRODUCT((실물목록!$P$2:$P$1001&lt;&gt;"")*ISNUMBER(SEARCH(실물목록!$P$2:$P$1001,I2292))*(실물목록!$R$2:$R$1001&lt;&gt;""))&gt;0,"확인필요(입력누락)",IF(SUMPRODUCT((실물목록!$P$2:$P$1001&lt;&gt;"")*ISNUMBER(SEARCH(실물목록!$P$2:$P$1001,I2292))*(실물목록!$Q$2:$Q$1001&lt;&gt;"")*ISNUMBER(SEARCH(실물목록!$Q$2:$Q$1001,I2292))*(실물목록!$R$2:$R$1001="")*(실물목록!$O$2:$O$1001&lt;&gt;""))&gt;0,"확인필요(연도다름)","실물 없음")))))</f>
      </c>
      <c r="G2292" t="n" s="16">
        <f aca="0">IF(B2292="","",SUMPRODUCT((실물목록!$P$2:$P$1001&lt;&gt;"")*ISNUMBER(SEARCH(실물목록!$P$2:$P$1001,I2292))*(실물목록!$Q$2:$Q$1001&lt;&gt;"")*ISNUMBER(SEARCH(실물목록!$Q$2:$Q$1001,I2292))*(실물목록!$R$2:$R$1001="")*(실물목록!$O$2:$O$1001&lt;&gt;"")*(실물목록!$O$2:$O$1001=H2292)))</f>
      </c>
      <c r="H2292" t="str">
        <f>IFERROR(IF(AND(LEN(SUBSTITUTE(SUBSTITUTE(SUBSTITUTE(TRIM(A2292&amp;""),CHAR(160),"")," ",""),"년",""))=4,VALUE(SUBSTITUTE(SUBSTITUTE(SUBSTITUTE(TRIM(A2292&amp;""),CHAR(160),"")," ",""),"년",""))&gt;=1900,VALUE(SUBSTITUTE(SUBSTITUTE(SUBSTITUTE(TRIM(A2292&amp;""),CHAR(160),"")," ",""),"년",""))&lt;=2099,TEXT(VALUE(SUBSTITUTE(SUBSTITUTE(SUBSTITUTE(TRIM(A2292&amp;""),CHAR(160),"")," ",""),"년","")),"0000")=SUBSTITUTE(SUBSTITUTE(SUBSTITUTE(TRIM(A2292&amp;""),CHAR(160),"")," ",""),"년","")),SUBSTITUTE(SUBSTITUTE(SUBSTITUTE(TRIM(A2292&amp;""),CHAR(160),"")," ",""),"년",""),""),"")</f>
      </c>
      <c r="I2292" t="str">
        <f>SUBSTITUTE(SUBSTITUTE(SUBSTITUTE(SUBSTITUTE(SUBSTITUTE(TRIM(B2292&amp;""),CHAR(160),"")," ",""),"초등학교","초"),"중학교","중"),"고등학교","고")</f>
      </c>
    </row>
    <row r="2293" customFormat="false" ht="15" hidden="false" customHeight="false" outlineLevel="0" collapsed="false">
      <c r="A2293" s="8"/>
      <c r="B2293" s="8"/>
      <c r="C2293" s="8"/>
      <c r="D2293" s="8"/>
      <c r="E2293" s="8"/>
      <c r="F2293" t="str" s="15">
        <f aca="0">IF(B2293="","",IF(H2293="","확인필요(입력누락)",IF(SUMPRODUCT((실물목록!$P$2:$P$1001&lt;&gt;"")*ISNUMBER(SEARCH(실물목록!$P$2:$P$1001,I2293))*(실물목록!$Q$2:$Q$1001&lt;&gt;"")*ISNUMBER(SEARCH(실물목록!$Q$2:$Q$1001,I2293))*(실물목록!$R$2:$R$1001="")*(실물목록!$O$2:$O$1001&lt;&gt;"")*(실물목록!$O$2:$O$1001=H2293))&gt;0,"실물 있음",IF(SUMPRODUCT((실물목록!$P$2:$P$1001&lt;&gt;"")*ISNUMBER(SEARCH(실물목록!$P$2:$P$1001,I2293))*(실물목록!$R$2:$R$1001&lt;&gt;""))&gt;0,"확인필요(입력누락)",IF(SUMPRODUCT((실물목록!$P$2:$P$1001&lt;&gt;"")*ISNUMBER(SEARCH(실물목록!$P$2:$P$1001,I2293))*(실물목록!$Q$2:$Q$1001&lt;&gt;"")*ISNUMBER(SEARCH(실물목록!$Q$2:$Q$1001,I2293))*(실물목록!$R$2:$R$1001="")*(실물목록!$O$2:$O$1001&lt;&gt;""))&gt;0,"확인필요(연도다름)","실물 없음")))))</f>
      </c>
      <c r="G2293" t="n" s="16">
        <f aca="0">IF(B2293="","",SUMPRODUCT((실물목록!$P$2:$P$1001&lt;&gt;"")*ISNUMBER(SEARCH(실물목록!$P$2:$P$1001,I2293))*(실물목록!$Q$2:$Q$1001&lt;&gt;"")*ISNUMBER(SEARCH(실물목록!$Q$2:$Q$1001,I2293))*(실물목록!$R$2:$R$1001="")*(실물목록!$O$2:$O$1001&lt;&gt;"")*(실물목록!$O$2:$O$1001=H2293)))</f>
      </c>
      <c r="H2293" t="str">
        <f>IFERROR(IF(AND(LEN(SUBSTITUTE(SUBSTITUTE(SUBSTITUTE(TRIM(A2293&amp;""),CHAR(160),"")," ",""),"년",""))=4,VALUE(SUBSTITUTE(SUBSTITUTE(SUBSTITUTE(TRIM(A2293&amp;""),CHAR(160),"")," ",""),"년",""))&gt;=1900,VALUE(SUBSTITUTE(SUBSTITUTE(SUBSTITUTE(TRIM(A2293&amp;""),CHAR(160),"")," ",""),"년",""))&lt;=2099,TEXT(VALUE(SUBSTITUTE(SUBSTITUTE(SUBSTITUTE(TRIM(A2293&amp;""),CHAR(160),"")," ",""),"년","")),"0000")=SUBSTITUTE(SUBSTITUTE(SUBSTITUTE(TRIM(A2293&amp;""),CHAR(160),"")," ",""),"년","")),SUBSTITUTE(SUBSTITUTE(SUBSTITUTE(TRIM(A2293&amp;""),CHAR(160),"")," ",""),"년",""),""),"")</f>
      </c>
      <c r="I2293" t="str">
        <f>SUBSTITUTE(SUBSTITUTE(SUBSTITUTE(SUBSTITUTE(SUBSTITUTE(TRIM(B2293&amp;""),CHAR(160),"")," ",""),"초등학교","초"),"중학교","중"),"고등학교","고")</f>
      </c>
    </row>
    <row r="2294" customFormat="false" ht="15" hidden="false" customHeight="false" outlineLevel="0" collapsed="false">
      <c r="A2294" s="8"/>
      <c r="B2294" s="8"/>
      <c r="C2294" s="8"/>
      <c r="D2294" s="8"/>
      <c r="E2294" s="8"/>
      <c r="F2294" t="str" s="15">
        <f aca="0">IF(B2294="","",IF(H2294="","확인필요(입력누락)",IF(SUMPRODUCT((실물목록!$P$2:$P$1001&lt;&gt;"")*ISNUMBER(SEARCH(실물목록!$P$2:$P$1001,I2294))*(실물목록!$Q$2:$Q$1001&lt;&gt;"")*ISNUMBER(SEARCH(실물목록!$Q$2:$Q$1001,I2294))*(실물목록!$R$2:$R$1001="")*(실물목록!$O$2:$O$1001&lt;&gt;"")*(실물목록!$O$2:$O$1001=H2294))&gt;0,"실물 있음",IF(SUMPRODUCT((실물목록!$P$2:$P$1001&lt;&gt;"")*ISNUMBER(SEARCH(실물목록!$P$2:$P$1001,I2294))*(실물목록!$R$2:$R$1001&lt;&gt;""))&gt;0,"확인필요(입력누락)",IF(SUMPRODUCT((실물목록!$P$2:$P$1001&lt;&gt;"")*ISNUMBER(SEARCH(실물목록!$P$2:$P$1001,I2294))*(실물목록!$Q$2:$Q$1001&lt;&gt;"")*ISNUMBER(SEARCH(실물목록!$Q$2:$Q$1001,I2294))*(실물목록!$R$2:$R$1001="")*(실물목록!$O$2:$O$1001&lt;&gt;""))&gt;0,"확인필요(연도다름)","실물 없음")))))</f>
      </c>
      <c r="G2294" t="n" s="16">
        <f aca="0">IF(B2294="","",SUMPRODUCT((실물목록!$P$2:$P$1001&lt;&gt;"")*ISNUMBER(SEARCH(실물목록!$P$2:$P$1001,I2294))*(실물목록!$Q$2:$Q$1001&lt;&gt;"")*ISNUMBER(SEARCH(실물목록!$Q$2:$Q$1001,I2294))*(실물목록!$R$2:$R$1001="")*(실물목록!$O$2:$O$1001&lt;&gt;"")*(실물목록!$O$2:$O$1001=H2294)))</f>
      </c>
      <c r="H2294" t="str">
        <f>IFERROR(IF(AND(LEN(SUBSTITUTE(SUBSTITUTE(SUBSTITUTE(TRIM(A2294&amp;""),CHAR(160),"")," ",""),"년",""))=4,VALUE(SUBSTITUTE(SUBSTITUTE(SUBSTITUTE(TRIM(A2294&amp;""),CHAR(160),"")," ",""),"년",""))&gt;=1900,VALUE(SUBSTITUTE(SUBSTITUTE(SUBSTITUTE(TRIM(A2294&amp;""),CHAR(160),"")," ",""),"년",""))&lt;=2099,TEXT(VALUE(SUBSTITUTE(SUBSTITUTE(SUBSTITUTE(TRIM(A2294&amp;""),CHAR(160),"")," ",""),"년","")),"0000")=SUBSTITUTE(SUBSTITUTE(SUBSTITUTE(TRIM(A2294&amp;""),CHAR(160),"")," ",""),"년","")),SUBSTITUTE(SUBSTITUTE(SUBSTITUTE(TRIM(A2294&amp;""),CHAR(160),"")," ",""),"년",""),""),"")</f>
      </c>
      <c r="I2294" t="str">
        <f>SUBSTITUTE(SUBSTITUTE(SUBSTITUTE(SUBSTITUTE(SUBSTITUTE(TRIM(B2294&amp;""),CHAR(160),"")," ",""),"초등학교","초"),"중학교","중"),"고등학교","고")</f>
      </c>
    </row>
    <row r="2295" customFormat="false" ht="15" hidden="false" customHeight="false" outlineLevel="0" collapsed="false">
      <c r="A2295" s="8"/>
      <c r="B2295" s="8"/>
      <c r="C2295" s="8"/>
      <c r="D2295" s="8"/>
      <c r="E2295" s="8"/>
      <c r="F2295" t="str" s="15">
        <f aca="0">IF(B2295="","",IF(H2295="","확인필요(입력누락)",IF(SUMPRODUCT((실물목록!$P$2:$P$1001&lt;&gt;"")*ISNUMBER(SEARCH(실물목록!$P$2:$P$1001,I2295))*(실물목록!$Q$2:$Q$1001&lt;&gt;"")*ISNUMBER(SEARCH(실물목록!$Q$2:$Q$1001,I2295))*(실물목록!$R$2:$R$1001="")*(실물목록!$O$2:$O$1001&lt;&gt;"")*(실물목록!$O$2:$O$1001=H2295))&gt;0,"실물 있음",IF(SUMPRODUCT((실물목록!$P$2:$P$1001&lt;&gt;"")*ISNUMBER(SEARCH(실물목록!$P$2:$P$1001,I2295))*(실물목록!$R$2:$R$1001&lt;&gt;""))&gt;0,"확인필요(입력누락)",IF(SUMPRODUCT((실물목록!$P$2:$P$1001&lt;&gt;"")*ISNUMBER(SEARCH(실물목록!$P$2:$P$1001,I2295))*(실물목록!$Q$2:$Q$1001&lt;&gt;"")*ISNUMBER(SEARCH(실물목록!$Q$2:$Q$1001,I2295))*(실물목록!$R$2:$R$1001="")*(실물목록!$O$2:$O$1001&lt;&gt;""))&gt;0,"확인필요(연도다름)","실물 없음")))))</f>
      </c>
      <c r="G2295" t="n" s="16">
        <f aca="0">IF(B2295="","",SUMPRODUCT((실물목록!$P$2:$P$1001&lt;&gt;"")*ISNUMBER(SEARCH(실물목록!$P$2:$P$1001,I2295))*(실물목록!$Q$2:$Q$1001&lt;&gt;"")*ISNUMBER(SEARCH(실물목록!$Q$2:$Q$1001,I2295))*(실물목록!$R$2:$R$1001="")*(실물목록!$O$2:$O$1001&lt;&gt;"")*(실물목록!$O$2:$O$1001=H2295)))</f>
      </c>
      <c r="H2295" t="str">
        <f>IFERROR(IF(AND(LEN(SUBSTITUTE(SUBSTITUTE(SUBSTITUTE(TRIM(A2295&amp;""),CHAR(160),"")," ",""),"년",""))=4,VALUE(SUBSTITUTE(SUBSTITUTE(SUBSTITUTE(TRIM(A2295&amp;""),CHAR(160),"")," ",""),"년",""))&gt;=1900,VALUE(SUBSTITUTE(SUBSTITUTE(SUBSTITUTE(TRIM(A2295&amp;""),CHAR(160),"")," ",""),"년",""))&lt;=2099,TEXT(VALUE(SUBSTITUTE(SUBSTITUTE(SUBSTITUTE(TRIM(A2295&amp;""),CHAR(160),"")," ",""),"년","")),"0000")=SUBSTITUTE(SUBSTITUTE(SUBSTITUTE(TRIM(A2295&amp;""),CHAR(160),"")," ",""),"년","")),SUBSTITUTE(SUBSTITUTE(SUBSTITUTE(TRIM(A2295&amp;""),CHAR(160),"")," ",""),"년",""),""),"")</f>
      </c>
      <c r="I2295" t="str">
        <f>SUBSTITUTE(SUBSTITUTE(SUBSTITUTE(SUBSTITUTE(SUBSTITUTE(TRIM(B2295&amp;""),CHAR(160),"")," ",""),"초등학교","초"),"중학교","중"),"고등학교","고")</f>
      </c>
    </row>
    <row r="2296" customFormat="false" ht="15" hidden="false" customHeight="false" outlineLevel="0" collapsed="false">
      <c r="A2296" s="8"/>
      <c r="B2296" s="8"/>
      <c r="C2296" s="8"/>
      <c r="D2296" s="8"/>
      <c r="E2296" s="8"/>
      <c r="F2296" t="str" s="15">
        <f aca="0">IF(B2296="","",IF(H2296="","확인필요(입력누락)",IF(SUMPRODUCT((실물목록!$P$2:$P$1001&lt;&gt;"")*ISNUMBER(SEARCH(실물목록!$P$2:$P$1001,I2296))*(실물목록!$Q$2:$Q$1001&lt;&gt;"")*ISNUMBER(SEARCH(실물목록!$Q$2:$Q$1001,I2296))*(실물목록!$R$2:$R$1001="")*(실물목록!$O$2:$O$1001&lt;&gt;"")*(실물목록!$O$2:$O$1001=H2296))&gt;0,"실물 있음",IF(SUMPRODUCT((실물목록!$P$2:$P$1001&lt;&gt;"")*ISNUMBER(SEARCH(실물목록!$P$2:$P$1001,I2296))*(실물목록!$R$2:$R$1001&lt;&gt;""))&gt;0,"확인필요(입력누락)",IF(SUMPRODUCT((실물목록!$P$2:$P$1001&lt;&gt;"")*ISNUMBER(SEARCH(실물목록!$P$2:$P$1001,I2296))*(실물목록!$Q$2:$Q$1001&lt;&gt;"")*ISNUMBER(SEARCH(실물목록!$Q$2:$Q$1001,I2296))*(실물목록!$R$2:$R$1001="")*(실물목록!$O$2:$O$1001&lt;&gt;""))&gt;0,"확인필요(연도다름)","실물 없음")))))</f>
      </c>
      <c r="G2296" t="n" s="16">
        <f aca="0">IF(B2296="","",SUMPRODUCT((실물목록!$P$2:$P$1001&lt;&gt;"")*ISNUMBER(SEARCH(실물목록!$P$2:$P$1001,I2296))*(실물목록!$Q$2:$Q$1001&lt;&gt;"")*ISNUMBER(SEARCH(실물목록!$Q$2:$Q$1001,I2296))*(실물목록!$R$2:$R$1001="")*(실물목록!$O$2:$O$1001&lt;&gt;"")*(실물목록!$O$2:$O$1001=H2296)))</f>
      </c>
      <c r="H2296" t="str">
        <f>IFERROR(IF(AND(LEN(SUBSTITUTE(SUBSTITUTE(SUBSTITUTE(TRIM(A2296&amp;""),CHAR(160),"")," ",""),"년",""))=4,VALUE(SUBSTITUTE(SUBSTITUTE(SUBSTITUTE(TRIM(A2296&amp;""),CHAR(160),"")," ",""),"년",""))&gt;=1900,VALUE(SUBSTITUTE(SUBSTITUTE(SUBSTITUTE(TRIM(A2296&amp;""),CHAR(160),"")," ",""),"년",""))&lt;=2099,TEXT(VALUE(SUBSTITUTE(SUBSTITUTE(SUBSTITUTE(TRIM(A2296&amp;""),CHAR(160),"")," ",""),"년","")),"0000")=SUBSTITUTE(SUBSTITUTE(SUBSTITUTE(TRIM(A2296&amp;""),CHAR(160),"")," ",""),"년","")),SUBSTITUTE(SUBSTITUTE(SUBSTITUTE(TRIM(A2296&amp;""),CHAR(160),"")," ",""),"년",""),""),"")</f>
      </c>
      <c r="I2296" t="str">
        <f>SUBSTITUTE(SUBSTITUTE(SUBSTITUTE(SUBSTITUTE(SUBSTITUTE(TRIM(B2296&amp;""),CHAR(160),"")," ",""),"초등학교","초"),"중학교","중"),"고등학교","고")</f>
      </c>
    </row>
    <row r="2297" customFormat="false" ht="15" hidden="false" customHeight="false" outlineLevel="0" collapsed="false">
      <c r="A2297" s="8"/>
      <c r="B2297" s="8"/>
      <c r="C2297" s="8"/>
      <c r="D2297" s="8"/>
      <c r="E2297" s="8"/>
      <c r="F2297" t="str" s="15">
        <f aca="0">IF(B2297="","",IF(H2297="","확인필요(입력누락)",IF(SUMPRODUCT((실물목록!$P$2:$P$1001&lt;&gt;"")*ISNUMBER(SEARCH(실물목록!$P$2:$P$1001,I2297))*(실물목록!$Q$2:$Q$1001&lt;&gt;"")*ISNUMBER(SEARCH(실물목록!$Q$2:$Q$1001,I2297))*(실물목록!$R$2:$R$1001="")*(실물목록!$O$2:$O$1001&lt;&gt;"")*(실물목록!$O$2:$O$1001=H2297))&gt;0,"실물 있음",IF(SUMPRODUCT((실물목록!$P$2:$P$1001&lt;&gt;"")*ISNUMBER(SEARCH(실물목록!$P$2:$P$1001,I2297))*(실물목록!$R$2:$R$1001&lt;&gt;""))&gt;0,"확인필요(입력누락)",IF(SUMPRODUCT((실물목록!$P$2:$P$1001&lt;&gt;"")*ISNUMBER(SEARCH(실물목록!$P$2:$P$1001,I2297))*(실물목록!$Q$2:$Q$1001&lt;&gt;"")*ISNUMBER(SEARCH(실물목록!$Q$2:$Q$1001,I2297))*(실물목록!$R$2:$R$1001="")*(실물목록!$O$2:$O$1001&lt;&gt;""))&gt;0,"확인필요(연도다름)","실물 없음")))))</f>
      </c>
      <c r="G2297" t="n" s="16">
        <f aca="0">IF(B2297="","",SUMPRODUCT((실물목록!$P$2:$P$1001&lt;&gt;"")*ISNUMBER(SEARCH(실물목록!$P$2:$P$1001,I2297))*(실물목록!$Q$2:$Q$1001&lt;&gt;"")*ISNUMBER(SEARCH(실물목록!$Q$2:$Q$1001,I2297))*(실물목록!$R$2:$R$1001="")*(실물목록!$O$2:$O$1001&lt;&gt;"")*(실물목록!$O$2:$O$1001=H2297)))</f>
      </c>
      <c r="H2297" t="str">
        <f>IFERROR(IF(AND(LEN(SUBSTITUTE(SUBSTITUTE(SUBSTITUTE(TRIM(A2297&amp;""),CHAR(160),"")," ",""),"년",""))=4,VALUE(SUBSTITUTE(SUBSTITUTE(SUBSTITUTE(TRIM(A2297&amp;""),CHAR(160),"")," ",""),"년",""))&gt;=1900,VALUE(SUBSTITUTE(SUBSTITUTE(SUBSTITUTE(TRIM(A2297&amp;""),CHAR(160),"")," ",""),"년",""))&lt;=2099,TEXT(VALUE(SUBSTITUTE(SUBSTITUTE(SUBSTITUTE(TRIM(A2297&amp;""),CHAR(160),"")," ",""),"년","")),"0000")=SUBSTITUTE(SUBSTITUTE(SUBSTITUTE(TRIM(A2297&amp;""),CHAR(160),"")," ",""),"년","")),SUBSTITUTE(SUBSTITUTE(SUBSTITUTE(TRIM(A2297&amp;""),CHAR(160),"")," ",""),"년",""),""),"")</f>
      </c>
      <c r="I2297" t="str">
        <f>SUBSTITUTE(SUBSTITUTE(SUBSTITUTE(SUBSTITUTE(SUBSTITUTE(TRIM(B2297&amp;""),CHAR(160),"")," ",""),"초등학교","초"),"중학교","중"),"고등학교","고")</f>
      </c>
    </row>
    <row r="2298" customFormat="false" ht="15" hidden="false" customHeight="false" outlineLevel="0" collapsed="false">
      <c r="A2298" s="8"/>
      <c r="B2298" s="8"/>
      <c r="C2298" s="8"/>
      <c r="D2298" s="8"/>
      <c r="E2298" s="8"/>
      <c r="F2298" t="str" s="15">
        <f aca="0">IF(B2298="","",IF(H2298="","확인필요(입력누락)",IF(SUMPRODUCT((실물목록!$P$2:$P$1001&lt;&gt;"")*ISNUMBER(SEARCH(실물목록!$P$2:$P$1001,I2298))*(실물목록!$Q$2:$Q$1001&lt;&gt;"")*ISNUMBER(SEARCH(실물목록!$Q$2:$Q$1001,I2298))*(실물목록!$R$2:$R$1001="")*(실물목록!$O$2:$O$1001&lt;&gt;"")*(실물목록!$O$2:$O$1001=H2298))&gt;0,"실물 있음",IF(SUMPRODUCT((실물목록!$P$2:$P$1001&lt;&gt;"")*ISNUMBER(SEARCH(실물목록!$P$2:$P$1001,I2298))*(실물목록!$R$2:$R$1001&lt;&gt;""))&gt;0,"확인필요(입력누락)",IF(SUMPRODUCT((실물목록!$P$2:$P$1001&lt;&gt;"")*ISNUMBER(SEARCH(실물목록!$P$2:$P$1001,I2298))*(실물목록!$Q$2:$Q$1001&lt;&gt;"")*ISNUMBER(SEARCH(실물목록!$Q$2:$Q$1001,I2298))*(실물목록!$R$2:$R$1001="")*(실물목록!$O$2:$O$1001&lt;&gt;""))&gt;0,"확인필요(연도다름)","실물 없음")))))</f>
      </c>
      <c r="G2298" t="n" s="16">
        <f aca="0">IF(B2298="","",SUMPRODUCT((실물목록!$P$2:$P$1001&lt;&gt;"")*ISNUMBER(SEARCH(실물목록!$P$2:$P$1001,I2298))*(실물목록!$Q$2:$Q$1001&lt;&gt;"")*ISNUMBER(SEARCH(실물목록!$Q$2:$Q$1001,I2298))*(실물목록!$R$2:$R$1001="")*(실물목록!$O$2:$O$1001&lt;&gt;"")*(실물목록!$O$2:$O$1001=H2298)))</f>
      </c>
      <c r="H2298" t="str">
        <f>IFERROR(IF(AND(LEN(SUBSTITUTE(SUBSTITUTE(SUBSTITUTE(TRIM(A2298&amp;""),CHAR(160),"")," ",""),"년",""))=4,VALUE(SUBSTITUTE(SUBSTITUTE(SUBSTITUTE(TRIM(A2298&amp;""),CHAR(160),"")," ",""),"년",""))&gt;=1900,VALUE(SUBSTITUTE(SUBSTITUTE(SUBSTITUTE(TRIM(A2298&amp;""),CHAR(160),"")," ",""),"년",""))&lt;=2099,TEXT(VALUE(SUBSTITUTE(SUBSTITUTE(SUBSTITUTE(TRIM(A2298&amp;""),CHAR(160),"")," ",""),"년","")),"0000")=SUBSTITUTE(SUBSTITUTE(SUBSTITUTE(TRIM(A2298&amp;""),CHAR(160),"")," ",""),"년","")),SUBSTITUTE(SUBSTITUTE(SUBSTITUTE(TRIM(A2298&amp;""),CHAR(160),"")," ",""),"년",""),""),"")</f>
      </c>
      <c r="I2298" t="str">
        <f>SUBSTITUTE(SUBSTITUTE(SUBSTITUTE(SUBSTITUTE(SUBSTITUTE(TRIM(B2298&amp;""),CHAR(160),"")," ",""),"초등학교","초"),"중학교","중"),"고등학교","고")</f>
      </c>
    </row>
    <row r="2299" customFormat="false" ht="15" hidden="false" customHeight="false" outlineLevel="0" collapsed="false">
      <c r="A2299" s="8"/>
      <c r="B2299" s="8"/>
      <c r="C2299" s="8"/>
      <c r="D2299" s="8"/>
      <c r="E2299" s="8"/>
      <c r="F2299" t="str" s="15">
        <f aca="0">IF(B2299="","",IF(H2299="","확인필요(입력누락)",IF(SUMPRODUCT((실물목록!$P$2:$P$1001&lt;&gt;"")*ISNUMBER(SEARCH(실물목록!$P$2:$P$1001,I2299))*(실물목록!$Q$2:$Q$1001&lt;&gt;"")*ISNUMBER(SEARCH(실물목록!$Q$2:$Q$1001,I2299))*(실물목록!$R$2:$R$1001="")*(실물목록!$O$2:$O$1001&lt;&gt;"")*(실물목록!$O$2:$O$1001=H2299))&gt;0,"실물 있음",IF(SUMPRODUCT((실물목록!$P$2:$P$1001&lt;&gt;"")*ISNUMBER(SEARCH(실물목록!$P$2:$P$1001,I2299))*(실물목록!$R$2:$R$1001&lt;&gt;""))&gt;0,"확인필요(입력누락)",IF(SUMPRODUCT((실물목록!$P$2:$P$1001&lt;&gt;"")*ISNUMBER(SEARCH(실물목록!$P$2:$P$1001,I2299))*(실물목록!$Q$2:$Q$1001&lt;&gt;"")*ISNUMBER(SEARCH(실물목록!$Q$2:$Q$1001,I2299))*(실물목록!$R$2:$R$1001="")*(실물목록!$O$2:$O$1001&lt;&gt;""))&gt;0,"확인필요(연도다름)","실물 없음")))))</f>
      </c>
      <c r="G2299" t="n" s="16">
        <f aca="0">IF(B2299="","",SUMPRODUCT((실물목록!$P$2:$P$1001&lt;&gt;"")*ISNUMBER(SEARCH(실물목록!$P$2:$P$1001,I2299))*(실물목록!$Q$2:$Q$1001&lt;&gt;"")*ISNUMBER(SEARCH(실물목록!$Q$2:$Q$1001,I2299))*(실물목록!$R$2:$R$1001="")*(실물목록!$O$2:$O$1001&lt;&gt;"")*(실물목록!$O$2:$O$1001=H2299)))</f>
      </c>
      <c r="H2299" t="str">
        <f>IFERROR(IF(AND(LEN(SUBSTITUTE(SUBSTITUTE(SUBSTITUTE(TRIM(A2299&amp;""),CHAR(160),"")," ",""),"년",""))=4,VALUE(SUBSTITUTE(SUBSTITUTE(SUBSTITUTE(TRIM(A2299&amp;""),CHAR(160),"")," ",""),"년",""))&gt;=1900,VALUE(SUBSTITUTE(SUBSTITUTE(SUBSTITUTE(TRIM(A2299&amp;""),CHAR(160),"")," ",""),"년",""))&lt;=2099,TEXT(VALUE(SUBSTITUTE(SUBSTITUTE(SUBSTITUTE(TRIM(A2299&amp;""),CHAR(160),"")," ",""),"년","")),"0000")=SUBSTITUTE(SUBSTITUTE(SUBSTITUTE(TRIM(A2299&amp;""),CHAR(160),"")," ",""),"년","")),SUBSTITUTE(SUBSTITUTE(SUBSTITUTE(TRIM(A2299&amp;""),CHAR(160),"")," ",""),"년",""),""),"")</f>
      </c>
      <c r="I2299" t="str">
        <f>SUBSTITUTE(SUBSTITUTE(SUBSTITUTE(SUBSTITUTE(SUBSTITUTE(TRIM(B2299&amp;""),CHAR(160),"")," ",""),"초등학교","초"),"중학교","중"),"고등학교","고")</f>
      </c>
    </row>
    <row r="2300" customFormat="false" ht="15" hidden="false" customHeight="false" outlineLevel="0" collapsed="false">
      <c r="A2300" s="8"/>
      <c r="B2300" s="8"/>
      <c r="C2300" s="8"/>
      <c r="D2300" s="8"/>
      <c r="E2300" s="8"/>
      <c r="F2300" t="str" s="15">
        <f aca="0">IF(B2300="","",IF(H2300="","확인필요(입력누락)",IF(SUMPRODUCT((실물목록!$P$2:$P$1001&lt;&gt;"")*ISNUMBER(SEARCH(실물목록!$P$2:$P$1001,I2300))*(실물목록!$Q$2:$Q$1001&lt;&gt;"")*ISNUMBER(SEARCH(실물목록!$Q$2:$Q$1001,I2300))*(실물목록!$R$2:$R$1001="")*(실물목록!$O$2:$O$1001&lt;&gt;"")*(실물목록!$O$2:$O$1001=H2300))&gt;0,"실물 있음",IF(SUMPRODUCT((실물목록!$P$2:$P$1001&lt;&gt;"")*ISNUMBER(SEARCH(실물목록!$P$2:$P$1001,I2300))*(실물목록!$R$2:$R$1001&lt;&gt;""))&gt;0,"확인필요(입력누락)",IF(SUMPRODUCT((실물목록!$P$2:$P$1001&lt;&gt;"")*ISNUMBER(SEARCH(실물목록!$P$2:$P$1001,I2300))*(실물목록!$Q$2:$Q$1001&lt;&gt;"")*ISNUMBER(SEARCH(실물목록!$Q$2:$Q$1001,I2300))*(실물목록!$R$2:$R$1001="")*(실물목록!$O$2:$O$1001&lt;&gt;""))&gt;0,"확인필요(연도다름)","실물 없음")))))</f>
      </c>
      <c r="G2300" t="n" s="16">
        <f aca="0">IF(B2300="","",SUMPRODUCT((실물목록!$P$2:$P$1001&lt;&gt;"")*ISNUMBER(SEARCH(실물목록!$P$2:$P$1001,I2300))*(실물목록!$Q$2:$Q$1001&lt;&gt;"")*ISNUMBER(SEARCH(실물목록!$Q$2:$Q$1001,I2300))*(실물목록!$R$2:$R$1001="")*(실물목록!$O$2:$O$1001&lt;&gt;"")*(실물목록!$O$2:$O$1001=H2300)))</f>
      </c>
      <c r="H2300" t="str">
        <f>IFERROR(IF(AND(LEN(SUBSTITUTE(SUBSTITUTE(SUBSTITUTE(TRIM(A2300&amp;""),CHAR(160),"")," ",""),"년",""))=4,VALUE(SUBSTITUTE(SUBSTITUTE(SUBSTITUTE(TRIM(A2300&amp;""),CHAR(160),"")," ",""),"년",""))&gt;=1900,VALUE(SUBSTITUTE(SUBSTITUTE(SUBSTITUTE(TRIM(A2300&amp;""),CHAR(160),"")," ",""),"년",""))&lt;=2099,TEXT(VALUE(SUBSTITUTE(SUBSTITUTE(SUBSTITUTE(TRIM(A2300&amp;""),CHAR(160),"")," ",""),"년","")),"0000")=SUBSTITUTE(SUBSTITUTE(SUBSTITUTE(TRIM(A2300&amp;""),CHAR(160),"")," ",""),"년","")),SUBSTITUTE(SUBSTITUTE(SUBSTITUTE(TRIM(A2300&amp;""),CHAR(160),"")," ",""),"년",""),""),"")</f>
      </c>
      <c r="I2300" t="str">
        <f>SUBSTITUTE(SUBSTITUTE(SUBSTITUTE(SUBSTITUTE(SUBSTITUTE(TRIM(B2300&amp;""),CHAR(160),"")," ",""),"초등학교","초"),"중학교","중"),"고등학교","고")</f>
      </c>
    </row>
    <row r="2301" customFormat="false" ht="15" hidden="false" customHeight="false" outlineLevel="0" collapsed="false">
      <c r="A2301" s="8"/>
      <c r="B2301" s="8"/>
      <c r="C2301" s="8"/>
      <c r="D2301" s="8"/>
      <c r="E2301" s="8"/>
      <c r="F2301" t="str" s="15">
        <f aca="0">IF(B2301="","",IF(H2301="","확인필요(입력누락)",IF(SUMPRODUCT((실물목록!$P$2:$P$1001&lt;&gt;"")*ISNUMBER(SEARCH(실물목록!$P$2:$P$1001,I2301))*(실물목록!$Q$2:$Q$1001&lt;&gt;"")*ISNUMBER(SEARCH(실물목록!$Q$2:$Q$1001,I2301))*(실물목록!$R$2:$R$1001="")*(실물목록!$O$2:$O$1001&lt;&gt;"")*(실물목록!$O$2:$O$1001=H2301))&gt;0,"실물 있음",IF(SUMPRODUCT((실물목록!$P$2:$P$1001&lt;&gt;"")*ISNUMBER(SEARCH(실물목록!$P$2:$P$1001,I2301))*(실물목록!$R$2:$R$1001&lt;&gt;""))&gt;0,"확인필요(입력누락)",IF(SUMPRODUCT((실물목록!$P$2:$P$1001&lt;&gt;"")*ISNUMBER(SEARCH(실물목록!$P$2:$P$1001,I2301))*(실물목록!$Q$2:$Q$1001&lt;&gt;"")*ISNUMBER(SEARCH(실물목록!$Q$2:$Q$1001,I2301))*(실물목록!$R$2:$R$1001="")*(실물목록!$O$2:$O$1001&lt;&gt;""))&gt;0,"확인필요(연도다름)","실물 없음")))))</f>
      </c>
      <c r="G2301" t="n" s="16">
        <f aca="0">IF(B2301="","",SUMPRODUCT((실물목록!$P$2:$P$1001&lt;&gt;"")*ISNUMBER(SEARCH(실물목록!$P$2:$P$1001,I2301))*(실물목록!$Q$2:$Q$1001&lt;&gt;"")*ISNUMBER(SEARCH(실물목록!$Q$2:$Q$1001,I2301))*(실물목록!$R$2:$R$1001="")*(실물목록!$O$2:$O$1001&lt;&gt;"")*(실물목록!$O$2:$O$1001=H2301)))</f>
      </c>
      <c r="H2301" t="str">
        <f>IFERROR(IF(AND(LEN(SUBSTITUTE(SUBSTITUTE(SUBSTITUTE(TRIM(A2301&amp;""),CHAR(160),"")," ",""),"년",""))=4,VALUE(SUBSTITUTE(SUBSTITUTE(SUBSTITUTE(TRIM(A2301&amp;""),CHAR(160),"")," ",""),"년",""))&gt;=1900,VALUE(SUBSTITUTE(SUBSTITUTE(SUBSTITUTE(TRIM(A2301&amp;""),CHAR(160),"")," ",""),"년",""))&lt;=2099,TEXT(VALUE(SUBSTITUTE(SUBSTITUTE(SUBSTITUTE(TRIM(A2301&amp;""),CHAR(160),"")," ",""),"년","")),"0000")=SUBSTITUTE(SUBSTITUTE(SUBSTITUTE(TRIM(A2301&amp;""),CHAR(160),"")," ",""),"년","")),SUBSTITUTE(SUBSTITUTE(SUBSTITUTE(TRIM(A2301&amp;""),CHAR(160),"")," ",""),"년",""),""),"")</f>
      </c>
      <c r="I2301" t="str">
        <f>SUBSTITUTE(SUBSTITUTE(SUBSTITUTE(SUBSTITUTE(SUBSTITUTE(TRIM(B2301&amp;""),CHAR(160),"")," ",""),"초등학교","초"),"중학교","중"),"고등학교","고")</f>
      </c>
    </row>
    <row r="2302" customFormat="false" ht="15" hidden="false" customHeight="false" outlineLevel="0" collapsed="false">
      <c r="A2302" s="8"/>
      <c r="B2302" s="8"/>
      <c r="C2302" s="8"/>
      <c r="D2302" s="8"/>
      <c r="E2302" s="8"/>
      <c r="F2302" t="str" s="15">
        <f aca="0">IF(B2302="","",IF(H2302="","확인필요(입력누락)",IF(SUMPRODUCT((실물목록!$P$2:$P$1001&lt;&gt;"")*ISNUMBER(SEARCH(실물목록!$P$2:$P$1001,I2302))*(실물목록!$Q$2:$Q$1001&lt;&gt;"")*ISNUMBER(SEARCH(실물목록!$Q$2:$Q$1001,I2302))*(실물목록!$R$2:$R$1001="")*(실물목록!$O$2:$O$1001&lt;&gt;"")*(실물목록!$O$2:$O$1001=H2302))&gt;0,"실물 있음",IF(SUMPRODUCT((실물목록!$P$2:$P$1001&lt;&gt;"")*ISNUMBER(SEARCH(실물목록!$P$2:$P$1001,I2302))*(실물목록!$R$2:$R$1001&lt;&gt;""))&gt;0,"확인필요(입력누락)",IF(SUMPRODUCT((실물목록!$P$2:$P$1001&lt;&gt;"")*ISNUMBER(SEARCH(실물목록!$P$2:$P$1001,I2302))*(실물목록!$Q$2:$Q$1001&lt;&gt;"")*ISNUMBER(SEARCH(실물목록!$Q$2:$Q$1001,I2302))*(실물목록!$R$2:$R$1001="")*(실물목록!$O$2:$O$1001&lt;&gt;""))&gt;0,"확인필요(연도다름)","실물 없음")))))</f>
      </c>
      <c r="G2302" t="n" s="16">
        <f aca="0">IF(B2302="","",SUMPRODUCT((실물목록!$P$2:$P$1001&lt;&gt;"")*ISNUMBER(SEARCH(실물목록!$P$2:$P$1001,I2302))*(실물목록!$Q$2:$Q$1001&lt;&gt;"")*ISNUMBER(SEARCH(실물목록!$Q$2:$Q$1001,I2302))*(실물목록!$R$2:$R$1001="")*(실물목록!$O$2:$O$1001&lt;&gt;"")*(실물목록!$O$2:$O$1001=H2302)))</f>
      </c>
      <c r="H2302" t="str">
        <f>IFERROR(IF(AND(LEN(SUBSTITUTE(SUBSTITUTE(SUBSTITUTE(TRIM(A2302&amp;""),CHAR(160),"")," ",""),"년",""))=4,VALUE(SUBSTITUTE(SUBSTITUTE(SUBSTITUTE(TRIM(A2302&amp;""),CHAR(160),"")," ",""),"년",""))&gt;=1900,VALUE(SUBSTITUTE(SUBSTITUTE(SUBSTITUTE(TRIM(A2302&amp;""),CHAR(160),"")," ",""),"년",""))&lt;=2099,TEXT(VALUE(SUBSTITUTE(SUBSTITUTE(SUBSTITUTE(TRIM(A2302&amp;""),CHAR(160),"")," ",""),"년","")),"0000")=SUBSTITUTE(SUBSTITUTE(SUBSTITUTE(TRIM(A2302&amp;""),CHAR(160),"")," ",""),"년","")),SUBSTITUTE(SUBSTITUTE(SUBSTITUTE(TRIM(A2302&amp;""),CHAR(160),"")," ",""),"년",""),""),"")</f>
      </c>
      <c r="I2302" t="str">
        <f>SUBSTITUTE(SUBSTITUTE(SUBSTITUTE(SUBSTITUTE(SUBSTITUTE(TRIM(B2302&amp;""),CHAR(160),"")," ",""),"초등학교","초"),"중학교","중"),"고등학교","고")</f>
      </c>
    </row>
    <row r="2303" customFormat="false" ht="15" hidden="false" customHeight="false" outlineLevel="0" collapsed="false">
      <c r="A2303" s="8"/>
      <c r="B2303" s="8"/>
      <c r="C2303" s="8"/>
      <c r="D2303" s="8"/>
      <c r="E2303" s="8"/>
      <c r="F2303" t="str" s="15">
        <f aca="0">IF(B2303="","",IF(H2303="","확인필요(입력누락)",IF(SUMPRODUCT((실물목록!$P$2:$P$1001&lt;&gt;"")*ISNUMBER(SEARCH(실물목록!$P$2:$P$1001,I2303))*(실물목록!$Q$2:$Q$1001&lt;&gt;"")*ISNUMBER(SEARCH(실물목록!$Q$2:$Q$1001,I2303))*(실물목록!$R$2:$R$1001="")*(실물목록!$O$2:$O$1001&lt;&gt;"")*(실물목록!$O$2:$O$1001=H2303))&gt;0,"실물 있음",IF(SUMPRODUCT((실물목록!$P$2:$P$1001&lt;&gt;"")*ISNUMBER(SEARCH(실물목록!$P$2:$P$1001,I2303))*(실물목록!$R$2:$R$1001&lt;&gt;""))&gt;0,"확인필요(입력누락)",IF(SUMPRODUCT((실물목록!$P$2:$P$1001&lt;&gt;"")*ISNUMBER(SEARCH(실물목록!$P$2:$P$1001,I2303))*(실물목록!$Q$2:$Q$1001&lt;&gt;"")*ISNUMBER(SEARCH(실물목록!$Q$2:$Q$1001,I2303))*(실물목록!$R$2:$R$1001="")*(실물목록!$O$2:$O$1001&lt;&gt;""))&gt;0,"확인필요(연도다름)","실물 없음")))))</f>
      </c>
      <c r="G2303" t="n" s="16">
        <f aca="0">IF(B2303="","",SUMPRODUCT((실물목록!$P$2:$P$1001&lt;&gt;"")*ISNUMBER(SEARCH(실물목록!$P$2:$P$1001,I2303))*(실물목록!$Q$2:$Q$1001&lt;&gt;"")*ISNUMBER(SEARCH(실물목록!$Q$2:$Q$1001,I2303))*(실물목록!$R$2:$R$1001="")*(실물목록!$O$2:$O$1001&lt;&gt;"")*(실물목록!$O$2:$O$1001=H2303)))</f>
      </c>
      <c r="H2303" t="str">
        <f>IFERROR(IF(AND(LEN(SUBSTITUTE(SUBSTITUTE(SUBSTITUTE(TRIM(A2303&amp;""),CHAR(160),"")," ",""),"년",""))=4,VALUE(SUBSTITUTE(SUBSTITUTE(SUBSTITUTE(TRIM(A2303&amp;""),CHAR(160),"")," ",""),"년",""))&gt;=1900,VALUE(SUBSTITUTE(SUBSTITUTE(SUBSTITUTE(TRIM(A2303&amp;""),CHAR(160),"")," ",""),"년",""))&lt;=2099,TEXT(VALUE(SUBSTITUTE(SUBSTITUTE(SUBSTITUTE(TRIM(A2303&amp;""),CHAR(160),"")," ",""),"년","")),"0000")=SUBSTITUTE(SUBSTITUTE(SUBSTITUTE(TRIM(A2303&amp;""),CHAR(160),"")," ",""),"년","")),SUBSTITUTE(SUBSTITUTE(SUBSTITUTE(TRIM(A2303&amp;""),CHAR(160),"")," ",""),"년",""),""),"")</f>
      </c>
      <c r="I2303" t="str">
        <f>SUBSTITUTE(SUBSTITUTE(SUBSTITUTE(SUBSTITUTE(SUBSTITUTE(TRIM(B2303&amp;""),CHAR(160),"")," ",""),"초등학교","초"),"중학교","중"),"고등학교","고")</f>
      </c>
    </row>
    <row r="2304" customFormat="false" ht="15" hidden="false" customHeight="false" outlineLevel="0" collapsed="false">
      <c r="A2304" s="8"/>
      <c r="B2304" s="8"/>
      <c r="C2304" s="8"/>
      <c r="D2304" s="8"/>
      <c r="E2304" s="8"/>
      <c r="F2304" t="str" s="15">
        <f aca="0">IF(B2304="","",IF(H2304="","확인필요(입력누락)",IF(SUMPRODUCT((실물목록!$P$2:$P$1001&lt;&gt;"")*ISNUMBER(SEARCH(실물목록!$P$2:$P$1001,I2304))*(실물목록!$Q$2:$Q$1001&lt;&gt;"")*ISNUMBER(SEARCH(실물목록!$Q$2:$Q$1001,I2304))*(실물목록!$R$2:$R$1001="")*(실물목록!$O$2:$O$1001&lt;&gt;"")*(실물목록!$O$2:$O$1001=H2304))&gt;0,"실물 있음",IF(SUMPRODUCT((실물목록!$P$2:$P$1001&lt;&gt;"")*ISNUMBER(SEARCH(실물목록!$P$2:$P$1001,I2304))*(실물목록!$R$2:$R$1001&lt;&gt;""))&gt;0,"확인필요(입력누락)",IF(SUMPRODUCT((실물목록!$P$2:$P$1001&lt;&gt;"")*ISNUMBER(SEARCH(실물목록!$P$2:$P$1001,I2304))*(실물목록!$Q$2:$Q$1001&lt;&gt;"")*ISNUMBER(SEARCH(실물목록!$Q$2:$Q$1001,I2304))*(실물목록!$R$2:$R$1001="")*(실물목록!$O$2:$O$1001&lt;&gt;""))&gt;0,"확인필요(연도다름)","실물 없음")))))</f>
      </c>
      <c r="G2304" t="n" s="16">
        <f aca="0">IF(B2304="","",SUMPRODUCT((실물목록!$P$2:$P$1001&lt;&gt;"")*ISNUMBER(SEARCH(실물목록!$P$2:$P$1001,I2304))*(실물목록!$Q$2:$Q$1001&lt;&gt;"")*ISNUMBER(SEARCH(실물목록!$Q$2:$Q$1001,I2304))*(실물목록!$R$2:$R$1001="")*(실물목록!$O$2:$O$1001&lt;&gt;"")*(실물목록!$O$2:$O$1001=H2304)))</f>
      </c>
      <c r="H2304" t="str">
        <f>IFERROR(IF(AND(LEN(SUBSTITUTE(SUBSTITUTE(SUBSTITUTE(TRIM(A2304&amp;""),CHAR(160),"")," ",""),"년",""))=4,VALUE(SUBSTITUTE(SUBSTITUTE(SUBSTITUTE(TRIM(A2304&amp;""),CHAR(160),"")," ",""),"년",""))&gt;=1900,VALUE(SUBSTITUTE(SUBSTITUTE(SUBSTITUTE(TRIM(A2304&amp;""),CHAR(160),"")," ",""),"년",""))&lt;=2099,TEXT(VALUE(SUBSTITUTE(SUBSTITUTE(SUBSTITUTE(TRIM(A2304&amp;""),CHAR(160),"")," ",""),"년","")),"0000")=SUBSTITUTE(SUBSTITUTE(SUBSTITUTE(TRIM(A2304&amp;""),CHAR(160),"")," ",""),"년","")),SUBSTITUTE(SUBSTITUTE(SUBSTITUTE(TRIM(A2304&amp;""),CHAR(160),"")," ",""),"년",""),""),"")</f>
      </c>
      <c r="I2304" t="str">
        <f>SUBSTITUTE(SUBSTITUTE(SUBSTITUTE(SUBSTITUTE(SUBSTITUTE(TRIM(B2304&amp;""),CHAR(160),"")," ",""),"초등학교","초"),"중학교","중"),"고등학교","고")</f>
      </c>
    </row>
    <row r="2305" customFormat="false" ht="15" hidden="false" customHeight="false" outlineLevel="0" collapsed="false">
      <c r="A2305" s="8"/>
      <c r="B2305" s="8"/>
      <c r="C2305" s="8"/>
      <c r="D2305" s="8"/>
      <c r="E2305" s="8"/>
      <c r="F2305" t="str" s="15">
        <f aca="0">IF(B2305="","",IF(H2305="","확인필요(입력누락)",IF(SUMPRODUCT((실물목록!$P$2:$P$1001&lt;&gt;"")*ISNUMBER(SEARCH(실물목록!$P$2:$P$1001,I2305))*(실물목록!$Q$2:$Q$1001&lt;&gt;"")*ISNUMBER(SEARCH(실물목록!$Q$2:$Q$1001,I2305))*(실물목록!$R$2:$R$1001="")*(실물목록!$O$2:$O$1001&lt;&gt;"")*(실물목록!$O$2:$O$1001=H2305))&gt;0,"실물 있음",IF(SUMPRODUCT((실물목록!$P$2:$P$1001&lt;&gt;"")*ISNUMBER(SEARCH(실물목록!$P$2:$P$1001,I2305))*(실물목록!$R$2:$R$1001&lt;&gt;""))&gt;0,"확인필요(입력누락)",IF(SUMPRODUCT((실물목록!$P$2:$P$1001&lt;&gt;"")*ISNUMBER(SEARCH(실물목록!$P$2:$P$1001,I2305))*(실물목록!$Q$2:$Q$1001&lt;&gt;"")*ISNUMBER(SEARCH(실물목록!$Q$2:$Q$1001,I2305))*(실물목록!$R$2:$R$1001="")*(실물목록!$O$2:$O$1001&lt;&gt;""))&gt;0,"확인필요(연도다름)","실물 없음")))))</f>
      </c>
      <c r="G2305" t="n" s="16">
        <f aca="0">IF(B2305="","",SUMPRODUCT((실물목록!$P$2:$P$1001&lt;&gt;"")*ISNUMBER(SEARCH(실물목록!$P$2:$P$1001,I2305))*(실물목록!$Q$2:$Q$1001&lt;&gt;"")*ISNUMBER(SEARCH(실물목록!$Q$2:$Q$1001,I2305))*(실물목록!$R$2:$R$1001="")*(실물목록!$O$2:$O$1001&lt;&gt;"")*(실물목록!$O$2:$O$1001=H2305)))</f>
      </c>
      <c r="H2305" t="str">
        <f>IFERROR(IF(AND(LEN(SUBSTITUTE(SUBSTITUTE(SUBSTITUTE(TRIM(A2305&amp;""),CHAR(160),"")," ",""),"년",""))=4,VALUE(SUBSTITUTE(SUBSTITUTE(SUBSTITUTE(TRIM(A2305&amp;""),CHAR(160),"")," ",""),"년",""))&gt;=1900,VALUE(SUBSTITUTE(SUBSTITUTE(SUBSTITUTE(TRIM(A2305&amp;""),CHAR(160),"")," ",""),"년",""))&lt;=2099,TEXT(VALUE(SUBSTITUTE(SUBSTITUTE(SUBSTITUTE(TRIM(A2305&amp;""),CHAR(160),"")," ",""),"년","")),"0000")=SUBSTITUTE(SUBSTITUTE(SUBSTITUTE(TRIM(A2305&amp;""),CHAR(160),"")," ",""),"년","")),SUBSTITUTE(SUBSTITUTE(SUBSTITUTE(TRIM(A2305&amp;""),CHAR(160),"")," ",""),"년",""),""),"")</f>
      </c>
      <c r="I2305" t="str">
        <f>SUBSTITUTE(SUBSTITUTE(SUBSTITUTE(SUBSTITUTE(SUBSTITUTE(TRIM(B2305&amp;""),CHAR(160),"")," ",""),"초등학교","초"),"중학교","중"),"고등학교","고")</f>
      </c>
    </row>
    <row r="2306" customFormat="false" ht="15" hidden="false" customHeight="false" outlineLevel="0" collapsed="false">
      <c r="A2306" s="8"/>
      <c r="B2306" s="8"/>
      <c r="C2306" s="8"/>
      <c r="D2306" s="8"/>
      <c r="E2306" s="8"/>
      <c r="F2306" t="str" s="15">
        <f aca="0">IF(B2306="","",IF(H2306="","확인필요(입력누락)",IF(SUMPRODUCT((실물목록!$P$2:$P$1001&lt;&gt;"")*ISNUMBER(SEARCH(실물목록!$P$2:$P$1001,I2306))*(실물목록!$Q$2:$Q$1001&lt;&gt;"")*ISNUMBER(SEARCH(실물목록!$Q$2:$Q$1001,I2306))*(실물목록!$R$2:$R$1001="")*(실물목록!$O$2:$O$1001&lt;&gt;"")*(실물목록!$O$2:$O$1001=H2306))&gt;0,"실물 있음",IF(SUMPRODUCT((실물목록!$P$2:$P$1001&lt;&gt;"")*ISNUMBER(SEARCH(실물목록!$P$2:$P$1001,I2306))*(실물목록!$R$2:$R$1001&lt;&gt;""))&gt;0,"확인필요(입력누락)",IF(SUMPRODUCT((실물목록!$P$2:$P$1001&lt;&gt;"")*ISNUMBER(SEARCH(실물목록!$P$2:$P$1001,I2306))*(실물목록!$Q$2:$Q$1001&lt;&gt;"")*ISNUMBER(SEARCH(실물목록!$Q$2:$Q$1001,I2306))*(실물목록!$R$2:$R$1001="")*(실물목록!$O$2:$O$1001&lt;&gt;""))&gt;0,"확인필요(연도다름)","실물 없음")))))</f>
      </c>
      <c r="G2306" t="n" s="16">
        <f aca="0">IF(B2306="","",SUMPRODUCT((실물목록!$P$2:$P$1001&lt;&gt;"")*ISNUMBER(SEARCH(실물목록!$P$2:$P$1001,I2306))*(실물목록!$Q$2:$Q$1001&lt;&gt;"")*ISNUMBER(SEARCH(실물목록!$Q$2:$Q$1001,I2306))*(실물목록!$R$2:$R$1001="")*(실물목록!$O$2:$O$1001&lt;&gt;"")*(실물목록!$O$2:$O$1001=H2306)))</f>
      </c>
      <c r="H2306" t="str">
        <f>IFERROR(IF(AND(LEN(SUBSTITUTE(SUBSTITUTE(SUBSTITUTE(TRIM(A2306&amp;""),CHAR(160),"")," ",""),"년",""))=4,VALUE(SUBSTITUTE(SUBSTITUTE(SUBSTITUTE(TRIM(A2306&amp;""),CHAR(160),"")," ",""),"년",""))&gt;=1900,VALUE(SUBSTITUTE(SUBSTITUTE(SUBSTITUTE(TRIM(A2306&amp;""),CHAR(160),"")," ",""),"년",""))&lt;=2099,TEXT(VALUE(SUBSTITUTE(SUBSTITUTE(SUBSTITUTE(TRIM(A2306&amp;""),CHAR(160),"")," ",""),"년","")),"0000")=SUBSTITUTE(SUBSTITUTE(SUBSTITUTE(TRIM(A2306&amp;""),CHAR(160),"")," ",""),"년","")),SUBSTITUTE(SUBSTITUTE(SUBSTITUTE(TRIM(A2306&amp;""),CHAR(160),"")," ",""),"년",""),""),"")</f>
      </c>
      <c r="I2306" t="str">
        <f>SUBSTITUTE(SUBSTITUTE(SUBSTITUTE(SUBSTITUTE(SUBSTITUTE(TRIM(B2306&amp;""),CHAR(160),"")," ",""),"초등학교","초"),"중학교","중"),"고등학교","고")</f>
      </c>
    </row>
    <row r="2307" customFormat="false" ht="15" hidden="false" customHeight="false" outlineLevel="0" collapsed="false">
      <c r="A2307" s="8"/>
      <c r="B2307" s="8"/>
      <c r="C2307" s="8"/>
      <c r="D2307" s="8"/>
      <c r="E2307" s="8"/>
      <c r="F2307" t="str" s="15">
        <f aca="0">IF(B2307="","",IF(H2307="","확인필요(입력누락)",IF(SUMPRODUCT((실물목록!$P$2:$P$1001&lt;&gt;"")*ISNUMBER(SEARCH(실물목록!$P$2:$P$1001,I2307))*(실물목록!$Q$2:$Q$1001&lt;&gt;"")*ISNUMBER(SEARCH(실물목록!$Q$2:$Q$1001,I2307))*(실물목록!$R$2:$R$1001="")*(실물목록!$O$2:$O$1001&lt;&gt;"")*(실물목록!$O$2:$O$1001=H2307))&gt;0,"실물 있음",IF(SUMPRODUCT((실물목록!$P$2:$P$1001&lt;&gt;"")*ISNUMBER(SEARCH(실물목록!$P$2:$P$1001,I2307))*(실물목록!$R$2:$R$1001&lt;&gt;""))&gt;0,"확인필요(입력누락)",IF(SUMPRODUCT((실물목록!$P$2:$P$1001&lt;&gt;"")*ISNUMBER(SEARCH(실물목록!$P$2:$P$1001,I2307))*(실물목록!$Q$2:$Q$1001&lt;&gt;"")*ISNUMBER(SEARCH(실물목록!$Q$2:$Q$1001,I2307))*(실물목록!$R$2:$R$1001="")*(실물목록!$O$2:$O$1001&lt;&gt;""))&gt;0,"확인필요(연도다름)","실물 없음")))))</f>
      </c>
      <c r="G2307" t="n" s="16">
        <f aca="0">IF(B2307="","",SUMPRODUCT((실물목록!$P$2:$P$1001&lt;&gt;"")*ISNUMBER(SEARCH(실물목록!$P$2:$P$1001,I2307))*(실물목록!$Q$2:$Q$1001&lt;&gt;"")*ISNUMBER(SEARCH(실물목록!$Q$2:$Q$1001,I2307))*(실물목록!$R$2:$R$1001="")*(실물목록!$O$2:$O$1001&lt;&gt;"")*(실물목록!$O$2:$O$1001=H2307)))</f>
      </c>
      <c r="H2307" t="str">
        <f>IFERROR(IF(AND(LEN(SUBSTITUTE(SUBSTITUTE(SUBSTITUTE(TRIM(A2307&amp;""),CHAR(160),"")," ",""),"년",""))=4,VALUE(SUBSTITUTE(SUBSTITUTE(SUBSTITUTE(TRIM(A2307&amp;""),CHAR(160),"")," ",""),"년",""))&gt;=1900,VALUE(SUBSTITUTE(SUBSTITUTE(SUBSTITUTE(TRIM(A2307&amp;""),CHAR(160),"")," ",""),"년",""))&lt;=2099,TEXT(VALUE(SUBSTITUTE(SUBSTITUTE(SUBSTITUTE(TRIM(A2307&amp;""),CHAR(160),"")," ",""),"년","")),"0000")=SUBSTITUTE(SUBSTITUTE(SUBSTITUTE(TRIM(A2307&amp;""),CHAR(160),"")," ",""),"년","")),SUBSTITUTE(SUBSTITUTE(SUBSTITUTE(TRIM(A2307&amp;""),CHAR(160),"")," ",""),"년",""),""),"")</f>
      </c>
      <c r="I2307" t="str">
        <f>SUBSTITUTE(SUBSTITUTE(SUBSTITUTE(SUBSTITUTE(SUBSTITUTE(TRIM(B2307&amp;""),CHAR(160),"")," ",""),"초등학교","초"),"중학교","중"),"고등학교","고")</f>
      </c>
    </row>
    <row r="2308" customFormat="false" ht="15" hidden="false" customHeight="false" outlineLevel="0" collapsed="false">
      <c r="A2308" s="8"/>
      <c r="B2308" s="8"/>
      <c r="C2308" s="8"/>
      <c r="D2308" s="8"/>
      <c r="E2308" s="8"/>
      <c r="F2308" t="str" s="15">
        <f aca="0">IF(B2308="","",IF(H2308="","확인필요(입력누락)",IF(SUMPRODUCT((실물목록!$P$2:$P$1001&lt;&gt;"")*ISNUMBER(SEARCH(실물목록!$P$2:$P$1001,I2308))*(실물목록!$Q$2:$Q$1001&lt;&gt;"")*ISNUMBER(SEARCH(실물목록!$Q$2:$Q$1001,I2308))*(실물목록!$R$2:$R$1001="")*(실물목록!$O$2:$O$1001&lt;&gt;"")*(실물목록!$O$2:$O$1001=H2308))&gt;0,"실물 있음",IF(SUMPRODUCT((실물목록!$P$2:$P$1001&lt;&gt;"")*ISNUMBER(SEARCH(실물목록!$P$2:$P$1001,I2308))*(실물목록!$R$2:$R$1001&lt;&gt;""))&gt;0,"확인필요(입력누락)",IF(SUMPRODUCT((실물목록!$P$2:$P$1001&lt;&gt;"")*ISNUMBER(SEARCH(실물목록!$P$2:$P$1001,I2308))*(실물목록!$Q$2:$Q$1001&lt;&gt;"")*ISNUMBER(SEARCH(실물목록!$Q$2:$Q$1001,I2308))*(실물목록!$R$2:$R$1001="")*(실물목록!$O$2:$O$1001&lt;&gt;""))&gt;0,"확인필요(연도다름)","실물 없음")))))</f>
      </c>
      <c r="G2308" t="n" s="16">
        <f aca="0">IF(B2308="","",SUMPRODUCT((실물목록!$P$2:$P$1001&lt;&gt;"")*ISNUMBER(SEARCH(실물목록!$P$2:$P$1001,I2308))*(실물목록!$Q$2:$Q$1001&lt;&gt;"")*ISNUMBER(SEARCH(실물목록!$Q$2:$Q$1001,I2308))*(실물목록!$R$2:$R$1001="")*(실물목록!$O$2:$O$1001&lt;&gt;"")*(실물목록!$O$2:$O$1001=H2308)))</f>
      </c>
      <c r="H2308" t="str">
        <f>IFERROR(IF(AND(LEN(SUBSTITUTE(SUBSTITUTE(SUBSTITUTE(TRIM(A2308&amp;""),CHAR(160),"")," ",""),"년",""))=4,VALUE(SUBSTITUTE(SUBSTITUTE(SUBSTITUTE(TRIM(A2308&amp;""),CHAR(160),"")," ",""),"년",""))&gt;=1900,VALUE(SUBSTITUTE(SUBSTITUTE(SUBSTITUTE(TRIM(A2308&amp;""),CHAR(160),"")," ",""),"년",""))&lt;=2099,TEXT(VALUE(SUBSTITUTE(SUBSTITUTE(SUBSTITUTE(TRIM(A2308&amp;""),CHAR(160),"")," ",""),"년","")),"0000")=SUBSTITUTE(SUBSTITUTE(SUBSTITUTE(TRIM(A2308&amp;""),CHAR(160),"")," ",""),"년","")),SUBSTITUTE(SUBSTITUTE(SUBSTITUTE(TRIM(A2308&amp;""),CHAR(160),"")," ",""),"년",""),""),"")</f>
      </c>
      <c r="I2308" t="str">
        <f>SUBSTITUTE(SUBSTITUTE(SUBSTITUTE(SUBSTITUTE(SUBSTITUTE(TRIM(B2308&amp;""),CHAR(160),"")," ",""),"초등학교","초"),"중학교","중"),"고등학교","고")</f>
      </c>
    </row>
    <row r="2309" customFormat="false" ht="15" hidden="false" customHeight="false" outlineLevel="0" collapsed="false">
      <c r="A2309" s="8"/>
      <c r="B2309" s="8"/>
      <c r="C2309" s="8"/>
      <c r="D2309" s="8"/>
      <c r="E2309" s="8"/>
      <c r="F2309" t="str" s="15">
        <f aca="0">IF(B2309="","",IF(H2309="","확인필요(입력누락)",IF(SUMPRODUCT((실물목록!$P$2:$P$1001&lt;&gt;"")*ISNUMBER(SEARCH(실물목록!$P$2:$P$1001,I2309))*(실물목록!$Q$2:$Q$1001&lt;&gt;"")*ISNUMBER(SEARCH(실물목록!$Q$2:$Q$1001,I2309))*(실물목록!$R$2:$R$1001="")*(실물목록!$O$2:$O$1001&lt;&gt;"")*(실물목록!$O$2:$O$1001=H2309))&gt;0,"실물 있음",IF(SUMPRODUCT((실물목록!$P$2:$P$1001&lt;&gt;"")*ISNUMBER(SEARCH(실물목록!$P$2:$P$1001,I2309))*(실물목록!$R$2:$R$1001&lt;&gt;""))&gt;0,"확인필요(입력누락)",IF(SUMPRODUCT((실물목록!$P$2:$P$1001&lt;&gt;"")*ISNUMBER(SEARCH(실물목록!$P$2:$P$1001,I2309))*(실물목록!$Q$2:$Q$1001&lt;&gt;"")*ISNUMBER(SEARCH(실물목록!$Q$2:$Q$1001,I2309))*(실물목록!$R$2:$R$1001="")*(실물목록!$O$2:$O$1001&lt;&gt;""))&gt;0,"확인필요(연도다름)","실물 없음")))))</f>
      </c>
      <c r="G2309" t="n" s="16">
        <f aca="0">IF(B2309="","",SUMPRODUCT((실물목록!$P$2:$P$1001&lt;&gt;"")*ISNUMBER(SEARCH(실물목록!$P$2:$P$1001,I2309))*(실물목록!$Q$2:$Q$1001&lt;&gt;"")*ISNUMBER(SEARCH(실물목록!$Q$2:$Q$1001,I2309))*(실물목록!$R$2:$R$1001="")*(실물목록!$O$2:$O$1001&lt;&gt;"")*(실물목록!$O$2:$O$1001=H2309)))</f>
      </c>
      <c r="H2309" t="str">
        <f>IFERROR(IF(AND(LEN(SUBSTITUTE(SUBSTITUTE(SUBSTITUTE(TRIM(A2309&amp;""),CHAR(160),"")," ",""),"년",""))=4,VALUE(SUBSTITUTE(SUBSTITUTE(SUBSTITUTE(TRIM(A2309&amp;""),CHAR(160),"")," ",""),"년",""))&gt;=1900,VALUE(SUBSTITUTE(SUBSTITUTE(SUBSTITUTE(TRIM(A2309&amp;""),CHAR(160),"")," ",""),"년",""))&lt;=2099,TEXT(VALUE(SUBSTITUTE(SUBSTITUTE(SUBSTITUTE(TRIM(A2309&amp;""),CHAR(160),"")," ",""),"년","")),"0000")=SUBSTITUTE(SUBSTITUTE(SUBSTITUTE(TRIM(A2309&amp;""),CHAR(160),"")," ",""),"년","")),SUBSTITUTE(SUBSTITUTE(SUBSTITUTE(TRIM(A2309&amp;""),CHAR(160),"")," ",""),"년",""),""),"")</f>
      </c>
      <c r="I2309" t="str">
        <f>SUBSTITUTE(SUBSTITUTE(SUBSTITUTE(SUBSTITUTE(SUBSTITUTE(TRIM(B2309&amp;""),CHAR(160),"")," ",""),"초등학교","초"),"중학교","중"),"고등학교","고")</f>
      </c>
    </row>
    <row r="2310" customFormat="false" ht="15" hidden="false" customHeight="false" outlineLevel="0" collapsed="false">
      <c r="A2310" s="8"/>
      <c r="B2310" s="8"/>
      <c r="C2310" s="8"/>
      <c r="D2310" s="8"/>
      <c r="E2310" s="8"/>
      <c r="F2310" t="str" s="15">
        <f aca="0">IF(B2310="","",IF(H2310="","확인필요(입력누락)",IF(SUMPRODUCT((실물목록!$P$2:$P$1001&lt;&gt;"")*ISNUMBER(SEARCH(실물목록!$P$2:$P$1001,I2310))*(실물목록!$Q$2:$Q$1001&lt;&gt;"")*ISNUMBER(SEARCH(실물목록!$Q$2:$Q$1001,I2310))*(실물목록!$R$2:$R$1001="")*(실물목록!$O$2:$O$1001&lt;&gt;"")*(실물목록!$O$2:$O$1001=H2310))&gt;0,"실물 있음",IF(SUMPRODUCT((실물목록!$P$2:$P$1001&lt;&gt;"")*ISNUMBER(SEARCH(실물목록!$P$2:$P$1001,I2310))*(실물목록!$R$2:$R$1001&lt;&gt;""))&gt;0,"확인필요(입력누락)",IF(SUMPRODUCT((실물목록!$P$2:$P$1001&lt;&gt;"")*ISNUMBER(SEARCH(실물목록!$P$2:$P$1001,I2310))*(실물목록!$Q$2:$Q$1001&lt;&gt;"")*ISNUMBER(SEARCH(실물목록!$Q$2:$Q$1001,I2310))*(실물목록!$R$2:$R$1001="")*(실물목록!$O$2:$O$1001&lt;&gt;""))&gt;0,"확인필요(연도다름)","실물 없음")))))</f>
      </c>
      <c r="G2310" t="n" s="16">
        <f aca="0">IF(B2310="","",SUMPRODUCT((실물목록!$P$2:$P$1001&lt;&gt;"")*ISNUMBER(SEARCH(실물목록!$P$2:$P$1001,I2310))*(실물목록!$Q$2:$Q$1001&lt;&gt;"")*ISNUMBER(SEARCH(실물목록!$Q$2:$Q$1001,I2310))*(실물목록!$R$2:$R$1001="")*(실물목록!$O$2:$O$1001&lt;&gt;"")*(실물목록!$O$2:$O$1001=H2310)))</f>
      </c>
      <c r="H2310" t="str">
        <f>IFERROR(IF(AND(LEN(SUBSTITUTE(SUBSTITUTE(SUBSTITUTE(TRIM(A2310&amp;""),CHAR(160),"")," ",""),"년",""))=4,VALUE(SUBSTITUTE(SUBSTITUTE(SUBSTITUTE(TRIM(A2310&amp;""),CHAR(160),"")," ",""),"년",""))&gt;=1900,VALUE(SUBSTITUTE(SUBSTITUTE(SUBSTITUTE(TRIM(A2310&amp;""),CHAR(160),"")," ",""),"년",""))&lt;=2099,TEXT(VALUE(SUBSTITUTE(SUBSTITUTE(SUBSTITUTE(TRIM(A2310&amp;""),CHAR(160),"")," ",""),"년","")),"0000")=SUBSTITUTE(SUBSTITUTE(SUBSTITUTE(TRIM(A2310&amp;""),CHAR(160),"")," ",""),"년","")),SUBSTITUTE(SUBSTITUTE(SUBSTITUTE(TRIM(A2310&amp;""),CHAR(160),"")," ",""),"년",""),""),"")</f>
      </c>
      <c r="I2310" t="str">
        <f>SUBSTITUTE(SUBSTITUTE(SUBSTITUTE(SUBSTITUTE(SUBSTITUTE(TRIM(B2310&amp;""),CHAR(160),"")," ",""),"초등학교","초"),"중학교","중"),"고등학교","고")</f>
      </c>
    </row>
    <row r="2311" customFormat="false" ht="15" hidden="false" customHeight="false" outlineLevel="0" collapsed="false">
      <c r="A2311" s="8"/>
      <c r="B2311" s="8"/>
      <c r="C2311" s="8"/>
      <c r="D2311" s="8"/>
      <c r="E2311" s="8"/>
      <c r="F2311" t="str" s="15">
        <f aca="0">IF(B2311="","",IF(H2311="","확인필요(입력누락)",IF(SUMPRODUCT((실물목록!$P$2:$P$1001&lt;&gt;"")*ISNUMBER(SEARCH(실물목록!$P$2:$P$1001,I2311))*(실물목록!$Q$2:$Q$1001&lt;&gt;"")*ISNUMBER(SEARCH(실물목록!$Q$2:$Q$1001,I2311))*(실물목록!$R$2:$R$1001="")*(실물목록!$O$2:$O$1001&lt;&gt;"")*(실물목록!$O$2:$O$1001=H2311))&gt;0,"실물 있음",IF(SUMPRODUCT((실물목록!$P$2:$P$1001&lt;&gt;"")*ISNUMBER(SEARCH(실물목록!$P$2:$P$1001,I2311))*(실물목록!$R$2:$R$1001&lt;&gt;""))&gt;0,"확인필요(입력누락)",IF(SUMPRODUCT((실물목록!$P$2:$P$1001&lt;&gt;"")*ISNUMBER(SEARCH(실물목록!$P$2:$P$1001,I2311))*(실물목록!$Q$2:$Q$1001&lt;&gt;"")*ISNUMBER(SEARCH(실물목록!$Q$2:$Q$1001,I2311))*(실물목록!$R$2:$R$1001="")*(실물목록!$O$2:$O$1001&lt;&gt;""))&gt;0,"확인필요(연도다름)","실물 없음")))))</f>
      </c>
      <c r="G2311" t="n" s="16">
        <f aca="0">IF(B2311="","",SUMPRODUCT((실물목록!$P$2:$P$1001&lt;&gt;"")*ISNUMBER(SEARCH(실물목록!$P$2:$P$1001,I2311))*(실물목록!$Q$2:$Q$1001&lt;&gt;"")*ISNUMBER(SEARCH(실물목록!$Q$2:$Q$1001,I2311))*(실물목록!$R$2:$R$1001="")*(실물목록!$O$2:$O$1001&lt;&gt;"")*(실물목록!$O$2:$O$1001=H2311)))</f>
      </c>
      <c r="H2311" t="str">
        <f>IFERROR(IF(AND(LEN(SUBSTITUTE(SUBSTITUTE(SUBSTITUTE(TRIM(A2311&amp;""),CHAR(160),"")," ",""),"년",""))=4,VALUE(SUBSTITUTE(SUBSTITUTE(SUBSTITUTE(TRIM(A2311&amp;""),CHAR(160),"")," ",""),"년",""))&gt;=1900,VALUE(SUBSTITUTE(SUBSTITUTE(SUBSTITUTE(TRIM(A2311&amp;""),CHAR(160),"")," ",""),"년",""))&lt;=2099,TEXT(VALUE(SUBSTITUTE(SUBSTITUTE(SUBSTITUTE(TRIM(A2311&amp;""),CHAR(160),"")," ",""),"년","")),"0000")=SUBSTITUTE(SUBSTITUTE(SUBSTITUTE(TRIM(A2311&amp;""),CHAR(160),"")," ",""),"년","")),SUBSTITUTE(SUBSTITUTE(SUBSTITUTE(TRIM(A2311&amp;""),CHAR(160),"")," ",""),"년",""),""),"")</f>
      </c>
      <c r="I2311" t="str">
        <f>SUBSTITUTE(SUBSTITUTE(SUBSTITUTE(SUBSTITUTE(SUBSTITUTE(TRIM(B2311&amp;""),CHAR(160),"")," ",""),"초등학교","초"),"중학교","중"),"고등학교","고")</f>
      </c>
    </row>
    <row r="2312" customFormat="false" ht="15" hidden="false" customHeight="false" outlineLevel="0" collapsed="false">
      <c r="A2312" s="8"/>
      <c r="B2312" s="8"/>
      <c r="C2312" s="8"/>
      <c r="D2312" s="8"/>
      <c r="E2312" s="8"/>
      <c r="F2312" t="str" s="15">
        <f aca="0">IF(B2312="","",IF(H2312="","확인필요(입력누락)",IF(SUMPRODUCT((실물목록!$P$2:$P$1001&lt;&gt;"")*ISNUMBER(SEARCH(실물목록!$P$2:$P$1001,I2312))*(실물목록!$Q$2:$Q$1001&lt;&gt;"")*ISNUMBER(SEARCH(실물목록!$Q$2:$Q$1001,I2312))*(실물목록!$R$2:$R$1001="")*(실물목록!$O$2:$O$1001&lt;&gt;"")*(실물목록!$O$2:$O$1001=H2312))&gt;0,"실물 있음",IF(SUMPRODUCT((실물목록!$P$2:$P$1001&lt;&gt;"")*ISNUMBER(SEARCH(실물목록!$P$2:$P$1001,I2312))*(실물목록!$R$2:$R$1001&lt;&gt;""))&gt;0,"확인필요(입력누락)",IF(SUMPRODUCT((실물목록!$P$2:$P$1001&lt;&gt;"")*ISNUMBER(SEARCH(실물목록!$P$2:$P$1001,I2312))*(실물목록!$Q$2:$Q$1001&lt;&gt;"")*ISNUMBER(SEARCH(실물목록!$Q$2:$Q$1001,I2312))*(실물목록!$R$2:$R$1001="")*(실물목록!$O$2:$O$1001&lt;&gt;""))&gt;0,"확인필요(연도다름)","실물 없음")))))</f>
      </c>
      <c r="G2312" t="n" s="16">
        <f aca="0">IF(B2312="","",SUMPRODUCT((실물목록!$P$2:$P$1001&lt;&gt;"")*ISNUMBER(SEARCH(실물목록!$P$2:$P$1001,I2312))*(실물목록!$Q$2:$Q$1001&lt;&gt;"")*ISNUMBER(SEARCH(실물목록!$Q$2:$Q$1001,I2312))*(실물목록!$R$2:$R$1001="")*(실물목록!$O$2:$O$1001&lt;&gt;"")*(실물목록!$O$2:$O$1001=H2312)))</f>
      </c>
      <c r="H2312" t="str">
        <f>IFERROR(IF(AND(LEN(SUBSTITUTE(SUBSTITUTE(SUBSTITUTE(TRIM(A2312&amp;""),CHAR(160),"")," ",""),"년",""))=4,VALUE(SUBSTITUTE(SUBSTITUTE(SUBSTITUTE(TRIM(A2312&amp;""),CHAR(160),"")," ",""),"년",""))&gt;=1900,VALUE(SUBSTITUTE(SUBSTITUTE(SUBSTITUTE(TRIM(A2312&amp;""),CHAR(160),"")," ",""),"년",""))&lt;=2099,TEXT(VALUE(SUBSTITUTE(SUBSTITUTE(SUBSTITUTE(TRIM(A2312&amp;""),CHAR(160),"")," ",""),"년","")),"0000")=SUBSTITUTE(SUBSTITUTE(SUBSTITUTE(TRIM(A2312&amp;""),CHAR(160),"")," ",""),"년","")),SUBSTITUTE(SUBSTITUTE(SUBSTITUTE(TRIM(A2312&amp;""),CHAR(160),"")," ",""),"년",""),""),"")</f>
      </c>
      <c r="I2312" t="str">
        <f>SUBSTITUTE(SUBSTITUTE(SUBSTITUTE(SUBSTITUTE(SUBSTITUTE(TRIM(B2312&amp;""),CHAR(160),"")," ",""),"초등학교","초"),"중학교","중"),"고등학교","고")</f>
      </c>
    </row>
    <row r="2313" customFormat="false" ht="15" hidden="false" customHeight="false" outlineLevel="0" collapsed="false">
      <c r="A2313" s="8"/>
      <c r="B2313" s="8"/>
      <c r="C2313" s="8"/>
      <c r="D2313" s="8"/>
      <c r="E2313" s="8"/>
      <c r="F2313" t="str" s="15">
        <f aca="0">IF(B2313="","",IF(H2313="","확인필요(입력누락)",IF(SUMPRODUCT((실물목록!$P$2:$P$1001&lt;&gt;"")*ISNUMBER(SEARCH(실물목록!$P$2:$P$1001,I2313))*(실물목록!$Q$2:$Q$1001&lt;&gt;"")*ISNUMBER(SEARCH(실물목록!$Q$2:$Q$1001,I2313))*(실물목록!$R$2:$R$1001="")*(실물목록!$O$2:$O$1001&lt;&gt;"")*(실물목록!$O$2:$O$1001=H2313))&gt;0,"실물 있음",IF(SUMPRODUCT((실물목록!$P$2:$P$1001&lt;&gt;"")*ISNUMBER(SEARCH(실물목록!$P$2:$P$1001,I2313))*(실물목록!$R$2:$R$1001&lt;&gt;""))&gt;0,"확인필요(입력누락)",IF(SUMPRODUCT((실물목록!$P$2:$P$1001&lt;&gt;"")*ISNUMBER(SEARCH(실물목록!$P$2:$P$1001,I2313))*(실물목록!$Q$2:$Q$1001&lt;&gt;"")*ISNUMBER(SEARCH(실물목록!$Q$2:$Q$1001,I2313))*(실물목록!$R$2:$R$1001="")*(실물목록!$O$2:$O$1001&lt;&gt;""))&gt;0,"확인필요(연도다름)","실물 없음")))))</f>
      </c>
      <c r="G2313" t="n" s="16">
        <f aca="0">IF(B2313="","",SUMPRODUCT((실물목록!$P$2:$P$1001&lt;&gt;"")*ISNUMBER(SEARCH(실물목록!$P$2:$P$1001,I2313))*(실물목록!$Q$2:$Q$1001&lt;&gt;"")*ISNUMBER(SEARCH(실물목록!$Q$2:$Q$1001,I2313))*(실물목록!$R$2:$R$1001="")*(실물목록!$O$2:$O$1001&lt;&gt;"")*(실물목록!$O$2:$O$1001=H2313)))</f>
      </c>
      <c r="H2313" t="str">
        <f>IFERROR(IF(AND(LEN(SUBSTITUTE(SUBSTITUTE(SUBSTITUTE(TRIM(A2313&amp;""),CHAR(160),"")," ",""),"년",""))=4,VALUE(SUBSTITUTE(SUBSTITUTE(SUBSTITUTE(TRIM(A2313&amp;""),CHAR(160),"")," ",""),"년",""))&gt;=1900,VALUE(SUBSTITUTE(SUBSTITUTE(SUBSTITUTE(TRIM(A2313&amp;""),CHAR(160),"")," ",""),"년",""))&lt;=2099,TEXT(VALUE(SUBSTITUTE(SUBSTITUTE(SUBSTITUTE(TRIM(A2313&amp;""),CHAR(160),"")," ",""),"년","")),"0000")=SUBSTITUTE(SUBSTITUTE(SUBSTITUTE(TRIM(A2313&amp;""),CHAR(160),"")," ",""),"년","")),SUBSTITUTE(SUBSTITUTE(SUBSTITUTE(TRIM(A2313&amp;""),CHAR(160),"")," ",""),"년",""),""),"")</f>
      </c>
      <c r="I2313" t="str">
        <f>SUBSTITUTE(SUBSTITUTE(SUBSTITUTE(SUBSTITUTE(SUBSTITUTE(TRIM(B2313&amp;""),CHAR(160),"")," ",""),"초등학교","초"),"중학교","중"),"고등학교","고")</f>
      </c>
    </row>
    <row r="2314" customFormat="false" ht="15" hidden="false" customHeight="false" outlineLevel="0" collapsed="false">
      <c r="A2314" s="8"/>
      <c r="B2314" s="8"/>
      <c r="C2314" s="8"/>
      <c r="D2314" s="8"/>
      <c r="E2314" s="8"/>
      <c r="F2314" t="str" s="15">
        <f aca="0">IF(B2314="","",IF(H2314="","확인필요(입력누락)",IF(SUMPRODUCT((실물목록!$P$2:$P$1001&lt;&gt;"")*ISNUMBER(SEARCH(실물목록!$P$2:$P$1001,I2314))*(실물목록!$Q$2:$Q$1001&lt;&gt;"")*ISNUMBER(SEARCH(실물목록!$Q$2:$Q$1001,I2314))*(실물목록!$R$2:$R$1001="")*(실물목록!$O$2:$O$1001&lt;&gt;"")*(실물목록!$O$2:$O$1001=H2314))&gt;0,"실물 있음",IF(SUMPRODUCT((실물목록!$P$2:$P$1001&lt;&gt;"")*ISNUMBER(SEARCH(실물목록!$P$2:$P$1001,I2314))*(실물목록!$R$2:$R$1001&lt;&gt;""))&gt;0,"확인필요(입력누락)",IF(SUMPRODUCT((실물목록!$P$2:$P$1001&lt;&gt;"")*ISNUMBER(SEARCH(실물목록!$P$2:$P$1001,I2314))*(실물목록!$Q$2:$Q$1001&lt;&gt;"")*ISNUMBER(SEARCH(실물목록!$Q$2:$Q$1001,I2314))*(실물목록!$R$2:$R$1001="")*(실물목록!$O$2:$O$1001&lt;&gt;""))&gt;0,"확인필요(연도다름)","실물 없음")))))</f>
      </c>
      <c r="G2314" t="n" s="16">
        <f aca="0">IF(B2314="","",SUMPRODUCT((실물목록!$P$2:$P$1001&lt;&gt;"")*ISNUMBER(SEARCH(실물목록!$P$2:$P$1001,I2314))*(실물목록!$Q$2:$Q$1001&lt;&gt;"")*ISNUMBER(SEARCH(실물목록!$Q$2:$Q$1001,I2314))*(실물목록!$R$2:$R$1001="")*(실물목록!$O$2:$O$1001&lt;&gt;"")*(실물목록!$O$2:$O$1001=H2314)))</f>
      </c>
      <c r="H2314" t="str">
        <f>IFERROR(IF(AND(LEN(SUBSTITUTE(SUBSTITUTE(SUBSTITUTE(TRIM(A2314&amp;""),CHAR(160),"")," ",""),"년",""))=4,VALUE(SUBSTITUTE(SUBSTITUTE(SUBSTITUTE(TRIM(A2314&amp;""),CHAR(160),"")," ",""),"년",""))&gt;=1900,VALUE(SUBSTITUTE(SUBSTITUTE(SUBSTITUTE(TRIM(A2314&amp;""),CHAR(160),"")," ",""),"년",""))&lt;=2099,TEXT(VALUE(SUBSTITUTE(SUBSTITUTE(SUBSTITUTE(TRIM(A2314&amp;""),CHAR(160),"")," ",""),"년","")),"0000")=SUBSTITUTE(SUBSTITUTE(SUBSTITUTE(TRIM(A2314&amp;""),CHAR(160),"")," ",""),"년","")),SUBSTITUTE(SUBSTITUTE(SUBSTITUTE(TRIM(A2314&amp;""),CHAR(160),"")," ",""),"년",""),""),"")</f>
      </c>
      <c r="I2314" t="str">
        <f>SUBSTITUTE(SUBSTITUTE(SUBSTITUTE(SUBSTITUTE(SUBSTITUTE(TRIM(B2314&amp;""),CHAR(160),"")," ",""),"초등학교","초"),"중학교","중"),"고등학교","고")</f>
      </c>
    </row>
    <row r="2315" customFormat="false" ht="15" hidden="false" customHeight="false" outlineLevel="0" collapsed="false">
      <c r="A2315" s="8"/>
      <c r="B2315" s="8"/>
      <c r="C2315" s="8"/>
      <c r="D2315" s="8"/>
      <c r="E2315" s="8"/>
      <c r="F2315" t="str" s="15">
        <f aca="0">IF(B2315="","",IF(H2315="","확인필요(입력누락)",IF(SUMPRODUCT((실물목록!$P$2:$P$1001&lt;&gt;"")*ISNUMBER(SEARCH(실물목록!$P$2:$P$1001,I2315))*(실물목록!$Q$2:$Q$1001&lt;&gt;"")*ISNUMBER(SEARCH(실물목록!$Q$2:$Q$1001,I2315))*(실물목록!$R$2:$R$1001="")*(실물목록!$O$2:$O$1001&lt;&gt;"")*(실물목록!$O$2:$O$1001=H2315))&gt;0,"실물 있음",IF(SUMPRODUCT((실물목록!$P$2:$P$1001&lt;&gt;"")*ISNUMBER(SEARCH(실물목록!$P$2:$P$1001,I2315))*(실물목록!$R$2:$R$1001&lt;&gt;""))&gt;0,"확인필요(입력누락)",IF(SUMPRODUCT((실물목록!$P$2:$P$1001&lt;&gt;"")*ISNUMBER(SEARCH(실물목록!$P$2:$P$1001,I2315))*(실물목록!$Q$2:$Q$1001&lt;&gt;"")*ISNUMBER(SEARCH(실물목록!$Q$2:$Q$1001,I2315))*(실물목록!$R$2:$R$1001="")*(실물목록!$O$2:$O$1001&lt;&gt;""))&gt;0,"확인필요(연도다름)","실물 없음")))))</f>
      </c>
      <c r="G2315" t="n" s="16">
        <f aca="0">IF(B2315="","",SUMPRODUCT((실물목록!$P$2:$P$1001&lt;&gt;"")*ISNUMBER(SEARCH(실물목록!$P$2:$P$1001,I2315))*(실물목록!$Q$2:$Q$1001&lt;&gt;"")*ISNUMBER(SEARCH(실물목록!$Q$2:$Q$1001,I2315))*(실물목록!$R$2:$R$1001="")*(실물목록!$O$2:$O$1001&lt;&gt;"")*(실물목록!$O$2:$O$1001=H2315)))</f>
      </c>
      <c r="H2315" t="str">
        <f>IFERROR(IF(AND(LEN(SUBSTITUTE(SUBSTITUTE(SUBSTITUTE(TRIM(A2315&amp;""),CHAR(160),"")," ",""),"년",""))=4,VALUE(SUBSTITUTE(SUBSTITUTE(SUBSTITUTE(TRIM(A2315&amp;""),CHAR(160),"")," ",""),"년",""))&gt;=1900,VALUE(SUBSTITUTE(SUBSTITUTE(SUBSTITUTE(TRIM(A2315&amp;""),CHAR(160),"")," ",""),"년",""))&lt;=2099,TEXT(VALUE(SUBSTITUTE(SUBSTITUTE(SUBSTITUTE(TRIM(A2315&amp;""),CHAR(160),"")," ",""),"년","")),"0000")=SUBSTITUTE(SUBSTITUTE(SUBSTITUTE(TRIM(A2315&amp;""),CHAR(160),"")," ",""),"년","")),SUBSTITUTE(SUBSTITUTE(SUBSTITUTE(TRIM(A2315&amp;""),CHAR(160),"")," ",""),"년",""),""),"")</f>
      </c>
      <c r="I2315" t="str">
        <f>SUBSTITUTE(SUBSTITUTE(SUBSTITUTE(SUBSTITUTE(SUBSTITUTE(TRIM(B2315&amp;""),CHAR(160),"")," ",""),"초등학교","초"),"중학교","중"),"고등학교","고")</f>
      </c>
    </row>
    <row r="2316" customFormat="false" ht="15" hidden="false" customHeight="false" outlineLevel="0" collapsed="false">
      <c r="A2316" s="8"/>
      <c r="B2316" s="8"/>
      <c r="C2316" s="8"/>
      <c r="D2316" s="8"/>
      <c r="E2316" s="8"/>
      <c r="F2316" t="str" s="15">
        <f aca="0">IF(B2316="","",IF(H2316="","확인필요(입력누락)",IF(SUMPRODUCT((실물목록!$P$2:$P$1001&lt;&gt;"")*ISNUMBER(SEARCH(실물목록!$P$2:$P$1001,I2316))*(실물목록!$Q$2:$Q$1001&lt;&gt;"")*ISNUMBER(SEARCH(실물목록!$Q$2:$Q$1001,I2316))*(실물목록!$R$2:$R$1001="")*(실물목록!$O$2:$O$1001&lt;&gt;"")*(실물목록!$O$2:$O$1001=H2316))&gt;0,"실물 있음",IF(SUMPRODUCT((실물목록!$P$2:$P$1001&lt;&gt;"")*ISNUMBER(SEARCH(실물목록!$P$2:$P$1001,I2316))*(실물목록!$R$2:$R$1001&lt;&gt;""))&gt;0,"확인필요(입력누락)",IF(SUMPRODUCT((실물목록!$P$2:$P$1001&lt;&gt;"")*ISNUMBER(SEARCH(실물목록!$P$2:$P$1001,I2316))*(실물목록!$Q$2:$Q$1001&lt;&gt;"")*ISNUMBER(SEARCH(실물목록!$Q$2:$Q$1001,I2316))*(실물목록!$R$2:$R$1001="")*(실물목록!$O$2:$O$1001&lt;&gt;""))&gt;0,"확인필요(연도다름)","실물 없음")))))</f>
      </c>
      <c r="G2316" t="n" s="16">
        <f aca="0">IF(B2316="","",SUMPRODUCT((실물목록!$P$2:$P$1001&lt;&gt;"")*ISNUMBER(SEARCH(실물목록!$P$2:$P$1001,I2316))*(실물목록!$Q$2:$Q$1001&lt;&gt;"")*ISNUMBER(SEARCH(실물목록!$Q$2:$Q$1001,I2316))*(실물목록!$R$2:$R$1001="")*(실물목록!$O$2:$O$1001&lt;&gt;"")*(실물목록!$O$2:$O$1001=H2316)))</f>
      </c>
      <c r="H2316" t="str">
        <f>IFERROR(IF(AND(LEN(SUBSTITUTE(SUBSTITUTE(SUBSTITUTE(TRIM(A2316&amp;""),CHAR(160),"")," ",""),"년",""))=4,VALUE(SUBSTITUTE(SUBSTITUTE(SUBSTITUTE(TRIM(A2316&amp;""),CHAR(160),"")," ",""),"년",""))&gt;=1900,VALUE(SUBSTITUTE(SUBSTITUTE(SUBSTITUTE(TRIM(A2316&amp;""),CHAR(160),"")," ",""),"년",""))&lt;=2099,TEXT(VALUE(SUBSTITUTE(SUBSTITUTE(SUBSTITUTE(TRIM(A2316&amp;""),CHAR(160),"")," ",""),"년","")),"0000")=SUBSTITUTE(SUBSTITUTE(SUBSTITUTE(TRIM(A2316&amp;""),CHAR(160),"")," ",""),"년","")),SUBSTITUTE(SUBSTITUTE(SUBSTITUTE(TRIM(A2316&amp;""),CHAR(160),"")," ",""),"년",""),""),"")</f>
      </c>
      <c r="I2316" t="str">
        <f>SUBSTITUTE(SUBSTITUTE(SUBSTITUTE(SUBSTITUTE(SUBSTITUTE(TRIM(B2316&amp;""),CHAR(160),"")," ",""),"초등학교","초"),"중학교","중"),"고등학교","고")</f>
      </c>
    </row>
    <row r="2317" customFormat="false" ht="15" hidden="false" customHeight="false" outlineLevel="0" collapsed="false">
      <c r="A2317" s="8"/>
      <c r="B2317" s="8"/>
      <c r="C2317" s="8"/>
      <c r="D2317" s="8"/>
      <c r="E2317" s="8"/>
      <c r="F2317" t="str" s="15">
        <f aca="0">IF(B2317="","",IF(H2317="","확인필요(입력누락)",IF(SUMPRODUCT((실물목록!$P$2:$P$1001&lt;&gt;"")*ISNUMBER(SEARCH(실물목록!$P$2:$P$1001,I2317))*(실물목록!$Q$2:$Q$1001&lt;&gt;"")*ISNUMBER(SEARCH(실물목록!$Q$2:$Q$1001,I2317))*(실물목록!$R$2:$R$1001="")*(실물목록!$O$2:$O$1001&lt;&gt;"")*(실물목록!$O$2:$O$1001=H2317))&gt;0,"실물 있음",IF(SUMPRODUCT((실물목록!$P$2:$P$1001&lt;&gt;"")*ISNUMBER(SEARCH(실물목록!$P$2:$P$1001,I2317))*(실물목록!$R$2:$R$1001&lt;&gt;""))&gt;0,"확인필요(입력누락)",IF(SUMPRODUCT((실물목록!$P$2:$P$1001&lt;&gt;"")*ISNUMBER(SEARCH(실물목록!$P$2:$P$1001,I2317))*(실물목록!$Q$2:$Q$1001&lt;&gt;"")*ISNUMBER(SEARCH(실물목록!$Q$2:$Q$1001,I2317))*(실물목록!$R$2:$R$1001="")*(실물목록!$O$2:$O$1001&lt;&gt;""))&gt;0,"확인필요(연도다름)","실물 없음")))))</f>
      </c>
      <c r="G2317" t="n" s="16">
        <f aca="0">IF(B2317="","",SUMPRODUCT((실물목록!$P$2:$P$1001&lt;&gt;"")*ISNUMBER(SEARCH(실물목록!$P$2:$P$1001,I2317))*(실물목록!$Q$2:$Q$1001&lt;&gt;"")*ISNUMBER(SEARCH(실물목록!$Q$2:$Q$1001,I2317))*(실물목록!$R$2:$R$1001="")*(실물목록!$O$2:$O$1001&lt;&gt;"")*(실물목록!$O$2:$O$1001=H2317)))</f>
      </c>
      <c r="H2317" t="str">
        <f>IFERROR(IF(AND(LEN(SUBSTITUTE(SUBSTITUTE(SUBSTITUTE(TRIM(A2317&amp;""),CHAR(160),"")," ",""),"년",""))=4,VALUE(SUBSTITUTE(SUBSTITUTE(SUBSTITUTE(TRIM(A2317&amp;""),CHAR(160),"")," ",""),"년",""))&gt;=1900,VALUE(SUBSTITUTE(SUBSTITUTE(SUBSTITUTE(TRIM(A2317&amp;""),CHAR(160),"")," ",""),"년",""))&lt;=2099,TEXT(VALUE(SUBSTITUTE(SUBSTITUTE(SUBSTITUTE(TRIM(A2317&amp;""),CHAR(160),"")," ",""),"년","")),"0000")=SUBSTITUTE(SUBSTITUTE(SUBSTITUTE(TRIM(A2317&amp;""),CHAR(160),"")," ",""),"년","")),SUBSTITUTE(SUBSTITUTE(SUBSTITUTE(TRIM(A2317&amp;""),CHAR(160),"")," ",""),"년",""),""),"")</f>
      </c>
      <c r="I2317" t="str">
        <f>SUBSTITUTE(SUBSTITUTE(SUBSTITUTE(SUBSTITUTE(SUBSTITUTE(TRIM(B2317&amp;""),CHAR(160),"")," ",""),"초등학교","초"),"중학교","중"),"고등학교","고")</f>
      </c>
    </row>
    <row r="2318" customFormat="false" ht="15" hidden="false" customHeight="false" outlineLevel="0" collapsed="false">
      <c r="A2318" s="8"/>
      <c r="B2318" s="8"/>
      <c r="C2318" s="8"/>
      <c r="D2318" s="8"/>
      <c r="E2318" s="8"/>
      <c r="F2318" t="str" s="15">
        <f aca="0">IF(B2318="","",IF(H2318="","확인필요(입력누락)",IF(SUMPRODUCT((실물목록!$P$2:$P$1001&lt;&gt;"")*ISNUMBER(SEARCH(실물목록!$P$2:$P$1001,I2318))*(실물목록!$Q$2:$Q$1001&lt;&gt;"")*ISNUMBER(SEARCH(실물목록!$Q$2:$Q$1001,I2318))*(실물목록!$R$2:$R$1001="")*(실물목록!$O$2:$O$1001&lt;&gt;"")*(실물목록!$O$2:$O$1001=H2318))&gt;0,"실물 있음",IF(SUMPRODUCT((실물목록!$P$2:$P$1001&lt;&gt;"")*ISNUMBER(SEARCH(실물목록!$P$2:$P$1001,I2318))*(실물목록!$R$2:$R$1001&lt;&gt;""))&gt;0,"확인필요(입력누락)",IF(SUMPRODUCT((실물목록!$P$2:$P$1001&lt;&gt;"")*ISNUMBER(SEARCH(실물목록!$P$2:$P$1001,I2318))*(실물목록!$Q$2:$Q$1001&lt;&gt;"")*ISNUMBER(SEARCH(실물목록!$Q$2:$Q$1001,I2318))*(실물목록!$R$2:$R$1001="")*(실물목록!$O$2:$O$1001&lt;&gt;""))&gt;0,"확인필요(연도다름)","실물 없음")))))</f>
      </c>
      <c r="G2318" t="n" s="16">
        <f aca="0">IF(B2318="","",SUMPRODUCT((실물목록!$P$2:$P$1001&lt;&gt;"")*ISNUMBER(SEARCH(실물목록!$P$2:$P$1001,I2318))*(실물목록!$Q$2:$Q$1001&lt;&gt;"")*ISNUMBER(SEARCH(실물목록!$Q$2:$Q$1001,I2318))*(실물목록!$R$2:$R$1001="")*(실물목록!$O$2:$O$1001&lt;&gt;"")*(실물목록!$O$2:$O$1001=H2318)))</f>
      </c>
      <c r="H2318" t="str">
        <f>IFERROR(IF(AND(LEN(SUBSTITUTE(SUBSTITUTE(SUBSTITUTE(TRIM(A2318&amp;""),CHAR(160),"")," ",""),"년",""))=4,VALUE(SUBSTITUTE(SUBSTITUTE(SUBSTITUTE(TRIM(A2318&amp;""),CHAR(160),"")," ",""),"년",""))&gt;=1900,VALUE(SUBSTITUTE(SUBSTITUTE(SUBSTITUTE(TRIM(A2318&amp;""),CHAR(160),"")," ",""),"년",""))&lt;=2099,TEXT(VALUE(SUBSTITUTE(SUBSTITUTE(SUBSTITUTE(TRIM(A2318&amp;""),CHAR(160),"")," ",""),"년","")),"0000")=SUBSTITUTE(SUBSTITUTE(SUBSTITUTE(TRIM(A2318&amp;""),CHAR(160),"")," ",""),"년","")),SUBSTITUTE(SUBSTITUTE(SUBSTITUTE(TRIM(A2318&amp;""),CHAR(160),"")," ",""),"년",""),""),"")</f>
      </c>
      <c r="I2318" t="str">
        <f>SUBSTITUTE(SUBSTITUTE(SUBSTITUTE(SUBSTITUTE(SUBSTITUTE(TRIM(B2318&amp;""),CHAR(160),"")," ",""),"초등학교","초"),"중학교","중"),"고등학교","고")</f>
      </c>
    </row>
    <row r="2319" customFormat="false" ht="15" hidden="false" customHeight="false" outlineLevel="0" collapsed="false">
      <c r="A2319" s="8"/>
      <c r="B2319" s="8"/>
      <c r="C2319" s="8"/>
      <c r="D2319" s="8"/>
      <c r="E2319" s="8"/>
      <c r="F2319" t="str" s="15">
        <f aca="0">IF(B2319="","",IF(H2319="","확인필요(입력누락)",IF(SUMPRODUCT((실물목록!$P$2:$P$1001&lt;&gt;"")*ISNUMBER(SEARCH(실물목록!$P$2:$P$1001,I2319))*(실물목록!$Q$2:$Q$1001&lt;&gt;"")*ISNUMBER(SEARCH(실물목록!$Q$2:$Q$1001,I2319))*(실물목록!$R$2:$R$1001="")*(실물목록!$O$2:$O$1001&lt;&gt;"")*(실물목록!$O$2:$O$1001=H2319))&gt;0,"실물 있음",IF(SUMPRODUCT((실물목록!$P$2:$P$1001&lt;&gt;"")*ISNUMBER(SEARCH(실물목록!$P$2:$P$1001,I2319))*(실물목록!$R$2:$R$1001&lt;&gt;""))&gt;0,"확인필요(입력누락)",IF(SUMPRODUCT((실물목록!$P$2:$P$1001&lt;&gt;"")*ISNUMBER(SEARCH(실물목록!$P$2:$P$1001,I2319))*(실물목록!$Q$2:$Q$1001&lt;&gt;"")*ISNUMBER(SEARCH(실물목록!$Q$2:$Q$1001,I2319))*(실물목록!$R$2:$R$1001="")*(실물목록!$O$2:$O$1001&lt;&gt;""))&gt;0,"확인필요(연도다름)","실물 없음")))))</f>
      </c>
      <c r="G2319" t="n" s="16">
        <f aca="0">IF(B2319="","",SUMPRODUCT((실물목록!$P$2:$P$1001&lt;&gt;"")*ISNUMBER(SEARCH(실물목록!$P$2:$P$1001,I2319))*(실물목록!$Q$2:$Q$1001&lt;&gt;"")*ISNUMBER(SEARCH(실물목록!$Q$2:$Q$1001,I2319))*(실물목록!$R$2:$R$1001="")*(실물목록!$O$2:$O$1001&lt;&gt;"")*(실물목록!$O$2:$O$1001=H2319)))</f>
      </c>
      <c r="H2319" t="str">
        <f>IFERROR(IF(AND(LEN(SUBSTITUTE(SUBSTITUTE(SUBSTITUTE(TRIM(A2319&amp;""),CHAR(160),"")," ",""),"년",""))=4,VALUE(SUBSTITUTE(SUBSTITUTE(SUBSTITUTE(TRIM(A2319&amp;""),CHAR(160),"")," ",""),"년",""))&gt;=1900,VALUE(SUBSTITUTE(SUBSTITUTE(SUBSTITUTE(TRIM(A2319&amp;""),CHAR(160),"")," ",""),"년",""))&lt;=2099,TEXT(VALUE(SUBSTITUTE(SUBSTITUTE(SUBSTITUTE(TRIM(A2319&amp;""),CHAR(160),"")," ",""),"년","")),"0000")=SUBSTITUTE(SUBSTITUTE(SUBSTITUTE(TRIM(A2319&amp;""),CHAR(160),"")," ",""),"년","")),SUBSTITUTE(SUBSTITUTE(SUBSTITUTE(TRIM(A2319&amp;""),CHAR(160),"")," ",""),"년",""),""),"")</f>
      </c>
      <c r="I2319" t="str">
        <f>SUBSTITUTE(SUBSTITUTE(SUBSTITUTE(SUBSTITUTE(SUBSTITUTE(TRIM(B2319&amp;""),CHAR(160),"")," ",""),"초등학교","초"),"중학교","중"),"고등학교","고")</f>
      </c>
    </row>
    <row r="2320" customFormat="false" ht="15" hidden="false" customHeight="false" outlineLevel="0" collapsed="false">
      <c r="A2320" s="8"/>
      <c r="B2320" s="8"/>
      <c r="C2320" s="8"/>
      <c r="D2320" s="8"/>
      <c r="E2320" s="8"/>
      <c r="F2320" t="str" s="15">
        <f aca="0">IF(B2320="","",IF(H2320="","확인필요(입력누락)",IF(SUMPRODUCT((실물목록!$P$2:$P$1001&lt;&gt;"")*ISNUMBER(SEARCH(실물목록!$P$2:$P$1001,I2320))*(실물목록!$Q$2:$Q$1001&lt;&gt;"")*ISNUMBER(SEARCH(실물목록!$Q$2:$Q$1001,I2320))*(실물목록!$R$2:$R$1001="")*(실물목록!$O$2:$O$1001&lt;&gt;"")*(실물목록!$O$2:$O$1001=H2320))&gt;0,"실물 있음",IF(SUMPRODUCT((실물목록!$P$2:$P$1001&lt;&gt;"")*ISNUMBER(SEARCH(실물목록!$P$2:$P$1001,I2320))*(실물목록!$R$2:$R$1001&lt;&gt;""))&gt;0,"확인필요(입력누락)",IF(SUMPRODUCT((실물목록!$P$2:$P$1001&lt;&gt;"")*ISNUMBER(SEARCH(실물목록!$P$2:$P$1001,I2320))*(실물목록!$Q$2:$Q$1001&lt;&gt;"")*ISNUMBER(SEARCH(실물목록!$Q$2:$Q$1001,I2320))*(실물목록!$R$2:$R$1001="")*(실물목록!$O$2:$O$1001&lt;&gt;""))&gt;0,"확인필요(연도다름)","실물 없음")))))</f>
      </c>
      <c r="G2320" t="n" s="16">
        <f aca="0">IF(B2320="","",SUMPRODUCT((실물목록!$P$2:$P$1001&lt;&gt;"")*ISNUMBER(SEARCH(실물목록!$P$2:$P$1001,I2320))*(실물목록!$Q$2:$Q$1001&lt;&gt;"")*ISNUMBER(SEARCH(실물목록!$Q$2:$Q$1001,I2320))*(실물목록!$R$2:$R$1001="")*(실물목록!$O$2:$O$1001&lt;&gt;"")*(실물목록!$O$2:$O$1001=H2320)))</f>
      </c>
      <c r="H2320" t="str">
        <f>IFERROR(IF(AND(LEN(SUBSTITUTE(SUBSTITUTE(SUBSTITUTE(TRIM(A2320&amp;""),CHAR(160),"")," ",""),"년",""))=4,VALUE(SUBSTITUTE(SUBSTITUTE(SUBSTITUTE(TRIM(A2320&amp;""),CHAR(160),"")," ",""),"년",""))&gt;=1900,VALUE(SUBSTITUTE(SUBSTITUTE(SUBSTITUTE(TRIM(A2320&amp;""),CHAR(160),"")," ",""),"년",""))&lt;=2099,TEXT(VALUE(SUBSTITUTE(SUBSTITUTE(SUBSTITUTE(TRIM(A2320&amp;""),CHAR(160),"")," ",""),"년","")),"0000")=SUBSTITUTE(SUBSTITUTE(SUBSTITUTE(TRIM(A2320&amp;""),CHAR(160),"")," ",""),"년","")),SUBSTITUTE(SUBSTITUTE(SUBSTITUTE(TRIM(A2320&amp;""),CHAR(160),"")," ",""),"년",""),""),"")</f>
      </c>
      <c r="I2320" t="str">
        <f>SUBSTITUTE(SUBSTITUTE(SUBSTITUTE(SUBSTITUTE(SUBSTITUTE(TRIM(B2320&amp;""),CHAR(160),"")," ",""),"초등학교","초"),"중학교","중"),"고등학교","고")</f>
      </c>
    </row>
    <row r="2321" customFormat="false" ht="15" hidden="false" customHeight="false" outlineLevel="0" collapsed="false">
      <c r="A2321" s="8"/>
      <c r="B2321" s="8"/>
      <c r="C2321" s="8"/>
      <c r="D2321" s="8"/>
      <c r="E2321" s="8"/>
      <c r="F2321" t="str" s="15">
        <f aca="0">IF(B2321="","",IF(H2321="","확인필요(입력누락)",IF(SUMPRODUCT((실물목록!$P$2:$P$1001&lt;&gt;"")*ISNUMBER(SEARCH(실물목록!$P$2:$P$1001,I2321))*(실물목록!$Q$2:$Q$1001&lt;&gt;"")*ISNUMBER(SEARCH(실물목록!$Q$2:$Q$1001,I2321))*(실물목록!$R$2:$R$1001="")*(실물목록!$O$2:$O$1001&lt;&gt;"")*(실물목록!$O$2:$O$1001=H2321))&gt;0,"실물 있음",IF(SUMPRODUCT((실물목록!$P$2:$P$1001&lt;&gt;"")*ISNUMBER(SEARCH(실물목록!$P$2:$P$1001,I2321))*(실물목록!$R$2:$R$1001&lt;&gt;""))&gt;0,"확인필요(입력누락)",IF(SUMPRODUCT((실물목록!$P$2:$P$1001&lt;&gt;"")*ISNUMBER(SEARCH(실물목록!$P$2:$P$1001,I2321))*(실물목록!$Q$2:$Q$1001&lt;&gt;"")*ISNUMBER(SEARCH(실물목록!$Q$2:$Q$1001,I2321))*(실물목록!$R$2:$R$1001="")*(실물목록!$O$2:$O$1001&lt;&gt;""))&gt;0,"확인필요(연도다름)","실물 없음")))))</f>
      </c>
      <c r="G2321" t="n" s="16">
        <f aca="0">IF(B2321="","",SUMPRODUCT((실물목록!$P$2:$P$1001&lt;&gt;"")*ISNUMBER(SEARCH(실물목록!$P$2:$P$1001,I2321))*(실물목록!$Q$2:$Q$1001&lt;&gt;"")*ISNUMBER(SEARCH(실물목록!$Q$2:$Q$1001,I2321))*(실물목록!$R$2:$R$1001="")*(실물목록!$O$2:$O$1001&lt;&gt;"")*(실물목록!$O$2:$O$1001=H2321)))</f>
      </c>
      <c r="H2321" t="str">
        <f>IFERROR(IF(AND(LEN(SUBSTITUTE(SUBSTITUTE(SUBSTITUTE(TRIM(A2321&amp;""),CHAR(160),"")," ",""),"년",""))=4,VALUE(SUBSTITUTE(SUBSTITUTE(SUBSTITUTE(TRIM(A2321&amp;""),CHAR(160),"")," ",""),"년",""))&gt;=1900,VALUE(SUBSTITUTE(SUBSTITUTE(SUBSTITUTE(TRIM(A2321&amp;""),CHAR(160),"")," ",""),"년",""))&lt;=2099,TEXT(VALUE(SUBSTITUTE(SUBSTITUTE(SUBSTITUTE(TRIM(A2321&amp;""),CHAR(160),"")," ",""),"년","")),"0000")=SUBSTITUTE(SUBSTITUTE(SUBSTITUTE(TRIM(A2321&amp;""),CHAR(160),"")," ",""),"년","")),SUBSTITUTE(SUBSTITUTE(SUBSTITUTE(TRIM(A2321&amp;""),CHAR(160),"")," ",""),"년",""),""),"")</f>
      </c>
      <c r="I2321" t="str">
        <f>SUBSTITUTE(SUBSTITUTE(SUBSTITUTE(SUBSTITUTE(SUBSTITUTE(TRIM(B2321&amp;""),CHAR(160),"")," ",""),"초등학교","초"),"중학교","중"),"고등학교","고")</f>
      </c>
    </row>
    <row r="2322" customFormat="false" ht="15" hidden="false" customHeight="false" outlineLevel="0" collapsed="false">
      <c r="A2322" s="8"/>
      <c r="B2322" s="8"/>
      <c r="C2322" s="8"/>
      <c r="D2322" s="8"/>
      <c r="E2322" s="8"/>
      <c r="F2322" t="str" s="15">
        <f aca="0">IF(B2322="","",IF(H2322="","확인필요(입력누락)",IF(SUMPRODUCT((실물목록!$P$2:$P$1001&lt;&gt;"")*ISNUMBER(SEARCH(실물목록!$P$2:$P$1001,I2322))*(실물목록!$Q$2:$Q$1001&lt;&gt;"")*ISNUMBER(SEARCH(실물목록!$Q$2:$Q$1001,I2322))*(실물목록!$R$2:$R$1001="")*(실물목록!$O$2:$O$1001&lt;&gt;"")*(실물목록!$O$2:$O$1001=H2322))&gt;0,"실물 있음",IF(SUMPRODUCT((실물목록!$P$2:$P$1001&lt;&gt;"")*ISNUMBER(SEARCH(실물목록!$P$2:$P$1001,I2322))*(실물목록!$R$2:$R$1001&lt;&gt;""))&gt;0,"확인필요(입력누락)",IF(SUMPRODUCT((실물목록!$P$2:$P$1001&lt;&gt;"")*ISNUMBER(SEARCH(실물목록!$P$2:$P$1001,I2322))*(실물목록!$Q$2:$Q$1001&lt;&gt;"")*ISNUMBER(SEARCH(실물목록!$Q$2:$Q$1001,I2322))*(실물목록!$R$2:$R$1001="")*(실물목록!$O$2:$O$1001&lt;&gt;""))&gt;0,"확인필요(연도다름)","실물 없음")))))</f>
      </c>
      <c r="G2322" t="n" s="16">
        <f aca="0">IF(B2322="","",SUMPRODUCT((실물목록!$P$2:$P$1001&lt;&gt;"")*ISNUMBER(SEARCH(실물목록!$P$2:$P$1001,I2322))*(실물목록!$Q$2:$Q$1001&lt;&gt;"")*ISNUMBER(SEARCH(실물목록!$Q$2:$Q$1001,I2322))*(실물목록!$R$2:$R$1001="")*(실물목록!$O$2:$O$1001&lt;&gt;"")*(실물목록!$O$2:$O$1001=H2322)))</f>
      </c>
      <c r="H2322" t="str">
        <f>IFERROR(IF(AND(LEN(SUBSTITUTE(SUBSTITUTE(SUBSTITUTE(TRIM(A2322&amp;""),CHAR(160),"")," ",""),"년",""))=4,VALUE(SUBSTITUTE(SUBSTITUTE(SUBSTITUTE(TRIM(A2322&amp;""),CHAR(160),"")," ",""),"년",""))&gt;=1900,VALUE(SUBSTITUTE(SUBSTITUTE(SUBSTITUTE(TRIM(A2322&amp;""),CHAR(160),"")," ",""),"년",""))&lt;=2099,TEXT(VALUE(SUBSTITUTE(SUBSTITUTE(SUBSTITUTE(TRIM(A2322&amp;""),CHAR(160),"")," ",""),"년","")),"0000")=SUBSTITUTE(SUBSTITUTE(SUBSTITUTE(TRIM(A2322&amp;""),CHAR(160),"")," ",""),"년","")),SUBSTITUTE(SUBSTITUTE(SUBSTITUTE(TRIM(A2322&amp;""),CHAR(160),"")," ",""),"년",""),""),"")</f>
      </c>
      <c r="I2322" t="str">
        <f>SUBSTITUTE(SUBSTITUTE(SUBSTITUTE(SUBSTITUTE(SUBSTITUTE(TRIM(B2322&amp;""),CHAR(160),"")," ",""),"초등학교","초"),"중학교","중"),"고등학교","고")</f>
      </c>
    </row>
    <row r="2323" customFormat="false" ht="15" hidden="false" customHeight="false" outlineLevel="0" collapsed="false">
      <c r="A2323" s="8"/>
      <c r="B2323" s="8"/>
      <c r="C2323" s="8"/>
      <c r="D2323" s="8"/>
      <c r="E2323" s="8"/>
      <c r="F2323" t="str" s="15">
        <f aca="0">IF(B2323="","",IF(H2323="","확인필요(입력누락)",IF(SUMPRODUCT((실물목록!$P$2:$P$1001&lt;&gt;"")*ISNUMBER(SEARCH(실물목록!$P$2:$P$1001,I2323))*(실물목록!$Q$2:$Q$1001&lt;&gt;"")*ISNUMBER(SEARCH(실물목록!$Q$2:$Q$1001,I2323))*(실물목록!$R$2:$R$1001="")*(실물목록!$O$2:$O$1001&lt;&gt;"")*(실물목록!$O$2:$O$1001=H2323))&gt;0,"실물 있음",IF(SUMPRODUCT((실물목록!$P$2:$P$1001&lt;&gt;"")*ISNUMBER(SEARCH(실물목록!$P$2:$P$1001,I2323))*(실물목록!$R$2:$R$1001&lt;&gt;""))&gt;0,"확인필요(입력누락)",IF(SUMPRODUCT((실물목록!$P$2:$P$1001&lt;&gt;"")*ISNUMBER(SEARCH(실물목록!$P$2:$P$1001,I2323))*(실물목록!$Q$2:$Q$1001&lt;&gt;"")*ISNUMBER(SEARCH(실물목록!$Q$2:$Q$1001,I2323))*(실물목록!$R$2:$R$1001="")*(실물목록!$O$2:$O$1001&lt;&gt;""))&gt;0,"확인필요(연도다름)","실물 없음")))))</f>
      </c>
      <c r="G2323" t="n" s="16">
        <f aca="0">IF(B2323="","",SUMPRODUCT((실물목록!$P$2:$P$1001&lt;&gt;"")*ISNUMBER(SEARCH(실물목록!$P$2:$P$1001,I2323))*(실물목록!$Q$2:$Q$1001&lt;&gt;"")*ISNUMBER(SEARCH(실물목록!$Q$2:$Q$1001,I2323))*(실물목록!$R$2:$R$1001="")*(실물목록!$O$2:$O$1001&lt;&gt;"")*(실물목록!$O$2:$O$1001=H2323)))</f>
      </c>
      <c r="H2323" t="str">
        <f>IFERROR(IF(AND(LEN(SUBSTITUTE(SUBSTITUTE(SUBSTITUTE(TRIM(A2323&amp;""),CHAR(160),"")," ",""),"년",""))=4,VALUE(SUBSTITUTE(SUBSTITUTE(SUBSTITUTE(TRIM(A2323&amp;""),CHAR(160),"")," ",""),"년",""))&gt;=1900,VALUE(SUBSTITUTE(SUBSTITUTE(SUBSTITUTE(TRIM(A2323&amp;""),CHAR(160),"")," ",""),"년",""))&lt;=2099,TEXT(VALUE(SUBSTITUTE(SUBSTITUTE(SUBSTITUTE(TRIM(A2323&amp;""),CHAR(160),"")," ",""),"년","")),"0000")=SUBSTITUTE(SUBSTITUTE(SUBSTITUTE(TRIM(A2323&amp;""),CHAR(160),"")," ",""),"년","")),SUBSTITUTE(SUBSTITUTE(SUBSTITUTE(TRIM(A2323&amp;""),CHAR(160),"")," ",""),"년",""),""),"")</f>
      </c>
      <c r="I2323" t="str">
        <f>SUBSTITUTE(SUBSTITUTE(SUBSTITUTE(SUBSTITUTE(SUBSTITUTE(TRIM(B2323&amp;""),CHAR(160),"")," ",""),"초등학교","초"),"중학교","중"),"고등학교","고")</f>
      </c>
    </row>
    <row r="2324" customFormat="false" ht="15" hidden="false" customHeight="false" outlineLevel="0" collapsed="false">
      <c r="A2324" s="8"/>
      <c r="B2324" s="8"/>
      <c r="C2324" s="8"/>
      <c r="D2324" s="8"/>
      <c r="E2324" s="8"/>
      <c r="F2324" t="str" s="15">
        <f aca="0">IF(B2324="","",IF(H2324="","확인필요(입력누락)",IF(SUMPRODUCT((실물목록!$P$2:$P$1001&lt;&gt;"")*ISNUMBER(SEARCH(실물목록!$P$2:$P$1001,I2324))*(실물목록!$Q$2:$Q$1001&lt;&gt;"")*ISNUMBER(SEARCH(실물목록!$Q$2:$Q$1001,I2324))*(실물목록!$R$2:$R$1001="")*(실물목록!$O$2:$O$1001&lt;&gt;"")*(실물목록!$O$2:$O$1001=H2324))&gt;0,"실물 있음",IF(SUMPRODUCT((실물목록!$P$2:$P$1001&lt;&gt;"")*ISNUMBER(SEARCH(실물목록!$P$2:$P$1001,I2324))*(실물목록!$R$2:$R$1001&lt;&gt;""))&gt;0,"확인필요(입력누락)",IF(SUMPRODUCT((실물목록!$P$2:$P$1001&lt;&gt;"")*ISNUMBER(SEARCH(실물목록!$P$2:$P$1001,I2324))*(실물목록!$Q$2:$Q$1001&lt;&gt;"")*ISNUMBER(SEARCH(실물목록!$Q$2:$Q$1001,I2324))*(실물목록!$R$2:$R$1001="")*(실물목록!$O$2:$O$1001&lt;&gt;""))&gt;0,"확인필요(연도다름)","실물 없음")))))</f>
      </c>
      <c r="G2324" t="n" s="16">
        <f aca="0">IF(B2324="","",SUMPRODUCT((실물목록!$P$2:$P$1001&lt;&gt;"")*ISNUMBER(SEARCH(실물목록!$P$2:$P$1001,I2324))*(실물목록!$Q$2:$Q$1001&lt;&gt;"")*ISNUMBER(SEARCH(실물목록!$Q$2:$Q$1001,I2324))*(실물목록!$R$2:$R$1001="")*(실물목록!$O$2:$O$1001&lt;&gt;"")*(실물목록!$O$2:$O$1001=H2324)))</f>
      </c>
      <c r="H2324" t="str">
        <f>IFERROR(IF(AND(LEN(SUBSTITUTE(SUBSTITUTE(SUBSTITUTE(TRIM(A2324&amp;""),CHAR(160),"")," ",""),"년",""))=4,VALUE(SUBSTITUTE(SUBSTITUTE(SUBSTITUTE(TRIM(A2324&amp;""),CHAR(160),"")," ",""),"년",""))&gt;=1900,VALUE(SUBSTITUTE(SUBSTITUTE(SUBSTITUTE(TRIM(A2324&amp;""),CHAR(160),"")," ",""),"년",""))&lt;=2099,TEXT(VALUE(SUBSTITUTE(SUBSTITUTE(SUBSTITUTE(TRIM(A2324&amp;""),CHAR(160),"")," ",""),"년","")),"0000")=SUBSTITUTE(SUBSTITUTE(SUBSTITUTE(TRIM(A2324&amp;""),CHAR(160),"")," ",""),"년","")),SUBSTITUTE(SUBSTITUTE(SUBSTITUTE(TRIM(A2324&amp;""),CHAR(160),"")," ",""),"년",""),""),"")</f>
      </c>
      <c r="I2324" t="str">
        <f>SUBSTITUTE(SUBSTITUTE(SUBSTITUTE(SUBSTITUTE(SUBSTITUTE(TRIM(B2324&amp;""),CHAR(160),"")," ",""),"초등학교","초"),"중학교","중"),"고등학교","고")</f>
      </c>
    </row>
    <row r="2325" customFormat="false" ht="15" hidden="false" customHeight="false" outlineLevel="0" collapsed="false">
      <c r="A2325" s="8"/>
      <c r="B2325" s="8"/>
      <c r="C2325" s="8"/>
      <c r="D2325" s="8"/>
      <c r="E2325" s="8"/>
      <c r="F2325" t="str" s="15">
        <f aca="0">IF(B2325="","",IF(H2325="","확인필요(입력누락)",IF(SUMPRODUCT((실물목록!$P$2:$P$1001&lt;&gt;"")*ISNUMBER(SEARCH(실물목록!$P$2:$P$1001,I2325))*(실물목록!$Q$2:$Q$1001&lt;&gt;"")*ISNUMBER(SEARCH(실물목록!$Q$2:$Q$1001,I2325))*(실물목록!$R$2:$R$1001="")*(실물목록!$O$2:$O$1001&lt;&gt;"")*(실물목록!$O$2:$O$1001=H2325))&gt;0,"실물 있음",IF(SUMPRODUCT((실물목록!$P$2:$P$1001&lt;&gt;"")*ISNUMBER(SEARCH(실물목록!$P$2:$P$1001,I2325))*(실물목록!$R$2:$R$1001&lt;&gt;""))&gt;0,"확인필요(입력누락)",IF(SUMPRODUCT((실물목록!$P$2:$P$1001&lt;&gt;"")*ISNUMBER(SEARCH(실물목록!$P$2:$P$1001,I2325))*(실물목록!$Q$2:$Q$1001&lt;&gt;"")*ISNUMBER(SEARCH(실물목록!$Q$2:$Q$1001,I2325))*(실물목록!$R$2:$R$1001="")*(실물목록!$O$2:$O$1001&lt;&gt;""))&gt;0,"확인필요(연도다름)","실물 없음")))))</f>
      </c>
      <c r="G2325" t="n" s="16">
        <f aca="0">IF(B2325="","",SUMPRODUCT((실물목록!$P$2:$P$1001&lt;&gt;"")*ISNUMBER(SEARCH(실물목록!$P$2:$P$1001,I2325))*(실물목록!$Q$2:$Q$1001&lt;&gt;"")*ISNUMBER(SEARCH(실물목록!$Q$2:$Q$1001,I2325))*(실물목록!$R$2:$R$1001="")*(실물목록!$O$2:$O$1001&lt;&gt;"")*(실물목록!$O$2:$O$1001=H2325)))</f>
      </c>
      <c r="H2325" t="str">
        <f>IFERROR(IF(AND(LEN(SUBSTITUTE(SUBSTITUTE(SUBSTITUTE(TRIM(A2325&amp;""),CHAR(160),"")," ",""),"년",""))=4,VALUE(SUBSTITUTE(SUBSTITUTE(SUBSTITUTE(TRIM(A2325&amp;""),CHAR(160),"")," ",""),"년",""))&gt;=1900,VALUE(SUBSTITUTE(SUBSTITUTE(SUBSTITUTE(TRIM(A2325&amp;""),CHAR(160),"")," ",""),"년",""))&lt;=2099,TEXT(VALUE(SUBSTITUTE(SUBSTITUTE(SUBSTITUTE(TRIM(A2325&amp;""),CHAR(160),"")," ",""),"년","")),"0000")=SUBSTITUTE(SUBSTITUTE(SUBSTITUTE(TRIM(A2325&amp;""),CHAR(160),"")," ",""),"년","")),SUBSTITUTE(SUBSTITUTE(SUBSTITUTE(TRIM(A2325&amp;""),CHAR(160),"")," ",""),"년",""),""),"")</f>
      </c>
      <c r="I2325" t="str">
        <f>SUBSTITUTE(SUBSTITUTE(SUBSTITUTE(SUBSTITUTE(SUBSTITUTE(TRIM(B2325&amp;""),CHAR(160),"")," ",""),"초등학교","초"),"중학교","중"),"고등학교","고")</f>
      </c>
    </row>
    <row r="2326" customFormat="false" ht="15" hidden="false" customHeight="false" outlineLevel="0" collapsed="false">
      <c r="A2326" s="8"/>
      <c r="B2326" s="8"/>
      <c r="C2326" s="8"/>
      <c r="D2326" s="8"/>
      <c r="E2326" s="8"/>
      <c r="F2326" t="str" s="15">
        <f aca="0">IF(B2326="","",IF(H2326="","확인필요(입력누락)",IF(SUMPRODUCT((실물목록!$P$2:$P$1001&lt;&gt;"")*ISNUMBER(SEARCH(실물목록!$P$2:$P$1001,I2326))*(실물목록!$Q$2:$Q$1001&lt;&gt;"")*ISNUMBER(SEARCH(실물목록!$Q$2:$Q$1001,I2326))*(실물목록!$R$2:$R$1001="")*(실물목록!$O$2:$O$1001&lt;&gt;"")*(실물목록!$O$2:$O$1001=H2326))&gt;0,"실물 있음",IF(SUMPRODUCT((실물목록!$P$2:$P$1001&lt;&gt;"")*ISNUMBER(SEARCH(실물목록!$P$2:$P$1001,I2326))*(실물목록!$R$2:$R$1001&lt;&gt;""))&gt;0,"확인필요(입력누락)",IF(SUMPRODUCT((실물목록!$P$2:$P$1001&lt;&gt;"")*ISNUMBER(SEARCH(실물목록!$P$2:$P$1001,I2326))*(실물목록!$Q$2:$Q$1001&lt;&gt;"")*ISNUMBER(SEARCH(실물목록!$Q$2:$Q$1001,I2326))*(실물목록!$R$2:$R$1001="")*(실물목록!$O$2:$O$1001&lt;&gt;""))&gt;0,"확인필요(연도다름)","실물 없음")))))</f>
      </c>
      <c r="G2326" t="n" s="16">
        <f aca="0">IF(B2326="","",SUMPRODUCT((실물목록!$P$2:$P$1001&lt;&gt;"")*ISNUMBER(SEARCH(실물목록!$P$2:$P$1001,I2326))*(실물목록!$Q$2:$Q$1001&lt;&gt;"")*ISNUMBER(SEARCH(실물목록!$Q$2:$Q$1001,I2326))*(실물목록!$R$2:$R$1001="")*(실물목록!$O$2:$O$1001&lt;&gt;"")*(실물목록!$O$2:$O$1001=H2326)))</f>
      </c>
      <c r="H2326" t="str">
        <f>IFERROR(IF(AND(LEN(SUBSTITUTE(SUBSTITUTE(SUBSTITUTE(TRIM(A2326&amp;""),CHAR(160),"")," ",""),"년",""))=4,VALUE(SUBSTITUTE(SUBSTITUTE(SUBSTITUTE(TRIM(A2326&amp;""),CHAR(160),"")," ",""),"년",""))&gt;=1900,VALUE(SUBSTITUTE(SUBSTITUTE(SUBSTITUTE(TRIM(A2326&amp;""),CHAR(160),"")," ",""),"년",""))&lt;=2099,TEXT(VALUE(SUBSTITUTE(SUBSTITUTE(SUBSTITUTE(TRIM(A2326&amp;""),CHAR(160),"")," ",""),"년","")),"0000")=SUBSTITUTE(SUBSTITUTE(SUBSTITUTE(TRIM(A2326&amp;""),CHAR(160),"")," ",""),"년","")),SUBSTITUTE(SUBSTITUTE(SUBSTITUTE(TRIM(A2326&amp;""),CHAR(160),"")," ",""),"년",""),""),"")</f>
      </c>
      <c r="I2326" t="str">
        <f>SUBSTITUTE(SUBSTITUTE(SUBSTITUTE(SUBSTITUTE(SUBSTITUTE(TRIM(B2326&amp;""),CHAR(160),"")," ",""),"초등학교","초"),"중학교","중"),"고등학교","고")</f>
      </c>
    </row>
    <row r="2327" customFormat="false" ht="15" hidden="false" customHeight="false" outlineLevel="0" collapsed="false">
      <c r="A2327" s="8"/>
      <c r="B2327" s="8"/>
      <c r="C2327" s="8"/>
      <c r="D2327" s="8"/>
      <c r="E2327" s="8"/>
      <c r="F2327" t="str" s="15">
        <f aca="0">IF(B2327="","",IF(H2327="","확인필요(입력누락)",IF(SUMPRODUCT((실물목록!$P$2:$P$1001&lt;&gt;"")*ISNUMBER(SEARCH(실물목록!$P$2:$P$1001,I2327))*(실물목록!$Q$2:$Q$1001&lt;&gt;"")*ISNUMBER(SEARCH(실물목록!$Q$2:$Q$1001,I2327))*(실물목록!$R$2:$R$1001="")*(실물목록!$O$2:$O$1001&lt;&gt;"")*(실물목록!$O$2:$O$1001=H2327))&gt;0,"실물 있음",IF(SUMPRODUCT((실물목록!$P$2:$P$1001&lt;&gt;"")*ISNUMBER(SEARCH(실물목록!$P$2:$P$1001,I2327))*(실물목록!$R$2:$R$1001&lt;&gt;""))&gt;0,"확인필요(입력누락)",IF(SUMPRODUCT((실물목록!$P$2:$P$1001&lt;&gt;"")*ISNUMBER(SEARCH(실물목록!$P$2:$P$1001,I2327))*(실물목록!$Q$2:$Q$1001&lt;&gt;"")*ISNUMBER(SEARCH(실물목록!$Q$2:$Q$1001,I2327))*(실물목록!$R$2:$R$1001="")*(실물목록!$O$2:$O$1001&lt;&gt;""))&gt;0,"확인필요(연도다름)","실물 없음")))))</f>
      </c>
      <c r="G2327" t="n" s="16">
        <f aca="0">IF(B2327="","",SUMPRODUCT((실물목록!$P$2:$P$1001&lt;&gt;"")*ISNUMBER(SEARCH(실물목록!$P$2:$P$1001,I2327))*(실물목록!$Q$2:$Q$1001&lt;&gt;"")*ISNUMBER(SEARCH(실물목록!$Q$2:$Q$1001,I2327))*(실물목록!$R$2:$R$1001="")*(실물목록!$O$2:$O$1001&lt;&gt;"")*(실물목록!$O$2:$O$1001=H2327)))</f>
      </c>
      <c r="H2327" t="str">
        <f>IFERROR(IF(AND(LEN(SUBSTITUTE(SUBSTITUTE(SUBSTITUTE(TRIM(A2327&amp;""),CHAR(160),"")," ",""),"년",""))=4,VALUE(SUBSTITUTE(SUBSTITUTE(SUBSTITUTE(TRIM(A2327&amp;""),CHAR(160),"")," ",""),"년",""))&gt;=1900,VALUE(SUBSTITUTE(SUBSTITUTE(SUBSTITUTE(TRIM(A2327&amp;""),CHAR(160),"")," ",""),"년",""))&lt;=2099,TEXT(VALUE(SUBSTITUTE(SUBSTITUTE(SUBSTITUTE(TRIM(A2327&amp;""),CHAR(160),"")," ",""),"년","")),"0000")=SUBSTITUTE(SUBSTITUTE(SUBSTITUTE(TRIM(A2327&amp;""),CHAR(160),"")," ",""),"년","")),SUBSTITUTE(SUBSTITUTE(SUBSTITUTE(TRIM(A2327&amp;""),CHAR(160),"")," ",""),"년",""),""),"")</f>
      </c>
      <c r="I2327" t="str">
        <f>SUBSTITUTE(SUBSTITUTE(SUBSTITUTE(SUBSTITUTE(SUBSTITUTE(TRIM(B2327&amp;""),CHAR(160),"")," ",""),"초등학교","초"),"중학교","중"),"고등학교","고")</f>
      </c>
    </row>
    <row r="2328" customFormat="false" ht="15" hidden="false" customHeight="false" outlineLevel="0" collapsed="false">
      <c r="A2328" s="8"/>
      <c r="B2328" s="8"/>
      <c r="C2328" s="8"/>
      <c r="D2328" s="8"/>
      <c r="E2328" s="8"/>
      <c r="F2328" t="str" s="15">
        <f aca="0">IF(B2328="","",IF(H2328="","확인필요(입력누락)",IF(SUMPRODUCT((실물목록!$P$2:$P$1001&lt;&gt;"")*ISNUMBER(SEARCH(실물목록!$P$2:$P$1001,I2328))*(실물목록!$Q$2:$Q$1001&lt;&gt;"")*ISNUMBER(SEARCH(실물목록!$Q$2:$Q$1001,I2328))*(실물목록!$R$2:$R$1001="")*(실물목록!$O$2:$O$1001&lt;&gt;"")*(실물목록!$O$2:$O$1001=H2328))&gt;0,"실물 있음",IF(SUMPRODUCT((실물목록!$P$2:$P$1001&lt;&gt;"")*ISNUMBER(SEARCH(실물목록!$P$2:$P$1001,I2328))*(실물목록!$R$2:$R$1001&lt;&gt;""))&gt;0,"확인필요(입력누락)",IF(SUMPRODUCT((실물목록!$P$2:$P$1001&lt;&gt;"")*ISNUMBER(SEARCH(실물목록!$P$2:$P$1001,I2328))*(실물목록!$Q$2:$Q$1001&lt;&gt;"")*ISNUMBER(SEARCH(실물목록!$Q$2:$Q$1001,I2328))*(실물목록!$R$2:$R$1001="")*(실물목록!$O$2:$O$1001&lt;&gt;""))&gt;0,"확인필요(연도다름)","실물 없음")))))</f>
      </c>
      <c r="G2328" t="n" s="16">
        <f aca="0">IF(B2328="","",SUMPRODUCT((실물목록!$P$2:$P$1001&lt;&gt;"")*ISNUMBER(SEARCH(실물목록!$P$2:$P$1001,I2328))*(실물목록!$Q$2:$Q$1001&lt;&gt;"")*ISNUMBER(SEARCH(실물목록!$Q$2:$Q$1001,I2328))*(실물목록!$R$2:$R$1001="")*(실물목록!$O$2:$O$1001&lt;&gt;"")*(실물목록!$O$2:$O$1001=H2328)))</f>
      </c>
      <c r="H2328" t="str">
        <f>IFERROR(IF(AND(LEN(SUBSTITUTE(SUBSTITUTE(SUBSTITUTE(TRIM(A2328&amp;""),CHAR(160),"")," ",""),"년",""))=4,VALUE(SUBSTITUTE(SUBSTITUTE(SUBSTITUTE(TRIM(A2328&amp;""),CHAR(160),"")," ",""),"년",""))&gt;=1900,VALUE(SUBSTITUTE(SUBSTITUTE(SUBSTITUTE(TRIM(A2328&amp;""),CHAR(160),"")," ",""),"년",""))&lt;=2099,TEXT(VALUE(SUBSTITUTE(SUBSTITUTE(SUBSTITUTE(TRIM(A2328&amp;""),CHAR(160),"")," ",""),"년","")),"0000")=SUBSTITUTE(SUBSTITUTE(SUBSTITUTE(TRIM(A2328&amp;""),CHAR(160),"")," ",""),"년","")),SUBSTITUTE(SUBSTITUTE(SUBSTITUTE(TRIM(A2328&amp;""),CHAR(160),"")," ",""),"년",""),""),"")</f>
      </c>
      <c r="I2328" t="str">
        <f>SUBSTITUTE(SUBSTITUTE(SUBSTITUTE(SUBSTITUTE(SUBSTITUTE(TRIM(B2328&amp;""),CHAR(160),"")," ",""),"초등학교","초"),"중학교","중"),"고등학교","고")</f>
      </c>
    </row>
    <row r="2329" customFormat="false" ht="15" hidden="false" customHeight="false" outlineLevel="0" collapsed="false">
      <c r="A2329" s="8"/>
      <c r="B2329" s="8"/>
      <c r="C2329" s="8"/>
      <c r="D2329" s="8"/>
      <c r="E2329" s="8"/>
      <c r="F2329" t="str" s="15">
        <f aca="0">IF(B2329="","",IF(H2329="","확인필요(입력누락)",IF(SUMPRODUCT((실물목록!$P$2:$P$1001&lt;&gt;"")*ISNUMBER(SEARCH(실물목록!$P$2:$P$1001,I2329))*(실물목록!$Q$2:$Q$1001&lt;&gt;"")*ISNUMBER(SEARCH(실물목록!$Q$2:$Q$1001,I2329))*(실물목록!$R$2:$R$1001="")*(실물목록!$O$2:$O$1001&lt;&gt;"")*(실물목록!$O$2:$O$1001=H2329))&gt;0,"실물 있음",IF(SUMPRODUCT((실물목록!$P$2:$P$1001&lt;&gt;"")*ISNUMBER(SEARCH(실물목록!$P$2:$P$1001,I2329))*(실물목록!$R$2:$R$1001&lt;&gt;""))&gt;0,"확인필요(입력누락)",IF(SUMPRODUCT((실물목록!$P$2:$P$1001&lt;&gt;"")*ISNUMBER(SEARCH(실물목록!$P$2:$P$1001,I2329))*(실물목록!$Q$2:$Q$1001&lt;&gt;"")*ISNUMBER(SEARCH(실물목록!$Q$2:$Q$1001,I2329))*(실물목록!$R$2:$R$1001="")*(실물목록!$O$2:$O$1001&lt;&gt;""))&gt;0,"확인필요(연도다름)","실물 없음")))))</f>
      </c>
      <c r="G2329" t="n" s="16">
        <f aca="0">IF(B2329="","",SUMPRODUCT((실물목록!$P$2:$P$1001&lt;&gt;"")*ISNUMBER(SEARCH(실물목록!$P$2:$P$1001,I2329))*(실물목록!$Q$2:$Q$1001&lt;&gt;"")*ISNUMBER(SEARCH(실물목록!$Q$2:$Q$1001,I2329))*(실물목록!$R$2:$R$1001="")*(실물목록!$O$2:$O$1001&lt;&gt;"")*(실물목록!$O$2:$O$1001=H2329)))</f>
      </c>
      <c r="H2329" t="str">
        <f>IFERROR(IF(AND(LEN(SUBSTITUTE(SUBSTITUTE(SUBSTITUTE(TRIM(A2329&amp;""),CHAR(160),"")," ",""),"년",""))=4,VALUE(SUBSTITUTE(SUBSTITUTE(SUBSTITUTE(TRIM(A2329&amp;""),CHAR(160),"")," ",""),"년",""))&gt;=1900,VALUE(SUBSTITUTE(SUBSTITUTE(SUBSTITUTE(TRIM(A2329&amp;""),CHAR(160),"")," ",""),"년",""))&lt;=2099,TEXT(VALUE(SUBSTITUTE(SUBSTITUTE(SUBSTITUTE(TRIM(A2329&amp;""),CHAR(160),"")," ",""),"년","")),"0000")=SUBSTITUTE(SUBSTITUTE(SUBSTITUTE(TRIM(A2329&amp;""),CHAR(160),"")," ",""),"년","")),SUBSTITUTE(SUBSTITUTE(SUBSTITUTE(TRIM(A2329&amp;""),CHAR(160),"")," ",""),"년",""),""),"")</f>
      </c>
      <c r="I2329" t="str">
        <f>SUBSTITUTE(SUBSTITUTE(SUBSTITUTE(SUBSTITUTE(SUBSTITUTE(TRIM(B2329&amp;""),CHAR(160),"")," ",""),"초등학교","초"),"중학교","중"),"고등학교","고")</f>
      </c>
    </row>
    <row r="2330" customFormat="false" ht="15" hidden="false" customHeight="false" outlineLevel="0" collapsed="false">
      <c r="A2330" s="8"/>
      <c r="B2330" s="8"/>
      <c r="C2330" s="8"/>
      <c r="D2330" s="8"/>
      <c r="E2330" s="8"/>
      <c r="F2330" t="str" s="15">
        <f aca="0">IF(B2330="","",IF(H2330="","확인필요(입력누락)",IF(SUMPRODUCT((실물목록!$P$2:$P$1001&lt;&gt;"")*ISNUMBER(SEARCH(실물목록!$P$2:$P$1001,I2330))*(실물목록!$Q$2:$Q$1001&lt;&gt;"")*ISNUMBER(SEARCH(실물목록!$Q$2:$Q$1001,I2330))*(실물목록!$R$2:$R$1001="")*(실물목록!$O$2:$O$1001&lt;&gt;"")*(실물목록!$O$2:$O$1001=H2330))&gt;0,"실물 있음",IF(SUMPRODUCT((실물목록!$P$2:$P$1001&lt;&gt;"")*ISNUMBER(SEARCH(실물목록!$P$2:$P$1001,I2330))*(실물목록!$R$2:$R$1001&lt;&gt;""))&gt;0,"확인필요(입력누락)",IF(SUMPRODUCT((실물목록!$P$2:$P$1001&lt;&gt;"")*ISNUMBER(SEARCH(실물목록!$P$2:$P$1001,I2330))*(실물목록!$Q$2:$Q$1001&lt;&gt;"")*ISNUMBER(SEARCH(실물목록!$Q$2:$Q$1001,I2330))*(실물목록!$R$2:$R$1001="")*(실물목록!$O$2:$O$1001&lt;&gt;""))&gt;0,"확인필요(연도다름)","실물 없음")))))</f>
      </c>
      <c r="G2330" t="n" s="16">
        <f aca="0">IF(B2330="","",SUMPRODUCT((실물목록!$P$2:$P$1001&lt;&gt;"")*ISNUMBER(SEARCH(실물목록!$P$2:$P$1001,I2330))*(실물목록!$Q$2:$Q$1001&lt;&gt;"")*ISNUMBER(SEARCH(실물목록!$Q$2:$Q$1001,I2330))*(실물목록!$R$2:$R$1001="")*(실물목록!$O$2:$O$1001&lt;&gt;"")*(실물목록!$O$2:$O$1001=H2330)))</f>
      </c>
      <c r="H2330" t="str">
        <f>IFERROR(IF(AND(LEN(SUBSTITUTE(SUBSTITUTE(SUBSTITUTE(TRIM(A2330&amp;""),CHAR(160),"")," ",""),"년",""))=4,VALUE(SUBSTITUTE(SUBSTITUTE(SUBSTITUTE(TRIM(A2330&amp;""),CHAR(160),"")," ",""),"년",""))&gt;=1900,VALUE(SUBSTITUTE(SUBSTITUTE(SUBSTITUTE(TRIM(A2330&amp;""),CHAR(160),"")," ",""),"년",""))&lt;=2099,TEXT(VALUE(SUBSTITUTE(SUBSTITUTE(SUBSTITUTE(TRIM(A2330&amp;""),CHAR(160),"")," ",""),"년","")),"0000")=SUBSTITUTE(SUBSTITUTE(SUBSTITUTE(TRIM(A2330&amp;""),CHAR(160),"")," ",""),"년","")),SUBSTITUTE(SUBSTITUTE(SUBSTITUTE(TRIM(A2330&amp;""),CHAR(160),"")," ",""),"년",""),""),"")</f>
      </c>
      <c r="I2330" t="str">
        <f>SUBSTITUTE(SUBSTITUTE(SUBSTITUTE(SUBSTITUTE(SUBSTITUTE(TRIM(B2330&amp;""),CHAR(160),"")," ",""),"초등학교","초"),"중학교","중"),"고등학교","고")</f>
      </c>
    </row>
    <row r="2331" customFormat="false" ht="15" hidden="false" customHeight="false" outlineLevel="0" collapsed="false">
      <c r="A2331" s="8"/>
      <c r="B2331" s="8"/>
      <c r="C2331" s="8"/>
      <c r="D2331" s="8"/>
      <c r="E2331" s="8"/>
      <c r="F2331" t="str" s="15">
        <f aca="0">IF(B2331="","",IF(H2331="","확인필요(입력누락)",IF(SUMPRODUCT((실물목록!$P$2:$P$1001&lt;&gt;"")*ISNUMBER(SEARCH(실물목록!$P$2:$P$1001,I2331))*(실물목록!$Q$2:$Q$1001&lt;&gt;"")*ISNUMBER(SEARCH(실물목록!$Q$2:$Q$1001,I2331))*(실물목록!$R$2:$R$1001="")*(실물목록!$O$2:$O$1001&lt;&gt;"")*(실물목록!$O$2:$O$1001=H2331))&gt;0,"실물 있음",IF(SUMPRODUCT((실물목록!$P$2:$P$1001&lt;&gt;"")*ISNUMBER(SEARCH(실물목록!$P$2:$P$1001,I2331))*(실물목록!$R$2:$R$1001&lt;&gt;""))&gt;0,"확인필요(입력누락)",IF(SUMPRODUCT((실물목록!$P$2:$P$1001&lt;&gt;"")*ISNUMBER(SEARCH(실물목록!$P$2:$P$1001,I2331))*(실물목록!$Q$2:$Q$1001&lt;&gt;"")*ISNUMBER(SEARCH(실물목록!$Q$2:$Q$1001,I2331))*(실물목록!$R$2:$R$1001="")*(실물목록!$O$2:$O$1001&lt;&gt;""))&gt;0,"확인필요(연도다름)","실물 없음")))))</f>
      </c>
      <c r="G2331" t="n" s="16">
        <f aca="0">IF(B2331="","",SUMPRODUCT((실물목록!$P$2:$P$1001&lt;&gt;"")*ISNUMBER(SEARCH(실물목록!$P$2:$P$1001,I2331))*(실물목록!$Q$2:$Q$1001&lt;&gt;"")*ISNUMBER(SEARCH(실물목록!$Q$2:$Q$1001,I2331))*(실물목록!$R$2:$R$1001="")*(실물목록!$O$2:$O$1001&lt;&gt;"")*(실물목록!$O$2:$O$1001=H2331)))</f>
      </c>
      <c r="H2331" t="str">
        <f>IFERROR(IF(AND(LEN(SUBSTITUTE(SUBSTITUTE(SUBSTITUTE(TRIM(A2331&amp;""),CHAR(160),"")," ",""),"년",""))=4,VALUE(SUBSTITUTE(SUBSTITUTE(SUBSTITUTE(TRIM(A2331&amp;""),CHAR(160),"")," ",""),"년",""))&gt;=1900,VALUE(SUBSTITUTE(SUBSTITUTE(SUBSTITUTE(TRIM(A2331&amp;""),CHAR(160),"")," ",""),"년",""))&lt;=2099,TEXT(VALUE(SUBSTITUTE(SUBSTITUTE(SUBSTITUTE(TRIM(A2331&amp;""),CHAR(160),"")," ",""),"년","")),"0000")=SUBSTITUTE(SUBSTITUTE(SUBSTITUTE(TRIM(A2331&amp;""),CHAR(160),"")," ",""),"년","")),SUBSTITUTE(SUBSTITUTE(SUBSTITUTE(TRIM(A2331&amp;""),CHAR(160),"")," ",""),"년",""),""),"")</f>
      </c>
      <c r="I2331" t="str">
        <f>SUBSTITUTE(SUBSTITUTE(SUBSTITUTE(SUBSTITUTE(SUBSTITUTE(TRIM(B2331&amp;""),CHAR(160),"")," ",""),"초등학교","초"),"중학교","중"),"고등학교","고")</f>
      </c>
    </row>
    <row r="2332" customFormat="false" ht="15" hidden="false" customHeight="false" outlineLevel="0" collapsed="false">
      <c r="A2332" s="8"/>
      <c r="B2332" s="8"/>
      <c r="C2332" s="8"/>
      <c r="D2332" s="8"/>
      <c r="E2332" s="8"/>
      <c r="F2332" t="str" s="15">
        <f aca="0">IF(B2332="","",IF(H2332="","확인필요(입력누락)",IF(SUMPRODUCT((실물목록!$P$2:$P$1001&lt;&gt;"")*ISNUMBER(SEARCH(실물목록!$P$2:$P$1001,I2332))*(실물목록!$Q$2:$Q$1001&lt;&gt;"")*ISNUMBER(SEARCH(실물목록!$Q$2:$Q$1001,I2332))*(실물목록!$R$2:$R$1001="")*(실물목록!$O$2:$O$1001&lt;&gt;"")*(실물목록!$O$2:$O$1001=H2332))&gt;0,"실물 있음",IF(SUMPRODUCT((실물목록!$P$2:$P$1001&lt;&gt;"")*ISNUMBER(SEARCH(실물목록!$P$2:$P$1001,I2332))*(실물목록!$R$2:$R$1001&lt;&gt;""))&gt;0,"확인필요(입력누락)",IF(SUMPRODUCT((실물목록!$P$2:$P$1001&lt;&gt;"")*ISNUMBER(SEARCH(실물목록!$P$2:$P$1001,I2332))*(실물목록!$Q$2:$Q$1001&lt;&gt;"")*ISNUMBER(SEARCH(실물목록!$Q$2:$Q$1001,I2332))*(실물목록!$R$2:$R$1001="")*(실물목록!$O$2:$O$1001&lt;&gt;""))&gt;0,"확인필요(연도다름)","실물 없음")))))</f>
      </c>
      <c r="G2332" t="n" s="16">
        <f aca="0">IF(B2332="","",SUMPRODUCT((실물목록!$P$2:$P$1001&lt;&gt;"")*ISNUMBER(SEARCH(실물목록!$P$2:$P$1001,I2332))*(실물목록!$Q$2:$Q$1001&lt;&gt;"")*ISNUMBER(SEARCH(실물목록!$Q$2:$Q$1001,I2332))*(실물목록!$R$2:$R$1001="")*(실물목록!$O$2:$O$1001&lt;&gt;"")*(실물목록!$O$2:$O$1001=H2332)))</f>
      </c>
      <c r="H2332" t="str">
        <f>IFERROR(IF(AND(LEN(SUBSTITUTE(SUBSTITUTE(SUBSTITUTE(TRIM(A2332&amp;""),CHAR(160),"")," ",""),"년",""))=4,VALUE(SUBSTITUTE(SUBSTITUTE(SUBSTITUTE(TRIM(A2332&amp;""),CHAR(160),"")," ",""),"년",""))&gt;=1900,VALUE(SUBSTITUTE(SUBSTITUTE(SUBSTITUTE(TRIM(A2332&amp;""),CHAR(160),"")," ",""),"년",""))&lt;=2099,TEXT(VALUE(SUBSTITUTE(SUBSTITUTE(SUBSTITUTE(TRIM(A2332&amp;""),CHAR(160),"")," ",""),"년","")),"0000")=SUBSTITUTE(SUBSTITUTE(SUBSTITUTE(TRIM(A2332&amp;""),CHAR(160),"")," ",""),"년","")),SUBSTITUTE(SUBSTITUTE(SUBSTITUTE(TRIM(A2332&amp;""),CHAR(160),"")," ",""),"년",""),""),"")</f>
      </c>
      <c r="I2332" t="str">
        <f>SUBSTITUTE(SUBSTITUTE(SUBSTITUTE(SUBSTITUTE(SUBSTITUTE(TRIM(B2332&amp;""),CHAR(160),"")," ",""),"초등학교","초"),"중학교","중"),"고등학교","고")</f>
      </c>
    </row>
    <row r="2333" customFormat="false" ht="15" hidden="false" customHeight="false" outlineLevel="0" collapsed="false">
      <c r="A2333" s="8"/>
      <c r="B2333" s="8"/>
      <c r="C2333" s="8"/>
      <c r="D2333" s="8"/>
      <c r="E2333" s="8"/>
      <c r="F2333" t="str" s="15">
        <f aca="0">IF(B2333="","",IF(H2333="","확인필요(입력누락)",IF(SUMPRODUCT((실물목록!$P$2:$P$1001&lt;&gt;"")*ISNUMBER(SEARCH(실물목록!$P$2:$P$1001,I2333))*(실물목록!$Q$2:$Q$1001&lt;&gt;"")*ISNUMBER(SEARCH(실물목록!$Q$2:$Q$1001,I2333))*(실물목록!$R$2:$R$1001="")*(실물목록!$O$2:$O$1001&lt;&gt;"")*(실물목록!$O$2:$O$1001=H2333))&gt;0,"실물 있음",IF(SUMPRODUCT((실물목록!$P$2:$P$1001&lt;&gt;"")*ISNUMBER(SEARCH(실물목록!$P$2:$P$1001,I2333))*(실물목록!$R$2:$R$1001&lt;&gt;""))&gt;0,"확인필요(입력누락)",IF(SUMPRODUCT((실물목록!$P$2:$P$1001&lt;&gt;"")*ISNUMBER(SEARCH(실물목록!$P$2:$P$1001,I2333))*(실물목록!$Q$2:$Q$1001&lt;&gt;"")*ISNUMBER(SEARCH(실물목록!$Q$2:$Q$1001,I2333))*(실물목록!$R$2:$R$1001="")*(실물목록!$O$2:$O$1001&lt;&gt;""))&gt;0,"확인필요(연도다름)","실물 없음")))))</f>
      </c>
      <c r="G2333" t="n" s="16">
        <f aca="0">IF(B2333="","",SUMPRODUCT((실물목록!$P$2:$P$1001&lt;&gt;"")*ISNUMBER(SEARCH(실물목록!$P$2:$P$1001,I2333))*(실물목록!$Q$2:$Q$1001&lt;&gt;"")*ISNUMBER(SEARCH(실물목록!$Q$2:$Q$1001,I2333))*(실물목록!$R$2:$R$1001="")*(실물목록!$O$2:$O$1001&lt;&gt;"")*(실물목록!$O$2:$O$1001=H2333)))</f>
      </c>
      <c r="H2333" t="str">
        <f>IFERROR(IF(AND(LEN(SUBSTITUTE(SUBSTITUTE(SUBSTITUTE(TRIM(A2333&amp;""),CHAR(160),"")," ",""),"년",""))=4,VALUE(SUBSTITUTE(SUBSTITUTE(SUBSTITUTE(TRIM(A2333&amp;""),CHAR(160),"")," ",""),"년",""))&gt;=1900,VALUE(SUBSTITUTE(SUBSTITUTE(SUBSTITUTE(TRIM(A2333&amp;""),CHAR(160),"")," ",""),"년",""))&lt;=2099,TEXT(VALUE(SUBSTITUTE(SUBSTITUTE(SUBSTITUTE(TRIM(A2333&amp;""),CHAR(160),"")," ",""),"년","")),"0000")=SUBSTITUTE(SUBSTITUTE(SUBSTITUTE(TRIM(A2333&amp;""),CHAR(160),"")," ",""),"년","")),SUBSTITUTE(SUBSTITUTE(SUBSTITUTE(TRIM(A2333&amp;""),CHAR(160),"")," ",""),"년",""),""),"")</f>
      </c>
      <c r="I2333" t="str">
        <f>SUBSTITUTE(SUBSTITUTE(SUBSTITUTE(SUBSTITUTE(SUBSTITUTE(TRIM(B2333&amp;""),CHAR(160),"")," ",""),"초등학교","초"),"중학교","중"),"고등학교","고")</f>
      </c>
    </row>
    <row r="2334" customFormat="false" ht="15" hidden="false" customHeight="false" outlineLevel="0" collapsed="false">
      <c r="A2334" s="8"/>
      <c r="B2334" s="8"/>
      <c r="C2334" s="8"/>
      <c r="D2334" s="8"/>
      <c r="E2334" s="8"/>
      <c r="F2334" t="str" s="15">
        <f aca="0">IF(B2334="","",IF(H2334="","확인필요(입력누락)",IF(SUMPRODUCT((실물목록!$P$2:$P$1001&lt;&gt;"")*ISNUMBER(SEARCH(실물목록!$P$2:$P$1001,I2334))*(실물목록!$Q$2:$Q$1001&lt;&gt;"")*ISNUMBER(SEARCH(실물목록!$Q$2:$Q$1001,I2334))*(실물목록!$R$2:$R$1001="")*(실물목록!$O$2:$O$1001&lt;&gt;"")*(실물목록!$O$2:$O$1001=H2334))&gt;0,"실물 있음",IF(SUMPRODUCT((실물목록!$P$2:$P$1001&lt;&gt;"")*ISNUMBER(SEARCH(실물목록!$P$2:$P$1001,I2334))*(실물목록!$R$2:$R$1001&lt;&gt;""))&gt;0,"확인필요(입력누락)",IF(SUMPRODUCT((실물목록!$P$2:$P$1001&lt;&gt;"")*ISNUMBER(SEARCH(실물목록!$P$2:$P$1001,I2334))*(실물목록!$Q$2:$Q$1001&lt;&gt;"")*ISNUMBER(SEARCH(실물목록!$Q$2:$Q$1001,I2334))*(실물목록!$R$2:$R$1001="")*(실물목록!$O$2:$O$1001&lt;&gt;""))&gt;0,"확인필요(연도다름)","실물 없음")))))</f>
      </c>
      <c r="G2334" t="n" s="16">
        <f aca="0">IF(B2334="","",SUMPRODUCT((실물목록!$P$2:$P$1001&lt;&gt;"")*ISNUMBER(SEARCH(실물목록!$P$2:$P$1001,I2334))*(실물목록!$Q$2:$Q$1001&lt;&gt;"")*ISNUMBER(SEARCH(실물목록!$Q$2:$Q$1001,I2334))*(실물목록!$R$2:$R$1001="")*(실물목록!$O$2:$O$1001&lt;&gt;"")*(실물목록!$O$2:$O$1001=H2334)))</f>
      </c>
      <c r="H2334" t="str">
        <f>IFERROR(IF(AND(LEN(SUBSTITUTE(SUBSTITUTE(SUBSTITUTE(TRIM(A2334&amp;""),CHAR(160),"")," ",""),"년",""))=4,VALUE(SUBSTITUTE(SUBSTITUTE(SUBSTITUTE(TRIM(A2334&amp;""),CHAR(160),"")," ",""),"년",""))&gt;=1900,VALUE(SUBSTITUTE(SUBSTITUTE(SUBSTITUTE(TRIM(A2334&amp;""),CHAR(160),"")," ",""),"년",""))&lt;=2099,TEXT(VALUE(SUBSTITUTE(SUBSTITUTE(SUBSTITUTE(TRIM(A2334&amp;""),CHAR(160),"")," ",""),"년","")),"0000")=SUBSTITUTE(SUBSTITUTE(SUBSTITUTE(TRIM(A2334&amp;""),CHAR(160),"")," ",""),"년","")),SUBSTITUTE(SUBSTITUTE(SUBSTITUTE(TRIM(A2334&amp;""),CHAR(160),"")," ",""),"년",""),""),"")</f>
      </c>
      <c r="I2334" t="str">
        <f>SUBSTITUTE(SUBSTITUTE(SUBSTITUTE(SUBSTITUTE(SUBSTITUTE(TRIM(B2334&amp;""),CHAR(160),"")," ",""),"초등학교","초"),"중학교","중"),"고등학교","고")</f>
      </c>
    </row>
    <row r="2335" customFormat="false" ht="15" hidden="false" customHeight="false" outlineLevel="0" collapsed="false">
      <c r="A2335" s="8"/>
      <c r="B2335" s="8"/>
      <c r="C2335" s="8"/>
      <c r="D2335" s="8"/>
      <c r="E2335" s="8"/>
      <c r="F2335" t="str" s="15">
        <f aca="0">IF(B2335="","",IF(H2335="","확인필요(입력누락)",IF(SUMPRODUCT((실물목록!$P$2:$P$1001&lt;&gt;"")*ISNUMBER(SEARCH(실물목록!$P$2:$P$1001,I2335))*(실물목록!$Q$2:$Q$1001&lt;&gt;"")*ISNUMBER(SEARCH(실물목록!$Q$2:$Q$1001,I2335))*(실물목록!$R$2:$R$1001="")*(실물목록!$O$2:$O$1001&lt;&gt;"")*(실물목록!$O$2:$O$1001=H2335))&gt;0,"실물 있음",IF(SUMPRODUCT((실물목록!$P$2:$P$1001&lt;&gt;"")*ISNUMBER(SEARCH(실물목록!$P$2:$P$1001,I2335))*(실물목록!$R$2:$R$1001&lt;&gt;""))&gt;0,"확인필요(입력누락)",IF(SUMPRODUCT((실물목록!$P$2:$P$1001&lt;&gt;"")*ISNUMBER(SEARCH(실물목록!$P$2:$P$1001,I2335))*(실물목록!$Q$2:$Q$1001&lt;&gt;"")*ISNUMBER(SEARCH(실물목록!$Q$2:$Q$1001,I2335))*(실물목록!$R$2:$R$1001="")*(실물목록!$O$2:$O$1001&lt;&gt;""))&gt;0,"확인필요(연도다름)","실물 없음")))))</f>
      </c>
      <c r="G2335" t="n" s="16">
        <f aca="0">IF(B2335="","",SUMPRODUCT((실물목록!$P$2:$P$1001&lt;&gt;"")*ISNUMBER(SEARCH(실물목록!$P$2:$P$1001,I2335))*(실물목록!$Q$2:$Q$1001&lt;&gt;"")*ISNUMBER(SEARCH(실물목록!$Q$2:$Q$1001,I2335))*(실물목록!$R$2:$R$1001="")*(실물목록!$O$2:$O$1001&lt;&gt;"")*(실물목록!$O$2:$O$1001=H2335)))</f>
      </c>
      <c r="H2335" t="str">
        <f>IFERROR(IF(AND(LEN(SUBSTITUTE(SUBSTITUTE(SUBSTITUTE(TRIM(A2335&amp;""),CHAR(160),"")," ",""),"년",""))=4,VALUE(SUBSTITUTE(SUBSTITUTE(SUBSTITUTE(TRIM(A2335&amp;""),CHAR(160),"")," ",""),"년",""))&gt;=1900,VALUE(SUBSTITUTE(SUBSTITUTE(SUBSTITUTE(TRIM(A2335&amp;""),CHAR(160),"")," ",""),"년",""))&lt;=2099,TEXT(VALUE(SUBSTITUTE(SUBSTITUTE(SUBSTITUTE(TRIM(A2335&amp;""),CHAR(160),"")," ",""),"년","")),"0000")=SUBSTITUTE(SUBSTITUTE(SUBSTITUTE(TRIM(A2335&amp;""),CHAR(160),"")," ",""),"년","")),SUBSTITUTE(SUBSTITUTE(SUBSTITUTE(TRIM(A2335&amp;""),CHAR(160),"")," ",""),"년",""),""),"")</f>
      </c>
      <c r="I2335" t="str">
        <f>SUBSTITUTE(SUBSTITUTE(SUBSTITUTE(SUBSTITUTE(SUBSTITUTE(TRIM(B2335&amp;""),CHAR(160),"")," ",""),"초등학교","초"),"중학교","중"),"고등학교","고")</f>
      </c>
    </row>
    <row r="2336" customFormat="false" ht="15" hidden="false" customHeight="false" outlineLevel="0" collapsed="false">
      <c r="A2336" s="8"/>
      <c r="B2336" s="8"/>
      <c r="C2336" s="8"/>
      <c r="D2336" s="8"/>
      <c r="E2336" s="8"/>
      <c r="F2336" t="str" s="15">
        <f aca="0">IF(B2336="","",IF(H2336="","확인필요(입력누락)",IF(SUMPRODUCT((실물목록!$P$2:$P$1001&lt;&gt;"")*ISNUMBER(SEARCH(실물목록!$P$2:$P$1001,I2336))*(실물목록!$Q$2:$Q$1001&lt;&gt;"")*ISNUMBER(SEARCH(실물목록!$Q$2:$Q$1001,I2336))*(실물목록!$R$2:$R$1001="")*(실물목록!$O$2:$O$1001&lt;&gt;"")*(실물목록!$O$2:$O$1001=H2336))&gt;0,"실물 있음",IF(SUMPRODUCT((실물목록!$P$2:$P$1001&lt;&gt;"")*ISNUMBER(SEARCH(실물목록!$P$2:$P$1001,I2336))*(실물목록!$R$2:$R$1001&lt;&gt;""))&gt;0,"확인필요(입력누락)",IF(SUMPRODUCT((실물목록!$P$2:$P$1001&lt;&gt;"")*ISNUMBER(SEARCH(실물목록!$P$2:$P$1001,I2336))*(실물목록!$Q$2:$Q$1001&lt;&gt;"")*ISNUMBER(SEARCH(실물목록!$Q$2:$Q$1001,I2336))*(실물목록!$R$2:$R$1001="")*(실물목록!$O$2:$O$1001&lt;&gt;""))&gt;0,"확인필요(연도다름)","실물 없음")))))</f>
      </c>
      <c r="G2336" t="n" s="16">
        <f aca="0">IF(B2336="","",SUMPRODUCT((실물목록!$P$2:$P$1001&lt;&gt;"")*ISNUMBER(SEARCH(실물목록!$P$2:$P$1001,I2336))*(실물목록!$Q$2:$Q$1001&lt;&gt;"")*ISNUMBER(SEARCH(실물목록!$Q$2:$Q$1001,I2336))*(실물목록!$R$2:$R$1001="")*(실물목록!$O$2:$O$1001&lt;&gt;"")*(실물목록!$O$2:$O$1001=H2336)))</f>
      </c>
      <c r="H2336" t="str">
        <f>IFERROR(IF(AND(LEN(SUBSTITUTE(SUBSTITUTE(SUBSTITUTE(TRIM(A2336&amp;""),CHAR(160),"")," ",""),"년",""))=4,VALUE(SUBSTITUTE(SUBSTITUTE(SUBSTITUTE(TRIM(A2336&amp;""),CHAR(160),"")," ",""),"년",""))&gt;=1900,VALUE(SUBSTITUTE(SUBSTITUTE(SUBSTITUTE(TRIM(A2336&amp;""),CHAR(160),"")," ",""),"년",""))&lt;=2099,TEXT(VALUE(SUBSTITUTE(SUBSTITUTE(SUBSTITUTE(TRIM(A2336&amp;""),CHAR(160),"")," ",""),"년","")),"0000")=SUBSTITUTE(SUBSTITUTE(SUBSTITUTE(TRIM(A2336&amp;""),CHAR(160),"")," ",""),"년","")),SUBSTITUTE(SUBSTITUTE(SUBSTITUTE(TRIM(A2336&amp;""),CHAR(160),"")," ",""),"년",""),""),"")</f>
      </c>
      <c r="I2336" t="str">
        <f>SUBSTITUTE(SUBSTITUTE(SUBSTITUTE(SUBSTITUTE(SUBSTITUTE(TRIM(B2336&amp;""),CHAR(160),"")," ",""),"초등학교","초"),"중학교","중"),"고등학교","고")</f>
      </c>
    </row>
    <row r="2337" customFormat="false" ht="15" hidden="false" customHeight="false" outlineLevel="0" collapsed="false">
      <c r="A2337" s="8"/>
      <c r="B2337" s="8"/>
      <c r="C2337" s="8"/>
      <c r="D2337" s="8"/>
      <c r="E2337" s="8"/>
      <c r="F2337" t="str" s="15">
        <f aca="0">IF(B2337="","",IF(H2337="","확인필요(입력누락)",IF(SUMPRODUCT((실물목록!$P$2:$P$1001&lt;&gt;"")*ISNUMBER(SEARCH(실물목록!$P$2:$P$1001,I2337))*(실물목록!$Q$2:$Q$1001&lt;&gt;"")*ISNUMBER(SEARCH(실물목록!$Q$2:$Q$1001,I2337))*(실물목록!$R$2:$R$1001="")*(실물목록!$O$2:$O$1001&lt;&gt;"")*(실물목록!$O$2:$O$1001=H2337))&gt;0,"실물 있음",IF(SUMPRODUCT((실물목록!$P$2:$P$1001&lt;&gt;"")*ISNUMBER(SEARCH(실물목록!$P$2:$P$1001,I2337))*(실물목록!$R$2:$R$1001&lt;&gt;""))&gt;0,"확인필요(입력누락)",IF(SUMPRODUCT((실물목록!$P$2:$P$1001&lt;&gt;"")*ISNUMBER(SEARCH(실물목록!$P$2:$P$1001,I2337))*(실물목록!$Q$2:$Q$1001&lt;&gt;"")*ISNUMBER(SEARCH(실물목록!$Q$2:$Q$1001,I2337))*(실물목록!$R$2:$R$1001="")*(실물목록!$O$2:$O$1001&lt;&gt;""))&gt;0,"확인필요(연도다름)","실물 없음")))))</f>
      </c>
      <c r="G2337" t="n" s="16">
        <f aca="0">IF(B2337="","",SUMPRODUCT((실물목록!$P$2:$P$1001&lt;&gt;"")*ISNUMBER(SEARCH(실물목록!$P$2:$P$1001,I2337))*(실물목록!$Q$2:$Q$1001&lt;&gt;"")*ISNUMBER(SEARCH(실물목록!$Q$2:$Q$1001,I2337))*(실물목록!$R$2:$R$1001="")*(실물목록!$O$2:$O$1001&lt;&gt;"")*(실물목록!$O$2:$O$1001=H2337)))</f>
      </c>
      <c r="H2337" t="str">
        <f>IFERROR(IF(AND(LEN(SUBSTITUTE(SUBSTITUTE(SUBSTITUTE(TRIM(A2337&amp;""),CHAR(160),"")," ",""),"년",""))=4,VALUE(SUBSTITUTE(SUBSTITUTE(SUBSTITUTE(TRIM(A2337&amp;""),CHAR(160),"")," ",""),"년",""))&gt;=1900,VALUE(SUBSTITUTE(SUBSTITUTE(SUBSTITUTE(TRIM(A2337&amp;""),CHAR(160),"")," ",""),"년",""))&lt;=2099,TEXT(VALUE(SUBSTITUTE(SUBSTITUTE(SUBSTITUTE(TRIM(A2337&amp;""),CHAR(160),"")," ",""),"년","")),"0000")=SUBSTITUTE(SUBSTITUTE(SUBSTITUTE(TRIM(A2337&amp;""),CHAR(160),"")," ",""),"년","")),SUBSTITUTE(SUBSTITUTE(SUBSTITUTE(TRIM(A2337&amp;""),CHAR(160),"")," ",""),"년",""),""),"")</f>
      </c>
      <c r="I2337" t="str">
        <f>SUBSTITUTE(SUBSTITUTE(SUBSTITUTE(SUBSTITUTE(SUBSTITUTE(TRIM(B2337&amp;""),CHAR(160),"")," ",""),"초등학교","초"),"중학교","중"),"고등학교","고")</f>
      </c>
    </row>
    <row r="2338" customFormat="false" ht="15" hidden="false" customHeight="false" outlineLevel="0" collapsed="false">
      <c r="A2338" s="8"/>
      <c r="B2338" s="8"/>
      <c r="C2338" s="8"/>
      <c r="D2338" s="8"/>
      <c r="E2338" s="8"/>
      <c r="F2338" t="str" s="15">
        <f aca="0">IF(B2338="","",IF(H2338="","확인필요(입력누락)",IF(SUMPRODUCT((실물목록!$P$2:$P$1001&lt;&gt;"")*ISNUMBER(SEARCH(실물목록!$P$2:$P$1001,I2338))*(실물목록!$Q$2:$Q$1001&lt;&gt;"")*ISNUMBER(SEARCH(실물목록!$Q$2:$Q$1001,I2338))*(실물목록!$R$2:$R$1001="")*(실물목록!$O$2:$O$1001&lt;&gt;"")*(실물목록!$O$2:$O$1001=H2338))&gt;0,"실물 있음",IF(SUMPRODUCT((실물목록!$P$2:$P$1001&lt;&gt;"")*ISNUMBER(SEARCH(실물목록!$P$2:$P$1001,I2338))*(실물목록!$R$2:$R$1001&lt;&gt;""))&gt;0,"확인필요(입력누락)",IF(SUMPRODUCT((실물목록!$P$2:$P$1001&lt;&gt;"")*ISNUMBER(SEARCH(실물목록!$P$2:$P$1001,I2338))*(실물목록!$Q$2:$Q$1001&lt;&gt;"")*ISNUMBER(SEARCH(실물목록!$Q$2:$Q$1001,I2338))*(실물목록!$R$2:$R$1001="")*(실물목록!$O$2:$O$1001&lt;&gt;""))&gt;0,"확인필요(연도다름)","실물 없음")))))</f>
      </c>
      <c r="G2338" t="n" s="16">
        <f aca="0">IF(B2338="","",SUMPRODUCT((실물목록!$P$2:$P$1001&lt;&gt;"")*ISNUMBER(SEARCH(실물목록!$P$2:$P$1001,I2338))*(실물목록!$Q$2:$Q$1001&lt;&gt;"")*ISNUMBER(SEARCH(실물목록!$Q$2:$Q$1001,I2338))*(실물목록!$R$2:$R$1001="")*(실물목록!$O$2:$O$1001&lt;&gt;"")*(실물목록!$O$2:$O$1001=H2338)))</f>
      </c>
      <c r="H2338" t="str">
        <f>IFERROR(IF(AND(LEN(SUBSTITUTE(SUBSTITUTE(SUBSTITUTE(TRIM(A2338&amp;""),CHAR(160),"")," ",""),"년",""))=4,VALUE(SUBSTITUTE(SUBSTITUTE(SUBSTITUTE(TRIM(A2338&amp;""),CHAR(160),"")," ",""),"년",""))&gt;=1900,VALUE(SUBSTITUTE(SUBSTITUTE(SUBSTITUTE(TRIM(A2338&amp;""),CHAR(160),"")," ",""),"년",""))&lt;=2099,TEXT(VALUE(SUBSTITUTE(SUBSTITUTE(SUBSTITUTE(TRIM(A2338&amp;""),CHAR(160),"")," ",""),"년","")),"0000")=SUBSTITUTE(SUBSTITUTE(SUBSTITUTE(TRIM(A2338&amp;""),CHAR(160),"")," ",""),"년","")),SUBSTITUTE(SUBSTITUTE(SUBSTITUTE(TRIM(A2338&amp;""),CHAR(160),"")," ",""),"년",""),""),"")</f>
      </c>
      <c r="I2338" t="str">
        <f>SUBSTITUTE(SUBSTITUTE(SUBSTITUTE(SUBSTITUTE(SUBSTITUTE(TRIM(B2338&amp;""),CHAR(160),"")," ",""),"초등학교","초"),"중학교","중"),"고등학교","고")</f>
      </c>
    </row>
    <row r="2339" customFormat="false" ht="15" hidden="false" customHeight="false" outlineLevel="0" collapsed="false">
      <c r="A2339" s="8"/>
      <c r="B2339" s="8"/>
      <c r="C2339" s="8"/>
      <c r="D2339" s="8"/>
      <c r="E2339" s="8"/>
      <c r="F2339" t="str" s="15">
        <f aca="0">IF(B2339="","",IF(H2339="","확인필요(입력누락)",IF(SUMPRODUCT((실물목록!$P$2:$P$1001&lt;&gt;"")*ISNUMBER(SEARCH(실물목록!$P$2:$P$1001,I2339))*(실물목록!$Q$2:$Q$1001&lt;&gt;"")*ISNUMBER(SEARCH(실물목록!$Q$2:$Q$1001,I2339))*(실물목록!$R$2:$R$1001="")*(실물목록!$O$2:$O$1001&lt;&gt;"")*(실물목록!$O$2:$O$1001=H2339))&gt;0,"실물 있음",IF(SUMPRODUCT((실물목록!$P$2:$P$1001&lt;&gt;"")*ISNUMBER(SEARCH(실물목록!$P$2:$P$1001,I2339))*(실물목록!$R$2:$R$1001&lt;&gt;""))&gt;0,"확인필요(입력누락)",IF(SUMPRODUCT((실물목록!$P$2:$P$1001&lt;&gt;"")*ISNUMBER(SEARCH(실물목록!$P$2:$P$1001,I2339))*(실물목록!$Q$2:$Q$1001&lt;&gt;"")*ISNUMBER(SEARCH(실물목록!$Q$2:$Q$1001,I2339))*(실물목록!$R$2:$R$1001="")*(실물목록!$O$2:$O$1001&lt;&gt;""))&gt;0,"확인필요(연도다름)","실물 없음")))))</f>
      </c>
      <c r="G2339" t="n" s="16">
        <f aca="0">IF(B2339="","",SUMPRODUCT((실물목록!$P$2:$P$1001&lt;&gt;"")*ISNUMBER(SEARCH(실물목록!$P$2:$P$1001,I2339))*(실물목록!$Q$2:$Q$1001&lt;&gt;"")*ISNUMBER(SEARCH(실물목록!$Q$2:$Q$1001,I2339))*(실물목록!$R$2:$R$1001="")*(실물목록!$O$2:$O$1001&lt;&gt;"")*(실물목록!$O$2:$O$1001=H2339)))</f>
      </c>
      <c r="H2339" t="str">
        <f>IFERROR(IF(AND(LEN(SUBSTITUTE(SUBSTITUTE(SUBSTITUTE(TRIM(A2339&amp;""),CHAR(160),"")," ",""),"년",""))=4,VALUE(SUBSTITUTE(SUBSTITUTE(SUBSTITUTE(TRIM(A2339&amp;""),CHAR(160),"")," ",""),"년",""))&gt;=1900,VALUE(SUBSTITUTE(SUBSTITUTE(SUBSTITUTE(TRIM(A2339&amp;""),CHAR(160),"")," ",""),"년",""))&lt;=2099,TEXT(VALUE(SUBSTITUTE(SUBSTITUTE(SUBSTITUTE(TRIM(A2339&amp;""),CHAR(160),"")," ",""),"년","")),"0000")=SUBSTITUTE(SUBSTITUTE(SUBSTITUTE(TRIM(A2339&amp;""),CHAR(160),"")," ",""),"년","")),SUBSTITUTE(SUBSTITUTE(SUBSTITUTE(TRIM(A2339&amp;""),CHAR(160),"")," ",""),"년",""),""),"")</f>
      </c>
      <c r="I2339" t="str">
        <f>SUBSTITUTE(SUBSTITUTE(SUBSTITUTE(SUBSTITUTE(SUBSTITUTE(TRIM(B2339&amp;""),CHAR(160),"")," ",""),"초등학교","초"),"중학교","중"),"고등학교","고")</f>
      </c>
    </row>
    <row r="2340" customFormat="false" ht="15" hidden="false" customHeight="false" outlineLevel="0" collapsed="false">
      <c r="A2340" s="8"/>
      <c r="B2340" s="8"/>
      <c r="C2340" s="8"/>
      <c r="D2340" s="8"/>
      <c r="E2340" s="8"/>
      <c r="F2340" t="str" s="15">
        <f aca="0">IF(B2340="","",IF(H2340="","확인필요(입력누락)",IF(SUMPRODUCT((실물목록!$P$2:$P$1001&lt;&gt;"")*ISNUMBER(SEARCH(실물목록!$P$2:$P$1001,I2340))*(실물목록!$Q$2:$Q$1001&lt;&gt;"")*ISNUMBER(SEARCH(실물목록!$Q$2:$Q$1001,I2340))*(실물목록!$R$2:$R$1001="")*(실물목록!$O$2:$O$1001&lt;&gt;"")*(실물목록!$O$2:$O$1001=H2340))&gt;0,"실물 있음",IF(SUMPRODUCT((실물목록!$P$2:$P$1001&lt;&gt;"")*ISNUMBER(SEARCH(실물목록!$P$2:$P$1001,I2340))*(실물목록!$R$2:$R$1001&lt;&gt;""))&gt;0,"확인필요(입력누락)",IF(SUMPRODUCT((실물목록!$P$2:$P$1001&lt;&gt;"")*ISNUMBER(SEARCH(실물목록!$P$2:$P$1001,I2340))*(실물목록!$Q$2:$Q$1001&lt;&gt;"")*ISNUMBER(SEARCH(실물목록!$Q$2:$Q$1001,I2340))*(실물목록!$R$2:$R$1001="")*(실물목록!$O$2:$O$1001&lt;&gt;""))&gt;0,"확인필요(연도다름)","실물 없음")))))</f>
      </c>
      <c r="G2340" t="n" s="16">
        <f aca="0">IF(B2340="","",SUMPRODUCT((실물목록!$P$2:$P$1001&lt;&gt;"")*ISNUMBER(SEARCH(실물목록!$P$2:$P$1001,I2340))*(실물목록!$Q$2:$Q$1001&lt;&gt;"")*ISNUMBER(SEARCH(실물목록!$Q$2:$Q$1001,I2340))*(실물목록!$R$2:$R$1001="")*(실물목록!$O$2:$O$1001&lt;&gt;"")*(실물목록!$O$2:$O$1001=H2340)))</f>
      </c>
      <c r="H2340" t="str">
        <f>IFERROR(IF(AND(LEN(SUBSTITUTE(SUBSTITUTE(SUBSTITUTE(TRIM(A2340&amp;""),CHAR(160),"")," ",""),"년",""))=4,VALUE(SUBSTITUTE(SUBSTITUTE(SUBSTITUTE(TRIM(A2340&amp;""),CHAR(160),"")," ",""),"년",""))&gt;=1900,VALUE(SUBSTITUTE(SUBSTITUTE(SUBSTITUTE(TRIM(A2340&amp;""),CHAR(160),"")," ",""),"년",""))&lt;=2099,TEXT(VALUE(SUBSTITUTE(SUBSTITUTE(SUBSTITUTE(TRIM(A2340&amp;""),CHAR(160),"")," ",""),"년","")),"0000")=SUBSTITUTE(SUBSTITUTE(SUBSTITUTE(TRIM(A2340&amp;""),CHAR(160),"")," ",""),"년","")),SUBSTITUTE(SUBSTITUTE(SUBSTITUTE(TRIM(A2340&amp;""),CHAR(160),"")," ",""),"년",""),""),"")</f>
      </c>
      <c r="I2340" t="str">
        <f>SUBSTITUTE(SUBSTITUTE(SUBSTITUTE(SUBSTITUTE(SUBSTITUTE(TRIM(B2340&amp;""),CHAR(160),"")," ",""),"초등학교","초"),"중학교","중"),"고등학교","고")</f>
      </c>
    </row>
    <row r="2341" customFormat="false" ht="15" hidden="false" customHeight="false" outlineLevel="0" collapsed="false">
      <c r="A2341" s="8"/>
      <c r="B2341" s="8"/>
      <c r="C2341" s="8"/>
      <c r="D2341" s="8"/>
      <c r="E2341" s="8"/>
      <c r="F2341" t="str" s="15">
        <f aca="0">IF(B2341="","",IF(H2341="","확인필요(입력누락)",IF(SUMPRODUCT((실물목록!$P$2:$P$1001&lt;&gt;"")*ISNUMBER(SEARCH(실물목록!$P$2:$P$1001,I2341))*(실물목록!$Q$2:$Q$1001&lt;&gt;"")*ISNUMBER(SEARCH(실물목록!$Q$2:$Q$1001,I2341))*(실물목록!$R$2:$R$1001="")*(실물목록!$O$2:$O$1001&lt;&gt;"")*(실물목록!$O$2:$O$1001=H2341))&gt;0,"실물 있음",IF(SUMPRODUCT((실물목록!$P$2:$P$1001&lt;&gt;"")*ISNUMBER(SEARCH(실물목록!$P$2:$P$1001,I2341))*(실물목록!$R$2:$R$1001&lt;&gt;""))&gt;0,"확인필요(입력누락)",IF(SUMPRODUCT((실물목록!$P$2:$P$1001&lt;&gt;"")*ISNUMBER(SEARCH(실물목록!$P$2:$P$1001,I2341))*(실물목록!$Q$2:$Q$1001&lt;&gt;"")*ISNUMBER(SEARCH(실물목록!$Q$2:$Q$1001,I2341))*(실물목록!$R$2:$R$1001="")*(실물목록!$O$2:$O$1001&lt;&gt;""))&gt;0,"확인필요(연도다름)","실물 없음")))))</f>
      </c>
      <c r="G2341" t="n" s="16">
        <f aca="0">IF(B2341="","",SUMPRODUCT((실물목록!$P$2:$P$1001&lt;&gt;"")*ISNUMBER(SEARCH(실물목록!$P$2:$P$1001,I2341))*(실물목록!$Q$2:$Q$1001&lt;&gt;"")*ISNUMBER(SEARCH(실물목록!$Q$2:$Q$1001,I2341))*(실물목록!$R$2:$R$1001="")*(실물목록!$O$2:$O$1001&lt;&gt;"")*(실물목록!$O$2:$O$1001=H2341)))</f>
      </c>
      <c r="H2341" t="str">
        <f>IFERROR(IF(AND(LEN(SUBSTITUTE(SUBSTITUTE(SUBSTITUTE(TRIM(A2341&amp;""),CHAR(160),"")," ",""),"년",""))=4,VALUE(SUBSTITUTE(SUBSTITUTE(SUBSTITUTE(TRIM(A2341&amp;""),CHAR(160),"")," ",""),"년",""))&gt;=1900,VALUE(SUBSTITUTE(SUBSTITUTE(SUBSTITUTE(TRIM(A2341&amp;""),CHAR(160),"")," ",""),"년",""))&lt;=2099,TEXT(VALUE(SUBSTITUTE(SUBSTITUTE(SUBSTITUTE(TRIM(A2341&amp;""),CHAR(160),"")," ",""),"년","")),"0000")=SUBSTITUTE(SUBSTITUTE(SUBSTITUTE(TRIM(A2341&amp;""),CHAR(160),"")," ",""),"년","")),SUBSTITUTE(SUBSTITUTE(SUBSTITUTE(TRIM(A2341&amp;""),CHAR(160),"")," ",""),"년",""),""),"")</f>
      </c>
      <c r="I2341" t="str">
        <f>SUBSTITUTE(SUBSTITUTE(SUBSTITUTE(SUBSTITUTE(SUBSTITUTE(TRIM(B2341&amp;""),CHAR(160),"")," ",""),"초등학교","초"),"중학교","중"),"고등학교","고")</f>
      </c>
    </row>
    <row r="2342" customFormat="false" ht="15" hidden="false" customHeight="false" outlineLevel="0" collapsed="false">
      <c r="A2342" s="8"/>
      <c r="B2342" s="8"/>
      <c r="C2342" s="8"/>
      <c r="D2342" s="8"/>
      <c r="E2342" s="8"/>
      <c r="F2342" t="str" s="15">
        <f aca="0">IF(B2342="","",IF(H2342="","확인필요(입력누락)",IF(SUMPRODUCT((실물목록!$P$2:$P$1001&lt;&gt;"")*ISNUMBER(SEARCH(실물목록!$P$2:$P$1001,I2342))*(실물목록!$Q$2:$Q$1001&lt;&gt;"")*ISNUMBER(SEARCH(실물목록!$Q$2:$Q$1001,I2342))*(실물목록!$R$2:$R$1001="")*(실물목록!$O$2:$O$1001&lt;&gt;"")*(실물목록!$O$2:$O$1001=H2342))&gt;0,"실물 있음",IF(SUMPRODUCT((실물목록!$P$2:$P$1001&lt;&gt;"")*ISNUMBER(SEARCH(실물목록!$P$2:$P$1001,I2342))*(실물목록!$R$2:$R$1001&lt;&gt;""))&gt;0,"확인필요(입력누락)",IF(SUMPRODUCT((실물목록!$P$2:$P$1001&lt;&gt;"")*ISNUMBER(SEARCH(실물목록!$P$2:$P$1001,I2342))*(실물목록!$Q$2:$Q$1001&lt;&gt;"")*ISNUMBER(SEARCH(실물목록!$Q$2:$Q$1001,I2342))*(실물목록!$R$2:$R$1001="")*(실물목록!$O$2:$O$1001&lt;&gt;""))&gt;0,"확인필요(연도다름)","실물 없음")))))</f>
      </c>
      <c r="G2342" t="n" s="16">
        <f aca="0">IF(B2342="","",SUMPRODUCT((실물목록!$P$2:$P$1001&lt;&gt;"")*ISNUMBER(SEARCH(실물목록!$P$2:$P$1001,I2342))*(실물목록!$Q$2:$Q$1001&lt;&gt;"")*ISNUMBER(SEARCH(실물목록!$Q$2:$Q$1001,I2342))*(실물목록!$R$2:$R$1001="")*(실물목록!$O$2:$O$1001&lt;&gt;"")*(실물목록!$O$2:$O$1001=H2342)))</f>
      </c>
      <c r="H2342" t="str">
        <f>IFERROR(IF(AND(LEN(SUBSTITUTE(SUBSTITUTE(SUBSTITUTE(TRIM(A2342&amp;""),CHAR(160),"")," ",""),"년",""))=4,VALUE(SUBSTITUTE(SUBSTITUTE(SUBSTITUTE(TRIM(A2342&amp;""),CHAR(160),"")," ",""),"년",""))&gt;=1900,VALUE(SUBSTITUTE(SUBSTITUTE(SUBSTITUTE(TRIM(A2342&amp;""),CHAR(160),"")," ",""),"년",""))&lt;=2099,TEXT(VALUE(SUBSTITUTE(SUBSTITUTE(SUBSTITUTE(TRIM(A2342&amp;""),CHAR(160),"")," ",""),"년","")),"0000")=SUBSTITUTE(SUBSTITUTE(SUBSTITUTE(TRIM(A2342&amp;""),CHAR(160),"")," ",""),"년","")),SUBSTITUTE(SUBSTITUTE(SUBSTITUTE(TRIM(A2342&amp;""),CHAR(160),"")," ",""),"년",""),""),"")</f>
      </c>
      <c r="I2342" t="str">
        <f>SUBSTITUTE(SUBSTITUTE(SUBSTITUTE(SUBSTITUTE(SUBSTITUTE(TRIM(B2342&amp;""),CHAR(160),"")," ",""),"초등학교","초"),"중학교","중"),"고등학교","고")</f>
      </c>
    </row>
    <row r="2343" customFormat="false" ht="15" hidden="false" customHeight="false" outlineLevel="0" collapsed="false">
      <c r="A2343" s="8"/>
      <c r="B2343" s="8"/>
      <c r="C2343" s="8"/>
      <c r="D2343" s="8"/>
      <c r="E2343" s="8"/>
      <c r="F2343" t="str" s="15">
        <f aca="0">IF(B2343="","",IF(H2343="","확인필요(입력누락)",IF(SUMPRODUCT((실물목록!$P$2:$P$1001&lt;&gt;"")*ISNUMBER(SEARCH(실물목록!$P$2:$P$1001,I2343))*(실물목록!$Q$2:$Q$1001&lt;&gt;"")*ISNUMBER(SEARCH(실물목록!$Q$2:$Q$1001,I2343))*(실물목록!$R$2:$R$1001="")*(실물목록!$O$2:$O$1001&lt;&gt;"")*(실물목록!$O$2:$O$1001=H2343))&gt;0,"실물 있음",IF(SUMPRODUCT((실물목록!$P$2:$P$1001&lt;&gt;"")*ISNUMBER(SEARCH(실물목록!$P$2:$P$1001,I2343))*(실물목록!$R$2:$R$1001&lt;&gt;""))&gt;0,"확인필요(입력누락)",IF(SUMPRODUCT((실물목록!$P$2:$P$1001&lt;&gt;"")*ISNUMBER(SEARCH(실물목록!$P$2:$P$1001,I2343))*(실물목록!$Q$2:$Q$1001&lt;&gt;"")*ISNUMBER(SEARCH(실물목록!$Q$2:$Q$1001,I2343))*(실물목록!$R$2:$R$1001="")*(실물목록!$O$2:$O$1001&lt;&gt;""))&gt;0,"확인필요(연도다름)","실물 없음")))))</f>
      </c>
      <c r="G2343" t="n" s="16">
        <f aca="0">IF(B2343="","",SUMPRODUCT((실물목록!$P$2:$P$1001&lt;&gt;"")*ISNUMBER(SEARCH(실물목록!$P$2:$P$1001,I2343))*(실물목록!$Q$2:$Q$1001&lt;&gt;"")*ISNUMBER(SEARCH(실물목록!$Q$2:$Q$1001,I2343))*(실물목록!$R$2:$R$1001="")*(실물목록!$O$2:$O$1001&lt;&gt;"")*(실물목록!$O$2:$O$1001=H2343)))</f>
      </c>
      <c r="H2343" t="str">
        <f>IFERROR(IF(AND(LEN(SUBSTITUTE(SUBSTITUTE(SUBSTITUTE(TRIM(A2343&amp;""),CHAR(160),"")," ",""),"년",""))=4,VALUE(SUBSTITUTE(SUBSTITUTE(SUBSTITUTE(TRIM(A2343&amp;""),CHAR(160),"")," ",""),"년",""))&gt;=1900,VALUE(SUBSTITUTE(SUBSTITUTE(SUBSTITUTE(TRIM(A2343&amp;""),CHAR(160),"")," ",""),"년",""))&lt;=2099,TEXT(VALUE(SUBSTITUTE(SUBSTITUTE(SUBSTITUTE(TRIM(A2343&amp;""),CHAR(160),"")," ",""),"년","")),"0000")=SUBSTITUTE(SUBSTITUTE(SUBSTITUTE(TRIM(A2343&amp;""),CHAR(160),"")," ",""),"년","")),SUBSTITUTE(SUBSTITUTE(SUBSTITUTE(TRIM(A2343&amp;""),CHAR(160),"")," ",""),"년",""),""),"")</f>
      </c>
      <c r="I2343" t="str">
        <f>SUBSTITUTE(SUBSTITUTE(SUBSTITUTE(SUBSTITUTE(SUBSTITUTE(TRIM(B2343&amp;""),CHAR(160),"")," ",""),"초등학교","초"),"중학교","중"),"고등학교","고")</f>
      </c>
    </row>
    <row r="2344" customFormat="false" ht="15" hidden="false" customHeight="false" outlineLevel="0" collapsed="false">
      <c r="A2344" s="8"/>
      <c r="B2344" s="8"/>
      <c r="C2344" s="8"/>
      <c r="D2344" s="8"/>
      <c r="E2344" s="8"/>
      <c r="F2344" t="str" s="15">
        <f aca="0">IF(B2344="","",IF(H2344="","확인필요(입력누락)",IF(SUMPRODUCT((실물목록!$P$2:$P$1001&lt;&gt;"")*ISNUMBER(SEARCH(실물목록!$P$2:$P$1001,I2344))*(실물목록!$Q$2:$Q$1001&lt;&gt;"")*ISNUMBER(SEARCH(실물목록!$Q$2:$Q$1001,I2344))*(실물목록!$R$2:$R$1001="")*(실물목록!$O$2:$O$1001&lt;&gt;"")*(실물목록!$O$2:$O$1001=H2344))&gt;0,"실물 있음",IF(SUMPRODUCT((실물목록!$P$2:$P$1001&lt;&gt;"")*ISNUMBER(SEARCH(실물목록!$P$2:$P$1001,I2344))*(실물목록!$R$2:$R$1001&lt;&gt;""))&gt;0,"확인필요(입력누락)",IF(SUMPRODUCT((실물목록!$P$2:$P$1001&lt;&gt;"")*ISNUMBER(SEARCH(실물목록!$P$2:$P$1001,I2344))*(실물목록!$Q$2:$Q$1001&lt;&gt;"")*ISNUMBER(SEARCH(실물목록!$Q$2:$Q$1001,I2344))*(실물목록!$R$2:$R$1001="")*(실물목록!$O$2:$O$1001&lt;&gt;""))&gt;0,"확인필요(연도다름)","실물 없음")))))</f>
      </c>
      <c r="G2344" t="n" s="16">
        <f aca="0">IF(B2344="","",SUMPRODUCT((실물목록!$P$2:$P$1001&lt;&gt;"")*ISNUMBER(SEARCH(실물목록!$P$2:$P$1001,I2344))*(실물목록!$Q$2:$Q$1001&lt;&gt;"")*ISNUMBER(SEARCH(실물목록!$Q$2:$Q$1001,I2344))*(실물목록!$R$2:$R$1001="")*(실물목록!$O$2:$O$1001&lt;&gt;"")*(실물목록!$O$2:$O$1001=H2344)))</f>
      </c>
      <c r="H2344" t="str">
        <f>IFERROR(IF(AND(LEN(SUBSTITUTE(SUBSTITUTE(SUBSTITUTE(TRIM(A2344&amp;""),CHAR(160),"")," ",""),"년",""))=4,VALUE(SUBSTITUTE(SUBSTITUTE(SUBSTITUTE(TRIM(A2344&amp;""),CHAR(160),"")," ",""),"년",""))&gt;=1900,VALUE(SUBSTITUTE(SUBSTITUTE(SUBSTITUTE(TRIM(A2344&amp;""),CHAR(160),"")," ",""),"년",""))&lt;=2099,TEXT(VALUE(SUBSTITUTE(SUBSTITUTE(SUBSTITUTE(TRIM(A2344&amp;""),CHAR(160),"")," ",""),"년","")),"0000")=SUBSTITUTE(SUBSTITUTE(SUBSTITUTE(TRIM(A2344&amp;""),CHAR(160),"")," ",""),"년","")),SUBSTITUTE(SUBSTITUTE(SUBSTITUTE(TRIM(A2344&amp;""),CHAR(160),"")," ",""),"년",""),""),"")</f>
      </c>
      <c r="I2344" t="str">
        <f>SUBSTITUTE(SUBSTITUTE(SUBSTITUTE(SUBSTITUTE(SUBSTITUTE(TRIM(B2344&amp;""),CHAR(160),"")," ",""),"초등학교","초"),"중학교","중"),"고등학교","고")</f>
      </c>
    </row>
    <row r="2345" customFormat="false" ht="15" hidden="false" customHeight="false" outlineLevel="0" collapsed="false">
      <c r="A2345" s="8"/>
      <c r="B2345" s="8"/>
      <c r="C2345" s="8"/>
      <c r="D2345" s="8"/>
      <c r="E2345" s="8"/>
      <c r="F2345" t="str" s="15">
        <f aca="0">IF(B2345="","",IF(H2345="","확인필요(입력누락)",IF(SUMPRODUCT((실물목록!$P$2:$P$1001&lt;&gt;"")*ISNUMBER(SEARCH(실물목록!$P$2:$P$1001,I2345))*(실물목록!$Q$2:$Q$1001&lt;&gt;"")*ISNUMBER(SEARCH(실물목록!$Q$2:$Q$1001,I2345))*(실물목록!$R$2:$R$1001="")*(실물목록!$O$2:$O$1001&lt;&gt;"")*(실물목록!$O$2:$O$1001=H2345))&gt;0,"실물 있음",IF(SUMPRODUCT((실물목록!$P$2:$P$1001&lt;&gt;"")*ISNUMBER(SEARCH(실물목록!$P$2:$P$1001,I2345))*(실물목록!$R$2:$R$1001&lt;&gt;""))&gt;0,"확인필요(입력누락)",IF(SUMPRODUCT((실물목록!$P$2:$P$1001&lt;&gt;"")*ISNUMBER(SEARCH(실물목록!$P$2:$P$1001,I2345))*(실물목록!$Q$2:$Q$1001&lt;&gt;"")*ISNUMBER(SEARCH(실물목록!$Q$2:$Q$1001,I2345))*(실물목록!$R$2:$R$1001="")*(실물목록!$O$2:$O$1001&lt;&gt;""))&gt;0,"확인필요(연도다름)","실물 없음")))))</f>
      </c>
      <c r="G2345" t="n" s="16">
        <f aca="0">IF(B2345="","",SUMPRODUCT((실물목록!$P$2:$P$1001&lt;&gt;"")*ISNUMBER(SEARCH(실물목록!$P$2:$P$1001,I2345))*(실물목록!$Q$2:$Q$1001&lt;&gt;"")*ISNUMBER(SEARCH(실물목록!$Q$2:$Q$1001,I2345))*(실물목록!$R$2:$R$1001="")*(실물목록!$O$2:$O$1001&lt;&gt;"")*(실물목록!$O$2:$O$1001=H2345)))</f>
      </c>
      <c r="H2345" t="str">
        <f>IFERROR(IF(AND(LEN(SUBSTITUTE(SUBSTITUTE(SUBSTITUTE(TRIM(A2345&amp;""),CHAR(160),"")," ",""),"년",""))=4,VALUE(SUBSTITUTE(SUBSTITUTE(SUBSTITUTE(TRIM(A2345&amp;""),CHAR(160),"")," ",""),"년",""))&gt;=1900,VALUE(SUBSTITUTE(SUBSTITUTE(SUBSTITUTE(TRIM(A2345&amp;""),CHAR(160),"")," ",""),"년",""))&lt;=2099,TEXT(VALUE(SUBSTITUTE(SUBSTITUTE(SUBSTITUTE(TRIM(A2345&amp;""),CHAR(160),"")," ",""),"년","")),"0000")=SUBSTITUTE(SUBSTITUTE(SUBSTITUTE(TRIM(A2345&amp;""),CHAR(160),"")," ",""),"년","")),SUBSTITUTE(SUBSTITUTE(SUBSTITUTE(TRIM(A2345&amp;""),CHAR(160),"")," ",""),"년",""),""),"")</f>
      </c>
      <c r="I2345" t="str">
        <f>SUBSTITUTE(SUBSTITUTE(SUBSTITUTE(SUBSTITUTE(SUBSTITUTE(TRIM(B2345&amp;""),CHAR(160),"")," ",""),"초등학교","초"),"중학교","중"),"고등학교","고")</f>
      </c>
    </row>
    <row r="2346" customFormat="false" ht="15" hidden="false" customHeight="false" outlineLevel="0" collapsed="false">
      <c r="A2346" s="8"/>
      <c r="B2346" s="8"/>
      <c r="C2346" s="8"/>
      <c r="D2346" s="8"/>
      <c r="E2346" s="8"/>
      <c r="F2346" t="str" s="15">
        <f aca="0">IF(B2346="","",IF(H2346="","확인필요(입력누락)",IF(SUMPRODUCT((실물목록!$P$2:$P$1001&lt;&gt;"")*ISNUMBER(SEARCH(실물목록!$P$2:$P$1001,I2346))*(실물목록!$Q$2:$Q$1001&lt;&gt;"")*ISNUMBER(SEARCH(실물목록!$Q$2:$Q$1001,I2346))*(실물목록!$R$2:$R$1001="")*(실물목록!$O$2:$O$1001&lt;&gt;"")*(실물목록!$O$2:$O$1001=H2346))&gt;0,"실물 있음",IF(SUMPRODUCT((실물목록!$P$2:$P$1001&lt;&gt;"")*ISNUMBER(SEARCH(실물목록!$P$2:$P$1001,I2346))*(실물목록!$R$2:$R$1001&lt;&gt;""))&gt;0,"확인필요(입력누락)",IF(SUMPRODUCT((실물목록!$P$2:$P$1001&lt;&gt;"")*ISNUMBER(SEARCH(실물목록!$P$2:$P$1001,I2346))*(실물목록!$Q$2:$Q$1001&lt;&gt;"")*ISNUMBER(SEARCH(실물목록!$Q$2:$Q$1001,I2346))*(실물목록!$R$2:$R$1001="")*(실물목록!$O$2:$O$1001&lt;&gt;""))&gt;0,"확인필요(연도다름)","실물 없음")))))</f>
      </c>
      <c r="G2346" t="n" s="16">
        <f aca="0">IF(B2346="","",SUMPRODUCT((실물목록!$P$2:$P$1001&lt;&gt;"")*ISNUMBER(SEARCH(실물목록!$P$2:$P$1001,I2346))*(실물목록!$Q$2:$Q$1001&lt;&gt;"")*ISNUMBER(SEARCH(실물목록!$Q$2:$Q$1001,I2346))*(실물목록!$R$2:$R$1001="")*(실물목록!$O$2:$O$1001&lt;&gt;"")*(실물목록!$O$2:$O$1001=H2346)))</f>
      </c>
      <c r="H2346" t="str">
        <f>IFERROR(IF(AND(LEN(SUBSTITUTE(SUBSTITUTE(SUBSTITUTE(TRIM(A2346&amp;""),CHAR(160),"")," ",""),"년",""))=4,VALUE(SUBSTITUTE(SUBSTITUTE(SUBSTITUTE(TRIM(A2346&amp;""),CHAR(160),"")," ",""),"년",""))&gt;=1900,VALUE(SUBSTITUTE(SUBSTITUTE(SUBSTITUTE(TRIM(A2346&amp;""),CHAR(160),"")," ",""),"년",""))&lt;=2099,TEXT(VALUE(SUBSTITUTE(SUBSTITUTE(SUBSTITUTE(TRIM(A2346&amp;""),CHAR(160),"")," ",""),"년","")),"0000")=SUBSTITUTE(SUBSTITUTE(SUBSTITUTE(TRIM(A2346&amp;""),CHAR(160),"")," ",""),"년","")),SUBSTITUTE(SUBSTITUTE(SUBSTITUTE(TRIM(A2346&amp;""),CHAR(160),"")," ",""),"년",""),""),"")</f>
      </c>
      <c r="I2346" t="str">
        <f>SUBSTITUTE(SUBSTITUTE(SUBSTITUTE(SUBSTITUTE(SUBSTITUTE(TRIM(B2346&amp;""),CHAR(160),"")," ",""),"초등학교","초"),"중학교","중"),"고등학교","고")</f>
      </c>
    </row>
    <row r="2347" customFormat="false" ht="15" hidden="false" customHeight="false" outlineLevel="0" collapsed="false">
      <c r="A2347" s="8"/>
      <c r="B2347" s="8"/>
      <c r="C2347" s="8"/>
      <c r="D2347" s="8"/>
      <c r="E2347" s="8"/>
      <c r="F2347" t="str" s="15">
        <f aca="0">IF(B2347="","",IF(H2347="","확인필요(입력누락)",IF(SUMPRODUCT((실물목록!$P$2:$P$1001&lt;&gt;"")*ISNUMBER(SEARCH(실물목록!$P$2:$P$1001,I2347))*(실물목록!$Q$2:$Q$1001&lt;&gt;"")*ISNUMBER(SEARCH(실물목록!$Q$2:$Q$1001,I2347))*(실물목록!$R$2:$R$1001="")*(실물목록!$O$2:$O$1001&lt;&gt;"")*(실물목록!$O$2:$O$1001=H2347))&gt;0,"실물 있음",IF(SUMPRODUCT((실물목록!$P$2:$P$1001&lt;&gt;"")*ISNUMBER(SEARCH(실물목록!$P$2:$P$1001,I2347))*(실물목록!$R$2:$R$1001&lt;&gt;""))&gt;0,"확인필요(입력누락)",IF(SUMPRODUCT((실물목록!$P$2:$P$1001&lt;&gt;"")*ISNUMBER(SEARCH(실물목록!$P$2:$P$1001,I2347))*(실물목록!$Q$2:$Q$1001&lt;&gt;"")*ISNUMBER(SEARCH(실물목록!$Q$2:$Q$1001,I2347))*(실물목록!$R$2:$R$1001="")*(실물목록!$O$2:$O$1001&lt;&gt;""))&gt;0,"확인필요(연도다름)","실물 없음")))))</f>
      </c>
      <c r="G2347" t="n" s="16">
        <f aca="0">IF(B2347="","",SUMPRODUCT((실물목록!$P$2:$P$1001&lt;&gt;"")*ISNUMBER(SEARCH(실물목록!$P$2:$P$1001,I2347))*(실물목록!$Q$2:$Q$1001&lt;&gt;"")*ISNUMBER(SEARCH(실물목록!$Q$2:$Q$1001,I2347))*(실물목록!$R$2:$R$1001="")*(실물목록!$O$2:$O$1001&lt;&gt;"")*(실물목록!$O$2:$O$1001=H2347)))</f>
      </c>
      <c r="H2347" t="str">
        <f>IFERROR(IF(AND(LEN(SUBSTITUTE(SUBSTITUTE(SUBSTITUTE(TRIM(A2347&amp;""),CHAR(160),"")," ",""),"년",""))=4,VALUE(SUBSTITUTE(SUBSTITUTE(SUBSTITUTE(TRIM(A2347&amp;""),CHAR(160),"")," ",""),"년",""))&gt;=1900,VALUE(SUBSTITUTE(SUBSTITUTE(SUBSTITUTE(TRIM(A2347&amp;""),CHAR(160),"")," ",""),"년",""))&lt;=2099,TEXT(VALUE(SUBSTITUTE(SUBSTITUTE(SUBSTITUTE(TRIM(A2347&amp;""),CHAR(160),"")," ",""),"년","")),"0000")=SUBSTITUTE(SUBSTITUTE(SUBSTITUTE(TRIM(A2347&amp;""),CHAR(160),"")," ",""),"년","")),SUBSTITUTE(SUBSTITUTE(SUBSTITUTE(TRIM(A2347&amp;""),CHAR(160),"")," ",""),"년",""),""),"")</f>
      </c>
      <c r="I2347" t="str">
        <f>SUBSTITUTE(SUBSTITUTE(SUBSTITUTE(SUBSTITUTE(SUBSTITUTE(TRIM(B2347&amp;""),CHAR(160),"")," ",""),"초등학교","초"),"중학교","중"),"고등학교","고")</f>
      </c>
    </row>
    <row r="2348" customFormat="false" ht="15" hidden="false" customHeight="false" outlineLevel="0" collapsed="false">
      <c r="A2348" s="8"/>
      <c r="B2348" s="8"/>
      <c r="C2348" s="8"/>
      <c r="D2348" s="8"/>
      <c r="E2348" s="8"/>
      <c r="F2348" t="str" s="15">
        <f aca="0">IF(B2348="","",IF(H2348="","확인필요(입력누락)",IF(SUMPRODUCT((실물목록!$P$2:$P$1001&lt;&gt;"")*ISNUMBER(SEARCH(실물목록!$P$2:$P$1001,I2348))*(실물목록!$Q$2:$Q$1001&lt;&gt;"")*ISNUMBER(SEARCH(실물목록!$Q$2:$Q$1001,I2348))*(실물목록!$R$2:$R$1001="")*(실물목록!$O$2:$O$1001&lt;&gt;"")*(실물목록!$O$2:$O$1001=H2348))&gt;0,"실물 있음",IF(SUMPRODUCT((실물목록!$P$2:$P$1001&lt;&gt;"")*ISNUMBER(SEARCH(실물목록!$P$2:$P$1001,I2348))*(실물목록!$R$2:$R$1001&lt;&gt;""))&gt;0,"확인필요(입력누락)",IF(SUMPRODUCT((실물목록!$P$2:$P$1001&lt;&gt;"")*ISNUMBER(SEARCH(실물목록!$P$2:$P$1001,I2348))*(실물목록!$Q$2:$Q$1001&lt;&gt;"")*ISNUMBER(SEARCH(실물목록!$Q$2:$Q$1001,I2348))*(실물목록!$R$2:$R$1001="")*(실물목록!$O$2:$O$1001&lt;&gt;""))&gt;0,"확인필요(연도다름)","실물 없음")))))</f>
      </c>
      <c r="G2348" t="n" s="16">
        <f aca="0">IF(B2348="","",SUMPRODUCT((실물목록!$P$2:$P$1001&lt;&gt;"")*ISNUMBER(SEARCH(실물목록!$P$2:$P$1001,I2348))*(실물목록!$Q$2:$Q$1001&lt;&gt;"")*ISNUMBER(SEARCH(실물목록!$Q$2:$Q$1001,I2348))*(실물목록!$R$2:$R$1001="")*(실물목록!$O$2:$O$1001&lt;&gt;"")*(실물목록!$O$2:$O$1001=H2348)))</f>
      </c>
      <c r="H2348" t="str">
        <f>IFERROR(IF(AND(LEN(SUBSTITUTE(SUBSTITUTE(SUBSTITUTE(TRIM(A2348&amp;""),CHAR(160),"")," ",""),"년",""))=4,VALUE(SUBSTITUTE(SUBSTITUTE(SUBSTITUTE(TRIM(A2348&amp;""),CHAR(160),"")," ",""),"년",""))&gt;=1900,VALUE(SUBSTITUTE(SUBSTITUTE(SUBSTITUTE(TRIM(A2348&amp;""),CHAR(160),"")," ",""),"년",""))&lt;=2099,TEXT(VALUE(SUBSTITUTE(SUBSTITUTE(SUBSTITUTE(TRIM(A2348&amp;""),CHAR(160),"")," ",""),"년","")),"0000")=SUBSTITUTE(SUBSTITUTE(SUBSTITUTE(TRIM(A2348&amp;""),CHAR(160),"")," ",""),"년","")),SUBSTITUTE(SUBSTITUTE(SUBSTITUTE(TRIM(A2348&amp;""),CHAR(160),"")," ",""),"년",""),""),"")</f>
      </c>
      <c r="I2348" t="str">
        <f>SUBSTITUTE(SUBSTITUTE(SUBSTITUTE(SUBSTITUTE(SUBSTITUTE(TRIM(B2348&amp;""),CHAR(160),"")," ",""),"초등학교","초"),"중학교","중"),"고등학교","고")</f>
      </c>
    </row>
    <row r="2349" customFormat="false" ht="15" hidden="false" customHeight="false" outlineLevel="0" collapsed="false">
      <c r="A2349" s="8"/>
      <c r="B2349" s="8"/>
      <c r="C2349" s="8"/>
      <c r="D2349" s="8"/>
      <c r="E2349" s="8"/>
      <c r="F2349" t="str" s="15">
        <f aca="0">IF(B2349="","",IF(H2349="","확인필요(입력누락)",IF(SUMPRODUCT((실물목록!$P$2:$P$1001&lt;&gt;"")*ISNUMBER(SEARCH(실물목록!$P$2:$P$1001,I2349))*(실물목록!$Q$2:$Q$1001&lt;&gt;"")*ISNUMBER(SEARCH(실물목록!$Q$2:$Q$1001,I2349))*(실물목록!$R$2:$R$1001="")*(실물목록!$O$2:$O$1001&lt;&gt;"")*(실물목록!$O$2:$O$1001=H2349))&gt;0,"실물 있음",IF(SUMPRODUCT((실물목록!$P$2:$P$1001&lt;&gt;"")*ISNUMBER(SEARCH(실물목록!$P$2:$P$1001,I2349))*(실물목록!$R$2:$R$1001&lt;&gt;""))&gt;0,"확인필요(입력누락)",IF(SUMPRODUCT((실물목록!$P$2:$P$1001&lt;&gt;"")*ISNUMBER(SEARCH(실물목록!$P$2:$P$1001,I2349))*(실물목록!$Q$2:$Q$1001&lt;&gt;"")*ISNUMBER(SEARCH(실물목록!$Q$2:$Q$1001,I2349))*(실물목록!$R$2:$R$1001="")*(실물목록!$O$2:$O$1001&lt;&gt;""))&gt;0,"확인필요(연도다름)","실물 없음")))))</f>
      </c>
      <c r="G2349" t="n" s="16">
        <f aca="0">IF(B2349="","",SUMPRODUCT((실물목록!$P$2:$P$1001&lt;&gt;"")*ISNUMBER(SEARCH(실물목록!$P$2:$P$1001,I2349))*(실물목록!$Q$2:$Q$1001&lt;&gt;"")*ISNUMBER(SEARCH(실물목록!$Q$2:$Q$1001,I2349))*(실물목록!$R$2:$R$1001="")*(실물목록!$O$2:$O$1001&lt;&gt;"")*(실물목록!$O$2:$O$1001=H2349)))</f>
      </c>
      <c r="H2349" t="str">
        <f>IFERROR(IF(AND(LEN(SUBSTITUTE(SUBSTITUTE(SUBSTITUTE(TRIM(A2349&amp;""),CHAR(160),"")," ",""),"년",""))=4,VALUE(SUBSTITUTE(SUBSTITUTE(SUBSTITUTE(TRIM(A2349&amp;""),CHAR(160),"")," ",""),"년",""))&gt;=1900,VALUE(SUBSTITUTE(SUBSTITUTE(SUBSTITUTE(TRIM(A2349&amp;""),CHAR(160),"")," ",""),"년",""))&lt;=2099,TEXT(VALUE(SUBSTITUTE(SUBSTITUTE(SUBSTITUTE(TRIM(A2349&amp;""),CHAR(160),"")," ",""),"년","")),"0000")=SUBSTITUTE(SUBSTITUTE(SUBSTITUTE(TRIM(A2349&amp;""),CHAR(160),"")," ",""),"년","")),SUBSTITUTE(SUBSTITUTE(SUBSTITUTE(TRIM(A2349&amp;""),CHAR(160),"")," ",""),"년",""),""),"")</f>
      </c>
      <c r="I2349" t="str">
        <f>SUBSTITUTE(SUBSTITUTE(SUBSTITUTE(SUBSTITUTE(SUBSTITUTE(TRIM(B2349&amp;""),CHAR(160),"")," ",""),"초등학교","초"),"중학교","중"),"고등학교","고")</f>
      </c>
    </row>
    <row r="2350" customFormat="false" ht="15" hidden="false" customHeight="false" outlineLevel="0" collapsed="false">
      <c r="A2350" s="8"/>
      <c r="B2350" s="8"/>
      <c r="C2350" s="8"/>
      <c r="D2350" s="8"/>
      <c r="E2350" s="8"/>
      <c r="F2350" t="str" s="15">
        <f aca="0">IF(B2350="","",IF(H2350="","확인필요(입력누락)",IF(SUMPRODUCT((실물목록!$P$2:$P$1001&lt;&gt;"")*ISNUMBER(SEARCH(실물목록!$P$2:$P$1001,I2350))*(실물목록!$Q$2:$Q$1001&lt;&gt;"")*ISNUMBER(SEARCH(실물목록!$Q$2:$Q$1001,I2350))*(실물목록!$R$2:$R$1001="")*(실물목록!$O$2:$O$1001&lt;&gt;"")*(실물목록!$O$2:$O$1001=H2350))&gt;0,"실물 있음",IF(SUMPRODUCT((실물목록!$P$2:$P$1001&lt;&gt;"")*ISNUMBER(SEARCH(실물목록!$P$2:$P$1001,I2350))*(실물목록!$R$2:$R$1001&lt;&gt;""))&gt;0,"확인필요(입력누락)",IF(SUMPRODUCT((실물목록!$P$2:$P$1001&lt;&gt;"")*ISNUMBER(SEARCH(실물목록!$P$2:$P$1001,I2350))*(실물목록!$Q$2:$Q$1001&lt;&gt;"")*ISNUMBER(SEARCH(실물목록!$Q$2:$Q$1001,I2350))*(실물목록!$R$2:$R$1001="")*(실물목록!$O$2:$O$1001&lt;&gt;""))&gt;0,"확인필요(연도다름)","실물 없음")))))</f>
      </c>
      <c r="G2350" t="n" s="16">
        <f aca="0">IF(B2350="","",SUMPRODUCT((실물목록!$P$2:$P$1001&lt;&gt;"")*ISNUMBER(SEARCH(실물목록!$P$2:$P$1001,I2350))*(실물목록!$Q$2:$Q$1001&lt;&gt;"")*ISNUMBER(SEARCH(실물목록!$Q$2:$Q$1001,I2350))*(실물목록!$R$2:$R$1001="")*(실물목록!$O$2:$O$1001&lt;&gt;"")*(실물목록!$O$2:$O$1001=H2350)))</f>
      </c>
      <c r="H2350" t="str">
        <f>IFERROR(IF(AND(LEN(SUBSTITUTE(SUBSTITUTE(SUBSTITUTE(TRIM(A2350&amp;""),CHAR(160),"")," ",""),"년",""))=4,VALUE(SUBSTITUTE(SUBSTITUTE(SUBSTITUTE(TRIM(A2350&amp;""),CHAR(160),"")," ",""),"년",""))&gt;=1900,VALUE(SUBSTITUTE(SUBSTITUTE(SUBSTITUTE(TRIM(A2350&amp;""),CHAR(160),"")," ",""),"년",""))&lt;=2099,TEXT(VALUE(SUBSTITUTE(SUBSTITUTE(SUBSTITUTE(TRIM(A2350&amp;""),CHAR(160),"")," ",""),"년","")),"0000")=SUBSTITUTE(SUBSTITUTE(SUBSTITUTE(TRIM(A2350&amp;""),CHAR(160),"")," ",""),"년","")),SUBSTITUTE(SUBSTITUTE(SUBSTITUTE(TRIM(A2350&amp;""),CHAR(160),"")," ",""),"년",""),""),"")</f>
      </c>
      <c r="I2350" t="str">
        <f>SUBSTITUTE(SUBSTITUTE(SUBSTITUTE(SUBSTITUTE(SUBSTITUTE(TRIM(B2350&amp;""),CHAR(160),"")," ",""),"초등학교","초"),"중학교","중"),"고등학교","고")</f>
      </c>
    </row>
    <row r="2351" customFormat="false" ht="15" hidden="false" customHeight="false" outlineLevel="0" collapsed="false">
      <c r="A2351" s="8"/>
      <c r="B2351" s="8"/>
      <c r="C2351" s="8"/>
      <c r="D2351" s="8"/>
      <c r="E2351" s="8"/>
      <c r="F2351" t="str" s="15">
        <f aca="0">IF(B2351="","",IF(H2351="","확인필요(입력누락)",IF(SUMPRODUCT((실물목록!$P$2:$P$1001&lt;&gt;"")*ISNUMBER(SEARCH(실물목록!$P$2:$P$1001,I2351))*(실물목록!$Q$2:$Q$1001&lt;&gt;"")*ISNUMBER(SEARCH(실물목록!$Q$2:$Q$1001,I2351))*(실물목록!$R$2:$R$1001="")*(실물목록!$O$2:$O$1001&lt;&gt;"")*(실물목록!$O$2:$O$1001=H2351))&gt;0,"실물 있음",IF(SUMPRODUCT((실물목록!$P$2:$P$1001&lt;&gt;"")*ISNUMBER(SEARCH(실물목록!$P$2:$P$1001,I2351))*(실물목록!$R$2:$R$1001&lt;&gt;""))&gt;0,"확인필요(입력누락)",IF(SUMPRODUCT((실물목록!$P$2:$P$1001&lt;&gt;"")*ISNUMBER(SEARCH(실물목록!$P$2:$P$1001,I2351))*(실물목록!$Q$2:$Q$1001&lt;&gt;"")*ISNUMBER(SEARCH(실물목록!$Q$2:$Q$1001,I2351))*(실물목록!$R$2:$R$1001="")*(실물목록!$O$2:$O$1001&lt;&gt;""))&gt;0,"확인필요(연도다름)","실물 없음")))))</f>
      </c>
      <c r="G2351" t="n" s="16">
        <f aca="0">IF(B2351="","",SUMPRODUCT((실물목록!$P$2:$P$1001&lt;&gt;"")*ISNUMBER(SEARCH(실물목록!$P$2:$P$1001,I2351))*(실물목록!$Q$2:$Q$1001&lt;&gt;"")*ISNUMBER(SEARCH(실물목록!$Q$2:$Q$1001,I2351))*(실물목록!$R$2:$R$1001="")*(실물목록!$O$2:$O$1001&lt;&gt;"")*(실물목록!$O$2:$O$1001=H2351)))</f>
      </c>
      <c r="H2351" t="str">
        <f>IFERROR(IF(AND(LEN(SUBSTITUTE(SUBSTITUTE(SUBSTITUTE(TRIM(A2351&amp;""),CHAR(160),"")," ",""),"년",""))=4,VALUE(SUBSTITUTE(SUBSTITUTE(SUBSTITUTE(TRIM(A2351&amp;""),CHAR(160),"")," ",""),"년",""))&gt;=1900,VALUE(SUBSTITUTE(SUBSTITUTE(SUBSTITUTE(TRIM(A2351&amp;""),CHAR(160),"")," ",""),"년",""))&lt;=2099,TEXT(VALUE(SUBSTITUTE(SUBSTITUTE(SUBSTITUTE(TRIM(A2351&amp;""),CHAR(160),"")," ",""),"년","")),"0000")=SUBSTITUTE(SUBSTITUTE(SUBSTITUTE(TRIM(A2351&amp;""),CHAR(160),"")," ",""),"년","")),SUBSTITUTE(SUBSTITUTE(SUBSTITUTE(TRIM(A2351&amp;""),CHAR(160),"")," ",""),"년",""),""),"")</f>
      </c>
      <c r="I2351" t="str">
        <f>SUBSTITUTE(SUBSTITUTE(SUBSTITUTE(SUBSTITUTE(SUBSTITUTE(TRIM(B2351&amp;""),CHAR(160),"")," ",""),"초등학교","초"),"중학교","중"),"고등학교","고")</f>
      </c>
    </row>
    <row r="2352" customFormat="false" ht="15" hidden="false" customHeight="false" outlineLevel="0" collapsed="false">
      <c r="A2352" s="8"/>
      <c r="B2352" s="8"/>
      <c r="C2352" s="8"/>
      <c r="D2352" s="8"/>
      <c r="E2352" s="8"/>
      <c r="F2352" t="str" s="15">
        <f aca="0">IF(B2352="","",IF(H2352="","확인필요(입력누락)",IF(SUMPRODUCT((실물목록!$P$2:$P$1001&lt;&gt;"")*ISNUMBER(SEARCH(실물목록!$P$2:$P$1001,I2352))*(실물목록!$Q$2:$Q$1001&lt;&gt;"")*ISNUMBER(SEARCH(실물목록!$Q$2:$Q$1001,I2352))*(실물목록!$R$2:$R$1001="")*(실물목록!$O$2:$O$1001&lt;&gt;"")*(실물목록!$O$2:$O$1001=H2352))&gt;0,"실물 있음",IF(SUMPRODUCT((실물목록!$P$2:$P$1001&lt;&gt;"")*ISNUMBER(SEARCH(실물목록!$P$2:$P$1001,I2352))*(실물목록!$R$2:$R$1001&lt;&gt;""))&gt;0,"확인필요(입력누락)",IF(SUMPRODUCT((실물목록!$P$2:$P$1001&lt;&gt;"")*ISNUMBER(SEARCH(실물목록!$P$2:$P$1001,I2352))*(실물목록!$Q$2:$Q$1001&lt;&gt;"")*ISNUMBER(SEARCH(실물목록!$Q$2:$Q$1001,I2352))*(실물목록!$R$2:$R$1001="")*(실물목록!$O$2:$O$1001&lt;&gt;""))&gt;0,"확인필요(연도다름)","실물 없음")))))</f>
      </c>
      <c r="G2352" t="n" s="16">
        <f aca="0">IF(B2352="","",SUMPRODUCT((실물목록!$P$2:$P$1001&lt;&gt;"")*ISNUMBER(SEARCH(실물목록!$P$2:$P$1001,I2352))*(실물목록!$Q$2:$Q$1001&lt;&gt;"")*ISNUMBER(SEARCH(실물목록!$Q$2:$Q$1001,I2352))*(실물목록!$R$2:$R$1001="")*(실물목록!$O$2:$O$1001&lt;&gt;"")*(실물목록!$O$2:$O$1001=H2352)))</f>
      </c>
      <c r="H2352" t="str">
        <f>IFERROR(IF(AND(LEN(SUBSTITUTE(SUBSTITUTE(SUBSTITUTE(TRIM(A2352&amp;""),CHAR(160),"")," ",""),"년",""))=4,VALUE(SUBSTITUTE(SUBSTITUTE(SUBSTITUTE(TRIM(A2352&amp;""),CHAR(160),"")," ",""),"년",""))&gt;=1900,VALUE(SUBSTITUTE(SUBSTITUTE(SUBSTITUTE(TRIM(A2352&amp;""),CHAR(160),"")," ",""),"년",""))&lt;=2099,TEXT(VALUE(SUBSTITUTE(SUBSTITUTE(SUBSTITUTE(TRIM(A2352&amp;""),CHAR(160),"")," ",""),"년","")),"0000")=SUBSTITUTE(SUBSTITUTE(SUBSTITUTE(TRIM(A2352&amp;""),CHAR(160),"")," ",""),"년","")),SUBSTITUTE(SUBSTITUTE(SUBSTITUTE(TRIM(A2352&amp;""),CHAR(160),"")," ",""),"년",""),""),"")</f>
      </c>
      <c r="I2352" t="str">
        <f>SUBSTITUTE(SUBSTITUTE(SUBSTITUTE(SUBSTITUTE(SUBSTITUTE(TRIM(B2352&amp;""),CHAR(160),"")," ",""),"초등학교","초"),"중학교","중"),"고등학교","고")</f>
      </c>
    </row>
    <row r="2353" customFormat="false" ht="15" hidden="false" customHeight="false" outlineLevel="0" collapsed="false">
      <c r="A2353" s="8"/>
      <c r="B2353" s="8"/>
      <c r="C2353" s="8"/>
      <c r="D2353" s="8"/>
      <c r="E2353" s="8"/>
      <c r="F2353" t="str" s="15">
        <f aca="0">IF(B2353="","",IF(H2353="","확인필요(입력누락)",IF(SUMPRODUCT((실물목록!$P$2:$P$1001&lt;&gt;"")*ISNUMBER(SEARCH(실물목록!$P$2:$P$1001,I2353))*(실물목록!$Q$2:$Q$1001&lt;&gt;"")*ISNUMBER(SEARCH(실물목록!$Q$2:$Q$1001,I2353))*(실물목록!$R$2:$R$1001="")*(실물목록!$O$2:$O$1001&lt;&gt;"")*(실물목록!$O$2:$O$1001=H2353))&gt;0,"실물 있음",IF(SUMPRODUCT((실물목록!$P$2:$P$1001&lt;&gt;"")*ISNUMBER(SEARCH(실물목록!$P$2:$P$1001,I2353))*(실물목록!$R$2:$R$1001&lt;&gt;""))&gt;0,"확인필요(입력누락)",IF(SUMPRODUCT((실물목록!$P$2:$P$1001&lt;&gt;"")*ISNUMBER(SEARCH(실물목록!$P$2:$P$1001,I2353))*(실물목록!$Q$2:$Q$1001&lt;&gt;"")*ISNUMBER(SEARCH(실물목록!$Q$2:$Q$1001,I2353))*(실물목록!$R$2:$R$1001="")*(실물목록!$O$2:$O$1001&lt;&gt;""))&gt;0,"확인필요(연도다름)","실물 없음")))))</f>
      </c>
      <c r="G2353" t="n" s="16">
        <f aca="0">IF(B2353="","",SUMPRODUCT((실물목록!$P$2:$P$1001&lt;&gt;"")*ISNUMBER(SEARCH(실물목록!$P$2:$P$1001,I2353))*(실물목록!$Q$2:$Q$1001&lt;&gt;"")*ISNUMBER(SEARCH(실물목록!$Q$2:$Q$1001,I2353))*(실물목록!$R$2:$R$1001="")*(실물목록!$O$2:$O$1001&lt;&gt;"")*(실물목록!$O$2:$O$1001=H2353)))</f>
      </c>
      <c r="H2353" t="str">
        <f>IFERROR(IF(AND(LEN(SUBSTITUTE(SUBSTITUTE(SUBSTITUTE(TRIM(A2353&amp;""),CHAR(160),"")," ",""),"년",""))=4,VALUE(SUBSTITUTE(SUBSTITUTE(SUBSTITUTE(TRIM(A2353&amp;""),CHAR(160),"")," ",""),"년",""))&gt;=1900,VALUE(SUBSTITUTE(SUBSTITUTE(SUBSTITUTE(TRIM(A2353&amp;""),CHAR(160),"")," ",""),"년",""))&lt;=2099,TEXT(VALUE(SUBSTITUTE(SUBSTITUTE(SUBSTITUTE(TRIM(A2353&amp;""),CHAR(160),"")," ",""),"년","")),"0000")=SUBSTITUTE(SUBSTITUTE(SUBSTITUTE(TRIM(A2353&amp;""),CHAR(160),"")," ",""),"년","")),SUBSTITUTE(SUBSTITUTE(SUBSTITUTE(TRIM(A2353&amp;""),CHAR(160),"")," ",""),"년",""),""),"")</f>
      </c>
      <c r="I2353" t="str">
        <f>SUBSTITUTE(SUBSTITUTE(SUBSTITUTE(SUBSTITUTE(SUBSTITUTE(TRIM(B2353&amp;""),CHAR(160),"")," ",""),"초등학교","초"),"중학교","중"),"고등학교","고")</f>
      </c>
    </row>
    <row r="2354" customFormat="false" ht="15" hidden="false" customHeight="false" outlineLevel="0" collapsed="false">
      <c r="A2354" s="8"/>
      <c r="B2354" s="8"/>
      <c r="C2354" s="8"/>
      <c r="D2354" s="8"/>
      <c r="E2354" s="8"/>
      <c r="F2354" t="str" s="15">
        <f aca="0">IF(B2354="","",IF(H2354="","확인필요(입력누락)",IF(SUMPRODUCT((실물목록!$P$2:$P$1001&lt;&gt;"")*ISNUMBER(SEARCH(실물목록!$P$2:$P$1001,I2354))*(실물목록!$Q$2:$Q$1001&lt;&gt;"")*ISNUMBER(SEARCH(실물목록!$Q$2:$Q$1001,I2354))*(실물목록!$R$2:$R$1001="")*(실물목록!$O$2:$O$1001&lt;&gt;"")*(실물목록!$O$2:$O$1001=H2354))&gt;0,"실물 있음",IF(SUMPRODUCT((실물목록!$P$2:$P$1001&lt;&gt;"")*ISNUMBER(SEARCH(실물목록!$P$2:$P$1001,I2354))*(실물목록!$R$2:$R$1001&lt;&gt;""))&gt;0,"확인필요(입력누락)",IF(SUMPRODUCT((실물목록!$P$2:$P$1001&lt;&gt;"")*ISNUMBER(SEARCH(실물목록!$P$2:$P$1001,I2354))*(실물목록!$Q$2:$Q$1001&lt;&gt;"")*ISNUMBER(SEARCH(실물목록!$Q$2:$Q$1001,I2354))*(실물목록!$R$2:$R$1001="")*(실물목록!$O$2:$O$1001&lt;&gt;""))&gt;0,"확인필요(연도다름)","실물 없음")))))</f>
      </c>
      <c r="G2354" t="n" s="16">
        <f aca="0">IF(B2354="","",SUMPRODUCT((실물목록!$P$2:$P$1001&lt;&gt;"")*ISNUMBER(SEARCH(실물목록!$P$2:$P$1001,I2354))*(실물목록!$Q$2:$Q$1001&lt;&gt;"")*ISNUMBER(SEARCH(실물목록!$Q$2:$Q$1001,I2354))*(실물목록!$R$2:$R$1001="")*(실물목록!$O$2:$O$1001&lt;&gt;"")*(실물목록!$O$2:$O$1001=H2354)))</f>
      </c>
      <c r="H2354" t="str">
        <f>IFERROR(IF(AND(LEN(SUBSTITUTE(SUBSTITUTE(SUBSTITUTE(TRIM(A2354&amp;""),CHAR(160),"")," ",""),"년",""))=4,VALUE(SUBSTITUTE(SUBSTITUTE(SUBSTITUTE(TRIM(A2354&amp;""),CHAR(160),"")," ",""),"년",""))&gt;=1900,VALUE(SUBSTITUTE(SUBSTITUTE(SUBSTITUTE(TRIM(A2354&amp;""),CHAR(160),"")," ",""),"년",""))&lt;=2099,TEXT(VALUE(SUBSTITUTE(SUBSTITUTE(SUBSTITUTE(TRIM(A2354&amp;""),CHAR(160),"")," ",""),"년","")),"0000")=SUBSTITUTE(SUBSTITUTE(SUBSTITUTE(TRIM(A2354&amp;""),CHAR(160),"")," ",""),"년","")),SUBSTITUTE(SUBSTITUTE(SUBSTITUTE(TRIM(A2354&amp;""),CHAR(160),"")," ",""),"년",""),""),"")</f>
      </c>
      <c r="I2354" t="str">
        <f>SUBSTITUTE(SUBSTITUTE(SUBSTITUTE(SUBSTITUTE(SUBSTITUTE(TRIM(B2354&amp;""),CHAR(160),"")," ",""),"초등학교","초"),"중학교","중"),"고등학교","고")</f>
      </c>
    </row>
    <row r="2355" customFormat="false" ht="15" hidden="false" customHeight="false" outlineLevel="0" collapsed="false">
      <c r="A2355" s="8"/>
      <c r="B2355" s="8"/>
      <c r="C2355" s="8"/>
      <c r="D2355" s="8"/>
      <c r="E2355" s="8"/>
      <c r="F2355" t="str" s="15">
        <f aca="0">IF(B2355="","",IF(H2355="","확인필요(입력누락)",IF(SUMPRODUCT((실물목록!$P$2:$P$1001&lt;&gt;"")*ISNUMBER(SEARCH(실물목록!$P$2:$P$1001,I2355))*(실물목록!$Q$2:$Q$1001&lt;&gt;"")*ISNUMBER(SEARCH(실물목록!$Q$2:$Q$1001,I2355))*(실물목록!$R$2:$R$1001="")*(실물목록!$O$2:$O$1001&lt;&gt;"")*(실물목록!$O$2:$O$1001=H2355))&gt;0,"실물 있음",IF(SUMPRODUCT((실물목록!$P$2:$P$1001&lt;&gt;"")*ISNUMBER(SEARCH(실물목록!$P$2:$P$1001,I2355))*(실물목록!$R$2:$R$1001&lt;&gt;""))&gt;0,"확인필요(입력누락)",IF(SUMPRODUCT((실물목록!$P$2:$P$1001&lt;&gt;"")*ISNUMBER(SEARCH(실물목록!$P$2:$P$1001,I2355))*(실물목록!$Q$2:$Q$1001&lt;&gt;"")*ISNUMBER(SEARCH(실물목록!$Q$2:$Q$1001,I2355))*(실물목록!$R$2:$R$1001="")*(실물목록!$O$2:$O$1001&lt;&gt;""))&gt;0,"확인필요(연도다름)","실물 없음")))))</f>
      </c>
      <c r="G2355" t="n" s="16">
        <f aca="0">IF(B2355="","",SUMPRODUCT((실물목록!$P$2:$P$1001&lt;&gt;"")*ISNUMBER(SEARCH(실물목록!$P$2:$P$1001,I2355))*(실물목록!$Q$2:$Q$1001&lt;&gt;"")*ISNUMBER(SEARCH(실물목록!$Q$2:$Q$1001,I2355))*(실물목록!$R$2:$R$1001="")*(실물목록!$O$2:$O$1001&lt;&gt;"")*(실물목록!$O$2:$O$1001=H2355)))</f>
      </c>
      <c r="H2355" t="str">
        <f>IFERROR(IF(AND(LEN(SUBSTITUTE(SUBSTITUTE(SUBSTITUTE(TRIM(A2355&amp;""),CHAR(160),"")," ",""),"년",""))=4,VALUE(SUBSTITUTE(SUBSTITUTE(SUBSTITUTE(TRIM(A2355&amp;""),CHAR(160),"")," ",""),"년",""))&gt;=1900,VALUE(SUBSTITUTE(SUBSTITUTE(SUBSTITUTE(TRIM(A2355&amp;""),CHAR(160),"")," ",""),"년",""))&lt;=2099,TEXT(VALUE(SUBSTITUTE(SUBSTITUTE(SUBSTITUTE(TRIM(A2355&amp;""),CHAR(160),"")," ",""),"년","")),"0000")=SUBSTITUTE(SUBSTITUTE(SUBSTITUTE(TRIM(A2355&amp;""),CHAR(160),"")," ",""),"년","")),SUBSTITUTE(SUBSTITUTE(SUBSTITUTE(TRIM(A2355&amp;""),CHAR(160),"")," ",""),"년",""),""),"")</f>
      </c>
      <c r="I2355" t="str">
        <f>SUBSTITUTE(SUBSTITUTE(SUBSTITUTE(SUBSTITUTE(SUBSTITUTE(TRIM(B2355&amp;""),CHAR(160),"")," ",""),"초등학교","초"),"중학교","중"),"고등학교","고")</f>
      </c>
    </row>
    <row r="2356" customFormat="false" ht="15" hidden="false" customHeight="false" outlineLevel="0" collapsed="false">
      <c r="A2356" s="8"/>
      <c r="B2356" s="8"/>
      <c r="C2356" s="8"/>
      <c r="D2356" s="8"/>
      <c r="E2356" s="8"/>
      <c r="F2356" t="str" s="15">
        <f aca="0">IF(B2356="","",IF(H2356="","확인필요(입력누락)",IF(SUMPRODUCT((실물목록!$P$2:$P$1001&lt;&gt;"")*ISNUMBER(SEARCH(실물목록!$P$2:$P$1001,I2356))*(실물목록!$Q$2:$Q$1001&lt;&gt;"")*ISNUMBER(SEARCH(실물목록!$Q$2:$Q$1001,I2356))*(실물목록!$R$2:$R$1001="")*(실물목록!$O$2:$O$1001&lt;&gt;"")*(실물목록!$O$2:$O$1001=H2356))&gt;0,"실물 있음",IF(SUMPRODUCT((실물목록!$P$2:$P$1001&lt;&gt;"")*ISNUMBER(SEARCH(실물목록!$P$2:$P$1001,I2356))*(실물목록!$R$2:$R$1001&lt;&gt;""))&gt;0,"확인필요(입력누락)",IF(SUMPRODUCT((실물목록!$P$2:$P$1001&lt;&gt;"")*ISNUMBER(SEARCH(실물목록!$P$2:$P$1001,I2356))*(실물목록!$Q$2:$Q$1001&lt;&gt;"")*ISNUMBER(SEARCH(실물목록!$Q$2:$Q$1001,I2356))*(실물목록!$R$2:$R$1001="")*(실물목록!$O$2:$O$1001&lt;&gt;""))&gt;0,"확인필요(연도다름)","실물 없음")))))</f>
      </c>
      <c r="G2356" t="n" s="16">
        <f aca="0">IF(B2356="","",SUMPRODUCT((실물목록!$P$2:$P$1001&lt;&gt;"")*ISNUMBER(SEARCH(실물목록!$P$2:$P$1001,I2356))*(실물목록!$Q$2:$Q$1001&lt;&gt;"")*ISNUMBER(SEARCH(실물목록!$Q$2:$Q$1001,I2356))*(실물목록!$R$2:$R$1001="")*(실물목록!$O$2:$O$1001&lt;&gt;"")*(실물목록!$O$2:$O$1001=H2356)))</f>
      </c>
      <c r="H2356" t="str">
        <f>IFERROR(IF(AND(LEN(SUBSTITUTE(SUBSTITUTE(SUBSTITUTE(TRIM(A2356&amp;""),CHAR(160),"")," ",""),"년",""))=4,VALUE(SUBSTITUTE(SUBSTITUTE(SUBSTITUTE(TRIM(A2356&amp;""),CHAR(160),"")," ",""),"년",""))&gt;=1900,VALUE(SUBSTITUTE(SUBSTITUTE(SUBSTITUTE(TRIM(A2356&amp;""),CHAR(160),"")," ",""),"년",""))&lt;=2099,TEXT(VALUE(SUBSTITUTE(SUBSTITUTE(SUBSTITUTE(TRIM(A2356&amp;""),CHAR(160),"")," ",""),"년","")),"0000")=SUBSTITUTE(SUBSTITUTE(SUBSTITUTE(TRIM(A2356&amp;""),CHAR(160),"")," ",""),"년","")),SUBSTITUTE(SUBSTITUTE(SUBSTITUTE(TRIM(A2356&amp;""),CHAR(160),"")," ",""),"년",""),""),"")</f>
      </c>
      <c r="I2356" t="str">
        <f>SUBSTITUTE(SUBSTITUTE(SUBSTITUTE(SUBSTITUTE(SUBSTITUTE(TRIM(B2356&amp;""),CHAR(160),"")," ",""),"초등학교","초"),"중학교","중"),"고등학교","고")</f>
      </c>
    </row>
    <row r="2357" customFormat="false" ht="15" hidden="false" customHeight="false" outlineLevel="0" collapsed="false">
      <c r="A2357" s="8"/>
      <c r="B2357" s="8"/>
      <c r="C2357" s="8"/>
      <c r="D2357" s="8"/>
      <c r="E2357" s="8"/>
      <c r="F2357" t="str" s="15">
        <f aca="0">IF(B2357="","",IF(H2357="","확인필요(입력누락)",IF(SUMPRODUCT((실물목록!$P$2:$P$1001&lt;&gt;"")*ISNUMBER(SEARCH(실물목록!$P$2:$P$1001,I2357))*(실물목록!$Q$2:$Q$1001&lt;&gt;"")*ISNUMBER(SEARCH(실물목록!$Q$2:$Q$1001,I2357))*(실물목록!$R$2:$R$1001="")*(실물목록!$O$2:$O$1001&lt;&gt;"")*(실물목록!$O$2:$O$1001=H2357))&gt;0,"실물 있음",IF(SUMPRODUCT((실물목록!$P$2:$P$1001&lt;&gt;"")*ISNUMBER(SEARCH(실물목록!$P$2:$P$1001,I2357))*(실물목록!$R$2:$R$1001&lt;&gt;""))&gt;0,"확인필요(입력누락)",IF(SUMPRODUCT((실물목록!$P$2:$P$1001&lt;&gt;"")*ISNUMBER(SEARCH(실물목록!$P$2:$P$1001,I2357))*(실물목록!$Q$2:$Q$1001&lt;&gt;"")*ISNUMBER(SEARCH(실물목록!$Q$2:$Q$1001,I2357))*(실물목록!$R$2:$R$1001="")*(실물목록!$O$2:$O$1001&lt;&gt;""))&gt;0,"확인필요(연도다름)","실물 없음")))))</f>
      </c>
      <c r="G2357" t="n" s="16">
        <f aca="0">IF(B2357="","",SUMPRODUCT((실물목록!$P$2:$P$1001&lt;&gt;"")*ISNUMBER(SEARCH(실물목록!$P$2:$P$1001,I2357))*(실물목록!$Q$2:$Q$1001&lt;&gt;"")*ISNUMBER(SEARCH(실물목록!$Q$2:$Q$1001,I2357))*(실물목록!$R$2:$R$1001="")*(실물목록!$O$2:$O$1001&lt;&gt;"")*(실물목록!$O$2:$O$1001=H2357)))</f>
      </c>
      <c r="H2357" t="str">
        <f>IFERROR(IF(AND(LEN(SUBSTITUTE(SUBSTITUTE(SUBSTITUTE(TRIM(A2357&amp;""),CHAR(160),"")," ",""),"년",""))=4,VALUE(SUBSTITUTE(SUBSTITUTE(SUBSTITUTE(TRIM(A2357&amp;""),CHAR(160),"")," ",""),"년",""))&gt;=1900,VALUE(SUBSTITUTE(SUBSTITUTE(SUBSTITUTE(TRIM(A2357&amp;""),CHAR(160),"")," ",""),"년",""))&lt;=2099,TEXT(VALUE(SUBSTITUTE(SUBSTITUTE(SUBSTITUTE(TRIM(A2357&amp;""),CHAR(160),"")," ",""),"년","")),"0000")=SUBSTITUTE(SUBSTITUTE(SUBSTITUTE(TRIM(A2357&amp;""),CHAR(160),"")," ",""),"년","")),SUBSTITUTE(SUBSTITUTE(SUBSTITUTE(TRIM(A2357&amp;""),CHAR(160),"")," ",""),"년",""),""),"")</f>
      </c>
      <c r="I2357" t="str">
        <f>SUBSTITUTE(SUBSTITUTE(SUBSTITUTE(SUBSTITUTE(SUBSTITUTE(TRIM(B2357&amp;""),CHAR(160),"")," ",""),"초등학교","초"),"중학교","중"),"고등학교","고")</f>
      </c>
    </row>
    <row r="2358" customFormat="false" ht="15" hidden="false" customHeight="false" outlineLevel="0" collapsed="false">
      <c r="A2358" s="8"/>
      <c r="B2358" s="8"/>
      <c r="C2358" s="8"/>
      <c r="D2358" s="8"/>
      <c r="E2358" s="8"/>
      <c r="F2358" t="str" s="15">
        <f aca="0">IF(B2358="","",IF(H2358="","확인필요(입력누락)",IF(SUMPRODUCT((실물목록!$P$2:$P$1001&lt;&gt;"")*ISNUMBER(SEARCH(실물목록!$P$2:$P$1001,I2358))*(실물목록!$Q$2:$Q$1001&lt;&gt;"")*ISNUMBER(SEARCH(실물목록!$Q$2:$Q$1001,I2358))*(실물목록!$R$2:$R$1001="")*(실물목록!$O$2:$O$1001&lt;&gt;"")*(실물목록!$O$2:$O$1001=H2358))&gt;0,"실물 있음",IF(SUMPRODUCT((실물목록!$P$2:$P$1001&lt;&gt;"")*ISNUMBER(SEARCH(실물목록!$P$2:$P$1001,I2358))*(실물목록!$R$2:$R$1001&lt;&gt;""))&gt;0,"확인필요(입력누락)",IF(SUMPRODUCT((실물목록!$P$2:$P$1001&lt;&gt;"")*ISNUMBER(SEARCH(실물목록!$P$2:$P$1001,I2358))*(실물목록!$Q$2:$Q$1001&lt;&gt;"")*ISNUMBER(SEARCH(실물목록!$Q$2:$Q$1001,I2358))*(실물목록!$R$2:$R$1001="")*(실물목록!$O$2:$O$1001&lt;&gt;""))&gt;0,"확인필요(연도다름)","실물 없음")))))</f>
      </c>
      <c r="G2358" t="n" s="16">
        <f aca="0">IF(B2358="","",SUMPRODUCT((실물목록!$P$2:$P$1001&lt;&gt;"")*ISNUMBER(SEARCH(실물목록!$P$2:$P$1001,I2358))*(실물목록!$Q$2:$Q$1001&lt;&gt;"")*ISNUMBER(SEARCH(실물목록!$Q$2:$Q$1001,I2358))*(실물목록!$R$2:$R$1001="")*(실물목록!$O$2:$O$1001&lt;&gt;"")*(실물목록!$O$2:$O$1001=H2358)))</f>
      </c>
      <c r="H2358" t="str">
        <f>IFERROR(IF(AND(LEN(SUBSTITUTE(SUBSTITUTE(SUBSTITUTE(TRIM(A2358&amp;""),CHAR(160),"")," ",""),"년",""))=4,VALUE(SUBSTITUTE(SUBSTITUTE(SUBSTITUTE(TRIM(A2358&amp;""),CHAR(160),"")," ",""),"년",""))&gt;=1900,VALUE(SUBSTITUTE(SUBSTITUTE(SUBSTITUTE(TRIM(A2358&amp;""),CHAR(160),"")," ",""),"년",""))&lt;=2099,TEXT(VALUE(SUBSTITUTE(SUBSTITUTE(SUBSTITUTE(TRIM(A2358&amp;""),CHAR(160),"")," ",""),"년","")),"0000")=SUBSTITUTE(SUBSTITUTE(SUBSTITUTE(TRIM(A2358&amp;""),CHAR(160),"")," ",""),"년","")),SUBSTITUTE(SUBSTITUTE(SUBSTITUTE(TRIM(A2358&amp;""),CHAR(160),"")," ",""),"년",""),""),"")</f>
      </c>
      <c r="I2358" t="str">
        <f>SUBSTITUTE(SUBSTITUTE(SUBSTITUTE(SUBSTITUTE(SUBSTITUTE(TRIM(B2358&amp;""),CHAR(160),"")," ",""),"초등학교","초"),"중학교","중"),"고등학교","고")</f>
      </c>
    </row>
    <row r="2359" customFormat="false" ht="15" hidden="false" customHeight="false" outlineLevel="0" collapsed="false">
      <c r="A2359" s="8"/>
      <c r="B2359" s="8"/>
      <c r="C2359" s="8"/>
      <c r="D2359" s="8"/>
      <c r="E2359" s="8"/>
      <c r="F2359" t="str" s="15">
        <f aca="0">IF(B2359="","",IF(H2359="","확인필요(입력누락)",IF(SUMPRODUCT((실물목록!$P$2:$P$1001&lt;&gt;"")*ISNUMBER(SEARCH(실물목록!$P$2:$P$1001,I2359))*(실물목록!$Q$2:$Q$1001&lt;&gt;"")*ISNUMBER(SEARCH(실물목록!$Q$2:$Q$1001,I2359))*(실물목록!$R$2:$R$1001="")*(실물목록!$O$2:$O$1001&lt;&gt;"")*(실물목록!$O$2:$O$1001=H2359))&gt;0,"실물 있음",IF(SUMPRODUCT((실물목록!$P$2:$P$1001&lt;&gt;"")*ISNUMBER(SEARCH(실물목록!$P$2:$P$1001,I2359))*(실물목록!$R$2:$R$1001&lt;&gt;""))&gt;0,"확인필요(입력누락)",IF(SUMPRODUCT((실물목록!$P$2:$P$1001&lt;&gt;"")*ISNUMBER(SEARCH(실물목록!$P$2:$P$1001,I2359))*(실물목록!$Q$2:$Q$1001&lt;&gt;"")*ISNUMBER(SEARCH(실물목록!$Q$2:$Q$1001,I2359))*(실물목록!$R$2:$R$1001="")*(실물목록!$O$2:$O$1001&lt;&gt;""))&gt;0,"확인필요(연도다름)","실물 없음")))))</f>
      </c>
      <c r="G2359" t="n" s="16">
        <f aca="0">IF(B2359="","",SUMPRODUCT((실물목록!$P$2:$P$1001&lt;&gt;"")*ISNUMBER(SEARCH(실물목록!$P$2:$P$1001,I2359))*(실물목록!$Q$2:$Q$1001&lt;&gt;"")*ISNUMBER(SEARCH(실물목록!$Q$2:$Q$1001,I2359))*(실물목록!$R$2:$R$1001="")*(실물목록!$O$2:$O$1001&lt;&gt;"")*(실물목록!$O$2:$O$1001=H2359)))</f>
      </c>
      <c r="H2359" t="str">
        <f>IFERROR(IF(AND(LEN(SUBSTITUTE(SUBSTITUTE(SUBSTITUTE(TRIM(A2359&amp;""),CHAR(160),"")," ",""),"년",""))=4,VALUE(SUBSTITUTE(SUBSTITUTE(SUBSTITUTE(TRIM(A2359&amp;""),CHAR(160),"")," ",""),"년",""))&gt;=1900,VALUE(SUBSTITUTE(SUBSTITUTE(SUBSTITUTE(TRIM(A2359&amp;""),CHAR(160),"")," ",""),"년",""))&lt;=2099,TEXT(VALUE(SUBSTITUTE(SUBSTITUTE(SUBSTITUTE(TRIM(A2359&amp;""),CHAR(160),"")," ",""),"년","")),"0000")=SUBSTITUTE(SUBSTITUTE(SUBSTITUTE(TRIM(A2359&amp;""),CHAR(160),"")," ",""),"년","")),SUBSTITUTE(SUBSTITUTE(SUBSTITUTE(TRIM(A2359&amp;""),CHAR(160),"")," ",""),"년",""),""),"")</f>
      </c>
      <c r="I2359" t="str">
        <f>SUBSTITUTE(SUBSTITUTE(SUBSTITUTE(SUBSTITUTE(SUBSTITUTE(TRIM(B2359&amp;""),CHAR(160),"")," ",""),"초등학교","초"),"중학교","중"),"고등학교","고")</f>
      </c>
    </row>
    <row r="2360" customFormat="false" ht="15" hidden="false" customHeight="false" outlineLevel="0" collapsed="false">
      <c r="A2360" s="8"/>
      <c r="B2360" s="8"/>
      <c r="C2360" s="8"/>
      <c r="D2360" s="8"/>
      <c r="E2360" s="8"/>
      <c r="F2360" t="str" s="15">
        <f aca="0">IF(B2360="","",IF(H2360="","확인필요(입력누락)",IF(SUMPRODUCT((실물목록!$P$2:$P$1001&lt;&gt;"")*ISNUMBER(SEARCH(실물목록!$P$2:$P$1001,I2360))*(실물목록!$Q$2:$Q$1001&lt;&gt;"")*ISNUMBER(SEARCH(실물목록!$Q$2:$Q$1001,I2360))*(실물목록!$R$2:$R$1001="")*(실물목록!$O$2:$O$1001&lt;&gt;"")*(실물목록!$O$2:$O$1001=H2360))&gt;0,"실물 있음",IF(SUMPRODUCT((실물목록!$P$2:$P$1001&lt;&gt;"")*ISNUMBER(SEARCH(실물목록!$P$2:$P$1001,I2360))*(실물목록!$R$2:$R$1001&lt;&gt;""))&gt;0,"확인필요(입력누락)",IF(SUMPRODUCT((실물목록!$P$2:$P$1001&lt;&gt;"")*ISNUMBER(SEARCH(실물목록!$P$2:$P$1001,I2360))*(실물목록!$Q$2:$Q$1001&lt;&gt;"")*ISNUMBER(SEARCH(실물목록!$Q$2:$Q$1001,I2360))*(실물목록!$R$2:$R$1001="")*(실물목록!$O$2:$O$1001&lt;&gt;""))&gt;0,"확인필요(연도다름)","실물 없음")))))</f>
      </c>
      <c r="G2360" t="n" s="16">
        <f aca="0">IF(B2360="","",SUMPRODUCT((실물목록!$P$2:$P$1001&lt;&gt;"")*ISNUMBER(SEARCH(실물목록!$P$2:$P$1001,I2360))*(실물목록!$Q$2:$Q$1001&lt;&gt;"")*ISNUMBER(SEARCH(실물목록!$Q$2:$Q$1001,I2360))*(실물목록!$R$2:$R$1001="")*(실물목록!$O$2:$O$1001&lt;&gt;"")*(실물목록!$O$2:$O$1001=H2360)))</f>
      </c>
      <c r="H2360" t="str">
        <f>IFERROR(IF(AND(LEN(SUBSTITUTE(SUBSTITUTE(SUBSTITUTE(TRIM(A2360&amp;""),CHAR(160),"")," ",""),"년",""))=4,VALUE(SUBSTITUTE(SUBSTITUTE(SUBSTITUTE(TRIM(A2360&amp;""),CHAR(160),"")," ",""),"년",""))&gt;=1900,VALUE(SUBSTITUTE(SUBSTITUTE(SUBSTITUTE(TRIM(A2360&amp;""),CHAR(160),"")," ",""),"년",""))&lt;=2099,TEXT(VALUE(SUBSTITUTE(SUBSTITUTE(SUBSTITUTE(TRIM(A2360&amp;""),CHAR(160),"")," ",""),"년","")),"0000")=SUBSTITUTE(SUBSTITUTE(SUBSTITUTE(TRIM(A2360&amp;""),CHAR(160),"")," ",""),"년","")),SUBSTITUTE(SUBSTITUTE(SUBSTITUTE(TRIM(A2360&amp;""),CHAR(160),"")," ",""),"년",""),""),"")</f>
      </c>
      <c r="I2360" t="str">
        <f>SUBSTITUTE(SUBSTITUTE(SUBSTITUTE(SUBSTITUTE(SUBSTITUTE(TRIM(B2360&amp;""),CHAR(160),"")," ",""),"초등학교","초"),"중학교","중"),"고등학교","고")</f>
      </c>
    </row>
    <row r="2361" customFormat="false" ht="15" hidden="false" customHeight="false" outlineLevel="0" collapsed="false">
      <c r="A2361" s="8"/>
      <c r="B2361" s="8"/>
      <c r="C2361" s="8"/>
      <c r="D2361" s="8"/>
      <c r="E2361" s="8"/>
      <c r="F2361" t="str" s="15">
        <f aca="0">IF(B2361="","",IF(H2361="","확인필요(입력누락)",IF(SUMPRODUCT((실물목록!$P$2:$P$1001&lt;&gt;"")*ISNUMBER(SEARCH(실물목록!$P$2:$P$1001,I2361))*(실물목록!$Q$2:$Q$1001&lt;&gt;"")*ISNUMBER(SEARCH(실물목록!$Q$2:$Q$1001,I2361))*(실물목록!$R$2:$R$1001="")*(실물목록!$O$2:$O$1001&lt;&gt;"")*(실물목록!$O$2:$O$1001=H2361))&gt;0,"실물 있음",IF(SUMPRODUCT((실물목록!$P$2:$P$1001&lt;&gt;"")*ISNUMBER(SEARCH(실물목록!$P$2:$P$1001,I2361))*(실물목록!$R$2:$R$1001&lt;&gt;""))&gt;0,"확인필요(입력누락)",IF(SUMPRODUCT((실물목록!$P$2:$P$1001&lt;&gt;"")*ISNUMBER(SEARCH(실물목록!$P$2:$P$1001,I2361))*(실물목록!$Q$2:$Q$1001&lt;&gt;"")*ISNUMBER(SEARCH(실물목록!$Q$2:$Q$1001,I2361))*(실물목록!$R$2:$R$1001="")*(실물목록!$O$2:$O$1001&lt;&gt;""))&gt;0,"확인필요(연도다름)","실물 없음")))))</f>
      </c>
      <c r="G2361" t="n" s="16">
        <f aca="0">IF(B2361="","",SUMPRODUCT((실물목록!$P$2:$P$1001&lt;&gt;"")*ISNUMBER(SEARCH(실물목록!$P$2:$P$1001,I2361))*(실물목록!$Q$2:$Q$1001&lt;&gt;"")*ISNUMBER(SEARCH(실물목록!$Q$2:$Q$1001,I2361))*(실물목록!$R$2:$R$1001="")*(실물목록!$O$2:$O$1001&lt;&gt;"")*(실물목록!$O$2:$O$1001=H2361)))</f>
      </c>
      <c r="H2361" t="str">
        <f>IFERROR(IF(AND(LEN(SUBSTITUTE(SUBSTITUTE(SUBSTITUTE(TRIM(A2361&amp;""),CHAR(160),"")," ",""),"년",""))=4,VALUE(SUBSTITUTE(SUBSTITUTE(SUBSTITUTE(TRIM(A2361&amp;""),CHAR(160),"")," ",""),"년",""))&gt;=1900,VALUE(SUBSTITUTE(SUBSTITUTE(SUBSTITUTE(TRIM(A2361&amp;""),CHAR(160),"")," ",""),"년",""))&lt;=2099,TEXT(VALUE(SUBSTITUTE(SUBSTITUTE(SUBSTITUTE(TRIM(A2361&amp;""),CHAR(160),"")," ",""),"년","")),"0000")=SUBSTITUTE(SUBSTITUTE(SUBSTITUTE(TRIM(A2361&amp;""),CHAR(160),"")," ",""),"년","")),SUBSTITUTE(SUBSTITUTE(SUBSTITUTE(TRIM(A2361&amp;""),CHAR(160),"")," ",""),"년",""),""),"")</f>
      </c>
      <c r="I2361" t="str">
        <f>SUBSTITUTE(SUBSTITUTE(SUBSTITUTE(SUBSTITUTE(SUBSTITUTE(TRIM(B2361&amp;""),CHAR(160),"")," ",""),"초등학교","초"),"중학교","중"),"고등학교","고")</f>
      </c>
    </row>
    <row r="2362" customFormat="false" ht="15" hidden="false" customHeight="false" outlineLevel="0" collapsed="false">
      <c r="A2362" s="8"/>
      <c r="B2362" s="8"/>
      <c r="C2362" s="8"/>
      <c r="D2362" s="8"/>
      <c r="E2362" s="8"/>
      <c r="F2362" t="str" s="15">
        <f aca="0">IF(B2362="","",IF(H2362="","확인필요(입력누락)",IF(SUMPRODUCT((실물목록!$P$2:$P$1001&lt;&gt;"")*ISNUMBER(SEARCH(실물목록!$P$2:$P$1001,I2362))*(실물목록!$Q$2:$Q$1001&lt;&gt;"")*ISNUMBER(SEARCH(실물목록!$Q$2:$Q$1001,I2362))*(실물목록!$R$2:$R$1001="")*(실물목록!$O$2:$O$1001&lt;&gt;"")*(실물목록!$O$2:$O$1001=H2362))&gt;0,"실물 있음",IF(SUMPRODUCT((실물목록!$P$2:$P$1001&lt;&gt;"")*ISNUMBER(SEARCH(실물목록!$P$2:$P$1001,I2362))*(실물목록!$R$2:$R$1001&lt;&gt;""))&gt;0,"확인필요(입력누락)",IF(SUMPRODUCT((실물목록!$P$2:$P$1001&lt;&gt;"")*ISNUMBER(SEARCH(실물목록!$P$2:$P$1001,I2362))*(실물목록!$Q$2:$Q$1001&lt;&gt;"")*ISNUMBER(SEARCH(실물목록!$Q$2:$Q$1001,I2362))*(실물목록!$R$2:$R$1001="")*(실물목록!$O$2:$O$1001&lt;&gt;""))&gt;0,"확인필요(연도다름)","실물 없음")))))</f>
      </c>
      <c r="G2362" t="n" s="16">
        <f aca="0">IF(B2362="","",SUMPRODUCT((실물목록!$P$2:$P$1001&lt;&gt;"")*ISNUMBER(SEARCH(실물목록!$P$2:$P$1001,I2362))*(실물목록!$Q$2:$Q$1001&lt;&gt;"")*ISNUMBER(SEARCH(실물목록!$Q$2:$Q$1001,I2362))*(실물목록!$R$2:$R$1001="")*(실물목록!$O$2:$O$1001&lt;&gt;"")*(실물목록!$O$2:$O$1001=H2362)))</f>
      </c>
      <c r="H2362" t="str">
        <f>IFERROR(IF(AND(LEN(SUBSTITUTE(SUBSTITUTE(SUBSTITUTE(TRIM(A2362&amp;""),CHAR(160),"")," ",""),"년",""))=4,VALUE(SUBSTITUTE(SUBSTITUTE(SUBSTITUTE(TRIM(A2362&amp;""),CHAR(160),"")," ",""),"년",""))&gt;=1900,VALUE(SUBSTITUTE(SUBSTITUTE(SUBSTITUTE(TRIM(A2362&amp;""),CHAR(160),"")," ",""),"년",""))&lt;=2099,TEXT(VALUE(SUBSTITUTE(SUBSTITUTE(SUBSTITUTE(TRIM(A2362&amp;""),CHAR(160),"")," ",""),"년","")),"0000")=SUBSTITUTE(SUBSTITUTE(SUBSTITUTE(TRIM(A2362&amp;""),CHAR(160),"")," ",""),"년","")),SUBSTITUTE(SUBSTITUTE(SUBSTITUTE(TRIM(A2362&amp;""),CHAR(160),"")," ",""),"년",""),""),"")</f>
      </c>
      <c r="I2362" t="str">
        <f>SUBSTITUTE(SUBSTITUTE(SUBSTITUTE(SUBSTITUTE(SUBSTITUTE(TRIM(B2362&amp;""),CHAR(160),"")," ",""),"초등학교","초"),"중학교","중"),"고등학교","고")</f>
      </c>
    </row>
    <row r="2363" customFormat="false" ht="15" hidden="false" customHeight="false" outlineLevel="0" collapsed="false">
      <c r="A2363" s="8"/>
      <c r="B2363" s="8"/>
      <c r="C2363" s="8"/>
      <c r="D2363" s="8"/>
      <c r="E2363" s="8"/>
      <c r="F2363" t="str" s="15">
        <f aca="0">IF(B2363="","",IF(H2363="","확인필요(입력누락)",IF(SUMPRODUCT((실물목록!$P$2:$P$1001&lt;&gt;"")*ISNUMBER(SEARCH(실물목록!$P$2:$P$1001,I2363))*(실물목록!$Q$2:$Q$1001&lt;&gt;"")*ISNUMBER(SEARCH(실물목록!$Q$2:$Q$1001,I2363))*(실물목록!$R$2:$R$1001="")*(실물목록!$O$2:$O$1001&lt;&gt;"")*(실물목록!$O$2:$O$1001=H2363))&gt;0,"실물 있음",IF(SUMPRODUCT((실물목록!$P$2:$P$1001&lt;&gt;"")*ISNUMBER(SEARCH(실물목록!$P$2:$P$1001,I2363))*(실물목록!$R$2:$R$1001&lt;&gt;""))&gt;0,"확인필요(입력누락)",IF(SUMPRODUCT((실물목록!$P$2:$P$1001&lt;&gt;"")*ISNUMBER(SEARCH(실물목록!$P$2:$P$1001,I2363))*(실물목록!$Q$2:$Q$1001&lt;&gt;"")*ISNUMBER(SEARCH(실물목록!$Q$2:$Q$1001,I2363))*(실물목록!$R$2:$R$1001="")*(실물목록!$O$2:$O$1001&lt;&gt;""))&gt;0,"확인필요(연도다름)","실물 없음")))))</f>
      </c>
      <c r="G2363" t="n" s="16">
        <f aca="0">IF(B2363="","",SUMPRODUCT((실물목록!$P$2:$P$1001&lt;&gt;"")*ISNUMBER(SEARCH(실물목록!$P$2:$P$1001,I2363))*(실물목록!$Q$2:$Q$1001&lt;&gt;"")*ISNUMBER(SEARCH(실물목록!$Q$2:$Q$1001,I2363))*(실물목록!$R$2:$R$1001="")*(실물목록!$O$2:$O$1001&lt;&gt;"")*(실물목록!$O$2:$O$1001=H2363)))</f>
      </c>
      <c r="H2363" t="str">
        <f>IFERROR(IF(AND(LEN(SUBSTITUTE(SUBSTITUTE(SUBSTITUTE(TRIM(A2363&amp;""),CHAR(160),"")," ",""),"년",""))=4,VALUE(SUBSTITUTE(SUBSTITUTE(SUBSTITUTE(TRIM(A2363&amp;""),CHAR(160),"")," ",""),"년",""))&gt;=1900,VALUE(SUBSTITUTE(SUBSTITUTE(SUBSTITUTE(TRIM(A2363&amp;""),CHAR(160),"")," ",""),"년",""))&lt;=2099,TEXT(VALUE(SUBSTITUTE(SUBSTITUTE(SUBSTITUTE(TRIM(A2363&amp;""),CHAR(160),"")," ",""),"년","")),"0000")=SUBSTITUTE(SUBSTITUTE(SUBSTITUTE(TRIM(A2363&amp;""),CHAR(160),"")," ",""),"년","")),SUBSTITUTE(SUBSTITUTE(SUBSTITUTE(TRIM(A2363&amp;""),CHAR(160),"")," ",""),"년",""),""),"")</f>
      </c>
      <c r="I2363" t="str">
        <f>SUBSTITUTE(SUBSTITUTE(SUBSTITUTE(SUBSTITUTE(SUBSTITUTE(TRIM(B2363&amp;""),CHAR(160),"")," ",""),"초등학교","초"),"중학교","중"),"고등학교","고")</f>
      </c>
    </row>
    <row r="2364" customFormat="false" ht="15" hidden="false" customHeight="false" outlineLevel="0" collapsed="false">
      <c r="A2364" s="8"/>
      <c r="B2364" s="8"/>
      <c r="C2364" s="8"/>
      <c r="D2364" s="8"/>
      <c r="E2364" s="8"/>
      <c r="F2364" t="str" s="15">
        <f aca="0">IF(B2364="","",IF(H2364="","확인필요(입력누락)",IF(SUMPRODUCT((실물목록!$P$2:$P$1001&lt;&gt;"")*ISNUMBER(SEARCH(실물목록!$P$2:$P$1001,I2364))*(실물목록!$Q$2:$Q$1001&lt;&gt;"")*ISNUMBER(SEARCH(실물목록!$Q$2:$Q$1001,I2364))*(실물목록!$R$2:$R$1001="")*(실물목록!$O$2:$O$1001&lt;&gt;"")*(실물목록!$O$2:$O$1001=H2364))&gt;0,"실물 있음",IF(SUMPRODUCT((실물목록!$P$2:$P$1001&lt;&gt;"")*ISNUMBER(SEARCH(실물목록!$P$2:$P$1001,I2364))*(실물목록!$R$2:$R$1001&lt;&gt;""))&gt;0,"확인필요(입력누락)",IF(SUMPRODUCT((실물목록!$P$2:$P$1001&lt;&gt;"")*ISNUMBER(SEARCH(실물목록!$P$2:$P$1001,I2364))*(실물목록!$Q$2:$Q$1001&lt;&gt;"")*ISNUMBER(SEARCH(실물목록!$Q$2:$Q$1001,I2364))*(실물목록!$R$2:$R$1001="")*(실물목록!$O$2:$O$1001&lt;&gt;""))&gt;0,"확인필요(연도다름)","실물 없음")))))</f>
      </c>
      <c r="G2364" t="n" s="16">
        <f aca="0">IF(B2364="","",SUMPRODUCT((실물목록!$P$2:$P$1001&lt;&gt;"")*ISNUMBER(SEARCH(실물목록!$P$2:$P$1001,I2364))*(실물목록!$Q$2:$Q$1001&lt;&gt;"")*ISNUMBER(SEARCH(실물목록!$Q$2:$Q$1001,I2364))*(실물목록!$R$2:$R$1001="")*(실물목록!$O$2:$O$1001&lt;&gt;"")*(실물목록!$O$2:$O$1001=H2364)))</f>
      </c>
      <c r="H2364" t="str">
        <f>IFERROR(IF(AND(LEN(SUBSTITUTE(SUBSTITUTE(SUBSTITUTE(TRIM(A2364&amp;""),CHAR(160),"")," ",""),"년",""))=4,VALUE(SUBSTITUTE(SUBSTITUTE(SUBSTITUTE(TRIM(A2364&amp;""),CHAR(160),"")," ",""),"년",""))&gt;=1900,VALUE(SUBSTITUTE(SUBSTITUTE(SUBSTITUTE(TRIM(A2364&amp;""),CHAR(160),"")," ",""),"년",""))&lt;=2099,TEXT(VALUE(SUBSTITUTE(SUBSTITUTE(SUBSTITUTE(TRIM(A2364&amp;""),CHAR(160),"")," ",""),"년","")),"0000")=SUBSTITUTE(SUBSTITUTE(SUBSTITUTE(TRIM(A2364&amp;""),CHAR(160),"")," ",""),"년","")),SUBSTITUTE(SUBSTITUTE(SUBSTITUTE(TRIM(A2364&amp;""),CHAR(160),"")," ",""),"년",""),""),"")</f>
      </c>
      <c r="I2364" t="str">
        <f>SUBSTITUTE(SUBSTITUTE(SUBSTITUTE(SUBSTITUTE(SUBSTITUTE(TRIM(B2364&amp;""),CHAR(160),"")," ",""),"초등학교","초"),"중학교","중"),"고등학교","고")</f>
      </c>
    </row>
    <row r="2365" customFormat="false" ht="15" hidden="false" customHeight="false" outlineLevel="0" collapsed="false">
      <c r="A2365" s="8"/>
      <c r="B2365" s="8"/>
      <c r="C2365" s="8"/>
      <c r="D2365" s="8"/>
      <c r="E2365" s="8"/>
      <c r="F2365" t="str" s="15">
        <f aca="0">IF(B2365="","",IF(H2365="","확인필요(입력누락)",IF(SUMPRODUCT((실물목록!$P$2:$P$1001&lt;&gt;"")*ISNUMBER(SEARCH(실물목록!$P$2:$P$1001,I2365))*(실물목록!$Q$2:$Q$1001&lt;&gt;"")*ISNUMBER(SEARCH(실물목록!$Q$2:$Q$1001,I2365))*(실물목록!$R$2:$R$1001="")*(실물목록!$O$2:$O$1001&lt;&gt;"")*(실물목록!$O$2:$O$1001=H2365))&gt;0,"실물 있음",IF(SUMPRODUCT((실물목록!$P$2:$P$1001&lt;&gt;"")*ISNUMBER(SEARCH(실물목록!$P$2:$P$1001,I2365))*(실물목록!$R$2:$R$1001&lt;&gt;""))&gt;0,"확인필요(입력누락)",IF(SUMPRODUCT((실물목록!$P$2:$P$1001&lt;&gt;"")*ISNUMBER(SEARCH(실물목록!$P$2:$P$1001,I2365))*(실물목록!$Q$2:$Q$1001&lt;&gt;"")*ISNUMBER(SEARCH(실물목록!$Q$2:$Q$1001,I2365))*(실물목록!$R$2:$R$1001="")*(실물목록!$O$2:$O$1001&lt;&gt;""))&gt;0,"확인필요(연도다름)","실물 없음")))))</f>
      </c>
      <c r="G2365" t="n" s="16">
        <f aca="0">IF(B2365="","",SUMPRODUCT((실물목록!$P$2:$P$1001&lt;&gt;"")*ISNUMBER(SEARCH(실물목록!$P$2:$P$1001,I2365))*(실물목록!$Q$2:$Q$1001&lt;&gt;"")*ISNUMBER(SEARCH(실물목록!$Q$2:$Q$1001,I2365))*(실물목록!$R$2:$R$1001="")*(실물목록!$O$2:$O$1001&lt;&gt;"")*(실물목록!$O$2:$O$1001=H2365)))</f>
      </c>
      <c r="H2365" t="str">
        <f>IFERROR(IF(AND(LEN(SUBSTITUTE(SUBSTITUTE(SUBSTITUTE(TRIM(A2365&amp;""),CHAR(160),"")," ",""),"년",""))=4,VALUE(SUBSTITUTE(SUBSTITUTE(SUBSTITUTE(TRIM(A2365&amp;""),CHAR(160),"")," ",""),"년",""))&gt;=1900,VALUE(SUBSTITUTE(SUBSTITUTE(SUBSTITUTE(TRIM(A2365&amp;""),CHAR(160),"")," ",""),"년",""))&lt;=2099,TEXT(VALUE(SUBSTITUTE(SUBSTITUTE(SUBSTITUTE(TRIM(A2365&amp;""),CHAR(160),"")," ",""),"년","")),"0000")=SUBSTITUTE(SUBSTITUTE(SUBSTITUTE(TRIM(A2365&amp;""),CHAR(160),"")," ",""),"년","")),SUBSTITUTE(SUBSTITUTE(SUBSTITUTE(TRIM(A2365&amp;""),CHAR(160),"")," ",""),"년",""),""),"")</f>
      </c>
      <c r="I2365" t="str">
        <f>SUBSTITUTE(SUBSTITUTE(SUBSTITUTE(SUBSTITUTE(SUBSTITUTE(TRIM(B2365&amp;""),CHAR(160),"")," ",""),"초등학교","초"),"중학교","중"),"고등학교","고")</f>
      </c>
    </row>
    <row r="2366" customFormat="false" ht="15" hidden="false" customHeight="false" outlineLevel="0" collapsed="false">
      <c r="A2366" s="8"/>
      <c r="B2366" s="8"/>
      <c r="C2366" s="8"/>
      <c r="D2366" s="8"/>
      <c r="E2366" s="8"/>
      <c r="F2366" t="str" s="15">
        <f aca="0">IF(B2366="","",IF(H2366="","확인필요(입력누락)",IF(SUMPRODUCT((실물목록!$P$2:$P$1001&lt;&gt;"")*ISNUMBER(SEARCH(실물목록!$P$2:$P$1001,I2366))*(실물목록!$Q$2:$Q$1001&lt;&gt;"")*ISNUMBER(SEARCH(실물목록!$Q$2:$Q$1001,I2366))*(실물목록!$R$2:$R$1001="")*(실물목록!$O$2:$O$1001&lt;&gt;"")*(실물목록!$O$2:$O$1001=H2366))&gt;0,"실물 있음",IF(SUMPRODUCT((실물목록!$P$2:$P$1001&lt;&gt;"")*ISNUMBER(SEARCH(실물목록!$P$2:$P$1001,I2366))*(실물목록!$R$2:$R$1001&lt;&gt;""))&gt;0,"확인필요(입력누락)",IF(SUMPRODUCT((실물목록!$P$2:$P$1001&lt;&gt;"")*ISNUMBER(SEARCH(실물목록!$P$2:$P$1001,I2366))*(실물목록!$Q$2:$Q$1001&lt;&gt;"")*ISNUMBER(SEARCH(실물목록!$Q$2:$Q$1001,I2366))*(실물목록!$R$2:$R$1001="")*(실물목록!$O$2:$O$1001&lt;&gt;""))&gt;0,"확인필요(연도다름)","실물 없음")))))</f>
      </c>
      <c r="G2366" t="n" s="16">
        <f aca="0">IF(B2366="","",SUMPRODUCT((실물목록!$P$2:$P$1001&lt;&gt;"")*ISNUMBER(SEARCH(실물목록!$P$2:$P$1001,I2366))*(실물목록!$Q$2:$Q$1001&lt;&gt;"")*ISNUMBER(SEARCH(실물목록!$Q$2:$Q$1001,I2366))*(실물목록!$R$2:$R$1001="")*(실물목록!$O$2:$O$1001&lt;&gt;"")*(실물목록!$O$2:$O$1001=H2366)))</f>
      </c>
      <c r="H2366" t="str">
        <f>IFERROR(IF(AND(LEN(SUBSTITUTE(SUBSTITUTE(SUBSTITUTE(TRIM(A2366&amp;""),CHAR(160),"")," ",""),"년",""))=4,VALUE(SUBSTITUTE(SUBSTITUTE(SUBSTITUTE(TRIM(A2366&amp;""),CHAR(160),"")," ",""),"년",""))&gt;=1900,VALUE(SUBSTITUTE(SUBSTITUTE(SUBSTITUTE(TRIM(A2366&amp;""),CHAR(160),"")," ",""),"년",""))&lt;=2099,TEXT(VALUE(SUBSTITUTE(SUBSTITUTE(SUBSTITUTE(TRIM(A2366&amp;""),CHAR(160),"")," ",""),"년","")),"0000")=SUBSTITUTE(SUBSTITUTE(SUBSTITUTE(TRIM(A2366&amp;""),CHAR(160),"")," ",""),"년","")),SUBSTITUTE(SUBSTITUTE(SUBSTITUTE(TRIM(A2366&amp;""),CHAR(160),"")," ",""),"년",""),""),"")</f>
      </c>
      <c r="I2366" t="str">
        <f>SUBSTITUTE(SUBSTITUTE(SUBSTITUTE(SUBSTITUTE(SUBSTITUTE(TRIM(B2366&amp;""),CHAR(160),"")," ",""),"초등학교","초"),"중학교","중"),"고등학교","고")</f>
      </c>
    </row>
    <row r="2367" customFormat="false" ht="15" hidden="false" customHeight="false" outlineLevel="0" collapsed="false">
      <c r="A2367" s="8"/>
      <c r="B2367" s="8"/>
      <c r="C2367" s="8"/>
      <c r="D2367" s="8"/>
      <c r="E2367" s="8"/>
      <c r="F2367" t="str" s="15">
        <f aca="0">IF(B2367="","",IF(H2367="","확인필요(입력누락)",IF(SUMPRODUCT((실물목록!$P$2:$P$1001&lt;&gt;"")*ISNUMBER(SEARCH(실물목록!$P$2:$P$1001,I2367))*(실물목록!$Q$2:$Q$1001&lt;&gt;"")*ISNUMBER(SEARCH(실물목록!$Q$2:$Q$1001,I2367))*(실물목록!$R$2:$R$1001="")*(실물목록!$O$2:$O$1001&lt;&gt;"")*(실물목록!$O$2:$O$1001=H2367))&gt;0,"실물 있음",IF(SUMPRODUCT((실물목록!$P$2:$P$1001&lt;&gt;"")*ISNUMBER(SEARCH(실물목록!$P$2:$P$1001,I2367))*(실물목록!$R$2:$R$1001&lt;&gt;""))&gt;0,"확인필요(입력누락)",IF(SUMPRODUCT((실물목록!$P$2:$P$1001&lt;&gt;"")*ISNUMBER(SEARCH(실물목록!$P$2:$P$1001,I2367))*(실물목록!$Q$2:$Q$1001&lt;&gt;"")*ISNUMBER(SEARCH(실물목록!$Q$2:$Q$1001,I2367))*(실물목록!$R$2:$R$1001="")*(실물목록!$O$2:$O$1001&lt;&gt;""))&gt;0,"확인필요(연도다름)","실물 없음")))))</f>
      </c>
      <c r="G2367" t="n" s="16">
        <f aca="0">IF(B2367="","",SUMPRODUCT((실물목록!$P$2:$P$1001&lt;&gt;"")*ISNUMBER(SEARCH(실물목록!$P$2:$P$1001,I2367))*(실물목록!$Q$2:$Q$1001&lt;&gt;"")*ISNUMBER(SEARCH(실물목록!$Q$2:$Q$1001,I2367))*(실물목록!$R$2:$R$1001="")*(실물목록!$O$2:$O$1001&lt;&gt;"")*(실물목록!$O$2:$O$1001=H2367)))</f>
      </c>
      <c r="H2367" t="str">
        <f>IFERROR(IF(AND(LEN(SUBSTITUTE(SUBSTITUTE(SUBSTITUTE(TRIM(A2367&amp;""),CHAR(160),"")," ",""),"년",""))=4,VALUE(SUBSTITUTE(SUBSTITUTE(SUBSTITUTE(TRIM(A2367&amp;""),CHAR(160),"")," ",""),"년",""))&gt;=1900,VALUE(SUBSTITUTE(SUBSTITUTE(SUBSTITUTE(TRIM(A2367&amp;""),CHAR(160),"")," ",""),"년",""))&lt;=2099,TEXT(VALUE(SUBSTITUTE(SUBSTITUTE(SUBSTITUTE(TRIM(A2367&amp;""),CHAR(160),"")," ",""),"년","")),"0000")=SUBSTITUTE(SUBSTITUTE(SUBSTITUTE(TRIM(A2367&amp;""),CHAR(160),"")," ",""),"년","")),SUBSTITUTE(SUBSTITUTE(SUBSTITUTE(TRIM(A2367&amp;""),CHAR(160),"")," ",""),"년",""),""),"")</f>
      </c>
      <c r="I2367" t="str">
        <f>SUBSTITUTE(SUBSTITUTE(SUBSTITUTE(SUBSTITUTE(SUBSTITUTE(TRIM(B2367&amp;""),CHAR(160),"")," ",""),"초등학교","초"),"중학교","중"),"고등학교","고")</f>
      </c>
    </row>
    <row r="2368" customFormat="false" ht="15" hidden="false" customHeight="false" outlineLevel="0" collapsed="false">
      <c r="A2368" s="8"/>
      <c r="B2368" s="8"/>
      <c r="C2368" s="8"/>
      <c r="D2368" s="8"/>
      <c r="E2368" s="8"/>
      <c r="F2368" t="str" s="15">
        <f aca="0">IF(B2368="","",IF(H2368="","확인필요(입력누락)",IF(SUMPRODUCT((실물목록!$P$2:$P$1001&lt;&gt;"")*ISNUMBER(SEARCH(실물목록!$P$2:$P$1001,I2368))*(실물목록!$Q$2:$Q$1001&lt;&gt;"")*ISNUMBER(SEARCH(실물목록!$Q$2:$Q$1001,I2368))*(실물목록!$R$2:$R$1001="")*(실물목록!$O$2:$O$1001&lt;&gt;"")*(실물목록!$O$2:$O$1001=H2368))&gt;0,"실물 있음",IF(SUMPRODUCT((실물목록!$P$2:$P$1001&lt;&gt;"")*ISNUMBER(SEARCH(실물목록!$P$2:$P$1001,I2368))*(실물목록!$R$2:$R$1001&lt;&gt;""))&gt;0,"확인필요(입력누락)",IF(SUMPRODUCT((실물목록!$P$2:$P$1001&lt;&gt;"")*ISNUMBER(SEARCH(실물목록!$P$2:$P$1001,I2368))*(실물목록!$Q$2:$Q$1001&lt;&gt;"")*ISNUMBER(SEARCH(실물목록!$Q$2:$Q$1001,I2368))*(실물목록!$R$2:$R$1001="")*(실물목록!$O$2:$O$1001&lt;&gt;""))&gt;0,"확인필요(연도다름)","실물 없음")))))</f>
      </c>
      <c r="G2368" t="n" s="16">
        <f aca="0">IF(B2368="","",SUMPRODUCT((실물목록!$P$2:$P$1001&lt;&gt;"")*ISNUMBER(SEARCH(실물목록!$P$2:$P$1001,I2368))*(실물목록!$Q$2:$Q$1001&lt;&gt;"")*ISNUMBER(SEARCH(실물목록!$Q$2:$Q$1001,I2368))*(실물목록!$R$2:$R$1001="")*(실물목록!$O$2:$O$1001&lt;&gt;"")*(실물목록!$O$2:$O$1001=H2368)))</f>
      </c>
      <c r="H2368" t="str">
        <f>IFERROR(IF(AND(LEN(SUBSTITUTE(SUBSTITUTE(SUBSTITUTE(TRIM(A2368&amp;""),CHAR(160),"")," ",""),"년",""))=4,VALUE(SUBSTITUTE(SUBSTITUTE(SUBSTITUTE(TRIM(A2368&amp;""),CHAR(160),"")," ",""),"년",""))&gt;=1900,VALUE(SUBSTITUTE(SUBSTITUTE(SUBSTITUTE(TRIM(A2368&amp;""),CHAR(160),"")," ",""),"년",""))&lt;=2099,TEXT(VALUE(SUBSTITUTE(SUBSTITUTE(SUBSTITUTE(TRIM(A2368&amp;""),CHAR(160),"")," ",""),"년","")),"0000")=SUBSTITUTE(SUBSTITUTE(SUBSTITUTE(TRIM(A2368&amp;""),CHAR(160),"")," ",""),"년","")),SUBSTITUTE(SUBSTITUTE(SUBSTITUTE(TRIM(A2368&amp;""),CHAR(160),"")," ",""),"년",""),""),"")</f>
      </c>
      <c r="I2368" t="str">
        <f>SUBSTITUTE(SUBSTITUTE(SUBSTITUTE(SUBSTITUTE(SUBSTITUTE(TRIM(B2368&amp;""),CHAR(160),"")," ",""),"초등학교","초"),"중학교","중"),"고등학교","고")</f>
      </c>
    </row>
    <row r="2369" customFormat="false" ht="15" hidden="false" customHeight="false" outlineLevel="0" collapsed="false">
      <c r="A2369" s="8"/>
      <c r="B2369" s="8"/>
      <c r="C2369" s="8"/>
      <c r="D2369" s="8"/>
      <c r="E2369" s="8"/>
      <c r="F2369" t="str" s="15">
        <f aca="0">IF(B2369="","",IF(H2369="","확인필요(입력누락)",IF(SUMPRODUCT((실물목록!$P$2:$P$1001&lt;&gt;"")*ISNUMBER(SEARCH(실물목록!$P$2:$P$1001,I2369))*(실물목록!$Q$2:$Q$1001&lt;&gt;"")*ISNUMBER(SEARCH(실물목록!$Q$2:$Q$1001,I2369))*(실물목록!$R$2:$R$1001="")*(실물목록!$O$2:$O$1001&lt;&gt;"")*(실물목록!$O$2:$O$1001=H2369))&gt;0,"실물 있음",IF(SUMPRODUCT((실물목록!$P$2:$P$1001&lt;&gt;"")*ISNUMBER(SEARCH(실물목록!$P$2:$P$1001,I2369))*(실물목록!$R$2:$R$1001&lt;&gt;""))&gt;0,"확인필요(입력누락)",IF(SUMPRODUCT((실물목록!$P$2:$P$1001&lt;&gt;"")*ISNUMBER(SEARCH(실물목록!$P$2:$P$1001,I2369))*(실물목록!$Q$2:$Q$1001&lt;&gt;"")*ISNUMBER(SEARCH(실물목록!$Q$2:$Q$1001,I2369))*(실물목록!$R$2:$R$1001="")*(실물목록!$O$2:$O$1001&lt;&gt;""))&gt;0,"확인필요(연도다름)","실물 없음")))))</f>
      </c>
      <c r="G2369" t="n" s="16">
        <f aca="0">IF(B2369="","",SUMPRODUCT((실물목록!$P$2:$P$1001&lt;&gt;"")*ISNUMBER(SEARCH(실물목록!$P$2:$P$1001,I2369))*(실물목록!$Q$2:$Q$1001&lt;&gt;"")*ISNUMBER(SEARCH(실물목록!$Q$2:$Q$1001,I2369))*(실물목록!$R$2:$R$1001="")*(실물목록!$O$2:$O$1001&lt;&gt;"")*(실물목록!$O$2:$O$1001=H2369)))</f>
      </c>
      <c r="H2369" t="str">
        <f>IFERROR(IF(AND(LEN(SUBSTITUTE(SUBSTITUTE(SUBSTITUTE(TRIM(A2369&amp;""),CHAR(160),"")," ",""),"년",""))=4,VALUE(SUBSTITUTE(SUBSTITUTE(SUBSTITUTE(TRIM(A2369&amp;""),CHAR(160),"")," ",""),"년",""))&gt;=1900,VALUE(SUBSTITUTE(SUBSTITUTE(SUBSTITUTE(TRIM(A2369&amp;""),CHAR(160),"")," ",""),"년",""))&lt;=2099,TEXT(VALUE(SUBSTITUTE(SUBSTITUTE(SUBSTITUTE(TRIM(A2369&amp;""),CHAR(160),"")," ",""),"년","")),"0000")=SUBSTITUTE(SUBSTITUTE(SUBSTITUTE(TRIM(A2369&amp;""),CHAR(160),"")," ",""),"년","")),SUBSTITUTE(SUBSTITUTE(SUBSTITUTE(TRIM(A2369&amp;""),CHAR(160),"")," ",""),"년",""),""),"")</f>
      </c>
      <c r="I2369" t="str">
        <f>SUBSTITUTE(SUBSTITUTE(SUBSTITUTE(SUBSTITUTE(SUBSTITUTE(TRIM(B2369&amp;""),CHAR(160),"")," ",""),"초등학교","초"),"중학교","중"),"고등학교","고")</f>
      </c>
    </row>
    <row r="2370" customFormat="false" ht="15" hidden="false" customHeight="false" outlineLevel="0" collapsed="false">
      <c r="A2370" s="8"/>
      <c r="B2370" s="8"/>
      <c r="C2370" s="8"/>
      <c r="D2370" s="8"/>
      <c r="E2370" s="8"/>
      <c r="F2370" t="str" s="15">
        <f aca="0">IF(B2370="","",IF(H2370="","확인필요(입력누락)",IF(SUMPRODUCT((실물목록!$P$2:$P$1001&lt;&gt;"")*ISNUMBER(SEARCH(실물목록!$P$2:$P$1001,I2370))*(실물목록!$Q$2:$Q$1001&lt;&gt;"")*ISNUMBER(SEARCH(실물목록!$Q$2:$Q$1001,I2370))*(실물목록!$R$2:$R$1001="")*(실물목록!$O$2:$O$1001&lt;&gt;"")*(실물목록!$O$2:$O$1001=H2370))&gt;0,"실물 있음",IF(SUMPRODUCT((실물목록!$P$2:$P$1001&lt;&gt;"")*ISNUMBER(SEARCH(실물목록!$P$2:$P$1001,I2370))*(실물목록!$R$2:$R$1001&lt;&gt;""))&gt;0,"확인필요(입력누락)",IF(SUMPRODUCT((실물목록!$P$2:$P$1001&lt;&gt;"")*ISNUMBER(SEARCH(실물목록!$P$2:$P$1001,I2370))*(실물목록!$Q$2:$Q$1001&lt;&gt;"")*ISNUMBER(SEARCH(실물목록!$Q$2:$Q$1001,I2370))*(실물목록!$R$2:$R$1001="")*(실물목록!$O$2:$O$1001&lt;&gt;""))&gt;0,"확인필요(연도다름)","실물 없음")))))</f>
      </c>
      <c r="G2370" t="n" s="16">
        <f aca="0">IF(B2370="","",SUMPRODUCT((실물목록!$P$2:$P$1001&lt;&gt;"")*ISNUMBER(SEARCH(실물목록!$P$2:$P$1001,I2370))*(실물목록!$Q$2:$Q$1001&lt;&gt;"")*ISNUMBER(SEARCH(실물목록!$Q$2:$Q$1001,I2370))*(실물목록!$R$2:$R$1001="")*(실물목록!$O$2:$O$1001&lt;&gt;"")*(실물목록!$O$2:$O$1001=H2370)))</f>
      </c>
      <c r="H2370" t="str">
        <f>IFERROR(IF(AND(LEN(SUBSTITUTE(SUBSTITUTE(SUBSTITUTE(TRIM(A2370&amp;""),CHAR(160),"")," ",""),"년",""))=4,VALUE(SUBSTITUTE(SUBSTITUTE(SUBSTITUTE(TRIM(A2370&amp;""),CHAR(160),"")," ",""),"년",""))&gt;=1900,VALUE(SUBSTITUTE(SUBSTITUTE(SUBSTITUTE(TRIM(A2370&amp;""),CHAR(160),"")," ",""),"년",""))&lt;=2099,TEXT(VALUE(SUBSTITUTE(SUBSTITUTE(SUBSTITUTE(TRIM(A2370&amp;""),CHAR(160),"")," ",""),"년","")),"0000")=SUBSTITUTE(SUBSTITUTE(SUBSTITUTE(TRIM(A2370&amp;""),CHAR(160),"")," ",""),"년","")),SUBSTITUTE(SUBSTITUTE(SUBSTITUTE(TRIM(A2370&amp;""),CHAR(160),"")," ",""),"년",""),""),"")</f>
      </c>
      <c r="I2370" t="str">
        <f>SUBSTITUTE(SUBSTITUTE(SUBSTITUTE(SUBSTITUTE(SUBSTITUTE(TRIM(B2370&amp;""),CHAR(160),"")," ",""),"초등학교","초"),"중학교","중"),"고등학교","고")</f>
      </c>
    </row>
    <row r="2371" customFormat="false" ht="15" hidden="false" customHeight="false" outlineLevel="0" collapsed="false">
      <c r="A2371" s="8"/>
      <c r="B2371" s="8"/>
      <c r="C2371" s="8"/>
      <c r="D2371" s="8"/>
      <c r="E2371" s="8"/>
      <c r="F2371" t="str" s="15">
        <f aca="0">IF(B2371="","",IF(H2371="","확인필요(입력누락)",IF(SUMPRODUCT((실물목록!$P$2:$P$1001&lt;&gt;"")*ISNUMBER(SEARCH(실물목록!$P$2:$P$1001,I2371))*(실물목록!$Q$2:$Q$1001&lt;&gt;"")*ISNUMBER(SEARCH(실물목록!$Q$2:$Q$1001,I2371))*(실물목록!$R$2:$R$1001="")*(실물목록!$O$2:$O$1001&lt;&gt;"")*(실물목록!$O$2:$O$1001=H2371))&gt;0,"실물 있음",IF(SUMPRODUCT((실물목록!$P$2:$P$1001&lt;&gt;"")*ISNUMBER(SEARCH(실물목록!$P$2:$P$1001,I2371))*(실물목록!$R$2:$R$1001&lt;&gt;""))&gt;0,"확인필요(입력누락)",IF(SUMPRODUCT((실물목록!$P$2:$P$1001&lt;&gt;"")*ISNUMBER(SEARCH(실물목록!$P$2:$P$1001,I2371))*(실물목록!$Q$2:$Q$1001&lt;&gt;"")*ISNUMBER(SEARCH(실물목록!$Q$2:$Q$1001,I2371))*(실물목록!$R$2:$R$1001="")*(실물목록!$O$2:$O$1001&lt;&gt;""))&gt;0,"확인필요(연도다름)","실물 없음")))))</f>
      </c>
      <c r="G2371" t="n" s="16">
        <f aca="0">IF(B2371="","",SUMPRODUCT((실물목록!$P$2:$P$1001&lt;&gt;"")*ISNUMBER(SEARCH(실물목록!$P$2:$P$1001,I2371))*(실물목록!$Q$2:$Q$1001&lt;&gt;"")*ISNUMBER(SEARCH(실물목록!$Q$2:$Q$1001,I2371))*(실물목록!$R$2:$R$1001="")*(실물목록!$O$2:$O$1001&lt;&gt;"")*(실물목록!$O$2:$O$1001=H2371)))</f>
      </c>
      <c r="H2371" t="str">
        <f>IFERROR(IF(AND(LEN(SUBSTITUTE(SUBSTITUTE(SUBSTITUTE(TRIM(A2371&amp;""),CHAR(160),"")," ",""),"년",""))=4,VALUE(SUBSTITUTE(SUBSTITUTE(SUBSTITUTE(TRIM(A2371&amp;""),CHAR(160),"")," ",""),"년",""))&gt;=1900,VALUE(SUBSTITUTE(SUBSTITUTE(SUBSTITUTE(TRIM(A2371&amp;""),CHAR(160),"")," ",""),"년",""))&lt;=2099,TEXT(VALUE(SUBSTITUTE(SUBSTITUTE(SUBSTITUTE(TRIM(A2371&amp;""),CHAR(160),"")," ",""),"년","")),"0000")=SUBSTITUTE(SUBSTITUTE(SUBSTITUTE(TRIM(A2371&amp;""),CHAR(160),"")," ",""),"년","")),SUBSTITUTE(SUBSTITUTE(SUBSTITUTE(TRIM(A2371&amp;""),CHAR(160),"")," ",""),"년",""),""),"")</f>
      </c>
      <c r="I2371" t="str">
        <f>SUBSTITUTE(SUBSTITUTE(SUBSTITUTE(SUBSTITUTE(SUBSTITUTE(TRIM(B2371&amp;""),CHAR(160),"")," ",""),"초등학교","초"),"중학교","중"),"고등학교","고")</f>
      </c>
    </row>
    <row r="2372" customFormat="false" ht="15" hidden="false" customHeight="false" outlineLevel="0" collapsed="false">
      <c r="A2372" s="8"/>
      <c r="B2372" s="8"/>
      <c r="C2372" s="8"/>
      <c r="D2372" s="8"/>
      <c r="E2372" s="8"/>
      <c r="F2372" t="str" s="15">
        <f aca="0">IF(B2372="","",IF(H2372="","확인필요(입력누락)",IF(SUMPRODUCT((실물목록!$P$2:$P$1001&lt;&gt;"")*ISNUMBER(SEARCH(실물목록!$P$2:$P$1001,I2372))*(실물목록!$Q$2:$Q$1001&lt;&gt;"")*ISNUMBER(SEARCH(실물목록!$Q$2:$Q$1001,I2372))*(실물목록!$R$2:$R$1001="")*(실물목록!$O$2:$O$1001&lt;&gt;"")*(실물목록!$O$2:$O$1001=H2372))&gt;0,"실물 있음",IF(SUMPRODUCT((실물목록!$P$2:$P$1001&lt;&gt;"")*ISNUMBER(SEARCH(실물목록!$P$2:$P$1001,I2372))*(실물목록!$R$2:$R$1001&lt;&gt;""))&gt;0,"확인필요(입력누락)",IF(SUMPRODUCT((실물목록!$P$2:$P$1001&lt;&gt;"")*ISNUMBER(SEARCH(실물목록!$P$2:$P$1001,I2372))*(실물목록!$Q$2:$Q$1001&lt;&gt;"")*ISNUMBER(SEARCH(실물목록!$Q$2:$Q$1001,I2372))*(실물목록!$R$2:$R$1001="")*(실물목록!$O$2:$O$1001&lt;&gt;""))&gt;0,"확인필요(연도다름)","실물 없음")))))</f>
      </c>
      <c r="G2372" t="n" s="16">
        <f aca="0">IF(B2372="","",SUMPRODUCT((실물목록!$P$2:$P$1001&lt;&gt;"")*ISNUMBER(SEARCH(실물목록!$P$2:$P$1001,I2372))*(실물목록!$Q$2:$Q$1001&lt;&gt;"")*ISNUMBER(SEARCH(실물목록!$Q$2:$Q$1001,I2372))*(실물목록!$R$2:$R$1001="")*(실물목록!$O$2:$O$1001&lt;&gt;"")*(실물목록!$O$2:$O$1001=H2372)))</f>
      </c>
      <c r="H2372" t="str">
        <f>IFERROR(IF(AND(LEN(SUBSTITUTE(SUBSTITUTE(SUBSTITUTE(TRIM(A2372&amp;""),CHAR(160),"")," ",""),"년",""))=4,VALUE(SUBSTITUTE(SUBSTITUTE(SUBSTITUTE(TRIM(A2372&amp;""),CHAR(160),"")," ",""),"년",""))&gt;=1900,VALUE(SUBSTITUTE(SUBSTITUTE(SUBSTITUTE(TRIM(A2372&amp;""),CHAR(160),"")," ",""),"년",""))&lt;=2099,TEXT(VALUE(SUBSTITUTE(SUBSTITUTE(SUBSTITUTE(TRIM(A2372&amp;""),CHAR(160),"")," ",""),"년","")),"0000")=SUBSTITUTE(SUBSTITUTE(SUBSTITUTE(TRIM(A2372&amp;""),CHAR(160),"")," ",""),"년","")),SUBSTITUTE(SUBSTITUTE(SUBSTITUTE(TRIM(A2372&amp;""),CHAR(160),"")," ",""),"년",""),""),"")</f>
      </c>
      <c r="I2372" t="str">
        <f>SUBSTITUTE(SUBSTITUTE(SUBSTITUTE(SUBSTITUTE(SUBSTITUTE(TRIM(B2372&amp;""),CHAR(160),"")," ",""),"초등학교","초"),"중학교","중"),"고등학교","고")</f>
      </c>
    </row>
    <row r="2373" customFormat="false" ht="15" hidden="false" customHeight="false" outlineLevel="0" collapsed="false">
      <c r="A2373" s="8"/>
      <c r="B2373" s="8"/>
      <c r="C2373" s="8"/>
      <c r="D2373" s="8"/>
      <c r="E2373" s="8"/>
      <c r="F2373" t="str" s="15">
        <f aca="0">IF(B2373="","",IF(H2373="","확인필요(입력누락)",IF(SUMPRODUCT((실물목록!$P$2:$P$1001&lt;&gt;"")*ISNUMBER(SEARCH(실물목록!$P$2:$P$1001,I2373))*(실물목록!$Q$2:$Q$1001&lt;&gt;"")*ISNUMBER(SEARCH(실물목록!$Q$2:$Q$1001,I2373))*(실물목록!$R$2:$R$1001="")*(실물목록!$O$2:$O$1001&lt;&gt;"")*(실물목록!$O$2:$O$1001=H2373))&gt;0,"실물 있음",IF(SUMPRODUCT((실물목록!$P$2:$P$1001&lt;&gt;"")*ISNUMBER(SEARCH(실물목록!$P$2:$P$1001,I2373))*(실물목록!$R$2:$R$1001&lt;&gt;""))&gt;0,"확인필요(입력누락)",IF(SUMPRODUCT((실물목록!$P$2:$P$1001&lt;&gt;"")*ISNUMBER(SEARCH(실물목록!$P$2:$P$1001,I2373))*(실물목록!$Q$2:$Q$1001&lt;&gt;"")*ISNUMBER(SEARCH(실물목록!$Q$2:$Q$1001,I2373))*(실물목록!$R$2:$R$1001="")*(실물목록!$O$2:$O$1001&lt;&gt;""))&gt;0,"확인필요(연도다름)","실물 없음")))))</f>
      </c>
      <c r="G2373" t="n" s="16">
        <f aca="0">IF(B2373="","",SUMPRODUCT((실물목록!$P$2:$P$1001&lt;&gt;"")*ISNUMBER(SEARCH(실물목록!$P$2:$P$1001,I2373))*(실물목록!$Q$2:$Q$1001&lt;&gt;"")*ISNUMBER(SEARCH(실물목록!$Q$2:$Q$1001,I2373))*(실물목록!$R$2:$R$1001="")*(실물목록!$O$2:$O$1001&lt;&gt;"")*(실물목록!$O$2:$O$1001=H2373)))</f>
      </c>
      <c r="H2373" t="str">
        <f>IFERROR(IF(AND(LEN(SUBSTITUTE(SUBSTITUTE(SUBSTITUTE(TRIM(A2373&amp;""),CHAR(160),"")," ",""),"년",""))=4,VALUE(SUBSTITUTE(SUBSTITUTE(SUBSTITUTE(TRIM(A2373&amp;""),CHAR(160),"")," ",""),"년",""))&gt;=1900,VALUE(SUBSTITUTE(SUBSTITUTE(SUBSTITUTE(TRIM(A2373&amp;""),CHAR(160),"")," ",""),"년",""))&lt;=2099,TEXT(VALUE(SUBSTITUTE(SUBSTITUTE(SUBSTITUTE(TRIM(A2373&amp;""),CHAR(160),"")," ",""),"년","")),"0000")=SUBSTITUTE(SUBSTITUTE(SUBSTITUTE(TRIM(A2373&amp;""),CHAR(160),"")," ",""),"년","")),SUBSTITUTE(SUBSTITUTE(SUBSTITUTE(TRIM(A2373&amp;""),CHAR(160),"")," ",""),"년",""),""),"")</f>
      </c>
      <c r="I2373" t="str">
        <f>SUBSTITUTE(SUBSTITUTE(SUBSTITUTE(SUBSTITUTE(SUBSTITUTE(TRIM(B2373&amp;""),CHAR(160),"")," ",""),"초등학교","초"),"중학교","중"),"고등학교","고")</f>
      </c>
    </row>
    <row r="2374" customFormat="false" ht="15" hidden="false" customHeight="false" outlineLevel="0" collapsed="false">
      <c r="A2374" s="8"/>
      <c r="B2374" s="8"/>
      <c r="C2374" s="8"/>
      <c r="D2374" s="8"/>
      <c r="E2374" s="8"/>
      <c r="F2374" t="str" s="15">
        <f aca="0">IF(B2374="","",IF(H2374="","확인필요(입력누락)",IF(SUMPRODUCT((실물목록!$P$2:$P$1001&lt;&gt;"")*ISNUMBER(SEARCH(실물목록!$P$2:$P$1001,I2374))*(실물목록!$Q$2:$Q$1001&lt;&gt;"")*ISNUMBER(SEARCH(실물목록!$Q$2:$Q$1001,I2374))*(실물목록!$R$2:$R$1001="")*(실물목록!$O$2:$O$1001&lt;&gt;"")*(실물목록!$O$2:$O$1001=H2374))&gt;0,"실물 있음",IF(SUMPRODUCT((실물목록!$P$2:$P$1001&lt;&gt;"")*ISNUMBER(SEARCH(실물목록!$P$2:$P$1001,I2374))*(실물목록!$R$2:$R$1001&lt;&gt;""))&gt;0,"확인필요(입력누락)",IF(SUMPRODUCT((실물목록!$P$2:$P$1001&lt;&gt;"")*ISNUMBER(SEARCH(실물목록!$P$2:$P$1001,I2374))*(실물목록!$Q$2:$Q$1001&lt;&gt;"")*ISNUMBER(SEARCH(실물목록!$Q$2:$Q$1001,I2374))*(실물목록!$R$2:$R$1001="")*(실물목록!$O$2:$O$1001&lt;&gt;""))&gt;0,"확인필요(연도다름)","실물 없음")))))</f>
      </c>
      <c r="G2374" t="n" s="16">
        <f aca="0">IF(B2374="","",SUMPRODUCT((실물목록!$P$2:$P$1001&lt;&gt;"")*ISNUMBER(SEARCH(실물목록!$P$2:$P$1001,I2374))*(실물목록!$Q$2:$Q$1001&lt;&gt;"")*ISNUMBER(SEARCH(실물목록!$Q$2:$Q$1001,I2374))*(실물목록!$R$2:$R$1001="")*(실물목록!$O$2:$O$1001&lt;&gt;"")*(실물목록!$O$2:$O$1001=H2374)))</f>
      </c>
      <c r="H2374" t="str">
        <f>IFERROR(IF(AND(LEN(SUBSTITUTE(SUBSTITUTE(SUBSTITUTE(TRIM(A2374&amp;""),CHAR(160),"")," ",""),"년",""))=4,VALUE(SUBSTITUTE(SUBSTITUTE(SUBSTITUTE(TRIM(A2374&amp;""),CHAR(160),"")," ",""),"년",""))&gt;=1900,VALUE(SUBSTITUTE(SUBSTITUTE(SUBSTITUTE(TRIM(A2374&amp;""),CHAR(160),"")," ",""),"년",""))&lt;=2099,TEXT(VALUE(SUBSTITUTE(SUBSTITUTE(SUBSTITUTE(TRIM(A2374&amp;""),CHAR(160),"")," ",""),"년","")),"0000")=SUBSTITUTE(SUBSTITUTE(SUBSTITUTE(TRIM(A2374&amp;""),CHAR(160),"")," ",""),"년","")),SUBSTITUTE(SUBSTITUTE(SUBSTITUTE(TRIM(A2374&amp;""),CHAR(160),"")," ",""),"년",""),""),"")</f>
      </c>
      <c r="I2374" t="str">
        <f>SUBSTITUTE(SUBSTITUTE(SUBSTITUTE(SUBSTITUTE(SUBSTITUTE(TRIM(B2374&amp;""),CHAR(160),"")," ",""),"초등학교","초"),"중학교","중"),"고등학교","고")</f>
      </c>
    </row>
    <row r="2375" customFormat="false" ht="15" hidden="false" customHeight="false" outlineLevel="0" collapsed="false">
      <c r="A2375" s="8"/>
      <c r="B2375" s="8"/>
      <c r="C2375" s="8"/>
      <c r="D2375" s="8"/>
      <c r="E2375" s="8"/>
      <c r="F2375" t="str" s="15">
        <f aca="0">IF(B2375="","",IF(H2375="","확인필요(입력누락)",IF(SUMPRODUCT((실물목록!$P$2:$P$1001&lt;&gt;"")*ISNUMBER(SEARCH(실물목록!$P$2:$P$1001,I2375))*(실물목록!$Q$2:$Q$1001&lt;&gt;"")*ISNUMBER(SEARCH(실물목록!$Q$2:$Q$1001,I2375))*(실물목록!$R$2:$R$1001="")*(실물목록!$O$2:$O$1001&lt;&gt;"")*(실물목록!$O$2:$O$1001=H2375))&gt;0,"실물 있음",IF(SUMPRODUCT((실물목록!$P$2:$P$1001&lt;&gt;"")*ISNUMBER(SEARCH(실물목록!$P$2:$P$1001,I2375))*(실물목록!$R$2:$R$1001&lt;&gt;""))&gt;0,"확인필요(입력누락)",IF(SUMPRODUCT((실물목록!$P$2:$P$1001&lt;&gt;"")*ISNUMBER(SEARCH(실물목록!$P$2:$P$1001,I2375))*(실물목록!$Q$2:$Q$1001&lt;&gt;"")*ISNUMBER(SEARCH(실물목록!$Q$2:$Q$1001,I2375))*(실물목록!$R$2:$R$1001="")*(실물목록!$O$2:$O$1001&lt;&gt;""))&gt;0,"확인필요(연도다름)","실물 없음")))))</f>
      </c>
      <c r="G2375" t="n" s="16">
        <f aca="0">IF(B2375="","",SUMPRODUCT((실물목록!$P$2:$P$1001&lt;&gt;"")*ISNUMBER(SEARCH(실물목록!$P$2:$P$1001,I2375))*(실물목록!$Q$2:$Q$1001&lt;&gt;"")*ISNUMBER(SEARCH(실물목록!$Q$2:$Q$1001,I2375))*(실물목록!$R$2:$R$1001="")*(실물목록!$O$2:$O$1001&lt;&gt;"")*(실물목록!$O$2:$O$1001=H2375)))</f>
      </c>
      <c r="H2375" t="str">
        <f>IFERROR(IF(AND(LEN(SUBSTITUTE(SUBSTITUTE(SUBSTITUTE(TRIM(A2375&amp;""),CHAR(160),"")," ",""),"년",""))=4,VALUE(SUBSTITUTE(SUBSTITUTE(SUBSTITUTE(TRIM(A2375&amp;""),CHAR(160),"")," ",""),"년",""))&gt;=1900,VALUE(SUBSTITUTE(SUBSTITUTE(SUBSTITUTE(TRIM(A2375&amp;""),CHAR(160),"")," ",""),"년",""))&lt;=2099,TEXT(VALUE(SUBSTITUTE(SUBSTITUTE(SUBSTITUTE(TRIM(A2375&amp;""),CHAR(160),"")," ",""),"년","")),"0000")=SUBSTITUTE(SUBSTITUTE(SUBSTITUTE(TRIM(A2375&amp;""),CHAR(160),"")," ",""),"년","")),SUBSTITUTE(SUBSTITUTE(SUBSTITUTE(TRIM(A2375&amp;""),CHAR(160),"")," ",""),"년",""),""),"")</f>
      </c>
      <c r="I2375" t="str">
        <f>SUBSTITUTE(SUBSTITUTE(SUBSTITUTE(SUBSTITUTE(SUBSTITUTE(TRIM(B2375&amp;""),CHAR(160),"")," ",""),"초등학교","초"),"중학교","중"),"고등학교","고")</f>
      </c>
    </row>
    <row r="2376" customFormat="false" ht="15" hidden="false" customHeight="false" outlineLevel="0" collapsed="false">
      <c r="A2376" s="8"/>
      <c r="B2376" s="8"/>
      <c r="C2376" s="8"/>
      <c r="D2376" s="8"/>
      <c r="E2376" s="8"/>
      <c r="F2376" t="str" s="15">
        <f aca="0">IF(B2376="","",IF(H2376="","확인필요(입력누락)",IF(SUMPRODUCT((실물목록!$P$2:$P$1001&lt;&gt;"")*ISNUMBER(SEARCH(실물목록!$P$2:$P$1001,I2376))*(실물목록!$Q$2:$Q$1001&lt;&gt;"")*ISNUMBER(SEARCH(실물목록!$Q$2:$Q$1001,I2376))*(실물목록!$R$2:$R$1001="")*(실물목록!$O$2:$O$1001&lt;&gt;"")*(실물목록!$O$2:$O$1001=H2376))&gt;0,"실물 있음",IF(SUMPRODUCT((실물목록!$P$2:$P$1001&lt;&gt;"")*ISNUMBER(SEARCH(실물목록!$P$2:$P$1001,I2376))*(실물목록!$R$2:$R$1001&lt;&gt;""))&gt;0,"확인필요(입력누락)",IF(SUMPRODUCT((실물목록!$P$2:$P$1001&lt;&gt;"")*ISNUMBER(SEARCH(실물목록!$P$2:$P$1001,I2376))*(실물목록!$Q$2:$Q$1001&lt;&gt;"")*ISNUMBER(SEARCH(실물목록!$Q$2:$Q$1001,I2376))*(실물목록!$R$2:$R$1001="")*(실물목록!$O$2:$O$1001&lt;&gt;""))&gt;0,"확인필요(연도다름)","실물 없음")))))</f>
      </c>
      <c r="G2376" t="n" s="16">
        <f aca="0">IF(B2376="","",SUMPRODUCT((실물목록!$P$2:$P$1001&lt;&gt;"")*ISNUMBER(SEARCH(실물목록!$P$2:$P$1001,I2376))*(실물목록!$Q$2:$Q$1001&lt;&gt;"")*ISNUMBER(SEARCH(실물목록!$Q$2:$Q$1001,I2376))*(실물목록!$R$2:$R$1001="")*(실물목록!$O$2:$O$1001&lt;&gt;"")*(실물목록!$O$2:$O$1001=H2376)))</f>
      </c>
      <c r="H2376" t="str">
        <f>IFERROR(IF(AND(LEN(SUBSTITUTE(SUBSTITUTE(SUBSTITUTE(TRIM(A2376&amp;""),CHAR(160),"")," ",""),"년",""))=4,VALUE(SUBSTITUTE(SUBSTITUTE(SUBSTITUTE(TRIM(A2376&amp;""),CHAR(160),"")," ",""),"년",""))&gt;=1900,VALUE(SUBSTITUTE(SUBSTITUTE(SUBSTITUTE(TRIM(A2376&amp;""),CHAR(160),"")," ",""),"년",""))&lt;=2099,TEXT(VALUE(SUBSTITUTE(SUBSTITUTE(SUBSTITUTE(TRIM(A2376&amp;""),CHAR(160),"")," ",""),"년","")),"0000")=SUBSTITUTE(SUBSTITUTE(SUBSTITUTE(TRIM(A2376&amp;""),CHAR(160),"")," ",""),"년","")),SUBSTITUTE(SUBSTITUTE(SUBSTITUTE(TRIM(A2376&amp;""),CHAR(160),"")," ",""),"년",""),""),"")</f>
      </c>
      <c r="I2376" t="str">
        <f>SUBSTITUTE(SUBSTITUTE(SUBSTITUTE(SUBSTITUTE(SUBSTITUTE(TRIM(B2376&amp;""),CHAR(160),"")," ",""),"초등학교","초"),"중학교","중"),"고등학교","고")</f>
      </c>
    </row>
    <row r="2377" customFormat="false" ht="15" hidden="false" customHeight="false" outlineLevel="0" collapsed="false">
      <c r="A2377" s="8"/>
      <c r="B2377" s="8"/>
      <c r="C2377" s="8"/>
      <c r="D2377" s="8"/>
      <c r="E2377" s="8"/>
      <c r="F2377" t="str" s="15">
        <f aca="0">IF(B2377="","",IF(H2377="","확인필요(입력누락)",IF(SUMPRODUCT((실물목록!$P$2:$P$1001&lt;&gt;"")*ISNUMBER(SEARCH(실물목록!$P$2:$P$1001,I2377))*(실물목록!$Q$2:$Q$1001&lt;&gt;"")*ISNUMBER(SEARCH(실물목록!$Q$2:$Q$1001,I2377))*(실물목록!$R$2:$R$1001="")*(실물목록!$O$2:$O$1001&lt;&gt;"")*(실물목록!$O$2:$O$1001=H2377))&gt;0,"실물 있음",IF(SUMPRODUCT((실물목록!$P$2:$P$1001&lt;&gt;"")*ISNUMBER(SEARCH(실물목록!$P$2:$P$1001,I2377))*(실물목록!$R$2:$R$1001&lt;&gt;""))&gt;0,"확인필요(입력누락)",IF(SUMPRODUCT((실물목록!$P$2:$P$1001&lt;&gt;"")*ISNUMBER(SEARCH(실물목록!$P$2:$P$1001,I2377))*(실물목록!$Q$2:$Q$1001&lt;&gt;"")*ISNUMBER(SEARCH(실물목록!$Q$2:$Q$1001,I2377))*(실물목록!$R$2:$R$1001="")*(실물목록!$O$2:$O$1001&lt;&gt;""))&gt;0,"확인필요(연도다름)","실물 없음")))))</f>
      </c>
      <c r="G2377" t="n" s="16">
        <f aca="0">IF(B2377="","",SUMPRODUCT((실물목록!$P$2:$P$1001&lt;&gt;"")*ISNUMBER(SEARCH(실물목록!$P$2:$P$1001,I2377))*(실물목록!$Q$2:$Q$1001&lt;&gt;"")*ISNUMBER(SEARCH(실물목록!$Q$2:$Q$1001,I2377))*(실물목록!$R$2:$R$1001="")*(실물목록!$O$2:$O$1001&lt;&gt;"")*(실물목록!$O$2:$O$1001=H2377)))</f>
      </c>
      <c r="H2377" t="str">
        <f>IFERROR(IF(AND(LEN(SUBSTITUTE(SUBSTITUTE(SUBSTITUTE(TRIM(A2377&amp;""),CHAR(160),"")," ",""),"년",""))=4,VALUE(SUBSTITUTE(SUBSTITUTE(SUBSTITUTE(TRIM(A2377&amp;""),CHAR(160),"")," ",""),"년",""))&gt;=1900,VALUE(SUBSTITUTE(SUBSTITUTE(SUBSTITUTE(TRIM(A2377&amp;""),CHAR(160),"")," ",""),"년",""))&lt;=2099,TEXT(VALUE(SUBSTITUTE(SUBSTITUTE(SUBSTITUTE(TRIM(A2377&amp;""),CHAR(160),"")," ",""),"년","")),"0000")=SUBSTITUTE(SUBSTITUTE(SUBSTITUTE(TRIM(A2377&amp;""),CHAR(160),"")," ",""),"년","")),SUBSTITUTE(SUBSTITUTE(SUBSTITUTE(TRIM(A2377&amp;""),CHAR(160),"")," ",""),"년",""),""),"")</f>
      </c>
      <c r="I2377" t="str">
        <f>SUBSTITUTE(SUBSTITUTE(SUBSTITUTE(SUBSTITUTE(SUBSTITUTE(TRIM(B2377&amp;""),CHAR(160),"")," ",""),"초등학교","초"),"중학교","중"),"고등학교","고")</f>
      </c>
    </row>
    <row r="2378" customFormat="false" ht="15" hidden="false" customHeight="false" outlineLevel="0" collapsed="false">
      <c r="A2378" s="8"/>
      <c r="B2378" s="8"/>
      <c r="C2378" s="8"/>
      <c r="D2378" s="8"/>
      <c r="E2378" s="8"/>
      <c r="F2378" t="str" s="15">
        <f aca="0">IF(B2378="","",IF(H2378="","확인필요(입력누락)",IF(SUMPRODUCT((실물목록!$P$2:$P$1001&lt;&gt;"")*ISNUMBER(SEARCH(실물목록!$P$2:$P$1001,I2378))*(실물목록!$Q$2:$Q$1001&lt;&gt;"")*ISNUMBER(SEARCH(실물목록!$Q$2:$Q$1001,I2378))*(실물목록!$R$2:$R$1001="")*(실물목록!$O$2:$O$1001&lt;&gt;"")*(실물목록!$O$2:$O$1001=H2378))&gt;0,"실물 있음",IF(SUMPRODUCT((실물목록!$P$2:$P$1001&lt;&gt;"")*ISNUMBER(SEARCH(실물목록!$P$2:$P$1001,I2378))*(실물목록!$R$2:$R$1001&lt;&gt;""))&gt;0,"확인필요(입력누락)",IF(SUMPRODUCT((실물목록!$P$2:$P$1001&lt;&gt;"")*ISNUMBER(SEARCH(실물목록!$P$2:$P$1001,I2378))*(실물목록!$Q$2:$Q$1001&lt;&gt;"")*ISNUMBER(SEARCH(실물목록!$Q$2:$Q$1001,I2378))*(실물목록!$R$2:$R$1001="")*(실물목록!$O$2:$O$1001&lt;&gt;""))&gt;0,"확인필요(연도다름)","실물 없음")))))</f>
      </c>
      <c r="G2378" t="n" s="16">
        <f aca="0">IF(B2378="","",SUMPRODUCT((실물목록!$P$2:$P$1001&lt;&gt;"")*ISNUMBER(SEARCH(실물목록!$P$2:$P$1001,I2378))*(실물목록!$Q$2:$Q$1001&lt;&gt;"")*ISNUMBER(SEARCH(실물목록!$Q$2:$Q$1001,I2378))*(실물목록!$R$2:$R$1001="")*(실물목록!$O$2:$O$1001&lt;&gt;"")*(실물목록!$O$2:$O$1001=H2378)))</f>
      </c>
      <c r="H2378" t="str">
        <f>IFERROR(IF(AND(LEN(SUBSTITUTE(SUBSTITUTE(SUBSTITUTE(TRIM(A2378&amp;""),CHAR(160),"")," ",""),"년",""))=4,VALUE(SUBSTITUTE(SUBSTITUTE(SUBSTITUTE(TRIM(A2378&amp;""),CHAR(160),"")," ",""),"년",""))&gt;=1900,VALUE(SUBSTITUTE(SUBSTITUTE(SUBSTITUTE(TRIM(A2378&amp;""),CHAR(160),"")," ",""),"년",""))&lt;=2099,TEXT(VALUE(SUBSTITUTE(SUBSTITUTE(SUBSTITUTE(TRIM(A2378&amp;""),CHAR(160),"")," ",""),"년","")),"0000")=SUBSTITUTE(SUBSTITUTE(SUBSTITUTE(TRIM(A2378&amp;""),CHAR(160),"")," ",""),"년","")),SUBSTITUTE(SUBSTITUTE(SUBSTITUTE(TRIM(A2378&amp;""),CHAR(160),"")," ",""),"년",""),""),"")</f>
      </c>
      <c r="I2378" t="str">
        <f>SUBSTITUTE(SUBSTITUTE(SUBSTITUTE(SUBSTITUTE(SUBSTITUTE(TRIM(B2378&amp;""),CHAR(160),"")," ",""),"초등학교","초"),"중학교","중"),"고등학교","고")</f>
      </c>
    </row>
    <row r="2379" customFormat="false" ht="15" hidden="false" customHeight="false" outlineLevel="0" collapsed="false">
      <c r="A2379" s="8"/>
      <c r="B2379" s="8"/>
      <c r="C2379" s="8"/>
      <c r="D2379" s="8"/>
      <c r="E2379" s="8"/>
      <c r="F2379" t="str" s="15">
        <f aca="0">IF(B2379="","",IF(H2379="","확인필요(입력누락)",IF(SUMPRODUCT((실물목록!$P$2:$P$1001&lt;&gt;"")*ISNUMBER(SEARCH(실물목록!$P$2:$P$1001,I2379))*(실물목록!$Q$2:$Q$1001&lt;&gt;"")*ISNUMBER(SEARCH(실물목록!$Q$2:$Q$1001,I2379))*(실물목록!$R$2:$R$1001="")*(실물목록!$O$2:$O$1001&lt;&gt;"")*(실물목록!$O$2:$O$1001=H2379))&gt;0,"실물 있음",IF(SUMPRODUCT((실물목록!$P$2:$P$1001&lt;&gt;"")*ISNUMBER(SEARCH(실물목록!$P$2:$P$1001,I2379))*(실물목록!$R$2:$R$1001&lt;&gt;""))&gt;0,"확인필요(입력누락)",IF(SUMPRODUCT((실물목록!$P$2:$P$1001&lt;&gt;"")*ISNUMBER(SEARCH(실물목록!$P$2:$P$1001,I2379))*(실물목록!$Q$2:$Q$1001&lt;&gt;"")*ISNUMBER(SEARCH(실물목록!$Q$2:$Q$1001,I2379))*(실물목록!$R$2:$R$1001="")*(실물목록!$O$2:$O$1001&lt;&gt;""))&gt;0,"확인필요(연도다름)","실물 없음")))))</f>
      </c>
      <c r="G2379" t="n" s="16">
        <f aca="0">IF(B2379="","",SUMPRODUCT((실물목록!$P$2:$P$1001&lt;&gt;"")*ISNUMBER(SEARCH(실물목록!$P$2:$P$1001,I2379))*(실물목록!$Q$2:$Q$1001&lt;&gt;"")*ISNUMBER(SEARCH(실물목록!$Q$2:$Q$1001,I2379))*(실물목록!$R$2:$R$1001="")*(실물목록!$O$2:$O$1001&lt;&gt;"")*(실물목록!$O$2:$O$1001=H2379)))</f>
      </c>
      <c r="H2379" t="str">
        <f>IFERROR(IF(AND(LEN(SUBSTITUTE(SUBSTITUTE(SUBSTITUTE(TRIM(A2379&amp;""),CHAR(160),"")," ",""),"년",""))=4,VALUE(SUBSTITUTE(SUBSTITUTE(SUBSTITUTE(TRIM(A2379&amp;""),CHAR(160),"")," ",""),"년",""))&gt;=1900,VALUE(SUBSTITUTE(SUBSTITUTE(SUBSTITUTE(TRIM(A2379&amp;""),CHAR(160),"")," ",""),"년",""))&lt;=2099,TEXT(VALUE(SUBSTITUTE(SUBSTITUTE(SUBSTITUTE(TRIM(A2379&amp;""),CHAR(160),"")," ",""),"년","")),"0000")=SUBSTITUTE(SUBSTITUTE(SUBSTITUTE(TRIM(A2379&amp;""),CHAR(160),"")," ",""),"년","")),SUBSTITUTE(SUBSTITUTE(SUBSTITUTE(TRIM(A2379&amp;""),CHAR(160),"")," ",""),"년",""),""),"")</f>
      </c>
      <c r="I2379" t="str">
        <f>SUBSTITUTE(SUBSTITUTE(SUBSTITUTE(SUBSTITUTE(SUBSTITUTE(TRIM(B2379&amp;""),CHAR(160),"")," ",""),"초등학교","초"),"중학교","중"),"고등학교","고")</f>
      </c>
    </row>
    <row r="2380" customFormat="false" ht="15" hidden="false" customHeight="false" outlineLevel="0" collapsed="false">
      <c r="A2380" s="8"/>
      <c r="B2380" s="8"/>
      <c r="C2380" s="8"/>
      <c r="D2380" s="8"/>
      <c r="E2380" s="8"/>
      <c r="F2380" t="str" s="15">
        <f aca="0">IF(B2380="","",IF(H2380="","확인필요(입력누락)",IF(SUMPRODUCT((실물목록!$P$2:$P$1001&lt;&gt;"")*ISNUMBER(SEARCH(실물목록!$P$2:$P$1001,I2380))*(실물목록!$Q$2:$Q$1001&lt;&gt;"")*ISNUMBER(SEARCH(실물목록!$Q$2:$Q$1001,I2380))*(실물목록!$R$2:$R$1001="")*(실물목록!$O$2:$O$1001&lt;&gt;"")*(실물목록!$O$2:$O$1001=H2380))&gt;0,"실물 있음",IF(SUMPRODUCT((실물목록!$P$2:$P$1001&lt;&gt;"")*ISNUMBER(SEARCH(실물목록!$P$2:$P$1001,I2380))*(실물목록!$R$2:$R$1001&lt;&gt;""))&gt;0,"확인필요(입력누락)",IF(SUMPRODUCT((실물목록!$P$2:$P$1001&lt;&gt;"")*ISNUMBER(SEARCH(실물목록!$P$2:$P$1001,I2380))*(실물목록!$Q$2:$Q$1001&lt;&gt;"")*ISNUMBER(SEARCH(실물목록!$Q$2:$Q$1001,I2380))*(실물목록!$R$2:$R$1001="")*(실물목록!$O$2:$O$1001&lt;&gt;""))&gt;0,"확인필요(연도다름)","실물 없음")))))</f>
      </c>
      <c r="G2380" t="n" s="16">
        <f aca="0">IF(B2380="","",SUMPRODUCT((실물목록!$P$2:$P$1001&lt;&gt;"")*ISNUMBER(SEARCH(실물목록!$P$2:$P$1001,I2380))*(실물목록!$Q$2:$Q$1001&lt;&gt;"")*ISNUMBER(SEARCH(실물목록!$Q$2:$Q$1001,I2380))*(실물목록!$R$2:$R$1001="")*(실물목록!$O$2:$O$1001&lt;&gt;"")*(실물목록!$O$2:$O$1001=H2380)))</f>
      </c>
      <c r="H2380" t="str">
        <f>IFERROR(IF(AND(LEN(SUBSTITUTE(SUBSTITUTE(SUBSTITUTE(TRIM(A2380&amp;""),CHAR(160),"")," ",""),"년",""))=4,VALUE(SUBSTITUTE(SUBSTITUTE(SUBSTITUTE(TRIM(A2380&amp;""),CHAR(160),"")," ",""),"년",""))&gt;=1900,VALUE(SUBSTITUTE(SUBSTITUTE(SUBSTITUTE(TRIM(A2380&amp;""),CHAR(160),"")," ",""),"년",""))&lt;=2099,TEXT(VALUE(SUBSTITUTE(SUBSTITUTE(SUBSTITUTE(TRIM(A2380&amp;""),CHAR(160),"")," ",""),"년","")),"0000")=SUBSTITUTE(SUBSTITUTE(SUBSTITUTE(TRIM(A2380&amp;""),CHAR(160),"")," ",""),"년","")),SUBSTITUTE(SUBSTITUTE(SUBSTITUTE(TRIM(A2380&amp;""),CHAR(160),"")," ",""),"년",""),""),"")</f>
      </c>
      <c r="I2380" t="str">
        <f>SUBSTITUTE(SUBSTITUTE(SUBSTITUTE(SUBSTITUTE(SUBSTITUTE(TRIM(B2380&amp;""),CHAR(160),"")," ",""),"초등학교","초"),"중학교","중"),"고등학교","고")</f>
      </c>
    </row>
    <row r="2381" customFormat="false" ht="15" hidden="false" customHeight="false" outlineLevel="0" collapsed="false">
      <c r="A2381" s="8"/>
      <c r="B2381" s="8"/>
      <c r="C2381" s="8"/>
      <c r="D2381" s="8"/>
      <c r="E2381" s="8"/>
      <c r="F2381" t="str" s="15">
        <f aca="0">IF(B2381="","",IF(H2381="","확인필요(입력누락)",IF(SUMPRODUCT((실물목록!$P$2:$P$1001&lt;&gt;"")*ISNUMBER(SEARCH(실물목록!$P$2:$P$1001,I2381))*(실물목록!$Q$2:$Q$1001&lt;&gt;"")*ISNUMBER(SEARCH(실물목록!$Q$2:$Q$1001,I2381))*(실물목록!$R$2:$R$1001="")*(실물목록!$O$2:$O$1001&lt;&gt;"")*(실물목록!$O$2:$O$1001=H2381))&gt;0,"실물 있음",IF(SUMPRODUCT((실물목록!$P$2:$P$1001&lt;&gt;"")*ISNUMBER(SEARCH(실물목록!$P$2:$P$1001,I2381))*(실물목록!$R$2:$R$1001&lt;&gt;""))&gt;0,"확인필요(입력누락)",IF(SUMPRODUCT((실물목록!$P$2:$P$1001&lt;&gt;"")*ISNUMBER(SEARCH(실물목록!$P$2:$P$1001,I2381))*(실물목록!$Q$2:$Q$1001&lt;&gt;"")*ISNUMBER(SEARCH(실물목록!$Q$2:$Q$1001,I2381))*(실물목록!$R$2:$R$1001="")*(실물목록!$O$2:$O$1001&lt;&gt;""))&gt;0,"확인필요(연도다름)","실물 없음")))))</f>
      </c>
      <c r="G2381" t="n" s="16">
        <f aca="0">IF(B2381="","",SUMPRODUCT((실물목록!$P$2:$P$1001&lt;&gt;"")*ISNUMBER(SEARCH(실물목록!$P$2:$P$1001,I2381))*(실물목록!$Q$2:$Q$1001&lt;&gt;"")*ISNUMBER(SEARCH(실물목록!$Q$2:$Q$1001,I2381))*(실물목록!$R$2:$R$1001="")*(실물목록!$O$2:$O$1001&lt;&gt;"")*(실물목록!$O$2:$O$1001=H2381)))</f>
      </c>
      <c r="H2381" t="str">
        <f>IFERROR(IF(AND(LEN(SUBSTITUTE(SUBSTITUTE(SUBSTITUTE(TRIM(A2381&amp;""),CHAR(160),"")," ",""),"년",""))=4,VALUE(SUBSTITUTE(SUBSTITUTE(SUBSTITUTE(TRIM(A2381&amp;""),CHAR(160),"")," ",""),"년",""))&gt;=1900,VALUE(SUBSTITUTE(SUBSTITUTE(SUBSTITUTE(TRIM(A2381&amp;""),CHAR(160),"")," ",""),"년",""))&lt;=2099,TEXT(VALUE(SUBSTITUTE(SUBSTITUTE(SUBSTITUTE(TRIM(A2381&amp;""),CHAR(160),"")," ",""),"년","")),"0000")=SUBSTITUTE(SUBSTITUTE(SUBSTITUTE(TRIM(A2381&amp;""),CHAR(160),"")," ",""),"년","")),SUBSTITUTE(SUBSTITUTE(SUBSTITUTE(TRIM(A2381&amp;""),CHAR(160),"")," ",""),"년",""),""),"")</f>
      </c>
      <c r="I2381" t="str">
        <f>SUBSTITUTE(SUBSTITUTE(SUBSTITUTE(SUBSTITUTE(SUBSTITUTE(TRIM(B2381&amp;""),CHAR(160),"")," ",""),"초등학교","초"),"중학교","중"),"고등학교","고")</f>
      </c>
    </row>
    <row r="2382" customFormat="false" ht="15" hidden="false" customHeight="false" outlineLevel="0" collapsed="false">
      <c r="A2382" s="8"/>
      <c r="B2382" s="8"/>
      <c r="C2382" s="8"/>
      <c r="D2382" s="8"/>
      <c r="E2382" s="8"/>
      <c r="F2382" t="str" s="15">
        <f aca="0">IF(B2382="","",IF(H2382="","확인필요(입력누락)",IF(SUMPRODUCT((실물목록!$P$2:$P$1001&lt;&gt;"")*ISNUMBER(SEARCH(실물목록!$P$2:$P$1001,I2382))*(실물목록!$Q$2:$Q$1001&lt;&gt;"")*ISNUMBER(SEARCH(실물목록!$Q$2:$Q$1001,I2382))*(실물목록!$R$2:$R$1001="")*(실물목록!$O$2:$O$1001&lt;&gt;"")*(실물목록!$O$2:$O$1001=H2382))&gt;0,"실물 있음",IF(SUMPRODUCT((실물목록!$P$2:$P$1001&lt;&gt;"")*ISNUMBER(SEARCH(실물목록!$P$2:$P$1001,I2382))*(실물목록!$R$2:$R$1001&lt;&gt;""))&gt;0,"확인필요(입력누락)",IF(SUMPRODUCT((실물목록!$P$2:$P$1001&lt;&gt;"")*ISNUMBER(SEARCH(실물목록!$P$2:$P$1001,I2382))*(실물목록!$Q$2:$Q$1001&lt;&gt;"")*ISNUMBER(SEARCH(실물목록!$Q$2:$Q$1001,I2382))*(실물목록!$R$2:$R$1001="")*(실물목록!$O$2:$O$1001&lt;&gt;""))&gt;0,"확인필요(연도다름)","실물 없음")))))</f>
      </c>
      <c r="G2382" t="n" s="16">
        <f aca="0">IF(B2382="","",SUMPRODUCT((실물목록!$P$2:$P$1001&lt;&gt;"")*ISNUMBER(SEARCH(실물목록!$P$2:$P$1001,I2382))*(실물목록!$Q$2:$Q$1001&lt;&gt;"")*ISNUMBER(SEARCH(실물목록!$Q$2:$Q$1001,I2382))*(실물목록!$R$2:$R$1001="")*(실물목록!$O$2:$O$1001&lt;&gt;"")*(실물목록!$O$2:$O$1001=H2382)))</f>
      </c>
      <c r="H2382" t="str">
        <f>IFERROR(IF(AND(LEN(SUBSTITUTE(SUBSTITUTE(SUBSTITUTE(TRIM(A2382&amp;""),CHAR(160),"")," ",""),"년",""))=4,VALUE(SUBSTITUTE(SUBSTITUTE(SUBSTITUTE(TRIM(A2382&amp;""),CHAR(160),"")," ",""),"년",""))&gt;=1900,VALUE(SUBSTITUTE(SUBSTITUTE(SUBSTITUTE(TRIM(A2382&amp;""),CHAR(160),"")," ",""),"년",""))&lt;=2099,TEXT(VALUE(SUBSTITUTE(SUBSTITUTE(SUBSTITUTE(TRIM(A2382&amp;""),CHAR(160),"")," ",""),"년","")),"0000")=SUBSTITUTE(SUBSTITUTE(SUBSTITUTE(TRIM(A2382&amp;""),CHAR(160),"")," ",""),"년","")),SUBSTITUTE(SUBSTITUTE(SUBSTITUTE(TRIM(A2382&amp;""),CHAR(160),"")," ",""),"년",""),""),"")</f>
      </c>
      <c r="I2382" t="str">
        <f>SUBSTITUTE(SUBSTITUTE(SUBSTITUTE(SUBSTITUTE(SUBSTITUTE(TRIM(B2382&amp;""),CHAR(160),"")," ",""),"초등학교","초"),"중학교","중"),"고등학교","고")</f>
      </c>
    </row>
    <row r="2383" customFormat="false" ht="15" hidden="false" customHeight="false" outlineLevel="0" collapsed="false">
      <c r="A2383" s="8"/>
      <c r="B2383" s="8"/>
      <c r="C2383" s="8"/>
      <c r="D2383" s="8"/>
      <c r="E2383" s="8"/>
      <c r="F2383" t="str" s="15">
        <f aca="0">IF(B2383="","",IF(H2383="","확인필요(입력누락)",IF(SUMPRODUCT((실물목록!$P$2:$P$1001&lt;&gt;"")*ISNUMBER(SEARCH(실물목록!$P$2:$P$1001,I2383))*(실물목록!$Q$2:$Q$1001&lt;&gt;"")*ISNUMBER(SEARCH(실물목록!$Q$2:$Q$1001,I2383))*(실물목록!$R$2:$R$1001="")*(실물목록!$O$2:$O$1001&lt;&gt;"")*(실물목록!$O$2:$O$1001=H2383))&gt;0,"실물 있음",IF(SUMPRODUCT((실물목록!$P$2:$P$1001&lt;&gt;"")*ISNUMBER(SEARCH(실물목록!$P$2:$P$1001,I2383))*(실물목록!$R$2:$R$1001&lt;&gt;""))&gt;0,"확인필요(입력누락)",IF(SUMPRODUCT((실물목록!$P$2:$P$1001&lt;&gt;"")*ISNUMBER(SEARCH(실물목록!$P$2:$P$1001,I2383))*(실물목록!$Q$2:$Q$1001&lt;&gt;"")*ISNUMBER(SEARCH(실물목록!$Q$2:$Q$1001,I2383))*(실물목록!$R$2:$R$1001="")*(실물목록!$O$2:$O$1001&lt;&gt;""))&gt;0,"확인필요(연도다름)","실물 없음")))))</f>
      </c>
      <c r="G2383" t="n" s="16">
        <f aca="0">IF(B2383="","",SUMPRODUCT((실물목록!$P$2:$P$1001&lt;&gt;"")*ISNUMBER(SEARCH(실물목록!$P$2:$P$1001,I2383))*(실물목록!$Q$2:$Q$1001&lt;&gt;"")*ISNUMBER(SEARCH(실물목록!$Q$2:$Q$1001,I2383))*(실물목록!$R$2:$R$1001="")*(실물목록!$O$2:$O$1001&lt;&gt;"")*(실물목록!$O$2:$O$1001=H2383)))</f>
      </c>
      <c r="H2383" t="str">
        <f>IFERROR(IF(AND(LEN(SUBSTITUTE(SUBSTITUTE(SUBSTITUTE(TRIM(A2383&amp;""),CHAR(160),"")," ",""),"년",""))=4,VALUE(SUBSTITUTE(SUBSTITUTE(SUBSTITUTE(TRIM(A2383&amp;""),CHAR(160),"")," ",""),"년",""))&gt;=1900,VALUE(SUBSTITUTE(SUBSTITUTE(SUBSTITUTE(TRIM(A2383&amp;""),CHAR(160),"")," ",""),"년",""))&lt;=2099,TEXT(VALUE(SUBSTITUTE(SUBSTITUTE(SUBSTITUTE(TRIM(A2383&amp;""),CHAR(160),"")," ",""),"년","")),"0000")=SUBSTITUTE(SUBSTITUTE(SUBSTITUTE(TRIM(A2383&amp;""),CHAR(160),"")," ",""),"년","")),SUBSTITUTE(SUBSTITUTE(SUBSTITUTE(TRIM(A2383&amp;""),CHAR(160),"")," ",""),"년",""),""),"")</f>
      </c>
      <c r="I2383" t="str">
        <f>SUBSTITUTE(SUBSTITUTE(SUBSTITUTE(SUBSTITUTE(SUBSTITUTE(TRIM(B2383&amp;""),CHAR(160),"")," ",""),"초등학교","초"),"중학교","중"),"고등학교","고")</f>
      </c>
    </row>
    <row r="2384" customFormat="false" ht="15" hidden="false" customHeight="false" outlineLevel="0" collapsed="false">
      <c r="A2384" s="8"/>
      <c r="B2384" s="8"/>
      <c r="C2384" s="8"/>
      <c r="D2384" s="8"/>
      <c r="E2384" s="8"/>
      <c r="F2384" t="str" s="15">
        <f aca="0">IF(B2384="","",IF(H2384="","확인필요(입력누락)",IF(SUMPRODUCT((실물목록!$P$2:$P$1001&lt;&gt;"")*ISNUMBER(SEARCH(실물목록!$P$2:$P$1001,I2384))*(실물목록!$Q$2:$Q$1001&lt;&gt;"")*ISNUMBER(SEARCH(실물목록!$Q$2:$Q$1001,I2384))*(실물목록!$R$2:$R$1001="")*(실물목록!$O$2:$O$1001&lt;&gt;"")*(실물목록!$O$2:$O$1001=H2384))&gt;0,"실물 있음",IF(SUMPRODUCT((실물목록!$P$2:$P$1001&lt;&gt;"")*ISNUMBER(SEARCH(실물목록!$P$2:$P$1001,I2384))*(실물목록!$R$2:$R$1001&lt;&gt;""))&gt;0,"확인필요(입력누락)",IF(SUMPRODUCT((실물목록!$P$2:$P$1001&lt;&gt;"")*ISNUMBER(SEARCH(실물목록!$P$2:$P$1001,I2384))*(실물목록!$Q$2:$Q$1001&lt;&gt;"")*ISNUMBER(SEARCH(실물목록!$Q$2:$Q$1001,I2384))*(실물목록!$R$2:$R$1001="")*(실물목록!$O$2:$O$1001&lt;&gt;""))&gt;0,"확인필요(연도다름)","실물 없음")))))</f>
      </c>
      <c r="G2384" t="n" s="16">
        <f aca="0">IF(B2384="","",SUMPRODUCT((실물목록!$P$2:$P$1001&lt;&gt;"")*ISNUMBER(SEARCH(실물목록!$P$2:$P$1001,I2384))*(실물목록!$Q$2:$Q$1001&lt;&gt;"")*ISNUMBER(SEARCH(실물목록!$Q$2:$Q$1001,I2384))*(실물목록!$R$2:$R$1001="")*(실물목록!$O$2:$O$1001&lt;&gt;"")*(실물목록!$O$2:$O$1001=H2384)))</f>
      </c>
      <c r="H2384" t="str">
        <f>IFERROR(IF(AND(LEN(SUBSTITUTE(SUBSTITUTE(SUBSTITUTE(TRIM(A2384&amp;""),CHAR(160),"")," ",""),"년",""))=4,VALUE(SUBSTITUTE(SUBSTITUTE(SUBSTITUTE(TRIM(A2384&amp;""),CHAR(160),"")," ",""),"년",""))&gt;=1900,VALUE(SUBSTITUTE(SUBSTITUTE(SUBSTITUTE(TRIM(A2384&amp;""),CHAR(160),"")," ",""),"년",""))&lt;=2099,TEXT(VALUE(SUBSTITUTE(SUBSTITUTE(SUBSTITUTE(TRIM(A2384&amp;""),CHAR(160),"")," ",""),"년","")),"0000")=SUBSTITUTE(SUBSTITUTE(SUBSTITUTE(TRIM(A2384&amp;""),CHAR(160),"")," ",""),"년","")),SUBSTITUTE(SUBSTITUTE(SUBSTITUTE(TRIM(A2384&amp;""),CHAR(160),"")," ",""),"년",""),""),"")</f>
      </c>
      <c r="I2384" t="str">
        <f>SUBSTITUTE(SUBSTITUTE(SUBSTITUTE(SUBSTITUTE(SUBSTITUTE(TRIM(B2384&amp;""),CHAR(160),"")," ",""),"초등학교","초"),"중학교","중"),"고등학교","고")</f>
      </c>
    </row>
    <row r="2385" customFormat="false" ht="15" hidden="false" customHeight="false" outlineLevel="0" collapsed="false">
      <c r="A2385" s="8"/>
      <c r="B2385" s="8"/>
      <c r="C2385" s="8"/>
      <c r="D2385" s="8"/>
      <c r="E2385" s="8"/>
      <c r="F2385" t="str" s="15">
        <f aca="0">IF(B2385="","",IF(H2385="","확인필요(입력누락)",IF(SUMPRODUCT((실물목록!$P$2:$P$1001&lt;&gt;"")*ISNUMBER(SEARCH(실물목록!$P$2:$P$1001,I2385))*(실물목록!$Q$2:$Q$1001&lt;&gt;"")*ISNUMBER(SEARCH(실물목록!$Q$2:$Q$1001,I2385))*(실물목록!$R$2:$R$1001="")*(실물목록!$O$2:$O$1001&lt;&gt;"")*(실물목록!$O$2:$O$1001=H2385))&gt;0,"실물 있음",IF(SUMPRODUCT((실물목록!$P$2:$P$1001&lt;&gt;"")*ISNUMBER(SEARCH(실물목록!$P$2:$P$1001,I2385))*(실물목록!$R$2:$R$1001&lt;&gt;""))&gt;0,"확인필요(입력누락)",IF(SUMPRODUCT((실물목록!$P$2:$P$1001&lt;&gt;"")*ISNUMBER(SEARCH(실물목록!$P$2:$P$1001,I2385))*(실물목록!$Q$2:$Q$1001&lt;&gt;"")*ISNUMBER(SEARCH(실물목록!$Q$2:$Q$1001,I2385))*(실물목록!$R$2:$R$1001="")*(실물목록!$O$2:$O$1001&lt;&gt;""))&gt;0,"확인필요(연도다름)","실물 없음")))))</f>
      </c>
      <c r="G2385" t="n" s="16">
        <f aca="0">IF(B2385="","",SUMPRODUCT((실물목록!$P$2:$P$1001&lt;&gt;"")*ISNUMBER(SEARCH(실물목록!$P$2:$P$1001,I2385))*(실물목록!$Q$2:$Q$1001&lt;&gt;"")*ISNUMBER(SEARCH(실물목록!$Q$2:$Q$1001,I2385))*(실물목록!$R$2:$R$1001="")*(실물목록!$O$2:$O$1001&lt;&gt;"")*(실물목록!$O$2:$O$1001=H2385)))</f>
      </c>
      <c r="H2385" t="str">
        <f>IFERROR(IF(AND(LEN(SUBSTITUTE(SUBSTITUTE(SUBSTITUTE(TRIM(A2385&amp;""),CHAR(160),"")," ",""),"년",""))=4,VALUE(SUBSTITUTE(SUBSTITUTE(SUBSTITUTE(TRIM(A2385&amp;""),CHAR(160),"")," ",""),"년",""))&gt;=1900,VALUE(SUBSTITUTE(SUBSTITUTE(SUBSTITUTE(TRIM(A2385&amp;""),CHAR(160),"")," ",""),"년",""))&lt;=2099,TEXT(VALUE(SUBSTITUTE(SUBSTITUTE(SUBSTITUTE(TRIM(A2385&amp;""),CHAR(160),"")," ",""),"년","")),"0000")=SUBSTITUTE(SUBSTITUTE(SUBSTITUTE(TRIM(A2385&amp;""),CHAR(160),"")," ",""),"년","")),SUBSTITUTE(SUBSTITUTE(SUBSTITUTE(TRIM(A2385&amp;""),CHAR(160),"")," ",""),"년",""),""),"")</f>
      </c>
      <c r="I2385" t="str">
        <f>SUBSTITUTE(SUBSTITUTE(SUBSTITUTE(SUBSTITUTE(SUBSTITUTE(TRIM(B2385&amp;""),CHAR(160),"")," ",""),"초등학교","초"),"중학교","중"),"고등학교","고")</f>
      </c>
    </row>
    <row r="2386" customFormat="false" ht="15" hidden="false" customHeight="false" outlineLevel="0" collapsed="false">
      <c r="A2386" s="8"/>
      <c r="B2386" s="8"/>
      <c r="C2386" s="8"/>
      <c r="D2386" s="8"/>
      <c r="E2386" s="8"/>
      <c r="F2386" t="str" s="15">
        <f aca="0">IF(B2386="","",IF(H2386="","확인필요(입력누락)",IF(SUMPRODUCT((실물목록!$P$2:$P$1001&lt;&gt;"")*ISNUMBER(SEARCH(실물목록!$P$2:$P$1001,I2386))*(실물목록!$Q$2:$Q$1001&lt;&gt;"")*ISNUMBER(SEARCH(실물목록!$Q$2:$Q$1001,I2386))*(실물목록!$R$2:$R$1001="")*(실물목록!$O$2:$O$1001&lt;&gt;"")*(실물목록!$O$2:$O$1001=H2386))&gt;0,"실물 있음",IF(SUMPRODUCT((실물목록!$P$2:$P$1001&lt;&gt;"")*ISNUMBER(SEARCH(실물목록!$P$2:$P$1001,I2386))*(실물목록!$R$2:$R$1001&lt;&gt;""))&gt;0,"확인필요(입력누락)",IF(SUMPRODUCT((실물목록!$P$2:$P$1001&lt;&gt;"")*ISNUMBER(SEARCH(실물목록!$P$2:$P$1001,I2386))*(실물목록!$Q$2:$Q$1001&lt;&gt;"")*ISNUMBER(SEARCH(실물목록!$Q$2:$Q$1001,I2386))*(실물목록!$R$2:$R$1001="")*(실물목록!$O$2:$O$1001&lt;&gt;""))&gt;0,"확인필요(연도다름)","실물 없음")))))</f>
      </c>
      <c r="G2386" t="n" s="16">
        <f aca="0">IF(B2386="","",SUMPRODUCT((실물목록!$P$2:$P$1001&lt;&gt;"")*ISNUMBER(SEARCH(실물목록!$P$2:$P$1001,I2386))*(실물목록!$Q$2:$Q$1001&lt;&gt;"")*ISNUMBER(SEARCH(실물목록!$Q$2:$Q$1001,I2386))*(실물목록!$R$2:$R$1001="")*(실물목록!$O$2:$O$1001&lt;&gt;"")*(실물목록!$O$2:$O$1001=H2386)))</f>
      </c>
      <c r="H2386" t="str">
        <f>IFERROR(IF(AND(LEN(SUBSTITUTE(SUBSTITUTE(SUBSTITUTE(TRIM(A2386&amp;""),CHAR(160),"")," ",""),"년",""))=4,VALUE(SUBSTITUTE(SUBSTITUTE(SUBSTITUTE(TRIM(A2386&amp;""),CHAR(160),"")," ",""),"년",""))&gt;=1900,VALUE(SUBSTITUTE(SUBSTITUTE(SUBSTITUTE(TRIM(A2386&amp;""),CHAR(160),"")," ",""),"년",""))&lt;=2099,TEXT(VALUE(SUBSTITUTE(SUBSTITUTE(SUBSTITUTE(TRIM(A2386&amp;""),CHAR(160),"")," ",""),"년","")),"0000")=SUBSTITUTE(SUBSTITUTE(SUBSTITUTE(TRIM(A2386&amp;""),CHAR(160),"")," ",""),"년","")),SUBSTITUTE(SUBSTITUTE(SUBSTITUTE(TRIM(A2386&amp;""),CHAR(160),"")," ",""),"년",""),""),"")</f>
      </c>
      <c r="I2386" t="str">
        <f>SUBSTITUTE(SUBSTITUTE(SUBSTITUTE(SUBSTITUTE(SUBSTITUTE(TRIM(B2386&amp;""),CHAR(160),"")," ",""),"초등학교","초"),"중학교","중"),"고등학교","고")</f>
      </c>
    </row>
    <row r="2387" customFormat="false" ht="15" hidden="false" customHeight="false" outlineLevel="0" collapsed="false">
      <c r="A2387" s="8"/>
      <c r="B2387" s="8"/>
      <c r="C2387" s="8"/>
      <c r="D2387" s="8"/>
      <c r="E2387" s="8"/>
      <c r="F2387" t="str" s="15">
        <f aca="0">IF(B2387="","",IF(H2387="","확인필요(입력누락)",IF(SUMPRODUCT((실물목록!$P$2:$P$1001&lt;&gt;"")*ISNUMBER(SEARCH(실물목록!$P$2:$P$1001,I2387))*(실물목록!$Q$2:$Q$1001&lt;&gt;"")*ISNUMBER(SEARCH(실물목록!$Q$2:$Q$1001,I2387))*(실물목록!$R$2:$R$1001="")*(실물목록!$O$2:$O$1001&lt;&gt;"")*(실물목록!$O$2:$O$1001=H2387))&gt;0,"실물 있음",IF(SUMPRODUCT((실물목록!$P$2:$P$1001&lt;&gt;"")*ISNUMBER(SEARCH(실물목록!$P$2:$P$1001,I2387))*(실물목록!$R$2:$R$1001&lt;&gt;""))&gt;0,"확인필요(입력누락)",IF(SUMPRODUCT((실물목록!$P$2:$P$1001&lt;&gt;"")*ISNUMBER(SEARCH(실물목록!$P$2:$P$1001,I2387))*(실물목록!$Q$2:$Q$1001&lt;&gt;"")*ISNUMBER(SEARCH(실물목록!$Q$2:$Q$1001,I2387))*(실물목록!$R$2:$R$1001="")*(실물목록!$O$2:$O$1001&lt;&gt;""))&gt;0,"확인필요(연도다름)","실물 없음")))))</f>
      </c>
      <c r="G2387" t="n" s="16">
        <f aca="0">IF(B2387="","",SUMPRODUCT((실물목록!$P$2:$P$1001&lt;&gt;"")*ISNUMBER(SEARCH(실물목록!$P$2:$P$1001,I2387))*(실물목록!$Q$2:$Q$1001&lt;&gt;"")*ISNUMBER(SEARCH(실물목록!$Q$2:$Q$1001,I2387))*(실물목록!$R$2:$R$1001="")*(실물목록!$O$2:$O$1001&lt;&gt;"")*(실물목록!$O$2:$O$1001=H2387)))</f>
      </c>
      <c r="H2387" t="str">
        <f>IFERROR(IF(AND(LEN(SUBSTITUTE(SUBSTITUTE(SUBSTITUTE(TRIM(A2387&amp;""),CHAR(160),"")," ",""),"년",""))=4,VALUE(SUBSTITUTE(SUBSTITUTE(SUBSTITUTE(TRIM(A2387&amp;""),CHAR(160),"")," ",""),"년",""))&gt;=1900,VALUE(SUBSTITUTE(SUBSTITUTE(SUBSTITUTE(TRIM(A2387&amp;""),CHAR(160),"")," ",""),"년",""))&lt;=2099,TEXT(VALUE(SUBSTITUTE(SUBSTITUTE(SUBSTITUTE(TRIM(A2387&amp;""),CHAR(160),"")," ",""),"년","")),"0000")=SUBSTITUTE(SUBSTITUTE(SUBSTITUTE(TRIM(A2387&amp;""),CHAR(160),"")," ",""),"년","")),SUBSTITUTE(SUBSTITUTE(SUBSTITUTE(TRIM(A2387&amp;""),CHAR(160),"")," ",""),"년",""),""),"")</f>
      </c>
      <c r="I2387" t="str">
        <f>SUBSTITUTE(SUBSTITUTE(SUBSTITUTE(SUBSTITUTE(SUBSTITUTE(TRIM(B2387&amp;""),CHAR(160),"")," ",""),"초등학교","초"),"중학교","중"),"고등학교","고")</f>
      </c>
    </row>
    <row r="2388" customFormat="false" ht="15" hidden="false" customHeight="false" outlineLevel="0" collapsed="false">
      <c r="A2388" s="8"/>
      <c r="B2388" s="8"/>
      <c r="C2388" s="8"/>
      <c r="D2388" s="8"/>
      <c r="E2388" s="8"/>
      <c r="F2388" t="str" s="15">
        <f aca="0">IF(B2388="","",IF(H2388="","확인필요(입력누락)",IF(SUMPRODUCT((실물목록!$P$2:$P$1001&lt;&gt;"")*ISNUMBER(SEARCH(실물목록!$P$2:$P$1001,I2388))*(실물목록!$Q$2:$Q$1001&lt;&gt;"")*ISNUMBER(SEARCH(실물목록!$Q$2:$Q$1001,I2388))*(실물목록!$R$2:$R$1001="")*(실물목록!$O$2:$O$1001&lt;&gt;"")*(실물목록!$O$2:$O$1001=H2388))&gt;0,"실물 있음",IF(SUMPRODUCT((실물목록!$P$2:$P$1001&lt;&gt;"")*ISNUMBER(SEARCH(실물목록!$P$2:$P$1001,I2388))*(실물목록!$R$2:$R$1001&lt;&gt;""))&gt;0,"확인필요(입력누락)",IF(SUMPRODUCT((실물목록!$P$2:$P$1001&lt;&gt;"")*ISNUMBER(SEARCH(실물목록!$P$2:$P$1001,I2388))*(실물목록!$Q$2:$Q$1001&lt;&gt;"")*ISNUMBER(SEARCH(실물목록!$Q$2:$Q$1001,I2388))*(실물목록!$R$2:$R$1001="")*(실물목록!$O$2:$O$1001&lt;&gt;""))&gt;0,"확인필요(연도다름)","실물 없음")))))</f>
      </c>
      <c r="G2388" t="n" s="16">
        <f aca="0">IF(B2388="","",SUMPRODUCT((실물목록!$P$2:$P$1001&lt;&gt;"")*ISNUMBER(SEARCH(실물목록!$P$2:$P$1001,I2388))*(실물목록!$Q$2:$Q$1001&lt;&gt;"")*ISNUMBER(SEARCH(실물목록!$Q$2:$Q$1001,I2388))*(실물목록!$R$2:$R$1001="")*(실물목록!$O$2:$O$1001&lt;&gt;"")*(실물목록!$O$2:$O$1001=H2388)))</f>
      </c>
      <c r="H2388" t="str">
        <f>IFERROR(IF(AND(LEN(SUBSTITUTE(SUBSTITUTE(SUBSTITUTE(TRIM(A2388&amp;""),CHAR(160),"")," ",""),"년",""))=4,VALUE(SUBSTITUTE(SUBSTITUTE(SUBSTITUTE(TRIM(A2388&amp;""),CHAR(160),"")," ",""),"년",""))&gt;=1900,VALUE(SUBSTITUTE(SUBSTITUTE(SUBSTITUTE(TRIM(A2388&amp;""),CHAR(160),"")," ",""),"년",""))&lt;=2099,TEXT(VALUE(SUBSTITUTE(SUBSTITUTE(SUBSTITUTE(TRIM(A2388&amp;""),CHAR(160),"")," ",""),"년","")),"0000")=SUBSTITUTE(SUBSTITUTE(SUBSTITUTE(TRIM(A2388&amp;""),CHAR(160),"")," ",""),"년","")),SUBSTITUTE(SUBSTITUTE(SUBSTITUTE(TRIM(A2388&amp;""),CHAR(160),"")," ",""),"년",""),""),"")</f>
      </c>
      <c r="I2388" t="str">
        <f>SUBSTITUTE(SUBSTITUTE(SUBSTITUTE(SUBSTITUTE(SUBSTITUTE(TRIM(B2388&amp;""),CHAR(160),"")," ",""),"초등학교","초"),"중학교","중"),"고등학교","고")</f>
      </c>
    </row>
    <row r="2389" customFormat="false" ht="15" hidden="false" customHeight="false" outlineLevel="0" collapsed="false">
      <c r="A2389" s="8"/>
      <c r="B2389" s="8"/>
      <c r="C2389" s="8"/>
      <c r="D2389" s="8"/>
      <c r="E2389" s="8"/>
      <c r="F2389" t="str" s="15">
        <f aca="0">IF(B2389="","",IF(H2389="","확인필요(입력누락)",IF(SUMPRODUCT((실물목록!$P$2:$P$1001&lt;&gt;"")*ISNUMBER(SEARCH(실물목록!$P$2:$P$1001,I2389))*(실물목록!$Q$2:$Q$1001&lt;&gt;"")*ISNUMBER(SEARCH(실물목록!$Q$2:$Q$1001,I2389))*(실물목록!$R$2:$R$1001="")*(실물목록!$O$2:$O$1001&lt;&gt;"")*(실물목록!$O$2:$O$1001=H2389))&gt;0,"실물 있음",IF(SUMPRODUCT((실물목록!$P$2:$P$1001&lt;&gt;"")*ISNUMBER(SEARCH(실물목록!$P$2:$P$1001,I2389))*(실물목록!$R$2:$R$1001&lt;&gt;""))&gt;0,"확인필요(입력누락)",IF(SUMPRODUCT((실물목록!$P$2:$P$1001&lt;&gt;"")*ISNUMBER(SEARCH(실물목록!$P$2:$P$1001,I2389))*(실물목록!$Q$2:$Q$1001&lt;&gt;"")*ISNUMBER(SEARCH(실물목록!$Q$2:$Q$1001,I2389))*(실물목록!$R$2:$R$1001="")*(실물목록!$O$2:$O$1001&lt;&gt;""))&gt;0,"확인필요(연도다름)","실물 없음")))))</f>
      </c>
      <c r="G2389" t="n" s="16">
        <f aca="0">IF(B2389="","",SUMPRODUCT((실물목록!$P$2:$P$1001&lt;&gt;"")*ISNUMBER(SEARCH(실물목록!$P$2:$P$1001,I2389))*(실물목록!$Q$2:$Q$1001&lt;&gt;"")*ISNUMBER(SEARCH(실물목록!$Q$2:$Q$1001,I2389))*(실물목록!$R$2:$R$1001="")*(실물목록!$O$2:$O$1001&lt;&gt;"")*(실물목록!$O$2:$O$1001=H2389)))</f>
      </c>
      <c r="H2389" t="str">
        <f>IFERROR(IF(AND(LEN(SUBSTITUTE(SUBSTITUTE(SUBSTITUTE(TRIM(A2389&amp;""),CHAR(160),"")," ",""),"년",""))=4,VALUE(SUBSTITUTE(SUBSTITUTE(SUBSTITUTE(TRIM(A2389&amp;""),CHAR(160),"")," ",""),"년",""))&gt;=1900,VALUE(SUBSTITUTE(SUBSTITUTE(SUBSTITUTE(TRIM(A2389&amp;""),CHAR(160),"")," ",""),"년",""))&lt;=2099,TEXT(VALUE(SUBSTITUTE(SUBSTITUTE(SUBSTITUTE(TRIM(A2389&amp;""),CHAR(160),"")," ",""),"년","")),"0000")=SUBSTITUTE(SUBSTITUTE(SUBSTITUTE(TRIM(A2389&amp;""),CHAR(160),"")," ",""),"년","")),SUBSTITUTE(SUBSTITUTE(SUBSTITUTE(TRIM(A2389&amp;""),CHAR(160),"")," ",""),"년",""),""),"")</f>
      </c>
      <c r="I2389" t="str">
        <f>SUBSTITUTE(SUBSTITUTE(SUBSTITUTE(SUBSTITUTE(SUBSTITUTE(TRIM(B2389&amp;""),CHAR(160),"")," ",""),"초등학교","초"),"중학교","중"),"고등학교","고")</f>
      </c>
    </row>
    <row r="2390" customFormat="false" ht="15" hidden="false" customHeight="false" outlineLevel="0" collapsed="false">
      <c r="A2390" s="8"/>
      <c r="B2390" s="8"/>
      <c r="C2390" s="8"/>
      <c r="D2390" s="8"/>
      <c r="E2390" s="8"/>
      <c r="F2390" t="str" s="15">
        <f aca="0">IF(B2390="","",IF(H2390="","확인필요(입력누락)",IF(SUMPRODUCT((실물목록!$P$2:$P$1001&lt;&gt;"")*ISNUMBER(SEARCH(실물목록!$P$2:$P$1001,I2390))*(실물목록!$Q$2:$Q$1001&lt;&gt;"")*ISNUMBER(SEARCH(실물목록!$Q$2:$Q$1001,I2390))*(실물목록!$R$2:$R$1001="")*(실물목록!$O$2:$O$1001&lt;&gt;"")*(실물목록!$O$2:$O$1001=H2390))&gt;0,"실물 있음",IF(SUMPRODUCT((실물목록!$P$2:$P$1001&lt;&gt;"")*ISNUMBER(SEARCH(실물목록!$P$2:$P$1001,I2390))*(실물목록!$R$2:$R$1001&lt;&gt;""))&gt;0,"확인필요(입력누락)",IF(SUMPRODUCT((실물목록!$P$2:$P$1001&lt;&gt;"")*ISNUMBER(SEARCH(실물목록!$P$2:$P$1001,I2390))*(실물목록!$Q$2:$Q$1001&lt;&gt;"")*ISNUMBER(SEARCH(실물목록!$Q$2:$Q$1001,I2390))*(실물목록!$R$2:$R$1001="")*(실물목록!$O$2:$O$1001&lt;&gt;""))&gt;0,"확인필요(연도다름)","실물 없음")))))</f>
      </c>
      <c r="G2390" t="n" s="16">
        <f aca="0">IF(B2390="","",SUMPRODUCT((실물목록!$P$2:$P$1001&lt;&gt;"")*ISNUMBER(SEARCH(실물목록!$P$2:$P$1001,I2390))*(실물목록!$Q$2:$Q$1001&lt;&gt;"")*ISNUMBER(SEARCH(실물목록!$Q$2:$Q$1001,I2390))*(실물목록!$R$2:$R$1001="")*(실물목록!$O$2:$O$1001&lt;&gt;"")*(실물목록!$O$2:$O$1001=H2390)))</f>
      </c>
      <c r="H2390" t="str">
        <f>IFERROR(IF(AND(LEN(SUBSTITUTE(SUBSTITUTE(SUBSTITUTE(TRIM(A2390&amp;""),CHAR(160),"")," ",""),"년",""))=4,VALUE(SUBSTITUTE(SUBSTITUTE(SUBSTITUTE(TRIM(A2390&amp;""),CHAR(160),"")," ",""),"년",""))&gt;=1900,VALUE(SUBSTITUTE(SUBSTITUTE(SUBSTITUTE(TRIM(A2390&amp;""),CHAR(160),"")," ",""),"년",""))&lt;=2099,TEXT(VALUE(SUBSTITUTE(SUBSTITUTE(SUBSTITUTE(TRIM(A2390&amp;""),CHAR(160),"")," ",""),"년","")),"0000")=SUBSTITUTE(SUBSTITUTE(SUBSTITUTE(TRIM(A2390&amp;""),CHAR(160),"")," ",""),"년","")),SUBSTITUTE(SUBSTITUTE(SUBSTITUTE(TRIM(A2390&amp;""),CHAR(160),"")," ",""),"년",""),""),"")</f>
      </c>
      <c r="I2390" t="str">
        <f>SUBSTITUTE(SUBSTITUTE(SUBSTITUTE(SUBSTITUTE(SUBSTITUTE(TRIM(B2390&amp;""),CHAR(160),"")," ",""),"초등학교","초"),"중학교","중"),"고등학교","고")</f>
      </c>
    </row>
    <row r="2391" customFormat="false" ht="15" hidden="false" customHeight="false" outlineLevel="0" collapsed="false">
      <c r="A2391" s="8"/>
      <c r="B2391" s="8"/>
      <c r="C2391" s="8"/>
      <c r="D2391" s="8"/>
      <c r="E2391" s="8"/>
      <c r="F2391" t="str" s="15">
        <f aca="0">IF(B2391="","",IF(H2391="","확인필요(입력누락)",IF(SUMPRODUCT((실물목록!$P$2:$P$1001&lt;&gt;"")*ISNUMBER(SEARCH(실물목록!$P$2:$P$1001,I2391))*(실물목록!$Q$2:$Q$1001&lt;&gt;"")*ISNUMBER(SEARCH(실물목록!$Q$2:$Q$1001,I2391))*(실물목록!$R$2:$R$1001="")*(실물목록!$O$2:$O$1001&lt;&gt;"")*(실물목록!$O$2:$O$1001=H2391))&gt;0,"실물 있음",IF(SUMPRODUCT((실물목록!$P$2:$P$1001&lt;&gt;"")*ISNUMBER(SEARCH(실물목록!$P$2:$P$1001,I2391))*(실물목록!$R$2:$R$1001&lt;&gt;""))&gt;0,"확인필요(입력누락)",IF(SUMPRODUCT((실물목록!$P$2:$P$1001&lt;&gt;"")*ISNUMBER(SEARCH(실물목록!$P$2:$P$1001,I2391))*(실물목록!$Q$2:$Q$1001&lt;&gt;"")*ISNUMBER(SEARCH(실물목록!$Q$2:$Q$1001,I2391))*(실물목록!$R$2:$R$1001="")*(실물목록!$O$2:$O$1001&lt;&gt;""))&gt;0,"확인필요(연도다름)","실물 없음")))))</f>
      </c>
      <c r="G2391" t="n" s="16">
        <f aca="0">IF(B2391="","",SUMPRODUCT((실물목록!$P$2:$P$1001&lt;&gt;"")*ISNUMBER(SEARCH(실물목록!$P$2:$P$1001,I2391))*(실물목록!$Q$2:$Q$1001&lt;&gt;"")*ISNUMBER(SEARCH(실물목록!$Q$2:$Q$1001,I2391))*(실물목록!$R$2:$R$1001="")*(실물목록!$O$2:$O$1001&lt;&gt;"")*(실물목록!$O$2:$O$1001=H2391)))</f>
      </c>
      <c r="H2391" t="str">
        <f>IFERROR(IF(AND(LEN(SUBSTITUTE(SUBSTITUTE(SUBSTITUTE(TRIM(A2391&amp;""),CHAR(160),"")," ",""),"년",""))=4,VALUE(SUBSTITUTE(SUBSTITUTE(SUBSTITUTE(TRIM(A2391&amp;""),CHAR(160),"")," ",""),"년",""))&gt;=1900,VALUE(SUBSTITUTE(SUBSTITUTE(SUBSTITUTE(TRIM(A2391&amp;""),CHAR(160),"")," ",""),"년",""))&lt;=2099,TEXT(VALUE(SUBSTITUTE(SUBSTITUTE(SUBSTITUTE(TRIM(A2391&amp;""),CHAR(160),"")," ",""),"년","")),"0000")=SUBSTITUTE(SUBSTITUTE(SUBSTITUTE(TRIM(A2391&amp;""),CHAR(160),"")," ",""),"년","")),SUBSTITUTE(SUBSTITUTE(SUBSTITUTE(TRIM(A2391&amp;""),CHAR(160),"")," ",""),"년",""),""),"")</f>
      </c>
      <c r="I2391" t="str">
        <f>SUBSTITUTE(SUBSTITUTE(SUBSTITUTE(SUBSTITUTE(SUBSTITUTE(TRIM(B2391&amp;""),CHAR(160),"")," ",""),"초등학교","초"),"중학교","중"),"고등학교","고")</f>
      </c>
    </row>
    <row r="2392" customFormat="false" ht="15" hidden="false" customHeight="false" outlineLevel="0" collapsed="false">
      <c r="A2392" s="8"/>
      <c r="B2392" s="8"/>
      <c r="C2392" s="8"/>
      <c r="D2392" s="8"/>
      <c r="E2392" s="8"/>
      <c r="F2392" t="str" s="15">
        <f aca="0">IF(B2392="","",IF(H2392="","확인필요(입력누락)",IF(SUMPRODUCT((실물목록!$P$2:$P$1001&lt;&gt;"")*ISNUMBER(SEARCH(실물목록!$P$2:$P$1001,I2392))*(실물목록!$Q$2:$Q$1001&lt;&gt;"")*ISNUMBER(SEARCH(실물목록!$Q$2:$Q$1001,I2392))*(실물목록!$R$2:$R$1001="")*(실물목록!$O$2:$O$1001&lt;&gt;"")*(실물목록!$O$2:$O$1001=H2392))&gt;0,"실물 있음",IF(SUMPRODUCT((실물목록!$P$2:$P$1001&lt;&gt;"")*ISNUMBER(SEARCH(실물목록!$P$2:$P$1001,I2392))*(실물목록!$R$2:$R$1001&lt;&gt;""))&gt;0,"확인필요(입력누락)",IF(SUMPRODUCT((실물목록!$P$2:$P$1001&lt;&gt;"")*ISNUMBER(SEARCH(실물목록!$P$2:$P$1001,I2392))*(실물목록!$Q$2:$Q$1001&lt;&gt;"")*ISNUMBER(SEARCH(실물목록!$Q$2:$Q$1001,I2392))*(실물목록!$R$2:$R$1001="")*(실물목록!$O$2:$O$1001&lt;&gt;""))&gt;0,"확인필요(연도다름)","실물 없음")))))</f>
      </c>
      <c r="G2392" t="n" s="16">
        <f aca="0">IF(B2392="","",SUMPRODUCT((실물목록!$P$2:$P$1001&lt;&gt;"")*ISNUMBER(SEARCH(실물목록!$P$2:$P$1001,I2392))*(실물목록!$Q$2:$Q$1001&lt;&gt;"")*ISNUMBER(SEARCH(실물목록!$Q$2:$Q$1001,I2392))*(실물목록!$R$2:$R$1001="")*(실물목록!$O$2:$O$1001&lt;&gt;"")*(실물목록!$O$2:$O$1001=H2392)))</f>
      </c>
      <c r="H2392" t="str">
        <f>IFERROR(IF(AND(LEN(SUBSTITUTE(SUBSTITUTE(SUBSTITUTE(TRIM(A2392&amp;""),CHAR(160),"")," ",""),"년",""))=4,VALUE(SUBSTITUTE(SUBSTITUTE(SUBSTITUTE(TRIM(A2392&amp;""),CHAR(160),"")," ",""),"년",""))&gt;=1900,VALUE(SUBSTITUTE(SUBSTITUTE(SUBSTITUTE(TRIM(A2392&amp;""),CHAR(160),"")," ",""),"년",""))&lt;=2099,TEXT(VALUE(SUBSTITUTE(SUBSTITUTE(SUBSTITUTE(TRIM(A2392&amp;""),CHAR(160),"")," ",""),"년","")),"0000")=SUBSTITUTE(SUBSTITUTE(SUBSTITUTE(TRIM(A2392&amp;""),CHAR(160),"")," ",""),"년","")),SUBSTITUTE(SUBSTITUTE(SUBSTITUTE(TRIM(A2392&amp;""),CHAR(160),"")," ",""),"년",""),""),"")</f>
      </c>
      <c r="I2392" t="str">
        <f>SUBSTITUTE(SUBSTITUTE(SUBSTITUTE(SUBSTITUTE(SUBSTITUTE(TRIM(B2392&amp;""),CHAR(160),"")," ",""),"초등학교","초"),"중학교","중"),"고등학교","고")</f>
      </c>
    </row>
    <row r="2393" customFormat="false" ht="15" hidden="false" customHeight="false" outlineLevel="0" collapsed="false">
      <c r="A2393" s="8"/>
      <c r="B2393" s="8"/>
      <c r="C2393" s="8"/>
      <c r="D2393" s="8"/>
      <c r="E2393" s="8"/>
      <c r="F2393" t="str" s="15">
        <f aca="0">IF(B2393="","",IF(H2393="","확인필요(입력누락)",IF(SUMPRODUCT((실물목록!$P$2:$P$1001&lt;&gt;"")*ISNUMBER(SEARCH(실물목록!$P$2:$P$1001,I2393))*(실물목록!$Q$2:$Q$1001&lt;&gt;"")*ISNUMBER(SEARCH(실물목록!$Q$2:$Q$1001,I2393))*(실물목록!$R$2:$R$1001="")*(실물목록!$O$2:$O$1001&lt;&gt;"")*(실물목록!$O$2:$O$1001=H2393))&gt;0,"실물 있음",IF(SUMPRODUCT((실물목록!$P$2:$P$1001&lt;&gt;"")*ISNUMBER(SEARCH(실물목록!$P$2:$P$1001,I2393))*(실물목록!$R$2:$R$1001&lt;&gt;""))&gt;0,"확인필요(입력누락)",IF(SUMPRODUCT((실물목록!$P$2:$P$1001&lt;&gt;"")*ISNUMBER(SEARCH(실물목록!$P$2:$P$1001,I2393))*(실물목록!$Q$2:$Q$1001&lt;&gt;"")*ISNUMBER(SEARCH(실물목록!$Q$2:$Q$1001,I2393))*(실물목록!$R$2:$R$1001="")*(실물목록!$O$2:$O$1001&lt;&gt;""))&gt;0,"확인필요(연도다름)","실물 없음")))))</f>
      </c>
      <c r="G2393" t="n" s="16">
        <f aca="0">IF(B2393="","",SUMPRODUCT((실물목록!$P$2:$P$1001&lt;&gt;"")*ISNUMBER(SEARCH(실물목록!$P$2:$P$1001,I2393))*(실물목록!$Q$2:$Q$1001&lt;&gt;"")*ISNUMBER(SEARCH(실물목록!$Q$2:$Q$1001,I2393))*(실물목록!$R$2:$R$1001="")*(실물목록!$O$2:$O$1001&lt;&gt;"")*(실물목록!$O$2:$O$1001=H2393)))</f>
      </c>
      <c r="H2393" t="str">
        <f>IFERROR(IF(AND(LEN(SUBSTITUTE(SUBSTITUTE(SUBSTITUTE(TRIM(A2393&amp;""),CHAR(160),"")," ",""),"년",""))=4,VALUE(SUBSTITUTE(SUBSTITUTE(SUBSTITUTE(TRIM(A2393&amp;""),CHAR(160),"")," ",""),"년",""))&gt;=1900,VALUE(SUBSTITUTE(SUBSTITUTE(SUBSTITUTE(TRIM(A2393&amp;""),CHAR(160),"")," ",""),"년",""))&lt;=2099,TEXT(VALUE(SUBSTITUTE(SUBSTITUTE(SUBSTITUTE(TRIM(A2393&amp;""),CHAR(160),"")," ",""),"년","")),"0000")=SUBSTITUTE(SUBSTITUTE(SUBSTITUTE(TRIM(A2393&amp;""),CHAR(160),"")," ",""),"년","")),SUBSTITUTE(SUBSTITUTE(SUBSTITUTE(TRIM(A2393&amp;""),CHAR(160),"")," ",""),"년",""),""),"")</f>
      </c>
      <c r="I2393" t="str">
        <f>SUBSTITUTE(SUBSTITUTE(SUBSTITUTE(SUBSTITUTE(SUBSTITUTE(TRIM(B2393&amp;""),CHAR(160),"")," ",""),"초등학교","초"),"중학교","중"),"고등학교","고")</f>
      </c>
    </row>
    <row r="2394" customFormat="false" ht="15" hidden="false" customHeight="false" outlineLevel="0" collapsed="false">
      <c r="A2394" s="8"/>
      <c r="B2394" s="8"/>
      <c r="C2394" s="8"/>
      <c r="D2394" s="8"/>
      <c r="E2394" s="8"/>
      <c r="F2394" t="str" s="15">
        <f aca="0">IF(B2394="","",IF(H2394="","확인필요(입력누락)",IF(SUMPRODUCT((실물목록!$P$2:$P$1001&lt;&gt;"")*ISNUMBER(SEARCH(실물목록!$P$2:$P$1001,I2394))*(실물목록!$Q$2:$Q$1001&lt;&gt;"")*ISNUMBER(SEARCH(실물목록!$Q$2:$Q$1001,I2394))*(실물목록!$R$2:$R$1001="")*(실물목록!$O$2:$O$1001&lt;&gt;"")*(실물목록!$O$2:$O$1001=H2394))&gt;0,"실물 있음",IF(SUMPRODUCT((실물목록!$P$2:$P$1001&lt;&gt;"")*ISNUMBER(SEARCH(실물목록!$P$2:$P$1001,I2394))*(실물목록!$R$2:$R$1001&lt;&gt;""))&gt;0,"확인필요(입력누락)",IF(SUMPRODUCT((실물목록!$P$2:$P$1001&lt;&gt;"")*ISNUMBER(SEARCH(실물목록!$P$2:$P$1001,I2394))*(실물목록!$Q$2:$Q$1001&lt;&gt;"")*ISNUMBER(SEARCH(실물목록!$Q$2:$Q$1001,I2394))*(실물목록!$R$2:$R$1001="")*(실물목록!$O$2:$O$1001&lt;&gt;""))&gt;0,"확인필요(연도다름)","실물 없음")))))</f>
      </c>
      <c r="G2394" t="n" s="16">
        <f aca="0">IF(B2394="","",SUMPRODUCT((실물목록!$P$2:$P$1001&lt;&gt;"")*ISNUMBER(SEARCH(실물목록!$P$2:$P$1001,I2394))*(실물목록!$Q$2:$Q$1001&lt;&gt;"")*ISNUMBER(SEARCH(실물목록!$Q$2:$Q$1001,I2394))*(실물목록!$R$2:$R$1001="")*(실물목록!$O$2:$O$1001&lt;&gt;"")*(실물목록!$O$2:$O$1001=H2394)))</f>
      </c>
      <c r="H2394" t="str">
        <f>IFERROR(IF(AND(LEN(SUBSTITUTE(SUBSTITUTE(SUBSTITUTE(TRIM(A2394&amp;""),CHAR(160),"")," ",""),"년",""))=4,VALUE(SUBSTITUTE(SUBSTITUTE(SUBSTITUTE(TRIM(A2394&amp;""),CHAR(160),"")," ",""),"년",""))&gt;=1900,VALUE(SUBSTITUTE(SUBSTITUTE(SUBSTITUTE(TRIM(A2394&amp;""),CHAR(160),"")," ",""),"년",""))&lt;=2099,TEXT(VALUE(SUBSTITUTE(SUBSTITUTE(SUBSTITUTE(TRIM(A2394&amp;""),CHAR(160),"")," ",""),"년","")),"0000")=SUBSTITUTE(SUBSTITUTE(SUBSTITUTE(TRIM(A2394&amp;""),CHAR(160),"")," ",""),"년","")),SUBSTITUTE(SUBSTITUTE(SUBSTITUTE(TRIM(A2394&amp;""),CHAR(160),"")," ",""),"년",""),""),"")</f>
      </c>
      <c r="I2394" t="str">
        <f>SUBSTITUTE(SUBSTITUTE(SUBSTITUTE(SUBSTITUTE(SUBSTITUTE(TRIM(B2394&amp;""),CHAR(160),"")," ",""),"초등학교","초"),"중학교","중"),"고등학교","고")</f>
      </c>
    </row>
    <row r="2395" customFormat="false" ht="15" hidden="false" customHeight="false" outlineLevel="0" collapsed="false">
      <c r="A2395" s="8"/>
      <c r="B2395" s="8"/>
      <c r="C2395" s="8"/>
      <c r="D2395" s="8"/>
      <c r="E2395" s="8"/>
      <c r="F2395" t="str" s="15">
        <f aca="0">IF(B2395="","",IF(H2395="","확인필요(입력누락)",IF(SUMPRODUCT((실물목록!$P$2:$P$1001&lt;&gt;"")*ISNUMBER(SEARCH(실물목록!$P$2:$P$1001,I2395))*(실물목록!$Q$2:$Q$1001&lt;&gt;"")*ISNUMBER(SEARCH(실물목록!$Q$2:$Q$1001,I2395))*(실물목록!$R$2:$R$1001="")*(실물목록!$O$2:$O$1001&lt;&gt;"")*(실물목록!$O$2:$O$1001=H2395))&gt;0,"실물 있음",IF(SUMPRODUCT((실물목록!$P$2:$P$1001&lt;&gt;"")*ISNUMBER(SEARCH(실물목록!$P$2:$P$1001,I2395))*(실물목록!$R$2:$R$1001&lt;&gt;""))&gt;0,"확인필요(입력누락)",IF(SUMPRODUCT((실물목록!$P$2:$P$1001&lt;&gt;"")*ISNUMBER(SEARCH(실물목록!$P$2:$P$1001,I2395))*(실물목록!$Q$2:$Q$1001&lt;&gt;"")*ISNUMBER(SEARCH(실물목록!$Q$2:$Q$1001,I2395))*(실물목록!$R$2:$R$1001="")*(실물목록!$O$2:$O$1001&lt;&gt;""))&gt;0,"확인필요(연도다름)","실물 없음")))))</f>
      </c>
      <c r="G2395" t="n" s="16">
        <f aca="0">IF(B2395="","",SUMPRODUCT((실물목록!$P$2:$P$1001&lt;&gt;"")*ISNUMBER(SEARCH(실물목록!$P$2:$P$1001,I2395))*(실물목록!$Q$2:$Q$1001&lt;&gt;"")*ISNUMBER(SEARCH(실물목록!$Q$2:$Q$1001,I2395))*(실물목록!$R$2:$R$1001="")*(실물목록!$O$2:$O$1001&lt;&gt;"")*(실물목록!$O$2:$O$1001=H2395)))</f>
      </c>
      <c r="H2395" t="str">
        <f>IFERROR(IF(AND(LEN(SUBSTITUTE(SUBSTITUTE(SUBSTITUTE(TRIM(A2395&amp;""),CHAR(160),"")," ",""),"년",""))=4,VALUE(SUBSTITUTE(SUBSTITUTE(SUBSTITUTE(TRIM(A2395&amp;""),CHAR(160),"")," ",""),"년",""))&gt;=1900,VALUE(SUBSTITUTE(SUBSTITUTE(SUBSTITUTE(TRIM(A2395&amp;""),CHAR(160),"")," ",""),"년",""))&lt;=2099,TEXT(VALUE(SUBSTITUTE(SUBSTITUTE(SUBSTITUTE(TRIM(A2395&amp;""),CHAR(160),"")," ",""),"년","")),"0000")=SUBSTITUTE(SUBSTITUTE(SUBSTITUTE(TRIM(A2395&amp;""),CHAR(160),"")," ",""),"년","")),SUBSTITUTE(SUBSTITUTE(SUBSTITUTE(TRIM(A2395&amp;""),CHAR(160),"")," ",""),"년",""),""),"")</f>
      </c>
      <c r="I2395" t="str">
        <f>SUBSTITUTE(SUBSTITUTE(SUBSTITUTE(SUBSTITUTE(SUBSTITUTE(TRIM(B2395&amp;""),CHAR(160),"")," ",""),"초등학교","초"),"중학교","중"),"고등학교","고")</f>
      </c>
    </row>
    <row r="2396" customFormat="false" ht="15" hidden="false" customHeight="false" outlineLevel="0" collapsed="false">
      <c r="A2396" s="8"/>
      <c r="B2396" s="8"/>
      <c r="C2396" s="8"/>
      <c r="D2396" s="8"/>
      <c r="E2396" s="8"/>
      <c r="F2396" t="str" s="15">
        <f aca="0">IF(B2396="","",IF(H2396="","확인필요(입력누락)",IF(SUMPRODUCT((실물목록!$P$2:$P$1001&lt;&gt;"")*ISNUMBER(SEARCH(실물목록!$P$2:$P$1001,I2396))*(실물목록!$Q$2:$Q$1001&lt;&gt;"")*ISNUMBER(SEARCH(실물목록!$Q$2:$Q$1001,I2396))*(실물목록!$R$2:$R$1001="")*(실물목록!$O$2:$O$1001&lt;&gt;"")*(실물목록!$O$2:$O$1001=H2396))&gt;0,"실물 있음",IF(SUMPRODUCT((실물목록!$P$2:$P$1001&lt;&gt;"")*ISNUMBER(SEARCH(실물목록!$P$2:$P$1001,I2396))*(실물목록!$R$2:$R$1001&lt;&gt;""))&gt;0,"확인필요(입력누락)",IF(SUMPRODUCT((실물목록!$P$2:$P$1001&lt;&gt;"")*ISNUMBER(SEARCH(실물목록!$P$2:$P$1001,I2396))*(실물목록!$Q$2:$Q$1001&lt;&gt;"")*ISNUMBER(SEARCH(실물목록!$Q$2:$Q$1001,I2396))*(실물목록!$R$2:$R$1001="")*(실물목록!$O$2:$O$1001&lt;&gt;""))&gt;0,"확인필요(연도다름)","실물 없음")))))</f>
      </c>
      <c r="G2396" t="n" s="16">
        <f aca="0">IF(B2396="","",SUMPRODUCT((실물목록!$P$2:$P$1001&lt;&gt;"")*ISNUMBER(SEARCH(실물목록!$P$2:$P$1001,I2396))*(실물목록!$Q$2:$Q$1001&lt;&gt;"")*ISNUMBER(SEARCH(실물목록!$Q$2:$Q$1001,I2396))*(실물목록!$R$2:$R$1001="")*(실물목록!$O$2:$O$1001&lt;&gt;"")*(실물목록!$O$2:$O$1001=H2396)))</f>
      </c>
      <c r="H2396" t="str">
        <f>IFERROR(IF(AND(LEN(SUBSTITUTE(SUBSTITUTE(SUBSTITUTE(TRIM(A2396&amp;""),CHAR(160),"")," ",""),"년",""))=4,VALUE(SUBSTITUTE(SUBSTITUTE(SUBSTITUTE(TRIM(A2396&amp;""),CHAR(160),"")," ",""),"년",""))&gt;=1900,VALUE(SUBSTITUTE(SUBSTITUTE(SUBSTITUTE(TRIM(A2396&amp;""),CHAR(160),"")," ",""),"년",""))&lt;=2099,TEXT(VALUE(SUBSTITUTE(SUBSTITUTE(SUBSTITUTE(TRIM(A2396&amp;""),CHAR(160),"")," ",""),"년","")),"0000")=SUBSTITUTE(SUBSTITUTE(SUBSTITUTE(TRIM(A2396&amp;""),CHAR(160),"")," ",""),"년","")),SUBSTITUTE(SUBSTITUTE(SUBSTITUTE(TRIM(A2396&amp;""),CHAR(160),"")," ",""),"년",""),""),"")</f>
      </c>
      <c r="I2396" t="str">
        <f>SUBSTITUTE(SUBSTITUTE(SUBSTITUTE(SUBSTITUTE(SUBSTITUTE(TRIM(B2396&amp;""),CHAR(160),"")," ",""),"초등학교","초"),"중학교","중"),"고등학교","고")</f>
      </c>
    </row>
    <row r="2397" customFormat="false" ht="15" hidden="false" customHeight="false" outlineLevel="0" collapsed="false">
      <c r="A2397" s="8"/>
      <c r="B2397" s="8"/>
      <c r="C2397" s="8"/>
      <c r="D2397" s="8"/>
      <c r="E2397" s="8"/>
      <c r="F2397" t="str" s="15">
        <f aca="0">IF(B2397="","",IF(H2397="","확인필요(입력누락)",IF(SUMPRODUCT((실물목록!$P$2:$P$1001&lt;&gt;"")*ISNUMBER(SEARCH(실물목록!$P$2:$P$1001,I2397))*(실물목록!$Q$2:$Q$1001&lt;&gt;"")*ISNUMBER(SEARCH(실물목록!$Q$2:$Q$1001,I2397))*(실물목록!$R$2:$R$1001="")*(실물목록!$O$2:$O$1001&lt;&gt;"")*(실물목록!$O$2:$O$1001=H2397))&gt;0,"실물 있음",IF(SUMPRODUCT((실물목록!$P$2:$P$1001&lt;&gt;"")*ISNUMBER(SEARCH(실물목록!$P$2:$P$1001,I2397))*(실물목록!$R$2:$R$1001&lt;&gt;""))&gt;0,"확인필요(입력누락)",IF(SUMPRODUCT((실물목록!$P$2:$P$1001&lt;&gt;"")*ISNUMBER(SEARCH(실물목록!$P$2:$P$1001,I2397))*(실물목록!$Q$2:$Q$1001&lt;&gt;"")*ISNUMBER(SEARCH(실물목록!$Q$2:$Q$1001,I2397))*(실물목록!$R$2:$R$1001="")*(실물목록!$O$2:$O$1001&lt;&gt;""))&gt;0,"확인필요(연도다름)","실물 없음")))))</f>
      </c>
      <c r="G2397" t="n" s="16">
        <f aca="0">IF(B2397="","",SUMPRODUCT((실물목록!$P$2:$P$1001&lt;&gt;"")*ISNUMBER(SEARCH(실물목록!$P$2:$P$1001,I2397))*(실물목록!$Q$2:$Q$1001&lt;&gt;"")*ISNUMBER(SEARCH(실물목록!$Q$2:$Q$1001,I2397))*(실물목록!$R$2:$R$1001="")*(실물목록!$O$2:$O$1001&lt;&gt;"")*(실물목록!$O$2:$O$1001=H2397)))</f>
      </c>
      <c r="H2397" t="str">
        <f>IFERROR(IF(AND(LEN(SUBSTITUTE(SUBSTITUTE(SUBSTITUTE(TRIM(A2397&amp;""),CHAR(160),"")," ",""),"년",""))=4,VALUE(SUBSTITUTE(SUBSTITUTE(SUBSTITUTE(TRIM(A2397&amp;""),CHAR(160),"")," ",""),"년",""))&gt;=1900,VALUE(SUBSTITUTE(SUBSTITUTE(SUBSTITUTE(TRIM(A2397&amp;""),CHAR(160),"")," ",""),"년",""))&lt;=2099,TEXT(VALUE(SUBSTITUTE(SUBSTITUTE(SUBSTITUTE(TRIM(A2397&amp;""),CHAR(160),"")," ",""),"년","")),"0000")=SUBSTITUTE(SUBSTITUTE(SUBSTITUTE(TRIM(A2397&amp;""),CHAR(160),"")," ",""),"년","")),SUBSTITUTE(SUBSTITUTE(SUBSTITUTE(TRIM(A2397&amp;""),CHAR(160),"")," ",""),"년",""),""),"")</f>
      </c>
      <c r="I2397" t="str">
        <f>SUBSTITUTE(SUBSTITUTE(SUBSTITUTE(SUBSTITUTE(SUBSTITUTE(TRIM(B2397&amp;""),CHAR(160),"")," ",""),"초등학교","초"),"중학교","중"),"고등학교","고")</f>
      </c>
    </row>
    <row r="2398" customFormat="false" ht="15" hidden="false" customHeight="false" outlineLevel="0" collapsed="false">
      <c r="A2398" s="8"/>
      <c r="B2398" s="8"/>
      <c r="C2398" s="8"/>
      <c r="D2398" s="8"/>
      <c r="E2398" s="8"/>
      <c r="F2398" t="str" s="15">
        <f aca="0">IF(B2398="","",IF(H2398="","확인필요(입력누락)",IF(SUMPRODUCT((실물목록!$P$2:$P$1001&lt;&gt;"")*ISNUMBER(SEARCH(실물목록!$P$2:$P$1001,I2398))*(실물목록!$Q$2:$Q$1001&lt;&gt;"")*ISNUMBER(SEARCH(실물목록!$Q$2:$Q$1001,I2398))*(실물목록!$R$2:$R$1001="")*(실물목록!$O$2:$O$1001&lt;&gt;"")*(실물목록!$O$2:$O$1001=H2398))&gt;0,"실물 있음",IF(SUMPRODUCT((실물목록!$P$2:$P$1001&lt;&gt;"")*ISNUMBER(SEARCH(실물목록!$P$2:$P$1001,I2398))*(실물목록!$R$2:$R$1001&lt;&gt;""))&gt;0,"확인필요(입력누락)",IF(SUMPRODUCT((실물목록!$P$2:$P$1001&lt;&gt;"")*ISNUMBER(SEARCH(실물목록!$P$2:$P$1001,I2398))*(실물목록!$Q$2:$Q$1001&lt;&gt;"")*ISNUMBER(SEARCH(실물목록!$Q$2:$Q$1001,I2398))*(실물목록!$R$2:$R$1001="")*(실물목록!$O$2:$O$1001&lt;&gt;""))&gt;0,"확인필요(연도다름)","실물 없음")))))</f>
      </c>
      <c r="G2398" t="n" s="16">
        <f aca="0">IF(B2398="","",SUMPRODUCT((실물목록!$P$2:$P$1001&lt;&gt;"")*ISNUMBER(SEARCH(실물목록!$P$2:$P$1001,I2398))*(실물목록!$Q$2:$Q$1001&lt;&gt;"")*ISNUMBER(SEARCH(실물목록!$Q$2:$Q$1001,I2398))*(실물목록!$R$2:$R$1001="")*(실물목록!$O$2:$O$1001&lt;&gt;"")*(실물목록!$O$2:$O$1001=H2398)))</f>
      </c>
      <c r="H2398" t="str">
        <f>IFERROR(IF(AND(LEN(SUBSTITUTE(SUBSTITUTE(SUBSTITUTE(TRIM(A2398&amp;""),CHAR(160),"")," ",""),"년",""))=4,VALUE(SUBSTITUTE(SUBSTITUTE(SUBSTITUTE(TRIM(A2398&amp;""),CHAR(160),"")," ",""),"년",""))&gt;=1900,VALUE(SUBSTITUTE(SUBSTITUTE(SUBSTITUTE(TRIM(A2398&amp;""),CHAR(160),"")," ",""),"년",""))&lt;=2099,TEXT(VALUE(SUBSTITUTE(SUBSTITUTE(SUBSTITUTE(TRIM(A2398&amp;""),CHAR(160),"")," ",""),"년","")),"0000")=SUBSTITUTE(SUBSTITUTE(SUBSTITUTE(TRIM(A2398&amp;""),CHAR(160),"")," ",""),"년","")),SUBSTITUTE(SUBSTITUTE(SUBSTITUTE(TRIM(A2398&amp;""),CHAR(160),"")," ",""),"년",""),""),"")</f>
      </c>
      <c r="I2398" t="str">
        <f>SUBSTITUTE(SUBSTITUTE(SUBSTITUTE(SUBSTITUTE(SUBSTITUTE(TRIM(B2398&amp;""),CHAR(160),"")," ",""),"초등학교","초"),"중학교","중"),"고등학교","고")</f>
      </c>
    </row>
    <row r="2399" customFormat="false" ht="15" hidden="false" customHeight="false" outlineLevel="0" collapsed="false">
      <c r="A2399" s="8"/>
      <c r="B2399" s="8"/>
      <c r="C2399" s="8"/>
      <c r="D2399" s="8"/>
      <c r="E2399" s="8"/>
      <c r="F2399" t="str" s="15">
        <f aca="0">IF(B2399="","",IF(H2399="","확인필요(입력누락)",IF(SUMPRODUCT((실물목록!$P$2:$P$1001&lt;&gt;"")*ISNUMBER(SEARCH(실물목록!$P$2:$P$1001,I2399))*(실물목록!$Q$2:$Q$1001&lt;&gt;"")*ISNUMBER(SEARCH(실물목록!$Q$2:$Q$1001,I2399))*(실물목록!$R$2:$R$1001="")*(실물목록!$O$2:$O$1001&lt;&gt;"")*(실물목록!$O$2:$O$1001=H2399))&gt;0,"실물 있음",IF(SUMPRODUCT((실물목록!$P$2:$P$1001&lt;&gt;"")*ISNUMBER(SEARCH(실물목록!$P$2:$P$1001,I2399))*(실물목록!$R$2:$R$1001&lt;&gt;""))&gt;0,"확인필요(입력누락)",IF(SUMPRODUCT((실물목록!$P$2:$P$1001&lt;&gt;"")*ISNUMBER(SEARCH(실물목록!$P$2:$P$1001,I2399))*(실물목록!$Q$2:$Q$1001&lt;&gt;"")*ISNUMBER(SEARCH(실물목록!$Q$2:$Q$1001,I2399))*(실물목록!$R$2:$R$1001="")*(실물목록!$O$2:$O$1001&lt;&gt;""))&gt;0,"확인필요(연도다름)","실물 없음")))))</f>
      </c>
      <c r="G2399" t="n" s="16">
        <f aca="0">IF(B2399="","",SUMPRODUCT((실물목록!$P$2:$P$1001&lt;&gt;"")*ISNUMBER(SEARCH(실물목록!$P$2:$P$1001,I2399))*(실물목록!$Q$2:$Q$1001&lt;&gt;"")*ISNUMBER(SEARCH(실물목록!$Q$2:$Q$1001,I2399))*(실물목록!$R$2:$R$1001="")*(실물목록!$O$2:$O$1001&lt;&gt;"")*(실물목록!$O$2:$O$1001=H2399)))</f>
      </c>
      <c r="H2399" t="str">
        <f>IFERROR(IF(AND(LEN(SUBSTITUTE(SUBSTITUTE(SUBSTITUTE(TRIM(A2399&amp;""),CHAR(160),"")," ",""),"년",""))=4,VALUE(SUBSTITUTE(SUBSTITUTE(SUBSTITUTE(TRIM(A2399&amp;""),CHAR(160),"")," ",""),"년",""))&gt;=1900,VALUE(SUBSTITUTE(SUBSTITUTE(SUBSTITUTE(TRIM(A2399&amp;""),CHAR(160),"")," ",""),"년",""))&lt;=2099,TEXT(VALUE(SUBSTITUTE(SUBSTITUTE(SUBSTITUTE(TRIM(A2399&amp;""),CHAR(160),"")," ",""),"년","")),"0000")=SUBSTITUTE(SUBSTITUTE(SUBSTITUTE(TRIM(A2399&amp;""),CHAR(160),"")," ",""),"년","")),SUBSTITUTE(SUBSTITUTE(SUBSTITUTE(TRIM(A2399&amp;""),CHAR(160),"")," ",""),"년",""),""),"")</f>
      </c>
      <c r="I2399" t="str">
        <f>SUBSTITUTE(SUBSTITUTE(SUBSTITUTE(SUBSTITUTE(SUBSTITUTE(TRIM(B2399&amp;""),CHAR(160),"")," ",""),"초등학교","초"),"중학교","중"),"고등학교","고")</f>
      </c>
    </row>
    <row r="2400" customFormat="false" ht="15" hidden="false" customHeight="false" outlineLevel="0" collapsed="false">
      <c r="A2400" s="8"/>
      <c r="B2400" s="8"/>
      <c r="C2400" s="8"/>
      <c r="D2400" s="8"/>
      <c r="E2400" s="8"/>
      <c r="F2400" t="str" s="15">
        <f aca="0">IF(B2400="","",IF(H2400="","확인필요(입력누락)",IF(SUMPRODUCT((실물목록!$P$2:$P$1001&lt;&gt;"")*ISNUMBER(SEARCH(실물목록!$P$2:$P$1001,I2400))*(실물목록!$Q$2:$Q$1001&lt;&gt;"")*ISNUMBER(SEARCH(실물목록!$Q$2:$Q$1001,I2400))*(실물목록!$R$2:$R$1001="")*(실물목록!$O$2:$O$1001&lt;&gt;"")*(실물목록!$O$2:$O$1001=H2400))&gt;0,"실물 있음",IF(SUMPRODUCT((실물목록!$P$2:$P$1001&lt;&gt;"")*ISNUMBER(SEARCH(실물목록!$P$2:$P$1001,I2400))*(실물목록!$R$2:$R$1001&lt;&gt;""))&gt;0,"확인필요(입력누락)",IF(SUMPRODUCT((실물목록!$P$2:$P$1001&lt;&gt;"")*ISNUMBER(SEARCH(실물목록!$P$2:$P$1001,I2400))*(실물목록!$Q$2:$Q$1001&lt;&gt;"")*ISNUMBER(SEARCH(실물목록!$Q$2:$Q$1001,I2400))*(실물목록!$R$2:$R$1001="")*(실물목록!$O$2:$O$1001&lt;&gt;""))&gt;0,"확인필요(연도다름)","실물 없음")))))</f>
      </c>
      <c r="G2400" t="n" s="16">
        <f aca="0">IF(B2400="","",SUMPRODUCT((실물목록!$P$2:$P$1001&lt;&gt;"")*ISNUMBER(SEARCH(실물목록!$P$2:$P$1001,I2400))*(실물목록!$Q$2:$Q$1001&lt;&gt;"")*ISNUMBER(SEARCH(실물목록!$Q$2:$Q$1001,I2400))*(실물목록!$R$2:$R$1001="")*(실물목록!$O$2:$O$1001&lt;&gt;"")*(실물목록!$O$2:$O$1001=H2400)))</f>
      </c>
      <c r="H2400" t="str">
        <f>IFERROR(IF(AND(LEN(SUBSTITUTE(SUBSTITUTE(SUBSTITUTE(TRIM(A2400&amp;""),CHAR(160),"")," ",""),"년",""))=4,VALUE(SUBSTITUTE(SUBSTITUTE(SUBSTITUTE(TRIM(A2400&amp;""),CHAR(160),"")," ",""),"년",""))&gt;=1900,VALUE(SUBSTITUTE(SUBSTITUTE(SUBSTITUTE(TRIM(A2400&amp;""),CHAR(160),"")," ",""),"년",""))&lt;=2099,TEXT(VALUE(SUBSTITUTE(SUBSTITUTE(SUBSTITUTE(TRIM(A2400&amp;""),CHAR(160),"")," ",""),"년","")),"0000")=SUBSTITUTE(SUBSTITUTE(SUBSTITUTE(TRIM(A2400&amp;""),CHAR(160),"")," ",""),"년","")),SUBSTITUTE(SUBSTITUTE(SUBSTITUTE(TRIM(A2400&amp;""),CHAR(160),"")," ",""),"년",""),""),"")</f>
      </c>
      <c r="I2400" t="str">
        <f>SUBSTITUTE(SUBSTITUTE(SUBSTITUTE(SUBSTITUTE(SUBSTITUTE(TRIM(B2400&amp;""),CHAR(160),"")," ",""),"초등학교","초"),"중학교","중"),"고등학교","고")</f>
      </c>
    </row>
    <row r="2401" customFormat="false" ht="15" hidden="false" customHeight="false" outlineLevel="0" collapsed="false">
      <c r="A2401" s="8"/>
      <c r="B2401" s="8"/>
      <c r="C2401" s="8"/>
      <c r="D2401" s="8"/>
      <c r="E2401" s="8"/>
      <c r="F2401" t="str" s="15">
        <f aca="0">IF(B2401="","",IF(H2401="","확인필요(입력누락)",IF(SUMPRODUCT((실물목록!$P$2:$P$1001&lt;&gt;"")*ISNUMBER(SEARCH(실물목록!$P$2:$P$1001,I2401))*(실물목록!$Q$2:$Q$1001&lt;&gt;"")*ISNUMBER(SEARCH(실물목록!$Q$2:$Q$1001,I2401))*(실물목록!$R$2:$R$1001="")*(실물목록!$O$2:$O$1001&lt;&gt;"")*(실물목록!$O$2:$O$1001=H2401))&gt;0,"실물 있음",IF(SUMPRODUCT((실물목록!$P$2:$P$1001&lt;&gt;"")*ISNUMBER(SEARCH(실물목록!$P$2:$P$1001,I2401))*(실물목록!$R$2:$R$1001&lt;&gt;""))&gt;0,"확인필요(입력누락)",IF(SUMPRODUCT((실물목록!$P$2:$P$1001&lt;&gt;"")*ISNUMBER(SEARCH(실물목록!$P$2:$P$1001,I2401))*(실물목록!$Q$2:$Q$1001&lt;&gt;"")*ISNUMBER(SEARCH(실물목록!$Q$2:$Q$1001,I2401))*(실물목록!$R$2:$R$1001="")*(실물목록!$O$2:$O$1001&lt;&gt;""))&gt;0,"확인필요(연도다름)","실물 없음")))))</f>
      </c>
      <c r="G2401" t="n" s="16">
        <f aca="0">IF(B2401="","",SUMPRODUCT((실물목록!$P$2:$P$1001&lt;&gt;"")*ISNUMBER(SEARCH(실물목록!$P$2:$P$1001,I2401))*(실물목록!$Q$2:$Q$1001&lt;&gt;"")*ISNUMBER(SEARCH(실물목록!$Q$2:$Q$1001,I2401))*(실물목록!$R$2:$R$1001="")*(실물목록!$O$2:$O$1001&lt;&gt;"")*(실물목록!$O$2:$O$1001=H2401)))</f>
      </c>
      <c r="H2401" t="str">
        <f>IFERROR(IF(AND(LEN(SUBSTITUTE(SUBSTITUTE(SUBSTITUTE(TRIM(A2401&amp;""),CHAR(160),"")," ",""),"년",""))=4,VALUE(SUBSTITUTE(SUBSTITUTE(SUBSTITUTE(TRIM(A2401&amp;""),CHAR(160),"")," ",""),"년",""))&gt;=1900,VALUE(SUBSTITUTE(SUBSTITUTE(SUBSTITUTE(TRIM(A2401&amp;""),CHAR(160),"")," ",""),"년",""))&lt;=2099,TEXT(VALUE(SUBSTITUTE(SUBSTITUTE(SUBSTITUTE(TRIM(A2401&amp;""),CHAR(160),"")," ",""),"년","")),"0000")=SUBSTITUTE(SUBSTITUTE(SUBSTITUTE(TRIM(A2401&amp;""),CHAR(160),"")," ",""),"년","")),SUBSTITUTE(SUBSTITUTE(SUBSTITUTE(TRIM(A2401&amp;""),CHAR(160),"")," ",""),"년",""),""),"")</f>
      </c>
      <c r="I2401" t="str">
        <f>SUBSTITUTE(SUBSTITUTE(SUBSTITUTE(SUBSTITUTE(SUBSTITUTE(TRIM(B2401&amp;""),CHAR(160),"")," ",""),"초등학교","초"),"중학교","중"),"고등학교","고")</f>
      </c>
    </row>
    <row r="2402" customFormat="false" ht="15" hidden="false" customHeight="false" outlineLevel="0" collapsed="false">
      <c r="A2402" s="8"/>
      <c r="B2402" s="8"/>
      <c r="C2402" s="8"/>
      <c r="D2402" s="8"/>
      <c r="E2402" s="8"/>
      <c r="F2402" t="str" s="15">
        <f aca="0">IF(B2402="","",IF(H2402="","확인필요(입력누락)",IF(SUMPRODUCT((실물목록!$P$2:$P$1001&lt;&gt;"")*ISNUMBER(SEARCH(실물목록!$P$2:$P$1001,I2402))*(실물목록!$Q$2:$Q$1001&lt;&gt;"")*ISNUMBER(SEARCH(실물목록!$Q$2:$Q$1001,I2402))*(실물목록!$R$2:$R$1001="")*(실물목록!$O$2:$O$1001&lt;&gt;"")*(실물목록!$O$2:$O$1001=H2402))&gt;0,"실물 있음",IF(SUMPRODUCT((실물목록!$P$2:$P$1001&lt;&gt;"")*ISNUMBER(SEARCH(실물목록!$P$2:$P$1001,I2402))*(실물목록!$R$2:$R$1001&lt;&gt;""))&gt;0,"확인필요(입력누락)",IF(SUMPRODUCT((실물목록!$P$2:$P$1001&lt;&gt;"")*ISNUMBER(SEARCH(실물목록!$P$2:$P$1001,I2402))*(실물목록!$Q$2:$Q$1001&lt;&gt;"")*ISNUMBER(SEARCH(실물목록!$Q$2:$Q$1001,I2402))*(실물목록!$R$2:$R$1001="")*(실물목록!$O$2:$O$1001&lt;&gt;""))&gt;0,"확인필요(연도다름)","실물 없음")))))</f>
      </c>
      <c r="G2402" t="n" s="16">
        <f aca="0">IF(B2402="","",SUMPRODUCT((실물목록!$P$2:$P$1001&lt;&gt;"")*ISNUMBER(SEARCH(실물목록!$P$2:$P$1001,I2402))*(실물목록!$Q$2:$Q$1001&lt;&gt;"")*ISNUMBER(SEARCH(실물목록!$Q$2:$Q$1001,I2402))*(실물목록!$R$2:$R$1001="")*(실물목록!$O$2:$O$1001&lt;&gt;"")*(실물목록!$O$2:$O$1001=H2402)))</f>
      </c>
      <c r="H2402" t="str">
        <f>IFERROR(IF(AND(LEN(SUBSTITUTE(SUBSTITUTE(SUBSTITUTE(TRIM(A2402&amp;""),CHAR(160),"")," ",""),"년",""))=4,VALUE(SUBSTITUTE(SUBSTITUTE(SUBSTITUTE(TRIM(A2402&amp;""),CHAR(160),"")," ",""),"년",""))&gt;=1900,VALUE(SUBSTITUTE(SUBSTITUTE(SUBSTITUTE(TRIM(A2402&amp;""),CHAR(160),"")," ",""),"년",""))&lt;=2099,TEXT(VALUE(SUBSTITUTE(SUBSTITUTE(SUBSTITUTE(TRIM(A2402&amp;""),CHAR(160),"")," ",""),"년","")),"0000")=SUBSTITUTE(SUBSTITUTE(SUBSTITUTE(TRIM(A2402&amp;""),CHAR(160),"")," ",""),"년","")),SUBSTITUTE(SUBSTITUTE(SUBSTITUTE(TRIM(A2402&amp;""),CHAR(160),"")," ",""),"년",""),""),"")</f>
      </c>
      <c r="I2402" t="str">
        <f>SUBSTITUTE(SUBSTITUTE(SUBSTITUTE(SUBSTITUTE(SUBSTITUTE(TRIM(B2402&amp;""),CHAR(160),"")," ",""),"초등학교","초"),"중학교","중"),"고등학교","고")</f>
      </c>
    </row>
    <row r="2403" customFormat="false" ht="15" hidden="false" customHeight="false" outlineLevel="0" collapsed="false">
      <c r="A2403" s="8"/>
      <c r="B2403" s="8"/>
      <c r="C2403" s="8"/>
      <c r="D2403" s="8"/>
      <c r="E2403" s="8"/>
      <c r="F2403" t="str" s="15">
        <f aca="0">IF(B2403="","",IF(H2403="","확인필요(입력누락)",IF(SUMPRODUCT((실물목록!$P$2:$P$1001&lt;&gt;"")*ISNUMBER(SEARCH(실물목록!$P$2:$P$1001,I2403))*(실물목록!$Q$2:$Q$1001&lt;&gt;"")*ISNUMBER(SEARCH(실물목록!$Q$2:$Q$1001,I2403))*(실물목록!$R$2:$R$1001="")*(실물목록!$O$2:$O$1001&lt;&gt;"")*(실물목록!$O$2:$O$1001=H2403))&gt;0,"실물 있음",IF(SUMPRODUCT((실물목록!$P$2:$P$1001&lt;&gt;"")*ISNUMBER(SEARCH(실물목록!$P$2:$P$1001,I2403))*(실물목록!$R$2:$R$1001&lt;&gt;""))&gt;0,"확인필요(입력누락)",IF(SUMPRODUCT((실물목록!$P$2:$P$1001&lt;&gt;"")*ISNUMBER(SEARCH(실물목록!$P$2:$P$1001,I2403))*(실물목록!$Q$2:$Q$1001&lt;&gt;"")*ISNUMBER(SEARCH(실물목록!$Q$2:$Q$1001,I2403))*(실물목록!$R$2:$R$1001="")*(실물목록!$O$2:$O$1001&lt;&gt;""))&gt;0,"확인필요(연도다름)","실물 없음")))))</f>
      </c>
      <c r="G2403" t="n" s="16">
        <f aca="0">IF(B2403="","",SUMPRODUCT((실물목록!$P$2:$P$1001&lt;&gt;"")*ISNUMBER(SEARCH(실물목록!$P$2:$P$1001,I2403))*(실물목록!$Q$2:$Q$1001&lt;&gt;"")*ISNUMBER(SEARCH(실물목록!$Q$2:$Q$1001,I2403))*(실물목록!$R$2:$R$1001="")*(실물목록!$O$2:$O$1001&lt;&gt;"")*(실물목록!$O$2:$O$1001=H2403)))</f>
      </c>
      <c r="H2403" t="str">
        <f>IFERROR(IF(AND(LEN(SUBSTITUTE(SUBSTITUTE(SUBSTITUTE(TRIM(A2403&amp;""),CHAR(160),"")," ",""),"년",""))=4,VALUE(SUBSTITUTE(SUBSTITUTE(SUBSTITUTE(TRIM(A2403&amp;""),CHAR(160),"")," ",""),"년",""))&gt;=1900,VALUE(SUBSTITUTE(SUBSTITUTE(SUBSTITUTE(TRIM(A2403&amp;""),CHAR(160),"")," ",""),"년",""))&lt;=2099,TEXT(VALUE(SUBSTITUTE(SUBSTITUTE(SUBSTITUTE(TRIM(A2403&amp;""),CHAR(160),"")," ",""),"년","")),"0000")=SUBSTITUTE(SUBSTITUTE(SUBSTITUTE(TRIM(A2403&amp;""),CHAR(160),"")," ",""),"년","")),SUBSTITUTE(SUBSTITUTE(SUBSTITUTE(TRIM(A2403&amp;""),CHAR(160),"")," ",""),"년",""),""),"")</f>
      </c>
      <c r="I2403" t="str">
        <f>SUBSTITUTE(SUBSTITUTE(SUBSTITUTE(SUBSTITUTE(SUBSTITUTE(TRIM(B2403&amp;""),CHAR(160),"")," ",""),"초등학교","초"),"중학교","중"),"고등학교","고")</f>
      </c>
    </row>
    <row r="2404" customFormat="false" ht="15" hidden="false" customHeight="false" outlineLevel="0" collapsed="false">
      <c r="A2404" s="8"/>
      <c r="B2404" s="8"/>
      <c r="C2404" s="8"/>
      <c r="D2404" s="8"/>
      <c r="E2404" s="8"/>
      <c r="F2404" t="str" s="15">
        <f aca="0">IF(B2404="","",IF(H2404="","확인필요(입력누락)",IF(SUMPRODUCT((실물목록!$P$2:$P$1001&lt;&gt;"")*ISNUMBER(SEARCH(실물목록!$P$2:$P$1001,I2404))*(실물목록!$Q$2:$Q$1001&lt;&gt;"")*ISNUMBER(SEARCH(실물목록!$Q$2:$Q$1001,I2404))*(실물목록!$R$2:$R$1001="")*(실물목록!$O$2:$O$1001&lt;&gt;"")*(실물목록!$O$2:$O$1001=H2404))&gt;0,"실물 있음",IF(SUMPRODUCT((실물목록!$P$2:$P$1001&lt;&gt;"")*ISNUMBER(SEARCH(실물목록!$P$2:$P$1001,I2404))*(실물목록!$R$2:$R$1001&lt;&gt;""))&gt;0,"확인필요(입력누락)",IF(SUMPRODUCT((실물목록!$P$2:$P$1001&lt;&gt;"")*ISNUMBER(SEARCH(실물목록!$P$2:$P$1001,I2404))*(실물목록!$Q$2:$Q$1001&lt;&gt;"")*ISNUMBER(SEARCH(실물목록!$Q$2:$Q$1001,I2404))*(실물목록!$R$2:$R$1001="")*(실물목록!$O$2:$O$1001&lt;&gt;""))&gt;0,"확인필요(연도다름)","실물 없음")))))</f>
      </c>
      <c r="G2404" t="n" s="16">
        <f aca="0">IF(B2404="","",SUMPRODUCT((실물목록!$P$2:$P$1001&lt;&gt;"")*ISNUMBER(SEARCH(실물목록!$P$2:$P$1001,I2404))*(실물목록!$Q$2:$Q$1001&lt;&gt;"")*ISNUMBER(SEARCH(실물목록!$Q$2:$Q$1001,I2404))*(실물목록!$R$2:$R$1001="")*(실물목록!$O$2:$O$1001&lt;&gt;"")*(실물목록!$O$2:$O$1001=H2404)))</f>
      </c>
      <c r="H2404" t="str">
        <f>IFERROR(IF(AND(LEN(SUBSTITUTE(SUBSTITUTE(SUBSTITUTE(TRIM(A2404&amp;""),CHAR(160),"")," ",""),"년",""))=4,VALUE(SUBSTITUTE(SUBSTITUTE(SUBSTITUTE(TRIM(A2404&amp;""),CHAR(160),"")," ",""),"년",""))&gt;=1900,VALUE(SUBSTITUTE(SUBSTITUTE(SUBSTITUTE(TRIM(A2404&amp;""),CHAR(160),"")," ",""),"년",""))&lt;=2099,TEXT(VALUE(SUBSTITUTE(SUBSTITUTE(SUBSTITUTE(TRIM(A2404&amp;""),CHAR(160),"")," ",""),"년","")),"0000")=SUBSTITUTE(SUBSTITUTE(SUBSTITUTE(TRIM(A2404&amp;""),CHAR(160),"")," ",""),"년","")),SUBSTITUTE(SUBSTITUTE(SUBSTITUTE(TRIM(A2404&amp;""),CHAR(160),"")," ",""),"년",""),""),"")</f>
      </c>
      <c r="I2404" t="str">
        <f>SUBSTITUTE(SUBSTITUTE(SUBSTITUTE(SUBSTITUTE(SUBSTITUTE(TRIM(B2404&amp;""),CHAR(160),"")," ",""),"초등학교","초"),"중학교","중"),"고등학교","고")</f>
      </c>
    </row>
    <row r="2405" customFormat="false" ht="15" hidden="false" customHeight="false" outlineLevel="0" collapsed="false">
      <c r="A2405" s="8"/>
      <c r="B2405" s="8"/>
      <c r="C2405" s="8"/>
      <c r="D2405" s="8"/>
      <c r="E2405" s="8"/>
      <c r="F2405" t="str" s="15">
        <f aca="0">IF(B2405="","",IF(H2405="","확인필요(입력누락)",IF(SUMPRODUCT((실물목록!$P$2:$P$1001&lt;&gt;"")*ISNUMBER(SEARCH(실물목록!$P$2:$P$1001,I2405))*(실물목록!$Q$2:$Q$1001&lt;&gt;"")*ISNUMBER(SEARCH(실물목록!$Q$2:$Q$1001,I2405))*(실물목록!$R$2:$R$1001="")*(실물목록!$O$2:$O$1001&lt;&gt;"")*(실물목록!$O$2:$O$1001=H2405))&gt;0,"실물 있음",IF(SUMPRODUCT((실물목록!$P$2:$P$1001&lt;&gt;"")*ISNUMBER(SEARCH(실물목록!$P$2:$P$1001,I2405))*(실물목록!$R$2:$R$1001&lt;&gt;""))&gt;0,"확인필요(입력누락)",IF(SUMPRODUCT((실물목록!$P$2:$P$1001&lt;&gt;"")*ISNUMBER(SEARCH(실물목록!$P$2:$P$1001,I2405))*(실물목록!$Q$2:$Q$1001&lt;&gt;"")*ISNUMBER(SEARCH(실물목록!$Q$2:$Q$1001,I2405))*(실물목록!$R$2:$R$1001="")*(실물목록!$O$2:$O$1001&lt;&gt;""))&gt;0,"확인필요(연도다름)","실물 없음")))))</f>
      </c>
      <c r="G2405" t="n" s="16">
        <f aca="0">IF(B2405="","",SUMPRODUCT((실물목록!$P$2:$P$1001&lt;&gt;"")*ISNUMBER(SEARCH(실물목록!$P$2:$P$1001,I2405))*(실물목록!$Q$2:$Q$1001&lt;&gt;"")*ISNUMBER(SEARCH(실물목록!$Q$2:$Q$1001,I2405))*(실물목록!$R$2:$R$1001="")*(실물목록!$O$2:$O$1001&lt;&gt;"")*(실물목록!$O$2:$O$1001=H2405)))</f>
      </c>
      <c r="H2405" t="str">
        <f>IFERROR(IF(AND(LEN(SUBSTITUTE(SUBSTITUTE(SUBSTITUTE(TRIM(A2405&amp;""),CHAR(160),"")," ",""),"년",""))=4,VALUE(SUBSTITUTE(SUBSTITUTE(SUBSTITUTE(TRIM(A2405&amp;""),CHAR(160),"")," ",""),"년",""))&gt;=1900,VALUE(SUBSTITUTE(SUBSTITUTE(SUBSTITUTE(TRIM(A2405&amp;""),CHAR(160),"")," ",""),"년",""))&lt;=2099,TEXT(VALUE(SUBSTITUTE(SUBSTITUTE(SUBSTITUTE(TRIM(A2405&amp;""),CHAR(160),"")," ",""),"년","")),"0000")=SUBSTITUTE(SUBSTITUTE(SUBSTITUTE(TRIM(A2405&amp;""),CHAR(160),"")," ",""),"년","")),SUBSTITUTE(SUBSTITUTE(SUBSTITUTE(TRIM(A2405&amp;""),CHAR(160),"")," ",""),"년",""),""),"")</f>
      </c>
      <c r="I2405" t="str">
        <f>SUBSTITUTE(SUBSTITUTE(SUBSTITUTE(SUBSTITUTE(SUBSTITUTE(TRIM(B2405&amp;""),CHAR(160),"")," ",""),"초등학교","초"),"중학교","중"),"고등학교","고")</f>
      </c>
    </row>
    <row r="2406" customFormat="false" ht="15" hidden="false" customHeight="false" outlineLevel="0" collapsed="false">
      <c r="A2406" s="8"/>
      <c r="B2406" s="8"/>
      <c r="C2406" s="8"/>
      <c r="D2406" s="8"/>
      <c r="E2406" s="8"/>
      <c r="F2406" t="str" s="15">
        <f aca="0">IF(B2406="","",IF(H2406="","확인필요(입력누락)",IF(SUMPRODUCT((실물목록!$P$2:$P$1001&lt;&gt;"")*ISNUMBER(SEARCH(실물목록!$P$2:$P$1001,I2406))*(실물목록!$Q$2:$Q$1001&lt;&gt;"")*ISNUMBER(SEARCH(실물목록!$Q$2:$Q$1001,I2406))*(실물목록!$R$2:$R$1001="")*(실물목록!$O$2:$O$1001&lt;&gt;"")*(실물목록!$O$2:$O$1001=H2406))&gt;0,"실물 있음",IF(SUMPRODUCT((실물목록!$P$2:$P$1001&lt;&gt;"")*ISNUMBER(SEARCH(실물목록!$P$2:$P$1001,I2406))*(실물목록!$R$2:$R$1001&lt;&gt;""))&gt;0,"확인필요(입력누락)",IF(SUMPRODUCT((실물목록!$P$2:$P$1001&lt;&gt;"")*ISNUMBER(SEARCH(실물목록!$P$2:$P$1001,I2406))*(실물목록!$Q$2:$Q$1001&lt;&gt;"")*ISNUMBER(SEARCH(실물목록!$Q$2:$Q$1001,I2406))*(실물목록!$R$2:$R$1001="")*(실물목록!$O$2:$O$1001&lt;&gt;""))&gt;0,"확인필요(연도다름)","실물 없음")))))</f>
      </c>
      <c r="G2406" t="n" s="16">
        <f aca="0">IF(B2406="","",SUMPRODUCT((실물목록!$P$2:$P$1001&lt;&gt;"")*ISNUMBER(SEARCH(실물목록!$P$2:$P$1001,I2406))*(실물목록!$Q$2:$Q$1001&lt;&gt;"")*ISNUMBER(SEARCH(실물목록!$Q$2:$Q$1001,I2406))*(실물목록!$R$2:$R$1001="")*(실물목록!$O$2:$O$1001&lt;&gt;"")*(실물목록!$O$2:$O$1001=H2406)))</f>
      </c>
      <c r="H2406" t="str">
        <f>IFERROR(IF(AND(LEN(SUBSTITUTE(SUBSTITUTE(SUBSTITUTE(TRIM(A2406&amp;""),CHAR(160),"")," ",""),"년",""))=4,VALUE(SUBSTITUTE(SUBSTITUTE(SUBSTITUTE(TRIM(A2406&amp;""),CHAR(160),"")," ",""),"년",""))&gt;=1900,VALUE(SUBSTITUTE(SUBSTITUTE(SUBSTITUTE(TRIM(A2406&amp;""),CHAR(160),"")," ",""),"년",""))&lt;=2099,TEXT(VALUE(SUBSTITUTE(SUBSTITUTE(SUBSTITUTE(TRIM(A2406&amp;""),CHAR(160),"")," ",""),"년","")),"0000")=SUBSTITUTE(SUBSTITUTE(SUBSTITUTE(TRIM(A2406&amp;""),CHAR(160),"")," ",""),"년","")),SUBSTITUTE(SUBSTITUTE(SUBSTITUTE(TRIM(A2406&amp;""),CHAR(160),"")," ",""),"년",""),""),"")</f>
      </c>
      <c r="I2406" t="str">
        <f>SUBSTITUTE(SUBSTITUTE(SUBSTITUTE(SUBSTITUTE(SUBSTITUTE(TRIM(B2406&amp;""),CHAR(160),"")," ",""),"초등학교","초"),"중학교","중"),"고등학교","고")</f>
      </c>
    </row>
    <row r="2407" customFormat="false" ht="15" hidden="false" customHeight="false" outlineLevel="0" collapsed="false">
      <c r="A2407" s="8"/>
      <c r="B2407" s="8"/>
      <c r="C2407" s="8"/>
      <c r="D2407" s="8"/>
      <c r="E2407" s="8"/>
      <c r="F2407" t="str" s="15">
        <f aca="0">IF(B2407="","",IF(H2407="","확인필요(입력누락)",IF(SUMPRODUCT((실물목록!$P$2:$P$1001&lt;&gt;"")*ISNUMBER(SEARCH(실물목록!$P$2:$P$1001,I2407))*(실물목록!$Q$2:$Q$1001&lt;&gt;"")*ISNUMBER(SEARCH(실물목록!$Q$2:$Q$1001,I2407))*(실물목록!$R$2:$R$1001="")*(실물목록!$O$2:$O$1001&lt;&gt;"")*(실물목록!$O$2:$O$1001=H2407))&gt;0,"실물 있음",IF(SUMPRODUCT((실물목록!$P$2:$P$1001&lt;&gt;"")*ISNUMBER(SEARCH(실물목록!$P$2:$P$1001,I2407))*(실물목록!$R$2:$R$1001&lt;&gt;""))&gt;0,"확인필요(입력누락)",IF(SUMPRODUCT((실물목록!$P$2:$P$1001&lt;&gt;"")*ISNUMBER(SEARCH(실물목록!$P$2:$P$1001,I2407))*(실물목록!$Q$2:$Q$1001&lt;&gt;"")*ISNUMBER(SEARCH(실물목록!$Q$2:$Q$1001,I2407))*(실물목록!$R$2:$R$1001="")*(실물목록!$O$2:$O$1001&lt;&gt;""))&gt;0,"확인필요(연도다름)","실물 없음")))))</f>
      </c>
      <c r="G2407" t="n" s="16">
        <f aca="0">IF(B2407="","",SUMPRODUCT((실물목록!$P$2:$P$1001&lt;&gt;"")*ISNUMBER(SEARCH(실물목록!$P$2:$P$1001,I2407))*(실물목록!$Q$2:$Q$1001&lt;&gt;"")*ISNUMBER(SEARCH(실물목록!$Q$2:$Q$1001,I2407))*(실물목록!$R$2:$R$1001="")*(실물목록!$O$2:$O$1001&lt;&gt;"")*(실물목록!$O$2:$O$1001=H2407)))</f>
      </c>
      <c r="H2407" t="str">
        <f>IFERROR(IF(AND(LEN(SUBSTITUTE(SUBSTITUTE(SUBSTITUTE(TRIM(A2407&amp;""),CHAR(160),"")," ",""),"년",""))=4,VALUE(SUBSTITUTE(SUBSTITUTE(SUBSTITUTE(TRIM(A2407&amp;""),CHAR(160),"")," ",""),"년",""))&gt;=1900,VALUE(SUBSTITUTE(SUBSTITUTE(SUBSTITUTE(TRIM(A2407&amp;""),CHAR(160),"")," ",""),"년",""))&lt;=2099,TEXT(VALUE(SUBSTITUTE(SUBSTITUTE(SUBSTITUTE(TRIM(A2407&amp;""),CHAR(160),"")," ",""),"년","")),"0000")=SUBSTITUTE(SUBSTITUTE(SUBSTITUTE(TRIM(A2407&amp;""),CHAR(160),"")," ",""),"년","")),SUBSTITUTE(SUBSTITUTE(SUBSTITUTE(TRIM(A2407&amp;""),CHAR(160),"")," ",""),"년",""),""),"")</f>
      </c>
      <c r="I2407" t="str">
        <f>SUBSTITUTE(SUBSTITUTE(SUBSTITUTE(SUBSTITUTE(SUBSTITUTE(TRIM(B2407&amp;""),CHAR(160),"")," ",""),"초등학교","초"),"중학교","중"),"고등학교","고")</f>
      </c>
    </row>
    <row r="2408" customFormat="false" ht="15" hidden="false" customHeight="false" outlineLevel="0" collapsed="false">
      <c r="A2408" s="8"/>
      <c r="B2408" s="8"/>
      <c r="C2408" s="8"/>
      <c r="D2408" s="8"/>
      <c r="E2408" s="8"/>
      <c r="F2408" t="str" s="15">
        <f aca="0">IF(B2408="","",IF(H2408="","확인필요(입력누락)",IF(SUMPRODUCT((실물목록!$P$2:$P$1001&lt;&gt;"")*ISNUMBER(SEARCH(실물목록!$P$2:$P$1001,I2408))*(실물목록!$Q$2:$Q$1001&lt;&gt;"")*ISNUMBER(SEARCH(실물목록!$Q$2:$Q$1001,I2408))*(실물목록!$R$2:$R$1001="")*(실물목록!$O$2:$O$1001&lt;&gt;"")*(실물목록!$O$2:$O$1001=H2408))&gt;0,"실물 있음",IF(SUMPRODUCT((실물목록!$P$2:$P$1001&lt;&gt;"")*ISNUMBER(SEARCH(실물목록!$P$2:$P$1001,I2408))*(실물목록!$R$2:$R$1001&lt;&gt;""))&gt;0,"확인필요(입력누락)",IF(SUMPRODUCT((실물목록!$P$2:$P$1001&lt;&gt;"")*ISNUMBER(SEARCH(실물목록!$P$2:$P$1001,I2408))*(실물목록!$Q$2:$Q$1001&lt;&gt;"")*ISNUMBER(SEARCH(실물목록!$Q$2:$Q$1001,I2408))*(실물목록!$R$2:$R$1001="")*(실물목록!$O$2:$O$1001&lt;&gt;""))&gt;0,"확인필요(연도다름)","실물 없음")))))</f>
      </c>
      <c r="G2408" t="n" s="16">
        <f aca="0">IF(B2408="","",SUMPRODUCT((실물목록!$P$2:$P$1001&lt;&gt;"")*ISNUMBER(SEARCH(실물목록!$P$2:$P$1001,I2408))*(실물목록!$Q$2:$Q$1001&lt;&gt;"")*ISNUMBER(SEARCH(실물목록!$Q$2:$Q$1001,I2408))*(실물목록!$R$2:$R$1001="")*(실물목록!$O$2:$O$1001&lt;&gt;"")*(실물목록!$O$2:$O$1001=H2408)))</f>
      </c>
      <c r="H2408" t="str">
        <f>IFERROR(IF(AND(LEN(SUBSTITUTE(SUBSTITUTE(SUBSTITUTE(TRIM(A2408&amp;""),CHAR(160),"")," ",""),"년",""))=4,VALUE(SUBSTITUTE(SUBSTITUTE(SUBSTITUTE(TRIM(A2408&amp;""),CHAR(160),"")," ",""),"년",""))&gt;=1900,VALUE(SUBSTITUTE(SUBSTITUTE(SUBSTITUTE(TRIM(A2408&amp;""),CHAR(160),"")," ",""),"년",""))&lt;=2099,TEXT(VALUE(SUBSTITUTE(SUBSTITUTE(SUBSTITUTE(TRIM(A2408&amp;""),CHAR(160),"")," ",""),"년","")),"0000")=SUBSTITUTE(SUBSTITUTE(SUBSTITUTE(TRIM(A2408&amp;""),CHAR(160),"")," ",""),"년","")),SUBSTITUTE(SUBSTITUTE(SUBSTITUTE(TRIM(A2408&amp;""),CHAR(160),"")," ",""),"년",""),""),"")</f>
      </c>
      <c r="I2408" t="str">
        <f>SUBSTITUTE(SUBSTITUTE(SUBSTITUTE(SUBSTITUTE(SUBSTITUTE(TRIM(B2408&amp;""),CHAR(160),"")," ",""),"초등학교","초"),"중학교","중"),"고등학교","고")</f>
      </c>
    </row>
    <row r="2409" customFormat="false" ht="15" hidden="false" customHeight="false" outlineLevel="0" collapsed="false">
      <c r="A2409" s="8"/>
      <c r="B2409" s="8"/>
      <c r="C2409" s="8"/>
      <c r="D2409" s="8"/>
      <c r="E2409" s="8"/>
      <c r="F2409" t="str" s="15">
        <f aca="0">IF(B2409="","",IF(H2409="","확인필요(입력누락)",IF(SUMPRODUCT((실물목록!$P$2:$P$1001&lt;&gt;"")*ISNUMBER(SEARCH(실물목록!$P$2:$P$1001,I2409))*(실물목록!$Q$2:$Q$1001&lt;&gt;"")*ISNUMBER(SEARCH(실물목록!$Q$2:$Q$1001,I2409))*(실물목록!$R$2:$R$1001="")*(실물목록!$O$2:$O$1001&lt;&gt;"")*(실물목록!$O$2:$O$1001=H2409))&gt;0,"실물 있음",IF(SUMPRODUCT((실물목록!$P$2:$P$1001&lt;&gt;"")*ISNUMBER(SEARCH(실물목록!$P$2:$P$1001,I2409))*(실물목록!$R$2:$R$1001&lt;&gt;""))&gt;0,"확인필요(입력누락)",IF(SUMPRODUCT((실물목록!$P$2:$P$1001&lt;&gt;"")*ISNUMBER(SEARCH(실물목록!$P$2:$P$1001,I2409))*(실물목록!$Q$2:$Q$1001&lt;&gt;"")*ISNUMBER(SEARCH(실물목록!$Q$2:$Q$1001,I2409))*(실물목록!$R$2:$R$1001="")*(실물목록!$O$2:$O$1001&lt;&gt;""))&gt;0,"확인필요(연도다름)","실물 없음")))))</f>
      </c>
      <c r="G2409" t="n" s="16">
        <f aca="0">IF(B2409="","",SUMPRODUCT((실물목록!$P$2:$P$1001&lt;&gt;"")*ISNUMBER(SEARCH(실물목록!$P$2:$P$1001,I2409))*(실물목록!$Q$2:$Q$1001&lt;&gt;"")*ISNUMBER(SEARCH(실물목록!$Q$2:$Q$1001,I2409))*(실물목록!$R$2:$R$1001="")*(실물목록!$O$2:$O$1001&lt;&gt;"")*(실물목록!$O$2:$O$1001=H2409)))</f>
      </c>
      <c r="H2409" t="str">
        <f>IFERROR(IF(AND(LEN(SUBSTITUTE(SUBSTITUTE(SUBSTITUTE(TRIM(A2409&amp;""),CHAR(160),"")," ",""),"년",""))=4,VALUE(SUBSTITUTE(SUBSTITUTE(SUBSTITUTE(TRIM(A2409&amp;""),CHAR(160),"")," ",""),"년",""))&gt;=1900,VALUE(SUBSTITUTE(SUBSTITUTE(SUBSTITUTE(TRIM(A2409&amp;""),CHAR(160),"")," ",""),"년",""))&lt;=2099,TEXT(VALUE(SUBSTITUTE(SUBSTITUTE(SUBSTITUTE(TRIM(A2409&amp;""),CHAR(160),"")," ",""),"년","")),"0000")=SUBSTITUTE(SUBSTITUTE(SUBSTITUTE(TRIM(A2409&amp;""),CHAR(160),"")," ",""),"년","")),SUBSTITUTE(SUBSTITUTE(SUBSTITUTE(TRIM(A2409&amp;""),CHAR(160),"")," ",""),"년",""),""),"")</f>
      </c>
      <c r="I2409" t="str">
        <f>SUBSTITUTE(SUBSTITUTE(SUBSTITUTE(SUBSTITUTE(SUBSTITUTE(TRIM(B2409&amp;""),CHAR(160),"")," ",""),"초등학교","초"),"중학교","중"),"고등학교","고")</f>
      </c>
    </row>
    <row r="2410" customFormat="false" ht="15" hidden="false" customHeight="false" outlineLevel="0" collapsed="false">
      <c r="A2410" s="8"/>
      <c r="B2410" s="8"/>
      <c r="C2410" s="8"/>
      <c r="D2410" s="8"/>
      <c r="E2410" s="8"/>
      <c r="F2410" t="str" s="15">
        <f aca="0">IF(B2410="","",IF(H2410="","확인필요(입력누락)",IF(SUMPRODUCT((실물목록!$P$2:$P$1001&lt;&gt;"")*ISNUMBER(SEARCH(실물목록!$P$2:$P$1001,I2410))*(실물목록!$Q$2:$Q$1001&lt;&gt;"")*ISNUMBER(SEARCH(실물목록!$Q$2:$Q$1001,I2410))*(실물목록!$R$2:$R$1001="")*(실물목록!$O$2:$O$1001&lt;&gt;"")*(실물목록!$O$2:$O$1001=H2410))&gt;0,"실물 있음",IF(SUMPRODUCT((실물목록!$P$2:$P$1001&lt;&gt;"")*ISNUMBER(SEARCH(실물목록!$P$2:$P$1001,I2410))*(실물목록!$R$2:$R$1001&lt;&gt;""))&gt;0,"확인필요(입력누락)",IF(SUMPRODUCT((실물목록!$P$2:$P$1001&lt;&gt;"")*ISNUMBER(SEARCH(실물목록!$P$2:$P$1001,I2410))*(실물목록!$Q$2:$Q$1001&lt;&gt;"")*ISNUMBER(SEARCH(실물목록!$Q$2:$Q$1001,I2410))*(실물목록!$R$2:$R$1001="")*(실물목록!$O$2:$O$1001&lt;&gt;""))&gt;0,"확인필요(연도다름)","실물 없음")))))</f>
      </c>
      <c r="G2410" t="n" s="16">
        <f aca="0">IF(B2410="","",SUMPRODUCT((실물목록!$P$2:$P$1001&lt;&gt;"")*ISNUMBER(SEARCH(실물목록!$P$2:$P$1001,I2410))*(실물목록!$Q$2:$Q$1001&lt;&gt;"")*ISNUMBER(SEARCH(실물목록!$Q$2:$Q$1001,I2410))*(실물목록!$R$2:$R$1001="")*(실물목록!$O$2:$O$1001&lt;&gt;"")*(실물목록!$O$2:$O$1001=H2410)))</f>
      </c>
      <c r="H2410" t="str">
        <f>IFERROR(IF(AND(LEN(SUBSTITUTE(SUBSTITUTE(SUBSTITUTE(TRIM(A2410&amp;""),CHAR(160),"")," ",""),"년",""))=4,VALUE(SUBSTITUTE(SUBSTITUTE(SUBSTITUTE(TRIM(A2410&amp;""),CHAR(160),"")," ",""),"년",""))&gt;=1900,VALUE(SUBSTITUTE(SUBSTITUTE(SUBSTITUTE(TRIM(A2410&amp;""),CHAR(160),"")," ",""),"년",""))&lt;=2099,TEXT(VALUE(SUBSTITUTE(SUBSTITUTE(SUBSTITUTE(TRIM(A2410&amp;""),CHAR(160),"")," ",""),"년","")),"0000")=SUBSTITUTE(SUBSTITUTE(SUBSTITUTE(TRIM(A2410&amp;""),CHAR(160),"")," ",""),"년","")),SUBSTITUTE(SUBSTITUTE(SUBSTITUTE(TRIM(A2410&amp;""),CHAR(160),"")," ",""),"년",""),""),"")</f>
      </c>
      <c r="I2410" t="str">
        <f>SUBSTITUTE(SUBSTITUTE(SUBSTITUTE(SUBSTITUTE(SUBSTITUTE(TRIM(B2410&amp;""),CHAR(160),"")," ",""),"초등학교","초"),"중학교","중"),"고등학교","고")</f>
      </c>
    </row>
    <row r="2411" customFormat="false" ht="15" hidden="false" customHeight="false" outlineLevel="0" collapsed="false">
      <c r="A2411" s="8"/>
      <c r="B2411" s="8"/>
      <c r="C2411" s="8"/>
      <c r="D2411" s="8"/>
      <c r="E2411" s="8"/>
      <c r="F2411" t="str" s="15">
        <f aca="0">IF(B2411="","",IF(H2411="","확인필요(입력누락)",IF(SUMPRODUCT((실물목록!$P$2:$P$1001&lt;&gt;"")*ISNUMBER(SEARCH(실물목록!$P$2:$P$1001,I2411))*(실물목록!$Q$2:$Q$1001&lt;&gt;"")*ISNUMBER(SEARCH(실물목록!$Q$2:$Q$1001,I2411))*(실물목록!$R$2:$R$1001="")*(실물목록!$O$2:$O$1001&lt;&gt;"")*(실물목록!$O$2:$O$1001=H2411))&gt;0,"실물 있음",IF(SUMPRODUCT((실물목록!$P$2:$P$1001&lt;&gt;"")*ISNUMBER(SEARCH(실물목록!$P$2:$P$1001,I2411))*(실물목록!$R$2:$R$1001&lt;&gt;""))&gt;0,"확인필요(입력누락)",IF(SUMPRODUCT((실물목록!$P$2:$P$1001&lt;&gt;"")*ISNUMBER(SEARCH(실물목록!$P$2:$P$1001,I2411))*(실물목록!$Q$2:$Q$1001&lt;&gt;"")*ISNUMBER(SEARCH(실물목록!$Q$2:$Q$1001,I2411))*(실물목록!$R$2:$R$1001="")*(실물목록!$O$2:$O$1001&lt;&gt;""))&gt;0,"확인필요(연도다름)","실물 없음")))))</f>
      </c>
      <c r="G2411" t="n" s="16">
        <f aca="0">IF(B2411="","",SUMPRODUCT((실물목록!$P$2:$P$1001&lt;&gt;"")*ISNUMBER(SEARCH(실물목록!$P$2:$P$1001,I2411))*(실물목록!$Q$2:$Q$1001&lt;&gt;"")*ISNUMBER(SEARCH(실물목록!$Q$2:$Q$1001,I2411))*(실물목록!$R$2:$R$1001="")*(실물목록!$O$2:$O$1001&lt;&gt;"")*(실물목록!$O$2:$O$1001=H2411)))</f>
      </c>
      <c r="H2411" t="str">
        <f>IFERROR(IF(AND(LEN(SUBSTITUTE(SUBSTITUTE(SUBSTITUTE(TRIM(A2411&amp;""),CHAR(160),"")," ",""),"년",""))=4,VALUE(SUBSTITUTE(SUBSTITUTE(SUBSTITUTE(TRIM(A2411&amp;""),CHAR(160),"")," ",""),"년",""))&gt;=1900,VALUE(SUBSTITUTE(SUBSTITUTE(SUBSTITUTE(TRIM(A2411&amp;""),CHAR(160),"")," ",""),"년",""))&lt;=2099,TEXT(VALUE(SUBSTITUTE(SUBSTITUTE(SUBSTITUTE(TRIM(A2411&amp;""),CHAR(160),"")," ",""),"년","")),"0000")=SUBSTITUTE(SUBSTITUTE(SUBSTITUTE(TRIM(A2411&amp;""),CHAR(160),"")," ",""),"년","")),SUBSTITUTE(SUBSTITUTE(SUBSTITUTE(TRIM(A2411&amp;""),CHAR(160),"")," ",""),"년",""),""),"")</f>
      </c>
      <c r="I2411" t="str">
        <f>SUBSTITUTE(SUBSTITUTE(SUBSTITUTE(SUBSTITUTE(SUBSTITUTE(TRIM(B2411&amp;""),CHAR(160),"")," ",""),"초등학교","초"),"중학교","중"),"고등학교","고")</f>
      </c>
    </row>
    <row r="2412" customFormat="false" ht="15" hidden="false" customHeight="false" outlineLevel="0" collapsed="false">
      <c r="A2412" s="8"/>
      <c r="B2412" s="8"/>
      <c r="C2412" s="8"/>
      <c r="D2412" s="8"/>
      <c r="E2412" s="8"/>
      <c r="F2412" t="str" s="15">
        <f aca="0">IF(B2412="","",IF(H2412="","확인필요(입력누락)",IF(SUMPRODUCT((실물목록!$P$2:$P$1001&lt;&gt;"")*ISNUMBER(SEARCH(실물목록!$P$2:$P$1001,I2412))*(실물목록!$Q$2:$Q$1001&lt;&gt;"")*ISNUMBER(SEARCH(실물목록!$Q$2:$Q$1001,I2412))*(실물목록!$R$2:$R$1001="")*(실물목록!$O$2:$O$1001&lt;&gt;"")*(실물목록!$O$2:$O$1001=H2412))&gt;0,"실물 있음",IF(SUMPRODUCT((실물목록!$P$2:$P$1001&lt;&gt;"")*ISNUMBER(SEARCH(실물목록!$P$2:$P$1001,I2412))*(실물목록!$R$2:$R$1001&lt;&gt;""))&gt;0,"확인필요(입력누락)",IF(SUMPRODUCT((실물목록!$P$2:$P$1001&lt;&gt;"")*ISNUMBER(SEARCH(실물목록!$P$2:$P$1001,I2412))*(실물목록!$Q$2:$Q$1001&lt;&gt;"")*ISNUMBER(SEARCH(실물목록!$Q$2:$Q$1001,I2412))*(실물목록!$R$2:$R$1001="")*(실물목록!$O$2:$O$1001&lt;&gt;""))&gt;0,"확인필요(연도다름)","실물 없음")))))</f>
      </c>
      <c r="G2412" t="n" s="16">
        <f aca="0">IF(B2412="","",SUMPRODUCT((실물목록!$P$2:$P$1001&lt;&gt;"")*ISNUMBER(SEARCH(실물목록!$P$2:$P$1001,I2412))*(실물목록!$Q$2:$Q$1001&lt;&gt;"")*ISNUMBER(SEARCH(실물목록!$Q$2:$Q$1001,I2412))*(실물목록!$R$2:$R$1001="")*(실물목록!$O$2:$O$1001&lt;&gt;"")*(실물목록!$O$2:$O$1001=H2412)))</f>
      </c>
      <c r="H2412" t="str">
        <f>IFERROR(IF(AND(LEN(SUBSTITUTE(SUBSTITUTE(SUBSTITUTE(TRIM(A2412&amp;""),CHAR(160),"")," ",""),"년",""))=4,VALUE(SUBSTITUTE(SUBSTITUTE(SUBSTITUTE(TRIM(A2412&amp;""),CHAR(160),"")," ",""),"년",""))&gt;=1900,VALUE(SUBSTITUTE(SUBSTITUTE(SUBSTITUTE(TRIM(A2412&amp;""),CHAR(160),"")," ",""),"년",""))&lt;=2099,TEXT(VALUE(SUBSTITUTE(SUBSTITUTE(SUBSTITUTE(TRIM(A2412&amp;""),CHAR(160),"")," ",""),"년","")),"0000")=SUBSTITUTE(SUBSTITUTE(SUBSTITUTE(TRIM(A2412&amp;""),CHAR(160),"")," ",""),"년","")),SUBSTITUTE(SUBSTITUTE(SUBSTITUTE(TRIM(A2412&amp;""),CHAR(160),"")," ",""),"년",""),""),"")</f>
      </c>
      <c r="I2412" t="str">
        <f>SUBSTITUTE(SUBSTITUTE(SUBSTITUTE(SUBSTITUTE(SUBSTITUTE(TRIM(B2412&amp;""),CHAR(160),"")," ",""),"초등학교","초"),"중학교","중"),"고등학교","고")</f>
      </c>
    </row>
    <row r="2413" customFormat="false" ht="15" hidden="false" customHeight="false" outlineLevel="0" collapsed="false">
      <c r="A2413" s="8"/>
      <c r="B2413" s="8"/>
      <c r="C2413" s="8"/>
      <c r="D2413" s="8"/>
      <c r="E2413" s="8"/>
      <c r="F2413" t="str" s="15">
        <f aca="0">IF(B2413="","",IF(H2413="","확인필요(입력누락)",IF(SUMPRODUCT((실물목록!$P$2:$P$1001&lt;&gt;"")*ISNUMBER(SEARCH(실물목록!$P$2:$P$1001,I2413))*(실물목록!$Q$2:$Q$1001&lt;&gt;"")*ISNUMBER(SEARCH(실물목록!$Q$2:$Q$1001,I2413))*(실물목록!$R$2:$R$1001="")*(실물목록!$O$2:$O$1001&lt;&gt;"")*(실물목록!$O$2:$O$1001=H2413))&gt;0,"실물 있음",IF(SUMPRODUCT((실물목록!$P$2:$P$1001&lt;&gt;"")*ISNUMBER(SEARCH(실물목록!$P$2:$P$1001,I2413))*(실물목록!$R$2:$R$1001&lt;&gt;""))&gt;0,"확인필요(입력누락)",IF(SUMPRODUCT((실물목록!$P$2:$P$1001&lt;&gt;"")*ISNUMBER(SEARCH(실물목록!$P$2:$P$1001,I2413))*(실물목록!$Q$2:$Q$1001&lt;&gt;"")*ISNUMBER(SEARCH(실물목록!$Q$2:$Q$1001,I2413))*(실물목록!$R$2:$R$1001="")*(실물목록!$O$2:$O$1001&lt;&gt;""))&gt;0,"확인필요(연도다름)","실물 없음")))))</f>
      </c>
      <c r="G2413" t="n" s="16">
        <f aca="0">IF(B2413="","",SUMPRODUCT((실물목록!$P$2:$P$1001&lt;&gt;"")*ISNUMBER(SEARCH(실물목록!$P$2:$P$1001,I2413))*(실물목록!$Q$2:$Q$1001&lt;&gt;"")*ISNUMBER(SEARCH(실물목록!$Q$2:$Q$1001,I2413))*(실물목록!$R$2:$R$1001="")*(실물목록!$O$2:$O$1001&lt;&gt;"")*(실물목록!$O$2:$O$1001=H2413)))</f>
      </c>
      <c r="H2413" t="str">
        <f>IFERROR(IF(AND(LEN(SUBSTITUTE(SUBSTITUTE(SUBSTITUTE(TRIM(A2413&amp;""),CHAR(160),"")," ",""),"년",""))=4,VALUE(SUBSTITUTE(SUBSTITUTE(SUBSTITUTE(TRIM(A2413&amp;""),CHAR(160),"")," ",""),"년",""))&gt;=1900,VALUE(SUBSTITUTE(SUBSTITUTE(SUBSTITUTE(TRIM(A2413&amp;""),CHAR(160),"")," ",""),"년",""))&lt;=2099,TEXT(VALUE(SUBSTITUTE(SUBSTITUTE(SUBSTITUTE(TRIM(A2413&amp;""),CHAR(160),"")," ",""),"년","")),"0000")=SUBSTITUTE(SUBSTITUTE(SUBSTITUTE(TRIM(A2413&amp;""),CHAR(160),"")," ",""),"년","")),SUBSTITUTE(SUBSTITUTE(SUBSTITUTE(TRIM(A2413&amp;""),CHAR(160),"")," ",""),"년",""),""),"")</f>
      </c>
      <c r="I2413" t="str">
        <f>SUBSTITUTE(SUBSTITUTE(SUBSTITUTE(SUBSTITUTE(SUBSTITUTE(TRIM(B2413&amp;""),CHAR(160),"")," ",""),"초등학교","초"),"중학교","중"),"고등학교","고")</f>
      </c>
    </row>
    <row r="2414" customFormat="false" ht="15" hidden="false" customHeight="false" outlineLevel="0" collapsed="false">
      <c r="A2414" s="8"/>
      <c r="B2414" s="8"/>
      <c r="C2414" s="8"/>
      <c r="D2414" s="8"/>
      <c r="E2414" s="8"/>
      <c r="F2414" t="str" s="15">
        <f aca="0">IF(B2414="","",IF(H2414="","확인필요(입력누락)",IF(SUMPRODUCT((실물목록!$P$2:$P$1001&lt;&gt;"")*ISNUMBER(SEARCH(실물목록!$P$2:$P$1001,I2414))*(실물목록!$Q$2:$Q$1001&lt;&gt;"")*ISNUMBER(SEARCH(실물목록!$Q$2:$Q$1001,I2414))*(실물목록!$R$2:$R$1001="")*(실물목록!$O$2:$O$1001&lt;&gt;"")*(실물목록!$O$2:$O$1001=H2414))&gt;0,"실물 있음",IF(SUMPRODUCT((실물목록!$P$2:$P$1001&lt;&gt;"")*ISNUMBER(SEARCH(실물목록!$P$2:$P$1001,I2414))*(실물목록!$R$2:$R$1001&lt;&gt;""))&gt;0,"확인필요(입력누락)",IF(SUMPRODUCT((실물목록!$P$2:$P$1001&lt;&gt;"")*ISNUMBER(SEARCH(실물목록!$P$2:$P$1001,I2414))*(실물목록!$Q$2:$Q$1001&lt;&gt;"")*ISNUMBER(SEARCH(실물목록!$Q$2:$Q$1001,I2414))*(실물목록!$R$2:$R$1001="")*(실물목록!$O$2:$O$1001&lt;&gt;""))&gt;0,"확인필요(연도다름)","실물 없음")))))</f>
      </c>
      <c r="G2414" t="n" s="16">
        <f aca="0">IF(B2414="","",SUMPRODUCT((실물목록!$P$2:$P$1001&lt;&gt;"")*ISNUMBER(SEARCH(실물목록!$P$2:$P$1001,I2414))*(실물목록!$Q$2:$Q$1001&lt;&gt;"")*ISNUMBER(SEARCH(실물목록!$Q$2:$Q$1001,I2414))*(실물목록!$R$2:$R$1001="")*(실물목록!$O$2:$O$1001&lt;&gt;"")*(실물목록!$O$2:$O$1001=H2414)))</f>
      </c>
      <c r="H2414" t="str">
        <f>IFERROR(IF(AND(LEN(SUBSTITUTE(SUBSTITUTE(SUBSTITUTE(TRIM(A2414&amp;""),CHAR(160),"")," ",""),"년",""))=4,VALUE(SUBSTITUTE(SUBSTITUTE(SUBSTITUTE(TRIM(A2414&amp;""),CHAR(160),"")," ",""),"년",""))&gt;=1900,VALUE(SUBSTITUTE(SUBSTITUTE(SUBSTITUTE(TRIM(A2414&amp;""),CHAR(160),"")," ",""),"년",""))&lt;=2099,TEXT(VALUE(SUBSTITUTE(SUBSTITUTE(SUBSTITUTE(TRIM(A2414&amp;""),CHAR(160),"")," ",""),"년","")),"0000")=SUBSTITUTE(SUBSTITUTE(SUBSTITUTE(TRIM(A2414&amp;""),CHAR(160),"")," ",""),"년","")),SUBSTITUTE(SUBSTITUTE(SUBSTITUTE(TRIM(A2414&amp;""),CHAR(160),"")," ",""),"년",""),""),"")</f>
      </c>
      <c r="I2414" t="str">
        <f>SUBSTITUTE(SUBSTITUTE(SUBSTITUTE(SUBSTITUTE(SUBSTITUTE(TRIM(B2414&amp;""),CHAR(160),"")," ",""),"초등학교","초"),"중학교","중"),"고등학교","고")</f>
      </c>
    </row>
    <row r="2415" customFormat="false" ht="15" hidden="false" customHeight="false" outlineLevel="0" collapsed="false">
      <c r="A2415" s="8"/>
      <c r="B2415" s="8"/>
      <c r="C2415" s="8"/>
      <c r="D2415" s="8"/>
      <c r="E2415" s="8"/>
      <c r="F2415" t="str" s="15">
        <f aca="0">IF(B2415="","",IF(H2415="","확인필요(입력누락)",IF(SUMPRODUCT((실물목록!$P$2:$P$1001&lt;&gt;"")*ISNUMBER(SEARCH(실물목록!$P$2:$P$1001,I2415))*(실물목록!$Q$2:$Q$1001&lt;&gt;"")*ISNUMBER(SEARCH(실물목록!$Q$2:$Q$1001,I2415))*(실물목록!$R$2:$R$1001="")*(실물목록!$O$2:$O$1001&lt;&gt;"")*(실물목록!$O$2:$O$1001=H2415))&gt;0,"실물 있음",IF(SUMPRODUCT((실물목록!$P$2:$P$1001&lt;&gt;"")*ISNUMBER(SEARCH(실물목록!$P$2:$P$1001,I2415))*(실물목록!$R$2:$R$1001&lt;&gt;""))&gt;0,"확인필요(입력누락)",IF(SUMPRODUCT((실물목록!$P$2:$P$1001&lt;&gt;"")*ISNUMBER(SEARCH(실물목록!$P$2:$P$1001,I2415))*(실물목록!$Q$2:$Q$1001&lt;&gt;"")*ISNUMBER(SEARCH(실물목록!$Q$2:$Q$1001,I2415))*(실물목록!$R$2:$R$1001="")*(실물목록!$O$2:$O$1001&lt;&gt;""))&gt;0,"확인필요(연도다름)","실물 없음")))))</f>
      </c>
      <c r="G2415" t="n" s="16">
        <f aca="0">IF(B2415="","",SUMPRODUCT((실물목록!$P$2:$P$1001&lt;&gt;"")*ISNUMBER(SEARCH(실물목록!$P$2:$P$1001,I2415))*(실물목록!$Q$2:$Q$1001&lt;&gt;"")*ISNUMBER(SEARCH(실물목록!$Q$2:$Q$1001,I2415))*(실물목록!$R$2:$R$1001="")*(실물목록!$O$2:$O$1001&lt;&gt;"")*(실물목록!$O$2:$O$1001=H2415)))</f>
      </c>
      <c r="H2415" t="str">
        <f>IFERROR(IF(AND(LEN(SUBSTITUTE(SUBSTITUTE(SUBSTITUTE(TRIM(A2415&amp;""),CHAR(160),"")," ",""),"년",""))=4,VALUE(SUBSTITUTE(SUBSTITUTE(SUBSTITUTE(TRIM(A2415&amp;""),CHAR(160),"")," ",""),"년",""))&gt;=1900,VALUE(SUBSTITUTE(SUBSTITUTE(SUBSTITUTE(TRIM(A2415&amp;""),CHAR(160),"")," ",""),"년",""))&lt;=2099,TEXT(VALUE(SUBSTITUTE(SUBSTITUTE(SUBSTITUTE(TRIM(A2415&amp;""),CHAR(160),"")," ",""),"년","")),"0000")=SUBSTITUTE(SUBSTITUTE(SUBSTITUTE(TRIM(A2415&amp;""),CHAR(160),"")," ",""),"년","")),SUBSTITUTE(SUBSTITUTE(SUBSTITUTE(TRIM(A2415&amp;""),CHAR(160),"")," ",""),"년",""),""),"")</f>
      </c>
      <c r="I2415" t="str">
        <f>SUBSTITUTE(SUBSTITUTE(SUBSTITUTE(SUBSTITUTE(SUBSTITUTE(TRIM(B2415&amp;""),CHAR(160),"")," ",""),"초등학교","초"),"중학교","중"),"고등학교","고")</f>
      </c>
    </row>
    <row r="2416" customFormat="false" ht="15" hidden="false" customHeight="false" outlineLevel="0" collapsed="false">
      <c r="A2416" s="8"/>
      <c r="B2416" s="8"/>
      <c r="C2416" s="8"/>
      <c r="D2416" s="8"/>
      <c r="E2416" s="8"/>
      <c r="F2416" t="str" s="15">
        <f aca="0">IF(B2416="","",IF(H2416="","확인필요(입력누락)",IF(SUMPRODUCT((실물목록!$P$2:$P$1001&lt;&gt;"")*ISNUMBER(SEARCH(실물목록!$P$2:$P$1001,I2416))*(실물목록!$Q$2:$Q$1001&lt;&gt;"")*ISNUMBER(SEARCH(실물목록!$Q$2:$Q$1001,I2416))*(실물목록!$R$2:$R$1001="")*(실물목록!$O$2:$O$1001&lt;&gt;"")*(실물목록!$O$2:$O$1001=H2416))&gt;0,"실물 있음",IF(SUMPRODUCT((실물목록!$P$2:$P$1001&lt;&gt;"")*ISNUMBER(SEARCH(실물목록!$P$2:$P$1001,I2416))*(실물목록!$R$2:$R$1001&lt;&gt;""))&gt;0,"확인필요(입력누락)",IF(SUMPRODUCT((실물목록!$P$2:$P$1001&lt;&gt;"")*ISNUMBER(SEARCH(실물목록!$P$2:$P$1001,I2416))*(실물목록!$Q$2:$Q$1001&lt;&gt;"")*ISNUMBER(SEARCH(실물목록!$Q$2:$Q$1001,I2416))*(실물목록!$R$2:$R$1001="")*(실물목록!$O$2:$O$1001&lt;&gt;""))&gt;0,"확인필요(연도다름)","실물 없음")))))</f>
      </c>
      <c r="G2416" t="n" s="16">
        <f aca="0">IF(B2416="","",SUMPRODUCT((실물목록!$P$2:$P$1001&lt;&gt;"")*ISNUMBER(SEARCH(실물목록!$P$2:$P$1001,I2416))*(실물목록!$Q$2:$Q$1001&lt;&gt;"")*ISNUMBER(SEARCH(실물목록!$Q$2:$Q$1001,I2416))*(실물목록!$R$2:$R$1001="")*(실물목록!$O$2:$O$1001&lt;&gt;"")*(실물목록!$O$2:$O$1001=H2416)))</f>
      </c>
      <c r="H2416" t="str">
        <f>IFERROR(IF(AND(LEN(SUBSTITUTE(SUBSTITUTE(SUBSTITUTE(TRIM(A2416&amp;""),CHAR(160),"")," ",""),"년",""))=4,VALUE(SUBSTITUTE(SUBSTITUTE(SUBSTITUTE(TRIM(A2416&amp;""),CHAR(160),"")," ",""),"년",""))&gt;=1900,VALUE(SUBSTITUTE(SUBSTITUTE(SUBSTITUTE(TRIM(A2416&amp;""),CHAR(160),"")," ",""),"년",""))&lt;=2099,TEXT(VALUE(SUBSTITUTE(SUBSTITUTE(SUBSTITUTE(TRIM(A2416&amp;""),CHAR(160),"")," ",""),"년","")),"0000")=SUBSTITUTE(SUBSTITUTE(SUBSTITUTE(TRIM(A2416&amp;""),CHAR(160),"")," ",""),"년","")),SUBSTITUTE(SUBSTITUTE(SUBSTITUTE(TRIM(A2416&amp;""),CHAR(160),"")," ",""),"년",""),""),"")</f>
      </c>
      <c r="I2416" t="str">
        <f>SUBSTITUTE(SUBSTITUTE(SUBSTITUTE(SUBSTITUTE(SUBSTITUTE(TRIM(B2416&amp;""),CHAR(160),"")," ",""),"초등학교","초"),"중학교","중"),"고등학교","고")</f>
      </c>
    </row>
    <row r="2417" customFormat="false" ht="15" hidden="false" customHeight="false" outlineLevel="0" collapsed="false">
      <c r="A2417" s="8"/>
      <c r="B2417" s="8"/>
      <c r="C2417" s="8"/>
      <c r="D2417" s="8"/>
      <c r="E2417" s="8"/>
      <c r="F2417" t="str" s="15">
        <f aca="0">IF(B2417="","",IF(H2417="","확인필요(입력누락)",IF(SUMPRODUCT((실물목록!$P$2:$P$1001&lt;&gt;"")*ISNUMBER(SEARCH(실물목록!$P$2:$P$1001,I2417))*(실물목록!$Q$2:$Q$1001&lt;&gt;"")*ISNUMBER(SEARCH(실물목록!$Q$2:$Q$1001,I2417))*(실물목록!$R$2:$R$1001="")*(실물목록!$O$2:$O$1001&lt;&gt;"")*(실물목록!$O$2:$O$1001=H2417))&gt;0,"실물 있음",IF(SUMPRODUCT((실물목록!$P$2:$P$1001&lt;&gt;"")*ISNUMBER(SEARCH(실물목록!$P$2:$P$1001,I2417))*(실물목록!$R$2:$R$1001&lt;&gt;""))&gt;0,"확인필요(입력누락)",IF(SUMPRODUCT((실물목록!$P$2:$P$1001&lt;&gt;"")*ISNUMBER(SEARCH(실물목록!$P$2:$P$1001,I2417))*(실물목록!$Q$2:$Q$1001&lt;&gt;"")*ISNUMBER(SEARCH(실물목록!$Q$2:$Q$1001,I2417))*(실물목록!$R$2:$R$1001="")*(실물목록!$O$2:$O$1001&lt;&gt;""))&gt;0,"확인필요(연도다름)","실물 없음")))))</f>
      </c>
      <c r="G2417" t="n" s="16">
        <f aca="0">IF(B2417="","",SUMPRODUCT((실물목록!$P$2:$P$1001&lt;&gt;"")*ISNUMBER(SEARCH(실물목록!$P$2:$P$1001,I2417))*(실물목록!$Q$2:$Q$1001&lt;&gt;"")*ISNUMBER(SEARCH(실물목록!$Q$2:$Q$1001,I2417))*(실물목록!$R$2:$R$1001="")*(실물목록!$O$2:$O$1001&lt;&gt;"")*(실물목록!$O$2:$O$1001=H2417)))</f>
      </c>
      <c r="H2417" t="str">
        <f>IFERROR(IF(AND(LEN(SUBSTITUTE(SUBSTITUTE(SUBSTITUTE(TRIM(A2417&amp;""),CHAR(160),"")," ",""),"년",""))=4,VALUE(SUBSTITUTE(SUBSTITUTE(SUBSTITUTE(TRIM(A2417&amp;""),CHAR(160),"")," ",""),"년",""))&gt;=1900,VALUE(SUBSTITUTE(SUBSTITUTE(SUBSTITUTE(TRIM(A2417&amp;""),CHAR(160),"")," ",""),"년",""))&lt;=2099,TEXT(VALUE(SUBSTITUTE(SUBSTITUTE(SUBSTITUTE(TRIM(A2417&amp;""),CHAR(160),"")," ",""),"년","")),"0000")=SUBSTITUTE(SUBSTITUTE(SUBSTITUTE(TRIM(A2417&amp;""),CHAR(160),"")," ",""),"년","")),SUBSTITUTE(SUBSTITUTE(SUBSTITUTE(TRIM(A2417&amp;""),CHAR(160),"")," ",""),"년",""),""),"")</f>
      </c>
      <c r="I2417" t="str">
        <f>SUBSTITUTE(SUBSTITUTE(SUBSTITUTE(SUBSTITUTE(SUBSTITUTE(TRIM(B2417&amp;""),CHAR(160),"")," ",""),"초등학교","초"),"중학교","중"),"고등학교","고")</f>
      </c>
    </row>
    <row r="2418" customFormat="false" ht="15" hidden="false" customHeight="false" outlineLevel="0" collapsed="false">
      <c r="A2418" s="8"/>
      <c r="B2418" s="8"/>
      <c r="C2418" s="8"/>
      <c r="D2418" s="8"/>
      <c r="E2418" s="8"/>
      <c r="F2418" t="str" s="15">
        <f aca="0">IF(B2418="","",IF(H2418="","확인필요(입력누락)",IF(SUMPRODUCT((실물목록!$P$2:$P$1001&lt;&gt;"")*ISNUMBER(SEARCH(실물목록!$P$2:$P$1001,I2418))*(실물목록!$Q$2:$Q$1001&lt;&gt;"")*ISNUMBER(SEARCH(실물목록!$Q$2:$Q$1001,I2418))*(실물목록!$R$2:$R$1001="")*(실물목록!$O$2:$O$1001&lt;&gt;"")*(실물목록!$O$2:$O$1001=H2418))&gt;0,"실물 있음",IF(SUMPRODUCT((실물목록!$P$2:$P$1001&lt;&gt;"")*ISNUMBER(SEARCH(실물목록!$P$2:$P$1001,I2418))*(실물목록!$R$2:$R$1001&lt;&gt;""))&gt;0,"확인필요(입력누락)",IF(SUMPRODUCT((실물목록!$P$2:$P$1001&lt;&gt;"")*ISNUMBER(SEARCH(실물목록!$P$2:$P$1001,I2418))*(실물목록!$Q$2:$Q$1001&lt;&gt;"")*ISNUMBER(SEARCH(실물목록!$Q$2:$Q$1001,I2418))*(실물목록!$R$2:$R$1001="")*(실물목록!$O$2:$O$1001&lt;&gt;""))&gt;0,"확인필요(연도다름)","실물 없음")))))</f>
      </c>
      <c r="G2418" t="n" s="16">
        <f aca="0">IF(B2418="","",SUMPRODUCT((실물목록!$P$2:$P$1001&lt;&gt;"")*ISNUMBER(SEARCH(실물목록!$P$2:$P$1001,I2418))*(실물목록!$Q$2:$Q$1001&lt;&gt;"")*ISNUMBER(SEARCH(실물목록!$Q$2:$Q$1001,I2418))*(실물목록!$R$2:$R$1001="")*(실물목록!$O$2:$O$1001&lt;&gt;"")*(실물목록!$O$2:$O$1001=H2418)))</f>
      </c>
      <c r="H2418" t="str">
        <f>IFERROR(IF(AND(LEN(SUBSTITUTE(SUBSTITUTE(SUBSTITUTE(TRIM(A2418&amp;""),CHAR(160),"")," ",""),"년",""))=4,VALUE(SUBSTITUTE(SUBSTITUTE(SUBSTITUTE(TRIM(A2418&amp;""),CHAR(160),"")," ",""),"년",""))&gt;=1900,VALUE(SUBSTITUTE(SUBSTITUTE(SUBSTITUTE(TRIM(A2418&amp;""),CHAR(160),"")," ",""),"년",""))&lt;=2099,TEXT(VALUE(SUBSTITUTE(SUBSTITUTE(SUBSTITUTE(TRIM(A2418&amp;""),CHAR(160),"")," ",""),"년","")),"0000")=SUBSTITUTE(SUBSTITUTE(SUBSTITUTE(TRIM(A2418&amp;""),CHAR(160),"")," ",""),"년","")),SUBSTITUTE(SUBSTITUTE(SUBSTITUTE(TRIM(A2418&amp;""),CHAR(160),"")," ",""),"년",""),""),"")</f>
      </c>
      <c r="I2418" t="str">
        <f>SUBSTITUTE(SUBSTITUTE(SUBSTITUTE(SUBSTITUTE(SUBSTITUTE(TRIM(B2418&amp;""),CHAR(160),"")," ",""),"초등학교","초"),"중학교","중"),"고등학교","고")</f>
      </c>
    </row>
    <row r="2419" customFormat="false" ht="15" hidden="false" customHeight="false" outlineLevel="0" collapsed="false">
      <c r="A2419" s="8"/>
      <c r="B2419" s="8"/>
      <c r="C2419" s="8"/>
      <c r="D2419" s="8"/>
      <c r="E2419" s="8"/>
      <c r="F2419" t="str" s="15">
        <f aca="0">IF(B2419="","",IF(H2419="","확인필요(입력누락)",IF(SUMPRODUCT((실물목록!$P$2:$P$1001&lt;&gt;"")*ISNUMBER(SEARCH(실물목록!$P$2:$P$1001,I2419))*(실물목록!$Q$2:$Q$1001&lt;&gt;"")*ISNUMBER(SEARCH(실물목록!$Q$2:$Q$1001,I2419))*(실물목록!$R$2:$R$1001="")*(실물목록!$O$2:$O$1001&lt;&gt;"")*(실물목록!$O$2:$O$1001=H2419))&gt;0,"실물 있음",IF(SUMPRODUCT((실물목록!$P$2:$P$1001&lt;&gt;"")*ISNUMBER(SEARCH(실물목록!$P$2:$P$1001,I2419))*(실물목록!$R$2:$R$1001&lt;&gt;""))&gt;0,"확인필요(입력누락)",IF(SUMPRODUCT((실물목록!$P$2:$P$1001&lt;&gt;"")*ISNUMBER(SEARCH(실물목록!$P$2:$P$1001,I2419))*(실물목록!$Q$2:$Q$1001&lt;&gt;"")*ISNUMBER(SEARCH(실물목록!$Q$2:$Q$1001,I2419))*(실물목록!$R$2:$R$1001="")*(실물목록!$O$2:$O$1001&lt;&gt;""))&gt;0,"확인필요(연도다름)","실물 없음")))))</f>
      </c>
      <c r="G2419" t="n" s="16">
        <f aca="0">IF(B2419="","",SUMPRODUCT((실물목록!$P$2:$P$1001&lt;&gt;"")*ISNUMBER(SEARCH(실물목록!$P$2:$P$1001,I2419))*(실물목록!$Q$2:$Q$1001&lt;&gt;"")*ISNUMBER(SEARCH(실물목록!$Q$2:$Q$1001,I2419))*(실물목록!$R$2:$R$1001="")*(실물목록!$O$2:$O$1001&lt;&gt;"")*(실물목록!$O$2:$O$1001=H2419)))</f>
      </c>
      <c r="H2419" t="str">
        <f>IFERROR(IF(AND(LEN(SUBSTITUTE(SUBSTITUTE(SUBSTITUTE(TRIM(A2419&amp;""),CHAR(160),"")," ",""),"년",""))=4,VALUE(SUBSTITUTE(SUBSTITUTE(SUBSTITUTE(TRIM(A2419&amp;""),CHAR(160),"")," ",""),"년",""))&gt;=1900,VALUE(SUBSTITUTE(SUBSTITUTE(SUBSTITUTE(TRIM(A2419&amp;""),CHAR(160),"")," ",""),"년",""))&lt;=2099,TEXT(VALUE(SUBSTITUTE(SUBSTITUTE(SUBSTITUTE(TRIM(A2419&amp;""),CHAR(160),"")," ",""),"년","")),"0000")=SUBSTITUTE(SUBSTITUTE(SUBSTITUTE(TRIM(A2419&amp;""),CHAR(160),"")," ",""),"년","")),SUBSTITUTE(SUBSTITUTE(SUBSTITUTE(TRIM(A2419&amp;""),CHAR(160),"")," ",""),"년",""),""),"")</f>
      </c>
      <c r="I2419" t="str">
        <f>SUBSTITUTE(SUBSTITUTE(SUBSTITUTE(SUBSTITUTE(SUBSTITUTE(TRIM(B2419&amp;""),CHAR(160),"")," ",""),"초등학교","초"),"중학교","중"),"고등학교","고")</f>
      </c>
    </row>
    <row r="2420" customFormat="false" ht="15" hidden="false" customHeight="false" outlineLevel="0" collapsed="false">
      <c r="A2420" s="8"/>
      <c r="B2420" s="8"/>
      <c r="C2420" s="8"/>
      <c r="D2420" s="8"/>
      <c r="E2420" s="8"/>
      <c r="F2420" t="str" s="15">
        <f aca="0">IF(B2420="","",IF(H2420="","확인필요(입력누락)",IF(SUMPRODUCT((실물목록!$P$2:$P$1001&lt;&gt;"")*ISNUMBER(SEARCH(실물목록!$P$2:$P$1001,I2420))*(실물목록!$Q$2:$Q$1001&lt;&gt;"")*ISNUMBER(SEARCH(실물목록!$Q$2:$Q$1001,I2420))*(실물목록!$R$2:$R$1001="")*(실물목록!$O$2:$O$1001&lt;&gt;"")*(실물목록!$O$2:$O$1001=H2420))&gt;0,"실물 있음",IF(SUMPRODUCT((실물목록!$P$2:$P$1001&lt;&gt;"")*ISNUMBER(SEARCH(실물목록!$P$2:$P$1001,I2420))*(실물목록!$R$2:$R$1001&lt;&gt;""))&gt;0,"확인필요(입력누락)",IF(SUMPRODUCT((실물목록!$P$2:$P$1001&lt;&gt;"")*ISNUMBER(SEARCH(실물목록!$P$2:$P$1001,I2420))*(실물목록!$Q$2:$Q$1001&lt;&gt;"")*ISNUMBER(SEARCH(실물목록!$Q$2:$Q$1001,I2420))*(실물목록!$R$2:$R$1001="")*(실물목록!$O$2:$O$1001&lt;&gt;""))&gt;0,"확인필요(연도다름)","실물 없음")))))</f>
      </c>
      <c r="G2420" t="n" s="16">
        <f aca="0">IF(B2420="","",SUMPRODUCT((실물목록!$P$2:$P$1001&lt;&gt;"")*ISNUMBER(SEARCH(실물목록!$P$2:$P$1001,I2420))*(실물목록!$Q$2:$Q$1001&lt;&gt;"")*ISNUMBER(SEARCH(실물목록!$Q$2:$Q$1001,I2420))*(실물목록!$R$2:$R$1001="")*(실물목록!$O$2:$O$1001&lt;&gt;"")*(실물목록!$O$2:$O$1001=H2420)))</f>
      </c>
      <c r="H2420" t="str">
        <f>IFERROR(IF(AND(LEN(SUBSTITUTE(SUBSTITUTE(SUBSTITUTE(TRIM(A2420&amp;""),CHAR(160),"")," ",""),"년",""))=4,VALUE(SUBSTITUTE(SUBSTITUTE(SUBSTITUTE(TRIM(A2420&amp;""),CHAR(160),"")," ",""),"년",""))&gt;=1900,VALUE(SUBSTITUTE(SUBSTITUTE(SUBSTITUTE(TRIM(A2420&amp;""),CHAR(160),"")," ",""),"년",""))&lt;=2099,TEXT(VALUE(SUBSTITUTE(SUBSTITUTE(SUBSTITUTE(TRIM(A2420&amp;""),CHAR(160),"")," ",""),"년","")),"0000")=SUBSTITUTE(SUBSTITUTE(SUBSTITUTE(TRIM(A2420&amp;""),CHAR(160),"")," ",""),"년","")),SUBSTITUTE(SUBSTITUTE(SUBSTITUTE(TRIM(A2420&amp;""),CHAR(160),"")," ",""),"년",""),""),"")</f>
      </c>
      <c r="I2420" t="str">
        <f>SUBSTITUTE(SUBSTITUTE(SUBSTITUTE(SUBSTITUTE(SUBSTITUTE(TRIM(B2420&amp;""),CHAR(160),"")," ",""),"초등학교","초"),"중학교","중"),"고등학교","고")</f>
      </c>
    </row>
    <row r="2421" customFormat="false" ht="15" hidden="false" customHeight="false" outlineLevel="0" collapsed="false">
      <c r="A2421" s="8"/>
      <c r="B2421" s="8"/>
      <c r="C2421" s="8"/>
      <c r="D2421" s="8"/>
      <c r="E2421" s="8"/>
      <c r="F2421" t="str" s="15">
        <f aca="0">IF(B2421="","",IF(H2421="","확인필요(입력누락)",IF(SUMPRODUCT((실물목록!$P$2:$P$1001&lt;&gt;"")*ISNUMBER(SEARCH(실물목록!$P$2:$P$1001,I2421))*(실물목록!$Q$2:$Q$1001&lt;&gt;"")*ISNUMBER(SEARCH(실물목록!$Q$2:$Q$1001,I2421))*(실물목록!$R$2:$R$1001="")*(실물목록!$O$2:$O$1001&lt;&gt;"")*(실물목록!$O$2:$O$1001=H2421))&gt;0,"실물 있음",IF(SUMPRODUCT((실물목록!$P$2:$P$1001&lt;&gt;"")*ISNUMBER(SEARCH(실물목록!$P$2:$P$1001,I2421))*(실물목록!$R$2:$R$1001&lt;&gt;""))&gt;0,"확인필요(입력누락)",IF(SUMPRODUCT((실물목록!$P$2:$P$1001&lt;&gt;"")*ISNUMBER(SEARCH(실물목록!$P$2:$P$1001,I2421))*(실물목록!$Q$2:$Q$1001&lt;&gt;"")*ISNUMBER(SEARCH(실물목록!$Q$2:$Q$1001,I2421))*(실물목록!$R$2:$R$1001="")*(실물목록!$O$2:$O$1001&lt;&gt;""))&gt;0,"확인필요(연도다름)","실물 없음")))))</f>
      </c>
      <c r="G2421" t="n" s="16">
        <f aca="0">IF(B2421="","",SUMPRODUCT((실물목록!$P$2:$P$1001&lt;&gt;"")*ISNUMBER(SEARCH(실물목록!$P$2:$P$1001,I2421))*(실물목록!$Q$2:$Q$1001&lt;&gt;"")*ISNUMBER(SEARCH(실물목록!$Q$2:$Q$1001,I2421))*(실물목록!$R$2:$R$1001="")*(실물목록!$O$2:$O$1001&lt;&gt;"")*(실물목록!$O$2:$O$1001=H2421)))</f>
      </c>
      <c r="H2421" t="str">
        <f>IFERROR(IF(AND(LEN(SUBSTITUTE(SUBSTITUTE(SUBSTITUTE(TRIM(A2421&amp;""),CHAR(160),"")," ",""),"년",""))=4,VALUE(SUBSTITUTE(SUBSTITUTE(SUBSTITUTE(TRIM(A2421&amp;""),CHAR(160),"")," ",""),"년",""))&gt;=1900,VALUE(SUBSTITUTE(SUBSTITUTE(SUBSTITUTE(TRIM(A2421&amp;""),CHAR(160),"")," ",""),"년",""))&lt;=2099,TEXT(VALUE(SUBSTITUTE(SUBSTITUTE(SUBSTITUTE(TRIM(A2421&amp;""),CHAR(160),"")," ",""),"년","")),"0000")=SUBSTITUTE(SUBSTITUTE(SUBSTITUTE(TRIM(A2421&amp;""),CHAR(160),"")," ",""),"년","")),SUBSTITUTE(SUBSTITUTE(SUBSTITUTE(TRIM(A2421&amp;""),CHAR(160),"")," ",""),"년",""),""),"")</f>
      </c>
      <c r="I2421" t="str">
        <f>SUBSTITUTE(SUBSTITUTE(SUBSTITUTE(SUBSTITUTE(SUBSTITUTE(TRIM(B2421&amp;""),CHAR(160),"")," ",""),"초등학교","초"),"중학교","중"),"고등학교","고")</f>
      </c>
    </row>
    <row r="2422" customFormat="false" ht="15" hidden="false" customHeight="false" outlineLevel="0" collapsed="false">
      <c r="A2422" s="8"/>
      <c r="B2422" s="8"/>
      <c r="C2422" s="8"/>
      <c r="D2422" s="8"/>
      <c r="E2422" s="8"/>
      <c r="F2422" t="str" s="15">
        <f aca="0">IF(B2422="","",IF(H2422="","확인필요(입력누락)",IF(SUMPRODUCT((실물목록!$P$2:$P$1001&lt;&gt;"")*ISNUMBER(SEARCH(실물목록!$P$2:$P$1001,I2422))*(실물목록!$Q$2:$Q$1001&lt;&gt;"")*ISNUMBER(SEARCH(실물목록!$Q$2:$Q$1001,I2422))*(실물목록!$R$2:$R$1001="")*(실물목록!$O$2:$O$1001&lt;&gt;"")*(실물목록!$O$2:$O$1001=H2422))&gt;0,"실물 있음",IF(SUMPRODUCT((실물목록!$P$2:$P$1001&lt;&gt;"")*ISNUMBER(SEARCH(실물목록!$P$2:$P$1001,I2422))*(실물목록!$R$2:$R$1001&lt;&gt;""))&gt;0,"확인필요(입력누락)",IF(SUMPRODUCT((실물목록!$P$2:$P$1001&lt;&gt;"")*ISNUMBER(SEARCH(실물목록!$P$2:$P$1001,I2422))*(실물목록!$Q$2:$Q$1001&lt;&gt;"")*ISNUMBER(SEARCH(실물목록!$Q$2:$Q$1001,I2422))*(실물목록!$R$2:$R$1001="")*(실물목록!$O$2:$O$1001&lt;&gt;""))&gt;0,"확인필요(연도다름)","실물 없음")))))</f>
      </c>
      <c r="G2422" t="n" s="16">
        <f aca="0">IF(B2422="","",SUMPRODUCT((실물목록!$P$2:$P$1001&lt;&gt;"")*ISNUMBER(SEARCH(실물목록!$P$2:$P$1001,I2422))*(실물목록!$Q$2:$Q$1001&lt;&gt;"")*ISNUMBER(SEARCH(실물목록!$Q$2:$Q$1001,I2422))*(실물목록!$R$2:$R$1001="")*(실물목록!$O$2:$O$1001&lt;&gt;"")*(실물목록!$O$2:$O$1001=H2422)))</f>
      </c>
      <c r="H2422" t="str">
        <f>IFERROR(IF(AND(LEN(SUBSTITUTE(SUBSTITUTE(SUBSTITUTE(TRIM(A2422&amp;""),CHAR(160),"")," ",""),"년",""))=4,VALUE(SUBSTITUTE(SUBSTITUTE(SUBSTITUTE(TRIM(A2422&amp;""),CHAR(160),"")," ",""),"년",""))&gt;=1900,VALUE(SUBSTITUTE(SUBSTITUTE(SUBSTITUTE(TRIM(A2422&amp;""),CHAR(160),"")," ",""),"년",""))&lt;=2099,TEXT(VALUE(SUBSTITUTE(SUBSTITUTE(SUBSTITUTE(TRIM(A2422&amp;""),CHAR(160),"")," ",""),"년","")),"0000")=SUBSTITUTE(SUBSTITUTE(SUBSTITUTE(TRIM(A2422&amp;""),CHAR(160),"")," ",""),"년","")),SUBSTITUTE(SUBSTITUTE(SUBSTITUTE(TRIM(A2422&amp;""),CHAR(160),"")," ",""),"년",""),""),"")</f>
      </c>
      <c r="I2422" t="str">
        <f>SUBSTITUTE(SUBSTITUTE(SUBSTITUTE(SUBSTITUTE(SUBSTITUTE(TRIM(B2422&amp;""),CHAR(160),"")," ",""),"초등학교","초"),"중학교","중"),"고등학교","고")</f>
      </c>
    </row>
    <row r="2423" customFormat="false" ht="15" hidden="false" customHeight="false" outlineLevel="0" collapsed="false">
      <c r="A2423" s="8"/>
      <c r="B2423" s="8"/>
      <c r="C2423" s="8"/>
      <c r="D2423" s="8"/>
      <c r="E2423" s="8"/>
      <c r="F2423" t="str" s="15">
        <f aca="0">IF(B2423="","",IF(H2423="","확인필요(입력누락)",IF(SUMPRODUCT((실물목록!$P$2:$P$1001&lt;&gt;"")*ISNUMBER(SEARCH(실물목록!$P$2:$P$1001,I2423))*(실물목록!$Q$2:$Q$1001&lt;&gt;"")*ISNUMBER(SEARCH(실물목록!$Q$2:$Q$1001,I2423))*(실물목록!$R$2:$R$1001="")*(실물목록!$O$2:$O$1001&lt;&gt;"")*(실물목록!$O$2:$O$1001=H2423))&gt;0,"실물 있음",IF(SUMPRODUCT((실물목록!$P$2:$P$1001&lt;&gt;"")*ISNUMBER(SEARCH(실물목록!$P$2:$P$1001,I2423))*(실물목록!$R$2:$R$1001&lt;&gt;""))&gt;0,"확인필요(입력누락)",IF(SUMPRODUCT((실물목록!$P$2:$P$1001&lt;&gt;"")*ISNUMBER(SEARCH(실물목록!$P$2:$P$1001,I2423))*(실물목록!$Q$2:$Q$1001&lt;&gt;"")*ISNUMBER(SEARCH(실물목록!$Q$2:$Q$1001,I2423))*(실물목록!$R$2:$R$1001="")*(실물목록!$O$2:$O$1001&lt;&gt;""))&gt;0,"확인필요(연도다름)","실물 없음")))))</f>
      </c>
      <c r="G2423" t="n" s="16">
        <f aca="0">IF(B2423="","",SUMPRODUCT((실물목록!$P$2:$P$1001&lt;&gt;"")*ISNUMBER(SEARCH(실물목록!$P$2:$P$1001,I2423))*(실물목록!$Q$2:$Q$1001&lt;&gt;"")*ISNUMBER(SEARCH(실물목록!$Q$2:$Q$1001,I2423))*(실물목록!$R$2:$R$1001="")*(실물목록!$O$2:$O$1001&lt;&gt;"")*(실물목록!$O$2:$O$1001=H2423)))</f>
      </c>
      <c r="H2423" t="str">
        <f>IFERROR(IF(AND(LEN(SUBSTITUTE(SUBSTITUTE(SUBSTITUTE(TRIM(A2423&amp;""),CHAR(160),"")," ",""),"년",""))=4,VALUE(SUBSTITUTE(SUBSTITUTE(SUBSTITUTE(TRIM(A2423&amp;""),CHAR(160),"")," ",""),"년",""))&gt;=1900,VALUE(SUBSTITUTE(SUBSTITUTE(SUBSTITUTE(TRIM(A2423&amp;""),CHAR(160),"")," ",""),"년",""))&lt;=2099,TEXT(VALUE(SUBSTITUTE(SUBSTITUTE(SUBSTITUTE(TRIM(A2423&amp;""),CHAR(160),"")," ",""),"년","")),"0000")=SUBSTITUTE(SUBSTITUTE(SUBSTITUTE(TRIM(A2423&amp;""),CHAR(160),"")," ",""),"년","")),SUBSTITUTE(SUBSTITUTE(SUBSTITUTE(TRIM(A2423&amp;""),CHAR(160),"")," ",""),"년",""),""),"")</f>
      </c>
      <c r="I2423" t="str">
        <f>SUBSTITUTE(SUBSTITUTE(SUBSTITUTE(SUBSTITUTE(SUBSTITUTE(TRIM(B2423&amp;""),CHAR(160),"")," ",""),"초등학교","초"),"중학교","중"),"고등학교","고")</f>
      </c>
    </row>
    <row r="2424" customFormat="false" ht="15" hidden="false" customHeight="false" outlineLevel="0" collapsed="false">
      <c r="A2424" s="8"/>
      <c r="B2424" s="8"/>
      <c r="C2424" s="8"/>
      <c r="D2424" s="8"/>
      <c r="E2424" s="8"/>
      <c r="F2424" t="str" s="15">
        <f aca="0">IF(B2424="","",IF(H2424="","확인필요(입력누락)",IF(SUMPRODUCT((실물목록!$P$2:$P$1001&lt;&gt;"")*ISNUMBER(SEARCH(실물목록!$P$2:$P$1001,I2424))*(실물목록!$Q$2:$Q$1001&lt;&gt;"")*ISNUMBER(SEARCH(실물목록!$Q$2:$Q$1001,I2424))*(실물목록!$R$2:$R$1001="")*(실물목록!$O$2:$O$1001&lt;&gt;"")*(실물목록!$O$2:$O$1001=H2424))&gt;0,"실물 있음",IF(SUMPRODUCT((실물목록!$P$2:$P$1001&lt;&gt;"")*ISNUMBER(SEARCH(실물목록!$P$2:$P$1001,I2424))*(실물목록!$R$2:$R$1001&lt;&gt;""))&gt;0,"확인필요(입력누락)",IF(SUMPRODUCT((실물목록!$P$2:$P$1001&lt;&gt;"")*ISNUMBER(SEARCH(실물목록!$P$2:$P$1001,I2424))*(실물목록!$Q$2:$Q$1001&lt;&gt;"")*ISNUMBER(SEARCH(실물목록!$Q$2:$Q$1001,I2424))*(실물목록!$R$2:$R$1001="")*(실물목록!$O$2:$O$1001&lt;&gt;""))&gt;0,"확인필요(연도다름)","실물 없음")))))</f>
      </c>
      <c r="G2424" t="n" s="16">
        <f aca="0">IF(B2424="","",SUMPRODUCT((실물목록!$P$2:$P$1001&lt;&gt;"")*ISNUMBER(SEARCH(실물목록!$P$2:$P$1001,I2424))*(실물목록!$Q$2:$Q$1001&lt;&gt;"")*ISNUMBER(SEARCH(실물목록!$Q$2:$Q$1001,I2424))*(실물목록!$R$2:$R$1001="")*(실물목록!$O$2:$O$1001&lt;&gt;"")*(실물목록!$O$2:$O$1001=H2424)))</f>
      </c>
      <c r="H2424" t="str">
        <f>IFERROR(IF(AND(LEN(SUBSTITUTE(SUBSTITUTE(SUBSTITUTE(TRIM(A2424&amp;""),CHAR(160),"")," ",""),"년",""))=4,VALUE(SUBSTITUTE(SUBSTITUTE(SUBSTITUTE(TRIM(A2424&amp;""),CHAR(160),"")," ",""),"년",""))&gt;=1900,VALUE(SUBSTITUTE(SUBSTITUTE(SUBSTITUTE(TRIM(A2424&amp;""),CHAR(160),"")," ",""),"년",""))&lt;=2099,TEXT(VALUE(SUBSTITUTE(SUBSTITUTE(SUBSTITUTE(TRIM(A2424&amp;""),CHAR(160),"")," ",""),"년","")),"0000")=SUBSTITUTE(SUBSTITUTE(SUBSTITUTE(TRIM(A2424&amp;""),CHAR(160),"")," ",""),"년","")),SUBSTITUTE(SUBSTITUTE(SUBSTITUTE(TRIM(A2424&amp;""),CHAR(160),"")," ",""),"년",""),""),"")</f>
      </c>
      <c r="I2424" t="str">
        <f>SUBSTITUTE(SUBSTITUTE(SUBSTITUTE(SUBSTITUTE(SUBSTITUTE(TRIM(B2424&amp;""),CHAR(160),"")," ",""),"초등학교","초"),"중학교","중"),"고등학교","고")</f>
      </c>
    </row>
    <row r="2425" customFormat="false" ht="15" hidden="false" customHeight="false" outlineLevel="0" collapsed="false">
      <c r="A2425" s="8"/>
      <c r="B2425" s="8"/>
      <c r="C2425" s="8"/>
      <c r="D2425" s="8"/>
      <c r="E2425" s="8"/>
      <c r="F2425" t="str" s="15">
        <f aca="0">IF(B2425="","",IF(H2425="","확인필요(입력누락)",IF(SUMPRODUCT((실물목록!$P$2:$P$1001&lt;&gt;"")*ISNUMBER(SEARCH(실물목록!$P$2:$P$1001,I2425))*(실물목록!$Q$2:$Q$1001&lt;&gt;"")*ISNUMBER(SEARCH(실물목록!$Q$2:$Q$1001,I2425))*(실물목록!$R$2:$R$1001="")*(실물목록!$O$2:$O$1001&lt;&gt;"")*(실물목록!$O$2:$O$1001=H2425))&gt;0,"실물 있음",IF(SUMPRODUCT((실물목록!$P$2:$P$1001&lt;&gt;"")*ISNUMBER(SEARCH(실물목록!$P$2:$P$1001,I2425))*(실물목록!$R$2:$R$1001&lt;&gt;""))&gt;0,"확인필요(입력누락)",IF(SUMPRODUCT((실물목록!$P$2:$P$1001&lt;&gt;"")*ISNUMBER(SEARCH(실물목록!$P$2:$P$1001,I2425))*(실물목록!$Q$2:$Q$1001&lt;&gt;"")*ISNUMBER(SEARCH(실물목록!$Q$2:$Q$1001,I2425))*(실물목록!$R$2:$R$1001="")*(실물목록!$O$2:$O$1001&lt;&gt;""))&gt;0,"확인필요(연도다름)","실물 없음")))))</f>
      </c>
      <c r="G2425" t="n" s="16">
        <f aca="0">IF(B2425="","",SUMPRODUCT((실물목록!$P$2:$P$1001&lt;&gt;"")*ISNUMBER(SEARCH(실물목록!$P$2:$P$1001,I2425))*(실물목록!$Q$2:$Q$1001&lt;&gt;"")*ISNUMBER(SEARCH(실물목록!$Q$2:$Q$1001,I2425))*(실물목록!$R$2:$R$1001="")*(실물목록!$O$2:$O$1001&lt;&gt;"")*(실물목록!$O$2:$O$1001=H2425)))</f>
      </c>
      <c r="H2425" t="str">
        <f>IFERROR(IF(AND(LEN(SUBSTITUTE(SUBSTITUTE(SUBSTITUTE(TRIM(A2425&amp;""),CHAR(160),"")," ",""),"년",""))=4,VALUE(SUBSTITUTE(SUBSTITUTE(SUBSTITUTE(TRIM(A2425&amp;""),CHAR(160),"")," ",""),"년",""))&gt;=1900,VALUE(SUBSTITUTE(SUBSTITUTE(SUBSTITUTE(TRIM(A2425&amp;""),CHAR(160),"")," ",""),"년",""))&lt;=2099,TEXT(VALUE(SUBSTITUTE(SUBSTITUTE(SUBSTITUTE(TRIM(A2425&amp;""),CHAR(160),"")," ",""),"년","")),"0000")=SUBSTITUTE(SUBSTITUTE(SUBSTITUTE(TRIM(A2425&amp;""),CHAR(160),"")," ",""),"년","")),SUBSTITUTE(SUBSTITUTE(SUBSTITUTE(TRIM(A2425&amp;""),CHAR(160),"")," ",""),"년",""),""),"")</f>
      </c>
      <c r="I2425" t="str">
        <f>SUBSTITUTE(SUBSTITUTE(SUBSTITUTE(SUBSTITUTE(SUBSTITUTE(TRIM(B2425&amp;""),CHAR(160),"")," ",""),"초등학교","초"),"중학교","중"),"고등학교","고")</f>
      </c>
    </row>
    <row r="2426" customFormat="false" ht="15" hidden="false" customHeight="false" outlineLevel="0" collapsed="false">
      <c r="A2426" s="8"/>
      <c r="B2426" s="8"/>
      <c r="C2426" s="8"/>
      <c r="D2426" s="8"/>
      <c r="E2426" s="8"/>
      <c r="F2426" t="str" s="15">
        <f aca="0">IF(B2426="","",IF(H2426="","확인필요(입력누락)",IF(SUMPRODUCT((실물목록!$P$2:$P$1001&lt;&gt;"")*ISNUMBER(SEARCH(실물목록!$P$2:$P$1001,I2426))*(실물목록!$Q$2:$Q$1001&lt;&gt;"")*ISNUMBER(SEARCH(실물목록!$Q$2:$Q$1001,I2426))*(실물목록!$R$2:$R$1001="")*(실물목록!$O$2:$O$1001&lt;&gt;"")*(실물목록!$O$2:$O$1001=H2426))&gt;0,"실물 있음",IF(SUMPRODUCT((실물목록!$P$2:$P$1001&lt;&gt;"")*ISNUMBER(SEARCH(실물목록!$P$2:$P$1001,I2426))*(실물목록!$R$2:$R$1001&lt;&gt;""))&gt;0,"확인필요(입력누락)",IF(SUMPRODUCT((실물목록!$P$2:$P$1001&lt;&gt;"")*ISNUMBER(SEARCH(실물목록!$P$2:$P$1001,I2426))*(실물목록!$Q$2:$Q$1001&lt;&gt;"")*ISNUMBER(SEARCH(실물목록!$Q$2:$Q$1001,I2426))*(실물목록!$R$2:$R$1001="")*(실물목록!$O$2:$O$1001&lt;&gt;""))&gt;0,"확인필요(연도다름)","실물 없음")))))</f>
      </c>
      <c r="G2426" t="n" s="16">
        <f aca="0">IF(B2426="","",SUMPRODUCT((실물목록!$P$2:$P$1001&lt;&gt;"")*ISNUMBER(SEARCH(실물목록!$P$2:$P$1001,I2426))*(실물목록!$Q$2:$Q$1001&lt;&gt;"")*ISNUMBER(SEARCH(실물목록!$Q$2:$Q$1001,I2426))*(실물목록!$R$2:$R$1001="")*(실물목록!$O$2:$O$1001&lt;&gt;"")*(실물목록!$O$2:$O$1001=H2426)))</f>
      </c>
      <c r="H2426" t="str">
        <f>IFERROR(IF(AND(LEN(SUBSTITUTE(SUBSTITUTE(SUBSTITUTE(TRIM(A2426&amp;""),CHAR(160),"")," ",""),"년",""))=4,VALUE(SUBSTITUTE(SUBSTITUTE(SUBSTITUTE(TRIM(A2426&amp;""),CHAR(160),"")," ",""),"년",""))&gt;=1900,VALUE(SUBSTITUTE(SUBSTITUTE(SUBSTITUTE(TRIM(A2426&amp;""),CHAR(160),"")," ",""),"년",""))&lt;=2099,TEXT(VALUE(SUBSTITUTE(SUBSTITUTE(SUBSTITUTE(TRIM(A2426&amp;""),CHAR(160),"")," ",""),"년","")),"0000")=SUBSTITUTE(SUBSTITUTE(SUBSTITUTE(TRIM(A2426&amp;""),CHAR(160),"")," ",""),"년","")),SUBSTITUTE(SUBSTITUTE(SUBSTITUTE(TRIM(A2426&amp;""),CHAR(160),"")," ",""),"년",""),""),"")</f>
      </c>
      <c r="I2426" t="str">
        <f>SUBSTITUTE(SUBSTITUTE(SUBSTITUTE(SUBSTITUTE(SUBSTITUTE(TRIM(B2426&amp;""),CHAR(160),"")," ",""),"초등학교","초"),"중학교","중"),"고등학교","고")</f>
      </c>
    </row>
    <row r="2427" customFormat="false" ht="15" hidden="false" customHeight="false" outlineLevel="0" collapsed="false">
      <c r="A2427" s="8"/>
      <c r="B2427" s="8"/>
      <c r="C2427" s="8"/>
      <c r="D2427" s="8"/>
      <c r="E2427" s="8"/>
      <c r="F2427" t="str" s="15">
        <f aca="0">IF(B2427="","",IF(H2427="","확인필요(입력누락)",IF(SUMPRODUCT((실물목록!$P$2:$P$1001&lt;&gt;"")*ISNUMBER(SEARCH(실물목록!$P$2:$P$1001,I2427))*(실물목록!$Q$2:$Q$1001&lt;&gt;"")*ISNUMBER(SEARCH(실물목록!$Q$2:$Q$1001,I2427))*(실물목록!$R$2:$R$1001="")*(실물목록!$O$2:$O$1001&lt;&gt;"")*(실물목록!$O$2:$O$1001=H2427))&gt;0,"실물 있음",IF(SUMPRODUCT((실물목록!$P$2:$P$1001&lt;&gt;"")*ISNUMBER(SEARCH(실물목록!$P$2:$P$1001,I2427))*(실물목록!$R$2:$R$1001&lt;&gt;""))&gt;0,"확인필요(입력누락)",IF(SUMPRODUCT((실물목록!$P$2:$P$1001&lt;&gt;"")*ISNUMBER(SEARCH(실물목록!$P$2:$P$1001,I2427))*(실물목록!$Q$2:$Q$1001&lt;&gt;"")*ISNUMBER(SEARCH(실물목록!$Q$2:$Q$1001,I2427))*(실물목록!$R$2:$R$1001="")*(실물목록!$O$2:$O$1001&lt;&gt;""))&gt;0,"확인필요(연도다름)","실물 없음")))))</f>
      </c>
      <c r="G2427" t="n" s="16">
        <f aca="0">IF(B2427="","",SUMPRODUCT((실물목록!$P$2:$P$1001&lt;&gt;"")*ISNUMBER(SEARCH(실물목록!$P$2:$P$1001,I2427))*(실물목록!$Q$2:$Q$1001&lt;&gt;"")*ISNUMBER(SEARCH(실물목록!$Q$2:$Q$1001,I2427))*(실물목록!$R$2:$R$1001="")*(실물목록!$O$2:$O$1001&lt;&gt;"")*(실물목록!$O$2:$O$1001=H2427)))</f>
      </c>
      <c r="H2427" t="str">
        <f>IFERROR(IF(AND(LEN(SUBSTITUTE(SUBSTITUTE(SUBSTITUTE(TRIM(A2427&amp;""),CHAR(160),"")," ",""),"년",""))=4,VALUE(SUBSTITUTE(SUBSTITUTE(SUBSTITUTE(TRIM(A2427&amp;""),CHAR(160),"")," ",""),"년",""))&gt;=1900,VALUE(SUBSTITUTE(SUBSTITUTE(SUBSTITUTE(TRIM(A2427&amp;""),CHAR(160),"")," ",""),"년",""))&lt;=2099,TEXT(VALUE(SUBSTITUTE(SUBSTITUTE(SUBSTITUTE(TRIM(A2427&amp;""),CHAR(160),"")," ",""),"년","")),"0000")=SUBSTITUTE(SUBSTITUTE(SUBSTITUTE(TRIM(A2427&amp;""),CHAR(160),"")," ",""),"년","")),SUBSTITUTE(SUBSTITUTE(SUBSTITUTE(TRIM(A2427&amp;""),CHAR(160),"")," ",""),"년",""),""),"")</f>
      </c>
      <c r="I2427" t="str">
        <f>SUBSTITUTE(SUBSTITUTE(SUBSTITUTE(SUBSTITUTE(SUBSTITUTE(TRIM(B2427&amp;""),CHAR(160),"")," ",""),"초등학교","초"),"중학교","중"),"고등학교","고")</f>
      </c>
    </row>
    <row r="2428" customFormat="false" ht="15" hidden="false" customHeight="false" outlineLevel="0" collapsed="false">
      <c r="A2428" s="8"/>
      <c r="B2428" s="8"/>
      <c r="C2428" s="8"/>
      <c r="D2428" s="8"/>
      <c r="E2428" s="8"/>
      <c r="F2428" t="str" s="15">
        <f aca="0">IF(B2428="","",IF(H2428="","확인필요(입력누락)",IF(SUMPRODUCT((실물목록!$P$2:$P$1001&lt;&gt;"")*ISNUMBER(SEARCH(실물목록!$P$2:$P$1001,I2428))*(실물목록!$Q$2:$Q$1001&lt;&gt;"")*ISNUMBER(SEARCH(실물목록!$Q$2:$Q$1001,I2428))*(실물목록!$R$2:$R$1001="")*(실물목록!$O$2:$O$1001&lt;&gt;"")*(실물목록!$O$2:$O$1001=H2428))&gt;0,"실물 있음",IF(SUMPRODUCT((실물목록!$P$2:$P$1001&lt;&gt;"")*ISNUMBER(SEARCH(실물목록!$P$2:$P$1001,I2428))*(실물목록!$R$2:$R$1001&lt;&gt;""))&gt;0,"확인필요(입력누락)",IF(SUMPRODUCT((실물목록!$P$2:$P$1001&lt;&gt;"")*ISNUMBER(SEARCH(실물목록!$P$2:$P$1001,I2428))*(실물목록!$Q$2:$Q$1001&lt;&gt;"")*ISNUMBER(SEARCH(실물목록!$Q$2:$Q$1001,I2428))*(실물목록!$R$2:$R$1001="")*(실물목록!$O$2:$O$1001&lt;&gt;""))&gt;0,"확인필요(연도다름)","실물 없음")))))</f>
      </c>
      <c r="G2428" t="n" s="16">
        <f aca="0">IF(B2428="","",SUMPRODUCT((실물목록!$P$2:$P$1001&lt;&gt;"")*ISNUMBER(SEARCH(실물목록!$P$2:$P$1001,I2428))*(실물목록!$Q$2:$Q$1001&lt;&gt;"")*ISNUMBER(SEARCH(실물목록!$Q$2:$Q$1001,I2428))*(실물목록!$R$2:$R$1001="")*(실물목록!$O$2:$O$1001&lt;&gt;"")*(실물목록!$O$2:$O$1001=H2428)))</f>
      </c>
      <c r="H2428" t="str">
        <f>IFERROR(IF(AND(LEN(SUBSTITUTE(SUBSTITUTE(SUBSTITUTE(TRIM(A2428&amp;""),CHAR(160),"")," ",""),"년",""))=4,VALUE(SUBSTITUTE(SUBSTITUTE(SUBSTITUTE(TRIM(A2428&amp;""),CHAR(160),"")," ",""),"년",""))&gt;=1900,VALUE(SUBSTITUTE(SUBSTITUTE(SUBSTITUTE(TRIM(A2428&amp;""),CHAR(160),"")," ",""),"년",""))&lt;=2099,TEXT(VALUE(SUBSTITUTE(SUBSTITUTE(SUBSTITUTE(TRIM(A2428&amp;""),CHAR(160),"")," ",""),"년","")),"0000")=SUBSTITUTE(SUBSTITUTE(SUBSTITUTE(TRIM(A2428&amp;""),CHAR(160),"")," ",""),"년","")),SUBSTITUTE(SUBSTITUTE(SUBSTITUTE(TRIM(A2428&amp;""),CHAR(160),"")," ",""),"년",""),""),"")</f>
      </c>
      <c r="I2428" t="str">
        <f>SUBSTITUTE(SUBSTITUTE(SUBSTITUTE(SUBSTITUTE(SUBSTITUTE(TRIM(B2428&amp;""),CHAR(160),"")," ",""),"초등학교","초"),"중학교","중"),"고등학교","고")</f>
      </c>
    </row>
    <row r="2429" customFormat="false" ht="15" hidden="false" customHeight="false" outlineLevel="0" collapsed="false">
      <c r="A2429" s="8"/>
      <c r="B2429" s="8"/>
      <c r="C2429" s="8"/>
      <c r="D2429" s="8"/>
      <c r="E2429" s="8"/>
      <c r="F2429" t="str" s="15">
        <f aca="0">IF(B2429="","",IF(H2429="","확인필요(입력누락)",IF(SUMPRODUCT((실물목록!$P$2:$P$1001&lt;&gt;"")*ISNUMBER(SEARCH(실물목록!$P$2:$P$1001,I2429))*(실물목록!$Q$2:$Q$1001&lt;&gt;"")*ISNUMBER(SEARCH(실물목록!$Q$2:$Q$1001,I2429))*(실물목록!$R$2:$R$1001="")*(실물목록!$O$2:$O$1001&lt;&gt;"")*(실물목록!$O$2:$O$1001=H2429))&gt;0,"실물 있음",IF(SUMPRODUCT((실물목록!$P$2:$P$1001&lt;&gt;"")*ISNUMBER(SEARCH(실물목록!$P$2:$P$1001,I2429))*(실물목록!$R$2:$R$1001&lt;&gt;""))&gt;0,"확인필요(입력누락)",IF(SUMPRODUCT((실물목록!$P$2:$P$1001&lt;&gt;"")*ISNUMBER(SEARCH(실물목록!$P$2:$P$1001,I2429))*(실물목록!$Q$2:$Q$1001&lt;&gt;"")*ISNUMBER(SEARCH(실물목록!$Q$2:$Q$1001,I2429))*(실물목록!$R$2:$R$1001="")*(실물목록!$O$2:$O$1001&lt;&gt;""))&gt;0,"확인필요(연도다름)","실물 없음")))))</f>
      </c>
      <c r="G2429" t="n" s="16">
        <f aca="0">IF(B2429="","",SUMPRODUCT((실물목록!$P$2:$P$1001&lt;&gt;"")*ISNUMBER(SEARCH(실물목록!$P$2:$P$1001,I2429))*(실물목록!$Q$2:$Q$1001&lt;&gt;"")*ISNUMBER(SEARCH(실물목록!$Q$2:$Q$1001,I2429))*(실물목록!$R$2:$R$1001="")*(실물목록!$O$2:$O$1001&lt;&gt;"")*(실물목록!$O$2:$O$1001=H2429)))</f>
      </c>
      <c r="H2429" t="str">
        <f>IFERROR(IF(AND(LEN(SUBSTITUTE(SUBSTITUTE(SUBSTITUTE(TRIM(A2429&amp;""),CHAR(160),"")," ",""),"년",""))=4,VALUE(SUBSTITUTE(SUBSTITUTE(SUBSTITUTE(TRIM(A2429&amp;""),CHAR(160),"")," ",""),"년",""))&gt;=1900,VALUE(SUBSTITUTE(SUBSTITUTE(SUBSTITUTE(TRIM(A2429&amp;""),CHAR(160),"")," ",""),"년",""))&lt;=2099,TEXT(VALUE(SUBSTITUTE(SUBSTITUTE(SUBSTITUTE(TRIM(A2429&amp;""),CHAR(160),"")," ",""),"년","")),"0000")=SUBSTITUTE(SUBSTITUTE(SUBSTITUTE(TRIM(A2429&amp;""),CHAR(160),"")," ",""),"년","")),SUBSTITUTE(SUBSTITUTE(SUBSTITUTE(TRIM(A2429&amp;""),CHAR(160),"")," ",""),"년",""),""),"")</f>
      </c>
      <c r="I2429" t="str">
        <f>SUBSTITUTE(SUBSTITUTE(SUBSTITUTE(SUBSTITUTE(SUBSTITUTE(TRIM(B2429&amp;""),CHAR(160),"")," ",""),"초등학교","초"),"중학교","중"),"고등학교","고")</f>
      </c>
    </row>
    <row r="2430" customFormat="false" ht="15" hidden="false" customHeight="false" outlineLevel="0" collapsed="false">
      <c r="A2430" s="8"/>
      <c r="B2430" s="8"/>
      <c r="C2430" s="8"/>
      <c r="D2430" s="8"/>
      <c r="E2430" s="8"/>
      <c r="F2430" t="str" s="15">
        <f aca="0">IF(B2430="","",IF(H2430="","확인필요(입력누락)",IF(SUMPRODUCT((실물목록!$P$2:$P$1001&lt;&gt;"")*ISNUMBER(SEARCH(실물목록!$P$2:$P$1001,I2430))*(실물목록!$Q$2:$Q$1001&lt;&gt;"")*ISNUMBER(SEARCH(실물목록!$Q$2:$Q$1001,I2430))*(실물목록!$R$2:$R$1001="")*(실물목록!$O$2:$O$1001&lt;&gt;"")*(실물목록!$O$2:$O$1001=H2430))&gt;0,"실물 있음",IF(SUMPRODUCT((실물목록!$P$2:$P$1001&lt;&gt;"")*ISNUMBER(SEARCH(실물목록!$P$2:$P$1001,I2430))*(실물목록!$R$2:$R$1001&lt;&gt;""))&gt;0,"확인필요(입력누락)",IF(SUMPRODUCT((실물목록!$P$2:$P$1001&lt;&gt;"")*ISNUMBER(SEARCH(실물목록!$P$2:$P$1001,I2430))*(실물목록!$Q$2:$Q$1001&lt;&gt;"")*ISNUMBER(SEARCH(실물목록!$Q$2:$Q$1001,I2430))*(실물목록!$R$2:$R$1001="")*(실물목록!$O$2:$O$1001&lt;&gt;""))&gt;0,"확인필요(연도다름)","실물 없음")))))</f>
      </c>
      <c r="G2430" t="n" s="16">
        <f aca="0">IF(B2430="","",SUMPRODUCT((실물목록!$P$2:$P$1001&lt;&gt;"")*ISNUMBER(SEARCH(실물목록!$P$2:$P$1001,I2430))*(실물목록!$Q$2:$Q$1001&lt;&gt;"")*ISNUMBER(SEARCH(실물목록!$Q$2:$Q$1001,I2430))*(실물목록!$R$2:$R$1001="")*(실물목록!$O$2:$O$1001&lt;&gt;"")*(실물목록!$O$2:$O$1001=H2430)))</f>
      </c>
      <c r="H2430" t="str">
        <f>IFERROR(IF(AND(LEN(SUBSTITUTE(SUBSTITUTE(SUBSTITUTE(TRIM(A2430&amp;""),CHAR(160),"")," ",""),"년",""))=4,VALUE(SUBSTITUTE(SUBSTITUTE(SUBSTITUTE(TRIM(A2430&amp;""),CHAR(160),"")," ",""),"년",""))&gt;=1900,VALUE(SUBSTITUTE(SUBSTITUTE(SUBSTITUTE(TRIM(A2430&amp;""),CHAR(160),"")," ",""),"년",""))&lt;=2099,TEXT(VALUE(SUBSTITUTE(SUBSTITUTE(SUBSTITUTE(TRIM(A2430&amp;""),CHAR(160),"")," ",""),"년","")),"0000")=SUBSTITUTE(SUBSTITUTE(SUBSTITUTE(TRIM(A2430&amp;""),CHAR(160),"")," ",""),"년","")),SUBSTITUTE(SUBSTITUTE(SUBSTITUTE(TRIM(A2430&amp;""),CHAR(160),"")," ",""),"년",""),""),"")</f>
      </c>
      <c r="I2430" t="str">
        <f>SUBSTITUTE(SUBSTITUTE(SUBSTITUTE(SUBSTITUTE(SUBSTITUTE(TRIM(B2430&amp;""),CHAR(160),"")," ",""),"초등학교","초"),"중학교","중"),"고등학교","고")</f>
      </c>
    </row>
    <row r="2431" customFormat="false" ht="15" hidden="false" customHeight="false" outlineLevel="0" collapsed="false">
      <c r="A2431" s="8"/>
      <c r="B2431" s="8"/>
      <c r="C2431" s="8"/>
      <c r="D2431" s="8"/>
      <c r="E2431" s="8"/>
      <c r="F2431" t="str" s="15">
        <f aca="0">IF(B2431="","",IF(H2431="","확인필요(입력누락)",IF(SUMPRODUCT((실물목록!$P$2:$P$1001&lt;&gt;"")*ISNUMBER(SEARCH(실물목록!$P$2:$P$1001,I2431))*(실물목록!$Q$2:$Q$1001&lt;&gt;"")*ISNUMBER(SEARCH(실물목록!$Q$2:$Q$1001,I2431))*(실물목록!$R$2:$R$1001="")*(실물목록!$O$2:$O$1001&lt;&gt;"")*(실물목록!$O$2:$O$1001=H2431))&gt;0,"실물 있음",IF(SUMPRODUCT((실물목록!$P$2:$P$1001&lt;&gt;"")*ISNUMBER(SEARCH(실물목록!$P$2:$P$1001,I2431))*(실물목록!$R$2:$R$1001&lt;&gt;""))&gt;0,"확인필요(입력누락)",IF(SUMPRODUCT((실물목록!$P$2:$P$1001&lt;&gt;"")*ISNUMBER(SEARCH(실물목록!$P$2:$P$1001,I2431))*(실물목록!$Q$2:$Q$1001&lt;&gt;"")*ISNUMBER(SEARCH(실물목록!$Q$2:$Q$1001,I2431))*(실물목록!$R$2:$R$1001="")*(실물목록!$O$2:$O$1001&lt;&gt;""))&gt;0,"확인필요(연도다름)","실물 없음")))))</f>
      </c>
      <c r="G2431" t="n" s="16">
        <f aca="0">IF(B2431="","",SUMPRODUCT((실물목록!$P$2:$P$1001&lt;&gt;"")*ISNUMBER(SEARCH(실물목록!$P$2:$P$1001,I2431))*(실물목록!$Q$2:$Q$1001&lt;&gt;"")*ISNUMBER(SEARCH(실물목록!$Q$2:$Q$1001,I2431))*(실물목록!$R$2:$R$1001="")*(실물목록!$O$2:$O$1001&lt;&gt;"")*(실물목록!$O$2:$O$1001=H2431)))</f>
      </c>
      <c r="H2431" t="str">
        <f>IFERROR(IF(AND(LEN(SUBSTITUTE(SUBSTITUTE(SUBSTITUTE(TRIM(A2431&amp;""),CHAR(160),"")," ",""),"년",""))=4,VALUE(SUBSTITUTE(SUBSTITUTE(SUBSTITUTE(TRIM(A2431&amp;""),CHAR(160),"")," ",""),"년",""))&gt;=1900,VALUE(SUBSTITUTE(SUBSTITUTE(SUBSTITUTE(TRIM(A2431&amp;""),CHAR(160),"")," ",""),"년",""))&lt;=2099,TEXT(VALUE(SUBSTITUTE(SUBSTITUTE(SUBSTITUTE(TRIM(A2431&amp;""),CHAR(160),"")," ",""),"년","")),"0000")=SUBSTITUTE(SUBSTITUTE(SUBSTITUTE(TRIM(A2431&amp;""),CHAR(160),"")," ",""),"년","")),SUBSTITUTE(SUBSTITUTE(SUBSTITUTE(TRIM(A2431&amp;""),CHAR(160),"")," ",""),"년",""),""),"")</f>
      </c>
      <c r="I2431" t="str">
        <f>SUBSTITUTE(SUBSTITUTE(SUBSTITUTE(SUBSTITUTE(SUBSTITUTE(TRIM(B2431&amp;""),CHAR(160),"")," ",""),"초등학교","초"),"중학교","중"),"고등학교","고")</f>
      </c>
    </row>
    <row r="2432" customFormat="false" ht="15" hidden="false" customHeight="false" outlineLevel="0" collapsed="false">
      <c r="A2432" s="8"/>
      <c r="B2432" s="8"/>
      <c r="C2432" s="8"/>
      <c r="D2432" s="8"/>
      <c r="E2432" s="8"/>
      <c r="F2432" t="str" s="15">
        <f aca="0">IF(B2432="","",IF(H2432="","확인필요(입력누락)",IF(SUMPRODUCT((실물목록!$P$2:$P$1001&lt;&gt;"")*ISNUMBER(SEARCH(실물목록!$P$2:$P$1001,I2432))*(실물목록!$Q$2:$Q$1001&lt;&gt;"")*ISNUMBER(SEARCH(실물목록!$Q$2:$Q$1001,I2432))*(실물목록!$R$2:$R$1001="")*(실물목록!$O$2:$O$1001&lt;&gt;"")*(실물목록!$O$2:$O$1001=H2432))&gt;0,"실물 있음",IF(SUMPRODUCT((실물목록!$P$2:$P$1001&lt;&gt;"")*ISNUMBER(SEARCH(실물목록!$P$2:$P$1001,I2432))*(실물목록!$R$2:$R$1001&lt;&gt;""))&gt;0,"확인필요(입력누락)",IF(SUMPRODUCT((실물목록!$P$2:$P$1001&lt;&gt;"")*ISNUMBER(SEARCH(실물목록!$P$2:$P$1001,I2432))*(실물목록!$Q$2:$Q$1001&lt;&gt;"")*ISNUMBER(SEARCH(실물목록!$Q$2:$Q$1001,I2432))*(실물목록!$R$2:$R$1001="")*(실물목록!$O$2:$O$1001&lt;&gt;""))&gt;0,"확인필요(연도다름)","실물 없음")))))</f>
      </c>
      <c r="G2432" t="n" s="16">
        <f aca="0">IF(B2432="","",SUMPRODUCT((실물목록!$P$2:$P$1001&lt;&gt;"")*ISNUMBER(SEARCH(실물목록!$P$2:$P$1001,I2432))*(실물목록!$Q$2:$Q$1001&lt;&gt;"")*ISNUMBER(SEARCH(실물목록!$Q$2:$Q$1001,I2432))*(실물목록!$R$2:$R$1001="")*(실물목록!$O$2:$O$1001&lt;&gt;"")*(실물목록!$O$2:$O$1001=H2432)))</f>
      </c>
      <c r="H2432" t="str">
        <f>IFERROR(IF(AND(LEN(SUBSTITUTE(SUBSTITUTE(SUBSTITUTE(TRIM(A2432&amp;""),CHAR(160),"")," ",""),"년",""))=4,VALUE(SUBSTITUTE(SUBSTITUTE(SUBSTITUTE(TRIM(A2432&amp;""),CHAR(160),"")," ",""),"년",""))&gt;=1900,VALUE(SUBSTITUTE(SUBSTITUTE(SUBSTITUTE(TRIM(A2432&amp;""),CHAR(160),"")," ",""),"년",""))&lt;=2099,TEXT(VALUE(SUBSTITUTE(SUBSTITUTE(SUBSTITUTE(TRIM(A2432&amp;""),CHAR(160),"")," ",""),"년","")),"0000")=SUBSTITUTE(SUBSTITUTE(SUBSTITUTE(TRIM(A2432&amp;""),CHAR(160),"")," ",""),"년","")),SUBSTITUTE(SUBSTITUTE(SUBSTITUTE(TRIM(A2432&amp;""),CHAR(160),"")," ",""),"년",""),""),"")</f>
      </c>
      <c r="I2432" t="str">
        <f>SUBSTITUTE(SUBSTITUTE(SUBSTITUTE(SUBSTITUTE(SUBSTITUTE(TRIM(B2432&amp;""),CHAR(160),"")," ",""),"초등학교","초"),"중학교","중"),"고등학교","고")</f>
      </c>
    </row>
    <row r="2433" customFormat="false" ht="15" hidden="false" customHeight="false" outlineLevel="0" collapsed="false">
      <c r="A2433" s="8"/>
      <c r="B2433" s="8"/>
      <c r="C2433" s="8"/>
      <c r="D2433" s="8"/>
      <c r="E2433" s="8"/>
      <c r="F2433" t="str" s="15">
        <f aca="0">IF(B2433="","",IF(H2433="","확인필요(입력누락)",IF(SUMPRODUCT((실물목록!$P$2:$P$1001&lt;&gt;"")*ISNUMBER(SEARCH(실물목록!$P$2:$P$1001,I2433))*(실물목록!$Q$2:$Q$1001&lt;&gt;"")*ISNUMBER(SEARCH(실물목록!$Q$2:$Q$1001,I2433))*(실물목록!$R$2:$R$1001="")*(실물목록!$O$2:$O$1001&lt;&gt;"")*(실물목록!$O$2:$O$1001=H2433))&gt;0,"실물 있음",IF(SUMPRODUCT((실물목록!$P$2:$P$1001&lt;&gt;"")*ISNUMBER(SEARCH(실물목록!$P$2:$P$1001,I2433))*(실물목록!$R$2:$R$1001&lt;&gt;""))&gt;0,"확인필요(입력누락)",IF(SUMPRODUCT((실물목록!$P$2:$P$1001&lt;&gt;"")*ISNUMBER(SEARCH(실물목록!$P$2:$P$1001,I2433))*(실물목록!$Q$2:$Q$1001&lt;&gt;"")*ISNUMBER(SEARCH(실물목록!$Q$2:$Q$1001,I2433))*(실물목록!$R$2:$R$1001="")*(실물목록!$O$2:$O$1001&lt;&gt;""))&gt;0,"확인필요(연도다름)","실물 없음")))))</f>
      </c>
      <c r="G2433" t="n" s="16">
        <f aca="0">IF(B2433="","",SUMPRODUCT((실물목록!$P$2:$P$1001&lt;&gt;"")*ISNUMBER(SEARCH(실물목록!$P$2:$P$1001,I2433))*(실물목록!$Q$2:$Q$1001&lt;&gt;"")*ISNUMBER(SEARCH(실물목록!$Q$2:$Q$1001,I2433))*(실물목록!$R$2:$R$1001="")*(실물목록!$O$2:$O$1001&lt;&gt;"")*(실물목록!$O$2:$O$1001=H2433)))</f>
      </c>
      <c r="H2433" t="str">
        <f>IFERROR(IF(AND(LEN(SUBSTITUTE(SUBSTITUTE(SUBSTITUTE(TRIM(A2433&amp;""),CHAR(160),"")," ",""),"년",""))=4,VALUE(SUBSTITUTE(SUBSTITUTE(SUBSTITUTE(TRIM(A2433&amp;""),CHAR(160),"")," ",""),"년",""))&gt;=1900,VALUE(SUBSTITUTE(SUBSTITUTE(SUBSTITUTE(TRIM(A2433&amp;""),CHAR(160),"")," ",""),"년",""))&lt;=2099,TEXT(VALUE(SUBSTITUTE(SUBSTITUTE(SUBSTITUTE(TRIM(A2433&amp;""),CHAR(160),"")," ",""),"년","")),"0000")=SUBSTITUTE(SUBSTITUTE(SUBSTITUTE(TRIM(A2433&amp;""),CHAR(160),"")," ",""),"년","")),SUBSTITUTE(SUBSTITUTE(SUBSTITUTE(TRIM(A2433&amp;""),CHAR(160),"")," ",""),"년",""),""),"")</f>
      </c>
      <c r="I2433" t="str">
        <f>SUBSTITUTE(SUBSTITUTE(SUBSTITUTE(SUBSTITUTE(SUBSTITUTE(TRIM(B2433&amp;""),CHAR(160),"")," ",""),"초등학교","초"),"중학교","중"),"고등학교","고")</f>
      </c>
    </row>
    <row r="2434" customFormat="false" ht="15" hidden="false" customHeight="false" outlineLevel="0" collapsed="false">
      <c r="A2434" s="8"/>
      <c r="B2434" s="8"/>
      <c r="C2434" s="8"/>
      <c r="D2434" s="8"/>
      <c r="E2434" s="8"/>
      <c r="F2434" t="str" s="15">
        <f aca="0">IF(B2434="","",IF(H2434="","확인필요(입력누락)",IF(SUMPRODUCT((실물목록!$P$2:$P$1001&lt;&gt;"")*ISNUMBER(SEARCH(실물목록!$P$2:$P$1001,I2434))*(실물목록!$Q$2:$Q$1001&lt;&gt;"")*ISNUMBER(SEARCH(실물목록!$Q$2:$Q$1001,I2434))*(실물목록!$R$2:$R$1001="")*(실물목록!$O$2:$O$1001&lt;&gt;"")*(실물목록!$O$2:$O$1001=H2434))&gt;0,"실물 있음",IF(SUMPRODUCT((실물목록!$P$2:$P$1001&lt;&gt;"")*ISNUMBER(SEARCH(실물목록!$P$2:$P$1001,I2434))*(실물목록!$R$2:$R$1001&lt;&gt;""))&gt;0,"확인필요(입력누락)",IF(SUMPRODUCT((실물목록!$P$2:$P$1001&lt;&gt;"")*ISNUMBER(SEARCH(실물목록!$P$2:$P$1001,I2434))*(실물목록!$Q$2:$Q$1001&lt;&gt;"")*ISNUMBER(SEARCH(실물목록!$Q$2:$Q$1001,I2434))*(실물목록!$R$2:$R$1001="")*(실물목록!$O$2:$O$1001&lt;&gt;""))&gt;0,"확인필요(연도다름)","실물 없음")))))</f>
      </c>
      <c r="G2434" t="n" s="16">
        <f aca="0">IF(B2434="","",SUMPRODUCT((실물목록!$P$2:$P$1001&lt;&gt;"")*ISNUMBER(SEARCH(실물목록!$P$2:$P$1001,I2434))*(실물목록!$Q$2:$Q$1001&lt;&gt;"")*ISNUMBER(SEARCH(실물목록!$Q$2:$Q$1001,I2434))*(실물목록!$R$2:$R$1001="")*(실물목록!$O$2:$O$1001&lt;&gt;"")*(실물목록!$O$2:$O$1001=H2434)))</f>
      </c>
      <c r="H2434" t="str">
        <f>IFERROR(IF(AND(LEN(SUBSTITUTE(SUBSTITUTE(SUBSTITUTE(TRIM(A2434&amp;""),CHAR(160),"")," ",""),"년",""))=4,VALUE(SUBSTITUTE(SUBSTITUTE(SUBSTITUTE(TRIM(A2434&amp;""),CHAR(160),"")," ",""),"년",""))&gt;=1900,VALUE(SUBSTITUTE(SUBSTITUTE(SUBSTITUTE(TRIM(A2434&amp;""),CHAR(160),"")," ",""),"년",""))&lt;=2099,TEXT(VALUE(SUBSTITUTE(SUBSTITUTE(SUBSTITUTE(TRIM(A2434&amp;""),CHAR(160),"")," ",""),"년","")),"0000")=SUBSTITUTE(SUBSTITUTE(SUBSTITUTE(TRIM(A2434&amp;""),CHAR(160),"")," ",""),"년","")),SUBSTITUTE(SUBSTITUTE(SUBSTITUTE(TRIM(A2434&amp;""),CHAR(160),"")," ",""),"년",""),""),"")</f>
      </c>
      <c r="I2434" t="str">
        <f>SUBSTITUTE(SUBSTITUTE(SUBSTITUTE(SUBSTITUTE(SUBSTITUTE(TRIM(B2434&amp;""),CHAR(160),"")," ",""),"초등학교","초"),"중학교","중"),"고등학교","고")</f>
      </c>
    </row>
    <row r="2435" customFormat="false" ht="15" hidden="false" customHeight="false" outlineLevel="0" collapsed="false">
      <c r="A2435" s="8"/>
      <c r="B2435" s="8"/>
      <c r="C2435" s="8"/>
      <c r="D2435" s="8"/>
      <c r="E2435" s="8"/>
      <c r="F2435" t="str" s="15">
        <f aca="0">IF(B2435="","",IF(H2435="","확인필요(입력누락)",IF(SUMPRODUCT((실물목록!$P$2:$P$1001&lt;&gt;"")*ISNUMBER(SEARCH(실물목록!$P$2:$P$1001,I2435))*(실물목록!$Q$2:$Q$1001&lt;&gt;"")*ISNUMBER(SEARCH(실물목록!$Q$2:$Q$1001,I2435))*(실물목록!$R$2:$R$1001="")*(실물목록!$O$2:$O$1001&lt;&gt;"")*(실물목록!$O$2:$O$1001=H2435))&gt;0,"실물 있음",IF(SUMPRODUCT((실물목록!$P$2:$P$1001&lt;&gt;"")*ISNUMBER(SEARCH(실물목록!$P$2:$P$1001,I2435))*(실물목록!$R$2:$R$1001&lt;&gt;""))&gt;0,"확인필요(입력누락)",IF(SUMPRODUCT((실물목록!$P$2:$P$1001&lt;&gt;"")*ISNUMBER(SEARCH(실물목록!$P$2:$P$1001,I2435))*(실물목록!$Q$2:$Q$1001&lt;&gt;"")*ISNUMBER(SEARCH(실물목록!$Q$2:$Q$1001,I2435))*(실물목록!$R$2:$R$1001="")*(실물목록!$O$2:$O$1001&lt;&gt;""))&gt;0,"확인필요(연도다름)","실물 없음")))))</f>
      </c>
      <c r="G2435" t="n" s="16">
        <f aca="0">IF(B2435="","",SUMPRODUCT((실물목록!$P$2:$P$1001&lt;&gt;"")*ISNUMBER(SEARCH(실물목록!$P$2:$P$1001,I2435))*(실물목록!$Q$2:$Q$1001&lt;&gt;"")*ISNUMBER(SEARCH(실물목록!$Q$2:$Q$1001,I2435))*(실물목록!$R$2:$R$1001="")*(실물목록!$O$2:$O$1001&lt;&gt;"")*(실물목록!$O$2:$O$1001=H2435)))</f>
      </c>
      <c r="H2435" t="str">
        <f>IFERROR(IF(AND(LEN(SUBSTITUTE(SUBSTITUTE(SUBSTITUTE(TRIM(A2435&amp;""),CHAR(160),"")," ",""),"년",""))=4,VALUE(SUBSTITUTE(SUBSTITUTE(SUBSTITUTE(TRIM(A2435&amp;""),CHAR(160),"")," ",""),"년",""))&gt;=1900,VALUE(SUBSTITUTE(SUBSTITUTE(SUBSTITUTE(TRIM(A2435&amp;""),CHAR(160),"")," ",""),"년",""))&lt;=2099,TEXT(VALUE(SUBSTITUTE(SUBSTITUTE(SUBSTITUTE(TRIM(A2435&amp;""),CHAR(160),"")," ",""),"년","")),"0000")=SUBSTITUTE(SUBSTITUTE(SUBSTITUTE(TRIM(A2435&amp;""),CHAR(160),"")," ",""),"년","")),SUBSTITUTE(SUBSTITUTE(SUBSTITUTE(TRIM(A2435&amp;""),CHAR(160),"")," ",""),"년",""),""),"")</f>
      </c>
      <c r="I2435" t="str">
        <f>SUBSTITUTE(SUBSTITUTE(SUBSTITUTE(SUBSTITUTE(SUBSTITUTE(TRIM(B2435&amp;""),CHAR(160),"")," ",""),"초등학교","초"),"중학교","중"),"고등학교","고")</f>
      </c>
    </row>
    <row r="2436" customFormat="false" ht="15" hidden="false" customHeight="false" outlineLevel="0" collapsed="false">
      <c r="A2436" s="8"/>
      <c r="B2436" s="8"/>
      <c r="C2436" s="8"/>
      <c r="D2436" s="8"/>
      <c r="E2436" s="8"/>
      <c r="F2436" t="str" s="15">
        <f aca="0">IF(B2436="","",IF(H2436="","확인필요(입력누락)",IF(SUMPRODUCT((실물목록!$P$2:$P$1001&lt;&gt;"")*ISNUMBER(SEARCH(실물목록!$P$2:$P$1001,I2436))*(실물목록!$Q$2:$Q$1001&lt;&gt;"")*ISNUMBER(SEARCH(실물목록!$Q$2:$Q$1001,I2436))*(실물목록!$R$2:$R$1001="")*(실물목록!$O$2:$O$1001&lt;&gt;"")*(실물목록!$O$2:$O$1001=H2436))&gt;0,"실물 있음",IF(SUMPRODUCT((실물목록!$P$2:$P$1001&lt;&gt;"")*ISNUMBER(SEARCH(실물목록!$P$2:$P$1001,I2436))*(실물목록!$R$2:$R$1001&lt;&gt;""))&gt;0,"확인필요(입력누락)",IF(SUMPRODUCT((실물목록!$P$2:$P$1001&lt;&gt;"")*ISNUMBER(SEARCH(실물목록!$P$2:$P$1001,I2436))*(실물목록!$Q$2:$Q$1001&lt;&gt;"")*ISNUMBER(SEARCH(실물목록!$Q$2:$Q$1001,I2436))*(실물목록!$R$2:$R$1001="")*(실물목록!$O$2:$O$1001&lt;&gt;""))&gt;0,"확인필요(연도다름)","실물 없음")))))</f>
      </c>
      <c r="G2436" t="n" s="16">
        <f aca="0">IF(B2436="","",SUMPRODUCT((실물목록!$P$2:$P$1001&lt;&gt;"")*ISNUMBER(SEARCH(실물목록!$P$2:$P$1001,I2436))*(실물목록!$Q$2:$Q$1001&lt;&gt;"")*ISNUMBER(SEARCH(실물목록!$Q$2:$Q$1001,I2436))*(실물목록!$R$2:$R$1001="")*(실물목록!$O$2:$O$1001&lt;&gt;"")*(실물목록!$O$2:$O$1001=H2436)))</f>
      </c>
      <c r="H2436" t="str">
        <f>IFERROR(IF(AND(LEN(SUBSTITUTE(SUBSTITUTE(SUBSTITUTE(TRIM(A2436&amp;""),CHAR(160),"")," ",""),"년",""))=4,VALUE(SUBSTITUTE(SUBSTITUTE(SUBSTITUTE(TRIM(A2436&amp;""),CHAR(160),"")," ",""),"년",""))&gt;=1900,VALUE(SUBSTITUTE(SUBSTITUTE(SUBSTITUTE(TRIM(A2436&amp;""),CHAR(160),"")," ",""),"년",""))&lt;=2099,TEXT(VALUE(SUBSTITUTE(SUBSTITUTE(SUBSTITUTE(TRIM(A2436&amp;""),CHAR(160),"")," ",""),"년","")),"0000")=SUBSTITUTE(SUBSTITUTE(SUBSTITUTE(TRIM(A2436&amp;""),CHAR(160),"")," ",""),"년","")),SUBSTITUTE(SUBSTITUTE(SUBSTITUTE(TRIM(A2436&amp;""),CHAR(160),"")," ",""),"년",""),""),"")</f>
      </c>
      <c r="I2436" t="str">
        <f>SUBSTITUTE(SUBSTITUTE(SUBSTITUTE(SUBSTITUTE(SUBSTITUTE(TRIM(B2436&amp;""),CHAR(160),"")," ",""),"초등학교","초"),"중학교","중"),"고등학교","고")</f>
      </c>
    </row>
    <row r="2437" customFormat="false" ht="15" hidden="false" customHeight="false" outlineLevel="0" collapsed="false">
      <c r="A2437" s="8"/>
      <c r="B2437" s="8"/>
      <c r="C2437" s="8"/>
      <c r="D2437" s="8"/>
      <c r="E2437" s="8"/>
      <c r="F2437" t="str" s="15">
        <f aca="0">IF(B2437="","",IF(H2437="","확인필요(입력누락)",IF(SUMPRODUCT((실물목록!$P$2:$P$1001&lt;&gt;"")*ISNUMBER(SEARCH(실물목록!$P$2:$P$1001,I2437))*(실물목록!$Q$2:$Q$1001&lt;&gt;"")*ISNUMBER(SEARCH(실물목록!$Q$2:$Q$1001,I2437))*(실물목록!$R$2:$R$1001="")*(실물목록!$O$2:$O$1001&lt;&gt;"")*(실물목록!$O$2:$O$1001=H2437))&gt;0,"실물 있음",IF(SUMPRODUCT((실물목록!$P$2:$P$1001&lt;&gt;"")*ISNUMBER(SEARCH(실물목록!$P$2:$P$1001,I2437))*(실물목록!$R$2:$R$1001&lt;&gt;""))&gt;0,"확인필요(입력누락)",IF(SUMPRODUCT((실물목록!$P$2:$P$1001&lt;&gt;"")*ISNUMBER(SEARCH(실물목록!$P$2:$P$1001,I2437))*(실물목록!$Q$2:$Q$1001&lt;&gt;"")*ISNUMBER(SEARCH(실물목록!$Q$2:$Q$1001,I2437))*(실물목록!$R$2:$R$1001="")*(실물목록!$O$2:$O$1001&lt;&gt;""))&gt;0,"확인필요(연도다름)","실물 없음")))))</f>
      </c>
      <c r="G2437" t="n" s="16">
        <f aca="0">IF(B2437="","",SUMPRODUCT((실물목록!$P$2:$P$1001&lt;&gt;"")*ISNUMBER(SEARCH(실물목록!$P$2:$P$1001,I2437))*(실물목록!$Q$2:$Q$1001&lt;&gt;"")*ISNUMBER(SEARCH(실물목록!$Q$2:$Q$1001,I2437))*(실물목록!$R$2:$R$1001="")*(실물목록!$O$2:$O$1001&lt;&gt;"")*(실물목록!$O$2:$O$1001=H2437)))</f>
      </c>
      <c r="H2437" t="str">
        <f>IFERROR(IF(AND(LEN(SUBSTITUTE(SUBSTITUTE(SUBSTITUTE(TRIM(A2437&amp;""),CHAR(160),"")," ",""),"년",""))=4,VALUE(SUBSTITUTE(SUBSTITUTE(SUBSTITUTE(TRIM(A2437&amp;""),CHAR(160),"")," ",""),"년",""))&gt;=1900,VALUE(SUBSTITUTE(SUBSTITUTE(SUBSTITUTE(TRIM(A2437&amp;""),CHAR(160),"")," ",""),"년",""))&lt;=2099,TEXT(VALUE(SUBSTITUTE(SUBSTITUTE(SUBSTITUTE(TRIM(A2437&amp;""),CHAR(160),"")," ",""),"년","")),"0000")=SUBSTITUTE(SUBSTITUTE(SUBSTITUTE(TRIM(A2437&amp;""),CHAR(160),"")," ",""),"년","")),SUBSTITUTE(SUBSTITUTE(SUBSTITUTE(TRIM(A2437&amp;""),CHAR(160),"")," ",""),"년",""),""),"")</f>
      </c>
      <c r="I2437" t="str">
        <f>SUBSTITUTE(SUBSTITUTE(SUBSTITUTE(SUBSTITUTE(SUBSTITUTE(TRIM(B2437&amp;""),CHAR(160),"")," ",""),"초등학교","초"),"중학교","중"),"고등학교","고")</f>
      </c>
    </row>
    <row r="2438" customFormat="false" ht="15" hidden="false" customHeight="false" outlineLevel="0" collapsed="false">
      <c r="A2438" s="8"/>
      <c r="B2438" s="8"/>
      <c r="C2438" s="8"/>
      <c r="D2438" s="8"/>
      <c r="E2438" s="8"/>
      <c r="F2438" t="str" s="15">
        <f aca="0">IF(B2438="","",IF(H2438="","확인필요(입력누락)",IF(SUMPRODUCT((실물목록!$P$2:$P$1001&lt;&gt;"")*ISNUMBER(SEARCH(실물목록!$P$2:$P$1001,I2438))*(실물목록!$Q$2:$Q$1001&lt;&gt;"")*ISNUMBER(SEARCH(실물목록!$Q$2:$Q$1001,I2438))*(실물목록!$R$2:$R$1001="")*(실물목록!$O$2:$O$1001&lt;&gt;"")*(실물목록!$O$2:$O$1001=H2438))&gt;0,"실물 있음",IF(SUMPRODUCT((실물목록!$P$2:$P$1001&lt;&gt;"")*ISNUMBER(SEARCH(실물목록!$P$2:$P$1001,I2438))*(실물목록!$R$2:$R$1001&lt;&gt;""))&gt;0,"확인필요(입력누락)",IF(SUMPRODUCT((실물목록!$P$2:$P$1001&lt;&gt;"")*ISNUMBER(SEARCH(실물목록!$P$2:$P$1001,I2438))*(실물목록!$Q$2:$Q$1001&lt;&gt;"")*ISNUMBER(SEARCH(실물목록!$Q$2:$Q$1001,I2438))*(실물목록!$R$2:$R$1001="")*(실물목록!$O$2:$O$1001&lt;&gt;""))&gt;0,"확인필요(연도다름)","실물 없음")))))</f>
      </c>
      <c r="G2438" t="n" s="16">
        <f aca="0">IF(B2438="","",SUMPRODUCT((실물목록!$P$2:$P$1001&lt;&gt;"")*ISNUMBER(SEARCH(실물목록!$P$2:$P$1001,I2438))*(실물목록!$Q$2:$Q$1001&lt;&gt;"")*ISNUMBER(SEARCH(실물목록!$Q$2:$Q$1001,I2438))*(실물목록!$R$2:$R$1001="")*(실물목록!$O$2:$O$1001&lt;&gt;"")*(실물목록!$O$2:$O$1001=H2438)))</f>
      </c>
      <c r="H2438" t="str">
        <f>IFERROR(IF(AND(LEN(SUBSTITUTE(SUBSTITUTE(SUBSTITUTE(TRIM(A2438&amp;""),CHAR(160),"")," ",""),"년",""))=4,VALUE(SUBSTITUTE(SUBSTITUTE(SUBSTITUTE(TRIM(A2438&amp;""),CHAR(160),"")," ",""),"년",""))&gt;=1900,VALUE(SUBSTITUTE(SUBSTITUTE(SUBSTITUTE(TRIM(A2438&amp;""),CHAR(160),"")," ",""),"년",""))&lt;=2099,TEXT(VALUE(SUBSTITUTE(SUBSTITUTE(SUBSTITUTE(TRIM(A2438&amp;""),CHAR(160),"")," ",""),"년","")),"0000")=SUBSTITUTE(SUBSTITUTE(SUBSTITUTE(TRIM(A2438&amp;""),CHAR(160),"")," ",""),"년","")),SUBSTITUTE(SUBSTITUTE(SUBSTITUTE(TRIM(A2438&amp;""),CHAR(160),"")," ",""),"년",""),""),"")</f>
      </c>
      <c r="I2438" t="str">
        <f>SUBSTITUTE(SUBSTITUTE(SUBSTITUTE(SUBSTITUTE(SUBSTITUTE(TRIM(B2438&amp;""),CHAR(160),"")," ",""),"초등학교","초"),"중학교","중"),"고등학교","고")</f>
      </c>
    </row>
    <row r="2439" customFormat="false" ht="15" hidden="false" customHeight="false" outlineLevel="0" collapsed="false">
      <c r="A2439" s="8"/>
      <c r="B2439" s="8"/>
      <c r="C2439" s="8"/>
      <c r="D2439" s="8"/>
      <c r="E2439" s="8"/>
      <c r="F2439" t="str" s="15">
        <f aca="0">IF(B2439="","",IF(H2439="","확인필요(입력누락)",IF(SUMPRODUCT((실물목록!$P$2:$P$1001&lt;&gt;"")*ISNUMBER(SEARCH(실물목록!$P$2:$P$1001,I2439))*(실물목록!$Q$2:$Q$1001&lt;&gt;"")*ISNUMBER(SEARCH(실물목록!$Q$2:$Q$1001,I2439))*(실물목록!$R$2:$R$1001="")*(실물목록!$O$2:$O$1001&lt;&gt;"")*(실물목록!$O$2:$O$1001=H2439))&gt;0,"실물 있음",IF(SUMPRODUCT((실물목록!$P$2:$P$1001&lt;&gt;"")*ISNUMBER(SEARCH(실물목록!$P$2:$P$1001,I2439))*(실물목록!$R$2:$R$1001&lt;&gt;""))&gt;0,"확인필요(입력누락)",IF(SUMPRODUCT((실물목록!$P$2:$P$1001&lt;&gt;"")*ISNUMBER(SEARCH(실물목록!$P$2:$P$1001,I2439))*(실물목록!$Q$2:$Q$1001&lt;&gt;"")*ISNUMBER(SEARCH(실물목록!$Q$2:$Q$1001,I2439))*(실물목록!$R$2:$R$1001="")*(실물목록!$O$2:$O$1001&lt;&gt;""))&gt;0,"확인필요(연도다름)","실물 없음")))))</f>
      </c>
      <c r="G2439" t="n" s="16">
        <f aca="0">IF(B2439="","",SUMPRODUCT((실물목록!$P$2:$P$1001&lt;&gt;"")*ISNUMBER(SEARCH(실물목록!$P$2:$P$1001,I2439))*(실물목록!$Q$2:$Q$1001&lt;&gt;"")*ISNUMBER(SEARCH(실물목록!$Q$2:$Q$1001,I2439))*(실물목록!$R$2:$R$1001="")*(실물목록!$O$2:$O$1001&lt;&gt;"")*(실물목록!$O$2:$O$1001=H2439)))</f>
      </c>
      <c r="H2439" t="str">
        <f>IFERROR(IF(AND(LEN(SUBSTITUTE(SUBSTITUTE(SUBSTITUTE(TRIM(A2439&amp;""),CHAR(160),"")," ",""),"년",""))=4,VALUE(SUBSTITUTE(SUBSTITUTE(SUBSTITUTE(TRIM(A2439&amp;""),CHAR(160),"")," ",""),"년",""))&gt;=1900,VALUE(SUBSTITUTE(SUBSTITUTE(SUBSTITUTE(TRIM(A2439&amp;""),CHAR(160),"")," ",""),"년",""))&lt;=2099,TEXT(VALUE(SUBSTITUTE(SUBSTITUTE(SUBSTITUTE(TRIM(A2439&amp;""),CHAR(160),"")," ",""),"년","")),"0000")=SUBSTITUTE(SUBSTITUTE(SUBSTITUTE(TRIM(A2439&amp;""),CHAR(160),"")," ",""),"년","")),SUBSTITUTE(SUBSTITUTE(SUBSTITUTE(TRIM(A2439&amp;""),CHAR(160),"")," ",""),"년",""),""),"")</f>
      </c>
      <c r="I2439" t="str">
        <f>SUBSTITUTE(SUBSTITUTE(SUBSTITUTE(SUBSTITUTE(SUBSTITUTE(TRIM(B2439&amp;""),CHAR(160),"")," ",""),"초등학교","초"),"중학교","중"),"고등학교","고")</f>
      </c>
    </row>
    <row r="2440" customFormat="false" ht="15" hidden="false" customHeight="false" outlineLevel="0" collapsed="false">
      <c r="A2440" s="8"/>
      <c r="B2440" s="8"/>
      <c r="C2440" s="8"/>
      <c r="D2440" s="8"/>
      <c r="E2440" s="8"/>
      <c r="F2440" t="str" s="15">
        <f aca="0">IF(B2440="","",IF(H2440="","확인필요(입력누락)",IF(SUMPRODUCT((실물목록!$P$2:$P$1001&lt;&gt;"")*ISNUMBER(SEARCH(실물목록!$P$2:$P$1001,I2440))*(실물목록!$Q$2:$Q$1001&lt;&gt;"")*ISNUMBER(SEARCH(실물목록!$Q$2:$Q$1001,I2440))*(실물목록!$R$2:$R$1001="")*(실물목록!$O$2:$O$1001&lt;&gt;"")*(실물목록!$O$2:$O$1001=H2440))&gt;0,"실물 있음",IF(SUMPRODUCT((실물목록!$P$2:$P$1001&lt;&gt;"")*ISNUMBER(SEARCH(실물목록!$P$2:$P$1001,I2440))*(실물목록!$R$2:$R$1001&lt;&gt;""))&gt;0,"확인필요(입력누락)",IF(SUMPRODUCT((실물목록!$P$2:$P$1001&lt;&gt;"")*ISNUMBER(SEARCH(실물목록!$P$2:$P$1001,I2440))*(실물목록!$Q$2:$Q$1001&lt;&gt;"")*ISNUMBER(SEARCH(실물목록!$Q$2:$Q$1001,I2440))*(실물목록!$R$2:$R$1001="")*(실물목록!$O$2:$O$1001&lt;&gt;""))&gt;0,"확인필요(연도다름)","실물 없음")))))</f>
      </c>
      <c r="G2440" t="n" s="16">
        <f aca="0">IF(B2440="","",SUMPRODUCT((실물목록!$P$2:$P$1001&lt;&gt;"")*ISNUMBER(SEARCH(실물목록!$P$2:$P$1001,I2440))*(실물목록!$Q$2:$Q$1001&lt;&gt;"")*ISNUMBER(SEARCH(실물목록!$Q$2:$Q$1001,I2440))*(실물목록!$R$2:$R$1001="")*(실물목록!$O$2:$O$1001&lt;&gt;"")*(실물목록!$O$2:$O$1001=H2440)))</f>
      </c>
      <c r="H2440" t="str">
        <f>IFERROR(IF(AND(LEN(SUBSTITUTE(SUBSTITUTE(SUBSTITUTE(TRIM(A2440&amp;""),CHAR(160),"")," ",""),"년",""))=4,VALUE(SUBSTITUTE(SUBSTITUTE(SUBSTITUTE(TRIM(A2440&amp;""),CHAR(160),"")," ",""),"년",""))&gt;=1900,VALUE(SUBSTITUTE(SUBSTITUTE(SUBSTITUTE(TRIM(A2440&amp;""),CHAR(160),"")," ",""),"년",""))&lt;=2099,TEXT(VALUE(SUBSTITUTE(SUBSTITUTE(SUBSTITUTE(TRIM(A2440&amp;""),CHAR(160),"")," ",""),"년","")),"0000")=SUBSTITUTE(SUBSTITUTE(SUBSTITUTE(TRIM(A2440&amp;""),CHAR(160),"")," ",""),"년","")),SUBSTITUTE(SUBSTITUTE(SUBSTITUTE(TRIM(A2440&amp;""),CHAR(160),"")," ",""),"년",""),""),"")</f>
      </c>
      <c r="I2440" t="str">
        <f>SUBSTITUTE(SUBSTITUTE(SUBSTITUTE(SUBSTITUTE(SUBSTITUTE(TRIM(B2440&amp;""),CHAR(160),"")," ",""),"초등학교","초"),"중학교","중"),"고등학교","고")</f>
      </c>
    </row>
    <row r="2441" customFormat="false" ht="15" hidden="false" customHeight="false" outlineLevel="0" collapsed="false">
      <c r="A2441" s="8"/>
      <c r="B2441" s="8"/>
      <c r="C2441" s="8"/>
      <c r="D2441" s="8"/>
      <c r="E2441" s="8"/>
      <c r="F2441" t="str" s="15">
        <f aca="0">IF(B2441="","",IF(H2441="","확인필요(입력누락)",IF(SUMPRODUCT((실물목록!$P$2:$P$1001&lt;&gt;"")*ISNUMBER(SEARCH(실물목록!$P$2:$P$1001,I2441))*(실물목록!$Q$2:$Q$1001&lt;&gt;"")*ISNUMBER(SEARCH(실물목록!$Q$2:$Q$1001,I2441))*(실물목록!$R$2:$R$1001="")*(실물목록!$O$2:$O$1001&lt;&gt;"")*(실물목록!$O$2:$O$1001=H2441))&gt;0,"실물 있음",IF(SUMPRODUCT((실물목록!$P$2:$P$1001&lt;&gt;"")*ISNUMBER(SEARCH(실물목록!$P$2:$P$1001,I2441))*(실물목록!$R$2:$R$1001&lt;&gt;""))&gt;0,"확인필요(입력누락)",IF(SUMPRODUCT((실물목록!$P$2:$P$1001&lt;&gt;"")*ISNUMBER(SEARCH(실물목록!$P$2:$P$1001,I2441))*(실물목록!$Q$2:$Q$1001&lt;&gt;"")*ISNUMBER(SEARCH(실물목록!$Q$2:$Q$1001,I2441))*(실물목록!$R$2:$R$1001="")*(실물목록!$O$2:$O$1001&lt;&gt;""))&gt;0,"확인필요(연도다름)","실물 없음")))))</f>
      </c>
      <c r="G2441" t="n" s="16">
        <f aca="0">IF(B2441="","",SUMPRODUCT((실물목록!$P$2:$P$1001&lt;&gt;"")*ISNUMBER(SEARCH(실물목록!$P$2:$P$1001,I2441))*(실물목록!$Q$2:$Q$1001&lt;&gt;"")*ISNUMBER(SEARCH(실물목록!$Q$2:$Q$1001,I2441))*(실물목록!$R$2:$R$1001="")*(실물목록!$O$2:$O$1001&lt;&gt;"")*(실물목록!$O$2:$O$1001=H2441)))</f>
      </c>
      <c r="H2441" t="str">
        <f>IFERROR(IF(AND(LEN(SUBSTITUTE(SUBSTITUTE(SUBSTITUTE(TRIM(A2441&amp;""),CHAR(160),"")," ",""),"년",""))=4,VALUE(SUBSTITUTE(SUBSTITUTE(SUBSTITUTE(TRIM(A2441&amp;""),CHAR(160),"")," ",""),"년",""))&gt;=1900,VALUE(SUBSTITUTE(SUBSTITUTE(SUBSTITUTE(TRIM(A2441&amp;""),CHAR(160),"")," ",""),"년",""))&lt;=2099,TEXT(VALUE(SUBSTITUTE(SUBSTITUTE(SUBSTITUTE(TRIM(A2441&amp;""),CHAR(160),"")," ",""),"년","")),"0000")=SUBSTITUTE(SUBSTITUTE(SUBSTITUTE(TRIM(A2441&amp;""),CHAR(160),"")," ",""),"년","")),SUBSTITUTE(SUBSTITUTE(SUBSTITUTE(TRIM(A2441&amp;""),CHAR(160),"")," ",""),"년",""),""),"")</f>
      </c>
      <c r="I2441" t="str">
        <f>SUBSTITUTE(SUBSTITUTE(SUBSTITUTE(SUBSTITUTE(SUBSTITUTE(TRIM(B2441&amp;""),CHAR(160),"")," ",""),"초등학교","초"),"중학교","중"),"고등학교","고")</f>
      </c>
    </row>
    <row r="2442" customFormat="false" ht="15" hidden="false" customHeight="false" outlineLevel="0" collapsed="false">
      <c r="A2442" s="8"/>
      <c r="B2442" s="8"/>
      <c r="C2442" s="8"/>
      <c r="D2442" s="8"/>
      <c r="E2442" s="8"/>
      <c r="F2442" t="str" s="15">
        <f aca="0">IF(B2442="","",IF(H2442="","확인필요(입력누락)",IF(SUMPRODUCT((실물목록!$P$2:$P$1001&lt;&gt;"")*ISNUMBER(SEARCH(실물목록!$P$2:$P$1001,I2442))*(실물목록!$Q$2:$Q$1001&lt;&gt;"")*ISNUMBER(SEARCH(실물목록!$Q$2:$Q$1001,I2442))*(실물목록!$R$2:$R$1001="")*(실물목록!$O$2:$O$1001&lt;&gt;"")*(실물목록!$O$2:$O$1001=H2442))&gt;0,"실물 있음",IF(SUMPRODUCT((실물목록!$P$2:$P$1001&lt;&gt;"")*ISNUMBER(SEARCH(실물목록!$P$2:$P$1001,I2442))*(실물목록!$R$2:$R$1001&lt;&gt;""))&gt;0,"확인필요(입력누락)",IF(SUMPRODUCT((실물목록!$P$2:$P$1001&lt;&gt;"")*ISNUMBER(SEARCH(실물목록!$P$2:$P$1001,I2442))*(실물목록!$Q$2:$Q$1001&lt;&gt;"")*ISNUMBER(SEARCH(실물목록!$Q$2:$Q$1001,I2442))*(실물목록!$R$2:$R$1001="")*(실물목록!$O$2:$O$1001&lt;&gt;""))&gt;0,"확인필요(연도다름)","실물 없음")))))</f>
      </c>
      <c r="G2442" t="n" s="16">
        <f aca="0">IF(B2442="","",SUMPRODUCT((실물목록!$P$2:$P$1001&lt;&gt;"")*ISNUMBER(SEARCH(실물목록!$P$2:$P$1001,I2442))*(실물목록!$Q$2:$Q$1001&lt;&gt;"")*ISNUMBER(SEARCH(실물목록!$Q$2:$Q$1001,I2442))*(실물목록!$R$2:$R$1001="")*(실물목록!$O$2:$O$1001&lt;&gt;"")*(실물목록!$O$2:$O$1001=H2442)))</f>
      </c>
      <c r="H2442" t="str">
        <f>IFERROR(IF(AND(LEN(SUBSTITUTE(SUBSTITUTE(SUBSTITUTE(TRIM(A2442&amp;""),CHAR(160),"")," ",""),"년",""))=4,VALUE(SUBSTITUTE(SUBSTITUTE(SUBSTITUTE(TRIM(A2442&amp;""),CHAR(160),"")," ",""),"년",""))&gt;=1900,VALUE(SUBSTITUTE(SUBSTITUTE(SUBSTITUTE(TRIM(A2442&amp;""),CHAR(160),"")," ",""),"년",""))&lt;=2099,TEXT(VALUE(SUBSTITUTE(SUBSTITUTE(SUBSTITUTE(TRIM(A2442&amp;""),CHAR(160),"")," ",""),"년","")),"0000")=SUBSTITUTE(SUBSTITUTE(SUBSTITUTE(TRIM(A2442&amp;""),CHAR(160),"")," ",""),"년","")),SUBSTITUTE(SUBSTITUTE(SUBSTITUTE(TRIM(A2442&amp;""),CHAR(160),"")," ",""),"년",""),""),"")</f>
      </c>
      <c r="I2442" t="str">
        <f>SUBSTITUTE(SUBSTITUTE(SUBSTITUTE(SUBSTITUTE(SUBSTITUTE(TRIM(B2442&amp;""),CHAR(160),"")," ",""),"초등학교","초"),"중학교","중"),"고등학교","고")</f>
      </c>
    </row>
    <row r="2443" customFormat="false" ht="15" hidden="false" customHeight="false" outlineLevel="0" collapsed="false">
      <c r="A2443" s="8"/>
      <c r="B2443" s="8"/>
      <c r="C2443" s="8"/>
      <c r="D2443" s="8"/>
      <c r="E2443" s="8"/>
      <c r="F2443" t="str" s="15">
        <f aca="0">IF(B2443="","",IF(H2443="","확인필요(입력누락)",IF(SUMPRODUCT((실물목록!$P$2:$P$1001&lt;&gt;"")*ISNUMBER(SEARCH(실물목록!$P$2:$P$1001,I2443))*(실물목록!$Q$2:$Q$1001&lt;&gt;"")*ISNUMBER(SEARCH(실물목록!$Q$2:$Q$1001,I2443))*(실물목록!$R$2:$R$1001="")*(실물목록!$O$2:$O$1001&lt;&gt;"")*(실물목록!$O$2:$O$1001=H2443))&gt;0,"실물 있음",IF(SUMPRODUCT((실물목록!$P$2:$P$1001&lt;&gt;"")*ISNUMBER(SEARCH(실물목록!$P$2:$P$1001,I2443))*(실물목록!$R$2:$R$1001&lt;&gt;""))&gt;0,"확인필요(입력누락)",IF(SUMPRODUCT((실물목록!$P$2:$P$1001&lt;&gt;"")*ISNUMBER(SEARCH(실물목록!$P$2:$P$1001,I2443))*(실물목록!$Q$2:$Q$1001&lt;&gt;"")*ISNUMBER(SEARCH(실물목록!$Q$2:$Q$1001,I2443))*(실물목록!$R$2:$R$1001="")*(실물목록!$O$2:$O$1001&lt;&gt;""))&gt;0,"확인필요(연도다름)","실물 없음")))))</f>
      </c>
      <c r="G2443" t="n" s="16">
        <f aca="0">IF(B2443="","",SUMPRODUCT((실물목록!$P$2:$P$1001&lt;&gt;"")*ISNUMBER(SEARCH(실물목록!$P$2:$P$1001,I2443))*(실물목록!$Q$2:$Q$1001&lt;&gt;"")*ISNUMBER(SEARCH(실물목록!$Q$2:$Q$1001,I2443))*(실물목록!$R$2:$R$1001="")*(실물목록!$O$2:$O$1001&lt;&gt;"")*(실물목록!$O$2:$O$1001=H2443)))</f>
      </c>
      <c r="H2443" t="str">
        <f>IFERROR(IF(AND(LEN(SUBSTITUTE(SUBSTITUTE(SUBSTITUTE(TRIM(A2443&amp;""),CHAR(160),"")," ",""),"년",""))=4,VALUE(SUBSTITUTE(SUBSTITUTE(SUBSTITUTE(TRIM(A2443&amp;""),CHAR(160),"")," ",""),"년",""))&gt;=1900,VALUE(SUBSTITUTE(SUBSTITUTE(SUBSTITUTE(TRIM(A2443&amp;""),CHAR(160),"")," ",""),"년",""))&lt;=2099,TEXT(VALUE(SUBSTITUTE(SUBSTITUTE(SUBSTITUTE(TRIM(A2443&amp;""),CHAR(160),"")," ",""),"년","")),"0000")=SUBSTITUTE(SUBSTITUTE(SUBSTITUTE(TRIM(A2443&amp;""),CHAR(160),"")," ",""),"년","")),SUBSTITUTE(SUBSTITUTE(SUBSTITUTE(TRIM(A2443&amp;""),CHAR(160),"")," ",""),"년",""),""),"")</f>
      </c>
      <c r="I2443" t="str">
        <f>SUBSTITUTE(SUBSTITUTE(SUBSTITUTE(SUBSTITUTE(SUBSTITUTE(TRIM(B2443&amp;""),CHAR(160),"")," ",""),"초등학교","초"),"중학교","중"),"고등학교","고")</f>
      </c>
    </row>
    <row r="2444" customFormat="false" ht="15" hidden="false" customHeight="false" outlineLevel="0" collapsed="false">
      <c r="A2444" s="8"/>
      <c r="B2444" s="8"/>
      <c r="C2444" s="8"/>
      <c r="D2444" s="8"/>
      <c r="E2444" s="8"/>
      <c r="F2444" t="str" s="15">
        <f aca="0">IF(B2444="","",IF(H2444="","확인필요(입력누락)",IF(SUMPRODUCT((실물목록!$P$2:$P$1001&lt;&gt;"")*ISNUMBER(SEARCH(실물목록!$P$2:$P$1001,I2444))*(실물목록!$Q$2:$Q$1001&lt;&gt;"")*ISNUMBER(SEARCH(실물목록!$Q$2:$Q$1001,I2444))*(실물목록!$R$2:$R$1001="")*(실물목록!$O$2:$O$1001&lt;&gt;"")*(실물목록!$O$2:$O$1001=H2444))&gt;0,"실물 있음",IF(SUMPRODUCT((실물목록!$P$2:$P$1001&lt;&gt;"")*ISNUMBER(SEARCH(실물목록!$P$2:$P$1001,I2444))*(실물목록!$R$2:$R$1001&lt;&gt;""))&gt;0,"확인필요(입력누락)",IF(SUMPRODUCT((실물목록!$P$2:$P$1001&lt;&gt;"")*ISNUMBER(SEARCH(실물목록!$P$2:$P$1001,I2444))*(실물목록!$Q$2:$Q$1001&lt;&gt;"")*ISNUMBER(SEARCH(실물목록!$Q$2:$Q$1001,I2444))*(실물목록!$R$2:$R$1001="")*(실물목록!$O$2:$O$1001&lt;&gt;""))&gt;0,"확인필요(연도다름)","실물 없음")))))</f>
      </c>
      <c r="G2444" t="n" s="16">
        <f aca="0">IF(B2444="","",SUMPRODUCT((실물목록!$P$2:$P$1001&lt;&gt;"")*ISNUMBER(SEARCH(실물목록!$P$2:$P$1001,I2444))*(실물목록!$Q$2:$Q$1001&lt;&gt;"")*ISNUMBER(SEARCH(실물목록!$Q$2:$Q$1001,I2444))*(실물목록!$R$2:$R$1001="")*(실물목록!$O$2:$O$1001&lt;&gt;"")*(실물목록!$O$2:$O$1001=H2444)))</f>
      </c>
      <c r="H2444" t="str">
        <f>IFERROR(IF(AND(LEN(SUBSTITUTE(SUBSTITUTE(SUBSTITUTE(TRIM(A2444&amp;""),CHAR(160),"")," ",""),"년",""))=4,VALUE(SUBSTITUTE(SUBSTITUTE(SUBSTITUTE(TRIM(A2444&amp;""),CHAR(160),"")," ",""),"년",""))&gt;=1900,VALUE(SUBSTITUTE(SUBSTITUTE(SUBSTITUTE(TRIM(A2444&amp;""),CHAR(160),"")," ",""),"년",""))&lt;=2099,TEXT(VALUE(SUBSTITUTE(SUBSTITUTE(SUBSTITUTE(TRIM(A2444&amp;""),CHAR(160),"")," ",""),"년","")),"0000")=SUBSTITUTE(SUBSTITUTE(SUBSTITUTE(TRIM(A2444&amp;""),CHAR(160),"")," ",""),"년","")),SUBSTITUTE(SUBSTITUTE(SUBSTITUTE(TRIM(A2444&amp;""),CHAR(160),"")," ",""),"년",""),""),"")</f>
      </c>
      <c r="I2444" t="str">
        <f>SUBSTITUTE(SUBSTITUTE(SUBSTITUTE(SUBSTITUTE(SUBSTITUTE(TRIM(B2444&amp;""),CHAR(160),"")," ",""),"초등학교","초"),"중학교","중"),"고등학교","고")</f>
      </c>
    </row>
    <row r="2445" customFormat="false" ht="15" hidden="false" customHeight="false" outlineLevel="0" collapsed="false">
      <c r="A2445" s="8"/>
      <c r="B2445" s="8"/>
      <c r="C2445" s="8"/>
      <c r="D2445" s="8"/>
      <c r="E2445" s="8"/>
      <c r="F2445" t="str" s="15">
        <f aca="0">IF(B2445="","",IF(H2445="","확인필요(입력누락)",IF(SUMPRODUCT((실물목록!$P$2:$P$1001&lt;&gt;"")*ISNUMBER(SEARCH(실물목록!$P$2:$P$1001,I2445))*(실물목록!$Q$2:$Q$1001&lt;&gt;"")*ISNUMBER(SEARCH(실물목록!$Q$2:$Q$1001,I2445))*(실물목록!$R$2:$R$1001="")*(실물목록!$O$2:$O$1001&lt;&gt;"")*(실물목록!$O$2:$O$1001=H2445))&gt;0,"실물 있음",IF(SUMPRODUCT((실물목록!$P$2:$P$1001&lt;&gt;"")*ISNUMBER(SEARCH(실물목록!$P$2:$P$1001,I2445))*(실물목록!$R$2:$R$1001&lt;&gt;""))&gt;0,"확인필요(입력누락)",IF(SUMPRODUCT((실물목록!$P$2:$P$1001&lt;&gt;"")*ISNUMBER(SEARCH(실물목록!$P$2:$P$1001,I2445))*(실물목록!$Q$2:$Q$1001&lt;&gt;"")*ISNUMBER(SEARCH(실물목록!$Q$2:$Q$1001,I2445))*(실물목록!$R$2:$R$1001="")*(실물목록!$O$2:$O$1001&lt;&gt;""))&gt;0,"확인필요(연도다름)","실물 없음")))))</f>
      </c>
      <c r="G2445" t="n" s="16">
        <f aca="0">IF(B2445="","",SUMPRODUCT((실물목록!$P$2:$P$1001&lt;&gt;"")*ISNUMBER(SEARCH(실물목록!$P$2:$P$1001,I2445))*(실물목록!$Q$2:$Q$1001&lt;&gt;"")*ISNUMBER(SEARCH(실물목록!$Q$2:$Q$1001,I2445))*(실물목록!$R$2:$R$1001="")*(실물목록!$O$2:$O$1001&lt;&gt;"")*(실물목록!$O$2:$O$1001=H2445)))</f>
      </c>
      <c r="H2445" t="str">
        <f>IFERROR(IF(AND(LEN(SUBSTITUTE(SUBSTITUTE(SUBSTITUTE(TRIM(A2445&amp;""),CHAR(160),"")," ",""),"년",""))=4,VALUE(SUBSTITUTE(SUBSTITUTE(SUBSTITUTE(TRIM(A2445&amp;""),CHAR(160),"")," ",""),"년",""))&gt;=1900,VALUE(SUBSTITUTE(SUBSTITUTE(SUBSTITUTE(TRIM(A2445&amp;""),CHAR(160),"")," ",""),"년",""))&lt;=2099,TEXT(VALUE(SUBSTITUTE(SUBSTITUTE(SUBSTITUTE(TRIM(A2445&amp;""),CHAR(160),"")," ",""),"년","")),"0000")=SUBSTITUTE(SUBSTITUTE(SUBSTITUTE(TRIM(A2445&amp;""),CHAR(160),"")," ",""),"년","")),SUBSTITUTE(SUBSTITUTE(SUBSTITUTE(TRIM(A2445&amp;""),CHAR(160),"")," ",""),"년",""),""),"")</f>
      </c>
      <c r="I2445" t="str">
        <f>SUBSTITUTE(SUBSTITUTE(SUBSTITUTE(SUBSTITUTE(SUBSTITUTE(TRIM(B2445&amp;""),CHAR(160),"")," ",""),"초등학교","초"),"중학교","중"),"고등학교","고")</f>
      </c>
    </row>
    <row r="2446" customFormat="false" ht="15" hidden="false" customHeight="false" outlineLevel="0" collapsed="false">
      <c r="A2446" s="8"/>
      <c r="B2446" s="8"/>
      <c r="C2446" s="8"/>
      <c r="D2446" s="8"/>
      <c r="E2446" s="8"/>
      <c r="F2446" t="str" s="15">
        <f aca="0">IF(B2446="","",IF(H2446="","확인필요(입력누락)",IF(SUMPRODUCT((실물목록!$P$2:$P$1001&lt;&gt;"")*ISNUMBER(SEARCH(실물목록!$P$2:$P$1001,I2446))*(실물목록!$Q$2:$Q$1001&lt;&gt;"")*ISNUMBER(SEARCH(실물목록!$Q$2:$Q$1001,I2446))*(실물목록!$R$2:$R$1001="")*(실물목록!$O$2:$O$1001&lt;&gt;"")*(실물목록!$O$2:$O$1001=H2446))&gt;0,"실물 있음",IF(SUMPRODUCT((실물목록!$P$2:$P$1001&lt;&gt;"")*ISNUMBER(SEARCH(실물목록!$P$2:$P$1001,I2446))*(실물목록!$R$2:$R$1001&lt;&gt;""))&gt;0,"확인필요(입력누락)",IF(SUMPRODUCT((실물목록!$P$2:$P$1001&lt;&gt;"")*ISNUMBER(SEARCH(실물목록!$P$2:$P$1001,I2446))*(실물목록!$Q$2:$Q$1001&lt;&gt;"")*ISNUMBER(SEARCH(실물목록!$Q$2:$Q$1001,I2446))*(실물목록!$R$2:$R$1001="")*(실물목록!$O$2:$O$1001&lt;&gt;""))&gt;0,"확인필요(연도다름)","실물 없음")))))</f>
      </c>
      <c r="G2446" t="n" s="16">
        <f aca="0">IF(B2446="","",SUMPRODUCT((실물목록!$P$2:$P$1001&lt;&gt;"")*ISNUMBER(SEARCH(실물목록!$P$2:$P$1001,I2446))*(실물목록!$Q$2:$Q$1001&lt;&gt;"")*ISNUMBER(SEARCH(실물목록!$Q$2:$Q$1001,I2446))*(실물목록!$R$2:$R$1001="")*(실물목록!$O$2:$O$1001&lt;&gt;"")*(실물목록!$O$2:$O$1001=H2446)))</f>
      </c>
      <c r="H2446" t="str">
        <f>IFERROR(IF(AND(LEN(SUBSTITUTE(SUBSTITUTE(SUBSTITUTE(TRIM(A2446&amp;""),CHAR(160),"")," ",""),"년",""))=4,VALUE(SUBSTITUTE(SUBSTITUTE(SUBSTITUTE(TRIM(A2446&amp;""),CHAR(160),"")," ",""),"년",""))&gt;=1900,VALUE(SUBSTITUTE(SUBSTITUTE(SUBSTITUTE(TRIM(A2446&amp;""),CHAR(160),"")," ",""),"년",""))&lt;=2099,TEXT(VALUE(SUBSTITUTE(SUBSTITUTE(SUBSTITUTE(TRIM(A2446&amp;""),CHAR(160),"")," ",""),"년","")),"0000")=SUBSTITUTE(SUBSTITUTE(SUBSTITUTE(TRIM(A2446&amp;""),CHAR(160),"")," ",""),"년","")),SUBSTITUTE(SUBSTITUTE(SUBSTITUTE(TRIM(A2446&amp;""),CHAR(160),"")," ",""),"년",""),""),"")</f>
      </c>
      <c r="I2446" t="str">
        <f>SUBSTITUTE(SUBSTITUTE(SUBSTITUTE(SUBSTITUTE(SUBSTITUTE(TRIM(B2446&amp;""),CHAR(160),"")," ",""),"초등학교","초"),"중학교","중"),"고등학교","고")</f>
      </c>
    </row>
    <row r="2447" customFormat="false" ht="15" hidden="false" customHeight="false" outlineLevel="0" collapsed="false">
      <c r="A2447" s="8"/>
      <c r="B2447" s="8"/>
      <c r="C2447" s="8"/>
      <c r="D2447" s="8"/>
      <c r="E2447" s="8"/>
      <c r="F2447" t="str" s="15">
        <f aca="0">IF(B2447="","",IF(H2447="","확인필요(입력누락)",IF(SUMPRODUCT((실물목록!$P$2:$P$1001&lt;&gt;"")*ISNUMBER(SEARCH(실물목록!$P$2:$P$1001,I2447))*(실물목록!$Q$2:$Q$1001&lt;&gt;"")*ISNUMBER(SEARCH(실물목록!$Q$2:$Q$1001,I2447))*(실물목록!$R$2:$R$1001="")*(실물목록!$O$2:$O$1001&lt;&gt;"")*(실물목록!$O$2:$O$1001=H2447))&gt;0,"실물 있음",IF(SUMPRODUCT((실물목록!$P$2:$P$1001&lt;&gt;"")*ISNUMBER(SEARCH(실물목록!$P$2:$P$1001,I2447))*(실물목록!$R$2:$R$1001&lt;&gt;""))&gt;0,"확인필요(입력누락)",IF(SUMPRODUCT((실물목록!$P$2:$P$1001&lt;&gt;"")*ISNUMBER(SEARCH(실물목록!$P$2:$P$1001,I2447))*(실물목록!$Q$2:$Q$1001&lt;&gt;"")*ISNUMBER(SEARCH(실물목록!$Q$2:$Q$1001,I2447))*(실물목록!$R$2:$R$1001="")*(실물목록!$O$2:$O$1001&lt;&gt;""))&gt;0,"확인필요(연도다름)","실물 없음")))))</f>
      </c>
      <c r="G2447" t="n" s="16">
        <f aca="0">IF(B2447="","",SUMPRODUCT((실물목록!$P$2:$P$1001&lt;&gt;"")*ISNUMBER(SEARCH(실물목록!$P$2:$P$1001,I2447))*(실물목록!$Q$2:$Q$1001&lt;&gt;"")*ISNUMBER(SEARCH(실물목록!$Q$2:$Q$1001,I2447))*(실물목록!$R$2:$R$1001="")*(실물목록!$O$2:$O$1001&lt;&gt;"")*(실물목록!$O$2:$O$1001=H2447)))</f>
      </c>
      <c r="H2447" t="str">
        <f>IFERROR(IF(AND(LEN(SUBSTITUTE(SUBSTITUTE(SUBSTITUTE(TRIM(A2447&amp;""),CHAR(160),"")," ",""),"년",""))=4,VALUE(SUBSTITUTE(SUBSTITUTE(SUBSTITUTE(TRIM(A2447&amp;""),CHAR(160),"")," ",""),"년",""))&gt;=1900,VALUE(SUBSTITUTE(SUBSTITUTE(SUBSTITUTE(TRIM(A2447&amp;""),CHAR(160),"")," ",""),"년",""))&lt;=2099,TEXT(VALUE(SUBSTITUTE(SUBSTITUTE(SUBSTITUTE(TRIM(A2447&amp;""),CHAR(160),"")," ",""),"년","")),"0000")=SUBSTITUTE(SUBSTITUTE(SUBSTITUTE(TRIM(A2447&amp;""),CHAR(160),"")," ",""),"년","")),SUBSTITUTE(SUBSTITUTE(SUBSTITUTE(TRIM(A2447&amp;""),CHAR(160),"")," ",""),"년",""),""),"")</f>
      </c>
      <c r="I2447" t="str">
        <f>SUBSTITUTE(SUBSTITUTE(SUBSTITUTE(SUBSTITUTE(SUBSTITUTE(TRIM(B2447&amp;""),CHAR(160),"")," ",""),"초등학교","초"),"중학교","중"),"고등학교","고")</f>
      </c>
    </row>
    <row r="2448" customFormat="false" ht="15" hidden="false" customHeight="false" outlineLevel="0" collapsed="false">
      <c r="A2448" s="8"/>
      <c r="B2448" s="8"/>
      <c r="C2448" s="8"/>
      <c r="D2448" s="8"/>
      <c r="E2448" s="8"/>
      <c r="F2448" t="str" s="15">
        <f aca="0">IF(B2448="","",IF(H2448="","확인필요(입력누락)",IF(SUMPRODUCT((실물목록!$P$2:$P$1001&lt;&gt;"")*ISNUMBER(SEARCH(실물목록!$P$2:$P$1001,I2448))*(실물목록!$Q$2:$Q$1001&lt;&gt;"")*ISNUMBER(SEARCH(실물목록!$Q$2:$Q$1001,I2448))*(실물목록!$R$2:$R$1001="")*(실물목록!$O$2:$O$1001&lt;&gt;"")*(실물목록!$O$2:$O$1001=H2448))&gt;0,"실물 있음",IF(SUMPRODUCT((실물목록!$P$2:$P$1001&lt;&gt;"")*ISNUMBER(SEARCH(실물목록!$P$2:$P$1001,I2448))*(실물목록!$R$2:$R$1001&lt;&gt;""))&gt;0,"확인필요(입력누락)",IF(SUMPRODUCT((실물목록!$P$2:$P$1001&lt;&gt;"")*ISNUMBER(SEARCH(실물목록!$P$2:$P$1001,I2448))*(실물목록!$Q$2:$Q$1001&lt;&gt;"")*ISNUMBER(SEARCH(실물목록!$Q$2:$Q$1001,I2448))*(실물목록!$R$2:$R$1001="")*(실물목록!$O$2:$O$1001&lt;&gt;""))&gt;0,"확인필요(연도다름)","실물 없음")))))</f>
      </c>
      <c r="G2448" t="n" s="16">
        <f aca="0">IF(B2448="","",SUMPRODUCT((실물목록!$P$2:$P$1001&lt;&gt;"")*ISNUMBER(SEARCH(실물목록!$P$2:$P$1001,I2448))*(실물목록!$Q$2:$Q$1001&lt;&gt;"")*ISNUMBER(SEARCH(실물목록!$Q$2:$Q$1001,I2448))*(실물목록!$R$2:$R$1001="")*(실물목록!$O$2:$O$1001&lt;&gt;"")*(실물목록!$O$2:$O$1001=H2448)))</f>
      </c>
      <c r="H2448" t="str">
        <f>IFERROR(IF(AND(LEN(SUBSTITUTE(SUBSTITUTE(SUBSTITUTE(TRIM(A2448&amp;""),CHAR(160),"")," ",""),"년",""))=4,VALUE(SUBSTITUTE(SUBSTITUTE(SUBSTITUTE(TRIM(A2448&amp;""),CHAR(160),"")," ",""),"년",""))&gt;=1900,VALUE(SUBSTITUTE(SUBSTITUTE(SUBSTITUTE(TRIM(A2448&amp;""),CHAR(160),"")," ",""),"년",""))&lt;=2099,TEXT(VALUE(SUBSTITUTE(SUBSTITUTE(SUBSTITUTE(TRIM(A2448&amp;""),CHAR(160),"")," ",""),"년","")),"0000")=SUBSTITUTE(SUBSTITUTE(SUBSTITUTE(TRIM(A2448&amp;""),CHAR(160),"")," ",""),"년","")),SUBSTITUTE(SUBSTITUTE(SUBSTITUTE(TRIM(A2448&amp;""),CHAR(160),"")," ",""),"년",""),""),"")</f>
      </c>
      <c r="I2448" t="str">
        <f>SUBSTITUTE(SUBSTITUTE(SUBSTITUTE(SUBSTITUTE(SUBSTITUTE(TRIM(B2448&amp;""),CHAR(160),"")," ",""),"초등학교","초"),"중학교","중"),"고등학교","고")</f>
      </c>
    </row>
    <row r="2449" customFormat="false" ht="15" hidden="false" customHeight="false" outlineLevel="0" collapsed="false">
      <c r="A2449" s="8"/>
      <c r="B2449" s="8"/>
      <c r="C2449" s="8"/>
      <c r="D2449" s="8"/>
      <c r="E2449" s="8"/>
      <c r="F2449" t="str" s="15">
        <f aca="0">IF(B2449="","",IF(H2449="","확인필요(입력누락)",IF(SUMPRODUCT((실물목록!$P$2:$P$1001&lt;&gt;"")*ISNUMBER(SEARCH(실물목록!$P$2:$P$1001,I2449))*(실물목록!$Q$2:$Q$1001&lt;&gt;"")*ISNUMBER(SEARCH(실물목록!$Q$2:$Q$1001,I2449))*(실물목록!$R$2:$R$1001="")*(실물목록!$O$2:$O$1001&lt;&gt;"")*(실물목록!$O$2:$O$1001=H2449))&gt;0,"실물 있음",IF(SUMPRODUCT((실물목록!$P$2:$P$1001&lt;&gt;"")*ISNUMBER(SEARCH(실물목록!$P$2:$P$1001,I2449))*(실물목록!$R$2:$R$1001&lt;&gt;""))&gt;0,"확인필요(입력누락)",IF(SUMPRODUCT((실물목록!$P$2:$P$1001&lt;&gt;"")*ISNUMBER(SEARCH(실물목록!$P$2:$P$1001,I2449))*(실물목록!$Q$2:$Q$1001&lt;&gt;"")*ISNUMBER(SEARCH(실물목록!$Q$2:$Q$1001,I2449))*(실물목록!$R$2:$R$1001="")*(실물목록!$O$2:$O$1001&lt;&gt;""))&gt;0,"확인필요(연도다름)","실물 없음")))))</f>
      </c>
      <c r="G2449" t="n" s="16">
        <f aca="0">IF(B2449="","",SUMPRODUCT((실물목록!$P$2:$P$1001&lt;&gt;"")*ISNUMBER(SEARCH(실물목록!$P$2:$P$1001,I2449))*(실물목록!$Q$2:$Q$1001&lt;&gt;"")*ISNUMBER(SEARCH(실물목록!$Q$2:$Q$1001,I2449))*(실물목록!$R$2:$R$1001="")*(실물목록!$O$2:$O$1001&lt;&gt;"")*(실물목록!$O$2:$O$1001=H2449)))</f>
      </c>
      <c r="H2449" t="str">
        <f>IFERROR(IF(AND(LEN(SUBSTITUTE(SUBSTITUTE(SUBSTITUTE(TRIM(A2449&amp;""),CHAR(160),"")," ",""),"년",""))=4,VALUE(SUBSTITUTE(SUBSTITUTE(SUBSTITUTE(TRIM(A2449&amp;""),CHAR(160),"")," ",""),"년",""))&gt;=1900,VALUE(SUBSTITUTE(SUBSTITUTE(SUBSTITUTE(TRIM(A2449&amp;""),CHAR(160),"")," ",""),"년",""))&lt;=2099,TEXT(VALUE(SUBSTITUTE(SUBSTITUTE(SUBSTITUTE(TRIM(A2449&amp;""),CHAR(160),"")," ",""),"년","")),"0000")=SUBSTITUTE(SUBSTITUTE(SUBSTITUTE(TRIM(A2449&amp;""),CHAR(160),"")," ",""),"년","")),SUBSTITUTE(SUBSTITUTE(SUBSTITUTE(TRIM(A2449&amp;""),CHAR(160),"")," ",""),"년",""),""),"")</f>
      </c>
      <c r="I2449" t="str">
        <f>SUBSTITUTE(SUBSTITUTE(SUBSTITUTE(SUBSTITUTE(SUBSTITUTE(TRIM(B2449&amp;""),CHAR(160),"")," ",""),"초등학교","초"),"중학교","중"),"고등학교","고")</f>
      </c>
    </row>
    <row r="2450" customFormat="false" ht="15" hidden="false" customHeight="false" outlineLevel="0" collapsed="false">
      <c r="A2450" s="8"/>
      <c r="B2450" s="8"/>
      <c r="C2450" s="8"/>
      <c r="D2450" s="8"/>
      <c r="E2450" s="8"/>
      <c r="F2450" t="str" s="15">
        <f aca="0">IF(B2450="","",IF(H2450="","확인필요(입력누락)",IF(SUMPRODUCT((실물목록!$P$2:$P$1001&lt;&gt;"")*ISNUMBER(SEARCH(실물목록!$P$2:$P$1001,I2450))*(실물목록!$Q$2:$Q$1001&lt;&gt;"")*ISNUMBER(SEARCH(실물목록!$Q$2:$Q$1001,I2450))*(실물목록!$R$2:$R$1001="")*(실물목록!$O$2:$O$1001&lt;&gt;"")*(실물목록!$O$2:$O$1001=H2450))&gt;0,"실물 있음",IF(SUMPRODUCT((실물목록!$P$2:$P$1001&lt;&gt;"")*ISNUMBER(SEARCH(실물목록!$P$2:$P$1001,I2450))*(실물목록!$R$2:$R$1001&lt;&gt;""))&gt;0,"확인필요(입력누락)",IF(SUMPRODUCT((실물목록!$P$2:$P$1001&lt;&gt;"")*ISNUMBER(SEARCH(실물목록!$P$2:$P$1001,I2450))*(실물목록!$Q$2:$Q$1001&lt;&gt;"")*ISNUMBER(SEARCH(실물목록!$Q$2:$Q$1001,I2450))*(실물목록!$R$2:$R$1001="")*(실물목록!$O$2:$O$1001&lt;&gt;""))&gt;0,"확인필요(연도다름)","실물 없음")))))</f>
      </c>
      <c r="G2450" t="n" s="16">
        <f aca="0">IF(B2450="","",SUMPRODUCT((실물목록!$P$2:$P$1001&lt;&gt;"")*ISNUMBER(SEARCH(실물목록!$P$2:$P$1001,I2450))*(실물목록!$Q$2:$Q$1001&lt;&gt;"")*ISNUMBER(SEARCH(실물목록!$Q$2:$Q$1001,I2450))*(실물목록!$R$2:$R$1001="")*(실물목록!$O$2:$O$1001&lt;&gt;"")*(실물목록!$O$2:$O$1001=H2450)))</f>
      </c>
      <c r="H2450" t="str">
        <f>IFERROR(IF(AND(LEN(SUBSTITUTE(SUBSTITUTE(SUBSTITUTE(TRIM(A2450&amp;""),CHAR(160),"")," ",""),"년",""))=4,VALUE(SUBSTITUTE(SUBSTITUTE(SUBSTITUTE(TRIM(A2450&amp;""),CHAR(160),"")," ",""),"년",""))&gt;=1900,VALUE(SUBSTITUTE(SUBSTITUTE(SUBSTITUTE(TRIM(A2450&amp;""),CHAR(160),"")," ",""),"년",""))&lt;=2099,TEXT(VALUE(SUBSTITUTE(SUBSTITUTE(SUBSTITUTE(TRIM(A2450&amp;""),CHAR(160),"")," ",""),"년","")),"0000")=SUBSTITUTE(SUBSTITUTE(SUBSTITUTE(TRIM(A2450&amp;""),CHAR(160),"")," ",""),"년","")),SUBSTITUTE(SUBSTITUTE(SUBSTITUTE(TRIM(A2450&amp;""),CHAR(160),"")," ",""),"년",""),""),"")</f>
      </c>
      <c r="I2450" t="str">
        <f>SUBSTITUTE(SUBSTITUTE(SUBSTITUTE(SUBSTITUTE(SUBSTITUTE(TRIM(B2450&amp;""),CHAR(160),"")," ",""),"초등학교","초"),"중학교","중"),"고등학교","고")</f>
      </c>
    </row>
    <row r="2451" customFormat="false" ht="15" hidden="false" customHeight="false" outlineLevel="0" collapsed="false">
      <c r="A2451" s="8"/>
      <c r="B2451" s="8"/>
      <c r="C2451" s="8"/>
      <c r="D2451" s="8"/>
      <c r="E2451" s="8"/>
      <c r="F2451" t="str" s="15">
        <f aca="0">IF(B2451="","",IF(H2451="","확인필요(입력누락)",IF(SUMPRODUCT((실물목록!$P$2:$P$1001&lt;&gt;"")*ISNUMBER(SEARCH(실물목록!$P$2:$P$1001,I2451))*(실물목록!$Q$2:$Q$1001&lt;&gt;"")*ISNUMBER(SEARCH(실물목록!$Q$2:$Q$1001,I2451))*(실물목록!$R$2:$R$1001="")*(실물목록!$O$2:$O$1001&lt;&gt;"")*(실물목록!$O$2:$O$1001=H2451))&gt;0,"실물 있음",IF(SUMPRODUCT((실물목록!$P$2:$P$1001&lt;&gt;"")*ISNUMBER(SEARCH(실물목록!$P$2:$P$1001,I2451))*(실물목록!$R$2:$R$1001&lt;&gt;""))&gt;0,"확인필요(입력누락)",IF(SUMPRODUCT((실물목록!$P$2:$P$1001&lt;&gt;"")*ISNUMBER(SEARCH(실물목록!$P$2:$P$1001,I2451))*(실물목록!$Q$2:$Q$1001&lt;&gt;"")*ISNUMBER(SEARCH(실물목록!$Q$2:$Q$1001,I2451))*(실물목록!$R$2:$R$1001="")*(실물목록!$O$2:$O$1001&lt;&gt;""))&gt;0,"확인필요(연도다름)","실물 없음")))))</f>
      </c>
      <c r="G2451" t="n" s="16">
        <f aca="0">IF(B2451="","",SUMPRODUCT((실물목록!$P$2:$P$1001&lt;&gt;"")*ISNUMBER(SEARCH(실물목록!$P$2:$P$1001,I2451))*(실물목록!$Q$2:$Q$1001&lt;&gt;"")*ISNUMBER(SEARCH(실물목록!$Q$2:$Q$1001,I2451))*(실물목록!$R$2:$R$1001="")*(실물목록!$O$2:$O$1001&lt;&gt;"")*(실물목록!$O$2:$O$1001=H2451)))</f>
      </c>
      <c r="H2451" t="str">
        <f>IFERROR(IF(AND(LEN(SUBSTITUTE(SUBSTITUTE(SUBSTITUTE(TRIM(A2451&amp;""),CHAR(160),"")," ",""),"년",""))=4,VALUE(SUBSTITUTE(SUBSTITUTE(SUBSTITUTE(TRIM(A2451&amp;""),CHAR(160),"")," ",""),"년",""))&gt;=1900,VALUE(SUBSTITUTE(SUBSTITUTE(SUBSTITUTE(TRIM(A2451&amp;""),CHAR(160),"")," ",""),"년",""))&lt;=2099,TEXT(VALUE(SUBSTITUTE(SUBSTITUTE(SUBSTITUTE(TRIM(A2451&amp;""),CHAR(160),"")," ",""),"년","")),"0000")=SUBSTITUTE(SUBSTITUTE(SUBSTITUTE(TRIM(A2451&amp;""),CHAR(160),"")," ",""),"년","")),SUBSTITUTE(SUBSTITUTE(SUBSTITUTE(TRIM(A2451&amp;""),CHAR(160),"")," ",""),"년",""),""),"")</f>
      </c>
      <c r="I2451" t="str">
        <f>SUBSTITUTE(SUBSTITUTE(SUBSTITUTE(SUBSTITUTE(SUBSTITUTE(TRIM(B2451&amp;""),CHAR(160),"")," ",""),"초등학교","초"),"중학교","중"),"고등학교","고")</f>
      </c>
    </row>
    <row r="2452" customFormat="false" ht="15" hidden="false" customHeight="false" outlineLevel="0" collapsed="false">
      <c r="A2452" s="8"/>
      <c r="B2452" s="8"/>
      <c r="C2452" s="8"/>
      <c r="D2452" s="8"/>
      <c r="E2452" s="8"/>
      <c r="F2452" t="str" s="15">
        <f aca="0">IF(B2452="","",IF(H2452="","확인필요(입력누락)",IF(SUMPRODUCT((실물목록!$P$2:$P$1001&lt;&gt;"")*ISNUMBER(SEARCH(실물목록!$P$2:$P$1001,I2452))*(실물목록!$Q$2:$Q$1001&lt;&gt;"")*ISNUMBER(SEARCH(실물목록!$Q$2:$Q$1001,I2452))*(실물목록!$R$2:$R$1001="")*(실물목록!$O$2:$O$1001&lt;&gt;"")*(실물목록!$O$2:$O$1001=H2452))&gt;0,"실물 있음",IF(SUMPRODUCT((실물목록!$P$2:$P$1001&lt;&gt;"")*ISNUMBER(SEARCH(실물목록!$P$2:$P$1001,I2452))*(실물목록!$R$2:$R$1001&lt;&gt;""))&gt;0,"확인필요(입력누락)",IF(SUMPRODUCT((실물목록!$P$2:$P$1001&lt;&gt;"")*ISNUMBER(SEARCH(실물목록!$P$2:$P$1001,I2452))*(실물목록!$Q$2:$Q$1001&lt;&gt;"")*ISNUMBER(SEARCH(실물목록!$Q$2:$Q$1001,I2452))*(실물목록!$R$2:$R$1001="")*(실물목록!$O$2:$O$1001&lt;&gt;""))&gt;0,"확인필요(연도다름)","실물 없음")))))</f>
      </c>
      <c r="G2452" t="n" s="16">
        <f aca="0">IF(B2452="","",SUMPRODUCT((실물목록!$P$2:$P$1001&lt;&gt;"")*ISNUMBER(SEARCH(실물목록!$P$2:$P$1001,I2452))*(실물목록!$Q$2:$Q$1001&lt;&gt;"")*ISNUMBER(SEARCH(실물목록!$Q$2:$Q$1001,I2452))*(실물목록!$R$2:$R$1001="")*(실물목록!$O$2:$O$1001&lt;&gt;"")*(실물목록!$O$2:$O$1001=H2452)))</f>
      </c>
      <c r="H2452" t="str">
        <f>IFERROR(IF(AND(LEN(SUBSTITUTE(SUBSTITUTE(SUBSTITUTE(TRIM(A2452&amp;""),CHAR(160),"")," ",""),"년",""))=4,VALUE(SUBSTITUTE(SUBSTITUTE(SUBSTITUTE(TRIM(A2452&amp;""),CHAR(160),"")," ",""),"년",""))&gt;=1900,VALUE(SUBSTITUTE(SUBSTITUTE(SUBSTITUTE(TRIM(A2452&amp;""),CHAR(160),"")," ",""),"년",""))&lt;=2099,TEXT(VALUE(SUBSTITUTE(SUBSTITUTE(SUBSTITUTE(TRIM(A2452&amp;""),CHAR(160),"")," ",""),"년","")),"0000")=SUBSTITUTE(SUBSTITUTE(SUBSTITUTE(TRIM(A2452&amp;""),CHAR(160),"")," ",""),"년","")),SUBSTITUTE(SUBSTITUTE(SUBSTITUTE(TRIM(A2452&amp;""),CHAR(160),"")," ",""),"년",""),""),"")</f>
      </c>
      <c r="I2452" t="str">
        <f>SUBSTITUTE(SUBSTITUTE(SUBSTITUTE(SUBSTITUTE(SUBSTITUTE(TRIM(B2452&amp;""),CHAR(160),"")," ",""),"초등학교","초"),"중학교","중"),"고등학교","고")</f>
      </c>
    </row>
    <row r="2453" customFormat="false" ht="15" hidden="false" customHeight="false" outlineLevel="0" collapsed="false">
      <c r="A2453" s="8"/>
      <c r="B2453" s="8"/>
      <c r="C2453" s="8"/>
      <c r="D2453" s="8"/>
      <c r="E2453" s="8"/>
      <c r="F2453" t="str" s="15">
        <f aca="0">IF(B2453="","",IF(H2453="","확인필요(입력누락)",IF(SUMPRODUCT((실물목록!$P$2:$P$1001&lt;&gt;"")*ISNUMBER(SEARCH(실물목록!$P$2:$P$1001,I2453))*(실물목록!$Q$2:$Q$1001&lt;&gt;"")*ISNUMBER(SEARCH(실물목록!$Q$2:$Q$1001,I2453))*(실물목록!$R$2:$R$1001="")*(실물목록!$O$2:$O$1001&lt;&gt;"")*(실물목록!$O$2:$O$1001=H2453))&gt;0,"실물 있음",IF(SUMPRODUCT((실물목록!$P$2:$P$1001&lt;&gt;"")*ISNUMBER(SEARCH(실물목록!$P$2:$P$1001,I2453))*(실물목록!$R$2:$R$1001&lt;&gt;""))&gt;0,"확인필요(입력누락)",IF(SUMPRODUCT((실물목록!$P$2:$P$1001&lt;&gt;"")*ISNUMBER(SEARCH(실물목록!$P$2:$P$1001,I2453))*(실물목록!$Q$2:$Q$1001&lt;&gt;"")*ISNUMBER(SEARCH(실물목록!$Q$2:$Q$1001,I2453))*(실물목록!$R$2:$R$1001="")*(실물목록!$O$2:$O$1001&lt;&gt;""))&gt;0,"확인필요(연도다름)","실물 없음")))))</f>
      </c>
      <c r="G2453" t="n" s="16">
        <f aca="0">IF(B2453="","",SUMPRODUCT((실물목록!$P$2:$P$1001&lt;&gt;"")*ISNUMBER(SEARCH(실물목록!$P$2:$P$1001,I2453))*(실물목록!$Q$2:$Q$1001&lt;&gt;"")*ISNUMBER(SEARCH(실물목록!$Q$2:$Q$1001,I2453))*(실물목록!$R$2:$R$1001="")*(실물목록!$O$2:$O$1001&lt;&gt;"")*(실물목록!$O$2:$O$1001=H2453)))</f>
      </c>
      <c r="H2453" t="str">
        <f>IFERROR(IF(AND(LEN(SUBSTITUTE(SUBSTITUTE(SUBSTITUTE(TRIM(A2453&amp;""),CHAR(160),"")," ",""),"년",""))=4,VALUE(SUBSTITUTE(SUBSTITUTE(SUBSTITUTE(TRIM(A2453&amp;""),CHAR(160),"")," ",""),"년",""))&gt;=1900,VALUE(SUBSTITUTE(SUBSTITUTE(SUBSTITUTE(TRIM(A2453&amp;""),CHAR(160),"")," ",""),"년",""))&lt;=2099,TEXT(VALUE(SUBSTITUTE(SUBSTITUTE(SUBSTITUTE(TRIM(A2453&amp;""),CHAR(160),"")," ",""),"년","")),"0000")=SUBSTITUTE(SUBSTITUTE(SUBSTITUTE(TRIM(A2453&amp;""),CHAR(160),"")," ",""),"년","")),SUBSTITUTE(SUBSTITUTE(SUBSTITUTE(TRIM(A2453&amp;""),CHAR(160),"")," ",""),"년",""),""),"")</f>
      </c>
      <c r="I2453" t="str">
        <f>SUBSTITUTE(SUBSTITUTE(SUBSTITUTE(SUBSTITUTE(SUBSTITUTE(TRIM(B2453&amp;""),CHAR(160),"")," ",""),"초등학교","초"),"중학교","중"),"고등학교","고")</f>
      </c>
    </row>
    <row r="2454" customFormat="false" ht="15" hidden="false" customHeight="false" outlineLevel="0" collapsed="false">
      <c r="A2454" s="8"/>
      <c r="B2454" s="8"/>
      <c r="C2454" s="8"/>
      <c r="D2454" s="8"/>
      <c r="E2454" s="8"/>
      <c r="F2454" t="str" s="15">
        <f aca="0">IF(B2454="","",IF(H2454="","확인필요(입력누락)",IF(SUMPRODUCT((실물목록!$P$2:$P$1001&lt;&gt;"")*ISNUMBER(SEARCH(실물목록!$P$2:$P$1001,I2454))*(실물목록!$Q$2:$Q$1001&lt;&gt;"")*ISNUMBER(SEARCH(실물목록!$Q$2:$Q$1001,I2454))*(실물목록!$R$2:$R$1001="")*(실물목록!$O$2:$O$1001&lt;&gt;"")*(실물목록!$O$2:$O$1001=H2454))&gt;0,"실물 있음",IF(SUMPRODUCT((실물목록!$P$2:$P$1001&lt;&gt;"")*ISNUMBER(SEARCH(실물목록!$P$2:$P$1001,I2454))*(실물목록!$R$2:$R$1001&lt;&gt;""))&gt;0,"확인필요(입력누락)",IF(SUMPRODUCT((실물목록!$P$2:$P$1001&lt;&gt;"")*ISNUMBER(SEARCH(실물목록!$P$2:$P$1001,I2454))*(실물목록!$Q$2:$Q$1001&lt;&gt;"")*ISNUMBER(SEARCH(실물목록!$Q$2:$Q$1001,I2454))*(실물목록!$R$2:$R$1001="")*(실물목록!$O$2:$O$1001&lt;&gt;""))&gt;0,"확인필요(연도다름)","실물 없음")))))</f>
      </c>
      <c r="G2454" t="n" s="16">
        <f aca="0">IF(B2454="","",SUMPRODUCT((실물목록!$P$2:$P$1001&lt;&gt;"")*ISNUMBER(SEARCH(실물목록!$P$2:$P$1001,I2454))*(실물목록!$Q$2:$Q$1001&lt;&gt;"")*ISNUMBER(SEARCH(실물목록!$Q$2:$Q$1001,I2454))*(실물목록!$R$2:$R$1001="")*(실물목록!$O$2:$O$1001&lt;&gt;"")*(실물목록!$O$2:$O$1001=H2454)))</f>
      </c>
      <c r="H2454" t="str">
        <f>IFERROR(IF(AND(LEN(SUBSTITUTE(SUBSTITUTE(SUBSTITUTE(TRIM(A2454&amp;""),CHAR(160),"")," ",""),"년",""))=4,VALUE(SUBSTITUTE(SUBSTITUTE(SUBSTITUTE(TRIM(A2454&amp;""),CHAR(160),"")," ",""),"년",""))&gt;=1900,VALUE(SUBSTITUTE(SUBSTITUTE(SUBSTITUTE(TRIM(A2454&amp;""),CHAR(160),"")," ",""),"년",""))&lt;=2099,TEXT(VALUE(SUBSTITUTE(SUBSTITUTE(SUBSTITUTE(TRIM(A2454&amp;""),CHAR(160),"")," ",""),"년","")),"0000")=SUBSTITUTE(SUBSTITUTE(SUBSTITUTE(TRIM(A2454&amp;""),CHAR(160),"")," ",""),"년","")),SUBSTITUTE(SUBSTITUTE(SUBSTITUTE(TRIM(A2454&amp;""),CHAR(160),"")," ",""),"년",""),""),"")</f>
      </c>
      <c r="I2454" t="str">
        <f>SUBSTITUTE(SUBSTITUTE(SUBSTITUTE(SUBSTITUTE(SUBSTITUTE(TRIM(B2454&amp;""),CHAR(160),"")," ",""),"초등학교","초"),"중학교","중"),"고등학교","고")</f>
      </c>
    </row>
    <row r="2455" customFormat="false" ht="15" hidden="false" customHeight="false" outlineLevel="0" collapsed="false">
      <c r="A2455" s="8"/>
      <c r="B2455" s="8"/>
      <c r="C2455" s="8"/>
      <c r="D2455" s="8"/>
      <c r="E2455" s="8"/>
      <c r="F2455" t="str" s="15">
        <f aca="0">IF(B2455="","",IF(H2455="","확인필요(입력누락)",IF(SUMPRODUCT((실물목록!$P$2:$P$1001&lt;&gt;"")*ISNUMBER(SEARCH(실물목록!$P$2:$P$1001,I2455))*(실물목록!$Q$2:$Q$1001&lt;&gt;"")*ISNUMBER(SEARCH(실물목록!$Q$2:$Q$1001,I2455))*(실물목록!$R$2:$R$1001="")*(실물목록!$O$2:$O$1001&lt;&gt;"")*(실물목록!$O$2:$O$1001=H2455))&gt;0,"실물 있음",IF(SUMPRODUCT((실물목록!$P$2:$P$1001&lt;&gt;"")*ISNUMBER(SEARCH(실물목록!$P$2:$P$1001,I2455))*(실물목록!$R$2:$R$1001&lt;&gt;""))&gt;0,"확인필요(입력누락)",IF(SUMPRODUCT((실물목록!$P$2:$P$1001&lt;&gt;"")*ISNUMBER(SEARCH(실물목록!$P$2:$P$1001,I2455))*(실물목록!$Q$2:$Q$1001&lt;&gt;"")*ISNUMBER(SEARCH(실물목록!$Q$2:$Q$1001,I2455))*(실물목록!$R$2:$R$1001="")*(실물목록!$O$2:$O$1001&lt;&gt;""))&gt;0,"확인필요(연도다름)","실물 없음")))))</f>
      </c>
      <c r="G2455" t="n" s="16">
        <f aca="0">IF(B2455="","",SUMPRODUCT((실물목록!$P$2:$P$1001&lt;&gt;"")*ISNUMBER(SEARCH(실물목록!$P$2:$P$1001,I2455))*(실물목록!$Q$2:$Q$1001&lt;&gt;"")*ISNUMBER(SEARCH(실물목록!$Q$2:$Q$1001,I2455))*(실물목록!$R$2:$R$1001="")*(실물목록!$O$2:$O$1001&lt;&gt;"")*(실물목록!$O$2:$O$1001=H2455)))</f>
      </c>
      <c r="H2455" t="str">
        <f>IFERROR(IF(AND(LEN(SUBSTITUTE(SUBSTITUTE(SUBSTITUTE(TRIM(A2455&amp;""),CHAR(160),"")," ",""),"년",""))=4,VALUE(SUBSTITUTE(SUBSTITUTE(SUBSTITUTE(TRIM(A2455&amp;""),CHAR(160),"")," ",""),"년",""))&gt;=1900,VALUE(SUBSTITUTE(SUBSTITUTE(SUBSTITUTE(TRIM(A2455&amp;""),CHAR(160),"")," ",""),"년",""))&lt;=2099,TEXT(VALUE(SUBSTITUTE(SUBSTITUTE(SUBSTITUTE(TRIM(A2455&amp;""),CHAR(160),"")," ",""),"년","")),"0000")=SUBSTITUTE(SUBSTITUTE(SUBSTITUTE(TRIM(A2455&amp;""),CHAR(160),"")," ",""),"년","")),SUBSTITUTE(SUBSTITUTE(SUBSTITUTE(TRIM(A2455&amp;""),CHAR(160),"")," ",""),"년",""),""),"")</f>
      </c>
      <c r="I2455" t="str">
        <f>SUBSTITUTE(SUBSTITUTE(SUBSTITUTE(SUBSTITUTE(SUBSTITUTE(TRIM(B2455&amp;""),CHAR(160),"")," ",""),"초등학교","초"),"중학교","중"),"고등학교","고")</f>
      </c>
    </row>
    <row r="2456" customFormat="false" ht="15" hidden="false" customHeight="false" outlineLevel="0" collapsed="false">
      <c r="A2456" s="8"/>
      <c r="B2456" s="8"/>
      <c r="C2456" s="8"/>
      <c r="D2456" s="8"/>
      <c r="E2456" s="8"/>
      <c r="F2456" t="str" s="15">
        <f aca="0">IF(B2456="","",IF(H2456="","확인필요(입력누락)",IF(SUMPRODUCT((실물목록!$P$2:$P$1001&lt;&gt;"")*ISNUMBER(SEARCH(실물목록!$P$2:$P$1001,I2456))*(실물목록!$Q$2:$Q$1001&lt;&gt;"")*ISNUMBER(SEARCH(실물목록!$Q$2:$Q$1001,I2456))*(실물목록!$R$2:$R$1001="")*(실물목록!$O$2:$O$1001&lt;&gt;"")*(실물목록!$O$2:$O$1001=H2456))&gt;0,"실물 있음",IF(SUMPRODUCT((실물목록!$P$2:$P$1001&lt;&gt;"")*ISNUMBER(SEARCH(실물목록!$P$2:$P$1001,I2456))*(실물목록!$R$2:$R$1001&lt;&gt;""))&gt;0,"확인필요(입력누락)",IF(SUMPRODUCT((실물목록!$P$2:$P$1001&lt;&gt;"")*ISNUMBER(SEARCH(실물목록!$P$2:$P$1001,I2456))*(실물목록!$Q$2:$Q$1001&lt;&gt;"")*ISNUMBER(SEARCH(실물목록!$Q$2:$Q$1001,I2456))*(실물목록!$R$2:$R$1001="")*(실물목록!$O$2:$O$1001&lt;&gt;""))&gt;0,"확인필요(연도다름)","실물 없음")))))</f>
      </c>
      <c r="G2456" t="n" s="16">
        <f aca="0">IF(B2456="","",SUMPRODUCT((실물목록!$P$2:$P$1001&lt;&gt;"")*ISNUMBER(SEARCH(실물목록!$P$2:$P$1001,I2456))*(실물목록!$Q$2:$Q$1001&lt;&gt;"")*ISNUMBER(SEARCH(실물목록!$Q$2:$Q$1001,I2456))*(실물목록!$R$2:$R$1001="")*(실물목록!$O$2:$O$1001&lt;&gt;"")*(실물목록!$O$2:$O$1001=H2456)))</f>
      </c>
      <c r="H2456" t="str">
        <f>IFERROR(IF(AND(LEN(SUBSTITUTE(SUBSTITUTE(SUBSTITUTE(TRIM(A2456&amp;""),CHAR(160),"")," ",""),"년",""))=4,VALUE(SUBSTITUTE(SUBSTITUTE(SUBSTITUTE(TRIM(A2456&amp;""),CHAR(160),"")," ",""),"년",""))&gt;=1900,VALUE(SUBSTITUTE(SUBSTITUTE(SUBSTITUTE(TRIM(A2456&amp;""),CHAR(160),"")," ",""),"년",""))&lt;=2099,TEXT(VALUE(SUBSTITUTE(SUBSTITUTE(SUBSTITUTE(TRIM(A2456&amp;""),CHAR(160),"")," ",""),"년","")),"0000")=SUBSTITUTE(SUBSTITUTE(SUBSTITUTE(TRIM(A2456&amp;""),CHAR(160),"")," ",""),"년","")),SUBSTITUTE(SUBSTITUTE(SUBSTITUTE(TRIM(A2456&amp;""),CHAR(160),"")," ",""),"년",""),""),"")</f>
      </c>
      <c r="I2456" t="str">
        <f>SUBSTITUTE(SUBSTITUTE(SUBSTITUTE(SUBSTITUTE(SUBSTITUTE(TRIM(B2456&amp;""),CHAR(160),"")," ",""),"초등학교","초"),"중학교","중"),"고등학교","고")</f>
      </c>
    </row>
    <row r="2457" customFormat="false" ht="15" hidden="false" customHeight="false" outlineLevel="0" collapsed="false">
      <c r="A2457" s="8"/>
      <c r="B2457" s="8"/>
      <c r="C2457" s="8"/>
      <c r="D2457" s="8"/>
      <c r="E2457" s="8"/>
      <c r="F2457" t="str" s="15">
        <f aca="0">IF(B2457="","",IF(H2457="","확인필요(입력누락)",IF(SUMPRODUCT((실물목록!$P$2:$P$1001&lt;&gt;"")*ISNUMBER(SEARCH(실물목록!$P$2:$P$1001,I2457))*(실물목록!$Q$2:$Q$1001&lt;&gt;"")*ISNUMBER(SEARCH(실물목록!$Q$2:$Q$1001,I2457))*(실물목록!$R$2:$R$1001="")*(실물목록!$O$2:$O$1001&lt;&gt;"")*(실물목록!$O$2:$O$1001=H2457))&gt;0,"실물 있음",IF(SUMPRODUCT((실물목록!$P$2:$P$1001&lt;&gt;"")*ISNUMBER(SEARCH(실물목록!$P$2:$P$1001,I2457))*(실물목록!$R$2:$R$1001&lt;&gt;""))&gt;0,"확인필요(입력누락)",IF(SUMPRODUCT((실물목록!$P$2:$P$1001&lt;&gt;"")*ISNUMBER(SEARCH(실물목록!$P$2:$P$1001,I2457))*(실물목록!$Q$2:$Q$1001&lt;&gt;"")*ISNUMBER(SEARCH(실물목록!$Q$2:$Q$1001,I2457))*(실물목록!$R$2:$R$1001="")*(실물목록!$O$2:$O$1001&lt;&gt;""))&gt;0,"확인필요(연도다름)","실물 없음")))))</f>
      </c>
      <c r="G2457" t="n" s="16">
        <f aca="0">IF(B2457="","",SUMPRODUCT((실물목록!$P$2:$P$1001&lt;&gt;"")*ISNUMBER(SEARCH(실물목록!$P$2:$P$1001,I2457))*(실물목록!$Q$2:$Q$1001&lt;&gt;"")*ISNUMBER(SEARCH(실물목록!$Q$2:$Q$1001,I2457))*(실물목록!$R$2:$R$1001="")*(실물목록!$O$2:$O$1001&lt;&gt;"")*(실물목록!$O$2:$O$1001=H2457)))</f>
      </c>
      <c r="H2457" t="str">
        <f>IFERROR(IF(AND(LEN(SUBSTITUTE(SUBSTITUTE(SUBSTITUTE(TRIM(A2457&amp;""),CHAR(160),"")," ",""),"년",""))=4,VALUE(SUBSTITUTE(SUBSTITUTE(SUBSTITUTE(TRIM(A2457&amp;""),CHAR(160),"")," ",""),"년",""))&gt;=1900,VALUE(SUBSTITUTE(SUBSTITUTE(SUBSTITUTE(TRIM(A2457&amp;""),CHAR(160),"")," ",""),"년",""))&lt;=2099,TEXT(VALUE(SUBSTITUTE(SUBSTITUTE(SUBSTITUTE(TRIM(A2457&amp;""),CHAR(160),"")," ",""),"년","")),"0000")=SUBSTITUTE(SUBSTITUTE(SUBSTITUTE(TRIM(A2457&amp;""),CHAR(160),"")," ",""),"년","")),SUBSTITUTE(SUBSTITUTE(SUBSTITUTE(TRIM(A2457&amp;""),CHAR(160),"")," ",""),"년",""),""),"")</f>
      </c>
      <c r="I2457" t="str">
        <f>SUBSTITUTE(SUBSTITUTE(SUBSTITUTE(SUBSTITUTE(SUBSTITUTE(TRIM(B2457&amp;""),CHAR(160),"")," ",""),"초등학교","초"),"중학교","중"),"고등학교","고")</f>
      </c>
    </row>
    <row r="2458" customFormat="false" ht="15" hidden="false" customHeight="false" outlineLevel="0" collapsed="false">
      <c r="A2458" s="8"/>
      <c r="B2458" s="8"/>
      <c r="C2458" s="8"/>
      <c r="D2458" s="8"/>
      <c r="E2458" s="8"/>
      <c r="F2458" t="str" s="15">
        <f aca="0">IF(B2458="","",IF(H2458="","확인필요(입력누락)",IF(SUMPRODUCT((실물목록!$P$2:$P$1001&lt;&gt;"")*ISNUMBER(SEARCH(실물목록!$P$2:$P$1001,I2458))*(실물목록!$Q$2:$Q$1001&lt;&gt;"")*ISNUMBER(SEARCH(실물목록!$Q$2:$Q$1001,I2458))*(실물목록!$R$2:$R$1001="")*(실물목록!$O$2:$O$1001&lt;&gt;"")*(실물목록!$O$2:$O$1001=H2458))&gt;0,"실물 있음",IF(SUMPRODUCT((실물목록!$P$2:$P$1001&lt;&gt;"")*ISNUMBER(SEARCH(실물목록!$P$2:$P$1001,I2458))*(실물목록!$R$2:$R$1001&lt;&gt;""))&gt;0,"확인필요(입력누락)",IF(SUMPRODUCT((실물목록!$P$2:$P$1001&lt;&gt;"")*ISNUMBER(SEARCH(실물목록!$P$2:$P$1001,I2458))*(실물목록!$Q$2:$Q$1001&lt;&gt;"")*ISNUMBER(SEARCH(실물목록!$Q$2:$Q$1001,I2458))*(실물목록!$R$2:$R$1001="")*(실물목록!$O$2:$O$1001&lt;&gt;""))&gt;0,"확인필요(연도다름)","실물 없음")))))</f>
      </c>
      <c r="G2458" t="n" s="16">
        <f aca="0">IF(B2458="","",SUMPRODUCT((실물목록!$P$2:$P$1001&lt;&gt;"")*ISNUMBER(SEARCH(실물목록!$P$2:$P$1001,I2458))*(실물목록!$Q$2:$Q$1001&lt;&gt;"")*ISNUMBER(SEARCH(실물목록!$Q$2:$Q$1001,I2458))*(실물목록!$R$2:$R$1001="")*(실물목록!$O$2:$O$1001&lt;&gt;"")*(실물목록!$O$2:$O$1001=H2458)))</f>
      </c>
      <c r="H2458" t="str">
        <f>IFERROR(IF(AND(LEN(SUBSTITUTE(SUBSTITUTE(SUBSTITUTE(TRIM(A2458&amp;""),CHAR(160),"")," ",""),"년",""))=4,VALUE(SUBSTITUTE(SUBSTITUTE(SUBSTITUTE(TRIM(A2458&amp;""),CHAR(160),"")," ",""),"년",""))&gt;=1900,VALUE(SUBSTITUTE(SUBSTITUTE(SUBSTITUTE(TRIM(A2458&amp;""),CHAR(160),"")," ",""),"년",""))&lt;=2099,TEXT(VALUE(SUBSTITUTE(SUBSTITUTE(SUBSTITUTE(TRIM(A2458&amp;""),CHAR(160),"")," ",""),"년","")),"0000")=SUBSTITUTE(SUBSTITUTE(SUBSTITUTE(TRIM(A2458&amp;""),CHAR(160),"")," ",""),"년","")),SUBSTITUTE(SUBSTITUTE(SUBSTITUTE(TRIM(A2458&amp;""),CHAR(160),"")," ",""),"년",""),""),"")</f>
      </c>
      <c r="I2458" t="str">
        <f>SUBSTITUTE(SUBSTITUTE(SUBSTITUTE(SUBSTITUTE(SUBSTITUTE(TRIM(B2458&amp;""),CHAR(160),"")," ",""),"초등학교","초"),"중학교","중"),"고등학교","고")</f>
      </c>
    </row>
    <row r="2459" customFormat="false" ht="15" hidden="false" customHeight="false" outlineLevel="0" collapsed="false">
      <c r="A2459" s="8"/>
      <c r="B2459" s="8"/>
      <c r="C2459" s="8"/>
      <c r="D2459" s="8"/>
      <c r="E2459" s="8"/>
      <c r="F2459" t="str" s="15">
        <f aca="0">IF(B2459="","",IF(H2459="","확인필요(입력누락)",IF(SUMPRODUCT((실물목록!$P$2:$P$1001&lt;&gt;"")*ISNUMBER(SEARCH(실물목록!$P$2:$P$1001,I2459))*(실물목록!$Q$2:$Q$1001&lt;&gt;"")*ISNUMBER(SEARCH(실물목록!$Q$2:$Q$1001,I2459))*(실물목록!$R$2:$R$1001="")*(실물목록!$O$2:$O$1001&lt;&gt;"")*(실물목록!$O$2:$O$1001=H2459))&gt;0,"실물 있음",IF(SUMPRODUCT((실물목록!$P$2:$P$1001&lt;&gt;"")*ISNUMBER(SEARCH(실물목록!$P$2:$P$1001,I2459))*(실물목록!$R$2:$R$1001&lt;&gt;""))&gt;0,"확인필요(입력누락)",IF(SUMPRODUCT((실물목록!$P$2:$P$1001&lt;&gt;"")*ISNUMBER(SEARCH(실물목록!$P$2:$P$1001,I2459))*(실물목록!$Q$2:$Q$1001&lt;&gt;"")*ISNUMBER(SEARCH(실물목록!$Q$2:$Q$1001,I2459))*(실물목록!$R$2:$R$1001="")*(실물목록!$O$2:$O$1001&lt;&gt;""))&gt;0,"확인필요(연도다름)","실물 없음")))))</f>
      </c>
      <c r="G2459" t="n" s="16">
        <f aca="0">IF(B2459="","",SUMPRODUCT((실물목록!$P$2:$P$1001&lt;&gt;"")*ISNUMBER(SEARCH(실물목록!$P$2:$P$1001,I2459))*(실물목록!$Q$2:$Q$1001&lt;&gt;"")*ISNUMBER(SEARCH(실물목록!$Q$2:$Q$1001,I2459))*(실물목록!$R$2:$R$1001="")*(실물목록!$O$2:$O$1001&lt;&gt;"")*(실물목록!$O$2:$O$1001=H2459)))</f>
      </c>
      <c r="H2459" t="str">
        <f>IFERROR(IF(AND(LEN(SUBSTITUTE(SUBSTITUTE(SUBSTITUTE(TRIM(A2459&amp;""),CHAR(160),"")," ",""),"년",""))=4,VALUE(SUBSTITUTE(SUBSTITUTE(SUBSTITUTE(TRIM(A2459&amp;""),CHAR(160),"")," ",""),"년",""))&gt;=1900,VALUE(SUBSTITUTE(SUBSTITUTE(SUBSTITUTE(TRIM(A2459&amp;""),CHAR(160),"")," ",""),"년",""))&lt;=2099,TEXT(VALUE(SUBSTITUTE(SUBSTITUTE(SUBSTITUTE(TRIM(A2459&amp;""),CHAR(160),"")," ",""),"년","")),"0000")=SUBSTITUTE(SUBSTITUTE(SUBSTITUTE(TRIM(A2459&amp;""),CHAR(160),"")," ",""),"년","")),SUBSTITUTE(SUBSTITUTE(SUBSTITUTE(TRIM(A2459&amp;""),CHAR(160),"")," ",""),"년",""),""),"")</f>
      </c>
      <c r="I2459" t="str">
        <f>SUBSTITUTE(SUBSTITUTE(SUBSTITUTE(SUBSTITUTE(SUBSTITUTE(TRIM(B2459&amp;""),CHAR(160),"")," ",""),"초등학교","초"),"중학교","중"),"고등학교","고")</f>
      </c>
    </row>
    <row r="2460" customFormat="false" ht="15" hidden="false" customHeight="false" outlineLevel="0" collapsed="false">
      <c r="A2460" s="8"/>
      <c r="B2460" s="8"/>
      <c r="C2460" s="8"/>
      <c r="D2460" s="8"/>
      <c r="E2460" s="8"/>
      <c r="F2460" t="str" s="15">
        <f aca="0">IF(B2460="","",IF(H2460="","확인필요(입력누락)",IF(SUMPRODUCT((실물목록!$P$2:$P$1001&lt;&gt;"")*ISNUMBER(SEARCH(실물목록!$P$2:$P$1001,I2460))*(실물목록!$Q$2:$Q$1001&lt;&gt;"")*ISNUMBER(SEARCH(실물목록!$Q$2:$Q$1001,I2460))*(실물목록!$R$2:$R$1001="")*(실물목록!$O$2:$O$1001&lt;&gt;"")*(실물목록!$O$2:$O$1001=H2460))&gt;0,"실물 있음",IF(SUMPRODUCT((실물목록!$P$2:$P$1001&lt;&gt;"")*ISNUMBER(SEARCH(실물목록!$P$2:$P$1001,I2460))*(실물목록!$R$2:$R$1001&lt;&gt;""))&gt;0,"확인필요(입력누락)",IF(SUMPRODUCT((실물목록!$P$2:$P$1001&lt;&gt;"")*ISNUMBER(SEARCH(실물목록!$P$2:$P$1001,I2460))*(실물목록!$Q$2:$Q$1001&lt;&gt;"")*ISNUMBER(SEARCH(실물목록!$Q$2:$Q$1001,I2460))*(실물목록!$R$2:$R$1001="")*(실물목록!$O$2:$O$1001&lt;&gt;""))&gt;0,"확인필요(연도다름)","실물 없음")))))</f>
      </c>
      <c r="G2460" t="n" s="16">
        <f aca="0">IF(B2460="","",SUMPRODUCT((실물목록!$P$2:$P$1001&lt;&gt;"")*ISNUMBER(SEARCH(실물목록!$P$2:$P$1001,I2460))*(실물목록!$Q$2:$Q$1001&lt;&gt;"")*ISNUMBER(SEARCH(실물목록!$Q$2:$Q$1001,I2460))*(실물목록!$R$2:$R$1001="")*(실물목록!$O$2:$O$1001&lt;&gt;"")*(실물목록!$O$2:$O$1001=H2460)))</f>
      </c>
      <c r="H2460" t="str">
        <f>IFERROR(IF(AND(LEN(SUBSTITUTE(SUBSTITUTE(SUBSTITUTE(TRIM(A2460&amp;""),CHAR(160),"")," ",""),"년",""))=4,VALUE(SUBSTITUTE(SUBSTITUTE(SUBSTITUTE(TRIM(A2460&amp;""),CHAR(160),"")," ",""),"년",""))&gt;=1900,VALUE(SUBSTITUTE(SUBSTITUTE(SUBSTITUTE(TRIM(A2460&amp;""),CHAR(160),"")," ",""),"년",""))&lt;=2099,TEXT(VALUE(SUBSTITUTE(SUBSTITUTE(SUBSTITUTE(TRIM(A2460&amp;""),CHAR(160),"")," ",""),"년","")),"0000")=SUBSTITUTE(SUBSTITUTE(SUBSTITUTE(TRIM(A2460&amp;""),CHAR(160),"")," ",""),"년","")),SUBSTITUTE(SUBSTITUTE(SUBSTITUTE(TRIM(A2460&amp;""),CHAR(160),"")," ",""),"년",""),""),"")</f>
      </c>
      <c r="I2460" t="str">
        <f>SUBSTITUTE(SUBSTITUTE(SUBSTITUTE(SUBSTITUTE(SUBSTITUTE(TRIM(B2460&amp;""),CHAR(160),"")," ",""),"초등학교","초"),"중학교","중"),"고등학교","고")</f>
      </c>
    </row>
    <row r="2461" customFormat="false" ht="15" hidden="false" customHeight="false" outlineLevel="0" collapsed="false">
      <c r="A2461" s="8"/>
      <c r="B2461" s="8"/>
      <c r="C2461" s="8"/>
      <c r="D2461" s="8"/>
      <c r="E2461" s="8"/>
      <c r="F2461" t="str" s="15">
        <f aca="0">IF(B2461="","",IF(H2461="","확인필요(입력누락)",IF(SUMPRODUCT((실물목록!$P$2:$P$1001&lt;&gt;"")*ISNUMBER(SEARCH(실물목록!$P$2:$P$1001,I2461))*(실물목록!$Q$2:$Q$1001&lt;&gt;"")*ISNUMBER(SEARCH(실물목록!$Q$2:$Q$1001,I2461))*(실물목록!$R$2:$R$1001="")*(실물목록!$O$2:$O$1001&lt;&gt;"")*(실물목록!$O$2:$O$1001=H2461))&gt;0,"실물 있음",IF(SUMPRODUCT((실물목록!$P$2:$P$1001&lt;&gt;"")*ISNUMBER(SEARCH(실물목록!$P$2:$P$1001,I2461))*(실물목록!$R$2:$R$1001&lt;&gt;""))&gt;0,"확인필요(입력누락)",IF(SUMPRODUCT((실물목록!$P$2:$P$1001&lt;&gt;"")*ISNUMBER(SEARCH(실물목록!$P$2:$P$1001,I2461))*(실물목록!$Q$2:$Q$1001&lt;&gt;"")*ISNUMBER(SEARCH(실물목록!$Q$2:$Q$1001,I2461))*(실물목록!$R$2:$R$1001="")*(실물목록!$O$2:$O$1001&lt;&gt;""))&gt;0,"확인필요(연도다름)","실물 없음")))))</f>
      </c>
      <c r="G2461" t="n" s="16">
        <f aca="0">IF(B2461="","",SUMPRODUCT((실물목록!$P$2:$P$1001&lt;&gt;"")*ISNUMBER(SEARCH(실물목록!$P$2:$P$1001,I2461))*(실물목록!$Q$2:$Q$1001&lt;&gt;"")*ISNUMBER(SEARCH(실물목록!$Q$2:$Q$1001,I2461))*(실물목록!$R$2:$R$1001="")*(실물목록!$O$2:$O$1001&lt;&gt;"")*(실물목록!$O$2:$O$1001=H2461)))</f>
      </c>
      <c r="H2461" t="str">
        <f>IFERROR(IF(AND(LEN(SUBSTITUTE(SUBSTITUTE(SUBSTITUTE(TRIM(A2461&amp;""),CHAR(160),"")," ",""),"년",""))=4,VALUE(SUBSTITUTE(SUBSTITUTE(SUBSTITUTE(TRIM(A2461&amp;""),CHAR(160),"")," ",""),"년",""))&gt;=1900,VALUE(SUBSTITUTE(SUBSTITUTE(SUBSTITUTE(TRIM(A2461&amp;""),CHAR(160),"")," ",""),"년",""))&lt;=2099,TEXT(VALUE(SUBSTITUTE(SUBSTITUTE(SUBSTITUTE(TRIM(A2461&amp;""),CHAR(160),"")," ",""),"년","")),"0000")=SUBSTITUTE(SUBSTITUTE(SUBSTITUTE(TRIM(A2461&amp;""),CHAR(160),"")," ",""),"년","")),SUBSTITUTE(SUBSTITUTE(SUBSTITUTE(TRIM(A2461&amp;""),CHAR(160),"")," ",""),"년",""),""),"")</f>
      </c>
      <c r="I2461" t="str">
        <f>SUBSTITUTE(SUBSTITUTE(SUBSTITUTE(SUBSTITUTE(SUBSTITUTE(TRIM(B2461&amp;""),CHAR(160),"")," ",""),"초등학교","초"),"중학교","중"),"고등학교","고")</f>
      </c>
    </row>
    <row r="2462" customFormat="false" ht="15" hidden="false" customHeight="false" outlineLevel="0" collapsed="false">
      <c r="A2462" s="8"/>
      <c r="B2462" s="8"/>
      <c r="C2462" s="8"/>
      <c r="D2462" s="8"/>
      <c r="E2462" s="8"/>
      <c r="F2462" t="str" s="15">
        <f aca="0">IF(B2462="","",IF(H2462="","확인필요(입력누락)",IF(SUMPRODUCT((실물목록!$P$2:$P$1001&lt;&gt;"")*ISNUMBER(SEARCH(실물목록!$P$2:$P$1001,I2462))*(실물목록!$Q$2:$Q$1001&lt;&gt;"")*ISNUMBER(SEARCH(실물목록!$Q$2:$Q$1001,I2462))*(실물목록!$R$2:$R$1001="")*(실물목록!$O$2:$O$1001&lt;&gt;"")*(실물목록!$O$2:$O$1001=H2462))&gt;0,"실물 있음",IF(SUMPRODUCT((실물목록!$P$2:$P$1001&lt;&gt;"")*ISNUMBER(SEARCH(실물목록!$P$2:$P$1001,I2462))*(실물목록!$R$2:$R$1001&lt;&gt;""))&gt;0,"확인필요(입력누락)",IF(SUMPRODUCT((실물목록!$P$2:$P$1001&lt;&gt;"")*ISNUMBER(SEARCH(실물목록!$P$2:$P$1001,I2462))*(실물목록!$Q$2:$Q$1001&lt;&gt;"")*ISNUMBER(SEARCH(실물목록!$Q$2:$Q$1001,I2462))*(실물목록!$R$2:$R$1001="")*(실물목록!$O$2:$O$1001&lt;&gt;""))&gt;0,"확인필요(연도다름)","실물 없음")))))</f>
      </c>
      <c r="G2462" t="n" s="16">
        <f aca="0">IF(B2462="","",SUMPRODUCT((실물목록!$P$2:$P$1001&lt;&gt;"")*ISNUMBER(SEARCH(실물목록!$P$2:$P$1001,I2462))*(실물목록!$Q$2:$Q$1001&lt;&gt;"")*ISNUMBER(SEARCH(실물목록!$Q$2:$Q$1001,I2462))*(실물목록!$R$2:$R$1001="")*(실물목록!$O$2:$O$1001&lt;&gt;"")*(실물목록!$O$2:$O$1001=H2462)))</f>
      </c>
      <c r="H2462" t="str">
        <f>IFERROR(IF(AND(LEN(SUBSTITUTE(SUBSTITUTE(SUBSTITUTE(TRIM(A2462&amp;""),CHAR(160),"")," ",""),"년",""))=4,VALUE(SUBSTITUTE(SUBSTITUTE(SUBSTITUTE(TRIM(A2462&amp;""),CHAR(160),"")," ",""),"년",""))&gt;=1900,VALUE(SUBSTITUTE(SUBSTITUTE(SUBSTITUTE(TRIM(A2462&amp;""),CHAR(160),"")," ",""),"년",""))&lt;=2099,TEXT(VALUE(SUBSTITUTE(SUBSTITUTE(SUBSTITUTE(TRIM(A2462&amp;""),CHAR(160),"")," ",""),"년","")),"0000")=SUBSTITUTE(SUBSTITUTE(SUBSTITUTE(TRIM(A2462&amp;""),CHAR(160),"")," ",""),"년","")),SUBSTITUTE(SUBSTITUTE(SUBSTITUTE(TRIM(A2462&amp;""),CHAR(160),"")," ",""),"년",""),""),"")</f>
      </c>
      <c r="I2462" t="str">
        <f>SUBSTITUTE(SUBSTITUTE(SUBSTITUTE(SUBSTITUTE(SUBSTITUTE(TRIM(B2462&amp;""),CHAR(160),"")," ",""),"초등학교","초"),"중학교","중"),"고등학교","고")</f>
      </c>
    </row>
    <row r="2463" customFormat="false" ht="15" hidden="false" customHeight="false" outlineLevel="0" collapsed="false">
      <c r="A2463" s="8"/>
      <c r="B2463" s="8"/>
      <c r="C2463" s="8"/>
      <c r="D2463" s="8"/>
      <c r="E2463" s="8"/>
      <c r="F2463" t="str" s="15">
        <f aca="0">IF(B2463="","",IF(H2463="","확인필요(입력누락)",IF(SUMPRODUCT((실물목록!$P$2:$P$1001&lt;&gt;"")*ISNUMBER(SEARCH(실물목록!$P$2:$P$1001,I2463))*(실물목록!$Q$2:$Q$1001&lt;&gt;"")*ISNUMBER(SEARCH(실물목록!$Q$2:$Q$1001,I2463))*(실물목록!$R$2:$R$1001="")*(실물목록!$O$2:$O$1001&lt;&gt;"")*(실물목록!$O$2:$O$1001=H2463))&gt;0,"실물 있음",IF(SUMPRODUCT((실물목록!$P$2:$P$1001&lt;&gt;"")*ISNUMBER(SEARCH(실물목록!$P$2:$P$1001,I2463))*(실물목록!$R$2:$R$1001&lt;&gt;""))&gt;0,"확인필요(입력누락)",IF(SUMPRODUCT((실물목록!$P$2:$P$1001&lt;&gt;"")*ISNUMBER(SEARCH(실물목록!$P$2:$P$1001,I2463))*(실물목록!$Q$2:$Q$1001&lt;&gt;"")*ISNUMBER(SEARCH(실물목록!$Q$2:$Q$1001,I2463))*(실물목록!$R$2:$R$1001="")*(실물목록!$O$2:$O$1001&lt;&gt;""))&gt;0,"확인필요(연도다름)","실물 없음")))))</f>
      </c>
      <c r="G2463" t="n" s="16">
        <f aca="0">IF(B2463="","",SUMPRODUCT((실물목록!$P$2:$P$1001&lt;&gt;"")*ISNUMBER(SEARCH(실물목록!$P$2:$P$1001,I2463))*(실물목록!$Q$2:$Q$1001&lt;&gt;"")*ISNUMBER(SEARCH(실물목록!$Q$2:$Q$1001,I2463))*(실물목록!$R$2:$R$1001="")*(실물목록!$O$2:$O$1001&lt;&gt;"")*(실물목록!$O$2:$O$1001=H2463)))</f>
      </c>
      <c r="H2463" t="str">
        <f>IFERROR(IF(AND(LEN(SUBSTITUTE(SUBSTITUTE(SUBSTITUTE(TRIM(A2463&amp;""),CHAR(160),"")," ",""),"년",""))=4,VALUE(SUBSTITUTE(SUBSTITUTE(SUBSTITUTE(TRIM(A2463&amp;""),CHAR(160),"")," ",""),"년",""))&gt;=1900,VALUE(SUBSTITUTE(SUBSTITUTE(SUBSTITUTE(TRIM(A2463&amp;""),CHAR(160),"")," ",""),"년",""))&lt;=2099,TEXT(VALUE(SUBSTITUTE(SUBSTITUTE(SUBSTITUTE(TRIM(A2463&amp;""),CHAR(160),"")," ",""),"년","")),"0000")=SUBSTITUTE(SUBSTITUTE(SUBSTITUTE(TRIM(A2463&amp;""),CHAR(160),"")," ",""),"년","")),SUBSTITUTE(SUBSTITUTE(SUBSTITUTE(TRIM(A2463&amp;""),CHAR(160),"")," ",""),"년",""),""),"")</f>
      </c>
      <c r="I2463" t="str">
        <f>SUBSTITUTE(SUBSTITUTE(SUBSTITUTE(SUBSTITUTE(SUBSTITUTE(TRIM(B2463&amp;""),CHAR(160),"")," ",""),"초등학교","초"),"중학교","중"),"고등학교","고")</f>
      </c>
    </row>
    <row r="2464" customFormat="false" ht="15" hidden="false" customHeight="false" outlineLevel="0" collapsed="false">
      <c r="A2464" s="8"/>
      <c r="B2464" s="8"/>
      <c r="C2464" s="8"/>
      <c r="D2464" s="8"/>
      <c r="E2464" s="8"/>
      <c r="F2464" t="str" s="15">
        <f aca="0">IF(B2464="","",IF(H2464="","확인필요(입력누락)",IF(SUMPRODUCT((실물목록!$P$2:$P$1001&lt;&gt;"")*ISNUMBER(SEARCH(실물목록!$P$2:$P$1001,I2464))*(실물목록!$Q$2:$Q$1001&lt;&gt;"")*ISNUMBER(SEARCH(실물목록!$Q$2:$Q$1001,I2464))*(실물목록!$R$2:$R$1001="")*(실물목록!$O$2:$O$1001&lt;&gt;"")*(실물목록!$O$2:$O$1001=H2464))&gt;0,"실물 있음",IF(SUMPRODUCT((실물목록!$P$2:$P$1001&lt;&gt;"")*ISNUMBER(SEARCH(실물목록!$P$2:$P$1001,I2464))*(실물목록!$R$2:$R$1001&lt;&gt;""))&gt;0,"확인필요(입력누락)",IF(SUMPRODUCT((실물목록!$P$2:$P$1001&lt;&gt;"")*ISNUMBER(SEARCH(실물목록!$P$2:$P$1001,I2464))*(실물목록!$Q$2:$Q$1001&lt;&gt;"")*ISNUMBER(SEARCH(실물목록!$Q$2:$Q$1001,I2464))*(실물목록!$R$2:$R$1001="")*(실물목록!$O$2:$O$1001&lt;&gt;""))&gt;0,"확인필요(연도다름)","실물 없음")))))</f>
      </c>
      <c r="G2464" t="n" s="16">
        <f aca="0">IF(B2464="","",SUMPRODUCT((실물목록!$P$2:$P$1001&lt;&gt;"")*ISNUMBER(SEARCH(실물목록!$P$2:$P$1001,I2464))*(실물목록!$Q$2:$Q$1001&lt;&gt;"")*ISNUMBER(SEARCH(실물목록!$Q$2:$Q$1001,I2464))*(실물목록!$R$2:$R$1001="")*(실물목록!$O$2:$O$1001&lt;&gt;"")*(실물목록!$O$2:$O$1001=H2464)))</f>
      </c>
      <c r="H2464" t="str">
        <f>IFERROR(IF(AND(LEN(SUBSTITUTE(SUBSTITUTE(SUBSTITUTE(TRIM(A2464&amp;""),CHAR(160),"")," ",""),"년",""))=4,VALUE(SUBSTITUTE(SUBSTITUTE(SUBSTITUTE(TRIM(A2464&amp;""),CHAR(160),"")," ",""),"년",""))&gt;=1900,VALUE(SUBSTITUTE(SUBSTITUTE(SUBSTITUTE(TRIM(A2464&amp;""),CHAR(160),"")," ",""),"년",""))&lt;=2099,TEXT(VALUE(SUBSTITUTE(SUBSTITUTE(SUBSTITUTE(TRIM(A2464&amp;""),CHAR(160),"")," ",""),"년","")),"0000")=SUBSTITUTE(SUBSTITUTE(SUBSTITUTE(TRIM(A2464&amp;""),CHAR(160),"")," ",""),"년","")),SUBSTITUTE(SUBSTITUTE(SUBSTITUTE(TRIM(A2464&amp;""),CHAR(160),"")," ",""),"년",""),""),"")</f>
      </c>
      <c r="I2464" t="str">
        <f>SUBSTITUTE(SUBSTITUTE(SUBSTITUTE(SUBSTITUTE(SUBSTITUTE(TRIM(B2464&amp;""),CHAR(160),"")," ",""),"초등학교","초"),"중학교","중"),"고등학교","고")</f>
      </c>
    </row>
    <row r="2465" customFormat="false" ht="15" hidden="false" customHeight="false" outlineLevel="0" collapsed="false">
      <c r="A2465" s="8"/>
      <c r="B2465" s="8"/>
      <c r="C2465" s="8"/>
      <c r="D2465" s="8"/>
      <c r="E2465" s="8"/>
      <c r="F2465" t="str" s="15">
        <f aca="0">IF(B2465="","",IF(H2465="","확인필요(입력누락)",IF(SUMPRODUCT((실물목록!$P$2:$P$1001&lt;&gt;"")*ISNUMBER(SEARCH(실물목록!$P$2:$P$1001,I2465))*(실물목록!$Q$2:$Q$1001&lt;&gt;"")*ISNUMBER(SEARCH(실물목록!$Q$2:$Q$1001,I2465))*(실물목록!$R$2:$R$1001="")*(실물목록!$O$2:$O$1001&lt;&gt;"")*(실물목록!$O$2:$O$1001=H2465))&gt;0,"실물 있음",IF(SUMPRODUCT((실물목록!$P$2:$P$1001&lt;&gt;"")*ISNUMBER(SEARCH(실물목록!$P$2:$P$1001,I2465))*(실물목록!$R$2:$R$1001&lt;&gt;""))&gt;0,"확인필요(입력누락)",IF(SUMPRODUCT((실물목록!$P$2:$P$1001&lt;&gt;"")*ISNUMBER(SEARCH(실물목록!$P$2:$P$1001,I2465))*(실물목록!$Q$2:$Q$1001&lt;&gt;"")*ISNUMBER(SEARCH(실물목록!$Q$2:$Q$1001,I2465))*(실물목록!$R$2:$R$1001="")*(실물목록!$O$2:$O$1001&lt;&gt;""))&gt;0,"확인필요(연도다름)","실물 없음")))))</f>
      </c>
      <c r="G2465" t="n" s="16">
        <f aca="0">IF(B2465="","",SUMPRODUCT((실물목록!$P$2:$P$1001&lt;&gt;"")*ISNUMBER(SEARCH(실물목록!$P$2:$P$1001,I2465))*(실물목록!$Q$2:$Q$1001&lt;&gt;"")*ISNUMBER(SEARCH(실물목록!$Q$2:$Q$1001,I2465))*(실물목록!$R$2:$R$1001="")*(실물목록!$O$2:$O$1001&lt;&gt;"")*(실물목록!$O$2:$O$1001=H2465)))</f>
      </c>
      <c r="H2465" t="str">
        <f>IFERROR(IF(AND(LEN(SUBSTITUTE(SUBSTITUTE(SUBSTITUTE(TRIM(A2465&amp;""),CHAR(160),"")," ",""),"년",""))=4,VALUE(SUBSTITUTE(SUBSTITUTE(SUBSTITUTE(TRIM(A2465&amp;""),CHAR(160),"")," ",""),"년",""))&gt;=1900,VALUE(SUBSTITUTE(SUBSTITUTE(SUBSTITUTE(TRIM(A2465&amp;""),CHAR(160),"")," ",""),"년",""))&lt;=2099,TEXT(VALUE(SUBSTITUTE(SUBSTITUTE(SUBSTITUTE(TRIM(A2465&amp;""),CHAR(160),"")," ",""),"년","")),"0000")=SUBSTITUTE(SUBSTITUTE(SUBSTITUTE(TRIM(A2465&amp;""),CHAR(160),"")," ",""),"년","")),SUBSTITUTE(SUBSTITUTE(SUBSTITUTE(TRIM(A2465&amp;""),CHAR(160),"")," ",""),"년",""),""),"")</f>
      </c>
      <c r="I2465" t="str">
        <f>SUBSTITUTE(SUBSTITUTE(SUBSTITUTE(SUBSTITUTE(SUBSTITUTE(TRIM(B2465&amp;""),CHAR(160),"")," ",""),"초등학교","초"),"중학교","중"),"고등학교","고")</f>
      </c>
    </row>
    <row r="2466" customFormat="false" ht="15" hidden="false" customHeight="false" outlineLevel="0" collapsed="false">
      <c r="A2466" s="8"/>
      <c r="B2466" s="8"/>
      <c r="C2466" s="8"/>
      <c r="D2466" s="8"/>
      <c r="E2466" s="8"/>
      <c r="F2466" t="str" s="15">
        <f aca="0">IF(B2466="","",IF(H2466="","확인필요(입력누락)",IF(SUMPRODUCT((실물목록!$P$2:$P$1001&lt;&gt;"")*ISNUMBER(SEARCH(실물목록!$P$2:$P$1001,I2466))*(실물목록!$Q$2:$Q$1001&lt;&gt;"")*ISNUMBER(SEARCH(실물목록!$Q$2:$Q$1001,I2466))*(실물목록!$R$2:$R$1001="")*(실물목록!$O$2:$O$1001&lt;&gt;"")*(실물목록!$O$2:$O$1001=H2466))&gt;0,"실물 있음",IF(SUMPRODUCT((실물목록!$P$2:$P$1001&lt;&gt;"")*ISNUMBER(SEARCH(실물목록!$P$2:$P$1001,I2466))*(실물목록!$R$2:$R$1001&lt;&gt;""))&gt;0,"확인필요(입력누락)",IF(SUMPRODUCT((실물목록!$P$2:$P$1001&lt;&gt;"")*ISNUMBER(SEARCH(실물목록!$P$2:$P$1001,I2466))*(실물목록!$Q$2:$Q$1001&lt;&gt;"")*ISNUMBER(SEARCH(실물목록!$Q$2:$Q$1001,I2466))*(실물목록!$R$2:$R$1001="")*(실물목록!$O$2:$O$1001&lt;&gt;""))&gt;0,"확인필요(연도다름)","실물 없음")))))</f>
      </c>
      <c r="G2466" t="n" s="16">
        <f aca="0">IF(B2466="","",SUMPRODUCT((실물목록!$P$2:$P$1001&lt;&gt;"")*ISNUMBER(SEARCH(실물목록!$P$2:$P$1001,I2466))*(실물목록!$Q$2:$Q$1001&lt;&gt;"")*ISNUMBER(SEARCH(실물목록!$Q$2:$Q$1001,I2466))*(실물목록!$R$2:$R$1001="")*(실물목록!$O$2:$O$1001&lt;&gt;"")*(실물목록!$O$2:$O$1001=H2466)))</f>
      </c>
      <c r="H2466" t="str">
        <f>IFERROR(IF(AND(LEN(SUBSTITUTE(SUBSTITUTE(SUBSTITUTE(TRIM(A2466&amp;""),CHAR(160),"")," ",""),"년",""))=4,VALUE(SUBSTITUTE(SUBSTITUTE(SUBSTITUTE(TRIM(A2466&amp;""),CHAR(160),"")," ",""),"년",""))&gt;=1900,VALUE(SUBSTITUTE(SUBSTITUTE(SUBSTITUTE(TRIM(A2466&amp;""),CHAR(160),"")," ",""),"년",""))&lt;=2099,TEXT(VALUE(SUBSTITUTE(SUBSTITUTE(SUBSTITUTE(TRIM(A2466&amp;""),CHAR(160),"")," ",""),"년","")),"0000")=SUBSTITUTE(SUBSTITUTE(SUBSTITUTE(TRIM(A2466&amp;""),CHAR(160),"")," ",""),"년","")),SUBSTITUTE(SUBSTITUTE(SUBSTITUTE(TRIM(A2466&amp;""),CHAR(160),"")," ",""),"년",""),""),"")</f>
      </c>
      <c r="I2466" t="str">
        <f>SUBSTITUTE(SUBSTITUTE(SUBSTITUTE(SUBSTITUTE(SUBSTITUTE(TRIM(B2466&amp;""),CHAR(160),"")," ",""),"초등학교","초"),"중학교","중"),"고등학교","고")</f>
      </c>
    </row>
    <row r="2467" customFormat="false" ht="15" hidden="false" customHeight="false" outlineLevel="0" collapsed="false">
      <c r="A2467" s="8"/>
      <c r="B2467" s="8"/>
      <c r="C2467" s="8"/>
      <c r="D2467" s="8"/>
      <c r="E2467" s="8"/>
      <c r="F2467" t="str" s="15">
        <f aca="0">IF(B2467="","",IF(H2467="","확인필요(입력누락)",IF(SUMPRODUCT((실물목록!$P$2:$P$1001&lt;&gt;"")*ISNUMBER(SEARCH(실물목록!$P$2:$P$1001,I2467))*(실물목록!$Q$2:$Q$1001&lt;&gt;"")*ISNUMBER(SEARCH(실물목록!$Q$2:$Q$1001,I2467))*(실물목록!$R$2:$R$1001="")*(실물목록!$O$2:$O$1001&lt;&gt;"")*(실물목록!$O$2:$O$1001=H2467))&gt;0,"실물 있음",IF(SUMPRODUCT((실물목록!$P$2:$P$1001&lt;&gt;"")*ISNUMBER(SEARCH(실물목록!$P$2:$P$1001,I2467))*(실물목록!$R$2:$R$1001&lt;&gt;""))&gt;0,"확인필요(입력누락)",IF(SUMPRODUCT((실물목록!$P$2:$P$1001&lt;&gt;"")*ISNUMBER(SEARCH(실물목록!$P$2:$P$1001,I2467))*(실물목록!$Q$2:$Q$1001&lt;&gt;"")*ISNUMBER(SEARCH(실물목록!$Q$2:$Q$1001,I2467))*(실물목록!$R$2:$R$1001="")*(실물목록!$O$2:$O$1001&lt;&gt;""))&gt;0,"확인필요(연도다름)","실물 없음")))))</f>
      </c>
      <c r="G2467" t="n" s="16">
        <f aca="0">IF(B2467="","",SUMPRODUCT((실물목록!$P$2:$P$1001&lt;&gt;"")*ISNUMBER(SEARCH(실물목록!$P$2:$P$1001,I2467))*(실물목록!$Q$2:$Q$1001&lt;&gt;"")*ISNUMBER(SEARCH(실물목록!$Q$2:$Q$1001,I2467))*(실물목록!$R$2:$R$1001="")*(실물목록!$O$2:$O$1001&lt;&gt;"")*(실물목록!$O$2:$O$1001=H2467)))</f>
      </c>
      <c r="H2467" t="str">
        <f>IFERROR(IF(AND(LEN(SUBSTITUTE(SUBSTITUTE(SUBSTITUTE(TRIM(A2467&amp;""),CHAR(160),"")," ",""),"년",""))=4,VALUE(SUBSTITUTE(SUBSTITUTE(SUBSTITUTE(TRIM(A2467&amp;""),CHAR(160),"")," ",""),"년",""))&gt;=1900,VALUE(SUBSTITUTE(SUBSTITUTE(SUBSTITUTE(TRIM(A2467&amp;""),CHAR(160),"")," ",""),"년",""))&lt;=2099,TEXT(VALUE(SUBSTITUTE(SUBSTITUTE(SUBSTITUTE(TRIM(A2467&amp;""),CHAR(160),"")," ",""),"년","")),"0000")=SUBSTITUTE(SUBSTITUTE(SUBSTITUTE(TRIM(A2467&amp;""),CHAR(160),"")," ",""),"년","")),SUBSTITUTE(SUBSTITUTE(SUBSTITUTE(TRIM(A2467&amp;""),CHAR(160),"")," ",""),"년",""),""),"")</f>
      </c>
      <c r="I2467" t="str">
        <f>SUBSTITUTE(SUBSTITUTE(SUBSTITUTE(SUBSTITUTE(SUBSTITUTE(TRIM(B2467&amp;""),CHAR(160),"")," ",""),"초등학교","초"),"중학교","중"),"고등학교","고")</f>
      </c>
    </row>
    <row r="2468" customFormat="false" ht="15" hidden="false" customHeight="false" outlineLevel="0" collapsed="false">
      <c r="A2468" s="8"/>
      <c r="B2468" s="8"/>
      <c r="C2468" s="8"/>
      <c r="D2468" s="8"/>
      <c r="E2468" s="8"/>
      <c r="F2468" t="str" s="15">
        <f aca="0">IF(B2468="","",IF(H2468="","확인필요(입력누락)",IF(SUMPRODUCT((실물목록!$P$2:$P$1001&lt;&gt;"")*ISNUMBER(SEARCH(실물목록!$P$2:$P$1001,I2468))*(실물목록!$Q$2:$Q$1001&lt;&gt;"")*ISNUMBER(SEARCH(실물목록!$Q$2:$Q$1001,I2468))*(실물목록!$R$2:$R$1001="")*(실물목록!$O$2:$O$1001&lt;&gt;"")*(실물목록!$O$2:$O$1001=H2468))&gt;0,"실물 있음",IF(SUMPRODUCT((실물목록!$P$2:$P$1001&lt;&gt;"")*ISNUMBER(SEARCH(실물목록!$P$2:$P$1001,I2468))*(실물목록!$R$2:$R$1001&lt;&gt;""))&gt;0,"확인필요(입력누락)",IF(SUMPRODUCT((실물목록!$P$2:$P$1001&lt;&gt;"")*ISNUMBER(SEARCH(실물목록!$P$2:$P$1001,I2468))*(실물목록!$Q$2:$Q$1001&lt;&gt;"")*ISNUMBER(SEARCH(실물목록!$Q$2:$Q$1001,I2468))*(실물목록!$R$2:$R$1001="")*(실물목록!$O$2:$O$1001&lt;&gt;""))&gt;0,"확인필요(연도다름)","실물 없음")))))</f>
      </c>
      <c r="G2468" t="n" s="16">
        <f aca="0">IF(B2468="","",SUMPRODUCT((실물목록!$P$2:$P$1001&lt;&gt;"")*ISNUMBER(SEARCH(실물목록!$P$2:$P$1001,I2468))*(실물목록!$Q$2:$Q$1001&lt;&gt;"")*ISNUMBER(SEARCH(실물목록!$Q$2:$Q$1001,I2468))*(실물목록!$R$2:$R$1001="")*(실물목록!$O$2:$O$1001&lt;&gt;"")*(실물목록!$O$2:$O$1001=H2468)))</f>
      </c>
      <c r="H2468" t="str">
        <f>IFERROR(IF(AND(LEN(SUBSTITUTE(SUBSTITUTE(SUBSTITUTE(TRIM(A2468&amp;""),CHAR(160),"")," ",""),"년",""))=4,VALUE(SUBSTITUTE(SUBSTITUTE(SUBSTITUTE(TRIM(A2468&amp;""),CHAR(160),"")," ",""),"년",""))&gt;=1900,VALUE(SUBSTITUTE(SUBSTITUTE(SUBSTITUTE(TRIM(A2468&amp;""),CHAR(160),"")," ",""),"년",""))&lt;=2099,TEXT(VALUE(SUBSTITUTE(SUBSTITUTE(SUBSTITUTE(TRIM(A2468&amp;""),CHAR(160),"")," ",""),"년","")),"0000")=SUBSTITUTE(SUBSTITUTE(SUBSTITUTE(TRIM(A2468&amp;""),CHAR(160),"")," ",""),"년","")),SUBSTITUTE(SUBSTITUTE(SUBSTITUTE(TRIM(A2468&amp;""),CHAR(160),"")," ",""),"년",""),""),"")</f>
      </c>
      <c r="I2468" t="str">
        <f>SUBSTITUTE(SUBSTITUTE(SUBSTITUTE(SUBSTITUTE(SUBSTITUTE(TRIM(B2468&amp;""),CHAR(160),"")," ",""),"초등학교","초"),"중학교","중"),"고등학교","고")</f>
      </c>
    </row>
    <row r="2469" customFormat="false" ht="15" hidden="false" customHeight="false" outlineLevel="0" collapsed="false">
      <c r="A2469" s="8"/>
      <c r="B2469" s="8"/>
      <c r="C2469" s="8"/>
      <c r="D2469" s="8"/>
      <c r="E2469" s="8"/>
      <c r="F2469" t="str" s="15">
        <f aca="0">IF(B2469="","",IF(H2469="","확인필요(입력누락)",IF(SUMPRODUCT((실물목록!$P$2:$P$1001&lt;&gt;"")*ISNUMBER(SEARCH(실물목록!$P$2:$P$1001,I2469))*(실물목록!$Q$2:$Q$1001&lt;&gt;"")*ISNUMBER(SEARCH(실물목록!$Q$2:$Q$1001,I2469))*(실물목록!$R$2:$R$1001="")*(실물목록!$O$2:$O$1001&lt;&gt;"")*(실물목록!$O$2:$O$1001=H2469))&gt;0,"실물 있음",IF(SUMPRODUCT((실물목록!$P$2:$P$1001&lt;&gt;"")*ISNUMBER(SEARCH(실물목록!$P$2:$P$1001,I2469))*(실물목록!$R$2:$R$1001&lt;&gt;""))&gt;0,"확인필요(입력누락)",IF(SUMPRODUCT((실물목록!$P$2:$P$1001&lt;&gt;"")*ISNUMBER(SEARCH(실물목록!$P$2:$P$1001,I2469))*(실물목록!$Q$2:$Q$1001&lt;&gt;"")*ISNUMBER(SEARCH(실물목록!$Q$2:$Q$1001,I2469))*(실물목록!$R$2:$R$1001="")*(실물목록!$O$2:$O$1001&lt;&gt;""))&gt;0,"확인필요(연도다름)","실물 없음")))))</f>
      </c>
      <c r="G2469" t="n" s="16">
        <f aca="0">IF(B2469="","",SUMPRODUCT((실물목록!$P$2:$P$1001&lt;&gt;"")*ISNUMBER(SEARCH(실물목록!$P$2:$P$1001,I2469))*(실물목록!$Q$2:$Q$1001&lt;&gt;"")*ISNUMBER(SEARCH(실물목록!$Q$2:$Q$1001,I2469))*(실물목록!$R$2:$R$1001="")*(실물목록!$O$2:$O$1001&lt;&gt;"")*(실물목록!$O$2:$O$1001=H2469)))</f>
      </c>
      <c r="H2469" t="str">
        <f>IFERROR(IF(AND(LEN(SUBSTITUTE(SUBSTITUTE(SUBSTITUTE(TRIM(A2469&amp;""),CHAR(160),"")," ",""),"년",""))=4,VALUE(SUBSTITUTE(SUBSTITUTE(SUBSTITUTE(TRIM(A2469&amp;""),CHAR(160),"")," ",""),"년",""))&gt;=1900,VALUE(SUBSTITUTE(SUBSTITUTE(SUBSTITUTE(TRIM(A2469&amp;""),CHAR(160),"")," ",""),"년",""))&lt;=2099,TEXT(VALUE(SUBSTITUTE(SUBSTITUTE(SUBSTITUTE(TRIM(A2469&amp;""),CHAR(160),"")," ",""),"년","")),"0000")=SUBSTITUTE(SUBSTITUTE(SUBSTITUTE(TRIM(A2469&amp;""),CHAR(160),"")," ",""),"년","")),SUBSTITUTE(SUBSTITUTE(SUBSTITUTE(TRIM(A2469&amp;""),CHAR(160),"")," ",""),"년",""),""),"")</f>
      </c>
      <c r="I2469" t="str">
        <f>SUBSTITUTE(SUBSTITUTE(SUBSTITUTE(SUBSTITUTE(SUBSTITUTE(TRIM(B2469&amp;""),CHAR(160),"")," ",""),"초등학교","초"),"중학교","중"),"고등학교","고")</f>
      </c>
    </row>
    <row r="2470" customFormat="false" ht="15" hidden="false" customHeight="false" outlineLevel="0" collapsed="false">
      <c r="A2470" s="8"/>
      <c r="B2470" s="8"/>
      <c r="C2470" s="8"/>
      <c r="D2470" s="8"/>
      <c r="E2470" s="8"/>
      <c r="F2470" t="str" s="15">
        <f aca="0">IF(B2470="","",IF(H2470="","확인필요(입력누락)",IF(SUMPRODUCT((실물목록!$P$2:$P$1001&lt;&gt;"")*ISNUMBER(SEARCH(실물목록!$P$2:$P$1001,I2470))*(실물목록!$Q$2:$Q$1001&lt;&gt;"")*ISNUMBER(SEARCH(실물목록!$Q$2:$Q$1001,I2470))*(실물목록!$R$2:$R$1001="")*(실물목록!$O$2:$O$1001&lt;&gt;"")*(실물목록!$O$2:$O$1001=H2470))&gt;0,"실물 있음",IF(SUMPRODUCT((실물목록!$P$2:$P$1001&lt;&gt;"")*ISNUMBER(SEARCH(실물목록!$P$2:$P$1001,I2470))*(실물목록!$R$2:$R$1001&lt;&gt;""))&gt;0,"확인필요(입력누락)",IF(SUMPRODUCT((실물목록!$P$2:$P$1001&lt;&gt;"")*ISNUMBER(SEARCH(실물목록!$P$2:$P$1001,I2470))*(실물목록!$Q$2:$Q$1001&lt;&gt;"")*ISNUMBER(SEARCH(실물목록!$Q$2:$Q$1001,I2470))*(실물목록!$R$2:$R$1001="")*(실물목록!$O$2:$O$1001&lt;&gt;""))&gt;0,"확인필요(연도다름)","실물 없음")))))</f>
      </c>
      <c r="G2470" t="n" s="16">
        <f aca="0">IF(B2470="","",SUMPRODUCT((실물목록!$P$2:$P$1001&lt;&gt;"")*ISNUMBER(SEARCH(실물목록!$P$2:$P$1001,I2470))*(실물목록!$Q$2:$Q$1001&lt;&gt;"")*ISNUMBER(SEARCH(실물목록!$Q$2:$Q$1001,I2470))*(실물목록!$R$2:$R$1001="")*(실물목록!$O$2:$O$1001&lt;&gt;"")*(실물목록!$O$2:$O$1001=H2470)))</f>
      </c>
      <c r="H2470" t="str">
        <f>IFERROR(IF(AND(LEN(SUBSTITUTE(SUBSTITUTE(SUBSTITUTE(TRIM(A2470&amp;""),CHAR(160),"")," ",""),"년",""))=4,VALUE(SUBSTITUTE(SUBSTITUTE(SUBSTITUTE(TRIM(A2470&amp;""),CHAR(160),"")," ",""),"년",""))&gt;=1900,VALUE(SUBSTITUTE(SUBSTITUTE(SUBSTITUTE(TRIM(A2470&amp;""),CHAR(160),"")," ",""),"년",""))&lt;=2099,TEXT(VALUE(SUBSTITUTE(SUBSTITUTE(SUBSTITUTE(TRIM(A2470&amp;""),CHAR(160),"")," ",""),"년","")),"0000")=SUBSTITUTE(SUBSTITUTE(SUBSTITUTE(TRIM(A2470&amp;""),CHAR(160),"")," ",""),"년","")),SUBSTITUTE(SUBSTITUTE(SUBSTITUTE(TRIM(A2470&amp;""),CHAR(160),"")," ",""),"년",""),""),"")</f>
      </c>
      <c r="I2470" t="str">
        <f>SUBSTITUTE(SUBSTITUTE(SUBSTITUTE(SUBSTITUTE(SUBSTITUTE(TRIM(B2470&amp;""),CHAR(160),"")," ",""),"초등학교","초"),"중학교","중"),"고등학교","고")</f>
      </c>
    </row>
    <row r="2471" customFormat="false" ht="15" hidden="false" customHeight="false" outlineLevel="0" collapsed="false">
      <c r="A2471" s="8"/>
      <c r="B2471" s="8"/>
      <c r="C2471" s="8"/>
      <c r="D2471" s="8"/>
      <c r="E2471" s="8"/>
      <c r="F2471" t="str" s="15">
        <f aca="0">IF(B2471="","",IF(H2471="","확인필요(입력누락)",IF(SUMPRODUCT((실물목록!$P$2:$P$1001&lt;&gt;"")*ISNUMBER(SEARCH(실물목록!$P$2:$P$1001,I2471))*(실물목록!$Q$2:$Q$1001&lt;&gt;"")*ISNUMBER(SEARCH(실물목록!$Q$2:$Q$1001,I2471))*(실물목록!$R$2:$R$1001="")*(실물목록!$O$2:$O$1001&lt;&gt;"")*(실물목록!$O$2:$O$1001=H2471))&gt;0,"실물 있음",IF(SUMPRODUCT((실물목록!$P$2:$P$1001&lt;&gt;"")*ISNUMBER(SEARCH(실물목록!$P$2:$P$1001,I2471))*(실물목록!$R$2:$R$1001&lt;&gt;""))&gt;0,"확인필요(입력누락)",IF(SUMPRODUCT((실물목록!$P$2:$P$1001&lt;&gt;"")*ISNUMBER(SEARCH(실물목록!$P$2:$P$1001,I2471))*(실물목록!$Q$2:$Q$1001&lt;&gt;"")*ISNUMBER(SEARCH(실물목록!$Q$2:$Q$1001,I2471))*(실물목록!$R$2:$R$1001="")*(실물목록!$O$2:$O$1001&lt;&gt;""))&gt;0,"확인필요(연도다름)","실물 없음")))))</f>
      </c>
      <c r="G2471" t="n" s="16">
        <f aca="0">IF(B2471="","",SUMPRODUCT((실물목록!$P$2:$P$1001&lt;&gt;"")*ISNUMBER(SEARCH(실물목록!$P$2:$P$1001,I2471))*(실물목록!$Q$2:$Q$1001&lt;&gt;"")*ISNUMBER(SEARCH(실물목록!$Q$2:$Q$1001,I2471))*(실물목록!$R$2:$R$1001="")*(실물목록!$O$2:$O$1001&lt;&gt;"")*(실물목록!$O$2:$O$1001=H2471)))</f>
      </c>
      <c r="H2471" t="str">
        <f>IFERROR(IF(AND(LEN(SUBSTITUTE(SUBSTITUTE(SUBSTITUTE(TRIM(A2471&amp;""),CHAR(160),"")," ",""),"년",""))=4,VALUE(SUBSTITUTE(SUBSTITUTE(SUBSTITUTE(TRIM(A2471&amp;""),CHAR(160),"")," ",""),"년",""))&gt;=1900,VALUE(SUBSTITUTE(SUBSTITUTE(SUBSTITUTE(TRIM(A2471&amp;""),CHAR(160),"")," ",""),"년",""))&lt;=2099,TEXT(VALUE(SUBSTITUTE(SUBSTITUTE(SUBSTITUTE(TRIM(A2471&amp;""),CHAR(160),"")," ",""),"년","")),"0000")=SUBSTITUTE(SUBSTITUTE(SUBSTITUTE(TRIM(A2471&amp;""),CHAR(160),"")," ",""),"년","")),SUBSTITUTE(SUBSTITUTE(SUBSTITUTE(TRIM(A2471&amp;""),CHAR(160),"")," ",""),"년",""),""),"")</f>
      </c>
      <c r="I2471" t="str">
        <f>SUBSTITUTE(SUBSTITUTE(SUBSTITUTE(SUBSTITUTE(SUBSTITUTE(TRIM(B2471&amp;""),CHAR(160),"")," ",""),"초등학교","초"),"중학교","중"),"고등학교","고")</f>
      </c>
    </row>
    <row r="2472" customFormat="false" ht="15" hidden="false" customHeight="false" outlineLevel="0" collapsed="false">
      <c r="A2472" s="8"/>
      <c r="B2472" s="8"/>
      <c r="C2472" s="8"/>
      <c r="D2472" s="8"/>
      <c r="E2472" s="8"/>
      <c r="F2472" t="str" s="15">
        <f aca="0">IF(B2472="","",IF(H2472="","확인필요(입력누락)",IF(SUMPRODUCT((실물목록!$P$2:$P$1001&lt;&gt;"")*ISNUMBER(SEARCH(실물목록!$P$2:$P$1001,I2472))*(실물목록!$Q$2:$Q$1001&lt;&gt;"")*ISNUMBER(SEARCH(실물목록!$Q$2:$Q$1001,I2472))*(실물목록!$R$2:$R$1001="")*(실물목록!$O$2:$O$1001&lt;&gt;"")*(실물목록!$O$2:$O$1001=H2472))&gt;0,"실물 있음",IF(SUMPRODUCT((실물목록!$P$2:$P$1001&lt;&gt;"")*ISNUMBER(SEARCH(실물목록!$P$2:$P$1001,I2472))*(실물목록!$R$2:$R$1001&lt;&gt;""))&gt;0,"확인필요(입력누락)",IF(SUMPRODUCT((실물목록!$P$2:$P$1001&lt;&gt;"")*ISNUMBER(SEARCH(실물목록!$P$2:$P$1001,I2472))*(실물목록!$Q$2:$Q$1001&lt;&gt;"")*ISNUMBER(SEARCH(실물목록!$Q$2:$Q$1001,I2472))*(실물목록!$R$2:$R$1001="")*(실물목록!$O$2:$O$1001&lt;&gt;""))&gt;0,"확인필요(연도다름)","실물 없음")))))</f>
      </c>
      <c r="G2472" t="n" s="16">
        <f aca="0">IF(B2472="","",SUMPRODUCT((실물목록!$P$2:$P$1001&lt;&gt;"")*ISNUMBER(SEARCH(실물목록!$P$2:$P$1001,I2472))*(실물목록!$Q$2:$Q$1001&lt;&gt;"")*ISNUMBER(SEARCH(실물목록!$Q$2:$Q$1001,I2472))*(실물목록!$R$2:$R$1001="")*(실물목록!$O$2:$O$1001&lt;&gt;"")*(실물목록!$O$2:$O$1001=H2472)))</f>
      </c>
      <c r="H2472" t="str">
        <f>IFERROR(IF(AND(LEN(SUBSTITUTE(SUBSTITUTE(SUBSTITUTE(TRIM(A2472&amp;""),CHAR(160),"")," ",""),"년",""))=4,VALUE(SUBSTITUTE(SUBSTITUTE(SUBSTITUTE(TRIM(A2472&amp;""),CHAR(160),"")," ",""),"년",""))&gt;=1900,VALUE(SUBSTITUTE(SUBSTITUTE(SUBSTITUTE(TRIM(A2472&amp;""),CHAR(160),"")," ",""),"년",""))&lt;=2099,TEXT(VALUE(SUBSTITUTE(SUBSTITUTE(SUBSTITUTE(TRIM(A2472&amp;""),CHAR(160),"")," ",""),"년","")),"0000")=SUBSTITUTE(SUBSTITUTE(SUBSTITUTE(TRIM(A2472&amp;""),CHAR(160),"")," ",""),"년","")),SUBSTITUTE(SUBSTITUTE(SUBSTITUTE(TRIM(A2472&amp;""),CHAR(160),"")," ",""),"년",""),""),"")</f>
      </c>
      <c r="I2472" t="str">
        <f>SUBSTITUTE(SUBSTITUTE(SUBSTITUTE(SUBSTITUTE(SUBSTITUTE(TRIM(B2472&amp;""),CHAR(160),"")," ",""),"초등학교","초"),"중학교","중"),"고등학교","고")</f>
      </c>
    </row>
    <row r="2473" customFormat="false" ht="15" hidden="false" customHeight="false" outlineLevel="0" collapsed="false">
      <c r="A2473" s="8"/>
      <c r="B2473" s="8"/>
      <c r="C2473" s="8"/>
      <c r="D2473" s="8"/>
      <c r="E2473" s="8"/>
      <c r="F2473" t="str" s="15">
        <f aca="0">IF(B2473="","",IF(H2473="","확인필요(입력누락)",IF(SUMPRODUCT((실물목록!$P$2:$P$1001&lt;&gt;"")*ISNUMBER(SEARCH(실물목록!$P$2:$P$1001,I2473))*(실물목록!$Q$2:$Q$1001&lt;&gt;"")*ISNUMBER(SEARCH(실물목록!$Q$2:$Q$1001,I2473))*(실물목록!$R$2:$R$1001="")*(실물목록!$O$2:$O$1001&lt;&gt;"")*(실물목록!$O$2:$O$1001=H2473))&gt;0,"실물 있음",IF(SUMPRODUCT((실물목록!$P$2:$P$1001&lt;&gt;"")*ISNUMBER(SEARCH(실물목록!$P$2:$P$1001,I2473))*(실물목록!$R$2:$R$1001&lt;&gt;""))&gt;0,"확인필요(입력누락)",IF(SUMPRODUCT((실물목록!$P$2:$P$1001&lt;&gt;"")*ISNUMBER(SEARCH(실물목록!$P$2:$P$1001,I2473))*(실물목록!$Q$2:$Q$1001&lt;&gt;"")*ISNUMBER(SEARCH(실물목록!$Q$2:$Q$1001,I2473))*(실물목록!$R$2:$R$1001="")*(실물목록!$O$2:$O$1001&lt;&gt;""))&gt;0,"확인필요(연도다름)","실물 없음")))))</f>
      </c>
      <c r="G2473" t="n" s="16">
        <f aca="0">IF(B2473="","",SUMPRODUCT((실물목록!$P$2:$P$1001&lt;&gt;"")*ISNUMBER(SEARCH(실물목록!$P$2:$P$1001,I2473))*(실물목록!$Q$2:$Q$1001&lt;&gt;"")*ISNUMBER(SEARCH(실물목록!$Q$2:$Q$1001,I2473))*(실물목록!$R$2:$R$1001="")*(실물목록!$O$2:$O$1001&lt;&gt;"")*(실물목록!$O$2:$O$1001=H2473)))</f>
      </c>
      <c r="H2473" t="str">
        <f>IFERROR(IF(AND(LEN(SUBSTITUTE(SUBSTITUTE(SUBSTITUTE(TRIM(A2473&amp;""),CHAR(160),"")," ",""),"년",""))=4,VALUE(SUBSTITUTE(SUBSTITUTE(SUBSTITUTE(TRIM(A2473&amp;""),CHAR(160),"")," ",""),"년",""))&gt;=1900,VALUE(SUBSTITUTE(SUBSTITUTE(SUBSTITUTE(TRIM(A2473&amp;""),CHAR(160),"")," ",""),"년",""))&lt;=2099,TEXT(VALUE(SUBSTITUTE(SUBSTITUTE(SUBSTITUTE(TRIM(A2473&amp;""),CHAR(160),"")," ",""),"년","")),"0000")=SUBSTITUTE(SUBSTITUTE(SUBSTITUTE(TRIM(A2473&amp;""),CHAR(160),"")," ",""),"년","")),SUBSTITUTE(SUBSTITUTE(SUBSTITUTE(TRIM(A2473&amp;""),CHAR(160),"")," ",""),"년",""),""),"")</f>
      </c>
      <c r="I2473" t="str">
        <f>SUBSTITUTE(SUBSTITUTE(SUBSTITUTE(SUBSTITUTE(SUBSTITUTE(TRIM(B2473&amp;""),CHAR(160),"")," ",""),"초등학교","초"),"중학교","중"),"고등학교","고")</f>
      </c>
    </row>
    <row r="2474" customFormat="false" ht="15" hidden="false" customHeight="false" outlineLevel="0" collapsed="false">
      <c r="A2474" s="8"/>
      <c r="B2474" s="8"/>
      <c r="C2474" s="8"/>
      <c r="D2474" s="8"/>
      <c r="E2474" s="8"/>
      <c r="F2474" t="str" s="15">
        <f aca="0">IF(B2474="","",IF(H2474="","확인필요(입력누락)",IF(SUMPRODUCT((실물목록!$P$2:$P$1001&lt;&gt;"")*ISNUMBER(SEARCH(실물목록!$P$2:$P$1001,I2474))*(실물목록!$Q$2:$Q$1001&lt;&gt;"")*ISNUMBER(SEARCH(실물목록!$Q$2:$Q$1001,I2474))*(실물목록!$R$2:$R$1001="")*(실물목록!$O$2:$O$1001&lt;&gt;"")*(실물목록!$O$2:$O$1001=H2474))&gt;0,"실물 있음",IF(SUMPRODUCT((실물목록!$P$2:$P$1001&lt;&gt;"")*ISNUMBER(SEARCH(실물목록!$P$2:$P$1001,I2474))*(실물목록!$R$2:$R$1001&lt;&gt;""))&gt;0,"확인필요(입력누락)",IF(SUMPRODUCT((실물목록!$P$2:$P$1001&lt;&gt;"")*ISNUMBER(SEARCH(실물목록!$P$2:$P$1001,I2474))*(실물목록!$Q$2:$Q$1001&lt;&gt;"")*ISNUMBER(SEARCH(실물목록!$Q$2:$Q$1001,I2474))*(실물목록!$R$2:$R$1001="")*(실물목록!$O$2:$O$1001&lt;&gt;""))&gt;0,"확인필요(연도다름)","실물 없음")))))</f>
      </c>
      <c r="G2474" t="n" s="16">
        <f aca="0">IF(B2474="","",SUMPRODUCT((실물목록!$P$2:$P$1001&lt;&gt;"")*ISNUMBER(SEARCH(실물목록!$P$2:$P$1001,I2474))*(실물목록!$Q$2:$Q$1001&lt;&gt;"")*ISNUMBER(SEARCH(실물목록!$Q$2:$Q$1001,I2474))*(실물목록!$R$2:$R$1001="")*(실물목록!$O$2:$O$1001&lt;&gt;"")*(실물목록!$O$2:$O$1001=H2474)))</f>
      </c>
      <c r="H2474" t="str">
        <f>IFERROR(IF(AND(LEN(SUBSTITUTE(SUBSTITUTE(SUBSTITUTE(TRIM(A2474&amp;""),CHAR(160),"")," ",""),"년",""))=4,VALUE(SUBSTITUTE(SUBSTITUTE(SUBSTITUTE(TRIM(A2474&amp;""),CHAR(160),"")," ",""),"년",""))&gt;=1900,VALUE(SUBSTITUTE(SUBSTITUTE(SUBSTITUTE(TRIM(A2474&amp;""),CHAR(160),"")," ",""),"년",""))&lt;=2099,TEXT(VALUE(SUBSTITUTE(SUBSTITUTE(SUBSTITUTE(TRIM(A2474&amp;""),CHAR(160),"")," ",""),"년","")),"0000")=SUBSTITUTE(SUBSTITUTE(SUBSTITUTE(TRIM(A2474&amp;""),CHAR(160),"")," ",""),"년","")),SUBSTITUTE(SUBSTITUTE(SUBSTITUTE(TRIM(A2474&amp;""),CHAR(160),"")," ",""),"년",""),""),"")</f>
      </c>
      <c r="I2474" t="str">
        <f>SUBSTITUTE(SUBSTITUTE(SUBSTITUTE(SUBSTITUTE(SUBSTITUTE(TRIM(B2474&amp;""),CHAR(160),"")," ",""),"초등학교","초"),"중학교","중"),"고등학교","고")</f>
      </c>
    </row>
    <row r="2475" customFormat="false" ht="15" hidden="false" customHeight="false" outlineLevel="0" collapsed="false">
      <c r="A2475" s="8"/>
      <c r="B2475" s="8"/>
      <c r="C2475" s="8"/>
      <c r="D2475" s="8"/>
      <c r="E2475" s="8"/>
      <c r="F2475" t="str" s="15">
        <f aca="0">IF(B2475="","",IF(H2475="","확인필요(입력누락)",IF(SUMPRODUCT((실물목록!$P$2:$P$1001&lt;&gt;"")*ISNUMBER(SEARCH(실물목록!$P$2:$P$1001,I2475))*(실물목록!$Q$2:$Q$1001&lt;&gt;"")*ISNUMBER(SEARCH(실물목록!$Q$2:$Q$1001,I2475))*(실물목록!$R$2:$R$1001="")*(실물목록!$O$2:$O$1001&lt;&gt;"")*(실물목록!$O$2:$O$1001=H2475))&gt;0,"실물 있음",IF(SUMPRODUCT((실물목록!$P$2:$P$1001&lt;&gt;"")*ISNUMBER(SEARCH(실물목록!$P$2:$P$1001,I2475))*(실물목록!$R$2:$R$1001&lt;&gt;""))&gt;0,"확인필요(입력누락)",IF(SUMPRODUCT((실물목록!$P$2:$P$1001&lt;&gt;"")*ISNUMBER(SEARCH(실물목록!$P$2:$P$1001,I2475))*(실물목록!$Q$2:$Q$1001&lt;&gt;"")*ISNUMBER(SEARCH(실물목록!$Q$2:$Q$1001,I2475))*(실물목록!$R$2:$R$1001="")*(실물목록!$O$2:$O$1001&lt;&gt;""))&gt;0,"확인필요(연도다름)","실물 없음")))))</f>
      </c>
      <c r="G2475" t="n" s="16">
        <f aca="0">IF(B2475="","",SUMPRODUCT((실물목록!$P$2:$P$1001&lt;&gt;"")*ISNUMBER(SEARCH(실물목록!$P$2:$P$1001,I2475))*(실물목록!$Q$2:$Q$1001&lt;&gt;"")*ISNUMBER(SEARCH(실물목록!$Q$2:$Q$1001,I2475))*(실물목록!$R$2:$R$1001="")*(실물목록!$O$2:$O$1001&lt;&gt;"")*(실물목록!$O$2:$O$1001=H2475)))</f>
      </c>
      <c r="H2475" t="str">
        <f>IFERROR(IF(AND(LEN(SUBSTITUTE(SUBSTITUTE(SUBSTITUTE(TRIM(A2475&amp;""),CHAR(160),"")," ",""),"년",""))=4,VALUE(SUBSTITUTE(SUBSTITUTE(SUBSTITUTE(TRIM(A2475&amp;""),CHAR(160),"")," ",""),"년",""))&gt;=1900,VALUE(SUBSTITUTE(SUBSTITUTE(SUBSTITUTE(TRIM(A2475&amp;""),CHAR(160),"")," ",""),"년",""))&lt;=2099,TEXT(VALUE(SUBSTITUTE(SUBSTITUTE(SUBSTITUTE(TRIM(A2475&amp;""),CHAR(160),"")," ",""),"년","")),"0000")=SUBSTITUTE(SUBSTITUTE(SUBSTITUTE(TRIM(A2475&amp;""),CHAR(160),"")," ",""),"년","")),SUBSTITUTE(SUBSTITUTE(SUBSTITUTE(TRIM(A2475&amp;""),CHAR(160),"")," ",""),"년",""),""),"")</f>
      </c>
      <c r="I2475" t="str">
        <f>SUBSTITUTE(SUBSTITUTE(SUBSTITUTE(SUBSTITUTE(SUBSTITUTE(TRIM(B2475&amp;""),CHAR(160),"")," ",""),"초등학교","초"),"중학교","중"),"고등학교","고")</f>
      </c>
    </row>
    <row r="2476" customFormat="false" ht="15" hidden="false" customHeight="false" outlineLevel="0" collapsed="false">
      <c r="A2476" s="8"/>
      <c r="B2476" s="8"/>
      <c r="C2476" s="8"/>
      <c r="D2476" s="8"/>
      <c r="E2476" s="8"/>
      <c r="F2476" t="str" s="15">
        <f aca="0">IF(B2476="","",IF(H2476="","확인필요(입력누락)",IF(SUMPRODUCT((실물목록!$P$2:$P$1001&lt;&gt;"")*ISNUMBER(SEARCH(실물목록!$P$2:$P$1001,I2476))*(실물목록!$Q$2:$Q$1001&lt;&gt;"")*ISNUMBER(SEARCH(실물목록!$Q$2:$Q$1001,I2476))*(실물목록!$R$2:$R$1001="")*(실물목록!$O$2:$O$1001&lt;&gt;"")*(실물목록!$O$2:$O$1001=H2476))&gt;0,"실물 있음",IF(SUMPRODUCT((실물목록!$P$2:$P$1001&lt;&gt;"")*ISNUMBER(SEARCH(실물목록!$P$2:$P$1001,I2476))*(실물목록!$R$2:$R$1001&lt;&gt;""))&gt;0,"확인필요(입력누락)",IF(SUMPRODUCT((실물목록!$P$2:$P$1001&lt;&gt;"")*ISNUMBER(SEARCH(실물목록!$P$2:$P$1001,I2476))*(실물목록!$Q$2:$Q$1001&lt;&gt;"")*ISNUMBER(SEARCH(실물목록!$Q$2:$Q$1001,I2476))*(실물목록!$R$2:$R$1001="")*(실물목록!$O$2:$O$1001&lt;&gt;""))&gt;0,"확인필요(연도다름)","실물 없음")))))</f>
      </c>
      <c r="G2476" t="n" s="16">
        <f aca="0">IF(B2476="","",SUMPRODUCT((실물목록!$P$2:$P$1001&lt;&gt;"")*ISNUMBER(SEARCH(실물목록!$P$2:$P$1001,I2476))*(실물목록!$Q$2:$Q$1001&lt;&gt;"")*ISNUMBER(SEARCH(실물목록!$Q$2:$Q$1001,I2476))*(실물목록!$R$2:$R$1001="")*(실물목록!$O$2:$O$1001&lt;&gt;"")*(실물목록!$O$2:$O$1001=H2476)))</f>
      </c>
      <c r="H2476" t="str">
        <f>IFERROR(IF(AND(LEN(SUBSTITUTE(SUBSTITUTE(SUBSTITUTE(TRIM(A2476&amp;""),CHAR(160),"")," ",""),"년",""))=4,VALUE(SUBSTITUTE(SUBSTITUTE(SUBSTITUTE(TRIM(A2476&amp;""),CHAR(160),"")," ",""),"년",""))&gt;=1900,VALUE(SUBSTITUTE(SUBSTITUTE(SUBSTITUTE(TRIM(A2476&amp;""),CHAR(160),"")," ",""),"년",""))&lt;=2099,TEXT(VALUE(SUBSTITUTE(SUBSTITUTE(SUBSTITUTE(TRIM(A2476&amp;""),CHAR(160),"")," ",""),"년","")),"0000")=SUBSTITUTE(SUBSTITUTE(SUBSTITUTE(TRIM(A2476&amp;""),CHAR(160),"")," ",""),"년","")),SUBSTITUTE(SUBSTITUTE(SUBSTITUTE(TRIM(A2476&amp;""),CHAR(160),"")," ",""),"년",""),""),"")</f>
      </c>
      <c r="I2476" t="str">
        <f>SUBSTITUTE(SUBSTITUTE(SUBSTITUTE(SUBSTITUTE(SUBSTITUTE(TRIM(B2476&amp;""),CHAR(160),"")," ",""),"초등학교","초"),"중학교","중"),"고등학교","고")</f>
      </c>
    </row>
    <row r="2477" customFormat="false" ht="15" hidden="false" customHeight="false" outlineLevel="0" collapsed="false">
      <c r="A2477" s="8"/>
      <c r="B2477" s="8"/>
      <c r="C2477" s="8"/>
      <c r="D2477" s="8"/>
      <c r="E2477" s="8"/>
      <c r="F2477" t="str" s="15">
        <f aca="0">IF(B2477="","",IF(H2477="","확인필요(입력누락)",IF(SUMPRODUCT((실물목록!$P$2:$P$1001&lt;&gt;"")*ISNUMBER(SEARCH(실물목록!$P$2:$P$1001,I2477))*(실물목록!$Q$2:$Q$1001&lt;&gt;"")*ISNUMBER(SEARCH(실물목록!$Q$2:$Q$1001,I2477))*(실물목록!$R$2:$R$1001="")*(실물목록!$O$2:$O$1001&lt;&gt;"")*(실물목록!$O$2:$O$1001=H2477))&gt;0,"실물 있음",IF(SUMPRODUCT((실물목록!$P$2:$P$1001&lt;&gt;"")*ISNUMBER(SEARCH(실물목록!$P$2:$P$1001,I2477))*(실물목록!$R$2:$R$1001&lt;&gt;""))&gt;0,"확인필요(입력누락)",IF(SUMPRODUCT((실물목록!$P$2:$P$1001&lt;&gt;"")*ISNUMBER(SEARCH(실물목록!$P$2:$P$1001,I2477))*(실물목록!$Q$2:$Q$1001&lt;&gt;"")*ISNUMBER(SEARCH(실물목록!$Q$2:$Q$1001,I2477))*(실물목록!$R$2:$R$1001="")*(실물목록!$O$2:$O$1001&lt;&gt;""))&gt;0,"확인필요(연도다름)","실물 없음")))))</f>
      </c>
      <c r="G2477" t="n" s="16">
        <f aca="0">IF(B2477="","",SUMPRODUCT((실물목록!$P$2:$P$1001&lt;&gt;"")*ISNUMBER(SEARCH(실물목록!$P$2:$P$1001,I2477))*(실물목록!$Q$2:$Q$1001&lt;&gt;"")*ISNUMBER(SEARCH(실물목록!$Q$2:$Q$1001,I2477))*(실물목록!$R$2:$R$1001="")*(실물목록!$O$2:$O$1001&lt;&gt;"")*(실물목록!$O$2:$O$1001=H2477)))</f>
      </c>
      <c r="H2477" t="str">
        <f>IFERROR(IF(AND(LEN(SUBSTITUTE(SUBSTITUTE(SUBSTITUTE(TRIM(A2477&amp;""),CHAR(160),"")," ",""),"년",""))=4,VALUE(SUBSTITUTE(SUBSTITUTE(SUBSTITUTE(TRIM(A2477&amp;""),CHAR(160),"")," ",""),"년",""))&gt;=1900,VALUE(SUBSTITUTE(SUBSTITUTE(SUBSTITUTE(TRIM(A2477&amp;""),CHAR(160),"")," ",""),"년",""))&lt;=2099,TEXT(VALUE(SUBSTITUTE(SUBSTITUTE(SUBSTITUTE(TRIM(A2477&amp;""),CHAR(160),"")," ",""),"년","")),"0000")=SUBSTITUTE(SUBSTITUTE(SUBSTITUTE(TRIM(A2477&amp;""),CHAR(160),"")," ",""),"년","")),SUBSTITUTE(SUBSTITUTE(SUBSTITUTE(TRIM(A2477&amp;""),CHAR(160),"")," ",""),"년",""),""),"")</f>
      </c>
      <c r="I2477" t="str">
        <f>SUBSTITUTE(SUBSTITUTE(SUBSTITUTE(SUBSTITUTE(SUBSTITUTE(TRIM(B2477&amp;""),CHAR(160),"")," ",""),"초등학교","초"),"중학교","중"),"고등학교","고")</f>
      </c>
    </row>
    <row r="2478" customFormat="false" ht="15" hidden="false" customHeight="false" outlineLevel="0" collapsed="false">
      <c r="A2478" s="8"/>
      <c r="B2478" s="8"/>
      <c r="C2478" s="8"/>
      <c r="D2478" s="8"/>
      <c r="E2478" s="8"/>
      <c r="F2478" t="str" s="15">
        <f aca="0">IF(B2478="","",IF(H2478="","확인필요(입력누락)",IF(SUMPRODUCT((실물목록!$P$2:$P$1001&lt;&gt;"")*ISNUMBER(SEARCH(실물목록!$P$2:$P$1001,I2478))*(실물목록!$Q$2:$Q$1001&lt;&gt;"")*ISNUMBER(SEARCH(실물목록!$Q$2:$Q$1001,I2478))*(실물목록!$R$2:$R$1001="")*(실물목록!$O$2:$O$1001&lt;&gt;"")*(실물목록!$O$2:$O$1001=H2478))&gt;0,"실물 있음",IF(SUMPRODUCT((실물목록!$P$2:$P$1001&lt;&gt;"")*ISNUMBER(SEARCH(실물목록!$P$2:$P$1001,I2478))*(실물목록!$R$2:$R$1001&lt;&gt;""))&gt;0,"확인필요(입력누락)",IF(SUMPRODUCT((실물목록!$P$2:$P$1001&lt;&gt;"")*ISNUMBER(SEARCH(실물목록!$P$2:$P$1001,I2478))*(실물목록!$Q$2:$Q$1001&lt;&gt;"")*ISNUMBER(SEARCH(실물목록!$Q$2:$Q$1001,I2478))*(실물목록!$R$2:$R$1001="")*(실물목록!$O$2:$O$1001&lt;&gt;""))&gt;0,"확인필요(연도다름)","실물 없음")))))</f>
      </c>
      <c r="G2478" t="n" s="16">
        <f aca="0">IF(B2478="","",SUMPRODUCT((실물목록!$P$2:$P$1001&lt;&gt;"")*ISNUMBER(SEARCH(실물목록!$P$2:$P$1001,I2478))*(실물목록!$Q$2:$Q$1001&lt;&gt;"")*ISNUMBER(SEARCH(실물목록!$Q$2:$Q$1001,I2478))*(실물목록!$R$2:$R$1001="")*(실물목록!$O$2:$O$1001&lt;&gt;"")*(실물목록!$O$2:$O$1001=H2478)))</f>
      </c>
      <c r="H2478" t="str">
        <f>IFERROR(IF(AND(LEN(SUBSTITUTE(SUBSTITUTE(SUBSTITUTE(TRIM(A2478&amp;""),CHAR(160),"")," ",""),"년",""))=4,VALUE(SUBSTITUTE(SUBSTITUTE(SUBSTITUTE(TRIM(A2478&amp;""),CHAR(160),"")," ",""),"년",""))&gt;=1900,VALUE(SUBSTITUTE(SUBSTITUTE(SUBSTITUTE(TRIM(A2478&amp;""),CHAR(160),"")," ",""),"년",""))&lt;=2099,TEXT(VALUE(SUBSTITUTE(SUBSTITUTE(SUBSTITUTE(TRIM(A2478&amp;""),CHAR(160),"")," ",""),"년","")),"0000")=SUBSTITUTE(SUBSTITUTE(SUBSTITUTE(TRIM(A2478&amp;""),CHAR(160),"")," ",""),"년","")),SUBSTITUTE(SUBSTITUTE(SUBSTITUTE(TRIM(A2478&amp;""),CHAR(160),"")," ",""),"년",""),""),"")</f>
      </c>
      <c r="I2478" t="str">
        <f>SUBSTITUTE(SUBSTITUTE(SUBSTITUTE(SUBSTITUTE(SUBSTITUTE(TRIM(B2478&amp;""),CHAR(160),"")," ",""),"초등학교","초"),"중학교","중"),"고등학교","고")</f>
      </c>
    </row>
    <row r="2479" customFormat="false" ht="15" hidden="false" customHeight="false" outlineLevel="0" collapsed="false">
      <c r="A2479" s="8"/>
      <c r="B2479" s="8"/>
      <c r="C2479" s="8"/>
      <c r="D2479" s="8"/>
      <c r="E2479" s="8"/>
      <c r="F2479" t="str" s="15">
        <f aca="0">IF(B2479="","",IF(H2479="","확인필요(입력누락)",IF(SUMPRODUCT((실물목록!$P$2:$P$1001&lt;&gt;"")*ISNUMBER(SEARCH(실물목록!$P$2:$P$1001,I2479))*(실물목록!$Q$2:$Q$1001&lt;&gt;"")*ISNUMBER(SEARCH(실물목록!$Q$2:$Q$1001,I2479))*(실물목록!$R$2:$R$1001="")*(실물목록!$O$2:$O$1001&lt;&gt;"")*(실물목록!$O$2:$O$1001=H2479))&gt;0,"실물 있음",IF(SUMPRODUCT((실물목록!$P$2:$P$1001&lt;&gt;"")*ISNUMBER(SEARCH(실물목록!$P$2:$P$1001,I2479))*(실물목록!$R$2:$R$1001&lt;&gt;""))&gt;0,"확인필요(입력누락)",IF(SUMPRODUCT((실물목록!$P$2:$P$1001&lt;&gt;"")*ISNUMBER(SEARCH(실물목록!$P$2:$P$1001,I2479))*(실물목록!$Q$2:$Q$1001&lt;&gt;"")*ISNUMBER(SEARCH(실물목록!$Q$2:$Q$1001,I2479))*(실물목록!$R$2:$R$1001="")*(실물목록!$O$2:$O$1001&lt;&gt;""))&gt;0,"확인필요(연도다름)","실물 없음")))))</f>
      </c>
      <c r="G2479" t="n" s="16">
        <f aca="0">IF(B2479="","",SUMPRODUCT((실물목록!$P$2:$P$1001&lt;&gt;"")*ISNUMBER(SEARCH(실물목록!$P$2:$P$1001,I2479))*(실물목록!$Q$2:$Q$1001&lt;&gt;"")*ISNUMBER(SEARCH(실물목록!$Q$2:$Q$1001,I2479))*(실물목록!$R$2:$R$1001="")*(실물목록!$O$2:$O$1001&lt;&gt;"")*(실물목록!$O$2:$O$1001=H2479)))</f>
      </c>
      <c r="H2479" t="str">
        <f>IFERROR(IF(AND(LEN(SUBSTITUTE(SUBSTITUTE(SUBSTITUTE(TRIM(A2479&amp;""),CHAR(160),"")," ",""),"년",""))=4,VALUE(SUBSTITUTE(SUBSTITUTE(SUBSTITUTE(TRIM(A2479&amp;""),CHAR(160),"")," ",""),"년",""))&gt;=1900,VALUE(SUBSTITUTE(SUBSTITUTE(SUBSTITUTE(TRIM(A2479&amp;""),CHAR(160),"")," ",""),"년",""))&lt;=2099,TEXT(VALUE(SUBSTITUTE(SUBSTITUTE(SUBSTITUTE(TRIM(A2479&amp;""),CHAR(160),"")," ",""),"년","")),"0000")=SUBSTITUTE(SUBSTITUTE(SUBSTITUTE(TRIM(A2479&amp;""),CHAR(160),"")," ",""),"년","")),SUBSTITUTE(SUBSTITUTE(SUBSTITUTE(TRIM(A2479&amp;""),CHAR(160),"")," ",""),"년",""),""),"")</f>
      </c>
      <c r="I2479" t="str">
        <f>SUBSTITUTE(SUBSTITUTE(SUBSTITUTE(SUBSTITUTE(SUBSTITUTE(TRIM(B2479&amp;""),CHAR(160),"")," ",""),"초등학교","초"),"중학교","중"),"고등학교","고")</f>
      </c>
    </row>
    <row r="2480" customFormat="false" ht="15" hidden="false" customHeight="false" outlineLevel="0" collapsed="false">
      <c r="A2480" s="8"/>
      <c r="B2480" s="8"/>
      <c r="C2480" s="8"/>
      <c r="D2480" s="8"/>
      <c r="E2480" s="8"/>
      <c r="F2480" t="str" s="15">
        <f aca="0">IF(B2480="","",IF(H2480="","확인필요(입력누락)",IF(SUMPRODUCT((실물목록!$P$2:$P$1001&lt;&gt;"")*ISNUMBER(SEARCH(실물목록!$P$2:$P$1001,I2480))*(실물목록!$Q$2:$Q$1001&lt;&gt;"")*ISNUMBER(SEARCH(실물목록!$Q$2:$Q$1001,I2480))*(실물목록!$R$2:$R$1001="")*(실물목록!$O$2:$O$1001&lt;&gt;"")*(실물목록!$O$2:$O$1001=H2480))&gt;0,"실물 있음",IF(SUMPRODUCT((실물목록!$P$2:$P$1001&lt;&gt;"")*ISNUMBER(SEARCH(실물목록!$P$2:$P$1001,I2480))*(실물목록!$R$2:$R$1001&lt;&gt;""))&gt;0,"확인필요(입력누락)",IF(SUMPRODUCT((실물목록!$P$2:$P$1001&lt;&gt;"")*ISNUMBER(SEARCH(실물목록!$P$2:$P$1001,I2480))*(실물목록!$Q$2:$Q$1001&lt;&gt;"")*ISNUMBER(SEARCH(실물목록!$Q$2:$Q$1001,I2480))*(실물목록!$R$2:$R$1001="")*(실물목록!$O$2:$O$1001&lt;&gt;""))&gt;0,"확인필요(연도다름)","실물 없음")))))</f>
      </c>
      <c r="G2480" t="n" s="16">
        <f aca="0">IF(B2480="","",SUMPRODUCT((실물목록!$P$2:$P$1001&lt;&gt;"")*ISNUMBER(SEARCH(실물목록!$P$2:$P$1001,I2480))*(실물목록!$Q$2:$Q$1001&lt;&gt;"")*ISNUMBER(SEARCH(실물목록!$Q$2:$Q$1001,I2480))*(실물목록!$R$2:$R$1001="")*(실물목록!$O$2:$O$1001&lt;&gt;"")*(실물목록!$O$2:$O$1001=H2480)))</f>
      </c>
      <c r="H2480" t="str">
        <f>IFERROR(IF(AND(LEN(SUBSTITUTE(SUBSTITUTE(SUBSTITUTE(TRIM(A2480&amp;""),CHAR(160),"")," ",""),"년",""))=4,VALUE(SUBSTITUTE(SUBSTITUTE(SUBSTITUTE(TRIM(A2480&amp;""),CHAR(160),"")," ",""),"년",""))&gt;=1900,VALUE(SUBSTITUTE(SUBSTITUTE(SUBSTITUTE(TRIM(A2480&amp;""),CHAR(160),"")," ",""),"년",""))&lt;=2099,TEXT(VALUE(SUBSTITUTE(SUBSTITUTE(SUBSTITUTE(TRIM(A2480&amp;""),CHAR(160),"")," ",""),"년","")),"0000")=SUBSTITUTE(SUBSTITUTE(SUBSTITUTE(TRIM(A2480&amp;""),CHAR(160),"")," ",""),"년","")),SUBSTITUTE(SUBSTITUTE(SUBSTITUTE(TRIM(A2480&amp;""),CHAR(160),"")," ",""),"년",""),""),"")</f>
      </c>
      <c r="I2480" t="str">
        <f>SUBSTITUTE(SUBSTITUTE(SUBSTITUTE(SUBSTITUTE(SUBSTITUTE(TRIM(B2480&amp;""),CHAR(160),"")," ",""),"초등학교","초"),"중학교","중"),"고등학교","고")</f>
      </c>
    </row>
    <row r="2481" customFormat="false" ht="15" hidden="false" customHeight="false" outlineLevel="0" collapsed="false">
      <c r="A2481" s="8"/>
      <c r="B2481" s="8"/>
      <c r="C2481" s="8"/>
      <c r="D2481" s="8"/>
      <c r="E2481" s="8"/>
      <c r="F2481" t="str" s="15">
        <f aca="0">IF(B2481="","",IF(H2481="","확인필요(입력누락)",IF(SUMPRODUCT((실물목록!$P$2:$P$1001&lt;&gt;"")*ISNUMBER(SEARCH(실물목록!$P$2:$P$1001,I2481))*(실물목록!$Q$2:$Q$1001&lt;&gt;"")*ISNUMBER(SEARCH(실물목록!$Q$2:$Q$1001,I2481))*(실물목록!$R$2:$R$1001="")*(실물목록!$O$2:$O$1001&lt;&gt;"")*(실물목록!$O$2:$O$1001=H2481))&gt;0,"실물 있음",IF(SUMPRODUCT((실물목록!$P$2:$P$1001&lt;&gt;"")*ISNUMBER(SEARCH(실물목록!$P$2:$P$1001,I2481))*(실물목록!$R$2:$R$1001&lt;&gt;""))&gt;0,"확인필요(입력누락)",IF(SUMPRODUCT((실물목록!$P$2:$P$1001&lt;&gt;"")*ISNUMBER(SEARCH(실물목록!$P$2:$P$1001,I2481))*(실물목록!$Q$2:$Q$1001&lt;&gt;"")*ISNUMBER(SEARCH(실물목록!$Q$2:$Q$1001,I2481))*(실물목록!$R$2:$R$1001="")*(실물목록!$O$2:$O$1001&lt;&gt;""))&gt;0,"확인필요(연도다름)","실물 없음")))))</f>
      </c>
      <c r="G2481" t="n" s="16">
        <f aca="0">IF(B2481="","",SUMPRODUCT((실물목록!$P$2:$P$1001&lt;&gt;"")*ISNUMBER(SEARCH(실물목록!$P$2:$P$1001,I2481))*(실물목록!$Q$2:$Q$1001&lt;&gt;"")*ISNUMBER(SEARCH(실물목록!$Q$2:$Q$1001,I2481))*(실물목록!$R$2:$R$1001="")*(실물목록!$O$2:$O$1001&lt;&gt;"")*(실물목록!$O$2:$O$1001=H2481)))</f>
      </c>
      <c r="H2481" t="str">
        <f>IFERROR(IF(AND(LEN(SUBSTITUTE(SUBSTITUTE(SUBSTITUTE(TRIM(A2481&amp;""),CHAR(160),"")," ",""),"년",""))=4,VALUE(SUBSTITUTE(SUBSTITUTE(SUBSTITUTE(TRIM(A2481&amp;""),CHAR(160),"")," ",""),"년",""))&gt;=1900,VALUE(SUBSTITUTE(SUBSTITUTE(SUBSTITUTE(TRIM(A2481&amp;""),CHAR(160),"")," ",""),"년",""))&lt;=2099,TEXT(VALUE(SUBSTITUTE(SUBSTITUTE(SUBSTITUTE(TRIM(A2481&amp;""),CHAR(160),"")," ",""),"년","")),"0000")=SUBSTITUTE(SUBSTITUTE(SUBSTITUTE(TRIM(A2481&amp;""),CHAR(160),"")," ",""),"년","")),SUBSTITUTE(SUBSTITUTE(SUBSTITUTE(TRIM(A2481&amp;""),CHAR(160),"")," ",""),"년",""),""),"")</f>
      </c>
      <c r="I2481" t="str">
        <f>SUBSTITUTE(SUBSTITUTE(SUBSTITUTE(SUBSTITUTE(SUBSTITUTE(TRIM(B2481&amp;""),CHAR(160),"")," ",""),"초등학교","초"),"중학교","중"),"고등학교","고")</f>
      </c>
    </row>
    <row r="2482" customFormat="false" ht="15" hidden="false" customHeight="false" outlineLevel="0" collapsed="false">
      <c r="A2482" s="8"/>
      <c r="B2482" s="8"/>
      <c r="C2482" s="8"/>
      <c r="D2482" s="8"/>
      <c r="E2482" s="8"/>
      <c r="F2482" t="str" s="15">
        <f aca="0">IF(B2482="","",IF(H2482="","확인필요(입력누락)",IF(SUMPRODUCT((실물목록!$P$2:$P$1001&lt;&gt;"")*ISNUMBER(SEARCH(실물목록!$P$2:$P$1001,I2482))*(실물목록!$Q$2:$Q$1001&lt;&gt;"")*ISNUMBER(SEARCH(실물목록!$Q$2:$Q$1001,I2482))*(실물목록!$R$2:$R$1001="")*(실물목록!$O$2:$O$1001&lt;&gt;"")*(실물목록!$O$2:$O$1001=H2482))&gt;0,"실물 있음",IF(SUMPRODUCT((실물목록!$P$2:$P$1001&lt;&gt;"")*ISNUMBER(SEARCH(실물목록!$P$2:$P$1001,I2482))*(실물목록!$R$2:$R$1001&lt;&gt;""))&gt;0,"확인필요(입력누락)",IF(SUMPRODUCT((실물목록!$P$2:$P$1001&lt;&gt;"")*ISNUMBER(SEARCH(실물목록!$P$2:$P$1001,I2482))*(실물목록!$Q$2:$Q$1001&lt;&gt;"")*ISNUMBER(SEARCH(실물목록!$Q$2:$Q$1001,I2482))*(실물목록!$R$2:$R$1001="")*(실물목록!$O$2:$O$1001&lt;&gt;""))&gt;0,"확인필요(연도다름)","실물 없음")))))</f>
      </c>
      <c r="G2482" t="n" s="16">
        <f aca="0">IF(B2482="","",SUMPRODUCT((실물목록!$P$2:$P$1001&lt;&gt;"")*ISNUMBER(SEARCH(실물목록!$P$2:$P$1001,I2482))*(실물목록!$Q$2:$Q$1001&lt;&gt;"")*ISNUMBER(SEARCH(실물목록!$Q$2:$Q$1001,I2482))*(실물목록!$R$2:$R$1001="")*(실물목록!$O$2:$O$1001&lt;&gt;"")*(실물목록!$O$2:$O$1001=H2482)))</f>
      </c>
      <c r="H2482" t="str">
        <f>IFERROR(IF(AND(LEN(SUBSTITUTE(SUBSTITUTE(SUBSTITUTE(TRIM(A2482&amp;""),CHAR(160),"")," ",""),"년",""))=4,VALUE(SUBSTITUTE(SUBSTITUTE(SUBSTITUTE(TRIM(A2482&amp;""),CHAR(160),"")," ",""),"년",""))&gt;=1900,VALUE(SUBSTITUTE(SUBSTITUTE(SUBSTITUTE(TRIM(A2482&amp;""),CHAR(160),"")," ",""),"년",""))&lt;=2099,TEXT(VALUE(SUBSTITUTE(SUBSTITUTE(SUBSTITUTE(TRIM(A2482&amp;""),CHAR(160),"")," ",""),"년","")),"0000")=SUBSTITUTE(SUBSTITUTE(SUBSTITUTE(TRIM(A2482&amp;""),CHAR(160),"")," ",""),"년","")),SUBSTITUTE(SUBSTITUTE(SUBSTITUTE(TRIM(A2482&amp;""),CHAR(160),"")," ",""),"년",""),""),"")</f>
      </c>
      <c r="I2482" t="str">
        <f>SUBSTITUTE(SUBSTITUTE(SUBSTITUTE(SUBSTITUTE(SUBSTITUTE(TRIM(B2482&amp;""),CHAR(160),"")," ",""),"초등학교","초"),"중학교","중"),"고등학교","고")</f>
      </c>
    </row>
    <row r="2483" customFormat="false" ht="15" hidden="false" customHeight="false" outlineLevel="0" collapsed="false">
      <c r="A2483" s="8"/>
      <c r="B2483" s="8"/>
      <c r="C2483" s="8"/>
      <c r="D2483" s="8"/>
      <c r="E2483" s="8"/>
      <c r="F2483" t="str" s="15">
        <f aca="0">IF(B2483="","",IF(H2483="","확인필요(입력누락)",IF(SUMPRODUCT((실물목록!$P$2:$P$1001&lt;&gt;"")*ISNUMBER(SEARCH(실물목록!$P$2:$P$1001,I2483))*(실물목록!$Q$2:$Q$1001&lt;&gt;"")*ISNUMBER(SEARCH(실물목록!$Q$2:$Q$1001,I2483))*(실물목록!$R$2:$R$1001="")*(실물목록!$O$2:$O$1001&lt;&gt;"")*(실물목록!$O$2:$O$1001=H2483))&gt;0,"실물 있음",IF(SUMPRODUCT((실물목록!$P$2:$P$1001&lt;&gt;"")*ISNUMBER(SEARCH(실물목록!$P$2:$P$1001,I2483))*(실물목록!$R$2:$R$1001&lt;&gt;""))&gt;0,"확인필요(입력누락)",IF(SUMPRODUCT((실물목록!$P$2:$P$1001&lt;&gt;"")*ISNUMBER(SEARCH(실물목록!$P$2:$P$1001,I2483))*(실물목록!$Q$2:$Q$1001&lt;&gt;"")*ISNUMBER(SEARCH(실물목록!$Q$2:$Q$1001,I2483))*(실물목록!$R$2:$R$1001="")*(실물목록!$O$2:$O$1001&lt;&gt;""))&gt;0,"확인필요(연도다름)","실물 없음")))))</f>
      </c>
      <c r="G2483" t="n" s="16">
        <f aca="0">IF(B2483="","",SUMPRODUCT((실물목록!$P$2:$P$1001&lt;&gt;"")*ISNUMBER(SEARCH(실물목록!$P$2:$P$1001,I2483))*(실물목록!$Q$2:$Q$1001&lt;&gt;"")*ISNUMBER(SEARCH(실물목록!$Q$2:$Q$1001,I2483))*(실물목록!$R$2:$R$1001="")*(실물목록!$O$2:$O$1001&lt;&gt;"")*(실물목록!$O$2:$O$1001=H2483)))</f>
      </c>
      <c r="H2483" t="str">
        <f>IFERROR(IF(AND(LEN(SUBSTITUTE(SUBSTITUTE(SUBSTITUTE(TRIM(A2483&amp;""),CHAR(160),"")," ",""),"년",""))=4,VALUE(SUBSTITUTE(SUBSTITUTE(SUBSTITUTE(TRIM(A2483&amp;""),CHAR(160),"")," ",""),"년",""))&gt;=1900,VALUE(SUBSTITUTE(SUBSTITUTE(SUBSTITUTE(TRIM(A2483&amp;""),CHAR(160),"")," ",""),"년",""))&lt;=2099,TEXT(VALUE(SUBSTITUTE(SUBSTITUTE(SUBSTITUTE(TRIM(A2483&amp;""),CHAR(160),"")," ",""),"년","")),"0000")=SUBSTITUTE(SUBSTITUTE(SUBSTITUTE(TRIM(A2483&amp;""),CHAR(160),"")," ",""),"년","")),SUBSTITUTE(SUBSTITUTE(SUBSTITUTE(TRIM(A2483&amp;""),CHAR(160),"")," ",""),"년",""),""),"")</f>
      </c>
      <c r="I2483" t="str">
        <f>SUBSTITUTE(SUBSTITUTE(SUBSTITUTE(SUBSTITUTE(SUBSTITUTE(TRIM(B2483&amp;""),CHAR(160),"")," ",""),"초등학교","초"),"중학교","중"),"고등학교","고")</f>
      </c>
    </row>
    <row r="2484" customFormat="false" ht="15" hidden="false" customHeight="false" outlineLevel="0" collapsed="false">
      <c r="A2484" s="8"/>
      <c r="B2484" s="8"/>
      <c r="C2484" s="8"/>
      <c r="D2484" s="8"/>
      <c r="E2484" s="8"/>
      <c r="F2484" t="str" s="15">
        <f aca="0">IF(B2484="","",IF(H2484="","확인필요(입력누락)",IF(SUMPRODUCT((실물목록!$P$2:$P$1001&lt;&gt;"")*ISNUMBER(SEARCH(실물목록!$P$2:$P$1001,I2484))*(실물목록!$Q$2:$Q$1001&lt;&gt;"")*ISNUMBER(SEARCH(실물목록!$Q$2:$Q$1001,I2484))*(실물목록!$R$2:$R$1001="")*(실물목록!$O$2:$O$1001&lt;&gt;"")*(실물목록!$O$2:$O$1001=H2484))&gt;0,"실물 있음",IF(SUMPRODUCT((실물목록!$P$2:$P$1001&lt;&gt;"")*ISNUMBER(SEARCH(실물목록!$P$2:$P$1001,I2484))*(실물목록!$R$2:$R$1001&lt;&gt;""))&gt;0,"확인필요(입력누락)",IF(SUMPRODUCT((실물목록!$P$2:$P$1001&lt;&gt;"")*ISNUMBER(SEARCH(실물목록!$P$2:$P$1001,I2484))*(실물목록!$Q$2:$Q$1001&lt;&gt;"")*ISNUMBER(SEARCH(실물목록!$Q$2:$Q$1001,I2484))*(실물목록!$R$2:$R$1001="")*(실물목록!$O$2:$O$1001&lt;&gt;""))&gt;0,"확인필요(연도다름)","실물 없음")))))</f>
      </c>
      <c r="G2484" t="n" s="16">
        <f aca="0">IF(B2484="","",SUMPRODUCT((실물목록!$P$2:$P$1001&lt;&gt;"")*ISNUMBER(SEARCH(실물목록!$P$2:$P$1001,I2484))*(실물목록!$Q$2:$Q$1001&lt;&gt;"")*ISNUMBER(SEARCH(실물목록!$Q$2:$Q$1001,I2484))*(실물목록!$R$2:$R$1001="")*(실물목록!$O$2:$O$1001&lt;&gt;"")*(실물목록!$O$2:$O$1001=H2484)))</f>
      </c>
      <c r="H2484" t="str">
        <f>IFERROR(IF(AND(LEN(SUBSTITUTE(SUBSTITUTE(SUBSTITUTE(TRIM(A2484&amp;""),CHAR(160),"")," ",""),"년",""))=4,VALUE(SUBSTITUTE(SUBSTITUTE(SUBSTITUTE(TRIM(A2484&amp;""),CHAR(160),"")," ",""),"년",""))&gt;=1900,VALUE(SUBSTITUTE(SUBSTITUTE(SUBSTITUTE(TRIM(A2484&amp;""),CHAR(160),"")," ",""),"년",""))&lt;=2099,TEXT(VALUE(SUBSTITUTE(SUBSTITUTE(SUBSTITUTE(TRIM(A2484&amp;""),CHAR(160),"")," ",""),"년","")),"0000")=SUBSTITUTE(SUBSTITUTE(SUBSTITUTE(TRIM(A2484&amp;""),CHAR(160),"")," ",""),"년","")),SUBSTITUTE(SUBSTITUTE(SUBSTITUTE(TRIM(A2484&amp;""),CHAR(160),"")," ",""),"년",""),""),"")</f>
      </c>
      <c r="I2484" t="str">
        <f>SUBSTITUTE(SUBSTITUTE(SUBSTITUTE(SUBSTITUTE(SUBSTITUTE(TRIM(B2484&amp;""),CHAR(160),"")," ",""),"초등학교","초"),"중학교","중"),"고등학교","고")</f>
      </c>
    </row>
    <row r="2485" customFormat="false" ht="15" hidden="false" customHeight="false" outlineLevel="0" collapsed="false">
      <c r="A2485" s="8"/>
      <c r="B2485" s="8"/>
      <c r="C2485" s="8"/>
      <c r="D2485" s="8"/>
      <c r="E2485" s="8"/>
      <c r="F2485" t="str" s="15">
        <f aca="0">IF(B2485="","",IF(H2485="","확인필요(입력누락)",IF(SUMPRODUCT((실물목록!$P$2:$P$1001&lt;&gt;"")*ISNUMBER(SEARCH(실물목록!$P$2:$P$1001,I2485))*(실물목록!$Q$2:$Q$1001&lt;&gt;"")*ISNUMBER(SEARCH(실물목록!$Q$2:$Q$1001,I2485))*(실물목록!$R$2:$R$1001="")*(실물목록!$O$2:$O$1001&lt;&gt;"")*(실물목록!$O$2:$O$1001=H2485))&gt;0,"실물 있음",IF(SUMPRODUCT((실물목록!$P$2:$P$1001&lt;&gt;"")*ISNUMBER(SEARCH(실물목록!$P$2:$P$1001,I2485))*(실물목록!$R$2:$R$1001&lt;&gt;""))&gt;0,"확인필요(입력누락)",IF(SUMPRODUCT((실물목록!$P$2:$P$1001&lt;&gt;"")*ISNUMBER(SEARCH(실물목록!$P$2:$P$1001,I2485))*(실물목록!$Q$2:$Q$1001&lt;&gt;"")*ISNUMBER(SEARCH(실물목록!$Q$2:$Q$1001,I2485))*(실물목록!$R$2:$R$1001="")*(실물목록!$O$2:$O$1001&lt;&gt;""))&gt;0,"확인필요(연도다름)","실물 없음")))))</f>
      </c>
      <c r="G2485" t="n" s="16">
        <f aca="0">IF(B2485="","",SUMPRODUCT((실물목록!$P$2:$P$1001&lt;&gt;"")*ISNUMBER(SEARCH(실물목록!$P$2:$P$1001,I2485))*(실물목록!$Q$2:$Q$1001&lt;&gt;"")*ISNUMBER(SEARCH(실물목록!$Q$2:$Q$1001,I2485))*(실물목록!$R$2:$R$1001="")*(실물목록!$O$2:$O$1001&lt;&gt;"")*(실물목록!$O$2:$O$1001=H2485)))</f>
      </c>
      <c r="H2485" t="str">
        <f>IFERROR(IF(AND(LEN(SUBSTITUTE(SUBSTITUTE(SUBSTITUTE(TRIM(A2485&amp;""),CHAR(160),"")," ",""),"년",""))=4,VALUE(SUBSTITUTE(SUBSTITUTE(SUBSTITUTE(TRIM(A2485&amp;""),CHAR(160),"")," ",""),"년",""))&gt;=1900,VALUE(SUBSTITUTE(SUBSTITUTE(SUBSTITUTE(TRIM(A2485&amp;""),CHAR(160),"")," ",""),"년",""))&lt;=2099,TEXT(VALUE(SUBSTITUTE(SUBSTITUTE(SUBSTITUTE(TRIM(A2485&amp;""),CHAR(160),"")," ",""),"년","")),"0000")=SUBSTITUTE(SUBSTITUTE(SUBSTITUTE(TRIM(A2485&amp;""),CHAR(160),"")," ",""),"년","")),SUBSTITUTE(SUBSTITUTE(SUBSTITUTE(TRIM(A2485&amp;""),CHAR(160),"")," ",""),"년",""),""),"")</f>
      </c>
      <c r="I2485" t="str">
        <f>SUBSTITUTE(SUBSTITUTE(SUBSTITUTE(SUBSTITUTE(SUBSTITUTE(TRIM(B2485&amp;""),CHAR(160),"")," ",""),"초등학교","초"),"중학교","중"),"고등학교","고")</f>
      </c>
    </row>
    <row r="2486" customFormat="false" ht="15" hidden="false" customHeight="false" outlineLevel="0" collapsed="false">
      <c r="A2486" s="8"/>
      <c r="B2486" s="8"/>
      <c r="C2486" s="8"/>
      <c r="D2486" s="8"/>
      <c r="E2486" s="8"/>
      <c r="F2486" t="str" s="15">
        <f aca="0">IF(B2486="","",IF(H2486="","확인필요(입력누락)",IF(SUMPRODUCT((실물목록!$P$2:$P$1001&lt;&gt;"")*ISNUMBER(SEARCH(실물목록!$P$2:$P$1001,I2486))*(실물목록!$Q$2:$Q$1001&lt;&gt;"")*ISNUMBER(SEARCH(실물목록!$Q$2:$Q$1001,I2486))*(실물목록!$R$2:$R$1001="")*(실물목록!$O$2:$O$1001&lt;&gt;"")*(실물목록!$O$2:$O$1001=H2486))&gt;0,"실물 있음",IF(SUMPRODUCT((실물목록!$P$2:$P$1001&lt;&gt;"")*ISNUMBER(SEARCH(실물목록!$P$2:$P$1001,I2486))*(실물목록!$R$2:$R$1001&lt;&gt;""))&gt;0,"확인필요(입력누락)",IF(SUMPRODUCT((실물목록!$P$2:$P$1001&lt;&gt;"")*ISNUMBER(SEARCH(실물목록!$P$2:$P$1001,I2486))*(실물목록!$Q$2:$Q$1001&lt;&gt;"")*ISNUMBER(SEARCH(실물목록!$Q$2:$Q$1001,I2486))*(실물목록!$R$2:$R$1001="")*(실물목록!$O$2:$O$1001&lt;&gt;""))&gt;0,"확인필요(연도다름)","실물 없음")))))</f>
      </c>
      <c r="G2486" t="n" s="16">
        <f aca="0">IF(B2486="","",SUMPRODUCT((실물목록!$P$2:$P$1001&lt;&gt;"")*ISNUMBER(SEARCH(실물목록!$P$2:$P$1001,I2486))*(실물목록!$Q$2:$Q$1001&lt;&gt;"")*ISNUMBER(SEARCH(실물목록!$Q$2:$Q$1001,I2486))*(실물목록!$R$2:$R$1001="")*(실물목록!$O$2:$O$1001&lt;&gt;"")*(실물목록!$O$2:$O$1001=H2486)))</f>
      </c>
      <c r="H2486" t="str">
        <f>IFERROR(IF(AND(LEN(SUBSTITUTE(SUBSTITUTE(SUBSTITUTE(TRIM(A2486&amp;""),CHAR(160),"")," ",""),"년",""))=4,VALUE(SUBSTITUTE(SUBSTITUTE(SUBSTITUTE(TRIM(A2486&amp;""),CHAR(160),"")," ",""),"년",""))&gt;=1900,VALUE(SUBSTITUTE(SUBSTITUTE(SUBSTITUTE(TRIM(A2486&amp;""),CHAR(160),"")," ",""),"년",""))&lt;=2099,TEXT(VALUE(SUBSTITUTE(SUBSTITUTE(SUBSTITUTE(TRIM(A2486&amp;""),CHAR(160),"")," ",""),"년","")),"0000")=SUBSTITUTE(SUBSTITUTE(SUBSTITUTE(TRIM(A2486&amp;""),CHAR(160),"")," ",""),"년","")),SUBSTITUTE(SUBSTITUTE(SUBSTITUTE(TRIM(A2486&amp;""),CHAR(160),"")," ",""),"년",""),""),"")</f>
      </c>
      <c r="I2486" t="str">
        <f>SUBSTITUTE(SUBSTITUTE(SUBSTITUTE(SUBSTITUTE(SUBSTITUTE(TRIM(B2486&amp;""),CHAR(160),"")," ",""),"초등학교","초"),"중학교","중"),"고등학교","고")</f>
      </c>
    </row>
    <row r="2487" customFormat="false" ht="15" hidden="false" customHeight="false" outlineLevel="0" collapsed="false">
      <c r="A2487" s="8"/>
      <c r="B2487" s="8"/>
      <c r="C2487" s="8"/>
      <c r="D2487" s="8"/>
      <c r="E2487" s="8"/>
      <c r="F2487" t="str" s="15">
        <f aca="0">IF(B2487="","",IF(H2487="","확인필요(입력누락)",IF(SUMPRODUCT((실물목록!$P$2:$P$1001&lt;&gt;"")*ISNUMBER(SEARCH(실물목록!$P$2:$P$1001,I2487))*(실물목록!$Q$2:$Q$1001&lt;&gt;"")*ISNUMBER(SEARCH(실물목록!$Q$2:$Q$1001,I2487))*(실물목록!$R$2:$R$1001="")*(실물목록!$O$2:$O$1001&lt;&gt;"")*(실물목록!$O$2:$O$1001=H2487))&gt;0,"실물 있음",IF(SUMPRODUCT((실물목록!$P$2:$P$1001&lt;&gt;"")*ISNUMBER(SEARCH(실물목록!$P$2:$P$1001,I2487))*(실물목록!$R$2:$R$1001&lt;&gt;""))&gt;0,"확인필요(입력누락)",IF(SUMPRODUCT((실물목록!$P$2:$P$1001&lt;&gt;"")*ISNUMBER(SEARCH(실물목록!$P$2:$P$1001,I2487))*(실물목록!$Q$2:$Q$1001&lt;&gt;"")*ISNUMBER(SEARCH(실물목록!$Q$2:$Q$1001,I2487))*(실물목록!$R$2:$R$1001="")*(실물목록!$O$2:$O$1001&lt;&gt;""))&gt;0,"확인필요(연도다름)","실물 없음")))))</f>
      </c>
      <c r="G2487" t="n" s="16">
        <f aca="0">IF(B2487="","",SUMPRODUCT((실물목록!$P$2:$P$1001&lt;&gt;"")*ISNUMBER(SEARCH(실물목록!$P$2:$P$1001,I2487))*(실물목록!$Q$2:$Q$1001&lt;&gt;"")*ISNUMBER(SEARCH(실물목록!$Q$2:$Q$1001,I2487))*(실물목록!$R$2:$R$1001="")*(실물목록!$O$2:$O$1001&lt;&gt;"")*(실물목록!$O$2:$O$1001=H2487)))</f>
      </c>
      <c r="H2487" t="str">
        <f>IFERROR(IF(AND(LEN(SUBSTITUTE(SUBSTITUTE(SUBSTITUTE(TRIM(A2487&amp;""),CHAR(160),"")," ",""),"년",""))=4,VALUE(SUBSTITUTE(SUBSTITUTE(SUBSTITUTE(TRIM(A2487&amp;""),CHAR(160),"")," ",""),"년",""))&gt;=1900,VALUE(SUBSTITUTE(SUBSTITUTE(SUBSTITUTE(TRIM(A2487&amp;""),CHAR(160),"")," ",""),"년",""))&lt;=2099,TEXT(VALUE(SUBSTITUTE(SUBSTITUTE(SUBSTITUTE(TRIM(A2487&amp;""),CHAR(160),"")," ",""),"년","")),"0000")=SUBSTITUTE(SUBSTITUTE(SUBSTITUTE(TRIM(A2487&amp;""),CHAR(160),"")," ",""),"년","")),SUBSTITUTE(SUBSTITUTE(SUBSTITUTE(TRIM(A2487&amp;""),CHAR(160),"")," ",""),"년",""),""),"")</f>
      </c>
      <c r="I2487" t="str">
        <f>SUBSTITUTE(SUBSTITUTE(SUBSTITUTE(SUBSTITUTE(SUBSTITUTE(TRIM(B2487&amp;""),CHAR(160),"")," ",""),"초등학교","초"),"중학교","중"),"고등학교","고")</f>
      </c>
    </row>
    <row r="2488" customFormat="false" ht="15" hidden="false" customHeight="false" outlineLevel="0" collapsed="false">
      <c r="A2488" s="8"/>
      <c r="B2488" s="8"/>
      <c r="C2488" s="8"/>
      <c r="D2488" s="8"/>
      <c r="E2488" s="8"/>
      <c r="F2488" t="str" s="15">
        <f aca="0">IF(B2488="","",IF(H2488="","확인필요(입력누락)",IF(SUMPRODUCT((실물목록!$P$2:$P$1001&lt;&gt;"")*ISNUMBER(SEARCH(실물목록!$P$2:$P$1001,I2488))*(실물목록!$Q$2:$Q$1001&lt;&gt;"")*ISNUMBER(SEARCH(실물목록!$Q$2:$Q$1001,I2488))*(실물목록!$R$2:$R$1001="")*(실물목록!$O$2:$O$1001&lt;&gt;"")*(실물목록!$O$2:$O$1001=H2488))&gt;0,"실물 있음",IF(SUMPRODUCT((실물목록!$P$2:$P$1001&lt;&gt;"")*ISNUMBER(SEARCH(실물목록!$P$2:$P$1001,I2488))*(실물목록!$R$2:$R$1001&lt;&gt;""))&gt;0,"확인필요(입력누락)",IF(SUMPRODUCT((실물목록!$P$2:$P$1001&lt;&gt;"")*ISNUMBER(SEARCH(실물목록!$P$2:$P$1001,I2488))*(실물목록!$Q$2:$Q$1001&lt;&gt;"")*ISNUMBER(SEARCH(실물목록!$Q$2:$Q$1001,I2488))*(실물목록!$R$2:$R$1001="")*(실물목록!$O$2:$O$1001&lt;&gt;""))&gt;0,"확인필요(연도다름)","실물 없음")))))</f>
      </c>
      <c r="G2488" t="n" s="16">
        <f aca="0">IF(B2488="","",SUMPRODUCT((실물목록!$P$2:$P$1001&lt;&gt;"")*ISNUMBER(SEARCH(실물목록!$P$2:$P$1001,I2488))*(실물목록!$Q$2:$Q$1001&lt;&gt;"")*ISNUMBER(SEARCH(실물목록!$Q$2:$Q$1001,I2488))*(실물목록!$R$2:$R$1001="")*(실물목록!$O$2:$O$1001&lt;&gt;"")*(실물목록!$O$2:$O$1001=H2488)))</f>
      </c>
      <c r="H2488" t="str">
        <f>IFERROR(IF(AND(LEN(SUBSTITUTE(SUBSTITUTE(SUBSTITUTE(TRIM(A2488&amp;""),CHAR(160),"")," ",""),"년",""))=4,VALUE(SUBSTITUTE(SUBSTITUTE(SUBSTITUTE(TRIM(A2488&amp;""),CHAR(160),"")," ",""),"년",""))&gt;=1900,VALUE(SUBSTITUTE(SUBSTITUTE(SUBSTITUTE(TRIM(A2488&amp;""),CHAR(160),"")," ",""),"년",""))&lt;=2099,TEXT(VALUE(SUBSTITUTE(SUBSTITUTE(SUBSTITUTE(TRIM(A2488&amp;""),CHAR(160),"")," ",""),"년","")),"0000")=SUBSTITUTE(SUBSTITUTE(SUBSTITUTE(TRIM(A2488&amp;""),CHAR(160),"")," ",""),"년","")),SUBSTITUTE(SUBSTITUTE(SUBSTITUTE(TRIM(A2488&amp;""),CHAR(160),"")," ",""),"년",""),""),"")</f>
      </c>
      <c r="I2488" t="str">
        <f>SUBSTITUTE(SUBSTITUTE(SUBSTITUTE(SUBSTITUTE(SUBSTITUTE(TRIM(B2488&amp;""),CHAR(160),"")," ",""),"초등학교","초"),"중학교","중"),"고등학교","고")</f>
      </c>
    </row>
    <row r="2489" customFormat="false" ht="15" hidden="false" customHeight="false" outlineLevel="0" collapsed="false">
      <c r="A2489" s="8"/>
      <c r="B2489" s="8"/>
      <c r="C2489" s="8"/>
      <c r="D2489" s="8"/>
      <c r="E2489" s="8"/>
      <c r="F2489" t="str" s="15">
        <f aca="0">IF(B2489="","",IF(H2489="","확인필요(입력누락)",IF(SUMPRODUCT((실물목록!$P$2:$P$1001&lt;&gt;"")*ISNUMBER(SEARCH(실물목록!$P$2:$P$1001,I2489))*(실물목록!$Q$2:$Q$1001&lt;&gt;"")*ISNUMBER(SEARCH(실물목록!$Q$2:$Q$1001,I2489))*(실물목록!$R$2:$R$1001="")*(실물목록!$O$2:$O$1001&lt;&gt;"")*(실물목록!$O$2:$O$1001=H2489))&gt;0,"실물 있음",IF(SUMPRODUCT((실물목록!$P$2:$P$1001&lt;&gt;"")*ISNUMBER(SEARCH(실물목록!$P$2:$P$1001,I2489))*(실물목록!$R$2:$R$1001&lt;&gt;""))&gt;0,"확인필요(입력누락)",IF(SUMPRODUCT((실물목록!$P$2:$P$1001&lt;&gt;"")*ISNUMBER(SEARCH(실물목록!$P$2:$P$1001,I2489))*(실물목록!$Q$2:$Q$1001&lt;&gt;"")*ISNUMBER(SEARCH(실물목록!$Q$2:$Q$1001,I2489))*(실물목록!$R$2:$R$1001="")*(실물목록!$O$2:$O$1001&lt;&gt;""))&gt;0,"확인필요(연도다름)","실물 없음")))))</f>
      </c>
      <c r="G2489" t="n" s="16">
        <f aca="0">IF(B2489="","",SUMPRODUCT((실물목록!$P$2:$P$1001&lt;&gt;"")*ISNUMBER(SEARCH(실물목록!$P$2:$P$1001,I2489))*(실물목록!$Q$2:$Q$1001&lt;&gt;"")*ISNUMBER(SEARCH(실물목록!$Q$2:$Q$1001,I2489))*(실물목록!$R$2:$R$1001="")*(실물목록!$O$2:$O$1001&lt;&gt;"")*(실물목록!$O$2:$O$1001=H2489)))</f>
      </c>
      <c r="H2489" t="str">
        <f>IFERROR(IF(AND(LEN(SUBSTITUTE(SUBSTITUTE(SUBSTITUTE(TRIM(A2489&amp;""),CHAR(160),"")," ",""),"년",""))=4,VALUE(SUBSTITUTE(SUBSTITUTE(SUBSTITUTE(TRIM(A2489&amp;""),CHAR(160),"")," ",""),"년",""))&gt;=1900,VALUE(SUBSTITUTE(SUBSTITUTE(SUBSTITUTE(TRIM(A2489&amp;""),CHAR(160),"")," ",""),"년",""))&lt;=2099,TEXT(VALUE(SUBSTITUTE(SUBSTITUTE(SUBSTITUTE(TRIM(A2489&amp;""),CHAR(160),"")," ",""),"년","")),"0000")=SUBSTITUTE(SUBSTITUTE(SUBSTITUTE(TRIM(A2489&amp;""),CHAR(160),"")," ",""),"년","")),SUBSTITUTE(SUBSTITUTE(SUBSTITUTE(TRIM(A2489&amp;""),CHAR(160),"")," ",""),"년",""),""),"")</f>
      </c>
      <c r="I2489" t="str">
        <f>SUBSTITUTE(SUBSTITUTE(SUBSTITUTE(SUBSTITUTE(SUBSTITUTE(TRIM(B2489&amp;""),CHAR(160),"")," ",""),"초등학교","초"),"중학교","중"),"고등학교","고")</f>
      </c>
    </row>
    <row r="2490" customFormat="false" ht="15" hidden="false" customHeight="false" outlineLevel="0" collapsed="false">
      <c r="A2490" s="8"/>
      <c r="B2490" s="8"/>
      <c r="C2490" s="8"/>
      <c r="D2490" s="8"/>
      <c r="E2490" s="8"/>
      <c r="F2490" t="str" s="15">
        <f aca="0">IF(B2490="","",IF(H2490="","확인필요(입력누락)",IF(SUMPRODUCT((실물목록!$P$2:$P$1001&lt;&gt;"")*ISNUMBER(SEARCH(실물목록!$P$2:$P$1001,I2490))*(실물목록!$Q$2:$Q$1001&lt;&gt;"")*ISNUMBER(SEARCH(실물목록!$Q$2:$Q$1001,I2490))*(실물목록!$R$2:$R$1001="")*(실물목록!$O$2:$O$1001&lt;&gt;"")*(실물목록!$O$2:$O$1001=H2490))&gt;0,"실물 있음",IF(SUMPRODUCT((실물목록!$P$2:$P$1001&lt;&gt;"")*ISNUMBER(SEARCH(실물목록!$P$2:$P$1001,I2490))*(실물목록!$R$2:$R$1001&lt;&gt;""))&gt;0,"확인필요(입력누락)",IF(SUMPRODUCT((실물목록!$P$2:$P$1001&lt;&gt;"")*ISNUMBER(SEARCH(실물목록!$P$2:$P$1001,I2490))*(실물목록!$Q$2:$Q$1001&lt;&gt;"")*ISNUMBER(SEARCH(실물목록!$Q$2:$Q$1001,I2490))*(실물목록!$R$2:$R$1001="")*(실물목록!$O$2:$O$1001&lt;&gt;""))&gt;0,"확인필요(연도다름)","실물 없음")))))</f>
      </c>
      <c r="G2490" t="n" s="16">
        <f aca="0">IF(B2490="","",SUMPRODUCT((실물목록!$P$2:$P$1001&lt;&gt;"")*ISNUMBER(SEARCH(실물목록!$P$2:$P$1001,I2490))*(실물목록!$Q$2:$Q$1001&lt;&gt;"")*ISNUMBER(SEARCH(실물목록!$Q$2:$Q$1001,I2490))*(실물목록!$R$2:$R$1001="")*(실물목록!$O$2:$O$1001&lt;&gt;"")*(실물목록!$O$2:$O$1001=H2490)))</f>
      </c>
      <c r="H2490" t="str">
        <f>IFERROR(IF(AND(LEN(SUBSTITUTE(SUBSTITUTE(SUBSTITUTE(TRIM(A2490&amp;""),CHAR(160),"")," ",""),"년",""))=4,VALUE(SUBSTITUTE(SUBSTITUTE(SUBSTITUTE(TRIM(A2490&amp;""),CHAR(160),"")," ",""),"년",""))&gt;=1900,VALUE(SUBSTITUTE(SUBSTITUTE(SUBSTITUTE(TRIM(A2490&amp;""),CHAR(160),"")," ",""),"년",""))&lt;=2099,TEXT(VALUE(SUBSTITUTE(SUBSTITUTE(SUBSTITUTE(TRIM(A2490&amp;""),CHAR(160),"")," ",""),"년","")),"0000")=SUBSTITUTE(SUBSTITUTE(SUBSTITUTE(TRIM(A2490&amp;""),CHAR(160),"")," ",""),"년","")),SUBSTITUTE(SUBSTITUTE(SUBSTITUTE(TRIM(A2490&amp;""),CHAR(160),"")," ",""),"년",""),""),"")</f>
      </c>
      <c r="I2490" t="str">
        <f>SUBSTITUTE(SUBSTITUTE(SUBSTITUTE(SUBSTITUTE(SUBSTITUTE(TRIM(B2490&amp;""),CHAR(160),"")," ",""),"초등학교","초"),"중학교","중"),"고등학교","고")</f>
      </c>
    </row>
    <row r="2491" customFormat="false" ht="15" hidden="false" customHeight="false" outlineLevel="0" collapsed="false">
      <c r="A2491" s="8"/>
      <c r="B2491" s="8"/>
      <c r="C2491" s="8"/>
      <c r="D2491" s="8"/>
      <c r="E2491" s="8"/>
      <c r="F2491" t="str" s="15">
        <f aca="0">IF(B2491="","",IF(H2491="","확인필요(입력누락)",IF(SUMPRODUCT((실물목록!$P$2:$P$1001&lt;&gt;"")*ISNUMBER(SEARCH(실물목록!$P$2:$P$1001,I2491))*(실물목록!$Q$2:$Q$1001&lt;&gt;"")*ISNUMBER(SEARCH(실물목록!$Q$2:$Q$1001,I2491))*(실물목록!$R$2:$R$1001="")*(실물목록!$O$2:$O$1001&lt;&gt;"")*(실물목록!$O$2:$O$1001=H2491))&gt;0,"실물 있음",IF(SUMPRODUCT((실물목록!$P$2:$P$1001&lt;&gt;"")*ISNUMBER(SEARCH(실물목록!$P$2:$P$1001,I2491))*(실물목록!$R$2:$R$1001&lt;&gt;""))&gt;0,"확인필요(입력누락)",IF(SUMPRODUCT((실물목록!$P$2:$P$1001&lt;&gt;"")*ISNUMBER(SEARCH(실물목록!$P$2:$P$1001,I2491))*(실물목록!$Q$2:$Q$1001&lt;&gt;"")*ISNUMBER(SEARCH(실물목록!$Q$2:$Q$1001,I2491))*(실물목록!$R$2:$R$1001="")*(실물목록!$O$2:$O$1001&lt;&gt;""))&gt;0,"확인필요(연도다름)","실물 없음")))))</f>
      </c>
      <c r="G2491" t="n" s="16">
        <f aca="0">IF(B2491="","",SUMPRODUCT((실물목록!$P$2:$P$1001&lt;&gt;"")*ISNUMBER(SEARCH(실물목록!$P$2:$P$1001,I2491))*(실물목록!$Q$2:$Q$1001&lt;&gt;"")*ISNUMBER(SEARCH(실물목록!$Q$2:$Q$1001,I2491))*(실물목록!$R$2:$R$1001="")*(실물목록!$O$2:$O$1001&lt;&gt;"")*(실물목록!$O$2:$O$1001=H2491)))</f>
      </c>
      <c r="H2491" t="str">
        <f>IFERROR(IF(AND(LEN(SUBSTITUTE(SUBSTITUTE(SUBSTITUTE(TRIM(A2491&amp;""),CHAR(160),"")," ",""),"년",""))=4,VALUE(SUBSTITUTE(SUBSTITUTE(SUBSTITUTE(TRIM(A2491&amp;""),CHAR(160),"")," ",""),"년",""))&gt;=1900,VALUE(SUBSTITUTE(SUBSTITUTE(SUBSTITUTE(TRIM(A2491&amp;""),CHAR(160),"")," ",""),"년",""))&lt;=2099,TEXT(VALUE(SUBSTITUTE(SUBSTITUTE(SUBSTITUTE(TRIM(A2491&amp;""),CHAR(160),"")," ",""),"년","")),"0000")=SUBSTITUTE(SUBSTITUTE(SUBSTITUTE(TRIM(A2491&amp;""),CHAR(160),"")," ",""),"년","")),SUBSTITUTE(SUBSTITUTE(SUBSTITUTE(TRIM(A2491&amp;""),CHAR(160),"")," ",""),"년",""),""),"")</f>
      </c>
      <c r="I2491" t="str">
        <f>SUBSTITUTE(SUBSTITUTE(SUBSTITUTE(SUBSTITUTE(SUBSTITUTE(TRIM(B2491&amp;""),CHAR(160),"")," ",""),"초등학교","초"),"중학교","중"),"고등학교","고")</f>
      </c>
    </row>
    <row r="2492" customFormat="false" ht="15" hidden="false" customHeight="false" outlineLevel="0" collapsed="false">
      <c r="A2492" s="8"/>
      <c r="B2492" s="8"/>
      <c r="C2492" s="8"/>
      <c r="D2492" s="8"/>
      <c r="E2492" s="8"/>
      <c r="F2492" t="str" s="15">
        <f aca="0">IF(B2492="","",IF(H2492="","확인필요(입력누락)",IF(SUMPRODUCT((실물목록!$P$2:$P$1001&lt;&gt;"")*ISNUMBER(SEARCH(실물목록!$P$2:$P$1001,I2492))*(실물목록!$Q$2:$Q$1001&lt;&gt;"")*ISNUMBER(SEARCH(실물목록!$Q$2:$Q$1001,I2492))*(실물목록!$R$2:$R$1001="")*(실물목록!$O$2:$O$1001&lt;&gt;"")*(실물목록!$O$2:$O$1001=H2492))&gt;0,"실물 있음",IF(SUMPRODUCT((실물목록!$P$2:$P$1001&lt;&gt;"")*ISNUMBER(SEARCH(실물목록!$P$2:$P$1001,I2492))*(실물목록!$R$2:$R$1001&lt;&gt;""))&gt;0,"확인필요(입력누락)",IF(SUMPRODUCT((실물목록!$P$2:$P$1001&lt;&gt;"")*ISNUMBER(SEARCH(실물목록!$P$2:$P$1001,I2492))*(실물목록!$Q$2:$Q$1001&lt;&gt;"")*ISNUMBER(SEARCH(실물목록!$Q$2:$Q$1001,I2492))*(실물목록!$R$2:$R$1001="")*(실물목록!$O$2:$O$1001&lt;&gt;""))&gt;0,"확인필요(연도다름)","실물 없음")))))</f>
      </c>
      <c r="G2492" t="n" s="16">
        <f aca="0">IF(B2492="","",SUMPRODUCT((실물목록!$P$2:$P$1001&lt;&gt;"")*ISNUMBER(SEARCH(실물목록!$P$2:$P$1001,I2492))*(실물목록!$Q$2:$Q$1001&lt;&gt;"")*ISNUMBER(SEARCH(실물목록!$Q$2:$Q$1001,I2492))*(실물목록!$R$2:$R$1001="")*(실물목록!$O$2:$O$1001&lt;&gt;"")*(실물목록!$O$2:$O$1001=H2492)))</f>
      </c>
      <c r="H2492" t="str">
        <f>IFERROR(IF(AND(LEN(SUBSTITUTE(SUBSTITUTE(SUBSTITUTE(TRIM(A2492&amp;""),CHAR(160),"")," ",""),"년",""))=4,VALUE(SUBSTITUTE(SUBSTITUTE(SUBSTITUTE(TRIM(A2492&amp;""),CHAR(160),"")," ",""),"년",""))&gt;=1900,VALUE(SUBSTITUTE(SUBSTITUTE(SUBSTITUTE(TRIM(A2492&amp;""),CHAR(160),"")," ",""),"년",""))&lt;=2099,TEXT(VALUE(SUBSTITUTE(SUBSTITUTE(SUBSTITUTE(TRIM(A2492&amp;""),CHAR(160),"")," ",""),"년","")),"0000")=SUBSTITUTE(SUBSTITUTE(SUBSTITUTE(TRIM(A2492&amp;""),CHAR(160),"")," ",""),"년","")),SUBSTITUTE(SUBSTITUTE(SUBSTITUTE(TRIM(A2492&amp;""),CHAR(160),"")," ",""),"년",""),""),"")</f>
      </c>
      <c r="I2492" t="str">
        <f>SUBSTITUTE(SUBSTITUTE(SUBSTITUTE(SUBSTITUTE(SUBSTITUTE(TRIM(B2492&amp;""),CHAR(160),"")," ",""),"초등학교","초"),"중학교","중"),"고등학교","고")</f>
      </c>
    </row>
    <row r="2493" customFormat="false" ht="15" hidden="false" customHeight="false" outlineLevel="0" collapsed="false">
      <c r="A2493" s="8"/>
      <c r="B2493" s="8"/>
      <c r="C2493" s="8"/>
      <c r="D2493" s="8"/>
      <c r="E2493" s="8"/>
      <c r="F2493" t="str" s="15">
        <f aca="0">IF(B2493="","",IF(H2493="","확인필요(입력누락)",IF(SUMPRODUCT((실물목록!$P$2:$P$1001&lt;&gt;"")*ISNUMBER(SEARCH(실물목록!$P$2:$P$1001,I2493))*(실물목록!$Q$2:$Q$1001&lt;&gt;"")*ISNUMBER(SEARCH(실물목록!$Q$2:$Q$1001,I2493))*(실물목록!$R$2:$R$1001="")*(실물목록!$O$2:$O$1001&lt;&gt;"")*(실물목록!$O$2:$O$1001=H2493))&gt;0,"실물 있음",IF(SUMPRODUCT((실물목록!$P$2:$P$1001&lt;&gt;"")*ISNUMBER(SEARCH(실물목록!$P$2:$P$1001,I2493))*(실물목록!$R$2:$R$1001&lt;&gt;""))&gt;0,"확인필요(입력누락)",IF(SUMPRODUCT((실물목록!$P$2:$P$1001&lt;&gt;"")*ISNUMBER(SEARCH(실물목록!$P$2:$P$1001,I2493))*(실물목록!$Q$2:$Q$1001&lt;&gt;"")*ISNUMBER(SEARCH(실물목록!$Q$2:$Q$1001,I2493))*(실물목록!$R$2:$R$1001="")*(실물목록!$O$2:$O$1001&lt;&gt;""))&gt;0,"확인필요(연도다름)","실물 없음")))))</f>
      </c>
      <c r="G2493" t="n" s="16">
        <f aca="0">IF(B2493="","",SUMPRODUCT((실물목록!$P$2:$P$1001&lt;&gt;"")*ISNUMBER(SEARCH(실물목록!$P$2:$P$1001,I2493))*(실물목록!$Q$2:$Q$1001&lt;&gt;"")*ISNUMBER(SEARCH(실물목록!$Q$2:$Q$1001,I2493))*(실물목록!$R$2:$R$1001="")*(실물목록!$O$2:$O$1001&lt;&gt;"")*(실물목록!$O$2:$O$1001=H2493)))</f>
      </c>
      <c r="H2493" t="str">
        <f>IFERROR(IF(AND(LEN(SUBSTITUTE(SUBSTITUTE(SUBSTITUTE(TRIM(A2493&amp;""),CHAR(160),"")," ",""),"년",""))=4,VALUE(SUBSTITUTE(SUBSTITUTE(SUBSTITUTE(TRIM(A2493&amp;""),CHAR(160),"")," ",""),"년",""))&gt;=1900,VALUE(SUBSTITUTE(SUBSTITUTE(SUBSTITUTE(TRIM(A2493&amp;""),CHAR(160),"")," ",""),"년",""))&lt;=2099,TEXT(VALUE(SUBSTITUTE(SUBSTITUTE(SUBSTITUTE(TRIM(A2493&amp;""),CHAR(160),"")," ",""),"년","")),"0000")=SUBSTITUTE(SUBSTITUTE(SUBSTITUTE(TRIM(A2493&amp;""),CHAR(160),"")," ",""),"년","")),SUBSTITUTE(SUBSTITUTE(SUBSTITUTE(TRIM(A2493&amp;""),CHAR(160),"")," ",""),"년",""),""),"")</f>
      </c>
      <c r="I2493" t="str">
        <f>SUBSTITUTE(SUBSTITUTE(SUBSTITUTE(SUBSTITUTE(SUBSTITUTE(TRIM(B2493&amp;""),CHAR(160),"")," ",""),"초등학교","초"),"중학교","중"),"고등학교","고")</f>
      </c>
    </row>
    <row r="2494" customFormat="false" ht="15" hidden="false" customHeight="false" outlineLevel="0" collapsed="false">
      <c r="A2494" s="8"/>
      <c r="B2494" s="8"/>
      <c r="C2494" s="8"/>
      <c r="D2494" s="8"/>
      <c r="E2494" s="8"/>
      <c r="F2494" t="str" s="15">
        <f aca="0">IF(B2494="","",IF(H2494="","확인필요(입력누락)",IF(SUMPRODUCT((실물목록!$P$2:$P$1001&lt;&gt;"")*ISNUMBER(SEARCH(실물목록!$P$2:$P$1001,I2494))*(실물목록!$Q$2:$Q$1001&lt;&gt;"")*ISNUMBER(SEARCH(실물목록!$Q$2:$Q$1001,I2494))*(실물목록!$R$2:$R$1001="")*(실물목록!$O$2:$O$1001&lt;&gt;"")*(실물목록!$O$2:$O$1001=H2494))&gt;0,"실물 있음",IF(SUMPRODUCT((실물목록!$P$2:$P$1001&lt;&gt;"")*ISNUMBER(SEARCH(실물목록!$P$2:$P$1001,I2494))*(실물목록!$R$2:$R$1001&lt;&gt;""))&gt;0,"확인필요(입력누락)",IF(SUMPRODUCT((실물목록!$P$2:$P$1001&lt;&gt;"")*ISNUMBER(SEARCH(실물목록!$P$2:$P$1001,I2494))*(실물목록!$Q$2:$Q$1001&lt;&gt;"")*ISNUMBER(SEARCH(실물목록!$Q$2:$Q$1001,I2494))*(실물목록!$R$2:$R$1001="")*(실물목록!$O$2:$O$1001&lt;&gt;""))&gt;0,"확인필요(연도다름)","실물 없음")))))</f>
      </c>
      <c r="G2494" t="n" s="16">
        <f aca="0">IF(B2494="","",SUMPRODUCT((실물목록!$P$2:$P$1001&lt;&gt;"")*ISNUMBER(SEARCH(실물목록!$P$2:$P$1001,I2494))*(실물목록!$Q$2:$Q$1001&lt;&gt;"")*ISNUMBER(SEARCH(실물목록!$Q$2:$Q$1001,I2494))*(실물목록!$R$2:$R$1001="")*(실물목록!$O$2:$O$1001&lt;&gt;"")*(실물목록!$O$2:$O$1001=H2494)))</f>
      </c>
      <c r="H2494" t="str">
        <f>IFERROR(IF(AND(LEN(SUBSTITUTE(SUBSTITUTE(SUBSTITUTE(TRIM(A2494&amp;""),CHAR(160),"")," ",""),"년",""))=4,VALUE(SUBSTITUTE(SUBSTITUTE(SUBSTITUTE(TRIM(A2494&amp;""),CHAR(160),"")," ",""),"년",""))&gt;=1900,VALUE(SUBSTITUTE(SUBSTITUTE(SUBSTITUTE(TRIM(A2494&amp;""),CHAR(160),"")," ",""),"년",""))&lt;=2099,TEXT(VALUE(SUBSTITUTE(SUBSTITUTE(SUBSTITUTE(TRIM(A2494&amp;""),CHAR(160),"")," ",""),"년","")),"0000")=SUBSTITUTE(SUBSTITUTE(SUBSTITUTE(TRIM(A2494&amp;""),CHAR(160),"")," ",""),"년","")),SUBSTITUTE(SUBSTITUTE(SUBSTITUTE(TRIM(A2494&amp;""),CHAR(160),"")," ",""),"년",""),""),"")</f>
      </c>
      <c r="I2494" t="str">
        <f>SUBSTITUTE(SUBSTITUTE(SUBSTITUTE(SUBSTITUTE(SUBSTITUTE(TRIM(B2494&amp;""),CHAR(160),"")," ",""),"초등학교","초"),"중학교","중"),"고등학교","고")</f>
      </c>
    </row>
    <row r="2495" customFormat="false" ht="15" hidden="false" customHeight="false" outlineLevel="0" collapsed="false">
      <c r="A2495" s="8"/>
      <c r="B2495" s="8"/>
      <c r="C2495" s="8"/>
      <c r="D2495" s="8"/>
      <c r="E2495" s="8"/>
      <c r="F2495" t="str" s="15">
        <f aca="0">IF(B2495="","",IF(H2495="","확인필요(입력누락)",IF(SUMPRODUCT((실물목록!$P$2:$P$1001&lt;&gt;"")*ISNUMBER(SEARCH(실물목록!$P$2:$P$1001,I2495))*(실물목록!$Q$2:$Q$1001&lt;&gt;"")*ISNUMBER(SEARCH(실물목록!$Q$2:$Q$1001,I2495))*(실물목록!$R$2:$R$1001="")*(실물목록!$O$2:$O$1001&lt;&gt;"")*(실물목록!$O$2:$O$1001=H2495))&gt;0,"실물 있음",IF(SUMPRODUCT((실물목록!$P$2:$P$1001&lt;&gt;"")*ISNUMBER(SEARCH(실물목록!$P$2:$P$1001,I2495))*(실물목록!$R$2:$R$1001&lt;&gt;""))&gt;0,"확인필요(입력누락)",IF(SUMPRODUCT((실물목록!$P$2:$P$1001&lt;&gt;"")*ISNUMBER(SEARCH(실물목록!$P$2:$P$1001,I2495))*(실물목록!$Q$2:$Q$1001&lt;&gt;"")*ISNUMBER(SEARCH(실물목록!$Q$2:$Q$1001,I2495))*(실물목록!$R$2:$R$1001="")*(실물목록!$O$2:$O$1001&lt;&gt;""))&gt;0,"확인필요(연도다름)","실물 없음")))))</f>
      </c>
      <c r="G2495" t="n" s="16">
        <f aca="0">IF(B2495="","",SUMPRODUCT((실물목록!$P$2:$P$1001&lt;&gt;"")*ISNUMBER(SEARCH(실물목록!$P$2:$P$1001,I2495))*(실물목록!$Q$2:$Q$1001&lt;&gt;"")*ISNUMBER(SEARCH(실물목록!$Q$2:$Q$1001,I2495))*(실물목록!$R$2:$R$1001="")*(실물목록!$O$2:$O$1001&lt;&gt;"")*(실물목록!$O$2:$O$1001=H2495)))</f>
      </c>
      <c r="H2495" t="str">
        <f>IFERROR(IF(AND(LEN(SUBSTITUTE(SUBSTITUTE(SUBSTITUTE(TRIM(A2495&amp;""),CHAR(160),"")," ",""),"년",""))=4,VALUE(SUBSTITUTE(SUBSTITUTE(SUBSTITUTE(TRIM(A2495&amp;""),CHAR(160),"")," ",""),"년",""))&gt;=1900,VALUE(SUBSTITUTE(SUBSTITUTE(SUBSTITUTE(TRIM(A2495&amp;""),CHAR(160),"")," ",""),"년",""))&lt;=2099,TEXT(VALUE(SUBSTITUTE(SUBSTITUTE(SUBSTITUTE(TRIM(A2495&amp;""),CHAR(160),"")," ",""),"년","")),"0000")=SUBSTITUTE(SUBSTITUTE(SUBSTITUTE(TRIM(A2495&amp;""),CHAR(160),"")," ",""),"년","")),SUBSTITUTE(SUBSTITUTE(SUBSTITUTE(TRIM(A2495&amp;""),CHAR(160),"")," ",""),"년",""),""),"")</f>
      </c>
      <c r="I2495" t="str">
        <f>SUBSTITUTE(SUBSTITUTE(SUBSTITUTE(SUBSTITUTE(SUBSTITUTE(TRIM(B2495&amp;""),CHAR(160),"")," ",""),"초등학교","초"),"중학교","중"),"고등학교","고")</f>
      </c>
    </row>
    <row r="2496" customFormat="false" ht="15" hidden="false" customHeight="false" outlineLevel="0" collapsed="false">
      <c r="A2496" s="8"/>
      <c r="B2496" s="8"/>
      <c r="C2496" s="8"/>
      <c r="D2496" s="8"/>
      <c r="E2496" s="8"/>
      <c r="F2496" t="str" s="15">
        <f aca="0">IF(B2496="","",IF(H2496="","확인필요(입력누락)",IF(SUMPRODUCT((실물목록!$P$2:$P$1001&lt;&gt;"")*ISNUMBER(SEARCH(실물목록!$P$2:$P$1001,I2496))*(실물목록!$Q$2:$Q$1001&lt;&gt;"")*ISNUMBER(SEARCH(실물목록!$Q$2:$Q$1001,I2496))*(실물목록!$R$2:$R$1001="")*(실물목록!$O$2:$O$1001&lt;&gt;"")*(실물목록!$O$2:$O$1001=H2496))&gt;0,"실물 있음",IF(SUMPRODUCT((실물목록!$P$2:$P$1001&lt;&gt;"")*ISNUMBER(SEARCH(실물목록!$P$2:$P$1001,I2496))*(실물목록!$R$2:$R$1001&lt;&gt;""))&gt;0,"확인필요(입력누락)",IF(SUMPRODUCT((실물목록!$P$2:$P$1001&lt;&gt;"")*ISNUMBER(SEARCH(실물목록!$P$2:$P$1001,I2496))*(실물목록!$Q$2:$Q$1001&lt;&gt;"")*ISNUMBER(SEARCH(실물목록!$Q$2:$Q$1001,I2496))*(실물목록!$R$2:$R$1001="")*(실물목록!$O$2:$O$1001&lt;&gt;""))&gt;0,"확인필요(연도다름)","실물 없음")))))</f>
      </c>
      <c r="G2496" t="n" s="16">
        <f aca="0">IF(B2496="","",SUMPRODUCT((실물목록!$P$2:$P$1001&lt;&gt;"")*ISNUMBER(SEARCH(실물목록!$P$2:$P$1001,I2496))*(실물목록!$Q$2:$Q$1001&lt;&gt;"")*ISNUMBER(SEARCH(실물목록!$Q$2:$Q$1001,I2496))*(실물목록!$R$2:$R$1001="")*(실물목록!$O$2:$O$1001&lt;&gt;"")*(실물목록!$O$2:$O$1001=H2496)))</f>
      </c>
      <c r="H2496" t="str">
        <f>IFERROR(IF(AND(LEN(SUBSTITUTE(SUBSTITUTE(SUBSTITUTE(TRIM(A2496&amp;""),CHAR(160),"")," ",""),"년",""))=4,VALUE(SUBSTITUTE(SUBSTITUTE(SUBSTITUTE(TRIM(A2496&amp;""),CHAR(160),"")," ",""),"년",""))&gt;=1900,VALUE(SUBSTITUTE(SUBSTITUTE(SUBSTITUTE(TRIM(A2496&amp;""),CHAR(160),"")," ",""),"년",""))&lt;=2099,TEXT(VALUE(SUBSTITUTE(SUBSTITUTE(SUBSTITUTE(TRIM(A2496&amp;""),CHAR(160),"")," ",""),"년","")),"0000")=SUBSTITUTE(SUBSTITUTE(SUBSTITUTE(TRIM(A2496&amp;""),CHAR(160),"")," ",""),"년","")),SUBSTITUTE(SUBSTITUTE(SUBSTITUTE(TRIM(A2496&amp;""),CHAR(160),"")," ",""),"년",""),""),"")</f>
      </c>
      <c r="I2496" t="str">
        <f>SUBSTITUTE(SUBSTITUTE(SUBSTITUTE(SUBSTITUTE(SUBSTITUTE(TRIM(B2496&amp;""),CHAR(160),"")," ",""),"초등학교","초"),"중학교","중"),"고등학교","고")</f>
      </c>
    </row>
    <row r="2497" customFormat="false" ht="15" hidden="false" customHeight="false" outlineLevel="0" collapsed="false">
      <c r="A2497" s="8"/>
      <c r="B2497" s="8"/>
      <c r="C2497" s="8"/>
      <c r="D2497" s="8"/>
      <c r="E2497" s="8"/>
      <c r="F2497" t="str" s="15">
        <f aca="0">IF(B2497="","",IF(H2497="","확인필요(입력누락)",IF(SUMPRODUCT((실물목록!$P$2:$P$1001&lt;&gt;"")*ISNUMBER(SEARCH(실물목록!$P$2:$P$1001,I2497))*(실물목록!$Q$2:$Q$1001&lt;&gt;"")*ISNUMBER(SEARCH(실물목록!$Q$2:$Q$1001,I2497))*(실물목록!$R$2:$R$1001="")*(실물목록!$O$2:$O$1001&lt;&gt;"")*(실물목록!$O$2:$O$1001=H2497))&gt;0,"실물 있음",IF(SUMPRODUCT((실물목록!$P$2:$P$1001&lt;&gt;"")*ISNUMBER(SEARCH(실물목록!$P$2:$P$1001,I2497))*(실물목록!$R$2:$R$1001&lt;&gt;""))&gt;0,"확인필요(입력누락)",IF(SUMPRODUCT((실물목록!$P$2:$P$1001&lt;&gt;"")*ISNUMBER(SEARCH(실물목록!$P$2:$P$1001,I2497))*(실물목록!$Q$2:$Q$1001&lt;&gt;"")*ISNUMBER(SEARCH(실물목록!$Q$2:$Q$1001,I2497))*(실물목록!$R$2:$R$1001="")*(실물목록!$O$2:$O$1001&lt;&gt;""))&gt;0,"확인필요(연도다름)","실물 없음")))))</f>
      </c>
      <c r="G2497" t="n" s="16">
        <f aca="0">IF(B2497="","",SUMPRODUCT((실물목록!$P$2:$P$1001&lt;&gt;"")*ISNUMBER(SEARCH(실물목록!$P$2:$P$1001,I2497))*(실물목록!$Q$2:$Q$1001&lt;&gt;"")*ISNUMBER(SEARCH(실물목록!$Q$2:$Q$1001,I2497))*(실물목록!$R$2:$R$1001="")*(실물목록!$O$2:$O$1001&lt;&gt;"")*(실물목록!$O$2:$O$1001=H2497)))</f>
      </c>
      <c r="H2497" t="str">
        <f>IFERROR(IF(AND(LEN(SUBSTITUTE(SUBSTITUTE(SUBSTITUTE(TRIM(A2497&amp;""),CHAR(160),"")," ",""),"년",""))=4,VALUE(SUBSTITUTE(SUBSTITUTE(SUBSTITUTE(TRIM(A2497&amp;""),CHAR(160),"")," ",""),"년",""))&gt;=1900,VALUE(SUBSTITUTE(SUBSTITUTE(SUBSTITUTE(TRIM(A2497&amp;""),CHAR(160),"")," ",""),"년",""))&lt;=2099,TEXT(VALUE(SUBSTITUTE(SUBSTITUTE(SUBSTITUTE(TRIM(A2497&amp;""),CHAR(160),"")," ",""),"년","")),"0000")=SUBSTITUTE(SUBSTITUTE(SUBSTITUTE(TRIM(A2497&amp;""),CHAR(160),"")," ",""),"년","")),SUBSTITUTE(SUBSTITUTE(SUBSTITUTE(TRIM(A2497&amp;""),CHAR(160),"")," ",""),"년",""),""),"")</f>
      </c>
      <c r="I2497" t="str">
        <f>SUBSTITUTE(SUBSTITUTE(SUBSTITUTE(SUBSTITUTE(SUBSTITUTE(TRIM(B2497&amp;""),CHAR(160),"")," ",""),"초등학교","초"),"중학교","중"),"고등학교","고")</f>
      </c>
    </row>
    <row r="2498" customFormat="false" ht="15" hidden="false" customHeight="false" outlineLevel="0" collapsed="false">
      <c r="A2498" s="8"/>
      <c r="B2498" s="8"/>
      <c r="C2498" s="8"/>
      <c r="D2498" s="8"/>
      <c r="E2498" s="8"/>
      <c r="F2498" t="str" s="15">
        <f aca="0">IF(B2498="","",IF(H2498="","확인필요(입력누락)",IF(SUMPRODUCT((실물목록!$P$2:$P$1001&lt;&gt;"")*ISNUMBER(SEARCH(실물목록!$P$2:$P$1001,I2498))*(실물목록!$Q$2:$Q$1001&lt;&gt;"")*ISNUMBER(SEARCH(실물목록!$Q$2:$Q$1001,I2498))*(실물목록!$R$2:$R$1001="")*(실물목록!$O$2:$O$1001&lt;&gt;"")*(실물목록!$O$2:$O$1001=H2498))&gt;0,"실물 있음",IF(SUMPRODUCT((실물목록!$P$2:$P$1001&lt;&gt;"")*ISNUMBER(SEARCH(실물목록!$P$2:$P$1001,I2498))*(실물목록!$R$2:$R$1001&lt;&gt;""))&gt;0,"확인필요(입력누락)",IF(SUMPRODUCT((실물목록!$P$2:$P$1001&lt;&gt;"")*ISNUMBER(SEARCH(실물목록!$P$2:$P$1001,I2498))*(실물목록!$Q$2:$Q$1001&lt;&gt;"")*ISNUMBER(SEARCH(실물목록!$Q$2:$Q$1001,I2498))*(실물목록!$R$2:$R$1001="")*(실물목록!$O$2:$O$1001&lt;&gt;""))&gt;0,"확인필요(연도다름)","실물 없음")))))</f>
      </c>
      <c r="G2498" t="n" s="16">
        <f aca="0">IF(B2498="","",SUMPRODUCT((실물목록!$P$2:$P$1001&lt;&gt;"")*ISNUMBER(SEARCH(실물목록!$P$2:$P$1001,I2498))*(실물목록!$Q$2:$Q$1001&lt;&gt;"")*ISNUMBER(SEARCH(실물목록!$Q$2:$Q$1001,I2498))*(실물목록!$R$2:$R$1001="")*(실물목록!$O$2:$O$1001&lt;&gt;"")*(실물목록!$O$2:$O$1001=H2498)))</f>
      </c>
      <c r="H2498" t="str">
        <f>IFERROR(IF(AND(LEN(SUBSTITUTE(SUBSTITUTE(SUBSTITUTE(TRIM(A2498&amp;""),CHAR(160),"")," ",""),"년",""))=4,VALUE(SUBSTITUTE(SUBSTITUTE(SUBSTITUTE(TRIM(A2498&amp;""),CHAR(160),"")," ",""),"년",""))&gt;=1900,VALUE(SUBSTITUTE(SUBSTITUTE(SUBSTITUTE(TRIM(A2498&amp;""),CHAR(160),"")," ",""),"년",""))&lt;=2099,TEXT(VALUE(SUBSTITUTE(SUBSTITUTE(SUBSTITUTE(TRIM(A2498&amp;""),CHAR(160),"")," ",""),"년","")),"0000")=SUBSTITUTE(SUBSTITUTE(SUBSTITUTE(TRIM(A2498&amp;""),CHAR(160),"")," ",""),"년","")),SUBSTITUTE(SUBSTITUTE(SUBSTITUTE(TRIM(A2498&amp;""),CHAR(160),"")," ",""),"년",""),""),"")</f>
      </c>
      <c r="I2498" t="str">
        <f>SUBSTITUTE(SUBSTITUTE(SUBSTITUTE(SUBSTITUTE(SUBSTITUTE(TRIM(B2498&amp;""),CHAR(160),"")," ",""),"초등학교","초"),"중학교","중"),"고등학교","고")</f>
      </c>
    </row>
    <row r="2499" customFormat="false" ht="15" hidden="false" customHeight="false" outlineLevel="0" collapsed="false">
      <c r="A2499" s="8"/>
      <c r="B2499" s="8"/>
      <c r="C2499" s="8"/>
      <c r="D2499" s="8"/>
      <c r="E2499" s="8"/>
      <c r="F2499" t="str" s="15">
        <f aca="0">IF(B2499="","",IF(H2499="","확인필요(입력누락)",IF(SUMPRODUCT((실물목록!$P$2:$P$1001&lt;&gt;"")*ISNUMBER(SEARCH(실물목록!$P$2:$P$1001,I2499))*(실물목록!$Q$2:$Q$1001&lt;&gt;"")*ISNUMBER(SEARCH(실물목록!$Q$2:$Q$1001,I2499))*(실물목록!$R$2:$R$1001="")*(실물목록!$O$2:$O$1001&lt;&gt;"")*(실물목록!$O$2:$O$1001=H2499))&gt;0,"실물 있음",IF(SUMPRODUCT((실물목록!$P$2:$P$1001&lt;&gt;"")*ISNUMBER(SEARCH(실물목록!$P$2:$P$1001,I2499))*(실물목록!$R$2:$R$1001&lt;&gt;""))&gt;0,"확인필요(입력누락)",IF(SUMPRODUCT((실물목록!$P$2:$P$1001&lt;&gt;"")*ISNUMBER(SEARCH(실물목록!$P$2:$P$1001,I2499))*(실물목록!$Q$2:$Q$1001&lt;&gt;"")*ISNUMBER(SEARCH(실물목록!$Q$2:$Q$1001,I2499))*(실물목록!$R$2:$R$1001="")*(실물목록!$O$2:$O$1001&lt;&gt;""))&gt;0,"확인필요(연도다름)","실물 없음")))))</f>
      </c>
      <c r="G2499" t="n" s="16">
        <f aca="0">IF(B2499="","",SUMPRODUCT((실물목록!$P$2:$P$1001&lt;&gt;"")*ISNUMBER(SEARCH(실물목록!$P$2:$P$1001,I2499))*(실물목록!$Q$2:$Q$1001&lt;&gt;"")*ISNUMBER(SEARCH(실물목록!$Q$2:$Q$1001,I2499))*(실물목록!$R$2:$R$1001="")*(실물목록!$O$2:$O$1001&lt;&gt;"")*(실물목록!$O$2:$O$1001=H2499)))</f>
      </c>
      <c r="H2499" t="str">
        <f>IFERROR(IF(AND(LEN(SUBSTITUTE(SUBSTITUTE(SUBSTITUTE(TRIM(A2499&amp;""),CHAR(160),"")," ",""),"년",""))=4,VALUE(SUBSTITUTE(SUBSTITUTE(SUBSTITUTE(TRIM(A2499&amp;""),CHAR(160),"")," ",""),"년",""))&gt;=1900,VALUE(SUBSTITUTE(SUBSTITUTE(SUBSTITUTE(TRIM(A2499&amp;""),CHAR(160),"")," ",""),"년",""))&lt;=2099,TEXT(VALUE(SUBSTITUTE(SUBSTITUTE(SUBSTITUTE(TRIM(A2499&amp;""),CHAR(160),"")," ",""),"년","")),"0000")=SUBSTITUTE(SUBSTITUTE(SUBSTITUTE(TRIM(A2499&amp;""),CHAR(160),"")," ",""),"년","")),SUBSTITUTE(SUBSTITUTE(SUBSTITUTE(TRIM(A2499&amp;""),CHAR(160),"")," ",""),"년",""),""),"")</f>
      </c>
      <c r="I2499" t="str">
        <f>SUBSTITUTE(SUBSTITUTE(SUBSTITUTE(SUBSTITUTE(SUBSTITUTE(TRIM(B2499&amp;""),CHAR(160),"")," ",""),"초등학교","초"),"중학교","중"),"고등학교","고")</f>
      </c>
    </row>
    <row r="2500" customFormat="false" ht="15" hidden="false" customHeight="false" outlineLevel="0" collapsed="false">
      <c r="A2500" s="8"/>
      <c r="B2500" s="8"/>
      <c r="C2500" s="8"/>
      <c r="D2500" s="8"/>
      <c r="E2500" s="8"/>
      <c r="F2500" t="str" s="15">
        <f aca="0">IF(B2500="","",IF(H2500="","확인필요(입력누락)",IF(SUMPRODUCT((실물목록!$P$2:$P$1001&lt;&gt;"")*ISNUMBER(SEARCH(실물목록!$P$2:$P$1001,I2500))*(실물목록!$Q$2:$Q$1001&lt;&gt;"")*ISNUMBER(SEARCH(실물목록!$Q$2:$Q$1001,I2500))*(실물목록!$R$2:$R$1001="")*(실물목록!$O$2:$O$1001&lt;&gt;"")*(실물목록!$O$2:$O$1001=H2500))&gt;0,"실물 있음",IF(SUMPRODUCT((실물목록!$P$2:$P$1001&lt;&gt;"")*ISNUMBER(SEARCH(실물목록!$P$2:$P$1001,I2500))*(실물목록!$R$2:$R$1001&lt;&gt;""))&gt;0,"확인필요(입력누락)",IF(SUMPRODUCT((실물목록!$P$2:$P$1001&lt;&gt;"")*ISNUMBER(SEARCH(실물목록!$P$2:$P$1001,I2500))*(실물목록!$Q$2:$Q$1001&lt;&gt;"")*ISNUMBER(SEARCH(실물목록!$Q$2:$Q$1001,I2500))*(실물목록!$R$2:$R$1001="")*(실물목록!$O$2:$O$1001&lt;&gt;""))&gt;0,"확인필요(연도다름)","실물 없음")))))</f>
      </c>
      <c r="G2500" t="n" s="16">
        <f aca="0">IF(B2500="","",SUMPRODUCT((실물목록!$P$2:$P$1001&lt;&gt;"")*ISNUMBER(SEARCH(실물목록!$P$2:$P$1001,I2500))*(실물목록!$Q$2:$Q$1001&lt;&gt;"")*ISNUMBER(SEARCH(실물목록!$Q$2:$Q$1001,I2500))*(실물목록!$R$2:$R$1001="")*(실물목록!$O$2:$O$1001&lt;&gt;"")*(실물목록!$O$2:$O$1001=H2500)))</f>
      </c>
      <c r="H2500" t="str">
        <f>IFERROR(IF(AND(LEN(SUBSTITUTE(SUBSTITUTE(SUBSTITUTE(TRIM(A2500&amp;""),CHAR(160),"")," ",""),"년",""))=4,VALUE(SUBSTITUTE(SUBSTITUTE(SUBSTITUTE(TRIM(A2500&amp;""),CHAR(160),"")," ",""),"년",""))&gt;=1900,VALUE(SUBSTITUTE(SUBSTITUTE(SUBSTITUTE(TRIM(A2500&amp;""),CHAR(160),"")," ",""),"년",""))&lt;=2099,TEXT(VALUE(SUBSTITUTE(SUBSTITUTE(SUBSTITUTE(TRIM(A2500&amp;""),CHAR(160),"")," ",""),"년","")),"0000")=SUBSTITUTE(SUBSTITUTE(SUBSTITUTE(TRIM(A2500&amp;""),CHAR(160),"")," ",""),"년","")),SUBSTITUTE(SUBSTITUTE(SUBSTITUTE(TRIM(A2500&amp;""),CHAR(160),"")," ",""),"년",""),""),"")</f>
      </c>
      <c r="I2500" t="str">
        <f>SUBSTITUTE(SUBSTITUTE(SUBSTITUTE(SUBSTITUTE(SUBSTITUTE(TRIM(B2500&amp;""),CHAR(160),"")," ",""),"초등학교","초"),"중학교","중"),"고등학교","고")</f>
      </c>
    </row>
    <row r="2501" customFormat="false" ht="15" hidden="false" customHeight="false" outlineLevel="0" collapsed="false">
      <c r="A2501" s="8"/>
      <c r="B2501" s="8"/>
      <c r="C2501" s="8"/>
      <c r="D2501" s="8"/>
      <c r="E2501" s="8"/>
      <c r="F2501" t="str" s="15">
        <f aca="0">IF(B2501="","",IF(H2501="","확인필요(입력누락)",IF(SUMPRODUCT((실물목록!$P$2:$P$1001&lt;&gt;"")*ISNUMBER(SEARCH(실물목록!$P$2:$P$1001,I2501))*(실물목록!$Q$2:$Q$1001&lt;&gt;"")*ISNUMBER(SEARCH(실물목록!$Q$2:$Q$1001,I2501))*(실물목록!$R$2:$R$1001="")*(실물목록!$O$2:$O$1001&lt;&gt;"")*(실물목록!$O$2:$O$1001=H2501))&gt;0,"실물 있음",IF(SUMPRODUCT((실물목록!$P$2:$P$1001&lt;&gt;"")*ISNUMBER(SEARCH(실물목록!$P$2:$P$1001,I2501))*(실물목록!$R$2:$R$1001&lt;&gt;""))&gt;0,"확인필요(입력누락)",IF(SUMPRODUCT((실물목록!$P$2:$P$1001&lt;&gt;"")*ISNUMBER(SEARCH(실물목록!$P$2:$P$1001,I2501))*(실물목록!$Q$2:$Q$1001&lt;&gt;"")*ISNUMBER(SEARCH(실물목록!$Q$2:$Q$1001,I2501))*(실물목록!$R$2:$R$1001="")*(실물목록!$O$2:$O$1001&lt;&gt;""))&gt;0,"확인필요(연도다름)","실물 없음")))))</f>
      </c>
      <c r="G2501" t="n" s="16">
        <f aca="0">IF(B2501="","",SUMPRODUCT((실물목록!$P$2:$P$1001&lt;&gt;"")*ISNUMBER(SEARCH(실물목록!$P$2:$P$1001,I2501))*(실물목록!$Q$2:$Q$1001&lt;&gt;"")*ISNUMBER(SEARCH(실물목록!$Q$2:$Q$1001,I2501))*(실물목록!$R$2:$R$1001="")*(실물목록!$O$2:$O$1001&lt;&gt;"")*(실물목록!$O$2:$O$1001=H2501)))</f>
      </c>
      <c r="H2501" t="str">
        <f>IFERROR(IF(AND(LEN(SUBSTITUTE(SUBSTITUTE(SUBSTITUTE(TRIM(A2501&amp;""),CHAR(160),"")," ",""),"년",""))=4,VALUE(SUBSTITUTE(SUBSTITUTE(SUBSTITUTE(TRIM(A2501&amp;""),CHAR(160),"")," ",""),"년",""))&gt;=1900,VALUE(SUBSTITUTE(SUBSTITUTE(SUBSTITUTE(TRIM(A2501&amp;""),CHAR(160),"")," ",""),"년",""))&lt;=2099,TEXT(VALUE(SUBSTITUTE(SUBSTITUTE(SUBSTITUTE(TRIM(A2501&amp;""),CHAR(160),"")," ",""),"년","")),"0000")=SUBSTITUTE(SUBSTITUTE(SUBSTITUTE(TRIM(A2501&amp;""),CHAR(160),"")," ",""),"년","")),SUBSTITUTE(SUBSTITUTE(SUBSTITUTE(TRIM(A2501&amp;""),CHAR(160),"")," ",""),"년",""),""),"")</f>
      </c>
      <c r="I2501" t="str">
        <f>SUBSTITUTE(SUBSTITUTE(SUBSTITUTE(SUBSTITUTE(SUBSTITUTE(TRIM(B2501&amp;""),CHAR(160),"")," ",""),"초등학교","초"),"중학교","중"),"고등학교","고")</f>
      </c>
    </row>
    <row r="2502" customFormat="false" ht="15" hidden="false" customHeight="false" outlineLevel="0" collapsed="false">
      <c r="A2502" s="8"/>
      <c r="B2502" s="8"/>
      <c r="C2502" s="8"/>
      <c r="D2502" s="8"/>
      <c r="E2502" s="8"/>
      <c r="F2502" t="str" s="15">
        <f aca="0">IF(B2502="","",IF(H2502="","확인필요(입력누락)",IF(SUMPRODUCT((실물목록!$P$2:$P$1001&lt;&gt;"")*ISNUMBER(SEARCH(실물목록!$P$2:$P$1001,I2502))*(실물목록!$Q$2:$Q$1001&lt;&gt;"")*ISNUMBER(SEARCH(실물목록!$Q$2:$Q$1001,I2502))*(실물목록!$R$2:$R$1001="")*(실물목록!$O$2:$O$1001&lt;&gt;"")*(실물목록!$O$2:$O$1001=H2502))&gt;0,"실물 있음",IF(SUMPRODUCT((실물목록!$P$2:$P$1001&lt;&gt;"")*ISNUMBER(SEARCH(실물목록!$P$2:$P$1001,I2502))*(실물목록!$R$2:$R$1001&lt;&gt;""))&gt;0,"확인필요(입력누락)",IF(SUMPRODUCT((실물목록!$P$2:$P$1001&lt;&gt;"")*ISNUMBER(SEARCH(실물목록!$P$2:$P$1001,I2502))*(실물목록!$Q$2:$Q$1001&lt;&gt;"")*ISNUMBER(SEARCH(실물목록!$Q$2:$Q$1001,I2502))*(실물목록!$R$2:$R$1001="")*(실물목록!$O$2:$O$1001&lt;&gt;""))&gt;0,"확인필요(연도다름)","실물 없음")))))</f>
      </c>
      <c r="G2502" t="n" s="16">
        <f aca="0">IF(B2502="","",SUMPRODUCT((실물목록!$P$2:$P$1001&lt;&gt;"")*ISNUMBER(SEARCH(실물목록!$P$2:$P$1001,I2502))*(실물목록!$Q$2:$Q$1001&lt;&gt;"")*ISNUMBER(SEARCH(실물목록!$Q$2:$Q$1001,I2502))*(실물목록!$R$2:$R$1001="")*(실물목록!$O$2:$O$1001&lt;&gt;"")*(실물목록!$O$2:$O$1001=H2502)))</f>
      </c>
      <c r="H2502" t="str">
        <f>IFERROR(IF(AND(LEN(SUBSTITUTE(SUBSTITUTE(SUBSTITUTE(TRIM(A2502&amp;""),CHAR(160),"")," ",""),"년",""))=4,VALUE(SUBSTITUTE(SUBSTITUTE(SUBSTITUTE(TRIM(A2502&amp;""),CHAR(160),"")," ",""),"년",""))&gt;=1900,VALUE(SUBSTITUTE(SUBSTITUTE(SUBSTITUTE(TRIM(A2502&amp;""),CHAR(160),"")," ",""),"년",""))&lt;=2099,TEXT(VALUE(SUBSTITUTE(SUBSTITUTE(SUBSTITUTE(TRIM(A2502&amp;""),CHAR(160),"")," ",""),"년","")),"0000")=SUBSTITUTE(SUBSTITUTE(SUBSTITUTE(TRIM(A2502&amp;""),CHAR(160),"")," ",""),"년","")),SUBSTITUTE(SUBSTITUTE(SUBSTITUTE(TRIM(A2502&amp;""),CHAR(160),"")," ",""),"년",""),""),"")</f>
      </c>
      <c r="I2502" t="str">
        <f>SUBSTITUTE(SUBSTITUTE(SUBSTITUTE(SUBSTITUTE(SUBSTITUTE(TRIM(B2502&amp;""),CHAR(160),"")," ",""),"초등학교","초"),"중학교","중"),"고등학교","고")</f>
      </c>
    </row>
    <row r="2503" customFormat="false" ht="15" hidden="false" customHeight="false" outlineLevel="0" collapsed="false">
      <c r="A2503" s="8"/>
      <c r="B2503" s="8"/>
      <c r="C2503" s="8"/>
      <c r="D2503" s="8"/>
      <c r="E2503" s="8"/>
      <c r="F2503" t="str" s="15">
        <f aca="0">IF(B2503="","",IF(H2503="","확인필요(입력누락)",IF(SUMPRODUCT((실물목록!$P$2:$P$1001&lt;&gt;"")*ISNUMBER(SEARCH(실물목록!$P$2:$P$1001,I2503))*(실물목록!$Q$2:$Q$1001&lt;&gt;"")*ISNUMBER(SEARCH(실물목록!$Q$2:$Q$1001,I2503))*(실물목록!$R$2:$R$1001="")*(실물목록!$O$2:$O$1001&lt;&gt;"")*(실물목록!$O$2:$O$1001=H2503))&gt;0,"실물 있음",IF(SUMPRODUCT((실물목록!$P$2:$P$1001&lt;&gt;"")*ISNUMBER(SEARCH(실물목록!$P$2:$P$1001,I2503))*(실물목록!$R$2:$R$1001&lt;&gt;""))&gt;0,"확인필요(입력누락)",IF(SUMPRODUCT((실물목록!$P$2:$P$1001&lt;&gt;"")*ISNUMBER(SEARCH(실물목록!$P$2:$P$1001,I2503))*(실물목록!$Q$2:$Q$1001&lt;&gt;"")*ISNUMBER(SEARCH(실물목록!$Q$2:$Q$1001,I2503))*(실물목록!$R$2:$R$1001="")*(실물목록!$O$2:$O$1001&lt;&gt;""))&gt;0,"확인필요(연도다름)","실물 없음")))))</f>
      </c>
      <c r="G2503" t="n" s="16">
        <f aca="0">IF(B2503="","",SUMPRODUCT((실물목록!$P$2:$P$1001&lt;&gt;"")*ISNUMBER(SEARCH(실물목록!$P$2:$P$1001,I2503))*(실물목록!$Q$2:$Q$1001&lt;&gt;"")*ISNUMBER(SEARCH(실물목록!$Q$2:$Q$1001,I2503))*(실물목록!$R$2:$R$1001="")*(실물목록!$O$2:$O$1001&lt;&gt;"")*(실물목록!$O$2:$O$1001=H2503)))</f>
      </c>
      <c r="H2503" t="str">
        <f>IFERROR(IF(AND(LEN(SUBSTITUTE(SUBSTITUTE(SUBSTITUTE(TRIM(A2503&amp;""),CHAR(160),"")," ",""),"년",""))=4,VALUE(SUBSTITUTE(SUBSTITUTE(SUBSTITUTE(TRIM(A2503&amp;""),CHAR(160),"")," ",""),"년",""))&gt;=1900,VALUE(SUBSTITUTE(SUBSTITUTE(SUBSTITUTE(TRIM(A2503&amp;""),CHAR(160),"")," ",""),"년",""))&lt;=2099,TEXT(VALUE(SUBSTITUTE(SUBSTITUTE(SUBSTITUTE(TRIM(A2503&amp;""),CHAR(160),"")," ",""),"년","")),"0000")=SUBSTITUTE(SUBSTITUTE(SUBSTITUTE(TRIM(A2503&amp;""),CHAR(160),"")," ",""),"년","")),SUBSTITUTE(SUBSTITUTE(SUBSTITUTE(TRIM(A2503&amp;""),CHAR(160),"")," ",""),"년",""),""),"")</f>
      </c>
      <c r="I2503" t="str">
        <f>SUBSTITUTE(SUBSTITUTE(SUBSTITUTE(SUBSTITUTE(SUBSTITUTE(TRIM(B2503&amp;""),CHAR(160),"")," ",""),"초등학교","초"),"중학교","중"),"고등학교","고")</f>
      </c>
    </row>
    <row r="2504" customFormat="false" ht="15" hidden="false" customHeight="false" outlineLevel="0" collapsed="false">
      <c r="A2504" s="8"/>
      <c r="B2504" s="8"/>
      <c r="C2504" s="8"/>
      <c r="D2504" s="8"/>
      <c r="E2504" s="8"/>
      <c r="F2504" t="str" s="15">
        <f aca="0">IF(B2504="","",IF(H2504="","확인필요(입력누락)",IF(SUMPRODUCT((실물목록!$P$2:$P$1001&lt;&gt;"")*ISNUMBER(SEARCH(실물목록!$P$2:$P$1001,I2504))*(실물목록!$Q$2:$Q$1001&lt;&gt;"")*ISNUMBER(SEARCH(실물목록!$Q$2:$Q$1001,I2504))*(실물목록!$R$2:$R$1001="")*(실물목록!$O$2:$O$1001&lt;&gt;"")*(실물목록!$O$2:$O$1001=H2504))&gt;0,"실물 있음",IF(SUMPRODUCT((실물목록!$P$2:$P$1001&lt;&gt;"")*ISNUMBER(SEARCH(실물목록!$P$2:$P$1001,I2504))*(실물목록!$R$2:$R$1001&lt;&gt;""))&gt;0,"확인필요(입력누락)",IF(SUMPRODUCT((실물목록!$P$2:$P$1001&lt;&gt;"")*ISNUMBER(SEARCH(실물목록!$P$2:$P$1001,I2504))*(실물목록!$Q$2:$Q$1001&lt;&gt;"")*ISNUMBER(SEARCH(실물목록!$Q$2:$Q$1001,I2504))*(실물목록!$R$2:$R$1001="")*(실물목록!$O$2:$O$1001&lt;&gt;""))&gt;0,"확인필요(연도다름)","실물 없음")))))</f>
      </c>
      <c r="G2504" t="n" s="16">
        <f aca="0">IF(B2504="","",SUMPRODUCT((실물목록!$P$2:$P$1001&lt;&gt;"")*ISNUMBER(SEARCH(실물목록!$P$2:$P$1001,I2504))*(실물목록!$Q$2:$Q$1001&lt;&gt;"")*ISNUMBER(SEARCH(실물목록!$Q$2:$Q$1001,I2504))*(실물목록!$R$2:$R$1001="")*(실물목록!$O$2:$O$1001&lt;&gt;"")*(실물목록!$O$2:$O$1001=H2504)))</f>
      </c>
      <c r="H2504" t="str">
        <f>IFERROR(IF(AND(LEN(SUBSTITUTE(SUBSTITUTE(SUBSTITUTE(TRIM(A2504&amp;""),CHAR(160),"")," ",""),"년",""))=4,VALUE(SUBSTITUTE(SUBSTITUTE(SUBSTITUTE(TRIM(A2504&amp;""),CHAR(160),"")," ",""),"년",""))&gt;=1900,VALUE(SUBSTITUTE(SUBSTITUTE(SUBSTITUTE(TRIM(A2504&amp;""),CHAR(160),"")," ",""),"년",""))&lt;=2099,TEXT(VALUE(SUBSTITUTE(SUBSTITUTE(SUBSTITUTE(TRIM(A2504&amp;""),CHAR(160),"")," ",""),"년","")),"0000")=SUBSTITUTE(SUBSTITUTE(SUBSTITUTE(TRIM(A2504&amp;""),CHAR(160),"")," ",""),"년","")),SUBSTITUTE(SUBSTITUTE(SUBSTITUTE(TRIM(A2504&amp;""),CHAR(160),"")," ",""),"년",""),""),"")</f>
      </c>
      <c r="I2504" t="str">
        <f>SUBSTITUTE(SUBSTITUTE(SUBSTITUTE(SUBSTITUTE(SUBSTITUTE(TRIM(B2504&amp;""),CHAR(160),"")," ",""),"초등학교","초"),"중학교","중"),"고등학교","고")</f>
      </c>
    </row>
    <row r="2505" customFormat="false" ht="15" hidden="false" customHeight="false" outlineLevel="0" collapsed="false">
      <c r="A2505" s="8"/>
      <c r="B2505" s="8"/>
      <c r="C2505" s="8"/>
      <c r="D2505" s="8"/>
      <c r="E2505" s="8"/>
      <c r="F2505" t="str" s="15">
        <f aca="0">IF(B2505="","",IF(H2505="","확인필요(입력누락)",IF(SUMPRODUCT((실물목록!$P$2:$P$1001&lt;&gt;"")*ISNUMBER(SEARCH(실물목록!$P$2:$P$1001,I2505))*(실물목록!$Q$2:$Q$1001&lt;&gt;"")*ISNUMBER(SEARCH(실물목록!$Q$2:$Q$1001,I2505))*(실물목록!$R$2:$R$1001="")*(실물목록!$O$2:$O$1001&lt;&gt;"")*(실물목록!$O$2:$O$1001=H2505))&gt;0,"실물 있음",IF(SUMPRODUCT((실물목록!$P$2:$P$1001&lt;&gt;"")*ISNUMBER(SEARCH(실물목록!$P$2:$P$1001,I2505))*(실물목록!$R$2:$R$1001&lt;&gt;""))&gt;0,"확인필요(입력누락)",IF(SUMPRODUCT((실물목록!$P$2:$P$1001&lt;&gt;"")*ISNUMBER(SEARCH(실물목록!$P$2:$P$1001,I2505))*(실물목록!$Q$2:$Q$1001&lt;&gt;"")*ISNUMBER(SEARCH(실물목록!$Q$2:$Q$1001,I2505))*(실물목록!$R$2:$R$1001="")*(실물목록!$O$2:$O$1001&lt;&gt;""))&gt;0,"확인필요(연도다름)","실물 없음")))))</f>
      </c>
      <c r="G2505" t="n" s="16">
        <f aca="0">IF(B2505="","",SUMPRODUCT((실물목록!$P$2:$P$1001&lt;&gt;"")*ISNUMBER(SEARCH(실물목록!$P$2:$P$1001,I2505))*(실물목록!$Q$2:$Q$1001&lt;&gt;"")*ISNUMBER(SEARCH(실물목록!$Q$2:$Q$1001,I2505))*(실물목록!$R$2:$R$1001="")*(실물목록!$O$2:$O$1001&lt;&gt;"")*(실물목록!$O$2:$O$1001=H2505)))</f>
      </c>
      <c r="H2505" t="str">
        <f>IFERROR(IF(AND(LEN(SUBSTITUTE(SUBSTITUTE(SUBSTITUTE(TRIM(A2505&amp;""),CHAR(160),"")," ",""),"년",""))=4,VALUE(SUBSTITUTE(SUBSTITUTE(SUBSTITUTE(TRIM(A2505&amp;""),CHAR(160),"")," ",""),"년",""))&gt;=1900,VALUE(SUBSTITUTE(SUBSTITUTE(SUBSTITUTE(TRIM(A2505&amp;""),CHAR(160),"")," ",""),"년",""))&lt;=2099,TEXT(VALUE(SUBSTITUTE(SUBSTITUTE(SUBSTITUTE(TRIM(A2505&amp;""),CHAR(160),"")," ",""),"년","")),"0000")=SUBSTITUTE(SUBSTITUTE(SUBSTITUTE(TRIM(A2505&amp;""),CHAR(160),"")," ",""),"년","")),SUBSTITUTE(SUBSTITUTE(SUBSTITUTE(TRIM(A2505&amp;""),CHAR(160),"")," ",""),"년",""),""),"")</f>
      </c>
      <c r="I2505" t="str">
        <f>SUBSTITUTE(SUBSTITUTE(SUBSTITUTE(SUBSTITUTE(SUBSTITUTE(TRIM(B2505&amp;""),CHAR(160),"")," ",""),"초등학교","초"),"중학교","중"),"고등학교","고")</f>
      </c>
    </row>
    <row r="2506" customFormat="false" ht="15" hidden="false" customHeight="false" outlineLevel="0" collapsed="false">
      <c r="A2506" s="8"/>
      <c r="B2506" s="8"/>
      <c r="C2506" s="8"/>
      <c r="D2506" s="8"/>
      <c r="E2506" s="8"/>
      <c r="F2506" t="str" s="15">
        <f aca="0">IF(B2506="","",IF(H2506="","확인필요(입력누락)",IF(SUMPRODUCT((실물목록!$P$2:$P$1001&lt;&gt;"")*ISNUMBER(SEARCH(실물목록!$P$2:$P$1001,I2506))*(실물목록!$Q$2:$Q$1001&lt;&gt;"")*ISNUMBER(SEARCH(실물목록!$Q$2:$Q$1001,I2506))*(실물목록!$R$2:$R$1001="")*(실물목록!$O$2:$O$1001&lt;&gt;"")*(실물목록!$O$2:$O$1001=H2506))&gt;0,"실물 있음",IF(SUMPRODUCT((실물목록!$P$2:$P$1001&lt;&gt;"")*ISNUMBER(SEARCH(실물목록!$P$2:$P$1001,I2506))*(실물목록!$R$2:$R$1001&lt;&gt;""))&gt;0,"확인필요(입력누락)",IF(SUMPRODUCT((실물목록!$P$2:$P$1001&lt;&gt;"")*ISNUMBER(SEARCH(실물목록!$P$2:$P$1001,I2506))*(실물목록!$Q$2:$Q$1001&lt;&gt;"")*ISNUMBER(SEARCH(실물목록!$Q$2:$Q$1001,I2506))*(실물목록!$R$2:$R$1001="")*(실물목록!$O$2:$O$1001&lt;&gt;""))&gt;0,"확인필요(연도다름)","실물 없음")))))</f>
      </c>
      <c r="G2506" t="n" s="16">
        <f aca="0">IF(B2506="","",SUMPRODUCT((실물목록!$P$2:$P$1001&lt;&gt;"")*ISNUMBER(SEARCH(실물목록!$P$2:$P$1001,I2506))*(실물목록!$Q$2:$Q$1001&lt;&gt;"")*ISNUMBER(SEARCH(실물목록!$Q$2:$Q$1001,I2506))*(실물목록!$R$2:$R$1001="")*(실물목록!$O$2:$O$1001&lt;&gt;"")*(실물목록!$O$2:$O$1001=H2506)))</f>
      </c>
      <c r="H2506" t="str">
        <f>IFERROR(IF(AND(LEN(SUBSTITUTE(SUBSTITUTE(SUBSTITUTE(TRIM(A2506&amp;""),CHAR(160),"")," ",""),"년",""))=4,VALUE(SUBSTITUTE(SUBSTITUTE(SUBSTITUTE(TRIM(A2506&amp;""),CHAR(160),"")," ",""),"년",""))&gt;=1900,VALUE(SUBSTITUTE(SUBSTITUTE(SUBSTITUTE(TRIM(A2506&amp;""),CHAR(160),"")," ",""),"년",""))&lt;=2099,TEXT(VALUE(SUBSTITUTE(SUBSTITUTE(SUBSTITUTE(TRIM(A2506&amp;""),CHAR(160),"")," ",""),"년","")),"0000")=SUBSTITUTE(SUBSTITUTE(SUBSTITUTE(TRIM(A2506&amp;""),CHAR(160),"")," ",""),"년","")),SUBSTITUTE(SUBSTITUTE(SUBSTITUTE(TRIM(A2506&amp;""),CHAR(160),"")," ",""),"년",""),""),"")</f>
      </c>
      <c r="I2506" t="str">
        <f>SUBSTITUTE(SUBSTITUTE(SUBSTITUTE(SUBSTITUTE(SUBSTITUTE(TRIM(B2506&amp;""),CHAR(160),"")," ",""),"초등학교","초"),"중학교","중"),"고등학교","고")</f>
      </c>
    </row>
    <row r="2507" customFormat="false" ht="15" hidden="false" customHeight="false" outlineLevel="0" collapsed="false">
      <c r="A2507" s="8"/>
      <c r="B2507" s="8"/>
      <c r="C2507" s="8"/>
      <c r="D2507" s="8"/>
      <c r="E2507" s="8"/>
      <c r="F2507" t="str" s="15">
        <f aca="0">IF(B2507="","",IF(H2507="","확인필요(입력누락)",IF(SUMPRODUCT((실물목록!$P$2:$P$1001&lt;&gt;"")*ISNUMBER(SEARCH(실물목록!$P$2:$P$1001,I2507))*(실물목록!$Q$2:$Q$1001&lt;&gt;"")*ISNUMBER(SEARCH(실물목록!$Q$2:$Q$1001,I2507))*(실물목록!$R$2:$R$1001="")*(실물목록!$O$2:$O$1001&lt;&gt;"")*(실물목록!$O$2:$O$1001=H2507))&gt;0,"실물 있음",IF(SUMPRODUCT((실물목록!$P$2:$P$1001&lt;&gt;"")*ISNUMBER(SEARCH(실물목록!$P$2:$P$1001,I2507))*(실물목록!$R$2:$R$1001&lt;&gt;""))&gt;0,"확인필요(입력누락)",IF(SUMPRODUCT((실물목록!$P$2:$P$1001&lt;&gt;"")*ISNUMBER(SEARCH(실물목록!$P$2:$P$1001,I2507))*(실물목록!$Q$2:$Q$1001&lt;&gt;"")*ISNUMBER(SEARCH(실물목록!$Q$2:$Q$1001,I2507))*(실물목록!$R$2:$R$1001="")*(실물목록!$O$2:$O$1001&lt;&gt;""))&gt;0,"확인필요(연도다름)","실물 없음")))))</f>
      </c>
      <c r="G2507" t="n" s="16">
        <f aca="0">IF(B2507="","",SUMPRODUCT((실물목록!$P$2:$P$1001&lt;&gt;"")*ISNUMBER(SEARCH(실물목록!$P$2:$P$1001,I2507))*(실물목록!$Q$2:$Q$1001&lt;&gt;"")*ISNUMBER(SEARCH(실물목록!$Q$2:$Q$1001,I2507))*(실물목록!$R$2:$R$1001="")*(실물목록!$O$2:$O$1001&lt;&gt;"")*(실물목록!$O$2:$O$1001=H2507)))</f>
      </c>
      <c r="H2507" t="str">
        <f>IFERROR(IF(AND(LEN(SUBSTITUTE(SUBSTITUTE(SUBSTITUTE(TRIM(A2507&amp;""),CHAR(160),"")," ",""),"년",""))=4,VALUE(SUBSTITUTE(SUBSTITUTE(SUBSTITUTE(TRIM(A2507&amp;""),CHAR(160),"")," ",""),"년",""))&gt;=1900,VALUE(SUBSTITUTE(SUBSTITUTE(SUBSTITUTE(TRIM(A2507&amp;""),CHAR(160),"")," ",""),"년",""))&lt;=2099,TEXT(VALUE(SUBSTITUTE(SUBSTITUTE(SUBSTITUTE(TRIM(A2507&amp;""),CHAR(160),"")," ",""),"년","")),"0000")=SUBSTITUTE(SUBSTITUTE(SUBSTITUTE(TRIM(A2507&amp;""),CHAR(160),"")," ",""),"년","")),SUBSTITUTE(SUBSTITUTE(SUBSTITUTE(TRIM(A2507&amp;""),CHAR(160),"")," ",""),"년",""),""),"")</f>
      </c>
      <c r="I2507" t="str">
        <f>SUBSTITUTE(SUBSTITUTE(SUBSTITUTE(SUBSTITUTE(SUBSTITUTE(TRIM(B2507&amp;""),CHAR(160),"")," ",""),"초등학교","초"),"중학교","중"),"고등학교","고")</f>
      </c>
    </row>
    <row r="2508" customFormat="false" ht="15" hidden="false" customHeight="false" outlineLevel="0" collapsed="false">
      <c r="A2508" s="8"/>
      <c r="B2508" s="8"/>
      <c r="C2508" s="8"/>
      <c r="D2508" s="8"/>
      <c r="E2508" s="8"/>
      <c r="F2508" t="str" s="15">
        <f aca="0">IF(B2508="","",IF(H2508="","확인필요(입력누락)",IF(SUMPRODUCT((실물목록!$P$2:$P$1001&lt;&gt;"")*ISNUMBER(SEARCH(실물목록!$P$2:$P$1001,I2508))*(실물목록!$Q$2:$Q$1001&lt;&gt;"")*ISNUMBER(SEARCH(실물목록!$Q$2:$Q$1001,I2508))*(실물목록!$R$2:$R$1001="")*(실물목록!$O$2:$O$1001&lt;&gt;"")*(실물목록!$O$2:$O$1001=H2508))&gt;0,"실물 있음",IF(SUMPRODUCT((실물목록!$P$2:$P$1001&lt;&gt;"")*ISNUMBER(SEARCH(실물목록!$P$2:$P$1001,I2508))*(실물목록!$R$2:$R$1001&lt;&gt;""))&gt;0,"확인필요(입력누락)",IF(SUMPRODUCT((실물목록!$P$2:$P$1001&lt;&gt;"")*ISNUMBER(SEARCH(실물목록!$P$2:$P$1001,I2508))*(실물목록!$Q$2:$Q$1001&lt;&gt;"")*ISNUMBER(SEARCH(실물목록!$Q$2:$Q$1001,I2508))*(실물목록!$R$2:$R$1001="")*(실물목록!$O$2:$O$1001&lt;&gt;""))&gt;0,"확인필요(연도다름)","실물 없음")))))</f>
      </c>
      <c r="G2508" t="n" s="16">
        <f aca="0">IF(B2508="","",SUMPRODUCT((실물목록!$P$2:$P$1001&lt;&gt;"")*ISNUMBER(SEARCH(실물목록!$P$2:$P$1001,I2508))*(실물목록!$Q$2:$Q$1001&lt;&gt;"")*ISNUMBER(SEARCH(실물목록!$Q$2:$Q$1001,I2508))*(실물목록!$R$2:$R$1001="")*(실물목록!$O$2:$O$1001&lt;&gt;"")*(실물목록!$O$2:$O$1001=H2508)))</f>
      </c>
      <c r="H2508" t="str">
        <f>IFERROR(IF(AND(LEN(SUBSTITUTE(SUBSTITUTE(SUBSTITUTE(TRIM(A2508&amp;""),CHAR(160),"")," ",""),"년",""))=4,VALUE(SUBSTITUTE(SUBSTITUTE(SUBSTITUTE(TRIM(A2508&amp;""),CHAR(160),"")," ",""),"년",""))&gt;=1900,VALUE(SUBSTITUTE(SUBSTITUTE(SUBSTITUTE(TRIM(A2508&amp;""),CHAR(160),"")," ",""),"년",""))&lt;=2099,TEXT(VALUE(SUBSTITUTE(SUBSTITUTE(SUBSTITUTE(TRIM(A2508&amp;""),CHAR(160),"")," ",""),"년","")),"0000")=SUBSTITUTE(SUBSTITUTE(SUBSTITUTE(TRIM(A2508&amp;""),CHAR(160),"")," ",""),"년","")),SUBSTITUTE(SUBSTITUTE(SUBSTITUTE(TRIM(A2508&amp;""),CHAR(160),"")," ",""),"년",""),""),"")</f>
      </c>
      <c r="I2508" t="str">
        <f>SUBSTITUTE(SUBSTITUTE(SUBSTITUTE(SUBSTITUTE(SUBSTITUTE(TRIM(B2508&amp;""),CHAR(160),"")," ",""),"초등학교","초"),"중학교","중"),"고등학교","고")</f>
      </c>
    </row>
    <row r="2509" customFormat="false" ht="15" hidden="false" customHeight="false" outlineLevel="0" collapsed="false">
      <c r="A2509" s="8"/>
      <c r="B2509" s="8"/>
      <c r="C2509" s="8"/>
      <c r="D2509" s="8"/>
      <c r="E2509" s="8"/>
      <c r="F2509" t="str" s="15">
        <f aca="0">IF(B2509="","",IF(H2509="","확인필요(입력누락)",IF(SUMPRODUCT((실물목록!$P$2:$P$1001&lt;&gt;"")*ISNUMBER(SEARCH(실물목록!$P$2:$P$1001,I2509))*(실물목록!$Q$2:$Q$1001&lt;&gt;"")*ISNUMBER(SEARCH(실물목록!$Q$2:$Q$1001,I2509))*(실물목록!$R$2:$R$1001="")*(실물목록!$O$2:$O$1001&lt;&gt;"")*(실물목록!$O$2:$O$1001=H2509))&gt;0,"실물 있음",IF(SUMPRODUCT((실물목록!$P$2:$P$1001&lt;&gt;"")*ISNUMBER(SEARCH(실물목록!$P$2:$P$1001,I2509))*(실물목록!$R$2:$R$1001&lt;&gt;""))&gt;0,"확인필요(입력누락)",IF(SUMPRODUCT((실물목록!$P$2:$P$1001&lt;&gt;"")*ISNUMBER(SEARCH(실물목록!$P$2:$P$1001,I2509))*(실물목록!$Q$2:$Q$1001&lt;&gt;"")*ISNUMBER(SEARCH(실물목록!$Q$2:$Q$1001,I2509))*(실물목록!$R$2:$R$1001="")*(실물목록!$O$2:$O$1001&lt;&gt;""))&gt;0,"확인필요(연도다름)","실물 없음")))))</f>
      </c>
      <c r="G2509" t="n" s="16">
        <f aca="0">IF(B2509="","",SUMPRODUCT((실물목록!$P$2:$P$1001&lt;&gt;"")*ISNUMBER(SEARCH(실물목록!$P$2:$P$1001,I2509))*(실물목록!$Q$2:$Q$1001&lt;&gt;"")*ISNUMBER(SEARCH(실물목록!$Q$2:$Q$1001,I2509))*(실물목록!$R$2:$R$1001="")*(실물목록!$O$2:$O$1001&lt;&gt;"")*(실물목록!$O$2:$O$1001=H2509)))</f>
      </c>
      <c r="H2509" t="str">
        <f>IFERROR(IF(AND(LEN(SUBSTITUTE(SUBSTITUTE(SUBSTITUTE(TRIM(A2509&amp;""),CHAR(160),"")," ",""),"년",""))=4,VALUE(SUBSTITUTE(SUBSTITUTE(SUBSTITUTE(TRIM(A2509&amp;""),CHAR(160),"")," ",""),"년",""))&gt;=1900,VALUE(SUBSTITUTE(SUBSTITUTE(SUBSTITUTE(TRIM(A2509&amp;""),CHAR(160),"")," ",""),"년",""))&lt;=2099,TEXT(VALUE(SUBSTITUTE(SUBSTITUTE(SUBSTITUTE(TRIM(A2509&amp;""),CHAR(160),"")," ",""),"년","")),"0000")=SUBSTITUTE(SUBSTITUTE(SUBSTITUTE(TRIM(A2509&amp;""),CHAR(160),"")," ",""),"년","")),SUBSTITUTE(SUBSTITUTE(SUBSTITUTE(TRIM(A2509&amp;""),CHAR(160),"")," ",""),"년",""),""),"")</f>
      </c>
      <c r="I2509" t="str">
        <f>SUBSTITUTE(SUBSTITUTE(SUBSTITUTE(SUBSTITUTE(SUBSTITUTE(TRIM(B2509&amp;""),CHAR(160),"")," ",""),"초등학교","초"),"중학교","중"),"고등학교","고")</f>
      </c>
    </row>
    <row r="2510" customFormat="false" ht="15" hidden="false" customHeight="false" outlineLevel="0" collapsed="false">
      <c r="A2510" s="8"/>
      <c r="B2510" s="8"/>
      <c r="C2510" s="8"/>
      <c r="D2510" s="8"/>
      <c r="E2510" s="8"/>
      <c r="F2510" t="str" s="15">
        <f aca="0">IF(B2510="","",IF(H2510="","확인필요(입력누락)",IF(SUMPRODUCT((실물목록!$P$2:$P$1001&lt;&gt;"")*ISNUMBER(SEARCH(실물목록!$P$2:$P$1001,I2510))*(실물목록!$Q$2:$Q$1001&lt;&gt;"")*ISNUMBER(SEARCH(실물목록!$Q$2:$Q$1001,I2510))*(실물목록!$R$2:$R$1001="")*(실물목록!$O$2:$O$1001&lt;&gt;"")*(실물목록!$O$2:$O$1001=H2510))&gt;0,"실물 있음",IF(SUMPRODUCT((실물목록!$P$2:$P$1001&lt;&gt;"")*ISNUMBER(SEARCH(실물목록!$P$2:$P$1001,I2510))*(실물목록!$R$2:$R$1001&lt;&gt;""))&gt;0,"확인필요(입력누락)",IF(SUMPRODUCT((실물목록!$P$2:$P$1001&lt;&gt;"")*ISNUMBER(SEARCH(실물목록!$P$2:$P$1001,I2510))*(실물목록!$Q$2:$Q$1001&lt;&gt;"")*ISNUMBER(SEARCH(실물목록!$Q$2:$Q$1001,I2510))*(실물목록!$R$2:$R$1001="")*(실물목록!$O$2:$O$1001&lt;&gt;""))&gt;0,"확인필요(연도다름)","실물 없음")))))</f>
      </c>
      <c r="G2510" t="n" s="16">
        <f aca="0">IF(B2510="","",SUMPRODUCT((실물목록!$P$2:$P$1001&lt;&gt;"")*ISNUMBER(SEARCH(실물목록!$P$2:$P$1001,I2510))*(실물목록!$Q$2:$Q$1001&lt;&gt;"")*ISNUMBER(SEARCH(실물목록!$Q$2:$Q$1001,I2510))*(실물목록!$R$2:$R$1001="")*(실물목록!$O$2:$O$1001&lt;&gt;"")*(실물목록!$O$2:$O$1001=H2510)))</f>
      </c>
      <c r="H2510" t="str">
        <f>IFERROR(IF(AND(LEN(SUBSTITUTE(SUBSTITUTE(SUBSTITUTE(TRIM(A2510&amp;""),CHAR(160),"")," ",""),"년",""))=4,VALUE(SUBSTITUTE(SUBSTITUTE(SUBSTITUTE(TRIM(A2510&amp;""),CHAR(160),"")," ",""),"년",""))&gt;=1900,VALUE(SUBSTITUTE(SUBSTITUTE(SUBSTITUTE(TRIM(A2510&amp;""),CHAR(160),"")," ",""),"년",""))&lt;=2099,TEXT(VALUE(SUBSTITUTE(SUBSTITUTE(SUBSTITUTE(TRIM(A2510&amp;""),CHAR(160),"")," ",""),"년","")),"0000")=SUBSTITUTE(SUBSTITUTE(SUBSTITUTE(TRIM(A2510&amp;""),CHAR(160),"")," ",""),"년","")),SUBSTITUTE(SUBSTITUTE(SUBSTITUTE(TRIM(A2510&amp;""),CHAR(160),"")," ",""),"년",""),""),"")</f>
      </c>
      <c r="I2510" t="str">
        <f>SUBSTITUTE(SUBSTITUTE(SUBSTITUTE(SUBSTITUTE(SUBSTITUTE(TRIM(B2510&amp;""),CHAR(160),"")," ",""),"초등학교","초"),"중학교","중"),"고등학교","고")</f>
      </c>
    </row>
    <row r="2511" customFormat="false" ht="15" hidden="false" customHeight="false" outlineLevel="0" collapsed="false">
      <c r="A2511" s="8"/>
      <c r="B2511" s="8"/>
      <c r="C2511" s="8"/>
      <c r="D2511" s="8"/>
      <c r="E2511" s="8"/>
      <c r="F2511" t="str" s="15">
        <f aca="0">IF(B2511="","",IF(H2511="","확인필요(입력누락)",IF(SUMPRODUCT((실물목록!$P$2:$P$1001&lt;&gt;"")*ISNUMBER(SEARCH(실물목록!$P$2:$P$1001,I2511))*(실물목록!$Q$2:$Q$1001&lt;&gt;"")*ISNUMBER(SEARCH(실물목록!$Q$2:$Q$1001,I2511))*(실물목록!$R$2:$R$1001="")*(실물목록!$O$2:$O$1001&lt;&gt;"")*(실물목록!$O$2:$O$1001=H2511))&gt;0,"실물 있음",IF(SUMPRODUCT((실물목록!$P$2:$P$1001&lt;&gt;"")*ISNUMBER(SEARCH(실물목록!$P$2:$P$1001,I2511))*(실물목록!$R$2:$R$1001&lt;&gt;""))&gt;0,"확인필요(입력누락)",IF(SUMPRODUCT((실물목록!$P$2:$P$1001&lt;&gt;"")*ISNUMBER(SEARCH(실물목록!$P$2:$P$1001,I2511))*(실물목록!$Q$2:$Q$1001&lt;&gt;"")*ISNUMBER(SEARCH(실물목록!$Q$2:$Q$1001,I2511))*(실물목록!$R$2:$R$1001="")*(실물목록!$O$2:$O$1001&lt;&gt;""))&gt;0,"확인필요(연도다름)","실물 없음")))))</f>
      </c>
      <c r="G2511" t="n" s="16">
        <f aca="0">IF(B2511="","",SUMPRODUCT((실물목록!$P$2:$P$1001&lt;&gt;"")*ISNUMBER(SEARCH(실물목록!$P$2:$P$1001,I2511))*(실물목록!$Q$2:$Q$1001&lt;&gt;"")*ISNUMBER(SEARCH(실물목록!$Q$2:$Q$1001,I2511))*(실물목록!$R$2:$R$1001="")*(실물목록!$O$2:$O$1001&lt;&gt;"")*(실물목록!$O$2:$O$1001=H2511)))</f>
      </c>
      <c r="H2511" t="str">
        <f>IFERROR(IF(AND(LEN(SUBSTITUTE(SUBSTITUTE(SUBSTITUTE(TRIM(A2511&amp;""),CHAR(160),"")," ",""),"년",""))=4,VALUE(SUBSTITUTE(SUBSTITUTE(SUBSTITUTE(TRIM(A2511&amp;""),CHAR(160),"")," ",""),"년",""))&gt;=1900,VALUE(SUBSTITUTE(SUBSTITUTE(SUBSTITUTE(TRIM(A2511&amp;""),CHAR(160),"")," ",""),"년",""))&lt;=2099,TEXT(VALUE(SUBSTITUTE(SUBSTITUTE(SUBSTITUTE(TRIM(A2511&amp;""),CHAR(160),"")," ",""),"년","")),"0000")=SUBSTITUTE(SUBSTITUTE(SUBSTITUTE(TRIM(A2511&amp;""),CHAR(160),"")," ",""),"년","")),SUBSTITUTE(SUBSTITUTE(SUBSTITUTE(TRIM(A2511&amp;""),CHAR(160),"")," ",""),"년",""),""),"")</f>
      </c>
      <c r="I2511" t="str">
        <f>SUBSTITUTE(SUBSTITUTE(SUBSTITUTE(SUBSTITUTE(SUBSTITUTE(TRIM(B2511&amp;""),CHAR(160),"")," ",""),"초등학교","초"),"중학교","중"),"고등학교","고")</f>
      </c>
    </row>
    <row r="2512" customFormat="false" ht="15" hidden="false" customHeight="false" outlineLevel="0" collapsed="false">
      <c r="A2512" s="8"/>
      <c r="B2512" s="8"/>
      <c r="C2512" s="8"/>
      <c r="D2512" s="8"/>
      <c r="E2512" s="8"/>
      <c r="F2512" t="str" s="15">
        <f aca="0">IF(B2512="","",IF(H2512="","확인필요(입력누락)",IF(SUMPRODUCT((실물목록!$P$2:$P$1001&lt;&gt;"")*ISNUMBER(SEARCH(실물목록!$P$2:$P$1001,I2512))*(실물목록!$Q$2:$Q$1001&lt;&gt;"")*ISNUMBER(SEARCH(실물목록!$Q$2:$Q$1001,I2512))*(실물목록!$R$2:$R$1001="")*(실물목록!$O$2:$O$1001&lt;&gt;"")*(실물목록!$O$2:$O$1001=H2512))&gt;0,"실물 있음",IF(SUMPRODUCT((실물목록!$P$2:$P$1001&lt;&gt;"")*ISNUMBER(SEARCH(실물목록!$P$2:$P$1001,I2512))*(실물목록!$R$2:$R$1001&lt;&gt;""))&gt;0,"확인필요(입력누락)",IF(SUMPRODUCT((실물목록!$P$2:$P$1001&lt;&gt;"")*ISNUMBER(SEARCH(실물목록!$P$2:$P$1001,I2512))*(실물목록!$Q$2:$Q$1001&lt;&gt;"")*ISNUMBER(SEARCH(실물목록!$Q$2:$Q$1001,I2512))*(실물목록!$R$2:$R$1001="")*(실물목록!$O$2:$O$1001&lt;&gt;""))&gt;0,"확인필요(연도다름)","실물 없음")))))</f>
      </c>
      <c r="G2512" t="n" s="16">
        <f aca="0">IF(B2512="","",SUMPRODUCT((실물목록!$P$2:$P$1001&lt;&gt;"")*ISNUMBER(SEARCH(실물목록!$P$2:$P$1001,I2512))*(실물목록!$Q$2:$Q$1001&lt;&gt;"")*ISNUMBER(SEARCH(실물목록!$Q$2:$Q$1001,I2512))*(실물목록!$R$2:$R$1001="")*(실물목록!$O$2:$O$1001&lt;&gt;"")*(실물목록!$O$2:$O$1001=H2512)))</f>
      </c>
      <c r="H2512" t="str">
        <f>IFERROR(IF(AND(LEN(SUBSTITUTE(SUBSTITUTE(SUBSTITUTE(TRIM(A2512&amp;""),CHAR(160),"")," ",""),"년",""))=4,VALUE(SUBSTITUTE(SUBSTITUTE(SUBSTITUTE(TRIM(A2512&amp;""),CHAR(160),"")," ",""),"년",""))&gt;=1900,VALUE(SUBSTITUTE(SUBSTITUTE(SUBSTITUTE(TRIM(A2512&amp;""),CHAR(160),"")," ",""),"년",""))&lt;=2099,TEXT(VALUE(SUBSTITUTE(SUBSTITUTE(SUBSTITUTE(TRIM(A2512&amp;""),CHAR(160),"")," ",""),"년","")),"0000")=SUBSTITUTE(SUBSTITUTE(SUBSTITUTE(TRIM(A2512&amp;""),CHAR(160),"")," ",""),"년","")),SUBSTITUTE(SUBSTITUTE(SUBSTITUTE(TRIM(A2512&amp;""),CHAR(160),"")," ",""),"년",""),""),"")</f>
      </c>
      <c r="I2512" t="str">
        <f>SUBSTITUTE(SUBSTITUTE(SUBSTITUTE(SUBSTITUTE(SUBSTITUTE(TRIM(B2512&amp;""),CHAR(160),"")," ",""),"초등학교","초"),"중학교","중"),"고등학교","고")</f>
      </c>
    </row>
    <row r="2513" customFormat="false" ht="15" hidden="false" customHeight="false" outlineLevel="0" collapsed="false">
      <c r="A2513" s="8"/>
      <c r="B2513" s="8"/>
      <c r="C2513" s="8"/>
      <c r="D2513" s="8"/>
      <c r="E2513" s="8"/>
      <c r="F2513" t="str" s="15">
        <f aca="0">IF(B2513="","",IF(H2513="","확인필요(입력누락)",IF(SUMPRODUCT((실물목록!$P$2:$P$1001&lt;&gt;"")*ISNUMBER(SEARCH(실물목록!$P$2:$P$1001,I2513))*(실물목록!$Q$2:$Q$1001&lt;&gt;"")*ISNUMBER(SEARCH(실물목록!$Q$2:$Q$1001,I2513))*(실물목록!$R$2:$R$1001="")*(실물목록!$O$2:$O$1001&lt;&gt;"")*(실물목록!$O$2:$O$1001=H2513))&gt;0,"실물 있음",IF(SUMPRODUCT((실물목록!$P$2:$P$1001&lt;&gt;"")*ISNUMBER(SEARCH(실물목록!$P$2:$P$1001,I2513))*(실물목록!$R$2:$R$1001&lt;&gt;""))&gt;0,"확인필요(입력누락)",IF(SUMPRODUCT((실물목록!$P$2:$P$1001&lt;&gt;"")*ISNUMBER(SEARCH(실물목록!$P$2:$P$1001,I2513))*(실물목록!$Q$2:$Q$1001&lt;&gt;"")*ISNUMBER(SEARCH(실물목록!$Q$2:$Q$1001,I2513))*(실물목록!$R$2:$R$1001="")*(실물목록!$O$2:$O$1001&lt;&gt;""))&gt;0,"확인필요(연도다름)","실물 없음")))))</f>
      </c>
      <c r="G2513" t="n" s="16">
        <f aca="0">IF(B2513="","",SUMPRODUCT((실물목록!$P$2:$P$1001&lt;&gt;"")*ISNUMBER(SEARCH(실물목록!$P$2:$P$1001,I2513))*(실물목록!$Q$2:$Q$1001&lt;&gt;"")*ISNUMBER(SEARCH(실물목록!$Q$2:$Q$1001,I2513))*(실물목록!$R$2:$R$1001="")*(실물목록!$O$2:$O$1001&lt;&gt;"")*(실물목록!$O$2:$O$1001=H2513)))</f>
      </c>
      <c r="H2513" t="str">
        <f>IFERROR(IF(AND(LEN(SUBSTITUTE(SUBSTITUTE(SUBSTITUTE(TRIM(A2513&amp;""),CHAR(160),"")," ",""),"년",""))=4,VALUE(SUBSTITUTE(SUBSTITUTE(SUBSTITUTE(TRIM(A2513&amp;""),CHAR(160),"")," ",""),"년",""))&gt;=1900,VALUE(SUBSTITUTE(SUBSTITUTE(SUBSTITUTE(TRIM(A2513&amp;""),CHAR(160),"")," ",""),"년",""))&lt;=2099,TEXT(VALUE(SUBSTITUTE(SUBSTITUTE(SUBSTITUTE(TRIM(A2513&amp;""),CHAR(160),"")," ",""),"년","")),"0000")=SUBSTITUTE(SUBSTITUTE(SUBSTITUTE(TRIM(A2513&amp;""),CHAR(160),"")," ",""),"년","")),SUBSTITUTE(SUBSTITUTE(SUBSTITUTE(TRIM(A2513&amp;""),CHAR(160),"")," ",""),"년",""),""),"")</f>
      </c>
      <c r="I2513" t="str">
        <f>SUBSTITUTE(SUBSTITUTE(SUBSTITUTE(SUBSTITUTE(SUBSTITUTE(TRIM(B2513&amp;""),CHAR(160),"")," ",""),"초등학교","초"),"중학교","중"),"고등학교","고")</f>
      </c>
    </row>
    <row r="2514" customFormat="false" ht="15" hidden="false" customHeight="false" outlineLevel="0" collapsed="false">
      <c r="A2514" s="8"/>
      <c r="B2514" s="8"/>
      <c r="C2514" s="8"/>
      <c r="D2514" s="8"/>
      <c r="E2514" s="8"/>
      <c r="F2514" t="str" s="15">
        <f aca="0">IF(B2514="","",IF(H2514="","확인필요(입력누락)",IF(SUMPRODUCT((실물목록!$P$2:$P$1001&lt;&gt;"")*ISNUMBER(SEARCH(실물목록!$P$2:$P$1001,I2514))*(실물목록!$Q$2:$Q$1001&lt;&gt;"")*ISNUMBER(SEARCH(실물목록!$Q$2:$Q$1001,I2514))*(실물목록!$R$2:$R$1001="")*(실물목록!$O$2:$O$1001&lt;&gt;"")*(실물목록!$O$2:$O$1001=H2514))&gt;0,"실물 있음",IF(SUMPRODUCT((실물목록!$P$2:$P$1001&lt;&gt;"")*ISNUMBER(SEARCH(실물목록!$P$2:$P$1001,I2514))*(실물목록!$R$2:$R$1001&lt;&gt;""))&gt;0,"확인필요(입력누락)",IF(SUMPRODUCT((실물목록!$P$2:$P$1001&lt;&gt;"")*ISNUMBER(SEARCH(실물목록!$P$2:$P$1001,I2514))*(실물목록!$Q$2:$Q$1001&lt;&gt;"")*ISNUMBER(SEARCH(실물목록!$Q$2:$Q$1001,I2514))*(실물목록!$R$2:$R$1001="")*(실물목록!$O$2:$O$1001&lt;&gt;""))&gt;0,"확인필요(연도다름)","실물 없음")))))</f>
      </c>
      <c r="G2514" t="n" s="16">
        <f aca="0">IF(B2514="","",SUMPRODUCT((실물목록!$P$2:$P$1001&lt;&gt;"")*ISNUMBER(SEARCH(실물목록!$P$2:$P$1001,I2514))*(실물목록!$Q$2:$Q$1001&lt;&gt;"")*ISNUMBER(SEARCH(실물목록!$Q$2:$Q$1001,I2514))*(실물목록!$R$2:$R$1001="")*(실물목록!$O$2:$O$1001&lt;&gt;"")*(실물목록!$O$2:$O$1001=H2514)))</f>
      </c>
      <c r="H2514" t="str">
        <f>IFERROR(IF(AND(LEN(SUBSTITUTE(SUBSTITUTE(SUBSTITUTE(TRIM(A2514&amp;""),CHAR(160),"")," ",""),"년",""))=4,VALUE(SUBSTITUTE(SUBSTITUTE(SUBSTITUTE(TRIM(A2514&amp;""),CHAR(160),"")," ",""),"년",""))&gt;=1900,VALUE(SUBSTITUTE(SUBSTITUTE(SUBSTITUTE(TRIM(A2514&amp;""),CHAR(160),"")," ",""),"년",""))&lt;=2099,TEXT(VALUE(SUBSTITUTE(SUBSTITUTE(SUBSTITUTE(TRIM(A2514&amp;""),CHAR(160),"")," ",""),"년","")),"0000")=SUBSTITUTE(SUBSTITUTE(SUBSTITUTE(TRIM(A2514&amp;""),CHAR(160),"")," ",""),"년","")),SUBSTITUTE(SUBSTITUTE(SUBSTITUTE(TRIM(A2514&amp;""),CHAR(160),"")," ",""),"년",""),""),"")</f>
      </c>
      <c r="I2514" t="str">
        <f>SUBSTITUTE(SUBSTITUTE(SUBSTITUTE(SUBSTITUTE(SUBSTITUTE(TRIM(B2514&amp;""),CHAR(160),"")," ",""),"초등학교","초"),"중학교","중"),"고등학교","고")</f>
      </c>
    </row>
    <row r="2515" customFormat="false" ht="15" hidden="false" customHeight="false" outlineLevel="0" collapsed="false">
      <c r="A2515" s="8"/>
      <c r="B2515" s="8"/>
      <c r="C2515" s="8"/>
      <c r="D2515" s="8"/>
      <c r="E2515" s="8"/>
      <c r="F2515" t="str" s="15">
        <f aca="0">IF(B2515="","",IF(H2515="","확인필요(입력누락)",IF(SUMPRODUCT((실물목록!$P$2:$P$1001&lt;&gt;"")*ISNUMBER(SEARCH(실물목록!$P$2:$P$1001,I2515))*(실물목록!$Q$2:$Q$1001&lt;&gt;"")*ISNUMBER(SEARCH(실물목록!$Q$2:$Q$1001,I2515))*(실물목록!$R$2:$R$1001="")*(실물목록!$O$2:$O$1001&lt;&gt;"")*(실물목록!$O$2:$O$1001=H2515))&gt;0,"실물 있음",IF(SUMPRODUCT((실물목록!$P$2:$P$1001&lt;&gt;"")*ISNUMBER(SEARCH(실물목록!$P$2:$P$1001,I2515))*(실물목록!$R$2:$R$1001&lt;&gt;""))&gt;0,"확인필요(입력누락)",IF(SUMPRODUCT((실물목록!$P$2:$P$1001&lt;&gt;"")*ISNUMBER(SEARCH(실물목록!$P$2:$P$1001,I2515))*(실물목록!$Q$2:$Q$1001&lt;&gt;"")*ISNUMBER(SEARCH(실물목록!$Q$2:$Q$1001,I2515))*(실물목록!$R$2:$R$1001="")*(실물목록!$O$2:$O$1001&lt;&gt;""))&gt;0,"확인필요(연도다름)","실물 없음")))))</f>
      </c>
      <c r="G2515" t="n" s="16">
        <f aca="0">IF(B2515="","",SUMPRODUCT((실물목록!$P$2:$P$1001&lt;&gt;"")*ISNUMBER(SEARCH(실물목록!$P$2:$P$1001,I2515))*(실물목록!$Q$2:$Q$1001&lt;&gt;"")*ISNUMBER(SEARCH(실물목록!$Q$2:$Q$1001,I2515))*(실물목록!$R$2:$R$1001="")*(실물목록!$O$2:$O$1001&lt;&gt;"")*(실물목록!$O$2:$O$1001=H2515)))</f>
      </c>
      <c r="H2515" t="str">
        <f>IFERROR(IF(AND(LEN(SUBSTITUTE(SUBSTITUTE(SUBSTITUTE(TRIM(A2515&amp;""),CHAR(160),"")," ",""),"년",""))=4,VALUE(SUBSTITUTE(SUBSTITUTE(SUBSTITUTE(TRIM(A2515&amp;""),CHAR(160),"")," ",""),"년",""))&gt;=1900,VALUE(SUBSTITUTE(SUBSTITUTE(SUBSTITUTE(TRIM(A2515&amp;""),CHAR(160),"")," ",""),"년",""))&lt;=2099,TEXT(VALUE(SUBSTITUTE(SUBSTITUTE(SUBSTITUTE(TRIM(A2515&amp;""),CHAR(160),"")," ",""),"년","")),"0000")=SUBSTITUTE(SUBSTITUTE(SUBSTITUTE(TRIM(A2515&amp;""),CHAR(160),"")," ",""),"년","")),SUBSTITUTE(SUBSTITUTE(SUBSTITUTE(TRIM(A2515&amp;""),CHAR(160),"")," ",""),"년",""),""),"")</f>
      </c>
      <c r="I2515" t="str">
        <f>SUBSTITUTE(SUBSTITUTE(SUBSTITUTE(SUBSTITUTE(SUBSTITUTE(TRIM(B2515&amp;""),CHAR(160),"")," ",""),"초등학교","초"),"중학교","중"),"고등학교","고")</f>
      </c>
    </row>
    <row r="2516" customFormat="false" ht="15" hidden="false" customHeight="false" outlineLevel="0" collapsed="false">
      <c r="A2516" s="8"/>
      <c r="B2516" s="8"/>
      <c r="C2516" s="8"/>
      <c r="D2516" s="8"/>
      <c r="E2516" s="8"/>
      <c r="F2516" t="str" s="15">
        <f aca="0">IF(B2516="","",IF(H2516="","확인필요(입력누락)",IF(SUMPRODUCT((실물목록!$P$2:$P$1001&lt;&gt;"")*ISNUMBER(SEARCH(실물목록!$P$2:$P$1001,I2516))*(실물목록!$Q$2:$Q$1001&lt;&gt;"")*ISNUMBER(SEARCH(실물목록!$Q$2:$Q$1001,I2516))*(실물목록!$R$2:$R$1001="")*(실물목록!$O$2:$O$1001&lt;&gt;"")*(실물목록!$O$2:$O$1001=H2516))&gt;0,"실물 있음",IF(SUMPRODUCT((실물목록!$P$2:$P$1001&lt;&gt;"")*ISNUMBER(SEARCH(실물목록!$P$2:$P$1001,I2516))*(실물목록!$R$2:$R$1001&lt;&gt;""))&gt;0,"확인필요(입력누락)",IF(SUMPRODUCT((실물목록!$P$2:$P$1001&lt;&gt;"")*ISNUMBER(SEARCH(실물목록!$P$2:$P$1001,I2516))*(실물목록!$Q$2:$Q$1001&lt;&gt;"")*ISNUMBER(SEARCH(실물목록!$Q$2:$Q$1001,I2516))*(실물목록!$R$2:$R$1001="")*(실물목록!$O$2:$O$1001&lt;&gt;""))&gt;0,"확인필요(연도다름)","실물 없음")))))</f>
      </c>
      <c r="G2516" t="n" s="16">
        <f aca="0">IF(B2516="","",SUMPRODUCT((실물목록!$P$2:$P$1001&lt;&gt;"")*ISNUMBER(SEARCH(실물목록!$P$2:$P$1001,I2516))*(실물목록!$Q$2:$Q$1001&lt;&gt;"")*ISNUMBER(SEARCH(실물목록!$Q$2:$Q$1001,I2516))*(실물목록!$R$2:$R$1001="")*(실물목록!$O$2:$O$1001&lt;&gt;"")*(실물목록!$O$2:$O$1001=H2516)))</f>
      </c>
      <c r="H2516" t="str">
        <f>IFERROR(IF(AND(LEN(SUBSTITUTE(SUBSTITUTE(SUBSTITUTE(TRIM(A2516&amp;""),CHAR(160),"")," ",""),"년",""))=4,VALUE(SUBSTITUTE(SUBSTITUTE(SUBSTITUTE(TRIM(A2516&amp;""),CHAR(160),"")," ",""),"년",""))&gt;=1900,VALUE(SUBSTITUTE(SUBSTITUTE(SUBSTITUTE(TRIM(A2516&amp;""),CHAR(160),"")," ",""),"년",""))&lt;=2099,TEXT(VALUE(SUBSTITUTE(SUBSTITUTE(SUBSTITUTE(TRIM(A2516&amp;""),CHAR(160),"")," ",""),"년","")),"0000")=SUBSTITUTE(SUBSTITUTE(SUBSTITUTE(TRIM(A2516&amp;""),CHAR(160),"")," ",""),"년","")),SUBSTITUTE(SUBSTITUTE(SUBSTITUTE(TRIM(A2516&amp;""),CHAR(160),"")," ",""),"년",""),""),"")</f>
      </c>
      <c r="I2516" t="str">
        <f>SUBSTITUTE(SUBSTITUTE(SUBSTITUTE(SUBSTITUTE(SUBSTITUTE(TRIM(B2516&amp;""),CHAR(160),"")," ",""),"초등학교","초"),"중학교","중"),"고등학교","고")</f>
      </c>
    </row>
    <row r="2517" customFormat="false" ht="15" hidden="false" customHeight="false" outlineLevel="0" collapsed="false">
      <c r="A2517" s="8"/>
      <c r="B2517" s="8"/>
      <c r="C2517" s="8"/>
      <c r="D2517" s="8"/>
      <c r="E2517" s="8"/>
      <c r="F2517" t="str" s="15">
        <f aca="0">IF(B2517="","",IF(H2517="","확인필요(입력누락)",IF(SUMPRODUCT((실물목록!$P$2:$P$1001&lt;&gt;"")*ISNUMBER(SEARCH(실물목록!$P$2:$P$1001,I2517))*(실물목록!$Q$2:$Q$1001&lt;&gt;"")*ISNUMBER(SEARCH(실물목록!$Q$2:$Q$1001,I2517))*(실물목록!$R$2:$R$1001="")*(실물목록!$O$2:$O$1001&lt;&gt;"")*(실물목록!$O$2:$O$1001=H2517))&gt;0,"실물 있음",IF(SUMPRODUCT((실물목록!$P$2:$P$1001&lt;&gt;"")*ISNUMBER(SEARCH(실물목록!$P$2:$P$1001,I2517))*(실물목록!$R$2:$R$1001&lt;&gt;""))&gt;0,"확인필요(입력누락)",IF(SUMPRODUCT((실물목록!$P$2:$P$1001&lt;&gt;"")*ISNUMBER(SEARCH(실물목록!$P$2:$P$1001,I2517))*(실물목록!$Q$2:$Q$1001&lt;&gt;"")*ISNUMBER(SEARCH(실물목록!$Q$2:$Q$1001,I2517))*(실물목록!$R$2:$R$1001="")*(실물목록!$O$2:$O$1001&lt;&gt;""))&gt;0,"확인필요(연도다름)","실물 없음")))))</f>
      </c>
      <c r="G2517" t="n" s="16">
        <f aca="0">IF(B2517="","",SUMPRODUCT((실물목록!$P$2:$P$1001&lt;&gt;"")*ISNUMBER(SEARCH(실물목록!$P$2:$P$1001,I2517))*(실물목록!$Q$2:$Q$1001&lt;&gt;"")*ISNUMBER(SEARCH(실물목록!$Q$2:$Q$1001,I2517))*(실물목록!$R$2:$R$1001="")*(실물목록!$O$2:$O$1001&lt;&gt;"")*(실물목록!$O$2:$O$1001=H2517)))</f>
      </c>
      <c r="H2517" t="str">
        <f>IFERROR(IF(AND(LEN(SUBSTITUTE(SUBSTITUTE(SUBSTITUTE(TRIM(A2517&amp;""),CHAR(160),"")," ",""),"년",""))=4,VALUE(SUBSTITUTE(SUBSTITUTE(SUBSTITUTE(TRIM(A2517&amp;""),CHAR(160),"")," ",""),"년",""))&gt;=1900,VALUE(SUBSTITUTE(SUBSTITUTE(SUBSTITUTE(TRIM(A2517&amp;""),CHAR(160),"")," ",""),"년",""))&lt;=2099,TEXT(VALUE(SUBSTITUTE(SUBSTITUTE(SUBSTITUTE(TRIM(A2517&amp;""),CHAR(160),"")," ",""),"년","")),"0000")=SUBSTITUTE(SUBSTITUTE(SUBSTITUTE(TRIM(A2517&amp;""),CHAR(160),"")," ",""),"년","")),SUBSTITUTE(SUBSTITUTE(SUBSTITUTE(TRIM(A2517&amp;""),CHAR(160),"")," ",""),"년",""),""),"")</f>
      </c>
      <c r="I2517" t="str">
        <f>SUBSTITUTE(SUBSTITUTE(SUBSTITUTE(SUBSTITUTE(SUBSTITUTE(TRIM(B2517&amp;""),CHAR(160),"")," ",""),"초등학교","초"),"중학교","중"),"고등학교","고")</f>
      </c>
    </row>
    <row r="2518" customFormat="false" ht="15" hidden="false" customHeight="false" outlineLevel="0" collapsed="false">
      <c r="A2518" s="8"/>
      <c r="B2518" s="8"/>
      <c r="C2518" s="8"/>
      <c r="D2518" s="8"/>
      <c r="E2518" s="8"/>
      <c r="F2518" t="str" s="15">
        <f aca="0">IF(B2518="","",IF(H2518="","확인필요(입력누락)",IF(SUMPRODUCT((실물목록!$P$2:$P$1001&lt;&gt;"")*ISNUMBER(SEARCH(실물목록!$P$2:$P$1001,I2518))*(실물목록!$Q$2:$Q$1001&lt;&gt;"")*ISNUMBER(SEARCH(실물목록!$Q$2:$Q$1001,I2518))*(실물목록!$R$2:$R$1001="")*(실물목록!$O$2:$O$1001&lt;&gt;"")*(실물목록!$O$2:$O$1001=H2518))&gt;0,"실물 있음",IF(SUMPRODUCT((실물목록!$P$2:$P$1001&lt;&gt;"")*ISNUMBER(SEARCH(실물목록!$P$2:$P$1001,I2518))*(실물목록!$R$2:$R$1001&lt;&gt;""))&gt;0,"확인필요(입력누락)",IF(SUMPRODUCT((실물목록!$P$2:$P$1001&lt;&gt;"")*ISNUMBER(SEARCH(실물목록!$P$2:$P$1001,I2518))*(실물목록!$Q$2:$Q$1001&lt;&gt;"")*ISNUMBER(SEARCH(실물목록!$Q$2:$Q$1001,I2518))*(실물목록!$R$2:$R$1001="")*(실물목록!$O$2:$O$1001&lt;&gt;""))&gt;0,"확인필요(연도다름)","실물 없음")))))</f>
      </c>
      <c r="G2518" t="n" s="16">
        <f aca="0">IF(B2518="","",SUMPRODUCT((실물목록!$P$2:$P$1001&lt;&gt;"")*ISNUMBER(SEARCH(실물목록!$P$2:$P$1001,I2518))*(실물목록!$Q$2:$Q$1001&lt;&gt;"")*ISNUMBER(SEARCH(실물목록!$Q$2:$Q$1001,I2518))*(실물목록!$R$2:$R$1001="")*(실물목록!$O$2:$O$1001&lt;&gt;"")*(실물목록!$O$2:$O$1001=H2518)))</f>
      </c>
      <c r="H2518" t="str">
        <f>IFERROR(IF(AND(LEN(SUBSTITUTE(SUBSTITUTE(SUBSTITUTE(TRIM(A2518&amp;""),CHAR(160),"")," ",""),"년",""))=4,VALUE(SUBSTITUTE(SUBSTITUTE(SUBSTITUTE(TRIM(A2518&amp;""),CHAR(160),"")," ",""),"년",""))&gt;=1900,VALUE(SUBSTITUTE(SUBSTITUTE(SUBSTITUTE(TRIM(A2518&amp;""),CHAR(160),"")," ",""),"년",""))&lt;=2099,TEXT(VALUE(SUBSTITUTE(SUBSTITUTE(SUBSTITUTE(TRIM(A2518&amp;""),CHAR(160),"")," ",""),"년","")),"0000")=SUBSTITUTE(SUBSTITUTE(SUBSTITUTE(TRIM(A2518&amp;""),CHAR(160),"")," ",""),"년","")),SUBSTITUTE(SUBSTITUTE(SUBSTITUTE(TRIM(A2518&amp;""),CHAR(160),"")," ",""),"년",""),""),"")</f>
      </c>
      <c r="I2518" t="str">
        <f>SUBSTITUTE(SUBSTITUTE(SUBSTITUTE(SUBSTITUTE(SUBSTITUTE(TRIM(B2518&amp;""),CHAR(160),"")," ",""),"초등학교","초"),"중학교","중"),"고등학교","고")</f>
      </c>
    </row>
    <row r="2519" customFormat="false" ht="15" hidden="false" customHeight="false" outlineLevel="0" collapsed="false">
      <c r="A2519" s="8"/>
      <c r="B2519" s="8"/>
      <c r="C2519" s="8"/>
      <c r="D2519" s="8"/>
      <c r="E2519" s="8"/>
      <c r="F2519" t="str" s="15">
        <f aca="0">IF(B2519="","",IF(H2519="","확인필요(입력누락)",IF(SUMPRODUCT((실물목록!$P$2:$P$1001&lt;&gt;"")*ISNUMBER(SEARCH(실물목록!$P$2:$P$1001,I2519))*(실물목록!$Q$2:$Q$1001&lt;&gt;"")*ISNUMBER(SEARCH(실물목록!$Q$2:$Q$1001,I2519))*(실물목록!$R$2:$R$1001="")*(실물목록!$O$2:$O$1001&lt;&gt;"")*(실물목록!$O$2:$O$1001=H2519))&gt;0,"실물 있음",IF(SUMPRODUCT((실물목록!$P$2:$P$1001&lt;&gt;"")*ISNUMBER(SEARCH(실물목록!$P$2:$P$1001,I2519))*(실물목록!$R$2:$R$1001&lt;&gt;""))&gt;0,"확인필요(입력누락)",IF(SUMPRODUCT((실물목록!$P$2:$P$1001&lt;&gt;"")*ISNUMBER(SEARCH(실물목록!$P$2:$P$1001,I2519))*(실물목록!$Q$2:$Q$1001&lt;&gt;"")*ISNUMBER(SEARCH(실물목록!$Q$2:$Q$1001,I2519))*(실물목록!$R$2:$R$1001="")*(실물목록!$O$2:$O$1001&lt;&gt;""))&gt;0,"확인필요(연도다름)","실물 없음")))))</f>
      </c>
      <c r="G2519" t="n" s="16">
        <f aca="0">IF(B2519="","",SUMPRODUCT((실물목록!$P$2:$P$1001&lt;&gt;"")*ISNUMBER(SEARCH(실물목록!$P$2:$P$1001,I2519))*(실물목록!$Q$2:$Q$1001&lt;&gt;"")*ISNUMBER(SEARCH(실물목록!$Q$2:$Q$1001,I2519))*(실물목록!$R$2:$R$1001="")*(실물목록!$O$2:$O$1001&lt;&gt;"")*(실물목록!$O$2:$O$1001=H2519)))</f>
      </c>
      <c r="H2519" t="str">
        <f>IFERROR(IF(AND(LEN(SUBSTITUTE(SUBSTITUTE(SUBSTITUTE(TRIM(A2519&amp;""),CHAR(160),"")," ",""),"년",""))=4,VALUE(SUBSTITUTE(SUBSTITUTE(SUBSTITUTE(TRIM(A2519&amp;""),CHAR(160),"")," ",""),"년",""))&gt;=1900,VALUE(SUBSTITUTE(SUBSTITUTE(SUBSTITUTE(TRIM(A2519&amp;""),CHAR(160),"")," ",""),"년",""))&lt;=2099,TEXT(VALUE(SUBSTITUTE(SUBSTITUTE(SUBSTITUTE(TRIM(A2519&amp;""),CHAR(160),"")," ",""),"년","")),"0000")=SUBSTITUTE(SUBSTITUTE(SUBSTITUTE(TRIM(A2519&amp;""),CHAR(160),"")," ",""),"년","")),SUBSTITUTE(SUBSTITUTE(SUBSTITUTE(TRIM(A2519&amp;""),CHAR(160),"")," ",""),"년",""),""),"")</f>
      </c>
      <c r="I2519" t="str">
        <f>SUBSTITUTE(SUBSTITUTE(SUBSTITUTE(SUBSTITUTE(SUBSTITUTE(TRIM(B2519&amp;""),CHAR(160),"")," ",""),"초등학교","초"),"중학교","중"),"고등학교","고")</f>
      </c>
    </row>
    <row r="2520" customFormat="false" ht="15" hidden="false" customHeight="false" outlineLevel="0" collapsed="false">
      <c r="A2520" s="8"/>
      <c r="B2520" s="8"/>
      <c r="C2520" s="8"/>
      <c r="D2520" s="8"/>
      <c r="E2520" s="8"/>
      <c r="F2520" t="str" s="15">
        <f aca="0">IF(B2520="","",IF(H2520="","확인필요(입력누락)",IF(SUMPRODUCT((실물목록!$P$2:$P$1001&lt;&gt;"")*ISNUMBER(SEARCH(실물목록!$P$2:$P$1001,I2520))*(실물목록!$Q$2:$Q$1001&lt;&gt;"")*ISNUMBER(SEARCH(실물목록!$Q$2:$Q$1001,I2520))*(실물목록!$R$2:$R$1001="")*(실물목록!$O$2:$O$1001&lt;&gt;"")*(실물목록!$O$2:$O$1001=H2520))&gt;0,"실물 있음",IF(SUMPRODUCT((실물목록!$P$2:$P$1001&lt;&gt;"")*ISNUMBER(SEARCH(실물목록!$P$2:$P$1001,I2520))*(실물목록!$R$2:$R$1001&lt;&gt;""))&gt;0,"확인필요(입력누락)",IF(SUMPRODUCT((실물목록!$P$2:$P$1001&lt;&gt;"")*ISNUMBER(SEARCH(실물목록!$P$2:$P$1001,I2520))*(실물목록!$Q$2:$Q$1001&lt;&gt;"")*ISNUMBER(SEARCH(실물목록!$Q$2:$Q$1001,I2520))*(실물목록!$R$2:$R$1001="")*(실물목록!$O$2:$O$1001&lt;&gt;""))&gt;0,"확인필요(연도다름)","실물 없음")))))</f>
      </c>
      <c r="G2520" t="n" s="16">
        <f aca="0">IF(B2520="","",SUMPRODUCT((실물목록!$P$2:$P$1001&lt;&gt;"")*ISNUMBER(SEARCH(실물목록!$P$2:$P$1001,I2520))*(실물목록!$Q$2:$Q$1001&lt;&gt;"")*ISNUMBER(SEARCH(실물목록!$Q$2:$Q$1001,I2520))*(실물목록!$R$2:$R$1001="")*(실물목록!$O$2:$O$1001&lt;&gt;"")*(실물목록!$O$2:$O$1001=H2520)))</f>
      </c>
      <c r="H2520" t="str">
        <f>IFERROR(IF(AND(LEN(SUBSTITUTE(SUBSTITUTE(SUBSTITUTE(TRIM(A2520&amp;""),CHAR(160),"")," ",""),"년",""))=4,VALUE(SUBSTITUTE(SUBSTITUTE(SUBSTITUTE(TRIM(A2520&amp;""),CHAR(160),"")," ",""),"년",""))&gt;=1900,VALUE(SUBSTITUTE(SUBSTITUTE(SUBSTITUTE(TRIM(A2520&amp;""),CHAR(160),"")," ",""),"년",""))&lt;=2099,TEXT(VALUE(SUBSTITUTE(SUBSTITUTE(SUBSTITUTE(TRIM(A2520&amp;""),CHAR(160),"")," ",""),"년","")),"0000")=SUBSTITUTE(SUBSTITUTE(SUBSTITUTE(TRIM(A2520&amp;""),CHAR(160),"")," ",""),"년","")),SUBSTITUTE(SUBSTITUTE(SUBSTITUTE(TRIM(A2520&amp;""),CHAR(160),"")," ",""),"년",""),""),"")</f>
      </c>
      <c r="I2520" t="str">
        <f>SUBSTITUTE(SUBSTITUTE(SUBSTITUTE(SUBSTITUTE(SUBSTITUTE(TRIM(B2520&amp;""),CHAR(160),"")," ",""),"초등학교","초"),"중학교","중"),"고등학교","고")</f>
      </c>
    </row>
    <row r="2521" customFormat="false" ht="15" hidden="false" customHeight="false" outlineLevel="0" collapsed="false">
      <c r="A2521" s="8"/>
      <c r="B2521" s="8"/>
      <c r="C2521" s="8"/>
      <c r="D2521" s="8"/>
      <c r="E2521" s="8"/>
      <c r="F2521" t="str" s="15">
        <f aca="0">IF(B2521="","",IF(H2521="","확인필요(입력누락)",IF(SUMPRODUCT((실물목록!$P$2:$P$1001&lt;&gt;"")*ISNUMBER(SEARCH(실물목록!$P$2:$P$1001,I2521))*(실물목록!$Q$2:$Q$1001&lt;&gt;"")*ISNUMBER(SEARCH(실물목록!$Q$2:$Q$1001,I2521))*(실물목록!$R$2:$R$1001="")*(실물목록!$O$2:$O$1001&lt;&gt;"")*(실물목록!$O$2:$O$1001=H2521))&gt;0,"실물 있음",IF(SUMPRODUCT((실물목록!$P$2:$P$1001&lt;&gt;"")*ISNUMBER(SEARCH(실물목록!$P$2:$P$1001,I2521))*(실물목록!$R$2:$R$1001&lt;&gt;""))&gt;0,"확인필요(입력누락)",IF(SUMPRODUCT((실물목록!$P$2:$P$1001&lt;&gt;"")*ISNUMBER(SEARCH(실물목록!$P$2:$P$1001,I2521))*(실물목록!$Q$2:$Q$1001&lt;&gt;"")*ISNUMBER(SEARCH(실물목록!$Q$2:$Q$1001,I2521))*(실물목록!$R$2:$R$1001="")*(실물목록!$O$2:$O$1001&lt;&gt;""))&gt;0,"확인필요(연도다름)","실물 없음")))))</f>
      </c>
      <c r="G2521" t="n" s="16">
        <f aca="0">IF(B2521="","",SUMPRODUCT((실물목록!$P$2:$P$1001&lt;&gt;"")*ISNUMBER(SEARCH(실물목록!$P$2:$P$1001,I2521))*(실물목록!$Q$2:$Q$1001&lt;&gt;"")*ISNUMBER(SEARCH(실물목록!$Q$2:$Q$1001,I2521))*(실물목록!$R$2:$R$1001="")*(실물목록!$O$2:$O$1001&lt;&gt;"")*(실물목록!$O$2:$O$1001=H2521)))</f>
      </c>
      <c r="H2521" t="str">
        <f>IFERROR(IF(AND(LEN(SUBSTITUTE(SUBSTITUTE(SUBSTITUTE(TRIM(A2521&amp;""),CHAR(160),"")," ",""),"년",""))=4,VALUE(SUBSTITUTE(SUBSTITUTE(SUBSTITUTE(TRIM(A2521&amp;""),CHAR(160),"")," ",""),"년",""))&gt;=1900,VALUE(SUBSTITUTE(SUBSTITUTE(SUBSTITUTE(TRIM(A2521&amp;""),CHAR(160),"")," ",""),"년",""))&lt;=2099,TEXT(VALUE(SUBSTITUTE(SUBSTITUTE(SUBSTITUTE(TRIM(A2521&amp;""),CHAR(160),"")," ",""),"년","")),"0000")=SUBSTITUTE(SUBSTITUTE(SUBSTITUTE(TRIM(A2521&amp;""),CHAR(160),"")," ",""),"년","")),SUBSTITUTE(SUBSTITUTE(SUBSTITUTE(TRIM(A2521&amp;""),CHAR(160),"")," ",""),"년",""),""),"")</f>
      </c>
      <c r="I2521" t="str">
        <f>SUBSTITUTE(SUBSTITUTE(SUBSTITUTE(SUBSTITUTE(SUBSTITUTE(TRIM(B2521&amp;""),CHAR(160),"")," ",""),"초등학교","초"),"중학교","중"),"고등학교","고")</f>
      </c>
    </row>
    <row r="2522" customFormat="false" ht="15" hidden="false" customHeight="false" outlineLevel="0" collapsed="false">
      <c r="A2522" s="8"/>
      <c r="B2522" s="8"/>
      <c r="C2522" s="8"/>
      <c r="D2522" s="8"/>
      <c r="E2522" s="8"/>
      <c r="F2522" t="str" s="15">
        <f aca="0">IF(B2522="","",IF(H2522="","확인필요(입력누락)",IF(SUMPRODUCT((실물목록!$P$2:$P$1001&lt;&gt;"")*ISNUMBER(SEARCH(실물목록!$P$2:$P$1001,I2522))*(실물목록!$Q$2:$Q$1001&lt;&gt;"")*ISNUMBER(SEARCH(실물목록!$Q$2:$Q$1001,I2522))*(실물목록!$R$2:$R$1001="")*(실물목록!$O$2:$O$1001&lt;&gt;"")*(실물목록!$O$2:$O$1001=H2522))&gt;0,"실물 있음",IF(SUMPRODUCT((실물목록!$P$2:$P$1001&lt;&gt;"")*ISNUMBER(SEARCH(실물목록!$P$2:$P$1001,I2522))*(실물목록!$R$2:$R$1001&lt;&gt;""))&gt;0,"확인필요(입력누락)",IF(SUMPRODUCT((실물목록!$P$2:$P$1001&lt;&gt;"")*ISNUMBER(SEARCH(실물목록!$P$2:$P$1001,I2522))*(실물목록!$Q$2:$Q$1001&lt;&gt;"")*ISNUMBER(SEARCH(실물목록!$Q$2:$Q$1001,I2522))*(실물목록!$R$2:$R$1001="")*(실물목록!$O$2:$O$1001&lt;&gt;""))&gt;0,"확인필요(연도다름)","실물 없음")))))</f>
      </c>
      <c r="G2522" t="n" s="16">
        <f aca="0">IF(B2522="","",SUMPRODUCT((실물목록!$P$2:$P$1001&lt;&gt;"")*ISNUMBER(SEARCH(실물목록!$P$2:$P$1001,I2522))*(실물목록!$Q$2:$Q$1001&lt;&gt;"")*ISNUMBER(SEARCH(실물목록!$Q$2:$Q$1001,I2522))*(실물목록!$R$2:$R$1001="")*(실물목록!$O$2:$O$1001&lt;&gt;"")*(실물목록!$O$2:$O$1001=H2522)))</f>
      </c>
      <c r="H2522" t="str">
        <f>IFERROR(IF(AND(LEN(SUBSTITUTE(SUBSTITUTE(SUBSTITUTE(TRIM(A2522&amp;""),CHAR(160),"")," ",""),"년",""))=4,VALUE(SUBSTITUTE(SUBSTITUTE(SUBSTITUTE(TRIM(A2522&amp;""),CHAR(160),"")," ",""),"년",""))&gt;=1900,VALUE(SUBSTITUTE(SUBSTITUTE(SUBSTITUTE(TRIM(A2522&amp;""),CHAR(160),"")," ",""),"년",""))&lt;=2099,TEXT(VALUE(SUBSTITUTE(SUBSTITUTE(SUBSTITUTE(TRIM(A2522&amp;""),CHAR(160),"")," ",""),"년","")),"0000")=SUBSTITUTE(SUBSTITUTE(SUBSTITUTE(TRIM(A2522&amp;""),CHAR(160),"")," ",""),"년","")),SUBSTITUTE(SUBSTITUTE(SUBSTITUTE(TRIM(A2522&amp;""),CHAR(160),"")," ",""),"년",""),""),"")</f>
      </c>
      <c r="I2522" t="str">
        <f>SUBSTITUTE(SUBSTITUTE(SUBSTITUTE(SUBSTITUTE(SUBSTITUTE(TRIM(B2522&amp;""),CHAR(160),"")," ",""),"초등학교","초"),"중학교","중"),"고등학교","고")</f>
      </c>
    </row>
    <row r="2523" customFormat="false" ht="15" hidden="false" customHeight="false" outlineLevel="0" collapsed="false">
      <c r="A2523" s="8"/>
      <c r="B2523" s="8"/>
      <c r="C2523" s="8"/>
      <c r="D2523" s="8"/>
      <c r="E2523" s="8"/>
      <c r="F2523" t="str" s="15">
        <f aca="0">IF(B2523="","",IF(H2523="","확인필요(입력누락)",IF(SUMPRODUCT((실물목록!$P$2:$P$1001&lt;&gt;"")*ISNUMBER(SEARCH(실물목록!$P$2:$P$1001,I2523))*(실물목록!$Q$2:$Q$1001&lt;&gt;"")*ISNUMBER(SEARCH(실물목록!$Q$2:$Q$1001,I2523))*(실물목록!$R$2:$R$1001="")*(실물목록!$O$2:$O$1001&lt;&gt;"")*(실물목록!$O$2:$O$1001=H2523))&gt;0,"실물 있음",IF(SUMPRODUCT((실물목록!$P$2:$P$1001&lt;&gt;"")*ISNUMBER(SEARCH(실물목록!$P$2:$P$1001,I2523))*(실물목록!$R$2:$R$1001&lt;&gt;""))&gt;0,"확인필요(입력누락)",IF(SUMPRODUCT((실물목록!$P$2:$P$1001&lt;&gt;"")*ISNUMBER(SEARCH(실물목록!$P$2:$P$1001,I2523))*(실물목록!$Q$2:$Q$1001&lt;&gt;"")*ISNUMBER(SEARCH(실물목록!$Q$2:$Q$1001,I2523))*(실물목록!$R$2:$R$1001="")*(실물목록!$O$2:$O$1001&lt;&gt;""))&gt;0,"확인필요(연도다름)","실물 없음")))))</f>
      </c>
      <c r="G2523" t="n" s="16">
        <f aca="0">IF(B2523="","",SUMPRODUCT((실물목록!$P$2:$P$1001&lt;&gt;"")*ISNUMBER(SEARCH(실물목록!$P$2:$P$1001,I2523))*(실물목록!$Q$2:$Q$1001&lt;&gt;"")*ISNUMBER(SEARCH(실물목록!$Q$2:$Q$1001,I2523))*(실물목록!$R$2:$R$1001="")*(실물목록!$O$2:$O$1001&lt;&gt;"")*(실물목록!$O$2:$O$1001=H2523)))</f>
      </c>
      <c r="H2523" t="str">
        <f>IFERROR(IF(AND(LEN(SUBSTITUTE(SUBSTITUTE(SUBSTITUTE(TRIM(A2523&amp;""),CHAR(160),"")," ",""),"년",""))=4,VALUE(SUBSTITUTE(SUBSTITUTE(SUBSTITUTE(TRIM(A2523&amp;""),CHAR(160),"")," ",""),"년",""))&gt;=1900,VALUE(SUBSTITUTE(SUBSTITUTE(SUBSTITUTE(TRIM(A2523&amp;""),CHAR(160),"")," ",""),"년",""))&lt;=2099,TEXT(VALUE(SUBSTITUTE(SUBSTITUTE(SUBSTITUTE(TRIM(A2523&amp;""),CHAR(160),"")," ",""),"년","")),"0000")=SUBSTITUTE(SUBSTITUTE(SUBSTITUTE(TRIM(A2523&amp;""),CHAR(160),"")," ",""),"년","")),SUBSTITUTE(SUBSTITUTE(SUBSTITUTE(TRIM(A2523&amp;""),CHAR(160),"")," ",""),"년",""),""),"")</f>
      </c>
      <c r="I2523" t="str">
        <f>SUBSTITUTE(SUBSTITUTE(SUBSTITUTE(SUBSTITUTE(SUBSTITUTE(TRIM(B2523&amp;""),CHAR(160),"")," ",""),"초등학교","초"),"중학교","중"),"고등학교","고")</f>
      </c>
    </row>
    <row r="2524" customFormat="false" ht="15" hidden="false" customHeight="false" outlineLevel="0" collapsed="false">
      <c r="A2524" s="8"/>
      <c r="B2524" s="8"/>
      <c r="C2524" s="8"/>
      <c r="D2524" s="8"/>
      <c r="E2524" s="8"/>
      <c r="F2524" t="str" s="15">
        <f aca="0">IF(B2524="","",IF(H2524="","확인필요(입력누락)",IF(SUMPRODUCT((실물목록!$P$2:$P$1001&lt;&gt;"")*ISNUMBER(SEARCH(실물목록!$P$2:$P$1001,I2524))*(실물목록!$Q$2:$Q$1001&lt;&gt;"")*ISNUMBER(SEARCH(실물목록!$Q$2:$Q$1001,I2524))*(실물목록!$R$2:$R$1001="")*(실물목록!$O$2:$O$1001&lt;&gt;"")*(실물목록!$O$2:$O$1001=H2524))&gt;0,"실물 있음",IF(SUMPRODUCT((실물목록!$P$2:$P$1001&lt;&gt;"")*ISNUMBER(SEARCH(실물목록!$P$2:$P$1001,I2524))*(실물목록!$R$2:$R$1001&lt;&gt;""))&gt;0,"확인필요(입력누락)",IF(SUMPRODUCT((실물목록!$P$2:$P$1001&lt;&gt;"")*ISNUMBER(SEARCH(실물목록!$P$2:$P$1001,I2524))*(실물목록!$Q$2:$Q$1001&lt;&gt;"")*ISNUMBER(SEARCH(실물목록!$Q$2:$Q$1001,I2524))*(실물목록!$R$2:$R$1001="")*(실물목록!$O$2:$O$1001&lt;&gt;""))&gt;0,"확인필요(연도다름)","실물 없음")))))</f>
      </c>
      <c r="G2524" t="n" s="16">
        <f aca="0">IF(B2524="","",SUMPRODUCT((실물목록!$P$2:$P$1001&lt;&gt;"")*ISNUMBER(SEARCH(실물목록!$P$2:$P$1001,I2524))*(실물목록!$Q$2:$Q$1001&lt;&gt;"")*ISNUMBER(SEARCH(실물목록!$Q$2:$Q$1001,I2524))*(실물목록!$R$2:$R$1001="")*(실물목록!$O$2:$O$1001&lt;&gt;"")*(실물목록!$O$2:$O$1001=H2524)))</f>
      </c>
      <c r="H2524" t="str">
        <f>IFERROR(IF(AND(LEN(SUBSTITUTE(SUBSTITUTE(SUBSTITUTE(TRIM(A2524&amp;""),CHAR(160),"")," ",""),"년",""))=4,VALUE(SUBSTITUTE(SUBSTITUTE(SUBSTITUTE(TRIM(A2524&amp;""),CHAR(160),"")," ",""),"년",""))&gt;=1900,VALUE(SUBSTITUTE(SUBSTITUTE(SUBSTITUTE(TRIM(A2524&amp;""),CHAR(160),"")," ",""),"년",""))&lt;=2099,TEXT(VALUE(SUBSTITUTE(SUBSTITUTE(SUBSTITUTE(TRIM(A2524&amp;""),CHAR(160),"")," ",""),"년","")),"0000")=SUBSTITUTE(SUBSTITUTE(SUBSTITUTE(TRIM(A2524&amp;""),CHAR(160),"")," ",""),"년","")),SUBSTITUTE(SUBSTITUTE(SUBSTITUTE(TRIM(A2524&amp;""),CHAR(160),"")," ",""),"년",""),""),"")</f>
      </c>
      <c r="I2524" t="str">
        <f>SUBSTITUTE(SUBSTITUTE(SUBSTITUTE(SUBSTITUTE(SUBSTITUTE(TRIM(B2524&amp;""),CHAR(160),"")," ",""),"초등학교","초"),"중학교","중"),"고등학교","고")</f>
      </c>
    </row>
    <row r="2525" customFormat="false" ht="15" hidden="false" customHeight="false" outlineLevel="0" collapsed="false">
      <c r="A2525" s="8"/>
      <c r="B2525" s="8"/>
      <c r="C2525" s="8"/>
      <c r="D2525" s="8"/>
      <c r="E2525" s="8"/>
      <c r="F2525" t="str" s="15">
        <f aca="0">IF(B2525="","",IF(H2525="","확인필요(입력누락)",IF(SUMPRODUCT((실물목록!$P$2:$P$1001&lt;&gt;"")*ISNUMBER(SEARCH(실물목록!$P$2:$P$1001,I2525))*(실물목록!$Q$2:$Q$1001&lt;&gt;"")*ISNUMBER(SEARCH(실물목록!$Q$2:$Q$1001,I2525))*(실물목록!$R$2:$R$1001="")*(실물목록!$O$2:$O$1001&lt;&gt;"")*(실물목록!$O$2:$O$1001=H2525))&gt;0,"실물 있음",IF(SUMPRODUCT((실물목록!$P$2:$P$1001&lt;&gt;"")*ISNUMBER(SEARCH(실물목록!$P$2:$P$1001,I2525))*(실물목록!$R$2:$R$1001&lt;&gt;""))&gt;0,"확인필요(입력누락)",IF(SUMPRODUCT((실물목록!$P$2:$P$1001&lt;&gt;"")*ISNUMBER(SEARCH(실물목록!$P$2:$P$1001,I2525))*(실물목록!$Q$2:$Q$1001&lt;&gt;"")*ISNUMBER(SEARCH(실물목록!$Q$2:$Q$1001,I2525))*(실물목록!$R$2:$R$1001="")*(실물목록!$O$2:$O$1001&lt;&gt;""))&gt;0,"확인필요(연도다름)","실물 없음")))))</f>
      </c>
      <c r="G2525" t="n" s="16">
        <f aca="0">IF(B2525="","",SUMPRODUCT((실물목록!$P$2:$P$1001&lt;&gt;"")*ISNUMBER(SEARCH(실물목록!$P$2:$P$1001,I2525))*(실물목록!$Q$2:$Q$1001&lt;&gt;"")*ISNUMBER(SEARCH(실물목록!$Q$2:$Q$1001,I2525))*(실물목록!$R$2:$R$1001="")*(실물목록!$O$2:$O$1001&lt;&gt;"")*(실물목록!$O$2:$O$1001=H2525)))</f>
      </c>
      <c r="H2525" t="str">
        <f>IFERROR(IF(AND(LEN(SUBSTITUTE(SUBSTITUTE(SUBSTITUTE(TRIM(A2525&amp;""),CHAR(160),"")," ",""),"년",""))=4,VALUE(SUBSTITUTE(SUBSTITUTE(SUBSTITUTE(TRIM(A2525&amp;""),CHAR(160),"")," ",""),"년",""))&gt;=1900,VALUE(SUBSTITUTE(SUBSTITUTE(SUBSTITUTE(TRIM(A2525&amp;""),CHAR(160),"")," ",""),"년",""))&lt;=2099,TEXT(VALUE(SUBSTITUTE(SUBSTITUTE(SUBSTITUTE(TRIM(A2525&amp;""),CHAR(160),"")," ",""),"년","")),"0000")=SUBSTITUTE(SUBSTITUTE(SUBSTITUTE(TRIM(A2525&amp;""),CHAR(160),"")," ",""),"년","")),SUBSTITUTE(SUBSTITUTE(SUBSTITUTE(TRIM(A2525&amp;""),CHAR(160),"")," ",""),"년",""),""),"")</f>
      </c>
      <c r="I2525" t="str">
        <f>SUBSTITUTE(SUBSTITUTE(SUBSTITUTE(SUBSTITUTE(SUBSTITUTE(TRIM(B2525&amp;""),CHAR(160),"")," ",""),"초등학교","초"),"중학교","중"),"고등학교","고")</f>
      </c>
    </row>
    <row r="2526" customFormat="false" ht="15" hidden="false" customHeight="false" outlineLevel="0" collapsed="false">
      <c r="A2526" s="8"/>
      <c r="B2526" s="8"/>
      <c r="C2526" s="8"/>
      <c r="D2526" s="8"/>
      <c r="E2526" s="8"/>
      <c r="F2526" t="str" s="15">
        <f aca="0">IF(B2526="","",IF(H2526="","확인필요(입력누락)",IF(SUMPRODUCT((실물목록!$P$2:$P$1001&lt;&gt;"")*ISNUMBER(SEARCH(실물목록!$P$2:$P$1001,I2526))*(실물목록!$Q$2:$Q$1001&lt;&gt;"")*ISNUMBER(SEARCH(실물목록!$Q$2:$Q$1001,I2526))*(실물목록!$R$2:$R$1001="")*(실물목록!$O$2:$O$1001&lt;&gt;"")*(실물목록!$O$2:$O$1001=H2526))&gt;0,"실물 있음",IF(SUMPRODUCT((실물목록!$P$2:$P$1001&lt;&gt;"")*ISNUMBER(SEARCH(실물목록!$P$2:$P$1001,I2526))*(실물목록!$R$2:$R$1001&lt;&gt;""))&gt;0,"확인필요(입력누락)",IF(SUMPRODUCT((실물목록!$P$2:$P$1001&lt;&gt;"")*ISNUMBER(SEARCH(실물목록!$P$2:$P$1001,I2526))*(실물목록!$Q$2:$Q$1001&lt;&gt;"")*ISNUMBER(SEARCH(실물목록!$Q$2:$Q$1001,I2526))*(실물목록!$R$2:$R$1001="")*(실물목록!$O$2:$O$1001&lt;&gt;""))&gt;0,"확인필요(연도다름)","실물 없음")))))</f>
      </c>
      <c r="G2526" t="n" s="16">
        <f aca="0">IF(B2526="","",SUMPRODUCT((실물목록!$P$2:$P$1001&lt;&gt;"")*ISNUMBER(SEARCH(실물목록!$P$2:$P$1001,I2526))*(실물목록!$Q$2:$Q$1001&lt;&gt;"")*ISNUMBER(SEARCH(실물목록!$Q$2:$Q$1001,I2526))*(실물목록!$R$2:$R$1001="")*(실물목록!$O$2:$O$1001&lt;&gt;"")*(실물목록!$O$2:$O$1001=H2526)))</f>
      </c>
      <c r="H2526" t="str">
        <f>IFERROR(IF(AND(LEN(SUBSTITUTE(SUBSTITUTE(SUBSTITUTE(TRIM(A2526&amp;""),CHAR(160),"")," ",""),"년",""))=4,VALUE(SUBSTITUTE(SUBSTITUTE(SUBSTITUTE(TRIM(A2526&amp;""),CHAR(160),"")," ",""),"년",""))&gt;=1900,VALUE(SUBSTITUTE(SUBSTITUTE(SUBSTITUTE(TRIM(A2526&amp;""),CHAR(160),"")," ",""),"년",""))&lt;=2099,TEXT(VALUE(SUBSTITUTE(SUBSTITUTE(SUBSTITUTE(TRIM(A2526&amp;""),CHAR(160),"")," ",""),"년","")),"0000")=SUBSTITUTE(SUBSTITUTE(SUBSTITUTE(TRIM(A2526&amp;""),CHAR(160),"")," ",""),"년","")),SUBSTITUTE(SUBSTITUTE(SUBSTITUTE(TRIM(A2526&amp;""),CHAR(160),"")," ",""),"년",""),""),"")</f>
      </c>
      <c r="I2526" t="str">
        <f>SUBSTITUTE(SUBSTITUTE(SUBSTITUTE(SUBSTITUTE(SUBSTITUTE(TRIM(B2526&amp;""),CHAR(160),"")," ",""),"초등학교","초"),"중학교","중"),"고등학교","고")</f>
      </c>
    </row>
    <row r="2527" customFormat="false" ht="15" hidden="false" customHeight="false" outlineLevel="0" collapsed="false">
      <c r="A2527" s="8"/>
      <c r="B2527" s="8"/>
      <c r="C2527" s="8"/>
      <c r="D2527" s="8"/>
      <c r="E2527" s="8"/>
      <c r="F2527" t="str" s="15">
        <f aca="0">IF(B2527="","",IF(H2527="","확인필요(입력누락)",IF(SUMPRODUCT((실물목록!$P$2:$P$1001&lt;&gt;"")*ISNUMBER(SEARCH(실물목록!$P$2:$P$1001,I2527))*(실물목록!$Q$2:$Q$1001&lt;&gt;"")*ISNUMBER(SEARCH(실물목록!$Q$2:$Q$1001,I2527))*(실물목록!$R$2:$R$1001="")*(실물목록!$O$2:$O$1001&lt;&gt;"")*(실물목록!$O$2:$O$1001=H2527))&gt;0,"실물 있음",IF(SUMPRODUCT((실물목록!$P$2:$P$1001&lt;&gt;"")*ISNUMBER(SEARCH(실물목록!$P$2:$P$1001,I2527))*(실물목록!$R$2:$R$1001&lt;&gt;""))&gt;0,"확인필요(입력누락)",IF(SUMPRODUCT((실물목록!$P$2:$P$1001&lt;&gt;"")*ISNUMBER(SEARCH(실물목록!$P$2:$P$1001,I2527))*(실물목록!$Q$2:$Q$1001&lt;&gt;"")*ISNUMBER(SEARCH(실물목록!$Q$2:$Q$1001,I2527))*(실물목록!$R$2:$R$1001="")*(실물목록!$O$2:$O$1001&lt;&gt;""))&gt;0,"확인필요(연도다름)","실물 없음")))))</f>
      </c>
      <c r="G2527" t="n" s="16">
        <f aca="0">IF(B2527="","",SUMPRODUCT((실물목록!$P$2:$P$1001&lt;&gt;"")*ISNUMBER(SEARCH(실물목록!$P$2:$P$1001,I2527))*(실물목록!$Q$2:$Q$1001&lt;&gt;"")*ISNUMBER(SEARCH(실물목록!$Q$2:$Q$1001,I2527))*(실물목록!$R$2:$R$1001="")*(실물목록!$O$2:$O$1001&lt;&gt;"")*(실물목록!$O$2:$O$1001=H2527)))</f>
      </c>
      <c r="H2527" t="str">
        <f>IFERROR(IF(AND(LEN(SUBSTITUTE(SUBSTITUTE(SUBSTITUTE(TRIM(A2527&amp;""),CHAR(160),"")," ",""),"년",""))=4,VALUE(SUBSTITUTE(SUBSTITUTE(SUBSTITUTE(TRIM(A2527&amp;""),CHAR(160),"")," ",""),"년",""))&gt;=1900,VALUE(SUBSTITUTE(SUBSTITUTE(SUBSTITUTE(TRIM(A2527&amp;""),CHAR(160),"")," ",""),"년",""))&lt;=2099,TEXT(VALUE(SUBSTITUTE(SUBSTITUTE(SUBSTITUTE(TRIM(A2527&amp;""),CHAR(160),"")," ",""),"년","")),"0000")=SUBSTITUTE(SUBSTITUTE(SUBSTITUTE(TRIM(A2527&amp;""),CHAR(160),"")," ",""),"년","")),SUBSTITUTE(SUBSTITUTE(SUBSTITUTE(TRIM(A2527&amp;""),CHAR(160),"")," ",""),"년",""),""),"")</f>
      </c>
      <c r="I2527" t="str">
        <f>SUBSTITUTE(SUBSTITUTE(SUBSTITUTE(SUBSTITUTE(SUBSTITUTE(TRIM(B2527&amp;""),CHAR(160),"")," ",""),"초등학교","초"),"중학교","중"),"고등학교","고")</f>
      </c>
    </row>
    <row r="2528" customFormat="false" ht="15" hidden="false" customHeight="false" outlineLevel="0" collapsed="false">
      <c r="A2528" s="8"/>
      <c r="B2528" s="8"/>
      <c r="C2528" s="8"/>
      <c r="D2528" s="8"/>
      <c r="E2528" s="8"/>
      <c r="F2528" t="str" s="15">
        <f aca="0">IF(B2528="","",IF(H2528="","확인필요(입력누락)",IF(SUMPRODUCT((실물목록!$P$2:$P$1001&lt;&gt;"")*ISNUMBER(SEARCH(실물목록!$P$2:$P$1001,I2528))*(실물목록!$Q$2:$Q$1001&lt;&gt;"")*ISNUMBER(SEARCH(실물목록!$Q$2:$Q$1001,I2528))*(실물목록!$R$2:$R$1001="")*(실물목록!$O$2:$O$1001&lt;&gt;"")*(실물목록!$O$2:$O$1001=H2528))&gt;0,"실물 있음",IF(SUMPRODUCT((실물목록!$P$2:$P$1001&lt;&gt;"")*ISNUMBER(SEARCH(실물목록!$P$2:$P$1001,I2528))*(실물목록!$R$2:$R$1001&lt;&gt;""))&gt;0,"확인필요(입력누락)",IF(SUMPRODUCT((실물목록!$P$2:$P$1001&lt;&gt;"")*ISNUMBER(SEARCH(실물목록!$P$2:$P$1001,I2528))*(실물목록!$Q$2:$Q$1001&lt;&gt;"")*ISNUMBER(SEARCH(실물목록!$Q$2:$Q$1001,I2528))*(실물목록!$R$2:$R$1001="")*(실물목록!$O$2:$O$1001&lt;&gt;""))&gt;0,"확인필요(연도다름)","실물 없음")))))</f>
      </c>
      <c r="G2528" t="n" s="16">
        <f aca="0">IF(B2528="","",SUMPRODUCT((실물목록!$P$2:$P$1001&lt;&gt;"")*ISNUMBER(SEARCH(실물목록!$P$2:$P$1001,I2528))*(실물목록!$Q$2:$Q$1001&lt;&gt;"")*ISNUMBER(SEARCH(실물목록!$Q$2:$Q$1001,I2528))*(실물목록!$R$2:$R$1001="")*(실물목록!$O$2:$O$1001&lt;&gt;"")*(실물목록!$O$2:$O$1001=H2528)))</f>
      </c>
      <c r="H2528" t="str">
        <f>IFERROR(IF(AND(LEN(SUBSTITUTE(SUBSTITUTE(SUBSTITUTE(TRIM(A2528&amp;""),CHAR(160),"")," ",""),"년",""))=4,VALUE(SUBSTITUTE(SUBSTITUTE(SUBSTITUTE(TRIM(A2528&amp;""),CHAR(160),"")," ",""),"년",""))&gt;=1900,VALUE(SUBSTITUTE(SUBSTITUTE(SUBSTITUTE(TRIM(A2528&amp;""),CHAR(160),"")," ",""),"년",""))&lt;=2099,TEXT(VALUE(SUBSTITUTE(SUBSTITUTE(SUBSTITUTE(TRIM(A2528&amp;""),CHAR(160),"")," ",""),"년","")),"0000")=SUBSTITUTE(SUBSTITUTE(SUBSTITUTE(TRIM(A2528&amp;""),CHAR(160),"")," ",""),"년","")),SUBSTITUTE(SUBSTITUTE(SUBSTITUTE(TRIM(A2528&amp;""),CHAR(160),"")," ",""),"년",""),""),"")</f>
      </c>
      <c r="I2528" t="str">
        <f>SUBSTITUTE(SUBSTITUTE(SUBSTITUTE(SUBSTITUTE(SUBSTITUTE(TRIM(B2528&amp;""),CHAR(160),"")," ",""),"초등학교","초"),"중학교","중"),"고등학교","고")</f>
      </c>
    </row>
    <row r="2529" customFormat="false" ht="15" hidden="false" customHeight="false" outlineLevel="0" collapsed="false">
      <c r="A2529" s="8"/>
      <c r="B2529" s="8"/>
      <c r="C2529" s="8"/>
      <c r="D2529" s="8"/>
      <c r="E2529" s="8"/>
      <c r="F2529" t="str" s="15">
        <f aca="0">IF(B2529="","",IF(H2529="","확인필요(입력누락)",IF(SUMPRODUCT((실물목록!$P$2:$P$1001&lt;&gt;"")*ISNUMBER(SEARCH(실물목록!$P$2:$P$1001,I2529))*(실물목록!$Q$2:$Q$1001&lt;&gt;"")*ISNUMBER(SEARCH(실물목록!$Q$2:$Q$1001,I2529))*(실물목록!$R$2:$R$1001="")*(실물목록!$O$2:$O$1001&lt;&gt;"")*(실물목록!$O$2:$O$1001=H2529))&gt;0,"실물 있음",IF(SUMPRODUCT((실물목록!$P$2:$P$1001&lt;&gt;"")*ISNUMBER(SEARCH(실물목록!$P$2:$P$1001,I2529))*(실물목록!$R$2:$R$1001&lt;&gt;""))&gt;0,"확인필요(입력누락)",IF(SUMPRODUCT((실물목록!$P$2:$P$1001&lt;&gt;"")*ISNUMBER(SEARCH(실물목록!$P$2:$P$1001,I2529))*(실물목록!$Q$2:$Q$1001&lt;&gt;"")*ISNUMBER(SEARCH(실물목록!$Q$2:$Q$1001,I2529))*(실물목록!$R$2:$R$1001="")*(실물목록!$O$2:$O$1001&lt;&gt;""))&gt;0,"확인필요(연도다름)","실물 없음")))))</f>
      </c>
      <c r="G2529" t="n" s="16">
        <f aca="0">IF(B2529="","",SUMPRODUCT((실물목록!$P$2:$P$1001&lt;&gt;"")*ISNUMBER(SEARCH(실물목록!$P$2:$P$1001,I2529))*(실물목록!$Q$2:$Q$1001&lt;&gt;"")*ISNUMBER(SEARCH(실물목록!$Q$2:$Q$1001,I2529))*(실물목록!$R$2:$R$1001="")*(실물목록!$O$2:$O$1001&lt;&gt;"")*(실물목록!$O$2:$O$1001=H2529)))</f>
      </c>
      <c r="H2529" t="str">
        <f>IFERROR(IF(AND(LEN(SUBSTITUTE(SUBSTITUTE(SUBSTITUTE(TRIM(A2529&amp;""),CHAR(160),"")," ",""),"년",""))=4,VALUE(SUBSTITUTE(SUBSTITUTE(SUBSTITUTE(TRIM(A2529&amp;""),CHAR(160),"")," ",""),"년",""))&gt;=1900,VALUE(SUBSTITUTE(SUBSTITUTE(SUBSTITUTE(TRIM(A2529&amp;""),CHAR(160),"")," ",""),"년",""))&lt;=2099,TEXT(VALUE(SUBSTITUTE(SUBSTITUTE(SUBSTITUTE(TRIM(A2529&amp;""),CHAR(160),"")," ",""),"년","")),"0000")=SUBSTITUTE(SUBSTITUTE(SUBSTITUTE(TRIM(A2529&amp;""),CHAR(160),"")," ",""),"년","")),SUBSTITUTE(SUBSTITUTE(SUBSTITUTE(TRIM(A2529&amp;""),CHAR(160),"")," ",""),"년",""),""),"")</f>
      </c>
      <c r="I2529" t="str">
        <f>SUBSTITUTE(SUBSTITUTE(SUBSTITUTE(SUBSTITUTE(SUBSTITUTE(TRIM(B2529&amp;""),CHAR(160),"")," ",""),"초등학교","초"),"중학교","중"),"고등학교","고")</f>
      </c>
    </row>
    <row r="2530" customFormat="false" ht="15" hidden="false" customHeight="false" outlineLevel="0" collapsed="false">
      <c r="A2530" s="8"/>
      <c r="B2530" s="8"/>
      <c r="C2530" s="8"/>
      <c r="D2530" s="8"/>
      <c r="E2530" s="8"/>
      <c r="F2530" t="str" s="15">
        <f aca="0">IF(B2530="","",IF(H2530="","확인필요(입력누락)",IF(SUMPRODUCT((실물목록!$P$2:$P$1001&lt;&gt;"")*ISNUMBER(SEARCH(실물목록!$P$2:$P$1001,I2530))*(실물목록!$Q$2:$Q$1001&lt;&gt;"")*ISNUMBER(SEARCH(실물목록!$Q$2:$Q$1001,I2530))*(실물목록!$R$2:$R$1001="")*(실물목록!$O$2:$O$1001&lt;&gt;"")*(실물목록!$O$2:$O$1001=H2530))&gt;0,"실물 있음",IF(SUMPRODUCT((실물목록!$P$2:$P$1001&lt;&gt;"")*ISNUMBER(SEARCH(실물목록!$P$2:$P$1001,I2530))*(실물목록!$R$2:$R$1001&lt;&gt;""))&gt;0,"확인필요(입력누락)",IF(SUMPRODUCT((실물목록!$P$2:$P$1001&lt;&gt;"")*ISNUMBER(SEARCH(실물목록!$P$2:$P$1001,I2530))*(실물목록!$Q$2:$Q$1001&lt;&gt;"")*ISNUMBER(SEARCH(실물목록!$Q$2:$Q$1001,I2530))*(실물목록!$R$2:$R$1001="")*(실물목록!$O$2:$O$1001&lt;&gt;""))&gt;0,"확인필요(연도다름)","실물 없음")))))</f>
      </c>
      <c r="G2530" t="n" s="16">
        <f aca="0">IF(B2530="","",SUMPRODUCT((실물목록!$P$2:$P$1001&lt;&gt;"")*ISNUMBER(SEARCH(실물목록!$P$2:$P$1001,I2530))*(실물목록!$Q$2:$Q$1001&lt;&gt;"")*ISNUMBER(SEARCH(실물목록!$Q$2:$Q$1001,I2530))*(실물목록!$R$2:$R$1001="")*(실물목록!$O$2:$O$1001&lt;&gt;"")*(실물목록!$O$2:$O$1001=H2530)))</f>
      </c>
      <c r="H2530" t="str">
        <f>IFERROR(IF(AND(LEN(SUBSTITUTE(SUBSTITUTE(SUBSTITUTE(TRIM(A2530&amp;""),CHAR(160),"")," ",""),"년",""))=4,VALUE(SUBSTITUTE(SUBSTITUTE(SUBSTITUTE(TRIM(A2530&amp;""),CHAR(160),"")," ",""),"년",""))&gt;=1900,VALUE(SUBSTITUTE(SUBSTITUTE(SUBSTITUTE(TRIM(A2530&amp;""),CHAR(160),"")," ",""),"년",""))&lt;=2099,TEXT(VALUE(SUBSTITUTE(SUBSTITUTE(SUBSTITUTE(TRIM(A2530&amp;""),CHAR(160),"")," ",""),"년","")),"0000")=SUBSTITUTE(SUBSTITUTE(SUBSTITUTE(TRIM(A2530&amp;""),CHAR(160),"")," ",""),"년","")),SUBSTITUTE(SUBSTITUTE(SUBSTITUTE(TRIM(A2530&amp;""),CHAR(160),"")," ",""),"년",""),""),"")</f>
      </c>
      <c r="I2530" t="str">
        <f>SUBSTITUTE(SUBSTITUTE(SUBSTITUTE(SUBSTITUTE(SUBSTITUTE(TRIM(B2530&amp;""),CHAR(160),"")," ",""),"초등학교","초"),"중학교","중"),"고등학교","고")</f>
      </c>
    </row>
    <row r="2531" customFormat="false" ht="15" hidden="false" customHeight="false" outlineLevel="0" collapsed="false">
      <c r="A2531" s="8"/>
      <c r="B2531" s="8"/>
      <c r="C2531" s="8"/>
      <c r="D2531" s="8"/>
      <c r="E2531" s="8"/>
      <c r="F2531" t="str" s="15">
        <f aca="0">IF(B2531="","",IF(H2531="","확인필요(입력누락)",IF(SUMPRODUCT((실물목록!$P$2:$P$1001&lt;&gt;"")*ISNUMBER(SEARCH(실물목록!$P$2:$P$1001,I2531))*(실물목록!$Q$2:$Q$1001&lt;&gt;"")*ISNUMBER(SEARCH(실물목록!$Q$2:$Q$1001,I2531))*(실물목록!$R$2:$R$1001="")*(실물목록!$O$2:$O$1001&lt;&gt;"")*(실물목록!$O$2:$O$1001=H2531))&gt;0,"실물 있음",IF(SUMPRODUCT((실물목록!$P$2:$P$1001&lt;&gt;"")*ISNUMBER(SEARCH(실물목록!$P$2:$P$1001,I2531))*(실물목록!$R$2:$R$1001&lt;&gt;""))&gt;0,"확인필요(입력누락)",IF(SUMPRODUCT((실물목록!$P$2:$P$1001&lt;&gt;"")*ISNUMBER(SEARCH(실물목록!$P$2:$P$1001,I2531))*(실물목록!$Q$2:$Q$1001&lt;&gt;"")*ISNUMBER(SEARCH(실물목록!$Q$2:$Q$1001,I2531))*(실물목록!$R$2:$R$1001="")*(실물목록!$O$2:$O$1001&lt;&gt;""))&gt;0,"확인필요(연도다름)","실물 없음")))))</f>
      </c>
      <c r="G2531" t="n" s="16">
        <f aca="0">IF(B2531="","",SUMPRODUCT((실물목록!$P$2:$P$1001&lt;&gt;"")*ISNUMBER(SEARCH(실물목록!$P$2:$P$1001,I2531))*(실물목록!$Q$2:$Q$1001&lt;&gt;"")*ISNUMBER(SEARCH(실물목록!$Q$2:$Q$1001,I2531))*(실물목록!$R$2:$R$1001="")*(실물목록!$O$2:$O$1001&lt;&gt;"")*(실물목록!$O$2:$O$1001=H2531)))</f>
      </c>
      <c r="H2531" t="str">
        <f>IFERROR(IF(AND(LEN(SUBSTITUTE(SUBSTITUTE(SUBSTITUTE(TRIM(A2531&amp;""),CHAR(160),"")," ",""),"년",""))=4,VALUE(SUBSTITUTE(SUBSTITUTE(SUBSTITUTE(TRIM(A2531&amp;""),CHAR(160),"")," ",""),"년",""))&gt;=1900,VALUE(SUBSTITUTE(SUBSTITUTE(SUBSTITUTE(TRIM(A2531&amp;""),CHAR(160),"")," ",""),"년",""))&lt;=2099,TEXT(VALUE(SUBSTITUTE(SUBSTITUTE(SUBSTITUTE(TRIM(A2531&amp;""),CHAR(160),"")," ",""),"년","")),"0000")=SUBSTITUTE(SUBSTITUTE(SUBSTITUTE(TRIM(A2531&amp;""),CHAR(160),"")," ",""),"년","")),SUBSTITUTE(SUBSTITUTE(SUBSTITUTE(TRIM(A2531&amp;""),CHAR(160),"")," ",""),"년",""),""),"")</f>
      </c>
      <c r="I2531" t="str">
        <f>SUBSTITUTE(SUBSTITUTE(SUBSTITUTE(SUBSTITUTE(SUBSTITUTE(TRIM(B2531&amp;""),CHAR(160),"")," ",""),"초등학교","초"),"중학교","중"),"고등학교","고")</f>
      </c>
    </row>
    <row r="2532" customFormat="false" ht="15" hidden="false" customHeight="false" outlineLevel="0" collapsed="false">
      <c r="A2532" s="8"/>
      <c r="B2532" s="8"/>
      <c r="C2532" s="8"/>
      <c r="D2532" s="8"/>
      <c r="E2532" s="8"/>
      <c r="F2532" t="str" s="15">
        <f aca="0">IF(B2532="","",IF(H2532="","확인필요(입력누락)",IF(SUMPRODUCT((실물목록!$P$2:$P$1001&lt;&gt;"")*ISNUMBER(SEARCH(실물목록!$P$2:$P$1001,I2532))*(실물목록!$Q$2:$Q$1001&lt;&gt;"")*ISNUMBER(SEARCH(실물목록!$Q$2:$Q$1001,I2532))*(실물목록!$R$2:$R$1001="")*(실물목록!$O$2:$O$1001&lt;&gt;"")*(실물목록!$O$2:$O$1001=H2532))&gt;0,"실물 있음",IF(SUMPRODUCT((실물목록!$P$2:$P$1001&lt;&gt;"")*ISNUMBER(SEARCH(실물목록!$P$2:$P$1001,I2532))*(실물목록!$R$2:$R$1001&lt;&gt;""))&gt;0,"확인필요(입력누락)",IF(SUMPRODUCT((실물목록!$P$2:$P$1001&lt;&gt;"")*ISNUMBER(SEARCH(실물목록!$P$2:$P$1001,I2532))*(실물목록!$Q$2:$Q$1001&lt;&gt;"")*ISNUMBER(SEARCH(실물목록!$Q$2:$Q$1001,I2532))*(실물목록!$R$2:$R$1001="")*(실물목록!$O$2:$O$1001&lt;&gt;""))&gt;0,"확인필요(연도다름)","실물 없음")))))</f>
      </c>
      <c r="G2532" t="n" s="16">
        <f aca="0">IF(B2532="","",SUMPRODUCT((실물목록!$P$2:$P$1001&lt;&gt;"")*ISNUMBER(SEARCH(실물목록!$P$2:$P$1001,I2532))*(실물목록!$Q$2:$Q$1001&lt;&gt;"")*ISNUMBER(SEARCH(실물목록!$Q$2:$Q$1001,I2532))*(실물목록!$R$2:$R$1001="")*(실물목록!$O$2:$O$1001&lt;&gt;"")*(실물목록!$O$2:$O$1001=H2532)))</f>
      </c>
      <c r="H2532" t="str">
        <f>IFERROR(IF(AND(LEN(SUBSTITUTE(SUBSTITUTE(SUBSTITUTE(TRIM(A2532&amp;""),CHAR(160),"")," ",""),"년",""))=4,VALUE(SUBSTITUTE(SUBSTITUTE(SUBSTITUTE(TRIM(A2532&amp;""),CHAR(160),"")," ",""),"년",""))&gt;=1900,VALUE(SUBSTITUTE(SUBSTITUTE(SUBSTITUTE(TRIM(A2532&amp;""),CHAR(160),"")," ",""),"년",""))&lt;=2099,TEXT(VALUE(SUBSTITUTE(SUBSTITUTE(SUBSTITUTE(TRIM(A2532&amp;""),CHAR(160),"")," ",""),"년","")),"0000")=SUBSTITUTE(SUBSTITUTE(SUBSTITUTE(TRIM(A2532&amp;""),CHAR(160),"")," ",""),"년","")),SUBSTITUTE(SUBSTITUTE(SUBSTITUTE(TRIM(A2532&amp;""),CHAR(160),"")," ",""),"년",""),""),"")</f>
      </c>
      <c r="I2532" t="str">
        <f>SUBSTITUTE(SUBSTITUTE(SUBSTITUTE(SUBSTITUTE(SUBSTITUTE(TRIM(B2532&amp;""),CHAR(160),"")," ",""),"초등학교","초"),"중학교","중"),"고등학교","고")</f>
      </c>
    </row>
    <row r="2533" customFormat="false" ht="15" hidden="false" customHeight="false" outlineLevel="0" collapsed="false">
      <c r="A2533" s="8"/>
      <c r="B2533" s="8"/>
      <c r="C2533" s="8"/>
      <c r="D2533" s="8"/>
      <c r="E2533" s="8"/>
      <c r="F2533" t="str" s="15">
        <f aca="0">IF(B2533="","",IF(H2533="","확인필요(입력누락)",IF(SUMPRODUCT((실물목록!$P$2:$P$1001&lt;&gt;"")*ISNUMBER(SEARCH(실물목록!$P$2:$P$1001,I2533))*(실물목록!$Q$2:$Q$1001&lt;&gt;"")*ISNUMBER(SEARCH(실물목록!$Q$2:$Q$1001,I2533))*(실물목록!$R$2:$R$1001="")*(실물목록!$O$2:$O$1001&lt;&gt;"")*(실물목록!$O$2:$O$1001=H2533))&gt;0,"실물 있음",IF(SUMPRODUCT((실물목록!$P$2:$P$1001&lt;&gt;"")*ISNUMBER(SEARCH(실물목록!$P$2:$P$1001,I2533))*(실물목록!$R$2:$R$1001&lt;&gt;""))&gt;0,"확인필요(입력누락)",IF(SUMPRODUCT((실물목록!$P$2:$P$1001&lt;&gt;"")*ISNUMBER(SEARCH(실물목록!$P$2:$P$1001,I2533))*(실물목록!$Q$2:$Q$1001&lt;&gt;"")*ISNUMBER(SEARCH(실물목록!$Q$2:$Q$1001,I2533))*(실물목록!$R$2:$R$1001="")*(실물목록!$O$2:$O$1001&lt;&gt;""))&gt;0,"확인필요(연도다름)","실물 없음")))))</f>
      </c>
      <c r="G2533" t="n" s="16">
        <f aca="0">IF(B2533="","",SUMPRODUCT((실물목록!$P$2:$P$1001&lt;&gt;"")*ISNUMBER(SEARCH(실물목록!$P$2:$P$1001,I2533))*(실물목록!$Q$2:$Q$1001&lt;&gt;"")*ISNUMBER(SEARCH(실물목록!$Q$2:$Q$1001,I2533))*(실물목록!$R$2:$R$1001="")*(실물목록!$O$2:$O$1001&lt;&gt;"")*(실물목록!$O$2:$O$1001=H2533)))</f>
      </c>
      <c r="H2533" t="str">
        <f>IFERROR(IF(AND(LEN(SUBSTITUTE(SUBSTITUTE(SUBSTITUTE(TRIM(A2533&amp;""),CHAR(160),"")," ",""),"년",""))=4,VALUE(SUBSTITUTE(SUBSTITUTE(SUBSTITUTE(TRIM(A2533&amp;""),CHAR(160),"")," ",""),"년",""))&gt;=1900,VALUE(SUBSTITUTE(SUBSTITUTE(SUBSTITUTE(TRIM(A2533&amp;""),CHAR(160),"")," ",""),"년",""))&lt;=2099,TEXT(VALUE(SUBSTITUTE(SUBSTITUTE(SUBSTITUTE(TRIM(A2533&amp;""),CHAR(160),"")," ",""),"년","")),"0000")=SUBSTITUTE(SUBSTITUTE(SUBSTITUTE(TRIM(A2533&amp;""),CHAR(160),"")," ",""),"년","")),SUBSTITUTE(SUBSTITUTE(SUBSTITUTE(TRIM(A2533&amp;""),CHAR(160),"")," ",""),"년",""),""),"")</f>
      </c>
      <c r="I2533" t="str">
        <f>SUBSTITUTE(SUBSTITUTE(SUBSTITUTE(SUBSTITUTE(SUBSTITUTE(TRIM(B2533&amp;""),CHAR(160),"")," ",""),"초등학교","초"),"중학교","중"),"고등학교","고")</f>
      </c>
    </row>
    <row r="2534" customFormat="false" ht="15" hidden="false" customHeight="false" outlineLevel="0" collapsed="false">
      <c r="A2534" s="8"/>
      <c r="B2534" s="8"/>
      <c r="C2534" s="8"/>
      <c r="D2534" s="8"/>
      <c r="E2534" s="8"/>
      <c r="F2534" t="str" s="15">
        <f aca="0">IF(B2534="","",IF(H2534="","확인필요(입력누락)",IF(SUMPRODUCT((실물목록!$P$2:$P$1001&lt;&gt;"")*ISNUMBER(SEARCH(실물목록!$P$2:$P$1001,I2534))*(실물목록!$Q$2:$Q$1001&lt;&gt;"")*ISNUMBER(SEARCH(실물목록!$Q$2:$Q$1001,I2534))*(실물목록!$R$2:$R$1001="")*(실물목록!$O$2:$O$1001&lt;&gt;"")*(실물목록!$O$2:$O$1001=H2534))&gt;0,"실물 있음",IF(SUMPRODUCT((실물목록!$P$2:$P$1001&lt;&gt;"")*ISNUMBER(SEARCH(실물목록!$P$2:$P$1001,I2534))*(실물목록!$R$2:$R$1001&lt;&gt;""))&gt;0,"확인필요(입력누락)",IF(SUMPRODUCT((실물목록!$P$2:$P$1001&lt;&gt;"")*ISNUMBER(SEARCH(실물목록!$P$2:$P$1001,I2534))*(실물목록!$Q$2:$Q$1001&lt;&gt;"")*ISNUMBER(SEARCH(실물목록!$Q$2:$Q$1001,I2534))*(실물목록!$R$2:$R$1001="")*(실물목록!$O$2:$O$1001&lt;&gt;""))&gt;0,"확인필요(연도다름)","실물 없음")))))</f>
      </c>
      <c r="G2534" t="n" s="16">
        <f aca="0">IF(B2534="","",SUMPRODUCT((실물목록!$P$2:$P$1001&lt;&gt;"")*ISNUMBER(SEARCH(실물목록!$P$2:$P$1001,I2534))*(실물목록!$Q$2:$Q$1001&lt;&gt;"")*ISNUMBER(SEARCH(실물목록!$Q$2:$Q$1001,I2534))*(실물목록!$R$2:$R$1001="")*(실물목록!$O$2:$O$1001&lt;&gt;"")*(실물목록!$O$2:$O$1001=H2534)))</f>
      </c>
      <c r="H2534" t="str">
        <f>IFERROR(IF(AND(LEN(SUBSTITUTE(SUBSTITUTE(SUBSTITUTE(TRIM(A2534&amp;""),CHAR(160),"")," ",""),"년",""))=4,VALUE(SUBSTITUTE(SUBSTITUTE(SUBSTITUTE(TRIM(A2534&amp;""),CHAR(160),"")," ",""),"년",""))&gt;=1900,VALUE(SUBSTITUTE(SUBSTITUTE(SUBSTITUTE(TRIM(A2534&amp;""),CHAR(160),"")," ",""),"년",""))&lt;=2099,TEXT(VALUE(SUBSTITUTE(SUBSTITUTE(SUBSTITUTE(TRIM(A2534&amp;""),CHAR(160),"")," ",""),"년","")),"0000")=SUBSTITUTE(SUBSTITUTE(SUBSTITUTE(TRIM(A2534&amp;""),CHAR(160),"")," ",""),"년","")),SUBSTITUTE(SUBSTITUTE(SUBSTITUTE(TRIM(A2534&amp;""),CHAR(160),"")," ",""),"년",""),""),"")</f>
      </c>
      <c r="I2534" t="str">
        <f>SUBSTITUTE(SUBSTITUTE(SUBSTITUTE(SUBSTITUTE(SUBSTITUTE(TRIM(B2534&amp;""),CHAR(160),"")," ",""),"초등학교","초"),"중학교","중"),"고등학교","고")</f>
      </c>
    </row>
    <row r="2535" customFormat="false" ht="15" hidden="false" customHeight="false" outlineLevel="0" collapsed="false">
      <c r="A2535" s="8"/>
      <c r="B2535" s="8"/>
      <c r="C2535" s="8"/>
      <c r="D2535" s="8"/>
      <c r="E2535" s="8"/>
      <c r="F2535" t="str" s="15">
        <f aca="0">IF(B2535="","",IF(H2535="","확인필요(입력누락)",IF(SUMPRODUCT((실물목록!$P$2:$P$1001&lt;&gt;"")*ISNUMBER(SEARCH(실물목록!$P$2:$P$1001,I2535))*(실물목록!$Q$2:$Q$1001&lt;&gt;"")*ISNUMBER(SEARCH(실물목록!$Q$2:$Q$1001,I2535))*(실물목록!$R$2:$R$1001="")*(실물목록!$O$2:$O$1001&lt;&gt;"")*(실물목록!$O$2:$O$1001=H2535))&gt;0,"실물 있음",IF(SUMPRODUCT((실물목록!$P$2:$P$1001&lt;&gt;"")*ISNUMBER(SEARCH(실물목록!$P$2:$P$1001,I2535))*(실물목록!$R$2:$R$1001&lt;&gt;""))&gt;0,"확인필요(입력누락)",IF(SUMPRODUCT((실물목록!$P$2:$P$1001&lt;&gt;"")*ISNUMBER(SEARCH(실물목록!$P$2:$P$1001,I2535))*(실물목록!$Q$2:$Q$1001&lt;&gt;"")*ISNUMBER(SEARCH(실물목록!$Q$2:$Q$1001,I2535))*(실물목록!$R$2:$R$1001="")*(실물목록!$O$2:$O$1001&lt;&gt;""))&gt;0,"확인필요(연도다름)","실물 없음")))))</f>
      </c>
      <c r="G2535" t="n" s="16">
        <f aca="0">IF(B2535="","",SUMPRODUCT((실물목록!$P$2:$P$1001&lt;&gt;"")*ISNUMBER(SEARCH(실물목록!$P$2:$P$1001,I2535))*(실물목록!$Q$2:$Q$1001&lt;&gt;"")*ISNUMBER(SEARCH(실물목록!$Q$2:$Q$1001,I2535))*(실물목록!$R$2:$R$1001="")*(실물목록!$O$2:$O$1001&lt;&gt;"")*(실물목록!$O$2:$O$1001=H2535)))</f>
      </c>
      <c r="H2535" t="str">
        <f>IFERROR(IF(AND(LEN(SUBSTITUTE(SUBSTITUTE(SUBSTITUTE(TRIM(A2535&amp;""),CHAR(160),"")," ",""),"년",""))=4,VALUE(SUBSTITUTE(SUBSTITUTE(SUBSTITUTE(TRIM(A2535&amp;""),CHAR(160),"")," ",""),"년",""))&gt;=1900,VALUE(SUBSTITUTE(SUBSTITUTE(SUBSTITUTE(TRIM(A2535&amp;""),CHAR(160),"")," ",""),"년",""))&lt;=2099,TEXT(VALUE(SUBSTITUTE(SUBSTITUTE(SUBSTITUTE(TRIM(A2535&amp;""),CHAR(160),"")," ",""),"년","")),"0000")=SUBSTITUTE(SUBSTITUTE(SUBSTITUTE(TRIM(A2535&amp;""),CHAR(160),"")," ",""),"년","")),SUBSTITUTE(SUBSTITUTE(SUBSTITUTE(TRIM(A2535&amp;""),CHAR(160),"")," ",""),"년",""),""),"")</f>
      </c>
      <c r="I2535" t="str">
        <f>SUBSTITUTE(SUBSTITUTE(SUBSTITUTE(SUBSTITUTE(SUBSTITUTE(TRIM(B2535&amp;""),CHAR(160),"")," ",""),"초등학교","초"),"중학교","중"),"고등학교","고")</f>
      </c>
    </row>
    <row r="2536" customFormat="false" ht="15" hidden="false" customHeight="false" outlineLevel="0" collapsed="false">
      <c r="A2536" s="8"/>
      <c r="B2536" s="8"/>
      <c r="C2536" s="8"/>
      <c r="D2536" s="8"/>
      <c r="E2536" s="8"/>
      <c r="F2536" t="str" s="15">
        <f aca="0">IF(B2536="","",IF(H2536="","확인필요(입력누락)",IF(SUMPRODUCT((실물목록!$P$2:$P$1001&lt;&gt;"")*ISNUMBER(SEARCH(실물목록!$P$2:$P$1001,I2536))*(실물목록!$Q$2:$Q$1001&lt;&gt;"")*ISNUMBER(SEARCH(실물목록!$Q$2:$Q$1001,I2536))*(실물목록!$R$2:$R$1001="")*(실물목록!$O$2:$O$1001&lt;&gt;"")*(실물목록!$O$2:$O$1001=H2536))&gt;0,"실물 있음",IF(SUMPRODUCT((실물목록!$P$2:$P$1001&lt;&gt;"")*ISNUMBER(SEARCH(실물목록!$P$2:$P$1001,I2536))*(실물목록!$R$2:$R$1001&lt;&gt;""))&gt;0,"확인필요(입력누락)",IF(SUMPRODUCT((실물목록!$P$2:$P$1001&lt;&gt;"")*ISNUMBER(SEARCH(실물목록!$P$2:$P$1001,I2536))*(실물목록!$Q$2:$Q$1001&lt;&gt;"")*ISNUMBER(SEARCH(실물목록!$Q$2:$Q$1001,I2536))*(실물목록!$R$2:$R$1001="")*(실물목록!$O$2:$O$1001&lt;&gt;""))&gt;0,"확인필요(연도다름)","실물 없음")))))</f>
      </c>
      <c r="G2536" t="n" s="16">
        <f aca="0">IF(B2536="","",SUMPRODUCT((실물목록!$P$2:$P$1001&lt;&gt;"")*ISNUMBER(SEARCH(실물목록!$P$2:$P$1001,I2536))*(실물목록!$Q$2:$Q$1001&lt;&gt;"")*ISNUMBER(SEARCH(실물목록!$Q$2:$Q$1001,I2536))*(실물목록!$R$2:$R$1001="")*(실물목록!$O$2:$O$1001&lt;&gt;"")*(실물목록!$O$2:$O$1001=H2536)))</f>
      </c>
      <c r="H2536" t="str">
        <f>IFERROR(IF(AND(LEN(SUBSTITUTE(SUBSTITUTE(SUBSTITUTE(TRIM(A2536&amp;""),CHAR(160),"")," ",""),"년",""))=4,VALUE(SUBSTITUTE(SUBSTITUTE(SUBSTITUTE(TRIM(A2536&amp;""),CHAR(160),"")," ",""),"년",""))&gt;=1900,VALUE(SUBSTITUTE(SUBSTITUTE(SUBSTITUTE(TRIM(A2536&amp;""),CHAR(160),"")," ",""),"년",""))&lt;=2099,TEXT(VALUE(SUBSTITUTE(SUBSTITUTE(SUBSTITUTE(TRIM(A2536&amp;""),CHAR(160),"")," ",""),"년","")),"0000")=SUBSTITUTE(SUBSTITUTE(SUBSTITUTE(TRIM(A2536&amp;""),CHAR(160),"")," ",""),"년","")),SUBSTITUTE(SUBSTITUTE(SUBSTITUTE(TRIM(A2536&amp;""),CHAR(160),"")," ",""),"년",""),""),"")</f>
      </c>
      <c r="I2536" t="str">
        <f>SUBSTITUTE(SUBSTITUTE(SUBSTITUTE(SUBSTITUTE(SUBSTITUTE(TRIM(B2536&amp;""),CHAR(160),"")," ",""),"초등학교","초"),"중학교","중"),"고등학교","고")</f>
      </c>
    </row>
    <row r="2537" customFormat="false" ht="15" hidden="false" customHeight="false" outlineLevel="0" collapsed="false">
      <c r="A2537" s="8"/>
      <c r="B2537" s="8"/>
      <c r="C2537" s="8"/>
      <c r="D2537" s="8"/>
      <c r="E2537" s="8"/>
      <c r="F2537" t="str" s="15">
        <f aca="0">IF(B2537="","",IF(H2537="","확인필요(입력누락)",IF(SUMPRODUCT((실물목록!$P$2:$P$1001&lt;&gt;"")*ISNUMBER(SEARCH(실물목록!$P$2:$P$1001,I2537))*(실물목록!$Q$2:$Q$1001&lt;&gt;"")*ISNUMBER(SEARCH(실물목록!$Q$2:$Q$1001,I2537))*(실물목록!$R$2:$R$1001="")*(실물목록!$O$2:$O$1001&lt;&gt;"")*(실물목록!$O$2:$O$1001=H2537))&gt;0,"실물 있음",IF(SUMPRODUCT((실물목록!$P$2:$P$1001&lt;&gt;"")*ISNUMBER(SEARCH(실물목록!$P$2:$P$1001,I2537))*(실물목록!$R$2:$R$1001&lt;&gt;""))&gt;0,"확인필요(입력누락)",IF(SUMPRODUCT((실물목록!$P$2:$P$1001&lt;&gt;"")*ISNUMBER(SEARCH(실물목록!$P$2:$P$1001,I2537))*(실물목록!$Q$2:$Q$1001&lt;&gt;"")*ISNUMBER(SEARCH(실물목록!$Q$2:$Q$1001,I2537))*(실물목록!$R$2:$R$1001="")*(실물목록!$O$2:$O$1001&lt;&gt;""))&gt;0,"확인필요(연도다름)","실물 없음")))))</f>
      </c>
      <c r="G2537" t="n" s="16">
        <f aca="0">IF(B2537="","",SUMPRODUCT((실물목록!$P$2:$P$1001&lt;&gt;"")*ISNUMBER(SEARCH(실물목록!$P$2:$P$1001,I2537))*(실물목록!$Q$2:$Q$1001&lt;&gt;"")*ISNUMBER(SEARCH(실물목록!$Q$2:$Q$1001,I2537))*(실물목록!$R$2:$R$1001="")*(실물목록!$O$2:$O$1001&lt;&gt;"")*(실물목록!$O$2:$O$1001=H2537)))</f>
      </c>
      <c r="H2537" t="str">
        <f>IFERROR(IF(AND(LEN(SUBSTITUTE(SUBSTITUTE(SUBSTITUTE(TRIM(A2537&amp;""),CHAR(160),"")," ",""),"년",""))=4,VALUE(SUBSTITUTE(SUBSTITUTE(SUBSTITUTE(TRIM(A2537&amp;""),CHAR(160),"")," ",""),"년",""))&gt;=1900,VALUE(SUBSTITUTE(SUBSTITUTE(SUBSTITUTE(TRIM(A2537&amp;""),CHAR(160),"")," ",""),"년",""))&lt;=2099,TEXT(VALUE(SUBSTITUTE(SUBSTITUTE(SUBSTITUTE(TRIM(A2537&amp;""),CHAR(160),"")," ",""),"년","")),"0000")=SUBSTITUTE(SUBSTITUTE(SUBSTITUTE(TRIM(A2537&amp;""),CHAR(160),"")," ",""),"년","")),SUBSTITUTE(SUBSTITUTE(SUBSTITUTE(TRIM(A2537&amp;""),CHAR(160),"")," ",""),"년",""),""),"")</f>
      </c>
      <c r="I2537" t="str">
        <f>SUBSTITUTE(SUBSTITUTE(SUBSTITUTE(SUBSTITUTE(SUBSTITUTE(TRIM(B2537&amp;""),CHAR(160),"")," ",""),"초등학교","초"),"중학교","중"),"고등학교","고")</f>
      </c>
    </row>
    <row r="2538" customFormat="false" ht="15" hidden="false" customHeight="false" outlineLevel="0" collapsed="false">
      <c r="A2538" s="8"/>
      <c r="B2538" s="8"/>
      <c r="C2538" s="8"/>
      <c r="D2538" s="8"/>
      <c r="E2538" s="8"/>
      <c r="F2538" t="str" s="15">
        <f aca="0">IF(B2538="","",IF(H2538="","확인필요(입력누락)",IF(SUMPRODUCT((실물목록!$P$2:$P$1001&lt;&gt;"")*ISNUMBER(SEARCH(실물목록!$P$2:$P$1001,I2538))*(실물목록!$Q$2:$Q$1001&lt;&gt;"")*ISNUMBER(SEARCH(실물목록!$Q$2:$Q$1001,I2538))*(실물목록!$R$2:$R$1001="")*(실물목록!$O$2:$O$1001&lt;&gt;"")*(실물목록!$O$2:$O$1001=H2538))&gt;0,"실물 있음",IF(SUMPRODUCT((실물목록!$P$2:$P$1001&lt;&gt;"")*ISNUMBER(SEARCH(실물목록!$P$2:$P$1001,I2538))*(실물목록!$R$2:$R$1001&lt;&gt;""))&gt;0,"확인필요(입력누락)",IF(SUMPRODUCT((실물목록!$P$2:$P$1001&lt;&gt;"")*ISNUMBER(SEARCH(실물목록!$P$2:$P$1001,I2538))*(실물목록!$Q$2:$Q$1001&lt;&gt;"")*ISNUMBER(SEARCH(실물목록!$Q$2:$Q$1001,I2538))*(실물목록!$R$2:$R$1001="")*(실물목록!$O$2:$O$1001&lt;&gt;""))&gt;0,"확인필요(연도다름)","실물 없음")))))</f>
      </c>
      <c r="G2538" t="n" s="16">
        <f aca="0">IF(B2538="","",SUMPRODUCT((실물목록!$P$2:$P$1001&lt;&gt;"")*ISNUMBER(SEARCH(실물목록!$P$2:$P$1001,I2538))*(실물목록!$Q$2:$Q$1001&lt;&gt;"")*ISNUMBER(SEARCH(실물목록!$Q$2:$Q$1001,I2538))*(실물목록!$R$2:$R$1001="")*(실물목록!$O$2:$O$1001&lt;&gt;"")*(실물목록!$O$2:$O$1001=H2538)))</f>
      </c>
      <c r="H2538" t="str">
        <f>IFERROR(IF(AND(LEN(SUBSTITUTE(SUBSTITUTE(SUBSTITUTE(TRIM(A2538&amp;""),CHAR(160),"")," ",""),"년",""))=4,VALUE(SUBSTITUTE(SUBSTITUTE(SUBSTITUTE(TRIM(A2538&amp;""),CHAR(160),"")," ",""),"년",""))&gt;=1900,VALUE(SUBSTITUTE(SUBSTITUTE(SUBSTITUTE(TRIM(A2538&amp;""),CHAR(160),"")," ",""),"년",""))&lt;=2099,TEXT(VALUE(SUBSTITUTE(SUBSTITUTE(SUBSTITUTE(TRIM(A2538&amp;""),CHAR(160),"")," ",""),"년","")),"0000")=SUBSTITUTE(SUBSTITUTE(SUBSTITUTE(TRIM(A2538&amp;""),CHAR(160),"")," ",""),"년","")),SUBSTITUTE(SUBSTITUTE(SUBSTITUTE(TRIM(A2538&amp;""),CHAR(160),"")," ",""),"년",""),""),"")</f>
      </c>
      <c r="I2538" t="str">
        <f>SUBSTITUTE(SUBSTITUTE(SUBSTITUTE(SUBSTITUTE(SUBSTITUTE(TRIM(B2538&amp;""),CHAR(160),"")," ",""),"초등학교","초"),"중학교","중"),"고등학교","고")</f>
      </c>
    </row>
    <row r="2539" customFormat="false" ht="15" hidden="false" customHeight="false" outlineLevel="0" collapsed="false">
      <c r="A2539" s="8"/>
      <c r="B2539" s="8"/>
      <c r="C2539" s="8"/>
      <c r="D2539" s="8"/>
      <c r="E2539" s="8"/>
      <c r="F2539" t="str" s="15">
        <f aca="0">IF(B2539="","",IF(H2539="","확인필요(입력누락)",IF(SUMPRODUCT((실물목록!$P$2:$P$1001&lt;&gt;"")*ISNUMBER(SEARCH(실물목록!$P$2:$P$1001,I2539))*(실물목록!$Q$2:$Q$1001&lt;&gt;"")*ISNUMBER(SEARCH(실물목록!$Q$2:$Q$1001,I2539))*(실물목록!$R$2:$R$1001="")*(실물목록!$O$2:$O$1001&lt;&gt;"")*(실물목록!$O$2:$O$1001=H2539))&gt;0,"실물 있음",IF(SUMPRODUCT((실물목록!$P$2:$P$1001&lt;&gt;"")*ISNUMBER(SEARCH(실물목록!$P$2:$P$1001,I2539))*(실물목록!$R$2:$R$1001&lt;&gt;""))&gt;0,"확인필요(입력누락)",IF(SUMPRODUCT((실물목록!$P$2:$P$1001&lt;&gt;"")*ISNUMBER(SEARCH(실물목록!$P$2:$P$1001,I2539))*(실물목록!$Q$2:$Q$1001&lt;&gt;"")*ISNUMBER(SEARCH(실물목록!$Q$2:$Q$1001,I2539))*(실물목록!$R$2:$R$1001="")*(실물목록!$O$2:$O$1001&lt;&gt;""))&gt;0,"확인필요(연도다름)","실물 없음")))))</f>
      </c>
      <c r="G2539" t="n" s="16">
        <f aca="0">IF(B2539="","",SUMPRODUCT((실물목록!$P$2:$P$1001&lt;&gt;"")*ISNUMBER(SEARCH(실물목록!$P$2:$P$1001,I2539))*(실물목록!$Q$2:$Q$1001&lt;&gt;"")*ISNUMBER(SEARCH(실물목록!$Q$2:$Q$1001,I2539))*(실물목록!$R$2:$R$1001="")*(실물목록!$O$2:$O$1001&lt;&gt;"")*(실물목록!$O$2:$O$1001=H2539)))</f>
      </c>
      <c r="H2539" t="str">
        <f>IFERROR(IF(AND(LEN(SUBSTITUTE(SUBSTITUTE(SUBSTITUTE(TRIM(A2539&amp;""),CHAR(160),"")," ",""),"년",""))=4,VALUE(SUBSTITUTE(SUBSTITUTE(SUBSTITUTE(TRIM(A2539&amp;""),CHAR(160),"")," ",""),"년",""))&gt;=1900,VALUE(SUBSTITUTE(SUBSTITUTE(SUBSTITUTE(TRIM(A2539&amp;""),CHAR(160),"")," ",""),"년",""))&lt;=2099,TEXT(VALUE(SUBSTITUTE(SUBSTITUTE(SUBSTITUTE(TRIM(A2539&amp;""),CHAR(160),"")," ",""),"년","")),"0000")=SUBSTITUTE(SUBSTITUTE(SUBSTITUTE(TRIM(A2539&amp;""),CHAR(160),"")," ",""),"년","")),SUBSTITUTE(SUBSTITUTE(SUBSTITUTE(TRIM(A2539&amp;""),CHAR(160),"")," ",""),"년",""),""),"")</f>
      </c>
      <c r="I2539" t="str">
        <f>SUBSTITUTE(SUBSTITUTE(SUBSTITUTE(SUBSTITUTE(SUBSTITUTE(TRIM(B2539&amp;""),CHAR(160),"")," ",""),"초등학교","초"),"중학교","중"),"고등학교","고")</f>
      </c>
    </row>
    <row r="2540" customFormat="false" ht="15" hidden="false" customHeight="false" outlineLevel="0" collapsed="false">
      <c r="A2540" s="8"/>
      <c r="B2540" s="8"/>
      <c r="C2540" s="8"/>
      <c r="D2540" s="8"/>
      <c r="E2540" s="8"/>
      <c r="F2540" t="str" s="15">
        <f aca="0">IF(B2540="","",IF(H2540="","확인필요(입력누락)",IF(SUMPRODUCT((실물목록!$P$2:$P$1001&lt;&gt;"")*ISNUMBER(SEARCH(실물목록!$P$2:$P$1001,I2540))*(실물목록!$Q$2:$Q$1001&lt;&gt;"")*ISNUMBER(SEARCH(실물목록!$Q$2:$Q$1001,I2540))*(실물목록!$R$2:$R$1001="")*(실물목록!$O$2:$O$1001&lt;&gt;"")*(실물목록!$O$2:$O$1001=H2540))&gt;0,"실물 있음",IF(SUMPRODUCT((실물목록!$P$2:$P$1001&lt;&gt;"")*ISNUMBER(SEARCH(실물목록!$P$2:$P$1001,I2540))*(실물목록!$R$2:$R$1001&lt;&gt;""))&gt;0,"확인필요(입력누락)",IF(SUMPRODUCT((실물목록!$P$2:$P$1001&lt;&gt;"")*ISNUMBER(SEARCH(실물목록!$P$2:$P$1001,I2540))*(실물목록!$Q$2:$Q$1001&lt;&gt;"")*ISNUMBER(SEARCH(실물목록!$Q$2:$Q$1001,I2540))*(실물목록!$R$2:$R$1001="")*(실물목록!$O$2:$O$1001&lt;&gt;""))&gt;0,"확인필요(연도다름)","실물 없음")))))</f>
      </c>
      <c r="G2540" t="n" s="16">
        <f aca="0">IF(B2540="","",SUMPRODUCT((실물목록!$P$2:$P$1001&lt;&gt;"")*ISNUMBER(SEARCH(실물목록!$P$2:$P$1001,I2540))*(실물목록!$Q$2:$Q$1001&lt;&gt;"")*ISNUMBER(SEARCH(실물목록!$Q$2:$Q$1001,I2540))*(실물목록!$R$2:$R$1001="")*(실물목록!$O$2:$O$1001&lt;&gt;"")*(실물목록!$O$2:$O$1001=H2540)))</f>
      </c>
      <c r="H2540" t="str">
        <f>IFERROR(IF(AND(LEN(SUBSTITUTE(SUBSTITUTE(SUBSTITUTE(TRIM(A2540&amp;""),CHAR(160),"")," ",""),"년",""))=4,VALUE(SUBSTITUTE(SUBSTITUTE(SUBSTITUTE(TRIM(A2540&amp;""),CHAR(160),"")," ",""),"년",""))&gt;=1900,VALUE(SUBSTITUTE(SUBSTITUTE(SUBSTITUTE(TRIM(A2540&amp;""),CHAR(160),"")," ",""),"년",""))&lt;=2099,TEXT(VALUE(SUBSTITUTE(SUBSTITUTE(SUBSTITUTE(TRIM(A2540&amp;""),CHAR(160),"")," ",""),"년","")),"0000")=SUBSTITUTE(SUBSTITUTE(SUBSTITUTE(TRIM(A2540&amp;""),CHAR(160),"")," ",""),"년","")),SUBSTITUTE(SUBSTITUTE(SUBSTITUTE(TRIM(A2540&amp;""),CHAR(160),"")," ",""),"년",""),""),"")</f>
      </c>
      <c r="I2540" t="str">
        <f>SUBSTITUTE(SUBSTITUTE(SUBSTITUTE(SUBSTITUTE(SUBSTITUTE(TRIM(B2540&amp;""),CHAR(160),"")," ",""),"초등학교","초"),"중학교","중"),"고등학교","고")</f>
      </c>
    </row>
    <row r="2541" customFormat="false" ht="15" hidden="false" customHeight="false" outlineLevel="0" collapsed="false">
      <c r="A2541" s="8"/>
      <c r="B2541" s="8"/>
      <c r="C2541" s="8"/>
      <c r="D2541" s="8"/>
      <c r="E2541" s="8"/>
      <c r="F2541" t="str" s="15">
        <f aca="0">IF(B2541="","",IF(H2541="","확인필요(입력누락)",IF(SUMPRODUCT((실물목록!$P$2:$P$1001&lt;&gt;"")*ISNUMBER(SEARCH(실물목록!$P$2:$P$1001,I2541))*(실물목록!$Q$2:$Q$1001&lt;&gt;"")*ISNUMBER(SEARCH(실물목록!$Q$2:$Q$1001,I2541))*(실물목록!$R$2:$R$1001="")*(실물목록!$O$2:$O$1001&lt;&gt;"")*(실물목록!$O$2:$O$1001=H2541))&gt;0,"실물 있음",IF(SUMPRODUCT((실물목록!$P$2:$P$1001&lt;&gt;"")*ISNUMBER(SEARCH(실물목록!$P$2:$P$1001,I2541))*(실물목록!$R$2:$R$1001&lt;&gt;""))&gt;0,"확인필요(입력누락)",IF(SUMPRODUCT((실물목록!$P$2:$P$1001&lt;&gt;"")*ISNUMBER(SEARCH(실물목록!$P$2:$P$1001,I2541))*(실물목록!$Q$2:$Q$1001&lt;&gt;"")*ISNUMBER(SEARCH(실물목록!$Q$2:$Q$1001,I2541))*(실물목록!$R$2:$R$1001="")*(실물목록!$O$2:$O$1001&lt;&gt;""))&gt;0,"확인필요(연도다름)","실물 없음")))))</f>
      </c>
      <c r="G2541" t="n" s="16">
        <f aca="0">IF(B2541="","",SUMPRODUCT((실물목록!$P$2:$P$1001&lt;&gt;"")*ISNUMBER(SEARCH(실물목록!$P$2:$P$1001,I2541))*(실물목록!$Q$2:$Q$1001&lt;&gt;"")*ISNUMBER(SEARCH(실물목록!$Q$2:$Q$1001,I2541))*(실물목록!$R$2:$R$1001="")*(실물목록!$O$2:$O$1001&lt;&gt;"")*(실물목록!$O$2:$O$1001=H2541)))</f>
      </c>
      <c r="H2541" t="str">
        <f>IFERROR(IF(AND(LEN(SUBSTITUTE(SUBSTITUTE(SUBSTITUTE(TRIM(A2541&amp;""),CHAR(160),"")," ",""),"년",""))=4,VALUE(SUBSTITUTE(SUBSTITUTE(SUBSTITUTE(TRIM(A2541&amp;""),CHAR(160),"")," ",""),"년",""))&gt;=1900,VALUE(SUBSTITUTE(SUBSTITUTE(SUBSTITUTE(TRIM(A2541&amp;""),CHAR(160),"")," ",""),"년",""))&lt;=2099,TEXT(VALUE(SUBSTITUTE(SUBSTITUTE(SUBSTITUTE(TRIM(A2541&amp;""),CHAR(160),"")," ",""),"년","")),"0000")=SUBSTITUTE(SUBSTITUTE(SUBSTITUTE(TRIM(A2541&amp;""),CHAR(160),"")," ",""),"년","")),SUBSTITUTE(SUBSTITUTE(SUBSTITUTE(TRIM(A2541&amp;""),CHAR(160),"")," ",""),"년",""),""),"")</f>
      </c>
      <c r="I2541" t="str">
        <f>SUBSTITUTE(SUBSTITUTE(SUBSTITUTE(SUBSTITUTE(SUBSTITUTE(TRIM(B2541&amp;""),CHAR(160),"")," ",""),"초등학교","초"),"중학교","중"),"고등학교","고")</f>
      </c>
    </row>
    <row r="2542" customFormat="false" ht="15" hidden="false" customHeight="false" outlineLevel="0" collapsed="false">
      <c r="A2542" s="8"/>
      <c r="B2542" s="8"/>
      <c r="C2542" s="8"/>
      <c r="D2542" s="8"/>
      <c r="E2542" s="8"/>
      <c r="F2542" t="str" s="15">
        <f aca="0">IF(B2542="","",IF(H2542="","확인필요(입력누락)",IF(SUMPRODUCT((실물목록!$P$2:$P$1001&lt;&gt;"")*ISNUMBER(SEARCH(실물목록!$P$2:$P$1001,I2542))*(실물목록!$Q$2:$Q$1001&lt;&gt;"")*ISNUMBER(SEARCH(실물목록!$Q$2:$Q$1001,I2542))*(실물목록!$R$2:$R$1001="")*(실물목록!$O$2:$O$1001&lt;&gt;"")*(실물목록!$O$2:$O$1001=H2542))&gt;0,"실물 있음",IF(SUMPRODUCT((실물목록!$P$2:$P$1001&lt;&gt;"")*ISNUMBER(SEARCH(실물목록!$P$2:$P$1001,I2542))*(실물목록!$R$2:$R$1001&lt;&gt;""))&gt;0,"확인필요(입력누락)",IF(SUMPRODUCT((실물목록!$P$2:$P$1001&lt;&gt;"")*ISNUMBER(SEARCH(실물목록!$P$2:$P$1001,I2542))*(실물목록!$Q$2:$Q$1001&lt;&gt;"")*ISNUMBER(SEARCH(실물목록!$Q$2:$Q$1001,I2542))*(실물목록!$R$2:$R$1001="")*(실물목록!$O$2:$O$1001&lt;&gt;""))&gt;0,"확인필요(연도다름)","실물 없음")))))</f>
      </c>
      <c r="G2542" t="n" s="16">
        <f aca="0">IF(B2542="","",SUMPRODUCT((실물목록!$P$2:$P$1001&lt;&gt;"")*ISNUMBER(SEARCH(실물목록!$P$2:$P$1001,I2542))*(실물목록!$Q$2:$Q$1001&lt;&gt;"")*ISNUMBER(SEARCH(실물목록!$Q$2:$Q$1001,I2542))*(실물목록!$R$2:$R$1001="")*(실물목록!$O$2:$O$1001&lt;&gt;"")*(실물목록!$O$2:$O$1001=H2542)))</f>
      </c>
      <c r="H2542" t="str">
        <f>IFERROR(IF(AND(LEN(SUBSTITUTE(SUBSTITUTE(SUBSTITUTE(TRIM(A2542&amp;""),CHAR(160),"")," ",""),"년",""))=4,VALUE(SUBSTITUTE(SUBSTITUTE(SUBSTITUTE(TRIM(A2542&amp;""),CHAR(160),"")," ",""),"년",""))&gt;=1900,VALUE(SUBSTITUTE(SUBSTITUTE(SUBSTITUTE(TRIM(A2542&amp;""),CHAR(160),"")," ",""),"년",""))&lt;=2099,TEXT(VALUE(SUBSTITUTE(SUBSTITUTE(SUBSTITUTE(TRIM(A2542&amp;""),CHAR(160),"")," ",""),"년","")),"0000")=SUBSTITUTE(SUBSTITUTE(SUBSTITUTE(TRIM(A2542&amp;""),CHAR(160),"")," ",""),"년","")),SUBSTITUTE(SUBSTITUTE(SUBSTITUTE(TRIM(A2542&amp;""),CHAR(160),"")," ",""),"년",""),""),"")</f>
      </c>
      <c r="I2542" t="str">
        <f>SUBSTITUTE(SUBSTITUTE(SUBSTITUTE(SUBSTITUTE(SUBSTITUTE(TRIM(B2542&amp;""),CHAR(160),"")," ",""),"초등학교","초"),"중학교","중"),"고등학교","고")</f>
      </c>
    </row>
    <row r="2543" customFormat="false" ht="15" hidden="false" customHeight="false" outlineLevel="0" collapsed="false">
      <c r="A2543" s="8"/>
      <c r="B2543" s="8"/>
      <c r="C2543" s="8"/>
      <c r="D2543" s="8"/>
      <c r="E2543" s="8"/>
      <c r="F2543" t="str" s="15">
        <f aca="0">IF(B2543="","",IF(H2543="","확인필요(입력누락)",IF(SUMPRODUCT((실물목록!$P$2:$P$1001&lt;&gt;"")*ISNUMBER(SEARCH(실물목록!$P$2:$P$1001,I2543))*(실물목록!$Q$2:$Q$1001&lt;&gt;"")*ISNUMBER(SEARCH(실물목록!$Q$2:$Q$1001,I2543))*(실물목록!$R$2:$R$1001="")*(실물목록!$O$2:$O$1001&lt;&gt;"")*(실물목록!$O$2:$O$1001=H2543))&gt;0,"실물 있음",IF(SUMPRODUCT((실물목록!$P$2:$P$1001&lt;&gt;"")*ISNUMBER(SEARCH(실물목록!$P$2:$P$1001,I2543))*(실물목록!$R$2:$R$1001&lt;&gt;""))&gt;0,"확인필요(입력누락)",IF(SUMPRODUCT((실물목록!$P$2:$P$1001&lt;&gt;"")*ISNUMBER(SEARCH(실물목록!$P$2:$P$1001,I2543))*(실물목록!$Q$2:$Q$1001&lt;&gt;"")*ISNUMBER(SEARCH(실물목록!$Q$2:$Q$1001,I2543))*(실물목록!$R$2:$R$1001="")*(실물목록!$O$2:$O$1001&lt;&gt;""))&gt;0,"확인필요(연도다름)","실물 없음")))))</f>
      </c>
      <c r="G2543" t="n" s="16">
        <f aca="0">IF(B2543="","",SUMPRODUCT((실물목록!$P$2:$P$1001&lt;&gt;"")*ISNUMBER(SEARCH(실물목록!$P$2:$P$1001,I2543))*(실물목록!$Q$2:$Q$1001&lt;&gt;"")*ISNUMBER(SEARCH(실물목록!$Q$2:$Q$1001,I2543))*(실물목록!$R$2:$R$1001="")*(실물목록!$O$2:$O$1001&lt;&gt;"")*(실물목록!$O$2:$O$1001=H2543)))</f>
      </c>
      <c r="H2543" t="str">
        <f>IFERROR(IF(AND(LEN(SUBSTITUTE(SUBSTITUTE(SUBSTITUTE(TRIM(A2543&amp;""),CHAR(160),"")," ",""),"년",""))=4,VALUE(SUBSTITUTE(SUBSTITUTE(SUBSTITUTE(TRIM(A2543&amp;""),CHAR(160),"")," ",""),"년",""))&gt;=1900,VALUE(SUBSTITUTE(SUBSTITUTE(SUBSTITUTE(TRIM(A2543&amp;""),CHAR(160),"")," ",""),"년",""))&lt;=2099,TEXT(VALUE(SUBSTITUTE(SUBSTITUTE(SUBSTITUTE(TRIM(A2543&amp;""),CHAR(160),"")," ",""),"년","")),"0000")=SUBSTITUTE(SUBSTITUTE(SUBSTITUTE(TRIM(A2543&amp;""),CHAR(160),"")," ",""),"년","")),SUBSTITUTE(SUBSTITUTE(SUBSTITUTE(TRIM(A2543&amp;""),CHAR(160),"")," ",""),"년",""),""),"")</f>
      </c>
      <c r="I2543" t="str">
        <f>SUBSTITUTE(SUBSTITUTE(SUBSTITUTE(SUBSTITUTE(SUBSTITUTE(TRIM(B2543&amp;""),CHAR(160),"")," ",""),"초등학교","초"),"중학교","중"),"고등학교","고")</f>
      </c>
    </row>
    <row r="2544" customFormat="false" ht="15" hidden="false" customHeight="false" outlineLevel="0" collapsed="false">
      <c r="A2544" s="8"/>
      <c r="B2544" s="8"/>
      <c r="C2544" s="8"/>
      <c r="D2544" s="8"/>
      <c r="E2544" s="8"/>
      <c r="F2544" t="str" s="15">
        <f aca="0">IF(B2544="","",IF(H2544="","확인필요(입력누락)",IF(SUMPRODUCT((실물목록!$P$2:$P$1001&lt;&gt;"")*ISNUMBER(SEARCH(실물목록!$P$2:$P$1001,I2544))*(실물목록!$Q$2:$Q$1001&lt;&gt;"")*ISNUMBER(SEARCH(실물목록!$Q$2:$Q$1001,I2544))*(실물목록!$R$2:$R$1001="")*(실물목록!$O$2:$O$1001&lt;&gt;"")*(실물목록!$O$2:$O$1001=H2544))&gt;0,"실물 있음",IF(SUMPRODUCT((실물목록!$P$2:$P$1001&lt;&gt;"")*ISNUMBER(SEARCH(실물목록!$P$2:$P$1001,I2544))*(실물목록!$R$2:$R$1001&lt;&gt;""))&gt;0,"확인필요(입력누락)",IF(SUMPRODUCT((실물목록!$P$2:$P$1001&lt;&gt;"")*ISNUMBER(SEARCH(실물목록!$P$2:$P$1001,I2544))*(실물목록!$Q$2:$Q$1001&lt;&gt;"")*ISNUMBER(SEARCH(실물목록!$Q$2:$Q$1001,I2544))*(실물목록!$R$2:$R$1001="")*(실물목록!$O$2:$O$1001&lt;&gt;""))&gt;0,"확인필요(연도다름)","실물 없음")))))</f>
      </c>
      <c r="G2544" t="n" s="16">
        <f aca="0">IF(B2544="","",SUMPRODUCT((실물목록!$P$2:$P$1001&lt;&gt;"")*ISNUMBER(SEARCH(실물목록!$P$2:$P$1001,I2544))*(실물목록!$Q$2:$Q$1001&lt;&gt;"")*ISNUMBER(SEARCH(실물목록!$Q$2:$Q$1001,I2544))*(실물목록!$R$2:$R$1001="")*(실물목록!$O$2:$O$1001&lt;&gt;"")*(실물목록!$O$2:$O$1001=H2544)))</f>
      </c>
      <c r="H2544" t="str">
        <f>IFERROR(IF(AND(LEN(SUBSTITUTE(SUBSTITUTE(SUBSTITUTE(TRIM(A2544&amp;""),CHAR(160),"")," ",""),"년",""))=4,VALUE(SUBSTITUTE(SUBSTITUTE(SUBSTITUTE(TRIM(A2544&amp;""),CHAR(160),"")," ",""),"년",""))&gt;=1900,VALUE(SUBSTITUTE(SUBSTITUTE(SUBSTITUTE(TRIM(A2544&amp;""),CHAR(160),"")," ",""),"년",""))&lt;=2099,TEXT(VALUE(SUBSTITUTE(SUBSTITUTE(SUBSTITUTE(TRIM(A2544&amp;""),CHAR(160),"")," ",""),"년","")),"0000")=SUBSTITUTE(SUBSTITUTE(SUBSTITUTE(TRIM(A2544&amp;""),CHAR(160),"")," ",""),"년","")),SUBSTITUTE(SUBSTITUTE(SUBSTITUTE(TRIM(A2544&amp;""),CHAR(160),"")," ",""),"년",""),""),"")</f>
      </c>
      <c r="I2544" t="str">
        <f>SUBSTITUTE(SUBSTITUTE(SUBSTITUTE(SUBSTITUTE(SUBSTITUTE(TRIM(B2544&amp;""),CHAR(160),"")," ",""),"초등학교","초"),"중학교","중"),"고등학교","고")</f>
      </c>
    </row>
    <row r="2545" customFormat="false" ht="15" hidden="false" customHeight="false" outlineLevel="0" collapsed="false">
      <c r="A2545" s="8"/>
      <c r="B2545" s="8"/>
      <c r="C2545" s="8"/>
      <c r="D2545" s="8"/>
      <c r="E2545" s="8"/>
      <c r="F2545" t="str" s="15">
        <f aca="0">IF(B2545="","",IF(H2545="","확인필요(입력누락)",IF(SUMPRODUCT((실물목록!$P$2:$P$1001&lt;&gt;"")*ISNUMBER(SEARCH(실물목록!$P$2:$P$1001,I2545))*(실물목록!$Q$2:$Q$1001&lt;&gt;"")*ISNUMBER(SEARCH(실물목록!$Q$2:$Q$1001,I2545))*(실물목록!$R$2:$R$1001="")*(실물목록!$O$2:$O$1001&lt;&gt;"")*(실물목록!$O$2:$O$1001=H2545))&gt;0,"실물 있음",IF(SUMPRODUCT((실물목록!$P$2:$P$1001&lt;&gt;"")*ISNUMBER(SEARCH(실물목록!$P$2:$P$1001,I2545))*(실물목록!$R$2:$R$1001&lt;&gt;""))&gt;0,"확인필요(입력누락)",IF(SUMPRODUCT((실물목록!$P$2:$P$1001&lt;&gt;"")*ISNUMBER(SEARCH(실물목록!$P$2:$P$1001,I2545))*(실물목록!$Q$2:$Q$1001&lt;&gt;"")*ISNUMBER(SEARCH(실물목록!$Q$2:$Q$1001,I2545))*(실물목록!$R$2:$R$1001="")*(실물목록!$O$2:$O$1001&lt;&gt;""))&gt;0,"확인필요(연도다름)","실물 없음")))))</f>
      </c>
      <c r="G2545" t="n" s="16">
        <f aca="0">IF(B2545="","",SUMPRODUCT((실물목록!$P$2:$P$1001&lt;&gt;"")*ISNUMBER(SEARCH(실물목록!$P$2:$P$1001,I2545))*(실물목록!$Q$2:$Q$1001&lt;&gt;"")*ISNUMBER(SEARCH(실물목록!$Q$2:$Q$1001,I2545))*(실물목록!$R$2:$R$1001="")*(실물목록!$O$2:$O$1001&lt;&gt;"")*(실물목록!$O$2:$O$1001=H2545)))</f>
      </c>
      <c r="H2545" t="str">
        <f>IFERROR(IF(AND(LEN(SUBSTITUTE(SUBSTITUTE(SUBSTITUTE(TRIM(A2545&amp;""),CHAR(160),"")," ",""),"년",""))=4,VALUE(SUBSTITUTE(SUBSTITUTE(SUBSTITUTE(TRIM(A2545&amp;""),CHAR(160),"")," ",""),"년",""))&gt;=1900,VALUE(SUBSTITUTE(SUBSTITUTE(SUBSTITUTE(TRIM(A2545&amp;""),CHAR(160),"")," ",""),"년",""))&lt;=2099,TEXT(VALUE(SUBSTITUTE(SUBSTITUTE(SUBSTITUTE(TRIM(A2545&amp;""),CHAR(160),"")," ",""),"년","")),"0000")=SUBSTITUTE(SUBSTITUTE(SUBSTITUTE(TRIM(A2545&amp;""),CHAR(160),"")," ",""),"년","")),SUBSTITUTE(SUBSTITUTE(SUBSTITUTE(TRIM(A2545&amp;""),CHAR(160),"")," ",""),"년",""),""),"")</f>
      </c>
      <c r="I2545" t="str">
        <f>SUBSTITUTE(SUBSTITUTE(SUBSTITUTE(SUBSTITUTE(SUBSTITUTE(TRIM(B2545&amp;""),CHAR(160),"")," ",""),"초등학교","초"),"중학교","중"),"고등학교","고")</f>
      </c>
    </row>
    <row r="2546" customFormat="false" ht="15" hidden="false" customHeight="false" outlineLevel="0" collapsed="false">
      <c r="A2546" s="8"/>
      <c r="B2546" s="8"/>
      <c r="C2546" s="8"/>
      <c r="D2546" s="8"/>
      <c r="E2546" s="8"/>
      <c r="F2546" t="str" s="15">
        <f aca="0">IF(B2546="","",IF(H2546="","확인필요(입력누락)",IF(SUMPRODUCT((실물목록!$P$2:$P$1001&lt;&gt;"")*ISNUMBER(SEARCH(실물목록!$P$2:$P$1001,I2546))*(실물목록!$Q$2:$Q$1001&lt;&gt;"")*ISNUMBER(SEARCH(실물목록!$Q$2:$Q$1001,I2546))*(실물목록!$R$2:$R$1001="")*(실물목록!$O$2:$O$1001&lt;&gt;"")*(실물목록!$O$2:$O$1001=H2546))&gt;0,"실물 있음",IF(SUMPRODUCT((실물목록!$P$2:$P$1001&lt;&gt;"")*ISNUMBER(SEARCH(실물목록!$P$2:$P$1001,I2546))*(실물목록!$R$2:$R$1001&lt;&gt;""))&gt;0,"확인필요(입력누락)",IF(SUMPRODUCT((실물목록!$P$2:$P$1001&lt;&gt;"")*ISNUMBER(SEARCH(실물목록!$P$2:$P$1001,I2546))*(실물목록!$Q$2:$Q$1001&lt;&gt;"")*ISNUMBER(SEARCH(실물목록!$Q$2:$Q$1001,I2546))*(실물목록!$R$2:$R$1001="")*(실물목록!$O$2:$O$1001&lt;&gt;""))&gt;0,"확인필요(연도다름)","실물 없음")))))</f>
      </c>
      <c r="G2546" t="n" s="16">
        <f aca="0">IF(B2546="","",SUMPRODUCT((실물목록!$P$2:$P$1001&lt;&gt;"")*ISNUMBER(SEARCH(실물목록!$P$2:$P$1001,I2546))*(실물목록!$Q$2:$Q$1001&lt;&gt;"")*ISNUMBER(SEARCH(실물목록!$Q$2:$Q$1001,I2546))*(실물목록!$R$2:$R$1001="")*(실물목록!$O$2:$O$1001&lt;&gt;"")*(실물목록!$O$2:$O$1001=H2546)))</f>
      </c>
      <c r="H2546" t="str">
        <f>IFERROR(IF(AND(LEN(SUBSTITUTE(SUBSTITUTE(SUBSTITUTE(TRIM(A2546&amp;""),CHAR(160),"")," ",""),"년",""))=4,VALUE(SUBSTITUTE(SUBSTITUTE(SUBSTITUTE(TRIM(A2546&amp;""),CHAR(160),"")," ",""),"년",""))&gt;=1900,VALUE(SUBSTITUTE(SUBSTITUTE(SUBSTITUTE(TRIM(A2546&amp;""),CHAR(160),"")," ",""),"년",""))&lt;=2099,TEXT(VALUE(SUBSTITUTE(SUBSTITUTE(SUBSTITUTE(TRIM(A2546&amp;""),CHAR(160),"")," ",""),"년","")),"0000")=SUBSTITUTE(SUBSTITUTE(SUBSTITUTE(TRIM(A2546&amp;""),CHAR(160),"")," ",""),"년","")),SUBSTITUTE(SUBSTITUTE(SUBSTITUTE(TRIM(A2546&amp;""),CHAR(160),"")," ",""),"년",""),""),"")</f>
      </c>
      <c r="I2546" t="str">
        <f>SUBSTITUTE(SUBSTITUTE(SUBSTITUTE(SUBSTITUTE(SUBSTITUTE(TRIM(B2546&amp;""),CHAR(160),"")," ",""),"초등학교","초"),"중학교","중"),"고등학교","고")</f>
      </c>
    </row>
    <row r="2547" customFormat="false" ht="15" hidden="false" customHeight="false" outlineLevel="0" collapsed="false">
      <c r="A2547" s="8"/>
      <c r="B2547" s="8"/>
      <c r="C2547" s="8"/>
      <c r="D2547" s="8"/>
      <c r="E2547" s="8"/>
      <c r="F2547" t="str" s="15">
        <f aca="0">IF(B2547="","",IF(H2547="","확인필요(입력누락)",IF(SUMPRODUCT((실물목록!$P$2:$P$1001&lt;&gt;"")*ISNUMBER(SEARCH(실물목록!$P$2:$P$1001,I2547))*(실물목록!$Q$2:$Q$1001&lt;&gt;"")*ISNUMBER(SEARCH(실물목록!$Q$2:$Q$1001,I2547))*(실물목록!$R$2:$R$1001="")*(실물목록!$O$2:$O$1001&lt;&gt;"")*(실물목록!$O$2:$O$1001=H2547))&gt;0,"실물 있음",IF(SUMPRODUCT((실물목록!$P$2:$P$1001&lt;&gt;"")*ISNUMBER(SEARCH(실물목록!$P$2:$P$1001,I2547))*(실물목록!$R$2:$R$1001&lt;&gt;""))&gt;0,"확인필요(입력누락)",IF(SUMPRODUCT((실물목록!$P$2:$P$1001&lt;&gt;"")*ISNUMBER(SEARCH(실물목록!$P$2:$P$1001,I2547))*(실물목록!$Q$2:$Q$1001&lt;&gt;"")*ISNUMBER(SEARCH(실물목록!$Q$2:$Q$1001,I2547))*(실물목록!$R$2:$R$1001="")*(실물목록!$O$2:$O$1001&lt;&gt;""))&gt;0,"확인필요(연도다름)","실물 없음")))))</f>
      </c>
      <c r="G2547" t="n" s="16">
        <f aca="0">IF(B2547="","",SUMPRODUCT((실물목록!$P$2:$P$1001&lt;&gt;"")*ISNUMBER(SEARCH(실물목록!$P$2:$P$1001,I2547))*(실물목록!$Q$2:$Q$1001&lt;&gt;"")*ISNUMBER(SEARCH(실물목록!$Q$2:$Q$1001,I2547))*(실물목록!$R$2:$R$1001="")*(실물목록!$O$2:$O$1001&lt;&gt;"")*(실물목록!$O$2:$O$1001=H2547)))</f>
      </c>
      <c r="H2547" t="str">
        <f>IFERROR(IF(AND(LEN(SUBSTITUTE(SUBSTITUTE(SUBSTITUTE(TRIM(A2547&amp;""),CHAR(160),"")," ",""),"년",""))=4,VALUE(SUBSTITUTE(SUBSTITUTE(SUBSTITUTE(TRIM(A2547&amp;""),CHAR(160),"")," ",""),"년",""))&gt;=1900,VALUE(SUBSTITUTE(SUBSTITUTE(SUBSTITUTE(TRIM(A2547&amp;""),CHAR(160),"")," ",""),"년",""))&lt;=2099,TEXT(VALUE(SUBSTITUTE(SUBSTITUTE(SUBSTITUTE(TRIM(A2547&amp;""),CHAR(160),"")," ",""),"년","")),"0000")=SUBSTITUTE(SUBSTITUTE(SUBSTITUTE(TRIM(A2547&amp;""),CHAR(160),"")," ",""),"년","")),SUBSTITUTE(SUBSTITUTE(SUBSTITUTE(TRIM(A2547&amp;""),CHAR(160),"")," ",""),"년",""),""),"")</f>
      </c>
      <c r="I2547" t="str">
        <f>SUBSTITUTE(SUBSTITUTE(SUBSTITUTE(SUBSTITUTE(SUBSTITUTE(TRIM(B2547&amp;""),CHAR(160),"")," ",""),"초등학교","초"),"중학교","중"),"고등학교","고")</f>
      </c>
    </row>
    <row r="2548" customFormat="false" ht="15" hidden="false" customHeight="false" outlineLevel="0" collapsed="false">
      <c r="A2548" s="8"/>
      <c r="B2548" s="8"/>
      <c r="C2548" s="8"/>
      <c r="D2548" s="8"/>
      <c r="E2548" s="8"/>
      <c r="F2548" t="str" s="15">
        <f aca="0">IF(B2548="","",IF(H2548="","확인필요(입력누락)",IF(SUMPRODUCT((실물목록!$P$2:$P$1001&lt;&gt;"")*ISNUMBER(SEARCH(실물목록!$P$2:$P$1001,I2548))*(실물목록!$Q$2:$Q$1001&lt;&gt;"")*ISNUMBER(SEARCH(실물목록!$Q$2:$Q$1001,I2548))*(실물목록!$R$2:$R$1001="")*(실물목록!$O$2:$O$1001&lt;&gt;"")*(실물목록!$O$2:$O$1001=H2548))&gt;0,"실물 있음",IF(SUMPRODUCT((실물목록!$P$2:$P$1001&lt;&gt;"")*ISNUMBER(SEARCH(실물목록!$P$2:$P$1001,I2548))*(실물목록!$R$2:$R$1001&lt;&gt;""))&gt;0,"확인필요(입력누락)",IF(SUMPRODUCT((실물목록!$P$2:$P$1001&lt;&gt;"")*ISNUMBER(SEARCH(실물목록!$P$2:$P$1001,I2548))*(실물목록!$Q$2:$Q$1001&lt;&gt;"")*ISNUMBER(SEARCH(실물목록!$Q$2:$Q$1001,I2548))*(실물목록!$R$2:$R$1001="")*(실물목록!$O$2:$O$1001&lt;&gt;""))&gt;0,"확인필요(연도다름)","실물 없음")))))</f>
      </c>
      <c r="G2548" t="n" s="16">
        <f aca="0">IF(B2548="","",SUMPRODUCT((실물목록!$P$2:$P$1001&lt;&gt;"")*ISNUMBER(SEARCH(실물목록!$P$2:$P$1001,I2548))*(실물목록!$Q$2:$Q$1001&lt;&gt;"")*ISNUMBER(SEARCH(실물목록!$Q$2:$Q$1001,I2548))*(실물목록!$R$2:$R$1001="")*(실물목록!$O$2:$O$1001&lt;&gt;"")*(실물목록!$O$2:$O$1001=H2548)))</f>
      </c>
      <c r="H2548" t="str">
        <f>IFERROR(IF(AND(LEN(SUBSTITUTE(SUBSTITUTE(SUBSTITUTE(TRIM(A2548&amp;""),CHAR(160),"")," ",""),"년",""))=4,VALUE(SUBSTITUTE(SUBSTITUTE(SUBSTITUTE(TRIM(A2548&amp;""),CHAR(160),"")," ",""),"년",""))&gt;=1900,VALUE(SUBSTITUTE(SUBSTITUTE(SUBSTITUTE(TRIM(A2548&amp;""),CHAR(160),"")," ",""),"년",""))&lt;=2099,TEXT(VALUE(SUBSTITUTE(SUBSTITUTE(SUBSTITUTE(TRIM(A2548&amp;""),CHAR(160),"")," ",""),"년","")),"0000")=SUBSTITUTE(SUBSTITUTE(SUBSTITUTE(TRIM(A2548&amp;""),CHAR(160),"")," ",""),"년","")),SUBSTITUTE(SUBSTITUTE(SUBSTITUTE(TRIM(A2548&amp;""),CHAR(160),"")," ",""),"년",""),""),"")</f>
      </c>
      <c r="I2548" t="str">
        <f>SUBSTITUTE(SUBSTITUTE(SUBSTITUTE(SUBSTITUTE(SUBSTITUTE(TRIM(B2548&amp;""),CHAR(160),"")," ",""),"초등학교","초"),"중학교","중"),"고등학교","고")</f>
      </c>
    </row>
    <row r="2549" customFormat="false" ht="15" hidden="false" customHeight="false" outlineLevel="0" collapsed="false">
      <c r="A2549" s="8"/>
      <c r="B2549" s="8"/>
      <c r="C2549" s="8"/>
      <c r="D2549" s="8"/>
      <c r="E2549" s="8"/>
      <c r="F2549" t="str" s="15">
        <f aca="0">IF(B2549="","",IF(H2549="","확인필요(입력누락)",IF(SUMPRODUCT((실물목록!$P$2:$P$1001&lt;&gt;"")*ISNUMBER(SEARCH(실물목록!$P$2:$P$1001,I2549))*(실물목록!$Q$2:$Q$1001&lt;&gt;"")*ISNUMBER(SEARCH(실물목록!$Q$2:$Q$1001,I2549))*(실물목록!$R$2:$R$1001="")*(실물목록!$O$2:$O$1001&lt;&gt;"")*(실물목록!$O$2:$O$1001=H2549))&gt;0,"실물 있음",IF(SUMPRODUCT((실물목록!$P$2:$P$1001&lt;&gt;"")*ISNUMBER(SEARCH(실물목록!$P$2:$P$1001,I2549))*(실물목록!$R$2:$R$1001&lt;&gt;""))&gt;0,"확인필요(입력누락)",IF(SUMPRODUCT((실물목록!$P$2:$P$1001&lt;&gt;"")*ISNUMBER(SEARCH(실물목록!$P$2:$P$1001,I2549))*(실물목록!$Q$2:$Q$1001&lt;&gt;"")*ISNUMBER(SEARCH(실물목록!$Q$2:$Q$1001,I2549))*(실물목록!$R$2:$R$1001="")*(실물목록!$O$2:$O$1001&lt;&gt;""))&gt;0,"확인필요(연도다름)","실물 없음")))))</f>
      </c>
      <c r="G2549" t="n" s="16">
        <f aca="0">IF(B2549="","",SUMPRODUCT((실물목록!$P$2:$P$1001&lt;&gt;"")*ISNUMBER(SEARCH(실물목록!$P$2:$P$1001,I2549))*(실물목록!$Q$2:$Q$1001&lt;&gt;"")*ISNUMBER(SEARCH(실물목록!$Q$2:$Q$1001,I2549))*(실물목록!$R$2:$R$1001="")*(실물목록!$O$2:$O$1001&lt;&gt;"")*(실물목록!$O$2:$O$1001=H2549)))</f>
      </c>
      <c r="H2549" t="str">
        <f>IFERROR(IF(AND(LEN(SUBSTITUTE(SUBSTITUTE(SUBSTITUTE(TRIM(A2549&amp;""),CHAR(160),"")," ",""),"년",""))=4,VALUE(SUBSTITUTE(SUBSTITUTE(SUBSTITUTE(TRIM(A2549&amp;""),CHAR(160),"")," ",""),"년",""))&gt;=1900,VALUE(SUBSTITUTE(SUBSTITUTE(SUBSTITUTE(TRIM(A2549&amp;""),CHAR(160),"")," ",""),"년",""))&lt;=2099,TEXT(VALUE(SUBSTITUTE(SUBSTITUTE(SUBSTITUTE(TRIM(A2549&amp;""),CHAR(160),"")," ",""),"년","")),"0000")=SUBSTITUTE(SUBSTITUTE(SUBSTITUTE(TRIM(A2549&amp;""),CHAR(160),"")," ",""),"년","")),SUBSTITUTE(SUBSTITUTE(SUBSTITUTE(TRIM(A2549&amp;""),CHAR(160),"")," ",""),"년",""),""),"")</f>
      </c>
      <c r="I2549" t="str">
        <f>SUBSTITUTE(SUBSTITUTE(SUBSTITUTE(SUBSTITUTE(SUBSTITUTE(TRIM(B2549&amp;""),CHAR(160),"")," ",""),"초등학교","초"),"중학교","중"),"고등학교","고")</f>
      </c>
    </row>
    <row r="2550" customFormat="false" ht="15" hidden="false" customHeight="false" outlineLevel="0" collapsed="false">
      <c r="A2550" s="8"/>
      <c r="B2550" s="8"/>
      <c r="C2550" s="8"/>
      <c r="D2550" s="8"/>
      <c r="E2550" s="8"/>
      <c r="F2550" t="str" s="15">
        <f aca="0">IF(B2550="","",IF(H2550="","확인필요(입력누락)",IF(SUMPRODUCT((실물목록!$P$2:$P$1001&lt;&gt;"")*ISNUMBER(SEARCH(실물목록!$P$2:$P$1001,I2550))*(실물목록!$Q$2:$Q$1001&lt;&gt;"")*ISNUMBER(SEARCH(실물목록!$Q$2:$Q$1001,I2550))*(실물목록!$R$2:$R$1001="")*(실물목록!$O$2:$O$1001&lt;&gt;"")*(실물목록!$O$2:$O$1001=H2550))&gt;0,"실물 있음",IF(SUMPRODUCT((실물목록!$P$2:$P$1001&lt;&gt;"")*ISNUMBER(SEARCH(실물목록!$P$2:$P$1001,I2550))*(실물목록!$R$2:$R$1001&lt;&gt;""))&gt;0,"확인필요(입력누락)",IF(SUMPRODUCT((실물목록!$P$2:$P$1001&lt;&gt;"")*ISNUMBER(SEARCH(실물목록!$P$2:$P$1001,I2550))*(실물목록!$Q$2:$Q$1001&lt;&gt;"")*ISNUMBER(SEARCH(실물목록!$Q$2:$Q$1001,I2550))*(실물목록!$R$2:$R$1001="")*(실물목록!$O$2:$O$1001&lt;&gt;""))&gt;0,"확인필요(연도다름)","실물 없음")))))</f>
      </c>
      <c r="G2550" t="n" s="16">
        <f aca="0">IF(B2550="","",SUMPRODUCT((실물목록!$P$2:$P$1001&lt;&gt;"")*ISNUMBER(SEARCH(실물목록!$P$2:$P$1001,I2550))*(실물목록!$Q$2:$Q$1001&lt;&gt;"")*ISNUMBER(SEARCH(실물목록!$Q$2:$Q$1001,I2550))*(실물목록!$R$2:$R$1001="")*(실물목록!$O$2:$O$1001&lt;&gt;"")*(실물목록!$O$2:$O$1001=H2550)))</f>
      </c>
      <c r="H2550" t="str">
        <f>IFERROR(IF(AND(LEN(SUBSTITUTE(SUBSTITUTE(SUBSTITUTE(TRIM(A2550&amp;""),CHAR(160),"")," ",""),"년",""))=4,VALUE(SUBSTITUTE(SUBSTITUTE(SUBSTITUTE(TRIM(A2550&amp;""),CHAR(160),"")," ",""),"년",""))&gt;=1900,VALUE(SUBSTITUTE(SUBSTITUTE(SUBSTITUTE(TRIM(A2550&amp;""),CHAR(160),"")," ",""),"년",""))&lt;=2099,TEXT(VALUE(SUBSTITUTE(SUBSTITUTE(SUBSTITUTE(TRIM(A2550&amp;""),CHAR(160),"")," ",""),"년","")),"0000")=SUBSTITUTE(SUBSTITUTE(SUBSTITUTE(TRIM(A2550&amp;""),CHAR(160),"")," ",""),"년","")),SUBSTITUTE(SUBSTITUTE(SUBSTITUTE(TRIM(A2550&amp;""),CHAR(160),"")," ",""),"년",""),""),"")</f>
      </c>
      <c r="I2550" t="str">
        <f>SUBSTITUTE(SUBSTITUTE(SUBSTITUTE(SUBSTITUTE(SUBSTITUTE(TRIM(B2550&amp;""),CHAR(160),"")," ",""),"초등학교","초"),"중학교","중"),"고등학교","고")</f>
      </c>
    </row>
    <row r="2551" customFormat="false" ht="15" hidden="false" customHeight="false" outlineLevel="0" collapsed="false">
      <c r="A2551" s="8"/>
      <c r="B2551" s="8"/>
      <c r="C2551" s="8"/>
      <c r="D2551" s="8"/>
      <c r="E2551" s="8"/>
      <c r="F2551" t="str" s="15">
        <f aca="0">IF(B2551="","",IF(H2551="","확인필요(입력누락)",IF(SUMPRODUCT((실물목록!$P$2:$P$1001&lt;&gt;"")*ISNUMBER(SEARCH(실물목록!$P$2:$P$1001,I2551))*(실물목록!$Q$2:$Q$1001&lt;&gt;"")*ISNUMBER(SEARCH(실물목록!$Q$2:$Q$1001,I2551))*(실물목록!$R$2:$R$1001="")*(실물목록!$O$2:$O$1001&lt;&gt;"")*(실물목록!$O$2:$O$1001=H2551))&gt;0,"실물 있음",IF(SUMPRODUCT((실물목록!$P$2:$P$1001&lt;&gt;"")*ISNUMBER(SEARCH(실물목록!$P$2:$P$1001,I2551))*(실물목록!$R$2:$R$1001&lt;&gt;""))&gt;0,"확인필요(입력누락)",IF(SUMPRODUCT((실물목록!$P$2:$P$1001&lt;&gt;"")*ISNUMBER(SEARCH(실물목록!$P$2:$P$1001,I2551))*(실물목록!$Q$2:$Q$1001&lt;&gt;"")*ISNUMBER(SEARCH(실물목록!$Q$2:$Q$1001,I2551))*(실물목록!$R$2:$R$1001="")*(실물목록!$O$2:$O$1001&lt;&gt;""))&gt;0,"확인필요(연도다름)","실물 없음")))))</f>
      </c>
      <c r="G2551" t="n" s="16">
        <f aca="0">IF(B2551="","",SUMPRODUCT((실물목록!$P$2:$P$1001&lt;&gt;"")*ISNUMBER(SEARCH(실물목록!$P$2:$P$1001,I2551))*(실물목록!$Q$2:$Q$1001&lt;&gt;"")*ISNUMBER(SEARCH(실물목록!$Q$2:$Q$1001,I2551))*(실물목록!$R$2:$R$1001="")*(실물목록!$O$2:$O$1001&lt;&gt;"")*(실물목록!$O$2:$O$1001=H2551)))</f>
      </c>
      <c r="H2551" t="str">
        <f>IFERROR(IF(AND(LEN(SUBSTITUTE(SUBSTITUTE(SUBSTITUTE(TRIM(A2551&amp;""),CHAR(160),"")," ",""),"년",""))=4,VALUE(SUBSTITUTE(SUBSTITUTE(SUBSTITUTE(TRIM(A2551&amp;""),CHAR(160),"")," ",""),"년",""))&gt;=1900,VALUE(SUBSTITUTE(SUBSTITUTE(SUBSTITUTE(TRIM(A2551&amp;""),CHAR(160),"")," ",""),"년",""))&lt;=2099,TEXT(VALUE(SUBSTITUTE(SUBSTITUTE(SUBSTITUTE(TRIM(A2551&amp;""),CHAR(160),"")," ",""),"년","")),"0000")=SUBSTITUTE(SUBSTITUTE(SUBSTITUTE(TRIM(A2551&amp;""),CHAR(160),"")," ",""),"년","")),SUBSTITUTE(SUBSTITUTE(SUBSTITUTE(TRIM(A2551&amp;""),CHAR(160),"")," ",""),"년",""),""),"")</f>
      </c>
      <c r="I2551" t="str">
        <f>SUBSTITUTE(SUBSTITUTE(SUBSTITUTE(SUBSTITUTE(SUBSTITUTE(TRIM(B2551&amp;""),CHAR(160),"")," ",""),"초등학교","초"),"중학교","중"),"고등학교","고")</f>
      </c>
    </row>
    <row r="2552" customFormat="false" ht="15" hidden="false" customHeight="false" outlineLevel="0" collapsed="false">
      <c r="A2552" s="8"/>
      <c r="B2552" s="8"/>
      <c r="C2552" s="8"/>
      <c r="D2552" s="8"/>
      <c r="E2552" s="8"/>
      <c r="F2552" t="str" s="15">
        <f aca="0">IF(B2552="","",IF(H2552="","확인필요(입력누락)",IF(SUMPRODUCT((실물목록!$P$2:$P$1001&lt;&gt;"")*ISNUMBER(SEARCH(실물목록!$P$2:$P$1001,I2552))*(실물목록!$Q$2:$Q$1001&lt;&gt;"")*ISNUMBER(SEARCH(실물목록!$Q$2:$Q$1001,I2552))*(실물목록!$R$2:$R$1001="")*(실물목록!$O$2:$O$1001&lt;&gt;"")*(실물목록!$O$2:$O$1001=H2552))&gt;0,"실물 있음",IF(SUMPRODUCT((실물목록!$P$2:$P$1001&lt;&gt;"")*ISNUMBER(SEARCH(실물목록!$P$2:$P$1001,I2552))*(실물목록!$R$2:$R$1001&lt;&gt;""))&gt;0,"확인필요(입력누락)",IF(SUMPRODUCT((실물목록!$P$2:$P$1001&lt;&gt;"")*ISNUMBER(SEARCH(실물목록!$P$2:$P$1001,I2552))*(실물목록!$Q$2:$Q$1001&lt;&gt;"")*ISNUMBER(SEARCH(실물목록!$Q$2:$Q$1001,I2552))*(실물목록!$R$2:$R$1001="")*(실물목록!$O$2:$O$1001&lt;&gt;""))&gt;0,"확인필요(연도다름)","실물 없음")))))</f>
      </c>
      <c r="G2552" t="n" s="16">
        <f aca="0">IF(B2552="","",SUMPRODUCT((실물목록!$P$2:$P$1001&lt;&gt;"")*ISNUMBER(SEARCH(실물목록!$P$2:$P$1001,I2552))*(실물목록!$Q$2:$Q$1001&lt;&gt;"")*ISNUMBER(SEARCH(실물목록!$Q$2:$Q$1001,I2552))*(실물목록!$R$2:$R$1001="")*(실물목록!$O$2:$O$1001&lt;&gt;"")*(실물목록!$O$2:$O$1001=H2552)))</f>
      </c>
      <c r="H2552" t="str">
        <f>IFERROR(IF(AND(LEN(SUBSTITUTE(SUBSTITUTE(SUBSTITUTE(TRIM(A2552&amp;""),CHAR(160),"")," ",""),"년",""))=4,VALUE(SUBSTITUTE(SUBSTITUTE(SUBSTITUTE(TRIM(A2552&amp;""),CHAR(160),"")," ",""),"년",""))&gt;=1900,VALUE(SUBSTITUTE(SUBSTITUTE(SUBSTITUTE(TRIM(A2552&amp;""),CHAR(160),"")," ",""),"년",""))&lt;=2099,TEXT(VALUE(SUBSTITUTE(SUBSTITUTE(SUBSTITUTE(TRIM(A2552&amp;""),CHAR(160),"")," ",""),"년","")),"0000")=SUBSTITUTE(SUBSTITUTE(SUBSTITUTE(TRIM(A2552&amp;""),CHAR(160),"")," ",""),"년","")),SUBSTITUTE(SUBSTITUTE(SUBSTITUTE(TRIM(A2552&amp;""),CHAR(160),"")," ",""),"년",""),""),"")</f>
      </c>
      <c r="I2552" t="str">
        <f>SUBSTITUTE(SUBSTITUTE(SUBSTITUTE(SUBSTITUTE(SUBSTITUTE(TRIM(B2552&amp;""),CHAR(160),"")," ",""),"초등학교","초"),"중학교","중"),"고등학교","고")</f>
      </c>
    </row>
    <row r="2553" customFormat="false" ht="15" hidden="false" customHeight="false" outlineLevel="0" collapsed="false">
      <c r="A2553" s="8"/>
      <c r="B2553" s="8"/>
      <c r="C2553" s="8"/>
      <c r="D2553" s="8"/>
      <c r="E2553" s="8"/>
      <c r="F2553" t="str" s="15">
        <f aca="0">IF(B2553="","",IF(H2553="","확인필요(입력누락)",IF(SUMPRODUCT((실물목록!$P$2:$P$1001&lt;&gt;"")*ISNUMBER(SEARCH(실물목록!$P$2:$P$1001,I2553))*(실물목록!$Q$2:$Q$1001&lt;&gt;"")*ISNUMBER(SEARCH(실물목록!$Q$2:$Q$1001,I2553))*(실물목록!$R$2:$R$1001="")*(실물목록!$O$2:$O$1001&lt;&gt;"")*(실물목록!$O$2:$O$1001=H2553))&gt;0,"실물 있음",IF(SUMPRODUCT((실물목록!$P$2:$P$1001&lt;&gt;"")*ISNUMBER(SEARCH(실물목록!$P$2:$P$1001,I2553))*(실물목록!$R$2:$R$1001&lt;&gt;""))&gt;0,"확인필요(입력누락)",IF(SUMPRODUCT((실물목록!$P$2:$P$1001&lt;&gt;"")*ISNUMBER(SEARCH(실물목록!$P$2:$P$1001,I2553))*(실물목록!$Q$2:$Q$1001&lt;&gt;"")*ISNUMBER(SEARCH(실물목록!$Q$2:$Q$1001,I2553))*(실물목록!$R$2:$R$1001="")*(실물목록!$O$2:$O$1001&lt;&gt;""))&gt;0,"확인필요(연도다름)","실물 없음")))))</f>
      </c>
      <c r="G2553" t="n" s="16">
        <f aca="0">IF(B2553="","",SUMPRODUCT((실물목록!$P$2:$P$1001&lt;&gt;"")*ISNUMBER(SEARCH(실물목록!$P$2:$P$1001,I2553))*(실물목록!$Q$2:$Q$1001&lt;&gt;"")*ISNUMBER(SEARCH(실물목록!$Q$2:$Q$1001,I2553))*(실물목록!$R$2:$R$1001="")*(실물목록!$O$2:$O$1001&lt;&gt;"")*(실물목록!$O$2:$O$1001=H2553)))</f>
      </c>
      <c r="H2553" t="str">
        <f>IFERROR(IF(AND(LEN(SUBSTITUTE(SUBSTITUTE(SUBSTITUTE(TRIM(A2553&amp;""),CHAR(160),"")," ",""),"년",""))=4,VALUE(SUBSTITUTE(SUBSTITUTE(SUBSTITUTE(TRIM(A2553&amp;""),CHAR(160),"")," ",""),"년",""))&gt;=1900,VALUE(SUBSTITUTE(SUBSTITUTE(SUBSTITUTE(TRIM(A2553&amp;""),CHAR(160),"")," ",""),"년",""))&lt;=2099,TEXT(VALUE(SUBSTITUTE(SUBSTITUTE(SUBSTITUTE(TRIM(A2553&amp;""),CHAR(160),"")," ",""),"년","")),"0000")=SUBSTITUTE(SUBSTITUTE(SUBSTITUTE(TRIM(A2553&amp;""),CHAR(160),"")," ",""),"년","")),SUBSTITUTE(SUBSTITUTE(SUBSTITUTE(TRIM(A2553&amp;""),CHAR(160),"")," ",""),"년",""),""),"")</f>
      </c>
      <c r="I2553" t="str">
        <f>SUBSTITUTE(SUBSTITUTE(SUBSTITUTE(SUBSTITUTE(SUBSTITUTE(TRIM(B2553&amp;""),CHAR(160),"")," ",""),"초등학교","초"),"중학교","중"),"고등학교","고")</f>
      </c>
    </row>
    <row r="2554" customFormat="false" ht="15" hidden="false" customHeight="false" outlineLevel="0" collapsed="false">
      <c r="A2554" s="8"/>
      <c r="B2554" s="8"/>
      <c r="C2554" s="8"/>
      <c r="D2554" s="8"/>
      <c r="E2554" s="8"/>
      <c r="F2554" t="str" s="15">
        <f aca="0">IF(B2554="","",IF(H2554="","확인필요(입력누락)",IF(SUMPRODUCT((실물목록!$P$2:$P$1001&lt;&gt;"")*ISNUMBER(SEARCH(실물목록!$P$2:$P$1001,I2554))*(실물목록!$Q$2:$Q$1001&lt;&gt;"")*ISNUMBER(SEARCH(실물목록!$Q$2:$Q$1001,I2554))*(실물목록!$R$2:$R$1001="")*(실물목록!$O$2:$O$1001&lt;&gt;"")*(실물목록!$O$2:$O$1001=H2554))&gt;0,"실물 있음",IF(SUMPRODUCT((실물목록!$P$2:$P$1001&lt;&gt;"")*ISNUMBER(SEARCH(실물목록!$P$2:$P$1001,I2554))*(실물목록!$R$2:$R$1001&lt;&gt;""))&gt;0,"확인필요(입력누락)",IF(SUMPRODUCT((실물목록!$P$2:$P$1001&lt;&gt;"")*ISNUMBER(SEARCH(실물목록!$P$2:$P$1001,I2554))*(실물목록!$Q$2:$Q$1001&lt;&gt;"")*ISNUMBER(SEARCH(실물목록!$Q$2:$Q$1001,I2554))*(실물목록!$R$2:$R$1001="")*(실물목록!$O$2:$O$1001&lt;&gt;""))&gt;0,"확인필요(연도다름)","실물 없음")))))</f>
      </c>
      <c r="G2554" t="n" s="16">
        <f aca="0">IF(B2554="","",SUMPRODUCT((실물목록!$P$2:$P$1001&lt;&gt;"")*ISNUMBER(SEARCH(실물목록!$P$2:$P$1001,I2554))*(실물목록!$Q$2:$Q$1001&lt;&gt;"")*ISNUMBER(SEARCH(실물목록!$Q$2:$Q$1001,I2554))*(실물목록!$R$2:$R$1001="")*(실물목록!$O$2:$O$1001&lt;&gt;"")*(실물목록!$O$2:$O$1001=H2554)))</f>
      </c>
      <c r="H2554" t="str">
        <f>IFERROR(IF(AND(LEN(SUBSTITUTE(SUBSTITUTE(SUBSTITUTE(TRIM(A2554&amp;""),CHAR(160),"")," ",""),"년",""))=4,VALUE(SUBSTITUTE(SUBSTITUTE(SUBSTITUTE(TRIM(A2554&amp;""),CHAR(160),"")," ",""),"년",""))&gt;=1900,VALUE(SUBSTITUTE(SUBSTITUTE(SUBSTITUTE(TRIM(A2554&amp;""),CHAR(160),"")," ",""),"년",""))&lt;=2099,TEXT(VALUE(SUBSTITUTE(SUBSTITUTE(SUBSTITUTE(TRIM(A2554&amp;""),CHAR(160),"")," ",""),"년","")),"0000")=SUBSTITUTE(SUBSTITUTE(SUBSTITUTE(TRIM(A2554&amp;""),CHAR(160),"")," ",""),"년","")),SUBSTITUTE(SUBSTITUTE(SUBSTITUTE(TRIM(A2554&amp;""),CHAR(160),"")," ",""),"년",""),""),"")</f>
      </c>
      <c r="I2554" t="str">
        <f>SUBSTITUTE(SUBSTITUTE(SUBSTITUTE(SUBSTITUTE(SUBSTITUTE(TRIM(B2554&amp;""),CHAR(160),"")," ",""),"초등학교","초"),"중학교","중"),"고등학교","고")</f>
      </c>
    </row>
    <row r="2555" customFormat="false" ht="15" hidden="false" customHeight="false" outlineLevel="0" collapsed="false">
      <c r="A2555" s="8"/>
      <c r="B2555" s="8"/>
      <c r="C2555" s="8"/>
      <c r="D2555" s="8"/>
      <c r="E2555" s="8"/>
      <c r="F2555" t="str" s="15">
        <f aca="0">IF(B2555="","",IF(H2555="","확인필요(입력누락)",IF(SUMPRODUCT((실물목록!$P$2:$P$1001&lt;&gt;"")*ISNUMBER(SEARCH(실물목록!$P$2:$P$1001,I2555))*(실물목록!$Q$2:$Q$1001&lt;&gt;"")*ISNUMBER(SEARCH(실물목록!$Q$2:$Q$1001,I2555))*(실물목록!$R$2:$R$1001="")*(실물목록!$O$2:$O$1001&lt;&gt;"")*(실물목록!$O$2:$O$1001=H2555))&gt;0,"실물 있음",IF(SUMPRODUCT((실물목록!$P$2:$P$1001&lt;&gt;"")*ISNUMBER(SEARCH(실물목록!$P$2:$P$1001,I2555))*(실물목록!$R$2:$R$1001&lt;&gt;""))&gt;0,"확인필요(입력누락)",IF(SUMPRODUCT((실물목록!$P$2:$P$1001&lt;&gt;"")*ISNUMBER(SEARCH(실물목록!$P$2:$P$1001,I2555))*(실물목록!$Q$2:$Q$1001&lt;&gt;"")*ISNUMBER(SEARCH(실물목록!$Q$2:$Q$1001,I2555))*(실물목록!$R$2:$R$1001="")*(실물목록!$O$2:$O$1001&lt;&gt;""))&gt;0,"확인필요(연도다름)","실물 없음")))))</f>
      </c>
      <c r="G2555" t="n" s="16">
        <f aca="0">IF(B2555="","",SUMPRODUCT((실물목록!$P$2:$P$1001&lt;&gt;"")*ISNUMBER(SEARCH(실물목록!$P$2:$P$1001,I2555))*(실물목록!$Q$2:$Q$1001&lt;&gt;"")*ISNUMBER(SEARCH(실물목록!$Q$2:$Q$1001,I2555))*(실물목록!$R$2:$R$1001="")*(실물목록!$O$2:$O$1001&lt;&gt;"")*(실물목록!$O$2:$O$1001=H2555)))</f>
      </c>
      <c r="H2555" t="str">
        <f>IFERROR(IF(AND(LEN(SUBSTITUTE(SUBSTITUTE(SUBSTITUTE(TRIM(A2555&amp;""),CHAR(160),"")," ",""),"년",""))=4,VALUE(SUBSTITUTE(SUBSTITUTE(SUBSTITUTE(TRIM(A2555&amp;""),CHAR(160),"")," ",""),"년",""))&gt;=1900,VALUE(SUBSTITUTE(SUBSTITUTE(SUBSTITUTE(TRIM(A2555&amp;""),CHAR(160),"")," ",""),"년",""))&lt;=2099,TEXT(VALUE(SUBSTITUTE(SUBSTITUTE(SUBSTITUTE(TRIM(A2555&amp;""),CHAR(160),"")," ",""),"년","")),"0000")=SUBSTITUTE(SUBSTITUTE(SUBSTITUTE(TRIM(A2555&amp;""),CHAR(160),"")," ",""),"년","")),SUBSTITUTE(SUBSTITUTE(SUBSTITUTE(TRIM(A2555&amp;""),CHAR(160),"")," ",""),"년",""),""),"")</f>
      </c>
      <c r="I2555" t="str">
        <f>SUBSTITUTE(SUBSTITUTE(SUBSTITUTE(SUBSTITUTE(SUBSTITUTE(TRIM(B2555&amp;""),CHAR(160),"")," ",""),"초등학교","초"),"중학교","중"),"고등학교","고")</f>
      </c>
    </row>
    <row r="2556" customFormat="false" ht="15" hidden="false" customHeight="false" outlineLevel="0" collapsed="false">
      <c r="A2556" s="8"/>
      <c r="B2556" s="8"/>
      <c r="C2556" s="8"/>
      <c r="D2556" s="8"/>
      <c r="E2556" s="8"/>
      <c r="F2556" t="str" s="15">
        <f aca="0">IF(B2556="","",IF(H2556="","확인필요(입력누락)",IF(SUMPRODUCT((실물목록!$P$2:$P$1001&lt;&gt;"")*ISNUMBER(SEARCH(실물목록!$P$2:$P$1001,I2556))*(실물목록!$Q$2:$Q$1001&lt;&gt;"")*ISNUMBER(SEARCH(실물목록!$Q$2:$Q$1001,I2556))*(실물목록!$R$2:$R$1001="")*(실물목록!$O$2:$O$1001&lt;&gt;"")*(실물목록!$O$2:$O$1001=H2556))&gt;0,"실물 있음",IF(SUMPRODUCT((실물목록!$P$2:$P$1001&lt;&gt;"")*ISNUMBER(SEARCH(실물목록!$P$2:$P$1001,I2556))*(실물목록!$R$2:$R$1001&lt;&gt;""))&gt;0,"확인필요(입력누락)",IF(SUMPRODUCT((실물목록!$P$2:$P$1001&lt;&gt;"")*ISNUMBER(SEARCH(실물목록!$P$2:$P$1001,I2556))*(실물목록!$Q$2:$Q$1001&lt;&gt;"")*ISNUMBER(SEARCH(실물목록!$Q$2:$Q$1001,I2556))*(실물목록!$R$2:$R$1001="")*(실물목록!$O$2:$O$1001&lt;&gt;""))&gt;0,"확인필요(연도다름)","실물 없음")))))</f>
      </c>
      <c r="G2556" t="n" s="16">
        <f aca="0">IF(B2556="","",SUMPRODUCT((실물목록!$P$2:$P$1001&lt;&gt;"")*ISNUMBER(SEARCH(실물목록!$P$2:$P$1001,I2556))*(실물목록!$Q$2:$Q$1001&lt;&gt;"")*ISNUMBER(SEARCH(실물목록!$Q$2:$Q$1001,I2556))*(실물목록!$R$2:$R$1001="")*(실물목록!$O$2:$O$1001&lt;&gt;"")*(실물목록!$O$2:$O$1001=H2556)))</f>
      </c>
      <c r="H2556" t="str">
        <f>IFERROR(IF(AND(LEN(SUBSTITUTE(SUBSTITUTE(SUBSTITUTE(TRIM(A2556&amp;""),CHAR(160),"")," ",""),"년",""))=4,VALUE(SUBSTITUTE(SUBSTITUTE(SUBSTITUTE(TRIM(A2556&amp;""),CHAR(160),"")," ",""),"년",""))&gt;=1900,VALUE(SUBSTITUTE(SUBSTITUTE(SUBSTITUTE(TRIM(A2556&amp;""),CHAR(160),"")," ",""),"년",""))&lt;=2099,TEXT(VALUE(SUBSTITUTE(SUBSTITUTE(SUBSTITUTE(TRIM(A2556&amp;""),CHAR(160),"")," ",""),"년","")),"0000")=SUBSTITUTE(SUBSTITUTE(SUBSTITUTE(TRIM(A2556&amp;""),CHAR(160),"")," ",""),"년","")),SUBSTITUTE(SUBSTITUTE(SUBSTITUTE(TRIM(A2556&amp;""),CHAR(160),"")," ",""),"년",""),""),"")</f>
      </c>
      <c r="I2556" t="str">
        <f>SUBSTITUTE(SUBSTITUTE(SUBSTITUTE(SUBSTITUTE(SUBSTITUTE(TRIM(B2556&amp;""),CHAR(160),"")," ",""),"초등학교","초"),"중학교","중"),"고등학교","고")</f>
      </c>
    </row>
    <row r="2557" customFormat="false" ht="15" hidden="false" customHeight="false" outlineLevel="0" collapsed="false">
      <c r="A2557" s="8"/>
      <c r="B2557" s="8"/>
      <c r="C2557" s="8"/>
      <c r="D2557" s="8"/>
      <c r="E2557" s="8"/>
      <c r="F2557" t="str" s="15">
        <f aca="0">IF(B2557="","",IF(H2557="","확인필요(입력누락)",IF(SUMPRODUCT((실물목록!$P$2:$P$1001&lt;&gt;"")*ISNUMBER(SEARCH(실물목록!$P$2:$P$1001,I2557))*(실물목록!$Q$2:$Q$1001&lt;&gt;"")*ISNUMBER(SEARCH(실물목록!$Q$2:$Q$1001,I2557))*(실물목록!$R$2:$R$1001="")*(실물목록!$O$2:$O$1001&lt;&gt;"")*(실물목록!$O$2:$O$1001=H2557))&gt;0,"실물 있음",IF(SUMPRODUCT((실물목록!$P$2:$P$1001&lt;&gt;"")*ISNUMBER(SEARCH(실물목록!$P$2:$P$1001,I2557))*(실물목록!$R$2:$R$1001&lt;&gt;""))&gt;0,"확인필요(입력누락)",IF(SUMPRODUCT((실물목록!$P$2:$P$1001&lt;&gt;"")*ISNUMBER(SEARCH(실물목록!$P$2:$P$1001,I2557))*(실물목록!$Q$2:$Q$1001&lt;&gt;"")*ISNUMBER(SEARCH(실물목록!$Q$2:$Q$1001,I2557))*(실물목록!$R$2:$R$1001="")*(실물목록!$O$2:$O$1001&lt;&gt;""))&gt;0,"확인필요(연도다름)","실물 없음")))))</f>
      </c>
      <c r="G2557" t="n" s="16">
        <f aca="0">IF(B2557="","",SUMPRODUCT((실물목록!$P$2:$P$1001&lt;&gt;"")*ISNUMBER(SEARCH(실물목록!$P$2:$P$1001,I2557))*(실물목록!$Q$2:$Q$1001&lt;&gt;"")*ISNUMBER(SEARCH(실물목록!$Q$2:$Q$1001,I2557))*(실물목록!$R$2:$R$1001="")*(실물목록!$O$2:$O$1001&lt;&gt;"")*(실물목록!$O$2:$O$1001=H2557)))</f>
      </c>
      <c r="H2557" t="str">
        <f>IFERROR(IF(AND(LEN(SUBSTITUTE(SUBSTITUTE(SUBSTITUTE(TRIM(A2557&amp;""),CHAR(160),"")," ",""),"년",""))=4,VALUE(SUBSTITUTE(SUBSTITUTE(SUBSTITUTE(TRIM(A2557&amp;""),CHAR(160),"")," ",""),"년",""))&gt;=1900,VALUE(SUBSTITUTE(SUBSTITUTE(SUBSTITUTE(TRIM(A2557&amp;""),CHAR(160),"")," ",""),"년",""))&lt;=2099,TEXT(VALUE(SUBSTITUTE(SUBSTITUTE(SUBSTITUTE(TRIM(A2557&amp;""),CHAR(160),"")," ",""),"년","")),"0000")=SUBSTITUTE(SUBSTITUTE(SUBSTITUTE(TRIM(A2557&amp;""),CHAR(160),"")," ",""),"년","")),SUBSTITUTE(SUBSTITUTE(SUBSTITUTE(TRIM(A2557&amp;""),CHAR(160),"")," ",""),"년",""),""),"")</f>
      </c>
      <c r="I2557" t="str">
        <f>SUBSTITUTE(SUBSTITUTE(SUBSTITUTE(SUBSTITUTE(SUBSTITUTE(TRIM(B2557&amp;""),CHAR(160),"")," ",""),"초등학교","초"),"중학교","중"),"고등학교","고")</f>
      </c>
    </row>
    <row r="2558" customFormat="false" ht="15" hidden="false" customHeight="false" outlineLevel="0" collapsed="false">
      <c r="A2558" s="8"/>
      <c r="B2558" s="8"/>
      <c r="C2558" s="8"/>
      <c r="D2558" s="8"/>
      <c r="E2558" s="8"/>
      <c r="F2558" t="str" s="15">
        <f aca="0">IF(B2558="","",IF(H2558="","확인필요(입력누락)",IF(SUMPRODUCT((실물목록!$P$2:$P$1001&lt;&gt;"")*ISNUMBER(SEARCH(실물목록!$P$2:$P$1001,I2558))*(실물목록!$Q$2:$Q$1001&lt;&gt;"")*ISNUMBER(SEARCH(실물목록!$Q$2:$Q$1001,I2558))*(실물목록!$R$2:$R$1001="")*(실물목록!$O$2:$O$1001&lt;&gt;"")*(실물목록!$O$2:$O$1001=H2558))&gt;0,"실물 있음",IF(SUMPRODUCT((실물목록!$P$2:$P$1001&lt;&gt;"")*ISNUMBER(SEARCH(실물목록!$P$2:$P$1001,I2558))*(실물목록!$R$2:$R$1001&lt;&gt;""))&gt;0,"확인필요(입력누락)",IF(SUMPRODUCT((실물목록!$P$2:$P$1001&lt;&gt;"")*ISNUMBER(SEARCH(실물목록!$P$2:$P$1001,I2558))*(실물목록!$Q$2:$Q$1001&lt;&gt;"")*ISNUMBER(SEARCH(실물목록!$Q$2:$Q$1001,I2558))*(실물목록!$R$2:$R$1001="")*(실물목록!$O$2:$O$1001&lt;&gt;""))&gt;0,"확인필요(연도다름)","실물 없음")))))</f>
      </c>
      <c r="G2558" t="n" s="16">
        <f aca="0">IF(B2558="","",SUMPRODUCT((실물목록!$P$2:$P$1001&lt;&gt;"")*ISNUMBER(SEARCH(실물목록!$P$2:$P$1001,I2558))*(실물목록!$Q$2:$Q$1001&lt;&gt;"")*ISNUMBER(SEARCH(실물목록!$Q$2:$Q$1001,I2558))*(실물목록!$R$2:$R$1001="")*(실물목록!$O$2:$O$1001&lt;&gt;"")*(실물목록!$O$2:$O$1001=H2558)))</f>
      </c>
      <c r="H2558" t="str">
        <f>IFERROR(IF(AND(LEN(SUBSTITUTE(SUBSTITUTE(SUBSTITUTE(TRIM(A2558&amp;""),CHAR(160),"")," ",""),"년",""))=4,VALUE(SUBSTITUTE(SUBSTITUTE(SUBSTITUTE(TRIM(A2558&amp;""),CHAR(160),"")," ",""),"년",""))&gt;=1900,VALUE(SUBSTITUTE(SUBSTITUTE(SUBSTITUTE(TRIM(A2558&amp;""),CHAR(160),"")," ",""),"년",""))&lt;=2099,TEXT(VALUE(SUBSTITUTE(SUBSTITUTE(SUBSTITUTE(TRIM(A2558&amp;""),CHAR(160),"")," ",""),"년","")),"0000")=SUBSTITUTE(SUBSTITUTE(SUBSTITUTE(TRIM(A2558&amp;""),CHAR(160),"")," ",""),"년","")),SUBSTITUTE(SUBSTITUTE(SUBSTITUTE(TRIM(A2558&amp;""),CHAR(160),"")," ",""),"년",""),""),"")</f>
      </c>
      <c r="I2558" t="str">
        <f>SUBSTITUTE(SUBSTITUTE(SUBSTITUTE(SUBSTITUTE(SUBSTITUTE(TRIM(B2558&amp;""),CHAR(160),"")," ",""),"초등학교","초"),"중학교","중"),"고등학교","고")</f>
      </c>
    </row>
    <row r="2559" customFormat="false" ht="15" hidden="false" customHeight="false" outlineLevel="0" collapsed="false">
      <c r="A2559" s="8"/>
      <c r="B2559" s="8"/>
      <c r="C2559" s="8"/>
      <c r="D2559" s="8"/>
      <c r="E2559" s="8"/>
      <c r="F2559" t="str" s="15">
        <f aca="0">IF(B2559="","",IF(H2559="","확인필요(입력누락)",IF(SUMPRODUCT((실물목록!$P$2:$P$1001&lt;&gt;"")*ISNUMBER(SEARCH(실물목록!$P$2:$P$1001,I2559))*(실물목록!$Q$2:$Q$1001&lt;&gt;"")*ISNUMBER(SEARCH(실물목록!$Q$2:$Q$1001,I2559))*(실물목록!$R$2:$R$1001="")*(실물목록!$O$2:$O$1001&lt;&gt;"")*(실물목록!$O$2:$O$1001=H2559))&gt;0,"실물 있음",IF(SUMPRODUCT((실물목록!$P$2:$P$1001&lt;&gt;"")*ISNUMBER(SEARCH(실물목록!$P$2:$P$1001,I2559))*(실물목록!$R$2:$R$1001&lt;&gt;""))&gt;0,"확인필요(입력누락)",IF(SUMPRODUCT((실물목록!$P$2:$P$1001&lt;&gt;"")*ISNUMBER(SEARCH(실물목록!$P$2:$P$1001,I2559))*(실물목록!$Q$2:$Q$1001&lt;&gt;"")*ISNUMBER(SEARCH(실물목록!$Q$2:$Q$1001,I2559))*(실물목록!$R$2:$R$1001="")*(실물목록!$O$2:$O$1001&lt;&gt;""))&gt;0,"확인필요(연도다름)","실물 없음")))))</f>
      </c>
      <c r="G2559" t="n" s="16">
        <f aca="0">IF(B2559="","",SUMPRODUCT((실물목록!$P$2:$P$1001&lt;&gt;"")*ISNUMBER(SEARCH(실물목록!$P$2:$P$1001,I2559))*(실물목록!$Q$2:$Q$1001&lt;&gt;"")*ISNUMBER(SEARCH(실물목록!$Q$2:$Q$1001,I2559))*(실물목록!$R$2:$R$1001="")*(실물목록!$O$2:$O$1001&lt;&gt;"")*(실물목록!$O$2:$O$1001=H2559)))</f>
      </c>
      <c r="H2559" t="str">
        <f>IFERROR(IF(AND(LEN(SUBSTITUTE(SUBSTITUTE(SUBSTITUTE(TRIM(A2559&amp;""),CHAR(160),"")," ",""),"년",""))=4,VALUE(SUBSTITUTE(SUBSTITUTE(SUBSTITUTE(TRIM(A2559&amp;""),CHAR(160),"")," ",""),"년",""))&gt;=1900,VALUE(SUBSTITUTE(SUBSTITUTE(SUBSTITUTE(TRIM(A2559&amp;""),CHAR(160),"")," ",""),"년",""))&lt;=2099,TEXT(VALUE(SUBSTITUTE(SUBSTITUTE(SUBSTITUTE(TRIM(A2559&amp;""),CHAR(160),"")," ",""),"년","")),"0000")=SUBSTITUTE(SUBSTITUTE(SUBSTITUTE(TRIM(A2559&amp;""),CHAR(160),"")," ",""),"년","")),SUBSTITUTE(SUBSTITUTE(SUBSTITUTE(TRIM(A2559&amp;""),CHAR(160),"")," ",""),"년",""),""),"")</f>
      </c>
      <c r="I2559" t="str">
        <f>SUBSTITUTE(SUBSTITUTE(SUBSTITUTE(SUBSTITUTE(SUBSTITUTE(TRIM(B2559&amp;""),CHAR(160),"")," ",""),"초등학교","초"),"중학교","중"),"고등학교","고")</f>
      </c>
    </row>
    <row r="2560" customFormat="false" ht="15" hidden="false" customHeight="false" outlineLevel="0" collapsed="false">
      <c r="A2560" s="8"/>
      <c r="B2560" s="8"/>
      <c r="C2560" s="8"/>
      <c r="D2560" s="8"/>
      <c r="E2560" s="8"/>
      <c r="F2560" t="str" s="15">
        <f aca="0">IF(B2560="","",IF(H2560="","확인필요(입력누락)",IF(SUMPRODUCT((실물목록!$P$2:$P$1001&lt;&gt;"")*ISNUMBER(SEARCH(실물목록!$P$2:$P$1001,I2560))*(실물목록!$Q$2:$Q$1001&lt;&gt;"")*ISNUMBER(SEARCH(실물목록!$Q$2:$Q$1001,I2560))*(실물목록!$R$2:$R$1001="")*(실물목록!$O$2:$O$1001&lt;&gt;"")*(실물목록!$O$2:$O$1001=H2560))&gt;0,"실물 있음",IF(SUMPRODUCT((실물목록!$P$2:$P$1001&lt;&gt;"")*ISNUMBER(SEARCH(실물목록!$P$2:$P$1001,I2560))*(실물목록!$R$2:$R$1001&lt;&gt;""))&gt;0,"확인필요(입력누락)",IF(SUMPRODUCT((실물목록!$P$2:$P$1001&lt;&gt;"")*ISNUMBER(SEARCH(실물목록!$P$2:$P$1001,I2560))*(실물목록!$Q$2:$Q$1001&lt;&gt;"")*ISNUMBER(SEARCH(실물목록!$Q$2:$Q$1001,I2560))*(실물목록!$R$2:$R$1001="")*(실물목록!$O$2:$O$1001&lt;&gt;""))&gt;0,"확인필요(연도다름)","실물 없음")))))</f>
      </c>
      <c r="G2560" t="n" s="16">
        <f aca="0">IF(B2560="","",SUMPRODUCT((실물목록!$P$2:$P$1001&lt;&gt;"")*ISNUMBER(SEARCH(실물목록!$P$2:$P$1001,I2560))*(실물목록!$Q$2:$Q$1001&lt;&gt;"")*ISNUMBER(SEARCH(실물목록!$Q$2:$Q$1001,I2560))*(실물목록!$R$2:$R$1001="")*(실물목록!$O$2:$O$1001&lt;&gt;"")*(실물목록!$O$2:$O$1001=H2560)))</f>
      </c>
      <c r="H2560" t="str">
        <f>IFERROR(IF(AND(LEN(SUBSTITUTE(SUBSTITUTE(SUBSTITUTE(TRIM(A2560&amp;""),CHAR(160),"")," ",""),"년",""))=4,VALUE(SUBSTITUTE(SUBSTITUTE(SUBSTITUTE(TRIM(A2560&amp;""),CHAR(160),"")," ",""),"년",""))&gt;=1900,VALUE(SUBSTITUTE(SUBSTITUTE(SUBSTITUTE(TRIM(A2560&amp;""),CHAR(160),"")," ",""),"년",""))&lt;=2099,TEXT(VALUE(SUBSTITUTE(SUBSTITUTE(SUBSTITUTE(TRIM(A2560&amp;""),CHAR(160),"")," ",""),"년","")),"0000")=SUBSTITUTE(SUBSTITUTE(SUBSTITUTE(TRIM(A2560&amp;""),CHAR(160),"")," ",""),"년","")),SUBSTITUTE(SUBSTITUTE(SUBSTITUTE(TRIM(A2560&amp;""),CHAR(160),"")," ",""),"년",""),""),"")</f>
      </c>
      <c r="I2560" t="str">
        <f>SUBSTITUTE(SUBSTITUTE(SUBSTITUTE(SUBSTITUTE(SUBSTITUTE(TRIM(B2560&amp;""),CHAR(160),"")," ",""),"초등학교","초"),"중학교","중"),"고등학교","고")</f>
      </c>
    </row>
    <row r="2561" customFormat="false" ht="15" hidden="false" customHeight="false" outlineLevel="0" collapsed="false">
      <c r="A2561" s="8"/>
      <c r="B2561" s="8"/>
      <c r="C2561" s="8"/>
      <c r="D2561" s="8"/>
      <c r="E2561" s="8"/>
      <c r="F2561" t="str" s="15">
        <f aca="0">IF(B2561="","",IF(H2561="","확인필요(입력누락)",IF(SUMPRODUCT((실물목록!$P$2:$P$1001&lt;&gt;"")*ISNUMBER(SEARCH(실물목록!$P$2:$P$1001,I2561))*(실물목록!$Q$2:$Q$1001&lt;&gt;"")*ISNUMBER(SEARCH(실물목록!$Q$2:$Q$1001,I2561))*(실물목록!$R$2:$R$1001="")*(실물목록!$O$2:$O$1001&lt;&gt;"")*(실물목록!$O$2:$O$1001=H2561))&gt;0,"실물 있음",IF(SUMPRODUCT((실물목록!$P$2:$P$1001&lt;&gt;"")*ISNUMBER(SEARCH(실물목록!$P$2:$P$1001,I2561))*(실물목록!$R$2:$R$1001&lt;&gt;""))&gt;0,"확인필요(입력누락)",IF(SUMPRODUCT((실물목록!$P$2:$P$1001&lt;&gt;"")*ISNUMBER(SEARCH(실물목록!$P$2:$P$1001,I2561))*(실물목록!$Q$2:$Q$1001&lt;&gt;"")*ISNUMBER(SEARCH(실물목록!$Q$2:$Q$1001,I2561))*(실물목록!$R$2:$R$1001="")*(실물목록!$O$2:$O$1001&lt;&gt;""))&gt;0,"확인필요(연도다름)","실물 없음")))))</f>
      </c>
      <c r="G2561" t="n" s="16">
        <f aca="0">IF(B2561="","",SUMPRODUCT((실물목록!$P$2:$P$1001&lt;&gt;"")*ISNUMBER(SEARCH(실물목록!$P$2:$P$1001,I2561))*(실물목록!$Q$2:$Q$1001&lt;&gt;"")*ISNUMBER(SEARCH(실물목록!$Q$2:$Q$1001,I2561))*(실물목록!$R$2:$R$1001="")*(실물목록!$O$2:$O$1001&lt;&gt;"")*(실물목록!$O$2:$O$1001=H2561)))</f>
      </c>
      <c r="H2561" t="str">
        <f>IFERROR(IF(AND(LEN(SUBSTITUTE(SUBSTITUTE(SUBSTITUTE(TRIM(A2561&amp;""),CHAR(160),"")," ",""),"년",""))=4,VALUE(SUBSTITUTE(SUBSTITUTE(SUBSTITUTE(TRIM(A2561&amp;""),CHAR(160),"")," ",""),"년",""))&gt;=1900,VALUE(SUBSTITUTE(SUBSTITUTE(SUBSTITUTE(TRIM(A2561&amp;""),CHAR(160),"")," ",""),"년",""))&lt;=2099,TEXT(VALUE(SUBSTITUTE(SUBSTITUTE(SUBSTITUTE(TRIM(A2561&amp;""),CHAR(160),"")," ",""),"년","")),"0000")=SUBSTITUTE(SUBSTITUTE(SUBSTITUTE(TRIM(A2561&amp;""),CHAR(160),"")," ",""),"년","")),SUBSTITUTE(SUBSTITUTE(SUBSTITUTE(TRIM(A2561&amp;""),CHAR(160),"")," ",""),"년",""),""),"")</f>
      </c>
      <c r="I2561" t="str">
        <f>SUBSTITUTE(SUBSTITUTE(SUBSTITUTE(SUBSTITUTE(SUBSTITUTE(TRIM(B2561&amp;""),CHAR(160),"")," ",""),"초등학교","초"),"중학교","중"),"고등학교","고")</f>
      </c>
    </row>
    <row r="2562" customFormat="false" ht="15" hidden="false" customHeight="false" outlineLevel="0" collapsed="false">
      <c r="A2562" s="8"/>
      <c r="B2562" s="8"/>
      <c r="C2562" s="8"/>
      <c r="D2562" s="8"/>
      <c r="E2562" s="8"/>
      <c r="F2562" t="str" s="15">
        <f aca="0">IF(B2562="","",IF(H2562="","확인필요(입력누락)",IF(SUMPRODUCT((실물목록!$P$2:$P$1001&lt;&gt;"")*ISNUMBER(SEARCH(실물목록!$P$2:$P$1001,I2562))*(실물목록!$Q$2:$Q$1001&lt;&gt;"")*ISNUMBER(SEARCH(실물목록!$Q$2:$Q$1001,I2562))*(실물목록!$R$2:$R$1001="")*(실물목록!$O$2:$O$1001&lt;&gt;"")*(실물목록!$O$2:$O$1001=H2562))&gt;0,"실물 있음",IF(SUMPRODUCT((실물목록!$P$2:$P$1001&lt;&gt;"")*ISNUMBER(SEARCH(실물목록!$P$2:$P$1001,I2562))*(실물목록!$R$2:$R$1001&lt;&gt;""))&gt;0,"확인필요(입력누락)",IF(SUMPRODUCT((실물목록!$P$2:$P$1001&lt;&gt;"")*ISNUMBER(SEARCH(실물목록!$P$2:$P$1001,I2562))*(실물목록!$Q$2:$Q$1001&lt;&gt;"")*ISNUMBER(SEARCH(실물목록!$Q$2:$Q$1001,I2562))*(실물목록!$R$2:$R$1001="")*(실물목록!$O$2:$O$1001&lt;&gt;""))&gt;0,"확인필요(연도다름)","실물 없음")))))</f>
      </c>
      <c r="G2562" t="n" s="16">
        <f aca="0">IF(B2562="","",SUMPRODUCT((실물목록!$P$2:$P$1001&lt;&gt;"")*ISNUMBER(SEARCH(실물목록!$P$2:$P$1001,I2562))*(실물목록!$Q$2:$Q$1001&lt;&gt;"")*ISNUMBER(SEARCH(실물목록!$Q$2:$Q$1001,I2562))*(실물목록!$R$2:$R$1001="")*(실물목록!$O$2:$O$1001&lt;&gt;"")*(실물목록!$O$2:$O$1001=H2562)))</f>
      </c>
      <c r="H2562" t="str">
        <f>IFERROR(IF(AND(LEN(SUBSTITUTE(SUBSTITUTE(SUBSTITUTE(TRIM(A2562&amp;""),CHAR(160),"")," ",""),"년",""))=4,VALUE(SUBSTITUTE(SUBSTITUTE(SUBSTITUTE(TRIM(A2562&amp;""),CHAR(160),"")," ",""),"년",""))&gt;=1900,VALUE(SUBSTITUTE(SUBSTITUTE(SUBSTITUTE(TRIM(A2562&amp;""),CHAR(160),"")," ",""),"년",""))&lt;=2099,TEXT(VALUE(SUBSTITUTE(SUBSTITUTE(SUBSTITUTE(TRIM(A2562&amp;""),CHAR(160),"")," ",""),"년","")),"0000")=SUBSTITUTE(SUBSTITUTE(SUBSTITUTE(TRIM(A2562&amp;""),CHAR(160),"")," ",""),"년","")),SUBSTITUTE(SUBSTITUTE(SUBSTITUTE(TRIM(A2562&amp;""),CHAR(160),"")," ",""),"년",""),""),"")</f>
      </c>
      <c r="I2562" t="str">
        <f>SUBSTITUTE(SUBSTITUTE(SUBSTITUTE(SUBSTITUTE(SUBSTITUTE(TRIM(B2562&amp;""),CHAR(160),"")," ",""),"초등학교","초"),"중학교","중"),"고등학교","고")</f>
      </c>
    </row>
    <row r="2563" customFormat="false" ht="15" hidden="false" customHeight="false" outlineLevel="0" collapsed="false">
      <c r="A2563" s="8"/>
      <c r="B2563" s="8"/>
      <c r="C2563" s="8"/>
      <c r="D2563" s="8"/>
      <c r="E2563" s="8"/>
      <c r="F2563" t="str" s="15">
        <f aca="0">IF(B2563="","",IF(H2563="","확인필요(입력누락)",IF(SUMPRODUCT((실물목록!$P$2:$P$1001&lt;&gt;"")*ISNUMBER(SEARCH(실물목록!$P$2:$P$1001,I2563))*(실물목록!$Q$2:$Q$1001&lt;&gt;"")*ISNUMBER(SEARCH(실물목록!$Q$2:$Q$1001,I2563))*(실물목록!$R$2:$R$1001="")*(실물목록!$O$2:$O$1001&lt;&gt;"")*(실물목록!$O$2:$O$1001=H2563))&gt;0,"실물 있음",IF(SUMPRODUCT((실물목록!$P$2:$P$1001&lt;&gt;"")*ISNUMBER(SEARCH(실물목록!$P$2:$P$1001,I2563))*(실물목록!$R$2:$R$1001&lt;&gt;""))&gt;0,"확인필요(입력누락)",IF(SUMPRODUCT((실물목록!$P$2:$P$1001&lt;&gt;"")*ISNUMBER(SEARCH(실물목록!$P$2:$P$1001,I2563))*(실물목록!$Q$2:$Q$1001&lt;&gt;"")*ISNUMBER(SEARCH(실물목록!$Q$2:$Q$1001,I2563))*(실물목록!$R$2:$R$1001="")*(실물목록!$O$2:$O$1001&lt;&gt;""))&gt;0,"확인필요(연도다름)","실물 없음")))))</f>
      </c>
      <c r="G2563" t="n" s="16">
        <f aca="0">IF(B2563="","",SUMPRODUCT((실물목록!$P$2:$P$1001&lt;&gt;"")*ISNUMBER(SEARCH(실물목록!$P$2:$P$1001,I2563))*(실물목록!$Q$2:$Q$1001&lt;&gt;"")*ISNUMBER(SEARCH(실물목록!$Q$2:$Q$1001,I2563))*(실물목록!$R$2:$R$1001="")*(실물목록!$O$2:$O$1001&lt;&gt;"")*(실물목록!$O$2:$O$1001=H2563)))</f>
      </c>
      <c r="H2563" t="str">
        <f>IFERROR(IF(AND(LEN(SUBSTITUTE(SUBSTITUTE(SUBSTITUTE(TRIM(A2563&amp;""),CHAR(160),"")," ",""),"년",""))=4,VALUE(SUBSTITUTE(SUBSTITUTE(SUBSTITUTE(TRIM(A2563&amp;""),CHAR(160),"")," ",""),"년",""))&gt;=1900,VALUE(SUBSTITUTE(SUBSTITUTE(SUBSTITUTE(TRIM(A2563&amp;""),CHAR(160),"")," ",""),"년",""))&lt;=2099,TEXT(VALUE(SUBSTITUTE(SUBSTITUTE(SUBSTITUTE(TRIM(A2563&amp;""),CHAR(160),"")," ",""),"년","")),"0000")=SUBSTITUTE(SUBSTITUTE(SUBSTITUTE(TRIM(A2563&amp;""),CHAR(160),"")," ",""),"년","")),SUBSTITUTE(SUBSTITUTE(SUBSTITUTE(TRIM(A2563&amp;""),CHAR(160),"")," ",""),"년",""),""),"")</f>
      </c>
      <c r="I2563" t="str">
        <f>SUBSTITUTE(SUBSTITUTE(SUBSTITUTE(SUBSTITUTE(SUBSTITUTE(TRIM(B2563&amp;""),CHAR(160),"")," ",""),"초등학교","초"),"중학교","중"),"고등학교","고")</f>
      </c>
    </row>
    <row r="2564" customFormat="false" ht="15" hidden="false" customHeight="false" outlineLevel="0" collapsed="false">
      <c r="A2564" s="8"/>
      <c r="B2564" s="8"/>
      <c r="C2564" s="8"/>
      <c r="D2564" s="8"/>
      <c r="E2564" s="8"/>
      <c r="F2564" t="str" s="15">
        <f aca="0">IF(B2564="","",IF(H2564="","확인필요(입력누락)",IF(SUMPRODUCT((실물목록!$P$2:$P$1001&lt;&gt;"")*ISNUMBER(SEARCH(실물목록!$P$2:$P$1001,I2564))*(실물목록!$Q$2:$Q$1001&lt;&gt;"")*ISNUMBER(SEARCH(실물목록!$Q$2:$Q$1001,I2564))*(실물목록!$R$2:$R$1001="")*(실물목록!$O$2:$O$1001&lt;&gt;"")*(실물목록!$O$2:$O$1001=H2564))&gt;0,"실물 있음",IF(SUMPRODUCT((실물목록!$P$2:$P$1001&lt;&gt;"")*ISNUMBER(SEARCH(실물목록!$P$2:$P$1001,I2564))*(실물목록!$R$2:$R$1001&lt;&gt;""))&gt;0,"확인필요(입력누락)",IF(SUMPRODUCT((실물목록!$P$2:$P$1001&lt;&gt;"")*ISNUMBER(SEARCH(실물목록!$P$2:$P$1001,I2564))*(실물목록!$Q$2:$Q$1001&lt;&gt;"")*ISNUMBER(SEARCH(실물목록!$Q$2:$Q$1001,I2564))*(실물목록!$R$2:$R$1001="")*(실물목록!$O$2:$O$1001&lt;&gt;""))&gt;0,"확인필요(연도다름)","실물 없음")))))</f>
      </c>
      <c r="G2564" t="n" s="16">
        <f aca="0">IF(B2564="","",SUMPRODUCT((실물목록!$P$2:$P$1001&lt;&gt;"")*ISNUMBER(SEARCH(실물목록!$P$2:$P$1001,I2564))*(실물목록!$Q$2:$Q$1001&lt;&gt;"")*ISNUMBER(SEARCH(실물목록!$Q$2:$Q$1001,I2564))*(실물목록!$R$2:$R$1001="")*(실물목록!$O$2:$O$1001&lt;&gt;"")*(실물목록!$O$2:$O$1001=H2564)))</f>
      </c>
      <c r="H2564" t="str">
        <f>IFERROR(IF(AND(LEN(SUBSTITUTE(SUBSTITUTE(SUBSTITUTE(TRIM(A2564&amp;""),CHAR(160),"")," ",""),"년",""))=4,VALUE(SUBSTITUTE(SUBSTITUTE(SUBSTITUTE(TRIM(A2564&amp;""),CHAR(160),"")," ",""),"년",""))&gt;=1900,VALUE(SUBSTITUTE(SUBSTITUTE(SUBSTITUTE(TRIM(A2564&amp;""),CHAR(160),"")," ",""),"년",""))&lt;=2099,TEXT(VALUE(SUBSTITUTE(SUBSTITUTE(SUBSTITUTE(TRIM(A2564&amp;""),CHAR(160),"")," ",""),"년","")),"0000")=SUBSTITUTE(SUBSTITUTE(SUBSTITUTE(TRIM(A2564&amp;""),CHAR(160),"")," ",""),"년","")),SUBSTITUTE(SUBSTITUTE(SUBSTITUTE(TRIM(A2564&amp;""),CHAR(160),"")," ",""),"년",""),""),"")</f>
      </c>
      <c r="I2564" t="str">
        <f>SUBSTITUTE(SUBSTITUTE(SUBSTITUTE(SUBSTITUTE(SUBSTITUTE(TRIM(B2564&amp;""),CHAR(160),"")," ",""),"초등학교","초"),"중학교","중"),"고등학교","고")</f>
      </c>
    </row>
    <row r="2565" customFormat="false" ht="15" hidden="false" customHeight="false" outlineLevel="0" collapsed="false">
      <c r="A2565" s="8"/>
      <c r="B2565" s="8"/>
      <c r="C2565" s="8"/>
      <c r="D2565" s="8"/>
      <c r="E2565" s="8"/>
      <c r="F2565" t="str" s="15">
        <f aca="0">IF(B2565="","",IF(H2565="","확인필요(입력누락)",IF(SUMPRODUCT((실물목록!$P$2:$P$1001&lt;&gt;"")*ISNUMBER(SEARCH(실물목록!$P$2:$P$1001,I2565))*(실물목록!$Q$2:$Q$1001&lt;&gt;"")*ISNUMBER(SEARCH(실물목록!$Q$2:$Q$1001,I2565))*(실물목록!$R$2:$R$1001="")*(실물목록!$O$2:$O$1001&lt;&gt;"")*(실물목록!$O$2:$O$1001=H2565))&gt;0,"실물 있음",IF(SUMPRODUCT((실물목록!$P$2:$P$1001&lt;&gt;"")*ISNUMBER(SEARCH(실물목록!$P$2:$P$1001,I2565))*(실물목록!$R$2:$R$1001&lt;&gt;""))&gt;0,"확인필요(입력누락)",IF(SUMPRODUCT((실물목록!$P$2:$P$1001&lt;&gt;"")*ISNUMBER(SEARCH(실물목록!$P$2:$P$1001,I2565))*(실물목록!$Q$2:$Q$1001&lt;&gt;"")*ISNUMBER(SEARCH(실물목록!$Q$2:$Q$1001,I2565))*(실물목록!$R$2:$R$1001="")*(실물목록!$O$2:$O$1001&lt;&gt;""))&gt;0,"확인필요(연도다름)","실물 없음")))))</f>
      </c>
      <c r="G2565" t="n" s="16">
        <f aca="0">IF(B2565="","",SUMPRODUCT((실물목록!$P$2:$P$1001&lt;&gt;"")*ISNUMBER(SEARCH(실물목록!$P$2:$P$1001,I2565))*(실물목록!$Q$2:$Q$1001&lt;&gt;"")*ISNUMBER(SEARCH(실물목록!$Q$2:$Q$1001,I2565))*(실물목록!$R$2:$R$1001="")*(실물목록!$O$2:$O$1001&lt;&gt;"")*(실물목록!$O$2:$O$1001=H2565)))</f>
      </c>
      <c r="H2565" t="str">
        <f>IFERROR(IF(AND(LEN(SUBSTITUTE(SUBSTITUTE(SUBSTITUTE(TRIM(A2565&amp;""),CHAR(160),"")," ",""),"년",""))=4,VALUE(SUBSTITUTE(SUBSTITUTE(SUBSTITUTE(TRIM(A2565&amp;""),CHAR(160),"")," ",""),"년",""))&gt;=1900,VALUE(SUBSTITUTE(SUBSTITUTE(SUBSTITUTE(TRIM(A2565&amp;""),CHAR(160),"")," ",""),"년",""))&lt;=2099,TEXT(VALUE(SUBSTITUTE(SUBSTITUTE(SUBSTITUTE(TRIM(A2565&amp;""),CHAR(160),"")," ",""),"년","")),"0000")=SUBSTITUTE(SUBSTITUTE(SUBSTITUTE(TRIM(A2565&amp;""),CHAR(160),"")," ",""),"년","")),SUBSTITUTE(SUBSTITUTE(SUBSTITUTE(TRIM(A2565&amp;""),CHAR(160),"")," ",""),"년",""),""),"")</f>
      </c>
      <c r="I2565" t="str">
        <f>SUBSTITUTE(SUBSTITUTE(SUBSTITUTE(SUBSTITUTE(SUBSTITUTE(TRIM(B2565&amp;""),CHAR(160),"")," ",""),"초등학교","초"),"중학교","중"),"고등학교","고")</f>
      </c>
    </row>
    <row r="2566" customFormat="false" ht="15" hidden="false" customHeight="false" outlineLevel="0" collapsed="false">
      <c r="A2566" s="8"/>
      <c r="B2566" s="8"/>
      <c r="C2566" s="8"/>
      <c r="D2566" s="8"/>
      <c r="E2566" s="8"/>
      <c r="F2566" t="str" s="15">
        <f aca="0">IF(B2566="","",IF(H2566="","확인필요(입력누락)",IF(SUMPRODUCT((실물목록!$P$2:$P$1001&lt;&gt;"")*ISNUMBER(SEARCH(실물목록!$P$2:$P$1001,I2566))*(실물목록!$Q$2:$Q$1001&lt;&gt;"")*ISNUMBER(SEARCH(실물목록!$Q$2:$Q$1001,I2566))*(실물목록!$R$2:$R$1001="")*(실물목록!$O$2:$O$1001&lt;&gt;"")*(실물목록!$O$2:$O$1001=H2566))&gt;0,"실물 있음",IF(SUMPRODUCT((실물목록!$P$2:$P$1001&lt;&gt;"")*ISNUMBER(SEARCH(실물목록!$P$2:$P$1001,I2566))*(실물목록!$R$2:$R$1001&lt;&gt;""))&gt;0,"확인필요(입력누락)",IF(SUMPRODUCT((실물목록!$P$2:$P$1001&lt;&gt;"")*ISNUMBER(SEARCH(실물목록!$P$2:$P$1001,I2566))*(실물목록!$Q$2:$Q$1001&lt;&gt;"")*ISNUMBER(SEARCH(실물목록!$Q$2:$Q$1001,I2566))*(실물목록!$R$2:$R$1001="")*(실물목록!$O$2:$O$1001&lt;&gt;""))&gt;0,"확인필요(연도다름)","실물 없음")))))</f>
      </c>
      <c r="G2566" t="n" s="16">
        <f aca="0">IF(B2566="","",SUMPRODUCT((실물목록!$P$2:$P$1001&lt;&gt;"")*ISNUMBER(SEARCH(실물목록!$P$2:$P$1001,I2566))*(실물목록!$Q$2:$Q$1001&lt;&gt;"")*ISNUMBER(SEARCH(실물목록!$Q$2:$Q$1001,I2566))*(실물목록!$R$2:$R$1001="")*(실물목록!$O$2:$O$1001&lt;&gt;"")*(실물목록!$O$2:$O$1001=H2566)))</f>
      </c>
      <c r="H2566" t="str">
        <f>IFERROR(IF(AND(LEN(SUBSTITUTE(SUBSTITUTE(SUBSTITUTE(TRIM(A2566&amp;""),CHAR(160),"")," ",""),"년",""))=4,VALUE(SUBSTITUTE(SUBSTITUTE(SUBSTITUTE(TRIM(A2566&amp;""),CHAR(160),"")," ",""),"년",""))&gt;=1900,VALUE(SUBSTITUTE(SUBSTITUTE(SUBSTITUTE(TRIM(A2566&amp;""),CHAR(160),"")," ",""),"년",""))&lt;=2099,TEXT(VALUE(SUBSTITUTE(SUBSTITUTE(SUBSTITUTE(TRIM(A2566&amp;""),CHAR(160),"")," ",""),"년","")),"0000")=SUBSTITUTE(SUBSTITUTE(SUBSTITUTE(TRIM(A2566&amp;""),CHAR(160),"")," ",""),"년","")),SUBSTITUTE(SUBSTITUTE(SUBSTITUTE(TRIM(A2566&amp;""),CHAR(160),"")," ",""),"년",""),""),"")</f>
      </c>
      <c r="I2566" t="str">
        <f>SUBSTITUTE(SUBSTITUTE(SUBSTITUTE(SUBSTITUTE(SUBSTITUTE(TRIM(B2566&amp;""),CHAR(160),"")," ",""),"초등학교","초"),"중학교","중"),"고등학교","고")</f>
      </c>
    </row>
    <row r="2567" customFormat="false" ht="15" hidden="false" customHeight="false" outlineLevel="0" collapsed="false">
      <c r="A2567" s="8"/>
      <c r="B2567" s="8"/>
      <c r="C2567" s="8"/>
      <c r="D2567" s="8"/>
      <c r="E2567" s="8"/>
      <c r="F2567" t="str" s="15">
        <f aca="0">IF(B2567="","",IF(H2567="","확인필요(입력누락)",IF(SUMPRODUCT((실물목록!$P$2:$P$1001&lt;&gt;"")*ISNUMBER(SEARCH(실물목록!$P$2:$P$1001,I2567))*(실물목록!$Q$2:$Q$1001&lt;&gt;"")*ISNUMBER(SEARCH(실물목록!$Q$2:$Q$1001,I2567))*(실물목록!$R$2:$R$1001="")*(실물목록!$O$2:$O$1001&lt;&gt;"")*(실물목록!$O$2:$O$1001=H2567))&gt;0,"실물 있음",IF(SUMPRODUCT((실물목록!$P$2:$P$1001&lt;&gt;"")*ISNUMBER(SEARCH(실물목록!$P$2:$P$1001,I2567))*(실물목록!$R$2:$R$1001&lt;&gt;""))&gt;0,"확인필요(입력누락)",IF(SUMPRODUCT((실물목록!$P$2:$P$1001&lt;&gt;"")*ISNUMBER(SEARCH(실물목록!$P$2:$P$1001,I2567))*(실물목록!$Q$2:$Q$1001&lt;&gt;"")*ISNUMBER(SEARCH(실물목록!$Q$2:$Q$1001,I2567))*(실물목록!$R$2:$R$1001="")*(실물목록!$O$2:$O$1001&lt;&gt;""))&gt;0,"확인필요(연도다름)","실물 없음")))))</f>
      </c>
      <c r="G2567" t="n" s="16">
        <f aca="0">IF(B2567="","",SUMPRODUCT((실물목록!$P$2:$P$1001&lt;&gt;"")*ISNUMBER(SEARCH(실물목록!$P$2:$P$1001,I2567))*(실물목록!$Q$2:$Q$1001&lt;&gt;"")*ISNUMBER(SEARCH(실물목록!$Q$2:$Q$1001,I2567))*(실물목록!$R$2:$R$1001="")*(실물목록!$O$2:$O$1001&lt;&gt;"")*(실물목록!$O$2:$O$1001=H2567)))</f>
      </c>
      <c r="H2567" t="str">
        <f>IFERROR(IF(AND(LEN(SUBSTITUTE(SUBSTITUTE(SUBSTITUTE(TRIM(A2567&amp;""),CHAR(160),"")," ",""),"년",""))=4,VALUE(SUBSTITUTE(SUBSTITUTE(SUBSTITUTE(TRIM(A2567&amp;""),CHAR(160),"")," ",""),"년",""))&gt;=1900,VALUE(SUBSTITUTE(SUBSTITUTE(SUBSTITUTE(TRIM(A2567&amp;""),CHAR(160),"")," ",""),"년",""))&lt;=2099,TEXT(VALUE(SUBSTITUTE(SUBSTITUTE(SUBSTITUTE(TRIM(A2567&amp;""),CHAR(160),"")," ",""),"년","")),"0000")=SUBSTITUTE(SUBSTITUTE(SUBSTITUTE(TRIM(A2567&amp;""),CHAR(160),"")," ",""),"년","")),SUBSTITUTE(SUBSTITUTE(SUBSTITUTE(TRIM(A2567&amp;""),CHAR(160),"")," ",""),"년",""),""),"")</f>
      </c>
      <c r="I2567" t="str">
        <f>SUBSTITUTE(SUBSTITUTE(SUBSTITUTE(SUBSTITUTE(SUBSTITUTE(TRIM(B2567&amp;""),CHAR(160),"")," ",""),"초등학교","초"),"중학교","중"),"고등학교","고")</f>
      </c>
    </row>
    <row r="2568" customFormat="false" ht="15" hidden="false" customHeight="false" outlineLevel="0" collapsed="false">
      <c r="A2568" s="8"/>
      <c r="B2568" s="8"/>
      <c r="C2568" s="8"/>
      <c r="D2568" s="8"/>
      <c r="E2568" s="8"/>
      <c r="F2568" t="str" s="15">
        <f aca="0">IF(B2568="","",IF(H2568="","확인필요(입력누락)",IF(SUMPRODUCT((실물목록!$P$2:$P$1001&lt;&gt;"")*ISNUMBER(SEARCH(실물목록!$P$2:$P$1001,I2568))*(실물목록!$Q$2:$Q$1001&lt;&gt;"")*ISNUMBER(SEARCH(실물목록!$Q$2:$Q$1001,I2568))*(실물목록!$R$2:$R$1001="")*(실물목록!$O$2:$O$1001&lt;&gt;"")*(실물목록!$O$2:$O$1001=H2568))&gt;0,"실물 있음",IF(SUMPRODUCT((실물목록!$P$2:$P$1001&lt;&gt;"")*ISNUMBER(SEARCH(실물목록!$P$2:$P$1001,I2568))*(실물목록!$R$2:$R$1001&lt;&gt;""))&gt;0,"확인필요(입력누락)",IF(SUMPRODUCT((실물목록!$P$2:$P$1001&lt;&gt;"")*ISNUMBER(SEARCH(실물목록!$P$2:$P$1001,I2568))*(실물목록!$Q$2:$Q$1001&lt;&gt;"")*ISNUMBER(SEARCH(실물목록!$Q$2:$Q$1001,I2568))*(실물목록!$R$2:$R$1001="")*(실물목록!$O$2:$O$1001&lt;&gt;""))&gt;0,"확인필요(연도다름)","실물 없음")))))</f>
      </c>
      <c r="G2568" t="n" s="16">
        <f aca="0">IF(B2568="","",SUMPRODUCT((실물목록!$P$2:$P$1001&lt;&gt;"")*ISNUMBER(SEARCH(실물목록!$P$2:$P$1001,I2568))*(실물목록!$Q$2:$Q$1001&lt;&gt;"")*ISNUMBER(SEARCH(실물목록!$Q$2:$Q$1001,I2568))*(실물목록!$R$2:$R$1001="")*(실물목록!$O$2:$O$1001&lt;&gt;"")*(실물목록!$O$2:$O$1001=H2568)))</f>
      </c>
      <c r="H2568" t="str">
        <f>IFERROR(IF(AND(LEN(SUBSTITUTE(SUBSTITUTE(SUBSTITUTE(TRIM(A2568&amp;""),CHAR(160),"")," ",""),"년",""))=4,VALUE(SUBSTITUTE(SUBSTITUTE(SUBSTITUTE(TRIM(A2568&amp;""),CHAR(160),"")," ",""),"년",""))&gt;=1900,VALUE(SUBSTITUTE(SUBSTITUTE(SUBSTITUTE(TRIM(A2568&amp;""),CHAR(160),"")," ",""),"년",""))&lt;=2099,TEXT(VALUE(SUBSTITUTE(SUBSTITUTE(SUBSTITUTE(TRIM(A2568&amp;""),CHAR(160),"")," ",""),"년","")),"0000")=SUBSTITUTE(SUBSTITUTE(SUBSTITUTE(TRIM(A2568&amp;""),CHAR(160),"")," ",""),"년","")),SUBSTITUTE(SUBSTITUTE(SUBSTITUTE(TRIM(A2568&amp;""),CHAR(160),"")," ",""),"년",""),""),"")</f>
      </c>
      <c r="I2568" t="str">
        <f>SUBSTITUTE(SUBSTITUTE(SUBSTITUTE(SUBSTITUTE(SUBSTITUTE(TRIM(B2568&amp;""),CHAR(160),"")," ",""),"초등학교","초"),"중학교","중"),"고등학교","고")</f>
      </c>
    </row>
    <row r="2569" customFormat="false" ht="15" hidden="false" customHeight="false" outlineLevel="0" collapsed="false">
      <c r="A2569" s="8"/>
      <c r="B2569" s="8"/>
      <c r="C2569" s="8"/>
      <c r="D2569" s="8"/>
      <c r="E2569" s="8"/>
      <c r="F2569" t="str" s="15">
        <f aca="0">IF(B2569="","",IF(H2569="","확인필요(입력누락)",IF(SUMPRODUCT((실물목록!$P$2:$P$1001&lt;&gt;"")*ISNUMBER(SEARCH(실물목록!$P$2:$P$1001,I2569))*(실물목록!$Q$2:$Q$1001&lt;&gt;"")*ISNUMBER(SEARCH(실물목록!$Q$2:$Q$1001,I2569))*(실물목록!$R$2:$R$1001="")*(실물목록!$O$2:$O$1001&lt;&gt;"")*(실물목록!$O$2:$O$1001=H2569))&gt;0,"실물 있음",IF(SUMPRODUCT((실물목록!$P$2:$P$1001&lt;&gt;"")*ISNUMBER(SEARCH(실물목록!$P$2:$P$1001,I2569))*(실물목록!$R$2:$R$1001&lt;&gt;""))&gt;0,"확인필요(입력누락)",IF(SUMPRODUCT((실물목록!$P$2:$P$1001&lt;&gt;"")*ISNUMBER(SEARCH(실물목록!$P$2:$P$1001,I2569))*(실물목록!$Q$2:$Q$1001&lt;&gt;"")*ISNUMBER(SEARCH(실물목록!$Q$2:$Q$1001,I2569))*(실물목록!$R$2:$R$1001="")*(실물목록!$O$2:$O$1001&lt;&gt;""))&gt;0,"확인필요(연도다름)","실물 없음")))))</f>
      </c>
      <c r="G2569" t="n" s="16">
        <f aca="0">IF(B2569="","",SUMPRODUCT((실물목록!$P$2:$P$1001&lt;&gt;"")*ISNUMBER(SEARCH(실물목록!$P$2:$P$1001,I2569))*(실물목록!$Q$2:$Q$1001&lt;&gt;"")*ISNUMBER(SEARCH(실물목록!$Q$2:$Q$1001,I2569))*(실물목록!$R$2:$R$1001="")*(실물목록!$O$2:$O$1001&lt;&gt;"")*(실물목록!$O$2:$O$1001=H2569)))</f>
      </c>
      <c r="H2569" t="str">
        <f>IFERROR(IF(AND(LEN(SUBSTITUTE(SUBSTITUTE(SUBSTITUTE(TRIM(A2569&amp;""),CHAR(160),"")," ",""),"년",""))=4,VALUE(SUBSTITUTE(SUBSTITUTE(SUBSTITUTE(TRIM(A2569&amp;""),CHAR(160),"")," ",""),"년",""))&gt;=1900,VALUE(SUBSTITUTE(SUBSTITUTE(SUBSTITUTE(TRIM(A2569&amp;""),CHAR(160),"")," ",""),"년",""))&lt;=2099,TEXT(VALUE(SUBSTITUTE(SUBSTITUTE(SUBSTITUTE(TRIM(A2569&amp;""),CHAR(160),"")," ",""),"년","")),"0000")=SUBSTITUTE(SUBSTITUTE(SUBSTITUTE(TRIM(A2569&amp;""),CHAR(160),"")," ",""),"년","")),SUBSTITUTE(SUBSTITUTE(SUBSTITUTE(TRIM(A2569&amp;""),CHAR(160),"")," ",""),"년",""),""),"")</f>
      </c>
      <c r="I2569" t="str">
        <f>SUBSTITUTE(SUBSTITUTE(SUBSTITUTE(SUBSTITUTE(SUBSTITUTE(TRIM(B2569&amp;""),CHAR(160),"")," ",""),"초등학교","초"),"중학교","중"),"고등학교","고")</f>
      </c>
    </row>
    <row r="2570" customFormat="false" ht="15" hidden="false" customHeight="false" outlineLevel="0" collapsed="false">
      <c r="A2570" s="8"/>
      <c r="B2570" s="8"/>
      <c r="C2570" s="8"/>
      <c r="D2570" s="8"/>
      <c r="E2570" s="8"/>
      <c r="F2570" t="str" s="15">
        <f aca="0">IF(B2570="","",IF(H2570="","확인필요(입력누락)",IF(SUMPRODUCT((실물목록!$P$2:$P$1001&lt;&gt;"")*ISNUMBER(SEARCH(실물목록!$P$2:$P$1001,I2570))*(실물목록!$Q$2:$Q$1001&lt;&gt;"")*ISNUMBER(SEARCH(실물목록!$Q$2:$Q$1001,I2570))*(실물목록!$R$2:$R$1001="")*(실물목록!$O$2:$O$1001&lt;&gt;"")*(실물목록!$O$2:$O$1001=H2570))&gt;0,"실물 있음",IF(SUMPRODUCT((실물목록!$P$2:$P$1001&lt;&gt;"")*ISNUMBER(SEARCH(실물목록!$P$2:$P$1001,I2570))*(실물목록!$R$2:$R$1001&lt;&gt;""))&gt;0,"확인필요(입력누락)",IF(SUMPRODUCT((실물목록!$P$2:$P$1001&lt;&gt;"")*ISNUMBER(SEARCH(실물목록!$P$2:$P$1001,I2570))*(실물목록!$Q$2:$Q$1001&lt;&gt;"")*ISNUMBER(SEARCH(실물목록!$Q$2:$Q$1001,I2570))*(실물목록!$R$2:$R$1001="")*(실물목록!$O$2:$O$1001&lt;&gt;""))&gt;0,"확인필요(연도다름)","실물 없음")))))</f>
      </c>
      <c r="G2570" t="n" s="16">
        <f aca="0">IF(B2570="","",SUMPRODUCT((실물목록!$P$2:$P$1001&lt;&gt;"")*ISNUMBER(SEARCH(실물목록!$P$2:$P$1001,I2570))*(실물목록!$Q$2:$Q$1001&lt;&gt;"")*ISNUMBER(SEARCH(실물목록!$Q$2:$Q$1001,I2570))*(실물목록!$R$2:$R$1001="")*(실물목록!$O$2:$O$1001&lt;&gt;"")*(실물목록!$O$2:$O$1001=H2570)))</f>
      </c>
      <c r="H2570" t="str">
        <f>IFERROR(IF(AND(LEN(SUBSTITUTE(SUBSTITUTE(SUBSTITUTE(TRIM(A2570&amp;""),CHAR(160),"")," ",""),"년",""))=4,VALUE(SUBSTITUTE(SUBSTITUTE(SUBSTITUTE(TRIM(A2570&amp;""),CHAR(160),"")," ",""),"년",""))&gt;=1900,VALUE(SUBSTITUTE(SUBSTITUTE(SUBSTITUTE(TRIM(A2570&amp;""),CHAR(160),"")," ",""),"년",""))&lt;=2099,TEXT(VALUE(SUBSTITUTE(SUBSTITUTE(SUBSTITUTE(TRIM(A2570&amp;""),CHAR(160),"")," ",""),"년","")),"0000")=SUBSTITUTE(SUBSTITUTE(SUBSTITUTE(TRIM(A2570&amp;""),CHAR(160),"")," ",""),"년","")),SUBSTITUTE(SUBSTITUTE(SUBSTITUTE(TRIM(A2570&amp;""),CHAR(160),"")," ",""),"년",""),""),"")</f>
      </c>
      <c r="I2570" t="str">
        <f>SUBSTITUTE(SUBSTITUTE(SUBSTITUTE(SUBSTITUTE(SUBSTITUTE(TRIM(B2570&amp;""),CHAR(160),"")," ",""),"초등학교","초"),"중학교","중"),"고등학교","고")</f>
      </c>
    </row>
    <row r="2571" customFormat="false" ht="15" hidden="false" customHeight="false" outlineLevel="0" collapsed="false">
      <c r="A2571" s="8"/>
      <c r="B2571" s="8"/>
      <c r="C2571" s="8"/>
      <c r="D2571" s="8"/>
      <c r="E2571" s="8"/>
      <c r="F2571" t="str" s="15">
        <f aca="0">IF(B2571="","",IF(H2571="","확인필요(입력누락)",IF(SUMPRODUCT((실물목록!$P$2:$P$1001&lt;&gt;"")*ISNUMBER(SEARCH(실물목록!$P$2:$P$1001,I2571))*(실물목록!$Q$2:$Q$1001&lt;&gt;"")*ISNUMBER(SEARCH(실물목록!$Q$2:$Q$1001,I2571))*(실물목록!$R$2:$R$1001="")*(실물목록!$O$2:$O$1001&lt;&gt;"")*(실물목록!$O$2:$O$1001=H2571))&gt;0,"실물 있음",IF(SUMPRODUCT((실물목록!$P$2:$P$1001&lt;&gt;"")*ISNUMBER(SEARCH(실물목록!$P$2:$P$1001,I2571))*(실물목록!$R$2:$R$1001&lt;&gt;""))&gt;0,"확인필요(입력누락)",IF(SUMPRODUCT((실물목록!$P$2:$P$1001&lt;&gt;"")*ISNUMBER(SEARCH(실물목록!$P$2:$P$1001,I2571))*(실물목록!$Q$2:$Q$1001&lt;&gt;"")*ISNUMBER(SEARCH(실물목록!$Q$2:$Q$1001,I2571))*(실물목록!$R$2:$R$1001="")*(실물목록!$O$2:$O$1001&lt;&gt;""))&gt;0,"확인필요(연도다름)","실물 없음")))))</f>
      </c>
      <c r="G2571" t="n" s="16">
        <f aca="0">IF(B2571="","",SUMPRODUCT((실물목록!$P$2:$P$1001&lt;&gt;"")*ISNUMBER(SEARCH(실물목록!$P$2:$P$1001,I2571))*(실물목록!$Q$2:$Q$1001&lt;&gt;"")*ISNUMBER(SEARCH(실물목록!$Q$2:$Q$1001,I2571))*(실물목록!$R$2:$R$1001="")*(실물목록!$O$2:$O$1001&lt;&gt;"")*(실물목록!$O$2:$O$1001=H2571)))</f>
      </c>
      <c r="H2571" t="str">
        <f>IFERROR(IF(AND(LEN(SUBSTITUTE(SUBSTITUTE(SUBSTITUTE(TRIM(A2571&amp;""),CHAR(160),"")," ",""),"년",""))=4,VALUE(SUBSTITUTE(SUBSTITUTE(SUBSTITUTE(TRIM(A2571&amp;""),CHAR(160),"")," ",""),"년",""))&gt;=1900,VALUE(SUBSTITUTE(SUBSTITUTE(SUBSTITUTE(TRIM(A2571&amp;""),CHAR(160),"")," ",""),"년",""))&lt;=2099,TEXT(VALUE(SUBSTITUTE(SUBSTITUTE(SUBSTITUTE(TRIM(A2571&amp;""),CHAR(160),"")," ",""),"년","")),"0000")=SUBSTITUTE(SUBSTITUTE(SUBSTITUTE(TRIM(A2571&amp;""),CHAR(160),"")," ",""),"년","")),SUBSTITUTE(SUBSTITUTE(SUBSTITUTE(TRIM(A2571&amp;""),CHAR(160),"")," ",""),"년",""),""),"")</f>
      </c>
      <c r="I2571" t="str">
        <f>SUBSTITUTE(SUBSTITUTE(SUBSTITUTE(SUBSTITUTE(SUBSTITUTE(TRIM(B2571&amp;""),CHAR(160),"")," ",""),"초등학교","초"),"중학교","중"),"고등학교","고")</f>
      </c>
    </row>
    <row r="2572" customFormat="false" ht="15" hidden="false" customHeight="false" outlineLevel="0" collapsed="false">
      <c r="A2572" s="8"/>
      <c r="B2572" s="8"/>
      <c r="C2572" s="8"/>
      <c r="D2572" s="8"/>
      <c r="E2572" s="8"/>
      <c r="F2572" t="str" s="15">
        <f aca="0">IF(B2572="","",IF(H2572="","확인필요(입력누락)",IF(SUMPRODUCT((실물목록!$P$2:$P$1001&lt;&gt;"")*ISNUMBER(SEARCH(실물목록!$P$2:$P$1001,I2572))*(실물목록!$Q$2:$Q$1001&lt;&gt;"")*ISNUMBER(SEARCH(실물목록!$Q$2:$Q$1001,I2572))*(실물목록!$R$2:$R$1001="")*(실물목록!$O$2:$O$1001&lt;&gt;"")*(실물목록!$O$2:$O$1001=H2572))&gt;0,"실물 있음",IF(SUMPRODUCT((실물목록!$P$2:$P$1001&lt;&gt;"")*ISNUMBER(SEARCH(실물목록!$P$2:$P$1001,I2572))*(실물목록!$R$2:$R$1001&lt;&gt;""))&gt;0,"확인필요(입력누락)",IF(SUMPRODUCT((실물목록!$P$2:$P$1001&lt;&gt;"")*ISNUMBER(SEARCH(실물목록!$P$2:$P$1001,I2572))*(실물목록!$Q$2:$Q$1001&lt;&gt;"")*ISNUMBER(SEARCH(실물목록!$Q$2:$Q$1001,I2572))*(실물목록!$R$2:$R$1001="")*(실물목록!$O$2:$O$1001&lt;&gt;""))&gt;0,"확인필요(연도다름)","실물 없음")))))</f>
      </c>
      <c r="G2572" t="n" s="16">
        <f aca="0">IF(B2572="","",SUMPRODUCT((실물목록!$P$2:$P$1001&lt;&gt;"")*ISNUMBER(SEARCH(실물목록!$P$2:$P$1001,I2572))*(실물목록!$Q$2:$Q$1001&lt;&gt;"")*ISNUMBER(SEARCH(실물목록!$Q$2:$Q$1001,I2572))*(실물목록!$R$2:$R$1001="")*(실물목록!$O$2:$O$1001&lt;&gt;"")*(실물목록!$O$2:$O$1001=H2572)))</f>
      </c>
      <c r="H2572" t="str">
        <f>IFERROR(IF(AND(LEN(SUBSTITUTE(SUBSTITUTE(SUBSTITUTE(TRIM(A2572&amp;""),CHAR(160),"")," ",""),"년",""))=4,VALUE(SUBSTITUTE(SUBSTITUTE(SUBSTITUTE(TRIM(A2572&amp;""),CHAR(160),"")," ",""),"년",""))&gt;=1900,VALUE(SUBSTITUTE(SUBSTITUTE(SUBSTITUTE(TRIM(A2572&amp;""),CHAR(160),"")," ",""),"년",""))&lt;=2099,TEXT(VALUE(SUBSTITUTE(SUBSTITUTE(SUBSTITUTE(TRIM(A2572&amp;""),CHAR(160),"")," ",""),"년","")),"0000")=SUBSTITUTE(SUBSTITUTE(SUBSTITUTE(TRIM(A2572&amp;""),CHAR(160),"")," ",""),"년","")),SUBSTITUTE(SUBSTITUTE(SUBSTITUTE(TRIM(A2572&amp;""),CHAR(160),"")," ",""),"년",""),""),"")</f>
      </c>
      <c r="I2572" t="str">
        <f>SUBSTITUTE(SUBSTITUTE(SUBSTITUTE(SUBSTITUTE(SUBSTITUTE(TRIM(B2572&amp;""),CHAR(160),"")," ",""),"초등학교","초"),"중학교","중"),"고등학교","고")</f>
      </c>
    </row>
    <row r="2573" customFormat="false" ht="15" hidden="false" customHeight="false" outlineLevel="0" collapsed="false">
      <c r="A2573" s="8"/>
      <c r="B2573" s="8"/>
      <c r="C2573" s="8"/>
      <c r="D2573" s="8"/>
      <c r="E2573" s="8"/>
      <c r="F2573" t="str" s="15">
        <f aca="0">IF(B2573="","",IF(H2573="","확인필요(입력누락)",IF(SUMPRODUCT((실물목록!$P$2:$P$1001&lt;&gt;"")*ISNUMBER(SEARCH(실물목록!$P$2:$P$1001,I2573))*(실물목록!$Q$2:$Q$1001&lt;&gt;"")*ISNUMBER(SEARCH(실물목록!$Q$2:$Q$1001,I2573))*(실물목록!$R$2:$R$1001="")*(실물목록!$O$2:$O$1001&lt;&gt;"")*(실물목록!$O$2:$O$1001=H2573))&gt;0,"실물 있음",IF(SUMPRODUCT((실물목록!$P$2:$P$1001&lt;&gt;"")*ISNUMBER(SEARCH(실물목록!$P$2:$P$1001,I2573))*(실물목록!$R$2:$R$1001&lt;&gt;""))&gt;0,"확인필요(입력누락)",IF(SUMPRODUCT((실물목록!$P$2:$P$1001&lt;&gt;"")*ISNUMBER(SEARCH(실물목록!$P$2:$P$1001,I2573))*(실물목록!$Q$2:$Q$1001&lt;&gt;"")*ISNUMBER(SEARCH(실물목록!$Q$2:$Q$1001,I2573))*(실물목록!$R$2:$R$1001="")*(실물목록!$O$2:$O$1001&lt;&gt;""))&gt;0,"확인필요(연도다름)","실물 없음")))))</f>
      </c>
      <c r="G2573" t="n" s="16">
        <f aca="0">IF(B2573="","",SUMPRODUCT((실물목록!$P$2:$P$1001&lt;&gt;"")*ISNUMBER(SEARCH(실물목록!$P$2:$P$1001,I2573))*(실물목록!$Q$2:$Q$1001&lt;&gt;"")*ISNUMBER(SEARCH(실물목록!$Q$2:$Q$1001,I2573))*(실물목록!$R$2:$R$1001="")*(실물목록!$O$2:$O$1001&lt;&gt;"")*(실물목록!$O$2:$O$1001=H2573)))</f>
      </c>
      <c r="H2573" t="str">
        <f>IFERROR(IF(AND(LEN(SUBSTITUTE(SUBSTITUTE(SUBSTITUTE(TRIM(A2573&amp;""),CHAR(160),"")," ",""),"년",""))=4,VALUE(SUBSTITUTE(SUBSTITUTE(SUBSTITUTE(TRIM(A2573&amp;""),CHAR(160),"")," ",""),"년",""))&gt;=1900,VALUE(SUBSTITUTE(SUBSTITUTE(SUBSTITUTE(TRIM(A2573&amp;""),CHAR(160),"")," ",""),"년",""))&lt;=2099,TEXT(VALUE(SUBSTITUTE(SUBSTITUTE(SUBSTITUTE(TRIM(A2573&amp;""),CHAR(160),"")," ",""),"년","")),"0000")=SUBSTITUTE(SUBSTITUTE(SUBSTITUTE(TRIM(A2573&amp;""),CHAR(160),"")," ",""),"년","")),SUBSTITUTE(SUBSTITUTE(SUBSTITUTE(TRIM(A2573&amp;""),CHAR(160),"")," ",""),"년",""),""),"")</f>
      </c>
      <c r="I2573" t="str">
        <f>SUBSTITUTE(SUBSTITUTE(SUBSTITUTE(SUBSTITUTE(SUBSTITUTE(TRIM(B2573&amp;""),CHAR(160),"")," ",""),"초등학교","초"),"중학교","중"),"고등학교","고")</f>
      </c>
    </row>
    <row r="2574" customFormat="false" ht="15" hidden="false" customHeight="false" outlineLevel="0" collapsed="false">
      <c r="A2574" s="8"/>
      <c r="B2574" s="8"/>
      <c r="C2574" s="8"/>
      <c r="D2574" s="8"/>
      <c r="E2574" s="8"/>
      <c r="F2574" t="str" s="15">
        <f aca="0">IF(B2574="","",IF(H2574="","확인필요(입력누락)",IF(SUMPRODUCT((실물목록!$P$2:$P$1001&lt;&gt;"")*ISNUMBER(SEARCH(실물목록!$P$2:$P$1001,I2574))*(실물목록!$Q$2:$Q$1001&lt;&gt;"")*ISNUMBER(SEARCH(실물목록!$Q$2:$Q$1001,I2574))*(실물목록!$R$2:$R$1001="")*(실물목록!$O$2:$O$1001&lt;&gt;"")*(실물목록!$O$2:$O$1001=H2574))&gt;0,"실물 있음",IF(SUMPRODUCT((실물목록!$P$2:$P$1001&lt;&gt;"")*ISNUMBER(SEARCH(실물목록!$P$2:$P$1001,I2574))*(실물목록!$R$2:$R$1001&lt;&gt;""))&gt;0,"확인필요(입력누락)",IF(SUMPRODUCT((실물목록!$P$2:$P$1001&lt;&gt;"")*ISNUMBER(SEARCH(실물목록!$P$2:$P$1001,I2574))*(실물목록!$Q$2:$Q$1001&lt;&gt;"")*ISNUMBER(SEARCH(실물목록!$Q$2:$Q$1001,I2574))*(실물목록!$R$2:$R$1001="")*(실물목록!$O$2:$O$1001&lt;&gt;""))&gt;0,"확인필요(연도다름)","실물 없음")))))</f>
      </c>
      <c r="G2574" t="n" s="16">
        <f aca="0">IF(B2574="","",SUMPRODUCT((실물목록!$P$2:$P$1001&lt;&gt;"")*ISNUMBER(SEARCH(실물목록!$P$2:$P$1001,I2574))*(실물목록!$Q$2:$Q$1001&lt;&gt;"")*ISNUMBER(SEARCH(실물목록!$Q$2:$Q$1001,I2574))*(실물목록!$R$2:$R$1001="")*(실물목록!$O$2:$O$1001&lt;&gt;"")*(실물목록!$O$2:$O$1001=H2574)))</f>
      </c>
      <c r="H2574" t="str">
        <f>IFERROR(IF(AND(LEN(SUBSTITUTE(SUBSTITUTE(SUBSTITUTE(TRIM(A2574&amp;""),CHAR(160),"")," ",""),"년",""))=4,VALUE(SUBSTITUTE(SUBSTITUTE(SUBSTITUTE(TRIM(A2574&amp;""),CHAR(160),"")," ",""),"년",""))&gt;=1900,VALUE(SUBSTITUTE(SUBSTITUTE(SUBSTITUTE(TRIM(A2574&amp;""),CHAR(160),"")," ",""),"년",""))&lt;=2099,TEXT(VALUE(SUBSTITUTE(SUBSTITUTE(SUBSTITUTE(TRIM(A2574&amp;""),CHAR(160),"")," ",""),"년","")),"0000")=SUBSTITUTE(SUBSTITUTE(SUBSTITUTE(TRIM(A2574&amp;""),CHAR(160),"")," ",""),"년","")),SUBSTITUTE(SUBSTITUTE(SUBSTITUTE(TRIM(A2574&amp;""),CHAR(160),"")," ",""),"년",""),""),"")</f>
      </c>
      <c r="I2574" t="str">
        <f>SUBSTITUTE(SUBSTITUTE(SUBSTITUTE(SUBSTITUTE(SUBSTITUTE(TRIM(B2574&amp;""),CHAR(160),"")," ",""),"초등학교","초"),"중학교","중"),"고등학교","고")</f>
      </c>
    </row>
    <row r="2575" customFormat="false" ht="15" hidden="false" customHeight="false" outlineLevel="0" collapsed="false">
      <c r="A2575" s="8"/>
      <c r="B2575" s="8"/>
      <c r="C2575" s="8"/>
      <c r="D2575" s="8"/>
      <c r="E2575" s="8"/>
      <c r="F2575" t="str" s="15">
        <f aca="0">IF(B2575="","",IF(H2575="","확인필요(입력누락)",IF(SUMPRODUCT((실물목록!$P$2:$P$1001&lt;&gt;"")*ISNUMBER(SEARCH(실물목록!$P$2:$P$1001,I2575))*(실물목록!$Q$2:$Q$1001&lt;&gt;"")*ISNUMBER(SEARCH(실물목록!$Q$2:$Q$1001,I2575))*(실물목록!$R$2:$R$1001="")*(실물목록!$O$2:$O$1001&lt;&gt;"")*(실물목록!$O$2:$O$1001=H2575))&gt;0,"실물 있음",IF(SUMPRODUCT((실물목록!$P$2:$P$1001&lt;&gt;"")*ISNUMBER(SEARCH(실물목록!$P$2:$P$1001,I2575))*(실물목록!$R$2:$R$1001&lt;&gt;""))&gt;0,"확인필요(입력누락)",IF(SUMPRODUCT((실물목록!$P$2:$P$1001&lt;&gt;"")*ISNUMBER(SEARCH(실물목록!$P$2:$P$1001,I2575))*(실물목록!$Q$2:$Q$1001&lt;&gt;"")*ISNUMBER(SEARCH(실물목록!$Q$2:$Q$1001,I2575))*(실물목록!$R$2:$R$1001="")*(실물목록!$O$2:$O$1001&lt;&gt;""))&gt;0,"확인필요(연도다름)","실물 없음")))))</f>
      </c>
      <c r="G2575" t="n" s="16">
        <f aca="0">IF(B2575="","",SUMPRODUCT((실물목록!$P$2:$P$1001&lt;&gt;"")*ISNUMBER(SEARCH(실물목록!$P$2:$P$1001,I2575))*(실물목록!$Q$2:$Q$1001&lt;&gt;"")*ISNUMBER(SEARCH(실물목록!$Q$2:$Q$1001,I2575))*(실물목록!$R$2:$R$1001="")*(실물목록!$O$2:$O$1001&lt;&gt;"")*(실물목록!$O$2:$O$1001=H2575)))</f>
      </c>
      <c r="H2575" t="str">
        <f>IFERROR(IF(AND(LEN(SUBSTITUTE(SUBSTITUTE(SUBSTITUTE(TRIM(A2575&amp;""),CHAR(160),"")," ",""),"년",""))=4,VALUE(SUBSTITUTE(SUBSTITUTE(SUBSTITUTE(TRIM(A2575&amp;""),CHAR(160),"")," ",""),"년",""))&gt;=1900,VALUE(SUBSTITUTE(SUBSTITUTE(SUBSTITUTE(TRIM(A2575&amp;""),CHAR(160),"")," ",""),"년",""))&lt;=2099,TEXT(VALUE(SUBSTITUTE(SUBSTITUTE(SUBSTITUTE(TRIM(A2575&amp;""),CHAR(160),"")," ",""),"년","")),"0000")=SUBSTITUTE(SUBSTITUTE(SUBSTITUTE(TRIM(A2575&amp;""),CHAR(160),"")," ",""),"년","")),SUBSTITUTE(SUBSTITUTE(SUBSTITUTE(TRIM(A2575&amp;""),CHAR(160),"")," ",""),"년",""),""),"")</f>
      </c>
      <c r="I2575" t="str">
        <f>SUBSTITUTE(SUBSTITUTE(SUBSTITUTE(SUBSTITUTE(SUBSTITUTE(TRIM(B2575&amp;""),CHAR(160),"")," ",""),"초등학교","초"),"중학교","중"),"고등학교","고")</f>
      </c>
    </row>
    <row r="2576" customFormat="false" ht="15" hidden="false" customHeight="false" outlineLevel="0" collapsed="false">
      <c r="A2576" s="8"/>
      <c r="B2576" s="8"/>
      <c r="C2576" s="8"/>
      <c r="D2576" s="8"/>
      <c r="E2576" s="8"/>
      <c r="F2576" t="str" s="15">
        <f aca="0">IF(B2576="","",IF(H2576="","확인필요(입력누락)",IF(SUMPRODUCT((실물목록!$P$2:$P$1001&lt;&gt;"")*ISNUMBER(SEARCH(실물목록!$P$2:$P$1001,I2576))*(실물목록!$Q$2:$Q$1001&lt;&gt;"")*ISNUMBER(SEARCH(실물목록!$Q$2:$Q$1001,I2576))*(실물목록!$R$2:$R$1001="")*(실물목록!$O$2:$O$1001&lt;&gt;"")*(실물목록!$O$2:$O$1001=H2576))&gt;0,"실물 있음",IF(SUMPRODUCT((실물목록!$P$2:$P$1001&lt;&gt;"")*ISNUMBER(SEARCH(실물목록!$P$2:$P$1001,I2576))*(실물목록!$R$2:$R$1001&lt;&gt;""))&gt;0,"확인필요(입력누락)",IF(SUMPRODUCT((실물목록!$P$2:$P$1001&lt;&gt;"")*ISNUMBER(SEARCH(실물목록!$P$2:$P$1001,I2576))*(실물목록!$Q$2:$Q$1001&lt;&gt;"")*ISNUMBER(SEARCH(실물목록!$Q$2:$Q$1001,I2576))*(실물목록!$R$2:$R$1001="")*(실물목록!$O$2:$O$1001&lt;&gt;""))&gt;0,"확인필요(연도다름)","실물 없음")))))</f>
      </c>
      <c r="G2576" t="n" s="16">
        <f aca="0">IF(B2576="","",SUMPRODUCT((실물목록!$P$2:$P$1001&lt;&gt;"")*ISNUMBER(SEARCH(실물목록!$P$2:$P$1001,I2576))*(실물목록!$Q$2:$Q$1001&lt;&gt;"")*ISNUMBER(SEARCH(실물목록!$Q$2:$Q$1001,I2576))*(실물목록!$R$2:$R$1001="")*(실물목록!$O$2:$O$1001&lt;&gt;"")*(실물목록!$O$2:$O$1001=H2576)))</f>
      </c>
      <c r="H2576" t="str">
        <f>IFERROR(IF(AND(LEN(SUBSTITUTE(SUBSTITUTE(SUBSTITUTE(TRIM(A2576&amp;""),CHAR(160),"")," ",""),"년",""))=4,VALUE(SUBSTITUTE(SUBSTITUTE(SUBSTITUTE(TRIM(A2576&amp;""),CHAR(160),"")," ",""),"년",""))&gt;=1900,VALUE(SUBSTITUTE(SUBSTITUTE(SUBSTITUTE(TRIM(A2576&amp;""),CHAR(160),"")," ",""),"년",""))&lt;=2099,TEXT(VALUE(SUBSTITUTE(SUBSTITUTE(SUBSTITUTE(TRIM(A2576&amp;""),CHAR(160),"")," ",""),"년","")),"0000")=SUBSTITUTE(SUBSTITUTE(SUBSTITUTE(TRIM(A2576&amp;""),CHAR(160),"")," ",""),"년","")),SUBSTITUTE(SUBSTITUTE(SUBSTITUTE(TRIM(A2576&amp;""),CHAR(160),"")," ",""),"년",""),""),"")</f>
      </c>
      <c r="I2576" t="str">
        <f>SUBSTITUTE(SUBSTITUTE(SUBSTITUTE(SUBSTITUTE(SUBSTITUTE(TRIM(B2576&amp;""),CHAR(160),"")," ",""),"초등학교","초"),"중학교","중"),"고등학교","고")</f>
      </c>
    </row>
    <row r="2577" customFormat="false" ht="15" hidden="false" customHeight="false" outlineLevel="0" collapsed="false">
      <c r="A2577" s="8"/>
      <c r="B2577" s="8"/>
      <c r="C2577" s="8"/>
      <c r="D2577" s="8"/>
      <c r="E2577" s="8"/>
      <c r="F2577" t="str" s="15">
        <f aca="0">IF(B2577="","",IF(H2577="","확인필요(입력누락)",IF(SUMPRODUCT((실물목록!$P$2:$P$1001&lt;&gt;"")*ISNUMBER(SEARCH(실물목록!$P$2:$P$1001,I2577))*(실물목록!$Q$2:$Q$1001&lt;&gt;"")*ISNUMBER(SEARCH(실물목록!$Q$2:$Q$1001,I2577))*(실물목록!$R$2:$R$1001="")*(실물목록!$O$2:$O$1001&lt;&gt;"")*(실물목록!$O$2:$O$1001=H2577))&gt;0,"실물 있음",IF(SUMPRODUCT((실물목록!$P$2:$P$1001&lt;&gt;"")*ISNUMBER(SEARCH(실물목록!$P$2:$P$1001,I2577))*(실물목록!$R$2:$R$1001&lt;&gt;""))&gt;0,"확인필요(입력누락)",IF(SUMPRODUCT((실물목록!$P$2:$P$1001&lt;&gt;"")*ISNUMBER(SEARCH(실물목록!$P$2:$P$1001,I2577))*(실물목록!$Q$2:$Q$1001&lt;&gt;"")*ISNUMBER(SEARCH(실물목록!$Q$2:$Q$1001,I2577))*(실물목록!$R$2:$R$1001="")*(실물목록!$O$2:$O$1001&lt;&gt;""))&gt;0,"확인필요(연도다름)","실물 없음")))))</f>
      </c>
      <c r="G2577" t="n" s="16">
        <f aca="0">IF(B2577="","",SUMPRODUCT((실물목록!$P$2:$P$1001&lt;&gt;"")*ISNUMBER(SEARCH(실물목록!$P$2:$P$1001,I2577))*(실물목록!$Q$2:$Q$1001&lt;&gt;"")*ISNUMBER(SEARCH(실물목록!$Q$2:$Q$1001,I2577))*(실물목록!$R$2:$R$1001="")*(실물목록!$O$2:$O$1001&lt;&gt;"")*(실물목록!$O$2:$O$1001=H2577)))</f>
      </c>
      <c r="H2577" t="str">
        <f>IFERROR(IF(AND(LEN(SUBSTITUTE(SUBSTITUTE(SUBSTITUTE(TRIM(A2577&amp;""),CHAR(160),"")," ",""),"년",""))=4,VALUE(SUBSTITUTE(SUBSTITUTE(SUBSTITUTE(TRIM(A2577&amp;""),CHAR(160),"")," ",""),"년",""))&gt;=1900,VALUE(SUBSTITUTE(SUBSTITUTE(SUBSTITUTE(TRIM(A2577&amp;""),CHAR(160),"")," ",""),"년",""))&lt;=2099,TEXT(VALUE(SUBSTITUTE(SUBSTITUTE(SUBSTITUTE(TRIM(A2577&amp;""),CHAR(160),"")," ",""),"년","")),"0000")=SUBSTITUTE(SUBSTITUTE(SUBSTITUTE(TRIM(A2577&amp;""),CHAR(160),"")," ",""),"년","")),SUBSTITUTE(SUBSTITUTE(SUBSTITUTE(TRIM(A2577&amp;""),CHAR(160),"")," ",""),"년",""),""),"")</f>
      </c>
      <c r="I2577" t="str">
        <f>SUBSTITUTE(SUBSTITUTE(SUBSTITUTE(SUBSTITUTE(SUBSTITUTE(TRIM(B2577&amp;""),CHAR(160),"")," ",""),"초등학교","초"),"중학교","중"),"고등학교","고")</f>
      </c>
    </row>
    <row r="2578" customFormat="false" ht="15" hidden="false" customHeight="false" outlineLevel="0" collapsed="false">
      <c r="A2578" s="8"/>
      <c r="B2578" s="8"/>
      <c r="C2578" s="8"/>
      <c r="D2578" s="8"/>
      <c r="E2578" s="8"/>
      <c r="F2578" t="str" s="15">
        <f aca="0">IF(B2578="","",IF(H2578="","확인필요(입력누락)",IF(SUMPRODUCT((실물목록!$P$2:$P$1001&lt;&gt;"")*ISNUMBER(SEARCH(실물목록!$P$2:$P$1001,I2578))*(실물목록!$Q$2:$Q$1001&lt;&gt;"")*ISNUMBER(SEARCH(실물목록!$Q$2:$Q$1001,I2578))*(실물목록!$R$2:$R$1001="")*(실물목록!$O$2:$O$1001&lt;&gt;"")*(실물목록!$O$2:$O$1001=H2578))&gt;0,"실물 있음",IF(SUMPRODUCT((실물목록!$P$2:$P$1001&lt;&gt;"")*ISNUMBER(SEARCH(실물목록!$P$2:$P$1001,I2578))*(실물목록!$R$2:$R$1001&lt;&gt;""))&gt;0,"확인필요(입력누락)",IF(SUMPRODUCT((실물목록!$P$2:$P$1001&lt;&gt;"")*ISNUMBER(SEARCH(실물목록!$P$2:$P$1001,I2578))*(실물목록!$Q$2:$Q$1001&lt;&gt;"")*ISNUMBER(SEARCH(실물목록!$Q$2:$Q$1001,I2578))*(실물목록!$R$2:$R$1001="")*(실물목록!$O$2:$O$1001&lt;&gt;""))&gt;0,"확인필요(연도다름)","실물 없음")))))</f>
      </c>
      <c r="G2578" t="n" s="16">
        <f aca="0">IF(B2578="","",SUMPRODUCT((실물목록!$P$2:$P$1001&lt;&gt;"")*ISNUMBER(SEARCH(실물목록!$P$2:$P$1001,I2578))*(실물목록!$Q$2:$Q$1001&lt;&gt;"")*ISNUMBER(SEARCH(실물목록!$Q$2:$Q$1001,I2578))*(실물목록!$R$2:$R$1001="")*(실물목록!$O$2:$O$1001&lt;&gt;"")*(실물목록!$O$2:$O$1001=H2578)))</f>
      </c>
      <c r="H2578" t="str">
        <f>IFERROR(IF(AND(LEN(SUBSTITUTE(SUBSTITUTE(SUBSTITUTE(TRIM(A2578&amp;""),CHAR(160),"")," ",""),"년",""))=4,VALUE(SUBSTITUTE(SUBSTITUTE(SUBSTITUTE(TRIM(A2578&amp;""),CHAR(160),"")," ",""),"년",""))&gt;=1900,VALUE(SUBSTITUTE(SUBSTITUTE(SUBSTITUTE(TRIM(A2578&amp;""),CHAR(160),"")," ",""),"년",""))&lt;=2099,TEXT(VALUE(SUBSTITUTE(SUBSTITUTE(SUBSTITUTE(TRIM(A2578&amp;""),CHAR(160),"")," ",""),"년","")),"0000")=SUBSTITUTE(SUBSTITUTE(SUBSTITUTE(TRIM(A2578&amp;""),CHAR(160),"")," ",""),"년","")),SUBSTITUTE(SUBSTITUTE(SUBSTITUTE(TRIM(A2578&amp;""),CHAR(160),"")," ",""),"년",""),""),"")</f>
      </c>
      <c r="I2578" t="str">
        <f>SUBSTITUTE(SUBSTITUTE(SUBSTITUTE(SUBSTITUTE(SUBSTITUTE(TRIM(B2578&amp;""),CHAR(160),"")," ",""),"초등학교","초"),"중학교","중"),"고등학교","고")</f>
      </c>
    </row>
    <row r="2579" customFormat="false" ht="15" hidden="false" customHeight="false" outlineLevel="0" collapsed="false">
      <c r="A2579" s="8"/>
      <c r="B2579" s="8"/>
      <c r="C2579" s="8"/>
      <c r="D2579" s="8"/>
      <c r="E2579" s="8"/>
      <c r="F2579" t="str" s="15">
        <f aca="0">IF(B2579="","",IF(H2579="","확인필요(입력누락)",IF(SUMPRODUCT((실물목록!$P$2:$P$1001&lt;&gt;"")*ISNUMBER(SEARCH(실물목록!$P$2:$P$1001,I2579))*(실물목록!$Q$2:$Q$1001&lt;&gt;"")*ISNUMBER(SEARCH(실물목록!$Q$2:$Q$1001,I2579))*(실물목록!$R$2:$R$1001="")*(실물목록!$O$2:$O$1001&lt;&gt;"")*(실물목록!$O$2:$O$1001=H2579))&gt;0,"실물 있음",IF(SUMPRODUCT((실물목록!$P$2:$P$1001&lt;&gt;"")*ISNUMBER(SEARCH(실물목록!$P$2:$P$1001,I2579))*(실물목록!$R$2:$R$1001&lt;&gt;""))&gt;0,"확인필요(입력누락)",IF(SUMPRODUCT((실물목록!$P$2:$P$1001&lt;&gt;"")*ISNUMBER(SEARCH(실물목록!$P$2:$P$1001,I2579))*(실물목록!$Q$2:$Q$1001&lt;&gt;"")*ISNUMBER(SEARCH(실물목록!$Q$2:$Q$1001,I2579))*(실물목록!$R$2:$R$1001="")*(실물목록!$O$2:$O$1001&lt;&gt;""))&gt;0,"확인필요(연도다름)","실물 없음")))))</f>
      </c>
      <c r="G2579" t="n" s="16">
        <f aca="0">IF(B2579="","",SUMPRODUCT((실물목록!$P$2:$P$1001&lt;&gt;"")*ISNUMBER(SEARCH(실물목록!$P$2:$P$1001,I2579))*(실물목록!$Q$2:$Q$1001&lt;&gt;"")*ISNUMBER(SEARCH(실물목록!$Q$2:$Q$1001,I2579))*(실물목록!$R$2:$R$1001="")*(실물목록!$O$2:$O$1001&lt;&gt;"")*(실물목록!$O$2:$O$1001=H2579)))</f>
      </c>
      <c r="H2579" t="str">
        <f>IFERROR(IF(AND(LEN(SUBSTITUTE(SUBSTITUTE(SUBSTITUTE(TRIM(A2579&amp;""),CHAR(160),"")," ",""),"년",""))=4,VALUE(SUBSTITUTE(SUBSTITUTE(SUBSTITUTE(TRIM(A2579&amp;""),CHAR(160),"")," ",""),"년",""))&gt;=1900,VALUE(SUBSTITUTE(SUBSTITUTE(SUBSTITUTE(TRIM(A2579&amp;""),CHAR(160),"")," ",""),"년",""))&lt;=2099,TEXT(VALUE(SUBSTITUTE(SUBSTITUTE(SUBSTITUTE(TRIM(A2579&amp;""),CHAR(160),"")," ",""),"년","")),"0000")=SUBSTITUTE(SUBSTITUTE(SUBSTITUTE(TRIM(A2579&amp;""),CHAR(160),"")," ",""),"년","")),SUBSTITUTE(SUBSTITUTE(SUBSTITUTE(TRIM(A2579&amp;""),CHAR(160),"")," ",""),"년",""),""),"")</f>
      </c>
      <c r="I2579" t="str">
        <f>SUBSTITUTE(SUBSTITUTE(SUBSTITUTE(SUBSTITUTE(SUBSTITUTE(TRIM(B2579&amp;""),CHAR(160),"")," ",""),"초등학교","초"),"중학교","중"),"고등학교","고")</f>
      </c>
    </row>
    <row r="2580" customFormat="false" ht="15" hidden="false" customHeight="false" outlineLevel="0" collapsed="false">
      <c r="A2580" s="8"/>
      <c r="B2580" s="8"/>
      <c r="C2580" s="8"/>
      <c r="D2580" s="8"/>
      <c r="E2580" s="8"/>
      <c r="F2580" t="str" s="15">
        <f aca="0">IF(B2580="","",IF(H2580="","확인필요(입력누락)",IF(SUMPRODUCT((실물목록!$P$2:$P$1001&lt;&gt;"")*ISNUMBER(SEARCH(실물목록!$P$2:$P$1001,I2580))*(실물목록!$Q$2:$Q$1001&lt;&gt;"")*ISNUMBER(SEARCH(실물목록!$Q$2:$Q$1001,I2580))*(실물목록!$R$2:$R$1001="")*(실물목록!$O$2:$O$1001&lt;&gt;"")*(실물목록!$O$2:$O$1001=H2580))&gt;0,"실물 있음",IF(SUMPRODUCT((실물목록!$P$2:$P$1001&lt;&gt;"")*ISNUMBER(SEARCH(실물목록!$P$2:$P$1001,I2580))*(실물목록!$R$2:$R$1001&lt;&gt;""))&gt;0,"확인필요(입력누락)",IF(SUMPRODUCT((실물목록!$P$2:$P$1001&lt;&gt;"")*ISNUMBER(SEARCH(실물목록!$P$2:$P$1001,I2580))*(실물목록!$Q$2:$Q$1001&lt;&gt;"")*ISNUMBER(SEARCH(실물목록!$Q$2:$Q$1001,I2580))*(실물목록!$R$2:$R$1001="")*(실물목록!$O$2:$O$1001&lt;&gt;""))&gt;0,"확인필요(연도다름)","실물 없음")))))</f>
      </c>
      <c r="G2580" t="n" s="16">
        <f aca="0">IF(B2580="","",SUMPRODUCT((실물목록!$P$2:$P$1001&lt;&gt;"")*ISNUMBER(SEARCH(실물목록!$P$2:$P$1001,I2580))*(실물목록!$Q$2:$Q$1001&lt;&gt;"")*ISNUMBER(SEARCH(실물목록!$Q$2:$Q$1001,I2580))*(실물목록!$R$2:$R$1001="")*(실물목록!$O$2:$O$1001&lt;&gt;"")*(실물목록!$O$2:$O$1001=H2580)))</f>
      </c>
      <c r="H2580" t="str">
        <f>IFERROR(IF(AND(LEN(SUBSTITUTE(SUBSTITUTE(SUBSTITUTE(TRIM(A2580&amp;""),CHAR(160),"")," ",""),"년",""))=4,VALUE(SUBSTITUTE(SUBSTITUTE(SUBSTITUTE(TRIM(A2580&amp;""),CHAR(160),"")," ",""),"년",""))&gt;=1900,VALUE(SUBSTITUTE(SUBSTITUTE(SUBSTITUTE(TRIM(A2580&amp;""),CHAR(160),"")," ",""),"년",""))&lt;=2099,TEXT(VALUE(SUBSTITUTE(SUBSTITUTE(SUBSTITUTE(TRIM(A2580&amp;""),CHAR(160),"")," ",""),"년","")),"0000")=SUBSTITUTE(SUBSTITUTE(SUBSTITUTE(TRIM(A2580&amp;""),CHAR(160),"")," ",""),"년","")),SUBSTITUTE(SUBSTITUTE(SUBSTITUTE(TRIM(A2580&amp;""),CHAR(160),"")," ",""),"년",""),""),"")</f>
      </c>
      <c r="I2580" t="str">
        <f>SUBSTITUTE(SUBSTITUTE(SUBSTITUTE(SUBSTITUTE(SUBSTITUTE(TRIM(B2580&amp;""),CHAR(160),"")," ",""),"초등학교","초"),"중학교","중"),"고등학교","고")</f>
      </c>
    </row>
    <row r="2581" customFormat="false" ht="15" hidden="false" customHeight="false" outlineLevel="0" collapsed="false">
      <c r="A2581" s="8"/>
      <c r="B2581" s="8"/>
      <c r="C2581" s="8"/>
      <c r="D2581" s="8"/>
      <c r="E2581" s="8"/>
      <c r="F2581" t="str" s="15">
        <f aca="0">IF(B2581="","",IF(H2581="","확인필요(입력누락)",IF(SUMPRODUCT((실물목록!$P$2:$P$1001&lt;&gt;"")*ISNUMBER(SEARCH(실물목록!$P$2:$P$1001,I2581))*(실물목록!$Q$2:$Q$1001&lt;&gt;"")*ISNUMBER(SEARCH(실물목록!$Q$2:$Q$1001,I2581))*(실물목록!$R$2:$R$1001="")*(실물목록!$O$2:$O$1001&lt;&gt;"")*(실물목록!$O$2:$O$1001=H2581))&gt;0,"실물 있음",IF(SUMPRODUCT((실물목록!$P$2:$P$1001&lt;&gt;"")*ISNUMBER(SEARCH(실물목록!$P$2:$P$1001,I2581))*(실물목록!$R$2:$R$1001&lt;&gt;""))&gt;0,"확인필요(입력누락)",IF(SUMPRODUCT((실물목록!$P$2:$P$1001&lt;&gt;"")*ISNUMBER(SEARCH(실물목록!$P$2:$P$1001,I2581))*(실물목록!$Q$2:$Q$1001&lt;&gt;"")*ISNUMBER(SEARCH(실물목록!$Q$2:$Q$1001,I2581))*(실물목록!$R$2:$R$1001="")*(실물목록!$O$2:$O$1001&lt;&gt;""))&gt;0,"확인필요(연도다름)","실물 없음")))))</f>
      </c>
      <c r="G2581" t="n" s="16">
        <f aca="0">IF(B2581="","",SUMPRODUCT((실물목록!$P$2:$P$1001&lt;&gt;"")*ISNUMBER(SEARCH(실물목록!$P$2:$P$1001,I2581))*(실물목록!$Q$2:$Q$1001&lt;&gt;"")*ISNUMBER(SEARCH(실물목록!$Q$2:$Q$1001,I2581))*(실물목록!$R$2:$R$1001="")*(실물목록!$O$2:$O$1001&lt;&gt;"")*(실물목록!$O$2:$O$1001=H2581)))</f>
      </c>
      <c r="H2581" t="str">
        <f>IFERROR(IF(AND(LEN(SUBSTITUTE(SUBSTITUTE(SUBSTITUTE(TRIM(A2581&amp;""),CHAR(160),"")," ",""),"년",""))=4,VALUE(SUBSTITUTE(SUBSTITUTE(SUBSTITUTE(TRIM(A2581&amp;""),CHAR(160),"")," ",""),"년",""))&gt;=1900,VALUE(SUBSTITUTE(SUBSTITUTE(SUBSTITUTE(TRIM(A2581&amp;""),CHAR(160),"")," ",""),"년",""))&lt;=2099,TEXT(VALUE(SUBSTITUTE(SUBSTITUTE(SUBSTITUTE(TRIM(A2581&amp;""),CHAR(160),"")," ",""),"년","")),"0000")=SUBSTITUTE(SUBSTITUTE(SUBSTITUTE(TRIM(A2581&amp;""),CHAR(160),"")," ",""),"년","")),SUBSTITUTE(SUBSTITUTE(SUBSTITUTE(TRIM(A2581&amp;""),CHAR(160),"")," ",""),"년",""),""),"")</f>
      </c>
      <c r="I2581" t="str">
        <f>SUBSTITUTE(SUBSTITUTE(SUBSTITUTE(SUBSTITUTE(SUBSTITUTE(TRIM(B2581&amp;""),CHAR(160),"")," ",""),"초등학교","초"),"중학교","중"),"고등학교","고")</f>
      </c>
    </row>
    <row r="2582" customFormat="false" ht="15" hidden="false" customHeight="false" outlineLevel="0" collapsed="false">
      <c r="A2582" s="8"/>
      <c r="B2582" s="8"/>
      <c r="C2582" s="8"/>
      <c r="D2582" s="8"/>
      <c r="E2582" s="8"/>
      <c r="F2582" t="str" s="15">
        <f aca="0">IF(B2582="","",IF(H2582="","확인필요(입력누락)",IF(SUMPRODUCT((실물목록!$P$2:$P$1001&lt;&gt;"")*ISNUMBER(SEARCH(실물목록!$P$2:$P$1001,I2582))*(실물목록!$Q$2:$Q$1001&lt;&gt;"")*ISNUMBER(SEARCH(실물목록!$Q$2:$Q$1001,I2582))*(실물목록!$R$2:$R$1001="")*(실물목록!$O$2:$O$1001&lt;&gt;"")*(실물목록!$O$2:$O$1001=H2582))&gt;0,"실물 있음",IF(SUMPRODUCT((실물목록!$P$2:$P$1001&lt;&gt;"")*ISNUMBER(SEARCH(실물목록!$P$2:$P$1001,I2582))*(실물목록!$R$2:$R$1001&lt;&gt;""))&gt;0,"확인필요(입력누락)",IF(SUMPRODUCT((실물목록!$P$2:$P$1001&lt;&gt;"")*ISNUMBER(SEARCH(실물목록!$P$2:$P$1001,I2582))*(실물목록!$Q$2:$Q$1001&lt;&gt;"")*ISNUMBER(SEARCH(실물목록!$Q$2:$Q$1001,I2582))*(실물목록!$R$2:$R$1001="")*(실물목록!$O$2:$O$1001&lt;&gt;""))&gt;0,"확인필요(연도다름)","실물 없음")))))</f>
      </c>
      <c r="G2582" t="n" s="16">
        <f aca="0">IF(B2582="","",SUMPRODUCT((실물목록!$P$2:$P$1001&lt;&gt;"")*ISNUMBER(SEARCH(실물목록!$P$2:$P$1001,I2582))*(실물목록!$Q$2:$Q$1001&lt;&gt;"")*ISNUMBER(SEARCH(실물목록!$Q$2:$Q$1001,I2582))*(실물목록!$R$2:$R$1001="")*(실물목록!$O$2:$O$1001&lt;&gt;"")*(실물목록!$O$2:$O$1001=H2582)))</f>
      </c>
      <c r="H2582" t="str">
        <f>IFERROR(IF(AND(LEN(SUBSTITUTE(SUBSTITUTE(SUBSTITUTE(TRIM(A2582&amp;""),CHAR(160),"")," ",""),"년",""))=4,VALUE(SUBSTITUTE(SUBSTITUTE(SUBSTITUTE(TRIM(A2582&amp;""),CHAR(160),"")," ",""),"년",""))&gt;=1900,VALUE(SUBSTITUTE(SUBSTITUTE(SUBSTITUTE(TRIM(A2582&amp;""),CHAR(160),"")," ",""),"년",""))&lt;=2099,TEXT(VALUE(SUBSTITUTE(SUBSTITUTE(SUBSTITUTE(TRIM(A2582&amp;""),CHAR(160),"")," ",""),"년","")),"0000")=SUBSTITUTE(SUBSTITUTE(SUBSTITUTE(TRIM(A2582&amp;""),CHAR(160),"")," ",""),"년","")),SUBSTITUTE(SUBSTITUTE(SUBSTITUTE(TRIM(A2582&amp;""),CHAR(160),"")," ",""),"년",""),""),"")</f>
      </c>
      <c r="I2582" t="str">
        <f>SUBSTITUTE(SUBSTITUTE(SUBSTITUTE(SUBSTITUTE(SUBSTITUTE(TRIM(B2582&amp;""),CHAR(160),"")," ",""),"초등학교","초"),"중학교","중"),"고등학교","고")</f>
      </c>
    </row>
    <row r="2583" customFormat="false" ht="15" hidden="false" customHeight="false" outlineLevel="0" collapsed="false">
      <c r="A2583" s="8"/>
      <c r="B2583" s="8"/>
      <c r="C2583" s="8"/>
      <c r="D2583" s="8"/>
      <c r="E2583" s="8"/>
      <c r="F2583" t="str" s="15">
        <f aca="0">IF(B2583="","",IF(H2583="","확인필요(입력누락)",IF(SUMPRODUCT((실물목록!$P$2:$P$1001&lt;&gt;"")*ISNUMBER(SEARCH(실물목록!$P$2:$P$1001,I2583))*(실물목록!$Q$2:$Q$1001&lt;&gt;"")*ISNUMBER(SEARCH(실물목록!$Q$2:$Q$1001,I2583))*(실물목록!$R$2:$R$1001="")*(실물목록!$O$2:$O$1001&lt;&gt;"")*(실물목록!$O$2:$O$1001=H2583))&gt;0,"실물 있음",IF(SUMPRODUCT((실물목록!$P$2:$P$1001&lt;&gt;"")*ISNUMBER(SEARCH(실물목록!$P$2:$P$1001,I2583))*(실물목록!$R$2:$R$1001&lt;&gt;""))&gt;0,"확인필요(입력누락)",IF(SUMPRODUCT((실물목록!$P$2:$P$1001&lt;&gt;"")*ISNUMBER(SEARCH(실물목록!$P$2:$P$1001,I2583))*(실물목록!$Q$2:$Q$1001&lt;&gt;"")*ISNUMBER(SEARCH(실물목록!$Q$2:$Q$1001,I2583))*(실물목록!$R$2:$R$1001="")*(실물목록!$O$2:$O$1001&lt;&gt;""))&gt;0,"확인필요(연도다름)","실물 없음")))))</f>
      </c>
      <c r="G2583" t="n" s="16">
        <f aca="0">IF(B2583="","",SUMPRODUCT((실물목록!$P$2:$P$1001&lt;&gt;"")*ISNUMBER(SEARCH(실물목록!$P$2:$P$1001,I2583))*(실물목록!$Q$2:$Q$1001&lt;&gt;"")*ISNUMBER(SEARCH(실물목록!$Q$2:$Q$1001,I2583))*(실물목록!$R$2:$R$1001="")*(실물목록!$O$2:$O$1001&lt;&gt;"")*(실물목록!$O$2:$O$1001=H2583)))</f>
      </c>
      <c r="H2583" t="str">
        <f>IFERROR(IF(AND(LEN(SUBSTITUTE(SUBSTITUTE(SUBSTITUTE(TRIM(A2583&amp;""),CHAR(160),"")," ",""),"년",""))=4,VALUE(SUBSTITUTE(SUBSTITUTE(SUBSTITUTE(TRIM(A2583&amp;""),CHAR(160),"")," ",""),"년",""))&gt;=1900,VALUE(SUBSTITUTE(SUBSTITUTE(SUBSTITUTE(TRIM(A2583&amp;""),CHAR(160),"")," ",""),"년",""))&lt;=2099,TEXT(VALUE(SUBSTITUTE(SUBSTITUTE(SUBSTITUTE(TRIM(A2583&amp;""),CHAR(160),"")," ",""),"년","")),"0000")=SUBSTITUTE(SUBSTITUTE(SUBSTITUTE(TRIM(A2583&amp;""),CHAR(160),"")," ",""),"년","")),SUBSTITUTE(SUBSTITUTE(SUBSTITUTE(TRIM(A2583&amp;""),CHAR(160),"")," ",""),"년",""),""),"")</f>
      </c>
      <c r="I2583" t="str">
        <f>SUBSTITUTE(SUBSTITUTE(SUBSTITUTE(SUBSTITUTE(SUBSTITUTE(TRIM(B2583&amp;""),CHAR(160),"")," ",""),"초등학교","초"),"중학교","중"),"고등학교","고")</f>
      </c>
    </row>
    <row r="2584" customFormat="false" ht="15" hidden="false" customHeight="false" outlineLevel="0" collapsed="false">
      <c r="A2584" s="8"/>
      <c r="B2584" s="8"/>
      <c r="C2584" s="8"/>
      <c r="D2584" s="8"/>
      <c r="E2584" s="8"/>
      <c r="F2584" t="str" s="15">
        <f aca="0">IF(B2584="","",IF(H2584="","확인필요(입력누락)",IF(SUMPRODUCT((실물목록!$P$2:$P$1001&lt;&gt;"")*ISNUMBER(SEARCH(실물목록!$P$2:$P$1001,I2584))*(실물목록!$Q$2:$Q$1001&lt;&gt;"")*ISNUMBER(SEARCH(실물목록!$Q$2:$Q$1001,I2584))*(실물목록!$R$2:$R$1001="")*(실물목록!$O$2:$O$1001&lt;&gt;"")*(실물목록!$O$2:$O$1001=H2584))&gt;0,"실물 있음",IF(SUMPRODUCT((실물목록!$P$2:$P$1001&lt;&gt;"")*ISNUMBER(SEARCH(실물목록!$P$2:$P$1001,I2584))*(실물목록!$R$2:$R$1001&lt;&gt;""))&gt;0,"확인필요(입력누락)",IF(SUMPRODUCT((실물목록!$P$2:$P$1001&lt;&gt;"")*ISNUMBER(SEARCH(실물목록!$P$2:$P$1001,I2584))*(실물목록!$Q$2:$Q$1001&lt;&gt;"")*ISNUMBER(SEARCH(실물목록!$Q$2:$Q$1001,I2584))*(실물목록!$R$2:$R$1001="")*(실물목록!$O$2:$O$1001&lt;&gt;""))&gt;0,"확인필요(연도다름)","실물 없음")))))</f>
      </c>
      <c r="G2584" t="n" s="16">
        <f aca="0">IF(B2584="","",SUMPRODUCT((실물목록!$P$2:$P$1001&lt;&gt;"")*ISNUMBER(SEARCH(실물목록!$P$2:$P$1001,I2584))*(실물목록!$Q$2:$Q$1001&lt;&gt;"")*ISNUMBER(SEARCH(실물목록!$Q$2:$Q$1001,I2584))*(실물목록!$R$2:$R$1001="")*(실물목록!$O$2:$O$1001&lt;&gt;"")*(실물목록!$O$2:$O$1001=H2584)))</f>
      </c>
      <c r="H2584" t="str">
        <f>IFERROR(IF(AND(LEN(SUBSTITUTE(SUBSTITUTE(SUBSTITUTE(TRIM(A2584&amp;""),CHAR(160),"")," ",""),"년",""))=4,VALUE(SUBSTITUTE(SUBSTITUTE(SUBSTITUTE(TRIM(A2584&amp;""),CHAR(160),"")," ",""),"년",""))&gt;=1900,VALUE(SUBSTITUTE(SUBSTITUTE(SUBSTITUTE(TRIM(A2584&amp;""),CHAR(160),"")," ",""),"년",""))&lt;=2099,TEXT(VALUE(SUBSTITUTE(SUBSTITUTE(SUBSTITUTE(TRIM(A2584&amp;""),CHAR(160),"")," ",""),"년","")),"0000")=SUBSTITUTE(SUBSTITUTE(SUBSTITUTE(TRIM(A2584&amp;""),CHAR(160),"")," ",""),"년","")),SUBSTITUTE(SUBSTITUTE(SUBSTITUTE(TRIM(A2584&amp;""),CHAR(160),"")," ",""),"년",""),""),"")</f>
      </c>
      <c r="I2584" t="str">
        <f>SUBSTITUTE(SUBSTITUTE(SUBSTITUTE(SUBSTITUTE(SUBSTITUTE(TRIM(B2584&amp;""),CHAR(160),"")," ",""),"초등학교","초"),"중학교","중"),"고등학교","고")</f>
      </c>
    </row>
    <row r="2585" customFormat="false" ht="15" hidden="false" customHeight="false" outlineLevel="0" collapsed="false">
      <c r="A2585" s="8"/>
      <c r="B2585" s="8"/>
      <c r="C2585" s="8"/>
      <c r="D2585" s="8"/>
      <c r="E2585" s="8"/>
      <c r="F2585" t="str" s="15">
        <f aca="0">IF(B2585="","",IF(H2585="","확인필요(입력누락)",IF(SUMPRODUCT((실물목록!$P$2:$P$1001&lt;&gt;"")*ISNUMBER(SEARCH(실물목록!$P$2:$P$1001,I2585))*(실물목록!$Q$2:$Q$1001&lt;&gt;"")*ISNUMBER(SEARCH(실물목록!$Q$2:$Q$1001,I2585))*(실물목록!$R$2:$R$1001="")*(실물목록!$O$2:$O$1001&lt;&gt;"")*(실물목록!$O$2:$O$1001=H2585))&gt;0,"실물 있음",IF(SUMPRODUCT((실물목록!$P$2:$P$1001&lt;&gt;"")*ISNUMBER(SEARCH(실물목록!$P$2:$P$1001,I2585))*(실물목록!$R$2:$R$1001&lt;&gt;""))&gt;0,"확인필요(입력누락)",IF(SUMPRODUCT((실물목록!$P$2:$P$1001&lt;&gt;"")*ISNUMBER(SEARCH(실물목록!$P$2:$P$1001,I2585))*(실물목록!$Q$2:$Q$1001&lt;&gt;"")*ISNUMBER(SEARCH(실물목록!$Q$2:$Q$1001,I2585))*(실물목록!$R$2:$R$1001="")*(실물목록!$O$2:$O$1001&lt;&gt;""))&gt;0,"확인필요(연도다름)","실물 없음")))))</f>
      </c>
      <c r="G2585" t="n" s="16">
        <f aca="0">IF(B2585="","",SUMPRODUCT((실물목록!$P$2:$P$1001&lt;&gt;"")*ISNUMBER(SEARCH(실물목록!$P$2:$P$1001,I2585))*(실물목록!$Q$2:$Q$1001&lt;&gt;"")*ISNUMBER(SEARCH(실물목록!$Q$2:$Q$1001,I2585))*(실물목록!$R$2:$R$1001="")*(실물목록!$O$2:$O$1001&lt;&gt;"")*(실물목록!$O$2:$O$1001=H2585)))</f>
      </c>
      <c r="H2585" t="str">
        <f>IFERROR(IF(AND(LEN(SUBSTITUTE(SUBSTITUTE(SUBSTITUTE(TRIM(A2585&amp;""),CHAR(160),"")," ",""),"년",""))=4,VALUE(SUBSTITUTE(SUBSTITUTE(SUBSTITUTE(TRIM(A2585&amp;""),CHAR(160),"")," ",""),"년",""))&gt;=1900,VALUE(SUBSTITUTE(SUBSTITUTE(SUBSTITUTE(TRIM(A2585&amp;""),CHAR(160),"")," ",""),"년",""))&lt;=2099,TEXT(VALUE(SUBSTITUTE(SUBSTITUTE(SUBSTITUTE(TRIM(A2585&amp;""),CHAR(160),"")," ",""),"년","")),"0000")=SUBSTITUTE(SUBSTITUTE(SUBSTITUTE(TRIM(A2585&amp;""),CHAR(160),"")," ",""),"년","")),SUBSTITUTE(SUBSTITUTE(SUBSTITUTE(TRIM(A2585&amp;""),CHAR(160),"")," ",""),"년",""),""),"")</f>
      </c>
      <c r="I2585" t="str">
        <f>SUBSTITUTE(SUBSTITUTE(SUBSTITUTE(SUBSTITUTE(SUBSTITUTE(TRIM(B2585&amp;""),CHAR(160),"")," ",""),"초등학교","초"),"중학교","중"),"고등학교","고")</f>
      </c>
    </row>
    <row r="2586" customFormat="false" ht="15" hidden="false" customHeight="false" outlineLevel="0" collapsed="false">
      <c r="A2586" s="8"/>
      <c r="B2586" s="8"/>
      <c r="C2586" s="8"/>
      <c r="D2586" s="8"/>
      <c r="E2586" s="8"/>
      <c r="F2586" t="str" s="15">
        <f aca="0">IF(B2586="","",IF(H2586="","확인필요(입력누락)",IF(SUMPRODUCT((실물목록!$P$2:$P$1001&lt;&gt;"")*ISNUMBER(SEARCH(실물목록!$P$2:$P$1001,I2586))*(실물목록!$Q$2:$Q$1001&lt;&gt;"")*ISNUMBER(SEARCH(실물목록!$Q$2:$Q$1001,I2586))*(실물목록!$R$2:$R$1001="")*(실물목록!$O$2:$O$1001&lt;&gt;"")*(실물목록!$O$2:$O$1001=H2586))&gt;0,"실물 있음",IF(SUMPRODUCT((실물목록!$P$2:$P$1001&lt;&gt;"")*ISNUMBER(SEARCH(실물목록!$P$2:$P$1001,I2586))*(실물목록!$R$2:$R$1001&lt;&gt;""))&gt;0,"확인필요(입력누락)",IF(SUMPRODUCT((실물목록!$P$2:$P$1001&lt;&gt;"")*ISNUMBER(SEARCH(실물목록!$P$2:$P$1001,I2586))*(실물목록!$Q$2:$Q$1001&lt;&gt;"")*ISNUMBER(SEARCH(실물목록!$Q$2:$Q$1001,I2586))*(실물목록!$R$2:$R$1001="")*(실물목록!$O$2:$O$1001&lt;&gt;""))&gt;0,"확인필요(연도다름)","실물 없음")))))</f>
      </c>
      <c r="G2586" t="n" s="16">
        <f aca="0">IF(B2586="","",SUMPRODUCT((실물목록!$P$2:$P$1001&lt;&gt;"")*ISNUMBER(SEARCH(실물목록!$P$2:$P$1001,I2586))*(실물목록!$Q$2:$Q$1001&lt;&gt;"")*ISNUMBER(SEARCH(실물목록!$Q$2:$Q$1001,I2586))*(실물목록!$R$2:$R$1001="")*(실물목록!$O$2:$O$1001&lt;&gt;"")*(실물목록!$O$2:$O$1001=H2586)))</f>
      </c>
      <c r="H2586" t="str">
        <f>IFERROR(IF(AND(LEN(SUBSTITUTE(SUBSTITUTE(SUBSTITUTE(TRIM(A2586&amp;""),CHAR(160),"")," ",""),"년",""))=4,VALUE(SUBSTITUTE(SUBSTITUTE(SUBSTITUTE(TRIM(A2586&amp;""),CHAR(160),"")," ",""),"년",""))&gt;=1900,VALUE(SUBSTITUTE(SUBSTITUTE(SUBSTITUTE(TRIM(A2586&amp;""),CHAR(160),"")," ",""),"년",""))&lt;=2099,TEXT(VALUE(SUBSTITUTE(SUBSTITUTE(SUBSTITUTE(TRIM(A2586&amp;""),CHAR(160),"")," ",""),"년","")),"0000")=SUBSTITUTE(SUBSTITUTE(SUBSTITUTE(TRIM(A2586&amp;""),CHAR(160),"")," ",""),"년","")),SUBSTITUTE(SUBSTITUTE(SUBSTITUTE(TRIM(A2586&amp;""),CHAR(160),"")," ",""),"년",""),""),"")</f>
      </c>
      <c r="I2586" t="str">
        <f>SUBSTITUTE(SUBSTITUTE(SUBSTITUTE(SUBSTITUTE(SUBSTITUTE(TRIM(B2586&amp;""),CHAR(160),"")," ",""),"초등학교","초"),"중학교","중"),"고등학교","고")</f>
      </c>
    </row>
    <row r="2587" customFormat="false" ht="15" hidden="false" customHeight="false" outlineLevel="0" collapsed="false">
      <c r="A2587" s="8"/>
      <c r="B2587" s="8"/>
      <c r="C2587" s="8"/>
      <c r="D2587" s="8"/>
      <c r="E2587" s="8"/>
      <c r="F2587" t="str" s="15">
        <f aca="0">IF(B2587="","",IF(H2587="","확인필요(입력누락)",IF(SUMPRODUCT((실물목록!$P$2:$P$1001&lt;&gt;"")*ISNUMBER(SEARCH(실물목록!$P$2:$P$1001,I2587))*(실물목록!$Q$2:$Q$1001&lt;&gt;"")*ISNUMBER(SEARCH(실물목록!$Q$2:$Q$1001,I2587))*(실물목록!$R$2:$R$1001="")*(실물목록!$O$2:$O$1001&lt;&gt;"")*(실물목록!$O$2:$O$1001=H2587))&gt;0,"실물 있음",IF(SUMPRODUCT((실물목록!$P$2:$P$1001&lt;&gt;"")*ISNUMBER(SEARCH(실물목록!$P$2:$P$1001,I2587))*(실물목록!$R$2:$R$1001&lt;&gt;""))&gt;0,"확인필요(입력누락)",IF(SUMPRODUCT((실물목록!$P$2:$P$1001&lt;&gt;"")*ISNUMBER(SEARCH(실물목록!$P$2:$P$1001,I2587))*(실물목록!$Q$2:$Q$1001&lt;&gt;"")*ISNUMBER(SEARCH(실물목록!$Q$2:$Q$1001,I2587))*(실물목록!$R$2:$R$1001="")*(실물목록!$O$2:$O$1001&lt;&gt;""))&gt;0,"확인필요(연도다름)","실물 없음")))))</f>
      </c>
      <c r="G2587" t="n" s="16">
        <f aca="0">IF(B2587="","",SUMPRODUCT((실물목록!$P$2:$P$1001&lt;&gt;"")*ISNUMBER(SEARCH(실물목록!$P$2:$P$1001,I2587))*(실물목록!$Q$2:$Q$1001&lt;&gt;"")*ISNUMBER(SEARCH(실물목록!$Q$2:$Q$1001,I2587))*(실물목록!$R$2:$R$1001="")*(실물목록!$O$2:$O$1001&lt;&gt;"")*(실물목록!$O$2:$O$1001=H2587)))</f>
      </c>
      <c r="H2587" t="str">
        <f>IFERROR(IF(AND(LEN(SUBSTITUTE(SUBSTITUTE(SUBSTITUTE(TRIM(A2587&amp;""),CHAR(160),"")," ",""),"년",""))=4,VALUE(SUBSTITUTE(SUBSTITUTE(SUBSTITUTE(TRIM(A2587&amp;""),CHAR(160),"")," ",""),"년",""))&gt;=1900,VALUE(SUBSTITUTE(SUBSTITUTE(SUBSTITUTE(TRIM(A2587&amp;""),CHAR(160),"")," ",""),"년",""))&lt;=2099,TEXT(VALUE(SUBSTITUTE(SUBSTITUTE(SUBSTITUTE(TRIM(A2587&amp;""),CHAR(160),"")," ",""),"년","")),"0000")=SUBSTITUTE(SUBSTITUTE(SUBSTITUTE(TRIM(A2587&amp;""),CHAR(160),"")," ",""),"년","")),SUBSTITUTE(SUBSTITUTE(SUBSTITUTE(TRIM(A2587&amp;""),CHAR(160),"")," ",""),"년",""),""),"")</f>
      </c>
      <c r="I2587" t="str">
        <f>SUBSTITUTE(SUBSTITUTE(SUBSTITUTE(SUBSTITUTE(SUBSTITUTE(TRIM(B2587&amp;""),CHAR(160),"")," ",""),"초등학교","초"),"중학교","중"),"고등학교","고")</f>
      </c>
    </row>
    <row r="2588" customFormat="false" ht="15" hidden="false" customHeight="false" outlineLevel="0" collapsed="false">
      <c r="A2588" s="8"/>
      <c r="B2588" s="8"/>
      <c r="C2588" s="8"/>
      <c r="D2588" s="8"/>
      <c r="E2588" s="8"/>
      <c r="F2588" t="str" s="15">
        <f aca="0">IF(B2588="","",IF(H2588="","확인필요(입력누락)",IF(SUMPRODUCT((실물목록!$P$2:$P$1001&lt;&gt;"")*ISNUMBER(SEARCH(실물목록!$P$2:$P$1001,I2588))*(실물목록!$Q$2:$Q$1001&lt;&gt;"")*ISNUMBER(SEARCH(실물목록!$Q$2:$Q$1001,I2588))*(실물목록!$R$2:$R$1001="")*(실물목록!$O$2:$O$1001&lt;&gt;"")*(실물목록!$O$2:$O$1001=H2588))&gt;0,"실물 있음",IF(SUMPRODUCT((실물목록!$P$2:$P$1001&lt;&gt;"")*ISNUMBER(SEARCH(실물목록!$P$2:$P$1001,I2588))*(실물목록!$R$2:$R$1001&lt;&gt;""))&gt;0,"확인필요(입력누락)",IF(SUMPRODUCT((실물목록!$P$2:$P$1001&lt;&gt;"")*ISNUMBER(SEARCH(실물목록!$P$2:$P$1001,I2588))*(실물목록!$Q$2:$Q$1001&lt;&gt;"")*ISNUMBER(SEARCH(실물목록!$Q$2:$Q$1001,I2588))*(실물목록!$R$2:$R$1001="")*(실물목록!$O$2:$O$1001&lt;&gt;""))&gt;0,"확인필요(연도다름)","실물 없음")))))</f>
      </c>
      <c r="G2588" t="n" s="16">
        <f aca="0">IF(B2588="","",SUMPRODUCT((실물목록!$P$2:$P$1001&lt;&gt;"")*ISNUMBER(SEARCH(실물목록!$P$2:$P$1001,I2588))*(실물목록!$Q$2:$Q$1001&lt;&gt;"")*ISNUMBER(SEARCH(실물목록!$Q$2:$Q$1001,I2588))*(실물목록!$R$2:$R$1001="")*(실물목록!$O$2:$O$1001&lt;&gt;"")*(실물목록!$O$2:$O$1001=H2588)))</f>
      </c>
      <c r="H2588" t="str">
        <f>IFERROR(IF(AND(LEN(SUBSTITUTE(SUBSTITUTE(SUBSTITUTE(TRIM(A2588&amp;""),CHAR(160),"")," ",""),"년",""))=4,VALUE(SUBSTITUTE(SUBSTITUTE(SUBSTITUTE(TRIM(A2588&amp;""),CHAR(160),"")," ",""),"년",""))&gt;=1900,VALUE(SUBSTITUTE(SUBSTITUTE(SUBSTITUTE(TRIM(A2588&amp;""),CHAR(160),"")," ",""),"년",""))&lt;=2099,TEXT(VALUE(SUBSTITUTE(SUBSTITUTE(SUBSTITUTE(TRIM(A2588&amp;""),CHAR(160),"")," ",""),"년","")),"0000")=SUBSTITUTE(SUBSTITUTE(SUBSTITUTE(TRIM(A2588&amp;""),CHAR(160),"")," ",""),"년","")),SUBSTITUTE(SUBSTITUTE(SUBSTITUTE(TRIM(A2588&amp;""),CHAR(160),"")," ",""),"년",""),""),"")</f>
      </c>
      <c r="I2588" t="str">
        <f>SUBSTITUTE(SUBSTITUTE(SUBSTITUTE(SUBSTITUTE(SUBSTITUTE(TRIM(B2588&amp;""),CHAR(160),"")," ",""),"초등학교","초"),"중학교","중"),"고등학교","고")</f>
      </c>
    </row>
    <row r="2589" customFormat="false" ht="15" hidden="false" customHeight="false" outlineLevel="0" collapsed="false">
      <c r="A2589" s="8"/>
      <c r="B2589" s="8"/>
      <c r="C2589" s="8"/>
      <c r="D2589" s="8"/>
      <c r="E2589" s="8"/>
      <c r="F2589" t="str" s="15">
        <f aca="0">IF(B2589="","",IF(H2589="","확인필요(입력누락)",IF(SUMPRODUCT((실물목록!$P$2:$P$1001&lt;&gt;"")*ISNUMBER(SEARCH(실물목록!$P$2:$P$1001,I2589))*(실물목록!$Q$2:$Q$1001&lt;&gt;"")*ISNUMBER(SEARCH(실물목록!$Q$2:$Q$1001,I2589))*(실물목록!$R$2:$R$1001="")*(실물목록!$O$2:$O$1001&lt;&gt;"")*(실물목록!$O$2:$O$1001=H2589))&gt;0,"실물 있음",IF(SUMPRODUCT((실물목록!$P$2:$P$1001&lt;&gt;"")*ISNUMBER(SEARCH(실물목록!$P$2:$P$1001,I2589))*(실물목록!$R$2:$R$1001&lt;&gt;""))&gt;0,"확인필요(입력누락)",IF(SUMPRODUCT((실물목록!$P$2:$P$1001&lt;&gt;"")*ISNUMBER(SEARCH(실물목록!$P$2:$P$1001,I2589))*(실물목록!$Q$2:$Q$1001&lt;&gt;"")*ISNUMBER(SEARCH(실물목록!$Q$2:$Q$1001,I2589))*(실물목록!$R$2:$R$1001="")*(실물목록!$O$2:$O$1001&lt;&gt;""))&gt;0,"확인필요(연도다름)","실물 없음")))))</f>
      </c>
      <c r="G2589" t="n" s="16">
        <f aca="0">IF(B2589="","",SUMPRODUCT((실물목록!$P$2:$P$1001&lt;&gt;"")*ISNUMBER(SEARCH(실물목록!$P$2:$P$1001,I2589))*(실물목록!$Q$2:$Q$1001&lt;&gt;"")*ISNUMBER(SEARCH(실물목록!$Q$2:$Q$1001,I2589))*(실물목록!$R$2:$R$1001="")*(실물목록!$O$2:$O$1001&lt;&gt;"")*(실물목록!$O$2:$O$1001=H2589)))</f>
      </c>
      <c r="H2589" t="str">
        <f>IFERROR(IF(AND(LEN(SUBSTITUTE(SUBSTITUTE(SUBSTITUTE(TRIM(A2589&amp;""),CHAR(160),"")," ",""),"년",""))=4,VALUE(SUBSTITUTE(SUBSTITUTE(SUBSTITUTE(TRIM(A2589&amp;""),CHAR(160),"")," ",""),"년",""))&gt;=1900,VALUE(SUBSTITUTE(SUBSTITUTE(SUBSTITUTE(TRIM(A2589&amp;""),CHAR(160),"")," ",""),"년",""))&lt;=2099,TEXT(VALUE(SUBSTITUTE(SUBSTITUTE(SUBSTITUTE(TRIM(A2589&amp;""),CHAR(160),"")," ",""),"년","")),"0000")=SUBSTITUTE(SUBSTITUTE(SUBSTITUTE(TRIM(A2589&amp;""),CHAR(160),"")," ",""),"년","")),SUBSTITUTE(SUBSTITUTE(SUBSTITUTE(TRIM(A2589&amp;""),CHAR(160),"")," ",""),"년",""),""),"")</f>
      </c>
      <c r="I2589" t="str">
        <f>SUBSTITUTE(SUBSTITUTE(SUBSTITUTE(SUBSTITUTE(SUBSTITUTE(TRIM(B2589&amp;""),CHAR(160),"")," ",""),"초등학교","초"),"중학교","중"),"고등학교","고")</f>
      </c>
    </row>
    <row r="2590" customFormat="false" ht="15" hidden="false" customHeight="false" outlineLevel="0" collapsed="false">
      <c r="A2590" s="8"/>
      <c r="B2590" s="8"/>
      <c r="C2590" s="8"/>
      <c r="D2590" s="8"/>
      <c r="E2590" s="8"/>
      <c r="F2590" t="str" s="15">
        <f aca="0">IF(B2590="","",IF(H2590="","확인필요(입력누락)",IF(SUMPRODUCT((실물목록!$P$2:$P$1001&lt;&gt;"")*ISNUMBER(SEARCH(실물목록!$P$2:$P$1001,I2590))*(실물목록!$Q$2:$Q$1001&lt;&gt;"")*ISNUMBER(SEARCH(실물목록!$Q$2:$Q$1001,I2590))*(실물목록!$R$2:$R$1001="")*(실물목록!$O$2:$O$1001&lt;&gt;"")*(실물목록!$O$2:$O$1001=H2590))&gt;0,"실물 있음",IF(SUMPRODUCT((실물목록!$P$2:$P$1001&lt;&gt;"")*ISNUMBER(SEARCH(실물목록!$P$2:$P$1001,I2590))*(실물목록!$R$2:$R$1001&lt;&gt;""))&gt;0,"확인필요(입력누락)",IF(SUMPRODUCT((실물목록!$P$2:$P$1001&lt;&gt;"")*ISNUMBER(SEARCH(실물목록!$P$2:$P$1001,I2590))*(실물목록!$Q$2:$Q$1001&lt;&gt;"")*ISNUMBER(SEARCH(실물목록!$Q$2:$Q$1001,I2590))*(실물목록!$R$2:$R$1001="")*(실물목록!$O$2:$O$1001&lt;&gt;""))&gt;0,"확인필요(연도다름)","실물 없음")))))</f>
      </c>
      <c r="G2590" t="n" s="16">
        <f aca="0">IF(B2590="","",SUMPRODUCT((실물목록!$P$2:$P$1001&lt;&gt;"")*ISNUMBER(SEARCH(실물목록!$P$2:$P$1001,I2590))*(실물목록!$Q$2:$Q$1001&lt;&gt;"")*ISNUMBER(SEARCH(실물목록!$Q$2:$Q$1001,I2590))*(실물목록!$R$2:$R$1001="")*(실물목록!$O$2:$O$1001&lt;&gt;"")*(실물목록!$O$2:$O$1001=H2590)))</f>
      </c>
      <c r="H2590" t="str">
        <f>IFERROR(IF(AND(LEN(SUBSTITUTE(SUBSTITUTE(SUBSTITUTE(TRIM(A2590&amp;""),CHAR(160),"")," ",""),"년",""))=4,VALUE(SUBSTITUTE(SUBSTITUTE(SUBSTITUTE(TRIM(A2590&amp;""),CHAR(160),"")," ",""),"년",""))&gt;=1900,VALUE(SUBSTITUTE(SUBSTITUTE(SUBSTITUTE(TRIM(A2590&amp;""),CHAR(160),"")," ",""),"년",""))&lt;=2099,TEXT(VALUE(SUBSTITUTE(SUBSTITUTE(SUBSTITUTE(TRIM(A2590&amp;""),CHAR(160),"")," ",""),"년","")),"0000")=SUBSTITUTE(SUBSTITUTE(SUBSTITUTE(TRIM(A2590&amp;""),CHAR(160),"")," ",""),"년","")),SUBSTITUTE(SUBSTITUTE(SUBSTITUTE(TRIM(A2590&amp;""),CHAR(160),"")," ",""),"년",""),""),"")</f>
      </c>
      <c r="I2590" t="str">
        <f>SUBSTITUTE(SUBSTITUTE(SUBSTITUTE(SUBSTITUTE(SUBSTITUTE(TRIM(B2590&amp;""),CHAR(160),"")," ",""),"초등학교","초"),"중학교","중"),"고등학교","고")</f>
      </c>
    </row>
    <row r="2591" customFormat="false" ht="15" hidden="false" customHeight="false" outlineLevel="0" collapsed="false">
      <c r="A2591" s="8"/>
      <c r="B2591" s="8"/>
      <c r="C2591" s="8"/>
      <c r="D2591" s="8"/>
      <c r="E2591" s="8"/>
      <c r="F2591" t="str" s="15">
        <f aca="0">IF(B2591="","",IF(H2591="","확인필요(입력누락)",IF(SUMPRODUCT((실물목록!$P$2:$P$1001&lt;&gt;"")*ISNUMBER(SEARCH(실물목록!$P$2:$P$1001,I2591))*(실물목록!$Q$2:$Q$1001&lt;&gt;"")*ISNUMBER(SEARCH(실물목록!$Q$2:$Q$1001,I2591))*(실물목록!$R$2:$R$1001="")*(실물목록!$O$2:$O$1001&lt;&gt;"")*(실물목록!$O$2:$O$1001=H2591))&gt;0,"실물 있음",IF(SUMPRODUCT((실물목록!$P$2:$P$1001&lt;&gt;"")*ISNUMBER(SEARCH(실물목록!$P$2:$P$1001,I2591))*(실물목록!$R$2:$R$1001&lt;&gt;""))&gt;0,"확인필요(입력누락)",IF(SUMPRODUCT((실물목록!$P$2:$P$1001&lt;&gt;"")*ISNUMBER(SEARCH(실물목록!$P$2:$P$1001,I2591))*(실물목록!$Q$2:$Q$1001&lt;&gt;"")*ISNUMBER(SEARCH(실물목록!$Q$2:$Q$1001,I2591))*(실물목록!$R$2:$R$1001="")*(실물목록!$O$2:$O$1001&lt;&gt;""))&gt;0,"확인필요(연도다름)","실물 없음")))))</f>
      </c>
      <c r="G2591" t="n" s="16">
        <f aca="0">IF(B2591="","",SUMPRODUCT((실물목록!$P$2:$P$1001&lt;&gt;"")*ISNUMBER(SEARCH(실물목록!$P$2:$P$1001,I2591))*(실물목록!$Q$2:$Q$1001&lt;&gt;"")*ISNUMBER(SEARCH(실물목록!$Q$2:$Q$1001,I2591))*(실물목록!$R$2:$R$1001="")*(실물목록!$O$2:$O$1001&lt;&gt;"")*(실물목록!$O$2:$O$1001=H2591)))</f>
      </c>
      <c r="H2591" t="str">
        <f>IFERROR(IF(AND(LEN(SUBSTITUTE(SUBSTITUTE(SUBSTITUTE(TRIM(A2591&amp;""),CHAR(160),"")," ",""),"년",""))=4,VALUE(SUBSTITUTE(SUBSTITUTE(SUBSTITUTE(TRIM(A2591&amp;""),CHAR(160),"")," ",""),"년",""))&gt;=1900,VALUE(SUBSTITUTE(SUBSTITUTE(SUBSTITUTE(TRIM(A2591&amp;""),CHAR(160),"")," ",""),"년",""))&lt;=2099,TEXT(VALUE(SUBSTITUTE(SUBSTITUTE(SUBSTITUTE(TRIM(A2591&amp;""),CHAR(160),"")," ",""),"년","")),"0000")=SUBSTITUTE(SUBSTITUTE(SUBSTITUTE(TRIM(A2591&amp;""),CHAR(160),"")," ",""),"년","")),SUBSTITUTE(SUBSTITUTE(SUBSTITUTE(TRIM(A2591&amp;""),CHAR(160),"")," ",""),"년",""),""),"")</f>
      </c>
      <c r="I2591" t="str">
        <f>SUBSTITUTE(SUBSTITUTE(SUBSTITUTE(SUBSTITUTE(SUBSTITUTE(TRIM(B2591&amp;""),CHAR(160),"")," ",""),"초등학교","초"),"중학교","중"),"고등학교","고")</f>
      </c>
    </row>
    <row r="2592" customFormat="false" ht="15" hidden="false" customHeight="false" outlineLevel="0" collapsed="false">
      <c r="A2592" s="8"/>
      <c r="B2592" s="8"/>
      <c r="C2592" s="8"/>
      <c r="D2592" s="8"/>
      <c r="E2592" s="8"/>
      <c r="F2592" t="str" s="15">
        <f aca="0">IF(B2592="","",IF(H2592="","확인필요(입력누락)",IF(SUMPRODUCT((실물목록!$P$2:$P$1001&lt;&gt;"")*ISNUMBER(SEARCH(실물목록!$P$2:$P$1001,I2592))*(실물목록!$Q$2:$Q$1001&lt;&gt;"")*ISNUMBER(SEARCH(실물목록!$Q$2:$Q$1001,I2592))*(실물목록!$R$2:$R$1001="")*(실물목록!$O$2:$O$1001&lt;&gt;"")*(실물목록!$O$2:$O$1001=H2592))&gt;0,"실물 있음",IF(SUMPRODUCT((실물목록!$P$2:$P$1001&lt;&gt;"")*ISNUMBER(SEARCH(실물목록!$P$2:$P$1001,I2592))*(실물목록!$R$2:$R$1001&lt;&gt;""))&gt;0,"확인필요(입력누락)",IF(SUMPRODUCT((실물목록!$P$2:$P$1001&lt;&gt;"")*ISNUMBER(SEARCH(실물목록!$P$2:$P$1001,I2592))*(실물목록!$Q$2:$Q$1001&lt;&gt;"")*ISNUMBER(SEARCH(실물목록!$Q$2:$Q$1001,I2592))*(실물목록!$R$2:$R$1001="")*(실물목록!$O$2:$O$1001&lt;&gt;""))&gt;0,"확인필요(연도다름)","실물 없음")))))</f>
      </c>
      <c r="G2592" t="n" s="16">
        <f aca="0">IF(B2592="","",SUMPRODUCT((실물목록!$P$2:$P$1001&lt;&gt;"")*ISNUMBER(SEARCH(실물목록!$P$2:$P$1001,I2592))*(실물목록!$Q$2:$Q$1001&lt;&gt;"")*ISNUMBER(SEARCH(실물목록!$Q$2:$Q$1001,I2592))*(실물목록!$R$2:$R$1001="")*(실물목록!$O$2:$O$1001&lt;&gt;"")*(실물목록!$O$2:$O$1001=H2592)))</f>
      </c>
      <c r="H2592" t="str">
        <f>IFERROR(IF(AND(LEN(SUBSTITUTE(SUBSTITUTE(SUBSTITUTE(TRIM(A2592&amp;""),CHAR(160),"")," ",""),"년",""))=4,VALUE(SUBSTITUTE(SUBSTITUTE(SUBSTITUTE(TRIM(A2592&amp;""),CHAR(160),"")," ",""),"년",""))&gt;=1900,VALUE(SUBSTITUTE(SUBSTITUTE(SUBSTITUTE(TRIM(A2592&amp;""),CHAR(160),"")," ",""),"년",""))&lt;=2099,TEXT(VALUE(SUBSTITUTE(SUBSTITUTE(SUBSTITUTE(TRIM(A2592&amp;""),CHAR(160),"")," ",""),"년","")),"0000")=SUBSTITUTE(SUBSTITUTE(SUBSTITUTE(TRIM(A2592&amp;""),CHAR(160),"")," ",""),"년","")),SUBSTITUTE(SUBSTITUTE(SUBSTITUTE(TRIM(A2592&amp;""),CHAR(160),"")," ",""),"년",""),""),"")</f>
      </c>
      <c r="I2592" t="str">
        <f>SUBSTITUTE(SUBSTITUTE(SUBSTITUTE(SUBSTITUTE(SUBSTITUTE(TRIM(B2592&amp;""),CHAR(160),"")," ",""),"초등학교","초"),"중학교","중"),"고등학교","고")</f>
      </c>
    </row>
    <row r="2593" customFormat="false" ht="15" hidden="false" customHeight="false" outlineLevel="0" collapsed="false">
      <c r="A2593" s="8"/>
      <c r="B2593" s="8"/>
      <c r="C2593" s="8"/>
      <c r="D2593" s="8"/>
      <c r="E2593" s="8"/>
      <c r="F2593" t="str" s="15">
        <f aca="0">IF(B2593="","",IF(H2593="","확인필요(입력누락)",IF(SUMPRODUCT((실물목록!$P$2:$P$1001&lt;&gt;"")*ISNUMBER(SEARCH(실물목록!$P$2:$P$1001,I2593))*(실물목록!$Q$2:$Q$1001&lt;&gt;"")*ISNUMBER(SEARCH(실물목록!$Q$2:$Q$1001,I2593))*(실물목록!$R$2:$R$1001="")*(실물목록!$O$2:$O$1001&lt;&gt;"")*(실물목록!$O$2:$O$1001=H2593))&gt;0,"실물 있음",IF(SUMPRODUCT((실물목록!$P$2:$P$1001&lt;&gt;"")*ISNUMBER(SEARCH(실물목록!$P$2:$P$1001,I2593))*(실물목록!$R$2:$R$1001&lt;&gt;""))&gt;0,"확인필요(입력누락)",IF(SUMPRODUCT((실물목록!$P$2:$P$1001&lt;&gt;"")*ISNUMBER(SEARCH(실물목록!$P$2:$P$1001,I2593))*(실물목록!$Q$2:$Q$1001&lt;&gt;"")*ISNUMBER(SEARCH(실물목록!$Q$2:$Q$1001,I2593))*(실물목록!$R$2:$R$1001="")*(실물목록!$O$2:$O$1001&lt;&gt;""))&gt;0,"확인필요(연도다름)","실물 없음")))))</f>
      </c>
      <c r="G2593" t="n" s="16">
        <f aca="0">IF(B2593="","",SUMPRODUCT((실물목록!$P$2:$P$1001&lt;&gt;"")*ISNUMBER(SEARCH(실물목록!$P$2:$P$1001,I2593))*(실물목록!$Q$2:$Q$1001&lt;&gt;"")*ISNUMBER(SEARCH(실물목록!$Q$2:$Q$1001,I2593))*(실물목록!$R$2:$R$1001="")*(실물목록!$O$2:$O$1001&lt;&gt;"")*(실물목록!$O$2:$O$1001=H2593)))</f>
      </c>
      <c r="H2593" t="str">
        <f>IFERROR(IF(AND(LEN(SUBSTITUTE(SUBSTITUTE(SUBSTITUTE(TRIM(A2593&amp;""),CHAR(160),"")," ",""),"년",""))=4,VALUE(SUBSTITUTE(SUBSTITUTE(SUBSTITUTE(TRIM(A2593&amp;""),CHAR(160),"")," ",""),"년",""))&gt;=1900,VALUE(SUBSTITUTE(SUBSTITUTE(SUBSTITUTE(TRIM(A2593&amp;""),CHAR(160),"")," ",""),"년",""))&lt;=2099,TEXT(VALUE(SUBSTITUTE(SUBSTITUTE(SUBSTITUTE(TRIM(A2593&amp;""),CHAR(160),"")," ",""),"년","")),"0000")=SUBSTITUTE(SUBSTITUTE(SUBSTITUTE(TRIM(A2593&amp;""),CHAR(160),"")," ",""),"년","")),SUBSTITUTE(SUBSTITUTE(SUBSTITUTE(TRIM(A2593&amp;""),CHAR(160),"")," ",""),"년",""),""),"")</f>
      </c>
      <c r="I2593" t="str">
        <f>SUBSTITUTE(SUBSTITUTE(SUBSTITUTE(SUBSTITUTE(SUBSTITUTE(TRIM(B2593&amp;""),CHAR(160),"")," ",""),"초등학교","초"),"중학교","중"),"고등학교","고")</f>
      </c>
    </row>
    <row r="2594" customFormat="false" ht="15" hidden="false" customHeight="false" outlineLevel="0" collapsed="false">
      <c r="A2594" s="8"/>
      <c r="B2594" s="8"/>
      <c r="C2594" s="8"/>
      <c r="D2594" s="8"/>
      <c r="E2594" s="8"/>
      <c r="F2594" t="str" s="15">
        <f aca="0">IF(B2594="","",IF(H2594="","확인필요(입력누락)",IF(SUMPRODUCT((실물목록!$P$2:$P$1001&lt;&gt;"")*ISNUMBER(SEARCH(실물목록!$P$2:$P$1001,I2594))*(실물목록!$Q$2:$Q$1001&lt;&gt;"")*ISNUMBER(SEARCH(실물목록!$Q$2:$Q$1001,I2594))*(실물목록!$R$2:$R$1001="")*(실물목록!$O$2:$O$1001&lt;&gt;"")*(실물목록!$O$2:$O$1001=H2594))&gt;0,"실물 있음",IF(SUMPRODUCT((실물목록!$P$2:$P$1001&lt;&gt;"")*ISNUMBER(SEARCH(실물목록!$P$2:$P$1001,I2594))*(실물목록!$R$2:$R$1001&lt;&gt;""))&gt;0,"확인필요(입력누락)",IF(SUMPRODUCT((실물목록!$P$2:$P$1001&lt;&gt;"")*ISNUMBER(SEARCH(실물목록!$P$2:$P$1001,I2594))*(실물목록!$Q$2:$Q$1001&lt;&gt;"")*ISNUMBER(SEARCH(실물목록!$Q$2:$Q$1001,I2594))*(실물목록!$R$2:$R$1001="")*(실물목록!$O$2:$O$1001&lt;&gt;""))&gt;0,"확인필요(연도다름)","실물 없음")))))</f>
      </c>
      <c r="G2594" t="n" s="16">
        <f aca="0">IF(B2594="","",SUMPRODUCT((실물목록!$P$2:$P$1001&lt;&gt;"")*ISNUMBER(SEARCH(실물목록!$P$2:$P$1001,I2594))*(실물목록!$Q$2:$Q$1001&lt;&gt;"")*ISNUMBER(SEARCH(실물목록!$Q$2:$Q$1001,I2594))*(실물목록!$R$2:$R$1001="")*(실물목록!$O$2:$O$1001&lt;&gt;"")*(실물목록!$O$2:$O$1001=H2594)))</f>
      </c>
      <c r="H2594" t="str">
        <f>IFERROR(IF(AND(LEN(SUBSTITUTE(SUBSTITUTE(SUBSTITUTE(TRIM(A2594&amp;""),CHAR(160),"")," ",""),"년",""))=4,VALUE(SUBSTITUTE(SUBSTITUTE(SUBSTITUTE(TRIM(A2594&amp;""),CHAR(160),"")," ",""),"년",""))&gt;=1900,VALUE(SUBSTITUTE(SUBSTITUTE(SUBSTITUTE(TRIM(A2594&amp;""),CHAR(160),"")," ",""),"년",""))&lt;=2099,TEXT(VALUE(SUBSTITUTE(SUBSTITUTE(SUBSTITUTE(TRIM(A2594&amp;""),CHAR(160),"")," ",""),"년","")),"0000")=SUBSTITUTE(SUBSTITUTE(SUBSTITUTE(TRIM(A2594&amp;""),CHAR(160),"")," ",""),"년","")),SUBSTITUTE(SUBSTITUTE(SUBSTITUTE(TRIM(A2594&amp;""),CHAR(160),"")," ",""),"년",""),""),"")</f>
      </c>
      <c r="I2594" t="str">
        <f>SUBSTITUTE(SUBSTITUTE(SUBSTITUTE(SUBSTITUTE(SUBSTITUTE(TRIM(B2594&amp;""),CHAR(160),"")," ",""),"초등학교","초"),"중학교","중"),"고등학교","고")</f>
      </c>
    </row>
    <row r="2595" customFormat="false" ht="15" hidden="false" customHeight="false" outlineLevel="0" collapsed="false">
      <c r="A2595" s="8"/>
      <c r="B2595" s="8"/>
      <c r="C2595" s="8"/>
      <c r="D2595" s="8"/>
      <c r="E2595" s="8"/>
      <c r="F2595" t="str" s="15">
        <f aca="0">IF(B2595="","",IF(H2595="","확인필요(입력누락)",IF(SUMPRODUCT((실물목록!$P$2:$P$1001&lt;&gt;"")*ISNUMBER(SEARCH(실물목록!$P$2:$P$1001,I2595))*(실물목록!$Q$2:$Q$1001&lt;&gt;"")*ISNUMBER(SEARCH(실물목록!$Q$2:$Q$1001,I2595))*(실물목록!$R$2:$R$1001="")*(실물목록!$O$2:$O$1001&lt;&gt;"")*(실물목록!$O$2:$O$1001=H2595))&gt;0,"실물 있음",IF(SUMPRODUCT((실물목록!$P$2:$P$1001&lt;&gt;"")*ISNUMBER(SEARCH(실물목록!$P$2:$P$1001,I2595))*(실물목록!$R$2:$R$1001&lt;&gt;""))&gt;0,"확인필요(입력누락)",IF(SUMPRODUCT((실물목록!$P$2:$P$1001&lt;&gt;"")*ISNUMBER(SEARCH(실물목록!$P$2:$P$1001,I2595))*(실물목록!$Q$2:$Q$1001&lt;&gt;"")*ISNUMBER(SEARCH(실물목록!$Q$2:$Q$1001,I2595))*(실물목록!$R$2:$R$1001="")*(실물목록!$O$2:$O$1001&lt;&gt;""))&gt;0,"확인필요(연도다름)","실물 없음")))))</f>
      </c>
      <c r="G2595" t="n" s="16">
        <f aca="0">IF(B2595="","",SUMPRODUCT((실물목록!$P$2:$P$1001&lt;&gt;"")*ISNUMBER(SEARCH(실물목록!$P$2:$P$1001,I2595))*(실물목록!$Q$2:$Q$1001&lt;&gt;"")*ISNUMBER(SEARCH(실물목록!$Q$2:$Q$1001,I2595))*(실물목록!$R$2:$R$1001="")*(실물목록!$O$2:$O$1001&lt;&gt;"")*(실물목록!$O$2:$O$1001=H2595)))</f>
      </c>
      <c r="H2595" t="str">
        <f>IFERROR(IF(AND(LEN(SUBSTITUTE(SUBSTITUTE(SUBSTITUTE(TRIM(A2595&amp;""),CHAR(160),"")," ",""),"년",""))=4,VALUE(SUBSTITUTE(SUBSTITUTE(SUBSTITUTE(TRIM(A2595&amp;""),CHAR(160),"")," ",""),"년",""))&gt;=1900,VALUE(SUBSTITUTE(SUBSTITUTE(SUBSTITUTE(TRIM(A2595&amp;""),CHAR(160),"")," ",""),"년",""))&lt;=2099,TEXT(VALUE(SUBSTITUTE(SUBSTITUTE(SUBSTITUTE(TRIM(A2595&amp;""),CHAR(160),"")," ",""),"년","")),"0000")=SUBSTITUTE(SUBSTITUTE(SUBSTITUTE(TRIM(A2595&amp;""),CHAR(160),"")," ",""),"년","")),SUBSTITUTE(SUBSTITUTE(SUBSTITUTE(TRIM(A2595&amp;""),CHAR(160),"")," ",""),"년",""),""),"")</f>
      </c>
      <c r="I2595" t="str">
        <f>SUBSTITUTE(SUBSTITUTE(SUBSTITUTE(SUBSTITUTE(SUBSTITUTE(TRIM(B2595&amp;""),CHAR(160),"")," ",""),"초등학교","초"),"중학교","중"),"고등학교","고")</f>
      </c>
    </row>
    <row r="2596" customFormat="false" ht="15" hidden="false" customHeight="false" outlineLevel="0" collapsed="false">
      <c r="A2596" s="8"/>
      <c r="B2596" s="8"/>
      <c r="C2596" s="8"/>
      <c r="D2596" s="8"/>
      <c r="E2596" s="8"/>
      <c r="F2596" t="str" s="15">
        <f aca="0">IF(B2596="","",IF(H2596="","확인필요(입력누락)",IF(SUMPRODUCT((실물목록!$P$2:$P$1001&lt;&gt;"")*ISNUMBER(SEARCH(실물목록!$P$2:$P$1001,I2596))*(실물목록!$Q$2:$Q$1001&lt;&gt;"")*ISNUMBER(SEARCH(실물목록!$Q$2:$Q$1001,I2596))*(실물목록!$R$2:$R$1001="")*(실물목록!$O$2:$O$1001&lt;&gt;"")*(실물목록!$O$2:$O$1001=H2596))&gt;0,"실물 있음",IF(SUMPRODUCT((실물목록!$P$2:$P$1001&lt;&gt;"")*ISNUMBER(SEARCH(실물목록!$P$2:$P$1001,I2596))*(실물목록!$R$2:$R$1001&lt;&gt;""))&gt;0,"확인필요(입력누락)",IF(SUMPRODUCT((실물목록!$P$2:$P$1001&lt;&gt;"")*ISNUMBER(SEARCH(실물목록!$P$2:$P$1001,I2596))*(실물목록!$Q$2:$Q$1001&lt;&gt;"")*ISNUMBER(SEARCH(실물목록!$Q$2:$Q$1001,I2596))*(실물목록!$R$2:$R$1001="")*(실물목록!$O$2:$O$1001&lt;&gt;""))&gt;0,"확인필요(연도다름)","실물 없음")))))</f>
      </c>
      <c r="G2596" t="n" s="16">
        <f aca="0">IF(B2596="","",SUMPRODUCT((실물목록!$P$2:$P$1001&lt;&gt;"")*ISNUMBER(SEARCH(실물목록!$P$2:$P$1001,I2596))*(실물목록!$Q$2:$Q$1001&lt;&gt;"")*ISNUMBER(SEARCH(실물목록!$Q$2:$Q$1001,I2596))*(실물목록!$R$2:$R$1001="")*(실물목록!$O$2:$O$1001&lt;&gt;"")*(실물목록!$O$2:$O$1001=H2596)))</f>
      </c>
      <c r="H2596" t="str">
        <f>IFERROR(IF(AND(LEN(SUBSTITUTE(SUBSTITUTE(SUBSTITUTE(TRIM(A2596&amp;""),CHAR(160),"")," ",""),"년",""))=4,VALUE(SUBSTITUTE(SUBSTITUTE(SUBSTITUTE(TRIM(A2596&amp;""),CHAR(160),"")," ",""),"년",""))&gt;=1900,VALUE(SUBSTITUTE(SUBSTITUTE(SUBSTITUTE(TRIM(A2596&amp;""),CHAR(160),"")," ",""),"년",""))&lt;=2099,TEXT(VALUE(SUBSTITUTE(SUBSTITUTE(SUBSTITUTE(TRIM(A2596&amp;""),CHAR(160),"")," ",""),"년","")),"0000")=SUBSTITUTE(SUBSTITUTE(SUBSTITUTE(TRIM(A2596&amp;""),CHAR(160),"")," ",""),"년","")),SUBSTITUTE(SUBSTITUTE(SUBSTITUTE(TRIM(A2596&amp;""),CHAR(160),"")," ",""),"년",""),""),"")</f>
      </c>
      <c r="I2596" t="str">
        <f>SUBSTITUTE(SUBSTITUTE(SUBSTITUTE(SUBSTITUTE(SUBSTITUTE(TRIM(B2596&amp;""),CHAR(160),"")," ",""),"초등학교","초"),"중학교","중"),"고등학교","고")</f>
      </c>
    </row>
    <row r="2597" customFormat="false" ht="15" hidden="false" customHeight="false" outlineLevel="0" collapsed="false">
      <c r="A2597" s="8"/>
      <c r="B2597" s="8"/>
      <c r="C2597" s="8"/>
      <c r="D2597" s="8"/>
      <c r="E2597" s="8"/>
      <c r="F2597" t="str" s="15">
        <f aca="0">IF(B2597="","",IF(H2597="","확인필요(입력누락)",IF(SUMPRODUCT((실물목록!$P$2:$P$1001&lt;&gt;"")*ISNUMBER(SEARCH(실물목록!$P$2:$P$1001,I2597))*(실물목록!$Q$2:$Q$1001&lt;&gt;"")*ISNUMBER(SEARCH(실물목록!$Q$2:$Q$1001,I2597))*(실물목록!$R$2:$R$1001="")*(실물목록!$O$2:$O$1001&lt;&gt;"")*(실물목록!$O$2:$O$1001=H2597))&gt;0,"실물 있음",IF(SUMPRODUCT((실물목록!$P$2:$P$1001&lt;&gt;"")*ISNUMBER(SEARCH(실물목록!$P$2:$P$1001,I2597))*(실물목록!$R$2:$R$1001&lt;&gt;""))&gt;0,"확인필요(입력누락)",IF(SUMPRODUCT((실물목록!$P$2:$P$1001&lt;&gt;"")*ISNUMBER(SEARCH(실물목록!$P$2:$P$1001,I2597))*(실물목록!$Q$2:$Q$1001&lt;&gt;"")*ISNUMBER(SEARCH(실물목록!$Q$2:$Q$1001,I2597))*(실물목록!$R$2:$R$1001="")*(실물목록!$O$2:$O$1001&lt;&gt;""))&gt;0,"확인필요(연도다름)","실물 없음")))))</f>
      </c>
      <c r="G2597" t="n" s="16">
        <f aca="0">IF(B2597="","",SUMPRODUCT((실물목록!$P$2:$P$1001&lt;&gt;"")*ISNUMBER(SEARCH(실물목록!$P$2:$P$1001,I2597))*(실물목록!$Q$2:$Q$1001&lt;&gt;"")*ISNUMBER(SEARCH(실물목록!$Q$2:$Q$1001,I2597))*(실물목록!$R$2:$R$1001="")*(실물목록!$O$2:$O$1001&lt;&gt;"")*(실물목록!$O$2:$O$1001=H2597)))</f>
      </c>
      <c r="H2597" t="str">
        <f>IFERROR(IF(AND(LEN(SUBSTITUTE(SUBSTITUTE(SUBSTITUTE(TRIM(A2597&amp;""),CHAR(160),"")," ",""),"년",""))=4,VALUE(SUBSTITUTE(SUBSTITUTE(SUBSTITUTE(TRIM(A2597&amp;""),CHAR(160),"")," ",""),"년",""))&gt;=1900,VALUE(SUBSTITUTE(SUBSTITUTE(SUBSTITUTE(TRIM(A2597&amp;""),CHAR(160),"")," ",""),"년",""))&lt;=2099,TEXT(VALUE(SUBSTITUTE(SUBSTITUTE(SUBSTITUTE(TRIM(A2597&amp;""),CHAR(160),"")," ",""),"년","")),"0000")=SUBSTITUTE(SUBSTITUTE(SUBSTITUTE(TRIM(A2597&amp;""),CHAR(160),"")," ",""),"년","")),SUBSTITUTE(SUBSTITUTE(SUBSTITUTE(TRIM(A2597&amp;""),CHAR(160),"")," ",""),"년",""),""),"")</f>
      </c>
      <c r="I2597" t="str">
        <f>SUBSTITUTE(SUBSTITUTE(SUBSTITUTE(SUBSTITUTE(SUBSTITUTE(TRIM(B2597&amp;""),CHAR(160),"")," ",""),"초등학교","초"),"중학교","중"),"고등학교","고")</f>
      </c>
    </row>
    <row r="2598" customFormat="false" ht="15" hidden="false" customHeight="false" outlineLevel="0" collapsed="false">
      <c r="A2598" s="8"/>
      <c r="B2598" s="8"/>
      <c r="C2598" s="8"/>
      <c r="D2598" s="8"/>
      <c r="E2598" s="8"/>
      <c r="F2598" t="str" s="15">
        <f aca="0">IF(B2598="","",IF(H2598="","확인필요(입력누락)",IF(SUMPRODUCT((실물목록!$P$2:$P$1001&lt;&gt;"")*ISNUMBER(SEARCH(실물목록!$P$2:$P$1001,I2598))*(실물목록!$Q$2:$Q$1001&lt;&gt;"")*ISNUMBER(SEARCH(실물목록!$Q$2:$Q$1001,I2598))*(실물목록!$R$2:$R$1001="")*(실물목록!$O$2:$O$1001&lt;&gt;"")*(실물목록!$O$2:$O$1001=H2598))&gt;0,"실물 있음",IF(SUMPRODUCT((실물목록!$P$2:$P$1001&lt;&gt;"")*ISNUMBER(SEARCH(실물목록!$P$2:$P$1001,I2598))*(실물목록!$R$2:$R$1001&lt;&gt;""))&gt;0,"확인필요(입력누락)",IF(SUMPRODUCT((실물목록!$P$2:$P$1001&lt;&gt;"")*ISNUMBER(SEARCH(실물목록!$P$2:$P$1001,I2598))*(실물목록!$Q$2:$Q$1001&lt;&gt;"")*ISNUMBER(SEARCH(실물목록!$Q$2:$Q$1001,I2598))*(실물목록!$R$2:$R$1001="")*(실물목록!$O$2:$O$1001&lt;&gt;""))&gt;0,"확인필요(연도다름)","실물 없음")))))</f>
      </c>
      <c r="G2598" t="n" s="16">
        <f aca="0">IF(B2598="","",SUMPRODUCT((실물목록!$P$2:$P$1001&lt;&gt;"")*ISNUMBER(SEARCH(실물목록!$P$2:$P$1001,I2598))*(실물목록!$Q$2:$Q$1001&lt;&gt;"")*ISNUMBER(SEARCH(실물목록!$Q$2:$Q$1001,I2598))*(실물목록!$R$2:$R$1001="")*(실물목록!$O$2:$O$1001&lt;&gt;"")*(실물목록!$O$2:$O$1001=H2598)))</f>
      </c>
      <c r="H2598" t="str">
        <f>IFERROR(IF(AND(LEN(SUBSTITUTE(SUBSTITUTE(SUBSTITUTE(TRIM(A2598&amp;""),CHAR(160),"")," ",""),"년",""))=4,VALUE(SUBSTITUTE(SUBSTITUTE(SUBSTITUTE(TRIM(A2598&amp;""),CHAR(160),"")," ",""),"년",""))&gt;=1900,VALUE(SUBSTITUTE(SUBSTITUTE(SUBSTITUTE(TRIM(A2598&amp;""),CHAR(160),"")," ",""),"년",""))&lt;=2099,TEXT(VALUE(SUBSTITUTE(SUBSTITUTE(SUBSTITUTE(TRIM(A2598&amp;""),CHAR(160),"")," ",""),"년","")),"0000")=SUBSTITUTE(SUBSTITUTE(SUBSTITUTE(TRIM(A2598&amp;""),CHAR(160),"")," ",""),"년","")),SUBSTITUTE(SUBSTITUTE(SUBSTITUTE(TRIM(A2598&amp;""),CHAR(160),"")," ",""),"년",""),""),"")</f>
      </c>
      <c r="I2598" t="str">
        <f>SUBSTITUTE(SUBSTITUTE(SUBSTITUTE(SUBSTITUTE(SUBSTITUTE(TRIM(B2598&amp;""),CHAR(160),"")," ",""),"초등학교","초"),"중학교","중"),"고등학교","고")</f>
      </c>
    </row>
    <row r="2599" customFormat="false" ht="15" hidden="false" customHeight="false" outlineLevel="0" collapsed="false">
      <c r="A2599" s="8"/>
      <c r="B2599" s="8"/>
      <c r="C2599" s="8"/>
      <c r="D2599" s="8"/>
      <c r="E2599" s="8"/>
      <c r="F2599" t="str" s="15">
        <f aca="0">IF(B2599="","",IF(H2599="","확인필요(입력누락)",IF(SUMPRODUCT((실물목록!$P$2:$P$1001&lt;&gt;"")*ISNUMBER(SEARCH(실물목록!$P$2:$P$1001,I2599))*(실물목록!$Q$2:$Q$1001&lt;&gt;"")*ISNUMBER(SEARCH(실물목록!$Q$2:$Q$1001,I2599))*(실물목록!$R$2:$R$1001="")*(실물목록!$O$2:$O$1001&lt;&gt;"")*(실물목록!$O$2:$O$1001=H2599))&gt;0,"실물 있음",IF(SUMPRODUCT((실물목록!$P$2:$P$1001&lt;&gt;"")*ISNUMBER(SEARCH(실물목록!$P$2:$P$1001,I2599))*(실물목록!$R$2:$R$1001&lt;&gt;""))&gt;0,"확인필요(입력누락)",IF(SUMPRODUCT((실물목록!$P$2:$P$1001&lt;&gt;"")*ISNUMBER(SEARCH(실물목록!$P$2:$P$1001,I2599))*(실물목록!$Q$2:$Q$1001&lt;&gt;"")*ISNUMBER(SEARCH(실물목록!$Q$2:$Q$1001,I2599))*(실물목록!$R$2:$R$1001="")*(실물목록!$O$2:$O$1001&lt;&gt;""))&gt;0,"확인필요(연도다름)","실물 없음")))))</f>
      </c>
      <c r="G2599" t="n" s="16">
        <f aca="0">IF(B2599="","",SUMPRODUCT((실물목록!$P$2:$P$1001&lt;&gt;"")*ISNUMBER(SEARCH(실물목록!$P$2:$P$1001,I2599))*(실물목록!$Q$2:$Q$1001&lt;&gt;"")*ISNUMBER(SEARCH(실물목록!$Q$2:$Q$1001,I2599))*(실물목록!$R$2:$R$1001="")*(실물목록!$O$2:$O$1001&lt;&gt;"")*(실물목록!$O$2:$O$1001=H2599)))</f>
      </c>
      <c r="H2599" t="str">
        <f>IFERROR(IF(AND(LEN(SUBSTITUTE(SUBSTITUTE(SUBSTITUTE(TRIM(A2599&amp;""),CHAR(160),"")," ",""),"년",""))=4,VALUE(SUBSTITUTE(SUBSTITUTE(SUBSTITUTE(TRIM(A2599&amp;""),CHAR(160),"")," ",""),"년",""))&gt;=1900,VALUE(SUBSTITUTE(SUBSTITUTE(SUBSTITUTE(TRIM(A2599&amp;""),CHAR(160),"")," ",""),"년",""))&lt;=2099,TEXT(VALUE(SUBSTITUTE(SUBSTITUTE(SUBSTITUTE(TRIM(A2599&amp;""),CHAR(160),"")," ",""),"년","")),"0000")=SUBSTITUTE(SUBSTITUTE(SUBSTITUTE(TRIM(A2599&amp;""),CHAR(160),"")," ",""),"년","")),SUBSTITUTE(SUBSTITUTE(SUBSTITUTE(TRIM(A2599&amp;""),CHAR(160),"")," ",""),"년",""),""),"")</f>
      </c>
      <c r="I2599" t="str">
        <f>SUBSTITUTE(SUBSTITUTE(SUBSTITUTE(SUBSTITUTE(SUBSTITUTE(TRIM(B2599&amp;""),CHAR(160),"")," ",""),"초등학교","초"),"중학교","중"),"고등학교","고")</f>
      </c>
    </row>
    <row r="2600" customFormat="false" ht="15" hidden="false" customHeight="false" outlineLevel="0" collapsed="false">
      <c r="A2600" s="8"/>
      <c r="B2600" s="8"/>
      <c r="C2600" s="8"/>
      <c r="D2600" s="8"/>
      <c r="E2600" s="8"/>
      <c r="F2600" t="str" s="15">
        <f aca="0">IF(B2600="","",IF(H2600="","확인필요(입력누락)",IF(SUMPRODUCT((실물목록!$P$2:$P$1001&lt;&gt;"")*ISNUMBER(SEARCH(실물목록!$P$2:$P$1001,I2600))*(실물목록!$Q$2:$Q$1001&lt;&gt;"")*ISNUMBER(SEARCH(실물목록!$Q$2:$Q$1001,I2600))*(실물목록!$R$2:$R$1001="")*(실물목록!$O$2:$O$1001&lt;&gt;"")*(실물목록!$O$2:$O$1001=H2600))&gt;0,"실물 있음",IF(SUMPRODUCT((실물목록!$P$2:$P$1001&lt;&gt;"")*ISNUMBER(SEARCH(실물목록!$P$2:$P$1001,I2600))*(실물목록!$R$2:$R$1001&lt;&gt;""))&gt;0,"확인필요(입력누락)",IF(SUMPRODUCT((실물목록!$P$2:$P$1001&lt;&gt;"")*ISNUMBER(SEARCH(실물목록!$P$2:$P$1001,I2600))*(실물목록!$Q$2:$Q$1001&lt;&gt;"")*ISNUMBER(SEARCH(실물목록!$Q$2:$Q$1001,I2600))*(실물목록!$R$2:$R$1001="")*(실물목록!$O$2:$O$1001&lt;&gt;""))&gt;0,"확인필요(연도다름)","실물 없음")))))</f>
      </c>
      <c r="G2600" t="n" s="16">
        <f aca="0">IF(B2600="","",SUMPRODUCT((실물목록!$P$2:$P$1001&lt;&gt;"")*ISNUMBER(SEARCH(실물목록!$P$2:$P$1001,I2600))*(실물목록!$Q$2:$Q$1001&lt;&gt;"")*ISNUMBER(SEARCH(실물목록!$Q$2:$Q$1001,I2600))*(실물목록!$R$2:$R$1001="")*(실물목록!$O$2:$O$1001&lt;&gt;"")*(실물목록!$O$2:$O$1001=H2600)))</f>
      </c>
      <c r="H2600" t="str">
        <f>IFERROR(IF(AND(LEN(SUBSTITUTE(SUBSTITUTE(SUBSTITUTE(TRIM(A2600&amp;""),CHAR(160),"")," ",""),"년",""))=4,VALUE(SUBSTITUTE(SUBSTITUTE(SUBSTITUTE(TRIM(A2600&amp;""),CHAR(160),"")," ",""),"년",""))&gt;=1900,VALUE(SUBSTITUTE(SUBSTITUTE(SUBSTITUTE(TRIM(A2600&amp;""),CHAR(160),"")," ",""),"년",""))&lt;=2099,TEXT(VALUE(SUBSTITUTE(SUBSTITUTE(SUBSTITUTE(TRIM(A2600&amp;""),CHAR(160),"")," ",""),"년","")),"0000")=SUBSTITUTE(SUBSTITUTE(SUBSTITUTE(TRIM(A2600&amp;""),CHAR(160),"")," ",""),"년","")),SUBSTITUTE(SUBSTITUTE(SUBSTITUTE(TRIM(A2600&amp;""),CHAR(160),"")," ",""),"년",""),""),"")</f>
      </c>
      <c r="I2600" t="str">
        <f>SUBSTITUTE(SUBSTITUTE(SUBSTITUTE(SUBSTITUTE(SUBSTITUTE(TRIM(B2600&amp;""),CHAR(160),"")," ",""),"초등학교","초"),"중학교","중"),"고등학교","고")</f>
      </c>
    </row>
    <row r="2601" customFormat="false" ht="15" hidden="false" customHeight="false" outlineLevel="0" collapsed="false">
      <c r="A2601" s="8"/>
      <c r="B2601" s="8"/>
      <c r="C2601" s="8"/>
      <c r="D2601" s="8"/>
      <c r="E2601" s="8"/>
      <c r="F2601" t="str" s="15">
        <f aca="0">IF(B2601="","",IF(H2601="","확인필요(입력누락)",IF(SUMPRODUCT((실물목록!$P$2:$P$1001&lt;&gt;"")*ISNUMBER(SEARCH(실물목록!$P$2:$P$1001,I2601))*(실물목록!$Q$2:$Q$1001&lt;&gt;"")*ISNUMBER(SEARCH(실물목록!$Q$2:$Q$1001,I2601))*(실물목록!$R$2:$R$1001="")*(실물목록!$O$2:$O$1001&lt;&gt;"")*(실물목록!$O$2:$O$1001=H2601))&gt;0,"실물 있음",IF(SUMPRODUCT((실물목록!$P$2:$P$1001&lt;&gt;"")*ISNUMBER(SEARCH(실물목록!$P$2:$P$1001,I2601))*(실물목록!$R$2:$R$1001&lt;&gt;""))&gt;0,"확인필요(입력누락)",IF(SUMPRODUCT((실물목록!$P$2:$P$1001&lt;&gt;"")*ISNUMBER(SEARCH(실물목록!$P$2:$P$1001,I2601))*(실물목록!$Q$2:$Q$1001&lt;&gt;"")*ISNUMBER(SEARCH(실물목록!$Q$2:$Q$1001,I2601))*(실물목록!$R$2:$R$1001="")*(실물목록!$O$2:$O$1001&lt;&gt;""))&gt;0,"확인필요(연도다름)","실물 없음")))))</f>
      </c>
      <c r="G2601" t="n" s="16">
        <f aca="0">IF(B2601="","",SUMPRODUCT((실물목록!$P$2:$P$1001&lt;&gt;"")*ISNUMBER(SEARCH(실물목록!$P$2:$P$1001,I2601))*(실물목록!$Q$2:$Q$1001&lt;&gt;"")*ISNUMBER(SEARCH(실물목록!$Q$2:$Q$1001,I2601))*(실물목록!$R$2:$R$1001="")*(실물목록!$O$2:$O$1001&lt;&gt;"")*(실물목록!$O$2:$O$1001=H2601)))</f>
      </c>
      <c r="H2601" t="str">
        <f>IFERROR(IF(AND(LEN(SUBSTITUTE(SUBSTITUTE(SUBSTITUTE(TRIM(A2601&amp;""),CHAR(160),"")," ",""),"년",""))=4,VALUE(SUBSTITUTE(SUBSTITUTE(SUBSTITUTE(TRIM(A2601&amp;""),CHAR(160),"")," ",""),"년",""))&gt;=1900,VALUE(SUBSTITUTE(SUBSTITUTE(SUBSTITUTE(TRIM(A2601&amp;""),CHAR(160),"")," ",""),"년",""))&lt;=2099,TEXT(VALUE(SUBSTITUTE(SUBSTITUTE(SUBSTITUTE(TRIM(A2601&amp;""),CHAR(160),"")," ",""),"년","")),"0000")=SUBSTITUTE(SUBSTITUTE(SUBSTITUTE(TRIM(A2601&amp;""),CHAR(160),"")," ",""),"년","")),SUBSTITUTE(SUBSTITUTE(SUBSTITUTE(TRIM(A2601&amp;""),CHAR(160),"")," ",""),"년",""),""),"")</f>
      </c>
      <c r="I2601" t="str">
        <f>SUBSTITUTE(SUBSTITUTE(SUBSTITUTE(SUBSTITUTE(SUBSTITUTE(TRIM(B2601&amp;""),CHAR(160),"")," ",""),"초등학교","초"),"중학교","중"),"고등학교","고")</f>
      </c>
    </row>
    <row r="2602" customFormat="false" ht="15" hidden="false" customHeight="false" outlineLevel="0" collapsed="false">
      <c r="A2602" s="8"/>
      <c r="B2602" s="8"/>
      <c r="C2602" s="8"/>
      <c r="D2602" s="8"/>
      <c r="E2602" s="8"/>
      <c r="F2602" t="str" s="15">
        <f aca="0">IF(B2602="","",IF(H2602="","확인필요(입력누락)",IF(SUMPRODUCT((실물목록!$P$2:$P$1001&lt;&gt;"")*ISNUMBER(SEARCH(실물목록!$P$2:$P$1001,I2602))*(실물목록!$Q$2:$Q$1001&lt;&gt;"")*ISNUMBER(SEARCH(실물목록!$Q$2:$Q$1001,I2602))*(실물목록!$R$2:$R$1001="")*(실물목록!$O$2:$O$1001&lt;&gt;"")*(실물목록!$O$2:$O$1001=H2602))&gt;0,"실물 있음",IF(SUMPRODUCT((실물목록!$P$2:$P$1001&lt;&gt;"")*ISNUMBER(SEARCH(실물목록!$P$2:$P$1001,I2602))*(실물목록!$R$2:$R$1001&lt;&gt;""))&gt;0,"확인필요(입력누락)",IF(SUMPRODUCT((실물목록!$P$2:$P$1001&lt;&gt;"")*ISNUMBER(SEARCH(실물목록!$P$2:$P$1001,I2602))*(실물목록!$Q$2:$Q$1001&lt;&gt;"")*ISNUMBER(SEARCH(실물목록!$Q$2:$Q$1001,I2602))*(실물목록!$R$2:$R$1001="")*(실물목록!$O$2:$O$1001&lt;&gt;""))&gt;0,"확인필요(연도다름)","실물 없음")))))</f>
      </c>
      <c r="G2602" t="n" s="16">
        <f aca="0">IF(B2602="","",SUMPRODUCT((실물목록!$P$2:$P$1001&lt;&gt;"")*ISNUMBER(SEARCH(실물목록!$P$2:$P$1001,I2602))*(실물목록!$Q$2:$Q$1001&lt;&gt;"")*ISNUMBER(SEARCH(실물목록!$Q$2:$Q$1001,I2602))*(실물목록!$R$2:$R$1001="")*(실물목록!$O$2:$O$1001&lt;&gt;"")*(실물목록!$O$2:$O$1001=H2602)))</f>
      </c>
      <c r="H2602" t="str">
        <f>IFERROR(IF(AND(LEN(SUBSTITUTE(SUBSTITUTE(SUBSTITUTE(TRIM(A2602&amp;""),CHAR(160),"")," ",""),"년",""))=4,VALUE(SUBSTITUTE(SUBSTITUTE(SUBSTITUTE(TRIM(A2602&amp;""),CHAR(160),"")," ",""),"년",""))&gt;=1900,VALUE(SUBSTITUTE(SUBSTITUTE(SUBSTITUTE(TRIM(A2602&amp;""),CHAR(160),"")," ",""),"년",""))&lt;=2099,TEXT(VALUE(SUBSTITUTE(SUBSTITUTE(SUBSTITUTE(TRIM(A2602&amp;""),CHAR(160),"")," ",""),"년","")),"0000")=SUBSTITUTE(SUBSTITUTE(SUBSTITUTE(TRIM(A2602&amp;""),CHAR(160),"")," ",""),"년","")),SUBSTITUTE(SUBSTITUTE(SUBSTITUTE(TRIM(A2602&amp;""),CHAR(160),"")," ",""),"년",""),""),"")</f>
      </c>
      <c r="I2602" t="str">
        <f>SUBSTITUTE(SUBSTITUTE(SUBSTITUTE(SUBSTITUTE(SUBSTITUTE(TRIM(B2602&amp;""),CHAR(160),"")," ",""),"초등학교","초"),"중학교","중"),"고등학교","고")</f>
      </c>
    </row>
    <row r="2603" customFormat="false" ht="15" hidden="false" customHeight="false" outlineLevel="0" collapsed="false">
      <c r="A2603" s="8"/>
      <c r="B2603" s="8"/>
      <c r="C2603" s="8"/>
      <c r="D2603" s="8"/>
      <c r="E2603" s="8"/>
      <c r="F2603" t="str" s="15">
        <f aca="0">IF(B2603="","",IF(H2603="","확인필요(입력누락)",IF(SUMPRODUCT((실물목록!$P$2:$P$1001&lt;&gt;"")*ISNUMBER(SEARCH(실물목록!$P$2:$P$1001,I2603))*(실물목록!$Q$2:$Q$1001&lt;&gt;"")*ISNUMBER(SEARCH(실물목록!$Q$2:$Q$1001,I2603))*(실물목록!$R$2:$R$1001="")*(실물목록!$O$2:$O$1001&lt;&gt;"")*(실물목록!$O$2:$O$1001=H2603))&gt;0,"실물 있음",IF(SUMPRODUCT((실물목록!$P$2:$P$1001&lt;&gt;"")*ISNUMBER(SEARCH(실물목록!$P$2:$P$1001,I2603))*(실물목록!$R$2:$R$1001&lt;&gt;""))&gt;0,"확인필요(입력누락)",IF(SUMPRODUCT((실물목록!$P$2:$P$1001&lt;&gt;"")*ISNUMBER(SEARCH(실물목록!$P$2:$P$1001,I2603))*(실물목록!$Q$2:$Q$1001&lt;&gt;"")*ISNUMBER(SEARCH(실물목록!$Q$2:$Q$1001,I2603))*(실물목록!$R$2:$R$1001="")*(실물목록!$O$2:$O$1001&lt;&gt;""))&gt;0,"확인필요(연도다름)","실물 없음")))))</f>
      </c>
      <c r="G2603" t="n" s="16">
        <f aca="0">IF(B2603="","",SUMPRODUCT((실물목록!$P$2:$P$1001&lt;&gt;"")*ISNUMBER(SEARCH(실물목록!$P$2:$P$1001,I2603))*(실물목록!$Q$2:$Q$1001&lt;&gt;"")*ISNUMBER(SEARCH(실물목록!$Q$2:$Q$1001,I2603))*(실물목록!$R$2:$R$1001="")*(실물목록!$O$2:$O$1001&lt;&gt;"")*(실물목록!$O$2:$O$1001=H2603)))</f>
      </c>
      <c r="H2603" t="str">
        <f>IFERROR(IF(AND(LEN(SUBSTITUTE(SUBSTITUTE(SUBSTITUTE(TRIM(A2603&amp;""),CHAR(160),"")," ",""),"년",""))=4,VALUE(SUBSTITUTE(SUBSTITUTE(SUBSTITUTE(TRIM(A2603&amp;""),CHAR(160),"")," ",""),"년",""))&gt;=1900,VALUE(SUBSTITUTE(SUBSTITUTE(SUBSTITUTE(TRIM(A2603&amp;""),CHAR(160),"")," ",""),"년",""))&lt;=2099,TEXT(VALUE(SUBSTITUTE(SUBSTITUTE(SUBSTITUTE(TRIM(A2603&amp;""),CHAR(160),"")," ",""),"년","")),"0000")=SUBSTITUTE(SUBSTITUTE(SUBSTITUTE(TRIM(A2603&amp;""),CHAR(160),"")," ",""),"년","")),SUBSTITUTE(SUBSTITUTE(SUBSTITUTE(TRIM(A2603&amp;""),CHAR(160),"")," ",""),"년",""),""),"")</f>
      </c>
      <c r="I2603" t="str">
        <f>SUBSTITUTE(SUBSTITUTE(SUBSTITUTE(SUBSTITUTE(SUBSTITUTE(TRIM(B2603&amp;""),CHAR(160),"")," ",""),"초등학교","초"),"중학교","중"),"고등학교","고")</f>
      </c>
    </row>
    <row r="2604" customFormat="false" ht="15" hidden="false" customHeight="false" outlineLevel="0" collapsed="false">
      <c r="A2604" s="8"/>
      <c r="B2604" s="8"/>
      <c r="C2604" s="8"/>
      <c r="D2604" s="8"/>
      <c r="E2604" s="8"/>
      <c r="F2604" t="str" s="15">
        <f aca="0">IF(B2604="","",IF(H2604="","확인필요(입력누락)",IF(SUMPRODUCT((실물목록!$P$2:$P$1001&lt;&gt;"")*ISNUMBER(SEARCH(실물목록!$P$2:$P$1001,I2604))*(실물목록!$Q$2:$Q$1001&lt;&gt;"")*ISNUMBER(SEARCH(실물목록!$Q$2:$Q$1001,I2604))*(실물목록!$R$2:$R$1001="")*(실물목록!$O$2:$O$1001&lt;&gt;"")*(실물목록!$O$2:$O$1001=H2604))&gt;0,"실물 있음",IF(SUMPRODUCT((실물목록!$P$2:$P$1001&lt;&gt;"")*ISNUMBER(SEARCH(실물목록!$P$2:$P$1001,I2604))*(실물목록!$R$2:$R$1001&lt;&gt;""))&gt;0,"확인필요(입력누락)",IF(SUMPRODUCT((실물목록!$P$2:$P$1001&lt;&gt;"")*ISNUMBER(SEARCH(실물목록!$P$2:$P$1001,I2604))*(실물목록!$Q$2:$Q$1001&lt;&gt;"")*ISNUMBER(SEARCH(실물목록!$Q$2:$Q$1001,I2604))*(실물목록!$R$2:$R$1001="")*(실물목록!$O$2:$O$1001&lt;&gt;""))&gt;0,"확인필요(연도다름)","실물 없음")))))</f>
      </c>
      <c r="G2604" t="n" s="16">
        <f aca="0">IF(B2604="","",SUMPRODUCT((실물목록!$P$2:$P$1001&lt;&gt;"")*ISNUMBER(SEARCH(실물목록!$P$2:$P$1001,I2604))*(실물목록!$Q$2:$Q$1001&lt;&gt;"")*ISNUMBER(SEARCH(실물목록!$Q$2:$Q$1001,I2604))*(실물목록!$R$2:$R$1001="")*(실물목록!$O$2:$O$1001&lt;&gt;"")*(실물목록!$O$2:$O$1001=H2604)))</f>
      </c>
      <c r="H2604" t="str">
        <f>IFERROR(IF(AND(LEN(SUBSTITUTE(SUBSTITUTE(SUBSTITUTE(TRIM(A2604&amp;""),CHAR(160),"")," ",""),"년",""))=4,VALUE(SUBSTITUTE(SUBSTITUTE(SUBSTITUTE(TRIM(A2604&amp;""),CHAR(160),"")," ",""),"년",""))&gt;=1900,VALUE(SUBSTITUTE(SUBSTITUTE(SUBSTITUTE(TRIM(A2604&amp;""),CHAR(160),"")," ",""),"년",""))&lt;=2099,TEXT(VALUE(SUBSTITUTE(SUBSTITUTE(SUBSTITUTE(TRIM(A2604&amp;""),CHAR(160),"")," ",""),"년","")),"0000")=SUBSTITUTE(SUBSTITUTE(SUBSTITUTE(TRIM(A2604&amp;""),CHAR(160),"")," ",""),"년","")),SUBSTITUTE(SUBSTITUTE(SUBSTITUTE(TRIM(A2604&amp;""),CHAR(160),"")," ",""),"년",""),""),"")</f>
      </c>
      <c r="I2604" t="str">
        <f>SUBSTITUTE(SUBSTITUTE(SUBSTITUTE(SUBSTITUTE(SUBSTITUTE(TRIM(B2604&amp;""),CHAR(160),"")," ",""),"초등학교","초"),"중학교","중"),"고등학교","고")</f>
      </c>
    </row>
    <row r="2605" customFormat="false" ht="15" hidden="false" customHeight="false" outlineLevel="0" collapsed="false">
      <c r="A2605" s="8"/>
      <c r="B2605" s="8"/>
      <c r="C2605" s="8"/>
      <c r="D2605" s="8"/>
      <c r="E2605" s="8"/>
      <c r="F2605" t="str" s="15">
        <f aca="0">IF(B2605="","",IF(H2605="","확인필요(입력누락)",IF(SUMPRODUCT((실물목록!$P$2:$P$1001&lt;&gt;"")*ISNUMBER(SEARCH(실물목록!$P$2:$P$1001,I2605))*(실물목록!$Q$2:$Q$1001&lt;&gt;"")*ISNUMBER(SEARCH(실물목록!$Q$2:$Q$1001,I2605))*(실물목록!$R$2:$R$1001="")*(실물목록!$O$2:$O$1001&lt;&gt;"")*(실물목록!$O$2:$O$1001=H2605))&gt;0,"실물 있음",IF(SUMPRODUCT((실물목록!$P$2:$P$1001&lt;&gt;"")*ISNUMBER(SEARCH(실물목록!$P$2:$P$1001,I2605))*(실물목록!$R$2:$R$1001&lt;&gt;""))&gt;0,"확인필요(입력누락)",IF(SUMPRODUCT((실물목록!$P$2:$P$1001&lt;&gt;"")*ISNUMBER(SEARCH(실물목록!$P$2:$P$1001,I2605))*(실물목록!$Q$2:$Q$1001&lt;&gt;"")*ISNUMBER(SEARCH(실물목록!$Q$2:$Q$1001,I2605))*(실물목록!$R$2:$R$1001="")*(실물목록!$O$2:$O$1001&lt;&gt;""))&gt;0,"확인필요(연도다름)","실물 없음")))))</f>
      </c>
      <c r="G2605" t="n" s="16">
        <f aca="0">IF(B2605="","",SUMPRODUCT((실물목록!$P$2:$P$1001&lt;&gt;"")*ISNUMBER(SEARCH(실물목록!$P$2:$P$1001,I2605))*(실물목록!$Q$2:$Q$1001&lt;&gt;"")*ISNUMBER(SEARCH(실물목록!$Q$2:$Q$1001,I2605))*(실물목록!$R$2:$R$1001="")*(실물목록!$O$2:$O$1001&lt;&gt;"")*(실물목록!$O$2:$O$1001=H2605)))</f>
      </c>
      <c r="H2605" t="str">
        <f>IFERROR(IF(AND(LEN(SUBSTITUTE(SUBSTITUTE(SUBSTITUTE(TRIM(A2605&amp;""),CHAR(160),"")," ",""),"년",""))=4,VALUE(SUBSTITUTE(SUBSTITUTE(SUBSTITUTE(TRIM(A2605&amp;""),CHAR(160),"")," ",""),"년",""))&gt;=1900,VALUE(SUBSTITUTE(SUBSTITUTE(SUBSTITUTE(TRIM(A2605&amp;""),CHAR(160),"")," ",""),"년",""))&lt;=2099,TEXT(VALUE(SUBSTITUTE(SUBSTITUTE(SUBSTITUTE(TRIM(A2605&amp;""),CHAR(160),"")," ",""),"년","")),"0000")=SUBSTITUTE(SUBSTITUTE(SUBSTITUTE(TRIM(A2605&amp;""),CHAR(160),"")," ",""),"년","")),SUBSTITUTE(SUBSTITUTE(SUBSTITUTE(TRIM(A2605&amp;""),CHAR(160),"")," ",""),"년",""),""),"")</f>
      </c>
      <c r="I2605" t="str">
        <f>SUBSTITUTE(SUBSTITUTE(SUBSTITUTE(SUBSTITUTE(SUBSTITUTE(TRIM(B2605&amp;""),CHAR(160),"")," ",""),"초등학교","초"),"중학교","중"),"고등학교","고")</f>
      </c>
    </row>
    <row r="2606" customFormat="false" ht="15" hidden="false" customHeight="false" outlineLevel="0" collapsed="false">
      <c r="A2606" s="8"/>
      <c r="B2606" s="8"/>
      <c r="C2606" s="8"/>
      <c r="D2606" s="8"/>
      <c r="E2606" s="8"/>
      <c r="F2606" t="str" s="15">
        <f aca="0">IF(B2606="","",IF(H2606="","확인필요(입력누락)",IF(SUMPRODUCT((실물목록!$P$2:$P$1001&lt;&gt;"")*ISNUMBER(SEARCH(실물목록!$P$2:$P$1001,I2606))*(실물목록!$Q$2:$Q$1001&lt;&gt;"")*ISNUMBER(SEARCH(실물목록!$Q$2:$Q$1001,I2606))*(실물목록!$R$2:$R$1001="")*(실물목록!$O$2:$O$1001&lt;&gt;"")*(실물목록!$O$2:$O$1001=H2606))&gt;0,"실물 있음",IF(SUMPRODUCT((실물목록!$P$2:$P$1001&lt;&gt;"")*ISNUMBER(SEARCH(실물목록!$P$2:$P$1001,I2606))*(실물목록!$R$2:$R$1001&lt;&gt;""))&gt;0,"확인필요(입력누락)",IF(SUMPRODUCT((실물목록!$P$2:$P$1001&lt;&gt;"")*ISNUMBER(SEARCH(실물목록!$P$2:$P$1001,I2606))*(실물목록!$Q$2:$Q$1001&lt;&gt;"")*ISNUMBER(SEARCH(실물목록!$Q$2:$Q$1001,I2606))*(실물목록!$R$2:$R$1001="")*(실물목록!$O$2:$O$1001&lt;&gt;""))&gt;0,"확인필요(연도다름)","실물 없음")))))</f>
      </c>
      <c r="G2606" t="n" s="16">
        <f aca="0">IF(B2606="","",SUMPRODUCT((실물목록!$P$2:$P$1001&lt;&gt;"")*ISNUMBER(SEARCH(실물목록!$P$2:$P$1001,I2606))*(실물목록!$Q$2:$Q$1001&lt;&gt;"")*ISNUMBER(SEARCH(실물목록!$Q$2:$Q$1001,I2606))*(실물목록!$R$2:$R$1001="")*(실물목록!$O$2:$O$1001&lt;&gt;"")*(실물목록!$O$2:$O$1001=H2606)))</f>
      </c>
      <c r="H2606" t="str">
        <f>IFERROR(IF(AND(LEN(SUBSTITUTE(SUBSTITUTE(SUBSTITUTE(TRIM(A2606&amp;""),CHAR(160),"")," ",""),"년",""))=4,VALUE(SUBSTITUTE(SUBSTITUTE(SUBSTITUTE(TRIM(A2606&amp;""),CHAR(160),"")," ",""),"년",""))&gt;=1900,VALUE(SUBSTITUTE(SUBSTITUTE(SUBSTITUTE(TRIM(A2606&amp;""),CHAR(160),"")," ",""),"년",""))&lt;=2099,TEXT(VALUE(SUBSTITUTE(SUBSTITUTE(SUBSTITUTE(TRIM(A2606&amp;""),CHAR(160),"")," ",""),"년","")),"0000")=SUBSTITUTE(SUBSTITUTE(SUBSTITUTE(TRIM(A2606&amp;""),CHAR(160),"")," ",""),"년","")),SUBSTITUTE(SUBSTITUTE(SUBSTITUTE(TRIM(A2606&amp;""),CHAR(160),"")," ",""),"년",""),""),"")</f>
      </c>
      <c r="I2606" t="str">
        <f>SUBSTITUTE(SUBSTITUTE(SUBSTITUTE(SUBSTITUTE(SUBSTITUTE(TRIM(B2606&amp;""),CHAR(160),"")," ",""),"초등학교","초"),"중학교","중"),"고등학교","고")</f>
      </c>
    </row>
    <row r="2607" customFormat="false" ht="15" hidden="false" customHeight="false" outlineLevel="0" collapsed="false">
      <c r="A2607" s="8"/>
      <c r="B2607" s="8"/>
      <c r="C2607" s="8"/>
      <c r="D2607" s="8"/>
      <c r="E2607" s="8"/>
      <c r="F2607" t="str" s="15">
        <f aca="0">IF(B2607="","",IF(H2607="","확인필요(입력누락)",IF(SUMPRODUCT((실물목록!$P$2:$P$1001&lt;&gt;"")*ISNUMBER(SEARCH(실물목록!$P$2:$P$1001,I2607))*(실물목록!$Q$2:$Q$1001&lt;&gt;"")*ISNUMBER(SEARCH(실물목록!$Q$2:$Q$1001,I2607))*(실물목록!$R$2:$R$1001="")*(실물목록!$O$2:$O$1001&lt;&gt;"")*(실물목록!$O$2:$O$1001=H2607))&gt;0,"실물 있음",IF(SUMPRODUCT((실물목록!$P$2:$P$1001&lt;&gt;"")*ISNUMBER(SEARCH(실물목록!$P$2:$P$1001,I2607))*(실물목록!$R$2:$R$1001&lt;&gt;""))&gt;0,"확인필요(입력누락)",IF(SUMPRODUCT((실물목록!$P$2:$P$1001&lt;&gt;"")*ISNUMBER(SEARCH(실물목록!$P$2:$P$1001,I2607))*(실물목록!$Q$2:$Q$1001&lt;&gt;"")*ISNUMBER(SEARCH(실물목록!$Q$2:$Q$1001,I2607))*(실물목록!$R$2:$R$1001="")*(실물목록!$O$2:$O$1001&lt;&gt;""))&gt;0,"확인필요(연도다름)","실물 없음")))))</f>
      </c>
      <c r="G2607" t="n" s="16">
        <f aca="0">IF(B2607="","",SUMPRODUCT((실물목록!$P$2:$P$1001&lt;&gt;"")*ISNUMBER(SEARCH(실물목록!$P$2:$P$1001,I2607))*(실물목록!$Q$2:$Q$1001&lt;&gt;"")*ISNUMBER(SEARCH(실물목록!$Q$2:$Q$1001,I2607))*(실물목록!$R$2:$R$1001="")*(실물목록!$O$2:$O$1001&lt;&gt;"")*(실물목록!$O$2:$O$1001=H2607)))</f>
      </c>
      <c r="H2607" t="str">
        <f>IFERROR(IF(AND(LEN(SUBSTITUTE(SUBSTITUTE(SUBSTITUTE(TRIM(A2607&amp;""),CHAR(160),"")," ",""),"년",""))=4,VALUE(SUBSTITUTE(SUBSTITUTE(SUBSTITUTE(TRIM(A2607&amp;""),CHAR(160),"")," ",""),"년",""))&gt;=1900,VALUE(SUBSTITUTE(SUBSTITUTE(SUBSTITUTE(TRIM(A2607&amp;""),CHAR(160),"")," ",""),"년",""))&lt;=2099,TEXT(VALUE(SUBSTITUTE(SUBSTITUTE(SUBSTITUTE(TRIM(A2607&amp;""),CHAR(160),"")," ",""),"년","")),"0000")=SUBSTITUTE(SUBSTITUTE(SUBSTITUTE(TRIM(A2607&amp;""),CHAR(160),"")," ",""),"년","")),SUBSTITUTE(SUBSTITUTE(SUBSTITUTE(TRIM(A2607&amp;""),CHAR(160),"")," ",""),"년",""),""),"")</f>
      </c>
      <c r="I2607" t="str">
        <f>SUBSTITUTE(SUBSTITUTE(SUBSTITUTE(SUBSTITUTE(SUBSTITUTE(TRIM(B2607&amp;""),CHAR(160),"")," ",""),"초등학교","초"),"중학교","중"),"고등학교","고")</f>
      </c>
    </row>
    <row r="2608" customFormat="false" ht="15" hidden="false" customHeight="false" outlineLevel="0" collapsed="false">
      <c r="A2608" s="8"/>
      <c r="B2608" s="8"/>
      <c r="C2608" s="8"/>
      <c r="D2608" s="8"/>
      <c r="E2608" s="8"/>
      <c r="F2608" t="str" s="15">
        <f aca="0">IF(B2608="","",IF(H2608="","확인필요(입력누락)",IF(SUMPRODUCT((실물목록!$P$2:$P$1001&lt;&gt;"")*ISNUMBER(SEARCH(실물목록!$P$2:$P$1001,I2608))*(실물목록!$Q$2:$Q$1001&lt;&gt;"")*ISNUMBER(SEARCH(실물목록!$Q$2:$Q$1001,I2608))*(실물목록!$R$2:$R$1001="")*(실물목록!$O$2:$O$1001&lt;&gt;"")*(실물목록!$O$2:$O$1001=H2608))&gt;0,"실물 있음",IF(SUMPRODUCT((실물목록!$P$2:$P$1001&lt;&gt;"")*ISNUMBER(SEARCH(실물목록!$P$2:$P$1001,I2608))*(실물목록!$R$2:$R$1001&lt;&gt;""))&gt;0,"확인필요(입력누락)",IF(SUMPRODUCT((실물목록!$P$2:$P$1001&lt;&gt;"")*ISNUMBER(SEARCH(실물목록!$P$2:$P$1001,I2608))*(실물목록!$Q$2:$Q$1001&lt;&gt;"")*ISNUMBER(SEARCH(실물목록!$Q$2:$Q$1001,I2608))*(실물목록!$R$2:$R$1001="")*(실물목록!$O$2:$O$1001&lt;&gt;""))&gt;0,"확인필요(연도다름)","실물 없음")))))</f>
      </c>
      <c r="G2608" t="n" s="16">
        <f aca="0">IF(B2608="","",SUMPRODUCT((실물목록!$P$2:$P$1001&lt;&gt;"")*ISNUMBER(SEARCH(실물목록!$P$2:$P$1001,I2608))*(실물목록!$Q$2:$Q$1001&lt;&gt;"")*ISNUMBER(SEARCH(실물목록!$Q$2:$Q$1001,I2608))*(실물목록!$R$2:$R$1001="")*(실물목록!$O$2:$O$1001&lt;&gt;"")*(실물목록!$O$2:$O$1001=H2608)))</f>
      </c>
      <c r="H2608" t="str">
        <f>IFERROR(IF(AND(LEN(SUBSTITUTE(SUBSTITUTE(SUBSTITUTE(TRIM(A2608&amp;""),CHAR(160),"")," ",""),"년",""))=4,VALUE(SUBSTITUTE(SUBSTITUTE(SUBSTITUTE(TRIM(A2608&amp;""),CHAR(160),"")," ",""),"년",""))&gt;=1900,VALUE(SUBSTITUTE(SUBSTITUTE(SUBSTITUTE(TRIM(A2608&amp;""),CHAR(160),"")," ",""),"년",""))&lt;=2099,TEXT(VALUE(SUBSTITUTE(SUBSTITUTE(SUBSTITUTE(TRIM(A2608&amp;""),CHAR(160),"")," ",""),"년","")),"0000")=SUBSTITUTE(SUBSTITUTE(SUBSTITUTE(TRIM(A2608&amp;""),CHAR(160),"")," ",""),"년","")),SUBSTITUTE(SUBSTITUTE(SUBSTITUTE(TRIM(A2608&amp;""),CHAR(160),"")," ",""),"년",""),""),"")</f>
      </c>
      <c r="I2608" t="str">
        <f>SUBSTITUTE(SUBSTITUTE(SUBSTITUTE(SUBSTITUTE(SUBSTITUTE(TRIM(B2608&amp;""),CHAR(160),"")," ",""),"초등학교","초"),"중학교","중"),"고등학교","고")</f>
      </c>
    </row>
    <row r="2609" customFormat="false" ht="15" hidden="false" customHeight="false" outlineLevel="0" collapsed="false">
      <c r="A2609" s="8"/>
      <c r="B2609" s="8"/>
      <c r="C2609" s="8"/>
      <c r="D2609" s="8"/>
      <c r="E2609" s="8"/>
      <c r="F2609" t="str" s="15">
        <f aca="0">IF(B2609="","",IF(H2609="","확인필요(입력누락)",IF(SUMPRODUCT((실물목록!$P$2:$P$1001&lt;&gt;"")*ISNUMBER(SEARCH(실물목록!$P$2:$P$1001,I2609))*(실물목록!$Q$2:$Q$1001&lt;&gt;"")*ISNUMBER(SEARCH(실물목록!$Q$2:$Q$1001,I2609))*(실물목록!$R$2:$R$1001="")*(실물목록!$O$2:$O$1001&lt;&gt;"")*(실물목록!$O$2:$O$1001=H2609))&gt;0,"실물 있음",IF(SUMPRODUCT((실물목록!$P$2:$P$1001&lt;&gt;"")*ISNUMBER(SEARCH(실물목록!$P$2:$P$1001,I2609))*(실물목록!$R$2:$R$1001&lt;&gt;""))&gt;0,"확인필요(입력누락)",IF(SUMPRODUCT((실물목록!$P$2:$P$1001&lt;&gt;"")*ISNUMBER(SEARCH(실물목록!$P$2:$P$1001,I2609))*(실물목록!$Q$2:$Q$1001&lt;&gt;"")*ISNUMBER(SEARCH(실물목록!$Q$2:$Q$1001,I2609))*(실물목록!$R$2:$R$1001="")*(실물목록!$O$2:$O$1001&lt;&gt;""))&gt;0,"확인필요(연도다름)","실물 없음")))))</f>
      </c>
      <c r="G2609" t="n" s="16">
        <f aca="0">IF(B2609="","",SUMPRODUCT((실물목록!$P$2:$P$1001&lt;&gt;"")*ISNUMBER(SEARCH(실물목록!$P$2:$P$1001,I2609))*(실물목록!$Q$2:$Q$1001&lt;&gt;"")*ISNUMBER(SEARCH(실물목록!$Q$2:$Q$1001,I2609))*(실물목록!$R$2:$R$1001="")*(실물목록!$O$2:$O$1001&lt;&gt;"")*(실물목록!$O$2:$O$1001=H2609)))</f>
      </c>
      <c r="H2609" t="str">
        <f>IFERROR(IF(AND(LEN(SUBSTITUTE(SUBSTITUTE(SUBSTITUTE(TRIM(A2609&amp;""),CHAR(160),"")," ",""),"년",""))=4,VALUE(SUBSTITUTE(SUBSTITUTE(SUBSTITUTE(TRIM(A2609&amp;""),CHAR(160),"")," ",""),"년",""))&gt;=1900,VALUE(SUBSTITUTE(SUBSTITUTE(SUBSTITUTE(TRIM(A2609&amp;""),CHAR(160),"")," ",""),"년",""))&lt;=2099,TEXT(VALUE(SUBSTITUTE(SUBSTITUTE(SUBSTITUTE(TRIM(A2609&amp;""),CHAR(160),"")," ",""),"년","")),"0000")=SUBSTITUTE(SUBSTITUTE(SUBSTITUTE(TRIM(A2609&amp;""),CHAR(160),"")," ",""),"년","")),SUBSTITUTE(SUBSTITUTE(SUBSTITUTE(TRIM(A2609&amp;""),CHAR(160),"")," ",""),"년",""),""),"")</f>
      </c>
      <c r="I2609" t="str">
        <f>SUBSTITUTE(SUBSTITUTE(SUBSTITUTE(SUBSTITUTE(SUBSTITUTE(TRIM(B2609&amp;""),CHAR(160),"")," ",""),"초등학교","초"),"중학교","중"),"고등학교","고")</f>
      </c>
    </row>
    <row r="2610" customFormat="false" ht="15" hidden="false" customHeight="false" outlineLevel="0" collapsed="false">
      <c r="A2610" s="8"/>
      <c r="B2610" s="8"/>
      <c r="C2610" s="8"/>
      <c r="D2610" s="8"/>
      <c r="E2610" s="8"/>
      <c r="F2610" t="str" s="15">
        <f aca="0">IF(B2610="","",IF(H2610="","확인필요(입력누락)",IF(SUMPRODUCT((실물목록!$P$2:$P$1001&lt;&gt;"")*ISNUMBER(SEARCH(실물목록!$P$2:$P$1001,I2610))*(실물목록!$Q$2:$Q$1001&lt;&gt;"")*ISNUMBER(SEARCH(실물목록!$Q$2:$Q$1001,I2610))*(실물목록!$R$2:$R$1001="")*(실물목록!$O$2:$O$1001&lt;&gt;"")*(실물목록!$O$2:$O$1001=H2610))&gt;0,"실물 있음",IF(SUMPRODUCT((실물목록!$P$2:$P$1001&lt;&gt;"")*ISNUMBER(SEARCH(실물목록!$P$2:$P$1001,I2610))*(실물목록!$R$2:$R$1001&lt;&gt;""))&gt;0,"확인필요(입력누락)",IF(SUMPRODUCT((실물목록!$P$2:$P$1001&lt;&gt;"")*ISNUMBER(SEARCH(실물목록!$P$2:$P$1001,I2610))*(실물목록!$Q$2:$Q$1001&lt;&gt;"")*ISNUMBER(SEARCH(실물목록!$Q$2:$Q$1001,I2610))*(실물목록!$R$2:$R$1001="")*(실물목록!$O$2:$O$1001&lt;&gt;""))&gt;0,"확인필요(연도다름)","실물 없음")))))</f>
      </c>
      <c r="G2610" t="n" s="16">
        <f aca="0">IF(B2610="","",SUMPRODUCT((실물목록!$P$2:$P$1001&lt;&gt;"")*ISNUMBER(SEARCH(실물목록!$P$2:$P$1001,I2610))*(실물목록!$Q$2:$Q$1001&lt;&gt;"")*ISNUMBER(SEARCH(실물목록!$Q$2:$Q$1001,I2610))*(실물목록!$R$2:$R$1001="")*(실물목록!$O$2:$O$1001&lt;&gt;"")*(실물목록!$O$2:$O$1001=H2610)))</f>
      </c>
      <c r="H2610" t="str">
        <f>IFERROR(IF(AND(LEN(SUBSTITUTE(SUBSTITUTE(SUBSTITUTE(TRIM(A2610&amp;""),CHAR(160),"")," ",""),"년",""))=4,VALUE(SUBSTITUTE(SUBSTITUTE(SUBSTITUTE(TRIM(A2610&amp;""),CHAR(160),"")," ",""),"년",""))&gt;=1900,VALUE(SUBSTITUTE(SUBSTITUTE(SUBSTITUTE(TRIM(A2610&amp;""),CHAR(160),"")," ",""),"년",""))&lt;=2099,TEXT(VALUE(SUBSTITUTE(SUBSTITUTE(SUBSTITUTE(TRIM(A2610&amp;""),CHAR(160),"")," ",""),"년","")),"0000")=SUBSTITUTE(SUBSTITUTE(SUBSTITUTE(TRIM(A2610&amp;""),CHAR(160),"")," ",""),"년","")),SUBSTITUTE(SUBSTITUTE(SUBSTITUTE(TRIM(A2610&amp;""),CHAR(160),"")," ",""),"년",""),""),"")</f>
      </c>
      <c r="I2610" t="str">
        <f>SUBSTITUTE(SUBSTITUTE(SUBSTITUTE(SUBSTITUTE(SUBSTITUTE(TRIM(B2610&amp;""),CHAR(160),"")," ",""),"초등학교","초"),"중학교","중"),"고등학교","고")</f>
      </c>
    </row>
    <row r="2611" customFormat="false" ht="15" hidden="false" customHeight="false" outlineLevel="0" collapsed="false">
      <c r="A2611" s="8"/>
      <c r="B2611" s="8"/>
      <c r="C2611" s="8"/>
      <c r="D2611" s="8"/>
      <c r="E2611" s="8"/>
      <c r="F2611" t="str" s="15">
        <f aca="0">IF(B2611="","",IF(H2611="","확인필요(입력누락)",IF(SUMPRODUCT((실물목록!$P$2:$P$1001&lt;&gt;"")*ISNUMBER(SEARCH(실물목록!$P$2:$P$1001,I2611))*(실물목록!$Q$2:$Q$1001&lt;&gt;"")*ISNUMBER(SEARCH(실물목록!$Q$2:$Q$1001,I2611))*(실물목록!$R$2:$R$1001="")*(실물목록!$O$2:$O$1001&lt;&gt;"")*(실물목록!$O$2:$O$1001=H2611))&gt;0,"실물 있음",IF(SUMPRODUCT((실물목록!$P$2:$P$1001&lt;&gt;"")*ISNUMBER(SEARCH(실물목록!$P$2:$P$1001,I2611))*(실물목록!$R$2:$R$1001&lt;&gt;""))&gt;0,"확인필요(입력누락)",IF(SUMPRODUCT((실물목록!$P$2:$P$1001&lt;&gt;"")*ISNUMBER(SEARCH(실물목록!$P$2:$P$1001,I2611))*(실물목록!$Q$2:$Q$1001&lt;&gt;"")*ISNUMBER(SEARCH(실물목록!$Q$2:$Q$1001,I2611))*(실물목록!$R$2:$R$1001="")*(실물목록!$O$2:$O$1001&lt;&gt;""))&gt;0,"확인필요(연도다름)","실물 없음")))))</f>
      </c>
      <c r="G2611" t="n" s="16">
        <f aca="0">IF(B2611="","",SUMPRODUCT((실물목록!$P$2:$P$1001&lt;&gt;"")*ISNUMBER(SEARCH(실물목록!$P$2:$P$1001,I2611))*(실물목록!$Q$2:$Q$1001&lt;&gt;"")*ISNUMBER(SEARCH(실물목록!$Q$2:$Q$1001,I2611))*(실물목록!$R$2:$R$1001="")*(실물목록!$O$2:$O$1001&lt;&gt;"")*(실물목록!$O$2:$O$1001=H2611)))</f>
      </c>
      <c r="H2611" t="str">
        <f>IFERROR(IF(AND(LEN(SUBSTITUTE(SUBSTITUTE(SUBSTITUTE(TRIM(A2611&amp;""),CHAR(160),"")," ",""),"년",""))=4,VALUE(SUBSTITUTE(SUBSTITUTE(SUBSTITUTE(TRIM(A2611&amp;""),CHAR(160),"")," ",""),"년",""))&gt;=1900,VALUE(SUBSTITUTE(SUBSTITUTE(SUBSTITUTE(TRIM(A2611&amp;""),CHAR(160),"")," ",""),"년",""))&lt;=2099,TEXT(VALUE(SUBSTITUTE(SUBSTITUTE(SUBSTITUTE(TRIM(A2611&amp;""),CHAR(160),"")," ",""),"년","")),"0000")=SUBSTITUTE(SUBSTITUTE(SUBSTITUTE(TRIM(A2611&amp;""),CHAR(160),"")," ",""),"년","")),SUBSTITUTE(SUBSTITUTE(SUBSTITUTE(TRIM(A2611&amp;""),CHAR(160),"")," ",""),"년",""),""),"")</f>
      </c>
      <c r="I2611" t="str">
        <f>SUBSTITUTE(SUBSTITUTE(SUBSTITUTE(SUBSTITUTE(SUBSTITUTE(TRIM(B2611&amp;""),CHAR(160),"")," ",""),"초등학교","초"),"중학교","중"),"고등학교","고")</f>
      </c>
    </row>
    <row r="2612" customFormat="false" ht="15" hidden="false" customHeight="false" outlineLevel="0" collapsed="false">
      <c r="A2612" s="8"/>
      <c r="B2612" s="8"/>
      <c r="C2612" s="8"/>
      <c r="D2612" s="8"/>
      <c r="E2612" s="8"/>
      <c r="F2612" t="str" s="15">
        <f aca="0">IF(B2612="","",IF(H2612="","확인필요(입력누락)",IF(SUMPRODUCT((실물목록!$P$2:$P$1001&lt;&gt;"")*ISNUMBER(SEARCH(실물목록!$P$2:$P$1001,I2612))*(실물목록!$Q$2:$Q$1001&lt;&gt;"")*ISNUMBER(SEARCH(실물목록!$Q$2:$Q$1001,I2612))*(실물목록!$R$2:$R$1001="")*(실물목록!$O$2:$O$1001&lt;&gt;"")*(실물목록!$O$2:$O$1001=H2612))&gt;0,"실물 있음",IF(SUMPRODUCT((실물목록!$P$2:$P$1001&lt;&gt;"")*ISNUMBER(SEARCH(실물목록!$P$2:$P$1001,I2612))*(실물목록!$R$2:$R$1001&lt;&gt;""))&gt;0,"확인필요(입력누락)",IF(SUMPRODUCT((실물목록!$P$2:$P$1001&lt;&gt;"")*ISNUMBER(SEARCH(실물목록!$P$2:$P$1001,I2612))*(실물목록!$Q$2:$Q$1001&lt;&gt;"")*ISNUMBER(SEARCH(실물목록!$Q$2:$Q$1001,I2612))*(실물목록!$R$2:$R$1001="")*(실물목록!$O$2:$O$1001&lt;&gt;""))&gt;0,"확인필요(연도다름)","실물 없음")))))</f>
      </c>
      <c r="G2612" t="n" s="16">
        <f aca="0">IF(B2612="","",SUMPRODUCT((실물목록!$P$2:$P$1001&lt;&gt;"")*ISNUMBER(SEARCH(실물목록!$P$2:$P$1001,I2612))*(실물목록!$Q$2:$Q$1001&lt;&gt;"")*ISNUMBER(SEARCH(실물목록!$Q$2:$Q$1001,I2612))*(실물목록!$R$2:$R$1001="")*(실물목록!$O$2:$O$1001&lt;&gt;"")*(실물목록!$O$2:$O$1001=H2612)))</f>
      </c>
      <c r="H2612" t="str">
        <f>IFERROR(IF(AND(LEN(SUBSTITUTE(SUBSTITUTE(SUBSTITUTE(TRIM(A2612&amp;""),CHAR(160),"")," ",""),"년",""))=4,VALUE(SUBSTITUTE(SUBSTITUTE(SUBSTITUTE(TRIM(A2612&amp;""),CHAR(160),"")," ",""),"년",""))&gt;=1900,VALUE(SUBSTITUTE(SUBSTITUTE(SUBSTITUTE(TRIM(A2612&amp;""),CHAR(160),"")," ",""),"년",""))&lt;=2099,TEXT(VALUE(SUBSTITUTE(SUBSTITUTE(SUBSTITUTE(TRIM(A2612&amp;""),CHAR(160),"")," ",""),"년","")),"0000")=SUBSTITUTE(SUBSTITUTE(SUBSTITUTE(TRIM(A2612&amp;""),CHAR(160),"")," ",""),"년","")),SUBSTITUTE(SUBSTITUTE(SUBSTITUTE(TRIM(A2612&amp;""),CHAR(160),"")," ",""),"년",""),""),"")</f>
      </c>
      <c r="I2612" t="str">
        <f>SUBSTITUTE(SUBSTITUTE(SUBSTITUTE(SUBSTITUTE(SUBSTITUTE(TRIM(B2612&amp;""),CHAR(160),"")," ",""),"초등학교","초"),"중학교","중"),"고등학교","고")</f>
      </c>
    </row>
    <row r="2613" customFormat="false" ht="15" hidden="false" customHeight="false" outlineLevel="0" collapsed="false">
      <c r="A2613" s="8"/>
      <c r="B2613" s="8"/>
      <c r="C2613" s="8"/>
      <c r="D2613" s="8"/>
      <c r="E2613" s="8"/>
      <c r="F2613" t="str" s="15">
        <f aca="0">IF(B2613="","",IF(H2613="","확인필요(입력누락)",IF(SUMPRODUCT((실물목록!$P$2:$P$1001&lt;&gt;"")*ISNUMBER(SEARCH(실물목록!$P$2:$P$1001,I2613))*(실물목록!$Q$2:$Q$1001&lt;&gt;"")*ISNUMBER(SEARCH(실물목록!$Q$2:$Q$1001,I2613))*(실물목록!$R$2:$R$1001="")*(실물목록!$O$2:$O$1001&lt;&gt;"")*(실물목록!$O$2:$O$1001=H2613))&gt;0,"실물 있음",IF(SUMPRODUCT((실물목록!$P$2:$P$1001&lt;&gt;"")*ISNUMBER(SEARCH(실물목록!$P$2:$P$1001,I2613))*(실물목록!$R$2:$R$1001&lt;&gt;""))&gt;0,"확인필요(입력누락)",IF(SUMPRODUCT((실물목록!$P$2:$P$1001&lt;&gt;"")*ISNUMBER(SEARCH(실물목록!$P$2:$P$1001,I2613))*(실물목록!$Q$2:$Q$1001&lt;&gt;"")*ISNUMBER(SEARCH(실물목록!$Q$2:$Q$1001,I2613))*(실물목록!$R$2:$R$1001="")*(실물목록!$O$2:$O$1001&lt;&gt;""))&gt;0,"확인필요(연도다름)","실물 없음")))))</f>
      </c>
      <c r="G2613" t="n" s="16">
        <f aca="0">IF(B2613="","",SUMPRODUCT((실물목록!$P$2:$P$1001&lt;&gt;"")*ISNUMBER(SEARCH(실물목록!$P$2:$P$1001,I2613))*(실물목록!$Q$2:$Q$1001&lt;&gt;"")*ISNUMBER(SEARCH(실물목록!$Q$2:$Q$1001,I2613))*(실물목록!$R$2:$R$1001="")*(실물목록!$O$2:$O$1001&lt;&gt;"")*(실물목록!$O$2:$O$1001=H2613)))</f>
      </c>
      <c r="H2613" t="str">
        <f>IFERROR(IF(AND(LEN(SUBSTITUTE(SUBSTITUTE(SUBSTITUTE(TRIM(A2613&amp;""),CHAR(160),"")," ",""),"년",""))=4,VALUE(SUBSTITUTE(SUBSTITUTE(SUBSTITUTE(TRIM(A2613&amp;""),CHAR(160),"")," ",""),"년",""))&gt;=1900,VALUE(SUBSTITUTE(SUBSTITUTE(SUBSTITUTE(TRIM(A2613&amp;""),CHAR(160),"")," ",""),"년",""))&lt;=2099,TEXT(VALUE(SUBSTITUTE(SUBSTITUTE(SUBSTITUTE(TRIM(A2613&amp;""),CHAR(160),"")," ",""),"년","")),"0000")=SUBSTITUTE(SUBSTITUTE(SUBSTITUTE(TRIM(A2613&amp;""),CHAR(160),"")," ",""),"년","")),SUBSTITUTE(SUBSTITUTE(SUBSTITUTE(TRIM(A2613&amp;""),CHAR(160),"")," ",""),"년",""),""),"")</f>
      </c>
      <c r="I2613" t="str">
        <f>SUBSTITUTE(SUBSTITUTE(SUBSTITUTE(SUBSTITUTE(SUBSTITUTE(TRIM(B2613&amp;""),CHAR(160),"")," ",""),"초등학교","초"),"중학교","중"),"고등학교","고")</f>
      </c>
    </row>
    <row r="2614" customFormat="false" ht="15" hidden="false" customHeight="false" outlineLevel="0" collapsed="false">
      <c r="A2614" s="8"/>
      <c r="B2614" s="8"/>
      <c r="C2614" s="8"/>
      <c r="D2614" s="8"/>
      <c r="E2614" s="8"/>
      <c r="F2614" t="str" s="15">
        <f aca="0">IF(B2614="","",IF(H2614="","확인필요(입력누락)",IF(SUMPRODUCT((실물목록!$P$2:$P$1001&lt;&gt;"")*ISNUMBER(SEARCH(실물목록!$P$2:$P$1001,I2614))*(실물목록!$Q$2:$Q$1001&lt;&gt;"")*ISNUMBER(SEARCH(실물목록!$Q$2:$Q$1001,I2614))*(실물목록!$R$2:$R$1001="")*(실물목록!$O$2:$O$1001&lt;&gt;"")*(실물목록!$O$2:$O$1001=H2614))&gt;0,"실물 있음",IF(SUMPRODUCT((실물목록!$P$2:$P$1001&lt;&gt;"")*ISNUMBER(SEARCH(실물목록!$P$2:$P$1001,I2614))*(실물목록!$R$2:$R$1001&lt;&gt;""))&gt;0,"확인필요(입력누락)",IF(SUMPRODUCT((실물목록!$P$2:$P$1001&lt;&gt;"")*ISNUMBER(SEARCH(실물목록!$P$2:$P$1001,I2614))*(실물목록!$Q$2:$Q$1001&lt;&gt;"")*ISNUMBER(SEARCH(실물목록!$Q$2:$Q$1001,I2614))*(실물목록!$R$2:$R$1001="")*(실물목록!$O$2:$O$1001&lt;&gt;""))&gt;0,"확인필요(연도다름)","실물 없음")))))</f>
      </c>
      <c r="G2614" t="n" s="16">
        <f aca="0">IF(B2614="","",SUMPRODUCT((실물목록!$P$2:$P$1001&lt;&gt;"")*ISNUMBER(SEARCH(실물목록!$P$2:$P$1001,I2614))*(실물목록!$Q$2:$Q$1001&lt;&gt;"")*ISNUMBER(SEARCH(실물목록!$Q$2:$Q$1001,I2614))*(실물목록!$R$2:$R$1001="")*(실물목록!$O$2:$O$1001&lt;&gt;"")*(실물목록!$O$2:$O$1001=H2614)))</f>
      </c>
      <c r="H2614" t="str">
        <f>IFERROR(IF(AND(LEN(SUBSTITUTE(SUBSTITUTE(SUBSTITUTE(TRIM(A2614&amp;""),CHAR(160),"")," ",""),"년",""))=4,VALUE(SUBSTITUTE(SUBSTITUTE(SUBSTITUTE(TRIM(A2614&amp;""),CHAR(160),"")," ",""),"년",""))&gt;=1900,VALUE(SUBSTITUTE(SUBSTITUTE(SUBSTITUTE(TRIM(A2614&amp;""),CHAR(160),"")," ",""),"년",""))&lt;=2099,TEXT(VALUE(SUBSTITUTE(SUBSTITUTE(SUBSTITUTE(TRIM(A2614&amp;""),CHAR(160),"")," ",""),"년","")),"0000")=SUBSTITUTE(SUBSTITUTE(SUBSTITUTE(TRIM(A2614&amp;""),CHAR(160),"")," ",""),"년","")),SUBSTITUTE(SUBSTITUTE(SUBSTITUTE(TRIM(A2614&amp;""),CHAR(160),"")," ",""),"년",""),""),"")</f>
      </c>
      <c r="I2614" t="str">
        <f>SUBSTITUTE(SUBSTITUTE(SUBSTITUTE(SUBSTITUTE(SUBSTITUTE(TRIM(B2614&amp;""),CHAR(160),"")," ",""),"초등학교","초"),"중학교","중"),"고등학교","고")</f>
      </c>
    </row>
    <row r="2615" customFormat="false" ht="15" hidden="false" customHeight="false" outlineLevel="0" collapsed="false">
      <c r="A2615" s="8"/>
      <c r="B2615" s="8"/>
      <c r="C2615" s="8"/>
      <c r="D2615" s="8"/>
      <c r="E2615" s="8"/>
      <c r="F2615" t="str" s="15">
        <f aca="0">IF(B2615="","",IF(H2615="","확인필요(입력누락)",IF(SUMPRODUCT((실물목록!$P$2:$P$1001&lt;&gt;"")*ISNUMBER(SEARCH(실물목록!$P$2:$P$1001,I2615))*(실물목록!$Q$2:$Q$1001&lt;&gt;"")*ISNUMBER(SEARCH(실물목록!$Q$2:$Q$1001,I2615))*(실물목록!$R$2:$R$1001="")*(실물목록!$O$2:$O$1001&lt;&gt;"")*(실물목록!$O$2:$O$1001=H2615))&gt;0,"실물 있음",IF(SUMPRODUCT((실물목록!$P$2:$P$1001&lt;&gt;"")*ISNUMBER(SEARCH(실물목록!$P$2:$P$1001,I2615))*(실물목록!$R$2:$R$1001&lt;&gt;""))&gt;0,"확인필요(입력누락)",IF(SUMPRODUCT((실물목록!$P$2:$P$1001&lt;&gt;"")*ISNUMBER(SEARCH(실물목록!$P$2:$P$1001,I2615))*(실물목록!$Q$2:$Q$1001&lt;&gt;"")*ISNUMBER(SEARCH(실물목록!$Q$2:$Q$1001,I2615))*(실물목록!$R$2:$R$1001="")*(실물목록!$O$2:$O$1001&lt;&gt;""))&gt;0,"확인필요(연도다름)","실물 없음")))))</f>
      </c>
      <c r="G2615" t="n" s="16">
        <f aca="0">IF(B2615="","",SUMPRODUCT((실물목록!$P$2:$P$1001&lt;&gt;"")*ISNUMBER(SEARCH(실물목록!$P$2:$P$1001,I2615))*(실물목록!$Q$2:$Q$1001&lt;&gt;"")*ISNUMBER(SEARCH(실물목록!$Q$2:$Q$1001,I2615))*(실물목록!$R$2:$R$1001="")*(실물목록!$O$2:$O$1001&lt;&gt;"")*(실물목록!$O$2:$O$1001=H2615)))</f>
      </c>
      <c r="H2615" t="str">
        <f>IFERROR(IF(AND(LEN(SUBSTITUTE(SUBSTITUTE(SUBSTITUTE(TRIM(A2615&amp;""),CHAR(160),"")," ",""),"년",""))=4,VALUE(SUBSTITUTE(SUBSTITUTE(SUBSTITUTE(TRIM(A2615&amp;""),CHAR(160),"")," ",""),"년",""))&gt;=1900,VALUE(SUBSTITUTE(SUBSTITUTE(SUBSTITUTE(TRIM(A2615&amp;""),CHAR(160),"")," ",""),"년",""))&lt;=2099,TEXT(VALUE(SUBSTITUTE(SUBSTITUTE(SUBSTITUTE(TRIM(A2615&amp;""),CHAR(160),"")," ",""),"년","")),"0000")=SUBSTITUTE(SUBSTITUTE(SUBSTITUTE(TRIM(A2615&amp;""),CHAR(160),"")," ",""),"년","")),SUBSTITUTE(SUBSTITUTE(SUBSTITUTE(TRIM(A2615&amp;""),CHAR(160),"")," ",""),"년",""),""),"")</f>
      </c>
      <c r="I2615" t="str">
        <f>SUBSTITUTE(SUBSTITUTE(SUBSTITUTE(SUBSTITUTE(SUBSTITUTE(TRIM(B2615&amp;""),CHAR(160),"")," ",""),"초등학교","초"),"중학교","중"),"고등학교","고")</f>
      </c>
    </row>
    <row r="2616" customFormat="false" ht="15" hidden="false" customHeight="false" outlineLevel="0" collapsed="false">
      <c r="A2616" s="8"/>
      <c r="B2616" s="8"/>
      <c r="C2616" s="8"/>
      <c r="D2616" s="8"/>
      <c r="E2616" s="8"/>
      <c r="F2616" t="str" s="15">
        <f aca="0">IF(B2616="","",IF(H2616="","확인필요(입력누락)",IF(SUMPRODUCT((실물목록!$P$2:$P$1001&lt;&gt;"")*ISNUMBER(SEARCH(실물목록!$P$2:$P$1001,I2616))*(실물목록!$Q$2:$Q$1001&lt;&gt;"")*ISNUMBER(SEARCH(실물목록!$Q$2:$Q$1001,I2616))*(실물목록!$R$2:$R$1001="")*(실물목록!$O$2:$O$1001&lt;&gt;"")*(실물목록!$O$2:$O$1001=H2616))&gt;0,"실물 있음",IF(SUMPRODUCT((실물목록!$P$2:$P$1001&lt;&gt;"")*ISNUMBER(SEARCH(실물목록!$P$2:$P$1001,I2616))*(실물목록!$R$2:$R$1001&lt;&gt;""))&gt;0,"확인필요(입력누락)",IF(SUMPRODUCT((실물목록!$P$2:$P$1001&lt;&gt;"")*ISNUMBER(SEARCH(실물목록!$P$2:$P$1001,I2616))*(실물목록!$Q$2:$Q$1001&lt;&gt;"")*ISNUMBER(SEARCH(실물목록!$Q$2:$Q$1001,I2616))*(실물목록!$R$2:$R$1001="")*(실물목록!$O$2:$O$1001&lt;&gt;""))&gt;0,"확인필요(연도다름)","실물 없음")))))</f>
      </c>
      <c r="G2616" t="n" s="16">
        <f aca="0">IF(B2616="","",SUMPRODUCT((실물목록!$P$2:$P$1001&lt;&gt;"")*ISNUMBER(SEARCH(실물목록!$P$2:$P$1001,I2616))*(실물목록!$Q$2:$Q$1001&lt;&gt;"")*ISNUMBER(SEARCH(실물목록!$Q$2:$Q$1001,I2616))*(실물목록!$R$2:$R$1001="")*(실물목록!$O$2:$O$1001&lt;&gt;"")*(실물목록!$O$2:$O$1001=H2616)))</f>
      </c>
      <c r="H2616" t="str">
        <f>IFERROR(IF(AND(LEN(SUBSTITUTE(SUBSTITUTE(SUBSTITUTE(TRIM(A2616&amp;""),CHAR(160),"")," ",""),"년",""))=4,VALUE(SUBSTITUTE(SUBSTITUTE(SUBSTITUTE(TRIM(A2616&amp;""),CHAR(160),"")," ",""),"년",""))&gt;=1900,VALUE(SUBSTITUTE(SUBSTITUTE(SUBSTITUTE(TRIM(A2616&amp;""),CHAR(160),"")," ",""),"년",""))&lt;=2099,TEXT(VALUE(SUBSTITUTE(SUBSTITUTE(SUBSTITUTE(TRIM(A2616&amp;""),CHAR(160),"")," ",""),"년","")),"0000")=SUBSTITUTE(SUBSTITUTE(SUBSTITUTE(TRIM(A2616&amp;""),CHAR(160),"")," ",""),"년","")),SUBSTITUTE(SUBSTITUTE(SUBSTITUTE(TRIM(A2616&amp;""),CHAR(160),"")," ",""),"년",""),""),"")</f>
      </c>
      <c r="I2616" t="str">
        <f>SUBSTITUTE(SUBSTITUTE(SUBSTITUTE(SUBSTITUTE(SUBSTITUTE(TRIM(B2616&amp;""),CHAR(160),"")," ",""),"초등학교","초"),"중학교","중"),"고등학교","고")</f>
      </c>
    </row>
    <row r="2617" customFormat="false" ht="15" hidden="false" customHeight="false" outlineLevel="0" collapsed="false">
      <c r="A2617" s="8"/>
      <c r="B2617" s="8"/>
      <c r="C2617" s="8"/>
      <c r="D2617" s="8"/>
      <c r="E2617" s="8"/>
      <c r="F2617" t="str" s="15">
        <f aca="0">IF(B2617="","",IF(H2617="","확인필요(입력누락)",IF(SUMPRODUCT((실물목록!$P$2:$P$1001&lt;&gt;"")*ISNUMBER(SEARCH(실물목록!$P$2:$P$1001,I2617))*(실물목록!$Q$2:$Q$1001&lt;&gt;"")*ISNUMBER(SEARCH(실물목록!$Q$2:$Q$1001,I2617))*(실물목록!$R$2:$R$1001="")*(실물목록!$O$2:$O$1001&lt;&gt;"")*(실물목록!$O$2:$O$1001=H2617))&gt;0,"실물 있음",IF(SUMPRODUCT((실물목록!$P$2:$P$1001&lt;&gt;"")*ISNUMBER(SEARCH(실물목록!$P$2:$P$1001,I2617))*(실물목록!$R$2:$R$1001&lt;&gt;""))&gt;0,"확인필요(입력누락)",IF(SUMPRODUCT((실물목록!$P$2:$P$1001&lt;&gt;"")*ISNUMBER(SEARCH(실물목록!$P$2:$P$1001,I2617))*(실물목록!$Q$2:$Q$1001&lt;&gt;"")*ISNUMBER(SEARCH(실물목록!$Q$2:$Q$1001,I2617))*(실물목록!$R$2:$R$1001="")*(실물목록!$O$2:$O$1001&lt;&gt;""))&gt;0,"확인필요(연도다름)","실물 없음")))))</f>
      </c>
      <c r="G2617" t="n" s="16">
        <f aca="0">IF(B2617="","",SUMPRODUCT((실물목록!$P$2:$P$1001&lt;&gt;"")*ISNUMBER(SEARCH(실물목록!$P$2:$P$1001,I2617))*(실물목록!$Q$2:$Q$1001&lt;&gt;"")*ISNUMBER(SEARCH(실물목록!$Q$2:$Q$1001,I2617))*(실물목록!$R$2:$R$1001="")*(실물목록!$O$2:$O$1001&lt;&gt;"")*(실물목록!$O$2:$O$1001=H2617)))</f>
      </c>
      <c r="H2617" t="str">
        <f>IFERROR(IF(AND(LEN(SUBSTITUTE(SUBSTITUTE(SUBSTITUTE(TRIM(A2617&amp;""),CHAR(160),"")," ",""),"년",""))=4,VALUE(SUBSTITUTE(SUBSTITUTE(SUBSTITUTE(TRIM(A2617&amp;""),CHAR(160),"")," ",""),"년",""))&gt;=1900,VALUE(SUBSTITUTE(SUBSTITUTE(SUBSTITUTE(TRIM(A2617&amp;""),CHAR(160),"")," ",""),"년",""))&lt;=2099,TEXT(VALUE(SUBSTITUTE(SUBSTITUTE(SUBSTITUTE(TRIM(A2617&amp;""),CHAR(160),"")," ",""),"년","")),"0000")=SUBSTITUTE(SUBSTITUTE(SUBSTITUTE(TRIM(A2617&amp;""),CHAR(160),"")," ",""),"년","")),SUBSTITUTE(SUBSTITUTE(SUBSTITUTE(TRIM(A2617&amp;""),CHAR(160),"")," ",""),"년",""),""),"")</f>
      </c>
      <c r="I2617" t="str">
        <f>SUBSTITUTE(SUBSTITUTE(SUBSTITUTE(SUBSTITUTE(SUBSTITUTE(TRIM(B2617&amp;""),CHAR(160),"")," ",""),"초등학교","초"),"중학교","중"),"고등학교","고")</f>
      </c>
    </row>
    <row r="2618" customFormat="false" ht="15" hidden="false" customHeight="false" outlineLevel="0" collapsed="false">
      <c r="A2618" s="8"/>
      <c r="B2618" s="8"/>
      <c r="C2618" s="8"/>
      <c r="D2618" s="8"/>
      <c r="E2618" s="8"/>
      <c r="F2618" t="str" s="15">
        <f aca="0">IF(B2618="","",IF(H2618="","확인필요(입력누락)",IF(SUMPRODUCT((실물목록!$P$2:$P$1001&lt;&gt;"")*ISNUMBER(SEARCH(실물목록!$P$2:$P$1001,I2618))*(실물목록!$Q$2:$Q$1001&lt;&gt;"")*ISNUMBER(SEARCH(실물목록!$Q$2:$Q$1001,I2618))*(실물목록!$R$2:$R$1001="")*(실물목록!$O$2:$O$1001&lt;&gt;"")*(실물목록!$O$2:$O$1001=H2618))&gt;0,"실물 있음",IF(SUMPRODUCT((실물목록!$P$2:$P$1001&lt;&gt;"")*ISNUMBER(SEARCH(실물목록!$P$2:$P$1001,I2618))*(실물목록!$R$2:$R$1001&lt;&gt;""))&gt;0,"확인필요(입력누락)",IF(SUMPRODUCT((실물목록!$P$2:$P$1001&lt;&gt;"")*ISNUMBER(SEARCH(실물목록!$P$2:$P$1001,I2618))*(실물목록!$Q$2:$Q$1001&lt;&gt;"")*ISNUMBER(SEARCH(실물목록!$Q$2:$Q$1001,I2618))*(실물목록!$R$2:$R$1001="")*(실물목록!$O$2:$O$1001&lt;&gt;""))&gt;0,"확인필요(연도다름)","실물 없음")))))</f>
      </c>
      <c r="G2618" t="n" s="16">
        <f aca="0">IF(B2618="","",SUMPRODUCT((실물목록!$P$2:$P$1001&lt;&gt;"")*ISNUMBER(SEARCH(실물목록!$P$2:$P$1001,I2618))*(실물목록!$Q$2:$Q$1001&lt;&gt;"")*ISNUMBER(SEARCH(실물목록!$Q$2:$Q$1001,I2618))*(실물목록!$R$2:$R$1001="")*(실물목록!$O$2:$O$1001&lt;&gt;"")*(실물목록!$O$2:$O$1001=H2618)))</f>
      </c>
      <c r="H2618" t="str">
        <f>IFERROR(IF(AND(LEN(SUBSTITUTE(SUBSTITUTE(SUBSTITUTE(TRIM(A2618&amp;""),CHAR(160),"")," ",""),"년",""))=4,VALUE(SUBSTITUTE(SUBSTITUTE(SUBSTITUTE(TRIM(A2618&amp;""),CHAR(160),"")," ",""),"년",""))&gt;=1900,VALUE(SUBSTITUTE(SUBSTITUTE(SUBSTITUTE(TRIM(A2618&amp;""),CHAR(160),"")," ",""),"년",""))&lt;=2099,TEXT(VALUE(SUBSTITUTE(SUBSTITUTE(SUBSTITUTE(TRIM(A2618&amp;""),CHAR(160),"")," ",""),"년","")),"0000")=SUBSTITUTE(SUBSTITUTE(SUBSTITUTE(TRIM(A2618&amp;""),CHAR(160),"")," ",""),"년","")),SUBSTITUTE(SUBSTITUTE(SUBSTITUTE(TRIM(A2618&amp;""),CHAR(160),"")," ",""),"년",""),""),"")</f>
      </c>
      <c r="I2618" t="str">
        <f>SUBSTITUTE(SUBSTITUTE(SUBSTITUTE(SUBSTITUTE(SUBSTITUTE(TRIM(B2618&amp;""),CHAR(160),"")," ",""),"초등학교","초"),"중학교","중"),"고등학교","고")</f>
      </c>
    </row>
    <row r="2619" customFormat="false" ht="15" hidden="false" customHeight="false" outlineLevel="0" collapsed="false">
      <c r="A2619" s="8"/>
      <c r="B2619" s="8"/>
      <c r="C2619" s="8"/>
      <c r="D2619" s="8"/>
      <c r="E2619" s="8"/>
      <c r="F2619" t="str" s="15">
        <f aca="0">IF(B2619="","",IF(H2619="","확인필요(입력누락)",IF(SUMPRODUCT((실물목록!$P$2:$P$1001&lt;&gt;"")*ISNUMBER(SEARCH(실물목록!$P$2:$P$1001,I2619))*(실물목록!$Q$2:$Q$1001&lt;&gt;"")*ISNUMBER(SEARCH(실물목록!$Q$2:$Q$1001,I2619))*(실물목록!$R$2:$R$1001="")*(실물목록!$O$2:$O$1001&lt;&gt;"")*(실물목록!$O$2:$O$1001=H2619))&gt;0,"실물 있음",IF(SUMPRODUCT((실물목록!$P$2:$P$1001&lt;&gt;"")*ISNUMBER(SEARCH(실물목록!$P$2:$P$1001,I2619))*(실물목록!$R$2:$R$1001&lt;&gt;""))&gt;0,"확인필요(입력누락)",IF(SUMPRODUCT((실물목록!$P$2:$P$1001&lt;&gt;"")*ISNUMBER(SEARCH(실물목록!$P$2:$P$1001,I2619))*(실물목록!$Q$2:$Q$1001&lt;&gt;"")*ISNUMBER(SEARCH(실물목록!$Q$2:$Q$1001,I2619))*(실물목록!$R$2:$R$1001="")*(실물목록!$O$2:$O$1001&lt;&gt;""))&gt;0,"확인필요(연도다름)","실물 없음")))))</f>
      </c>
      <c r="G2619" t="n" s="16">
        <f aca="0">IF(B2619="","",SUMPRODUCT((실물목록!$P$2:$P$1001&lt;&gt;"")*ISNUMBER(SEARCH(실물목록!$P$2:$P$1001,I2619))*(실물목록!$Q$2:$Q$1001&lt;&gt;"")*ISNUMBER(SEARCH(실물목록!$Q$2:$Q$1001,I2619))*(실물목록!$R$2:$R$1001="")*(실물목록!$O$2:$O$1001&lt;&gt;"")*(실물목록!$O$2:$O$1001=H2619)))</f>
      </c>
      <c r="H2619" t="str">
        <f>IFERROR(IF(AND(LEN(SUBSTITUTE(SUBSTITUTE(SUBSTITUTE(TRIM(A2619&amp;""),CHAR(160),"")," ",""),"년",""))=4,VALUE(SUBSTITUTE(SUBSTITUTE(SUBSTITUTE(TRIM(A2619&amp;""),CHAR(160),"")," ",""),"년",""))&gt;=1900,VALUE(SUBSTITUTE(SUBSTITUTE(SUBSTITUTE(TRIM(A2619&amp;""),CHAR(160),"")," ",""),"년",""))&lt;=2099,TEXT(VALUE(SUBSTITUTE(SUBSTITUTE(SUBSTITUTE(TRIM(A2619&amp;""),CHAR(160),"")," ",""),"년","")),"0000")=SUBSTITUTE(SUBSTITUTE(SUBSTITUTE(TRIM(A2619&amp;""),CHAR(160),"")," ",""),"년","")),SUBSTITUTE(SUBSTITUTE(SUBSTITUTE(TRIM(A2619&amp;""),CHAR(160),"")," ",""),"년",""),""),"")</f>
      </c>
      <c r="I2619" t="str">
        <f>SUBSTITUTE(SUBSTITUTE(SUBSTITUTE(SUBSTITUTE(SUBSTITUTE(TRIM(B2619&amp;""),CHAR(160),"")," ",""),"초등학교","초"),"중학교","중"),"고등학교","고")</f>
      </c>
    </row>
    <row r="2620" customFormat="false" ht="15" hidden="false" customHeight="false" outlineLevel="0" collapsed="false">
      <c r="A2620" s="8"/>
      <c r="B2620" s="8"/>
      <c r="C2620" s="8"/>
      <c r="D2620" s="8"/>
      <c r="E2620" s="8"/>
      <c r="F2620" t="str" s="15">
        <f aca="0">IF(B2620="","",IF(H2620="","확인필요(입력누락)",IF(SUMPRODUCT((실물목록!$P$2:$P$1001&lt;&gt;"")*ISNUMBER(SEARCH(실물목록!$P$2:$P$1001,I2620))*(실물목록!$Q$2:$Q$1001&lt;&gt;"")*ISNUMBER(SEARCH(실물목록!$Q$2:$Q$1001,I2620))*(실물목록!$R$2:$R$1001="")*(실물목록!$O$2:$O$1001&lt;&gt;"")*(실물목록!$O$2:$O$1001=H2620))&gt;0,"실물 있음",IF(SUMPRODUCT((실물목록!$P$2:$P$1001&lt;&gt;"")*ISNUMBER(SEARCH(실물목록!$P$2:$P$1001,I2620))*(실물목록!$R$2:$R$1001&lt;&gt;""))&gt;0,"확인필요(입력누락)",IF(SUMPRODUCT((실물목록!$P$2:$P$1001&lt;&gt;"")*ISNUMBER(SEARCH(실물목록!$P$2:$P$1001,I2620))*(실물목록!$Q$2:$Q$1001&lt;&gt;"")*ISNUMBER(SEARCH(실물목록!$Q$2:$Q$1001,I2620))*(실물목록!$R$2:$R$1001="")*(실물목록!$O$2:$O$1001&lt;&gt;""))&gt;0,"확인필요(연도다름)","실물 없음")))))</f>
      </c>
      <c r="G2620" t="n" s="16">
        <f aca="0">IF(B2620="","",SUMPRODUCT((실물목록!$P$2:$P$1001&lt;&gt;"")*ISNUMBER(SEARCH(실물목록!$P$2:$P$1001,I2620))*(실물목록!$Q$2:$Q$1001&lt;&gt;"")*ISNUMBER(SEARCH(실물목록!$Q$2:$Q$1001,I2620))*(실물목록!$R$2:$R$1001="")*(실물목록!$O$2:$O$1001&lt;&gt;"")*(실물목록!$O$2:$O$1001=H2620)))</f>
      </c>
      <c r="H2620" t="str">
        <f>IFERROR(IF(AND(LEN(SUBSTITUTE(SUBSTITUTE(SUBSTITUTE(TRIM(A2620&amp;""),CHAR(160),"")," ",""),"년",""))=4,VALUE(SUBSTITUTE(SUBSTITUTE(SUBSTITUTE(TRIM(A2620&amp;""),CHAR(160),"")," ",""),"년",""))&gt;=1900,VALUE(SUBSTITUTE(SUBSTITUTE(SUBSTITUTE(TRIM(A2620&amp;""),CHAR(160),"")," ",""),"년",""))&lt;=2099,TEXT(VALUE(SUBSTITUTE(SUBSTITUTE(SUBSTITUTE(TRIM(A2620&amp;""),CHAR(160),"")," ",""),"년","")),"0000")=SUBSTITUTE(SUBSTITUTE(SUBSTITUTE(TRIM(A2620&amp;""),CHAR(160),"")," ",""),"년","")),SUBSTITUTE(SUBSTITUTE(SUBSTITUTE(TRIM(A2620&amp;""),CHAR(160),"")," ",""),"년",""),""),"")</f>
      </c>
      <c r="I2620" t="str">
        <f>SUBSTITUTE(SUBSTITUTE(SUBSTITUTE(SUBSTITUTE(SUBSTITUTE(TRIM(B2620&amp;""),CHAR(160),"")," ",""),"초등학교","초"),"중학교","중"),"고등학교","고")</f>
      </c>
    </row>
    <row r="2621" customFormat="false" ht="15" hidden="false" customHeight="false" outlineLevel="0" collapsed="false">
      <c r="A2621" s="8"/>
      <c r="B2621" s="8"/>
      <c r="C2621" s="8"/>
      <c r="D2621" s="8"/>
      <c r="E2621" s="8"/>
      <c r="F2621" t="str" s="15">
        <f aca="0">IF(B2621="","",IF(H2621="","확인필요(입력누락)",IF(SUMPRODUCT((실물목록!$P$2:$P$1001&lt;&gt;"")*ISNUMBER(SEARCH(실물목록!$P$2:$P$1001,I2621))*(실물목록!$Q$2:$Q$1001&lt;&gt;"")*ISNUMBER(SEARCH(실물목록!$Q$2:$Q$1001,I2621))*(실물목록!$R$2:$R$1001="")*(실물목록!$O$2:$O$1001&lt;&gt;"")*(실물목록!$O$2:$O$1001=H2621))&gt;0,"실물 있음",IF(SUMPRODUCT((실물목록!$P$2:$P$1001&lt;&gt;"")*ISNUMBER(SEARCH(실물목록!$P$2:$P$1001,I2621))*(실물목록!$R$2:$R$1001&lt;&gt;""))&gt;0,"확인필요(입력누락)",IF(SUMPRODUCT((실물목록!$P$2:$P$1001&lt;&gt;"")*ISNUMBER(SEARCH(실물목록!$P$2:$P$1001,I2621))*(실물목록!$Q$2:$Q$1001&lt;&gt;"")*ISNUMBER(SEARCH(실물목록!$Q$2:$Q$1001,I2621))*(실물목록!$R$2:$R$1001="")*(실물목록!$O$2:$O$1001&lt;&gt;""))&gt;0,"확인필요(연도다름)","실물 없음")))))</f>
      </c>
      <c r="G2621" t="n" s="16">
        <f aca="0">IF(B2621="","",SUMPRODUCT((실물목록!$P$2:$P$1001&lt;&gt;"")*ISNUMBER(SEARCH(실물목록!$P$2:$P$1001,I2621))*(실물목록!$Q$2:$Q$1001&lt;&gt;"")*ISNUMBER(SEARCH(실물목록!$Q$2:$Q$1001,I2621))*(실물목록!$R$2:$R$1001="")*(실물목록!$O$2:$O$1001&lt;&gt;"")*(실물목록!$O$2:$O$1001=H2621)))</f>
      </c>
      <c r="H2621" t="str">
        <f>IFERROR(IF(AND(LEN(SUBSTITUTE(SUBSTITUTE(SUBSTITUTE(TRIM(A2621&amp;""),CHAR(160),"")," ",""),"년",""))=4,VALUE(SUBSTITUTE(SUBSTITUTE(SUBSTITUTE(TRIM(A2621&amp;""),CHAR(160),"")," ",""),"년",""))&gt;=1900,VALUE(SUBSTITUTE(SUBSTITUTE(SUBSTITUTE(TRIM(A2621&amp;""),CHAR(160),"")," ",""),"년",""))&lt;=2099,TEXT(VALUE(SUBSTITUTE(SUBSTITUTE(SUBSTITUTE(TRIM(A2621&amp;""),CHAR(160),"")," ",""),"년","")),"0000")=SUBSTITUTE(SUBSTITUTE(SUBSTITUTE(TRIM(A2621&amp;""),CHAR(160),"")," ",""),"년","")),SUBSTITUTE(SUBSTITUTE(SUBSTITUTE(TRIM(A2621&amp;""),CHAR(160),"")," ",""),"년",""),""),"")</f>
      </c>
      <c r="I2621" t="str">
        <f>SUBSTITUTE(SUBSTITUTE(SUBSTITUTE(SUBSTITUTE(SUBSTITUTE(TRIM(B2621&amp;""),CHAR(160),"")," ",""),"초등학교","초"),"중학교","중"),"고등학교","고")</f>
      </c>
    </row>
    <row r="2622" customFormat="false" ht="15" hidden="false" customHeight="false" outlineLevel="0" collapsed="false">
      <c r="A2622" s="8"/>
      <c r="B2622" s="8"/>
      <c r="C2622" s="8"/>
      <c r="D2622" s="8"/>
      <c r="E2622" s="8"/>
      <c r="F2622" t="str" s="15">
        <f aca="0">IF(B2622="","",IF(H2622="","확인필요(입력누락)",IF(SUMPRODUCT((실물목록!$P$2:$P$1001&lt;&gt;"")*ISNUMBER(SEARCH(실물목록!$P$2:$P$1001,I2622))*(실물목록!$Q$2:$Q$1001&lt;&gt;"")*ISNUMBER(SEARCH(실물목록!$Q$2:$Q$1001,I2622))*(실물목록!$R$2:$R$1001="")*(실물목록!$O$2:$O$1001&lt;&gt;"")*(실물목록!$O$2:$O$1001=H2622))&gt;0,"실물 있음",IF(SUMPRODUCT((실물목록!$P$2:$P$1001&lt;&gt;"")*ISNUMBER(SEARCH(실물목록!$P$2:$P$1001,I2622))*(실물목록!$R$2:$R$1001&lt;&gt;""))&gt;0,"확인필요(입력누락)",IF(SUMPRODUCT((실물목록!$P$2:$P$1001&lt;&gt;"")*ISNUMBER(SEARCH(실물목록!$P$2:$P$1001,I2622))*(실물목록!$Q$2:$Q$1001&lt;&gt;"")*ISNUMBER(SEARCH(실물목록!$Q$2:$Q$1001,I2622))*(실물목록!$R$2:$R$1001="")*(실물목록!$O$2:$O$1001&lt;&gt;""))&gt;0,"확인필요(연도다름)","실물 없음")))))</f>
      </c>
      <c r="G2622" t="n" s="16">
        <f aca="0">IF(B2622="","",SUMPRODUCT((실물목록!$P$2:$P$1001&lt;&gt;"")*ISNUMBER(SEARCH(실물목록!$P$2:$P$1001,I2622))*(실물목록!$Q$2:$Q$1001&lt;&gt;"")*ISNUMBER(SEARCH(실물목록!$Q$2:$Q$1001,I2622))*(실물목록!$R$2:$R$1001="")*(실물목록!$O$2:$O$1001&lt;&gt;"")*(실물목록!$O$2:$O$1001=H2622)))</f>
      </c>
      <c r="H2622" t="str">
        <f>IFERROR(IF(AND(LEN(SUBSTITUTE(SUBSTITUTE(SUBSTITUTE(TRIM(A2622&amp;""),CHAR(160),"")," ",""),"년",""))=4,VALUE(SUBSTITUTE(SUBSTITUTE(SUBSTITUTE(TRIM(A2622&amp;""),CHAR(160),"")," ",""),"년",""))&gt;=1900,VALUE(SUBSTITUTE(SUBSTITUTE(SUBSTITUTE(TRIM(A2622&amp;""),CHAR(160),"")," ",""),"년",""))&lt;=2099,TEXT(VALUE(SUBSTITUTE(SUBSTITUTE(SUBSTITUTE(TRIM(A2622&amp;""),CHAR(160),"")," ",""),"년","")),"0000")=SUBSTITUTE(SUBSTITUTE(SUBSTITUTE(TRIM(A2622&amp;""),CHAR(160),"")," ",""),"년","")),SUBSTITUTE(SUBSTITUTE(SUBSTITUTE(TRIM(A2622&amp;""),CHAR(160),"")," ",""),"년",""),""),"")</f>
      </c>
      <c r="I2622" t="str">
        <f>SUBSTITUTE(SUBSTITUTE(SUBSTITUTE(SUBSTITUTE(SUBSTITUTE(TRIM(B2622&amp;""),CHAR(160),"")," ",""),"초등학교","초"),"중학교","중"),"고등학교","고")</f>
      </c>
    </row>
    <row r="2623" customFormat="false" ht="15" hidden="false" customHeight="false" outlineLevel="0" collapsed="false">
      <c r="A2623" s="8"/>
      <c r="B2623" s="8"/>
      <c r="C2623" s="8"/>
      <c r="D2623" s="8"/>
      <c r="E2623" s="8"/>
      <c r="F2623" t="str" s="15">
        <f aca="0">IF(B2623="","",IF(H2623="","확인필요(입력누락)",IF(SUMPRODUCT((실물목록!$P$2:$P$1001&lt;&gt;"")*ISNUMBER(SEARCH(실물목록!$P$2:$P$1001,I2623))*(실물목록!$Q$2:$Q$1001&lt;&gt;"")*ISNUMBER(SEARCH(실물목록!$Q$2:$Q$1001,I2623))*(실물목록!$R$2:$R$1001="")*(실물목록!$O$2:$O$1001&lt;&gt;"")*(실물목록!$O$2:$O$1001=H2623))&gt;0,"실물 있음",IF(SUMPRODUCT((실물목록!$P$2:$P$1001&lt;&gt;"")*ISNUMBER(SEARCH(실물목록!$P$2:$P$1001,I2623))*(실물목록!$R$2:$R$1001&lt;&gt;""))&gt;0,"확인필요(입력누락)",IF(SUMPRODUCT((실물목록!$P$2:$P$1001&lt;&gt;"")*ISNUMBER(SEARCH(실물목록!$P$2:$P$1001,I2623))*(실물목록!$Q$2:$Q$1001&lt;&gt;"")*ISNUMBER(SEARCH(실물목록!$Q$2:$Q$1001,I2623))*(실물목록!$R$2:$R$1001="")*(실물목록!$O$2:$O$1001&lt;&gt;""))&gt;0,"확인필요(연도다름)","실물 없음")))))</f>
      </c>
      <c r="G2623" t="n" s="16">
        <f aca="0">IF(B2623="","",SUMPRODUCT((실물목록!$P$2:$P$1001&lt;&gt;"")*ISNUMBER(SEARCH(실물목록!$P$2:$P$1001,I2623))*(실물목록!$Q$2:$Q$1001&lt;&gt;"")*ISNUMBER(SEARCH(실물목록!$Q$2:$Q$1001,I2623))*(실물목록!$R$2:$R$1001="")*(실물목록!$O$2:$O$1001&lt;&gt;"")*(실물목록!$O$2:$O$1001=H2623)))</f>
      </c>
      <c r="H2623" t="str">
        <f>IFERROR(IF(AND(LEN(SUBSTITUTE(SUBSTITUTE(SUBSTITUTE(TRIM(A2623&amp;""),CHAR(160),"")," ",""),"년",""))=4,VALUE(SUBSTITUTE(SUBSTITUTE(SUBSTITUTE(TRIM(A2623&amp;""),CHAR(160),"")," ",""),"년",""))&gt;=1900,VALUE(SUBSTITUTE(SUBSTITUTE(SUBSTITUTE(TRIM(A2623&amp;""),CHAR(160),"")," ",""),"년",""))&lt;=2099,TEXT(VALUE(SUBSTITUTE(SUBSTITUTE(SUBSTITUTE(TRIM(A2623&amp;""),CHAR(160),"")," ",""),"년","")),"0000")=SUBSTITUTE(SUBSTITUTE(SUBSTITUTE(TRIM(A2623&amp;""),CHAR(160),"")," ",""),"년","")),SUBSTITUTE(SUBSTITUTE(SUBSTITUTE(TRIM(A2623&amp;""),CHAR(160),"")," ",""),"년",""),""),"")</f>
      </c>
      <c r="I2623" t="str">
        <f>SUBSTITUTE(SUBSTITUTE(SUBSTITUTE(SUBSTITUTE(SUBSTITUTE(TRIM(B2623&amp;""),CHAR(160),"")," ",""),"초등학교","초"),"중학교","중"),"고등학교","고")</f>
      </c>
    </row>
    <row r="2624" customFormat="false" ht="15" hidden="false" customHeight="false" outlineLevel="0" collapsed="false">
      <c r="A2624" s="8"/>
      <c r="B2624" s="8"/>
      <c r="C2624" s="8"/>
      <c r="D2624" s="8"/>
      <c r="E2624" s="8"/>
      <c r="F2624" t="str" s="15">
        <f aca="0">IF(B2624="","",IF(H2624="","확인필요(입력누락)",IF(SUMPRODUCT((실물목록!$P$2:$P$1001&lt;&gt;"")*ISNUMBER(SEARCH(실물목록!$P$2:$P$1001,I2624))*(실물목록!$Q$2:$Q$1001&lt;&gt;"")*ISNUMBER(SEARCH(실물목록!$Q$2:$Q$1001,I2624))*(실물목록!$R$2:$R$1001="")*(실물목록!$O$2:$O$1001&lt;&gt;"")*(실물목록!$O$2:$O$1001=H2624))&gt;0,"실물 있음",IF(SUMPRODUCT((실물목록!$P$2:$P$1001&lt;&gt;"")*ISNUMBER(SEARCH(실물목록!$P$2:$P$1001,I2624))*(실물목록!$R$2:$R$1001&lt;&gt;""))&gt;0,"확인필요(입력누락)",IF(SUMPRODUCT((실물목록!$P$2:$P$1001&lt;&gt;"")*ISNUMBER(SEARCH(실물목록!$P$2:$P$1001,I2624))*(실물목록!$Q$2:$Q$1001&lt;&gt;"")*ISNUMBER(SEARCH(실물목록!$Q$2:$Q$1001,I2624))*(실물목록!$R$2:$R$1001="")*(실물목록!$O$2:$O$1001&lt;&gt;""))&gt;0,"확인필요(연도다름)","실물 없음")))))</f>
      </c>
      <c r="G2624" t="n" s="16">
        <f aca="0">IF(B2624="","",SUMPRODUCT((실물목록!$P$2:$P$1001&lt;&gt;"")*ISNUMBER(SEARCH(실물목록!$P$2:$P$1001,I2624))*(실물목록!$Q$2:$Q$1001&lt;&gt;"")*ISNUMBER(SEARCH(실물목록!$Q$2:$Q$1001,I2624))*(실물목록!$R$2:$R$1001="")*(실물목록!$O$2:$O$1001&lt;&gt;"")*(실물목록!$O$2:$O$1001=H2624)))</f>
      </c>
      <c r="H2624" t="str">
        <f>IFERROR(IF(AND(LEN(SUBSTITUTE(SUBSTITUTE(SUBSTITUTE(TRIM(A2624&amp;""),CHAR(160),"")," ",""),"년",""))=4,VALUE(SUBSTITUTE(SUBSTITUTE(SUBSTITUTE(TRIM(A2624&amp;""),CHAR(160),"")," ",""),"년",""))&gt;=1900,VALUE(SUBSTITUTE(SUBSTITUTE(SUBSTITUTE(TRIM(A2624&amp;""),CHAR(160),"")," ",""),"년",""))&lt;=2099,TEXT(VALUE(SUBSTITUTE(SUBSTITUTE(SUBSTITUTE(TRIM(A2624&amp;""),CHAR(160),"")," ",""),"년","")),"0000")=SUBSTITUTE(SUBSTITUTE(SUBSTITUTE(TRIM(A2624&amp;""),CHAR(160),"")," ",""),"년","")),SUBSTITUTE(SUBSTITUTE(SUBSTITUTE(TRIM(A2624&amp;""),CHAR(160),"")," ",""),"년",""),""),"")</f>
      </c>
      <c r="I2624" t="str">
        <f>SUBSTITUTE(SUBSTITUTE(SUBSTITUTE(SUBSTITUTE(SUBSTITUTE(TRIM(B2624&amp;""),CHAR(160),"")," ",""),"초등학교","초"),"중학교","중"),"고등학교","고")</f>
      </c>
    </row>
    <row r="2625" customFormat="false" ht="15" hidden="false" customHeight="false" outlineLevel="0" collapsed="false">
      <c r="A2625" s="8"/>
      <c r="B2625" s="8"/>
      <c r="C2625" s="8"/>
      <c r="D2625" s="8"/>
      <c r="E2625" s="8"/>
      <c r="F2625" t="str" s="15">
        <f aca="0">IF(B2625="","",IF(H2625="","확인필요(입력누락)",IF(SUMPRODUCT((실물목록!$P$2:$P$1001&lt;&gt;"")*ISNUMBER(SEARCH(실물목록!$P$2:$P$1001,I2625))*(실물목록!$Q$2:$Q$1001&lt;&gt;"")*ISNUMBER(SEARCH(실물목록!$Q$2:$Q$1001,I2625))*(실물목록!$R$2:$R$1001="")*(실물목록!$O$2:$O$1001&lt;&gt;"")*(실물목록!$O$2:$O$1001=H2625))&gt;0,"실물 있음",IF(SUMPRODUCT((실물목록!$P$2:$P$1001&lt;&gt;"")*ISNUMBER(SEARCH(실물목록!$P$2:$P$1001,I2625))*(실물목록!$R$2:$R$1001&lt;&gt;""))&gt;0,"확인필요(입력누락)",IF(SUMPRODUCT((실물목록!$P$2:$P$1001&lt;&gt;"")*ISNUMBER(SEARCH(실물목록!$P$2:$P$1001,I2625))*(실물목록!$Q$2:$Q$1001&lt;&gt;"")*ISNUMBER(SEARCH(실물목록!$Q$2:$Q$1001,I2625))*(실물목록!$R$2:$R$1001="")*(실물목록!$O$2:$O$1001&lt;&gt;""))&gt;0,"확인필요(연도다름)","실물 없음")))))</f>
      </c>
      <c r="G2625" t="n" s="16">
        <f aca="0">IF(B2625="","",SUMPRODUCT((실물목록!$P$2:$P$1001&lt;&gt;"")*ISNUMBER(SEARCH(실물목록!$P$2:$P$1001,I2625))*(실물목록!$Q$2:$Q$1001&lt;&gt;"")*ISNUMBER(SEARCH(실물목록!$Q$2:$Q$1001,I2625))*(실물목록!$R$2:$R$1001="")*(실물목록!$O$2:$O$1001&lt;&gt;"")*(실물목록!$O$2:$O$1001=H2625)))</f>
      </c>
      <c r="H2625" t="str">
        <f>IFERROR(IF(AND(LEN(SUBSTITUTE(SUBSTITUTE(SUBSTITUTE(TRIM(A2625&amp;""),CHAR(160),"")," ",""),"년",""))=4,VALUE(SUBSTITUTE(SUBSTITUTE(SUBSTITUTE(TRIM(A2625&amp;""),CHAR(160),"")," ",""),"년",""))&gt;=1900,VALUE(SUBSTITUTE(SUBSTITUTE(SUBSTITUTE(TRIM(A2625&amp;""),CHAR(160),"")," ",""),"년",""))&lt;=2099,TEXT(VALUE(SUBSTITUTE(SUBSTITUTE(SUBSTITUTE(TRIM(A2625&amp;""),CHAR(160),"")," ",""),"년","")),"0000")=SUBSTITUTE(SUBSTITUTE(SUBSTITUTE(TRIM(A2625&amp;""),CHAR(160),"")," ",""),"년","")),SUBSTITUTE(SUBSTITUTE(SUBSTITUTE(TRIM(A2625&amp;""),CHAR(160),"")," ",""),"년",""),""),"")</f>
      </c>
      <c r="I2625" t="str">
        <f>SUBSTITUTE(SUBSTITUTE(SUBSTITUTE(SUBSTITUTE(SUBSTITUTE(TRIM(B2625&amp;""),CHAR(160),"")," ",""),"초등학교","초"),"중학교","중"),"고등학교","고")</f>
      </c>
    </row>
    <row r="2626" customFormat="false" ht="15" hidden="false" customHeight="false" outlineLevel="0" collapsed="false">
      <c r="A2626" s="8"/>
      <c r="B2626" s="8"/>
      <c r="C2626" s="8"/>
      <c r="D2626" s="8"/>
      <c r="E2626" s="8"/>
      <c r="F2626" t="str" s="15">
        <f aca="0">IF(B2626="","",IF(H2626="","확인필요(입력누락)",IF(SUMPRODUCT((실물목록!$P$2:$P$1001&lt;&gt;"")*ISNUMBER(SEARCH(실물목록!$P$2:$P$1001,I2626))*(실물목록!$Q$2:$Q$1001&lt;&gt;"")*ISNUMBER(SEARCH(실물목록!$Q$2:$Q$1001,I2626))*(실물목록!$R$2:$R$1001="")*(실물목록!$O$2:$O$1001&lt;&gt;"")*(실물목록!$O$2:$O$1001=H2626))&gt;0,"실물 있음",IF(SUMPRODUCT((실물목록!$P$2:$P$1001&lt;&gt;"")*ISNUMBER(SEARCH(실물목록!$P$2:$P$1001,I2626))*(실물목록!$R$2:$R$1001&lt;&gt;""))&gt;0,"확인필요(입력누락)",IF(SUMPRODUCT((실물목록!$P$2:$P$1001&lt;&gt;"")*ISNUMBER(SEARCH(실물목록!$P$2:$P$1001,I2626))*(실물목록!$Q$2:$Q$1001&lt;&gt;"")*ISNUMBER(SEARCH(실물목록!$Q$2:$Q$1001,I2626))*(실물목록!$R$2:$R$1001="")*(실물목록!$O$2:$O$1001&lt;&gt;""))&gt;0,"확인필요(연도다름)","실물 없음")))))</f>
      </c>
      <c r="G2626" t="n" s="16">
        <f aca="0">IF(B2626="","",SUMPRODUCT((실물목록!$P$2:$P$1001&lt;&gt;"")*ISNUMBER(SEARCH(실물목록!$P$2:$P$1001,I2626))*(실물목록!$Q$2:$Q$1001&lt;&gt;"")*ISNUMBER(SEARCH(실물목록!$Q$2:$Q$1001,I2626))*(실물목록!$R$2:$R$1001="")*(실물목록!$O$2:$O$1001&lt;&gt;"")*(실물목록!$O$2:$O$1001=H2626)))</f>
      </c>
      <c r="H2626" t="str">
        <f>IFERROR(IF(AND(LEN(SUBSTITUTE(SUBSTITUTE(SUBSTITUTE(TRIM(A2626&amp;""),CHAR(160),"")," ",""),"년",""))=4,VALUE(SUBSTITUTE(SUBSTITUTE(SUBSTITUTE(TRIM(A2626&amp;""),CHAR(160),"")," ",""),"년",""))&gt;=1900,VALUE(SUBSTITUTE(SUBSTITUTE(SUBSTITUTE(TRIM(A2626&amp;""),CHAR(160),"")," ",""),"년",""))&lt;=2099,TEXT(VALUE(SUBSTITUTE(SUBSTITUTE(SUBSTITUTE(TRIM(A2626&amp;""),CHAR(160),"")," ",""),"년","")),"0000")=SUBSTITUTE(SUBSTITUTE(SUBSTITUTE(TRIM(A2626&amp;""),CHAR(160),"")," ",""),"년","")),SUBSTITUTE(SUBSTITUTE(SUBSTITUTE(TRIM(A2626&amp;""),CHAR(160),"")," ",""),"년",""),""),"")</f>
      </c>
      <c r="I2626" t="str">
        <f>SUBSTITUTE(SUBSTITUTE(SUBSTITUTE(SUBSTITUTE(SUBSTITUTE(TRIM(B2626&amp;""),CHAR(160),"")," ",""),"초등학교","초"),"중학교","중"),"고등학교","고")</f>
      </c>
    </row>
    <row r="2627" customFormat="false" ht="15" hidden="false" customHeight="false" outlineLevel="0" collapsed="false">
      <c r="A2627" s="8"/>
      <c r="B2627" s="8"/>
      <c r="C2627" s="8"/>
      <c r="D2627" s="8"/>
      <c r="E2627" s="8"/>
      <c r="F2627" t="str" s="15">
        <f aca="0">IF(B2627="","",IF(H2627="","확인필요(입력누락)",IF(SUMPRODUCT((실물목록!$P$2:$P$1001&lt;&gt;"")*ISNUMBER(SEARCH(실물목록!$P$2:$P$1001,I2627))*(실물목록!$Q$2:$Q$1001&lt;&gt;"")*ISNUMBER(SEARCH(실물목록!$Q$2:$Q$1001,I2627))*(실물목록!$R$2:$R$1001="")*(실물목록!$O$2:$O$1001&lt;&gt;"")*(실물목록!$O$2:$O$1001=H2627))&gt;0,"실물 있음",IF(SUMPRODUCT((실물목록!$P$2:$P$1001&lt;&gt;"")*ISNUMBER(SEARCH(실물목록!$P$2:$P$1001,I2627))*(실물목록!$R$2:$R$1001&lt;&gt;""))&gt;0,"확인필요(입력누락)",IF(SUMPRODUCT((실물목록!$P$2:$P$1001&lt;&gt;"")*ISNUMBER(SEARCH(실물목록!$P$2:$P$1001,I2627))*(실물목록!$Q$2:$Q$1001&lt;&gt;"")*ISNUMBER(SEARCH(실물목록!$Q$2:$Q$1001,I2627))*(실물목록!$R$2:$R$1001="")*(실물목록!$O$2:$O$1001&lt;&gt;""))&gt;0,"확인필요(연도다름)","실물 없음")))))</f>
      </c>
      <c r="G2627" t="n" s="16">
        <f aca="0">IF(B2627="","",SUMPRODUCT((실물목록!$P$2:$P$1001&lt;&gt;"")*ISNUMBER(SEARCH(실물목록!$P$2:$P$1001,I2627))*(실물목록!$Q$2:$Q$1001&lt;&gt;"")*ISNUMBER(SEARCH(실물목록!$Q$2:$Q$1001,I2627))*(실물목록!$R$2:$R$1001="")*(실물목록!$O$2:$O$1001&lt;&gt;"")*(실물목록!$O$2:$O$1001=H2627)))</f>
      </c>
      <c r="H2627" t="str">
        <f>IFERROR(IF(AND(LEN(SUBSTITUTE(SUBSTITUTE(SUBSTITUTE(TRIM(A2627&amp;""),CHAR(160),"")," ",""),"년",""))=4,VALUE(SUBSTITUTE(SUBSTITUTE(SUBSTITUTE(TRIM(A2627&amp;""),CHAR(160),"")," ",""),"년",""))&gt;=1900,VALUE(SUBSTITUTE(SUBSTITUTE(SUBSTITUTE(TRIM(A2627&amp;""),CHAR(160),"")," ",""),"년",""))&lt;=2099,TEXT(VALUE(SUBSTITUTE(SUBSTITUTE(SUBSTITUTE(TRIM(A2627&amp;""),CHAR(160),"")," ",""),"년","")),"0000")=SUBSTITUTE(SUBSTITUTE(SUBSTITUTE(TRIM(A2627&amp;""),CHAR(160),"")," ",""),"년","")),SUBSTITUTE(SUBSTITUTE(SUBSTITUTE(TRIM(A2627&amp;""),CHAR(160),"")," ",""),"년",""),""),"")</f>
      </c>
      <c r="I2627" t="str">
        <f>SUBSTITUTE(SUBSTITUTE(SUBSTITUTE(SUBSTITUTE(SUBSTITUTE(TRIM(B2627&amp;""),CHAR(160),"")," ",""),"초등학교","초"),"중학교","중"),"고등학교","고")</f>
      </c>
    </row>
    <row r="2628" customFormat="false" ht="15" hidden="false" customHeight="false" outlineLevel="0" collapsed="false">
      <c r="A2628" s="8"/>
      <c r="B2628" s="8"/>
      <c r="C2628" s="8"/>
      <c r="D2628" s="8"/>
      <c r="E2628" s="8"/>
      <c r="F2628" t="str" s="15">
        <f aca="0">IF(B2628="","",IF(H2628="","확인필요(입력누락)",IF(SUMPRODUCT((실물목록!$P$2:$P$1001&lt;&gt;"")*ISNUMBER(SEARCH(실물목록!$P$2:$P$1001,I2628))*(실물목록!$Q$2:$Q$1001&lt;&gt;"")*ISNUMBER(SEARCH(실물목록!$Q$2:$Q$1001,I2628))*(실물목록!$R$2:$R$1001="")*(실물목록!$O$2:$O$1001&lt;&gt;"")*(실물목록!$O$2:$O$1001=H2628))&gt;0,"실물 있음",IF(SUMPRODUCT((실물목록!$P$2:$P$1001&lt;&gt;"")*ISNUMBER(SEARCH(실물목록!$P$2:$P$1001,I2628))*(실물목록!$R$2:$R$1001&lt;&gt;""))&gt;0,"확인필요(입력누락)",IF(SUMPRODUCT((실물목록!$P$2:$P$1001&lt;&gt;"")*ISNUMBER(SEARCH(실물목록!$P$2:$P$1001,I2628))*(실물목록!$Q$2:$Q$1001&lt;&gt;"")*ISNUMBER(SEARCH(실물목록!$Q$2:$Q$1001,I2628))*(실물목록!$R$2:$R$1001="")*(실물목록!$O$2:$O$1001&lt;&gt;""))&gt;0,"확인필요(연도다름)","실물 없음")))))</f>
      </c>
      <c r="G2628" t="n" s="16">
        <f aca="0">IF(B2628="","",SUMPRODUCT((실물목록!$P$2:$P$1001&lt;&gt;"")*ISNUMBER(SEARCH(실물목록!$P$2:$P$1001,I2628))*(실물목록!$Q$2:$Q$1001&lt;&gt;"")*ISNUMBER(SEARCH(실물목록!$Q$2:$Q$1001,I2628))*(실물목록!$R$2:$R$1001="")*(실물목록!$O$2:$O$1001&lt;&gt;"")*(실물목록!$O$2:$O$1001=H2628)))</f>
      </c>
      <c r="H2628" t="str">
        <f>IFERROR(IF(AND(LEN(SUBSTITUTE(SUBSTITUTE(SUBSTITUTE(TRIM(A2628&amp;""),CHAR(160),"")," ",""),"년",""))=4,VALUE(SUBSTITUTE(SUBSTITUTE(SUBSTITUTE(TRIM(A2628&amp;""),CHAR(160),"")," ",""),"년",""))&gt;=1900,VALUE(SUBSTITUTE(SUBSTITUTE(SUBSTITUTE(TRIM(A2628&amp;""),CHAR(160),"")," ",""),"년",""))&lt;=2099,TEXT(VALUE(SUBSTITUTE(SUBSTITUTE(SUBSTITUTE(TRIM(A2628&amp;""),CHAR(160),"")," ",""),"년","")),"0000")=SUBSTITUTE(SUBSTITUTE(SUBSTITUTE(TRIM(A2628&amp;""),CHAR(160),"")," ",""),"년","")),SUBSTITUTE(SUBSTITUTE(SUBSTITUTE(TRIM(A2628&amp;""),CHAR(160),"")," ",""),"년",""),""),"")</f>
      </c>
      <c r="I2628" t="str">
        <f>SUBSTITUTE(SUBSTITUTE(SUBSTITUTE(SUBSTITUTE(SUBSTITUTE(TRIM(B2628&amp;""),CHAR(160),"")," ",""),"초등학교","초"),"중학교","중"),"고등학교","고")</f>
      </c>
    </row>
    <row r="2629" customFormat="false" ht="15" hidden="false" customHeight="false" outlineLevel="0" collapsed="false">
      <c r="A2629" s="8"/>
      <c r="B2629" s="8"/>
      <c r="C2629" s="8"/>
      <c r="D2629" s="8"/>
      <c r="E2629" s="8"/>
      <c r="F2629" t="str" s="15">
        <f aca="0">IF(B2629="","",IF(H2629="","확인필요(입력누락)",IF(SUMPRODUCT((실물목록!$P$2:$P$1001&lt;&gt;"")*ISNUMBER(SEARCH(실물목록!$P$2:$P$1001,I2629))*(실물목록!$Q$2:$Q$1001&lt;&gt;"")*ISNUMBER(SEARCH(실물목록!$Q$2:$Q$1001,I2629))*(실물목록!$R$2:$R$1001="")*(실물목록!$O$2:$O$1001&lt;&gt;"")*(실물목록!$O$2:$O$1001=H2629))&gt;0,"실물 있음",IF(SUMPRODUCT((실물목록!$P$2:$P$1001&lt;&gt;"")*ISNUMBER(SEARCH(실물목록!$P$2:$P$1001,I2629))*(실물목록!$R$2:$R$1001&lt;&gt;""))&gt;0,"확인필요(입력누락)",IF(SUMPRODUCT((실물목록!$P$2:$P$1001&lt;&gt;"")*ISNUMBER(SEARCH(실물목록!$P$2:$P$1001,I2629))*(실물목록!$Q$2:$Q$1001&lt;&gt;"")*ISNUMBER(SEARCH(실물목록!$Q$2:$Q$1001,I2629))*(실물목록!$R$2:$R$1001="")*(실물목록!$O$2:$O$1001&lt;&gt;""))&gt;0,"확인필요(연도다름)","실물 없음")))))</f>
      </c>
      <c r="G2629" t="n" s="16">
        <f aca="0">IF(B2629="","",SUMPRODUCT((실물목록!$P$2:$P$1001&lt;&gt;"")*ISNUMBER(SEARCH(실물목록!$P$2:$P$1001,I2629))*(실물목록!$Q$2:$Q$1001&lt;&gt;"")*ISNUMBER(SEARCH(실물목록!$Q$2:$Q$1001,I2629))*(실물목록!$R$2:$R$1001="")*(실물목록!$O$2:$O$1001&lt;&gt;"")*(실물목록!$O$2:$O$1001=H2629)))</f>
      </c>
      <c r="H2629" t="str">
        <f>IFERROR(IF(AND(LEN(SUBSTITUTE(SUBSTITUTE(SUBSTITUTE(TRIM(A2629&amp;""),CHAR(160),"")," ",""),"년",""))=4,VALUE(SUBSTITUTE(SUBSTITUTE(SUBSTITUTE(TRIM(A2629&amp;""),CHAR(160),"")," ",""),"년",""))&gt;=1900,VALUE(SUBSTITUTE(SUBSTITUTE(SUBSTITUTE(TRIM(A2629&amp;""),CHAR(160),"")," ",""),"년",""))&lt;=2099,TEXT(VALUE(SUBSTITUTE(SUBSTITUTE(SUBSTITUTE(TRIM(A2629&amp;""),CHAR(160),"")," ",""),"년","")),"0000")=SUBSTITUTE(SUBSTITUTE(SUBSTITUTE(TRIM(A2629&amp;""),CHAR(160),"")," ",""),"년","")),SUBSTITUTE(SUBSTITUTE(SUBSTITUTE(TRIM(A2629&amp;""),CHAR(160),"")," ",""),"년",""),""),"")</f>
      </c>
      <c r="I2629" t="str">
        <f>SUBSTITUTE(SUBSTITUTE(SUBSTITUTE(SUBSTITUTE(SUBSTITUTE(TRIM(B2629&amp;""),CHAR(160),"")," ",""),"초등학교","초"),"중학교","중"),"고등학교","고")</f>
      </c>
    </row>
    <row r="2630" customFormat="false" ht="15" hidden="false" customHeight="false" outlineLevel="0" collapsed="false">
      <c r="A2630" s="8"/>
      <c r="B2630" s="8"/>
      <c r="C2630" s="8"/>
      <c r="D2630" s="8"/>
      <c r="E2630" s="8"/>
      <c r="F2630" t="str" s="15">
        <f aca="0">IF(B2630="","",IF(H2630="","확인필요(입력누락)",IF(SUMPRODUCT((실물목록!$P$2:$P$1001&lt;&gt;"")*ISNUMBER(SEARCH(실물목록!$P$2:$P$1001,I2630))*(실물목록!$Q$2:$Q$1001&lt;&gt;"")*ISNUMBER(SEARCH(실물목록!$Q$2:$Q$1001,I2630))*(실물목록!$R$2:$R$1001="")*(실물목록!$O$2:$O$1001&lt;&gt;"")*(실물목록!$O$2:$O$1001=H2630))&gt;0,"실물 있음",IF(SUMPRODUCT((실물목록!$P$2:$P$1001&lt;&gt;"")*ISNUMBER(SEARCH(실물목록!$P$2:$P$1001,I2630))*(실물목록!$R$2:$R$1001&lt;&gt;""))&gt;0,"확인필요(입력누락)",IF(SUMPRODUCT((실물목록!$P$2:$P$1001&lt;&gt;"")*ISNUMBER(SEARCH(실물목록!$P$2:$P$1001,I2630))*(실물목록!$Q$2:$Q$1001&lt;&gt;"")*ISNUMBER(SEARCH(실물목록!$Q$2:$Q$1001,I2630))*(실물목록!$R$2:$R$1001="")*(실물목록!$O$2:$O$1001&lt;&gt;""))&gt;0,"확인필요(연도다름)","실물 없음")))))</f>
      </c>
      <c r="G2630" t="n" s="16">
        <f aca="0">IF(B2630="","",SUMPRODUCT((실물목록!$P$2:$P$1001&lt;&gt;"")*ISNUMBER(SEARCH(실물목록!$P$2:$P$1001,I2630))*(실물목록!$Q$2:$Q$1001&lt;&gt;"")*ISNUMBER(SEARCH(실물목록!$Q$2:$Q$1001,I2630))*(실물목록!$R$2:$R$1001="")*(실물목록!$O$2:$O$1001&lt;&gt;"")*(실물목록!$O$2:$O$1001=H2630)))</f>
      </c>
      <c r="H2630" t="str">
        <f>IFERROR(IF(AND(LEN(SUBSTITUTE(SUBSTITUTE(SUBSTITUTE(TRIM(A2630&amp;""),CHAR(160),"")," ",""),"년",""))=4,VALUE(SUBSTITUTE(SUBSTITUTE(SUBSTITUTE(TRIM(A2630&amp;""),CHAR(160),"")," ",""),"년",""))&gt;=1900,VALUE(SUBSTITUTE(SUBSTITUTE(SUBSTITUTE(TRIM(A2630&amp;""),CHAR(160),"")," ",""),"년",""))&lt;=2099,TEXT(VALUE(SUBSTITUTE(SUBSTITUTE(SUBSTITUTE(TRIM(A2630&amp;""),CHAR(160),"")," ",""),"년","")),"0000")=SUBSTITUTE(SUBSTITUTE(SUBSTITUTE(TRIM(A2630&amp;""),CHAR(160),"")," ",""),"년","")),SUBSTITUTE(SUBSTITUTE(SUBSTITUTE(TRIM(A2630&amp;""),CHAR(160),"")," ",""),"년",""),""),"")</f>
      </c>
      <c r="I2630" t="str">
        <f>SUBSTITUTE(SUBSTITUTE(SUBSTITUTE(SUBSTITUTE(SUBSTITUTE(TRIM(B2630&amp;""),CHAR(160),"")," ",""),"초등학교","초"),"중학교","중"),"고등학교","고")</f>
      </c>
    </row>
    <row r="2631" customFormat="false" ht="15" hidden="false" customHeight="false" outlineLevel="0" collapsed="false">
      <c r="A2631" s="8"/>
      <c r="B2631" s="8"/>
      <c r="C2631" s="8"/>
      <c r="D2631" s="8"/>
      <c r="E2631" s="8"/>
      <c r="F2631" t="str" s="15">
        <f aca="0">IF(B2631="","",IF(H2631="","확인필요(입력누락)",IF(SUMPRODUCT((실물목록!$P$2:$P$1001&lt;&gt;"")*ISNUMBER(SEARCH(실물목록!$P$2:$P$1001,I2631))*(실물목록!$Q$2:$Q$1001&lt;&gt;"")*ISNUMBER(SEARCH(실물목록!$Q$2:$Q$1001,I2631))*(실물목록!$R$2:$R$1001="")*(실물목록!$O$2:$O$1001&lt;&gt;"")*(실물목록!$O$2:$O$1001=H2631))&gt;0,"실물 있음",IF(SUMPRODUCT((실물목록!$P$2:$P$1001&lt;&gt;"")*ISNUMBER(SEARCH(실물목록!$P$2:$P$1001,I2631))*(실물목록!$R$2:$R$1001&lt;&gt;""))&gt;0,"확인필요(입력누락)",IF(SUMPRODUCT((실물목록!$P$2:$P$1001&lt;&gt;"")*ISNUMBER(SEARCH(실물목록!$P$2:$P$1001,I2631))*(실물목록!$Q$2:$Q$1001&lt;&gt;"")*ISNUMBER(SEARCH(실물목록!$Q$2:$Q$1001,I2631))*(실물목록!$R$2:$R$1001="")*(실물목록!$O$2:$O$1001&lt;&gt;""))&gt;0,"확인필요(연도다름)","실물 없음")))))</f>
      </c>
      <c r="G2631" t="n" s="16">
        <f aca="0">IF(B2631="","",SUMPRODUCT((실물목록!$P$2:$P$1001&lt;&gt;"")*ISNUMBER(SEARCH(실물목록!$P$2:$P$1001,I2631))*(실물목록!$Q$2:$Q$1001&lt;&gt;"")*ISNUMBER(SEARCH(실물목록!$Q$2:$Q$1001,I2631))*(실물목록!$R$2:$R$1001="")*(실물목록!$O$2:$O$1001&lt;&gt;"")*(실물목록!$O$2:$O$1001=H2631)))</f>
      </c>
      <c r="H2631" t="str">
        <f>IFERROR(IF(AND(LEN(SUBSTITUTE(SUBSTITUTE(SUBSTITUTE(TRIM(A2631&amp;""),CHAR(160),"")," ",""),"년",""))=4,VALUE(SUBSTITUTE(SUBSTITUTE(SUBSTITUTE(TRIM(A2631&amp;""),CHAR(160),"")," ",""),"년",""))&gt;=1900,VALUE(SUBSTITUTE(SUBSTITUTE(SUBSTITUTE(TRIM(A2631&amp;""),CHAR(160),"")," ",""),"년",""))&lt;=2099,TEXT(VALUE(SUBSTITUTE(SUBSTITUTE(SUBSTITUTE(TRIM(A2631&amp;""),CHAR(160),"")," ",""),"년","")),"0000")=SUBSTITUTE(SUBSTITUTE(SUBSTITUTE(TRIM(A2631&amp;""),CHAR(160),"")," ",""),"년","")),SUBSTITUTE(SUBSTITUTE(SUBSTITUTE(TRIM(A2631&amp;""),CHAR(160),"")," ",""),"년",""),""),"")</f>
      </c>
      <c r="I2631" t="str">
        <f>SUBSTITUTE(SUBSTITUTE(SUBSTITUTE(SUBSTITUTE(SUBSTITUTE(TRIM(B2631&amp;""),CHAR(160),"")," ",""),"초등학교","초"),"중학교","중"),"고등학교","고")</f>
      </c>
    </row>
    <row r="2632" customFormat="false" ht="15" hidden="false" customHeight="false" outlineLevel="0" collapsed="false">
      <c r="A2632" s="8"/>
      <c r="B2632" s="8"/>
      <c r="C2632" s="8"/>
      <c r="D2632" s="8"/>
      <c r="E2632" s="8"/>
      <c r="F2632" t="str" s="15">
        <f aca="0">IF(B2632="","",IF(H2632="","확인필요(입력누락)",IF(SUMPRODUCT((실물목록!$P$2:$P$1001&lt;&gt;"")*ISNUMBER(SEARCH(실물목록!$P$2:$P$1001,I2632))*(실물목록!$Q$2:$Q$1001&lt;&gt;"")*ISNUMBER(SEARCH(실물목록!$Q$2:$Q$1001,I2632))*(실물목록!$R$2:$R$1001="")*(실물목록!$O$2:$O$1001&lt;&gt;"")*(실물목록!$O$2:$O$1001=H2632))&gt;0,"실물 있음",IF(SUMPRODUCT((실물목록!$P$2:$P$1001&lt;&gt;"")*ISNUMBER(SEARCH(실물목록!$P$2:$P$1001,I2632))*(실물목록!$R$2:$R$1001&lt;&gt;""))&gt;0,"확인필요(입력누락)",IF(SUMPRODUCT((실물목록!$P$2:$P$1001&lt;&gt;"")*ISNUMBER(SEARCH(실물목록!$P$2:$P$1001,I2632))*(실물목록!$Q$2:$Q$1001&lt;&gt;"")*ISNUMBER(SEARCH(실물목록!$Q$2:$Q$1001,I2632))*(실물목록!$R$2:$R$1001="")*(실물목록!$O$2:$O$1001&lt;&gt;""))&gt;0,"확인필요(연도다름)","실물 없음")))))</f>
      </c>
      <c r="G2632" t="n" s="16">
        <f aca="0">IF(B2632="","",SUMPRODUCT((실물목록!$P$2:$P$1001&lt;&gt;"")*ISNUMBER(SEARCH(실물목록!$P$2:$P$1001,I2632))*(실물목록!$Q$2:$Q$1001&lt;&gt;"")*ISNUMBER(SEARCH(실물목록!$Q$2:$Q$1001,I2632))*(실물목록!$R$2:$R$1001="")*(실물목록!$O$2:$O$1001&lt;&gt;"")*(실물목록!$O$2:$O$1001=H2632)))</f>
      </c>
      <c r="H2632" t="str">
        <f>IFERROR(IF(AND(LEN(SUBSTITUTE(SUBSTITUTE(SUBSTITUTE(TRIM(A2632&amp;""),CHAR(160),"")," ",""),"년",""))=4,VALUE(SUBSTITUTE(SUBSTITUTE(SUBSTITUTE(TRIM(A2632&amp;""),CHAR(160),"")," ",""),"년",""))&gt;=1900,VALUE(SUBSTITUTE(SUBSTITUTE(SUBSTITUTE(TRIM(A2632&amp;""),CHAR(160),"")," ",""),"년",""))&lt;=2099,TEXT(VALUE(SUBSTITUTE(SUBSTITUTE(SUBSTITUTE(TRIM(A2632&amp;""),CHAR(160),"")," ",""),"년","")),"0000")=SUBSTITUTE(SUBSTITUTE(SUBSTITUTE(TRIM(A2632&amp;""),CHAR(160),"")," ",""),"년","")),SUBSTITUTE(SUBSTITUTE(SUBSTITUTE(TRIM(A2632&amp;""),CHAR(160),"")," ",""),"년",""),""),"")</f>
      </c>
      <c r="I2632" t="str">
        <f>SUBSTITUTE(SUBSTITUTE(SUBSTITUTE(SUBSTITUTE(SUBSTITUTE(TRIM(B2632&amp;""),CHAR(160),"")," ",""),"초등학교","초"),"중학교","중"),"고등학교","고")</f>
      </c>
    </row>
    <row r="2633" customFormat="false" ht="15" hidden="false" customHeight="false" outlineLevel="0" collapsed="false">
      <c r="A2633" s="8"/>
      <c r="B2633" s="8"/>
      <c r="C2633" s="8"/>
      <c r="D2633" s="8"/>
      <c r="E2633" s="8"/>
      <c r="F2633" t="str" s="15">
        <f aca="0">IF(B2633="","",IF(H2633="","확인필요(입력누락)",IF(SUMPRODUCT((실물목록!$P$2:$P$1001&lt;&gt;"")*ISNUMBER(SEARCH(실물목록!$P$2:$P$1001,I2633))*(실물목록!$Q$2:$Q$1001&lt;&gt;"")*ISNUMBER(SEARCH(실물목록!$Q$2:$Q$1001,I2633))*(실물목록!$R$2:$R$1001="")*(실물목록!$O$2:$O$1001&lt;&gt;"")*(실물목록!$O$2:$O$1001=H2633))&gt;0,"실물 있음",IF(SUMPRODUCT((실물목록!$P$2:$P$1001&lt;&gt;"")*ISNUMBER(SEARCH(실물목록!$P$2:$P$1001,I2633))*(실물목록!$R$2:$R$1001&lt;&gt;""))&gt;0,"확인필요(입력누락)",IF(SUMPRODUCT((실물목록!$P$2:$P$1001&lt;&gt;"")*ISNUMBER(SEARCH(실물목록!$P$2:$P$1001,I2633))*(실물목록!$Q$2:$Q$1001&lt;&gt;"")*ISNUMBER(SEARCH(실물목록!$Q$2:$Q$1001,I2633))*(실물목록!$R$2:$R$1001="")*(실물목록!$O$2:$O$1001&lt;&gt;""))&gt;0,"확인필요(연도다름)","실물 없음")))))</f>
      </c>
      <c r="G2633" t="n" s="16">
        <f aca="0">IF(B2633="","",SUMPRODUCT((실물목록!$P$2:$P$1001&lt;&gt;"")*ISNUMBER(SEARCH(실물목록!$P$2:$P$1001,I2633))*(실물목록!$Q$2:$Q$1001&lt;&gt;"")*ISNUMBER(SEARCH(실물목록!$Q$2:$Q$1001,I2633))*(실물목록!$R$2:$R$1001="")*(실물목록!$O$2:$O$1001&lt;&gt;"")*(실물목록!$O$2:$O$1001=H2633)))</f>
      </c>
      <c r="H2633" t="str">
        <f>IFERROR(IF(AND(LEN(SUBSTITUTE(SUBSTITUTE(SUBSTITUTE(TRIM(A2633&amp;""),CHAR(160),"")," ",""),"년",""))=4,VALUE(SUBSTITUTE(SUBSTITUTE(SUBSTITUTE(TRIM(A2633&amp;""),CHAR(160),"")," ",""),"년",""))&gt;=1900,VALUE(SUBSTITUTE(SUBSTITUTE(SUBSTITUTE(TRIM(A2633&amp;""),CHAR(160),"")," ",""),"년",""))&lt;=2099,TEXT(VALUE(SUBSTITUTE(SUBSTITUTE(SUBSTITUTE(TRIM(A2633&amp;""),CHAR(160),"")," ",""),"년","")),"0000")=SUBSTITUTE(SUBSTITUTE(SUBSTITUTE(TRIM(A2633&amp;""),CHAR(160),"")," ",""),"년","")),SUBSTITUTE(SUBSTITUTE(SUBSTITUTE(TRIM(A2633&amp;""),CHAR(160),"")," ",""),"년",""),""),"")</f>
      </c>
      <c r="I2633" t="str">
        <f>SUBSTITUTE(SUBSTITUTE(SUBSTITUTE(SUBSTITUTE(SUBSTITUTE(TRIM(B2633&amp;""),CHAR(160),"")," ",""),"초등학교","초"),"중학교","중"),"고등학교","고")</f>
      </c>
    </row>
    <row r="2634" customFormat="false" ht="15" hidden="false" customHeight="false" outlineLevel="0" collapsed="false">
      <c r="A2634" s="8"/>
      <c r="B2634" s="8"/>
      <c r="C2634" s="8"/>
      <c r="D2634" s="8"/>
      <c r="E2634" s="8"/>
      <c r="F2634" t="str" s="15">
        <f aca="0">IF(B2634="","",IF(H2634="","확인필요(입력누락)",IF(SUMPRODUCT((실물목록!$P$2:$P$1001&lt;&gt;"")*ISNUMBER(SEARCH(실물목록!$P$2:$P$1001,I2634))*(실물목록!$Q$2:$Q$1001&lt;&gt;"")*ISNUMBER(SEARCH(실물목록!$Q$2:$Q$1001,I2634))*(실물목록!$R$2:$R$1001="")*(실물목록!$O$2:$O$1001&lt;&gt;"")*(실물목록!$O$2:$O$1001=H2634))&gt;0,"실물 있음",IF(SUMPRODUCT((실물목록!$P$2:$P$1001&lt;&gt;"")*ISNUMBER(SEARCH(실물목록!$P$2:$P$1001,I2634))*(실물목록!$R$2:$R$1001&lt;&gt;""))&gt;0,"확인필요(입력누락)",IF(SUMPRODUCT((실물목록!$P$2:$P$1001&lt;&gt;"")*ISNUMBER(SEARCH(실물목록!$P$2:$P$1001,I2634))*(실물목록!$Q$2:$Q$1001&lt;&gt;"")*ISNUMBER(SEARCH(실물목록!$Q$2:$Q$1001,I2634))*(실물목록!$R$2:$R$1001="")*(실물목록!$O$2:$O$1001&lt;&gt;""))&gt;0,"확인필요(연도다름)","실물 없음")))))</f>
      </c>
      <c r="G2634" t="n" s="16">
        <f aca="0">IF(B2634="","",SUMPRODUCT((실물목록!$P$2:$P$1001&lt;&gt;"")*ISNUMBER(SEARCH(실물목록!$P$2:$P$1001,I2634))*(실물목록!$Q$2:$Q$1001&lt;&gt;"")*ISNUMBER(SEARCH(실물목록!$Q$2:$Q$1001,I2634))*(실물목록!$R$2:$R$1001="")*(실물목록!$O$2:$O$1001&lt;&gt;"")*(실물목록!$O$2:$O$1001=H2634)))</f>
      </c>
      <c r="H2634" t="str">
        <f>IFERROR(IF(AND(LEN(SUBSTITUTE(SUBSTITUTE(SUBSTITUTE(TRIM(A2634&amp;""),CHAR(160),"")," ",""),"년",""))=4,VALUE(SUBSTITUTE(SUBSTITUTE(SUBSTITUTE(TRIM(A2634&amp;""),CHAR(160),"")," ",""),"년",""))&gt;=1900,VALUE(SUBSTITUTE(SUBSTITUTE(SUBSTITUTE(TRIM(A2634&amp;""),CHAR(160),"")," ",""),"년",""))&lt;=2099,TEXT(VALUE(SUBSTITUTE(SUBSTITUTE(SUBSTITUTE(TRIM(A2634&amp;""),CHAR(160),"")," ",""),"년","")),"0000")=SUBSTITUTE(SUBSTITUTE(SUBSTITUTE(TRIM(A2634&amp;""),CHAR(160),"")," ",""),"년","")),SUBSTITUTE(SUBSTITUTE(SUBSTITUTE(TRIM(A2634&amp;""),CHAR(160),"")," ",""),"년",""),""),"")</f>
      </c>
      <c r="I2634" t="str">
        <f>SUBSTITUTE(SUBSTITUTE(SUBSTITUTE(SUBSTITUTE(SUBSTITUTE(TRIM(B2634&amp;""),CHAR(160),"")," ",""),"초등학교","초"),"중학교","중"),"고등학교","고")</f>
      </c>
    </row>
    <row r="2635" customFormat="false" ht="15" hidden="false" customHeight="false" outlineLevel="0" collapsed="false">
      <c r="A2635" s="8"/>
      <c r="B2635" s="8"/>
      <c r="C2635" s="8"/>
      <c r="D2635" s="8"/>
      <c r="E2635" s="8"/>
      <c r="F2635" t="str" s="15">
        <f aca="0">IF(B2635="","",IF(H2635="","확인필요(입력누락)",IF(SUMPRODUCT((실물목록!$P$2:$P$1001&lt;&gt;"")*ISNUMBER(SEARCH(실물목록!$P$2:$P$1001,I2635))*(실물목록!$Q$2:$Q$1001&lt;&gt;"")*ISNUMBER(SEARCH(실물목록!$Q$2:$Q$1001,I2635))*(실물목록!$R$2:$R$1001="")*(실물목록!$O$2:$O$1001&lt;&gt;"")*(실물목록!$O$2:$O$1001=H2635))&gt;0,"실물 있음",IF(SUMPRODUCT((실물목록!$P$2:$P$1001&lt;&gt;"")*ISNUMBER(SEARCH(실물목록!$P$2:$P$1001,I2635))*(실물목록!$R$2:$R$1001&lt;&gt;""))&gt;0,"확인필요(입력누락)",IF(SUMPRODUCT((실물목록!$P$2:$P$1001&lt;&gt;"")*ISNUMBER(SEARCH(실물목록!$P$2:$P$1001,I2635))*(실물목록!$Q$2:$Q$1001&lt;&gt;"")*ISNUMBER(SEARCH(실물목록!$Q$2:$Q$1001,I2635))*(실물목록!$R$2:$R$1001="")*(실물목록!$O$2:$O$1001&lt;&gt;""))&gt;0,"확인필요(연도다름)","실물 없음")))))</f>
      </c>
      <c r="G2635" t="n" s="16">
        <f aca="0">IF(B2635="","",SUMPRODUCT((실물목록!$P$2:$P$1001&lt;&gt;"")*ISNUMBER(SEARCH(실물목록!$P$2:$P$1001,I2635))*(실물목록!$Q$2:$Q$1001&lt;&gt;"")*ISNUMBER(SEARCH(실물목록!$Q$2:$Q$1001,I2635))*(실물목록!$R$2:$R$1001="")*(실물목록!$O$2:$O$1001&lt;&gt;"")*(실물목록!$O$2:$O$1001=H2635)))</f>
      </c>
      <c r="H2635" t="str">
        <f>IFERROR(IF(AND(LEN(SUBSTITUTE(SUBSTITUTE(SUBSTITUTE(TRIM(A2635&amp;""),CHAR(160),"")," ",""),"년",""))=4,VALUE(SUBSTITUTE(SUBSTITUTE(SUBSTITUTE(TRIM(A2635&amp;""),CHAR(160),"")," ",""),"년",""))&gt;=1900,VALUE(SUBSTITUTE(SUBSTITUTE(SUBSTITUTE(TRIM(A2635&amp;""),CHAR(160),"")," ",""),"년",""))&lt;=2099,TEXT(VALUE(SUBSTITUTE(SUBSTITUTE(SUBSTITUTE(TRIM(A2635&amp;""),CHAR(160),"")," ",""),"년","")),"0000")=SUBSTITUTE(SUBSTITUTE(SUBSTITUTE(TRIM(A2635&amp;""),CHAR(160),"")," ",""),"년","")),SUBSTITUTE(SUBSTITUTE(SUBSTITUTE(TRIM(A2635&amp;""),CHAR(160),"")," ",""),"년",""),""),"")</f>
      </c>
      <c r="I2635" t="str">
        <f>SUBSTITUTE(SUBSTITUTE(SUBSTITUTE(SUBSTITUTE(SUBSTITUTE(TRIM(B2635&amp;""),CHAR(160),"")," ",""),"초등학교","초"),"중학교","중"),"고등학교","고")</f>
      </c>
    </row>
    <row r="2636" customFormat="false" ht="15" hidden="false" customHeight="false" outlineLevel="0" collapsed="false">
      <c r="A2636" s="8"/>
      <c r="B2636" s="8"/>
      <c r="C2636" s="8"/>
      <c r="D2636" s="8"/>
      <c r="E2636" s="8"/>
      <c r="F2636" t="str" s="15">
        <f aca="0">IF(B2636="","",IF(H2636="","확인필요(입력누락)",IF(SUMPRODUCT((실물목록!$P$2:$P$1001&lt;&gt;"")*ISNUMBER(SEARCH(실물목록!$P$2:$P$1001,I2636))*(실물목록!$Q$2:$Q$1001&lt;&gt;"")*ISNUMBER(SEARCH(실물목록!$Q$2:$Q$1001,I2636))*(실물목록!$R$2:$R$1001="")*(실물목록!$O$2:$O$1001&lt;&gt;"")*(실물목록!$O$2:$O$1001=H2636))&gt;0,"실물 있음",IF(SUMPRODUCT((실물목록!$P$2:$P$1001&lt;&gt;"")*ISNUMBER(SEARCH(실물목록!$P$2:$P$1001,I2636))*(실물목록!$R$2:$R$1001&lt;&gt;""))&gt;0,"확인필요(입력누락)",IF(SUMPRODUCT((실물목록!$P$2:$P$1001&lt;&gt;"")*ISNUMBER(SEARCH(실물목록!$P$2:$P$1001,I2636))*(실물목록!$Q$2:$Q$1001&lt;&gt;"")*ISNUMBER(SEARCH(실물목록!$Q$2:$Q$1001,I2636))*(실물목록!$R$2:$R$1001="")*(실물목록!$O$2:$O$1001&lt;&gt;""))&gt;0,"확인필요(연도다름)","실물 없음")))))</f>
      </c>
      <c r="G2636" t="n" s="16">
        <f aca="0">IF(B2636="","",SUMPRODUCT((실물목록!$P$2:$P$1001&lt;&gt;"")*ISNUMBER(SEARCH(실물목록!$P$2:$P$1001,I2636))*(실물목록!$Q$2:$Q$1001&lt;&gt;"")*ISNUMBER(SEARCH(실물목록!$Q$2:$Q$1001,I2636))*(실물목록!$R$2:$R$1001="")*(실물목록!$O$2:$O$1001&lt;&gt;"")*(실물목록!$O$2:$O$1001=H2636)))</f>
      </c>
      <c r="H2636" t="str">
        <f>IFERROR(IF(AND(LEN(SUBSTITUTE(SUBSTITUTE(SUBSTITUTE(TRIM(A2636&amp;""),CHAR(160),"")," ",""),"년",""))=4,VALUE(SUBSTITUTE(SUBSTITUTE(SUBSTITUTE(TRIM(A2636&amp;""),CHAR(160),"")," ",""),"년",""))&gt;=1900,VALUE(SUBSTITUTE(SUBSTITUTE(SUBSTITUTE(TRIM(A2636&amp;""),CHAR(160),"")," ",""),"년",""))&lt;=2099,TEXT(VALUE(SUBSTITUTE(SUBSTITUTE(SUBSTITUTE(TRIM(A2636&amp;""),CHAR(160),"")," ",""),"년","")),"0000")=SUBSTITUTE(SUBSTITUTE(SUBSTITUTE(TRIM(A2636&amp;""),CHAR(160),"")," ",""),"년","")),SUBSTITUTE(SUBSTITUTE(SUBSTITUTE(TRIM(A2636&amp;""),CHAR(160),"")," ",""),"년",""),""),"")</f>
      </c>
      <c r="I2636" t="str">
        <f>SUBSTITUTE(SUBSTITUTE(SUBSTITUTE(SUBSTITUTE(SUBSTITUTE(TRIM(B2636&amp;""),CHAR(160),"")," ",""),"초등학교","초"),"중학교","중"),"고등학교","고")</f>
      </c>
    </row>
    <row r="2637" customFormat="false" ht="15" hidden="false" customHeight="false" outlineLevel="0" collapsed="false">
      <c r="A2637" s="8"/>
      <c r="B2637" s="8"/>
      <c r="C2637" s="8"/>
      <c r="D2637" s="8"/>
      <c r="E2637" s="8"/>
      <c r="F2637" t="str" s="15">
        <f aca="0">IF(B2637="","",IF(H2637="","확인필요(입력누락)",IF(SUMPRODUCT((실물목록!$P$2:$P$1001&lt;&gt;"")*ISNUMBER(SEARCH(실물목록!$P$2:$P$1001,I2637))*(실물목록!$Q$2:$Q$1001&lt;&gt;"")*ISNUMBER(SEARCH(실물목록!$Q$2:$Q$1001,I2637))*(실물목록!$R$2:$R$1001="")*(실물목록!$O$2:$O$1001&lt;&gt;"")*(실물목록!$O$2:$O$1001=H2637))&gt;0,"실물 있음",IF(SUMPRODUCT((실물목록!$P$2:$P$1001&lt;&gt;"")*ISNUMBER(SEARCH(실물목록!$P$2:$P$1001,I2637))*(실물목록!$R$2:$R$1001&lt;&gt;""))&gt;0,"확인필요(입력누락)",IF(SUMPRODUCT((실물목록!$P$2:$P$1001&lt;&gt;"")*ISNUMBER(SEARCH(실물목록!$P$2:$P$1001,I2637))*(실물목록!$Q$2:$Q$1001&lt;&gt;"")*ISNUMBER(SEARCH(실물목록!$Q$2:$Q$1001,I2637))*(실물목록!$R$2:$R$1001="")*(실물목록!$O$2:$O$1001&lt;&gt;""))&gt;0,"확인필요(연도다름)","실물 없음")))))</f>
      </c>
      <c r="G2637" t="n" s="16">
        <f aca="0">IF(B2637="","",SUMPRODUCT((실물목록!$P$2:$P$1001&lt;&gt;"")*ISNUMBER(SEARCH(실물목록!$P$2:$P$1001,I2637))*(실물목록!$Q$2:$Q$1001&lt;&gt;"")*ISNUMBER(SEARCH(실물목록!$Q$2:$Q$1001,I2637))*(실물목록!$R$2:$R$1001="")*(실물목록!$O$2:$O$1001&lt;&gt;"")*(실물목록!$O$2:$O$1001=H2637)))</f>
      </c>
      <c r="H2637" t="str">
        <f>IFERROR(IF(AND(LEN(SUBSTITUTE(SUBSTITUTE(SUBSTITUTE(TRIM(A2637&amp;""),CHAR(160),"")," ",""),"년",""))=4,VALUE(SUBSTITUTE(SUBSTITUTE(SUBSTITUTE(TRIM(A2637&amp;""),CHAR(160),"")," ",""),"년",""))&gt;=1900,VALUE(SUBSTITUTE(SUBSTITUTE(SUBSTITUTE(TRIM(A2637&amp;""),CHAR(160),"")," ",""),"년",""))&lt;=2099,TEXT(VALUE(SUBSTITUTE(SUBSTITUTE(SUBSTITUTE(TRIM(A2637&amp;""),CHAR(160),"")," ",""),"년","")),"0000")=SUBSTITUTE(SUBSTITUTE(SUBSTITUTE(TRIM(A2637&amp;""),CHAR(160),"")," ",""),"년","")),SUBSTITUTE(SUBSTITUTE(SUBSTITUTE(TRIM(A2637&amp;""),CHAR(160),"")," ",""),"년",""),""),"")</f>
      </c>
      <c r="I2637" t="str">
        <f>SUBSTITUTE(SUBSTITUTE(SUBSTITUTE(SUBSTITUTE(SUBSTITUTE(TRIM(B2637&amp;""),CHAR(160),"")," ",""),"초등학교","초"),"중학교","중"),"고등학교","고")</f>
      </c>
    </row>
    <row r="2638" customFormat="false" ht="15" hidden="false" customHeight="false" outlineLevel="0" collapsed="false">
      <c r="A2638" s="8"/>
      <c r="B2638" s="8"/>
      <c r="C2638" s="8"/>
      <c r="D2638" s="8"/>
      <c r="E2638" s="8"/>
      <c r="F2638" t="str" s="15">
        <f aca="0">IF(B2638="","",IF(H2638="","확인필요(입력누락)",IF(SUMPRODUCT((실물목록!$P$2:$P$1001&lt;&gt;"")*ISNUMBER(SEARCH(실물목록!$P$2:$P$1001,I2638))*(실물목록!$Q$2:$Q$1001&lt;&gt;"")*ISNUMBER(SEARCH(실물목록!$Q$2:$Q$1001,I2638))*(실물목록!$R$2:$R$1001="")*(실물목록!$O$2:$O$1001&lt;&gt;"")*(실물목록!$O$2:$O$1001=H2638))&gt;0,"실물 있음",IF(SUMPRODUCT((실물목록!$P$2:$P$1001&lt;&gt;"")*ISNUMBER(SEARCH(실물목록!$P$2:$P$1001,I2638))*(실물목록!$R$2:$R$1001&lt;&gt;""))&gt;0,"확인필요(입력누락)",IF(SUMPRODUCT((실물목록!$P$2:$P$1001&lt;&gt;"")*ISNUMBER(SEARCH(실물목록!$P$2:$P$1001,I2638))*(실물목록!$Q$2:$Q$1001&lt;&gt;"")*ISNUMBER(SEARCH(실물목록!$Q$2:$Q$1001,I2638))*(실물목록!$R$2:$R$1001="")*(실물목록!$O$2:$O$1001&lt;&gt;""))&gt;0,"확인필요(연도다름)","실물 없음")))))</f>
      </c>
      <c r="G2638" t="n" s="16">
        <f aca="0">IF(B2638="","",SUMPRODUCT((실물목록!$P$2:$P$1001&lt;&gt;"")*ISNUMBER(SEARCH(실물목록!$P$2:$P$1001,I2638))*(실물목록!$Q$2:$Q$1001&lt;&gt;"")*ISNUMBER(SEARCH(실물목록!$Q$2:$Q$1001,I2638))*(실물목록!$R$2:$R$1001="")*(실물목록!$O$2:$O$1001&lt;&gt;"")*(실물목록!$O$2:$O$1001=H2638)))</f>
      </c>
      <c r="H2638" t="str">
        <f>IFERROR(IF(AND(LEN(SUBSTITUTE(SUBSTITUTE(SUBSTITUTE(TRIM(A2638&amp;""),CHAR(160),"")," ",""),"년",""))=4,VALUE(SUBSTITUTE(SUBSTITUTE(SUBSTITUTE(TRIM(A2638&amp;""),CHAR(160),"")," ",""),"년",""))&gt;=1900,VALUE(SUBSTITUTE(SUBSTITUTE(SUBSTITUTE(TRIM(A2638&amp;""),CHAR(160),"")," ",""),"년",""))&lt;=2099,TEXT(VALUE(SUBSTITUTE(SUBSTITUTE(SUBSTITUTE(TRIM(A2638&amp;""),CHAR(160),"")," ",""),"년","")),"0000")=SUBSTITUTE(SUBSTITUTE(SUBSTITUTE(TRIM(A2638&amp;""),CHAR(160),"")," ",""),"년","")),SUBSTITUTE(SUBSTITUTE(SUBSTITUTE(TRIM(A2638&amp;""),CHAR(160),"")," ",""),"년",""),""),"")</f>
      </c>
      <c r="I2638" t="str">
        <f>SUBSTITUTE(SUBSTITUTE(SUBSTITUTE(SUBSTITUTE(SUBSTITUTE(TRIM(B2638&amp;""),CHAR(160),"")," ",""),"초등학교","초"),"중학교","중"),"고등학교","고")</f>
      </c>
    </row>
    <row r="2639" customFormat="false" ht="15" hidden="false" customHeight="false" outlineLevel="0" collapsed="false">
      <c r="A2639" s="8"/>
      <c r="B2639" s="8"/>
      <c r="C2639" s="8"/>
      <c r="D2639" s="8"/>
      <c r="E2639" s="8"/>
      <c r="F2639" t="str" s="15">
        <f aca="0">IF(B2639="","",IF(H2639="","확인필요(입력누락)",IF(SUMPRODUCT((실물목록!$P$2:$P$1001&lt;&gt;"")*ISNUMBER(SEARCH(실물목록!$P$2:$P$1001,I2639))*(실물목록!$Q$2:$Q$1001&lt;&gt;"")*ISNUMBER(SEARCH(실물목록!$Q$2:$Q$1001,I2639))*(실물목록!$R$2:$R$1001="")*(실물목록!$O$2:$O$1001&lt;&gt;"")*(실물목록!$O$2:$O$1001=H2639))&gt;0,"실물 있음",IF(SUMPRODUCT((실물목록!$P$2:$P$1001&lt;&gt;"")*ISNUMBER(SEARCH(실물목록!$P$2:$P$1001,I2639))*(실물목록!$R$2:$R$1001&lt;&gt;""))&gt;0,"확인필요(입력누락)",IF(SUMPRODUCT((실물목록!$P$2:$P$1001&lt;&gt;"")*ISNUMBER(SEARCH(실물목록!$P$2:$P$1001,I2639))*(실물목록!$Q$2:$Q$1001&lt;&gt;"")*ISNUMBER(SEARCH(실물목록!$Q$2:$Q$1001,I2639))*(실물목록!$R$2:$R$1001="")*(실물목록!$O$2:$O$1001&lt;&gt;""))&gt;0,"확인필요(연도다름)","실물 없음")))))</f>
      </c>
      <c r="G2639" t="n" s="16">
        <f aca="0">IF(B2639="","",SUMPRODUCT((실물목록!$P$2:$P$1001&lt;&gt;"")*ISNUMBER(SEARCH(실물목록!$P$2:$P$1001,I2639))*(실물목록!$Q$2:$Q$1001&lt;&gt;"")*ISNUMBER(SEARCH(실물목록!$Q$2:$Q$1001,I2639))*(실물목록!$R$2:$R$1001="")*(실물목록!$O$2:$O$1001&lt;&gt;"")*(실물목록!$O$2:$O$1001=H2639)))</f>
      </c>
      <c r="H2639" t="str">
        <f>IFERROR(IF(AND(LEN(SUBSTITUTE(SUBSTITUTE(SUBSTITUTE(TRIM(A2639&amp;""),CHAR(160),"")," ",""),"년",""))=4,VALUE(SUBSTITUTE(SUBSTITUTE(SUBSTITUTE(TRIM(A2639&amp;""),CHAR(160),"")," ",""),"년",""))&gt;=1900,VALUE(SUBSTITUTE(SUBSTITUTE(SUBSTITUTE(TRIM(A2639&amp;""),CHAR(160),"")," ",""),"년",""))&lt;=2099,TEXT(VALUE(SUBSTITUTE(SUBSTITUTE(SUBSTITUTE(TRIM(A2639&amp;""),CHAR(160),"")," ",""),"년","")),"0000")=SUBSTITUTE(SUBSTITUTE(SUBSTITUTE(TRIM(A2639&amp;""),CHAR(160),"")," ",""),"년","")),SUBSTITUTE(SUBSTITUTE(SUBSTITUTE(TRIM(A2639&amp;""),CHAR(160),"")," ",""),"년",""),""),"")</f>
      </c>
      <c r="I2639" t="str">
        <f>SUBSTITUTE(SUBSTITUTE(SUBSTITUTE(SUBSTITUTE(SUBSTITUTE(TRIM(B2639&amp;""),CHAR(160),"")," ",""),"초등학교","초"),"중학교","중"),"고등학교","고")</f>
      </c>
    </row>
    <row r="2640" customFormat="false" ht="15" hidden="false" customHeight="false" outlineLevel="0" collapsed="false">
      <c r="A2640" s="8"/>
      <c r="B2640" s="8"/>
      <c r="C2640" s="8"/>
      <c r="D2640" s="8"/>
      <c r="E2640" s="8"/>
      <c r="F2640" t="str" s="15">
        <f aca="0">IF(B2640="","",IF(H2640="","확인필요(입력누락)",IF(SUMPRODUCT((실물목록!$P$2:$P$1001&lt;&gt;"")*ISNUMBER(SEARCH(실물목록!$P$2:$P$1001,I2640))*(실물목록!$Q$2:$Q$1001&lt;&gt;"")*ISNUMBER(SEARCH(실물목록!$Q$2:$Q$1001,I2640))*(실물목록!$R$2:$R$1001="")*(실물목록!$O$2:$O$1001&lt;&gt;"")*(실물목록!$O$2:$O$1001=H2640))&gt;0,"실물 있음",IF(SUMPRODUCT((실물목록!$P$2:$P$1001&lt;&gt;"")*ISNUMBER(SEARCH(실물목록!$P$2:$P$1001,I2640))*(실물목록!$R$2:$R$1001&lt;&gt;""))&gt;0,"확인필요(입력누락)",IF(SUMPRODUCT((실물목록!$P$2:$P$1001&lt;&gt;"")*ISNUMBER(SEARCH(실물목록!$P$2:$P$1001,I2640))*(실물목록!$Q$2:$Q$1001&lt;&gt;"")*ISNUMBER(SEARCH(실물목록!$Q$2:$Q$1001,I2640))*(실물목록!$R$2:$R$1001="")*(실물목록!$O$2:$O$1001&lt;&gt;""))&gt;0,"확인필요(연도다름)","실물 없음")))))</f>
      </c>
      <c r="G2640" t="n" s="16">
        <f aca="0">IF(B2640="","",SUMPRODUCT((실물목록!$P$2:$P$1001&lt;&gt;"")*ISNUMBER(SEARCH(실물목록!$P$2:$P$1001,I2640))*(실물목록!$Q$2:$Q$1001&lt;&gt;"")*ISNUMBER(SEARCH(실물목록!$Q$2:$Q$1001,I2640))*(실물목록!$R$2:$R$1001="")*(실물목록!$O$2:$O$1001&lt;&gt;"")*(실물목록!$O$2:$O$1001=H2640)))</f>
      </c>
      <c r="H2640" t="str">
        <f>IFERROR(IF(AND(LEN(SUBSTITUTE(SUBSTITUTE(SUBSTITUTE(TRIM(A2640&amp;""),CHAR(160),"")," ",""),"년",""))=4,VALUE(SUBSTITUTE(SUBSTITUTE(SUBSTITUTE(TRIM(A2640&amp;""),CHAR(160),"")," ",""),"년",""))&gt;=1900,VALUE(SUBSTITUTE(SUBSTITUTE(SUBSTITUTE(TRIM(A2640&amp;""),CHAR(160),"")," ",""),"년",""))&lt;=2099,TEXT(VALUE(SUBSTITUTE(SUBSTITUTE(SUBSTITUTE(TRIM(A2640&amp;""),CHAR(160),"")," ",""),"년","")),"0000")=SUBSTITUTE(SUBSTITUTE(SUBSTITUTE(TRIM(A2640&amp;""),CHAR(160),"")," ",""),"년","")),SUBSTITUTE(SUBSTITUTE(SUBSTITUTE(TRIM(A2640&amp;""),CHAR(160),"")," ",""),"년",""),""),"")</f>
      </c>
      <c r="I2640" t="str">
        <f>SUBSTITUTE(SUBSTITUTE(SUBSTITUTE(SUBSTITUTE(SUBSTITUTE(TRIM(B2640&amp;""),CHAR(160),"")," ",""),"초등학교","초"),"중학교","중"),"고등학교","고")</f>
      </c>
    </row>
    <row r="2641" customFormat="false" ht="15" hidden="false" customHeight="false" outlineLevel="0" collapsed="false">
      <c r="A2641" s="8"/>
      <c r="B2641" s="8"/>
      <c r="C2641" s="8"/>
      <c r="D2641" s="8"/>
      <c r="E2641" s="8"/>
      <c r="F2641" t="str" s="15">
        <f aca="0">IF(B2641="","",IF(H2641="","확인필요(입력누락)",IF(SUMPRODUCT((실물목록!$P$2:$P$1001&lt;&gt;"")*ISNUMBER(SEARCH(실물목록!$P$2:$P$1001,I2641))*(실물목록!$Q$2:$Q$1001&lt;&gt;"")*ISNUMBER(SEARCH(실물목록!$Q$2:$Q$1001,I2641))*(실물목록!$R$2:$R$1001="")*(실물목록!$O$2:$O$1001&lt;&gt;"")*(실물목록!$O$2:$O$1001=H2641))&gt;0,"실물 있음",IF(SUMPRODUCT((실물목록!$P$2:$P$1001&lt;&gt;"")*ISNUMBER(SEARCH(실물목록!$P$2:$P$1001,I2641))*(실물목록!$R$2:$R$1001&lt;&gt;""))&gt;0,"확인필요(입력누락)",IF(SUMPRODUCT((실물목록!$P$2:$P$1001&lt;&gt;"")*ISNUMBER(SEARCH(실물목록!$P$2:$P$1001,I2641))*(실물목록!$Q$2:$Q$1001&lt;&gt;"")*ISNUMBER(SEARCH(실물목록!$Q$2:$Q$1001,I2641))*(실물목록!$R$2:$R$1001="")*(실물목록!$O$2:$O$1001&lt;&gt;""))&gt;0,"확인필요(연도다름)","실물 없음")))))</f>
      </c>
      <c r="G2641" t="n" s="16">
        <f aca="0">IF(B2641="","",SUMPRODUCT((실물목록!$P$2:$P$1001&lt;&gt;"")*ISNUMBER(SEARCH(실물목록!$P$2:$P$1001,I2641))*(실물목록!$Q$2:$Q$1001&lt;&gt;"")*ISNUMBER(SEARCH(실물목록!$Q$2:$Q$1001,I2641))*(실물목록!$R$2:$R$1001="")*(실물목록!$O$2:$O$1001&lt;&gt;"")*(실물목록!$O$2:$O$1001=H2641)))</f>
      </c>
      <c r="H2641" t="str">
        <f>IFERROR(IF(AND(LEN(SUBSTITUTE(SUBSTITUTE(SUBSTITUTE(TRIM(A2641&amp;""),CHAR(160),"")," ",""),"년",""))=4,VALUE(SUBSTITUTE(SUBSTITUTE(SUBSTITUTE(TRIM(A2641&amp;""),CHAR(160),"")," ",""),"년",""))&gt;=1900,VALUE(SUBSTITUTE(SUBSTITUTE(SUBSTITUTE(TRIM(A2641&amp;""),CHAR(160),"")," ",""),"년",""))&lt;=2099,TEXT(VALUE(SUBSTITUTE(SUBSTITUTE(SUBSTITUTE(TRIM(A2641&amp;""),CHAR(160),"")," ",""),"년","")),"0000")=SUBSTITUTE(SUBSTITUTE(SUBSTITUTE(TRIM(A2641&amp;""),CHAR(160),"")," ",""),"년","")),SUBSTITUTE(SUBSTITUTE(SUBSTITUTE(TRIM(A2641&amp;""),CHAR(160),"")," ",""),"년",""),""),"")</f>
      </c>
      <c r="I2641" t="str">
        <f>SUBSTITUTE(SUBSTITUTE(SUBSTITUTE(SUBSTITUTE(SUBSTITUTE(TRIM(B2641&amp;""),CHAR(160),"")," ",""),"초등학교","초"),"중학교","중"),"고등학교","고")</f>
      </c>
    </row>
    <row r="2642" customFormat="false" ht="15" hidden="false" customHeight="false" outlineLevel="0" collapsed="false">
      <c r="A2642" s="8"/>
      <c r="B2642" s="8"/>
      <c r="C2642" s="8"/>
      <c r="D2642" s="8"/>
      <c r="E2642" s="8"/>
      <c r="F2642" t="str" s="15">
        <f aca="0">IF(B2642="","",IF(H2642="","확인필요(입력누락)",IF(SUMPRODUCT((실물목록!$P$2:$P$1001&lt;&gt;"")*ISNUMBER(SEARCH(실물목록!$P$2:$P$1001,I2642))*(실물목록!$Q$2:$Q$1001&lt;&gt;"")*ISNUMBER(SEARCH(실물목록!$Q$2:$Q$1001,I2642))*(실물목록!$R$2:$R$1001="")*(실물목록!$O$2:$O$1001&lt;&gt;"")*(실물목록!$O$2:$O$1001=H2642))&gt;0,"실물 있음",IF(SUMPRODUCT((실물목록!$P$2:$P$1001&lt;&gt;"")*ISNUMBER(SEARCH(실물목록!$P$2:$P$1001,I2642))*(실물목록!$R$2:$R$1001&lt;&gt;""))&gt;0,"확인필요(입력누락)",IF(SUMPRODUCT((실물목록!$P$2:$P$1001&lt;&gt;"")*ISNUMBER(SEARCH(실물목록!$P$2:$P$1001,I2642))*(실물목록!$Q$2:$Q$1001&lt;&gt;"")*ISNUMBER(SEARCH(실물목록!$Q$2:$Q$1001,I2642))*(실물목록!$R$2:$R$1001="")*(실물목록!$O$2:$O$1001&lt;&gt;""))&gt;0,"확인필요(연도다름)","실물 없음")))))</f>
      </c>
      <c r="G2642" t="n" s="16">
        <f aca="0">IF(B2642="","",SUMPRODUCT((실물목록!$P$2:$P$1001&lt;&gt;"")*ISNUMBER(SEARCH(실물목록!$P$2:$P$1001,I2642))*(실물목록!$Q$2:$Q$1001&lt;&gt;"")*ISNUMBER(SEARCH(실물목록!$Q$2:$Q$1001,I2642))*(실물목록!$R$2:$R$1001="")*(실물목록!$O$2:$O$1001&lt;&gt;"")*(실물목록!$O$2:$O$1001=H2642)))</f>
      </c>
      <c r="H2642" t="str">
        <f>IFERROR(IF(AND(LEN(SUBSTITUTE(SUBSTITUTE(SUBSTITUTE(TRIM(A2642&amp;""),CHAR(160),"")," ",""),"년",""))=4,VALUE(SUBSTITUTE(SUBSTITUTE(SUBSTITUTE(TRIM(A2642&amp;""),CHAR(160),"")," ",""),"년",""))&gt;=1900,VALUE(SUBSTITUTE(SUBSTITUTE(SUBSTITUTE(TRIM(A2642&amp;""),CHAR(160),"")," ",""),"년",""))&lt;=2099,TEXT(VALUE(SUBSTITUTE(SUBSTITUTE(SUBSTITUTE(TRIM(A2642&amp;""),CHAR(160),"")," ",""),"년","")),"0000")=SUBSTITUTE(SUBSTITUTE(SUBSTITUTE(TRIM(A2642&amp;""),CHAR(160),"")," ",""),"년","")),SUBSTITUTE(SUBSTITUTE(SUBSTITUTE(TRIM(A2642&amp;""),CHAR(160),"")," ",""),"년",""),""),"")</f>
      </c>
      <c r="I2642" t="str">
        <f>SUBSTITUTE(SUBSTITUTE(SUBSTITUTE(SUBSTITUTE(SUBSTITUTE(TRIM(B2642&amp;""),CHAR(160),"")," ",""),"초등학교","초"),"중학교","중"),"고등학교","고")</f>
      </c>
    </row>
    <row r="2643" customFormat="false" ht="15" hidden="false" customHeight="false" outlineLevel="0" collapsed="false">
      <c r="A2643" s="8"/>
      <c r="B2643" s="8"/>
      <c r="C2643" s="8"/>
      <c r="D2643" s="8"/>
      <c r="E2643" s="8"/>
      <c r="F2643" t="str" s="15">
        <f aca="0">IF(B2643="","",IF(H2643="","확인필요(입력누락)",IF(SUMPRODUCT((실물목록!$P$2:$P$1001&lt;&gt;"")*ISNUMBER(SEARCH(실물목록!$P$2:$P$1001,I2643))*(실물목록!$Q$2:$Q$1001&lt;&gt;"")*ISNUMBER(SEARCH(실물목록!$Q$2:$Q$1001,I2643))*(실물목록!$R$2:$R$1001="")*(실물목록!$O$2:$O$1001&lt;&gt;"")*(실물목록!$O$2:$O$1001=H2643))&gt;0,"실물 있음",IF(SUMPRODUCT((실물목록!$P$2:$P$1001&lt;&gt;"")*ISNUMBER(SEARCH(실물목록!$P$2:$P$1001,I2643))*(실물목록!$R$2:$R$1001&lt;&gt;""))&gt;0,"확인필요(입력누락)",IF(SUMPRODUCT((실물목록!$P$2:$P$1001&lt;&gt;"")*ISNUMBER(SEARCH(실물목록!$P$2:$P$1001,I2643))*(실물목록!$Q$2:$Q$1001&lt;&gt;"")*ISNUMBER(SEARCH(실물목록!$Q$2:$Q$1001,I2643))*(실물목록!$R$2:$R$1001="")*(실물목록!$O$2:$O$1001&lt;&gt;""))&gt;0,"확인필요(연도다름)","실물 없음")))))</f>
      </c>
      <c r="G2643" t="n" s="16">
        <f aca="0">IF(B2643="","",SUMPRODUCT((실물목록!$P$2:$P$1001&lt;&gt;"")*ISNUMBER(SEARCH(실물목록!$P$2:$P$1001,I2643))*(실물목록!$Q$2:$Q$1001&lt;&gt;"")*ISNUMBER(SEARCH(실물목록!$Q$2:$Q$1001,I2643))*(실물목록!$R$2:$R$1001="")*(실물목록!$O$2:$O$1001&lt;&gt;"")*(실물목록!$O$2:$O$1001=H2643)))</f>
      </c>
      <c r="H2643" t="str">
        <f>IFERROR(IF(AND(LEN(SUBSTITUTE(SUBSTITUTE(SUBSTITUTE(TRIM(A2643&amp;""),CHAR(160),"")," ",""),"년",""))=4,VALUE(SUBSTITUTE(SUBSTITUTE(SUBSTITUTE(TRIM(A2643&amp;""),CHAR(160),"")," ",""),"년",""))&gt;=1900,VALUE(SUBSTITUTE(SUBSTITUTE(SUBSTITUTE(TRIM(A2643&amp;""),CHAR(160),"")," ",""),"년",""))&lt;=2099,TEXT(VALUE(SUBSTITUTE(SUBSTITUTE(SUBSTITUTE(TRIM(A2643&amp;""),CHAR(160),"")," ",""),"년","")),"0000")=SUBSTITUTE(SUBSTITUTE(SUBSTITUTE(TRIM(A2643&amp;""),CHAR(160),"")," ",""),"년","")),SUBSTITUTE(SUBSTITUTE(SUBSTITUTE(TRIM(A2643&amp;""),CHAR(160),"")," ",""),"년",""),""),"")</f>
      </c>
      <c r="I2643" t="str">
        <f>SUBSTITUTE(SUBSTITUTE(SUBSTITUTE(SUBSTITUTE(SUBSTITUTE(TRIM(B2643&amp;""),CHAR(160),"")," ",""),"초등학교","초"),"중학교","중"),"고등학교","고")</f>
      </c>
    </row>
    <row r="2644" customFormat="false" ht="15" hidden="false" customHeight="false" outlineLevel="0" collapsed="false">
      <c r="A2644" s="8"/>
      <c r="B2644" s="8"/>
      <c r="C2644" s="8"/>
      <c r="D2644" s="8"/>
      <c r="E2644" s="8"/>
      <c r="F2644" t="str" s="15">
        <f aca="0">IF(B2644="","",IF(H2644="","확인필요(입력누락)",IF(SUMPRODUCT((실물목록!$P$2:$P$1001&lt;&gt;"")*ISNUMBER(SEARCH(실물목록!$P$2:$P$1001,I2644))*(실물목록!$Q$2:$Q$1001&lt;&gt;"")*ISNUMBER(SEARCH(실물목록!$Q$2:$Q$1001,I2644))*(실물목록!$R$2:$R$1001="")*(실물목록!$O$2:$O$1001&lt;&gt;"")*(실물목록!$O$2:$O$1001=H2644))&gt;0,"실물 있음",IF(SUMPRODUCT((실물목록!$P$2:$P$1001&lt;&gt;"")*ISNUMBER(SEARCH(실물목록!$P$2:$P$1001,I2644))*(실물목록!$R$2:$R$1001&lt;&gt;""))&gt;0,"확인필요(입력누락)",IF(SUMPRODUCT((실물목록!$P$2:$P$1001&lt;&gt;"")*ISNUMBER(SEARCH(실물목록!$P$2:$P$1001,I2644))*(실물목록!$Q$2:$Q$1001&lt;&gt;"")*ISNUMBER(SEARCH(실물목록!$Q$2:$Q$1001,I2644))*(실물목록!$R$2:$R$1001="")*(실물목록!$O$2:$O$1001&lt;&gt;""))&gt;0,"확인필요(연도다름)","실물 없음")))))</f>
      </c>
      <c r="G2644" t="n" s="16">
        <f aca="0">IF(B2644="","",SUMPRODUCT((실물목록!$P$2:$P$1001&lt;&gt;"")*ISNUMBER(SEARCH(실물목록!$P$2:$P$1001,I2644))*(실물목록!$Q$2:$Q$1001&lt;&gt;"")*ISNUMBER(SEARCH(실물목록!$Q$2:$Q$1001,I2644))*(실물목록!$R$2:$R$1001="")*(실물목록!$O$2:$O$1001&lt;&gt;"")*(실물목록!$O$2:$O$1001=H2644)))</f>
      </c>
      <c r="H2644" t="str">
        <f>IFERROR(IF(AND(LEN(SUBSTITUTE(SUBSTITUTE(SUBSTITUTE(TRIM(A2644&amp;""),CHAR(160),"")," ",""),"년",""))=4,VALUE(SUBSTITUTE(SUBSTITUTE(SUBSTITUTE(TRIM(A2644&amp;""),CHAR(160),"")," ",""),"년",""))&gt;=1900,VALUE(SUBSTITUTE(SUBSTITUTE(SUBSTITUTE(TRIM(A2644&amp;""),CHAR(160),"")," ",""),"년",""))&lt;=2099,TEXT(VALUE(SUBSTITUTE(SUBSTITUTE(SUBSTITUTE(TRIM(A2644&amp;""),CHAR(160),"")," ",""),"년","")),"0000")=SUBSTITUTE(SUBSTITUTE(SUBSTITUTE(TRIM(A2644&amp;""),CHAR(160),"")," ",""),"년","")),SUBSTITUTE(SUBSTITUTE(SUBSTITUTE(TRIM(A2644&amp;""),CHAR(160),"")," ",""),"년",""),""),"")</f>
      </c>
      <c r="I2644" t="str">
        <f>SUBSTITUTE(SUBSTITUTE(SUBSTITUTE(SUBSTITUTE(SUBSTITUTE(TRIM(B2644&amp;""),CHAR(160),"")," ",""),"초등학교","초"),"중학교","중"),"고등학교","고")</f>
      </c>
    </row>
    <row r="2645" customFormat="false" ht="15" hidden="false" customHeight="false" outlineLevel="0" collapsed="false">
      <c r="A2645" s="8"/>
      <c r="B2645" s="8"/>
      <c r="C2645" s="8"/>
      <c r="D2645" s="8"/>
      <c r="E2645" s="8"/>
      <c r="F2645" t="str" s="15">
        <f aca="0">IF(B2645="","",IF(H2645="","확인필요(입력누락)",IF(SUMPRODUCT((실물목록!$P$2:$P$1001&lt;&gt;"")*ISNUMBER(SEARCH(실물목록!$P$2:$P$1001,I2645))*(실물목록!$Q$2:$Q$1001&lt;&gt;"")*ISNUMBER(SEARCH(실물목록!$Q$2:$Q$1001,I2645))*(실물목록!$R$2:$R$1001="")*(실물목록!$O$2:$O$1001&lt;&gt;"")*(실물목록!$O$2:$O$1001=H2645))&gt;0,"실물 있음",IF(SUMPRODUCT((실물목록!$P$2:$P$1001&lt;&gt;"")*ISNUMBER(SEARCH(실물목록!$P$2:$P$1001,I2645))*(실물목록!$R$2:$R$1001&lt;&gt;""))&gt;0,"확인필요(입력누락)",IF(SUMPRODUCT((실물목록!$P$2:$P$1001&lt;&gt;"")*ISNUMBER(SEARCH(실물목록!$P$2:$P$1001,I2645))*(실물목록!$Q$2:$Q$1001&lt;&gt;"")*ISNUMBER(SEARCH(실물목록!$Q$2:$Q$1001,I2645))*(실물목록!$R$2:$R$1001="")*(실물목록!$O$2:$O$1001&lt;&gt;""))&gt;0,"확인필요(연도다름)","실물 없음")))))</f>
      </c>
      <c r="G2645" t="n" s="16">
        <f aca="0">IF(B2645="","",SUMPRODUCT((실물목록!$P$2:$P$1001&lt;&gt;"")*ISNUMBER(SEARCH(실물목록!$P$2:$P$1001,I2645))*(실물목록!$Q$2:$Q$1001&lt;&gt;"")*ISNUMBER(SEARCH(실물목록!$Q$2:$Q$1001,I2645))*(실물목록!$R$2:$R$1001="")*(실물목록!$O$2:$O$1001&lt;&gt;"")*(실물목록!$O$2:$O$1001=H2645)))</f>
      </c>
      <c r="H2645" t="str">
        <f>IFERROR(IF(AND(LEN(SUBSTITUTE(SUBSTITUTE(SUBSTITUTE(TRIM(A2645&amp;""),CHAR(160),"")," ",""),"년",""))=4,VALUE(SUBSTITUTE(SUBSTITUTE(SUBSTITUTE(TRIM(A2645&amp;""),CHAR(160),"")," ",""),"년",""))&gt;=1900,VALUE(SUBSTITUTE(SUBSTITUTE(SUBSTITUTE(TRIM(A2645&amp;""),CHAR(160),"")," ",""),"년",""))&lt;=2099,TEXT(VALUE(SUBSTITUTE(SUBSTITUTE(SUBSTITUTE(TRIM(A2645&amp;""),CHAR(160),"")," ",""),"년","")),"0000")=SUBSTITUTE(SUBSTITUTE(SUBSTITUTE(TRIM(A2645&amp;""),CHAR(160),"")," ",""),"년","")),SUBSTITUTE(SUBSTITUTE(SUBSTITUTE(TRIM(A2645&amp;""),CHAR(160),"")," ",""),"년",""),""),"")</f>
      </c>
      <c r="I2645" t="str">
        <f>SUBSTITUTE(SUBSTITUTE(SUBSTITUTE(SUBSTITUTE(SUBSTITUTE(TRIM(B2645&amp;""),CHAR(160),"")," ",""),"초등학교","초"),"중학교","중"),"고등학교","고")</f>
      </c>
    </row>
    <row r="2646" customFormat="false" ht="15" hidden="false" customHeight="false" outlineLevel="0" collapsed="false">
      <c r="A2646" s="8"/>
      <c r="B2646" s="8"/>
      <c r="C2646" s="8"/>
      <c r="D2646" s="8"/>
      <c r="E2646" s="8"/>
      <c r="F2646" t="str" s="15">
        <f aca="0">IF(B2646="","",IF(H2646="","확인필요(입력누락)",IF(SUMPRODUCT((실물목록!$P$2:$P$1001&lt;&gt;"")*ISNUMBER(SEARCH(실물목록!$P$2:$P$1001,I2646))*(실물목록!$Q$2:$Q$1001&lt;&gt;"")*ISNUMBER(SEARCH(실물목록!$Q$2:$Q$1001,I2646))*(실물목록!$R$2:$R$1001="")*(실물목록!$O$2:$O$1001&lt;&gt;"")*(실물목록!$O$2:$O$1001=H2646))&gt;0,"실물 있음",IF(SUMPRODUCT((실물목록!$P$2:$P$1001&lt;&gt;"")*ISNUMBER(SEARCH(실물목록!$P$2:$P$1001,I2646))*(실물목록!$R$2:$R$1001&lt;&gt;""))&gt;0,"확인필요(입력누락)",IF(SUMPRODUCT((실물목록!$P$2:$P$1001&lt;&gt;"")*ISNUMBER(SEARCH(실물목록!$P$2:$P$1001,I2646))*(실물목록!$Q$2:$Q$1001&lt;&gt;"")*ISNUMBER(SEARCH(실물목록!$Q$2:$Q$1001,I2646))*(실물목록!$R$2:$R$1001="")*(실물목록!$O$2:$O$1001&lt;&gt;""))&gt;0,"확인필요(연도다름)","실물 없음")))))</f>
      </c>
      <c r="G2646" t="n" s="16">
        <f aca="0">IF(B2646="","",SUMPRODUCT((실물목록!$P$2:$P$1001&lt;&gt;"")*ISNUMBER(SEARCH(실물목록!$P$2:$P$1001,I2646))*(실물목록!$Q$2:$Q$1001&lt;&gt;"")*ISNUMBER(SEARCH(실물목록!$Q$2:$Q$1001,I2646))*(실물목록!$R$2:$R$1001="")*(실물목록!$O$2:$O$1001&lt;&gt;"")*(실물목록!$O$2:$O$1001=H2646)))</f>
      </c>
      <c r="H2646" t="str">
        <f>IFERROR(IF(AND(LEN(SUBSTITUTE(SUBSTITUTE(SUBSTITUTE(TRIM(A2646&amp;""),CHAR(160),"")," ",""),"년",""))=4,VALUE(SUBSTITUTE(SUBSTITUTE(SUBSTITUTE(TRIM(A2646&amp;""),CHAR(160),"")," ",""),"년",""))&gt;=1900,VALUE(SUBSTITUTE(SUBSTITUTE(SUBSTITUTE(TRIM(A2646&amp;""),CHAR(160),"")," ",""),"년",""))&lt;=2099,TEXT(VALUE(SUBSTITUTE(SUBSTITUTE(SUBSTITUTE(TRIM(A2646&amp;""),CHAR(160),"")," ",""),"년","")),"0000")=SUBSTITUTE(SUBSTITUTE(SUBSTITUTE(TRIM(A2646&amp;""),CHAR(160),"")," ",""),"년","")),SUBSTITUTE(SUBSTITUTE(SUBSTITUTE(TRIM(A2646&amp;""),CHAR(160),"")," ",""),"년",""),""),"")</f>
      </c>
      <c r="I2646" t="str">
        <f>SUBSTITUTE(SUBSTITUTE(SUBSTITUTE(SUBSTITUTE(SUBSTITUTE(TRIM(B2646&amp;""),CHAR(160),"")," ",""),"초등학교","초"),"중학교","중"),"고등학교","고")</f>
      </c>
    </row>
    <row r="2647" customFormat="false" ht="15" hidden="false" customHeight="false" outlineLevel="0" collapsed="false">
      <c r="A2647" s="8"/>
      <c r="B2647" s="8"/>
      <c r="C2647" s="8"/>
      <c r="D2647" s="8"/>
      <c r="E2647" s="8"/>
      <c r="F2647" t="str" s="15">
        <f aca="0">IF(B2647="","",IF(H2647="","확인필요(입력누락)",IF(SUMPRODUCT((실물목록!$P$2:$P$1001&lt;&gt;"")*ISNUMBER(SEARCH(실물목록!$P$2:$P$1001,I2647))*(실물목록!$Q$2:$Q$1001&lt;&gt;"")*ISNUMBER(SEARCH(실물목록!$Q$2:$Q$1001,I2647))*(실물목록!$R$2:$R$1001="")*(실물목록!$O$2:$O$1001&lt;&gt;"")*(실물목록!$O$2:$O$1001=H2647))&gt;0,"실물 있음",IF(SUMPRODUCT((실물목록!$P$2:$P$1001&lt;&gt;"")*ISNUMBER(SEARCH(실물목록!$P$2:$P$1001,I2647))*(실물목록!$R$2:$R$1001&lt;&gt;""))&gt;0,"확인필요(입력누락)",IF(SUMPRODUCT((실물목록!$P$2:$P$1001&lt;&gt;"")*ISNUMBER(SEARCH(실물목록!$P$2:$P$1001,I2647))*(실물목록!$Q$2:$Q$1001&lt;&gt;"")*ISNUMBER(SEARCH(실물목록!$Q$2:$Q$1001,I2647))*(실물목록!$R$2:$R$1001="")*(실물목록!$O$2:$O$1001&lt;&gt;""))&gt;0,"확인필요(연도다름)","실물 없음")))))</f>
      </c>
      <c r="G2647" t="n" s="16">
        <f aca="0">IF(B2647="","",SUMPRODUCT((실물목록!$P$2:$P$1001&lt;&gt;"")*ISNUMBER(SEARCH(실물목록!$P$2:$P$1001,I2647))*(실물목록!$Q$2:$Q$1001&lt;&gt;"")*ISNUMBER(SEARCH(실물목록!$Q$2:$Q$1001,I2647))*(실물목록!$R$2:$R$1001="")*(실물목록!$O$2:$O$1001&lt;&gt;"")*(실물목록!$O$2:$O$1001=H2647)))</f>
      </c>
      <c r="H2647" t="str">
        <f>IFERROR(IF(AND(LEN(SUBSTITUTE(SUBSTITUTE(SUBSTITUTE(TRIM(A2647&amp;""),CHAR(160),"")," ",""),"년",""))=4,VALUE(SUBSTITUTE(SUBSTITUTE(SUBSTITUTE(TRIM(A2647&amp;""),CHAR(160),"")," ",""),"년",""))&gt;=1900,VALUE(SUBSTITUTE(SUBSTITUTE(SUBSTITUTE(TRIM(A2647&amp;""),CHAR(160),"")," ",""),"년",""))&lt;=2099,TEXT(VALUE(SUBSTITUTE(SUBSTITUTE(SUBSTITUTE(TRIM(A2647&amp;""),CHAR(160),"")," ",""),"년","")),"0000")=SUBSTITUTE(SUBSTITUTE(SUBSTITUTE(TRIM(A2647&amp;""),CHAR(160),"")," ",""),"년","")),SUBSTITUTE(SUBSTITUTE(SUBSTITUTE(TRIM(A2647&amp;""),CHAR(160),"")," ",""),"년",""),""),"")</f>
      </c>
      <c r="I2647" t="str">
        <f>SUBSTITUTE(SUBSTITUTE(SUBSTITUTE(SUBSTITUTE(SUBSTITUTE(TRIM(B2647&amp;""),CHAR(160),"")," ",""),"초등학교","초"),"중학교","중"),"고등학교","고")</f>
      </c>
    </row>
    <row r="2648" customFormat="false" ht="15" hidden="false" customHeight="false" outlineLevel="0" collapsed="false">
      <c r="A2648" s="8"/>
      <c r="B2648" s="8"/>
      <c r="C2648" s="8"/>
      <c r="D2648" s="8"/>
      <c r="E2648" s="8"/>
      <c r="F2648" t="str" s="15">
        <f aca="0">IF(B2648="","",IF(H2648="","확인필요(입력누락)",IF(SUMPRODUCT((실물목록!$P$2:$P$1001&lt;&gt;"")*ISNUMBER(SEARCH(실물목록!$P$2:$P$1001,I2648))*(실물목록!$Q$2:$Q$1001&lt;&gt;"")*ISNUMBER(SEARCH(실물목록!$Q$2:$Q$1001,I2648))*(실물목록!$R$2:$R$1001="")*(실물목록!$O$2:$O$1001&lt;&gt;"")*(실물목록!$O$2:$O$1001=H2648))&gt;0,"실물 있음",IF(SUMPRODUCT((실물목록!$P$2:$P$1001&lt;&gt;"")*ISNUMBER(SEARCH(실물목록!$P$2:$P$1001,I2648))*(실물목록!$R$2:$R$1001&lt;&gt;""))&gt;0,"확인필요(입력누락)",IF(SUMPRODUCT((실물목록!$P$2:$P$1001&lt;&gt;"")*ISNUMBER(SEARCH(실물목록!$P$2:$P$1001,I2648))*(실물목록!$Q$2:$Q$1001&lt;&gt;"")*ISNUMBER(SEARCH(실물목록!$Q$2:$Q$1001,I2648))*(실물목록!$R$2:$R$1001="")*(실물목록!$O$2:$O$1001&lt;&gt;""))&gt;0,"확인필요(연도다름)","실물 없음")))))</f>
      </c>
      <c r="G2648" t="n" s="16">
        <f aca="0">IF(B2648="","",SUMPRODUCT((실물목록!$P$2:$P$1001&lt;&gt;"")*ISNUMBER(SEARCH(실물목록!$P$2:$P$1001,I2648))*(실물목록!$Q$2:$Q$1001&lt;&gt;"")*ISNUMBER(SEARCH(실물목록!$Q$2:$Q$1001,I2648))*(실물목록!$R$2:$R$1001="")*(실물목록!$O$2:$O$1001&lt;&gt;"")*(실물목록!$O$2:$O$1001=H2648)))</f>
      </c>
      <c r="H2648" t="str">
        <f>IFERROR(IF(AND(LEN(SUBSTITUTE(SUBSTITUTE(SUBSTITUTE(TRIM(A2648&amp;""),CHAR(160),"")," ",""),"년",""))=4,VALUE(SUBSTITUTE(SUBSTITUTE(SUBSTITUTE(TRIM(A2648&amp;""),CHAR(160),"")," ",""),"년",""))&gt;=1900,VALUE(SUBSTITUTE(SUBSTITUTE(SUBSTITUTE(TRIM(A2648&amp;""),CHAR(160),"")," ",""),"년",""))&lt;=2099,TEXT(VALUE(SUBSTITUTE(SUBSTITUTE(SUBSTITUTE(TRIM(A2648&amp;""),CHAR(160),"")," ",""),"년","")),"0000")=SUBSTITUTE(SUBSTITUTE(SUBSTITUTE(TRIM(A2648&amp;""),CHAR(160),"")," ",""),"년","")),SUBSTITUTE(SUBSTITUTE(SUBSTITUTE(TRIM(A2648&amp;""),CHAR(160),"")," ",""),"년",""),""),"")</f>
      </c>
      <c r="I2648" t="str">
        <f>SUBSTITUTE(SUBSTITUTE(SUBSTITUTE(SUBSTITUTE(SUBSTITUTE(TRIM(B2648&amp;""),CHAR(160),"")," ",""),"초등학교","초"),"중학교","중"),"고등학교","고")</f>
      </c>
    </row>
    <row r="2649" customFormat="false" ht="15" hidden="false" customHeight="false" outlineLevel="0" collapsed="false">
      <c r="A2649" s="8"/>
      <c r="B2649" s="8"/>
      <c r="C2649" s="8"/>
      <c r="D2649" s="8"/>
      <c r="E2649" s="8"/>
      <c r="F2649" t="str" s="15">
        <f aca="0">IF(B2649="","",IF(H2649="","확인필요(입력누락)",IF(SUMPRODUCT((실물목록!$P$2:$P$1001&lt;&gt;"")*ISNUMBER(SEARCH(실물목록!$P$2:$P$1001,I2649))*(실물목록!$Q$2:$Q$1001&lt;&gt;"")*ISNUMBER(SEARCH(실물목록!$Q$2:$Q$1001,I2649))*(실물목록!$R$2:$R$1001="")*(실물목록!$O$2:$O$1001&lt;&gt;"")*(실물목록!$O$2:$O$1001=H2649))&gt;0,"실물 있음",IF(SUMPRODUCT((실물목록!$P$2:$P$1001&lt;&gt;"")*ISNUMBER(SEARCH(실물목록!$P$2:$P$1001,I2649))*(실물목록!$R$2:$R$1001&lt;&gt;""))&gt;0,"확인필요(입력누락)",IF(SUMPRODUCT((실물목록!$P$2:$P$1001&lt;&gt;"")*ISNUMBER(SEARCH(실물목록!$P$2:$P$1001,I2649))*(실물목록!$Q$2:$Q$1001&lt;&gt;"")*ISNUMBER(SEARCH(실물목록!$Q$2:$Q$1001,I2649))*(실물목록!$R$2:$R$1001="")*(실물목록!$O$2:$O$1001&lt;&gt;""))&gt;0,"확인필요(연도다름)","실물 없음")))))</f>
      </c>
      <c r="G2649" t="n" s="16">
        <f aca="0">IF(B2649="","",SUMPRODUCT((실물목록!$P$2:$P$1001&lt;&gt;"")*ISNUMBER(SEARCH(실물목록!$P$2:$P$1001,I2649))*(실물목록!$Q$2:$Q$1001&lt;&gt;"")*ISNUMBER(SEARCH(실물목록!$Q$2:$Q$1001,I2649))*(실물목록!$R$2:$R$1001="")*(실물목록!$O$2:$O$1001&lt;&gt;"")*(실물목록!$O$2:$O$1001=H2649)))</f>
      </c>
      <c r="H2649" t="str">
        <f>IFERROR(IF(AND(LEN(SUBSTITUTE(SUBSTITUTE(SUBSTITUTE(TRIM(A2649&amp;""),CHAR(160),"")," ",""),"년",""))=4,VALUE(SUBSTITUTE(SUBSTITUTE(SUBSTITUTE(TRIM(A2649&amp;""),CHAR(160),"")," ",""),"년",""))&gt;=1900,VALUE(SUBSTITUTE(SUBSTITUTE(SUBSTITUTE(TRIM(A2649&amp;""),CHAR(160),"")," ",""),"년",""))&lt;=2099,TEXT(VALUE(SUBSTITUTE(SUBSTITUTE(SUBSTITUTE(TRIM(A2649&amp;""),CHAR(160),"")," ",""),"년","")),"0000")=SUBSTITUTE(SUBSTITUTE(SUBSTITUTE(TRIM(A2649&amp;""),CHAR(160),"")," ",""),"년","")),SUBSTITUTE(SUBSTITUTE(SUBSTITUTE(TRIM(A2649&amp;""),CHAR(160),"")," ",""),"년",""),""),"")</f>
      </c>
      <c r="I2649" t="str">
        <f>SUBSTITUTE(SUBSTITUTE(SUBSTITUTE(SUBSTITUTE(SUBSTITUTE(TRIM(B2649&amp;""),CHAR(160),"")," ",""),"초등학교","초"),"중학교","중"),"고등학교","고")</f>
      </c>
    </row>
    <row r="2650" customFormat="false" ht="15" hidden="false" customHeight="false" outlineLevel="0" collapsed="false">
      <c r="A2650" s="8"/>
      <c r="B2650" s="8"/>
      <c r="C2650" s="8"/>
      <c r="D2650" s="8"/>
      <c r="E2650" s="8"/>
      <c r="F2650" t="str" s="15">
        <f aca="0">IF(B2650="","",IF(H2650="","확인필요(입력누락)",IF(SUMPRODUCT((실물목록!$P$2:$P$1001&lt;&gt;"")*ISNUMBER(SEARCH(실물목록!$P$2:$P$1001,I2650))*(실물목록!$Q$2:$Q$1001&lt;&gt;"")*ISNUMBER(SEARCH(실물목록!$Q$2:$Q$1001,I2650))*(실물목록!$R$2:$R$1001="")*(실물목록!$O$2:$O$1001&lt;&gt;"")*(실물목록!$O$2:$O$1001=H2650))&gt;0,"실물 있음",IF(SUMPRODUCT((실물목록!$P$2:$P$1001&lt;&gt;"")*ISNUMBER(SEARCH(실물목록!$P$2:$P$1001,I2650))*(실물목록!$R$2:$R$1001&lt;&gt;""))&gt;0,"확인필요(입력누락)",IF(SUMPRODUCT((실물목록!$P$2:$P$1001&lt;&gt;"")*ISNUMBER(SEARCH(실물목록!$P$2:$P$1001,I2650))*(실물목록!$Q$2:$Q$1001&lt;&gt;"")*ISNUMBER(SEARCH(실물목록!$Q$2:$Q$1001,I2650))*(실물목록!$R$2:$R$1001="")*(실물목록!$O$2:$O$1001&lt;&gt;""))&gt;0,"확인필요(연도다름)","실물 없음")))))</f>
      </c>
      <c r="G2650" t="n" s="16">
        <f aca="0">IF(B2650="","",SUMPRODUCT((실물목록!$P$2:$P$1001&lt;&gt;"")*ISNUMBER(SEARCH(실물목록!$P$2:$P$1001,I2650))*(실물목록!$Q$2:$Q$1001&lt;&gt;"")*ISNUMBER(SEARCH(실물목록!$Q$2:$Q$1001,I2650))*(실물목록!$R$2:$R$1001="")*(실물목록!$O$2:$O$1001&lt;&gt;"")*(실물목록!$O$2:$O$1001=H2650)))</f>
      </c>
      <c r="H2650" t="str">
        <f>IFERROR(IF(AND(LEN(SUBSTITUTE(SUBSTITUTE(SUBSTITUTE(TRIM(A2650&amp;""),CHAR(160),"")," ",""),"년",""))=4,VALUE(SUBSTITUTE(SUBSTITUTE(SUBSTITUTE(TRIM(A2650&amp;""),CHAR(160),"")," ",""),"년",""))&gt;=1900,VALUE(SUBSTITUTE(SUBSTITUTE(SUBSTITUTE(TRIM(A2650&amp;""),CHAR(160),"")," ",""),"년",""))&lt;=2099,TEXT(VALUE(SUBSTITUTE(SUBSTITUTE(SUBSTITUTE(TRIM(A2650&amp;""),CHAR(160),"")," ",""),"년","")),"0000")=SUBSTITUTE(SUBSTITUTE(SUBSTITUTE(TRIM(A2650&amp;""),CHAR(160),"")," ",""),"년","")),SUBSTITUTE(SUBSTITUTE(SUBSTITUTE(TRIM(A2650&amp;""),CHAR(160),"")," ",""),"년",""),""),"")</f>
      </c>
      <c r="I2650" t="str">
        <f>SUBSTITUTE(SUBSTITUTE(SUBSTITUTE(SUBSTITUTE(SUBSTITUTE(TRIM(B2650&amp;""),CHAR(160),"")," ",""),"초등학교","초"),"중학교","중"),"고등학교","고")</f>
      </c>
    </row>
    <row r="2651" customFormat="false" ht="15" hidden="false" customHeight="false" outlineLevel="0" collapsed="false">
      <c r="A2651" s="8"/>
      <c r="B2651" s="8"/>
      <c r="C2651" s="8"/>
      <c r="D2651" s="8"/>
      <c r="E2651" s="8"/>
      <c r="F2651" t="str" s="15">
        <f aca="0">IF(B2651="","",IF(H2651="","확인필요(입력누락)",IF(SUMPRODUCT((실물목록!$P$2:$P$1001&lt;&gt;"")*ISNUMBER(SEARCH(실물목록!$P$2:$P$1001,I2651))*(실물목록!$Q$2:$Q$1001&lt;&gt;"")*ISNUMBER(SEARCH(실물목록!$Q$2:$Q$1001,I2651))*(실물목록!$R$2:$R$1001="")*(실물목록!$O$2:$O$1001&lt;&gt;"")*(실물목록!$O$2:$O$1001=H2651))&gt;0,"실물 있음",IF(SUMPRODUCT((실물목록!$P$2:$P$1001&lt;&gt;"")*ISNUMBER(SEARCH(실물목록!$P$2:$P$1001,I2651))*(실물목록!$R$2:$R$1001&lt;&gt;""))&gt;0,"확인필요(입력누락)",IF(SUMPRODUCT((실물목록!$P$2:$P$1001&lt;&gt;"")*ISNUMBER(SEARCH(실물목록!$P$2:$P$1001,I2651))*(실물목록!$Q$2:$Q$1001&lt;&gt;"")*ISNUMBER(SEARCH(실물목록!$Q$2:$Q$1001,I2651))*(실물목록!$R$2:$R$1001="")*(실물목록!$O$2:$O$1001&lt;&gt;""))&gt;0,"확인필요(연도다름)","실물 없음")))))</f>
      </c>
      <c r="G2651" t="n" s="16">
        <f aca="0">IF(B2651="","",SUMPRODUCT((실물목록!$P$2:$P$1001&lt;&gt;"")*ISNUMBER(SEARCH(실물목록!$P$2:$P$1001,I2651))*(실물목록!$Q$2:$Q$1001&lt;&gt;"")*ISNUMBER(SEARCH(실물목록!$Q$2:$Q$1001,I2651))*(실물목록!$R$2:$R$1001="")*(실물목록!$O$2:$O$1001&lt;&gt;"")*(실물목록!$O$2:$O$1001=H2651)))</f>
      </c>
      <c r="H2651" t="str">
        <f>IFERROR(IF(AND(LEN(SUBSTITUTE(SUBSTITUTE(SUBSTITUTE(TRIM(A2651&amp;""),CHAR(160),"")," ",""),"년",""))=4,VALUE(SUBSTITUTE(SUBSTITUTE(SUBSTITUTE(TRIM(A2651&amp;""),CHAR(160),"")," ",""),"년",""))&gt;=1900,VALUE(SUBSTITUTE(SUBSTITUTE(SUBSTITUTE(TRIM(A2651&amp;""),CHAR(160),"")," ",""),"년",""))&lt;=2099,TEXT(VALUE(SUBSTITUTE(SUBSTITUTE(SUBSTITUTE(TRIM(A2651&amp;""),CHAR(160),"")," ",""),"년","")),"0000")=SUBSTITUTE(SUBSTITUTE(SUBSTITUTE(TRIM(A2651&amp;""),CHAR(160),"")," ",""),"년","")),SUBSTITUTE(SUBSTITUTE(SUBSTITUTE(TRIM(A2651&amp;""),CHAR(160),"")," ",""),"년",""),""),"")</f>
      </c>
      <c r="I2651" t="str">
        <f>SUBSTITUTE(SUBSTITUTE(SUBSTITUTE(SUBSTITUTE(SUBSTITUTE(TRIM(B2651&amp;""),CHAR(160),"")," ",""),"초등학교","초"),"중학교","중"),"고등학교","고")</f>
      </c>
    </row>
    <row r="2652" customFormat="false" ht="15" hidden="false" customHeight="false" outlineLevel="0" collapsed="false">
      <c r="A2652" s="8"/>
      <c r="B2652" s="8"/>
      <c r="C2652" s="8"/>
      <c r="D2652" s="8"/>
      <c r="E2652" s="8"/>
      <c r="F2652" t="str" s="15">
        <f aca="0">IF(B2652="","",IF(H2652="","확인필요(입력누락)",IF(SUMPRODUCT((실물목록!$P$2:$P$1001&lt;&gt;"")*ISNUMBER(SEARCH(실물목록!$P$2:$P$1001,I2652))*(실물목록!$Q$2:$Q$1001&lt;&gt;"")*ISNUMBER(SEARCH(실물목록!$Q$2:$Q$1001,I2652))*(실물목록!$R$2:$R$1001="")*(실물목록!$O$2:$O$1001&lt;&gt;"")*(실물목록!$O$2:$O$1001=H2652))&gt;0,"실물 있음",IF(SUMPRODUCT((실물목록!$P$2:$P$1001&lt;&gt;"")*ISNUMBER(SEARCH(실물목록!$P$2:$P$1001,I2652))*(실물목록!$R$2:$R$1001&lt;&gt;""))&gt;0,"확인필요(입력누락)",IF(SUMPRODUCT((실물목록!$P$2:$P$1001&lt;&gt;"")*ISNUMBER(SEARCH(실물목록!$P$2:$P$1001,I2652))*(실물목록!$Q$2:$Q$1001&lt;&gt;"")*ISNUMBER(SEARCH(실물목록!$Q$2:$Q$1001,I2652))*(실물목록!$R$2:$R$1001="")*(실물목록!$O$2:$O$1001&lt;&gt;""))&gt;0,"확인필요(연도다름)","실물 없음")))))</f>
      </c>
      <c r="G2652" t="n" s="16">
        <f aca="0">IF(B2652="","",SUMPRODUCT((실물목록!$P$2:$P$1001&lt;&gt;"")*ISNUMBER(SEARCH(실물목록!$P$2:$P$1001,I2652))*(실물목록!$Q$2:$Q$1001&lt;&gt;"")*ISNUMBER(SEARCH(실물목록!$Q$2:$Q$1001,I2652))*(실물목록!$R$2:$R$1001="")*(실물목록!$O$2:$O$1001&lt;&gt;"")*(실물목록!$O$2:$O$1001=H2652)))</f>
      </c>
      <c r="H2652" t="str">
        <f>IFERROR(IF(AND(LEN(SUBSTITUTE(SUBSTITUTE(SUBSTITUTE(TRIM(A2652&amp;""),CHAR(160),"")," ",""),"년",""))=4,VALUE(SUBSTITUTE(SUBSTITUTE(SUBSTITUTE(TRIM(A2652&amp;""),CHAR(160),"")," ",""),"년",""))&gt;=1900,VALUE(SUBSTITUTE(SUBSTITUTE(SUBSTITUTE(TRIM(A2652&amp;""),CHAR(160),"")," ",""),"년",""))&lt;=2099,TEXT(VALUE(SUBSTITUTE(SUBSTITUTE(SUBSTITUTE(TRIM(A2652&amp;""),CHAR(160),"")," ",""),"년","")),"0000")=SUBSTITUTE(SUBSTITUTE(SUBSTITUTE(TRIM(A2652&amp;""),CHAR(160),"")," ",""),"년","")),SUBSTITUTE(SUBSTITUTE(SUBSTITUTE(TRIM(A2652&amp;""),CHAR(160),"")," ",""),"년",""),""),"")</f>
      </c>
      <c r="I2652" t="str">
        <f>SUBSTITUTE(SUBSTITUTE(SUBSTITUTE(SUBSTITUTE(SUBSTITUTE(TRIM(B2652&amp;""),CHAR(160),"")," ",""),"초등학교","초"),"중학교","중"),"고등학교","고")</f>
      </c>
    </row>
    <row r="2653" customFormat="false" ht="15" hidden="false" customHeight="false" outlineLevel="0" collapsed="false">
      <c r="A2653" s="8"/>
      <c r="B2653" s="8"/>
      <c r="C2653" s="8"/>
      <c r="D2653" s="8"/>
      <c r="E2653" s="8"/>
      <c r="F2653" t="str" s="15">
        <f aca="0">IF(B2653="","",IF(H2653="","확인필요(입력누락)",IF(SUMPRODUCT((실물목록!$P$2:$P$1001&lt;&gt;"")*ISNUMBER(SEARCH(실물목록!$P$2:$P$1001,I2653))*(실물목록!$Q$2:$Q$1001&lt;&gt;"")*ISNUMBER(SEARCH(실물목록!$Q$2:$Q$1001,I2653))*(실물목록!$R$2:$R$1001="")*(실물목록!$O$2:$O$1001&lt;&gt;"")*(실물목록!$O$2:$O$1001=H2653))&gt;0,"실물 있음",IF(SUMPRODUCT((실물목록!$P$2:$P$1001&lt;&gt;"")*ISNUMBER(SEARCH(실물목록!$P$2:$P$1001,I2653))*(실물목록!$R$2:$R$1001&lt;&gt;""))&gt;0,"확인필요(입력누락)",IF(SUMPRODUCT((실물목록!$P$2:$P$1001&lt;&gt;"")*ISNUMBER(SEARCH(실물목록!$P$2:$P$1001,I2653))*(실물목록!$Q$2:$Q$1001&lt;&gt;"")*ISNUMBER(SEARCH(실물목록!$Q$2:$Q$1001,I2653))*(실물목록!$R$2:$R$1001="")*(실물목록!$O$2:$O$1001&lt;&gt;""))&gt;0,"확인필요(연도다름)","실물 없음")))))</f>
      </c>
      <c r="G2653" t="n" s="16">
        <f aca="0">IF(B2653="","",SUMPRODUCT((실물목록!$P$2:$P$1001&lt;&gt;"")*ISNUMBER(SEARCH(실물목록!$P$2:$P$1001,I2653))*(실물목록!$Q$2:$Q$1001&lt;&gt;"")*ISNUMBER(SEARCH(실물목록!$Q$2:$Q$1001,I2653))*(실물목록!$R$2:$R$1001="")*(실물목록!$O$2:$O$1001&lt;&gt;"")*(실물목록!$O$2:$O$1001=H2653)))</f>
      </c>
      <c r="H2653" t="str">
        <f>IFERROR(IF(AND(LEN(SUBSTITUTE(SUBSTITUTE(SUBSTITUTE(TRIM(A2653&amp;""),CHAR(160),"")," ",""),"년",""))=4,VALUE(SUBSTITUTE(SUBSTITUTE(SUBSTITUTE(TRIM(A2653&amp;""),CHAR(160),"")," ",""),"년",""))&gt;=1900,VALUE(SUBSTITUTE(SUBSTITUTE(SUBSTITUTE(TRIM(A2653&amp;""),CHAR(160),"")," ",""),"년",""))&lt;=2099,TEXT(VALUE(SUBSTITUTE(SUBSTITUTE(SUBSTITUTE(TRIM(A2653&amp;""),CHAR(160),"")," ",""),"년","")),"0000")=SUBSTITUTE(SUBSTITUTE(SUBSTITUTE(TRIM(A2653&amp;""),CHAR(160),"")," ",""),"년","")),SUBSTITUTE(SUBSTITUTE(SUBSTITUTE(TRIM(A2653&amp;""),CHAR(160),"")," ",""),"년",""),""),"")</f>
      </c>
      <c r="I2653" t="str">
        <f>SUBSTITUTE(SUBSTITUTE(SUBSTITUTE(SUBSTITUTE(SUBSTITUTE(TRIM(B2653&amp;""),CHAR(160),"")," ",""),"초등학교","초"),"중학교","중"),"고등학교","고")</f>
      </c>
    </row>
    <row r="2654" customFormat="false" ht="15" hidden="false" customHeight="false" outlineLevel="0" collapsed="false">
      <c r="A2654" s="8"/>
      <c r="B2654" s="8"/>
      <c r="C2654" s="8"/>
      <c r="D2654" s="8"/>
      <c r="E2654" s="8"/>
      <c r="F2654" t="str" s="15">
        <f aca="0">IF(B2654="","",IF(H2654="","확인필요(입력누락)",IF(SUMPRODUCT((실물목록!$P$2:$P$1001&lt;&gt;"")*ISNUMBER(SEARCH(실물목록!$P$2:$P$1001,I2654))*(실물목록!$Q$2:$Q$1001&lt;&gt;"")*ISNUMBER(SEARCH(실물목록!$Q$2:$Q$1001,I2654))*(실물목록!$R$2:$R$1001="")*(실물목록!$O$2:$O$1001&lt;&gt;"")*(실물목록!$O$2:$O$1001=H2654))&gt;0,"실물 있음",IF(SUMPRODUCT((실물목록!$P$2:$P$1001&lt;&gt;"")*ISNUMBER(SEARCH(실물목록!$P$2:$P$1001,I2654))*(실물목록!$R$2:$R$1001&lt;&gt;""))&gt;0,"확인필요(입력누락)",IF(SUMPRODUCT((실물목록!$P$2:$P$1001&lt;&gt;"")*ISNUMBER(SEARCH(실물목록!$P$2:$P$1001,I2654))*(실물목록!$Q$2:$Q$1001&lt;&gt;"")*ISNUMBER(SEARCH(실물목록!$Q$2:$Q$1001,I2654))*(실물목록!$R$2:$R$1001="")*(실물목록!$O$2:$O$1001&lt;&gt;""))&gt;0,"확인필요(연도다름)","실물 없음")))))</f>
      </c>
      <c r="G2654" t="n" s="16">
        <f aca="0">IF(B2654="","",SUMPRODUCT((실물목록!$P$2:$P$1001&lt;&gt;"")*ISNUMBER(SEARCH(실물목록!$P$2:$P$1001,I2654))*(실물목록!$Q$2:$Q$1001&lt;&gt;"")*ISNUMBER(SEARCH(실물목록!$Q$2:$Q$1001,I2654))*(실물목록!$R$2:$R$1001="")*(실물목록!$O$2:$O$1001&lt;&gt;"")*(실물목록!$O$2:$O$1001=H2654)))</f>
      </c>
      <c r="H2654" t="str">
        <f>IFERROR(IF(AND(LEN(SUBSTITUTE(SUBSTITUTE(SUBSTITUTE(TRIM(A2654&amp;""),CHAR(160),"")," ",""),"년",""))=4,VALUE(SUBSTITUTE(SUBSTITUTE(SUBSTITUTE(TRIM(A2654&amp;""),CHAR(160),"")," ",""),"년",""))&gt;=1900,VALUE(SUBSTITUTE(SUBSTITUTE(SUBSTITUTE(TRIM(A2654&amp;""),CHAR(160),"")," ",""),"년",""))&lt;=2099,TEXT(VALUE(SUBSTITUTE(SUBSTITUTE(SUBSTITUTE(TRIM(A2654&amp;""),CHAR(160),"")," ",""),"년","")),"0000")=SUBSTITUTE(SUBSTITUTE(SUBSTITUTE(TRIM(A2654&amp;""),CHAR(160),"")," ",""),"년","")),SUBSTITUTE(SUBSTITUTE(SUBSTITUTE(TRIM(A2654&amp;""),CHAR(160),"")," ",""),"년",""),""),"")</f>
      </c>
      <c r="I2654" t="str">
        <f>SUBSTITUTE(SUBSTITUTE(SUBSTITUTE(SUBSTITUTE(SUBSTITUTE(TRIM(B2654&amp;""),CHAR(160),"")," ",""),"초등학교","초"),"중학교","중"),"고등학교","고")</f>
      </c>
    </row>
    <row r="2655" customFormat="false" ht="15" hidden="false" customHeight="false" outlineLevel="0" collapsed="false">
      <c r="A2655" s="8"/>
      <c r="B2655" s="8"/>
      <c r="C2655" s="8"/>
      <c r="D2655" s="8"/>
      <c r="E2655" s="8"/>
      <c r="F2655" t="str" s="15">
        <f aca="0">IF(B2655="","",IF(H2655="","확인필요(입력누락)",IF(SUMPRODUCT((실물목록!$P$2:$P$1001&lt;&gt;"")*ISNUMBER(SEARCH(실물목록!$P$2:$P$1001,I2655))*(실물목록!$Q$2:$Q$1001&lt;&gt;"")*ISNUMBER(SEARCH(실물목록!$Q$2:$Q$1001,I2655))*(실물목록!$R$2:$R$1001="")*(실물목록!$O$2:$O$1001&lt;&gt;"")*(실물목록!$O$2:$O$1001=H2655))&gt;0,"실물 있음",IF(SUMPRODUCT((실물목록!$P$2:$P$1001&lt;&gt;"")*ISNUMBER(SEARCH(실물목록!$P$2:$P$1001,I2655))*(실물목록!$R$2:$R$1001&lt;&gt;""))&gt;0,"확인필요(입력누락)",IF(SUMPRODUCT((실물목록!$P$2:$P$1001&lt;&gt;"")*ISNUMBER(SEARCH(실물목록!$P$2:$P$1001,I2655))*(실물목록!$Q$2:$Q$1001&lt;&gt;"")*ISNUMBER(SEARCH(실물목록!$Q$2:$Q$1001,I2655))*(실물목록!$R$2:$R$1001="")*(실물목록!$O$2:$O$1001&lt;&gt;""))&gt;0,"확인필요(연도다름)","실물 없음")))))</f>
      </c>
      <c r="G2655" t="n" s="16">
        <f aca="0">IF(B2655="","",SUMPRODUCT((실물목록!$P$2:$P$1001&lt;&gt;"")*ISNUMBER(SEARCH(실물목록!$P$2:$P$1001,I2655))*(실물목록!$Q$2:$Q$1001&lt;&gt;"")*ISNUMBER(SEARCH(실물목록!$Q$2:$Q$1001,I2655))*(실물목록!$R$2:$R$1001="")*(실물목록!$O$2:$O$1001&lt;&gt;"")*(실물목록!$O$2:$O$1001=H2655)))</f>
      </c>
      <c r="H2655" t="str">
        <f>IFERROR(IF(AND(LEN(SUBSTITUTE(SUBSTITUTE(SUBSTITUTE(TRIM(A2655&amp;""),CHAR(160),"")," ",""),"년",""))=4,VALUE(SUBSTITUTE(SUBSTITUTE(SUBSTITUTE(TRIM(A2655&amp;""),CHAR(160),"")," ",""),"년",""))&gt;=1900,VALUE(SUBSTITUTE(SUBSTITUTE(SUBSTITUTE(TRIM(A2655&amp;""),CHAR(160),"")," ",""),"년",""))&lt;=2099,TEXT(VALUE(SUBSTITUTE(SUBSTITUTE(SUBSTITUTE(TRIM(A2655&amp;""),CHAR(160),"")," ",""),"년","")),"0000")=SUBSTITUTE(SUBSTITUTE(SUBSTITUTE(TRIM(A2655&amp;""),CHAR(160),"")," ",""),"년","")),SUBSTITUTE(SUBSTITUTE(SUBSTITUTE(TRIM(A2655&amp;""),CHAR(160),"")," ",""),"년",""),""),"")</f>
      </c>
      <c r="I2655" t="str">
        <f>SUBSTITUTE(SUBSTITUTE(SUBSTITUTE(SUBSTITUTE(SUBSTITUTE(TRIM(B2655&amp;""),CHAR(160),"")," ",""),"초등학교","초"),"중학교","중"),"고등학교","고")</f>
      </c>
    </row>
    <row r="2656" customFormat="false" ht="15" hidden="false" customHeight="false" outlineLevel="0" collapsed="false">
      <c r="A2656" s="8"/>
      <c r="B2656" s="8"/>
      <c r="C2656" s="8"/>
      <c r="D2656" s="8"/>
      <c r="E2656" s="8"/>
      <c r="F2656" t="str" s="15">
        <f aca="0">IF(B2656="","",IF(H2656="","확인필요(입력누락)",IF(SUMPRODUCT((실물목록!$P$2:$P$1001&lt;&gt;"")*ISNUMBER(SEARCH(실물목록!$P$2:$P$1001,I2656))*(실물목록!$Q$2:$Q$1001&lt;&gt;"")*ISNUMBER(SEARCH(실물목록!$Q$2:$Q$1001,I2656))*(실물목록!$R$2:$R$1001="")*(실물목록!$O$2:$O$1001&lt;&gt;"")*(실물목록!$O$2:$O$1001=H2656))&gt;0,"실물 있음",IF(SUMPRODUCT((실물목록!$P$2:$P$1001&lt;&gt;"")*ISNUMBER(SEARCH(실물목록!$P$2:$P$1001,I2656))*(실물목록!$R$2:$R$1001&lt;&gt;""))&gt;0,"확인필요(입력누락)",IF(SUMPRODUCT((실물목록!$P$2:$P$1001&lt;&gt;"")*ISNUMBER(SEARCH(실물목록!$P$2:$P$1001,I2656))*(실물목록!$Q$2:$Q$1001&lt;&gt;"")*ISNUMBER(SEARCH(실물목록!$Q$2:$Q$1001,I2656))*(실물목록!$R$2:$R$1001="")*(실물목록!$O$2:$O$1001&lt;&gt;""))&gt;0,"확인필요(연도다름)","실물 없음")))))</f>
      </c>
      <c r="G2656" t="n" s="16">
        <f aca="0">IF(B2656="","",SUMPRODUCT((실물목록!$P$2:$P$1001&lt;&gt;"")*ISNUMBER(SEARCH(실물목록!$P$2:$P$1001,I2656))*(실물목록!$Q$2:$Q$1001&lt;&gt;"")*ISNUMBER(SEARCH(실물목록!$Q$2:$Q$1001,I2656))*(실물목록!$R$2:$R$1001="")*(실물목록!$O$2:$O$1001&lt;&gt;"")*(실물목록!$O$2:$O$1001=H2656)))</f>
      </c>
      <c r="H2656" t="str">
        <f>IFERROR(IF(AND(LEN(SUBSTITUTE(SUBSTITUTE(SUBSTITUTE(TRIM(A2656&amp;""),CHAR(160),"")," ",""),"년",""))=4,VALUE(SUBSTITUTE(SUBSTITUTE(SUBSTITUTE(TRIM(A2656&amp;""),CHAR(160),"")," ",""),"년",""))&gt;=1900,VALUE(SUBSTITUTE(SUBSTITUTE(SUBSTITUTE(TRIM(A2656&amp;""),CHAR(160),"")," ",""),"년",""))&lt;=2099,TEXT(VALUE(SUBSTITUTE(SUBSTITUTE(SUBSTITUTE(TRIM(A2656&amp;""),CHAR(160),"")," ",""),"년","")),"0000")=SUBSTITUTE(SUBSTITUTE(SUBSTITUTE(TRIM(A2656&amp;""),CHAR(160),"")," ",""),"년","")),SUBSTITUTE(SUBSTITUTE(SUBSTITUTE(TRIM(A2656&amp;""),CHAR(160),"")," ",""),"년",""),""),"")</f>
      </c>
      <c r="I2656" t="str">
        <f>SUBSTITUTE(SUBSTITUTE(SUBSTITUTE(SUBSTITUTE(SUBSTITUTE(TRIM(B2656&amp;""),CHAR(160),"")," ",""),"초등학교","초"),"중학교","중"),"고등학교","고")</f>
      </c>
    </row>
    <row r="2657" customFormat="false" ht="15" hidden="false" customHeight="false" outlineLevel="0" collapsed="false">
      <c r="A2657" s="8"/>
      <c r="B2657" s="8"/>
      <c r="C2657" s="8"/>
      <c r="D2657" s="8"/>
      <c r="E2657" s="8"/>
      <c r="F2657" t="str" s="15">
        <f aca="0">IF(B2657="","",IF(H2657="","확인필요(입력누락)",IF(SUMPRODUCT((실물목록!$P$2:$P$1001&lt;&gt;"")*ISNUMBER(SEARCH(실물목록!$P$2:$P$1001,I2657))*(실물목록!$Q$2:$Q$1001&lt;&gt;"")*ISNUMBER(SEARCH(실물목록!$Q$2:$Q$1001,I2657))*(실물목록!$R$2:$R$1001="")*(실물목록!$O$2:$O$1001&lt;&gt;"")*(실물목록!$O$2:$O$1001=H2657))&gt;0,"실물 있음",IF(SUMPRODUCT((실물목록!$P$2:$P$1001&lt;&gt;"")*ISNUMBER(SEARCH(실물목록!$P$2:$P$1001,I2657))*(실물목록!$R$2:$R$1001&lt;&gt;""))&gt;0,"확인필요(입력누락)",IF(SUMPRODUCT((실물목록!$P$2:$P$1001&lt;&gt;"")*ISNUMBER(SEARCH(실물목록!$P$2:$P$1001,I2657))*(실물목록!$Q$2:$Q$1001&lt;&gt;"")*ISNUMBER(SEARCH(실물목록!$Q$2:$Q$1001,I2657))*(실물목록!$R$2:$R$1001="")*(실물목록!$O$2:$O$1001&lt;&gt;""))&gt;0,"확인필요(연도다름)","실물 없음")))))</f>
      </c>
      <c r="G2657" t="n" s="16">
        <f aca="0">IF(B2657="","",SUMPRODUCT((실물목록!$P$2:$P$1001&lt;&gt;"")*ISNUMBER(SEARCH(실물목록!$P$2:$P$1001,I2657))*(실물목록!$Q$2:$Q$1001&lt;&gt;"")*ISNUMBER(SEARCH(실물목록!$Q$2:$Q$1001,I2657))*(실물목록!$R$2:$R$1001="")*(실물목록!$O$2:$O$1001&lt;&gt;"")*(실물목록!$O$2:$O$1001=H2657)))</f>
      </c>
      <c r="H2657" t="str">
        <f>IFERROR(IF(AND(LEN(SUBSTITUTE(SUBSTITUTE(SUBSTITUTE(TRIM(A2657&amp;""),CHAR(160),"")," ",""),"년",""))=4,VALUE(SUBSTITUTE(SUBSTITUTE(SUBSTITUTE(TRIM(A2657&amp;""),CHAR(160),"")," ",""),"년",""))&gt;=1900,VALUE(SUBSTITUTE(SUBSTITUTE(SUBSTITUTE(TRIM(A2657&amp;""),CHAR(160),"")," ",""),"년",""))&lt;=2099,TEXT(VALUE(SUBSTITUTE(SUBSTITUTE(SUBSTITUTE(TRIM(A2657&amp;""),CHAR(160),"")," ",""),"년","")),"0000")=SUBSTITUTE(SUBSTITUTE(SUBSTITUTE(TRIM(A2657&amp;""),CHAR(160),"")," ",""),"년","")),SUBSTITUTE(SUBSTITUTE(SUBSTITUTE(TRIM(A2657&amp;""),CHAR(160),"")," ",""),"년",""),""),"")</f>
      </c>
      <c r="I2657" t="str">
        <f>SUBSTITUTE(SUBSTITUTE(SUBSTITUTE(SUBSTITUTE(SUBSTITUTE(TRIM(B2657&amp;""),CHAR(160),"")," ",""),"초등학교","초"),"중학교","중"),"고등학교","고")</f>
      </c>
    </row>
    <row r="2658" customFormat="false" ht="15" hidden="false" customHeight="false" outlineLevel="0" collapsed="false">
      <c r="A2658" s="8"/>
      <c r="B2658" s="8"/>
      <c r="C2658" s="8"/>
      <c r="D2658" s="8"/>
      <c r="E2658" s="8"/>
      <c r="F2658" t="str" s="15">
        <f aca="0">IF(B2658="","",IF(H2658="","확인필요(입력누락)",IF(SUMPRODUCT((실물목록!$P$2:$P$1001&lt;&gt;"")*ISNUMBER(SEARCH(실물목록!$P$2:$P$1001,I2658))*(실물목록!$Q$2:$Q$1001&lt;&gt;"")*ISNUMBER(SEARCH(실물목록!$Q$2:$Q$1001,I2658))*(실물목록!$R$2:$R$1001="")*(실물목록!$O$2:$O$1001&lt;&gt;"")*(실물목록!$O$2:$O$1001=H2658))&gt;0,"실물 있음",IF(SUMPRODUCT((실물목록!$P$2:$P$1001&lt;&gt;"")*ISNUMBER(SEARCH(실물목록!$P$2:$P$1001,I2658))*(실물목록!$R$2:$R$1001&lt;&gt;""))&gt;0,"확인필요(입력누락)",IF(SUMPRODUCT((실물목록!$P$2:$P$1001&lt;&gt;"")*ISNUMBER(SEARCH(실물목록!$P$2:$P$1001,I2658))*(실물목록!$Q$2:$Q$1001&lt;&gt;"")*ISNUMBER(SEARCH(실물목록!$Q$2:$Q$1001,I2658))*(실물목록!$R$2:$R$1001="")*(실물목록!$O$2:$O$1001&lt;&gt;""))&gt;0,"확인필요(연도다름)","실물 없음")))))</f>
      </c>
      <c r="G2658" t="n" s="16">
        <f aca="0">IF(B2658="","",SUMPRODUCT((실물목록!$P$2:$P$1001&lt;&gt;"")*ISNUMBER(SEARCH(실물목록!$P$2:$P$1001,I2658))*(실물목록!$Q$2:$Q$1001&lt;&gt;"")*ISNUMBER(SEARCH(실물목록!$Q$2:$Q$1001,I2658))*(실물목록!$R$2:$R$1001="")*(실물목록!$O$2:$O$1001&lt;&gt;"")*(실물목록!$O$2:$O$1001=H2658)))</f>
      </c>
      <c r="H2658" t="str">
        <f>IFERROR(IF(AND(LEN(SUBSTITUTE(SUBSTITUTE(SUBSTITUTE(TRIM(A2658&amp;""),CHAR(160),"")," ",""),"년",""))=4,VALUE(SUBSTITUTE(SUBSTITUTE(SUBSTITUTE(TRIM(A2658&amp;""),CHAR(160),"")," ",""),"년",""))&gt;=1900,VALUE(SUBSTITUTE(SUBSTITUTE(SUBSTITUTE(TRIM(A2658&amp;""),CHAR(160),"")," ",""),"년",""))&lt;=2099,TEXT(VALUE(SUBSTITUTE(SUBSTITUTE(SUBSTITUTE(TRIM(A2658&amp;""),CHAR(160),"")," ",""),"년","")),"0000")=SUBSTITUTE(SUBSTITUTE(SUBSTITUTE(TRIM(A2658&amp;""),CHAR(160),"")," ",""),"년","")),SUBSTITUTE(SUBSTITUTE(SUBSTITUTE(TRIM(A2658&amp;""),CHAR(160),"")," ",""),"년",""),""),"")</f>
      </c>
      <c r="I2658" t="str">
        <f>SUBSTITUTE(SUBSTITUTE(SUBSTITUTE(SUBSTITUTE(SUBSTITUTE(TRIM(B2658&amp;""),CHAR(160),"")," ",""),"초등학교","초"),"중학교","중"),"고등학교","고")</f>
      </c>
    </row>
    <row r="2659" customFormat="false" ht="15" hidden="false" customHeight="false" outlineLevel="0" collapsed="false">
      <c r="A2659" s="8"/>
      <c r="B2659" s="8"/>
      <c r="C2659" s="8"/>
      <c r="D2659" s="8"/>
      <c r="E2659" s="8"/>
      <c r="F2659" t="str" s="15">
        <f aca="0">IF(B2659="","",IF(H2659="","확인필요(입력누락)",IF(SUMPRODUCT((실물목록!$P$2:$P$1001&lt;&gt;"")*ISNUMBER(SEARCH(실물목록!$P$2:$P$1001,I2659))*(실물목록!$Q$2:$Q$1001&lt;&gt;"")*ISNUMBER(SEARCH(실물목록!$Q$2:$Q$1001,I2659))*(실물목록!$R$2:$R$1001="")*(실물목록!$O$2:$O$1001&lt;&gt;"")*(실물목록!$O$2:$O$1001=H2659))&gt;0,"실물 있음",IF(SUMPRODUCT((실물목록!$P$2:$P$1001&lt;&gt;"")*ISNUMBER(SEARCH(실물목록!$P$2:$P$1001,I2659))*(실물목록!$R$2:$R$1001&lt;&gt;""))&gt;0,"확인필요(입력누락)",IF(SUMPRODUCT((실물목록!$P$2:$P$1001&lt;&gt;"")*ISNUMBER(SEARCH(실물목록!$P$2:$P$1001,I2659))*(실물목록!$Q$2:$Q$1001&lt;&gt;"")*ISNUMBER(SEARCH(실물목록!$Q$2:$Q$1001,I2659))*(실물목록!$R$2:$R$1001="")*(실물목록!$O$2:$O$1001&lt;&gt;""))&gt;0,"확인필요(연도다름)","실물 없음")))))</f>
      </c>
      <c r="G2659" t="n" s="16">
        <f aca="0">IF(B2659="","",SUMPRODUCT((실물목록!$P$2:$P$1001&lt;&gt;"")*ISNUMBER(SEARCH(실물목록!$P$2:$P$1001,I2659))*(실물목록!$Q$2:$Q$1001&lt;&gt;"")*ISNUMBER(SEARCH(실물목록!$Q$2:$Q$1001,I2659))*(실물목록!$R$2:$R$1001="")*(실물목록!$O$2:$O$1001&lt;&gt;"")*(실물목록!$O$2:$O$1001=H2659)))</f>
      </c>
      <c r="H2659" t="str">
        <f>IFERROR(IF(AND(LEN(SUBSTITUTE(SUBSTITUTE(SUBSTITUTE(TRIM(A2659&amp;""),CHAR(160),"")," ",""),"년",""))=4,VALUE(SUBSTITUTE(SUBSTITUTE(SUBSTITUTE(TRIM(A2659&amp;""),CHAR(160),"")," ",""),"년",""))&gt;=1900,VALUE(SUBSTITUTE(SUBSTITUTE(SUBSTITUTE(TRIM(A2659&amp;""),CHAR(160),"")," ",""),"년",""))&lt;=2099,TEXT(VALUE(SUBSTITUTE(SUBSTITUTE(SUBSTITUTE(TRIM(A2659&amp;""),CHAR(160),"")," ",""),"년","")),"0000")=SUBSTITUTE(SUBSTITUTE(SUBSTITUTE(TRIM(A2659&amp;""),CHAR(160),"")," ",""),"년","")),SUBSTITUTE(SUBSTITUTE(SUBSTITUTE(TRIM(A2659&amp;""),CHAR(160),"")," ",""),"년",""),""),"")</f>
      </c>
      <c r="I2659" t="str">
        <f>SUBSTITUTE(SUBSTITUTE(SUBSTITUTE(SUBSTITUTE(SUBSTITUTE(TRIM(B2659&amp;""),CHAR(160),"")," ",""),"초등학교","초"),"중학교","중"),"고등학교","고")</f>
      </c>
    </row>
    <row r="2660" customFormat="false" ht="15" hidden="false" customHeight="false" outlineLevel="0" collapsed="false">
      <c r="A2660" s="8"/>
      <c r="B2660" s="8"/>
      <c r="C2660" s="8"/>
      <c r="D2660" s="8"/>
      <c r="E2660" s="8"/>
      <c r="F2660" t="str" s="15">
        <f aca="0">IF(B2660="","",IF(H2660="","확인필요(입력누락)",IF(SUMPRODUCT((실물목록!$P$2:$P$1001&lt;&gt;"")*ISNUMBER(SEARCH(실물목록!$P$2:$P$1001,I2660))*(실물목록!$Q$2:$Q$1001&lt;&gt;"")*ISNUMBER(SEARCH(실물목록!$Q$2:$Q$1001,I2660))*(실물목록!$R$2:$R$1001="")*(실물목록!$O$2:$O$1001&lt;&gt;"")*(실물목록!$O$2:$O$1001=H2660))&gt;0,"실물 있음",IF(SUMPRODUCT((실물목록!$P$2:$P$1001&lt;&gt;"")*ISNUMBER(SEARCH(실물목록!$P$2:$P$1001,I2660))*(실물목록!$R$2:$R$1001&lt;&gt;""))&gt;0,"확인필요(입력누락)",IF(SUMPRODUCT((실물목록!$P$2:$P$1001&lt;&gt;"")*ISNUMBER(SEARCH(실물목록!$P$2:$P$1001,I2660))*(실물목록!$Q$2:$Q$1001&lt;&gt;"")*ISNUMBER(SEARCH(실물목록!$Q$2:$Q$1001,I2660))*(실물목록!$R$2:$R$1001="")*(실물목록!$O$2:$O$1001&lt;&gt;""))&gt;0,"확인필요(연도다름)","실물 없음")))))</f>
      </c>
      <c r="G2660" t="n" s="16">
        <f aca="0">IF(B2660="","",SUMPRODUCT((실물목록!$P$2:$P$1001&lt;&gt;"")*ISNUMBER(SEARCH(실물목록!$P$2:$P$1001,I2660))*(실물목록!$Q$2:$Q$1001&lt;&gt;"")*ISNUMBER(SEARCH(실물목록!$Q$2:$Q$1001,I2660))*(실물목록!$R$2:$R$1001="")*(실물목록!$O$2:$O$1001&lt;&gt;"")*(실물목록!$O$2:$O$1001=H2660)))</f>
      </c>
      <c r="H2660" t="str">
        <f>IFERROR(IF(AND(LEN(SUBSTITUTE(SUBSTITUTE(SUBSTITUTE(TRIM(A2660&amp;""),CHAR(160),"")," ",""),"년",""))=4,VALUE(SUBSTITUTE(SUBSTITUTE(SUBSTITUTE(TRIM(A2660&amp;""),CHAR(160),"")," ",""),"년",""))&gt;=1900,VALUE(SUBSTITUTE(SUBSTITUTE(SUBSTITUTE(TRIM(A2660&amp;""),CHAR(160),"")," ",""),"년",""))&lt;=2099,TEXT(VALUE(SUBSTITUTE(SUBSTITUTE(SUBSTITUTE(TRIM(A2660&amp;""),CHAR(160),"")," ",""),"년","")),"0000")=SUBSTITUTE(SUBSTITUTE(SUBSTITUTE(TRIM(A2660&amp;""),CHAR(160),"")," ",""),"년","")),SUBSTITUTE(SUBSTITUTE(SUBSTITUTE(TRIM(A2660&amp;""),CHAR(160),"")," ",""),"년",""),""),"")</f>
      </c>
      <c r="I2660" t="str">
        <f>SUBSTITUTE(SUBSTITUTE(SUBSTITUTE(SUBSTITUTE(SUBSTITUTE(TRIM(B2660&amp;""),CHAR(160),"")," ",""),"초등학교","초"),"중학교","중"),"고등학교","고")</f>
      </c>
    </row>
    <row r="2661" customFormat="false" ht="15" hidden="false" customHeight="false" outlineLevel="0" collapsed="false">
      <c r="A2661" s="8"/>
      <c r="B2661" s="8"/>
      <c r="C2661" s="8"/>
      <c r="D2661" s="8"/>
      <c r="E2661" s="8"/>
      <c r="F2661" t="str" s="15">
        <f aca="0">IF(B2661="","",IF(H2661="","확인필요(입력누락)",IF(SUMPRODUCT((실물목록!$P$2:$P$1001&lt;&gt;"")*ISNUMBER(SEARCH(실물목록!$P$2:$P$1001,I2661))*(실물목록!$Q$2:$Q$1001&lt;&gt;"")*ISNUMBER(SEARCH(실물목록!$Q$2:$Q$1001,I2661))*(실물목록!$R$2:$R$1001="")*(실물목록!$O$2:$O$1001&lt;&gt;"")*(실물목록!$O$2:$O$1001=H2661))&gt;0,"실물 있음",IF(SUMPRODUCT((실물목록!$P$2:$P$1001&lt;&gt;"")*ISNUMBER(SEARCH(실물목록!$P$2:$P$1001,I2661))*(실물목록!$R$2:$R$1001&lt;&gt;""))&gt;0,"확인필요(입력누락)",IF(SUMPRODUCT((실물목록!$P$2:$P$1001&lt;&gt;"")*ISNUMBER(SEARCH(실물목록!$P$2:$P$1001,I2661))*(실물목록!$Q$2:$Q$1001&lt;&gt;"")*ISNUMBER(SEARCH(실물목록!$Q$2:$Q$1001,I2661))*(실물목록!$R$2:$R$1001="")*(실물목록!$O$2:$O$1001&lt;&gt;""))&gt;0,"확인필요(연도다름)","실물 없음")))))</f>
      </c>
      <c r="G2661" t="n" s="16">
        <f aca="0">IF(B2661="","",SUMPRODUCT((실물목록!$P$2:$P$1001&lt;&gt;"")*ISNUMBER(SEARCH(실물목록!$P$2:$P$1001,I2661))*(실물목록!$Q$2:$Q$1001&lt;&gt;"")*ISNUMBER(SEARCH(실물목록!$Q$2:$Q$1001,I2661))*(실물목록!$R$2:$R$1001="")*(실물목록!$O$2:$O$1001&lt;&gt;"")*(실물목록!$O$2:$O$1001=H2661)))</f>
      </c>
      <c r="H2661" t="str">
        <f>IFERROR(IF(AND(LEN(SUBSTITUTE(SUBSTITUTE(SUBSTITUTE(TRIM(A2661&amp;""),CHAR(160),"")," ",""),"년",""))=4,VALUE(SUBSTITUTE(SUBSTITUTE(SUBSTITUTE(TRIM(A2661&amp;""),CHAR(160),"")," ",""),"년",""))&gt;=1900,VALUE(SUBSTITUTE(SUBSTITUTE(SUBSTITUTE(TRIM(A2661&amp;""),CHAR(160),"")," ",""),"년",""))&lt;=2099,TEXT(VALUE(SUBSTITUTE(SUBSTITUTE(SUBSTITUTE(TRIM(A2661&amp;""),CHAR(160),"")," ",""),"년","")),"0000")=SUBSTITUTE(SUBSTITUTE(SUBSTITUTE(TRIM(A2661&amp;""),CHAR(160),"")," ",""),"년","")),SUBSTITUTE(SUBSTITUTE(SUBSTITUTE(TRIM(A2661&amp;""),CHAR(160),"")," ",""),"년",""),""),"")</f>
      </c>
      <c r="I2661" t="str">
        <f>SUBSTITUTE(SUBSTITUTE(SUBSTITUTE(SUBSTITUTE(SUBSTITUTE(TRIM(B2661&amp;""),CHAR(160),"")," ",""),"초등학교","초"),"중학교","중"),"고등학교","고")</f>
      </c>
    </row>
    <row r="2662" customFormat="false" ht="15" hidden="false" customHeight="false" outlineLevel="0" collapsed="false">
      <c r="A2662" s="8"/>
      <c r="B2662" s="8"/>
      <c r="C2662" s="8"/>
      <c r="D2662" s="8"/>
      <c r="E2662" s="8"/>
      <c r="F2662" t="str" s="15">
        <f aca="0">IF(B2662="","",IF(H2662="","확인필요(입력누락)",IF(SUMPRODUCT((실물목록!$P$2:$P$1001&lt;&gt;"")*ISNUMBER(SEARCH(실물목록!$P$2:$P$1001,I2662))*(실물목록!$Q$2:$Q$1001&lt;&gt;"")*ISNUMBER(SEARCH(실물목록!$Q$2:$Q$1001,I2662))*(실물목록!$R$2:$R$1001="")*(실물목록!$O$2:$O$1001&lt;&gt;"")*(실물목록!$O$2:$O$1001=H2662))&gt;0,"실물 있음",IF(SUMPRODUCT((실물목록!$P$2:$P$1001&lt;&gt;"")*ISNUMBER(SEARCH(실물목록!$P$2:$P$1001,I2662))*(실물목록!$R$2:$R$1001&lt;&gt;""))&gt;0,"확인필요(입력누락)",IF(SUMPRODUCT((실물목록!$P$2:$P$1001&lt;&gt;"")*ISNUMBER(SEARCH(실물목록!$P$2:$P$1001,I2662))*(실물목록!$Q$2:$Q$1001&lt;&gt;"")*ISNUMBER(SEARCH(실물목록!$Q$2:$Q$1001,I2662))*(실물목록!$R$2:$R$1001="")*(실물목록!$O$2:$O$1001&lt;&gt;""))&gt;0,"확인필요(연도다름)","실물 없음")))))</f>
      </c>
      <c r="G2662" t="n" s="16">
        <f aca="0">IF(B2662="","",SUMPRODUCT((실물목록!$P$2:$P$1001&lt;&gt;"")*ISNUMBER(SEARCH(실물목록!$P$2:$P$1001,I2662))*(실물목록!$Q$2:$Q$1001&lt;&gt;"")*ISNUMBER(SEARCH(실물목록!$Q$2:$Q$1001,I2662))*(실물목록!$R$2:$R$1001="")*(실물목록!$O$2:$O$1001&lt;&gt;"")*(실물목록!$O$2:$O$1001=H2662)))</f>
      </c>
      <c r="H2662" t="str">
        <f>IFERROR(IF(AND(LEN(SUBSTITUTE(SUBSTITUTE(SUBSTITUTE(TRIM(A2662&amp;""),CHAR(160),"")," ",""),"년",""))=4,VALUE(SUBSTITUTE(SUBSTITUTE(SUBSTITUTE(TRIM(A2662&amp;""),CHAR(160),"")," ",""),"년",""))&gt;=1900,VALUE(SUBSTITUTE(SUBSTITUTE(SUBSTITUTE(TRIM(A2662&amp;""),CHAR(160),"")," ",""),"년",""))&lt;=2099,TEXT(VALUE(SUBSTITUTE(SUBSTITUTE(SUBSTITUTE(TRIM(A2662&amp;""),CHAR(160),"")," ",""),"년","")),"0000")=SUBSTITUTE(SUBSTITUTE(SUBSTITUTE(TRIM(A2662&amp;""),CHAR(160),"")," ",""),"년","")),SUBSTITUTE(SUBSTITUTE(SUBSTITUTE(TRIM(A2662&amp;""),CHAR(160),"")," ",""),"년",""),""),"")</f>
      </c>
      <c r="I2662" t="str">
        <f>SUBSTITUTE(SUBSTITUTE(SUBSTITUTE(SUBSTITUTE(SUBSTITUTE(TRIM(B2662&amp;""),CHAR(160),"")," ",""),"초등학교","초"),"중학교","중"),"고등학교","고")</f>
      </c>
    </row>
    <row r="2663" customFormat="false" ht="15" hidden="false" customHeight="false" outlineLevel="0" collapsed="false">
      <c r="A2663" s="8"/>
      <c r="B2663" s="8"/>
      <c r="C2663" s="8"/>
      <c r="D2663" s="8"/>
      <c r="E2663" s="8"/>
      <c r="F2663" t="str" s="15">
        <f aca="0">IF(B2663="","",IF(H2663="","확인필요(입력누락)",IF(SUMPRODUCT((실물목록!$P$2:$P$1001&lt;&gt;"")*ISNUMBER(SEARCH(실물목록!$P$2:$P$1001,I2663))*(실물목록!$Q$2:$Q$1001&lt;&gt;"")*ISNUMBER(SEARCH(실물목록!$Q$2:$Q$1001,I2663))*(실물목록!$R$2:$R$1001="")*(실물목록!$O$2:$O$1001&lt;&gt;"")*(실물목록!$O$2:$O$1001=H2663))&gt;0,"실물 있음",IF(SUMPRODUCT((실물목록!$P$2:$P$1001&lt;&gt;"")*ISNUMBER(SEARCH(실물목록!$P$2:$P$1001,I2663))*(실물목록!$R$2:$R$1001&lt;&gt;""))&gt;0,"확인필요(입력누락)",IF(SUMPRODUCT((실물목록!$P$2:$P$1001&lt;&gt;"")*ISNUMBER(SEARCH(실물목록!$P$2:$P$1001,I2663))*(실물목록!$Q$2:$Q$1001&lt;&gt;"")*ISNUMBER(SEARCH(실물목록!$Q$2:$Q$1001,I2663))*(실물목록!$R$2:$R$1001="")*(실물목록!$O$2:$O$1001&lt;&gt;""))&gt;0,"확인필요(연도다름)","실물 없음")))))</f>
      </c>
      <c r="G2663" t="n" s="16">
        <f aca="0">IF(B2663="","",SUMPRODUCT((실물목록!$P$2:$P$1001&lt;&gt;"")*ISNUMBER(SEARCH(실물목록!$P$2:$P$1001,I2663))*(실물목록!$Q$2:$Q$1001&lt;&gt;"")*ISNUMBER(SEARCH(실물목록!$Q$2:$Q$1001,I2663))*(실물목록!$R$2:$R$1001="")*(실물목록!$O$2:$O$1001&lt;&gt;"")*(실물목록!$O$2:$O$1001=H2663)))</f>
      </c>
      <c r="H2663" t="str">
        <f>IFERROR(IF(AND(LEN(SUBSTITUTE(SUBSTITUTE(SUBSTITUTE(TRIM(A2663&amp;""),CHAR(160),"")," ",""),"년",""))=4,VALUE(SUBSTITUTE(SUBSTITUTE(SUBSTITUTE(TRIM(A2663&amp;""),CHAR(160),"")," ",""),"년",""))&gt;=1900,VALUE(SUBSTITUTE(SUBSTITUTE(SUBSTITUTE(TRIM(A2663&amp;""),CHAR(160),"")," ",""),"년",""))&lt;=2099,TEXT(VALUE(SUBSTITUTE(SUBSTITUTE(SUBSTITUTE(TRIM(A2663&amp;""),CHAR(160),"")," ",""),"년","")),"0000")=SUBSTITUTE(SUBSTITUTE(SUBSTITUTE(TRIM(A2663&amp;""),CHAR(160),"")," ",""),"년","")),SUBSTITUTE(SUBSTITUTE(SUBSTITUTE(TRIM(A2663&amp;""),CHAR(160),"")," ",""),"년",""),""),"")</f>
      </c>
      <c r="I2663" t="str">
        <f>SUBSTITUTE(SUBSTITUTE(SUBSTITUTE(SUBSTITUTE(SUBSTITUTE(TRIM(B2663&amp;""),CHAR(160),"")," ",""),"초등학교","초"),"중학교","중"),"고등학교","고")</f>
      </c>
    </row>
    <row r="2664" customFormat="false" ht="15" hidden="false" customHeight="false" outlineLevel="0" collapsed="false">
      <c r="A2664" s="8"/>
      <c r="B2664" s="8"/>
      <c r="C2664" s="8"/>
      <c r="D2664" s="8"/>
      <c r="E2664" s="8"/>
      <c r="F2664" t="str" s="15">
        <f aca="0">IF(B2664="","",IF(H2664="","확인필요(입력누락)",IF(SUMPRODUCT((실물목록!$P$2:$P$1001&lt;&gt;"")*ISNUMBER(SEARCH(실물목록!$P$2:$P$1001,I2664))*(실물목록!$Q$2:$Q$1001&lt;&gt;"")*ISNUMBER(SEARCH(실물목록!$Q$2:$Q$1001,I2664))*(실물목록!$R$2:$R$1001="")*(실물목록!$O$2:$O$1001&lt;&gt;"")*(실물목록!$O$2:$O$1001=H2664))&gt;0,"실물 있음",IF(SUMPRODUCT((실물목록!$P$2:$P$1001&lt;&gt;"")*ISNUMBER(SEARCH(실물목록!$P$2:$P$1001,I2664))*(실물목록!$R$2:$R$1001&lt;&gt;""))&gt;0,"확인필요(입력누락)",IF(SUMPRODUCT((실물목록!$P$2:$P$1001&lt;&gt;"")*ISNUMBER(SEARCH(실물목록!$P$2:$P$1001,I2664))*(실물목록!$Q$2:$Q$1001&lt;&gt;"")*ISNUMBER(SEARCH(실물목록!$Q$2:$Q$1001,I2664))*(실물목록!$R$2:$R$1001="")*(실물목록!$O$2:$O$1001&lt;&gt;""))&gt;0,"확인필요(연도다름)","실물 없음")))))</f>
      </c>
      <c r="G2664" t="n" s="16">
        <f aca="0">IF(B2664="","",SUMPRODUCT((실물목록!$P$2:$P$1001&lt;&gt;"")*ISNUMBER(SEARCH(실물목록!$P$2:$P$1001,I2664))*(실물목록!$Q$2:$Q$1001&lt;&gt;"")*ISNUMBER(SEARCH(실물목록!$Q$2:$Q$1001,I2664))*(실물목록!$R$2:$R$1001="")*(실물목록!$O$2:$O$1001&lt;&gt;"")*(실물목록!$O$2:$O$1001=H2664)))</f>
      </c>
      <c r="H2664" t="str">
        <f>IFERROR(IF(AND(LEN(SUBSTITUTE(SUBSTITUTE(SUBSTITUTE(TRIM(A2664&amp;""),CHAR(160),"")," ",""),"년",""))=4,VALUE(SUBSTITUTE(SUBSTITUTE(SUBSTITUTE(TRIM(A2664&amp;""),CHAR(160),"")," ",""),"년",""))&gt;=1900,VALUE(SUBSTITUTE(SUBSTITUTE(SUBSTITUTE(TRIM(A2664&amp;""),CHAR(160),"")," ",""),"년",""))&lt;=2099,TEXT(VALUE(SUBSTITUTE(SUBSTITUTE(SUBSTITUTE(TRIM(A2664&amp;""),CHAR(160),"")," ",""),"년","")),"0000")=SUBSTITUTE(SUBSTITUTE(SUBSTITUTE(TRIM(A2664&amp;""),CHAR(160),"")," ",""),"년","")),SUBSTITUTE(SUBSTITUTE(SUBSTITUTE(TRIM(A2664&amp;""),CHAR(160),"")," ",""),"년",""),""),"")</f>
      </c>
      <c r="I2664" t="str">
        <f>SUBSTITUTE(SUBSTITUTE(SUBSTITUTE(SUBSTITUTE(SUBSTITUTE(TRIM(B2664&amp;""),CHAR(160),"")," ",""),"초등학교","초"),"중학교","중"),"고등학교","고")</f>
      </c>
    </row>
    <row r="2665" customFormat="false" ht="15" hidden="false" customHeight="false" outlineLevel="0" collapsed="false">
      <c r="A2665" s="8"/>
      <c r="B2665" s="8"/>
      <c r="C2665" s="8"/>
      <c r="D2665" s="8"/>
      <c r="E2665" s="8"/>
      <c r="F2665" t="str" s="15">
        <f aca="0">IF(B2665="","",IF(H2665="","확인필요(입력누락)",IF(SUMPRODUCT((실물목록!$P$2:$P$1001&lt;&gt;"")*ISNUMBER(SEARCH(실물목록!$P$2:$P$1001,I2665))*(실물목록!$Q$2:$Q$1001&lt;&gt;"")*ISNUMBER(SEARCH(실물목록!$Q$2:$Q$1001,I2665))*(실물목록!$R$2:$R$1001="")*(실물목록!$O$2:$O$1001&lt;&gt;"")*(실물목록!$O$2:$O$1001=H2665))&gt;0,"실물 있음",IF(SUMPRODUCT((실물목록!$P$2:$P$1001&lt;&gt;"")*ISNUMBER(SEARCH(실물목록!$P$2:$P$1001,I2665))*(실물목록!$R$2:$R$1001&lt;&gt;""))&gt;0,"확인필요(입력누락)",IF(SUMPRODUCT((실물목록!$P$2:$P$1001&lt;&gt;"")*ISNUMBER(SEARCH(실물목록!$P$2:$P$1001,I2665))*(실물목록!$Q$2:$Q$1001&lt;&gt;"")*ISNUMBER(SEARCH(실물목록!$Q$2:$Q$1001,I2665))*(실물목록!$R$2:$R$1001="")*(실물목록!$O$2:$O$1001&lt;&gt;""))&gt;0,"확인필요(연도다름)","실물 없음")))))</f>
      </c>
      <c r="G2665" t="n" s="16">
        <f aca="0">IF(B2665="","",SUMPRODUCT((실물목록!$P$2:$P$1001&lt;&gt;"")*ISNUMBER(SEARCH(실물목록!$P$2:$P$1001,I2665))*(실물목록!$Q$2:$Q$1001&lt;&gt;"")*ISNUMBER(SEARCH(실물목록!$Q$2:$Q$1001,I2665))*(실물목록!$R$2:$R$1001="")*(실물목록!$O$2:$O$1001&lt;&gt;"")*(실물목록!$O$2:$O$1001=H2665)))</f>
      </c>
      <c r="H2665" t="str">
        <f>IFERROR(IF(AND(LEN(SUBSTITUTE(SUBSTITUTE(SUBSTITUTE(TRIM(A2665&amp;""),CHAR(160),"")," ",""),"년",""))=4,VALUE(SUBSTITUTE(SUBSTITUTE(SUBSTITUTE(TRIM(A2665&amp;""),CHAR(160),"")," ",""),"년",""))&gt;=1900,VALUE(SUBSTITUTE(SUBSTITUTE(SUBSTITUTE(TRIM(A2665&amp;""),CHAR(160),"")," ",""),"년",""))&lt;=2099,TEXT(VALUE(SUBSTITUTE(SUBSTITUTE(SUBSTITUTE(TRIM(A2665&amp;""),CHAR(160),"")," ",""),"년","")),"0000")=SUBSTITUTE(SUBSTITUTE(SUBSTITUTE(TRIM(A2665&amp;""),CHAR(160),"")," ",""),"년","")),SUBSTITUTE(SUBSTITUTE(SUBSTITUTE(TRIM(A2665&amp;""),CHAR(160),"")," ",""),"년",""),""),"")</f>
      </c>
      <c r="I2665" t="str">
        <f>SUBSTITUTE(SUBSTITUTE(SUBSTITUTE(SUBSTITUTE(SUBSTITUTE(TRIM(B2665&amp;""),CHAR(160),"")," ",""),"초등학교","초"),"중학교","중"),"고등학교","고")</f>
      </c>
    </row>
    <row r="2666" customFormat="false" ht="15" hidden="false" customHeight="false" outlineLevel="0" collapsed="false">
      <c r="A2666" s="8"/>
      <c r="B2666" s="8"/>
      <c r="C2666" s="8"/>
      <c r="D2666" s="8"/>
      <c r="E2666" s="8"/>
      <c r="F2666" t="str" s="15">
        <f aca="0">IF(B2666="","",IF(H2666="","확인필요(입력누락)",IF(SUMPRODUCT((실물목록!$P$2:$P$1001&lt;&gt;"")*ISNUMBER(SEARCH(실물목록!$P$2:$P$1001,I2666))*(실물목록!$Q$2:$Q$1001&lt;&gt;"")*ISNUMBER(SEARCH(실물목록!$Q$2:$Q$1001,I2666))*(실물목록!$R$2:$R$1001="")*(실물목록!$O$2:$O$1001&lt;&gt;"")*(실물목록!$O$2:$O$1001=H2666))&gt;0,"실물 있음",IF(SUMPRODUCT((실물목록!$P$2:$P$1001&lt;&gt;"")*ISNUMBER(SEARCH(실물목록!$P$2:$P$1001,I2666))*(실물목록!$R$2:$R$1001&lt;&gt;""))&gt;0,"확인필요(입력누락)",IF(SUMPRODUCT((실물목록!$P$2:$P$1001&lt;&gt;"")*ISNUMBER(SEARCH(실물목록!$P$2:$P$1001,I2666))*(실물목록!$Q$2:$Q$1001&lt;&gt;"")*ISNUMBER(SEARCH(실물목록!$Q$2:$Q$1001,I2666))*(실물목록!$R$2:$R$1001="")*(실물목록!$O$2:$O$1001&lt;&gt;""))&gt;0,"확인필요(연도다름)","실물 없음")))))</f>
      </c>
      <c r="G2666" t="n" s="16">
        <f aca="0">IF(B2666="","",SUMPRODUCT((실물목록!$P$2:$P$1001&lt;&gt;"")*ISNUMBER(SEARCH(실물목록!$P$2:$P$1001,I2666))*(실물목록!$Q$2:$Q$1001&lt;&gt;"")*ISNUMBER(SEARCH(실물목록!$Q$2:$Q$1001,I2666))*(실물목록!$R$2:$R$1001="")*(실물목록!$O$2:$O$1001&lt;&gt;"")*(실물목록!$O$2:$O$1001=H2666)))</f>
      </c>
      <c r="H2666" t="str">
        <f>IFERROR(IF(AND(LEN(SUBSTITUTE(SUBSTITUTE(SUBSTITUTE(TRIM(A2666&amp;""),CHAR(160),"")," ",""),"년",""))=4,VALUE(SUBSTITUTE(SUBSTITUTE(SUBSTITUTE(TRIM(A2666&amp;""),CHAR(160),"")," ",""),"년",""))&gt;=1900,VALUE(SUBSTITUTE(SUBSTITUTE(SUBSTITUTE(TRIM(A2666&amp;""),CHAR(160),"")," ",""),"년",""))&lt;=2099,TEXT(VALUE(SUBSTITUTE(SUBSTITUTE(SUBSTITUTE(TRIM(A2666&amp;""),CHAR(160),"")," ",""),"년","")),"0000")=SUBSTITUTE(SUBSTITUTE(SUBSTITUTE(TRIM(A2666&amp;""),CHAR(160),"")," ",""),"년","")),SUBSTITUTE(SUBSTITUTE(SUBSTITUTE(TRIM(A2666&amp;""),CHAR(160),"")," ",""),"년",""),""),"")</f>
      </c>
      <c r="I2666" t="str">
        <f>SUBSTITUTE(SUBSTITUTE(SUBSTITUTE(SUBSTITUTE(SUBSTITUTE(TRIM(B2666&amp;""),CHAR(160),"")," ",""),"초등학교","초"),"중학교","중"),"고등학교","고")</f>
      </c>
    </row>
    <row r="2667" customFormat="false" ht="15" hidden="false" customHeight="false" outlineLevel="0" collapsed="false">
      <c r="A2667" s="8"/>
      <c r="B2667" s="8"/>
      <c r="C2667" s="8"/>
      <c r="D2667" s="8"/>
      <c r="E2667" s="8"/>
      <c r="F2667" t="str" s="15">
        <f aca="0">IF(B2667="","",IF(H2667="","확인필요(입력누락)",IF(SUMPRODUCT((실물목록!$P$2:$P$1001&lt;&gt;"")*ISNUMBER(SEARCH(실물목록!$P$2:$P$1001,I2667))*(실물목록!$Q$2:$Q$1001&lt;&gt;"")*ISNUMBER(SEARCH(실물목록!$Q$2:$Q$1001,I2667))*(실물목록!$R$2:$R$1001="")*(실물목록!$O$2:$O$1001&lt;&gt;"")*(실물목록!$O$2:$O$1001=H2667))&gt;0,"실물 있음",IF(SUMPRODUCT((실물목록!$P$2:$P$1001&lt;&gt;"")*ISNUMBER(SEARCH(실물목록!$P$2:$P$1001,I2667))*(실물목록!$R$2:$R$1001&lt;&gt;""))&gt;0,"확인필요(입력누락)",IF(SUMPRODUCT((실물목록!$P$2:$P$1001&lt;&gt;"")*ISNUMBER(SEARCH(실물목록!$P$2:$P$1001,I2667))*(실물목록!$Q$2:$Q$1001&lt;&gt;"")*ISNUMBER(SEARCH(실물목록!$Q$2:$Q$1001,I2667))*(실물목록!$R$2:$R$1001="")*(실물목록!$O$2:$O$1001&lt;&gt;""))&gt;0,"확인필요(연도다름)","실물 없음")))))</f>
      </c>
      <c r="G2667" t="n" s="16">
        <f aca="0">IF(B2667="","",SUMPRODUCT((실물목록!$P$2:$P$1001&lt;&gt;"")*ISNUMBER(SEARCH(실물목록!$P$2:$P$1001,I2667))*(실물목록!$Q$2:$Q$1001&lt;&gt;"")*ISNUMBER(SEARCH(실물목록!$Q$2:$Q$1001,I2667))*(실물목록!$R$2:$R$1001="")*(실물목록!$O$2:$O$1001&lt;&gt;"")*(실물목록!$O$2:$O$1001=H2667)))</f>
      </c>
      <c r="H2667" t="str">
        <f>IFERROR(IF(AND(LEN(SUBSTITUTE(SUBSTITUTE(SUBSTITUTE(TRIM(A2667&amp;""),CHAR(160),"")," ",""),"년",""))=4,VALUE(SUBSTITUTE(SUBSTITUTE(SUBSTITUTE(TRIM(A2667&amp;""),CHAR(160),"")," ",""),"년",""))&gt;=1900,VALUE(SUBSTITUTE(SUBSTITUTE(SUBSTITUTE(TRIM(A2667&amp;""),CHAR(160),"")," ",""),"년",""))&lt;=2099,TEXT(VALUE(SUBSTITUTE(SUBSTITUTE(SUBSTITUTE(TRIM(A2667&amp;""),CHAR(160),"")," ",""),"년","")),"0000")=SUBSTITUTE(SUBSTITUTE(SUBSTITUTE(TRIM(A2667&amp;""),CHAR(160),"")," ",""),"년","")),SUBSTITUTE(SUBSTITUTE(SUBSTITUTE(TRIM(A2667&amp;""),CHAR(160),"")," ",""),"년",""),""),"")</f>
      </c>
      <c r="I2667" t="str">
        <f>SUBSTITUTE(SUBSTITUTE(SUBSTITUTE(SUBSTITUTE(SUBSTITUTE(TRIM(B2667&amp;""),CHAR(160),"")," ",""),"초등학교","초"),"중학교","중"),"고등학교","고")</f>
      </c>
    </row>
    <row r="2668" customFormat="false" ht="15" hidden="false" customHeight="false" outlineLevel="0" collapsed="false">
      <c r="A2668" s="8"/>
      <c r="B2668" s="8"/>
      <c r="C2668" s="8"/>
      <c r="D2668" s="8"/>
      <c r="E2668" s="8"/>
      <c r="F2668" t="str" s="15">
        <f aca="0">IF(B2668="","",IF(H2668="","확인필요(입력누락)",IF(SUMPRODUCT((실물목록!$P$2:$P$1001&lt;&gt;"")*ISNUMBER(SEARCH(실물목록!$P$2:$P$1001,I2668))*(실물목록!$Q$2:$Q$1001&lt;&gt;"")*ISNUMBER(SEARCH(실물목록!$Q$2:$Q$1001,I2668))*(실물목록!$R$2:$R$1001="")*(실물목록!$O$2:$O$1001&lt;&gt;"")*(실물목록!$O$2:$O$1001=H2668))&gt;0,"실물 있음",IF(SUMPRODUCT((실물목록!$P$2:$P$1001&lt;&gt;"")*ISNUMBER(SEARCH(실물목록!$P$2:$P$1001,I2668))*(실물목록!$R$2:$R$1001&lt;&gt;""))&gt;0,"확인필요(입력누락)",IF(SUMPRODUCT((실물목록!$P$2:$P$1001&lt;&gt;"")*ISNUMBER(SEARCH(실물목록!$P$2:$P$1001,I2668))*(실물목록!$Q$2:$Q$1001&lt;&gt;"")*ISNUMBER(SEARCH(실물목록!$Q$2:$Q$1001,I2668))*(실물목록!$R$2:$R$1001="")*(실물목록!$O$2:$O$1001&lt;&gt;""))&gt;0,"확인필요(연도다름)","실물 없음")))))</f>
      </c>
      <c r="G2668" t="n" s="16">
        <f aca="0">IF(B2668="","",SUMPRODUCT((실물목록!$P$2:$P$1001&lt;&gt;"")*ISNUMBER(SEARCH(실물목록!$P$2:$P$1001,I2668))*(실물목록!$Q$2:$Q$1001&lt;&gt;"")*ISNUMBER(SEARCH(실물목록!$Q$2:$Q$1001,I2668))*(실물목록!$R$2:$R$1001="")*(실물목록!$O$2:$O$1001&lt;&gt;"")*(실물목록!$O$2:$O$1001=H2668)))</f>
      </c>
      <c r="H2668" t="str">
        <f>IFERROR(IF(AND(LEN(SUBSTITUTE(SUBSTITUTE(SUBSTITUTE(TRIM(A2668&amp;""),CHAR(160),"")," ",""),"년",""))=4,VALUE(SUBSTITUTE(SUBSTITUTE(SUBSTITUTE(TRIM(A2668&amp;""),CHAR(160),"")," ",""),"년",""))&gt;=1900,VALUE(SUBSTITUTE(SUBSTITUTE(SUBSTITUTE(TRIM(A2668&amp;""),CHAR(160),"")," ",""),"년",""))&lt;=2099,TEXT(VALUE(SUBSTITUTE(SUBSTITUTE(SUBSTITUTE(TRIM(A2668&amp;""),CHAR(160),"")," ",""),"년","")),"0000")=SUBSTITUTE(SUBSTITUTE(SUBSTITUTE(TRIM(A2668&amp;""),CHAR(160),"")," ",""),"년","")),SUBSTITUTE(SUBSTITUTE(SUBSTITUTE(TRIM(A2668&amp;""),CHAR(160),"")," ",""),"년",""),""),"")</f>
      </c>
      <c r="I2668" t="str">
        <f>SUBSTITUTE(SUBSTITUTE(SUBSTITUTE(SUBSTITUTE(SUBSTITUTE(TRIM(B2668&amp;""),CHAR(160),"")," ",""),"초등학교","초"),"중학교","중"),"고등학교","고")</f>
      </c>
    </row>
    <row r="2669" customFormat="false" ht="15" hidden="false" customHeight="false" outlineLevel="0" collapsed="false">
      <c r="A2669" s="8"/>
      <c r="B2669" s="8"/>
      <c r="C2669" s="8"/>
      <c r="D2669" s="8"/>
      <c r="E2669" s="8"/>
      <c r="F2669" t="str" s="15">
        <f aca="0">IF(B2669="","",IF(H2669="","확인필요(입력누락)",IF(SUMPRODUCT((실물목록!$P$2:$P$1001&lt;&gt;"")*ISNUMBER(SEARCH(실물목록!$P$2:$P$1001,I2669))*(실물목록!$Q$2:$Q$1001&lt;&gt;"")*ISNUMBER(SEARCH(실물목록!$Q$2:$Q$1001,I2669))*(실물목록!$R$2:$R$1001="")*(실물목록!$O$2:$O$1001&lt;&gt;"")*(실물목록!$O$2:$O$1001=H2669))&gt;0,"실물 있음",IF(SUMPRODUCT((실물목록!$P$2:$P$1001&lt;&gt;"")*ISNUMBER(SEARCH(실물목록!$P$2:$P$1001,I2669))*(실물목록!$R$2:$R$1001&lt;&gt;""))&gt;0,"확인필요(입력누락)",IF(SUMPRODUCT((실물목록!$P$2:$P$1001&lt;&gt;"")*ISNUMBER(SEARCH(실물목록!$P$2:$P$1001,I2669))*(실물목록!$Q$2:$Q$1001&lt;&gt;"")*ISNUMBER(SEARCH(실물목록!$Q$2:$Q$1001,I2669))*(실물목록!$R$2:$R$1001="")*(실물목록!$O$2:$O$1001&lt;&gt;""))&gt;0,"확인필요(연도다름)","실물 없음")))))</f>
      </c>
      <c r="G2669" t="n" s="16">
        <f aca="0">IF(B2669="","",SUMPRODUCT((실물목록!$P$2:$P$1001&lt;&gt;"")*ISNUMBER(SEARCH(실물목록!$P$2:$P$1001,I2669))*(실물목록!$Q$2:$Q$1001&lt;&gt;"")*ISNUMBER(SEARCH(실물목록!$Q$2:$Q$1001,I2669))*(실물목록!$R$2:$R$1001="")*(실물목록!$O$2:$O$1001&lt;&gt;"")*(실물목록!$O$2:$O$1001=H2669)))</f>
      </c>
      <c r="H2669" t="str">
        <f>IFERROR(IF(AND(LEN(SUBSTITUTE(SUBSTITUTE(SUBSTITUTE(TRIM(A2669&amp;""),CHAR(160),"")," ",""),"년",""))=4,VALUE(SUBSTITUTE(SUBSTITUTE(SUBSTITUTE(TRIM(A2669&amp;""),CHAR(160),"")," ",""),"년",""))&gt;=1900,VALUE(SUBSTITUTE(SUBSTITUTE(SUBSTITUTE(TRIM(A2669&amp;""),CHAR(160),"")," ",""),"년",""))&lt;=2099,TEXT(VALUE(SUBSTITUTE(SUBSTITUTE(SUBSTITUTE(TRIM(A2669&amp;""),CHAR(160),"")," ",""),"년","")),"0000")=SUBSTITUTE(SUBSTITUTE(SUBSTITUTE(TRIM(A2669&amp;""),CHAR(160),"")," ",""),"년","")),SUBSTITUTE(SUBSTITUTE(SUBSTITUTE(TRIM(A2669&amp;""),CHAR(160),"")," ",""),"년",""),""),"")</f>
      </c>
      <c r="I2669" t="str">
        <f>SUBSTITUTE(SUBSTITUTE(SUBSTITUTE(SUBSTITUTE(SUBSTITUTE(TRIM(B2669&amp;""),CHAR(160),"")," ",""),"초등학교","초"),"중학교","중"),"고등학교","고")</f>
      </c>
    </row>
    <row r="2670" customFormat="false" ht="15" hidden="false" customHeight="false" outlineLevel="0" collapsed="false">
      <c r="A2670" s="8"/>
      <c r="B2670" s="8"/>
      <c r="C2670" s="8"/>
      <c r="D2670" s="8"/>
      <c r="E2670" s="8"/>
      <c r="F2670" t="str" s="15">
        <f aca="0">IF(B2670="","",IF(H2670="","확인필요(입력누락)",IF(SUMPRODUCT((실물목록!$P$2:$P$1001&lt;&gt;"")*ISNUMBER(SEARCH(실물목록!$P$2:$P$1001,I2670))*(실물목록!$Q$2:$Q$1001&lt;&gt;"")*ISNUMBER(SEARCH(실물목록!$Q$2:$Q$1001,I2670))*(실물목록!$R$2:$R$1001="")*(실물목록!$O$2:$O$1001&lt;&gt;"")*(실물목록!$O$2:$O$1001=H2670))&gt;0,"실물 있음",IF(SUMPRODUCT((실물목록!$P$2:$P$1001&lt;&gt;"")*ISNUMBER(SEARCH(실물목록!$P$2:$P$1001,I2670))*(실물목록!$R$2:$R$1001&lt;&gt;""))&gt;0,"확인필요(입력누락)",IF(SUMPRODUCT((실물목록!$P$2:$P$1001&lt;&gt;"")*ISNUMBER(SEARCH(실물목록!$P$2:$P$1001,I2670))*(실물목록!$Q$2:$Q$1001&lt;&gt;"")*ISNUMBER(SEARCH(실물목록!$Q$2:$Q$1001,I2670))*(실물목록!$R$2:$R$1001="")*(실물목록!$O$2:$O$1001&lt;&gt;""))&gt;0,"확인필요(연도다름)","실물 없음")))))</f>
      </c>
      <c r="G2670" t="n" s="16">
        <f aca="0">IF(B2670="","",SUMPRODUCT((실물목록!$P$2:$P$1001&lt;&gt;"")*ISNUMBER(SEARCH(실물목록!$P$2:$P$1001,I2670))*(실물목록!$Q$2:$Q$1001&lt;&gt;"")*ISNUMBER(SEARCH(실물목록!$Q$2:$Q$1001,I2670))*(실물목록!$R$2:$R$1001="")*(실물목록!$O$2:$O$1001&lt;&gt;"")*(실물목록!$O$2:$O$1001=H2670)))</f>
      </c>
      <c r="H2670" t="str">
        <f>IFERROR(IF(AND(LEN(SUBSTITUTE(SUBSTITUTE(SUBSTITUTE(TRIM(A2670&amp;""),CHAR(160),"")," ",""),"년",""))=4,VALUE(SUBSTITUTE(SUBSTITUTE(SUBSTITUTE(TRIM(A2670&amp;""),CHAR(160),"")," ",""),"년",""))&gt;=1900,VALUE(SUBSTITUTE(SUBSTITUTE(SUBSTITUTE(TRIM(A2670&amp;""),CHAR(160),"")," ",""),"년",""))&lt;=2099,TEXT(VALUE(SUBSTITUTE(SUBSTITUTE(SUBSTITUTE(TRIM(A2670&amp;""),CHAR(160),"")," ",""),"년","")),"0000")=SUBSTITUTE(SUBSTITUTE(SUBSTITUTE(TRIM(A2670&amp;""),CHAR(160),"")," ",""),"년","")),SUBSTITUTE(SUBSTITUTE(SUBSTITUTE(TRIM(A2670&amp;""),CHAR(160),"")," ",""),"년",""),""),"")</f>
      </c>
      <c r="I2670" t="str">
        <f>SUBSTITUTE(SUBSTITUTE(SUBSTITUTE(SUBSTITUTE(SUBSTITUTE(TRIM(B2670&amp;""),CHAR(160),"")," ",""),"초등학교","초"),"중학교","중"),"고등학교","고")</f>
      </c>
    </row>
    <row r="2671" customFormat="false" ht="15" hidden="false" customHeight="false" outlineLevel="0" collapsed="false">
      <c r="A2671" s="8"/>
      <c r="B2671" s="8"/>
      <c r="C2671" s="8"/>
      <c r="D2671" s="8"/>
      <c r="E2671" s="8"/>
      <c r="F2671" t="str" s="15">
        <f aca="0">IF(B2671="","",IF(H2671="","확인필요(입력누락)",IF(SUMPRODUCT((실물목록!$P$2:$P$1001&lt;&gt;"")*ISNUMBER(SEARCH(실물목록!$P$2:$P$1001,I2671))*(실물목록!$Q$2:$Q$1001&lt;&gt;"")*ISNUMBER(SEARCH(실물목록!$Q$2:$Q$1001,I2671))*(실물목록!$R$2:$R$1001="")*(실물목록!$O$2:$O$1001&lt;&gt;"")*(실물목록!$O$2:$O$1001=H2671))&gt;0,"실물 있음",IF(SUMPRODUCT((실물목록!$P$2:$P$1001&lt;&gt;"")*ISNUMBER(SEARCH(실물목록!$P$2:$P$1001,I2671))*(실물목록!$R$2:$R$1001&lt;&gt;""))&gt;0,"확인필요(입력누락)",IF(SUMPRODUCT((실물목록!$P$2:$P$1001&lt;&gt;"")*ISNUMBER(SEARCH(실물목록!$P$2:$P$1001,I2671))*(실물목록!$Q$2:$Q$1001&lt;&gt;"")*ISNUMBER(SEARCH(실물목록!$Q$2:$Q$1001,I2671))*(실물목록!$R$2:$R$1001="")*(실물목록!$O$2:$O$1001&lt;&gt;""))&gt;0,"확인필요(연도다름)","실물 없음")))))</f>
      </c>
      <c r="G2671" t="n" s="16">
        <f aca="0">IF(B2671="","",SUMPRODUCT((실물목록!$P$2:$P$1001&lt;&gt;"")*ISNUMBER(SEARCH(실물목록!$P$2:$P$1001,I2671))*(실물목록!$Q$2:$Q$1001&lt;&gt;"")*ISNUMBER(SEARCH(실물목록!$Q$2:$Q$1001,I2671))*(실물목록!$R$2:$R$1001="")*(실물목록!$O$2:$O$1001&lt;&gt;"")*(실물목록!$O$2:$O$1001=H2671)))</f>
      </c>
      <c r="H2671" t="str">
        <f>IFERROR(IF(AND(LEN(SUBSTITUTE(SUBSTITUTE(SUBSTITUTE(TRIM(A2671&amp;""),CHAR(160),"")," ",""),"년",""))=4,VALUE(SUBSTITUTE(SUBSTITUTE(SUBSTITUTE(TRIM(A2671&amp;""),CHAR(160),"")," ",""),"년",""))&gt;=1900,VALUE(SUBSTITUTE(SUBSTITUTE(SUBSTITUTE(TRIM(A2671&amp;""),CHAR(160),"")," ",""),"년",""))&lt;=2099,TEXT(VALUE(SUBSTITUTE(SUBSTITUTE(SUBSTITUTE(TRIM(A2671&amp;""),CHAR(160),"")," ",""),"년","")),"0000")=SUBSTITUTE(SUBSTITUTE(SUBSTITUTE(TRIM(A2671&amp;""),CHAR(160),"")," ",""),"년","")),SUBSTITUTE(SUBSTITUTE(SUBSTITUTE(TRIM(A2671&amp;""),CHAR(160),"")," ",""),"년",""),""),"")</f>
      </c>
      <c r="I2671" t="str">
        <f>SUBSTITUTE(SUBSTITUTE(SUBSTITUTE(SUBSTITUTE(SUBSTITUTE(TRIM(B2671&amp;""),CHAR(160),"")," ",""),"초등학교","초"),"중학교","중"),"고등학교","고")</f>
      </c>
    </row>
    <row r="2672" customFormat="false" ht="15" hidden="false" customHeight="false" outlineLevel="0" collapsed="false">
      <c r="A2672" s="8"/>
      <c r="B2672" s="8"/>
      <c r="C2672" s="8"/>
      <c r="D2672" s="8"/>
      <c r="E2672" s="8"/>
      <c r="F2672" t="str" s="15">
        <f aca="0">IF(B2672="","",IF(H2672="","확인필요(입력누락)",IF(SUMPRODUCT((실물목록!$P$2:$P$1001&lt;&gt;"")*ISNUMBER(SEARCH(실물목록!$P$2:$P$1001,I2672))*(실물목록!$Q$2:$Q$1001&lt;&gt;"")*ISNUMBER(SEARCH(실물목록!$Q$2:$Q$1001,I2672))*(실물목록!$R$2:$R$1001="")*(실물목록!$O$2:$O$1001&lt;&gt;"")*(실물목록!$O$2:$O$1001=H2672))&gt;0,"실물 있음",IF(SUMPRODUCT((실물목록!$P$2:$P$1001&lt;&gt;"")*ISNUMBER(SEARCH(실물목록!$P$2:$P$1001,I2672))*(실물목록!$R$2:$R$1001&lt;&gt;""))&gt;0,"확인필요(입력누락)",IF(SUMPRODUCT((실물목록!$P$2:$P$1001&lt;&gt;"")*ISNUMBER(SEARCH(실물목록!$P$2:$P$1001,I2672))*(실물목록!$Q$2:$Q$1001&lt;&gt;"")*ISNUMBER(SEARCH(실물목록!$Q$2:$Q$1001,I2672))*(실물목록!$R$2:$R$1001="")*(실물목록!$O$2:$O$1001&lt;&gt;""))&gt;0,"확인필요(연도다름)","실물 없음")))))</f>
      </c>
      <c r="G2672" t="n" s="16">
        <f aca="0">IF(B2672="","",SUMPRODUCT((실물목록!$P$2:$P$1001&lt;&gt;"")*ISNUMBER(SEARCH(실물목록!$P$2:$P$1001,I2672))*(실물목록!$Q$2:$Q$1001&lt;&gt;"")*ISNUMBER(SEARCH(실물목록!$Q$2:$Q$1001,I2672))*(실물목록!$R$2:$R$1001="")*(실물목록!$O$2:$O$1001&lt;&gt;"")*(실물목록!$O$2:$O$1001=H2672)))</f>
      </c>
      <c r="H2672" t="str">
        <f>IFERROR(IF(AND(LEN(SUBSTITUTE(SUBSTITUTE(SUBSTITUTE(TRIM(A2672&amp;""),CHAR(160),"")," ",""),"년",""))=4,VALUE(SUBSTITUTE(SUBSTITUTE(SUBSTITUTE(TRIM(A2672&amp;""),CHAR(160),"")," ",""),"년",""))&gt;=1900,VALUE(SUBSTITUTE(SUBSTITUTE(SUBSTITUTE(TRIM(A2672&amp;""),CHAR(160),"")," ",""),"년",""))&lt;=2099,TEXT(VALUE(SUBSTITUTE(SUBSTITUTE(SUBSTITUTE(TRIM(A2672&amp;""),CHAR(160),"")," ",""),"년","")),"0000")=SUBSTITUTE(SUBSTITUTE(SUBSTITUTE(TRIM(A2672&amp;""),CHAR(160),"")," ",""),"년","")),SUBSTITUTE(SUBSTITUTE(SUBSTITUTE(TRIM(A2672&amp;""),CHAR(160),"")," ",""),"년",""),""),"")</f>
      </c>
      <c r="I2672" t="str">
        <f>SUBSTITUTE(SUBSTITUTE(SUBSTITUTE(SUBSTITUTE(SUBSTITUTE(TRIM(B2672&amp;""),CHAR(160),"")," ",""),"초등학교","초"),"중학교","중"),"고등학교","고")</f>
      </c>
    </row>
    <row r="2673" customFormat="false" ht="15" hidden="false" customHeight="false" outlineLevel="0" collapsed="false">
      <c r="A2673" s="8"/>
      <c r="B2673" s="8"/>
      <c r="C2673" s="8"/>
      <c r="D2673" s="8"/>
      <c r="E2673" s="8"/>
      <c r="F2673" t="str" s="15">
        <f aca="0">IF(B2673="","",IF(H2673="","확인필요(입력누락)",IF(SUMPRODUCT((실물목록!$P$2:$P$1001&lt;&gt;"")*ISNUMBER(SEARCH(실물목록!$P$2:$P$1001,I2673))*(실물목록!$Q$2:$Q$1001&lt;&gt;"")*ISNUMBER(SEARCH(실물목록!$Q$2:$Q$1001,I2673))*(실물목록!$R$2:$R$1001="")*(실물목록!$O$2:$O$1001&lt;&gt;"")*(실물목록!$O$2:$O$1001=H2673))&gt;0,"실물 있음",IF(SUMPRODUCT((실물목록!$P$2:$P$1001&lt;&gt;"")*ISNUMBER(SEARCH(실물목록!$P$2:$P$1001,I2673))*(실물목록!$R$2:$R$1001&lt;&gt;""))&gt;0,"확인필요(입력누락)",IF(SUMPRODUCT((실물목록!$P$2:$P$1001&lt;&gt;"")*ISNUMBER(SEARCH(실물목록!$P$2:$P$1001,I2673))*(실물목록!$Q$2:$Q$1001&lt;&gt;"")*ISNUMBER(SEARCH(실물목록!$Q$2:$Q$1001,I2673))*(실물목록!$R$2:$R$1001="")*(실물목록!$O$2:$O$1001&lt;&gt;""))&gt;0,"확인필요(연도다름)","실물 없음")))))</f>
      </c>
      <c r="G2673" t="n" s="16">
        <f aca="0">IF(B2673="","",SUMPRODUCT((실물목록!$P$2:$P$1001&lt;&gt;"")*ISNUMBER(SEARCH(실물목록!$P$2:$P$1001,I2673))*(실물목록!$Q$2:$Q$1001&lt;&gt;"")*ISNUMBER(SEARCH(실물목록!$Q$2:$Q$1001,I2673))*(실물목록!$R$2:$R$1001="")*(실물목록!$O$2:$O$1001&lt;&gt;"")*(실물목록!$O$2:$O$1001=H2673)))</f>
      </c>
      <c r="H2673" t="str">
        <f>IFERROR(IF(AND(LEN(SUBSTITUTE(SUBSTITUTE(SUBSTITUTE(TRIM(A2673&amp;""),CHAR(160),"")," ",""),"년",""))=4,VALUE(SUBSTITUTE(SUBSTITUTE(SUBSTITUTE(TRIM(A2673&amp;""),CHAR(160),"")," ",""),"년",""))&gt;=1900,VALUE(SUBSTITUTE(SUBSTITUTE(SUBSTITUTE(TRIM(A2673&amp;""),CHAR(160),"")," ",""),"년",""))&lt;=2099,TEXT(VALUE(SUBSTITUTE(SUBSTITUTE(SUBSTITUTE(TRIM(A2673&amp;""),CHAR(160),"")," ",""),"년","")),"0000")=SUBSTITUTE(SUBSTITUTE(SUBSTITUTE(TRIM(A2673&amp;""),CHAR(160),"")," ",""),"년","")),SUBSTITUTE(SUBSTITUTE(SUBSTITUTE(TRIM(A2673&amp;""),CHAR(160),"")," ",""),"년",""),""),"")</f>
      </c>
      <c r="I2673" t="str">
        <f>SUBSTITUTE(SUBSTITUTE(SUBSTITUTE(SUBSTITUTE(SUBSTITUTE(TRIM(B2673&amp;""),CHAR(160),"")," ",""),"초등학교","초"),"중학교","중"),"고등학교","고")</f>
      </c>
    </row>
    <row r="2674" customFormat="false" ht="15" hidden="false" customHeight="false" outlineLevel="0" collapsed="false">
      <c r="A2674" s="8"/>
      <c r="B2674" s="8"/>
      <c r="C2674" s="8"/>
      <c r="D2674" s="8"/>
      <c r="E2674" s="8"/>
      <c r="F2674" t="str" s="15">
        <f aca="0">IF(B2674="","",IF(H2674="","확인필요(입력누락)",IF(SUMPRODUCT((실물목록!$P$2:$P$1001&lt;&gt;"")*ISNUMBER(SEARCH(실물목록!$P$2:$P$1001,I2674))*(실물목록!$Q$2:$Q$1001&lt;&gt;"")*ISNUMBER(SEARCH(실물목록!$Q$2:$Q$1001,I2674))*(실물목록!$R$2:$R$1001="")*(실물목록!$O$2:$O$1001&lt;&gt;"")*(실물목록!$O$2:$O$1001=H2674))&gt;0,"실물 있음",IF(SUMPRODUCT((실물목록!$P$2:$P$1001&lt;&gt;"")*ISNUMBER(SEARCH(실물목록!$P$2:$P$1001,I2674))*(실물목록!$R$2:$R$1001&lt;&gt;""))&gt;0,"확인필요(입력누락)",IF(SUMPRODUCT((실물목록!$P$2:$P$1001&lt;&gt;"")*ISNUMBER(SEARCH(실물목록!$P$2:$P$1001,I2674))*(실물목록!$Q$2:$Q$1001&lt;&gt;"")*ISNUMBER(SEARCH(실물목록!$Q$2:$Q$1001,I2674))*(실물목록!$R$2:$R$1001="")*(실물목록!$O$2:$O$1001&lt;&gt;""))&gt;0,"확인필요(연도다름)","실물 없음")))))</f>
      </c>
      <c r="G2674" t="n" s="16">
        <f aca="0">IF(B2674="","",SUMPRODUCT((실물목록!$P$2:$P$1001&lt;&gt;"")*ISNUMBER(SEARCH(실물목록!$P$2:$P$1001,I2674))*(실물목록!$Q$2:$Q$1001&lt;&gt;"")*ISNUMBER(SEARCH(실물목록!$Q$2:$Q$1001,I2674))*(실물목록!$R$2:$R$1001="")*(실물목록!$O$2:$O$1001&lt;&gt;"")*(실물목록!$O$2:$O$1001=H2674)))</f>
      </c>
      <c r="H2674" t="str">
        <f>IFERROR(IF(AND(LEN(SUBSTITUTE(SUBSTITUTE(SUBSTITUTE(TRIM(A2674&amp;""),CHAR(160),"")," ",""),"년",""))=4,VALUE(SUBSTITUTE(SUBSTITUTE(SUBSTITUTE(TRIM(A2674&amp;""),CHAR(160),"")," ",""),"년",""))&gt;=1900,VALUE(SUBSTITUTE(SUBSTITUTE(SUBSTITUTE(TRIM(A2674&amp;""),CHAR(160),"")," ",""),"년",""))&lt;=2099,TEXT(VALUE(SUBSTITUTE(SUBSTITUTE(SUBSTITUTE(TRIM(A2674&amp;""),CHAR(160),"")," ",""),"년","")),"0000")=SUBSTITUTE(SUBSTITUTE(SUBSTITUTE(TRIM(A2674&amp;""),CHAR(160),"")," ",""),"년","")),SUBSTITUTE(SUBSTITUTE(SUBSTITUTE(TRIM(A2674&amp;""),CHAR(160),"")," ",""),"년",""),""),"")</f>
      </c>
      <c r="I2674" t="str">
        <f>SUBSTITUTE(SUBSTITUTE(SUBSTITUTE(SUBSTITUTE(SUBSTITUTE(TRIM(B2674&amp;""),CHAR(160),"")," ",""),"초등학교","초"),"중학교","중"),"고등학교","고")</f>
      </c>
    </row>
    <row r="2675" customFormat="false" ht="15" hidden="false" customHeight="false" outlineLevel="0" collapsed="false">
      <c r="A2675" s="8"/>
      <c r="B2675" s="8"/>
      <c r="C2675" s="8"/>
      <c r="D2675" s="8"/>
      <c r="E2675" s="8"/>
      <c r="F2675" t="str" s="15">
        <f aca="0">IF(B2675="","",IF(H2675="","확인필요(입력누락)",IF(SUMPRODUCT((실물목록!$P$2:$P$1001&lt;&gt;"")*ISNUMBER(SEARCH(실물목록!$P$2:$P$1001,I2675))*(실물목록!$Q$2:$Q$1001&lt;&gt;"")*ISNUMBER(SEARCH(실물목록!$Q$2:$Q$1001,I2675))*(실물목록!$R$2:$R$1001="")*(실물목록!$O$2:$O$1001&lt;&gt;"")*(실물목록!$O$2:$O$1001=H2675))&gt;0,"실물 있음",IF(SUMPRODUCT((실물목록!$P$2:$P$1001&lt;&gt;"")*ISNUMBER(SEARCH(실물목록!$P$2:$P$1001,I2675))*(실물목록!$R$2:$R$1001&lt;&gt;""))&gt;0,"확인필요(입력누락)",IF(SUMPRODUCT((실물목록!$P$2:$P$1001&lt;&gt;"")*ISNUMBER(SEARCH(실물목록!$P$2:$P$1001,I2675))*(실물목록!$Q$2:$Q$1001&lt;&gt;"")*ISNUMBER(SEARCH(실물목록!$Q$2:$Q$1001,I2675))*(실물목록!$R$2:$R$1001="")*(실물목록!$O$2:$O$1001&lt;&gt;""))&gt;0,"확인필요(연도다름)","실물 없음")))))</f>
      </c>
      <c r="G2675" t="n" s="16">
        <f aca="0">IF(B2675="","",SUMPRODUCT((실물목록!$P$2:$P$1001&lt;&gt;"")*ISNUMBER(SEARCH(실물목록!$P$2:$P$1001,I2675))*(실물목록!$Q$2:$Q$1001&lt;&gt;"")*ISNUMBER(SEARCH(실물목록!$Q$2:$Q$1001,I2675))*(실물목록!$R$2:$R$1001="")*(실물목록!$O$2:$O$1001&lt;&gt;"")*(실물목록!$O$2:$O$1001=H2675)))</f>
      </c>
      <c r="H2675" t="str">
        <f>IFERROR(IF(AND(LEN(SUBSTITUTE(SUBSTITUTE(SUBSTITUTE(TRIM(A2675&amp;""),CHAR(160),"")," ",""),"년",""))=4,VALUE(SUBSTITUTE(SUBSTITUTE(SUBSTITUTE(TRIM(A2675&amp;""),CHAR(160),"")," ",""),"년",""))&gt;=1900,VALUE(SUBSTITUTE(SUBSTITUTE(SUBSTITUTE(TRIM(A2675&amp;""),CHAR(160),"")," ",""),"년",""))&lt;=2099,TEXT(VALUE(SUBSTITUTE(SUBSTITUTE(SUBSTITUTE(TRIM(A2675&amp;""),CHAR(160),"")," ",""),"년","")),"0000")=SUBSTITUTE(SUBSTITUTE(SUBSTITUTE(TRIM(A2675&amp;""),CHAR(160),"")," ",""),"년","")),SUBSTITUTE(SUBSTITUTE(SUBSTITUTE(TRIM(A2675&amp;""),CHAR(160),"")," ",""),"년",""),""),"")</f>
      </c>
      <c r="I2675" t="str">
        <f>SUBSTITUTE(SUBSTITUTE(SUBSTITUTE(SUBSTITUTE(SUBSTITUTE(TRIM(B2675&amp;""),CHAR(160),"")," ",""),"초등학교","초"),"중학교","중"),"고등학교","고")</f>
      </c>
    </row>
    <row r="2676" customFormat="false" ht="15" hidden="false" customHeight="false" outlineLevel="0" collapsed="false">
      <c r="A2676" s="8"/>
      <c r="B2676" s="8"/>
      <c r="C2676" s="8"/>
      <c r="D2676" s="8"/>
      <c r="E2676" s="8"/>
      <c r="F2676" t="str" s="15">
        <f aca="0">IF(B2676="","",IF(H2676="","확인필요(입력누락)",IF(SUMPRODUCT((실물목록!$P$2:$P$1001&lt;&gt;"")*ISNUMBER(SEARCH(실물목록!$P$2:$P$1001,I2676))*(실물목록!$Q$2:$Q$1001&lt;&gt;"")*ISNUMBER(SEARCH(실물목록!$Q$2:$Q$1001,I2676))*(실물목록!$R$2:$R$1001="")*(실물목록!$O$2:$O$1001&lt;&gt;"")*(실물목록!$O$2:$O$1001=H2676))&gt;0,"실물 있음",IF(SUMPRODUCT((실물목록!$P$2:$P$1001&lt;&gt;"")*ISNUMBER(SEARCH(실물목록!$P$2:$P$1001,I2676))*(실물목록!$R$2:$R$1001&lt;&gt;""))&gt;0,"확인필요(입력누락)",IF(SUMPRODUCT((실물목록!$P$2:$P$1001&lt;&gt;"")*ISNUMBER(SEARCH(실물목록!$P$2:$P$1001,I2676))*(실물목록!$Q$2:$Q$1001&lt;&gt;"")*ISNUMBER(SEARCH(실물목록!$Q$2:$Q$1001,I2676))*(실물목록!$R$2:$R$1001="")*(실물목록!$O$2:$O$1001&lt;&gt;""))&gt;0,"확인필요(연도다름)","실물 없음")))))</f>
      </c>
      <c r="G2676" t="n" s="16">
        <f aca="0">IF(B2676="","",SUMPRODUCT((실물목록!$P$2:$P$1001&lt;&gt;"")*ISNUMBER(SEARCH(실물목록!$P$2:$P$1001,I2676))*(실물목록!$Q$2:$Q$1001&lt;&gt;"")*ISNUMBER(SEARCH(실물목록!$Q$2:$Q$1001,I2676))*(실물목록!$R$2:$R$1001="")*(실물목록!$O$2:$O$1001&lt;&gt;"")*(실물목록!$O$2:$O$1001=H2676)))</f>
      </c>
      <c r="H2676" t="str">
        <f>IFERROR(IF(AND(LEN(SUBSTITUTE(SUBSTITUTE(SUBSTITUTE(TRIM(A2676&amp;""),CHAR(160),"")," ",""),"년",""))=4,VALUE(SUBSTITUTE(SUBSTITUTE(SUBSTITUTE(TRIM(A2676&amp;""),CHAR(160),"")," ",""),"년",""))&gt;=1900,VALUE(SUBSTITUTE(SUBSTITUTE(SUBSTITUTE(TRIM(A2676&amp;""),CHAR(160),"")," ",""),"년",""))&lt;=2099,TEXT(VALUE(SUBSTITUTE(SUBSTITUTE(SUBSTITUTE(TRIM(A2676&amp;""),CHAR(160),"")," ",""),"년","")),"0000")=SUBSTITUTE(SUBSTITUTE(SUBSTITUTE(TRIM(A2676&amp;""),CHAR(160),"")," ",""),"년","")),SUBSTITUTE(SUBSTITUTE(SUBSTITUTE(TRIM(A2676&amp;""),CHAR(160),"")," ",""),"년",""),""),"")</f>
      </c>
      <c r="I2676" t="str">
        <f>SUBSTITUTE(SUBSTITUTE(SUBSTITUTE(SUBSTITUTE(SUBSTITUTE(TRIM(B2676&amp;""),CHAR(160),"")," ",""),"초등학교","초"),"중학교","중"),"고등학교","고")</f>
      </c>
    </row>
    <row r="2677" customFormat="false" ht="15" hidden="false" customHeight="false" outlineLevel="0" collapsed="false">
      <c r="A2677" s="8"/>
      <c r="B2677" s="8"/>
      <c r="C2677" s="8"/>
      <c r="D2677" s="8"/>
      <c r="E2677" s="8"/>
      <c r="F2677" t="str" s="15">
        <f aca="0">IF(B2677="","",IF(H2677="","확인필요(입력누락)",IF(SUMPRODUCT((실물목록!$P$2:$P$1001&lt;&gt;"")*ISNUMBER(SEARCH(실물목록!$P$2:$P$1001,I2677))*(실물목록!$Q$2:$Q$1001&lt;&gt;"")*ISNUMBER(SEARCH(실물목록!$Q$2:$Q$1001,I2677))*(실물목록!$R$2:$R$1001="")*(실물목록!$O$2:$O$1001&lt;&gt;"")*(실물목록!$O$2:$O$1001=H2677))&gt;0,"실물 있음",IF(SUMPRODUCT((실물목록!$P$2:$P$1001&lt;&gt;"")*ISNUMBER(SEARCH(실물목록!$P$2:$P$1001,I2677))*(실물목록!$R$2:$R$1001&lt;&gt;""))&gt;0,"확인필요(입력누락)",IF(SUMPRODUCT((실물목록!$P$2:$P$1001&lt;&gt;"")*ISNUMBER(SEARCH(실물목록!$P$2:$P$1001,I2677))*(실물목록!$Q$2:$Q$1001&lt;&gt;"")*ISNUMBER(SEARCH(실물목록!$Q$2:$Q$1001,I2677))*(실물목록!$R$2:$R$1001="")*(실물목록!$O$2:$O$1001&lt;&gt;""))&gt;0,"확인필요(연도다름)","실물 없음")))))</f>
      </c>
      <c r="G2677" t="n" s="16">
        <f aca="0">IF(B2677="","",SUMPRODUCT((실물목록!$P$2:$P$1001&lt;&gt;"")*ISNUMBER(SEARCH(실물목록!$P$2:$P$1001,I2677))*(실물목록!$Q$2:$Q$1001&lt;&gt;"")*ISNUMBER(SEARCH(실물목록!$Q$2:$Q$1001,I2677))*(실물목록!$R$2:$R$1001="")*(실물목록!$O$2:$O$1001&lt;&gt;"")*(실물목록!$O$2:$O$1001=H2677)))</f>
      </c>
      <c r="H2677" t="str">
        <f>IFERROR(IF(AND(LEN(SUBSTITUTE(SUBSTITUTE(SUBSTITUTE(TRIM(A2677&amp;""),CHAR(160),"")," ",""),"년",""))=4,VALUE(SUBSTITUTE(SUBSTITUTE(SUBSTITUTE(TRIM(A2677&amp;""),CHAR(160),"")," ",""),"년",""))&gt;=1900,VALUE(SUBSTITUTE(SUBSTITUTE(SUBSTITUTE(TRIM(A2677&amp;""),CHAR(160),"")," ",""),"년",""))&lt;=2099,TEXT(VALUE(SUBSTITUTE(SUBSTITUTE(SUBSTITUTE(TRIM(A2677&amp;""),CHAR(160),"")," ",""),"년","")),"0000")=SUBSTITUTE(SUBSTITUTE(SUBSTITUTE(TRIM(A2677&amp;""),CHAR(160),"")," ",""),"년","")),SUBSTITUTE(SUBSTITUTE(SUBSTITUTE(TRIM(A2677&amp;""),CHAR(160),"")," ",""),"년",""),""),"")</f>
      </c>
      <c r="I2677" t="str">
        <f>SUBSTITUTE(SUBSTITUTE(SUBSTITUTE(SUBSTITUTE(SUBSTITUTE(TRIM(B2677&amp;""),CHAR(160),"")," ",""),"초등학교","초"),"중학교","중"),"고등학교","고")</f>
      </c>
    </row>
    <row r="2678" customFormat="false" ht="15" hidden="false" customHeight="false" outlineLevel="0" collapsed="false">
      <c r="A2678" s="8"/>
      <c r="B2678" s="8"/>
      <c r="C2678" s="8"/>
      <c r="D2678" s="8"/>
      <c r="E2678" s="8"/>
      <c r="F2678" t="str" s="15">
        <f aca="0">IF(B2678="","",IF(H2678="","확인필요(입력누락)",IF(SUMPRODUCT((실물목록!$P$2:$P$1001&lt;&gt;"")*ISNUMBER(SEARCH(실물목록!$P$2:$P$1001,I2678))*(실물목록!$Q$2:$Q$1001&lt;&gt;"")*ISNUMBER(SEARCH(실물목록!$Q$2:$Q$1001,I2678))*(실물목록!$R$2:$R$1001="")*(실물목록!$O$2:$O$1001&lt;&gt;"")*(실물목록!$O$2:$O$1001=H2678))&gt;0,"실물 있음",IF(SUMPRODUCT((실물목록!$P$2:$P$1001&lt;&gt;"")*ISNUMBER(SEARCH(실물목록!$P$2:$P$1001,I2678))*(실물목록!$R$2:$R$1001&lt;&gt;""))&gt;0,"확인필요(입력누락)",IF(SUMPRODUCT((실물목록!$P$2:$P$1001&lt;&gt;"")*ISNUMBER(SEARCH(실물목록!$P$2:$P$1001,I2678))*(실물목록!$Q$2:$Q$1001&lt;&gt;"")*ISNUMBER(SEARCH(실물목록!$Q$2:$Q$1001,I2678))*(실물목록!$R$2:$R$1001="")*(실물목록!$O$2:$O$1001&lt;&gt;""))&gt;0,"확인필요(연도다름)","실물 없음")))))</f>
      </c>
      <c r="G2678" t="n" s="16">
        <f aca="0">IF(B2678="","",SUMPRODUCT((실물목록!$P$2:$P$1001&lt;&gt;"")*ISNUMBER(SEARCH(실물목록!$P$2:$P$1001,I2678))*(실물목록!$Q$2:$Q$1001&lt;&gt;"")*ISNUMBER(SEARCH(실물목록!$Q$2:$Q$1001,I2678))*(실물목록!$R$2:$R$1001="")*(실물목록!$O$2:$O$1001&lt;&gt;"")*(실물목록!$O$2:$O$1001=H2678)))</f>
      </c>
      <c r="H2678" t="str">
        <f>IFERROR(IF(AND(LEN(SUBSTITUTE(SUBSTITUTE(SUBSTITUTE(TRIM(A2678&amp;""),CHAR(160),"")," ",""),"년",""))=4,VALUE(SUBSTITUTE(SUBSTITUTE(SUBSTITUTE(TRIM(A2678&amp;""),CHAR(160),"")," ",""),"년",""))&gt;=1900,VALUE(SUBSTITUTE(SUBSTITUTE(SUBSTITUTE(TRIM(A2678&amp;""),CHAR(160),"")," ",""),"년",""))&lt;=2099,TEXT(VALUE(SUBSTITUTE(SUBSTITUTE(SUBSTITUTE(TRIM(A2678&amp;""),CHAR(160),"")," ",""),"년","")),"0000")=SUBSTITUTE(SUBSTITUTE(SUBSTITUTE(TRIM(A2678&amp;""),CHAR(160),"")," ",""),"년","")),SUBSTITUTE(SUBSTITUTE(SUBSTITUTE(TRIM(A2678&amp;""),CHAR(160),"")," ",""),"년",""),""),"")</f>
      </c>
      <c r="I2678" t="str">
        <f>SUBSTITUTE(SUBSTITUTE(SUBSTITUTE(SUBSTITUTE(SUBSTITUTE(TRIM(B2678&amp;""),CHAR(160),"")," ",""),"초등학교","초"),"중학교","중"),"고등학교","고")</f>
      </c>
    </row>
    <row r="2679" customFormat="false" ht="15" hidden="false" customHeight="false" outlineLevel="0" collapsed="false">
      <c r="A2679" s="8"/>
      <c r="B2679" s="8"/>
      <c r="C2679" s="8"/>
      <c r="D2679" s="8"/>
      <c r="E2679" s="8"/>
      <c r="F2679" t="str" s="15">
        <f aca="0">IF(B2679="","",IF(H2679="","확인필요(입력누락)",IF(SUMPRODUCT((실물목록!$P$2:$P$1001&lt;&gt;"")*ISNUMBER(SEARCH(실물목록!$P$2:$P$1001,I2679))*(실물목록!$Q$2:$Q$1001&lt;&gt;"")*ISNUMBER(SEARCH(실물목록!$Q$2:$Q$1001,I2679))*(실물목록!$R$2:$R$1001="")*(실물목록!$O$2:$O$1001&lt;&gt;"")*(실물목록!$O$2:$O$1001=H2679))&gt;0,"실물 있음",IF(SUMPRODUCT((실물목록!$P$2:$P$1001&lt;&gt;"")*ISNUMBER(SEARCH(실물목록!$P$2:$P$1001,I2679))*(실물목록!$R$2:$R$1001&lt;&gt;""))&gt;0,"확인필요(입력누락)",IF(SUMPRODUCT((실물목록!$P$2:$P$1001&lt;&gt;"")*ISNUMBER(SEARCH(실물목록!$P$2:$P$1001,I2679))*(실물목록!$Q$2:$Q$1001&lt;&gt;"")*ISNUMBER(SEARCH(실물목록!$Q$2:$Q$1001,I2679))*(실물목록!$R$2:$R$1001="")*(실물목록!$O$2:$O$1001&lt;&gt;""))&gt;0,"확인필요(연도다름)","실물 없음")))))</f>
      </c>
      <c r="G2679" t="n" s="16">
        <f aca="0">IF(B2679="","",SUMPRODUCT((실물목록!$P$2:$P$1001&lt;&gt;"")*ISNUMBER(SEARCH(실물목록!$P$2:$P$1001,I2679))*(실물목록!$Q$2:$Q$1001&lt;&gt;"")*ISNUMBER(SEARCH(실물목록!$Q$2:$Q$1001,I2679))*(실물목록!$R$2:$R$1001="")*(실물목록!$O$2:$O$1001&lt;&gt;"")*(실물목록!$O$2:$O$1001=H2679)))</f>
      </c>
      <c r="H2679" t="str">
        <f>IFERROR(IF(AND(LEN(SUBSTITUTE(SUBSTITUTE(SUBSTITUTE(TRIM(A2679&amp;""),CHAR(160),"")," ",""),"년",""))=4,VALUE(SUBSTITUTE(SUBSTITUTE(SUBSTITUTE(TRIM(A2679&amp;""),CHAR(160),"")," ",""),"년",""))&gt;=1900,VALUE(SUBSTITUTE(SUBSTITUTE(SUBSTITUTE(TRIM(A2679&amp;""),CHAR(160),"")," ",""),"년",""))&lt;=2099,TEXT(VALUE(SUBSTITUTE(SUBSTITUTE(SUBSTITUTE(TRIM(A2679&amp;""),CHAR(160),"")," ",""),"년","")),"0000")=SUBSTITUTE(SUBSTITUTE(SUBSTITUTE(TRIM(A2679&amp;""),CHAR(160),"")," ",""),"년","")),SUBSTITUTE(SUBSTITUTE(SUBSTITUTE(TRIM(A2679&amp;""),CHAR(160),"")," ",""),"년",""),""),"")</f>
      </c>
      <c r="I2679" t="str">
        <f>SUBSTITUTE(SUBSTITUTE(SUBSTITUTE(SUBSTITUTE(SUBSTITUTE(TRIM(B2679&amp;""),CHAR(160),"")," ",""),"초등학교","초"),"중학교","중"),"고등학교","고")</f>
      </c>
    </row>
    <row r="2680" customFormat="false" ht="15" hidden="false" customHeight="false" outlineLevel="0" collapsed="false">
      <c r="A2680" s="8"/>
      <c r="B2680" s="8"/>
      <c r="C2680" s="8"/>
      <c r="D2680" s="8"/>
      <c r="E2680" s="8"/>
      <c r="F2680" t="str" s="15">
        <f aca="0">IF(B2680="","",IF(H2680="","확인필요(입력누락)",IF(SUMPRODUCT((실물목록!$P$2:$P$1001&lt;&gt;"")*ISNUMBER(SEARCH(실물목록!$P$2:$P$1001,I2680))*(실물목록!$Q$2:$Q$1001&lt;&gt;"")*ISNUMBER(SEARCH(실물목록!$Q$2:$Q$1001,I2680))*(실물목록!$R$2:$R$1001="")*(실물목록!$O$2:$O$1001&lt;&gt;"")*(실물목록!$O$2:$O$1001=H2680))&gt;0,"실물 있음",IF(SUMPRODUCT((실물목록!$P$2:$P$1001&lt;&gt;"")*ISNUMBER(SEARCH(실물목록!$P$2:$P$1001,I2680))*(실물목록!$R$2:$R$1001&lt;&gt;""))&gt;0,"확인필요(입력누락)",IF(SUMPRODUCT((실물목록!$P$2:$P$1001&lt;&gt;"")*ISNUMBER(SEARCH(실물목록!$P$2:$P$1001,I2680))*(실물목록!$Q$2:$Q$1001&lt;&gt;"")*ISNUMBER(SEARCH(실물목록!$Q$2:$Q$1001,I2680))*(실물목록!$R$2:$R$1001="")*(실물목록!$O$2:$O$1001&lt;&gt;""))&gt;0,"확인필요(연도다름)","실물 없음")))))</f>
      </c>
      <c r="G2680" t="n" s="16">
        <f aca="0">IF(B2680="","",SUMPRODUCT((실물목록!$P$2:$P$1001&lt;&gt;"")*ISNUMBER(SEARCH(실물목록!$P$2:$P$1001,I2680))*(실물목록!$Q$2:$Q$1001&lt;&gt;"")*ISNUMBER(SEARCH(실물목록!$Q$2:$Q$1001,I2680))*(실물목록!$R$2:$R$1001="")*(실물목록!$O$2:$O$1001&lt;&gt;"")*(실물목록!$O$2:$O$1001=H2680)))</f>
      </c>
      <c r="H2680" t="str">
        <f>IFERROR(IF(AND(LEN(SUBSTITUTE(SUBSTITUTE(SUBSTITUTE(TRIM(A2680&amp;""),CHAR(160),"")," ",""),"년",""))=4,VALUE(SUBSTITUTE(SUBSTITUTE(SUBSTITUTE(TRIM(A2680&amp;""),CHAR(160),"")," ",""),"년",""))&gt;=1900,VALUE(SUBSTITUTE(SUBSTITUTE(SUBSTITUTE(TRIM(A2680&amp;""),CHAR(160),"")," ",""),"년",""))&lt;=2099,TEXT(VALUE(SUBSTITUTE(SUBSTITUTE(SUBSTITUTE(TRIM(A2680&amp;""),CHAR(160),"")," ",""),"년","")),"0000")=SUBSTITUTE(SUBSTITUTE(SUBSTITUTE(TRIM(A2680&amp;""),CHAR(160),"")," ",""),"년","")),SUBSTITUTE(SUBSTITUTE(SUBSTITUTE(TRIM(A2680&amp;""),CHAR(160),"")," ",""),"년",""),""),"")</f>
      </c>
      <c r="I2680" t="str">
        <f>SUBSTITUTE(SUBSTITUTE(SUBSTITUTE(SUBSTITUTE(SUBSTITUTE(TRIM(B2680&amp;""),CHAR(160),"")," ",""),"초등학교","초"),"중학교","중"),"고등학교","고")</f>
      </c>
    </row>
    <row r="2681" customFormat="false" ht="15" hidden="false" customHeight="false" outlineLevel="0" collapsed="false">
      <c r="A2681" s="8"/>
      <c r="B2681" s="8"/>
      <c r="C2681" s="8"/>
      <c r="D2681" s="8"/>
      <c r="E2681" s="8"/>
      <c r="F2681" t="str" s="15">
        <f aca="0">IF(B2681="","",IF(H2681="","확인필요(입력누락)",IF(SUMPRODUCT((실물목록!$P$2:$P$1001&lt;&gt;"")*ISNUMBER(SEARCH(실물목록!$P$2:$P$1001,I2681))*(실물목록!$Q$2:$Q$1001&lt;&gt;"")*ISNUMBER(SEARCH(실물목록!$Q$2:$Q$1001,I2681))*(실물목록!$R$2:$R$1001="")*(실물목록!$O$2:$O$1001&lt;&gt;"")*(실물목록!$O$2:$O$1001=H2681))&gt;0,"실물 있음",IF(SUMPRODUCT((실물목록!$P$2:$P$1001&lt;&gt;"")*ISNUMBER(SEARCH(실물목록!$P$2:$P$1001,I2681))*(실물목록!$R$2:$R$1001&lt;&gt;""))&gt;0,"확인필요(입력누락)",IF(SUMPRODUCT((실물목록!$P$2:$P$1001&lt;&gt;"")*ISNUMBER(SEARCH(실물목록!$P$2:$P$1001,I2681))*(실물목록!$Q$2:$Q$1001&lt;&gt;"")*ISNUMBER(SEARCH(실물목록!$Q$2:$Q$1001,I2681))*(실물목록!$R$2:$R$1001="")*(실물목록!$O$2:$O$1001&lt;&gt;""))&gt;0,"확인필요(연도다름)","실물 없음")))))</f>
      </c>
      <c r="G2681" t="n" s="16">
        <f aca="0">IF(B2681="","",SUMPRODUCT((실물목록!$P$2:$P$1001&lt;&gt;"")*ISNUMBER(SEARCH(실물목록!$P$2:$P$1001,I2681))*(실물목록!$Q$2:$Q$1001&lt;&gt;"")*ISNUMBER(SEARCH(실물목록!$Q$2:$Q$1001,I2681))*(실물목록!$R$2:$R$1001="")*(실물목록!$O$2:$O$1001&lt;&gt;"")*(실물목록!$O$2:$O$1001=H2681)))</f>
      </c>
      <c r="H2681" t="str">
        <f>IFERROR(IF(AND(LEN(SUBSTITUTE(SUBSTITUTE(SUBSTITUTE(TRIM(A2681&amp;""),CHAR(160),"")," ",""),"년",""))=4,VALUE(SUBSTITUTE(SUBSTITUTE(SUBSTITUTE(TRIM(A2681&amp;""),CHAR(160),"")," ",""),"년",""))&gt;=1900,VALUE(SUBSTITUTE(SUBSTITUTE(SUBSTITUTE(TRIM(A2681&amp;""),CHAR(160),"")," ",""),"년",""))&lt;=2099,TEXT(VALUE(SUBSTITUTE(SUBSTITUTE(SUBSTITUTE(TRIM(A2681&amp;""),CHAR(160),"")," ",""),"년","")),"0000")=SUBSTITUTE(SUBSTITUTE(SUBSTITUTE(TRIM(A2681&amp;""),CHAR(160),"")," ",""),"년","")),SUBSTITUTE(SUBSTITUTE(SUBSTITUTE(TRIM(A2681&amp;""),CHAR(160),"")," ",""),"년",""),""),"")</f>
      </c>
      <c r="I2681" t="str">
        <f>SUBSTITUTE(SUBSTITUTE(SUBSTITUTE(SUBSTITUTE(SUBSTITUTE(TRIM(B2681&amp;""),CHAR(160),"")," ",""),"초등학교","초"),"중학교","중"),"고등학교","고")</f>
      </c>
    </row>
    <row r="2682" customFormat="false" ht="15" hidden="false" customHeight="false" outlineLevel="0" collapsed="false">
      <c r="A2682" s="8"/>
      <c r="B2682" s="8"/>
      <c r="C2682" s="8"/>
      <c r="D2682" s="8"/>
      <c r="E2682" s="8"/>
      <c r="F2682" t="str" s="15">
        <f aca="0">IF(B2682="","",IF(H2682="","확인필요(입력누락)",IF(SUMPRODUCT((실물목록!$P$2:$P$1001&lt;&gt;"")*ISNUMBER(SEARCH(실물목록!$P$2:$P$1001,I2682))*(실물목록!$Q$2:$Q$1001&lt;&gt;"")*ISNUMBER(SEARCH(실물목록!$Q$2:$Q$1001,I2682))*(실물목록!$R$2:$R$1001="")*(실물목록!$O$2:$O$1001&lt;&gt;"")*(실물목록!$O$2:$O$1001=H2682))&gt;0,"실물 있음",IF(SUMPRODUCT((실물목록!$P$2:$P$1001&lt;&gt;"")*ISNUMBER(SEARCH(실물목록!$P$2:$P$1001,I2682))*(실물목록!$R$2:$R$1001&lt;&gt;""))&gt;0,"확인필요(입력누락)",IF(SUMPRODUCT((실물목록!$P$2:$P$1001&lt;&gt;"")*ISNUMBER(SEARCH(실물목록!$P$2:$P$1001,I2682))*(실물목록!$Q$2:$Q$1001&lt;&gt;"")*ISNUMBER(SEARCH(실물목록!$Q$2:$Q$1001,I2682))*(실물목록!$R$2:$R$1001="")*(실물목록!$O$2:$O$1001&lt;&gt;""))&gt;0,"확인필요(연도다름)","실물 없음")))))</f>
      </c>
      <c r="G2682" t="n" s="16">
        <f aca="0">IF(B2682="","",SUMPRODUCT((실물목록!$P$2:$P$1001&lt;&gt;"")*ISNUMBER(SEARCH(실물목록!$P$2:$P$1001,I2682))*(실물목록!$Q$2:$Q$1001&lt;&gt;"")*ISNUMBER(SEARCH(실물목록!$Q$2:$Q$1001,I2682))*(실물목록!$R$2:$R$1001="")*(실물목록!$O$2:$O$1001&lt;&gt;"")*(실물목록!$O$2:$O$1001=H2682)))</f>
      </c>
      <c r="H2682" t="str">
        <f>IFERROR(IF(AND(LEN(SUBSTITUTE(SUBSTITUTE(SUBSTITUTE(TRIM(A2682&amp;""),CHAR(160),"")," ",""),"년",""))=4,VALUE(SUBSTITUTE(SUBSTITUTE(SUBSTITUTE(TRIM(A2682&amp;""),CHAR(160),"")," ",""),"년",""))&gt;=1900,VALUE(SUBSTITUTE(SUBSTITUTE(SUBSTITUTE(TRIM(A2682&amp;""),CHAR(160),"")," ",""),"년",""))&lt;=2099,TEXT(VALUE(SUBSTITUTE(SUBSTITUTE(SUBSTITUTE(TRIM(A2682&amp;""),CHAR(160),"")," ",""),"년","")),"0000")=SUBSTITUTE(SUBSTITUTE(SUBSTITUTE(TRIM(A2682&amp;""),CHAR(160),"")," ",""),"년","")),SUBSTITUTE(SUBSTITUTE(SUBSTITUTE(TRIM(A2682&amp;""),CHAR(160),"")," ",""),"년",""),""),"")</f>
      </c>
      <c r="I2682" t="str">
        <f>SUBSTITUTE(SUBSTITUTE(SUBSTITUTE(SUBSTITUTE(SUBSTITUTE(TRIM(B2682&amp;""),CHAR(160),"")," ",""),"초등학교","초"),"중학교","중"),"고등학교","고")</f>
      </c>
    </row>
    <row r="2683" customFormat="false" ht="15" hidden="false" customHeight="false" outlineLevel="0" collapsed="false">
      <c r="A2683" s="8"/>
      <c r="B2683" s="8"/>
      <c r="C2683" s="8"/>
      <c r="D2683" s="8"/>
      <c r="E2683" s="8"/>
      <c r="F2683" t="str" s="15">
        <f aca="0">IF(B2683="","",IF(H2683="","확인필요(입력누락)",IF(SUMPRODUCT((실물목록!$P$2:$P$1001&lt;&gt;"")*ISNUMBER(SEARCH(실물목록!$P$2:$P$1001,I2683))*(실물목록!$Q$2:$Q$1001&lt;&gt;"")*ISNUMBER(SEARCH(실물목록!$Q$2:$Q$1001,I2683))*(실물목록!$R$2:$R$1001="")*(실물목록!$O$2:$O$1001&lt;&gt;"")*(실물목록!$O$2:$O$1001=H2683))&gt;0,"실물 있음",IF(SUMPRODUCT((실물목록!$P$2:$P$1001&lt;&gt;"")*ISNUMBER(SEARCH(실물목록!$P$2:$P$1001,I2683))*(실물목록!$R$2:$R$1001&lt;&gt;""))&gt;0,"확인필요(입력누락)",IF(SUMPRODUCT((실물목록!$P$2:$P$1001&lt;&gt;"")*ISNUMBER(SEARCH(실물목록!$P$2:$P$1001,I2683))*(실물목록!$Q$2:$Q$1001&lt;&gt;"")*ISNUMBER(SEARCH(실물목록!$Q$2:$Q$1001,I2683))*(실물목록!$R$2:$R$1001="")*(실물목록!$O$2:$O$1001&lt;&gt;""))&gt;0,"확인필요(연도다름)","실물 없음")))))</f>
      </c>
      <c r="G2683" t="n" s="16">
        <f aca="0">IF(B2683="","",SUMPRODUCT((실물목록!$P$2:$P$1001&lt;&gt;"")*ISNUMBER(SEARCH(실물목록!$P$2:$P$1001,I2683))*(실물목록!$Q$2:$Q$1001&lt;&gt;"")*ISNUMBER(SEARCH(실물목록!$Q$2:$Q$1001,I2683))*(실물목록!$R$2:$R$1001="")*(실물목록!$O$2:$O$1001&lt;&gt;"")*(실물목록!$O$2:$O$1001=H2683)))</f>
      </c>
      <c r="H2683" t="str">
        <f>IFERROR(IF(AND(LEN(SUBSTITUTE(SUBSTITUTE(SUBSTITUTE(TRIM(A2683&amp;""),CHAR(160),"")," ",""),"년",""))=4,VALUE(SUBSTITUTE(SUBSTITUTE(SUBSTITUTE(TRIM(A2683&amp;""),CHAR(160),"")," ",""),"년",""))&gt;=1900,VALUE(SUBSTITUTE(SUBSTITUTE(SUBSTITUTE(TRIM(A2683&amp;""),CHAR(160),"")," ",""),"년",""))&lt;=2099,TEXT(VALUE(SUBSTITUTE(SUBSTITUTE(SUBSTITUTE(TRIM(A2683&amp;""),CHAR(160),"")," ",""),"년","")),"0000")=SUBSTITUTE(SUBSTITUTE(SUBSTITUTE(TRIM(A2683&amp;""),CHAR(160),"")," ",""),"년","")),SUBSTITUTE(SUBSTITUTE(SUBSTITUTE(TRIM(A2683&amp;""),CHAR(160),"")," ",""),"년",""),""),"")</f>
      </c>
      <c r="I2683" t="str">
        <f>SUBSTITUTE(SUBSTITUTE(SUBSTITUTE(SUBSTITUTE(SUBSTITUTE(TRIM(B2683&amp;""),CHAR(160),"")," ",""),"초등학교","초"),"중학교","중"),"고등학교","고")</f>
      </c>
    </row>
    <row r="2684" customFormat="false" ht="15" hidden="false" customHeight="false" outlineLevel="0" collapsed="false">
      <c r="A2684" s="8"/>
      <c r="B2684" s="8"/>
      <c r="C2684" s="8"/>
      <c r="D2684" s="8"/>
      <c r="E2684" s="8"/>
      <c r="F2684" t="str" s="15">
        <f aca="0">IF(B2684="","",IF(H2684="","확인필요(입력누락)",IF(SUMPRODUCT((실물목록!$P$2:$P$1001&lt;&gt;"")*ISNUMBER(SEARCH(실물목록!$P$2:$P$1001,I2684))*(실물목록!$Q$2:$Q$1001&lt;&gt;"")*ISNUMBER(SEARCH(실물목록!$Q$2:$Q$1001,I2684))*(실물목록!$R$2:$R$1001="")*(실물목록!$O$2:$O$1001&lt;&gt;"")*(실물목록!$O$2:$O$1001=H2684))&gt;0,"실물 있음",IF(SUMPRODUCT((실물목록!$P$2:$P$1001&lt;&gt;"")*ISNUMBER(SEARCH(실물목록!$P$2:$P$1001,I2684))*(실물목록!$R$2:$R$1001&lt;&gt;""))&gt;0,"확인필요(입력누락)",IF(SUMPRODUCT((실물목록!$P$2:$P$1001&lt;&gt;"")*ISNUMBER(SEARCH(실물목록!$P$2:$P$1001,I2684))*(실물목록!$Q$2:$Q$1001&lt;&gt;"")*ISNUMBER(SEARCH(실물목록!$Q$2:$Q$1001,I2684))*(실물목록!$R$2:$R$1001="")*(실물목록!$O$2:$O$1001&lt;&gt;""))&gt;0,"확인필요(연도다름)","실물 없음")))))</f>
      </c>
      <c r="G2684" t="n" s="16">
        <f aca="0">IF(B2684="","",SUMPRODUCT((실물목록!$P$2:$P$1001&lt;&gt;"")*ISNUMBER(SEARCH(실물목록!$P$2:$P$1001,I2684))*(실물목록!$Q$2:$Q$1001&lt;&gt;"")*ISNUMBER(SEARCH(실물목록!$Q$2:$Q$1001,I2684))*(실물목록!$R$2:$R$1001="")*(실물목록!$O$2:$O$1001&lt;&gt;"")*(실물목록!$O$2:$O$1001=H2684)))</f>
      </c>
      <c r="H2684" t="str">
        <f>IFERROR(IF(AND(LEN(SUBSTITUTE(SUBSTITUTE(SUBSTITUTE(TRIM(A2684&amp;""),CHAR(160),"")," ",""),"년",""))=4,VALUE(SUBSTITUTE(SUBSTITUTE(SUBSTITUTE(TRIM(A2684&amp;""),CHAR(160),"")," ",""),"년",""))&gt;=1900,VALUE(SUBSTITUTE(SUBSTITUTE(SUBSTITUTE(TRIM(A2684&amp;""),CHAR(160),"")," ",""),"년",""))&lt;=2099,TEXT(VALUE(SUBSTITUTE(SUBSTITUTE(SUBSTITUTE(TRIM(A2684&amp;""),CHAR(160),"")," ",""),"년","")),"0000")=SUBSTITUTE(SUBSTITUTE(SUBSTITUTE(TRIM(A2684&amp;""),CHAR(160),"")," ",""),"년","")),SUBSTITUTE(SUBSTITUTE(SUBSTITUTE(TRIM(A2684&amp;""),CHAR(160),"")," ",""),"년",""),""),"")</f>
      </c>
      <c r="I2684" t="str">
        <f>SUBSTITUTE(SUBSTITUTE(SUBSTITUTE(SUBSTITUTE(SUBSTITUTE(TRIM(B2684&amp;""),CHAR(160),"")," ",""),"초등학교","초"),"중학교","중"),"고등학교","고")</f>
      </c>
    </row>
    <row r="2685" customFormat="false" ht="15" hidden="false" customHeight="false" outlineLevel="0" collapsed="false">
      <c r="A2685" s="8"/>
      <c r="B2685" s="8"/>
      <c r="C2685" s="8"/>
      <c r="D2685" s="8"/>
      <c r="E2685" s="8"/>
      <c r="F2685" t="str" s="15">
        <f aca="0">IF(B2685="","",IF(H2685="","확인필요(입력누락)",IF(SUMPRODUCT((실물목록!$P$2:$P$1001&lt;&gt;"")*ISNUMBER(SEARCH(실물목록!$P$2:$P$1001,I2685))*(실물목록!$Q$2:$Q$1001&lt;&gt;"")*ISNUMBER(SEARCH(실물목록!$Q$2:$Q$1001,I2685))*(실물목록!$R$2:$R$1001="")*(실물목록!$O$2:$O$1001&lt;&gt;"")*(실물목록!$O$2:$O$1001=H2685))&gt;0,"실물 있음",IF(SUMPRODUCT((실물목록!$P$2:$P$1001&lt;&gt;"")*ISNUMBER(SEARCH(실물목록!$P$2:$P$1001,I2685))*(실물목록!$R$2:$R$1001&lt;&gt;""))&gt;0,"확인필요(입력누락)",IF(SUMPRODUCT((실물목록!$P$2:$P$1001&lt;&gt;"")*ISNUMBER(SEARCH(실물목록!$P$2:$P$1001,I2685))*(실물목록!$Q$2:$Q$1001&lt;&gt;"")*ISNUMBER(SEARCH(실물목록!$Q$2:$Q$1001,I2685))*(실물목록!$R$2:$R$1001="")*(실물목록!$O$2:$O$1001&lt;&gt;""))&gt;0,"확인필요(연도다름)","실물 없음")))))</f>
      </c>
      <c r="G2685" t="n" s="16">
        <f aca="0">IF(B2685="","",SUMPRODUCT((실물목록!$P$2:$P$1001&lt;&gt;"")*ISNUMBER(SEARCH(실물목록!$P$2:$P$1001,I2685))*(실물목록!$Q$2:$Q$1001&lt;&gt;"")*ISNUMBER(SEARCH(실물목록!$Q$2:$Q$1001,I2685))*(실물목록!$R$2:$R$1001="")*(실물목록!$O$2:$O$1001&lt;&gt;"")*(실물목록!$O$2:$O$1001=H2685)))</f>
      </c>
      <c r="H2685" t="str">
        <f>IFERROR(IF(AND(LEN(SUBSTITUTE(SUBSTITUTE(SUBSTITUTE(TRIM(A2685&amp;""),CHAR(160),"")," ",""),"년",""))=4,VALUE(SUBSTITUTE(SUBSTITUTE(SUBSTITUTE(TRIM(A2685&amp;""),CHAR(160),"")," ",""),"년",""))&gt;=1900,VALUE(SUBSTITUTE(SUBSTITUTE(SUBSTITUTE(TRIM(A2685&amp;""),CHAR(160),"")," ",""),"년",""))&lt;=2099,TEXT(VALUE(SUBSTITUTE(SUBSTITUTE(SUBSTITUTE(TRIM(A2685&amp;""),CHAR(160),"")," ",""),"년","")),"0000")=SUBSTITUTE(SUBSTITUTE(SUBSTITUTE(TRIM(A2685&amp;""),CHAR(160),"")," ",""),"년","")),SUBSTITUTE(SUBSTITUTE(SUBSTITUTE(TRIM(A2685&amp;""),CHAR(160),"")," ",""),"년",""),""),"")</f>
      </c>
      <c r="I2685" t="str">
        <f>SUBSTITUTE(SUBSTITUTE(SUBSTITUTE(SUBSTITUTE(SUBSTITUTE(TRIM(B2685&amp;""),CHAR(160),"")," ",""),"초등학교","초"),"중학교","중"),"고등학교","고")</f>
      </c>
    </row>
    <row r="2686" customFormat="false" ht="15" hidden="false" customHeight="false" outlineLevel="0" collapsed="false">
      <c r="A2686" s="8"/>
      <c r="B2686" s="8"/>
      <c r="C2686" s="8"/>
      <c r="D2686" s="8"/>
      <c r="E2686" s="8"/>
      <c r="F2686" t="str" s="15">
        <f aca="0">IF(B2686="","",IF(H2686="","확인필요(입력누락)",IF(SUMPRODUCT((실물목록!$P$2:$P$1001&lt;&gt;"")*ISNUMBER(SEARCH(실물목록!$P$2:$P$1001,I2686))*(실물목록!$Q$2:$Q$1001&lt;&gt;"")*ISNUMBER(SEARCH(실물목록!$Q$2:$Q$1001,I2686))*(실물목록!$R$2:$R$1001="")*(실물목록!$O$2:$O$1001&lt;&gt;"")*(실물목록!$O$2:$O$1001=H2686))&gt;0,"실물 있음",IF(SUMPRODUCT((실물목록!$P$2:$P$1001&lt;&gt;"")*ISNUMBER(SEARCH(실물목록!$P$2:$P$1001,I2686))*(실물목록!$R$2:$R$1001&lt;&gt;""))&gt;0,"확인필요(입력누락)",IF(SUMPRODUCT((실물목록!$P$2:$P$1001&lt;&gt;"")*ISNUMBER(SEARCH(실물목록!$P$2:$P$1001,I2686))*(실물목록!$Q$2:$Q$1001&lt;&gt;"")*ISNUMBER(SEARCH(실물목록!$Q$2:$Q$1001,I2686))*(실물목록!$R$2:$R$1001="")*(실물목록!$O$2:$O$1001&lt;&gt;""))&gt;0,"확인필요(연도다름)","실물 없음")))))</f>
      </c>
      <c r="G2686" t="n" s="16">
        <f aca="0">IF(B2686="","",SUMPRODUCT((실물목록!$P$2:$P$1001&lt;&gt;"")*ISNUMBER(SEARCH(실물목록!$P$2:$P$1001,I2686))*(실물목록!$Q$2:$Q$1001&lt;&gt;"")*ISNUMBER(SEARCH(실물목록!$Q$2:$Q$1001,I2686))*(실물목록!$R$2:$R$1001="")*(실물목록!$O$2:$O$1001&lt;&gt;"")*(실물목록!$O$2:$O$1001=H2686)))</f>
      </c>
      <c r="H2686" t="str">
        <f>IFERROR(IF(AND(LEN(SUBSTITUTE(SUBSTITUTE(SUBSTITUTE(TRIM(A2686&amp;""),CHAR(160),"")," ",""),"년",""))=4,VALUE(SUBSTITUTE(SUBSTITUTE(SUBSTITUTE(TRIM(A2686&amp;""),CHAR(160),"")," ",""),"년",""))&gt;=1900,VALUE(SUBSTITUTE(SUBSTITUTE(SUBSTITUTE(TRIM(A2686&amp;""),CHAR(160),"")," ",""),"년",""))&lt;=2099,TEXT(VALUE(SUBSTITUTE(SUBSTITUTE(SUBSTITUTE(TRIM(A2686&amp;""),CHAR(160),"")," ",""),"년","")),"0000")=SUBSTITUTE(SUBSTITUTE(SUBSTITUTE(TRIM(A2686&amp;""),CHAR(160),"")," ",""),"년","")),SUBSTITUTE(SUBSTITUTE(SUBSTITUTE(TRIM(A2686&amp;""),CHAR(160),"")," ",""),"년",""),""),"")</f>
      </c>
      <c r="I2686" t="str">
        <f>SUBSTITUTE(SUBSTITUTE(SUBSTITUTE(SUBSTITUTE(SUBSTITUTE(TRIM(B2686&amp;""),CHAR(160),"")," ",""),"초등학교","초"),"중학교","중"),"고등학교","고")</f>
      </c>
    </row>
    <row r="2687" customFormat="false" ht="15" hidden="false" customHeight="false" outlineLevel="0" collapsed="false">
      <c r="A2687" s="8"/>
      <c r="B2687" s="8"/>
      <c r="C2687" s="8"/>
      <c r="D2687" s="8"/>
      <c r="E2687" s="8"/>
      <c r="F2687" t="str" s="15">
        <f aca="0">IF(B2687="","",IF(H2687="","확인필요(입력누락)",IF(SUMPRODUCT((실물목록!$P$2:$P$1001&lt;&gt;"")*ISNUMBER(SEARCH(실물목록!$P$2:$P$1001,I2687))*(실물목록!$Q$2:$Q$1001&lt;&gt;"")*ISNUMBER(SEARCH(실물목록!$Q$2:$Q$1001,I2687))*(실물목록!$R$2:$R$1001="")*(실물목록!$O$2:$O$1001&lt;&gt;"")*(실물목록!$O$2:$O$1001=H2687))&gt;0,"실물 있음",IF(SUMPRODUCT((실물목록!$P$2:$P$1001&lt;&gt;"")*ISNUMBER(SEARCH(실물목록!$P$2:$P$1001,I2687))*(실물목록!$R$2:$R$1001&lt;&gt;""))&gt;0,"확인필요(입력누락)",IF(SUMPRODUCT((실물목록!$P$2:$P$1001&lt;&gt;"")*ISNUMBER(SEARCH(실물목록!$P$2:$P$1001,I2687))*(실물목록!$Q$2:$Q$1001&lt;&gt;"")*ISNUMBER(SEARCH(실물목록!$Q$2:$Q$1001,I2687))*(실물목록!$R$2:$R$1001="")*(실물목록!$O$2:$O$1001&lt;&gt;""))&gt;0,"확인필요(연도다름)","실물 없음")))))</f>
      </c>
      <c r="G2687" t="n" s="16">
        <f aca="0">IF(B2687="","",SUMPRODUCT((실물목록!$P$2:$P$1001&lt;&gt;"")*ISNUMBER(SEARCH(실물목록!$P$2:$P$1001,I2687))*(실물목록!$Q$2:$Q$1001&lt;&gt;"")*ISNUMBER(SEARCH(실물목록!$Q$2:$Q$1001,I2687))*(실물목록!$R$2:$R$1001="")*(실물목록!$O$2:$O$1001&lt;&gt;"")*(실물목록!$O$2:$O$1001=H2687)))</f>
      </c>
      <c r="H2687" t="str">
        <f>IFERROR(IF(AND(LEN(SUBSTITUTE(SUBSTITUTE(SUBSTITUTE(TRIM(A2687&amp;""),CHAR(160),"")," ",""),"년",""))=4,VALUE(SUBSTITUTE(SUBSTITUTE(SUBSTITUTE(TRIM(A2687&amp;""),CHAR(160),"")," ",""),"년",""))&gt;=1900,VALUE(SUBSTITUTE(SUBSTITUTE(SUBSTITUTE(TRIM(A2687&amp;""),CHAR(160),"")," ",""),"년",""))&lt;=2099,TEXT(VALUE(SUBSTITUTE(SUBSTITUTE(SUBSTITUTE(TRIM(A2687&amp;""),CHAR(160),"")," ",""),"년","")),"0000")=SUBSTITUTE(SUBSTITUTE(SUBSTITUTE(TRIM(A2687&amp;""),CHAR(160),"")," ",""),"년","")),SUBSTITUTE(SUBSTITUTE(SUBSTITUTE(TRIM(A2687&amp;""),CHAR(160),"")," ",""),"년",""),""),"")</f>
      </c>
      <c r="I2687" t="str">
        <f>SUBSTITUTE(SUBSTITUTE(SUBSTITUTE(SUBSTITUTE(SUBSTITUTE(TRIM(B2687&amp;""),CHAR(160),"")," ",""),"초등학교","초"),"중학교","중"),"고등학교","고")</f>
      </c>
    </row>
    <row r="2688" customFormat="false" ht="15" hidden="false" customHeight="false" outlineLevel="0" collapsed="false">
      <c r="A2688" s="8"/>
      <c r="B2688" s="8"/>
      <c r="C2688" s="8"/>
      <c r="D2688" s="8"/>
      <c r="E2688" s="8"/>
      <c r="F2688" t="str" s="15">
        <f aca="0">IF(B2688="","",IF(H2688="","확인필요(입력누락)",IF(SUMPRODUCT((실물목록!$P$2:$P$1001&lt;&gt;"")*ISNUMBER(SEARCH(실물목록!$P$2:$P$1001,I2688))*(실물목록!$Q$2:$Q$1001&lt;&gt;"")*ISNUMBER(SEARCH(실물목록!$Q$2:$Q$1001,I2688))*(실물목록!$R$2:$R$1001="")*(실물목록!$O$2:$O$1001&lt;&gt;"")*(실물목록!$O$2:$O$1001=H2688))&gt;0,"실물 있음",IF(SUMPRODUCT((실물목록!$P$2:$P$1001&lt;&gt;"")*ISNUMBER(SEARCH(실물목록!$P$2:$P$1001,I2688))*(실물목록!$R$2:$R$1001&lt;&gt;""))&gt;0,"확인필요(입력누락)",IF(SUMPRODUCT((실물목록!$P$2:$P$1001&lt;&gt;"")*ISNUMBER(SEARCH(실물목록!$P$2:$P$1001,I2688))*(실물목록!$Q$2:$Q$1001&lt;&gt;"")*ISNUMBER(SEARCH(실물목록!$Q$2:$Q$1001,I2688))*(실물목록!$R$2:$R$1001="")*(실물목록!$O$2:$O$1001&lt;&gt;""))&gt;0,"확인필요(연도다름)","실물 없음")))))</f>
      </c>
      <c r="G2688" t="n" s="16">
        <f aca="0">IF(B2688="","",SUMPRODUCT((실물목록!$P$2:$P$1001&lt;&gt;"")*ISNUMBER(SEARCH(실물목록!$P$2:$P$1001,I2688))*(실물목록!$Q$2:$Q$1001&lt;&gt;"")*ISNUMBER(SEARCH(실물목록!$Q$2:$Q$1001,I2688))*(실물목록!$R$2:$R$1001="")*(실물목록!$O$2:$O$1001&lt;&gt;"")*(실물목록!$O$2:$O$1001=H2688)))</f>
      </c>
      <c r="H2688" t="str">
        <f>IFERROR(IF(AND(LEN(SUBSTITUTE(SUBSTITUTE(SUBSTITUTE(TRIM(A2688&amp;""),CHAR(160),"")," ",""),"년",""))=4,VALUE(SUBSTITUTE(SUBSTITUTE(SUBSTITUTE(TRIM(A2688&amp;""),CHAR(160),"")," ",""),"년",""))&gt;=1900,VALUE(SUBSTITUTE(SUBSTITUTE(SUBSTITUTE(TRIM(A2688&amp;""),CHAR(160),"")," ",""),"년",""))&lt;=2099,TEXT(VALUE(SUBSTITUTE(SUBSTITUTE(SUBSTITUTE(TRIM(A2688&amp;""),CHAR(160),"")," ",""),"년","")),"0000")=SUBSTITUTE(SUBSTITUTE(SUBSTITUTE(TRIM(A2688&amp;""),CHAR(160),"")," ",""),"년","")),SUBSTITUTE(SUBSTITUTE(SUBSTITUTE(TRIM(A2688&amp;""),CHAR(160),"")," ",""),"년",""),""),"")</f>
      </c>
      <c r="I2688" t="str">
        <f>SUBSTITUTE(SUBSTITUTE(SUBSTITUTE(SUBSTITUTE(SUBSTITUTE(TRIM(B2688&amp;""),CHAR(160),"")," ",""),"초등학교","초"),"중학교","중"),"고등학교","고")</f>
      </c>
    </row>
    <row r="2689" customFormat="false" ht="15" hidden="false" customHeight="false" outlineLevel="0" collapsed="false">
      <c r="A2689" s="8"/>
      <c r="B2689" s="8"/>
      <c r="C2689" s="8"/>
      <c r="D2689" s="8"/>
      <c r="E2689" s="8"/>
      <c r="F2689" t="str" s="15">
        <f aca="0">IF(B2689="","",IF(H2689="","확인필요(입력누락)",IF(SUMPRODUCT((실물목록!$P$2:$P$1001&lt;&gt;"")*ISNUMBER(SEARCH(실물목록!$P$2:$P$1001,I2689))*(실물목록!$Q$2:$Q$1001&lt;&gt;"")*ISNUMBER(SEARCH(실물목록!$Q$2:$Q$1001,I2689))*(실물목록!$R$2:$R$1001="")*(실물목록!$O$2:$O$1001&lt;&gt;"")*(실물목록!$O$2:$O$1001=H2689))&gt;0,"실물 있음",IF(SUMPRODUCT((실물목록!$P$2:$P$1001&lt;&gt;"")*ISNUMBER(SEARCH(실물목록!$P$2:$P$1001,I2689))*(실물목록!$R$2:$R$1001&lt;&gt;""))&gt;0,"확인필요(입력누락)",IF(SUMPRODUCT((실물목록!$P$2:$P$1001&lt;&gt;"")*ISNUMBER(SEARCH(실물목록!$P$2:$P$1001,I2689))*(실물목록!$Q$2:$Q$1001&lt;&gt;"")*ISNUMBER(SEARCH(실물목록!$Q$2:$Q$1001,I2689))*(실물목록!$R$2:$R$1001="")*(실물목록!$O$2:$O$1001&lt;&gt;""))&gt;0,"확인필요(연도다름)","실물 없음")))))</f>
      </c>
      <c r="G2689" t="n" s="16">
        <f aca="0">IF(B2689="","",SUMPRODUCT((실물목록!$P$2:$P$1001&lt;&gt;"")*ISNUMBER(SEARCH(실물목록!$P$2:$P$1001,I2689))*(실물목록!$Q$2:$Q$1001&lt;&gt;"")*ISNUMBER(SEARCH(실물목록!$Q$2:$Q$1001,I2689))*(실물목록!$R$2:$R$1001="")*(실물목록!$O$2:$O$1001&lt;&gt;"")*(실물목록!$O$2:$O$1001=H2689)))</f>
      </c>
      <c r="H2689" t="str">
        <f>IFERROR(IF(AND(LEN(SUBSTITUTE(SUBSTITUTE(SUBSTITUTE(TRIM(A2689&amp;""),CHAR(160),"")," ",""),"년",""))=4,VALUE(SUBSTITUTE(SUBSTITUTE(SUBSTITUTE(TRIM(A2689&amp;""),CHAR(160),"")," ",""),"년",""))&gt;=1900,VALUE(SUBSTITUTE(SUBSTITUTE(SUBSTITUTE(TRIM(A2689&amp;""),CHAR(160),"")," ",""),"년",""))&lt;=2099,TEXT(VALUE(SUBSTITUTE(SUBSTITUTE(SUBSTITUTE(TRIM(A2689&amp;""),CHAR(160),"")," ",""),"년","")),"0000")=SUBSTITUTE(SUBSTITUTE(SUBSTITUTE(TRIM(A2689&amp;""),CHAR(160),"")," ",""),"년","")),SUBSTITUTE(SUBSTITUTE(SUBSTITUTE(TRIM(A2689&amp;""),CHAR(160),"")," ",""),"년",""),""),"")</f>
      </c>
      <c r="I2689" t="str">
        <f>SUBSTITUTE(SUBSTITUTE(SUBSTITUTE(SUBSTITUTE(SUBSTITUTE(TRIM(B2689&amp;""),CHAR(160),"")," ",""),"초등학교","초"),"중학교","중"),"고등학교","고")</f>
      </c>
    </row>
    <row r="2690" customFormat="false" ht="15" hidden="false" customHeight="false" outlineLevel="0" collapsed="false">
      <c r="A2690" s="8"/>
      <c r="B2690" s="8"/>
      <c r="C2690" s="8"/>
      <c r="D2690" s="8"/>
      <c r="E2690" s="8"/>
      <c r="F2690" t="str" s="15">
        <f aca="0">IF(B2690="","",IF(H2690="","확인필요(입력누락)",IF(SUMPRODUCT((실물목록!$P$2:$P$1001&lt;&gt;"")*ISNUMBER(SEARCH(실물목록!$P$2:$P$1001,I2690))*(실물목록!$Q$2:$Q$1001&lt;&gt;"")*ISNUMBER(SEARCH(실물목록!$Q$2:$Q$1001,I2690))*(실물목록!$R$2:$R$1001="")*(실물목록!$O$2:$O$1001&lt;&gt;"")*(실물목록!$O$2:$O$1001=H2690))&gt;0,"실물 있음",IF(SUMPRODUCT((실물목록!$P$2:$P$1001&lt;&gt;"")*ISNUMBER(SEARCH(실물목록!$P$2:$P$1001,I2690))*(실물목록!$R$2:$R$1001&lt;&gt;""))&gt;0,"확인필요(입력누락)",IF(SUMPRODUCT((실물목록!$P$2:$P$1001&lt;&gt;"")*ISNUMBER(SEARCH(실물목록!$P$2:$P$1001,I2690))*(실물목록!$Q$2:$Q$1001&lt;&gt;"")*ISNUMBER(SEARCH(실물목록!$Q$2:$Q$1001,I2690))*(실물목록!$R$2:$R$1001="")*(실물목록!$O$2:$O$1001&lt;&gt;""))&gt;0,"확인필요(연도다름)","실물 없음")))))</f>
      </c>
      <c r="G2690" t="n" s="16">
        <f aca="0">IF(B2690="","",SUMPRODUCT((실물목록!$P$2:$P$1001&lt;&gt;"")*ISNUMBER(SEARCH(실물목록!$P$2:$P$1001,I2690))*(실물목록!$Q$2:$Q$1001&lt;&gt;"")*ISNUMBER(SEARCH(실물목록!$Q$2:$Q$1001,I2690))*(실물목록!$R$2:$R$1001="")*(실물목록!$O$2:$O$1001&lt;&gt;"")*(실물목록!$O$2:$O$1001=H2690)))</f>
      </c>
      <c r="H2690" t="str">
        <f>IFERROR(IF(AND(LEN(SUBSTITUTE(SUBSTITUTE(SUBSTITUTE(TRIM(A2690&amp;""),CHAR(160),"")," ",""),"년",""))=4,VALUE(SUBSTITUTE(SUBSTITUTE(SUBSTITUTE(TRIM(A2690&amp;""),CHAR(160),"")," ",""),"년",""))&gt;=1900,VALUE(SUBSTITUTE(SUBSTITUTE(SUBSTITUTE(TRIM(A2690&amp;""),CHAR(160),"")," ",""),"년",""))&lt;=2099,TEXT(VALUE(SUBSTITUTE(SUBSTITUTE(SUBSTITUTE(TRIM(A2690&amp;""),CHAR(160),"")," ",""),"년","")),"0000")=SUBSTITUTE(SUBSTITUTE(SUBSTITUTE(TRIM(A2690&amp;""),CHAR(160),"")," ",""),"년","")),SUBSTITUTE(SUBSTITUTE(SUBSTITUTE(TRIM(A2690&amp;""),CHAR(160),"")," ",""),"년",""),""),"")</f>
      </c>
      <c r="I2690" t="str">
        <f>SUBSTITUTE(SUBSTITUTE(SUBSTITUTE(SUBSTITUTE(SUBSTITUTE(TRIM(B2690&amp;""),CHAR(160),"")," ",""),"초등학교","초"),"중학교","중"),"고등학교","고")</f>
      </c>
    </row>
    <row r="2691" customFormat="false" ht="15" hidden="false" customHeight="false" outlineLevel="0" collapsed="false">
      <c r="A2691" s="8"/>
      <c r="B2691" s="8"/>
      <c r="C2691" s="8"/>
      <c r="D2691" s="8"/>
      <c r="E2691" s="8"/>
      <c r="F2691" t="str" s="15">
        <f aca="0">IF(B2691="","",IF(H2691="","확인필요(입력누락)",IF(SUMPRODUCT((실물목록!$P$2:$P$1001&lt;&gt;"")*ISNUMBER(SEARCH(실물목록!$P$2:$P$1001,I2691))*(실물목록!$Q$2:$Q$1001&lt;&gt;"")*ISNUMBER(SEARCH(실물목록!$Q$2:$Q$1001,I2691))*(실물목록!$R$2:$R$1001="")*(실물목록!$O$2:$O$1001&lt;&gt;"")*(실물목록!$O$2:$O$1001=H2691))&gt;0,"실물 있음",IF(SUMPRODUCT((실물목록!$P$2:$P$1001&lt;&gt;"")*ISNUMBER(SEARCH(실물목록!$P$2:$P$1001,I2691))*(실물목록!$R$2:$R$1001&lt;&gt;""))&gt;0,"확인필요(입력누락)",IF(SUMPRODUCT((실물목록!$P$2:$P$1001&lt;&gt;"")*ISNUMBER(SEARCH(실물목록!$P$2:$P$1001,I2691))*(실물목록!$Q$2:$Q$1001&lt;&gt;"")*ISNUMBER(SEARCH(실물목록!$Q$2:$Q$1001,I2691))*(실물목록!$R$2:$R$1001="")*(실물목록!$O$2:$O$1001&lt;&gt;""))&gt;0,"확인필요(연도다름)","실물 없음")))))</f>
      </c>
      <c r="G2691" t="n" s="16">
        <f aca="0">IF(B2691="","",SUMPRODUCT((실물목록!$P$2:$P$1001&lt;&gt;"")*ISNUMBER(SEARCH(실물목록!$P$2:$P$1001,I2691))*(실물목록!$Q$2:$Q$1001&lt;&gt;"")*ISNUMBER(SEARCH(실물목록!$Q$2:$Q$1001,I2691))*(실물목록!$R$2:$R$1001="")*(실물목록!$O$2:$O$1001&lt;&gt;"")*(실물목록!$O$2:$O$1001=H2691)))</f>
      </c>
      <c r="H2691" t="str">
        <f>IFERROR(IF(AND(LEN(SUBSTITUTE(SUBSTITUTE(SUBSTITUTE(TRIM(A2691&amp;""),CHAR(160),"")," ",""),"년",""))=4,VALUE(SUBSTITUTE(SUBSTITUTE(SUBSTITUTE(TRIM(A2691&amp;""),CHAR(160),"")," ",""),"년",""))&gt;=1900,VALUE(SUBSTITUTE(SUBSTITUTE(SUBSTITUTE(TRIM(A2691&amp;""),CHAR(160),"")," ",""),"년",""))&lt;=2099,TEXT(VALUE(SUBSTITUTE(SUBSTITUTE(SUBSTITUTE(TRIM(A2691&amp;""),CHAR(160),"")," ",""),"년","")),"0000")=SUBSTITUTE(SUBSTITUTE(SUBSTITUTE(TRIM(A2691&amp;""),CHAR(160),"")," ",""),"년","")),SUBSTITUTE(SUBSTITUTE(SUBSTITUTE(TRIM(A2691&amp;""),CHAR(160),"")," ",""),"년",""),""),"")</f>
      </c>
      <c r="I2691" t="str">
        <f>SUBSTITUTE(SUBSTITUTE(SUBSTITUTE(SUBSTITUTE(SUBSTITUTE(TRIM(B2691&amp;""),CHAR(160),"")," ",""),"초등학교","초"),"중학교","중"),"고등학교","고")</f>
      </c>
    </row>
    <row r="2692" customFormat="false" ht="15" hidden="false" customHeight="false" outlineLevel="0" collapsed="false">
      <c r="A2692" s="8"/>
      <c r="B2692" s="8"/>
      <c r="C2692" s="8"/>
      <c r="D2692" s="8"/>
      <c r="E2692" s="8"/>
      <c r="F2692" t="str" s="15">
        <f aca="0">IF(B2692="","",IF(H2692="","확인필요(입력누락)",IF(SUMPRODUCT((실물목록!$P$2:$P$1001&lt;&gt;"")*ISNUMBER(SEARCH(실물목록!$P$2:$P$1001,I2692))*(실물목록!$Q$2:$Q$1001&lt;&gt;"")*ISNUMBER(SEARCH(실물목록!$Q$2:$Q$1001,I2692))*(실물목록!$R$2:$R$1001="")*(실물목록!$O$2:$O$1001&lt;&gt;"")*(실물목록!$O$2:$O$1001=H2692))&gt;0,"실물 있음",IF(SUMPRODUCT((실물목록!$P$2:$P$1001&lt;&gt;"")*ISNUMBER(SEARCH(실물목록!$P$2:$P$1001,I2692))*(실물목록!$R$2:$R$1001&lt;&gt;""))&gt;0,"확인필요(입력누락)",IF(SUMPRODUCT((실물목록!$P$2:$P$1001&lt;&gt;"")*ISNUMBER(SEARCH(실물목록!$P$2:$P$1001,I2692))*(실물목록!$Q$2:$Q$1001&lt;&gt;"")*ISNUMBER(SEARCH(실물목록!$Q$2:$Q$1001,I2692))*(실물목록!$R$2:$R$1001="")*(실물목록!$O$2:$O$1001&lt;&gt;""))&gt;0,"확인필요(연도다름)","실물 없음")))))</f>
      </c>
      <c r="G2692" t="n" s="16">
        <f aca="0">IF(B2692="","",SUMPRODUCT((실물목록!$P$2:$P$1001&lt;&gt;"")*ISNUMBER(SEARCH(실물목록!$P$2:$P$1001,I2692))*(실물목록!$Q$2:$Q$1001&lt;&gt;"")*ISNUMBER(SEARCH(실물목록!$Q$2:$Q$1001,I2692))*(실물목록!$R$2:$R$1001="")*(실물목록!$O$2:$O$1001&lt;&gt;"")*(실물목록!$O$2:$O$1001=H2692)))</f>
      </c>
      <c r="H2692" t="str">
        <f>IFERROR(IF(AND(LEN(SUBSTITUTE(SUBSTITUTE(SUBSTITUTE(TRIM(A2692&amp;""),CHAR(160),"")," ",""),"년",""))=4,VALUE(SUBSTITUTE(SUBSTITUTE(SUBSTITUTE(TRIM(A2692&amp;""),CHAR(160),"")," ",""),"년",""))&gt;=1900,VALUE(SUBSTITUTE(SUBSTITUTE(SUBSTITUTE(TRIM(A2692&amp;""),CHAR(160),"")," ",""),"년",""))&lt;=2099,TEXT(VALUE(SUBSTITUTE(SUBSTITUTE(SUBSTITUTE(TRIM(A2692&amp;""),CHAR(160),"")," ",""),"년","")),"0000")=SUBSTITUTE(SUBSTITUTE(SUBSTITUTE(TRIM(A2692&amp;""),CHAR(160),"")," ",""),"년","")),SUBSTITUTE(SUBSTITUTE(SUBSTITUTE(TRIM(A2692&amp;""),CHAR(160),"")," ",""),"년",""),""),"")</f>
      </c>
      <c r="I2692" t="str">
        <f>SUBSTITUTE(SUBSTITUTE(SUBSTITUTE(SUBSTITUTE(SUBSTITUTE(TRIM(B2692&amp;""),CHAR(160),"")," ",""),"초등학교","초"),"중학교","중"),"고등학교","고")</f>
      </c>
    </row>
    <row r="2693" customFormat="false" ht="15" hidden="false" customHeight="false" outlineLevel="0" collapsed="false">
      <c r="A2693" s="8"/>
      <c r="B2693" s="8"/>
      <c r="C2693" s="8"/>
      <c r="D2693" s="8"/>
      <c r="E2693" s="8"/>
      <c r="F2693" t="str" s="15">
        <f aca="0">IF(B2693="","",IF(H2693="","확인필요(입력누락)",IF(SUMPRODUCT((실물목록!$P$2:$P$1001&lt;&gt;"")*ISNUMBER(SEARCH(실물목록!$P$2:$P$1001,I2693))*(실물목록!$Q$2:$Q$1001&lt;&gt;"")*ISNUMBER(SEARCH(실물목록!$Q$2:$Q$1001,I2693))*(실물목록!$R$2:$R$1001="")*(실물목록!$O$2:$O$1001&lt;&gt;"")*(실물목록!$O$2:$O$1001=H2693))&gt;0,"실물 있음",IF(SUMPRODUCT((실물목록!$P$2:$P$1001&lt;&gt;"")*ISNUMBER(SEARCH(실물목록!$P$2:$P$1001,I2693))*(실물목록!$R$2:$R$1001&lt;&gt;""))&gt;0,"확인필요(입력누락)",IF(SUMPRODUCT((실물목록!$P$2:$P$1001&lt;&gt;"")*ISNUMBER(SEARCH(실물목록!$P$2:$P$1001,I2693))*(실물목록!$Q$2:$Q$1001&lt;&gt;"")*ISNUMBER(SEARCH(실물목록!$Q$2:$Q$1001,I2693))*(실물목록!$R$2:$R$1001="")*(실물목록!$O$2:$O$1001&lt;&gt;""))&gt;0,"확인필요(연도다름)","실물 없음")))))</f>
      </c>
      <c r="G2693" t="n" s="16">
        <f aca="0">IF(B2693="","",SUMPRODUCT((실물목록!$P$2:$P$1001&lt;&gt;"")*ISNUMBER(SEARCH(실물목록!$P$2:$P$1001,I2693))*(실물목록!$Q$2:$Q$1001&lt;&gt;"")*ISNUMBER(SEARCH(실물목록!$Q$2:$Q$1001,I2693))*(실물목록!$R$2:$R$1001="")*(실물목록!$O$2:$O$1001&lt;&gt;"")*(실물목록!$O$2:$O$1001=H2693)))</f>
      </c>
      <c r="H2693" t="str">
        <f>IFERROR(IF(AND(LEN(SUBSTITUTE(SUBSTITUTE(SUBSTITUTE(TRIM(A2693&amp;""),CHAR(160),"")," ",""),"년",""))=4,VALUE(SUBSTITUTE(SUBSTITUTE(SUBSTITUTE(TRIM(A2693&amp;""),CHAR(160),"")," ",""),"년",""))&gt;=1900,VALUE(SUBSTITUTE(SUBSTITUTE(SUBSTITUTE(TRIM(A2693&amp;""),CHAR(160),"")," ",""),"년",""))&lt;=2099,TEXT(VALUE(SUBSTITUTE(SUBSTITUTE(SUBSTITUTE(TRIM(A2693&amp;""),CHAR(160),"")," ",""),"년","")),"0000")=SUBSTITUTE(SUBSTITUTE(SUBSTITUTE(TRIM(A2693&amp;""),CHAR(160),"")," ",""),"년","")),SUBSTITUTE(SUBSTITUTE(SUBSTITUTE(TRIM(A2693&amp;""),CHAR(160),"")," ",""),"년",""),""),"")</f>
      </c>
      <c r="I2693" t="str">
        <f>SUBSTITUTE(SUBSTITUTE(SUBSTITUTE(SUBSTITUTE(SUBSTITUTE(TRIM(B2693&amp;""),CHAR(160),"")," ",""),"초등학교","초"),"중학교","중"),"고등학교","고")</f>
      </c>
    </row>
    <row r="2694" customFormat="false" ht="15" hidden="false" customHeight="false" outlineLevel="0" collapsed="false">
      <c r="A2694" s="8"/>
      <c r="B2694" s="8"/>
      <c r="C2694" s="8"/>
      <c r="D2694" s="8"/>
      <c r="E2694" s="8"/>
      <c r="F2694" t="str" s="15">
        <f aca="0">IF(B2694="","",IF(H2694="","확인필요(입력누락)",IF(SUMPRODUCT((실물목록!$P$2:$P$1001&lt;&gt;"")*ISNUMBER(SEARCH(실물목록!$P$2:$P$1001,I2694))*(실물목록!$Q$2:$Q$1001&lt;&gt;"")*ISNUMBER(SEARCH(실물목록!$Q$2:$Q$1001,I2694))*(실물목록!$R$2:$R$1001="")*(실물목록!$O$2:$O$1001&lt;&gt;"")*(실물목록!$O$2:$O$1001=H2694))&gt;0,"실물 있음",IF(SUMPRODUCT((실물목록!$P$2:$P$1001&lt;&gt;"")*ISNUMBER(SEARCH(실물목록!$P$2:$P$1001,I2694))*(실물목록!$R$2:$R$1001&lt;&gt;""))&gt;0,"확인필요(입력누락)",IF(SUMPRODUCT((실물목록!$P$2:$P$1001&lt;&gt;"")*ISNUMBER(SEARCH(실물목록!$P$2:$P$1001,I2694))*(실물목록!$Q$2:$Q$1001&lt;&gt;"")*ISNUMBER(SEARCH(실물목록!$Q$2:$Q$1001,I2694))*(실물목록!$R$2:$R$1001="")*(실물목록!$O$2:$O$1001&lt;&gt;""))&gt;0,"확인필요(연도다름)","실물 없음")))))</f>
      </c>
      <c r="G2694" t="n" s="16">
        <f aca="0">IF(B2694="","",SUMPRODUCT((실물목록!$P$2:$P$1001&lt;&gt;"")*ISNUMBER(SEARCH(실물목록!$P$2:$P$1001,I2694))*(실물목록!$Q$2:$Q$1001&lt;&gt;"")*ISNUMBER(SEARCH(실물목록!$Q$2:$Q$1001,I2694))*(실물목록!$R$2:$R$1001="")*(실물목록!$O$2:$O$1001&lt;&gt;"")*(실물목록!$O$2:$O$1001=H2694)))</f>
      </c>
      <c r="H2694" t="str">
        <f>IFERROR(IF(AND(LEN(SUBSTITUTE(SUBSTITUTE(SUBSTITUTE(TRIM(A2694&amp;""),CHAR(160),"")," ",""),"년",""))=4,VALUE(SUBSTITUTE(SUBSTITUTE(SUBSTITUTE(TRIM(A2694&amp;""),CHAR(160),"")," ",""),"년",""))&gt;=1900,VALUE(SUBSTITUTE(SUBSTITUTE(SUBSTITUTE(TRIM(A2694&amp;""),CHAR(160),"")," ",""),"년",""))&lt;=2099,TEXT(VALUE(SUBSTITUTE(SUBSTITUTE(SUBSTITUTE(TRIM(A2694&amp;""),CHAR(160),"")," ",""),"년","")),"0000")=SUBSTITUTE(SUBSTITUTE(SUBSTITUTE(TRIM(A2694&amp;""),CHAR(160),"")," ",""),"년","")),SUBSTITUTE(SUBSTITUTE(SUBSTITUTE(TRIM(A2694&amp;""),CHAR(160),"")," ",""),"년",""),""),"")</f>
      </c>
      <c r="I2694" t="str">
        <f>SUBSTITUTE(SUBSTITUTE(SUBSTITUTE(SUBSTITUTE(SUBSTITUTE(TRIM(B2694&amp;""),CHAR(160),"")," ",""),"초등학교","초"),"중학교","중"),"고등학교","고")</f>
      </c>
    </row>
    <row r="2695" customFormat="false" ht="15" hidden="false" customHeight="false" outlineLevel="0" collapsed="false">
      <c r="A2695" s="8"/>
      <c r="B2695" s="8"/>
      <c r="C2695" s="8"/>
      <c r="D2695" s="8"/>
      <c r="E2695" s="8"/>
      <c r="F2695" t="str" s="15">
        <f aca="0">IF(B2695="","",IF(H2695="","확인필요(입력누락)",IF(SUMPRODUCT((실물목록!$P$2:$P$1001&lt;&gt;"")*ISNUMBER(SEARCH(실물목록!$P$2:$P$1001,I2695))*(실물목록!$Q$2:$Q$1001&lt;&gt;"")*ISNUMBER(SEARCH(실물목록!$Q$2:$Q$1001,I2695))*(실물목록!$R$2:$R$1001="")*(실물목록!$O$2:$O$1001&lt;&gt;"")*(실물목록!$O$2:$O$1001=H2695))&gt;0,"실물 있음",IF(SUMPRODUCT((실물목록!$P$2:$P$1001&lt;&gt;"")*ISNUMBER(SEARCH(실물목록!$P$2:$P$1001,I2695))*(실물목록!$R$2:$R$1001&lt;&gt;""))&gt;0,"확인필요(입력누락)",IF(SUMPRODUCT((실물목록!$P$2:$P$1001&lt;&gt;"")*ISNUMBER(SEARCH(실물목록!$P$2:$P$1001,I2695))*(실물목록!$Q$2:$Q$1001&lt;&gt;"")*ISNUMBER(SEARCH(실물목록!$Q$2:$Q$1001,I2695))*(실물목록!$R$2:$R$1001="")*(실물목록!$O$2:$O$1001&lt;&gt;""))&gt;0,"확인필요(연도다름)","실물 없음")))))</f>
      </c>
      <c r="G2695" t="n" s="16">
        <f aca="0">IF(B2695="","",SUMPRODUCT((실물목록!$P$2:$P$1001&lt;&gt;"")*ISNUMBER(SEARCH(실물목록!$P$2:$P$1001,I2695))*(실물목록!$Q$2:$Q$1001&lt;&gt;"")*ISNUMBER(SEARCH(실물목록!$Q$2:$Q$1001,I2695))*(실물목록!$R$2:$R$1001="")*(실물목록!$O$2:$O$1001&lt;&gt;"")*(실물목록!$O$2:$O$1001=H2695)))</f>
      </c>
      <c r="H2695" t="str">
        <f>IFERROR(IF(AND(LEN(SUBSTITUTE(SUBSTITUTE(SUBSTITUTE(TRIM(A2695&amp;""),CHAR(160),"")," ",""),"년",""))=4,VALUE(SUBSTITUTE(SUBSTITUTE(SUBSTITUTE(TRIM(A2695&amp;""),CHAR(160),"")," ",""),"년",""))&gt;=1900,VALUE(SUBSTITUTE(SUBSTITUTE(SUBSTITUTE(TRIM(A2695&amp;""),CHAR(160),"")," ",""),"년",""))&lt;=2099,TEXT(VALUE(SUBSTITUTE(SUBSTITUTE(SUBSTITUTE(TRIM(A2695&amp;""),CHAR(160),"")," ",""),"년","")),"0000")=SUBSTITUTE(SUBSTITUTE(SUBSTITUTE(TRIM(A2695&amp;""),CHAR(160),"")," ",""),"년","")),SUBSTITUTE(SUBSTITUTE(SUBSTITUTE(TRIM(A2695&amp;""),CHAR(160),"")," ",""),"년",""),""),"")</f>
      </c>
      <c r="I2695" t="str">
        <f>SUBSTITUTE(SUBSTITUTE(SUBSTITUTE(SUBSTITUTE(SUBSTITUTE(TRIM(B2695&amp;""),CHAR(160),"")," ",""),"초등학교","초"),"중학교","중"),"고등학교","고")</f>
      </c>
    </row>
    <row r="2696" customFormat="false" ht="15" hidden="false" customHeight="false" outlineLevel="0" collapsed="false">
      <c r="A2696" s="8"/>
      <c r="B2696" s="8"/>
      <c r="C2696" s="8"/>
      <c r="D2696" s="8"/>
      <c r="E2696" s="8"/>
      <c r="F2696" t="str" s="15">
        <f aca="0">IF(B2696="","",IF(H2696="","확인필요(입력누락)",IF(SUMPRODUCT((실물목록!$P$2:$P$1001&lt;&gt;"")*ISNUMBER(SEARCH(실물목록!$P$2:$P$1001,I2696))*(실물목록!$Q$2:$Q$1001&lt;&gt;"")*ISNUMBER(SEARCH(실물목록!$Q$2:$Q$1001,I2696))*(실물목록!$R$2:$R$1001="")*(실물목록!$O$2:$O$1001&lt;&gt;"")*(실물목록!$O$2:$O$1001=H2696))&gt;0,"실물 있음",IF(SUMPRODUCT((실물목록!$P$2:$P$1001&lt;&gt;"")*ISNUMBER(SEARCH(실물목록!$P$2:$P$1001,I2696))*(실물목록!$R$2:$R$1001&lt;&gt;""))&gt;0,"확인필요(입력누락)",IF(SUMPRODUCT((실물목록!$P$2:$P$1001&lt;&gt;"")*ISNUMBER(SEARCH(실물목록!$P$2:$P$1001,I2696))*(실물목록!$Q$2:$Q$1001&lt;&gt;"")*ISNUMBER(SEARCH(실물목록!$Q$2:$Q$1001,I2696))*(실물목록!$R$2:$R$1001="")*(실물목록!$O$2:$O$1001&lt;&gt;""))&gt;0,"확인필요(연도다름)","실물 없음")))))</f>
      </c>
      <c r="G2696" t="n" s="16">
        <f aca="0">IF(B2696="","",SUMPRODUCT((실물목록!$P$2:$P$1001&lt;&gt;"")*ISNUMBER(SEARCH(실물목록!$P$2:$P$1001,I2696))*(실물목록!$Q$2:$Q$1001&lt;&gt;"")*ISNUMBER(SEARCH(실물목록!$Q$2:$Q$1001,I2696))*(실물목록!$R$2:$R$1001="")*(실물목록!$O$2:$O$1001&lt;&gt;"")*(실물목록!$O$2:$O$1001=H2696)))</f>
      </c>
      <c r="H2696" t="str">
        <f>IFERROR(IF(AND(LEN(SUBSTITUTE(SUBSTITUTE(SUBSTITUTE(TRIM(A2696&amp;""),CHAR(160),"")," ",""),"년",""))=4,VALUE(SUBSTITUTE(SUBSTITUTE(SUBSTITUTE(TRIM(A2696&amp;""),CHAR(160),"")," ",""),"년",""))&gt;=1900,VALUE(SUBSTITUTE(SUBSTITUTE(SUBSTITUTE(TRIM(A2696&amp;""),CHAR(160),"")," ",""),"년",""))&lt;=2099,TEXT(VALUE(SUBSTITUTE(SUBSTITUTE(SUBSTITUTE(TRIM(A2696&amp;""),CHAR(160),"")," ",""),"년","")),"0000")=SUBSTITUTE(SUBSTITUTE(SUBSTITUTE(TRIM(A2696&amp;""),CHAR(160),"")," ",""),"년","")),SUBSTITUTE(SUBSTITUTE(SUBSTITUTE(TRIM(A2696&amp;""),CHAR(160),"")," ",""),"년",""),""),"")</f>
      </c>
      <c r="I2696" t="str">
        <f>SUBSTITUTE(SUBSTITUTE(SUBSTITUTE(SUBSTITUTE(SUBSTITUTE(TRIM(B2696&amp;""),CHAR(160),"")," ",""),"초등학교","초"),"중학교","중"),"고등학교","고")</f>
      </c>
    </row>
    <row r="2697" customFormat="false" ht="15" hidden="false" customHeight="false" outlineLevel="0" collapsed="false">
      <c r="A2697" s="8"/>
      <c r="B2697" s="8"/>
      <c r="C2697" s="8"/>
      <c r="D2697" s="8"/>
      <c r="E2697" s="8"/>
      <c r="F2697" t="str" s="15">
        <f aca="0">IF(B2697="","",IF(H2697="","확인필요(입력누락)",IF(SUMPRODUCT((실물목록!$P$2:$P$1001&lt;&gt;"")*ISNUMBER(SEARCH(실물목록!$P$2:$P$1001,I2697))*(실물목록!$Q$2:$Q$1001&lt;&gt;"")*ISNUMBER(SEARCH(실물목록!$Q$2:$Q$1001,I2697))*(실물목록!$R$2:$R$1001="")*(실물목록!$O$2:$O$1001&lt;&gt;"")*(실물목록!$O$2:$O$1001=H2697))&gt;0,"실물 있음",IF(SUMPRODUCT((실물목록!$P$2:$P$1001&lt;&gt;"")*ISNUMBER(SEARCH(실물목록!$P$2:$P$1001,I2697))*(실물목록!$R$2:$R$1001&lt;&gt;""))&gt;0,"확인필요(입력누락)",IF(SUMPRODUCT((실물목록!$P$2:$P$1001&lt;&gt;"")*ISNUMBER(SEARCH(실물목록!$P$2:$P$1001,I2697))*(실물목록!$Q$2:$Q$1001&lt;&gt;"")*ISNUMBER(SEARCH(실물목록!$Q$2:$Q$1001,I2697))*(실물목록!$R$2:$R$1001="")*(실물목록!$O$2:$O$1001&lt;&gt;""))&gt;0,"확인필요(연도다름)","실물 없음")))))</f>
      </c>
      <c r="G2697" t="n" s="16">
        <f aca="0">IF(B2697="","",SUMPRODUCT((실물목록!$P$2:$P$1001&lt;&gt;"")*ISNUMBER(SEARCH(실물목록!$P$2:$P$1001,I2697))*(실물목록!$Q$2:$Q$1001&lt;&gt;"")*ISNUMBER(SEARCH(실물목록!$Q$2:$Q$1001,I2697))*(실물목록!$R$2:$R$1001="")*(실물목록!$O$2:$O$1001&lt;&gt;"")*(실물목록!$O$2:$O$1001=H2697)))</f>
      </c>
      <c r="H2697" t="str">
        <f>IFERROR(IF(AND(LEN(SUBSTITUTE(SUBSTITUTE(SUBSTITUTE(TRIM(A2697&amp;""),CHAR(160),"")," ",""),"년",""))=4,VALUE(SUBSTITUTE(SUBSTITUTE(SUBSTITUTE(TRIM(A2697&amp;""),CHAR(160),"")," ",""),"년",""))&gt;=1900,VALUE(SUBSTITUTE(SUBSTITUTE(SUBSTITUTE(TRIM(A2697&amp;""),CHAR(160),"")," ",""),"년",""))&lt;=2099,TEXT(VALUE(SUBSTITUTE(SUBSTITUTE(SUBSTITUTE(TRIM(A2697&amp;""),CHAR(160),"")," ",""),"년","")),"0000")=SUBSTITUTE(SUBSTITUTE(SUBSTITUTE(TRIM(A2697&amp;""),CHAR(160),"")," ",""),"년","")),SUBSTITUTE(SUBSTITUTE(SUBSTITUTE(TRIM(A2697&amp;""),CHAR(160),"")," ",""),"년",""),""),"")</f>
      </c>
      <c r="I2697" t="str">
        <f>SUBSTITUTE(SUBSTITUTE(SUBSTITUTE(SUBSTITUTE(SUBSTITUTE(TRIM(B2697&amp;""),CHAR(160),"")," ",""),"초등학교","초"),"중학교","중"),"고등학교","고")</f>
      </c>
    </row>
    <row r="2698" customFormat="false" ht="15" hidden="false" customHeight="false" outlineLevel="0" collapsed="false">
      <c r="A2698" s="8"/>
      <c r="B2698" s="8"/>
      <c r="C2698" s="8"/>
      <c r="D2698" s="8"/>
      <c r="E2698" s="8"/>
      <c r="F2698" t="str" s="15">
        <f aca="0">IF(B2698="","",IF(H2698="","확인필요(입력누락)",IF(SUMPRODUCT((실물목록!$P$2:$P$1001&lt;&gt;"")*ISNUMBER(SEARCH(실물목록!$P$2:$P$1001,I2698))*(실물목록!$Q$2:$Q$1001&lt;&gt;"")*ISNUMBER(SEARCH(실물목록!$Q$2:$Q$1001,I2698))*(실물목록!$R$2:$R$1001="")*(실물목록!$O$2:$O$1001&lt;&gt;"")*(실물목록!$O$2:$O$1001=H2698))&gt;0,"실물 있음",IF(SUMPRODUCT((실물목록!$P$2:$P$1001&lt;&gt;"")*ISNUMBER(SEARCH(실물목록!$P$2:$P$1001,I2698))*(실물목록!$R$2:$R$1001&lt;&gt;""))&gt;0,"확인필요(입력누락)",IF(SUMPRODUCT((실물목록!$P$2:$P$1001&lt;&gt;"")*ISNUMBER(SEARCH(실물목록!$P$2:$P$1001,I2698))*(실물목록!$Q$2:$Q$1001&lt;&gt;"")*ISNUMBER(SEARCH(실물목록!$Q$2:$Q$1001,I2698))*(실물목록!$R$2:$R$1001="")*(실물목록!$O$2:$O$1001&lt;&gt;""))&gt;0,"확인필요(연도다름)","실물 없음")))))</f>
      </c>
      <c r="G2698" t="n" s="16">
        <f aca="0">IF(B2698="","",SUMPRODUCT((실물목록!$P$2:$P$1001&lt;&gt;"")*ISNUMBER(SEARCH(실물목록!$P$2:$P$1001,I2698))*(실물목록!$Q$2:$Q$1001&lt;&gt;"")*ISNUMBER(SEARCH(실물목록!$Q$2:$Q$1001,I2698))*(실물목록!$R$2:$R$1001="")*(실물목록!$O$2:$O$1001&lt;&gt;"")*(실물목록!$O$2:$O$1001=H2698)))</f>
      </c>
      <c r="H2698" t="str">
        <f>IFERROR(IF(AND(LEN(SUBSTITUTE(SUBSTITUTE(SUBSTITUTE(TRIM(A2698&amp;""),CHAR(160),"")," ",""),"년",""))=4,VALUE(SUBSTITUTE(SUBSTITUTE(SUBSTITUTE(TRIM(A2698&amp;""),CHAR(160),"")," ",""),"년",""))&gt;=1900,VALUE(SUBSTITUTE(SUBSTITUTE(SUBSTITUTE(TRIM(A2698&amp;""),CHAR(160),"")," ",""),"년",""))&lt;=2099,TEXT(VALUE(SUBSTITUTE(SUBSTITUTE(SUBSTITUTE(TRIM(A2698&amp;""),CHAR(160),"")," ",""),"년","")),"0000")=SUBSTITUTE(SUBSTITUTE(SUBSTITUTE(TRIM(A2698&amp;""),CHAR(160),"")," ",""),"년","")),SUBSTITUTE(SUBSTITUTE(SUBSTITUTE(TRIM(A2698&amp;""),CHAR(160),"")," ",""),"년",""),""),"")</f>
      </c>
      <c r="I2698" t="str">
        <f>SUBSTITUTE(SUBSTITUTE(SUBSTITUTE(SUBSTITUTE(SUBSTITUTE(TRIM(B2698&amp;""),CHAR(160),"")," ",""),"초등학교","초"),"중학교","중"),"고등학교","고")</f>
      </c>
    </row>
    <row r="2699" customFormat="false" ht="15" hidden="false" customHeight="false" outlineLevel="0" collapsed="false">
      <c r="A2699" s="8"/>
      <c r="B2699" s="8"/>
      <c r="C2699" s="8"/>
      <c r="D2699" s="8"/>
      <c r="E2699" s="8"/>
      <c r="F2699" t="str" s="15">
        <f aca="0">IF(B2699="","",IF(H2699="","확인필요(입력누락)",IF(SUMPRODUCT((실물목록!$P$2:$P$1001&lt;&gt;"")*ISNUMBER(SEARCH(실물목록!$P$2:$P$1001,I2699))*(실물목록!$Q$2:$Q$1001&lt;&gt;"")*ISNUMBER(SEARCH(실물목록!$Q$2:$Q$1001,I2699))*(실물목록!$R$2:$R$1001="")*(실물목록!$O$2:$O$1001&lt;&gt;"")*(실물목록!$O$2:$O$1001=H2699))&gt;0,"실물 있음",IF(SUMPRODUCT((실물목록!$P$2:$P$1001&lt;&gt;"")*ISNUMBER(SEARCH(실물목록!$P$2:$P$1001,I2699))*(실물목록!$R$2:$R$1001&lt;&gt;""))&gt;0,"확인필요(입력누락)",IF(SUMPRODUCT((실물목록!$P$2:$P$1001&lt;&gt;"")*ISNUMBER(SEARCH(실물목록!$P$2:$P$1001,I2699))*(실물목록!$Q$2:$Q$1001&lt;&gt;"")*ISNUMBER(SEARCH(실물목록!$Q$2:$Q$1001,I2699))*(실물목록!$R$2:$R$1001="")*(실물목록!$O$2:$O$1001&lt;&gt;""))&gt;0,"확인필요(연도다름)","실물 없음")))))</f>
      </c>
      <c r="G2699" t="n" s="16">
        <f aca="0">IF(B2699="","",SUMPRODUCT((실물목록!$P$2:$P$1001&lt;&gt;"")*ISNUMBER(SEARCH(실물목록!$P$2:$P$1001,I2699))*(실물목록!$Q$2:$Q$1001&lt;&gt;"")*ISNUMBER(SEARCH(실물목록!$Q$2:$Q$1001,I2699))*(실물목록!$R$2:$R$1001="")*(실물목록!$O$2:$O$1001&lt;&gt;"")*(실물목록!$O$2:$O$1001=H2699)))</f>
      </c>
      <c r="H2699" t="str">
        <f>IFERROR(IF(AND(LEN(SUBSTITUTE(SUBSTITUTE(SUBSTITUTE(TRIM(A2699&amp;""),CHAR(160),"")," ",""),"년",""))=4,VALUE(SUBSTITUTE(SUBSTITUTE(SUBSTITUTE(TRIM(A2699&amp;""),CHAR(160),"")," ",""),"년",""))&gt;=1900,VALUE(SUBSTITUTE(SUBSTITUTE(SUBSTITUTE(TRIM(A2699&amp;""),CHAR(160),"")," ",""),"년",""))&lt;=2099,TEXT(VALUE(SUBSTITUTE(SUBSTITUTE(SUBSTITUTE(TRIM(A2699&amp;""),CHAR(160),"")," ",""),"년","")),"0000")=SUBSTITUTE(SUBSTITUTE(SUBSTITUTE(TRIM(A2699&amp;""),CHAR(160),"")," ",""),"년","")),SUBSTITUTE(SUBSTITUTE(SUBSTITUTE(TRIM(A2699&amp;""),CHAR(160),"")," ",""),"년",""),""),"")</f>
      </c>
      <c r="I2699" t="str">
        <f>SUBSTITUTE(SUBSTITUTE(SUBSTITUTE(SUBSTITUTE(SUBSTITUTE(TRIM(B2699&amp;""),CHAR(160),"")," ",""),"초등학교","초"),"중학교","중"),"고등학교","고")</f>
      </c>
    </row>
    <row r="2700" customFormat="false" ht="15" hidden="false" customHeight="false" outlineLevel="0" collapsed="false">
      <c r="A2700" s="8"/>
      <c r="B2700" s="8"/>
      <c r="C2700" s="8"/>
      <c r="D2700" s="8"/>
      <c r="E2700" s="8"/>
      <c r="F2700" t="str" s="15">
        <f aca="0">IF(B2700="","",IF(H2700="","확인필요(입력누락)",IF(SUMPRODUCT((실물목록!$P$2:$P$1001&lt;&gt;"")*ISNUMBER(SEARCH(실물목록!$P$2:$P$1001,I2700))*(실물목록!$Q$2:$Q$1001&lt;&gt;"")*ISNUMBER(SEARCH(실물목록!$Q$2:$Q$1001,I2700))*(실물목록!$R$2:$R$1001="")*(실물목록!$O$2:$O$1001&lt;&gt;"")*(실물목록!$O$2:$O$1001=H2700))&gt;0,"실물 있음",IF(SUMPRODUCT((실물목록!$P$2:$P$1001&lt;&gt;"")*ISNUMBER(SEARCH(실물목록!$P$2:$P$1001,I2700))*(실물목록!$R$2:$R$1001&lt;&gt;""))&gt;0,"확인필요(입력누락)",IF(SUMPRODUCT((실물목록!$P$2:$P$1001&lt;&gt;"")*ISNUMBER(SEARCH(실물목록!$P$2:$P$1001,I2700))*(실물목록!$Q$2:$Q$1001&lt;&gt;"")*ISNUMBER(SEARCH(실물목록!$Q$2:$Q$1001,I2700))*(실물목록!$R$2:$R$1001="")*(실물목록!$O$2:$O$1001&lt;&gt;""))&gt;0,"확인필요(연도다름)","실물 없음")))))</f>
      </c>
      <c r="G2700" t="n" s="16">
        <f aca="0">IF(B2700="","",SUMPRODUCT((실물목록!$P$2:$P$1001&lt;&gt;"")*ISNUMBER(SEARCH(실물목록!$P$2:$P$1001,I2700))*(실물목록!$Q$2:$Q$1001&lt;&gt;"")*ISNUMBER(SEARCH(실물목록!$Q$2:$Q$1001,I2700))*(실물목록!$R$2:$R$1001="")*(실물목록!$O$2:$O$1001&lt;&gt;"")*(실물목록!$O$2:$O$1001=H2700)))</f>
      </c>
      <c r="H2700" t="str">
        <f>IFERROR(IF(AND(LEN(SUBSTITUTE(SUBSTITUTE(SUBSTITUTE(TRIM(A2700&amp;""),CHAR(160),"")," ",""),"년",""))=4,VALUE(SUBSTITUTE(SUBSTITUTE(SUBSTITUTE(TRIM(A2700&amp;""),CHAR(160),"")," ",""),"년",""))&gt;=1900,VALUE(SUBSTITUTE(SUBSTITUTE(SUBSTITUTE(TRIM(A2700&amp;""),CHAR(160),"")," ",""),"년",""))&lt;=2099,TEXT(VALUE(SUBSTITUTE(SUBSTITUTE(SUBSTITUTE(TRIM(A2700&amp;""),CHAR(160),"")," ",""),"년","")),"0000")=SUBSTITUTE(SUBSTITUTE(SUBSTITUTE(TRIM(A2700&amp;""),CHAR(160),"")," ",""),"년","")),SUBSTITUTE(SUBSTITUTE(SUBSTITUTE(TRIM(A2700&amp;""),CHAR(160),"")," ",""),"년",""),""),"")</f>
      </c>
      <c r="I2700" t="str">
        <f>SUBSTITUTE(SUBSTITUTE(SUBSTITUTE(SUBSTITUTE(SUBSTITUTE(TRIM(B2700&amp;""),CHAR(160),"")," ",""),"초등학교","초"),"중학교","중"),"고등학교","고")</f>
      </c>
    </row>
    <row r="2701" customFormat="false" ht="15" hidden="false" customHeight="false" outlineLevel="0" collapsed="false">
      <c r="A2701" s="8"/>
      <c r="B2701" s="8"/>
      <c r="C2701" s="8"/>
      <c r="D2701" s="8"/>
      <c r="E2701" s="8"/>
      <c r="F2701" t="str" s="15">
        <f aca="0">IF(B2701="","",IF(H2701="","확인필요(입력누락)",IF(SUMPRODUCT((실물목록!$P$2:$P$1001&lt;&gt;"")*ISNUMBER(SEARCH(실물목록!$P$2:$P$1001,I2701))*(실물목록!$Q$2:$Q$1001&lt;&gt;"")*ISNUMBER(SEARCH(실물목록!$Q$2:$Q$1001,I2701))*(실물목록!$R$2:$R$1001="")*(실물목록!$O$2:$O$1001&lt;&gt;"")*(실물목록!$O$2:$O$1001=H2701))&gt;0,"실물 있음",IF(SUMPRODUCT((실물목록!$P$2:$P$1001&lt;&gt;"")*ISNUMBER(SEARCH(실물목록!$P$2:$P$1001,I2701))*(실물목록!$R$2:$R$1001&lt;&gt;""))&gt;0,"확인필요(입력누락)",IF(SUMPRODUCT((실물목록!$P$2:$P$1001&lt;&gt;"")*ISNUMBER(SEARCH(실물목록!$P$2:$P$1001,I2701))*(실물목록!$Q$2:$Q$1001&lt;&gt;"")*ISNUMBER(SEARCH(실물목록!$Q$2:$Q$1001,I2701))*(실물목록!$R$2:$R$1001="")*(실물목록!$O$2:$O$1001&lt;&gt;""))&gt;0,"확인필요(연도다름)","실물 없음")))))</f>
      </c>
      <c r="G2701" t="n" s="16">
        <f aca="0">IF(B2701="","",SUMPRODUCT((실물목록!$P$2:$P$1001&lt;&gt;"")*ISNUMBER(SEARCH(실물목록!$P$2:$P$1001,I2701))*(실물목록!$Q$2:$Q$1001&lt;&gt;"")*ISNUMBER(SEARCH(실물목록!$Q$2:$Q$1001,I2701))*(실물목록!$R$2:$R$1001="")*(실물목록!$O$2:$O$1001&lt;&gt;"")*(실물목록!$O$2:$O$1001=H2701)))</f>
      </c>
      <c r="H2701" t="str">
        <f>IFERROR(IF(AND(LEN(SUBSTITUTE(SUBSTITUTE(SUBSTITUTE(TRIM(A2701&amp;""),CHAR(160),"")," ",""),"년",""))=4,VALUE(SUBSTITUTE(SUBSTITUTE(SUBSTITUTE(TRIM(A2701&amp;""),CHAR(160),"")," ",""),"년",""))&gt;=1900,VALUE(SUBSTITUTE(SUBSTITUTE(SUBSTITUTE(TRIM(A2701&amp;""),CHAR(160),"")," ",""),"년",""))&lt;=2099,TEXT(VALUE(SUBSTITUTE(SUBSTITUTE(SUBSTITUTE(TRIM(A2701&amp;""),CHAR(160),"")," ",""),"년","")),"0000")=SUBSTITUTE(SUBSTITUTE(SUBSTITUTE(TRIM(A2701&amp;""),CHAR(160),"")," ",""),"년","")),SUBSTITUTE(SUBSTITUTE(SUBSTITUTE(TRIM(A2701&amp;""),CHAR(160),"")," ",""),"년",""),""),"")</f>
      </c>
      <c r="I2701" t="str">
        <f>SUBSTITUTE(SUBSTITUTE(SUBSTITUTE(SUBSTITUTE(SUBSTITUTE(TRIM(B2701&amp;""),CHAR(160),"")," ",""),"초등학교","초"),"중학교","중"),"고등학교","고")</f>
      </c>
    </row>
    <row r="2702" customFormat="false" ht="15" hidden="false" customHeight="false" outlineLevel="0" collapsed="false">
      <c r="A2702" s="8"/>
      <c r="B2702" s="8"/>
      <c r="C2702" s="8"/>
      <c r="D2702" s="8"/>
      <c r="E2702" s="8"/>
      <c r="F2702" t="str" s="15">
        <f aca="0">IF(B2702="","",IF(H2702="","확인필요(입력누락)",IF(SUMPRODUCT((실물목록!$P$2:$P$1001&lt;&gt;"")*ISNUMBER(SEARCH(실물목록!$P$2:$P$1001,I2702))*(실물목록!$Q$2:$Q$1001&lt;&gt;"")*ISNUMBER(SEARCH(실물목록!$Q$2:$Q$1001,I2702))*(실물목록!$R$2:$R$1001="")*(실물목록!$O$2:$O$1001&lt;&gt;"")*(실물목록!$O$2:$O$1001=H2702))&gt;0,"실물 있음",IF(SUMPRODUCT((실물목록!$P$2:$P$1001&lt;&gt;"")*ISNUMBER(SEARCH(실물목록!$P$2:$P$1001,I2702))*(실물목록!$R$2:$R$1001&lt;&gt;""))&gt;0,"확인필요(입력누락)",IF(SUMPRODUCT((실물목록!$P$2:$P$1001&lt;&gt;"")*ISNUMBER(SEARCH(실물목록!$P$2:$P$1001,I2702))*(실물목록!$Q$2:$Q$1001&lt;&gt;"")*ISNUMBER(SEARCH(실물목록!$Q$2:$Q$1001,I2702))*(실물목록!$R$2:$R$1001="")*(실물목록!$O$2:$O$1001&lt;&gt;""))&gt;0,"확인필요(연도다름)","실물 없음")))))</f>
      </c>
      <c r="G2702" t="n" s="16">
        <f aca="0">IF(B2702="","",SUMPRODUCT((실물목록!$P$2:$P$1001&lt;&gt;"")*ISNUMBER(SEARCH(실물목록!$P$2:$P$1001,I2702))*(실물목록!$Q$2:$Q$1001&lt;&gt;"")*ISNUMBER(SEARCH(실물목록!$Q$2:$Q$1001,I2702))*(실물목록!$R$2:$R$1001="")*(실물목록!$O$2:$O$1001&lt;&gt;"")*(실물목록!$O$2:$O$1001=H2702)))</f>
      </c>
      <c r="H2702" t="str">
        <f>IFERROR(IF(AND(LEN(SUBSTITUTE(SUBSTITUTE(SUBSTITUTE(TRIM(A2702&amp;""),CHAR(160),"")," ",""),"년",""))=4,VALUE(SUBSTITUTE(SUBSTITUTE(SUBSTITUTE(TRIM(A2702&amp;""),CHAR(160),"")," ",""),"년",""))&gt;=1900,VALUE(SUBSTITUTE(SUBSTITUTE(SUBSTITUTE(TRIM(A2702&amp;""),CHAR(160),"")," ",""),"년",""))&lt;=2099,TEXT(VALUE(SUBSTITUTE(SUBSTITUTE(SUBSTITUTE(TRIM(A2702&amp;""),CHAR(160),"")," ",""),"년","")),"0000")=SUBSTITUTE(SUBSTITUTE(SUBSTITUTE(TRIM(A2702&amp;""),CHAR(160),"")," ",""),"년","")),SUBSTITUTE(SUBSTITUTE(SUBSTITUTE(TRIM(A2702&amp;""),CHAR(160),"")," ",""),"년",""),""),"")</f>
      </c>
      <c r="I2702" t="str">
        <f>SUBSTITUTE(SUBSTITUTE(SUBSTITUTE(SUBSTITUTE(SUBSTITUTE(TRIM(B2702&amp;""),CHAR(160),"")," ",""),"초등학교","초"),"중학교","중"),"고등학교","고")</f>
      </c>
    </row>
    <row r="2703" customFormat="false" ht="15" hidden="false" customHeight="false" outlineLevel="0" collapsed="false">
      <c r="A2703" s="8"/>
      <c r="B2703" s="8"/>
      <c r="C2703" s="8"/>
      <c r="D2703" s="8"/>
      <c r="E2703" s="8"/>
      <c r="F2703" t="str" s="15">
        <f aca="0">IF(B2703="","",IF(H2703="","확인필요(입력누락)",IF(SUMPRODUCT((실물목록!$P$2:$P$1001&lt;&gt;"")*ISNUMBER(SEARCH(실물목록!$P$2:$P$1001,I2703))*(실물목록!$Q$2:$Q$1001&lt;&gt;"")*ISNUMBER(SEARCH(실물목록!$Q$2:$Q$1001,I2703))*(실물목록!$R$2:$R$1001="")*(실물목록!$O$2:$O$1001&lt;&gt;"")*(실물목록!$O$2:$O$1001=H2703))&gt;0,"실물 있음",IF(SUMPRODUCT((실물목록!$P$2:$P$1001&lt;&gt;"")*ISNUMBER(SEARCH(실물목록!$P$2:$P$1001,I2703))*(실물목록!$R$2:$R$1001&lt;&gt;""))&gt;0,"확인필요(입력누락)",IF(SUMPRODUCT((실물목록!$P$2:$P$1001&lt;&gt;"")*ISNUMBER(SEARCH(실물목록!$P$2:$P$1001,I2703))*(실물목록!$Q$2:$Q$1001&lt;&gt;"")*ISNUMBER(SEARCH(실물목록!$Q$2:$Q$1001,I2703))*(실물목록!$R$2:$R$1001="")*(실물목록!$O$2:$O$1001&lt;&gt;""))&gt;0,"확인필요(연도다름)","실물 없음")))))</f>
      </c>
      <c r="G2703" t="n" s="16">
        <f aca="0">IF(B2703="","",SUMPRODUCT((실물목록!$P$2:$P$1001&lt;&gt;"")*ISNUMBER(SEARCH(실물목록!$P$2:$P$1001,I2703))*(실물목록!$Q$2:$Q$1001&lt;&gt;"")*ISNUMBER(SEARCH(실물목록!$Q$2:$Q$1001,I2703))*(실물목록!$R$2:$R$1001="")*(실물목록!$O$2:$O$1001&lt;&gt;"")*(실물목록!$O$2:$O$1001=H2703)))</f>
      </c>
      <c r="H2703" t="str">
        <f>IFERROR(IF(AND(LEN(SUBSTITUTE(SUBSTITUTE(SUBSTITUTE(TRIM(A2703&amp;""),CHAR(160),"")," ",""),"년",""))=4,VALUE(SUBSTITUTE(SUBSTITUTE(SUBSTITUTE(TRIM(A2703&amp;""),CHAR(160),"")," ",""),"년",""))&gt;=1900,VALUE(SUBSTITUTE(SUBSTITUTE(SUBSTITUTE(TRIM(A2703&amp;""),CHAR(160),"")," ",""),"년",""))&lt;=2099,TEXT(VALUE(SUBSTITUTE(SUBSTITUTE(SUBSTITUTE(TRIM(A2703&amp;""),CHAR(160),"")," ",""),"년","")),"0000")=SUBSTITUTE(SUBSTITUTE(SUBSTITUTE(TRIM(A2703&amp;""),CHAR(160),"")," ",""),"년","")),SUBSTITUTE(SUBSTITUTE(SUBSTITUTE(TRIM(A2703&amp;""),CHAR(160),"")," ",""),"년",""),""),"")</f>
      </c>
      <c r="I2703" t="str">
        <f>SUBSTITUTE(SUBSTITUTE(SUBSTITUTE(SUBSTITUTE(SUBSTITUTE(TRIM(B2703&amp;""),CHAR(160),"")," ",""),"초등학교","초"),"중학교","중"),"고등학교","고")</f>
      </c>
    </row>
    <row r="2704" customFormat="false" ht="15" hidden="false" customHeight="false" outlineLevel="0" collapsed="false">
      <c r="A2704" s="8"/>
      <c r="B2704" s="8"/>
      <c r="C2704" s="8"/>
      <c r="D2704" s="8"/>
      <c r="E2704" s="8"/>
      <c r="F2704" t="str" s="15">
        <f aca="0">IF(B2704="","",IF(H2704="","확인필요(입력누락)",IF(SUMPRODUCT((실물목록!$P$2:$P$1001&lt;&gt;"")*ISNUMBER(SEARCH(실물목록!$P$2:$P$1001,I2704))*(실물목록!$Q$2:$Q$1001&lt;&gt;"")*ISNUMBER(SEARCH(실물목록!$Q$2:$Q$1001,I2704))*(실물목록!$R$2:$R$1001="")*(실물목록!$O$2:$O$1001&lt;&gt;"")*(실물목록!$O$2:$O$1001=H2704))&gt;0,"실물 있음",IF(SUMPRODUCT((실물목록!$P$2:$P$1001&lt;&gt;"")*ISNUMBER(SEARCH(실물목록!$P$2:$P$1001,I2704))*(실물목록!$R$2:$R$1001&lt;&gt;""))&gt;0,"확인필요(입력누락)",IF(SUMPRODUCT((실물목록!$P$2:$P$1001&lt;&gt;"")*ISNUMBER(SEARCH(실물목록!$P$2:$P$1001,I2704))*(실물목록!$Q$2:$Q$1001&lt;&gt;"")*ISNUMBER(SEARCH(실물목록!$Q$2:$Q$1001,I2704))*(실물목록!$R$2:$R$1001="")*(실물목록!$O$2:$O$1001&lt;&gt;""))&gt;0,"확인필요(연도다름)","실물 없음")))))</f>
      </c>
      <c r="G2704" t="n" s="16">
        <f aca="0">IF(B2704="","",SUMPRODUCT((실물목록!$P$2:$P$1001&lt;&gt;"")*ISNUMBER(SEARCH(실물목록!$P$2:$P$1001,I2704))*(실물목록!$Q$2:$Q$1001&lt;&gt;"")*ISNUMBER(SEARCH(실물목록!$Q$2:$Q$1001,I2704))*(실물목록!$R$2:$R$1001="")*(실물목록!$O$2:$O$1001&lt;&gt;"")*(실물목록!$O$2:$O$1001=H2704)))</f>
      </c>
      <c r="H2704" t="str">
        <f>IFERROR(IF(AND(LEN(SUBSTITUTE(SUBSTITUTE(SUBSTITUTE(TRIM(A2704&amp;""),CHAR(160),"")," ",""),"년",""))=4,VALUE(SUBSTITUTE(SUBSTITUTE(SUBSTITUTE(TRIM(A2704&amp;""),CHAR(160),"")," ",""),"년",""))&gt;=1900,VALUE(SUBSTITUTE(SUBSTITUTE(SUBSTITUTE(TRIM(A2704&amp;""),CHAR(160),"")," ",""),"년",""))&lt;=2099,TEXT(VALUE(SUBSTITUTE(SUBSTITUTE(SUBSTITUTE(TRIM(A2704&amp;""),CHAR(160),"")," ",""),"년","")),"0000")=SUBSTITUTE(SUBSTITUTE(SUBSTITUTE(TRIM(A2704&amp;""),CHAR(160),"")," ",""),"년","")),SUBSTITUTE(SUBSTITUTE(SUBSTITUTE(TRIM(A2704&amp;""),CHAR(160),"")," ",""),"년",""),""),"")</f>
      </c>
      <c r="I2704" t="str">
        <f>SUBSTITUTE(SUBSTITUTE(SUBSTITUTE(SUBSTITUTE(SUBSTITUTE(TRIM(B2704&amp;""),CHAR(160),"")," ",""),"초등학교","초"),"중학교","중"),"고등학교","고")</f>
      </c>
    </row>
    <row r="2705" customFormat="false" ht="15" hidden="false" customHeight="false" outlineLevel="0" collapsed="false">
      <c r="A2705" s="8"/>
      <c r="B2705" s="8"/>
      <c r="C2705" s="8"/>
      <c r="D2705" s="8"/>
      <c r="E2705" s="8"/>
      <c r="F2705" t="str" s="15">
        <f aca="0">IF(B2705="","",IF(H2705="","확인필요(입력누락)",IF(SUMPRODUCT((실물목록!$P$2:$P$1001&lt;&gt;"")*ISNUMBER(SEARCH(실물목록!$P$2:$P$1001,I2705))*(실물목록!$Q$2:$Q$1001&lt;&gt;"")*ISNUMBER(SEARCH(실물목록!$Q$2:$Q$1001,I2705))*(실물목록!$R$2:$R$1001="")*(실물목록!$O$2:$O$1001&lt;&gt;"")*(실물목록!$O$2:$O$1001=H2705))&gt;0,"실물 있음",IF(SUMPRODUCT((실물목록!$P$2:$P$1001&lt;&gt;"")*ISNUMBER(SEARCH(실물목록!$P$2:$P$1001,I2705))*(실물목록!$R$2:$R$1001&lt;&gt;""))&gt;0,"확인필요(입력누락)",IF(SUMPRODUCT((실물목록!$P$2:$P$1001&lt;&gt;"")*ISNUMBER(SEARCH(실물목록!$P$2:$P$1001,I2705))*(실물목록!$Q$2:$Q$1001&lt;&gt;"")*ISNUMBER(SEARCH(실물목록!$Q$2:$Q$1001,I2705))*(실물목록!$R$2:$R$1001="")*(실물목록!$O$2:$O$1001&lt;&gt;""))&gt;0,"확인필요(연도다름)","실물 없음")))))</f>
      </c>
      <c r="G2705" t="n" s="16">
        <f aca="0">IF(B2705="","",SUMPRODUCT((실물목록!$P$2:$P$1001&lt;&gt;"")*ISNUMBER(SEARCH(실물목록!$P$2:$P$1001,I2705))*(실물목록!$Q$2:$Q$1001&lt;&gt;"")*ISNUMBER(SEARCH(실물목록!$Q$2:$Q$1001,I2705))*(실물목록!$R$2:$R$1001="")*(실물목록!$O$2:$O$1001&lt;&gt;"")*(실물목록!$O$2:$O$1001=H2705)))</f>
      </c>
      <c r="H2705" t="str">
        <f>IFERROR(IF(AND(LEN(SUBSTITUTE(SUBSTITUTE(SUBSTITUTE(TRIM(A2705&amp;""),CHAR(160),"")," ",""),"년",""))=4,VALUE(SUBSTITUTE(SUBSTITUTE(SUBSTITUTE(TRIM(A2705&amp;""),CHAR(160),"")," ",""),"년",""))&gt;=1900,VALUE(SUBSTITUTE(SUBSTITUTE(SUBSTITUTE(TRIM(A2705&amp;""),CHAR(160),"")," ",""),"년",""))&lt;=2099,TEXT(VALUE(SUBSTITUTE(SUBSTITUTE(SUBSTITUTE(TRIM(A2705&amp;""),CHAR(160),"")," ",""),"년","")),"0000")=SUBSTITUTE(SUBSTITUTE(SUBSTITUTE(TRIM(A2705&amp;""),CHAR(160),"")," ",""),"년","")),SUBSTITUTE(SUBSTITUTE(SUBSTITUTE(TRIM(A2705&amp;""),CHAR(160),"")," ",""),"년",""),""),"")</f>
      </c>
      <c r="I2705" t="str">
        <f>SUBSTITUTE(SUBSTITUTE(SUBSTITUTE(SUBSTITUTE(SUBSTITUTE(TRIM(B2705&amp;""),CHAR(160),"")," ",""),"초등학교","초"),"중학교","중"),"고등학교","고")</f>
      </c>
    </row>
    <row r="2706" customFormat="false" ht="15" hidden="false" customHeight="false" outlineLevel="0" collapsed="false">
      <c r="A2706" s="8"/>
      <c r="B2706" s="8"/>
      <c r="C2706" s="8"/>
      <c r="D2706" s="8"/>
      <c r="E2706" s="8"/>
      <c r="F2706" t="str" s="15">
        <f aca="0">IF(B2706="","",IF(H2706="","확인필요(입력누락)",IF(SUMPRODUCT((실물목록!$P$2:$P$1001&lt;&gt;"")*ISNUMBER(SEARCH(실물목록!$P$2:$P$1001,I2706))*(실물목록!$Q$2:$Q$1001&lt;&gt;"")*ISNUMBER(SEARCH(실물목록!$Q$2:$Q$1001,I2706))*(실물목록!$R$2:$R$1001="")*(실물목록!$O$2:$O$1001&lt;&gt;"")*(실물목록!$O$2:$O$1001=H2706))&gt;0,"실물 있음",IF(SUMPRODUCT((실물목록!$P$2:$P$1001&lt;&gt;"")*ISNUMBER(SEARCH(실물목록!$P$2:$P$1001,I2706))*(실물목록!$R$2:$R$1001&lt;&gt;""))&gt;0,"확인필요(입력누락)",IF(SUMPRODUCT((실물목록!$P$2:$P$1001&lt;&gt;"")*ISNUMBER(SEARCH(실물목록!$P$2:$P$1001,I2706))*(실물목록!$Q$2:$Q$1001&lt;&gt;"")*ISNUMBER(SEARCH(실물목록!$Q$2:$Q$1001,I2706))*(실물목록!$R$2:$R$1001="")*(실물목록!$O$2:$O$1001&lt;&gt;""))&gt;0,"확인필요(연도다름)","실물 없음")))))</f>
      </c>
      <c r="G2706" t="n" s="16">
        <f aca="0">IF(B2706="","",SUMPRODUCT((실물목록!$P$2:$P$1001&lt;&gt;"")*ISNUMBER(SEARCH(실물목록!$P$2:$P$1001,I2706))*(실물목록!$Q$2:$Q$1001&lt;&gt;"")*ISNUMBER(SEARCH(실물목록!$Q$2:$Q$1001,I2706))*(실물목록!$R$2:$R$1001="")*(실물목록!$O$2:$O$1001&lt;&gt;"")*(실물목록!$O$2:$O$1001=H2706)))</f>
      </c>
      <c r="H2706" t="str">
        <f>IFERROR(IF(AND(LEN(SUBSTITUTE(SUBSTITUTE(SUBSTITUTE(TRIM(A2706&amp;""),CHAR(160),"")," ",""),"년",""))=4,VALUE(SUBSTITUTE(SUBSTITUTE(SUBSTITUTE(TRIM(A2706&amp;""),CHAR(160),"")," ",""),"년",""))&gt;=1900,VALUE(SUBSTITUTE(SUBSTITUTE(SUBSTITUTE(TRIM(A2706&amp;""),CHAR(160),"")," ",""),"년",""))&lt;=2099,TEXT(VALUE(SUBSTITUTE(SUBSTITUTE(SUBSTITUTE(TRIM(A2706&amp;""),CHAR(160),"")," ",""),"년","")),"0000")=SUBSTITUTE(SUBSTITUTE(SUBSTITUTE(TRIM(A2706&amp;""),CHAR(160),"")," ",""),"년","")),SUBSTITUTE(SUBSTITUTE(SUBSTITUTE(TRIM(A2706&amp;""),CHAR(160),"")," ",""),"년",""),""),"")</f>
      </c>
      <c r="I2706" t="str">
        <f>SUBSTITUTE(SUBSTITUTE(SUBSTITUTE(SUBSTITUTE(SUBSTITUTE(TRIM(B2706&amp;""),CHAR(160),"")," ",""),"초등학교","초"),"중학교","중"),"고등학교","고")</f>
      </c>
    </row>
    <row r="2707" customFormat="false" ht="15" hidden="false" customHeight="false" outlineLevel="0" collapsed="false">
      <c r="A2707" s="8"/>
      <c r="B2707" s="8"/>
      <c r="C2707" s="8"/>
      <c r="D2707" s="8"/>
      <c r="E2707" s="8"/>
      <c r="F2707" t="str" s="15">
        <f aca="0">IF(B2707="","",IF(H2707="","확인필요(입력누락)",IF(SUMPRODUCT((실물목록!$P$2:$P$1001&lt;&gt;"")*ISNUMBER(SEARCH(실물목록!$P$2:$P$1001,I2707))*(실물목록!$Q$2:$Q$1001&lt;&gt;"")*ISNUMBER(SEARCH(실물목록!$Q$2:$Q$1001,I2707))*(실물목록!$R$2:$R$1001="")*(실물목록!$O$2:$O$1001&lt;&gt;"")*(실물목록!$O$2:$O$1001=H2707))&gt;0,"실물 있음",IF(SUMPRODUCT((실물목록!$P$2:$P$1001&lt;&gt;"")*ISNUMBER(SEARCH(실물목록!$P$2:$P$1001,I2707))*(실물목록!$R$2:$R$1001&lt;&gt;""))&gt;0,"확인필요(입력누락)",IF(SUMPRODUCT((실물목록!$P$2:$P$1001&lt;&gt;"")*ISNUMBER(SEARCH(실물목록!$P$2:$P$1001,I2707))*(실물목록!$Q$2:$Q$1001&lt;&gt;"")*ISNUMBER(SEARCH(실물목록!$Q$2:$Q$1001,I2707))*(실물목록!$R$2:$R$1001="")*(실물목록!$O$2:$O$1001&lt;&gt;""))&gt;0,"확인필요(연도다름)","실물 없음")))))</f>
      </c>
      <c r="G2707" t="n" s="16">
        <f aca="0">IF(B2707="","",SUMPRODUCT((실물목록!$P$2:$P$1001&lt;&gt;"")*ISNUMBER(SEARCH(실물목록!$P$2:$P$1001,I2707))*(실물목록!$Q$2:$Q$1001&lt;&gt;"")*ISNUMBER(SEARCH(실물목록!$Q$2:$Q$1001,I2707))*(실물목록!$R$2:$R$1001="")*(실물목록!$O$2:$O$1001&lt;&gt;"")*(실물목록!$O$2:$O$1001=H2707)))</f>
      </c>
      <c r="H2707" t="str">
        <f>IFERROR(IF(AND(LEN(SUBSTITUTE(SUBSTITUTE(SUBSTITUTE(TRIM(A2707&amp;""),CHAR(160),"")," ",""),"년",""))=4,VALUE(SUBSTITUTE(SUBSTITUTE(SUBSTITUTE(TRIM(A2707&amp;""),CHAR(160),"")," ",""),"년",""))&gt;=1900,VALUE(SUBSTITUTE(SUBSTITUTE(SUBSTITUTE(TRIM(A2707&amp;""),CHAR(160),"")," ",""),"년",""))&lt;=2099,TEXT(VALUE(SUBSTITUTE(SUBSTITUTE(SUBSTITUTE(TRIM(A2707&amp;""),CHAR(160),"")," ",""),"년","")),"0000")=SUBSTITUTE(SUBSTITUTE(SUBSTITUTE(TRIM(A2707&amp;""),CHAR(160),"")," ",""),"년","")),SUBSTITUTE(SUBSTITUTE(SUBSTITUTE(TRIM(A2707&amp;""),CHAR(160),"")," ",""),"년",""),""),"")</f>
      </c>
      <c r="I2707" t="str">
        <f>SUBSTITUTE(SUBSTITUTE(SUBSTITUTE(SUBSTITUTE(SUBSTITUTE(TRIM(B2707&amp;""),CHAR(160),"")," ",""),"초등학교","초"),"중학교","중"),"고등학교","고")</f>
      </c>
    </row>
    <row r="2708" customFormat="false" ht="15" hidden="false" customHeight="false" outlineLevel="0" collapsed="false">
      <c r="A2708" s="8"/>
      <c r="B2708" s="8"/>
      <c r="C2708" s="8"/>
      <c r="D2708" s="8"/>
      <c r="E2708" s="8"/>
      <c r="F2708" t="str" s="15">
        <f aca="0">IF(B2708="","",IF(H2708="","확인필요(입력누락)",IF(SUMPRODUCT((실물목록!$P$2:$P$1001&lt;&gt;"")*ISNUMBER(SEARCH(실물목록!$P$2:$P$1001,I2708))*(실물목록!$Q$2:$Q$1001&lt;&gt;"")*ISNUMBER(SEARCH(실물목록!$Q$2:$Q$1001,I2708))*(실물목록!$R$2:$R$1001="")*(실물목록!$O$2:$O$1001&lt;&gt;"")*(실물목록!$O$2:$O$1001=H2708))&gt;0,"실물 있음",IF(SUMPRODUCT((실물목록!$P$2:$P$1001&lt;&gt;"")*ISNUMBER(SEARCH(실물목록!$P$2:$P$1001,I2708))*(실물목록!$R$2:$R$1001&lt;&gt;""))&gt;0,"확인필요(입력누락)",IF(SUMPRODUCT((실물목록!$P$2:$P$1001&lt;&gt;"")*ISNUMBER(SEARCH(실물목록!$P$2:$P$1001,I2708))*(실물목록!$Q$2:$Q$1001&lt;&gt;"")*ISNUMBER(SEARCH(실물목록!$Q$2:$Q$1001,I2708))*(실물목록!$R$2:$R$1001="")*(실물목록!$O$2:$O$1001&lt;&gt;""))&gt;0,"확인필요(연도다름)","실물 없음")))))</f>
      </c>
      <c r="G2708" t="n" s="16">
        <f aca="0">IF(B2708="","",SUMPRODUCT((실물목록!$P$2:$P$1001&lt;&gt;"")*ISNUMBER(SEARCH(실물목록!$P$2:$P$1001,I2708))*(실물목록!$Q$2:$Q$1001&lt;&gt;"")*ISNUMBER(SEARCH(실물목록!$Q$2:$Q$1001,I2708))*(실물목록!$R$2:$R$1001="")*(실물목록!$O$2:$O$1001&lt;&gt;"")*(실물목록!$O$2:$O$1001=H2708)))</f>
      </c>
      <c r="H2708" t="str">
        <f>IFERROR(IF(AND(LEN(SUBSTITUTE(SUBSTITUTE(SUBSTITUTE(TRIM(A2708&amp;""),CHAR(160),"")," ",""),"년",""))=4,VALUE(SUBSTITUTE(SUBSTITUTE(SUBSTITUTE(TRIM(A2708&amp;""),CHAR(160),"")," ",""),"년",""))&gt;=1900,VALUE(SUBSTITUTE(SUBSTITUTE(SUBSTITUTE(TRIM(A2708&amp;""),CHAR(160),"")," ",""),"년",""))&lt;=2099,TEXT(VALUE(SUBSTITUTE(SUBSTITUTE(SUBSTITUTE(TRIM(A2708&amp;""),CHAR(160),"")," ",""),"년","")),"0000")=SUBSTITUTE(SUBSTITUTE(SUBSTITUTE(TRIM(A2708&amp;""),CHAR(160),"")," ",""),"년","")),SUBSTITUTE(SUBSTITUTE(SUBSTITUTE(TRIM(A2708&amp;""),CHAR(160),"")," ",""),"년",""),""),"")</f>
      </c>
      <c r="I2708" t="str">
        <f>SUBSTITUTE(SUBSTITUTE(SUBSTITUTE(SUBSTITUTE(SUBSTITUTE(TRIM(B2708&amp;""),CHAR(160),"")," ",""),"초등학교","초"),"중학교","중"),"고등학교","고")</f>
      </c>
    </row>
    <row r="2709" customFormat="false" ht="15" hidden="false" customHeight="false" outlineLevel="0" collapsed="false">
      <c r="A2709" s="8"/>
      <c r="B2709" s="8"/>
      <c r="C2709" s="8"/>
      <c r="D2709" s="8"/>
      <c r="E2709" s="8"/>
      <c r="F2709" t="str" s="15">
        <f aca="0">IF(B2709="","",IF(H2709="","확인필요(입력누락)",IF(SUMPRODUCT((실물목록!$P$2:$P$1001&lt;&gt;"")*ISNUMBER(SEARCH(실물목록!$P$2:$P$1001,I2709))*(실물목록!$Q$2:$Q$1001&lt;&gt;"")*ISNUMBER(SEARCH(실물목록!$Q$2:$Q$1001,I2709))*(실물목록!$R$2:$R$1001="")*(실물목록!$O$2:$O$1001&lt;&gt;"")*(실물목록!$O$2:$O$1001=H2709))&gt;0,"실물 있음",IF(SUMPRODUCT((실물목록!$P$2:$P$1001&lt;&gt;"")*ISNUMBER(SEARCH(실물목록!$P$2:$P$1001,I2709))*(실물목록!$R$2:$R$1001&lt;&gt;""))&gt;0,"확인필요(입력누락)",IF(SUMPRODUCT((실물목록!$P$2:$P$1001&lt;&gt;"")*ISNUMBER(SEARCH(실물목록!$P$2:$P$1001,I2709))*(실물목록!$Q$2:$Q$1001&lt;&gt;"")*ISNUMBER(SEARCH(실물목록!$Q$2:$Q$1001,I2709))*(실물목록!$R$2:$R$1001="")*(실물목록!$O$2:$O$1001&lt;&gt;""))&gt;0,"확인필요(연도다름)","실물 없음")))))</f>
      </c>
      <c r="G2709" t="n" s="16">
        <f aca="0">IF(B2709="","",SUMPRODUCT((실물목록!$P$2:$P$1001&lt;&gt;"")*ISNUMBER(SEARCH(실물목록!$P$2:$P$1001,I2709))*(실물목록!$Q$2:$Q$1001&lt;&gt;"")*ISNUMBER(SEARCH(실물목록!$Q$2:$Q$1001,I2709))*(실물목록!$R$2:$R$1001="")*(실물목록!$O$2:$O$1001&lt;&gt;"")*(실물목록!$O$2:$O$1001=H2709)))</f>
      </c>
      <c r="H2709" t="str">
        <f>IFERROR(IF(AND(LEN(SUBSTITUTE(SUBSTITUTE(SUBSTITUTE(TRIM(A2709&amp;""),CHAR(160),"")," ",""),"년",""))=4,VALUE(SUBSTITUTE(SUBSTITUTE(SUBSTITUTE(TRIM(A2709&amp;""),CHAR(160),"")," ",""),"년",""))&gt;=1900,VALUE(SUBSTITUTE(SUBSTITUTE(SUBSTITUTE(TRIM(A2709&amp;""),CHAR(160),"")," ",""),"년",""))&lt;=2099,TEXT(VALUE(SUBSTITUTE(SUBSTITUTE(SUBSTITUTE(TRIM(A2709&amp;""),CHAR(160),"")," ",""),"년","")),"0000")=SUBSTITUTE(SUBSTITUTE(SUBSTITUTE(TRIM(A2709&amp;""),CHAR(160),"")," ",""),"년","")),SUBSTITUTE(SUBSTITUTE(SUBSTITUTE(TRIM(A2709&amp;""),CHAR(160),"")," ",""),"년",""),""),"")</f>
      </c>
      <c r="I2709" t="str">
        <f>SUBSTITUTE(SUBSTITUTE(SUBSTITUTE(SUBSTITUTE(SUBSTITUTE(TRIM(B2709&amp;""),CHAR(160),"")," ",""),"초등학교","초"),"중학교","중"),"고등학교","고")</f>
      </c>
    </row>
    <row r="2710" customFormat="false" ht="15" hidden="false" customHeight="false" outlineLevel="0" collapsed="false">
      <c r="A2710" s="8"/>
      <c r="B2710" s="8"/>
      <c r="C2710" s="8"/>
      <c r="D2710" s="8"/>
      <c r="E2710" s="8"/>
      <c r="F2710" t="str" s="15">
        <f aca="0">IF(B2710="","",IF(H2710="","확인필요(입력누락)",IF(SUMPRODUCT((실물목록!$P$2:$P$1001&lt;&gt;"")*ISNUMBER(SEARCH(실물목록!$P$2:$P$1001,I2710))*(실물목록!$Q$2:$Q$1001&lt;&gt;"")*ISNUMBER(SEARCH(실물목록!$Q$2:$Q$1001,I2710))*(실물목록!$R$2:$R$1001="")*(실물목록!$O$2:$O$1001&lt;&gt;"")*(실물목록!$O$2:$O$1001=H2710))&gt;0,"실물 있음",IF(SUMPRODUCT((실물목록!$P$2:$P$1001&lt;&gt;"")*ISNUMBER(SEARCH(실물목록!$P$2:$P$1001,I2710))*(실물목록!$R$2:$R$1001&lt;&gt;""))&gt;0,"확인필요(입력누락)",IF(SUMPRODUCT((실물목록!$P$2:$P$1001&lt;&gt;"")*ISNUMBER(SEARCH(실물목록!$P$2:$P$1001,I2710))*(실물목록!$Q$2:$Q$1001&lt;&gt;"")*ISNUMBER(SEARCH(실물목록!$Q$2:$Q$1001,I2710))*(실물목록!$R$2:$R$1001="")*(실물목록!$O$2:$O$1001&lt;&gt;""))&gt;0,"확인필요(연도다름)","실물 없음")))))</f>
      </c>
      <c r="G2710" t="n" s="16">
        <f aca="0">IF(B2710="","",SUMPRODUCT((실물목록!$P$2:$P$1001&lt;&gt;"")*ISNUMBER(SEARCH(실물목록!$P$2:$P$1001,I2710))*(실물목록!$Q$2:$Q$1001&lt;&gt;"")*ISNUMBER(SEARCH(실물목록!$Q$2:$Q$1001,I2710))*(실물목록!$R$2:$R$1001="")*(실물목록!$O$2:$O$1001&lt;&gt;"")*(실물목록!$O$2:$O$1001=H2710)))</f>
      </c>
      <c r="H2710" t="str">
        <f>IFERROR(IF(AND(LEN(SUBSTITUTE(SUBSTITUTE(SUBSTITUTE(TRIM(A2710&amp;""),CHAR(160),"")," ",""),"년",""))=4,VALUE(SUBSTITUTE(SUBSTITUTE(SUBSTITUTE(TRIM(A2710&amp;""),CHAR(160),"")," ",""),"년",""))&gt;=1900,VALUE(SUBSTITUTE(SUBSTITUTE(SUBSTITUTE(TRIM(A2710&amp;""),CHAR(160),"")," ",""),"년",""))&lt;=2099,TEXT(VALUE(SUBSTITUTE(SUBSTITUTE(SUBSTITUTE(TRIM(A2710&amp;""),CHAR(160),"")," ",""),"년","")),"0000")=SUBSTITUTE(SUBSTITUTE(SUBSTITUTE(TRIM(A2710&amp;""),CHAR(160),"")," ",""),"년","")),SUBSTITUTE(SUBSTITUTE(SUBSTITUTE(TRIM(A2710&amp;""),CHAR(160),"")," ",""),"년",""),""),"")</f>
      </c>
      <c r="I2710" t="str">
        <f>SUBSTITUTE(SUBSTITUTE(SUBSTITUTE(SUBSTITUTE(SUBSTITUTE(TRIM(B2710&amp;""),CHAR(160),"")," ",""),"초등학교","초"),"중학교","중"),"고등학교","고")</f>
      </c>
    </row>
    <row r="2711" customFormat="false" ht="15" hidden="false" customHeight="false" outlineLevel="0" collapsed="false">
      <c r="A2711" s="8"/>
      <c r="B2711" s="8"/>
      <c r="C2711" s="8"/>
      <c r="D2711" s="8"/>
      <c r="E2711" s="8"/>
      <c r="F2711" t="str" s="15">
        <f aca="0">IF(B2711="","",IF(H2711="","확인필요(입력누락)",IF(SUMPRODUCT((실물목록!$P$2:$P$1001&lt;&gt;"")*ISNUMBER(SEARCH(실물목록!$P$2:$P$1001,I2711))*(실물목록!$Q$2:$Q$1001&lt;&gt;"")*ISNUMBER(SEARCH(실물목록!$Q$2:$Q$1001,I2711))*(실물목록!$R$2:$R$1001="")*(실물목록!$O$2:$O$1001&lt;&gt;"")*(실물목록!$O$2:$O$1001=H2711))&gt;0,"실물 있음",IF(SUMPRODUCT((실물목록!$P$2:$P$1001&lt;&gt;"")*ISNUMBER(SEARCH(실물목록!$P$2:$P$1001,I2711))*(실물목록!$R$2:$R$1001&lt;&gt;""))&gt;0,"확인필요(입력누락)",IF(SUMPRODUCT((실물목록!$P$2:$P$1001&lt;&gt;"")*ISNUMBER(SEARCH(실물목록!$P$2:$P$1001,I2711))*(실물목록!$Q$2:$Q$1001&lt;&gt;"")*ISNUMBER(SEARCH(실물목록!$Q$2:$Q$1001,I2711))*(실물목록!$R$2:$R$1001="")*(실물목록!$O$2:$O$1001&lt;&gt;""))&gt;0,"확인필요(연도다름)","실물 없음")))))</f>
      </c>
      <c r="G2711" t="n" s="16">
        <f aca="0">IF(B2711="","",SUMPRODUCT((실물목록!$P$2:$P$1001&lt;&gt;"")*ISNUMBER(SEARCH(실물목록!$P$2:$P$1001,I2711))*(실물목록!$Q$2:$Q$1001&lt;&gt;"")*ISNUMBER(SEARCH(실물목록!$Q$2:$Q$1001,I2711))*(실물목록!$R$2:$R$1001="")*(실물목록!$O$2:$O$1001&lt;&gt;"")*(실물목록!$O$2:$O$1001=H2711)))</f>
      </c>
      <c r="H2711" t="str">
        <f>IFERROR(IF(AND(LEN(SUBSTITUTE(SUBSTITUTE(SUBSTITUTE(TRIM(A2711&amp;""),CHAR(160),"")," ",""),"년",""))=4,VALUE(SUBSTITUTE(SUBSTITUTE(SUBSTITUTE(TRIM(A2711&amp;""),CHAR(160),"")," ",""),"년",""))&gt;=1900,VALUE(SUBSTITUTE(SUBSTITUTE(SUBSTITUTE(TRIM(A2711&amp;""),CHAR(160),"")," ",""),"년",""))&lt;=2099,TEXT(VALUE(SUBSTITUTE(SUBSTITUTE(SUBSTITUTE(TRIM(A2711&amp;""),CHAR(160),"")," ",""),"년","")),"0000")=SUBSTITUTE(SUBSTITUTE(SUBSTITUTE(TRIM(A2711&amp;""),CHAR(160),"")," ",""),"년","")),SUBSTITUTE(SUBSTITUTE(SUBSTITUTE(TRIM(A2711&amp;""),CHAR(160),"")," ",""),"년",""),""),"")</f>
      </c>
      <c r="I2711" t="str">
        <f>SUBSTITUTE(SUBSTITUTE(SUBSTITUTE(SUBSTITUTE(SUBSTITUTE(TRIM(B2711&amp;""),CHAR(160),"")," ",""),"초등학교","초"),"중학교","중"),"고등학교","고")</f>
      </c>
    </row>
    <row r="2712" customFormat="false" ht="15" hidden="false" customHeight="false" outlineLevel="0" collapsed="false">
      <c r="A2712" s="8"/>
      <c r="B2712" s="8"/>
      <c r="C2712" s="8"/>
      <c r="D2712" s="8"/>
      <c r="E2712" s="8"/>
      <c r="F2712" t="str" s="15">
        <f aca="0">IF(B2712="","",IF(H2712="","확인필요(입력누락)",IF(SUMPRODUCT((실물목록!$P$2:$P$1001&lt;&gt;"")*ISNUMBER(SEARCH(실물목록!$P$2:$P$1001,I2712))*(실물목록!$Q$2:$Q$1001&lt;&gt;"")*ISNUMBER(SEARCH(실물목록!$Q$2:$Q$1001,I2712))*(실물목록!$R$2:$R$1001="")*(실물목록!$O$2:$O$1001&lt;&gt;"")*(실물목록!$O$2:$O$1001=H2712))&gt;0,"실물 있음",IF(SUMPRODUCT((실물목록!$P$2:$P$1001&lt;&gt;"")*ISNUMBER(SEARCH(실물목록!$P$2:$P$1001,I2712))*(실물목록!$R$2:$R$1001&lt;&gt;""))&gt;0,"확인필요(입력누락)",IF(SUMPRODUCT((실물목록!$P$2:$P$1001&lt;&gt;"")*ISNUMBER(SEARCH(실물목록!$P$2:$P$1001,I2712))*(실물목록!$Q$2:$Q$1001&lt;&gt;"")*ISNUMBER(SEARCH(실물목록!$Q$2:$Q$1001,I2712))*(실물목록!$R$2:$R$1001="")*(실물목록!$O$2:$O$1001&lt;&gt;""))&gt;0,"확인필요(연도다름)","실물 없음")))))</f>
      </c>
      <c r="G2712" t="n" s="16">
        <f aca="0">IF(B2712="","",SUMPRODUCT((실물목록!$P$2:$P$1001&lt;&gt;"")*ISNUMBER(SEARCH(실물목록!$P$2:$P$1001,I2712))*(실물목록!$Q$2:$Q$1001&lt;&gt;"")*ISNUMBER(SEARCH(실물목록!$Q$2:$Q$1001,I2712))*(실물목록!$R$2:$R$1001="")*(실물목록!$O$2:$O$1001&lt;&gt;"")*(실물목록!$O$2:$O$1001=H2712)))</f>
      </c>
      <c r="H2712" t="str">
        <f>IFERROR(IF(AND(LEN(SUBSTITUTE(SUBSTITUTE(SUBSTITUTE(TRIM(A2712&amp;""),CHAR(160),"")," ",""),"년",""))=4,VALUE(SUBSTITUTE(SUBSTITUTE(SUBSTITUTE(TRIM(A2712&amp;""),CHAR(160),"")," ",""),"년",""))&gt;=1900,VALUE(SUBSTITUTE(SUBSTITUTE(SUBSTITUTE(TRIM(A2712&amp;""),CHAR(160),"")," ",""),"년",""))&lt;=2099,TEXT(VALUE(SUBSTITUTE(SUBSTITUTE(SUBSTITUTE(TRIM(A2712&amp;""),CHAR(160),"")," ",""),"년","")),"0000")=SUBSTITUTE(SUBSTITUTE(SUBSTITUTE(TRIM(A2712&amp;""),CHAR(160),"")," ",""),"년","")),SUBSTITUTE(SUBSTITUTE(SUBSTITUTE(TRIM(A2712&amp;""),CHAR(160),"")," ",""),"년",""),""),"")</f>
      </c>
      <c r="I2712" t="str">
        <f>SUBSTITUTE(SUBSTITUTE(SUBSTITUTE(SUBSTITUTE(SUBSTITUTE(TRIM(B2712&amp;""),CHAR(160),"")," ",""),"초등학교","초"),"중학교","중"),"고등학교","고")</f>
      </c>
    </row>
    <row r="2713" customFormat="false" ht="15" hidden="false" customHeight="false" outlineLevel="0" collapsed="false">
      <c r="A2713" s="8"/>
      <c r="B2713" s="8"/>
      <c r="C2713" s="8"/>
      <c r="D2713" s="8"/>
      <c r="E2713" s="8"/>
      <c r="F2713" t="str" s="15">
        <f aca="0">IF(B2713="","",IF(H2713="","확인필요(입력누락)",IF(SUMPRODUCT((실물목록!$P$2:$P$1001&lt;&gt;"")*ISNUMBER(SEARCH(실물목록!$P$2:$P$1001,I2713))*(실물목록!$Q$2:$Q$1001&lt;&gt;"")*ISNUMBER(SEARCH(실물목록!$Q$2:$Q$1001,I2713))*(실물목록!$R$2:$R$1001="")*(실물목록!$O$2:$O$1001&lt;&gt;"")*(실물목록!$O$2:$O$1001=H2713))&gt;0,"실물 있음",IF(SUMPRODUCT((실물목록!$P$2:$P$1001&lt;&gt;"")*ISNUMBER(SEARCH(실물목록!$P$2:$P$1001,I2713))*(실물목록!$R$2:$R$1001&lt;&gt;""))&gt;0,"확인필요(입력누락)",IF(SUMPRODUCT((실물목록!$P$2:$P$1001&lt;&gt;"")*ISNUMBER(SEARCH(실물목록!$P$2:$P$1001,I2713))*(실물목록!$Q$2:$Q$1001&lt;&gt;"")*ISNUMBER(SEARCH(실물목록!$Q$2:$Q$1001,I2713))*(실물목록!$R$2:$R$1001="")*(실물목록!$O$2:$O$1001&lt;&gt;""))&gt;0,"확인필요(연도다름)","실물 없음")))))</f>
      </c>
      <c r="G2713" t="n" s="16">
        <f aca="0">IF(B2713="","",SUMPRODUCT((실물목록!$P$2:$P$1001&lt;&gt;"")*ISNUMBER(SEARCH(실물목록!$P$2:$P$1001,I2713))*(실물목록!$Q$2:$Q$1001&lt;&gt;"")*ISNUMBER(SEARCH(실물목록!$Q$2:$Q$1001,I2713))*(실물목록!$R$2:$R$1001="")*(실물목록!$O$2:$O$1001&lt;&gt;"")*(실물목록!$O$2:$O$1001=H2713)))</f>
      </c>
      <c r="H2713" t="str">
        <f>IFERROR(IF(AND(LEN(SUBSTITUTE(SUBSTITUTE(SUBSTITUTE(TRIM(A2713&amp;""),CHAR(160),"")," ",""),"년",""))=4,VALUE(SUBSTITUTE(SUBSTITUTE(SUBSTITUTE(TRIM(A2713&amp;""),CHAR(160),"")," ",""),"년",""))&gt;=1900,VALUE(SUBSTITUTE(SUBSTITUTE(SUBSTITUTE(TRIM(A2713&amp;""),CHAR(160),"")," ",""),"년",""))&lt;=2099,TEXT(VALUE(SUBSTITUTE(SUBSTITUTE(SUBSTITUTE(TRIM(A2713&amp;""),CHAR(160),"")," ",""),"년","")),"0000")=SUBSTITUTE(SUBSTITUTE(SUBSTITUTE(TRIM(A2713&amp;""),CHAR(160),"")," ",""),"년","")),SUBSTITUTE(SUBSTITUTE(SUBSTITUTE(TRIM(A2713&amp;""),CHAR(160),"")," ",""),"년",""),""),"")</f>
      </c>
      <c r="I2713" t="str">
        <f>SUBSTITUTE(SUBSTITUTE(SUBSTITUTE(SUBSTITUTE(SUBSTITUTE(TRIM(B2713&amp;""),CHAR(160),"")," ",""),"초등학교","초"),"중학교","중"),"고등학교","고")</f>
      </c>
    </row>
    <row r="2714" customFormat="false" ht="15" hidden="false" customHeight="false" outlineLevel="0" collapsed="false">
      <c r="A2714" s="8"/>
      <c r="B2714" s="8"/>
      <c r="C2714" s="8"/>
      <c r="D2714" s="8"/>
      <c r="E2714" s="8"/>
      <c r="F2714" t="str" s="15">
        <f aca="0">IF(B2714="","",IF(H2714="","확인필요(입력누락)",IF(SUMPRODUCT((실물목록!$P$2:$P$1001&lt;&gt;"")*ISNUMBER(SEARCH(실물목록!$P$2:$P$1001,I2714))*(실물목록!$Q$2:$Q$1001&lt;&gt;"")*ISNUMBER(SEARCH(실물목록!$Q$2:$Q$1001,I2714))*(실물목록!$R$2:$R$1001="")*(실물목록!$O$2:$O$1001&lt;&gt;"")*(실물목록!$O$2:$O$1001=H2714))&gt;0,"실물 있음",IF(SUMPRODUCT((실물목록!$P$2:$P$1001&lt;&gt;"")*ISNUMBER(SEARCH(실물목록!$P$2:$P$1001,I2714))*(실물목록!$R$2:$R$1001&lt;&gt;""))&gt;0,"확인필요(입력누락)",IF(SUMPRODUCT((실물목록!$P$2:$P$1001&lt;&gt;"")*ISNUMBER(SEARCH(실물목록!$P$2:$P$1001,I2714))*(실물목록!$Q$2:$Q$1001&lt;&gt;"")*ISNUMBER(SEARCH(실물목록!$Q$2:$Q$1001,I2714))*(실물목록!$R$2:$R$1001="")*(실물목록!$O$2:$O$1001&lt;&gt;""))&gt;0,"확인필요(연도다름)","실물 없음")))))</f>
      </c>
      <c r="G2714" t="n" s="16">
        <f aca="0">IF(B2714="","",SUMPRODUCT((실물목록!$P$2:$P$1001&lt;&gt;"")*ISNUMBER(SEARCH(실물목록!$P$2:$P$1001,I2714))*(실물목록!$Q$2:$Q$1001&lt;&gt;"")*ISNUMBER(SEARCH(실물목록!$Q$2:$Q$1001,I2714))*(실물목록!$R$2:$R$1001="")*(실물목록!$O$2:$O$1001&lt;&gt;"")*(실물목록!$O$2:$O$1001=H2714)))</f>
      </c>
      <c r="H2714" t="str">
        <f>IFERROR(IF(AND(LEN(SUBSTITUTE(SUBSTITUTE(SUBSTITUTE(TRIM(A2714&amp;""),CHAR(160),"")," ",""),"년",""))=4,VALUE(SUBSTITUTE(SUBSTITUTE(SUBSTITUTE(TRIM(A2714&amp;""),CHAR(160),"")," ",""),"년",""))&gt;=1900,VALUE(SUBSTITUTE(SUBSTITUTE(SUBSTITUTE(TRIM(A2714&amp;""),CHAR(160),"")," ",""),"년",""))&lt;=2099,TEXT(VALUE(SUBSTITUTE(SUBSTITUTE(SUBSTITUTE(TRIM(A2714&amp;""),CHAR(160),"")," ",""),"년","")),"0000")=SUBSTITUTE(SUBSTITUTE(SUBSTITUTE(TRIM(A2714&amp;""),CHAR(160),"")," ",""),"년","")),SUBSTITUTE(SUBSTITUTE(SUBSTITUTE(TRIM(A2714&amp;""),CHAR(160),"")," ",""),"년",""),""),"")</f>
      </c>
      <c r="I2714" t="str">
        <f>SUBSTITUTE(SUBSTITUTE(SUBSTITUTE(SUBSTITUTE(SUBSTITUTE(TRIM(B2714&amp;""),CHAR(160),"")," ",""),"초등학교","초"),"중학교","중"),"고등학교","고")</f>
      </c>
    </row>
    <row r="2715" customFormat="false" ht="15" hidden="false" customHeight="false" outlineLevel="0" collapsed="false">
      <c r="A2715" s="8"/>
      <c r="B2715" s="8"/>
      <c r="C2715" s="8"/>
      <c r="D2715" s="8"/>
      <c r="E2715" s="8"/>
      <c r="F2715" t="str" s="15">
        <f aca="0">IF(B2715="","",IF(H2715="","확인필요(입력누락)",IF(SUMPRODUCT((실물목록!$P$2:$P$1001&lt;&gt;"")*ISNUMBER(SEARCH(실물목록!$P$2:$P$1001,I2715))*(실물목록!$Q$2:$Q$1001&lt;&gt;"")*ISNUMBER(SEARCH(실물목록!$Q$2:$Q$1001,I2715))*(실물목록!$R$2:$R$1001="")*(실물목록!$O$2:$O$1001&lt;&gt;"")*(실물목록!$O$2:$O$1001=H2715))&gt;0,"실물 있음",IF(SUMPRODUCT((실물목록!$P$2:$P$1001&lt;&gt;"")*ISNUMBER(SEARCH(실물목록!$P$2:$P$1001,I2715))*(실물목록!$R$2:$R$1001&lt;&gt;""))&gt;0,"확인필요(입력누락)",IF(SUMPRODUCT((실물목록!$P$2:$P$1001&lt;&gt;"")*ISNUMBER(SEARCH(실물목록!$P$2:$P$1001,I2715))*(실물목록!$Q$2:$Q$1001&lt;&gt;"")*ISNUMBER(SEARCH(실물목록!$Q$2:$Q$1001,I2715))*(실물목록!$R$2:$R$1001="")*(실물목록!$O$2:$O$1001&lt;&gt;""))&gt;0,"확인필요(연도다름)","실물 없음")))))</f>
      </c>
      <c r="G2715" t="n" s="16">
        <f aca="0">IF(B2715="","",SUMPRODUCT((실물목록!$P$2:$P$1001&lt;&gt;"")*ISNUMBER(SEARCH(실물목록!$P$2:$P$1001,I2715))*(실물목록!$Q$2:$Q$1001&lt;&gt;"")*ISNUMBER(SEARCH(실물목록!$Q$2:$Q$1001,I2715))*(실물목록!$R$2:$R$1001="")*(실물목록!$O$2:$O$1001&lt;&gt;"")*(실물목록!$O$2:$O$1001=H2715)))</f>
      </c>
      <c r="H2715" t="str">
        <f>IFERROR(IF(AND(LEN(SUBSTITUTE(SUBSTITUTE(SUBSTITUTE(TRIM(A2715&amp;""),CHAR(160),"")," ",""),"년",""))=4,VALUE(SUBSTITUTE(SUBSTITUTE(SUBSTITUTE(TRIM(A2715&amp;""),CHAR(160),"")," ",""),"년",""))&gt;=1900,VALUE(SUBSTITUTE(SUBSTITUTE(SUBSTITUTE(TRIM(A2715&amp;""),CHAR(160),"")," ",""),"년",""))&lt;=2099,TEXT(VALUE(SUBSTITUTE(SUBSTITUTE(SUBSTITUTE(TRIM(A2715&amp;""),CHAR(160),"")," ",""),"년","")),"0000")=SUBSTITUTE(SUBSTITUTE(SUBSTITUTE(TRIM(A2715&amp;""),CHAR(160),"")," ",""),"년","")),SUBSTITUTE(SUBSTITUTE(SUBSTITUTE(TRIM(A2715&amp;""),CHAR(160),"")," ",""),"년",""),""),"")</f>
      </c>
      <c r="I2715" t="str">
        <f>SUBSTITUTE(SUBSTITUTE(SUBSTITUTE(SUBSTITUTE(SUBSTITUTE(TRIM(B2715&amp;""),CHAR(160),"")," ",""),"초등학교","초"),"중학교","중"),"고등학교","고")</f>
      </c>
    </row>
    <row r="2716" customFormat="false" ht="15" hidden="false" customHeight="false" outlineLevel="0" collapsed="false">
      <c r="A2716" s="8"/>
      <c r="B2716" s="8"/>
      <c r="C2716" s="8"/>
      <c r="D2716" s="8"/>
      <c r="E2716" s="8"/>
      <c r="F2716" t="str" s="15">
        <f aca="0">IF(B2716="","",IF(H2716="","확인필요(입력누락)",IF(SUMPRODUCT((실물목록!$P$2:$P$1001&lt;&gt;"")*ISNUMBER(SEARCH(실물목록!$P$2:$P$1001,I2716))*(실물목록!$Q$2:$Q$1001&lt;&gt;"")*ISNUMBER(SEARCH(실물목록!$Q$2:$Q$1001,I2716))*(실물목록!$R$2:$R$1001="")*(실물목록!$O$2:$O$1001&lt;&gt;"")*(실물목록!$O$2:$O$1001=H2716))&gt;0,"실물 있음",IF(SUMPRODUCT((실물목록!$P$2:$P$1001&lt;&gt;"")*ISNUMBER(SEARCH(실물목록!$P$2:$P$1001,I2716))*(실물목록!$R$2:$R$1001&lt;&gt;""))&gt;0,"확인필요(입력누락)",IF(SUMPRODUCT((실물목록!$P$2:$P$1001&lt;&gt;"")*ISNUMBER(SEARCH(실물목록!$P$2:$P$1001,I2716))*(실물목록!$Q$2:$Q$1001&lt;&gt;"")*ISNUMBER(SEARCH(실물목록!$Q$2:$Q$1001,I2716))*(실물목록!$R$2:$R$1001="")*(실물목록!$O$2:$O$1001&lt;&gt;""))&gt;0,"확인필요(연도다름)","실물 없음")))))</f>
      </c>
      <c r="G2716" t="n" s="16">
        <f aca="0">IF(B2716="","",SUMPRODUCT((실물목록!$P$2:$P$1001&lt;&gt;"")*ISNUMBER(SEARCH(실물목록!$P$2:$P$1001,I2716))*(실물목록!$Q$2:$Q$1001&lt;&gt;"")*ISNUMBER(SEARCH(실물목록!$Q$2:$Q$1001,I2716))*(실물목록!$R$2:$R$1001="")*(실물목록!$O$2:$O$1001&lt;&gt;"")*(실물목록!$O$2:$O$1001=H2716)))</f>
      </c>
      <c r="H2716" t="str">
        <f>IFERROR(IF(AND(LEN(SUBSTITUTE(SUBSTITUTE(SUBSTITUTE(TRIM(A2716&amp;""),CHAR(160),"")," ",""),"년",""))=4,VALUE(SUBSTITUTE(SUBSTITUTE(SUBSTITUTE(TRIM(A2716&amp;""),CHAR(160),"")," ",""),"년",""))&gt;=1900,VALUE(SUBSTITUTE(SUBSTITUTE(SUBSTITUTE(TRIM(A2716&amp;""),CHAR(160),"")," ",""),"년",""))&lt;=2099,TEXT(VALUE(SUBSTITUTE(SUBSTITUTE(SUBSTITUTE(TRIM(A2716&amp;""),CHAR(160),"")," ",""),"년","")),"0000")=SUBSTITUTE(SUBSTITUTE(SUBSTITUTE(TRIM(A2716&amp;""),CHAR(160),"")," ",""),"년","")),SUBSTITUTE(SUBSTITUTE(SUBSTITUTE(TRIM(A2716&amp;""),CHAR(160),"")," ",""),"년",""),""),"")</f>
      </c>
      <c r="I2716" t="str">
        <f>SUBSTITUTE(SUBSTITUTE(SUBSTITUTE(SUBSTITUTE(SUBSTITUTE(TRIM(B2716&amp;""),CHAR(160),"")," ",""),"초등학교","초"),"중학교","중"),"고등학교","고")</f>
      </c>
    </row>
    <row r="2717" customFormat="false" ht="15" hidden="false" customHeight="false" outlineLevel="0" collapsed="false">
      <c r="A2717" s="8"/>
      <c r="B2717" s="8"/>
      <c r="C2717" s="8"/>
      <c r="D2717" s="8"/>
      <c r="E2717" s="8"/>
      <c r="F2717" t="str" s="15">
        <f aca="0">IF(B2717="","",IF(H2717="","확인필요(입력누락)",IF(SUMPRODUCT((실물목록!$P$2:$P$1001&lt;&gt;"")*ISNUMBER(SEARCH(실물목록!$P$2:$P$1001,I2717))*(실물목록!$Q$2:$Q$1001&lt;&gt;"")*ISNUMBER(SEARCH(실물목록!$Q$2:$Q$1001,I2717))*(실물목록!$R$2:$R$1001="")*(실물목록!$O$2:$O$1001&lt;&gt;"")*(실물목록!$O$2:$O$1001=H2717))&gt;0,"실물 있음",IF(SUMPRODUCT((실물목록!$P$2:$P$1001&lt;&gt;"")*ISNUMBER(SEARCH(실물목록!$P$2:$P$1001,I2717))*(실물목록!$R$2:$R$1001&lt;&gt;""))&gt;0,"확인필요(입력누락)",IF(SUMPRODUCT((실물목록!$P$2:$P$1001&lt;&gt;"")*ISNUMBER(SEARCH(실물목록!$P$2:$P$1001,I2717))*(실물목록!$Q$2:$Q$1001&lt;&gt;"")*ISNUMBER(SEARCH(실물목록!$Q$2:$Q$1001,I2717))*(실물목록!$R$2:$R$1001="")*(실물목록!$O$2:$O$1001&lt;&gt;""))&gt;0,"확인필요(연도다름)","실물 없음")))))</f>
      </c>
      <c r="G2717" t="n" s="16">
        <f aca="0">IF(B2717="","",SUMPRODUCT((실물목록!$P$2:$P$1001&lt;&gt;"")*ISNUMBER(SEARCH(실물목록!$P$2:$P$1001,I2717))*(실물목록!$Q$2:$Q$1001&lt;&gt;"")*ISNUMBER(SEARCH(실물목록!$Q$2:$Q$1001,I2717))*(실물목록!$R$2:$R$1001="")*(실물목록!$O$2:$O$1001&lt;&gt;"")*(실물목록!$O$2:$O$1001=H2717)))</f>
      </c>
      <c r="H2717" t="str">
        <f>IFERROR(IF(AND(LEN(SUBSTITUTE(SUBSTITUTE(SUBSTITUTE(TRIM(A2717&amp;""),CHAR(160),"")," ",""),"년",""))=4,VALUE(SUBSTITUTE(SUBSTITUTE(SUBSTITUTE(TRIM(A2717&amp;""),CHAR(160),"")," ",""),"년",""))&gt;=1900,VALUE(SUBSTITUTE(SUBSTITUTE(SUBSTITUTE(TRIM(A2717&amp;""),CHAR(160),"")," ",""),"년",""))&lt;=2099,TEXT(VALUE(SUBSTITUTE(SUBSTITUTE(SUBSTITUTE(TRIM(A2717&amp;""),CHAR(160),"")," ",""),"년","")),"0000")=SUBSTITUTE(SUBSTITUTE(SUBSTITUTE(TRIM(A2717&amp;""),CHAR(160),"")," ",""),"년","")),SUBSTITUTE(SUBSTITUTE(SUBSTITUTE(TRIM(A2717&amp;""),CHAR(160),"")," ",""),"년",""),""),"")</f>
      </c>
      <c r="I2717" t="str">
        <f>SUBSTITUTE(SUBSTITUTE(SUBSTITUTE(SUBSTITUTE(SUBSTITUTE(TRIM(B2717&amp;""),CHAR(160),"")," ",""),"초등학교","초"),"중학교","중"),"고등학교","고")</f>
      </c>
    </row>
    <row r="2718" customFormat="false" ht="15" hidden="false" customHeight="false" outlineLevel="0" collapsed="false">
      <c r="A2718" s="8"/>
      <c r="B2718" s="8"/>
      <c r="C2718" s="8"/>
      <c r="D2718" s="8"/>
      <c r="E2718" s="8"/>
      <c r="F2718" t="str" s="15">
        <f aca="0">IF(B2718="","",IF(H2718="","확인필요(입력누락)",IF(SUMPRODUCT((실물목록!$P$2:$P$1001&lt;&gt;"")*ISNUMBER(SEARCH(실물목록!$P$2:$P$1001,I2718))*(실물목록!$Q$2:$Q$1001&lt;&gt;"")*ISNUMBER(SEARCH(실물목록!$Q$2:$Q$1001,I2718))*(실물목록!$R$2:$R$1001="")*(실물목록!$O$2:$O$1001&lt;&gt;"")*(실물목록!$O$2:$O$1001=H2718))&gt;0,"실물 있음",IF(SUMPRODUCT((실물목록!$P$2:$P$1001&lt;&gt;"")*ISNUMBER(SEARCH(실물목록!$P$2:$P$1001,I2718))*(실물목록!$R$2:$R$1001&lt;&gt;""))&gt;0,"확인필요(입력누락)",IF(SUMPRODUCT((실물목록!$P$2:$P$1001&lt;&gt;"")*ISNUMBER(SEARCH(실물목록!$P$2:$P$1001,I2718))*(실물목록!$Q$2:$Q$1001&lt;&gt;"")*ISNUMBER(SEARCH(실물목록!$Q$2:$Q$1001,I2718))*(실물목록!$R$2:$R$1001="")*(실물목록!$O$2:$O$1001&lt;&gt;""))&gt;0,"확인필요(연도다름)","실물 없음")))))</f>
      </c>
      <c r="G2718" t="n" s="16">
        <f aca="0">IF(B2718="","",SUMPRODUCT((실물목록!$P$2:$P$1001&lt;&gt;"")*ISNUMBER(SEARCH(실물목록!$P$2:$P$1001,I2718))*(실물목록!$Q$2:$Q$1001&lt;&gt;"")*ISNUMBER(SEARCH(실물목록!$Q$2:$Q$1001,I2718))*(실물목록!$R$2:$R$1001="")*(실물목록!$O$2:$O$1001&lt;&gt;"")*(실물목록!$O$2:$O$1001=H2718)))</f>
      </c>
      <c r="H2718" t="str">
        <f>IFERROR(IF(AND(LEN(SUBSTITUTE(SUBSTITUTE(SUBSTITUTE(TRIM(A2718&amp;""),CHAR(160),"")," ",""),"년",""))=4,VALUE(SUBSTITUTE(SUBSTITUTE(SUBSTITUTE(TRIM(A2718&amp;""),CHAR(160),"")," ",""),"년",""))&gt;=1900,VALUE(SUBSTITUTE(SUBSTITUTE(SUBSTITUTE(TRIM(A2718&amp;""),CHAR(160),"")," ",""),"년",""))&lt;=2099,TEXT(VALUE(SUBSTITUTE(SUBSTITUTE(SUBSTITUTE(TRIM(A2718&amp;""),CHAR(160),"")," ",""),"년","")),"0000")=SUBSTITUTE(SUBSTITUTE(SUBSTITUTE(TRIM(A2718&amp;""),CHAR(160),"")," ",""),"년","")),SUBSTITUTE(SUBSTITUTE(SUBSTITUTE(TRIM(A2718&amp;""),CHAR(160),"")," ",""),"년",""),""),"")</f>
      </c>
      <c r="I2718" t="str">
        <f>SUBSTITUTE(SUBSTITUTE(SUBSTITUTE(SUBSTITUTE(SUBSTITUTE(TRIM(B2718&amp;""),CHAR(160),"")," ",""),"초등학교","초"),"중학교","중"),"고등학교","고")</f>
      </c>
    </row>
    <row r="2719" customFormat="false" ht="15" hidden="false" customHeight="false" outlineLevel="0" collapsed="false">
      <c r="A2719" s="8"/>
      <c r="B2719" s="8"/>
      <c r="C2719" s="8"/>
      <c r="D2719" s="8"/>
      <c r="E2719" s="8"/>
      <c r="F2719" t="str" s="15">
        <f aca="0">IF(B2719="","",IF(H2719="","확인필요(입력누락)",IF(SUMPRODUCT((실물목록!$P$2:$P$1001&lt;&gt;"")*ISNUMBER(SEARCH(실물목록!$P$2:$P$1001,I2719))*(실물목록!$Q$2:$Q$1001&lt;&gt;"")*ISNUMBER(SEARCH(실물목록!$Q$2:$Q$1001,I2719))*(실물목록!$R$2:$R$1001="")*(실물목록!$O$2:$O$1001&lt;&gt;"")*(실물목록!$O$2:$O$1001=H2719))&gt;0,"실물 있음",IF(SUMPRODUCT((실물목록!$P$2:$P$1001&lt;&gt;"")*ISNUMBER(SEARCH(실물목록!$P$2:$P$1001,I2719))*(실물목록!$R$2:$R$1001&lt;&gt;""))&gt;0,"확인필요(입력누락)",IF(SUMPRODUCT((실물목록!$P$2:$P$1001&lt;&gt;"")*ISNUMBER(SEARCH(실물목록!$P$2:$P$1001,I2719))*(실물목록!$Q$2:$Q$1001&lt;&gt;"")*ISNUMBER(SEARCH(실물목록!$Q$2:$Q$1001,I2719))*(실물목록!$R$2:$R$1001="")*(실물목록!$O$2:$O$1001&lt;&gt;""))&gt;0,"확인필요(연도다름)","실물 없음")))))</f>
      </c>
      <c r="G2719" t="n" s="16">
        <f aca="0">IF(B2719="","",SUMPRODUCT((실물목록!$P$2:$P$1001&lt;&gt;"")*ISNUMBER(SEARCH(실물목록!$P$2:$P$1001,I2719))*(실물목록!$Q$2:$Q$1001&lt;&gt;"")*ISNUMBER(SEARCH(실물목록!$Q$2:$Q$1001,I2719))*(실물목록!$R$2:$R$1001="")*(실물목록!$O$2:$O$1001&lt;&gt;"")*(실물목록!$O$2:$O$1001=H2719)))</f>
      </c>
      <c r="H2719" t="str">
        <f>IFERROR(IF(AND(LEN(SUBSTITUTE(SUBSTITUTE(SUBSTITUTE(TRIM(A2719&amp;""),CHAR(160),"")," ",""),"년",""))=4,VALUE(SUBSTITUTE(SUBSTITUTE(SUBSTITUTE(TRIM(A2719&amp;""),CHAR(160),"")," ",""),"년",""))&gt;=1900,VALUE(SUBSTITUTE(SUBSTITUTE(SUBSTITUTE(TRIM(A2719&amp;""),CHAR(160),"")," ",""),"년",""))&lt;=2099,TEXT(VALUE(SUBSTITUTE(SUBSTITUTE(SUBSTITUTE(TRIM(A2719&amp;""),CHAR(160),"")," ",""),"년","")),"0000")=SUBSTITUTE(SUBSTITUTE(SUBSTITUTE(TRIM(A2719&amp;""),CHAR(160),"")," ",""),"년","")),SUBSTITUTE(SUBSTITUTE(SUBSTITUTE(TRIM(A2719&amp;""),CHAR(160),"")," ",""),"년",""),""),"")</f>
      </c>
      <c r="I2719" t="str">
        <f>SUBSTITUTE(SUBSTITUTE(SUBSTITUTE(SUBSTITUTE(SUBSTITUTE(TRIM(B2719&amp;""),CHAR(160),"")," ",""),"초등학교","초"),"중학교","중"),"고등학교","고")</f>
      </c>
    </row>
    <row r="2720" customFormat="false" ht="15" hidden="false" customHeight="false" outlineLevel="0" collapsed="false">
      <c r="A2720" s="8"/>
      <c r="B2720" s="8"/>
      <c r="C2720" s="8"/>
      <c r="D2720" s="8"/>
      <c r="E2720" s="8"/>
      <c r="F2720" t="str" s="15">
        <f aca="0">IF(B2720="","",IF(H2720="","확인필요(입력누락)",IF(SUMPRODUCT((실물목록!$P$2:$P$1001&lt;&gt;"")*ISNUMBER(SEARCH(실물목록!$P$2:$P$1001,I2720))*(실물목록!$Q$2:$Q$1001&lt;&gt;"")*ISNUMBER(SEARCH(실물목록!$Q$2:$Q$1001,I2720))*(실물목록!$R$2:$R$1001="")*(실물목록!$O$2:$O$1001&lt;&gt;"")*(실물목록!$O$2:$O$1001=H2720))&gt;0,"실물 있음",IF(SUMPRODUCT((실물목록!$P$2:$P$1001&lt;&gt;"")*ISNUMBER(SEARCH(실물목록!$P$2:$P$1001,I2720))*(실물목록!$R$2:$R$1001&lt;&gt;""))&gt;0,"확인필요(입력누락)",IF(SUMPRODUCT((실물목록!$P$2:$P$1001&lt;&gt;"")*ISNUMBER(SEARCH(실물목록!$P$2:$P$1001,I2720))*(실물목록!$Q$2:$Q$1001&lt;&gt;"")*ISNUMBER(SEARCH(실물목록!$Q$2:$Q$1001,I2720))*(실물목록!$R$2:$R$1001="")*(실물목록!$O$2:$O$1001&lt;&gt;""))&gt;0,"확인필요(연도다름)","실물 없음")))))</f>
      </c>
      <c r="G2720" t="n" s="16">
        <f aca="0">IF(B2720="","",SUMPRODUCT((실물목록!$P$2:$P$1001&lt;&gt;"")*ISNUMBER(SEARCH(실물목록!$P$2:$P$1001,I2720))*(실물목록!$Q$2:$Q$1001&lt;&gt;"")*ISNUMBER(SEARCH(실물목록!$Q$2:$Q$1001,I2720))*(실물목록!$R$2:$R$1001="")*(실물목록!$O$2:$O$1001&lt;&gt;"")*(실물목록!$O$2:$O$1001=H2720)))</f>
      </c>
      <c r="H2720" t="str">
        <f>IFERROR(IF(AND(LEN(SUBSTITUTE(SUBSTITUTE(SUBSTITUTE(TRIM(A2720&amp;""),CHAR(160),"")," ",""),"년",""))=4,VALUE(SUBSTITUTE(SUBSTITUTE(SUBSTITUTE(TRIM(A2720&amp;""),CHAR(160),"")," ",""),"년",""))&gt;=1900,VALUE(SUBSTITUTE(SUBSTITUTE(SUBSTITUTE(TRIM(A2720&amp;""),CHAR(160),"")," ",""),"년",""))&lt;=2099,TEXT(VALUE(SUBSTITUTE(SUBSTITUTE(SUBSTITUTE(TRIM(A2720&amp;""),CHAR(160),"")," ",""),"년","")),"0000")=SUBSTITUTE(SUBSTITUTE(SUBSTITUTE(TRIM(A2720&amp;""),CHAR(160),"")," ",""),"년","")),SUBSTITUTE(SUBSTITUTE(SUBSTITUTE(TRIM(A2720&amp;""),CHAR(160),"")," ",""),"년",""),""),"")</f>
      </c>
      <c r="I2720" t="str">
        <f>SUBSTITUTE(SUBSTITUTE(SUBSTITUTE(SUBSTITUTE(SUBSTITUTE(TRIM(B2720&amp;""),CHAR(160),"")," ",""),"초등학교","초"),"중학교","중"),"고등학교","고")</f>
      </c>
    </row>
    <row r="2721" customFormat="false" ht="15" hidden="false" customHeight="false" outlineLevel="0" collapsed="false">
      <c r="A2721" s="8"/>
      <c r="B2721" s="8"/>
      <c r="C2721" s="8"/>
      <c r="D2721" s="8"/>
      <c r="E2721" s="8"/>
      <c r="F2721" t="str" s="15">
        <f aca="0">IF(B2721="","",IF(H2721="","확인필요(입력누락)",IF(SUMPRODUCT((실물목록!$P$2:$P$1001&lt;&gt;"")*ISNUMBER(SEARCH(실물목록!$P$2:$P$1001,I2721))*(실물목록!$Q$2:$Q$1001&lt;&gt;"")*ISNUMBER(SEARCH(실물목록!$Q$2:$Q$1001,I2721))*(실물목록!$R$2:$R$1001="")*(실물목록!$O$2:$O$1001&lt;&gt;"")*(실물목록!$O$2:$O$1001=H2721))&gt;0,"실물 있음",IF(SUMPRODUCT((실물목록!$P$2:$P$1001&lt;&gt;"")*ISNUMBER(SEARCH(실물목록!$P$2:$P$1001,I2721))*(실물목록!$R$2:$R$1001&lt;&gt;""))&gt;0,"확인필요(입력누락)",IF(SUMPRODUCT((실물목록!$P$2:$P$1001&lt;&gt;"")*ISNUMBER(SEARCH(실물목록!$P$2:$P$1001,I2721))*(실물목록!$Q$2:$Q$1001&lt;&gt;"")*ISNUMBER(SEARCH(실물목록!$Q$2:$Q$1001,I2721))*(실물목록!$R$2:$R$1001="")*(실물목록!$O$2:$O$1001&lt;&gt;""))&gt;0,"확인필요(연도다름)","실물 없음")))))</f>
      </c>
      <c r="G2721" t="n" s="16">
        <f aca="0">IF(B2721="","",SUMPRODUCT((실물목록!$P$2:$P$1001&lt;&gt;"")*ISNUMBER(SEARCH(실물목록!$P$2:$P$1001,I2721))*(실물목록!$Q$2:$Q$1001&lt;&gt;"")*ISNUMBER(SEARCH(실물목록!$Q$2:$Q$1001,I2721))*(실물목록!$R$2:$R$1001="")*(실물목록!$O$2:$O$1001&lt;&gt;"")*(실물목록!$O$2:$O$1001=H2721)))</f>
      </c>
      <c r="H2721" t="str">
        <f>IFERROR(IF(AND(LEN(SUBSTITUTE(SUBSTITUTE(SUBSTITUTE(TRIM(A2721&amp;""),CHAR(160),"")," ",""),"년",""))=4,VALUE(SUBSTITUTE(SUBSTITUTE(SUBSTITUTE(TRIM(A2721&amp;""),CHAR(160),"")," ",""),"년",""))&gt;=1900,VALUE(SUBSTITUTE(SUBSTITUTE(SUBSTITUTE(TRIM(A2721&amp;""),CHAR(160),"")," ",""),"년",""))&lt;=2099,TEXT(VALUE(SUBSTITUTE(SUBSTITUTE(SUBSTITUTE(TRIM(A2721&amp;""),CHAR(160),"")," ",""),"년","")),"0000")=SUBSTITUTE(SUBSTITUTE(SUBSTITUTE(TRIM(A2721&amp;""),CHAR(160),"")," ",""),"년","")),SUBSTITUTE(SUBSTITUTE(SUBSTITUTE(TRIM(A2721&amp;""),CHAR(160),"")," ",""),"년",""),""),"")</f>
      </c>
      <c r="I2721" t="str">
        <f>SUBSTITUTE(SUBSTITUTE(SUBSTITUTE(SUBSTITUTE(SUBSTITUTE(TRIM(B2721&amp;""),CHAR(160),"")," ",""),"초등학교","초"),"중학교","중"),"고등학교","고")</f>
      </c>
    </row>
    <row r="2722" customFormat="false" ht="15" hidden="false" customHeight="false" outlineLevel="0" collapsed="false">
      <c r="A2722" s="8"/>
      <c r="B2722" s="8"/>
      <c r="C2722" s="8"/>
      <c r="D2722" s="8"/>
      <c r="E2722" s="8"/>
      <c r="F2722" t="str" s="15">
        <f aca="0">IF(B2722="","",IF(H2722="","확인필요(입력누락)",IF(SUMPRODUCT((실물목록!$P$2:$P$1001&lt;&gt;"")*ISNUMBER(SEARCH(실물목록!$P$2:$P$1001,I2722))*(실물목록!$Q$2:$Q$1001&lt;&gt;"")*ISNUMBER(SEARCH(실물목록!$Q$2:$Q$1001,I2722))*(실물목록!$R$2:$R$1001="")*(실물목록!$O$2:$O$1001&lt;&gt;"")*(실물목록!$O$2:$O$1001=H2722))&gt;0,"실물 있음",IF(SUMPRODUCT((실물목록!$P$2:$P$1001&lt;&gt;"")*ISNUMBER(SEARCH(실물목록!$P$2:$P$1001,I2722))*(실물목록!$R$2:$R$1001&lt;&gt;""))&gt;0,"확인필요(입력누락)",IF(SUMPRODUCT((실물목록!$P$2:$P$1001&lt;&gt;"")*ISNUMBER(SEARCH(실물목록!$P$2:$P$1001,I2722))*(실물목록!$Q$2:$Q$1001&lt;&gt;"")*ISNUMBER(SEARCH(실물목록!$Q$2:$Q$1001,I2722))*(실물목록!$R$2:$R$1001="")*(실물목록!$O$2:$O$1001&lt;&gt;""))&gt;0,"확인필요(연도다름)","실물 없음")))))</f>
      </c>
      <c r="G2722" t="n" s="16">
        <f aca="0">IF(B2722="","",SUMPRODUCT((실물목록!$P$2:$P$1001&lt;&gt;"")*ISNUMBER(SEARCH(실물목록!$P$2:$P$1001,I2722))*(실물목록!$Q$2:$Q$1001&lt;&gt;"")*ISNUMBER(SEARCH(실물목록!$Q$2:$Q$1001,I2722))*(실물목록!$R$2:$R$1001="")*(실물목록!$O$2:$O$1001&lt;&gt;"")*(실물목록!$O$2:$O$1001=H2722)))</f>
      </c>
      <c r="H2722" t="str">
        <f>IFERROR(IF(AND(LEN(SUBSTITUTE(SUBSTITUTE(SUBSTITUTE(TRIM(A2722&amp;""),CHAR(160),"")," ",""),"년",""))=4,VALUE(SUBSTITUTE(SUBSTITUTE(SUBSTITUTE(TRIM(A2722&amp;""),CHAR(160),"")," ",""),"년",""))&gt;=1900,VALUE(SUBSTITUTE(SUBSTITUTE(SUBSTITUTE(TRIM(A2722&amp;""),CHAR(160),"")," ",""),"년",""))&lt;=2099,TEXT(VALUE(SUBSTITUTE(SUBSTITUTE(SUBSTITUTE(TRIM(A2722&amp;""),CHAR(160),"")," ",""),"년","")),"0000")=SUBSTITUTE(SUBSTITUTE(SUBSTITUTE(TRIM(A2722&amp;""),CHAR(160),"")," ",""),"년","")),SUBSTITUTE(SUBSTITUTE(SUBSTITUTE(TRIM(A2722&amp;""),CHAR(160),"")," ",""),"년",""),""),"")</f>
      </c>
      <c r="I2722" t="str">
        <f>SUBSTITUTE(SUBSTITUTE(SUBSTITUTE(SUBSTITUTE(SUBSTITUTE(TRIM(B2722&amp;""),CHAR(160),"")," ",""),"초등학교","초"),"중학교","중"),"고등학교","고")</f>
      </c>
    </row>
    <row r="2723" customFormat="false" ht="15" hidden="false" customHeight="false" outlineLevel="0" collapsed="false">
      <c r="A2723" s="8"/>
      <c r="B2723" s="8"/>
      <c r="C2723" s="8"/>
      <c r="D2723" s="8"/>
      <c r="E2723" s="8"/>
      <c r="F2723" t="str" s="15">
        <f aca="0">IF(B2723="","",IF(H2723="","확인필요(입력누락)",IF(SUMPRODUCT((실물목록!$P$2:$P$1001&lt;&gt;"")*ISNUMBER(SEARCH(실물목록!$P$2:$P$1001,I2723))*(실물목록!$Q$2:$Q$1001&lt;&gt;"")*ISNUMBER(SEARCH(실물목록!$Q$2:$Q$1001,I2723))*(실물목록!$R$2:$R$1001="")*(실물목록!$O$2:$O$1001&lt;&gt;"")*(실물목록!$O$2:$O$1001=H2723))&gt;0,"실물 있음",IF(SUMPRODUCT((실물목록!$P$2:$P$1001&lt;&gt;"")*ISNUMBER(SEARCH(실물목록!$P$2:$P$1001,I2723))*(실물목록!$R$2:$R$1001&lt;&gt;""))&gt;0,"확인필요(입력누락)",IF(SUMPRODUCT((실물목록!$P$2:$P$1001&lt;&gt;"")*ISNUMBER(SEARCH(실물목록!$P$2:$P$1001,I2723))*(실물목록!$Q$2:$Q$1001&lt;&gt;"")*ISNUMBER(SEARCH(실물목록!$Q$2:$Q$1001,I2723))*(실물목록!$R$2:$R$1001="")*(실물목록!$O$2:$O$1001&lt;&gt;""))&gt;0,"확인필요(연도다름)","실물 없음")))))</f>
      </c>
      <c r="G2723" t="n" s="16">
        <f aca="0">IF(B2723="","",SUMPRODUCT((실물목록!$P$2:$P$1001&lt;&gt;"")*ISNUMBER(SEARCH(실물목록!$P$2:$P$1001,I2723))*(실물목록!$Q$2:$Q$1001&lt;&gt;"")*ISNUMBER(SEARCH(실물목록!$Q$2:$Q$1001,I2723))*(실물목록!$R$2:$R$1001="")*(실물목록!$O$2:$O$1001&lt;&gt;"")*(실물목록!$O$2:$O$1001=H2723)))</f>
      </c>
      <c r="H2723" t="str">
        <f>IFERROR(IF(AND(LEN(SUBSTITUTE(SUBSTITUTE(SUBSTITUTE(TRIM(A2723&amp;""),CHAR(160),"")," ",""),"년",""))=4,VALUE(SUBSTITUTE(SUBSTITUTE(SUBSTITUTE(TRIM(A2723&amp;""),CHAR(160),"")," ",""),"년",""))&gt;=1900,VALUE(SUBSTITUTE(SUBSTITUTE(SUBSTITUTE(TRIM(A2723&amp;""),CHAR(160),"")," ",""),"년",""))&lt;=2099,TEXT(VALUE(SUBSTITUTE(SUBSTITUTE(SUBSTITUTE(TRIM(A2723&amp;""),CHAR(160),"")," ",""),"년","")),"0000")=SUBSTITUTE(SUBSTITUTE(SUBSTITUTE(TRIM(A2723&amp;""),CHAR(160),"")," ",""),"년","")),SUBSTITUTE(SUBSTITUTE(SUBSTITUTE(TRIM(A2723&amp;""),CHAR(160),"")," ",""),"년",""),""),"")</f>
      </c>
      <c r="I2723" t="str">
        <f>SUBSTITUTE(SUBSTITUTE(SUBSTITUTE(SUBSTITUTE(SUBSTITUTE(TRIM(B2723&amp;""),CHAR(160),"")," ",""),"초등학교","초"),"중학교","중"),"고등학교","고")</f>
      </c>
    </row>
    <row r="2724" customFormat="false" ht="15" hidden="false" customHeight="false" outlineLevel="0" collapsed="false">
      <c r="A2724" s="8"/>
      <c r="B2724" s="8"/>
      <c r="C2724" s="8"/>
      <c r="D2724" s="8"/>
      <c r="E2724" s="8"/>
      <c r="F2724" t="str" s="15">
        <f aca="0">IF(B2724="","",IF(H2724="","확인필요(입력누락)",IF(SUMPRODUCT((실물목록!$P$2:$P$1001&lt;&gt;"")*ISNUMBER(SEARCH(실물목록!$P$2:$P$1001,I2724))*(실물목록!$Q$2:$Q$1001&lt;&gt;"")*ISNUMBER(SEARCH(실물목록!$Q$2:$Q$1001,I2724))*(실물목록!$R$2:$R$1001="")*(실물목록!$O$2:$O$1001&lt;&gt;"")*(실물목록!$O$2:$O$1001=H2724))&gt;0,"실물 있음",IF(SUMPRODUCT((실물목록!$P$2:$P$1001&lt;&gt;"")*ISNUMBER(SEARCH(실물목록!$P$2:$P$1001,I2724))*(실물목록!$R$2:$R$1001&lt;&gt;""))&gt;0,"확인필요(입력누락)",IF(SUMPRODUCT((실물목록!$P$2:$P$1001&lt;&gt;"")*ISNUMBER(SEARCH(실물목록!$P$2:$P$1001,I2724))*(실물목록!$Q$2:$Q$1001&lt;&gt;"")*ISNUMBER(SEARCH(실물목록!$Q$2:$Q$1001,I2724))*(실물목록!$R$2:$R$1001="")*(실물목록!$O$2:$O$1001&lt;&gt;""))&gt;0,"확인필요(연도다름)","실물 없음")))))</f>
      </c>
      <c r="G2724" t="n" s="16">
        <f aca="0">IF(B2724="","",SUMPRODUCT((실물목록!$P$2:$P$1001&lt;&gt;"")*ISNUMBER(SEARCH(실물목록!$P$2:$P$1001,I2724))*(실물목록!$Q$2:$Q$1001&lt;&gt;"")*ISNUMBER(SEARCH(실물목록!$Q$2:$Q$1001,I2724))*(실물목록!$R$2:$R$1001="")*(실물목록!$O$2:$O$1001&lt;&gt;"")*(실물목록!$O$2:$O$1001=H2724)))</f>
      </c>
      <c r="H2724" t="str">
        <f>IFERROR(IF(AND(LEN(SUBSTITUTE(SUBSTITUTE(SUBSTITUTE(TRIM(A2724&amp;""),CHAR(160),"")," ",""),"년",""))=4,VALUE(SUBSTITUTE(SUBSTITUTE(SUBSTITUTE(TRIM(A2724&amp;""),CHAR(160),"")," ",""),"년",""))&gt;=1900,VALUE(SUBSTITUTE(SUBSTITUTE(SUBSTITUTE(TRIM(A2724&amp;""),CHAR(160),"")," ",""),"년",""))&lt;=2099,TEXT(VALUE(SUBSTITUTE(SUBSTITUTE(SUBSTITUTE(TRIM(A2724&amp;""),CHAR(160),"")," ",""),"년","")),"0000")=SUBSTITUTE(SUBSTITUTE(SUBSTITUTE(TRIM(A2724&amp;""),CHAR(160),"")," ",""),"년","")),SUBSTITUTE(SUBSTITUTE(SUBSTITUTE(TRIM(A2724&amp;""),CHAR(160),"")," ",""),"년",""),""),"")</f>
      </c>
      <c r="I2724" t="str">
        <f>SUBSTITUTE(SUBSTITUTE(SUBSTITUTE(SUBSTITUTE(SUBSTITUTE(TRIM(B2724&amp;""),CHAR(160),"")," ",""),"초등학교","초"),"중학교","중"),"고등학교","고")</f>
      </c>
    </row>
    <row r="2725" customFormat="false" ht="15" hidden="false" customHeight="false" outlineLevel="0" collapsed="false">
      <c r="A2725" s="8"/>
      <c r="B2725" s="8"/>
      <c r="C2725" s="8"/>
      <c r="D2725" s="8"/>
      <c r="E2725" s="8"/>
      <c r="F2725" t="str" s="15">
        <f aca="0">IF(B2725="","",IF(H2725="","확인필요(입력누락)",IF(SUMPRODUCT((실물목록!$P$2:$P$1001&lt;&gt;"")*ISNUMBER(SEARCH(실물목록!$P$2:$P$1001,I2725))*(실물목록!$Q$2:$Q$1001&lt;&gt;"")*ISNUMBER(SEARCH(실물목록!$Q$2:$Q$1001,I2725))*(실물목록!$R$2:$R$1001="")*(실물목록!$O$2:$O$1001&lt;&gt;"")*(실물목록!$O$2:$O$1001=H2725))&gt;0,"실물 있음",IF(SUMPRODUCT((실물목록!$P$2:$P$1001&lt;&gt;"")*ISNUMBER(SEARCH(실물목록!$P$2:$P$1001,I2725))*(실물목록!$R$2:$R$1001&lt;&gt;""))&gt;0,"확인필요(입력누락)",IF(SUMPRODUCT((실물목록!$P$2:$P$1001&lt;&gt;"")*ISNUMBER(SEARCH(실물목록!$P$2:$P$1001,I2725))*(실물목록!$Q$2:$Q$1001&lt;&gt;"")*ISNUMBER(SEARCH(실물목록!$Q$2:$Q$1001,I2725))*(실물목록!$R$2:$R$1001="")*(실물목록!$O$2:$O$1001&lt;&gt;""))&gt;0,"확인필요(연도다름)","실물 없음")))))</f>
      </c>
      <c r="G2725" t="n" s="16">
        <f aca="0">IF(B2725="","",SUMPRODUCT((실물목록!$P$2:$P$1001&lt;&gt;"")*ISNUMBER(SEARCH(실물목록!$P$2:$P$1001,I2725))*(실물목록!$Q$2:$Q$1001&lt;&gt;"")*ISNUMBER(SEARCH(실물목록!$Q$2:$Q$1001,I2725))*(실물목록!$R$2:$R$1001="")*(실물목록!$O$2:$O$1001&lt;&gt;"")*(실물목록!$O$2:$O$1001=H2725)))</f>
      </c>
      <c r="H2725" t="str">
        <f>IFERROR(IF(AND(LEN(SUBSTITUTE(SUBSTITUTE(SUBSTITUTE(TRIM(A2725&amp;""),CHAR(160),"")," ",""),"년",""))=4,VALUE(SUBSTITUTE(SUBSTITUTE(SUBSTITUTE(TRIM(A2725&amp;""),CHAR(160),"")," ",""),"년",""))&gt;=1900,VALUE(SUBSTITUTE(SUBSTITUTE(SUBSTITUTE(TRIM(A2725&amp;""),CHAR(160),"")," ",""),"년",""))&lt;=2099,TEXT(VALUE(SUBSTITUTE(SUBSTITUTE(SUBSTITUTE(TRIM(A2725&amp;""),CHAR(160),"")," ",""),"년","")),"0000")=SUBSTITUTE(SUBSTITUTE(SUBSTITUTE(TRIM(A2725&amp;""),CHAR(160),"")," ",""),"년","")),SUBSTITUTE(SUBSTITUTE(SUBSTITUTE(TRIM(A2725&amp;""),CHAR(160),"")," ",""),"년",""),""),"")</f>
      </c>
      <c r="I2725" t="str">
        <f>SUBSTITUTE(SUBSTITUTE(SUBSTITUTE(SUBSTITUTE(SUBSTITUTE(TRIM(B2725&amp;""),CHAR(160),"")," ",""),"초등학교","초"),"중학교","중"),"고등학교","고")</f>
      </c>
    </row>
    <row r="2726" customFormat="false" ht="15" hidden="false" customHeight="false" outlineLevel="0" collapsed="false">
      <c r="A2726" s="8"/>
      <c r="B2726" s="8"/>
      <c r="C2726" s="8"/>
      <c r="D2726" s="8"/>
      <c r="E2726" s="8"/>
      <c r="F2726" t="str" s="15">
        <f aca="0">IF(B2726="","",IF(H2726="","확인필요(입력누락)",IF(SUMPRODUCT((실물목록!$P$2:$P$1001&lt;&gt;"")*ISNUMBER(SEARCH(실물목록!$P$2:$P$1001,I2726))*(실물목록!$Q$2:$Q$1001&lt;&gt;"")*ISNUMBER(SEARCH(실물목록!$Q$2:$Q$1001,I2726))*(실물목록!$R$2:$R$1001="")*(실물목록!$O$2:$O$1001&lt;&gt;"")*(실물목록!$O$2:$O$1001=H2726))&gt;0,"실물 있음",IF(SUMPRODUCT((실물목록!$P$2:$P$1001&lt;&gt;"")*ISNUMBER(SEARCH(실물목록!$P$2:$P$1001,I2726))*(실물목록!$R$2:$R$1001&lt;&gt;""))&gt;0,"확인필요(입력누락)",IF(SUMPRODUCT((실물목록!$P$2:$P$1001&lt;&gt;"")*ISNUMBER(SEARCH(실물목록!$P$2:$P$1001,I2726))*(실물목록!$Q$2:$Q$1001&lt;&gt;"")*ISNUMBER(SEARCH(실물목록!$Q$2:$Q$1001,I2726))*(실물목록!$R$2:$R$1001="")*(실물목록!$O$2:$O$1001&lt;&gt;""))&gt;0,"확인필요(연도다름)","실물 없음")))))</f>
      </c>
      <c r="G2726" t="n" s="16">
        <f aca="0">IF(B2726="","",SUMPRODUCT((실물목록!$P$2:$P$1001&lt;&gt;"")*ISNUMBER(SEARCH(실물목록!$P$2:$P$1001,I2726))*(실물목록!$Q$2:$Q$1001&lt;&gt;"")*ISNUMBER(SEARCH(실물목록!$Q$2:$Q$1001,I2726))*(실물목록!$R$2:$R$1001="")*(실물목록!$O$2:$O$1001&lt;&gt;"")*(실물목록!$O$2:$O$1001=H2726)))</f>
      </c>
      <c r="H2726" t="str">
        <f>IFERROR(IF(AND(LEN(SUBSTITUTE(SUBSTITUTE(SUBSTITUTE(TRIM(A2726&amp;""),CHAR(160),"")," ",""),"년",""))=4,VALUE(SUBSTITUTE(SUBSTITUTE(SUBSTITUTE(TRIM(A2726&amp;""),CHAR(160),"")," ",""),"년",""))&gt;=1900,VALUE(SUBSTITUTE(SUBSTITUTE(SUBSTITUTE(TRIM(A2726&amp;""),CHAR(160),"")," ",""),"년",""))&lt;=2099,TEXT(VALUE(SUBSTITUTE(SUBSTITUTE(SUBSTITUTE(TRIM(A2726&amp;""),CHAR(160),"")," ",""),"년","")),"0000")=SUBSTITUTE(SUBSTITUTE(SUBSTITUTE(TRIM(A2726&amp;""),CHAR(160),"")," ",""),"년","")),SUBSTITUTE(SUBSTITUTE(SUBSTITUTE(TRIM(A2726&amp;""),CHAR(160),"")," ",""),"년",""),""),"")</f>
      </c>
      <c r="I2726" t="str">
        <f>SUBSTITUTE(SUBSTITUTE(SUBSTITUTE(SUBSTITUTE(SUBSTITUTE(TRIM(B2726&amp;""),CHAR(160),"")," ",""),"초등학교","초"),"중학교","중"),"고등학교","고")</f>
      </c>
    </row>
    <row r="2727" customFormat="false" ht="15" hidden="false" customHeight="false" outlineLevel="0" collapsed="false">
      <c r="A2727" s="8"/>
      <c r="B2727" s="8"/>
      <c r="C2727" s="8"/>
      <c r="D2727" s="8"/>
      <c r="E2727" s="8"/>
      <c r="F2727" t="str" s="15">
        <f aca="0">IF(B2727="","",IF(H2727="","확인필요(입력누락)",IF(SUMPRODUCT((실물목록!$P$2:$P$1001&lt;&gt;"")*ISNUMBER(SEARCH(실물목록!$P$2:$P$1001,I2727))*(실물목록!$Q$2:$Q$1001&lt;&gt;"")*ISNUMBER(SEARCH(실물목록!$Q$2:$Q$1001,I2727))*(실물목록!$R$2:$R$1001="")*(실물목록!$O$2:$O$1001&lt;&gt;"")*(실물목록!$O$2:$O$1001=H2727))&gt;0,"실물 있음",IF(SUMPRODUCT((실물목록!$P$2:$P$1001&lt;&gt;"")*ISNUMBER(SEARCH(실물목록!$P$2:$P$1001,I2727))*(실물목록!$R$2:$R$1001&lt;&gt;""))&gt;0,"확인필요(입력누락)",IF(SUMPRODUCT((실물목록!$P$2:$P$1001&lt;&gt;"")*ISNUMBER(SEARCH(실물목록!$P$2:$P$1001,I2727))*(실물목록!$Q$2:$Q$1001&lt;&gt;"")*ISNUMBER(SEARCH(실물목록!$Q$2:$Q$1001,I2727))*(실물목록!$R$2:$R$1001="")*(실물목록!$O$2:$O$1001&lt;&gt;""))&gt;0,"확인필요(연도다름)","실물 없음")))))</f>
      </c>
      <c r="G2727" t="n" s="16">
        <f aca="0">IF(B2727="","",SUMPRODUCT((실물목록!$P$2:$P$1001&lt;&gt;"")*ISNUMBER(SEARCH(실물목록!$P$2:$P$1001,I2727))*(실물목록!$Q$2:$Q$1001&lt;&gt;"")*ISNUMBER(SEARCH(실물목록!$Q$2:$Q$1001,I2727))*(실물목록!$R$2:$R$1001="")*(실물목록!$O$2:$O$1001&lt;&gt;"")*(실물목록!$O$2:$O$1001=H2727)))</f>
      </c>
      <c r="H2727" t="str">
        <f>IFERROR(IF(AND(LEN(SUBSTITUTE(SUBSTITUTE(SUBSTITUTE(TRIM(A2727&amp;""),CHAR(160),"")," ",""),"년",""))=4,VALUE(SUBSTITUTE(SUBSTITUTE(SUBSTITUTE(TRIM(A2727&amp;""),CHAR(160),"")," ",""),"년",""))&gt;=1900,VALUE(SUBSTITUTE(SUBSTITUTE(SUBSTITUTE(TRIM(A2727&amp;""),CHAR(160),"")," ",""),"년",""))&lt;=2099,TEXT(VALUE(SUBSTITUTE(SUBSTITUTE(SUBSTITUTE(TRIM(A2727&amp;""),CHAR(160),"")," ",""),"년","")),"0000")=SUBSTITUTE(SUBSTITUTE(SUBSTITUTE(TRIM(A2727&amp;""),CHAR(160),"")," ",""),"년","")),SUBSTITUTE(SUBSTITUTE(SUBSTITUTE(TRIM(A2727&amp;""),CHAR(160),"")," ",""),"년",""),""),"")</f>
      </c>
      <c r="I2727" t="str">
        <f>SUBSTITUTE(SUBSTITUTE(SUBSTITUTE(SUBSTITUTE(SUBSTITUTE(TRIM(B2727&amp;""),CHAR(160),"")," ",""),"초등학교","초"),"중학교","중"),"고등학교","고")</f>
      </c>
    </row>
    <row r="2728" customFormat="false" ht="15" hidden="false" customHeight="false" outlineLevel="0" collapsed="false">
      <c r="A2728" s="8"/>
      <c r="B2728" s="8"/>
      <c r="C2728" s="8"/>
      <c r="D2728" s="8"/>
      <c r="E2728" s="8"/>
      <c r="F2728" t="str" s="15">
        <f aca="0">IF(B2728="","",IF(H2728="","확인필요(입력누락)",IF(SUMPRODUCT((실물목록!$P$2:$P$1001&lt;&gt;"")*ISNUMBER(SEARCH(실물목록!$P$2:$P$1001,I2728))*(실물목록!$Q$2:$Q$1001&lt;&gt;"")*ISNUMBER(SEARCH(실물목록!$Q$2:$Q$1001,I2728))*(실물목록!$R$2:$R$1001="")*(실물목록!$O$2:$O$1001&lt;&gt;"")*(실물목록!$O$2:$O$1001=H2728))&gt;0,"실물 있음",IF(SUMPRODUCT((실물목록!$P$2:$P$1001&lt;&gt;"")*ISNUMBER(SEARCH(실물목록!$P$2:$P$1001,I2728))*(실물목록!$R$2:$R$1001&lt;&gt;""))&gt;0,"확인필요(입력누락)",IF(SUMPRODUCT((실물목록!$P$2:$P$1001&lt;&gt;"")*ISNUMBER(SEARCH(실물목록!$P$2:$P$1001,I2728))*(실물목록!$Q$2:$Q$1001&lt;&gt;"")*ISNUMBER(SEARCH(실물목록!$Q$2:$Q$1001,I2728))*(실물목록!$R$2:$R$1001="")*(실물목록!$O$2:$O$1001&lt;&gt;""))&gt;0,"확인필요(연도다름)","실물 없음")))))</f>
      </c>
      <c r="G2728" t="n" s="16">
        <f aca="0">IF(B2728="","",SUMPRODUCT((실물목록!$P$2:$P$1001&lt;&gt;"")*ISNUMBER(SEARCH(실물목록!$P$2:$P$1001,I2728))*(실물목록!$Q$2:$Q$1001&lt;&gt;"")*ISNUMBER(SEARCH(실물목록!$Q$2:$Q$1001,I2728))*(실물목록!$R$2:$R$1001="")*(실물목록!$O$2:$O$1001&lt;&gt;"")*(실물목록!$O$2:$O$1001=H2728)))</f>
      </c>
      <c r="H2728" t="str">
        <f>IFERROR(IF(AND(LEN(SUBSTITUTE(SUBSTITUTE(SUBSTITUTE(TRIM(A2728&amp;""),CHAR(160),"")," ",""),"년",""))=4,VALUE(SUBSTITUTE(SUBSTITUTE(SUBSTITUTE(TRIM(A2728&amp;""),CHAR(160),"")," ",""),"년",""))&gt;=1900,VALUE(SUBSTITUTE(SUBSTITUTE(SUBSTITUTE(TRIM(A2728&amp;""),CHAR(160),"")," ",""),"년",""))&lt;=2099,TEXT(VALUE(SUBSTITUTE(SUBSTITUTE(SUBSTITUTE(TRIM(A2728&amp;""),CHAR(160),"")," ",""),"년","")),"0000")=SUBSTITUTE(SUBSTITUTE(SUBSTITUTE(TRIM(A2728&amp;""),CHAR(160),"")," ",""),"년","")),SUBSTITUTE(SUBSTITUTE(SUBSTITUTE(TRIM(A2728&amp;""),CHAR(160),"")," ",""),"년",""),""),"")</f>
      </c>
      <c r="I2728" t="str">
        <f>SUBSTITUTE(SUBSTITUTE(SUBSTITUTE(SUBSTITUTE(SUBSTITUTE(TRIM(B2728&amp;""),CHAR(160),"")," ",""),"초등학교","초"),"중학교","중"),"고등학교","고")</f>
      </c>
    </row>
    <row r="2729" customFormat="false" ht="15" hidden="false" customHeight="false" outlineLevel="0" collapsed="false">
      <c r="A2729" s="8"/>
      <c r="B2729" s="8"/>
      <c r="C2729" s="8"/>
      <c r="D2729" s="8"/>
      <c r="E2729" s="8"/>
      <c r="F2729" t="str" s="15">
        <f aca="0">IF(B2729="","",IF(H2729="","확인필요(입력누락)",IF(SUMPRODUCT((실물목록!$P$2:$P$1001&lt;&gt;"")*ISNUMBER(SEARCH(실물목록!$P$2:$P$1001,I2729))*(실물목록!$Q$2:$Q$1001&lt;&gt;"")*ISNUMBER(SEARCH(실물목록!$Q$2:$Q$1001,I2729))*(실물목록!$R$2:$R$1001="")*(실물목록!$O$2:$O$1001&lt;&gt;"")*(실물목록!$O$2:$O$1001=H2729))&gt;0,"실물 있음",IF(SUMPRODUCT((실물목록!$P$2:$P$1001&lt;&gt;"")*ISNUMBER(SEARCH(실물목록!$P$2:$P$1001,I2729))*(실물목록!$R$2:$R$1001&lt;&gt;""))&gt;0,"확인필요(입력누락)",IF(SUMPRODUCT((실물목록!$P$2:$P$1001&lt;&gt;"")*ISNUMBER(SEARCH(실물목록!$P$2:$P$1001,I2729))*(실물목록!$Q$2:$Q$1001&lt;&gt;"")*ISNUMBER(SEARCH(실물목록!$Q$2:$Q$1001,I2729))*(실물목록!$R$2:$R$1001="")*(실물목록!$O$2:$O$1001&lt;&gt;""))&gt;0,"확인필요(연도다름)","실물 없음")))))</f>
      </c>
      <c r="G2729" t="n" s="16">
        <f aca="0">IF(B2729="","",SUMPRODUCT((실물목록!$P$2:$P$1001&lt;&gt;"")*ISNUMBER(SEARCH(실물목록!$P$2:$P$1001,I2729))*(실물목록!$Q$2:$Q$1001&lt;&gt;"")*ISNUMBER(SEARCH(실물목록!$Q$2:$Q$1001,I2729))*(실물목록!$R$2:$R$1001="")*(실물목록!$O$2:$O$1001&lt;&gt;"")*(실물목록!$O$2:$O$1001=H2729)))</f>
      </c>
      <c r="H2729" t="str">
        <f>IFERROR(IF(AND(LEN(SUBSTITUTE(SUBSTITUTE(SUBSTITUTE(TRIM(A2729&amp;""),CHAR(160),"")," ",""),"년",""))=4,VALUE(SUBSTITUTE(SUBSTITUTE(SUBSTITUTE(TRIM(A2729&amp;""),CHAR(160),"")," ",""),"년",""))&gt;=1900,VALUE(SUBSTITUTE(SUBSTITUTE(SUBSTITUTE(TRIM(A2729&amp;""),CHAR(160),"")," ",""),"년",""))&lt;=2099,TEXT(VALUE(SUBSTITUTE(SUBSTITUTE(SUBSTITUTE(TRIM(A2729&amp;""),CHAR(160),"")," ",""),"년","")),"0000")=SUBSTITUTE(SUBSTITUTE(SUBSTITUTE(TRIM(A2729&amp;""),CHAR(160),"")," ",""),"년","")),SUBSTITUTE(SUBSTITUTE(SUBSTITUTE(TRIM(A2729&amp;""),CHAR(160),"")," ",""),"년",""),""),"")</f>
      </c>
      <c r="I2729" t="str">
        <f>SUBSTITUTE(SUBSTITUTE(SUBSTITUTE(SUBSTITUTE(SUBSTITUTE(TRIM(B2729&amp;""),CHAR(160),"")," ",""),"초등학교","초"),"중학교","중"),"고등학교","고")</f>
      </c>
    </row>
    <row r="2730" customFormat="false" ht="15" hidden="false" customHeight="false" outlineLevel="0" collapsed="false">
      <c r="A2730" s="8"/>
      <c r="B2730" s="8"/>
      <c r="C2730" s="8"/>
      <c r="D2730" s="8"/>
      <c r="E2730" s="8"/>
      <c r="F2730" t="str" s="15">
        <f aca="0">IF(B2730="","",IF(H2730="","확인필요(입력누락)",IF(SUMPRODUCT((실물목록!$P$2:$P$1001&lt;&gt;"")*ISNUMBER(SEARCH(실물목록!$P$2:$P$1001,I2730))*(실물목록!$Q$2:$Q$1001&lt;&gt;"")*ISNUMBER(SEARCH(실물목록!$Q$2:$Q$1001,I2730))*(실물목록!$R$2:$R$1001="")*(실물목록!$O$2:$O$1001&lt;&gt;"")*(실물목록!$O$2:$O$1001=H2730))&gt;0,"실물 있음",IF(SUMPRODUCT((실물목록!$P$2:$P$1001&lt;&gt;"")*ISNUMBER(SEARCH(실물목록!$P$2:$P$1001,I2730))*(실물목록!$R$2:$R$1001&lt;&gt;""))&gt;0,"확인필요(입력누락)",IF(SUMPRODUCT((실물목록!$P$2:$P$1001&lt;&gt;"")*ISNUMBER(SEARCH(실물목록!$P$2:$P$1001,I2730))*(실물목록!$Q$2:$Q$1001&lt;&gt;"")*ISNUMBER(SEARCH(실물목록!$Q$2:$Q$1001,I2730))*(실물목록!$R$2:$R$1001="")*(실물목록!$O$2:$O$1001&lt;&gt;""))&gt;0,"확인필요(연도다름)","실물 없음")))))</f>
      </c>
      <c r="G2730" t="n" s="16">
        <f aca="0">IF(B2730="","",SUMPRODUCT((실물목록!$P$2:$P$1001&lt;&gt;"")*ISNUMBER(SEARCH(실물목록!$P$2:$P$1001,I2730))*(실물목록!$Q$2:$Q$1001&lt;&gt;"")*ISNUMBER(SEARCH(실물목록!$Q$2:$Q$1001,I2730))*(실물목록!$R$2:$R$1001="")*(실물목록!$O$2:$O$1001&lt;&gt;"")*(실물목록!$O$2:$O$1001=H2730)))</f>
      </c>
      <c r="H2730" t="str">
        <f>IFERROR(IF(AND(LEN(SUBSTITUTE(SUBSTITUTE(SUBSTITUTE(TRIM(A2730&amp;""),CHAR(160),"")," ",""),"년",""))=4,VALUE(SUBSTITUTE(SUBSTITUTE(SUBSTITUTE(TRIM(A2730&amp;""),CHAR(160),"")," ",""),"년",""))&gt;=1900,VALUE(SUBSTITUTE(SUBSTITUTE(SUBSTITUTE(TRIM(A2730&amp;""),CHAR(160),"")," ",""),"년",""))&lt;=2099,TEXT(VALUE(SUBSTITUTE(SUBSTITUTE(SUBSTITUTE(TRIM(A2730&amp;""),CHAR(160),"")," ",""),"년","")),"0000")=SUBSTITUTE(SUBSTITUTE(SUBSTITUTE(TRIM(A2730&amp;""),CHAR(160),"")," ",""),"년","")),SUBSTITUTE(SUBSTITUTE(SUBSTITUTE(TRIM(A2730&amp;""),CHAR(160),"")," ",""),"년",""),""),"")</f>
      </c>
      <c r="I2730" t="str">
        <f>SUBSTITUTE(SUBSTITUTE(SUBSTITUTE(SUBSTITUTE(SUBSTITUTE(TRIM(B2730&amp;""),CHAR(160),"")," ",""),"초등학교","초"),"중학교","중"),"고등학교","고")</f>
      </c>
    </row>
    <row r="2731" customFormat="false" ht="15" hidden="false" customHeight="false" outlineLevel="0" collapsed="false">
      <c r="A2731" s="8"/>
      <c r="B2731" s="8"/>
      <c r="C2731" s="8"/>
      <c r="D2731" s="8"/>
      <c r="E2731" s="8"/>
      <c r="F2731" t="str" s="15">
        <f aca="0">IF(B2731="","",IF(H2731="","확인필요(입력누락)",IF(SUMPRODUCT((실물목록!$P$2:$P$1001&lt;&gt;"")*ISNUMBER(SEARCH(실물목록!$P$2:$P$1001,I2731))*(실물목록!$Q$2:$Q$1001&lt;&gt;"")*ISNUMBER(SEARCH(실물목록!$Q$2:$Q$1001,I2731))*(실물목록!$R$2:$R$1001="")*(실물목록!$O$2:$O$1001&lt;&gt;"")*(실물목록!$O$2:$O$1001=H2731))&gt;0,"실물 있음",IF(SUMPRODUCT((실물목록!$P$2:$P$1001&lt;&gt;"")*ISNUMBER(SEARCH(실물목록!$P$2:$P$1001,I2731))*(실물목록!$R$2:$R$1001&lt;&gt;""))&gt;0,"확인필요(입력누락)",IF(SUMPRODUCT((실물목록!$P$2:$P$1001&lt;&gt;"")*ISNUMBER(SEARCH(실물목록!$P$2:$P$1001,I2731))*(실물목록!$Q$2:$Q$1001&lt;&gt;"")*ISNUMBER(SEARCH(실물목록!$Q$2:$Q$1001,I2731))*(실물목록!$R$2:$R$1001="")*(실물목록!$O$2:$O$1001&lt;&gt;""))&gt;0,"확인필요(연도다름)","실물 없음")))))</f>
      </c>
      <c r="G2731" t="n" s="16">
        <f aca="0">IF(B2731="","",SUMPRODUCT((실물목록!$P$2:$P$1001&lt;&gt;"")*ISNUMBER(SEARCH(실물목록!$P$2:$P$1001,I2731))*(실물목록!$Q$2:$Q$1001&lt;&gt;"")*ISNUMBER(SEARCH(실물목록!$Q$2:$Q$1001,I2731))*(실물목록!$R$2:$R$1001="")*(실물목록!$O$2:$O$1001&lt;&gt;"")*(실물목록!$O$2:$O$1001=H2731)))</f>
      </c>
      <c r="H2731" t="str">
        <f>IFERROR(IF(AND(LEN(SUBSTITUTE(SUBSTITUTE(SUBSTITUTE(TRIM(A2731&amp;""),CHAR(160),"")," ",""),"년",""))=4,VALUE(SUBSTITUTE(SUBSTITUTE(SUBSTITUTE(TRIM(A2731&amp;""),CHAR(160),"")," ",""),"년",""))&gt;=1900,VALUE(SUBSTITUTE(SUBSTITUTE(SUBSTITUTE(TRIM(A2731&amp;""),CHAR(160),"")," ",""),"년",""))&lt;=2099,TEXT(VALUE(SUBSTITUTE(SUBSTITUTE(SUBSTITUTE(TRIM(A2731&amp;""),CHAR(160),"")," ",""),"년","")),"0000")=SUBSTITUTE(SUBSTITUTE(SUBSTITUTE(TRIM(A2731&amp;""),CHAR(160),"")," ",""),"년","")),SUBSTITUTE(SUBSTITUTE(SUBSTITUTE(TRIM(A2731&amp;""),CHAR(160),"")," ",""),"년",""),""),"")</f>
      </c>
      <c r="I2731" t="str">
        <f>SUBSTITUTE(SUBSTITUTE(SUBSTITUTE(SUBSTITUTE(SUBSTITUTE(TRIM(B2731&amp;""),CHAR(160),"")," ",""),"초등학교","초"),"중학교","중"),"고등학교","고")</f>
      </c>
    </row>
    <row r="2732" customFormat="false" ht="15" hidden="false" customHeight="false" outlineLevel="0" collapsed="false">
      <c r="A2732" s="8"/>
      <c r="B2732" s="8"/>
      <c r="C2732" s="8"/>
      <c r="D2732" s="8"/>
      <c r="E2732" s="8"/>
      <c r="F2732" t="str" s="15">
        <f aca="0">IF(B2732="","",IF(H2732="","확인필요(입력누락)",IF(SUMPRODUCT((실물목록!$P$2:$P$1001&lt;&gt;"")*ISNUMBER(SEARCH(실물목록!$P$2:$P$1001,I2732))*(실물목록!$Q$2:$Q$1001&lt;&gt;"")*ISNUMBER(SEARCH(실물목록!$Q$2:$Q$1001,I2732))*(실물목록!$R$2:$R$1001="")*(실물목록!$O$2:$O$1001&lt;&gt;"")*(실물목록!$O$2:$O$1001=H2732))&gt;0,"실물 있음",IF(SUMPRODUCT((실물목록!$P$2:$P$1001&lt;&gt;"")*ISNUMBER(SEARCH(실물목록!$P$2:$P$1001,I2732))*(실물목록!$R$2:$R$1001&lt;&gt;""))&gt;0,"확인필요(입력누락)",IF(SUMPRODUCT((실물목록!$P$2:$P$1001&lt;&gt;"")*ISNUMBER(SEARCH(실물목록!$P$2:$P$1001,I2732))*(실물목록!$Q$2:$Q$1001&lt;&gt;"")*ISNUMBER(SEARCH(실물목록!$Q$2:$Q$1001,I2732))*(실물목록!$R$2:$R$1001="")*(실물목록!$O$2:$O$1001&lt;&gt;""))&gt;0,"확인필요(연도다름)","실물 없음")))))</f>
      </c>
      <c r="G2732" t="n" s="16">
        <f aca="0">IF(B2732="","",SUMPRODUCT((실물목록!$P$2:$P$1001&lt;&gt;"")*ISNUMBER(SEARCH(실물목록!$P$2:$P$1001,I2732))*(실물목록!$Q$2:$Q$1001&lt;&gt;"")*ISNUMBER(SEARCH(실물목록!$Q$2:$Q$1001,I2732))*(실물목록!$R$2:$R$1001="")*(실물목록!$O$2:$O$1001&lt;&gt;"")*(실물목록!$O$2:$O$1001=H2732)))</f>
      </c>
      <c r="H2732" t="str">
        <f>IFERROR(IF(AND(LEN(SUBSTITUTE(SUBSTITUTE(SUBSTITUTE(TRIM(A2732&amp;""),CHAR(160),"")," ",""),"년",""))=4,VALUE(SUBSTITUTE(SUBSTITUTE(SUBSTITUTE(TRIM(A2732&amp;""),CHAR(160),"")," ",""),"년",""))&gt;=1900,VALUE(SUBSTITUTE(SUBSTITUTE(SUBSTITUTE(TRIM(A2732&amp;""),CHAR(160),"")," ",""),"년",""))&lt;=2099,TEXT(VALUE(SUBSTITUTE(SUBSTITUTE(SUBSTITUTE(TRIM(A2732&amp;""),CHAR(160),"")," ",""),"년","")),"0000")=SUBSTITUTE(SUBSTITUTE(SUBSTITUTE(TRIM(A2732&amp;""),CHAR(160),"")," ",""),"년","")),SUBSTITUTE(SUBSTITUTE(SUBSTITUTE(TRIM(A2732&amp;""),CHAR(160),"")," ",""),"년",""),""),"")</f>
      </c>
      <c r="I2732" t="str">
        <f>SUBSTITUTE(SUBSTITUTE(SUBSTITUTE(SUBSTITUTE(SUBSTITUTE(TRIM(B2732&amp;""),CHAR(160),"")," ",""),"초등학교","초"),"중학교","중"),"고등학교","고")</f>
      </c>
    </row>
    <row r="2733" customFormat="false" ht="15" hidden="false" customHeight="false" outlineLevel="0" collapsed="false">
      <c r="A2733" s="8"/>
      <c r="B2733" s="8"/>
      <c r="C2733" s="8"/>
      <c r="D2733" s="8"/>
      <c r="E2733" s="8"/>
      <c r="F2733" t="str" s="15">
        <f aca="0">IF(B2733="","",IF(H2733="","확인필요(입력누락)",IF(SUMPRODUCT((실물목록!$P$2:$P$1001&lt;&gt;"")*ISNUMBER(SEARCH(실물목록!$P$2:$P$1001,I2733))*(실물목록!$Q$2:$Q$1001&lt;&gt;"")*ISNUMBER(SEARCH(실물목록!$Q$2:$Q$1001,I2733))*(실물목록!$R$2:$R$1001="")*(실물목록!$O$2:$O$1001&lt;&gt;"")*(실물목록!$O$2:$O$1001=H2733))&gt;0,"실물 있음",IF(SUMPRODUCT((실물목록!$P$2:$P$1001&lt;&gt;"")*ISNUMBER(SEARCH(실물목록!$P$2:$P$1001,I2733))*(실물목록!$R$2:$R$1001&lt;&gt;""))&gt;0,"확인필요(입력누락)",IF(SUMPRODUCT((실물목록!$P$2:$P$1001&lt;&gt;"")*ISNUMBER(SEARCH(실물목록!$P$2:$P$1001,I2733))*(실물목록!$Q$2:$Q$1001&lt;&gt;"")*ISNUMBER(SEARCH(실물목록!$Q$2:$Q$1001,I2733))*(실물목록!$R$2:$R$1001="")*(실물목록!$O$2:$O$1001&lt;&gt;""))&gt;0,"확인필요(연도다름)","실물 없음")))))</f>
      </c>
      <c r="G2733" t="n" s="16">
        <f aca="0">IF(B2733="","",SUMPRODUCT((실물목록!$P$2:$P$1001&lt;&gt;"")*ISNUMBER(SEARCH(실물목록!$P$2:$P$1001,I2733))*(실물목록!$Q$2:$Q$1001&lt;&gt;"")*ISNUMBER(SEARCH(실물목록!$Q$2:$Q$1001,I2733))*(실물목록!$R$2:$R$1001="")*(실물목록!$O$2:$O$1001&lt;&gt;"")*(실물목록!$O$2:$O$1001=H2733)))</f>
      </c>
      <c r="H2733" t="str">
        <f>IFERROR(IF(AND(LEN(SUBSTITUTE(SUBSTITUTE(SUBSTITUTE(TRIM(A2733&amp;""),CHAR(160),"")," ",""),"년",""))=4,VALUE(SUBSTITUTE(SUBSTITUTE(SUBSTITUTE(TRIM(A2733&amp;""),CHAR(160),"")," ",""),"년",""))&gt;=1900,VALUE(SUBSTITUTE(SUBSTITUTE(SUBSTITUTE(TRIM(A2733&amp;""),CHAR(160),"")," ",""),"년",""))&lt;=2099,TEXT(VALUE(SUBSTITUTE(SUBSTITUTE(SUBSTITUTE(TRIM(A2733&amp;""),CHAR(160),"")," ",""),"년","")),"0000")=SUBSTITUTE(SUBSTITUTE(SUBSTITUTE(TRIM(A2733&amp;""),CHAR(160),"")," ",""),"년","")),SUBSTITUTE(SUBSTITUTE(SUBSTITUTE(TRIM(A2733&amp;""),CHAR(160),"")," ",""),"년",""),""),"")</f>
      </c>
      <c r="I2733" t="str">
        <f>SUBSTITUTE(SUBSTITUTE(SUBSTITUTE(SUBSTITUTE(SUBSTITUTE(TRIM(B2733&amp;""),CHAR(160),"")," ",""),"초등학교","초"),"중학교","중"),"고등학교","고")</f>
      </c>
    </row>
    <row r="2734" customFormat="false" ht="15" hidden="false" customHeight="false" outlineLevel="0" collapsed="false">
      <c r="A2734" s="8"/>
      <c r="B2734" s="8"/>
      <c r="C2734" s="8"/>
      <c r="D2734" s="8"/>
      <c r="E2734" s="8"/>
      <c r="F2734" t="str" s="15">
        <f aca="0">IF(B2734="","",IF(H2734="","확인필요(입력누락)",IF(SUMPRODUCT((실물목록!$P$2:$P$1001&lt;&gt;"")*ISNUMBER(SEARCH(실물목록!$P$2:$P$1001,I2734))*(실물목록!$Q$2:$Q$1001&lt;&gt;"")*ISNUMBER(SEARCH(실물목록!$Q$2:$Q$1001,I2734))*(실물목록!$R$2:$R$1001="")*(실물목록!$O$2:$O$1001&lt;&gt;"")*(실물목록!$O$2:$O$1001=H2734))&gt;0,"실물 있음",IF(SUMPRODUCT((실물목록!$P$2:$P$1001&lt;&gt;"")*ISNUMBER(SEARCH(실물목록!$P$2:$P$1001,I2734))*(실물목록!$R$2:$R$1001&lt;&gt;""))&gt;0,"확인필요(입력누락)",IF(SUMPRODUCT((실물목록!$P$2:$P$1001&lt;&gt;"")*ISNUMBER(SEARCH(실물목록!$P$2:$P$1001,I2734))*(실물목록!$Q$2:$Q$1001&lt;&gt;"")*ISNUMBER(SEARCH(실물목록!$Q$2:$Q$1001,I2734))*(실물목록!$R$2:$R$1001="")*(실물목록!$O$2:$O$1001&lt;&gt;""))&gt;0,"확인필요(연도다름)","실물 없음")))))</f>
      </c>
      <c r="G2734" t="n" s="16">
        <f aca="0">IF(B2734="","",SUMPRODUCT((실물목록!$P$2:$P$1001&lt;&gt;"")*ISNUMBER(SEARCH(실물목록!$P$2:$P$1001,I2734))*(실물목록!$Q$2:$Q$1001&lt;&gt;"")*ISNUMBER(SEARCH(실물목록!$Q$2:$Q$1001,I2734))*(실물목록!$R$2:$R$1001="")*(실물목록!$O$2:$O$1001&lt;&gt;"")*(실물목록!$O$2:$O$1001=H2734)))</f>
      </c>
      <c r="H2734" t="str">
        <f>IFERROR(IF(AND(LEN(SUBSTITUTE(SUBSTITUTE(SUBSTITUTE(TRIM(A2734&amp;""),CHAR(160),"")," ",""),"년",""))=4,VALUE(SUBSTITUTE(SUBSTITUTE(SUBSTITUTE(TRIM(A2734&amp;""),CHAR(160),"")," ",""),"년",""))&gt;=1900,VALUE(SUBSTITUTE(SUBSTITUTE(SUBSTITUTE(TRIM(A2734&amp;""),CHAR(160),"")," ",""),"년",""))&lt;=2099,TEXT(VALUE(SUBSTITUTE(SUBSTITUTE(SUBSTITUTE(TRIM(A2734&amp;""),CHAR(160),"")," ",""),"년","")),"0000")=SUBSTITUTE(SUBSTITUTE(SUBSTITUTE(TRIM(A2734&amp;""),CHAR(160),"")," ",""),"년","")),SUBSTITUTE(SUBSTITUTE(SUBSTITUTE(TRIM(A2734&amp;""),CHAR(160),"")," ",""),"년",""),""),"")</f>
      </c>
      <c r="I2734" t="str">
        <f>SUBSTITUTE(SUBSTITUTE(SUBSTITUTE(SUBSTITUTE(SUBSTITUTE(TRIM(B2734&amp;""),CHAR(160),"")," ",""),"초등학교","초"),"중학교","중"),"고등학교","고")</f>
      </c>
    </row>
    <row r="2735" customFormat="false" ht="15" hidden="false" customHeight="false" outlineLevel="0" collapsed="false">
      <c r="A2735" s="8"/>
      <c r="B2735" s="8"/>
      <c r="C2735" s="8"/>
      <c r="D2735" s="8"/>
      <c r="E2735" s="8"/>
      <c r="F2735" t="str" s="15">
        <f aca="0">IF(B2735="","",IF(H2735="","확인필요(입력누락)",IF(SUMPRODUCT((실물목록!$P$2:$P$1001&lt;&gt;"")*ISNUMBER(SEARCH(실물목록!$P$2:$P$1001,I2735))*(실물목록!$Q$2:$Q$1001&lt;&gt;"")*ISNUMBER(SEARCH(실물목록!$Q$2:$Q$1001,I2735))*(실물목록!$R$2:$R$1001="")*(실물목록!$O$2:$O$1001&lt;&gt;"")*(실물목록!$O$2:$O$1001=H2735))&gt;0,"실물 있음",IF(SUMPRODUCT((실물목록!$P$2:$P$1001&lt;&gt;"")*ISNUMBER(SEARCH(실물목록!$P$2:$P$1001,I2735))*(실물목록!$R$2:$R$1001&lt;&gt;""))&gt;0,"확인필요(입력누락)",IF(SUMPRODUCT((실물목록!$P$2:$P$1001&lt;&gt;"")*ISNUMBER(SEARCH(실물목록!$P$2:$P$1001,I2735))*(실물목록!$Q$2:$Q$1001&lt;&gt;"")*ISNUMBER(SEARCH(실물목록!$Q$2:$Q$1001,I2735))*(실물목록!$R$2:$R$1001="")*(실물목록!$O$2:$O$1001&lt;&gt;""))&gt;0,"확인필요(연도다름)","실물 없음")))))</f>
      </c>
      <c r="G2735" t="n" s="16">
        <f aca="0">IF(B2735="","",SUMPRODUCT((실물목록!$P$2:$P$1001&lt;&gt;"")*ISNUMBER(SEARCH(실물목록!$P$2:$P$1001,I2735))*(실물목록!$Q$2:$Q$1001&lt;&gt;"")*ISNUMBER(SEARCH(실물목록!$Q$2:$Q$1001,I2735))*(실물목록!$R$2:$R$1001="")*(실물목록!$O$2:$O$1001&lt;&gt;"")*(실물목록!$O$2:$O$1001=H2735)))</f>
      </c>
      <c r="H2735" t="str">
        <f>IFERROR(IF(AND(LEN(SUBSTITUTE(SUBSTITUTE(SUBSTITUTE(TRIM(A2735&amp;""),CHAR(160),"")," ",""),"년",""))=4,VALUE(SUBSTITUTE(SUBSTITUTE(SUBSTITUTE(TRIM(A2735&amp;""),CHAR(160),"")," ",""),"년",""))&gt;=1900,VALUE(SUBSTITUTE(SUBSTITUTE(SUBSTITUTE(TRIM(A2735&amp;""),CHAR(160),"")," ",""),"년",""))&lt;=2099,TEXT(VALUE(SUBSTITUTE(SUBSTITUTE(SUBSTITUTE(TRIM(A2735&amp;""),CHAR(160),"")," ",""),"년","")),"0000")=SUBSTITUTE(SUBSTITUTE(SUBSTITUTE(TRIM(A2735&amp;""),CHAR(160),"")," ",""),"년","")),SUBSTITUTE(SUBSTITUTE(SUBSTITUTE(TRIM(A2735&amp;""),CHAR(160),"")," ",""),"년",""),""),"")</f>
      </c>
      <c r="I2735" t="str">
        <f>SUBSTITUTE(SUBSTITUTE(SUBSTITUTE(SUBSTITUTE(SUBSTITUTE(TRIM(B2735&amp;""),CHAR(160),"")," ",""),"초등학교","초"),"중학교","중"),"고등학교","고")</f>
      </c>
    </row>
    <row r="2736" customFormat="false" ht="15" hidden="false" customHeight="false" outlineLevel="0" collapsed="false">
      <c r="A2736" s="8"/>
      <c r="B2736" s="8"/>
      <c r="C2736" s="8"/>
      <c r="D2736" s="8"/>
      <c r="E2736" s="8"/>
      <c r="F2736" t="str" s="15">
        <f aca="0">IF(B2736="","",IF(H2736="","확인필요(입력누락)",IF(SUMPRODUCT((실물목록!$P$2:$P$1001&lt;&gt;"")*ISNUMBER(SEARCH(실물목록!$P$2:$P$1001,I2736))*(실물목록!$Q$2:$Q$1001&lt;&gt;"")*ISNUMBER(SEARCH(실물목록!$Q$2:$Q$1001,I2736))*(실물목록!$R$2:$R$1001="")*(실물목록!$O$2:$O$1001&lt;&gt;"")*(실물목록!$O$2:$O$1001=H2736))&gt;0,"실물 있음",IF(SUMPRODUCT((실물목록!$P$2:$P$1001&lt;&gt;"")*ISNUMBER(SEARCH(실물목록!$P$2:$P$1001,I2736))*(실물목록!$R$2:$R$1001&lt;&gt;""))&gt;0,"확인필요(입력누락)",IF(SUMPRODUCT((실물목록!$P$2:$P$1001&lt;&gt;"")*ISNUMBER(SEARCH(실물목록!$P$2:$P$1001,I2736))*(실물목록!$Q$2:$Q$1001&lt;&gt;"")*ISNUMBER(SEARCH(실물목록!$Q$2:$Q$1001,I2736))*(실물목록!$R$2:$R$1001="")*(실물목록!$O$2:$O$1001&lt;&gt;""))&gt;0,"확인필요(연도다름)","실물 없음")))))</f>
      </c>
      <c r="G2736" t="n" s="16">
        <f aca="0">IF(B2736="","",SUMPRODUCT((실물목록!$P$2:$P$1001&lt;&gt;"")*ISNUMBER(SEARCH(실물목록!$P$2:$P$1001,I2736))*(실물목록!$Q$2:$Q$1001&lt;&gt;"")*ISNUMBER(SEARCH(실물목록!$Q$2:$Q$1001,I2736))*(실물목록!$R$2:$R$1001="")*(실물목록!$O$2:$O$1001&lt;&gt;"")*(실물목록!$O$2:$O$1001=H2736)))</f>
      </c>
      <c r="H2736" t="str">
        <f>IFERROR(IF(AND(LEN(SUBSTITUTE(SUBSTITUTE(SUBSTITUTE(TRIM(A2736&amp;""),CHAR(160),"")," ",""),"년",""))=4,VALUE(SUBSTITUTE(SUBSTITUTE(SUBSTITUTE(TRIM(A2736&amp;""),CHAR(160),"")," ",""),"년",""))&gt;=1900,VALUE(SUBSTITUTE(SUBSTITUTE(SUBSTITUTE(TRIM(A2736&amp;""),CHAR(160),"")," ",""),"년",""))&lt;=2099,TEXT(VALUE(SUBSTITUTE(SUBSTITUTE(SUBSTITUTE(TRIM(A2736&amp;""),CHAR(160),"")," ",""),"년","")),"0000")=SUBSTITUTE(SUBSTITUTE(SUBSTITUTE(TRIM(A2736&amp;""),CHAR(160),"")," ",""),"년","")),SUBSTITUTE(SUBSTITUTE(SUBSTITUTE(TRIM(A2736&amp;""),CHAR(160),"")," ",""),"년",""),""),"")</f>
      </c>
      <c r="I2736" t="str">
        <f>SUBSTITUTE(SUBSTITUTE(SUBSTITUTE(SUBSTITUTE(SUBSTITUTE(TRIM(B2736&amp;""),CHAR(160),"")," ",""),"초등학교","초"),"중학교","중"),"고등학교","고")</f>
      </c>
    </row>
    <row r="2737" customFormat="false" ht="15" hidden="false" customHeight="false" outlineLevel="0" collapsed="false">
      <c r="A2737" s="8"/>
      <c r="B2737" s="8"/>
      <c r="C2737" s="8"/>
      <c r="D2737" s="8"/>
      <c r="E2737" s="8"/>
      <c r="F2737" t="str" s="15">
        <f aca="0">IF(B2737="","",IF(H2737="","확인필요(입력누락)",IF(SUMPRODUCT((실물목록!$P$2:$P$1001&lt;&gt;"")*ISNUMBER(SEARCH(실물목록!$P$2:$P$1001,I2737))*(실물목록!$Q$2:$Q$1001&lt;&gt;"")*ISNUMBER(SEARCH(실물목록!$Q$2:$Q$1001,I2737))*(실물목록!$R$2:$R$1001="")*(실물목록!$O$2:$O$1001&lt;&gt;"")*(실물목록!$O$2:$O$1001=H2737))&gt;0,"실물 있음",IF(SUMPRODUCT((실물목록!$P$2:$P$1001&lt;&gt;"")*ISNUMBER(SEARCH(실물목록!$P$2:$P$1001,I2737))*(실물목록!$R$2:$R$1001&lt;&gt;""))&gt;0,"확인필요(입력누락)",IF(SUMPRODUCT((실물목록!$P$2:$P$1001&lt;&gt;"")*ISNUMBER(SEARCH(실물목록!$P$2:$P$1001,I2737))*(실물목록!$Q$2:$Q$1001&lt;&gt;"")*ISNUMBER(SEARCH(실물목록!$Q$2:$Q$1001,I2737))*(실물목록!$R$2:$R$1001="")*(실물목록!$O$2:$O$1001&lt;&gt;""))&gt;0,"확인필요(연도다름)","실물 없음")))))</f>
      </c>
      <c r="G2737" t="n" s="16">
        <f aca="0">IF(B2737="","",SUMPRODUCT((실물목록!$P$2:$P$1001&lt;&gt;"")*ISNUMBER(SEARCH(실물목록!$P$2:$P$1001,I2737))*(실물목록!$Q$2:$Q$1001&lt;&gt;"")*ISNUMBER(SEARCH(실물목록!$Q$2:$Q$1001,I2737))*(실물목록!$R$2:$R$1001="")*(실물목록!$O$2:$O$1001&lt;&gt;"")*(실물목록!$O$2:$O$1001=H2737)))</f>
      </c>
      <c r="H2737" t="str">
        <f>IFERROR(IF(AND(LEN(SUBSTITUTE(SUBSTITUTE(SUBSTITUTE(TRIM(A2737&amp;""),CHAR(160),"")," ",""),"년",""))=4,VALUE(SUBSTITUTE(SUBSTITUTE(SUBSTITUTE(TRIM(A2737&amp;""),CHAR(160),"")," ",""),"년",""))&gt;=1900,VALUE(SUBSTITUTE(SUBSTITUTE(SUBSTITUTE(TRIM(A2737&amp;""),CHAR(160),"")," ",""),"년",""))&lt;=2099,TEXT(VALUE(SUBSTITUTE(SUBSTITUTE(SUBSTITUTE(TRIM(A2737&amp;""),CHAR(160),"")," ",""),"년","")),"0000")=SUBSTITUTE(SUBSTITUTE(SUBSTITUTE(TRIM(A2737&amp;""),CHAR(160),"")," ",""),"년","")),SUBSTITUTE(SUBSTITUTE(SUBSTITUTE(TRIM(A2737&amp;""),CHAR(160),"")," ",""),"년",""),""),"")</f>
      </c>
      <c r="I2737" t="str">
        <f>SUBSTITUTE(SUBSTITUTE(SUBSTITUTE(SUBSTITUTE(SUBSTITUTE(TRIM(B2737&amp;""),CHAR(160),"")," ",""),"초등학교","초"),"중학교","중"),"고등학교","고")</f>
      </c>
    </row>
    <row r="2738" customFormat="false" ht="15" hidden="false" customHeight="false" outlineLevel="0" collapsed="false">
      <c r="A2738" s="8"/>
      <c r="B2738" s="8"/>
      <c r="C2738" s="8"/>
      <c r="D2738" s="8"/>
      <c r="E2738" s="8"/>
      <c r="F2738" t="str" s="15">
        <f aca="0">IF(B2738="","",IF(H2738="","확인필요(입력누락)",IF(SUMPRODUCT((실물목록!$P$2:$P$1001&lt;&gt;"")*ISNUMBER(SEARCH(실물목록!$P$2:$P$1001,I2738))*(실물목록!$Q$2:$Q$1001&lt;&gt;"")*ISNUMBER(SEARCH(실물목록!$Q$2:$Q$1001,I2738))*(실물목록!$R$2:$R$1001="")*(실물목록!$O$2:$O$1001&lt;&gt;"")*(실물목록!$O$2:$O$1001=H2738))&gt;0,"실물 있음",IF(SUMPRODUCT((실물목록!$P$2:$P$1001&lt;&gt;"")*ISNUMBER(SEARCH(실물목록!$P$2:$P$1001,I2738))*(실물목록!$R$2:$R$1001&lt;&gt;""))&gt;0,"확인필요(입력누락)",IF(SUMPRODUCT((실물목록!$P$2:$P$1001&lt;&gt;"")*ISNUMBER(SEARCH(실물목록!$P$2:$P$1001,I2738))*(실물목록!$Q$2:$Q$1001&lt;&gt;"")*ISNUMBER(SEARCH(실물목록!$Q$2:$Q$1001,I2738))*(실물목록!$R$2:$R$1001="")*(실물목록!$O$2:$O$1001&lt;&gt;""))&gt;0,"확인필요(연도다름)","실물 없음")))))</f>
      </c>
      <c r="G2738" t="n" s="16">
        <f aca="0">IF(B2738="","",SUMPRODUCT((실물목록!$P$2:$P$1001&lt;&gt;"")*ISNUMBER(SEARCH(실물목록!$P$2:$P$1001,I2738))*(실물목록!$Q$2:$Q$1001&lt;&gt;"")*ISNUMBER(SEARCH(실물목록!$Q$2:$Q$1001,I2738))*(실물목록!$R$2:$R$1001="")*(실물목록!$O$2:$O$1001&lt;&gt;"")*(실물목록!$O$2:$O$1001=H2738)))</f>
      </c>
      <c r="H2738" t="str">
        <f>IFERROR(IF(AND(LEN(SUBSTITUTE(SUBSTITUTE(SUBSTITUTE(TRIM(A2738&amp;""),CHAR(160),"")," ",""),"년",""))=4,VALUE(SUBSTITUTE(SUBSTITUTE(SUBSTITUTE(TRIM(A2738&amp;""),CHAR(160),"")," ",""),"년",""))&gt;=1900,VALUE(SUBSTITUTE(SUBSTITUTE(SUBSTITUTE(TRIM(A2738&amp;""),CHAR(160),"")," ",""),"년",""))&lt;=2099,TEXT(VALUE(SUBSTITUTE(SUBSTITUTE(SUBSTITUTE(TRIM(A2738&amp;""),CHAR(160),"")," ",""),"년","")),"0000")=SUBSTITUTE(SUBSTITUTE(SUBSTITUTE(TRIM(A2738&amp;""),CHAR(160),"")," ",""),"년","")),SUBSTITUTE(SUBSTITUTE(SUBSTITUTE(TRIM(A2738&amp;""),CHAR(160),"")," ",""),"년",""),""),"")</f>
      </c>
      <c r="I2738" t="str">
        <f>SUBSTITUTE(SUBSTITUTE(SUBSTITUTE(SUBSTITUTE(SUBSTITUTE(TRIM(B2738&amp;""),CHAR(160),"")," ",""),"초등학교","초"),"중학교","중"),"고등학교","고")</f>
      </c>
    </row>
    <row r="2739" customFormat="false" ht="15" hidden="false" customHeight="false" outlineLevel="0" collapsed="false">
      <c r="A2739" s="8"/>
      <c r="B2739" s="8"/>
      <c r="C2739" s="8"/>
      <c r="D2739" s="8"/>
      <c r="E2739" s="8"/>
      <c r="F2739" t="str" s="15">
        <f aca="0">IF(B2739="","",IF(H2739="","확인필요(입력누락)",IF(SUMPRODUCT((실물목록!$P$2:$P$1001&lt;&gt;"")*ISNUMBER(SEARCH(실물목록!$P$2:$P$1001,I2739))*(실물목록!$Q$2:$Q$1001&lt;&gt;"")*ISNUMBER(SEARCH(실물목록!$Q$2:$Q$1001,I2739))*(실물목록!$R$2:$R$1001="")*(실물목록!$O$2:$O$1001&lt;&gt;"")*(실물목록!$O$2:$O$1001=H2739))&gt;0,"실물 있음",IF(SUMPRODUCT((실물목록!$P$2:$P$1001&lt;&gt;"")*ISNUMBER(SEARCH(실물목록!$P$2:$P$1001,I2739))*(실물목록!$R$2:$R$1001&lt;&gt;""))&gt;0,"확인필요(입력누락)",IF(SUMPRODUCT((실물목록!$P$2:$P$1001&lt;&gt;"")*ISNUMBER(SEARCH(실물목록!$P$2:$P$1001,I2739))*(실물목록!$Q$2:$Q$1001&lt;&gt;"")*ISNUMBER(SEARCH(실물목록!$Q$2:$Q$1001,I2739))*(실물목록!$R$2:$R$1001="")*(실물목록!$O$2:$O$1001&lt;&gt;""))&gt;0,"확인필요(연도다름)","실물 없음")))))</f>
      </c>
      <c r="G2739" t="n" s="16">
        <f aca="0">IF(B2739="","",SUMPRODUCT((실물목록!$P$2:$P$1001&lt;&gt;"")*ISNUMBER(SEARCH(실물목록!$P$2:$P$1001,I2739))*(실물목록!$Q$2:$Q$1001&lt;&gt;"")*ISNUMBER(SEARCH(실물목록!$Q$2:$Q$1001,I2739))*(실물목록!$R$2:$R$1001="")*(실물목록!$O$2:$O$1001&lt;&gt;"")*(실물목록!$O$2:$O$1001=H2739)))</f>
      </c>
      <c r="H2739" t="str">
        <f>IFERROR(IF(AND(LEN(SUBSTITUTE(SUBSTITUTE(SUBSTITUTE(TRIM(A2739&amp;""),CHAR(160),"")," ",""),"년",""))=4,VALUE(SUBSTITUTE(SUBSTITUTE(SUBSTITUTE(TRIM(A2739&amp;""),CHAR(160),"")," ",""),"년",""))&gt;=1900,VALUE(SUBSTITUTE(SUBSTITUTE(SUBSTITUTE(TRIM(A2739&amp;""),CHAR(160),"")," ",""),"년",""))&lt;=2099,TEXT(VALUE(SUBSTITUTE(SUBSTITUTE(SUBSTITUTE(TRIM(A2739&amp;""),CHAR(160),"")," ",""),"년","")),"0000")=SUBSTITUTE(SUBSTITUTE(SUBSTITUTE(TRIM(A2739&amp;""),CHAR(160),"")," ",""),"년","")),SUBSTITUTE(SUBSTITUTE(SUBSTITUTE(TRIM(A2739&amp;""),CHAR(160),"")," ",""),"년",""),""),"")</f>
      </c>
      <c r="I2739" t="str">
        <f>SUBSTITUTE(SUBSTITUTE(SUBSTITUTE(SUBSTITUTE(SUBSTITUTE(TRIM(B2739&amp;""),CHAR(160),"")," ",""),"초등학교","초"),"중학교","중"),"고등학교","고")</f>
      </c>
    </row>
    <row r="2740" customFormat="false" ht="15" hidden="false" customHeight="false" outlineLevel="0" collapsed="false">
      <c r="A2740" s="8"/>
      <c r="B2740" s="8"/>
      <c r="C2740" s="8"/>
      <c r="D2740" s="8"/>
      <c r="E2740" s="8"/>
      <c r="F2740" t="str" s="15">
        <f aca="0">IF(B2740="","",IF(H2740="","확인필요(입력누락)",IF(SUMPRODUCT((실물목록!$P$2:$P$1001&lt;&gt;"")*ISNUMBER(SEARCH(실물목록!$P$2:$P$1001,I2740))*(실물목록!$Q$2:$Q$1001&lt;&gt;"")*ISNUMBER(SEARCH(실물목록!$Q$2:$Q$1001,I2740))*(실물목록!$R$2:$R$1001="")*(실물목록!$O$2:$O$1001&lt;&gt;"")*(실물목록!$O$2:$O$1001=H2740))&gt;0,"실물 있음",IF(SUMPRODUCT((실물목록!$P$2:$P$1001&lt;&gt;"")*ISNUMBER(SEARCH(실물목록!$P$2:$P$1001,I2740))*(실물목록!$R$2:$R$1001&lt;&gt;""))&gt;0,"확인필요(입력누락)",IF(SUMPRODUCT((실물목록!$P$2:$P$1001&lt;&gt;"")*ISNUMBER(SEARCH(실물목록!$P$2:$P$1001,I2740))*(실물목록!$Q$2:$Q$1001&lt;&gt;"")*ISNUMBER(SEARCH(실물목록!$Q$2:$Q$1001,I2740))*(실물목록!$R$2:$R$1001="")*(실물목록!$O$2:$O$1001&lt;&gt;""))&gt;0,"확인필요(연도다름)","실물 없음")))))</f>
      </c>
      <c r="G2740" t="n" s="16">
        <f aca="0">IF(B2740="","",SUMPRODUCT((실물목록!$P$2:$P$1001&lt;&gt;"")*ISNUMBER(SEARCH(실물목록!$P$2:$P$1001,I2740))*(실물목록!$Q$2:$Q$1001&lt;&gt;"")*ISNUMBER(SEARCH(실물목록!$Q$2:$Q$1001,I2740))*(실물목록!$R$2:$R$1001="")*(실물목록!$O$2:$O$1001&lt;&gt;"")*(실물목록!$O$2:$O$1001=H2740)))</f>
      </c>
      <c r="H2740" t="str">
        <f>IFERROR(IF(AND(LEN(SUBSTITUTE(SUBSTITUTE(SUBSTITUTE(TRIM(A2740&amp;""),CHAR(160),"")," ",""),"년",""))=4,VALUE(SUBSTITUTE(SUBSTITUTE(SUBSTITUTE(TRIM(A2740&amp;""),CHAR(160),"")," ",""),"년",""))&gt;=1900,VALUE(SUBSTITUTE(SUBSTITUTE(SUBSTITUTE(TRIM(A2740&amp;""),CHAR(160),"")," ",""),"년",""))&lt;=2099,TEXT(VALUE(SUBSTITUTE(SUBSTITUTE(SUBSTITUTE(TRIM(A2740&amp;""),CHAR(160),"")," ",""),"년","")),"0000")=SUBSTITUTE(SUBSTITUTE(SUBSTITUTE(TRIM(A2740&amp;""),CHAR(160),"")," ",""),"년","")),SUBSTITUTE(SUBSTITUTE(SUBSTITUTE(TRIM(A2740&amp;""),CHAR(160),"")," ",""),"년",""),""),"")</f>
      </c>
      <c r="I2740" t="str">
        <f>SUBSTITUTE(SUBSTITUTE(SUBSTITUTE(SUBSTITUTE(SUBSTITUTE(TRIM(B2740&amp;""),CHAR(160),"")," ",""),"초등학교","초"),"중학교","중"),"고등학교","고")</f>
      </c>
    </row>
    <row r="2741" customFormat="false" ht="15" hidden="false" customHeight="false" outlineLevel="0" collapsed="false">
      <c r="A2741" s="8"/>
      <c r="B2741" s="8"/>
      <c r="C2741" s="8"/>
      <c r="D2741" s="8"/>
      <c r="E2741" s="8"/>
      <c r="F2741" t="str" s="15">
        <f aca="0">IF(B2741="","",IF(H2741="","확인필요(입력누락)",IF(SUMPRODUCT((실물목록!$P$2:$P$1001&lt;&gt;"")*ISNUMBER(SEARCH(실물목록!$P$2:$P$1001,I2741))*(실물목록!$Q$2:$Q$1001&lt;&gt;"")*ISNUMBER(SEARCH(실물목록!$Q$2:$Q$1001,I2741))*(실물목록!$R$2:$R$1001="")*(실물목록!$O$2:$O$1001&lt;&gt;"")*(실물목록!$O$2:$O$1001=H2741))&gt;0,"실물 있음",IF(SUMPRODUCT((실물목록!$P$2:$P$1001&lt;&gt;"")*ISNUMBER(SEARCH(실물목록!$P$2:$P$1001,I2741))*(실물목록!$R$2:$R$1001&lt;&gt;""))&gt;0,"확인필요(입력누락)",IF(SUMPRODUCT((실물목록!$P$2:$P$1001&lt;&gt;"")*ISNUMBER(SEARCH(실물목록!$P$2:$P$1001,I2741))*(실물목록!$Q$2:$Q$1001&lt;&gt;"")*ISNUMBER(SEARCH(실물목록!$Q$2:$Q$1001,I2741))*(실물목록!$R$2:$R$1001="")*(실물목록!$O$2:$O$1001&lt;&gt;""))&gt;0,"확인필요(연도다름)","실물 없음")))))</f>
      </c>
      <c r="G2741" t="n" s="16">
        <f aca="0">IF(B2741="","",SUMPRODUCT((실물목록!$P$2:$P$1001&lt;&gt;"")*ISNUMBER(SEARCH(실물목록!$P$2:$P$1001,I2741))*(실물목록!$Q$2:$Q$1001&lt;&gt;"")*ISNUMBER(SEARCH(실물목록!$Q$2:$Q$1001,I2741))*(실물목록!$R$2:$R$1001="")*(실물목록!$O$2:$O$1001&lt;&gt;"")*(실물목록!$O$2:$O$1001=H2741)))</f>
      </c>
      <c r="H2741" t="str">
        <f>IFERROR(IF(AND(LEN(SUBSTITUTE(SUBSTITUTE(SUBSTITUTE(TRIM(A2741&amp;""),CHAR(160),"")," ",""),"년",""))=4,VALUE(SUBSTITUTE(SUBSTITUTE(SUBSTITUTE(TRIM(A2741&amp;""),CHAR(160),"")," ",""),"년",""))&gt;=1900,VALUE(SUBSTITUTE(SUBSTITUTE(SUBSTITUTE(TRIM(A2741&amp;""),CHAR(160),"")," ",""),"년",""))&lt;=2099,TEXT(VALUE(SUBSTITUTE(SUBSTITUTE(SUBSTITUTE(TRIM(A2741&amp;""),CHAR(160),"")," ",""),"년","")),"0000")=SUBSTITUTE(SUBSTITUTE(SUBSTITUTE(TRIM(A2741&amp;""),CHAR(160),"")," ",""),"년","")),SUBSTITUTE(SUBSTITUTE(SUBSTITUTE(TRIM(A2741&amp;""),CHAR(160),"")," ",""),"년",""),""),"")</f>
      </c>
      <c r="I2741" t="str">
        <f>SUBSTITUTE(SUBSTITUTE(SUBSTITUTE(SUBSTITUTE(SUBSTITUTE(TRIM(B2741&amp;""),CHAR(160),"")," ",""),"초등학교","초"),"중학교","중"),"고등학교","고")</f>
      </c>
    </row>
    <row r="2742" customFormat="false" ht="15" hidden="false" customHeight="false" outlineLevel="0" collapsed="false">
      <c r="A2742" s="8"/>
      <c r="B2742" s="8"/>
      <c r="C2742" s="8"/>
      <c r="D2742" s="8"/>
      <c r="E2742" s="8"/>
      <c r="F2742" t="str" s="15">
        <f aca="0">IF(B2742="","",IF(H2742="","확인필요(입력누락)",IF(SUMPRODUCT((실물목록!$P$2:$P$1001&lt;&gt;"")*ISNUMBER(SEARCH(실물목록!$P$2:$P$1001,I2742))*(실물목록!$Q$2:$Q$1001&lt;&gt;"")*ISNUMBER(SEARCH(실물목록!$Q$2:$Q$1001,I2742))*(실물목록!$R$2:$R$1001="")*(실물목록!$O$2:$O$1001&lt;&gt;"")*(실물목록!$O$2:$O$1001=H2742))&gt;0,"실물 있음",IF(SUMPRODUCT((실물목록!$P$2:$P$1001&lt;&gt;"")*ISNUMBER(SEARCH(실물목록!$P$2:$P$1001,I2742))*(실물목록!$R$2:$R$1001&lt;&gt;""))&gt;0,"확인필요(입력누락)",IF(SUMPRODUCT((실물목록!$P$2:$P$1001&lt;&gt;"")*ISNUMBER(SEARCH(실물목록!$P$2:$P$1001,I2742))*(실물목록!$Q$2:$Q$1001&lt;&gt;"")*ISNUMBER(SEARCH(실물목록!$Q$2:$Q$1001,I2742))*(실물목록!$R$2:$R$1001="")*(실물목록!$O$2:$O$1001&lt;&gt;""))&gt;0,"확인필요(연도다름)","실물 없음")))))</f>
      </c>
      <c r="G2742" t="n" s="16">
        <f aca="0">IF(B2742="","",SUMPRODUCT((실물목록!$P$2:$P$1001&lt;&gt;"")*ISNUMBER(SEARCH(실물목록!$P$2:$P$1001,I2742))*(실물목록!$Q$2:$Q$1001&lt;&gt;"")*ISNUMBER(SEARCH(실물목록!$Q$2:$Q$1001,I2742))*(실물목록!$R$2:$R$1001="")*(실물목록!$O$2:$O$1001&lt;&gt;"")*(실물목록!$O$2:$O$1001=H2742)))</f>
      </c>
      <c r="H2742" t="str">
        <f>IFERROR(IF(AND(LEN(SUBSTITUTE(SUBSTITUTE(SUBSTITUTE(TRIM(A2742&amp;""),CHAR(160),"")," ",""),"년",""))=4,VALUE(SUBSTITUTE(SUBSTITUTE(SUBSTITUTE(TRIM(A2742&amp;""),CHAR(160),"")," ",""),"년",""))&gt;=1900,VALUE(SUBSTITUTE(SUBSTITUTE(SUBSTITUTE(TRIM(A2742&amp;""),CHAR(160),"")," ",""),"년",""))&lt;=2099,TEXT(VALUE(SUBSTITUTE(SUBSTITUTE(SUBSTITUTE(TRIM(A2742&amp;""),CHAR(160),"")," ",""),"년","")),"0000")=SUBSTITUTE(SUBSTITUTE(SUBSTITUTE(TRIM(A2742&amp;""),CHAR(160),"")," ",""),"년","")),SUBSTITUTE(SUBSTITUTE(SUBSTITUTE(TRIM(A2742&amp;""),CHAR(160),"")," ",""),"년",""),""),"")</f>
      </c>
      <c r="I2742" t="str">
        <f>SUBSTITUTE(SUBSTITUTE(SUBSTITUTE(SUBSTITUTE(SUBSTITUTE(TRIM(B2742&amp;""),CHAR(160),"")," ",""),"초등학교","초"),"중학교","중"),"고등학교","고")</f>
      </c>
    </row>
    <row r="2743" customFormat="false" ht="15" hidden="false" customHeight="false" outlineLevel="0" collapsed="false">
      <c r="A2743" s="8"/>
      <c r="B2743" s="8"/>
      <c r="C2743" s="8"/>
      <c r="D2743" s="8"/>
      <c r="E2743" s="8"/>
      <c r="F2743" t="str" s="15">
        <f aca="0">IF(B2743="","",IF(H2743="","확인필요(입력누락)",IF(SUMPRODUCT((실물목록!$P$2:$P$1001&lt;&gt;"")*ISNUMBER(SEARCH(실물목록!$P$2:$P$1001,I2743))*(실물목록!$Q$2:$Q$1001&lt;&gt;"")*ISNUMBER(SEARCH(실물목록!$Q$2:$Q$1001,I2743))*(실물목록!$R$2:$R$1001="")*(실물목록!$O$2:$O$1001&lt;&gt;"")*(실물목록!$O$2:$O$1001=H2743))&gt;0,"실물 있음",IF(SUMPRODUCT((실물목록!$P$2:$P$1001&lt;&gt;"")*ISNUMBER(SEARCH(실물목록!$P$2:$P$1001,I2743))*(실물목록!$R$2:$R$1001&lt;&gt;""))&gt;0,"확인필요(입력누락)",IF(SUMPRODUCT((실물목록!$P$2:$P$1001&lt;&gt;"")*ISNUMBER(SEARCH(실물목록!$P$2:$P$1001,I2743))*(실물목록!$Q$2:$Q$1001&lt;&gt;"")*ISNUMBER(SEARCH(실물목록!$Q$2:$Q$1001,I2743))*(실물목록!$R$2:$R$1001="")*(실물목록!$O$2:$O$1001&lt;&gt;""))&gt;0,"확인필요(연도다름)","실물 없음")))))</f>
      </c>
      <c r="G2743" t="n" s="16">
        <f aca="0">IF(B2743="","",SUMPRODUCT((실물목록!$P$2:$P$1001&lt;&gt;"")*ISNUMBER(SEARCH(실물목록!$P$2:$P$1001,I2743))*(실물목록!$Q$2:$Q$1001&lt;&gt;"")*ISNUMBER(SEARCH(실물목록!$Q$2:$Q$1001,I2743))*(실물목록!$R$2:$R$1001="")*(실물목록!$O$2:$O$1001&lt;&gt;"")*(실물목록!$O$2:$O$1001=H2743)))</f>
      </c>
      <c r="H2743" t="str">
        <f>IFERROR(IF(AND(LEN(SUBSTITUTE(SUBSTITUTE(SUBSTITUTE(TRIM(A2743&amp;""),CHAR(160),"")," ",""),"년",""))=4,VALUE(SUBSTITUTE(SUBSTITUTE(SUBSTITUTE(TRIM(A2743&amp;""),CHAR(160),"")," ",""),"년",""))&gt;=1900,VALUE(SUBSTITUTE(SUBSTITUTE(SUBSTITUTE(TRIM(A2743&amp;""),CHAR(160),"")," ",""),"년",""))&lt;=2099,TEXT(VALUE(SUBSTITUTE(SUBSTITUTE(SUBSTITUTE(TRIM(A2743&amp;""),CHAR(160),"")," ",""),"년","")),"0000")=SUBSTITUTE(SUBSTITUTE(SUBSTITUTE(TRIM(A2743&amp;""),CHAR(160),"")," ",""),"년","")),SUBSTITUTE(SUBSTITUTE(SUBSTITUTE(TRIM(A2743&amp;""),CHAR(160),"")," ",""),"년",""),""),"")</f>
      </c>
      <c r="I2743" t="str">
        <f>SUBSTITUTE(SUBSTITUTE(SUBSTITUTE(SUBSTITUTE(SUBSTITUTE(TRIM(B2743&amp;""),CHAR(160),"")," ",""),"초등학교","초"),"중학교","중"),"고등학교","고")</f>
      </c>
    </row>
    <row r="2744" customFormat="false" ht="15" hidden="false" customHeight="false" outlineLevel="0" collapsed="false">
      <c r="A2744" s="8"/>
      <c r="B2744" s="8"/>
      <c r="C2744" s="8"/>
      <c r="D2744" s="8"/>
      <c r="E2744" s="8"/>
      <c r="F2744" t="str" s="15">
        <f aca="0">IF(B2744="","",IF(H2744="","확인필요(입력누락)",IF(SUMPRODUCT((실물목록!$P$2:$P$1001&lt;&gt;"")*ISNUMBER(SEARCH(실물목록!$P$2:$P$1001,I2744))*(실물목록!$Q$2:$Q$1001&lt;&gt;"")*ISNUMBER(SEARCH(실물목록!$Q$2:$Q$1001,I2744))*(실물목록!$R$2:$R$1001="")*(실물목록!$O$2:$O$1001&lt;&gt;"")*(실물목록!$O$2:$O$1001=H2744))&gt;0,"실물 있음",IF(SUMPRODUCT((실물목록!$P$2:$P$1001&lt;&gt;"")*ISNUMBER(SEARCH(실물목록!$P$2:$P$1001,I2744))*(실물목록!$R$2:$R$1001&lt;&gt;""))&gt;0,"확인필요(입력누락)",IF(SUMPRODUCT((실물목록!$P$2:$P$1001&lt;&gt;"")*ISNUMBER(SEARCH(실물목록!$P$2:$P$1001,I2744))*(실물목록!$Q$2:$Q$1001&lt;&gt;"")*ISNUMBER(SEARCH(실물목록!$Q$2:$Q$1001,I2744))*(실물목록!$R$2:$R$1001="")*(실물목록!$O$2:$O$1001&lt;&gt;""))&gt;0,"확인필요(연도다름)","실물 없음")))))</f>
      </c>
      <c r="G2744" t="n" s="16">
        <f aca="0">IF(B2744="","",SUMPRODUCT((실물목록!$P$2:$P$1001&lt;&gt;"")*ISNUMBER(SEARCH(실물목록!$P$2:$P$1001,I2744))*(실물목록!$Q$2:$Q$1001&lt;&gt;"")*ISNUMBER(SEARCH(실물목록!$Q$2:$Q$1001,I2744))*(실물목록!$R$2:$R$1001="")*(실물목록!$O$2:$O$1001&lt;&gt;"")*(실물목록!$O$2:$O$1001=H2744)))</f>
      </c>
      <c r="H2744" t="str">
        <f>IFERROR(IF(AND(LEN(SUBSTITUTE(SUBSTITUTE(SUBSTITUTE(TRIM(A2744&amp;""),CHAR(160),"")," ",""),"년",""))=4,VALUE(SUBSTITUTE(SUBSTITUTE(SUBSTITUTE(TRIM(A2744&amp;""),CHAR(160),"")," ",""),"년",""))&gt;=1900,VALUE(SUBSTITUTE(SUBSTITUTE(SUBSTITUTE(TRIM(A2744&amp;""),CHAR(160),"")," ",""),"년",""))&lt;=2099,TEXT(VALUE(SUBSTITUTE(SUBSTITUTE(SUBSTITUTE(TRIM(A2744&amp;""),CHAR(160),"")," ",""),"년","")),"0000")=SUBSTITUTE(SUBSTITUTE(SUBSTITUTE(TRIM(A2744&amp;""),CHAR(160),"")," ",""),"년","")),SUBSTITUTE(SUBSTITUTE(SUBSTITUTE(TRIM(A2744&amp;""),CHAR(160),"")," ",""),"년",""),""),"")</f>
      </c>
      <c r="I2744" t="str">
        <f>SUBSTITUTE(SUBSTITUTE(SUBSTITUTE(SUBSTITUTE(SUBSTITUTE(TRIM(B2744&amp;""),CHAR(160),"")," ",""),"초등학교","초"),"중학교","중"),"고등학교","고")</f>
      </c>
    </row>
    <row r="2745" customFormat="false" ht="15" hidden="false" customHeight="false" outlineLevel="0" collapsed="false">
      <c r="A2745" s="8"/>
      <c r="B2745" s="8"/>
      <c r="C2745" s="8"/>
      <c r="D2745" s="8"/>
      <c r="E2745" s="8"/>
      <c r="F2745" t="str" s="15">
        <f aca="0">IF(B2745="","",IF(H2745="","확인필요(입력누락)",IF(SUMPRODUCT((실물목록!$P$2:$P$1001&lt;&gt;"")*ISNUMBER(SEARCH(실물목록!$P$2:$P$1001,I2745))*(실물목록!$Q$2:$Q$1001&lt;&gt;"")*ISNUMBER(SEARCH(실물목록!$Q$2:$Q$1001,I2745))*(실물목록!$R$2:$R$1001="")*(실물목록!$O$2:$O$1001&lt;&gt;"")*(실물목록!$O$2:$O$1001=H2745))&gt;0,"실물 있음",IF(SUMPRODUCT((실물목록!$P$2:$P$1001&lt;&gt;"")*ISNUMBER(SEARCH(실물목록!$P$2:$P$1001,I2745))*(실물목록!$R$2:$R$1001&lt;&gt;""))&gt;0,"확인필요(입력누락)",IF(SUMPRODUCT((실물목록!$P$2:$P$1001&lt;&gt;"")*ISNUMBER(SEARCH(실물목록!$P$2:$P$1001,I2745))*(실물목록!$Q$2:$Q$1001&lt;&gt;"")*ISNUMBER(SEARCH(실물목록!$Q$2:$Q$1001,I2745))*(실물목록!$R$2:$R$1001="")*(실물목록!$O$2:$O$1001&lt;&gt;""))&gt;0,"확인필요(연도다름)","실물 없음")))))</f>
      </c>
      <c r="G2745" t="n" s="16">
        <f aca="0">IF(B2745="","",SUMPRODUCT((실물목록!$P$2:$P$1001&lt;&gt;"")*ISNUMBER(SEARCH(실물목록!$P$2:$P$1001,I2745))*(실물목록!$Q$2:$Q$1001&lt;&gt;"")*ISNUMBER(SEARCH(실물목록!$Q$2:$Q$1001,I2745))*(실물목록!$R$2:$R$1001="")*(실물목록!$O$2:$O$1001&lt;&gt;"")*(실물목록!$O$2:$O$1001=H2745)))</f>
      </c>
      <c r="H2745" t="str">
        <f>IFERROR(IF(AND(LEN(SUBSTITUTE(SUBSTITUTE(SUBSTITUTE(TRIM(A2745&amp;""),CHAR(160),"")," ",""),"년",""))=4,VALUE(SUBSTITUTE(SUBSTITUTE(SUBSTITUTE(TRIM(A2745&amp;""),CHAR(160),"")," ",""),"년",""))&gt;=1900,VALUE(SUBSTITUTE(SUBSTITUTE(SUBSTITUTE(TRIM(A2745&amp;""),CHAR(160),"")," ",""),"년",""))&lt;=2099,TEXT(VALUE(SUBSTITUTE(SUBSTITUTE(SUBSTITUTE(TRIM(A2745&amp;""),CHAR(160),"")," ",""),"년","")),"0000")=SUBSTITUTE(SUBSTITUTE(SUBSTITUTE(TRIM(A2745&amp;""),CHAR(160),"")," ",""),"년","")),SUBSTITUTE(SUBSTITUTE(SUBSTITUTE(TRIM(A2745&amp;""),CHAR(160),"")," ",""),"년",""),""),"")</f>
      </c>
      <c r="I2745" t="str">
        <f>SUBSTITUTE(SUBSTITUTE(SUBSTITUTE(SUBSTITUTE(SUBSTITUTE(TRIM(B2745&amp;""),CHAR(160),"")," ",""),"초등학교","초"),"중학교","중"),"고등학교","고")</f>
      </c>
    </row>
    <row r="2746" customFormat="false" ht="15" hidden="false" customHeight="false" outlineLevel="0" collapsed="false">
      <c r="A2746" s="8"/>
      <c r="B2746" s="8"/>
      <c r="C2746" s="8"/>
      <c r="D2746" s="8"/>
      <c r="E2746" s="8"/>
      <c r="F2746" t="str" s="15">
        <f aca="0">IF(B2746="","",IF(H2746="","확인필요(입력누락)",IF(SUMPRODUCT((실물목록!$P$2:$P$1001&lt;&gt;"")*ISNUMBER(SEARCH(실물목록!$P$2:$P$1001,I2746))*(실물목록!$Q$2:$Q$1001&lt;&gt;"")*ISNUMBER(SEARCH(실물목록!$Q$2:$Q$1001,I2746))*(실물목록!$R$2:$R$1001="")*(실물목록!$O$2:$O$1001&lt;&gt;"")*(실물목록!$O$2:$O$1001=H2746))&gt;0,"실물 있음",IF(SUMPRODUCT((실물목록!$P$2:$P$1001&lt;&gt;"")*ISNUMBER(SEARCH(실물목록!$P$2:$P$1001,I2746))*(실물목록!$R$2:$R$1001&lt;&gt;""))&gt;0,"확인필요(입력누락)",IF(SUMPRODUCT((실물목록!$P$2:$P$1001&lt;&gt;"")*ISNUMBER(SEARCH(실물목록!$P$2:$P$1001,I2746))*(실물목록!$Q$2:$Q$1001&lt;&gt;"")*ISNUMBER(SEARCH(실물목록!$Q$2:$Q$1001,I2746))*(실물목록!$R$2:$R$1001="")*(실물목록!$O$2:$O$1001&lt;&gt;""))&gt;0,"확인필요(연도다름)","실물 없음")))))</f>
      </c>
      <c r="G2746" t="n" s="16">
        <f aca="0">IF(B2746="","",SUMPRODUCT((실물목록!$P$2:$P$1001&lt;&gt;"")*ISNUMBER(SEARCH(실물목록!$P$2:$P$1001,I2746))*(실물목록!$Q$2:$Q$1001&lt;&gt;"")*ISNUMBER(SEARCH(실물목록!$Q$2:$Q$1001,I2746))*(실물목록!$R$2:$R$1001="")*(실물목록!$O$2:$O$1001&lt;&gt;"")*(실물목록!$O$2:$O$1001=H2746)))</f>
      </c>
      <c r="H2746" t="str">
        <f>IFERROR(IF(AND(LEN(SUBSTITUTE(SUBSTITUTE(SUBSTITUTE(TRIM(A2746&amp;""),CHAR(160),"")," ",""),"년",""))=4,VALUE(SUBSTITUTE(SUBSTITUTE(SUBSTITUTE(TRIM(A2746&amp;""),CHAR(160),"")," ",""),"년",""))&gt;=1900,VALUE(SUBSTITUTE(SUBSTITUTE(SUBSTITUTE(TRIM(A2746&amp;""),CHAR(160),"")," ",""),"년",""))&lt;=2099,TEXT(VALUE(SUBSTITUTE(SUBSTITUTE(SUBSTITUTE(TRIM(A2746&amp;""),CHAR(160),"")," ",""),"년","")),"0000")=SUBSTITUTE(SUBSTITUTE(SUBSTITUTE(TRIM(A2746&amp;""),CHAR(160),"")," ",""),"년","")),SUBSTITUTE(SUBSTITUTE(SUBSTITUTE(TRIM(A2746&amp;""),CHAR(160),"")," ",""),"년",""),""),"")</f>
      </c>
      <c r="I2746" t="str">
        <f>SUBSTITUTE(SUBSTITUTE(SUBSTITUTE(SUBSTITUTE(SUBSTITUTE(TRIM(B2746&amp;""),CHAR(160),"")," ",""),"초등학교","초"),"중학교","중"),"고등학교","고")</f>
      </c>
    </row>
    <row r="2747" customFormat="false" ht="15" hidden="false" customHeight="false" outlineLevel="0" collapsed="false">
      <c r="A2747" s="8"/>
      <c r="B2747" s="8"/>
      <c r="C2747" s="8"/>
      <c r="D2747" s="8"/>
      <c r="E2747" s="8"/>
      <c r="F2747" t="str" s="15">
        <f aca="0">IF(B2747="","",IF(H2747="","확인필요(입력누락)",IF(SUMPRODUCT((실물목록!$P$2:$P$1001&lt;&gt;"")*ISNUMBER(SEARCH(실물목록!$P$2:$P$1001,I2747))*(실물목록!$Q$2:$Q$1001&lt;&gt;"")*ISNUMBER(SEARCH(실물목록!$Q$2:$Q$1001,I2747))*(실물목록!$R$2:$R$1001="")*(실물목록!$O$2:$O$1001&lt;&gt;"")*(실물목록!$O$2:$O$1001=H2747))&gt;0,"실물 있음",IF(SUMPRODUCT((실물목록!$P$2:$P$1001&lt;&gt;"")*ISNUMBER(SEARCH(실물목록!$P$2:$P$1001,I2747))*(실물목록!$R$2:$R$1001&lt;&gt;""))&gt;0,"확인필요(입력누락)",IF(SUMPRODUCT((실물목록!$P$2:$P$1001&lt;&gt;"")*ISNUMBER(SEARCH(실물목록!$P$2:$P$1001,I2747))*(실물목록!$Q$2:$Q$1001&lt;&gt;"")*ISNUMBER(SEARCH(실물목록!$Q$2:$Q$1001,I2747))*(실물목록!$R$2:$R$1001="")*(실물목록!$O$2:$O$1001&lt;&gt;""))&gt;0,"확인필요(연도다름)","실물 없음")))))</f>
      </c>
      <c r="G2747" t="n" s="16">
        <f aca="0">IF(B2747="","",SUMPRODUCT((실물목록!$P$2:$P$1001&lt;&gt;"")*ISNUMBER(SEARCH(실물목록!$P$2:$P$1001,I2747))*(실물목록!$Q$2:$Q$1001&lt;&gt;"")*ISNUMBER(SEARCH(실물목록!$Q$2:$Q$1001,I2747))*(실물목록!$R$2:$R$1001="")*(실물목록!$O$2:$O$1001&lt;&gt;"")*(실물목록!$O$2:$O$1001=H2747)))</f>
      </c>
      <c r="H2747" t="str">
        <f>IFERROR(IF(AND(LEN(SUBSTITUTE(SUBSTITUTE(SUBSTITUTE(TRIM(A2747&amp;""),CHAR(160),"")," ",""),"년",""))=4,VALUE(SUBSTITUTE(SUBSTITUTE(SUBSTITUTE(TRIM(A2747&amp;""),CHAR(160),"")," ",""),"년",""))&gt;=1900,VALUE(SUBSTITUTE(SUBSTITUTE(SUBSTITUTE(TRIM(A2747&amp;""),CHAR(160),"")," ",""),"년",""))&lt;=2099,TEXT(VALUE(SUBSTITUTE(SUBSTITUTE(SUBSTITUTE(TRIM(A2747&amp;""),CHAR(160),"")," ",""),"년","")),"0000")=SUBSTITUTE(SUBSTITUTE(SUBSTITUTE(TRIM(A2747&amp;""),CHAR(160),"")," ",""),"년","")),SUBSTITUTE(SUBSTITUTE(SUBSTITUTE(TRIM(A2747&amp;""),CHAR(160),"")," ",""),"년",""),""),"")</f>
      </c>
      <c r="I2747" t="str">
        <f>SUBSTITUTE(SUBSTITUTE(SUBSTITUTE(SUBSTITUTE(SUBSTITUTE(TRIM(B2747&amp;""),CHAR(160),"")," ",""),"초등학교","초"),"중학교","중"),"고등학교","고")</f>
      </c>
    </row>
    <row r="2748" customFormat="false" ht="15" hidden="false" customHeight="false" outlineLevel="0" collapsed="false">
      <c r="A2748" s="8"/>
      <c r="B2748" s="8"/>
      <c r="C2748" s="8"/>
      <c r="D2748" s="8"/>
      <c r="E2748" s="8"/>
      <c r="F2748" t="str" s="15">
        <f aca="0">IF(B2748="","",IF(H2748="","확인필요(입력누락)",IF(SUMPRODUCT((실물목록!$P$2:$P$1001&lt;&gt;"")*ISNUMBER(SEARCH(실물목록!$P$2:$P$1001,I2748))*(실물목록!$Q$2:$Q$1001&lt;&gt;"")*ISNUMBER(SEARCH(실물목록!$Q$2:$Q$1001,I2748))*(실물목록!$R$2:$R$1001="")*(실물목록!$O$2:$O$1001&lt;&gt;"")*(실물목록!$O$2:$O$1001=H2748))&gt;0,"실물 있음",IF(SUMPRODUCT((실물목록!$P$2:$P$1001&lt;&gt;"")*ISNUMBER(SEARCH(실물목록!$P$2:$P$1001,I2748))*(실물목록!$R$2:$R$1001&lt;&gt;""))&gt;0,"확인필요(입력누락)",IF(SUMPRODUCT((실물목록!$P$2:$P$1001&lt;&gt;"")*ISNUMBER(SEARCH(실물목록!$P$2:$P$1001,I2748))*(실물목록!$Q$2:$Q$1001&lt;&gt;"")*ISNUMBER(SEARCH(실물목록!$Q$2:$Q$1001,I2748))*(실물목록!$R$2:$R$1001="")*(실물목록!$O$2:$O$1001&lt;&gt;""))&gt;0,"확인필요(연도다름)","실물 없음")))))</f>
      </c>
      <c r="G2748" t="n" s="16">
        <f aca="0">IF(B2748="","",SUMPRODUCT((실물목록!$P$2:$P$1001&lt;&gt;"")*ISNUMBER(SEARCH(실물목록!$P$2:$P$1001,I2748))*(실물목록!$Q$2:$Q$1001&lt;&gt;"")*ISNUMBER(SEARCH(실물목록!$Q$2:$Q$1001,I2748))*(실물목록!$R$2:$R$1001="")*(실물목록!$O$2:$O$1001&lt;&gt;"")*(실물목록!$O$2:$O$1001=H2748)))</f>
      </c>
      <c r="H2748" t="str">
        <f>IFERROR(IF(AND(LEN(SUBSTITUTE(SUBSTITUTE(SUBSTITUTE(TRIM(A2748&amp;""),CHAR(160),"")," ",""),"년",""))=4,VALUE(SUBSTITUTE(SUBSTITUTE(SUBSTITUTE(TRIM(A2748&amp;""),CHAR(160),"")," ",""),"년",""))&gt;=1900,VALUE(SUBSTITUTE(SUBSTITUTE(SUBSTITUTE(TRIM(A2748&amp;""),CHAR(160),"")," ",""),"년",""))&lt;=2099,TEXT(VALUE(SUBSTITUTE(SUBSTITUTE(SUBSTITUTE(TRIM(A2748&amp;""),CHAR(160),"")," ",""),"년","")),"0000")=SUBSTITUTE(SUBSTITUTE(SUBSTITUTE(TRIM(A2748&amp;""),CHAR(160),"")," ",""),"년","")),SUBSTITUTE(SUBSTITUTE(SUBSTITUTE(TRIM(A2748&amp;""),CHAR(160),"")," ",""),"년",""),""),"")</f>
      </c>
      <c r="I2748" t="str">
        <f>SUBSTITUTE(SUBSTITUTE(SUBSTITUTE(SUBSTITUTE(SUBSTITUTE(TRIM(B2748&amp;""),CHAR(160),"")," ",""),"초등학교","초"),"중학교","중"),"고등학교","고")</f>
      </c>
    </row>
    <row r="2749" customFormat="false" ht="15" hidden="false" customHeight="false" outlineLevel="0" collapsed="false">
      <c r="A2749" s="8"/>
      <c r="B2749" s="8"/>
      <c r="C2749" s="8"/>
      <c r="D2749" s="8"/>
      <c r="E2749" s="8"/>
      <c r="F2749" t="str" s="15">
        <f aca="0">IF(B2749="","",IF(H2749="","확인필요(입력누락)",IF(SUMPRODUCT((실물목록!$P$2:$P$1001&lt;&gt;"")*ISNUMBER(SEARCH(실물목록!$P$2:$P$1001,I2749))*(실물목록!$Q$2:$Q$1001&lt;&gt;"")*ISNUMBER(SEARCH(실물목록!$Q$2:$Q$1001,I2749))*(실물목록!$R$2:$R$1001="")*(실물목록!$O$2:$O$1001&lt;&gt;"")*(실물목록!$O$2:$O$1001=H2749))&gt;0,"실물 있음",IF(SUMPRODUCT((실물목록!$P$2:$P$1001&lt;&gt;"")*ISNUMBER(SEARCH(실물목록!$P$2:$P$1001,I2749))*(실물목록!$R$2:$R$1001&lt;&gt;""))&gt;0,"확인필요(입력누락)",IF(SUMPRODUCT((실물목록!$P$2:$P$1001&lt;&gt;"")*ISNUMBER(SEARCH(실물목록!$P$2:$P$1001,I2749))*(실물목록!$Q$2:$Q$1001&lt;&gt;"")*ISNUMBER(SEARCH(실물목록!$Q$2:$Q$1001,I2749))*(실물목록!$R$2:$R$1001="")*(실물목록!$O$2:$O$1001&lt;&gt;""))&gt;0,"확인필요(연도다름)","실물 없음")))))</f>
      </c>
      <c r="G2749" t="n" s="16">
        <f aca="0">IF(B2749="","",SUMPRODUCT((실물목록!$P$2:$P$1001&lt;&gt;"")*ISNUMBER(SEARCH(실물목록!$P$2:$P$1001,I2749))*(실물목록!$Q$2:$Q$1001&lt;&gt;"")*ISNUMBER(SEARCH(실물목록!$Q$2:$Q$1001,I2749))*(실물목록!$R$2:$R$1001="")*(실물목록!$O$2:$O$1001&lt;&gt;"")*(실물목록!$O$2:$O$1001=H2749)))</f>
      </c>
      <c r="H2749" t="str">
        <f>IFERROR(IF(AND(LEN(SUBSTITUTE(SUBSTITUTE(SUBSTITUTE(TRIM(A2749&amp;""),CHAR(160),"")," ",""),"년",""))=4,VALUE(SUBSTITUTE(SUBSTITUTE(SUBSTITUTE(TRIM(A2749&amp;""),CHAR(160),"")," ",""),"년",""))&gt;=1900,VALUE(SUBSTITUTE(SUBSTITUTE(SUBSTITUTE(TRIM(A2749&amp;""),CHAR(160),"")," ",""),"년",""))&lt;=2099,TEXT(VALUE(SUBSTITUTE(SUBSTITUTE(SUBSTITUTE(TRIM(A2749&amp;""),CHAR(160),"")," ",""),"년","")),"0000")=SUBSTITUTE(SUBSTITUTE(SUBSTITUTE(TRIM(A2749&amp;""),CHAR(160),"")," ",""),"년","")),SUBSTITUTE(SUBSTITUTE(SUBSTITUTE(TRIM(A2749&amp;""),CHAR(160),"")," ",""),"년",""),""),"")</f>
      </c>
      <c r="I2749" t="str">
        <f>SUBSTITUTE(SUBSTITUTE(SUBSTITUTE(SUBSTITUTE(SUBSTITUTE(TRIM(B2749&amp;""),CHAR(160),"")," ",""),"초등학교","초"),"중학교","중"),"고등학교","고")</f>
      </c>
    </row>
    <row r="2750" customFormat="false" ht="15" hidden="false" customHeight="false" outlineLevel="0" collapsed="false">
      <c r="A2750" s="8"/>
      <c r="B2750" s="8"/>
      <c r="C2750" s="8"/>
      <c r="D2750" s="8"/>
      <c r="E2750" s="8"/>
      <c r="F2750" t="str" s="15">
        <f aca="0">IF(B2750="","",IF(H2750="","확인필요(입력누락)",IF(SUMPRODUCT((실물목록!$P$2:$P$1001&lt;&gt;"")*ISNUMBER(SEARCH(실물목록!$P$2:$P$1001,I2750))*(실물목록!$Q$2:$Q$1001&lt;&gt;"")*ISNUMBER(SEARCH(실물목록!$Q$2:$Q$1001,I2750))*(실물목록!$R$2:$R$1001="")*(실물목록!$O$2:$O$1001&lt;&gt;"")*(실물목록!$O$2:$O$1001=H2750))&gt;0,"실물 있음",IF(SUMPRODUCT((실물목록!$P$2:$P$1001&lt;&gt;"")*ISNUMBER(SEARCH(실물목록!$P$2:$P$1001,I2750))*(실물목록!$R$2:$R$1001&lt;&gt;""))&gt;0,"확인필요(입력누락)",IF(SUMPRODUCT((실물목록!$P$2:$P$1001&lt;&gt;"")*ISNUMBER(SEARCH(실물목록!$P$2:$P$1001,I2750))*(실물목록!$Q$2:$Q$1001&lt;&gt;"")*ISNUMBER(SEARCH(실물목록!$Q$2:$Q$1001,I2750))*(실물목록!$R$2:$R$1001="")*(실물목록!$O$2:$O$1001&lt;&gt;""))&gt;0,"확인필요(연도다름)","실물 없음")))))</f>
      </c>
      <c r="G2750" t="n" s="16">
        <f aca="0">IF(B2750="","",SUMPRODUCT((실물목록!$P$2:$P$1001&lt;&gt;"")*ISNUMBER(SEARCH(실물목록!$P$2:$P$1001,I2750))*(실물목록!$Q$2:$Q$1001&lt;&gt;"")*ISNUMBER(SEARCH(실물목록!$Q$2:$Q$1001,I2750))*(실물목록!$R$2:$R$1001="")*(실물목록!$O$2:$O$1001&lt;&gt;"")*(실물목록!$O$2:$O$1001=H2750)))</f>
      </c>
      <c r="H2750" t="str">
        <f>IFERROR(IF(AND(LEN(SUBSTITUTE(SUBSTITUTE(SUBSTITUTE(TRIM(A2750&amp;""),CHAR(160),"")," ",""),"년",""))=4,VALUE(SUBSTITUTE(SUBSTITUTE(SUBSTITUTE(TRIM(A2750&amp;""),CHAR(160),"")," ",""),"년",""))&gt;=1900,VALUE(SUBSTITUTE(SUBSTITUTE(SUBSTITUTE(TRIM(A2750&amp;""),CHAR(160),"")," ",""),"년",""))&lt;=2099,TEXT(VALUE(SUBSTITUTE(SUBSTITUTE(SUBSTITUTE(TRIM(A2750&amp;""),CHAR(160),"")," ",""),"년","")),"0000")=SUBSTITUTE(SUBSTITUTE(SUBSTITUTE(TRIM(A2750&amp;""),CHAR(160),"")," ",""),"년","")),SUBSTITUTE(SUBSTITUTE(SUBSTITUTE(TRIM(A2750&amp;""),CHAR(160),"")," ",""),"년",""),""),"")</f>
      </c>
      <c r="I2750" t="str">
        <f>SUBSTITUTE(SUBSTITUTE(SUBSTITUTE(SUBSTITUTE(SUBSTITUTE(TRIM(B2750&amp;""),CHAR(160),"")," ",""),"초등학교","초"),"중학교","중"),"고등학교","고")</f>
      </c>
    </row>
    <row r="2751" customFormat="false" ht="15" hidden="false" customHeight="false" outlineLevel="0" collapsed="false">
      <c r="A2751" s="8"/>
      <c r="B2751" s="8"/>
      <c r="C2751" s="8"/>
      <c r="D2751" s="8"/>
      <c r="E2751" s="8"/>
      <c r="F2751" t="str" s="15">
        <f aca="0">IF(B2751="","",IF(H2751="","확인필요(입력누락)",IF(SUMPRODUCT((실물목록!$P$2:$P$1001&lt;&gt;"")*ISNUMBER(SEARCH(실물목록!$P$2:$P$1001,I2751))*(실물목록!$Q$2:$Q$1001&lt;&gt;"")*ISNUMBER(SEARCH(실물목록!$Q$2:$Q$1001,I2751))*(실물목록!$R$2:$R$1001="")*(실물목록!$O$2:$O$1001&lt;&gt;"")*(실물목록!$O$2:$O$1001=H2751))&gt;0,"실물 있음",IF(SUMPRODUCT((실물목록!$P$2:$P$1001&lt;&gt;"")*ISNUMBER(SEARCH(실물목록!$P$2:$P$1001,I2751))*(실물목록!$R$2:$R$1001&lt;&gt;""))&gt;0,"확인필요(입력누락)",IF(SUMPRODUCT((실물목록!$P$2:$P$1001&lt;&gt;"")*ISNUMBER(SEARCH(실물목록!$P$2:$P$1001,I2751))*(실물목록!$Q$2:$Q$1001&lt;&gt;"")*ISNUMBER(SEARCH(실물목록!$Q$2:$Q$1001,I2751))*(실물목록!$R$2:$R$1001="")*(실물목록!$O$2:$O$1001&lt;&gt;""))&gt;0,"확인필요(연도다름)","실물 없음")))))</f>
      </c>
      <c r="G2751" t="n" s="16">
        <f aca="0">IF(B2751="","",SUMPRODUCT((실물목록!$P$2:$P$1001&lt;&gt;"")*ISNUMBER(SEARCH(실물목록!$P$2:$P$1001,I2751))*(실물목록!$Q$2:$Q$1001&lt;&gt;"")*ISNUMBER(SEARCH(실물목록!$Q$2:$Q$1001,I2751))*(실물목록!$R$2:$R$1001="")*(실물목록!$O$2:$O$1001&lt;&gt;"")*(실물목록!$O$2:$O$1001=H2751)))</f>
      </c>
      <c r="H2751" t="str">
        <f>IFERROR(IF(AND(LEN(SUBSTITUTE(SUBSTITUTE(SUBSTITUTE(TRIM(A2751&amp;""),CHAR(160),"")," ",""),"년",""))=4,VALUE(SUBSTITUTE(SUBSTITUTE(SUBSTITUTE(TRIM(A2751&amp;""),CHAR(160),"")," ",""),"년",""))&gt;=1900,VALUE(SUBSTITUTE(SUBSTITUTE(SUBSTITUTE(TRIM(A2751&amp;""),CHAR(160),"")," ",""),"년",""))&lt;=2099,TEXT(VALUE(SUBSTITUTE(SUBSTITUTE(SUBSTITUTE(TRIM(A2751&amp;""),CHAR(160),"")," ",""),"년","")),"0000")=SUBSTITUTE(SUBSTITUTE(SUBSTITUTE(TRIM(A2751&amp;""),CHAR(160),"")," ",""),"년","")),SUBSTITUTE(SUBSTITUTE(SUBSTITUTE(TRIM(A2751&amp;""),CHAR(160),"")," ",""),"년",""),""),"")</f>
      </c>
      <c r="I2751" t="str">
        <f>SUBSTITUTE(SUBSTITUTE(SUBSTITUTE(SUBSTITUTE(SUBSTITUTE(TRIM(B2751&amp;""),CHAR(160),"")," ",""),"초등학교","초"),"중학교","중"),"고등학교","고")</f>
      </c>
    </row>
    <row r="2752" customFormat="false" ht="15" hidden="false" customHeight="false" outlineLevel="0" collapsed="false">
      <c r="A2752" s="8"/>
      <c r="B2752" s="8"/>
      <c r="C2752" s="8"/>
      <c r="D2752" s="8"/>
      <c r="E2752" s="8"/>
      <c r="F2752" t="str" s="15">
        <f aca="0">IF(B2752="","",IF(H2752="","확인필요(입력누락)",IF(SUMPRODUCT((실물목록!$P$2:$P$1001&lt;&gt;"")*ISNUMBER(SEARCH(실물목록!$P$2:$P$1001,I2752))*(실물목록!$Q$2:$Q$1001&lt;&gt;"")*ISNUMBER(SEARCH(실물목록!$Q$2:$Q$1001,I2752))*(실물목록!$R$2:$R$1001="")*(실물목록!$O$2:$O$1001&lt;&gt;"")*(실물목록!$O$2:$O$1001=H2752))&gt;0,"실물 있음",IF(SUMPRODUCT((실물목록!$P$2:$P$1001&lt;&gt;"")*ISNUMBER(SEARCH(실물목록!$P$2:$P$1001,I2752))*(실물목록!$R$2:$R$1001&lt;&gt;""))&gt;0,"확인필요(입력누락)",IF(SUMPRODUCT((실물목록!$P$2:$P$1001&lt;&gt;"")*ISNUMBER(SEARCH(실물목록!$P$2:$P$1001,I2752))*(실물목록!$Q$2:$Q$1001&lt;&gt;"")*ISNUMBER(SEARCH(실물목록!$Q$2:$Q$1001,I2752))*(실물목록!$R$2:$R$1001="")*(실물목록!$O$2:$O$1001&lt;&gt;""))&gt;0,"확인필요(연도다름)","실물 없음")))))</f>
      </c>
      <c r="G2752" t="n" s="16">
        <f aca="0">IF(B2752="","",SUMPRODUCT((실물목록!$P$2:$P$1001&lt;&gt;"")*ISNUMBER(SEARCH(실물목록!$P$2:$P$1001,I2752))*(실물목록!$Q$2:$Q$1001&lt;&gt;"")*ISNUMBER(SEARCH(실물목록!$Q$2:$Q$1001,I2752))*(실물목록!$R$2:$R$1001="")*(실물목록!$O$2:$O$1001&lt;&gt;"")*(실물목록!$O$2:$O$1001=H2752)))</f>
      </c>
      <c r="H2752" t="str">
        <f>IFERROR(IF(AND(LEN(SUBSTITUTE(SUBSTITUTE(SUBSTITUTE(TRIM(A2752&amp;""),CHAR(160),"")," ",""),"년",""))=4,VALUE(SUBSTITUTE(SUBSTITUTE(SUBSTITUTE(TRIM(A2752&amp;""),CHAR(160),"")," ",""),"년",""))&gt;=1900,VALUE(SUBSTITUTE(SUBSTITUTE(SUBSTITUTE(TRIM(A2752&amp;""),CHAR(160),"")," ",""),"년",""))&lt;=2099,TEXT(VALUE(SUBSTITUTE(SUBSTITUTE(SUBSTITUTE(TRIM(A2752&amp;""),CHAR(160),"")," ",""),"년","")),"0000")=SUBSTITUTE(SUBSTITUTE(SUBSTITUTE(TRIM(A2752&amp;""),CHAR(160),"")," ",""),"년","")),SUBSTITUTE(SUBSTITUTE(SUBSTITUTE(TRIM(A2752&amp;""),CHAR(160),"")," ",""),"년",""),""),"")</f>
      </c>
      <c r="I2752" t="str">
        <f>SUBSTITUTE(SUBSTITUTE(SUBSTITUTE(SUBSTITUTE(SUBSTITUTE(TRIM(B2752&amp;""),CHAR(160),"")," ",""),"초등학교","초"),"중학교","중"),"고등학교","고")</f>
      </c>
    </row>
    <row r="2753" customFormat="false" ht="15" hidden="false" customHeight="false" outlineLevel="0" collapsed="false">
      <c r="A2753" s="8"/>
      <c r="B2753" s="8"/>
      <c r="C2753" s="8"/>
      <c r="D2753" s="8"/>
      <c r="E2753" s="8"/>
      <c r="F2753" t="str" s="15">
        <f aca="0">IF(B2753="","",IF(H2753="","확인필요(입력누락)",IF(SUMPRODUCT((실물목록!$P$2:$P$1001&lt;&gt;"")*ISNUMBER(SEARCH(실물목록!$P$2:$P$1001,I2753))*(실물목록!$Q$2:$Q$1001&lt;&gt;"")*ISNUMBER(SEARCH(실물목록!$Q$2:$Q$1001,I2753))*(실물목록!$R$2:$R$1001="")*(실물목록!$O$2:$O$1001&lt;&gt;"")*(실물목록!$O$2:$O$1001=H2753))&gt;0,"실물 있음",IF(SUMPRODUCT((실물목록!$P$2:$P$1001&lt;&gt;"")*ISNUMBER(SEARCH(실물목록!$P$2:$P$1001,I2753))*(실물목록!$R$2:$R$1001&lt;&gt;""))&gt;0,"확인필요(입력누락)",IF(SUMPRODUCT((실물목록!$P$2:$P$1001&lt;&gt;"")*ISNUMBER(SEARCH(실물목록!$P$2:$P$1001,I2753))*(실물목록!$Q$2:$Q$1001&lt;&gt;"")*ISNUMBER(SEARCH(실물목록!$Q$2:$Q$1001,I2753))*(실물목록!$R$2:$R$1001="")*(실물목록!$O$2:$O$1001&lt;&gt;""))&gt;0,"확인필요(연도다름)","실물 없음")))))</f>
      </c>
      <c r="G2753" t="n" s="16">
        <f aca="0">IF(B2753="","",SUMPRODUCT((실물목록!$P$2:$P$1001&lt;&gt;"")*ISNUMBER(SEARCH(실물목록!$P$2:$P$1001,I2753))*(실물목록!$Q$2:$Q$1001&lt;&gt;"")*ISNUMBER(SEARCH(실물목록!$Q$2:$Q$1001,I2753))*(실물목록!$R$2:$R$1001="")*(실물목록!$O$2:$O$1001&lt;&gt;"")*(실물목록!$O$2:$O$1001=H2753)))</f>
      </c>
      <c r="H2753" t="str">
        <f>IFERROR(IF(AND(LEN(SUBSTITUTE(SUBSTITUTE(SUBSTITUTE(TRIM(A2753&amp;""),CHAR(160),"")," ",""),"년",""))=4,VALUE(SUBSTITUTE(SUBSTITUTE(SUBSTITUTE(TRIM(A2753&amp;""),CHAR(160),"")," ",""),"년",""))&gt;=1900,VALUE(SUBSTITUTE(SUBSTITUTE(SUBSTITUTE(TRIM(A2753&amp;""),CHAR(160),"")," ",""),"년",""))&lt;=2099,TEXT(VALUE(SUBSTITUTE(SUBSTITUTE(SUBSTITUTE(TRIM(A2753&amp;""),CHAR(160),"")," ",""),"년","")),"0000")=SUBSTITUTE(SUBSTITUTE(SUBSTITUTE(TRIM(A2753&amp;""),CHAR(160),"")," ",""),"년","")),SUBSTITUTE(SUBSTITUTE(SUBSTITUTE(TRIM(A2753&amp;""),CHAR(160),"")," ",""),"년",""),""),"")</f>
      </c>
      <c r="I2753" t="str">
        <f>SUBSTITUTE(SUBSTITUTE(SUBSTITUTE(SUBSTITUTE(SUBSTITUTE(TRIM(B2753&amp;""),CHAR(160),"")," ",""),"초등학교","초"),"중학교","중"),"고등학교","고")</f>
      </c>
    </row>
    <row r="2754" customFormat="false" ht="15" hidden="false" customHeight="false" outlineLevel="0" collapsed="false">
      <c r="A2754" s="8"/>
      <c r="B2754" s="8"/>
      <c r="C2754" s="8"/>
      <c r="D2754" s="8"/>
      <c r="E2754" s="8"/>
      <c r="F2754" t="str" s="15">
        <f aca="0">IF(B2754="","",IF(H2754="","확인필요(입력누락)",IF(SUMPRODUCT((실물목록!$P$2:$P$1001&lt;&gt;"")*ISNUMBER(SEARCH(실물목록!$P$2:$P$1001,I2754))*(실물목록!$Q$2:$Q$1001&lt;&gt;"")*ISNUMBER(SEARCH(실물목록!$Q$2:$Q$1001,I2754))*(실물목록!$R$2:$R$1001="")*(실물목록!$O$2:$O$1001&lt;&gt;"")*(실물목록!$O$2:$O$1001=H2754))&gt;0,"실물 있음",IF(SUMPRODUCT((실물목록!$P$2:$P$1001&lt;&gt;"")*ISNUMBER(SEARCH(실물목록!$P$2:$P$1001,I2754))*(실물목록!$R$2:$R$1001&lt;&gt;""))&gt;0,"확인필요(입력누락)",IF(SUMPRODUCT((실물목록!$P$2:$P$1001&lt;&gt;"")*ISNUMBER(SEARCH(실물목록!$P$2:$P$1001,I2754))*(실물목록!$Q$2:$Q$1001&lt;&gt;"")*ISNUMBER(SEARCH(실물목록!$Q$2:$Q$1001,I2754))*(실물목록!$R$2:$R$1001="")*(실물목록!$O$2:$O$1001&lt;&gt;""))&gt;0,"확인필요(연도다름)","실물 없음")))))</f>
      </c>
      <c r="G2754" t="n" s="16">
        <f aca="0">IF(B2754="","",SUMPRODUCT((실물목록!$P$2:$P$1001&lt;&gt;"")*ISNUMBER(SEARCH(실물목록!$P$2:$P$1001,I2754))*(실물목록!$Q$2:$Q$1001&lt;&gt;"")*ISNUMBER(SEARCH(실물목록!$Q$2:$Q$1001,I2754))*(실물목록!$R$2:$R$1001="")*(실물목록!$O$2:$O$1001&lt;&gt;"")*(실물목록!$O$2:$O$1001=H2754)))</f>
      </c>
      <c r="H2754" t="str">
        <f>IFERROR(IF(AND(LEN(SUBSTITUTE(SUBSTITUTE(SUBSTITUTE(TRIM(A2754&amp;""),CHAR(160),"")," ",""),"년",""))=4,VALUE(SUBSTITUTE(SUBSTITUTE(SUBSTITUTE(TRIM(A2754&amp;""),CHAR(160),"")," ",""),"년",""))&gt;=1900,VALUE(SUBSTITUTE(SUBSTITUTE(SUBSTITUTE(TRIM(A2754&amp;""),CHAR(160),"")," ",""),"년",""))&lt;=2099,TEXT(VALUE(SUBSTITUTE(SUBSTITUTE(SUBSTITUTE(TRIM(A2754&amp;""),CHAR(160),"")," ",""),"년","")),"0000")=SUBSTITUTE(SUBSTITUTE(SUBSTITUTE(TRIM(A2754&amp;""),CHAR(160),"")," ",""),"년","")),SUBSTITUTE(SUBSTITUTE(SUBSTITUTE(TRIM(A2754&amp;""),CHAR(160),"")," ",""),"년",""),""),"")</f>
      </c>
      <c r="I2754" t="str">
        <f>SUBSTITUTE(SUBSTITUTE(SUBSTITUTE(SUBSTITUTE(SUBSTITUTE(TRIM(B2754&amp;""),CHAR(160),"")," ",""),"초등학교","초"),"중학교","중"),"고등학교","고")</f>
      </c>
    </row>
    <row r="2755" customFormat="false" ht="15" hidden="false" customHeight="false" outlineLevel="0" collapsed="false">
      <c r="A2755" s="8"/>
      <c r="B2755" s="8"/>
      <c r="C2755" s="8"/>
      <c r="D2755" s="8"/>
      <c r="E2755" s="8"/>
      <c r="F2755" t="str" s="15">
        <f aca="0">IF(B2755="","",IF(H2755="","확인필요(입력누락)",IF(SUMPRODUCT((실물목록!$P$2:$P$1001&lt;&gt;"")*ISNUMBER(SEARCH(실물목록!$P$2:$P$1001,I2755))*(실물목록!$Q$2:$Q$1001&lt;&gt;"")*ISNUMBER(SEARCH(실물목록!$Q$2:$Q$1001,I2755))*(실물목록!$R$2:$R$1001="")*(실물목록!$O$2:$O$1001&lt;&gt;"")*(실물목록!$O$2:$O$1001=H2755))&gt;0,"실물 있음",IF(SUMPRODUCT((실물목록!$P$2:$P$1001&lt;&gt;"")*ISNUMBER(SEARCH(실물목록!$P$2:$P$1001,I2755))*(실물목록!$R$2:$R$1001&lt;&gt;""))&gt;0,"확인필요(입력누락)",IF(SUMPRODUCT((실물목록!$P$2:$P$1001&lt;&gt;"")*ISNUMBER(SEARCH(실물목록!$P$2:$P$1001,I2755))*(실물목록!$Q$2:$Q$1001&lt;&gt;"")*ISNUMBER(SEARCH(실물목록!$Q$2:$Q$1001,I2755))*(실물목록!$R$2:$R$1001="")*(실물목록!$O$2:$O$1001&lt;&gt;""))&gt;0,"확인필요(연도다름)","실물 없음")))))</f>
      </c>
      <c r="G2755" t="n" s="16">
        <f aca="0">IF(B2755="","",SUMPRODUCT((실물목록!$P$2:$P$1001&lt;&gt;"")*ISNUMBER(SEARCH(실물목록!$P$2:$P$1001,I2755))*(실물목록!$Q$2:$Q$1001&lt;&gt;"")*ISNUMBER(SEARCH(실물목록!$Q$2:$Q$1001,I2755))*(실물목록!$R$2:$R$1001="")*(실물목록!$O$2:$O$1001&lt;&gt;"")*(실물목록!$O$2:$O$1001=H2755)))</f>
      </c>
      <c r="H2755" t="str">
        <f>IFERROR(IF(AND(LEN(SUBSTITUTE(SUBSTITUTE(SUBSTITUTE(TRIM(A2755&amp;""),CHAR(160),"")," ",""),"년",""))=4,VALUE(SUBSTITUTE(SUBSTITUTE(SUBSTITUTE(TRIM(A2755&amp;""),CHAR(160),"")," ",""),"년",""))&gt;=1900,VALUE(SUBSTITUTE(SUBSTITUTE(SUBSTITUTE(TRIM(A2755&amp;""),CHAR(160),"")," ",""),"년",""))&lt;=2099,TEXT(VALUE(SUBSTITUTE(SUBSTITUTE(SUBSTITUTE(TRIM(A2755&amp;""),CHAR(160),"")," ",""),"년","")),"0000")=SUBSTITUTE(SUBSTITUTE(SUBSTITUTE(TRIM(A2755&amp;""),CHAR(160),"")," ",""),"년","")),SUBSTITUTE(SUBSTITUTE(SUBSTITUTE(TRIM(A2755&amp;""),CHAR(160),"")," ",""),"년",""),""),"")</f>
      </c>
      <c r="I2755" t="str">
        <f>SUBSTITUTE(SUBSTITUTE(SUBSTITUTE(SUBSTITUTE(SUBSTITUTE(TRIM(B2755&amp;""),CHAR(160),"")," ",""),"초등학교","초"),"중학교","중"),"고등학교","고")</f>
      </c>
    </row>
    <row r="2756" customFormat="false" ht="15" hidden="false" customHeight="false" outlineLevel="0" collapsed="false">
      <c r="A2756" s="8"/>
      <c r="B2756" s="8"/>
      <c r="C2756" s="8"/>
      <c r="D2756" s="8"/>
      <c r="E2756" s="8"/>
      <c r="F2756" t="str" s="15">
        <f aca="0">IF(B2756="","",IF(H2756="","확인필요(입력누락)",IF(SUMPRODUCT((실물목록!$P$2:$P$1001&lt;&gt;"")*ISNUMBER(SEARCH(실물목록!$P$2:$P$1001,I2756))*(실물목록!$Q$2:$Q$1001&lt;&gt;"")*ISNUMBER(SEARCH(실물목록!$Q$2:$Q$1001,I2756))*(실물목록!$R$2:$R$1001="")*(실물목록!$O$2:$O$1001&lt;&gt;"")*(실물목록!$O$2:$O$1001=H2756))&gt;0,"실물 있음",IF(SUMPRODUCT((실물목록!$P$2:$P$1001&lt;&gt;"")*ISNUMBER(SEARCH(실물목록!$P$2:$P$1001,I2756))*(실물목록!$R$2:$R$1001&lt;&gt;""))&gt;0,"확인필요(입력누락)",IF(SUMPRODUCT((실물목록!$P$2:$P$1001&lt;&gt;"")*ISNUMBER(SEARCH(실물목록!$P$2:$P$1001,I2756))*(실물목록!$Q$2:$Q$1001&lt;&gt;"")*ISNUMBER(SEARCH(실물목록!$Q$2:$Q$1001,I2756))*(실물목록!$R$2:$R$1001="")*(실물목록!$O$2:$O$1001&lt;&gt;""))&gt;0,"확인필요(연도다름)","실물 없음")))))</f>
      </c>
      <c r="G2756" t="n" s="16">
        <f aca="0">IF(B2756="","",SUMPRODUCT((실물목록!$P$2:$P$1001&lt;&gt;"")*ISNUMBER(SEARCH(실물목록!$P$2:$P$1001,I2756))*(실물목록!$Q$2:$Q$1001&lt;&gt;"")*ISNUMBER(SEARCH(실물목록!$Q$2:$Q$1001,I2756))*(실물목록!$R$2:$R$1001="")*(실물목록!$O$2:$O$1001&lt;&gt;"")*(실물목록!$O$2:$O$1001=H2756)))</f>
      </c>
      <c r="H2756" t="str">
        <f>IFERROR(IF(AND(LEN(SUBSTITUTE(SUBSTITUTE(SUBSTITUTE(TRIM(A2756&amp;""),CHAR(160),"")," ",""),"년",""))=4,VALUE(SUBSTITUTE(SUBSTITUTE(SUBSTITUTE(TRIM(A2756&amp;""),CHAR(160),"")," ",""),"년",""))&gt;=1900,VALUE(SUBSTITUTE(SUBSTITUTE(SUBSTITUTE(TRIM(A2756&amp;""),CHAR(160),"")," ",""),"년",""))&lt;=2099,TEXT(VALUE(SUBSTITUTE(SUBSTITUTE(SUBSTITUTE(TRIM(A2756&amp;""),CHAR(160),"")," ",""),"년","")),"0000")=SUBSTITUTE(SUBSTITUTE(SUBSTITUTE(TRIM(A2756&amp;""),CHAR(160),"")," ",""),"년","")),SUBSTITUTE(SUBSTITUTE(SUBSTITUTE(TRIM(A2756&amp;""),CHAR(160),"")," ",""),"년",""),""),"")</f>
      </c>
      <c r="I2756" t="str">
        <f>SUBSTITUTE(SUBSTITUTE(SUBSTITUTE(SUBSTITUTE(SUBSTITUTE(TRIM(B2756&amp;""),CHAR(160),"")," ",""),"초등학교","초"),"중학교","중"),"고등학교","고")</f>
      </c>
    </row>
    <row r="2757" customFormat="false" ht="15" hidden="false" customHeight="false" outlineLevel="0" collapsed="false">
      <c r="A2757" s="8"/>
      <c r="B2757" s="8"/>
      <c r="C2757" s="8"/>
      <c r="D2757" s="8"/>
      <c r="E2757" s="8"/>
      <c r="F2757" t="str" s="15">
        <f aca="0">IF(B2757="","",IF(H2757="","확인필요(입력누락)",IF(SUMPRODUCT((실물목록!$P$2:$P$1001&lt;&gt;"")*ISNUMBER(SEARCH(실물목록!$P$2:$P$1001,I2757))*(실물목록!$Q$2:$Q$1001&lt;&gt;"")*ISNUMBER(SEARCH(실물목록!$Q$2:$Q$1001,I2757))*(실물목록!$R$2:$R$1001="")*(실물목록!$O$2:$O$1001&lt;&gt;"")*(실물목록!$O$2:$O$1001=H2757))&gt;0,"실물 있음",IF(SUMPRODUCT((실물목록!$P$2:$P$1001&lt;&gt;"")*ISNUMBER(SEARCH(실물목록!$P$2:$P$1001,I2757))*(실물목록!$R$2:$R$1001&lt;&gt;""))&gt;0,"확인필요(입력누락)",IF(SUMPRODUCT((실물목록!$P$2:$P$1001&lt;&gt;"")*ISNUMBER(SEARCH(실물목록!$P$2:$P$1001,I2757))*(실물목록!$Q$2:$Q$1001&lt;&gt;"")*ISNUMBER(SEARCH(실물목록!$Q$2:$Q$1001,I2757))*(실물목록!$R$2:$R$1001="")*(실물목록!$O$2:$O$1001&lt;&gt;""))&gt;0,"확인필요(연도다름)","실물 없음")))))</f>
      </c>
      <c r="G2757" t="n" s="16">
        <f aca="0">IF(B2757="","",SUMPRODUCT((실물목록!$P$2:$P$1001&lt;&gt;"")*ISNUMBER(SEARCH(실물목록!$P$2:$P$1001,I2757))*(실물목록!$Q$2:$Q$1001&lt;&gt;"")*ISNUMBER(SEARCH(실물목록!$Q$2:$Q$1001,I2757))*(실물목록!$R$2:$R$1001="")*(실물목록!$O$2:$O$1001&lt;&gt;"")*(실물목록!$O$2:$O$1001=H2757)))</f>
      </c>
      <c r="H2757" t="str">
        <f>IFERROR(IF(AND(LEN(SUBSTITUTE(SUBSTITUTE(SUBSTITUTE(TRIM(A2757&amp;""),CHAR(160),"")," ",""),"년",""))=4,VALUE(SUBSTITUTE(SUBSTITUTE(SUBSTITUTE(TRIM(A2757&amp;""),CHAR(160),"")," ",""),"년",""))&gt;=1900,VALUE(SUBSTITUTE(SUBSTITUTE(SUBSTITUTE(TRIM(A2757&amp;""),CHAR(160),"")," ",""),"년",""))&lt;=2099,TEXT(VALUE(SUBSTITUTE(SUBSTITUTE(SUBSTITUTE(TRIM(A2757&amp;""),CHAR(160),"")," ",""),"년","")),"0000")=SUBSTITUTE(SUBSTITUTE(SUBSTITUTE(TRIM(A2757&amp;""),CHAR(160),"")," ",""),"년","")),SUBSTITUTE(SUBSTITUTE(SUBSTITUTE(TRIM(A2757&amp;""),CHAR(160),"")," ",""),"년",""),""),"")</f>
      </c>
      <c r="I2757" t="str">
        <f>SUBSTITUTE(SUBSTITUTE(SUBSTITUTE(SUBSTITUTE(SUBSTITUTE(TRIM(B2757&amp;""),CHAR(160),"")," ",""),"초등학교","초"),"중학교","중"),"고등학교","고")</f>
      </c>
    </row>
    <row r="2758" customFormat="false" ht="15" hidden="false" customHeight="false" outlineLevel="0" collapsed="false">
      <c r="A2758" s="8"/>
      <c r="B2758" s="8"/>
      <c r="C2758" s="8"/>
      <c r="D2758" s="8"/>
      <c r="E2758" s="8"/>
      <c r="F2758" t="str" s="15">
        <f aca="0">IF(B2758="","",IF(H2758="","확인필요(입력누락)",IF(SUMPRODUCT((실물목록!$P$2:$P$1001&lt;&gt;"")*ISNUMBER(SEARCH(실물목록!$P$2:$P$1001,I2758))*(실물목록!$Q$2:$Q$1001&lt;&gt;"")*ISNUMBER(SEARCH(실물목록!$Q$2:$Q$1001,I2758))*(실물목록!$R$2:$R$1001="")*(실물목록!$O$2:$O$1001&lt;&gt;"")*(실물목록!$O$2:$O$1001=H2758))&gt;0,"실물 있음",IF(SUMPRODUCT((실물목록!$P$2:$P$1001&lt;&gt;"")*ISNUMBER(SEARCH(실물목록!$P$2:$P$1001,I2758))*(실물목록!$R$2:$R$1001&lt;&gt;""))&gt;0,"확인필요(입력누락)",IF(SUMPRODUCT((실물목록!$P$2:$P$1001&lt;&gt;"")*ISNUMBER(SEARCH(실물목록!$P$2:$P$1001,I2758))*(실물목록!$Q$2:$Q$1001&lt;&gt;"")*ISNUMBER(SEARCH(실물목록!$Q$2:$Q$1001,I2758))*(실물목록!$R$2:$R$1001="")*(실물목록!$O$2:$O$1001&lt;&gt;""))&gt;0,"확인필요(연도다름)","실물 없음")))))</f>
      </c>
      <c r="G2758" t="n" s="16">
        <f aca="0">IF(B2758="","",SUMPRODUCT((실물목록!$P$2:$P$1001&lt;&gt;"")*ISNUMBER(SEARCH(실물목록!$P$2:$P$1001,I2758))*(실물목록!$Q$2:$Q$1001&lt;&gt;"")*ISNUMBER(SEARCH(실물목록!$Q$2:$Q$1001,I2758))*(실물목록!$R$2:$R$1001="")*(실물목록!$O$2:$O$1001&lt;&gt;"")*(실물목록!$O$2:$O$1001=H2758)))</f>
      </c>
      <c r="H2758" t="str">
        <f>IFERROR(IF(AND(LEN(SUBSTITUTE(SUBSTITUTE(SUBSTITUTE(TRIM(A2758&amp;""),CHAR(160),"")," ",""),"년",""))=4,VALUE(SUBSTITUTE(SUBSTITUTE(SUBSTITUTE(TRIM(A2758&amp;""),CHAR(160),"")," ",""),"년",""))&gt;=1900,VALUE(SUBSTITUTE(SUBSTITUTE(SUBSTITUTE(TRIM(A2758&amp;""),CHAR(160),"")," ",""),"년",""))&lt;=2099,TEXT(VALUE(SUBSTITUTE(SUBSTITUTE(SUBSTITUTE(TRIM(A2758&amp;""),CHAR(160),"")," ",""),"년","")),"0000")=SUBSTITUTE(SUBSTITUTE(SUBSTITUTE(TRIM(A2758&amp;""),CHAR(160),"")," ",""),"년","")),SUBSTITUTE(SUBSTITUTE(SUBSTITUTE(TRIM(A2758&amp;""),CHAR(160),"")," ",""),"년",""),""),"")</f>
      </c>
      <c r="I2758" t="str">
        <f>SUBSTITUTE(SUBSTITUTE(SUBSTITUTE(SUBSTITUTE(SUBSTITUTE(TRIM(B2758&amp;""),CHAR(160),"")," ",""),"초등학교","초"),"중학교","중"),"고등학교","고")</f>
      </c>
    </row>
    <row r="2759" customFormat="false" ht="15" hidden="false" customHeight="false" outlineLevel="0" collapsed="false">
      <c r="A2759" s="8"/>
      <c r="B2759" s="8"/>
      <c r="C2759" s="8"/>
      <c r="D2759" s="8"/>
      <c r="E2759" s="8"/>
      <c r="F2759" t="str" s="15">
        <f aca="0">IF(B2759="","",IF(H2759="","확인필요(입력누락)",IF(SUMPRODUCT((실물목록!$P$2:$P$1001&lt;&gt;"")*ISNUMBER(SEARCH(실물목록!$P$2:$P$1001,I2759))*(실물목록!$Q$2:$Q$1001&lt;&gt;"")*ISNUMBER(SEARCH(실물목록!$Q$2:$Q$1001,I2759))*(실물목록!$R$2:$R$1001="")*(실물목록!$O$2:$O$1001&lt;&gt;"")*(실물목록!$O$2:$O$1001=H2759))&gt;0,"실물 있음",IF(SUMPRODUCT((실물목록!$P$2:$P$1001&lt;&gt;"")*ISNUMBER(SEARCH(실물목록!$P$2:$P$1001,I2759))*(실물목록!$R$2:$R$1001&lt;&gt;""))&gt;0,"확인필요(입력누락)",IF(SUMPRODUCT((실물목록!$P$2:$P$1001&lt;&gt;"")*ISNUMBER(SEARCH(실물목록!$P$2:$P$1001,I2759))*(실물목록!$Q$2:$Q$1001&lt;&gt;"")*ISNUMBER(SEARCH(실물목록!$Q$2:$Q$1001,I2759))*(실물목록!$R$2:$R$1001="")*(실물목록!$O$2:$O$1001&lt;&gt;""))&gt;0,"확인필요(연도다름)","실물 없음")))))</f>
      </c>
      <c r="G2759" t="n" s="16">
        <f aca="0">IF(B2759="","",SUMPRODUCT((실물목록!$P$2:$P$1001&lt;&gt;"")*ISNUMBER(SEARCH(실물목록!$P$2:$P$1001,I2759))*(실물목록!$Q$2:$Q$1001&lt;&gt;"")*ISNUMBER(SEARCH(실물목록!$Q$2:$Q$1001,I2759))*(실물목록!$R$2:$R$1001="")*(실물목록!$O$2:$O$1001&lt;&gt;"")*(실물목록!$O$2:$O$1001=H2759)))</f>
      </c>
      <c r="H2759" t="str">
        <f>IFERROR(IF(AND(LEN(SUBSTITUTE(SUBSTITUTE(SUBSTITUTE(TRIM(A2759&amp;""),CHAR(160),"")," ",""),"년",""))=4,VALUE(SUBSTITUTE(SUBSTITUTE(SUBSTITUTE(TRIM(A2759&amp;""),CHAR(160),"")," ",""),"년",""))&gt;=1900,VALUE(SUBSTITUTE(SUBSTITUTE(SUBSTITUTE(TRIM(A2759&amp;""),CHAR(160),"")," ",""),"년",""))&lt;=2099,TEXT(VALUE(SUBSTITUTE(SUBSTITUTE(SUBSTITUTE(TRIM(A2759&amp;""),CHAR(160),"")," ",""),"년","")),"0000")=SUBSTITUTE(SUBSTITUTE(SUBSTITUTE(TRIM(A2759&amp;""),CHAR(160),"")," ",""),"년","")),SUBSTITUTE(SUBSTITUTE(SUBSTITUTE(TRIM(A2759&amp;""),CHAR(160),"")," ",""),"년",""),""),"")</f>
      </c>
      <c r="I2759" t="str">
        <f>SUBSTITUTE(SUBSTITUTE(SUBSTITUTE(SUBSTITUTE(SUBSTITUTE(TRIM(B2759&amp;""),CHAR(160),"")," ",""),"초등학교","초"),"중학교","중"),"고등학교","고")</f>
      </c>
    </row>
    <row r="2760" customFormat="false" ht="15" hidden="false" customHeight="false" outlineLevel="0" collapsed="false">
      <c r="A2760" s="8"/>
      <c r="B2760" s="8"/>
      <c r="C2760" s="8"/>
      <c r="D2760" s="8"/>
      <c r="E2760" s="8"/>
      <c r="F2760" t="str" s="15">
        <f aca="0">IF(B2760="","",IF(H2760="","확인필요(입력누락)",IF(SUMPRODUCT((실물목록!$P$2:$P$1001&lt;&gt;"")*ISNUMBER(SEARCH(실물목록!$P$2:$P$1001,I2760))*(실물목록!$Q$2:$Q$1001&lt;&gt;"")*ISNUMBER(SEARCH(실물목록!$Q$2:$Q$1001,I2760))*(실물목록!$R$2:$R$1001="")*(실물목록!$O$2:$O$1001&lt;&gt;"")*(실물목록!$O$2:$O$1001=H2760))&gt;0,"실물 있음",IF(SUMPRODUCT((실물목록!$P$2:$P$1001&lt;&gt;"")*ISNUMBER(SEARCH(실물목록!$P$2:$P$1001,I2760))*(실물목록!$R$2:$R$1001&lt;&gt;""))&gt;0,"확인필요(입력누락)",IF(SUMPRODUCT((실물목록!$P$2:$P$1001&lt;&gt;"")*ISNUMBER(SEARCH(실물목록!$P$2:$P$1001,I2760))*(실물목록!$Q$2:$Q$1001&lt;&gt;"")*ISNUMBER(SEARCH(실물목록!$Q$2:$Q$1001,I2760))*(실물목록!$R$2:$R$1001="")*(실물목록!$O$2:$O$1001&lt;&gt;""))&gt;0,"확인필요(연도다름)","실물 없음")))))</f>
      </c>
      <c r="G2760" t="n" s="16">
        <f aca="0">IF(B2760="","",SUMPRODUCT((실물목록!$P$2:$P$1001&lt;&gt;"")*ISNUMBER(SEARCH(실물목록!$P$2:$P$1001,I2760))*(실물목록!$Q$2:$Q$1001&lt;&gt;"")*ISNUMBER(SEARCH(실물목록!$Q$2:$Q$1001,I2760))*(실물목록!$R$2:$R$1001="")*(실물목록!$O$2:$O$1001&lt;&gt;"")*(실물목록!$O$2:$O$1001=H2760)))</f>
      </c>
      <c r="H2760" t="str">
        <f>IFERROR(IF(AND(LEN(SUBSTITUTE(SUBSTITUTE(SUBSTITUTE(TRIM(A2760&amp;""),CHAR(160),"")," ",""),"년",""))=4,VALUE(SUBSTITUTE(SUBSTITUTE(SUBSTITUTE(TRIM(A2760&amp;""),CHAR(160),"")," ",""),"년",""))&gt;=1900,VALUE(SUBSTITUTE(SUBSTITUTE(SUBSTITUTE(TRIM(A2760&amp;""),CHAR(160),"")," ",""),"년",""))&lt;=2099,TEXT(VALUE(SUBSTITUTE(SUBSTITUTE(SUBSTITUTE(TRIM(A2760&amp;""),CHAR(160),"")," ",""),"년","")),"0000")=SUBSTITUTE(SUBSTITUTE(SUBSTITUTE(TRIM(A2760&amp;""),CHAR(160),"")," ",""),"년","")),SUBSTITUTE(SUBSTITUTE(SUBSTITUTE(TRIM(A2760&amp;""),CHAR(160),"")," ",""),"년",""),""),"")</f>
      </c>
      <c r="I2760" t="str">
        <f>SUBSTITUTE(SUBSTITUTE(SUBSTITUTE(SUBSTITUTE(SUBSTITUTE(TRIM(B2760&amp;""),CHAR(160),"")," ",""),"초등학교","초"),"중학교","중"),"고등학교","고")</f>
      </c>
    </row>
    <row r="2761" customFormat="false" ht="15" hidden="false" customHeight="false" outlineLevel="0" collapsed="false">
      <c r="A2761" s="8"/>
      <c r="B2761" s="8"/>
      <c r="C2761" s="8"/>
      <c r="D2761" s="8"/>
      <c r="E2761" s="8"/>
      <c r="F2761" t="str" s="15">
        <f aca="0">IF(B2761="","",IF(H2761="","확인필요(입력누락)",IF(SUMPRODUCT((실물목록!$P$2:$P$1001&lt;&gt;"")*ISNUMBER(SEARCH(실물목록!$P$2:$P$1001,I2761))*(실물목록!$Q$2:$Q$1001&lt;&gt;"")*ISNUMBER(SEARCH(실물목록!$Q$2:$Q$1001,I2761))*(실물목록!$R$2:$R$1001="")*(실물목록!$O$2:$O$1001&lt;&gt;"")*(실물목록!$O$2:$O$1001=H2761))&gt;0,"실물 있음",IF(SUMPRODUCT((실물목록!$P$2:$P$1001&lt;&gt;"")*ISNUMBER(SEARCH(실물목록!$P$2:$P$1001,I2761))*(실물목록!$R$2:$R$1001&lt;&gt;""))&gt;0,"확인필요(입력누락)",IF(SUMPRODUCT((실물목록!$P$2:$P$1001&lt;&gt;"")*ISNUMBER(SEARCH(실물목록!$P$2:$P$1001,I2761))*(실물목록!$Q$2:$Q$1001&lt;&gt;"")*ISNUMBER(SEARCH(실물목록!$Q$2:$Q$1001,I2761))*(실물목록!$R$2:$R$1001="")*(실물목록!$O$2:$O$1001&lt;&gt;""))&gt;0,"확인필요(연도다름)","실물 없음")))))</f>
      </c>
      <c r="G2761" t="n" s="16">
        <f aca="0">IF(B2761="","",SUMPRODUCT((실물목록!$P$2:$P$1001&lt;&gt;"")*ISNUMBER(SEARCH(실물목록!$P$2:$P$1001,I2761))*(실물목록!$Q$2:$Q$1001&lt;&gt;"")*ISNUMBER(SEARCH(실물목록!$Q$2:$Q$1001,I2761))*(실물목록!$R$2:$R$1001="")*(실물목록!$O$2:$O$1001&lt;&gt;"")*(실물목록!$O$2:$O$1001=H2761)))</f>
      </c>
      <c r="H2761" t="str">
        <f>IFERROR(IF(AND(LEN(SUBSTITUTE(SUBSTITUTE(SUBSTITUTE(TRIM(A2761&amp;""),CHAR(160),"")," ",""),"년",""))=4,VALUE(SUBSTITUTE(SUBSTITUTE(SUBSTITUTE(TRIM(A2761&amp;""),CHAR(160),"")," ",""),"년",""))&gt;=1900,VALUE(SUBSTITUTE(SUBSTITUTE(SUBSTITUTE(TRIM(A2761&amp;""),CHAR(160),"")," ",""),"년",""))&lt;=2099,TEXT(VALUE(SUBSTITUTE(SUBSTITUTE(SUBSTITUTE(TRIM(A2761&amp;""),CHAR(160),"")," ",""),"년","")),"0000")=SUBSTITUTE(SUBSTITUTE(SUBSTITUTE(TRIM(A2761&amp;""),CHAR(160),"")," ",""),"년","")),SUBSTITUTE(SUBSTITUTE(SUBSTITUTE(TRIM(A2761&amp;""),CHAR(160),"")," ",""),"년",""),""),"")</f>
      </c>
      <c r="I2761" t="str">
        <f>SUBSTITUTE(SUBSTITUTE(SUBSTITUTE(SUBSTITUTE(SUBSTITUTE(TRIM(B2761&amp;""),CHAR(160),"")," ",""),"초등학교","초"),"중학교","중"),"고등학교","고")</f>
      </c>
    </row>
    <row r="2762" customFormat="false" ht="15" hidden="false" customHeight="false" outlineLevel="0" collapsed="false">
      <c r="A2762" s="8"/>
      <c r="B2762" s="8"/>
      <c r="C2762" s="8"/>
      <c r="D2762" s="8"/>
      <c r="E2762" s="8"/>
      <c r="F2762" t="str" s="15">
        <f aca="0">IF(B2762="","",IF(H2762="","확인필요(입력누락)",IF(SUMPRODUCT((실물목록!$P$2:$P$1001&lt;&gt;"")*ISNUMBER(SEARCH(실물목록!$P$2:$P$1001,I2762))*(실물목록!$Q$2:$Q$1001&lt;&gt;"")*ISNUMBER(SEARCH(실물목록!$Q$2:$Q$1001,I2762))*(실물목록!$R$2:$R$1001="")*(실물목록!$O$2:$O$1001&lt;&gt;"")*(실물목록!$O$2:$O$1001=H2762))&gt;0,"실물 있음",IF(SUMPRODUCT((실물목록!$P$2:$P$1001&lt;&gt;"")*ISNUMBER(SEARCH(실물목록!$P$2:$P$1001,I2762))*(실물목록!$R$2:$R$1001&lt;&gt;""))&gt;0,"확인필요(입력누락)",IF(SUMPRODUCT((실물목록!$P$2:$P$1001&lt;&gt;"")*ISNUMBER(SEARCH(실물목록!$P$2:$P$1001,I2762))*(실물목록!$Q$2:$Q$1001&lt;&gt;"")*ISNUMBER(SEARCH(실물목록!$Q$2:$Q$1001,I2762))*(실물목록!$R$2:$R$1001="")*(실물목록!$O$2:$O$1001&lt;&gt;""))&gt;0,"확인필요(연도다름)","실물 없음")))))</f>
      </c>
      <c r="G2762" t="n" s="16">
        <f aca="0">IF(B2762="","",SUMPRODUCT((실물목록!$P$2:$P$1001&lt;&gt;"")*ISNUMBER(SEARCH(실물목록!$P$2:$P$1001,I2762))*(실물목록!$Q$2:$Q$1001&lt;&gt;"")*ISNUMBER(SEARCH(실물목록!$Q$2:$Q$1001,I2762))*(실물목록!$R$2:$R$1001="")*(실물목록!$O$2:$O$1001&lt;&gt;"")*(실물목록!$O$2:$O$1001=H2762)))</f>
      </c>
      <c r="H2762" t="str">
        <f>IFERROR(IF(AND(LEN(SUBSTITUTE(SUBSTITUTE(SUBSTITUTE(TRIM(A2762&amp;""),CHAR(160),"")," ",""),"년",""))=4,VALUE(SUBSTITUTE(SUBSTITUTE(SUBSTITUTE(TRIM(A2762&amp;""),CHAR(160),"")," ",""),"년",""))&gt;=1900,VALUE(SUBSTITUTE(SUBSTITUTE(SUBSTITUTE(TRIM(A2762&amp;""),CHAR(160),"")," ",""),"년",""))&lt;=2099,TEXT(VALUE(SUBSTITUTE(SUBSTITUTE(SUBSTITUTE(TRIM(A2762&amp;""),CHAR(160),"")," ",""),"년","")),"0000")=SUBSTITUTE(SUBSTITUTE(SUBSTITUTE(TRIM(A2762&amp;""),CHAR(160),"")," ",""),"년","")),SUBSTITUTE(SUBSTITUTE(SUBSTITUTE(TRIM(A2762&amp;""),CHAR(160),"")," ",""),"년",""),""),"")</f>
      </c>
      <c r="I2762" t="str">
        <f>SUBSTITUTE(SUBSTITUTE(SUBSTITUTE(SUBSTITUTE(SUBSTITUTE(TRIM(B2762&amp;""),CHAR(160),"")," ",""),"초등학교","초"),"중학교","중"),"고등학교","고")</f>
      </c>
    </row>
    <row r="2763" customFormat="false" ht="15" hidden="false" customHeight="false" outlineLevel="0" collapsed="false">
      <c r="A2763" s="8"/>
      <c r="B2763" s="8"/>
      <c r="C2763" s="8"/>
      <c r="D2763" s="8"/>
      <c r="E2763" s="8"/>
      <c r="F2763" t="str" s="15">
        <f aca="0">IF(B2763="","",IF(H2763="","확인필요(입력누락)",IF(SUMPRODUCT((실물목록!$P$2:$P$1001&lt;&gt;"")*ISNUMBER(SEARCH(실물목록!$P$2:$P$1001,I2763))*(실물목록!$Q$2:$Q$1001&lt;&gt;"")*ISNUMBER(SEARCH(실물목록!$Q$2:$Q$1001,I2763))*(실물목록!$R$2:$R$1001="")*(실물목록!$O$2:$O$1001&lt;&gt;"")*(실물목록!$O$2:$O$1001=H2763))&gt;0,"실물 있음",IF(SUMPRODUCT((실물목록!$P$2:$P$1001&lt;&gt;"")*ISNUMBER(SEARCH(실물목록!$P$2:$P$1001,I2763))*(실물목록!$R$2:$R$1001&lt;&gt;""))&gt;0,"확인필요(입력누락)",IF(SUMPRODUCT((실물목록!$P$2:$P$1001&lt;&gt;"")*ISNUMBER(SEARCH(실물목록!$P$2:$P$1001,I2763))*(실물목록!$Q$2:$Q$1001&lt;&gt;"")*ISNUMBER(SEARCH(실물목록!$Q$2:$Q$1001,I2763))*(실물목록!$R$2:$R$1001="")*(실물목록!$O$2:$O$1001&lt;&gt;""))&gt;0,"확인필요(연도다름)","실물 없음")))))</f>
      </c>
      <c r="G2763" t="n" s="16">
        <f aca="0">IF(B2763="","",SUMPRODUCT((실물목록!$P$2:$P$1001&lt;&gt;"")*ISNUMBER(SEARCH(실물목록!$P$2:$P$1001,I2763))*(실물목록!$Q$2:$Q$1001&lt;&gt;"")*ISNUMBER(SEARCH(실물목록!$Q$2:$Q$1001,I2763))*(실물목록!$R$2:$R$1001="")*(실물목록!$O$2:$O$1001&lt;&gt;"")*(실물목록!$O$2:$O$1001=H2763)))</f>
      </c>
      <c r="H2763" t="str">
        <f>IFERROR(IF(AND(LEN(SUBSTITUTE(SUBSTITUTE(SUBSTITUTE(TRIM(A2763&amp;""),CHAR(160),"")," ",""),"년",""))=4,VALUE(SUBSTITUTE(SUBSTITUTE(SUBSTITUTE(TRIM(A2763&amp;""),CHAR(160),"")," ",""),"년",""))&gt;=1900,VALUE(SUBSTITUTE(SUBSTITUTE(SUBSTITUTE(TRIM(A2763&amp;""),CHAR(160),"")," ",""),"년",""))&lt;=2099,TEXT(VALUE(SUBSTITUTE(SUBSTITUTE(SUBSTITUTE(TRIM(A2763&amp;""),CHAR(160),"")," ",""),"년","")),"0000")=SUBSTITUTE(SUBSTITUTE(SUBSTITUTE(TRIM(A2763&amp;""),CHAR(160),"")," ",""),"년","")),SUBSTITUTE(SUBSTITUTE(SUBSTITUTE(TRIM(A2763&amp;""),CHAR(160),"")," ",""),"년",""),""),"")</f>
      </c>
      <c r="I2763" t="str">
        <f>SUBSTITUTE(SUBSTITUTE(SUBSTITUTE(SUBSTITUTE(SUBSTITUTE(TRIM(B2763&amp;""),CHAR(160),"")," ",""),"초등학교","초"),"중학교","중"),"고등학교","고")</f>
      </c>
    </row>
    <row r="2764" customFormat="false" ht="15" hidden="false" customHeight="false" outlineLevel="0" collapsed="false">
      <c r="A2764" s="8"/>
      <c r="B2764" s="8"/>
      <c r="C2764" s="8"/>
      <c r="D2764" s="8"/>
      <c r="E2764" s="8"/>
      <c r="F2764" t="str" s="15">
        <f aca="0">IF(B2764="","",IF(H2764="","확인필요(입력누락)",IF(SUMPRODUCT((실물목록!$P$2:$P$1001&lt;&gt;"")*ISNUMBER(SEARCH(실물목록!$P$2:$P$1001,I2764))*(실물목록!$Q$2:$Q$1001&lt;&gt;"")*ISNUMBER(SEARCH(실물목록!$Q$2:$Q$1001,I2764))*(실물목록!$R$2:$R$1001="")*(실물목록!$O$2:$O$1001&lt;&gt;"")*(실물목록!$O$2:$O$1001=H2764))&gt;0,"실물 있음",IF(SUMPRODUCT((실물목록!$P$2:$P$1001&lt;&gt;"")*ISNUMBER(SEARCH(실물목록!$P$2:$P$1001,I2764))*(실물목록!$R$2:$R$1001&lt;&gt;""))&gt;0,"확인필요(입력누락)",IF(SUMPRODUCT((실물목록!$P$2:$P$1001&lt;&gt;"")*ISNUMBER(SEARCH(실물목록!$P$2:$P$1001,I2764))*(실물목록!$Q$2:$Q$1001&lt;&gt;"")*ISNUMBER(SEARCH(실물목록!$Q$2:$Q$1001,I2764))*(실물목록!$R$2:$R$1001="")*(실물목록!$O$2:$O$1001&lt;&gt;""))&gt;0,"확인필요(연도다름)","실물 없음")))))</f>
      </c>
      <c r="G2764" t="n" s="16">
        <f aca="0">IF(B2764="","",SUMPRODUCT((실물목록!$P$2:$P$1001&lt;&gt;"")*ISNUMBER(SEARCH(실물목록!$P$2:$P$1001,I2764))*(실물목록!$Q$2:$Q$1001&lt;&gt;"")*ISNUMBER(SEARCH(실물목록!$Q$2:$Q$1001,I2764))*(실물목록!$R$2:$R$1001="")*(실물목록!$O$2:$O$1001&lt;&gt;"")*(실물목록!$O$2:$O$1001=H2764)))</f>
      </c>
      <c r="H2764" t="str">
        <f>IFERROR(IF(AND(LEN(SUBSTITUTE(SUBSTITUTE(SUBSTITUTE(TRIM(A2764&amp;""),CHAR(160),"")," ",""),"년",""))=4,VALUE(SUBSTITUTE(SUBSTITUTE(SUBSTITUTE(TRIM(A2764&amp;""),CHAR(160),"")," ",""),"년",""))&gt;=1900,VALUE(SUBSTITUTE(SUBSTITUTE(SUBSTITUTE(TRIM(A2764&amp;""),CHAR(160),"")," ",""),"년",""))&lt;=2099,TEXT(VALUE(SUBSTITUTE(SUBSTITUTE(SUBSTITUTE(TRIM(A2764&amp;""),CHAR(160),"")," ",""),"년","")),"0000")=SUBSTITUTE(SUBSTITUTE(SUBSTITUTE(TRIM(A2764&amp;""),CHAR(160),"")," ",""),"년","")),SUBSTITUTE(SUBSTITUTE(SUBSTITUTE(TRIM(A2764&amp;""),CHAR(160),"")," ",""),"년",""),""),"")</f>
      </c>
      <c r="I2764" t="str">
        <f>SUBSTITUTE(SUBSTITUTE(SUBSTITUTE(SUBSTITUTE(SUBSTITUTE(TRIM(B2764&amp;""),CHAR(160),"")," ",""),"초등학교","초"),"중학교","중"),"고등학교","고")</f>
      </c>
    </row>
    <row r="2765" customFormat="false" ht="15" hidden="false" customHeight="false" outlineLevel="0" collapsed="false">
      <c r="A2765" s="8"/>
      <c r="B2765" s="8"/>
      <c r="C2765" s="8"/>
      <c r="D2765" s="8"/>
      <c r="E2765" s="8"/>
      <c r="F2765" t="str" s="15">
        <f aca="0">IF(B2765="","",IF(H2765="","확인필요(입력누락)",IF(SUMPRODUCT((실물목록!$P$2:$P$1001&lt;&gt;"")*ISNUMBER(SEARCH(실물목록!$P$2:$P$1001,I2765))*(실물목록!$Q$2:$Q$1001&lt;&gt;"")*ISNUMBER(SEARCH(실물목록!$Q$2:$Q$1001,I2765))*(실물목록!$R$2:$R$1001="")*(실물목록!$O$2:$O$1001&lt;&gt;"")*(실물목록!$O$2:$O$1001=H2765))&gt;0,"실물 있음",IF(SUMPRODUCT((실물목록!$P$2:$P$1001&lt;&gt;"")*ISNUMBER(SEARCH(실물목록!$P$2:$P$1001,I2765))*(실물목록!$R$2:$R$1001&lt;&gt;""))&gt;0,"확인필요(입력누락)",IF(SUMPRODUCT((실물목록!$P$2:$P$1001&lt;&gt;"")*ISNUMBER(SEARCH(실물목록!$P$2:$P$1001,I2765))*(실물목록!$Q$2:$Q$1001&lt;&gt;"")*ISNUMBER(SEARCH(실물목록!$Q$2:$Q$1001,I2765))*(실물목록!$R$2:$R$1001="")*(실물목록!$O$2:$O$1001&lt;&gt;""))&gt;0,"확인필요(연도다름)","실물 없음")))))</f>
      </c>
      <c r="G2765" t="n" s="16">
        <f aca="0">IF(B2765="","",SUMPRODUCT((실물목록!$P$2:$P$1001&lt;&gt;"")*ISNUMBER(SEARCH(실물목록!$P$2:$P$1001,I2765))*(실물목록!$Q$2:$Q$1001&lt;&gt;"")*ISNUMBER(SEARCH(실물목록!$Q$2:$Q$1001,I2765))*(실물목록!$R$2:$R$1001="")*(실물목록!$O$2:$O$1001&lt;&gt;"")*(실물목록!$O$2:$O$1001=H2765)))</f>
      </c>
      <c r="H2765" t="str">
        <f>IFERROR(IF(AND(LEN(SUBSTITUTE(SUBSTITUTE(SUBSTITUTE(TRIM(A2765&amp;""),CHAR(160),"")," ",""),"년",""))=4,VALUE(SUBSTITUTE(SUBSTITUTE(SUBSTITUTE(TRIM(A2765&amp;""),CHAR(160),"")," ",""),"년",""))&gt;=1900,VALUE(SUBSTITUTE(SUBSTITUTE(SUBSTITUTE(TRIM(A2765&amp;""),CHAR(160),"")," ",""),"년",""))&lt;=2099,TEXT(VALUE(SUBSTITUTE(SUBSTITUTE(SUBSTITUTE(TRIM(A2765&amp;""),CHAR(160),"")," ",""),"년","")),"0000")=SUBSTITUTE(SUBSTITUTE(SUBSTITUTE(TRIM(A2765&amp;""),CHAR(160),"")," ",""),"년","")),SUBSTITUTE(SUBSTITUTE(SUBSTITUTE(TRIM(A2765&amp;""),CHAR(160),"")," ",""),"년",""),""),"")</f>
      </c>
      <c r="I2765" t="str">
        <f>SUBSTITUTE(SUBSTITUTE(SUBSTITUTE(SUBSTITUTE(SUBSTITUTE(TRIM(B2765&amp;""),CHAR(160),"")," ",""),"초등학교","초"),"중학교","중"),"고등학교","고")</f>
      </c>
    </row>
    <row r="2766" customFormat="false" ht="15" hidden="false" customHeight="false" outlineLevel="0" collapsed="false">
      <c r="A2766" s="8"/>
      <c r="B2766" s="8"/>
      <c r="C2766" s="8"/>
      <c r="D2766" s="8"/>
      <c r="E2766" s="8"/>
      <c r="F2766" t="str" s="15">
        <f aca="0">IF(B2766="","",IF(H2766="","확인필요(입력누락)",IF(SUMPRODUCT((실물목록!$P$2:$P$1001&lt;&gt;"")*ISNUMBER(SEARCH(실물목록!$P$2:$P$1001,I2766))*(실물목록!$Q$2:$Q$1001&lt;&gt;"")*ISNUMBER(SEARCH(실물목록!$Q$2:$Q$1001,I2766))*(실물목록!$R$2:$R$1001="")*(실물목록!$O$2:$O$1001&lt;&gt;"")*(실물목록!$O$2:$O$1001=H2766))&gt;0,"실물 있음",IF(SUMPRODUCT((실물목록!$P$2:$P$1001&lt;&gt;"")*ISNUMBER(SEARCH(실물목록!$P$2:$P$1001,I2766))*(실물목록!$R$2:$R$1001&lt;&gt;""))&gt;0,"확인필요(입력누락)",IF(SUMPRODUCT((실물목록!$P$2:$P$1001&lt;&gt;"")*ISNUMBER(SEARCH(실물목록!$P$2:$P$1001,I2766))*(실물목록!$Q$2:$Q$1001&lt;&gt;"")*ISNUMBER(SEARCH(실물목록!$Q$2:$Q$1001,I2766))*(실물목록!$R$2:$R$1001="")*(실물목록!$O$2:$O$1001&lt;&gt;""))&gt;0,"확인필요(연도다름)","실물 없음")))))</f>
      </c>
      <c r="G2766" t="n" s="16">
        <f aca="0">IF(B2766="","",SUMPRODUCT((실물목록!$P$2:$P$1001&lt;&gt;"")*ISNUMBER(SEARCH(실물목록!$P$2:$P$1001,I2766))*(실물목록!$Q$2:$Q$1001&lt;&gt;"")*ISNUMBER(SEARCH(실물목록!$Q$2:$Q$1001,I2766))*(실물목록!$R$2:$R$1001="")*(실물목록!$O$2:$O$1001&lt;&gt;"")*(실물목록!$O$2:$O$1001=H2766)))</f>
      </c>
      <c r="H2766" t="str">
        <f>IFERROR(IF(AND(LEN(SUBSTITUTE(SUBSTITUTE(SUBSTITUTE(TRIM(A2766&amp;""),CHAR(160),"")," ",""),"년",""))=4,VALUE(SUBSTITUTE(SUBSTITUTE(SUBSTITUTE(TRIM(A2766&amp;""),CHAR(160),"")," ",""),"년",""))&gt;=1900,VALUE(SUBSTITUTE(SUBSTITUTE(SUBSTITUTE(TRIM(A2766&amp;""),CHAR(160),"")," ",""),"년",""))&lt;=2099,TEXT(VALUE(SUBSTITUTE(SUBSTITUTE(SUBSTITUTE(TRIM(A2766&amp;""),CHAR(160),"")," ",""),"년","")),"0000")=SUBSTITUTE(SUBSTITUTE(SUBSTITUTE(TRIM(A2766&amp;""),CHAR(160),"")," ",""),"년","")),SUBSTITUTE(SUBSTITUTE(SUBSTITUTE(TRIM(A2766&amp;""),CHAR(160),"")," ",""),"년",""),""),"")</f>
      </c>
      <c r="I2766" t="str">
        <f>SUBSTITUTE(SUBSTITUTE(SUBSTITUTE(SUBSTITUTE(SUBSTITUTE(TRIM(B2766&amp;""),CHAR(160),"")," ",""),"초등학교","초"),"중학교","중"),"고등학교","고")</f>
      </c>
    </row>
    <row r="2767" customFormat="false" ht="15" hidden="false" customHeight="false" outlineLevel="0" collapsed="false">
      <c r="A2767" s="8"/>
      <c r="B2767" s="8"/>
      <c r="C2767" s="8"/>
      <c r="D2767" s="8"/>
      <c r="E2767" s="8"/>
      <c r="F2767" t="str" s="15">
        <f aca="0">IF(B2767="","",IF(H2767="","확인필요(입력누락)",IF(SUMPRODUCT((실물목록!$P$2:$P$1001&lt;&gt;"")*ISNUMBER(SEARCH(실물목록!$P$2:$P$1001,I2767))*(실물목록!$Q$2:$Q$1001&lt;&gt;"")*ISNUMBER(SEARCH(실물목록!$Q$2:$Q$1001,I2767))*(실물목록!$R$2:$R$1001="")*(실물목록!$O$2:$O$1001&lt;&gt;"")*(실물목록!$O$2:$O$1001=H2767))&gt;0,"실물 있음",IF(SUMPRODUCT((실물목록!$P$2:$P$1001&lt;&gt;"")*ISNUMBER(SEARCH(실물목록!$P$2:$P$1001,I2767))*(실물목록!$R$2:$R$1001&lt;&gt;""))&gt;0,"확인필요(입력누락)",IF(SUMPRODUCT((실물목록!$P$2:$P$1001&lt;&gt;"")*ISNUMBER(SEARCH(실물목록!$P$2:$P$1001,I2767))*(실물목록!$Q$2:$Q$1001&lt;&gt;"")*ISNUMBER(SEARCH(실물목록!$Q$2:$Q$1001,I2767))*(실물목록!$R$2:$R$1001="")*(실물목록!$O$2:$O$1001&lt;&gt;""))&gt;0,"확인필요(연도다름)","실물 없음")))))</f>
      </c>
      <c r="G2767" t="n" s="16">
        <f aca="0">IF(B2767="","",SUMPRODUCT((실물목록!$P$2:$P$1001&lt;&gt;"")*ISNUMBER(SEARCH(실물목록!$P$2:$P$1001,I2767))*(실물목록!$Q$2:$Q$1001&lt;&gt;"")*ISNUMBER(SEARCH(실물목록!$Q$2:$Q$1001,I2767))*(실물목록!$R$2:$R$1001="")*(실물목록!$O$2:$O$1001&lt;&gt;"")*(실물목록!$O$2:$O$1001=H2767)))</f>
      </c>
      <c r="H2767" t="str">
        <f>IFERROR(IF(AND(LEN(SUBSTITUTE(SUBSTITUTE(SUBSTITUTE(TRIM(A2767&amp;""),CHAR(160),"")," ",""),"년",""))=4,VALUE(SUBSTITUTE(SUBSTITUTE(SUBSTITUTE(TRIM(A2767&amp;""),CHAR(160),"")," ",""),"년",""))&gt;=1900,VALUE(SUBSTITUTE(SUBSTITUTE(SUBSTITUTE(TRIM(A2767&amp;""),CHAR(160),"")," ",""),"년",""))&lt;=2099,TEXT(VALUE(SUBSTITUTE(SUBSTITUTE(SUBSTITUTE(TRIM(A2767&amp;""),CHAR(160),"")," ",""),"년","")),"0000")=SUBSTITUTE(SUBSTITUTE(SUBSTITUTE(TRIM(A2767&amp;""),CHAR(160),"")," ",""),"년","")),SUBSTITUTE(SUBSTITUTE(SUBSTITUTE(TRIM(A2767&amp;""),CHAR(160),"")," ",""),"년",""),""),"")</f>
      </c>
      <c r="I2767" t="str">
        <f>SUBSTITUTE(SUBSTITUTE(SUBSTITUTE(SUBSTITUTE(SUBSTITUTE(TRIM(B2767&amp;""),CHAR(160),"")," ",""),"초등학교","초"),"중학교","중"),"고등학교","고")</f>
      </c>
    </row>
    <row r="2768" customFormat="false" ht="15" hidden="false" customHeight="false" outlineLevel="0" collapsed="false">
      <c r="A2768" s="8"/>
      <c r="B2768" s="8"/>
      <c r="C2768" s="8"/>
      <c r="D2768" s="8"/>
      <c r="E2768" s="8"/>
      <c r="F2768" t="str" s="15">
        <f aca="0">IF(B2768="","",IF(H2768="","확인필요(입력누락)",IF(SUMPRODUCT((실물목록!$P$2:$P$1001&lt;&gt;"")*ISNUMBER(SEARCH(실물목록!$P$2:$P$1001,I2768))*(실물목록!$Q$2:$Q$1001&lt;&gt;"")*ISNUMBER(SEARCH(실물목록!$Q$2:$Q$1001,I2768))*(실물목록!$R$2:$R$1001="")*(실물목록!$O$2:$O$1001&lt;&gt;"")*(실물목록!$O$2:$O$1001=H2768))&gt;0,"실물 있음",IF(SUMPRODUCT((실물목록!$P$2:$P$1001&lt;&gt;"")*ISNUMBER(SEARCH(실물목록!$P$2:$P$1001,I2768))*(실물목록!$R$2:$R$1001&lt;&gt;""))&gt;0,"확인필요(입력누락)",IF(SUMPRODUCT((실물목록!$P$2:$P$1001&lt;&gt;"")*ISNUMBER(SEARCH(실물목록!$P$2:$P$1001,I2768))*(실물목록!$Q$2:$Q$1001&lt;&gt;"")*ISNUMBER(SEARCH(실물목록!$Q$2:$Q$1001,I2768))*(실물목록!$R$2:$R$1001="")*(실물목록!$O$2:$O$1001&lt;&gt;""))&gt;0,"확인필요(연도다름)","실물 없음")))))</f>
      </c>
      <c r="G2768" t="n" s="16">
        <f aca="0">IF(B2768="","",SUMPRODUCT((실물목록!$P$2:$P$1001&lt;&gt;"")*ISNUMBER(SEARCH(실물목록!$P$2:$P$1001,I2768))*(실물목록!$Q$2:$Q$1001&lt;&gt;"")*ISNUMBER(SEARCH(실물목록!$Q$2:$Q$1001,I2768))*(실물목록!$R$2:$R$1001="")*(실물목록!$O$2:$O$1001&lt;&gt;"")*(실물목록!$O$2:$O$1001=H2768)))</f>
      </c>
      <c r="H2768" t="str">
        <f>IFERROR(IF(AND(LEN(SUBSTITUTE(SUBSTITUTE(SUBSTITUTE(TRIM(A2768&amp;""),CHAR(160),"")," ",""),"년",""))=4,VALUE(SUBSTITUTE(SUBSTITUTE(SUBSTITUTE(TRIM(A2768&amp;""),CHAR(160),"")," ",""),"년",""))&gt;=1900,VALUE(SUBSTITUTE(SUBSTITUTE(SUBSTITUTE(TRIM(A2768&amp;""),CHAR(160),"")," ",""),"년",""))&lt;=2099,TEXT(VALUE(SUBSTITUTE(SUBSTITUTE(SUBSTITUTE(TRIM(A2768&amp;""),CHAR(160),"")," ",""),"년","")),"0000")=SUBSTITUTE(SUBSTITUTE(SUBSTITUTE(TRIM(A2768&amp;""),CHAR(160),"")," ",""),"년","")),SUBSTITUTE(SUBSTITUTE(SUBSTITUTE(TRIM(A2768&amp;""),CHAR(160),"")," ",""),"년",""),""),"")</f>
      </c>
      <c r="I2768" t="str">
        <f>SUBSTITUTE(SUBSTITUTE(SUBSTITUTE(SUBSTITUTE(SUBSTITUTE(TRIM(B2768&amp;""),CHAR(160),"")," ",""),"초등학교","초"),"중학교","중"),"고등학교","고")</f>
      </c>
    </row>
    <row r="2769" customFormat="false" ht="15" hidden="false" customHeight="false" outlineLevel="0" collapsed="false">
      <c r="A2769" s="8"/>
      <c r="B2769" s="8"/>
      <c r="C2769" s="8"/>
      <c r="D2769" s="8"/>
      <c r="E2769" s="8"/>
      <c r="F2769" t="str" s="15">
        <f aca="0">IF(B2769="","",IF(H2769="","확인필요(입력누락)",IF(SUMPRODUCT((실물목록!$P$2:$P$1001&lt;&gt;"")*ISNUMBER(SEARCH(실물목록!$P$2:$P$1001,I2769))*(실물목록!$Q$2:$Q$1001&lt;&gt;"")*ISNUMBER(SEARCH(실물목록!$Q$2:$Q$1001,I2769))*(실물목록!$R$2:$R$1001="")*(실물목록!$O$2:$O$1001&lt;&gt;"")*(실물목록!$O$2:$O$1001=H2769))&gt;0,"실물 있음",IF(SUMPRODUCT((실물목록!$P$2:$P$1001&lt;&gt;"")*ISNUMBER(SEARCH(실물목록!$P$2:$P$1001,I2769))*(실물목록!$R$2:$R$1001&lt;&gt;""))&gt;0,"확인필요(입력누락)",IF(SUMPRODUCT((실물목록!$P$2:$P$1001&lt;&gt;"")*ISNUMBER(SEARCH(실물목록!$P$2:$P$1001,I2769))*(실물목록!$Q$2:$Q$1001&lt;&gt;"")*ISNUMBER(SEARCH(실물목록!$Q$2:$Q$1001,I2769))*(실물목록!$R$2:$R$1001="")*(실물목록!$O$2:$O$1001&lt;&gt;""))&gt;0,"확인필요(연도다름)","실물 없음")))))</f>
      </c>
      <c r="G2769" t="n" s="16">
        <f aca="0">IF(B2769="","",SUMPRODUCT((실물목록!$P$2:$P$1001&lt;&gt;"")*ISNUMBER(SEARCH(실물목록!$P$2:$P$1001,I2769))*(실물목록!$Q$2:$Q$1001&lt;&gt;"")*ISNUMBER(SEARCH(실물목록!$Q$2:$Q$1001,I2769))*(실물목록!$R$2:$R$1001="")*(실물목록!$O$2:$O$1001&lt;&gt;"")*(실물목록!$O$2:$O$1001=H2769)))</f>
      </c>
      <c r="H2769" t="str">
        <f>IFERROR(IF(AND(LEN(SUBSTITUTE(SUBSTITUTE(SUBSTITUTE(TRIM(A2769&amp;""),CHAR(160),"")," ",""),"년",""))=4,VALUE(SUBSTITUTE(SUBSTITUTE(SUBSTITUTE(TRIM(A2769&amp;""),CHAR(160),"")," ",""),"년",""))&gt;=1900,VALUE(SUBSTITUTE(SUBSTITUTE(SUBSTITUTE(TRIM(A2769&amp;""),CHAR(160),"")," ",""),"년",""))&lt;=2099,TEXT(VALUE(SUBSTITUTE(SUBSTITUTE(SUBSTITUTE(TRIM(A2769&amp;""),CHAR(160),"")," ",""),"년","")),"0000")=SUBSTITUTE(SUBSTITUTE(SUBSTITUTE(TRIM(A2769&amp;""),CHAR(160),"")," ",""),"년","")),SUBSTITUTE(SUBSTITUTE(SUBSTITUTE(TRIM(A2769&amp;""),CHAR(160),"")," ",""),"년",""),""),"")</f>
      </c>
      <c r="I2769" t="str">
        <f>SUBSTITUTE(SUBSTITUTE(SUBSTITUTE(SUBSTITUTE(SUBSTITUTE(TRIM(B2769&amp;""),CHAR(160),"")," ",""),"초등학교","초"),"중학교","중"),"고등학교","고")</f>
      </c>
    </row>
    <row r="2770" customFormat="false" ht="15" hidden="false" customHeight="false" outlineLevel="0" collapsed="false">
      <c r="A2770" s="8"/>
      <c r="B2770" s="8"/>
      <c r="C2770" s="8"/>
      <c r="D2770" s="8"/>
      <c r="E2770" s="8"/>
      <c r="F2770" t="str" s="15">
        <f aca="0">IF(B2770="","",IF(H2770="","확인필요(입력누락)",IF(SUMPRODUCT((실물목록!$P$2:$P$1001&lt;&gt;"")*ISNUMBER(SEARCH(실물목록!$P$2:$P$1001,I2770))*(실물목록!$Q$2:$Q$1001&lt;&gt;"")*ISNUMBER(SEARCH(실물목록!$Q$2:$Q$1001,I2770))*(실물목록!$R$2:$R$1001="")*(실물목록!$O$2:$O$1001&lt;&gt;"")*(실물목록!$O$2:$O$1001=H2770))&gt;0,"실물 있음",IF(SUMPRODUCT((실물목록!$P$2:$P$1001&lt;&gt;"")*ISNUMBER(SEARCH(실물목록!$P$2:$P$1001,I2770))*(실물목록!$R$2:$R$1001&lt;&gt;""))&gt;0,"확인필요(입력누락)",IF(SUMPRODUCT((실물목록!$P$2:$P$1001&lt;&gt;"")*ISNUMBER(SEARCH(실물목록!$P$2:$P$1001,I2770))*(실물목록!$Q$2:$Q$1001&lt;&gt;"")*ISNUMBER(SEARCH(실물목록!$Q$2:$Q$1001,I2770))*(실물목록!$R$2:$R$1001="")*(실물목록!$O$2:$O$1001&lt;&gt;""))&gt;0,"확인필요(연도다름)","실물 없음")))))</f>
      </c>
      <c r="G2770" t="n" s="16">
        <f aca="0">IF(B2770="","",SUMPRODUCT((실물목록!$P$2:$P$1001&lt;&gt;"")*ISNUMBER(SEARCH(실물목록!$P$2:$P$1001,I2770))*(실물목록!$Q$2:$Q$1001&lt;&gt;"")*ISNUMBER(SEARCH(실물목록!$Q$2:$Q$1001,I2770))*(실물목록!$R$2:$R$1001="")*(실물목록!$O$2:$O$1001&lt;&gt;"")*(실물목록!$O$2:$O$1001=H2770)))</f>
      </c>
      <c r="H2770" t="str">
        <f>IFERROR(IF(AND(LEN(SUBSTITUTE(SUBSTITUTE(SUBSTITUTE(TRIM(A2770&amp;""),CHAR(160),"")," ",""),"년",""))=4,VALUE(SUBSTITUTE(SUBSTITUTE(SUBSTITUTE(TRIM(A2770&amp;""),CHAR(160),"")," ",""),"년",""))&gt;=1900,VALUE(SUBSTITUTE(SUBSTITUTE(SUBSTITUTE(TRIM(A2770&amp;""),CHAR(160),"")," ",""),"년",""))&lt;=2099,TEXT(VALUE(SUBSTITUTE(SUBSTITUTE(SUBSTITUTE(TRIM(A2770&amp;""),CHAR(160),"")," ",""),"년","")),"0000")=SUBSTITUTE(SUBSTITUTE(SUBSTITUTE(TRIM(A2770&amp;""),CHAR(160),"")," ",""),"년","")),SUBSTITUTE(SUBSTITUTE(SUBSTITUTE(TRIM(A2770&amp;""),CHAR(160),"")," ",""),"년",""),""),"")</f>
      </c>
      <c r="I2770" t="str">
        <f>SUBSTITUTE(SUBSTITUTE(SUBSTITUTE(SUBSTITUTE(SUBSTITUTE(TRIM(B2770&amp;""),CHAR(160),"")," ",""),"초등학교","초"),"중학교","중"),"고등학교","고")</f>
      </c>
    </row>
    <row r="2771" customFormat="false" ht="15" hidden="false" customHeight="false" outlineLevel="0" collapsed="false">
      <c r="A2771" s="8"/>
      <c r="B2771" s="8"/>
      <c r="C2771" s="8"/>
      <c r="D2771" s="8"/>
      <c r="E2771" s="8"/>
      <c r="F2771" t="str" s="15">
        <f aca="0">IF(B2771="","",IF(H2771="","확인필요(입력누락)",IF(SUMPRODUCT((실물목록!$P$2:$P$1001&lt;&gt;"")*ISNUMBER(SEARCH(실물목록!$P$2:$P$1001,I2771))*(실물목록!$Q$2:$Q$1001&lt;&gt;"")*ISNUMBER(SEARCH(실물목록!$Q$2:$Q$1001,I2771))*(실물목록!$R$2:$R$1001="")*(실물목록!$O$2:$O$1001&lt;&gt;"")*(실물목록!$O$2:$O$1001=H2771))&gt;0,"실물 있음",IF(SUMPRODUCT((실물목록!$P$2:$P$1001&lt;&gt;"")*ISNUMBER(SEARCH(실물목록!$P$2:$P$1001,I2771))*(실물목록!$R$2:$R$1001&lt;&gt;""))&gt;0,"확인필요(입력누락)",IF(SUMPRODUCT((실물목록!$P$2:$P$1001&lt;&gt;"")*ISNUMBER(SEARCH(실물목록!$P$2:$P$1001,I2771))*(실물목록!$Q$2:$Q$1001&lt;&gt;"")*ISNUMBER(SEARCH(실물목록!$Q$2:$Q$1001,I2771))*(실물목록!$R$2:$R$1001="")*(실물목록!$O$2:$O$1001&lt;&gt;""))&gt;0,"확인필요(연도다름)","실물 없음")))))</f>
      </c>
      <c r="G2771" t="n" s="16">
        <f aca="0">IF(B2771="","",SUMPRODUCT((실물목록!$P$2:$P$1001&lt;&gt;"")*ISNUMBER(SEARCH(실물목록!$P$2:$P$1001,I2771))*(실물목록!$Q$2:$Q$1001&lt;&gt;"")*ISNUMBER(SEARCH(실물목록!$Q$2:$Q$1001,I2771))*(실물목록!$R$2:$R$1001="")*(실물목록!$O$2:$O$1001&lt;&gt;"")*(실물목록!$O$2:$O$1001=H2771)))</f>
      </c>
      <c r="H2771" t="str">
        <f>IFERROR(IF(AND(LEN(SUBSTITUTE(SUBSTITUTE(SUBSTITUTE(TRIM(A2771&amp;""),CHAR(160),"")," ",""),"년",""))=4,VALUE(SUBSTITUTE(SUBSTITUTE(SUBSTITUTE(TRIM(A2771&amp;""),CHAR(160),"")," ",""),"년",""))&gt;=1900,VALUE(SUBSTITUTE(SUBSTITUTE(SUBSTITUTE(TRIM(A2771&amp;""),CHAR(160),"")," ",""),"년",""))&lt;=2099,TEXT(VALUE(SUBSTITUTE(SUBSTITUTE(SUBSTITUTE(TRIM(A2771&amp;""),CHAR(160),"")," ",""),"년","")),"0000")=SUBSTITUTE(SUBSTITUTE(SUBSTITUTE(TRIM(A2771&amp;""),CHAR(160),"")," ",""),"년","")),SUBSTITUTE(SUBSTITUTE(SUBSTITUTE(TRIM(A2771&amp;""),CHAR(160),"")," ",""),"년",""),""),"")</f>
      </c>
      <c r="I2771" t="str">
        <f>SUBSTITUTE(SUBSTITUTE(SUBSTITUTE(SUBSTITUTE(SUBSTITUTE(TRIM(B2771&amp;""),CHAR(160),"")," ",""),"초등학교","초"),"중학교","중"),"고등학교","고")</f>
      </c>
    </row>
    <row r="2772" customFormat="false" ht="15" hidden="false" customHeight="false" outlineLevel="0" collapsed="false">
      <c r="A2772" s="8"/>
      <c r="B2772" s="8"/>
      <c r="C2772" s="8"/>
      <c r="D2772" s="8"/>
      <c r="E2772" s="8"/>
      <c r="F2772" t="str" s="15">
        <f aca="0">IF(B2772="","",IF(H2772="","확인필요(입력누락)",IF(SUMPRODUCT((실물목록!$P$2:$P$1001&lt;&gt;"")*ISNUMBER(SEARCH(실물목록!$P$2:$P$1001,I2772))*(실물목록!$Q$2:$Q$1001&lt;&gt;"")*ISNUMBER(SEARCH(실물목록!$Q$2:$Q$1001,I2772))*(실물목록!$R$2:$R$1001="")*(실물목록!$O$2:$O$1001&lt;&gt;"")*(실물목록!$O$2:$O$1001=H2772))&gt;0,"실물 있음",IF(SUMPRODUCT((실물목록!$P$2:$P$1001&lt;&gt;"")*ISNUMBER(SEARCH(실물목록!$P$2:$P$1001,I2772))*(실물목록!$R$2:$R$1001&lt;&gt;""))&gt;0,"확인필요(입력누락)",IF(SUMPRODUCT((실물목록!$P$2:$P$1001&lt;&gt;"")*ISNUMBER(SEARCH(실물목록!$P$2:$P$1001,I2772))*(실물목록!$Q$2:$Q$1001&lt;&gt;"")*ISNUMBER(SEARCH(실물목록!$Q$2:$Q$1001,I2772))*(실물목록!$R$2:$R$1001="")*(실물목록!$O$2:$O$1001&lt;&gt;""))&gt;0,"확인필요(연도다름)","실물 없음")))))</f>
      </c>
      <c r="G2772" t="n" s="16">
        <f aca="0">IF(B2772="","",SUMPRODUCT((실물목록!$P$2:$P$1001&lt;&gt;"")*ISNUMBER(SEARCH(실물목록!$P$2:$P$1001,I2772))*(실물목록!$Q$2:$Q$1001&lt;&gt;"")*ISNUMBER(SEARCH(실물목록!$Q$2:$Q$1001,I2772))*(실물목록!$R$2:$R$1001="")*(실물목록!$O$2:$O$1001&lt;&gt;"")*(실물목록!$O$2:$O$1001=H2772)))</f>
      </c>
      <c r="H2772" t="str">
        <f>IFERROR(IF(AND(LEN(SUBSTITUTE(SUBSTITUTE(SUBSTITUTE(TRIM(A2772&amp;""),CHAR(160),"")," ",""),"년",""))=4,VALUE(SUBSTITUTE(SUBSTITUTE(SUBSTITUTE(TRIM(A2772&amp;""),CHAR(160),"")," ",""),"년",""))&gt;=1900,VALUE(SUBSTITUTE(SUBSTITUTE(SUBSTITUTE(TRIM(A2772&amp;""),CHAR(160),"")," ",""),"년",""))&lt;=2099,TEXT(VALUE(SUBSTITUTE(SUBSTITUTE(SUBSTITUTE(TRIM(A2772&amp;""),CHAR(160),"")," ",""),"년","")),"0000")=SUBSTITUTE(SUBSTITUTE(SUBSTITUTE(TRIM(A2772&amp;""),CHAR(160),"")," ",""),"년","")),SUBSTITUTE(SUBSTITUTE(SUBSTITUTE(TRIM(A2772&amp;""),CHAR(160),"")," ",""),"년",""),""),"")</f>
      </c>
      <c r="I2772" t="str">
        <f>SUBSTITUTE(SUBSTITUTE(SUBSTITUTE(SUBSTITUTE(SUBSTITUTE(TRIM(B2772&amp;""),CHAR(160),"")," ",""),"초등학교","초"),"중학교","중"),"고등학교","고")</f>
      </c>
    </row>
    <row r="2773" customFormat="false" ht="15" hidden="false" customHeight="false" outlineLevel="0" collapsed="false">
      <c r="A2773" s="8"/>
      <c r="B2773" s="8"/>
      <c r="C2773" s="8"/>
      <c r="D2773" s="8"/>
      <c r="E2773" s="8"/>
      <c r="F2773" t="str" s="15">
        <f aca="0">IF(B2773="","",IF(H2773="","확인필요(입력누락)",IF(SUMPRODUCT((실물목록!$P$2:$P$1001&lt;&gt;"")*ISNUMBER(SEARCH(실물목록!$P$2:$P$1001,I2773))*(실물목록!$Q$2:$Q$1001&lt;&gt;"")*ISNUMBER(SEARCH(실물목록!$Q$2:$Q$1001,I2773))*(실물목록!$R$2:$R$1001="")*(실물목록!$O$2:$O$1001&lt;&gt;"")*(실물목록!$O$2:$O$1001=H2773))&gt;0,"실물 있음",IF(SUMPRODUCT((실물목록!$P$2:$P$1001&lt;&gt;"")*ISNUMBER(SEARCH(실물목록!$P$2:$P$1001,I2773))*(실물목록!$R$2:$R$1001&lt;&gt;""))&gt;0,"확인필요(입력누락)",IF(SUMPRODUCT((실물목록!$P$2:$P$1001&lt;&gt;"")*ISNUMBER(SEARCH(실물목록!$P$2:$P$1001,I2773))*(실물목록!$Q$2:$Q$1001&lt;&gt;"")*ISNUMBER(SEARCH(실물목록!$Q$2:$Q$1001,I2773))*(실물목록!$R$2:$R$1001="")*(실물목록!$O$2:$O$1001&lt;&gt;""))&gt;0,"확인필요(연도다름)","실물 없음")))))</f>
      </c>
      <c r="G2773" t="n" s="16">
        <f aca="0">IF(B2773="","",SUMPRODUCT((실물목록!$P$2:$P$1001&lt;&gt;"")*ISNUMBER(SEARCH(실물목록!$P$2:$P$1001,I2773))*(실물목록!$Q$2:$Q$1001&lt;&gt;"")*ISNUMBER(SEARCH(실물목록!$Q$2:$Q$1001,I2773))*(실물목록!$R$2:$R$1001="")*(실물목록!$O$2:$O$1001&lt;&gt;"")*(실물목록!$O$2:$O$1001=H2773)))</f>
      </c>
      <c r="H2773" t="str">
        <f>IFERROR(IF(AND(LEN(SUBSTITUTE(SUBSTITUTE(SUBSTITUTE(TRIM(A2773&amp;""),CHAR(160),"")," ",""),"년",""))=4,VALUE(SUBSTITUTE(SUBSTITUTE(SUBSTITUTE(TRIM(A2773&amp;""),CHAR(160),"")," ",""),"년",""))&gt;=1900,VALUE(SUBSTITUTE(SUBSTITUTE(SUBSTITUTE(TRIM(A2773&amp;""),CHAR(160),"")," ",""),"년",""))&lt;=2099,TEXT(VALUE(SUBSTITUTE(SUBSTITUTE(SUBSTITUTE(TRIM(A2773&amp;""),CHAR(160),"")," ",""),"년","")),"0000")=SUBSTITUTE(SUBSTITUTE(SUBSTITUTE(TRIM(A2773&amp;""),CHAR(160),"")," ",""),"년","")),SUBSTITUTE(SUBSTITUTE(SUBSTITUTE(TRIM(A2773&amp;""),CHAR(160),"")," ",""),"년",""),""),"")</f>
      </c>
      <c r="I2773" t="str">
        <f>SUBSTITUTE(SUBSTITUTE(SUBSTITUTE(SUBSTITUTE(SUBSTITUTE(TRIM(B2773&amp;""),CHAR(160),"")," ",""),"초등학교","초"),"중학교","중"),"고등학교","고")</f>
      </c>
    </row>
    <row r="2774" customFormat="false" ht="15" hidden="false" customHeight="false" outlineLevel="0" collapsed="false">
      <c r="A2774" s="8"/>
      <c r="B2774" s="8"/>
      <c r="C2774" s="8"/>
      <c r="D2774" s="8"/>
      <c r="E2774" s="8"/>
      <c r="F2774" t="str" s="15">
        <f aca="0">IF(B2774="","",IF(H2774="","확인필요(입력누락)",IF(SUMPRODUCT((실물목록!$P$2:$P$1001&lt;&gt;"")*ISNUMBER(SEARCH(실물목록!$P$2:$P$1001,I2774))*(실물목록!$Q$2:$Q$1001&lt;&gt;"")*ISNUMBER(SEARCH(실물목록!$Q$2:$Q$1001,I2774))*(실물목록!$R$2:$R$1001="")*(실물목록!$O$2:$O$1001&lt;&gt;"")*(실물목록!$O$2:$O$1001=H2774))&gt;0,"실물 있음",IF(SUMPRODUCT((실물목록!$P$2:$P$1001&lt;&gt;"")*ISNUMBER(SEARCH(실물목록!$P$2:$P$1001,I2774))*(실물목록!$R$2:$R$1001&lt;&gt;""))&gt;0,"확인필요(입력누락)",IF(SUMPRODUCT((실물목록!$P$2:$P$1001&lt;&gt;"")*ISNUMBER(SEARCH(실물목록!$P$2:$P$1001,I2774))*(실물목록!$Q$2:$Q$1001&lt;&gt;"")*ISNUMBER(SEARCH(실물목록!$Q$2:$Q$1001,I2774))*(실물목록!$R$2:$R$1001="")*(실물목록!$O$2:$O$1001&lt;&gt;""))&gt;0,"확인필요(연도다름)","실물 없음")))))</f>
      </c>
      <c r="G2774" t="n" s="16">
        <f aca="0">IF(B2774="","",SUMPRODUCT((실물목록!$P$2:$P$1001&lt;&gt;"")*ISNUMBER(SEARCH(실물목록!$P$2:$P$1001,I2774))*(실물목록!$Q$2:$Q$1001&lt;&gt;"")*ISNUMBER(SEARCH(실물목록!$Q$2:$Q$1001,I2774))*(실물목록!$R$2:$R$1001="")*(실물목록!$O$2:$O$1001&lt;&gt;"")*(실물목록!$O$2:$O$1001=H2774)))</f>
      </c>
      <c r="H2774" t="str">
        <f>IFERROR(IF(AND(LEN(SUBSTITUTE(SUBSTITUTE(SUBSTITUTE(TRIM(A2774&amp;""),CHAR(160),"")," ",""),"년",""))=4,VALUE(SUBSTITUTE(SUBSTITUTE(SUBSTITUTE(TRIM(A2774&amp;""),CHAR(160),"")," ",""),"년",""))&gt;=1900,VALUE(SUBSTITUTE(SUBSTITUTE(SUBSTITUTE(TRIM(A2774&amp;""),CHAR(160),"")," ",""),"년",""))&lt;=2099,TEXT(VALUE(SUBSTITUTE(SUBSTITUTE(SUBSTITUTE(TRIM(A2774&amp;""),CHAR(160),"")," ",""),"년","")),"0000")=SUBSTITUTE(SUBSTITUTE(SUBSTITUTE(TRIM(A2774&amp;""),CHAR(160),"")," ",""),"년","")),SUBSTITUTE(SUBSTITUTE(SUBSTITUTE(TRIM(A2774&amp;""),CHAR(160),"")," ",""),"년",""),""),"")</f>
      </c>
      <c r="I2774" t="str">
        <f>SUBSTITUTE(SUBSTITUTE(SUBSTITUTE(SUBSTITUTE(SUBSTITUTE(TRIM(B2774&amp;""),CHAR(160),"")," ",""),"초등학교","초"),"중학교","중"),"고등학교","고")</f>
      </c>
    </row>
    <row r="2775" customFormat="false" ht="15" hidden="false" customHeight="false" outlineLevel="0" collapsed="false">
      <c r="A2775" s="8"/>
      <c r="B2775" s="8"/>
      <c r="C2775" s="8"/>
      <c r="D2775" s="8"/>
      <c r="E2775" s="8"/>
      <c r="F2775" t="str" s="15">
        <f aca="0">IF(B2775="","",IF(H2775="","확인필요(입력누락)",IF(SUMPRODUCT((실물목록!$P$2:$P$1001&lt;&gt;"")*ISNUMBER(SEARCH(실물목록!$P$2:$P$1001,I2775))*(실물목록!$Q$2:$Q$1001&lt;&gt;"")*ISNUMBER(SEARCH(실물목록!$Q$2:$Q$1001,I2775))*(실물목록!$R$2:$R$1001="")*(실물목록!$O$2:$O$1001&lt;&gt;"")*(실물목록!$O$2:$O$1001=H2775))&gt;0,"실물 있음",IF(SUMPRODUCT((실물목록!$P$2:$P$1001&lt;&gt;"")*ISNUMBER(SEARCH(실물목록!$P$2:$P$1001,I2775))*(실물목록!$R$2:$R$1001&lt;&gt;""))&gt;0,"확인필요(입력누락)",IF(SUMPRODUCT((실물목록!$P$2:$P$1001&lt;&gt;"")*ISNUMBER(SEARCH(실물목록!$P$2:$P$1001,I2775))*(실물목록!$Q$2:$Q$1001&lt;&gt;"")*ISNUMBER(SEARCH(실물목록!$Q$2:$Q$1001,I2775))*(실물목록!$R$2:$R$1001="")*(실물목록!$O$2:$O$1001&lt;&gt;""))&gt;0,"확인필요(연도다름)","실물 없음")))))</f>
      </c>
      <c r="G2775" t="n" s="16">
        <f aca="0">IF(B2775="","",SUMPRODUCT((실물목록!$P$2:$P$1001&lt;&gt;"")*ISNUMBER(SEARCH(실물목록!$P$2:$P$1001,I2775))*(실물목록!$Q$2:$Q$1001&lt;&gt;"")*ISNUMBER(SEARCH(실물목록!$Q$2:$Q$1001,I2775))*(실물목록!$R$2:$R$1001="")*(실물목록!$O$2:$O$1001&lt;&gt;"")*(실물목록!$O$2:$O$1001=H2775)))</f>
      </c>
      <c r="H2775" t="str">
        <f>IFERROR(IF(AND(LEN(SUBSTITUTE(SUBSTITUTE(SUBSTITUTE(TRIM(A2775&amp;""),CHAR(160),"")," ",""),"년",""))=4,VALUE(SUBSTITUTE(SUBSTITUTE(SUBSTITUTE(TRIM(A2775&amp;""),CHAR(160),"")," ",""),"년",""))&gt;=1900,VALUE(SUBSTITUTE(SUBSTITUTE(SUBSTITUTE(TRIM(A2775&amp;""),CHAR(160),"")," ",""),"년",""))&lt;=2099,TEXT(VALUE(SUBSTITUTE(SUBSTITUTE(SUBSTITUTE(TRIM(A2775&amp;""),CHAR(160),"")," ",""),"년","")),"0000")=SUBSTITUTE(SUBSTITUTE(SUBSTITUTE(TRIM(A2775&amp;""),CHAR(160),"")," ",""),"년","")),SUBSTITUTE(SUBSTITUTE(SUBSTITUTE(TRIM(A2775&amp;""),CHAR(160),"")," ",""),"년",""),""),"")</f>
      </c>
      <c r="I2775" t="str">
        <f>SUBSTITUTE(SUBSTITUTE(SUBSTITUTE(SUBSTITUTE(SUBSTITUTE(TRIM(B2775&amp;""),CHAR(160),"")," ",""),"초등학교","초"),"중학교","중"),"고등학교","고")</f>
      </c>
    </row>
    <row r="2776" customFormat="false" ht="15" hidden="false" customHeight="false" outlineLevel="0" collapsed="false">
      <c r="A2776" s="8"/>
      <c r="B2776" s="8"/>
      <c r="C2776" s="8"/>
      <c r="D2776" s="8"/>
      <c r="E2776" s="8"/>
      <c r="F2776" t="str" s="15">
        <f aca="0">IF(B2776="","",IF(H2776="","확인필요(입력누락)",IF(SUMPRODUCT((실물목록!$P$2:$P$1001&lt;&gt;"")*ISNUMBER(SEARCH(실물목록!$P$2:$P$1001,I2776))*(실물목록!$Q$2:$Q$1001&lt;&gt;"")*ISNUMBER(SEARCH(실물목록!$Q$2:$Q$1001,I2776))*(실물목록!$R$2:$R$1001="")*(실물목록!$O$2:$O$1001&lt;&gt;"")*(실물목록!$O$2:$O$1001=H2776))&gt;0,"실물 있음",IF(SUMPRODUCT((실물목록!$P$2:$P$1001&lt;&gt;"")*ISNUMBER(SEARCH(실물목록!$P$2:$P$1001,I2776))*(실물목록!$R$2:$R$1001&lt;&gt;""))&gt;0,"확인필요(입력누락)",IF(SUMPRODUCT((실물목록!$P$2:$P$1001&lt;&gt;"")*ISNUMBER(SEARCH(실물목록!$P$2:$P$1001,I2776))*(실물목록!$Q$2:$Q$1001&lt;&gt;"")*ISNUMBER(SEARCH(실물목록!$Q$2:$Q$1001,I2776))*(실물목록!$R$2:$R$1001="")*(실물목록!$O$2:$O$1001&lt;&gt;""))&gt;0,"확인필요(연도다름)","실물 없음")))))</f>
      </c>
      <c r="G2776" t="n" s="16">
        <f aca="0">IF(B2776="","",SUMPRODUCT((실물목록!$P$2:$P$1001&lt;&gt;"")*ISNUMBER(SEARCH(실물목록!$P$2:$P$1001,I2776))*(실물목록!$Q$2:$Q$1001&lt;&gt;"")*ISNUMBER(SEARCH(실물목록!$Q$2:$Q$1001,I2776))*(실물목록!$R$2:$R$1001="")*(실물목록!$O$2:$O$1001&lt;&gt;"")*(실물목록!$O$2:$O$1001=H2776)))</f>
      </c>
      <c r="H2776" t="str">
        <f>IFERROR(IF(AND(LEN(SUBSTITUTE(SUBSTITUTE(SUBSTITUTE(TRIM(A2776&amp;""),CHAR(160),"")," ",""),"년",""))=4,VALUE(SUBSTITUTE(SUBSTITUTE(SUBSTITUTE(TRIM(A2776&amp;""),CHAR(160),"")," ",""),"년",""))&gt;=1900,VALUE(SUBSTITUTE(SUBSTITUTE(SUBSTITUTE(TRIM(A2776&amp;""),CHAR(160),"")," ",""),"년",""))&lt;=2099,TEXT(VALUE(SUBSTITUTE(SUBSTITUTE(SUBSTITUTE(TRIM(A2776&amp;""),CHAR(160),"")," ",""),"년","")),"0000")=SUBSTITUTE(SUBSTITUTE(SUBSTITUTE(TRIM(A2776&amp;""),CHAR(160),"")," ",""),"년","")),SUBSTITUTE(SUBSTITUTE(SUBSTITUTE(TRIM(A2776&amp;""),CHAR(160),"")," ",""),"년",""),""),"")</f>
      </c>
      <c r="I2776" t="str">
        <f>SUBSTITUTE(SUBSTITUTE(SUBSTITUTE(SUBSTITUTE(SUBSTITUTE(TRIM(B2776&amp;""),CHAR(160),"")," ",""),"초등학교","초"),"중학교","중"),"고등학교","고")</f>
      </c>
    </row>
    <row r="2777" customFormat="false" ht="15" hidden="false" customHeight="false" outlineLevel="0" collapsed="false">
      <c r="A2777" s="8"/>
      <c r="B2777" s="8"/>
      <c r="C2777" s="8"/>
      <c r="D2777" s="8"/>
      <c r="E2777" s="8"/>
      <c r="F2777" t="str" s="15">
        <f aca="0">IF(B2777="","",IF(H2777="","확인필요(입력누락)",IF(SUMPRODUCT((실물목록!$P$2:$P$1001&lt;&gt;"")*ISNUMBER(SEARCH(실물목록!$P$2:$P$1001,I2777))*(실물목록!$Q$2:$Q$1001&lt;&gt;"")*ISNUMBER(SEARCH(실물목록!$Q$2:$Q$1001,I2777))*(실물목록!$R$2:$R$1001="")*(실물목록!$O$2:$O$1001&lt;&gt;"")*(실물목록!$O$2:$O$1001=H2777))&gt;0,"실물 있음",IF(SUMPRODUCT((실물목록!$P$2:$P$1001&lt;&gt;"")*ISNUMBER(SEARCH(실물목록!$P$2:$P$1001,I2777))*(실물목록!$R$2:$R$1001&lt;&gt;""))&gt;0,"확인필요(입력누락)",IF(SUMPRODUCT((실물목록!$P$2:$P$1001&lt;&gt;"")*ISNUMBER(SEARCH(실물목록!$P$2:$P$1001,I2777))*(실물목록!$Q$2:$Q$1001&lt;&gt;"")*ISNUMBER(SEARCH(실물목록!$Q$2:$Q$1001,I2777))*(실물목록!$R$2:$R$1001="")*(실물목록!$O$2:$O$1001&lt;&gt;""))&gt;0,"확인필요(연도다름)","실물 없음")))))</f>
      </c>
      <c r="G2777" t="n" s="16">
        <f aca="0">IF(B2777="","",SUMPRODUCT((실물목록!$P$2:$P$1001&lt;&gt;"")*ISNUMBER(SEARCH(실물목록!$P$2:$P$1001,I2777))*(실물목록!$Q$2:$Q$1001&lt;&gt;"")*ISNUMBER(SEARCH(실물목록!$Q$2:$Q$1001,I2777))*(실물목록!$R$2:$R$1001="")*(실물목록!$O$2:$O$1001&lt;&gt;"")*(실물목록!$O$2:$O$1001=H2777)))</f>
      </c>
      <c r="H2777" t="str">
        <f>IFERROR(IF(AND(LEN(SUBSTITUTE(SUBSTITUTE(SUBSTITUTE(TRIM(A2777&amp;""),CHAR(160),"")," ",""),"년",""))=4,VALUE(SUBSTITUTE(SUBSTITUTE(SUBSTITUTE(TRIM(A2777&amp;""),CHAR(160),"")," ",""),"년",""))&gt;=1900,VALUE(SUBSTITUTE(SUBSTITUTE(SUBSTITUTE(TRIM(A2777&amp;""),CHAR(160),"")," ",""),"년",""))&lt;=2099,TEXT(VALUE(SUBSTITUTE(SUBSTITUTE(SUBSTITUTE(TRIM(A2777&amp;""),CHAR(160),"")," ",""),"년","")),"0000")=SUBSTITUTE(SUBSTITUTE(SUBSTITUTE(TRIM(A2777&amp;""),CHAR(160),"")," ",""),"년","")),SUBSTITUTE(SUBSTITUTE(SUBSTITUTE(TRIM(A2777&amp;""),CHAR(160),"")," ",""),"년",""),""),"")</f>
      </c>
      <c r="I2777" t="str">
        <f>SUBSTITUTE(SUBSTITUTE(SUBSTITUTE(SUBSTITUTE(SUBSTITUTE(TRIM(B2777&amp;""),CHAR(160),"")," ",""),"초등학교","초"),"중학교","중"),"고등학교","고")</f>
      </c>
    </row>
    <row r="2778" customFormat="false" ht="15" hidden="false" customHeight="false" outlineLevel="0" collapsed="false">
      <c r="A2778" s="8"/>
      <c r="B2778" s="8"/>
      <c r="C2778" s="8"/>
      <c r="D2778" s="8"/>
      <c r="E2778" s="8"/>
      <c r="F2778" t="str" s="15">
        <f aca="0">IF(B2778="","",IF(H2778="","확인필요(입력누락)",IF(SUMPRODUCT((실물목록!$P$2:$P$1001&lt;&gt;"")*ISNUMBER(SEARCH(실물목록!$P$2:$P$1001,I2778))*(실물목록!$Q$2:$Q$1001&lt;&gt;"")*ISNUMBER(SEARCH(실물목록!$Q$2:$Q$1001,I2778))*(실물목록!$R$2:$R$1001="")*(실물목록!$O$2:$O$1001&lt;&gt;"")*(실물목록!$O$2:$O$1001=H2778))&gt;0,"실물 있음",IF(SUMPRODUCT((실물목록!$P$2:$P$1001&lt;&gt;"")*ISNUMBER(SEARCH(실물목록!$P$2:$P$1001,I2778))*(실물목록!$R$2:$R$1001&lt;&gt;""))&gt;0,"확인필요(입력누락)",IF(SUMPRODUCT((실물목록!$P$2:$P$1001&lt;&gt;"")*ISNUMBER(SEARCH(실물목록!$P$2:$P$1001,I2778))*(실물목록!$Q$2:$Q$1001&lt;&gt;"")*ISNUMBER(SEARCH(실물목록!$Q$2:$Q$1001,I2778))*(실물목록!$R$2:$R$1001="")*(실물목록!$O$2:$O$1001&lt;&gt;""))&gt;0,"확인필요(연도다름)","실물 없음")))))</f>
      </c>
      <c r="G2778" t="n" s="16">
        <f aca="0">IF(B2778="","",SUMPRODUCT((실물목록!$P$2:$P$1001&lt;&gt;"")*ISNUMBER(SEARCH(실물목록!$P$2:$P$1001,I2778))*(실물목록!$Q$2:$Q$1001&lt;&gt;"")*ISNUMBER(SEARCH(실물목록!$Q$2:$Q$1001,I2778))*(실물목록!$R$2:$R$1001="")*(실물목록!$O$2:$O$1001&lt;&gt;"")*(실물목록!$O$2:$O$1001=H2778)))</f>
      </c>
      <c r="H2778" t="str">
        <f>IFERROR(IF(AND(LEN(SUBSTITUTE(SUBSTITUTE(SUBSTITUTE(TRIM(A2778&amp;""),CHAR(160),"")," ",""),"년",""))=4,VALUE(SUBSTITUTE(SUBSTITUTE(SUBSTITUTE(TRIM(A2778&amp;""),CHAR(160),"")," ",""),"년",""))&gt;=1900,VALUE(SUBSTITUTE(SUBSTITUTE(SUBSTITUTE(TRIM(A2778&amp;""),CHAR(160),"")," ",""),"년",""))&lt;=2099,TEXT(VALUE(SUBSTITUTE(SUBSTITUTE(SUBSTITUTE(TRIM(A2778&amp;""),CHAR(160),"")," ",""),"년","")),"0000")=SUBSTITUTE(SUBSTITUTE(SUBSTITUTE(TRIM(A2778&amp;""),CHAR(160),"")," ",""),"년","")),SUBSTITUTE(SUBSTITUTE(SUBSTITUTE(TRIM(A2778&amp;""),CHAR(160),"")," ",""),"년",""),""),"")</f>
      </c>
      <c r="I2778" t="str">
        <f>SUBSTITUTE(SUBSTITUTE(SUBSTITUTE(SUBSTITUTE(SUBSTITUTE(TRIM(B2778&amp;""),CHAR(160),"")," ",""),"초등학교","초"),"중학교","중"),"고등학교","고")</f>
      </c>
    </row>
    <row r="2779" customFormat="false" ht="15" hidden="false" customHeight="false" outlineLevel="0" collapsed="false">
      <c r="A2779" s="8"/>
      <c r="B2779" s="8"/>
      <c r="C2779" s="8"/>
      <c r="D2779" s="8"/>
      <c r="E2779" s="8"/>
      <c r="F2779" t="str" s="15">
        <f aca="0">IF(B2779="","",IF(H2779="","확인필요(입력누락)",IF(SUMPRODUCT((실물목록!$P$2:$P$1001&lt;&gt;"")*ISNUMBER(SEARCH(실물목록!$P$2:$P$1001,I2779))*(실물목록!$Q$2:$Q$1001&lt;&gt;"")*ISNUMBER(SEARCH(실물목록!$Q$2:$Q$1001,I2779))*(실물목록!$R$2:$R$1001="")*(실물목록!$O$2:$O$1001&lt;&gt;"")*(실물목록!$O$2:$O$1001=H2779))&gt;0,"실물 있음",IF(SUMPRODUCT((실물목록!$P$2:$P$1001&lt;&gt;"")*ISNUMBER(SEARCH(실물목록!$P$2:$P$1001,I2779))*(실물목록!$R$2:$R$1001&lt;&gt;""))&gt;0,"확인필요(입력누락)",IF(SUMPRODUCT((실물목록!$P$2:$P$1001&lt;&gt;"")*ISNUMBER(SEARCH(실물목록!$P$2:$P$1001,I2779))*(실물목록!$Q$2:$Q$1001&lt;&gt;"")*ISNUMBER(SEARCH(실물목록!$Q$2:$Q$1001,I2779))*(실물목록!$R$2:$R$1001="")*(실물목록!$O$2:$O$1001&lt;&gt;""))&gt;0,"확인필요(연도다름)","실물 없음")))))</f>
      </c>
      <c r="G2779" t="n" s="16">
        <f aca="0">IF(B2779="","",SUMPRODUCT((실물목록!$P$2:$P$1001&lt;&gt;"")*ISNUMBER(SEARCH(실물목록!$P$2:$P$1001,I2779))*(실물목록!$Q$2:$Q$1001&lt;&gt;"")*ISNUMBER(SEARCH(실물목록!$Q$2:$Q$1001,I2779))*(실물목록!$R$2:$R$1001="")*(실물목록!$O$2:$O$1001&lt;&gt;"")*(실물목록!$O$2:$O$1001=H2779)))</f>
      </c>
      <c r="H2779" t="str">
        <f>IFERROR(IF(AND(LEN(SUBSTITUTE(SUBSTITUTE(SUBSTITUTE(TRIM(A2779&amp;""),CHAR(160),"")," ",""),"년",""))=4,VALUE(SUBSTITUTE(SUBSTITUTE(SUBSTITUTE(TRIM(A2779&amp;""),CHAR(160),"")," ",""),"년",""))&gt;=1900,VALUE(SUBSTITUTE(SUBSTITUTE(SUBSTITUTE(TRIM(A2779&amp;""),CHAR(160),"")," ",""),"년",""))&lt;=2099,TEXT(VALUE(SUBSTITUTE(SUBSTITUTE(SUBSTITUTE(TRIM(A2779&amp;""),CHAR(160),"")," ",""),"년","")),"0000")=SUBSTITUTE(SUBSTITUTE(SUBSTITUTE(TRIM(A2779&amp;""),CHAR(160),"")," ",""),"년","")),SUBSTITUTE(SUBSTITUTE(SUBSTITUTE(TRIM(A2779&amp;""),CHAR(160),"")," ",""),"년",""),""),"")</f>
      </c>
      <c r="I2779" t="str">
        <f>SUBSTITUTE(SUBSTITUTE(SUBSTITUTE(SUBSTITUTE(SUBSTITUTE(TRIM(B2779&amp;""),CHAR(160),"")," ",""),"초등학교","초"),"중학교","중"),"고등학교","고")</f>
      </c>
    </row>
    <row r="2780" customFormat="false" ht="15" hidden="false" customHeight="false" outlineLevel="0" collapsed="false">
      <c r="A2780" s="8"/>
      <c r="B2780" s="8"/>
      <c r="C2780" s="8"/>
      <c r="D2780" s="8"/>
      <c r="E2780" s="8"/>
      <c r="F2780" t="str" s="15">
        <f aca="0">IF(B2780="","",IF(H2780="","확인필요(입력누락)",IF(SUMPRODUCT((실물목록!$P$2:$P$1001&lt;&gt;"")*ISNUMBER(SEARCH(실물목록!$P$2:$P$1001,I2780))*(실물목록!$Q$2:$Q$1001&lt;&gt;"")*ISNUMBER(SEARCH(실물목록!$Q$2:$Q$1001,I2780))*(실물목록!$R$2:$R$1001="")*(실물목록!$O$2:$O$1001&lt;&gt;"")*(실물목록!$O$2:$O$1001=H2780))&gt;0,"실물 있음",IF(SUMPRODUCT((실물목록!$P$2:$P$1001&lt;&gt;"")*ISNUMBER(SEARCH(실물목록!$P$2:$P$1001,I2780))*(실물목록!$R$2:$R$1001&lt;&gt;""))&gt;0,"확인필요(입력누락)",IF(SUMPRODUCT((실물목록!$P$2:$P$1001&lt;&gt;"")*ISNUMBER(SEARCH(실물목록!$P$2:$P$1001,I2780))*(실물목록!$Q$2:$Q$1001&lt;&gt;"")*ISNUMBER(SEARCH(실물목록!$Q$2:$Q$1001,I2780))*(실물목록!$R$2:$R$1001="")*(실물목록!$O$2:$O$1001&lt;&gt;""))&gt;0,"확인필요(연도다름)","실물 없음")))))</f>
      </c>
      <c r="G2780" t="n" s="16">
        <f aca="0">IF(B2780="","",SUMPRODUCT((실물목록!$P$2:$P$1001&lt;&gt;"")*ISNUMBER(SEARCH(실물목록!$P$2:$P$1001,I2780))*(실물목록!$Q$2:$Q$1001&lt;&gt;"")*ISNUMBER(SEARCH(실물목록!$Q$2:$Q$1001,I2780))*(실물목록!$R$2:$R$1001="")*(실물목록!$O$2:$O$1001&lt;&gt;"")*(실물목록!$O$2:$O$1001=H2780)))</f>
      </c>
      <c r="H2780" t="str">
        <f>IFERROR(IF(AND(LEN(SUBSTITUTE(SUBSTITUTE(SUBSTITUTE(TRIM(A2780&amp;""),CHAR(160),"")," ",""),"년",""))=4,VALUE(SUBSTITUTE(SUBSTITUTE(SUBSTITUTE(TRIM(A2780&amp;""),CHAR(160),"")," ",""),"년",""))&gt;=1900,VALUE(SUBSTITUTE(SUBSTITUTE(SUBSTITUTE(TRIM(A2780&amp;""),CHAR(160),"")," ",""),"년",""))&lt;=2099,TEXT(VALUE(SUBSTITUTE(SUBSTITUTE(SUBSTITUTE(TRIM(A2780&amp;""),CHAR(160),"")," ",""),"년","")),"0000")=SUBSTITUTE(SUBSTITUTE(SUBSTITUTE(TRIM(A2780&amp;""),CHAR(160),"")," ",""),"년","")),SUBSTITUTE(SUBSTITUTE(SUBSTITUTE(TRIM(A2780&amp;""),CHAR(160),"")," ",""),"년",""),""),"")</f>
      </c>
      <c r="I2780" t="str">
        <f>SUBSTITUTE(SUBSTITUTE(SUBSTITUTE(SUBSTITUTE(SUBSTITUTE(TRIM(B2780&amp;""),CHAR(160),"")," ",""),"초등학교","초"),"중학교","중"),"고등학교","고")</f>
      </c>
    </row>
    <row r="2781" customFormat="false" ht="15" hidden="false" customHeight="false" outlineLevel="0" collapsed="false">
      <c r="A2781" s="8"/>
      <c r="B2781" s="8"/>
      <c r="C2781" s="8"/>
      <c r="D2781" s="8"/>
      <c r="E2781" s="8"/>
      <c r="F2781" t="str" s="15">
        <f aca="0">IF(B2781="","",IF(H2781="","확인필요(입력누락)",IF(SUMPRODUCT((실물목록!$P$2:$P$1001&lt;&gt;"")*ISNUMBER(SEARCH(실물목록!$P$2:$P$1001,I2781))*(실물목록!$Q$2:$Q$1001&lt;&gt;"")*ISNUMBER(SEARCH(실물목록!$Q$2:$Q$1001,I2781))*(실물목록!$R$2:$R$1001="")*(실물목록!$O$2:$O$1001&lt;&gt;"")*(실물목록!$O$2:$O$1001=H2781))&gt;0,"실물 있음",IF(SUMPRODUCT((실물목록!$P$2:$P$1001&lt;&gt;"")*ISNUMBER(SEARCH(실물목록!$P$2:$P$1001,I2781))*(실물목록!$R$2:$R$1001&lt;&gt;""))&gt;0,"확인필요(입력누락)",IF(SUMPRODUCT((실물목록!$P$2:$P$1001&lt;&gt;"")*ISNUMBER(SEARCH(실물목록!$P$2:$P$1001,I2781))*(실물목록!$Q$2:$Q$1001&lt;&gt;"")*ISNUMBER(SEARCH(실물목록!$Q$2:$Q$1001,I2781))*(실물목록!$R$2:$R$1001="")*(실물목록!$O$2:$O$1001&lt;&gt;""))&gt;0,"확인필요(연도다름)","실물 없음")))))</f>
      </c>
      <c r="G2781" t="n" s="16">
        <f aca="0">IF(B2781="","",SUMPRODUCT((실물목록!$P$2:$P$1001&lt;&gt;"")*ISNUMBER(SEARCH(실물목록!$P$2:$P$1001,I2781))*(실물목록!$Q$2:$Q$1001&lt;&gt;"")*ISNUMBER(SEARCH(실물목록!$Q$2:$Q$1001,I2781))*(실물목록!$R$2:$R$1001="")*(실물목록!$O$2:$O$1001&lt;&gt;"")*(실물목록!$O$2:$O$1001=H2781)))</f>
      </c>
      <c r="H2781" t="str">
        <f>IFERROR(IF(AND(LEN(SUBSTITUTE(SUBSTITUTE(SUBSTITUTE(TRIM(A2781&amp;""),CHAR(160),"")," ",""),"년",""))=4,VALUE(SUBSTITUTE(SUBSTITUTE(SUBSTITUTE(TRIM(A2781&amp;""),CHAR(160),"")," ",""),"년",""))&gt;=1900,VALUE(SUBSTITUTE(SUBSTITUTE(SUBSTITUTE(TRIM(A2781&amp;""),CHAR(160),"")," ",""),"년",""))&lt;=2099,TEXT(VALUE(SUBSTITUTE(SUBSTITUTE(SUBSTITUTE(TRIM(A2781&amp;""),CHAR(160),"")," ",""),"년","")),"0000")=SUBSTITUTE(SUBSTITUTE(SUBSTITUTE(TRIM(A2781&amp;""),CHAR(160),"")," ",""),"년","")),SUBSTITUTE(SUBSTITUTE(SUBSTITUTE(TRIM(A2781&amp;""),CHAR(160),"")," ",""),"년",""),""),"")</f>
      </c>
      <c r="I2781" t="str">
        <f>SUBSTITUTE(SUBSTITUTE(SUBSTITUTE(SUBSTITUTE(SUBSTITUTE(TRIM(B2781&amp;""),CHAR(160),"")," ",""),"초등학교","초"),"중학교","중"),"고등학교","고")</f>
      </c>
    </row>
    <row r="2782" customFormat="false" ht="15" hidden="false" customHeight="false" outlineLevel="0" collapsed="false">
      <c r="A2782" s="8"/>
      <c r="B2782" s="8"/>
      <c r="C2782" s="8"/>
      <c r="D2782" s="8"/>
      <c r="E2782" s="8"/>
      <c r="F2782" t="str" s="15">
        <f aca="0">IF(B2782="","",IF(H2782="","확인필요(입력누락)",IF(SUMPRODUCT((실물목록!$P$2:$P$1001&lt;&gt;"")*ISNUMBER(SEARCH(실물목록!$P$2:$P$1001,I2782))*(실물목록!$Q$2:$Q$1001&lt;&gt;"")*ISNUMBER(SEARCH(실물목록!$Q$2:$Q$1001,I2782))*(실물목록!$R$2:$R$1001="")*(실물목록!$O$2:$O$1001&lt;&gt;"")*(실물목록!$O$2:$O$1001=H2782))&gt;0,"실물 있음",IF(SUMPRODUCT((실물목록!$P$2:$P$1001&lt;&gt;"")*ISNUMBER(SEARCH(실물목록!$P$2:$P$1001,I2782))*(실물목록!$R$2:$R$1001&lt;&gt;""))&gt;0,"확인필요(입력누락)",IF(SUMPRODUCT((실물목록!$P$2:$P$1001&lt;&gt;"")*ISNUMBER(SEARCH(실물목록!$P$2:$P$1001,I2782))*(실물목록!$Q$2:$Q$1001&lt;&gt;"")*ISNUMBER(SEARCH(실물목록!$Q$2:$Q$1001,I2782))*(실물목록!$R$2:$R$1001="")*(실물목록!$O$2:$O$1001&lt;&gt;""))&gt;0,"확인필요(연도다름)","실물 없음")))))</f>
      </c>
      <c r="G2782" t="n" s="16">
        <f aca="0">IF(B2782="","",SUMPRODUCT((실물목록!$P$2:$P$1001&lt;&gt;"")*ISNUMBER(SEARCH(실물목록!$P$2:$P$1001,I2782))*(실물목록!$Q$2:$Q$1001&lt;&gt;"")*ISNUMBER(SEARCH(실물목록!$Q$2:$Q$1001,I2782))*(실물목록!$R$2:$R$1001="")*(실물목록!$O$2:$O$1001&lt;&gt;"")*(실물목록!$O$2:$O$1001=H2782)))</f>
      </c>
      <c r="H2782" t="str">
        <f>IFERROR(IF(AND(LEN(SUBSTITUTE(SUBSTITUTE(SUBSTITUTE(TRIM(A2782&amp;""),CHAR(160),"")," ",""),"년",""))=4,VALUE(SUBSTITUTE(SUBSTITUTE(SUBSTITUTE(TRIM(A2782&amp;""),CHAR(160),"")," ",""),"년",""))&gt;=1900,VALUE(SUBSTITUTE(SUBSTITUTE(SUBSTITUTE(TRIM(A2782&amp;""),CHAR(160),"")," ",""),"년",""))&lt;=2099,TEXT(VALUE(SUBSTITUTE(SUBSTITUTE(SUBSTITUTE(TRIM(A2782&amp;""),CHAR(160),"")," ",""),"년","")),"0000")=SUBSTITUTE(SUBSTITUTE(SUBSTITUTE(TRIM(A2782&amp;""),CHAR(160),"")," ",""),"년","")),SUBSTITUTE(SUBSTITUTE(SUBSTITUTE(TRIM(A2782&amp;""),CHAR(160),"")," ",""),"년",""),""),"")</f>
      </c>
      <c r="I2782" t="str">
        <f>SUBSTITUTE(SUBSTITUTE(SUBSTITUTE(SUBSTITUTE(SUBSTITUTE(TRIM(B2782&amp;""),CHAR(160),"")," ",""),"초등학교","초"),"중학교","중"),"고등학교","고")</f>
      </c>
    </row>
    <row r="2783" customFormat="false" ht="15" hidden="false" customHeight="false" outlineLevel="0" collapsed="false">
      <c r="A2783" s="8"/>
      <c r="B2783" s="8"/>
      <c r="C2783" s="8"/>
      <c r="D2783" s="8"/>
      <c r="E2783" s="8"/>
      <c r="F2783" t="str" s="15">
        <f aca="0">IF(B2783="","",IF(H2783="","확인필요(입력누락)",IF(SUMPRODUCT((실물목록!$P$2:$P$1001&lt;&gt;"")*ISNUMBER(SEARCH(실물목록!$P$2:$P$1001,I2783))*(실물목록!$Q$2:$Q$1001&lt;&gt;"")*ISNUMBER(SEARCH(실물목록!$Q$2:$Q$1001,I2783))*(실물목록!$R$2:$R$1001="")*(실물목록!$O$2:$O$1001&lt;&gt;"")*(실물목록!$O$2:$O$1001=H2783))&gt;0,"실물 있음",IF(SUMPRODUCT((실물목록!$P$2:$P$1001&lt;&gt;"")*ISNUMBER(SEARCH(실물목록!$P$2:$P$1001,I2783))*(실물목록!$R$2:$R$1001&lt;&gt;""))&gt;0,"확인필요(입력누락)",IF(SUMPRODUCT((실물목록!$P$2:$P$1001&lt;&gt;"")*ISNUMBER(SEARCH(실물목록!$P$2:$P$1001,I2783))*(실물목록!$Q$2:$Q$1001&lt;&gt;"")*ISNUMBER(SEARCH(실물목록!$Q$2:$Q$1001,I2783))*(실물목록!$R$2:$R$1001="")*(실물목록!$O$2:$O$1001&lt;&gt;""))&gt;0,"확인필요(연도다름)","실물 없음")))))</f>
      </c>
      <c r="G2783" t="n" s="16">
        <f aca="0">IF(B2783="","",SUMPRODUCT((실물목록!$P$2:$P$1001&lt;&gt;"")*ISNUMBER(SEARCH(실물목록!$P$2:$P$1001,I2783))*(실물목록!$Q$2:$Q$1001&lt;&gt;"")*ISNUMBER(SEARCH(실물목록!$Q$2:$Q$1001,I2783))*(실물목록!$R$2:$R$1001="")*(실물목록!$O$2:$O$1001&lt;&gt;"")*(실물목록!$O$2:$O$1001=H2783)))</f>
      </c>
      <c r="H2783" t="str">
        <f>IFERROR(IF(AND(LEN(SUBSTITUTE(SUBSTITUTE(SUBSTITUTE(TRIM(A2783&amp;""),CHAR(160),"")," ",""),"년",""))=4,VALUE(SUBSTITUTE(SUBSTITUTE(SUBSTITUTE(TRIM(A2783&amp;""),CHAR(160),"")," ",""),"년",""))&gt;=1900,VALUE(SUBSTITUTE(SUBSTITUTE(SUBSTITUTE(TRIM(A2783&amp;""),CHAR(160),"")," ",""),"년",""))&lt;=2099,TEXT(VALUE(SUBSTITUTE(SUBSTITUTE(SUBSTITUTE(TRIM(A2783&amp;""),CHAR(160),"")," ",""),"년","")),"0000")=SUBSTITUTE(SUBSTITUTE(SUBSTITUTE(TRIM(A2783&amp;""),CHAR(160),"")," ",""),"년","")),SUBSTITUTE(SUBSTITUTE(SUBSTITUTE(TRIM(A2783&amp;""),CHAR(160),"")," ",""),"년",""),""),"")</f>
      </c>
      <c r="I2783" t="str">
        <f>SUBSTITUTE(SUBSTITUTE(SUBSTITUTE(SUBSTITUTE(SUBSTITUTE(TRIM(B2783&amp;""),CHAR(160),"")," ",""),"초등학교","초"),"중학교","중"),"고등학교","고")</f>
      </c>
    </row>
    <row r="2784" customFormat="false" ht="15" hidden="false" customHeight="false" outlineLevel="0" collapsed="false">
      <c r="A2784" s="8"/>
      <c r="B2784" s="8"/>
      <c r="C2784" s="8"/>
      <c r="D2784" s="8"/>
      <c r="E2784" s="8"/>
      <c r="F2784" t="str" s="15">
        <f aca="0">IF(B2784="","",IF(H2784="","확인필요(입력누락)",IF(SUMPRODUCT((실물목록!$P$2:$P$1001&lt;&gt;"")*ISNUMBER(SEARCH(실물목록!$P$2:$P$1001,I2784))*(실물목록!$Q$2:$Q$1001&lt;&gt;"")*ISNUMBER(SEARCH(실물목록!$Q$2:$Q$1001,I2784))*(실물목록!$R$2:$R$1001="")*(실물목록!$O$2:$O$1001&lt;&gt;"")*(실물목록!$O$2:$O$1001=H2784))&gt;0,"실물 있음",IF(SUMPRODUCT((실물목록!$P$2:$P$1001&lt;&gt;"")*ISNUMBER(SEARCH(실물목록!$P$2:$P$1001,I2784))*(실물목록!$R$2:$R$1001&lt;&gt;""))&gt;0,"확인필요(입력누락)",IF(SUMPRODUCT((실물목록!$P$2:$P$1001&lt;&gt;"")*ISNUMBER(SEARCH(실물목록!$P$2:$P$1001,I2784))*(실물목록!$Q$2:$Q$1001&lt;&gt;"")*ISNUMBER(SEARCH(실물목록!$Q$2:$Q$1001,I2784))*(실물목록!$R$2:$R$1001="")*(실물목록!$O$2:$O$1001&lt;&gt;""))&gt;0,"확인필요(연도다름)","실물 없음")))))</f>
      </c>
      <c r="G2784" t="n" s="16">
        <f aca="0">IF(B2784="","",SUMPRODUCT((실물목록!$P$2:$P$1001&lt;&gt;"")*ISNUMBER(SEARCH(실물목록!$P$2:$P$1001,I2784))*(실물목록!$Q$2:$Q$1001&lt;&gt;"")*ISNUMBER(SEARCH(실물목록!$Q$2:$Q$1001,I2784))*(실물목록!$R$2:$R$1001="")*(실물목록!$O$2:$O$1001&lt;&gt;"")*(실물목록!$O$2:$O$1001=H2784)))</f>
      </c>
      <c r="H2784" t="str">
        <f>IFERROR(IF(AND(LEN(SUBSTITUTE(SUBSTITUTE(SUBSTITUTE(TRIM(A2784&amp;""),CHAR(160),"")," ",""),"년",""))=4,VALUE(SUBSTITUTE(SUBSTITUTE(SUBSTITUTE(TRIM(A2784&amp;""),CHAR(160),"")," ",""),"년",""))&gt;=1900,VALUE(SUBSTITUTE(SUBSTITUTE(SUBSTITUTE(TRIM(A2784&amp;""),CHAR(160),"")," ",""),"년",""))&lt;=2099,TEXT(VALUE(SUBSTITUTE(SUBSTITUTE(SUBSTITUTE(TRIM(A2784&amp;""),CHAR(160),"")," ",""),"년","")),"0000")=SUBSTITUTE(SUBSTITUTE(SUBSTITUTE(TRIM(A2784&amp;""),CHAR(160),"")," ",""),"년","")),SUBSTITUTE(SUBSTITUTE(SUBSTITUTE(TRIM(A2784&amp;""),CHAR(160),"")," ",""),"년",""),""),"")</f>
      </c>
      <c r="I2784" t="str">
        <f>SUBSTITUTE(SUBSTITUTE(SUBSTITUTE(SUBSTITUTE(SUBSTITUTE(TRIM(B2784&amp;""),CHAR(160),"")," ",""),"초등학교","초"),"중학교","중"),"고등학교","고")</f>
      </c>
    </row>
    <row r="2785" customFormat="false" ht="15" hidden="false" customHeight="false" outlineLevel="0" collapsed="false">
      <c r="A2785" s="8"/>
      <c r="B2785" s="8"/>
      <c r="C2785" s="8"/>
      <c r="D2785" s="8"/>
      <c r="E2785" s="8"/>
      <c r="F2785" t="str" s="15">
        <f aca="0">IF(B2785="","",IF(H2785="","확인필요(입력누락)",IF(SUMPRODUCT((실물목록!$P$2:$P$1001&lt;&gt;"")*ISNUMBER(SEARCH(실물목록!$P$2:$P$1001,I2785))*(실물목록!$Q$2:$Q$1001&lt;&gt;"")*ISNUMBER(SEARCH(실물목록!$Q$2:$Q$1001,I2785))*(실물목록!$R$2:$R$1001="")*(실물목록!$O$2:$O$1001&lt;&gt;"")*(실물목록!$O$2:$O$1001=H2785))&gt;0,"실물 있음",IF(SUMPRODUCT((실물목록!$P$2:$P$1001&lt;&gt;"")*ISNUMBER(SEARCH(실물목록!$P$2:$P$1001,I2785))*(실물목록!$R$2:$R$1001&lt;&gt;""))&gt;0,"확인필요(입력누락)",IF(SUMPRODUCT((실물목록!$P$2:$P$1001&lt;&gt;"")*ISNUMBER(SEARCH(실물목록!$P$2:$P$1001,I2785))*(실물목록!$Q$2:$Q$1001&lt;&gt;"")*ISNUMBER(SEARCH(실물목록!$Q$2:$Q$1001,I2785))*(실물목록!$R$2:$R$1001="")*(실물목록!$O$2:$O$1001&lt;&gt;""))&gt;0,"확인필요(연도다름)","실물 없음")))))</f>
      </c>
      <c r="G2785" t="n" s="16">
        <f aca="0">IF(B2785="","",SUMPRODUCT((실물목록!$P$2:$P$1001&lt;&gt;"")*ISNUMBER(SEARCH(실물목록!$P$2:$P$1001,I2785))*(실물목록!$Q$2:$Q$1001&lt;&gt;"")*ISNUMBER(SEARCH(실물목록!$Q$2:$Q$1001,I2785))*(실물목록!$R$2:$R$1001="")*(실물목록!$O$2:$O$1001&lt;&gt;"")*(실물목록!$O$2:$O$1001=H2785)))</f>
      </c>
      <c r="H2785" t="str">
        <f>IFERROR(IF(AND(LEN(SUBSTITUTE(SUBSTITUTE(SUBSTITUTE(TRIM(A2785&amp;""),CHAR(160),"")," ",""),"년",""))=4,VALUE(SUBSTITUTE(SUBSTITUTE(SUBSTITUTE(TRIM(A2785&amp;""),CHAR(160),"")," ",""),"년",""))&gt;=1900,VALUE(SUBSTITUTE(SUBSTITUTE(SUBSTITUTE(TRIM(A2785&amp;""),CHAR(160),"")," ",""),"년",""))&lt;=2099,TEXT(VALUE(SUBSTITUTE(SUBSTITUTE(SUBSTITUTE(TRIM(A2785&amp;""),CHAR(160),"")," ",""),"년","")),"0000")=SUBSTITUTE(SUBSTITUTE(SUBSTITUTE(TRIM(A2785&amp;""),CHAR(160),"")," ",""),"년","")),SUBSTITUTE(SUBSTITUTE(SUBSTITUTE(TRIM(A2785&amp;""),CHAR(160),"")," ",""),"년",""),""),"")</f>
      </c>
      <c r="I2785" t="str">
        <f>SUBSTITUTE(SUBSTITUTE(SUBSTITUTE(SUBSTITUTE(SUBSTITUTE(TRIM(B2785&amp;""),CHAR(160),"")," ",""),"초등학교","초"),"중학교","중"),"고등학교","고")</f>
      </c>
    </row>
    <row r="2786" customFormat="false" ht="15" hidden="false" customHeight="false" outlineLevel="0" collapsed="false">
      <c r="A2786" s="8"/>
      <c r="B2786" s="8"/>
      <c r="C2786" s="8"/>
      <c r="D2786" s="8"/>
      <c r="E2786" s="8"/>
      <c r="F2786" t="str" s="15">
        <f aca="0">IF(B2786="","",IF(H2786="","확인필요(입력누락)",IF(SUMPRODUCT((실물목록!$P$2:$P$1001&lt;&gt;"")*ISNUMBER(SEARCH(실물목록!$P$2:$P$1001,I2786))*(실물목록!$Q$2:$Q$1001&lt;&gt;"")*ISNUMBER(SEARCH(실물목록!$Q$2:$Q$1001,I2786))*(실물목록!$R$2:$R$1001="")*(실물목록!$O$2:$O$1001&lt;&gt;"")*(실물목록!$O$2:$O$1001=H2786))&gt;0,"실물 있음",IF(SUMPRODUCT((실물목록!$P$2:$P$1001&lt;&gt;"")*ISNUMBER(SEARCH(실물목록!$P$2:$P$1001,I2786))*(실물목록!$R$2:$R$1001&lt;&gt;""))&gt;0,"확인필요(입력누락)",IF(SUMPRODUCT((실물목록!$P$2:$P$1001&lt;&gt;"")*ISNUMBER(SEARCH(실물목록!$P$2:$P$1001,I2786))*(실물목록!$Q$2:$Q$1001&lt;&gt;"")*ISNUMBER(SEARCH(실물목록!$Q$2:$Q$1001,I2786))*(실물목록!$R$2:$R$1001="")*(실물목록!$O$2:$O$1001&lt;&gt;""))&gt;0,"확인필요(연도다름)","실물 없음")))))</f>
      </c>
      <c r="G2786" t="n" s="16">
        <f aca="0">IF(B2786="","",SUMPRODUCT((실물목록!$P$2:$P$1001&lt;&gt;"")*ISNUMBER(SEARCH(실물목록!$P$2:$P$1001,I2786))*(실물목록!$Q$2:$Q$1001&lt;&gt;"")*ISNUMBER(SEARCH(실물목록!$Q$2:$Q$1001,I2786))*(실물목록!$R$2:$R$1001="")*(실물목록!$O$2:$O$1001&lt;&gt;"")*(실물목록!$O$2:$O$1001=H2786)))</f>
      </c>
      <c r="H2786" t="str">
        <f>IFERROR(IF(AND(LEN(SUBSTITUTE(SUBSTITUTE(SUBSTITUTE(TRIM(A2786&amp;""),CHAR(160),"")," ",""),"년",""))=4,VALUE(SUBSTITUTE(SUBSTITUTE(SUBSTITUTE(TRIM(A2786&amp;""),CHAR(160),"")," ",""),"년",""))&gt;=1900,VALUE(SUBSTITUTE(SUBSTITUTE(SUBSTITUTE(TRIM(A2786&amp;""),CHAR(160),"")," ",""),"년",""))&lt;=2099,TEXT(VALUE(SUBSTITUTE(SUBSTITUTE(SUBSTITUTE(TRIM(A2786&amp;""),CHAR(160),"")," ",""),"년","")),"0000")=SUBSTITUTE(SUBSTITUTE(SUBSTITUTE(TRIM(A2786&amp;""),CHAR(160),"")," ",""),"년","")),SUBSTITUTE(SUBSTITUTE(SUBSTITUTE(TRIM(A2786&amp;""),CHAR(160),"")," ",""),"년",""),""),"")</f>
      </c>
      <c r="I2786" t="str">
        <f>SUBSTITUTE(SUBSTITUTE(SUBSTITUTE(SUBSTITUTE(SUBSTITUTE(TRIM(B2786&amp;""),CHAR(160),"")," ",""),"초등학교","초"),"중학교","중"),"고등학교","고")</f>
      </c>
    </row>
    <row r="2787" customFormat="false" ht="15" hidden="false" customHeight="false" outlineLevel="0" collapsed="false">
      <c r="A2787" s="8"/>
      <c r="B2787" s="8"/>
      <c r="C2787" s="8"/>
      <c r="D2787" s="8"/>
      <c r="E2787" s="8"/>
      <c r="F2787" t="str" s="15">
        <f aca="0">IF(B2787="","",IF(H2787="","확인필요(입력누락)",IF(SUMPRODUCT((실물목록!$P$2:$P$1001&lt;&gt;"")*ISNUMBER(SEARCH(실물목록!$P$2:$P$1001,I2787))*(실물목록!$Q$2:$Q$1001&lt;&gt;"")*ISNUMBER(SEARCH(실물목록!$Q$2:$Q$1001,I2787))*(실물목록!$R$2:$R$1001="")*(실물목록!$O$2:$O$1001&lt;&gt;"")*(실물목록!$O$2:$O$1001=H2787))&gt;0,"실물 있음",IF(SUMPRODUCT((실물목록!$P$2:$P$1001&lt;&gt;"")*ISNUMBER(SEARCH(실물목록!$P$2:$P$1001,I2787))*(실물목록!$R$2:$R$1001&lt;&gt;""))&gt;0,"확인필요(입력누락)",IF(SUMPRODUCT((실물목록!$P$2:$P$1001&lt;&gt;"")*ISNUMBER(SEARCH(실물목록!$P$2:$P$1001,I2787))*(실물목록!$Q$2:$Q$1001&lt;&gt;"")*ISNUMBER(SEARCH(실물목록!$Q$2:$Q$1001,I2787))*(실물목록!$R$2:$R$1001="")*(실물목록!$O$2:$O$1001&lt;&gt;""))&gt;0,"확인필요(연도다름)","실물 없음")))))</f>
      </c>
      <c r="G2787" t="n" s="16">
        <f aca="0">IF(B2787="","",SUMPRODUCT((실물목록!$P$2:$P$1001&lt;&gt;"")*ISNUMBER(SEARCH(실물목록!$P$2:$P$1001,I2787))*(실물목록!$Q$2:$Q$1001&lt;&gt;"")*ISNUMBER(SEARCH(실물목록!$Q$2:$Q$1001,I2787))*(실물목록!$R$2:$R$1001="")*(실물목록!$O$2:$O$1001&lt;&gt;"")*(실물목록!$O$2:$O$1001=H2787)))</f>
      </c>
      <c r="H2787" t="str">
        <f>IFERROR(IF(AND(LEN(SUBSTITUTE(SUBSTITUTE(SUBSTITUTE(TRIM(A2787&amp;""),CHAR(160),"")," ",""),"년",""))=4,VALUE(SUBSTITUTE(SUBSTITUTE(SUBSTITUTE(TRIM(A2787&amp;""),CHAR(160),"")," ",""),"년",""))&gt;=1900,VALUE(SUBSTITUTE(SUBSTITUTE(SUBSTITUTE(TRIM(A2787&amp;""),CHAR(160),"")," ",""),"년",""))&lt;=2099,TEXT(VALUE(SUBSTITUTE(SUBSTITUTE(SUBSTITUTE(TRIM(A2787&amp;""),CHAR(160),"")," ",""),"년","")),"0000")=SUBSTITUTE(SUBSTITUTE(SUBSTITUTE(TRIM(A2787&amp;""),CHAR(160),"")," ",""),"년","")),SUBSTITUTE(SUBSTITUTE(SUBSTITUTE(TRIM(A2787&amp;""),CHAR(160),"")," ",""),"년",""),""),"")</f>
      </c>
      <c r="I2787" t="str">
        <f>SUBSTITUTE(SUBSTITUTE(SUBSTITUTE(SUBSTITUTE(SUBSTITUTE(TRIM(B2787&amp;""),CHAR(160),"")," ",""),"초등학교","초"),"중학교","중"),"고등학교","고")</f>
      </c>
    </row>
    <row r="2788" customFormat="false" ht="15" hidden="false" customHeight="false" outlineLevel="0" collapsed="false">
      <c r="A2788" s="8"/>
      <c r="B2788" s="8"/>
      <c r="C2788" s="8"/>
      <c r="D2788" s="8"/>
      <c r="E2788" s="8"/>
      <c r="F2788" t="str" s="15">
        <f aca="0">IF(B2788="","",IF(H2788="","확인필요(입력누락)",IF(SUMPRODUCT((실물목록!$P$2:$P$1001&lt;&gt;"")*ISNUMBER(SEARCH(실물목록!$P$2:$P$1001,I2788))*(실물목록!$Q$2:$Q$1001&lt;&gt;"")*ISNUMBER(SEARCH(실물목록!$Q$2:$Q$1001,I2788))*(실물목록!$R$2:$R$1001="")*(실물목록!$O$2:$O$1001&lt;&gt;"")*(실물목록!$O$2:$O$1001=H2788))&gt;0,"실물 있음",IF(SUMPRODUCT((실물목록!$P$2:$P$1001&lt;&gt;"")*ISNUMBER(SEARCH(실물목록!$P$2:$P$1001,I2788))*(실물목록!$R$2:$R$1001&lt;&gt;""))&gt;0,"확인필요(입력누락)",IF(SUMPRODUCT((실물목록!$P$2:$P$1001&lt;&gt;"")*ISNUMBER(SEARCH(실물목록!$P$2:$P$1001,I2788))*(실물목록!$Q$2:$Q$1001&lt;&gt;"")*ISNUMBER(SEARCH(실물목록!$Q$2:$Q$1001,I2788))*(실물목록!$R$2:$R$1001="")*(실물목록!$O$2:$O$1001&lt;&gt;""))&gt;0,"확인필요(연도다름)","실물 없음")))))</f>
      </c>
      <c r="G2788" t="n" s="16">
        <f aca="0">IF(B2788="","",SUMPRODUCT((실물목록!$P$2:$P$1001&lt;&gt;"")*ISNUMBER(SEARCH(실물목록!$P$2:$P$1001,I2788))*(실물목록!$Q$2:$Q$1001&lt;&gt;"")*ISNUMBER(SEARCH(실물목록!$Q$2:$Q$1001,I2788))*(실물목록!$R$2:$R$1001="")*(실물목록!$O$2:$O$1001&lt;&gt;"")*(실물목록!$O$2:$O$1001=H2788)))</f>
      </c>
      <c r="H2788" t="str">
        <f>IFERROR(IF(AND(LEN(SUBSTITUTE(SUBSTITUTE(SUBSTITUTE(TRIM(A2788&amp;""),CHAR(160),"")," ",""),"년",""))=4,VALUE(SUBSTITUTE(SUBSTITUTE(SUBSTITUTE(TRIM(A2788&amp;""),CHAR(160),"")," ",""),"년",""))&gt;=1900,VALUE(SUBSTITUTE(SUBSTITUTE(SUBSTITUTE(TRIM(A2788&amp;""),CHAR(160),"")," ",""),"년",""))&lt;=2099,TEXT(VALUE(SUBSTITUTE(SUBSTITUTE(SUBSTITUTE(TRIM(A2788&amp;""),CHAR(160),"")," ",""),"년","")),"0000")=SUBSTITUTE(SUBSTITUTE(SUBSTITUTE(TRIM(A2788&amp;""),CHAR(160),"")," ",""),"년","")),SUBSTITUTE(SUBSTITUTE(SUBSTITUTE(TRIM(A2788&amp;""),CHAR(160),"")," ",""),"년",""),""),"")</f>
      </c>
      <c r="I2788" t="str">
        <f>SUBSTITUTE(SUBSTITUTE(SUBSTITUTE(SUBSTITUTE(SUBSTITUTE(TRIM(B2788&amp;""),CHAR(160),"")," ",""),"초등학교","초"),"중학교","중"),"고등학교","고")</f>
      </c>
    </row>
    <row r="2789" customFormat="false" ht="15" hidden="false" customHeight="false" outlineLevel="0" collapsed="false">
      <c r="A2789" s="8"/>
      <c r="B2789" s="8"/>
      <c r="C2789" s="8"/>
      <c r="D2789" s="8"/>
      <c r="E2789" s="8"/>
      <c r="F2789" t="str" s="15">
        <f aca="0">IF(B2789="","",IF(H2789="","확인필요(입력누락)",IF(SUMPRODUCT((실물목록!$P$2:$P$1001&lt;&gt;"")*ISNUMBER(SEARCH(실물목록!$P$2:$P$1001,I2789))*(실물목록!$Q$2:$Q$1001&lt;&gt;"")*ISNUMBER(SEARCH(실물목록!$Q$2:$Q$1001,I2789))*(실물목록!$R$2:$R$1001="")*(실물목록!$O$2:$O$1001&lt;&gt;"")*(실물목록!$O$2:$O$1001=H2789))&gt;0,"실물 있음",IF(SUMPRODUCT((실물목록!$P$2:$P$1001&lt;&gt;"")*ISNUMBER(SEARCH(실물목록!$P$2:$P$1001,I2789))*(실물목록!$R$2:$R$1001&lt;&gt;""))&gt;0,"확인필요(입력누락)",IF(SUMPRODUCT((실물목록!$P$2:$P$1001&lt;&gt;"")*ISNUMBER(SEARCH(실물목록!$P$2:$P$1001,I2789))*(실물목록!$Q$2:$Q$1001&lt;&gt;"")*ISNUMBER(SEARCH(실물목록!$Q$2:$Q$1001,I2789))*(실물목록!$R$2:$R$1001="")*(실물목록!$O$2:$O$1001&lt;&gt;""))&gt;0,"확인필요(연도다름)","실물 없음")))))</f>
      </c>
      <c r="G2789" t="n" s="16">
        <f aca="0">IF(B2789="","",SUMPRODUCT((실물목록!$P$2:$P$1001&lt;&gt;"")*ISNUMBER(SEARCH(실물목록!$P$2:$P$1001,I2789))*(실물목록!$Q$2:$Q$1001&lt;&gt;"")*ISNUMBER(SEARCH(실물목록!$Q$2:$Q$1001,I2789))*(실물목록!$R$2:$R$1001="")*(실물목록!$O$2:$O$1001&lt;&gt;"")*(실물목록!$O$2:$O$1001=H2789)))</f>
      </c>
      <c r="H2789" t="str">
        <f>IFERROR(IF(AND(LEN(SUBSTITUTE(SUBSTITUTE(SUBSTITUTE(TRIM(A2789&amp;""),CHAR(160),"")," ",""),"년",""))=4,VALUE(SUBSTITUTE(SUBSTITUTE(SUBSTITUTE(TRIM(A2789&amp;""),CHAR(160),"")," ",""),"년",""))&gt;=1900,VALUE(SUBSTITUTE(SUBSTITUTE(SUBSTITUTE(TRIM(A2789&amp;""),CHAR(160),"")," ",""),"년",""))&lt;=2099,TEXT(VALUE(SUBSTITUTE(SUBSTITUTE(SUBSTITUTE(TRIM(A2789&amp;""),CHAR(160),"")," ",""),"년","")),"0000")=SUBSTITUTE(SUBSTITUTE(SUBSTITUTE(TRIM(A2789&amp;""),CHAR(160),"")," ",""),"년","")),SUBSTITUTE(SUBSTITUTE(SUBSTITUTE(TRIM(A2789&amp;""),CHAR(160),"")," ",""),"년",""),""),"")</f>
      </c>
      <c r="I2789" t="str">
        <f>SUBSTITUTE(SUBSTITUTE(SUBSTITUTE(SUBSTITUTE(SUBSTITUTE(TRIM(B2789&amp;""),CHAR(160),"")," ",""),"초등학교","초"),"중학교","중"),"고등학교","고")</f>
      </c>
    </row>
    <row r="2790" customFormat="false" ht="15" hidden="false" customHeight="false" outlineLevel="0" collapsed="false">
      <c r="A2790" s="8"/>
      <c r="B2790" s="8"/>
      <c r="C2790" s="8"/>
      <c r="D2790" s="8"/>
      <c r="E2790" s="8"/>
      <c r="F2790" t="str" s="15">
        <f aca="0">IF(B2790="","",IF(H2790="","확인필요(입력누락)",IF(SUMPRODUCT((실물목록!$P$2:$P$1001&lt;&gt;"")*ISNUMBER(SEARCH(실물목록!$P$2:$P$1001,I2790))*(실물목록!$Q$2:$Q$1001&lt;&gt;"")*ISNUMBER(SEARCH(실물목록!$Q$2:$Q$1001,I2790))*(실물목록!$R$2:$R$1001="")*(실물목록!$O$2:$O$1001&lt;&gt;"")*(실물목록!$O$2:$O$1001=H2790))&gt;0,"실물 있음",IF(SUMPRODUCT((실물목록!$P$2:$P$1001&lt;&gt;"")*ISNUMBER(SEARCH(실물목록!$P$2:$P$1001,I2790))*(실물목록!$R$2:$R$1001&lt;&gt;""))&gt;0,"확인필요(입력누락)",IF(SUMPRODUCT((실물목록!$P$2:$P$1001&lt;&gt;"")*ISNUMBER(SEARCH(실물목록!$P$2:$P$1001,I2790))*(실물목록!$Q$2:$Q$1001&lt;&gt;"")*ISNUMBER(SEARCH(실물목록!$Q$2:$Q$1001,I2790))*(실물목록!$R$2:$R$1001="")*(실물목록!$O$2:$O$1001&lt;&gt;""))&gt;0,"확인필요(연도다름)","실물 없음")))))</f>
      </c>
      <c r="G2790" t="n" s="16">
        <f aca="0">IF(B2790="","",SUMPRODUCT((실물목록!$P$2:$P$1001&lt;&gt;"")*ISNUMBER(SEARCH(실물목록!$P$2:$P$1001,I2790))*(실물목록!$Q$2:$Q$1001&lt;&gt;"")*ISNUMBER(SEARCH(실물목록!$Q$2:$Q$1001,I2790))*(실물목록!$R$2:$R$1001="")*(실물목록!$O$2:$O$1001&lt;&gt;"")*(실물목록!$O$2:$O$1001=H2790)))</f>
      </c>
      <c r="H2790" t="str">
        <f>IFERROR(IF(AND(LEN(SUBSTITUTE(SUBSTITUTE(SUBSTITUTE(TRIM(A2790&amp;""),CHAR(160),"")," ",""),"년",""))=4,VALUE(SUBSTITUTE(SUBSTITUTE(SUBSTITUTE(TRIM(A2790&amp;""),CHAR(160),"")," ",""),"년",""))&gt;=1900,VALUE(SUBSTITUTE(SUBSTITUTE(SUBSTITUTE(TRIM(A2790&amp;""),CHAR(160),"")," ",""),"년",""))&lt;=2099,TEXT(VALUE(SUBSTITUTE(SUBSTITUTE(SUBSTITUTE(TRIM(A2790&amp;""),CHAR(160),"")," ",""),"년","")),"0000")=SUBSTITUTE(SUBSTITUTE(SUBSTITUTE(TRIM(A2790&amp;""),CHAR(160),"")," ",""),"년","")),SUBSTITUTE(SUBSTITUTE(SUBSTITUTE(TRIM(A2790&amp;""),CHAR(160),"")," ",""),"년",""),""),"")</f>
      </c>
      <c r="I2790" t="str">
        <f>SUBSTITUTE(SUBSTITUTE(SUBSTITUTE(SUBSTITUTE(SUBSTITUTE(TRIM(B2790&amp;""),CHAR(160),"")," ",""),"초등학교","초"),"중학교","중"),"고등학교","고")</f>
      </c>
    </row>
    <row r="2791" customFormat="false" ht="15" hidden="false" customHeight="false" outlineLevel="0" collapsed="false">
      <c r="A2791" s="8"/>
      <c r="B2791" s="8"/>
      <c r="C2791" s="8"/>
      <c r="D2791" s="8"/>
      <c r="E2791" s="8"/>
      <c r="F2791" t="str" s="15">
        <f aca="0">IF(B2791="","",IF(H2791="","확인필요(입력누락)",IF(SUMPRODUCT((실물목록!$P$2:$P$1001&lt;&gt;"")*ISNUMBER(SEARCH(실물목록!$P$2:$P$1001,I2791))*(실물목록!$Q$2:$Q$1001&lt;&gt;"")*ISNUMBER(SEARCH(실물목록!$Q$2:$Q$1001,I2791))*(실물목록!$R$2:$R$1001="")*(실물목록!$O$2:$O$1001&lt;&gt;"")*(실물목록!$O$2:$O$1001=H2791))&gt;0,"실물 있음",IF(SUMPRODUCT((실물목록!$P$2:$P$1001&lt;&gt;"")*ISNUMBER(SEARCH(실물목록!$P$2:$P$1001,I2791))*(실물목록!$R$2:$R$1001&lt;&gt;""))&gt;0,"확인필요(입력누락)",IF(SUMPRODUCT((실물목록!$P$2:$P$1001&lt;&gt;"")*ISNUMBER(SEARCH(실물목록!$P$2:$P$1001,I2791))*(실물목록!$Q$2:$Q$1001&lt;&gt;"")*ISNUMBER(SEARCH(실물목록!$Q$2:$Q$1001,I2791))*(실물목록!$R$2:$R$1001="")*(실물목록!$O$2:$O$1001&lt;&gt;""))&gt;0,"확인필요(연도다름)","실물 없음")))))</f>
      </c>
      <c r="G2791" t="n" s="16">
        <f aca="0">IF(B2791="","",SUMPRODUCT((실물목록!$P$2:$P$1001&lt;&gt;"")*ISNUMBER(SEARCH(실물목록!$P$2:$P$1001,I2791))*(실물목록!$Q$2:$Q$1001&lt;&gt;"")*ISNUMBER(SEARCH(실물목록!$Q$2:$Q$1001,I2791))*(실물목록!$R$2:$R$1001="")*(실물목록!$O$2:$O$1001&lt;&gt;"")*(실물목록!$O$2:$O$1001=H2791)))</f>
      </c>
      <c r="H2791" t="str">
        <f>IFERROR(IF(AND(LEN(SUBSTITUTE(SUBSTITUTE(SUBSTITUTE(TRIM(A2791&amp;""),CHAR(160),"")," ",""),"년",""))=4,VALUE(SUBSTITUTE(SUBSTITUTE(SUBSTITUTE(TRIM(A2791&amp;""),CHAR(160),"")," ",""),"년",""))&gt;=1900,VALUE(SUBSTITUTE(SUBSTITUTE(SUBSTITUTE(TRIM(A2791&amp;""),CHAR(160),"")," ",""),"년",""))&lt;=2099,TEXT(VALUE(SUBSTITUTE(SUBSTITUTE(SUBSTITUTE(TRIM(A2791&amp;""),CHAR(160),"")," ",""),"년","")),"0000")=SUBSTITUTE(SUBSTITUTE(SUBSTITUTE(TRIM(A2791&amp;""),CHAR(160),"")," ",""),"년","")),SUBSTITUTE(SUBSTITUTE(SUBSTITUTE(TRIM(A2791&amp;""),CHAR(160),"")," ",""),"년",""),""),"")</f>
      </c>
      <c r="I2791" t="str">
        <f>SUBSTITUTE(SUBSTITUTE(SUBSTITUTE(SUBSTITUTE(SUBSTITUTE(TRIM(B2791&amp;""),CHAR(160),"")," ",""),"초등학교","초"),"중학교","중"),"고등학교","고")</f>
      </c>
    </row>
    <row r="2792" customFormat="false" ht="15" hidden="false" customHeight="false" outlineLevel="0" collapsed="false">
      <c r="A2792" s="8"/>
      <c r="B2792" s="8"/>
      <c r="C2792" s="8"/>
      <c r="D2792" s="8"/>
      <c r="E2792" s="8"/>
      <c r="F2792" t="str" s="15">
        <f aca="0">IF(B2792="","",IF(H2792="","확인필요(입력누락)",IF(SUMPRODUCT((실물목록!$P$2:$P$1001&lt;&gt;"")*ISNUMBER(SEARCH(실물목록!$P$2:$P$1001,I2792))*(실물목록!$Q$2:$Q$1001&lt;&gt;"")*ISNUMBER(SEARCH(실물목록!$Q$2:$Q$1001,I2792))*(실물목록!$R$2:$R$1001="")*(실물목록!$O$2:$O$1001&lt;&gt;"")*(실물목록!$O$2:$O$1001=H2792))&gt;0,"실물 있음",IF(SUMPRODUCT((실물목록!$P$2:$P$1001&lt;&gt;"")*ISNUMBER(SEARCH(실물목록!$P$2:$P$1001,I2792))*(실물목록!$R$2:$R$1001&lt;&gt;""))&gt;0,"확인필요(입력누락)",IF(SUMPRODUCT((실물목록!$P$2:$P$1001&lt;&gt;"")*ISNUMBER(SEARCH(실물목록!$P$2:$P$1001,I2792))*(실물목록!$Q$2:$Q$1001&lt;&gt;"")*ISNUMBER(SEARCH(실물목록!$Q$2:$Q$1001,I2792))*(실물목록!$R$2:$R$1001="")*(실물목록!$O$2:$O$1001&lt;&gt;""))&gt;0,"확인필요(연도다름)","실물 없음")))))</f>
      </c>
      <c r="G2792" t="n" s="16">
        <f aca="0">IF(B2792="","",SUMPRODUCT((실물목록!$P$2:$P$1001&lt;&gt;"")*ISNUMBER(SEARCH(실물목록!$P$2:$P$1001,I2792))*(실물목록!$Q$2:$Q$1001&lt;&gt;"")*ISNUMBER(SEARCH(실물목록!$Q$2:$Q$1001,I2792))*(실물목록!$R$2:$R$1001="")*(실물목록!$O$2:$O$1001&lt;&gt;"")*(실물목록!$O$2:$O$1001=H2792)))</f>
      </c>
      <c r="H2792" t="str">
        <f>IFERROR(IF(AND(LEN(SUBSTITUTE(SUBSTITUTE(SUBSTITUTE(TRIM(A2792&amp;""),CHAR(160),"")," ",""),"년",""))=4,VALUE(SUBSTITUTE(SUBSTITUTE(SUBSTITUTE(TRIM(A2792&amp;""),CHAR(160),"")," ",""),"년",""))&gt;=1900,VALUE(SUBSTITUTE(SUBSTITUTE(SUBSTITUTE(TRIM(A2792&amp;""),CHAR(160),"")," ",""),"년",""))&lt;=2099,TEXT(VALUE(SUBSTITUTE(SUBSTITUTE(SUBSTITUTE(TRIM(A2792&amp;""),CHAR(160),"")," ",""),"년","")),"0000")=SUBSTITUTE(SUBSTITUTE(SUBSTITUTE(TRIM(A2792&amp;""),CHAR(160),"")," ",""),"년","")),SUBSTITUTE(SUBSTITUTE(SUBSTITUTE(TRIM(A2792&amp;""),CHAR(160),"")," ",""),"년",""),""),"")</f>
      </c>
      <c r="I2792" t="str">
        <f>SUBSTITUTE(SUBSTITUTE(SUBSTITUTE(SUBSTITUTE(SUBSTITUTE(TRIM(B2792&amp;""),CHAR(160),"")," ",""),"초등학교","초"),"중학교","중"),"고등학교","고")</f>
      </c>
    </row>
    <row r="2793" customFormat="false" ht="15" hidden="false" customHeight="false" outlineLevel="0" collapsed="false">
      <c r="A2793" s="8"/>
      <c r="B2793" s="8"/>
      <c r="C2793" s="8"/>
      <c r="D2793" s="8"/>
      <c r="E2793" s="8"/>
      <c r="F2793" t="str" s="15">
        <f aca="0">IF(B2793="","",IF(H2793="","확인필요(입력누락)",IF(SUMPRODUCT((실물목록!$P$2:$P$1001&lt;&gt;"")*ISNUMBER(SEARCH(실물목록!$P$2:$P$1001,I2793))*(실물목록!$Q$2:$Q$1001&lt;&gt;"")*ISNUMBER(SEARCH(실물목록!$Q$2:$Q$1001,I2793))*(실물목록!$R$2:$R$1001="")*(실물목록!$O$2:$O$1001&lt;&gt;"")*(실물목록!$O$2:$O$1001=H2793))&gt;0,"실물 있음",IF(SUMPRODUCT((실물목록!$P$2:$P$1001&lt;&gt;"")*ISNUMBER(SEARCH(실물목록!$P$2:$P$1001,I2793))*(실물목록!$R$2:$R$1001&lt;&gt;""))&gt;0,"확인필요(입력누락)",IF(SUMPRODUCT((실물목록!$P$2:$P$1001&lt;&gt;"")*ISNUMBER(SEARCH(실물목록!$P$2:$P$1001,I2793))*(실물목록!$Q$2:$Q$1001&lt;&gt;"")*ISNUMBER(SEARCH(실물목록!$Q$2:$Q$1001,I2793))*(실물목록!$R$2:$R$1001="")*(실물목록!$O$2:$O$1001&lt;&gt;""))&gt;0,"확인필요(연도다름)","실물 없음")))))</f>
      </c>
      <c r="G2793" t="n" s="16">
        <f aca="0">IF(B2793="","",SUMPRODUCT((실물목록!$P$2:$P$1001&lt;&gt;"")*ISNUMBER(SEARCH(실물목록!$P$2:$P$1001,I2793))*(실물목록!$Q$2:$Q$1001&lt;&gt;"")*ISNUMBER(SEARCH(실물목록!$Q$2:$Q$1001,I2793))*(실물목록!$R$2:$R$1001="")*(실물목록!$O$2:$O$1001&lt;&gt;"")*(실물목록!$O$2:$O$1001=H2793)))</f>
      </c>
      <c r="H2793" t="str">
        <f>IFERROR(IF(AND(LEN(SUBSTITUTE(SUBSTITUTE(SUBSTITUTE(TRIM(A2793&amp;""),CHAR(160),"")," ",""),"년",""))=4,VALUE(SUBSTITUTE(SUBSTITUTE(SUBSTITUTE(TRIM(A2793&amp;""),CHAR(160),"")," ",""),"년",""))&gt;=1900,VALUE(SUBSTITUTE(SUBSTITUTE(SUBSTITUTE(TRIM(A2793&amp;""),CHAR(160),"")," ",""),"년",""))&lt;=2099,TEXT(VALUE(SUBSTITUTE(SUBSTITUTE(SUBSTITUTE(TRIM(A2793&amp;""),CHAR(160),"")," ",""),"년","")),"0000")=SUBSTITUTE(SUBSTITUTE(SUBSTITUTE(TRIM(A2793&amp;""),CHAR(160),"")," ",""),"년","")),SUBSTITUTE(SUBSTITUTE(SUBSTITUTE(TRIM(A2793&amp;""),CHAR(160),"")," ",""),"년",""),""),"")</f>
      </c>
      <c r="I2793" t="str">
        <f>SUBSTITUTE(SUBSTITUTE(SUBSTITUTE(SUBSTITUTE(SUBSTITUTE(TRIM(B2793&amp;""),CHAR(160),"")," ",""),"초등학교","초"),"중학교","중"),"고등학교","고")</f>
      </c>
    </row>
    <row r="2794" customFormat="false" ht="15" hidden="false" customHeight="false" outlineLevel="0" collapsed="false">
      <c r="A2794" s="8"/>
      <c r="B2794" s="8"/>
      <c r="C2794" s="8"/>
      <c r="D2794" s="8"/>
      <c r="E2794" s="8"/>
      <c r="F2794" t="str" s="15">
        <f aca="0">IF(B2794="","",IF(H2794="","확인필요(입력누락)",IF(SUMPRODUCT((실물목록!$P$2:$P$1001&lt;&gt;"")*ISNUMBER(SEARCH(실물목록!$P$2:$P$1001,I2794))*(실물목록!$Q$2:$Q$1001&lt;&gt;"")*ISNUMBER(SEARCH(실물목록!$Q$2:$Q$1001,I2794))*(실물목록!$R$2:$R$1001="")*(실물목록!$O$2:$O$1001&lt;&gt;"")*(실물목록!$O$2:$O$1001=H2794))&gt;0,"실물 있음",IF(SUMPRODUCT((실물목록!$P$2:$P$1001&lt;&gt;"")*ISNUMBER(SEARCH(실물목록!$P$2:$P$1001,I2794))*(실물목록!$R$2:$R$1001&lt;&gt;""))&gt;0,"확인필요(입력누락)",IF(SUMPRODUCT((실물목록!$P$2:$P$1001&lt;&gt;"")*ISNUMBER(SEARCH(실물목록!$P$2:$P$1001,I2794))*(실물목록!$Q$2:$Q$1001&lt;&gt;"")*ISNUMBER(SEARCH(실물목록!$Q$2:$Q$1001,I2794))*(실물목록!$R$2:$R$1001="")*(실물목록!$O$2:$O$1001&lt;&gt;""))&gt;0,"확인필요(연도다름)","실물 없음")))))</f>
      </c>
      <c r="G2794" t="n" s="16">
        <f aca="0">IF(B2794="","",SUMPRODUCT((실물목록!$P$2:$P$1001&lt;&gt;"")*ISNUMBER(SEARCH(실물목록!$P$2:$P$1001,I2794))*(실물목록!$Q$2:$Q$1001&lt;&gt;"")*ISNUMBER(SEARCH(실물목록!$Q$2:$Q$1001,I2794))*(실물목록!$R$2:$R$1001="")*(실물목록!$O$2:$O$1001&lt;&gt;"")*(실물목록!$O$2:$O$1001=H2794)))</f>
      </c>
      <c r="H2794" t="str">
        <f>IFERROR(IF(AND(LEN(SUBSTITUTE(SUBSTITUTE(SUBSTITUTE(TRIM(A2794&amp;""),CHAR(160),"")," ",""),"년",""))=4,VALUE(SUBSTITUTE(SUBSTITUTE(SUBSTITUTE(TRIM(A2794&amp;""),CHAR(160),"")," ",""),"년",""))&gt;=1900,VALUE(SUBSTITUTE(SUBSTITUTE(SUBSTITUTE(TRIM(A2794&amp;""),CHAR(160),"")," ",""),"년",""))&lt;=2099,TEXT(VALUE(SUBSTITUTE(SUBSTITUTE(SUBSTITUTE(TRIM(A2794&amp;""),CHAR(160),"")," ",""),"년","")),"0000")=SUBSTITUTE(SUBSTITUTE(SUBSTITUTE(TRIM(A2794&amp;""),CHAR(160),"")," ",""),"년","")),SUBSTITUTE(SUBSTITUTE(SUBSTITUTE(TRIM(A2794&amp;""),CHAR(160),"")," ",""),"년",""),""),"")</f>
      </c>
      <c r="I2794" t="str">
        <f>SUBSTITUTE(SUBSTITUTE(SUBSTITUTE(SUBSTITUTE(SUBSTITUTE(TRIM(B2794&amp;""),CHAR(160),"")," ",""),"초등학교","초"),"중학교","중"),"고등학교","고")</f>
      </c>
    </row>
    <row r="2795" customFormat="false" ht="15" hidden="false" customHeight="false" outlineLevel="0" collapsed="false">
      <c r="A2795" s="8"/>
      <c r="B2795" s="8"/>
      <c r="C2795" s="8"/>
      <c r="D2795" s="8"/>
      <c r="E2795" s="8"/>
      <c r="F2795" t="str" s="15">
        <f aca="0">IF(B2795="","",IF(H2795="","확인필요(입력누락)",IF(SUMPRODUCT((실물목록!$P$2:$P$1001&lt;&gt;"")*ISNUMBER(SEARCH(실물목록!$P$2:$P$1001,I2795))*(실물목록!$Q$2:$Q$1001&lt;&gt;"")*ISNUMBER(SEARCH(실물목록!$Q$2:$Q$1001,I2795))*(실물목록!$R$2:$R$1001="")*(실물목록!$O$2:$O$1001&lt;&gt;"")*(실물목록!$O$2:$O$1001=H2795))&gt;0,"실물 있음",IF(SUMPRODUCT((실물목록!$P$2:$P$1001&lt;&gt;"")*ISNUMBER(SEARCH(실물목록!$P$2:$P$1001,I2795))*(실물목록!$R$2:$R$1001&lt;&gt;""))&gt;0,"확인필요(입력누락)",IF(SUMPRODUCT((실물목록!$P$2:$P$1001&lt;&gt;"")*ISNUMBER(SEARCH(실물목록!$P$2:$P$1001,I2795))*(실물목록!$Q$2:$Q$1001&lt;&gt;"")*ISNUMBER(SEARCH(실물목록!$Q$2:$Q$1001,I2795))*(실물목록!$R$2:$R$1001="")*(실물목록!$O$2:$O$1001&lt;&gt;""))&gt;0,"확인필요(연도다름)","실물 없음")))))</f>
      </c>
      <c r="G2795" t="n" s="16">
        <f aca="0">IF(B2795="","",SUMPRODUCT((실물목록!$P$2:$P$1001&lt;&gt;"")*ISNUMBER(SEARCH(실물목록!$P$2:$P$1001,I2795))*(실물목록!$Q$2:$Q$1001&lt;&gt;"")*ISNUMBER(SEARCH(실물목록!$Q$2:$Q$1001,I2795))*(실물목록!$R$2:$R$1001="")*(실물목록!$O$2:$O$1001&lt;&gt;"")*(실물목록!$O$2:$O$1001=H2795)))</f>
      </c>
      <c r="H2795" t="str">
        <f>IFERROR(IF(AND(LEN(SUBSTITUTE(SUBSTITUTE(SUBSTITUTE(TRIM(A2795&amp;""),CHAR(160),"")," ",""),"년",""))=4,VALUE(SUBSTITUTE(SUBSTITUTE(SUBSTITUTE(TRIM(A2795&amp;""),CHAR(160),"")," ",""),"년",""))&gt;=1900,VALUE(SUBSTITUTE(SUBSTITUTE(SUBSTITUTE(TRIM(A2795&amp;""),CHAR(160),"")," ",""),"년",""))&lt;=2099,TEXT(VALUE(SUBSTITUTE(SUBSTITUTE(SUBSTITUTE(TRIM(A2795&amp;""),CHAR(160),"")," ",""),"년","")),"0000")=SUBSTITUTE(SUBSTITUTE(SUBSTITUTE(TRIM(A2795&amp;""),CHAR(160),"")," ",""),"년","")),SUBSTITUTE(SUBSTITUTE(SUBSTITUTE(TRIM(A2795&amp;""),CHAR(160),"")," ",""),"년",""),""),"")</f>
      </c>
      <c r="I2795" t="str">
        <f>SUBSTITUTE(SUBSTITUTE(SUBSTITUTE(SUBSTITUTE(SUBSTITUTE(TRIM(B2795&amp;""),CHAR(160),"")," ",""),"초등학교","초"),"중학교","중"),"고등학교","고")</f>
      </c>
    </row>
    <row r="2796" customFormat="false" ht="15" hidden="false" customHeight="false" outlineLevel="0" collapsed="false">
      <c r="A2796" s="8"/>
      <c r="B2796" s="8"/>
      <c r="C2796" s="8"/>
      <c r="D2796" s="8"/>
      <c r="E2796" s="8"/>
      <c r="F2796" t="str" s="15">
        <f aca="0">IF(B2796="","",IF(H2796="","확인필요(입력누락)",IF(SUMPRODUCT((실물목록!$P$2:$P$1001&lt;&gt;"")*ISNUMBER(SEARCH(실물목록!$P$2:$P$1001,I2796))*(실물목록!$Q$2:$Q$1001&lt;&gt;"")*ISNUMBER(SEARCH(실물목록!$Q$2:$Q$1001,I2796))*(실물목록!$R$2:$R$1001="")*(실물목록!$O$2:$O$1001&lt;&gt;"")*(실물목록!$O$2:$O$1001=H2796))&gt;0,"실물 있음",IF(SUMPRODUCT((실물목록!$P$2:$P$1001&lt;&gt;"")*ISNUMBER(SEARCH(실물목록!$P$2:$P$1001,I2796))*(실물목록!$R$2:$R$1001&lt;&gt;""))&gt;0,"확인필요(입력누락)",IF(SUMPRODUCT((실물목록!$P$2:$P$1001&lt;&gt;"")*ISNUMBER(SEARCH(실물목록!$P$2:$P$1001,I2796))*(실물목록!$Q$2:$Q$1001&lt;&gt;"")*ISNUMBER(SEARCH(실물목록!$Q$2:$Q$1001,I2796))*(실물목록!$R$2:$R$1001="")*(실물목록!$O$2:$O$1001&lt;&gt;""))&gt;0,"확인필요(연도다름)","실물 없음")))))</f>
      </c>
      <c r="G2796" t="n" s="16">
        <f aca="0">IF(B2796="","",SUMPRODUCT((실물목록!$P$2:$P$1001&lt;&gt;"")*ISNUMBER(SEARCH(실물목록!$P$2:$P$1001,I2796))*(실물목록!$Q$2:$Q$1001&lt;&gt;"")*ISNUMBER(SEARCH(실물목록!$Q$2:$Q$1001,I2796))*(실물목록!$R$2:$R$1001="")*(실물목록!$O$2:$O$1001&lt;&gt;"")*(실물목록!$O$2:$O$1001=H2796)))</f>
      </c>
      <c r="H2796" t="str">
        <f>IFERROR(IF(AND(LEN(SUBSTITUTE(SUBSTITUTE(SUBSTITUTE(TRIM(A2796&amp;""),CHAR(160),"")," ",""),"년",""))=4,VALUE(SUBSTITUTE(SUBSTITUTE(SUBSTITUTE(TRIM(A2796&amp;""),CHAR(160),"")," ",""),"년",""))&gt;=1900,VALUE(SUBSTITUTE(SUBSTITUTE(SUBSTITUTE(TRIM(A2796&amp;""),CHAR(160),"")," ",""),"년",""))&lt;=2099,TEXT(VALUE(SUBSTITUTE(SUBSTITUTE(SUBSTITUTE(TRIM(A2796&amp;""),CHAR(160),"")," ",""),"년","")),"0000")=SUBSTITUTE(SUBSTITUTE(SUBSTITUTE(TRIM(A2796&amp;""),CHAR(160),"")," ",""),"년","")),SUBSTITUTE(SUBSTITUTE(SUBSTITUTE(TRIM(A2796&amp;""),CHAR(160),"")," ",""),"년",""),""),"")</f>
      </c>
      <c r="I2796" t="str">
        <f>SUBSTITUTE(SUBSTITUTE(SUBSTITUTE(SUBSTITUTE(SUBSTITUTE(TRIM(B2796&amp;""),CHAR(160),"")," ",""),"초등학교","초"),"중학교","중"),"고등학교","고")</f>
      </c>
    </row>
    <row r="2797" customFormat="false" ht="15" hidden="false" customHeight="false" outlineLevel="0" collapsed="false">
      <c r="A2797" s="8"/>
      <c r="B2797" s="8"/>
      <c r="C2797" s="8"/>
      <c r="D2797" s="8"/>
      <c r="E2797" s="8"/>
      <c r="F2797" t="str" s="15">
        <f aca="0">IF(B2797="","",IF(H2797="","확인필요(입력누락)",IF(SUMPRODUCT((실물목록!$P$2:$P$1001&lt;&gt;"")*ISNUMBER(SEARCH(실물목록!$P$2:$P$1001,I2797))*(실물목록!$Q$2:$Q$1001&lt;&gt;"")*ISNUMBER(SEARCH(실물목록!$Q$2:$Q$1001,I2797))*(실물목록!$R$2:$R$1001="")*(실물목록!$O$2:$O$1001&lt;&gt;"")*(실물목록!$O$2:$O$1001=H2797))&gt;0,"실물 있음",IF(SUMPRODUCT((실물목록!$P$2:$P$1001&lt;&gt;"")*ISNUMBER(SEARCH(실물목록!$P$2:$P$1001,I2797))*(실물목록!$R$2:$R$1001&lt;&gt;""))&gt;0,"확인필요(입력누락)",IF(SUMPRODUCT((실물목록!$P$2:$P$1001&lt;&gt;"")*ISNUMBER(SEARCH(실물목록!$P$2:$P$1001,I2797))*(실물목록!$Q$2:$Q$1001&lt;&gt;"")*ISNUMBER(SEARCH(실물목록!$Q$2:$Q$1001,I2797))*(실물목록!$R$2:$R$1001="")*(실물목록!$O$2:$O$1001&lt;&gt;""))&gt;0,"확인필요(연도다름)","실물 없음")))))</f>
      </c>
      <c r="G2797" t="n" s="16">
        <f aca="0">IF(B2797="","",SUMPRODUCT((실물목록!$P$2:$P$1001&lt;&gt;"")*ISNUMBER(SEARCH(실물목록!$P$2:$P$1001,I2797))*(실물목록!$Q$2:$Q$1001&lt;&gt;"")*ISNUMBER(SEARCH(실물목록!$Q$2:$Q$1001,I2797))*(실물목록!$R$2:$R$1001="")*(실물목록!$O$2:$O$1001&lt;&gt;"")*(실물목록!$O$2:$O$1001=H2797)))</f>
      </c>
      <c r="H2797" t="str">
        <f>IFERROR(IF(AND(LEN(SUBSTITUTE(SUBSTITUTE(SUBSTITUTE(TRIM(A2797&amp;""),CHAR(160),"")," ",""),"년",""))=4,VALUE(SUBSTITUTE(SUBSTITUTE(SUBSTITUTE(TRIM(A2797&amp;""),CHAR(160),"")," ",""),"년",""))&gt;=1900,VALUE(SUBSTITUTE(SUBSTITUTE(SUBSTITUTE(TRIM(A2797&amp;""),CHAR(160),"")," ",""),"년",""))&lt;=2099,TEXT(VALUE(SUBSTITUTE(SUBSTITUTE(SUBSTITUTE(TRIM(A2797&amp;""),CHAR(160),"")," ",""),"년","")),"0000")=SUBSTITUTE(SUBSTITUTE(SUBSTITUTE(TRIM(A2797&amp;""),CHAR(160),"")," ",""),"년","")),SUBSTITUTE(SUBSTITUTE(SUBSTITUTE(TRIM(A2797&amp;""),CHAR(160),"")," ",""),"년",""),""),"")</f>
      </c>
      <c r="I2797" t="str">
        <f>SUBSTITUTE(SUBSTITUTE(SUBSTITUTE(SUBSTITUTE(SUBSTITUTE(TRIM(B2797&amp;""),CHAR(160),"")," ",""),"초등학교","초"),"중학교","중"),"고등학교","고")</f>
      </c>
    </row>
    <row r="2798" customFormat="false" ht="15" hidden="false" customHeight="false" outlineLevel="0" collapsed="false">
      <c r="A2798" s="8"/>
      <c r="B2798" s="8"/>
      <c r="C2798" s="8"/>
      <c r="D2798" s="8"/>
      <c r="E2798" s="8"/>
      <c r="F2798" t="str" s="15">
        <f aca="0">IF(B2798="","",IF(H2798="","확인필요(입력누락)",IF(SUMPRODUCT((실물목록!$P$2:$P$1001&lt;&gt;"")*ISNUMBER(SEARCH(실물목록!$P$2:$P$1001,I2798))*(실물목록!$Q$2:$Q$1001&lt;&gt;"")*ISNUMBER(SEARCH(실물목록!$Q$2:$Q$1001,I2798))*(실물목록!$R$2:$R$1001="")*(실물목록!$O$2:$O$1001&lt;&gt;"")*(실물목록!$O$2:$O$1001=H2798))&gt;0,"실물 있음",IF(SUMPRODUCT((실물목록!$P$2:$P$1001&lt;&gt;"")*ISNUMBER(SEARCH(실물목록!$P$2:$P$1001,I2798))*(실물목록!$R$2:$R$1001&lt;&gt;""))&gt;0,"확인필요(입력누락)",IF(SUMPRODUCT((실물목록!$P$2:$P$1001&lt;&gt;"")*ISNUMBER(SEARCH(실물목록!$P$2:$P$1001,I2798))*(실물목록!$Q$2:$Q$1001&lt;&gt;"")*ISNUMBER(SEARCH(실물목록!$Q$2:$Q$1001,I2798))*(실물목록!$R$2:$R$1001="")*(실물목록!$O$2:$O$1001&lt;&gt;""))&gt;0,"확인필요(연도다름)","실물 없음")))))</f>
      </c>
      <c r="G2798" t="n" s="16">
        <f aca="0">IF(B2798="","",SUMPRODUCT((실물목록!$P$2:$P$1001&lt;&gt;"")*ISNUMBER(SEARCH(실물목록!$P$2:$P$1001,I2798))*(실물목록!$Q$2:$Q$1001&lt;&gt;"")*ISNUMBER(SEARCH(실물목록!$Q$2:$Q$1001,I2798))*(실물목록!$R$2:$R$1001="")*(실물목록!$O$2:$O$1001&lt;&gt;"")*(실물목록!$O$2:$O$1001=H2798)))</f>
      </c>
      <c r="H2798" t="str">
        <f>IFERROR(IF(AND(LEN(SUBSTITUTE(SUBSTITUTE(SUBSTITUTE(TRIM(A2798&amp;""),CHAR(160),"")," ",""),"년",""))=4,VALUE(SUBSTITUTE(SUBSTITUTE(SUBSTITUTE(TRIM(A2798&amp;""),CHAR(160),"")," ",""),"년",""))&gt;=1900,VALUE(SUBSTITUTE(SUBSTITUTE(SUBSTITUTE(TRIM(A2798&amp;""),CHAR(160),"")," ",""),"년",""))&lt;=2099,TEXT(VALUE(SUBSTITUTE(SUBSTITUTE(SUBSTITUTE(TRIM(A2798&amp;""),CHAR(160),"")," ",""),"년","")),"0000")=SUBSTITUTE(SUBSTITUTE(SUBSTITUTE(TRIM(A2798&amp;""),CHAR(160),"")," ",""),"년","")),SUBSTITUTE(SUBSTITUTE(SUBSTITUTE(TRIM(A2798&amp;""),CHAR(160),"")," ",""),"년",""),""),"")</f>
      </c>
      <c r="I2798" t="str">
        <f>SUBSTITUTE(SUBSTITUTE(SUBSTITUTE(SUBSTITUTE(SUBSTITUTE(TRIM(B2798&amp;""),CHAR(160),"")," ",""),"초등학교","초"),"중학교","중"),"고등학교","고")</f>
      </c>
    </row>
    <row r="2799" customFormat="false" ht="15" hidden="false" customHeight="false" outlineLevel="0" collapsed="false">
      <c r="A2799" s="8"/>
      <c r="B2799" s="8"/>
      <c r="C2799" s="8"/>
      <c r="D2799" s="8"/>
      <c r="E2799" s="8"/>
      <c r="F2799" t="str" s="15">
        <f aca="0">IF(B2799="","",IF(H2799="","확인필요(입력누락)",IF(SUMPRODUCT((실물목록!$P$2:$P$1001&lt;&gt;"")*ISNUMBER(SEARCH(실물목록!$P$2:$P$1001,I2799))*(실물목록!$Q$2:$Q$1001&lt;&gt;"")*ISNUMBER(SEARCH(실물목록!$Q$2:$Q$1001,I2799))*(실물목록!$R$2:$R$1001="")*(실물목록!$O$2:$O$1001&lt;&gt;"")*(실물목록!$O$2:$O$1001=H2799))&gt;0,"실물 있음",IF(SUMPRODUCT((실물목록!$P$2:$P$1001&lt;&gt;"")*ISNUMBER(SEARCH(실물목록!$P$2:$P$1001,I2799))*(실물목록!$R$2:$R$1001&lt;&gt;""))&gt;0,"확인필요(입력누락)",IF(SUMPRODUCT((실물목록!$P$2:$P$1001&lt;&gt;"")*ISNUMBER(SEARCH(실물목록!$P$2:$P$1001,I2799))*(실물목록!$Q$2:$Q$1001&lt;&gt;"")*ISNUMBER(SEARCH(실물목록!$Q$2:$Q$1001,I2799))*(실물목록!$R$2:$R$1001="")*(실물목록!$O$2:$O$1001&lt;&gt;""))&gt;0,"확인필요(연도다름)","실물 없음")))))</f>
      </c>
      <c r="G2799" t="n" s="16">
        <f aca="0">IF(B2799="","",SUMPRODUCT((실물목록!$P$2:$P$1001&lt;&gt;"")*ISNUMBER(SEARCH(실물목록!$P$2:$P$1001,I2799))*(실물목록!$Q$2:$Q$1001&lt;&gt;"")*ISNUMBER(SEARCH(실물목록!$Q$2:$Q$1001,I2799))*(실물목록!$R$2:$R$1001="")*(실물목록!$O$2:$O$1001&lt;&gt;"")*(실물목록!$O$2:$O$1001=H2799)))</f>
      </c>
      <c r="H2799" t="str">
        <f>IFERROR(IF(AND(LEN(SUBSTITUTE(SUBSTITUTE(SUBSTITUTE(TRIM(A2799&amp;""),CHAR(160),"")," ",""),"년",""))=4,VALUE(SUBSTITUTE(SUBSTITUTE(SUBSTITUTE(TRIM(A2799&amp;""),CHAR(160),"")," ",""),"년",""))&gt;=1900,VALUE(SUBSTITUTE(SUBSTITUTE(SUBSTITUTE(TRIM(A2799&amp;""),CHAR(160),"")," ",""),"년",""))&lt;=2099,TEXT(VALUE(SUBSTITUTE(SUBSTITUTE(SUBSTITUTE(TRIM(A2799&amp;""),CHAR(160),"")," ",""),"년","")),"0000")=SUBSTITUTE(SUBSTITUTE(SUBSTITUTE(TRIM(A2799&amp;""),CHAR(160),"")," ",""),"년","")),SUBSTITUTE(SUBSTITUTE(SUBSTITUTE(TRIM(A2799&amp;""),CHAR(160),"")," ",""),"년",""),""),"")</f>
      </c>
      <c r="I2799" t="str">
        <f>SUBSTITUTE(SUBSTITUTE(SUBSTITUTE(SUBSTITUTE(SUBSTITUTE(TRIM(B2799&amp;""),CHAR(160),"")," ",""),"초등학교","초"),"중학교","중"),"고등학교","고")</f>
      </c>
    </row>
    <row r="2800" customFormat="false" ht="15" hidden="false" customHeight="false" outlineLevel="0" collapsed="false">
      <c r="A2800" s="8"/>
      <c r="B2800" s="8"/>
      <c r="C2800" s="8"/>
      <c r="D2800" s="8"/>
      <c r="E2800" s="8"/>
      <c r="F2800" t="str" s="15">
        <f aca="0">IF(B2800="","",IF(H2800="","확인필요(입력누락)",IF(SUMPRODUCT((실물목록!$P$2:$P$1001&lt;&gt;"")*ISNUMBER(SEARCH(실물목록!$P$2:$P$1001,I2800))*(실물목록!$Q$2:$Q$1001&lt;&gt;"")*ISNUMBER(SEARCH(실물목록!$Q$2:$Q$1001,I2800))*(실물목록!$R$2:$R$1001="")*(실물목록!$O$2:$O$1001&lt;&gt;"")*(실물목록!$O$2:$O$1001=H2800))&gt;0,"실물 있음",IF(SUMPRODUCT((실물목록!$P$2:$P$1001&lt;&gt;"")*ISNUMBER(SEARCH(실물목록!$P$2:$P$1001,I2800))*(실물목록!$R$2:$R$1001&lt;&gt;""))&gt;0,"확인필요(입력누락)",IF(SUMPRODUCT((실물목록!$P$2:$P$1001&lt;&gt;"")*ISNUMBER(SEARCH(실물목록!$P$2:$P$1001,I2800))*(실물목록!$Q$2:$Q$1001&lt;&gt;"")*ISNUMBER(SEARCH(실물목록!$Q$2:$Q$1001,I2800))*(실물목록!$R$2:$R$1001="")*(실물목록!$O$2:$O$1001&lt;&gt;""))&gt;0,"확인필요(연도다름)","실물 없음")))))</f>
      </c>
      <c r="G2800" t="n" s="16">
        <f aca="0">IF(B2800="","",SUMPRODUCT((실물목록!$P$2:$P$1001&lt;&gt;"")*ISNUMBER(SEARCH(실물목록!$P$2:$P$1001,I2800))*(실물목록!$Q$2:$Q$1001&lt;&gt;"")*ISNUMBER(SEARCH(실물목록!$Q$2:$Q$1001,I2800))*(실물목록!$R$2:$R$1001="")*(실물목록!$O$2:$O$1001&lt;&gt;"")*(실물목록!$O$2:$O$1001=H2800)))</f>
      </c>
      <c r="H2800" t="str">
        <f>IFERROR(IF(AND(LEN(SUBSTITUTE(SUBSTITUTE(SUBSTITUTE(TRIM(A2800&amp;""),CHAR(160),"")," ",""),"년",""))=4,VALUE(SUBSTITUTE(SUBSTITUTE(SUBSTITUTE(TRIM(A2800&amp;""),CHAR(160),"")," ",""),"년",""))&gt;=1900,VALUE(SUBSTITUTE(SUBSTITUTE(SUBSTITUTE(TRIM(A2800&amp;""),CHAR(160),"")," ",""),"년",""))&lt;=2099,TEXT(VALUE(SUBSTITUTE(SUBSTITUTE(SUBSTITUTE(TRIM(A2800&amp;""),CHAR(160),"")," ",""),"년","")),"0000")=SUBSTITUTE(SUBSTITUTE(SUBSTITUTE(TRIM(A2800&amp;""),CHAR(160),"")," ",""),"년","")),SUBSTITUTE(SUBSTITUTE(SUBSTITUTE(TRIM(A2800&amp;""),CHAR(160),"")," ",""),"년",""),""),"")</f>
      </c>
      <c r="I2800" t="str">
        <f>SUBSTITUTE(SUBSTITUTE(SUBSTITUTE(SUBSTITUTE(SUBSTITUTE(TRIM(B2800&amp;""),CHAR(160),"")," ",""),"초등학교","초"),"중학교","중"),"고등학교","고")</f>
      </c>
    </row>
    <row r="2801" customFormat="false" ht="15" hidden="false" customHeight="false" outlineLevel="0" collapsed="false">
      <c r="A2801" s="8"/>
      <c r="B2801" s="8"/>
      <c r="C2801" s="8"/>
      <c r="D2801" s="8"/>
      <c r="E2801" s="8"/>
      <c r="F2801" t="str" s="15">
        <f aca="0">IF(B2801="","",IF(H2801="","확인필요(입력누락)",IF(SUMPRODUCT((실물목록!$P$2:$P$1001&lt;&gt;"")*ISNUMBER(SEARCH(실물목록!$P$2:$P$1001,I2801))*(실물목록!$Q$2:$Q$1001&lt;&gt;"")*ISNUMBER(SEARCH(실물목록!$Q$2:$Q$1001,I2801))*(실물목록!$R$2:$R$1001="")*(실물목록!$O$2:$O$1001&lt;&gt;"")*(실물목록!$O$2:$O$1001=H2801))&gt;0,"실물 있음",IF(SUMPRODUCT((실물목록!$P$2:$P$1001&lt;&gt;"")*ISNUMBER(SEARCH(실물목록!$P$2:$P$1001,I2801))*(실물목록!$R$2:$R$1001&lt;&gt;""))&gt;0,"확인필요(입력누락)",IF(SUMPRODUCT((실물목록!$P$2:$P$1001&lt;&gt;"")*ISNUMBER(SEARCH(실물목록!$P$2:$P$1001,I2801))*(실물목록!$Q$2:$Q$1001&lt;&gt;"")*ISNUMBER(SEARCH(실물목록!$Q$2:$Q$1001,I2801))*(실물목록!$R$2:$R$1001="")*(실물목록!$O$2:$O$1001&lt;&gt;""))&gt;0,"확인필요(연도다름)","실물 없음")))))</f>
      </c>
      <c r="G2801" t="n" s="16">
        <f aca="0">IF(B2801="","",SUMPRODUCT((실물목록!$P$2:$P$1001&lt;&gt;"")*ISNUMBER(SEARCH(실물목록!$P$2:$P$1001,I2801))*(실물목록!$Q$2:$Q$1001&lt;&gt;"")*ISNUMBER(SEARCH(실물목록!$Q$2:$Q$1001,I2801))*(실물목록!$R$2:$R$1001="")*(실물목록!$O$2:$O$1001&lt;&gt;"")*(실물목록!$O$2:$O$1001=H2801)))</f>
      </c>
      <c r="H2801" t="str">
        <f>IFERROR(IF(AND(LEN(SUBSTITUTE(SUBSTITUTE(SUBSTITUTE(TRIM(A2801&amp;""),CHAR(160),"")," ",""),"년",""))=4,VALUE(SUBSTITUTE(SUBSTITUTE(SUBSTITUTE(TRIM(A2801&amp;""),CHAR(160),"")," ",""),"년",""))&gt;=1900,VALUE(SUBSTITUTE(SUBSTITUTE(SUBSTITUTE(TRIM(A2801&amp;""),CHAR(160),"")," ",""),"년",""))&lt;=2099,TEXT(VALUE(SUBSTITUTE(SUBSTITUTE(SUBSTITUTE(TRIM(A2801&amp;""),CHAR(160),"")," ",""),"년","")),"0000")=SUBSTITUTE(SUBSTITUTE(SUBSTITUTE(TRIM(A2801&amp;""),CHAR(160),"")," ",""),"년","")),SUBSTITUTE(SUBSTITUTE(SUBSTITUTE(TRIM(A2801&amp;""),CHAR(160),"")," ",""),"년",""),""),"")</f>
      </c>
      <c r="I2801" t="str">
        <f>SUBSTITUTE(SUBSTITUTE(SUBSTITUTE(SUBSTITUTE(SUBSTITUTE(TRIM(B2801&amp;""),CHAR(160),"")," ",""),"초등학교","초"),"중학교","중"),"고등학교","고")</f>
      </c>
    </row>
    <row r="2802" customFormat="false" ht="15" hidden="false" customHeight="false" outlineLevel="0" collapsed="false">
      <c r="A2802" s="8"/>
      <c r="B2802" s="8"/>
      <c r="C2802" s="8"/>
      <c r="D2802" s="8"/>
      <c r="E2802" s="8"/>
      <c r="F2802" t="str" s="15">
        <f aca="0">IF(B2802="","",IF(H2802="","확인필요(입력누락)",IF(SUMPRODUCT((실물목록!$P$2:$P$1001&lt;&gt;"")*ISNUMBER(SEARCH(실물목록!$P$2:$P$1001,I2802))*(실물목록!$Q$2:$Q$1001&lt;&gt;"")*ISNUMBER(SEARCH(실물목록!$Q$2:$Q$1001,I2802))*(실물목록!$R$2:$R$1001="")*(실물목록!$O$2:$O$1001&lt;&gt;"")*(실물목록!$O$2:$O$1001=H2802))&gt;0,"실물 있음",IF(SUMPRODUCT((실물목록!$P$2:$P$1001&lt;&gt;"")*ISNUMBER(SEARCH(실물목록!$P$2:$P$1001,I2802))*(실물목록!$R$2:$R$1001&lt;&gt;""))&gt;0,"확인필요(입력누락)",IF(SUMPRODUCT((실물목록!$P$2:$P$1001&lt;&gt;"")*ISNUMBER(SEARCH(실물목록!$P$2:$P$1001,I2802))*(실물목록!$Q$2:$Q$1001&lt;&gt;"")*ISNUMBER(SEARCH(실물목록!$Q$2:$Q$1001,I2802))*(실물목록!$R$2:$R$1001="")*(실물목록!$O$2:$O$1001&lt;&gt;""))&gt;0,"확인필요(연도다름)","실물 없음")))))</f>
      </c>
      <c r="G2802" t="n" s="16">
        <f aca="0">IF(B2802="","",SUMPRODUCT((실물목록!$P$2:$P$1001&lt;&gt;"")*ISNUMBER(SEARCH(실물목록!$P$2:$P$1001,I2802))*(실물목록!$Q$2:$Q$1001&lt;&gt;"")*ISNUMBER(SEARCH(실물목록!$Q$2:$Q$1001,I2802))*(실물목록!$R$2:$R$1001="")*(실물목록!$O$2:$O$1001&lt;&gt;"")*(실물목록!$O$2:$O$1001=H2802)))</f>
      </c>
      <c r="H2802" t="str">
        <f>IFERROR(IF(AND(LEN(SUBSTITUTE(SUBSTITUTE(SUBSTITUTE(TRIM(A2802&amp;""),CHAR(160),"")," ",""),"년",""))=4,VALUE(SUBSTITUTE(SUBSTITUTE(SUBSTITUTE(TRIM(A2802&amp;""),CHAR(160),"")," ",""),"년",""))&gt;=1900,VALUE(SUBSTITUTE(SUBSTITUTE(SUBSTITUTE(TRIM(A2802&amp;""),CHAR(160),"")," ",""),"년",""))&lt;=2099,TEXT(VALUE(SUBSTITUTE(SUBSTITUTE(SUBSTITUTE(TRIM(A2802&amp;""),CHAR(160),"")," ",""),"년","")),"0000")=SUBSTITUTE(SUBSTITUTE(SUBSTITUTE(TRIM(A2802&amp;""),CHAR(160),"")," ",""),"년","")),SUBSTITUTE(SUBSTITUTE(SUBSTITUTE(TRIM(A2802&amp;""),CHAR(160),"")," ",""),"년",""),""),"")</f>
      </c>
      <c r="I2802" t="str">
        <f>SUBSTITUTE(SUBSTITUTE(SUBSTITUTE(SUBSTITUTE(SUBSTITUTE(TRIM(B2802&amp;""),CHAR(160),"")," ",""),"초등학교","초"),"중학교","중"),"고등학교","고")</f>
      </c>
    </row>
    <row r="2803" customFormat="false" ht="15" hidden="false" customHeight="false" outlineLevel="0" collapsed="false">
      <c r="A2803" s="8"/>
      <c r="B2803" s="8"/>
      <c r="C2803" s="8"/>
      <c r="D2803" s="8"/>
      <c r="E2803" s="8"/>
      <c r="F2803" t="str" s="15">
        <f aca="0">IF(B2803="","",IF(H2803="","확인필요(입력누락)",IF(SUMPRODUCT((실물목록!$P$2:$P$1001&lt;&gt;"")*ISNUMBER(SEARCH(실물목록!$P$2:$P$1001,I2803))*(실물목록!$Q$2:$Q$1001&lt;&gt;"")*ISNUMBER(SEARCH(실물목록!$Q$2:$Q$1001,I2803))*(실물목록!$R$2:$R$1001="")*(실물목록!$O$2:$O$1001&lt;&gt;"")*(실물목록!$O$2:$O$1001=H2803))&gt;0,"실물 있음",IF(SUMPRODUCT((실물목록!$P$2:$P$1001&lt;&gt;"")*ISNUMBER(SEARCH(실물목록!$P$2:$P$1001,I2803))*(실물목록!$R$2:$R$1001&lt;&gt;""))&gt;0,"확인필요(입력누락)",IF(SUMPRODUCT((실물목록!$P$2:$P$1001&lt;&gt;"")*ISNUMBER(SEARCH(실물목록!$P$2:$P$1001,I2803))*(실물목록!$Q$2:$Q$1001&lt;&gt;"")*ISNUMBER(SEARCH(실물목록!$Q$2:$Q$1001,I2803))*(실물목록!$R$2:$R$1001="")*(실물목록!$O$2:$O$1001&lt;&gt;""))&gt;0,"확인필요(연도다름)","실물 없음")))))</f>
      </c>
      <c r="G2803" t="n" s="16">
        <f aca="0">IF(B2803="","",SUMPRODUCT((실물목록!$P$2:$P$1001&lt;&gt;"")*ISNUMBER(SEARCH(실물목록!$P$2:$P$1001,I2803))*(실물목록!$Q$2:$Q$1001&lt;&gt;"")*ISNUMBER(SEARCH(실물목록!$Q$2:$Q$1001,I2803))*(실물목록!$R$2:$R$1001="")*(실물목록!$O$2:$O$1001&lt;&gt;"")*(실물목록!$O$2:$O$1001=H2803)))</f>
      </c>
      <c r="H2803" t="str">
        <f>IFERROR(IF(AND(LEN(SUBSTITUTE(SUBSTITUTE(SUBSTITUTE(TRIM(A2803&amp;""),CHAR(160),"")," ",""),"년",""))=4,VALUE(SUBSTITUTE(SUBSTITUTE(SUBSTITUTE(TRIM(A2803&amp;""),CHAR(160),"")," ",""),"년",""))&gt;=1900,VALUE(SUBSTITUTE(SUBSTITUTE(SUBSTITUTE(TRIM(A2803&amp;""),CHAR(160),"")," ",""),"년",""))&lt;=2099,TEXT(VALUE(SUBSTITUTE(SUBSTITUTE(SUBSTITUTE(TRIM(A2803&amp;""),CHAR(160),"")," ",""),"년","")),"0000")=SUBSTITUTE(SUBSTITUTE(SUBSTITUTE(TRIM(A2803&amp;""),CHAR(160),"")," ",""),"년","")),SUBSTITUTE(SUBSTITUTE(SUBSTITUTE(TRIM(A2803&amp;""),CHAR(160),"")," ",""),"년",""),""),"")</f>
      </c>
      <c r="I2803" t="str">
        <f>SUBSTITUTE(SUBSTITUTE(SUBSTITUTE(SUBSTITUTE(SUBSTITUTE(TRIM(B2803&amp;""),CHAR(160),"")," ",""),"초등학교","초"),"중학교","중"),"고등학교","고")</f>
      </c>
    </row>
    <row r="2804" customFormat="false" ht="15" hidden="false" customHeight="false" outlineLevel="0" collapsed="false">
      <c r="A2804" s="8"/>
      <c r="B2804" s="8"/>
      <c r="C2804" s="8"/>
      <c r="D2804" s="8"/>
      <c r="E2804" s="8"/>
      <c r="F2804" t="str" s="15">
        <f aca="0">IF(B2804="","",IF(H2804="","확인필요(입력누락)",IF(SUMPRODUCT((실물목록!$P$2:$P$1001&lt;&gt;"")*ISNUMBER(SEARCH(실물목록!$P$2:$P$1001,I2804))*(실물목록!$Q$2:$Q$1001&lt;&gt;"")*ISNUMBER(SEARCH(실물목록!$Q$2:$Q$1001,I2804))*(실물목록!$R$2:$R$1001="")*(실물목록!$O$2:$O$1001&lt;&gt;"")*(실물목록!$O$2:$O$1001=H2804))&gt;0,"실물 있음",IF(SUMPRODUCT((실물목록!$P$2:$P$1001&lt;&gt;"")*ISNUMBER(SEARCH(실물목록!$P$2:$P$1001,I2804))*(실물목록!$R$2:$R$1001&lt;&gt;""))&gt;0,"확인필요(입력누락)",IF(SUMPRODUCT((실물목록!$P$2:$P$1001&lt;&gt;"")*ISNUMBER(SEARCH(실물목록!$P$2:$P$1001,I2804))*(실물목록!$Q$2:$Q$1001&lt;&gt;"")*ISNUMBER(SEARCH(실물목록!$Q$2:$Q$1001,I2804))*(실물목록!$R$2:$R$1001="")*(실물목록!$O$2:$O$1001&lt;&gt;""))&gt;0,"확인필요(연도다름)","실물 없음")))))</f>
      </c>
      <c r="G2804" t="n" s="16">
        <f aca="0">IF(B2804="","",SUMPRODUCT((실물목록!$P$2:$P$1001&lt;&gt;"")*ISNUMBER(SEARCH(실물목록!$P$2:$P$1001,I2804))*(실물목록!$Q$2:$Q$1001&lt;&gt;"")*ISNUMBER(SEARCH(실물목록!$Q$2:$Q$1001,I2804))*(실물목록!$R$2:$R$1001="")*(실물목록!$O$2:$O$1001&lt;&gt;"")*(실물목록!$O$2:$O$1001=H2804)))</f>
      </c>
      <c r="H2804" t="str">
        <f>IFERROR(IF(AND(LEN(SUBSTITUTE(SUBSTITUTE(SUBSTITUTE(TRIM(A2804&amp;""),CHAR(160),"")," ",""),"년",""))=4,VALUE(SUBSTITUTE(SUBSTITUTE(SUBSTITUTE(TRIM(A2804&amp;""),CHAR(160),"")," ",""),"년",""))&gt;=1900,VALUE(SUBSTITUTE(SUBSTITUTE(SUBSTITUTE(TRIM(A2804&amp;""),CHAR(160),"")," ",""),"년",""))&lt;=2099,TEXT(VALUE(SUBSTITUTE(SUBSTITUTE(SUBSTITUTE(TRIM(A2804&amp;""),CHAR(160),"")," ",""),"년","")),"0000")=SUBSTITUTE(SUBSTITUTE(SUBSTITUTE(TRIM(A2804&amp;""),CHAR(160),"")," ",""),"년","")),SUBSTITUTE(SUBSTITUTE(SUBSTITUTE(TRIM(A2804&amp;""),CHAR(160),"")," ",""),"년",""),""),"")</f>
      </c>
      <c r="I2804" t="str">
        <f>SUBSTITUTE(SUBSTITUTE(SUBSTITUTE(SUBSTITUTE(SUBSTITUTE(TRIM(B2804&amp;""),CHAR(160),"")," ",""),"초등학교","초"),"중학교","중"),"고등학교","고")</f>
      </c>
    </row>
    <row r="2805" customFormat="false" ht="15" hidden="false" customHeight="false" outlineLevel="0" collapsed="false">
      <c r="A2805" s="8"/>
      <c r="B2805" s="8"/>
      <c r="C2805" s="8"/>
      <c r="D2805" s="8"/>
      <c r="E2805" s="8"/>
      <c r="F2805" t="str" s="15">
        <f aca="0">IF(B2805="","",IF(H2805="","확인필요(입력누락)",IF(SUMPRODUCT((실물목록!$P$2:$P$1001&lt;&gt;"")*ISNUMBER(SEARCH(실물목록!$P$2:$P$1001,I2805))*(실물목록!$Q$2:$Q$1001&lt;&gt;"")*ISNUMBER(SEARCH(실물목록!$Q$2:$Q$1001,I2805))*(실물목록!$R$2:$R$1001="")*(실물목록!$O$2:$O$1001&lt;&gt;"")*(실물목록!$O$2:$O$1001=H2805))&gt;0,"실물 있음",IF(SUMPRODUCT((실물목록!$P$2:$P$1001&lt;&gt;"")*ISNUMBER(SEARCH(실물목록!$P$2:$P$1001,I2805))*(실물목록!$R$2:$R$1001&lt;&gt;""))&gt;0,"확인필요(입력누락)",IF(SUMPRODUCT((실물목록!$P$2:$P$1001&lt;&gt;"")*ISNUMBER(SEARCH(실물목록!$P$2:$P$1001,I2805))*(실물목록!$Q$2:$Q$1001&lt;&gt;"")*ISNUMBER(SEARCH(실물목록!$Q$2:$Q$1001,I2805))*(실물목록!$R$2:$R$1001="")*(실물목록!$O$2:$O$1001&lt;&gt;""))&gt;0,"확인필요(연도다름)","실물 없음")))))</f>
      </c>
      <c r="G2805" t="n" s="16">
        <f aca="0">IF(B2805="","",SUMPRODUCT((실물목록!$P$2:$P$1001&lt;&gt;"")*ISNUMBER(SEARCH(실물목록!$P$2:$P$1001,I2805))*(실물목록!$Q$2:$Q$1001&lt;&gt;"")*ISNUMBER(SEARCH(실물목록!$Q$2:$Q$1001,I2805))*(실물목록!$R$2:$R$1001="")*(실물목록!$O$2:$O$1001&lt;&gt;"")*(실물목록!$O$2:$O$1001=H2805)))</f>
      </c>
      <c r="H2805" t="str">
        <f>IFERROR(IF(AND(LEN(SUBSTITUTE(SUBSTITUTE(SUBSTITUTE(TRIM(A2805&amp;""),CHAR(160),"")," ",""),"년",""))=4,VALUE(SUBSTITUTE(SUBSTITUTE(SUBSTITUTE(TRIM(A2805&amp;""),CHAR(160),"")," ",""),"년",""))&gt;=1900,VALUE(SUBSTITUTE(SUBSTITUTE(SUBSTITUTE(TRIM(A2805&amp;""),CHAR(160),"")," ",""),"년",""))&lt;=2099,TEXT(VALUE(SUBSTITUTE(SUBSTITUTE(SUBSTITUTE(TRIM(A2805&amp;""),CHAR(160),"")," ",""),"년","")),"0000")=SUBSTITUTE(SUBSTITUTE(SUBSTITUTE(TRIM(A2805&amp;""),CHAR(160),"")," ",""),"년","")),SUBSTITUTE(SUBSTITUTE(SUBSTITUTE(TRIM(A2805&amp;""),CHAR(160),"")," ",""),"년",""),""),"")</f>
      </c>
      <c r="I2805" t="str">
        <f>SUBSTITUTE(SUBSTITUTE(SUBSTITUTE(SUBSTITUTE(SUBSTITUTE(TRIM(B2805&amp;""),CHAR(160),"")," ",""),"초등학교","초"),"중학교","중"),"고등학교","고")</f>
      </c>
    </row>
    <row r="2806" customFormat="false" ht="15" hidden="false" customHeight="false" outlineLevel="0" collapsed="false">
      <c r="A2806" s="8"/>
      <c r="B2806" s="8"/>
      <c r="C2806" s="8"/>
      <c r="D2806" s="8"/>
      <c r="E2806" s="8"/>
      <c r="F2806" t="str" s="15">
        <f aca="0">IF(B2806="","",IF(H2806="","확인필요(입력누락)",IF(SUMPRODUCT((실물목록!$P$2:$P$1001&lt;&gt;"")*ISNUMBER(SEARCH(실물목록!$P$2:$P$1001,I2806))*(실물목록!$Q$2:$Q$1001&lt;&gt;"")*ISNUMBER(SEARCH(실물목록!$Q$2:$Q$1001,I2806))*(실물목록!$R$2:$R$1001="")*(실물목록!$O$2:$O$1001&lt;&gt;"")*(실물목록!$O$2:$O$1001=H2806))&gt;0,"실물 있음",IF(SUMPRODUCT((실물목록!$P$2:$P$1001&lt;&gt;"")*ISNUMBER(SEARCH(실물목록!$P$2:$P$1001,I2806))*(실물목록!$R$2:$R$1001&lt;&gt;""))&gt;0,"확인필요(입력누락)",IF(SUMPRODUCT((실물목록!$P$2:$P$1001&lt;&gt;"")*ISNUMBER(SEARCH(실물목록!$P$2:$P$1001,I2806))*(실물목록!$Q$2:$Q$1001&lt;&gt;"")*ISNUMBER(SEARCH(실물목록!$Q$2:$Q$1001,I2806))*(실물목록!$R$2:$R$1001="")*(실물목록!$O$2:$O$1001&lt;&gt;""))&gt;0,"확인필요(연도다름)","실물 없음")))))</f>
      </c>
      <c r="G2806" t="n" s="16">
        <f aca="0">IF(B2806="","",SUMPRODUCT((실물목록!$P$2:$P$1001&lt;&gt;"")*ISNUMBER(SEARCH(실물목록!$P$2:$P$1001,I2806))*(실물목록!$Q$2:$Q$1001&lt;&gt;"")*ISNUMBER(SEARCH(실물목록!$Q$2:$Q$1001,I2806))*(실물목록!$R$2:$R$1001="")*(실물목록!$O$2:$O$1001&lt;&gt;"")*(실물목록!$O$2:$O$1001=H2806)))</f>
      </c>
      <c r="H2806" t="str">
        <f>IFERROR(IF(AND(LEN(SUBSTITUTE(SUBSTITUTE(SUBSTITUTE(TRIM(A2806&amp;""),CHAR(160),"")," ",""),"년",""))=4,VALUE(SUBSTITUTE(SUBSTITUTE(SUBSTITUTE(TRIM(A2806&amp;""),CHAR(160),"")," ",""),"년",""))&gt;=1900,VALUE(SUBSTITUTE(SUBSTITUTE(SUBSTITUTE(TRIM(A2806&amp;""),CHAR(160),"")," ",""),"년",""))&lt;=2099,TEXT(VALUE(SUBSTITUTE(SUBSTITUTE(SUBSTITUTE(TRIM(A2806&amp;""),CHAR(160),"")," ",""),"년","")),"0000")=SUBSTITUTE(SUBSTITUTE(SUBSTITUTE(TRIM(A2806&amp;""),CHAR(160),"")," ",""),"년","")),SUBSTITUTE(SUBSTITUTE(SUBSTITUTE(TRIM(A2806&amp;""),CHAR(160),"")," ",""),"년",""),""),"")</f>
      </c>
      <c r="I2806" t="str">
        <f>SUBSTITUTE(SUBSTITUTE(SUBSTITUTE(SUBSTITUTE(SUBSTITUTE(TRIM(B2806&amp;""),CHAR(160),"")," ",""),"초등학교","초"),"중학교","중"),"고등학교","고")</f>
      </c>
    </row>
    <row r="2807" customFormat="false" ht="15" hidden="false" customHeight="false" outlineLevel="0" collapsed="false">
      <c r="A2807" s="8"/>
      <c r="B2807" s="8"/>
      <c r="C2807" s="8"/>
      <c r="D2807" s="8"/>
      <c r="E2807" s="8"/>
      <c r="F2807" t="str" s="15">
        <f aca="0">IF(B2807="","",IF(H2807="","확인필요(입력누락)",IF(SUMPRODUCT((실물목록!$P$2:$P$1001&lt;&gt;"")*ISNUMBER(SEARCH(실물목록!$P$2:$P$1001,I2807))*(실물목록!$Q$2:$Q$1001&lt;&gt;"")*ISNUMBER(SEARCH(실물목록!$Q$2:$Q$1001,I2807))*(실물목록!$R$2:$R$1001="")*(실물목록!$O$2:$O$1001&lt;&gt;"")*(실물목록!$O$2:$O$1001=H2807))&gt;0,"실물 있음",IF(SUMPRODUCT((실물목록!$P$2:$P$1001&lt;&gt;"")*ISNUMBER(SEARCH(실물목록!$P$2:$P$1001,I2807))*(실물목록!$R$2:$R$1001&lt;&gt;""))&gt;0,"확인필요(입력누락)",IF(SUMPRODUCT((실물목록!$P$2:$P$1001&lt;&gt;"")*ISNUMBER(SEARCH(실물목록!$P$2:$P$1001,I2807))*(실물목록!$Q$2:$Q$1001&lt;&gt;"")*ISNUMBER(SEARCH(실물목록!$Q$2:$Q$1001,I2807))*(실물목록!$R$2:$R$1001="")*(실물목록!$O$2:$O$1001&lt;&gt;""))&gt;0,"확인필요(연도다름)","실물 없음")))))</f>
      </c>
      <c r="G2807" t="n" s="16">
        <f aca="0">IF(B2807="","",SUMPRODUCT((실물목록!$P$2:$P$1001&lt;&gt;"")*ISNUMBER(SEARCH(실물목록!$P$2:$P$1001,I2807))*(실물목록!$Q$2:$Q$1001&lt;&gt;"")*ISNUMBER(SEARCH(실물목록!$Q$2:$Q$1001,I2807))*(실물목록!$R$2:$R$1001="")*(실물목록!$O$2:$O$1001&lt;&gt;"")*(실물목록!$O$2:$O$1001=H2807)))</f>
      </c>
      <c r="H2807" t="str">
        <f>IFERROR(IF(AND(LEN(SUBSTITUTE(SUBSTITUTE(SUBSTITUTE(TRIM(A2807&amp;""),CHAR(160),"")," ",""),"년",""))=4,VALUE(SUBSTITUTE(SUBSTITUTE(SUBSTITUTE(TRIM(A2807&amp;""),CHAR(160),"")," ",""),"년",""))&gt;=1900,VALUE(SUBSTITUTE(SUBSTITUTE(SUBSTITUTE(TRIM(A2807&amp;""),CHAR(160),"")," ",""),"년",""))&lt;=2099,TEXT(VALUE(SUBSTITUTE(SUBSTITUTE(SUBSTITUTE(TRIM(A2807&amp;""),CHAR(160),"")," ",""),"년","")),"0000")=SUBSTITUTE(SUBSTITUTE(SUBSTITUTE(TRIM(A2807&amp;""),CHAR(160),"")," ",""),"년","")),SUBSTITUTE(SUBSTITUTE(SUBSTITUTE(TRIM(A2807&amp;""),CHAR(160),"")," ",""),"년",""),""),"")</f>
      </c>
      <c r="I2807" t="str">
        <f>SUBSTITUTE(SUBSTITUTE(SUBSTITUTE(SUBSTITUTE(SUBSTITUTE(TRIM(B2807&amp;""),CHAR(160),"")," ",""),"초등학교","초"),"중학교","중"),"고등학교","고")</f>
      </c>
    </row>
    <row r="2808" customFormat="false" ht="15" hidden="false" customHeight="false" outlineLevel="0" collapsed="false">
      <c r="A2808" s="8"/>
      <c r="B2808" s="8"/>
      <c r="C2808" s="8"/>
      <c r="D2808" s="8"/>
      <c r="E2808" s="8"/>
      <c r="F2808" t="str" s="15">
        <f aca="0">IF(B2808="","",IF(H2808="","확인필요(입력누락)",IF(SUMPRODUCT((실물목록!$P$2:$P$1001&lt;&gt;"")*ISNUMBER(SEARCH(실물목록!$P$2:$P$1001,I2808))*(실물목록!$Q$2:$Q$1001&lt;&gt;"")*ISNUMBER(SEARCH(실물목록!$Q$2:$Q$1001,I2808))*(실물목록!$R$2:$R$1001="")*(실물목록!$O$2:$O$1001&lt;&gt;"")*(실물목록!$O$2:$O$1001=H2808))&gt;0,"실물 있음",IF(SUMPRODUCT((실물목록!$P$2:$P$1001&lt;&gt;"")*ISNUMBER(SEARCH(실물목록!$P$2:$P$1001,I2808))*(실물목록!$R$2:$R$1001&lt;&gt;""))&gt;0,"확인필요(입력누락)",IF(SUMPRODUCT((실물목록!$P$2:$P$1001&lt;&gt;"")*ISNUMBER(SEARCH(실물목록!$P$2:$P$1001,I2808))*(실물목록!$Q$2:$Q$1001&lt;&gt;"")*ISNUMBER(SEARCH(실물목록!$Q$2:$Q$1001,I2808))*(실물목록!$R$2:$R$1001="")*(실물목록!$O$2:$O$1001&lt;&gt;""))&gt;0,"확인필요(연도다름)","실물 없음")))))</f>
      </c>
      <c r="G2808" t="n" s="16">
        <f aca="0">IF(B2808="","",SUMPRODUCT((실물목록!$P$2:$P$1001&lt;&gt;"")*ISNUMBER(SEARCH(실물목록!$P$2:$P$1001,I2808))*(실물목록!$Q$2:$Q$1001&lt;&gt;"")*ISNUMBER(SEARCH(실물목록!$Q$2:$Q$1001,I2808))*(실물목록!$R$2:$R$1001="")*(실물목록!$O$2:$O$1001&lt;&gt;"")*(실물목록!$O$2:$O$1001=H2808)))</f>
      </c>
      <c r="H2808" t="str">
        <f>IFERROR(IF(AND(LEN(SUBSTITUTE(SUBSTITUTE(SUBSTITUTE(TRIM(A2808&amp;""),CHAR(160),"")," ",""),"년",""))=4,VALUE(SUBSTITUTE(SUBSTITUTE(SUBSTITUTE(TRIM(A2808&amp;""),CHAR(160),"")," ",""),"년",""))&gt;=1900,VALUE(SUBSTITUTE(SUBSTITUTE(SUBSTITUTE(TRIM(A2808&amp;""),CHAR(160),"")," ",""),"년",""))&lt;=2099,TEXT(VALUE(SUBSTITUTE(SUBSTITUTE(SUBSTITUTE(TRIM(A2808&amp;""),CHAR(160),"")," ",""),"년","")),"0000")=SUBSTITUTE(SUBSTITUTE(SUBSTITUTE(TRIM(A2808&amp;""),CHAR(160),"")," ",""),"년","")),SUBSTITUTE(SUBSTITUTE(SUBSTITUTE(TRIM(A2808&amp;""),CHAR(160),"")," ",""),"년",""),""),"")</f>
      </c>
      <c r="I2808" t="str">
        <f>SUBSTITUTE(SUBSTITUTE(SUBSTITUTE(SUBSTITUTE(SUBSTITUTE(TRIM(B2808&amp;""),CHAR(160),"")," ",""),"초등학교","초"),"중학교","중"),"고등학교","고")</f>
      </c>
    </row>
    <row r="2809" customFormat="false" ht="15" hidden="false" customHeight="false" outlineLevel="0" collapsed="false">
      <c r="A2809" s="8"/>
      <c r="B2809" s="8"/>
      <c r="C2809" s="8"/>
      <c r="D2809" s="8"/>
      <c r="E2809" s="8"/>
      <c r="F2809" t="str" s="15">
        <f aca="0">IF(B2809="","",IF(H2809="","확인필요(입력누락)",IF(SUMPRODUCT((실물목록!$P$2:$P$1001&lt;&gt;"")*ISNUMBER(SEARCH(실물목록!$P$2:$P$1001,I2809))*(실물목록!$Q$2:$Q$1001&lt;&gt;"")*ISNUMBER(SEARCH(실물목록!$Q$2:$Q$1001,I2809))*(실물목록!$R$2:$R$1001="")*(실물목록!$O$2:$O$1001&lt;&gt;"")*(실물목록!$O$2:$O$1001=H2809))&gt;0,"실물 있음",IF(SUMPRODUCT((실물목록!$P$2:$P$1001&lt;&gt;"")*ISNUMBER(SEARCH(실물목록!$P$2:$P$1001,I2809))*(실물목록!$R$2:$R$1001&lt;&gt;""))&gt;0,"확인필요(입력누락)",IF(SUMPRODUCT((실물목록!$P$2:$P$1001&lt;&gt;"")*ISNUMBER(SEARCH(실물목록!$P$2:$P$1001,I2809))*(실물목록!$Q$2:$Q$1001&lt;&gt;"")*ISNUMBER(SEARCH(실물목록!$Q$2:$Q$1001,I2809))*(실물목록!$R$2:$R$1001="")*(실물목록!$O$2:$O$1001&lt;&gt;""))&gt;0,"확인필요(연도다름)","실물 없음")))))</f>
      </c>
      <c r="G2809" t="n" s="16">
        <f aca="0">IF(B2809="","",SUMPRODUCT((실물목록!$P$2:$P$1001&lt;&gt;"")*ISNUMBER(SEARCH(실물목록!$P$2:$P$1001,I2809))*(실물목록!$Q$2:$Q$1001&lt;&gt;"")*ISNUMBER(SEARCH(실물목록!$Q$2:$Q$1001,I2809))*(실물목록!$R$2:$R$1001="")*(실물목록!$O$2:$O$1001&lt;&gt;"")*(실물목록!$O$2:$O$1001=H2809)))</f>
      </c>
      <c r="H2809" t="str">
        <f>IFERROR(IF(AND(LEN(SUBSTITUTE(SUBSTITUTE(SUBSTITUTE(TRIM(A2809&amp;""),CHAR(160),"")," ",""),"년",""))=4,VALUE(SUBSTITUTE(SUBSTITUTE(SUBSTITUTE(TRIM(A2809&amp;""),CHAR(160),"")," ",""),"년",""))&gt;=1900,VALUE(SUBSTITUTE(SUBSTITUTE(SUBSTITUTE(TRIM(A2809&amp;""),CHAR(160),"")," ",""),"년",""))&lt;=2099,TEXT(VALUE(SUBSTITUTE(SUBSTITUTE(SUBSTITUTE(TRIM(A2809&amp;""),CHAR(160),"")," ",""),"년","")),"0000")=SUBSTITUTE(SUBSTITUTE(SUBSTITUTE(TRIM(A2809&amp;""),CHAR(160),"")," ",""),"년","")),SUBSTITUTE(SUBSTITUTE(SUBSTITUTE(TRIM(A2809&amp;""),CHAR(160),"")," ",""),"년",""),""),"")</f>
      </c>
      <c r="I2809" t="str">
        <f>SUBSTITUTE(SUBSTITUTE(SUBSTITUTE(SUBSTITUTE(SUBSTITUTE(TRIM(B2809&amp;""),CHAR(160),"")," ",""),"초등학교","초"),"중학교","중"),"고등학교","고")</f>
      </c>
    </row>
    <row r="2810" customFormat="false" ht="15" hidden="false" customHeight="false" outlineLevel="0" collapsed="false">
      <c r="A2810" s="8"/>
      <c r="B2810" s="8"/>
      <c r="C2810" s="8"/>
      <c r="D2810" s="8"/>
      <c r="E2810" s="8"/>
      <c r="F2810" t="str" s="15">
        <f aca="0">IF(B2810="","",IF(H2810="","확인필요(입력누락)",IF(SUMPRODUCT((실물목록!$P$2:$P$1001&lt;&gt;"")*ISNUMBER(SEARCH(실물목록!$P$2:$P$1001,I2810))*(실물목록!$Q$2:$Q$1001&lt;&gt;"")*ISNUMBER(SEARCH(실물목록!$Q$2:$Q$1001,I2810))*(실물목록!$R$2:$R$1001="")*(실물목록!$O$2:$O$1001&lt;&gt;"")*(실물목록!$O$2:$O$1001=H2810))&gt;0,"실물 있음",IF(SUMPRODUCT((실물목록!$P$2:$P$1001&lt;&gt;"")*ISNUMBER(SEARCH(실물목록!$P$2:$P$1001,I2810))*(실물목록!$R$2:$R$1001&lt;&gt;""))&gt;0,"확인필요(입력누락)",IF(SUMPRODUCT((실물목록!$P$2:$P$1001&lt;&gt;"")*ISNUMBER(SEARCH(실물목록!$P$2:$P$1001,I2810))*(실물목록!$Q$2:$Q$1001&lt;&gt;"")*ISNUMBER(SEARCH(실물목록!$Q$2:$Q$1001,I2810))*(실물목록!$R$2:$R$1001="")*(실물목록!$O$2:$O$1001&lt;&gt;""))&gt;0,"확인필요(연도다름)","실물 없음")))))</f>
      </c>
      <c r="G2810" t="n" s="16">
        <f aca="0">IF(B2810="","",SUMPRODUCT((실물목록!$P$2:$P$1001&lt;&gt;"")*ISNUMBER(SEARCH(실물목록!$P$2:$P$1001,I2810))*(실물목록!$Q$2:$Q$1001&lt;&gt;"")*ISNUMBER(SEARCH(실물목록!$Q$2:$Q$1001,I2810))*(실물목록!$R$2:$R$1001="")*(실물목록!$O$2:$O$1001&lt;&gt;"")*(실물목록!$O$2:$O$1001=H2810)))</f>
      </c>
      <c r="H2810" t="str">
        <f>IFERROR(IF(AND(LEN(SUBSTITUTE(SUBSTITUTE(SUBSTITUTE(TRIM(A2810&amp;""),CHAR(160),"")," ",""),"년",""))=4,VALUE(SUBSTITUTE(SUBSTITUTE(SUBSTITUTE(TRIM(A2810&amp;""),CHAR(160),"")," ",""),"년",""))&gt;=1900,VALUE(SUBSTITUTE(SUBSTITUTE(SUBSTITUTE(TRIM(A2810&amp;""),CHAR(160),"")," ",""),"년",""))&lt;=2099,TEXT(VALUE(SUBSTITUTE(SUBSTITUTE(SUBSTITUTE(TRIM(A2810&amp;""),CHAR(160),"")," ",""),"년","")),"0000")=SUBSTITUTE(SUBSTITUTE(SUBSTITUTE(TRIM(A2810&amp;""),CHAR(160),"")," ",""),"년","")),SUBSTITUTE(SUBSTITUTE(SUBSTITUTE(TRIM(A2810&amp;""),CHAR(160),"")," ",""),"년",""),""),"")</f>
      </c>
      <c r="I2810" t="str">
        <f>SUBSTITUTE(SUBSTITUTE(SUBSTITUTE(SUBSTITUTE(SUBSTITUTE(TRIM(B2810&amp;""),CHAR(160),"")," ",""),"초등학교","초"),"중학교","중"),"고등학교","고")</f>
      </c>
    </row>
    <row r="2811" customFormat="false" ht="15" hidden="false" customHeight="false" outlineLevel="0" collapsed="false">
      <c r="A2811" s="8"/>
      <c r="B2811" s="8"/>
      <c r="C2811" s="8"/>
      <c r="D2811" s="8"/>
      <c r="E2811" s="8"/>
      <c r="F2811" t="str" s="15">
        <f aca="0">IF(B2811="","",IF(H2811="","확인필요(입력누락)",IF(SUMPRODUCT((실물목록!$P$2:$P$1001&lt;&gt;"")*ISNUMBER(SEARCH(실물목록!$P$2:$P$1001,I2811))*(실물목록!$Q$2:$Q$1001&lt;&gt;"")*ISNUMBER(SEARCH(실물목록!$Q$2:$Q$1001,I2811))*(실물목록!$R$2:$R$1001="")*(실물목록!$O$2:$O$1001&lt;&gt;"")*(실물목록!$O$2:$O$1001=H2811))&gt;0,"실물 있음",IF(SUMPRODUCT((실물목록!$P$2:$P$1001&lt;&gt;"")*ISNUMBER(SEARCH(실물목록!$P$2:$P$1001,I2811))*(실물목록!$R$2:$R$1001&lt;&gt;""))&gt;0,"확인필요(입력누락)",IF(SUMPRODUCT((실물목록!$P$2:$P$1001&lt;&gt;"")*ISNUMBER(SEARCH(실물목록!$P$2:$P$1001,I2811))*(실물목록!$Q$2:$Q$1001&lt;&gt;"")*ISNUMBER(SEARCH(실물목록!$Q$2:$Q$1001,I2811))*(실물목록!$R$2:$R$1001="")*(실물목록!$O$2:$O$1001&lt;&gt;""))&gt;0,"확인필요(연도다름)","실물 없음")))))</f>
      </c>
      <c r="G2811" t="n" s="16">
        <f aca="0">IF(B2811="","",SUMPRODUCT((실물목록!$P$2:$P$1001&lt;&gt;"")*ISNUMBER(SEARCH(실물목록!$P$2:$P$1001,I2811))*(실물목록!$Q$2:$Q$1001&lt;&gt;"")*ISNUMBER(SEARCH(실물목록!$Q$2:$Q$1001,I2811))*(실물목록!$R$2:$R$1001="")*(실물목록!$O$2:$O$1001&lt;&gt;"")*(실물목록!$O$2:$O$1001=H2811)))</f>
      </c>
      <c r="H2811" t="str">
        <f>IFERROR(IF(AND(LEN(SUBSTITUTE(SUBSTITUTE(SUBSTITUTE(TRIM(A2811&amp;""),CHAR(160),"")," ",""),"년",""))=4,VALUE(SUBSTITUTE(SUBSTITUTE(SUBSTITUTE(TRIM(A2811&amp;""),CHAR(160),"")," ",""),"년",""))&gt;=1900,VALUE(SUBSTITUTE(SUBSTITUTE(SUBSTITUTE(TRIM(A2811&amp;""),CHAR(160),"")," ",""),"년",""))&lt;=2099,TEXT(VALUE(SUBSTITUTE(SUBSTITUTE(SUBSTITUTE(TRIM(A2811&amp;""),CHAR(160),"")," ",""),"년","")),"0000")=SUBSTITUTE(SUBSTITUTE(SUBSTITUTE(TRIM(A2811&amp;""),CHAR(160),"")," ",""),"년","")),SUBSTITUTE(SUBSTITUTE(SUBSTITUTE(TRIM(A2811&amp;""),CHAR(160),"")," ",""),"년",""),""),"")</f>
      </c>
      <c r="I2811" t="str">
        <f>SUBSTITUTE(SUBSTITUTE(SUBSTITUTE(SUBSTITUTE(SUBSTITUTE(TRIM(B2811&amp;""),CHAR(160),"")," ",""),"초등학교","초"),"중학교","중"),"고등학교","고")</f>
      </c>
    </row>
    <row r="2812" customFormat="false" ht="15" hidden="false" customHeight="false" outlineLevel="0" collapsed="false">
      <c r="A2812" s="8"/>
      <c r="B2812" s="8"/>
      <c r="C2812" s="8"/>
      <c r="D2812" s="8"/>
      <c r="E2812" s="8"/>
      <c r="F2812" t="str" s="15">
        <f aca="0">IF(B2812="","",IF(H2812="","확인필요(입력누락)",IF(SUMPRODUCT((실물목록!$P$2:$P$1001&lt;&gt;"")*ISNUMBER(SEARCH(실물목록!$P$2:$P$1001,I2812))*(실물목록!$Q$2:$Q$1001&lt;&gt;"")*ISNUMBER(SEARCH(실물목록!$Q$2:$Q$1001,I2812))*(실물목록!$R$2:$R$1001="")*(실물목록!$O$2:$O$1001&lt;&gt;"")*(실물목록!$O$2:$O$1001=H2812))&gt;0,"실물 있음",IF(SUMPRODUCT((실물목록!$P$2:$P$1001&lt;&gt;"")*ISNUMBER(SEARCH(실물목록!$P$2:$P$1001,I2812))*(실물목록!$R$2:$R$1001&lt;&gt;""))&gt;0,"확인필요(입력누락)",IF(SUMPRODUCT((실물목록!$P$2:$P$1001&lt;&gt;"")*ISNUMBER(SEARCH(실물목록!$P$2:$P$1001,I2812))*(실물목록!$Q$2:$Q$1001&lt;&gt;"")*ISNUMBER(SEARCH(실물목록!$Q$2:$Q$1001,I2812))*(실물목록!$R$2:$R$1001="")*(실물목록!$O$2:$O$1001&lt;&gt;""))&gt;0,"확인필요(연도다름)","실물 없음")))))</f>
      </c>
      <c r="G2812" t="n" s="16">
        <f aca="0">IF(B2812="","",SUMPRODUCT((실물목록!$P$2:$P$1001&lt;&gt;"")*ISNUMBER(SEARCH(실물목록!$P$2:$P$1001,I2812))*(실물목록!$Q$2:$Q$1001&lt;&gt;"")*ISNUMBER(SEARCH(실물목록!$Q$2:$Q$1001,I2812))*(실물목록!$R$2:$R$1001="")*(실물목록!$O$2:$O$1001&lt;&gt;"")*(실물목록!$O$2:$O$1001=H2812)))</f>
      </c>
      <c r="H2812" t="str">
        <f>IFERROR(IF(AND(LEN(SUBSTITUTE(SUBSTITUTE(SUBSTITUTE(TRIM(A2812&amp;""),CHAR(160),"")," ",""),"년",""))=4,VALUE(SUBSTITUTE(SUBSTITUTE(SUBSTITUTE(TRIM(A2812&amp;""),CHAR(160),"")," ",""),"년",""))&gt;=1900,VALUE(SUBSTITUTE(SUBSTITUTE(SUBSTITUTE(TRIM(A2812&amp;""),CHAR(160),"")," ",""),"년",""))&lt;=2099,TEXT(VALUE(SUBSTITUTE(SUBSTITUTE(SUBSTITUTE(TRIM(A2812&amp;""),CHAR(160),"")," ",""),"년","")),"0000")=SUBSTITUTE(SUBSTITUTE(SUBSTITUTE(TRIM(A2812&amp;""),CHAR(160),"")," ",""),"년","")),SUBSTITUTE(SUBSTITUTE(SUBSTITUTE(TRIM(A2812&amp;""),CHAR(160),"")," ",""),"년",""),""),"")</f>
      </c>
      <c r="I2812" t="str">
        <f>SUBSTITUTE(SUBSTITUTE(SUBSTITUTE(SUBSTITUTE(SUBSTITUTE(TRIM(B2812&amp;""),CHAR(160),"")," ",""),"초등학교","초"),"중학교","중"),"고등학교","고")</f>
      </c>
    </row>
    <row r="2813" customFormat="false" ht="15" hidden="false" customHeight="false" outlineLevel="0" collapsed="false">
      <c r="A2813" s="8"/>
      <c r="B2813" s="8"/>
      <c r="C2813" s="8"/>
      <c r="D2813" s="8"/>
      <c r="E2813" s="8"/>
      <c r="F2813" t="str" s="15">
        <f aca="0">IF(B2813="","",IF(H2813="","확인필요(입력누락)",IF(SUMPRODUCT((실물목록!$P$2:$P$1001&lt;&gt;"")*ISNUMBER(SEARCH(실물목록!$P$2:$P$1001,I2813))*(실물목록!$Q$2:$Q$1001&lt;&gt;"")*ISNUMBER(SEARCH(실물목록!$Q$2:$Q$1001,I2813))*(실물목록!$R$2:$R$1001="")*(실물목록!$O$2:$O$1001&lt;&gt;"")*(실물목록!$O$2:$O$1001=H2813))&gt;0,"실물 있음",IF(SUMPRODUCT((실물목록!$P$2:$P$1001&lt;&gt;"")*ISNUMBER(SEARCH(실물목록!$P$2:$P$1001,I2813))*(실물목록!$R$2:$R$1001&lt;&gt;""))&gt;0,"확인필요(입력누락)",IF(SUMPRODUCT((실물목록!$P$2:$P$1001&lt;&gt;"")*ISNUMBER(SEARCH(실물목록!$P$2:$P$1001,I2813))*(실물목록!$Q$2:$Q$1001&lt;&gt;"")*ISNUMBER(SEARCH(실물목록!$Q$2:$Q$1001,I2813))*(실물목록!$R$2:$R$1001="")*(실물목록!$O$2:$O$1001&lt;&gt;""))&gt;0,"확인필요(연도다름)","실물 없음")))))</f>
      </c>
      <c r="G2813" t="n" s="16">
        <f aca="0">IF(B2813="","",SUMPRODUCT((실물목록!$P$2:$P$1001&lt;&gt;"")*ISNUMBER(SEARCH(실물목록!$P$2:$P$1001,I2813))*(실물목록!$Q$2:$Q$1001&lt;&gt;"")*ISNUMBER(SEARCH(실물목록!$Q$2:$Q$1001,I2813))*(실물목록!$R$2:$R$1001="")*(실물목록!$O$2:$O$1001&lt;&gt;"")*(실물목록!$O$2:$O$1001=H2813)))</f>
      </c>
      <c r="H2813" t="str">
        <f>IFERROR(IF(AND(LEN(SUBSTITUTE(SUBSTITUTE(SUBSTITUTE(TRIM(A2813&amp;""),CHAR(160),"")," ",""),"년",""))=4,VALUE(SUBSTITUTE(SUBSTITUTE(SUBSTITUTE(TRIM(A2813&amp;""),CHAR(160),"")," ",""),"년",""))&gt;=1900,VALUE(SUBSTITUTE(SUBSTITUTE(SUBSTITUTE(TRIM(A2813&amp;""),CHAR(160),"")," ",""),"년",""))&lt;=2099,TEXT(VALUE(SUBSTITUTE(SUBSTITUTE(SUBSTITUTE(TRIM(A2813&amp;""),CHAR(160),"")," ",""),"년","")),"0000")=SUBSTITUTE(SUBSTITUTE(SUBSTITUTE(TRIM(A2813&amp;""),CHAR(160),"")," ",""),"년","")),SUBSTITUTE(SUBSTITUTE(SUBSTITUTE(TRIM(A2813&amp;""),CHAR(160),"")," ",""),"년",""),""),"")</f>
      </c>
      <c r="I2813" t="str">
        <f>SUBSTITUTE(SUBSTITUTE(SUBSTITUTE(SUBSTITUTE(SUBSTITUTE(TRIM(B2813&amp;""),CHAR(160),"")," ",""),"초등학교","초"),"중학교","중"),"고등학교","고")</f>
      </c>
    </row>
    <row r="2814" customFormat="false" ht="15" hidden="false" customHeight="false" outlineLevel="0" collapsed="false">
      <c r="A2814" s="8"/>
      <c r="B2814" s="8"/>
      <c r="C2814" s="8"/>
      <c r="D2814" s="8"/>
      <c r="E2814" s="8"/>
      <c r="F2814" t="str" s="15">
        <f aca="0">IF(B2814="","",IF(H2814="","확인필요(입력누락)",IF(SUMPRODUCT((실물목록!$P$2:$P$1001&lt;&gt;"")*ISNUMBER(SEARCH(실물목록!$P$2:$P$1001,I2814))*(실물목록!$Q$2:$Q$1001&lt;&gt;"")*ISNUMBER(SEARCH(실물목록!$Q$2:$Q$1001,I2814))*(실물목록!$R$2:$R$1001="")*(실물목록!$O$2:$O$1001&lt;&gt;"")*(실물목록!$O$2:$O$1001=H2814))&gt;0,"실물 있음",IF(SUMPRODUCT((실물목록!$P$2:$P$1001&lt;&gt;"")*ISNUMBER(SEARCH(실물목록!$P$2:$P$1001,I2814))*(실물목록!$R$2:$R$1001&lt;&gt;""))&gt;0,"확인필요(입력누락)",IF(SUMPRODUCT((실물목록!$P$2:$P$1001&lt;&gt;"")*ISNUMBER(SEARCH(실물목록!$P$2:$P$1001,I2814))*(실물목록!$Q$2:$Q$1001&lt;&gt;"")*ISNUMBER(SEARCH(실물목록!$Q$2:$Q$1001,I2814))*(실물목록!$R$2:$R$1001="")*(실물목록!$O$2:$O$1001&lt;&gt;""))&gt;0,"확인필요(연도다름)","실물 없음")))))</f>
      </c>
      <c r="G2814" t="n" s="16">
        <f aca="0">IF(B2814="","",SUMPRODUCT((실물목록!$P$2:$P$1001&lt;&gt;"")*ISNUMBER(SEARCH(실물목록!$P$2:$P$1001,I2814))*(실물목록!$Q$2:$Q$1001&lt;&gt;"")*ISNUMBER(SEARCH(실물목록!$Q$2:$Q$1001,I2814))*(실물목록!$R$2:$R$1001="")*(실물목록!$O$2:$O$1001&lt;&gt;"")*(실물목록!$O$2:$O$1001=H2814)))</f>
      </c>
      <c r="H2814" t="str">
        <f>IFERROR(IF(AND(LEN(SUBSTITUTE(SUBSTITUTE(SUBSTITUTE(TRIM(A2814&amp;""),CHAR(160),"")," ",""),"년",""))=4,VALUE(SUBSTITUTE(SUBSTITUTE(SUBSTITUTE(TRIM(A2814&amp;""),CHAR(160),"")," ",""),"년",""))&gt;=1900,VALUE(SUBSTITUTE(SUBSTITUTE(SUBSTITUTE(TRIM(A2814&amp;""),CHAR(160),"")," ",""),"년",""))&lt;=2099,TEXT(VALUE(SUBSTITUTE(SUBSTITUTE(SUBSTITUTE(TRIM(A2814&amp;""),CHAR(160),"")," ",""),"년","")),"0000")=SUBSTITUTE(SUBSTITUTE(SUBSTITUTE(TRIM(A2814&amp;""),CHAR(160),"")," ",""),"년","")),SUBSTITUTE(SUBSTITUTE(SUBSTITUTE(TRIM(A2814&amp;""),CHAR(160),"")," ",""),"년",""),""),"")</f>
      </c>
      <c r="I2814" t="str">
        <f>SUBSTITUTE(SUBSTITUTE(SUBSTITUTE(SUBSTITUTE(SUBSTITUTE(TRIM(B2814&amp;""),CHAR(160),"")," ",""),"초등학교","초"),"중학교","중"),"고등학교","고")</f>
      </c>
    </row>
    <row r="2815" customFormat="false" ht="15" hidden="false" customHeight="false" outlineLevel="0" collapsed="false">
      <c r="A2815" s="8"/>
      <c r="B2815" s="8"/>
      <c r="C2815" s="8"/>
      <c r="D2815" s="8"/>
      <c r="E2815" s="8"/>
      <c r="F2815" t="str" s="15">
        <f aca="0">IF(B2815="","",IF(H2815="","확인필요(입력누락)",IF(SUMPRODUCT((실물목록!$P$2:$P$1001&lt;&gt;"")*ISNUMBER(SEARCH(실물목록!$P$2:$P$1001,I2815))*(실물목록!$Q$2:$Q$1001&lt;&gt;"")*ISNUMBER(SEARCH(실물목록!$Q$2:$Q$1001,I2815))*(실물목록!$R$2:$R$1001="")*(실물목록!$O$2:$O$1001&lt;&gt;"")*(실물목록!$O$2:$O$1001=H2815))&gt;0,"실물 있음",IF(SUMPRODUCT((실물목록!$P$2:$P$1001&lt;&gt;"")*ISNUMBER(SEARCH(실물목록!$P$2:$P$1001,I2815))*(실물목록!$R$2:$R$1001&lt;&gt;""))&gt;0,"확인필요(입력누락)",IF(SUMPRODUCT((실물목록!$P$2:$P$1001&lt;&gt;"")*ISNUMBER(SEARCH(실물목록!$P$2:$P$1001,I2815))*(실물목록!$Q$2:$Q$1001&lt;&gt;"")*ISNUMBER(SEARCH(실물목록!$Q$2:$Q$1001,I2815))*(실물목록!$R$2:$R$1001="")*(실물목록!$O$2:$O$1001&lt;&gt;""))&gt;0,"확인필요(연도다름)","실물 없음")))))</f>
      </c>
      <c r="G2815" t="n" s="16">
        <f aca="0">IF(B2815="","",SUMPRODUCT((실물목록!$P$2:$P$1001&lt;&gt;"")*ISNUMBER(SEARCH(실물목록!$P$2:$P$1001,I2815))*(실물목록!$Q$2:$Q$1001&lt;&gt;"")*ISNUMBER(SEARCH(실물목록!$Q$2:$Q$1001,I2815))*(실물목록!$R$2:$R$1001="")*(실물목록!$O$2:$O$1001&lt;&gt;"")*(실물목록!$O$2:$O$1001=H2815)))</f>
      </c>
      <c r="H2815" t="str">
        <f>IFERROR(IF(AND(LEN(SUBSTITUTE(SUBSTITUTE(SUBSTITUTE(TRIM(A2815&amp;""),CHAR(160),"")," ",""),"년",""))=4,VALUE(SUBSTITUTE(SUBSTITUTE(SUBSTITUTE(TRIM(A2815&amp;""),CHAR(160),"")," ",""),"년",""))&gt;=1900,VALUE(SUBSTITUTE(SUBSTITUTE(SUBSTITUTE(TRIM(A2815&amp;""),CHAR(160),"")," ",""),"년",""))&lt;=2099,TEXT(VALUE(SUBSTITUTE(SUBSTITUTE(SUBSTITUTE(TRIM(A2815&amp;""),CHAR(160),"")," ",""),"년","")),"0000")=SUBSTITUTE(SUBSTITUTE(SUBSTITUTE(TRIM(A2815&amp;""),CHAR(160),"")," ",""),"년","")),SUBSTITUTE(SUBSTITUTE(SUBSTITUTE(TRIM(A2815&amp;""),CHAR(160),"")," ",""),"년",""),""),"")</f>
      </c>
      <c r="I2815" t="str">
        <f>SUBSTITUTE(SUBSTITUTE(SUBSTITUTE(SUBSTITUTE(SUBSTITUTE(TRIM(B2815&amp;""),CHAR(160),"")," ",""),"초등학교","초"),"중학교","중"),"고등학교","고")</f>
      </c>
    </row>
    <row r="2816" customFormat="false" ht="15" hidden="false" customHeight="false" outlineLevel="0" collapsed="false">
      <c r="A2816" s="8"/>
      <c r="B2816" s="8"/>
      <c r="C2816" s="8"/>
      <c r="D2816" s="8"/>
      <c r="E2816" s="8"/>
      <c r="F2816" t="str" s="15">
        <f aca="0">IF(B2816="","",IF(H2816="","확인필요(입력누락)",IF(SUMPRODUCT((실물목록!$P$2:$P$1001&lt;&gt;"")*ISNUMBER(SEARCH(실물목록!$P$2:$P$1001,I2816))*(실물목록!$Q$2:$Q$1001&lt;&gt;"")*ISNUMBER(SEARCH(실물목록!$Q$2:$Q$1001,I2816))*(실물목록!$R$2:$R$1001="")*(실물목록!$O$2:$O$1001&lt;&gt;"")*(실물목록!$O$2:$O$1001=H2816))&gt;0,"실물 있음",IF(SUMPRODUCT((실물목록!$P$2:$P$1001&lt;&gt;"")*ISNUMBER(SEARCH(실물목록!$P$2:$P$1001,I2816))*(실물목록!$R$2:$R$1001&lt;&gt;""))&gt;0,"확인필요(입력누락)",IF(SUMPRODUCT((실물목록!$P$2:$P$1001&lt;&gt;"")*ISNUMBER(SEARCH(실물목록!$P$2:$P$1001,I2816))*(실물목록!$Q$2:$Q$1001&lt;&gt;"")*ISNUMBER(SEARCH(실물목록!$Q$2:$Q$1001,I2816))*(실물목록!$R$2:$R$1001="")*(실물목록!$O$2:$O$1001&lt;&gt;""))&gt;0,"확인필요(연도다름)","실물 없음")))))</f>
      </c>
      <c r="G2816" t="n" s="16">
        <f aca="0">IF(B2816="","",SUMPRODUCT((실물목록!$P$2:$P$1001&lt;&gt;"")*ISNUMBER(SEARCH(실물목록!$P$2:$P$1001,I2816))*(실물목록!$Q$2:$Q$1001&lt;&gt;"")*ISNUMBER(SEARCH(실물목록!$Q$2:$Q$1001,I2816))*(실물목록!$R$2:$R$1001="")*(실물목록!$O$2:$O$1001&lt;&gt;"")*(실물목록!$O$2:$O$1001=H2816)))</f>
      </c>
      <c r="H2816" t="str">
        <f>IFERROR(IF(AND(LEN(SUBSTITUTE(SUBSTITUTE(SUBSTITUTE(TRIM(A2816&amp;""),CHAR(160),"")," ",""),"년",""))=4,VALUE(SUBSTITUTE(SUBSTITUTE(SUBSTITUTE(TRIM(A2816&amp;""),CHAR(160),"")," ",""),"년",""))&gt;=1900,VALUE(SUBSTITUTE(SUBSTITUTE(SUBSTITUTE(TRIM(A2816&amp;""),CHAR(160),"")," ",""),"년",""))&lt;=2099,TEXT(VALUE(SUBSTITUTE(SUBSTITUTE(SUBSTITUTE(TRIM(A2816&amp;""),CHAR(160),"")," ",""),"년","")),"0000")=SUBSTITUTE(SUBSTITUTE(SUBSTITUTE(TRIM(A2816&amp;""),CHAR(160),"")," ",""),"년","")),SUBSTITUTE(SUBSTITUTE(SUBSTITUTE(TRIM(A2816&amp;""),CHAR(160),"")," ",""),"년",""),""),"")</f>
      </c>
      <c r="I2816" t="str">
        <f>SUBSTITUTE(SUBSTITUTE(SUBSTITUTE(SUBSTITUTE(SUBSTITUTE(TRIM(B2816&amp;""),CHAR(160),"")," ",""),"초등학교","초"),"중학교","중"),"고등학교","고")</f>
      </c>
    </row>
    <row r="2817" customFormat="false" ht="15" hidden="false" customHeight="false" outlineLevel="0" collapsed="false">
      <c r="A2817" s="8"/>
      <c r="B2817" s="8"/>
      <c r="C2817" s="8"/>
      <c r="D2817" s="8"/>
      <c r="E2817" s="8"/>
      <c r="F2817" t="str" s="15">
        <f aca="0">IF(B2817="","",IF(H2817="","확인필요(입력누락)",IF(SUMPRODUCT((실물목록!$P$2:$P$1001&lt;&gt;"")*ISNUMBER(SEARCH(실물목록!$P$2:$P$1001,I2817))*(실물목록!$Q$2:$Q$1001&lt;&gt;"")*ISNUMBER(SEARCH(실물목록!$Q$2:$Q$1001,I2817))*(실물목록!$R$2:$R$1001="")*(실물목록!$O$2:$O$1001&lt;&gt;"")*(실물목록!$O$2:$O$1001=H2817))&gt;0,"실물 있음",IF(SUMPRODUCT((실물목록!$P$2:$P$1001&lt;&gt;"")*ISNUMBER(SEARCH(실물목록!$P$2:$P$1001,I2817))*(실물목록!$R$2:$R$1001&lt;&gt;""))&gt;0,"확인필요(입력누락)",IF(SUMPRODUCT((실물목록!$P$2:$P$1001&lt;&gt;"")*ISNUMBER(SEARCH(실물목록!$P$2:$P$1001,I2817))*(실물목록!$Q$2:$Q$1001&lt;&gt;"")*ISNUMBER(SEARCH(실물목록!$Q$2:$Q$1001,I2817))*(실물목록!$R$2:$R$1001="")*(실물목록!$O$2:$O$1001&lt;&gt;""))&gt;0,"확인필요(연도다름)","실물 없음")))))</f>
      </c>
      <c r="G2817" t="n" s="16">
        <f aca="0">IF(B2817="","",SUMPRODUCT((실물목록!$P$2:$P$1001&lt;&gt;"")*ISNUMBER(SEARCH(실물목록!$P$2:$P$1001,I2817))*(실물목록!$Q$2:$Q$1001&lt;&gt;"")*ISNUMBER(SEARCH(실물목록!$Q$2:$Q$1001,I2817))*(실물목록!$R$2:$R$1001="")*(실물목록!$O$2:$O$1001&lt;&gt;"")*(실물목록!$O$2:$O$1001=H2817)))</f>
      </c>
      <c r="H2817" t="str">
        <f>IFERROR(IF(AND(LEN(SUBSTITUTE(SUBSTITUTE(SUBSTITUTE(TRIM(A2817&amp;""),CHAR(160),"")," ",""),"년",""))=4,VALUE(SUBSTITUTE(SUBSTITUTE(SUBSTITUTE(TRIM(A2817&amp;""),CHAR(160),"")," ",""),"년",""))&gt;=1900,VALUE(SUBSTITUTE(SUBSTITUTE(SUBSTITUTE(TRIM(A2817&amp;""),CHAR(160),"")," ",""),"년",""))&lt;=2099,TEXT(VALUE(SUBSTITUTE(SUBSTITUTE(SUBSTITUTE(TRIM(A2817&amp;""),CHAR(160),"")," ",""),"년","")),"0000")=SUBSTITUTE(SUBSTITUTE(SUBSTITUTE(TRIM(A2817&amp;""),CHAR(160),"")," ",""),"년","")),SUBSTITUTE(SUBSTITUTE(SUBSTITUTE(TRIM(A2817&amp;""),CHAR(160),"")," ",""),"년",""),""),"")</f>
      </c>
      <c r="I2817" t="str">
        <f>SUBSTITUTE(SUBSTITUTE(SUBSTITUTE(SUBSTITUTE(SUBSTITUTE(TRIM(B2817&amp;""),CHAR(160),"")," ",""),"초등학교","초"),"중학교","중"),"고등학교","고")</f>
      </c>
    </row>
    <row r="2818" customFormat="false" ht="15" hidden="false" customHeight="false" outlineLevel="0" collapsed="false">
      <c r="A2818" s="8"/>
      <c r="B2818" s="8"/>
      <c r="C2818" s="8"/>
      <c r="D2818" s="8"/>
      <c r="E2818" s="8"/>
      <c r="F2818" t="str" s="15">
        <f aca="0">IF(B2818="","",IF(H2818="","확인필요(입력누락)",IF(SUMPRODUCT((실물목록!$P$2:$P$1001&lt;&gt;"")*ISNUMBER(SEARCH(실물목록!$P$2:$P$1001,I2818))*(실물목록!$Q$2:$Q$1001&lt;&gt;"")*ISNUMBER(SEARCH(실물목록!$Q$2:$Q$1001,I2818))*(실물목록!$R$2:$R$1001="")*(실물목록!$O$2:$O$1001&lt;&gt;"")*(실물목록!$O$2:$O$1001=H2818))&gt;0,"실물 있음",IF(SUMPRODUCT((실물목록!$P$2:$P$1001&lt;&gt;"")*ISNUMBER(SEARCH(실물목록!$P$2:$P$1001,I2818))*(실물목록!$R$2:$R$1001&lt;&gt;""))&gt;0,"확인필요(입력누락)",IF(SUMPRODUCT((실물목록!$P$2:$P$1001&lt;&gt;"")*ISNUMBER(SEARCH(실물목록!$P$2:$P$1001,I2818))*(실물목록!$Q$2:$Q$1001&lt;&gt;"")*ISNUMBER(SEARCH(실물목록!$Q$2:$Q$1001,I2818))*(실물목록!$R$2:$R$1001="")*(실물목록!$O$2:$O$1001&lt;&gt;""))&gt;0,"확인필요(연도다름)","실물 없음")))))</f>
      </c>
      <c r="G2818" t="n" s="16">
        <f aca="0">IF(B2818="","",SUMPRODUCT((실물목록!$P$2:$P$1001&lt;&gt;"")*ISNUMBER(SEARCH(실물목록!$P$2:$P$1001,I2818))*(실물목록!$Q$2:$Q$1001&lt;&gt;"")*ISNUMBER(SEARCH(실물목록!$Q$2:$Q$1001,I2818))*(실물목록!$R$2:$R$1001="")*(실물목록!$O$2:$O$1001&lt;&gt;"")*(실물목록!$O$2:$O$1001=H2818)))</f>
      </c>
      <c r="H2818" t="str">
        <f>IFERROR(IF(AND(LEN(SUBSTITUTE(SUBSTITUTE(SUBSTITUTE(TRIM(A2818&amp;""),CHAR(160),"")," ",""),"년",""))=4,VALUE(SUBSTITUTE(SUBSTITUTE(SUBSTITUTE(TRIM(A2818&amp;""),CHAR(160),"")," ",""),"년",""))&gt;=1900,VALUE(SUBSTITUTE(SUBSTITUTE(SUBSTITUTE(TRIM(A2818&amp;""),CHAR(160),"")," ",""),"년",""))&lt;=2099,TEXT(VALUE(SUBSTITUTE(SUBSTITUTE(SUBSTITUTE(TRIM(A2818&amp;""),CHAR(160),"")," ",""),"년","")),"0000")=SUBSTITUTE(SUBSTITUTE(SUBSTITUTE(TRIM(A2818&amp;""),CHAR(160),"")," ",""),"년","")),SUBSTITUTE(SUBSTITUTE(SUBSTITUTE(TRIM(A2818&amp;""),CHAR(160),"")," ",""),"년",""),""),"")</f>
      </c>
      <c r="I2818" t="str">
        <f>SUBSTITUTE(SUBSTITUTE(SUBSTITUTE(SUBSTITUTE(SUBSTITUTE(TRIM(B2818&amp;""),CHAR(160),"")," ",""),"초등학교","초"),"중학교","중"),"고등학교","고")</f>
      </c>
    </row>
    <row r="2819" customFormat="false" ht="15" hidden="false" customHeight="false" outlineLevel="0" collapsed="false">
      <c r="A2819" s="8"/>
      <c r="B2819" s="8"/>
      <c r="C2819" s="8"/>
      <c r="D2819" s="8"/>
      <c r="E2819" s="8"/>
      <c r="F2819" t="str" s="15">
        <f aca="0">IF(B2819="","",IF(H2819="","확인필요(입력누락)",IF(SUMPRODUCT((실물목록!$P$2:$P$1001&lt;&gt;"")*ISNUMBER(SEARCH(실물목록!$P$2:$P$1001,I2819))*(실물목록!$Q$2:$Q$1001&lt;&gt;"")*ISNUMBER(SEARCH(실물목록!$Q$2:$Q$1001,I2819))*(실물목록!$R$2:$R$1001="")*(실물목록!$O$2:$O$1001&lt;&gt;"")*(실물목록!$O$2:$O$1001=H2819))&gt;0,"실물 있음",IF(SUMPRODUCT((실물목록!$P$2:$P$1001&lt;&gt;"")*ISNUMBER(SEARCH(실물목록!$P$2:$P$1001,I2819))*(실물목록!$R$2:$R$1001&lt;&gt;""))&gt;0,"확인필요(입력누락)",IF(SUMPRODUCT((실물목록!$P$2:$P$1001&lt;&gt;"")*ISNUMBER(SEARCH(실물목록!$P$2:$P$1001,I2819))*(실물목록!$Q$2:$Q$1001&lt;&gt;"")*ISNUMBER(SEARCH(실물목록!$Q$2:$Q$1001,I2819))*(실물목록!$R$2:$R$1001="")*(실물목록!$O$2:$O$1001&lt;&gt;""))&gt;0,"확인필요(연도다름)","실물 없음")))))</f>
      </c>
      <c r="G2819" t="n" s="16">
        <f aca="0">IF(B2819="","",SUMPRODUCT((실물목록!$P$2:$P$1001&lt;&gt;"")*ISNUMBER(SEARCH(실물목록!$P$2:$P$1001,I2819))*(실물목록!$Q$2:$Q$1001&lt;&gt;"")*ISNUMBER(SEARCH(실물목록!$Q$2:$Q$1001,I2819))*(실물목록!$R$2:$R$1001="")*(실물목록!$O$2:$O$1001&lt;&gt;"")*(실물목록!$O$2:$O$1001=H2819)))</f>
      </c>
      <c r="H2819" t="str">
        <f>IFERROR(IF(AND(LEN(SUBSTITUTE(SUBSTITUTE(SUBSTITUTE(TRIM(A2819&amp;""),CHAR(160),"")," ",""),"년",""))=4,VALUE(SUBSTITUTE(SUBSTITUTE(SUBSTITUTE(TRIM(A2819&amp;""),CHAR(160),"")," ",""),"년",""))&gt;=1900,VALUE(SUBSTITUTE(SUBSTITUTE(SUBSTITUTE(TRIM(A2819&amp;""),CHAR(160),"")," ",""),"년",""))&lt;=2099,TEXT(VALUE(SUBSTITUTE(SUBSTITUTE(SUBSTITUTE(TRIM(A2819&amp;""),CHAR(160),"")," ",""),"년","")),"0000")=SUBSTITUTE(SUBSTITUTE(SUBSTITUTE(TRIM(A2819&amp;""),CHAR(160),"")," ",""),"년","")),SUBSTITUTE(SUBSTITUTE(SUBSTITUTE(TRIM(A2819&amp;""),CHAR(160),"")," ",""),"년",""),""),"")</f>
      </c>
      <c r="I2819" t="str">
        <f>SUBSTITUTE(SUBSTITUTE(SUBSTITUTE(SUBSTITUTE(SUBSTITUTE(TRIM(B2819&amp;""),CHAR(160),"")," ",""),"초등학교","초"),"중학교","중"),"고등학교","고")</f>
      </c>
    </row>
    <row r="2820" customFormat="false" ht="15" hidden="false" customHeight="false" outlineLevel="0" collapsed="false">
      <c r="A2820" s="8"/>
      <c r="B2820" s="8"/>
      <c r="C2820" s="8"/>
      <c r="D2820" s="8"/>
      <c r="E2820" s="8"/>
      <c r="F2820" t="str" s="15">
        <f aca="0">IF(B2820="","",IF(H2820="","확인필요(입력누락)",IF(SUMPRODUCT((실물목록!$P$2:$P$1001&lt;&gt;"")*ISNUMBER(SEARCH(실물목록!$P$2:$P$1001,I2820))*(실물목록!$Q$2:$Q$1001&lt;&gt;"")*ISNUMBER(SEARCH(실물목록!$Q$2:$Q$1001,I2820))*(실물목록!$R$2:$R$1001="")*(실물목록!$O$2:$O$1001&lt;&gt;"")*(실물목록!$O$2:$O$1001=H2820))&gt;0,"실물 있음",IF(SUMPRODUCT((실물목록!$P$2:$P$1001&lt;&gt;"")*ISNUMBER(SEARCH(실물목록!$P$2:$P$1001,I2820))*(실물목록!$R$2:$R$1001&lt;&gt;""))&gt;0,"확인필요(입력누락)",IF(SUMPRODUCT((실물목록!$P$2:$P$1001&lt;&gt;"")*ISNUMBER(SEARCH(실물목록!$P$2:$P$1001,I2820))*(실물목록!$Q$2:$Q$1001&lt;&gt;"")*ISNUMBER(SEARCH(실물목록!$Q$2:$Q$1001,I2820))*(실물목록!$R$2:$R$1001="")*(실물목록!$O$2:$O$1001&lt;&gt;""))&gt;0,"확인필요(연도다름)","실물 없음")))))</f>
      </c>
      <c r="G2820" t="n" s="16">
        <f aca="0">IF(B2820="","",SUMPRODUCT((실물목록!$P$2:$P$1001&lt;&gt;"")*ISNUMBER(SEARCH(실물목록!$P$2:$P$1001,I2820))*(실물목록!$Q$2:$Q$1001&lt;&gt;"")*ISNUMBER(SEARCH(실물목록!$Q$2:$Q$1001,I2820))*(실물목록!$R$2:$R$1001="")*(실물목록!$O$2:$O$1001&lt;&gt;"")*(실물목록!$O$2:$O$1001=H2820)))</f>
      </c>
      <c r="H2820" t="str">
        <f>IFERROR(IF(AND(LEN(SUBSTITUTE(SUBSTITUTE(SUBSTITUTE(TRIM(A2820&amp;""),CHAR(160),"")," ",""),"년",""))=4,VALUE(SUBSTITUTE(SUBSTITUTE(SUBSTITUTE(TRIM(A2820&amp;""),CHAR(160),"")," ",""),"년",""))&gt;=1900,VALUE(SUBSTITUTE(SUBSTITUTE(SUBSTITUTE(TRIM(A2820&amp;""),CHAR(160),"")," ",""),"년",""))&lt;=2099,TEXT(VALUE(SUBSTITUTE(SUBSTITUTE(SUBSTITUTE(TRIM(A2820&amp;""),CHAR(160),"")," ",""),"년","")),"0000")=SUBSTITUTE(SUBSTITUTE(SUBSTITUTE(TRIM(A2820&amp;""),CHAR(160),"")," ",""),"년","")),SUBSTITUTE(SUBSTITUTE(SUBSTITUTE(TRIM(A2820&amp;""),CHAR(160),"")," ",""),"년",""),""),"")</f>
      </c>
      <c r="I2820" t="str">
        <f>SUBSTITUTE(SUBSTITUTE(SUBSTITUTE(SUBSTITUTE(SUBSTITUTE(TRIM(B2820&amp;""),CHAR(160),"")," ",""),"초등학교","초"),"중학교","중"),"고등학교","고")</f>
      </c>
    </row>
    <row r="2821" customFormat="false" ht="15" hidden="false" customHeight="false" outlineLevel="0" collapsed="false">
      <c r="A2821" s="8"/>
      <c r="B2821" s="8"/>
      <c r="C2821" s="8"/>
      <c r="D2821" s="8"/>
      <c r="E2821" s="8"/>
      <c r="F2821" t="str" s="15">
        <f aca="0">IF(B2821="","",IF(H2821="","확인필요(입력누락)",IF(SUMPRODUCT((실물목록!$P$2:$P$1001&lt;&gt;"")*ISNUMBER(SEARCH(실물목록!$P$2:$P$1001,I2821))*(실물목록!$Q$2:$Q$1001&lt;&gt;"")*ISNUMBER(SEARCH(실물목록!$Q$2:$Q$1001,I2821))*(실물목록!$R$2:$R$1001="")*(실물목록!$O$2:$O$1001&lt;&gt;"")*(실물목록!$O$2:$O$1001=H2821))&gt;0,"실물 있음",IF(SUMPRODUCT((실물목록!$P$2:$P$1001&lt;&gt;"")*ISNUMBER(SEARCH(실물목록!$P$2:$P$1001,I2821))*(실물목록!$R$2:$R$1001&lt;&gt;""))&gt;0,"확인필요(입력누락)",IF(SUMPRODUCT((실물목록!$P$2:$P$1001&lt;&gt;"")*ISNUMBER(SEARCH(실물목록!$P$2:$P$1001,I2821))*(실물목록!$Q$2:$Q$1001&lt;&gt;"")*ISNUMBER(SEARCH(실물목록!$Q$2:$Q$1001,I2821))*(실물목록!$R$2:$R$1001="")*(실물목록!$O$2:$O$1001&lt;&gt;""))&gt;0,"확인필요(연도다름)","실물 없음")))))</f>
      </c>
      <c r="G2821" t="n" s="16">
        <f aca="0">IF(B2821="","",SUMPRODUCT((실물목록!$P$2:$P$1001&lt;&gt;"")*ISNUMBER(SEARCH(실물목록!$P$2:$P$1001,I2821))*(실물목록!$Q$2:$Q$1001&lt;&gt;"")*ISNUMBER(SEARCH(실물목록!$Q$2:$Q$1001,I2821))*(실물목록!$R$2:$R$1001="")*(실물목록!$O$2:$O$1001&lt;&gt;"")*(실물목록!$O$2:$O$1001=H2821)))</f>
      </c>
      <c r="H2821" t="str">
        <f>IFERROR(IF(AND(LEN(SUBSTITUTE(SUBSTITUTE(SUBSTITUTE(TRIM(A2821&amp;""),CHAR(160),"")," ",""),"년",""))=4,VALUE(SUBSTITUTE(SUBSTITUTE(SUBSTITUTE(TRIM(A2821&amp;""),CHAR(160),"")," ",""),"년",""))&gt;=1900,VALUE(SUBSTITUTE(SUBSTITUTE(SUBSTITUTE(TRIM(A2821&amp;""),CHAR(160),"")," ",""),"년",""))&lt;=2099,TEXT(VALUE(SUBSTITUTE(SUBSTITUTE(SUBSTITUTE(TRIM(A2821&amp;""),CHAR(160),"")," ",""),"년","")),"0000")=SUBSTITUTE(SUBSTITUTE(SUBSTITUTE(TRIM(A2821&amp;""),CHAR(160),"")," ",""),"년","")),SUBSTITUTE(SUBSTITUTE(SUBSTITUTE(TRIM(A2821&amp;""),CHAR(160),"")," ",""),"년",""),""),"")</f>
      </c>
      <c r="I2821" t="str">
        <f>SUBSTITUTE(SUBSTITUTE(SUBSTITUTE(SUBSTITUTE(SUBSTITUTE(TRIM(B2821&amp;""),CHAR(160),"")," ",""),"초등학교","초"),"중학교","중"),"고등학교","고")</f>
      </c>
    </row>
    <row r="2822" customFormat="false" ht="15" hidden="false" customHeight="false" outlineLevel="0" collapsed="false">
      <c r="A2822" s="8"/>
      <c r="B2822" s="8"/>
      <c r="C2822" s="8"/>
      <c r="D2822" s="8"/>
      <c r="E2822" s="8"/>
      <c r="F2822" t="str" s="15">
        <f aca="0">IF(B2822="","",IF(H2822="","확인필요(입력누락)",IF(SUMPRODUCT((실물목록!$P$2:$P$1001&lt;&gt;"")*ISNUMBER(SEARCH(실물목록!$P$2:$P$1001,I2822))*(실물목록!$Q$2:$Q$1001&lt;&gt;"")*ISNUMBER(SEARCH(실물목록!$Q$2:$Q$1001,I2822))*(실물목록!$R$2:$R$1001="")*(실물목록!$O$2:$O$1001&lt;&gt;"")*(실물목록!$O$2:$O$1001=H2822))&gt;0,"실물 있음",IF(SUMPRODUCT((실물목록!$P$2:$P$1001&lt;&gt;"")*ISNUMBER(SEARCH(실물목록!$P$2:$P$1001,I2822))*(실물목록!$R$2:$R$1001&lt;&gt;""))&gt;0,"확인필요(입력누락)",IF(SUMPRODUCT((실물목록!$P$2:$P$1001&lt;&gt;"")*ISNUMBER(SEARCH(실물목록!$P$2:$P$1001,I2822))*(실물목록!$Q$2:$Q$1001&lt;&gt;"")*ISNUMBER(SEARCH(실물목록!$Q$2:$Q$1001,I2822))*(실물목록!$R$2:$R$1001="")*(실물목록!$O$2:$O$1001&lt;&gt;""))&gt;0,"확인필요(연도다름)","실물 없음")))))</f>
      </c>
      <c r="G2822" t="n" s="16">
        <f aca="0">IF(B2822="","",SUMPRODUCT((실물목록!$P$2:$P$1001&lt;&gt;"")*ISNUMBER(SEARCH(실물목록!$P$2:$P$1001,I2822))*(실물목록!$Q$2:$Q$1001&lt;&gt;"")*ISNUMBER(SEARCH(실물목록!$Q$2:$Q$1001,I2822))*(실물목록!$R$2:$R$1001="")*(실물목록!$O$2:$O$1001&lt;&gt;"")*(실물목록!$O$2:$O$1001=H2822)))</f>
      </c>
      <c r="H2822" t="str">
        <f>IFERROR(IF(AND(LEN(SUBSTITUTE(SUBSTITUTE(SUBSTITUTE(TRIM(A2822&amp;""),CHAR(160),"")," ",""),"년",""))=4,VALUE(SUBSTITUTE(SUBSTITUTE(SUBSTITUTE(TRIM(A2822&amp;""),CHAR(160),"")," ",""),"년",""))&gt;=1900,VALUE(SUBSTITUTE(SUBSTITUTE(SUBSTITUTE(TRIM(A2822&amp;""),CHAR(160),"")," ",""),"년",""))&lt;=2099,TEXT(VALUE(SUBSTITUTE(SUBSTITUTE(SUBSTITUTE(TRIM(A2822&amp;""),CHAR(160),"")," ",""),"년","")),"0000")=SUBSTITUTE(SUBSTITUTE(SUBSTITUTE(TRIM(A2822&amp;""),CHAR(160),"")," ",""),"년","")),SUBSTITUTE(SUBSTITUTE(SUBSTITUTE(TRIM(A2822&amp;""),CHAR(160),"")," ",""),"년",""),""),"")</f>
      </c>
      <c r="I2822" t="str">
        <f>SUBSTITUTE(SUBSTITUTE(SUBSTITUTE(SUBSTITUTE(SUBSTITUTE(TRIM(B2822&amp;""),CHAR(160),"")," ",""),"초등학교","초"),"중학교","중"),"고등학교","고")</f>
      </c>
    </row>
    <row r="2823" customFormat="false" ht="15" hidden="false" customHeight="false" outlineLevel="0" collapsed="false">
      <c r="A2823" s="8"/>
      <c r="B2823" s="8"/>
      <c r="C2823" s="8"/>
      <c r="D2823" s="8"/>
      <c r="E2823" s="8"/>
      <c r="F2823" t="str" s="15">
        <f aca="0">IF(B2823="","",IF(H2823="","확인필요(입력누락)",IF(SUMPRODUCT((실물목록!$P$2:$P$1001&lt;&gt;"")*ISNUMBER(SEARCH(실물목록!$P$2:$P$1001,I2823))*(실물목록!$Q$2:$Q$1001&lt;&gt;"")*ISNUMBER(SEARCH(실물목록!$Q$2:$Q$1001,I2823))*(실물목록!$R$2:$R$1001="")*(실물목록!$O$2:$O$1001&lt;&gt;"")*(실물목록!$O$2:$O$1001=H2823))&gt;0,"실물 있음",IF(SUMPRODUCT((실물목록!$P$2:$P$1001&lt;&gt;"")*ISNUMBER(SEARCH(실물목록!$P$2:$P$1001,I2823))*(실물목록!$R$2:$R$1001&lt;&gt;""))&gt;0,"확인필요(입력누락)",IF(SUMPRODUCT((실물목록!$P$2:$P$1001&lt;&gt;"")*ISNUMBER(SEARCH(실물목록!$P$2:$P$1001,I2823))*(실물목록!$Q$2:$Q$1001&lt;&gt;"")*ISNUMBER(SEARCH(실물목록!$Q$2:$Q$1001,I2823))*(실물목록!$R$2:$R$1001="")*(실물목록!$O$2:$O$1001&lt;&gt;""))&gt;0,"확인필요(연도다름)","실물 없음")))))</f>
      </c>
      <c r="G2823" t="n" s="16">
        <f aca="0">IF(B2823="","",SUMPRODUCT((실물목록!$P$2:$P$1001&lt;&gt;"")*ISNUMBER(SEARCH(실물목록!$P$2:$P$1001,I2823))*(실물목록!$Q$2:$Q$1001&lt;&gt;"")*ISNUMBER(SEARCH(실물목록!$Q$2:$Q$1001,I2823))*(실물목록!$R$2:$R$1001="")*(실물목록!$O$2:$O$1001&lt;&gt;"")*(실물목록!$O$2:$O$1001=H2823)))</f>
      </c>
      <c r="H2823" t="str">
        <f>IFERROR(IF(AND(LEN(SUBSTITUTE(SUBSTITUTE(SUBSTITUTE(TRIM(A2823&amp;""),CHAR(160),"")," ",""),"년",""))=4,VALUE(SUBSTITUTE(SUBSTITUTE(SUBSTITUTE(TRIM(A2823&amp;""),CHAR(160),"")," ",""),"년",""))&gt;=1900,VALUE(SUBSTITUTE(SUBSTITUTE(SUBSTITUTE(TRIM(A2823&amp;""),CHAR(160),"")," ",""),"년",""))&lt;=2099,TEXT(VALUE(SUBSTITUTE(SUBSTITUTE(SUBSTITUTE(TRIM(A2823&amp;""),CHAR(160),"")," ",""),"년","")),"0000")=SUBSTITUTE(SUBSTITUTE(SUBSTITUTE(TRIM(A2823&amp;""),CHAR(160),"")," ",""),"년","")),SUBSTITUTE(SUBSTITUTE(SUBSTITUTE(TRIM(A2823&amp;""),CHAR(160),"")," ",""),"년",""),""),"")</f>
      </c>
      <c r="I2823" t="str">
        <f>SUBSTITUTE(SUBSTITUTE(SUBSTITUTE(SUBSTITUTE(SUBSTITUTE(TRIM(B2823&amp;""),CHAR(160),"")," ",""),"초등학교","초"),"중학교","중"),"고등학교","고")</f>
      </c>
    </row>
    <row r="2824" customFormat="false" ht="15" hidden="false" customHeight="false" outlineLevel="0" collapsed="false">
      <c r="A2824" s="8"/>
      <c r="B2824" s="8"/>
      <c r="C2824" s="8"/>
      <c r="D2824" s="8"/>
      <c r="E2824" s="8"/>
      <c r="F2824" t="str" s="15">
        <f aca="0">IF(B2824="","",IF(H2824="","확인필요(입력누락)",IF(SUMPRODUCT((실물목록!$P$2:$P$1001&lt;&gt;"")*ISNUMBER(SEARCH(실물목록!$P$2:$P$1001,I2824))*(실물목록!$Q$2:$Q$1001&lt;&gt;"")*ISNUMBER(SEARCH(실물목록!$Q$2:$Q$1001,I2824))*(실물목록!$R$2:$R$1001="")*(실물목록!$O$2:$O$1001&lt;&gt;"")*(실물목록!$O$2:$O$1001=H2824))&gt;0,"실물 있음",IF(SUMPRODUCT((실물목록!$P$2:$P$1001&lt;&gt;"")*ISNUMBER(SEARCH(실물목록!$P$2:$P$1001,I2824))*(실물목록!$R$2:$R$1001&lt;&gt;""))&gt;0,"확인필요(입력누락)",IF(SUMPRODUCT((실물목록!$P$2:$P$1001&lt;&gt;"")*ISNUMBER(SEARCH(실물목록!$P$2:$P$1001,I2824))*(실물목록!$Q$2:$Q$1001&lt;&gt;"")*ISNUMBER(SEARCH(실물목록!$Q$2:$Q$1001,I2824))*(실물목록!$R$2:$R$1001="")*(실물목록!$O$2:$O$1001&lt;&gt;""))&gt;0,"확인필요(연도다름)","실물 없음")))))</f>
      </c>
      <c r="G2824" t="n" s="16">
        <f aca="0">IF(B2824="","",SUMPRODUCT((실물목록!$P$2:$P$1001&lt;&gt;"")*ISNUMBER(SEARCH(실물목록!$P$2:$P$1001,I2824))*(실물목록!$Q$2:$Q$1001&lt;&gt;"")*ISNUMBER(SEARCH(실물목록!$Q$2:$Q$1001,I2824))*(실물목록!$R$2:$R$1001="")*(실물목록!$O$2:$O$1001&lt;&gt;"")*(실물목록!$O$2:$O$1001=H2824)))</f>
      </c>
      <c r="H2824" t="str">
        <f>IFERROR(IF(AND(LEN(SUBSTITUTE(SUBSTITUTE(SUBSTITUTE(TRIM(A2824&amp;""),CHAR(160),"")," ",""),"년",""))=4,VALUE(SUBSTITUTE(SUBSTITUTE(SUBSTITUTE(TRIM(A2824&amp;""),CHAR(160),"")," ",""),"년",""))&gt;=1900,VALUE(SUBSTITUTE(SUBSTITUTE(SUBSTITUTE(TRIM(A2824&amp;""),CHAR(160),"")," ",""),"년",""))&lt;=2099,TEXT(VALUE(SUBSTITUTE(SUBSTITUTE(SUBSTITUTE(TRIM(A2824&amp;""),CHAR(160),"")," ",""),"년","")),"0000")=SUBSTITUTE(SUBSTITUTE(SUBSTITUTE(TRIM(A2824&amp;""),CHAR(160),"")," ",""),"년","")),SUBSTITUTE(SUBSTITUTE(SUBSTITUTE(TRIM(A2824&amp;""),CHAR(160),"")," ",""),"년",""),""),"")</f>
      </c>
      <c r="I2824" t="str">
        <f>SUBSTITUTE(SUBSTITUTE(SUBSTITUTE(SUBSTITUTE(SUBSTITUTE(TRIM(B2824&amp;""),CHAR(160),"")," ",""),"초등학교","초"),"중학교","중"),"고등학교","고")</f>
      </c>
    </row>
    <row r="2825" customFormat="false" ht="15" hidden="false" customHeight="false" outlineLevel="0" collapsed="false">
      <c r="A2825" s="8"/>
      <c r="B2825" s="8"/>
      <c r="C2825" s="8"/>
      <c r="D2825" s="8"/>
      <c r="E2825" s="8"/>
      <c r="F2825" t="str" s="15">
        <f aca="0">IF(B2825="","",IF(H2825="","확인필요(입력누락)",IF(SUMPRODUCT((실물목록!$P$2:$P$1001&lt;&gt;"")*ISNUMBER(SEARCH(실물목록!$P$2:$P$1001,I2825))*(실물목록!$Q$2:$Q$1001&lt;&gt;"")*ISNUMBER(SEARCH(실물목록!$Q$2:$Q$1001,I2825))*(실물목록!$R$2:$R$1001="")*(실물목록!$O$2:$O$1001&lt;&gt;"")*(실물목록!$O$2:$O$1001=H2825))&gt;0,"실물 있음",IF(SUMPRODUCT((실물목록!$P$2:$P$1001&lt;&gt;"")*ISNUMBER(SEARCH(실물목록!$P$2:$P$1001,I2825))*(실물목록!$R$2:$R$1001&lt;&gt;""))&gt;0,"확인필요(입력누락)",IF(SUMPRODUCT((실물목록!$P$2:$P$1001&lt;&gt;"")*ISNUMBER(SEARCH(실물목록!$P$2:$P$1001,I2825))*(실물목록!$Q$2:$Q$1001&lt;&gt;"")*ISNUMBER(SEARCH(실물목록!$Q$2:$Q$1001,I2825))*(실물목록!$R$2:$R$1001="")*(실물목록!$O$2:$O$1001&lt;&gt;""))&gt;0,"확인필요(연도다름)","실물 없음")))))</f>
      </c>
      <c r="G2825" t="n" s="16">
        <f aca="0">IF(B2825="","",SUMPRODUCT((실물목록!$P$2:$P$1001&lt;&gt;"")*ISNUMBER(SEARCH(실물목록!$P$2:$P$1001,I2825))*(실물목록!$Q$2:$Q$1001&lt;&gt;"")*ISNUMBER(SEARCH(실물목록!$Q$2:$Q$1001,I2825))*(실물목록!$R$2:$R$1001="")*(실물목록!$O$2:$O$1001&lt;&gt;"")*(실물목록!$O$2:$O$1001=H2825)))</f>
      </c>
      <c r="H2825" t="str">
        <f>IFERROR(IF(AND(LEN(SUBSTITUTE(SUBSTITUTE(SUBSTITUTE(TRIM(A2825&amp;""),CHAR(160),"")," ",""),"년",""))=4,VALUE(SUBSTITUTE(SUBSTITUTE(SUBSTITUTE(TRIM(A2825&amp;""),CHAR(160),"")," ",""),"년",""))&gt;=1900,VALUE(SUBSTITUTE(SUBSTITUTE(SUBSTITUTE(TRIM(A2825&amp;""),CHAR(160),"")," ",""),"년",""))&lt;=2099,TEXT(VALUE(SUBSTITUTE(SUBSTITUTE(SUBSTITUTE(TRIM(A2825&amp;""),CHAR(160),"")," ",""),"년","")),"0000")=SUBSTITUTE(SUBSTITUTE(SUBSTITUTE(TRIM(A2825&amp;""),CHAR(160),"")," ",""),"년","")),SUBSTITUTE(SUBSTITUTE(SUBSTITUTE(TRIM(A2825&amp;""),CHAR(160),"")," ",""),"년",""),""),"")</f>
      </c>
      <c r="I2825" t="str">
        <f>SUBSTITUTE(SUBSTITUTE(SUBSTITUTE(SUBSTITUTE(SUBSTITUTE(TRIM(B2825&amp;""),CHAR(160),"")," ",""),"초등학교","초"),"중학교","중"),"고등학교","고")</f>
      </c>
    </row>
    <row r="2826" customFormat="false" ht="15" hidden="false" customHeight="false" outlineLevel="0" collapsed="false">
      <c r="A2826" s="8"/>
      <c r="B2826" s="8"/>
      <c r="C2826" s="8"/>
      <c r="D2826" s="8"/>
      <c r="E2826" s="8"/>
      <c r="F2826" t="str" s="15">
        <f aca="0">IF(B2826="","",IF(H2826="","확인필요(입력누락)",IF(SUMPRODUCT((실물목록!$P$2:$P$1001&lt;&gt;"")*ISNUMBER(SEARCH(실물목록!$P$2:$P$1001,I2826))*(실물목록!$Q$2:$Q$1001&lt;&gt;"")*ISNUMBER(SEARCH(실물목록!$Q$2:$Q$1001,I2826))*(실물목록!$R$2:$R$1001="")*(실물목록!$O$2:$O$1001&lt;&gt;"")*(실물목록!$O$2:$O$1001=H2826))&gt;0,"실물 있음",IF(SUMPRODUCT((실물목록!$P$2:$P$1001&lt;&gt;"")*ISNUMBER(SEARCH(실물목록!$P$2:$P$1001,I2826))*(실물목록!$R$2:$R$1001&lt;&gt;""))&gt;0,"확인필요(입력누락)",IF(SUMPRODUCT((실물목록!$P$2:$P$1001&lt;&gt;"")*ISNUMBER(SEARCH(실물목록!$P$2:$P$1001,I2826))*(실물목록!$Q$2:$Q$1001&lt;&gt;"")*ISNUMBER(SEARCH(실물목록!$Q$2:$Q$1001,I2826))*(실물목록!$R$2:$R$1001="")*(실물목록!$O$2:$O$1001&lt;&gt;""))&gt;0,"확인필요(연도다름)","실물 없음")))))</f>
      </c>
      <c r="G2826" t="n" s="16">
        <f aca="0">IF(B2826="","",SUMPRODUCT((실물목록!$P$2:$P$1001&lt;&gt;"")*ISNUMBER(SEARCH(실물목록!$P$2:$P$1001,I2826))*(실물목록!$Q$2:$Q$1001&lt;&gt;"")*ISNUMBER(SEARCH(실물목록!$Q$2:$Q$1001,I2826))*(실물목록!$R$2:$R$1001="")*(실물목록!$O$2:$O$1001&lt;&gt;"")*(실물목록!$O$2:$O$1001=H2826)))</f>
      </c>
      <c r="H2826" t="str">
        <f>IFERROR(IF(AND(LEN(SUBSTITUTE(SUBSTITUTE(SUBSTITUTE(TRIM(A2826&amp;""),CHAR(160),"")," ",""),"년",""))=4,VALUE(SUBSTITUTE(SUBSTITUTE(SUBSTITUTE(TRIM(A2826&amp;""),CHAR(160),"")," ",""),"년",""))&gt;=1900,VALUE(SUBSTITUTE(SUBSTITUTE(SUBSTITUTE(TRIM(A2826&amp;""),CHAR(160),"")," ",""),"년",""))&lt;=2099,TEXT(VALUE(SUBSTITUTE(SUBSTITUTE(SUBSTITUTE(TRIM(A2826&amp;""),CHAR(160),"")," ",""),"년","")),"0000")=SUBSTITUTE(SUBSTITUTE(SUBSTITUTE(TRIM(A2826&amp;""),CHAR(160),"")," ",""),"년","")),SUBSTITUTE(SUBSTITUTE(SUBSTITUTE(TRIM(A2826&amp;""),CHAR(160),"")," ",""),"년",""),""),"")</f>
      </c>
      <c r="I2826" t="str">
        <f>SUBSTITUTE(SUBSTITUTE(SUBSTITUTE(SUBSTITUTE(SUBSTITUTE(TRIM(B2826&amp;""),CHAR(160),"")," ",""),"초등학교","초"),"중학교","중"),"고등학교","고")</f>
      </c>
    </row>
    <row r="2827" customFormat="false" ht="15" hidden="false" customHeight="false" outlineLevel="0" collapsed="false">
      <c r="A2827" s="8"/>
      <c r="B2827" s="8"/>
      <c r="C2827" s="8"/>
      <c r="D2827" s="8"/>
      <c r="E2827" s="8"/>
      <c r="F2827" t="str" s="15">
        <f aca="0">IF(B2827="","",IF(H2827="","확인필요(입력누락)",IF(SUMPRODUCT((실물목록!$P$2:$P$1001&lt;&gt;"")*ISNUMBER(SEARCH(실물목록!$P$2:$P$1001,I2827))*(실물목록!$Q$2:$Q$1001&lt;&gt;"")*ISNUMBER(SEARCH(실물목록!$Q$2:$Q$1001,I2827))*(실물목록!$R$2:$R$1001="")*(실물목록!$O$2:$O$1001&lt;&gt;"")*(실물목록!$O$2:$O$1001=H2827))&gt;0,"실물 있음",IF(SUMPRODUCT((실물목록!$P$2:$P$1001&lt;&gt;"")*ISNUMBER(SEARCH(실물목록!$P$2:$P$1001,I2827))*(실물목록!$R$2:$R$1001&lt;&gt;""))&gt;0,"확인필요(입력누락)",IF(SUMPRODUCT((실물목록!$P$2:$P$1001&lt;&gt;"")*ISNUMBER(SEARCH(실물목록!$P$2:$P$1001,I2827))*(실물목록!$Q$2:$Q$1001&lt;&gt;"")*ISNUMBER(SEARCH(실물목록!$Q$2:$Q$1001,I2827))*(실물목록!$R$2:$R$1001="")*(실물목록!$O$2:$O$1001&lt;&gt;""))&gt;0,"확인필요(연도다름)","실물 없음")))))</f>
      </c>
      <c r="G2827" t="n" s="16">
        <f aca="0">IF(B2827="","",SUMPRODUCT((실물목록!$P$2:$P$1001&lt;&gt;"")*ISNUMBER(SEARCH(실물목록!$P$2:$P$1001,I2827))*(실물목록!$Q$2:$Q$1001&lt;&gt;"")*ISNUMBER(SEARCH(실물목록!$Q$2:$Q$1001,I2827))*(실물목록!$R$2:$R$1001="")*(실물목록!$O$2:$O$1001&lt;&gt;"")*(실물목록!$O$2:$O$1001=H2827)))</f>
      </c>
      <c r="H2827" t="str">
        <f>IFERROR(IF(AND(LEN(SUBSTITUTE(SUBSTITUTE(SUBSTITUTE(TRIM(A2827&amp;""),CHAR(160),"")," ",""),"년",""))=4,VALUE(SUBSTITUTE(SUBSTITUTE(SUBSTITUTE(TRIM(A2827&amp;""),CHAR(160),"")," ",""),"년",""))&gt;=1900,VALUE(SUBSTITUTE(SUBSTITUTE(SUBSTITUTE(TRIM(A2827&amp;""),CHAR(160),"")," ",""),"년",""))&lt;=2099,TEXT(VALUE(SUBSTITUTE(SUBSTITUTE(SUBSTITUTE(TRIM(A2827&amp;""),CHAR(160),"")," ",""),"년","")),"0000")=SUBSTITUTE(SUBSTITUTE(SUBSTITUTE(TRIM(A2827&amp;""),CHAR(160),"")," ",""),"년","")),SUBSTITUTE(SUBSTITUTE(SUBSTITUTE(TRIM(A2827&amp;""),CHAR(160),"")," ",""),"년",""),""),"")</f>
      </c>
      <c r="I2827" t="str">
        <f>SUBSTITUTE(SUBSTITUTE(SUBSTITUTE(SUBSTITUTE(SUBSTITUTE(TRIM(B2827&amp;""),CHAR(160),"")," ",""),"초등학교","초"),"중학교","중"),"고등학교","고")</f>
      </c>
    </row>
    <row r="2828" customFormat="false" ht="15" hidden="false" customHeight="false" outlineLevel="0" collapsed="false">
      <c r="A2828" s="8"/>
      <c r="B2828" s="8"/>
      <c r="C2828" s="8"/>
      <c r="D2828" s="8"/>
      <c r="E2828" s="8"/>
      <c r="F2828" t="str" s="15">
        <f aca="0">IF(B2828="","",IF(H2828="","확인필요(입력누락)",IF(SUMPRODUCT((실물목록!$P$2:$P$1001&lt;&gt;"")*ISNUMBER(SEARCH(실물목록!$P$2:$P$1001,I2828))*(실물목록!$Q$2:$Q$1001&lt;&gt;"")*ISNUMBER(SEARCH(실물목록!$Q$2:$Q$1001,I2828))*(실물목록!$R$2:$R$1001="")*(실물목록!$O$2:$O$1001&lt;&gt;"")*(실물목록!$O$2:$O$1001=H2828))&gt;0,"실물 있음",IF(SUMPRODUCT((실물목록!$P$2:$P$1001&lt;&gt;"")*ISNUMBER(SEARCH(실물목록!$P$2:$P$1001,I2828))*(실물목록!$R$2:$R$1001&lt;&gt;""))&gt;0,"확인필요(입력누락)",IF(SUMPRODUCT((실물목록!$P$2:$P$1001&lt;&gt;"")*ISNUMBER(SEARCH(실물목록!$P$2:$P$1001,I2828))*(실물목록!$Q$2:$Q$1001&lt;&gt;"")*ISNUMBER(SEARCH(실물목록!$Q$2:$Q$1001,I2828))*(실물목록!$R$2:$R$1001="")*(실물목록!$O$2:$O$1001&lt;&gt;""))&gt;0,"확인필요(연도다름)","실물 없음")))))</f>
      </c>
      <c r="G2828" t="n" s="16">
        <f aca="0">IF(B2828="","",SUMPRODUCT((실물목록!$P$2:$P$1001&lt;&gt;"")*ISNUMBER(SEARCH(실물목록!$P$2:$P$1001,I2828))*(실물목록!$Q$2:$Q$1001&lt;&gt;"")*ISNUMBER(SEARCH(실물목록!$Q$2:$Q$1001,I2828))*(실물목록!$R$2:$R$1001="")*(실물목록!$O$2:$O$1001&lt;&gt;"")*(실물목록!$O$2:$O$1001=H2828)))</f>
      </c>
      <c r="H2828" t="str">
        <f>IFERROR(IF(AND(LEN(SUBSTITUTE(SUBSTITUTE(SUBSTITUTE(TRIM(A2828&amp;""),CHAR(160),"")," ",""),"년",""))=4,VALUE(SUBSTITUTE(SUBSTITUTE(SUBSTITUTE(TRIM(A2828&amp;""),CHAR(160),"")," ",""),"년",""))&gt;=1900,VALUE(SUBSTITUTE(SUBSTITUTE(SUBSTITUTE(TRIM(A2828&amp;""),CHAR(160),"")," ",""),"년",""))&lt;=2099,TEXT(VALUE(SUBSTITUTE(SUBSTITUTE(SUBSTITUTE(TRIM(A2828&amp;""),CHAR(160),"")," ",""),"년","")),"0000")=SUBSTITUTE(SUBSTITUTE(SUBSTITUTE(TRIM(A2828&amp;""),CHAR(160),"")," ",""),"년","")),SUBSTITUTE(SUBSTITUTE(SUBSTITUTE(TRIM(A2828&amp;""),CHAR(160),"")," ",""),"년",""),""),"")</f>
      </c>
      <c r="I2828" t="str">
        <f>SUBSTITUTE(SUBSTITUTE(SUBSTITUTE(SUBSTITUTE(SUBSTITUTE(TRIM(B2828&amp;""),CHAR(160),"")," ",""),"초등학교","초"),"중학교","중"),"고등학교","고")</f>
      </c>
    </row>
    <row r="2829" customFormat="false" ht="15" hidden="false" customHeight="false" outlineLevel="0" collapsed="false">
      <c r="A2829" s="8"/>
      <c r="B2829" s="8"/>
      <c r="C2829" s="8"/>
      <c r="D2829" s="8"/>
      <c r="E2829" s="8"/>
      <c r="F2829" t="str" s="15">
        <f aca="0">IF(B2829="","",IF(H2829="","확인필요(입력누락)",IF(SUMPRODUCT((실물목록!$P$2:$P$1001&lt;&gt;"")*ISNUMBER(SEARCH(실물목록!$P$2:$P$1001,I2829))*(실물목록!$Q$2:$Q$1001&lt;&gt;"")*ISNUMBER(SEARCH(실물목록!$Q$2:$Q$1001,I2829))*(실물목록!$R$2:$R$1001="")*(실물목록!$O$2:$O$1001&lt;&gt;"")*(실물목록!$O$2:$O$1001=H2829))&gt;0,"실물 있음",IF(SUMPRODUCT((실물목록!$P$2:$P$1001&lt;&gt;"")*ISNUMBER(SEARCH(실물목록!$P$2:$P$1001,I2829))*(실물목록!$R$2:$R$1001&lt;&gt;""))&gt;0,"확인필요(입력누락)",IF(SUMPRODUCT((실물목록!$P$2:$P$1001&lt;&gt;"")*ISNUMBER(SEARCH(실물목록!$P$2:$P$1001,I2829))*(실물목록!$Q$2:$Q$1001&lt;&gt;"")*ISNUMBER(SEARCH(실물목록!$Q$2:$Q$1001,I2829))*(실물목록!$R$2:$R$1001="")*(실물목록!$O$2:$O$1001&lt;&gt;""))&gt;0,"확인필요(연도다름)","실물 없음")))))</f>
      </c>
      <c r="G2829" t="n" s="16">
        <f aca="0">IF(B2829="","",SUMPRODUCT((실물목록!$P$2:$P$1001&lt;&gt;"")*ISNUMBER(SEARCH(실물목록!$P$2:$P$1001,I2829))*(실물목록!$Q$2:$Q$1001&lt;&gt;"")*ISNUMBER(SEARCH(실물목록!$Q$2:$Q$1001,I2829))*(실물목록!$R$2:$R$1001="")*(실물목록!$O$2:$O$1001&lt;&gt;"")*(실물목록!$O$2:$O$1001=H2829)))</f>
      </c>
      <c r="H2829" t="str">
        <f>IFERROR(IF(AND(LEN(SUBSTITUTE(SUBSTITUTE(SUBSTITUTE(TRIM(A2829&amp;""),CHAR(160),"")," ",""),"년",""))=4,VALUE(SUBSTITUTE(SUBSTITUTE(SUBSTITUTE(TRIM(A2829&amp;""),CHAR(160),"")," ",""),"년",""))&gt;=1900,VALUE(SUBSTITUTE(SUBSTITUTE(SUBSTITUTE(TRIM(A2829&amp;""),CHAR(160),"")," ",""),"년",""))&lt;=2099,TEXT(VALUE(SUBSTITUTE(SUBSTITUTE(SUBSTITUTE(TRIM(A2829&amp;""),CHAR(160),"")," ",""),"년","")),"0000")=SUBSTITUTE(SUBSTITUTE(SUBSTITUTE(TRIM(A2829&amp;""),CHAR(160),"")," ",""),"년","")),SUBSTITUTE(SUBSTITUTE(SUBSTITUTE(TRIM(A2829&amp;""),CHAR(160),"")," ",""),"년",""),""),"")</f>
      </c>
      <c r="I2829" t="str">
        <f>SUBSTITUTE(SUBSTITUTE(SUBSTITUTE(SUBSTITUTE(SUBSTITUTE(TRIM(B2829&amp;""),CHAR(160),"")," ",""),"초등학교","초"),"중학교","중"),"고등학교","고")</f>
      </c>
    </row>
    <row r="2830" customFormat="false" ht="15" hidden="false" customHeight="false" outlineLevel="0" collapsed="false">
      <c r="A2830" s="8"/>
      <c r="B2830" s="8"/>
      <c r="C2830" s="8"/>
      <c r="D2830" s="8"/>
      <c r="E2830" s="8"/>
      <c r="F2830" t="str" s="15">
        <f aca="0">IF(B2830="","",IF(H2830="","확인필요(입력누락)",IF(SUMPRODUCT((실물목록!$P$2:$P$1001&lt;&gt;"")*ISNUMBER(SEARCH(실물목록!$P$2:$P$1001,I2830))*(실물목록!$Q$2:$Q$1001&lt;&gt;"")*ISNUMBER(SEARCH(실물목록!$Q$2:$Q$1001,I2830))*(실물목록!$R$2:$R$1001="")*(실물목록!$O$2:$O$1001&lt;&gt;"")*(실물목록!$O$2:$O$1001=H2830))&gt;0,"실물 있음",IF(SUMPRODUCT((실물목록!$P$2:$P$1001&lt;&gt;"")*ISNUMBER(SEARCH(실물목록!$P$2:$P$1001,I2830))*(실물목록!$R$2:$R$1001&lt;&gt;""))&gt;0,"확인필요(입력누락)",IF(SUMPRODUCT((실물목록!$P$2:$P$1001&lt;&gt;"")*ISNUMBER(SEARCH(실물목록!$P$2:$P$1001,I2830))*(실물목록!$Q$2:$Q$1001&lt;&gt;"")*ISNUMBER(SEARCH(실물목록!$Q$2:$Q$1001,I2830))*(실물목록!$R$2:$R$1001="")*(실물목록!$O$2:$O$1001&lt;&gt;""))&gt;0,"확인필요(연도다름)","실물 없음")))))</f>
      </c>
      <c r="G2830" t="n" s="16">
        <f aca="0">IF(B2830="","",SUMPRODUCT((실물목록!$P$2:$P$1001&lt;&gt;"")*ISNUMBER(SEARCH(실물목록!$P$2:$P$1001,I2830))*(실물목록!$Q$2:$Q$1001&lt;&gt;"")*ISNUMBER(SEARCH(실물목록!$Q$2:$Q$1001,I2830))*(실물목록!$R$2:$R$1001="")*(실물목록!$O$2:$O$1001&lt;&gt;"")*(실물목록!$O$2:$O$1001=H2830)))</f>
      </c>
      <c r="H2830" t="str">
        <f>IFERROR(IF(AND(LEN(SUBSTITUTE(SUBSTITUTE(SUBSTITUTE(TRIM(A2830&amp;""),CHAR(160),"")," ",""),"년",""))=4,VALUE(SUBSTITUTE(SUBSTITUTE(SUBSTITUTE(TRIM(A2830&amp;""),CHAR(160),"")," ",""),"년",""))&gt;=1900,VALUE(SUBSTITUTE(SUBSTITUTE(SUBSTITUTE(TRIM(A2830&amp;""),CHAR(160),"")," ",""),"년",""))&lt;=2099,TEXT(VALUE(SUBSTITUTE(SUBSTITUTE(SUBSTITUTE(TRIM(A2830&amp;""),CHAR(160),"")," ",""),"년","")),"0000")=SUBSTITUTE(SUBSTITUTE(SUBSTITUTE(TRIM(A2830&amp;""),CHAR(160),"")," ",""),"년","")),SUBSTITUTE(SUBSTITUTE(SUBSTITUTE(TRIM(A2830&amp;""),CHAR(160),"")," ",""),"년",""),""),"")</f>
      </c>
      <c r="I2830" t="str">
        <f>SUBSTITUTE(SUBSTITUTE(SUBSTITUTE(SUBSTITUTE(SUBSTITUTE(TRIM(B2830&amp;""),CHAR(160),"")," ",""),"초등학교","초"),"중학교","중"),"고등학교","고")</f>
      </c>
    </row>
    <row r="2831" customFormat="false" ht="15" hidden="false" customHeight="false" outlineLevel="0" collapsed="false">
      <c r="A2831" s="8"/>
      <c r="B2831" s="8"/>
      <c r="C2831" s="8"/>
      <c r="D2831" s="8"/>
      <c r="E2831" s="8"/>
      <c r="F2831" t="str" s="15">
        <f aca="0">IF(B2831="","",IF(H2831="","확인필요(입력누락)",IF(SUMPRODUCT((실물목록!$P$2:$P$1001&lt;&gt;"")*ISNUMBER(SEARCH(실물목록!$P$2:$P$1001,I2831))*(실물목록!$Q$2:$Q$1001&lt;&gt;"")*ISNUMBER(SEARCH(실물목록!$Q$2:$Q$1001,I2831))*(실물목록!$R$2:$R$1001="")*(실물목록!$O$2:$O$1001&lt;&gt;"")*(실물목록!$O$2:$O$1001=H2831))&gt;0,"실물 있음",IF(SUMPRODUCT((실물목록!$P$2:$P$1001&lt;&gt;"")*ISNUMBER(SEARCH(실물목록!$P$2:$P$1001,I2831))*(실물목록!$R$2:$R$1001&lt;&gt;""))&gt;0,"확인필요(입력누락)",IF(SUMPRODUCT((실물목록!$P$2:$P$1001&lt;&gt;"")*ISNUMBER(SEARCH(실물목록!$P$2:$P$1001,I2831))*(실물목록!$Q$2:$Q$1001&lt;&gt;"")*ISNUMBER(SEARCH(실물목록!$Q$2:$Q$1001,I2831))*(실물목록!$R$2:$R$1001="")*(실물목록!$O$2:$O$1001&lt;&gt;""))&gt;0,"확인필요(연도다름)","실물 없음")))))</f>
      </c>
      <c r="G2831" t="n" s="16">
        <f aca="0">IF(B2831="","",SUMPRODUCT((실물목록!$P$2:$P$1001&lt;&gt;"")*ISNUMBER(SEARCH(실물목록!$P$2:$P$1001,I2831))*(실물목록!$Q$2:$Q$1001&lt;&gt;"")*ISNUMBER(SEARCH(실물목록!$Q$2:$Q$1001,I2831))*(실물목록!$R$2:$R$1001="")*(실물목록!$O$2:$O$1001&lt;&gt;"")*(실물목록!$O$2:$O$1001=H2831)))</f>
      </c>
      <c r="H2831" t="str">
        <f>IFERROR(IF(AND(LEN(SUBSTITUTE(SUBSTITUTE(SUBSTITUTE(TRIM(A2831&amp;""),CHAR(160),"")," ",""),"년",""))=4,VALUE(SUBSTITUTE(SUBSTITUTE(SUBSTITUTE(TRIM(A2831&amp;""),CHAR(160),"")," ",""),"년",""))&gt;=1900,VALUE(SUBSTITUTE(SUBSTITUTE(SUBSTITUTE(TRIM(A2831&amp;""),CHAR(160),"")," ",""),"년",""))&lt;=2099,TEXT(VALUE(SUBSTITUTE(SUBSTITUTE(SUBSTITUTE(TRIM(A2831&amp;""),CHAR(160),"")," ",""),"년","")),"0000")=SUBSTITUTE(SUBSTITUTE(SUBSTITUTE(TRIM(A2831&amp;""),CHAR(160),"")," ",""),"년","")),SUBSTITUTE(SUBSTITUTE(SUBSTITUTE(TRIM(A2831&amp;""),CHAR(160),"")," ",""),"년",""),""),"")</f>
      </c>
      <c r="I2831" t="str">
        <f>SUBSTITUTE(SUBSTITUTE(SUBSTITUTE(SUBSTITUTE(SUBSTITUTE(TRIM(B2831&amp;""),CHAR(160),"")," ",""),"초등학교","초"),"중학교","중"),"고등학교","고")</f>
      </c>
    </row>
    <row r="2832" customFormat="false" ht="15" hidden="false" customHeight="false" outlineLevel="0" collapsed="false">
      <c r="A2832" s="8"/>
      <c r="B2832" s="8"/>
      <c r="C2832" s="8"/>
      <c r="D2832" s="8"/>
      <c r="E2832" s="8"/>
      <c r="F2832" t="str" s="15">
        <f aca="0">IF(B2832="","",IF(H2832="","확인필요(입력누락)",IF(SUMPRODUCT((실물목록!$P$2:$P$1001&lt;&gt;"")*ISNUMBER(SEARCH(실물목록!$P$2:$P$1001,I2832))*(실물목록!$Q$2:$Q$1001&lt;&gt;"")*ISNUMBER(SEARCH(실물목록!$Q$2:$Q$1001,I2832))*(실물목록!$R$2:$R$1001="")*(실물목록!$O$2:$O$1001&lt;&gt;"")*(실물목록!$O$2:$O$1001=H2832))&gt;0,"실물 있음",IF(SUMPRODUCT((실물목록!$P$2:$P$1001&lt;&gt;"")*ISNUMBER(SEARCH(실물목록!$P$2:$P$1001,I2832))*(실물목록!$R$2:$R$1001&lt;&gt;""))&gt;0,"확인필요(입력누락)",IF(SUMPRODUCT((실물목록!$P$2:$P$1001&lt;&gt;"")*ISNUMBER(SEARCH(실물목록!$P$2:$P$1001,I2832))*(실물목록!$Q$2:$Q$1001&lt;&gt;"")*ISNUMBER(SEARCH(실물목록!$Q$2:$Q$1001,I2832))*(실물목록!$R$2:$R$1001="")*(실물목록!$O$2:$O$1001&lt;&gt;""))&gt;0,"확인필요(연도다름)","실물 없음")))))</f>
      </c>
      <c r="G2832" t="n" s="16">
        <f aca="0">IF(B2832="","",SUMPRODUCT((실물목록!$P$2:$P$1001&lt;&gt;"")*ISNUMBER(SEARCH(실물목록!$P$2:$P$1001,I2832))*(실물목록!$Q$2:$Q$1001&lt;&gt;"")*ISNUMBER(SEARCH(실물목록!$Q$2:$Q$1001,I2832))*(실물목록!$R$2:$R$1001="")*(실물목록!$O$2:$O$1001&lt;&gt;"")*(실물목록!$O$2:$O$1001=H2832)))</f>
      </c>
      <c r="H2832" t="str">
        <f>IFERROR(IF(AND(LEN(SUBSTITUTE(SUBSTITUTE(SUBSTITUTE(TRIM(A2832&amp;""),CHAR(160),"")," ",""),"년",""))=4,VALUE(SUBSTITUTE(SUBSTITUTE(SUBSTITUTE(TRIM(A2832&amp;""),CHAR(160),"")," ",""),"년",""))&gt;=1900,VALUE(SUBSTITUTE(SUBSTITUTE(SUBSTITUTE(TRIM(A2832&amp;""),CHAR(160),"")," ",""),"년",""))&lt;=2099,TEXT(VALUE(SUBSTITUTE(SUBSTITUTE(SUBSTITUTE(TRIM(A2832&amp;""),CHAR(160),"")," ",""),"년","")),"0000")=SUBSTITUTE(SUBSTITUTE(SUBSTITUTE(TRIM(A2832&amp;""),CHAR(160),"")," ",""),"년","")),SUBSTITUTE(SUBSTITUTE(SUBSTITUTE(TRIM(A2832&amp;""),CHAR(160),"")," ",""),"년",""),""),"")</f>
      </c>
      <c r="I2832" t="str">
        <f>SUBSTITUTE(SUBSTITUTE(SUBSTITUTE(SUBSTITUTE(SUBSTITUTE(TRIM(B2832&amp;""),CHAR(160),"")," ",""),"초등학교","초"),"중학교","중"),"고등학교","고")</f>
      </c>
    </row>
    <row r="2833" customFormat="false" ht="15" hidden="false" customHeight="false" outlineLevel="0" collapsed="false">
      <c r="A2833" s="8"/>
      <c r="B2833" s="8"/>
      <c r="C2833" s="8"/>
      <c r="D2833" s="8"/>
      <c r="E2833" s="8"/>
      <c r="F2833" t="str" s="15">
        <f aca="0">IF(B2833="","",IF(H2833="","확인필요(입력누락)",IF(SUMPRODUCT((실물목록!$P$2:$P$1001&lt;&gt;"")*ISNUMBER(SEARCH(실물목록!$P$2:$P$1001,I2833))*(실물목록!$Q$2:$Q$1001&lt;&gt;"")*ISNUMBER(SEARCH(실물목록!$Q$2:$Q$1001,I2833))*(실물목록!$R$2:$R$1001="")*(실물목록!$O$2:$O$1001&lt;&gt;"")*(실물목록!$O$2:$O$1001=H2833))&gt;0,"실물 있음",IF(SUMPRODUCT((실물목록!$P$2:$P$1001&lt;&gt;"")*ISNUMBER(SEARCH(실물목록!$P$2:$P$1001,I2833))*(실물목록!$R$2:$R$1001&lt;&gt;""))&gt;0,"확인필요(입력누락)",IF(SUMPRODUCT((실물목록!$P$2:$P$1001&lt;&gt;"")*ISNUMBER(SEARCH(실물목록!$P$2:$P$1001,I2833))*(실물목록!$Q$2:$Q$1001&lt;&gt;"")*ISNUMBER(SEARCH(실물목록!$Q$2:$Q$1001,I2833))*(실물목록!$R$2:$R$1001="")*(실물목록!$O$2:$O$1001&lt;&gt;""))&gt;0,"확인필요(연도다름)","실물 없음")))))</f>
      </c>
      <c r="G2833" t="n" s="16">
        <f aca="0">IF(B2833="","",SUMPRODUCT((실물목록!$P$2:$P$1001&lt;&gt;"")*ISNUMBER(SEARCH(실물목록!$P$2:$P$1001,I2833))*(실물목록!$Q$2:$Q$1001&lt;&gt;"")*ISNUMBER(SEARCH(실물목록!$Q$2:$Q$1001,I2833))*(실물목록!$R$2:$R$1001="")*(실물목록!$O$2:$O$1001&lt;&gt;"")*(실물목록!$O$2:$O$1001=H2833)))</f>
      </c>
      <c r="H2833" t="str">
        <f>IFERROR(IF(AND(LEN(SUBSTITUTE(SUBSTITUTE(SUBSTITUTE(TRIM(A2833&amp;""),CHAR(160),"")," ",""),"년",""))=4,VALUE(SUBSTITUTE(SUBSTITUTE(SUBSTITUTE(TRIM(A2833&amp;""),CHAR(160),"")," ",""),"년",""))&gt;=1900,VALUE(SUBSTITUTE(SUBSTITUTE(SUBSTITUTE(TRIM(A2833&amp;""),CHAR(160),"")," ",""),"년",""))&lt;=2099,TEXT(VALUE(SUBSTITUTE(SUBSTITUTE(SUBSTITUTE(TRIM(A2833&amp;""),CHAR(160),"")," ",""),"년","")),"0000")=SUBSTITUTE(SUBSTITUTE(SUBSTITUTE(TRIM(A2833&amp;""),CHAR(160),"")," ",""),"년","")),SUBSTITUTE(SUBSTITUTE(SUBSTITUTE(TRIM(A2833&amp;""),CHAR(160),"")," ",""),"년",""),""),"")</f>
      </c>
      <c r="I2833" t="str">
        <f>SUBSTITUTE(SUBSTITUTE(SUBSTITUTE(SUBSTITUTE(SUBSTITUTE(TRIM(B2833&amp;""),CHAR(160),"")," ",""),"초등학교","초"),"중학교","중"),"고등학교","고")</f>
      </c>
    </row>
    <row r="2834" customFormat="false" ht="15" hidden="false" customHeight="false" outlineLevel="0" collapsed="false">
      <c r="A2834" s="8"/>
      <c r="B2834" s="8"/>
      <c r="C2834" s="8"/>
      <c r="D2834" s="8"/>
      <c r="E2834" s="8"/>
      <c r="F2834" t="str" s="15">
        <f aca="0">IF(B2834="","",IF(H2834="","확인필요(입력누락)",IF(SUMPRODUCT((실물목록!$P$2:$P$1001&lt;&gt;"")*ISNUMBER(SEARCH(실물목록!$P$2:$P$1001,I2834))*(실물목록!$Q$2:$Q$1001&lt;&gt;"")*ISNUMBER(SEARCH(실물목록!$Q$2:$Q$1001,I2834))*(실물목록!$R$2:$R$1001="")*(실물목록!$O$2:$O$1001&lt;&gt;"")*(실물목록!$O$2:$O$1001=H2834))&gt;0,"실물 있음",IF(SUMPRODUCT((실물목록!$P$2:$P$1001&lt;&gt;"")*ISNUMBER(SEARCH(실물목록!$P$2:$P$1001,I2834))*(실물목록!$R$2:$R$1001&lt;&gt;""))&gt;0,"확인필요(입력누락)",IF(SUMPRODUCT((실물목록!$P$2:$P$1001&lt;&gt;"")*ISNUMBER(SEARCH(실물목록!$P$2:$P$1001,I2834))*(실물목록!$Q$2:$Q$1001&lt;&gt;"")*ISNUMBER(SEARCH(실물목록!$Q$2:$Q$1001,I2834))*(실물목록!$R$2:$R$1001="")*(실물목록!$O$2:$O$1001&lt;&gt;""))&gt;0,"확인필요(연도다름)","실물 없음")))))</f>
      </c>
      <c r="G2834" t="n" s="16">
        <f aca="0">IF(B2834="","",SUMPRODUCT((실물목록!$P$2:$P$1001&lt;&gt;"")*ISNUMBER(SEARCH(실물목록!$P$2:$P$1001,I2834))*(실물목록!$Q$2:$Q$1001&lt;&gt;"")*ISNUMBER(SEARCH(실물목록!$Q$2:$Q$1001,I2834))*(실물목록!$R$2:$R$1001="")*(실물목록!$O$2:$O$1001&lt;&gt;"")*(실물목록!$O$2:$O$1001=H2834)))</f>
      </c>
      <c r="H2834" t="str">
        <f>IFERROR(IF(AND(LEN(SUBSTITUTE(SUBSTITUTE(SUBSTITUTE(TRIM(A2834&amp;""),CHAR(160),"")," ",""),"년",""))=4,VALUE(SUBSTITUTE(SUBSTITUTE(SUBSTITUTE(TRIM(A2834&amp;""),CHAR(160),"")," ",""),"년",""))&gt;=1900,VALUE(SUBSTITUTE(SUBSTITUTE(SUBSTITUTE(TRIM(A2834&amp;""),CHAR(160),"")," ",""),"년",""))&lt;=2099,TEXT(VALUE(SUBSTITUTE(SUBSTITUTE(SUBSTITUTE(TRIM(A2834&amp;""),CHAR(160),"")," ",""),"년","")),"0000")=SUBSTITUTE(SUBSTITUTE(SUBSTITUTE(TRIM(A2834&amp;""),CHAR(160),"")," ",""),"년","")),SUBSTITUTE(SUBSTITUTE(SUBSTITUTE(TRIM(A2834&amp;""),CHAR(160),"")," ",""),"년",""),""),"")</f>
      </c>
      <c r="I2834" t="str">
        <f>SUBSTITUTE(SUBSTITUTE(SUBSTITUTE(SUBSTITUTE(SUBSTITUTE(TRIM(B2834&amp;""),CHAR(160),"")," ",""),"초등학교","초"),"중학교","중"),"고등학교","고")</f>
      </c>
    </row>
    <row r="2835" customFormat="false" ht="15" hidden="false" customHeight="false" outlineLevel="0" collapsed="false">
      <c r="A2835" s="8"/>
      <c r="B2835" s="8"/>
      <c r="C2835" s="8"/>
      <c r="D2835" s="8"/>
      <c r="E2835" s="8"/>
      <c r="F2835" t="str" s="15">
        <f aca="0">IF(B2835="","",IF(H2835="","확인필요(입력누락)",IF(SUMPRODUCT((실물목록!$P$2:$P$1001&lt;&gt;"")*ISNUMBER(SEARCH(실물목록!$P$2:$P$1001,I2835))*(실물목록!$Q$2:$Q$1001&lt;&gt;"")*ISNUMBER(SEARCH(실물목록!$Q$2:$Q$1001,I2835))*(실물목록!$R$2:$R$1001="")*(실물목록!$O$2:$O$1001&lt;&gt;"")*(실물목록!$O$2:$O$1001=H2835))&gt;0,"실물 있음",IF(SUMPRODUCT((실물목록!$P$2:$P$1001&lt;&gt;"")*ISNUMBER(SEARCH(실물목록!$P$2:$P$1001,I2835))*(실물목록!$R$2:$R$1001&lt;&gt;""))&gt;0,"확인필요(입력누락)",IF(SUMPRODUCT((실물목록!$P$2:$P$1001&lt;&gt;"")*ISNUMBER(SEARCH(실물목록!$P$2:$P$1001,I2835))*(실물목록!$Q$2:$Q$1001&lt;&gt;"")*ISNUMBER(SEARCH(실물목록!$Q$2:$Q$1001,I2835))*(실물목록!$R$2:$R$1001="")*(실물목록!$O$2:$O$1001&lt;&gt;""))&gt;0,"확인필요(연도다름)","실물 없음")))))</f>
      </c>
      <c r="G2835" t="n" s="16">
        <f aca="0">IF(B2835="","",SUMPRODUCT((실물목록!$P$2:$P$1001&lt;&gt;"")*ISNUMBER(SEARCH(실물목록!$P$2:$P$1001,I2835))*(실물목록!$Q$2:$Q$1001&lt;&gt;"")*ISNUMBER(SEARCH(실물목록!$Q$2:$Q$1001,I2835))*(실물목록!$R$2:$R$1001="")*(실물목록!$O$2:$O$1001&lt;&gt;"")*(실물목록!$O$2:$O$1001=H2835)))</f>
      </c>
      <c r="H2835" t="str">
        <f>IFERROR(IF(AND(LEN(SUBSTITUTE(SUBSTITUTE(SUBSTITUTE(TRIM(A2835&amp;""),CHAR(160),"")," ",""),"년",""))=4,VALUE(SUBSTITUTE(SUBSTITUTE(SUBSTITUTE(TRIM(A2835&amp;""),CHAR(160),"")," ",""),"년",""))&gt;=1900,VALUE(SUBSTITUTE(SUBSTITUTE(SUBSTITUTE(TRIM(A2835&amp;""),CHAR(160),"")," ",""),"년",""))&lt;=2099,TEXT(VALUE(SUBSTITUTE(SUBSTITUTE(SUBSTITUTE(TRIM(A2835&amp;""),CHAR(160),"")," ",""),"년","")),"0000")=SUBSTITUTE(SUBSTITUTE(SUBSTITUTE(TRIM(A2835&amp;""),CHAR(160),"")," ",""),"년","")),SUBSTITUTE(SUBSTITUTE(SUBSTITUTE(TRIM(A2835&amp;""),CHAR(160),"")," ",""),"년",""),""),"")</f>
      </c>
      <c r="I2835" t="str">
        <f>SUBSTITUTE(SUBSTITUTE(SUBSTITUTE(SUBSTITUTE(SUBSTITUTE(TRIM(B2835&amp;""),CHAR(160),"")," ",""),"초등학교","초"),"중학교","중"),"고등학교","고")</f>
      </c>
    </row>
    <row r="2836" customFormat="false" ht="15" hidden="false" customHeight="false" outlineLevel="0" collapsed="false">
      <c r="A2836" s="8"/>
      <c r="B2836" s="8"/>
      <c r="C2836" s="8"/>
      <c r="D2836" s="8"/>
      <c r="E2836" s="8"/>
      <c r="F2836" t="str" s="15">
        <f aca="0">IF(B2836="","",IF(H2836="","확인필요(입력누락)",IF(SUMPRODUCT((실물목록!$P$2:$P$1001&lt;&gt;"")*ISNUMBER(SEARCH(실물목록!$P$2:$P$1001,I2836))*(실물목록!$Q$2:$Q$1001&lt;&gt;"")*ISNUMBER(SEARCH(실물목록!$Q$2:$Q$1001,I2836))*(실물목록!$R$2:$R$1001="")*(실물목록!$O$2:$O$1001&lt;&gt;"")*(실물목록!$O$2:$O$1001=H2836))&gt;0,"실물 있음",IF(SUMPRODUCT((실물목록!$P$2:$P$1001&lt;&gt;"")*ISNUMBER(SEARCH(실물목록!$P$2:$P$1001,I2836))*(실물목록!$R$2:$R$1001&lt;&gt;""))&gt;0,"확인필요(입력누락)",IF(SUMPRODUCT((실물목록!$P$2:$P$1001&lt;&gt;"")*ISNUMBER(SEARCH(실물목록!$P$2:$P$1001,I2836))*(실물목록!$Q$2:$Q$1001&lt;&gt;"")*ISNUMBER(SEARCH(실물목록!$Q$2:$Q$1001,I2836))*(실물목록!$R$2:$R$1001="")*(실물목록!$O$2:$O$1001&lt;&gt;""))&gt;0,"확인필요(연도다름)","실물 없음")))))</f>
      </c>
      <c r="G2836" t="n" s="16">
        <f aca="0">IF(B2836="","",SUMPRODUCT((실물목록!$P$2:$P$1001&lt;&gt;"")*ISNUMBER(SEARCH(실물목록!$P$2:$P$1001,I2836))*(실물목록!$Q$2:$Q$1001&lt;&gt;"")*ISNUMBER(SEARCH(실물목록!$Q$2:$Q$1001,I2836))*(실물목록!$R$2:$R$1001="")*(실물목록!$O$2:$O$1001&lt;&gt;"")*(실물목록!$O$2:$O$1001=H2836)))</f>
      </c>
      <c r="H2836" t="str">
        <f>IFERROR(IF(AND(LEN(SUBSTITUTE(SUBSTITUTE(SUBSTITUTE(TRIM(A2836&amp;""),CHAR(160),"")," ",""),"년",""))=4,VALUE(SUBSTITUTE(SUBSTITUTE(SUBSTITUTE(TRIM(A2836&amp;""),CHAR(160),"")," ",""),"년",""))&gt;=1900,VALUE(SUBSTITUTE(SUBSTITUTE(SUBSTITUTE(TRIM(A2836&amp;""),CHAR(160),"")," ",""),"년",""))&lt;=2099,TEXT(VALUE(SUBSTITUTE(SUBSTITUTE(SUBSTITUTE(TRIM(A2836&amp;""),CHAR(160),"")," ",""),"년","")),"0000")=SUBSTITUTE(SUBSTITUTE(SUBSTITUTE(TRIM(A2836&amp;""),CHAR(160),"")," ",""),"년","")),SUBSTITUTE(SUBSTITUTE(SUBSTITUTE(TRIM(A2836&amp;""),CHAR(160),"")," ",""),"년",""),""),"")</f>
      </c>
      <c r="I2836" t="str">
        <f>SUBSTITUTE(SUBSTITUTE(SUBSTITUTE(SUBSTITUTE(SUBSTITUTE(TRIM(B2836&amp;""),CHAR(160),"")," ",""),"초등학교","초"),"중학교","중"),"고등학교","고")</f>
      </c>
    </row>
    <row r="2837" customFormat="false" ht="15" hidden="false" customHeight="false" outlineLevel="0" collapsed="false">
      <c r="A2837" s="8"/>
      <c r="B2837" s="8"/>
      <c r="C2837" s="8"/>
      <c r="D2837" s="8"/>
      <c r="E2837" s="8"/>
      <c r="F2837" t="str" s="15">
        <f aca="0">IF(B2837="","",IF(H2837="","확인필요(입력누락)",IF(SUMPRODUCT((실물목록!$P$2:$P$1001&lt;&gt;"")*ISNUMBER(SEARCH(실물목록!$P$2:$P$1001,I2837))*(실물목록!$Q$2:$Q$1001&lt;&gt;"")*ISNUMBER(SEARCH(실물목록!$Q$2:$Q$1001,I2837))*(실물목록!$R$2:$R$1001="")*(실물목록!$O$2:$O$1001&lt;&gt;"")*(실물목록!$O$2:$O$1001=H2837))&gt;0,"실물 있음",IF(SUMPRODUCT((실물목록!$P$2:$P$1001&lt;&gt;"")*ISNUMBER(SEARCH(실물목록!$P$2:$P$1001,I2837))*(실물목록!$R$2:$R$1001&lt;&gt;""))&gt;0,"확인필요(입력누락)",IF(SUMPRODUCT((실물목록!$P$2:$P$1001&lt;&gt;"")*ISNUMBER(SEARCH(실물목록!$P$2:$P$1001,I2837))*(실물목록!$Q$2:$Q$1001&lt;&gt;"")*ISNUMBER(SEARCH(실물목록!$Q$2:$Q$1001,I2837))*(실물목록!$R$2:$R$1001="")*(실물목록!$O$2:$O$1001&lt;&gt;""))&gt;0,"확인필요(연도다름)","실물 없음")))))</f>
      </c>
      <c r="G2837" t="n" s="16">
        <f aca="0">IF(B2837="","",SUMPRODUCT((실물목록!$P$2:$P$1001&lt;&gt;"")*ISNUMBER(SEARCH(실물목록!$P$2:$P$1001,I2837))*(실물목록!$Q$2:$Q$1001&lt;&gt;"")*ISNUMBER(SEARCH(실물목록!$Q$2:$Q$1001,I2837))*(실물목록!$R$2:$R$1001="")*(실물목록!$O$2:$O$1001&lt;&gt;"")*(실물목록!$O$2:$O$1001=H2837)))</f>
      </c>
      <c r="H2837" t="str">
        <f>IFERROR(IF(AND(LEN(SUBSTITUTE(SUBSTITUTE(SUBSTITUTE(TRIM(A2837&amp;""),CHAR(160),"")," ",""),"년",""))=4,VALUE(SUBSTITUTE(SUBSTITUTE(SUBSTITUTE(TRIM(A2837&amp;""),CHAR(160),"")," ",""),"년",""))&gt;=1900,VALUE(SUBSTITUTE(SUBSTITUTE(SUBSTITUTE(TRIM(A2837&amp;""),CHAR(160),"")," ",""),"년",""))&lt;=2099,TEXT(VALUE(SUBSTITUTE(SUBSTITUTE(SUBSTITUTE(TRIM(A2837&amp;""),CHAR(160),"")," ",""),"년","")),"0000")=SUBSTITUTE(SUBSTITUTE(SUBSTITUTE(TRIM(A2837&amp;""),CHAR(160),"")," ",""),"년","")),SUBSTITUTE(SUBSTITUTE(SUBSTITUTE(TRIM(A2837&amp;""),CHAR(160),"")," ",""),"년",""),""),"")</f>
      </c>
      <c r="I2837" t="str">
        <f>SUBSTITUTE(SUBSTITUTE(SUBSTITUTE(SUBSTITUTE(SUBSTITUTE(TRIM(B2837&amp;""),CHAR(160),"")," ",""),"초등학교","초"),"중학교","중"),"고등학교","고")</f>
      </c>
    </row>
    <row r="2838" customFormat="false" ht="15" hidden="false" customHeight="false" outlineLevel="0" collapsed="false">
      <c r="A2838" s="8"/>
      <c r="B2838" s="8"/>
      <c r="C2838" s="8"/>
      <c r="D2838" s="8"/>
      <c r="E2838" s="8"/>
      <c r="F2838" t="str" s="15">
        <f aca="0">IF(B2838="","",IF(H2838="","확인필요(입력누락)",IF(SUMPRODUCT((실물목록!$P$2:$P$1001&lt;&gt;"")*ISNUMBER(SEARCH(실물목록!$P$2:$P$1001,I2838))*(실물목록!$Q$2:$Q$1001&lt;&gt;"")*ISNUMBER(SEARCH(실물목록!$Q$2:$Q$1001,I2838))*(실물목록!$R$2:$R$1001="")*(실물목록!$O$2:$O$1001&lt;&gt;"")*(실물목록!$O$2:$O$1001=H2838))&gt;0,"실물 있음",IF(SUMPRODUCT((실물목록!$P$2:$P$1001&lt;&gt;"")*ISNUMBER(SEARCH(실물목록!$P$2:$P$1001,I2838))*(실물목록!$R$2:$R$1001&lt;&gt;""))&gt;0,"확인필요(입력누락)",IF(SUMPRODUCT((실물목록!$P$2:$P$1001&lt;&gt;"")*ISNUMBER(SEARCH(실물목록!$P$2:$P$1001,I2838))*(실물목록!$Q$2:$Q$1001&lt;&gt;"")*ISNUMBER(SEARCH(실물목록!$Q$2:$Q$1001,I2838))*(실물목록!$R$2:$R$1001="")*(실물목록!$O$2:$O$1001&lt;&gt;""))&gt;0,"확인필요(연도다름)","실물 없음")))))</f>
      </c>
      <c r="G2838" t="n" s="16">
        <f aca="0">IF(B2838="","",SUMPRODUCT((실물목록!$P$2:$P$1001&lt;&gt;"")*ISNUMBER(SEARCH(실물목록!$P$2:$P$1001,I2838))*(실물목록!$Q$2:$Q$1001&lt;&gt;"")*ISNUMBER(SEARCH(실물목록!$Q$2:$Q$1001,I2838))*(실물목록!$R$2:$R$1001="")*(실물목록!$O$2:$O$1001&lt;&gt;"")*(실물목록!$O$2:$O$1001=H2838)))</f>
      </c>
      <c r="H2838" t="str">
        <f>IFERROR(IF(AND(LEN(SUBSTITUTE(SUBSTITUTE(SUBSTITUTE(TRIM(A2838&amp;""),CHAR(160),"")," ",""),"년",""))=4,VALUE(SUBSTITUTE(SUBSTITUTE(SUBSTITUTE(TRIM(A2838&amp;""),CHAR(160),"")," ",""),"년",""))&gt;=1900,VALUE(SUBSTITUTE(SUBSTITUTE(SUBSTITUTE(TRIM(A2838&amp;""),CHAR(160),"")," ",""),"년",""))&lt;=2099,TEXT(VALUE(SUBSTITUTE(SUBSTITUTE(SUBSTITUTE(TRIM(A2838&amp;""),CHAR(160),"")," ",""),"년","")),"0000")=SUBSTITUTE(SUBSTITUTE(SUBSTITUTE(TRIM(A2838&amp;""),CHAR(160),"")," ",""),"년","")),SUBSTITUTE(SUBSTITUTE(SUBSTITUTE(TRIM(A2838&amp;""),CHAR(160),"")," ",""),"년",""),""),"")</f>
      </c>
      <c r="I2838" t="str">
        <f>SUBSTITUTE(SUBSTITUTE(SUBSTITUTE(SUBSTITUTE(SUBSTITUTE(TRIM(B2838&amp;""),CHAR(160),"")," ",""),"초등학교","초"),"중학교","중"),"고등학교","고")</f>
      </c>
    </row>
    <row r="2839" customFormat="false" ht="15" hidden="false" customHeight="false" outlineLevel="0" collapsed="false">
      <c r="A2839" s="8"/>
      <c r="B2839" s="8"/>
      <c r="C2839" s="8"/>
      <c r="D2839" s="8"/>
      <c r="E2839" s="8"/>
      <c r="F2839" t="str" s="15">
        <f aca="0">IF(B2839="","",IF(H2839="","확인필요(입력누락)",IF(SUMPRODUCT((실물목록!$P$2:$P$1001&lt;&gt;"")*ISNUMBER(SEARCH(실물목록!$P$2:$P$1001,I2839))*(실물목록!$Q$2:$Q$1001&lt;&gt;"")*ISNUMBER(SEARCH(실물목록!$Q$2:$Q$1001,I2839))*(실물목록!$R$2:$R$1001="")*(실물목록!$O$2:$O$1001&lt;&gt;"")*(실물목록!$O$2:$O$1001=H2839))&gt;0,"실물 있음",IF(SUMPRODUCT((실물목록!$P$2:$P$1001&lt;&gt;"")*ISNUMBER(SEARCH(실물목록!$P$2:$P$1001,I2839))*(실물목록!$R$2:$R$1001&lt;&gt;""))&gt;0,"확인필요(입력누락)",IF(SUMPRODUCT((실물목록!$P$2:$P$1001&lt;&gt;"")*ISNUMBER(SEARCH(실물목록!$P$2:$P$1001,I2839))*(실물목록!$Q$2:$Q$1001&lt;&gt;"")*ISNUMBER(SEARCH(실물목록!$Q$2:$Q$1001,I2839))*(실물목록!$R$2:$R$1001="")*(실물목록!$O$2:$O$1001&lt;&gt;""))&gt;0,"확인필요(연도다름)","실물 없음")))))</f>
      </c>
      <c r="G2839" t="n" s="16">
        <f aca="0">IF(B2839="","",SUMPRODUCT((실물목록!$P$2:$P$1001&lt;&gt;"")*ISNUMBER(SEARCH(실물목록!$P$2:$P$1001,I2839))*(실물목록!$Q$2:$Q$1001&lt;&gt;"")*ISNUMBER(SEARCH(실물목록!$Q$2:$Q$1001,I2839))*(실물목록!$R$2:$R$1001="")*(실물목록!$O$2:$O$1001&lt;&gt;"")*(실물목록!$O$2:$O$1001=H2839)))</f>
      </c>
      <c r="H2839" t="str">
        <f>IFERROR(IF(AND(LEN(SUBSTITUTE(SUBSTITUTE(SUBSTITUTE(TRIM(A2839&amp;""),CHAR(160),"")," ",""),"년",""))=4,VALUE(SUBSTITUTE(SUBSTITUTE(SUBSTITUTE(TRIM(A2839&amp;""),CHAR(160),"")," ",""),"년",""))&gt;=1900,VALUE(SUBSTITUTE(SUBSTITUTE(SUBSTITUTE(TRIM(A2839&amp;""),CHAR(160),"")," ",""),"년",""))&lt;=2099,TEXT(VALUE(SUBSTITUTE(SUBSTITUTE(SUBSTITUTE(TRIM(A2839&amp;""),CHAR(160),"")," ",""),"년","")),"0000")=SUBSTITUTE(SUBSTITUTE(SUBSTITUTE(TRIM(A2839&amp;""),CHAR(160),"")," ",""),"년","")),SUBSTITUTE(SUBSTITUTE(SUBSTITUTE(TRIM(A2839&amp;""),CHAR(160),"")," ",""),"년",""),""),"")</f>
      </c>
      <c r="I2839" t="str">
        <f>SUBSTITUTE(SUBSTITUTE(SUBSTITUTE(SUBSTITUTE(SUBSTITUTE(TRIM(B2839&amp;""),CHAR(160),"")," ",""),"초등학교","초"),"중학교","중"),"고등학교","고")</f>
      </c>
    </row>
    <row r="2840" customFormat="false" ht="15" hidden="false" customHeight="false" outlineLevel="0" collapsed="false">
      <c r="A2840" s="8"/>
      <c r="B2840" s="8"/>
      <c r="C2840" s="8"/>
      <c r="D2840" s="8"/>
      <c r="E2840" s="8"/>
      <c r="F2840" t="str" s="15">
        <f aca="0">IF(B2840="","",IF(H2840="","확인필요(입력누락)",IF(SUMPRODUCT((실물목록!$P$2:$P$1001&lt;&gt;"")*ISNUMBER(SEARCH(실물목록!$P$2:$P$1001,I2840))*(실물목록!$Q$2:$Q$1001&lt;&gt;"")*ISNUMBER(SEARCH(실물목록!$Q$2:$Q$1001,I2840))*(실물목록!$R$2:$R$1001="")*(실물목록!$O$2:$O$1001&lt;&gt;"")*(실물목록!$O$2:$O$1001=H2840))&gt;0,"실물 있음",IF(SUMPRODUCT((실물목록!$P$2:$P$1001&lt;&gt;"")*ISNUMBER(SEARCH(실물목록!$P$2:$P$1001,I2840))*(실물목록!$R$2:$R$1001&lt;&gt;""))&gt;0,"확인필요(입력누락)",IF(SUMPRODUCT((실물목록!$P$2:$P$1001&lt;&gt;"")*ISNUMBER(SEARCH(실물목록!$P$2:$P$1001,I2840))*(실물목록!$Q$2:$Q$1001&lt;&gt;"")*ISNUMBER(SEARCH(실물목록!$Q$2:$Q$1001,I2840))*(실물목록!$R$2:$R$1001="")*(실물목록!$O$2:$O$1001&lt;&gt;""))&gt;0,"확인필요(연도다름)","실물 없음")))))</f>
      </c>
      <c r="G2840" t="n" s="16">
        <f aca="0">IF(B2840="","",SUMPRODUCT((실물목록!$P$2:$P$1001&lt;&gt;"")*ISNUMBER(SEARCH(실물목록!$P$2:$P$1001,I2840))*(실물목록!$Q$2:$Q$1001&lt;&gt;"")*ISNUMBER(SEARCH(실물목록!$Q$2:$Q$1001,I2840))*(실물목록!$R$2:$R$1001="")*(실물목록!$O$2:$O$1001&lt;&gt;"")*(실물목록!$O$2:$O$1001=H2840)))</f>
      </c>
      <c r="H2840" t="str">
        <f>IFERROR(IF(AND(LEN(SUBSTITUTE(SUBSTITUTE(SUBSTITUTE(TRIM(A2840&amp;""),CHAR(160),"")," ",""),"년",""))=4,VALUE(SUBSTITUTE(SUBSTITUTE(SUBSTITUTE(TRIM(A2840&amp;""),CHAR(160),"")," ",""),"년",""))&gt;=1900,VALUE(SUBSTITUTE(SUBSTITUTE(SUBSTITUTE(TRIM(A2840&amp;""),CHAR(160),"")," ",""),"년",""))&lt;=2099,TEXT(VALUE(SUBSTITUTE(SUBSTITUTE(SUBSTITUTE(TRIM(A2840&amp;""),CHAR(160),"")," ",""),"년","")),"0000")=SUBSTITUTE(SUBSTITUTE(SUBSTITUTE(TRIM(A2840&amp;""),CHAR(160),"")," ",""),"년","")),SUBSTITUTE(SUBSTITUTE(SUBSTITUTE(TRIM(A2840&amp;""),CHAR(160),"")," ",""),"년",""),""),"")</f>
      </c>
      <c r="I2840" t="str">
        <f>SUBSTITUTE(SUBSTITUTE(SUBSTITUTE(SUBSTITUTE(SUBSTITUTE(TRIM(B2840&amp;""),CHAR(160),"")," ",""),"초등학교","초"),"중학교","중"),"고등학교","고")</f>
      </c>
    </row>
    <row r="2841" customFormat="false" ht="15" hidden="false" customHeight="false" outlineLevel="0" collapsed="false">
      <c r="A2841" s="8"/>
      <c r="B2841" s="8"/>
      <c r="C2841" s="8"/>
      <c r="D2841" s="8"/>
      <c r="E2841" s="8"/>
      <c r="F2841" t="str" s="15">
        <f aca="0">IF(B2841="","",IF(H2841="","확인필요(입력누락)",IF(SUMPRODUCT((실물목록!$P$2:$P$1001&lt;&gt;"")*ISNUMBER(SEARCH(실물목록!$P$2:$P$1001,I2841))*(실물목록!$Q$2:$Q$1001&lt;&gt;"")*ISNUMBER(SEARCH(실물목록!$Q$2:$Q$1001,I2841))*(실물목록!$R$2:$R$1001="")*(실물목록!$O$2:$O$1001&lt;&gt;"")*(실물목록!$O$2:$O$1001=H2841))&gt;0,"실물 있음",IF(SUMPRODUCT((실물목록!$P$2:$P$1001&lt;&gt;"")*ISNUMBER(SEARCH(실물목록!$P$2:$P$1001,I2841))*(실물목록!$R$2:$R$1001&lt;&gt;""))&gt;0,"확인필요(입력누락)",IF(SUMPRODUCT((실물목록!$P$2:$P$1001&lt;&gt;"")*ISNUMBER(SEARCH(실물목록!$P$2:$P$1001,I2841))*(실물목록!$Q$2:$Q$1001&lt;&gt;"")*ISNUMBER(SEARCH(실물목록!$Q$2:$Q$1001,I2841))*(실물목록!$R$2:$R$1001="")*(실물목록!$O$2:$O$1001&lt;&gt;""))&gt;0,"확인필요(연도다름)","실물 없음")))))</f>
      </c>
      <c r="G2841" t="n" s="16">
        <f aca="0">IF(B2841="","",SUMPRODUCT((실물목록!$P$2:$P$1001&lt;&gt;"")*ISNUMBER(SEARCH(실물목록!$P$2:$P$1001,I2841))*(실물목록!$Q$2:$Q$1001&lt;&gt;"")*ISNUMBER(SEARCH(실물목록!$Q$2:$Q$1001,I2841))*(실물목록!$R$2:$R$1001="")*(실물목록!$O$2:$O$1001&lt;&gt;"")*(실물목록!$O$2:$O$1001=H2841)))</f>
      </c>
      <c r="H2841" t="str">
        <f>IFERROR(IF(AND(LEN(SUBSTITUTE(SUBSTITUTE(SUBSTITUTE(TRIM(A2841&amp;""),CHAR(160),"")," ",""),"년",""))=4,VALUE(SUBSTITUTE(SUBSTITUTE(SUBSTITUTE(TRIM(A2841&amp;""),CHAR(160),"")," ",""),"년",""))&gt;=1900,VALUE(SUBSTITUTE(SUBSTITUTE(SUBSTITUTE(TRIM(A2841&amp;""),CHAR(160),"")," ",""),"년",""))&lt;=2099,TEXT(VALUE(SUBSTITUTE(SUBSTITUTE(SUBSTITUTE(TRIM(A2841&amp;""),CHAR(160),"")," ",""),"년","")),"0000")=SUBSTITUTE(SUBSTITUTE(SUBSTITUTE(TRIM(A2841&amp;""),CHAR(160),"")," ",""),"년","")),SUBSTITUTE(SUBSTITUTE(SUBSTITUTE(TRIM(A2841&amp;""),CHAR(160),"")," ",""),"년",""),""),"")</f>
      </c>
      <c r="I2841" t="str">
        <f>SUBSTITUTE(SUBSTITUTE(SUBSTITUTE(SUBSTITUTE(SUBSTITUTE(TRIM(B2841&amp;""),CHAR(160),"")," ",""),"초등학교","초"),"중학교","중"),"고등학교","고")</f>
      </c>
    </row>
    <row r="2842" customFormat="false" ht="15" hidden="false" customHeight="false" outlineLevel="0" collapsed="false">
      <c r="A2842" s="8"/>
      <c r="B2842" s="8"/>
      <c r="C2842" s="8"/>
      <c r="D2842" s="8"/>
      <c r="E2842" s="8"/>
      <c r="F2842" t="str" s="15">
        <f aca="0">IF(B2842="","",IF(H2842="","확인필요(입력누락)",IF(SUMPRODUCT((실물목록!$P$2:$P$1001&lt;&gt;"")*ISNUMBER(SEARCH(실물목록!$P$2:$P$1001,I2842))*(실물목록!$Q$2:$Q$1001&lt;&gt;"")*ISNUMBER(SEARCH(실물목록!$Q$2:$Q$1001,I2842))*(실물목록!$R$2:$R$1001="")*(실물목록!$O$2:$O$1001&lt;&gt;"")*(실물목록!$O$2:$O$1001=H2842))&gt;0,"실물 있음",IF(SUMPRODUCT((실물목록!$P$2:$P$1001&lt;&gt;"")*ISNUMBER(SEARCH(실물목록!$P$2:$P$1001,I2842))*(실물목록!$R$2:$R$1001&lt;&gt;""))&gt;0,"확인필요(입력누락)",IF(SUMPRODUCT((실물목록!$P$2:$P$1001&lt;&gt;"")*ISNUMBER(SEARCH(실물목록!$P$2:$P$1001,I2842))*(실물목록!$Q$2:$Q$1001&lt;&gt;"")*ISNUMBER(SEARCH(실물목록!$Q$2:$Q$1001,I2842))*(실물목록!$R$2:$R$1001="")*(실물목록!$O$2:$O$1001&lt;&gt;""))&gt;0,"확인필요(연도다름)","실물 없음")))))</f>
      </c>
      <c r="G2842" t="n" s="16">
        <f aca="0">IF(B2842="","",SUMPRODUCT((실물목록!$P$2:$P$1001&lt;&gt;"")*ISNUMBER(SEARCH(실물목록!$P$2:$P$1001,I2842))*(실물목록!$Q$2:$Q$1001&lt;&gt;"")*ISNUMBER(SEARCH(실물목록!$Q$2:$Q$1001,I2842))*(실물목록!$R$2:$R$1001="")*(실물목록!$O$2:$O$1001&lt;&gt;"")*(실물목록!$O$2:$O$1001=H2842)))</f>
      </c>
      <c r="H2842" t="str">
        <f>IFERROR(IF(AND(LEN(SUBSTITUTE(SUBSTITUTE(SUBSTITUTE(TRIM(A2842&amp;""),CHAR(160),"")," ",""),"년",""))=4,VALUE(SUBSTITUTE(SUBSTITUTE(SUBSTITUTE(TRIM(A2842&amp;""),CHAR(160),"")," ",""),"년",""))&gt;=1900,VALUE(SUBSTITUTE(SUBSTITUTE(SUBSTITUTE(TRIM(A2842&amp;""),CHAR(160),"")," ",""),"년",""))&lt;=2099,TEXT(VALUE(SUBSTITUTE(SUBSTITUTE(SUBSTITUTE(TRIM(A2842&amp;""),CHAR(160),"")," ",""),"년","")),"0000")=SUBSTITUTE(SUBSTITUTE(SUBSTITUTE(TRIM(A2842&amp;""),CHAR(160),"")," ",""),"년","")),SUBSTITUTE(SUBSTITUTE(SUBSTITUTE(TRIM(A2842&amp;""),CHAR(160),"")," ",""),"년",""),""),"")</f>
      </c>
      <c r="I2842" t="str">
        <f>SUBSTITUTE(SUBSTITUTE(SUBSTITUTE(SUBSTITUTE(SUBSTITUTE(TRIM(B2842&amp;""),CHAR(160),"")," ",""),"초등학교","초"),"중학교","중"),"고등학교","고")</f>
      </c>
    </row>
    <row r="2843" customFormat="false" ht="15" hidden="false" customHeight="false" outlineLevel="0" collapsed="false">
      <c r="A2843" s="8"/>
      <c r="B2843" s="8"/>
      <c r="C2843" s="8"/>
      <c r="D2843" s="8"/>
      <c r="E2843" s="8"/>
      <c r="F2843" t="str" s="15">
        <f aca="0">IF(B2843="","",IF(H2843="","확인필요(입력누락)",IF(SUMPRODUCT((실물목록!$P$2:$P$1001&lt;&gt;"")*ISNUMBER(SEARCH(실물목록!$P$2:$P$1001,I2843))*(실물목록!$Q$2:$Q$1001&lt;&gt;"")*ISNUMBER(SEARCH(실물목록!$Q$2:$Q$1001,I2843))*(실물목록!$R$2:$R$1001="")*(실물목록!$O$2:$O$1001&lt;&gt;"")*(실물목록!$O$2:$O$1001=H2843))&gt;0,"실물 있음",IF(SUMPRODUCT((실물목록!$P$2:$P$1001&lt;&gt;"")*ISNUMBER(SEARCH(실물목록!$P$2:$P$1001,I2843))*(실물목록!$R$2:$R$1001&lt;&gt;""))&gt;0,"확인필요(입력누락)",IF(SUMPRODUCT((실물목록!$P$2:$P$1001&lt;&gt;"")*ISNUMBER(SEARCH(실물목록!$P$2:$P$1001,I2843))*(실물목록!$Q$2:$Q$1001&lt;&gt;"")*ISNUMBER(SEARCH(실물목록!$Q$2:$Q$1001,I2843))*(실물목록!$R$2:$R$1001="")*(실물목록!$O$2:$O$1001&lt;&gt;""))&gt;0,"확인필요(연도다름)","실물 없음")))))</f>
      </c>
      <c r="G2843" t="n" s="16">
        <f aca="0">IF(B2843="","",SUMPRODUCT((실물목록!$P$2:$P$1001&lt;&gt;"")*ISNUMBER(SEARCH(실물목록!$P$2:$P$1001,I2843))*(실물목록!$Q$2:$Q$1001&lt;&gt;"")*ISNUMBER(SEARCH(실물목록!$Q$2:$Q$1001,I2843))*(실물목록!$R$2:$R$1001="")*(실물목록!$O$2:$O$1001&lt;&gt;"")*(실물목록!$O$2:$O$1001=H2843)))</f>
      </c>
      <c r="H2843" t="str">
        <f>IFERROR(IF(AND(LEN(SUBSTITUTE(SUBSTITUTE(SUBSTITUTE(TRIM(A2843&amp;""),CHAR(160),"")," ",""),"년",""))=4,VALUE(SUBSTITUTE(SUBSTITUTE(SUBSTITUTE(TRIM(A2843&amp;""),CHAR(160),"")," ",""),"년",""))&gt;=1900,VALUE(SUBSTITUTE(SUBSTITUTE(SUBSTITUTE(TRIM(A2843&amp;""),CHAR(160),"")," ",""),"년",""))&lt;=2099,TEXT(VALUE(SUBSTITUTE(SUBSTITUTE(SUBSTITUTE(TRIM(A2843&amp;""),CHAR(160),"")," ",""),"년","")),"0000")=SUBSTITUTE(SUBSTITUTE(SUBSTITUTE(TRIM(A2843&amp;""),CHAR(160),"")," ",""),"년","")),SUBSTITUTE(SUBSTITUTE(SUBSTITUTE(TRIM(A2843&amp;""),CHAR(160),"")," ",""),"년",""),""),"")</f>
      </c>
      <c r="I2843" t="str">
        <f>SUBSTITUTE(SUBSTITUTE(SUBSTITUTE(SUBSTITUTE(SUBSTITUTE(TRIM(B2843&amp;""),CHAR(160),"")," ",""),"초등학교","초"),"중학교","중"),"고등학교","고")</f>
      </c>
    </row>
    <row r="2844" customFormat="false" ht="15" hidden="false" customHeight="false" outlineLevel="0" collapsed="false">
      <c r="A2844" s="8"/>
      <c r="B2844" s="8"/>
      <c r="C2844" s="8"/>
      <c r="D2844" s="8"/>
      <c r="E2844" s="8"/>
      <c r="F2844" t="str" s="15">
        <f aca="0">IF(B2844="","",IF(H2844="","확인필요(입력누락)",IF(SUMPRODUCT((실물목록!$P$2:$P$1001&lt;&gt;"")*ISNUMBER(SEARCH(실물목록!$P$2:$P$1001,I2844))*(실물목록!$Q$2:$Q$1001&lt;&gt;"")*ISNUMBER(SEARCH(실물목록!$Q$2:$Q$1001,I2844))*(실물목록!$R$2:$R$1001="")*(실물목록!$O$2:$O$1001&lt;&gt;"")*(실물목록!$O$2:$O$1001=H2844))&gt;0,"실물 있음",IF(SUMPRODUCT((실물목록!$P$2:$P$1001&lt;&gt;"")*ISNUMBER(SEARCH(실물목록!$P$2:$P$1001,I2844))*(실물목록!$R$2:$R$1001&lt;&gt;""))&gt;0,"확인필요(입력누락)",IF(SUMPRODUCT((실물목록!$P$2:$P$1001&lt;&gt;"")*ISNUMBER(SEARCH(실물목록!$P$2:$P$1001,I2844))*(실물목록!$Q$2:$Q$1001&lt;&gt;"")*ISNUMBER(SEARCH(실물목록!$Q$2:$Q$1001,I2844))*(실물목록!$R$2:$R$1001="")*(실물목록!$O$2:$O$1001&lt;&gt;""))&gt;0,"확인필요(연도다름)","실물 없음")))))</f>
      </c>
      <c r="G2844" t="n" s="16">
        <f aca="0">IF(B2844="","",SUMPRODUCT((실물목록!$P$2:$P$1001&lt;&gt;"")*ISNUMBER(SEARCH(실물목록!$P$2:$P$1001,I2844))*(실물목록!$Q$2:$Q$1001&lt;&gt;"")*ISNUMBER(SEARCH(실물목록!$Q$2:$Q$1001,I2844))*(실물목록!$R$2:$R$1001="")*(실물목록!$O$2:$O$1001&lt;&gt;"")*(실물목록!$O$2:$O$1001=H2844)))</f>
      </c>
      <c r="H2844" t="str">
        <f>IFERROR(IF(AND(LEN(SUBSTITUTE(SUBSTITUTE(SUBSTITUTE(TRIM(A2844&amp;""),CHAR(160),"")," ",""),"년",""))=4,VALUE(SUBSTITUTE(SUBSTITUTE(SUBSTITUTE(TRIM(A2844&amp;""),CHAR(160),"")," ",""),"년",""))&gt;=1900,VALUE(SUBSTITUTE(SUBSTITUTE(SUBSTITUTE(TRIM(A2844&amp;""),CHAR(160),"")," ",""),"년",""))&lt;=2099,TEXT(VALUE(SUBSTITUTE(SUBSTITUTE(SUBSTITUTE(TRIM(A2844&amp;""),CHAR(160),"")," ",""),"년","")),"0000")=SUBSTITUTE(SUBSTITUTE(SUBSTITUTE(TRIM(A2844&amp;""),CHAR(160),"")," ",""),"년","")),SUBSTITUTE(SUBSTITUTE(SUBSTITUTE(TRIM(A2844&amp;""),CHAR(160),"")," ",""),"년",""),""),"")</f>
      </c>
      <c r="I2844" t="str">
        <f>SUBSTITUTE(SUBSTITUTE(SUBSTITUTE(SUBSTITUTE(SUBSTITUTE(TRIM(B2844&amp;""),CHAR(160),"")," ",""),"초등학교","초"),"중학교","중"),"고등학교","고")</f>
      </c>
    </row>
    <row r="2845" customFormat="false" ht="15" hidden="false" customHeight="false" outlineLevel="0" collapsed="false">
      <c r="A2845" s="8"/>
      <c r="B2845" s="8"/>
      <c r="C2845" s="8"/>
      <c r="D2845" s="8"/>
      <c r="E2845" s="8"/>
      <c r="F2845" t="str" s="15">
        <f aca="0">IF(B2845="","",IF(H2845="","확인필요(입력누락)",IF(SUMPRODUCT((실물목록!$P$2:$P$1001&lt;&gt;"")*ISNUMBER(SEARCH(실물목록!$P$2:$P$1001,I2845))*(실물목록!$Q$2:$Q$1001&lt;&gt;"")*ISNUMBER(SEARCH(실물목록!$Q$2:$Q$1001,I2845))*(실물목록!$R$2:$R$1001="")*(실물목록!$O$2:$O$1001&lt;&gt;"")*(실물목록!$O$2:$O$1001=H2845))&gt;0,"실물 있음",IF(SUMPRODUCT((실물목록!$P$2:$P$1001&lt;&gt;"")*ISNUMBER(SEARCH(실물목록!$P$2:$P$1001,I2845))*(실물목록!$R$2:$R$1001&lt;&gt;""))&gt;0,"확인필요(입력누락)",IF(SUMPRODUCT((실물목록!$P$2:$P$1001&lt;&gt;"")*ISNUMBER(SEARCH(실물목록!$P$2:$P$1001,I2845))*(실물목록!$Q$2:$Q$1001&lt;&gt;"")*ISNUMBER(SEARCH(실물목록!$Q$2:$Q$1001,I2845))*(실물목록!$R$2:$R$1001="")*(실물목록!$O$2:$O$1001&lt;&gt;""))&gt;0,"확인필요(연도다름)","실물 없음")))))</f>
      </c>
      <c r="G2845" t="n" s="16">
        <f aca="0">IF(B2845="","",SUMPRODUCT((실물목록!$P$2:$P$1001&lt;&gt;"")*ISNUMBER(SEARCH(실물목록!$P$2:$P$1001,I2845))*(실물목록!$Q$2:$Q$1001&lt;&gt;"")*ISNUMBER(SEARCH(실물목록!$Q$2:$Q$1001,I2845))*(실물목록!$R$2:$R$1001="")*(실물목록!$O$2:$O$1001&lt;&gt;"")*(실물목록!$O$2:$O$1001=H2845)))</f>
      </c>
      <c r="H2845" t="str">
        <f>IFERROR(IF(AND(LEN(SUBSTITUTE(SUBSTITUTE(SUBSTITUTE(TRIM(A2845&amp;""),CHAR(160),"")," ",""),"년",""))=4,VALUE(SUBSTITUTE(SUBSTITUTE(SUBSTITUTE(TRIM(A2845&amp;""),CHAR(160),"")," ",""),"년",""))&gt;=1900,VALUE(SUBSTITUTE(SUBSTITUTE(SUBSTITUTE(TRIM(A2845&amp;""),CHAR(160),"")," ",""),"년",""))&lt;=2099,TEXT(VALUE(SUBSTITUTE(SUBSTITUTE(SUBSTITUTE(TRIM(A2845&amp;""),CHAR(160),"")," ",""),"년","")),"0000")=SUBSTITUTE(SUBSTITUTE(SUBSTITUTE(TRIM(A2845&amp;""),CHAR(160),"")," ",""),"년","")),SUBSTITUTE(SUBSTITUTE(SUBSTITUTE(TRIM(A2845&amp;""),CHAR(160),"")," ",""),"년",""),""),"")</f>
      </c>
      <c r="I2845" t="str">
        <f>SUBSTITUTE(SUBSTITUTE(SUBSTITUTE(SUBSTITUTE(SUBSTITUTE(TRIM(B2845&amp;""),CHAR(160),"")," ",""),"초등학교","초"),"중학교","중"),"고등학교","고")</f>
      </c>
    </row>
    <row r="2846" customFormat="false" ht="15" hidden="false" customHeight="false" outlineLevel="0" collapsed="false">
      <c r="A2846" s="8"/>
      <c r="B2846" s="8"/>
      <c r="C2846" s="8"/>
      <c r="D2846" s="8"/>
      <c r="E2846" s="8"/>
      <c r="F2846" t="str" s="15">
        <f aca="0">IF(B2846="","",IF(H2846="","확인필요(입력누락)",IF(SUMPRODUCT((실물목록!$P$2:$P$1001&lt;&gt;"")*ISNUMBER(SEARCH(실물목록!$P$2:$P$1001,I2846))*(실물목록!$Q$2:$Q$1001&lt;&gt;"")*ISNUMBER(SEARCH(실물목록!$Q$2:$Q$1001,I2846))*(실물목록!$R$2:$R$1001="")*(실물목록!$O$2:$O$1001&lt;&gt;"")*(실물목록!$O$2:$O$1001=H2846))&gt;0,"실물 있음",IF(SUMPRODUCT((실물목록!$P$2:$P$1001&lt;&gt;"")*ISNUMBER(SEARCH(실물목록!$P$2:$P$1001,I2846))*(실물목록!$R$2:$R$1001&lt;&gt;""))&gt;0,"확인필요(입력누락)",IF(SUMPRODUCT((실물목록!$P$2:$P$1001&lt;&gt;"")*ISNUMBER(SEARCH(실물목록!$P$2:$P$1001,I2846))*(실물목록!$Q$2:$Q$1001&lt;&gt;"")*ISNUMBER(SEARCH(실물목록!$Q$2:$Q$1001,I2846))*(실물목록!$R$2:$R$1001="")*(실물목록!$O$2:$O$1001&lt;&gt;""))&gt;0,"확인필요(연도다름)","실물 없음")))))</f>
      </c>
      <c r="G2846" t="n" s="16">
        <f aca="0">IF(B2846="","",SUMPRODUCT((실물목록!$P$2:$P$1001&lt;&gt;"")*ISNUMBER(SEARCH(실물목록!$P$2:$P$1001,I2846))*(실물목록!$Q$2:$Q$1001&lt;&gt;"")*ISNUMBER(SEARCH(실물목록!$Q$2:$Q$1001,I2846))*(실물목록!$R$2:$R$1001="")*(실물목록!$O$2:$O$1001&lt;&gt;"")*(실물목록!$O$2:$O$1001=H2846)))</f>
      </c>
      <c r="H2846" t="str">
        <f>IFERROR(IF(AND(LEN(SUBSTITUTE(SUBSTITUTE(SUBSTITUTE(TRIM(A2846&amp;""),CHAR(160),"")," ",""),"년",""))=4,VALUE(SUBSTITUTE(SUBSTITUTE(SUBSTITUTE(TRIM(A2846&amp;""),CHAR(160),"")," ",""),"년",""))&gt;=1900,VALUE(SUBSTITUTE(SUBSTITUTE(SUBSTITUTE(TRIM(A2846&amp;""),CHAR(160),"")," ",""),"년",""))&lt;=2099,TEXT(VALUE(SUBSTITUTE(SUBSTITUTE(SUBSTITUTE(TRIM(A2846&amp;""),CHAR(160),"")," ",""),"년","")),"0000")=SUBSTITUTE(SUBSTITUTE(SUBSTITUTE(TRIM(A2846&amp;""),CHAR(160),"")," ",""),"년","")),SUBSTITUTE(SUBSTITUTE(SUBSTITUTE(TRIM(A2846&amp;""),CHAR(160),"")," ",""),"년",""),""),"")</f>
      </c>
      <c r="I2846" t="str">
        <f>SUBSTITUTE(SUBSTITUTE(SUBSTITUTE(SUBSTITUTE(SUBSTITUTE(TRIM(B2846&amp;""),CHAR(160),"")," ",""),"초등학교","초"),"중학교","중"),"고등학교","고")</f>
      </c>
    </row>
    <row r="2847" customFormat="false" ht="15" hidden="false" customHeight="false" outlineLevel="0" collapsed="false">
      <c r="A2847" s="8"/>
      <c r="B2847" s="8"/>
      <c r="C2847" s="8"/>
      <c r="D2847" s="8"/>
      <c r="E2847" s="8"/>
      <c r="F2847" t="str" s="15">
        <f aca="0">IF(B2847="","",IF(H2847="","확인필요(입력누락)",IF(SUMPRODUCT((실물목록!$P$2:$P$1001&lt;&gt;"")*ISNUMBER(SEARCH(실물목록!$P$2:$P$1001,I2847))*(실물목록!$Q$2:$Q$1001&lt;&gt;"")*ISNUMBER(SEARCH(실물목록!$Q$2:$Q$1001,I2847))*(실물목록!$R$2:$R$1001="")*(실물목록!$O$2:$O$1001&lt;&gt;"")*(실물목록!$O$2:$O$1001=H2847))&gt;0,"실물 있음",IF(SUMPRODUCT((실물목록!$P$2:$P$1001&lt;&gt;"")*ISNUMBER(SEARCH(실물목록!$P$2:$P$1001,I2847))*(실물목록!$R$2:$R$1001&lt;&gt;""))&gt;0,"확인필요(입력누락)",IF(SUMPRODUCT((실물목록!$P$2:$P$1001&lt;&gt;"")*ISNUMBER(SEARCH(실물목록!$P$2:$P$1001,I2847))*(실물목록!$Q$2:$Q$1001&lt;&gt;"")*ISNUMBER(SEARCH(실물목록!$Q$2:$Q$1001,I2847))*(실물목록!$R$2:$R$1001="")*(실물목록!$O$2:$O$1001&lt;&gt;""))&gt;0,"확인필요(연도다름)","실물 없음")))))</f>
      </c>
      <c r="G2847" t="n" s="16">
        <f aca="0">IF(B2847="","",SUMPRODUCT((실물목록!$P$2:$P$1001&lt;&gt;"")*ISNUMBER(SEARCH(실물목록!$P$2:$P$1001,I2847))*(실물목록!$Q$2:$Q$1001&lt;&gt;"")*ISNUMBER(SEARCH(실물목록!$Q$2:$Q$1001,I2847))*(실물목록!$R$2:$R$1001="")*(실물목록!$O$2:$O$1001&lt;&gt;"")*(실물목록!$O$2:$O$1001=H2847)))</f>
      </c>
      <c r="H2847" t="str">
        <f>IFERROR(IF(AND(LEN(SUBSTITUTE(SUBSTITUTE(SUBSTITUTE(TRIM(A2847&amp;""),CHAR(160),"")," ",""),"년",""))=4,VALUE(SUBSTITUTE(SUBSTITUTE(SUBSTITUTE(TRIM(A2847&amp;""),CHAR(160),"")," ",""),"년",""))&gt;=1900,VALUE(SUBSTITUTE(SUBSTITUTE(SUBSTITUTE(TRIM(A2847&amp;""),CHAR(160),"")," ",""),"년",""))&lt;=2099,TEXT(VALUE(SUBSTITUTE(SUBSTITUTE(SUBSTITUTE(TRIM(A2847&amp;""),CHAR(160),"")," ",""),"년","")),"0000")=SUBSTITUTE(SUBSTITUTE(SUBSTITUTE(TRIM(A2847&amp;""),CHAR(160),"")," ",""),"년","")),SUBSTITUTE(SUBSTITUTE(SUBSTITUTE(TRIM(A2847&amp;""),CHAR(160),"")," ",""),"년",""),""),"")</f>
      </c>
      <c r="I2847" t="str">
        <f>SUBSTITUTE(SUBSTITUTE(SUBSTITUTE(SUBSTITUTE(SUBSTITUTE(TRIM(B2847&amp;""),CHAR(160),"")," ",""),"초등학교","초"),"중학교","중"),"고등학교","고")</f>
      </c>
    </row>
    <row r="2848" customFormat="false" ht="15" hidden="false" customHeight="false" outlineLevel="0" collapsed="false">
      <c r="A2848" s="8"/>
      <c r="B2848" s="8"/>
      <c r="C2848" s="8"/>
      <c r="D2848" s="8"/>
      <c r="E2848" s="8"/>
      <c r="F2848" t="str" s="15">
        <f aca="0">IF(B2848="","",IF(H2848="","확인필요(입력누락)",IF(SUMPRODUCT((실물목록!$P$2:$P$1001&lt;&gt;"")*ISNUMBER(SEARCH(실물목록!$P$2:$P$1001,I2848))*(실물목록!$Q$2:$Q$1001&lt;&gt;"")*ISNUMBER(SEARCH(실물목록!$Q$2:$Q$1001,I2848))*(실물목록!$R$2:$R$1001="")*(실물목록!$O$2:$O$1001&lt;&gt;"")*(실물목록!$O$2:$O$1001=H2848))&gt;0,"실물 있음",IF(SUMPRODUCT((실물목록!$P$2:$P$1001&lt;&gt;"")*ISNUMBER(SEARCH(실물목록!$P$2:$P$1001,I2848))*(실물목록!$R$2:$R$1001&lt;&gt;""))&gt;0,"확인필요(입력누락)",IF(SUMPRODUCT((실물목록!$P$2:$P$1001&lt;&gt;"")*ISNUMBER(SEARCH(실물목록!$P$2:$P$1001,I2848))*(실물목록!$Q$2:$Q$1001&lt;&gt;"")*ISNUMBER(SEARCH(실물목록!$Q$2:$Q$1001,I2848))*(실물목록!$R$2:$R$1001="")*(실물목록!$O$2:$O$1001&lt;&gt;""))&gt;0,"확인필요(연도다름)","실물 없음")))))</f>
      </c>
      <c r="G2848" t="n" s="16">
        <f aca="0">IF(B2848="","",SUMPRODUCT((실물목록!$P$2:$P$1001&lt;&gt;"")*ISNUMBER(SEARCH(실물목록!$P$2:$P$1001,I2848))*(실물목록!$Q$2:$Q$1001&lt;&gt;"")*ISNUMBER(SEARCH(실물목록!$Q$2:$Q$1001,I2848))*(실물목록!$R$2:$R$1001="")*(실물목록!$O$2:$O$1001&lt;&gt;"")*(실물목록!$O$2:$O$1001=H2848)))</f>
      </c>
      <c r="H2848" t="str">
        <f>IFERROR(IF(AND(LEN(SUBSTITUTE(SUBSTITUTE(SUBSTITUTE(TRIM(A2848&amp;""),CHAR(160),"")," ",""),"년",""))=4,VALUE(SUBSTITUTE(SUBSTITUTE(SUBSTITUTE(TRIM(A2848&amp;""),CHAR(160),"")," ",""),"년",""))&gt;=1900,VALUE(SUBSTITUTE(SUBSTITUTE(SUBSTITUTE(TRIM(A2848&amp;""),CHAR(160),"")," ",""),"년",""))&lt;=2099,TEXT(VALUE(SUBSTITUTE(SUBSTITUTE(SUBSTITUTE(TRIM(A2848&amp;""),CHAR(160),"")," ",""),"년","")),"0000")=SUBSTITUTE(SUBSTITUTE(SUBSTITUTE(TRIM(A2848&amp;""),CHAR(160),"")," ",""),"년","")),SUBSTITUTE(SUBSTITUTE(SUBSTITUTE(TRIM(A2848&amp;""),CHAR(160),"")," ",""),"년",""),""),"")</f>
      </c>
      <c r="I2848" t="str">
        <f>SUBSTITUTE(SUBSTITUTE(SUBSTITUTE(SUBSTITUTE(SUBSTITUTE(TRIM(B2848&amp;""),CHAR(160),"")," ",""),"초등학교","초"),"중학교","중"),"고등학교","고")</f>
      </c>
    </row>
    <row r="2849" customFormat="false" ht="15" hidden="false" customHeight="false" outlineLevel="0" collapsed="false">
      <c r="A2849" s="8"/>
      <c r="B2849" s="8"/>
      <c r="C2849" s="8"/>
      <c r="D2849" s="8"/>
      <c r="E2849" s="8"/>
      <c r="F2849" t="str" s="15">
        <f aca="0">IF(B2849="","",IF(H2849="","확인필요(입력누락)",IF(SUMPRODUCT((실물목록!$P$2:$P$1001&lt;&gt;"")*ISNUMBER(SEARCH(실물목록!$P$2:$P$1001,I2849))*(실물목록!$Q$2:$Q$1001&lt;&gt;"")*ISNUMBER(SEARCH(실물목록!$Q$2:$Q$1001,I2849))*(실물목록!$R$2:$R$1001="")*(실물목록!$O$2:$O$1001&lt;&gt;"")*(실물목록!$O$2:$O$1001=H2849))&gt;0,"실물 있음",IF(SUMPRODUCT((실물목록!$P$2:$P$1001&lt;&gt;"")*ISNUMBER(SEARCH(실물목록!$P$2:$P$1001,I2849))*(실물목록!$R$2:$R$1001&lt;&gt;""))&gt;0,"확인필요(입력누락)",IF(SUMPRODUCT((실물목록!$P$2:$P$1001&lt;&gt;"")*ISNUMBER(SEARCH(실물목록!$P$2:$P$1001,I2849))*(실물목록!$Q$2:$Q$1001&lt;&gt;"")*ISNUMBER(SEARCH(실물목록!$Q$2:$Q$1001,I2849))*(실물목록!$R$2:$R$1001="")*(실물목록!$O$2:$O$1001&lt;&gt;""))&gt;0,"확인필요(연도다름)","실물 없음")))))</f>
      </c>
      <c r="G2849" t="n" s="16">
        <f aca="0">IF(B2849="","",SUMPRODUCT((실물목록!$P$2:$P$1001&lt;&gt;"")*ISNUMBER(SEARCH(실물목록!$P$2:$P$1001,I2849))*(실물목록!$Q$2:$Q$1001&lt;&gt;"")*ISNUMBER(SEARCH(실물목록!$Q$2:$Q$1001,I2849))*(실물목록!$R$2:$R$1001="")*(실물목록!$O$2:$O$1001&lt;&gt;"")*(실물목록!$O$2:$O$1001=H2849)))</f>
      </c>
      <c r="H2849" t="str">
        <f>IFERROR(IF(AND(LEN(SUBSTITUTE(SUBSTITUTE(SUBSTITUTE(TRIM(A2849&amp;""),CHAR(160),"")," ",""),"년",""))=4,VALUE(SUBSTITUTE(SUBSTITUTE(SUBSTITUTE(TRIM(A2849&amp;""),CHAR(160),"")," ",""),"년",""))&gt;=1900,VALUE(SUBSTITUTE(SUBSTITUTE(SUBSTITUTE(TRIM(A2849&amp;""),CHAR(160),"")," ",""),"년",""))&lt;=2099,TEXT(VALUE(SUBSTITUTE(SUBSTITUTE(SUBSTITUTE(TRIM(A2849&amp;""),CHAR(160),"")," ",""),"년","")),"0000")=SUBSTITUTE(SUBSTITUTE(SUBSTITUTE(TRIM(A2849&amp;""),CHAR(160),"")," ",""),"년","")),SUBSTITUTE(SUBSTITUTE(SUBSTITUTE(TRIM(A2849&amp;""),CHAR(160),"")," ",""),"년",""),""),"")</f>
      </c>
      <c r="I2849" t="str">
        <f>SUBSTITUTE(SUBSTITUTE(SUBSTITUTE(SUBSTITUTE(SUBSTITUTE(TRIM(B2849&amp;""),CHAR(160),"")," ",""),"초등학교","초"),"중학교","중"),"고등학교","고")</f>
      </c>
    </row>
    <row r="2850" customFormat="false" ht="15" hidden="false" customHeight="false" outlineLevel="0" collapsed="false">
      <c r="A2850" s="8"/>
      <c r="B2850" s="8"/>
      <c r="C2850" s="8"/>
      <c r="D2850" s="8"/>
      <c r="E2850" s="8"/>
      <c r="F2850" t="str" s="15">
        <f aca="0">IF(B2850="","",IF(H2850="","확인필요(입력누락)",IF(SUMPRODUCT((실물목록!$P$2:$P$1001&lt;&gt;"")*ISNUMBER(SEARCH(실물목록!$P$2:$P$1001,I2850))*(실물목록!$Q$2:$Q$1001&lt;&gt;"")*ISNUMBER(SEARCH(실물목록!$Q$2:$Q$1001,I2850))*(실물목록!$R$2:$R$1001="")*(실물목록!$O$2:$O$1001&lt;&gt;"")*(실물목록!$O$2:$O$1001=H2850))&gt;0,"실물 있음",IF(SUMPRODUCT((실물목록!$P$2:$P$1001&lt;&gt;"")*ISNUMBER(SEARCH(실물목록!$P$2:$P$1001,I2850))*(실물목록!$R$2:$R$1001&lt;&gt;""))&gt;0,"확인필요(입력누락)",IF(SUMPRODUCT((실물목록!$P$2:$P$1001&lt;&gt;"")*ISNUMBER(SEARCH(실물목록!$P$2:$P$1001,I2850))*(실물목록!$Q$2:$Q$1001&lt;&gt;"")*ISNUMBER(SEARCH(실물목록!$Q$2:$Q$1001,I2850))*(실물목록!$R$2:$R$1001="")*(실물목록!$O$2:$O$1001&lt;&gt;""))&gt;0,"확인필요(연도다름)","실물 없음")))))</f>
      </c>
      <c r="G2850" t="n" s="16">
        <f aca="0">IF(B2850="","",SUMPRODUCT((실물목록!$P$2:$P$1001&lt;&gt;"")*ISNUMBER(SEARCH(실물목록!$P$2:$P$1001,I2850))*(실물목록!$Q$2:$Q$1001&lt;&gt;"")*ISNUMBER(SEARCH(실물목록!$Q$2:$Q$1001,I2850))*(실물목록!$R$2:$R$1001="")*(실물목록!$O$2:$O$1001&lt;&gt;"")*(실물목록!$O$2:$O$1001=H2850)))</f>
      </c>
      <c r="H2850" t="str">
        <f>IFERROR(IF(AND(LEN(SUBSTITUTE(SUBSTITUTE(SUBSTITUTE(TRIM(A2850&amp;""),CHAR(160),"")," ",""),"년",""))=4,VALUE(SUBSTITUTE(SUBSTITUTE(SUBSTITUTE(TRIM(A2850&amp;""),CHAR(160),"")," ",""),"년",""))&gt;=1900,VALUE(SUBSTITUTE(SUBSTITUTE(SUBSTITUTE(TRIM(A2850&amp;""),CHAR(160),"")," ",""),"년",""))&lt;=2099,TEXT(VALUE(SUBSTITUTE(SUBSTITUTE(SUBSTITUTE(TRIM(A2850&amp;""),CHAR(160),"")," ",""),"년","")),"0000")=SUBSTITUTE(SUBSTITUTE(SUBSTITUTE(TRIM(A2850&amp;""),CHAR(160),"")," ",""),"년","")),SUBSTITUTE(SUBSTITUTE(SUBSTITUTE(TRIM(A2850&amp;""),CHAR(160),"")," ",""),"년",""),""),"")</f>
      </c>
      <c r="I2850" t="str">
        <f>SUBSTITUTE(SUBSTITUTE(SUBSTITUTE(SUBSTITUTE(SUBSTITUTE(TRIM(B2850&amp;""),CHAR(160),"")," ",""),"초등학교","초"),"중학교","중"),"고등학교","고")</f>
      </c>
    </row>
    <row r="2851" customFormat="false" ht="15" hidden="false" customHeight="false" outlineLevel="0" collapsed="false">
      <c r="A2851" s="8"/>
      <c r="B2851" s="8"/>
      <c r="C2851" s="8"/>
      <c r="D2851" s="8"/>
      <c r="E2851" s="8"/>
      <c r="F2851" t="str" s="15">
        <f aca="0">IF(B2851="","",IF(H2851="","확인필요(입력누락)",IF(SUMPRODUCT((실물목록!$P$2:$P$1001&lt;&gt;"")*ISNUMBER(SEARCH(실물목록!$P$2:$P$1001,I2851))*(실물목록!$Q$2:$Q$1001&lt;&gt;"")*ISNUMBER(SEARCH(실물목록!$Q$2:$Q$1001,I2851))*(실물목록!$R$2:$R$1001="")*(실물목록!$O$2:$O$1001&lt;&gt;"")*(실물목록!$O$2:$O$1001=H2851))&gt;0,"실물 있음",IF(SUMPRODUCT((실물목록!$P$2:$P$1001&lt;&gt;"")*ISNUMBER(SEARCH(실물목록!$P$2:$P$1001,I2851))*(실물목록!$R$2:$R$1001&lt;&gt;""))&gt;0,"확인필요(입력누락)",IF(SUMPRODUCT((실물목록!$P$2:$P$1001&lt;&gt;"")*ISNUMBER(SEARCH(실물목록!$P$2:$P$1001,I2851))*(실물목록!$Q$2:$Q$1001&lt;&gt;"")*ISNUMBER(SEARCH(실물목록!$Q$2:$Q$1001,I2851))*(실물목록!$R$2:$R$1001="")*(실물목록!$O$2:$O$1001&lt;&gt;""))&gt;0,"확인필요(연도다름)","실물 없음")))))</f>
      </c>
      <c r="G2851" t="n" s="16">
        <f aca="0">IF(B2851="","",SUMPRODUCT((실물목록!$P$2:$P$1001&lt;&gt;"")*ISNUMBER(SEARCH(실물목록!$P$2:$P$1001,I2851))*(실물목록!$Q$2:$Q$1001&lt;&gt;"")*ISNUMBER(SEARCH(실물목록!$Q$2:$Q$1001,I2851))*(실물목록!$R$2:$R$1001="")*(실물목록!$O$2:$O$1001&lt;&gt;"")*(실물목록!$O$2:$O$1001=H2851)))</f>
      </c>
      <c r="H2851" t="str">
        <f>IFERROR(IF(AND(LEN(SUBSTITUTE(SUBSTITUTE(SUBSTITUTE(TRIM(A2851&amp;""),CHAR(160),"")," ",""),"년",""))=4,VALUE(SUBSTITUTE(SUBSTITUTE(SUBSTITUTE(TRIM(A2851&amp;""),CHAR(160),"")," ",""),"년",""))&gt;=1900,VALUE(SUBSTITUTE(SUBSTITUTE(SUBSTITUTE(TRIM(A2851&amp;""),CHAR(160),"")," ",""),"년",""))&lt;=2099,TEXT(VALUE(SUBSTITUTE(SUBSTITUTE(SUBSTITUTE(TRIM(A2851&amp;""),CHAR(160),"")," ",""),"년","")),"0000")=SUBSTITUTE(SUBSTITUTE(SUBSTITUTE(TRIM(A2851&amp;""),CHAR(160),"")," ",""),"년","")),SUBSTITUTE(SUBSTITUTE(SUBSTITUTE(TRIM(A2851&amp;""),CHAR(160),"")," ",""),"년",""),""),"")</f>
      </c>
      <c r="I2851" t="str">
        <f>SUBSTITUTE(SUBSTITUTE(SUBSTITUTE(SUBSTITUTE(SUBSTITUTE(TRIM(B2851&amp;""),CHAR(160),"")," ",""),"초등학교","초"),"중학교","중"),"고등학교","고")</f>
      </c>
    </row>
    <row r="2852" customFormat="false" ht="15" hidden="false" customHeight="false" outlineLevel="0" collapsed="false">
      <c r="A2852" s="8"/>
      <c r="B2852" s="8"/>
      <c r="C2852" s="8"/>
      <c r="D2852" s="8"/>
      <c r="E2852" s="8"/>
      <c r="F2852" t="str" s="15">
        <f aca="0">IF(B2852="","",IF(H2852="","확인필요(입력누락)",IF(SUMPRODUCT((실물목록!$P$2:$P$1001&lt;&gt;"")*ISNUMBER(SEARCH(실물목록!$P$2:$P$1001,I2852))*(실물목록!$Q$2:$Q$1001&lt;&gt;"")*ISNUMBER(SEARCH(실물목록!$Q$2:$Q$1001,I2852))*(실물목록!$R$2:$R$1001="")*(실물목록!$O$2:$O$1001&lt;&gt;"")*(실물목록!$O$2:$O$1001=H2852))&gt;0,"실물 있음",IF(SUMPRODUCT((실물목록!$P$2:$P$1001&lt;&gt;"")*ISNUMBER(SEARCH(실물목록!$P$2:$P$1001,I2852))*(실물목록!$R$2:$R$1001&lt;&gt;""))&gt;0,"확인필요(입력누락)",IF(SUMPRODUCT((실물목록!$P$2:$P$1001&lt;&gt;"")*ISNUMBER(SEARCH(실물목록!$P$2:$P$1001,I2852))*(실물목록!$Q$2:$Q$1001&lt;&gt;"")*ISNUMBER(SEARCH(실물목록!$Q$2:$Q$1001,I2852))*(실물목록!$R$2:$R$1001="")*(실물목록!$O$2:$O$1001&lt;&gt;""))&gt;0,"확인필요(연도다름)","실물 없음")))))</f>
      </c>
      <c r="G2852" t="n" s="16">
        <f aca="0">IF(B2852="","",SUMPRODUCT((실물목록!$P$2:$P$1001&lt;&gt;"")*ISNUMBER(SEARCH(실물목록!$P$2:$P$1001,I2852))*(실물목록!$Q$2:$Q$1001&lt;&gt;"")*ISNUMBER(SEARCH(실물목록!$Q$2:$Q$1001,I2852))*(실물목록!$R$2:$R$1001="")*(실물목록!$O$2:$O$1001&lt;&gt;"")*(실물목록!$O$2:$O$1001=H2852)))</f>
      </c>
      <c r="H2852" t="str">
        <f>IFERROR(IF(AND(LEN(SUBSTITUTE(SUBSTITUTE(SUBSTITUTE(TRIM(A2852&amp;""),CHAR(160),"")," ",""),"년",""))=4,VALUE(SUBSTITUTE(SUBSTITUTE(SUBSTITUTE(TRIM(A2852&amp;""),CHAR(160),"")," ",""),"년",""))&gt;=1900,VALUE(SUBSTITUTE(SUBSTITUTE(SUBSTITUTE(TRIM(A2852&amp;""),CHAR(160),"")," ",""),"년",""))&lt;=2099,TEXT(VALUE(SUBSTITUTE(SUBSTITUTE(SUBSTITUTE(TRIM(A2852&amp;""),CHAR(160),"")," ",""),"년","")),"0000")=SUBSTITUTE(SUBSTITUTE(SUBSTITUTE(TRIM(A2852&amp;""),CHAR(160),"")," ",""),"년","")),SUBSTITUTE(SUBSTITUTE(SUBSTITUTE(TRIM(A2852&amp;""),CHAR(160),"")," ",""),"년",""),""),"")</f>
      </c>
      <c r="I2852" t="str">
        <f>SUBSTITUTE(SUBSTITUTE(SUBSTITUTE(SUBSTITUTE(SUBSTITUTE(TRIM(B2852&amp;""),CHAR(160),"")," ",""),"초등학교","초"),"중학교","중"),"고등학교","고")</f>
      </c>
    </row>
    <row r="2853" customFormat="false" ht="15" hidden="false" customHeight="false" outlineLevel="0" collapsed="false">
      <c r="A2853" s="8"/>
      <c r="B2853" s="8"/>
      <c r="C2853" s="8"/>
      <c r="D2853" s="8"/>
      <c r="E2853" s="8"/>
      <c r="F2853" t="str" s="15">
        <f aca="0">IF(B2853="","",IF(H2853="","확인필요(입력누락)",IF(SUMPRODUCT((실물목록!$P$2:$P$1001&lt;&gt;"")*ISNUMBER(SEARCH(실물목록!$P$2:$P$1001,I2853))*(실물목록!$Q$2:$Q$1001&lt;&gt;"")*ISNUMBER(SEARCH(실물목록!$Q$2:$Q$1001,I2853))*(실물목록!$R$2:$R$1001="")*(실물목록!$O$2:$O$1001&lt;&gt;"")*(실물목록!$O$2:$O$1001=H2853))&gt;0,"실물 있음",IF(SUMPRODUCT((실물목록!$P$2:$P$1001&lt;&gt;"")*ISNUMBER(SEARCH(실물목록!$P$2:$P$1001,I2853))*(실물목록!$R$2:$R$1001&lt;&gt;""))&gt;0,"확인필요(입력누락)",IF(SUMPRODUCT((실물목록!$P$2:$P$1001&lt;&gt;"")*ISNUMBER(SEARCH(실물목록!$P$2:$P$1001,I2853))*(실물목록!$Q$2:$Q$1001&lt;&gt;"")*ISNUMBER(SEARCH(실물목록!$Q$2:$Q$1001,I2853))*(실물목록!$R$2:$R$1001="")*(실물목록!$O$2:$O$1001&lt;&gt;""))&gt;0,"확인필요(연도다름)","실물 없음")))))</f>
      </c>
      <c r="G2853" t="n" s="16">
        <f aca="0">IF(B2853="","",SUMPRODUCT((실물목록!$P$2:$P$1001&lt;&gt;"")*ISNUMBER(SEARCH(실물목록!$P$2:$P$1001,I2853))*(실물목록!$Q$2:$Q$1001&lt;&gt;"")*ISNUMBER(SEARCH(실물목록!$Q$2:$Q$1001,I2853))*(실물목록!$R$2:$R$1001="")*(실물목록!$O$2:$O$1001&lt;&gt;"")*(실물목록!$O$2:$O$1001=H2853)))</f>
      </c>
      <c r="H2853" t="str">
        <f>IFERROR(IF(AND(LEN(SUBSTITUTE(SUBSTITUTE(SUBSTITUTE(TRIM(A2853&amp;""),CHAR(160),"")," ",""),"년",""))=4,VALUE(SUBSTITUTE(SUBSTITUTE(SUBSTITUTE(TRIM(A2853&amp;""),CHAR(160),"")," ",""),"년",""))&gt;=1900,VALUE(SUBSTITUTE(SUBSTITUTE(SUBSTITUTE(TRIM(A2853&amp;""),CHAR(160),"")," ",""),"년",""))&lt;=2099,TEXT(VALUE(SUBSTITUTE(SUBSTITUTE(SUBSTITUTE(TRIM(A2853&amp;""),CHAR(160),"")," ",""),"년","")),"0000")=SUBSTITUTE(SUBSTITUTE(SUBSTITUTE(TRIM(A2853&amp;""),CHAR(160),"")," ",""),"년","")),SUBSTITUTE(SUBSTITUTE(SUBSTITUTE(TRIM(A2853&amp;""),CHAR(160),"")," ",""),"년",""),""),"")</f>
      </c>
      <c r="I2853" t="str">
        <f>SUBSTITUTE(SUBSTITUTE(SUBSTITUTE(SUBSTITUTE(SUBSTITUTE(TRIM(B2853&amp;""),CHAR(160),"")," ",""),"초등학교","초"),"중학교","중"),"고등학교","고")</f>
      </c>
    </row>
    <row r="2854" customFormat="false" ht="15" hidden="false" customHeight="false" outlineLevel="0" collapsed="false">
      <c r="A2854" s="8"/>
      <c r="B2854" s="8"/>
      <c r="C2854" s="8"/>
      <c r="D2854" s="8"/>
      <c r="E2854" s="8"/>
      <c r="F2854" t="str" s="15">
        <f aca="0">IF(B2854="","",IF(H2854="","확인필요(입력누락)",IF(SUMPRODUCT((실물목록!$P$2:$P$1001&lt;&gt;"")*ISNUMBER(SEARCH(실물목록!$P$2:$P$1001,I2854))*(실물목록!$Q$2:$Q$1001&lt;&gt;"")*ISNUMBER(SEARCH(실물목록!$Q$2:$Q$1001,I2854))*(실물목록!$R$2:$R$1001="")*(실물목록!$O$2:$O$1001&lt;&gt;"")*(실물목록!$O$2:$O$1001=H2854))&gt;0,"실물 있음",IF(SUMPRODUCT((실물목록!$P$2:$P$1001&lt;&gt;"")*ISNUMBER(SEARCH(실물목록!$P$2:$P$1001,I2854))*(실물목록!$R$2:$R$1001&lt;&gt;""))&gt;0,"확인필요(입력누락)",IF(SUMPRODUCT((실물목록!$P$2:$P$1001&lt;&gt;"")*ISNUMBER(SEARCH(실물목록!$P$2:$P$1001,I2854))*(실물목록!$Q$2:$Q$1001&lt;&gt;"")*ISNUMBER(SEARCH(실물목록!$Q$2:$Q$1001,I2854))*(실물목록!$R$2:$R$1001="")*(실물목록!$O$2:$O$1001&lt;&gt;""))&gt;0,"확인필요(연도다름)","실물 없음")))))</f>
      </c>
      <c r="G2854" t="n" s="16">
        <f aca="0">IF(B2854="","",SUMPRODUCT((실물목록!$P$2:$P$1001&lt;&gt;"")*ISNUMBER(SEARCH(실물목록!$P$2:$P$1001,I2854))*(실물목록!$Q$2:$Q$1001&lt;&gt;"")*ISNUMBER(SEARCH(실물목록!$Q$2:$Q$1001,I2854))*(실물목록!$R$2:$R$1001="")*(실물목록!$O$2:$O$1001&lt;&gt;"")*(실물목록!$O$2:$O$1001=H2854)))</f>
      </c>
      <c r="H2854" t="str">
        <f>IFERROR(IF(AND(LEN(SUBSTITUTE(SUBSTITUTE(SUBSTITUTE(TRIM(A2854&amp;""),CHAR(160),"")," ",""),"년",""))=4,VALUE(SUBSTITUTE(SUBSTITUTE(SUBSTITUTE(TRIM(A2854&amp;""),CHAR(160),"")," ",""),"년",""))&gt;=1900,VALUE(SUBSTITUTE(SUBSTITUTE(SUBSTITUTE(TRIM(A2854&amp;""),CHAR(160),"")," ",""),"년",""))&lt;=2099,TEXT(VALUE(SUBSTITUTE(SUBSTITUTE(SUBSTITUTE(TRIM(A2854&amp;""),CHAR(160),"")," ",""),"년","")),"0000")=SUBSTITUTE(SUBSTITUTE(SUBSTITUTE(TRIM(A2854&amp;""),CHAR(160),"")," ",""),"년","")),SUBSTITUTE(SUBSTITUTE(SUBSTITUTE(TRIM(A2854&amp;""),CHAR(160),"")," ",""),"년",""),""),"")</f>
      </c>
      <c r="I2854" t="str">
        <f>SUBSTITUTE(SUBSTITUTE(SUBSTITUTE(SUBSTITUTE(SUBSTITUTE(TRIM(B2854&amp;""),CHAR(160),"")," ",""),"초등학교","초"),"중학교","중"),"고등학교","고")</f>
      </c>
    </row>
    <row r="2855" customFormat="false" ht="15" hidden="false" customHeight="false" outlineLevel="0" collapsed="false">
      <c r="A2855" s="8"/>
      <c r="B2855" s="8"/>
      <c r="C2855" s="8"/>
      <c r="D2855" s="8"/>
      <c r="E2855" s="8"/>
      <c r="F2855" t="str" s="15">
        <f aca="0">IF(B2855="","",IF(H2855="","확인필요(입력누락)",IF(SUMPRODUCT((실물목록!$P$2:$P$1001&lt;&gt;"")*ISNUMBER(SEARCH(실물목록!$P$2:$P$1001,I2855))*(실물목록!$Q$2:$Q$1001&lt;&gt;"")*ISNUMBER(SEARCH(실물목록!$Q$2:$Q$1001,I2855))*(실물목록!$R$2:$R$1001="")*(실물목록!$O$2:$O$1001&lt;&gt;"")*(실물목록!$O$2:$O$1001=H2855))&gt;0,"실물 있음",IF(SUMPRODUCT((실물목록!$P$2:$P$1001&lt;&gt;"")*ISNUMBER(SEARCH(실물목록!$P$2:$P$1001,I2855))*(실물목록!$R$2:$R$1001&lt;&gt;""))&gt;0,"확인필요(입력누락)",IF(SUMPRODUCT((실물목록!$P$2:$P$1001&lt;&gt;"")*ISNUMBER(SEARCH(실물목록!$P$2:$P$1001,I2855))*(실물목록!$Q$2:$Q$1001&lt;&gt;"")*ISNUMBER(SEARCH(실물목록!$Q$2:$Q$1001,I2855))*(실물목록!$R$2:$R$1001="")*(실물목록!$O$2:$O$1001&lt;&gt;""))&gt;0,"확인필요(연도다름)","실물 없음")))))</f>
      </c>
      <c r="G2855" t="n" s="16">
        <f aca="0">IF(B2855="","",SUMPRODUCT((실물목록!$P$2:$P$1001&lt;&gt;"")*ISNUMBER(SEARCH(실물목록!$P$2:$P$1001,I2855))*(실물목록!$Q$2:$Q$1001&lt;&gt;"")*ISNUMBER(SEARCH(실물목록!$Q$2:$Q$1001,I2855))*(실물목록!$R$2:$R$1001="")*(실물목록!$O$2:$O$1001&lt;&gt;"")*(실물목록!$O$2:$O$1001=H2855)))</f>
      </c>
      <c r="H2855" t="str">
        <f>IFERROR(IF(AND(LEN(SUBSTITUTE(SUBSTITUTE(SUBSTITUTE(TRIM(A2855&amp;""),CHAR(160),"")," ",""),"년",""))=4,VALUE(SUBSTITUTE(SUBSTITUTE(SUBSTITUTE(TRIM(A2855&amp;""),CHAR(160),"")," ",""),"년",""))&gt;=1900,VALUE(SUBSTITUTE(SUBSTITUTE(SUBSTITUTE(TRIM(A2855&amp;""),CHAR(160),"")," ",""),"년",""))&lt;=2099,TEXT(VALUE(SUBSTITUTE(SUBSTITUTE(SUBSTITUTE(TRIM(A2855&amp;""),CHAR(160),"")," ",""),"년","")),"0000")=SUBSTITUTE(SUBSTITUTE(SUBSTITUTE(TRIM(A2855&amp;""),CHAR(160),"")," ",""),"년","")),SUBSTITUTE(SUBSTITUTE(SUBSTITUTE(TRIM(A2855&amp;""),CHAR(160),"")," ",""),"년",""),""),"")</f>
      </c>
      <c r="I2855" t="str">
        <f>SUBSTITUTE(SUBSTITUTE(SUBSTITUTE(SUBSTITUTE(SUBSTITUTE(TRIM(B2855&amp;""),CHAR(160),"")," ",""),"초등학교","초"),"중학교","중"),"고등학교","고")</f>
      </c>
    </row>
    <row r="2856" customFormat="false" ht="15" hidden="false" customHeight="false" outlineLevel="0" collapsed="false">
      <c r="A2856" s="8"/>
      <c r="B2856" s="8"/>
      <c r="C2856" s="8"/>
      <c r="D2856" s="8"/>
      <c r="E2856" s="8"/>
      <c r="F2856" t="str" s="15">
        <f aca="0">IF(B2856="","",IF(H2856="","확인필요(입력누락)",IF(SUMPRODUCT((실물목록!$P$2:$P$1001&lt;&gt;"")*ISNUMBER(SEARCH(실물목록!$P$2:$P$1001,I2856))*(실물목록!$Q$2:$Q$1001&lt;&gt;"")*ISNUMBER(SEARCH(실물목록!$Q$2:$Q$1001,I2856))*(실물목록!$R$2:$R$1001="")*(실물목록!$O$2:$O$1001&lt;&gt;"")*(실물목록!$O$2:$O$1001=H2856))&gt;0,"실물 있음",IF(SUMPRODUCT((실물목록!$P$2:$P$1001&lt;&gt;"")*ISNUMBER(SEARCH(실물목록!$P$2:$P$1001,I2856))*(실물목록!$R$2:$R$1001&lt;&gt;""))&gt;0,"확인필요(입력누락)",IF(SUMPRODUCT((실물목록!$P$2:$P$1001&lt;&gt;"")*ISNUMBER(SEARCH(실물목록!$P$2:$P$1001,I2856))*(실물목록!$Q$2:$Q$1001&lt;&gt;"")*ISNUMBER(SEARCH(실물목록!$Q$2:$Q$1001,I2856))*(실물목록!$R$2:$R$1001="")*(실물목록!$O$2:$O$1001&lt;&gt;""))&gt;0,"확인필요(연도다름)","실물 없음")))))</f>
      </c>
      <c r="G2856" t="n" s="16">
        <f aca="0">IF(B2856="","",SUMPRODUCT((실물목록!$P$2:$P$1001&lt;&gt;"")*ISNUMBER(SEARCH(실물목록!$P$2:$P$1001,I2856))*(실물목록!$Q$2:$Q$1001&lt;&gt;"")*ISNUMBER(SEARCH(실물목록!$Q$2:$Q$1001,I2856))*(실물목록!$R$2:$R$1001="")*(실물목록!$O$2:$O$1001&lt;&gt;"")*(실물목록!$O$2:$O$1001=H2856)))</f>
      </c>
      <c r="H2856" t="str">
        <f>IFERROR(IF(AND(LEN(SUBSTITUTE(SUBSTITUTE(SUBSTITUTE(TRIM(A2856&amp;""),CHAR(160),"")," ",""),"년",""))=4,VALUE(SUBSTITUTE(SUBSTITUTE(SUBSTITUTE(TRIM(A2856&amp;""),CHAR(160),"")," ",""),"년",""))&gt;=1900,VALUE(SUBSTITUTE(SUBSTITUTE(SUBSTITUTE(TRIM(A2856&amp;""),CHAR(160),"")," ",""),"년",""))&lt;=2099,TEXT(VALUE(SUBSTITUTE(SUBSTITUTE(SUBSTITUTE(TRIM(A2856&amp;""),CHAR(160),"")," ",""),"년","")),"0000")=SUBSTITUTE(SUBSTITUTE(SUBSTITUTE(TRIM(A2856&amp;""),CHAR(160),"")," ",""),"년","")),SUBSTITUTE(SUBSTITUTE(SUBSTITUTE(TRIM(A2856&amp;""),CHAR(160),"")," ",""),"년",""),""),"")</f>
      </c>
      <c r="I2856" t="str">
        <f>SUBSTITUTE(SUBSTITUTE(SUBSTITUTE(SUBSTITUTE(SUBSTITUTE(TRIM(B2856&amp;""),CHAR(160),"")," ",""),"초등학교","초"),"중학교","중"),"고등학교","고")</f>
      </c>
    </row>
    <row r="2857" customFormat="false" ht="15" hidden="false" customHeight="false" outlineLevel="0" collapsed="false">
      <c r="A2857" s="8"/>
      <c r="B2857" s="8"/>
      <c r="C2857" s="8"/>
      <c r="D2857" s="8"/>
      <c r="E2857" s="8"/>
      <c r="F2857" t="str" s="15">
        <f aca="0">IF(B2857="","",IF(H2857="","확인필요(입력누락)",IF(SUMPRODUCT((실물목록!$P$2:$P$1001&lt;&gt;"")*ISNUMBER(SEARCH(실물목록!$P$2:$P$1001,I2857))*(실물목록!$Q$2:$Q$1001&lt;&gt;"")*ISNUMBER(SEARCH(실물목록!$Q$2:$Q$1001,I2857))*(실물목록!$R$2:$R$1001="")*(실물목록!$O$2:$O$1001&lt;&gt;"")*(실물목록!$O$2:$O$1001=H2857))&gt;0,"실물 있음",IF(SUMPRODUCT((실물목록!$P$2:$P$1001&lt;&gt;"")*ISNUMBER(SEARCH(실물목록!$P$2:$P$1001,I2857))*(실물목록!$R$2:$R$1001&lt;&gt;""))&gt;0,"확인필요(입력누락)",IF(SUMPRODUCT((실물목록!$P$2:$P$1001&lt;&gt;"")*ISNUMBER(SEARCH(실물목록!$P$2:$P$1001,I2857))*(실물목록!$Q$2:$Q$1001&lt;&gt;"")*ISNUMBER(SEARCH(실물목록!$Q$2:$Q$1001,I2857))*(실물목록!$R$2:$R$1001="")*(실물목록!$O$2:$O$1001&lt;&gt;""))&gt;0,"확인필요(연도다름)","실물 없음")))))</f>
      </c>
      <c r="G2857" t="n" s="16">
        <f aca="0">IF(B2857="","",SUMPRODUCT((실물목록!$P$2:$P$1001&lt;&gt;"")*ISNUMBER(SEARCH(실물목록!$P$2:$P$1001,I2857))*(실물목록!$Q$2:$Q$1001&lt;&gt;"")*ISNUMBER(SEARCH(실물목록!$Q$2:$Q$1001,I2857))*(실물목록!$R$2:$R$1001="")*(실물목록!$O$2:$O$1001&lt;&gt;"")*(실물목록!$O$2:$O$1001=H2857)))</f>
      </c>
      <c r="H2857" t="str">
        <f>IFERROR(IF(AND(LEN(SUBSTITUTE(SUBSTITUTE(SUBSTITUTE(TRIM(A2857&amp;""),CHAR(160),"")," ",""),"년",""))=4,VALUE(SUBSTITUTE(SUBSTITUTE(SUBSTITUTE(TRIM(A2857&amp;""),CHAR(160),"")," ",""),"년",""))&gt;=1900,VALUE(SUBSTITUTE(SUBSTITUTE(SUBSTITUTE(TRIM(A2857&amp;""),CHAR(160),"")," ",""),"년",""))&lt;=2099,TEXT(VALUE(SUBSTITUTE(SUBSTITUTE(SUBSTITUTE(TRIM(A2857&amp;""),CHAR(160),"")," ",""),"년","")),"0000")=SUBSTITUTE(SUBSTITUTE(SUBSTITUTE(TRIM(A2857&amp;""),CHAR(160),"")," ",""),"년","")),SUBSTITUTE(SUBSTITUTE(SUBSTITUTE(TRIM(A2857&amp;""),CHAR(160),"")," ",""),"년",""),""),"")</f>
      </c>
      <c r="I2857" t="str">
        <f>SUBSTITUTE(SUBSTITUTE(SUBSTITUTE(SUBSTITUTE(SUBSTITUTE(TRIM(B2857&amp;""),CHAR(160),"")," ",""),"초등학교","초"),"중학교","중"),"고등학교","고")</f>
      </c>
    </row>
    <row r="2858" customFormat="false" ht="15" hidden="false" customHeight="false" outlineLevel="0" collapsed="false">
      <c r="A2858" s="8"/>
      <c r="B2858" s="8"/>
      <c r="C2858" s="8"/>
      <c r="D2858" s="8"/>
      <c r="E2858" s="8"/>
      <c r="F2858" t="str" s="15">
        <f aca="0">IF(B2858="","",IF(H2858="","확인필요(입력누락)",IF(SUMPRODUCT((실물목록!$P$2:$P$1001&lt;&gt;"")*ISNUMBER(SEARCH(실물목록!$P$2:$P$1001,I2858))*(실물목록!$Q$2:$Q$1001&lt;&gt;"")*ISNUMBER(SEARCH(실물목록!$Q$2:$Q$1001,I2858))*(실물목록!$R$2:$R$1001="")*(실물목록!$O$2:$O$1001&lt;&gt;"")*(실물목록!$O$2:$O$1001=H2858))&gt;0,"실물 있음",IF(SUMPRODUCT((실물목록!$P$2:$P$1001&lt;&gt;"")*ISNUMBER(SEARCH(실물목록!$P$2:$P$1001,I2858))*(실물목록!$R$2:$R$1001&lt;&gt;""))&gt;0,"확인필요(입력누락)",IF(SUMPRODUCT((실물목록!$P$2:$P$1001&lt;&gt;"")*ISNUMBER(SEARCH(실물목록!$P$2:$P$1001,I2858))*(실물목록!$Q$2:$Q$1001&lt;&gt;"")*ISNUMBER(SEARCH(실물목록!$Q$2:$Q$1001,I2858))*(실물목록!$R$2:$R$1001="")*(실물목록!$O$2:$O$1001&lt;&gt;""))&gt;0,"확인필요(연도다름)","실물 없음")))))</f>
      </c>
      <c r="G2858" t="n" s="16">
        <f aca="0">IF(B2858="","",SUMPRODUCT((실물목록!$P$2:$P$1001&lt;&gt;"")*ISNUMBER(SEARCH(실물목록!$P$2:$P$1001,I2858))*(실물목록!$Q$2:$Q$1001&lt;&gt;"")*ISNUMBER(SEARCH(실물목록!$Q$2:$Q$1001,I2858))*(실물목록!$R$2:$R$1001="")*(실물목록!$O$2:$O$1001&lt;&gt;"")*(실물목록!$O$2:$O$1001=H2858)))</f>
      </c>
      <c r="H2858" t="str">
        <f>IFERROR(IF(AND(LEN(SUBSTITUTE(SUBSTITUTE(SUBSTITUTE(TRIM(A2858&amp;""),CHAR(160),"")," ",""),"년",""))=4,VALUE(SUBSTITUTE(SUBSTITUTE(SUBSTITUTE(TRIM(A2858&amp;""),CHAR(160),"")," ",""),"년",""))&gt;=1900,VALUE(SUBSTITUTE(SUBSTITUTE(SUBSTITUTE(TRIM(A2858&amp;""),CHAR(160),"")," ",""),"년",""))&lt;=2099,TEXT(VALUE(SUBSTITUTE(SUBSTITUTE(SUBSTITUTE(TRIM(A2858&amp;""),CHAR(160),"")," ",""),"년","")),"0000")=SUBSTITUTE(SUBSTITUTE(SUBSTITUTE(TRIM(A2858&amp;""),CHAR(160),"")," ",""),"년","")),SUBSTITUTE(SUBSTITUTE(SUBSTITUTE(TRIM(A2858&amp;""),CHAR(160),"")," ",""),"년",""),""),"")</f>
      </c>
      <c r="I2858" t="str">
        <f>SUBSTITUTE(SUBSTITUTE(SUBSTITUTE(SUBSTITUTE(SUBSTITUTE(TRIM(B2858&amp;""),CHAR(160),"")," ",""),"초등학교","초"),"중학교","중"),"고등학교","고")</f>
      </c>
    </row>
    <row r="2859" customFormat="false" ht="15" hidden="false" customHeight="false" outlineLevel="0" collapsed="false">
      <c r="A2859" s="8"/>
      <c r="B2859" s="8"/>
      <c r="C2859" s="8"/>
      <c r="D2859" s="8"/>
      <c r="E2859" s="8"/>
      <c r="F2859" t="str" s="15">
        <f aca="0">IF(B2859="","",IF(H2859="","확인필요(입력누락)",IF(SUMPRODUCT((실물목록!$P$2:$P$1001&lt;&gt;"")*ISNUMBER(SEARCH(실물목록!$P$2:$P$1001,I2859))*(실물목록!$Q$2:$Q$1001&lt;&gt;"")*ISNUMBER(SEARCH(실물목록!$Q$2:$Q$1001,I2859))*(실물목록!$R$2:$R$1001="")*(실물목록!$O$2:$O$1001&lt;&gt;"")*(실물목록!$O$2:$O$1001=H2859))&gt;0,"실물 있음",IF(SUMPRODUCT((실물목록!$P$2:$P$1001&lt;&gt;"")*ISNUMBER(SEARCH(실물목록!$P$2:$P$1001,I2859))*(실물목록!$R$2:$R$1001&lt;&gt;""))&gt;0,"확인필요(입력누락)",IF(SUMPRODUCT((실물목록!$P$2:$P$1001&lt;&gt;"")*ISNUMBER(SEARCH(실물목록!$P$2:$P$1001,I2859))*(실물목록!$Q$2:$Q$1001&lt;&gt;"")*ISNUMBER(SEARCH(실물목록!$Q$2:$Q$1001,I2859))*(실물목록!$R$2:$R$1001="")*(실물목록!$O$2:$O$1001&lt;&gt;""))&gt;0,"확인필요(연도다름)","실물 없음")))))</f>
      </c>
      <c r="G2859" t="n" s="16">
        <f aca="0">IF(B2859="","",SUMPRODUCT((실물목록!$P$2:$P$1001&lt;&gt;"")*ISNUMBER(SEARCH(실물목록!$P$2:$P$1001,I2859))*(실물목록!$Q$2:$Q$1001&lt;&gt;"")*ISNUMBER(SEARCH(실물목록!$Q$2:$Q$1001,I2859))*(실물목록!$R$2:$R$1001="")*(실물목록!$O$2:$O$1001&lt;&gt;"")*(실물목록!$O$2:$O$1001=H2859)))</f>
      </c>
      <c r="H2859" t="str">
        <f>IFERROR(IF(AND(LEN(SUBSTITUTE(SUBSTITUTE(SUBSTITUTE(TRIM(A2859&amp;""),CHAR(160),"")," ",""),"년",""))=4,VALUE(SUBSTITUTE(SUBSTITUTE(SUBSTITUTE(TRIM(A2859&amp;""),CHAR(160),"")," ",""),"년",""))&gt;=1900,VALUE(SUBSTITUTE(SUBSTITUTE(SUBSTITUTE(TRIM(A2859&amp;""),CHAR(160),"")," ",""),"년",""))&lt;=2099,TEXT(VALUE(SUBSTITUTE(SUBSTITUTE(SUBSTITUTE(TRIM(A2859&amp;""),CHAR(160),"")," ",""),"년","")),"0000")=SUBSTITUTE(SUBSTITUTE(SUBSTITUTE(TRIM(A2859&amp;""),CHAR(160),"")," ",""),"년","")),SUBSTITUTE(SUBSTITUTE(SUBSTITUTE(TRIM(A2859&amp;""),CHAR(160),"")," ",""),"년",""),""),"")</f>
      </c>
      <c r="I2859" t="str">
        <f>SUBSTITUTE(SUBSTITUTE(SUBSTITUTE(SUBSTITUTE(SUBSTITUTE(TRIM(B2859&amp;""),CHAR(160),"")," ",""),"초등학교","초"),"중학교","중"),"고등학교","고")</f>
      </c>
    </row>
    <row r="2860" customFormat="false" ht="15" hidden="false" customHeight="false" outlineLevel="0" collapsed="false">
      <c r="A2860" s="8"/>
      <c r="B2860" s="8"/>
      <c r="C2860" s="8"/>
      <c r="D2860" s="8"/>
      <c r="E2860" s="8"/>
      <c r="F2860" t="str" s="15">
        <f aca="0">IF(B2860="","",IF(H2860="","확인필요(입력누락)",IF(SUMPRODUCT((실물목록!$P$2:$P$1001&lt;&gt;"")*ISNUMBER(SEARCH(실물목록!$P$2:$P$1001,I2860))*(실물목록!$Q$2:$Q$1001&lt;&gt;"")*ISNUMBER(SEARCH(실물목록!$Q$2:$Q$1001,I2860))*(실물목록!$R$2:$R$1001="")*(실물목록!$O$2:$O$1001&lt;&gt;"")*(실물목록!$O$2:$O$1001=H2860))&gt;0,"실물 있음",IF(SUMPRODUCT((실물목록!$P$2:$P$1001&lt;&gt;"")*ISNUMBER(SEARCH(실물목록!$P$2:$P$1001,I2860))*(실물목록!$R$2:$R$1001&lt;&gt;""))&gt;0,"확인필요(입력누락)",IF(SUMPRODUCT((실물목록!$P$2:$P$1001&lt;&gt;"")*ISNUMBER(SEARCH(실물목록!$P$2:$P$1001,I2860))*(실물목록!$Q$2:$Q$1001&lt;&gt;"")*ISNUMBER(SEARCH(실물목록!$Q$2:$Q$1001,I2860))*(실물목록!$R$2:$R$1001="")*(실물목록!$O$2:$O$1001&lt;&gt;""))&gt;0,"확인필요(연도다름)","실물 없음")))))</f>
      </c>
      <c r="G2860" t="n" s="16">
        <f aca="0">IF(B2860="","",SUMPRODUCT((실물목록!$P$2:$P$1001&lt;&gt;"")*ISNUMBER(SEARCH(실물목록!$P$2:$P$1001,I2860))*(실물목록!$Q$2:$Q$1001&lt;&gt;"")*ISNUMBER(SEARCH(실물목록!$Q$2:$Q$1001,I2860))*(실물목록!$R$2:$R$1001="")*(실물목록!$O$2:$O$1001&lt;&gt;"")*(실물목록!$O$2:$O$1001=H2860)))</f>
      </c>
      <c r="H2860" t="str">
        <f>IFERROR(IF(AND(LEN(SUBSTITUTE(SUBSTITUTE(SUBSTITUTE(TRIM(A2860&amp;""),CHAR(160),"")," ",""),"년",""))=4,VALUE(SUBSTITUTE(SUBSTITUTE(SUBSTITUTE(TRIM(A2860&amp;""),CHAR(160),"")," ",""),"년",""))&gt;=1900,VALUE(SUBSTITUTE(SUBSTITUTE(SUBSTITUTE(TRIM(A2860&amp;""),CHAR(160),"")," ",""),"년",""))&lt;=2099,TEXT(VALUE(SUBSTITUTE(SUBSTITUTE(SUBSTITUTE(TRIM(A2860&amp;""),CHAR(160),"")," ",""),"년","")),"0000")=SUBSTITUTE(SUBSTITUTE(SUBSTITUTE(TRIM(A2860&amp;""),CHAR(160),"")," ",""),"년","")),SUBSTITUTE(SUBSTITUTE(SUBSTITUTE(TRIM(A2860&amp;""),CHAR(160),"")," ",""),"년",""),""),"")</f>
      </c>
      <c r="I2860" t="str">
        <f>SUBSTITUTE(SUBSTITUTE(SUBSTITUTE(SUBSTITUTE(SUBSTITUTE(TRIM(B2860&amp;""),CHAR(160),"")," ",""),"초등학교","초"),"중학교","중"),"고등학교","고")</f>
      </c>
    </row>
    <row r="2861" customFormat="false" ht="15" hidden="false" customHeight="false" outlineLevel="0" collapsed="false">
      <c r="A2861" s="8"/>
      <c r="B2861" s="8"/>
      <c r="C2861" s="8"/>
      <c r="D2861" s="8"/>
      <c r="E2861" s="8"/>
      <c r="F2861" t="str" s="15">
        <f aca="0">IF(B2861="","",IF(H2861="","확인필요(입력누락)",IF(SUMPRODUCT((실물목록!$P$2:$P$1001&lt;&gt;"")*ISNUMBER(SEARCH(실물목록!$P$2:$P$1001,I2861))*(실물목록!$Q$2:$Q$1001&lt;&gt;"")*ISNUMBER(SEARCH(실물목록!$Q$2:$Q$1001,I2861))*(실물목록!$R$2:$R$1001="")*(실물목록!$O$2:$O$1001&lt;&gt;"")*(실물목록!$O$2:$O$1001=H2861))&gt;0,"실물 있음",IF(SUMPRODUCT((실물목록!$P$2:$P$1001&lt;&gt;"")*ISNUMBER(SEARCH(실물목록!$P$2:$P$1001,I2861))*(실물목록!$R$2:$R$1001&lt;&gt;""))&gt;0,"확인필요(입력누락)",IF(SUMPRODUCT((실물목록!$P$2:$P$1001&lt;&gt;"")*ISNUMBER(SEARCH(실물목록!$P$2:$P$1001,I2861))*(실물목록!$Q$2:$Q$1001&lt;&gt;"")*ISNUMBER(SEARCH(실물목록!$Q$2:$Q$1001,I2861))*(실물목록!$R$2:$R$1001="")*(실물목록!$O$2:$O$1001&lt;&gt;""))&gt;0,"확인필요(연도다름)","실물 없음")))))</f>
      </c>
      <c r="G2861" t="n" s="16">
        <f aca="0">IF(B2861="","",SUMPRODUCT((실물목록!$P$2:$P$1001&lt;&gt;"")*ISNUMBER(SEARCH(실물목록!$P$2:$P$1001,I2861))*(실물목록!$Q$2:$Q$1001&lt;&gt;"")*ISNUMBER(SEARCH(실물목록!$Q$2:$Q$1001,I2861))*(실물목록!$R$2:$R$1001="")*(실물목록!$O$2:$O$1001&lt;&gt;"")*(실물목록!$O$2:$O$1001=H2861)))</f>
      </c>
      <c r="H2861" t="str">
        <f>IFERROR(IF(AND(LEN(SUBSTITUTE(SUBSTITUTE(SUBSTITUTE(TRIM(A2861&amp;""),CHAR(160),"")," ",""),"년",""))=4,VALUE(SUBSTITUTE(SUBSTITUTE(SUBSTITUTE(TRIM(A2861&amp;""),CHAR(160),"")," ",""),"년",""))&gt;=1900,VALUE(SUBSTITUTE(SUBSTITUTE(SUBSTITUTE(TRIM(A2861&amp;""),CHAR(160),"")," ",""),"년",""))&lt;=2099,TEXT(VALUE(SUBSTITUTE(SUBSTITUTE(SUBSTITUTE(TRIM(A2861&amp;""),CHAR(160),"")," ",""),"년","")),"0000")=SUBSTITUTE(SUBSTITUTE(SUBSTITUTE(TRIM(A2861&amp;""),CHAR(160),"")," ",""),"년","")),SUBSTITUTE(SUBSTITUTE(SUBSTITUTE(TRIM(A2861&amp;""),CHAR(160),"")," ",""),"년",""),""),"")</f>
      </c>
      <c r="I2861" t="str">
        <f>SUBSTITUTE(SUBSTITUTE(SUBSTITUTE(SUBSTITUTE(SUBSTITUTE(TRIM(B2861&amp;""),CHAR(160),"")," ",""),"초등학교","초"),"중학교","중"),"고등학교","고")</f>
      </c>
    </row>
    <row r="2862" customFormat="false" ht="15" hidden="false" customHeight="false" outlineLevel="0" collapsed="false">
      <c r="A2862" s="8"/>
      <c r="B2862" s="8"/>
      <c r="C2862" s="8"/>
      <c r="D2862" s="8"/>
      <c r="E2862" s="8"/>
      <c r="F2862" t="str" s="15">
        <f aca="0">IF(B2862="","",IF(H2862="","확인필요(입력누락)",IF(SUMPRODUCT((실물목록!$P$2:$P$1001&lt;&gt;"")*ISNUMBER(SEARCH(실물목록!$P$2:$P$1001,I2862))*(실물목록!$Q$2:$Q$1001&lt;&gt;"")*ISNUMBER(SEARCH(실물목록!$Q$2:$Q$1001,I2862))*(실물목록!$R$2:$R$1001="")*(실물목록!$O$2:$O$1001&lt;&gt;"")*(실물목록!$O$2:$O$1001=H2862))&gt;0,"실물 있음",IF(SUMPRODUCT((실물목록!$P$2:$P$1001&lt;&gt;"")*ISNUMBER(SEARCH(실물목록!$P$2:$P$1001,I2862))*(실물목록!$R$2:$R$1001&lt;&gt;""))&gt;0,"확인필요(입력누락)",IF(SUMPRODUCT((실물목록!$P$2:$P$1001&lt;&gt;"")*ISNUMBER(SEARCH(실물목록!$P$2:$P$1001,I2862))*(실물목록!$Q$2:$Q$1001&lt;&gt;"")*ISNUMBER(SEARCH(실물목록!$Q$2:$Q$1001,I2862))*(실물목록!$R$2:$R$1001="")*(실물목록!$O$2:$O$1001&lt;&gt;""))&gt;0,"확인필요(연도다름)","실물 없음")))))</f>
      </c>
      <c r="G2862" t="n" s="16">
        <f aca="0">IF(B2862="","",SUMPRODUCT((실물목록!$P$2:$P$1001&lt;&gt;"")*ISNUMBER(SEARCH(실물목록!$P$2:$P$1001,I2862))*(실물목록!$Q$2:$Q$1001&lt;&gt;"")*ISNUMBER(SEARCH(실물목록!$Q$2:$Q$1001,I2862))*(실물목록!$R$2:$R$1001="")*(실물목록!$O$2:$O$1001&lt;&gt;"")*(실물목록!$O$2:$O$1001=H2862)))</f>
      </c>
      <c r="H2862" t="str">
        <f>IFERROR(IF(AND(LEN(SUBSTITUTE(SUBSTITUTE(SUBSTITUTE(TRIM(A2862&amp;""),CHAR(160),"")," ",""),"년",""))=4,VALUE(SUBSTITUTE(SUBSTITUTE(SUBSTITUTE(TRIM(A2862&amp;""),CHAR(160),"")," ",""),"년",""))&gt;=1900,VALUE(SUBSTITUTE(SUBSTITUTE(SUBSTITUTE(TRIM(A2862&amp;""),CHAR(160),"")," ",""),"년",""))&lt;=2099,TEXT(VALUE(SUBSTITUTE(SUBSTITUTE(SUBSTITUTE(TRIM(A2862&amp;""),CHAR(160),"")," ",""),"년","")),"0000")=SUBSTITUTE(SUBSTITUTE(SUBSTITUTE(TRIM(A2862&amp;""),CHAR(160),"")," ",""),"년","")),SUBSTITUTE(SUBSTITUTE(SUBSTITUTE(TRIM(A2862&amp;""),CHAR(160),"")," ",""),"년",""),""),"")</f>
      </c>
      <c r="I2862" t="str">
        <f>SUBSTITUTE(SUBSTITUTE(SUBSTITUTE(SUBSTITUTE(SUBSTITUTE(TRIM(B2862&amp;""),CHAR(160),"")," ",""),"초등학교","초"),"중학교","중"),"고등학교","고")</f>
      </c>
    </row>
    <row r="2863" customFormat="false" ht="15" hidden="false" customHeight="false" outlineLevel="0" collapsed="false">
      <c r="A2863" s="8"/>
      <c r="B2863" s="8"/>
      <c r="C2863" s="8"/>
      <c r="D2863" s="8"/>
      <c r="E2863" s="8"/>
      <c r="F2863" t="str" s="15">
        <f aca="0">IF(B2863="","",IF(H2863="","확인필요(입력누락)",IF(SUMPRODUCT((실물목록!$P$2:$P$1001&lt;&gt;"")*ISNUMBER(SEARCH(실물목록!$P$2:$P$1001,I2863))*(실물목록!$Q$2:$Q$1001&lt;&gt;"")*ISNUMBER(SEARCH(실물목록!$Q$2:$Q$1001,I2863))*(실물목록!$R$2:$R$1001="")*(실물목록!$O$2:$O$1001&lt;&gt;"")*(실물목록!$O$2:$O$1001=H2863))&gt;0,"실물 있음",IF(SUMPRODUCT((실물목록!$P$2:$P$1001&lt;&gt;"")*ISNUMBER(SEARCH(실물목록!$P$2:$P$1001,I2863))*(실물목록!$R$2:$R$1001&lt;&gt;""))&gt;0,"확인필요(입력누락)",IF(SUMPRODUCT((실물목록!$P$2:$P$1001&lt;&gt;"")*ISNUMBER(SEARCH(실물목록!$P$2:$P$1001,I2863))*(실물목록!$Q$2:$Q$1001&lt;&gt;"")*ISNUMBER(SEARCH(실물목록!$Q$2:$Q$1001,I2863))*(실물목록!$R$2:$R$1001="")*(실물목록!$O$2:$O$1001&lt;&gt;""))&gt;0,"확인필요(연도다름)","실물 없음")))))</f>
      </c>
      <c r="G2863" t="n" s="16">
        <f aca="0">IF(B2863="","",SUMPRODUCT((실물목록!$P$2:$P$1001&lt;&gt;"")*ISNUMBER(SEARCH(실물목록!$P$2:$P$1001,I2863))*(실물목록!$Q$2:$Q$1001&lt;&gt;"")*ISNUMBER(SEARCH(실물목록!$Q$2:$Q$1001,I2863))*(실물목록!$R$2:$R$1001="")*(실물목록!$O$2:$O$1001&lt;&gt;"")*(실물목록!$O$2:$O$1001=H2863)))</f>
      </c>
      <c r="H2863" t="str">
        <f>IFERROR(IF(AND(LEN(SUBSTITUTE(SUBSTITUTE(SUBSTITUTE(TRIM(A2863&amp;""),CHAR(160),"")," ",""),"년",""))=4,VALUE(SUBSTITUTE(SUBSTITUTE(SUBSTITUTE(TRIM(A2863&amp;""),CHAR(160),"")," ",""),"년",""))&gt;=1900,VALUE(SUBSTITUTE(SUBSTITUTE(SUBSTITUTE(TRIM(A2863&amp;""),CHAR(160),"")," ",""),"년",""))&lt;=2099,TEXT(VALUE(SUBSTITUTE(SUBSTITUTE(SUBSTITUTE(TRIM(A2863&amp;""),CHAR(160),"")," ",""),"년","")),"0000")=SUBSTITUTE(SUBSTITUTE(SUBSTITUTE(TRIM(A2863&amp;""),CHAR(160),"")," ",""),"년","")),SUBSTITUTE(SUBSTITUTE(SUBSTITUTE(TRIM(A2863&amp;""),CHAR(160),"")," ",""),"년",""),""),"")</f>
      </c>
      <c r="I2863" t="str">
        <f>SUBSTITUTE(SUBSTITUTE(SUBSTITUTE(SUBSTITUTE(SUBSTITUTE(TRIM(B2863&amp;""),CHAR(160),"")," ",""),"초등학교","초"),"중학교","중"),"고등학교","고")</f>
      </c>
    </row>
    <row r="2864" customFormat="false" ht="15" hidden="false" customHeight="false" outlineLevel="0" collapsed="false">
      <c r="A2864" s="8"/>
      <c r="B2864" s="8"/>
      <c r="C2864" s="8"/>
      <c r="D2864" s="8"/>
      <c r="E2864" s="8"/>
      <c r="F2864" t="str" s="15">
        <f aca="0">IF(B2864="","",IF(H2864="","확인필요(입력누락)",IF(SUMPRODUCT((실물목록!$P$2:$P$1001&lt;&gt;"")*ISNUMBER(SEARCH(실물목록!$P$2:$P$1001,I2864))*(실물목록!$Q$2:$Q$1001&lt;&gt;"")*ISNUMBER(SEARCH(실물목록!$Q$2:$Q$1001,I2864))*(실물목록!$R$2:$R$1001="")*(실물목록!$O$2:$O$1001&lt;&gt;"")*(실물목록!$O$2:$O$1001=H2864))&gt;0,"실물 있음",IF(SUMPRODUCT((실물목록!$P$2:$P$1001&lt;&gt;"")*ISNUMBER(SEARCH(실물목록!$P$2:$P$1001,I2864))*(실물목록!$R$2:$R$1001&lt;&gt;""))&gt;0,"확인필요(입력누락)",IF(SUMPRODUCT((실물목록!$P$2:$P$1001&lt;&gt;"")*ISNUMBER(SEARCH(실물목록!$P$2:$P$1001,I2864))*(실물목록!$Q$2:$Q$1001&lt;&gt;"")*ISNUMBER(SEARCH(실물목록!$Q$2:$Q$1001,I2864))*(실물목록!$R$2:$R$1001="")*(실물목록!$O$2:$O$1001&lt;&gt;""))&gt;0,"확인필요(연도다름)","실물 없음")))))</f>
      </c>
      <c r="G2864" t="n" s="16">
        <f aca="0">IF(B2864="","",SUMPRODUCT((실물목록!$P$2:$P$1001&lt;&gt;"")*ISNUMBER(SEARCH(실물목록!$P$2:$P$1001,I2864))*(실물목록!$Q$2:$Q$1001&lt;&gt;"")*ISNUMBER(SEARCH(실물목록!$Q$2:$Q$1001,I2864))*(실물목록!$R$2:$R$1001="")*(실물목록!$O$2:$O$1001&lt;&gt;"")*(실물목록!$O$2:$O$1001=H2864)))</f>
      </c>
      <c r="H2864" t="str">
        <f>IFERROR(IF(AND(LEN(SUBSTITUTE(SUBSTITUTE(SUBSTITUTE(TRIM(A2864&amp;""),CHAR(160),"")," ",""),"년",""))=4,VALUE(SUBSTITUTE(SUBSTITUTE(SUBSTITUTE(TRIM(A2864&amp;""),CHAR(160),"")," ",""),"년",""))&gt;=1900,VALUE(SUBSTITUTE(SUBSTITUTE(SUBSTITUTE(TRIM(A2864&amp;""),CHAR(160),"")," ",""),"년",""))&lt;=2099,TEXT(VALUE(SUBSTITUTE(SUBSTITUTE(SUBSTITUTE(TRIM(A2864&amp;""),CHAR(160),"")," ",""),"년","")),"0000")=SUBSTITUTE(SUBSTITUTE(SUBSTITUTE(TRIM(A2864&amp;""),CHAR(160),"")," ",""),"년","")),SUBSTITUTE(SUBSTITUTE(SUBSTITUTE(TRIM(A2864&amp;""),CHAR(160),"")," ",""),"년",""),""),"")</f>
      </c>
      <c r="I2864" t="str">
        <f>SUBSTITUTE(SUBSTITUTE(SUBSTITUTE(SUBSTITUTE(SUBSTITUTE(TRIM(B2864&amp;""),CHAR(160),"")," ",""),"초등학교","초"),"중학교","중"),"고등학교","고")</f>
      </c>
    </row>
    <row r="2865" customFormat="false" ht="15" hidden="false" customHeight="false" outlineLevel="0" collapsed="false">
      <c r="A2865" s="8"/>
      <c r="B2865" s="8"/>
      <c r="C2865" s="8"/>
      <c r="D2865" s="8"/>
      <c r="E2865" s="8"/>
      <c r="F2865" t="str" s="15">
        <f aca="0">IF(B2865="","",IF(H2865="","확인필요(입력누락)",IF(SUMPRODUCT((실물목록!$P$2:$P$1001&lt;&gt;"")*ISNUMBER(SEARCH(실물목록!$P$2:$P$1001,I2865))*(실물목록!$Q$2:$Q$1001&lt;&gt;"")*ISNUMBER(SEARCH(실물목록!$Q$2:$Q$1001,I2865))*(실물목록!$R$2:$R$1001="")*(실물목록!$O$2:$O$1001&lt;&gt;"")*(실물목록!$O$2:$O$1001=H2865))&gt;0,"실물 있음",IF(SUMPRODUCT((실물목록!$P$2:$P$1001&lt;&gt;"")*ISNUMBER(SEARCH(실물목록!$P$2:$P$1001,I2865))*(실물목록!$R$2:$R$1001&lt;&gt;""))&gt;0,"확인필요(입력누락)",IF(SUMPRODUCT((실물목록!$P$2:$P$1001&lt;&gt;"")*ISNUMBER(SEARCH(실물목록!$P$2:$P$1001,I2865))*(실물목록!$Q$2:$Q$1001&lt;&gt;"")*ISNUMBER(SEARCH(실물목록!$Q$2:$Q$1001,I2865))*(실물목록!$R$2:$R$1001="")*(실물목록!$O$2:$O$1001&lt;&gt;""))&gt;0,"확인필요(연도다름)","실물 없음")))))</f>
      </c>
      <c r="G2865" t="n" s="16">
        <f aca="0">IF(B2865="","",SUMPRODUCT((실물목록!$P$2:$P$1001&lt;&gt;"")*ISNUMBER(SEARCH(실물목록!$P$2:$P$1001,I2865))*(실물목록!$Q$2:$Q$1001&lt;&gt;"")*ISNUMBER(SEARCH(실물목록!$Q$2:$Q$1001,I2865))*(실물목록!$R$2:$R$1001="")*(실물목록!$O$2:$O$1001&lt;&gt;"")*(실물목록!$O$2:$O$1001=H2865)))</f>
      </c>
      <c r="H2865" t="str">
        <f>IFERROR(IF(AND(LEN(SUBSTITUTE(SUBSTITUTE(SUBSTITUTE(TRIM(A2865&amp;""),CHAR(160),"")," ",""),"년",""))=4,VALUE(SUBSTITUTE(SUBSTITUTE(SUBSTITUTE(TRIM(A2865&amp;""),CHAR(160),"")," ",""),"년",""))&gt;=1900,VALUE(SUBSTITUTE(SUBSTITUTE(SUBSTITUTE(TRIM(A2865&amp;""),CHAR(160),"")," ",""),"년",""))&lt;=2099,TEXT(VALUE(SUBSTITUTE(SUBSTITUTE(SUBSTITUTE(TRIM(A2865&amp;""),CHAR(160),"")," ",""),"년","")),"0000")=SUBSTITUTE(SUBSTITUTE(SUBSTITUTE(TRIM(A2865&amp;""),CHAR(160),"")," ",""),"년","")),SUBSTITUTE(SUBSTITUTE(SUBSTITUTE(TRIM(A2865&amp;""),CHAR(160),"")," ",""),"년",""),""),"")</f>
      </c>
      <c r="I2865" t="str">
        <f>SUBSTITUTE(SUBSTITUTE(SUBSTITUTE(SUBSTITUTE(SUBSTITUTE(TRIM(B2865&amp;""),CHAR(160),"")," ",""),"초등학교","초"),"중학교","중"),"고등학교","고")</f>
      </c>
    </row>
    <row r="2866" customFormat="false" ht="15" hidden="false" customHeight="false" outlineLevel="0" collapsed="false">
      <c r="A2866" s="8"/>
      <c r="B2866" s="8"/>
      <c r="C2866" s="8"/>
      <c r="D2866" s="8"/>
      <c r="E2866" s="8"/>
      <c r="F2866" t="str" s="15">
        <f aca="0">IF(B2866="","",IF(H2866="","확인필요(입력누락)",IF(SUMPRODUCT((실물목록!$P$2:$P$1001&lt;&gt;"")*ISNUMBER(SEARCH(실물목록!$P$2:$P$1001,I2866))*(실물목록!$Q$2:$Q$1001&lt;&gt;"")*ISNUMBER(SEARCH(실물목록!$Q$2:$Q$1001,I2866))*(실물목록!$R$2:$R$1001="")*(실물목록!$O$2:$O$1001&lt;&gt;"")*(실물목록!$O$2:$O$1001=H2866))&gt;0,"실물 있음",IF(SUMPRODUCT((실물목록!$P$2:$P$1001&lt;&gt;"")*ISNUMBER(SEARCH(실물목록!$P$2:$P$1001,I2866))*(실물목록!$R$2:$R$1001&lt;&gt;""))&gt;0,"확인필요(입력누락)",IF(SUMPRODUCT((실물목록!$P$2:$P$1001&lt;&gt;"")*ISNUMBER(SEARCH(실물목록!$P$2:$P$1001,I2866))*(실물목록!$Q$2:$Q$1001&lt;&gt;"")*ISNUMBER(SEARCH(실물목록!$Q$2:$Q$1001,I2866))*(실물목록!$R$2:$R$1001="")*(실물목록!$O$2:$O$1001&lt;&gt;""))&gt;0,"확인필요(연도다름)","실물 없음")))))</f>
      </c>
      <c r="G2866" t="n" s="16">
        <f aca="0">IF(B2866="","",SUMPRODUCT((실물목록!$P$2:$P$1001&lt;&gt;"")*ISNUMBER(SEARCH(실물목록!$P$2:$P$1001,I2866))*(실물목록!$Q$2:$Q$1001&lt;&gt;"")*ISNUMBER(SEARCH(실물목록!$Q$2:$Q$1001,I2866))*(실물목록!$R$2:$R$1001="")*(실물목록!$O$2:$O$1001&lt;&gt;"")*(실물목록!$O$2:$O$1001=H2866)))</f>
      </c>
      <c r="H2866" t="str">
        <f>IFERROR(IF(AND(LEN(SUBSTITUTE(SUBSTITUTE(SUBSTITUTE(TRIM(A2866&amp;""),CHAR(160),"")," ",""),"년",""))=4,VALUE(SUBSTITUTE(SUBSTITUTE(SUBSTITUTE(TRIM(A2866&amp;""),CHAR(160),"")," ",""),"년",""))&gt;=1900,VALUE(SUBSTITUTE(SUBSTITUTE(SUBSTITUTE(TRIM(A2866&amp;""),CHAR(160),"")," ",""),"년",""))&lt;=2099,TEXT(VALUE(SUBSTITUTE(SUBSTITUTE(SUBSTITUTE(TRIM(A2866&amp;""),CHAR(160),"")," ",""),"년","")),"0000")=SUBSTITUTE(SUBSTITUTE(SUBSTITUTE(TRIM(A2866&amp;""),CHAR(160),"")," ",""),"년","")),SUBSTITUTE(SUBSTITUTE(SUBSTITUTE(TRIM(A2866&amp;""),CHAR(160),"")," ",""),"년",""),""),"")</f>
      </c>
      <c r="I2866" t="str">
        <f>SUBSTITUTE(SUBSTITUTE(SUBSTITUTE(SUBSTITUTE(SUBSTITUTE(TRIM(B2866&amp;""),CHAR(160),"")," ",""),"초등학교","초"),"중학교","중"),"고등학교","고")</f>
      </c>
    </row>
    <row r="2867" customFormat="false" ht="15" hidden="false" customHeight="false" outlineLevel="0" collapsed="false">
      <c r="A2867" s="8"/>
      <c r="B2867" s="8"/>
      <c r="C2867" s="8"/>
      <c r="D2867" s="8"/>
      <c r="E2867" s="8"/>
      <c r="F2867" t="str" s="15">
        <f aca="0">IF(B2867="","",IF(H2867="","확인필요(입력누락)",IF(SUMPRODUCT((실물목록!$P$2:$P$1001&lt;&gt;"")*ISNUMBER(SEARCH(실물목록!$P$2:$P$1001,I2867))*(실물목록!$Q$2:$Q$1001&lt;&gt;"")*ISNUMBER(SEARCH(실물목록!$Q$2:$Q$1001,I2867))*(실물목록!$R$2:$R$1001="")*(실물목록!$O$2:$O$1001&lt;&gt;"")*(실물목록!$O$2:$O$1001=H2867))&gt;0,"실물 있음",IF(SUMPRODUCT((실물목록!$P$2:$P$1001&lt;&gt;"")*ISNUMBER(SEARCH(실물목록!$P$2:$P$1001,I2867))*(실물목록!$R$2:$R$1001&lt;&gt;""))&gt;0,"확인필요(입력누락)",IF(SUMPRODUCT((실물목록!$P$2:$P$1001&lt;&gt;"")*ISNUMBER(SEARCH(실물목록!$P$2:$P$1001,I2867))*(실물목록!$Q$2:$Q$1001&lt;&gt;"")*ISNUMBER(SEARCH(실물목록!$Q$2:$Q$1001,I2867))*(실물목록!$R$2:$R$1001="")*(실물목록!$O$2:$O$1001&lt;&gt;""))&gt;0,"확인필요(연도다름)","실물 없음")))))</f>
      </c>
      <c r="G2867" t="n" s="16">
        <f aca="0">IF(B2867="","",SUMPRODUCT((실물목록!$P$2:$P$1001&lt;&gt;"")*ISNUMBER(SEARCH(실물목록!$P$2:$P$1001,I2867))*(실물목록!$Q$2:$Q$1001&lt;&gt;"")*ISNUMBER(SEARCH(실물목록!$Q$2:$Q$1001,I2867))*(실물목록!$R$2:$R$1001="")*(실물목록!$O$2:$O$1001&lt;&gt;"")*(실물목록!$O$2:$O$1001=H2867)))</f>
      </c>
      <c r="H2867" t="str">
        <f>IFERROR(IF(AND(LEN(SUBSTITUTE(SUBSTITUTE(SUBSTITUTE(TRIM(A2867&amp;""),CHAR(160),"")," ",""),"년",""))=4,VALUE(SUBSTITUTE(SUBSTITUTE(SUBSTITUTE(TRIM(A2867&amp;""),CHAR(160),"")," ",""),"년",""))&gt;=1900,VALUE(SUBSTITUTE(SUBSTITUTE(SUBSTITUTE(TRIM(A2867&amp;""),CHAR(160),"")," ",""),"년",""))&lt;=2099,TEXT(VALUE(SUBSTITUTE(SUBSTITUTE(SUBSTITUTE(TRIM(A2867&amp;""),CHAR(160),"")," ",""),"년","")),"0000")=SUBSTITUTE(SUBSTITUTE(SUBSTITUTE(TRIM(A2867&amp;""),CHAR(160),"")," ",""),"년","")),SUBSTITUTE(SUBSTITUTE(SUBSTITUTE(TRIM(A2867&amp;""),CHAR(160),"")," ",""),"년",""),""),"")</f>
      </c>
      <c r="I2867" t="str">
        <f>SUBSTITUTE(SUBSTITUTE(SUBSTITUTE(SUBSTITUTE(SUBSTITUTE(TRIM(B2867&amp;""),CHAR(160),"")," ",""),"초등학교","초"),"중학교","중"),"고등학교","고")</f>
      </c>
    </row>
    <row r="2868" customFormat="false" ht="15" hidden="false" customHeight="false" outlineLevel="0" collapsed="false">
      <c r="A2868" s="8"/>
      <c r="B2868" s="8"/>
      <c r="C2868" s="8"/>
      <c r="D2868" s="8"/>
      <c r="E2868" s="8"/>
      <c r="F2868" t="str" s="15">
        <f aca="0">IF(B2868="","",IF(H2868="","확인필요(입력누락)",IF(SUMPRODUCT((실물목록!$P$2:$P$1001&lt;&gt;"")*ISNUMBER(SEARCH(실물목록!$P$2:$P$1001,I2868))*(실물목록!$Q$2:$Q$1001&lt;&gt;"")*ISNUMBER(SEARCH(실물목록!$Q$2:$Q$1001,I2868))*(실물목록!$R$2:$R$1001="")*(실물목록!$O$2:$O$1001&lt;&gt;"")*(실물목록!$O$2:$O$1001=H2868))&gt;0,"실물 있음",IF(SUMPRODUCT((실물목록!$P$2:$P$1001&lt;&gt;"")*ISNUMBER(SEARCH(실물목록!$P$2:$P$1001,I2868))*(실물목록!$R$2:$R$1001&lt;&gt;""))&gt;0,"확인필요(입력누락)",IF(SUMPRODUCT((실물목록!$P$2:$P$1001&lt;&gt;"")*ISNUMBER(SEARCH(실물목록!$P$2:$P$1001,I2868))*(실물목록!$Q$2:$Q$1001&lt;&gt;"")*ISNUMBER(SEARCH(실물목록!$Q$2:$Q$1001,I2868))*(실물목록!$R$2:$R$1001="")*(실물목록!$O$2:$O$1001&lt;&gt;""))&gt;0,"확인필요(연도다름)","실물 없음")))))</f>
      </c>
      <c r="G2868" t="n" s="16">
        <f aca="0">IF(B2868="","",SUMPRODUCT((실물목록!$P$2:$P$1001&lt;&gt;"")*ISNUMBER(SEARCH(실물목록!$P$2:$P$1001,I2868))*(실물목록!$Q$2:$Q$1001&lt;&gt;"")*ISNUMBER(SEARCH(실물목록!$Q$2:$Q$1001,I2868))*(실물목록!$R$2:$R$1001="")*(실물목록!$O$2:$O$1001&lt;&gt;"")*(실물목록!$O$2:$O$1001=H2868)))</f>
      </c>
      <c r="H2868" t="str">
        <f>IFERROR(IF(AND(LEN(SUBSTITUTE(SUBSTITUTE(SUBSTITUTE(TRIM(A2868&amp;""),CHAR(160),"")," ",""),"년",""))=4,VALUE(SUBSTITUTE(SUBSTITUTE(SUBSTITUTE(TRIM(A2868&amp;""),CHAR(160),"")," ",""),"년",""))&gt;=1900,VALUE(SUBSTITUTE(SUBSTITUTE(SUBSTITUTE(TRIM(A2868&amp;""),CHAR(160),"")," ",""),"년",""))&lt;=2099,TEXT(VALUE(SUBSTITUTE(SUBSTITUTE(SUBSTITUTE(TRIM(A2868&amp;""),CHAR(160),"")," ",""),"년","")),"0000")=SUBSTITUTE(SUBSTITUTE(SUBSTITUTE(TRIM(A2868&amp;""),CHAR(160),"")," ",""),"년","")),SUBSTITUTE(SUBSTITUTE(SUBSTITUTE(TRIM(A2868&amp;""),CHAR(160),"")," ",""),"년",""),""),"")</f>
      </c>
      <c r="I2868" t="str">
        <f>SUBSTITUTE(SUBSTITUTE(SUBSTITUTE(SUBSTITUTE(SUBSTITUTE(TRIM(B2868&amp;""),CHAR(160),"")," ",""),"초등학교","초"),"중학교","중"),"고등학교","고")</f>
      </c>
    </row>
    <row r="2869" customFormat="false" ht="15" hidden="false" customHeight="false" outlineLevel="0" collapsed="false">
      <c r="A2869" s="8"/>
      <c r="B2869" s="8"/>
      <c r="C2869" s="8"/>
      <c r="D2869" s="8"/>
      <c r="E2869" s="8"/>
      <c r="F2869" t="str" s="15">
        <f aca="0">IF(B2869="","",IF(H2869="","확인필요(입력누락)",IF(SUMPRODUCT((실물목록!$P$2:$P$1001&lt;&gt;"")*ISNUMBER(SEARCH(실물목록!$P$2:$P$1001,I2869))*(실물목록!$Q$2:$Q$1001&lt;&gt;"")*ISNUMBER(SEARCH(실물목록!$Q$2:$Q$1001,I2869))*(실물목록!$R$2:$R$1001="")*(실물목록!$O$2:$O$1001&lt;&gt;"")*(실물목록!$O$2:$O$1001=H2869))&gt;0,"실물 있음",IF(SUMPRODUCT((실물목록!$P$2:$P$1001&lt;&gt;"")*ISNUMBER(SEARCH(실물목록!$P$2:$P$1001,I2869))*(실물목록!$R$2:$R$1001&lt;&gt;""))&gt;0,"확인필요(입력누락)",IF(SUMPRODUCT((실물목록!$P$2:$P$1001&lt;&gt;"")*ISNUMBER(SEARCH(실물목록!$P$2:$P$1001,I2869))*(실물목록!$Q$2:$Q$1001&lt;&gt;"")*ISNUMBER(SEARCH(실물목록!$Q$2:$Q$1001,I2869))*(실물목록!$R$2:$R$1001="")*(실물목록!$O$2:$O$1001&lt;&gt;""))&gt;0,"확인필요(연도다름)","실물 없음")))))</f>
      </c>
      <c r="G2869" t="n" s="16">
        <f aca="0">IF(B2869="","",SUMPRODUCT((실물목록!$P$2:$P$1001&lt;&gt;"")*ISNUMBER(SEARCH(실물목록!$P$2:$P$1001,I2869))*(실물목록!$Q$2:$Q$1001&lt;&gt;"")*ISNUMBER(SEARCH(실물목록!$Q$2:$Q$1001,I2869))*(실물목록!$R$2:$R$1001="")*(실물목록!$O$2:$O$1001&lt;&gt;"")*(실물목록!$O$2:$O$1001=H2869)))</f>
      </c>
      <c r="H2869" t="str">
        <f>IFERROR(IF(AND(LEN(SUBSTITUTE(SUBSTITUTE(SUBSTITUTE(TRIM(A2869&amp;""),CHAR(160),"")," ",""),"년",""))=4,VALUE(SUBSTITUTE(SUBSTITUTE(SUBSTITUTE(TRIM(A2869&amp;""),CHAR(160),"")," ",""),"년",""))&gt;=1900,VALUE(SUBSTITUTE(SUBSTITUTE(SUBSTITUTE(TRIM(A2869&amp;""),CHAR(160),"")," ",""),"년",""))&lt;=2099,TEXT(VALUE(SUBSTITUTE(SUBSTITUTE(SUBSTITUTE(TRIM(A2869&amp;""),CHAR(160),"")," ",""),"년","")),"0000")=SUBSTITUTE(SUBSTITUTE(SUBSTITUTE(TRIM(A2869&amp;""),CHAR(160),"")," ",""),"년","")),SUBSTITUTE(SUBSTITUTE(SUBSTITUTE(TRIM(A2869&amp;""),CHAR(160),"")," ",""),"년",""),""),"")</f>
      </c>
      <c r="I2869" t="str">
        <f>SUBSTITUTE(SUBSTITUTE(SUBSTITUTE(SUBSTITUTE(SUBSTITUTE(TRIM(B2869&amp;""),CHAR(160),"")," ",""),"초등학교","초"),"중학교","중"),"고등학교","고")</f>
      </c>
    </row>
    <row r="2870" customFormat="false" ht="15" hidden="false" customHeight="false" outlineLevel="0" collapsed="false">
      <c r="A2870" s="8"/>
      <c r="B2870" s="8"/>
      <c r="C2870" s="8"/>
      <c r="D2870" s="8"/>
      <c r="E2870" s="8"/>
      <c r="F2870" t="str" s="15">
        <f aca="0">IF(B2870="","",IF(H2870="","확인필요(입력누락)",IF(SUMPRODUCT((실물목록!$P$2:$P$1001&lt;&gt;"")*ISNUMBER(SEARCH(실물목록!$P$2:$P$1001,I2870))*(실물목록!$Q$2:$Q$1001&lt;&gt;"")*ISNUMBER(SEARCH(실물목록!$Q$2:$Q$1001,I2870))*(실물목록!$R$2:$R$1001="")*(실물목록!$O$2:$O$1001&lt;&gt;"")*(실물목록!$O$2:$O$1001=H2870))&gt;0,"실물 있음",IF(SUMPRODUCT((실물목록!$P$2:$P$1001&lt;&gt;"")*ISNUMBER(SEARCH(실물목록!$P$2:$P$1001,I2870))*(실물목록!$R$2:$R$1001&lt;&gt;""))&gt;0,"확인필요(입력누락)",IF(SUMPRODUCT((실물목록!$P$2:$P$1001&lt;&gt;"")*ISNUMBER(SEARCH(실물목록!$P$2:$P$1001,I2870))*(실물목록!$Q$2:$Q$1001&lt;&gt;"")*ISNUMBER(SEARCH(실물목록!$Q$2:$Q$1001,I2870))*(실물목록!$R$2:$R$1001="")*(실물목록!$O$2:$O$1001&lt;&gt;""))&gt;0,"확인필요(연도다름)","실물 없음")))))</f>
      </c>
      <c r="G2870" t="n" s="16">
        <f aca="0">IF(B2870="","",SUMPRODUCT((실물목록!$P$2:$P$1001&lt;&gt;"")*ISNUMBER(SEARCH(실물목록!$P$2:$P$1001,I2870))*(실물목록!$Q$2:$Q$1001&lt;&gt;"")*ISNUMBER(SEARCH(실물목록!$Q$2:$Q$1001,I2870))*(실물목록!$R$2:$R$1001="")*(실물목록!$O$2:$O$1001&lt;&gt;"")*(실물목록!$O$2:$O$1001=H2870)))</f>
      </c>
      <c r="H2870" t="str">
        <f>IFERROR(IF(AND(LEN(SUBSTITUTE(SUBSTITUTE(SUBSTITUTE(TRIM(A2870&amp;""),CHAR(160),"")," ",""),"년",""))=4,VALUE(SUBSTITUTE(SUBSTITUTE(SUBSTITUTE(TRIM(A2870&amp;""),CHAR(160),"")," ",""),"년",""))&gt;=1900,VALUE(SUBSTITUTE(SUBSTITUTE(SUBSTITUTE(TRIM(A2870&amp;""),CHAR(160),"")," ",""),"년",""))&lt;=2099,TEXT(VALUE(SUBSTITUTE(SUBSTITUTE(SUBSTITUTE(TRIM(A2870&amp;""),CHAR(160),"")," ",""),"년","")),"0000")=SUBSTITUTE(SUBSTITUTE(SUBSTITUTE(TRIM(A2870&amp;""),CHAR(160),"")," ",""),"년","")),SUBSTITUTE(SUBSTITUTE(SUBSTITUTE(TRIM(A2870&amp;""),CHAR(160),"")," ",""),"년",""),""),"")</f>
      </c>
      <c r="I2870" t="str">
        <f>SUBSTITUTE(SUBSTITUTE(SUBSTITUTE(SUBSTITUTE(SUBSTITUTE(TRIM(B2870&amp;""),CHAR(160),"")," ",""),"초등학교","초"),"중학교","중"),"고등학교","고")</f>
      </c>
    </row>
    <row r="2871" customFormat="false" ht="15" hidden="false" customHeight="false" outlineLevel="0" collapsed="false">
      <c r="A2871" s="8"/>
      <c r="B2871" s="8"/>
      <c r="C2871" s="8"/>
      <c r="D2871" s="8"/>
      <c r="E2871" s="8"/>
      <c r="F2871" t="str" s="15">
        <f aca="0">IF(B2871="","",IF(H2871="","확인필요(입력누락)",IF(SUMPRODUCT((실물목록!$P$2:$P$1001&lt;&gt;"")*ISNUMBER(SEARCH(실물목록!$P$2:$P$1001,I2871))*(실물목록!$Q$2:$Q$1001&lt;&gt;"")*ISNUMBER(SEARCH(실물목록!$Q$2:$Q$1001,I2871))*(실물목록!$R$2:$R$1001="")*(실물목록!$O$2:$O$1001&lt;&gt;"")*(실물목록!$O$2:$O$1001=H2871))&gt;0,"실물 있음",IF(SUMPRODUCT((실물목록!$P$2:$P$1001&lt;&gt;"")*ISNUMBER(SEARCH(실물목록!$P$2:$P$1001,I2871))*(실물목록!$R$2:$R$1001&lt;&gt;""))&gt;0,"확인필요(입력누락)",IF(SUMPRODUCT((실물목록!$P$2:$P$1001&lt;&gt;"")*ISNUMBER(SEARCH(실물목록!$P$2:$P$1001,I2871))*(실물목록!$Q$2:$Q$1001&lt;&gt;"")*ISNUMBER(SEARCH(실물목록!$Q$2:$Q$1001,I2871))*(실물목록!$R$2:$R$1001="")*(실물목록!$O$2:$O$1001&lt;&gt;""))&gt;0,"확인필요(연도다름)","실물 없음")))))</f>
      </c>
      <c r="G2871" t="n" s="16">
        <f aca="0">IF(B2871="","",SUMPRODUCT((실물목록!$P$2:$P$1001&lt;&gt;"")*ISNUMBER(SEARCH(실물목록!$P$2:$P$1001,I2871))*(실물목록!$Q$2:$Q$1001&lt;&gt;"")*ISNUMBER(SEARCH(실물목록!$Q$2:$Q$1001,I2871))*(실물목록!$R$2:$R$1001="")*(실물목록!$O$2:$O$1001&lt;&gt;"")*(실물목록!$O$2:$O$1001=H2871)))</f>
      </c>
      <c r="H2871" t="str">
        <f>IFERROR(IF(AND(LEN(SUBSTITUTE(SUBSTITUTE(SUBSTITUTE(TRIM(A2871&amp;""),CHAR(160),"")," ",""),"년",""))=4,VALUE(SUBSTITUTE(SUBSTITUTE(SUBSTITUTE(TRIM(A2871&amp;""),CHAR(160),"")," ",""),"년",""))&gt;=1900,VALUE(SUBSTITUTE(SUBSTITUTE(SUBSTITUTE(TRIM(A2871&amp;""),CHAR(160),"")," ",""),"년",""))&lt;=2099,TEXT(VALUE(SUBSTITUTE(SUBSTITUTE(SUBSTITUTE(TRIM(A2871&amp;""),CHAR(160),"")," ",""),"년","")),"0000")=SUBSTITUTE(SUBSTITUTE(SUBSTITUTE(TRIM(A2871&amp;""),CHAR(160),"")," ",""),"년","")),SUBSTITUTE(SUBSTITUTE(SUBSTITUTE(TRIM(A2871&amp;""),CHAR(160),"")," ",""),"년",""),""),"")</f>
      </c>
      <c r="I2871" t="str">
        <f>SUBSTITUTE(SUBSTITUTE(SUBSTITUTE(SUBSTITUTE(SUBSTITUTE(TRIM(B2871&amp;""),CHAR(160),"")," ",""),"초등학교","초"),"중학교","중"),"고등학교","고")</f>
      </c>
    </row>
    <row r="2872" customFormat="false" ht="15" hidden="false" customHeight="false" outlineLevel="0" collapsed="false">
      <c r="A2872" s="8"/>
      <c r="B2872" s="8"/>
      <c r="C2872" s="8"/>
      <c r="D2872" s="8"/>
      <c r="E2872" s="8"/>
      <c r="F2872" t="str" s="15">
        <f aca="0">IF(B2872="","",IF(H2872="","확인필요(입력누락)",IF(SUMPRODUCT((실물목록!$P$2:$P$1001&lt;&gt;"")*ISNUMBER(SEARCH(실물목록!$P$2:$P$1001,I2872))*(실물목록!$Q$2:$Q$1001&lt;&gt;"")*ISNUMBER(SEARCH(실물목록!$Q$2:$Q$1001,I2872))*(실물목록!$R$2:$R$1001="")*(실물목록!$O$2:$O$1001&lt;&gt;"")*(실물목록!$O$2:$O$1001=H2872))&gt;0,"실물 있음",IF(SUMPRODUCT((실물목록!$P$2:$P$1001&lt;&gt;"")*ISNUMBER(SEARCH(실물목록!$P$2:$P$1001,I2872))*(실물목록!$R$2:$R$1001&lt;&gt;""))&gt;0,"확인필요(입력누락)",IF(SUMPRODUCT((실물목록!$P$2:$P$1001&lt;&gt;"")*ISNUMBER(SEARCH(실물목록!$P$2:$P$1001,I2872))*(실물목록!$Q$2:$Q$1001&lt;&gt;"")*ISNUMBER(SEARCH(실물목록!$Q$2:$Q$1001,I2872))*(실물목록!$R$2:$R$1001="")*(실물목록!$O$2:$O$1001&lt;&gt;""))&gt;0,"확인필요(연도다름)","실물 없음")))))</f>
      </c>
      <c r="G2872" t="n" s="16">
        <f aca="0">IF(B2872="","",SUMPRODUCT((실물목록!$P$2:$P$1001&lt;&gt;"")*ISNUMBER(SEARCH(실물목록!$P$2:$P$1001,I2872))*(실물목록!$Q$2:$Q$1001&lt;&gt;"")*ISNUMBER(SEARCH(실물목록!$Q$2:$Q$1001,I2872))*(실물목록!$R$2:$R$1001="")*(실물목록!$O$2:$O$1001&lt;&gt;"")*(실물목록!$O$2:$O$1001=H2872)))</f>
      </c>
      <c r="H2872" t="str">
        <f>IFERROR(IF(AND(LEN(SUBSTITUTE(SUBSTITUTE(SUBSTITUTE(TRIM(A2872&amp;""),CHAR(160),"")," ",""),"년",""))=4,VALUE(SUBSTITUTE(SUBSTITUTE(SUBSTITUTE(TRIM(A2872&amp;""),CHAR(160),"")," ",""),"년",""))&gt;=1900,VALUE(SUBSTITUTE(SUBSTITUTE(SUBSTITUTE(TRIM(A2872&amp;""),CHAR(160),"")," ",""),"년",""))&lt;=2099,TEXT(VALUE(SUBSTITUTE(SUBSTITUTE(SUBSTITUTE(TRIM(A2872&amp;""),CHAR(160),"")," ",""),"년","")),"0000")=SUBSTITUTE(SUBSTITUTE(SUBSTITUTE(TRIM(A2872&amp;""),CHAR(160),"")," ",""),"년","")),SUBSTITUTE(SUBSTITUTE(SUBSTITUTE(TRIM(A2872&amp;""),CHAR(160),"")," ",""),"년",""),""),"")</f>
      </c>
      <c r="I2872" t="str">
        <f>SUBSTITUTE(SUBSTITUTE(SUBSTITUTE(SUBSTITUTE(SUBSTITUTE(TRIM(B2872&amp;""),CHAR(160),"")," ",""),"초등학교","초"),"중학교","중"),"고등학교","고")</f>
      </c>
    </row>
    <row r="2873" customFormat="false" ht="15" hidden="false" customHeight="false" outlineLevel="0" collapsed="false">
      <c r="A2873" s="8"/>
      <c r="B2873" s="8"/>
      <c r="C2873" s="8"/>
      <c r="D2873" s="8"/>
      <c r="E2873" s="8"/>
      <c r="F2873" t="str" s="15">
        <f aca="0">IF(B2873="","",IF(H2873="","확인필요(입력누락)",IF(SUMPRODUCT((실물목록!$P$2:$P$1001&lt;&gt;"")*ISNUMBER(SEARCH(실물목록!$P$2:$P$1001,I2873))*(실물목록!$Q$2:$Q$1001&lt;&gt;"")*ISNUMBER(SEARCH(실물목록!$Q$2:$Q$1001,I2873))*(실물목록!$R$2:$R$1001="")*(실물목록!$O$2:$O$1001&lt;&gt;"")*(실물목록!$O$2:$O$1001=H2873))&gt;0,"실물 있음",IF(SUMPRODUCT((실물목록!$P$2:$P$1001&lt;&gt;"")*ISNUMBER(SEARCH(실물목록!$P$2:$P$1001,I2873))*(실물목록!$R$2:$R$1001&lt;&gt;""))&gt;0,"확인필요(입력누락)",IF(SUMPRODUCT((실물목록!$P$2:$P$1001&lt;&gt;"")*ISNUMBER(SEARCH(실물목록!$P$2:$P$1001,I2873))*(실물목록!$Q$2:$Q$1001&lt;&gt;"")*ISNUMBER(SEARCH(실물목록!$Q$2:$Q$1001,I2873))*(실물목록!$R$2:$R$1001="")*(실물목록!$O$2:$O$1001&lt;&gt;""))&gt;0,"확인필요(연도다름)","실물 없음")))))</f>
      </c>
      <c r="G2873" t="n" s="16">
        <f aca="0">IF(B2873="","",SUMPRODUCT((실물목록!$P$2:$P$1001&lt;&gt;"")*ISNUMBER(SEARCH(실물목록!$P$2:$P$1001,I2873))*(실물목록!$Q$2:$Q$1001&lt;&gt;"")*ISNUMBER(SEARCH(실물목록!$Q$2:$Q$1001,I2873))*(실물목록!$R$2:$R$1001="")*(실물목록!$O$2:$O$1001&lt;&gt;"")*(실물목록!$O$2:$O$1001=H2873)))</f>
      </c>
      <c r="H2873" t="str">
        <f>IFERROR(IF(AND(LEN(SUBSTITUTE(SUBSTITUTE(SUBSTITUTE(TRIM(A2873&amp;""),CHAR(160),"")," ",""),"년",""))=4,VALUE(SUBSTITUTE(SUBSTITUTE(SUBSTITUTE(TRIM(A2873&amp;""),CHAR(160),"")," ",""),"년",""))&gt;=1900,VALUE(SUBSTITUTE(SUBSTITUTE(SUBSTITUTE(TRIM(A2873&amp;""),CHAR(160),"")," ",""),"년",""))&lt;=2099,TEXT(VALUE(SUBSTITUTE(SUBSTITUTE(SUBSTITUTE(TRIM(A2873&amp;""),CHAR(160),"")," ",""),"년","")),"0000")=SUBSTITUTE(SUBSTITUTE(SUBSTITUTE(TRIM(A2873&amp;""),CHAR(160),"")," ",""),"년","")),SUBSTITUTE(SUBSTITUTE(SUBSTITUTE(TRIM(A2873&amp;""),CHAR(160),"")," ",""),"년",""),""),"")</f>
      </c>
      <c r="I2873" t="str">
        <f>SUBSTITUTE(SUBSTITUTE(SUBSTITUTE(SUBSTITUTE(SUBSTITUTE(TRIM(B2873&amp;""),CHAR(160),"")," ",""),"초등학교","초"),"중학교","중"),"고등학교","고")</f>
      </c>
    </row>
    <row r="2874" customFormat="false" ht="15" hidden="false" customHeight="false" outlineLevel="0" collapsed="false">
      <c r="A2874" s="8"/>
      <c r="B2874" s="8"/>
      <c r="C2874" s="8"/>
      <c r="D2874" s="8"/>
      <c r="E2874" s="8"/>
      <c r="F2874" t="str" s="15">
        <f aca="0">IF(B2874="","",IF(H2874="","확인필요(입력누락)",IF(SUMPRODUCT((실물목록!$P$2:$P$1001&lt;&gt;"")*ISNUMBER(SEARCH(실물목록!$P$2:$P$1001,I2874))*(실물목록!$Q$2:$Q$1001&lt;&gt;"")*ISNUMBER(SEARCH(실물목록!$Q$2:$Q$1001,I2874))*(실물목록!$R$2:$R$1001="")*(실물목록!$O$2:$O$1001&lt;&gt;"")*(실물목록!$O$2:$O$1001=H2874))&gt;0,"실물 있음",IF(SUMPRODUCT((실물목록!$P$2:$P$1001&lt;&gt;"")*ISNUMBER(SEARCH(실물목록!$P$2:$P$1001,I2874))*(실물목록!$R$2:$R$1001&lt;&gt;""))&gt;0,"확인필요(입력누락)",IF(SUMPRODUCT((실물목록!$P$2:$P$1001&lt;&gt;"")*ISNUMBER(SEARCH(실물목록!$P$2:$P$1001,I2874))*(실물목록!$Q$2:$Q$1001&lt;&gt;"")*ISNUMBER(SEARCH(실물목록!$Q$2:$Q$1001,I2874))*(실물목록!$R$2:$R$1001="")*(실물목록!$O$2:$O$1001&lt;&gt;""))&gt;0,"확인필요(연도다름)","실물 없음")))))</f>
      </c>
      <c r="G2874" t="n" s="16">
        <f aca="0">IF(B2874="","",SUMPRODUCT((실물목록!$P$2:$P$1001&lt;&gt;"")*ISNUMBER(SEARCH(실물목록!$P$2:$P$1001,I2874))*(실물목록!$Q$2:$Q$1001&lt;&gt;"")*ISNUMBER(SEARCH(실물목록!$Q$2:$Q$1001,I2874))*(실물목록!$R$2:$R$1001="")*(실물목록!$O$2:$O$1001&lt;&gt;"")*(실물목록!$O$2:$O$1001=H2874)))</f>
      </c>
      <c r="H2874" t="str">
        <f>IFERROR(IF(AND(LEN(SUBSTITUTE(SUBSTITUTE(SUBSTITUTE(TRIM(A2874&amp;""),CHAR(160),"")," ",""),"년",""))=4,VALUE(SUBSTITUTE(SUBSTITUTE(SUBSTITUTE(TRIM(A2874&amp;""),CHAR(160),"")," ",""),"년",""))&gt;=1900,VALUE(SUBSTITUTE(SUBSTITUTE(SUBSTITUTE(TRIM(A2874&amp;""),CHAR(160),"")," ",""),"년",""))&lt;=2099,TEXT(VALUE(SUBSTITUTE(SUBSTITUTE(SUBSTITUTE(TRIM(A2874&amp;""),CHAR(160),"")," ",""),"년","")),"0000")=SUBSTITUTE(SUBSTITUTE(SUBSTITUTE(TRIM(A2874&amp;""),CHAR(160),"")," ",""),"년","")),SUBSTITUTE(SUBSTITUTE(SUBSTITUTE(TRIM(A2874&amp;""),CHAR(160),"")," ",""),"년",""),""),"")</f>
      </c>
      <c r="I2874" t="str">
        <f>SUBSTITUTE(SUBSTITUTE(SUBSTITUTE(SUBSTITUTE(SUBSTITUTE(TRIM(B2874&amp;""),CHAR(160),"")," ",""),"초등학교","초"),"중학교","중"),"고등학교","고")</f>
      </c>
    </row>
    <row r="2875" customFormat="false" ht="15" hidden="false" customHeight="false" outlineLevel="0" collapsed="false">
      <c r="A2875" s="8"/>
      <c r="B2875" s="8"/>
      <c r="C2875" s="8"/>
      <c r="D2875" s="8"/>
      <c r="E2875" s="8"/>
      <c r="F2875" t="str" s="15">
        <f aca="0">IF(B2875="","",IF(H2875="","확인필요(입력누락)",IF(SUMPRODUCT((실물목록!$P$2:$P$1001&lt;&gt;"")*ISNUMBER(SEARCH(실물목록!$P$2:$P$1001,I2875))*(실물목록!$Q$2:$Q$1001&lt;&gt;"")*ISNUMBER(SEARCH(실물목록!$Q$2:$Q$1001,I2875))*(실물목록!$R$2:$R$1001="")*(실물목록!$O$2:$O$1001&lt;&gt;"")*(실물목록!$O$2:$O$1001=H2875))&gt;0,"실물 있음",IF(SUMPRODUCT((실물목록!$P$2:$P$1001&lt;&gt;"")*ISNUMBER(SEARCH(실물목록!$P$2:$P$1001,I2875))*(실물목록!$R$2:$R$1001&lt;&gt;""))&gt;0,"확인필요(입력누락)",IF(SUMPRODUCT((실물목록!$P$2:$P$1001&lt;&gt;"")*ISNUMBER(SEARCH(실물목록!$P$2:$P$1001,I2875))*(실물목록!$Q$2:$Q$1001&lt;&gt;"")*ISNUMBER(SEARCH(실물목록!$Q$2:$Q$1001,I2875))*(실물목록!$R$2:$R$1001="")*(실물목록!$O$2:$O$1001&lt;&gt;""))&gt;0,"확인필요(연도다름)","실물 없음")))))</f>
      </c>
      <c r="G2875" t="n" s="16">
        <f aca="0">IF(B2875="","",SUMPRODUCT((실물목록!$P$2:$P$1001&lt;&gt;"")*ISNUMBER(SEARCH(실물목록!$P$2:$P$1001,I2875))*(실물목록!$Q$2:$Q$1001&lt;&gt;"")*ISNUMBER(SEARCH(실물목록!$Q$2:$Q$1001,I2875))*(실물목록!$R$2:$R$1001="")*(실물목록!$O$2:$O$1001&lt;&gt;"")*(실물목록!$O$2:$O$1001=H2875)))</f>
      </c>
      <c r="H2875" t="str">
        <f>IFERROR(IF(AND(LEN(SUBSTITUTE(SUBSTITUTE(SUBSTITUTE(TRIM(A2875&amp;""),CHAR(160),"")," ",""),"년",""))=4,VALUE(SUBSTITUTE(SUBSTITUTE(SUBSTITUTE(TRIM(A2875&amp;""),CHAR(160),"")," ",""),"년",""))&gt;=1900,VALUE(SUBSTITUTE(SUBSTITUTE(SUBSTITUTE(TRIM(A2875&amp;""),CHAR(160),"")," ",""),"년",""))&lt;=2099,TEXT(VALUE(SUBSTITUTE(SUBSTITUTE(SUBSTITUTE(TRIM(A2875&amp;""),CHAR(160),"")," ",""),"년","")),"0000")=SUBSTITUTE(SUBSTITUTE(SUBSTITUTE(TRIM(A2875&amp;""),CHAR(160),"")," ",""),"년","")),SUBSTITUTE(SUBSTITUTE(SUBSTITUTE(TRIM(A2875&amp;""),CHAR(160),"")," ",""),"년",""),""),"")</f>
      </c>
      <c r="I2875" t="str">
        <f>SUBSTITUTE(SUBSTITUTE(SUBSTITUTE(SUBSTITUTE(SUBSTITUTE(TRIM(B2875&amp;""),CHAR(160),"")," ",""),"초등학교","초"),"중학교","중"),"고등학교","고")</f>
      </c>
    </row>
    <row r="2876" customFormat="false" ht="15" hidden="false" customHeight="false" outlineLevel="0" collapsed="false">
      <c r="A2876" s="8"/>
      <c r="B2876" s="8"/>
      <c r="C2876" s="8"/>
      <c r="D2876" s="8"/>
      <c r="E2876" s="8"/>
      <c r="F2876" t="str" s="15">
        <f aca="0">IF(B2876="","",IF(H2876="","확인필요(입력누락)",IF(SUMPRODUCT((실물목록!$P$2:$P$1001&lt;&gt;"")*ISNUMBER(SEARCH(실물목록!$P$2:$P$1001,I2876))*(실물목록!$Q$2:$Q$1001&lt;&gt;"")*ISNUMBER(SEARCH(실물목록!$Q$2:$Q$1001,I2876))*(실물목록!$R$2:$R$1001="")*(실물목록!$O$2:$O$1001&lt;&gt;"")*(실물목록!$O$2:$O$1001=H2876))&gt;0,"실물 있음",IF(SUMPRODUCT((실물목록!$P$2:$P$1001&lt;&gt;"")*ISNUMBER(SEARCH(실물목록!$P$2:$P$1001,I2876))*(실물목록!$R$2:$R$1001&lt;&gt;""))&gt;0,"확인필요(입력누락)",IF(SUMPRODUCT((실물목록!$P$2:$P$1001&lt;&gt;"")*ISNUMBER(SEARCH(실물목록!$P$2:$P$1001,I2876))*(실물목록!$Q$2:$Q$1001&lt;&gt;"")*ISNUMBER(SEARCH(실물목록!$Q$2:$Q$1001,I2876))*(실물목록!$R$2:$R$1001="")*(실물목록!$O$2:$O$1001&lt;&gt;""))&gt;0,"확인필요(연도다름)","실물 없음")))))</f>
      </c>
      <c r="G2876" t="n" s="16">
        <f aca="0">IF(B2876="","",SUMPRODUCT((실물목록!$P$2:$P$1001&lt;&gt;"")*ISNUMBER(SEARCH(실물목록!$P$2:$P$1001,I2876))*(실물목록!$Q$2:$Q$1001&lt;&gt;"")*ISNUMBER(SEARCH(실물목록!$Q$2:$Q$1001,I2876))*(실물목록!$R$2:$R$1001="")*(실물목록!$O$2:$O$1001&lt;&gt;"")*(실물목록!$O$2:$O$1001=H2876)))</f>
      </c>
      <c r="H2876" t="str">
        <f>IFERROR(IF(AND(LEN(SUBSTITUTE(SUBSTITUTE(SUBSTITUTE(TRIM(A2876&amp;""),CHAR(160),"")," ",""),"년",""))=4,VALUE(SUBSTITUTE(SUBSTITUTE(SUBSTITUTE(TRIM(A2876&amp;""),CHAR(160),"")," ",""),"년",""))&gt;=1900,VALUE(SUBSTITUTE(SUBSTITUTE(SUBSTITUTE(TRIM(A2876&amp;""),CHAR(160),"")," ",""),"년",""))&lt;=2099,TEXT(VALUE(SUBSTITUTE(SUBSTITUTE(SUBSTITUTE(TRIM(A2876&amp;""),CHAR(160),"")," ",""),"년","")),"0000")=SUBSTITUTE(SUBSTITUTE(SUBSTITUTE(TRIM(A2876&amp;""),CHAR(160),"")," ",""),"년","")),SUBSTITUTE(SUBSTITUTE(SUBSTITUTE(TRIM(A2876&amp;""),CHAR(160),"")," ",""),"년",""),""),"")</f>
      </c>
      <c r="I2876" t="str">
        <f>SUBSTITUTE(SUBSTITUTE(SUBSTITUTE(SUBSTITUTE(SUBSTITUTE(TRIM(B2876&amp;""),CHAR(160),"")," ",""),"초등학교","초"),"중학교","중"),"고등학교","고")</f>
      </c>
    </row>
    <row r="2877" customFormat="false" ht="15" hidden="false" customHeight="false" outlineLevel="0" collapsed="false">
      <c r="A2877" s="8"/>
      <c r="B2877" s="8"/>
      <c r="C2877" s="8"/>
      <c r="D2877" s="8"/>
      <c r="E2877" s="8"/>
      <c r="F2877" t="str" s="15">
        <f aca="0">IF(B2877="","",IF(H2877="","확인필요(입력누락)",IF(SUMPRODUCT((실물목록!$P$2:$P$1001&lt;&gt;"")*ISNUMBER(SEARCH(실물목록!$P$2:$P$1001,I2877))*(실물목록!$Q$2:$Q$1001&lt;&gt;"")*ISNUMBER(SEARCH(실물목록!$Q$2:$Q$1001,I2877))*(실물목록!$R$2:$R$1001="")*(실물목록!$O$2:$O$1001&lt;&gt;"")*(실물목록!$O$2:$O$1001=H2877))&gt;0,"실물 있음",IF(SUMPRODUCT((실물목록!$P$2:$P$1001&lt;&gt;"")*ISNUMBER(SEARCH(실물목록!$P$2:$P$1001,I2877))*(실물목록!$R$2:$R$1001&lt;&gt;""))&gt;0,"확인필요(입력누락)",IF(SUMPRODUCT((실물목록!$P$2:$P$1001&lt;&gt;"")*ISNUMBER(SEARCH(실물목록!$P$2:$P$1001,I2877))*(실물목록!$Q$2:$Q$1001&lt;&gt;"")*ISNUMBER(SEARCH(실물목록!$Q$2:$Q$1001,I2877))*(실물목록!$R$2:$R$1001="")*(실물목록!$O$2:$O$1001&lt;&gt;""))&gt;0,"확인필요(연도다름)","실물 없음")))))</f>
      </c>
      <c r="G2877" t="n" s="16">
        <f aca="0">IF(B2877="","",SUMPRODUCT((실물목록!$P$2:$P$1001&lt;&gt;"")*ISNUMBER(SEARCH(실물목록!$P$2:$P$1001,I2877))*(실물목록!$Q$2:$Q$1001&lt;&gt;"")*ISNUMBER(SEARCH(실물목록!$Q$2:$Q$1001,I2877))*(실물목록!$R$2:$R$1001="")*(실물목록!$O$2:$O$1001&lt;&gt;"")*(실물목록!$O$2:$O$1001=H2877)))</f>
      </c>
      <c r="H2877" t="str">
        <f>IFERROR(IF(AND(LEN(SUBSTITUTE(SUBSTITUTE(SUBSTITUTE(TRIM(A2877&amp;""),CHAR(160),"")," ",""),"년",""))=4,VALUE(SUBSTITUTE(SUBSTITUTE(SUBSTITUTE(TRIM(A2877&amp;""),CHAR(160),"")," ",""),"년",""))&gt;=1900,VALUE(SUBSTITUTE(SUBSTITUTE(SUBSTITUTE(TRIM(A2877&amp;""),CHAR(160),"")," ",""),"년",""))&lt;=2099,TEXT(VALUE(SUBSTITUTE(SUBSTITUTE(SUBSTITUTE(TRIM(A2877&amp;""),CHAR(160),"")," ",""),"년","")),"0000")=SUBSTITUTE(SUBSTITUTE(SUBSTITUTE(TRIM(A2877&amp;""),CHAR(160),"")," ",""),"년","")),SUBSTITUTE(SUBSTITUTE(SUBSTITUTE(TRIM(A2877&amp;""),CHAR(160),"")," ",""),"년",""),""),"")</f>
      </c>
      <c r="I2877" t="str">
        <f>SUBSTITUTE(SUBSTITUTE(SUBSTITUTE(SUBSTITUTE(SUBSTITUTE(TRIM(B2877&amp;""),CHAR(160),"")," ",""),"초등학교","초"),"중학교","중"),"고등학교","고")</f>
      </c>
    </row>
    <row r="2878" customFormat="false" ht="15" hidden="false" customHeight="false" outlineLevel="0" collapsed="false">
      <c r="A2878" s="8"/>
      <c r="B2878" s="8"/>
      <c r="C2878" s="8"/>
      <c r="D2878" s="8"/>
      <c r="E2878" s="8"/>
      <c r="F2878" t="str" s="15">
        <f aca="0">IF(B2878="","",IF(H2878="","확인필요(입력누락)",IF(SUMPRODUCT((실물목록!$P$2:$P$1001&lt;&gt;"")*ISNUMBER(SEARCH(실물목록!$P$2:$P$1001,I2878))*(실물목록!$Q$2:$Q$1001&lt;&gt;"")*ISNUMBER(SEARCH(실물목록!$Q$2:$Q$1001,I2878))*(실물목록!$R$2:$R$1001="")*(실물목록!$O$2:$O$1001&lt;&gt;"")*(실물목록!$O$2:$O$1001=H2878))&gt;0,"실물 있음",IF(SUMPRODUCT((실물목록!$P$2:$P$1001&lt;&gt;"")*ISNUMBER(SEARCH(실물목록!$P$2:$P$1001,I2878))*(실물목록!$R$2:$R$1001&lt;&gt;""))&gt;0,"확인필요(입력누락)",IF(SUMPRODUCT((실물목록!$P$2:$P$1001&lt;&gt;"")*ISNUMBER(SEARCH(실물목록!$P$2:$P$1001,I2878))*(실물목록!$Q$2:$Q$1001&lt;&gt;"")*ISNUMBER(SEARCH(실물목록!$Q$2:$Q$1001,I2878))*(실물목록!$R$2:$R$1001="")*(실물목록!$O$2:$O$1001&lt;&gt;""))&gt;0,"확인필요(연도다름)","실물 없음")))))</f>
      </c>
      <c r="G2878" t="n" s="16">
        <f aca="0">IF(B2878="","",SUMPRODUCT((실물목록!$P$2:$P$1001&lt;&gt;"")*ISNUMBER(SEARCH(실물목록!$P$2:$P$1001,I2878))*(실물목록!$Q$2:$Q$1001&lt;&gt;"")*ISNUMBER(SEARCH(실물목록!$Q$2:$Q$1001,I2878))*(실물목록!$R$2:$R$1001="")*(실물목록!$O$2:$O$1001&lt;&gt;"")*(실물목록!$O$2:$O$1001=H2878)))</f>
      </c>
      <c r="H2878" t="str">
        <f>IFERROR(IF(AND(LEN(SUBSTITUTE(SUBSTITUTE(SUBSTITUTE(TRIM(A2878&amp;""),CHAR(160),"")," ",""),"년",""))=4,VALUE(SUBSTITUTE(SUBSTITUTE(SUBSTITUTE(TRIM(A2878&amp;""),CHAR(160),"")," ",""),"년",""))&gt;=1900,VALUE(SUBSTITUTE(SUBSTITUTE(SUBSTITUTE(TRIM(A2878&amp;""),CHAR(160),"")," ",""),"년",""))&lt;=2099,TEXT(VALUE(SUBSTITUTE(SUBSTITUTE(SUBSTITUTE(TRIM(A2878&amp;""),CHAR(160),"")," ",""),"년","")),"0000")=SUBSTITUTE(SUBSTITUTE(SUBSTITUTE(TRIM(A2878&amp;""),CHAR(160),"")," ",""),"년","")),SUBSTITUTE(SUBSTITUTE(SUBSTITUTE(TRIM(A2878&amp;""),CHAR(160),"")," ",""),"년",""),""),"")</f>
      </c>
      <c r="I2878" t="str">
        <f>SUBSTITUTE(SUBSTITUTE(SUBSTITUTE(SUBSTITUTE(SUBSTITUTE(TRIM(B2878&amp;""),CHAR(160),"")," ",""),"초등학교","초"),"중학교","중"),"고등학교","고")</f>
      </c>
    </row>
    <row r="2879" customFormat="false" ht="15" hidden="false" customHeight="false" outlineLevel="0" collapsed="false">
      <c r="A2879" s="8"/>
      <c r="B2879" s="8"/>
      <c r="C2879" s="8"/>
      <c r="D2879" s="8"/>
      <c r="E2879" s="8"/>
      <c r="F2879" t="str" s="15">
        <f aca="0">IF(B2879="","",IF(H2879="","확인필요(입력누락)",IF(SUMPRODUCT((실물목록!$P$2:$P$1001&lt;&gt;"")*ISNUMBER(SEARCH(실물목록!$P$2:$P$1001,I2879))*(실물목록!$Q$2:$Q$1001&lt;&gt;"")*ISNUMBER(SEARCH(실물목록!$Q$2:$Q$1001,I2879))*(실물목록!$R$2:$R$1001="")*(실물목록!$O$2:$O$1001&lt;&gt;"")*(실물목록!$O$2:$O$1001=H2879))&gt;0,"실물 있음",IF(SUMPRODUCT((실물목록!$P$2:$P$1001&lt;&gt;"")*ISNUMBER(SEARCH(실물목록!$P$2:$P$1001,I2879))*(실물목록!$R$2:$R$1001&lt;&gt;""))&gt;0,"확인필요(입력누락)",IF(SUMPRODUCT((실물목록!$P$2:$P$1001&lt;&gt;"")*ISNUMBER(SEARCH(실물목록!$P$2:$P$1001,I2879))*(실물목록!$Q$2:$Q$1001&lt;&gt;"")*ISNUMBER(SEARCH(실물목록!$Q$2:$Q$1001,I2879))*(실물목록!$R$2:$R$1001="")*(실물목록!$O$2:$O$1001&lt;&gt;""))&gt;0,"확인필요(연도다름)","실물 없음")))))</f>
      </c>
      <c r="G2879" t="n" s="16">
        <f aca="0">IF(B2879="","",SUMPRODUCT((실물목록!$P$2:$P$1001&lt;&gt;"")*ISNUMBER(SEARCH(실물목록!$P$2:$P$1001,I2879))*(실물목록!$Q$2:$Q$1001&lt;&gt;"")*ISNUMBER(SEARCH(실물목록!$Q$2:$Q$1001,I2879))*(실물목록!$R$2:$R$1001="")*(실물목록!$O$2:$O$1001&lt;&gt;"")*(실물목록!$O$2:$O$1001=H2879)))</f>
      </c>
      <c r="H2879" t="str">
        <f>IFERROR(IF(AND(LEN(SUBSTITUTE(SUBSTITUTE(SUBSTITUTE(TRIM(A2879&amp;""),CHAR(160),"")," ",""),"년",""))=4,VALUE(SUBSTITUTE(SUBSTITUTE(SUBSTITUTE(TRIM(A2879&amp;""),CHAR(160),"")," ",""),"년",""))&gt;=1900,VALUE(SUBSTITUTE(SUBSTITUTE(SUBSTITUTE(TRIM(A2879&amp;""),CHAR(160),"")," ",""),"년",""))&lt;=2099,TEXT(VALUE(SUBSTITUTE(SUBSTITUTE(SUBSTITUTE(TRIM(A2879&amp;""),CHAR(160),"")," ",""),"년","")),"0000")=SUBSTITUTE(SUBSTITUTE(SUBSTITUTE(TRIM(A2879&amp;""),CHAR(160),"")," ",""),"년","")),SUBSTITUTE(SUBSTITUTE(SUBSTITUTE(TRIM(A2879&amp;""),CHAR(160),"")," ",""),"년",""),""),"")</f>
      </c>
      <c r="I2879" t="str">
        <f>SUBSTITUTE(SUBSTITUTE(SUBSTITUTE(SUBSTITUTE(SUBSTITUTE(TRIM(B2879&amp;""),CHAR(160),"")," ",""),"초등학교","초"),"중학교","중"),"고등학교","고")</f>
      </c>
    </row>
    <row r="2880" customFormat="false" ht="15" hidden="false" customHeight="false" outlineLevel="0" collapsed="false">
      <c r="A2880" s="8"/>
      <c r="B2880" s="8"/>
      <c r="C2880" s="8"/>
      <c r="D2880" s="8"/>
      <c r="E2880" s="8"/>
      <c r="F2880" t="str" s="15">
        <f aca="0">IF(B2880="","",IF(H2880="","확인필요(입력누락)",IF(SUMPRODUCT((실물목록!$P$2:$P$1001&lt;&gt;"")*ISNUMBER(SEARCH(실물목록!$P$2:$P$1001,I2880))*(실물목록!$Q$2:$Q$1001&lt;&gt;"")*ISNUMBER(SEARCH(실물목록!$Q$2:$Q$1001,I2880))*(실물목록!$R$2:$R$1001="")*(실물목록!$O$2:$O$1001&lt;&gt;"")*(실물목록!$O$2:$O$1001=H2880))&gt;0,"실물 있음",IF(SUMPRODUCT((실물목록!$P$2:$P$1001&lt;&gt;"")*ISNUMBER(SEARCH(실물목록!$P$2:$P$1001,I2880))*(실물목록!$R$2:$R$1001&lt;&gt;""))&gt;0,"확인필요(입력누락)",IF(SUMPRODUCT((실물목록!$P$2:$P$1001&lt;&gt;"")*ISNUMBER(SEARCH(실물목록!$P$2:$P$1001,I2880))*(실물목록!$Q$2:$Q$1001&lt;&gt;"")*ISNUMBER(SEARCH(실물목록!$Q$2:$Q$1001,I2880))*(실물목록!$R$2:$R$1001="")*(실물목록!$O$2:$O$1001&lt;&gt;""))&gt;0,"확인필요(연도다름)","실물 없음")))))</f>
      </c>
      <c r="G2880" t="n" s="16">
        <f aca="0">IF(B2880="","",SUMPRODUCT((실물목록!$P$2:$P$1001&lt;&gt;"")*ISNUMBER(SEARCH(실물목록!$P$2:$P$1001,I2880))*(실물목록!$Q$2:$Q$1001&lt;&gt;"")*ISNUMBER(SEARCH(실물목록!$Q$2:$Q$1001,I2880))*(실물목록!$R$2:$R$1001="")*(실물목록!$O$2:$O$1001&lt;&gt;"")*(실물목록!$O$2:$O$1001=H2880)))</f>
      </c>
      <c r="H2880" t="str">
        <f>IFERROR(IF(AND(LEN(SUBSTITUTE(SUBSTITUTE(SUBSTITUTE(TRIM(A2880&amp;""),CHAR(160),"")," ",""),"년",""))=4,VALUE(SUBSTITUTE(SUBSTITUTE(SUBSTITUTE(TRIM(A2880&amp;""),CHAR(160),"")," ",""),"년",""))&gt;=1900,VALUE(SUBSTITUTE(SUBSTITUTE(SUBSTITUTE(TRIM(A2880&amp;""),CHAR(160),"")," ",""),"년",""))&lt;=2099,TEXT(VALUE(SUBSTITUTE(SUBSTITUTE(SUBSTITUTE(TRIM(A2880&amp;""),CHAR(160),"")," ",""),"년","")),"0000")=SUBSTITUTE(SUBSTITUTE(SUBSTITUTE(TRIM(A2880&amp;""),CHAR(160),"")," ",""),"년","")),SUBSTITUTE(SUBSTITUTE(SUBSTITUTE(TRIM(A2880&amp;""),CHAR(160),"")," ",""),"년",""),""),"")</f>
      </c>
      <c r="I2880" t="str">
        <f>SUBSTITUTE(SUBSTITUTE(SUBSTITUTE(SUBSTITUTE(SUBSTITUTE(TRIM(B2880&amp;""),CHAR(160),"")," ",""),"초등학교","초"),"중학교","중"),"고등학교","고")</f>
      </c>
    </row>
    <row r="2881" customFormat="false" ht="15" hidden="false" customHeight="false" outlineLevel="0" collapsed="false">
      <c r="A2881" s="8"/>
      <c r="B2881" s="8"/>
      <c r="C2881" s="8"/>
      <c r="D2881" s="8"/>
      <c r="E2881" s="8"/>
      <c r="F2881" t="str" s="15">
        <f aca="0">IF(B2881="","",IF(H2881="","확인필요(입력누락)",IF(SUMPRODUCT((실물목록!$P$2:$P$1001&lt;&gt;"")*ISNUMBER(SEARCH(실물목록!$P$2:$P$1001,I2881))*(실물목록!$Q$2:$Q$1001&lt;&gt;"")*ISNUMBER(SEARCH(실물목록!$Q$2:$Q$1001,I2881))*(실물목록!$R$2:$R$1001="")*(실물목록!$O$2:$O$1001&lt;&gt;"")*(실물목록!$O$2:$O$1001=H2881))&gt;0,"실물 있음",IF(SUMPRODUCT((실물목록!$P$2:$P$1001&lt;&gt;"")*ISNUMBER(SEARCH(실물목록!$P$2:$P$1001,I2881))*(실물목록!$R$2:$R$1001&lt;&gt;""))&gt;0,"확인필요(입력누락)",IF(SUMPRODUCT((실물목록!$P$2:$P$1001&lt;&gt;"")*ISNUMBER(SEARCH(실물목록!$P$2:$P$1001,I2881))*(실물목록!$Q$2:$Q$1001&lt;&gt;"")*ISNUMBER(SEARCH(실물목록!$Q$2:$Q$1001,I2881))*(실물목록!$R$2:$R$1001="")*(실물목록!$O$2:$O$1001&lt;&gt;""))&gt;0,"확인필요(연도다름)","실물 없음")))))</f>
      </c>
      <c r="G2881" t="n" s="16">
        <f aca="0">IF(B2881="","",SUMPRODUCT((실물목록!$P$2:$P$1001&lt;&gt;"")*ISNUMBER(SEARCH(실물목록!$P$2:$P$1001,I2881))*(실물목록!$Q$2:$Q$1001&lt;&gt;"")*ISNUMBER(SEARCH(실물목록!$Q$2:$Q$1001,I2881))*(실물목록!$R$2:$R$1001="")*(실물목록!$O$2:$O$1001&lt;&gt;"")*(실물목록!$O$2:$O$1001=H2881)))</f>
      </c>
      <c r="H2881" t="str">
        <f>IFERROR(IF(AND(LEN(SUBSTITUTE(SUBSTITUTE(SUBSTITUTE(TRIM(A2881&amp;""),CHAR(160),"")," ",""),"년",""))=4,VALUE(SUBSTITUTE(SUBSTITUTE(SUBSTITUTE(TRIM(A2881&amp;""),CHAR(160),"")," ",""),"년",""))&gt;=1900,VALUE(SUBSTITUTE(SUBSTITUTE(SUBSTITUTE(TRIM(A2881&amp;""),CHAR(160),"")," ",""),"년",""))&lt;=2099,TEXT(VALUE(SUBSTITUTE(SUBSTITUTE(SUBSTITUTE(TRIM(A2881&amp;""),CHAR(160),"")," ",""),"년","")),"0000")=SUBSTITUTE(SUBSTITUTE(SUBSTITUTE(TRIM(A2881&amp;""),CHAR(160),"")," ",""),"년","")),SUBSTITUTE(SUBSTITUTE(SUBSTITUTE(TRIM(A2881&amp;""),CHAR(160),"")," ",""),"년",""),""),"")</f>
      </c>
      <c r="I2881" t="str">
        <f>SUBSTITUTE(SUBSTITUTE(SUBSTITUTE(SUBSTITUTE(SUBSTITUTE(TRIM(B2881&amp;""),CHAR(160),"")," ",""),"초등학교","초"),"중학교","중"),"고등학교","고")</f>
      </c>
    </row>
    <row r="2882" customFormat="false" ht="15" hidden="false" customHeight="false" outlineLevel="0" collapsed="false">
      <c r="A2882" s="8"/>
      <c r="B2882" s="8"/>
      <c r="C2882" s="8"/>
      <c r="D2882" s="8"/>
      <c r="E2882" s="8"/>
      <c r="F2882" t="str" s="15">
        <f aca="0">IF(B2882="","",IF(H2882="","확인필요(입력누락)",IF(SUMPRODUCT((실물목록!$P$2:$P$1001&lt;&gt;"")*ISNUMBER(SEARCH(실물목록!$P$2:$P$1001,I2882))*(실물목록!$Q$2:$Q$1001&lt;&gt;"")*ISNUMBER(SEARCH(실물목록!$Q$2:$Q$1001,I2882))*(실물목록!$R$2:$R$1001="")*(실물목록!$O$2:$O$1001&lt;&gt;"")*(실물목록!$O$2:$O$1001=H2882))&gt;0,"실물 있음",IF(SUMPRODUCT((실물목록!$P$2:$P$1001&lt;&gt;"")*ISNUMBER(SEARCH(실물목록!$P$2:$P$1001,I2882))*(실물목록!$R$2:$R$1001&lt;&gt;""))&gt;0,"확인필요(입력누락)",IF(SUMPRODUCT((실물목록!$P$2:$P$1001&lt;&gt;"")*ISNUMBER(SEARCH(실물목록!$P$2:$P$1001,I2882))*(실물목록!$Q$2:$Q$1001&lt;&gt;"")*ISNUMBER(SEARCH(실물목록!$Q$2:$Q$1001,I2882))*(실물목록!$R$2:$R$1001="")*(실물목록!$O$2:$O$1001&lt;&gt;""))&gt;0,"확인필요(연도다름)","실물 없음")))))</f>
      </c>
      <c r="G2882" t="n" s="16">
        <f aca="0">IF(B2882="","",SUMPRODUCT((실물목록!$P$2:$P$1001&lt;&gt;"")*ISNUMBER(SEARCH(실물목록!$P$2:$P$1001,I2882))*(실물목록!$Q$2:$Q$1001&lt;&gt;"")*ISNUMBER(SEARCH(실물목록!$Q$2:$Q$1001,I2882))*(실물목록!$R$2:$R$1001="")*(실물목록!$O$2:$O$1001&lt;&gt;"")*(실물목록!$O$2:$O$1001=H2882)))</f>
      </c>
      <c r="H2882" t="str">
        <f>IFERROR(IF(AND(LEN(SUBSTITUTE(SUBSTITUTE(SUBSTITUTE(TRIM(A2882&amp;""),CHAR(160),"")," ",""),"년",""))=4,VALUE(SUBSTITUTE(SUBSTITUTE(SUBSTITUTE(TRIM(A2882&amp;""),CHAR(160),"")," ",""),"년",""))&gt;=1900,VALUE(SUBSTITUTE(SUBSTITUTE(SUBSTITUTE(TRIM(A2882&amp;""),CHAR(160),"")," ",""),"년",""))&lt;=2099,TEXT(VALUE(SUBSTITUTE(SUBSTITUTE(SUBSTITUTE(TRIM(A2882&amp;""),CHAR(160),"")," ",""),"년","")),"0000")=SUBSTITUTE(SUBSTITUTE(SUBSTITUTE(TRIM(A2882&amp;""),CHAR(160),"")," ",""),"년","")),SUBSTITUTE(SUBSTITUTE(SUBSTITUTE(TRIM(A2882&amp;""),CHAR(160),"")," ",""),"년",""),""),"")</f>
      </c>
      <c r="I2882" t="str">
        <f>SUBSTITUTE(SUBSTITUTE(SUBSTITUTE(SUBSTITUTE(SUBSTITUTE(TRIM(B2882&amp;""),CHAR(160),"")," ",""),"초등학교","초"),"중학교","중"),"고등학교","고")</f>
      </c>
    </row>
    <row r="2883" customFormat="false" ht="15" hidden="false" customHeight="false" outlineLevel="0" collapsed="false">
      <c r="A2883" s="8"/>
      <c r="B2883" s="8"/>
      <c r="C2883" s="8"/>
      <c r="D2883" s="8"/>
      <c r="E2883" s="8"/>
      <c r="F2883" t="str" s="15">
        <f aca="0">IF(B2883="","",IF(H2883="","확인필요(입력누락)",IF(SUMPRODUCT((실물목록!$P$2:$P$1001&lt;&gt;"")*ISNUMBER(SEARCH(실물목록!$P$2:$P$1001,I2883))*(실물목록!$Q$2:$Q$1001&lt;&gt;"")*ISNUMBER(SEARCH(실물목록!$Q$2:$Q$1001,I2883))*(실물목록!$R$2:$R$1001="")*(실물목록!$O$2:$O$1001&lt;&gt;"")*(실물목록!$O$2:$O$1001=H2883))&gt;0,"실물 있음",IF(SUMPRODUCT((실물목록!$P$2:$P$1001&lt;&gt;"")*ISNUMBER(SEARCH(실물목록!$P$2:$P$1001,I2883))*(실물목록!$R$2:$R$1001&lt;&gt;""))&gt;0,"확인필요(입력누락)",IF(SUMPRODUCT((실물목록!$P$2:$P$1001&lt;&gt;"")*ISNUMBER(SEARCH(실물목록!$P$2:$P$1001,I2883))*(실물목록!$Q$2:$Q$1001&lt;&gt;"")*ISNUMBER(SEARCH(실물목록!$Q$2:$Q$1001,I2883))*(실물목록!$R$2:$R$1001="")*(실물목록!$O$2:$O$1001&lt;&gt;""))&gt;0,"확인필요(연도다름)","실물 없음")))))</f>
      </c>
      <c r="G2883" t="n" s="16">
        <f aca="0">IF(B2883="","",SUMPRODUCT((실물목록!$P$2:$P$1001&lt;&gt;"")*ISNUMBER(SEARCH(실물목록!$P$2:$P$1001,I2883))*(실물목록!$Q$2:$Q$1001&lt;&gt;"")*ISNUMBER(SEARCH(실물목록!$Q$2:$Q$1001,I2883))*(실물목록!$R$2:$R$1001="")*(실물목록!$O$2:$O$1001&lt;&gt;"")*(실물목록!$O$2:$O$1001=H2883)))</f>
      </c>
      <c r="H2883" t="str">
        <f>IFERROR(IF(AND(LEN(SUBSTITUTE(SUBSTITUTE(SUBSTITUTE(TRIM(A2883&amp;""),CHAR(160),"")," ",""),"년",""))=4,VALUE(SUBSTITUTE(SUBSTITUTE(SUBSTITUTE(TRIM(A2883&amp;""),CHAR(160),"")," ",""),"년",""))&gt;=1900,VALUE(SUBSTITUTE(SUBSTITUTE(SUBSTITUTE(TRIM(A2883&amp;""),CHAR(160),"")," ",""),"년",""))&lt;=2099,TEXT(VALUE(SUBSTITUTE(SUBSTITUTE(SUBSTITUTE(TRIM(A2883&amp;""),CHAR(160),"")," ",""),"년","")),"0000")=SUBSTITUTE(SUBSTITUTE(SUBSTITUTE(TRIM(A2883&amp;""),CHAR(160),"")," ",""),"년","")),SUBSTITUTE(SUBSTITUTE(SUBSTITUTE(TRIM(A2883&amp;""),CHAR(160),"")," ",""),"년",""),""),"")</f>
      </c>
      <c r="I2883" t="str">
        <f>SUBSTITUTE(SUBSTITUTE(SUBSTITUTE(SUBSTITUTE(SUBSTITUTE(TRIM(B2883&amp;""),CHAR(160),"")," ",""),"초등학교","초"),"중학교","중"),"고등학교","고")</f>
      </c>
    </row>
    <row r="2884" customFormat="false" ht="15" hidden="false" customHeight="false" outlineLevel="0" collapsed="false">
      <c r="A2884" s="8"/>
      <c r="B2884" s="8"/>
      <c r="C2884" s="8"/>
      <c r="D2884" s="8"/>
      <c r="E2884" s="8"/>
      <c r="F2884" t="str" s="15">
        <f aca="0">IF(B2884="","",IF(H2884="","확인필요(입력누락)",IF(SUMPRODUCT((실물목록!$P$2:$P$1001&lt;&gt;"")*ISNUMBER(SEARCH(실물목록!$P$2:$P$1001,I2884))*(실물목록!$Q$2:$Q$1001&lt;&gt;"")*ISNUMBER(SEARCH(실물목록!$Q$2:$Q$1001,I2884))*(실물목록!$R$2:$R$1001="")*(실물목록!$O$2:$O$1001&lt;&gt;"")*(실물목록!$O$2:$O$1001=H2884))&gt;0,"실물 있음",IF(SUMPRODUCT((실물목록!$P$2:$P$1001&lt;&gt;"")*ISNUMBER(SEARCH(실물목록!$P$2:$P$1001,I2884))*(실물목록!$R$2:$R$1001&lt;&gt;""))&gt;0,"확인필요(입력누락)",IF(SUMPRODUCT((실물목록!$P$2:$P$1001&lt;&gt;"")*ISNUMBER(SEARCH(실물목록!$P$2:$P$1001,I2884))*(실물목록!$Q$2:$Q$1001&lt;&gt;"")*ISNUMBER(SEARCH(실물목록!$Q$2:$Q$1001,I2884))*(실물목록!$R$2:$R$1001="")*(실물목록!$O$2:$O$1001&lt;&gt;""))&gt;0,"확인필요(연도다름)","실물 없음")))))</f>
      </c>
      <c r="G2884" t="n" s="16">
        <f aca="0">IF(B2884="","",SUMPRODUCT((실물목록!$P$2:$P$1001&lt;&gt;"")*ISNUMBER(SEARCH(실물목록!$P$2:$P$1001,I2884))*(실물목록!$Q$2:$Q$1001&lt;&gt;"")*ISNUMBER(SEARCH(실물목록!$Q$2:$Q$1001,I2884))*(실물목록!$R$2:$R$1001="")*(실물목록!$O$2:$O$1001&lt;&gt;"")*(실물목록!$O$2:$O$1001=H2884)))</f>
      </c>
      <c r="H2884" t="str">
        <f>IFERROR(IF(AND(LEN(SUBSTITUTE(SUBSTITUTE(SUBSTITUTE(TRIM(A2884&amp;""),CHAR(160),"")," ",""),"년",""))=4,VALUE(SUBSTITUTE(SUBSTITUTE(SUBSTITUTE(TRIM(A2884&amp;""),CHAR(160),"")," ",""),"년",""))&gt;=1900,VALUE(SUBSTITUTE(SUBSTITUTE(SUBSTITUTE(TRIM(A2884&amp;""),CHAR(160),"")," ",""),"년",""))&lt;=2099,TEXT(VALUE(SUBSTITUTE(SUBSTITUTE(SUBSTITUTE(TRIM(A2884&amp;""),CHAR(160),"")," ",""),"년","")),"0000")=SUBSTITUTE(SUBSTITUTE(SUBSTITUTE(TRIM(A2884&amp;""),CHAR(160),"")," ",""),"년","")),SUBSTITUTE(SUBSTITUTE(SUBSTITUTE(TRIM(A2884&amp;""),CHAR(160),"")," ",""),"년",""),""),"")</f>
      </c>
      <c r="I2884" t="str">
        <f>SUBSTITUTE(SUBSTITUTE(SUBSTITUTE(SUBSTITUTE(SUBSTITUTE(TRIM(B2884&amp;""),CHAR(160),"")," ",""),"초등학교","초"),"중학교","중"),"고등학교","고")</f>
      </c>
    </row>
    <row r="2885" customFormat="false" ht="15" hidden="false" customHeight="false" outlineLevel="0" collapsed="false">
      <c r="A2885" s="8"/>
      <c r="B2885" s="8"/>
      <c r="C2885" s="8"/>
      <c r="D2885" s="8"/>
      <c r="E2885" s="8"/>
      <c r="F2885" t="str" s="15">
        <f aca="0">IF(B2885="","",IF(H2885="","확인필요(입력누락)",IF(SUMPRODUCT((실물목록!$P$2:$P$1001&lt;&gt;"")*ISNUMBER(SEARCH(실물목록!$P$2:$P$1001,I2885))*(실물목록!$Q$2:$Q$1001&lt;&gt;"")*ISNUMBER(SEARCH(실물목록!$Q$2:$Q$1001,I2885))*(실물목록!$R$2:$R$1001="")*(실물목록!$O$2:$O$1001&lt;&gt;"")*(실물목록!$O$2:$O$1001=H2885))&gt;0,"실물 있음",IF(SUMPRODUCT((실물목록!$P$2:$P$1001&lt;&gt;"")*ISNUMBER(SEARCH(실물목록!$P$2:$P$1001,I2885))*(실물목록!$R$2:$R$1001&lt;&gt;""))&gt;0,"확인필요(입력누락)",IF(SUMPRODUCT((실물목록!$P$2:$P$1001&lt;&gt;"")*ISNUMBER(SEARCH(실물목록!$P$2:$P$1001,I2885))*(실물목록!$Q$2:$Q$1001&lt;&gt;"")*ISNUMBER(SEARCH(실물목록!$Q$2:$Q$1001,I2885))*(실물목록!$R$2:$R$1001="")*(실물목록!$O$2:$O$1001&lt;&gt;""))&gt;0,"확인필요(연도다름)","실물 없음")))))</f>
      </c>
      <c r="G2885" t="n" s="16">
        <f aca="0">IF(B2885="","",SUMPRODUCT((실물목록!$P$2:$P$1001&lt;&gt;"")*ISNUMBER(SEARCH(실물목록!$P$2:$P$1001,I2885))*(실물목록!$Q$2:$Q$1001&lt;&gt;"")*ISNUMBER(SEARCH(실물목록!$Q$2:$Q$1001,I2885))*(실물목록!$R$2:$R$1001="")*(실물목록!$O$2:$O$1001&lt;&gt;"")*(실물목록!$O$2:$O$1001=H2885)))</f>
      </c>
      <c r="H2885" t="str">
        <f>IFERROR(IF(AND(LEN(SUBSTITUTE(SUBSTITUTE(SUBSTITUTE(TRIM(A2885&amp;""),CHAR(160),"")," ",""),"년",""))=4,VALUE(SUBSTITUTE(SUBSTITUTE(SUBSTITUTE(TRIM(A2885&amp;""),CHAR(160),"")," ",""),"년",""))&gt;=1900,VALUE(SUBSTITUTE(SUBSTITUTE(SUBSTITUTE(TRIM(A2885&amp;""),CHAR(160),"")," ",""),"년",""))&lt;=2099,TEXT(VALUE(SUBSTITUTE(SUBSTITUTE(SUBSTITUTE(TRIM(A2885&amp;""),CHAR(160),"")," ",""),"년","")),"0000")=SUBSTITUTE(SUBSTITUTE(SUBSTITUTE(TRIM(A2885&amp;""),CHAR(160),"")," ",""),"년","")),SUBSTITUTE(SUBSTITUTE(SUBSTITUTE(TRIM(A2885&amp;""),CHAR(160),"")," ",""),"년",""),""),"")</f>
      </c>
      <c r="I2885" t="str">
        <f>SUBSTITUTE(SUBSTITUTE(SUBSTITUTE(SUBSTITUTE(SUBSTITUTE(TRIM(B2885&amp;""),CHAR(160),"")," ",""),"초등학교","초"),"중학교","중"),"고등학교","고")</f>
      </c>
    </row>
    <row r="2886" customFormat="false" ht="15" hidden="false" customHeight="false" outlineLevel="0" collapsed="false">
      <c r="A2886" s="8"/>
      <c r="B2886" s="8"/>
      <c r="C2886" s="8"/>
      <c r="D2886" s="8"/>
      <c r="E2886" s="8"/>
      <c r="F2886" t="str" s="15">
        <f aca="0">IF(B2886="","",IF(H2886="","확인필요(입력누락)",IF(SUMPRODUCT((실물목록!$P$2:$P$1001&lt;&gt;"")*ISNUMBER(SEARCH(실물목록!$P$2:$P$1001,I2886))*(실물목록!$Q$2:$Q$1001&lt;&gt;"")*ISNUMBER(SEARCH(실물목록!$Q$2:$Q$1001,I2886))*(실물목록!$R$2:$R$1001="")*(실물목록!$O$2:$O$1001&lt;&gt;"")*(실물목록!$O$2:$O$1001=H2886))&gt;0,"실물 있음",IF(SUMPRODUCT((실물목록!$P$2:$P$1001&lt;&gt;"")*ISNUMBER(SEARCH(실물목록!$P$2:$P$1001,I2886))*(실물목록!$R$2:$R$1001&lt;&gt;""))&gt;0,"확인필요(입력누락)",IF(SUMPRODUCT((실물목록!$P$2:$P$1001&lt;&gt;"")*ISNUMBER(SEARCH(실물목록!$P$2:$P$1001,I2886))*(실물목록!$Q$2:$Q$1001&lt;&gt;"")*ISNUMBER(SEARCH(실물목록!$Q$2:$Q$1001,I2886))*(실물목록!$R$2:$R$1001="")*(실물목록!$O$2:$O$1001&lt;&gt;""))&gt;0,"확인필요(연도다름)","실물 없음")))))</f>
      </c>
      <c r="G2886" t="n" s="16">
        <f aca="0">IF(B2886="","",SUMPRODUCT((실물목록!$P$2:$P$1001&lt;&gt;"")*ISNUMBER(SEARCH(실물목록!$P$2:$P$1001,I2886))*(실물목록!$Q$2:$Q$1001&lt;&gt;"")*ISNUMBER(SEARCH(실물목록!$Q$2:$Q$1001,I2886))*(실물목록!$R$2:$R$1001="")*(실물목록!$O$2:$O$1001&lt;&gt;"")*(실물목록!$O$2:$O$1001=H2886)))</f>
      </c>
      <c r="H2886" t="str">
        <f>IFERROR(IF(AND(LEN(SUBSTITUTE(SUBSTITUTE(SUBSTITUTE(TRIM(A2886&amp;""),CHAR(160),"")," ",""),"년",""))=4,VALUE(SUBSTITUTE(SUBSTITUTE(SUBSTITUTE(TRIM(A2886&amp;""),CHAR(160),"")," ",""),"년",""))&gt;=1900,VALUE(SUBSTITUTE(SUBSTITUTE(SUBSTITUTE(TRIM(A2886&amp;""),CHAR(160),"")," ",""),"년",""))&lt;=2099,TEXT(VALUE(SUBSTITUTE(SUBSTITUTE(SUBSTITUTE(TRIM(A2886&amp;""),CHAR(160),"")," ",""),"년","")),"0000")=SUBSTITUTE(SUBSTITUTE(SUBSTITUTE(TRIM(A2886&amp;""),CHAR(160),"")," ",""),"년","")),SUBSTITUTE(SUBSTITUTE(SUBSTITUTE(TRIM(A2886&amp;""),CHAR(160),"")," ",""),"년",""),""),"")</f>
      </c>
      <c r="I2886" t="str">
        <f>SUBSTITUTE(SUBSTITUTE(SUBSTITUTE(SUBSTITUTE(SUBSTITUTE(TRIM(B2886&amp;""),CHAR(160),"")," ",""),"초등학교","초"),"중학교","중"),"고등학교","고")</f>
      </c>
    </row>
    <row r="2887" customFormat="false" ht="15" hidden="false" customHeight="false" outlineLevel="0" collapsed="false">
      <c r="A2887" s="8"/>
      <c r="B2887" s="8"/>
      <c r="C2887" s="8"/>
      <c r="D2887" s="8"/>
      <c r="E2887" s="8"/>
      <c r="F2887" t="str" s="15">
        <f aca="0">IF(B2887="","",IF(H2887="","확인필요(입력누락)",IF(SUMPRODUCT((실물목록!$P$2:$P$1001&lt;&gt;"")*ISNUMBER(SEARCH(실물목록!$P$2:$P$1001,I2887))*(실물목록!$Q$2:$Q$1001&lt;&gt;"")*ISNUMBER(SEARCH(실물목록!$Q$2:$Q$1001,I2887))*(실물목록!$R$2:$R$1001="")*(실물목록!$O$2:$O$1001&lt;&gt;"")*(실물목록!$O$2:$O$1001=H2887))&gt;0,"실물 있음",IF(SUMPRODUCT((실물목록!$P$2:$P$1001&lt;&gt;"")*ISNUMBER(SEARCH(실물목록!$P$2:$P$1001,I2887))*(실물목록!$R$2:$R$1001&lt;&gt;""))&gt;0,"확인필요(입력누락)",IF(SUMPRODUCT((실물목록!$P$2:$P$1001&lt;&gt;"")*ISNUMBER(SEARCH(실물목록!$P$2:$P$1001,I2887))*(실물목록!$Q$2:$Q$1001&lt;&gt;"")*ISNUMBER(SEARCH(실물목록!$Q$2:$Q$1001,I2887))*(실물목록!$R$2:$R$1001="")*(실물목록!$O$2:$O$1001&lt;&gt;""))&gt;0,"확인필요(연도다름)","실물 없음")))))</f>
      </c>
      <c r="G2887" t="n" s="16">
        <f aca="0">IF(B2887="","",SUMPRODUCT((실물목록!$P$2:$P$1001&lt;&gt;"")*ISNUMBER(SEARCH(실물목록!$P$2:$P$1001,I2887))*(실물목록!$Q$2:$Q$1001&lt;&gt;"")*ISNUMBER(SEARCH(실물목록!$Q$2:$Q$1001,I2887))*(실물목록!$R$2:$R$1001="")*(실물목록!$O$2:$O$1001&lt;&gt;"")*(실물목록!$O$2:$O$1001=H2887)))</f>
      </c>
      <c r="H2887" t="str">
        <f>IFERROR(IF(AND(LEN(SUBSTITUTE(SUBSTITUTE(SUBSTITUTE(TRIM(A2887&amp;""),CHAR(160),"")," ",""),"년",""))=4,VALUE(SUBSTITUTE(SUBSTITUTE(SUBSTITUTE(TRIM(A2887&amp;""),CHAR(160),"")," ",""),"년",""))&gt;=1900,VALUE(SUBSTITUTE(SUBSTITUTE(SUBSTITUTE(TRIM(A2887&amp;""),CHAR(160),"")," ",""),"년",""))&lt;=2099,TEXT(VALUE(SUBSTITUTE(SUBSTITUTE(SUBSTITUTE(TRIM(A2887&amp;""),CHAR(160),"")," ",""),"년","")),"0000")=SUBSTITUTE(SUBSTITUTE(SUBSTITUTE(TRIM(A2887&amp;""),CHAR(160),"")," ",""),"년","")),SUBSTITUTE(SUBSTITUTE(SUBSTITUTE(TRIM(A2887&amp;""),CHAR(160),"")," ",""),"년",""),""),"")</f>
      </c>
      <c r="I2887" t="str">
        <f>SUBSTITUTE(SUBSTITUTE(SUBSTITUTE(SUBSTITUTE(SUBSTITUTE(TRIM(B2887&amp;""),CHAR(160),"")," ",""),"초등학교","초"),"중학교","중"),"고등학교","고")</f>
      </c>
    </row>
    <row r="2888" customFormat="false" ht="15" hidden="false" customHeight="false" outlineLevel="0" collapsed="false">
      <c r="A2888" s="8"/>
      <c r="B2888" s="8"/>
      <c r="C2888" s="8"/>
      <c r="D2888" s="8"/>
      <c r="E2888" s="8"/>
      <c r="F2888" t="str" s="15">
        <f aca="0">IF(B2888="","",IF(H2888="","확인필요(입력누락)",IF(SUMPRODUCT((실물목록!$P$2:$P$1001&lt;&gt;"")*ISNUMBER(SEARCH(실물목록!$P$2:$P$1001,I2888))*(실물목록!$Q$2:$Q$1001&lt;&gt;"")*ISNUMBER(SEARCH(실물목록!$Q$2:$Q$1001,I2888))*(실물목록!$R$2:$R$1001="")*(실물목록!$O$2:$O$1001&lt;&gt;"")*(실물목록!$O$2:$O$1001=H2888))&gt;0,"실물 있음",IF(SUMPRODUCT((실물목록!$P$2:$P$1001&lt;&gt;"")*ISNUMBER(SEARCH(실물목록!$P$2:$P$1001,I2888))*(실물목록!$R$2:$R$1001&lt;&gt;""))&gt;0,"확인필요(입력누락)",IF(SUMPRODUCT((실물목록!$P$2:$P$1001&lt;&gt;"")*ISNUMBER(SEARCH(실물목록!$P$2:$P$1001,I2888))*(실물목록!$Q$2:$Q$1001&lt;&gt;"")*ISNUMBER(SEARCH(실물목록!$Q$2:$Q$1001,I2888))*(실물목록!$R$2:$R$1001="")*(실물목록!$O$2:$O$1001&lt;&gt;""))&gt;0,"확인필요(연도다름)","실물 없음")))))</f>
      </c>
      <c r="G2888" t="n" s="16">
        <f aca="0">IF(B2888="","",SUMPRODUCT((실물목록!$P$2:$P$1001&lt;&gt;"")*ISNUMBER(SEARCH(실물목록!$P$2:$P$1001,I2888))*(실물목록!$Q$2:$Q$1001&lt;&gt;"")*ISNUMBER(SEARCH(실물목록!$Q$2:$Q$1001,I2888))*(실물목록!$R$2:$R$1001="")*(실물목록!$O$2:$O$1001&lt;&gt;"")*(실물목록!$O$2:$O$1001=H2888)))</f>
      </c>
      <c r="H2888" t="str">
        <f>IFERROR(IF(AND(LEN(SUBSTITUTE(SUBSTITUTE(SUBSTITUTE(TRIM(A2888&amp;""),CHAR(160),"")," ",""),"년",""))=4,VALUE(SUBSTITUTE(SUBSTITUTE(SUBSTITUTE(TRIM(A2888&amp;""),CHAR(160),"")," ",""),"년",""))&gt;=1900,VALUE(SUBSTITUTE(SUBSTITUTE(SUBSTITUTE(TRIM(A2888&amp;""),CHAR(160),"")," ",""),"년",""))&lt;=2099,TEXT(VALUE(SUBSTITUTE(SUBSTITUTE(SUBSTITUTE(TRIM(A2888&amp;""),CHAR(160),"")," ",""),"년","")),"0000")=SUBSTITUTE(SUBSTITUTE(SUBSTITUTE(TRIM(A2888&amp;""),CHAR(160),"")," ",""),"년","")),SUBSTITUTE(SUBSTITUTE(SUBSTITUTE(TRIM(A2888&amp;""),CHAR(160),"")," ",""),"년",""),""),"")</f>
      </c>
      <c r="I2888" t="str">
        <f>SUBSTITUTE(SUBSTITUTE(SUBSTITUTE(SUBSTITUTE(SUBSTITUTE(TRIM(B2888&amp;""),CHAR(160),"")," ",""),"초등학교","초"),"중학교","중"),"고등학교","고")</f>
      </c>
    </row>
    <row r="2889" customFormat="false" ht="15" hidden="false" customHeight="false" outlineLevel="0" collapsed="false">
      <c r="A2889" s="8"/>
      <c r="B2889" s="8"/>
      <c r="C2889" s="8"/>
      <c r="D2889" s="8"/>
      <c r="E2889" s="8"/>
      <c r="F2889" t="str" s="15">
        <f aca="0">IF(B2889="","",IF(H2889="","확인필요(입력누락)",IF(SUMPRODUCT((실물목록!$P$2:$P$1001&lt;&gt;"")*ISNUMBER(SEARCH(실물목록!$P$2:$P$1001,I2889))*(실물목록!$Q$2:$Q$1001&lt;&gt;"")*ISNUMBER(SEARCH(실물목록!$Q$2:$Q$1001,I2889))*(실물목록!$R$2:$R$1001="")*(실물목록!$O$2:$O$1001&lt;&gt;"")*(실물목록!$O$2:$O$1001=H2889))&gt;0,"실물 있음",IF(SUMPRODUCT((실물목록!$P$2:$P$1001&lt;&gt;"")*ISNUMBER(SEARCH(실물목록!$P$2:$P$1001,I2889))*(실물목록!$R$2:$R$1001&lt;&gt;""))&gt;0,"확인필요(입력누락)",IF(SUMPRODUCT((실물목록!$P$2:$P$1001&lt;&gt;"")*ISNUMBER(SEARCH(실물목록!$P$2:$P$1001,I2889))*(실물목록!$Q$2:$Q$1001&lt;&gt;"")*ISNUMBER(SEARCH(실물목록!$Q$2:$Q$1001,I2889))*(실물목록!$R$2:$R$1001="")*(실물목록!$O$2:$O$1001&lt;&gt;""))&gt;0,"확인필요(연도다름)","실물 없음")))))</f>
      </c>
      <c r="G2889" t="n" s="16">
        <f aca="0">IF(B2889="","",SUMPRODUCT((실물목록!$P$2:$P$1001&lt;&gt;"")*ISNUMBER(SEARCH(실물목록!$P$2:$P$1001,I2889))*(실물목록!$Q$2:$Q$1001&lt;&gt;"")*ISNUMBER(SEARCH(실물목록!$Q$2:$Q$1001,I2889))*(실물목록!$R$2:$R$1001="")*(실물목록!$O$2:$O$1001&lt;&gt;"")*(실물목록!$O$2:$O$1001=H2889)))</f>
      </c>
      <c r="H2889" t="str">
        <f>IFERROR(IF(AND(LEN(SUBSTITUTE(SUBSTITUTE(SUBSTITUTE(TRIM(A2889&amp;""),CHAR(160),"")," ",""),"년",""))=4,VALUE(SUBSTITUTE(SUBSTITUTE(SUBSTITUTE(TRIM(A2889&amp;""),CHAR(160),"")," ",""),"년",""))&gt;=1900,VALUE(SUBSTITUTE(SUBSTITUTE(SUBSTITUTE(TRIM(A2889&amp;""),CHAR(160),"")," ",""),"년",""))&lt;=2099,TEXT(VALUE(SUBSTITUTE(SUBSTITUTE(SUBSTITUTE(TRIM(A2889&amp;""),CHAR(160),"")," ",""),"년","")),"0000")=SUBSTITUTE(SUBSTITUTE(SUBSTITUTE(TRIM(A2889&amp;""),CHAR(160),"")," ",""),"년","")),SUBSTITUTE(SUBSTITUTE(SUBSTITUTE(TRIM(A2889&amp;""),CHAR(160),"")," ",""),"년",""),""),"")</f>
      </c>
      <c r="I2889" t="str">
        <f>SUBSTITUTE(SUBSTITUTE(SUBSTITUTE(SUBSTITUTE(SUBSTITUTE(TRIM(B2889&amp;""),CHAR(160),"")," ",""),"초등학교","초"),"중학교","중"),"고등학교","고")</f>
      </c>
    </row>
    <row r="2890" customFormat="false" ht="15" hidden="false" customHeight="false" outlineLevel="0" collapsed="false">
      <c r="A2890" s="8"/>
      <c r="B2890" s="8"/>
      <c r="C2890" s="8"/>
      <c r="D2890" s="8"/>
      <c r="E2890" s="8"/>
      <c r="F2890" t="str" s="15">
        <f aca="0">IF(B2890="","",IF(H2890="","확인필요(입력누락)",IF(SUMPRODUCT((실물목록!$P$2:$P$1001&lt;&gt;"")*ISNUMBER(SEARCH(실물목록!$P$2:$P$1001,I2890))*(실물목록!$Q$2:$Q$1001&lt;&gt;"")*ISNUMBER(SEARCH(실물목록!$Q$2:$Q$1001,I2890))*(실물목록!$R$2:$R$1001="")*(실물목록!$O$2:$O$1001&lt;&gt;"")*(실물목록!$O$2:$O$1001=H2890))&gt;0,"실물 있음",IF(SUMPRODUCT((실물목록!$P$2:$P$1001&lt;&gt;"")*ISNUMBER(SEARCH(실물목록!$P$2:$P$1001,I2890))*(실물목록!$R$2:$R$1001&lt;&gt;""))&gt;0,"확인필요(입력누락)",IF(SUMPRODUCT((실물목록!$P$2:$P$1001&lt;&gt;"")*ISNUMBER(SEARCH(실물목록!$P$2:$P$1001,I2890))*(실물목록!$Q$2:$Q$1001&lt;&gt;"")*ISNUMBER(SEARCH(실물목록!$Q$2:$Q$1001,I2890))*(실물목록!$R$2:$R$1001="")*(실물목록!$O$2:$O$1001&lt;&gt;""))&gt;0,"확인필요(연도다름)","실물 없음")))))</f>
      </c>
      <c r="G2890" t="n" s="16">
        <f aca="0">IF(B2890="","",SUMPRODUCT((실물목록!$P$2:$P$1001&lt;&gt;"")*ISNUMBER(SEARCH(실물목록!$P$2:$P$1001,I2890))*(실물목록!$Q$2:$Q$1001&lt;&gt;"")*ISNUMBER(SEARCH(실물목록!$Q$2:$Q$1001,I2890))*(실물목록!$R$2:$R$1001="")*(실물목록!$O$2:$O$1001&lt;&gt;"")*(실물목록!$O$2:$O$1001=H2890)))</f>
      </c>
      <c r="H2890" t="str">
        <f>IFERROR(IF(AND(LEN(SUBSTITUTE(SUBSTITUTE(SUBSTITUTE(TRIM(A2890&amp;""),CHAR(160),"")," ",""),"년",""))=4,VALUE(SUBSTITUTE(SUBSTITUTE(SUBSTITUTE(TRIM(A2890&amp;""),CHAR(160),"")," ",""),"년",""))&gt;=1900,VALUE(SUBSTITUTE(SUBSTITUTE(SUBSTITUTE(TRIM(A2890&amp;""),CHAR(160),"")," ",""),"년",""))&lt;=2099,TEXT(VALUE(SUBSTITUTE(SUBSTITUTE(SUBSTITUTE(TRIM(A2890&amp;""),CHAR(160),"")," ",""),"년","")),"0000")=SUBSTITUTE(SUBSTITUTE(SUBSTITUTE(TRIM(A2890&amp;""),CHAR(160),"")," ",""),"년","")),SUBSTITUTE(SUBSTITUTE(SUBSTITUTE(TRIM(A2890&amp;""),CHAR(160),"")," ",""),"년",""),""),"")</f>
      </c>
      <c r="I2890" t="str">
        <f>SUBSTITUTE(SUBSTITUTE(SUBSTITUTE(SUBSTITUTE(SUBSTITUTE(TRIM(B2890&amp;""),CHAR(160),"")," ",""),"초등학교","초"),"중학교","중"),"고등학교","고")</f>
      </c>
    </row>
    <row r="2891" customFormat="false" ht="15" hidden="false" customHeight="false" outlineLevel="0" collapsed="false">
      <c r="A2891" s="8"/>
      <c r="B2891" s="8"/>
      <c r="C2891" s="8"/>
      <c r="D2891" s="8"/>
      <c r="E2891" s="8"/>
      <c r="F2891" t="str" s="15">
        <f aca="0">IF(B2891="","",IF(H2891="","확인필요(입력누락)",IF(SUMPRODUCT((실물목록!$P$2:$P$1001&lt;&gt;"")*ISNUMBER(SEARCH(실물목록!$P$2:$P$1001,I2891))*(실물목록!$Q$2:$Q$1001&lt;&gt;"")*ISNUMBER(SEARCH(실물목록!$Q$2:$Q$1001,I2891))*(실물목록!$R$2:$R$1001="")*(실물목록!$O$2:$O$1001&lt;&gt;"")*(실물목록!$O$2:$O$1001=H2891))&gt;0,"실물 있음",IF(SUMPRODUCT((실물목록!$P$2:$P$1001&lt;&gt;"")*ISNUMBER(SEARCH(실물목록!$P$2:$P$1001,I2891))*(실물목록!$R$2:$R$1001&lt;&gt;""))&gt;0,"확인필요(입력누락)",IF(SUMPRODUCT((실물목록!$P$2:$P$1001&lt;&gt;"")*ISNUMBER(SEARCH(실물목록!$P$2:$P$1001,I2891))*(실물목록!$Q$2:$Q$1001&lt;&gt;"")*ISNUMBER(SEARCH(실물목록!$Q$2:$Q$1001,I2891))*(실물목록!$R$2:$R$1001="")*(실물목록!$O$2:$O$1001&lt;&gt;""))&gt;0,"확인필요(연도다름)","실물 없음")))))</f>
      </c>
      <c r="G2891" t="n" s="16">
        <f aca="0">IF(B2891="","",SUMPRODUCT((실물목록!$P$2:$P$1001&lt;&gt;"")*ISNUMBER(SEARCH(실물목록!$P$2:$P$1001,I2891))*(실물목록!$Q$2:$Q$1001&lt;&gt;"")*ISNUMBER(SEARCH(실물목록!$Q$2:$Q$1001,I2891))*(실물목록!$R$2:$R$1001="")*(실물목록!$O$2:$O$1001&lt;&gt;"")*(실물목록!$O$2:$O$1001=H2891)))</f>
      </c>
      <c r="H2891" t="str">
        <f>IFERROR(IF(AND(LEN(SUBSTITUTE(SUBSTITUTE(SUBSTITUTE(TRIM(A2891&amp;""),CHAR(160),"")," ",""),"년",""))=4,VALUE(SUBSTITUTE(SUBSTITUTE(SUBSTITUTE(TRIM(A2891&amp;""),CHAR(160),"")," ",""),"년",""))&gt;=1900,VALUE(SUBSTITUTE(SUBSTITUTE(SUBSTITUTE(TRIM(A2891&amp;""),CHAR(160),"")," ",""),"년",""))&lt;=2099,TEXT(VALUE(SUBSTITUTE(SUBSTITUTE(SUBSTITUTE(TRIM(A2891&amp;""),CHAR(160),"")," ",""),"년","")),"0000")=SUBSTITUTE(SUBSTITUTE(SUBSTITUTE(TRIM(A2891&amp;""),CHAR(160),"")," ",""),"년","")),SUBSTITUTE(SUBSTITUTE(SUBSTITUTE(TRIM(A2891&amp;""),CHAR(160),"")," ",""),"년",""),""),"")</f>
      </c>
      <c r="I2891" t="str">
        <f>SUBSTITUTE(SUBSTITUTE(SUBSTITUTE(SUBSTITUTE(SUBSTITUTE(TRIM(B2891&amp;""),CHAR(160),"")," ",""),"초등학교","초"),"중학교","중"),"고등학교","고")</f>
      </c>
    </row>
    <row r="2892" customFormat="false" ht="15" hidden="false" customHeight="false" outlineLevel="0" collapsed="false">
      <c r="A2892" s="8"/>
      <c r="B2892" s="8"/>
      <c r="C2892" s="8"/>
      <c r="D2892" s="8"/>
      <c r="E2892" s="8"/>
      <c r="F2892" t="str" s="15">
        <f aca="0">IF(B2892="","",IF(H2892="","확인필요(입력누락)",IF(SUMPRODUCT((실물목록!$P$2:$P$1001&lt;&gt;"")*ISNUMBER(SEARCH(실물목록!$P$2:$P$1001,I2892))*(실물목록!$Q$2:$Q$1001&lt;&gt;"")*ISNUMBER(SEARCH(실물목록!$Q$2:$Q$1001,I2892))*(실물목록!$R$2:$R$1001="")*(실물목록!$O$2:$O$1001&lt;&gt;"")*(실물목록!$O$2:$O$1001=H2892))&gt;0,"실물 있음",IF(SUMPRODUCT((실물목록!$P$2:$P$1001&lt;&gt;"")*ISNUMBER(SEARCH(실물목록!$P$2:$P$1001,I2892))*(실물목록!$R$2:$R$1001&lt;&gt;""))&gt;0,"확인필요(입력누락)",IF(SUMPRODUCT((실물목록!$P$2:$P$1001&lt;&gt;"")*ISNUMBER(SEARCH(실물목록!$P$2:$P$1001,I2892))*(실물목록!$Q$2:$Q$1001&lt;&gt;"")*ISNUMBER(SEARCH(실물목록!$Q$2:$Q$1001,I2892))*(실물목록!$R$2:$R$1001="")*(실물목록!$O$2:$O$1001&lt;&gt;""))&gt;0,"확인필요(연도다름)","실물 없음")))))</f>
      </c>
      <c r="G2892" t="n" s="16">
        <f aca="0">IF(B2892="","",SUMPRODUCT((실물목록!$P$2:$P$1001&lt;&gt;"")*ISNUMBER(SEARCH(실물목록!$P$2:$P$1001,I2892))*(실물목록!$Q$2:$Q$1001&lt;&gt;"")*ISNUMBER(SEARCH(실물목록!$Q$2:$Q$1001,I2892))*(실물목록!$R$2:$R$1001="")*(실물목록!$O$2:$O$1001&lt;&gt;"")*(실물목록!$O$2:$O$1001=H2892)))</f>
      </c>
      <c r="H2892" t="str">
        <f>IFERROR(IF(AND(LEN(SUBSTITUTE(SUBSTITUTE(SUBSTITUTE(TRIM(A2892&amp;""),CHAR(160),"")," ",""),"년",""))=4,VALUE(SUBSTITUTE(SUBSTITUTE(SUBSTITUTE(TRIM(A2892&amp;""),CHAR(160),"")," ",""),"년",""))&gt;=1900,VALUE(SUBSTITUTE(SUBSTITUTE(SUBSTITUTE(TRIM(A2892&amp;""),CHAR(160),"")," ",""),"년",""))&lt;=2099,TEXT(VALUE(SUBSTITUTE(SUBSTITUTE(SUBSTITUTE(TRIM(A2892&amp;""),CHAR(160),"")," ",""),"년","")),"0000")=SUBSTITUTE(SUBSTITUTE(SUBSTITUTE(TRIM(A2892&amp;""),CHAR(160),"")," ",""),"년","")),SUBSTITUTE(SUBSTITUTE(SUBSTITUTE(TRIM(A2892&amp;""),CHAR(160),"")," ",""),"년",""),""),"")</f>
      </c>
      <c r="I2892" t="str">
        <f>SUBSTITUTE(SUBSTITUTE(SUBSTITUTE(SUBSTITUTE(SUBSTITUTE(TRIM(B2892&amp;""),CHAR(160),"")," ",""),"초등학교","초"),"중학교","중"),"고등학교","고")</f>
      </c>
    </row>
    <row r="2893" customFormat="false" ht="15" hidden="false" customHeight="false" outlineLevel="0" collapsed="false">
      <c r="A2893" s="8"/>
      <c r="B2893" s="8"/>
      <c r="C2893" s="8"/>
      <c r="D2893" s="8"/>
      <c r="E2893" s="8"/>
      <c r="F2893" t="str" s="15">
        <f aca="0">IF(B2893="","",IF(H2893="","확인필요(입력누락)",IF(SUMPRODUCT((실물목록!$P$2:$P$1001&lt;&gt;"")*ISNUMBER(SEARCH(실물목록!$P$2:$P$1001,I2893))*(실물목록!$Q$2:$Q$1001&lt;&gt;"")*ISNUMBER(SEARCH(실물목록!$Q$2:$Q$1001,I2893))*(실물목록!$R$2:$R$1001="")*(실물목록!$O$2:$O$1001&lt;&gt;"")*(실물목록!$O$2:$O$1001=H2893))&gt;0,"실물 있음",IF(SUMPRODUCT((실물목록!$P$2:$P$1001&lt;&gt;"")*ISNUMBER(SEARCH(실물목록!$P$2:$P$1001,I2893))*(실물목록!$R$2:$R$1001&lt;&gt;""))&gt;0,"확인필요(입력누락)",IF(SUMPRODUCT((실물목록!$P$2:$P$1001&lt;&gt;"")*ISNUMBER(SEARCH(실물목록!$P$2:$P$1001,I2893))*(실물목록!$Q$2:$Q$1001&lt;&gt;"")*ISNUMBER(SEARCH(실물목록!$Q$2:$Q$1001,I2893))*(실물목록!$R$2:$R$1001="")*(실물목록!$O$2:$O$1001&lt;&gt;""))&gt;0,"확인필요(연도다름)","실물 없음")))))</f>
      </c>
      <c r="G2893" t="n" s="16">
        <f aca="0">IF(B2893="","",SUMPRODUCT((실물목록!$P$2:$P$1001&lt;&gt;"")*ISNUMBER(SEARCH(실물목록!$P$2:$P$1001,I2893))*(실물목록!$Q$2:$Q$1001&lt;&gt;"")*ISNUMBER(SEARCH(실물목록!$Q$2:$Q$1001,I2893))*(실물목록!$R$2:$R$1001="")*(실물목록!$O$2:$O$1001&lt;&gt;"")*(실물목록!$O$2:$O$1001=H2893)))</f>
      </c>
      <c r="H2893" t="str">
        <f>IFERROR(IF(AND(LEN(SUBSTITUTE(SUBSTITUTE(SUBSTITUTE(TRIM(A2893&amp;""),CHAR(160),"")," ",""),"년",""))=4,VALUE(SUBSTITUTE(SUBSTITUTE(SUBSTITUTE(TRIM(A2893&amp;""),CHAR(160),"")," ",""),"년",""))&gt;=1900,VALUE(SUBSTITUTE(SUBSTITUTE(SUBSTITUTE(TRIM(A2893&amp;""),CHAR(160),"")," ",""),"년",""))&lt;=2099,TEXT(VALUE(SUBSTITUTE(SUBSTITUTE(SUBSTITUTE(TRIM(A2893&amp;""),CHAR(160),"")," ",""),"년","")),"0000")=SUBSTITUTE(SUBSTITUTE(SUBSTITUTE(TRIM(A2893&amp;""),CHAR(160),"")," ",""),"년","")),SUBSTITUTE(SUBSTITUTE(SUBSTITUTE(TRIM(A2893&amp;""),CHAR(160),"")," ",""),"년",""),""),"")</f>
      </c>
      <c r="I2893" t="str">
        <f>SUBSTITUTE(SUBSTITUTE(SUBSTITUTE(SUBSTITUTE(SUBSTITUTE(TRIM(B2893&amp;""),CHAR(160),"")," ",""),"초등학교","초"),"중학교","중"),"고등학교","고")</f>
      </c>
    </row>
    <row r="2894" customFormat="false" ht="15" hidden="false" customHeight="false" outlineLevel="0" collapsed="false">
      <c r="A2894" s="8"/>
      <c r="B2894" s="8"/>
      <c r="C2894" s="8"/>
      <c r="D2894" s="8"/>
      <c r="E2894" s="8"/>
      <c r="F2894" t="str" s="15">
        <f aca="0">IF(B2894="","",IF(H2894="","확인필요(입력누락)",IF(SUMPRODUCT((실물목록!$P$2:$P$1001&lt;&gt;"")*ISNUMBER(SEARCH(실물목록!$P$2:$P$1001,I2894))*(실물목록!$Q$2:$Q$1001&lt;&gt;"")*ISNUMBER(SEARCH(실물목록!$Q$2:$Q$1001,I2894))*(실물목록!$R$2:$R$1001="")*(실물목록!$O$2:$O$1001&lt;&gt;"")*(실물목록!$O$2:$O$1001=H2894))&gt;0,"실물 있음",IF(SUMPRODUCT((실물목록!$P$2:$P$1001&lt;&gt;"")*ISNUMBER(SEARCH(실물목록!$P$2:$P$1001,I2894))*(실물목록!$R$2:$R$1001&lt;&gt;""))&gt;0,"확인필요(입력누락)",IF(SUMPRODUCT((실물목록!$P$2:$P$1001&lt;&gt;"")*ISNUMBER(SEARCH(실물목록!$P$2:$P$1001,I2894))*(실물목록!$Q$2:$Q$1001&lt;&gt;"")*ISNUMBER(SEARCH(실물목록!$Q$2:$Q$1001,I2894))*(실물목록!$R$2:$R$1001="")*(실물목록!$O$2:$O$1001&lt;&gt;""))&gt;0,"확인필요(연도다름)","실물 없음")))))</f>
      </c>
      <c r="G2894" t="n" s="16">
        <f aca="0">IF(B2894="","",SUMPRODUCT((실물목록!$P$2:$P$1001&lt;&gt;"")*ISNUMBER(SEARCH(실물목록!$P$2:$P$1001,I2894))*(실물목록!$Q$2:$Q$1001&lt;&gt;"")*ISNUMBER(SEARCH(실물목록!$Q$2:$Q$1001,I2894))*(실물목록!$R$2:$R$1001="")*(실물목록!$O$2:$O$1001&lt;&gt;"")*(실물목록!$O$2:$O$1001=H2894)))</f>
      </c>
      <c r="H2894" t="str">
        <f>IFERROR(IF(AND(LEN(SUBSTITUTE(SUBSTITUTE(SUBSTITUTE(TRIM(A2894&amp;""),CHAR(160),"")," ",""),"년",""))=4,VALUE(SUBSTITUTE(SUBSTITUTE(SUBSTITUTE(TRIM(A2894&amp;""),CHAR(160),"")," ",""),"년",""))&gt;=1900,VALUE(SUBSTITUTE(SUBSTITUTE(SUBSTITUTE(TRIM(A2894&amp;""),CHAR(160),"")," ",""),"년",""))&lt;=2099,TEXT(VALUE(SUBSTITUTE(SUBSTITUTE(SUBSTITUTE(TRIM(A2894&amp;""),CHAR(160),"")," ",""),"년","")),"0000")=SUBSTITUTE(SUBSTITUTE(SUBSTITUTE(TRIM(A2894&amp;""),CHAR(160),"")," ",""),"년","")),SUBSTITUTE(SUBSTITUTE(SUBSTITUTE(TRIM(A2894&amp;""),CHAR(160),"")," ",""),"년",""),""),"")</f>
      </c>
      <c r="I2894" t="str">
        <f>SUBSTITUTE(SUBSTITUTE(SUBSTITUTE(SUBSTITUTE(SUBSTITUTE(TRIM(B2894&amp;""),CHAR(160),"")," ",""),"초등학교","초"),"중학교","중"),"고등학교","고")</f>
      </c>
    </row>
    <row r="2895" customFormat="false" ht="15" hidden="false" customHeight="false" outlineLevel="0" collapsed="false">
      <c r="A2895" s="8"/>
      <c r="B2895" s="8"/>
      <c r="C2895" s="8"/>
      <c r="D2895" s="8"/>
      <c r="E2895" s="8"/>
      <c r="F2895" t="str" s="15">
        <f aca="0">IF(B2895="","",IF(H2895="","확인필요(입력누락)",IF(SUMPRODUCT((실물목록!$P$2:$P$1001&lt;&gt;"")*ISNUMBER(SEARCH(실물목록!$P$2:$P$1001,I2895))*(실물목록!$Q$2:$Q$1001&lt;&gt;"")*ISNUMBER(SEARCH(실물목록!$Q$2:$Q$1001,I2895))*(실물목록!$R$2:$R$1001="")*(실물목록!$O$2:$O$1001&lt;&gt;"")*(실물목록!$O$2:$O$1001=H2895))&gt;0,"실물 있음",IF(SUMPRODUCT((실물목록!$P$2:$P$1001&lt;&gt;"")*ISNUMBER(SEARCH(실물목록!$P$2:$P$1001,I2895))*(실물목록!$R$2:$R$1001&lt;&gt;""))&gt;0,"확인필요(입력누락)",IF(SUMPRODUCT((실물목록!$P$2:$P$1001&lt;&gt;"")*ISNUMBER(SEARCH(실물목록!$P$2:$P$1001,I2895))*(실물목록!$Q$2:$Q$1001&lt;&gt;"")*ISNUMBER(SEARCH(실물목록!$Q$2:$Q$1001,I2895))*(실물목록!$R$2:$R$1001="")*(실물목록!$O$2:$O$1001&lt;&gt;""))&gt;0,"확인필요(연도다름)","실물 없음")))))</f>
      </c>
      <c r="G2895" t="n" s="16">
        <f aca="0">IF(B2895="","",SUMPRODUCT((실물목록!$P$2:$P$1001&lt;&gt;"")*ISNUMBER(SEARCH(실물목록!$P$2:$P$1001,I2895))*(실물목록!$Q$2:$Q$1001&lt;&gt;"")*ISNUMBER(SEARCH(실물목록!$Q$2:$Q$1001,I2895))*(실물목록!$R$2:$R$1001="")*(실물목록!$O$2:$O$1001&lt;&gt;"")*(실물목록!$O$2:$O$1001=H2895)))</f>
      </c>
      <c r="H2895" t="str">
        <f>IFERROR(IF(AND(LEN(SUBSTITUTE(SUBSTITUTE(SUBSTITUTE(TRIM(A2895&amp;""),CHAR(160),"")," ",""),"년",""))=4,VALUE(SUBSTITUTE(SUBSTITUTE(SUBSTITUTE(TRIM(A2895&amp;""),CHAR(160),"")," ",""),"년",""))&gt;=1900,VALUE(SUBSTITUTE(SUBSTITUTE(SUBSTITUTE(TRIM(A2895&amp;""),CHAR(160),"")," ",""),"년",""))&lt;=2099,TEXT(VALUE(SUBSTITUTE(SUBSTITUTE(SUBSTITUTE(TRIM(A2895&amp;""),CHAR(160),"")," ",""),"년","")),"0000")=SUBSTITUTE(SUBSTITUTE(SUBSTITUTE(TRIM(A2895&amp;""),CHAR(160),"")," ",""),"년","")),SUBSTITUTE(SUBSTITUTE(SUBSTITUTE(TRIM(A2895&amp;""),CHAR(160),"")," ",""),"년",""),""),"")</f>
      </c>
      <c r="I2895" t="str">
        <f>SUBSTITUTE(SUBSTITUTE(SUBSTITUTE(SUBSTITUTE(SUBSTITUTE(TRIM(B2895&amp;""),CHAR(160),"")," ",""),"초등학교","초"),"중학교","중"),"고등학교","고")</f>
      </c>
    </row>
    <row r="2896" customFormat="false" ht="15" hidden="false" customHeight="false" outlineLevel="0" collapsed="false">
      <c r="A2896" s="8"/>
      <c r="B2896" s="8"/>
      <c r="C2896" s="8"/>
      <c r="D2896" s="8"/>
      <c r="E2896" s="8"/>
      <c r="F2896" t="str" s="15">
        <f aca="0">IF(B2896="","",IF(H2896="","확인필요(입력누락)",IF(SUMPRODUCT((실물목록!$P$2:$P$1001&lt;&gt;"")*ISNUMBER(SEARCH(실물목록!$P$2:$P$1001,I2896))*(실물목록!$Q$2:$Q$1001&lt;&gt;"")*ISNUMBER(SEARCH(실물목록!$Q$2:$Q$1001,I2896))*(실물목록!$R$2:$R$1001="")*(실물목록!$O$2:$O$1001&lt;&gt;"")*(실물목록!$O$2:$O$1001=H2896))&gt;0,"실물 있음",IF(SUMPRODUCT((실물목록!$P$2:$P$1001&lt;&gt;"")*ISNUMBER(SEARCH(실물목록!$P$2:$P$1001,I2896))*(실물목록!$R$2:$R$1001&lt;&gt;""))&gt;0,"확인필요(입력누락)",IF(SUMPRODUCT((실물목록!$P$2:$P$1001&lt;&gt;"")*ISNUMBER(SEARCH(실물목록!$P$2:$P$1001,I2896))*(실물목록!$Q$2:$Q$1001&lt;&gt;"")*ISNUMBER(SEARCH(실물목록!$Q$2:$Q$1001,I2896))*(실물목록!$R$2:$R$1001="")*(실물목록!$O$2:$O$1001&lt;&gt;""))&gt;0,"확인필요(연도다름)","실물 없음")))))</f>
      </c>
      <c r="G2896" t="n" s="16">
        <f aca="0">IF(B2896="","",SUMPRODUCT((실물목록!$P$2:$P$1001&lt;&gt;"")*ISNUMBER(SEARCH(실물목록!$P$2:$P$1001,I2896))*(실물목록!$Q$2:$Q$1001&lt;&gt;"")*ISNUMBER(SEARCH(실물목록!$Q$2:$Q$1001,I2896))*(실물목록!$R$2:$R$1001="")*(실물목록!$O$2:$O$1001&lt;&gt;"")*(실물목록!$O$2:$O$1001=H2896)))</f>
      </c>
      <c r="H2896" t="str">
        <f>IFERROR(IF(AND(LEN(SUBSTITUTE(SUBSTITUTE(SUBSTITUTE(TRIM(A2896&amp;""),CHAR(160),"")," ",""),"년",""))=4,VALUE(SUBSTITUTE(SUBSTITUTE(SUBSTITUTE(TRIM(A2896&amp;""),CHAR(160),"")," ",""),"년",""))&gt;=1900,VALUE(SUBSTITUTE(SUBSTITUTE(SUBSTITUTE(TRIM(A2896&amp;""),CHAR(160),"")," ",""),"년",""))&lt;=2099,TEXT(VALUE(SUBSTITUTE(SUBSTITUTE(SUBSTITUTE(TRIM(A2896&amp;""),CHAR(160),"")," ",""),"년","")),"0000")=SUBSTITUTE(SUBSTITUTE(SUBSTITUTE(TRIM(A2896&amp;""),CHAR(160),"")," ",""),"년","")),SUBSTITUTE(SUBSTITUTE(SUBSTITUTE(TRIM(A2896&amp;""),CHAR(160),"")," ",""),"년",""),""),"")</f>
      </c>
      <c r="I2896" t="str">
        <f>SUBSTITUTE(SUBSTITUTE(SUBSTITUTE(SUBSTITUTE(SUBSTITUTE(TRIM(B2896&amp;""),CHAR(160),"")," ",""),"초등학교","초"),"중학교","중"),"고등학교","고")</f>
      </c>
    </row>
    <row r="2897" customFormat="false" ht="15" hidden="false" customHeight="false" outlineLevel="0" collapsed="false">
      <c r="A2897" s="8"/>
      <c r="B2897" s="8"/>
      <c r="C2897" s="8"/>
      <c r="D2897" s="8"/>
      <c r="E2897" s="8"/>
      <c r="F2897" t="str" s="15">
        <f aca="0">IF(B2897="","",IF(H2897="","확인필요(입력누락)",IF(SUMPRODUCT((실물목록!$P$2:$P$1001&lt;&gt;"")*ISNUMBER(SEARCH(실물목록!$P$2:$P$1001,I2897))*(실물목록!$Q$2:$Q$1001&lt;&gt;"")*ISNUMBER(SEARCH(실물목록!$Q$2:$Q$1001,I2897))*(실물목록!$R$2:$R$1001="")*(실물목록!$O$2:$O$1001&lt;&gt;"")*(실물목록!$O$2:$O$1001=H2897))&gt;0,"실물 있음",IF(SUMPRODUCT((실물목록!$P$2:$P$1001&lt;&gt;"")*ISNUMBER(SEARCH(실물목록!$P$2:$P$1001,I2897))*(실물목록!$R$2:$R$1001&lt;&gt;""))&gt;0,"확인필요(입력누락)",IF(SUMPRODUCT((실물목록!$P$2:$P$1001&lt;&gt;"")*ISNUMBER(SEARCH(실물목록!$P$2:$P$1001,I2897))*(실물목록!$Q$2:$Q$1001&lt;&gt;"")*ISNUMBER(SEARCH(실물목록!$Q$2:$Q$1001,I2897))*(실물목록!$R$2:$R$1001="")*(실물목록!$O$2:$O$1001&lt;&gt;""))&gt;0,"확인필요(연도다름)","실물 없음")))))</f>
      </c>
      <c r="G2897" t="n" s="16">
        <f aca="0">IF(B2897="","",SUMPRODUCT((실물목록!$P$2:$P$1001&lt;&gt;"")*ISNUMBER(SEARCH(실물목록!$P$2:$P$1001,I2897))*(실물목록!$Q$2:$Q$1001&lt;&gt;"")*ISNUMBER(SEARCH(실물목록!$Q$2:$Q$1001,I2897))*(실물목록!$R$2:$R$1001="")*(실물목록!$O$2:$O$1001&lt;&gt;"")*(실물목록!$O$2:$O$1001=H2897)))</f>
      </c>
      <c r="H2897" t="str">
        <f>IFERROR(IF(AND(LEN(SUBSTITUTE(SUBSTITUTE(SUBSTITUTE(TRIM(A2897&amp;""),CHAR(160),"")," ",""),"년",""))=4,VALUE(SUBSTITUTE(SUBSTITUTE(SUBSTITUTE(TRIM(A2897&amp;""),CHAR(160),"")," ",""),"년",""))&gt;=1900,VALUE(SUBSTITUTE(SUBSTITUTE(SUBSTITUTE(TRIM(A2897&amp;""),CHAR(160),"")," ",""),"년",""))&lt;=2099,TEXT(VALUE(SUBSTITUTE(SUBSTITUTE(SUBSTITUTE(TRIM(A2897&amp;""),CHAR(160),"")," ",""),"년","")),"0000")=SUBSTITUTE(SUBSTITUTE(SUBSTITUTE(TRIM(A2897&amp;""),CHAR(160),"")," ",""),"년","")),SUBSTITUTE(SUBSTITUTE(SUBSTITUTE(TRIM(A2897&amp;""),CHAR(160),"")," ",""),"년",""),""),"")</f>
      </c>
      <c r="I2897" t="str">
        <f>SUBSTITUTE(SUBSTITUTE(SUBSTITUTE(SUBSTITUTE(SUBSTITUTE(TRIM(B2897&amp;""),CHAR(160),"")," ",""),"초등학교","초"),"중학교","중"),"고등학교","고")</f>
      </c>
    </row>
    <row r="2898" customFormat="false" ht="15" hidden="false" customHeight="false" outlineLevel="0" collapsed="false">
      <c r="A2898" s="8"/>
      <c r="B2898" s="8"/>
      <c r="C2898" s="8"/>
      <c r="D2898" s="8"/>
      <c r="E2898" s="8"/>
      <c r="F2898" t="str" s="15">
        <f aca="0">IF(B2898="","",IF(H2898="","확인필요(입력누락)",IF(SUMPRODUCT((실물목록!$P$2:$P$1001&lt;&gt;"")*ISNUMBER(SEARCH(실물목록!$P$2:$P$1001,I2898))*(실물목록!$Q$2:$Q$1001&lt;&gt;"")*ISNUMBER(SEARCH(실물목록!$Q$2:$Q$1001,I2898))*(실물목록!$R$2:$R$1001="")*(실물목록!$O$2:$O$1001&lt;&gt;"")*(실물목록!$O$2:$O$1001=H2898))&gt;0,"실물 있음",IF(SUMPRODUCT((실물목록!$P$2:$P$1001&lt;&gt;"")*ISNUMBER(SEARCH(실물목록!$P$2:$P$1001,I2898))*(실물목록!$R$2:$R$1001&lt;&gt;""))&gt;0,"확인필요(입력누락)",IF(SUMPRODUCT((실물목록!$P$2:$P$1001&lt;&gt;"")*ISNUMBER(SEARCH(실물목록!$P$2:$P$1001,I2898))*(실물목록!$Q$2:$Q$1001&lt;&gt;"")*ISNUMBER(SEARCH(실물목록!$Q$2:$Q$1001,I2898))*(실물목록!$R$2:$R$1001="")*(실물목록!$O$2:$O$1001&lt;&gt;""))&gt;0,"확인필요(연도다름)","실물 없음")))))</f>
      </c>
      <c r="G2898" t="n" s="16">
        <f aca="0">IF(B2898="","",SUMPRODUCT((실물목록!$P$2:$P$1001&lt;&gt;"")*ISNUMBER(SEARCH(실물목록!$P$2:$P$1001,I2898))*(실물목록!$Q$2:$Q$1001&lt;&gt;"")*ISNUMBER(SEARCH(실물목록!$Q$2:$Q$1001,I2898))*(실물목록!$R$2:$R$1001="")*(실물목록!$O$2:$O$1001&lt;&gt;"")*(실물목록!$O$2:$O$1001=H2898)))</f>
      </c>
      <c r="H2898" t="str">
        <f>IFERROR(IF(AND(LEN(SUBSTITUTE(SUBSTITUTE(SUBSTITUTE(TRIM(A2898&amp;""),CHAR(160),"")," ",""),"년",""))=4,VALUE(SUBSTITUTE(SUBSTITUTE(SUBSTITUTE(TRIM(A2898&amp;""),CHAR(160),"")," ",""),"년",""))&gt;=1900,VALUE(SUBSTITUTE(SUBSTITUTE(SUBSTITUTE(TRIM(A2898&amp;""),CHAR(160),"")," ",""),"년",""))&lt;=2099,TEXT(VALUE(SUBSTITUTE(SUBSTITUTE(SUBSTITUTE(TRIM(A2898&amp;""),CHAR(160),"")," ",""),"년","")),"0000")=SUBSTITUTE(SUBSTITUTE(SUBSTITUTE(TRIM(A2898&amp;""),CHAR(160),"")," ",""),"년","")),SUBSTITUTE(SUBSTITUTE(SUBSTITUTE(TRIM(A2898&amp;""),CHAR(160),"")," ",""),"년",""),""),"")</f>
      </c>
      <c r="I2898" t="str">
        <f>SUBSTITUTE(SUBSTITUTE(SUBSTITUTE(SUBSTITUTE(SUBSTITUTE(TRIM(B2898&amp;""),CHAR(160),"")," ",""),"초등학교","초"),"중학교","중"),"고등학교","고")</f>
      </c>
    </row>
    <row r="2899" customFormat="false" ht="15" hidden="false" customHeight="false" outlineLevel="0" collapsed="false">
      <c r="A2899" s="8"/>
      <c r="B2899" s="8"/>
      <c r="C2899" s="8"/>
      <c r="D2899" s="8"/>
      <c r="E2899" s="8"/>
      <c r="F2899" t="str" s="15">
        <f aca="0">IF(B2899="","",IF(H2899="","확인필요(입력누락)",IF(SUMPRODUCT((실물목록!$P$2:$P$1001&lt;&gt;"")*ISNUMBER(SEARCH(실물목록!$P$2:$P$1001,I2899))*(실물목록!$Q$2:$Q$1001&lt;&gt;"")*ISNUMBER(SEARCH(실물목록!$Q$2:$Q$1001,I2899))*(실물목록!$R$2:$R$1001="")*(실물목록!$O$2:$O$1001&lt;&gt;"")*(실물목록!$O$2:$O$1001=H2899))&gt;0,"실물 있음",IF(SUMPRODUCT((실물목록!$P$2:$P$1001&lt;&gt;"")*ISNUMBER(SEARCH(실물목록!$P$2:$P$1001,I2899))*(실물목록!$R$2:$R$1001&lt;&gt;""))&gt;0,"확인필요(입력누락)",IF(SUMPRODUCT((실물목록!$P$2:$P$1001&lt;&gt;"")*ISNUMBER(SEARCH(실물목록!$P$2:$P$1001,I2899))*(실물목록!$Q$2:$Q$1001&lt;&gt;"")*ISNUMBER(SEARCH(실물목록!$Q$2:$Q$1001,I2899))*(실물목록!$R$2:$R$1001="")*(실물목록!$O$2:$O$1001&lt;&gt;""))&gt;0,"확인필요(연도다름)","실물 없음")))))</f>
      </c>
      <c r="G2899" t="n" s="16">
        <f aca="0">IF(B2899="","",SUMPRODUCT((실물목록!$P$2:$P$1001&lt;&gt;"")*ISNUMBER(SEARCH(실물목록!$P$2:$P$1001,I2899))*(실물목록!$Q$2:$Q$1001&lt;&gt;"")*ISNUMBER(SEARCH(실물목록!$Q$2:$Q$1001,I2899))*(실물목록!$R$2:$R$1001="")*(실물목록!$O$2:$O$1001&lt;&gt;"")*(실물목록!$O$2:$O$1001=H2899)))</f>
      </c>
      <c r="H2899" t="str">
        <f>IFERROR(IF(AND(LEN(SUBSTITUTE(SUBSTITUTE(SUBSTITUTE(TRIM(A2899&amp;""),CHAR(160),"")," ",""),"년",""))=4,VALUE(SUBSTITUTE(SUBSTITUTE(SUBSTITUTE(TRIM(A2899&amp;""),CHAR(160),"")," ",""),"년",""))&gt;=1900,VALUE(SUBSTITUTE(SUBSTITUTE(SUBSTITUTE(TRIM(A2899&amp;""),CHAR(160),"")," ",""),"년",""))&lt;=2099,TEXT(VALUE(SUBSTITUTE(SUBSTITUTE(SUBSTITUTE(TRIM(A2899&amp;""),CHAR(160),"")," ",""),"년","")),"0000")=SUBSTITUTE(SUBSTITUTE(SUBSTITUTE(TRIM(A2899&amp;""),CHAR(160),"")," ",""),"년","")),SUBSTITUTE(SUBSTITUTE(SUBSTITUTE(TRIM(A2899&amp;""),CHAR(160),"")," ",""),"년",""),""),"")</f>
      </c>
      <c r="I2899" t="str">
        <f>SUBSTITUTE(SUBSTITUTE(SUBSTITUTE(SUBSTITUTE(SUBSTITUTE(TRIM(B2899&amp;""),CHAR(160),"")," ",""),"초등학교","초"),"중학교","중"),"고등학교","고")</f>
      </c>
    </row>
    <row r="2900" customFormat="false" ht="15" hidden="false" customHeight="false" outlineLevel="0" collapsed="false">
      <c r="A2900" s="8"/>
      <c r="B2900" s="8"/>
      <c r="C2900" s="8"/>
      <c r="D2900" s="8"/>
      <c r="E2900" s="8"/>
      <c r="F2900" t="str" s="15">
        <f aca="0">IF(B2900="","",IF(H2900="","확인필요(입력누락)",IF(SUMPRODUCT((실물목록!$P$2:$P$1001&lt;&gt;"")*ISNUMBER(SEARCH(실물목록!$P$2:$P$1001,I2900))*(실물목록!$Q$2:$Q$1001&lt;&gt;"")*ISNUMBER(SEARCH(실물목록!$Q$2:$Q$1001,I2900))*(실물목록!$R$2:$R$1001="")*(실물목록!$O$2:$O$1001&lt;&gt;"")*(실물목록!$O$2:$O$1001=H2900))&gt;0,"실물 있음",IF(SUMPRODUCT((실물목록!$P$2:$P$1001&lt;&gt;"")*ISNUMBER(SEARCH(실물목록!$P$2:$P$1001,I2900))*(실물목록!$R$2:$R$1001&lt;&gt;""))&gt;0,"확인필요(입력누락)",IF(SUMPRODUCT((실물목록!$P$2:$P$1001&lt;&gt;"")*ISNUMBER(SEARCH(실물목록!$P$2:$P$1001,I2900))*(실물목록!$Q$2:$Q$1001&lt;&gt;"")*ISNUMBER(SEARCH(실물목록!$Q$2:$Q$1001,I2900))*(실물목록!$R$2:$R$1001="")*(실물목록!$O$2:$O$1001&lt;&gt;""))&gt;0,"확인필요(연도다름)","실물 없음")))))</f>
      </c>
      <c r="G2900" t="n" s="16">
        <f aca="0">IF(B2900="","",SUMPRODUCT((실물목록!$P$2:$P$1001&lt;&gt;"")*ISNUMBER(SEARCH(실물목록!$P$2:$P$1001,I2900))*(실물목록!$Q$2:$Q$1001&lt;&gt;"")*ISNUMBER(SEARCH(실물목록!$Q$2:$Q$1001,I2900))*(실물목록!$R$2:$R$1001="")*(실물목록!$O$2:$O$1001&lt;&gt;"")*(실물목록!$O$2:$O$1001=H2900)))</f>
      </c>
      <c r="H2900" t="str">
        <f>IFERROR(IF(AND(LEN(SUBSTITUTE(SUBSTITUTE(SUBSTITUTE(TRIM(A2900&amp;""),CHAR(160),"")," ",""),"년",""))=4,VALUE(SUBSTITUTE(SUBSTITUTE(SUBSTITUTE(TRIM(A2900&amp;""),CHAR(160),"")," ",""),"년",""))&gt;=1900,VALUE(SUBSTITUTE(SUBSTITUTE(SUBSTITUTE(TRIM(A2900&amp;""),CHAR(160),"")," ",""),"년",""))&lt;=2099,TEXT(VALUE(SUBSTITUTE(SUBSTITUTE(SUBSTITUTE(TRIM(A2900&amp;""),CHAR(160),"")," ",""),"년","")),"0000")=SUBSTITUTE(SUBSTITUTE(SUBSTITUTE(TRIM(A2900&amp;""),CHAR(160),"")," ",""),"년","")),SUBSTITUTE(SUBSTITUTE(SUBSTITUTE(TRIM(A2900&amp;""),CHAR(160),"")," ",""),"년",""),""),"")</f>
      </c>
      <c r="I2900" t="str">
        <f>SUBSTITUTE(SUBSTITUTE(SUBSTITUTE(SUBSTITUTE(SUBSTITUTE(TRIM(B2900&amp;""),CHAR(160),"")," ",""),"초등학교","초"),"중학교","중"),"고등학교","고")</f>
      </c>
    </row>
    <row r="2901" customFormat="false" ht="15" hidden="false" customHeight="false" outlineLevel="0" collapsed="false">
      <c r="A2901" s="8"/>
      <c r="B2901" s="8"/>
      <c r="C2901" s="8"/>
      <c r="D2901" s="8"/>
      <c r="E2901" s="8"/>
      <c r="F2901" t="str" s="15">
        <f aca="0">IF(B2901="","",IF(H2901="","확인필요(입력누락)",IF(SUMPRODUCT((실물목록!$P$2:$P$1001&lt;&gt;"")*ISNUMBER(SEARCH(실물목록!$P$2:$P$1001,I2901))*(실물목록!$Q$2:$Q$1001&lt;&gt;"")*ISNUMBER(SEARCH(실물목록!$Q$2:$Q$1001,I2901))*(실물목록!$R$2:$R$1001="")*(실물목록!$O$2:$O$1001&lt;&gt;"")*(실물목록!$O$2:$O$1001=H2901))&gt;0,"실물 있음",IF(SUMPRODUCT((실물목록!$P$2:$P$1001&lt;&gt;"")*ISNUMBER(SEARCH(실물목록!$P$2:$P$1001,I2901))*(실물목록!$R$2:$R$1001&lt;&gt;""))&gt;0,"확인필요(입력누락)",IF(SUMPRODUCT((실물목록!$P$2:$P$1001&lt;&gt;"")*ISNUMBER(SEARCH(실물목록!$P$2:$P$1001,I2901))*(실물목록!$Q$2:$Q$1001&lt;&gt;"")*ISNUMBER(SEARCH(실물목록!$Q$2:$Q$1001,I2901))*(실물목록!$R$2:$R$1001="")*(실물목록!$O$2:$O$1001&lt;&gt;""))&gt;0,"확인필요(연도다름)","실물 없음")))))</f>
      </c>
      <c r="G2901" t="n" s="16">
        <f aca="0">IF(B2901="","",SUMPRODUCT((실물목록!$P$2:$P$1001&lt;&gt;"")*ISNUMBER(SEARCH(실물목록!$P$2:$P$1001,I2901))*(실물목록!$Q$2:$Q$1001&lt;&gt;"")*ISNUMBER(SEARCH(실물목록!$Q$2:$Q$1001,I2901))*(실물목록!$R$2:$R$1001="")*(실물목록!$O$2:$O$1001&lt;&gt;"")*(실물목록!$O$2:$O$1001=H2901)))</f>
      </c>
      <c r="H2901" t="str">
        <f>IFERROR(IF(AND(LEN(SUBSTITUTE(SUBSTITUTE(SUBSTITUTE(TRIM(A2901&amp;""),CHAR(160),"")," ",""),"년",""))=4,VALUE(SUBSTITUTE(SUBSTITUTE(SUBSTITUTE(TRIM(A2901&amp;""),CHAR(160),"")," ",""),"년",""))&gt;=1900,VALUE(SUBSTITUTE(SUBSTITUTE(SUBSTITUTE(TRIM(A2901&amp;""),CHAR(160),"")," ",""),"년",""))&lt;=2099,TEXT(VALUE(SUBSTITUTE(SUBSTITUTE(SUBSTITUTE(TRIM(A2901&amp;""),CHAR(160),"")," ",""),"년","")),"0000")=SUBSTITUTE(SUBSTITUTE(SUBSTITUTE(TRIM(A2901&amp;""),CHAR(160),"")," ",""),"년","")),SUBSTITUTE(SUBSTITUTE(SUBSTITUTE(TRIM(A2901&amp;""),CHAR(160),"")," ",""),"년",""),""),"")</f>
      </c>
      <c r="I2901" t="str">
        <f>SUBSTITUTE(SUBSTITUTE(SUBSTITUTE(SUBSTITUTE(SUBSTITUTE(TRIM(B2901&amp;""),CHAR(160),"")," ",""),"초등학교","초"),"중학교","중"),"고등학교","고")</f>
      </c>
    </row>
    <row r="2902" customFormat="false" ht="15" hidden="false" customHeight="false" outlineLevel="0" collapsed="false">
      <c r="A2902" s="8"/>
      <c r="B2902" s="8"/>
      <c r="C2902" s="8"/>
      <c r="D2902" s="8"/>
      <c r="E2902" s="8"/>
      <c r="F2902" t="str" s="15">
        <f aca="0">IF(B2902="","",IF(H2902="","확인필요(입력누락)",IF(SUMPRODUCT((실물목록!$P$2:$P$1001&lt;&gt;"")*ISNUMBER(SEARCH(실물목록!$P$2:$P$1001,I2902))*(실물목록!$Q$2:$Q$1001&lt;&gt;"")*ISNUMBER(SEARCH(실물목록!$Q$2:$Q$1001,I2902))*(실물목록!$R$2:$R$1001="")*(실물목록!$O$2:$O$1001&lt;&gt;"")*(실물목록!$O$2:$O$1001=H2902))&gt;0,"실물 있음",IF(SUMPRODUCT((실물목록!$P$2:$P$1001&lt;&gt;"")*ISNUMBER(SEARCH(실물목록!$P$2:$P$1001,I2902))*(실물목록!$R$2:$R$1001&lt;&gt;""))&gt;0,"확인필요(입력누락)",IF(SUMPRODUCT((실물목록!$P$2:$P$1001&lt;&gt;"")*ISNUMBER(SEARCH(실물목록!$P$2:$P$1001,I2902))*(실물목록!$Q$2:$Q$1001&lt;&gt;"")*ISNUMBER(SEARCH(실물목록!$Q$2:$Q$1001,I2902))*(실물목록!$R$2:$R$1001="")*(실물목록!$O$2:$O$1001&lt;&gt;""))&gt;0,"확인필요(연도다름)","실물 없음")))))</f>
      </c>
      <c r="G2902" t="n" s="16">
        <f aca="0">IF(B2902="","",SUMPRODUCT((실물목록!$P$2:$P$1001&lt;&gt;"")*ISNUMBER(SEARCH(실물목록!$P$2:$P$1001,I2902))*(실물목록!$Q$2:$Q$1001&lt;&gt;"")*ISNUMBER(SEARCH(실물목록!$Q$2:$Q$1001,I2902))*(실물목록!$R$2:$R$1001="")*(실물목록!$O$2:$O$1001&lt;&gt;"")*(실물목록!$O$2:$O$1001=H2902)))</f>
      </c>
      <c r="H2902" t="str">
        <f>IFERROR(IF(AND(LEN(SUBSTITUTE(SUBSTITUTE(SUBSTITUTE(TRIM(A2902&amp;""),CHAR(160),"")," ",""),"년",""))=4,VALUE(SUBSTITUTE(SUBSTITUTE(SUBSTITUTE(TRIM(A2902&amp;""),CHAR(160),"")," ",""),"년",""))&gt;=1900,VALUE(SUBSTITUTE(SUBSTITUTE(SUBSTITUTE(TRIM(A2902&amp;""),CHAR(160),"")," ",""),"년",""))&lt;=2099,TEXT(VALUE(SUBSTITUTE(SUBSTITUTE(SUBSTITUTE(TRIM(A2902&amp;""),CHAR(160),"")," ",""),"년","")),"0000")=SUBSTITUTE(SUBSTITUTE(SUBSTITUTE(TRIM(A2902&amp;""),CHAR(160),"")," ",""),"년","")),SUBSTITUTE(SUBSTITUTE(SUBSTITUTE(TRIM(A2902&amp;""),CHAR(160),"")," ",""),"년",""),""),"")</f>
      </c>
      <c r="I2902" t="str">
        <f>SUBSTITUTE(SUBSTITUTE(SUBSTITUTE(SUBSTITUTE(SUBSTITUTE(TRIM(B2902&amp;""),CHAR(160),"")," ",""),"초등학교","초"),"중학교","중"),"고등학교","고")</f>
      </c>
    </row>
    <row r="2903" customFormat="false" ht="15" hidden="false" customHeight="false" outlineLevel="0" collapsed="false">
      <c r="A2903" s="8"/>
      <c r="B2903" s="8"/>
      <c r="C2903" s="8"/>
      <c r="D2903" s="8"/>
      <c r="E2903" s="8"/>
      <c r="F2903" t="str" s="15">
        <f aca="0">IF(B2903="","",IF(H2903="","확인필요(입력누락)",IF(SUMPRODUCT((실물목록!$P$2:$P$1001&lt;&gt;"")*ISNUMBER(SEARCH(실물목록!$P$2:$P$1001,I2903))*(실물목록!$Q$2:$Q$1001&lt;&gt;"")*ISNUMBER(SEARCH(실물목록!$Q$2:$Q$1001,I2903))*(실물목록!$R$2:$R$1001="")*(실물목록!$O$2:$O$1001&lt;&gt;"")*(실물목록!$O$2:$O$1001=H2903))&gt;0,"실물 있음",IF(SUMPRODUCT((실물목록!$P$2:$P$1001&lt;&gt;"")*ISNUMBER(SEARCH(실물목록!$P$2:$P$1001,I2903))*(실물목록!$R$2:$R$1001&lt;&gt;""))&gt;0,"확인필요(입력누락)",IF(SUMPRODUCT((실물목록!$P$2:$P$1001&lt;&gt;"")*ISNUMBER(SEARCH(실물목록!$P$2:$P$1001,I2903))*(실물목록!$Q$2:$Q$1001&lt;&gt;"")*ISNUMBER(SEARCH(실물목록!$Q$2:$Q$1001,I2903))*(실물목록!$R$2:$R$1001="")*(실물목록!$O$2:$O$1001&lt;&gt;""))&gt;0,"확인필요(연도다름)","실물 없음")))))</f>
      </c>
      <c r="G2903" t="n" s="16">
        <f aca="0">IF(B2903="","",SUMPRODUCT((실물목록!$P$2:$P$1001&lt;&gt;"")*ISNUMBER(SEARCH(실물목록!$P$2:$P$1001,I2903))*(실물목록!$Q$2:$Q$1001&lt;&gt;"")*ISNUMBER(SEARCH(실물목록!$Q$2:$Q$1001,I2903))*(실물목록!$R$2:$R$1001="")*(실물목록!$O$2:$O$1001&lt;&gt;"")*(실물목록!$O$2:$O$1001=H2903)))</f>
      </c>
      <c r="H2903" t="str">
        <f>IFERROR(IF(AND(LEN(SUBSTITUTE(SUBSTITUTE(SUBSTITUTE(TRIM(A2903&amp;""),CHAR(160),"")," ",""),"년",""))=4,VALUE(SUBSTITUTE(SUBSTITUTE(SUBSTITUTE(TRIM(A2903&amp;""),CHAR(160),"")," ",""),"년",""))&gt;=1900,VALUE(SUBSTITUTE(SUBSTITUTE(SUBSTITUTE(TRIM(A2903&amp;""),CHAR(160),"")," ",""),"년",""))&lt;=2099,TEXT(VALUE(SUBSTITUTE(SUBSTITUTE(SUBSTITUTE(TRIM(A2903&amp;""),CHAR(160),"")," ",""),"년","")),"0000")=SUBSTITUTE(SUBSTITUTE(SUBSTITUTE(TRIM(A2903&amp;""),CHAR(160),"")," ",""),"년","")),SUBSTITUTE(SUBSTITUTE(SUBSTITUTE(TRIM(A2903&amp;""),CHAR(160),"")," ",""),"년",""),""),"")</f>
      </c>
      <c r="I2903" t="str">
        <f>SUBSTITUTE(SUBSTITUTE(SUBSTITUTE(SUBSTITUTE(SUBSTITUTE(TRIM(B2903&amp;""),CHAR(160),"")," ",""),"초등학교","초"),"중학교","중"),"고등학교","고")</f>
      </c>
    </row>
    <row r="2904" customFormat="false" ht="15" hidden="false" customHeight="false" outlineLevel="0" collapsed="false">
      <c r="A2904" s="8"/>
      <c r="B2904" s="8"/>
      <c r="C2904" s="8"/>
      <c r="D2904" s="8"/>
      <c r="E2904" s="8"/>
      <c r="F2904" t="str" s="15">
        <f aca="0">IF(B2904="","",IF(H2904="","확인필요(입력누락)",IF(SUMPRODUCT((실물목록!$P$2:$P$1001&lt;&gt;"")*ISNUMBER(SEARCH(실물목록!$P$2:$P$1001,I2904))*(실물목록!$Q$2:$Q$1001&lt;&gt;"")*ISNUMBER(SEARCH(실물목록!$Q$2:$Q$1001,I2904))*(실물목록!$R$2:$R$1001="")*(실물목록!$O$2:$O$1001&lt;&gt;"")*(실물목록!$O$2:$O$1001=H2904))&gt;0,"실물 있음",IF(SUMPRODUCT((실물목록!$P$2:$P$1001&lt;&gt;"")*ISNUMBER(SEARCH(실물목록!$P$2:$P$1001,I2904))*(실물목록!$R$2:$R$1001&lt;&gt;""))&gt;0,"확인필요(입력누락)",IF(SUMPRODUCT((실물목록!$P$2:$P$1001&lt;&gt;"")*ISNUMBER(SEARCH(실물목록!$P$2:$P$1001,I2904))*(실물목록!$Q$2:$Q$1001&lt;&gt;"")*ISNUMBER(SEARCH(실물목록!$Q$2:$Q$1001,I2904))*(실물목록!$R$2:$R$1001="")*(실물목록!$O$2:$O$1001&lt;&gt;""))&gt;0,"확인필요(연도다름)","실물 없음")))))</f>
      </c>
      <c r="G2904" t="n" s="16">
        <f aca="0">IF(B2904="","",SUMPRODUCT((실물목록!$P$2:$P$1001&lt;&gt;"")*ISNUMBER(SEARCH(실물목록!$P$2:$P$1001,I2904))*(실물목록!$Q$2:$Q$1001&lt;&gt;"")*ISNUMBER(SEARCH(실물목록!$Q$2:$Q$1001,I2904))*(실물목록!$R$2:$R$1001="")*(실물목록!$O$2:$O$1001&lt;&gt;"")*(실물목록!$O$2:$O$1001=H2904)))</f>
      </c>
      <c r="H2904" t="str">
        <f>IFERROR(IF(AND(LEN(SUBSTITUTE(SUBSTITUTE(SUBSTITUTE(TRIM(A2904&amp;""),CHAR(160),"")," ",""),"년",""))=4,VALUE(SUBSTITUTE(SUBSTITUTE(SUBSTITUTE(TRIM(A2904&amp;""),CHAR(160),"")," ",""),"년",""))&gt;=1900,VALUE(SUBSTITUTE(SUBSTITUTE(SUBSTITUTE(TRIM(A2904&amp;""),CHAR(160),"")," ",""),"년",""))&lt;=2099,TEXT(VALUE(SUBSTITUTE(SUBSTITUTE(SUBSTITUTE(TRIM(A2904&amp;""),CHAR(160),"")," ",""),"년","")),"0000")=SUBSTITUTE(SUBSTITUTE(SUBSTITUTE(TRIM(A2904&amp;""),CHAR(160),"")," ",""),"년","")),SUBSTITUTE(SUBSTITUTE(SUBSTITUTE(TRIM(A2904&amp;""),CHAR(160),"")," ",""),"년",""),""),"")</f>
      </c>
      <c r="I2904" t="str">
        <f>SUBSTITUTE(SUBSTITUTE(SUBSTITUTE(SUBSTITUTE(SUBSTITUTE(TRIM(B2904&amp;""),CHAR(160),"")," ",""),"초등학교","초"),"중학교","중"),"고등학교","고")</f>
      </c>
    </row>
    <row r="2905" customFormat="false" ht="15" hidden="false" customHeight="false" outlineLevel="0" collapsed="false">
      <c r="A2905" s="8"/>
      <c r="B2905" s="8"/>
      <c r="C2905" s="8"/>
      <c r="D2905" s="8"/>
      <c r="E2905" s="8"/>
      <c r="F2905" t="str" s="15">
        <f aca="0">IF(B2905="","",IF(H2905="","확인필요(입력누락)",IF(SUMPRODUCT((실물목록!$P$2:$P$1001&lt;&gt;"")*ISNUMBER(SEARCH(실물목록!$P$2:$P$1001,I2905))*(실물목록!$Q$2:$Q$1001&lt;&gt;"")*ISNUMBER(SEARCH(실물목록!$Q$2:$Q$1001,I2905))*(실물목록!$R$2:$R$1001="")*(실물목록!$O$2:$O$1001&lt;&gt;"")*(실물목록!$O$2:$O$1001=H2905))&gt;0,"실물 있음",IF(SUMPRODUCT((실물목록!$P$2:$P$1001&lt;&gt;"")*ISNUMBER(SEARCH(실물목록!$P$2:$P$1001,I2905))*(실물목록!$R$2:$R$1001&lt;&gt;""))&gt;0,"확인필요(입력누락)",IF(SUMPRODUCT((실물목록!$P$2:$P$1001&lt;&gt;"")*ISNUMBER(SEARCH(실물목록!$P$2:$P$1001,I2905))*(실물목록!$Q$2:$Q$1001&lt;&gt;"")*ISNUMBER(SEARCH(실물목록!$Q$2:$Q$1001,I2905))*(실물목록!$R$2:$R$1001="")*(실물목록!$O$2:$O$1001&lt;&gt;""))&gt;0,"확인필요(연도다름)","실물 없음")))))</f>
      </c>
      <c r="G2905" t="n" s="16">
        <f aca="0">IF(B2905="","",SUMPRODUCT((실물목록!$P$2:$P$1001&lt;&gt;"")*ISNUMBER(SEARCH(실물목록!$P$2:$P$1001,I2905))*(실물목록!$Q$2:$Q$1001&lt;&gt;"")*ISNUMBER(SEARCH(실물목록!$Q$2:$Q$1001,I2905))*(실물목록!$R$2:$R$1001="")*(실물목록!$O$2:$O$1001&lt;&gt;"")*(실물목록!$O$2:$O$1001=H2905)))</f>
      </c>
      <c r="H2905" t="str">
        <f>IFERROR(IF(AND(LEN(SUBSTITUTE(SUBSTITUTE(SUBSTITUTE(TRIM(A2905&amp;""),CHAR(160),"")," ",""),"년",""))=4,VALUE(SUBSTITUTE(SUBSTITUTE(SUBSTITUTE(TRIM(A2905&amp;""),CHAR(160),"")," ",""),"년",""))&gt;=1900,VALUE(SUBSTITUTE(SUBSTITUTE(SUBSTITUTE(TRIM(A2905&amp;""),CHAR(160),"")," ",""),"년",""))&lt;=2099,TEXT(VALUE(SUBSTITUTE(SUBSTITUTE(SUBSTITUTE(TRIM(A2905&amp;""),CHAR(160),"")," ",""),"년","")),"0000")=SUBSTITUTE(SUBSTITUTE(SUBSTITUTE(TRIM(A2905&amp;""),CHAR(160),"")," ",""),"년","")),SUBSTITUTE(SUBSTITUTE(SUBSTITUTE(TRIM(A2905&amp;""),CHAR(160),"")," ",""),"년",""),""),"")</f>
      </c>
      <c r="I2905" t="str">
        <f>SUBSTITUTE(SUBSTITUTE(SUBSTITUTE(SUBSTITUTE(SUBSTITUTE(TRIM(B2905&amp;""),CHAR(160),"")," ",""),"초등학교","초"),"중학교","중"),"고등학교","고")</f>
      </c>
    </row>
    <row r="2906" customFormat="false" ht="15" hidden="false" customHeight="false" outlineLevel="0" collapsed="false">
      <c r="A2906" s="8"/>
      <c r="B2906" s="8"/>
      <c r="C2906" s="8"/>
      <c r="D2906" s="8"/>
      <c r="E2906" s="8"/>
      <c r="F2906" t="str" s="15">
        <f aca="0">IF(B2906="","",IF(H2906="","확인필요(입력누락)",IF(SUMPRODUCT((실물목록!$P$2:$P$1001&lt;&gt;"")*ISNUMBER(SEARCH(실물목록!$P$2:$P$1001,I2906))*(실물목록!$Q$2:$Q$1001&lt;&gt;"")*ISNUMBER(SEARCH(실물목록!$Q$2:$Q$1001,I2906))*(실물목록!$R$2:$R$1001="")*(실물목록!$O$2:$O$1001&lt;&gt;"")*(실물목록!$O$2:$O$1001=H2906))&gt;0,"실물 있음",IF(SUMPRODUCT((실물목록!$P$2:$P$1001&lt;&gt;"")*ISNUMBER(SEARCH(실물목록!$P$2:$P$1001,I2906))*(실물목록!$R$2:$R$1001&lt;&gt;""))&gt;0,"확인필요(입력누락)",IF(SUMPRODUCT((실물목록!$P$2:$P$1001&lt;&gt;"")*ISNUMBER(SEARCH(실물목록!$P$2:$P$1001,I2906))*(실물목록!$Q$2:$Q$1001&lt;&gt;"")*ISNUMBER(SEARCH(실물목록!$Q$2:$Q$1001,I2906))*(실물목록!$R$2:$R$1001="")*(실물목록!$O$2:$O$1001&lt;&gt;""))&gt;0,"확인필요(연도다름)","실물 없음")))))</f>
      </c>
      <c r="G2906" t="n" s="16">
        <f aca="0">IF(B2906="","",SUMPRODUCT((실물목록!$P$2:$P$1001&lt;&gt;"")*ISNUMBER(SEARCH(실물목록!$P$2:$P$1001,I2906))*(실물목록!$Q$2:$Q$1001&lt;&gt;"")*ISNUMBER(SEARCH(실물목록!$Q$2:$Q$1001,I2906))*(실물목록!$R$2:$R$1001="")*(실물목록!$O$2:$O$1001&lt;&gt;"")*(실물목록!$O$2:$O$1001=H2906)))</f>
      </c>
      <c r="H2906" t="str">
        <f>IFERROR(IF(AND(LEN(SUBSTITUTE(SUBSTITUTE(SUBSTITUTE(TRIM(A2906&amp;""),CHAR(160),"")," ",""),"년",""))=4,VALUE(SUBSTITUTE(SUBSTITUTE(SUBSTITUTE(TRIM(A2906&amp;""),CHAR(160),"")," ",""),"년",""))&gt;=1900,VALUE(SUBSTITUTE(SUBSTITUTE(SUBSTITUTE(TRIM(A2906&amp;""),CHAR(160),"")," ",""),"년",""))&lt;=2099,TEXT(VALUE(SUBSTITUTE(SUBSTITUTE(SUBSTITUTE(TRIM(A2906&amp;""),CHAR(160),"")," ",""),"년","")),"0000")=SUBSTITUTE(SUBSTITUTE(SUBSTITUTE(TRIM(A2906&amp;""),CHAR(160),"")," ",""),"년","")),SUBSTITUTE(SUBSTITUTE(SUBSTITUTE(TRIM(A2906&amp;""),CHAR(160),"")," ",""),"년",""),""),"")</f>
      </c>
      <c r="I2906" t="str">
        <f>SUBSTITUTE(SUBSTITUTE(SUBSTITUTE(SUBSTITUTE(SUBSTITUTE(TRIM(B2906&amp;""),CHAR(160),"")," ",""),"초등학교","초"),"중학교","중"),"고등학교","고")</f>
      </c>
    </row>
    <row r="2907" customFormat="false" ht="15" hidden="false" customHeight="false" outlineLevel="0" collapsed="false">
      <c r="A2907" s="8"/>
      <c r="B2907" s="8"/>
      <c r="C2907" s="8"/>
      <c r="D2907" s="8"/>
      <c r="E2907" s="8"/>
      <c r="F2907" t="str" s="15">
        <f aca="0">IF(B2907="","",IF(H2907="","확인필요(입력누락)",IF(SUMPRODUCT((실물목록!$P$2:$P$1001&lt;&gt;"")*ISNUMBER(SEARCH(실물목록!$P$2:$P$1001,I2907))*(실물목록!$Q$2:$Q$1001&lt;&gt;"")*ISNUMBER(SEARCH(실물목록!$Q$2:$Q$1001,I2907))*(실물목록!$R$2:$R$1001="")*(실물목록!$O$2:$O$1001&lt;&gt;"")*(실물목록!$O$2:$O$1001=H2907))&gt;0,"실물 있음",IF(SUMPRODUCT((실물목록!$P$2:$P$1001&lt;&gt;"")*ISNUMBER(SEARCH(실물목록!$P$2:$P$1001,I2907))*(실물목록!$R$2:$R$1001&lt;&gt;""))&gt;0,"확인필요(입력누락)",IF(SUMPRODUCT((실물목록!$P$2:$P$1001&lt;&gt;"")*ISNUMBER(SEARCH(실물목록!$P$2:$P$1001,I2907))*(실물목록!$Q$2:$Q$1001&lt;&gt;"")*ISNUMBER(SEARCH(실물목록!$Q$2:$Q$1001,I2907))*(실물목록!$R$2:$R$1001="")*(실물목록!$O$2:$O$1001&lt;&gt;""))&gt;0,"확인필요(연도다름)","실물 없음")))))</f>
      </c>
      <c r="G2907" t="n" s="16">
        <f aca="0">IF(B2907="","",SUMPRODUCT((실물목록!$P$2:$P$1001&lt;&gt;"")*ISNUMBER(SEARCH(실물목록!$P$2:$P$1001,I2907))*(실물목록!$Q$2:$Q$1001&lt;&gt;"")*ISNUMBER(SEARCH(실물목록!$Q$2:$Q$1001,I2907))*(실물목록!$R$2:$R$1001="")*(실물목록!$O$2:$O$1001&lt;&gt;"")*(실물목록!$O$2:$O$1001=H2907)))</f>
      </c>
      <c r="H2907" t="str">
        <f>IFERROR(IF(AND(LEN(SUBSTITUTE(SUBSTITUTE(SUBSTITUTE(TRIM(A2907&amp;""),CHAR(160),"")," ",""),"년",""))=4,VALUE(SUBSTITUTE(SUBSTITUTE(SUBSTITUTE(TRIM(A2907&amp;""),CHAR(160),"")," ",""),"년",""))&gt;=1900,VALUE(SUBSTITUTE(SUBSTITUTE(SUBSTITUTE(TRIM(A2907&amp;""),CHAR(160),"")," ",""),"년",""))&lt;=2099,TEXT(VALUE(SUBSTITUTE(SUBSTITUTE(SUBSTITUTE(TRIM(A2907&amp;""),CHAR(160),"")," ",""),"년","")),"0000")=SUBSTITUTE(SUBSTITUTE(SUBSTITUTE(TRIM(A2907&amp;""),CHAR(160),"")," ",""),"년","")),SUBSTITUTE(SUBSTITUTE(SUBSTITUTE(TRIM(A2907&amp;""),CHAR(160),"")," ",""),"년",""),""),"")</f>
      </c>
      <c r="I2907" t="str">
        <f>SUBSTITUTE(SUBSTITUTE(SUBSTITUTE(SUBSTITUTE(SUBSTITUTE(TRIM(B2907&amp;""),CHAR(160),"")," ",""),"초등학교","초"),"중학교","중"),"고등학교","고")</f>
      </c>
    </row>
    <row r="2908" customFormat="false" ht="15" hidden="false" customHeight="false" outlineLevel="0" collapsed="false">
      <c r="A2908" s="8"/>
      <c r="B2908" s="8"/>
      <c r="C2908" s="8"/>
      <c r="D2908" s="8"/>
      <c r="E2908" s="8"/>
      <c r="F2908" t="str" s="15">
        <f aca="0">IF(B2908="","",IF(H2908="","확인필요(입력누락)",IF(SUMPRODUCT((실물목록!$P$2:$P$1001&lt;&gt;"")*ISNUMBER(SEARCH(실물목록!$P$2:$P$1001,I2908))*(실물목록!$Q$2:$Q$1001&lt;&gt;"")*ISNUMBER(SEARCH(실물목록!$Q$2:$Q$1001,I2908))*(실물목록!$R$2:$R$1001="")*(실물목록!$O$2:$O$1001&lt;&gt;"")*(실물목록!$O$2:$O$1001=H2908))&gt;0,"실물 있음",IF(SUMPRODUCT((실물목록!$P$2:$P$1001&lt;&gt;"")*ISNUMBER(SEARCH(실물목록!$P$2:$P$1001,I2908))*(실물목록!$R$2:$R$1001&lt;&gt;""))&gt;0,"확인필요(입력누락)",IF(SUMPRODUCT((실물목록!$P$2:$P$1001&lt;&gt;"")*ISNUMBER(SEARCH(실물목록!$P$2:$P$1001,I2908))*(실물목록!$Q$2:$Q$1001&lt;&gt;"")*ISNUMBER(SEARCH(실물목록!$Q$2:$Q$1001,I2908))*(실물목록!$R$2:$R$1001="")*(실물목록!$O$2:$O$1001&lt;&gt;""))&gt;0,"확인필요(연도다름)","실물 없음")))))</f>
      </c>
      <c r="G2908" t="n" s="16">
        <f aca="0">IF(B2908="","",SUMPRODUCT((실물목록!$P$2:$P$1001&lt;&gt;"")*ISNUMBER(SEARCH(실물목록!$P$2:$P$1001,I2908))*(실물목록!$Q$2:$Q$1001&lt;&gt;"")*ISNUMBER(SEARCH(실물목록!$Q$2:$Q$1001,I2908))*(실물목록!$R$2:$R$1001="")*(실물목록!$O$2:$O$1001&lt;&gt;"")*(실물목록!$O$2:$O$1001=H2908)))</f>
      </c>
      <c r="H2908" t="str">
        <f>IFERROR(IF(AND(LEN(SUBSTITUTE(SUBSTITUTE(SUBSTITUTE(TRIM(A2908&amp;""),CHAR(160),"")," ",""),"년",""))=4,VALUE(SUBSTITUTE(SUBSTITUTE(SUBSTITUTE(TRIM(A2908&amp;""),CHAR(160),"")," ",""),"년",""))&gt;=1900,VALUE(SUBSTITUTE(SUBSTITUTE(SUBSTITUTE(TRIM(A2908&amp;""),CHAR(160),"")," ",""),"년",""))&lt;=2099,TEXT(VALUE(SUBSTITUTE(SUBSTITUTE(SUBSTITUTE(TRIM(A2908&amp;""),CHAR(160),"")," ",""),"년","")),"0000")=SUBSTITUTE(SUBSTITUTE(SUBSTITUTE(TRIM(A2908&amp;""),CHAR(160),"")," ",""),"년","")),SUBSTITUTE(SUBSTITUTE(SUBSTITUTE(TRIM(A2908&amp;""),CHAR(160),"")," ",""),"년",""),""),"")</f>
      </c>
      <c r="I2908" t="str">
        <f>SUBSTITUTE(SUBSTITUTE(SUBSTITUTE(SUBSTITUTE(SUBSTITUTE(TRIM(B2908&amp;""),CHAR(160),"")," ",""),"초등학교","초"),"중학교","중"),"고등학교","고")</f>
      </c>
    </row>
    <row r="2909" customFormat="false" ht="15" hidden="false" customHeight="false" outlineLevel="0" collapsed="false">
      <c r="A2909" s="8"/>
      <c r="B2909" s="8"/>
      <c r="C2909" s="8"/>
      <c r="D2909" s="8"/>
      <c r="E2909" s="8"/>
      <c r="F2909" t="str" s="15">
        <f aca="0">IF(B2909="","",IF(H2909="","확인필요(입력누락)",IF(SUMPRODUCT((실물목록!$P$2:$P$1001&lt;&gt;"")*ISNUMBER(SEARCH(실물목록!$P$2:$P$1001,I2909))*(실물목록!$Q$2:$Q$1001&lt;&gt;"")*ISNUMBER(SEARCH(실물목록!$Q$2:$Q$1001,I2909))*(실물목록!$R$2:$R$1001="")*(실물목록!$O$2:$O$1001&lt;&gt;"")*(실물목록!$O$2:$O$1001=H2909))&gt;0,"실물 있음",IF(SUMPRODUCT((실물목록!$P$2:$P$1001&lt;&gt;"")*ISNUMBER(SEARCH(실물목록!$P$2:$P$1001,I2909))*(실물목록!$R$2:$R$1001&lt;&gt;""))&gt;0,"확인필요(입력누락)",IF(SUMPRODUCT((실물목록!$P$2:$P$1001&lt;&gt;"")*ISNUMBER(SEARCH(실물목록!$P$2:$P$1001,I2909))*(실물목록!$Q$2:$Q$1001&lt;&gt;"")*ISNUMBER(SEARCH(실물목록!$Q$2:$Q$1001,I2909))*(실물목록!$R$2:$R$1001="")*(실물목록!$O$2:$O$1001&lt;&gt;""))&gt;0,"확인필요(연도다름)","실물 없음")))))</f>
      </c>
      <c r="G2909" t="n" s="16">
        <f aca="0">IF(B2909="","",SUMPRODUCT((실물목록!$P$2:$P$1001&lt;&gt;"")*ISNUMBER(SEARCH(실물목록!$P$2:$P$1001,I2909))*(실물목록!$Q$2:$Q$1001&lt;&gt;"")*ISNUMBER(SEARCH(실물목록!$Q$2:$Q$1001,I2909))*(실물목록!$R$2:$R$1001="")*(실물목록!$O$2:$O$1001&lt;&gt;"")*(실물목록!$O$2:$O$1001=H2909)))</f>
      </c>
      <c r="H2909" t="str">
        <f>IFERROR(IF(AND(LEN(SUBSTITUTE(SUBSTITUTE(SUBSTITUTE(TRIM(A2909&amp;""),CHAR(160),"")," ",""),"년",""))=4,VALUE(SUBSTITUTE(SUBSTITUTE(SUBSTITUTE(TRIM(A2909&amp;""),CHAR(160),"")," ",""),"년",""))&gt;=1900,VALUE(SUBSTITUTE(SUBSTITUTE(SUBSTITUTE(TRIM(A2909&amp;""),CHAR(160),"")," ",""),"년",""))&lt;=2099,TEXT(VALUE(SUBSTITUTE(SUBSTITUTE(SUBSTITUTE(TRIM(A2909&amp;""),CHAR(160),"")," ",""),"년","")),"0000")=SUBSTITUTE(SUBSTITUTE(SUBSTITUTE(TRIM(A2909&amp;""),CHAR(160),"")," ",""),"년","")),SUBSTITUTE(SUBSTITUTE(SUBSTITUTE(TRIM(A2909&amp;""),CHAR(160),"")," ",""),"년",""),""),"")</f>
      </c>
      <c r="I2909" t="str">
        <f>SUBSTITUTE(SUBSTITUTE(SUBSTITUTE(SUBSTITUTE(SUBSTITUTE(TRIM(B2909&amp;""),CHAR(160),"")," ",""),"초등학교","초"),"중학교","중"),"고등학교","고")</f>
      </c>
    </row>
    <row r="2910" customFormat="false" ht="15" hidden="false" customHeight="false" outlineLevel="0" collapsed="false">
      <c r="A2910" s="8"/>
      <c r="B2910" s="8"/>
      <c r="C2910" s="8"/>
      <c r="D2910" s="8"/>
      <c r="E2910" s="8"/>
      <c r="F2910" t="str" s="15">
        <f aca="0">IF(B2910="","",IF(H2910="","확인필요(입력누락)",IF(SUMPRODUCT((실물목록!$P$2:$P$1001&lt;&gt;"")*ISNUMBER(SEARCH(실물목록!$P$2:$P$1001,I2910))*(실물목록!$Q$2:$Q$1001&lt;&gt;"")*ISNUMBER(SEARCH(실물목록!$Q$2:$Q$1001,I2910))*(실물목록!$R$2:$R$1001="")*(실물목록!$O$2:$O$1001&lt;&gt;"")*(실물목록!$O$2:$O$1001=H2910))&gt;0,"실물 있음",IF(SUMPRODUCT((실물목록!$P$2:$P$1001&lt;&gt;"")*ISNUMBER(SEARCH(실물목록!$P$2:$P$1001,I2910))*(실물목록!$R$2:$R$1001&lt;&gt;""))&gt;0,"확인필요(입력누락)",IF(SUMPRODUCT((실물목록!$P$2:$P$1001&lt;&gt;"")*ISNUMBER(SEARCH(실물목록!$P$2:$P$1001,I2910))*(실물목록!$Q$2:$Q$1001&lt;&gt;"")*ISNUMBER(SEARCH(실물목록!$Q$2:$Q$1001,I2910))*(실물목록!$R$2:$R$1001="")*(실물목록!$O$2:$O$1001&lt;&gt;""))&gt;0,"확인필요(연도다름)","실물 없음")))))</f>
      </c>
      <c r="G2910" t="n" s="16">
        <f aca="0">IF(B2910="","",SUMPRODUCT((실물목록!$P$2:$P$1001&lt;&gt;"")*ISNUMBER(SEARCH(실물목록!$P$2:$P$1001,I2910))*(실물목록!$Q$2:$Q$1001&lt;&gt;"")*ISNUMBER(SEARCH(실물목록!$Q$2:$Q$1001,I2910))*(실물목록!$R$2:$R$1001="")*(실물목록!$O$2:$O$1001&lt;&gt;"")*(실물목록!$O$2:$O$1001=H2910)))</f>
      </c>
      <c r="H2910" t="str">
        <f>IFERROR(IF(AND(LEN(SUBSTITUTE(SUBSTITUTE(SUBSTITUTE(TRIM(A2910&amp;""),CHAR(160),"")," ",""),"년",""))=4,VALUE(SUBSTITUTE(SUBSTITUTE(SUBSTITUTE(TRIM(A2910&amp;""),CHAR(160),"")," ",""),"년",""))&gt;=1900,VALUE(SUBSTITUTE(SUBSTITUTE(SUBSTITUTE(TRIM(A2910&amp;""),CHAR(160),"")," ",""),"년",""))&lt;=2099,TEXT(VALUE(SUBSTITUTE(SUBSTITUTE(SUBSTITUTE(TRIM(A2910&amp;""),CHAR(160),"")," ",""),"년","")),"0000")=SUBSTITUTE(SUBSTITUTE(SUBSTITUTE(TRIM(A2910&amp;""),CHAR(160),"")," ",""),"년","")),SUBSTITUTE(SUBSTITUTE(SUBSTITUTE(TRIM(A2910&amp;""),CHAR(160),"")," ",""),"년",""),""),"")</f>
      </c>
      <c r="I2910" t="str">
        <f>SUBSTITUTE(SUBSTITUTE(SUBSTITUTE(SUBSTITUTE(SUBSTITUTE(TRIM(B2910&amp;""),CHAR(160),"")," ",""),"초등학교","초"),"중학교","중"),"고등학교","고")</f>
      </c>
    </row>
    <row r="2911" customFormat="false" ht="15" hidden="false" customHeight="false" outlineLevel="0" collapsed="false">
      <c r="A2911" s="8"/>
      <c r="B2911" s="8"/>
      <c r="C2911" s="8"/>
      <c r="D2911" s="8"/>
      <c r="E2911" s="8"/>
      <c r="F2911" t="str" s="15">
        <f aca="0">IF(B2911="","",IF(H2911="","확인필요(입력누락)",IF(SUMPRODUCT((실물목록!$P$2:$P$1001&lt;&gt;"")*ISNUMBER(SEARCH(실물목록!$P$2:$P$1001,I2911))*(실물목록!$Q$2:$Q$1001&lt;&gt;"")*ISNUMBER(SEARCH(실물목록!$Q$2:$Q$1001,I2911))*(실물목록!$R$2:$R$1001="")*(실물목록!$O$2:$O$1001&lt;&gt;"")*(실물목록!$O$2:$O$1001=H2911))&gt;0,"실물 있음",IF(SUMPRODUCT((실물목록!$P$2:$P$1001&lt;&gt;"")*ISNUMBER(SEARCH(실물목록!$P$2:$P$1001,I2911))*(실물목록!$R$2:$R$1001&lt;&gt;""))&gt;0,"확인필요(입력누락)",IF(SUMPRODUCT((실물목록!$P$2:$P$1001&lt;&gt;"")*ISNUMBER(SEARCH(실물목록!$P$2:$P$1001,I2911))*(실물목록!$Q$2:$Q$1001&lt;&gt;"")*ISNUMBER(SEARCH(실물목록!$Q$2:$Q$1001,I2911))*(실물목록!$R$2:$R$1001="")*(실물목록!$O$2:$O$1001&lt;&gt;""))&gt;0,"확인필요(연도다름)","실물 없음")))))</f>
      </c>
      <c r="G2911" t="n" s="16">
        <f aca="0">IF(B2911="","",SUMPRODUCT((실물목록!$P$2:$P$1001&lt;&gt;"")*ISNUMBER(SEARCH(실물목록!$P$2:$P$1001,I2911))*(실물목록!$Q$2:$Q$1001&lt;&gt;"")*ISNUMBER(SEARCH(실물목록!$Q$2:$Q$1001,I2911))*(실물목록!$R$2:$R$1001="")*(실물목록!$O$2:$O$1001&lt;&gt;"")*(실물목록!$O$2:$O$1001=H2911)))</f>
      </c>
      <c r="H2911" t="str">
        <f>IFERROR(IF(AND(LEN(SUBSTITUTE(SUBSTITUTE(SUBSTITUTE(TRIM(A2911&amp;""),CHAR(160),"")," ",""),"년",""))=4,VALUE(SUBSTITUTE(SUBSTITUTE(SUBSTITUTE(TRIM(A2911&amp;""),CHAR(160),"")," ",""),"년",""))&gt;=1900,VALUE(SUBSTITUTE(SUBSTITUTE(SUBSTITUTE(TRIM(A2911&amp;""),CHAR(160),"")," ",""),"년",""))&lt;=2099,TEXT(VALUE(SUBSTITUTE(SUBSTITUTE(SUBSTITUTE(TRIM(A2911&amp;""),CHAR(160),"")," ",""),"년","")),"0000")=SUBSTITUTE(SUBSTITUTE(SUBSTITUTE(TRIM(A2911&amp;""),CHAR(160),"")," ",""),"년","")),SUBSTITUTE(SUBSTITUTE(SUBSTITUTE(TRIM(A2911&amp;""),CHAR(160),"")," ",""),"년",""),""),"")</f>
      </c>
      <c r="I2911" t="str">
        <f>SUBSTITUTE(SUBSTITUTE(SUBSTITUTE(SUBSTITUTE(SUBSTITUTE(TRIM(B2911&amp;""),CHAR(160),"")," ",""),"초등학교","초"),"중학교","중"),"고등학교","고")</f>
      </c>
    </row>
    <row r="2912" customFormat="false" ht="15" hidden="false" customHeight="false" outlineLevel="0" collapsed="false">
      <c r="A2912" s="8"/>
      <c r="B2912" s="8"/>
      <c r="C2912" s="8"/>
      <c r="D2912" s="8"/>
      <c r="E2912" s="8"/>
      <c r="F2912" t="str" s="15">
        <f aca="0">IF(B2912="","",IF(H2912="","확인필요(입력누락)",IF(SUMPRODUCT((실물목록!$P$2:$P$1001&lt;&gt;"")*ISNUMBER(SEARCH(실물목록!$P$2:$P$1001,I2912))*(실물목록!$Q$2:$Q$1001&lt;&gt;"")*ISNUMBER(SEARCH(실물목록!$Q$2:$Q$1001,I2912))*(실물목록!$R$2:$R$1001="")*(실물목록!$O$2:$O$1001&lt;&gt;"")*(실물목록!$O$2:$O$1001=H2912))&gt;0,"실물 있음",IF(SUMPRODUCT((실물목록!$P$2:$P$1001&lt;&gt;"")*ISNUMBER(SEARCH(실물목록!$P$2:$P$1001,I2912))*(실물목록!$R$2:$R$1001&lt;&gt;""))&gt;0,"확인필요(입력누락)",IF(SUMPRODUCT((실물목록!$P$2:$P$1001&lt;&gt;"")*ISNUMBER(SEARCH(실물목록!$P$2:$P$1001,I2912))*(실물목록!$Q$2:$Q$1001&lt;&gt;"")*ISNUMBER(SEARCH(실물목록!$Q$2:$Q$1001,I2912))*(실물목록!$R$2:$R$1001="")*(실물목록!$O$2:$O$1001&lt;&gt;""))&gt;0,"확인필요(연도다름)","실물 없음")))))</f>
      </c>
      <c r="G2912" t="n" s="16">
        <f aca="0">IF(B2912="","",SUMPRODUCT((실물목록!$P$2:$P$1001&lt;&gt;"")*ISNUMBER(SEARCH(실물목록!$P$2:$P$1001,I2912))*(실물목록!$Q$2:$Q$1001&lt;&gt;"")*ISNUMBER(SEARCH(실물목록!$Q$2:$Q$1001,I2912))*(실물목록!$R$2:$R$1001="")*(실물목록!$O$2:$O$1001&lt;&gt;"")*(실물목록!$O$2:$O$1001=H2912)))</f>
      </c>
      <c r="H2912" t="str">
        <f>IFERROR(IF(AND(LEN(SUBSTITUTE(SUBSTITUTE(SUBSTITUTE(TRIM(A2912&amp;""),CHAR(160),"")," ",""),"년",""))=4,VALUE(SUBSTITUTE(SUBSTITUTE(SUBSTITUTE(TRIM(A2912&amp;""),CHAR(160),"")," ",""),"년",""))&gt;=1900,VALUE(SUBSTITUTE(SUBSTITUTE(SUBSTITUTE(TRIM(A2912&amp;""),CHAR(160),"")," ",""),"년",""))&lt;=2099,TEXT(VALUE(SUBSTITUTE(SUBSTITUTE(SUBSTITUTE(TRIM(A2912&amp;""),CHAR(160),"")," ",""),"년","")),"0000")=SUBSTITUTE(SUBSTITUTE(SUBSTITUTE(TRIM(A2912&amp;""),CHAR(160),"")," ",""),"년","")),SUBSTITUTE(SUBSTITUTE(SUBSTITUTE(TRIM(A2912&amp;""),CHAR(160),"")," ",""),"년",""),""),"")</f>
      </c>
      <c r="I2912" t="str">
        <f>SUBSTITUTE(SUBSTITUTE(SUBSTITUTE(SUBSTITUTE(SUBSTITUTE(TRIM(B2912&amp;""),CHAR(160),"")," ",""),"초등학교","초"),"중학교","중"),"고등학교","고")</f>
      </c>
    </row>
    <row r="2913" customFormat="false" ht="15" hidden="false" customHeight="false" outlineLevel="0" collapsed="false">
      <c r="A2913" s="8"/>
      <c r="B2913" s="8"/>
      <c r="C2913" s="8"/>
      <c r="D2913" s="8"/>
      <c r="E2913" s="8"/>
      <c r="F2913" t="str" s="15">
        <f aca="0">IF(B2913="","",IF(H2913="","확인필요(입력누락)",IF(SUMPRODUCT((실물목록!$P$2:$P$1001&lt;&gt;"")*ISNUMBER(SEARCH(실물목록!$P$2:$P$1001,I2913))*(실물목록!$Q$2:$Q$1001&lt;&gt;"")*ISNUMBER(SEARCH(실물목록!$Q$2:$Q$1001,I2913))*(실물목록!$R$2:$R$1001="")*(실물목록!$O$2:$O$1001&lt;&gt;"")*(실물목록!$O$2:$O$1001=H2913))&gt;0,"실물 있음",IF(SUMPRODUCT((실물목록!$P$2:$P$1001&lt;&gt;"")*ISNUMBER(SEARCH(실물목록!$P$2:$P$1001,I2913))*(실물목록!$R$2:$R$1001&lt;&gt;""))&gt;0,"확인필요(입력누락)",IF(SUMPRODUCT((실물목록!$P$2:$P$1001&lt;&gt;"")*ISNUMBER(SEARCH(실물목록!$P$2:$P$1001,I2913))*(실물목록!$Q$2:$Q$1001&lt;&gt;"")*ISNUMBER(SEARCH(실물목록!$Q$2:$Q$1001,I2913))*(실물목록!$R$2:$R$1001="")*(실물목록!$O$2:$O$1001&lt;&gt;""))&gt;0,"확인필요(연도다름)","실물 없음")))))</f>
      </c>
      <c r="G2913" t="n" s="16">
        <f aca="0">IF(B2913="","",SUMPRODUCT((실물목록!$P$2:$P$1001&lt;&gt;"")*ISNUMBER(SEARCH(실물목록!$P$2:$P$1001,I2913))*(실물목록!$Q$2:$Q$1001&lt;&gt;"")*ISNUMBER(SEARCH(실물목록!$Q$2:$Q$1001,I2913))*(실물목록!$R$2:$R$1001="")*(실물목록!$O$2:$O$1001&lt;&gt;"")*(실물목록!$O$2:$O$1001=H2913)))</f>
      </c>
      <c r="H2913" t="str">
        <f>IFERROR(IF(AND(LEN(SUBSTITUTE(SUBSTITUTE(SUBSTITUTE(TRIM(A2913&amp;""),CHAR(160),"")," ",""),"년",""))=4,VALUE(SUBSTITUTE(SUBSTITUTE(SUBSTITUTE(TRIM(A2913&amp;""),CHAR(160),"")," ",""),"년",""))&gt;=1900,VALUE(SUBSTITUTE(SUBSTITUTE(SUBSTITUTE(TRIM(A2913&amp;""),CHAR(160),"")," ",""),"년",""))&lt;=2099,TEXT(VALUE(SUBSTITUTE(SUBSTITUTE(SUBSTITUTE(TRIM(A2913&amp;""),CHAR(160),"")," ",""),"년","")),"0000")=SUBSTITUTE(SUBSTITUTE(SUBSTITUTE(TRIM(A2913&amp;""),CHAR(160),"")," ",""),"년","")),SUBSTITUTE(SUBSTITUTE(SUBSTITUTE(TRIM(A2913&amp;""),CHAR(160),"")," ",""),"년",""),""),"")</f>
      </c>
      <c r="I2913" t="str">
        <f>SUBSTITUTE(SUBSTITUTE(SUBSTITUTE(SUBSTITUTE(SUBSTITUTE(TRIM(B2913&amp;""),CHAR(160),"")," ",""),"초등학교","초"),"중학교","중"),"고등학교","고")</f>
      </c>
    </row>
    <row r="2914" customFormat="false" ht="15" hidden="false" customHeight="false" outlineLevel="0" collapsed="false">
      <c r="A2914" s="8"/>
      <c r="B2914" s="8"/>
      <c r="C2914" s="8"/>
      <c r="D2914" s="8"/>
      <c r="E2914" s="8"/>
      <c r="F2914" t="str" s="15">
        <f aca="0">IF(B2914="","",IF(H2914="","확인필요(입력누락)",IF(SUMPRODUCT((실물목록!$P$2:$P$1001&lt;&gt;"")*ISNUMBER(SEARCH(실물목록!$P$2:$P$1001,I2914))*(실물목록!$Q$2:$Q$1001&lt;&gt;"")*ISNUMBER(SEARCH(실물목록!$Q$2:$Q$1001,I2914))*(실물목록!$R$2:$R$1001="")*(실물목록!$O$2:$O$1001&lt;&gt;"")*(실물목록!$O$2:$O$1001=H2914))&gt;0,"실물 있음",IF(SUMPRODUCT((실물목록!$P$2:$P$1001&lt;&gt;"")*ISNUMBER(SEARCH(실물목록!$P$2:$P$1001,I2914))*(실물목록!$R$2:$R$1001&lt;&gt;""))&gt;0,"확인필요(입력누락)",IF(SUMPRODUCT((실물목록!$P$2:$P$1001&lt;&gt;"")*ISNUMBER(SEARCH(실물목록!$P$2:$P$1001,I2914))*(실물목록!$Q$2:$Q$1001&lt;&gt;"")*ISNUMBER(SEARCH(실물목록!$Q$2:$Q$1001,I2914))*(실물목록!$R$2:$R$1001="")*(실물목록!$O$2:$O$1001&lt;&gt;""))&gt;0,"확인필요(연도다름)","실물 없음")))))</f>
      </c>
      <c r="G2914" t="n" s="16">
        <f aca="0">IF(B2914="","",SUMPRODUCT((실물목록!$P$2:$P$1001&lt;&gt;"")*ISNUMBER(SEARCH(실물목록!$P$2:$P$1001,I2914))*(실물목록!$Q$2:$Q$1001&lt;&gt;"")*ISNUMBER(SEARCH(실물목록!$Q$2:$Q$1001,I2914))*(실물목록!$R$2:$R$1001="")*(실물목록!$O$2:$O$1001&lt;&gt;"")*(실물목록!$O$2:$O$1001=H2914)))</f>
      </c>
      <c r="H2914" t="str">
        <f>IFERROR(IF(AND(LEN(SUBSTITUTE(SUBSTITUTE(SUBSTITUTE(TRIM(A2914&amp;""),CHAR(160),"")," ",""),"년",""))=4,VALUE(SUBSTITUTE(SUBSTITUTE(SUBSTITUTE(TRIM(A2914&amp;""),CHAR(160),"")," ",""),"년",""))&gt;=1900,VALUE(SUBSTITUTE(SUBSTITUTE(SUBSTITUTE(TRIM(A2914&amp;""),CHAR(160),"")," ",""),"년",""))&lt;=2099,TEXT(VALUE(SUBSTITUTE(SUBSTITUTE(SUBSTITUTE(TRIM(A2914&amp;""),CHAR(160),"")," ",""),"년","")),"0000")=SUBSTITUTE(SUBSTITUTE(SUBSTITUTE(TRIM(A2914&amp;""),CHAR(160),"")," ",""),"년","")),SUBSTITUTE(SUBSTITUTE(SUBSTITUTE(TRIM(A2914&amp;""),CHAR(160),"")," ",""),"년",""),""),"")</f>
      </c>
      <c r="I2914" t="str">
        <f>SUBSTITUTE(SUBSTITUTE(SUBSTITUTE(SUBSTITUTE(SUBSTITUTE(TRIM(B2914&amp;""),CHAR(160),"")," ",""),"초등학교","초"),"중학교","중"),"고등학교","고")</f>
      </c>
    </row>
    <row r="2915" customFormat="false" ht="15" hidden="false" customHeight="false" outlineLevel="0" collapsed="false">
      <c r="A2915" s="8"/>
      <c r="B2915" s="8"/>
      <c r="C2915" s="8"/>
      <c r="D2915" s="8"/>
      <c r="E2915" s="8"/>
      <c r="F2915" t="str" s="15">
        <f aca="0">IF(B2915="","",IF(H2915="","확인필요(입력누락)",IF(SUMPRODUCT((실물목록!$P$2:$P$1001&lt;&gt;"")*ISNUMBER(SEARCH(실물목록!$P$2:$P$1001,I2915))*(실물목록!$Q$2:$Q$1001&lt;&gt;"")*ISNUMBER(SEARCH(실물목록!$Q$2:$Q$1001,I2915))*(실물목록!$R$2:$R$1001="")*(실물목록!$O$2:$O$1001&lt;&gt;"")*(실물목록!$O$2:$O$1001=H2915))&gt;0,"실물 있음",IF(SUMPRODUCT((실물목록!$P$2:$P$1001&lt;&gt;"")*ISNUMBER(SEARCH(실물목록!$P$2:$P$1001,I2915))*(실물목록!$R$2:$R$1001&lt;&gt;""))&gt;0,"확인필요(입력누락)",IF(SUMPRODUCT((실물목록!$P$2:$P$1001&lt;&gt;"")*ISNUMBER(SEARCH(실물목록!$P$2:$P$1001,I2915))*(실물목록!$Q$2:$Q$1001&lt;&gt;"")*ISNUMBER(SEARCH(실물목록!$Q$2:$Q$1001,I2915))*(실물목록!$R$2:$R$1001="")*(실물목록!$O$2:$O$1001&lt;&gt;""))&gt;0,"확인필요(연도다름)","실물 없음")))))</f>
      </c>
      <c r="G2915" t="n" s="16">
        <f aca="0">IF(B2915="","",SUMPRODUCT((실물목록!$P$2:$P$1001&lt;&gt;"")*ISNUMBER(SEARCH(실물목록!$P$2:$P$1001,I2915))*(실물목록!$Q$2:$Q$1001&lt;&gt;"")*ISNUMBER(SEARCH(실물목록!$Q$2:$Q$1001,I2915))*(실물목록!$R$2:$R$1001="")*(실물목록!$O$2:$O$1001&lt;&gt;"")*(실물목록!$O$2:$O$1001=H2915)))</f>
      </c>
      <c r="H2915" t="str">
        <f>IFERROR(IF(AND(LEN(SUBSTITUTE(SUBSTITUTE(SUBSTITUTE(TRIM(A2915&amp;""),CHAR(160),"")," ",""),"년",""))=4,VALUE(SUBSTITUTE(SUBSTITUTE(SUBSTITUTE(TRIM(A2915&amp;""),CHAR(160),"")," ",""),"년",""))&gt;=1900,VALUE(SUBSTITUTE(SUBSTITUTE(SUBSTITUTE(TRIM(A2915&amp;""),CHAR(160),"")," ",""),"년",""))&lt;=2099,TEXT(VALUE(SUBSTITUTE(SUBSTITUTE(SUBSTITUTE(TRIM(A2915&amp;""),CHAR(160),"")," ",""),"년","")),"0000")=SUBSTITUTE(SUBSTITUTE(SUBSTITUTE(TRIM(A2915&amp;""),CHAR(160),"")," ",""),"년","")),SUBSTITUTE(SUBSTITUTE(SUBSTITUTE(TRIM(A2915&amp;""),CHAR(160),"")," ",""),"년",""),""),"")</f>
      </c>
      <c r="I2915" t="str">
        <f>SUBSTITUTE(SUBSTITUTE(SUBSTITUTE(SUBSTITUTE(SUBSTITUTE(TRIM(B2915&amp;""),CHAR(160),"")," ",""),"초등학교","초"),"중학교","중"),"고등학교","고")</f>
      </c>
    </row>
    <row r="2916" customFormat="false" ht="15" hidden="false" customHeight="false" outlineLevel="0" collapsed="false">
      <c r="A2916" s="8"/>
      <c r="B2916" s="8"/>
      <c r="C2916" s="8"/>
      <c r="D2916" s="8"/>
      <c r="E2916" s="8"/>
      <c r="F2916" t="str" s="15">
        <f aca="0">IF(B2916="","",IF(H2916="","확인필요(입력누락)",IF(SUMPRODUCT((실물목록!$P$2:$P$1001&lt;&gt;"")*ISNUMBER(SEARCH(실물목록!$P$2:$P$1001,I2916))*(실물목록!$Q$2:$Q$1001&lt;&gt;"")*ISNUMBER(SEARCH(실물목록!$Q$2:$Q$1001,I2916))*(실물목록!$R$2:$R$1001="")*(실물목록!$O$2:$O$1001&lt;&gt;"")*(실물목록!$O$2:$O$1001=H2916))&gt;0,"실물 있음",IF(SUMPRODUCT((실물목록!$P$2:$P$1001&lt;&gt;"")*ISNUMBER(SEARCH(실물목록!$P$2:$P$1001,I2916))*(실물목록!$R$2:$R$1001&lt;&gt;""))&gt;0,"확인필요(입력누락)",IF(SUMPRODUCT((실물목록!$P$2:$P$1001&lt;&gt;"")*ISNUMBER(SEARCH(실물목록!$P$2:$P$1001,I2916))*(실물목록!$Q$2:$Q$1001&lt;&gt;"")*ISNUMBER(SEARCH(실물목록!$Q$2:$Q$1001,I2916))*(실물목록!$R$2:$R$1001="")*(실물목록!$O$2:$O$1001&lt;&gt;""))&gt;0,"확인필요(연도다름)","실물 없음")))))</f>
      </c>
      <c r="G2916" t="n" s="16">
        <f aca="0">IF(B2916="","",SUMPRODUCT((실물목록!$P$2:$P$1001&lt;&gt;"")*ISNUMBER(SEARCH(실물목록!$P$2:$P$1001,I2916))*(실물목록!$Q$2:$Q$1001&lt;&gt;"")*ISNUMBER(SEARCH(실물목록!$Q$2:$Q$1001,I2916))*(실물목록!$R$2:$R$1001="")*(실물목록!$O$2:$O$1001&lt;&gt;"")*(실물목록!$O$2:$O$1001=H2916)))</f>
      </c>
      <c r="H2916" t="str">
        <f>IFERROR(IF(AND(LEN(SUBSTITUTE(SUBSTITUTE(SUBSTITUTE(TRIM(A2916&amp;""),CHAR(160),"")," ",""),"년",""))=4,VALUE(SUBSTITUTE(SUBSTITUTE(SUBSTITUTE(TRIM(A2916&amp;""),CHAR(160),"")," ",""),"년",""))&gt;=1900,VALUE(SUBSTITUTE(SUBSTITUTE(SUBSTITUTE(TRIM(A2916&amp;""),CHAR(160),"")," ",""),"년",""))&lt;=2099,TEXT(VALUE(SUBSTITUTE(SUBSTITUTE(SUBSTITUTE(TRIM(A2916&amp;""),CHAR(160),"")," ",""),"년","")),"0000")=SUBSTITUTE(SUBSTITUTE(SUBSTITUTE(TRIM(A2916&amp;""),CHAR(160),"")," ",""),"년","")),SUBSTITUTE(SUBSTITUTE(SUBSTITUTE(TRIM(A2916&amp;""),CHAR(160),"")," ",""),"년",""),""),"")</f>
      </c>
      <c r="I2916" t="str">
        <f>SUBSTITUTE(SUBSTITUTE(SUBSTITUTE(SUBSTITUTE(SUBSTITUTE(TRIM(B2916&amp;""),CHAR(160),"")," ",""),"초등학교","초"),"중학교","중"),"고등학교","고")</f>
      </c>
    </row>
    <row r="2917" customFormat="false" ht="15" hidden="false" customHeight="false" outlineLevel="0" collapsed="false">
      <c r="A2917" s="8"/>
      <c r="B2917" s="8"/>
      <c r="C2917" s="8"/>
      <c r="D2917" s="8"/>
      <c r="E2917" s="8"/>
      <c r="F2917" t="str" s="15">
        <f aca="0">IF(B2917="","",IF(H2917="","확인필요(입력누락)",IF(SUMPRODUCT((실물목록!$P$2:$P$1001&lt;&gt;"")*ISNUMBER(SEARCH(실물목록!$P$2:$P$1001,I2917))*(실물목록!$Q$2:$Q$1001&lt;&gt;"")*ISNUMBER(SEARCH(실물목록!$Q$2:$Q$1001,I2917))*(실물목록!$R$2:$R$1001="")*(실물목록!$O$2:$O$1001&lt;&gt;"")*(실물목록!$O$2:$O$1001=H2917))&gt;0,"실물 있음",IF(SUMPRODUCT((실물목록!$P$2:$P$1001&lt;&gt;"")*ISNUMBER(SEARCH(실물목록!$P$2:$P$1001,I2917))*(실물목록!$R$2:$R$1001&lt;&gt;""))&gt;0,"확인필요(입력누락)",IF(SUMPRODUCT((실물목록!$P$2:$P$1001&lt;&gt;"")*ISNUMBER(SEARCH(실물목록!$P$2:$P$1001,I2917))*(실물목록!$Q$2:$Q$1001&lt;&gt;"")*ISNUMBER(SEARCH(실물목록!$Q$2:$Q$1001,I2917))*(실물목록!$R$2:$R$1001="")*(실물목록!$O$2:$O$1001&lt;&gt;""))&gt;0,"확인필요(연도다름)","실물 없음")))))</f>
      </c>
      <c r="G2917" t="n" s="16">
        <f aca="0">IF(B2917="","",SUMPRODUCT((실물목록!$P$2:$P$1001&lt;&gt;"")*ISNUMBER(SEARCH(실물목록!$P$2:$P$1001,I2917))*(실물목록!$Q$2:$Q$1001&lt;&gt;"")*ISNUMBER(SEARCH(실물목록!$Q$2:$Q$1001,I2917))*(실물목록!$R$2:$R$1001="")*(실물목록!$O$2:$O$1001&lt;&gt;"")*(실물목록!$O$2:$O$1001=H2917)))</f>
      </c>
      <c r="H2917" t="str">
        <f>IFERROR(IF(AND(LEN(SUBSTITUTE(SUBSTITUTE(SUBSTITUTE(TRIM(A2917&amp;""),CHAR(160),"")," ",""),"년",""))=4,VALUE(SUBSTITUTE(SUBSTITUTE(SUBSTITUTE(TRIM(A2917&amp;""),CHAR(160),"")," ",""),"년",""))&gt;=1900,VALUE(SUBSTITUTE(SUBSTITUTE(SUBSTITUTE(TRIM(A2917&amp;""),CHAR(160),"")," ",""),"년",""))&lt;=2099,TEXT(VALUE(SUBSTITUTE(SUBSTITUTE(SUBSTITUTE(TRIM(A2917&amp;""),CHAR(160),"")," ",""),"년","")),"0000")=SUBSTITUTE(SUBSTITUTE(SUBSTITUTE(TRIM(A2917&amp;""),CHAR(160),"")," ",""),"년","")),SUBSTITUTE(SUBSTITUTE(SUBSTITUTE(TRIM(A2917&amp;""),CHAR(160),"")," ",""),"년",""),""),"")</f>
      </c>
      <c r="I2917" t="str">
        <f>SUBSTITUTE(SUBSTITUTE(SUBSTITUTE(SUBSTITUTE(SUBSTITUTE(TRIM(B2917&amp;""),CHAR(160),"")," ",""),"초등학교","초"),"중학교","중"),"고등학교","고")</f>
      </c>
    </row>
    <row r="2918" customFormat="false" ht="15" hidden="false" customHeight="false" outlineLevel="0" collapsed="false">
      <c r="A2918" s="8"/>
      <c r="B2918" s="8"/>
      <c r="C2918" s="8"/>
      <c r="D2918" s="8"/>
      <c r="E2918" s="8"/>
      <c r="F2918" t="str" s="15">
        <f aca="0">IF(B2918="","",IF(H2918="","확인필요(입력누락)",IF(SUMPRODUCT((실물목록!$P$2:$P$1001&lt;&gt;"")*ISNUMBER(SEARCH(실물목록!$P$2:$P$1001,I2918))*(실물목록!$Q$2:$Q$1001&lt;&gt;"")*ISNUMBER(SEARCH(실물목록!$Q$2:$Q$1001,I2918))*(실물목록!$R$2:$R$1001="")*(실물목록!$O$2:$O$1001&lt;&gt;"")*(실물목록!$O$2:$O$1001=H2918))&gt;0,"실물 있음",IF(SUMPRODUCT((실물목록!$P$2:$P$1001&lt;&gt;"")*ISNUMBER(SEARCH(실물목록!$P$2:$P$1001,I2918))*(실물목록!$R$2:$R$1001&lt;&gt;""))&gt;0,"확인필요(입력누락)",IF(SUMPRODUCT((실물목록!$P$2:$P$1001&lt;&gt;"")*ISNUMBER(SEARCH(실물목록!$P$2:$P$1001,I2918))*(실물목록!$Q$2:$Q$1001&lt;&gt;"")*ISNUMBER(SEARCH(실물목록!$Q$2:$Q$1001,I2918))*(실물목록!$R$2:$R$1001="")*(실물목록!$O$2:$O$1001&lt;&gt;""))&gt;0,"확인필요(연도다름)","실물 없음")))))</f>
      </c>
      <c r="G2918" t="n" s="16">
        <f aca="0">IF(B2918="","",SUMPRODUCT((실물목록!$P$2:$P$1001&lt;&gt;"")*ISNUMBER(SEARCH(실물목록!$P$2:$P$1001,I2918))*(실물목록!$Q$2:$Q$1001&lt;&gt;"")*ISNUMBER(SEARCH(실물목록!$Q$2:$Q$1001,I2918))*(실물목록!$R$2:$R$1001="")*(실물목록!$O$2:$O$1001&lt;&gt;"")*(실물목록!$O$2:$O$1001=H2918)))</f>
      </c>
      <c r="H2918" t="str">
        <f>IFERROR(IF(AND(LEN(SUBSTITUTE(SUBSTITUTE(SUBSTITUTE(TRIM(A2918&amp;""),CHAR(160),"")," ",""),"년",""))=4,VALUE(SUBSTITUTE(SUBSTITUTE(SUBSTITUTE(TRIM(A2918&amp;""),CHAR(160),"")," ",""),"년",""))&gt;=1900,VALUE(SUBSTITUTE(SUBSTITUTE(SUBSTITUTE(TRIM(A2918&amp;""),CHAR(160),"")," ",""),"년",""))&lt;=2099,TEXT(VALUE(SUBSTITUTE(SUBSTITUTE(SUBSTITUTE(TRIM(A2918&amp;""),CHAR(160),"")," ",""),"년","")),"0000")=SUBSTITUTE(SUBSTITUTE(SUBSTITUTE(TRIM(A2918&amp;""),CHAR(160),"")," ",""),"년","")),SUBSTITUTE(SUBSTITUTE(SUBSTITUTE(TRIM(A2918&amp;""),CHAR(160),"")," ",""),"년",""),""),"")</f>
      </c>
      <c r="I2918" t="str">
        <f>SUBSTITUTE(SUBSTITUTE(SUBSTITUTE(SUBSTITUTE(SUBSTITUTE(TRIM(B2918&amp;""),CHAR(160),"")," ",""),"초등학교","초"),"중학교","중"),"고등학교","고")</f>
      </c>
    </row>
    <row r="2919" customFormat="false" ht="15" hidden="false" customHeight="false" outlineLevel="0" collapsed="false">
      <c r="A2919" s="8"/>
      <c r="B2919" s="8"/>
      <c r="C2919" s="8"/>
      <c r="D2919" s="8"/>
      <c r="E2919" s="8"/>
      <c r="F2919" t="str" s="15">
        <f aca="0">IF(B2919="","",IF(H2919="","확인필요(입력누락)",IF(SUMPRODUCT((실물목록!$P$2:$P$1001&lt;&gt;"")*ISNUMBER(SEARCH(실물목록!$P$2:$P$1001,I2919))*(실물목록!$Q$2:$Q$1001&lt;&gt;"")*ISNUMBER(SEARCH(실물목록!$Q$2:$Q$1001,I2919))*(실물목록!$R$2:$R$1001="")*(실물목록!$O$2:$O$1001&lt;&gt;"")*(실물목록!$O$2:$O$1001=H2919))&gt;0,"실물 있음",IF(SUMPRODUCT((실물목록!$P$2:$P$1001&lt;&gt;"")*ISNUMBER(SEARCH(실물목록!$P$2:$P$1001,I2919))*(실물목록!$R$2:$R$1001&lt;&gt;""))&gt;0,"확인필요(입력누락)",IF(SUMPRODUCT((실물목록!$P$2:$P$1001&lt;&gt;"")*ISNUMBER(SEARCH(실물목록!$P$2:$P$1001,I2919))*(실물목록!$Q$2:$Q$1001&lt;&gt;"")*ISNUMBER(SEARCH(실물목록!$Q$2:$Q$1001,I2919))*(실물목록!$R$2:$R$1001="")*(실물목록!$O$2:$O$1001&lt;&gt;""))&gt;0,"확인필요(연도다름)","실물 없음")))))</f>
      </c>
      <c r="G2919" t="n" s="16">
        <f aca="0">IF(B2919="","",SUMPRODUCT((실물목록!$P$2:$P$1001&lt;&gt;"")*ISNUMBER(SEARCH(실물목록!$P$2:$P$1001,I2919))*(실물목록!$Q$2:$Q$1001&lt;&gt;"")*ISNUMBER(SEARCH(실물목록!$Q$2:$Q$1001,I2919))*(실물목록!$R$2:$R$1001="")*(실물목록!$O$2:$O$1001&lt;&gt;"")*(실물목록!$O$2:$O$1001=H2919)))</f>
      </c>
      <c r="H2919" t="str">
        <f>IFERROR(IF(AND(LEN(SUBSTITUTE(SUBSTITUTE(SUBSTITUTE(TRIM(A2919&amp;""),CHAR(160),"")," ",""),"년",""))=4,VALUE(SUBSTITUTE(SUBSTITUTE(SUBSTITUTE(TRIM(A2919&amp;""),CHAR(160),"")," ",""),"년",""))&gt;=1900,VALUE(SUBSTITUTE(SUBSTITUTE(SUBSTITUTE(TRIM(A2919&amp;""),CHAR(160),"")," ",""),"년",""))&lt;=2099,TEXT(VALUE(SUBSTITUTE(SUBSTITUTE(SUBSTITUTE(TRIM(A2919&amp;""),CHAR(160),"")," ",""),"년","")),"0000")=SUBSTITUTE(SUBSTITUTE(SUBSTITUTE(TRIM(A2919&amp;""),CHAR(160),"")," ",""),"년","")),SUBSTITUTE(SUBSTITUTE(SUBSTITUTE(TRIM(A2919&amp;""),CHAR(160),"")," ",""),"년",""),""),"")</f>
      </c>
      <c r="I2919" t="str">
        <f>SUBSTITUTE(SUBSTITUTE(SUBSTITUTE(SUBSTITUTE(SUBSTITUTE(TRIM(B2919&amp;""),CHAR(160),"")," ",""),"초등학교","초"),"중학교","중"),"고등학교","고")</f>
      </c>
    </row>
    <row r="2920" customFormat="false" ht="15" hidden="false" customHeight="false" outlineLevel="0" collapsed="false">
      <c r="A2920" s="8"/>
      <c r="B2920" s="8"/>
      <c r="C2920" s="8"/>
      <c r="D2920" s="8"/>
      <c r="E2920" s="8"/>
      <c r="F2920" t="str" s="15">
        <f aca="0">IF(B2920="","",IF(H2920="","확인필요(입력누락)",IF(SUMPRODUCT((실물목록!$P$2:$P$1001&lt;&gt;"")*ISNUMBER(SEARCH(실물목록!$P$2:$P$1001,I2920))*(실물목록!$Q$2:$Q$1001&lt;&gt;"")*ISNUMBER(SEARCH(실물목록!$Q$2:$Q$1001,I2920))*(실물목록!$R$2:$R$1001="")*(실물목록!$O$2:$O$1001&lt;&gt;"")*(실물목록!$O$2:$O$1001=H2920))&gt;0,"실물 있음",IF(SUMPRODUCT((실물목록!$P$2:$P$1001&lt;&gt;"")*ISNUMBER(SEARCH(실물목록!$P$2:$P$1001,I2920))*(실물목록!$R$2:$R$1001&lt;&gt;""))&gt;0,"확인필요(입력누락)",IF(SUMPRODUCT((실물목록!$P$2:$P$1001&lt;&gt;"")*ISNUMBER(SEARCH(실물목록!$P$2:$P$1001,I2920))*(실물목록!$Q$2:$Q$1001&lt;&gt;"")*ISNUMBER(SEARCH(실물목록!$Q$2:$Q$1001,I2920))*(실물목록!$R$2:$R$1001="")*(실물목록!$O$2:$O$1001&lt;&gt;""))&gt;0,"확인필요(연도다름)","실물 없음")))))</f>
      </c>
      <c r="G2920" t="n" s="16">
        <f aca="0">IF(B2920="","",SUMPRODUCT((실물목록!$P$2:$P$1001&lt;&gt;"")*ISNUMBER(SEARCH(실물목록!$P$2:$P$1001,I2920))*(실물목록!$Q$2:$Q$1001&lt;&gt;"")*ISNUMBER(SEARCH(실물목록!$Q$2:$Q$1001,I2920))*(실물목록!$R$2:$R$1001="")*(실물목록!$O$2:$O$1001&lt;&gt;"")*(실물목록!$O$2:$O$1001=H2920)))</f>
      </c>
      <c r="H2920" t="str">
        <f>IFERROR(IF(AND(LEN(SUBSTITUTE(SUBSTITUTE(SUBSTITUTE(TRIM(A2920&amp;""),CHAR(160),"")," ",""),"년",""))=4,VALUE(SUBSTITUTE(SUBSTITUTE(SUBSTITUTE(TRIM(A2920&amp;""),CHAR(160),"")," ",""),"년",""))&gt;=1900,VALUE(SUBSTITUTE(SUBSTITUTE(SUBSTITUTE(TRIM(A2920&amp;""),CHAR(160),"")," ",""),"년",""))&lt;=2099,TEXT(VALUE(SUBSTITUTE(SUBSTITUTE(SUBSTITUTE(TRIM(A2920&amp;""),CHAR(160),"")," ",""),"년","")),"0000")=SUBSTITUTE(SUBSTITUTE(SUBSTITUTE(TRIM(A2920&amp;""),CHAR(160),"")," ",""),"년","")),SUBSTITUTE(SUBSTITUTE(SUBSTITUTE(TRIM(A2920&amp;""),CHAR(160),"")," ",""),"년",""),""),"")</f>
      </c>
      <c r="I2920" t="str">
        <f>SUBSTITUTE(SUBSTITUTE(SUBSTITUTE(SUBSTITUTE(SUBSTITUTE(TRIM(B2920&amp;""),CHAR(160),"")," ",""),"초등학교","초"),"중학교","중"),"고등학교","고")</f>
      </c>
    </row>
    <row r="2921" customFormat="false" ht="15" hidden="false" customHeight="false" outlineLevel="0" collapsed="false">
      <c r="A2921" s="8"/>
      <c r="B2921" s="8"/>
      <c r="C2921" s="8"/>
      <c r="D2921" s="8"/>
      <c r="E2921" s="8"/>
      <c r="F2921" t="str" s="15">
        <f aca="0">IF(B2921="","",IF(H2921="","확인필요(입력누락)",IF(SUMPRODUCT((실물목록!$P$2:$P$1001&lt;&gt;"")*ISNUMBER(SEARCH(실물목록!$P$2:$P$1001,I2921))*(실물목록!$Q$2:$Q$1001&lt;&gt;"")*ISNUMBER(SEARCH(실물목록!$Q$2:$Q$1001,I2921))*(실물목록!$R$2:$R$1001="")*(실물목록!$O$2:$O$1001&lt;&gt;"")*(실물목록!$O$2:$O$1001=H2921))&gt;0,"실물 있음",IF(SUMPRODUCT((실물목록!$P$2:$P$1001&lt;&gt;"")*ISNUMBER(SEARCH(실물목록!$P$2:$P$1001,I2921))*(실물목록!$R$2:$R$1001&lt;&gt;""))&gt;0,"확인필요(입력누락)",IF(SUMPRODUCT((실물목록!$P$2:$P$1001&lt;&gt;"")*ISNUMBER(SEARCH(실물목록!$P$2:$P$1001,I2921))*(실물목록!$Q$2:$Q$1001&lt;&gt;"")*ISNUMBER(SEARCH(실물목록!$Q$2:$Q$1001,I2921))*(실물목록!$R$2:$R$1001="")*(실물목록!$O$2:$O$1001&lt;&gt;""))&gt;0,"확인필요(연도다름)","실물 없음")))))</f>
      </c>
      <c r="G2921" t="n" s="16">
        <f aca="0">IF(B2921="","",SUMPRODUCT((실물목록!$P$2:$P$1001&lt;&gt;"")*ISNUMBER(SEARCH(실물목록!$P$2:$P$1001,I2921))*(실물목록!$Q$2:$Q$1001&lt;&gt;"")*ISNUMBER(SEARCH(실물목록!$Q$2:$Q$1001,I2921))*(실물목록!$R$2:$R$1001="")*(실물목록!$O$2:$O$1001&lt;&gt;"")*(실물목록!$O$2:$O$1001=H2921)))</f>
      </c>
      <c r="H2921" t="str">
        <f>IFERROR(IF(AND(LEN(SUBSTITUTE(SUBSTITUTE(SUBSTITUTE(TRIM(A2921&amp;""),CHAR(160),"")," ",""),"년",""))=4,VALUE(SUBSTITUTE(SUBSTITUTE(SUBSTITUTE(TRIM(A2921&amp;""),CHAR(160),"")," ",""),"년",""))&gt;=1900,VALUE(SUBSTITUTE(SUBSTITUTE(SUBSTITUTE(TRIM(A2921&amp;""),CHAR(160),"")," ",""),"년",""))&lt;=2099,TEXT(VALUE(SUBSTITUTE(SUBSTITUTE(SUBSTITUTE(TRIM(A2921&amp;""),CHAR(160),"")," ",""),"년","")),"0000")=SUBSTITUTE(SUBSTITUTE(SUBSTITUTE(TRIM(A2921&amp;""),CHAR(160),"")," ",""),"년","")),SUBSTITUTE(SUBSTITUTE(SUBSTITUTE(TRIM(A2921&amp;""),CHAR(160),"")," ",""),"년",""),""),"")</f>
      </c>
      <c r="I2921" t="str">
        <f>SUBSTITUTE(SUBSTITUTE(SUBSTITUTE(SUBSTITUTE(SUBSTITUTE(TRIM(B2921&amp;""),CHAR(160),"")," ",""),"초등학교","초"),"중학교","중"),"고등학교","고")</f>
      </c>
    </row>
    <row r="2922" customFormat="false" ht="15" hidden="false" customHeight="false" outlineLevel="0" collapsed="false">
      <c r="A2922" s="8"/>
      <c r="B2922" s="8"/>
      <c r="C2922" s="8"/>
      <c r="D2922" s="8"/>
      <c r="E2922" s="8"/>
      <c r="F2922" t="str" s="15">
        <f aca="0">IF(B2922="","",IF(H2922="","확인필요(입력누락)",IF(SUMPRODUCT((실물목록!$P$2:$P$1001&lt;&gt;"")*ISNUMBER(SEARCH(실물목록!$P$2:$P$1001,I2922))*(실물목록!$Q$2:$Q$1001&lt;&gt;"")*ISNUMBER(SEARCH(실물목록!$Q$2:$Q$1001,I2922))*(실물목록!$R$2:$R$1001="")*(실물목록!$O$2:$O$1001&lt;&gt;"")*(실물목록!$O$2:$O$1001=H2922))&gt;0,"실물 있음",IF(SUMPRODUCT((실물목록!$P$2:$P$1001&lt;&gt;"")*ISNUMBER(SEARCH(실물목록!$P$2:$P$1001,I2922))*(실물목록!$R$2:$R$1001&lt;&gt;""))&gt;0,"확인필요(입력누락)",IF(SUMPRODUCT((실물목록!$P$2:$P$1001&lt;&gt;"")*ISNUMBER(SEARCH(실물목록!$P$2:$P$1001,I2922))*(실물목록!$Q$2:$Q$1001&lt;&gt;"")*ISNUMBER(SEARCH(실물목록!$Q$2:$Q$1001,I2922))*(실물목록!$R$2:$R$1001="")*(실물목록!$O$2:$O$1001&lt;&gt;""))&gt;0,"확인필요(연도다름)","실물 없음")))))</f>
      </c>
      <c r="G2922" t="n" s="16">
        <f aca="0">IF(B2922="","",SUMPRODUCT((실물목록!$P$2:$P$1001&lt;&gt;"")*ISNUMBER(SEARCH(실물목록!$P$2:$P$1001,I2922))*(실물목록!$Q$2:$Q$1001&lt;&gt;"")*ISNUMBER(SEARCH(실물목록!$Q$2:$Q$1001,I2922))*(실물목록!$R$2:$R$1001="")*(실물목록!$O$2:$O$1001&lt;&gt;"")*(실물목록!$O$2:$O$1001=H2922)))</f>
      </c>
      <c r="H2922" t="str">
        <f>IFERROR(IF(AND(LEN(SUBSTITUTE(SUBSTITUTE(SUBSTITUTE(TRIM(A2922&amp;""),CHAR(160),"")," ",""),"년",""))=4,VALUE(SUBSTITUTE(SUBSTITUTE(SUBSTITUTE(TRIM(A2922&amp;""),CHAR(160),"")," ",""),"년",""))&gt;=1900,VALUE(SUBSTITUTE(SUBSTITUTE(SUBSTITUTE(TRIM(A2922&amp;""),CHAR(160),"")," ",""),"년",""))&lt;=2099,TEXT(VALUE(SUBSTITUTE(SUBSTITUTE(SUBSTITUTE(TRIM(A2922&amp;""),CHAR(160),"")," ",""),"년","")),"0000")=SUBSTITUTE(SUBSTITUTE(SUBSTITUTE(TRIM(A2922&amp;""),CHAR(160),"")," ",""),"년","")),SUBSTITUTE(SUBSTITUTE(SUBSTITUTE(TRIM(A2922&amp;""),CHAR(160),"")," ",""),"년",""),""),"")</f>
      </c>
      <c r="I2922" t="str">
        <f>SUBSTITUTE(SUBSTITUTE(SUBSTITUTE(SUBSTITUTE(SUBSTITUTE(TRIM(B2922&amp;""),CHAR(160),"")," ",""),"초등학교","초"),"중학교","중"),"고등학교","고")</f>
      </c>
    </row>
    <row r="2923" customFormat="false" ht="15" hidden="false" customHeight="false" outlineLevel="0" collapsed="false">
      <c r="A2923" s="8"/>
      <c r="B2923" s="8"/>
      <c r="C2923" s="8"/>
      <c r="D2923" s="8"/>
      <c r="E2923" s="8"/>
      <c r="F2923" t="str" s="15">
        <f aca="0">IF(B2923="","",IF(H2923="","확인필요(입력누락)",IF(SUMPRODUCT((실물목록!$P$2:$P$1001&lt;&gt;"")*ISNUMBER(SEARCH(실물목록!$P$2:$P$1001,I2923))*(실물목록!$Q$2:$Q$1001&lt;&gt;"")*ISNUMBER(SEARCH(실물목록!$Q$2:$Q$1001,I2923))*(실물목록!$R$2:$R$1001="")*(실물목록!$O$2:$O$1001&lt;&gt;"")*(실물목록!$O$2:$O$1001=H2923))&gt;0,"실물 있음",IF(SUMPRODUCT((실물목록!$P$2:$P$1001&lt;&gt;"")*ISNUMBER(SEARCH(실물목록!$P$2:$P$1001,I2923))*(실물목록!$R$2:$R$1001&lt;&gt;""))&gt;0,"확인필요(입력누락)",IF(SUMPRODUCT((실물목록!$P$2:$P$1001&lt;&gt;"")*ISNUMBER(SEARCH(실물목록!$P$2:$P$1001,I2923))*(실물목록!$Q$2:$Q$1001&lt;&gt;"")*ISNUMBER(SEARCH(실물목록!$Q$2:$Q$1001,I2923))*(실물목록!$R$2:$R$1001="")*(실물목록!$O$2:$O$1001&lt;&gt;""))&gt;0,"확인필요(연도다름)","실물 없음")))))</f>
      </c>
      <c r="G2923" t="n" s="16">
        <f aca="0">IF(B2923="","",SUMPRODUCT((실물목록!$P$2:$P$1001&lt;&gt;"")*ISNUMBER(SEARCH(실물목록!$P$2:$P$1001,I2923))*(실물목록!$Q$2:$Q$1001&lt;&gt;"")*ISNUMBER(SEARCH(실물목록!$Q$2:$Q$1001,I2923))*(실물목록!$R$2:$R$1001="")*(실물목록!$O$2:$O$1001&lt;&gt;"")*(실물목록!$O$2:$O$1001=H2923)))</f>
      </c>
      <c r="H2923" t="str">
        <f>IFERROR(IF(AND(LEN(SUBSTITUTE(SUBSTITUTE(SUBSTITUTE(TRIM(A2923&amp;""),CHAR(160),"")," ",""),"년",""))=4,VALUE(SUBSTITUTE(SUBSTITUTE(SUBSTITUTE(TRIM(A2923&amp;""),CHAR(160),"")," ",""),"년",""))&gt;=1900,VALUE(SUBSTITUTE(SUBSTITUTE(SUBSTITUTE(TRIM(A2923&amp;""),CHAR(160),"")," ",""),"년",""))&lt;=2099,TEXT(VALUE(SUBSTITUTE(SUBSTITUTE(SUBSTITUTE(TRIM(A2923&amp;""),CHAR(160),"")," ",""),"년","")),"0000")=SUBSTITUTE(SUBSTITUTE(SUBSTITUTE(TRIM(A2923&amp;""),CHAR(160),"")," ",""),"년","")),SUBSTITUTE(SUBSTITUTE(SUBSTITUTE(TRIM(A2923&amp;""),CHAR(160),"")," ",""),"년",""),""),"")</f>
      </c>
      <c r="I2923" t="str">
        <f>SUBSTITUTE(SUBSTITUTE(SUBSTITUTE(SUBSTITUTE(SUBSTITUTE(TRIM(B2923&amp;""),CHAR(160),"")," ",""),"초등학교","초"),"중학교","중"),"고등학교","고")</f>
      </c>
    </row>
    <row r="2924" customFormat="false" ht="15" hidden="false" customHeight="false" outlineLevel="0" collapsed="false">
      <c r="A2924" s="8"/>
      <c r="B2924" s="8"/>
      <c r="C2924" s="8"/>
      <c r="D2924" s="8"/>
      <c r="E2924" s="8"/>
      <c r="F2924" t="str" s="15">
        <f aca="0">IF(B2924="","",IF(H2924="","확인필요(입력누락)",IF(SUMPRODUCT((실물목록!$P$2:$P$1001&lt;&gt;"")*ISNUMBER(SEARCH(실물목록!$P$2:$P$1001,I2924))*(실물목록!$Q$2:$Q$1001&lt;&gt;"")*ISNUMBER(SEARCH(실물목록!$Q$2:$Q$1001,I2924))*(실물목록!$R$2:$R$1001="")*(실물목록!$O$2:$O$1001&lt;&gt;"")*(실물목록!$O$2:$O$1001=H2924))&gt;0,"실물 있음",IF(SUMPRODUCT((실물목록!$P$2:$P$1001&lt;&gt;"")*ISNUMBER(SEARCH(실물목록!$P$2:$P$1001,I2924))*(실물목록!$R$2:$R$1001&lt;&gt;""))&gt;0,"확인필요(입력누락)",IF(SUMPRODUCT((실물목록!$P$2:$P$1001&lt;&gt;"")*ISNUMBER(SEARCH(실물목록!$P$2:$P$1001,I2924))*(실물목록!$Q$2:$Q$1001&lt;&gt;"")*ISNUMBER(SEARCH(실물목록!$Q$2:$Q$1001,I2924))*(실물목록!$R$2:$R$1001="")*(실물목록!$O$2:$O$1001&lt;&gt;""))&gt;0,"확인필요(연도다름)","실물 없음")))))</f>
      </c>
      <c r="G2924" t="n" s="16">
        <f aca="0">IF(B2924="","",SUMPRODUCT((실물목록!$P$2:$P$1001&lt;&gt;"")*ISNUMBER(SEARCH(실물목록!$P$2:$P$1001,I2924))*(실물목록!$Q$2:$Q$1001&lt;&gt;"")*ISNUMBER(SEARCH(실물목록!$Q$2:$Q$1001,I2924))*(실물목록!$R$2:$R$1001="")*(실물목록!$O$2:$O$1001&lt;&gt;"")*(실물목록!$O$2:$O$1001=H2924)))</f>
      </c>
      <c r="H2924" t="str">
        <f>IFERROR(IF(AND(LEN(SUBSTITUTE(SUBSTITUTE(SUBSTITUTE(TRIM(A2924&amp;""),CHAR(160),"")," ",""),"년",""))=4,VALUE(SUBSTITUTE(SUBSTITUTE(SUBSTITUTE(TRIM(A2924&amp;""),CHAR(160),"")," ",""),"년",""))&gt;=1900,VALUE(SUBSTITUTE(SUBSTITUTE(SUBSTITUTE(TRIM(A2924&amp;""),CHAR(160),"")," ",""),"년",""))&lt;=2099,TEXT(VALUE(SUBSTITUTE(SUBSTITUTE(SUBSTITUTE(TRIM(A2924&amp;""),CHAR(160),"")," ",""),"년","")),"0000")=SUBSTITUTE(SUBSTITUTE(SUBSTITUTE(TRIM(A2924&amp;""),CHAR(160),"")," ",""),"년","")),SUBSTITUTE(SUBSTITUTE(SUBSTITUTE(TRIM(A2924&amp;""),CHAR(160),"")," ",""),"년",""),""),"")</f>
      </c>
      <c r="I2924" t="str">
        <f>SUBSTITUTE(SUBSTITUTE(SUBSTITUTE(SUBSTITUTE(SUBSTITUTE(TRIM(B2924&amp;""),CHAR(160),"")," ",""),"초등학교","초"),"중학교","중"),"고등학교","고")</f>
      </c>
    </row>
    <row r="2925" customFormat="false" ht="15" hidden="false" customHeight="false" outlineLevel="0" collapsed="false">
      <c r="A2925" s="8"/>
      <c r="B2925" s="8"/>
      <c r="C2925" s="8"/>
      <c r="D2925" s="8"/>
      <c r="E2925" s="8"/>
      <c r="F2925" t="str" s="15">
        <f aca="0">IF(B2925="","",IF(H2925="","확인필요(입력누락)",IF(SUMPRODUCT((실물목록!$P$2:$P$1001&lt;&gt;"")*ISNUMBER(SEARCH(실물목록!$P$2:$P$1001,I2925))*(실물목록!$Q$2:$Q$1001&lt;&gt;"")*ISNUMBER(SEARCH(실물목록!$Q$2:$Q$1001,I2925))*(실물목록!$R$2:$R$1001="")*(실물목록!$O$2:$O$1001&lt;&gt;"")*(실물목록!$O$2:$O$1001=H2925))&gt;0,"실물 있음",IF(SUMPRODUCT((실물목록!$P$2:$P$1001&lt;&gt;"")*ISNUMBER(SEARCH(실물목록!$P$2:$P$1001,I2925))*(실물목록!$R$2:$R$1001&lt;&gt;""))&gt;0,"확인필요(입력누락)",IF(SUMPRODUCT((실물목록!$P$2:$P$1001&lt;&gt;"")*ISNUMBER(SEARCH(실물목록!$P$2:$P$1001,I2925))*(실물목록!$Q$2:$Q$1001&lt;&gt;"")*ISNUMBER(SEARCH(실물목록!$Q$2:$Q$1001,I2925))*(실물목록!$R$2:$R$1001="")*(실물목록!$O$2:$O$1001&lt;&gt;""))&gt;0,"확인필요(연도다름)","실물 없음")))))</f>
      </c>
      <c r="G2925" t="n" s="16">
        <f aca="0">IF(B2925="","",SUMPRODUCT((실물목록!$P$2:$P$1001&lt;&gt;"")*ISNUMBER(SEARCH(실물목록!$P$2:$P$1001,I2925))*(실물목록!$Q$2:$Q$1001&lt;&gt;"")*ISNUMBER(SEARCH(실물목록!$Q$2:$Q$1001,I2925))*(실물목록!$R$2:$R$1001="")*(실물목록!$O$2:$O$1001&lt;&gt;"")*(실물목록!$O$2:$O$1001=H2925)))</f>
      </c>
      <c r="H2925" t="str">
        <f>IFERROR(IF(AND(LEN(SUBSTITUTE(SUBSTITUTE(SUBSTITUTE(TRIM(A2925&amp;""),CHAR(160),"")," ",""),"년",""))=4,VALUE(SUBSTITUTE(SUBSTITUTE(SUBSTITUTE(TRIM(A2925&amp;""),CHAR(160),"")," ",""),"년",""))&gt;=1900,VALUE(SUBSTITUTE(SUBSTITUTE(SUBSTITUTE(TRIM(A2925&amp;""),CHAR(160),"")," ",""),"년",""))&lt;=2099,TEXT(VALUE(SUBSTITUTE(SUBSTITUTE(SUBSTITUTE(TRIM(A2925&amp;""),CHAR(160),"")," ",""),"년","")),"0000")=SUBSTITUTE(SUBSTITUTE(SUBSTITUTE(TRIM(A2925&amp;""),CHAR(160),"")," ",""),"년","")),SUBSTITUTE(SUBSTITUTE(SUBSTITUTE(TRIM(A2925&amp;""),CHAR(160),"")," ",""),"년",""),""),"")</f>
      </c>
      <c r="I2925" t="str">
        <f>SUBSTITUTE(SUBSTITUTE(SUBSTITUTE(SUBSTITUTE(SUBSTITUTE(TRIM(B2925&amp;""),CHAR(160),"")," ",""),"초등학교","초"),"중학교","중"),"고등학교","고")</f>
      </c>
    </row>
    <row r="2926" customFormat="false" ht="15" hidden="false" customHeight="false" outlineLevel="0" collapsed="false">
      <c r="A2926" s="8"/>
      <c r="B2926" s="8"/>
      <c r="C2926" s="8"/>
      <c r="D2926" s="8"/>
      <c r="E2926" s="8"/>
      <c r="F2926" t="str" s="15">
        <f aca="0">IF(B2926="","",IF(H2926="","확인필요(입력누락)",IF(SUMPRODUCT((실물목록!$P$2:$P$1001&lt;&gt;"")*ISNUMBER(SEARCH(실물목록!$P$2:$P$1001,I2926))*(실물목록!$Q$2:$Q$1001&lt;&gt;"")*ISNUMBER(SEARCH(실물목록!$Q$2:$Q$1001,I2926))*(실물목록!$R$2:$R$1001="")*(실물목록!$O$2:$O$1001&lt;&gt;"")*(실물목록!$O$2:$O$1001=H2926))&gt;0,"실물 있음",IF(SUMPRODUCT((실물목록!$P$2:$P$1001&lt;&gt;"")*ISNUMBER(SEARCH(실물목록!$P$2:$P$1001,I2926))*(실물목록!$R$2:$R$1001&lt;&gt;""))&gt;0,"확인필요(입력누락)",IF(SUMPRODUCT((실물목록!$P$2:$P$1001&lt;&gt;"")*ISNUMBER(SEARCH(실물목록!$P$2:$P$1001,I2926))*(실물목록!$Q$2:$Q$1001&lt;&gt;"")*ISNUMBER(SEARCH(실물목록!$Q$2:$Q$1001,I2926))*(실물목록!$R$2:$R$1001="")*(실물목록!$O$2:$O$1001&lt;&gt;""))&gt;0,"확인필요(연도다름)","실물 없음")))))</f>
      </c>
      <c r="G2926" t="n" s="16">
        <f aca="0">IF(B2926="","",SUMPRODUCT((실물목록!$P$2:$P$1001&lt;&gt;"")*ISNUMBER(SEARCH(실물목록!$P$2:$P$1001,I2926))*(실물목록!$Q$2:$Q$1001&lt;&gt;"")*ISNUMBER(SEARCH(실물목록!$Q$2:$Q$1001,I2926))*(실물목록!$R$2:$R$1001="")*(실물목록!$O$2:$O$1001&lt;&gt;"")*(실물목록!$O$2:$O$1001=H2926)))</f>
      </c>
      <c r="H2926" t="str">
        <f>IFERROR(IF(AND(LEN(SUBSTITUTE(SUBSTITUTE(SUBSTITUTE(TRIM(A2926&amp;""),CHAR(160),"")," ",""),"년",""))=4,VALUE(SUBSTITUTE(SUBSTITUTE(SUBSTITUTE(TRIM(A2926&amp;""),CHAR(160),"")," ",""),"년",""))&gt;=1900,VALUE(SUBSTITUTE(SUBSTITUTE(SUBSTITUTE(TRIM(A2926&amp;""),CHAR(160),"")," ",""),"년",""))&lt;=2099,TEXT(VALUE(SUBSTITUTE(SUBSTITUTE(SUBSTITUTE(TRIM(A2926&amp;""),CHAR(160),"")," ",""),"년","")),"0000")=SUBSTITUTE(SUBSTITUTE(SUBSTITUTE(TRIM(A2926&amp;""),CHAR(160),"")," ",""),"년","")),SUBSTITUTE(SUBSTITUTE(SUBSTITUTE(TRIM(A2926&amp;""),CHAR(160),"")," ",""),"년",""),""),"")</f>
      </c>
      <c r="I2926" t="str">
        <f>SUBSTITUTE(SUBSTITUTE(SUBSTITUTE(SUBSTITUTE(SUBSTITUTE(TRIM(B2926&amp;""),CHAR(160),"")," ",""),"초등학교","초"),"중학교","중"),"고등학교","고")</f>
      </c>
    </row>
    <row r="2927" customFormat="false" ht="15" hidden="false" customHeight="false" outlineLevel="0" collapsed="false">
      <c r="A2927" s="8"/>
      <c r="B2927" s="8"/>
      <c r="C2927" s="8"/>
      <c r="D2927" s="8"/>
      <c r="E2927" s="8"/>
      <c r="F2927" t="str" s="15">
        <f aca="0">IF(B2927="","",IF(H2927="","확인필요(입력누락)",IF(SUMPRODUCT((실물목록!$P$2:$P$1001&lt;&gt;"")*ISNUMBER(SEARCH(실물목록!$P$2:$P$1001,I2927))*(실물목록!$Q$2:$Q$1001&lt;&gt;"")*ISNUMBER(SEARCH(실물목록!$Q$2:$Q$1001,I2927))*(실물목록!$R$2:$R$1001="")*(실물목록!$O$2:$O$1001&lt;&gt;"")*(실물목록!$O$2:$O$1001=H2927))&gt;0,"실물 있음",IF(SUMPRODUCT((실물목록!$P$2:$P$1001&lt;&gt;"")*ISNUMBER(SEARCH(실물목록!$P$2:$P$1001,I2927))*(실물목록!$R$2:$R$1001&lt;&gt;""))&gt;0,"확인필요(입력누락)",IF(SUMPRODUCT((실물목록!$P$2:$P$1001&lt;&gt;"")*ISNUMBER(SEARCH(실물목록!$P$2:$P$1001,I2927))*(실물목록!$Q$2:$Q$1001&lt;&gt;"")*ISNUMBER(SEARCH(실물목록!$Q$2:$Q$1001,I2927))*(실물목록!$R$2:$R$1001="")*(실물목록!$O$2:$O$1001&lt;&gt;""))&gt;0,"확인필요(연도다름)","실물 없음")))))</f>
      </c>
      <c r="G2927" t="n" s="16">
        <f aca="0">IF(B2927="","",SUMPRODUCT((실물목록!$P$2:$P$1001&lt;&gt;"")*ISNUMBER(SEARCH(실물목록!$P$2:$P$1001,I2927))*(실물목록!$Q$2:$Q$1001&lt;&gt;"")*ISNUMBER(SEARCH(실물목록!$Q$2:$Q$1001,I2927))*(실물목록!$R$2:$R$1001="")*(실물목록!$O$2:$O$1001&lt;&gt;"")*(실물목록!$O$2:$O$1001=H2927)))</f>
      </c>
      <c r="H2927" t="str">
        <f>IFERROR(IF(AND(LEN(SUBSTITUTE(SUBSTITUTE(SUBSTITUTE(TRIM(A2927&amp;""),CHAR(160),"")," ",""),"년",""))=4,VALUE(SUBSTITUTE(SUBSTITUTE(SUBSTITUTE(TRIM(A2927&amp;""),CHAR(160),"")," ",""),"년",""))&gt;=1900,VALUE(SUBSTITUTE(SUBSTITUTE(SUBSTITUTE(TRIM(A2927&amp;""),CHAR(160),"")," ",""),"년",""))&lt;=2099,TEXT(VALUE(SUBSTITUTE(SUBSTITUTE(SUBSTITUTE(TRIM(A2927&amp;""),CHAR(160),"")," ",""),"년","")),"0000")=SUBSTITUTE(SUBSTITUTE(SUBSTITUTE(TRIM(A2927&amp;""),CHAR(160),"")," ",""),"년","")),SUBSTITUTE(SUBSTITUTE(SUBSTITUTE(TRIM(A2927&amp;""),CHAR(160),"")," ",""),"년",""),""),"")</f>
      </c>
      <c r="I2927" t="str">
        <f>SUBSTITUTE(SUBSTITUTE(SUBSTITUTE(SUBSTITUTE(SUBSTITUTE(TRIM(B2927&amp;""),CHAR(160),"")," ",""),"초등학교","초"),"중학교","중"),"고등학교","고")</f>
      </c>
    </row>
    <row r="2928" customFormat="false" ht="15" hidden="false" customHeight="false" outlineLevel="0" collapsed="false">
      <c r="A2928" s="8"/>
      <c r="B2928" s="8"/>
      <c r="C2928" s="8"/>
      <c r="D2928" s="8"/>
      <c r="E2928" s="8"/>
      <c r="F2928" t="str" s="15">
        <f aca="0">IF(B2928="","",IF(H2928="","확인필요(입력누락)",IF(SUMPRODUCT((실물목록!$P$2:$P$1001&lt;&gt;"")*ISNUMBER(SEARCH(실물목록!$P$2:$P$1001,I2928))*(실물목록!$Q$2:$Q$1001&lt;&gt;"")*ISNUMBER(SEARCH(실물목록!$Q$2:$Q$1001,I2928))*(실물목록!$R$2:$R$1001="")*(실물목록!$O$2:$O$1001&lt;&gt;"")*(실물목록!$O$2:$O$1001=H2928))&gt;0,"실물 있음",IF(SUMPRODUCT((실물목록!$P$2:$P$1001&lt;&gt;"")*ISNUMBER(SEARCH(실물목록!$P$2:$P$1001,I2928))*(실물목록!$R$2:$R$1001&lt;&gt;""))&gt;0,"확인필요(입력누락)",IF(SUMPRODUCT((실물목록!$P$2:$P$1001&lt;&gt;"")*ISNUMBER(SEARCH(실물목록!$P$2:$P$1001,I2928))*(실물목록!$Q$2:$Q$1001&lt;&gt;"")*ISNUMBER(SEARCH(실물목록!$Q$2:$Q$1001,I2928))*(실물목록!$R$2:$R$1001="")*(실물목록!$O$2:$O$1001&lt;&gt;""))&gt;0,"확인필요(연도다름)","실물 없음")))))</f>
      </c>
      <c r="G2928" t="n" s="16">
        <f aca="0">IF(B2928="","",SUMPRODUCT((실물목록!$P$2:$P$1001&lt;&gt;"")*ISNUMBER(SEARCH(실물목록!$P$2:$P$1001,I2928))*(실물목록!$Q$2:$Q$1001&lt;&gt;"")*ISNUMBER(SEARCH(실물목록!$Q$2:$Q$1001,I2928))*(실물목록!$R$2:$R$1001="")*(실물목록!$O$2:$O$1001&lt;&gt;"")*(실물목록!$O$2:$O$1001=H2928)))</f>
      </c>
      <c r="H2928" t="str">
        <f>IFERROR(IF(AND(LEN(SUBSTITUTE(SUBSTITUTE(SUBSTITUTE(TRIM(A2928&amp;""),CHAR(160),"")," ",""),"년",""))=4,VALUE(SUBSTITUTE(SUBSTITUTE(SUBSTITUTE(TRIM(A2928&amp;""),CHAR(160),"")," ",""),"년",""))&gt;=1900,VALUE(SUBSTITUTE(SUBSTITUTE(SUBSTITUTE(TRIM(A2928&amp;""),CHAR(160),"")," ",""),"년",""))&lt;=2099,TEXT(VALUE(SUBSTITUTE(SUBSTITUTE(SUBSTITUTE(TRIM(A2928&amp;""),CHAR(160),"")," ",""),"년","")),"0000")=SUBSTITUTE(SUBSTITUTE(SUBSTITUTE(TRIM(A2928&amp;""),CHAR(160),"")," ",""),"년","")),SUBSTITUTE(SUBSTITUTE(SUBSTITUTE(TRIM(A2928&amp;""),CHAR(160),"")," ",""),"년",""),""),"")</f>
      </c>
      <c r="I2928" t="str">
        <f>SUBSTITUTE(SUBSTITUTE(SUBSTITUTE(SUBSTITUTE(SUBSTITUTE(TRIM(B2928&amp;""),CHAR(160),"")," ",""),"초등학교","초"),"중학교","중"),"고등학교","고")</f>
      </c>
    </row>
    <row r="2929" customFormat="false" ht="15" hidden="false" customHeight="false" outlineLevel="0" collapsed="false">
      <c r="A2929" s="8"/>
      <c r="B2929" s="8"/>
      <c r="C2929" s="8"/>
      <c r="D2929" s="8"/>
      <c r="E2929" s="8"/>
      <c r="F2929" t="str" s="15">
        <f aca="0">IF(B2929="","",IF(H2929="","확인필요(입력누락)",IF(SUMPRODUCT((실물목록!$P$2:$P$1001&lt;&gt;"")*ISNUMBER(SEARCH(실물목록!$P$2:$P$1001,I2929))*(실물목록!$Q$2:$Q$1001&lt;&gt;"")*ISNUMBER(SEARCH(실물목록!$Q$2:$Q$1001,I2929))*(실물목록!$R$2:$R$1001="")*(실물목록!$O$2:$O$1001&lt;&gt;"")*(실물목록!$O$2:$O$1001=H2929))&gt;0,"실물 있음",IF(SUMPRODUCT((실물목록!$P$2:$P$1001&lt;&gt;"")*ISNUMBER(SEARCH(실물목록!$P$2:$P$1001,I2929))*(실물목록!$R$2:$R$1001&lt;&gt;""))&gt;0,"확인필요(입력누락)",IF(SUMPRODUCT((실물목록!$P$2:$P$1001&lt;&gt;"")*ISNUMBER(SEARCH(실물목록!$P$2:$P$1001,I2929))*(실물목록!$Q$2:$Q$1001&lt;&gt;"")*ISNUMBER(SEARCH(실물목록!$Q$2:$Q$1001,I2929))*(실물목록!$R$2:$R$1001="")*(실물목록!$O$2:$O$1001&lt;&gt;""))&gt;0,"확인필요(연도다름)","실물 없음")))))</f>
      </c>
      <c r="G2929" t="n" s="16">
        <f aca="0">IF(B2929="","",SUMPRODUCT((실물목록!$P$2:$P$1001&lt;&gt;"")*ISNUMBER(SEARCH(실물목록!$P$2:$P$1001,I2929))*(실물목록!$Q$2:$Q$1001&lt;&gt;"")*ISNUMBER(SEARCH(실물목록!$Q$2:$Q$1001,I2929))*(실물목록!$R$2:$R$1001="")*(실물목록!$O$2:$O$1001&lt;&gt;"")*(실물목록!$O$2:$O$1001=H2929)))</f>
      </c>
      <c r="H2929" t="str">
        <f>IFERROR(IF(AND(LEN(SUBSTITUTE(SUBSTITUTE(SUBSTITUTE(TRIM(A2929&amp;""),CHAR(160),"")," ",""),"년",""))=4,VALUE(SUBSTITUTE(SUBSTITUTE(SUBSTITUTE(TRIM(A2929&amp;""),CHAR(160),"")," ",""),"년",""))&gt;=1900,VALUE(SUBSTITUTE(SUBSTITUTE(SUBSTITUTE(TRIM(A2929&amp;""),CHAR(160),"")," ",""),"년",""))&lt;=2099,TEXT(VALUE(SUBSTITUTE(SUBSTITUTE(SUBSTITUTE(TRIM(A2929&amp;""),CHAR(160),"")," ",""),"년","")),"0000")=SUBSTITUTE(SUBSTITUTE(SUBSTITUTE(TRIM(A2929&amp;""),CHAR(160),"")," ",""),"년","")),SUBSTITUTE(SUBSTITUTE(SUBSTITUTE(TRIM(A2929&amp;""),CHAR(160),"")," ",""),"년",""),""),"")</f>
      </c>
      <c r="I2929" t="str">
        <f>SUBSTITUTE(SUBSTITUTE(SUBSTITUTE(SUBSTITUTE(SUBSTITUTE(TRIM(B2929&amp;""),CHAR(160),"")," ",""),"초등학교","초"),"중학교","중"),"고등학교","고")</f>
      </c>
    </row>
    <row r="2930" customFormat="false" ht="15" hidden="false" customHeight="false" outlineLevel="0" collapsed="false">
      <c r="A2930" s="8"/>
      <c r="B2930" s="8"/>
      <c r="C2930" s="8"/>
      <c r="D2930" s="8"/>
      <c r="E2930" s="8"/>
      <c r="F2930" t="str" s="15">
        <f aca="0">IF(B2930="","",IF(H2930="","확인필요(입력누락)",IF(SUMPRODUCT((실물목록!$P$2:$P$1001&lt;&gt;"")*ISNUMBER(SEARCH(실물목록!$P$2:$P$1001,I2930))*(실물목록!$Q$2:$Q$1001&lt;&gt;"")*ISNUMBER(SEARCH(실물목록!$Q$2:$Q$1001,I2930))*(실물목록!$R$2:$R$1001="")*(실물목록!$O$2:$O$1001&lt;&gt;"")*(실물목록!$O$2:$O$1001=H2930))&gt;0,"실물 있음",IF(SUMPRODUCT((실물목록!$P$2:$P$1001&lt;&gt;"")*ISNUMBER(SEARCH(실물목록!$P$2:$P$1001,I2930))*(실물목록!$R$2:$R$1001&lt;&gt;""))&gt;0,"확인필요(입력누락)",IF(SUMPRODUCT((실물목록!$P$2:$P$1001&lt;&gt;"")*ISNUMBER(SEARCH(실물목록!$P$2:$P$1001,I2930))*(실물목록!$Q$2:$Q$1001&lt;&gt;"")*ISNUMBER(SEARCH(실물목록!$Q$2:$Q$1001,I2930))*(실물목록!$R$2:$R$1001="")*(실물목록!$O$2:$O$1001&lt;&gt;""))&gt;0,"확인필요(연도다름)","실물 없음")))))</f>
      </c>
      <c r="G2930" t="n" s="16">
        <f aca="0">IF(B2930="","",SUMPRODUCT((실물목록!$P$2:$P$1001&lt;&gt;"")*ISNUMBER(SEARCH(실물목록!$P$2:$P$1001,I2930))*(실물목록!$Q$2:$Q$1001&lt;&gt;"")*ISNUMBER(SEARCH(실물목록!$Q$2:$Q$1001,I2930))*(실물목록!$R$2:$R$1001="")*(실물목록!$O$2:$O$1001&lt;&gt;"")*(실물목록!$O$2:$O$1001=H2930)))</f>
      </c>
      <c r="H2930" t="str">
        <f>IFERROR(IF(AND(LEN(SUBSTITUTE(SUBSTITUTE(SUBSTITUTE(TRIM(A2930&amp;""),CHAR(160),"")," ",""),"년",""))=4,VALUE(SUBSTITUTE(SUBSTITUTE(SUBSTITUTE(TRIM(A2930&amp;""),CHAR(160),"")," ",""),"년",""))&gt;=1900,VALUE(SUBSTITUTE(SUBSTITUTE(SUBSTITUTE(TRIM(A2930&amp;""),CHAR(160),"")," ",""),"년",""))&lt;=2099,TEXT(VALUE(SUBSTITUTE(SUBSTITUTE(SUBSTITUTE(TRIM(A2930&amp;""),CHAR(160),"")," ",""),"년","")),"0000")=SUBSTITUTE(SUBSTITUTE(SUBSTITUTE(TRIM(A2930&amp;""),CHAR(160),"")," ",""),"년","")),SUBSTITUTE(SUBSTITUTE(SUBSTITUTE(TRIM(A2930&amp;""),CHAR(160),"")," ",""),"년",""),""),"")</f>
      </c>
      <c r="I2930" t="str">
        <f>SUBSTITUTE(SUBSTITUTE(SUBSTITUTE(SUBSTITUTE(SUBSTITUTE(TRIM(B2930&amp;""),CHAR(160),"")," ",""),"초등학교","초"),"중학교","중"),"고등학교","고")</f>
      </c>
    </row>
    <row r="2931" customFormat="false" ht="15" hidden="false" customHeight="false" outlineLevel="0" collapsed="false">
      <c r="A2931" s="8"/>
      <c r="B2931" s="8"/>
      <c r="C2931" s="8"/>
      <c r="D2931" s="8"/>
      <c r="E2931" s="8"/>
      <c r="F2931" t="str" s="15">
        <f aca="0">IF(B2931="","",IF(H2931="","확인필요(입력누락)",IF(SUMPRODUCT((실물목록!$P$2:$P$1001&lt;&gt;"")*ISNUMBER(SEARCH(실물목록!$P$2:$P$1001,I2931))*(실물목록!$Q$2:$Q$1001&lt;&gt;"")*ISNUMBER(SEARCH(실물목록!$Q$2:$Q$1001,I2931))*(실물목록!$R$2:$R$1001="")*(실물목록!$O$2:$O$1001&lt;&gt;"")*(실물목록!$O$2:$O$1001=H2931))&gt;0,"실물 있음",IF(SUMPRODUCT((실물목록!$P$2:$P$1001&lt;&gt;"")*ISNUMBER(SEARCH(실물목록!$P$2:$P$1001,I2931))*(실물목록!$R$2:$R$1001&lt;&gt;""))&gt;0,"확인필요(입력누락)",IF(SUMPRODUCT((실물목록!$P$2:$P$1001&lt;&gt;"")*ISNUMBER(SEARCH(실물목록!$P$2:$P$1001,I2931))*(실물목록!$Q$2:$Q$1001&lt;&gt;"")*ISNUMBER(SEARCH(실물목록!$Q$2:$Q$1001,I2931))*(실물목록!$R$2:$R$1001="")*(실물목록!$O$2:$O$1001&lt;&gt;""))&gt;0,"확인필요(연도다름)","실물 없음")))))</f>
      </c>
      <c r="G2931" t="n" s="16">
        <f aca="0">IF(B2931="","",SUMPRODUCT((실물목록!$P$2:$P$1001&lt;&gt;"")*ISNUMBER(SEARCH(실물목록!$P$2:$P$1001,I2931))*(실물목록!$Q$2:$Q$1001&lt;&gt;"")*ISNUMBER(SEARCH(실물목록!$Q$2:$Q$1001,I2931))*(실물목록!$R$2:$R$1001="")*(실물목록!$O$2:$O$1001&lt;&gt;"")*(실물목록!$O$2:$O$1001=H2931)))</f>
      </c>
      <c r="H2931" t="str">
        <f>IFERROR(IF(AND(LEN(SUBSTITUTE(SUBSTITUTE(SUBSTITUTE(TRIM(A2931&amp;""),CHAR(160),"")," ",""),"년",""))=4,VALUE(SUBSTITUTE(SUBSTITUTE(SUBSTITUTE(TRIM(A2931&amp;""),CHAR(160),"")," ",""),"년",""))&gt;=1900,VALUE(SUBSTITUTE(SUBSTITUTE(SUBSTITUTE(TRIM(A2931&amp;""),CHAR(160),"")," ",""),"년",""))&lt;=2099,TEXT(VALUE(SUBSTITUTE(SUBSTITUTE(SUBSTITUTE(TRIM(A2931&amp;""),CHAR(160),"")," ",""),"년","")),"0000")=SUBSTITUTE(SUBSTITUTE(SUBSTITUTE(TRIM(A2931&amp;""),CHAR(160),"")," ",""),"년","")),SUBSTITUTE(SUBSTITUTE(SUBSTITUTE(TRIM(A2931&amp;""),CHAR(160),"")," ",""),"년",""),""),"")</f>
      </c>
      <c r="I2931" t="str">
        <f>SUBSTITUTE(SUBSTITUTE(SUBSTITUTE(SUBSTITUTE(SUBSTITUTE(TRIM(B2931&amp;""),CHAR(160),"")," ",""),"초등학교","초"),"중학교","중"),"고등학교","고")</f>
      </c>
    </row>
    <row r="2932" customFormat="false" ht="15" hidden="false" customHeight="false" outlineLevel="0" collapsed="false">
      <c r="A2932" s="8"/>
      <c r="B2932" s="8"/>
      <c r="C2932" s="8"/>
      <c r="D2932" s="8"/>
      <c r="E2932" s="8"/>
      <c r="F2932" t="str" s="15">
        <f aca="0">IF(B2932="","",IF(H2932="","확인필요(입력누락)",IF(SUMPRODUCT((실물목록!$P$2:$P$1001&lt;&gt;"")*ISNUMBER(SEARCH(실물목록!$P$2:$P$1001,I2932))*(실물목록!$Q$2:$Q$1001&lt;&gt;"")*ISNUMBER(SEARCH(실물목록!$Q$2:$Q$1001,I2932))*(실물목록!$R$2:$R$1001="")*(실물목록!$O$2:$O$1001&lt;&gt;"")*(실물목록!$O$2:$O$1001=H2932))&gt;0,"실물 있음",IF(SUMPRODUCT((실물목록!$P$2:$P$1001&lt;&gt;"")*ISNUMBER(SEARCH(실물목록!$P$2:$P$1001,I2932))*(실물목록!$R$2:$R$1001&lt;&gt;""))&gt;0,"확인필요(입력누락)",IF(SUMPRODUCT((실물목록!$P$2:$P$1001&lt;&gt;"")*ISNUMBER(SEARCH(실물목록!$P$2:$P$1001,I2932))*(실물목록!$Q$2:$Q$1001&lt;&gt;"")*ISNUMBER(SEARCH(실물목록!$Q$2:$Q$1001,I2932))*(실물목록!$R$2:$R$1001="")*(실물목록!$O$2:$O$1001&lt;&gt;""))&gt;0,"확인필요(연도다름)","실물 없음")))))</f>
      </c>
      <c r="G2932" t="n" s="16">
        <f aca="0">IF(B2932="","",SUMPRODUCT((실물목록!$P$2:$P$1001&lt;&gt;"")*ISNUMBER(SEARCH(실물목록!$P$2:$P$1001,I2932))*(실물목록!$Q$2:$Q$1001&lt;&gt;"")*ISNUMBER(SEARCH(실물목록!$Q$2:$Q$1001,I2932))*(실물목록!$R$2:$R$1001="")*(실물목록!$O$2:$O$1001&lt;&gt;"")*(실물목록!$O$2:$O$1001=H2932)))</f>
      </c>
      <c r="H2932" t="str">
        <f>IFERROR(IF(AND(LEN(SUBSTITUTE(SUBSTITUTE(SUBSTITUTE(TRIM(A2932&amp;""),CHAR(160),"")," ",""),"년",""))=4,VALUE(SUBSTITUTE(SUBSTITUTE(SUBSTITUTE(TRIM(A2932&amp;""),CHAR(160),"")," ",""),"년",""))&gt;=1900,VALUE(SUBSTITUTE(SUBSTITUTE(SUBSTITUTE(TRIM(A2932&amp;""),CHAR(160),"")," ",""),"년",""))&lt;=2099,TEXT(VALUE(SUBSTITUTE(SUBSTITUTE(SUBSTITUTE(TRIM(A2932&amp;""),CHAR(160),"")," ",""),"년","")),"0000")=SUBSTITUTE(SUBSTITUTE(SUBSTITUTE(TRIM(A2932&amp;""),CHAR(160),"")," ",""),"년","")),SUBSTITUTE(SUBSTITUTE(SUBSTITUTE(TRIM(A2932&amp;""),CHAR(160),"")," ",""),"년",""),""),"")</f>
      </c>
      <c r="I2932" t="str">
        <f>SUBSTITUTE(SUBSTITUTE(SUBSTITUTE(SUBSTITUTE(SUBSTITUTE(TRIM(B2932&amp;""),CHAR(160),"")," ",""),"초등학교","초"),"중학교","중"),"고등학교","고")</f>
      </c>
    </row>
    <row r="2933" customFormat="false" ht="15" hidden="false" customHeight="false" outlineLevel="0" collapsed="false">
      <c r="A2933" s="8"/>
      <c r="B2933" s="8"/>
      <c r="C2933" s="8"/>
      <c r="D2933" s="8"/>
      <c r="E2933" s="8"/>
      <c r="F2933" t="str" s="15">
        <f aca="0">IF(B2933="","",IF(H2933="","확인필요(입력누락)",IF(SUMPRODUCT((실물목록!$P$2:$P$1001&lt;&gt;"")*ISNUMBER(SEARCH(실물목록!$P$2:$P$1001,I2933))*(실물목록!$Q$2:$Q$1001&lt;&gt;"")*ISNUMBER(SEARCH(실물목록!$Q$2:$Q$1001,I2933))*(실물목록!$R$2:$R$1001="")*(실물목록!$O$2:$O$1001&lt;&gt;"")*(실물목록!$O$2:$O$1001=H2933))&gt;0,"실물 있음",IF(SUMPRODUCT((실물목록!$P$2:$P$1001&lt;&gt;"")*ISNUMBER(SEARCH(실물목록!$P$2:$P$1001,I2933))*(실물목록!$R$2:$R$1001&lt;&gt;""))&gt;0,"확인필요(입력누락)",IF(SUMPRODUCT((실물목록!$P$2:$P$1001&lt;&gt;"")*ISNUMBER(SEARCH(실물목록!$P$2:$P$1001,I2933))*(실물목록!$Q$2:$Q$1001&lt;&gt;"")*ISNUMBER(SEARCH(실물목록!$Q$2:$Q$1001,I2933))*(실물목록!$R$2:$R$1001="")*(실물목록!$O$2:$O$1001&lt;&gt;""))&gt;0,"확인필요(연도다름)","실물 없음")))))</f>
      </c>
      <c r="G2933" t="n" s="16">
        <f aca="0">IF(B2933="","",SUMPRODUCT((실물목록!$P$2:$P$1001&lt;&gt;"")*ISNUMBER(SEARCH(실물목록!$P$2:$P$1001,I2933))*(실물목록!$Q$2:$Q$1001&lt;&gt;"")*ISNUMBER(SEARCH(실물목록!$Q$2:$Q$1001,I2933))*(실물목록!$R$2:$R$1001="")*(실물목록!$O$2:$O$1001&lt;&gt;"")*(실물목록!$O$2:$O$1001=H2933)))</f>
      </c>
      <c r="H2933" t="str">
        <f>IFERROR(IF(AND(LEN(SUBSTITUTE(SUBSTITUTE(SUBSTITUTE(TRIM(A2933&amp;""),CHAR(160),"")," ",""),"년",""))=4,VALUE(SUBSTITUTE(SUBSTITUTE(SUBSTITUTE(TRIM(A2933&amp;""),CHAR(160),"")," ",""),"년",""))&gt;=1900,VALUE(SUBSTITUTE(SUBSTITUTE(SUBSTITUTE(TRIM(A2933&amp;""),CHAR(160),"")," ",""),"년",""))&lt;=2099,TEXT(VALUE(SUBSTITUTE(SUBSTITUTE(SUBSTITUTE(TRIM(A2933&amp;""),CHAR(160),"")," ",""),"년","")),"0000")=SUBSTITUTE(SUBSTITUTE(SUBSTITUTE(TRIM(A2933&amp;""),CHAR(160),"")," ",""),"년","")),SUBSTITUTE(SUBSTITUTE(SUBSTITUTE(TRIM(A2933&amp;""),CHAR(160),"")," ",""),"년",""),""),"")</f>
      </c>
      <c r="I2933" t="str">
        <f>SUBSTITUTE(SUBSTITUTE(SUBSTITUTE(SUBSTITUTE(SUBSTITUTE(TRIM(B2933&amp;""),CHAR(160),"")," ",""),"초등학교","초"),"중학교","중"),"고등학교","고")</f>
      </c>
    </row>
    <row r="2934" customFormat="false" ht="15" hidden="false" customHeight="false" outlineLevel="0" collapsed="false">
      <c r="A2934" s="8"/>
      <c r="B2934" s="8"/>
      <c r="C2934" s="8"/>
      <c r="D2934" s="8"/>
      <c r="E2934" s="8"/>
      <c r="F2934" t="str" s="15">
        <f aca="0">IF(B2934="","",IF(H2934="","확인필요(입력누락)",IF(SUMPRODUCT((실물목록!$P$2:$P$1001&lt;&gt;"")*ISNUMBER(SEARCH(실물목록!$P$2:$P$1001,I2934))*(실물목록!$Q$2:$Q$1001&lt;&gt;"")*ISNUMBER(SEARCH(실물목록!$Q$2:$Q$1001,I2934))*(실물목록!$R$2:$R$1001="")*(실물목록!$O$2:$O$1001&lt;&gt;"")*(실물목록!$O$2:$O$1001=H2934))&gt;0,"실물 있음",IF(SUMPRODUCT((실물목록!$P$2:$P$1001&lt;&gt;"")*ISNUMBER(SEARCH(실물목록!$P$2:$P$1001,I2934))*(실물목록!$R$2:$R$1001&lt;&gt;""))&gt;0,"확인필요(입력누락)",IF(SUMPRODUCT((실물목록!$P$2:$P$1001&lt;&gt;"")*ISNUMBER(SEARCH(실물목록!$P$2:$P$1001,I2934))*(실물목록!$Q$2:$Q$1001&lt;&gt;"")*ISNUMBER(SEARCH(실물목록!$Q$2:$Q$1001,I2934))*(실물목록!$R$2:$R$1001="")*(실물목록!$O$2:$O$1001&lt;&gt;""))&gt;0,"확인필요(연도다름)","실물 없음")))))</f>
      </c>
      <c r="G2934" t="n" s="16">
        <f aca="0">IF(B2934="","",SUMPRODUCT((실물목록!$P$2:$P$1001&lt;&gt;"")*ISNUMBER(SEARCH(실물목록!$P$2:$P$1001,I2934))*(실물목록!$Q$2:$Q$1001&lt;&gt;"")*ISNUMBER(SEARCH(실물목록!$Q$2:$Q$1001,I2934))*(실물목록!$R$2:$R$1001="")*(실물목록!$O$2:$O$1001&lt;&gt;"")*(실물목록!$O$2:$O$1001=H2934)))</f>
      </c>
      <c r="H2934" t="str">
        <f>IFERROR(IF(AND(LEN(SUBSTITUTE(SUBSTITUTE(SUBSTITUTE(TRIM(A2934&amp;""),CHAR(160),"")," ",""),"년",""))=4,VALUE(SUBSTITUTE(SUBSTITUTE(SUBSTITUTE(TRIM(A2934&amp;""),CHAR(160),"")," ",""),"년",""))&gt;=1900,VALUE(SUBSTITUTE(SUBSTITUTE(SUBSTITUTE(TRIM(A2934&amp;""),CHAR(160),"")," ",""),"년",""))&lt;=2099,TEXT(VALUE(SUBSTITUTE(SUBSTITUTE(SUBSTITUTE(TRIM(A2934&amp;""),CHAR(160),"")," ",""),"년","")),"0000")=SUBSTITUTE(SUBSTITUTE(SUBSTITUTE(TRIM(A2934&amp;""),CHAR(160),"")," ",""),"년","")),SUBSTITUTE(SUBSTITUTE(SUBSTITUTE(TRIM(A2934&amp;""),CHAR(160),"")," ",""),"년",""),""),"")</f>
      </c>
      <c r="I2934" t="str">
        <f>SUBSTITUTE(SUBSTITUTE(SUBSTITUTE(SUBSTITUTE(SUBSTITUTE(TRIM(B2934&amp;""),CHAR(160),"")," ",""),"초등학교","초"),"중학교","중"),"고등학교","고")</f>
      </c>
    </row>
    <row r="2935" customFormat="false" ht="15" hidden="false" customHeight="false" outlineLevel="0" collapsed="false">
      <c r="A2935" s="8"/>
      <c r="B2935" s="8"/>
      <c r="C2935" s="8"/>
      <c r="D2935" s="8"/>
      <c r="E2935" s="8"/>
      <c r="F2935" t="str" s="15">
        <f aca="0">IF(B2935="","",IF(H2935="","확인필요(입력누락)",IF(SUMPRODUCT((실물목록!$P$2:$P$1001&lt;&gt;"")*ISNUMBER(SEARCH(실물목록!$P$2:$P$1001,I2935))*(실물목록!$Q$2:$Q$1001&lt;&gt;"")*ISNUMBER(SEARCH(실물목록!$Q$2:$Q$1001,I2935))*(실물목록!$R$2:$R$1001="")*(실물목록!$O$2:$O$1001&lt;&gt;"")*(실물목록!$O$2:$O$1001=H2935))&gt;0,"실물 있음",IF(SUMPRODUCT((실물목록!$P$2:$P$1001&lt;&gt;"")*ISNUMBER(SEARCH(실물목록!$P$2:$P$1001,I2935))*(실물목록!$R$2:$R$1001&lt;&gt;""))&gt;0,"확인필요(입력누락)",IF(SUMPRODUCT((실물목록!$P$2:$P$1001&lt;&gt;"")*ISNUMBER(SEARCH(실물목록!$P$2:$P$1001,I2935))*(실물목록!$Q$2:$Q$1001&lt;&gt;"")*ISNUMBER(SEARCH(실물목록!$Q$2:$Q$1001,I2935))*(실물목록!$R$2:$R$1001="")*(실물목록!$O$2:$O$1001&lt;&gt;""))&gt;0,"확인필요(연도다름)","실물 없음")))))</f>
      </c>
      <c r="G2935" t="n" s="16">
        <f aca="0">IF(B2935="","",SUMPRODUCT((실물목록!$P$2:$P$1001&lt;&gt;"")*ISNUMBER(SEARCH(실물목록!$P$2:$P$1001,I2935))*(실물목록!$Q$2:$Q$1001&lt;&gt;"")*ISNUMBER(SEARCH(실물목록!$Q$2:$Q$1001,I2935))*(실물목록!$R$2:$R$1001="")*(실물목록!$O$2:$O$1001&lt;&gt;"")*(실물목록!$O$2:$O$1001=H2935)))</f>
      </c>
      <c r="H2935" t="str">
        <f>IFERROR(IF(AND(LEN(SUBSTITUTE(SUBSTITUTE(SUBSTITUTE(TRIM(A2935&amp;""),CHAR(160),"")," ",""),"년",""))=4,VALUE(SUBSTITUTE(SUBSTITUTE(SUBSTITUTE(TRIM(A2935&amp;""),CHAR(160),"")," ",""),"년",""))&gt;=1900,VALUE(SUBSTITUTE(SUBSTITUTE(SUBSTITUTE(TRIM(A2935&amp;""),CHAR(160),"")," ",""),"년",""))&lt;=2099,TEXT(VALUE(SUBSTITUTE(SUBSTITUTE(SUBSTITUTE(TRIM(A2935&amp;""),CHAR(160),"")," ",""),"년","")),"0000")=SUBSTITUTE(SUBSTITUTE(SUBSTITUTE(TRIM(A2935&amp;""),CHAR(160),"")," ",""),"년","")),SUBSTITUTE(SUBSTITUTE(SUBSTITUTE(TRIM(A2935&amp;""),CHAR(160),"")," ",""),"년",""),""),"")</f>
      </c>
      <c r="I2935" t="str">
        <f>SUBSTITUTE(SUBSTITUTE(SUBSTITUTE(SUBSTITUTE(SUBSTITUTE(TRIM(B2935&amp;""),CHAR(160),"")," ",""),"초등학교","초"),"중학교","중"),"고등학교","고")</f>
      </c>
    </row>
    <row r="2936" customFormat="false" ht="15" hidden="false" customHeight="false" outlineLevel="0" collapsed="false">
      <c r="A2936" s="8"/>
      <c r="B2936" s="8"/>
      <c r="C2936" s="8"/>
      <c r="D2936" s="8"/>
      <c r="E2936" s="8"/>
      <c r="F2936" t="str" s="15">
        <f aca="0">IF(B2936="","",IF(H2936="","확인필요(입력누락)",IF(SUMPRODUCT((실물목록!$P$2:$P$1001&lt;&gt;"")*ISNUMBER(SEARCH(실물목록!$P$2:$P$1001,I2936))*(실물목록!$Q$2:$Q$1001&lt;&gt;"")*ISNUMBER(SEARCH(실물목록!$Q$2:$Q$1001,I2936))*(실물목록!$R$2:$R$1001="")*(실물목록!$O$2:$O$1001&lt;&gt;"")*(실물목록!$O$2:$O$1001=H2936))&gt;0,"실물 있음",IF(SUMPRODUCT((실물목록!$P$2:$P$1001&lt;&gt;"")*ISNUMBER(SEARCH(실물목록!$P$2:$P$1001,I2936))*(실물목록!$R$2:$R$1001&lt;&gt;""))&gt;0,"확인필요(입력누락)",IF(SUMPRODUCT((실물목록!$P$2:$P$1001&lt;&gt;"")*ISNUMBER(SEARCH(실물목록!$P$2:$P$1001,I2936))*(실물목록!$Q$2:$Q$1001&lt;&gt;"")*ISNUMBER(SEARCH(실물목록!$Q$2:$Q$1001,I2936))*(실물목록!$R$2:$R$1001="")*(실물목록!$O$2:$O$1001&lt;&gt;""))&gt;0,"확인필요(연도다름)","실물 없음")))))</f>
      </c>
      <c r="G2936" t="n" s="16">
        <f aca="0">IF(B2936="","",SUMPRODUCT((실물목록!$P$2:$P$1001&lt;&gt;"")*ISNUMBER(SEARCH(실물목록!$P$2:$P$1001,I2936))*(실물목록!$Q$2:$Q$1001&lt;&gt;"")*ISNUMBER(SEARCH(실물목록!$Q$2:$Q$1001,I2936))*(실물목록!$R$2:$R$1001="")*(실물목록!$O$2:$O$1001&lt;&gt;"")*(실물목록!$O$2:$O$1001=H2936)))</f>
      </c>
      <c r="H2936" t="str">
        <f>IFERROR(IF(AND(LEN(SUBSTITUTE(SUBSTITUTE(SUBSTITUTE(TRIM(A2936&amp;""),CHAR(160),"")," ",""),"년",""))=4,VALUE(SUBSTITUTE(SUBSTITUTE(SUBSTITUTE(TRIM(A2936&amp;""),CHAR(160),"")," ",""),"년",""))&gt;=1900,VALUE(SUBSTITUTE(SUBSTITUTE(SUBSTITUTE(TRIM(A2936&amp;""),CHAR(160),"")," ",""),"년",""))&lt;=2099,TEXT(VALUE(SUBSTITUTE(SUBSTITUTE(SUBSTITUTE(TRIM(A2936&amp;""),CHAR(160),"")," ",""),"년","")),"0000")=SUBSTITUTE(SUBSTITUTE(SUBSTITUTE(TRIM(A2936&amp;""),CHAR(160),"")," ",""),"년","")),SUBSTITUTE(SUBSTITUTE(SUBSTITUTE(TRIM(A2936&amp;""),CHAR(160),"")," ",""),"년",""),""),"")</f>
      </c>
      <c r="I2936" t="str">
        <f>SUBSTITUTE(SUBSTITUTE(SUBSTITUTE(SUBSTITUTE(SUBSTITUTE(TRIM(B2936&amp;""),CHAR(160),"")," ",""),"초등학교","초"),"중학교","중"),"고등학교","고")</f>
      </c>
    </row>
    <row r="2937" customFormat="false" ht="15" hidden="false" customHeight="false" outlineLevel="0" collapsed="false">
      <c r="A2937" s="8"/>
      <c r="B2937" s="8"/>
      <c r="C2937" s="8"/>
      <c r="D2937" s="8"/>
      <c r="E2937" s="8"/>
      <c r="F2937" t="str" s="15">
        <f aca="0">IF(B2937="","",IF(H2937="","확인필요(입력누락)",IF(SUMPRODUCT((실물목록!$P$2:$P$1001&lt;&gt;"")*ISNUMBER(SEARCH(실물목록!$P$2:$P$1001,I2937))*(실물목록!$Q$2:$Q$1001&lt;&gt;"")*ISNUMBER(SEARCH(실물목록!$Q$2:$Q$1001,I2937))*(실물목록!$R$2:$R$1001="")*(실물목록!$O$2:$O$1001&lt;&gt;"")*(실물목록!$O$2:$O$1001=H2937))&gt;0,"실물 있음",IF(SUMPRODUCT((실물목록!$P$2:$P$1001&lt;&gt;"")*ISNUMBER(SEARCH(실물목록!$P$2:$P$1001,I2937))*(실물목록!$R$2:$R$1001&lt;&gt;""))&gt;0,"확인필요(입력누락)",IF(SUMPRODUCT((실물목록!$P$2:$P$1001&lt;&gt;"")*ISNUMBER(SEARCH(실물목록!$P$2:$P$1001,I2937))*(실물목록!$Q$2:$Q$1001&lt;&gt;"")*ISNUMBER(SEARCH(실물목록!$Q$2:$Q$1001,I2937))*(실물목록!$R$2:$R$1001="")*(실물목록!$O$2:$O$1001&lt;&gt;""))&gt;0,"확인필요(연도다름)","실물 없음")))))</f>
      </c>
      <c r="G2937" t="n" s="16">
        <f aca="0">IF(B2937="","",SUMPRODUCT((실물목록!$P$2:$P$1001&lt;&gt;"")*ISNUMBER(SEARCH(실물목록!$P$2:$P$1001,I2937))*(실물목록!$Q$2:$Q$1001&lt;&gt;"")*ISNUMBER(SEARCH(실물목록!$Q$2:$Q$1001,I2937))*(실물목록!$R$2:$R$1001="")*(실물목록!$O$2:$O$1001&lt;&gt;"")*(실물목록!$O$2:$O$1001=H2937)))</f>
      </c>
      <c r="H2937" t="str">
        <f>IFERROR(IF(AND(LEN(SUBSTITUTE(SUBSTITUTE(SUBSTITUTE(TRIM(A2937&amp;""),CHAR(160),"")," ",""),"년",""))=4,VALUE(SUBSTITUTE(SUBSTITUTE(SUBSTITUTE(TRIM(A2937&amp;""),CHAR(160),"")," ",""),"년",""))&gt;=1900,VALUE(SUBSTITUTE(SUBSTITUTE(SUBSTITUTE(TRIM(A2937&amp;""),CHAR(160),"")," ",""),"년",""))&lt;=2099,TEXT(VALUE(SUBSTITUTE(SUBSTITUTE(SUBSTITUTE(TRIM(A2937&amp;""),CHAR(160),"")," ",""),"년","")),"0000")=SUBSTITUTE(SUBSTITUTE(SUBSTITUTE(TRIM(A2937&amp;""),CHAR(160),"")," ",""),"년","")),SUBSTITUTE(SUBSTITUTE(SUBSTITUTE(TRIM(A2937&amp;""),CHAR(160),"")," ",""),"년",""),""),"")</f>
      </c>
      <c r="I2937" t="str">
        <f>SUBSTITUTE(SUBSTITUTE(SUBSTITUTE(SUBSTITUTE(SUBSTITUTE(TRIM(B2937&amp;""),CHAR(160),"")," ",""),"초등학교","초"),"중학교","중"),"고등학교","고")</f>
      </c>
    </row>
    <row r="2938" customFormat="false" ht="15" hidden="false" customHeight="false" outlineLevel="0" collapsed="false">
      <c r="A2938" s="8"/>
      <c r="B2938" s="8"/>
      <c r="C2938" s="8"/>
      <c r="D2938" s="8"/>
      <c r="E2938" s="8"/>
      <c r="F2938" t="str" s="15">
        <f aca="0">IF(B2938="","",IF(H2938="","확인필요(입력누락)",IF(SUMPRODUCT((실물목록!$P$2:$P$1001&lt;&gt;"")*ISNUMBER(SEARCH(실물목록!$P$2:$P$1001,I2938))*(실물목록!$Q$2:$Q$1001&lt;&gt;"")*ISNUMBER(SEARCH(실물목록!$Q$2:$Q$1001,I2938))*(실물목록!$R$2:$R$1001="")*(실물목록!$O$2:$O$1001&lt;&gt;"")*(실물목록!$O$2:$O$1001=H2938))&gt;0,"실물 있음",IF(SUMPRODUCT((실물목록!$P$2:$P$1001&lt;&gt;"")*ISNUMBER(SEARCH(실물목록!$P$2:$P$1001,I2938))*(실물목록!$R$2:$R$1001&lt;&gt;""))&gt;0,"확인필요(입력누락)",IF(SUMPRODUCT((실물목록!$P$2:$P$1001&lt;&gt;"")*ISNUMBER(SEARCH(실물목록!$P$2:$P$1001,I2938))*(실물목록!$Q$2:$Q$1001&lt;&gt;"")*ISNUMBER(SEARCH(실물목록!$Q$2:$Q$1001,I2938))*(실물목록!$R$2:$R$1001="")*(실물목록!$O$2:$O$1001&lt;&gt;""))&gt;0,"확인필요(연도다름)","실물 없음")))))</f>
      </c>
      <c r="G2938" t="n" s="16">
        <f aca="0">IF(B2938="","",SUMPRODUCT((실물목록!$P$2:$P$1001&lt;&gt;"")*ISNUMBER(SEARCH(실물목록!$P$2:$P$1001,I2938))*(실물목록!$Q$2:$Q$1001&lt;&gt;"")*ISNUMBER(SEARCH(실물목록!$Q$2:$Q$1001,I2938))*(실물목록!$R$2:$R$1001="")*(실물목록!$O$2:$O$1001&lt;&gt;"")*(실물목록!$O$2:$O$1001=H2938)))</f>
      </c>
      <c r="H2938" t="str">
        <f>IFERROR(IF(AND(LEN(SUBSTITUTE(SUBSTITUTE(SUBSTITUTE(TRIM(A2938&amp;""),CHAR(160),"")," ",""),"년",""))=4,VALUE(SUBSTITUTE(SUBSTITUTE(SUBSTITUTE(TRIM(A2938&amp;""),CHAR(160),"")," ",""),"년",""))&gt;=1900,VALUE(SUBSTITUTE(SUBSTITUTE(SUBSTITUTE(TRIM(A2938&amp;""),CHAR(160),"")," ",""),"년",""))&lt;=2099,TEXT(VALUE(SUBSTITUTE(SUBSTITUTE(SUBSTITUTE(TRIM(A2938&amp;""),CHAR(160),"")," ",""),"년","")),"0000")=SUBSTITUTE(SUBSTITUTE(SUBSTITUTE(TRIM(A2938&amp;""),CHAR(160),"")," ",""),"년","")),SUBSTITUTE(SUBSTITUTE(SUBSTITUTE(TRIM(A2938&amp;""),CHAR(160),"")," ",""),"년",""),""),"")</f>
      </c>
      <c r="I2938" t="str">
        <f>SUBSTITUTE(SUBSTITUTE(SUBSTITUTE(SUBSTITUTE(SUBSTITUTE(TRIM(B2938&amp;""),CHAR(160),"")," ",""),"초등학교","초"),"중학교","중"),"고등학교","고")</f>
      </c>
    </row>
    <row r="2939" customFormat="false" ht="15" hidden="false" customHeight="false" outlineLevel="0" collapsed="false">
      <c r="A2939" s="8"/>
      <c r="B2939" s="8"/>
      <c r="C2939" s="8"/>
      <c r="D2939" s="8"/>
      <c r="E2939" s="8"/>
      <c r="F2939" t="str" s="15">
        <f aca="0">IF(B2939="","",IF(H2939="","확인필요(입력누락)",IF(SUMPRODUCT((실물목록!$P$2:$P$1001&lt;&gt;"")*ISNUMBER(SEARCH(실물목록!$P$2:$P$1001,I2939))*(실물목록!$Q$2:$Q$1001&lt;&gt;"")*ISNUMBER(SEARCH(실물목록!$Q$2:$Q$1001,I2939))*(실물목록!$R$2:$R$1001="")*(실물목록!$O$2:$O$1001&lt;&gt;"")*(실물목록!$O$2:$O$1001=H2939))&gt;0,"실물 있음",IF(SUMPRODUCT((실물목록!$P$2:$P$1001&lt;&gt;"")*ISNUMBER(SEARCH(실물목록!$P$2:$P$1001,I2939))*(실물목록!$R$2:$R$1001&lt;&gt;""))&gt;0,"확인필요(입력누락)",IF(SUMPRODUCT((실물목록!$P$2:$P$1001&lt;&gt;"")*ISNUMBER(SEARCH(실물목록!$P$2:$P$1001,I2939))*(실물목록!$Q$2:$Q$1001&lt;&gt;"")*ISNUMBER(SEARCH(실물목록!$Q$2:$Q$1001,I2939))*(실물목록!$R$2:$R$1001="")*(실물목록!$O$2:$O$1001&lt;&gt;""))&gt;0,"확인필요(연도다름)","실물 없음")))))</f>
      </c>
      <c r="G2939" t="n" s="16">
        <f aca="0">IF(B2939="","",SUMPRODUCT((실물목록!$P$2:$P$1001&lt;&gt;"")*ISNUMBER(SEARCH(실물목록!$P$2:$P$1001,I2939))*(실물목록!$Q$2:$Q$1001&lt;&gt;"")*ISNUMBER(SEARCH(실물목록!$Q$2:$Q$1001,I2939))*(실물목록!$R$2:$R$1001="")*(실물목록!$O$2:$O$1001&lt;&gt;"")*(실물목록!$O$2:$O$1001=H2939)))</f>
      </c>
      <c r="H2939" t="str">
        <f>IFERROR(IF(AND(LEN(SUBSTITUTE(SUBSTITUTE(SUBSTITUTE(TRIM(A2939&amp;""),CHAR(160),"")," ",""),"년",""))=4,VALUE(SUBSTITUTE(SUBSTITUTE(SUBSTITUTE(TRIM(A2939&amp;""),CHAR(160),"")," ",""),"년",""))&gt;=1900,VALUE(SUBSTITUTE(SUBSTITUTE(SUBSTITUTE(TRIM(A2939&amp;""),CHAR(160),"")," ",""),"년",""))&lt;=2099,TEXT(VALUE(SUBSTITUTE(SUBSTITUTE(SUBSTITUTE(TRIM(A2939&amp;""),CHAR(160),"")," ",""),"년","")),"0000")=SUBSTITUTE(SUBSTITUTE(SUBSTITUTE(TRIM(A2939&amp;""),CHAR(160),"")," ",""),"년","")),SUBSTITUTE(SUBSTITUTE(SUBSTITUTE(TRIM(A2939&amp;""),CHAR(160),"")," ",""),"년",""),""),"")</f>
      </c>
      <c r="I2939" t="str">
        <f>SUBSTITUTE(SUBSTITUTE(SUBSTITUTE(SUBSTITUTE(SUBSTITUTE(TRIM(B2939&amp;""),CHAR(160),"")," ",""),"초등학교","초"),"중학교","중"),"고등학교","고")</f>
      </c>
    </row>
    <row r="2940" customFormat="false" ht="15" hidden="false" customHeight="false" outlineLevel="0" collapsed="false">
      <c r="A2940" s="8"/>
      <c r="B2940" s="8"/>
      <c r="C2940" s="8"/>
      <c r="D2940" s="8"/>
      <c r="E2940" s="8"/>
      <c r="F2940" t="str" s="15">
        <f aca="0">IF(B2940="","",IF(H2940="","확인필요(입력누락)",IF(SUMPRODUCT((실물목록!$P$2:$P$1001&lt;&gt;"")*ISNUMBER(SEARCH(실물목록!$P$2:$P$1001,I2940))*(실물목록!$Q$2:$Q$1001&lt;&gt;"")*ISNUMBER(SEARCH(실물목록!$Q$2:$Q$1001,I2940))*(실물목록!$R$2:$R$1001="")*(실물목록!$O$2:$O$1001&lt;&gt;"")*(실물목록!$O$2:$O$1001=H2940))&gt;0,"실물 있음",IF(SUMPRODUCT((실물목록!$P$2:$P$1001&lt;&gt;"")*ISNUMBER(SEARCH(실물목록!$P$2:$P$1001,I2940))*(실물목록!$R$2:$R$1001&lt;&gt;""))&gt;0,"확인필요(입력누락)",IF(SUMPRODUCT((실물목록!$P$2:$P$1001&lt;&gt;"")*ISNUMBER(SEARCH(실물목록!$P$2:$P$1001,I2940))*(실물목록!$Q$2:$Q$1001&lt;&gt;"")*ISNUMBER(SEARCH(실물목록!$Q$2:$Q$1001,I2940))*(실물목록!$R$2:$R$1001="")*(실물목록!$O$2:$O$1001&lt;&gt;""))&gt;0,"확인필요(연도다름)","실물 없음")))))</f>
      </c>
      <c r="G2940" t="n" s="16">
        <f aca="0">IF(B2940="","",SUMPRODUCT((실물목록!$P$2:$P$1001&lt;&gt;"")*ISNUMBER(SEARCH(실물목록!$P$2:$P$1001,I2940))*(실물목록!$Q$2:$Q$1001&lt;&gt;"")*ISNUMBER(SEARCH(실물목록!$Q$2:$Q$1001,I2940))*(실물목록!$R$2:$R$1001="")*(실물목록!$O$2:$O$1001&lt;&gt;"")*(실물목록!$O$2:$O$1001=H2940)))</f>
      </c>
      <c r="H2940" t="str">
        <f>IFERROR(IF(AND(LEN(SUBSTITUTE(SUBSTITUTE(SUBSTITUTE(TRIM(A2940&amp;""),CHAR(160),"")," ",""),"년",""))=4,VALUE(SUBSTITUTE(SUBSTITUTE(SUBSTITUTE(TRIM(A2940&amp;""),CHAR(160),"")," ",""),"년",""))&gt;=1900,VALUE(SUBSTITUTE(SUBSTITUTE(SUBSTITUTE(TRIM(A2940&amp;""),CHAR(160),"")," ",""),"년",""))&lt;=2099,TEXT(VALUE(SUBSTITUTE(SUBSTITUTE(SUBSTITUTE(TRIM(A2940&amp;""),CHAR(160),"")," ",""),"년","")),"0000")=SUBSTITUTE(SUBSTITUTE(SUBSTITUTE(TRIM(A2940&amp;""),CHAR(160),"")," ",""),"년","")),SUBSTITUTE(SUBSTITUTE(SUBSTITUTE(TRIM(A2940&amp;""),CHAR(160),"")," ",""),"년",""),""),"")</f>
      </c>
      <c r="I2940" t="str">
        <f>SUBSTITUTE(SUBSTITUTE(SUBSTITUTE(SUBSTITUTE(SUBSTITUTE(TRIM(B2940&amp;""),CHAR(160),"")," ",""),"초등학교","초"),"중학교","중"),"고등학교","고")</f>
      </c>
    </row>
    <row r="2941" customFormat="false" ht="15" hidden="false" customHeight="false" outlineLevel="0" collapsed="false">
      <c r="A2941" s="8"/>
      <c r="B2941" s="8"/>
      <c r="C2941" s="8"/>
      <c r="D2941" s="8"/>
      <c r="E2941" s="8"/>
      <c r="F2941" t="str" s="15">
        <f aca="0">IF(B2941="","",IF(H2941="","확인필요(입력누락)",IF(SUMPRODUCT((실물목록!$P$2:$P$1001&lt;&gt;"")*ISNUMBER(SEARCH(실물목록!$P$2:$P$1001,I2941))*(실물목록!$Q$2:$Q$1001&lt;&gt;"")*ISNUMBER(SEARCH(실물목록!$Q$2:$Q$1001,I2941))*(실물목록!$R$2:$R$1001="")*(실물목록!$O$2:$O$1001&lt;&gt;"")*(실물목록!$O$2:$O$1001=H2941))&gt;0,"실물 있음",IF(SUMPRODUCT((실물목록!$P$2:$P$1001&lt;&gt;"")*ISNUMBER(SEARCH(실물목록!$P$2:$P$1001,I2941))*(실물목록!$R$2:$R$1001&lt;&gt;""))&gt;0,"확인필요(입력누락)",IF(SUMPRODUCT((실물목록!$P$2:$P$1001&lt;&gt;"")*ISNUMBER(SEARCH(실물목록!$P$2:$P$1001,I2941))*(실물목록!$Q$2:$Q$1001&lt;&gt;"")*ISNUMBER(SEARCH(실물목록!$Q$2:$Q$1001,I2941))*(실물목록!$R$2:$R$1001="")*(실물목록!$O$2:$O$1001&lt;&gt;""))&gt;0,"확인필요(연도다름)","실물 없음")))))</f>
      </c>
      <c r="G2941" t="n" s="16">
        <f aca="0">IF(B2941="","",SUMPRODUCT((실물목록!$P$2:$P$1001&lt;&gt;"")*ISNUMBER(SEARCH(실물목록!$P$2:$P$1001,I2941))*(실물목록!$Q$2:$Q$1001&lt;&gt;"")*ISNUMBER(SEARCH(실물목록!$Q$2:$Q$1001,I2941))*(실물목록!$R$2:$R$1001="")*(실물목록!$O$2:$O$1001&lt;&gt;"")*(실물목록!$O$2:$O$1001=H2941)))</f>
      </c>
      <c r="H2941" t="str">
        <f>IFERROR(IF(AND(LEN(SUBSTITUTE(SUBSTITUTE(SUBSTITUTE(TRIM(A2941&amp;""),CHAR(160),"")," ",""),"년",""))=4,VALUE(SUBSTITUTE(SUBSTITUTE(SUBSTITUTE(TRIM(A2941&amp;""),CHAR(160),"")," ",""),"년",""))&gt;=1900,VALUE(SUBSTITUTE(SUBSTITUTE(SUBSTITUTE(TRIM(A2941&amp;""),CHAR(160),"")," ",""),"년",""))&lt;=2099,TEXT(VALUE(SUBSTITUTE(SUBSTITUTE(SUBSTITUTE(TRIM(A2941&amp;""),CHAR(160),"")," ",""),"년","")),"0000")=SUBSTITUTE(SUBSTITUTE(SUBSTITUTE(TRIM(A2941&amp;""),CHAR(160),"")," ",""),"년","")),SUBSTITUTE(SUBSTITUTE(SUBSTITUTE(TRIM(A2941&amp;""),CHAR(160),"")," ",""),"년",""),""),"")</f>
      </c>
      <c r="I2941" t="str">
        <f>SUBSTITUTE(SUBSTITUTE(SUBSTITUTE(SUBSTITUTE(SUBSTITUTE(TRIM(B2941&amp;""),CHAR(160),"")," ",""),"초등학교","초"),"중학교","중"),"고등학교","고")</f>
      </c>
    </row>
    <row r="2942" customFormat="false" ht="15" hidden="false" customHeight="false" outlineLevel="0" collapsed="false">
      <c r="A2942" s="8"/>
      <c r="B2942" s="8"/>
      <c r="C2942" s="8"/>
      <c r="D2942" s="8"/>
      <c r="E2942" s="8"/>
      <c r="F2942" t="str" s="15">
        <f aca="0">IF(B2942="","",IF(H2942="","확인필요(입력누락)",IF(SUMPRODUCT((실물목록!$P$2:$P$1001&lt;&gt;"")*ISNUMBER(SEARCH(실물목록!$P$2:$P$1001,I2942))*(실물목록!$Q$2:$Q$1001&lt;&gt;"")*ISNUMBER(SEARCH(실물목록!$Q$2:$Q$1001,I2942))*(실물목록!$R$2:$R$1001="")*(실물목록!$O$2:$O$1001&lt;&gt;"")*(실물목록!$O$2:$O$1001=H2942))&gt;0,"실물 있음",IF(SUMPRODUCT((실물목록!$P$2:$P$1001&lt;&gt;"")*ISNUMBER(SEARCH(실물목록!$P$2:$P$1001,I2942))*(실물목록!$R$2:$R$1001&lt;&gt;""))&gt;0,"확인필요(입력누락)",IF(SUMPRODUCT((실물목록!$P$2:$P$1001&lt;&gt;"")*ISNUMBER(SEARCH(실물목록!$P$2:$P$1001,I2942))*(실물목록!$Q$2:$Q$1001&lt;&gt;"")*ISNUMBER(SEARCH(실물목록!$Q$2:$Q$1001,I2942))*(실물목록!$R$2:$R$1001="")*(실물목록!$O$2:$O$1001&lt;&gt;""))&gt;0,"확인필요(연도다름)","실물 없음")))))</f>
      </c>
      <c r="G2942" t="n" s="16">
        <f aca="0">IF(B2942="","",SUMPRODUCT((실물목록!$P$2:$P$1001&lt;&gt;"")*ISNUMBER(SEARCH(실물목록!$P$2:$P$1001,I2942))*(실물목록!$Q$2:$Q$1001&lt;&gt;"")*ISNUMBER(SEARCH(실물목록!$Q$2:$Q$1001,I2942))*(실물목록!$R$2:$R$1001="")*(실물목록!$O$2:$O$1001&lt;&gt;"")*(실물목록!$O$2:$O$1001=H2942)))</f>
      </c>
      <c r="H2942" t="str">
        <f>IFERROR(IF(AND(LEN(SUBSTITUTE(SUBSTITUTE(SUBSTITUTE(TRIM(A2942&amp;""),CHAR(160),"")," ",""),"년",""))=4,VALUE(SUBSTITUTE(SUBSTITUTE(SUBSTITUTE(TRIM(A2942&amp;""),CHAR(160),"")," ",""),"년",""))&gt;=1900,VALUE(SUBSTITUTE(SUBSTITUTE(SUBSTITUTE(TRIM(A2942&amp;""),CHAR(160),"")," ",""),"년",""))&lt;=2099,TEXT(VALUE(SUBSTITUTE(SUBSTITUTE(SUBSTITUTE(TRIM(A2942&amp;""),CHAR(160),"")," ",""),"년","")),"0000")=SUBSTITUTE(SUBSTITUTE(SUBSTITUTE(TRIM(A2942&amp;""),CHAR(160),"")," ",""),"년","")),SUBSTITUTE(SUBSTITUTE(SUBSTITUTE(TRIM(A2942&amp;""),CHAR(160),"")," ",""),"년",""),""),"")</f>
      </c>
      <c r="I2942" t="str">
        <f>SUBSTITUTE(SUBSTITUTE(SUBSTITUTE(SUBSTITUTE(SUBSTITUTE(TRIM(B2942&amp;""),CHAR(160),"")," ",""),"초등학교","초"),"중학교","중"),"고등학교","고")</f>
      </c>
    </row>
    <row r="2943" customFormat="false" ht="15" hidden="false" customHeight="false" outlineLevel="0" collapsed="false">
      <c r="A2943" s="8"/>
      <c r="B2943" s="8"/>
      <c r="C2943" s="8"/>
      <c r="D2943" s="8"/>
      <c r="E2943" s="8"/>
      <c r="F2943" t="str" s="15">
        <f aca="0">IF(B2943="","",IF(H2943="","확인필요(입력누락)",IF(SUMPRODUCT((실물목록!$P$2:$P$1001&lt;&gt;"")*ISNUMBER(SEARCH(실물목록!$P$2:$P$1001,I2943))*(실물목록!$Q$2:$Q$1001&lt;&gt;"")*ISNUMBER(SEARCH(실물목록!$Q$2:$Q$1001,I2943))*(실물목록!$R$2:$R$1001="")*(실물목록!$O$2:$O$1001&lt;&gt;"")*(실물목록!$O$2:$O$1001=H2943))&gt;0,"실물 있음",IF(SUMPRODUCT((실물목록!$P$2:$P$1001&lt;&gt;"")*ISNUMBER(SEARCH(실물목록!$P$2:$P$1001,I2943))*(실물목록!$R$2:$R$1001&lt;&gt;""))&gt;0,"확인필요(입력누락)",IF(SUMPRODUCT((실물목록!$P$2:$P$1001&lt;&gt;"")*ISNUMBER(SEARCH(실물목록!$P$2:$P$1001,I2943))*(실물목록!$Q$2:$Q$1001&lt;&gt;"")*ISNUMBER(SEARCH(실물목록!$Q$2:$Q$1001,I2943))*(실물목록!$R$2:$R$1001="")*(실물목록!$O$2:$O$1001&lt;&gt;""))&gt;0,"확인필요(연도다름)","실물 없음")))))</f>
      </c>
      <c r="G2943" t="n" s="16">
        <f aca="0">IF(B2943="","",SUMPRODUCT((실물목록!$P$2:$P$1001&lt;&gt;"")*ISNUMBER(SEARCH(실물목록!$P$2:$P$1001,I2943))*(실물목록!$Q$2:$Q$1001&lt;&gt;"")*ISNUMBER(SEARCH(실물목록!$Q$2:$Q$1001,I2943))*(실물목록!$R$2:$R$1001="")*(실물목록!$O$2:$O$1001&lt;&gt;"")*(실물목록!$O$2:$O$1001=H2943)))</f>
      </c>
      <c r="H2943" t="str">
        <f>IFERROR(IF(AND(LEN(SUBSTITUTE(SUBSTITUTE(SUBSTITUTE(TRIM(A2943&amp;""),CHAR(160),"")," ",""),"년",""))=4,VALUE(SUBSTITUTE(SUBSTITUTE(SUBSTITUTE(TRIM(A2943&amp;""),CHAR(160),"")," ",""),"년",""))&gt;=1900,VALUE(SUBSTITUTE(SUBSTITUTE(SUBSTITUTE(TRIM(A2943&amp;""),CHAR(160),"")," ",""),"년",""))&lt;=2099,TEXT(VALUE(SUBSTITUTE(SUBSTITUTE(SUBSTITUTE(TRIM(A2943&amp;""),CHAR(160),"")," ",""),"년","")),"0000")=SUBSTITUTE(SUBSTITUTE(SUBSTITUTE(TRIM(A2943&amp;""),CHAR(160),"")," ",""),"년","")),SUBSTITUTE(SUBSTITUTE(SUBSTITUTE(TRIM(A2943&amp;""),CHAR(160),"")," ",""),"년",""),""),"")</f>
      </c>
      <c r="I2943" t="str">
        <f>SUBSTITUTE(SUBSTITUTE(SUBSTITUTE(SUBSTITUTE(SUBSTITUTE(TRIM(B2943&amp;""),CHAR(160),"")," ",""),"초등학교","초"),"중학교","중"),"고등학교","고")</f>
      </c>
    </row>
    <row r="2944" customFormat="false" ht="15" hidden="false" customHeight="false" outlineLevel="0" collapsed="false">
      <c r="A2944" s="8"/>
      <c r="B2944" s="8"/>
      <c r="C2944" s="8"/>
      <c r="D2944" s="8"/>
      <c r="E2944" s="8"/>
      <c r="F2944" t="str" s="15">
        <f aca="0">IF(B2944="","",IF(H2944="","확인필요(입력누락)",IF(SUMPRODUCT((실물목록!$P$2:$P$1001&lt;&gt;"")*ISNUMBER(SEARCH(실물목록!$P$2:$P$1001,I2944))*(실물목록!$Q$2:$Q$1001&lt;&gt;"")*ISNUMBER(SEARCH(실물목록!$Q$2:$Q$1001,I2944))*(실물목록!$R$2:$R$1001="")*(실물목록!$O$2:$O$1001&lt;&gt;"")*(실물목록!$O$2:$O$1001=H2944))&gt;0,"실물 있음",IF(SUMPRODUCT((실물목록!$P$2:$P$1001&lt;&gt;"")*ISNUMBER(SEARCH(실물목록!$P$2:$P$1001,I2944))*(실물목록!$R$2:$R$1001&lt;&gt;""))&gt;0,"확인필요(입력누락)",IF(SUMPRODUCT((실물목록!$P$2:$P$1001&lt;&gt;"")*ISNUMBER(SEARCH(실물목록!$P$2:$P$1001,I2944))*(실물목록!$Q$2:$Q$1001&lt;&gt;"")*ISNUMBER(SEARCH(실물목록!$Q$2:$Q$1001,I2944))*(실물목록!$R$2:$R$1001="")*(실물목록!$O$2:$O$1001&lt;&gt;""))&gt;0,"확인필요(연도다름)","실물 없음")))))</f>
      </c>
      <c r="G2944" t="n" s="16">
        <f aca="0">IF(B2944="","",SUMPRODUCT((실물목록!$P$2:$P$1001&lt;&gt;"")*ISNUMBER(SEARCH(실물목록!$P$2:$P$1001,I2944))*(실물목록!$Q$2:$Q$1001&lt;&gt;"")*ISNUMBER(SEARCH(실물목록!$Q$2:$Q$1001,I2944))*(실물목록!$R$2:$R$1001="")*(실물목록!$O$2:$O$1001&lt;&gt;"")*(실물목록!$O$2:$O$1001=H2944)))</f>
      </c>
      <c r="H2944" t="str">
        <f>IFERROR(IF(AND(LEN(SUBSTITUTE(SUBSTITUTE(SUBSTITUTE(TRIM(A2944&amp;""),CHAR(160),"")," ",""),"년",""))=4,VALUE(SUBSTITUTE(SUBSTITUTE(SUBSTITUTE(TRIM(A2944&amp;""),CHAR(160),"")," ",""),"년",""))&gt;=1900,VALUE(SUBSTITUTE(SUBSTITUTE(SUBSTITUTE(TRIM(A2944&amp;""),CHAR(160),"")," ",""),"년",""))&lt;=2099,TEXT(VALUE(SUBSTITUTE(SUBSTITUTE(SUBSTITUTE(TRIM(A2944&amp;""),CHAR(160),"")," ",""),"년","")),"0000")=SUBSTITUTE(SUBSTITUTE(SUBSTITUTE(TRIM(A2944&amp;""),CHAR(160),"")," ",""),"년","")),SUBSTITUTE(SUBSTITUTE(SUBSTITUTE(TRIM(A2944&amp;""),CHAR(160),"")," ",""),"년",""),""),"")</f>
      </c>
      <c r="I2944" t="str">
        <f>SUBSTITUTE(SUBSTITUTE(SUBSTITUTE(SUBSTITUTE(SUBSTITUTE(TRIM(B2944&amp;""),CHAR(160),"")," ",""),"초등학교","초"),"중학교","중"),"고등학교","고")</f>
      </c>
    </row>
    <row r="2945" customFormat="false" ht="15" hidden="false" customHeight="false" outlineLevel="0" collapsed="false">
      <c r="A2945" s="8"/>
      <c r="B2945" s="8"/>
      <c r="C2945" s="8"/>
      <c r="D2945" s="8"/>
      <c r="E2945" s="8"/>
      <c r="F2945" t="str" s="15">
        <f aca="0">IF(B2945="","",IF(H2945="","확인필요(입력누락)",IF(SUMPRODUCT((실물목록!$P$2:$P$1001&lt;&gt;"")*ISNUMBER(SEARCH(실물목록!$P$2:$P$1001,I2945))*(실물목록!$Q$2:$Q$1001&lt;&gt;"")*ISNUMBER(SEARCH(실물목록!$Q$2:$Q$1001,I2945))*(실물목록!$R$2:$R$1001="")*(실물목록!$O$2:$O$1001&lt;&gt;"")*(실물목록!$O$2:$O$1001=H2945))&gt;0,"실물 있음",IF(SUMPRODUCT((실물목록!$P$2:$P$1001&lt;&gt;"")*ISNUMBER(SEARCH(실물목록!$P$2:$P$1001,I2945))*(실물목록!$R$2:$R$1001&lt;&gt;""))&gt;0,"확인필요(입력누락)",IF(SUMPRODUCT((실물목록!$P$2:$P$1001&lt;&gt;"")*ISNUMBER(SEARCH(실물목록!$P$2:$P$1001,I2945))*(실물목록!$Q$2:$Q$1001&lt;&gt;"")*ISNUMBER(SEARCH(실물목록!$Q$2:$Q$1001,I2945))*(실물목록!$R$2:$R$1001="")*(실물목록!$O$2:$O$1001&lt;&gt;""))&gt;0,"확인필요(연도다름)","실물 없음")))))</f>
      </c>
      <c r="G2945" t="n" s="16">
        <f aca="0">IF(B2945="","",SUMPRODUCT((실물목록!$P$2:$P$1001&lt;&gt;"")*ISNUMBER(SEARCH(실물목록!$P$2:$P$1001,I2945))*(실물목록!$Q$2:$Q$1001&lt;&gt;"")*ISNUMBER(SEARCH(실물목록!$Q$2:$Q$1001,I2945))*(실물목록!$R$2:$R$1001="")*(실물목록!$O$2:$O$1001&lt;&gt;"")*(실물목록!$O$2:$O$1001=H2945)))</f>
      </c>
      <c r="H2945" t="str">
        <f>IFERROR(IF(AND(LEN(SUBSTITUTE(SUBSTITUTE(SUBSTITUTE(TRIM(A2945&amp;""),CHAR(160),"")," ",""),"년",""))=4,VALUE(SUBSTITUTE(SUBSTITUTE(SUBSTITUTE(TRIM(A2945&amp;""),CHAR(160),"")," ",""),"년",""))&gt;=1900,VALUE(SUBSTITUTE(SUBSTITUTE(SUBSTITUTE(TRIM(A2945&amp;""),CHAR(160),"")," ",""),"년",""))&lt;=2099,TEXT(VALUE(SUBSTITUTE(SUBSTITUTE(SUBSTITUTE(TRIM(A2945&amp;""),CHAR(160),"")," ",""),"년","")),"0000")=SUBSTITUTE(SUBSTITUTE(SUBSTITUTE(TRIM(A2945&amp;""),CHAR(160),"")," ",""),"년","")),SUBSTITUTE(SUBSTITUTE(SUBSTITUTE(TRIM(A2945&amp;""),CHAR(160),"")," ",""),"년",""),""),"")</f>
      </c>
      <c r="I2945" t="str">
        <f>SUBSTITUTE(SUBSTITUTE(SUBSTITUTE(SUBSTITUTE(SUBSTITUTE(TRIM(B2945&amp;""),CHAR(160),"")," ",""),"초등학교","초"),"중학교","중"),"고등학교","고")</f>
      </c>
    </row>
    <row r="2946" customFormat="false" ht="15" hidden="false" customHeight="false" outlineLevel="0" collapsed="false">
      <c r="A2946" s="8"/>
      <c r="B2946" s="8"/>
      <c r="C2946" s="8"/>
      <c r="D2946" s="8"/>
      <c r="E2946" s="8"/>
      <c r="F2946" t="str" s="15">
        <f aca="0">IF(B2946="","",IF(H2946="","확인필요(입력누락)",IF(SUMPRODUCT((실물목록!$P$2:$P$1001&lt;&gt;"")*ISNUMBER(SEARCH(실물목록!$P$2:$P$1001,I2946))*(실물목록!$Q$2:$Q$1001&lt;&gt;"")*ISNUMBER(SEARCH(실물목록!$Q$2:$Q$1001,I2946))*(실물목록!$R$2:$R$1001="")*(실물목록!$O$2:$O$1001&lt;&gt;"")*(실물목록!$O$2:$O$1001=H2946))&gt;0,"실물 있음",IF(SUMPRODUCT((실물목록!$P$2:$P$1001&lt;&gt;"")*ISNUMBER(SEARCH(실물목록!$P$2:$P$1001,I2946))*(실물목록!$R$2:$R$1001&lt;&gt;""))&gt;0,"확인필요(입력누락)",IF(SUMPRODUCT((실물목록!$P$2:$P$1001&lt;&gt;"")*ISNUMBER(SEARCH(실물목록!$P$2:$P$1001,I2946))*(실물목록!$Q$2:$Q$1001&lt;&gt;"")*ISNUMBER(SEARCH(실물목록!$Q$2:$Q$1001,I2946))*(실물목록!$R$2:$R$1001="")*(실물목록!$O$2:$O$1001&lt;&gt;""))&gt;0,"확인필요(연도다름)","실물 없음")))))</f>
      </c>
      <c r="G2946" t="n" s="16">
        <f aca="0">IF(B2946="","",SUMPRODUCT((실물목록!$P$2:$P$1001&lt;&gt;"")*ISNUMBER(SEARCH(실물목록!$P$2:$P$1001,I2946))*(실물목록!$Q$2:$Q$1001&lt;&gt;"")*ISNUMBER(SEARCH(실물목록!$Q$2:$Q$1001,I2946))*(실물목록!$R$2:$R$1001="")*(실물목록!$O$2:$O$1001&lt;&gt;"")*(실물목록!$O$2:$O$1001=H2946)))</f>
      </c>
      <c r="H2946" t="str">
        <f>IFERROR(IF(AND(LEN(SUBSTITUTE(SUBSTITUTE(SUBSTITUTE(TRIM(A2946&amp;""),CHAR(160),"")," ",""),"년",""))=4,VALUE(SUBSTITUTE(SUBSTITUTE(SUBSTITUTE(TRIM(A2946&amp;""),CHAR(160),"")," ",""),"년",""))&gt;=1900,VALUE(SUBSTITUTE(SUBSTITUTE(SUBSTITUTE(TRIM(A2946&amp;""),CHAR(160),"")," ",""),"년",""))&lt;=2099,TEXT(VALUE(SUBSTITUTE(SUBSTITUTE(SUBSTITUTE(TRIM(A2946&amp;""),CHAR(160),"")," ",""),"년","")),"0000")=SUBSTITUTE(SUBSTITUTE(SUBSTITUTE(TRIM(A2946&amp;""),CHAR(160),"")," ",""),"년","")),SUBSTITUTE(SUBSTITUTE(SUBSTITUTE(TRIM(A2946&amp;""),CHAR(160),"")," ",""),"년",""),""),"")</f>
      </c>
      <c r="I2946" t="str">
        <f>SUBSTITUTE(SUBSTITUTE(SUBSTITUTE(SUBSTITUTE(SUBSTITUTE(TRIM(B2946&amp;""),CHAR(160),"")," ",""),"초등학교","초"),"중학교","중"),"고등학교","고")</f>
      </c>
    </row>
    <row r="2947" customFormat="false" ht="15" hidden="false" customHeight="false" outlineLevel="0" collapsed="false">
      <c r="A2947" s="8"/>
      <c r="B2947" s="8"/>
      <c r="C2947" s="8"/>
      <c r="D2947" s="8"/>
      <c r="E2947" s="8"/>
      <c r="F2947" t="str" s="15">
        <f aca="0">IF(B2947="","",IF(H2947="","확인필요(입력누락)",IF(SUMPRODUCT((실물목록!$P$2:$P$1001&lt;&gt;"")*ISNUMBER(SEARCH(실물목록!$P$2:$P$1001,I2947))*(실물목록!$Q$2:$Q$1001&lt;&gt;"")*ISNUMBER(SEARCH(실물목록!$Q$2:$Q$1001,I2947))*(실물목록!$R$2:$R$1001="")*(실물목록!$O$2:$O$1001&lt;&gt;"")*(실물목록!$O$2:$O$1001=H2947))&gt;0,"실물 있음",IF(SUMPRODUCT((실물목록!$P$2:$P$1001&lt;&gt;"")*ISNUMBER(SEARCH(실물목록!$P$2:$P$1001,I2947))*(실물목록!$R$2:$R$1001&lt;&gt;""))&gt;0,"확인필요(입력누락)",IF(SUMPRODUCT((실물목록!$P$2:$P$1001&lt;&gt;"")*ISNUMBER(SEARCH(실물목록!$P$2:$P$1001,I2947))*(실물목록!$Q$2:$Q$1001&lt;&gt;"")*ISNUMBER(SEARCH(실물목록!$Q$2:$Q$1001,I2947))*(실물목록!$R$2:$R$1001="")*(실물목록!$O$2:$O$1001&lt;&gt;""))&gt;0,"확인필요(연도다름)","실물 없음")))))</f>
      </c>
      <c r="G2947" t="n" s="16">
        <f aca="0">IF(B2947="","",SUMPRODUCT((실물목록!$P$2:$P$1001&lt;&gt;"")*ISNUMBER(SEARCH(실물목록!$P$2:$P$1001,I2947))*(실물목록!$Q$2:$Q$1001&lt;&gt;"")*ISNUMBER(SEARCH(실물목록!$Q$2:$Q$1001,I2947))*(실물목록!$R$2:$R$1001="")*(실물목록!$O$2:$O$1001&lt;&gt;"")*(실물목록!$O$2:$O$1001=H2947)))</f>
      </c>
      <c r="H2947" t="str">
        <f>IFERROR(IF(AND(LEN(SUBSTITUTE(SUBSTITUTE(SUBSTITUTE(TRIM(A2947&amp;""),CHAR(160),"")," ",""),"년",""))=4,VALUE(SUBSTITUTE(SUBSTITUTE(SUBSTITUTE(TRIM(A2947&amp;""),CHAR(160),"")," ",""),"년",""))&gt;=1900,VALUE(SUBSTITUTE(SUBSTITUTE(SUBSTITUTE(TRIM(A2947&amp;""),CHAR(160),"")," ",""),"년",""))&lt;=2099,TEXT(VALUE(SUBSTITUTE(SUBSTITUTE(SUBSTITUTE(TRIM(A2947&amp;""),CHAR(160),"")," ",""),"년","")),"0000")=SUBSTITUTE(SUBSTITUTE(SUBSTITUTE(TRIM(A2947&amp;""),CHAR(160),"")," ",""),"년","")),SUBSTITUTE(SUBSTITUTE(SUBSTITUTE(TRIM(A2947&amp;""),CHAR(160),"")," ",""),"년",""),""),"")</f>
      </c>
      <c r="I2947" t="str">
        <f>SUBSTITUTE(SUBSTITUTE(SUBSTITUTE(SUBSTITUTE(SUBSTITUTE(TRIM(B2947&amp;""),CHAR(160),"")," ",""),"초등학교","초"),"중학교","중"),"고등학교","고")</f>
      </c>
    </row>
    <row r="2948" customFormat="false" ht="15" hidden="false" customHeight="false" outlineLevel="0" collapsed="false">
      <c r="A2948" s="8"/>
      <c r="B2948" s="8"/>
      <c r="C2948" s="8"/>
      <c r="D2948" s="8"/>
      <c r="E2948" s="8"/>
      <c r="F2948" t="str" s="15">
        <f aca="0">IF(B2948="","",IF(H2948="","확인필요(입력누락)",IF(SUMPRODUCT((실물목록!$P$2:$P$1001&lt;&gt;"")*ISNUMBER(SEARCH(실물목록!$P$2:$P$1001,I2948))*(실물목록!$Q$2:$Q$1001&lt;&gt;"")*ISNUMBER(SEARCH(실물목록!$Q$2:$Q$1001,I2948))*(실물목록!$R$2:$R$1001="")*(실물목록!$O$2:$O$1001&lt;&gt;"")*(실물목록!$O$2:$O$1001=H2948))&gt;0,"실물 있음",IF(SUMPRODUCT((실물목록!$P$2:$P$1001&lt;&gt;"")*ISNUMBER(SEARCH(실물목록!$P$2:$P$1001,I2948))*(실물목록!$R$2:$R$1001&lt;&gt;""))&gt;0,"확인필요(입력누락)",IF(SUMPRODUCT((실물목록!$P$2:$P$1001&lt;&gt;"")*ISNUMBER(SEARCH(실물목록!$P$2:$P$1001,I2948))*(실물목록!$Q$2:$Q$1001&lt;&gt;"")*ISNUMBER(SEARCH(실물목록!$Q$2:$Q$1001,I2948))*(실물목록!$R$2:$R$1001="")*(실물목록!$O$2:$O$1001&lt;&gt;""))&gt;0,"확인필요(연도다름)","실물 없음")))))</f>
      </c>
      <c r="G2948" t="n" s="16">
        <f aca="0">IF(B2948="","",SUMPRODUCT((실물목록!$P$2:$P$1001&lt;&gt;"")*ISNUMBER(SEARCH(실물목록!$P$2:$P$1001,I2948))*(실물목록!$Q$2:$Q$1001&lt;&gt;"")*ISNUMBER(SEARCH(실물목록!$Q$2:$Q$1001,I2948))*(실물목록!$R$2:$R$1001="")*(실물목록!$O$2:$O$1001&lt;&gt;"")*(실물목록!$O$2:$O$1001=H2948)))</f>
      </c>
      <c r="H2948" t="str">
        <f>IFERROR(IF(AND(LEN(SUBSTITUTE(SUBSTITUTE(SUBSTITUTE(TRIM(A2948&amp;""),CHAR(160),"")," ",""),"년",""))=4,VALUE(SUBSTITUTE(SUBSTITUTE(SUBSTITUTE(TRIM(A2948&amp;""),CHAR(160),"")," ",""),"년",""))&gt;=1900,VALUE(SUBSTITUTE(SUBSTITUTE(SUBSTITUTE(TRIM(A2948&amp;""),CHAR(160),"")," ",""),"년",""))&lt;=2099,TEXT(VALUE(SUBSTITUTE(SUBSTITUTE(SUBSTITUTE(TRIM(A2948&amp;""),CHAR(160),"")," ",""),"년","")),"0000")=SUBSTITUTE(SUBSTITUTE(SUBSTITUTE(TRIM(A2948&amp;""),CHAR(160),"")," ",""),"년","")),SUBSTITUTE(SUBSTITUTE(SUBSTITUTE(TRIM(A2948&amp;""),CHAR(160),"")," ",""),"년",""),""),"")</f>
      </c>
      <c r="I2948" t="str">
        <f>SUBSTITUTE(SUBSTITUTE(SUBSTITUTE(SUBSTITUTE(SUBSTITUTE(TRIM(B2948&amp;""),CHAR(160),"")," ",""),"초등학교","초"),"중학교","중"),"고등학교","고")</f>
      </c>
    </row>
    <row r="2949" customFormat="false" ht="15" hidden="false" customHeight="false" outlineLevel="0" collapsed="false">
      <c r="A2949" s="8"/>
      <c r="B2949" s="8"/>
      <c r="C2949" s="8"/>
      <c r="D2949" s="8"/>
      <c r="E2949" s="8"/>
      <c r="F2949" t="str" s="15">
        <f aca="0">IF(B2949="","",IF(H2949="","확인필요(입력누락)",IF(SUMPRODUCT((실물목록!$P$2:$P$1001&lt;&gt;"")*ISNUMBER(SEARCH(실물목록!$P$2:$P$1001,I2949))*(실물목록!$Q$2:$Q$1001&lt;&gt;"")*ISNUMBER(SEARCH(실물목록!$Q$2:$Q$1001,I2949))*(실물목록!$R$2:$R$1001="")*(실물목록!$O$2:$O$1001&lt;&gt;"")*(실물목록!$O$2:$O$1001=H2949))&gt;0,"실물 있음",IF(SUMPRODUCT((실물목록!$P$2:$P$1001&lt;&gt;"")*ISNUMBER(SEARCH(실물목록!$P$2:$P$1001,I2949))*(실물목록!$R$2:$R$1001&lt;&gt;""))&gt;0,"확인필요(입력누락)",IF(SUMPRODUCT((실물목록!$P$2:$P$1001&lt;&gt;"")*ISNUMBER(SEARCH(실물목록!$P$2:$P$1001,I2949))*(실물목록!$Q$2:$Q$1001&lt;&gt;"")*ISNUMBER(SEARCH(실물목록!$Q$2:$Q$1001,I2949))*(실물목록!$R$2:$R$1001="")*(실물목록!$O$2:$O$1001&lt;&gt;""))&gt;0,"확인필요(연도다름)","실물 없음")))))</f>
      </c>
      <c r="G2949" t="n" s="16">
        <f aca="0">IF(B2949="","",SUMPRODUCT((실물목록!$P$2:$P$1001&lt;&gt;"")*ISNUMBER(SEARCH(실물목록!$P$2:$P$1001,I2949))*(실물목록!$Q$2:$Q$1001&lt;&gt;"")*ISNUMBER(SEARCH(실물목록!$Q$2:$Q$1001,I2949))*(실물목록!$R$2:$R$1001="")*(실물목록!$O$2:$O$1001&lt;&gt;"")*(실물목록!$O$2:$O$1001=H2949)))</f>
      </c>
      <c r="H2949" t="str">
        <f>IFERROR(IF(AND(LEN(SUBSTITUTE(SUBSTITUTE(SUBSTITUTE(TRIM(A2949&amp;""),CHAR(160),"")," ",""),"년",""))=4,VALUE(SUBSTITUTE(SUBSTITUTE(SUBSTITUTE(TRIM(A2949&amp;""),CHAR(160),"")," ",""),"년",""))&gt;=1900,VALUE(SUBSTITUTE(SUBSTITUTE(SUBSTITUTE(TRIM(A2949&amp;""),CHAR(160),"")," ",""),"년",""))&lt;=2099,TEXT(VALUE(SUBSTITUTE(SUBSTITUTE(SUBSTITUTE(TRIM(A2949&amp;""),CHAR(160),"")," ",""),"년","")),"0000")=SUBSTITUTE(SUBSTITUTE(SUBSTITUTE(TRIM(A2949&amp;""),CHAR(160),"")," ",""),"년","")),SUBSTITUTE(SUBSTITUTE(SUBSTITUTE(TRIM(A2949&amp;""),CHAR(160),"")," ",""),"년",""),""),"")</f>
      </c>
      <c r="I2949" t="str">
        <f>SUBSTITUTE(SUBSTITUTE(SUBSTITUTE(SUBSTITUTE(SUBSTITUTE(TRIM(B2949&amp;""),CHAR(160),"")," ",""),"초등학교","초"),"중학교","중"),"고등학교","고")</f>
      </c>
    </row>
    <row r="2950" customFormat="false" ht="15" hidden="false" customHeight="false" outlineLevel="0" collapsed="false">
      <c r="A2950" s="8"/>
      <c r="B2950" s="8"/>
      <c r="C2950" s="8"/>
      <c r="D2950" s="8"/>
      <c r="E2950" s="8"/>
      <c r="F2950" t="str" s="15">
        <f aca="0">IF(B2950="","",IF(H2950="","확인필요(입력누락)",IF(SUMPRODUCT((실물목록!$P$2:$P$1001&lt;&gt;"")*ISNUMBER(SEARCH(실물목록!$P$2:$P$1001,I2950))*(실물목록!$Q$2:$Q$1001&lt;&gt;"")*ISNUMBER(SEARCH(실물목록!$Q$2:$Q$1001,I2950))*(실물목록!$R$2:$R$1001="")*(실물목록!$O$2:$O$1001&lt;&gt;"")*(실물목록!$O$2:$O$1001=H2950))&gt;0,"실물 있음",IF(SUMPRODUCT((실물목록!$P$2:$P$1001&lt;&gt;"")*ISNUMBER(SEARCH(실물목록!$P$2:$P$1001,I2950))*(실물목록!$R$2:$R$1001&lt;&gt;""))&gt;0,"확인필요(입력누락)",IF(SUMPRODUCT((실물목록!$P$2:$P$1001&lt;&gt;"")*ISNUMBER(SEARCH(실물목록!$P$2:$P$1001,I2950))*(실물목록!$Q$2:$Q$1001&lt;&gt;"")*ISNUMBER(SEARCH(실물목록!$Q$2:$Q$1001,I2950))*(실물목록!$R$2:$R$1001="")*(실물목록!$O$2:$O$1001&lt;&gt;""))&gt;0,"확인필요(연도다름)","실물 없음")))))</f>
      </c>
      <c r="G2950" t="n" s="16">
        <f aca="0">IF(B2950="","",SUMPRODUCT((실물목록!$P$2:$P$1001&lt;&gt;"")*ISNUMBER(SEARCH(실물목록!$P$2:$P$1001,I2950))*(실물목록!$Q$2:$Q$1001&lt;&gt;"")*ISNUMBER(SEARCH(실물목록!$Q$2:$Q$1001,I2950))*(실물목록!$R$2:$R$1001="")*(실물목록!$O$2:$O$1001&lt;&gt;"")*(실물목록!$O$2:$O$1001=H2950)))</f>
      </c>
      <c r="H2950" t="str">
        <f>IFERROR(IF(AND(LEN(SUBSTITUTE(SUBSTITUTE(SUBSTITUTE(TRIM(A2950&amp;""),CHAR(160),"")," ",""),"년",""))=4,VALUE(SUBSTITUTE(SUBSTITUTE(SUBSTITUTE(TRIM(A2950&amp;""),CHAR(160),"")," ",""),"년",""))&gt;=1900,VALUE(SUBSTITUTE(SUBSTITUTE(SUBSTITUTE(TRIM(A2950&amp;""),CHAR(160),"")," ",""),"년",""))&lt;=2099,TEXT(VALUE(SUBSTITUTE(SUBSTITUTE(SUBSTITUTE(TRIM(A2950&amp;""),CHAR(160),"")," ",""),"년","")),"0000")=SUBSTITUTE(SUBSTITUTE(SUBSTITUTE(TRIM(A2950&amp;""),CHAR(160),"")," ",""),"년","")),SUBSTITUTE(SUBSTITUTE(SUBSTITUTE(TRIM(A2950&amp;""),CHAR(160),"")," ",""),"년",""),""),"")</f>
      </c>
      <c r="I2950" t="str">
        <f>SUBSTITUTE(SUBSTITUTE(SUBSTITUTE(SUBSTITUTE(SUBSTITUTE(TRIM(B2950&amp;""),CHAR(160),"")," ",""),"초등학교","초"),"중학교","중"),"고등학교","고")</f>
      </c>
    </row>
    <row r="2951" customFormat="false" ht="15" hidden="false" customHeight="false" outlineLevel="0" collapsed="false">
      <c r="A2951" s="8"/>
      <c r="B2951" s="8"/>
      <c r="C2951" s="8"/>
      <c r="D2951" s="8"/>
      <c r="E2951" s="8"/>
      <c r="F2951" t="str" s="15">
        <f aca="0">IF(B2951="","",IF(H2951="","확인필요(입력누락)",IF(SUMPRODUCT((실물목록!$P$2:$P$1001&lt;&gt;"")*ISNUMBER(SEARCH(실물목록!$P$2:$P$1001,I2951))*(실물목록!$Q$2:$Q$1001&lt;&gt;"")*ISNUMBER(SEARCH(실물목록!$Q$2:$Q$1001,I2951))*(실물목록!$R$2:$R$1001="")*(실물목록!$O$2:$O$1001&lt;&gt;"")*(실물목록!$O$2:$O$1001=H2951))&gt;0,"실물 있음",IF(SUMPRODUCT((실물목록!$P$2:$P$1001&lt;&gt;"")*ISNUMBER(SEARCH(실물목록!$P$2:$P$1001,I2951))*(실물목록!$R$2:$R$1001&lt;&gt;""))&gt;0,"확인필요(입력누락)",IF(SUMPRODUCT((실물목록!$P$2:$P$1001&lt;&gt;"")*ISNUMBER(SEARCH(실물목록!$P$2:$P$1001,I2951))*(실물목록!$Q$2:$Q$1001&lt;&gt;"")*ISNUMBER(SEARCH(실물목록!$Q$2:$Q$1001,I2951))*(실물목록!$R$2:$R$1001="")*(실물목록!$O$2:$O$1001&lt;&gt;""))&gt;0,"확인필요(연도다름)","실물 없음")))))</f>
      </c>
      <c r="G2951" t="n" s="16">
        <f aca="0">IF(B2951="","",SUMPRODUCT((실물목록!$P$2:$P$1001&lt;&gt;"")*ISNUMBER(SEARCH(실물목록!$P$2:$P$1001,I2951))*(실물목록!$Q$2:$Q$1001&lt;&gt;"")*ISNUMBER(SEARCH(실물목록!$Q$2:$Q$1001,I2951))*(실물목록!$R$2:$R$1001="")*(실물목록!$O$2:$O$1001&lt;&gt;"")*(실물목록!$O$2:$O$1001=H2951)))</f>
      </c>
      <c r="H2951" t="str">
        <f>IFERROR(IF(AND(LEN(SUBSTITUTE(SUBSTITUTE(SUBSTITUTE(TRIM(A2951&amp;""),CHAR(160),"")," ",""),"년",""))=4,VALUE(SUBSTITUTE(SUBSTITUTE(SUBSTITUTE(TRIM(A2951&amp;""),CHAR(160),"")," ",""),"년",""))&gt;=1900,VALUE(SUBSTITUTE(SUBSTITUTE(SUBSTITUTE(TRIM(A2951&amp;""),CHAR(160),"")," ",""),"년",""))&lt;=2099,TEXT(VALUE(SUBSTITUTE(SUBSTITUTE(SUBSTITUTE(TRIM(A2951&amp;""),CHAR(160),"")," ",""),"년","")),"0000")=SUBSTITUTE(SUBSTITUTE(SUBSTITUTE(TRIM(A2951&amp;""),CHAR(160),"")," ",""),"년","")),SUBSTITUTE(SUBSTITUTE(SUBSTITUTE(TRIM(A2951&amp;""),CHAR(160),"")," ",""),"년",""),""),"")</f>
      </c>
      <c r="I2951" t="str">
        <f>SUBSTITUTE(SUBSTITUTE(SUBSTITUTE(SUBSTITUTE(SUBSTITUTE(TRIM(B2951&amp;""),CHAR(160),"")," ",""),"초등학교","초"),"중학교","중"),"고등학교","고")</f>
      </c>
    </row>
    <row r="2952" customFormat="false" ht="15" hidden="false" customHeight="false" outlineLevel="0" collapsed="false">
      <c r="A2952" s="8"/>
      <c r="B2952" s="8"/>
      <c r="C2952" s="8"/>
      <c r="D2952" s="8"/>
      <c r="E2952" s="8"/>
      <c r="F2952" t="str" s="15">
        <f aca="0">IF(B2952="","",IF(H2952="","확인필요(입력누락)",IF(SUMPRODUCT((실물목록!$P$2:$P$1001&lt;&gt;"")*ISNUMBER(SEARCH(실물목록!$P$2:$P$1001,I2952))*(실물목록!$Q$2:$Q$1001&lt;&gt;"")*ISNUMBER(SEARCH(실물목록!$Q$2:$Q$1001,I2952))*(실물목록!$R$2:$R$1001="")*(실물목록!$O$2:$O$1001&lt;&gt;"")*(실물목록!$O$2:$O$1001=H2952))&gt;0,"실물 있음",IF(SUMPRODUCT((실물목록!$P$2:$P$1001&lt;&gt;"")*ISNUMBER(SEARCH(실물목록!$P$2:$P$1001,I2952))*(실물목록!$R$2:$R$1001&lt;&gt;""))&gt;0,"확인필요(입력누락)",IF(SUMPRODUCT((실물목록!$P$2:$P$1001&lt;&gt;"")*ISNUMBER(SEARCH(실물목록!$P$2:$P$1001,I2952))*(실물목록!$Q$2:$Q$1001&lt;&gt;"")*ISNUMBER(SEARCH(실물목록!$Q$2:$Q$1001,I2952))*(실물목록!$R$2:$R$1001="")*(실물목록!$O$2:$O$1001&lt;&gt;""))&gt;0,"확인필요(연도다름)","실물 없음")))))</f>
      </c>
      <c r="G2952" t="n" s="16">
        <f aca="0">IF(B2952="","",SUMPRODUCT((실물목록!$P$2:$P$1001&lt;&gt;"")*ISNUMBER(SEARCH(실물목록!$P$2:$P$1001,I2952))*(실물목록!$Q$2:$Q$1001&lt;&gt;"")*ISNUMBER(SEARCH(실물목록!$Q$2:$Q$1001,I2952))*(실물목록!$R$2:$R$1001="")*(실물목록!$O$2:$O$1001&lt;&gt;"")*(실물목록!$O$2:$O$1001=H2952)))</f>
      </c>
      <c r="H2952" t="str">
        <f>IFERROR(IF(AND(LEN(SUBSTITUTE(SUBSTITUTE(SUBSTITUTE(TRIM(A2952&amp;""),CHAR(160),"")," ",""),"년",""))=4,VALUE(SUBSTITUTE(SUBSTITUTE(SUBSTITUTE(TRIM(A2952&amp;""),CHAR(160),"")," ",""),"년",""))&gt;=1900,VALUE(SUBSTITUTE(SUBSTITUTE(SUBSTITUTE(TRIM(A2952&amp;""),CHAR(160),"")," ",""),"년",""))&lt;=2099,TEXT(VALUE(SUBSTITUTE(SUBSTITUTE(SUBSTITUTE(TRIM(A2952&amp;""),CHAR(160),"")," ",""),"년","")),"0000")=SUBSTITUTE(SUBSTITUTE(SUBSTITUTE(TRIM(A2952&amp;""),CHAR(160),"")," ",""),"년","")),SUBSTITUTE(SUBSTITUTE(SUBSTITUTE(TRIM(A2952&amp;""),CHAR(160),"")," ",""),"년",""),""),"")</f>
      </c>
      <c r="I2952" t="str">
        <f>SUBSTITUTE(SUBSTITUTE(SUBSTITUTE(SUBSTITUTE(SUBSTITUTE(TRIM(B2952&amp;""),CHAR(160),"")," ",""),"초등학교","초"),"중학교","중"),"고등학교","고")</f>
      </c>
    </row>
    <row r="2953" customFormat="false" ht="15" hidden="false" customHeight="false" outlineLevel="0" collapsed="false">
      <c r="A2953" s="8"/>
      <c r="B2953" s="8"/>
      <c r="C2953" s="8"/>
      <c r="D2953" s="8"/>
      <c r="E2953" s="8"/>
      <c r="F2953" t="str" s="15">
        <f aca="0">IF(B2953="","",IF(H2953="","확인필요(입력누락)",IF(SUMPRODUCT((실물목록!$P$2:$P$1001&lt;&gt;"")*ISNUMBER(SEARCH(실물목록!$P$2:$P$1001,I2953))*(실물목록!$Q$2:$Q$1001&lt;&gt;"")*ISNUMBER(SEARCH(실물목록!$Q$2:$Q$1001,I2953))*(실물목록!$R$2:$R$1001="")*(실물목록!$O$2:$O$1001&lt;&gt;"")*(실물목록!$O$2:$O$1001=H2953))&gt;0,"실물 있음",IF(SUMPRODUCT((실물목록!$P$2:$P$1001&lt;&gt;"")*ISNUMBER(SEARCH(실물목록!$P$2:$P$1001,I2953))*(실물목록!$R$2:$R$1001&lt;&gt;""))&gt;0,"확인필요(입력누락)",IF(SUMPRODUCT((실물목록!$P$2:$P$1001&lt;&gt;"")*ISNUMBER(SEARCH(실물목록!$P$2:$P$1001,I2953))*(실물목록!$Q$2:$Q$1001&lt;&gt;"")*ISNUMBER(SEARCH(실물목록!$Q$2:$Q$1001,I2953))*(실물목록!$R$2:$R$1001="")*(실물목록!$O$2:$O$1001&lt;&gt;""))&gt;0,"확인필요(연도다름)","실물 없음")))))</f>
      </c>
      <c r="G2953" t="n" s="16">
        <f aca="0">IF(B2953="","",SUMPRODUCT((실물목록!$P$2:$P$1001&lt;&gt;"")*ISNUMBER(SEARCH(실물목록!$P$2:$P$1001,I2953))*(실물목록!$Q$2:$Q$1001&lt;&gt;"")*ISNUMBER(SEARCH(실물목록!$Q$2:$Q$1001,I2953))*(실물목록!$R$2:$R$1001="")*(실물목록!$O$2:$O$1001&lt;&gt;"")*(실물목록!$O$2:$O$1001=H2953)))</f>
      </c>
      <c r="H2953" t="str">
        <f>IFERROR(IF(AND(LEN(SUBSTITUTE(SUBSTITUTE(SUBSTITUTE(TRIM(A2953&amp;""),CHAR(160),"")," ",""),"년",""))=4,VALUE(SUBSTITUTE(SUBSTITUTE(SUBSTITUTE(TRIM(A2953&amp;""),CHAR(160),"")," ",""),"년",""))&gt;=1900,VALUE(SUBSTITUTE(SUBSTITUTE(SUBSTITUTE(TRIM(A2953&amp;""),CHAR(160),"")," ",""),"년",""))&lt;=2099,TEXT(VALUE(SUBSTITUTE(SUBSTITUTE(SUBSTITUTE(TRIM(A2953&amp;""),CHAR(160),"")," ",""),"년","")),"0000")=SUBSTITUTE(SUBSTITUTE(SUBSTITUTE(TRIM(A2953&amp;""),CHAR(160),"")," ",""),"년","")),SUBSTITUTE(SUBSTITUTE(SUBSTITUTE(TRIM(A2953&amp;""),CHAR(160),"")," ",""),"년",""),""),"")</f>
      </c>
      <c r="I2953" t="str">
        <f>SUBSTITUTE(SUBSTITUTE(SUBSTITUTE(SUBSTITUTE(SUBSTITUTE(TRIM(B2953&amp;""),CHAR(160),"")," ",""),"초등학교","초"),"중학교","중"),"고등학교","고")</f>
      </c>
    </row>
    <row r="2954" customFormat="false" ht="15" hidden="false" customHeight="false" outlineLevel="0" collapsed="false">
      <c r="A2954" s="8"/>
      <c r="B2954" s="8"/>
      <c r="C2954" s="8"/>
      <c r="D2954" s="8"/>
      <c r="E2954" s="8"/>
      <c r="F2954" t="str" s="15">
        <f aca="0">IF(B2954="","",IF(H2954="","확인필요(입력누락)",IF(SUMPRODUCT((실물목록!$P$2:$P$1001&lt;&gt;"")*ISNUMBER(SEARCH(실물목록!$P$2:$P$1001,I2954))*(실물목록!$Q$2:$Q$1001&lt;&gt;"")*ISNUMBER(SEARCH(실물목록!$Q$2:$Q$1001,I2954))*(실물목록!$R$2:$R$1001="")*(실물목록!$O$2:$O$1001&lt;&gt;"")*(실물목록!$O$2:$O$1001=H2954))&gt;0,"실물 있음",IF(SUMPRODUCT((실물목록!$P$2:$P$1001&lt;&gt;"")*ISNUMBER(SEARCH(실물목록!$P$2:$P$1001,I2954))*(실물목록!$R$2:$R$1001&lt;&gt;""))&gt;0,"확인필요(입력누락)",IF(SUMPRODUCT((실물목록!$P$2:$P$1001&lt;&gt;"")*ISNUMBER(SEARCH(실물목록!$P$2:$P$1001,I2954))*(실물목록!$Q$2:$Q$1001&lt;&gt;"")*ISNUMBER(SEARCH(실물목록!$Q$2:$Q$1001,I2954))*(실물목록!$R$2:$R$1001="")*(실물목록!$O$2:$O$1001&lt;&gt;""))&gt;0,"확인필요(연도다름)","실물 없음")))))</f>
      </c>
      <c r="G2954" t="n" s="16">
        <f aca="0">IF(B2954="","",SUMPRODUCT((실물목록!$P$2:$P$1001&lt;&gt;"")*ISNUMBER(SEARCH(실물목록!$P$2:$P$1001,I2954))*(실물목록!$Q$2:$Q$1001&lt;&gt;"")*ISNUMBER(SEARCH(실물목록!$Q$2:$Q$1001,I2954))*(실물목록!$R$2:$R$1001="")*(실물목록!$O$2:$O$1001&lt;&gt;"")*(실물목록!$O$2:$O$1001=H2954)))</f>
      </c>
      <c r="H2954" t="str">
        <f>IFERROR(IF(AND(LEN(SUBSTITUTE(SUBSTITUTE(SUBSTITUTE(TRIM(A2954&amp;""),CHAR(160),"")," ",""),"년",""))=4,VALUE(SUBSTITUTE(SUBSTITUTE(SUBSTITUTE(TRIM(A2954&amp;""),CHAR(160),"")," ",""),"년",""))&gt;=1900,VALUE(SUBSTITUTE(SUBSTITUTE(SUBSTITUTE(TRIM(A2954&amp;""),CHAR(160),"")," ",""),"년",""))&lt;=2099,TEXT(VALUE(SUBSTITUTE(SUBSTITUTE(SUBSTITUTE(TRIM(A2954&amp;""),CHAR(160),"")," ",""),"년","")),"0000")=SUBSTITUTE(SUBSTITUTE(SUBSTITUTE(TRIM(A2954&amp;""),CHAR(160),"")," ",""),"년","")),SUBSTITUTE(SUBSTITUTE(SUBSTITUTE(TRIM(A2954&amp;""),CHAR(160),"")," ",""),"년",""),""),"")</f>
      </c>
      <c r="I2954" t="str">
        <f>SUBSTITUTE(SUBSTITUTE(SUBSTITUTE(SUBSTITUTE(SUBSTITUTE(TRIM(B2954&amp;""),CHAR(160),"")," ",""),"초등학교","초"),"중학교","중"),"고등학교","고")</f>
      </c>
    </row>
    <row r="2955" customFormat="false" ht="15" hidden="false" customHeight="false" outlineLevel="0" collapsed="false">
      <c r="A2955" s="8"/>
      <c r="B2955" s="8"/>
      <c r="C2955" s="8"/>
      <c r="D2955" s="8"/>
      <c r="E2955" s="8"/>
      <c r="F2955" t="str" s="15">
        <f aca="0">IF(B2955="","",IF(H2955="","확인필요(입력누락)",IF(SUMPRODUCT((실물목록!$P$2:$P$1001&lt;&gt;"")*ISNUMBER(SEARCH(실물목록!$P$2:$P$1001,I2955))*(실물목록!$Q$2:$Q$1001&lt;&gt;"")*ISNUMBER(SEARCH(실물목록!$Q$2:$Q$1001,I2955))*(실물목록!$R$2:$R$1001="")*(실물목록!$O$2:$O$1001&lt;&gt;"")*(실물목록!$O$2:$O$1001=H2955))&gt;0,"실물 있음",IF(SUMPRODUCT((실물목록!$P$2:$P$1001&lt;&gt;"")*ISNUMBER(SEARCH(실물목록!$P$2:$P$1001,I2955))*(실물목록!$R$2:$R$1001&lt;&gt;""))&gt;0,"확인필요(입력누락)",IF(SUMPRODUCT((실물목록!$P$2:$P$1001&lt;&gt;"")*ISNUMBER(SEARCH(실물목록!$P$2:$P$1001,I2955))*(실물목록!$Q$2:$Q$1001&lt;&gt;"")*ISNUMBER(SEARCH(실물목록!$Q$2:$Q$1001,I2955))*(실물목록!$R$2:$R$1001="")*(실물목록!$O$2:$O$1001&lt;&gt;""))&gt;0,"확인필요(연도다름)","실물 없음")))))</f>
      </c>
      <c r="G2955" t="n" s="16">
        <f aca="0">IF(B2955="","",SUMPRODUCT((실물목록!$P$2:$P$1001&lt;&gt;"")*ISNUMBER(SEARCH(실물목록!$P$2:$P$1001,I2955))*(실물목록!$Q$2:$Q$1001&lt;&gt;"")*ISNUMBER(SEARCH(실물목록!$Q$2:$Q$1001,I2955))*(실물목록!$R$2:$R$1001="")*(실물목록!$O$2:$O$1001&lt;&gt;"")*(실물목록!$O$2:$O$1001=H2955)))</f>
      </c>
      <c r="H2955" t="str">
        <f>IFERROR(IF(AND(LEN(SUBSTITUTE(SUBSTITUTE(SUBSTITUTE(TRIM(A2955&amp;""),CHAR(160),"")," ",""),"년",""))=4,VALUE(SUBSTITUTE(SUBSTITUTE(SUBSTITUTE(TRIM(A2955&amp;""),CHAR(160),"")," ",""),"년",""))&gt;=1900,VALUE(SUBSTITUTE(SUBSTITUTE(SUBSTITUTE(TRIM(A2955&amp;""),CHAR(160),"")," ",""),"년",""))&lt;=2099,TEXT(VALUE(SUBSTITUTE(SUBSTITUTE(SUBSTITUTE(TRIM(A2955&amp;""),CHAR(160),"")," ",""),"년","")),"0000")=SUBSTITUTE(SUBSTITUTE(SUBSTITUTE(TRIM(A2955&amp;""),CHAR(160),"")," ",""),"년","")),SUBSTITUTE(SUBSTITUTE(SUBSTITUTE(TRIM(A2955&amp;""),CHAR(160),"")," ",""),"년",""),""),"")</f>
      </c>
      <c r="I2955" t="str">
        <f>SUBSTITUTE(SUBSTITUTE(SUBSTITUTE(SUBSTITUTE(SUBSTITUTE(TRIM(B2955&amp;""),CHAR(160),"")," ",""),"초등학교","초"),"중학교","중"),"고등학교","고")</f>
      </c>
    </row>
    <row r="2956" customFormat="false" ht="15" hidden="false" customHeight="false" outlineLevel="0" collapsed="false">
      <c r="A2956" s="8"/>
      <c r="B2956" s="8"/>
      <c r="C2956" s="8"/>
      <c r="D2956" s="8"/>
      <c r="E2956" s="8"/>
      <c r="F2956" t="str" s="15">
        <f aca="0">IF(B2956="","",IF(H2956="","확인필요(입력누락)",IF(SUMPRODUCT((실물목록!$P$2:$P$1001&lt;&gt;"")*ISNUMBER(SEARCH(실물목록!$P$2:$P$1001,I2956))*(실물목록!$Q$2:$Q$1001&lt;&gt;"")*ISNUMBER(SEARCH(실물목록!$Q$2:$Q$1001,I2956))*(실물목록!$R$2:$R$1001="")*(실물목록!$O$2:$O$1001&lt;&gt;"")*(실물목록!$O$2:$O$1001=H2956))&gt;0,"실물 있음",IF(SUMPRODUCT((실물목록!$P$2:$P$1001&lt;&gt;"")*ISNUMBER(SEARCH(실물목록!$P$2:$P$1001,I2956))*(실물목록!$R$2:$R$1001&lt;&gt;""))&gt;0,"확인필요(입력누락)",IF(SUMPRODUCT((실물목록!$P$2:$P$1001&lt;&gt;"")*ISNUMBER(SEARCH(실물목록!$P$2:$P$1001,I2956))*(실물목록!$Q$2:$Q$1001&lt;&gt;"")*ISNUMBER(SEARCH(실물목록!$Q$2:$Q$1001,I2956))*(실물목록!$R$2:$R$1001="")*(실물목록!$O$2:$O$1001&lt;&gt;""))&gt;0,"확인필요(연도다름)","실물 없음")))))</f>
      </c>
      <c r="G2956" t="n" s="16">
        <f aca="0">IF(B2956="","",SUMPRODUCT((실물목록!$P$2:$P$1001&lt;&gt;"")*ISNUMBER(SEARCH(실물목록!$P$2:$P$1001,I2956))*(실물목록!$Q$2:$Q$1001&lt;&gt;"")*ISNUMBER(SEARCH(실물목록!$Q$2:$Q$1001,I2956))*(실물목록!$R$2:$R$1001="")*(실물목록!$O$2:$O$1001&lt;&gt;"")*(실물목록!$O$2:$O$1001=H2956)))</f>
      </c>
      <c r="H2956" t="str">
        <f>IFERROR(IF(AND(LEN(SUBSTITUTE(SUBSTITUTE(SUBSTITUTE(TRIM(A2956&amp;""),CHAR(160),"")," ",""),"년",""))=4,VALUE(SUBSTITUTE(SUBSTITUTE(SUBSTITUTE(TRIM(A2956&amp;""),CHAR(160),"")," ",""),"년",""))&gt;=1900,VALUE(SUBSTITUTE(SUBSTITUTE(SUBSTITUTE(TRIM(A2956&amp;""),CHAR(160),"")," ",""),"년",""))&lt;=2099,TEXT(VALUE(SUBSTITUTE(SUBSTITUTE(SUBSTITUTE(TRIM(A2956&amp;""),CHAR(160),"")," ",""),"년","")),"0000")=SUBSTITUTE(SUBSTITUTE(SUBSTITUTE(TRIM(A2956&amp;""),CHAR(160),"")," ",""),"년","")),SUBSTITUTE(SUBSTITUTE(SUBSTITUTE(TRIM(A2956&amp;""),CHAR(160),"")," ",""),"년",""),""),"")</f>
      </c>
      <c r="I2956" t="str">
        <f>SUBSTITUTE(SUBSTITUTE(SUBSTITUTE(SUBSTITUTE(SUBSTITUTE(TRIM(B2956&amp;""),CHAR(160),"")," ",""),"초등학교","초"),"중학교","중"),"고등학교","고")</f>
      </c>
    </row>
    <row r="2957" customFormat="false" ht="15" hidden="false" customHeight="false" outlineLevel="0" collapsed="false">
      <c r="A2957" s="8"/>
      <c r="B2957" s="8"/>
      <c r="C2957" s="8"/>
      <c r="D2957" s="8"/>
      <c r="E2957" s="8"/>
      <c r="F2957" t="str" s="15">
        <f aca="0">IF(B2957="","",IF(H2957="","확인필요(입력누락)",IF(SUMPRODUCT((실물목록!$P$2:$P$1001&lt;&gt;"")*ISNUMBER(SEARCH(실물목록!$P$2:$P$1001,I2957))*(실물목록!$Q$2:$Q$1001&lt;&gt;"")*ISNUMBER(SEARCH(실물목록!$Q$2:$Q$1001,I2957))*(실물목록!$R$2:$R$1001="")*(실물목록!$O$2:$O$1001&lt;&gt;"")*(실물목록!$O$2:$O$1001=H2957))&gt;0,"실물 있음",IF(SUMPRODUCT((실물목록!$P$2:$P$1001&lt;&gt;"")*ISNUMBER(SEARCH(실물목록!$P$2:$P$1001,I2957))*(실물목록!$R$2:$R$1001&lt;&gt;""))&gt;0,"확인필요(입력누락)",IF(SUMPRODUCT((실물목록!$P$2:$P$1001&lt;&gt;"")*ISNUMBER(SEARCH(실물목록!$P$2:$P$1001,I2957))*(실물목록!$Q$2:$Q$1001&lt;&gt;"")*ISNUMBER(SEARCH(실물목록!$Q$2:$Q$1001,I2957))*(실물목록!$R$2:$R$1001="")*(실물목록!$O$2:$O$1001&lt;&gt;""))&gt;0,"확인필요(연도다름)","실물 없음")))))</f>
      </c>
      <c r="G2957" t="n" s="16">
        <f aca="0">IF(B2957="","",SUMPRODUCT((실물목록!$P$2:$P$1001&lt;&gt;"")*ISNUMBER(SEARCH(실물목록!$P$2:$P$1001,I2957))*(실물목록!$Q$2:$Q$1001&lt;&gt;"")*ISNUMBER(SEARCH(실물목록!$Q$2:$Q$1001,I2957))*(실물목록!$R$2:$R$1001="")*(실물목록!$O$2:$O$1001&lt;&gt;"")*(실물목록!$O$2:$O$1001=H2957)))</f>
      </c>
      <c r="H2957" t="str">
        <f>IFERROR(IF(AND(LEN(SUBSTITUTE(SUBSTITUTE(SUBSTITUTE(TRIM(A2957&amp;""),CHAR(160),"")," ",""),"년",""))=4,VALUE(SUBSTITUTE(SUBSTITUTE(SUBSTITUTE(TRIM(A2957&amp;""),CHAR(160),"")," ",""),"년",""))&gt;=1900,VALUE(SUBSTITUTE(SUBSTITUTE(SUBSTITUTE(TRIM(A2957&amp;""),CHAR(160),"")," ",""),"년",""))&lt;=2099,TEXT(VALUE(SUBSTITUTE(SUBSTITUTE(SUBSTITUTE(TRIM(A2957&amp;""),CHAR(160),"")," ",""),"년","")),"0000")=SUBSTITUTE(SUBSTITUTE(SUBSTITUTE(TRIM(A2957&amp;""),CHAR(160),"")," ",""),"년","")),SUBSTITUTE(SUBSTITUTE(SUBSTITUTE(TRIM(A2957&amp;""),CHAR(160),"")," ",""),"년",""),""),"")</f>
      </c>
      <c r="I2957" t="str">
        <f>SUBSTITUTE(SUBSTITUTE(SUBSTITUTE(SUBSTITUTE(SUBSTITUTE(TRIM(B2957&amp;""),CHAR(160),"")," ",""),"초등학교","초"),"중학교","중"),"고등학교","고")</f>
      </c>
    </row>
    <row r="2958" customFormat="false" ht="15" hidden="false" customHeight="false" outlineLevel="0" collapsed="false">
      <c r="A2958" s="8"/>
      <c r="B2958" s="8"/>
      <c r="C2958" s="8"/>
      <c r="D2958" s="8"/>
      <c r="E2958" s="8"/>
      <c r="F2958" t="str" s="15">
        <f aca="0">IF(B2958="","",IF(H2958="","확인필요(입력누락)",IF(SUMPRODUCT((실물목록!$P$2:$P$1001&lt;&gt;"")*ISNUMBER(SEARCH(실물목록!$P$2:$P$1001,I2958))*(실물목록!$Q$2:$Q$1001&lt;&gt;"")*ISNUMBER(SEARCH(실물목록!$Q$2:$Q$1001,I2958))*(실물목록!$R$2:$R$1001="")*(실물목록!$O$2:$O$1001&lt;&gt;"")*(실물목록!$O$2:$O$1001=H2958))&gt;0,"실물 있음",IF(SUMPRODUCT((실물목록!$P$2:$P$1001&lt;&gt;"")*ISNUMBER(SEARCH(실물목록!$P$2:$P$1001,I2958))*(실물목록!$R$2:$R$1001&lt;&gt;""))&gt;0,"확인필요(입력누락)",IF(SUMPRODUCT((실물목록!$P$2:$P$1001&lt;&gt;"")*ISNUMBER(SEARCH(실물목록!$P$2:$P$1001,I2958))*(실물목록!$Q$2:$Q$1001&lt;&gt;"")*ISNUMBER(SEARCH(실물목록!$Q$2:$Q$1001,I2958))*(실물목록!$R$2:$R$1001="")*(실물목록!$O$2:$O$1001&lt;&gt;""))&gt;0,"확인필요(연도다름)","실물 없음")))))</f>
      </c>
      <c r="G2958" t="n" s="16">
        <f aca="0">IF(B2958="","",SUMPRODUCT((실물목록!$P$2:$P$1001&lt;&gt;"")*ISNUMBER(SEARCH(실물목록!$P$2:$P$1001,I2958))*(실물목록!$Q$2:$Q$1001&lt;&gt;"")*ISNUMBER(SEARCH(실물목록!$Q$2:$Q$1001,I2958))*(실물목록!$R$2:$R$1001="")*(실물목록!$O$2:$O$1001&lt;&gt;"")*(실물목록!$O$2:$O$1001=H2958)))</f>
      </c>
      <c r="H2958" t="str">
        <f>IFERROR(IF(AND(LEN(SUBSTITUTE(SUBSTITUTE(SUBSTITUTE(TRIM(A2958&amp;""),CHAR(160),"")," ",""),"년",""))=4,VALUE(SUBSTITUTE(SUBSTITUTE(SUBSTITUTE(TRIM(A2958&amp;""),CHAR(160),"")," ",""),"년",""))&gt;=1900,VALUE(SUBSTITUTE(SUBSTITUTE(SUBSTITUTE(TRIM(A2958&amp;""),CHAR(160),"")," ",""),"년",""))&lt;=2099,TEXT(VALUE(SUBSTITUTE(SUBSTITUTE(SUBSTITUTE(TRIM(A2958&amp;""),CHAR(160),"")," ",""),"년","")),"0000")=SUBSTITUTE(SUBSTITUTE(SUBSTITUTE(TRIM(A2958&amp;""),CHAR(160),"")," ",""),"년","")),SUBSTITUTE(SUBSTITUTE(SUBSTITUTE(TRIM(A2958&amp;""),CHAR(160),"")," ",""),"년",""),""),"")</f>
      </c>
      <c r="I2958" t="str">
        <f>SUBSTITUTE(SUBSTITUTE(SUBSTITUTE(SUBSTITUTE(SUBSTITUTE(TRIM(B2958&amp;""),CHAR(160),"")," ",""),"초등학교","초"),"중학교","중"),"고등학교","고")</f>
      </c>
    </row>
    <row r="2959" customFormat="false" ht="15" hidden="false" customHeight="false" outlineLevel="0" collapsed="false">
      <c r="A2959" s="8"/>
      <c r="B2959" s="8"/>
      <c r="C2959" s="8"/>
      <c r="D2959" s="8"/>
      <c r="E2959" s="8"/>
      <c r="F2959" t="str" s="15">
        <f aca="0">IF(B2959="","",IF(H2959="","확인필요(입력누락)",IF(SUMPRODUCT((실물목록!$P$2:$P$1001&lt;&gt;"")*ISNUMBER(SEARCH(실물목록!$P$2:$P$1001,I2959))*(실물목록!$Q$2:$Q$1001&lt;&gt;"")*ISNUMBER(SEARCH(실물목록!$Q$2:$Q$1001,I2959))*(실물목록!$R$2:$R$1001="")*(실물목록!$O$2:$O$1001&lt;&gt;"")*(실물목록!$O$2:$O$1001=H2959))&gt;0,"실물 있음",IF(SUMPRODUCT((실물목록!$P$2:$P$1001&lt;&gt;"")*ISNUMBER(SEARCH(실물목록!$P$2:$P$1001,I2959))*(실물목록!$R$2:$R$1001&lt;&gt;""))&gt;0,"확인필요(입력누락)",IF(SUMPRODUCT((실물목록!$P$2:$P$1001&lt;&gt;"")*ISNUMBER(SEARCH(실물목록!$P$2:$P$1001,I2959))*(실물목록!$Q$2:$Q$1001&lt;&gt;"")*ISNUMBER(SEARCH(실물목록!$Q$2:$Q$1001,I2959))*(실물목록!$R$2:$R$1001="")*(실물목록!$O$2:$O$1001&lt;&gt;""))&gt;0,"확인필요(연도다름)","실물 없음")))))</f>
      </c>
      <c r="G2959" t="n" s="16">
        <f aca="0">IF(B2959="","",SUMPRODUCT((실물목록!$P$2:$P$1001&lt;&gt;"")*ISNUMBER(SEARCH(실물목록!$P$2:$P$1001,I2959))*(실물목록!$Q$2:$Q$1001&lt;&gt;"")*ISNUMBER(SEARCH(실물목록!$Q$2:$Q$1001,I2959))*(실물목록!$R$2:$R$1001="")*(실물목록!$O$2:$O$1001&lt;&gt;"")*(실물목록!$O$2:$O$1001=H2959)))</f>
      </c>
      <c r="H2959" t="str">
        <f>IFERROR(IF(AND(LEN(SUBSTITUTE(SUBSTITUTE(SUBSTITUTE(TRIM(A2959&amp;""),CHAR(160),"")," ",""),"년",""))=4,VALUE(SUBSTITUTE(SUBSTITUTE(SUBSTITUTE(TRIM(A2959&amp;""),CHAR(160),"")," ",""),"년",""))&gt;=1900,VALUE(SUBSTITUTE(SUBSTITUTE(SUBSTITUTE(TRIM(A2959&amp;""),CHAR(160),"")," ",""),"년",""))&lt;=2099,TEXT(VALUE(SUBSTITUTE(SUBSTITUTE(SUBSTITUTE(TRIM(A2959&amp;""),CHAR(160),"")," ",""),"년","")),"0000")=SUBSTITUTE(SUBSTITUTE(SUBSTITUTE(TRIM(A2959&amp;""),CHAR(160),"")," ",""),"년","")),SUBSTITUTE(SUBSTITUTE(SUBSTITUTE(TRIM(A2959&amp;""),CHAR(160),"")," ",""),"년",""),""),"")</f>
      </c>
      <c r="I2959" t="str">
        <f>SUBSTITUTE(SUBSTITUTE(SUBSTITUTE(SUBSTITUTE(SUBSTITUTE(TRIM(B2959&amp;""),CHAR(160),"")," ",""),"초등학교","초"),"중학교","중"),"고등학교","고")</f>
      </c>
    </row>
    <row r="2960" customFormat="false" ht="15" hidden="false" customHeight="false" outlineLevel="0" collapsed="false">
      <c r="A2960" s="8"/>
      <c r="B2960" s="8"/>
      <c r="C2960" s="8"/>
      <c r="D2960" s="8"/>
      <c r="E2960" s="8"/>
      <c r="F2960" t="str" s="15">
        <f aca="0">IF(B2960="","",IF(H2960="","확인필요(입력누락)",IF(SUMPRODUCT((실물목록!$P$2:$P$1001&lt;&gt;"")*ISNUMBER(SEARCH(실물목록!$P$2:$P$1001,I2960))*(실물목록!$Q$2:$Q$1001&lt;&gt;"")*ISNUMBER(SEARCH(실물목록!$Q$2:$Q$1001,I2960))*(실물목록!$R$2:$R$1001="")*(실물목록!$O$2:$O$1001&lt;&gt;"")*(실물목록!$O$2:$O$1001=H2960))&gt;0,"실물 있음",IF(SUMPRODUCT((실물목록!$P$2:$P$1001&lt;&gt;"")*ISNUMBER(SEARCH(실물목록!$P$2:$P$1001,I2960))*(실물목록!$R$2:$R$1001&lt;&gt;""))&gt;0,"확인필요(입력누락)",IF(SUMPRODUCT((실물목록!$P$2:$P$1001&lt;&gt;"")*ISNUMBER(SEARCH(실물목록!$P$2:$P$1001,I2960))*(실물목록!$Q$2:$Q$1001&lt;&gt;"")*ISNUMBER(SEARCH(실물목록!$Q$2:$Q$1001,I2960))*(실물목록!$R$2:$R$1001="")*(실물목록!$O$2:$O$1001&lt;&gt;""))&gt;0,"확인필요(연도다름)","실물 없음")))))</f>
      </c>
      <c r="G2960" t="n" s="16">
        <f aca="0">IF(B2960="","",SUMPRODUCT((실물목록!$P$2:$P$1001&lt;&gt;"")*ISNUMBER(SEARCH(실물목록!$P$2:$P$1001,I2960))*(실물목록!$Q$2:$Q$1001&lt;&gt;"")*ISNUMBER(SEARCH(실물목록!$Q$2:$Q$1001,I2960))*(실물목록!$R$2:$R$1001="")*(실물목록!$O$2:$O$1001&lt;&gt;"")*(실물목록!$O$2:$O$1001=H2960)))</f>
      </c>
      <c r="H2960" t="str">
        <f>IFERROR(IF(AND(LEN(SUBSTITUTE(SUBSTITUTE(SUBSTITUTE(TRIM(A2960&amp;""),CHAR(160),"")," ",""),"년",""))=4,VALUE(SUBSTITUTE(SUBSTITUTE(SUBSTITUTE(TRIM(A2960&amp;""),CHAR(160),"")," ",""),"년",""))&gt;=1900,VALUE(SUBSTITUTE(SUBSTITUTE(SUBSTITUTE(TRIM(A2960&amp;""),CHAR(160),"")," ",""),"년",""))&lt;=2099,TEXT(VALUE(SUBSTITUTE(SUBSTITUTE(SUBSTITUTE(TRIM(A2960&amp;""),CHAR(160),"")," ",""),"년","")),"0000")=SUBSTITUTE(SUBSTITUTE(SUBSTITUTE(TRIM(A2960&amp;""),CHAR(160),"")," ",""),"년","")),SUBSTITUTE(SUBSTITUTE(SUBSTITUTE(TRIM(A2960&amp;""),CHAR(160),"")," ",""),"년",""),""),"")</f>
      </c>
      <c r="I2960" t="str">
        <f>SUBSTITUTE(SUBSTITUTE(SUBSTITUTE(SUBSTITUTE(SUBSTITUTE(TRIM(B2960&amp;""),CHAR(160),"")," ",""),"초등학교","초"),"중학교","중"),"고등학교","고")</f>
      </c>
    </row>
    <row r="2961" customFormat="false" ht="15" hidden="false" customHeight="false" outlineLevel="0" collapsed="false">
      <c r="A2961" s="8"/>
      <c r="B2961" s="8"/>
      <c r="C2961" s="8"/>
      <c r="D2961" s="8"/>
      <c r="E2961" s="8"/>
      <c r="F2961" t="str" s="15">
        <f aca="0">IF(B2961="","",IF(H2961="","확인필요(입력누락)",IF(SUMPRODUCT((실물목록!$P$2:$P$1001&lt;&gt;"")*ISNUMBER(SEARCH(실물목록!$P$2:$P$1001,I2961))*(실물목록!$Q$2:$Q$1001&lt;&gt;"")*ISNUMBER(SEARCH(실물목록!$Q$2:$Q$1001,I2961))*(실물목록!$R$2:$R$1001="")*(실물목록!$O$2:$O$1001&lt;&gt;"")*(실물목록!$O$2:$O$1001=H2961))&gt;0,"실물 있음",IF(SUMPRODUCT((실물목록!$P$2:$P$1001&lt;&gt;"")*ISNUMBER(SEARCH(실물목록!$P$2:$P$1001,I2961))*(실물목록!$R$2:$R$1001&lt;&gt;""))&gt;0,"확인필요(입력누락)",IF(SUMPRODUCT((실물목록!$P$2:$P$1001&lt;&gt;"")*ISNUMBER(SEARCH(실물목록!$P$2:$P$1001,I2961))*(실물목록!$Q$2:$Q$1001&lt;&gt;"")*ISNUMBER(SEARCH(실물목록!$Q$2:$Q$1001,I2961))*(실물목록!$R$2:$R$1001="")*(실물목록!$O$2:$O$1001&lt;&gt;""))&gt;0,"확인필요(연도다름)","실물 없음")))))</f>
      </c>
      <c r="G2961" t="n" s="16">
        <f aca="0">IF(B2961="","",SUMPRODUCT((실물목록!$P$2:$P$1001&lt;&gt;"")*ISNUMBER(SEARCH(실물목록!$P$2:$P$1001,I2961))*(실물목록!$Q$2:$Q$1001&lt;&gt;"")*ISNUMBER(SEARCH(실물목록!$Q$2:$Q$1001,I2961))*(실물목록!$R$2:$R$1001="")*(실물목록!$O$2:$O$1001&lt;&gt;"")*(실물목록!$O$2:$O$1001=H2961)))</f>
      </c>
      <c r="H2961" t="str">
        <f>IFERROR(IF(AND(LEN(SUBSTITUTE(SUBSTITUTE(SUBSTITUTE(TRIM(A2961&amp;""),CHAR(160),"")," ",""),"년",""))=4,VALUE(SUBSTITUTE(SUBSTITUTE(SUBSTITUTE(TRIM(A2961&amp;""),CHAR(160),"")," ",""),"년",""))&gt;=1900,VALUE(SUBSTITUTE(SUBSTITUTE(SUBSTITUTE(TRIM(A2961&amp;""),CHAR(160),"")," ",""),"년",""))&lt;=2099,TEXT(VALUE(SUBSTITUTE(SUBSTITUTE(SUBSTITUTE(TRIM(A2961&amp;""),CHAR(160),"")," ",""),"년","")),"0000")=SUBSTITUTE(SUBSTITUTE(SUBSTITUTE(TRIM(A2961&amp;""),CHAR(160),"")," ",""),"년","")),SUBSTITUTE(SUBSTITUTE(SUBSTITUTE(TRIM(A2961&amp;""),CHAR(160),"")," ",""),"년",""),""),"")</f>
      </c>
      <c r="I2961" t="str">
        <f>SUBSTITUTE(SUBSTITUTE(SUBSTITUTE(SUBSTITUTE(SUBSTITUTE(TRIM(B2961&amp;""),CHAR(160),"")," ",""),"초등학교","초"),"중학교","중"),"고등학교","고")</f>
      </c>
    </row>
    <row r="2962" customFormat="false" ht="15" hidden="false" customHeight="false" outlineLevel="0" collapsed="false">
      <c r="A2962" s="8"/>
      <c r="B2962" s="8"/>
      <c r="C2962" s="8"/>
      <c r="D2962" s="8"/>
      <c r="E2962" s="8"/>
      <c r="F2962" t="str" s="15">
        <f aca="0">IF(B2962="","",IF(H2962="","확인필요(입력누락)",IF(SUMPRODUCT((실물목록!$P$2:$P$1001&lt;&gt;"")*ISNUMBER(SEARCH(실물목록!$P$2:$P$1001,I2962))*(실물목록!$Q$2:$Q$1001&lt;&gt;"")*ISNUMBER(SEARCH(실물목록!$Q$2:$Q$1001,I2962))*(실물목록!$R$2:$R$1001="")*(실물목록!$O$2:$O$1001&lt;&gt;"")*(실물목록!$O$2:$O$1001=H2962))&gt;0,"실물 있음",IF(SUMPRODUCT((실물목록!$P$2:$P$1001&lt;&gt;"")*ISNUMBER(SEARCH(실물목록!$P$2:$P$1001,I2962))*(실물목록!$R$2:$R$1001&lt;&gt;""))&gt;0,"확인필요(입력누락)",IF(SUMPRODUCT((실물목록!$P$2:$P$1001&lt;&gt;"")*ISNUMBER(SEARCH(실물목록!$P$2:$P$1001,I2962))*(실물목록!$Q$2:$Q$1001&lt;&gt;"")*ISNUMBER(SEARCH(실물목록!$Q$2:$Q$1001,I2962))*(실물목록!$R$2:$R$1001="")*(실물목록!$O$2:$O$1001&lt;&gt;""))&gt;0,"확인필요(연도다름)","실물 없음")))))</f>
      </c>
      <c r="G2962" t="n" s="16">
        <f aca="0">IF(B2962="","",SUMPRODUCT((실물목록!$P$2:$P$1001&lt;&gt;"")*ISNUMBER(SEARCH(실물목록!$P$2:$P$1001,I2962))*(실물목록!$Q$2:$Q$1001&lt;&gt;"")*ISNUMBER(SEARCH(실물목록!$Q$2:$Q$1001,I2962))*(실물목록!$R$2:$R$1001="")*(실물목록!$O$2:$O$1001&lt;&gt;"")*(실물목록!$O$2:$O$1001=H2962)))</f>
      </c>
      <c r="H2962" t="str">
        <f>IFERROR(IF(AND(LEN(SUBSTITUTE(SUBSTITUTE(SUBSTITUTE(TRIM(A2962&amp;""),CHAR(160),"")," ",""),"년",""))=4,VALUE(SUBSTITUTE(SUBSTITUTE(SUBSTITUTE(TRIM(A2962&amp;""),CHAR(160),"")," ",""),"년",""))&gt;=1900,VALUE(SUBSTITUTE(SUBSTITUTE(SUBSTITUTE(TRIM(A2962&amp;""),CHAR(160),"")," ",""),"년",""))&lt;=2099,TEXT(VALUE(SUBSTITUTE(SUBSTITUTE(SUBSTITUTE(TRIM(A2962&amp;""),CHAR(160),"")," ",""),"년","")),"0000")=SUBSTITUTE(SUBSTITUTE(SUBSTITUTE(TRIM(A2962&amp;""),CHAR(160),"")," ",""),"년","")),SUBSTITUTE(SUBSTITUTE(SUBSTITUTE(TRIM(A2962&amp;""),CHAR(160),"")," ",""),"년",""),""),"")</f>
      </c>
      <c r="I2962" t="str">
        <f>SUBSTITUTE(SUBSTITUTE(SUBSTITUTE(SUBSTITUTE(SUBSTITUTE(TRIM(B2962&amp;""),CHAR(160),"")," ",""),"초등학교","초"),"중학교","중"),"고등학교","고")</f>
      </c>
    </row>
    <row r="2963" customFormat="false" ht="15" hidden="false" customHeight="false" outlineLevel="0" collapsed="false">
      <c r="A2963" s="8"/>
      <c r="B2963" s="8"/>
      <c r="C2963" s="8"/>
      <c r="D2963" s="8"/>
      <c r="E2963" s="8"/>
      <c r="F2963" t="str" s="15">
        <f aca="0">IF(B2963="","",IF(H2963="","확인필요(입력누락)",IF(SUMPRODUCT((실물목록!$P$2:$P$1001&lt;&gt;"")*ISNUMBER(SEARCH(실물목록!$P$2:$P$1001,I2963))*(실물목록!$Q$2:$Q$1001&lt;&gt;"")*ISNUMBER(SEARCH(실물목록!$Q$2:$Q$1001,I2963))*(실물목록!$R$2:$R$1001="")*(실물목록!$O$2:$O$1001&lt;&gt;"")*(실물목록!$O$2:$O$1001=H2963))&gt;0,"실물 있음",IF(SUMPRODUCT((실물목록!$P$2:$P$1001&lt;&gt;"")*ISNUMBER(SEARCH(실물목록!$P$2:$P$1001,I2963))*(실물목록!$R$2:$R$1001&lt;&gt;""))&gt;0,"확인필요(입력누락)",IF(SUMPRODUCT((실물목록!$P$2:$P$1001&lt;&gt;"")*ISNUMBER(SEARCH(실물목록!$P$2:$P$1001,I2963))*(실물목록!$Q$2:$Q$1001&lt;&gt;"")*ISNUMBER(SEARCH(실물목록!$Q$2:$Q$1001,I2963))*(실물목록!$R$2:$R$1001="")*(실물목록!$O$2:$O$1001&lt;&gt;""))&gt;0,"확인필요(연도다름)","실물 없음")))))</f>
      </c>
      <c r="G2963" t="n" s="16">
        <f aca="0">IF(B2963="","",SUMPRODUCT((실물목록!$P$2:$P$1001&lt;&gt;"")*ISNUMBER(SEARCH(실물목록!$P$2:$P$1001,I2963))*(실물목록!$Q$2:$Q$1001&lt;&gt;"")*ISNUMBER(SEARCH(실물목록!$Q$2:$Q$1001,I2963))*(실물목록!$R$2:$R$1001="")*(실물목록!$O$2:$O$1001&lt;&gt;"")*(실물목록!$O$2:$O$1001=H2963)))</f>
      </c>
      <c r="H2963" t="str">
        <f>IFERROR(IF(AND(LEN(SUBSTITUTE(SUBSTITUTE(SUBSTITUTE(TRIM(A2963&amp;""),CHAR(160),"")," ",""),"년",""))=4,VALUE(SUBSTITUTE(SUBSTITUTE(SUBSTITUTE(TRIM(A2963&amp;""),CHAR(160),"")," ",""),"년",""))&gt;=1900,VALUE(SUBSTITUTE(SUBSTITUTE(SUBSTITUTE(TRIM(A2963&amp;""),CHAR(160),"")," ",""),"년",""))&lt;=2099,TEXT(VALUE(SUBSTITUTE(SUBSTITUTE(SUBSTITUTE(TRIM(A2963&amp;""),CHAR(160),"")," ",""),"년","")),"0000")=SUBSTITUTE(SUBSTITUTE(SUBSTITUTE(TRIM(A2963&amp;""),CHAR(160),"")," ",""),"년","")),SUBSTITUTE(SUBSTITUTE(SUBSTITUTE(TRIM(A2963&amp;""),CHAR(160),"")," ",""),"년",""),""),"")</f>
      </c>
      <c r="I2963" t="str">
        <f>SUBSTITUTE(SUBSTITUTE(SUBSTITUTE(SUBSTITUTE(SUBSTITUTE(TRIM(B2963&amp;""),CHAR(160),"")," ",""),"초등학교","초"),"중학교","중"),"고등학교","고")</f>
      </c>
    </row>
    <row r="2964" customFormat="false" ht="15" hidden="false" customHeight="false" outlineLevel="0" collapsed="false">
      <c r="A2964" s="8"/>
      <c r="B2964" s="8"/>
      <c r="C2964" s="8"/>
      <c r="D2964" s="8"/>
      <c r="E2964" s="8"/>
      <c r="F2964" t="str" s="15">
        <f aca="0">IF(B2964="","",IF(H2964="","확인필요(입력누락)",IF(SUMPRODUCT((실물목록!$P$2:$P$1001&lt;&gt;"")*ISNUMBER(SEARCH(실물목록!$P$2:$P$1001,I2964))*(실물목록!$Q$2:$Q$1001&lt;&gt;"")*ISNUMBER(SEARCH(실물목록!$Q$2:$Q$1001,I2964))*(실물목록!$R$2:$R$1001="")*(실물목록!$O$2:$O$1001&lt;&gt;"")*(실물목록!$O$2:$O$1001=H2964))&gt;0,"실물 있음",IF(SUMPRODUCT((실물목록!$P$2:$P$1001&lt;&gt;"")*ISNUMBER(SEARCH(실물목록!$P$2:$P$1001,I2964))*(실물목록!$R$2:$R$1001&lt;&gt;""))&gt;0,"확인필요(입력누락)",IF(SUMPRODUCT((실물목록!$P$2:$P$1001&lt;&gt;"")*ISNUMBER(SEARCH(실물목록!$P$2:$P$1001,I2964))*(실물목록!$Q$2:$Q$1001&lt;&gt;"")*ISNUMBER(SEARCH(실물목록!$Q$2:$Q$1001,I2964))*(실물목록!$R$2:$R$1001="")*(실물목록!$O$2:$O$1001&lt;&gt;""))&gt;0,"확인필요(연도다름)","실물 없음")))))</f>
      </c>
      <c r="G2964" t="n" s="16">
        <f aca="0">IF(B2964="","",SUMPRODUCT((실물목록!$P$2:$P$1001&lt;&gt;"")*ISNUMBER(SEARCH(실물목록!$P$2:$P$1001,I2964))*(실물목록!$Q$2:$Q$1001&lt;&gt;"")*ISNUMBER(SEARCH(실물목록!$Q$2:$Q$1001,I2964))*(실물목록!$R$2:$R$1001="")*(실물목록!$O$2:$O$1001&lt;&gt;"")*(실물목록!$O$2:$O$1001=H2964)))</f>
      </c>
      <c r="H2964" t="str">
        <f>IFERROR(IF(AND(LEN(SUBSTITUTE(SUBSTITUTE(SUBSTITUTE(TRIM(A2964&amp;""),CHAR(160),"")," ",""),"년",""))=4,VALUE(SUBSTITUTE(SUBSTITUTE(SUBSTITUTE(TRIM(A2964&amp;""),CHAR(160),"")," ",""),"년",""))&gt;=1900,VALUE(SUBSTITUTE(SUBSTITUTE(SUBSTITUTE(TRIM(A2964&amp;""),CHAR(160),"")," ",""),"년",""))&lt;=2099,TEXT(VALUE(SUBSTITUTE(SUBSTITUTE(SUBSTITUTE(TRIM(A2964&amp;""),CHAR(160),"")," ",""),"년","")),"0000")=SUBSTITUTE(SUBSTITUTE(SUBSTITUTE(TRIM(A2964&amp;""),CHAR(160),"")," ",""),"년","")),SUBSTITUTE(SUBSTITUTE(SUBSTITUTE(TRIM(A2964&amp;""),CHAR(160),"")," ",""),"년",""),""),"")</f>
      </c>
      <c r="I2964" t="str">
        <f>SUBSTITUTE(SUBSTITUTE(SUBSTITUTE(SUBSTITUTE(SUBSTITUTE(TRIM(B2964&amp;""),CHAR(160),"")," ",""),"초등학교","초"),"중학교","중"),"고등학교","고")</f>
      </c>
    </row>
    <row r="2965" customFormat="false" ht="15" hidden="false" customHeight="false" outlineLevel="0" collapsed="false">
      <c r="A2965" s="8"/>
      <c r="B2965" s="8"/>
      <c r="C2965" s="8"/>
      <c r="D2965" s="8"/>
      <c r="E2965" s="8"/>
      <c r="F2965" t="str" s="15">
        <f aca="0">IF(B2965="","",IF(H2965="","확인필요(입력누락)",IF(SUMPRODUCT((실물목록!$P$2:$P$1001&lt;&gt;"")*ISNUMBER(SEARCH(실물목록!$P$2:$P$1001,I2965))*(실물목록!$Q$2:$Q$1001&lt;&gt;"")*ISNUMBER(SEARCH(실물목록!$Q$2:$Q$1001,I2965))*(실물목록!$R$2:$R$1001="")*(실물목록!$O$2:$O$1001&lt;&gt;"")*(실물목록!$O$2:$O$1001=H2965))&gt;0,"실물 있음",IF(SUMPRODUCT((실물목록!$P$2:$P$1001&lt;&gt;"")*ISNUMBER(SEARCH(실물목록!$P$2:$P$1001,I2965))*(실물목록!$R$2:$R$1001&lt;&gt;""))&gt;0,"확인필요(입력누락)",IF(SUMPRODUCT((실물목록!$P$2:$P$1001&lt;&gt;"")*ISNUMBER(SEARCH(실물목록!$P$2:$P$1001,I2965))*(실물목록!$Q$2:$Q$1001&lt;&gt;"")*ISNUMBER(SEARCH(실물목록!$Q$2:$Q$1001,I2965))*(실물목록!$R$2:$R$1001="")*(실물목록!$O$2:$O$1001&lt;&gt;""))&gt;0,"확인필요(연도다름)","실물 없음")))))</f>
      </c>
      <c r="G2965" t="n" s="16">
        <f aca="0">IF(B2965="","",SUMPRODUCT((실물목록!$P$2:$P$1001&lt;&gt;"")*ISNUMBER(SEARCH(실물목록!$P$2:$P$1001,I2965))*(실물목록!$Q$2:$Q$1001&lt;&gt;"")*ISNUMBER(SEARCH(실물목록!$Q$2:$Q$1001,I2965))*(실물목록!$R$2:$R$1001="")*(실물목록!$O$2:$O$1001&lt;&gt;"")*(실물목록!$O$2:$O$1001=H2965)))</f>
      </c>
      <c r="H2965" t="str">
        <f>IFERROR(IF(AND(LEN(SUBSTITUTE(SUBSTITUTE(SUBSTITUTE(TRIM(A2965&amp;""),CHAR(160),"")," ",""),"년",""))=4,VALUE(SUBSTITUTE(SUBSTITUTE(SUBSTITUTE(TRIM(A2965&amp;""),CHAR(160),"")," ",""),"년",""))&gt;=1900,VALUE(SUBSTITUTE(SUBSTITUTE(SUBSTITUTE(TRIM(A2965&amp;""),CHAR(160),"")," ",""),"년",""))&lt;=2099,TEXT(VALUE(SUBSTITUTE(SUBSTITUTE(SUBSTITUTE(TRIM(A2965&amp;""),CHAR(160),"")," ",""),"년","")),"0000")=SUBSTITUTE(SUBSTITUTE(SUBSTITUTE(TRIM(A2965&amp;""),CHAR(160),"")," ",""),"년","")),SUBSTITUTE(SUBSTITUTE(SUBSTITUTE(TRIM(A2965&amp;""),CHAR(160),"")," ",""),"년",""),""),"")</f>
      </c>
      <c r="I2965" t="str">
        <f>SUBSTITUTE(SUBSTITUTE(SUBSTITUTE(SUBSTITUTE(SUBSTITUTE(TRIM(B2965&amp;""),CHAR(160),"")," ",""),"초등학교","초"),"중학교","중"),"고등학교","고")</f>
      </c>
    </row>
    <row r="2966" customFormat="false" ht="15" hidden="false" customHeight="false" outlineLevel="0" collapsed="false">
      <c r="A2966" s="8"/>
      <c r="B2966" s="8"/>
      <c r="C2966" s="8"/>
      <c r="D2966" s="8"/>
      <c r="E2966" s="8"/>
      <c r="F2966" t="str" s="15">
        <f aca="0">IF(B2966="","",IF(H2966="","확인필요(입력누락)",IF(SUMPRODUCT((실물목록!$P$2:$P$1001&lt;&gt;"")*ISNUMBER(SEARCH(실물목록!$P$2:$P$1001,I2966))*(실물목록!$Q$2:$Q$1001&lt;&gt;"")*ISNUMBER(SEARCH(실물목록!$Q$2:$Q$1001,I2966))*(실물목록!$R$2:$R$1001="")*(실물목록!$O$2:$O$1001&lt;&gt;"")*(실물목록!$O$2:$O$1001=H2966))&gt;0,"실물 있음",IF(SUMPRODUCT((실물목록!$P$2:$P$1001&lt;&gt;"")*ISNUMBER(SEARCH(실물목록!$P$2:$P$1001,I2966))*(실물목록!$R$2:$R$1001&lt;&gt;""))&gt;0,"확인필요(입력누락)",IF(SUMPRODUCT((실물목록!$P$2:$P$1001&lt;&gt;"")*ISNUMBER(SEARCH(실물목록!$P$2:$P$1001,I2966))*(실물목록!$Q$2:$Q$1001&lt;&gt;"")*ISNUMBER(SEARCH(실물목록!$Q$2:$Q$1001,I2966))*(실물목록!$R$2:$R$1001="")*(실물목록!$O$2:$O$1001&lt;&gt;""))&gt;0,"확인필요(연도다름)","실물 없음")))))</f>
      </c>
      <c r="G2966" t="n" s="16">
        <f aca="0">IF(B2966="","",SUMPRODUCT((실물목록!$P$2:$P$1001&lt;&gt;"")*ISNUMBER(SEARCH(실물목록!$P$2:$P$1001,I2966))*(실물목록!$Q$2:$Q$1001&lt;&gt;"")*ISNUMBER(SEARCH(실물목록!$Q$2:$Q$1001,I2966))*(실물목록!$R$2:$R$1001="")*(실물목록!$O$2:$O$1001&lt;&gt;"")*(실물목록!$O$2:$O$1001=H2966)))</f>
      </c>
      <c r="H2966" t="str">
        <f>IFERROR(IF(AND(LEN(SUBSTITUTE(SUBSTITUTE(SUBSTITUTE(TRIM(A2966&amp;""),CHAR(160),"")," ",""),"년",""))=4,VALUE(SUBSTITUTE(SUBSTITUTE(SUBSTITUTE(TRIM(A2966&amp;""),CHAR(160),"")," ",""),"년",""))&gt;=1900,VALUE(SUBSTITUTE(SUBSTITUTE(SUBSTITUTE(TRIM(A2966&amp;""),CHAR(160),"")," ",""),"년",""))&lt;=2099,TEXT(VALUE(SUBSTITUTE(SUBSTITUTE(SUBSTITUTE(TRIM(A2966&amp;""),CHAR(160),"")," ",""),"년","")),"0000")=SUBSTITUTE(SUBSTITUTE(SUBSTITUTE(TRIM(A2966&amp;""),CHAR(160),"")," ",""),"년","")),SUBSTITUTE(SUBSTITUTE(SUBSTITUTE(TRIM(A2966&amp;""),CHAR(160),"")," ",""),"년",""),""),"")</f>
      </c>
      <c r="I2966" t="str">
        <f>SUBSTITUTE(SUBSTITUTE(SUBSTITUTE(SUBSTITUTE(SUBSTITUTE(TRIM(B2966&amp;""),CHAR(160),"")," ",""),"초등학교","초"),"중학교","중"),"고등학교","고")</f>
      </c>
    </row>
    <row r="2967" customFormat="false" ht="15" hidden="false" customHeight="false" outlineLevel="0" collapsed="false">
      <c r="A2967" s="8"/>
      <c r="B2967" s="8"/>
      <c r="C2967" s="8"/>
      <c r="D2967" s="8"/>
      <c r="E2967" s="8"/>
      <c r="F2967" t="str" s="15">
        <f aca="0">IF(B2967="","",IF(H2967="","확인필요(입력누락)",IF(SUMPRODUCT((실물목록!$P$2:$P$1001&lt;&gt;"")*ISNUMBER(SEARCH(실물목록!$P$2:$P$1001,I2967))*(실물목록!$Q$2:$Q$1001&lt;&gt;"")*ISNUMBER(SEARCH(실물목록!$Q$2:$Q$1001,I2967))*(실물목록!$R$2:$R$1001="")*(실물목록!$O$2:$O$1001&lt;&gt;"")*(실물목록!$O$2:$O$1001=H2967))&gt;0,"실물 있음",IF(SUMPRODUCT((실물목록!$P$2:$P$1001&lt;&gt;"")*ISNUMBER(SEARCH(실물목록!$P$2:$P$1001,I2967))*(실물목록!$R$2:$R$1001&lt;&gt;""))&gt;0,"확인필요(입력누락)",IF(SUMPRODUCT((실물목록!$P$2:$P$1001&lt;&gt;"")*ISNUMBER(SEARCH(실물목록!$P$2:$P$1001,I2967))*(실물목록!$Q$2:$Q$1001&lt;&gt;"")*ISNUMBER(SEARCH(실물목록!$Q$2:$Q$1001,I2967))*(실물목록!$R$2:$R$1001="")*(실물목록!$O$2:$O$1001&lt;&gt;""))&gt;0,"확인필요(연도다름)","실물 없음")))))</f>
      </c>
      <c r="G2967" t="n" s="16">
        <f aca="0">IF(B2967="","",SUMPRODUCT((실물목록!$P$2:$P$1001&lt;&gt;"")*ISNUMBER(SEARCH(실물목록!$P$2:$P$1001,I2967))*(실물목록!$Q$2:$Q$1001&lt;&gt;"")*ISNUMBER(SEARCH(실물목록!$Q$2:$Q$1001,I2967))*(실물목록!$R$2:$R$1001="")*(실물목록!$O$2:$O$1001&lt;&gt;"")*(실물목록!$O$2:$O$1001=H2967)))</f>
      </c>
      <c r="H2967" t="str">
        <f>IFERROR(IF(AND(LEN(SUBSTITUTE(SUBSTITUTE(SUBSTITUTE(TRIM(A2967&amp;""),CHAR(160),"")," ",""),"년",""))=4,VALUE(SUBSTITUTE(SUBSTITUTE(SUBSTITUTE(TRIM(A2967&amp;""),CHAR(160),"")," ",""),"년",""))&gt;=1900,VALUE(SUBSTITUTE(SUBSTITUTE(SUBSTITUTE(TRIM(A2967&amp;""),CHAR(160),"")," ",""),"년",""))&lt;=2099,TEXT(VALUE(SUBSTITUTE(SUBSTITUTE(SUBSTITUTE(TRIM(A2967&amp;""),CHAR(160),"")," ",""),"년","")),"0000")=SUBSTITUTE(SUBSTITUTE(SUBSTITUTE(TRIM(A2967&amp;""),CHAR(160),"")," ",""),"년","")),SUBSTITUTE(SUBSTITUTE(SUBSTITUTE(TRIM(A2967&amp;""),CHAR(160),"")," ",""),"년",""),""),"")</f>
      </c>
      <c r="I2967" t="str">
        <f>SUBSTITUTE(SUBSTITUTE(SUBSTITUTE(SUBSTITUTE(SUBSTITUTE(TRIM(B2967&amp;""),CHAR(160),"")," ",""),"초등학교","초"),"중학교","중"),"고등학교","고")</f>
      </c>
    </row>
    <row r="2968" customFormat="false" ht="15" hidden="false" customHeight="false" outlineLevel="0" collapsed="false">
      <c r="A2968" s="8"/>
      <c r="B2968" s="8"/>
      <c r="C2968" s="8"/>
      <c r="D2968" s="8"/>
      <c r="E2968" s="8"/>
      <c r="F2968" t="str" s="15">
        <f aca="0">IF(B2968="","",IF(H2968="","확인필요(입력누락)",IF(SUMPRODUCT((실물목록!$P$2:$P$1001&lt;&gt;"")*ISNUMBER(SEARCH(실물목록!$P$2:$P$1001,I2968))*(실물목록!$Q$2:$Q$1001&lt;&gt;"")*ISNUMBER(SEARCH(실물목록!$Q$2:$Q$1001,I2968))*(실물목록!$R$2:$R$1001="")*(실물목록!$O$2:$O$1001&lt;&gt;"")*(실물목록!$O$2:$O$1001=H2968))&gt;0,"실물 있음",IF(SUMPRODUCT((실물목록!$P$2:$P$1001&lt;&gt;"")*ISNUMBER(SEARCH(실물목록!$P$2:$P$1001,I2968))*(실물목록!$R$2:$R$1001&lt;&gt;""))&gt;0,"확인필요(입력누락)",IF(SUMPRODUCT((실물목록!$P$2:$P$1001&lt;&gt;"")*ISNUMBER(SEARCH(실물목록!$P$2:$P$1001,I2968))*(실물목록!$Q$2:$Q$1001&lt;&gt;"")*ISNUMBER(SEARCH(실물목록!$Q$2:$Q$1001,I2968))*(실물목록!$R$2:$R$1001="")*(실물목록!$O$2:$O$1001&lt;&gt;""))&gt;0,"확인필요(연도다름)","실물 없음")))))</f>
      </c>
      <c r="G2968" t="n" s="16">
        <f aca="0">IF(B2968="","",SUMPRODUCT((실물목록!$P$2:$P$1001&lt;&gt;"")*ISNUMBER(SEARCH(실물목록!$P$2:$P$1001,I2968))*(실물목록!$Q$2:$Q$1001&lt;&gt;"")*ISNUMBER(SEARCH(실물목록!$Q$2:$Q$1001,I2968))*(실물목록!$R$2:$R$1001="")*(실물목록!$O$2:$O$1001&lt;&gt;"")*(실물목록!$O$2:$O$1001=H2968)))</f>
      </c>
      <c r="H2968" t="str">
        <f>IFERROR(IF(AND(LEN(SUBSTITUTE(SUBSTITUTE(SUBSTITUTE(TRIM(A2968&amp;""),CHAR(160),"")," ",""),"년",""))=4,VALUE(SUBSTITUTE(SUBSTITUTE(SUBSTITUTE(TRIM(A2968&amp;""),CHAR(160),"")," ",""),"년",""))&gt;=1900,VALUE(SUBSTITUTE(SUBSTITUTE(SUBSTITUTE(TRIM(A2968&amp;""),CHAR(160),"")," ",""),"년",""))&lt;=2099,TEXT(VALUE(SUBSTITUTE(SUBSTITUTE(SUBSTITUTE(TRIM(A2968&amp;""),CHAR(160),"")," ",""),"년","")),"0000")=SUBSTITUTE(SUBSTITUTE(SUBSTITUTE(TRIM(A2968&amp;""),CHAR(160),"")," ",""),"년","")),SUBSTITUTE(SUBSTITUTE(SUBSTITUTE(TRIM(A2968&amp;""),CHAR(160),"")," ",""),"년",""),""),"")</f>
      </c>
      <c r="I2968" t="str">
        <f>SUBSTITUTE(SUBSTITUTE(SUBSTITUTE(SUBSTITUTE(SUBSTITUTE(TRIM(B2968&amp;""),CHAR(160),"")," ",""),"초등학교","초"),"중학교","중"),"고등학교","고")</f>
      </c>
    </row>
    <row r="2969" customFormat="false" ht="15" hidden="false" customHeight="false" outlineLevel="0" collapsed="false">
      <c r="A2969" s="8"/>
      <c r="B2969" s="8"/>
      <c r="C2969" s="8"/>
      <c r="D2969" s="8"/>
      <c r="E2969" s="8"/>
      <c r="F2969" t="str" s="15">
        <f aca="0">IF(B2969="","",IF(H2969="","확인필요(입력누락)",IF(SUMPRODUCT((실물목록!$P$2:$P$1001&lt;&gt;"")*ISNUMBER(SEARCH(실물목록!$P$2:$P$1001,I2969))*(실물목록!$Q$2:$Q$1001&lt;&gt;"")*ISNUMBER(SEARCH(실물목록!$Q$2:$Q$1001,I2969))*(실물목록!$R$2:$R$1001="")*(실물목록!$O$2:$O$1001&lt;&gt;"")*(실물목록!$O$2:$O$1001=H2969))&gt;0,"실물 있음",IF(SUMPRODUCT((실물목록!$P$2:$P$1001&lt;&gt;"")*ISNUMBER(SEARCH(실물목록!$P$2:$P$1001,I2969))*(실물목록!$R$2:$R$1001&lt;&gt;""))&gt;0,"확인필요(입력누락)",IF(SUMPRODUCT((실물목록!$P$2:$P$1001&lt;&gt;"")*ISNUMBER(SEARCH(실물목록!$P$2:$P$1001,I2969))*(실물목록!$Q$2:$Q$1001&lt;&gt;"")*ISNUMBER(SEARCH(실물목록!$Q$2:$Q$1001,I2969))*(실물목록!$R$2:$R$1001="")*(실물목록!$O$2:$O$1001&lt;&gt;""))&gt;0,"확인필요(연도다름)","실물 없음")))))</f>
      </c>
      <c r="G2969" t="n" s="16">
        <f aca="0">IF(B2969="","",SUMPRODUCT((실물목록!$P$2:$P$1001&lt;&gt;"")*ISNUMBER(SEARCH(실물목록!$P$2:$P$1001,I2969))*(실물목록!$Q$2:$Q$1001&lt;&gt;"")*ISNUMBER(SEARCH(실물목록!$Q$2:$Q$1001,I2969))*(실물목록!$R$2:$R$1001="")*(실물목록!$O$2:$O$1001&lt;&gt;"")*(실물목록!$O$2:$O$1001=H2969)))</f>
      </c>
      <c r="H2969" t="str">
        <f>IFERROR(IF(AND(LEN(SUBSTITUTE(SUBSTITUTE(SUBSTITUTE(TRIM(A2969&amp;""),CHAR(160),"")," ",""),"년",""))=4,VALUE(SUBSTITUTE(SUBSTITUTE(SUBSTITUTE(TRIM(A2969&amp;""),CHAR(160),"")," ",""),"년",""))&gt;=1900,VALUE(SUBSTITUTE(SUBSTITUTE(SUBSTITUTE(TRIM(A2969&amp;""),CHAR(160),"")," ",""),"년",""))&lt;=2099,TEXT(VALUE(SUBSTITUTE(SUBSTITUTE(SUBSTITUTE(TRIM(A2969&amp;""),CHAR(160),"")," ",""),"년","")),"0000")=SUBSTITUTE(SUBSTITUTE(SUBSTITUTE(TRIM(A2969&amp;""),CHAR(160),"")," ",""),"년","")),SUBSTITUTE(SUBSTITUTE(SUBSTITUTE(TRIM(A2969&amp;""),CHAR(160),"")," ",""),"년",""),""),"")</f>
      </c>
      <c r="I2969" t="str">
        <f>SUBSTITUTE(SUBSTITUTE(SUBSTITUTE(SUBSTITUTE(SUBSTITUTE(TRIM(B2969&amp;""),CHAR(160),"")," ",""),"초등학교","초"),"중학교","중"),"고등학교","고")</f>
      </c>
    </row>
    <row r="2970" customFormat="false" ht="15" hidden="false" customHeight="false" outlineLevel="0" collapsed="false">
      <c r="A2970" s="8"/>
      <c r="B2970" s="8"/>
      <c r="C2970" s="8"/>
      <c r="D2970" s="8"/>
      <c r="E2970" s="8"/>
      <c r="F2970" t="str" s="15">
        <f aca="0">IF(B2970="","",IF(H2970="","확인필요(입력누락)",IF(SUMPRODUCT((실물목록!$P$2:$P$1001&lt;&gt;"")*ISNUMBER(SEARCH(실물목록!$P$2:$P$1001,I2970))*(실물목록!$Q$2:$Q$1001&lt;&gt;"")*ISNUMBER(SEARCH(실물목록!$Q$2:$Q$1001,I2970))*(실물목록!$R$2:$R$1001="")*(실물목록!$O$2:$O$1001&lt;&gt;"")*(실물목록!$O$2:$O$1001=H2970))&gt;0,"실물 있음",IF(SUMPRODUCT((실물목록!$P$2:$P$1001&lt;&gt;"")*ISNUMBER(SEARCH(실물목록!$P$2:$P$1001,I2970))*(실물목록!$R$2:$R$1001&lt;&gt;""))&gt;0,"확인필요(입력누락)",IF(SUMPRODUCT((실물목록!$P$2:$P$1001&lt;&gt;"")*ISNUMBER(SEARCH(실물목록!$P$2:$P$1001,I2970))*(실물목록!$Q$2:$Q$1001&lt;&gt;"")*ISNUMBER(SEARCH(실물목록!$Q$2:$Q$1001,I2970))*(실물목록!$R$2:$R$1001="")*(실물목록!$O$2:$O$1001&lt;&gt;""))&gt;0,"확인필요(연도다름)","실물 없음")))))</f>
      </c>
      <c r="G2970" t="n" s="16">
        <f aca="0">IF(B2970="","",SUMPRODUCT((실물목록!$P$2:$P$1001&lt;&gt;"")*ISNUMBER(SEARCH(실물목록!$P$2:$P$1001,I2970))*(실물목록!$Q$2:$Q$1001&lt;&gt;"")*ISNUMBER(SEARCH(실물목록!$Q$2:$Q$1001,I2970))*(실물목록!$R$2:$R$1001="")*(실물목록!$O$2:$O$1001&lt;&gt;"")*(실물목록!$O$2:$O$1001=H2970)))</f>
      </c>
      <c r="H2970" t="str">
        <f>IFERROR(IF(AND(LEN(SUBSTITUTE(SUBSTITUTE(SUBSTITUTE(TRIM(A2970&amp;""),CHAR(160),"")," ",""),"년",""))=4,VALUE(SUBSTITUTE(SUBSTITUTE(SUBSTITUTE(TRIM(A2970&amp;""),CHAR(160),"")," ",""),"년",""))&gt;=1900,VALUE(SUBSTITUTE(SUBSTITUTE(SUBSTITUTE(TRIM(A2970&amp;""),CHAR(160),"")," ",""),"년",""))&lt;=2099,TEXT(VALUE(SUBSTITUTE(SUBSTITUTE(SUBSTITUTE(TRIM(A2970&amp;""),CHAR(160),"")," ",""),"년","")),"0000")=SUBSTITUTE(SUBSTITUTE(SUBSTITUTE(TRIM(A2970&amp;""),CHAR(160),"")," ",""),"년","")),SUBSTITUTE(SUBSTITUTE(SUBSTITUTE(TRIM(A2970&amp;""),CHAR(160),"")," ",""),"년",""),""),"")</f>
      </c>
      <c r="I2970" t="str">
        <f>SUBSTITUTE(SUBSTITUTE(SUBSTITUTE(SUBSTITUTE(SUBSTITUTE(TRIM(B2970&amp;""),CHAR(160),"")," ",""),"초등학교","초"),"중학교","중"),"고등학교","고")</f>
      </c>
    </row>
    <row r="2971" customFormat="false" ht="15" hidden="false" customHeight="false" outlineLevel="0" collapsed="false">
      <c r="A2971" s="8"/>
      <c r="B2971" s="8"/>
      <c r="C2971" s="8"/>
      <c r="D2971" s="8"/>
      <c r="E2971" s="8"/>
      <c r="F2971" t="str" s="15">
        <f aca="0">IF(B2971="","",IF(H2971="","확인필요(입력누락)",IF(SUMPRODUCT((실물목록!$P$2:$P$1001&lt;&gt;"")*ISNUMBER(SEARCH(실물목록!$P$2:$P$1001,I2971))*(실물목록!$Q$2:$Q$1001&lt;&gt;"")*ISNUMBER(SEARCH(실물목록!$Q$2:$Q$1001,I2971))*(실물목록!$R$2:$R$1001="")*(실물목록!$O$2:$O$1001&lt;&gt;"")*(실물목록!$O$2:$O$1001=H2971))&gt;0,"실물 있음",IF(SUMPRODUCT((실물목록!$P$2:$P$1001&lt;&gt;"")*ISNUMBER(SEARCH(실물목록!$P$2:$P$1001,I2971))*(실물목록!$R$2:$R$1001&lt;&gt;""))&gt;0,"확인필요(입력누락)",IF(SUMPRODUCT((실물목록!$P$2:$P$1001&lt;&gt;"")*ISNUMBER(SEARCH(실물목록!$P$2:$P$1001,I2971))*(실물목록!$Q$2:$Q$1001&lt;&gt;"")*ISNUMBER(SEARCH(실물목록!$Q$2:$Q$1001,I2971))*(실물목록!$R$2:$R$1001="")*(실물목록!$O$2:$O$1001&lt;&gt;""))&gt;0,"확인필요(연도다름)","실물 없음")))))</f>
      </c>
      <c r="G2971" t="n" s="16">
        <f aca="0">IF(B2971="","",SUMPRODUCT((실물목록!$P$2:$P$1001&lt;&gt;"")*ISNUMBER(SEARCH(실물목록!$P$2:$P$1001,I2971))*(실물목록!$Q$2:$Q$1001&lt;&gt;"")*ISNUMBER(SEARCH(실물목록!$Q$2:$Q$1001,I2971))*(실물목록!$R$2:$R$1001="")*(실물목록!$O$2:$O$1001&lt;&gt;"")*(실물목록!$O$2:$O$1001=H2971)))</f>
      </c>
      <c r="H2971" t="str">
        <f>IFERROR(IF(AND(LEN(SUBSTITUTE(SUBSTITUTE(SUBSTITUTE(TRIM(A2971&amp;""),CHAR(160),"")," ",""),"년",""))=4,VALUE(SUBSTITUTE(SUBSTITUTE(SUBSTITUTE(TRIM(A2971&amp;""),CHAR(160),"")," ",""),"년",""))&gt;=1900,VALUE(SUBSTITUTE(SUBSTITUTE(SUBSTITUTE(TRIM(A2971&amp;""),CHAR(160),"")," ",""),"년",""))&lt;=2099,TEXT(VALUE(SUBSTITUTE(SUBSTITUTE(SUBSTITUTE(TRIM(A2971&amp;""),CHAR(160),"")," ",""),"년","")),"0000")=SUBSTITUTE(SUBSTITUTE(SUBSTITUTE(TRIM(A2971&amp;""),CHAR(160),"")," ",""),"년","")),SUBSTITUTE(SUBSTITUTE(SUBSTITUTE(TRIM(A2971&amp;""),CHAR(160),"")," ",""),"년",""),""),"")</f>
      </c>
      <c r="I2971" t="str">
        <f>SUBSTITUTE(SUBSTITUTE(SUBSTITUTE(SUBSTITUTE(SUBSTITUTE(TRIM(B2971&amp;""),CHAR(160),"")," ",""),"초등학교","초"),"중학교","중"),"고등학교","고")</f>
      </c>
    </row>
    <row r="2972" customFormat="false" ht="15" hidden="false" customHeight="false" outlineLevel="0" collapsed="false">
      <c r="A2972" s="8"/>
      <c r="B2972" s="8"/>
      <c r="C2972" s="8"/>
      <c r="D2972" s="8"/>
      <c r="E2972" s="8"/>
      <c r="F2972" t="str" s="15">
        <f aca="0">IF(B2972="","",IF(H2972="","확인필요(입력누락)",IF(SUMPRODUCT((실물목록!$P$2:$P$1001&lt;&gt;"")*ISNUMBER(SEARCH(실물목록!$P$2:$P$1001,I2972))*(실물목록!$Q$2:$Q$1001&lt;&gt;"")*ISNUMBER(SEARCH(실물목록!$Q$2:$Q$1001,I2972))*(실물목록!$R$2:$R$1001="")*(실물목록!$O$2:$O$1001&lt;&gt;"")*(실물목록!$O$2:$O$1001=H2972))&gt;0,"실물 있음",IF(SUMPRODUCT((실물목록!$P$2:$P$1001&lt;&gt;"")*ISNUMBER(SEARCH(실물목록!$P$2:$P$1001,I2972))*(실물목록!$R$2:$R$1001&lt;&gt;""))&gt;0,"확인필요(입력누락)",IF(SUMPRODUCT((실물목록!$P$2:$P$1001&lt;&gt;"")*ISNUMBER(SEARCH(실물목록!$P$2:$P$1001,I2972))*(실물목록!$Q$2:$Q$1001&lt;&gt;"")*ISNUMBER(SEARCH(실물목록!$Q$2:$Q$1001,I2972))*(실물목록!$R$2:$R$1001="")*(실물목록!$O$2:$O$1001&lt;&gt;""))&gt;0,"확인필요(연도다름)","실물 없음")))))</f>
      </c>
      <c r="G2972" t="n" s="16">
        <f aca="0">IF(B2972="","",SUMPRODUCT((실물목록!$P$2:$P$1001&lt;&gt;"")*ISNUMBER(SEARCH(실물목록!$P$2:$P$1001,I2972))*(실물목록!$Q$2:$Q$1001&lt;&gt;"")*ISNUMBER(SEARCH(실물목록!$Q$2:$Q$1001,I2972))*(실물목록!$R$2:$R$1001="")*(실물목록!$O$2:$O$1001&lt;&gt;"")*(실물목록!$O$2:$O$1001=H2972)))</f>
      </c>
      <c r="H2972" t="str">
        <f>IFERROR(IF(AND(LEN(SUBSTITUTE(SUBSTITUTE(SUBSTITUTE(TRIM(A2972&amp;""),CHAR(160),"")," ",""),"년",""))=4,VALUE(SUBSTITUTE(SUBSTITUTE(SUBSTITUTE(TRIM(A2972&amp;""),CHAR(160),"")," ",""),"년",""))&gt;=1900,VALUE(SUBSTITUTE(SUBSTITUTE(SUBSTITUTE(TRIM(A2972&amp;""),CHAR(160),"")," ",""),"년",""))&lt;=2099,TEXT(VALUE(SUBSTITUTE(SUBSTITUTE(SUBSTITUTE(TRIM(A2972&amp;""),CHAR(160),"")," ",""),"년","")),"0000")=SUBSTITUTE(SUBSTITUTE(SUBSTITUTE(TRIM(A2972&amp;""),CHAR(160),"")," ",""),"년","")),SUBSTITUTE(SUBSTITUTE(SUBSTITUTE(TRIM(A2972&amp;""),CHAR(160),"")," ",""),"년",""),""),"")</f>
      </c>
      <c r="I2972" t="str">
        <f>SUBSTITUTE(SUBSTITUTE(SUBSTITUTE(SUBSTITUTE(SUBSTITUTE(TRIM(B2972&amp;""),CHAR(160),"")," ",""),"초등학교","초"),"중학교","중"),"고등학교","고")</f>
      </c>
    </row>
    <row r="2973" customFormat="false" ht="15" hidden="false" customHeight="false" outlineLevel="0" collapsed="false">
      <c r="A2973" s="8"/>
      <c r="B2973" s="8"/>
      <c r="C2973" s="8"/>
      <c r="D2973" s="8"/>
      <c r="E2973" s="8"/>
      <c r="F2973" t="str" s="15">
        <f aca="0">IF(B2973="","",IF(H2973="","확인필요(입력누락)",IF(SUMPRODUCT((실물목록!$P$2:$P$1001&lt;&gt;"")*ISNUMBER(SEARCH(실물목록!$P$2:$P$1001,I2973))*(실물목록!$Q$2:$Q$1001&lt;&gt;"")*ISNUMBER(SEARCH(실물목록!$Q$2:$Q$1001,I2973))*(실물목록!$R$2:$R$1001="")*(실물목록!$O$2:$O$1001&lt;&gt;"")*(실물목록!$O$2:$O$1001=H2973))&gt;0,"실물 있음",IF(SUMPRODUCT((실물목록!$P$2:$P$1001&lt;&gt;"")*ISNUMBER(SEARCH(실물목록!$P$2:$P$1001,I2973))*(실물목록!$R$2:$R$1001&lt;&gt;""))&gt;0,"확인필요(입력누락)",IF(SUMPRODUCT((실물목록!$P$2:$P$1001&lt;&gt;"")*ISNUMBER(SEARCH(실물목록!$P$2:$P$1001,I2973))*(실물목록!$Q$2:$Q$1001&lt;&gt;"")*ISNUMBER(SEARCH(실물목록!$Q$2:$Q$1001,I2973))*(실물목록!$R$2:$R$1001="")*(실물목록!$O$2:$O$1001&lt;&gt;""))&gt;0,"확인필요(연도다름)","실물 없음")))))</f>
      </c>
      <c r="G2973" t="n" s="16">
        <f aca="0">IF(B2973="","",SUMPRODUCT((실물목록!$P$2:$P$1001&lt;&gt;"")*ISNUMBER(SEARCH(실물목록!$P$2:$P$1001,I2973))*(실물목록!$Q$2:$Q$1001&lt;&gt;"")*ISNUMBER(SEARCH(실물목록!$Q$2:$Q$1001,I2973))*(실물목록!$R$2:$R$1001="")*(실물목록!$O$2:$O$1001&lt;&gt;"")*(실물목록!$O$2:$O$1001=H2973)))</f>
      </c>
      <c r="H2973" t="str">
        <f>IFERROR(IF(AND(LEN(SUBSTITUTE(SUBSTITUTE(SUBSTITUTE(TRIM(A2973&amp;""),CHAR(160),"")," ",""),"년",""))=4,VALUE(SUBSTITUTE(SUBSTITUTE(SUBSTITUTE(TRIM(A2973&amp;""),CHAR(160),"")," ",""),"년",""))&gt;=1900,VALUE(SUBSTITUTE(SUBSTITUTE(SUBSTITUTE(TRIM(A2973&amp;""),CHAR(160),"")," ",""),"년",""))&lt;=2099,TEXT(VALUE(SUBSTITUTE(SUBSTITUTE(SUBSTITUTE(TRIM(A2973&amp;""),CHAR(160),"")," ",""),"년","")),"0000")=SUBSTITUTE(SUBSTITUTE(SUBSTITUTE(TRIM(A2973&amp;""),CHAR(160),"")," ",""),"년","")),SUBSTITUTE(SUBSTITUTE(SUBSTITUTE(TRIM(A2973&amp;""),CHAR(160),"")," ",""),"년",""),""),"")</f>
      </c>
      <c r="I2973" t="str">
        <f>SUBSTITUTE(SUBSTITUTE(SUBSTITUTE(SUBSTITUTE(SUBSTITUTE(TRIM(B2973&amp;""),CHAR(160),"")," ",""),"초등학교","초"),"중학교","중"),"고등학교","고")</f>
      </c>
    </row>
    <row r="2974" customFormat="false" ht="15" hidden="false" customHeight="false" outlineLevel="0" collapsed="false">
      <c r="A2974" s="8"/>
      <c r="B2974" s="8"/>
      <c r="C2974" s="8"/>
      <c r="D2974" s="8"/>
      <c r="E2974" s="8"/>
      <c r="F2974" t="str" s="15">
        <f aca="0">IF(B2974="","",IF(H2974="","확인필요(입력누락)",IF(SUMPRODUCT((실물목록!$P$2:$P$1001&lt;&gt;"")*ISNUMBER(SEARCH(실물목록!$P$2:$P$1001,I2974))*(실물목록!$Q$2:$Q$1001&lt;&gt;"")*ISNUMBER(SEARCH(실물목록!$Q$2:$Q$1001,I2974))*(실물목록!$R$2:$R$1001="")*(실물목록!$O$2:$O$1001&lt;&gt;"")*(실물목록!$O$2:$O$1001=H2974))&gt;0,"실물 있음",IF(SUMPRODUCT((실물목록!$P$2:$P$1001&lt;&gt;"")*ISNUMBER(SEARCH(실물목록!$P$2:$P$1001,I2974))*(실물목록!$R$2:$R$1001&lt;&gt;""))&gt;0,"확인필요(입력누락)",IF(SUMPRODUCT((실물목록!$P$2:$P$1001&lt;&gt;"")*ISNUMBER(SEARCH(실물목록!$P$2:$P$1001,I2974))*(실물목록!$Q$2:$Q$1001&lt;&gt;"")*ISNUMBER(SEARCH(실물목록!$Q$2:$Q$1001,I2974))*(실물목록!$R$2:$R$1001="")*(실물목록!$O$2:$O$1001&lt;&gt;""))&gt;0,"확인필요(연도다름)","실물 없음")))))</f>
      </c>
      <c r="G2974" t="n" s="16">
        <f aca="0">IF(B2974="","",SUMPRODUCT((실물목록!$P$2:$P$1001&lt;&gt;"")*ISNUMBER(SEARCH(실물목록!$P$2:$P$1001,I2974))*(실물목록!$Q$2:$Q$1001&lt;&gt;"")*ISNUMBER(SEARCH(실물목록!$Q$2:$Q$1001,I2974))*(실물목록!$R$2:$R$1001="")*(실물목록!$O$2:$O$1001&lt;&gt;"")*(실물목록!$O$2:$O$1001=H2974)))</f>
      </c>
      <c r="H2974" t="str">
        <f>IFERROR(IF(AND(LEN(SUBSTITUTE(SUBSTITUTE(SUBSTITUTE(TRIM(A2974&amp;""),CHAR(160),"")," ",""),"년",""))=4,VALUE(SUBSTITUTE(SUBSTITUTE(SUBSTITUTE(TRIM(A2974&amp;""),CHAR(160),"")," ",""),"년",""))&gt;=1900,VALUE(SUBSTITUTE(SUBSTITUTE(SUBSTITUTE(TRIM(A2974&amp;""),CHAR(160),"")," ",""),"년",""))&lt;=2099,TEXT(VALUE(SUBSTITUTE(SUBSTITUTE(SUBSTITUTE(TRIM(A2974&amp;""),CHAR(160),"")," ",""),"년","")),"0000")=SUBSTITUTE(SUBSTITUTE(SUBSTITUTE(TRIM(A2974&amp;""),CHAR(160),"")," ",""),"년","")),SUBSTITUTE(SUBSTITUTE(SUBSTITUTE(TRIM(A2974&amp;""),CHAR(160),"")," ",""),"년",""),""),"")</f>
      </c>
      <c r="I2974" t="str">
        <f>SUBSTITUTE(SUBSTITUTE(SUBSTITUTE(SUBSTITUTE(SUBSTITUTE(TRIM(B2974&amp;""),CHAR(160),"")," ",""),"초등학교","초"),"중학교","중"),"고등학교","고")</f>
      </c>
    </row>
    <row r="2975" customFormat="false" ht="15" hidden="false" customHeight="false" outlineLevel="0" collapsed="false">
      <c r="A2975" s="8"/>
      <c r="B2975" s="8"/>
      <c r="C2975" s="8"/>
      <c r="D2975" s="8"/>
      <c r="E2975" s="8"/>
      <c r="F2975" t="str" s="15">
        <f aca="0">IF(B2975="","",IF(H2975="","확인필요(입력누락)",IF(SUMPRODUCT((실물목록!$P$2:$P$1001&lt;&gt;"")*ISNUMBER(SEARCH(실물목록!$P$2:$P$1001,I2975))*(실물목록!$Q$2:$Q$1001&lt;&gt;"")*ISNUMBER(SEARCH(실물목록!$Q$2:$Q$1001,I2975))*(실물목록!$R$2:$R$1001="")*(실물목록!$O$2:$O$1001&lt;&gt;"")*(실물목록!$O$2:$O$1001=H2975))&gt;0,"실물 있음",IF(SUMPRODUCT((실물목록!$P$2:$P$1001&lt;&gt;"")*ISNUMBER(SEARCH(실물목록!$P$2:$P$1001,I2975))*(실물목록!$R$2:$R$1001&lt;&gt;""))&gt;0,"확인필요(입력누락)",IF(SUMPRODUCT((실물목록!$P$2:$P$1001&lt;&gt;"")*ISNUMBER(SEARCH(실물목록!$P$2:$P$1001,I2975))*(실물목록!$Q$2:$Q$1001&lt;&gt;"")*ISNUMBER(SEARCH(실물목록!$Q$2:$Q$1001,I2975))*(실물목록!$R$2:$R$1001="")*(실물목록!$O$2:$O$1001&lt;&gt;""))&gt;0,"확인필요(연도다름)","실물 없음")))))</f>
      </c>
      <c r="G2975" t="n" s="16">
        <f aca="0">IF(B2975="","",SUMPRODUCT((실물목록!$P$2:$P$1001&lt;&gt;"")*ISNUMBER(SEARCH(실물목록!$P$2:$P$1001,I2975))*(실물목록!$Q$2:$Q$1001&lt;&gt;"")*ISNUMBER(SEARCH(실물목록!$Q$2:$Q$1001,I2975))*(실물목록!$R$2:$R$1001="")*(실물목록!$O$2:$O$1001&lt;&gt;"")*(실물목록!$O$2:$O$1001=H2975)))</f>
      </c>
      <c r="H2975" t="str">
        <f>IFERROR(IF(AND(LEN(SUBSTITUTE(SUBSTITUTE(SUBSTITUTE(TRIM(A2975&amp;""),CHAR(160),"")," ",""),"년",""))=4,VALUE(SUBSTITUTE(SUBSTITUTE(SUBSTITUTE(TRIM(A2975&amp;""),CHAR(160),"")," ",""),"년",""))&gt;=1900,VALUE(SUBSTITUTE(SUBSTITUTE(SUBSTITUTE(TRIM(A2975&amp;""),CHAR(160),"")," ",""),"년",""))&lt;=2099,TEXT(VALUE(SUBSTITUTE(SUBSTITUTE(SUBSTITUTE(TRIM(A2975&amp;""),CHAR(160),"")," ",""),"년","")),"0000")=SUBSTITUTE(SUBSTITUTE(SUBSTITUTE(TRIM(A2975&amp;""),CHAR(160),"")," ",""),"년","")),SUBSTITUTE(SUBSTITUTE(SUBSTITUTE(TRIM(A2975&amp;""),CHAR(160),"")," ",""),"년",""),""),"")</f>
      </c>
      <c r="I2975" t="str">
        <f>SUBSTITUTE(SUBSTITUTE(SUBSTITUTE(SUBSTITUTE(SUBSTITUTE(TRIM(B2975&amp;""),CHAR(160),"")," ",""),"초등학교","초"),"중학교","중"),"고등학교","고")</f>
      </c>
    </row>
    <row r="2976" customFormat="false" ht="15" hidden="false" customHeight="false" outlineLevel="0" collapsed="false">
      <c r="A2976" s="8"/>
      <c r="B2976" s="8"/>
      <c r="C2976" s="8"/>
      <c r="D2976" s="8"/>
      <c r="E2976" s="8"/>
      <c r="F2976" t="str" s="15">
        <f aca="0">IF(B2976="","",IF(H2976="","확인필요(입력누락)",IF(SUMPRODUCT((실물목록!$P$2:$P$1001&lt;&gt;"")*ISNUMBER(SEARCH(실물목록!$P$2:$P$1001,I2976))*(실물목록!$Q$2:$Q$1001&lt;&gt;"")*ISNUMBER(SEARCH(실물목록!$Q$2:$Q$1001,I2976))*(실물목록!$R$2:$R$1001="")*(실물목록!$O$2:$O$1001&lt;&gt;"")*(실물목록!$O$2:$O$1001=H2976))&gt;0,"실물 있음",IF(SUMPRODUCT((실물목록!$P$2:$P$1001&lt;&gt;"")*ISNUMBER(SEARCH(실물목록!$P$2:$P$1001,I2976))*(실물목록!$R$2:$R$1001&lt;&gt;""))&gt;0,"확인필요(입력누락)",IF(SUMPRODUCT((실물목록!$P$2:$P$1001&lt;&gt;"")*ISNUMBER(SEARCH(실물목록!$P$2:$P$1001,I2976))*(실물목록!$Q$2:$Q$1001&lt;&gt;"")*ISNUMBER(SEARCH(실물목록!$Q$2:$Q$1001,I2976))*(실물목록!$R$2:$R$1001="")*(실물목록!$O$2:$O$1001&lt;&gt;""))&gt;0,"확인필요(연도다름)","실물 없음")))))</f>
      </c>
      <c r="G2976" t="n" s="16">
        <f aca="0">IF(B2976="","",SUMPRODUCT((실물목록!$P$2:$P$1001&lt;&gt;"")*ISNUMBER(SEARCH(실물목록!$P$2:$P$1001,I2976))*(실물목록!$Q$2:$Q$1001&lt;&gt;"")*ISNUMBER(SEARCH(실물목록!$Q$2:$Q$1001,I2976))*(실물목록!$R$2:$R$1001="")*(실물목록!$O$2:$O$1001&lt;&gt;"")*(실물목록!$O$2:$O$1001=H2976)))</f>
      </c>
      <c r="H2976" t="str">
        <f>IFERROR(IF(AND(LEN(SUBSTITUTE(SUBSTITUTE(SUBSTITUTE(TRIM(A2976&amp;""),CHAR(160),"")," ",""),"년",""))=4,VALUE(SUBSTITUTE(SUBSTITUTE(SUBSTITUTE(TRIM(A2976&amp;""),CHAR(160),"")," ",""),"년",""))&gt;=1900,VALUE(SUBSTITUTE(SUBSTITUTE(SUBSTITUTE(TRIM(A2976&amp;""),CHAR(160),"")," ",""),"년",""))&lt;=2099,TEXT(VALUE(SUBSTITUTE(SUBSTITUTE(SUBSTITUTE(TRIM(A2976&amp;""),CHAR(160),"")," ",""),"년","")),"0000")=SUBSTITUTE(SUBSTITUTE(SUBSTITUTE(TRIM(A2976&amp;""),CHAR(160),"")," ",""),"년","")),SUBSTITUTE(SUBSTITUTE(SUBSTITUTE(TRIM(A2976&amp;""),CHAR(160),"")," ",""),"년",""),""),"")</f>
      </c>
      <c r="I2976" t="str">
        <f>SUBSTITUTE(SUBSTITUTE(SUBSTITUTE(SUBSTITUTE(SUBSTITUTE(TRIM(B2976&amp;""),CHAR(160),"")," ",""),"초등학교","초"),"중학교","중"),"고등학교","고")</f>
      </c>
    </row>
    <row r="2977" customFormat="false" ht="15" hidden="false" customHeight="false" outlineLevel="0" collapsed="false">
      <c r="A2977" s="8"/>
      <c r="B2977" s="8"/>
      <c r="C2977" s="8"/>
      <c r="D2977" s="8"/>
      <c r="E2977" s="8"/>
      <c r="F2977" t="str" s="15">
        <f aca="0">IF(B2977="","",IF(H2977="","확인필요(입력누락)",IF(SUMPRODUCT((실물목록!$P$2:$P$1001&lt;&gt;"")*ISNUMBER(SEARCH(실물목록!$P$2:$P$1001,I2977))*(실물목록!$Q$2:$Q$1001&lt;&gt;"")*ISNUMBER(SEARCH(실물목록!$Q$2:$Q$1001,I2977))*(실물목록!$R$2:$R$1001="")*(실물목록!$O$2:$O$1001&lt;&gt;"")*(실물목록!$O$2:$O$1001=H2977))&gt;0,"실물 있음",IF(SUMPRODUCT((실물목록!$P$2:$P$1001&lt;&gt;"")*ISNUMBER(SEARCH(실물목록!$P$2:$P$1001,I2977))*(실물목록!$R$2:$R$1001&lt;&gt;""))&gt;0,"확인필요(입력누락)",IF(SUMPRODUCT((실물목록!$P$2:$P$1001&lt;&gt;"")*ISNUMBER(SEARCH(실물목록!$P$2:$P$1001,I2977))*(실물목록!$Q$2:$Q$1001&lt;&gt;"")*ISNUMBER(SEARCH(실물목록!$Q$2:$Q$1001,I2977))*(실물목록!$R$2:$R$1001="")*(실물목록!$O$2:$O$1001&lt;&gt;""))&gt;0,"확인필요(연도다름)","실물 없음")))))</f>
      </c>
      <c r="G2977" t="n" s="16">
        <f aca="0">IF(B2977="","",SUMPRODUCT((실물목록!$P$2:$P$1001&lt;&gt;"")*ISNUMBER(SEARCH(실물목록!$P$2:$P$1001,I2977))*(실물목록!$Q$2:$Q$1001&lt;&gt;"")*ISNUMBER(SEARCH(실물목록!$Q$2:$Q$1001,I2977))*(실물목록!$R$2:$R$1001="")*(실물목록!$O$2:$O$1001&lt;&gt;"")*(실물목록!$O$2:$O$1001=H2977)))</f>
      </c>
      <c r="H2977" t="str">
        <f>IFERROR(IF(AND(LEN(SUBSTITUTE(SUBSTITUTE(SUBSTITUTE(TRIM(A2977&amp;""),CHAR(160),"")," ",""),"년",""))=4,VALUE(SUBSTITUTE(SUBSTITUTE(SUBSTITUTE(TRIM(A2977&amp;""),CHAR(160),"")," ",""),"년",""))&gt;=1900,VALUE(SUBSTITUTE(SUBSTITUTE(SUBSTITUTE(TRIM(A2977&amp;""),CHAR(160),"")," ",""),"년",""))&lt;=2099,TEXT(VALUE(SUBSTITUTE(SUBSTITUTE(SUBSTITUTE(TRIM(A2977&amp;""),CHAR(160),"")," ",""),"년","")),"0000")=SUBSTITUTE(SUBSTITUTE(SUBSTITUTE(TRIM(A2977&amp;""),CHAR(160),"")," ",""),"년","")),SUBSTITUTE(SUBSTITUTE(SUBSTITUTE(TRIM(A2977&amp;""),CHAR(160),"")," ",""),"년",""),""),"")</f>
      </c>
      <c r="I2977" t="str">
        <f>SUBSTITUTE(SUBSTITUTE(SUBSTITUTE(SUBSTITUTE(SUBSTITUTE(TRIM(B2977&amp;""),CHAR(160),"")," ",""),"초등학교","초"),"중학교","중"),"고등학교","고")</f>
      </c>
    </row>
    <row r="2978" customFormat="false" ht="15" hidden="false" customHeight="false" outlineLevel="0" collapsed="false">
      <c r="A2978" s="8"/>
      <c r="B2978" s="8"/>
      <c r="C2978" s="8"/>
      <c r="D2978" s="8"/>
      <c r="E2978" s="8"/>
      <c r="F2978" t="str" s="15">
        <f aca="0">IF(B2978="","",IF(H2978="","확인필요(입력누락)",IF(SUMPRODUCT((실물목록!$P$2:$P$1001&lt;&gt;"")*ISNUMBER(SEARCH(실물목록!$P$2:$P$1001,I2978))*(실물목록!$Q$2:$Q$1001&lt;&gt;"")*ISNUMBER(SEARCH(실물목록!$Q$2:$Q$1001,I2978))*(실물목록!$R$2:$R$1001="")*(실물목록!$O$2:$O$1001&lt;&gt;"")*(실물목록!$O$2:$O$1001=H2978))&gt;0,"실물 있음",IF(SUMPRODUCT((실물목록!$P$2:$P$1001&lt;&gt;"")*ISNUMBER(SEARCH(실물목록!$P$2:$P$1001,I2978))*(실물목록!$R$2:$R$1001&lt;&gt;""))&gt;0,"확인필요(입력누락)",IF(SUMPRODUCT((실물목록!$P$2:$P$1001&lt;&gt;"")*ISNUMBER(SEARCH(실물목록!$P$2:$P$1001,I2978))*(실물목록!$Q$2:$Q$1001&lt;&gt;"")*ISNUMBER(SEARCH(실물목록!$Q$2:$Q$1001,I2978))*(실물목록!$R$2:$R$1001="")*(실물목록!$O$2:$O$1001&lt;&gt;""))&gt;0,"확인필요(연도다름)","실물 없음")))))</f>
      </c>
      <c r="G2978" t="n" s="16">
        <f aca="0">IF(B2978="","",SUMPRODUCT((실물목록!$P$2:$P$1001&lt;&gt;"")*ISNUMBER(SEARCH(실물목록!$P$2:$P$1001,I2978))*(실물목록!$Q$2:$Q$1001&lt;&gt;"")*ISNUMBER(SEARCH(실물목록!$Q$2:$Q$1001,I2978))*(실물목록!$R$2:$R$1001="")*(실물목록!$O$2:$O$1001&lt;&gt;"")*(실물목록!$O$2:$O$1001=H2978)))</f>
      </c>
      <c r="H2978" t="str">
        <f>IFERROR(IF(AND(LEN(SUBSTITUTE(SUBSTITUTE(SUBSTITUTE(TRIM(A2978&amp;""),CHAR(160),"")," ",""),"년",""))=4,VALUE(SUBSTITUTE(SUBSTITUTE(SUBSTITUTE(TRIM(A2978&amp;""),CHAR(160),"")," ",""),"년",""))&gt;=1900,VALUE(SUBSTITUTE(SUBSTITUTE(SUBSTITUTE(TRIM(A2978&amp;""),CHAR(160),"")," ",""),"년",""))&lt;=2099,TEXT(VALUE(SUBSTITUTE(SUBSTITUTE(SUBSTITUTE(TRIM(A2978&amp;""),CHAR(160),"")," ",""),"년","")),"0000")=SUBSTITUTE(SUBSTITUTE(SUBSTITUTE(TRIM(A2978&amp;""),CHAR(160),"")," ",""),"년","")),SUBSTITUTE(SUBSTITUTE(SUBSTITUTE(TRIM(A2978&amp;""),CHAR(160),"")," ",""),"년",""),""),"")</f>
      </c>
      <c r="I2978" t="str">
        <f>SUBSTITUTE(SUBSTITUTE(SUBSTITUTE(SUBSTITUTE(SUBSTITUTE(TRIM(B2978&amp;""),CHAR(160),"")," ",""),"초등학교","초"),"중학교","중"),"고등학교","고")</f>
      </c>
    </row>
    <row r="2979" customFormat="false" ht="15" hidden="false" customHeight="false" outlineLevel="0" collapsed="false">
      <c r="A2979" s="8"/>
      <c r="B2979" s="8"/>
      <c r="C2979" s="8"/>
      <c r="D2979" s="8"/>
      <c r="E2979" s="8"/>
      <c r="F2979" t="str" s="15">
        <f aca="0">IF(B2979="","",IF(H2979="","확인필요(입력누락)",IF(SUMPRODUCT((실물목록!$P$2:$P$1001&lt;&gt;"")*ISNUMBER(SEARCH(실물목록!$P$2:$P$1001,I2979))*(실물목록!$Q$2:$Q$1001&lt;&gt;"")*ISNUMBER(SEARCH(실물목록!$Q$2:$Q$1001,I2979))*(실물목록!$R$2:$R$1001="")*(실물목록!$O$2:$O$1001&lt;&gt;"")*(실물목록!$O$2:$O$1001=H2979))&gt;0,"실물 있음",IF(SUMPRODUCT((실물목록!$P$2:$P$1001&lt;&gt;"")*ISNUMBER(SEARCH(실물목록!$P$2:$P$1001,I2979))*(실물목록!$R$2:$R$1001&lt;&gt;""))&gt;0,"확인필요(입력누락)",IF(SUMPRODUCT((실물목록!$P$2:$P$1001&lt;&gt;"")*ISNUMBER(SEARCH(실물목록!$P$2:$P$1001,I2979))*(실물목록!$Q$2:$Q$1001&lt;&gt;"")*ISNUMBER(SEARCH(실물목록!$Q$2:$Q$1001,I2979))*(실물목록!$R$2:$R$1001="")*(실물목록!$O$2:$O$1001&lt;&gt;""))&gt;0,"확인필요(연도다름)","실물 없음")))))</f>
      </c>
      <c r="G2979" t="n" s="16">
        <f aca="0">IF(B2979="","",SUMPRODUCT((실물목록!$P$2:$P$1001&lt;&gt;"")*ISNUMBER(SEARCH(실물목록!$P$2:$P$1001,I2979))*(실물목록!$Q$2:$Q$1001&lt;&gt;"")*ISNUMBER(SEARCH(실물목록!$Q$2:$Q$1001,I2979))*(실물목록!$R$2:$R$1001="")*(실물목록!$O$2:$O$1001&lt;&gt;"")*(실물목록!$O$2:$O$1001=H2979)))</f>
      </c>
      <c r="H2979" t="str">
        <f>IFERROR(IF(AND(LEN(SUBSTITUTE(SUBSTITUTE(SUBSTITUTE(TRIM(A2979&amp;""),CHAR(160),"")," ",""),"년",""))=4,VALUE(SUBSTITUTE(SUBSTITUTE(SUBSTITUTE(TRIM(A2979&amp;""),CHAR(160),"")," ",""),"년",""))&gt;=1900,VALUE(SUBSTITUTE(SUBSTITUTE(SUBSTITUTE(TRIM(A2979&amp;""),CHAR(160),"")," ",""),"년",""))&lt;=2099,TEXT(VALUE(SUBSTITUTE(SUBSTITUTE(SUBSTITUTE(TRIM(A2979&amp;""),CHAR(160),"")," ",""),"년","")),"0000")=SUBSTITUTE(SUBSTITUTE(SUBSTITUTE(TRIM(A2979&amp;""),CHAR(160),"")," ",""),"년","")),SUBSTITUTE(SUBSTITUTE(SUBSTITUTE(TRIM(A2979&amp;""),CHAR(160),"")," ",""),"년",""),""),"")</f>
      </c>
      <c r="I2979" t="str">
        <f>SUBSTITUTE(SUBSTITUTE(SUBSTITUTE(SUBSTITUTE(SUBSTITUTE(TRIM(B2979&amp;""),CHAR(160),"")," ",""),"초등학교","초"),"중학교","중"),"고등학교","고")</f>
      </c>
    </row>
    <row r="2980" customFormat="false" ht="15" hidden="false" customHeight="false" outlineLevel="0" collapsed="false">
      <c r="A2980" s="8"/>
      <c r="B2980" s="8"/>
      <c r="C2980" s="8"/>
      <c r="D2980" s="8"/>
      <c r="E2980" s="8"/>
      <c r="F2980" t="str" s="15">
        <f aca="0">IF(B2980="","",IF(H2980="","확인필요(입력누락)",IF(SUMPRODUCT((실물목록!$P$2:$P$1001&lt;&gt;"")*ISNUMBER(SEARCH(실물목록!$P$2:$P$1001,I2980))*(실물목록!$Q$2:$Q$1001&lt;&gt;"")*ISNUMBER(SEARCH(실물목록!$Q$2:$Q$1001,I2980))*(실물목록!$R$2:$R$1001="")*(실물목록!$O$2:$O$1001&lt;&gt;"")*(실물목록!$O$2:$O$1001=H2980))&gt;0,"실물 있음",IF(SUMPRODUCT((실물목록!$P$2:$P$1001&lt;&gt;"")*ISNUMBER(SEARCH(실물목록!$P$2:$P$1001,I2980))*(실물목록!$R$2:$R$1001&lt;&gt;""))&gt;0,"확인필요(입력누락)",IF(SUMPRODUCT((실물목록!$P$2:$P$1001&lt;&gt;"")*ISNUMBER(SEARCH(실물목록!$P$2:$P$1001,I2980))*(실물목록!$Q$2:$Q$1001&lt;&gt;"")*ISNUMBER(SEARCH(실물목록!$Q$2:$Q$1001,I2980))*(실물목록!$R$2:$R$1001="")*(실물목록!$O$2:$O$1001&lt;&gt;""))&gt;0,"확인필요(연도다름)","실물 없음")))))</f>
      </c>
      <c r="G2980" t="n" s="16">
        <f aca="0">IF(B2980="","",SUMPRODUCT((실물목록!$P$2:$P$1001&lt;&gt;"")*ISNUMBER(SEARCH(실물목록!$P$2:$P$1001,I2980))*(실물목록!$Q$2:$Q$1001&lt;&gt;"")*ISNUMBER(SEARCH(실물목록!$Q$2:$Q$1001,I2980))*(실물목록!$R$2:$R$1001="")*(실물목록!$O$2:$O$1001&lt;&gt;"")*(실물목록!$O$2:$O$1001=H2980)))</f>
      </c>
      <c r="H2980" t="str">
        <f>IFERROR(IF(AND(LEN(SUBSTITUTE(SUBSTITUTE(SUBSTITUTE(TRIM(A2980&amp;""),CHAR(160),"")," ",""),"년",""))=4,VALUE(SUBSTITUTE(SUBSTITUTE(SUBSTITUTE(TRIM(A2980&amp;""),CHAR(160),"")," ",""),"년",""))&gt;=1900,VALUE(SUBSTITUTE(SUBSTITUTE(SUBSTITUTE(TRIM(A2980&amp;""),CHAR(160),"")," ",""),"년",""))&lt;=2099,TEXT(VALUE(SUBSTITUTE(SUBSTITUTE(SUBSTITUTE(TRIM(A2980&amp;""),CHAR(160),"")," ",""),"년","")),"0000")=SUBSTITUTE(SUBSTITUTE(SUBSTITUTE(TRIM(A2980&amp;""),CHAR(160),"")," ",""),"년","")),SUBSTITUTE(SUBSTITUTE(SUBSTITUTE(TRIM(A2980&amp;""),CHAR(160),"")," ",""),"년",""),""),"")</f>
      </c>
      <c r="I2980" t="str">
        <f>SUBSTITUTE(SUBSTITUTE(SUBSTITUTE(SUBSTITUTE(SUBSTITUTE(TRIM(B2980&amp;""),CHAR(160),"")," ",""),"초등학교","초"),"중학교","중"),"고등학교","고")</f>
      </c>
    </row>
    <row r="2981" customFormat="false" ht="15" hidden="false" customHeight="false" outlineLevel="0" collapsed="false">
      <c r="A2981" s="8"/>
      <c r="B2981" s="8"/>
      <c r="C2981" s="8"/>
      <c r="D2981" s="8"/>
      <c r="E2981" s="8"/>
      <c r="F2981" t="str" s="15">
        <f aca="0">IF(B2981="","",IF(H2981="","확인필요(입력누락)",IF(SUMPRODUCT((실물목록!$P$2:$P$1001&lt;&gt;"")*ISNUMBER(SEARCH(실물목록!$P$2:$P$1001,I2981))*(실물목록!$Q$2:$Q$1001&lt;&gt;"")*ISNUMBER(SEARCH(실물목록!$Q$2:$Q$1001,I2981))*(실물목록!$R$2:$R$1001="")*(실물목록!$O$2:$O$1001&lt;&gt;"")*(실물목록!$O$2:$O$1001=H2981))&gt;0,"실물 있음",IF(SUMPRODUCT((실물목록!$P$2:$P$1001&lt;&gt;"")*ISNUMBER(SEARCH(실물목록!$P$2:$P$1001,I2981))*(실물목록!$R$2:$R$1001&lt;&gt;""))&gt;0,"확인필요(입력누락)",IF(SUMPRODUCT((실물목록!$P$2:$P$1001&lt;&gt;"")*ISNUMBER(SEARCH(실물목록!$P$2:$P$1001,I2981))*(실물목록!$Q$2:$Q$1001&lt;&gt;"")*ISNUMBER(SEARCH(실물목록!$Q$2:$Q$1001,I2981))*(실물목록!$R$2:$R$1001="")*(실물목록!$O$2:$O$1001&lt;&gt;""))&gt;0,"확인필요(연도다름)","실물 없음")))))</f>
      </c>
      <c r="G2981" t="n" s="16">
        <f aca="0">IF(B2981="","",SUMPRODUCT((실물목록!$P$2:$P$1001&lt;&gt;"")*ISNUMBER(SEARCH(실물목록!$P$2:$P$1001,I2981))*(실물목록!$Q$2:$Q$1001&lt;&gt;"")*ISNUMBER(SEARCH(실물목록!$Q$2:$Q$1001,I2981))*(실물목록!$R$2:$R$1001="")*(실물목록!$O$2:$O$1001&lt;&gt;"")*(실물목록!$O$2:$O$1001=H2981)))</f>
      </c>
      <c r="H2981" t="str">
        <f>IFERROR(IF(AND(LEN(SUBSTITUTE(SUBSTITUTE(SUBSTITUTE(TRIM(A2981&amp;""),CHAR(160),"")," ",""),"년",""))=4,VALUE(SUBSTITUTE(SUBSTITUTE(SUBSTITUTE(TRIM(A2981&amp;""),CHAR(160),"")," ",""),"년",""))&gt;=1900,VALUE(SUBSTITUTE(SUBSTITUTE(SUBSTITUTE(TRIM(A2981&amp;""),CHAR(160),"")," ",""),"년",""))&lt;=2099,TEXT(VALUE(SUBSTITUTE(SUBSTITUTE(SUBSTITUTE(TRIM(A2981&amp;""),CHAR(160),"")," ",""),"년","")),"0000")=SUBSTITUTE(SUBSTITUTE(SUBSTITUTE(TRIM(A2981&amp;""),CHAR(160),"")," ",""),"년","")),SUBSTITUTE(SUBSTITUTE(SUBSTITUTE(TRIM(A2981&amp;""),CHAR(160),"")," ",""),"년",""),""),"")</f>
      </c>
      <c r="I2981" t="str">
        <f>SUBSTITUTE(SUBSTITUTE(SUBSTITUTE(SUBSTITUTE(SUBSTITUTE(TRIM(B2981&amp;""),CHAR(160),"")," ",""),"초등학교","초"),"중학교","중"),"고등학교","고")</f>
      </c>
    </row>
    <row r="2982" customFormat="false" ht="15" hidden="false" customHeight="false" outlineLevel="0" collapsed="false">
      <c r="A2982" s="8"/>
      <c r="B2982" s="8"/>
      <c r="C2982" s="8"/>
      <c r="D2982" s="8"/>
      <c r="E2982" s="8"/>
      <c r="F2982" t="str" s="15">
        <f aca="0">IF(B2982="","",IF(H2982="","확인필요(입력누락)",IF(SUMPRODUCT((실물목록!$P$2:$P$1001&lt;&gt;"")*ISNUMBER(SEARCH(실물목록!$P$2:$P$1001,I2982))*(실물목록!$Q$2:$Q$1001&lt;&gt;"")*ISNUMBER(SEARCH(실물목록!$Q$2:$Q$1001,I2982))*(실물목록!$R$2:$R$1001="")*(실물목록!$O$2:$O$1001&lt;&gt;"")*(실물목록!$O$2:$O$1001=H2982))&gt;0,"실물 있음",IF(SUMPRODUCT((실물목록!$P$2:$P$1001&lt;&gt;"")*ISNUMBER(SEARCH(실물목록!$P$2:$P$1001,I2982))*(실물목록!$R$2:$R$1001&lt;&gt;""))&gt;0,"확인필요(입력누락)",IF(SUMPRODUCT((실물목록!$P$2:$P$1001&lt;&gt;"")*ISNUMBER(SEARCH(실물목록!$P$2:$P$1001,I2982))*(실물목록!$Q$2:$Q$1001&lt;&gt;"")*ISNUMBER(SEARCH(실물목록!$Q$2:$Q$1001,I2982))*(실물목록!$R$2:$R$1001="")*(실물목록!$O$2:$O$1001&lt;&gt;""))&gt;0,"확인필요(연도다름)","실물 없음")))))</f>
      </c>
      <c r="G2982" t="n" s="16">
        <f aca="0">IF(B2982="","",SUMPRODUCT((실물목록!$P$2:$P$1001&lt;&gt;"")*ISNUMBER(SEARCH(실물목록!$P$2:$P$1001,I2982))*(실물목록!$Q$2:$Q$1001&lt;&gt;"")*ISNUMBER(SEARCH(실물목록!$Q$2:$Q$1001,I2982))*(실물목록!$R$2:$R$1001="")*(실물목록!$O$2:$O$1001&lt;&gt;"")*(실물목록!$O$2:$O$1001=H2982)))</f>
      </c>
      <c r="H2982" t="str">
        <f>IFERROR(IF(AND(LEN(SUBSTITUTE(SUBSTITUTE(SUBSTITUTE(TRIM(A2982&amp;""),CHAR(160),"")," ",""),"년",""))=4,VALUE(SUBSTITUTE(SUBSTITUTE(SUBSTITUTE(TRIM(A2982&amp;""),CHAR(160),"")," ",""),"년",""))&gt;=1900,VALUE(SUBSTITUTE(SUBSTITUTE(SUBSTITUTE(TRIM(A2982&amp;""),CHAR(160),"")," ",""),"년",""))&lt;=2099,TEXT(VALUE(SUBSTITUTE(SUBSTITUTE(SUBSTITUTE(TRIM(A2982&amp;""),CHAR(160),"")," ",""),"년","")),"0000")=SUBSTITUTE(SUBSTITUTE(SUBSTITUTE(TRIM(A2982&amp;""),CHAR(160),"")," ",""),"년","")),SUBSTITUTE(SUBSTITUTE(SUBSTITUTE(TRIM(A2982&amp;""),CHAR(160),"")," ",""),"년",""),""),"")</f>
      </c>
      <c r="I2982" t="str">
        <f>SUBSTITUTE(SUBSTITUTE(SUBSTITUTE(SUBSTITUTE(SUBSTITUTE(TRIM(B2982&amp;""),CHAR(160),"")," ",""),"초등학교","초"),"중학교","중"),"고등학교","고")</f>
      </c>
    </row>
    <row r="2983" customFormat="false" ht="15" hidden="false" customHeight="false" outlineLevel="0" collapsed="false">
      <c r="A2983" s="8"/>
      <c r="B2983" s="8"/>
      <c r="C2983" s="8"/>
      <c r="D2983" s="8"/>
      <c r="E2983" s="8"/>
      <c r="F2983" t="str" s="15">
        <f aca="0">IF(B2983="","",IF(H2983="","확인필요(입력누락)",IF(SUMPRODUCT((실물목록!$P$2:$P$1001&lt;&gt;"")*ISNUMBER(SEARCH(실물목록!$P$2:$P$1001,I2983))*(실물목록!$Q$2:$Q$1001&lt;&gt;"")*ISNUMBER(SEARCH(실물목록!$Q$2:$Q$1001,I2983))*(실물목록!$R$2:$R$1001="")*(실물목록!$O$2:$O$1001&lt;&gt;"")*(실물목록!$O$2:$O$1001=H2983))&gt;0,"실물 있음",IF(SUMPRODUCT((실물목록!$P$2:$P$1001&lt;&gt;"")*ISNUMBER(SEARCH(실물목록!$P$2:$P$1001,I2983))*(실물목록!$R$2:$R$1001&lt;&gt;""))&gt;0,"확인필요(입력누락)",IF(SUMPRODUCT((실물목록!$P$2:$P$1001&lt;&gt;"")*ISNUMBER(SEARCH(실물목록!$P$2:$P$1001,I2983))*(실물목록!$Q$2:$Q$1001&lt;&gt;"")*ISNUMBER(SEARCH(실물목록!$Q$2:$Q$1001,I2983))*(실물목록!$R$2:$R$1001="")*(실물목록!$O$2:$O$1001&lt;&gt;""))&gt;0,"확인필요(연도다름)","실물 없음")))))</f>
      </c>
      <c r="G2983" t="n" s="16">
        <f aca="0">IF(B2983="","",SUMPRODUCT((실물목록!$P$2:$P$1001&lt;&gt;"")*ISNUMBER(SEARCH(실물목록!$P$2:$P$1001,I2983))*(실물목록!$Q$2:$Q$1001&lt;&gt;"")*ISNUMBER(SEARCH(실물목록!$Q$2:$Q$1001,I2983))*(실물목록!$R$2:$R$1001="")*(실물목록!$O$2:$O$1001&lt;&gt;"")*(실물목록!$O$2:$O$1001=H2983)))</f>
      </c>
      <c r="H2983" t="str">
        <f>IFERROR(IF(AND(LEN(SUBSTITUTE(SUBSTITUTE(SUBSTITUTE(TRIM(A2983&amp;""),CHAR(160),"")," ",""),"년",""))=4,VALUE(SUBSTITUTE(SUBSTITUTE(SUBSTITUTE(TRIM(A2983&amp;""),CHAR(160),"")," ",""),"년",""))&gt;=1900,VALUE(SUBSTITUTE(SUBSTITUTE(SUBSTITUTE(TRIM(A2983&amp;""),CHAR(160),"")," ",""),"년",""))&lt;=2099,TEXT(VALUE(SUBSTITUTE(SUBSTITUTE(SUBSTITUTE(TRIM(A2983&amp;""),CHAR(160),"")," ",""),"년","")),"0000")=SUBSTITUTE(SUBSTITUTE(SUBSTITUTE(TRIM(A2983&amp;""),CHAR(160),"")," ",""),"년","")),SUBSTITUTE(SUBSTITUTE(SUBSTITUTE(TRIM(A2983&amp;""),CHAR(160),"")," ",""),"년",""),""),"")</f>
      </c>
      <c r="I2983" t="str">
        <f>SUBSTITUTE(SUBSTITUTE(SUBSTITUTE(SUBSTITUTE(SUBSTITUTE(TRIM(B2983&amp;""),CHAR(160),"")," ",""),"초등학교","초"),"중학교","중"),"고등학교","고")</f>
      </c>
    </row>
    <row r="2984" customFormat="false" ht="15" hidden="false" customHeight="false" outlineLevel="0" collapsed="false">
      <c r="A2984" s="8"/>
      <c r="B2984" s="8"/>
      <c r="C2984" s="8"/>
      <c r="D2984" s="8"/>
      <c r="E2984" s="8"/>
      <c r="F2984" t="str" s="15">
        <f aca="0">IF(B2984="","",IF(H2984="","확인필요(입력누락)",IF(SUMPRODUCT((실물목록!$P$2:$P$1001&lt;&gt;"")*ISNUMBER(SEARCH(실물목록!$P$2:$P$1001,I2984))*(실물목록!$Q$2:$Q$1001&lt;&gt;"")*ISNUMBER(SEARCH(실물목록!$Q$2:$Q$1001,I2984))*(실물목록!$R$2:$R$1001="")*(실물목록!$O$2:$O$1001&lt;&gt;"")*(실물목록!$O$2:$O$1001=H2984))&gt;0,"실물 있음",IF(SUMPRODUCT((실물목록!$P$2:$P$1001&lt;&gt;"")*ISNUMBER(SEARCH(실물목록!$P$2:$P$1001,I2984))*(실물목록!$R$2:$R$1001&lt;&gt;""))&gt;0,"확인필요(입력누락)",IF(SUMPRODUCT((실물목록!$P$2:$P$1001&lt;&gt;"")*ISNUMBER(SEARCH(실물목록!$P$2:$P$1001,I2984))*(실물목록!$Q$2:$Q$1001&lt;&gt;"")*ISNUMBER(SEARCH(실물목록!$Q$2:$Q$1001,I2984))*(실물목록!$R$2:$R$1001="")*(실물목록!$O$2:$O$1001&lt;&gt;""))&gt;0,"확인필요(연도다름)","실물 없음")))))</f>
      </c>
      <c r="G2984" t="n" s="16">
        <f aca="0">IF(B2984="","",SUMPRODUCT((실물목록!$P$2:$P$1001&lt;&gt;"")*ISNUMBER(SEARCH(실물목록!$P$2:$P$1001,I2984))*(실물목록!$Q$2:$Q$1001&lt;&gt;"")*ISNUMBER(SEARCH(실물목록!$Q$2:$Q$1001,I2984))*(실물목록!$R$2:$R$1001="")*(실물목록!$O$2:$O$1001&lt;&gt;"")*(실물목록!$O$2:$O$1001=H2984)))</f>
      </c>
      <c r="H2984" t="str">
        <f>IFERROR(IF(AND(LEN(SUBSTITUTE(SUBSTITUTE(SUBSTITUTE(TRIM(A2984&amp;""),CHAR(160),"")," ",""),"년",""))=4,VALUE(SUBSTITUTE(SUBSTITUTE(SUBSTITUTE(TRIM(A2984&amp;""),CHAR(160),"")," ",""),"년",""))&gt;=1900,VALUE(SUBSTITUTE(SUBSTITUTE(SUBSTITUTE(TRIM(A2984&amp;""),CHAR(160),"")," ",""),"년",""))&lt;=2099,TEXT(VALUE(SUBSTITUTE(SUBSTITUTE(SUBSTITUTE(TRIM(A2984&amp;""),CHAR(160),"")," ",""),"년","")),"0000")=SUBSTITUTE(SUBSTITUTE(SUBSTITUTE(TRIM(A2984&amp;""),CHAR(160),"")," ",""),"년","")),SUBSTITUTE(SUBSTITUTE(SUBSTITUTE(TRIM(A2984&amp;""),CHAR(160),"")," ",""),"년",""),""),"")</f>
      </c>
      <c r="I2984" t="str">
        <f>SUBSTITUTE(SUBSTITUTE(SUBSTITUTE(SUBSTITUTE(SUBSTITUTE(TRIM(B2984&amp;""),CHAR(160),"")," ",""),"초등학교","초"),"중학교","중"),"고등학교","고")</f>
      </c>
    </row>
    <row r="2985" customFormat="false" ht="15" hidden="false" customHeight="false" outlineLevel="0" collapsed="false">
      <c r="A2985" s="8"/>
      <c r="B2985" s="8"/>
      <c r="C2985" s="8"/>
      <c r="D2985" s="8"/>
      <c r="E2985" s="8"/>
      <c r="F2985" t="str" s="15">
        <f aca="0">IF(B2985="","",IF(H2985="","확인필요(입력누락)",IF(SUMPRODUCT((실물목록!$P$2:$P$1001&lt;&gt;"")*ISNUMBER(SEARCH(실물목록!$P$2:$P$1001,I2985))*(실물목록!$Q$2:$Q$1001&lt;&gt;"")*ISNUMBER(SEARCH(실물목록!$Q$2:$Q$1001,I2985))*(실물목록!$R$2:$R$1001="")*(실물목록!$O$2:$O$1001&lt;&gt;"")*(실물목록!$O$2:$O$1001=H2985))&gt;0,"실물 있음",IF(SUMPRODUCT((실물목록!$P$2:$P$1001&lt;&gt;"")*ISNUMBER(SEARCH(실물목록!$P$2:$P$1001,I2985))*(실물목록!$R$2:$R$1001&lt;&gt;""))&gt;0,"확인필요(입력누락)",IF(SUMPRODUCT((실물목록!$P$2:$P$1001&lt;&gt;"")*ISNUMBER(SEARCH(실물목록!$P$2:$P$1001,I2985))*(실물목록!$Q$2:$Q$1001&lt;&gt;"")*ISNUMBER(SEARCH(실물목록!$Q$2:$Q$1001,I2985))*(실물목록!$R$2:$R$1001="")*(실물목록!$O$2:$O$1001&lt;&gt;""))&gt;0,"확인필요(연도다름)","실물 없음")))))</f>
      </c>
      <c r="G2985" t="n" s="16">
        <f aca="0">IF(B2985="","",SUMPRODUCT((실물목록!$P$2:$P$1001&lt;&gt;"")*ISNUMBER(SEARCH(실물목록!$P$2:$P$1001,I2985))*(실물목록!$Q$2:$Q$1001&lt;&gt;"")*ISNUMBER(SEARCH(실물목록!$Q$2:$Q$1001,I2985))*(실물목록!$R$2:$R$1001="")*(실물목록!$O$2:$O$1001&lt;&gt;"")*(실물목록!$O$2:$O$1001=H2985)))</f>
      </c>
      <c r="H2985" t="str">
        <f>IFERROR(IF(AND(LEN(SUBSTITUTE(SUBSTITUTE(SUBSTITUTE(TRIM(A2985&amp;""),CHAR(160),"")," ",""),"년",""))=4,VALUE(SUBSTITUTE(SUBSTITUTE(SUBSTITUTE(TRIM(A2985&amp;""),CHAR(160),"")," ",""),"년",""))&gt;=1900,VALUE(SUBSTITUTE(SUBSTITUTE(SUBSTITUTE(TRIM(A2985&amp;""),CHAR(160),"")," ",""),"년",""))&lt;=2099,TEXT(VALUE(SUBSTITUTE(SUBSTITUTE(SUBSTITUTE(TRIM(A2985&amp;""),CHAR(160),"")," ",""),"년","")),"0000")=SUBSTITUTE(SUBSTITUTE(SUBSTITUTE(TRIM(A2985&amp;""),CHAR(160),"")," ",""),"년","")),SUBSTITUTE(SUBSTITUTE(SUBSTITUTE(TRIM(A2985&amp;""),CHAR(160),"")," ",""),"년",""),""),"")</f>
      </c>
      <c r="I2985" t="str">
        <f>SUBSTITUTE(SUBSTITUTE(SUBSTITUTE(SUBSTITUTE(SUBSTITUTE(TRIM(B2985&amp;""),CHAR(160),"")," ",""),"초등학교","초"),"중학교","중"),"고등학교","고")</f>
      </c>
    </row>
    <row r="2986" customFormat="false" ht="15" hidden="false" customHeight="false" outlineLevel="0" collapsed="false">
      <c r="A2986" s="8"/>
      <c r="B2986" s="8"/>
      <c r="C2986" s="8"/>
      <c r="D2986" s="8"/>
      <c r="E2986" s="8"/>
      <c r="F2986" t="str" s="15">
        <f aca="0">IF(B2986="","",IF(H2986="","확인필요(입력누락)",IF(SUMPRODUCT((실물목록!$P$2:$P$1001&lt;&gt;"")*ISNUMBER(SEARCH(실물목록!$P$2:$P$1001,I2986))*(실물목록!$Q$2:$Q$1001&lt;&gt;"")*ISNUMBER(SEARCH(실물목록!$Q$2:$Q$1001,I2986))*(실물목록!$R$2:$R$1001="")*(실물목록!$O$2:$O$1001&lt;&gt;"")*(실물목록!$O$2:$O$1001=H2986))&gt;0,"실물 있음",IF(SUMPRODUCT((실물목록!$P$2:$P$1001&lt;&gt;"")*ISNUMBER(SEARCH(실물목록!$P$2:$P$1001,I2986))*(실물목록!$R$2:$R$1001&lt;&gt;""))&gt;0,"확인필요(입력누락)",IF(SUMPRODUCT((실물목록!$P$2:$P$1001&lt;&gt;"")*ISNUMBER(SEARCH(실물목록!$P$2:$P$1001,I2986))*(실물목록!$Q$2:$Q$1001&lt;&gt;"")*ISNUMBER(SEARCH(실물목록!$Q$2:$Q$1001,I2986))*(실물목록!$R$2:$R$1001="")*(실물목록!$O$2:$O$1001&lt;&gt;""))&gt;0,"확인필요(연도다름)","실물 없음")))))</f>
      </c>
      <c r="G2986" t="n" s="16">
        <f aca="0">IF(B2986="","",SUMPRODUCT((실물목록!$P$2:$P$1001&lt;&gt;"")*ISNUMBER(SEARCH(실물목록!$P$2:$P$1001,I2986))*(실물목록!$Q$2:$Q$1001&lt;&gt;"")*ISNUMBER(SEARCH(실물목록!$Q$2:$Q$1001,I2986))*(실물목록!$R$2:$R$1001="")*(실물목록!$O$2:$O$1001&lt;&gt;"")*(실물목록!$O$2:$O$1001=H2986)))</f>
      </c>
      <c r="H2986" t="str">
        <f>IFERROR(IF(AND(LEN(SUBSTITUTE(SUBSTITUTE(SUBSTITUTE(TRIM(A2986&amp;""),CHAR(160),"")," ",""),"년",""))=4,VALUE(SUBSTITUTE(SUBSTITUTE(SUBSTITUTE(TRIM(A2986&amp;""),CHAR(160),"")," ",""),"년",""))&gt;=1900,VALUE(SUBSTITUTE(SUBSTITUTE(SUBSTITUTE(TRIM(A2986&amp;""),CHAR(160),"")," ",""),"년",""))&lt;=2099,TEXT(VALUE(SUBSTITUTE(SUBSTITUTE(SUBSTITUTE(TRIM(A2986&amp;""),CHAR(160),"")," ",""),"년","")),"0000")=SUBSTITUTE(SUBSTITUTE(SUBSTITUTE(TRIM(A2986&amp;""),CHAR(160),"")," ",""),"년","")),SUBSTITUTE(SUBSTITUTE(SUBSTITUTE(TRIM(A2986&amp;""),CHAR(160),"")," ",""),"년",""),""),"")</f>
      </c>
      <c r="I2986" t="str">
        <f>SUBSTITUTE(SUBSTITUTE(SUBSTITUTE(SUBSTITUTE(SUBSTITUTE(TRIM(B2986&amp;""),CHAR(160),"")," ",""),"초등학교","초"),"중학교","중"),"고등학교","고")</f>
      </c>
    </row>
    <row r="2987" customFormat="false" ht="15" hidden="false" customHeight="false" outlineLevel="0" collapsed="false">
      <c r="A2987" s="8"/>
      <c r="B2987" s="8"/>
      <c r="C2987" s="8"/>
      <c r="D2987" s="8"/>
      <c r="E2987" s="8"/>
      <c r="F2987" t="str" s="15">
        <f aca="0">IF(B2987="","",IF(H2987="","확인필요(입력누락)",IF(SUMPRODUCT((실물목록!$P$2:$P$1001&lt;&gt;"")*ISNUMBER(SEARCH(실물목록!$P$2:$P$1001,I2987))*(실물목록!$Q$2:$Q$1001&lt;&gt;"")*ISNUMBER(SEARCH(실물목록!$Q$2:$Q$1001,I2987))*(실물목록!$R$2:$R$1001="")*(실물목록!$O$2:$O$1001&lt;&gt;"")*(실물목록!$O$2:$O$1001=H2987))&gt;0,"실물 있음",IF(SUMPRODUCT((실물목록!$P$2:$P$1001&lt;&gt;"")*ISNUMBER(SEARCH(실물목록!$P$2:$P$1001,I2987))*(실물목록!$R$2:$R$1001&lt;&gt;""))&gt;0,"확인필요(입력누락)",IF(SUMPRODUCT((실물목록!$P$2:$P$1001&lt;&gt;"")*ISNUMBER(SEARCH(실물목록!$P$2:$P$1001,I2987))*(실물목록!$Q$2:$Q$1001&lt;&gt;"")*ISNUMBER(SEARCH(실물목록!$Q$2:$Q$1001,I2987))*(실물목록!$R$2:$R$1001="")*(실물목록!$O$2:$O$1001&lt;&gt;""))&gt;0,"확인필요(연도다름)","실물 없음")))))</f>
      </c>
      <c r="G2987" t="n" s="16">
        <f aca="0">IF(B2987="","",SUMPRODUCT((실물목록!$P$2:$P$1001&lt;&gt;"")*ISNUMBER(SEARCH(실물목록!$P$2:$P$1001,I2987))*(실물목록!$Q$2:$Q$1001&lt;&gt;"")*ISNUMBER(SEARCH(실물목록!$Q$2:$Q$1001,I2987))*(실물목록!$R$2:$R$1001="")*(실물목록!$O$2:$O$1001&lt;&gt;"")*(실물목록!$O$2:$O$1001=H2987)))</f>
      </c>
      <c r="H2987" t="str">
        <f>IFERROR(IF(AND(LEN(SUBSTITUTE(SUBSTITUTE(SUBSTITUTE(TRIM(A2987&amp;""),CHAR(160),"")," ",""),"년",""))=4,VALUE(SUBSTITUTE(SUBSTITUTE(SUBSTITUTE(TRIM(A2987&amp;""),CHAR(160),"")," ",""),"년",""))&gt;=1900,VALUE(SUBSTITUTE(SUBSTITUTE(SUBSTITUTE(TRIM(A2987&amp;""),CHAR(160),"")," ",""),"년",""))&lt;=2099,TEXT(VALUE(SUBSTITUTE(SUBSTITUTE(SUBSTITUTE(TRIM(A2987&amp;""),CHAR(160),"")," ",""),"년","")),"0000")=SUBSTITUTE(SUBSTITUTE(SUBSTITUTE(TRIM(A2987&amp;""),CHAR(160),"")," ",""),"년","")),SUBSTITUTE(SUBSTITUTE(SUBSTITUTE(TRIM(A2987&amp;""),CHAR(160),"")," ",""),"년",""),""),"")</f>
      </c>
      <c r="I2987" t="str">
        <f>SUBSTITUTE(SUBSTITUTE(SUBSTITUTE(SUBSTITUTE(SUBSTITUTE(TRIM(B2987&amp;""),CHAR(160),"")," ",""),"초등학교","초"),"중학교","중"),"고등학교","고")</f>
      </c>
    </row>
    <row r="2988" customFormat="false" ht="15" hidden="false" customHeight="false" outlineLevel="0" collapsed="false">
      <c r="A2988" s="8"/>
      <c r="B2988" s="8"/>
      <c r="C2988" s="8"/>
      <c r="D2988" s="8"/>
      <c r="E2988" s="8"/>
      <c r="F2988" t="str" s="15">
        <f aca="0">IF(B2988="","",IF(H2988="","확인필요(입력누락)",IF(SUMPRODUCT((실물목록!$P$2:$P$1001&lt;&gt;"")*ISNUMBER(SEARCH(실물목록!$P$2:$P$1001,I2988))*(실물목록!$Q$2:$Q$1001&lt;&gt;"")*ISNUMBER(SEARCH(실물목록!$Q$2:$Q$1001,I2988))*(실물목록!$R$2:$R$1001="")*(실물목록!$O$2:$O$1001&lt;&gt;"")*(실물목록!$O$2:$O$1001=H2988))&gt;0,"실물 있음",IF(SUMPRODUCT((실물목록!$P$2:$P$1001&lt;&gt;"")*ISNUMBER(SEARCH(실물목록!$P$2:$P$1001,I2988))*(실물목록!$R$2:$R$1001&lt;&gt;""))&gt;0,"확인필요(입력누락)",IF(SUMPRODUCT((실물목록!$P$2:$P$1001&lt;&gt;"")*ISNUMBER(SEARCH(실물목록!$P$2:$P$1001,I2988))*(실물목록!$Q$2:$Q$1001&lt;&gt;"")*ISNUMBER(SEARCH(실물목록!$Q$2:$Q$1001,I2988))*(실물목록!$R$2:$R$1001="")*(실물목록!$O$2:$O$1001&lt;&gt;""))&gt;0,"확인필요(연도다름)","실물 없음")))))</f>
      </c>
      <c r="G2988" t="n" s="16">
        <f aca="0">IF(B2988="","",SUMPRODUCT((실물목록!$P$2:$P$1001&lt;&gt;"")*ISNUMBER(SEARCH(실물목록!$P$2:$P$1001,I2988))*(실물목록!$Q$2:$Q$1001&lt;&gt;"")*ISNUMBER(SEARCH(실물목록!$Q$2:$Q$1001,I2988))*(실물목록!$R$2:$R$1001="")*(실물목록!$O$2:$O$1001&lt;&gt;"")*(실물목록!$O$2:$O$1001=H2988)))</f>
      </c>
      <c r="H2988" t="str">
        <f>IFERROR(IF(AND(LEN(SUBSTITUTE(SUBSTITUTE(SUBSTITUTE(TRIM(A2988&amp;""),CHAR(160),"")," ",""),"년",""))=4,VALUE(SUBSTITUTE(SUBSTITUTE(SUBSTITUTE(TRIM(A2988&amp;""),CHAR(160),"")," ",""),"년",""))&gt;=1900,VALUE(SUBSTITUTE(SUBSTITUTE(SUBSTITUTE(TRIM(A2988&amp;""),CHAR(160),"")," ",""),"년",""))&lt;=2099,TEXT(VALUE(SUBSTITUTE(SUBSTITUTE(SUBSTITUTE(TRIM(A2988&amp;""),CHAR(160),"")," ",""),"년","")),"0000")=SUBSTITUTE(SUBSTITUTE(SUBSTITUTE(TRIM(A2988&amp;""),CHAR(160),"")," ",""),"년","")),SUBSTITUTE(SUBSTITUTE(SUBSTITUTE(TRIM(A2988&amp;""),CHAR(160),"")," ",""),"년",""),""),"")</f>
      </c>
      <c r="I2988" t="str">
        <f>SUBSTITUTE(SUBSTITUTE(SUBSTITUTE(SUBSTITUTE(SUBSTITUTE(TRIM(B2988&amp;""),CHAR(160),"")," ",""),"초등학교","초"),"중학교","중"),"고등학교","고")</f>
      </c>
    </row>
    <row r="2989" customFormat="false" ht="15" hidden="false" customHeight="false" outlineLevel="0" collapsed="false">
      <c r="A2989" s="8"/>
      <c r="B2989" s="8"/>
      <c r="C2989" s="8"/>
      <c r="D2989" s="8"/>
      <c r="E2989" s="8"/>
      <c r="F2989" t="str" s="15">
        <f aca="0">IF(B2989="","",IF(H2989="","확인필요(입력누락)",IF(SUMPRODUCT((실물목록!$P$2:$P$1001&lt;&gt;"")*ISNUMBER(SEARCH(실물목록!$P$2:$P$1001,I2989))*(실물목록!$Q$2:$Q$1001&lt;&gt;"")*ISNUMBER(SEARCH(실물목록!$Q$2:$Q$1001,I2989))*(실물목록!$R$2:$R$1001="")*(실물목록!$O$2:$O$1001&lt;&gt;"")*(실물목록!$O$2:$O$1001=H2989))&gt;0,"실물 있음",IF(SUMPRODUCT((실물목록!$P$2:$P$1001&lt;&gt;"")*ISNUMBER(SEARCH(실물목록!$P$2:$P$1001,I2989))*(실물목록!$R$2:$R$1001&lt;&gt;""))&gt;0,"확인필요(입력누락)",IF(SUMPRODUCT((실물목록!$P$2:$P$1001&lt;&gt;"")*ISNUMBER(SEARCH(실물목록!$P$2:$P$1001,I2989))*(실물목록!$Q$2:$Q$1001&lt;&gt;"")*ISNUMBER(SEARCH(실물목록!$Q$2:$Q$1001,I2989))*(실물목록!$R$2:$R$1001="")*(실물목록!$O$2:$O$1001&lt;&gt;""))&gt;0,"확인필요(연도다름)","실물 없음")))))</f>
      </c>
      <c r="G2989" t="n" s="16">
        <f aca="0">IF(B2989="","",SUMPRODUCT((실물목록!$P$2:$P$1001&lt;&gt;"")*ISNUMBER(SEARCH(실물목록!$P$2:$P$1001,I2989))*(실물목록!$Q$2:$Q$1001&lt;&gt;"")*ISNUMBER(SEARCH(실물목록!$Q$2:$Q$1001,I2989))*(실물목록!$R$2:$R$1001="")*(실물목록!$O$2:$O$1001&lt;&gt;"")*(실물목록!$O$2:$O$1001=H2989)))</f>
      </c>
      <c r="H2989" t="str">
        <f>IFERROR(IF(AND(LEN(SUBSTITUTE(SUBSTITUTE(SUBSTITUTE(TRIM(A2989&amp;""),CHAR(160),"")," ",""),"년",""))=4,VALUE(SUBSTITUTE(SUBSTITUTE(SUBSTITUTE(TRIM(A2989&amp;""),CHAR(160),"")," ",""),"년",""))&gt;=1900,VALUE(SUBSTITUTE(SUBSTITUTE(SUBSTITUTE(TRIM(A2989&amp;""),CHAR(160),"")," ",""),"년",""))&lt;=2099,TEXT(VALUE(SUBSTITUTE(SUBSTITUTE(SUBSTITUTE(TRIM(A2989&amp;""),CHAR(160),"")," ",""),"년","")),"0000")=SUBSTITUTE(SUBSTITUTE(SUBSTITUTE(TRIM(A2989&amp;""),CHAR(160),"")," ",""),"년","")),SUBSTITUTE(SUBSTITUTE(SUBSTITUTE(TRIM(A2989&amp;""),CHAR(160),"")," ",""),"년",""),""),"")</f>
      </c>
      <c r="I2989" t="str">
        <f>SUBSTITUTE(SUBSTITUTE(SUBSTITUTE(SUBSTITUTE(SUBSTITUTE(TRIM(B2989&amp;""),CHAR(160),"")," ",""),"초등학교","초"),"중학교","중"),"고등학교","고")</f>
      </c>
    </row>
    <row r="2990" customFormat="false" ht="15" hidden="false" customHeight="false" outlineLevel="0" collapsed="false">
      <c r="A2990" s="8"/>
      <c r="B2990" s="8"/>
      <c r="C2990" s="8"/>
      <c r="D2990" s="8"/>
      <c r="E2990" s="8"/>
      <c r="F2990" t="str" s="15">
        <f aca="0">IF(B2990="","",IF(H2990="","확인필요(입력누락)",IF(SUMPRODUCT((실물목록!$P$2:$P$1001&lt;&gt;"")*ISNUMBER(SEARCH(실물목록!$P$2:$P$1001,I2990))*(실물목록!$Q$2:$Q$1001&lt;&gt;"")*ISNUMBER(SEARCH(실물목록!$Q$2:$Q$1001,I2990))*(실물목록!$R$2:$R$1001="")*(실물목록!$O$2:$O$1001&lt;&gt;"")*(실물목록!$O$2:$O$1001=H2990))&gt;0,"실물 있음",IF(SUMPRODUCT((실물목록!$P$2:$P$1001&lt;&gt;"")*ISNUMBER(SEARCH(실물목록!$P$2:$P$1001,I2990))*(실물목록!$R$2:$R$1001&lt;&gt;""))&gt;0,"확인필요(입력누락)",IF(SUMPRODUCT((실물목록!$P$2:$P$1001&lt;&gt;"")*ISNUMBER(SEARCH(실물목록!$P$2:$P$1001,I2990))*(실물목록!$Q$2:$Q$1001&lt;&gt;"")*ISNUMBER(SEARCH(실물목록!$Q$2:$Q$1001,I2990))*(실물목록!$R$2:$R$1001="")*(실물목록!$O$2:$O$1001&lt;&gt;""))&gt;0,"확인필요(연도다름)","실물 없음")))))</f>
      </c>
      <c r="G2990" t="n" s="16">
        <f aca="0">IF(B2990="","",SUMPRODUCT((실물목록!$P$2:$P$1001&lt;&gt;"")*ISNUMBER(SEARCH(실물목록!$P$2:$P$1001,I2990))*(실물목록!$Q$2:$Q$1001&lt;&gt;"")*ISNUMBER(SEARCH(실물목록!$Q$2:$Q$1001,I2990))*(실물목록!$R$2:$R$1001="")*(실물목록!$O$2:$O$1001&lt;&gt;"")*(실물목록!$O$2:$O$1001=H2990)))</f>
      </c>
      <c r="H2990" t="str">
        <f>IFERROR(IF(AND(LEN(SUBSTITUTE(SUBSTITUTE(SUBSTITUTE(TRIM(A2990&amp;""),CHAR(160),"")," ",""),"년",""))=4,VALUE(SUBSTITUTE(SUBSTITUTE(SUBSTITUTE(TRIM(A2990&amp;""),CHAR(160),"")," ",""),"년",""))&gt;=1900,VALUE(SUBSTITUTE(SUBSTITUTE(SUBSTITUTE(TRIM(A2990&amp;""),CHAR(160),"")," ",""),"년",""))&lt;=2099,TEXT(VALUE(SUBSTITUTE(SUBSTITUTE(SUBSTITUTE(TRIM(A2990&amp;""),CHAR(160),"")," ",""),"년","")),"0000")=SUBSTITUTE(SUBSTITUTE(SUBSTITUTE(TRIM(A2990&amp;""),CHAR(160),"")," ",""),"년","")),SUBSTITUTE(SUBSTITUTE(SUBSTITUTE(TRIM(A2990&amp;""),CHAR(160),"")," ",""),"년",""),""),"")</f>
      </c>
      <c r="I2990" t="str">
        <f>SUBSTITUTE(SUBSTITUTE(SUBSTITUTE(SUBSTITUTE(SUBSTITUTE(TRIM(B2990&amp;""),CHAR(160),"")," ",""),"초등학교","초"),"중학교","중"),"고등학교","고")</f>
      </c>
    </row>
    <row r="2991" customFormat="false" ht="15" hidden="false" customHeight="false" outlineLevel="0" collapsed="false">
      <c r="A2991" s="8"/>
      <c r="B2991" s="8"/>
      <c r="C2991" s="8"/>
      <c r="D2991" s="8"/>
      <c r="E2991" s="8"/>
      <c r="F2991" t="str" s="15">
        <f aca="0">IF(B2991="","",IF(H2991="","확인필요(입력누락)",IF(SUMPRODUCT((실물목록!$P$2:$P$1001&lt;&gt;"")*ISNUMBER(SEARCH(실물목록!$P$2:$P$1001,I2991))*(실물목록!$Q$2:$Q$1001&lt;&gt;"")*ISNUMBER(SEARCH(실물목록!$Q$2:$Q$1001,I2991))*(실물목록!$R$2:$R$1001="")*(실물목록!$O$2:$O$1001&lt;&gt;"")*(실물목록!$O$2:$O$1001=H2991))&gt;0,"실물 있음",IF(SUMPRODUCT((실물목록!$P$2:$P$1001&lt;&gt;"")*ISNUMBER(SEARCH(실물목록!$P$2:$P$1001,I2991))*(실물목록!$R$2:$R$1001&lt;&gt;""))&gt;0,"확인필요(입력누락)",IF(SUMPRODUCT((실물목록!$P$2:$P$1001&lt;&gt;"")*ISNUMBER(SEARCH(실물목록!$P$2:$P$1001,I2991))*(실물목록!$Q$2:$Q$1001&lt;&gt;"")*ISNUMBER(SEARCH(실물목록!$Q$2:$Q$1001,I2991))*(실물목록!$R$2:$R$1001="")*(실물목록!$O$2:$O$1001&lt;&gt;""))&gt;0,"확인필요(연도다름)","실물 없음")))))</f>
      </c>
      <c r="G2991" t="n" s="16">
        <f aca="0">IF(B2991="","",SUMPRODUCT((실물목록!$P$2:$P$1001&lt;&gt;"")*ISNUMBER(SEARCH(실물목록!$P$2:$P$1001,I2991))*(실물목록!$Q$2:$Q$1001&lt;&gt;"")*ISNUMBER(SEARCH(실물목록!$Q$2:$Q$1001,I2991))*(실물목록!$R$2:$R$1001="")*(실물목록!$O$2:$O$1001&lt;&gt;"")*(실물목록!$O$2:$O$1001=H2991)))</f>
      </c>
      <c r="H2991" t="str">
        <f>IFERROR(IF(AND(LEN(SUBSTITUTE(SUBSTITUTE(SUBSTITUTE(TRIM(A2991&amp;""),CHAR(160),"")," ",""),"년",""))=4,VALUE(SUBSTITUTE(SUBSTITUTE(SUBSTITUTE(TRIM(A2991&amp;""),CHAR(160),"")," ",""),"년",""))&gt;=1900,VALUE(SUBSTITUTE(SUBSTITUTE(SUBSTITUTE(TRIM(A2991&amp;""),CHAR(160),"")," ",""),"년",""))&lt;=2099,TEXT(VALUE(SUBSTITUTE(SUBSTITUTE(SUBSTITUTE(TRIM(A2991&amp;""),CHAR(160),"")," ",""),"년","")),"0000")=SUBSTITUTE(SUBSTITUTE(SUBSTITUTE(TRIM(A2991&amp;""),CHAR(160),"")," ",""),"년","")),SUBSTITUTE(SUBSTITUTE(SUBSTITUTE(TRIM(A2991&amp;""),CHAR(160),"")," ",""),"년",""),""),"")</f>
      </c>
      <c r="I2991" t="str">
        <f>SUBSTITUTE(SUBSTITUTE(SUBSTITUTE(SUBSTITUTE(SUBSTITUTE(TRIM(B2991&amp;""),CHAR(160),"")," ",""),"초등학교","초"),"중학교","중"),"고등학교","고")</f>
      </c>
    </row>
    <row r="2992" customFormat="false" ht="15" hidden="false" customHeight="false" outlineLevel="0" collapsed="false">
      <c r="A2992" s="8"/>
      <c r="B2992" s="8"/>
      <c r="C2992" s="8"/>
      <c r="D2992" s="8"/>
      <c r="E2992" s="8"/>
      <c r="F2992" t="str" s="15">
        <f aca="0">IF(B2992="","",IF(H2992="","확인필요(입력누락)",IF(SUMPRODUCT((실물목록!$P$2:$P$1001&lt;&gt;"")*ISNUMBER(SEARCH(실물목록!$P$2:$P$1001,I2992))*(실물목록!$Q$2:$Q$1001&lt;&gt;"")*ISNUMBER(SEARCH(실물목록!$Q$2:$Q$1001,I2992))*(실물목록!$R$2:$R$1001="")*(실물목록!$O$2:$O$1001&lt;&gt;"")*(실물목록!$O$2:$O$1001=H2992))&gt;0,"실물 있음",IF(SUMPRODUCT((실물목록!$P$2:$P$1001&lt;&gt;"")*ISNUMBER(SEARCH(실물목록!$P$2:$P$1001,I2992))*(실물목록!$R$2:$R$1001&lt;&gt;""))&gt;0,"확인필요(입력누락)",IF(SUMPRODUCT((실물목록!$P$2:$P$1001&lt;&gt;"")*ISNUMBER(SEARCH(실물목록!$P$2:$P$1001,I2992))*(실물목록!$Q$2:$Q$1001&lt;&gt;"")*ISNUMBER(SEARCH(실물목록!$Q$2:$Q$1001,I2992))*(실물목록!$R$2:$R$1001="")*(실물목록!$O$2:$O$1001&lt;&gt;""))&gt;0,"확인필요(연도다름)","실물 없음")))))</f>
      </c>
      <c r="G2992" t="n" s="16">
        <f aca="0">IF(B2992="","",SUMPRODUCT((실물목록!$P$2:$P$1001&lt;&gt;"")*ISNUMBER(SEARCH(실물목록!$P$2:$P$1001,I2992))*(실물목록!$Q$2:$Q$1001&lt;&gt;"")*ISNUMBER(SEARCH(실물목록!$Q$2:$Q$1001,I2992))*(실물목록!$R$2:$R$1001="")*(실물목록!$O$2:$O$1001&lt;&gt;"")*(실물목록!$O$2:$O$1001=H2992)))</f>
      </c>
      <c r="H2992" t="str">
        <f>IFERROR(IF(AND(LEN(SUBSTITUTE(SUBSTITUTE(SUBSTITUTE(TRIM(A2992&amp;""),CHAR(160),"")," ",""),"년",""))=4,VALUE(SUBSTITUTE(SUBSTITUTE(SUBSTITUTE(TRIM(A2992&amp;""),CHAR(160),"")," ",""),"년",""))&gt;=1900,VALUE(SUBSTITUTE(SUBSTITUTE(SUBSTITUTE(TRIM(A2992&amp;""),CHAR(160),"")," ",""),"년",""))&lt;=2099,TEXT(VALUE(SUBSTITUTE(SUBSTITUTE(SUBSTITUTE(TRIM(A2992&amp;""),CHAR(160),"")," ",""),"년","")),"0000")=SUBSTITUTE(SUBSTITUTE(SUBSTITUTE(TRIM(A2992&amp;""),CHAR(160),"")," ",""),"년","")),SUBSTITUTE(SUBSTITUTE(SUBSTITUTE(TRIM(A2992&amp;""),CHAR(160),"")," ",""),"년",""),""),"")</f>
      </c>
      <c r="I2992" t="str">
        <f>SUBSTITUTE(SUBSTITUTE(SUBSTITUTE(SUBSTITUTE(SUBSTITUTE(TRIM(B2992&amp;""),CHAR(160),"")," ",""),"초등학교","초"),"중학교","중"),"고등학교","고")</f>
      </c>
    </row>
    <row r="2993" customFormat="false" ht="15" hidden="false" customHeight="false" outlineLevel="0" collapsed="false">
      <c r="A2993" s="8"/>
      <c r="B2993" s="8"/>
      <c r="C2993" s="8"/>
      <c r="D2993" s="8"/>
      <c r="E2993" s="8"/>
      <c r="F2993" t="str" s="15">
        <f aca="0">IF(B2993="","",IF(H2993="","확인필요(입력누락)",IF(SUMPRODUCT((실물목록!$P$2:$P$1001&lt;&gt;"")*ISNUMBER(SEARCH(실물목록!$P$2:$P$1001,I2993))*(실물목록!$Q$2:$Q$1001&lt;&gt;"")*ISNUMBER(SEARCH(실물목록!$Q$2:$Q$1001,I2993))*(실물목록!$R$2:$R$1001="")*(실물목록!$O$2:$O$1001&lt;&gt;"")*(실물목록!$O$2:$O$1001=H2993))&gt;0,"실물 있음",IF(SUMPRODUCT((실물목록!$P$2:$P$1001&lt;&gt;"")*ISNUMBER(SEARCH(실물목록!$P$2:$P$1001,I2993))*(실물목록!$R$2:$R$1001&lt;&gt;""))&gt;0,"확인필요(입력누락)",IF(SUMPRODUCT((실물목록!$P$2:$P$1001&lt;&gt;"")*ISNUMBER(SEARCH(실물목록!$P$2:$P$1001,I2993))*(실물목록!$Q$2:$Q$1001&lt;&gt;"")*ISNUMBER(SEARCH(실물목록!$Q$2:$Q$1001,I2993))*(실물목록!$R$2:$R$1001="")*(실물목록!$O$2:$O$1001&lt;&gt;""))&gt;0,"확인필요(연도다름)","실물 없음")))))</f>
      </c>
      <c r="G2993" t="n" s="16">
        <f aca="0">IF(B2993="","",SUMPRODUCT((실물목록!$P$2:$P$1001&lt;&gt;"")*ISNUMBER(SEARCH(실물목록!$P$2:$P$1001,I2993))*(실물목록!$Q$2:$Q$1001&lt;&gt;"")*ISNUMBER(SEARCH(실물목록!$Q$2:$Q$1001,I2993))*(실물목록!$R$2:$R$1001="")*(실물목록!$O$2:$O$1001&lt;&gt;"")*(실물목록!$O$2:$O$1001=H2993)))</f>
      </c>
      <c r="H2993" t="str">
        <f>IFERROR(IF(AND(LEN(SUBSTITUTE(SUBSTITUTE(SUBSTITUTE(TRIM(A2993&amp;""),CHAR(160),"")," ",""),"년",""))=4,VALUE(SUBSTITUTE(SUBSTITUTE(SUBSTITUTE(TRIM(A2993&amp;""),CHAR(160),"")," ",""),"년",""))&gt;=1900,VALUE(SUBSTITUTE(SUBSTITUTE(SUBSTITUTE(TRIM(A2993&amp;""),CHAR(160),"")," ",""),"년",""))&lt;=2099,TEXT(VALUE(SUBSTITUTE(SUBSTITUTE(SUBSTITUTE(TRIM(A2993&amp;""),CHAR(160),"")," ",""),"년","")),"0000")=SUBSTITUTE(SUBSTITUTE(SUBSTITUTE(TRIM(A2993&amp;""),CHAR(160),"")," ",""),"년","")),SUBSTITUTE(SUBSTITUTE(SUBSTITUTE(TRIM(A2993&amp;""),CHAR(160),"")," ",""),"년",""),""),"")</f>
      </c>
      <c r="I2993" t="str">
        <f>SUBSTITUTE(SUBSTITUTE(SUBSTITUTE(SUBSTITUTE(SUBSTITUTE(TRIM(B2993&amp;""),CHAR(160),"")," ",""),"초등학교","초"),"중학교","중"),"고등학교","고")</f>
      </c>
    </row>
    <row r="2994" customFormat="false" ht="15" hidden="false" customHeight="false" outlineLevel="0" collapsed="false">
      <c r="A2994" s="8"/>
      <c r="B2994" s="8"/>
      <c r="C2994" s="8"/>
      <c r="D2994" s="8"/>
      <c r="E2994" s="8"/>
      <c r="F2994" t="str" s="15">
        <f aca="0">IF(B2994="","",IF(H2994="","확인필요(입력누락)",IF(SUMPRODUCT((실물목록!$P$2:$P$1001&lt;&gt;"")*ISNUMBER(SEARCH(실물목록!$P$2:$P$1001,I2994))*(실물목록!$Q$2:$Q$1001&lt;&gt;"")*ISNUMBER(SEARCH(실물목록!$Q$2:$Q$1001,I2994))*(실물목록!$R$2:$R$1001="")*(실물목록!$O$2:$O$1001&lt;&gt;"")*(실물목록!$O$2:$O$1001=H2994))&gt;0,"실물 있음",IF(SUMPRODUCT((실물목록!$P$2:$P$1001&lt;&gt;"")*ISNUMBER(SEARCH(실물목록!$P$2:$P$1001,I2994))*(실물목록!$R$2:$R$1001&lt;&gt;""))&gt;0,"확인필요(입력누락)",IF(SUMPRODUCT((실물목록!$P$2:$P$1001&lt;&gt;"")*ISNUMBER(SEARCH(실물목록!$P$2:$P$1001,I2994))*(실물목록!$Q$2:$Q$1001&lt;&gt;"")*ISNUMBER(SEARCH(실물목록!$Q$2:$Q$1001,I2994))*(실물목록!$R$2:$R$1001="")*(실물목록!$O$2:$O$1001&lt;&gt;""))&gt;0,"확인필요(연도다름)","실물 없음")))))</f>
      </c>
      <c r="G2994" t="n" s="16">
        <f aca="0">IF(B2994="","",SUMPRODUCT((실물목록!$P$2:$P$1001&lt;&gt;"")*ISNUMBER(SEARCH(실물목록!$P$2:$P$1001,I2994))*(실물목록!$Q$2:$Q$1001&lt;&gt;"")*ISNUMBER(SEARCH(실물목록!$Q$2:$Q$1001,I2994))*(실물목록!$R$2:$R$1001="")*(실물목록!$O$2:$O$1001&lt;&gt;"")*(실물목록!$O$2:$O$1001=H2994)))</f>
      </c>
      <c r="H2994" t="str">
        <f>IFERROR(IF(AND(LEN(SUBSTITUTE(SUBSTITUTE(SUBSTITUTE(TRIM(A2994&amp;""),CHAR(160),"")," ",""),"년",""))=4,VALUE(SUBSTITUTE(SUBSTITUTE(SUBSTITUTE(TRIM(A2994&amp;""),CHAR(160),"")," ",""),"년",""))&gt;=1900,VALUE(SUBSTITUTE(SUBSTITUTE(SUBSTITUTE(TRIM(A2994&amp;""),CHAR(160),"")," ",""),"년",""))&lt;=2099,TEXT(VALUE(SUBSTITUTE(SUBSTITUTE(SUBSTITUTE(TRIM(A2994&amp;""),CHAR(160),"")," ",""),"년","")),"0000")=SUBSTITUTE(SUBSTITUTE(SUBSTITUTE(TRIM(A2994&amp;""),CHAR(160),"")," ",""),"년","")),SUBSTITUTE(SUBSTITUTE(SUBSTITUTE(TRIM(A2994&amp;""),CHAR(160),"")," ",""),"년",""),""),"")</f>
      </c>
      <c r="I2994" t="str">
        <f>SUBSTITUTE(SUBSTITUTE(SUBSTITUTE(SUBSTITUTE(SUBSTITUTE(TRIM(B2994&amp;""),CHAR(160),"")," ",""),"초등학교","초"),"중학교","중"),"고등학교","고")</f>
      </c>
    </row>
    <row r="2995" customFormat="false" ht="15" hidden="false" customHeight="false" outlineLevel="0" collapsed="false">
      <c r="A2995" s="8"/>
      <c r="B2995" s="8"/>
      <c r="C2995" s="8"/>
      <c r="D2995" s="8"/>
      <c r="E2995" s="8"/>
      <c r="F2995" t="str" s="15">
        <f aca="0">IF(B2995="","",IF(H2995="","확인필요(입력누락)",IF(SUMPRODUCT((실물목록!$P$2:$P$1001&lt;&gt;"")*ISNUMBER(SEARCH(실물목록!$P$2:$P$1001,I2995))*(실물목록!$Q$2:$Q$1001&lt;&gt;"")*ISNUMBER(SEARCH(실물목록!$Q$2:$Q$1001,I2995))*(실물목록!$R$2:$R$1001="")*(실물목록!$O$2:$O$1001&lt;&gt;"")*(실물목록!$O$2:$O$1001=H2995))&gt;0,"실물 있음",IF(SUMPRODUCT((실물목록!$P$2:$P$1001&lt;&gt;"")*ISNUMBER(SEARCH(실물목록!$P$2:$P$1001,I2995))*(실물목록!$R$2:$R$1001&lt;&gt;""))&gt;0,"확인필요(입력누락)",IF(SUMPRODUCT((실물목록!$P$2:$P$1001&lt;&gt;"")*ISNUMBER(SEARCH(실물목록!$P$2:$P$1001,I2995))*(실물목록!$Q$2:$Q$1001&lt;&gt;"")*ISNUMBER(SEARCH(실물목록!$Q$2:$Q$1001,I2995))*(실물목록!$R$2:$R$1001="")*(실물목록!$O$2:$O$1001&lt;&gt;""))&gt;0,"확인필요(연도다름)","실물 없음")))))</f>
      </c>
      <c r="G2995" t="n" s="16">
        <f aca="0">IF(B2995="","",SUMPRODUCT((실물목록!$P$2:$P$1001&lt;&gt;"")*ISNUMBER(SEARCH(실물목록!$P$2:$P$1001,I2995))*(실물목록!$Q$2:$Q$1001&lt;&gt;"")*ISNUMBER(SEARCH(실물목록!$Q$2:$Q$1001,I2995))*(실물목록!$R$2:$R$1001="")*(실물목록!$O$2:$O$1001&lt;&gt;"")*(실물목록!$O$2:$O$1001=H2995)))</f>
      </c>
      <c r="H2995" t="str">
        <f>IFERROR(IF(AND(LEN(SUBSTITUTE(SUBSTITUTE(SUBSTITUTE(TRIM(A2995&amp;""),CHAR(160),"")," ",""),"년",""))=4,VALUE(SUBSTITUTE(SUBSTITUTE(SUBSTITUTE(TRIM(A2995&amp;""),CHAR(160),"")," ",""),"년",""))&gt;=1900,VALUE(SUBSTITUTE(SUBSTITUTE(SUBSTITUTE(TRIM(A2995&amp;""),CHAR(160),"")," ",""),"년",""))&lt;=2099,TEXT(VALUE(SUBSTITUTE(SUBSTITUTE(SUBSTITUTE(TRIM(A2995&amp;""),CHAR(160),"")," ",""),"년","")),"0000")=SUBSTITUTE(SUBSTITUTE(SUBSTITUTE(TRIM(A2995&amp;""),CHAR(160),"")," ",""),"년","")),SUBSTITUTE(SUBSTITUTE(SUBSTITUTE(TRIM(A2995&amp;""),CHAR(160),"")," ",""),"년",""),""),"")</f>
      </c>
      <c r="I2995" t="str">
        <f>SUBSTITUTE(SUBSTITUTE(SUBSTITUTE(SUBSTITUTE(SUBSTITUTE(TRIM(B2995&amp;""),CHAR(160),"")," ",""),"초등학교","초"),"중학교","중"),"고등학교","고")</f>
      </c>
    </row>
    <row r="2996" customFormat="false" ht="15" hidden="false" customHeight="false" outlineLevel="0" collapsed="false">
      <c r="A2996" s="8"/>
      <c r="B2996" s="8"/>
      <c r="C2996" s="8"/>
      <c r="D2996" s="8"/>
      <c r="E2996" s="8"/>
      <c r="F2996" t="str" s="15">
        <f aca="0">IF(B2996="","",IF(H2996="","확인필요(입력누락)",IF(SUMPRODUCT((실물목록!$P$2:$P$1001&lt;&gt;"")*ISNUMBER(SEARCH(실물목록!$P$2:$P$1001,I2996))*(실물목록!$Q$2:$Q$1001&lt;&gt;"")*ISNUMBER(SEARCH(실물목록!$Q$2:$Q$1001,I2996))*(실물목록!$R$2:$R$1001="")*(실물목록!$O$2:$O$1001&lt;&gt;"")*(실물목록!$O$2:$O$1001=H2996))&gt;0,"실물 있음",IF(SUMPRODUCT((실물목록!$P$2:$P$1001&lt;&gt;"")*ISNUMBER(SEARCH(실물목록!$P$2:$P$1001,I2996))*(실물목록!$R$2:$R$1001&lt;&gt;""))&gt;0,"확인필요(입력누락)",IF(SUMPRODUCT((실물목록!$P$2:$P$1001&lt;&gt;"")*ISNUMBER(SEARCH(실물목록!$P$2:$P$1001,I2996))*(실물목록!$Q$2:$Q$1001&lt;&gt;"")*ISNUMBER(SEARCH(실물목록!$Q$2:$Q$1001,I2996))*(실물목록!$R$2:$R$1001="")*(실물목록!$O$2:$O$1001&lt;&gt;""))&gt;0,"확인필요(연도다름)","실물 없음")))))</f>
      </c>
      <c r="G2996" t="n" s="16">
        <f aca="0">IF(B2996="","",SUMPRODUCT((실물목록!$P$2:$P$1001&lt;&gt;"")*ISNUMBER(SEARCH(실물목록!$P$2:$P$1001,I2996))*(실물목록!$Q$2:$Q$1001&lt;&gt;"")*ISNUMBER(SEARCH(실물목록!$Q$2:$Q$1001,I2996))*(실물목록!$R$2:$R$1001="")*(실물목록!$O$2:$O$1001&lt;&gt;"")*(실물목록!$O$2:$O$1001=H2996)))</f>
      </c>
      <c r="H2996" t="str">
        <f>IFERROR(IF(AND(LEN(SUBSTITUTE(SUBSTITUTE(SUBSTITUTE(TRIM(A2996&amp;""),CHAR(160),"")," ",""),"년",""))=4,VALUE(SUBSTITUTE(SUBSTITUTE(SUBSTITUTE(TRIM(A2996&amp;""),CHAR(160),"")," ",""),"년",""))&gt;=1900,VALUE(SUBSTITUTE(SUBSTITUTE(SUBSTITUTE(TRIM(A2996&amp;""),CHAR(160),"")," ",""),"년",""))&lt;=2099,TEXT(VALUE(SUBSTITUTE(SUBSTITUTE(SUBSTITUTE(TRIM(A2996&amp;""),CHAR(160),"")," ",""),"년","")),"0000")=SUBSTITUTE(SUBSTITUTE(SUBSTITUTE(TRIM(A2996&amp;""),CHAR(160),"")," ",""),"년","")),SUBSTITUTE(SUBSTITUTE(SUBSTITUTE(TRIM(A2996&amp;""),CHAR(160),"")," ",""),"년",""),""),"")</f>
      </c>
      <c r="I2996" t="str">
        <f>SUBSTITUTE(SUBSTITUTE(SUBSTITUTE(SUBSTITUTE(SUBSTITUTE(TRIM(B2996&amp;""),CHAR(160),"")," ",""),"초등학교","초"),"중학교","중"),"고등학교","고")</f>
      </c>
    </row>
    <row r="2997" customFormat="false" ht="15" hidden="false" customHeight="false" outlineLevel="0" collapsed="false">
      <c r="A2997" s="8"/>
      <c r="B2997" s="8"/>
      <c r="C2997" s="8"/>
      <c r="D2997" s="8"/>
      <c r="E2997" s="8"/>
      <c r="F2997" t="str" s="15">
        <f aca="0">IF(B2997="","",IF(H2997="","확인필요(입력누락)",IF(SUMPRODUCT((실물목록!$P$2:$P$1001&lt;&gt;"")*ISNUMBER(SEARCH(실물목록!$P$2:$P$1001,I2997))*(실물목록!$Q$2:$Q$1001&lt;&gt;"")*ISNUMBER(SEARCH(실물목록!$Q$2:$Q$1001,I2997))*(실물목록!$R$2:$R$1001="")*(실물목록!$O$2:$O$1001&lt;&gt;"")*(실물목록!$O$2:$O$1001=H2997))&gt;0,"실물 있음",IF(SUMPRODUCT((실물목록!$P$2:$P$1001&lt;&gt;"")*ISNUMBER(SEARCH(실물목록!$P$2:$P$1001,I2997))*(실물목록!$R$2:$R$1001&lt;&gt;""))&gt;0,"확인필요(입력누락)",IF(SUMPRODUCT((실물목록!$P$2:$P$1001&lt;&gt;"")*ISNUMBER(SEARCH(실물목록!$P$2:$P$1001,I2997))*(실물목록!$Q$2:$Q$1001&lt;&gt;"")*ISNUMBER(SEARCH(실물목록!$Q$2:$Q$1001,I2997))*(실물목록!$R$2:$R$1001="")*(실물목록!$O$2:$O$1001&lt;&gt;""))&gt;0,"확인필요(연도다름)","실물 없음")))))</f>
      </c>
      <c r="G2997" t="n" s="16">
        <f aca="0">IF(B2997="","",SUMPRODUCT((실물목록!$P$2:$P$1001&lt;&gt;"")*ISNUMBER(SEARCH(실물목록!$P$2:$P$1001,I2997))*(실물목록!$Q$2:$Q$1001&lt;&gt;"")*ISNUMBER(SEARCH(실물목록!$Q$2:$Q$1001,I2997))*(실물목록!$R$2:$R$1001="")*(실물목록!$O$2:$O$1001&lt;&gt;"")*(실물목록!$O$2:$O$1001=H2997)))</f>
      </c>
      <c r="H2997" t="str">
        <f>IFERROR(IF(AND(LEN(SUBSTITUTE(SUBSTITUTE(SUBSTITUTE(TRIM(A2997&amp;""),CHAR(160),"")," ",""),"년",""))=4,VALUE(SUBSTITUTE(SUBSTITUTE(SUBSTITUTE(TRIM(A2997&amp;""),CHAR(160),"")," ",""),"년",""))&gt;=1900,VALUE(SUBSTITUTE(SUBSTITUTE(SUBSTITUTE(TRIM(A2997&amp;""),CHAR(160),"")," ",""),"년",""))&lt;=2099,TEXT(VALUE(SUBSTITUTE(SUBSTITUTE(SUBSTITUTE(TRIM(A2997&amp;""),CHAR(160),"")," ",""),"년","")),"0000")=SUBSTITUTE(SUBSTITUTE(SUBSTITUTE(TRIM(A2997&amp;""),CHAR(160),"")," ",""),"년","")),SUBSTITUTE(SUBSTITUTE(SUBSTITUTE(TRIM(A2997&amp;""),CHAR(160),"")," ",""),"년",""),""),"")</f>
      </c>
      <c r="I2997" t="str">
        <f>SUBSTITUTE(SUBSTITUTE(SUBSTITUTE(SUBSTITUTE(SUBSTITUTE(TRIM(B2997&amp;""),CHAR(160),"")," ",""),"초등학교","초"),"중학교","중"),"고등학교","고")</f>
      </c>
    </row>
    <row r="2998" customFormat="false" ht="15" hidden="false" customHeight="false" outlineLevel="0" collapsed="false">
      <c r="A2998" s="8"/>
      <c r="B2998" s="8"/>
      <c r="C2998" s="8"/>
      <c r="D2998" s="8"/>
      <c r="E2998" s="8"/>
      <c r="F2998" t="str" s="15">
        <f aca="0">IF(B2998="","",IF(H2998="","확인필요(입력누락)",IF(SUMPRODUCT((실물목록!$P$2:$P$1001&lt;&gt;"")*ISNUMBER(SEARCH(실물목록!$P$2:$P$1001,I2998))*(실물목록!$Q$2:$Q$1001&lt;&gt;"")*ISNUMBER(SEARCH(실물목록!$Q$2:$Q$1001,I2998))*(실물목록!$R$2:$R$1001="")*(실물목록!$O$2:$O$1001&lt;&gt;"")*(실물목록!$O$2:$O$1001=H2998))&gt;0,"실물 있음",IF(SUMPRODUCT((실물목록!$P$2:$P$1001&lt;&gt;"")*ISNUMBER(SEARCH(실물목록!$P$2:$P$1001,I2998))*(실물목록!$R$2:$R$1001&lt;&gt;""))&gt;0,"확인필요(입력누락)",IF(SUMPRODUCT((실물목록!$P$2:$P$1001&lt;&gt;"")*ISNUMBER(SEARCH(실물목록!$P$2:$P$1001,I2998))*(실물목록!$Q$2:$Q$1001&lt;&gt;"")*ISNUMBER(SEARCH(실물목록!$Q$2:$Q$1001,I2998))*(실물목록!$R$2:$R$1001="")*(실물목록!$O$2:$O$1001&lt;&gt;""))&gt;0,"확인필요(연도다름)","실물 없음")))))</f>
      </c>
      <c r="G2998" t="n" s="16">
        <f aca="0">IF(B2998="","",SUMPRODUCT((실물목록!$P$2:$P$1001&lt;&gt;"")*ISNUMBER(SEARCH(실물목록!$P$2:$P$1001,I2998))*(실물목록!$Q$2:$Q$1001&lt;&gt;"")*ISNUMBER(SEARCH(실물목록!$Q$2:$Q$1001,I2998))*(실물목록!$R$2:$R$1001="")*(실물목록!$O$2:$O$1001&lt;&gt;"")*(실물목록!$O$2:$O$1001=H2998)))</f>
      </c>
      <c r="H2998" t="str">
        <f>IFERROR(IF(AND(LEN(SUBSTITUTE(SUBSTITUTE(SUBSTITUTE(TRIM(A2998&amp;""),CHAR(160),"")," ",""),"년",""))=4,VALUE(SUBSTITUTE(SUBSTITUTE(SUBSTITUTE(TRIM(A2998&amp;""),CHAR(160),"")," ",""),"년",""))&gt;=1900,VALUE(SUBSTITUTE(SUBSTITUTE(SUBSTITUTE(TRIM(A2998&amp;""),CHAR(160),"")," ",""),"년",""))&lt;=2099,TEXT(VALUE(SUBSTITUTE(SUBSTITUTE(SUBSTITUTE(TRIM(A2998&amp;""),CHAR(160),"")," ",""),"년","")),"0000")=SUBSTITUTE(SUBSTITUTE(SUBSTITUTE(TRIM(A2998&amp;""),CHAR(160),"")," ",""),"년","")),SUBSTITUTE(SUBSTITUTE(SUBSTITUTE(TRIM(A2998&amp;""),CHAR(160),"")," ",""),"년",""),""),"")</f>
      </c>
      <c r="I2998" t="str">
        <f>SUBSTITUTE(SUBSTITUTE(SUBSTITUTE(SUBSTITUTE(SUBSTITUTE(TRIM(B2998&amp;""),CHAR(160),"")," ",""),"초등학교","초"),"중학교","중"),"고등학교","고")</f>
      </c>
    </row>
    <row r="2999" customFormat="false" ht="15" hidden="false" customHeight="false" outlineLevel="0" collapsed="false">
      <c r="A2999" s="8"/>
      <c r="B2999" s="8"/>
      <c r="C2999" s="8"/>
      <c r="D2999" s="8"/>
      <c r="E2999" s="8"/>
      <c r="F2999" t="str" s="15">
        <f aca="0">IF(B2999="","",IF(H2999="","확인필요(입력누락)",IF(SUMPRODUCT((실물목록!$P$2:$P$1001&lt;&gt;"")*ISNUMBER(SEARCH(실물목록!$P$2:$P$1001,I2999))*(실물목록!$Q$2:$Q$1001&lt;&gt;"")*ISNUMBER(SEARCH(실물목록!$Q$2:$Q$1001,I2999))*(실물목록!$R$2:$R$1001="")*(실물목록!$O$2:$O$1001&lt;&gt;"")*(실물목록!$O$2:$O$1001=H2999))&gt;0,"실물 있음",IF(SUMPRODUCT((실물목록!$P$2:$P$1001&lt;&gt;"")*ISNUMBER(SEARCH(실물목록!$P$2:$P$1001,I2999))*(실물목록!$R$2:$R$1001&lt;&gt;""))&gt;0,"확인필요(입력누락)",IF(SUMPRODUCT((실물목록!$P$2:$P$1001&lt;&gt;"")*ISNUMBER(SEARCH(실물목록!$P$2:$P$1001,I2999))*(실물목록!$Q$2:$Q$1001&lt;&gt;"")*ISNUMBER(SEARCH(실물목록!$Q$2:$Q$1001,I2999))*(실물목록!$R$2:$R$1001="")*(실물목록!$O$2:$O$1001&lt;&gt;""))&gt;0,"확인필요(연도다름)","실물 없음")))))</f>
      </c>
      <c r="G2999" t="n" s="16">
        <f aca="0">IF(B2999="","",SUMPRODUCT((실물목록!$P$2:$P$1001&lt;&gt;"")*ISNUMBER(SEARCH(실물목록!$P$2:$P$1001,I2999))*(실물목록!$Q$2:$Q$1001&lt;&gt;"")*ISNUMBER(SEARCH(실물목록!$Q$2:$Q$1001,I2999))*(실물목록!$R$2:$R$1001="")*(실물목록!$O$2:$O$1001&lt;&gt;"")*(실물목록!$O$2:$O$1001=H2999)))</f>
      </c>
      <c r="H2999" t="str">
        <f>IFERROR(IF(AND(LEN(SUBSTITUTE(SUBSTITUTE(SUBSTITUTE(TRIM(A2999&amp;""),CHAR(160),"")," ",""),"년",""))=4,VALUE(SUBSTITUTE(SUBSTITUTE(SUBSTITUTE(TRIM(A2999&amp;""),CHAR(160),"")," ",""),"년",""))&gt;=1900,VALUE(SUBSTITUTE(SUBSTITUTE(SUBSTITUTE(TRIM(A2999&amp;""),CHAR(160),"")," ",""),"년",""))&lt;=2099,TEXT(VALUE(SUBSTITUTE(SUBSTITUTE(SUBSTITUTE(TRIM(A2999&amp;""),CHAR(160),"")," ",""),"년","")),"0000")=SUBSTITUTE(SUBSTITUTE(SUBSTITUTE(TRIM(A2999&amp;""),CHAR(160),"")," ",""),"년","")),SUBSTITUTE(SUBSTITUTE(SUBSTITUTE(TRIM(A2999&amp;""),CHAR(160),"")," ",""),"년",""),""),"")</f>
      </c>
      <c r="I2999" t="str">
        <f>SUBSTITUTE(SUBSTITUTE(SUBSTITUTE(SUBSTITUTE(SUBSTITUTE(TRIM(B2999&amp;""),CHAR(160),"")," ",""),"초등학교","초"),"중학교","중"),"고등학교","고")</f>
      </c>
    </row>
    <row r="3000" customFormat="false" ht="15" hidden="false" customHeight="false" outlineLevel="0" collapsed="false">
      <c r="A3000" s="8"/>
      <c r="B3000" s="8"/>
      <c r="C3000" s="8"/>
      <c r="D3000" s="8"/>
      <c r="E3000" s="8"/>
      <c r="F3000" t="str" s="15">
        <f aca="0">IF(B3000="","",IF(H3000="","확인필요(입력누락)",IF(SUMPRODUCT((실물목록!$P$2:$P$1001&lt;&gt;"")*ISNUMBER(SEARCH(실물목록!$P$2:$P$1001,I3000))*(실물목록!$Q$2:$Q$1001&lt;&gt;"")*ISNUMBER(SEARCH(실물목록!$Q$2:$Q$1001,I3000))*(실물목록!$R$2:$R$1001="")*(실물목록!$O$2:$O$1001&lt;&gt;"")*(실물목록!$O$2:$O$1001=H3000))&gt;0,"실물 있음",IF(SUMPRODUCT((실물목록!$P$2:$P$1001&lt;&gt;"")*ISNUMBER(SEARCH(실물목록!$P$2:$P$1001,I3000))*(실물목록!$R$2:$R$1001&lt;&gt;""))&gt;0,"확인필요(입력누락)",IF(SUMPRODUCT((실물목록!$P$2:$P$1001&lt;&gt;"")*ISNUMBER(SEARCH(실물목록!$P$2:$P$1001,I3000))*(실물목록!$Q$2:$Q$1001&lt;&gt;"")*ISNUMBER(SEARCH(실물목록!$Q$2:$Q$1001,I3000))*(실물목록!$R$2:$R$1001="")*(실물목록!$O$2:$O$1001&lt;&gt;""))&gt;0,"확인필요(연도다름)","실물 없음")))))</f>
      </c>
      <c r="G3000" t="n" s="16">
        <f aca="0">IF(B3000="","",SUMPRODUCT((실물목록!$P$2:$P$1001&lt;&gt;"")*ISNUMBER(SEARCH(실물목록!$P$2:$P$1001,I3000))*(실물목록!$Q$2:$Q$1001&lt;&gt;"")*ISNUMBER(SEARCH(실물목록!$Q$2:$Q$1001,I3000))*(실물목록!$R$2:$R$1001="")*(실물목록!$O$2:$O$1001&lt;&gt;"")*(실물목록!$O$2:$O$1001=H3000)))</f>
      </c>
      <c r="H3000" t="str">
        <f>IFERROR(IF(AND(LEN(SUBSTITUTE(SUBSTITUTE(SUBSTITUTE(TRIM(A3000&amp;""),CHAR(160),"")," ",""),"년",""))=4,VALUE(SUBSTITUTE(SUBSTITUTE(SUBSTITUTE(TRIM(A3000&amp;""),CHAR(160),"")," ",""),"년",""))&gt;=1900,VALUE(SUBSTITUTE(SUBSTITUTE(SUBSTITUTE(TRIM(A3000&amp;""),CHAR(160),"")," ",""),"년",""))&lt;=2099,TEXT(VALUE(SUBSTITUTE(SUBSTITUTE(SUBSTITUTE(TRIM(A3000&amp;""),CHAR(160),"")," ",""),"년","")),"0000")=SUBSTITUTE(SUBSTITUTE(SUBSTITUTE(TRIM(A3000&amp;""),CHAR(160),"")," ",""),"년","")),SUBSTITUTE(SUBSTITUTE(SUBSTITUTE(TRIM(A3000&amp;""),CHAR(160),"")," ",""),"년",""),""),"")</f>
      </c>
      <c r="I3000" t="str">
        <f>SUBSTITUTE(SUBSTITUTE(SUBSTITUTE(SUBSTITUTE(SUBSTITUTE(TRIM(B3000&amp;""),CHAR(160),"")," ",""),"초등학교","초"),"중학교","중"),"고등학교","고")</f>
      </c>
    </row>
    <row r="3001" customFormat="false" ht="15" hidden="false" customHeight="false" outlineLevel="0" collapsed="false">
      <c r="A3001" s="8"/>
      <c r="B3001" s="8"/>
      <c r="C3001" s="8"/>
      <c r="D3001" s="8"/>
      <c r="E3001" s="8"/>
      <c r="F3001" t="str" s="15">
        <f aca="0">IF(B3001="","",IF(H3001="","확인필요(입력누락)",IF(SUMPRODUCT((실물목록!$P$2:$P$1001&lt;&gt;"")*ISNUMBER(SEARCH(실물목록!$P$2:$P$1001,I3001))*(실물목록!$Q$2:$Q$1001&lt;&gt;"")*ISNUMBER(SEARCH(실물목록!$Q$2:$Q$1001,I3001))*(실물목록!$R$2:$R$1001="")*(실물목록!$O$2:$O$1001&lt;&gt;"")*(실물목록!$O$2:$O$1001=H3001))&gt;0,"실물 있음",IF(SUMPRODUCT((실물목록!$P$2:$P$1001&lt;&gt;"")*ISNUMBER(SEARCH(실물목록!$P$2:$P$1001,I3001))*(실물목록!$R$2:$R$1001&lt;&gt;""))&gt;0,"확인필요(입력누락)",IF(SUMPRODUCT((실물목록!$P$2:$P$1001&lt;&gt;"")*ISNUMBER(SEARCH(실물목록!$P$2:$P$1001,I3001))*(실물목록!$Q$2:$Q$1001&lt;&gt;"")*ISNUMBER(SEARCH(실물목록!$Q$2:$Q$1001,I3001))*(실물목록!$R$2:$R$1001="")*(실물목록!$O$2:$O$1001&lt;&gt;""))&gt;0,"확인필요(연도다름)","실물 없음")))))</f>
      </c>
      <c r="G3001" t="n" s="16">
        <f aca="0">IF(B3001="","",SUMPRODUCT((실물목록!$P$2:$P$1001&lt;&gt;"")*ISNUMBER(SEARCH(실물목록!$P$2:$P$1001,I3001))*(실물목록!$Q$2:$Q$1001&lt;&gt;"")*ISNUMBER(SEARCH(실물목록!$Q$2:$Q$1001,I3001))*(실물목록!$R$2:$R$1001="")*(실물목록!$O$2:$O$1001&lt;&gt;"")*(실물목록!$O$2:$O$1001=H3001)))</f>
      </c>
      <c r="H3001" t="str">
        <f>IFERROR(IF(AND(LEN(SUBSTITUTE(SUBSTITUTE(SUBSTITUTE(TRIM(A3001&amp;""),CHAR(160),"")," ",""),"년",""))=4,VALUE(SUBSTITUTE(SUBSTITUTE(SUBSTITUTE(TRIM(A3001&amp;""),CHAR(160),"")," ",""),"년",""))&gt;=1900,VALUE(SUBSTITUTE(SUBSTITUTE(SUBSTITUTE(TRIM(A3001&amp;""),CHAR(160),"")," ",""),"년",""))&lt;=2099,TEXT(VALUE(SUBSTITUTE(SUBSTITUTE(SUBSTITUTE(TRIM(A3001&amp;""),CHAR(160),"")," ",""),"년","")),"0000")=SUBSTITUTE(SUBSTITUTE(SUBSTITUTE(TRIM(A3001&amp;""),CHAR(160),"")," ",""),"년","")),SUBSTITUTE(SUBSTITUTE(SUBSTITUTE(TRIM(A3001&amp;""),CHAR(160),"")," ",""),"년",""),""),"")</f>
      </c>
      <c r="I3001" t="str">
        <f>SUBSTITUTE(SUBSTITUTE(SUBSTITUTE(SUBSTITUTE(SUBSTITUTE(TRIM(B3001&amp;""),CHAR(160),"")," ",""),"초등학교","초"),"중학교","중"),"고등학교","고")</f>
      </c>
    </row>
  </sheetData>
  <autoFilter ref="A1:G3001"/>
  <conditionalFormatting sqref="F2:F3001">
    <cfRule type="expression" priority="2" aboveAverage="0" equalAverage="0" bottom="0" percent="0" rank="0" text="" dxfId="9">
      <formula>$F2="실물 없음"</formula>
    </cfRule>
    <cfRule type="expression" priority="3" aboveAverage="0" equalAverage="0" bottom="0" percent="0" rank="0" text="" dxfId="10">
      <formula>LEFT($F2,4)="확인필요"</formula>
    </cfRule>
    <cfRule type="expression" priority="4" aboveAverage="0" equalAverage="0" bottom="0" percent="0" rank="0" text="" dxfId="11">
      <formula>$F2="실물 있음"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44"/>
    <col collapsed="false" customWidth="true" hidden="false" outlineLevel="0" max="7" min="7" style="0" width="12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26"/>
    <col collapsed="false" customWidth="true" hidden="false" outlineLevel="0" max="12" min="12" style="0" width="9"/>
    <col collapsed="false" customWidth="true" hidden="false" outlineLevel="0" max="13" min="13" style="0" width="46"/>
    <col collapsed="false" customWidth="true" hidden="false" outlineLevel="0" max="14" min="14" style="0" width="12"/>
    <col min="15" max="18" hidden="1" width="12" customWidth="1"/>
  </cols>
  <sheetData>
    <row r="1" customFormat="false" ht="31.5" hidden="false" customHeight="true" outlineLevel="0" collapsed="false">
      <c r="A1" s="17" t="s">
        <v>53</v>
      </c>
      <c r="B1" s="17" t="s">
        <v>21</v>
      </c>
      <c r="C1" s="17" t="s">
        <v>41</v>
      </c>
      <c r="D1" s="17" t="s">
        <v>54</v>
      </c>
      <c r="E1" s="17" t="s">
        <v>55</v>
      </c>
      <c r="F1" s="17" t="s">
        <v>56</v>
      </c>
      <c r="G1" s="17" t="s">
        <v>22</v>
      </c>
      <c r="H1" s="17" t="s">
        <v>57</v>
      </c>
      <c r="I1" s="17" t="s">
        <v>58</v>
      </c>
      <c r="J1" s="17" t="s">
        <v>59</v>
      </c>
      <c r="K1" s="18" t="s">
        <v>60</v>
      </c>
      <c r="L1" s="18" t="s">
        <v>61</v>
      </c>
      <c r="M1" s="18" t="s">
        <v>62</v>
      </c>
      <c r="N1" s="17" t="s">
        <v>23</v>
      </c>
      <c r="O1" t="str">
        <v>대조용 연도</v>
      </c>
      <c r="P1" t="str">
        <v>대조용 학교</v>
      </c>
      <c r="Q1" t="str">
        <v>대조용 키워드</v>
      </c>
      <c r="R1" t="str">
        <v>입력 확인</v>
      </c>
    </row>
    <row r="2" customFormat="false" ht="17.15" hidden="false" customHeight="false" outlineLevel="0" collapsed="false">
      <c r="A2" t="n" s="19">
        <f aca="0">IF(COUNTA(B2:J2)=0,"",ROW()-1)</f>
      </c>
      <c r="B2" s="14" t="s">
        <v>25</v>
      </c>
      <c r="C2" s="20" t="s">
        <v>48</v>
      </c>
      <c r="D2" s="14" t="s">
        <v>63</v>
      </c>
      <c r="E2" s="14" t="s">
        <v>64</v>
      </c>
      <c r="F2" s="21" t="s">
        <v>65</v>
      </c>
      <c r="G2" s="14" t="s">
        <v>26</v>
      </c>
      <c r="H2" s="20" t="n">
        <v>1</v>
      </c>
      <c r="I2" s="22" t="s">
        <v>66</v>
      </c>
      <c r="J2" s="21" t="s">
        <v>52</v>
      </c>
      <c r="K2" t="str" s="15">
        <f aca="0">IF(COUNTA(B2:J2)=0,"",IF(R2&lt;&gt;"","확인필요(입력누락)",IF(COUNTIFS(보유목록!$I$2:$I$3001,"*"&amp;P2&amp;"*",보유목록!$I$2:$I$3001,"*"&amp;Q2&amp;"*",보유목록!$H$2:$H$3001,O2)&gt;0,"있음",IF(COUNTIFS(보유목록!$I$2:$I$3001,"*"&amp;P2&amp;"*",보유목록!$I$2:$I$3001,"*"&amp;Q2&amp;"*")&gt;0,"확인필요(연도다름)",IF(COUNTIFS(보유목록!$I$2:$I$3001,"*"&amp;P2&amp;"*",보유목록!$H$2:$H$3001,O2)&gt;0,"확인필요(같은학교·같은연도)","없음")))))</f>
      </c>
      <c r="L2" t="str" s="16">
        <f aca="0">IF(OR(COUNTA(B2:J2)=0,R2&lt;&gt;""),"",COUNTIFS(보유목록!$I$2:$I$3001,"*"&amp;P2&amp;"*",보유목록!$I$2:$I$3001,"*"&amp;Q2&amp;"*"))</f>
      </c>
      <c r="M2" t="str" s="23">
        <f aca="0">IF(OR(COUNTA(B2:J2)=0,R2&lt;&gt;""),"",IFERROR(LOOKUP(2,1/(ISNUMBER(SEARCH(P2,보유목록!$I$2:$I$3001))*ISNUMBER(SEARCH(Q2,보유목록!$I$2:$I$3001))*(보유목록!$H$2:$H$3001=O2)),보유목록!$B$2:$B$3001),IFERROR(LOOKUP(2,1/(ISNUMBER(SEARCH(P2,보유목록!$I$2:$I$3001))*ISNUMBER(SEARCH(Q2,보유목록!$I$2:$I$3001))),보유목록!$B$2:$B$3001),"")))</f>
      </c>
      <c r="N2" s="22" t="s">
        <v>27</v>
      </c>
      <c r="O2" t="str">
        <f>IFERROR(IF(AND(LEN(SUBSTITUTE(SUBSTITUTE(SUBSTITUTE(TRIM(C2&amp;""),CHAR(160),"")," ",""),"년",""))=4,VALUE(SUBSTITUTE(SUBSTITUTE(SUBSTITUTE(TRIM(C2&amp;""),CHAR(160),"")," ",""),"년",""))&gt;=1900,VALUE(SUBSTITUTE(SUBSTITUTE(SUBSTITUTE(TRIM(C2&amp;""),CHAR(160),"")," ",""),"년",""))&lt;=2099,TEXT(VALUE(SUBSTITUTE(SUBSTITUTE(SUBSTITUTE(TRIM(C2&amp;""),CHAR(160),"")," ",""),"년","")),"0000")=SUBSTITUTE(SUBSTITUTE(SUBSTITUTE(TRIM(C2&amp;""),CHAR(160),"")," ",""),"년","")),SUBSTITUTE(SUBSTITUTE(SUBSTITUTE(TRIM(C2&amp;""),CHAR(160),"")," ",""),"년",""),""),"")</f>
      </c>
      <c r="P2" t="str">
        <f>SUBSTITUTE(SUBSTITUTE(SUBSTITUTE(SUBSTITUTE(SUBSTITUTE(SUBSTITUTE(SUBSTITUTE(SUBSTITUTE(TRIM(D2&amp;""),CHAR(160),"")," ",""),"초등학교","초"),"중학교","중"),"고등학교","고"),"~","~~"),"*","~*"),"?","~?")</f>
      </c>
      <c r="Q2" t="str">
        <f>SUBSTITUTE(SUBSTITUTE(SUBSTITUTE(SUBSTITUTE(SUBSTITUTE(SUBSTITUTE(SUBSTITUTE(SUBSTITUTE(TRIM(E2&amp;""),CHAR(160),"")," ",""),"초등학교","초"),"중학교","중"),"고등학교","고"),"~","~~"),"*","~*"),"?","~?")</f>
      </c>
      <c r="R2" t="str">
        <f>IF(COUNTA(B2:J2)=0,"",IF(AND(O2&lt;&gt;"",P2&lt;&gt;"",Q2&lt;&gt;""),"","입력누락"))</f>
      </c>
    </row>
    <row r="3" customFormat="false" ht="15" hidden="false" customHeight="false" outlineLevel="0" collapsed="false">
      <c r="A3" t="n" s="19">
        <f aca="0">IF(COUNTA(B3:J3)=0,"",ROW()-1)</f>
      </c>
      <c r="B3" s="24"/>
      <c r="C3" s="25"/>
      <c r="D3" s="8"/>
      <c r="E3" s="8"/>
      <c r="F3" s="26"/>
      <c r="G3" s="24"/>
      <c r="H3" s="25"/>
      <c r="I3" s="25"/>
      <c r="J3" s="26"/>
      <c r="K3" t="str" s="15">
        <f aca="0">IF(COUNTA(B3:J3)=0,"",IF(R3&lt;&gt;"","확인필요(입력누락)",IF(COUNTIFS(보유목록!$I$2:$I$3001,"*"&amp;P3&amp;"*",보유목록!$I$2:$I$3001,"*"&amp;Q3&amp;"*",보유목록!$H$2:$H$3001,O3)&gt;0,"있음",IF(COUNTIFS(보유목록!$I$2:$I$3001,"*"&amp;P3&amp;"*",보유목록!$I$2:$I$3001,"*"&amp;Q3&amp;"*")&gt;0,"확인필요(연도다름)",IF(COUNTIFS(보유목록!$I$2:$I$3001,"*"&amp;P3&amp;"*",보유목록!$H$2:$H$3001,O3)&gt;0,"확인필요(같은학교·같은연도)","없음")))))</f>
      </c>
      <c r="L3" t="str" s="16">
        <f aca="0">IF(OR(COUNTA(B3:J3)=0,R3&lt;&gt;""),"",COUNTIFS(보유목록!$I$2:$I$3001,"*"&amp;P3&amp;"*",보유목록!$I$2:$I$3001,"*"&amp;Q3&amp;"*"))</f>
      </c>
      <c r="M3" t="str" s="23">
        <f aca="0">IF(OR(COUNTA(B3:J3)=0,R3&lt;&gt;""),"",IFERROR(LOOKUP(2,1/(ISNUMBER(SEARCH(P3,보유목록!$I$2:$I$3001))*ISNUMBER(SEARCH(Q3,보유목록!$I$2:$I$3001))*(보유목록!$H$2:$H$3001=O3)),보유목록!$B$2:$B$3001),IFERROR(LOOKUP(2,1/(ISNUMBER(SEARCH(P3,보유목록!$I$2:$I$3001))*ISNUMBER(SEARCH(Q3,보유목록!$I$2:$I$3001))),보유목록!$B$2:$B$3001),"")))</f>
      </c>
      <c r="N3" s="25"/>
      <c r="O3" t="str">
        <f>IFERROR(IF(AND(LEN(SUBSTITUTE(SUBSTITUTE(SUBSTITUTE(TRIM(C3&amp;""),CHAR(160),"")," ",""),"년",""))=4,VALUE(SUBSTITUTE(SUBSTITUTE(SUBSTITUTE(TRIM(C3&amp;""),CHAR(160),"")," ",""),"년",""))&gt;=1900,VALUE(SUBSTITUTE(SUBSTITUTE(SUBSTITUTE(TRIM(C3&amp;""),CHAR(160),"")," ",""),"년",""))&lt;=2099,TEXT(VALUE(SUBSTITUTE(SUBSTITUTE(SUBSTITUTE(TRIM(C3&amp;""),CHAR(160),"")," ",""),"년","")),"0000")=SUBSTITUTE(SUBSTITUTE(SUBSTITUTE(TRIM(C3&amp;""),CHAR(160),"")," ",""),"년","")),SUBSTITUTE(SUBSTITUTE(SUBSTITUTE(TRIM(C3&amp;""),CHAR(160),"")," ",""),"년",""),""),"")</f>
      </c>
      <c r="P3" t="str">
        <f>SUBSTITUTE(SUBSTITUTE(SUBSTITUTE(SUBSTITUTE(SUBSTITUTE(SUBSTITUTE(SUBSTITUTE(SUBSTITUTE(TRIM(D3&amp;""),CHAR(160),"")," ",""),"초등학교","초"),"중학교","중"),"고등학교","고"),"~","~~"),"*","~*"),"?","~?")</f>
      </c>
      <c r="Q3" t="str">
        <f>SUBSTITUTE(SUBSTITUTE(SUBSTITUTE(SUBSTITUTE(SUBSTITUTE(SUBSTITUTE(SUBSTITUTE(SUBSTITUTE(TRIM(E3&amp;""),CHAR(160),"")," ",""),"초등학교","초"),"중학교","중"),"고등학교","고"),"~","~~"),"*","~*"),"?","~?")</f>
      </c>
      <c r="R3" t="str">
        <f>IF(COUNTA(B3:J3)=0,"",IF(AND(O3&lt;&gt;"",P3&lt;&gt;"",Q3&lt;&gt;""),"","입력누락"))</f>
      </c>
    </row>
    <row r="4" customFormat="false" ht="15" hidden="false" customHeight="false" outlineLevel="0" collapsed="false">
      <c r="A4" t="n" s="19">
        <f aca="0">IF(COUNTA(B4:J4)=0,"",ROW()-1)</f>
      </c>
      <c r="B4" s="24"/>
      <c r="C4" s="25"/>
      <c r="D4" s="8"/>
      <c r="E4" s="8"/>
      <c r="F4" s="26"/>
      <c r="G4" s="24"/>
      <c r="H4" s="25"/>
      <c r="I4" s="25"/>
      <c r="J4" s="26"/>
      <c r="K4" t="str" s="15">
        <f aca="0">IF(COUNTA(B4:J4)=0,"",IF(R4&lt;&gt;"","확인필요(입력누락)",IF(COUNTIFS(보유목록!$I$2:$I$3001,"*"&amp;P4&amp;"*",보유목록!$I$2:$I$3001,"*"&amp;Q4&amp;"*",보유목록!$H$2:$H$3001,O4)&gt;0,"있음",IF(COUNTIFS(보유목록!$I$2:$I$3001,"*"&amp;P4&amp;"*",보유목록!$I$2:$I$3001,"*"&amp;Q4&amp;"*")&gt;0,"확인필요(연도다름)",IF(COUNTIFS(보유목록!$I$2:$I$3001,"*"&amp;P4&amp;"*",보유목록!$H$2:$H$3001,O4)&gt;0,"확인필요(같은학교·같은연도)","없음")))))</f>
      </c>
      <c r="L4" t="str" s="16">
        <f aca="0">IF(OR(COUNTA(B4:J4)=0,R4&lt;&gt;""),"",COUNTIFS(보유목록!$I$2:$I$3001,"*"&amp;P4&amp;"*",보유목록!$I$2:$I$3001,"*"&amp;Q4&amp;"*"))</f>
      </c>
      <c r="M4" t="str" s="23">
        <f aca="0">IF(OR(COUNTA(B4:J4)=0,R4&lt;&gt;""),"",IFERROR(LOOKUP(2,1/(ISNUMBER(SEARCH(P4,보유목록!$I$2:$I$3001))*ISNUMBER(SEARCH(Q4,보유목록!$I$2:$I$3001))*(보유목록!$H$2:$H$3001=O4)),보유목록!$B$2:$B$3001),IFERROR(LOOKUP(2,1/(ISNUMBER(SEARCH(P4,보유목록!$I$2:$I$3001))*ISNUMBER(SEARCH(Q4,보유목록!$I$2:$I$3001))),보유목록!$B$2:$B$3001),"")))</f>
      </c>
      <c r="N4" s="25"/>
      <c r="O4" t="str">
        <f>IFERROR(IF(AND(LEN(SUBSTITUTE(SUBSTITUTE(SUBSTITUTE(TRIM(C4&amp;""),CHAR(160),"")," ",""),"년",""))=4,VALUE(SUBSTITUTE(SUBSTITUTE(SUBSTITUTE(TRIM(C4&amp;""),CHAR(160),"")," ",""),"년",""))&gt;=1900,VALUE(SUBSTITUTE(SUBSTITUTE(SUBSTITUTE(TRIM(C4&amp;""),CHAR(160),"")," ",""),"년",""))&lt;=2099,TEXT(VALUE(SUBSTITUTE(SUBSTITUTE(SUBSTITUTE(TRIM(C4&amp;""),CHAR(160),"")," ",""),"년","")),"0000")=SUBSTITUTE(SUBSTITUTE(SUBSTITUTE(TRIM(C4&amp;""),CHAR(160),"")," ",""),"년","")),SUBSTITUTE(SUBSTITUTE(SUBSTITUTE(TRIM(C4&amp;""),CHAR(160),"")," ",""),"년",""),""),"")</f>
      </c>
      <c r="P4" t="str">
        <f>SUBSTITUTE(SUBSTITUTE(SUBSTITUTE(SUBSTITUTE(SUBSTITUTE(SUBSTITUTE(SUBSTITUTE(SUBSTITUTE(TRIM(D4&amp;""),CHAR(160),"")," ",""),"초등학교","초"),"중학교","중"),"고등학교","고"),"~","~~"),"*","~*"),"?","~?")</f>
      </c>
      <c r="Q4" t="str">
        <f>SUBSTITUTE(SUBSTITUTE(SUBSTITUTE(SUBSTITUTE(SUBSTITUTE(SUBSTITUTE(SUBSTITUTE(SUBSTITUTE(TRIM(E4&amp;""),CHAR(160),"")," ",""),"초등학교","초"),"중학교","중"),"고등학교","고"),"~","~~"),"*","~*"),"?","~?")</f>
      </c>
      <c r="R4" t="str">
        <f>IF(COUNTA(B4:J4)=0,"",IF(AND(O4&lt;&gt;"",P4&lt;&gt;"",Q4&lt;&gt;""),"","입력누락"))</f>
      </c>
    </row>
    <row r="5" customFormat="false" ht="15" hidden="false" customHeight="false" outlineLevel="0" collapsed="false">
      <c r="A5" t="n" s="19">
        <f aca="0">IF(COUNTA(B5:J5)=0,"",ROW()-1)</f>
      </c>
      <c r="B5" s="24"/>
      <c r="C5" s="25"/>
      <c r="D5" s="8"/>
      <c r="E5" s="8"/>
      <c r="F5" s="26"/>
      <c r="G5" s="24"/>
      <c r="H5" s="25"/>
      <c r="I5" s="25"/>
      <c r="J5" s="26"/>
      <c r="K5" t="str" s="15">
        <f aca="0">IF(COUNTA(B5:J5)=0,"",IF(R5&lt;&gt;"","확인필요(입력누락)",IF(COUNTIFS(보유목록!$I$2:$I$3001,"*"&amp;P5&amp;"*",보유목록!$I$2:$I$3001,"*"&amp;Q5&amp;"*",보유목록!$H$2:$H$3001,O5)&gt;0,"있음",IF(COUNTIFS(보유목록!$I$2:$I$3001,"*"&amp;P5&amp;"*",보유목록!$I$2:$I$3001,"*"&amp;Q5&amp;"*")&gt;0,"확인필요(연도다름)",IF(COUNTIFS(보유목록!$I$2:$I$3001,"*"&amp;P5&amp;"*",보유목록!$H$2:$H$3001,O5)&gt;0,"확인필요(같은학교·같은연도)","없음")))))</f>
      </c>
      <c r="L5" t="str" s="16">
        <f aca="0">IF(OR(COUNTA(B5:J5)=0,R5&lt;&gt;""),"",COUNTIFS(보유목록!$I$2:$I$3001,"*"&amp;P5&amp;"*",보유목록!$I$2:$I$3001,"*"&amp;Q5&amp;"*"))</f>
      </c>
      <c r="M5" t="str" s="23">
        <f aca="0">IF(OR(COUNTA(B5:J5)=0,R5&lt;&gt;""),"",IFERROR(LOOKUP(2,1/(ISNUMBER(SEARCH(P5,보유목록!$I$2:$I$3001))*ISNUMBER(SEARCH(Q5,보유목록!$I$2:$I$3001))*(보유목록!$H$2:$H$3001=O5)),보유목록!$B$2:$B$3001),IFERROR(LOOKUP(2,1/(ISNUMBER(SEARCH(P5,보유목록!$I$2:$I$3001))*ISNUMBER(SEARCH(Q5,보유목록!$I$2:$I$3001))),보유목록!$B$2:$B$3001),"")))</f>
      </c>
      <c r="N5" s="25"/>
      <c r="O5" t="str">
        <f>IFERROR(IF(AND(LEN(SUBSTITUTE(SUBSTITUTE(SUBSTITUTE(TRIM(C5&amp;""),CHAR(160),"")," ",""),"년",""))=4,VALUE(SUBSTITUTE(SUBSTITUTE(SUBSTITUTE(TRIM(C5&amp;""),CHAR(160),"")," ",""),"년",""))&gt;=1900,VALUE(SUBSTITUTE(SUBSTITUTE(SUBSTITUTE(TRIM(C5&amp;""),CHAR(160),"")," ",""),"년",""))&lt;=2099,TEXT(VALUE(SUBSTITUTE(SUBSTITUTE(SUBSTITUTE(TRIM(C5&amp;""),CHAR(160),"")," ",""),"년","")),"0000")=SUBSTITUTE(SUBSTITUTE(SUBSTITUTE(TRIM(C5&amp;""),CHAR(160),"")," ",""),"년","")),SUBSTITUTE(SUBSTITUTE(SUBSTITUTE(TRIM(C5&amp;""),CHAR(160),"")," ",""),"년",""),""),"")</f>
      </c>
      <c r="P5" t="str">
        <f>SUBSTITUTE(SUBSTITUTE(SUBSTITUTE(SUBSTITUTE(SUBSTITUTE(SUBSTITUTE(SUBSTITUTE(SUBSTITUTE(TRIM(D5&amp;""),CHAR(160),"")," ",""),"초등학교","초"),"중학교","중"),"고등학교","고"),"~","~~"),"*","~*"),"?","~?")</f>
      </c>
      <c r="Q5" t="str">
        <f>SUBSTITUTE(SUBSTITUTE(SUBSTITUTE(SUBSTITUTE(SUBSTITUTE(SUBSTITUTE(SUBSTITUTE(SUBSTITUTE(TRIM(E5&amp;""),CHAR(160),"")," ",""),"초등학교","초"),"중학교","중"),"고등학교","고"),"~","~~"),"*","~*"),"?","~?")</f>
      </c>
      <c r="R5" t="str">
        <f>IF(COUNTA(B5:J5)=0,"",IF(AND(O5&lt;&gt;"",P5&lt;&gt;"",Q5&lt;&gt;""),"","입력누락"))</f>
      </c>
    </row>
    <row r="6" customFormat="false" ht="15" hidden="false" customHeight="false" outlineLevel="0" collapsed="false">
      <c r="A6" t="n" s="19">
        <f aca="0">IF(COUNTA(B6:J6)=0,"",ROW()-1)</f>
      </c>
      <c r="B6" s="24"/>
      <c r="C6" s="25"/>
      <c r="D6" s="8"/>
      <c r="E6" s="8"/>
      <c r="F6" s="26"/>
      <c r="G6" s="24"/>
      <c r="H6" s="25"/>
      <c r="I6" s="25"/>
      <c r="J6" s="26"/>
      <c r="K6" t="str" s="15">
        <f aca="0">IF(COUNTA(B6:J6)=0,"",IF(R6&lt;&gt;"","확인필요(입력누락)",IF(COUNTIFS(보유목록!$I$2:$I$3001,"*"&amp;P6&amp;"*",보유목록!$I$2:$I$3001,"*"&amp;Q6&amp;"*",보유목록!$H$2:$H$3001,O6)&gt;0,"있음",IF(COUNTIFS(보유목록!$I$2:$I$3001,"*"&amp;P6&amp;"*",보유목록!$I$2:$I$3001,"*"&amp;Q6&amp;"*")&gt;0,"확인필요(연도다름)",IF(COUNTIFS(보유목록!$I$2:$I$3001,"*"&amp;P6&amp;"*",보유목록!$H$2:$H$3001,O6)&gt;0,"확인필요(같은학교·같은연도)","없음")))))</f>
      </c>
      <c r="L6" t="str" s="16">
        <f aca="0">IF(OR(COUNTA(B6:J6)=0,R6&lt;&gt;""),"",COUNTIFS(보유목록!$I$2:$I$3001,"*"&amp;P6&amp;"*",보유목록!$I$2:$I$3001,"*"&amp;Q6&amp;"*"))</f>
      </c>
      <c r="M6" t="str" s="23">
        <f aca="0">IF(OR(COUNTA(B6:J6)=0,R6&lt;&gt;""),"",IFERROR(LOOKUP(2,1/(ISNUMBER(SEARCH(P6,보유목록!$I$2:$I$3001))*ISNUMBER(SEARCH(Q6,보유목록!$I$2:$I$3001))*(보유목록!$H$2:$H$3001=O6)),보유목록!$B$2:$B$3001),IFERROR(LOOKUP(2,1/(ISNUMBER(SEARCH(P6,보유목록!$I$2:$I$3001))*ISNUMBER(SEARCH(Q6,보유목록!$I$2:$I$3001))),보유목록!$B$2:$B$3001),"")))</f>
      </c>
      <c r="N6" s="25"/>
      <c r="O6" t="str">
        <f>IFERROR(IF(AND(LEN(SUBSTITUTE(SUBSTITUTE(SUBSTITUTE(TRIM(C6&amp;""),CHAR(160),"")," ",""),"년",""))=4,VALUE(SUBSTITUTE(SUBSTITUTE(SUBSTITUTE(TRIM(C6&amp;""),CHAR(160),"")," ",""),"년",""))&gt;=1900,VALUE(SUBSTITUTE(SUBSTITUTE(SUBSTITUTE(TRIM(C6&amp;""),CHAR(160),"")," ",""),"년",""))&lt;=2099,TEXT(VALUE(SUBSTITUTE(SUBSTITUTE(SUBSTITUTE(TRIM(C6&amp;""),CHAR(160),"")," ",""),"년","")),"0000")=SUBSTITUTE(SUBSTITUTE(SUBSTITUTE(TRIM(C6&amp;""),CHAR(160),"")," ",""),"년","")),SUBSTITUTE(SUBSTITUTE(SUBSTITUTE(TRIM(C6&amp;""),CHAR(160),"")," ",""),"년",""),""),"")</f>
      </c>
      <c r="P6" t="str">
        <f>SUBSTITUTE(SUBSTITUTE(SUBSTITUTE(SUBSTITUTE(SUBSTITUTE(SUBSTITUTE(SUBSTITUTE(SUBSTITUTE(TRIM(D6&amp;""),CHAR(160),"")," ",""),"초등학교","초"),"중학교","중"),"고등학교","고"),"~","~~"),"*","~*"),"?","~?")</f>
      </c>
      <c r="Q6" t="str">
        <f>SUBSTITUTE(SUBSTITUTE(SUBSTITUTE(SUBSTITUTE(SUBSTITUTE(SUBSTITUTE(SUBSTITUTE(SUBSTITUTE(TRIM(E6&amp;""),CHAR(160),"")," ",""),"초등학교","초"),"중학교","중"),"고등학교","고"),"~","~~"),"*","~*"),"?","~?")</f>
      </c>
      <c r="R6" t="str">
        <f>IF(COUNTA(B6:J6)=0,"",IF(AND(O6&lt;&gt;"",P6&lt;&gt;"",Q6&lt;&gt;""),"","입력누락"))</f>
      </c>
    </row>
    <row r="7" customFormat="false" ht="15" hidden="false" customHeight="false" outlineLevel="0" collapsed="false">
      <c r="A7" t="n" s="19">
        <f aca="0">IF(COUNTA(B7:J7)=0,"",ROW()-1)</f>
      </c>
      <c r="B7" s="24"/>
      <c r="C7" s="25"/>
      <c r="D7" s="8"/>
      <c r="E7" s="8"/>
      <c r="F7" s="26"/>
      <c r="G7" s="24"/>
      <c r="H7" s="25"/>
      <c r="I7" s="25"/>
      <c r="J7" s="26"/>
      <c r="K7" t="str" s="15">
        <f aca="0">IF(COUNTA(B7:J7)=0,"",IF(R7&lt;&gt;"","확인필요(입력누락)",IF(COUNTIFS(보유목록!$I$2:$I$3001,"*"&amp;P7&amp;"*",보유목록!$I$2:$I$3001,"*"&amp;Q7&amp;"*",보유목록!$H$2:$H$3001,O7)&gt;0,"있음",IF(COUNTIFS(보유목록!$I$2:$I$3001,"*"&amp;P7&amp;"*",보유목록!$I$2:$I$3001,"*"&amp;Q7&amp;"*")&gt;0,"확인필요(연도다름)",IF(COUNTIFS(보유목록!$I$2:$I$3001,"*"&amp;P7&amp;"*",보유목록!$H$2:$H$3001,O7)&gt;0,"확인필요(같은학교·같은연도)","없음")))))</f>
      </c>
      <c r="L7" t="str" s="16">
        <f aca="0">IF(OR(COUNTA(B7:J7)=0,R7&lt;&gt;""),"",COUNTIFS(보유목록!$I$2:$I$3001,"*"&amp;P7&amp;"*",보유목록!$I$2:$I$3001,"*"&amp;Q7&amp;"*"))</f>
      </c>
      <c r="M7" t="str" s="23">
        <f aca="0">IF(OR(COUNTA(B7:J7)=0,R7&lt;&gt;""),"",IFERROR(LOOKUP(2,1/(ISNUMBER(SEARCH(P7,보유목록!$I$2:$I$3001))*ISNUMBER(SEARCH(Q7,보유목록!$I$2:$I$3001))*(보유목록!$H$2:$H$3001=O7)),보유목록!$B$2:$B$3001),IFERROR(LOOKUP(2,1/(ISNUMBER(SEARCH(P7,보유목록!$I$2:$I$3001))*ISNUMBER(SEARCH(Q7,보유목록!$I$2:$I$3001))),보유목록!$B$2:$B$3001),"")))</f>
      </c>
      <c r="N7" s="25"/>
      <c r="O7" t="str">
        <f>IFERROR(IF(AND(LEN(SUBSTITUTE(SUBSTITUTE(SUBSTITUTE(TRIM(C7&amp;""),CHAR(160),"")," ",""),"년",""))=4,VALUE(SUBSTITUTE(SUBSTITUTE(SUBSTITUTE(TRIM(C7&amp;""),CHAR(160),"")," ",""),"년",""))&gt;=1900,VALUE(SUBSTITUTE(SUBSTITUTE(SUBSTITUTE(TRIM(C7&amp;""),CHAR(160),"")," ",""),"년",""))&lt;=2099,TEXT(VALUE(SUBSTITUTE(SUBSTITUTE(SUBSTITUTE(TRIM(C7&amp;""),CHAR(160),"")," ",""),"년","")),"0000")=SUBSTITUTE(SUBSTITUTE(SUBSTITUTE(TRIM(C7&amp;""),CHAR(160),"")," ",""),"년","")),SUBSTITUTE(SUBSTITUTE(SUBSTITUTE(TRIM(C7&amp;""),CHAR(160),"")," ",""),"년",""),""),"")</f>
      </c>
      <c r="P7" t="str">
        <f>SUBSTITUTE(SUBSTITUTE(SUBSTITUTE(SUBSTITUTE(SUBSTITUTE(SUBSTITUTE(SUBSTITUTE(SUBSTITUTE(TRIM(D7&amp;""),CHAR(160),"")," ",""),"초등학교","초"),"중학교","중"),"고등학교","고"),"~","~~"),"*","~*"),"?","~?")</f>
      </c>
      <c r="Q7" t="str">
        <f>SUBSTITUTE(SUBSTITUTE(SUBSTITUTE(SUBSTITUTE(SUBSTITUTE(SUBSTITUTE(SUBSTITUTE(SUBSTITUTE(TRIM(E7&amp;""),CHAR(160),"")," ",""),"초등학교","초"),"중학교","중"),"고등학교","고"),"~","~~"),"*","~*"),"?","~?")</f>
      </c>
      <c r="R7" t="str">
        <f>IF(COUNTA(B7:J7)=0,"",IF(AND(O7&lt;&gt;"",P7&lt;&gt;"",Q7&lt;&gt;""),"","입력누락"))</f>
      </c>
    </row>
    <row r="8" customFormat="false" ht="15" hidden="false" customHeight="false" outlineLevel="0" collapsed="false">
      <c r="A8" t="n" s="19">
        <f aca="0">IF(COUNTA(B8:J8)=0,"",ROW()-1)</f>
      </c>
      <c r="B8" s="24"/>
      <c r="C8" s="25"/>
      <c r="D8" s="8"/>
      <c r="E8" s="8"/>
      <c r="F8" s="26"/>
      <c r="G8" s="24"/>
      <c r="H8" s="25"/>
      <c r="I8" s="25"/>
      <c r="J8" s="26"/>
      <c r="K8" t="str" s="15">
        <f aca="0">IF(COUNTA(B8:J8)=0,"",IF(R8&lt;&gt;"","확인필요(입력누락)",IF(COUNTIFS(보유목록!$I$2:$I$3001,"*"&amp;P8&amp;"*",보유목록!$I$2:$I$3001,"*"&amp;Q8&amp;"*",보유목록!$H$2:$H$3001,O8)&gt;0,"있음",IF(COUNTIFS(보유목록!$I$2:$I$3001,"*"&amp;P8&amp;"*",보유목록!$I$2:$I$3001,"*"&amp;Q8&amp;"*")&gt;0,"확인필요(연도다름)",IF(COUNTIFS(보유목록!$I$2:$I$3001,"*"&amp;P8&amp;"*",보유목록!$H$2:$H$3001,O8)&gt;0,"확인필요(같은학교·같은연도)","없음")))))</f>
      </c>
      <c r="L8" t="str" s="16">
        <f aca="0">IF(OR(COUNTA(B8:J8)=0,R8&lt;&gt;""),"",COUNTIFS(보유목록!$I$2:$I$3001,"*"&amp;P8&amp;"*",보유목록!$I$2:$I$3001,"*"&amp;Q8&amp;"*"))</f>
      </c>
      <c r="M8" t="str" s="23">
        <f aca="0">IF(OR(COUNTA(B8:J8)=0,R8&lt;&gt;""),"",IFERROR(LOOKUP(2,1/(ISNUMBER(SEARCH(P8,보유목록!$I$2:$I$3001))*ISNUMBER(SEARCH(Q8,보유목록!$I$2:$I$3001))*(보유목록!$H$2:$H$3001=O8)),보유목록!$B$2:$B$3001),IFERROR(LOOKUP(2,1/(ISNUMBER(SEARCH(P8,보유목록!$I$2:$I$3001))*ISNUMBER(SEARCH(Q8,보유목록!$I$2:$I$3001))),보유목록!$B$2:$B$3001),"")))</f>
      </c>
      <c r="N8" s="25"/>
      <c r="O8" t="str">
        <f>IFERROR(IF(AND(LEN(SUBSTITUTE(SUBSTITUTE(SUBSTITUTE(TRIM(C8&amp;""),CHAR(160),"")," ",""),"년",""))=4,VALUE(SUBSTITUTE(SUBSTITUTE(SUBSTITUTE(TRIM(C8&amp;""),CHAR(160),"")," ",""),"년",""))&gt;=1900,VALUE(SUBSTITUTE(SUBSTITUTE(SUBSTITUTE(TRIM(C8&amp;""),CHAR(160),"")," ",""),"년",""))&lt;=2099,TEXT(VALUE(SUBSTITUTE(SUBSTITUTE(SUBSTITUTE(TRIM(C8&amp;""),CHAR(160),"")," ",""),"년","")),"0000")=SUBSTITUTE(SUBSTITUTE(SUBSTITUTE(TRIM(C8&amp;""),CHAR(160),"")," ",""),"년","")),SUBSTITUTE(SUBSTITUTE(SUBSTITUTE(TRIM(C8&amp;""),CHAR(160),"")," ",""),"년",""),""),"")</f>
      </c>
      <c r="P8" t="str">
        <f>SUBSTITUTE(SUBSTITUTE(SUBSTITUTE(SUBSTITUTE(SUBSTITUTE(SUBSTITUTE(SUBSTITUTE(SUBSTITUTE(TRIM(D8&amp;""),CHAR(160),"")," ",""),"초등학교","초"),"중학교","중"),"고등학교","고"),"~","~~"),"*","~*"),"?","~?")</f>
      </c>
      <c r="Q8" t="str">
        <f>SUBSTITUTE(SUBSTITUTE(SUBSTITUTE(SUBSTITUTE(SUBSTITUTE(SUBSTITUTE(SUBSTITUTE(SUBSTITUTE(TRIM(E8&amp;""),CHAR(160),"")," ",""),"초등학교","초"),"중학교","중"),"고등학교","고"),"~","~~"),"*","~*"),"?","~?")</f>
      </c>
      <c r="R8" t="str">
        <f>IF(COUNTA(B8:J8)=0,"",IF(AND(O8&lt;&gt;"",P8&lt;&gt;"",Q8&lt;&gt;""),"","입력누락"))</f>
      </c>
    </row>
    <row r="9" customFormat="false" ht="15" hidden="false" customHeight="false" outlineLevel="0" collapsed="false">
      <c r="A9" t="n" s="19">
        <f aca="0">IF(COUNTA(B9:J9)=0,"",ROW()-1)</f>
      </c>
      <c r="B9" s="24"/>
      <c r="C9" s="25"/>
      <c r="D9" s="8"/>
      <c r="E9" s="8"/>
      <c r="F9" s="26"/>
      <c r="G9" s="24"/>
      <c r="H9" s="25"/>
      <c r="I9" s="25"/>
      <c r="J9" s="26"/>
      <c r="K9" t="str" s="15">
        <f aca="0">IF(COUNTA(B9:J9)=0,"",IF(R9&lt;&gt;"","확인필요(입력누락)",IF(COUNTIFS(보유목록!$I$2:$I$3001,"*"&amp;P9&amp;"*",보유목록!$I$2:$I$3001,"*"&amp;Q9&amp;"*",보유목록!$H$2:$H$3001,O9)&gt;0,"있음",IF(COUNTIFS(보유목록!$I$2:$I$3001,"*"&amp;P9&amp;"*",보유목록!$I$2:$I$3001,"*"&amp;Q9&amp;"*")&gt;0,"확인필요(연도다름)",IF(COUNTIFS(보유목록!$I$2:$I$3001,"*"&amp;P9&amp;"*",보유목록!$H$2:$H$3001,O9)&gt;0,"확인필요(같은학교·같은연도)","없음")))))</f>
      </c>
      <c r="L9" t="str" s="16">
        <f aca="0">IF(OR(COUNTA(B9:J9)=0,R9&lt;&gt;""),"",COUNTIFS(보유목록!$I$2:$I$3001,"*"&amp;P9&amp;"*",보유목록!$I$2:$I$3001,"*"&amp;Q9&amp;"*"))</f>
      </c>
      <c r="M9" t="str" s="23">
        <f aca="0">IF(OR(COUNTA(B9:J9)=0,R9&lt;&gt;""),"",IFERROR(LOOKUP(2,1/(ISNUMBER(SEARCH(P9,보유목록!$I$2:$I$3001))*ISNUMBER(SEARCH(Q9,보유목록!$I$2:$I$3001))*(보유목록!$H$2:$H$3001=O9)),보유목록!$B$2:$B$3001),IFERROR(LOOKUP(2,1/(ISNUMBER(SEARCH(P9,보유목록!$I$2:$I$3001))*ISNUMBER(SEARCH(Q9,보유목록!$I$2:$I$3001))),보유목록!$B$2:$B$3001),"")))</f>
      </c>
      <c r="N9" s="25"/>
      <c r="O9" t="str">
        <f>IFERROR(IF(AND(LEN(SUBSTITUTE(SUBSTITUTE(SUBSTITUTE(TRIM(C9&amp;""),CHAR(160),"")," ",""),"년",""))=4,VALUE(SUBSTITUTE(SUBSTITUTE(SUBSTITUTE(TRIM(C9&amp;""),CHAR(160),"")," ",""),"년",""))&gt;=1900,VALUE(SUBSTITUTE(SUBSTITUTE(SUBSTITUTE(TRIM(C9&amp;""),CHAR(160),"")," ",""),"년",""))&lt;=2099,TEXT(VALUE(SUBSTITUTE(SUBSTITUTE(SUBSTITUTE(TRIM(C9&amp;""),CHAR(160),"")," ",""),"년","")),"0000")=SUBSTITUTE(SUBSTITUTE(SUBSTITUTE(TRIM(C9&amp;""),CHAR(160),"")," ",""),"년","")),SUBSTITUTE(SUBSTITUTE(SUBSTITUTE(TRIM(C9&amp;""),CHAR(160),"")," ",""),"년",""),""),"")</f>
      </c>
      <c r="P9" t="str">
        <f>SUBSTITUTE(SUBSTITUTE(SUBSTITUTE(SUBSTITUTE(SUBSTITUTE(SUBSTITUTE(SUBSTITUTE(SUBSTITUTE(TRIM(D9&amp;""),CHAR(160),"")," ",""),"초등학교","초"),"중학교","중"),"고등학교","고"),"~","~~"),"*","~*"),"?","~?")</f>
      </c>
      <c r="Q9" t="str">
        <f>SUBSTITUTE(SUBSTITUTE(SUBSTITUTE(SUBSTITUTE(SUBSTITUTE(SUBSTITUTE(SUBSTITUTE(SUBSTITUTE(TRIM(E9&amp;""),CHAR(160),"")," ",""),"초등학교","초"),"중학교","중"),"고등학교","고"),"~","~~"),"*","~*"),"?","~?")</f>
      </c>
      <c r="R9" t="str">
        <f>IF(COUNTA(B9:J9)=0,"",IF(AND(O9&lt;&gt;"",P9&lt;&gt;"",Q9&lt;&gt;""),"","입력누락"))</f>
      </c>
    </row>
    <row r="10" customFormat="false" ht="15" hidden="false" customHeight="false" outlineLevel="0" collapsed="false">
      <c r="A10" t="n" s="19">
        <f aca="0">IF(COUNTA(B10:J10)=0,"",ROW()-1)</f>
      </c>
      <c r="B10" s="24"/>
      <c r="C10" s="25"/>
      <c r="D10" s="8"/>
      <c r="E10" s="8"/>
      <c r="F10" s="26"/>
      <c r="G10" s="24"/>
      <c r="H10" s="25"/>
      <c r="I10" s="25"/>
      <c r="J10" s="26"/>
      <c r="K10" t="str" s="15">
        <f aca="0">IF(COUNTA(B10:J10)=0,"",IF(R10&lt;&gt;"","확인필요(입력누락)",IF(COUNTIFS(보유목록!$I$2:$I$3001,"*"&amp;P10&amp;"*",보유목록!$I$2:$I$3001,"*"&amp;Q10&amp;"*",보유목록!$H$2:$H$3001,O10)&gt;0,"있음",IF(COUNTIFS(보유목록!$I$2:$I$3001,"*"&amp;P10&amp;"*",보유목록!$I$2:$I$3001,"*"&amp;Q10&amp;"*")&gt;0,"확인필요(연도다름)",IF(COUNTIFS(보유목록!$I$2:$I$3001,"*"&amp;P10&amp;"*",보유목록!$H$2:$H$3001,O10)&gt;0,"확인필요(같은학교·같은연도)","없음")))))</f>
      </c>
      <c r="L10" t="str" s="16">
        <f aca="0">IF(OR(COUNTA(B10:J10)=0,R10&lt;&gt;""),"",COUNTIFS(보유목록!$I$2:$I$3001,"*"&amp;P10&amp;"*",보유목록!$I$2:$I$3001,"*"&amp;Q10&amp;"*"))</f>
      </c>
      <c r="M10" t="str" s="23">
        <f aca="0">IF(OR(COUNTA(B10:J10)=0,R10&lt;&gt;""),"",IFERROR(LOOKUP(2,1/(ISNUMBER(SEARCH(P10,보유목록!$I$2:$I$3001))*ISNUMBER(SEARCH(Q10,보유목록!$I$2:$I$3001))*(보유목록!$H$2:$H$3001=O10)),보유목록!$B$2:$B$3001),IFERROR(LOOKUP(2,1/(ISNUMBER(SEARCH(P10,보유목록!$I$2:$I$3001))*ISNUMBER(SEARCH(Q10,보유목록!$I$2:$I$3001))),보유목록!$B$2:$B$3001),"")))</f>
      </c>
      <c r="N10" s="25"/>
      <c r="O10" t="str">
        <f>IFERROR(IF(AND(LEN(SUBSTITUTE(SUBSTITUTE(SUBSTITUTE(TRIM(C10&amp;""),CHAR(160),"")," ",""),"년",""))=4,VALUE(SUBSTITUTE(SUBSTITUTE(SUBSTITUTE(TRIM(C10&amp;""),CHAR(160),"")," ",""),"년",""))&gt;=1900,VALUE(SUBSTITUTE(SUBSTITUTE(SUBSTITUTE(TRIM(C10&amp;""),CHAR(160),"")," ",""),"년",""))&lt;=2099,TEXT(VALUE(SUBSTITUTE(SUBSTITUTE(SUBSTITUTE(TRIM(C10&amp;""),CHAR(160),"")," ",""),"년","")),"0000")=SUBSTITUTE(SUBSTITUTE(SUBSTITUTE(TRIM(C10&amp;""),CHAR(160),"")," ",""),"년","")),SUBSTITUTE(SUBSTITUTE(SUBSTITUTE(TRIM(C10&amp;""),CHAR(160),"")," ",""),"년",""),""),"")</f>
      </c>
      <c r="P10" t="str">
        <f>SUBSTITUTE(SUBSTITUTE(SUBSTITUTE(SUBSTITUTE(SUBSTITUTE(SUBSTITUTE(SUBSTITUTE(SUBSTITUTE(TRIM(D10&amp;""),CHAR(160),"")," ",""),"초등학교","초"),"중학교","중"),"고등학교","고"),"~","~~"),"*","~*"),"?","~?")</f>
      </c>
      <c r="Q10" t="str">
        <f>SUBSTITUTE(SUBSTITUTE(SUBSTITUTE(SUBSTITUTE(SUBSTITUTE(SUBSTITUTE(SUBSTITUTE(SUBSTITUTE(TRIM(E10&amp;""),CHAR(160),"")," ",""),"초등학교","초"),"중학교","중"),"고등학교","고"),"~","~~"),"*","~*"),"?","~?")</f>
      </c>
      <c r="R10" t="str">
        <f>IF(COUNTA(B10:J10)=0,"",IF(AND(O10&lt;&gt;"",P10&lt;&gt;"",Q10&lt;&gt;""),"","입력누락"))</f>
      </c>
    </row>
    <row r="11" customFormat="false" ht="15" hidden="false" customHeight="false" outlineLevel="0" collapsed="false">
      <c r="A11" t="n" s="19">
        <f aca="0">IF(COUNTA(B11:J11)=0,"",ROW()-1)</f>
      </c>
      <c r="B11" s="24"/>
      <c r="C11" s="25"/>
      <c r="D11" s="8"/>
      <c r="E11" s="8"/>
      <c r="F11" s="26"/>
      <c r="G11" s="24"/>
      <c r="H11" s="25"/>
      <c r="I11" s="25"/>
      <c r="J11" s="26"/>
      <c r="K11" t="str" s="15">
        <f aca="0">IF(COUNTA(B11:J11)=0,"",IF(R11&lt;&gt;"","확인필요(입력누락)",IF(COUNTIFS(보유목록!$I$2:$I$3001,"*"&amp;P11&amp;"*",보유목록!$I$2:$I$3001,"*"&amp;Q11&amp;"*",보유목록!$H$2:$H$3001,O11)&gt;0,"있음",IF(COUNTIFS(보유목록!$I$2:$I$3001,"*"&amp;P11&amp;"*",보유목록!$I$2:$I$3001,"*"&amp;Q11&amp;"*")&gt;0,"확인필요(연도다름)",IF(COUNTIFS(보유목록!$I$2:$I$3001,"*"&amp;P11&amp;"*",보유목록!$H$2:$H$3001,O11)&gt;0,"확인필요(같은학교·같은연도)","없음")))))</f>
      </c>
      <c r="L11" t="str" s="16">
        <f aca="0">IF(OR(COUNTA(B11:J11)=0,R11&lt;&gt;""),"",COUNTIFS(보유목록!$I$2:$I$3001,"*"&amp;P11&amp;"*",보유목록!$I$2:$I$3001,"*"&amp;Q11&amp;"*"))</f>
      </c>
      <c r="M11" t="str" s="23">
        <f aca="0">IF(OR(COUNTA(B11:J11)=0,R11&lt;&gt;""),"",IFERROR(LOOKUP(2,1/(ISNUMBER(SEARCH(P11,보유목록!$I$2:$I$3001))*ISNUMBER(SEARCH(Q11,보유목록!$I$2:$I$3001))*(보유목록!$H$2:$H$3001=O11)),보유목록!$B$2:$B$3001),IFERROR(LOOKUP(2,1/(ISNUMBER(SEARCH(P11,보유목록!$I$2:$I$3001))*ISNUMBER(SEARCH(Q11,보유목록!$I$2:$I$3001))),보유목록!$B$2:$B$3001),"")))</f>
      </c>
      <c r="N11" s="25"/>
      <c r="O11" t="str">
        <f>IFERROR(IF(AND(LEN(SUBSTITUTE(SUBSTITUTE(SUBSTITUTE(TRIM(C11&amp;""),CHAR(160),"")," ",""),"년",""))=4,VALUE(SUBSTITUTE(SUBSTITUTE(SUBSTITUTE(TRIM(C11&amp;""),CHAR(160),"")," ",""),"년",""))&gt;=1900,VALUE(SUBSTITUTE(SUBSTITUTE(SUBSTITUTE(TRIM(C11&amp;""),CHAR(160),"")," ",""),"년",""))&lt;=2099,TEXT(VALUE(SUBSTITUTE(SUBSTITUTE(SUBSTITUTE(TRIM(C11&amp;""),CHAR(160),"")," ",""),"년","")),"0000")=SUBSTITUTE(SUBSTITUTE(SUBSTITUTE(TRIM(C11&amp;""),CHAR(160),"")," ",""),"년","")),SUBSTITUTE(SUBSTITUTE(SUBSTITUTE(TRIM(C11&amp;""),CHAR(160),"")," ",""),"년",""),""),"")</f>
      </c>
      <c r="P11" t="str">
        <f>SUBSTITUTE(SUBSTITUTE(SUBSTITUTE(SUBSTITUTE(SUBSTITUTE(SUBSTITUTE(SUBSTITUTE(SUBSTITUTE(TRIM(D11&amp;""),CHAR(160),"")," ",""),"초등학교","초"),"중학교","중"),"고등학교","고"),"~","~~"),"*","~*"),"?","~?")</f>
      </c>
      <c r="Q11" t="str">
        <f>SUBSTITUTE(SUBSTITUTE(SUBSTITUTE(SUBSTITUTE(SUBSTITUTE(SUBSTITUTE(SUBSTITUTE(SUBSTITUTE(TRIM(E11&amp;""),CHAR(160),"")," ",""),"초등학교","초"),"중학교","중"),"고등학교","고"),"~","~~"),"*","~*"),"?","~?")</f>
      </c>
      <c r="R11" t="str">
        <f>IF(COUNTA(B11:J11)=0,"",IF(AND(O11&lt;&gt;"",P11&lt;&gt;"",Q11&lt;&gt;""),"","입력누락"))</f>
      </c>
    </row>
    <row r="12" customFormat="false" ht="15" hidden="false" customHeight="false" outlineLevel="0" collapsed="false">
      <c r="A12" t="n" s="19">
        <f aca="0">IF(COUNTA(B12:J12)=0,"",ROW()-1)</f>
      </c>
      <c r="B12" s="24"/>
      <c r="C12" s="25"/>
      <c r="D12" s="8"/>
      <c r="E12" s="8"/>
      <c r="F12" s="26"/>
      <c r="G12" s="24"/>
      <c r="H12" s="25"/>
      <c r="I12" s="25"/>
      <c r="J12" s="26"/>
      <c r="K12" t="str" s="15">
        <f aca="0">IF(COUNTA(B12:J12)=0,"",IF(R12&lt;&gt;"","확인필요(입력누락)",IF(COUNTIFS(보유목록!$I$2:$I$3001,"*"&amp;P12&amp;"*",보유목록!$I$2:$I$3001,"*"&amp;Q12&amp;"*",보유목록!$H$2:$H$3001,O12)&gt;0,"있음",IF(COUNTIFS(보유목록!$I$2:$I$3001,"*"&amp;P12&amp;"*",보유목록!$I$2:$I$3001,"*"&amp;Q12&amp;"*")&gt;0,"확인필요(연도다름)",IF(COUNTIFS(보유목록!$I$2:$I$3001,"*"&amp;P12&amp;"*",보유목록!$H$2:$H$3001,O12)&gt;0,"확인필요(같은학교·같은연도)","없음")))))</f>
      </c>
      <c r="L12" t="str" s="16">
        <f aca="0">IF(OR(COUNTA(B12:J12)=0,R12&lt;&gt;""),"",COUNTIFS(보유목록!$I$2:$I$3001,"*"&amp;P12&amp;"*",보유목록!$I$2:$I$3001,"*"&amp;Q12&amp;"*"))</f>
      </c>
      <c r="M12" t="str" s="23">
        <f aca="0">IF(OR(COUNTA(B12:J12)=0,R12&lt;&gt;""),"",IFERROR(LOOKUP(2,1/(ISNUMBER(SEARCH(P12,보유목록!$I$2:$I$3001))*ISNUMBER(SEARCH(Q12,보유목록!$I$2:$I$3001))*(보유목록!$H$2:$H$3001=O12)),보유목록!$B$2:$B$3001),IFERROR(LOOKUP(2,1/(ISNUMBER(SEARCH(P12,보유목록!$I$2:$I$3001))*ISNUMBER(SEARCH(Q12,보유목록!$I$2:$I$3001))),보유목록!$B$2:$B$3001),"")))</f>
      </c>
      <c r="N12" s="25"/>
      <c r="O12" t="str">
        <f>IFERROR(IF(AND(LEN(SUBSTITUTE(SUBSTITUTE(SUBSTITUTE(TRIM(C12&amp;""),CHAR(160),"")," ",""),"년",""))=4,VALUE(SUBSTITUTE(SUBSTITUTE(SUBSTITUTE(TRIM(C12&amp;""),CHAR(160),"")," ",""),"년",""))&gt;=1900,VALUE(SUBSTITUTE(SUBSTITUTE(SUBSTITUTE(TRIM(C12&amp;""),CHAR(160),"")," ",""),"년",""))&lt;=2099,TEXT(VALUE(SUBSTITUTE(SUBSTITUTE(SUBSTITUTE(TRIM(C12&amp;""),CHAR(160),"")," ",""),"년","")),"0000")=SUBSTITUTE(SUBSTITUTE(SUBSTITUTE(TRIM(C12&amp;""),CHAR(160),"")," ",""),"년","")),SUBSTITUTE(SUBSTITUTE(SUBSTITUTE(TRIM(C12&amp;""),CHAR(160),"")," ",""),"년",""),""),"")</f>
      </c>
      <c r="P12" t="str">
        <f>SUBSTITUTE(SUBSTITUTE(SUBSTITUTE(SUBSTITUTE(SUBSTITUTE(SUBSTITUTE(SUBSTITUTE(SUBSTITUTE(TRIM(D12&amp;""),CHAR(160),"")," ",""),"초등학교","초"),"중학교","중"),"고등학교","고"),"~","~~"),"*","~*"),"?","~?")</f>
      </c>
      <c r="Q12" t="str">
        <f>SUBSTITUTE(SUBSTITUTE(SUBSTITUTE(SUBSTITUTE(SUBSTITUTE(SUBSTITUTE(SUBSTITUTE(SUBSTITUTE(TRIM(E12&amp;""),CHAR(160),"")," ",""),"초등학교","초"),"중학교","중"),"고등학교","고"),"~","~~"),"*","~*"),"?","~?")</f>
      </c>
      <c r="R12" t="str">
        <f>IF(COUNTA(B12:J12)=0,"",IF(AND(O12&lt;&gt;"",P12&lt;&gt;"",Q12&lt;&gt;""),"","입력누락"))</f>
      </c>
    </row>
    <row r="13" customFormat="false" ht="15" hidden="false" customHeight="false" outlineLevel="0" collapsed="false">
      <c r="A13" t="n" s="19">
        <f aca="0">IF(COUNTA(B13:J13)=0,"",ROW()-1)</f>
      </c>
      <c r="B13" s="24"/>
      <c r="C13" s="25"/>
      <c r="D13" s="8"/>
      <c r="E13" s="8"/>
      <c r="F13" s="26"/>
      <c r="G13" s="24"/>
      <c r="H13" s="25"/>
      <c r="I13" s="25"/>
      <c r="J13" s="26"/>
      <c r="K13" t="str" s="15">
        <f aca="0">IF(COUNTA(B13:J13)=0,"",IF(R13&lt;&gt;"","확인필요(입력누락)",IF(COUNTIFS(보유목록!$I$2:$I$3001,"*"&amp;P13&amp;"*",보유목록!$I$2:$I$3001,"*"&amp;Q13&amp;"*",보유목록!$H$2:$H$3001,O13)&gt;0,"있음",IF(COUNTIFS(보유목록!$I$2:$I$3001,"*"&amp;P13&amp;"*",보유목록!$I$2:$I$3001,"*"&amp;Q13&amp;"*")&gt;0,"확인필요(연도다름)",IF(COUNTIFS(보유목록!$I$2:$I$3001,"*"&amp;P13&amp;"*",보유목록!$H$2:$H$3001,O13)&gt;0,"확인필요(같은학교·같은연도)","없음")))))</f>
      </c>
      <c r="L13" t="str" s="16">
        <f aca="0">IF(OR(COUNTA(B13:J13)=0,R13&lt;&gt;""),"",COUNTIFS(보유목록!$I$2:$I$3001,"*"&amp;P13&amp;"*",보유목록!$I$2:$I$3001,"*"&amp;Q13&amp;"*"))</f>
      </c>
      <c r="M13" t="str" s="23">
        <f aca="0">IF(OR(COUNTA(B13:J13)=0,R13&lt;&gt;""),"",IFERROR(LOOKUP(2,1/(ISNUMBER(SEARCH(P13,보유목록!$I$2:$I$3001))*ISNUMBER(SEARCH(Q13,보유목록!$I$2:$I$3001))*(보유목록!$H$2:$H$3001=O13)),보유목록!$B$2:$B$3001),IFERROR(LOOKUP(2,1/(ISNUMBER(SEARCH(P13,보유목록!$I$2:$I$3001))*ISNUMBER(SEARCH(Q13,보유목록!$I$2:$I$3001))),보유목록!$B$2:$B$3001),"")))</f>
      </c>
      <c r="N13" s="25"/>
      <c r="O13" t="str">
        <f>IFERROR(IF(AND(LEN(SUBSTITUTE(SUBSTITUTE(SUBSTITUTE(TRIM(C13&amp;""),CHAR(160),"")," ",""),"년",""))=4,VALUE(SUBSTITUTE(SUBSTITUTE(SUBSTITUTE(TRIM(C13&amp;""),CHAR(160),"")," ",""),"년",""))&gt;=1900,VALUE(SUBSTITUTE(SUBSTITUTE(SUBSTITUTE(TRIM(C13&amp;""),CHAR(160),"")," ",""),"년",""))&lt;=2099,TEXT(VALUE(SUBSTITUTE(SUBSTITUTE(SUBSTITUTE(TRIM(C13&amp;""),CHAR(160),"")," ",""),"년","")),"0000")=SUBSTITUTE(SUBSTITUTE(SUBSTITUTE(TRIM(C13&amp;""),CHAR(160),"")," ",""),"년","")),SUBSTITUTE(SUBSTITUTE(SUBSTITUTE(TRIM(C13&amp;""),CHAR(160),"")," ",""),"년",""),""),"")</f>
      </c>
      <c r="P13" t="str">
        <f>SUBSTITUTE(SUBSTITUTE(SUBSTITUTE(SUBSTITUTE(SUBSTITUTE(SUBSTITUTE(SUBSTITUTE(SUBSTITUTE(TRIM(D13&amp;""),CHAR(160),"")," ",""),"초등학교","초"),"중학교","중"),"고등학교","고"),"~","~~"),"*","~*"),"?","~?")</f>
      </c>
      <c r="Q13" t="str">
        <f>SUBSTITUTE(SUBSTITUTE(SUBSTITUTE(SUBSTITUTE(SUBSTITUTE(SUBSTITUTE(SUBSTITUTE(SUBSTITUTE(TRIM(E13&amp;""),CHAR(160),"")," ",""),"초등학교","초"),"중학교","중"),"고등학교","고"),"~","~~"),"*","~*"),"?","~?")</f>
      </c>
      <c r="R13" t="str">
        <f>IF(COUNTA(B13:J13)=0,"",IF(AND(O13&lt;&gt;"",P13&lt;&gt;"",Q13&lt;&gt;""),"","입력누락"))</f>
      </c>
    </row>
    <row r="14" customFormat="false" ht="15" hidden="false" customHeight="false" outlineLevel="0" collapsed="false">
      <c r="A14" t="n" s="19">
        <f aca="0">IF(COUNTA(B14:J14)=0,"",ROW()-1)</f>
      </c>
      <c r="B14" s="24"/>
      <c r="C14" s="25"/>
      <c r="D14" s="8"/>
      <c r="E14" s="8"/>
      <c r="F14" s="26"/>
      <c r="G14" s="24"/>
      <c r="H14" s="25"/>
      <c r="I14" s="25"/>
      <c r="J14" s="26"/>
      <c r="K14" t="str" s="15">
        <f aca="0">IF(COUNTA(B14:J14)=0,"",IF(R14&lt;&gt;"","확인필요(입력누락)",IF(COUNTIFS(보유목록!$I$2:$I$3001,"*"&amp;P14&amp;"*",보유목록!$I$2:$I$3001,"*"&amp;Q14&amp;"*",보유목록!$H$2:$H$3001,O14)&gt;0,"있음",IF(COUNTIFS(보유목록!$I$2:$I$3001,"*"&amp;P14&amp;"*",보유목록!$I$2:$I$3001,"*"&amp;Q14&amp;"*")&gt;0,"확인필요(연도다름)",IF(COUNTIFS(보유목록!$I$2:$I$3001,"*"&amp;P14&amp;"*",보유목록!$H$2:$H$3001,O14)&gt;0,"확인필요(같은학교·같은연도)","없음")))))</f>
      </c>
      <c r="L14" t="str" s="16">
        <f aca="0">IF(OR(COUNTA(B14:J14)=0,R14&lt;&gt;""),"",COUNTIFS(보유목록!$I$2:$I$3001,"*"&amp;P14&amp;"*",보유목록!$I$2:$I$3001,"*"&amp;Q14&amp;"*"))</f>
      </c>
      <c r="M14" t="str" s="23">
        <f aca="0">IF(OR(COUNTA(B14:J14)=0,R14&lt;&gt;""),"",IFERROR(LOOKUP(2,1/(ISNUMBER(SEARCH(P14,보유목록!$I$2:$I$3001))*ISNUMBER(SEARCH(Q14,보유목록!$I$2:$I$3001))*(보유목록!$H$2:$H$3001=O14)),보유목록!$B$2:$B$3001),IFERROR(LOOKUP(2,1/(ISNUMBER(SEARCH(P14,보유목록!$I$2:$I$3001))*ISNUMBER(SEARCH(Q14,보유목록!$I$2:$I$3001))),보유목록!$B$2:$B$3001),"")))</f>
      </c>
      <c r="N14" s="25"/>
      <c r="O14" t="str">
        <f>IFERROR(IF(AND(LEN(SUBSTITUTE(SUBSTITUTE(SUBSTITUTE(TRIM(C14&amp;""),CHAR(160),"")," ",""),"년",""))=4,VALUE(SUBSTITUTE(SUBSTITUTE(SUBSTITUTE(TRIM(C14&amp;""),CHAR(160),"")," ",""),"년",""))&gt;=1900,VALUE(SUBSTITUTE(SUBSTITUTE(SUBSTITUTE(TRIM(C14&amp;""),CHAR(160),"")," ",""),"년",""))&lt;=2099,TEXT(VALUE(SUBSTITUTE(SUBSTITUTE(SUBSTITUTE(TRIM(C14&amp;""),CHAR(160),"")," ",""),"년","")),"0000")=SUBSTITUTE(SUBSTITUTE(SUBSTITUTE(TRIM(C14&amp;""),CHAR(160),"")," ",""),"년","")),SUBSTITUTE(SUBSTITUTE(SUBSTITUTE(TRIM(C14&amp;""),CHAR(160),"")," ",""),"년",""),""),"")</f>
      </c>
      <c r="P14" t="str">
        <f>SUBSTITUTE(SUBSTITUTE(SUBSTITUTE(SUBSTITUTE(SUBSTITUTE(SUBSTITUTE(SUBSTITUTE(SUBSTITUTE(TRIM(D14&amp;""),CHAR(160),"")," ",""),"초등학교","초"),"중학교","중"),"고등학교","고"),"~","~~"),"*","~*"),"?","~?")</f>
      </c>
      <c r="Q14" t="str">
        <f>SUBSTITUTE(SUBSTITUTE(SUBSTITUTE(SUBSTITUTE(SUBSTITUTE(SUBSTITUTE(SUBSTITUTE(SUBSTITUTE(TRIM(E14&amp;""),CHAR(160),"")," ",""),"초등학교","초"),"중학교","중"),"고등학교","고"),"~","~~"),"*","~*"),"?","~?")</f>
      </c>
      <c r="R14" t="str">
        <f>IF(COUNTA(B14:J14)=0,"",IF(AND(O14&lt;&gt;"",P14&lt;&gt;"",Q14&lt;&gt;""),"","입력누락"))</f>
      </c>
    </row>
    <row r="15" customFormat="false" ht="15" hidden="false" customHeight="false" outlineLevel="0" collapsed="false">
      <c r="A15" t="n" s="19">
        <f aca="0">IF(COUNTA(B15:J15)=0,"",ROW()-1)</f>
      </c>
      <c r="B15" s="24"/>
      <c r="C15" s="25"/>
      <c r="D15" s="8"/>
      <c r="E15" s="8"/>
      <c r="F15" s="26"/>
      <c r="G15" s="24"/>
      <c r="H15" s="25"/>
      <c r="I15" s="25"/>
      <c r="J15" s="26"/>
      <c r="K15" t="str" s="15">
        <f aca="0">IF(COUNTA(B15:J15)=0,"",IF(R15&lt;&gt;"","확인필요(입력누락)",IF(COUNTIFS(보유목록!$I$2:$I$3001,"*"&amp;P15&amp;"*",보유목록!$I$2:$I$3001,"*"&amp;Q15&amp;"*",보유목록!$H$2:$H$3001,O15)&gt;0,"있음",IF(COUNTIFS(보유목록!$I$2:$I$3001,"*"&amp;P15&amp;"*",보유목록!$I$2:$I$3001,"*"&amp;Q15&amp;"*")&gt;0,"확인필요(연도다름)",IF(COUNTIFS(보유목록!$I$2:$I$3001,"*"&amp;P15&amp;"*",보유목록!$H$2:$H$3001,O15)&gt;0,"확인필요(같은학교·같은연도)","없음")))))</f>
      </c>
      <c r="L15" t="str" s="16">
        <f aca="0">IF(OR(COUNTA(B15:J15)=0,R15&lt;&gt;""),"",COUNTIFS(보유목록!$I$2:$I$3001,"*"&amp;P15&amp;"*",보유목록!$I$2:$I$3001,"*"&amp;Q15&amp;"*"))</f>
      </c>
      <c r="M15" t="str" s="23">
        <f aca="0">IF(OR(COUNTA(B15:J15)=0,R15&lt;&gt;""),"",IFERROR(LOOKUP(2,1/(ISNUMBER(SEARCH(P15,보유목록!$I$2:$I$3001))*ISNUMBER(SEARCH(Q15,보유목록!$I$2:$I$3001))*(보유목록!$H$2:$H$3001=O15)),보유목록!$B$2:$B$3001),IFERROR(LOOKUP(2,1/(ISNUMBER(SEARCH(P15,보유목록!$I$2:$I$3001))*ISNUMBER(SEARCH(Q15,보유목록!$I$2:$I$3001))),보유목록!$B$2:$B$3001),"")))</f>
      </c>
      <c r="N15" s="25"/>
      <c r="O15" t="str">
        <f>IFERROR(IF(AND(LEN(SUBSTITUTE(SUBSTITUTE(SUBSTITUTE(TRIM(C15&amp;""),CHAR(160),"")," ",""),"년",""))=4,VALUE(SUBSTITUTE(SUBSTITUTE(SUBSTITUTE(TRIM(C15&amp;""),CHAR(160),"")," ",""),"년",""))&gt;=1900,VALUE(SUBSTITUTE(SUBSTITUTE(SUBSTITUTE(TRIM(C15&amp;""),CHAR(160),"")," ",""),"년",""))&lt;=2099,TEXT(VALUE(SUBSTITUTE(SUBSTITUTE(SUBSTITUTE(TRIM(C15&amp;""),CHAR(160),"")," ",""),"년","")),"0000")=SUBSTITUTE(SUBSTITUTE(SUBSTITUTE(TRIM(C15&amp;""),CHAR(160),"")," ",""),"년","")),SUBSTITUTE(SUBSTITUTE(SUBSTITUTE(TRIM(C15&amp;""),CHAR(160),"")," ",""),"년",""),""),"")</f>
      </c>
      <c r="P15" t="str">
        <f>SUBSTITUTE(SUBSTITUTE(SUBSTITUTE(SUBSTITUTE(SUBSTITUTE(SUBSTITUTE(SUBSTITUTE(SUBSTITUTE(TRIM(D15&amp;""),CHAR(160),"")," ",""),"초등학교","초"),"중학교","중"),"고등학교","고"),"~","~~"),"*","~*"),"?","~?")</f>
      </c>
      <c r="Q15" t="str">
        <f>SUBSTITUTE(SUBSTITUTE(SUBSTITUTE(SUBSTITUTE(SUBSTITUTE(SUBSTITUTE(SUBSTITUTE(SUBSTITUTE(TRIM(E15&amp;""),CHAR(160),"")," ",""),"초등학교","초"),"중학교","중"),"고등학교","고"),"~","~~"),"*","~*"),"?","~?")</f>
      </c>
      <c r="R15" t="str">
        <f>IF(COUNTA(B15:J15)=0,"",IF(AND(O15&lt;&gt;"",P15&lt;&gt;"",Q15&lt;&gt;""),"","입력누락"))</f>
      </c>
    </row>
    <row r="16" customFormat="false" ht="15" hidden="false" customHeight="false" outlineLevel="0" collapsed="false">
      <c r="A16" t="n" s="19">
        <f aca="0">IF(COUNTA(B16:J16)=0,"",ROW()-1)</f>
      </c>
      <c r="B16" s="24"/>
      <c r="C16" s="25"/>
      <c r="D16" s="8"/>
      <c r="E16" s="8"/>
      <c r="F16" s="26"/>
      <c r="G16" s="24"/>
      <c r="H16" s="25"/>
      <c r="I16" s="25"/>
      <c r="J16" s="26"/>
      <c r="K16" t="str" s="15">
        <f aca="0">IF(COUNTA(B16:J16)=0,"",IF(R16&lt;&gt;"","확인필요(입력누락)",IF(COUNTIFS(보유목록!$I$2:$I$3001,"*"&amp;P16&amp;"*",보유목록!$I$2:$I$3001,"*"&amp;Q16&amp;"*",보유목록!$H$2:$H$3001,O16)&gt;0,"있음",IF(COUNTIFS(보유목록!$I$2:$I$3001,"*"&amp;P16&amp;"*",보유목록!$I$2:$I$3001,"*"&amp;Q16&amp;"*")&gt;0,"확인필요(연도다름)",IF(COUNTIFS(보유목록!$I$2:$I$3001,"*"&amp;P16&amp;"*",보유목록!$H$2:$H$3001,O16)&gt;0,"확인필요(같은학교·같은연도)","없음")))))</f>
      </c>
      <c r="L16" t="str" s="16">
        <f aca="0">IF(OR(COUNTA(B16:J16)=0,R16&lt;&gt;""),"",COUNTIFS(보유목록!$I$2:$I$3001,"*"&amp;P16&amp;"*",보유목록!$I$2:$I$3001,"*"&amp;Q16&amp;"*"))</f>
      </c>
      <c r="M16" t="str" s="23">
        <f aca="0">IF(OR(COUNTA(B16:J16)=0,R16&lt;&gt;""),"",IFERROR(LOOKUP(2,1/(ISNUMBER(SEARCH(P16,보유목록!$I$2:$I$3001))*ISNUMBER(SEARCH(Q16,보유목록!$I$2:$I$3001))*(보유목록!$H$2:$H$3001=O16)),보유목록!$B$2:$B$3001),IFERROR(LOOKUP(2,1/(ISNUMBER(SEARCH(P16,보유목록!$I$2:$I$3001))*ISNUMBER(SEARCH(Q16,보유목록!$I$2:$I$3001))),보유목록!$B$2:$B$3001),"")))</f>
      </c>
      <c r="N16" s="25"/>
      <c r="O16" t="str">
        <f>IFERROR(IF(AND(LEN(SUBSTITUTE(SUBSTITUTE(SUBSTITUTE(TRIM(C16&amp;""),CHAR(160),"")," ",""),"년",""))=4,VALUE(SUBSTITUTE(SUBSTITUTE(SUBSTITUTE(TRIM(C16&amp;""),CHAR(160),"")," ",""),"년",""))&gt;=1900,VALUE(SUBSTITUTE(SUBSTITUTE(SUBSTITUTE(TRIM(C16&amp;""),CHAR(160),"")," ",""),"년",""))&lt;=2099,TEXT(VALUE(SUBSTITUTE(SUBSTITUTE(SUBSTITUTE(TRIM(C16&amp;""),CHAR(160),"")," ",""),"년","")),"0000")=SUBSTITUTE(SUBSTITUTE(SUBSTITUTE(TRIM(C16&amp;""),CHAR(160),"")," ",""),"년","")),SUBSTITUTE(SUBSTITUTE(SUBSTITUTE(TRIM(C16&amp;""),CHAR(160),"")," ",""),"년",""),""),"")</f>
      </c>
      <c r="P16" t="str">
        <f>SUBSTITUTE(SUBSTITUTE(SUBSTITUTE(SUBSTITUTE(SUBSTITUTE(SUBSTITUTE(SUBSTITUTE(SUBSTITUTE(TRIM(D16&amp;""),CHAR(160),"")," ",""),"초등학교","초"),"중학교","중"),"고등학교","고"),"~","~~"),"*","~*"),"?","~?")</f>
      </c>
      <c r="Q16" t="str">
        <f>SUBSTITUTE(SUBSTITUTE(SUBSTITUTE(SUBSTITUTE(SUBSTITUTE(SUBSTITUTE(SUBSTITUTE(SUBSTITUTE(TRIM(E16&amp;""),CHAR(160),"")," ",""),"초등학교","초"),"중학교","중"),"고등학교","고"),"~","~~"),"*","~*"),"?","~?")</f>
      </c>
      <c r="R16" t="str">
        <f>IF(COUNTA(B16:J16)=0,"",IF(AND(O16&lt;&gt;"",P16&lt;&gt;"",Q16&lt;&gt;""),"","입력누락"))</f>
      </c>
    </row>
    <row r="17" customFormat="false" ht="15" hidden="false" customHeight="false" outlineLevel="0" collapsed="false">
      <c r="A17" t="n" s="19">
        <f aca="0">IF(COUNTA(B17:J17)=0,"",ROW()-1)</f>
      </c>
      <c r="B17" s="24"/>
      <c r="C17" s="25"/>
      <c r="D17" s="8"/>
      <c r="E17" s="8"/>
      <c r="F17" s="26"/>
      <c r="G17" s="24"/>
      <c r="H17" s="25"/>
      <c r="I17" s="25"/>
      <c r="J17" s="26"/>
      <c r="K17" t="str" s="15">
        <f aca="0">IF(COUNTA(B17:J17)=0,"",IF(R17&lt;&gt;"","확인필요(입력누락)",IF(COUNTIFS(보유목록!$I$2:$I$3001,"*"&amp;P17&amp;"*",보유목록!$I$2:$I$3001,"*"&amp;Q17&amp;"*",보유목록!$H$2:$H$3001,O17)&gt;0,"있음",IF(COUNTIFS(보유목록!$I$2:$I$3001,"*"&amp;P17&amp;"*",보유목록!$I$2:$I$3001,"*"&amp;Q17&amp;"*")&gt;0,"확인필요(연도다름)",IF(COUNTIFS(보유목록!$I$2:$I$3001,"*"&amp;P17&amp;"*",보유목록!$H$2:$H$3001,O17)&gt;0,"확인필요(같은학교·같은연도)","없음")))))</f>
      </c>
      <c r="L17" t="str" s="16">
        <f aca="0">IF(OR(COUNTA(B17:J17)=0,R17&lt;&gt;""),"",COUNTIFS(보유목록!$I$2:$I$3001,"*"&amp;P17&amp;"*",보유목록!$I$2:$I$3001,"*"&amp;Q17&amp;"*"))</f>
      </c>
      <c r="M17" t="str" s="23">
        <f aca="0">IF(OR(COUNTA(B17:J17)=0,R17&lt;&gt;""),"",IFERROR(LOOKUP(2,1/(ISNUMBER(SEARCH(P17,보유목록!$I$2:$I$3001))*ISNUMBER(SEARCH(Q17,보유목록!$I$2:$I$3001))*(보유목록!$H$2:$H$3001=O17)),보유목록!$B$2:$B$3001),IFERROR(LOOKUP(2,1/(ISNUMBER(SEARCH(P17,보유목록!$I$2:$I$3001))*ISNUMBER(SEARCH(Q17,보유목록!$I$2:$I$3001))),보유목록!$B$2:$B$3001),"")))</f>
      </c>
      <c r="N17" s="25"/>
      <c r="O17" t="str">
        <f>IFERROR(IF(AND(LEN(SUBSTITUTE(SUBSTITUTE(SUBSTITUTE(TRIM(C17&amp;""),CHAR(160),"")," ",""),"년",""))=4,VALUE(SUBSTITUTE(SUBSTITUTE(SUBSTITUTE(TRIM(C17&amp;""),CHAR(160),"")," ",""),"년",""))&gt;=1900,VALUE(SUBSTITUTE(SUBSTITUTE(SUBSTITUTE(TRIM(C17&amp;""),CHAR(160),"")," ",""),"년",""))&lt;=2099,TEXT(VALUE(SUBSTITUTE(SUBSTITUTE(SUBSTITUTE(TRIM(C17&amp;""),CHAR(160),"")," ",""),"년","")),"0000")=SUBSTITUTE(SUBSTITUTE(SUBSTITUTE(TRIM(C17&amp;""),CHAR(160),"")," ",""),"년","")),SUBSTITUTE(SUBSTITUTE(SUBSTITUTE(TRIM(C17&amp;""),CHAR(160),"")," ",""),"년",""),""),"")</f>
      </c>
      <c r="P17" t="str">
        <f>SUBSTITUTE(SUBSTITUTE(SUBSTITUTE(SUBSTITUTE(SUBSTITUTE(SUBSTITUTE(SUBSTITUTE(SUBSTITUTE(TRIM(D17&amp;""),CHAR(160),"")," ",""),"초등학교","초"),"중학교","중"),"고등학교","고"),"~","~~"),"*","~*"),"?","~?")</f>
      </c>
      <c r="Q17" t="str">
        <f>SUBSTITUTE(SUBSTITUTE(SUBSTITUTE(SUBSTITUTE(SUBSTITUTE(SUBSTITUTE(SUBSTITUTE(SUBSTITUTE(TRIM(E17&amp;""),CHAR(160),"")," ",""),"초등학교","초"),"중학교","중"),"고등학교","고"),"~","~~"),"*","~*"),"?","~?")</f>
      </c>
      <c r="R17" t="str">
        <f>IF(COUNTA(B17:J17)=0,"",IF(AND(O17&lt;&gt;"",P17&lt;&gt;"",Q17&lt;&gt;""),"","입력누락"))</f>
      </c>
    </row>
    <row r="18" customFormat="false" ht="15" hidden="false" customHeight="false" outlineLevel="0" collapsed="false">
      <c r="A18" t="n" s="19">
        <f aca="0">IF(COUNTA(B18:J18)=0,"",ROW()-1)</f>
      </c>
      <c r="B18" s="24"/>
      <c r="C18" s="25"/>
      <c r="D18" s="8"/>
      <c r="E18" s="8"/>
      <c r="F18" s="26"/>
      <c r="G18" s="24"/>
      <c r="H18" s="25"/>
      <c r="I18" s="25"/>
      <c r="J18" s="26"/>
      <c r="K18" t="str" s="15">
        <f aca="0">IF(COUNTA(B18:J18)=0,"",IF(R18&lt;&gt;"","확인필요(입력누락)",IF(COUNTIFS(보유목록!$I$2:$I$3001,"*"&amp;P18&amp;"*",보유목록!$I$2:$I$3001,"*"&amp;Q18&amp;"*",보유목록!$H$2:$H$3001,O18)&gt;0,"있음",IF(COUNTIFS(보유목록!$I$2:$I$3001,"*"&amp;P18&amp;"*",보유목록!$I$2:$I$3001,"*"&amp;Q18&amp;"*")&gt;0,"확인필요(연도다름)",IF(COUNTIFS(보유목록!$I$2:$I$3001,"*"&amp;P18&amp;"*",보유목록!$H$2:$H$3001,O18)&gt;0,"확인필요(같은학교·같은연도)","없음")))))</f>
      </c>
      <c r="L18" t="str" s="16">
        <f aca="0">IF(OR(COUNTA(B18:J18)=0,R18&lt;&gt;""),"",COUNTIFS(보유목록!$I$2:$I$3001,"*"&amp;P18&amp;"*",보유목록!$I$2:$I$3001,"*"&amp;Q18&amp;"*"))</f>
      </c>
      <c r="M18" t="str" s="23">
        <f aca="0">IF(OR(COUNTA(B18:J18)=0,R18&lt;&gt;""),"",IFERROR(LOOKUP(2,1/(ISNUMBER(SEARCH(P18,보유목록!$I$2:$I$3001))*ISNUMBER(SEARCH(Q18,보유목록!$I$2:$I$3001))*(보유목록!$H$2:$H$3001=O18)),보유목록!$B$2:$B$3001),IFERROR(LOOKUP(2,1/(ISNUMBER(SEARCH(P18,보유목록!$I$2:$I$3001))*ISNUMBER(SEARCH(Q18,보유목록!$I$2:$I$3001))),보유목록!$B$2:$B$3001),"")))</f>
      </c>
      <c r="N18" s="25"/>
      <c r="O18" t="str">
        <f>IFERROR(IF(AND(LEN(SUBSTITUTE(SUBSTITUTE(SUBSTITUTE(TRIM(C18&amp;""),CHAR(160),"")," ",""),"년",""))=4,VALUE(SUBSTITUTE(SUBSTITUTE(SUBSTITUTE(TRIM(C18&amp;""),CHAR(160),"")," ",""),"년",""))&gt;=1900,VALUE(SUBSTITUTE(SUBSTITUTE(SUBSTITUTE(TRIM(C18&amp;""),CHAR(160),"")," ",""),"년",""))&lt;=2099,TEXT(VALUE(SUBSTITUTE(SUBSTITUTE(SUBSTITUTE(TRIM(C18&amp;""),CHAR(160),"")," ",""),"년","")),"0000")=SUBSTITUTE(SUBSTITUTE(SUBSTITUTE(TRIM(C18&amp;""),CHAR(160),"")," ",""),"년","")),SUBSTITUTE(SUBSTITUTE(SUBSTITUTE(TRIM(C18&amp;""),CHAR(160),"")," ",""),"년",""),""),"")</f>
      </c>
      <c r="P18" t="str">
        <f>SUBSTITUTE(SUBSTITUTE(SUBSTITUTE(SUBSTITUTE(SUBSTITUTE(SUBSTITUTE(SUBSTITUTE(SUBSTITUTE(TRIM(D18&amp;""),CHAR(160),"")," ",""),"초등학교","초"),"중학교","중"),"고등학교","고"),"~","~~"),"*","~*"),"?","~?")</f>
      </c>
      <c r="Q18" t="str">
        <f>SUBSTITUTE(SUBSTITUTE(SUBSTITUTE(SUBSTITUTE(SUBSTITUTE(SUBSTITUTE(SUBSTITUTE(SUBSTITUTE(TRIM(E18&amp;""),CHAR(160),"")," ",""),"초등학교","초"),"중학교","중"),"고등학교","고"),"~","~~"),"*","~*"),"?","~?")</f>
      </c>
      <c r="R18" t="str">
        <f>IF(COUNTA(B18:J18)=0,"",IF(AND(O18&lt;&gt;"",P18&lt;&gt;"",Q18&lt;&gt;""),"","입력누락"))</f>
      </c>
    </row>
    <row r="19" customFormat="false" ht="15" hidden="false" customHeight="false" outlineLevel="0" collapsed="false">
      <c r="A19" t="n" s="19">
        <f aca="0">IF(COUNTA(B19:J19)=0,"",ROW()-1)</f>
      </c>
      <c r="B19" s="24"/>
      <c r="C19" s="25"/>
      <c r="D19" s="8"/>
      <c r="E19" s="8"/>
      <c r="F19" s="26"/>
      <c r="G19" s="24"/>
      <c r="H19" s="25"/>
      <c r="I19" s="25"/>
      <c r="J19" s="26"/>
      <c r="K19" t="str" s="15">
        <f aca="0">IF(COUNTA(B19:J19)=0,"",IF(R19&lt;&gt;"","확인필요(입력누락)",IF(COUNTIFS(보유목록!$I$2:$I$3001,"*"&amp;P19&amp;"*",보유목록!$I$2:$I$3001,"*"&amp;Q19&amp;"*",보유목록!$H$2:$H$3001,O19)&gt;0,"있음",IF(COUNTIFS(보유목록!$I$2:$I$3001,"*"&amp;P19&amp;"*",보유목록!$I$2:$I$3001,"*"&amp;Q19&amp;"*")&gt;0,"확인필요(연도다름)",IF(COUNTIFS(보유목록!$I$2:$I$3001,"*"&amp;P19&amp;"*",보유목록!$H$2:$H$3001,O19)&gt;0,"확인필요(같은학교·같은연도)","없음")))))</f>
      </c>
      <c r="L19" t="str" s="16">
        <f aca="0">IF(OR(COUNTA(B19:J19)=0,R19&lt;&gt;""),"",COUNTIFS(보유목록!$I$2:$I$3001,"*"&amp;P19&amp;"*",보유목록!$I$2:$I$3001,"*"&amp;Q19&amp;"*"))</f>
      </c>
      <c r="M19" t="str" s="23">
        <f aca="0">IF(OR(COUNTA(B19:J19)=0,R19&lt;&gt;""),"",IFERROR(LOOKUP(2,1/(ISNUMBER(SEARCH(P19,보유목록!$I$2:$I$3001))*ISNUMBER(SEARCH(Q19,보유목록!$I$2:$I$3001))*(보유목록!$H$2:$H$3001=O19)),보유목록!$B$2:$B$3001),IFERROR(LOOKUP(2,1/(ISNUMBER(SEARCH(P19,보유목록!$I$2:$I$3001))*ISNUMBER(SEARCH(Q19,보유목록!$I$2:$I$3001))),보유목록!$B$2:$B$3001),"")))</f>
      </c>
      <c r="N19" s="25"/>
      <c r="O19" t="str">
        <f>IFERROR(IF(AND(LEN(SUBSTITUTE(SUBSTITUTE(SUBSTITUTE(TRIM(C19&amp;""),CHAR(160),"")," ",""),"년",""))=4,VALUE(SUBSTITUTE(SUBSTITUTE(SUBSTITUTE(TRIM(C19&amp;""),CHAR(160),"")," ",""),"년",""))&gt;=1900,VALUE(SUBSTITUTE(SUBSTITUTE(SUBSTITUTE(TRIM(C19&amp;""),CHAR(160),"")," ",""),"년",""))&lt;=2099,TEXT(VALUE(SUBSTITUTE(SUBSTITUTE(SUBSTITUTE(TRIM(C19&amp;""),CHAR(160),"")," ",""),"년","")),"0000")=SUBSTITUTE(SUBSTITUTE(SUBSTITUTE(TRIM(C19&amp;""),CHAR(160),"")," ",""),"년","")),SUBSTITUTE(SUBSTITUTE(SUBSTITUTE(TRIM(C19&amp;""),CHAR(160),"")," ",""),"년",""),""),"")</f>
      </c>
      <c r="P19" t="str">
        <f>SUBSTITUTE(SUBSTITUTE(SUBSTITUTE(SUBSTITUTE(SUBSTITUTE(SUBSTITUTE(SUBSTITUTE(SUBSTITUTE(TRIM(D19&amp;""),CHAR(160),"")," ",""),"초등학교","초"),"중학교","중"),"고등학교","고"),"~","~~"),"*","~*"),"?","~?")</f>
      </c>
      <c r="Q19" t="str">
        <f>SUBSTITUTE(SUBSTITUTE(SUBSTITUTE(SUBSTITUTE(SUBSTITUTE(SUBSTITUTE(SUBSTITUTE(SUBSTITUTE(TRIM(E19&amp;""),CHAR(160),"")," ",""),"초등학교","초"),"중학교","중"),"고등학교","고"),"~","~~"),"*","~*"),"?","~?")</f>
      </c>
      <c r="R19" t="str">
        <f>IF(COUNTA(B19:J19)=0,"",IF(AND(O19&lt;&gt;"",P19&lt;&gt;"",Q19&lt;&gt;""),"","입력누락"))</f>
      </c>
    </row>
    <row r="20" customFormat="false" ht="15" hidden="false" customHeight="false" outlineLevel="0" collapsed="false">
      <c r="A20" t="n" s="19">
        <f aca="0">IF(COUNTA(B20:J20)=0,"",ROW()-1)</f>
      </c>
      <c r="B20" s="24"/>
      <c r="C20" s="25"/>
      <c r="D20" s="8"/>
      <c r="E20" s="8"/>
      <c r="F20" s="26"/>
      <c r="G20" s="24"/>
      <c r="H20" s="25"/>
      <c r="I20" s="25"/>
      <c r="J20" s="26"/>
      <c r="K20" t="str" s="15">
        <f aca="0">IF(COUNTA(B20:J20)=0,"",IF(R20&lt;&gt;"","확인필요(입력누락)",IF(COUNTIFS(보유목록!$I$2:$I$3001,"*"&amp;P20&amp;"*",보유목록!$I$2:$I$3001,"*"&amp;Q20&amp;"*",보유목록!$H$2:$H$3001,O20)&gt;0,"있음",IF(COUNTIFS(보유목록!$I$2:$I$3001,"*"&amp;P20&amp;"*",보유목록!$I$2:$I$3001,"*"&amp;Q20&amp;"*")&gt;0,"확인필요(연도다름)",IF(COUNTIFS(보유목록!$I$2:$I$3001,"*"&amp;P20&amp;"*",보유목록!$H$2:$H$3001,O20)&gt;0,"확인필요(같은학교·같은연도)","없음")))))</f>
      </c>
      <c r="L20" t="str" s="16">
        <f aca="0">IF(OR(COUNTA(B20:J20)=0,R20&lt;&gt;""),"",COUNTIFS(보유목록!$I$2:$I$3001,"*"&amp;P20&amp;"*",보유목록!$I$2:$I$3001,"*"&amp;Q20&amp;"*"))</f>
      </c>
      <c r="M20" t="str" s="23">
        <f aca="0">IF(OR(COUNTA(B20:J20)=0,R20&lt;&gt;""),"",IFERROR(LOOKUP(2,1/(ISNUMBER(SEARCH(P20,보유목록!$I$2:$I$3001))*ISNUMBER(SEARCH(Q20,보유목록!$I$2:$I$3001))*(보유목록!$H$2:$H$3001=O20)),보유목록!$B$2:$B$3001),IFERROR(LOOKUP(2,1/(ISNUMBER(SEARCH(P20,보유목록!$I$2:$I$3001))*ISNUMBER(SEARCH(Q20,보유목록!$I$2:$I$3001))),보유목록!$B$2:$B$3001),"")))</f>
      </c>
      <c r="N20" s="25"/>
      <c r="O20" t="str">
        <f>IFERROR(IF(AND(LEN(SUBSTITUTE(SUBSTITUTE(SUBSTITUTE(TRIM(C20&amp;""),CHAR(160),"")," ",""),"년",""))=4,VALUE(SUBSTITUTE(SUBSTITUTE(SUBSTITUTE(TRIM(C20&amp;""),CHAR(160),"")," ",""),"년",""))&gt;=1900,VALUE(SUBSTITUTE(SUBSTITUTE(SUBSTITUTE(TRIM(C20&amp;""),CHAR(160),"")," ",""),"년",""))&lt;=2099,TEXT(VALUE(SUBSTITUTE(SUBSTITUTE(SUBSTITUTE(TRIM(C20&amp;""),CHAR(160),"")," ",""),"년","")),"0000")=SUBSTITUTE(SUBSTITUTE(SUBSTITUTE(TRIM(C20&amp;""),CHAR(160),"")," ",""),"년","")),SUBSTITUTE(SUBSTITUTE(SUBSTITUTE(TRIM(C20&amp;""),CHAR(160),"")," ",""),"년",""),""),"")</f>
      </c>
      <c r="P20" t="str">
        <f>SUBSTITUTE(SUBSTITUTE(SUBSTITUTE(SUBSTITUTE(SUBSTITUTE(SUBSTITUTE(SUBSTITUTE(SUBSTITUTE(TRIM(D20&amp;""),CHAR(160),"")," ",""),"초등학교","초"),"중학교","중"),"고등학교","고"),"~","~~"),"*","~*"),"?","~?")</f>
      </c>
      <c r="Q20" t="str">
        <f>SUBSTITUTE(SUBSTITUTE(SUBSTITUTE(SUBSTITUTE(SUBSTITUTE(SUBSTITUTE(SUBSTITUTE(SUBSTITUTE(TRIM(E20&amp;""),CHAR(160),"")," ",""),"초등학교","초"),"중학교","중"),"고등학교","고"),"~","~~"),"*","~*"),"?","~?")</f>
      </c>
      <c r="R20" t="str">
        <f>IF(COUNTA(B20:J20)=0,"",IF(AND(O20&lt;&gt;"",P20&lt;&gt;"",Q20&lt;&gt;""),"","입력누락"))</f>
      </c>
    </row>
    <row r="21" customFormat="false" ht="15" hidden="false" customHeight="false" outlineLevel="0" collapsed="false">
      <c r="A21" t="n" s="19">
        <f aca="0">IF(COUNTA(B21:J21)=0,"",ROW()-1)</f>
      </c>
      <c r="B21" s="24"/>
      <c r="C21" s="25"/>
      <c r="D21" s="8"/>
      <c r="E21" s="8"/>
      <c r="F21" s="26"/>
      <c r="G21" s="24"/>
      <c r="H21" s="25"/>
      <c r="I21" s="25"/>
      <c r="J21" s="26"/>
      <c r="K21" t="str" s="15">
        <f aca="0">IF(COUNTA(B21:J21)=0,"",IF(R21&lt;&gt;"","확인필요(입력누락)",IF(COUNTIFS(보유목록!$I$2:$I$3001,"*"&amp;P21&amp;"*",보유목록!$I$2:$I$3001,"*"&amp;Q21&amp;"*",보유목록!$H$2:$H$3001,O21)&gt;0,"있음",IF(COUNTIFS(보유목록!$I$2:$I$3001,"*"&amp;P21&amp;"*",보유목록!$I$2:$I$3001,"*"&amp;Q21&amp;"*")&gt;0,"확인필요(연도다름)",IF(COUNTIFS(보유목록!$I$2:$I$3001,"*"&amp;P21&amp;"*",보유목록!$H$2:$H$3001,O21)&gt;0,"확인필요(같은학교·같은연도)","없음")))))</f>
      </c>
      <c r="L21" t="str" s="16">
        <f aca="0">IF(OR(COUNTA(B21:J21)=0,R21&lt;&gt;""),"",COUNTIFS(보유목록!$I$2:$I$3001,"*"&amp;P21&amp;"*",보유목록!$I$2:$I$3001,"*"&amp;Q21&amp;"*"))</f>
      </c>
      <c r="M21" t="str" s="23">
        <f aca="0">IF(OR(COUNTA(B21:J21)=0,R21&lt;&gt;""),"",IFERROR(LOOKUP(2,1/(ISNUMBER(SEARCH(P21,보유목록!$I$2:$I$3001))*ISNUMBER(SEARCH(Q21,보유목록!$I$2:$I$3001))*(보유목록!$H$2:$H$3001=O21)),보유목록!$B$2:$B$3001),IFERROR(LOOKUP(2,1/(ISNUMBER(SEARCH(P21,보유목록!$I$2:$I$3001))*ISNUMBER(SEARCH(Q21,보유목록!$I$2:$I$3001))),보유목록!$B$2:$B$3001),"")))</f>
      </c>
      <c r="N21" s="25"/>
      <c r="O21" t="str">
        <f>IFERROR(IF(AND(LEN(SUBSTITUTE(SUBSTITUTE(SUBSTITUTE(TRIM(C21&amp;""),CHAR(160),"")," ",""),"년",""))=4,VALUE(SUBSTITUTE(SUBSTITUTE(SUBSTITUTE(TRIM(C21&amp;""),CHAR(160),"")," ",""),"년",""))&gt;=1900,VALUE(SUBSTITUTE(SUBSTITUTE(SUBSTITUTE(TRIM(C21&amp;""),CHAR(160),"")," ",""),"년",""))&lt;=2099,TEXT(VALUE(SUBSTITUTE(SUBSTITUTE(SUBSTITUTE(TRIM(C21&amp;""),CHAR(160),"")," ",""),"년","")),"0000")=SUBSTITUTE(SUBSTITUTE(SUBSTITUTE(TRIM(C21&amp;""),CHAR(160),"")," ",""),"년","")),SUBSTITUTE(SUBSTITUTE(SUBSTITUTE(TRIM(C21&amp;""),CHAR(160),"")," ",""),"년",""),""),"")</f>
      </c>
      <c r="P21" t="str">
        <f>SUBSTITUTE(SUBSTITUTE(SUBSTITUTE(SUBSTITUTE(SUBSTITUTE(SUBSTITUTE(SUBSTITUTE(SUBSTITUTE(TRIM(D21&amp;""),CHAR(160),"")," ",""),"초등학교","초"),"중학교","중"),"고등학교","고"),"~","~~"),"*","~*"),"?","~?")</f>
      </c>
      <c r="Q21" t="str">
        <f>SUBSTITUTE(SUBSTITUTE(SUBSTITUTE(SUBSTITUTE(SUBSTITUTE(SUBSTITUTE(SUBSTITUTE(SUBSTITUTE(TRIM(E21&amp;""),CHAR(160),"")," ",""),"초등학교","초"),"중학교","중"),"고등학교","고"),"~","~~"),"*","~*"),"?","~?")</f>
      </c>
      <c r="R21" t="str">
        <f>IF(COUNTA(B21:J21)=0,"",IF(AND(O21&lt;&gt;"",P21&lt;&gt;"",Q21&lt;&gt;""),"","입력누락"))</f>
      </c>
    </row>
    <row r="22" customFormat="false" ht="15" hidden="false" customHeight="false" outlineLevel="0" collapsed="false">
      <c r="A22" t="n" s="19">
        <f aca="0">IF(COUNTA(B22:J22)=0,"",ROW()-1)</f>
      </c>
      <c r="B22" s="24"/>
      <c r="C22" s="25"/>
      <c r="D22" s="8"/>
      <c r="E22" s="8"/>
      <c r="F22" s="26"/>
      <c r="G22" s="24"/>
      <c r="H22" s="25"/>
      <c r="I22" s="25"/>
      <c r="J22" s="26"/>
      <c r="K22" t="str" s="15">
        <f aca="0">IF(COUNTA(B22:J22)=0,"",IF(R22&lt;&gt;"","확인필요(입력누락)",IF(COUNTIFS(보유목록!$I$2:$I$3001,"*"&amp;P22&amp;"*",보유목록!$I$2:$I$3001,"*"&amp;Q22&amp;"*",보유목록!$H$2:$H$3001,O22)&gt;0,"있음",IF(COUNTIFS(보유목록!$I$2:$I$3001,"*"&amp;P22&amp;"*",보유목록!$I$2:$I$3001,"*"&amp;Q22&amp;"*")&gt;0,"확인필요(연도다름)",IF(COUNTIFS(보유목록!$I$2:$I$3001,"*"&amp;P22&amp;"*",보유목록!$H$2:$H$3001,O22)&gt;0,"확인필요(같은학교·같은연도)","없음")))))</f>
      </c>
      <c r="L22" t="str" s="16">
        <f aca="0">IF(OR(COUNTA(B22:J22)=0,R22&lt;&gt;""),"",COUNTIFS(보유목록!$I$2:$I$3001,"*"&amp;P22&amp;"*",보유목록!$I$2:$I$3001,"*"&amp;Q22&amp;"*"))</f>
      </c>
      <c r="M22" t="str" s="23">
        <f aca="0">IF(OR(COUNTA(B22:J22)=0,R22&lt;&gt;""),"",IFERROR(LOOKUP(2,1/(ISNUMBER(SEARCH(P22,보유목록!$I$2:$I$3001))*ISNUMBER(SEARCH(Q22,보유목록!$I$2:$I$3001))*(보유목록!$H$2:$H$3001=O22)),보유목록!$B$2:$B$3001),IFERROR(LOOKUP(2,1/(ISNUMBER(SEARCH(P22,보유목록!$I$2:$I$3001))*ISNUMBER(SEARCH(Q22,보유목록!$I$2:$I$3001))),보유목록!$B$2:$B$3001),"")))</f>
      </c>
      <c r="N22" s="25"/>
      <c r="O22" t="str">
        <f>IFERROR(IF(AND(LEN(SUBSTITUTE(SUBSTITUTE(SUBSTITUTE(TRIM(C22&amp;""),CHAR(160),"")," ",""),"년",""))=4,VALUE(SUBSTITUTE(SUBSTITUTE(SUBSTITUTE(TRIM(C22&amp;""),CHAR(160),"")," ",""),"년",""))&gt;=1900,VALUE(SUBSTITUTE(SUBSTITUTE(SUBSTITUTE(TRIM(C22&amp;""),CHAR(160),"")," ",""),"년",""))&lt;=2099,TEXT(VALUE(SUBSTITUTE(SUBSTITUTE(SUBSTITUTE(TRIM(C22&amp;""),CHAR(160),"")," ",""),"년","")),"0000")=SUBSTITUTE(SUBSTITUTE(SUBSTITUTE(TRIM(C22&amp;""),CHAR(160),"")," ",""),"년","")),SUBSTITUTE(SUBSTITUTE(SUBSTITUTE(TRIM(C22&amp;""),CHAR(160),"")," ",""),"년",""),""),"")</f>
      </c>
      <c r="P22" t="str">
        <f>SUBSTITUTE(SUBSTITUTE(SUBSTITUTE(SUBSTITUTE(SUBSTITUTE(SUBSTITUTE(SUBSTITUTE(SUBSTITUTE(TRIM(D22&amp;""),CHAR(160),"")," ",""),"초등학교","초"),"중학교","중"),"고등학교","고"),"~","~~"),"*","~*"),"?","~?")</f>
      </c>
      <c r="Q22" t="str">
        <f>SUBSTITUTE(SUBSTITUTE(SUBSTITUTE(SUBSTITUTE(SUBSTITUTE(SUBSTITUTE(SUBSTITUTE(SUBSTITUTE(TRIM(E22&amp;""),CHAR(160),"")," ",""),"초등학교","초"),"중학교","중"),"고등학교","고"),"~","~~"),"*","~*"),"?","~?")</f>
      </c>
      <c r="R22" t="str">
        <f>IF(COUNTA(B22:J22)=0,"",IF(AND(O22&lt;&gt;"",P22&lt;&gt;"",Q22&lt;&gt;""),"","입력누락"))</f>
      </c>
    </row>
    <row r="23" customFormat="false" ht="15" hidden="false" customHeight="false" outlineLevel="0" collapsed="false">
      <c r="A23" t="n" s="19">
        <f aca="0">IF(COUNTA(B23:J23)=0,"",ROW()-1)</f>
      </c>
      <c r="B23" s="24"/>
      <c r="C23" s="25"/>
      <c r="D23" s="8"/>
      <c r="E23" s="8"/>
      <c r="F23" s="26"/>
      <c r="G23" s="24"/>
      <c r="H23" s="25"/>
      <c r="I23" s="25"/>
      <c r="J23" s="26"/>
      <c r="K23" t="str" s="15">
        <f aca="0">IF(COUNTA(B23:J23)=0,"",IF(R23&lt;&gt;"","확인필요(입력누락)",IF(COUNTIFS(보유목록!$I$2:$I$3001,"*"&amp;P23&amp;"*",보유목록!$I$2:$I$3001,"*"&amp;Q23&amp;"*",보유목록!$H$2:$H$3001,O23)&gt;0,"있음",IF(COUNTIFS(보유목록!$I$2:$I$3001,"*"&amp;P23&amp;"*",보유목록!$I$2:$I$3001,"*"&amp;Q23&amp;"*")&gt;0,"확인필요(연도다름)",IF(COUNTIFS(보유목록!$I$2:$I$3001,"*"&amp;P23&amp;"*",보유목록!$H$2:$H$3001,O23)&gt;0,"확인필요(같은학교·같은연도)","없음")))))</f>
      </c>
      <c r="L23" t="str" s="16">
        <f aca="0">IF(OR(COUNTA(B23:J23)=0,R23&lt;&gt;""),"",COUNTIFS(보유목록!$I$2:$I$3001,"*"&amp;P23&amp;"*",보유목록!$I$2:$I$3001,"*"&amp;Q23&amp;"*"))</f>
      </c>
      <c r="M23" t="str" s="23">
        <f aca="0">IF(OR(COUNTA(B23:J23)=0,R23&lt;&gt;""),"",IFERROR(LOOKUP(2,1/(ISNUMBER(SEARCH(P23,보유목록!$I$2:$I$3001))*ISNUMBER(SEARCH(Q23,보유목록!$I$2:$I$3001))*(보유목록!$H$2:$H$3001=O23)),보유목록!$B$2:$B$3001),IFERROR(LOOKUP(2,1/(ISNUMBER(SEARCH(P23,보유목록!$I$2:$I$3001))*ISNUMBER(SEARCH(Q23,보유목록!$I$2:$I$3001))),보유목록!$B$2:$B$3001),"")))</f>
      </c>
      <c r="N23" s="25"/>
      <c r="O23" t="str">
        <f>IFERROR(IF(AND(LEN(SUBSTITUTE(SUBSTITUTE(SUBSTITUTE(TRIM(C23&amp;""),CHAR(160),"")," ",""),"년",""))=4,VALUE(SUBSTITUTE(SUBSTITUTE(SUBSTITUTE(TRIM(C23&amp;""),CHAR(160),"")," ",""),"년",""))&gt;=1900,VALUE(SUBSTITUTE(SUBSTITUTE(SUBSTITUTE(TRIM(C23&amp;""),CHAR(160),"")," ",""),"년",""))&lt;=2099,TEXT(VALUE(SUBSTITUTE(SUBSTITUTE(SUBSTITUTE(TRIM(C23&amp;""),CHAR(160),"")," ",""),"년","")),"0000")=SUBSTITUTE(SUBSTITUTE(SUBSTITUTE(TRIM(C23&amp;""),CHAR(160),"")," ",""),"년","")),SUBSTITUTE(SUBSTITUTE(SUBSTITUTE(TRIM(C23&amp;""),CHAR(160),"")," ",""),"년",""),""),"")</f>
      </c>
      <c r="P23" t="str">
        <f>SUBSTITUTE(SUBSTITUTE(SUBSTITUTE(SUBSTITUTE(SUBSTITUTE(SUBSTITUTE(SUBSTITUTE(SUBSTITUTE(TRIM(D23&amp;""),CHAR(160),"")," ",""),"초등학교","초"),"중학교","중"),"고등학교","고"),"~","~~"),"*","~*"),"?","~?")</f>
      </c>
      <c r="Q23" t="str">
        <f>SUBSTITUTE(SUBSTITUTE(SUBSTITUTE(SUBSTITUTE(SUBSTITUTE(SUBSTITUTE(SUBSTITUTE(SUBSTITUTE(TRIM(E23&amp;""),CHAR(160),"")," ",""),"초등학교","초"),"중학교","중"),"고등학교","고"),"~","~~"),"*","~*"),"?","~?")</f>
      </c>
      <c r="R23" t="str">
        <f>IF(COUNTA(B23:J23)=0,"",IF(AND(O23&lt;&gt;"",P23&lt;&gt;"",Q23&lt;&gt;""),"","입력누락"))</f>
      </c>
    </row>
    <row r="24" customFormat="false" ht="15" hidden="false" customHeight="false" outlineLevel="0" collapsed="false">
      <c r="A24" t="n" s="19">
        <f aca="0">IF(COUNTA(B24:J24)=0,"",ROW()-1)</f>
      </c>
      <c r="B24" s="24"/>
      <c r="C24" s="25"/>
      <c r="D24" s="8"/>
      <c r="E24" s="8"/>
      <c r="F24" s="26"/>
      <c r="G24" s="24"/>
      <c r="H24" s="25"/>
      <c r="I24" s="25"/>
      <c r="J24" s="26"/>
      <c r="K24" t="str" s="15">
        <f aca="0">IF(COUNTA(B24:J24)=0,"",IF(R24&lt;&gt;"","확인필요(입력누락)",IF(COUNTIFS(보유목록!$I$2:$I$3001,"*"&amp;P24&amp;"*",보유목록!$I$2:$I$3001,"*"&amp;Q24&amp;"*",보유목록!$H$2:$H$3001,O24)&gt;0,"있음",IF(COUNTIFS(보유목록!$I$2:$I$3001,"*"&amp;P24&amp;"*",보유목록!$I$2:$I$3001,"*"&amp;Q24&amp;"*")&gt;0,"확인필요(연도다름)",IF(COUNTIFS(보유목록!$I$2:$I$3001,"*"&amp;P24&amp;"*",보유목록!$H$2:$H$3001,O24)&gt;0,"확인필요(같은학교·같은연도)","없음")))))</f>
      </c>
      <c r="L24" t="str" s="16">
        <f aca="0">IF(OR(COUNTA(B24:J24)=0,R24&lt;&gt;""),"",COUNTIFS(보유목록!$I$2:$I$3001,"*"&amp;P24&amp;"*",보유목록!$I$2:$I$3001,"*"&amp;Q24&amp;"*"))</f>
      </c>
      <c r="M24" t="str" s="23">
        <f aca="0">IF(OR(COUNTA(B24:J24)=0,R24&lt;&gt;""),"",IFERROR(LOOKUP(2,1/(ISNUMBER(SEARCH(P24,보유목록!$I$2:$I$3001))*ISNUMBER(SEARCH(Q24,보유목록!$I$2:$I$3001))*(보유목록!$H$2:$H$3001=O24)),보유목록!$B$2:$B$3001),IFERROR(LOOKUP(2,1/(ISNUMBER(SEARCH(P24,보유목록!$I$2:$I$3001))*ISNUMBER(SEARCH(Q24,보유목록!$I$2:$I$3001))),보유목록!$B$2:$B$3001),"")))</f>
      </c>
      <c r="N24" s="25"/>
      <c r="O24" t="str">
        <f>IFERROR(IF(AND(LEN(SUBSTITUTE(SUBSTITUTE(SUBSTITUTE(TRIM(C24&amp;""),CHAR(160),"")," ",""),"년",""))=4,VALUE(SUBSTITUTE(SUBSTITUTE(SUBSTITUTE(TRIM(C24&amp;""),CHAR(160),"")," ",""),"년",""))&gt;=1900,VALUE(SUBSTITUTE(SUBSTITUTE(SUBSTITUTE(TRIM(C24&amp;""),CHAR(160),"")," ",""),"년",""))&lt;=2099,TEXT(VALUE(SUBSTITUTE(SUBSTITUTE(SUBSTITUTE(TRIM(C24&amp;""),CHAR(160),"")," ",""),"년","")),"0000")=SUBSTITUTE(SUBSTITUTE(SUBSTITUTE(TRIM(C24&amp;""),CHAR(160),"")," ",""),"년","")),SUBSTITUTE(SUBSTITUTE(SUBSTITUTE(TRIM(C24&amp;""),CHAR(160),"")," ",""),"년",""),""),"")</f>
      </c>
      <c r="P24" t="str">
        <f>SUBSTITUTE(SUBSTITUTE(SUBSTITUTE(SUBSTITUTE(SUBSTITUTE(SUBSTITUTE(SUBSTITUTE(SUBSTITUTE(TRIM(D24&amp;""),CHAR(160),"")," ",""),"초등학교","초"),"중학교","중"),"고등학교","고"),"~","~~"),"*","~*"),"?","~?")</f>
      </c>
      <c r="Q24" t="str">
        <f>SUBSTITUTE(SUBSTITUTE(SUBSTITUTE(SUBSTITUTE(SUBSTITUTE(SUBSTITUTE(SUBSTITUTE(SUBSTITUTE(TRIM(E24&amp;""),CHAR(160),"")," ",""),"초등학교","초"),"중학교","중"),"고등학교","고"),"~","~~"),"*","~*"),"?","~?")</f>
      </c>
      <c r="R24" t="str">
        <f>IF(COUNTA(B24:J24)=0,"",IF(AND(O24&lt;&gt;"",P24&lt;&gt;"",Q24&lt;&gt;""),"","입력누락"))</f>
      </c>
    </row>
    <row r="25" customFormat="false" ht="15" hidden="false" customHeight="false" outlineLevel="0" collapsed="false">
      <c r="A25" t="n" s="19">
        <f aca="0">IF(COUNTA(B25:J25)=0,"",ROW()-1)</f>
      </c>
      <c r="B25" s="24"/>
      <c r="C25" s="25"/>
      <c r="D25" s="8"/>
      <c r="E25" s="8"/>
      <c r="F25" s="26"/>
      <c r="G25" s="24"/>
      <c r="H25" s="25"/>
      <c r="I25" s="25"/>
      <c r="J25" s="26"/>
      <c r="K25" t="str" s="15">
        <f aca="0">IF(COUNTA(B25:J25)=0,"",IF(R25&lt;&gt;"","확인필요(입력누락)",IF(COUNTIFS(보유목록!$I$2:$I$3001,"*"&amp;P25&amp;"*",보유목록!$I$2:$I$3001,"*"&amp;Q25&amp;"*",보유목록!$H$2:$H$3001,O25)&gt;0,"있음",IF(COUNTIFS(보유목록!$I$2:$I$3001,"*"&amp;P25&amp;"*",보유목록!$I$2:$I$3001,"*"&amp;Q25&amp;"*")&gt;0,"확인필요(연도다름)",IF(COUNTIFS(보유목록!$I$2:$I$3001,"*"&amp;P25&amp;"*",보유목록!$H$2:$H$3001,O25)&gt;0,"확인필요(같은학교·같은연도)","없음")))))</f>
      </c>
      <c r="L25" t="str" s="16">
        <f aca="0">IF(OR(COUNTA(B25:J25)=0,R25&lt;&gt;""),"",COUNTIFS(보유목록!$I$2:$I$3001,"*"&amp;P25&amp;"*",보유목록!$I$2:$I$3001,"*"&amp;Q25&amp;"*"))</f>
      </c>
      <c r="M25" t="str" s="23">
        <f aca="0">IF(OR(COUNTA(B25:J25)=0,R25&lt;&gt;""),"",IFERROR(LOOKUP(2,1/(ISNUMBER(SEARCH(P25,보유목록!$I$2:$I$3001))*ISNUMBER(SEARCH(Q25,보유목록!$I$2:$I$3001))*(보유목록!$H$2:$H$3001=O25)),보유목록!$B$2:$B$3001),IFERROR(LOOKUP(2,1/(ISNUMBER(SEARCH(P25,보유목록!$I$2:$I$3001))*ISNUMBER(SEARCH(Q25,보유목록!$I$2:$I$3001))),보유목록!$B$2:$B$3001),"")))</f>
      </c>
      <c r="N25" s="25"/>
      <c r="O25" t="str">
        <f>IFERROR(IF(AND(LEN(SUBSTITUTE(SUBSTITUTE(SUBSTITUTE(TRIM(C25&amp;""),CHAR(160),"")," ",""),"년",""))=4,VALUE(SUBSTITUTE(SUBSTITUTE(SUBSTITUTE(TRIM(C25&amp;""),CHAR(160),"")," ",""),"년",""))&gt;=1900,VALUE(SUBSTITUTE(SUBSTITUTE(SUBSTITUTE(TRIM(C25&amp;""),CHAR(160),"")," ",""),"년",""))&lt;=2099,TEXT(VALUE(SUBSTITUTE(SUBSTITUTE(SUBSTITUTE(TRIM(C25&amp;""),CHAR(160),"")," ",""),"년","")),"0000")=SUBSTITUTE(SUBSTITUTE(SUBSTITUTE(TRIM(C25&amp;""),CHAR(160),"")," ",""),"년","")),SUBSTITUTE(SUBSTITUTE(SUBSTITUTE(TRIM(C25&amp;""),CHAR(160),"")," ",""),"년",""),""),"")</f>
      </c>
      <c r="P25" t="str">
        <f>SUBSTITUTE(SUBSTITUTE(SUBSTITUTE(SUBSTITUTE(SUBSTITUTE(SUBSTITUTE(SUBSTITUTE(SUBSTITUTE(TRIM(D25&amp;""),CHAR(160),"")," ",""),"초등학교","초"),"중학교","중"),"고등학교","고"),"~","~~"),"*","~*"),"?","~?")</f>
      </c>
      <c r="Q25" t="str">
        <f>SUBSTITUTE(SUBSTITUTE(SUBSTITUTE(SUBSTITUTE(SUBSTITUTE(SUBSTITUTE(SUBSTITUTE(SUBSTITUTE(TRIM(E25&amp;""),CHAR(160),"")," ",""),"초등학교","초"),"중학교","중"),"고등학교","고"),"~","~~"),"*","~*"),"?","~?")</f>
      </c>
      <c r="R25" t="str">
        <f>IF(COUNTA(B25:J25)=0,"",IF(AND(O25&lt;&gt;"",P25&lt;&gt;"",Q25&lt;&gt;""),"","입력누락"))</f>
      </c>
    </row>
    <row r="26" customFormat="false" ht="15" hidden="false" customHeight="false" outlineLevel="0" collapsed="false">
      <c r="A26" t="n" s="19">
        <f aca="0">IF(COUNTA(B26:J26)=0,"",ROW()-1)</f>
      </c>
      <c r="B26" s="24"/>
      <c r="C26" s="25"/>
      <c r="D26" s="8"/>
      <c r="E26" s="8"/>
      <c r="F26" s="26"/>
      <c r="G26" s="24"/>
      <c r="H26" s="25"/>
      <c r="I26" s="25"/>
      <c r="J26" s="26"/>
      <c r="K26" t="str" s="15">
        <f aca="0">IF(COUNTA(B26:J26)=0,"",IF(R26&lt;&gt;"","확인필요(입력누락)",IF(COUNTIFS(보유목록!$I$2:$I$3001,"*"&amp;P26&amp;"*",보유목록!$I$2:$I$3001,"*"&amp;Q26&amp;"*",보유목록!$H$2:$H$3001,O26)&gt;0,"있음",IF(COUNTIFS(보유목록!$I$2:$I$3001,"*"&amp;P26&amp;"*",보유목록!$I$2:$I$3001,"*"&amp;Q26&amp;"*")&gt;0,"확인필요(연도다름)",IF(COUNTIFS(보유목록!$I$2:$I$3001,"*"&amp;P26&amp;"*",보유목록!$H$2:$H$3001,O26)&gt;0,"확인필요(같은학교·같은연도)","없음")))))</f>
      </c>
      <c r="L26" t="str" s="16">
        <f aca="0">IF(OR(COUNTA(B26:J26)=0,R26&lt;&gt;""),"",COUNTIFS(보유목록!$I$2:$I$3001,"*"&amp;P26&amp;"*",보유목록!$I$2:$I$3001,"*"&amp;Q26&amp;"*"))</f>
      </c>
      <c r="M26" t="str" s="23">
        <f aca="0">IF(OR(COUNTA(B26:J26)=0,R26&lt;&gt;""),"",IFERROR(LOOKUP(2,1/(ISNUMBER(SEARCH(P26,보유목록!$I$2:$I$3001))*ISNUMBER(SEARCH(Q26,보유목록!$I$2:$I$3001))*(보유목록!$H$2:$H$3001=O26)),보유목록!$B$2:$B$3001),IFERROR(LOOKUP(2,1/(ISNUMBER(SEARCH(P26,보유목록!$I$2:$I$3001))*ISNUMBER(SEARCH(Q26,보유목록!$I$2:$I$3001))),보유목록!$B$2:$B$3001),"")))</f>
      </c>
      <c r="N26" s="25"/>
      <c r="O26" t="str">
        <f>IFERROR(IF(AND(LEN(SUBSTITUTE(SUBSTITUTE(SUBSTITUTE(TRIM(C26&amp;""),CHAR(160),"")," ",""),"년",""))=4,VALUE(SUBSTITUTE(SUBSTITUTE(SUBSTITUTE(TRIM(C26&amp;""),CHAR(160),"")," ",""),"년",""))&gt;=1900,VALUE(SUBSTITUTE(SUBSTITUTE(SUBSTITUTE(TRIM(C26&amp;""),CHAR(160),"")," ",""),"년",""))&lt;=2099,TEXT(VALUE(SUBSTITUTE(SUBSTITUTE(SUBSTITUTE(TRIM(C26&amp;""),CHAR(160),"")," ",""),"년","")),"0000")=SUBSTITUTE(SUBSTITUTE(SUBSTITUTE(TRIM(C26&amp;""),CHAR(160),"")," ",""),"년","")),SUBSTITUTE(SUBSTITUTE(SUBSTITUTE(TRIM(C26&amp;""),CHAR(160),"")," ",""),"년",""),""),"")</f>
      </c>
      <c r="P26" t="str">
        <f>SUBSTITUTE(SUBSTITUTE(SUBSTITUTE(SUBSTITUTE(SUBSTITUTE(SUBSTITUTE(SUBSTITUTE(SUBSTITUTE(TRIM(D26&amp;""),CHAR(160),"")," ",""),"초등학교","초"),"중학교","중"),"고등학교","고"),"~","~~"),"*","~*"),"?","~?")</f>
      </c>
      <c r="Q26" t="str">
        <f>SUBSTITUTE(SUBSTITUTE(SUBSTITUTE(SUBSTITUTE(SUBSTITUTE(SUBSTITUTE(SUBSTITUTE(SUBSTITUTE(TRIM(E26&amp;""),CHAR(160),"")," ",""),"초등학교","초"),"중학교","중"),"고등학교","고"),"~","~~"),"*","~*"),"?","~?")</f>
      </c>
      <c r="R26" t="str">
        <f>IF(COUNTA(B26:J26)=0,"",IF(AND(O26&lt;&gt;"",P26&lt;&gt;"",Q26&lt;&gt;""),"","입력누락"))</f>
      </c>
    </row>
    <row r="27" customFormat="false" ht="15" hidden="false" customHeight="false" outlineLevel="0" collapsed="false">
      <c r="A27" t="n" s="19">
        <f aca="0">IF(COUNTA(B27:J27)=0,"",ROW()-1)</f>
      </c>
      <c r="B27" s="24"/>
      <c r="C27" s="25"/>
      <c r="D27" s="8"/>
      <c r="E27" s="8"/>
      <c r="F27" s="26"/>
      <c r="G27" s="24"/>
      <c r="H27" s="25"/>
      <c r="I27" s="25"/>
      <c r="J27" s="26"/>
      <c r="K27" t="str" s="15">
        <f aca="0">IF(COUNTA(B27:J27)=0,"",IF(R27&lt;&gt;"","확인필요(입력누락)",IF(COUNTIFS(보유목록!$I$2:$I$3001,"*"&amp;P27&amp;"*",보유목록!$I$2:$I$3001,"*"&amp;Q27&amp;"*",보유목록!$H$2:$H$3001,O27)&gt;0,"있음",IF(COUNTIFS(보유목록!$I$2:$I$3001,"*"&amp;P27&amp;"*",보유목록!$I$2:$I$3001,"*"&amp;Q27&amp;"*")&gt;0,"확인필요(연도다름)",IF(COUNTIFS(보유목록!$I$2:$I$3001,"*"&amp;P27&amp;"*",보유목록!$H$2:$H$3001,O27)&gt;0,"확인필요(같은학교·같은연도)","없음")))))</f>
      </c>
      <c r="L27" t="str" s="16">
        <f aca="0">IF(OR(COUNTA(B27:J27)=0,R27&lt;&gt;""),"",COUNTIFS(보유목록!$I$2:$I$3001,"*"&amp;P27&amp;"*",보유목록!$I$2:$I$3001,"*"&amp;Q27&amp;"*"))</f>
      </c>
      <c r="M27" t="str" s="23">
        <f aca="0">IF(OR(COUNTA(B27:J27)=0,R27&lt;&gt;""),"",IFERROR(LOOKUP(2,1/(ISNUMBER(SEARCH(P27,보유목록!$I$2:$I$3001))*ISNUMBER(SEARCH(Q27,보유목록!$I$2:$I$3001))*(보유목록!$H$2:$H$3001=O27)),보유목록!$B$2:$B$3001),IFERROR(LOOKUP(2,1/(ISNUMBER(SEARCH(P27,보유목록!$I$2:$I$3001))*ISNUMBER(SEARCH(Q27,보유목록!$I$2:$I$3001))),보유목록!$B$2:$B$3001),"")))</f>
      </c>
      <c r="N27" s="25"/>
      <c r="O27" t="str">
        <f>IFERROR(IF(AND(LEN(SUBSTITUTE(SUBSTITUTE(SUBSTITUTE(TRIM(C27&amp;""),CHAR(160),"")," ",""),"년",""))=4,VALUE(SUBSTITUTE(SUBSTITUTE(SUBSTITUTE(TRIM(C27&amp;""),CHAR(160),"")," ",""),"년",""))&gt;=1900,VALUE(SUBSTITUTE(SUBSTITUTE(SUBSTITUTE(TRIM(C27&amp;""),CHAR(160),"")," ",""),"년",""))&lt;=2099,TEXT(VALUE(SUBSTITUTE(SUBSTITUTE(SUBSTITUTE(TRIM(C27&amp;""),CHAR(160),"")," ",""),"년","")),"0000")=SUBSTITUTE(SUBSTITUTE(SUBSTITUTE(TRIM(C27&amp;""),CHAR(160),"")," ",""),"년","")),SUBSTITUTE(SUBSTITUTE(SUBSTITUTE(TRIM(C27&amp;""),CHAR(160),"")," ",""),"년",""),""),"")</f>
      </c>
      <c r="P27" t="str">
        <f>SUBSTITUTE(SUBSTITUTE(SUBSTITUTE(SUBSTITUTE(SUBSTITUTE(SUBSTITUTE(SUBSTITUTE(SUBSTITUTE(TRIM(D27&amp;""),CHAR(160),"")," ",""),"초등학교","초"),"중학교","중"),"고등학교","고"),"~","~~"),"*","~*"),"?","~?")</f>
      </c>
      <c r="Q27" t="str">
        <f>SUBSTITUTE(SUBSTITUTE(SUBSTITUTE(SUBSTITUTE(SUBSTITUTE(SUBSTITUTE(SUBSTITUTE(SUBSTITUTE(TRIM(E27&amp;""),CHAR(160),"")," ",""),"초등학교","초"),"중학교","중"),"고등학교","고"),"~","~~"),"*","~*"),"?","~?")</f>
      </c>
      <c r="R27" t="str">
        <f>IF(COUNTA(B27:J27)=0,"",IF(AND(O27&lt;&gt;"",P27&lt;&gt;"",Q27&lt;&gt;""),"","입력누락"))</f>
      </c>
    </row>
    <row r="28" customFormat="false" ht="15" hidden="false" customHeight="false" outlineLevel="0" collapsed="false">
      <c r="A28" t="n" s="19">
        <f aca="0">IF(COUNTA(B28:J28)=0,"",ROW()-1)</f>
      </c>
      <c r="B28" s="24"/>
      <c r="C28" s="25"/>
      <c r="D28" s="8"/>
      <c r="E28" s="8"/>
      <c r="F28" s="26"/>
      <c r="G28" s="24"/>
      <c r="H28" s="25"/>
      <c r="I28" s="25"/>
      <c r="J28" s="26"/>
      <c r="K28" t="str" s="15">
        <f aca="0">IF(COUNTA(B28:J28)=0,"",IF(R28&lt;&gt;"","확인필요(입력누락)",IF(COUNTIFS(보유목록!$I$2:$I$3001,"*"&amp;P28&amp;"*",보유목록!$I$2:$I$3001,"*"&amp;Q28&amp;"*",보유목록!$H$2:$H$3001,O28)&gt;0,"있음",IF(COUNTIFS(보유목록!$I$2:$I$3001,"*"&amp;P28&amp;"*",보유목록!$I$2:$I$3001,"*"&amp;Q28&amp;"*")&gt;0,"확인필요(연도다름)",IF(COUNTIFS(보유목록!$I$2:$I$3001,"*"&amp;P28&amp;"*",보유목록!$H$2:$H$3001,O28)&gt;0,"확인필요(같은학교·같은연도)","없음")))))</f>
      </c>
      <c r="L28" t="str" s="16">
        <f aca="0">IF(OR(COUNTA(B28:J28)=0,R28&lt;&gt;""),"",COUNTIFS(보유목록!$I$2:$I$3001,"*"&amp;P28&amp;"*",보유목록!$I$2:$I$3001,"*"&amp;Q28&amp;"*"))</f>
      </c>
      <c r="M28" t="str" s="23">
        <f aca="0">IF(OR(COUNTA(B28:J28)=0,R28&lt;&gt;""),"",IFERROR(LOOKUP(2,1/(ISNUMBER(SEARCH(P28,보유목록!$I$2:$I$3001))*ISNUMBER(SEARCH(Q28,보유목록!$I$2:$I$3001))*(보유목록!$H$2:$H$3001=O28)),보유목록!$B$2:$B$3001),IFERROR(LOOKUP(2,1/(ISNUMBER(SEARCH(P28,보유목록!$I$2:$I$3001))*ISNUMBER(SEARCH(Q28,보유목록!$I$2:$I$3001))),보유목록!$B$2:$B$3001),"")))</f>
      </c>
      <c r="N28" s="25"/>
      <c r="O28" t="str">
        <f>IFERROR(IF(AND(LEN(SUBSTITUTE(SUBSTITUTE(SUBSTITUTE(TRIM(C28&amp;""),CHAR(160),"")," ",""),"년",""))=4,VALUE(SUBSTITUTE(SUBSTITUTE(SUBSTITUTE(TRIM(C28&amp;""),CHAR(160),"")," ",""),"년",""))&gt;=1900,VALUE(SUBSTITUTE(SUBSTITUTE(SUBSTITUTE(TRIM(C28&amp;""),CHAR(160),"")," ",""),"년",""))&lt;=2099,TEXT(VALUE(SUBSTITUTE(SUBSTITUTE(SUBSTITUTE(TRIM(C28&amp;""),CHAR(160),"")," ",""),"년","")),"0000")=SUBSTITUTE(SUBSTITUTE(SUBSTITUTE(TRIM(C28&amp;""),CHAR(160),"")," ",""),"년","")),SUBSTITUTE(SUBSTITUTE(SUBSTITUTE(TRIM(C28&amp;""),CHAR(160),"")," ",""),"년",""),""),"")</f>
      </c>
      <c r="P28" t="str">
        <f>SUBSTITUTE(SUBSTITUTE(SUBSTITUTE(SUBSTITUTE(SUBSTITUTE(SUBSTITUTE(SUBSTITUTE(SUBSTITUTE(TRIM(D28&amp;""),CHAR(160),"")," ",""),"초등학교","초"),"중학교","중"),"고등학교","고"),"~","~~"),"*","~*"),"?","~?")</f>
      </c>
      <c r="Q28" t="str">
        <f>SUBSTITUTE(SUBSTITUTE(SUBSTITUTE(SUBSTITUTE(SUBSTITUTE(SUBSTITUTE(SUBSTITUTE(SUBSTITUTE(TRIM(E28&amp;""),CHAR(160),"")," ",""),"초등학교","초"),"중학교","중"),"고등학교","고"),"~","~~"),"*","~*"),"?","~?")</f>
      </c>
      <c r="R28" t="str">
        <f>IF(COUNTA(B28:J28)=0,"",IF(AND(O28&lt;&gt;"",P28&lt;&gt;"",Q28&lt;&gt;""),"","입력누락"))</f>
      </c>
    </row>
    <row r="29" customFormat="false" ht="15" hidden="false" customHeight="false" outlineLevel="0" collapsed="false">
      <c r="A29" t="n" s="19">
        <f aca="0">IF(COUNTA(B29:J29)=0,"",ROW()-1)</f>
      </c>
      <c r="B29" s="24"/>
      <c r="C29" s="25"/>
      <c r="D29" s="8"/>
      <c r="E29" s="8"/>
      <c r="F29" s="26"/>
      <c r="G29" s="24"/>
      <c r="H29" s="25"/>
      <c r="I29" s="25"/>
      <c r="J29" s="26"/>
      <c r="K29" t="str" s="15">
        <f aca="0">IF(COUNTA(B29:J29)=0,"",IF(R29&lt;&gt;"","확인필요(입력누락)",IF(COUNTIFS(보유목록!$I$2:$I$3001,"*"&amp;P29&amp;"*",보유목록!$I$2:$I$3001,"*"&amp;Q29&amp;"*",보유목록!$H$2:$H$3001,O29)&gt;0,"있음",IF(COUNTIFS(보유목록!$I$2:$I$3001,"*"&amp;P29&amp;"*",보유목록!$I$2:$I$3001,"*"&amp;Q29&amp;"*")&gt;0,"확인필요(연도다름)",IF(COUNTIFS(보유목록!$I$2:$I$3001,"*"&amp;P29&amp;"*",보유목록!$H$2:$H$3001,O29)&gt;0,"확인필요(같은학교·같은연도)","없음")))))</f>
      </c>
      <c r="L29" t="str" s="16">
        <f aca="0">IF(OR(COUNTA(B29:J29)=0,R29&lt;&gt;""),"",COUNTIFS(보유목록!$I$2:$I$3001,"*"&amp;P29&amp;"*",보유목록!$I$2:$I$3001,"*"&amp;Q29&amp;"*"))</f>
      </c>
      <c r="M29" t="str" s="23">
        <f aca="0">IF(OR(COUNTA(B29:J29)=0,R29&lt;&gt;""),"",IFERROR(LOOKUP(2,1/(ISNUMBER(SEARCH(P29,보유목록!$I$2:$I$3001))*ISNUMBER(SEARCH(Q29,보유목록!$I$2:$I$3001))*(보유목록!$H$2:$H$3001=O29)),보유목록!$B$2:$B$3001),IFERROR(LOOKUP(2,1/(ISNUMBER(SEARCH(P29,보유목록!$I$2:$I$3001))*ISNUMBER(SEARCH(Q29,보유목록!$I$2:$I$3001))),보유목록!$B$2:$B$3001),"")))</f>
      </c>
      <c r="N29" s="25"/>
      <c r="O29" t="str">
        <f>IFERROR(IF(AND(LEN(SUBSTITUTE(SUBSTITUTE(SUBSTITUTE(TRIM(C29&amp;""),CHAR(160),"")," ",""),"년",""))=4,VALUE(SUBSTITUTE(SUBSTITUTE(SUBSTITUTE(TRIM(C29&amp;""),CHAR(160),"")," ",""),"년",""))&gt;=1900,VALUE(SUBSTITUTE(SUBSTITUTE(SUBSTITUTE(TRIM(C29&amp;""),CHAR(160),"")," ",""),"년",""))&lt;=2099,TEXT(VALUE(SUBSTITUTE(SUBSTITUTE(SUBSTITUTE(TRIM(C29&amp;""),CHAR(160),"")," ",""),"년","")),"0000")=SUBSTITUTE(SUBSTITUTE(SUBSTITUTE(TRIM(C29&amp;""),CHAR(160),"")," ",""),"년","")),SUBSTITUTE(SUBSTITUTE(SUBSTITUTE(TRIM(C29&amp;""),CHAR(160),"")," ",""),"년",""),""),"")</f>
      </c>
      <c r="P29" t="str">
        <f>SUBSTITUTE(SUBSTITUTE(SUBSTITUTE(SUBSTITUTE(SUBSTITUTE(SUBSTITUTE(SUBSTITUTE(SUBSTITUTE(TRIM(D29&amp;""),CHAR(160),"")," ",""),"초등학교","초"),"중학교","중"),"고등학교","고"),"~","~~"),"*","~*"),"?","~?")</f>
      </c>
      <c r="Q29" t="str">
        <f>SUBSTITUTE(SUBSTITUTE(SUBSTITUTE(SUBSTITUTE(SUBSTITUTE(SUBSTITUTE(SUBSTITUTE(SUBSTITUTE(TRIM(E29&amp;""),CHAR(160),"")," ",""),"초등학교","초"),"중학교","중"),"고등학교","고"),"~","~~"),"*","~*"),"?","~?")</f>
      </c>
      <c r="R29" t="str">
        <f>IF(COUNTA(B29:J29)=0,"",IF(AND(O29&lt;&gt;"",P29&lt;&gt;"",Q29&lt;&gt;""),"","입력누락"))</f>
      </c>
    </row>
    <row r="30" customFormat="false" ht="15" hidden="false" customHeight="false" outlineLevel="0" collapsed="false">
      <c r="A30" t="n" s="19">
        <f aca="0">IF(COUNTA(B30:J30)=0,"",ROW()-1)</f>
      </c>
      <c r="B30" s="24"/>
      <c r="C30" s="25"/>
      <c r="D30" s="8"/>
      <c r="E30" s="8"/>
      <c r="F30" s="26"/>
      <c r="G30" s="24"/>
      <c r="H30" s="25"/>
      <c r="I30" s="25"/>
      <c r="J30" s="26"/>
      <c r="K30" t="str" s="15">
        <f aca="0">IF(COUNTA(B30:J30)=0,"",IF(R30&lt;&gt;"","확인필요(입력누락)",IF(COUNTIFS(보유목록!$I$2:$I$3001,"*"&amp;P30&amp;"*",보유목록!$I$2:$I$3001,"*"&amp;Q30&amp;"*",보유목록!$H$2:$H$3001,O30)&gt;0,"있음",IF(COUNTIFS(보유목록!$I$2:$I$3001,"*"&amp;P30&amp;"*",보유목록!$I$2:$I$3001,"*"&amp;Q30&amp;"*")&gt;0,"확인필요(연도다름)",IF(COUNTIFS(보유목록!$I$2:$I$3001,"*"&amp;P30&amp;"*",보유목록!$H$2:$H$3001,O30)&gt;0,"확인필요(같은학교·같은연도)","없음")))))</f>
      </c>
      <c r="L30" t="str" s="16">
        <f aca="0">IF(OR(COUNTA(B30:J30)=0,R30&lt;&gt;""),"",COUNTIFS(보유목록!$I$2:$I$3001,"*"&amp;P30&amp;"*",보유목록!$I$2:$I$3001,"*"&amp;Q30&amp;"*"))</f>
      </c>
      <c r="M30" t="str" s="23">
        <f aca="0">IF(OR(COUNTA(B30:J30)=0,R30&lt;&gt;""),"",IFERROR(LOOKUP(2,1/(ISNUMBER(SEARCH(P30,보유목록!$I$2:$I$3001))*ISNUMBER(SEARCH(Q30,보유목록!$I$2:$I$3001))*(보유목록!$H$2:$H$3001=O30)),보유목록!$B$2:$B$3001),IFERROR(LOOKUP(2,1/(ISNUMBER(SEARCH(P30,보유목록!$I$2:$I$3001))*ISNUMBER(SEARCH(Q30,보유목록!$I$2:$I$3001))),보유목록!$B$2:$B$3001),"")))</f>
      </c>
      <c r="N30" s="25"/>
      <c r="O30" t="str">
        <f>IFERROR(IF(AND(LEN(SUBSTITUTE(SUBSTITUTE(SUBSTITUTE(TRIM(C30&amp;""),CHAR(160),"")," ",""),"년",""))=4,VALUE(SUBSTITUTE(SUBSTITUTE(SUBSTITUTE(TRIM(C30&amp;""),CHAR(160),"")," ",""),"년",""))&gt;=1900,VALUE(SUBSTITUTE(SUBSTITUTE(SUBSTITUTE(TRIM(C30&amp;""),CHAR(160),"")," ",""),"년",""))&lt;=2099,TEXT(VALUE(SUBSTITUTE(SUBSTITUTE(SUBSTITUTE(TRIM(C30&amp;""),CHAR(160),"")," ",""),"년","")),"0000")=SUBSTITUTE(SUBSTITUTE(SUBSTITUTE(TRIM(C30&amp;""),CHAR(160),"")," ",""),"년","")),SUBSTITUTE(SUBSTITUTE(SUBSTITUTE(TRIM(C30&amp;""),CHAR(160),"")," ",""),"년",""),""),"")</f>
      </c>
      <c r="P30" t="str">
        <f>SUBSTITUTE(SUBSTITUTE(SUBSTITUTE(SUBSTITUTE(SUBSTITUTE(SUBSTITUTE(SUBSTITUTE(SUBSTITUTE(TRIM(D30&amp;""),CHAR(160),"")," ",""),"초등학교","초"),"중학교","중"),"고등학교","고"),"~","~~"),"*","~*"),"?","~?")</f>
      </c>
      <c r="Q30" t="str">
        <f>SUBSTITUTE(SUBSTITUTE(SUBSTITUTE(SUBSTITUTE(SUBSTITUTE(SUBSTITUTE(SUBSTITUTE(SUBSTITUTE(TRIM(E30&amp;""),CHAR(160),"")," ",""),"초등학교","초"),"중학교","중"),"고등학교","고"),"~","~~"),"*","~*"),"?","~?")</f>
      </c>
      <c r="R30" t="str">
        <f>IF(COUNTA(B30:J30)=0,"",IF(AND(O30&lt;&gt;"",P30&lt;&gt;"",Q30&lt;&gt;""),"","입력누락"))</f>
      </c>
    </row>
    <row r="31" customFormat="false" ht="15" hidden="false" customHeight="false" outlineLevel="0" collapsed="false">
      <c r="A31" t="n" s="19">
        <f aca="0">IF(COUNTA(B31:J31)=0,"",ROW()-1)</f>
      </c>
      <c r="B31" s="24"/>
      <c r="C31" s="25"/>
      <c r="D31" s="8"/>
      <c r="E31" s="8"/>
      <c r="F31" s="26"/>
      <c r="G31" s="24"/>
      <c r="H31" s="25"/>
      <c r="I31" s="25"/>
      <c r="J31" s="26"/>
      <c r="K31" t="str" s="15">
        <f aca="0">IF(COUNTA(B31:J31)=0,"",IF(R31&lt;&gt;"","확인필요(입력누락)",IF(COUNTIFS(보유목록!$I$2:$I$3001,"*"&amp;P31&amp;"*",보유목록!$I$2:$I$3001,"*"&amp;Q31&amp;"*",보유목록!$H$2:$H$3001,O31)&gt;0,"있음",IF(COUNTIFS(보유목록!$I$2:$I$3001,"*"&amp;P31&amp;"*",보유목록!$I$2:$I$3001,"*"&amp;Q31&amp;"*")&gt;0,"확인필요(연도다름)",IF(COUNTIFS(보유목록!$I$2:$I$3001,"*"&amp;P31&amp;"*",보유목록!$H$2:$H$3001,O31)&gt;0,"확인필요(같은학교·같은연도)","없음")))))</f>
      </c>
      <c r="L31" t="str" s="16">
        <f aca="0">IF(OR(COUNTA(B31:J31)=0,R31&lt;&gt;""),"",COUNTIFS(보유목록!$I$2:$I$3001,"*"&amp;P31&amp;"*",보유목록!$I$2:$I$3001,"*"&amp;Q31&amp;"*"))</f>
      </c>
      <c r="M31" t="str" s="23">
        <f aca="0">IF(OR(COUNTA(B31:J31)=0,R31&lt;&gt;""),"",IFERROR(LOOKUP(2,1/(ISNUMBER(SEARCH(P31,보유목록!$I$2:$I$3001))*ISNUMBER(SEARCH(Q31,보유목록!$I$2:$I$3001))*(보유목록!$H$2:$H$3001=O31)),보유목록!$B$2:$B$3001),IFERROR(LOOKUP(2,1/(ISNUMBER(SEARCH(P31,보유목록!$I$2:$I$3001))*ISNUMBER(SEARCH(Q31,보유목록!$I$2:$I$3001))),보유목록!$B$2:$B$3001),"")))</f>
      </c>
      <c r="N31" s="25"/>
      <c r="O31" t="str">
        <f>IFERROR(IF(AND(LEN(SUBSTITUTE(SUBSTITUTE(SUBSTITUTE(TRIM(C31&amp;""),CHAR(160),"")," ",""),"년",""))=4,VALUE(SUBSTITUTE(SUBSTITUTE(SUBSTITUTE(TRIM(C31&amp;""),CHAR(160),"")," ",""),"년",""))&gt;=1900,VALUE(SUBSTITUTE(SUBSTITUTE(SUBSTITUTE(TRIM(C31&amp;""),CHAR(160),"")," ",""),"년",""))&lt;=2099,TEXT(VALUE(SUBSTITUTE(SUBSTITUTE(SUBSTITUTE(TRIM(C31&amp;""),CHAR(160),"")," ",""),"년","")),"0000")=SUBSTITUTE(SUBSTITUTE(SUBSTITUTE(TRIM(C31&amp;""),CHAR(160),"")," ",""),"년","")),SUBSTITUTE(SUBSTITUTE(SUBSTITUTE(TRIM(C31&amp;""),CHAR(160),"")," ",""),"년",""),""),"")</f>
      </c>
      <c r="P31" t="str">
        <f>SUBSTITUTE(SUBSTITUTE(SUBSTITUTE(SUBSTITUTE(SUBSTITUTE(SUBSTITUTE(SUBSTITUTE(SUBSTITUTE(TRIM(D31&amp;""),CHAR(160),"")," ",""),"초등학교","초"),"중학교","중"),"고등학교","고"),"~","~~"),"*","~*"),"?","~?")</f>
      </c>
      <c r="Q31" t="str">
        <f>SUBSTITUTE(SUBSTITUTE(SUBSTITUTE(SUBSTITUTE(SUBSTITUTE(SUBSTITUTE(SUBSTITUTE(SUBSTITUTE(TRIM(E31&amp;""),CHAR(160),"")," ",""),"초등학교","초"),"중학교","중"),"고등학교","고"),"~","~~"),"*","~*"),"?","~?")</f>
      </c>
      <c r="R31" t="str">
        <f>IF(COUNTA(B31:J31)=0,"",IF(AND(O31&lt;&gt;"",P31&lt;&gt;"",Q31&lt;&gt;""),"","입력누락"))</f>
      </c>
    </row>
    <row r="32" customFormat="false" ht="15" hidden="false" customHeight="false" outlineLevel="0" collapsed="false">
      <c r="A32" t="n" s="19">
        <f aca="0">IF(COUNTA(B32:J32)=0,"",ROW()-1)</f>
      </c>
      <c r="B32" s="24"/>
      <c r="C32" s="25"/>
      <c r="D32" s="8"/>
      <c r="E32" s="8"/>
      <c r="F32" s="26"/>
      <c r="G32" s="24"/>
      <c r="H32" s="25"/>
      <c r="I32" s="25"/>
      <c r="J32" s="26"/>
      <c r="K32" t="str" s="15">
        <f aca="0">IF(COUNTA(B32:J32)=0,"",IF(R32&lt;&gt;"","확인필요(입력누락)",IF(COUNTIFS(보유목록!$I$2:$I$3001,"*"&amp;P32&amp;"*",보유목록!$I$2:$I$3001,"*"&amp;Q32&amp;"*",보유목록!$H$2:$H$3001,O32)&gt;0,"있음",IF(COUNTIFS(보유목록!$I$2:$I$3001,"*"&amp;P32&amp;"*",보유목록!$I$2:$I$3001,"*"&amp;Q32&amp;"*")&gt;0,"확인필요(연도다름)",IF(COUNTIFS(보유목록!$I$2:$I$3001,"*"&amp;P32&amp;"*",보유목록!$H$2:$H$3001,O32)&gt;0,"확인필요(같은학교·같은연도)","없음")))))</f>
      </c>
      <c r="L32" t="str" s="16">
        <f aca="0">IF(OR(COUNTA(B32:J32)=0,R32&lt;&gt;""),"",COUNTIFS(보유목록!$I$2:$I$3001,"*"&amp;P32&amp;"*",보유목록!$I$2:$I$3001,"*"&amp;Q32&amp;"*"))</f>
      </c>
      <c r="M32" t="str" s="23">
        <f aca="0">IF(OR(COUNTA(B32:J32)=0,R32&lt;&gt;""),"",IFERROR(LOOKUP(2,1/(ISNUMBER(SEARCH(P32,보유목록!$I$2:$I$3001))*ISNUMBER(SEARCH(Q32,보유목록!$I$2:$I$3001))*(보유목록!$H$2:$H$3001=O32)),보유목록!$B$2:$B$3001),IFERROR(LOOKUP(2,1/(ISNUMBER(SEARCH(P32,보유목록!$I$2:$I$3001))*ISNUMBER(SEARCH(Q32,보유목록!$I$2:$I$3001))),보유목록!$B$2:$B$3001),"")))</f>
      </c>
      <c r="N32" s="25"/>
      <c r="O32" t="str">
        <f>IFERROR(IF(AND(LEN(SUBSTITUTE(SUBSTITUTE(SUBSTITUTE(TRIM(C32&amp;""),CHAR(160),"")," ",""),"년",""))=4,VALUE(SUBSTITUTE(SUBSTITUTE(SUBSTITUTE(TRIM(C32&amp;""),CHAR(160),"")," ",""),"년",""))&gt;=1900,VALUE(SUBSTITUTE(SUBSTITUTE(SUBSTITUTE(TRIM(C32&amp;""),CHAR(160),"")," ",""),"년",""))&lt;=2099,TEXT(VALUE(SUBSTITUTE(SUBSTITUTE(SUBSTITUTE(TRIM(C32&amp;""),CHAR(160),"")," ",""),"년","")),"0000")=SUBSTITUTE(SUBSTITUTE(SUBSTITUTE(TRIM(C32&amp;""),CHAR(160),"")," ",""),"년","")),SUBSTITUTE(SUBSTITUTE(SUBSTITUTE(TRIM(C32&amp;""),CHAR(160),"")," ",""),"년",""),""),"")</f>
      </c>
      <c r="P32" t="str">
        <f>SUBSTITUTE(SUBSTITUTE(SUBSTITUTE(SUBSTITUTE(SUBSTITUTE(SUBSTITUTE(SUBSTITUTE(SUBSTITUTE(TRIM(D32&amp;""),CHAR(160),"")," ",""),"초등학교","초"),"중학교","중"),"고등학교","고"),"~","~~"),"*","~*"),"?","~?")</f>
      </c>
      <c r="Q32" t="str">
        <f>SUBSTITUTE(SUBSTITUTE(SUBSTITUTE(SUBSTITUTE(SUBSTITUTE(SUBSTITUTE(SUBSTITUTE(SUBSTITUTE(TRIM(E32&amp;""),CHAR(160),"")," ",""),"초등학교","초"),"중학교","중"),"고등학교","고"),"~","~~"),"*","~*"),"?","~?")</f>
      </c>
      <c r="R32" t="str">
        <f>IF(COUNTA(B32:J32)=0,"",IF(AND(O32&lt;&gt;"",P32&lt;&gt;"",Q32&lt;&gt;""),"","입력누락"))</f>
      </c>
    </row>
    <row r="33" customFormat="false" ht="15" hidden="false" customHeight="false" outlineLevel="0" collapsed="false">
      <c r="A33" t="n" s="19">
        <f aca="0">IF(COUNTA(B33:J33)=0,"",ROW()-1)</f>
      </c>
      <c r="B33" s="24"/>
      <c r="C33" s="25"/>
      <c r="D33" s="8"/>
      <c r="E33" s="8"/>
      <c r="F33" s="26"/>
      <c r="G33" s="24"/>
      <c r="H33" s="25"/>
      <c r="I33" s="25"/>
      <c r="J33" s="26"/>
      <c r="K33" t="str" s="15">
        <f aca="0">IF(COUNTA(B33:J33)=0,"",IF(R33&lt;&gt;"","확인필요(입력누락)",IF(COUNTIFS(보유목록!$I$2:$I$3001,"*"&amp;P33&amp;"*",보유목록!$I$2:$I$3001,"*"&amp;Q33&amp;"*",보유목록!$H$2:$H$3001,O33)&gt;0,"있음",IF(COUNTIFS(보유목록!$I$2:$I$3001,"*"&amp;P33&amp;"*",보유목록!$I$2:$I$3001,"*"&amp;Q33&amp;"*")&gt;0,"확인필요(연도다름)",IF(COUNTIFS(보유목록!$I$2:$I$3001,"*"&amp;P33&amp;"*",보유목록!$H$2:$H$3001,O33)&gt;0,"확인필요(같은학교·같은연도)","없음")))))</f>
      </c>
      <c r="L33" t="str" s="16">
        <f aca="0">IF(OR(COUNTA(B33:J33)=0,R33&lt;&gt;""),"",COUNTIFS(보유목록!$I$2:$I$3001,"*"&amp;P33&amp;"*",보유목록!$I$2:$I$3001,"*"&amp;Q33&amp;"*"))</f>
      </c>
      <c r="M33" t="str" s="23">
        <f aca="0">IF(OR(COUNTA(B33:J33)=0,R33&lt;&gt;""),"",IFERROR(LOOKUP(2,1/(ISNUMBER(SEARCH(P33,보유목록!$I$2:$I$3001))*ISNUMBER(SEARCH(Q33,보유목록!$I$2:$I$3001))*(보유목록!$H$2:$H$3001=O33)),보유목록!$B$2:$B$3001),IFERROR(LOOKUP(2,1/(ISNUMBER(SEARCH(P33,보유목록!$I$2:$I$3001))*ISNUMBER(SEARCH(Q33,보유목록!$I$2:$I$3001))),보유목록!$B$2:$B$3001),"")))</f>
      </c>
      <c r="N33" s="25"/>
      <c r="O33" t="str">
        <f>IFERROR(IF(AND(LEN(SUBSTITUTE(SUBSTITUTE(SUBSTITUTE(TRIM(C33&amp;""),CHAR(160),"")," ",""),"년",""))=4,VALUE(SUBSTITUTE(SUBSTITUTE(SUBSTITUTE(TRIM(C33&amp;""),CHAR(160),"")," ",""),"년",""))&gt;=1900,VALUE(SUBSTITUTE(SUBSTITUTE(SUBSTITUTE(TRIM(C33&amp;""),CHAR(160),"")," ",""),"년",""))&lt;=2099,TEXT(VALUE(SUBSTITUTE(SUBSTITUTE(SUBSTITUTE(TRIM(C33&amp;""),CHAR(160),"")," ",""),"년","")),"0000")=SUBSTITUTE(SUBSTITUTE(SUBSTITUTE(TRIM(C33&amp;""),CHAR(160),"")," ",""),"년","")),SUBSTITUTE(SUBSTITUTE(SUBSTITUTE(TRIM(C33&amp;""),CHAR(160),"")," ",""),"년",""),""),"")</f>
      </c>
      <c r="P33" t="str">
        <f>SUBSTITUTE(SUBSTITUTE(SUBSTITUTE(SUBSTITUTE(SUBSTITUTE(SUBSTITUTE(SUBSTITUTE(SUBSTITUTE(TRIM(D33&amp;""),CHAR(160),"")," ",""),"초등학교","초"),"중학교","중"),"고등학교","고"),"~","~~"),"*","~*"),"?","~?")</f>
      </c>
      <c r="Q33" t="str">
        <f>SUBSTITUTE(SUBSTITUTE(SUBSTITUTE(SUBSTITUTE(SUBSTITUTE(SUBSTITUTE(SUBSTITUTE(SUBSTITUTE(TRIM(E33&amp;""),CHAR(160),"")," ",""),"초등학교","초"),"중학교","중"),"고등학교","고"),"~","~~"),"*","~*"),"?","~?")</f>
      </c>
      <c r="R33" t="str">
        <f>IF(COUNTA(B33:J33)=0,"",IF(AND(O33&lt;&gt;"",P33&lt;&gt;"",Q33&lt;&gt;""),"","입력누락"))</f>
      </c>
    </row>
    <row r="34" customFormat="false" ht="15" hidden="false" customHeight="false" outlineLevel="0" collapsed="false">
      <c r="A34" t="n" s="19">
        <f aca="0">IF(COUNTA(B34:J34)=0,"",ROW()-1)</f>
      </c>
      <c r="B34" s="24"/>
      <c r="C34" s="25"/>
      <c r="D34" s="8"/>
      <c r="E34" s="8"/>
      <c r="F34" s="26"/>
      <c r="G34" s="24"/>
      <c r="H34" s="25"/>
      <c r="I34" s="25"/>
      <c r="J34" s="26"/>
      <c r="K34" t="str" s="15">
        <f aca="0">IF(COUNTA(B34:J34)=0,"",IF(R34&lt;&gt;"","확인필요(입력누락)",IF(COUNTIFS(보유목록!$I$2:$I$3001,"*"&amp;P34&amp;"*",보유목록!$I$2:$I$3001,"*"&amp;Q34&amp;"*",보유목록!$H$2:$H$3001,O34)&gt;0,"있음",IF(COUNTIFS(보유목록!$I$2:$I$3001,"*"&amp;P34&amp;"*",보유목록!$I$2:$I$3001,"*"&amp;Q34&amp;"*")&gt;0,"확인필요(연도다름)",IF(COUNTIFS(보유목록!$I$2:$I$3001,"*"&amp;P34&amp;"*",보유목록!$H$2:$H$3001,O34)&gt;0,"확인필요(같은학교·같은연도)","없음")))))</f>
      </c>
      <c r="L34" t="str" s="16">
        <f aca="0">IF(OR(COUNTA(B34:J34)=0,R34&lt;&gt;""),"",COUNTIFS(보유목록!$I$2:$I$3001,"*"&amp;P34&amp;"*",보유목록!$I$2:$I$3001,"*"&amp;Q34&amp;"*"))</f>
      </c>
      <c r="M34" t="str" s="23">
        <f aca="0">IF(OR(COUNTA(B34:J34)=0,R34&lt;&gt;""),"",IFERROR(LOOKUP(2,1/(ISNUMBER(SEARCH(P34,보유목록!$I$2:$I$3001))*ISNUMBER(SEARCH(Q34,보유목록!$I$2:$I$3001))*(보유목록!$H$2:$H$3001=O34)),보유목록!$B$2:$B$3001),IFERROR(LOOKUP(2,1/(ISNUMBER(SEARCH(P34,보유목록!$I$2:$I$3001))*ISNUMBER(SEARCH(Q34,보유목록!$I$2:$I$3001))),보유목록!$B$2:$B$3001),"")))</f>
      </c>
      <c r="N34" s="25"/>
      <c r="O34" t="str">
        <f>IFERROR(IF(AND(LEN(SUBSTITUTE(SUBSTITUTE(SUBSTITUTE(TRIM(C34&amp;""),CHAR(160),"")," ",""),"년",""))=4,VALUE(SUBSTITUTE(SUBSTITUTE(SUBSTITUTE(TRIM(C34&amp;""),CHAR(160),"")," ",""),"년",""))&gt;=1900,VALUE(SUBSTITUTE(SUBSTITUTE(SUBSTITUTE(TRIM(C34&amp;""),CHAR(160),"")," ",""),"년",""))&lt;=2099,TEXT(VALUE(SUBSTITUTE(SUBSTITUTE(SUBSTITUTE(TRIM(C34&amp;""),CHAR(160),"")," ",""),"년","")),"0000")=SUBSTITUTE(SUBSTITUTE(SUBSTITUTE(TRIM(C34&amp;""),CHAR(160),"")," ",""),"년","")),SUBSTITUTE(SUBSTITUTE(SUBSTITUTE(TRIM(C34&amp;""),CHAR(160),"")," ",""),"년",""),""),"")</f>
      </c>
      <c r="P34" t="str">
        <f>SUBSTITUTE(SUBSTITUTE(SUBSTITUTE(SUBSTITUTE(SUBSTITUTE(SUBSTITUTE(SUBSTITUTE(SUBSTITUTE(TRIM(D34&amp;""),CHAR(160),"")," ",""),"초등학교","초"),"중학교","중"),"고등학교","고"),"~","~~"),"*","~*"),"?","~?")</f>
      </c>
      <c r="Q34" t="str">
        <f>SUBSTITUTE(SUBSTITUTE(SUBSTITUTE(SUBSTITUTE(SUBSTITUTE(SUBSTITUTE(SUBSTITUTE(SUBSTITUTE(TRIM(E34&amp;""),CHAR(160),"")," ",""),"초등학교","초"),"중학교","중"),"고등학교","고"),"~","~~"),"*","~*"),"?","~?")</f>
      </c>
      <c r="R34" t="str">
        <f>IF(COUNTA(B34:J34)=0,"",IF(AND(O34&lt;&gt;"",P34&lt;&gt;"",Q34&lt;&gt;""),"","입력누락"))</f>
      </c>
    </row>
    <row r="35" customFormat="false" ht="15" hidden="false" customHeight="false" outlineLevel="0" collapsed="false">
      <c r="A35" t="n" s="19">
        <f aca="0">IF(COUNTA(B35:J35)=0,"",ROW()-1)</f>
      </c>
      <c r="B35" s="24"/>
      <c r="C35" s="25"/>
      <c r="D35" s="8"/>
      <c r="E35" s="8"/>
      <c r="F35" s="26"/>
      <c r="G35" s="24"/>
      <c r="H35" s="25"/>
      <c r="I35" s="25"/>
      <c r="J35" s="26"/>
      <c r="K35" t="str" s="15">
        <f aca="0">IF(COUNTA(B35:J35)=0,"",IF(R35&lt;&gt;"","확인필요(입력누락)",IF(COUNTIFS(보유목록!$I$2:$I$3001,"*"&amp;P35&amp;"*",보유목록!$I$2:$I$3001,"*"&amp;Q35&amp;"*",보유목록!$H$2:$H$3001,O35)&gt;0,"있음",IF(COUNTIFS(보유목록!$I$2:$I$3001,"*"&amp;P35&amp;"*",보유목록!$I$2:$I$3001,"*"&amp;Q35&amp;"*")&gt;0,"확인필요(연도다름)",IF(COUNTIFS(보유목록!$I$2:$I$3001,"*"&amp;P35&amp;"*",보유목록!$H$2:$H$3001,O35)&gt;0,"확인필요(같은학교·같은연도)","없음")))))</f>
      </c>
      <c r="L35" t="str" s="16">
        <f aca="0">IF(OR(COUNTA(B35:J35)=0,R35&lt;&gt;""),"",COUNTIFS(보유목록!$I$2:$I$3001,"*"&amp;P35&amp;"*",보유목록!$I$2:$I$3001,"*"&amp;Q35&amp;"*"))</f>
      </c>
      <c r="M35" t="str" s="23">
        <f aca="0">IF(OR(COUNTA(B35:J35)=0,R35&lt;&gt;""),"",IFERROR(LOOKUP(2,1/(ISNUMBER(SEARCH(P35,보유목록!$I$2:$I$3001))*ISNUMBER(SEARCH(Q35,보유목록!$I$2:$I$3001))*(보유목록!$H$2:$H$3001=O35)),보유목록!$B$2:$B$3001),IFERROR(LOOKUP(2,1/(ISNUMBER(SEARCH(P35,보유목록!$I$2:$I$3001))*ISNUMBER(SEARCH(Q35,보유목록!$I$2:$I$3001))),보유목록!$B$2:$B$3001),"")))</f>
      </c>
      <c r="N35" s="25"/>
      <c r="O35" t="str">
        <f>IFERROR(IF(AND(LEN(SUBSTITUTE(SUBSTITUTE(SUBSTITUTE(TRIM(C35&amp;""),CHAR(160),"")," ",""),"년",""))=4,VALUE(SUBSTITUTE(SUBSTITUTE(SUBSTITUTE(TRIM(C35&amp;""),CHAR(160),"")," ",""),"년",""))&gt;=1900,VALUE(SUBSTITUTE(SUBSTITUTE(SUBSTITUTE(TRIM(C35&amp;""),CHAR(160),"")," ",""),"년",""))&lt;=2099,TEXT(VALUE(SUBSTITUTE(SUBSTITUTE(SUBSTITUTE(TRIM(C35&amp;""),CHAR(160),"")," ",""),"년","")),"0000")=SUBSTITUTE(SUBSTITUTE(SUBSTITUTE(TRIM(C35&amp;""),CHAR(160),"")," ",""),"년","")),SUBSTITUTE(SUBSTITUTE(SUBSTITUTE(TRIM(C35&amp;""),CHAR(160),"")," ",""),"년",""),""),"")</f>
      </c>
      <c r="P35" t="str">
        <f>SUBSTITUTE(SUBSTITUTE(SUBSTITUTE(SUBSTITUTE(SUBSTITUTE(SUBSTITUTE(SUBSTITUTE(SUBSTITUTE(TRIM(D35&amp;""),CHAR(160),"")," ",""),"초등학교","초"),"중학교","중"),"고등학교","고"),"~","~~"),"*","~*"),"?","~?")</f>
      </c>
      <c r="Q35" t="str">
        <f>SUBSTITUTE(SUBSTITUTE(SUBSTITUTE(SUBSTITUTE(SUBSTITUTE(SUBSTITUTE(SUBSTITUTE(SUBSTITUTE(TRIM(E35&amp;""),CHAR(160),"")," ",""),"초등학교","초"),"중학교","중"),"고등학교","고"),"~","~~"),"*","~*"),"?","~?")</f>
      </c>
      <c r="R35" t="str">
        <f>IF(COUNTA(B35:J35)=0,"",IF(AND(O35&lt;&gt;"",P35&lt;&gt;"",Q35&lt;&gt;""),"","입력누락"))</f>
      </c>
    </row>
    <row r="36" customFormat="false" ht="15" hidden="false" customHeight="false" outlineLevel="0" collapsed="false">
      <c r="A36" t="n" s="19">
        <f aca="0">IF(COUNTA(B36:J36)=0,"",ROW()-1)</f>
      </c>
      <c r="B36" s="24"/>
      <c r="C36" s="25"/>
      <c r="D36" s="8"/>
      <c r="E36" s="8"/>
      <c r="F36" s="26"/>
      <c r="G36" s="24"/>
      <c r="H36" s="25"/>
      <c r="I36" s="25"/>
      <c r="J36" s="26"/>
      <c r="K36" t="str" s="15">
        <f aca="0">IF(COUNTA(B36:J36)=0,"",IF(R36&lt;&gt;"","확인필요(입력누락)",IF(COUNTIFS(보유목록!$I$2:$I$3001,"*"&amp;P36&amp;"*",보유목록!$I$2:$I$3001,"*"&amp;Q36&amp;"*",보유목록!$H$2:$H$3001,O36)&gt;0,"있음",IF(COUNTIFS(보유목록!$I$2:$I$3001,"*"&amp;P36&amp;"*",보유목록!$I$2:$I$3001,"*"&amp;Q36&amp;"*")&gt;0,"확인필요(연도다름)",IF(COUNTIFS(보유목록!$I$2:$I$3001,"*"&amp;P36&amp;"*",보유목록!$H$2:$H$3001,O36)&gt;0,"확인필요(같은학교·같은연도)","없음")))))</f>
      </c>
      <c r="L36" t="str" s="16">
        <f aca="0">IF(OR(COUNTA(B36:J36)=0,R36&lt;&gt;""),"",COUNTIFS(보유목록!$I$2:$I$3001,"*"&amp;P36&amp;"*",보유목록!$I$2:$I$3001,"*"&amp;Q36&amp;"*"))</f>
      </c>
      <c r="M36" t="str" s="23">
        <f aca="0">IF(OR(COUNTA(B36:J36)=0,R36&lt;&gt;""),"",IFERROR(LOOKUP(2,1/(ISNUMBER(SEARCH(P36,보유목록!$I$2:$I$3001))*ISNUMBER(SEARCH(Q36,보유목록!$I$2:$I$3001))*(보유목록!$H$2:$H$3001=O36)),보유목록!$B$2:$B$3001),IFERROR(LOOKUP(2,1/(ISNUMBER(SEARCH(P36,보유목록!$I$2:$I$3001))*ISNUMBER(SEARCH(Q36,보유목록!$I$2:$I$3001))),보유목록!$B$2:$B$3001),"")))</f>
      </c>
      <c r="N36" s="25"/>
      <c r="O36" t="str">
        <f>IFERROR(IF(AND(LEN(SUBSTITUTE(SUBSTITUTE(SUBSTITUTE(TRIM(C36&amp;""),CHAR(160),"")," ",""),"년",""))=4,VALUE(SUBSTITUTE(SUBSTITUTE(SUBSTITUTE(TRIM(C36&amp;""),CHAR(160),"")," ",""),"년",""))&gt;=1900,VALUE(SUBSTITUTE(SUBSTITUTE(SUBSTITUTE(TRIM(C36&amp;""),CHAR(160),"")," ",""),"년",""))&lt;=2099,TEXT(VALUE(SUBSTITUTE(SUBSTITUTE(SUBSTITUTE(TRIM(C36&amp;""),CHAR(160),"")," ",""),"년","")),"0000")=SUBSTITUTE(SUBSTITUTE(SUBSTITUTE(TRIM(C36&amp;""),CHAR(160),"")," ",""),"년","")),SUBSTITUTE(SUBSTITUTE(SUBSTITUTE(TRIM(C36&amp;""),CHAR(160),"")," ",""),"년",""),""),"")</f>
      </c>
      <c r="P36" t="str">
        <f>SUBSTITUTE(SUBSTITUTE(SUBSTITUTE(SUBSTITUTE(SUBSTITUTE(SUBSTITUTE(SUBSTITUTE(SUBSTITUTE(TRIM(D36&amp;""),CHAR(160),"")," ",""),"초등학교","초"),"중학교","중"),"고등학교","고"),"~","~~"),"*","~*"),"?","~?")</f>
      </c>
      <c r="Q36" t="str">
        <f>SUBSTITUTE(SUBSTITUTE(SUBSTITUTE(SUBSTITUTE(SUBSTITUTE(SUBSTITUTE(SUBSTITUTE(SUBSTITUTE(TRIM(E36&amp;""),CHAR(160),"")," ",""),"초등학교","초"),"중학교","중"),"고등학교","고"),"~","~~"),"*","~*"),"?","~?")</f>
      </c>
      <c r="R36" t="str">
        <f>IF(COUNTA(B36:J36)=0,"",IF(AND(O36&lt;&gt;"",P36&lt;&gt;"",Q36&lt;&gt;""),"","입력누락"))</f>
      </c>
    </row>
    <row r="37" customFormat="false" ht="15" hidden="false" customHeight="false" outlineLevel="0" collapsed="false">
      <c r="A37" t="n" s="19">
        <f aca="0">IF(COUNTA(B37:J37)=0,"",ROW()-1)</f>
      </c>
      <c r="B37" s="24"/>
      <c r="C37" s="25"/>
      <c r="D37" s="8"/>
      <c r="E37" s="8"/>
      <c r="F37" s="26"/>
      <c r="G37" s="24"/>
      <c r="H37" s="25"/>
      <c r="I37" s="25"/>
      <c r="J37" s="26"/>
      <c r="K37" t="str" s="15">
        <f aca="0">IF(COUNTA(B37:J37)=0,"",IF(R37&lt;&gt;"","확인필요(입력누락)",IF(COUNTIFS(보유목록!$I$2:$I$3001,"*"&amp;P37&amp;"*",보유목록!$I$2:$I$3001,"*"&amp;Q37&amp;"*",보유목록!$H$2:$H$3001,O37)&gt;0,"있음",IF(COUNTIFS(보유목록!$I$2:$I$3001,"*"&amp;P37&amp;"*",보유목록!$I$2:$I$3001,"*"&amp;Q37&amp;"*")&gt;0,"확인필요(연도다름)",IF(COUNTIFS(보유목록!$I$2:$I$3001,"*"&amp;P37&amp;"*",보유목록!$H$2:$H$3001,O37)&gt;0,"확인필요(같은학교·같은연도)","없음")))))</f>
      </c>
      <c r="L37" t="str" s="16">
        <f aca="0">IF(OR(COUNTA(B37:J37)=0,R37&lt;&gt;""),"",COUNTIFS(보유목록!$I$2:$I$3001,"*"&amp;P37&amp;"*",보유목록!$I$2:$I$3001,"*"&amp;Q37&amp;"*"))</f>
      </c>
      <c r="M37" t="str" s="23">
        <f aca="0">IF(OR(COUNTA(B37:J37)=0,R37&lt;&gt;""),"",IFERROR(LOOKUP(2,1/(ISNUMBER(SEARCH(P37,보유목록!$I$2:$I$3001))*ISNUMBER(SEARCH(Q37,보유목록!$I$2:$I$3001))*(보유목록!$H$2:$H$3001=O37)),보유목록!$B$2:$B$3001),IFERROR(LOOKUP(2,1/(ISNUMBER(SEARCH(P37,보유목록!$I$2:$I$3001))*ISNUMBER(SEARCH(Q37,보유목록!$I$2:$I$3001))),보유목록!$B$2:$B$3001),"")))</f>
      </c>
      <c r="N37" s="25"/>
      <c r="O37" t="str">
        <f>IFERROR(IF(AND(LEN(SUBSTITUTE(SUBSTITUTE(SUBSTITUTE(TRIM(C37&amp;""),CHAR(160),"")," ",""),"년",""))=4,VALUE(SUBSTITUTE(SUBSTITUTE(SUBSTITUTE(TRIM(C37&amp;""),CHAR(160),"")," ",""),"년",""))&gt;=1900,VALUE(SUBSTITUTE(SUBSTITUTE(SUBSTITUTE(TRIM(C37&amp;""),CHAR(160),"")," ",""),"년",""))&lt;=2099,TEXT(VALUE(SUBSTITUTE(SUBSTITUTE(SUBSTITUTE(TRIM(C37&amp;""),CHAR(160),"")," ",""),"년","")),"0000")=SUBSTITUTE(SUBSTITUTE(SUBSTITUTE(TRIM(C37&amp;""),CHAR(160),"")," ",""),"년","")),SUBSTITUTE(SUBSTITUTE(SUBSTITUTE(TRIM(C37&amp;""),CHAR(160),"")," ",""),"년",""),""),"")</f>
      </c>
      <c r="P37" t="str">
        <f>SUBSTITUTE(SUBSTITUTE(SUBSTITUTE(SUBSTITUTE(SUBSTITUTE(SUBSTITUTE(SUBSTITUTE(SUBSTITUTE(TRIM(D37&amp;""),CHAR(160),"")," ",""),"초등학교","초"),"중학교","중"),"고등학교","고"),"~","~~"),"*","~*"),"?","~?")</f>
      </c>
      <c r="Q37" t="str">
        <f>SUBSTITUTE(SUBSTITUTE(SUBSTITUTE(SUBSTITUTE(SUBSTITUTE(SUBSTITUTE(SUBSTITUTE(SUBSTITUTE(TRIM(E37&amp;""),CHAR(160),"")," ",""),"초등학교","초"),"중학교","중"),"고등학교","고"),"~","~~"),"*","~*"),"?","~?")</f>
      </c>
      <c r="R37" t="str">
        <f>IF(COUNTA(B37:J37)=0,"",IF(AND(O37&lt;&gt;"",P37&lt;&gt;"",Q37&lt;&gt;""),"","입력누락"))</f>
      </c>
    </row>
    <row r="38" customFormat="false" ht="15" hidden="false" customHeight="false" outlineLevel="0" collapsed="false">
      <c r="A38" t="n" s="19">
        <f aca="0">IF(COUNTA(B38:J38)=0,"",ROW()-1)</f>
      </c>
      <c r="B38" s="24"/>
      <c r="C38" s="25"/>
      <c r="D38" s="8"/>
      <c r="E38" s="8"/>
      <c r="F38" s="26"/>
      <c r="G38" s="24"/>
      <c r="H38" s="25"/>
      <c r="I38" s="25"/>
      <c r="J38" s="26"/>
      <c r="K38" t="str" s="15">
        <f aca="0">IF(COUNTA(B38:J38)=0,"",IF(R38&lt;&gt;"","확인필요(입력누락)",IF(COUNTIFS(보유목록!$I$2:$I$3001,"*"&amp;P38&amp;"*",보유목록!$I$2:$I$3001,"*"&amp;Q38&amp;"*",보유목록!$H$2:$H$3001,O38)&gt;0,"있음",IF(COUNTIFS(보유목록!$I$2:$I$3001,"*"&amp;P38&amp;"*",보유목록!$I$2:$I$3001,"*"&amp;Q38&amp;"*")&gt;0,"확인필요(연도다름)",IF(COUNTIFS(보유목록!$I$2:$I$3001,"*"&amp;P38&amp;"*",보유목록!$H$2:$H$3001,O38)&gt;0,"확인필요(같은학교·같은연도)","없음")))))</f>
      </c>
      <c r="L38" t="str" s="16">
        <f aca="0">IF(OR(COUNTA(B38:J38)=0,R38&lt;&gt;""),"",COUNTIFS(보유목록!$I$2:$I$3001,"*"&amp;P38&amp;"*",보유목록!$I$2:$I$3001,"*"&amp;Q38&amp;"*"))</f>
      </c>
      <c r="M38" t="str" s="23">
        <f aca="0">IF(OR(COUNTA(B38:J38)=0,R38&lt;&gt;""),"",IFERROR(LOOKUP(2,1/(ISNUMBER(SEARCH(P38,보유목록!$I$2:$I$3001))*ISNUMBER(SEARCH(Q38,보유목록!$I$2:$I$3001))*(보유목록!$H$2:$H$3001=O38)),보유목록!$B$2:$B$3001),IFERROR(LOOKUP(2,1/(ISNUMBER(SEARCH(P38,보유목록!$I$2:$I$3001))*ISNUMBER(SEARCH(Q38,보유목록!$I$2:$I$3001))),보유목록!$B$2:$B$3001),"")))</f>
      </c>
      <c r="N38" s="25"/>
      <c r="O38" t="str">
        <f>IFERROR(IF(AND(LEN(SUBSTITUTE(SUBSTITUTE(SUBSTITUTE(TRIM(C38&amp;""),CHAR(160),"")," ",""),"년",""))=4,VALUE(SUBSTITUTE(SUBSTITUTE(SUBSTITUTE(TRIM(C38&amp;""),CHAR(160),"")," ",""),"년",""))&gt;=1900,VALUE(SUBSTITUTE(SUBSTITUTE(SUBSTITUTE(TRIM(C38&amp;""),CHAR(160),"")," ",""),"년",""))&lt;=2099,TEXT(VALUE(SUBSTITUTE(SUBSTITUTE(SUBSTITUTE(TRIM(C38&amp;""),CHAR(160),"")," ",""),"년","")),"0000")=SUBSTITUTE(SUBSTITUTE(SUBSTITUTE(TRIM(C38&amp;""),CHAR(160),"")," ",""),"년","")),SUBSTITUTE(SUBSTITUTE(SUBSTITUTE(TRIM(C38&amp;""),CHAR(160),"")," ",""),"년",""),""),"")</f>
      </c>
      <c r="P38" t="str">
        <f>SUBSTITUTE(SUBSTITUTE(SUBSTITUTE(SUBSTITUTE(SUBSTITUTE(SUBSTITUTE(SUBSTITUTE(SUBSTITUTE(TRIM(D38&amp;""),CHAR(160),"")," ",""),"초등학교","초"),"중학교","중"),"고등학교","고"),"~","~~"),"*","~*"),"?","~?")</f>
      </c>
      <c r="Q38" t="str">
        <f>SUBSTITUTE(SUBSTITUTE(SUBSTITUTE(SUBSTITUTE(SUBSTITUTE(SUBSTITUTE(SUBSTITUTE(SUBSTITUTE(TRIM(E38&amp;""),CHAR(160),"")," ",""),"초등학교","초"),"중학교","중"),"고등학교","고"),"~","~~"),"*","~*"),"?","~?")</f>
      </c>
      <c r="R38" t="str">
        <f>IF(COUNTA(B38:J38)=0,"",IF(AND(O38&lt;&gt;"",P38&lt;&gt;"",Q38&lt;&gt;""),"","입력누락"))</f>
      </c>
    </row>
    <row r="39" customFormat="false" ht="15" hidden="false" customHeight="false" outlineLevel="0" collapsed="false">
      <c r="A39" t="n" s="19">
        <f aca="0">IF(COUNTA(B39:J39)=0,"",ROW()-1)</f>
      </c>
      <c r="B39" s="24"/>
      <c r="C39" s="25"/>
      <c r="D39" s="8"/>
      <c r="E39" s="8"/>
      <c r="F39" s="26"/>
      <c r="G39" s="24"/>
      <c r="H39" s="25"/>
      <c r="I39" s="25"/>
      <c r="J39" s="26"/>
      <c r="K39" t="str" s="15">
        <f aca="0">IF(COUNTA(B39:J39)=0,"",IF(R39&lt;&gt;"","확인필요(입력누락)",IF(COUNTIFS(보유목록!$I$2:$I$3001,"*"&amp;P39&amp;"*",보유목록!$I$2:$I$3001,"*"&amp;Q39&amp;"*",보유목록!$H$2:$H$3001,O39)&gt;0,"있음",IF(COUNTIFS(보유목록!$I$2:$I$3001,"*"&amp;P39&amp;"*",보유목록!$I$2:$I$3001,"*"&amp;Q39&amp;"*")&gt;0,"확인필요(연도다름)",IF(COUNTIFS(보유목록!$I$2:$I$3001,"*"&amp;P39&amp;"*",보유목록!$H$2:$H$3001,O39)&gt;0,"확인필요(같은학교·같은연도)","없음")))))</f>
      </c>
      <c r="L39" t="str" s="16">
        <f aca="0">IF(OR(COUNTA(B39:J39)=0,R39&lt;&gt;""),"",COUNTIFS(보유목록!$I$2:$I$3001,"*"&amp;P39&amp;"*",보유목록!$I$2:$I$3001,"*"&amp;Q39&amp;"*"))</f>
      </c>
      <c r="M39" t="str" s="23">
        <f aca="0">IF(OR(COUNTA(B39:J39)=0,R39&lt;&gt;""),"",IFERROR(LOOKUP(2,1/(ISNUMBER(SEARCH(P39,보유목록!$I$2:$I$3001))*ISNUMBER(SEARCH(Q39,보유목록!$I$2:$I$3001))*(보유목록!$H$2:$H$3001=O39)),보유목록!$B$2:$B$3001),IFERROR(LOOKUP(2,1/(ISNUMBER(SEARCH(P39,보유목록!$I$2:$I$3001))*ISNUMBER(SEARCH(Q39,보유목록!$I$2:$I$3001))),보유목록!$B$2:$B$3001),"")))</f>
      </c>
      <c r="N39" s="25"/>
      <c r="O39" t="str">
        <f>IFERROR(IF(AND(LEN(SUBSTITUTE(SUBSTITUTE(SUBSTITUTE(TRIM(C39&amp;""),CHAR(160),"")," ",""),"년",""))=4,VALUE(SUBSTITUTE(SUBSTITUTE(SUBSTITUTE(TRIM(C39&amp;""),CHAR(160),"")," ",""),"년",""))&gt;=1900,VALUE(SUBSTITUTE(SUBSTITUTE(SUBSTITUTE(TRIM(C39&amp;""),CHAR(160),"")," ",""),"년",""))&lt;=2099,TEXT(VALUE(SUBSTITUTE(SUBSTITUTE(SUBSTITUTE(TRIM(C39&amp;""),CHAR(160),"")," ",""),"년","")),"0000")=SUBSTITUTE(SUBSTITUTE(SUBSTITUTE(TRIM(C39&amp;""),CHAR(160),"")," ",""),"년","")),SUBSTITUTE(SUBSTITUTE(SUBSTITUTE(TRIM(C39&amp;""),CHAR(160),"")," ",""),"년",""),""),"")</f>
      </c>
      <c r="P39" t="str">
        <f>SUBSTITUTE(SUBSTITUTE(SUBSTITUTE(SUBSTITUTE(SUBSTITUTE(SUBSTITUTE(SUBSTITUTE(SUBSTITUTE(TRIM(D39&amp;""),CHAR(160),"")," ",""),"초등학교","초"),"중학교","중"),"고등학교","고"),"~","~~"),"*","~*"),"?","~?")</f>
      </c>
      <c r="Q39" t="str">
        <f>SUBSTITUTE(SUBSTITUTE(SUBSTITUTE(SUBSTITUTE(SUBSTITUTE(SUBSTITUTE(SUBSTITUTE(SUBSTITUTE(TRIM(E39&amp;""),CHAR(160),"")," ",""),"초등학교","초"),"중학교","중"),"고등학교","고"),"~","~~"),"*","~*"),"?","~?")</f>
      </c>
      <c r="R39" t="str">
        <f>IF(COUNTA(B39:J39)=0,"",IF(AND(O39&lt;&gt;"",P39&lt;&gt;"",Q39&lt;&gt;""),"","입력누락"))</f>
      </c>
    </row>
    <row r="40" customFormat="false" ht="15" hidden="false" customHeight="false" outlineLevel="0" collapsed="false">
      <c r="A40" t="n" s="19">
        <f aca="0">IF(COUNTA(B40:J40)=0,"",ROW()-1)</f>
      </c>
      <c r="B40" s="24"/>
      <c r="C40" s="25"/>
      <c r="D40" s="8"/>
      <c r="E40" s="8"/>
      <c r="F40" s="26"/>
      <c r="G40" s="24"/>
      <c r="H40" s="25"/>
      <c r="I40" s="25"/>
      <c r="J40" s="26"/>
      <c r="K40" t="str" s="15">
        <f aca="0">IF(COUNTA(B40:J40)=0,"",IF(R40&lt;&gt;"","확인필요(입력누락)",IF(COUNTIFS(보유목록!$I$2:$I$3001,"*"&amp;P40&amp;"*",보유목록!$I$2:$I$3001,"*"&amp;Q40&amp;"*",보유목록!$H$2:$H$3001,O40)&gt;0,"있음",IF(COUNTIFS(보유목록!$I$2:$I$3001,"*"&amp;P40&amp;"*",보유목록!$I$2:$I$3001,"*"&amp;Q40&amp;"*")&gt;0,"확인필요(연도다름)",IF(COUNTIFS(보유목록!$I$2:$I$3001,"*"&amp;P40&amp;"*",보유목록!$H$2:$H$3001,O40)&gt;0,"확인필요(같은학교·같은연도)","없음")))))</f>
      </c>
      <c r="L40" t="str" s="16">
        <f aca="0">IF(OR(COUNTA(B40:J40)=0,R40&lt;&gt;""),"",COUNTIFS(보유목록!$I$2:$I$3001,"*"&amp;P40&amp;"*",보유목록!$I$2:$I$3001,"*"&amp;Q40&amp;"*"))</f>
      </c>
      <c r="M40" t="str" s="23">
        <f aca="0">IF(OR(COUNTA(B40:J40)=0,R40&lt;&gt;""),"",IFERROR(LOOKUP(2,1/(ISNUMBER(SEARCH(P40,보유목록!$I$2:$I$3001))*ISNUMBER(SEARCH(Q40,보유목록!$I$2:$I$3001))*(보유목록!$H$2:$H$3001=O40)),보유목록!$B$2:$B$3001),IFERROR(LOOKUP(2,1/(ISNUMBER(SEARCH(P40,보유목록!$I$2:$I$3001))*ISNUMBER(SEARCH(Q40,보유목록!$I$2:$I$3001))),보유목록!$B$2:$B$3001),"")))</f>
      </c>
      <c r="N40" s="25"/>
      <c r="O40" t="str">
        <f>IFERROR(IF(AND(LEN(SUBSTITUTE(SUBSTITUTE(SUBSTITUTE(TRIM(C40&amp;""),CHAR(160),"")," ",""),"년",""))=4,VALUE(SUBSTITUTE(SUBSTITUTE(SUBSTITUTE(TRIM(C40&amp;""),CHAR(160),"")," ",""),"년",""))&gt;=1900,VALUE(SUBSTITUTE(SUBSTITUTE(SUBSTITUTE(TRIM(C40&amp;""),CHAR(160),"")," ",""),"년",""))&lt;=2099,TEXT(VALUE(SUBSTITUTE(SUBSTITUTE(SUBSTITUTE(TRIM(C40&amp;""),CHAR(160),"")," ",""),"년","")),"0000")=SUBSTITUTE(SUBSTITUTE(SUBSTITUTE(TRIM(C40&amp;""),CHAR(160),"")," ",""),"년","")),SUBSTITUTE(SUBSTITUTE(SUBSTITUTE(TRIM(C40&amp;""),CHAR(160),"")," ",""),"년",""),""),"")</f>
      </c>
      <c r="P40" t="str">
        <f>SUBSTITUTE(SUBSTITUTE(SUBSTITUTE(SUBSTITUTE(SUBSTITUTE(SUBSTITUTE(SUBSTITUTE(SUBSTITUTE(TRIM(D40&amp;""),CHAR(160),"")," ",""),"초등학교","초"),"중학교","중"),"고등학교","고"),"~","~~"),"*","~*"),"?","~?")</f>
      </c>
      <c r="Q40" t="str">
        <f>SUBSTITUTE(SUBSTITUTE(SUBSTITUTE(SUBSTITUTE(SUBSTITUTE(SUBSTITUTE(SUBSTITUTE(SUBSTITUTE(TRIM(E40&amp;""),CHAR(160),"")," ",""),"초등학교","초"),"중학교","중"),"고등학교","고"),"~","~~"),"*","~*"),"?","~?")</f>
      </c>
      <c r="R40" t="str">
        <f>IF(COUNTA(B40:J40)=0,"",IF(AND(O40&lt;&gt;"",P40&lt;&gt;"",Q40&lt;&gt;""),"","입력누락"))</f>
      </c>
    </row>
    <row r="41" customFormat="false" ht="15" hidden="false" customHeight="false" outlineLevel="0" collapsed="false">
      <c r="A41" t="n" s="19">
        <f aca="0">IF(COUNTA(B41:J41)=0,"",ROW()-1)</f>
      </c>
      <c r="B41" s="24"/>
      <c r="C41" s="25"/>
      <c r="D41" s="8"/>
      <c r="E41" s="8"/>
      <c r="F41" s="26"/>
      <c r="G41" s="24"/>
      <c r="H41" s="25"/>
      <c r="I41" s="25"/>
      <c r="J41" s="26"/>
      <c r="K41" t="str" s="15">
        <f aca="0">IF(COUNTA(B41:J41)=0,"",IF(R41&lt;&gt;"","확인필요(입력누락)",IF(COUNTIFS(보유목록!$I$2:$I$3001,"*"&amp;P41&amp;"*",보유목록!$I$2:$I$3001,"*"&amp;Q41&amp;"*",보유목록!$H$2:$H$3001,O41)&gt;0,"있음",IF(COUNTIFS(보유목록!$I$2:$I$3001,"*"&amp;P41&amp;"*",보유목록!$I$2:$I$3001,"*"&amp;Q41&amp;"*")&gt;0,"확인필요(연도다름)",IF(COUNTIFS(보유목록!$I$2:$I$3001,"*"&amp;P41&amp;"*",보유목록!$H$2:$H$3001,O41)&gt;0,"확인필요(같은학교·같은연도)","없음")))))</f>
      </c>
      <c r="L41" t="str" s="16">
        <f aca="0">IF(OR(COUNTA(B41:J41)=0,R41&lt;&gt;""),"",COUNTIFS(보유목록!$I$2:$I$3001,"*"&amp;P41&amp;"*",보유목록!$I$2:$I$3001,"*"&amp;Q41&amp;"*"))</f>
      </c>
      <c r="M41" t="str" s="23">
        <f aca="0">IF(OR(COUNTA(B41:J41)=0,R41&lt;&gt;""),"",IFERROR(LOOKUP(2,1/(ISNUMBER(SEARCH(P41,보유목록!$I$2:$I$3001))*ISNUMBER(SEARCH(Q41,보유목록!$I$2:$I$3001))*(보유목록!$H$2:$H$3001=O41)),보유목록!$B$2:$B$3001),IFERROR(LOOKUP(2,1/(ISNUMBER(SEARCH(P41,보유목록!$I$2:$I$3001))*ISNUMBER(SEARCH(Q41,보유목록!$I$2:$I$3001))),보유목록!$B$2:$B$3001),"")))</f>
      </c>
      <c r="N41" s="25"/>
      <c r="O41" t="str">
        <f>IFERROR(IF(AND(LEN(SUBSTITUTE(SUBSTITUTE(SUBSTITUTE(TRIM(C41&amp;""),CHAR(160),"")," ",""),"년",""))=4,VALUE(SUBSTITUTE(SUBSTITUTE(SUBSTITUTE(TRIM(C41&amp;""),CHAR(160),"")," ",""),"년",""))&gt;=1900,VALUE(SUBSTITUTE(SUBSTITUTE(SUBSTITUTE(TRIM(C41&amp;""),CHAR(160),"")," ",""),"년",""))&lt;=2099,TEXT(VALUE(SUBSTITUTE(SUBSTITUTE(SUBSTITUTE(TRIM(C41&amp;""),CHAR(160),"")," ",""),"년","")),"0000")=SUBSTITUTE(SUBSTITUTE(SUBSTITUTE(TRIM(C41&amp;""),CHAR(160),"")," ",""),"년","")),SUBSTITUTE(SUBSTITUTE(SUBSTITUTE(TRIM(C41&amp;""),CHAR(160),"")," ",""),"년",""),""),"")</f>
      </c>
      <c r="P41" t="str">
        <f>SUBSTITUTE(SUBSTITUTE(SUBSTITUTE(SUBSTITUTE(SUBSTITUTE(SUBSTITUTE(SUBSTITUTE(SUBSTITUTE(TRIM(D41&amp;""),CHAR(160),"")," ",""),"초등학교","초"),"중학교","중"),"고등학교","고"),"~","~~"),"*","~*"),"?","~?")</f>
      </c>
      <c r="Q41" t="str">
        <f>SUBSTITUTE(SUBSTITUTE(SUBSTITUTE(SUBSTITUTE(SUBSTITUTE(SUBSTITUTE(SUBSTITUTE(SUBSTITUTE(TRIM(E41&amp;""),CHAR(160),"")," ",""),"초등학교","초"),"중학교","중"),"고등학교","고"),"~","~~"),"*","~*"),"?","~?")</f>
      </c>
      <c r="R41" t="str">
        <f>IF(COUNTA(B41:J41)=0,"",IF(AND(O41&lt;&gt;"",P41&lt;&gt;"",Q41&lt;&gt;""),"","입력누락"))</f>
      </c>
    </row>
    <row r="42" customFormat="false" ht="15" hidden="false" customHeight="false" outlineLevel="0" collapsed="false">
      <c r="A42" t="n" s="19">
        <f aca="0">IF(COUNTA(B42:J42)=0,"",ROW()-1)</f>
      </c>
      <c r="B42" s="24"/>
      <c r="C42" s="25"/>
      <c r="D42" s="8"/>
      <c r="E42" s="8"/>
      <c r="F42" s="26"/>
      <c r="G42" s="24"/>
      <c r="H42" s="25"/>
      <c r="I42" s="25"/>
      <c r="J42" s="26"/>
      <c r="K42" t="str" s="15">
        <f aca="0">IF(COUNTA(B42:J42)=0,"",IF(R42&lt;&gt;"","확인필요(입력누락)",IF(COUNTIFS(보유목록!$I$2:$I$3001,"*"&amp;P42&amp;"*",보유목록!$I$2:$I$3001,"*"&amp;Q42&amp;"*",보유목록!$H$2:$H$3001,O42)&gt;0,"있음",IF(COUNTIFS(보유목록!$I$2:$I$3001,"*"&amp;P42&amp;"*",보유목록!$I$2:$I$3001,"*"&amp;Q42&amp;"*")&gt;0,"확인필요(연도다름)",IF(COUNTIFS(보유목록!$I$2:$I$3001,"*"&amp;P42&amp;"*",보유목록!$H$2:$H$3001,O42)&gt;0,"확인필요(같은학교·같은연도)","없음")))))</f>
      </c>
      <c r="L42" t="str" s="16">
        <f aca="0">IF(OR(COUNTA(B42:J42)=0,R42&lt;&gt;""),"",COUNTIFS(보유목록!$I$2:$I$3001,"*"&amp;P42&amp;"*",보유목록!$I$2:$I$3001,"*"&amp;Q42&amp;"*"))</f>
      </c>
      <c r="M42" t="str" s="23">
        <f aca="0">IF(OR(COUNTA(B42:J42)=0,R42&lt;&gt;""),"",IFERROR(LOOKUP(2,1/(ISNUMBER(SEARCH(P42,보유목록!$I$2:$I$3001))*ISNUMBER(SEARCH(Q42,보유목록!$I$2:$I$3001))*(보유목록!$H$2:$H$3001=O42)),보유목록!$B$2:$B$3001),IFERROR(LOOKUP(2,1/(ISNUMBER(SEARCH(P42,보유목록!$I$2:$I$3001))*ISNUMBER(SEARCH(Q42,보유목록!$I$2:$I$3001))),보유목록!$B$2:$B$3001),"")))</f>
      </c>
      <c r="N42" s="25"/>
      <c r="O42" t="str">
        <f>IFERROR(IF(AND(LEN(SUBSTITUTE(SUBSTITUTE(SUBSTITUTE(TRIM(C42&amp;""),CHAR(160),"")," ",""),"년",""))=4,VALUE(SUBSTITUTE(SUBSTITUTE(SUBSTITUTE(TRIM(C42&amp;""),CHAR(160),"")," ",""),"년",""))&gt;=1900,VALUE(SUBSTITUTE(SUBSTITUTE(SUBSTITUTE(TRIM(C42&amp;""),CHAR(160),"")," ",""),"년",""))&lt;=2099,TEXT(VALUE(SUBSTITUTE(SUBSTITUTE(SUBSTITUTE(TRIM(C42&amp;""),CHAR(160),"")," ",""),"년","")),"0000")=SUBSTITUTE(SUBSTITUTE(SUBSTITUTE(TRIM(C42&amp;""),CHAR(160),"")," ",""),"년","")),SUBSTITUTE(SUBSTITUTE(SUBSTITUTE(TRIM(C42&amp;""),CHAR(160),"")," ",""),"년",""),""),"")</f>
      </c>
      <c r="P42" t="str">
        <f>SUBSTITUTE(SUBSTITUTE(SUBSTITUTE(SUBSTITUTE(SUBSTITUTE(SUBSTITUTE(SUBSTITUTE(SUBSTITUTE(TRIM(D42&amp;""),CHAR(160),"")," ",""),"초등학교","초"),"중학교","중"),"고등학교","고"),"~","~~"),"*","~*"),"?","~?")</f>
      </c>
      <c r="Q42" t="str">
        <f>SUBSTITUTE(SUBSTITUTE(SUBSTITUTE(SUBSTITUTE(SUBSTITUTE(SUBSTITUTE(SUBSTITUTE(SUBSTITUTE(TRIM(E42&amp;""),CHAR(160),"")," ",""),"초등학교","초"),"중학교","중"),"고등학교","고"),"~","~~"),"*","~*"),"?","~?")</f>
      </c>
      <c r="R42" t="str">
        <f>IF(COUNTA(B42:J42)=0,"",IF(AND(O42&lt;&gt;"",P42&lt;&gt;"",Q42&lt;&gt;""),"","입력누락"))</f>
      </c>
    </row>
    <row r="43" customFormat="false" ht="15" hidden="false" customHeight="false" outlineLevel="0" collapsed="false">
      <c r="A43" t="n" s="19">
        <f aca="0">IF(COUNTA(B43:J43)=0,"",ROW()-1)</f>
      </c>
      <c r="B43" s="24"/>
      <c r="C43" s="25"/>
      <c r="D43" s="8"/>
      <c r="E43" s="8"/>
      <c r="F43" s="26"/>
      <c r="G43" s="24"/>
      <c r="H43" s="25"/>
      <c r="I43" s="25"/>
      <c r="J43" s="26"/>
      <c r="K43" t="str" s="15">
        <f aca="0">IF(COUNTA(B43:J43)=0,"",IF(R43&lt;&gt;"","확인필요(입력누락)",IF(COUNTIFS(보유목록!$I$2:$I$3001,"*"&amp;P43&amp;"*",보유목록!$I$2:$I$3001,"*"&amp;Q43&amp;"*",보유목록!$H$2:$H$3001,O43)&gt;0,"있음",IF(COUNTIFS(보유목록!$I$2:$I$3001,"*"&amp;P43&amp;"*",보유목록!$I$2:$I$3001,"*"&amp;Q43&amp;"*")&gt;0,"확인필요(연도다름)",IF(COUNTIFS(보유목록!$I$2:$I$3001,"*"&amp;P43&amp;"*",보유목록!$H$2:$H$3001,O43)&gt;0,"확인필요(같은학교·같은연도)","없음")))))</f>
      </c>
      <c r="L43" t="str" s="16">
        <f aca="0">IF(OR(COUNTA(B43:J43)=0,R43&lt;&gt;""),"",COUNTIFS(보유목록!$I$2:$I$3001,"*"&amp;P43&amp;"*",보유목록!$I$2:$I$3001,"*"&amp;Q43&amp;"*"))</f>
      </c>
      <c r="M43" t="str" s="23">
        <f aca="0">IF(OR(COUNTA(B43:J43)=0,R43&lt;&gt;""),"",IFERROR(LOOKUP(2,1/(ISNUMBER(SEARCH(P43,보유목록!$I$2:$I$3001))*ISNUMBER(SEARCH(Q43,보유목록!$I$2:$I$3001))*(보유목록!$H$2:$H$3001=O43)),보유목록!$B$2:$B$3001),IFERROR(LOOKUP(2,1/(ISNUMBER(SEARCH(P43,보유목록!$I$2:$I$3001))*ISNUMBER(SEARCH(Q43,보유목록!$I$2:$I$3001))),보유목록!$B$2:$B$3001),"")))</f>
      </c>
      <c r="N43" s="25"/>
      <c r="O43" t="str">
        <f>IFERROR(IF(AND(LEN(SUBSTITUTE(SUBSTITUTE(SUBSTITUTE(TRIM(C43&amp;""),CHAR(160),"")," ",""),"년",""))=4,VALUE(SUBSTITUTE(SUBSTITUTE(SUBSTITUTE(TRIM(C43&amp;""),CHAR(160),"")," ",""),"년",""))&gt;=1900,VALUE(SUBSTITUTE(SUBSTITUTE(SUBSTITUTE(TRIM(C43&amp;""),CHAR(160),"")," ",""),"년",""))&lt;=2099,TEXT(VALUE(SUBSTITUTE(SUBSTITUTE(SUBSTITUTE(TRIM(C43&amp;""),CHAR(160),"")," ",""),"년","")),"0000")=SUBSTITUTE(SUBSTITUTE(SUBSTITUTE(TRIM(C43&amp;""),CHAR(160),"")," ",""),"년","")),SUBSTITUTE(SUBSTITUTE(SUBSTITUTE(TRIM(C43&amp;""),CHAR(160),"")," ",""),"년",""),""),"")</f>
      </c>
      <c r="P43" t="str">
        <f>SUBSTITUTE(SUBSTITUTE(SUBSTITUTE(SUBSTITUTE(SUBSTITUTE(SUBSTITUTE(SUBSTITUTE(SUBSTITUTE(TRIM(D43&amp;""),CHAR(160),"")," ",""),"초등학교","초"),"중학교","중"),"고등학교","고"),"~","~~"),"*","~*"),"?","~?")</f>
      </c>
      <c r="Q43" t="str">
        <f>SUBSTITUTE(SUBSTITUTE(SUBSTITUTE(SUBSTITUTE(SUBSTITUTE(SUBSTITUTE(SUBSTITUTE(SUBSTITUTE(TRIM(E43&amp;""),CHAR(160),"")," ",""),"초등학교","초"),"중학교","중"),"고등학교","고"),"~","~~"),"*","~*"),"?","~?")</f>
      </c>
      <c r="R43" t="str">
        <f>IF(COUNTA(B43:J43)=0,"",IF(AND(O43&lt;&gt;"",P43&lt;&gt;"",Q43&lt;&gt;""),"","입력누락"))</f>
      </c>
    </row>
    <row r="44" customFormat="false" ht="15" hidden="false" customHeight="false" outlineLevel="0" collapsed="false">
      <c r="A44" t="n" s="19">
        <f aca="0">IF(COUNTA(B44:J44)=0,"",ROW()-1)</f>
      </c>
      <c r="B44" s="24"/>
      <c r="C44" s="25"/>
      <c r="D44" s="8"/>
      <c r="E44" s="8"/>
      <c r="F44" s="26"/>
      <c r="G44" s="24"/>
      <c r="H44" s="25"/>
      <c r="I44" s="25"/>
      <c r="J44" s="26"/>
      <c r="K44" t="str" s="15">
        <f aca="0">IF(COUNTA(B44:J44)=0,"",IF(R44&lt;&gt;"","확인필요(입력누락)",IF(COUNTIFS(보유목록!$I$2:$I$3001,"*"&amp;P44&amp;"*",보유목록!$I$2:$I$3001,"*"&amp;Q44&amp;"*",보유목록!$H$2:$H$3001,O44)&gt;0,"있음",IF(COUNTIFS(보유목록!$I$2:$I$3001,"*"&amp;P44&amp;"*",보유목록!$I$2:$I$3001,"*"&amp;Q44&amp;"*")&gt;0,"확인필요(연도다름)",IF(COUNTIFS(보유목록!$I$2:$I$3001,"*"&amp;P44&amp;"*",보유목록!$H$2:$H$3001,O44)&gt;0,"확인필요(같은학교·같은연도)","없음")))))</f>
      </c>
      <c r="L44" t="str" s="16">
        <f aca="0">IF(OR(COUNTA(B44:J44)=0,R44&lt;&gt;""),"",COUNTIFS(보유목록!$I$2:$I$3001,"*"&amp;P44&amp;"*",보유목록!$I$2:$I$3001,"*"&amp;Q44&amp;"*"))</f>
      </c>
      <c r="M44" t="str" s="23">
        <f aca="0">IF(OR(COUNTA(B44:J44)=0,R44&lt;&gt;""),"",IFERROR(LOOKUP(2,1/(ISNUMBER(SEARCH(P44,보유목록!$I$2:$I$3001))*ISNUMBER(SEARCH(Q44,보유목록!$I$2:$I$3001))*(보유목록!$H$2:$H$3001=O44)),보유목록!$B$2:$B$3001),IFERROR(LOOKUP(2,1/(ISNUMBER(SEARCH(P44,보유목록!$I$2:$I$3001))*ISNUMBER(SEARCH(Q44,보유목록!$I$2:$I$3001))),보유목록!$B$2:$B$3001),"")))</f>
      </c>
      <c r="N44" s="25"/>
      <c r="O44" t="str">
        <f>IFERROR(IF(AND(LEN(SUBSTITUTE(SUBSTITUTE(SUBSTITUTE(TRIM(C44&amp;""),CHAR(160),"")," ",""),"년",""))=4,VALUE(SUBSTITUTE(SUBSTITUTE(SUBSTITUTE(TRIM(C44&amp;""),CHAR(160),"")," ",""),"년",""))&gt;=1900,VALUE(SUBSTITUTE(SUBSTITUTE(SUBSTITUTE(TRIM(C44&amp;""),CHAR(160),"")," ",""),"년",""))&lt;=2099,TEXT(VALUE(SUBSTITUTE(SUBSTITUTE(SUBSTITUTE(TRIM(C44&amp;""),CHAR(160),"")," ",""),"년","")),"0000")=SUBSTITUTE(SUBSTITUTE(SUBSTITUTE(TRIM(C44&amp;""),CHAR(160),"")," ",""),"년","")),SUBSTITUTE(SUBSTITUTE(SUBSTITUTE(TRIM(C44&amp;""),CHAR(160),"")," ",""),"년",""),""),"")</f>
      </c>
      <c r="P44" t="str">
        <f>SUBSTITUTE(SUBSTITUTE(SUBSTITUTE(SUBSTITUTE(SUBSTITUTE(SUBSTITUTE(SUBSTITUTE(SUBSTITUTE(TRIM(D44&amp;""),CHAR(160),"")," ",""),"초등학교","초"),"중학교","중"),"고등학교","고"),"~","~~"),"*","~*"),"?","~?")</f>
      </c>
      <c r="Q44" t="str">
        <f>SUBSTITUTE(SUBSTITUTE(SUBSTITUTE(SUBSTITUTE(SUBSTITUTE(SUBSTITUTE(SUBSTITUTE(SUBSTITUTE(TRIM(E44&amp;""),CHAR(160),"")," ",""),"초등학교","초"),"중학교","중"),"고등학교","고"),"~","~~"),"*","~*"),"?","~?")</f>
      </c>
      <c r="R44" t="str">
        <f>IF(COUNTA(B44:J44)=0,"",IF(AND(O44&lt;&gt;"",P44&lt;&gt;"",Q44&lt;&gt;""),"","입력누락"))</f>
      </c>
    </row>
    <row r="45" customFormat="false" ht="15" hidden="false" customHeight="false" outlineLevel="0" collapsed="false">
      <c r="A45" t="n" s="19">
        <f aca="0">IF(COUNTA(B45:J45)=0,"",ROW()-1)</f>
      </c>
      <c r="B45" s="24"/>
      <c r="C45" s="25"/>
      <c r="D45" s="8"/>
      <c r="E45" s="8"/>
      <c r="F45" s="26"/>
      <c r="G45" s="24"/>
      <c r="H45" s="25"/>
      <c r="I45" s="25"/>
      <c r="J45" s="26"/>
      <c r="K45" t="str" s="15">
        <f aca="0">IF(COUNTA(B45:J45)=0,"",IF(R45&lt;&gt;"","확인필요(입력누락)",IF(COUNTIFS(보유목록!$I$2:$I$3001,"*"&amp;P45&amp;"*",보유목록!$I$2:$I$3001,"*"&amp;Q45&amp;"*",보유목록!$H$2:$H$3001,O45)&gt;0,"있음",IF(COUNTIFS(보유목록!$I$2:$I$3001,"*"&amp;P45&amp;"*",보유목록!$I$2:$I$3001,"*"&amp;Q45&amp;"*")&gt;0,"확인필요(연도다름)",IF(COUNTIFS(보유목록!$I$2:$I$3001,"*"&amp;P45&amp;"*",보유목록!$H$2:$H$3001,O45)&gt;0,"확인필요(같은학교·같은연도)","없음")))))</f>
      </c>
      <c r="L45" t="str" s="16">
        <f aca="0">IF(OR(COUNTA(B45:J45)=0,R45&lt;&gt;""),"",COUNTIFS(보유목록!$I$2:$I$3001,"*"&amp;P45&amp;"*",보유목록!$I$2:$I$3001,"*"&amp;Q45&amp;"*"))</f>
      </c>
      <c r="M45" t="str" s="23">
        <f aca="0">IF(OR(COUNTA(B45:J45)=0,R45&lt;&gt;""),"",IFERROR(LOOKUP(2,1/(ISNUMBER(SEARCH(P45,보유목록!$I$2:$I$3001))*ISNUMBER(SEARCH(Q45,보유목록!$I$2:$I$3001))*(보유목록!$H$2:$H$3001=O45)),보유목록!$B$2:$B$3001),IFERROR(LOOKUP(2,1/(ISNUMBER(SEARCH(P45,보유목록!$I$2:$I$3001))*ISNUMBER(SEARCH(Q45,보유목록!$I$2:$I$3001))),보유목록!$B$2:$B$3001),"")))</f>
      </c>
      <c r="N45" s="25"/>
      <c r="O45" t="str">
        <f>IFERROR(IF(AND(LEN(SUBSTITUTE(SUBSTITUTE(SUBSTITUTE(TRIM(C45&amp;""),CHAR(160),"")," ",""),"년",""))=4,VALUE(SUBSTITUTE(SUBSTITUTE(SUBSTITUTE(TRIM(C45&amp;""),CHAR(160),"")," ",""),"년",""))&gt;=1900,VALUE(SUBSTITUTE(SUBSTITUTE(SUBSTITUTE(TRIM(C45&amp;""),CHAR(160),"")," ",""),"년",""))&lt;=2099,TEXT(VALUE(SUBSTITUTE(SUBSTITUTE(SUBSTITUTE(TRIM(C45&amp;""),CHAR(160),"")," ",""),"년","")),"0000")=SUBSTITUTE(SUBSTITUTE(SUBSTITUTE(TRIM(C45&amp;""),CHAR(160),"")," ",""),"년","")),SUBSTITUTE(SUBSTITUTE(SUBSTITUTE(TRIM(C45&amp;""),CHAR(160),"")," ",""),"년",""),""),"")</f>
      </c>
      <c r="P45" t="str">
        <f>SUBSTITUTE(SUBSTITUTE(SUBSTITUTE(SUBSTITUTE(SUBSTITUTE(SUBSTITUTE(SUBSTITUTE(SUBSTITUTE(TRIM(D45&amp;""),CHAR(160),"")," ",""),"초등학교","초"),"중학교","중"),"고등학교","고"),"~","~~"),"*","~*"),"?","~?")</f>
      </c>
      <c r="Q45" t="str">
        <f>SUBSTITUTE(SUBSTITUTE(SUBSTITUTE(SUBSTITUTE(SUBSTITUTE(SUBSTITUTE(SUBSTITUTE(SUBSTITUTE(TRIM(E45&amp;""),CHAR(160),"")," ",""),"초등학교","초"),"중학교","중"),"고등학교","고"),"~","~~"),"*","~*"),"?","~?")</f>
      </c>
      <c r="R45" t="str">
        <f>IF(COUNTA(B45:J45)=0,"",IF(AND(O45&lt;&gt;"",P45&lt;&gt;"",Q45&lt;&gt;""),"","입력누락"))</f>
      </c>
    </row>
    <row r="46" customFormat="false" ht="15" hidden="false" customHeight="false" outlineLevel="0" collapsed="false">
      <c r="A46" t="n" s="19">
        <f aca="0">IF(COUNTA(B46:J46)=0,"",ROW()-1)</f>
      </c>
      <c r="B46" s="24"/>
      <c r="C46" s="25"/>
      <c r="D46" s="8"/>
      <c r="E46" s="8"/>
      <c r="F46" s="26"/>
      <c r="G46" s="24"/>
      <c r="H46" s="25"/>
      <c r="I46" s="25"/>
      <c r="J46" s="26"/>
      <c r="K46" t="str" s="15">
        <f aca="0">IF(COUNTA(B46:J46)=0,"",IF(R46&lt;&gt;"","확인필요(입력누락)",IF(COUNTIFS(보유목록!$I$2:$I$3001,"*"&amp;P46&amp;"*",보유목록!$I$2:$I$3001,"*"&amp;Q46&amp;"*",보유목록!$H$2:$H$3001,O46)&gt;0,"있음",IF(COUNTIFS(보유목록!$I$2:$I$3001,"*"&amp;P46&amp;"*",보유목록!$I$2:$I$3001,"*"&amp;Q46&amp;"*")&gt;0,"확인필요(연도다름)",IF(COUNTIFS(보유목록!$I$2:$I$3001,"*"&amp;P46&amp;"*",보유목록!$H$2:$H$3001,O46)&gt;0,"확인필요(같은학교·같은연도)","없음")))))</f>
      </c>
      <c r="L46" t="str" s="16">
        <f aca="0">IF(OR(COUNTA(B46:J46)=0,R46&lt;&gt;""),"",COUNTIFS(보유목록!$I$2:$I$3001,"*"&amp;P46&amp;"*",보유목록!$I$2:$I$3001,"*"&amp;Q46&amp;"*"))</f>
      </c>
      <c r="M46" t="str" s="23">
        <f aca="0">IF(OR(COUNTA(B46:J46)=0,R46&lt;&gt;""),"",IFERROR(LOOKUP(2,1/(ISNUMBER(SEARCH(P46,보유목록!$I$2:$I$3001))*ISNUMBER(SEARCH(Q46,보유목록!$I$2:$I$3001))*(보유목록!$H$2:$H$3001=O46)),보유목록!$B$2:$B$3001),IFERROR(LOOKUP(2,1/(ISNUMBER(SEARCH(P46,보유목록!$I$2:$I$3001))*ISNUMBER(SEARCH(Q46,보유목록!$I$2:$I$3001))),보유목록!$B$2:$B$3001),"")))</f>
      </c>
      <c r="N46" s="25"/>
      <c r="O46" t="str">
        <f>IFERROR(IF(AND(LEN(SUBSTITUTE(SUBSTITUTE(SUBSTITUTE(TRIM(C46&amp;""),CHAR(160),"")," ",""),"년",""))=4,VALUE(SUBSTITUTE(SUBSTITUTE(SUBSTITUTE(TRIM(C46&amp;""),CHAR(160),"")," ",""),"년",""))&gt;=1900,VALUE(SUBSTITUTE(SUBSTITUTE(SUBSTITUTE(TRIM(C46&amp;""),CHAR(160),"")," ",""),"년",""))&lt;=2099,TEXT(VALUE(SUBSTITUTE(SUBSTITUTE(SUBSTITUTE(TRIM(C46&amp;""),CHAR(160),"")," ",""),"년","")),"0000")=SUBSTITUTE(SUBSTITUTE(SUBSTITUTE(TRIM(C46&amp;""),CHAR(160),"")," ",""),"년","")),SUBSTITUTE(SUBSTITUTE(SUBSTITUTE(TRIM(C46&amp;""),CHAR(160),"")," ",""),"년",""),""),"")</f>
      </c>
      <c r="P46" t="str">
        <f>SUBSTITUTE(SUBSTITUTE(SUBSTITUTE(SUBSTITUTE(SUBSTITUTE(SUBSTITUTE(SUBSTITUTE(SUBSTITUTE(TRIM(D46&amp;""),CHAR(160),"")," ",""),"초등학교","초"),"중학교","중"),"고등학교","고"),"~","~~"),"*","~*"),"?","~?")</f>
      </c>
      <c r="Q46" t="str">
        <f>SUBSTITUTE(SUBSTITUTE(SUBSTITUTE(SUBSTITUTE(SUBSTITUTE(SUBSTITUTE(SUBSTITUTE(SUBSTITUTE(TRIM(E46&amp;""),CHAR(160),"")," ",""),"초등학교","초"),"중학교","중"),"고등학교","고"),"~","~~"),"*","~*"),"?","~?")</f>
      </c>
      <c r="R46" t="str">
        <f>IF(COUNTA(B46:J46)=0,"",IF(AND(O46&lt;&gt;"",P46&lt;&gt;"",Q46&lt;&gt;""),"","입력누락"))</f>
      </c>
    </row>
    <row r="47" customFormat="false" ht="15" hidden="false" customHeight="false" outlineLevel="0" collapsed="false">
      <c r="A47" t="n" s="19">
        <f aca="0">IF(COUNTA(B47:J47)=0,"",ROW()-1)</f>
      </c>
      <c r="B47" s="24"/>
      <c r="C47" s="25"/>
      <c r="D47" s="8"/>
      <c r="E47" s="8"/>
      <c r="F47" s="26"/>
      <c r="G47" s="24"/>
      <c r="H47" s="25"/>
      <c r="I47" s="25"/>
      <c r="J47" s="26"/>
      <c r="K47" t="str" s="15">
        <f aca="0">IF(COUNTA(B47:J47)=0,"",IF(R47&lt;&gt;"","확인필요(입력누락)",IF(COUNTIFS(보유목록!$I$2:$I$3001,"*"&amp;P47&amp;"*",보유목록!$I$2:$I$3001,"*"&amp;Q47&amp;"*",보유목록!$H$2:$H$3001,O47)&gt;0,"있음",IF(COUNTIFS(보유목록!$I$2:$I$3001,"*"&amp;P47&amp;"*",보유목록!$I$2:$I$3001,"*"&amp;Q47&amp;"*")&gt;0,"확인필요(연도다름)",IF(COUNTIFS(보유목록!$I$2:$I$3001,"*"&amp;P47&amp;"*",보유목록!$H$2:$H$3001,O47)&gt;0,"확인필요(같은학교·같은연도)","없음")))))</f>
      </c>
      <c r="L47" t="str" s="16">
        <f aca="0">IF(OR(COUNTA(B47:J47)=0,R47&lt;&gt;""),"",COUNTIFS(보유목록!$I$2:$I$3001,"*"&amp;P47&amp;"*",보유목록!$I$2:$I$3001,"*"&amp;Q47&amp;"*"))</f>
      </c>
      <c r="M47" t="str" s="23">
        <f aca="0">IF(OR(COUNTA(B47:J47)=0,R47&lt;&gt;""),"",IFERROR(LOOKUP(2,1/(ISNUMBER(SEARCH(P47,보유목록!$I$2:$I$3001))*ISNUMBER(SEARCH(Q47,보유목록!$I$2:$I$3001))*(보유목록!$H$2:$H$3001=O47)),보유목록!$B$2:$B$3001),IFERROR(LOOKUP(2,1/(ISNUMBER(SEARCH(P47,보유목록!$I$2:$I$3001))*ISNUMBER(SEARCH(Q47,보유목록!$I$2:$I$3001))),보유목록!$B$2:$B$3001),"")))</f>
      </c>
      <c r="N47" s="25"/>
      <c r="O47" t="str">
        <f>IFERROR(IF(AND(LEN(SUBSTITUTE(SUBSTITUTE(SUBSTITUTE(TRIM(C47&amp;""),CHAR(160),"")," ",""),"년",""))=4,VALUE(SUBSTITUTE(SUBSTITUTE(SUBSTITUTE(TRIM(C47&amp;""),CHAR(160),"")," ",""),"년",""))&gt;=1900,VALUE(SUBSTITUTE(SUBSTITUTE(SUBSTITUTE(TRIM(C47&amp;""),CHAR(160),"")," ",""),"년",""))&lt;=2099,TEXT(VALUE(SUBSTITUTE(SUBSTITUTE(SUBSTITUTE(TRIM(C47&amp;""),CHAR(160),"")," ",""),"년","")),"0000")=SUBSTITUTE(SUBSTITUTE(SUBSTITUTE(TRIM(C47&amp;""),CHAR(160),"")," ",""),"년","")),SUBSTITUTE(SUBSTITUTE(SUBSTITUTE(TRIM(C47&amp;""),CHAR(160),"")," ",""),"년",""),""),"")</f>
      </c>
      <c r="P47" t="str">
        <f>SUBSTITUTE(SUBSTITUTE(SUBSTITUTE(SUBSTITUTE(SUBSTITUTE(SUBSTITUTE(SUBSTITUTE(SUBSTITUTE(TRIM(D47&amp;""),CHAR(160),"")," ",""),"초등학교","초"),"중학교","중"),"고등학교","고"),"~","~~"),"*","~*"),"?","~?")</f>
      </c>
      <c r="Q47" t="str">
        <f>SUBSTITUTE(SUBSTITUTE(SUBSTITUTE(SUBSTITUTE(SUBSTITUTE(SUBSTITUTE(SUBSTITUTE(SUBSTITUTE(TRIM(E47&amp;""),CHAR(160),"")," ",""),"초등학교","초"),"중학교","중"),"고등학교","고"),"~","~~"),"*","~*"),"?","~?")</f>
      </c>
      <c r="R47" t="str">
        <f>IF(COUNTA(B47:J47)=0,"",IF(AND(O47&lt;&gt;"",P47&lt;&gt;"",Q47&lt;&gt;""),"","입력누락"))</f>
      </c>
    </row>
    <row r="48" customFormat="false" ht="15" hidden="false" customHeight="false" outlineLevel="0" collapsed="false">
      <c r="A48" t="n" s="19">
        <f aca="0">IF(COUNTA(B48:J48)=0,"",ROW()-1)</f>
      </c>
      <c r="B48" s="24"/>
      <c r="C48" s="25"/>
      <c r="D48" s="8"/>
      <c r="E48" s="8"/>
      <c r="F48" s="26"/>
      <c r="G48" s="24"/>
      <c r="H48" s="25"/>
      <c r="I48" s="25"/>
      <c r="J48" s="26"/>
      <c r="K48" t="str" s="15">
        <f aca="0">IF(COUNTA(B48:J48)=0,"",IF(R48&lt;&gt;"","확인필요(입력누락)",IF(COUNTIFS(보유목록!$I$2:$I$3001,"*"&amp;P48&amp;"*",보유목록!$I$2:$I$3001,"*"&amp;Q48&amp;"*",보유목록!$H$2:$H$3001,O48)&gt;0,"있음",IF(COUNTIFS(보유목록!$I$2:$I$3001,"*"&amp;P48&amp;"*",보유목록!$I$2:$I$3001,"*"&amp;Q48&amp;"*")&gt;0,"확인필요(연도다름)",IF(COUNTIFS(보유목록!$I$2:$I$3001,"*"&amp;P48&amp;"*",보유목록!$H$2:$H$3001,O48)&gt;0,"확인필요(같은학교·같은연도)","없음")))))</f>
      </c>
      <c r="L48" t="str" s="16">
        <f aca="0">IF(OR(COUNTA(B48:J48)=0,R48&lt;&gt;""),"",COUNTIFS(보유목록!$I$2:$I$3001,"*"&amp;P48&amp;"*",보유목록!$I$2:$I$3001,"*"&amp;Q48&amp;"*"))</f>
      </c>
      <c r="M48" t="str" s="23">
        <f aca="0">IF(OR(COUNTA(B48:J48)=0,R48&lt;&gt;""),"",IFERROR(LOOKUP(2,1/(ISNUMBER(SEARCH(P48,보유목록!$I$2:$I$3001))*ISNUMBER(SEARCH(Q48,보유목록!$I$2:$I$3001))*(보유목록!$H$2:$H$3001=O48)),보유목록!$B$2:$B$3001),IFERROR(LOOKUP(2,1/(ISNUMBER(SEARCH(P48,보유목록!$I$2:$I$3001))*ISNUMBER(SEARCH(Q48,보유목록!$I$2:$I$3001))),보유목록!$B$2:$B$3001),"")))</f>
      </c>
      <c r="N48" s="25"/>
      <c r="O48" t="str">
        <f>IFERROR(IF(AND(LEN(SUBSTITUTE(SUBSTITUTE(SUBSTITUTE(TRIM(C48&amp;""),CHAR(160),"")," ",""),"년",""))=4,VALUE(SUBSTITUTE(SUBSTITUTE(SUBSTITUTE(TRIM(C48&amp;""),CHAR(160),"")," ",""),"년",""))&gt;=1900,VALUE(SUBSTITUTE(SUBSTITUTE(SUBSTITUTE(TRIM(C48&amp;""),CHAR(160),"")," ",""),"년",""))&lt;=2099,TEXT(VALUE(SUBSTITUTE(SUBSTITUTE(SUBSTITUTE(TRIM(C48&amp;""),CHAR(160),"")," ",""),"년","")),"0000")=SUBSTITUTE(SUBSTITUTE(SUBSTITUTE(TRIM(C48&amp;""),CHAR(160),"")," ",""),"년","")),SUBSTITUTE(SUBSTITUTE(SUBSTITUTE(TRIM(C48&amp;""),CHAR(160),"")," ",""),"년",""),""),"")</f>
      </c>
      <c r="P48" t="str">
        <f>SUBSTITUTE(SUBSTITUTE(SUBSTITUTE(SUBSTITUTE(SUBSTITUTE(SUBSTITUTE(SUBSTITUTE(SUBSTITUTE(TRIM(D48&amp;""),CHAR(160),"")," ",""),"초등학교","초"),"중학교","중"),"고등학교","고"),"~","~~"),"*","~*"),"?","~?")</f>
      </c>
      <c r="Q48" t="str">
        <f>SUBSTITUTE(SUBSTITUTE(SUBSTITUTE(SUBSTITUTE(SUBSTITUTE(SUBSTITUTE(SUBSTITUTE(SUBSTITUTE(TRIM(E48&amp;""),CHAR(160),"")," ",""),"초등학교","초"),"중학교","중"),"고등학교","고"),"~","~~"),"*","~*"),"?","~?")</f>
      </c>
      <c r="R48" t="str">
        <f>IF(COUNTA(B48:J48)=0,"",IF(AND(O48&lt;&gt;"",P48&lt;&gt;"",Q48&lt;&gt;""),"","입력누락"))</f>
      </c>
    </row>
    <row r="49" customFormat="false" ht="15" hidden="false" customHeight="false" outlineLevel="0" collapsed="false">
      <c r="A49" t="n" s="19">
        <f aca="0">IF(COUNTA(B49:J49)=0,"",ROW()-1)</f>
      </c>
      <c r="B49" s="24"/>
      <c r="C49" s="25"/>
      <c r="D49" s="8"/>
      <c r="E49" s="8"/>
      <c r="F49" s="26"/>
      <c r="G49" s="24"/>
      <c r="H49" s="25"/>
      <c r="I49" s="25"/>
      <c r="J49" s="26"/>
      <c r="K49" t="str" s="15">
        <f aca="0">IF(COUNTA(B49:J49)=0,"",IF(R49&lt;&gt;"","확인필요(입력누락)",IF(COUNTIFS(보유목록!$I$2:$I$3001,"*"&amp;P49&amp;"*",보유목록!$I$2:$I$3001,"*"&amp;Q49&amp;"*",보유목록!$H$2:$H$3001,O49)&gt;0,"있음",IF(COUNTIFS(보유목록!$I$2:$I$3001,"*"&amp;P49&amp;"*",보유목록!$I$2:$I$3001,"*"&amp;Q49&amp;"*")&gt;0,"확인필요(연도다름)",IF(COUNTIFS(보유목록!$I$2:$I$3001,"*"&amp;P49&amp;"*",보유목록!$H$2:$H$3001,O49)&gt;0,"확인필요(같은학교·같은연도)","없음")))))</f>
      </c>
      <c r="L49" t="str" s="16">
        <f aca="0">IF(OR(COUNTA(B49:J49)=0,R49&lt;&gt;""),"",COUNTIFS(보유목록!$I$2:$I$3001,"*"&amp;P49&amp;"*",보유목록!$I$2:$I$3001,"*"&amp;Q49&amp;"*"))</f>
      </c>
      <c r="M49" t="str" s="23">
        <f aca="0">IF(OR(COUNTA(B49:J49)=0,R49&lt;&gt;""),"",IFERROR(LOOKUP(2,1/(ISNUMBER(SEARCH(P49,보유목록!$I$2:$I$3001))*ISNUMBER(SEARCH(Q49,보유목록!$I$2:$I$3001))*(보유목록!$H$2:$H$3001=O49)),보유목록!$B$2:$B$3001),IFERROR(LOOKUP(2,1/(ISNUMBER(SEARCH(P49,보유목록!$I$2:$I$3001))*ISNUMBER(SEARCH(Q49,보유목록!$I$2:$I$3001))),보유목록!$B$2:$B$3001),"")))</f>
      </c>
      <c r="N49" s="25"/>
      <c r="O49" t="str">
        <f>IFERROR(IF(AND(LEN(SUBSTITUTE(SUBSTITUTE(SUBSTITUTE(TRIM(C49&amp;""),CHAR(160),"")," ",""),"년",""))=4,VALUE(SUBSTITUTE(SUBSTITUTE(SUBSTITUTE(TRIM(C49&amp;""),CHAR(160),"")," ",""),"년",""))&gt;=1900,VALUE(SUBSTITUTE(SUBSTITUTE(SUBSTITUTE(TRIM(C49&amp;""),CHAR(160),"")," ",""),"년",""))&lt;=2099,TEXT(VALUE(SUBSTITUTE(SUBSTITUTE(SUBSTITUTE(TRIM(C49&amp;""),CHAR(160),"")," ",""),"년","")),"0000")=SUBSTITUTE(SUBSTITUTE(SUBSTITUTE(TRIM(C49&amp;""),CHAR(160),"")," ",""),"년","")),SUBSTITUTE(SUBSTITUTE(SUBSTITUTE(TRIM(C49&amp;""),CHAR(160),"")," ",""),"년",""),""),"")</f>
      </c>
      <c r="P49" t="str">
        <f>SUBSTITUTE(SUBSTITUTE(SUBSTITUTE(SUBSTITUTE(SUBSTITUTE(SUBSTITUTE(SUBSTITUTE(SUBSTITUTE(TRIM(D49&amp;""),CHAR(160),"")," ",""),"초등학교","초"),"중학교","중"),"고등학교","고"),"~","~~"),"*","~*"),"?","~?")</f>
      </c>
      <c r="Q49" t="str">
        <f>SUBSTITUTE(SUBSTITUTE(SUBSTITUTE(SUBSTITUTE(SUBSTITUTE(SUBSTITUTE(SUBSTITUTE(SUBSTITUTE(TRIM(E49&amp;""),CHAR(160),"")," ",""),"초등학교","초"),"중학교","중"),"고등학교","고"),"~","~~"),"*","~*"),"?","~?")</f>
      </c>
      <c r="R49" t="str">
        <f>IF(COUNTA(B49:J49)=0,"",IF(AND(O49&lt;&gt;"",P49&lt;&gt;"",Q49&lt;&gt;""),"","입력누락"))</f>
      </c>
    </row>
    <row r="50" customFormat="false" ht="15" hidden="false" customHeight="false" outlineLevel="0" collapsed="false">
      <c r="A50" t="n" s="19">
        <f aca="0">IF(COUNTA(B50:J50)=0,"",ROW()-1)</f>
      </c>
      <c r="B50" s="24"/>
      <c r="C50" s="25"/>
      <c r="D50" s="8"/>
      <c r="E50" s="8"/>
      <c r="F50" s="26"/>
      <c r="G50" s="24"/>
      <c r="H50" s="25"/>
      <c r="I50" s="25"/>
      <c r="J50" s="26"/>
      <c r="K50" t="str" s="15">
        <f aca="0">IF(COUNTA(B50:J50)=0,"",IF(R50&lt;&gt;"","확인필요(입력누락)",IF(COUNTIFS(보유목록!$I$2:$I$3001,"*"&amp;P50&amp;"*",보유목록!$I$2:$I$3001,"*"&amp;Q50&amp;"*",보유목록!$H$2:$H$3001,O50)&gt;0,"있음",IF(COUNTIFS(보유목록!$I$2:$I$3001,"*"&amp;P50&amp;"*",보유목록!$I$2:$I$3001,"*"&amp;Q50&amp;"*")&gt;0,"확인필요(연도다름)",IF(COUNTIFS(보유목록!$I$2:$I$3001,"*"&amp;P50&amp;"*",보유목록!$H$2:$H$3001,O50)&gt;0,"확인필요(같은학교·같은연도)","없음")))))</f>
      </c>
      <c r="L50" t="str" s="16">
        <f aca="0">IF(OR(COUNTA(B50:J50)=0,R50&lt;&gt;""),"",COUNTIFS(보유목록!$I$2:$I$3001,"*"&amp;P50&amp;"*",보유목록!$I$2:$I$3001,"*"&amp;Q50&amp;"*"))</f>
      </c>
      <c r="M50" t="str" s="23">
        <f aca="0">IF(OR(COUNTA(B50:J50)=0,R50&lt;&gt;""),"",IFERROR(LOOKUP(2,1/(ISNUMBER(SEARCH(P50,보유목록!$I$2:$I$3001))*ISNUMBER(SEARCH(Q50,보유목록!$I$2:$I$3001))*(보유목록!$H$2:$H$3001=O50)),보유목록!$B$2:$B$3001),IFERROR(LOOKUP(2,1/(ISNUMBER(SEARCH(P50,보유목록!$I$2:$I$3001))*ISNUMBER(SEARCH(Q50,보유목록!$I$2:$I$3001))),보유목록!$B$2:$B$3001),"")))</f>
      </c>
      <c r="N50" s="25"/>
      <c r="O50" t="str">
        <f>IFERROR(IF(AND(LEN(SUBSTITUTE(SUBSTITUTE(SUBSTITUTE(TRIM(C50&amp;""),CHAR(160),"")," ",""),"년",""))=4,VALUE(SUBSTITUTE(SUBSTITUTE(SUBSTITUTE(TRIM(C50&amp;""),CHAR(160),"")," ",""),"년",""))&gt;=1900,VALUE(SUBSTITUTE(SUBSTITUTE(SUBSTITUTE(TRIM(C50&amp;""),CHAR(160),"")," ",""),"년",""))&lt;=2099,TEXT(VALUE(SUBSTITUTE(SUBSTITUTE(SUBSTITUTE(TRIM(C50&amp;""),CHAR(160),"")," ",""),"년","")),"0000")=SUBSTITUTE(SUBSTITUTE(SUBSTITUTE(TRIM(C50&amp;""),CHAR(160),"")," ",""),"년","")),SUBSTITUTE(SUBSTITUTE(SUBSTITUTE(TRIM(C50&amp;""),CHAR(160),"")," ",""),"년",""),""),"")</f>
      </c>
      <c r="P50" t="str">
        <f>SUBSTITUTE(SUBSTITUTE(SUBSTITUTE(SUBSTITUTE(SUBSTITUTE(SUBSTITUTE(SUBSTITUTE(SUBSTITUTE(TRIM(D50&amp;""),CHAR(160),"")," ",""),"초등학교","초"),"중학교","중"),"고등학교","고"),"~","~~"),"*","~*"),"?","~?")</f>
      </c>
      <c r="Q50" t="str">
        <f>SUBSTITUTE(SUBSTITUTE(SUBSTITUTE(SUBSTITUTE(SUBSTITUTE(SUBSTITUTE(SUBSTITUTE(SUBSTITUTE(TRIM(E50&amp;""),CHAR(160),"")," ",""),"초등학교","초"),"중학교","중"),"고등학교","고"),"~","~~"),"*","~*"),"?","~?")</f>
      </c>
      <c r="R50" t="str">
        <f>IF(COUNTA(B50:J50)=0,"",IF(AND(O50&lt;&gt;"",P50&lt;&gt;"",Q50&lt;&gt;""),"","입력누락"))</f>
      </c>
    </row>
    <row r="51" customFormat="false" ht="15" hidden="false" customHeight="false" outlineLevel="0" collapsed="false">
      <c r="A51" t="n" s="19">
        <f aca="0">IF(COUNTA(B51:J51)=0,"",ROW()-1)</f>
      </c>
      <c r="B51" s="24"/>
      <c r="C51" s="25"/>
      <c r="D51" s="8"/>
      <c r="E51" s="8"/>
      <c r="F51" s="26"/>
      <c r="G51" s="24"/>
      <c r="H51" s="25"/>
      <c r="I51" s="25"/>
      <c r="J51" s="26"/>
      <c r="K51" t="str" s="15">
        <f aca="0">IF(COUNTA(B51:J51)=0,"",IF(R51&lt;&gt;"","확인필요(입력누락)",IF(COUNTIFS(보유목록!$I$2:$I$3001,"*"&amp;P51&amp;"*",보유목록!$I$2:$I$3001,"*"&amp;Q51&amp;"*",보유목록!$H$2:$H$3001,O51)&gt;0,"있음",IF(COUNTIFS(보유목록!$I$2:$I$3001,"*"&amp;P51&amp;"*",보유목록!$I$2:$I$3001,"*"&amp;Q51&amp;"*")&gt;0,"확인필요(연도다름)",IF(COUNTIFS(보유목록!$I$2:$I$3001,"*"&amp;P51&amp;"*",보유목록!$H$2:$H$3001,O51)&gt;0,"확인필요(같은학교·같은연도)","없음")))))</f>
      </c>
      <c r="L51" t="str" s="16">
        <f aca="0">IF(OR(COUNTA(B51:J51)=0,R51&lt;&gt;""),"",COUNTIFS(보유목록!$I$2:$I$3001,"*"&amp;P51&amp;"*",보유목록!$I$2:$I$3001,"*"&amp;Q51&amp;"*"))</f>
      </c>
      <c r="M51" t="str" s="23">
        <f aca="0">IF(OR(COUNTA(B51:J51)=0,R51&lt;&gt;""),"",IFERROR(LOOKUP(2,1/(ISNUMBER(SEARCH(P51,보유목록!$I$2:$I$3001))*ISNUMBER(SEARCH(Q51,보유목록!$I$2:$I$3001))*(보유목록!$H$2:$H$3001=O51)),보유목록!$B$2:$B$3001),IFERROR(LOOKUP(2,1/(ISNUMBER(SEARCH(P51,보유목록!$I$2:$I$3001))*ISNUMBER(SEARCH(Q51,보유목록!$I$2:$I$3001))),보유목록!$B$2:$B$3001),"")))</f>
      </c>
      <c r="N51" s="25"/>
      <c r="O51" t="str">
        <f>IFERROR(IF(AND(LEN(SUBSTITUTE(SUBSTITUTE(SUBSTITUTE(TRIM(C51&amp;""),CHAR(160),"")," ",""),"년",""))=4,VALUE(SUBSTITUTE(SUBSTITUTE(SUBSTITUTE(TRIM(C51&amp;""),CHAR(160),"")," ",""),"년",""))&gt;=1900,VALUE(SUBSTITUTE(SUBSTITUTE(SUBSTITUTE(TRIM(C51&amp;""),CHAR(160),"")," ",""),"년",""))&lt;=2099,TEXT(VALUE(SUBSTITUTE(SUBSTITUTE(SUBSTITUTE(TRIM(C51&amp;""),CHAR(160),"")," ",""),"년","")),"0000")=SUBSTITUTE(SUBSTITUTE(SUBSTITUTE(TRIM(C51&amp;""),CHAR(160),"")," ",""),"년","")),SUBSTITUTE(SUBSTITUTE(SUBSTITUTE(TRIM(C51&amp;""),CHAR(160),"")," ",""),"년",""),""),"")</f>
      </c>
      <c r="P51" t="str">
        <f>SUBSTITUTE(SUBSTITUTE(SUBSTITUTE(SUBSTITUTE(SUBSTITUTE(SUBSTITUTE(SUBSTITUTE(SUBSTITUTE(TRIM(D51&amp;""),CHAR(160),"")," ",""),"초등학교","초"),"중학교","중"),"고등학교","고"),"~","~~"),"*","~*"),"?","~?")</f>
      </c>
      <c r="Q51" t="str">
        <f>SUBSTITUTE(SUBSTITUTE(SUBSTITUTE(SUBSTITUTE(SUBSTITUTE(SUBSTITUTE(SUBSTITUTE(SUBSTITUTE(TRIM(E51&amp;""),CHAR(160),"")," ",""),"초등학교","초"),"중학교","중"),"고등학교","고"),"~","~~"),"*","~*"),"?","~?")</f>
      </c>
      <c r="R51" t="str">
        <f>IF(COUNTA(B51:J51)=0,"",IF(AND(O51&lt;&gt;"",P51&lt;&gt;"",Q51&lt;&gt;""),"","입력누락"))</f>
      </c>
    </row>
    <row r="52" customFormat="false" ht="15" hidden="false" customHeight="false" outlineLevel="0" collapsed="false">
      <c r="A52" t="n" s="19">
        <f aca="0">IF(COUNTA(B52:J52)=0,"",ROW()-1)</f>
      </c>
      <c r="B52" s="24"/>
      <c r="C52" s="25"/>
      <c r="D52" s="8"/>
      <c r="E52" s="8"/>
      <c r="F52" s="26"/>
      <c r="G52" s="24"/>
      <c r="H52" s="25"/>
      <c r="I52" s="25"/>
      <c r="J52" s="26"/>
      <c r="K52" t="str" s="15">
        <f aca="0">IF(COUNTA(B52:J52)=0,"",IF(R52&lt;&gt;"","확인필요(입력누락)",IF(COUNTIFS(보유목록!$I$2:$I$3001,"*"&amp;P52&amp;"*",보유목록!$I$2:$I$3001,"*"&amp;Q52&amp;"*",보유목록!$H$2:$H$3001,O52)&gt;0,"있음",IF(COUNTIFS(보유목록!$I$2:$I$3001,"*"&amp;P52&amp;"*",보유목록!$I$2:$I$3001,"*"&amp;Q52&amp;"*")&gt;0,"확인필요(연도다름)",IF(COUNTIFS(보유목록!$I$2:$I$3001,"*"&amp;P52&amp;"*",보유목록!$H$2:$H$3001,O52)&gt;0,"확인필요(같은학교·같은연도)","없음")))))</f>
      </c>
      <c r="L52" t="str" s="16">
        <f aca="0">IF(OR(COUNTA(B52:J52)=0,R52&lt;&gt;""),"",COUNTIFS(보유목록!$I$2:$I$3001,"*"&amp;P52&amp;"*",보유목록!$I$2:$I$3001,"*"&amp;Q52&amp;"*"))</f>
      </c>
      <c r="M52" t="str" s="23">
        <f aca="0">IF(OR(COUNTA(B52:J52)=0,R52&lt;&gt;""),"",IFERROR(LOOKUP(2,1/(ISNUMBER(SEARCH(P52,보유목록!$I$2:$I$3001))*ISNUMBER(SEARCH(Q52,보유목록!$I$2:$I$3001))*(보유목록!$H$2:$H$3001=O52)),보유목록!$B$2:$B$3001),IFERROR(LOOKUP(2,1/(ISNUMBER(SEARCH(P52,보유목록!$I$2:$I$3001))*ISNUMBER(SEARCH(Q52,보유목록!$I$2:$I$3001))),보유목록!$B$2:$B$3001),"")))</f>
      </c>
      <c r="N52" s="25"/>
      <c r="O52" t="str">
        <f>IFERROR(IF(AND(LEN(SUBSTITUTE(SUBSTITUTE(SUBSTITUTE(TRIM(C52&amp;""),CHAR(160),"")," ",""),"년",""))=4,VALUE(SUBSTITUTE(SUBSTITUTE(SUBSTITUTE(TRIM(C52&amp;""),CHAR(160),"")," ",""),"년",""))&gt;=1900,VALUE(SUBSTITUTE(SUBSTITUTE(SUBSTITUTE(TRIM(C52&amp;""),CHAR(160),"")," ",""),"년",""))&lt;=2099,TEXT(VALUE(SUBSTITUTE(SUBSTITUTE(SUBSTITUTE(TRIM(C52&amp;""),CHAR(160),"")," ",""),"년","")),"0000")=SUBSTITUTE(SUBSTITUTE(SUBSTITUTE(TRIM(C52&amp;""),CHAR(160),"")," ",""),"년","")),SUBSTITUTE(SUBSTITUTE(SUBSTITUTE(TRIM(C52&amp;""),CHAR(160),"")," ",""),"년",""),""),"")</f>
      </c>
      <c r="P52" t="str">
        <f>SUBSTITUTE(SUBSTITUTE(SUBSTITUTE(SUBSTITUTE(SUBSTITUTE(SUBSTITUTE(SUBSTITUTE(SUBSTITUTE(TRIM(D52&amp;""),CHAR(160),"")," ",""),"초등학교","초"),"중학교","중"),"고등학교","고"),"~","~~"),"*","~*"),"?","~?")</f>
      </c>
      <c r="Q52" t="str">
        <f>SUBSTITUTE(SUBSTITUTE(SUBSTITUTE(SUBSTITUTE(SUBSTITUTE(SUBSTITUTE(SUBSTITUTE(SUBSTITUTE(TRIM(E52&amp;""),CHAR(160),"")," ",""),"초등학교","초"),"중학교","중"),"고등학교","고"),"~","~~"),"*","~*"),"?","~?")</f>
      </c>
      <c r="R52" t="str">
        <f>IF(COUNTA(B52:J52)=0,"",IF(AND(O52&lt;&gt;"",P52&lt;&gt;"",Q52&lt;&gt;""),"","입력누락"))</f>
      </c>
    </row>
    <row r="53" customFormat="false" ht="15" hidden="false" customHeight="false" outlineLevel="0" collapsed="false">
      <c r="A53" t="n" s="19">
        <f aca="0">IF(COUNTA(B53:J53)=0,"",ROW()-1)</f>
      </c>
      <c r="B53" s="24"/>
      <c r="C53" s="25"/>
      <c r="D53" s="8"/>
      <c r="E53" s="8"/>
      <c r="F53" s="26"/>
      <c r="G53" s="24"/>
      <c r="H53" s="25"/>
      <c r="I53" s="25"/>
      <c r="J53" s="26"/>
      <c r="K53" t="str" s="15">
        <f aca="0">IF(COUNTA(B53:J53)=0,"",IF(R53&lt;&gt;"","확인필요(입력누락)",IF(COUNTIFS(보유목록!$I$2:$I$3001,"*"&amp;P53&amp;"*",보유목록!$I$2:$I$3001,"*"&amp;Q53&amp;"*",보유목록!$H$2:$H$3001,O53)&gt;0,"있음",IF(COUNTIFS(보유목록!$I$2:$I$3001,"*"&amp;P53&amp;"*",보유목록!$I$2:$I$3001,"*"&amp;Q53&amp;"*")&gt;0,"확인필요(연도다름)",IF(COUNTIFS(보유목록!$I$2:$I$3001,"*"&amp;P53&amp;"*",보유목록!$H$2:$H$3001,O53)&gt;0,"확인필요(같은학교·같은연도)","없음")))))</f>
      </c>
      <c r="L53" t="str" s="16">
        <f aca="0">IF(OR(COUNTA(B53:J53)=0,R53&lt;&gt;""),"",COUNTIFS(보유목록!$I$2:$I$3001,"*"&amp;P53&amp;"*",보유목록!$I$2:$I$3001,"*"&amp;Q53&amp;"*"))</f>
      </c>
      <c r="M53" t="str" s="23">
        <f aca="0">IF(OR(COUNTA(B53:J53)=0,R53&lt;&gt;""),"",IFERROR(LOOKUP(2,1/(ISNUMBER(SEARCH(P53,보유목록!$I$2:$I$3001))*ISNUMBER(SEARCH(Q53,보유목록!$I$2:$I$3001))*(보유목록!$H$2:$H$3001=O53)),보유목록!$B$2:$B$3001),IFERROR(LOOKUP(2,1/(ISNUMBER(SEARCH(P53,보유목록!$I$2:$I$3001))*ISNUMBER(SEARCH(Q53,보유목록!$I$2:$I$3001))),보유목록!$B$2:$B$3001),"")))</f>
      </c>
      <c r="N53" s="25"/>
      <c r="O53" t="str">
        <f>IFERROR(IF(AND(LEN(SUBSTITUTE(SUBSTITUTE(SUBSTITUTE(TRIM(C53&amp;""),CHAR(160),"")," ",""),"년",""))=4,VALUE(SUBSTITUTE(SUBSTITUTE(SUBSTITUTE(TRIM(C53&amp;""),CHAR(160),"")," ",""),"년",""))&gt;=1900,VALUE(SUBSTITUTE(SUBSTITUTE(SUBSTITUTE(TRIM(C53&amp;""),CHAR(160),"")," ",""),"년",""))&lt;=2099,TEXT(VALUE(SUBSTITUTE(SUBSTITUTE(SUBSTITUTE(TRIM(C53&amp;""),CHAR(160),"")," ",""),"년","")),"0000")=SUBSTITUTE(SUBSTITUTE(SUBSTITUTE(TRIM(C53&amp;""),CHAR(160),"")," ",""),"년","")),SUBSTITUTE(SUBSTITUTE(SUBSTITUTE(TRIM(C53&amp;""),CHAR(160),"")," ",""),"년",""),""),"")</f>
      </c>
      <c r="P53" t="str">
        <f>SUBSTITUTE(SUBSTITUTE(SUBSTITUTE(SUBSTITUTE(SUBSTITUTE(SUBSTITUTE(SUBSTITUTE(SUBSTITUTE(TRIM(D53&amp;""),CHAR(160),"")," ",""),"초등학교","초"),"중학교","중"),"고등학교","고"),"~","~~"),"*","~*"),"?","~?")</f>
      </c>
      <c r="Q53" t="str">
        <f>SUBSTITUTE(SUBSTITUTE(SUBSTITUTE(SUBSTITUTE(SUBSTITUTE(SUBSTITUTE(SUBSTITUTE(SUBSTITUTE(TRIM(E53&amp;""),CHAR(160),"")," ",""),"초등학교","초"),"중학교","중"),"고등학교","고"),"~","~~"),"*","~*"),"?","~?")</f>
      </c>
      <c r="R53" t="str">
        <f>IF(COUNTA(B53:J53)=0,"",IF(AND(O53&lt;&gt;"",P53&lt;&gt;"",Q53&lt;&gt;""),"","입력누락"))</f>
      </c>
    </row>
    <row r="54" customFormat="false" ht="15" hidden="false" customHeight="false" outlineLevel="0" collapsed="false">
      <c r="A54" t="n" s="19">
        <f aca="0">IF(COUNTA(B54:J54)=0,"",ROW()-1)</f>
      </c>
      <c r="B54" s="24"/>
      <c r="C54" s="25"/>
      <c r="D54" s="8"/>
      <c r="E54" s="8"/>
      <c r="F54" s="26"/>
      <c r="G54" s="24"/>
      <c r="H54" s="25"/>
      <c r="I54" s="25"/>
      <c r="J54" s="26"/>
      <c r="K54" t="str" s="15">
        <f aca="0">IF(COUNTA(B54:J54)=0,"",IF(R54&lt;&gt;"","확인필요(입력누락)",IF(COUNTIFS(보유목록!$I$2:$I$3001,"*"&amp;P54&amp;"*",보유목록!$I$2:$I$3001,"*"&amp;Q54&amp;"*",보유목록!$H$2:$H$3001,O54)&gt;0,"있음",IF(COUNTIFS(보유목록!$I$2:$I$3001,"*"&amp;P54&amp;"*",보유목록!$I$2:$I$3001,"*"&amp;Q54&amp;"*")&gt;0,"확인필요(연도다름)",IF(COUNTIFS(보유목록!$I$2:$I$3001,"*"&amp;P54&amp;"*",보유목록!$H$2:$H$3001,O54)&gt;0,"확인필요(같은학교·같은연도)","없음")))))</f>
      </c>
      <c r="L54" t="str" s="16">
        <f aca="0">IF(OR(COUNTA(B54:J54)=0,R54&lt;&gt;""),"",COUNTIFS(보유목록!$I$2:$I$3001,"*"&amp;P54&amp;"*",보유목록!$I$2:$I$3001,"*"&amp;Q54&amp;"*"))</f>
      </c>
      <c r="M54" t="str" s="23">
        <f aca="0">IF(OR(COUNTA(B54:J54)=0,R54&lt;&gt;""),"",IFERROR(LOOKUP(2,1/(ISNUMBER(SEARCH(P54,보유목록!$I$2:$I$3001))*ISNUMBER(SEARCH(Q54,보유목록!$I$2:$I$3001))*(보유목록!$H$2:$H$3001=O54)),보유목록!$B$2:$B$3001),IFERROR(LOOKUP(2,1/(ISNUMBER(SEARCH(P54,보유목록!$I$2:$I$3001))*ISNUMBER(SEARCH(Q54,보유목록!$I$2:$I$3001))),보유목록!$B$2:$B$3001),"")))</f>
      </c>
      <c r="N54" s="25"/>
      <c r="O54" t="str">
        <f>IFERROR(IF(AND(LEN(SUBSTITUTE(SUBSTITUTE(SUBSTITUTE(TRIM(C54&amp;""),CHAR(160),"")," ",""),"년",""))=4,VALUE(SUBSTITUTE(SUBSTITUTE(SUBSTITUTE(TRIM(C54&amp;""),CHAR(160),"")," ",""),"년",""))&gt;=1900,VALUE(SUBSTITUTE(SUBSTITUTE(SUBSTITUTE(TRIM(C54&amp;""),CHAR(160),"")," ",""),"년",""))&lt;=2099,TEXT(VALUE(SUBSTITUTE(SUBSTITUTE(SUBSTITUTE(TRIM(C54&amp;""),CHAR(160),"")," ",""),"년","")),"0000")=SUBSTITUTE(SUBSTITUTE(SUBSTITUTE(TRIM(C54&amp;""),CHAR(160),"")," ",""),"년","")),SUBSTITUTE(SUBSTITUTE(SUBSTITUTE(TRIM(C54&amp;""),CHAR(160),"")," ",""),"년",""),""),"")</f>
      </c>
      <c r="P54" t="str">
        <f>SUBSTITUTE(SUBSTITUTE(SUBSTITUTE(SUBSTITUTE(SUBSTITUTE(SUBSTITUTE(SUBSTITUTE(SUBSTITUTE(TRIM(D54&amp;""),CHAR(160),"")," ",""),"초등학교","초"),"중학교","중"),"고등학교","고"),"~","~~"),"*","~*"),"?","~?")</f>
      </c>
      <c r="Q54" t="str">
        <f>SUBSTITUTE(SUBSTITUTE(SUBSTITUTE(SUBSTITUTE(SUBSTITUTE(SUBSTITUTE(SUBSTITUTE(SUBSTITUTE(TRIM(E54&amp;""),CHAR(160),"")," ",""),"초등학교","초"),"중학교","중"),"고등학교","고"),"~","~~"),"*","~*"),"?","~?")</f>
      </c>
      <c r="R54" t="str">
        <f>IF(COUNTA(B54:J54)=0,"",IF(AND(O54&lt;&gt;"",P54&lt;&gt;"",Q54&lt;&gt;""),"","입력누락"))</f>
      </c>
    </row>
    <row r="55" customFormat="false" ht="15" hidden="false" customHeight="false" outlineLevel="0" collapsed="false">
      <c r="A55" t="n" s="19">
        <f aca="0">IF(COUNTA(B55:J55)=0,"",ROW()-1)</f>
      </c>
      <c r="B55" s="24"/>
      <c r="C55" s="25"/>
      <c r="D55" s="8"/>
      <c r="E55" s="8"/>
      <c r="F55" s="26"/>
      <c r="G55" s="24"/>
      <c r="H55" s="25"/>
      <c r="I55" s="25"/>
      <c r="J55" s="26"/>
      <c r="K55" t="str" s="15">
        <f aca="0">IF(COUNTA(B55:J55)=0,"",IF(R55&lt;&gt;"","확인필요(입력누락)",IF(COUNTIFS(보유목록!$I$2:$I$3001,"*"&amp;P55&amp;"*",보유목록!$I$2:$I$3001,"*"&amp;Q55&amp;"*",보유목록!$H$2:$H$3001,O55)&gt;0,"있음",IF(COUNTIFS(보유목록!$I$2:$I$3001,"*"&amp;P55&amp;"*",보유목록!$I$2:$I$3001,"*"&amp;Q55&amp;"*")&gt;0,"확인필요(연도다름)",IF(COUNTIFS(보유목록!$I$2:$I$3001,"*"&amp;P55&amp;"*",보유목록!$H$2:$H$3001,O55)&gt;0,"확인필요(같은학교·같은연도)","없음")))))</f>
      </c>
      <c r="L55" t="str" s="16">
        <f aca="0">IF(OR(COUNTA(B55:J55)=0,R55&lt;&gt;""),"",COUNTIFS(보유목록!$I$2:$I$3001,"*"&amp;P55&amp;"*",보유목록!$I$2:$I$3001,"*"&amp;Q55&amp;"*"))</f>
      </c>
      <c r="M55" t="str" s="23">
        <f aca="0">IF(OR(COUNTA(B55:J55)=0,R55&lt;&gt;""),"",IFERROR(LOOKUP(2,1/(ISNUMBER(SEARCH(P55,보유목록!$I$2:$I$3001))*ISNUMBER(SEARCH(Q55,보유목록!$I$2:$I$3001))*(보유목록!$H$2:$H$3001=O55)),보유목록!$B$2:$B$3001),IFERROR(LOOKUP(2,1/(ISNUMBER(SEARCH(P55,보유목록!$I$2:$I$3001))*ISNUMBER(SEARCH(Q55,보유목록!$I$2:$I$3001))),보유목록!$B$2:$B$3001),"")))</f>
      </c>
      <c r="N55" s="25"/>
      <c r="O55" t="str">
        <f>IFERROR(IF(AND(LEN(SUBSTITUTE(SUBSTITUTE(SUBSTITUTE(TRIM(C55&amp;""),CHAR(160),"")," ",""),"년",""))=4,VALUE(SUBSTITUTE(SUBSTITUTE(SUBSTITUTE(TRIM(C55&amp;""),CHAR(160),"")," ",""),"년",""))&gt;=1900,VALUE(SUBSTITUTE(SUBSTITUTE(SUBSTITUTE(TRIM(C55&amp;""),CHAR(160),"")," ",""),"년",""))&lt;=2099,TEXT(VALUE(SUBSTITUTE(SUBSTITUTE(SUBSTITUTE(TRIM(C55&amp;""),CHAR(160),"")," ",""),"년","")),"0000")=SUBSTITUTE(SUBSTITUTE(SUBSTITUTE(TRIM(C55&amp;""),CHAR(160),"")," ",""),"년","")),SUBSTITUTE(SUBSTITUTE(SUBSTITUTE(TRIM(C55&amp;""),CHAR(160),"")," ",""),"년",""),""),"")</f>
      </c>
      <c r="P55" t="str">
        <f>SUBSTITUTE(SUBSTITUTE(SUBSTITUTE(SUBSTITUTE(SUBSTITUTE(SUBSTITUTE(SUBSTITUTE(SUBSTITUTE(TRIM(D55&amp;""),CHAR(160),"")," ",""),"초등학교","초"),"중학교","중"),"고등학교","고"),"~","~~"),"*","~*"),"?","~?")</f>
      </c>
      <c r="Q55" t="str">
        <f>SUBSTITUTE(SUBSTITUTE(SUBSTITUTE(SUBSTITUTE(SUBSTITUTE(SUBSTITUTE(SUBSTITUTE(SUBSTITUTE(TRIM(E55&amp;""),CHAR(160),"")," ",""),"초등학교","초"),"중학교","중"),"고등학교","고"),"~","~~"),"*","~*"),"?","~?")</f>
      </c>
      <c r="R55" t="str">
        <f>IF(COUNTA(B55:J55)=0,"",IF(AND(O55&lt;&gt;"",P55&lt;&gt;"",Q55&lt;&gt;""),"","입력누락"))</f>
      </c>
    </row>
    <row r="56" customFormat="false" ht="15" hidden="false" customHeight="false" outlineLevel="0" collapsed="false">
      <c r="A56" t="n" s="19">
        <f aca="0">IF(COUNTA(B56:J56)=0,"",ROW()-1)</f>
      </c>
      <c r="B56" s="24"/>
      <c r="C56" s="25"/>
      <c r="D56" s="8"/>
      <c r="E56" s="8"/>
      <c r="F56" s="26"/>
      <c r="G56" s="24"/>
      <c r="H56" s="25"/>
      <c r="I56" s="25"/>
      <c r="J56" s="26"/>
      <c r="K56" t="str" s="15">
        <f aca="0">IF(COUNTA(B56:J56)=0,"",IF(R56&lt;&gt;"","확인필요(입력누락)",IF(COUNTIFS(보유목록!$I$2:$I$3001,"*"&amp;P56&amp;"*",보유목록!$I$2:$I$3001,"*"&amp;Q56&amp;"*",보유목록!$H$2:$H$3001,O56)&gt;0,"있음",IF(COUNTIFS(보유목록!$I$2:$I$3001,"*"&amp;P56&amp;"*",보유목록!$I$2:$I$3001,"*"&amp;Q56&amp;"*")&gt;0,"확인필요(연도다름)",IF(COUNTIFS(보유목록!$I$2:$I$3001,"*"&amp;P56&amp;"*",보유목록!$H$2:$H$3001,O56)&gt;0,"확인필요(같은학교·같은연도)","없음")))))</f>
      </c>
      <c r="L56" t="str" s="16">
        <f aca="0">IF(OR(COUNTA(B56:J56)=0,R56&lt;&gt;""),"",COUNTIFS(보유목록!$I$2:$I$3001,"*"&amp;P56&amp;"*",보유목록!$I$2:$I$3001,"*"&amp;Q56&amp;"*"))</f>
      </c>
      <c r="M56" t="str" s="23">
        <f aca="0">IF(OR(COUNTA(B56:J56)=0,R56&lt;&gt;""),"",IFERROR(LOOKUP(2,1/(ISNUMBER(SEARCH(P56,보유목록!$I$2:$I$3001))*ISNUMBER(SEARCH(Q56,보유목록!$I$2:$I$3001))*(보유목록!$H$2:$H$3001=O56)),보유목록!$B$2:$B$3001),IFERROR(LOOKUP(2,1/(ISNUMBER(SEARCH(P56,보유목록!$I$2:$I$3001))*ISNUMBER(SEARCH(Q56,보유목록!$I$2:$I$3001))),보유목록!$B$2:$B$3001),"")))</f>
      </c>
      <c r="N56" s="25"/>
      <c r="O56" t="str">
        <f>IFERROR(IF(AND(LEN(SUBSTITUTE(SUBSTITUTE(SUBSTITUTE(TRIM(C56&amp;""),CHAR(160),"")," ",""),"년",""))=4,VALUE(SUBSTITUTE(SUBSTITUTE(SUBSTITUTE(TRIM(C56&amp;""),CHAR(160),"")," ",""),"년",""))&gt;=1900,VALUE(SUBSTITUTE(SUBSTITUTE(SUBSTITUTE(TRIM(C56&amp;""),CHAR(160),"")," ",""),"년",""))&lt;=2099,TEXT(VALUE(SUBSTITUTE(SUBSTITUTE(SUBSTITUTE(TRIM(C56&amp;""),CHAR(160),"")," ",""),"년","")),"0000")=SUBSTITUTE(SUBSTITUTE(SUBSTITUTE(TRIM(C56&amp;""),CHAR(160),"")," ",""),"년","")),SUBSTITUTE(SUBSTITUTE(SUBSTITUTE(TRIM(C56&amp;""),CHAR(160),"")," ",""),"년",""),""),"")</f>
      </c>
      <c r="P56" t="str">
        <f>SUBSTITUTE(SUBSTITUTE(SUBSTITUTE(SUBSTITUTE(SUBSTITUTE(SUBSTITUTE(SUBSTITUTE(SUBSTITUTE(TRIM(D56&amp;""),CHAR(160),"")," ",""),"초등학교","초"),"중학교","중"),"고등학교","고"),"~","~~"),"*","~*"),"?","~?")</f>
      </c>
      <c r="Q56" t="str">
        <f>SUBSTITUTE(SUBSTITUTE(SUBSTITUTE(SUBSTITUTE(SUBSTITUTE(SUBSTITUTE(SUBSTITUTE(SUBSTITUTE(TRIM(E56&amp;""),CHAR(160),"")," ",""),"초등학교","초"),"중학교","중"),"고등학교","고"),"~","~~"),"*","~*"),"?","~?")</f>
      </c>
      <c r="R56" t="str">
        <f>IF(COUNTA(B56:J56)=0,"",IF(AND(O56&lt;&gt;"",P56&lt;&gt;"",Q56&lt;&gt;""),"","입력누락"))</f>
      </c>
    </row>
    <row r="57" customFormat="false" ht="15" hidden="false" customHeight="false" outlineLevel="0" collapsed="false">
      <c r="A57" t="n" s="19">
        <f aca="0">IF(COUNTA(B57:J57)=0,"",ROW()-1)</f>
      </c>
      <c r="B57" s="24"/>
      <c r="C57" s="25"/>
      <c r="D57" s="8"/>
      <c r="E57" s="8"/>
      <c r="F57" s="26"/>
      <c r="G57" s="24"/>
      <c r="H57" s="25"/>
      <c r="I57" s="25"/>
      <c r="J57" s="26"/>
      <c r="K57" t="str" s="15">
        <f aca="0">IF(COUNTA(B57:J57)=0,"",IF(R57&lt;&gt;"","확인필요(입력누락)",IF(COUNTIFS(보유목록!$I$2:$I$3001,"*"&amp;P57&amp;"*",보유목록!$I$2:$I$3001,"*"&amp;Q57&amp;"*",보유목록!$H$2:$H$3001,O57)&gt;0,"있음",IF(COUNTIFS(보유목록!$I$2:$I$3001,"*"&amp;P57&amp;"*",보유목록!$I$2:$I$3001,"*"&amp;Q57&amp;"*")&gt;0,"확인필요(연도다름)",IF(COUNTIFS(보유목록!$I$2:$I$3001,"*"&amp;P57&amp;"*",보유목록!$H$2:$H$3001,O57)&gt;0,"확인필요(같은학교·같은연도)","없음")))))</f>
      </c>
      <c r="L57" t="str" s="16">
        <f aca="0">IF(OR(COUNTA(B57:J57)=0,R57&lt;&gt;""),"",COUNTIFS(보유목록!$I$2:$I$3001,"*"&amp;P57&amp;"*",보유목록!$I$2:$I$3001,"*"&amp;Q57&amp;"*"))</f>
      </c>
      <c r="M57" t="str" s="23">
        <f aca="0">IF(OR(COUNTA(B57:J57)=0,R57&lt;&gt;""),"",IFERROR(LOOKUP(2,1/(ISNUMBER(SEARCH(P57,보유목록!$I$2:$I$3001))*ISNUMBER(SEARCH(Q57,보유목록!$I$2:$I$3001))*(보유목록!$H$2:$H$3001=O57)),보유목록!$B$2:$B$3001),IFERROR(LOOKUP(2,1/(ISNUMBER(SEARCH(P57,보유목록!$I$2:$I$3001))*ISNUMBER(SEARCH(Q57,보유목록!$I$2:$I$3001))),보유목록!$B$2:$B$3001),"")))</f>
      </c>
      <c r="N57" s="25"/>
      <c r="O57" t="str">
        <f>IFERROR(IF(AND(LEN(SUBSTITUTE(SUBSTITUTE(SUBSTITUTE(TRIM(C57&amp;""),CHAR(160),"")," ",""),"년",""))=4,VALUE(SUBSTITUTE(SUBSTITUTE(SUBSTITUTE(TRIM(C57&amp;""),CHAR(160),"")," ",""),"년",""))&gt;=1900,VALUE(SUBSTITUTE(SUBSTITUTE(SUBSTITUTE(TRIM(C57&amp;""),CHAR(160),"")," ",""),"년",""))&lt;=2099,TEXT(VALUE(SUBSTITUTE(SUBSTITUTE(SUBSTITUTE(TRIM(C57&amp;""),CHAR(160),"")," ",""),"년","")),"0000")=SUBSTITUTE(SUBSTITUTE(SUBSTITUTE(TRIM(C57&amp;""),CHAR(160),"")," ",""),"년","")),SUBSTITUTE(SUBSTITUTE(SUBSTITUTE(TRIM(C57&amp;""),CHAR(160),"")," ",""),"년",""),""),"")</f>
      </c>
      <c r="P57" t="str">
        <f>SUBSTITUTE(SUBSTITUTE(SUBSTITUTE(SUBSTITUTE(SUBSTITUTE(SUBSTITUTE(SUBSTITUTE(SUBSTITUTE(TRIM(D57&amp;""),CHAR(160),"")," ",""),"초등학교","초"),"중학교","중"),"고등학교","고"),"~","~~"),"*","~*"),"?","~?")</f>
      </c>
      <c r="Q57" t="str">
        <f>SUBSTITUTE(SUBSTITUTE(SUBSTITUTE(SUBSTITUTE(SUBSTITUTE(SUBSTITUTE(SUBSTITUTE(SUBSTITUTE(TRIM(E57&amp;""),CHAR(160),"")," ",""),"초등학교","초"),"중학교","중"),"고등학교","고"),"~","~~"),"*","~*"),"?","~?")</f>
      </c>
      <c r="R57" t="str">
        <f>IF(COUNTA(B57:J57)=0,"",IF(AND(O57&lt;&gt;"",P57&lt;&gt;"",Q57&lt;&gt;""),"","입력누락"))</f>
      </c>
    </row>
    <row r="58" customFormat="false" ht="15" hidden="false" customHeight="false" outlineLevel="0" collapsed="false">
      <c r="A58" t="n" s="19">
        <f aca="0">IF(COUNTA(B58:J58)=0,"",ROW()-1)</f>
      </c>
      <c r="B58" s="24"/>
      <c r="C58" s="25"/>
      <c r="D58" s="8"/>
      <c r="E58" s="8"/>
      <c r="F58" s="26"/>
      <c r="G58" s="24"/>
      <c r="H58" s="25"/>
      <c r="I58" s="25"/>
      <c r="J58" s="26"/>
      <c r="K58" t="str" s="15">
        <f aca="0">IF(COUNTA(B58:J58)=0,"",IF(R58&lt;&gt;"","확인필요(입력누락)",IF(COUNTIFS(보유목록!$I$2:$I$3001,"*"&amp;P58&amp;"*",보유목록!$I$2:$I$3001,"*"&amp;Q58&amp;"*",보유목록!$H$2:$H$3001,O58)&gt;0,"있음",IF(COUNTIFS(보유목록!$I$2:$I$3001,"*"&amp;P58&amp;"*",보유목록!$I$2:$I$3001,"*"&amp;Q58&amp;"*")&gt;0,"확인필요(연도다름)",IF(COUNTIFS(보유목록!$I$2:$I$3001,"*"&amp;P58&amp;"*",보유목록!$H$2:$H$3001,O58)&gt;0,"확인필요(같은학교·같은연도)","없음")))))</f>
      </c>
      <c r="L58" t="str" s="16">
        <f aca="0">IF(OR(COUNTA(B58:J58)=0,R58&lt;&gt;""),"",COUNTIFS(보유목록!$I$2:$I$3001,"*"&amp;P58&amp;"*",보유목록!$I$2:$I$3001,"*"&amp;Q58&amp;"*"))</f>
      </c>
      <c r="M58" t="str" s="23">
        <f aca="0">IF(OR(COUNTA(B58:J58)=0,R58&lt;&gt;""),"",IFERROR(LOOKUP(2,1/(ISNUMBER(SEARCH(P58,보유목록!$I$2:$I$3001))*ISNUMBER(SEARCH(Q58,보유목록!$I$2:$I$3001))*(보유목록!$H$2:$H$3001=O58)),보유목록!$B$2:$B$3001),IFERROR(LOOKUP(2,1/(ISNUMBER(SEARCH(P58,보유목록!$I$2:$I$3001))*ISNUMBER(SEARCH(Q58,보유목록!$I$2:$I$3001))),보유목록!$B$2:$B$3001),"")))</f>
      </c>
      <c r="N58" s="25"/>
      <c r="O58" t="str">
        <f>IFERROR(IF(AND(LEN(SUBSTITUTE(SUBSTITUTE(SUBSTITUTE(TRIM(C58&amp;""),CHAR(160),"")," ",""),"년",""))=4,VALUE(SUBSTITUTE(SUBSTITUTE(SUBSTITUTE(TRIM(C58&amp;""),CHAR(160),"")," ",""),"년",""))&gt;=1900,VALUE(SUBSTITUTE(SUBSTITUTE(SUBSTITUTE(TRIM(C58&amp;""),CHAR(160),"")," ",""),"년",""))&lt;=2099,TEXT(VALUE(SUBSTITUTE(SUBSTITUTE(SUBSTITUTE(TRIM(C58&amp;""),CHAR(160),"")," ",""),"년","")),"0000")=SUBSTITUTE(SUBSTITUTE(SUBSTITUTE(TRIM(C58&amp;""),CHAR(160),"")," ",""),"년","")),SUBSTITUTE(SUBSTITUTE(SUBSTITUTE(TRIM(C58&amp;""),CHAR(160),"")," ",""),"년",""),""),"")</f>
      </c>
      <c r="P58" t="str">
        <f>SUBSTITUTE(SUBSTITUTE(SUBSTITUTE(SUBSTITUTE(SUBSTITUTE(SUBSTITUTE(SUBSTITUTE(SUBSTITUTE(TRIM(D58&amp;""),CHAR(160),"")," ",""),"초등학교","초"),"중학교","중"),"고등학교","고"),"~","~~"),"*","~*"),"?","~?")</f>
      </c>
      <c r="Q58" t="str">
        <f>SUBSTITUTE(SUBSTITUTE(SUBSTITUTE(SUBSTITUTE(SUBSTITUTE(SUBSTITUTE(SUBSTITUTE(SUBSTITUTE(TRIM(E58&amp;""),CHAR(160),"")," ",""),"초등학교","초"),"중학교","중"),"고등학교","고"),"~","~~"),"*","~*"),"?","~?")</f>
      </c>
      <c r="R58" t="str">
        <f>IF(COUNTA(B58:J58)=0,"",IF(AND(O58&lt;&gt;"",P58&lt;&gt;"",Q58&lt;&gt;""),"","입력누락"))</f>
      </c>
    </row>
    <row r="59" customFormat="false" ht="15" hidden="false" customHeight="false" outlineLevel="0" collapsed="false">
      <c r="A59" t="n" s="19">
        <f aca="0">IF(COUNTA(B59:J59)=0,"",ROW()-1)</f>
      </c>
      <c r="B59" s="24"/>
      <c r="C59" s="25"/>
      <c r="D59" s="8"/>
      <c r="E59" s="8"/>
      <c r="F59" s="26"/>
      <c r="G59" s="24"/>
      <c r="H59" s="25"/>
      <c r="I59" s="25"/>
      <c r="J59" s="26"/>
      <c r="K59" t="str" s="15">
        <f aca="0">IF(COUNTA(B59:J59)=0,"",IF(R59&lt;&gt;"","확인필요(입력누락)",IF(COUNTIFS(보유목록!$I$2:$I$3001,"*"&amp;P59&amp;"*",보유목록!$I$2:$I$3001,"*"&amp;Q59&amp;"*",보유목록!$H$2:$H$3001,O59)&gt;0,"있음",IF(COUNTIFS(보유목록!$I$2:$I$3001,"*"&amp;P59&amp;"*",보유목록!$I$2:$I$3001,"*"&amp;Q59&amp;"*")&gt;0,"확인필요(연도다름)",IF(COUNTIFS(보유목록!$I$2:$I$3001,"*"&amp;P59&amp;"*",보유목록!$H$2:$H$3001,O59)&gt;0,"확인필요(같은학교·같은연도)","없음")))))</f>
      </c>
      <c r="L59" t="str" s="16">
        <f aca="0">IF(OR(COUNTA(B59:J59)=0,R59&lt;&gt;""),"",COUNTIFS(보유목록!$I$2:$I$3001,"*"&amp;P59&amp;"*",보유목록!$I$2:$I$3001,"*"&amp;Q59&amp;"*"))</f>
      </c>
      <c r="M59" t="str" s="23">
        <f aca="0">IF(OR(COUNTA(B59:J59)=0,R59&lt;&gt;""),"",IFERROR(LOOKUP(2,1/(ISNUMBER(SEARCH(P59,보유목록!$I$2:$I$3001))*ISNUMBER(SEARCH(Q59,보유목록!$I$2:$I$3001))*(보유목록!$H$2:$H$3001=O59)),보유목록!$B$2:$B$3001),IFERROR(LOOKUP(2,1/(ISNUMBER(SEARCH(P59,보유목록!$I$2:$I$3001))*ISNUMBER(SEARCH(Q59,보유목록!$I$2:$I$3001))),보유목록!$B$2:$B$3001),"")))</f>
      </c>
      <c r="N59" s="25"/>
      <c r="O59" t="str">
        <f>IFERROR(IF(AND(LEN(SUBSTITUTE(SUBSTITUTE(SUBSTITUTE(TRIM(C59&amp;""),CHAR(160),"")," ",""),"년",""))=4,VALUE(SUBSTITUTE(SUBSTITUTE(SUBSTITUTE(TRIM(C59&amp;""),CHAR(160),"")," ",""),"년",""))&gt;=1900,VALUE(SUBSTITUTE(SUBSTITUTE(SUBSTITUTE(TRIM(C59&amp;""),CHAR(160),"")," ",""),"년",""))&lt;=2099,TEXT(VALUE(SUBSTITUTE(SUBSTITUTE(SUBSTITUTE(TRIM(C59&amp;""),CHAR(160),"")," ",""),"년","")),"0000")=SUBSTITUTE(SUBSTITUTE(SUBSTITUTE(TRIM(C59&amp;""),CHAR(160),"")," ",""),"년","")),SUBSTITUTE(SUBSTITUTE(SUBSTITUTE(TRIM(C59&amp;""),CHAR(160),"")," ",""),"년",""),""),"")</f>
      </c>
      <c r="P59" t="str">
        <f>SUBSTITUTE(SUBSTITUTE(SUBSTITUTE(SUBSTITUTE(SUBSTITUTE(SUBSTITUTE(SUBSTITUTE(SUBSTITUTE(TRIM(D59&amp;""),CHAR(160),"")," ",""),"초등학교","초"),"중학교","중"),"고등학교","고"),"~","~~"),"*","~*"),"?","~?")</f>
      </c>
      <c r="Q59" t="str">
        <f>SUBSTITUTE(SUBSTITUTE(SUBSTITUTE(SUBSTITUTE(SUBSTITUTE(SUBSTITUTE(SUBSTITUTE(SUBSTITUTE(TRIM(E59&amp;""),CHAR(160),"")," ",""),"초등학교","초"),"중학교","중"),"고등학교","고"),"~","~~"),"*","~*"),"?","~?")</f>
      </c>
      <c r="R59" t="str">
        <f>IF(COUNTA(B59:J59)=0,"",IF(AND(O59&lt;&gt;"",P59&lt;&gt;"",Q59&lt;&gt;""),"","입력누락"))</f>
      </c>
    </row>
    <row r="60" customFormat="false" ht="15" hidden="false" customHeight="false" outlineLevel="0" collapsed="false">
      <c r="A60" t="n" s="19">
        <f aca="0">IF(COUNTA(B60:J60)=0,"",ROW()-1)</f>
      </c>
      <c r="B60" s="24"/>
      <c r="C60" s="25"/>
      <c r="D60" s="8"/>
      <c r="E60" s="8"/>
      <c r="F60" s="26"/>
      <c r="G60" s="24"/>
      <c r="H60" s="25"/>
      <c r="I60" s="25"/>
      <c r="J60" s="26"/>
      <c r="K60" t="str" s="15">
        <f aca="0">IF(COUNTA(B60:J60)=0,"",IF(R60&lt;&gt;"","확인필요(입력누락)",IF(COUNTIFS(보유목록!$I$2:$I$3001,"*"&amp;P60&amp;"*",보유목록!$I$2:$I$3001,"*"&amp;Q60&amp;"*",보유목록!$H$2:$H$3001,O60)&gt;0,"있음",IF(COUNTIFS(보유목록!$I$2:$I$3001,"*"&amp;P60&amp;"*",보유목록!$I$2:$I$3001,"*"&amp;Q60&amp;"*")&gt;0,"확인필요(연도다름)",IF(COUNTIFS(보유목록!$I$2:$I$3001,"*"&amp;P60&amp;"*",보유목록!$H$2:$H$3001,O60)&gt;0,"확인필요(같은학교·같은연도)","없음")))))</f>
      </c>
      <c r="L60" t="str" s="16">
        <f aca="0">IF(OR(COUNTA(B60:J60)=0,R60&lt;&gt;""),"",COUNTIFS(보유목록!$I$2:$I$3001,"*"&amp;P60&amp;"*",보유목록!$I$2:$I$3001,"*"&amp;Q60&amp;"*"))</f>
      </c>
      <c r="M60" t="str" s="23">
        <f aca="0">IF(OR(COUNTA(B60:J60)=0,R60&lt;&gt;""),"",IFERROR(LOOKUP(2,1/(ISNUMBER(SEARCH(P60,보유목록!$I$2:$I$3001))*ISNUMBER(SEARCH(Q60,보유목록!$I$2:$I$3001))*(보유목록!$H$2:$H$3001=O60)),보유목록!$B$2:$B$3001),IFERROR(LOOKUP(2,1/(ISNUMBER(SEARCH(P60,보유목록!$I$2:$I$3001))*ISNUMBER(SEARCH(Q60,보유목록!$I$2:$I$3001))),보유목록!$B$2:$B$3001),"")))</f>
      </c>
      <c r="N60" s="25"/>
      <c r="O60" t="str">
        <f>IFERROR(IF(AND(LEN(SUBSTITUTE(SUBSTITUTE(SUBSTITUTE(TRIM(C60&amp;""),CHAR(160),"")," ",""),"년",""))=4,VALUE(SUBSTITUTE(SUBSTITUTE(SUBSTITUTE(TRIM(C60&amp;""),CHAR(160),"")," ",""),"년",""))&gt;=1900,VALUE(SUBSTITUTE(SUBSTITUTE(SUBSTITUTE(TRIM(C60&amp;""),CHAR(160),"")," ",""),"년",""))&lt;=2099,TEXT(VALUE(SUBSTITUTE(SUBSTITUTE(SUBSTITUTE(TRIM(C60&amp;""),CHAR(160),"")," ",""),"년","")),"0000")=SUBSTITUTE(SUBSTITUTE(SUBSTITUTE(TRIM(C60&amp;""),CHAR(160),"")," ",""),"년","")),SUBSTITUTE(SUBSTITUTE(SUBSTITUTE(TRIM(C60&amp;""),CHAR(160),"")," ",""),"년",""),""),"")</f>
      </c>
      <c r="P60" t="str">
        <f>SUBSTITUTE(SUBSTITUTE(SUBSTITUTE(SUBSTITUTE(SUBSTITUTE(SUBSTITUTE(SUBSTITUTE(SUBSTITUTE(TRIM(D60&amp;""),CHAR(160),"")," ",""),"초등학교","초"),"중학교","중"),"고등학교","고"),"~","~~"),"*","~*"),"?","~?")</f>
      </c>
      <c r="Q60" t="str">
        <f>SUBSTITUTE(SUBSTITUTE(SUBSTITUTE(SUBSTITUTE(SUBSTITUTE(SUBSTITUTE(SUBSTITUTE(SUBSTITUTE(TRIM(E60&amp;""),CHAR(160),"")," ",""),"초등학교","초"),"중학교","중"),"고등학교","고"),"~","~~"),"*","~*"),"?","~?")</f>
      </c>
      <c r="R60" t="str">
        <f>IF(COUNTA(B60:J60)=0,"",IF(AND(O60&lt;&gt;"",P60&lt;&gt;"",Q60&lt;&gt;""),"","입력누락"))</f>
      </c>
    </row>
    <row r="61" customFormat="false" ht="15" hidden="false" customHeight="false" outlineLevel="0" collapsed="false">
      <c r="A61" t="n" s="19">
        <f aca="0">IF(COUNTA(B61:J61)=0,"",ROW()-1)</f>
      </c>
      <c r="B61" s="24"/>
      <c r="C61" s="25"/>
      <c r="D61" s="8"/>
      <c r="E61" s="8"/>
      <c r="F61" s="26"/>
      <c r="G61" s="24"/>
      <c r="H61" s="25"/>
      <c r="I61" s="25"/>
      <c r="J61" s="26"/>
      <c r="K61" t="str" s="15">
        <f aca="0">IF(COUNTA(B61:J61)=0,"",IF(R61&lt;&gt;"","확인필요(입력누락)",IF(COUNTIFS(보유목록!$I$2:$I$3001,"*"&amp;P61&amp;"*",보유목록!$I$2:$I$3001,"*"&amp;Q61&amp;"*",보유목록!$H$2:$H$3001,O61)&gt;0,"있음",IF(COUNTIFS(보유목록!$I$2:$I$3001,"*"&amp;P61&amp;"*",보유목록!$I$2:$I$3001,"*"&amp;Q61&amp;"*")&gt;0,"확인필요(연도다름)",IF(COUNTIFS(보유목록!$I$2:$I$3001,"*"&amp;P61&amp;"*",보유목록!$H$2:$H$3001,O61)&gt;0,"확인필요(같은학교·같은연도)","없음")))))</f>
      </c>
      <c r="L61" t="str" s="16">
        <f aca="0">IF(OR(COUNTA(B61:J61)=0,R61&lt;&gt;""),"",COUNTIFS(보유목록!$I$2:$I$3001,"*"&amp;P61&amp;"*",보유목록!$I$2:$I$3001,"*"&amp;Q61&amp;"*"))</f>
      </c>
      <c r="M61" t="str" s="23">
        <f aca="0">IF(OR(COUNTA(B61:J61)=0,R61&lt;&gt;""),"",IFERROR(LOOKUP(2,1/(ISNUMBER(SEARCH(P61,보유목록!$I$2:$I$3001))*ISNUMBER(SEARCH(Q61,보유목록!$I$2:$I$3001))*(보유목록!$H$2:$H$3001=O61)),보유목록!$B$2:$B$3001),IFERROR(LOOKUP(2,1/(ISNUMBER(SEARCH(P61,보유목록!$I$2:$I$3001))*ISNUMBER(SEARCH(Q61,보유목록!$I$2:$I$3001))),보유목록!$B$2:$B$3001),"")))</f>
      </c>
      <c r="N61" s="25"/>
      <c r="O61" t="str">
        <f>IFERROR(IF(AND(LEN(SUBSTITUTE(SUBSTITUTE(SUBSTITUTE(TRIM(C61&amp;""),CHAR(160),"")," ",""),"년",""))=4,VALUE(SUBSTITUTE(SUBSTITUTE(SUBSTITUTE(TRIM(C61&amp;""),CHAR(160),"")," ",""),"년",""))&gt;=1900,VALUE(SUBSTITUTE(SUBSTITUTE(SUBSTITUTE(TRIM(C61&amp;""),CHAR(160),"")," ",""),"년",""))&lt;=2099,TEXT(VALUE(SUBSTITUTE(SUBSTITUTE(SUBSTITUTE(TRIM(C61&amp;""),CHAR(160),"")," ",""),"년","")),"0000")=SUBSTITUTE(SUBSTITUTE(SUBSTITUTE(TRIM(C61&amp;""),CHAR(160),"")," ",""),"년","")),SUBSTITUTE(SUBSTITUTE(SUBSTITUTE(TRIM(C61&amp;""),CHAR(160),"")," ",""),"년",""),""),"")</f>
      </c>
      <c r="P61" t="str">
        <f>SUBSTITUTE(SUBSTITUTE(SUBSTITUTE(SUBSTITUTE(SUBSTITUTE(SUBSTITUTE(SUBSTITUTE(SUBSTITUTE(TRIM(D61&amp;""),CHAR(160),"")," ",""),"초등학교","초"),"중학교","중"),"고등학교","고"),"~","~~"),"*","~*"),"?","~?")</f>
      </c>
      <c r="Q61" t="str">
        <f>SUBSTITUTE(SUBSTITUTE(SUBSTITUTE(SUBSTITUTE(SUBSTITUTE(SUBSTITUTE(SUBSTITUTE(SUBSTITUTE(TRIM(E61&amp;""),CHAR(160),"")," ",""),"초등학교","초"),"중학교","중"),"고등학교","고"),"~","~~"),"*","~*"),"?","~?")</f>
      </c>
      <c r="R61" t="str">
        <f>IF(COUNTA(B61:J61)=0,"",IF(AND(O61&lt;&gt;"",P61&lt;&gt;"",Q61&lt;&gt;""),"","입력누락"))</f>
      </c>
    </row>
    <row r="62" customFormat="false" ht="15" hidden="false" customHeight="false" outlineLevel="0" collapsed="false">
      <c r="A62" t="n" s="19">
        <f aca="0">IF(COUNTA(B62:J62)=0,"",ROW()-1)</f>
      </c>
      <c r="B62" s="24"/>
      <c r="C62" s="25"/>
      <c r="D62" s="8"/>
      <c r="E62" s="8"/>
      <c r="F62" s="26"/>
      <c r="G62" s="24"/>
      <c r="H62" s="25"/>
      <c r="I62" s="25"/>
      <c r="J62" s="26"/>
      <c r="K62" t="str" s="15">
        <f aca="0">IF(COUNTA(B62:J62)=0,"",IF(R62&lt;&gt;"","확인필요(입력누락)",IF(COUNTIFS(보유목록!$I$2:$I$3001,"*"&amp;P62&amp;"*",보유목록!$I$2:$I$3001,"*"&amp;Q62&amp;"*",보유목록!$H$2:$H$3001,O62)&gt;0,"있음",IF(COUNTIFS(보유목록!$I$2:$I$3001,"*"&amp;P62&amp;"*",보유목록!$I$2:$I$3001,"*"&amp;Q62&amp;"*")&gt;0,"확인필요(연도다름)",IF(COUNTIFS(보유목록!$I$2:$I$3001,"*"&amp;P62&amp;"*",보유목록!$H$2:$H$3001,O62)&gt;0,"확인필요(같은학교·같은연도)","없음")))))</f>
      </c>
      <c r="L62" t="str" s="16">
        <f aca="0">IF(OR(COUNTA(B62:J62)=0,R62&lt;&gt;""),"",COUNTIFS(보유목록!$I$2:$I$3001,"*"&amp;P62&amp;"*",보유목록!$I$2:$I$3001,"*"&amp;Q62&amp;"*"))</f>
      </c>
      <c r="M62" t="str" s="23">
        <f aca="0">IF(OR(COUNTA(B62:J62)=0,R62&lt;&gt;""),"",IFERROR(LOOKUP(2,1/(ISNUMBER(SEARCH(P62,보유목록!$I$2:$I$3001))*ISNUMBER(SEARCH(Q62,보유목록!$I$2:$I$3001))*(보유목록!$H$2:$H$3001=O62)),보유목록!$B$2:$B$3001),IFERROR(LOOKUP(2,1/(ISNUMBER(SEARCH(P62,보유목록!$I$2:$I$3001))*ISNUMBER(SEARCH(Q62,보유목록!$I$2:$I$3001))),보유목록!$B$2:$B$3001),"")))</f>
      </c>
      <c r="N62" s="25"/>
      <c r="O62" t="str">
        <f>IFERROR(IF(AND(LEN(SUBSTITUTE(SUBSTITUTE(SUBSTITUTE(TRIM(C62&amp;""),CHAR(160),"")," ",""),"년",""))=4,VALUE(SUBSTITUTE(SUBSTITUTE(SUBSTITUTE(TRIM(C62&amp;""),CHAR(160),"")," ",""),"년",""))&gt;=1900,VALUE(SUBSTITUTE(SUBSTITUTE(SUBSTITUTE(TRIM(C62&amp;""),CHAR(160),"")," ",""),"년",""))&lt;=2099,TEXT(VALUE(SUBSTITUTE(SUBSTITUTE(SUBSTITUTE(TRIM(C62&amp;""),CHAR(160),"")," ",""),"년","")),"0000")=SUBSTITUTE(SUBSTITUTE(SUBSTITUTE(TRIM(C62&amp;""),CHAR(160),"")," ",""),"년","")),SUBSTITUTE(SUBSTITUTE(SUBSTITUTE(TRIM(C62&amp;""),CHAR(160),"")," ",""),"년",""),""),"")</f>
      </c>
      <c r="P62" t="str">
        <f>SUBSTITUTE(SUBSTITUTE(SUBSTITUTE(SUBSTITUTE(SUBSTITUTE(SUBSTITUTE(SUBSTITUTE(SUBSTITUTE(TRIM(D62&amp;""),CHAR(160),"")," ",""),"초등학교","초"),"중학교","중"),"고등학교","고"),"~","~~"),"*","~*"),"?","~?")</f>
      </c>
      <c r="Q62" t="str">
        <f>SUBSTITUTE(SUBSTITUTE(SUBSTITUTE(SUBSTITUTE(SUBSTITUTE(SUBSTITUTE(SUBSTITUTE(SUBSTITUTE(TRIM(E62&amp;""),CHAR(160),"")," ",""),"초등학교","초"),"중학교","중"),"고등학교","고"),"~","~~"),"*","~*"),"?","~?")</f>
      </c>
      <c r="R62" t="str">
        <f>IF(COUNTA(B62:J62)=0,"",IF(AND(O62&lt;&gt;"",P62&lt;&gt;"",Q62&lt;&gt;""),"","입력누락"))</f>
      </c>
    </row>
    <row r="63" customFormat="false" ht="15" hidden="false" customHeight="false" outlineLevel="0" collapsed="false">
      <c r="A63" t="n" s="19">
        <f aca="0">IF(COUNTA(B63:J63)=0,"",ROW()-1)</f>
      </c>
      <c r="B63" s="24"/>
      <c r="C63" s="25"/>
      <c r="D63" s="8"/>
      <c r="E63" s="8"/>
      <c r="F63" s="26"/>
      <c r="G63" s="24"/>
      <c r="H63" s="25"/>
      <c r="I63" s="25"/>
      <c r="J63" s="26"/>
      <c r="K63" t="str" s="15">
        <f aca="0">IF(COUNTA(B63:J63)=0,"",IF(R63&lt;&gt;"","확인필요(입력누락)",IF(COUNTIFS(보유목록!$I$2:$I$3001,"*"&amp;P63&amp;"*",보유목록!$I$2:$I$3001,"*"&amp;Q63&amp;"*",보유목록!$H$2:$H$3001,O63)&gt;0,"있음",IF(COUNTIFS(보유목록!$I$2:$I$3001,"*"&amp;P63&amp;"*",보유목록!$I$2:$I$3001,"*"&amp;Q63&amp;"*")&gt;0,"확인필요(연도다름)",IF(COUNTIFS(보유목록!$I$2:$I$3001,"*"&amp;P63&amp;"*",보유목록!$H$2:$H$3001,O63)&gt;0,"확인필요(같은학교·같은연도)","없음")))))</f>
      </c>
      <c r="L63" t="str" s="16">
        <f aca="0">IF(OR(COUNTA(B63:J63)=0,R63&lt;&gt;""),"",COUNTIFS(보유목록!$I$2:$I$3001,"*"&amp;P63&amp;"*",보유목록!$I$2:$I$3001,"*"&amp;Q63&amp;"*"))</f>
      </c>
      <c r="M63" t="str" s="23">
        <f aca="0">IF(OR(COUNTA(B63:J63)=0,R63&lt;&gt;""),"",IFERROR(LOOKUP(2,1/(ISNUMBER(SEARCH(P63,보유목록!$I$2:$I$3001))*ISNUMBER(SEARCH(Q63,보유목록!$I$2:$I$3001))*(보유목록!$H$2:$H$3001=O63)),보유목록!$B$2:$B$3001),IFERROR(LOOKUP(2,1/(ISNUMBER(SEARCH(P63,보유목록!$I$2:$I$3001))*ISNUMBER(SEARCH(Q63,보유목록!$I$2:$I$3001))),보유목록!$B$2:$B$3001),"")))</f>
      </c>
      <c r="N63" s="25"/>
      <c r="O63" t="str">
        <f>IFERROR(IF(AND(LEN(SUBSTITUTE(SUBSTITUTE(SUBSTITUTE(TRIM(C63&amp;""),CHAR(160),"")," ",""),"년",""))=4,VALUE(SUBSTITUTE(SUBSTITUTE(SUBSTITUTE(TRIM(C63&amp;""),CHAR(160),"")," ",""),"년",""))&gt;=1900,VALUE(SUBSTITUTE(SUBSTITUTE(SUBSTITUTE(TRIM(C63&amp;""),CHAR(160),"")," ",""),"년",""))&lt;=2099,TEXT(VALUE(SUBSTITUTE(SUBSTITUTE(SUBSTITUTE(TRIM(C63&amp;""),CHAR(160),"")," ",""),"년","")),"0000")=SUBSTITUTE(SUBSTITUTE(SUBSTITUTE(TRIM(C63&amp;""),CHAR(160),"")," ",""),"년","")),SUBSTITUTE(SUBSTITUTE(SUBSTITUTE(TRIM(C63&amp;""),CHAR(160),"")," ",""),"년",""),""),"")</f>
      </c>
      <c r="P63" t="str">
        <f>SUBSTITUTE(SUBSTITUTE(SUBSTITUTE(SUBSTITUTE(SUBSTITUTE(SUBSTITUTE(SUBSTITUTE(SUBSTITUTE(TRIM(D63&amp;""),CHAR(160),"")," ",""),"초등학교","초"),"중학교","중"),"고등학교","고"),"~","~~"),"*","~*"),"?","~?")</f>
      </c>
      <c r="Q63" t="str">
        <f>SUBSTITUTE(SUBSTITUTE(SUBSTITUTE(SUBSTITUTE(SUBSTITUTE(SUBSTITUTE(SUBSTITUTE(SUBSTITUTE(TRIM(E63&amp;""),CHAR(160),"")," ",""),"초등학교","초"),"중학교","중"),"고등학교","고"),"~","~~"),"*","~*"),"?","~?")</f>
      </c>
      <c r="R63" t="str">
        <f>IF(COUNTA(B63:J63)=0,"",IF(AND(O63&lt;&gt;"",P63&lt;&gt;"",Q63&lt;&gt;""),"","입력누락"))</f>
      </c>
    </row>
    <row r="64" customFormat="false" ht="15" hidden="false" customHeight="false" outlineLevel="0" collapsed="false">
      <c r="A64" t="n" s="19">
        <f aca="0">IF(COUNTA(B64:J64)=0,"",ROW()-1)</f>
      </c>
      <c r="B64" s="24"/>
      <c r="C64" s="25"/>
      <c r="D64" s="8"/>
      <c r="E64" s="8"/>
      <c r="F64" s="26"/>
      <c r="G64" s="24"/>
      <c r="H64" s="25"/>
      <c r="I64" s="25"/>
      <c r="J64" s="26"/>
      <c r="K64" t="str" s="15">
        <f aca="0">IF(COUNTA(B64:J64)=0,"",IF(R64&lt;&gt;"","확인필요(입력누락)",IF(COUNTIFS(보유목록!$I$2:$I$3001,"*"&amp;P64&amp;"*",보유목록!$I$2:$I$3001,"*"&amp;Q64&amp;"*",보유목록!$H$2:$H$3001,O64)&gt;0,"있음",IF(COUNTIFS(보유목록!$I$2:$I$3001,"*"&amp;P64&amp;"*",보유목록!$I$2:$I$3001,"*"&amp;Q64&amp;"*")&gt;0,"확인필요(연도다름)",IF(COUNTIFS(보유목록!$I$2:$I$3001,"*"&amp;P64&amp;"*",보유목록!$H$2:$H$3001,O64)&gt;0,"확인필요(같은학교·같은연도)","없음")))))</f>
      </c>
      <c r="L64" t="str" s="16">
        <f aca="0">IF(OR(COUNTA(B64:J64)=0,R64&lt;&gt;""),"",COUNTIFS(보유목록!$I$2:$I$3001,"*"&amp;P64&amp;"*",보유목록!$I$2:$I$3001,"*"&amp;Q64&amp;"*"))</f>
      </c>
      <c r="M64" t="str" s="23">
        <f aca="0">IF(OR(COUNTA(B64:J64)=0,R64&lt;&gt;""),"",IFERROR(LOOKUP(2,1/(ISNUMBER(SEARCH(P64,보유목록!$I$2:$I$3001))*ISNUMBER(SEARCH(Q64,보유목록!$I$2:$I$3001))*(보유목록!$H$2:$H$3001=O64)),보유목록!$B$2:$B$3001),IFERROR(LOOKUP(2,1/(ISNUMBER(SEARCH(P64,보유목록!$I$2:$I$3001))*ISNUMBER(SEARCH(Q64,보유목록!$I$2:$I$3001))),보유목록!$B$2:$B$3001),"")))</f>
      </c>
      <c r="N64" s="25"/>
      <c r="O64" t="str">
        <f>IFERROR(IF(AND(LEN(SUBSTITUTE(SUBSTITUTE(SUBSTITUTE(TRIM(C64&amp;""),CHAR(160),"")," ",""),"년",""))=4,VALUE(SUBSTITUTE(SUBSTITUTE(SUBSTITUTE(TRIM(C64&amp;""),CHAR(160),"")," ",""),"년",""))&gt;=1900,VALUE(SUBSTITUTE(SUBSTITUTE(SUBSTITUTE(TRIM(C64&amp;""),CHAR(160),"")," ",""),"년",""))&lt;=2099,TEXT(VALUE(SUBSTITUTE(SUBSTITUTE(SUBSTITUTE(TRIM(C64&amp;""),CHAR(160),"")," ",""),"년","")),"0000")=SUBSTITUTE(SUBSTITUTE(SUBSTITUTE(TRIM(C64&amp;""),CHAR(160),"")," ",""),"년","")),SUBSTITUTE(SUBSTITUTE(SUBSTITUTE(TRIM(C64&amp;""),CHAR(160),"")," ",""),"년",""),""),"")</f>
      </c>
      <c r="P64" t="str">
        <f>SUBSTITUTE(SUBSTITUTE(SUBSTITUTE(SUBSTITUTE(SUBSTITUTE(SUBSTITUTE(SUBSTITUTE(SUBSTITUTE(TRIM(D64&amp;""),CHAR(160),"")," ",""),"초등학교","초"),"중학교","중"),"고등학교","고"),"~","~~"),"*","~*"),"?","~?")</f>
      </c>
      <c r="Q64" t="str">
        <f>SUBSTITUTE(SUBSTITUTE(SUBSTITUTE(SUBSTITUTE(SUBSTITUTE(SUBSTITUTE(SUBSTITUTE(SUBSTITUTE(TRIM(E64&amp;""),CHAR(160),"")," ",""),"초등학교","초"),"중학교","중"),"고등학교","고"),"~","~~"),"*","~*"),"?","~?")</f>
      </c>
      <c r="R64" t="str">
        <f>IF(COUNTA(B64:J64)=0,"",IF(AND(O64&lt;&gt;"",P64&lt;&gt;"",Q64&lt;&gt;""),"","입력누락"))</f>
      </c>
    </row>
    <row r="65" customFormat="false" ht="15" hidden="false" customHeight="false" outlineLevel="0" collapsed="false">
      <c r="A65" t="n" s="19">
        <f aca="0">IF(COUNTA(B65:J65)=0,"",ROW()-1)</f>
      </c>
      <c r="B65" s="24"/>
      <c r="C65" s="25"/>
      <c r="D65" s="8"/>
      <c r="E65" s="8"/>
      <c r="F65" s="26"/>
      <c r="G65" s="24"/>
      <c r="H65" s="25"/>
      <c r="I65" s="25"/>
      <c r="J65" s="26"/>
      <c r="K65" t="str" s="15">
        <f aca="0">IF(COUNTA(B65:J65)=0,"",IF(R65&lt;&gt;"","확인필요(입력누락)",IF(COUNTIFS(보유목록!$I$2:$I$3001,"*"&amp;P65&amp;"*",보유목록!$I$2:$I$3001,"*"&amp;Q65&amp;"*",보유목록!$H$2:$H$3001,O65)&gt;0,"있음",IF(COUNTIFS(보유목록!$I$2:$I$3001,"*"&amp;P65&amp;"*",보유목록!$I$2:$I$3001,"*"&amp;Q65&amp;"*")&gt;0,"확인필요(연도다름)",IF(COUNTIFS(보유목록!$I$2:$I$3001,"*"&amp;P65&amp;"*",보유목록!$H$2:$H$3001,O65)&gt;0,"확인필요(같은학교·같은연도)","없음")))))</f>
      </c>
      <c r="L65" t="str" s="16">
        <f aca="0">IF(OR(COUNTA(B65:J65)=0,R65&lt;&gt;""),"",COUNTIFS(보유목록!$I$2:$I$3001,"*"&amp;P65&amp;"*",보유목록!$I$2:$I$3001,"*"&amp;Q65&amp;"*"))</f>
      </c>
      <c r="M65" t="str" s="23">
        <f aca="0">IF(OR(COUNTA(B65:J65)=0,R65&lt;&gt;""),"",IFERROR(LOOKUP(2,1/(ISNUMBER(SEARCH(P65,보유목록!$I$2:$I$3001))*ISNUMBER(SEARCH(Q65,보유목록!$I$2:$I$3001))*(보유목록!$H$2:$H$3001=O65)),보유목록!$B$2:$B$3001),IFERROR(LOOKUP(2,1/(ISNUMBER(SEARCH(P65,보유목록!$I$2:$I$3001))*ISNUMBER(SEARCH(Q65,보유목록!$I$2:$I$3001))),보유목록!$B$2:$B$3001),"")))</f>
      </c>
      <c r="N65" s="25"/>
      <c r="O65" t="str">
        <f>IFERROR(IF(AND(LEN(SUBSTITUTE(SUBSTITUTE(SUBSTITUTE(TRIM(C65&amp;""),CHAR(160),"")," ",""),"년",""))=4,VALUE(SUBSTITUTE(SUBSTITUTE(SUBSTITUTE(TRIM(C65&amp;""),CHAR(160),"")," ",""),"년",""))&gt;=1900,VALUE(SUBSTITUTE(SUBSTITUTE(SUBSTITUTE(TRIM(C65&amp;""),CHAR(160),"")," ",""),"년",""))&lt;=2099,TEXT(VALUE(SUBSTITUTE(SUBSTITUTE(SUBSTITUTE(TRIM(C65&amp;""),CHAR(160),"")," ",""),"년","")),"0000")=SUBSTITUTE(SUBSTITUTE(SUBSTITUTE(TRIM(C65&amp;""),CHAR(160),"")," ",""),"년","")),SUBSTITUTE(SUBSTITUTE(SUBSTITUTE(TRIM(C65&amp;""),CHAR(160),"")," ",""),"년",""),""),"")</f>
      </c>
      <c r="P65" t="str">
        <f>SUBSTITUTE(SUBSTITUTE(SUBSTITUTE(SUBSTITUTE(SUBSTITUTE(SUBSTITUTE(SUBSTITUTE(SUBSTITUTE(TRIM(D65&amp;""),CHAR(160),"")," ",""),"초등학교","초"),"중학교","중"),"고등학교","고"),"~","~~"),"*","~*"),"?","~?")</f>
      </c>
      <c r="Q65" t="str">
        <f>SUBSTITUTE(SUBSTITUTE(SUBSTITUTE(SUBSTITUTE(SUBSTITUTE(SUBSTITUTE(SUBSTITUTE(SUBSTITUTE(TRIM(E65&amp;""),CHAR(160),"")," ",""),"초등학교","초"),"중학교","중"),"고등학교","고"),"~","~~"),"*","~*"),"?","~?")</f>
      </c>
      <c r="R65" t="str">
        <f>IF(COUNTA(B65:J65)=0,"",IF(AND(O65&lt;&gt;"",P65&lt;&gt;"",Q65&lt;&gt;""),"","입력누락"))</f>
      </c>
    </row>
    <row r="66" customFormat="false" ht="15" hidden="false" customHeight="false" outlineLevel="0" collapsed="false">
      <c r="A66" t="n" s="19">
        <f aca="0">IF(COUNTA(B66:J66)=0,"",ROW()-1)</f>
      </c>
      <c r="B66" s="24"/>
      <c r="C66" s="25"/>
      <c r="D66" s="8"/>
      <c r="E66" s="8"/>
      <c r="F66" s="26"/>
      <c r="G66" s="24"/>
      <c r="H66" s="25"/>
      <c r="I66" s="25"/>
      <c r="J66" s="26"/>
      <c r="K66" t="str" s="15">
        <f aca="0">IF(COUNTA(B66:J66)=0,"",IF(R66&lt;&gt;"","확인필요(입력누락)",IF(COUNTIFS(보유목록!$I$2:$I$3001,"*"&amp;P66&amp;"*",보유목록!$I$2:$I$3001,"*"&amp;Q66&amp;"*",보유목록!$H$2:$H$3001,O66)&gt;0,"있음",IF(COUNTIFS(보유목록!$I$2:$I$3001,"*"&amp;P66&amp;"*",보유목록!$I$2:$I$3001,"*"&amp;Q66&amp;"*")&gt;0,"확인필요(연도다름)",IF(COUNTIFS(보유목록!$I$2:$I$3001,"*"&amp;P66&amp;"*",보유목록!$H$2:$H$3001,O66)&gt;0,"확인필요(같은학교·같은연도)","없음")))))</f>
      </c>
      <c r="L66" t="str" s="16">
        <f aca="0">IF(OR(COUNTA(B66:J66)=0,R66&lt;&gt;""),"",COUNTIFS(보유목록!$I$2:$I$3001,"*"&amp;P66&amp;"*",보유목록!$I$2:$I$3001,"*"&amp;Q66&amp;"*"))</f>
      </c>
      <c r="M66" t="str" s="23">
        <f aca="0">IF(OR(COUNTA(B66:J66)=0,R66&lt;&gt;""),"",IFERROR(LOOKUP(2,1/(ISNUMBER(SEARCH(P66,보유목록!$I$2:$I$3001))*ISNUMBER(SEARCH(Q66,보유목록!$I$2:$I$3001))*(보유목록!$H$2:$H$3001=O66)),보유목록!$B$2:$B$3001),IFERROR(LOOKUP(2,1/(ISNUMBER(SEARCH(P66,보유목록!$I$2:$I$3001))*ISNUMBER(SEARCH(Q66,보유목록!$I$2:$I$3001))),보유목록!$B$2:$B$3001),"")))</f>
      </c>
      <c r="N66" s="25"/>
      <c r="O66" t="str">
        <f>IFERROR(IF(AND(LEN(SUBSTITUTE(SUBSTITUTE(SUBSTITUTE(TRIM(C66&amp;""),CHAR(160),"")," ",""),"년",""))=4,VALUE(SUBSTITUTE(SUBSTITUTE(SUBSTITUTE(TRIM(C66&amp;""),CHAR(160),"")," ",""),"년",""))&gt;=1900,VALUE(SUBSTITUTE(SUBSTITUTE(SUBSTITUTE(TRIM(C66&amp;""),CHAR(160),"")," ",""),"년",""))&lt;=2099,TEXT(VALUE(SUBSTITUTE(SUBSTITUTE(SUBSTITUTE(TRIM(C66&amp;""),CHAR(160),"")," ",""),"년","")),"0000")=SUBSTITUTE(SUBSTITUTE(SUBSTITUTE(TRIM(C66&amp;""),CHAR(160),"")," ",""),"년","")),SUBSTITUTE(SUBSTITUTE(SUBSTITUTE(TRIM(C66&amp;""),CHAR(160),"")," ",""),"년",""),""),"")</f>
      </c>
      <c r="P66" t="str">
        <f>SUBSTITUTE(SUBSTITUTE(SUBSTITUTE(SUBSTITUTE(SUBSTITUTE(SUBSTITUTE(SUBSTITUTE(SUBSTITUTE(TRIM(D66&amp;""),CHAR(160),"")," ",""),"초등학교","초"),"중학교","중"),"고등학교","고"),"~","~~"),"*","~*"),"?","~?")</f>
      </c>
      <c r="Q66" t="str">
        <f>SUBSTITUTE(SUBSTITUTE(SUBSTITUTE(SUBSTITUTE(SUBSTITUTE(SUBSTITUTE(SUBSTITUTE(SUBSTITUTE(TRIM(E66&amp;""),CHAR(160),"")," ",""),"초등학교","초"),"중학교","중"),"고등학교","고"),"~","~~"),"*","~*"),"?","~?")</f>
      </c>
      <c r="R66" t="str">
        <f>IF(COUNTA(B66:J66)=0,"",IF(AND(O66&lt;&gt;"",P66&lt;&gt;"",Q66&lt;&gt;""),"","입력누락"))</f>
      </c>
    </row>
    <row r="67" customFormat="false" ht="15" hidden="false" customHeight="false" outlineLevel="0" collapsed="false">
      <c r="A67" t="n" s="19">
        <f aca="0">IF(COUNTA(B67:J67)=0,"",ROW()-1)</f>
      </c>
      <c r="B67" s="24"/>
      <c r="C67" s="25"/>
      <c r="D67" s="8"/>
      <c r="E67" s="8"/>
      <c r="F67" s="26"/>
      <c r="G67" s="24"/>
      <c r="H67" s="25"/>
      <c r="I67" s="25"/>
      <c r="J67" s="26"/>
      <c r="K67" t="str" s="15">
        <f aca="0">IF(COUNTA(B67:J67)=0,"",IF(R67&lt;&gt;"","확인필요(입력누락)",IF(COUNTIFS(보유목록!$I$2:$I$3001,"*"&amp;P67&amp;"*",보유목록!$I$2:$I$3001,"*"&amp;Q67&amp;"*",보유목록!$H$2:$H$3001,O67)&gt;0,"있음",IF(COUNTIFS(보유목록!$I$2:$I$3001,"*"&amp;P67&amp;"*",보유목록!$I$2:$I$3001,"*"&amp;Q67&amp;"*")&gt;0,"확인필요(연도다름)",IF(COUNTIFS(보유목록!$I$2:$I$3001,"*"&amp;P67&amp;"*",보유목록!$H$2:$H$3001,O67)&gt;0,"확인필요(같은학교·같은연도)","없음")))))</f>
      </c>
      <c r="L67" t="str" s="16">
        <f aca="0">IF(OR(COUNTA(B67:J67)=0,R67&lt;&gt;""),"",COUNTIFS(보유목록!$I$2:$I$3001,"*"&amp;P67&amp;"*",보유목록!$I$2:$I$3001,"*"&amp;Q67&amp;"*"))</f>
      </c>
      <c r="M67" t="str" s="23">
        <f aca="0">IF(OR(COUNTA(B67:J67)=0,R67&lt;&gt;""),"",IFERROR(LOOKUP(2,1/(ISNUMBER(SEARCH(P67,보유목록!$I$2:$I$3001))*ISNUMBER(SEARCH(Q67,보유목록!$I$2:$I$3001))*(보유목록!$H$2:$H$3001=O67)),보유목록!$B$2:$B$3001),IFERROR(LOOKUP(2,1/(ISNUMBER(SEARCH(P67,보유목록!$I$2:$I$3001))*ISNUMBER(SEARCH(Q67,보유목록!$I$2:$I$3001))),보유목록!$B$2:$B$3001),"")))</f>
      </c>
      <c r="N67" s="25"/>
      <c r="O67" t="str">
        <f>IFERROR(IF(AND(LEN(SUBSTITUTE(SUBSTITUTE(SUBSTITUTE(TRIM(C67&amp;""),CHAR(160),"")," ",""),"년",""))=4,VALUE(SUBSTITUTE(SUBSTITUTE(SUBSTITUTE(TRIM(C67&amp;""),CHAR(160),"")," ",""),"년",""))&gt;=1900,VALUE(SUBSTITUTE(SUBSTITUTE(SUBSTITUTE(TRIM(C67&amp;""),CHAR(160),"")," ",""),"년",""))&lt;=2099,TEXT(VALUE(SUBSTITUTE(SUBSTITUTE(SUBSTITUTE(TRIM(C67&amp;""),CHAR(160),"")," ",""),"년","")),"0000")=SUBSTITUTE(SUBSTITUTE(SUBSTITUTE(TRIM(C67&amp;""),CHAR(160),"")," ",""),"년","")),SUBSTITUTE(SUBSTITUTE(SUBSTITUTE(TRIM(C67&amp;""),CHAR(160),"")," ",""),"년",""),""),"")</f>
      </c>
      <c r="P67" t="str">
        <f>SUBSTITUTE(SUBSTITUTE(SUBSTITUTE(SUBSTITUTE(SUBSTITUTE(SUBSTITUTE(SUBSTITUTE(SUBSTITUTE(TRIM(D67&amp;""),CHAR(160),"")," ",""),"초등학교","초"),"중학교","중"),"고등학교","고"),"~","~~"),"*","~*"),"?","~?")</f>
      </c>
      <c r="Q67" t="str">
        <f>SUBSTITUTE(SUBSTITUTE(SUBSTITUTE(SUBSTITUTE(SUBSTITUTE(SUBSTITUTE(SUBSTITUTE(SUBSTITUTE(TRIM(E67&amp;""),CHAR(160),"")," ",""),"초등학교","초"),"중학교","중"),"고등학교","고"),"~","~~"),"*","~*"),"?","~?")</f>
      </c>
      <c r="R67" t="str">
        <f>IF(COUNTA(B67:J67)=0,"",IF(AND(O67&lt;&gt;"",P67&lt;&gt;"",Q67&lt;&gt;""),"","입력누락"))</f>
      </c>
    </row>
    <row r="68" customFormat="false" ht="15" hidden="false" customHeight="false" outlineLevel="0" collapsed="false">
      <c r="A68" t="n" s="19">
        <f aca="0">IF(COUNTA(B68:J68)=0,"",ROW()-1)</f>
      </c>
      <c r="B68" s="24"/>
      <c r="C68" s="25"/>
      <c r="D68" s="8"/>
      <c r="E68" s="8"/>
      <c r="F68" s="26"/>
      <c r="G68" s="24"/>
      <c r="H68" s="25"/>
      <c r="I68" s="25"/>
      <c r="J68" s="26"/>
      <c r="K68" t="str" s="15">
        <f aca="0">IF(COUNTA(B68:J68)=0,"",IF(R68&lt;&gt;"","확인필요(입력누락)",IF(COUNTIFS(보유목록!$I$2:$I$3001,"*"&amp;P68&amp;"*",보유목록!$I$2:$I$3001,"*"&amp;Q68&amp;"*",보유목록!$H$2:$H$3001,O68)&gt;0,"있음",IF(COUNTIFS(보유목록!$I$2:$I$3001,"*"&amp;P68&amp;"*",보유목록!$I$2:$I$3001,"*"&amp;Q68&amp;"*")&gt;0,"확인필요(연도다름)",IF(COUNTIFS(보유목록!$I$2:$I$3001,"*"&amp;P68&amp;"*",보유목록!$H$2:$H$3001,O68)&gt;0,"확인필요(같은학교·같은연도)","없음")))))</f>
      </c>
      <c r="L68" t="str" s="16">
        <f aca="0">IF(OR(COUNTA(B68:J68)=0,R68&lt;&gt;""),"",COUNTIFS(보유목록!$I$2:$I$3001,"*"&amp;P68&amp;"*",보유목록!$I$2:$I$3001,"*"&amp;Q68&amp;"*"))</f>
      </c>
      <c r="M68" t="str" s="23">
        <f aca="0">IF(OR(COUNTA(B68:J68)=0,R68&lt;&gt;""),"",IFERROR(LOOKUP(2,1/(ISNUMBER(SEARCH(P68,보유목록!$I$2:$I$3001))*ISNUMBER(SEARCH(Q68,보유목록!$I$2:$I$3001))*(보유목록!$H$2:$H$3001=O68)),보유목록!$B$2:$B$3001),IFERROR(LOOKUP(2,1/(ISNUMBER(SEARCH(P68,보유목록!$I$2:$I$3001))*ISNUMBER(SEARCH(Q68,보유목록!$I$2:$I$3001))),보유목록!$B$2:$B$3001),"")))</f>
      </c>
      <c r="N68" s="25"/>
      <c r="O68" t="str">
        <f>IFERROR(IF(AND(LEN(SUBSTITUTE(SUBSTITUTE(SUBSTITUTE(TRIM(C68&amp;""),CHAR(160),"")," ",""),"년",""))=4,VALUE(SUBSTITUTE(SUBSTITUTE(SUBSTITUTE(TRIM(C68&amp;""),CHAR(160),"")," ",""),"년",""))&gt;=1900,VALUE(SUBSTITUTE(SUBSTITUTE(SUBSTITUTE(TRIM(C68&amp;""),CHAR(160),"")," ",""),"년",""))&lt;=2099,TEXT(VALUE(SUBSTITUTE(SUBSTITUTE(SUBSTITUTE(TRIM(C68&amp;""),CHAR(160),"")," ",""),"년","")),"0000")=SUBSTITUTE(SUBSTITUTE(SUBSTITUTE(TRIM(C68&amp;""),CHAR(160),"")," ",""),"년","")),SUBSTITUTE(SUBSTITUTE(SUBSTITUTE(TRIM(C68&amp;""),CHAR(160),"")," ",""),"년",""),""),"")</f>
      </c>
      <c r="P68" t="str">
        <f>SUBSTITUTE(SUBSTITUTE(SUBSTITUTE(SUBSTITUTE(SUBSTITUTE(SUBSTITUTE(SUBSTITUTE(SUBSTITUTE(TRIM(D68&amp;""),CHAR(160),"")," ",""),"초등학교","초"),"중학교","중"),"고등학교","고"),"~","~~"),"*","~*"),"?","~?")</f>
      </c>
      <c r="Q68" t="str">
        <f>SUBSTITUTE(SUBSTITUTE(SUBSTITUTE(SUBSTITUTE(SUBSTITUTE(SUBSTITUTE(SUBSTITUTE(SUBSTITUTE(TRIM(E68&amp;""),CHAR(160),"")," ",""),"초등학교","초"),"중학교","중"),"고등학교","고"),"~","~~"),"*","~*"),"?","~?")</f>
      </c>
      <c r="R68" t="str">
        <f>IF(COUNTA(B68:J68)=0,"",IF(AND(O68&lt;&gt;"",P68&lt;&gt;"",Q68&lt;&gt;""),"","입력누락"))</f>
      </c>
    </row>
    <row r="69" customFormat="false" ht="15" hidden="false" customHeight="false" outlineLevel="0" collapsed="false">
      <c r="A69" t="n" s="19">
        <f aca="0">IF(COUNTA(B69:J69)=0,"",ROW()-1)</f>
      </c>
      <c r="B69" s="24"/>
      <c r="C69" s="25"/>
      <c r="D69" s="8"/>
      <c r="E69" s="8"/>
      <c r="F69" s="26"/>
      <c r="G69" s="24"/>
      <c r="H69" s="25"/>
      <c r="I69" s="25"/>
      <c r="J69" s="26"/>
      <c r="K69" t="str" s="15">
        <f aca="0">IF(COUNTA(B69:J69)=0,"",IF(R69&lt;&gt;"","확인필요(입력누락)",IF(COUNTIFS(보유목록!$I$2:$I$3001,"*"&amp;P69&amp;"*",보유목록!$I$2:$I$3001,"*"&amp;Q69&amp;"*",보유목록!$H$2:$H$3001,O69)&gt;0,"있음",IF(COUNTIFS(보유목록!$I$2:$I$3001,"*"&amp;P69&amp;"*",보유목록!$I$2:$I$3001,"*"&amp;Q69&amp;"*")&gt;0,"확인필요(연도다름)",IF(COUNTIFS(보유목록!$I$2:$I$3001,"*"&amp;P69&amp;"*",보유목록!$H$2:$H$3001,O69)&gt;0,"확인필요(같은학교·같은연도)","없음")))))</f>
      </c>
      <c r="L69" t="str" s="16">
        <f aca="0">IF(OR(COUNTA(B69:J69)=0,R69&lt;&gt;""),"",COUNTIFS(보유목록!$I$2:$I$3001,"*"&amp;P69&amp;"*",보유목록!$I$2:$I$3001,"*"&amp;Q69&amp;"*"))</f>
      </c>
      <c r="M69" t="str" s="23">
        <f aca="0">IF(OR(COUNTA(B69:J69)=0,R69&lt;&gt;""),"",IFERROR(LOOKUP(2,1/(ISNUMBER(SEARCH(P69,보유목록!$I$2:$I$3001))*ISNUMBER(SEARCH(Q69,보유목록!$I$2:$I$3001))*(보유목록!$H$2:$H$3001=O69)),보유목록!$B$2:$B$3001),IFERROR(LOOKUP(2,1/(ISNUMBER(SEARCH(P69,보유목록!$I$2:$I$3001))*ISNUMBER(SEARCH(Q69,보유목록!$I$2:$I$3001))),보유목록!$B$2:$B$3001),"")))</f>
      </c>
      <c r="N69" s="25"/>
      <c r="O69" t="str">
        <f>IFERROR(IF(AND(LEN(SUBSTITUTE(SUBSTITUTE(SUBSTITUTE(TRIM(C69&amp;""),CHAR(160),"")," ",""),"년",""))=4,VALUE(SUBSTITUTE(SUBSTITUTE(SUBSTITUTE(TRIM(C69&amp;""),CHAR(160),"")," ",""),"년",""))&gt;=1900,VALUE(SUBSTITUTE(SUBSTITUTE(SUBSTITUTE(TRIM(C69&amp;""),CHAR(160),"")," ",""),"년",""))&lt;=2099,TEXT(VALUE(SUBSTITUTE(SUBSTITUTE(SUBSTITUTE(TRIM(C69&amp;""),CHAR(160),"")," ",""),"년","")),"0000")=SUBSTITUTE(SUBSTITUTE(SUBSTITUTE(TRIM(C69&amp;""),CHAR(160),"")," ",""),"년","")),SUBSTITUTE(SUBSTITUTE(SUBSTITUTE(TRIM(C69&amp;""),CHAR(160),"")," ",""),"년",""),""),"")</f>
      </c>
      <c r="P69" t="str">
        <f>SUBSTITUTE(SUBSTITUTE(SUBSTITUTE(SUBSTITUTE(SUBSTITUTE(SUBSTITUTE(SUBSTITUTE(SUBSTITUTE(TRIM(D69&amp;""),CHAR(160),"")," ",""),"초등학교","초"),"중학교","중"),"고등학교","고"),"~","~~"),"*","~*"),"?","~?")</f>
      </c>
      <c r="Q69" t="str">
        <f>SUBSTITUTE(SUBSTITUTE(SUBSTITUTE(SUBSTITUTE(SUBSTITUTE(SUBSTITUTE(SUBSTITUTE(SUBSTITUTE(TRIM(E69&amp;""),CHAR(160),"")," ",""),"초등학교","초"),"중학교","중"),"고등학교","고"),"~","~~"),"*","~*"),"?","~?")</f>
      </c>
      <c r="R69" t="str">
        <f>IF(COUNTA(B69:J69)=0,"",IF(AND(O69&lt;&gt;"",P69&lt;&gt;"",Q69&lt;&gt;""),"","입력누락"))</f>
      </c>
    </row>
    <row r="70" customFormat="false" ht="15" hidden="false" customHeight="false" outlineLevel="0" collapsed="false">
      <c r="A70" t="n" s="19">
        <f aca="0">IF(COUNTA(B70:J70)=0,"",ROW()-1)</f>
      </c>
      <c r="B70" s="24"/>
      <c r="C70" s="25"/>
      <c r="D70" s="8"/>
      <c r="E70" s="8"/>
      <c r="F70" s="26"/>
      <c r="G70" s="24"/>
      <c r="H70" s="25"/>
      <c r="I70" s="25"/>
      <c r="J70" s="26"/>
      <c r="K70" t="str" s="15">
        <f aca="0">IF(COUNTA(B70:J70)=0,"",IF(R70&lt;&gt;"","확인필요(입력누락)",IF(COUNTIFS(보유목록!$I$2:$I$3001,"*"&amp;P70&amp;"*",보유목록!$I$2:$I$3001,"*"&amp;Q70&amp;"*",보유목록!$H$2:$H$3001,O70)&gt;0,"있음",IF(COUNTIFS(보유목록!$I$2:$I$3001,"*"&amp;P70&amp;"*",보유목록!$I$2:$I$3001,"*"&amp;Q70&amp;"*")&gt;0,"확인필요(연도다름)",IF(COUNTIFS(보유목록!$I$2:$I$3001,"*"&amp;P70&amp;"*",보유목록!$H$2:$H$3001,O70)&gt;0,"확인필요(같은학교·같은연도)","없음")))))</f>
      </c>
      <c r="L70" t="str" s="16">
        <f aca="0">IF(OR(COUNTA(B70:J70)=0,R70&lt;&gt;""),"",COUNTIFS(보유목록!$I$2:$I$3001,"*"&amp;P70&amp;"*",보유목록!$I$2:$I$3001,"*"&amp;Q70&amp;"*"))</f>
      </c>
      <c r="M70" t="str" s="23">
        <f aca="0">IF(OR(COUNTA(B70:J70)=0,R70&lt;&gt;""),"",IFERROR(LOOKUP(2,1/(ISNUMBER(SEARCH(P70,보유목록!$I$2:$I$3001))*ISNUMBER(SEARCH(Q70,보유목록!$I$2:$I$3001))*(보유목록!$H$2:$H$3001=O70)),보유목록!$B$2:$B$3001),IFERROR(LOOKUP(2,1/(ISNUMBER(SEARCH(P70,보유목록!$I$2:$I$3001))*ISNUMBER(SEARCH(Q70,보유목록!$I$2:$I$3001))),보유목록!$B$2:$B$3001),"")))</f>
      </c>
      <c r="N70" s="25"/>
      <c r="O70" t="str">
        <f>IFERROR(IF(AND(LEN(SUBSTITUTE(SUBSTITUTE(SUBSTITUTE(TRIM(C70&amp;""),CHAR(160),"")," ",""),"년",""))=4,VALUE(SUBSTITUTE(SUBSTITUTE(SUBSTITUTE(TRIM(C70&amp;""),CHAR(160),"")," ",""),"년",""))&gt;=1900,VALUE(SUBSTITUTE(SUBSTITUTE(SUBSTITUTE(TRIM(C70&amp;""),CHAR(160),"")," ",""),"년",""))&lt;=2099,TEXT(VALUE(SUBSTITUTE(SUBSTITUTE(SUBSTITUTE(TRIM(C70&amp;""),CHAR(160),"")," ",""),"년","")),"0000")=SUBSTITUTE(SUBSTITUTE(SUBSTITUTE(TRIM(C70&amp;""),CHAR(160),"")," ",""),"년","")),SUBSTITUTE(SUBSTITUTE(SUBSTITUTE(TRIM(C70&amp;""),CHAR(160),"")," ",""),"년",""),""),"")</f>
      </c>
      <c r="P70" t="str">
        <f>SUBSTITUTE(SUBSTITUTE(SUBSTITUTE(SUBSTITUTE(SUBSTITUTE(SUBSTITUTE(SUBSTITUTE(SUBSTITUTE(TRIM(D70&amp;""),CHAR(160),"")," ",""),"초등학교","초"),"중학교","중"),"고등학교","고"),"~","~~"),"*","~*"),"?","~?")</f>
      </c>
      <c r="Q70" t="str">
        <f>SUBSTITUTE(SUBSTITUTE(SUBSTITUTE(SUBSTITUTE(SUBSTITUTE(SUBSTITUTE(SUBSTITUTE(SUBSTITUTE(TRIM(E70&amp;""),CHAR(160),"")," ",""),"초등학교","초"),"중학교","중"),"고등학교","고"),"~","~~"),"*","~*"),"?","~?")</f>
      </c>
      <c r="R70" t="str">
        <f>IF(COUNTA(B70:J70)=0,"",IF(AND(O70&lt;&gt;"",P70&lt;&gt;"",Q70&lt;&gt;""),"","입력누락"))</f>
      </c>
    </row>
    <row r="71" customFormat="false" ht="15" hidden="false" customHeight="false" outlineLevel="0" collapsed="false">
      <c r="A71" t="n" s="19">
        <f aca="0">IF(COUNTA(B71:J71)=0,"",ROW()-1)</f>
      </c>
      <c r="B71" s="24"/>
      <c r="C71" s="25"/>
      <c r="D71" s="8"/>
      <c r="E71" s="8"/>
      <c r="F71" s="26"/>
      <c r="G71" s="24"/>
      <c r="H71" s="25"/>
      <c r="I71" s="25"/>
      <c r="J71" s="26"/>
      <c r="K71" t="str" s="15">
        <f aca="0">IF(COUNTA(B71:J71)=0,"",IF(R71&lt;&gt;"","확인필요(입력누락)",IF(COUNTIFS(보유목록!$I$2:$I$3001,"*"&amp;P71&amp;"*",보유목록!$I$2:$I$3001,"*"&amp;Q71&amp;"*",보유목록!$H$2:$H$3001,O71)&gt;0,"있음",IF(COUNTIFS(보유목록!$I$2:$I$3001,"*"&amp;P71&amp;"*",보유목록!$I$2:$I$3001,"*"&amp;Q71&amp;"*")&gt;0,"확인필요(연도다름)",IF(COUNTIFS(보유목록!$I$2:$I$3001,"*"&amp;P71&amp;"*",보유목록!$H$2:$H$3001,O71)&gt;0,"확인필요(같은학교·같은연도)","없음")))))</f>
      </c>
      <c r="L71" t="str" s="16">
        <f aca="0">IF(OR(COUNTA(B71:J71)=0,R71&lt;&gt;""),"",COUNTIFS(보유목록!$I$2:$I$3001,"*"&amp;P71&amp;"*",보유목록!$I$2:$I$3001,"*"&amp;Q71&amp;"*"))</f>
      </c>
      <c r="M71" t="str" s="23">
        <f aca="0">IF(OR(COUNTA(B71:J71)=0,R71&lt;&gt;""),"",IFERROR(LOOKUP(2,1/(ISNUMBER(SEARCH(P71,보유목록!$I$2:$I$3001))*ISNUMBER(SEARCH(Q71,보유목록!$I$2:$I$3001))*(보유목록!$H$2:$H$3001=O71)),보유목록!$B$2:$B$3001),IFERROR(LOOKUP(2,1/(ISNUMBER(SEARCH(P71,보유목록!$I$2:$I$3001))*ISNUMBER(SEARCH(Q71,보유목록!$I$2:$I$3001))),보유목록!$B$2:$B$3001),"")))</f>
      </c>
      <c r="N71" s="25"/>
      <c r="O71" t="str">
        <f>IFERROR(IF(AND(LEN(SUBSTITUTE(SUBSTITUTE(SUBSTITUTE(TRIM(C71&amp;""),CHAR(160),"")," ",""),"년",""))=4,VALUE(SUBSTITUTE(SUBSTITUTE(SUBSTITUTE(TRIM(C71&amp;""),CHAR(160),"")," ",""),"년",""))&gt;=1900,VALUE(SUBSTITUTE(SUBSTITUTE(SUBSTITUTE(TRIM(C71&amp;""),CHAR(160),"")," ",""),"년",""))&lt;=2099,TEXT(VALUE(SUBSTITUTE(SUBSTITUTE(SUBSTITUTE(TRIM(C71&amp;""),CHAR(160),"")," ",""),"년","")),"0000")=SUBSTITUTE(SUBSTITUTE(SUBSTITUTE(TRIM(C71&amp;""),CHAR(160),"")," ",""),"년","")),SUBSTITUTE(SUBSTITUTE(SUBSTITUTE(TRIM(C71&amp;""),CHAR(160),"")," ",""),"년",""),""),"")</f>
      </c>
      <c r="P71" t="str">
        <f>SUBSTITUTE(SUBSTITUTE(SUBSTITUTE(SUBSTITUTE(SUBSTITUTE(SUBSTITUTE(SUBSTITUTE(SUBSTITUTE(TRIM(D71&amp;""),CHAR(160),"")," ",""),"초등학교","초"),"중학교","중"),"고등학교","고"),"~","~~"),"*","~*"),"?","~?")</f>
      </c>
      <c r="Q71" t="str">
        <f>SUBSTITUTE(SUBSTITUTE(SUBSTITUTE(SUBSTITUTE(SUBSTITUTE(SUBSTITUTE(SUBSTITUTE(SUBSTITUTE(TRIM(E71&amp;""),CHAR(160),"")," ",""),"초등학교","초"),"중학교","중"),"고등학교","고"),"~","~~"),"*","~*"),"?","~?")</f>
      </c>
      <c r="R71" t="str">
        <f>IF(COUNTA(B71:J71)=0,"",IF(AND(O71&lt;&gt;"",P71&lt;&gt;"",Q71&lt;&gt;""),"","입력누락"))</f>
      </c>
    </row>
    <row r="72" customFormat="false" ht="15" hidden="false" customHeight="false" outlineLevel="0" collapsed="false">
      <c r="A72" t="n" s="19">
        <f aca="0">IF(COUNTA(B72:J72)=0,"",ROW()-1)</f>
      </c>
      <c r="B72" s="24"/>
      <c r="C72" s="25"/>
      <c r="D72" s="8"/>
      <c r="E72" s="8"/>
      <c r="F72" s="26"/>
      <c r="G72" s="24"/>
      <c r="H72" s="25"/>
      <c r="I72" s="25"/>
      <c r="J72" s="26"/>
      <c r="K72" t="str" s="15">
        <f aca="0">IF(COUNTA(B72:J72)=0,"",IF(R72&lt;&gt;"","확인필요(입력누락)",IF(COUNTIFS(보유목록!$I$2:$I$3001,"*"&amp;P72&amp;"*",보유목록!$I$2:$I$3001,"*"&amp;Q72&amp;"*",보유목록!$H$2:$H$3001,O72)&gt;0,"있음",IF(COUNTIFS(보유목록!$I$2:$I$3001,"*"&amp;P72&amp;"*",보유목록!$I$2:$I$3001,"*"&amp;Q72&amp;"*")&gt;0,"확인필요(연도다름)",IF(COUNTIFS(보유목록!$I$2:$I$3001,"*"&amp;P72&amp;"*",보유목록!$H$2:$H$3001,O72)&gt;0,"확인필요(같은학교·같은연도)","없음")))))</f>
      </c>
      <c r="L72" t="str" s="16">
        <f aca="0">IF(OR(COUNTA(B72:J72)=0,R72&lt;&gt;""),"",COUNTIFS(보유목록!$I$2:$I$3001,"*"&amp;P72&amp;"*",보유목록!$I$2:$I$3001,"*"&amp;Q72&amp;"*"))</f>
      </c>
      <c r="M72" t="str" s="23">
        <f aca="0">IF(OR(COUNTA(B72:J72)=0,R72&lt;&gt;""),"",IFERROR(LOOKUP(2,1/(ISNUMBER(SEARCH(P72,보유목록!$I$2:$I$3001))*ISNUMBER(SEARCH(Q72,보유목록!$I$2:$I$3001))*(보유목록!$H$2:$H$3001=O72)),보유목록!$B$2:$B$3001),IFERROR(LOOKUP(2,1/(ISNUMBER(SEARCH(P72,보유목록!$I$2:$I$3001))*ISNUMBER(SEARCH(Q72,보유목록!$I$2:$I$3001))),보유목록!$B$2:$B$3001),"")))</f>
      </c>
      <c r="N72" s="25"/>
      <c r="O72" t="str">
        <f>IFERROR(IF(AND(LEN(SUBSTITUTE(SUBSTITUTE(SUBSTITUTE(TRIM(C72&amp;""),CHAR(160),"")," ",""),"년",""))=4,VALUE(SUBSTITUTE(SUBSTITUTE(SUBSTITUTE(TRIM(C72&amp;""),CHAR(160),"")," ",""),"년",""))&gt;=1900,VALUE(SUBSTITUTE(SUBSTITUTE(SUBSTITUTE(TRIM(C72&amp;""),CHAR(160),"")," ",""),"년",""))&lt;=2099,TEXT(VALUE(SUBSTITUTE(SUBSTITUTE(SUBSTITUTE(TRIM(C72&amp;""),CHAR(160),"")," ",""),"년","")),"0000")=SUBSTITUTE(SUBSTITUTE(SUBSTITUTE(TRIM(C72&amp;""),CHAR(160),"")," ",""),"년","")),SUBSTITUTE(SUBSTITUTE(SUBSTITUTE(TRIM(C72&amp;""),CHAR(160),"")," ",""),"년",""),""),"")</f>
      </c>
      <c r="P72" t="str">
        <f>SUBSTITUTE(SUBSTITUTE(SUBSTITUTE(SUBSTITUTE(SUBSTITUTE(SUBSTITUTE(SUBSTITUTE(SUBSTITUTE(TRIM(D72&amp;""),CHAR(160),"")," ",""),"초등학교","초"),"중학교","중"),"고등학교","고"),"~","~~"),"*","~*"),"?","~?")</f>
      </c>
      <c r="Q72" t="str">
        <f>SUBSTITUTE(SUBSTITUTE(SUBSTITUTE(SUBSTITUTE(SUBSTITUTE(SUBSTITUTE(SUBSTITUTE(SUBSTITUTE(TRIM(E72&amp;""),CHAR(160),"")," ",""),"초등학교","초"),"중학교","중"),"고등학교","고"),"~","~~"),"*","~*"),"?","~?")</f>
      </c>
      <c r="R72" t="str">
        <f>IF(COUNTA(B72:J72)=0,"",IF(AND(O72&lt;&gt;"",P72&lt;&gt;"",Q72&lt;&gt;""),"","입력누락"))</f>
      </c>
    </row>
    <row r="73" customFormat="false" ht="15" hidden="false" customHeight="false" outlineLevel="0" collapsed="false">
      <c r="A73" t="n" s="19">
        <f aca="0">IF(COUNTA(B73:J73)=0,"",ROW()-1)</f>
      </c>
      <c r="B73" s="24"/>
      <c r="C73" s="25"/>
      <c r="D73" s="8"/>
      <c r="E73" s="8"/>
      <c r="F73" s="26"/>
      <c r="G73" s="24"/>
      <c r="H73" s="25"/>
      <c r="I73" s="25"/>
      <c r="J73" s="26"/>
      <c r="K73" t="str" s="15">
        <f aca="0">IF(COUNTA(B73:J73)=0,"",IF(R73&lt;&gt;"","확인필요(입력누락)",IF(COUNTIFS(보유목록!$I$2:$I$3001,"*"&amp;P73&amp;"*",보유목록!$I$2:$I$3001,"*"&amp;Q73&amp;"*",보유목록!$H$2:$H$3001,O73)&gt;0,"있음",IF(COUNTIFS(보유목록!$I$2:$I$3001,"*"&amp;P73&amp;"*",보유목록!$I$2:$I$3001,"*"&amp;Q73&amp;"*")&gt;0,"확인필요(연도다름)",IF(COUNTIFS(보유목록!$I$2:$I$3001,"*"&amp;P73&amp;"*",보유목록!$H$2:$H$3001,O73)&gt;0,"확인필요(같은학교·같은연도)","없음")))))</f>
      </c>
      <c r="L73" t="str" s="16">
        <f aca="0">IF(OR(COUNTA(B73:J73)=0,R73&lt;&gt;""),"",COUNTIFS(보유목록!$I$2:$I$3001,"*"&amp;P73&amp;"*",보유목록!$I$2:$I$3001,"*"&amp;Q73&amp;"*"))</f>
      </c>
      <c r="M73" t="str" s="23">
        <f aca="0">IF(OR(COUNTA(B73:J73)=0,R73&lt;&gt;""),"",IFERROR(LOOKUP(2,1/(ISNUMBER(SEARCH(P73,보유목록!$I$2:$I$3001))*ISNUMBER(SEARCH(Q73,보유목록!$I$2:$I$3001))*(보유목록!$H$2:$H$3001=O73)),보유목록!$B$2:$B$3001),IFERROR(LOOKUP(2,1/(ISNUMBER(SEARCH(P73,보유목록!$I$2:$I$3001))*ISNUMBER(SEARCH(Q73,보유목록!$I$2:$I$3001))),보유목록!$B$2:$B$3001),"")))</f>
      </c>
      <c r="N73" s="25"/>
      <c r="O73" t="str">
        <f>IFERROR(IF(AND(LEN(SUBSTITUTE(SUBSTITUTE(SUBSTITUTE(TRIM(C73&amp;""),CHAR(160),"")," ",""),"년",""))=4,VALUE(SUBSTITUTE(SUBSTITUTE(SUBSTITUTE(TRIM(C73&amp;""),CHAR(160),"")," ",""),"년",""))&gt;=1900,VALUE(SUBSTITUTE(SUBSTITUTE(SUBSTITUTE(TRIM(C73&amp;""),CHAR(160),"")," ",""),"년",""))&lt;=2099,TEXT(VALUE(SUBSTITUTE(SUBSTITUTE(SUBSTITUTE(TRIM(C73&amp;""),CHAR(160),"")," ",""),"년","")),"0000")=SUBSTITUTE(SUBSTITUTE(SUBSTITUTE(TRIM(C73&amp;""),CHAR(160),"")," ",""),"년","")),SUBSTITUTE(SUBSTITUTE(SUBSTITUTE(TRIM(C73&amp;""),CHAR(160),"")," ",""),"년",""),""),"")</f>
      </c>
      <c r="P73" t="str">
        <f>SUBSTITUTE(SUBSTITUTE(SUBSTITUTE(SUBSTITUTE(SUBSTITUTE(SUBSTITUTE(SUBSTITUTE(SUBSTITUTE(TRIM(D73&amp;""),CHAR(160),"")," ",""),"초등학교","초"),"중학교","중"),"고등학교","고"),"~","~~"),"*","~*"),"?","~?")</f>
      </c>
      <c r="Q73" t="str">
        <f>SUBSTITUTE(SUBSTITUTE(SUBSTITUTE(SUBSTITUTE(SUBSTITUTE(SUBSTITUTE(SUBSTITUTE(SUBSTITUTE(TRIM(E73&amp;""),CHAR(160),"")," ",""),"초등학교","초"),"중학교","중"),"고등학교","고"),"~","~~"),"*","~*"),"?","~?")</f>
      </c>
      <c r="R73" t="str">
        <f>IF(COUNTA(B73:J73)=0,"",IF(AND(O73&lt;&gt;"",P73&lt;&gt;"",Q73&lt;&gt;""),"","입력누락"))</f>
      </c>
    </row>
    <row r="74" customFormat="false" ht="15" hidden="false" customHeight="false" outlineLevel="0" collapsed="false">
      <c r="A74" t="n" s="19">
        <f aca="0">IF(COUNTA(B74:J74)=0,"",ROW()-1)</f>
      </c>
      <c r="B74" s="24"/>
      <c r="C74" s="25"/>
      <c r="D74" s="8"/>
      <c r="E74" s="8"/>
      <c r="F74" s="26"/>
      <c r="G74" s="24"/>
      <c r="H74" s="25"/>
      <c r="I74" s="25"/>
      <c r="J74" s="26"/>
      <c r="K74" t="str" s="15">
        <f aca="0">IF(COUNTA(B74:J74)=0,"",IF(R74&lt;&gt;"","확인필요(입력누락)",IF(COUNTIFS(보유목록!$I$2:$I$3001,"*"&amp;P74&amp;"*",보유목록!$I$2:$I$3001,"*"&amp;Q74&amp;"*",보유목록!$H$2:$H$3001,O74)&gt;0,"있음",IF(COUNTIFS(보유목록!$I$2:$I$3001,"*"&amp;P74&amp;"*",보유목록!$I$2:$I$3001,"*"&amp;Q74&amp;"*")&gt;0,"확인필요(연도다름)",IF(COUNTIFS(보유목록!$I$2:$I$3001,"*"&amp;P74&amp;"*",보유목록!$H$2:$H$3001,O74)&gt;0,"확인필요(같은학교·같은연도)","없음")))))</f>
      </c>
      <c r="L74" t="str" s="16">
        <f aca="0">IF(OR(COUNTA(B74:J74)=0,R74&lt;&gt;""),"",COUNTIFS(보유목록!$I$2:$I$3001,"*"&amp;P74&amp;"*",보유목록!$I$2:$I$3001,"*"&amp;Q74&amp;"*"))</f>
      </c>
      <c r="M74" t="str" s="23">
        <f aca="0">IF(OR(COUNTA(B74:J74)=0,R74&lt;&gt;""),"",IFERROR(LOOKUP(2,1/(ISNUMBER(SEARCH(P74,보유목록!$I$2:$I$3001))*ISNUMBER(SEARCH(Q74,보유목록!$I$2:$I$3001))*(보유목록!$H$2:$H$3001=O74)),보유목록!$B$2:$B$3001),IFERROR(LOOKUP(2,1/(ISNUMBER(SEARCH(P74,보유목록!$I$2:$I$3001))*ISNUMBER(SEARCH(Q74,보유목록!$I$2:$I$3001))),보유목록!$B$2:$B$3001),"")))</f>
      </c>
      <c r="N74" s="25"/>
      <c r="O74" t="str">
        <f>IFERROR(IF(AND(LEN(SUBSTITUTE(SUBSTITUTE(SUBSTITUTE(TRIM(C74&amp;""),CHAR(160),"")," ",""),"년",""))=4,VALUE(SUBSTITUTE(SUBSTITUTE(SUBSTITUTE(TRIM(C74&amp;""),CHAR(160),"")," ",""),"년",""))&gt;=1900,VALUE(SUBSTITUTE(SUBSTITUTE(SUBSTITUTE(TRIM(C74&amp;""),CHAR(160),"")," ",""),"년",""))&lt;=2099,TEXT(VALUE(SUBSTITUTE(SUBSTITUTE(SUBSTITUTE(TRIM(C74&amp;""),CHAR(160),"")," ",""),"년","")),"0000")=SUBSTITUTE(SUBSTITUTE(SUBSTITUTE(TRIM(C74&amp;""),CHAR(160),"")," ",""),"년","")),SUBSTITUTE(SUBSTITUTE(SUBSTITUTE(TRIM(C74&amp;""),CHAR(160),"")," ",""),"년",""),""),"")</f>
      </c>
      <c r="P74" t="str">
        <f>SUBSTITUTE(SUBSTITUTE(SUBSTITUTE(SUBSTITUTE(SUBSTITUTE(SUBSTITUTE(SUBSTITUTE(SUBSTITUTE(TRIM(D74&amp;""),CHAR(160),"")," ",""),"초등학교","초"),"중학교","중"),"고등학교","고"),"~","~~"),"*","~*"),"?","~?")</f>
      </c>
      <c r="Q74" t="str">
        <f>SUBSTITUTE(SUBSTITUTE(SUBSTITUTE(SUBSTITUTE(SUBSTITUTE(SUBSTITUTE(SUBSTITUTE(SUBSTITUTE(TRIM(E74&amp;""),CHAR(160),"")," ",""),"초등학교","초"),"중학교","중"),"고등학교","고"),"~","~~"),"*","~*"),"?","~?")</f>
      </c>
      <c r="R74" t="str">
        <f>IF(COUNTA(B74:J74)=0,"",IF(AND(O74&lt;&gt;"",P74&lt;&gt;"",Q74&lt;&gt;""),"","입력누락"))</f>
      </c>
    </row>
    <row r="75" customFormat="false" ht="15" hidden="false" customHeight="false" outlineLevel="0" collapsed="false">
      <c r="A75" t="n" s="19">
        <f aca="0">IF(COUNTA(B75:J75)=0,"",ROW()-1)</f>
      </c>
      <c r="B75" s="24"/>
      <c r="C75" s="25"/>
      <c r="D75" s="8"/>
      <c r="E75" s="8"/>
      <c r="F75" s="26"/>
      <c r="G75" s="24"/>
      <c r="H75" s="25"/>
      <c r="I75" s="25"/>
      <c r="J75" s="26"/>
      <c r="K75" t="str" s="15">
        <f aca="0">IF(COUNTA(B75:J75)=0,"",IF(R75&lt;&gt;"","확인필요(입력누락)",IF(COUNTIFS(보유목록!$I$2:$I$3001,"*"&amp;P75&amp;"*",보유목록!$I$2:$I$3001,"*"&amp;Q75&amp;"*",보유목록!$H$2:$H$3001,O75)&gt;0,"있음",IF(COUNTIFS(보유목록!$I$2:$I$3001,"*"&amp;P75&amp;"*",보유목록!$I$2:$I$3001,"*"&amp;Q75&amp;"*")&gt;0,"확인필요(연도다름)",IF(COUNTIFS(보유목록!$I$2:$I$3001,"*"&amp;P75&amp;"*",보유목록!$H$2:$H$3001,O75)&gt;0,"확인필요(같은학교·같은연도)","없음")))))</f>
      </c>
      <c r="L75" t="str" s="16">
        <f aca="0">IF(OR(COUNTA(B75:J75)=0,R75&lt;&gt;""),"",COUNTIFS(보유목록!$I$2:$I$3001,"*"&amp;P75&amp;"*",보유목록!$I$2:$I$3001,"*"&amp;Q75&amp;"*"))</f>
      </c>
      <c r="M75" t="str" s="23">
        <f aca="0">IF(OR(COUNTA(B75:J75)=0,R75&lt;&gt;""),"",IFERROR(LOOKUP(2,1/(ISNUMBER(SEARCH(P75,보유목록!$I$2:$I$3001))*ISNUMBER(SEARCH(Q75,보유목록!$I$2:$I$3001))*(보유목록!$H$2:$H$3001=O75)),보유목록!$B$2:$B$3001),IFERROR(LOOKUP(2,1/(ISNUMBER(SEARCH(P75,보유목록!$I$2:$I$3001))*ISNUMBER(SEARCH(Q75,보유목록!$I$2:$I$3001))),보유목록!$B$2:$B$3001),"")))</f>
      </c>
      <c r="N75" s="25"/>
      <c r="O75" t="str">
        <f>IFERROR(IF(AND(LEN(SUBSTITUTE(SUBSTITUTE(SUBSTITUTE(TRIM(C75&amp;""),CHAR(160),"")," ",""),"년",""))=4,VALUE(SUBSTITUTE(SUBSTITUTE(SUBSTITUTE(TRIM(C75&amp;""),CHAR(160),"")," ",""),"년",""))&gt;=1900,VALUE(SUBSTITUTE(SUBSTITUTE(SUBSTITUTE(TRIM(C75&amp;""),CHAR(160),"")," ",""),"년",""))&lt;=2099,TEXT(VALUE(SUBSTITUTE(SUBSTITUTE(SUBSTITUTE(TRIM(C75&amp;""),CHAR(160),"")," ",""),"년","")),"0000")=SUBSTITUTE(SUBSTITUTE(SUBSTITUTE(TRIM(C75&amp;""),CHAR(160),"")," ",""),"년","")),SUBSTITUTE(SUBSTITUTE(SUBSTITUTE(TRIM(C75&amp;""),CHAR(160),"")," ",""),"년",""),""),"")</f>
      </c>
      <c r="P75" t="str">
        <f>SUBSTITUTE(SUBSTITUTE(SUBSTITUTE(SUBSTITUTE(SUBSTITUTE(SUBSTITUTE(SUBSTITUTE(SUBSTITUTE(TRIM(D75&amp;""),CHAR(160),"")," ",""),"초등학교","초"),"중학교","중"),"고등학교","고"),"~","~~"),"*","~*"),"?","~?")</f>
      </c>
      <c r="Q75" t="str">
        <f>SUBSTITUTE(SUBSTITUTE(SUBSTITUTE(SUBSTITUTE(SUBSTITUTE(SUBSTITUTE(SUBSTITUTE(SUBSTITUTE(TRIM(E75&amp;""),CHAR(160),"")," ",""),"초등학교","초"),"중학교","중"),"고등학교","고"),"~","~~"),"*","~*"),"?","~?")</f>
      </c>
      <c r="R75" t="str">
        <f>IF(COUNTA(B75:J75)=0,"",IF(AND(O75&lt;&gt;"",P75&lt;&gt;"",Q75&lt;&gt;""),"","입력누락"))</f>
      </c>
    </row>
    <row r="76" customFormat="false" ht="15" hidden="false" customHeight="false" outlineLevel="0" collapsed="false">
      <c r="A76" t="n" s="19">
        <f aca="0">IF(COUNTA(B76:J76)=0,"",ROW()-1)</f>
      </c>
      <c r="B76" s="24"/>
      <c r="C76" s="25"/>
      <c r="D76" s="8"/>
      <c r="E76" s="8"/>
      <c r="F76" s="26"/>
      <c r="G76" s="24"/>
      <c r="H76" s="25"/>
      <c r="I76" s="25"/>
      <c r="J76" s="26"/>
      <c r="K76" t="str" s="15">
        <f aca="0">IF(COUNTA(B76:J76)=0,"",IF(R76&lt;&gt;"","확인필요(입력누락)",IF(COUNTIFS(보유목록!$I$2:$I$3001,"*"&amp;P76&amp;"*",보유목록!$I$2:$I$3001,"*"&amp;Q76&amp;"*",보유목록!$H$2:$H$3001,O76)&gt;0,"있음",IF(COUNTIFS(보유목록!$I$2:$I$3001,"*"&amp;P76&amp;"*",보유목록!$I$2:$I$3001,"*"&amp;Q76&amp;"*")&gt;0,"확인필요(연도다름)",IF(COUNTIFS(보유목록!$I$2:$I$3001,"*"&amp;P76&amp;"*",보유목록!$H$2:$H$3001,O76)&gt;0,"확인필요(같은학교·같은연도)","없음")))))</f>
      </c>
      <c r="L76" t="str" s="16">
        <f aca="0">IF(OR(COUNTA(B76:J76)=0,R76&lt;&gt;""),"",COUNTIFS(보유목록!$I$2:$I$3001,"*"&amp;P76&amp;"*",보유목록!$I$2:$I$3001,"*"&amp;Q76&amp;"*"))</f>
      </c>
      <c r="M76" t="str" s="23">
        <f aca="0">IF(OR(COUNTA(B76:J76)=0,R76&lt;&gt;""),"",IFERROR(LOOKUP(2,1/(ISNUMBER(SEARCH(P76,보유목록!$I$2:$I$3001))*ISNUMBER(SEARCH(Q76,보유목록!$I$2:$I$3001))*(보유목록!$H$2:$H$3001=O76)),보유목록!$B$2:$B$3001),IFERROR(LOOKUP(2,1/(ISNUMBER(SEARCH(P76,보유목록!$I$2:$I$3001))*ISNUMBER(SEARCH(Q76,보유목록!$I$2:$I$3001))),보유목록!$B$2:$B$3001),"")))</f>
      </c>
      <c r="N76" s="25"/>
      <c r="O76" t="str">
        <f>IFERROR(IF(AND(LEN(SUBSTITUTE(SUBSTITUTE(SUBSTITUTE(TRIM(C76&amp;""),CHAR(160),"")," ",""),"년",""))=4,VALUE(SUBSTITUTE(SUBSTITUTE(SUBSTITUTE(TRIM(C76&amp;""),CHAR(160),"")," ",""),"년",""))&gt;=1900,VALUE(SUBSTITUTE(SUBSTITUTE(SUBSTITUTE(TRIM(C76&amp;""),CHAR(160),"")," ",""),"년",""))&lt;=2099,TEXT(VALUE(SUBSTITUTE(SUBSTITUTE(SUBSTITUTE(TRIM(C76&amp;""),CHAR(160),"")," ",""),"년","")),"0000")=SUBSTITUTE(SUBSTITUTE(SUBSTITUTE(TRIM(C76&amp;""),CHAR(160),"")," ",""),"년","")),SUBSTITUTE(SUBSTITUTE(SUBSTITUTE(TRIM(C76&amp;""),CHAR(160),"")," ",""),"년",""),""),"")</f>
      </c>
      <c r="P76" t="str">
        <f>SUBSTITUTE(SUBSTITUTE(SUBSTITUTE(SUBSTITUTE(SUBSTITUTE(SUBSTITUTE(SUBSTITUTE(SUBSTITUTE(TRIM(D76&amp;""),CHAR(160),"")," ",""),"초등학교","초"),"중학교","중"),"고등학교","고"),"~","~~"),"*","~*"),"?","~?")</f>
      </c>
      <c r="Q76" t="str">
        <f>SUBSTITUTE(SUBSTITUTE(SUBSTITUTE(SUBSTITUTE(SUBSTITUTE(SUBSTITUTE(SUBSTITUTE(SUBSTITUTE(TRIM(E76&amp;""),CHAR(160),"")," ",""),"초등학교","초"),"중학교","중"),"고등학교","고"),"~","~~"),"*","~*"),"?","~?")</f>
      </c>
      <c r="R76" t="str">
        <f>IF(COUNTA(B76:J76)=0,"",IF(AND(O76&lt;&gt;"",P76&lt;&gt;"",Q76&lt;&gt;""),"","입력누락"))</f>
      </c>
    </row>
    <row r="77" customFormat="false" ht="15" hidden="false" customHeight="false" outlineLevel="0" collapsed="false">
      <c r="A77" t="n" s="19">
        <f aca="0">IF(COUNTA(B77:J77)=0,"",ROW()-1)</f>
      </c>
      <c r="B77" s="24"/>
      <c r="C77" s="25"/>
      <c r="D77" s="8"/>
      <c r="E77" s="8"/>
      <c r="F77" s="26"/>
      <c r="G77" s="24"/>
      <c r="H77" s="25"/>
      <c r="I77" s="25"/>
      <c r="J77" s="26"/>
      <c r="K77" t="str" s="15">
        <f aca="0">IF(COUNTA(B77:J77)=0,"",IF(R77&lt;&gt;"","확인필요(입력누락)",IF(COUNTIFS(보유목록!$I$2:$I$3001,"*"&amp;P77&amp;"*",보유목록!$I$2:$I$3001,"*"&amp;Q77&amp;"*",보유목록!$H$2:$H$3001,O77)&gt;0,"있음",IF(COUNTIFS(보유목록!$I$2:$I$3001,"*"&amp;P77&amp;"*",보유목록!$I$2:$I$3001,"*"&amp;Q77&amp;"*")&gt;0,"확인필요(연도다름)",IF(COUNTIFS(보유목록!$I$2:$I$3001,"*"&amp;P77&amp;"*",보유목록!$H$2:$H$3001,O77)&gt;0,"확인필요(같은학교·같은연도)","없음")))))</f>
      </c>
      <c r="L77" t="str" s="16">
        <f aca="0">IF(OR(COUNTA(B77:J77)=0,R77&lt;&gt;""),"",COUNTIFS(보유목록!$I$2:$I$3001,"*"&amp;P77&amp;"*",보유목록!$I$2:$I$3001,"*"&amp;Q77&amp;"*"))</f>
      </c>
      <c r="M77" t="str" s="23">
        <f aca="0">IF(OR(COUNTA(B77:J77)=0,R77&lt;&gt;""),"",IFERROR(LOOKUP(2,1/(ISNUMBER(SEARCH(P77,보유목록!$I$2:$I$3001))*ISNUMBER(SEARCH(Q77,보유목록!$I$2:$I$3001))*(보유목록!$H$2:$H$3001=O77)),보유목록!$B$2:$B$3001),IFERROR(LOOKUP(2,1/(ISNUMBER(SEARCH(P77,보유목록!$I$2:$I$3001))*ISNUMBER(SEARCH(Q77,보유목록!$I$2:$I$3001))),보유목록!$B$2:$B$3001),"")))</f>
      </c>
      <c r="N77" s="25"/>
      <c r="O77" t="str">
        <f>IFERROR(IF(AND(LEN(SUBSTITUTE(SUBSTITUTE(SUBSTITUTE(TRIM(C77&amp;""),CHAR(160),"")," ",""),"년",""))=4,VALUE(SUBSTITUTE(SUBSTITUTE(SUBSTITUTE(TRIM(C77&amp;""),CHAR(160),"")," ",""),"년",""))&gt;=1900,VALUE(SUBSTITUTE(SUBSTITUTE(SUBSTITUTE(TRIM(C77&amp;""),CHAR(160),"")," ",""),"년",""))&lt;=2099,TEXT(VALUE(SUBSTITUTE(SUBSTITUTE(SUBSTITUTE(TRIM(C77&amp;""),CHAR(160),"")," ",""),"년","")),"0000")=SUBSTITUTE(SUBSTITUTE(SUBSTITUTE(TRIM(C77&amp;""),CHAR(160),"")," ",""),"년","")),SUBSTITUTE(SUBSTITUTE(SUBSTITUTE(TRIM(C77&amp;""),CHAR(160),"")," ",""),"년",""),""),"")</f>
      </c>
      <c r="P77" t="str">
        <f>SUBSTITUTE(SUBSTITUTE(SUBSTITUTE(SUBSTITUTE(SUBSTITUTE(SUBSTITUTE(SUBSTITUTE(SUBSTITUTE(TRIM(D77&amp;""),CHAR(160),"")," ",""),"초등학교","초"),"중학교","중"),"고등학교","고"),"~","~~"),"*","~*"),"?","~?")</f>
      </c>
      <c r="Q77" t="str">
        <f>SUBSTITUTE(SUBSTITUTE(SUBSTITUTE(SUBSTITUTE(SUBSTITUTE(SUBSTITUTE(SUBSTITUTE(SUBSTITUTE(TRIM(E77&amp;""),CHAR(160),"")," ",""),"초등학교","초"),"중학교","중"),"고등학교","고"),"~","~~"),"*","~*"),"?","~?")</f>
      </c>
      <c r="R77" t="str">
        <f>IF(COUNTA(B77:J77)=0,"",IF(AND(O77&lt;&gt;"",P77&lt;&gt;"",Q77&lt;&gt;""),"","입력누락"))</f>
      </c>
    </row>
    <row r="78" customFormat="false" ht="15" hidden="false" customHeight="false" outlineLevel="0" collapsed="false">
      <c r="A78" t="n" s="19">
        <f aca="0">IF(COUNTA(B78:J78)=0,"",ROW()-1)</f>
      </c>
      <c r="B78" s="24"/>
      <c r="C78" s="25"/>
      <c r="D78" s="8"/>
      <c r="E78" s="8"/>
      <c r="F78" s="26"/>
      <c r="G78" s="24"/>
      <c r="H78" s="25"/>
      <c r="I78" s="25"/>
      <c r="J78" s="26"/>
      <c r="K78" t="str" s="15">
        <f aca="0">IF(COUNTA(B78:J78)=0,"",IF(R78&lt;&gt;"","확인필요(입력누락)",IF(COUNTIFS(보유목록!$I$2:$I$3001,"*"&amp;P78&amp;"*",보유목록!$I$2:$I$3001,"*"&amp;Q78&amp;"*",보유목록!$H$2:$H$3001,O78)&gt;0,"있음",IF(COUNTIFS(보유목록!$I$2:$I$3001,"*"&amp;P78&amp;"*",보유목록!$I$2:$I$3001,"*"&amp;Q78&amp;"*")&gt;0,"확인필요(연도다름)",IF(COUNTIFS(보유목록!$I$2:$I$3001,"*"&amp;P78&amp;"*",보유목록!$H$2:$H$3001,O78)&gt;0,"확인필요(같은학교·같은연도)","없음")))))</f>
      </c>
      <c r="L78" t="str" s="16">
        <f aca="0">IF(OR(COUNTA(B78:J78)=0,R78&lt;&gt;""),"",COUNTIFS(보유목록!$I$2:$I$3001,"*"&amp;P78&amp;"*",보유목록!$I$2:$I$3001,"*"&amp;Q78&amp;"*"))</f>
      </c>
      <c r="M78" t="str" s="23">
        <f aca="0">IF(OR(COUNTA(B78:J78)=0,R78&lt;&gt;""),"",IFERROR(LOOKUP(2,1/(ISNUMBER(SEARCH(P78,보유목록!$I$2:$I$3001))*ISNUMBER(SEARCH(Q78,보유목록!$I$2:$I$3001))*(보유목록!$H$2:$H$3001=O78)),보유목록!$B$2:$B$3001),IFERROR(LOOKUP(2,1/(ISNUMBER(SEARCH(P78,보유목록!$I$2:$I$3001))*ISNUMBER(SEARCH(Q78,보유목록!$I$2:$I$3001))),보유목록!$B$2:$B$3001),"")))</f>
      </c>
      <c r="N78" s="25"/>
      <c r="O78" t="str">
        <f>IFERROR(IF(AND(LEN(SUBSTITUTE(SUBSTITUTE(SUBSTITUTE(TRIM(C78&amp;""),CHAR(160),"")," ",""),"년",""))=4,VALUE(SUBSTITUTE(SUBSTITUTE(SUBSTITUTE(TRIM(C78&amp;""),CHAR(160),"")," ",""),"년",""))&gt;=1900,VALUE(SUBSTITUTE(SUBSTITUTE(SUBSTITUTE(TRIM(C78&amp;""),CHAR(160),"")," ",""),"년",""))&lt;=2099,TEXT(VALUE(SUBSTITUTE(SUBSTITUTE(SUBSTITUTE(TRIM(C78&amp;""),CHAR(160),"")," ",""),"년","")),"0000")=SUBSTITUTE(SUBSTITUTE(SUBSTITUTE(TRIM(C78&amp;""),CHAR(160),"")," ",""),"년","")),SUBSTITUTE(SUBSTITUTE(SUBSTITUTE(TRIM(C78&amp;""),CHAR(160),"")," ",""),"년",""),""),"")</f>
      </c>
      <c r="P78" t="str">
        <f>SUBSTITUTE(SUBSTITUTE(SUBSTITUTE(SUBSTITUTE(SUBSTITUTE(SUBSTITUTE(SUBSTITUTE(SUBSTITUTE(TRIM(D78&amp;""),CHAR(160),"")," ",""),"초등학교","초"),"중학교","중"),"고등학교","고"),"~","~~"),"*","~*"),"?","~?")</f>
      </c>
      <c r="Q78" t="str">
        <f>SUBSTITUTE(SUBSTITUTE(SUBSTITUTE(SUBSTITUTE(SUBSTITUTE(SUBSTITUTE(SUBSTITUTE(SUBSTITUTE(TRIM(E78&amp;""),CHAR(160),"")," ",""),"초등학교","초"),"중학교","중"),"고등학교","고"),"~","~~"),"*","~*"),"?","~?")</f>
      </c>
      <c r="R78" t="str">
        <f>IF(COUNTA(B78:J78)=0,"",IF(AND(O78&lt;&gt;"",P78&lt;&gt;"",Q78&lt;&gt;""),"","입력누락"))</f>
      </c>
    </row>
    <row r="79" customFormat="false" ht="15" hidden="false" customHeight="false" outlineLevel="0" collapsed="false">
      <c r="A79" t="n" s="19">
        <f aca="0">IF(COUNTA(B79:J79)=0,"",ROW()-1)</f>
      </c>
      <c r="B79" s="24"/>
      <c r="C79" s="25"/>
      <c r="D79" s="8"/>
      <c r="E79" s="8"/>
      <c r="F79" s="26"/>
      <c r="G79" s="24"/>
      <c r="H79" s="25"/>
      <c r="I79" s="25"/>
      <c r="J79" s="26"/>
      <c r="K79" t="str" s="15">
        <f aca="0">IF(COUNTA(B79:J79)=0,"",IF(R79&lt;&gt;"","확인필요(입력누락)",IF(COUNTIFS(보유목록!$I$2:$I$3001,"*"&amp;P79&amp;"*",보유목록!$I$2:$I$3001,"*"&amp;Q79&amp;"*",보유목록!$H$2:$H$3001,O79)&gt;0,"있음",IF(COUNTIFS(보유목록!$I$2:$I$3001,"*"&amp;P79&amp;"*",보유목록!$I$2:$I$3001,"*"&amp;Q79&amp;"*")&gt;0,"확인필요(연도다름)",IF(COUNTIFS(보유목록!$I$2:$I$3001,"*"&amp;P79&amp;"*",보유목록!$H$2:$H$3001,O79)&gt;0,"확인필요(같은학교·같은연도)","없음")))))</f>
      </c>
      <c r="L79" t="str" s="16">
        <f aca="0">IF(OR(COUNTA(B79:J79)=0,R79&lt;&gt;""),"",COUNTIFS(보유목록!$I$2:$I$3001,"*"&amp;P79&amp;"*",보유목록!$I$2:$I$3001,"*"&amp;Q79&amp;"*"))</f>
      </c>
      <c r="M79" t="str" s="23">
        <f aca="0">IF(OR(COUNTA(B79:J79)=0,R79&lt;&gt;""),"",IFERROR(LOOKUP(2,1/(ISNUMBER(SEARCH(P79,보유목록!$I$2:$I$3001))*ISNUMBER(SEARCH(Q79,보유목록!$I$2:$I$3001))*(보유목록!$H$2:$H$3001=O79)),보유목록!$B$2:$B$3001),IFERROR(LOOKUP(2,1/(ISNUMBER(SEARCH(P79,보유목록!$I$2:$I$3001))*ISNUMBER(SEARCH(Q79,보유목록!$I$2:$I$3001))),보유목록!$B$2:$B$3001),"")))</f>
      </c>
      <c r="N79" s="25"/>
      <c r="O79" t="str">
        <f>IFERROR(IF(AND(LEN(SUBSTITUTE(SUBSTITUTE(SUBSTITUTE(TRIM(C79&amp;""),CHAR(160),"")," ",""),"년",""))=4,VALUE(SUBSTITUTE(SUBSTITUTE(SUBSTITUTE(TRIM(C79&amp;""),CHAR(160),"")," ",""),"년",""))&gt;=1900,VALUE(SUBSTITUTE(SUBSTITUTE(SUBSTITUTE(TRIM(C79&amp;""),CHAR(160),"")," ",""),"년",""))&lt;=2099,TEXT(VALUE(SUBSTITUTE(SUBSTITUTE(SUBSTITUTE(TRIM(C79&amp;""),CHAR(160),"")," ",""),"년","")),"0000")=SUBSTITUTE(SUBSTITUTE(SUBSTITUTE(TRIM(C79&amp;""),CHAR(160),"")," ",""),"년","")),SUBSTITUTE(SUBSTITUTE(SUBSTITUTE(TRIM(C79&amp;""),CHAR(160),"")," ",""),"년",""),""),"")</f>
      </c>
      <c r="P79" t="str">
        <f>SUBSTITUTE(SUBSTITUTE(SUBSTITUTE(SUBSTITUTE(SUBSTITUTE(SUBSTITUTE(SUBSTITUTE(SUBSTITUTE(TRIM(D79&amp;""),CHAR(160),"")," ",""),"초등학교","초"),"중학교","중"),"고등학교","고"),"~","~~"),"*","~*"),"?","~?")</f>
      </c>
      <c r="Q79" t="str">
        <f>SUBSTITUTE(SUBSTITUTE(SUBSTITUTE(SUBSTITUTE(SUBSTITUTE(SUBSTITUTE(SUBSTITUTE(SUBSTITUTE(TRIM(E79&amp;""),CHAR(160),"")," ",""),"초등학교","초"),"중학교","중"),"고등학교","고"),"~","~~"),"*","~*"),"?","~?")</f>
      </c>
      <c r="R79" t="str">
        <f>IF(COUNTA(B79:J79)=0,"",IF(AND(O79&lt;&gt;"",P79&lt;&gt;"",Q79&lt;&gt;""),"","입력누락"))</f>
      </c>
    </row>
    <row r="80" customFormat="false" ht="15" hidden="false" customHeight="false" outlineLevel="0" collapsed="false">
      <c r="A80" t="n" s="19">
        <f aca="0">IF(COUNTA(B80:J80)=0,"",ROW()-1)</f>
      </c>
      <c r="B80" s="24"/>
      <c r="C80" s="25"/>
      <c r="D80" s="8"/>
      <c r="E80" s="8"/>
      <c r="F80" s="26"/>
      <c r="G80" s="24"/>
      <c r="H80" s="25"/>
      <c r="I80" s="25"/>
      <c r="J80" s="26"/>
      <c r="K80" t="str" s="15">
        <f aca="0">IF(COUNTA(B80:J80)=0,"",IF(R80&lt;&gt;"","확인필요(입력누락)",IF(COUNTIFS(보유목록!$I$2:$I$3001,"*"&amp;P80&amp;"*",보유목록!$I$2:$I$3001,"*"&amp;Q80&amp;"*",보유목록!$H$2:$H$3001,O80)&gt;0,"있음",IF(COUNTIFS(보유목록!$I$2:$I$3001,"*"&amp;P80&amp;"*",보유목록!$I$2:$I$3001,"*"&amp;Q80&amp;"*")&gt;0,"확인필요(연도다름)",IF(COUNTIFS(보유목록!$I$2:$I$3001,"*"&amp;P80&amp;"*",보유목록!$H$2:$H$3001,O80)&gt;0,"확인필요(같은학교·같은연도)","없음")))))</f>
      </c>
      <c r="L80" t="str" s="16">
        <f aca="0">IF(OR(COUNTA(B80:J80)=0,R80&lt;&gt;""),"",COUNTIFS(보유목록!$I$2:$I$3001,"*"&amp;P80&amp;"*",보유목록!$I$2:$I$3001,"*"&amp;Q80&amp;"*"))</f>
      </c>
      <c r="M80" t="str" s="23">
        <f aca="0">IF(OR(COUNTA(B80:J80)=0,R80&lt;&gt;""),"",IFERROR(LOOKUP(2,1/(ISNUMBER(SEARCH(P80,보유목록!$I$2:$I$3001))*ISNUMBER(SEARCH(Q80,보유목록!$I$2:$I$3001))*(보유목록!$H$2:$H$3001=O80)),보유목록!$B$2:$B$3001),IFERROR(LOOKUP(2,1/(ISNUMBER(SEARCH(P80,보유목록!$I$2:$I$3001))*ISNUMBER(SEARCH(Q80,보유목록!$I$2:$I$3001))),보유목록!$B$2:$B$3001),"")))</f>
      </c>
      <c r="N80" s="25"/>
      <c r="O80" t="str">
        <f>IFERROR(IF(AND(LEN(SUBSTITUTE(SUBSTITUTE(SUBSTITUTE(TRIM(C80&amp;""),CHAR(160),"")," ",""),"년",""))=4,VALUE(SUBSTITUTE(SUBSTITUTE(SUBSTITUTE(TRIM(C80&amp;""),CHAR(160),"")," ",""),"년",""))&gt;=1900,VALUE(SUBSTITUTE(SUBSTITUTE(SUBSTITUTE(TRIM(C80&amp;""),CHAR(160),"")," ",""),"년",""))&lt;=2099,TEXT(VALUE(SUBSTITUTE(SUBSTITUTE(SUBSTITUTE(TRIM(C80&amp;""),CHAR(160),"")," ",""),"년","")),"0000")=SUBSTITUTE(SUBSTITUTE(SUBSTITUTE(TRIM(C80&amp;""),CHAR(160),"")," ",""),"년","")),SUBSTITUTE(SUBSTITUTE(SUBSTITUTE(TRIM(C80&amp;""),CHAR(160),"")," ",""),"년",""),""),"")</f>
      </c>
      <c r="P80" t="str">
        <f>SUBSTITUTE(SUBSTITUTE(SUBSTITUTE(SUBSTITUTE(SUBSTITUTE(SUBSTITUTE(SUBSTITUTE(SUBSTITUTE(TRIM(D80&amp;""),CHAR(160),"")," ",""),"초등학교","초"),"중학교","중"),"고등학교","고"),"~","~~"),"*","~*"),"?","~?")</f>
      </c>
      <c r="Q80" t="str">
        <f>SUBSTITUTE(SUBSTITUTE(SUBSTITUTE(SUBSTITUTE(SUBSTITUTE(SUBSTITUTE(SUBSTITUTE(SUBSTITUTE(TRIM(E80&amp;""),CHAR(160),"")," ",""),"초등학교","초"),"중학교","중"),"고등학교","고"),"~","~~"),"*","~*"),"?","~?")</f>
      </c>
      <c r="R80" t="str">
        <f>IF(COUNTA(B80:J80)=0,"",IF(AND(O80&lt;&gt;"",P80&lt;&gt;"",Q80&lt;&gt;""),"","입력누락"))</f>
      </c>
    </row>
    <row r="81" customFormat="false" ht="15" hidden="false" customHeight="false" outlineLevel="0" collapsed="false">
      <c r="A81" t="n" s="19">
        <f aca="0">IF(COUNTA(B81:J81)=0,"",ROW()-1)</f>
      </c>
      <c r="B81" s="24"/>
      <c r="C81" s="25"/>
      <c r="D81" s="8"/>
      <c r="E81" s="8"/>
      <c r="F81" s="26"/>
      <c r="G81" s="24"/>
      <c r="H81" s="25"/>
      <c r="I81" s="25"/>
      <c r="J81" s="26"/>
      <c r="K81" t="str" s="15">
        <f aca="0">IF(COUNTA(B81:J81)=0,"",IF(R81&lt;&gt;"","확인필요(입력누락)",IF(COUNTIFS(보유목록!$I$2:$I$3001,"*"&amp;P81&amp;"*",보유목록!$I$2:$I$3001,"*"&amp;Q81&amp;"*",보유목록!$H$2:$H$3001,O81)&gt;0,"있음",IF(COUNTIFS(보유목록!$I$2:$I$3001,"*"&amp;P81&amp;"*",보유목록!$I$2:$I$3001,"*"&amp;Q81&amp;"*")&gt;0,"확인필요(연도다름)",IF(COUNTIFS(보유목록!$I$2:$I$3001,"*"&amp;P81&amp;"*",보유목록!$H$2:$H$3001,O81)&gt;0,"확인필요(같은학교·같은연도)","없음")))))</f>
      </c>
      <c r="L81" t="str" s="16">
        <f aca="0">IF(OR(COUNTA(B81:J81)=0,R81&lt;&gt;""),"",COUNTIFS(보유목록!$I$2:$I$3001,"*"&amp;P81&amp;"*",보유목록!$I$2:$I$3001,"*"&amp;Q81&amp;"*"))</f>
      </c>
      <c r="M81" t="str" s="23">
        <f aca="0">IF(OR(COUNTA(B81:J81)=0,R81&lt;&gt;""),"",IFERROR(LOOKUP(2,1/(ISNUMBER(SEARCH(P81,보유목록!$I$2:$I$3001))*ISNUMBER(SEARCH(Q81,보유목록!$I$2:$I$3001))*(보유목록!$H$2:$H$3001=O81)),보유목록!$B$2:$B$3001),IFERROR(LOOKUP(2,1/(ISNUMBER(SEARCH(P81,보유목록!$I$2:$I$3001))*ISNUMBER(SEARCH(Q81,보유목록!$I$2:$I$3001))),보유목록!$B$2:$B$3001),"")))</f>
      </c>
      <c r="N81" s="25"/>
      <c r="O81" t="str">
        <f>IFERROR(IF(AND(LEN(SUBSTITUTE(SUBSTITUTE(SUBSTITUTE(TRIM(C81&amp;""),CHAR(160),"")," ",""),"년",""))=4,VALUE(SUBSTITUTE(SUBSTITUTE(SUBSTITUTE(TRIM(C81&amp;""),CHAR(160),"")," ",""),"년",""))&gt;=1900,VALUE(SUBSTITUTE(SUBSTITUTE(SUBSTITUTE(TRIM(C81&amp;""),CHAR(160),"")," ",""),"년",""))&lt;=2099,TEXT(VALUE(SUBSTITUTE(SUBSTITUTE(SUBSTITUTE(TRIM(C81&amp;""),CHAR(160),"")," ",""),"년","")),"0000")=SUBSTITUTE(SUBSTITUTE(SUBSTITUTE(TRIM(C81&amp;""),CHAR(160),"")," ",""),"년","")),SUBSTITUTE(SUBSTITUTE(SUBSTITUTE(TRIM(C81&amp;""),CHAR(160),"")," ",""),"년",""),""),"")</f>
      </c>
      <c r="P81" t="str">
        <f>SUBSTITUTE(SUBSTITUTE(SUBSTITUTE(SUBSTITUTE(SUBSTITUTE(SUBSTITUTE(SUBSTITUTE(SUBSTITUTE(TRIM(D81&amp;""),CHAR(160),"")," ",""),"초등학교","초"),"중학교","중"),"고등학교","고"),"~","~~"),"*","~*"),"?","~?")</f>
      </c>
      <c r="Q81" t="str">
        <f>SUBSTITUTE(SUBSTITUTE(SUBSTITUTE(SUBSTITUTE(SUBSTITUTE(SUBSTITUTE(SUBSTITUTE(SUBSTITUTE(TRIM(E81&amp;""),CHAR(160),"")," ",""),"초등학교","초"),"중학교","중"),"고등학교","고"),"~","~~"),"*","~*"),"?","~?")</f>
      </c>
      <c r="R81" t="str">
        <f>IF(COUNTA(B81:J81)=0,"",IF(AND(O81&lt;&gt;"",P81&lt;&gt;"",Q81&lt;&gt;""),"","입력누락"))</f>
      </c>
    </row>
    <row r="82" customFormat="false" ht="15" hidden="false" customHeight="false" outlineLevel="0" collapsed="false">
      <c r="A82" t="n" s="19">
        <f aca="0">IF(COUNTA(B82:J82)=0,"",ROW()-1)</f>
      </c>
      <c r="B82" s="24"/>
      <c r="C82" s="25"/>
      <c r="D82" s="8"/>
      <c r="E82" s="8"/>
      <c r="F82" s="26"/>
      <c r="G82" s="24"/>
      <c r="H82" s="25"/>
      <c r="I82" s="25"/>
      <c r="J82" s="26"/>
      <c r="K82" t="str" s="15">
        <f aca="0">IF(COUNTA(B82:J82)=0,"",IF(R82&lt;&gt;"","확인필요(입력누락)",IF(COUNTIFS(보유목록!$I$2:$I$3001,"*"&amp;P82&amp;"*",보유목록!$I$2:$I$3001,"*"&amp;Q82&amp;"*",보유목록!$H$2:$H$3001,O82)&gt;0,"있음",IF(COUNTIFS(보유목록!$I$2:$I$3001,"*"&amp;P82&amp;"*",보유목록!$I$2:$I$3001,"*"&amp;Q82&amp;"*")&gt;0,"확인필요(연도다름)",IF(COUNTIFS(보유목록!$I$2:$I$3001,"*"&amp;P82&amp;"*",보유목록!$H$2:$H$3001,O82)&gt;0,"확인필요(같은학교·같은연도)","없음")))))</f>
      </c>
      <c r="L82" t="str" s="16">
        <f aca="0">IF(OR(COUNTA(B82:J82)=0,R82&lt;&gt;""),"",COUNTIFS(보유목록!$I$2:$I$3001,"*"&amp;P82&amp;"*",보유목록!$I$2:$I$3001,"*"&amp;Q82&amp;"*"))</f>
      </c>
      <c r="M82" t="str" s="23">
        <f aca="0">IF(OR(COUNTA(B82:J82)=0,R82&lt;&gt;""),"",IFERROR(LOOKUP(2,1/(ISNUMBER(SEARCH(P82,보유목록!$I$2:$I$3001))*ISNUMBER(SEARCH(Q82,보유목록!$I$2:$I$3001))*(보유목록!$H$2:$H$3001=O82)),보유목록!$B$2:$B$3001),IFERROR(LOOKUP(2,1/(ISNUMBER(SEARCH(P82,보유목록!$I$2:$I$3001))*ISNUMBER(SEARCH(Q82,보유목록!$I$2:$I$3001))),보유목록!$B$2:$B$3001),"")))</f>
      </c>
      <c r="N82" s="25"/>
      <c r="O82" t="str">
        <f>IFERROR(IF(AND(LEN(SUBSTITUTE(SUBSTITUTE(SUBSTITUTE(TRIM(C82&amp;""),CHAR(160),"")," ",""),"년",""))=4,VALUE(SUBSTITUTE(SUBSTITUTE(SUBSTITUTE(TRIM(C82&amp;""),CHAR(160),"")," ",""),"년",""))&gt;=1900,VALUE(SUBSTITUTE(SUBSTITUTE(SUBSTITUTE(TRIM(C82&amp;""),CHAR(160),"")," ",""),"년",""))&lt;=2099,TEXT(VALUE(SUBSTITUTE(SUBSTITUTE(SUBSTITUTE(TRIM(C82&amp;""),CHAR(160),"")," ",""),"년","")),"0000")=SUBSTITUTE(SUBSTITUTE(SUBSTITUTE(TRIM(C82&amp;""),CHAR(160),"")," ",""),"년","")),SUBSTITUTE(SUBSTITUTE(SUBSTITUTE(TRIM(C82&amp;""),CHAR(160),"")," ",""),"년",""),""),"")</f>
      </c>
      <c r="P82" t="str">
        <f>SUBSTITUTE(SUBSTITUTE(SUBSTITUTE(SUBSTITUTE(SUBSTITUTE(SUBSTITUTE(SUBSTITUTE(SUBSTITUTE(TRIM(D82&amp;""),CHAR(160),"")," ",""),"초등학교","초"),"중학교","중"),"고등학교","고"),"~","~~"),"*","~*"),"?","~?")</f>
      </c>
      <c r="Q82" t="str">
        <f>SUBSTITUTE(SUBSTITUTE(SUBSTITUTE(SUBSTITUTE(SUBSTITUTE(SUBSTITUTE(SUBSTITUTE(SUBSTITUTE(TRIM(E82&amp;""),CHAR(160),"")," ",""),"초등학교","초"),"중학교","중"),"고등학교","고"),"~","~~"),"*","~*"),"?","~?")</f>
      </c>
      <c r="R82" t="str">
        <f>IF(COUNTA(B82:J82)=0,"",IF(AND(O82&lt;&gt;"",P82&lt;&gt;"",Q82&lt;&gt;""),"","입력누락"))</f>
      </c>
    </row>
    <row r="83" customFormat="false" ht="15" hidden="false" customHeight="false" outlineLevel="0" collapsed="false">
      <c r="A83" t="n" s="19">
        <f aca="0">IF(COUNTA(B83:J83)=0,"",ROW()-1)</f>
      </c>
      <c r="B83" s="24"/>
      <c r="C83" s="25"/>
      <c r="D83" s="8"/>
      <c r="E83" s="8"/>
      <c r="F83" s="26"/>
      <c r="G83" s="24"/>
      <c r="H83" s="25"/>
      <c r="I83" s="25"/>
      <c r="J83" s="26"/>
      <c r="K83" t="str" s="15">
        <f aca="0">IF(COUNTA(B83:J83)=0,"",IF(R83&lt;&gt;"","확인필요(입력누락)",IF(COUNTIFS(보유목록!$I$2:$I$3001,"*"&amp;P83&amp;"*",보유목록!$I$2:$I$3001,"*"&amp;Q83&amp;"*",보유목록!$H$2:$H$3001,O83)&gt;0,"있음",IF(COUNTIFS(보유목록!$I$2:$I$3001,"*"&amp;P83&amp;"*",보유목록!$I$2:$I$3001,"*"&amp;Q83&amp;"*")&gt;0,"확인필요(연도다름)",IF(COUNTIFS(보유목록!$I$2:$I$3001,"*"&amp;P83&amp;"*",보유목록!$H$2:$H$3001,O83)&gt;0,"확인필요(같은학교·같은연도)","없음")))))</f>
      </c>
      <c r="L83" t="str" s="16">
        <f aca="0">IF(OR(COUNTA(B83:J83)=0,R83&lt;&gt;""),"",COUNTIFS(보유목록!$I$2:$I$3001,"*"&amp;P83&amp;"*",보유목록!$I$2:$I$3001,"*"&amp;Q83&amp;"*"))</f>
      </c>
      <c r="M83" t="str" s="23">
        <f aca="0">IF(OR(COUNTA(B83:J83)=0,R83&lt;&gt;""),"",IFERROR(LOOKUP(2,1/(ISNUMBER(SEARCH(P83,보유목록!$I$2:$I$3001))*ISNUMBER(SEARCH(Q83,보유목록!$I$2:$I$3001))*(보유목록!$H$2:$H$3001=O83)),보유목록!$B$2:$B$3001),IFERROR(LOOKUP(2,1/(ISNUMBER(SEARCH(P83,보유목록!$I$2:$I$3001))*ISNUMBER(SEARCH(Q83,보유목록!$I$2:$I$3001))),보유목록!$B$2:$B$3001),"")))</f>
      </c>
      <c r="N83" s="25"/>
      <c r="O83" t="str">
        <f>IFERROR(IF(AND(LEN(SUBSTITUTE(SUBSTITUTE(SUBSTITUTE(TRIM(C83&amp;""),CHAR(160),"")," ",""),"년",""))=4,VALUE(SUBSTITUTE(SUBSTITUTE(SUBSTITUTE(TRIM(C83&amp;""),CHAR(160),"")," ",""),"년",""))&gt;=1900,VALUE(SUBSTITUTE(SUBSTITUTE(SUBSTITUTE(TRIM(C83&amp;""),CHAR(160),"")," ",""),"년",""))&lt;=2099,TEXT(VALUE(SUBSTITUTE(SUBSTITUTE(SUBSTITUTE(TRIM(C83&amp;""),CHAR(160),"")," ",""),"년","")),"0000")=SUBSTITUTE(SUBSTITUTE(SUBSTITUTE(TRIM(C83&amp;""),CHAR(160),"")," ",""),"년","")),SUBSTITUTE(SUBSTITUTE(SUBSTITUTE(TRIM(C83&amp;""),CHAR(160),"")," ",""),"년",""),""),"")</f>
      </c>
      <c r="P83" t="str">
        <f>SUBSTITUTE(SUBSTITUTE(SUBSTITUTE(SUBSTITUTE(SUBSTITUTE(SUBSTITUTE(SUBSTITUTE(SUBSTITUTE(TRIM(D83&amp;""),CHAR(160),"")," ",""),"초등학교","초"),"중학교","중"),"고등학교","고"),"~","~~"),"*","~*"),"?","~?")</f>
      </c>
      <c r="Q83" t="str">
        <f>SUBSTITUTE(SUBSTITUTE(SUBSTITUTE(SUBSTITUTE(SUBSTITUTE(SUBSTITUTE(SUBSTITUTE(SUBSTITUTE(TRIM(E83&amp;""),CHAR(160),"")," ",""),"초등학교","초"),"중학교","중"),"고등학교","고"),"~","~~"),"*","~*"),"?","~?")</f>
      </c>
      <c r="R83" t="str">
        <f>IF(COUNTA(B83:J83)=0,"",IF(AND(O83&lt;&gt;"",P83&lt;&gt;"",Q83&lt;&gt;""),"","입력누락"))</f>
      </c>
    </row>
    <row r="84" customFormat="false" ht="15" hidden="false" customHeight="false" outlineLevel="0" collapsed="false">
      <c r="A84" t="n" s="19">
        <f aca="0">IF(COUNTA(B84:J84)=0,"",ROW()-1)</f>
      </c>
      <c r="B84" s="24"/>
      <c r="C84" s="25"/>
      <c r="D84" s="8"/>
      <c r="E84" s="8"/>
      <c r="F84" s="26"/>
      <c r="G84" s="24"/>
      <c r="H84" s="25"/>
      <c r="I84" s="25"/>
      <c r="J84" s="26"/>
      <c r="K84" t="str" s="15">
        <f aca="0">IF(COUNTA(B84:J84)=0,"",IF(R84&lt;&gt;"","확인필요(입력누락)",IF(COUNTIFS(보유목록!$I$2:$I$3001,"*"&amp;P84&amp;"*",보유목록!$I$2:$I$3001,"*"&amp;Q84&amp;"*",보유목록!$H$2:$H$3001,O84)&gt;0,"있음",IF(COUNTIFS(보유목록!$I$2:$I$3001,"*"&amp;P84&amp;"*",보유목록!$I$2:$I$3001,"*"&amp;Q84&amp;"*")&gt;0,"확인필요(연도다름)",IF(COUNTIFS(보유목록!$I$2:$I$3001,"*"&amp;P84&amp;"*",보유목록!$H$2:$H$3001,O84)&gt;0,"확인필요(같은학교·같은연도)","없음")))))</f>
      </c>
      <c r="L84" t="str" s="16">
        <f aca="0">IF(OR(COUNTA(B84:J84)=0,R84&lt;&gt;""),"",COUNTIFS(보유목록!$I$2:$I$3001,"*"&amp;P84&amp;"*",보유목록!$I$2:$I$3001,"*"&amp;Q84&amp;"*"))</f>
      </c>
      <c r="M84" t="str" s="23">
        <f aca="0">IF(OR(COUNTA(B84:J84)=0,R84&lt;&gt;""),"",IFERROR(LOOKUP(2,1/(ISNUMBER(SEARCH(P84,보유목록!$I$2:$I$3001))*ISNUMBER(SEARCH(Q84,보유목록!$I$2:$I$3001))*(보유목록!$H$2:$H$3001=O84)),보유목록!$B$2:$B$3001),IFERROR(LOOKUP(2,1/(ISNUMBER(SEARCH(P84,보유목록!$I$2:$I$3001))*ISNUMBER(SEARCH(Q84,보유목록!$I$2:$I$3001))),보유목록!$B$2:$B$3001),"")))</f>
      </c>
      <c r="N84" s="25"/>
      <c r="O84" t="str">
        <f>IFERROR(IF(AND(LEN(SUBSTITUTE(SUBSTITUTE(SUBSTITUTE(TRIM(C84&amp;""),CHAR(160),"")," ",""),"년",""))=4,VALUE(SUBSTITUTE(SUBSTITUTE(SUBSTITUTE(TRIM(C84&amp;""),CHAR(160),"")," ",""),"년",""))&gt;=1900,VALUE(SUBSTITUTE(SUBSTITUTE(SUBSTITUTE(TRIM(C84&amp;""),CHAR(160),"")," ",""),"년",""))&lt;=2099,TEXT(VALUE(SUBSTITUTE(SUBSTITUTE(SUBSTITUTE(TRIM(C84&amp;""),CHAR(160),"")," ",""),"년","")),"0000")=SUBSTITUTE(SUBSTITUTE(SUBSTITUTE(TRIM(C84&amp;""),CHAR(160),"")," ",""),"년","")),SUBSTITUTE(SUBSTITUTE(SUBSTITUTE(TRIM(C84&amp;""),CHAR(160),"")," ",""),"년",""),""),"")</f>
      </c>
      <c r="P84" t="str">
        <f>SUBSTITUTE(SUBSTITUTE(SUBSTITUTE(SUBSTITUTE(SUBSTITUTE(SUBSTITUTE(SUBSTITUTE(SUBSTITUTE(TRIM(D84&amp;""),CHAR(160),"")," ",""),"초등학교","초"),"중학교","중"),"고등학교","고"),"~","~~"),"*","~*"),"?","~?")</f>
      </c>
      <c r="Q84" t="str">
        <f>SUBSTITUTE(SUBSTITUTE(SUBSTITUTE(SUBSTITUTE(SUBSTITUTE(SUBSTITUTE(SUBSTITUTE(SUBSTITUTE(TRIM(E84&amp;""),CHAR(160),"")," ",""),"초등학교","초"),"중학교","중"),"고등학교","고"),"~","~~"),"*","~*"),"?","~?")</f>
      </c>
      <c r="R84" t="str">
        <f>IF(COUNTA(B84:J84)=0,"",IF(AND(O84&lt;&gt;"",P84&lt;&gt;"",Q84&lt;&gt;""),"","입력누락"))</f>
      </c>
    </row>
    <row r="85" customFormat="false" ht="15" hidden="false" customHeight="false" outlineLevel="0" collapsed="false">
      <c r="A85" t="n" s="19">
        <f aca="0">IF(COUNTA(B85:J85)=0,"",ROW()-1)</f>
      </c>
      <c r="B85" s="24"/>
      <c r="C85" s="25"/>
      <c r="D85" s="8"/>
      <c r="E85" s="8"/>
      <c r="F85" s="26"/>
      <c r="G85" s="24"/>
      <c r="H85" s="25"/>
      <c r="I85" s="25"/>
      <c r="J85" s="26"/>
      <c r="K85" t="str" s="15">
        <f aca="0">IF(COUNTA(B85:J85)=0,"",IF(R85&lt;&gt;"","확인필요(입력누락)",IF(COUNTIFS(보유목록!$I$2:$I$3001,"*"&amp;P85&amp;"*",보유목록!$I$2:$I$3001,"*"&amp;Q85&amp;"*",보유목록!$H$2:$H$3001,O85)&gt;0,"있음",IF(COUNTIFS(보유목록!$I$2:$I$3001,"*"&amp;P85&amp;"*",보유목록!$I$2:$I$3001,"*"&amp;Q85&amp;"*")&gt;0,"확인필요(연도다름)",IF(COUNTIFS(보유목록!$I$2:$I$3001,"*"&amp;P85&amp;"*",보유목록!$H$2:$H$3001,O85)&gt;0,"확인필요(같은학교·같은연도)","없음")))))</f>
      </c>
      <c r="L85" t="str" s="16">
        <f aca="0">IF(OR(COUNTA(B85:J85)=0,R85&lt;&gt;""),"",COUNTIFS(보유목록!$I$2:$I$3001,"*"&amp;P85&amp;"*",보유목록!$I$2:$I$3001,"*"&amp;Q85&amp;"*"))</f>
      </c>
      <c r="M85" t="str" s="23">
        <f aca="0">IF(OR(COUNTA(B85:J85)=0,R85&lt;&gt;""),"",IFERROR(LOOKUP(2,1/(ISNUMBER(SEARCH(P85,보유목록!$I$2:$I$3001))*ISNUMBER(SEARCH(Q85,보유목록!$I$2:$I$3001))*(보유목록!$H$2:$H$3001=O85)),보유목록!$B$2:$B$3001),IFERROR(LOOKUP(2,1/(ISNUMBER(SEARCH(P85,보유목록!$I$2:$I$3001))*ISNUMBER(SEARCH(Q85,보유목록!$I$2:$I$3001))),보유목록!$B$2:$B$3001),"")))</f>
      </c>
      <c r="N85" s="25"/>
      <c r="O85" t="str">
        <f>IFERROR(IF(AND(LEN(SUBSTITUTE(SUBSTITUTE(SUBSTITUTE(TRIM(C85&amp;""),CHAR(160),"")," ",""),"년",""))=4,VALUE(SUBSTITUTE(SUBSTITUTE(SUBSTITUTE(TRIM(C85&amp;""),CHAR(160),"")," ",""),"년",""))&gt;=1900,VALUE(SUBSTITUTE(SUBSTITUTE(SUBSTITUTE(TRIM(C85&amp;""),CHAR(160),"")," ",""),"년",""))&lt;=2099,TEXT(VALUE(SUBSTITUTE(SUBSTITUTE(SUBSTITUTE(TRIM(C85&amp;""),CHAR(160),"")," ",""),"년","")),"0000")=SUBSTITUTE(SUBSTITUTE(SUBSTITUTE(TRIM(C85&amp;""),CHAR(160),"")," ",""),"년","")),SUBSTITUTE(SUBSTITUTE(SUBSTITUTE(TRIM(C85&amp;""),CHAR(160),"")," ",""),"년",""),""),"")</f>
      </c>
      <c r="P85" t="str">
        <f>SUBSTITUTE(SUBSTITUTE(SUBSTITUTE(SUBSTITUTE(SUBSTITUTE(SUBSTITUTE(SUBSTITUTE(SUBSTITUTE(TRIM(D85&amp;""),CHAR(160),"")," ",""),"초등학교","초"),"중학교","중"),"고등학교","고"),"~","~~"),"*","~*"),"?","~?")</f>
      </c>
      <c r="Q85" t="str">
        <f>SUBSTITUTE(SUBSTITUTE(SUBSTITUTE(SUBSTITUTE(SUBSTITUTE(SUBSTITUTE(SUBSTITUTE(SUBSTITUTE(TRIM(E85&amp;""),CHAR(160),"")," ",""),"초등학교","초"),"중학교","중"),"고등학교","고"),"~","~~"),"*","~*"),"?","~?")</f>
      </c>
      <c r="R85" t="str">
        <f>IF(COUNTA(B85:J85)=0,"",IF(AND(O85&lt;&gt;"",P85&lt;&gt;"",Q85&lt;&gt;""),"","입력누락"))</f>
      </c>
    </row>
    <row r="86" customFormat="false" ht="15" hidden="false" customHeight="false" outlineLevel="0" collapsed="false">
      <c r="A86" t="n" s="19">
        <f aca="0">IF(COUNTA(B86:J86)=0,"",ROW()-1)</f>
      </c>
      <c r="B86" s="24"/>
      <c r="C86" s="25"/>
      <c r="D86" s="8"/>
      <c r="E86" s="8"/>
      <c r="F86" s="26"/>
      <c r="G86" s="24"/>
      <c r="H86" s="25"/>
      <c r="I86" s="25"/>
      <c r="J86" s="26"/>
      <c r="K86" t="str" s="15">
        <f aca="0">IF(COUNTA(B86:J86)=0,"",IF(R86&lt;&gt;"","확인필요(입력누락)",IF(COUNTIFS(보유목록!$I$2:$I$3001,"*"&amp;P86&amp;"*",보유목록!$I$2:$I$3001,"*"&amp;Q86&amp;"*",보유목록!$H$2:$H$3001,O86)&gt;0,"있음",IF(COUNTIFS(보유목록!$I$2:$I$3001,"*"&amp;P86&amp;"*",보유목록!$I$2:$I$3001,"*"&amp;Q86&amp;"*")&gt;0,"확인필요(연도다름)",IF(COUNTIFS(보유목록!$I$2:$I$3001,"*"&amp;P86&amp;"*",보유목록!$H$2:$H$3001,O86)&gt;0,"확인필요(같은학교·같은연도)","없음")))))</f>
      </c>
      <c r="L86" t="str" s="16">
        <f aca="0">IF(OR(COUNTA(B86:J86)=0,R86&lt;&gt;""),"",COUNTIFS(보유목록!$I$2:$I$3001,"*"&amp;P86&amp;"*",보유목록!$I$2:$I$3001,"*"&amp;Q86&amp;"*"))</f>
      </c>
      <c r="M86" t="str" s="23">
        <f aca="0">IF(OR(COUNTA(B86:J86)=0,R86&lt;&gt;""),"",IFERROR(LOOKUP(2,1/(ISNUMBER(SEARCH(P86,보유목록!$I$2:$I$3001))*ISNUMBER(SEARCH(Q86,보유목록!$I$2:$I$3001))*(보유목록!$H$2:$H$3001=O86)),보유목록!$B$2:$B$3001),IFERROR(LOOKUP(2,1/(ISNUMBER(SEARCH(P86,보유목록!$I$2:$I$3001))*ISNUMBER(SEARCH(Q86,보유목록!$I$2:$I$3001))),보유목록!$B$2:$B$3001),"")))</f>
      </c>
      <c r="N86" s="25"/>
      <c r="O86" t="str">
        <f>IFERROR(IF(AND(LEN(SUBSTITUTE(SUBSTITUTE(SUBSTITUTE(TRIM(C86&amp;""),CHAR(160),"")," ",""),"년",""))=4,VALUE(SUBSTITUTE(SUBSTITUTE(SUBSTITUTE(TRIM(C86&amp;""),CHAR(160),"")," ",""),"년",""))&gt;=1900,VALUE(SUBSTITUTE(SUBSTITUTE(SUBSTITUTE(TRIM(C86&amp;""),CHAR(160),"")," ",""),"년",""))&lt;=2099,TEXT(VALUE(SUBSTITUTE(SUBSTITUTE(SUBSTITUTE(TRIM(C86&amp;""),CHAR(160),"")," ",""),"년","")),"0000")=SUBSTITUTE(SUBSTITUTE(SUBSTITUTE(TRIM(C86&amp;""),CHAR(160),"")," ",""),"년","")),SUBSTITUTE(SUBSTITUTE(SUBSTITUTE(TRIM(C86&amp;""),CHAR(160),"")," ",""),"년",""),""),"")</f>
      </c>
      <c r="P86" t="str">
        <f>SUBSTITUTE(SUBSTITUTE(SUBSTITUTE(SUBSTITUTE(SUBSTITUTE(SUBSTITUTE(SUBSTITUTE(SUBSTITUTE(TRIM(D86&amp;""),CHAR(160),"")," ",""),"초등학교","초"),"중학교","중"),"고등학교","고"),"~","~~"),"*","~*"),"?","~?")</f>
      </c>
      <c r="Q86" t="str">
        <f>SUBSTITUTE(SUBSTITUTE(SUBSTITUTE(SUBSTITUTE(SUBSTITUTE(SUBSTITUTE(SUBSTITUTE(SUBSTITUTE(TRIM(E86&amp;""),CHAR(160),"")," ",""),"초등학교","초"),"중학교","중"),"고등학교","고"),"~","~~"),"*","~*"),"?","~?")</f>
      </c>
      <c r="R86" t="str">
        <f>IF(COUNTA(B86:J86)=0,"",IF(AND(O86&lt;&gt;"",P86&lt;&gt;"",Q86&lt;&gt;""),"","입력누락"))</f>
      </c>
    </row>
    <row r="87" customFormat="false" ht="15" hidden="false" customHeight="false" outlineLevel="0" collapsed="false">
      <c r="A87" t="n" s="19">
        <f aca="0">IF(COUNTA(B87:J87)=0,"",ROW()-1)</f>
      </c>
      <c r="B87" s="24"/>
      <c r="C87" s="25"/>
      <c r="D87" s="8"/>
      <c r="E87" s="8"/>
      <c r="F87" s="26"/>
      <c r="G87" s="24"/>
      <c r="H87" s="25"/>
      <c r="I87" s="25"/>
      <c r="J87" s="26"/>
      <c r="K87" t="str" s="15">
        <f aca="0">IF(COUNTA(B87:J87)=0,"",IF(R87&lt;&gt;"","확인필요(입력누락)",IF(COUNTIFS(보유목록!$I$2:$I$3001,"*"&amp;P87&amp;"*",보유목록!$I$2:$I$3001,"*"&amp;Q87&amp;"*",보유목록!$H$2:$H$3001,O87)&gt;0,"있음",IF(COUNTIFS(보유목록!$I$2:$I$3001,"*"&amp;P87&amp;"*",보유목록!$I$2:$I$3001,"*"&amp;Q87&amp;"*")&gt;0,"확인필요(연도다름)",IF(COUNTIFS(보유목록!$I$2:$I$3001,"*"&amp;P87&amp;"*",보유목록!$H$2:$H$3001,O87)&gt;0,"확인필요(같은학교·같은연도)","없음")))))</f>
      </c>
      <c r="L87" t="str" s="16">
        <f aca="0">IF(OR(COUNTA(B87:J87)=0,R87&lt;&gt;""),"",COUNTIFS(보유목록!$I$2:$I$3001,"*"&amp;P87&amp;"*",보유목록!$I$2:$I$3001,"*"&amp;Q87&amp;"*"))</f>
      </c>
      <c r="M87" t="str" s="23">
        <f aca="0">IF(OR(COUNTA(B87:J87)=0,R87&lt;&gt;""),"",IFERROR(LOOKUP(2,1/(ISNUMBER(SEARCH(P87,보유목록!$I$2:$I$3001))*ISNUMBER(SEARCH(Q87,보유목록!$I$2:$I$3001))*(보유목록!$H$2:$H$3001=O87)),보유목록!$B$2:$B$3001),IFERROR(LOOKUP(2,1/(ISNUMBER(SEARCH(P87,보유목록!$I$2:$I$3001))*ISNUMBER(SEARCH(Q87,보유목록!$I$2:$I$3001))),보유목록!$B$2:$B$3001),"")))</f>
      </c>
      <c r="N87" s="25"/>
      <c r="O87" t="str">
        <f>IFERROR(IF(AND(LEN(SUBSTITUTE(SUBSTITUTE(SUBSTITUTE(TRIM(C87&amp;""),CHAR(160),"")," ",""),"년",""))=4,VALUE(SUBSTITUTE(SUBSTITUTE(SUBSTITUTE(TRIM(C87&amp;""),CHAR(160),"")," ",""),"년",""))&gt;=1900,VALUE(SUBSTITUTE(SUBSTITUTE(SUBSTITUTE(TRIM(C87&amp;""),CHAR(160),"")," ",""),"년",""))&lt;=2099,TEXT(VALUE(SUBSTITUTE(SUBSTITUTE(SUBSTITUTE(TRIM(C87&amp;""),CHAR(160),"")," ",""),"년","")),"0000")=SUBSTITUTE(SUBSTITUTE(SUBSTITUTE(TRIM(C87&amp;""),CHAR(160),"")," ",""),"년","")),SUBSTITUTE(SUBSTITUTE(SUBSTITUTE(TRIM(C87&amp;""),CHAR(160),"")," ",""),"년",""),""),"")</f>
      </c>
      <c r="P87" t="str">
        <f>SUBSTITUTE(SUBSTITUTE(SUBSTITUTE(SUBSTITUTE(SUBSTITUTE(SUBSTITUTE(SUBSTITUTE(SUBSTITUTE(TRIM(D87&amp;""),CHAR(160),"")," ",""),"초등학교","초"),"중학교","중"),"고등학교","고"),"~","~~"),"*","~*"),"?","~?")</f>
      </c>
      <c r="Q87" t="str">
        <f>SUBSTITUTE(SUBSTITUTE(SUBSTITUTE(SUBSTITUTE(SUBSTITUTE(SUBSTITUTE(SUBSTITUTE(SUBSTITUTE(TRIM(E87&amp;""),CHAR(160),"")," ",""),"초등학교","초"),"중학교","중"),"고등학교","고"),"~","~~"),"*","~*"),"?","~?")</f>
      </c>
      <c r="R87" t="str">
        <f>IF(COUNTA(B87:J87)=0,"",IF(AND(O87&lt;&gt;"",P87&lt;&gt;"",Q87&lt;&gt;""),"","입력누락"))</f>
      </c>
    </row>
    <row r="88" customFormat="false" ht="15" hidden="false" customHeight="false" outlineLevel="0" collapsed="false">
      <c r="A88" t="n" s="19">
        <f aca="0">IF(COUNTA(B88:J88)=0,"",ROW()-1)</f>
      </c>
      <c r="B88" s="24"/>
      <c r="C88" s="25"/>
      <c r="D88" s="8"/>
      <c r="E88" s="8"/>
      <c r="F88" s="26"/>
      <c r="G88" s="24"/>
      <c r="H88" s="25"/>
      <c r="I88" s="25"/>
      <c r="J88" s="26"/>
      <c r="K88" t="str" s="15">
        <f aca="0">IF(COUNTA(B88:J88)=0,"",IF(R88&lt;&gt;"","확인필요(입력누락)",IF(COUNTIFS(보유목록!$I$2:$I$3001,"*"&amp;P88&amp;"*",보유목록!$I$2:$I$3001,"*"&amp;Q88&amp;"*",보유목록!$H$2:$H$3001,O88)&gt;0,"있음",IF(COUNTIFS(보유목록!$I$2:$I$3001,"*"&amp;P88&amp;"*",보유목록!$I$2:$I$3001,"*"&amp;Q88&amp;"*")&gt;0,"확인필요(연도다름)",IF(COUNTIFS(보유목록!$I$2:$I$3001,"*"&amp;P88&amp;"*",보유목록!$H$2:$H$3001,O88)&gt;0,"확인필요(같은학교·같은연도)","없음")))))</f>
      </c>
      <c r="L88" t="str" s="16">
        <f aca="0">IF(OR(COUNTA(B88:J88)=0,R88&lt;&gt;""),"",COUNTIFS(보유목록!$I$2:$I$3001,"*"&amp;P88&amp;"*",보유목록!$I$2:$I$3001,"*"&amp;Q88&amp;"*"))</f>
      </c>
      <c r="M88" t="str" s="23">
        <f aca="0">IF(OR(COUNTA(B88:J88)=0,R88&lt;&gt;""),"",IFERROR(LOOKUP(2,1/(ISNUMBER(SEARCH(P88,보유목록!$I$2:$I$3001))*ISNUMBER(SEARCH(Q88,보유목록!$I$2:$I$3001))*(보유목록!$H$2:$H$3001=O88)),보유목록!$B$2:$B$3001),IFERROR(LOOKUP(2,1/(ISNUMBER(SEARCH(P88,보유목록!$I$2:$I$3001))*ISNUMBER(SEARCH(Q88,보유목록!$I$2:$I$3001))),보유목록!$B$2:$B$3001),"")))</f>
      </c>
      <c r="N88" s="25"/>
      <c r="O88" t="str">
        <f>IFERROR(IF(AND(LEN(SUBSTITUTE(SUBSTITUTE(SUBSTITUTE(TRIM(C88&amp;""),CHAR(160),"")," ",""),"년",""))=4,VALUE(SUBSTITUTE(SUBSTITUTE(SUBSTITUTE(TRIM(C88&amp;""),CHAR(160),"")," ",""),"년",""))&gt;=1900,VALUE(SUBSTITUTE(SUBSTITUTE(SUBSTITUTE(TRIM(C88&amp;""),CHAR(160),"")," ",""),"년",""))&lt;=2099,TEXT(VALUE(SUBSTITUTE(SUBSTITUTE(SUBSTITUTE(TRIM(C88&amp;""),CHAR(160),"")," ",""),"년","")),"0000")=SUBSTITUTE(SUBSTITUTE(SUBSTITUTE(TRIM(C88&amp;""),CHAR(160),"")," ",""),"년","")),SUBSTITUTE(SUBSTITUTE(SUBSTITUTE(TRIM(C88&amp;""),CHAR(160),"")," ",""),"년",""),""),"")</f>
      </c>
      <c r="P88" t="str">
        <f>SUBSTITUTE(SUBSTITUTE(SUBSTITUTE(SUBSTITUTE(SUBSTITUTE(SUBSTITUTE(SUBSTITUTE(SUBSTITUTE(TRIM(D88&amp;""),CHAR(160),"")," ",""),"초등학교","초"),"중학교","중"),"고등학교","고"),"~","~~"),"*","~*"),"?","~?")</f>
      </c>
      <c r="Q88" t="str">
        <f>SUBSTITUTE(SUBSTITUTE(SUBSTITUTE(SUBSTITUTE(SUBSTITUTE(SUBSTITUTE(SUBSTITUTE(SUBSTITUTE(TRIM(E88&amp;""),CHAR(160),"")," ",""),"초등학교","초"),"중학교","중"),"고등학교","고"),"~","~~"),"*","~*"),"?","~?")</f>
      </c>
      <c r="R88" t="str">
        <f>IF(COUNTA(B88:J88)=0,"",IF(AND(O88&lt;&gt;"",P88&lt;&gt;"",Q88&lt;&gt;""),"","입력누락"))</f>
      </c>
    </row>
    <row r="89" customFormat="false" ht="15" hidden="false" customHeight="false" outlineLevel="0" collapsed="false">
      <c r="A89" t="n" s="19">
        <f aca="0">IF(COUNTA(B89:J89)=0,"",ROW()-1)</f>
      </c>
      <c r="B89" s="24"/>
      <c r="C89" s="25"/>
      <c r="D89" s="8"/>
      <c r="E89" s="8"/>
      <c r="F89" s="26"/>
      <c r="G89" s="24"/>
      <c r="H89" s="25"/>
      <c r="I89" s="25"/>
      <c r="J89" s="26"/>
      <c r="K89" t="str" s="15">
        <f aca="0">IF(COUNTA(B89:J89)=0,"",IF(R89&lt;&gt;"","확인필요(입력누락)",IF(COUNTIFS(보유목록!$I$2:$I$3001,"*"&amp;P89&amp;"*",보유목록!$I$2:$I$3001,"*"&amp;Q89&amp;"*",보유목록!$H$2:$H$3001,O89)&gt;0,"있음",IF(COUNTIFS(보유목록!$I$2:$I$3001,"*"&amp;P89&amp;"*",보유목록!$I$2:$I$3001,"*"&amp;Q89&amp;"*")&gt;0,"확인필요(연도다름)",IF(COUNTIFS(보유목록!$I$2:$I$3001,"*"&amp;P89&amp;"*",보유목록!$H$2:$H$3001,O89)&gt;0,"확인필요(같은학교·같은연도)","없음")))))</f>
      </c>
      <c r="L89" t="str" s="16">
        <f aca="0">IF(OR(COUNTA(B89:J89)=0,R89&lt;&gt;""),"",COUNTIFS(보유목록!$I$2:$I$3001,"*"&amp;P89&amp;"*",보유목록!$I$2:$I$3001,"*"&amp;Q89&amp;"*"))</f>
      </c>
      <c r="M89" t="str" s="23">
        <f aca="0">IF(OR(COUNTA(B89:J89)=0,R89&lt;&gt;""),"",IFERROR(LOOKUP(2,1/(ISNUMBER(SEARCH(P89,보유목록!$I$2:$I$3001))*ISNUMBER(SEARCH(Q89,보유목록!$I$2:$I$3001))*(보유목록!$H$2:$H$3001=O89)),보유목록!$B$2:$B$3001),IFERROR(LOOKUP(2,1/(ISNUMBER(SEARCH(P89,보유목록!$I$2:$I$3001))*ISNUMBER(SEARCH(Q89,보유목록!$I$2:$I$3001))),보유목록!$B$2:$B$3001),"")))</f>
      </c>
      <c r="N89" s="25"/>
      <c r="O89" t="str">
        <f>IFERROR(IF(AND(LEN(SUBSTITUTE(SUBSTITUTE(SUBSTITUTE(TRIM(C89&amp;""),CHAR(160),"")," ",""),"년",""))=4,VALUE(SUBSTITUTE(SUBSTITUTE(SUBSTITUTE(TRIM(C89&amp;""),CHAR(160),"")," ",""),"년",""))&gt;=1900,VALUE(SUBSTITUTE(SUBSTITUTE(SUBSTITUTE(TRIM(C89&amp;""),CHAR(160),"")," ",""),"년",""))&lt;=2099,TEXT(VALUE(SUBSTITUTE(SUBSTITUTE(SUBSTITUTE(TRIM(C89&amp;""),CHAR(160),"")," ",""),"년","")),"0000")=SUBSTITUTE(SUBSTITUTE(SUBSTITUTE(TRIM(C89&amp;""),CHAR(160),"")," ",""),"년","")),SUBSTITUTE(SUBSTITUTE(SUBSTITUTE(TRIM(C89&amp;""),CHAR(160),"")," ",""),"년",""),""),"")</f>
      </c>
      <c r="P89" t="str">
        <f>SUBSTITUTE(SUBSTITUTE(SUBSTITUTE(SUBSTITUTE(SUBSTITUTE(SUBSTITUTE(SUBSTITUTE(SUBSTITUTE(TRIM(D89&amp;""),CHAR(160),"")," ",""),"초등학교","초"),"중학교","중"),"고등학교","고"),"~","~~"),"*","~*"),"?","~?")</f>
      </c>
      <c r="Q89" t="str">
        <f>SUBSTITUTE(SUBSTITUTE(SUBSTITUTE(SUBSTITUTE(SUBSTITUTE(SUBSTITUTE(SUBSTITUTE(SUBSTITUTE(TRIM(E89&amp;""),CHAR(160),"")," ",""),"초등학교","초"),"중학교","중"),"고등학교","고"),"~","~~"),"*","~*"),"?","~?")</f>
      </c>
      <c r="R89" t="str">
        <f>IF(COUNTA(B89:J89)=0,"",IF(AND(O89&lt;&gt;"",P89&lt;&gt;"",Q89&lt;&gt;""),"","입력누락"))</f>
      </c>
    </row>
    <row r="90" customFormat="false" ht="15" hidden="false" customHeight="false" outlineLevel="0" collapsed="false">
      <c r="A90" t="n" s="19">
        <f aca="0">IF(COUNTA(B90:J90)=0,"",ROW()-1)</f>
      </c>
      <c r="B90" s="24"/>
      <c r="C90" s="25"/>
      <c r="D90" s="8"/>
      <c r="E90" s="8"/>
      <c r="F90" s="26"/>
      <c r="G90" s="24"/>
      <c r="H90" s="25"/>
      <c r="I90" s="25"/>
      <c r="J90" s="26"/>
      <c r="K90" t="str" s="15">
        <f aca="0">IF(COUNTA(B90:J90)=0,"",IF(R90&lt;&gt;"","확인필요(입력누락)",IF(COUNTIFS(보유목록!$I$2:$I$3001,"*"&amp;P90&amp;"*",보유목록!$I$2:$I$3001,"*"&amp;Q90&amp;"*",보유목록!$H$2:$H$3001,O90)&gt;0,"있음",IF(COUNTIFS(보유목록!$I$2:$I$3001,"*"&amp;P90&amp;"*",보유목록!$I$2:$I$3001,"*"&amp;Q90&amp;"*")&gt;0,"확인필요(연도다름)",IF(COUNTIFS(보유목록!$I$2:$I$3001,"*"&amp;P90&amp;"*",보유목록!$H$2:$H$3001,O90)&gt;0,"확인필요(같은학교·같은연도)","없음")))))</f>
      </c>
      <c r="L90" t="str" s="16">
        <f aca="0">IF(OR(COUNTA(B90:J90)=0,R90&lt;&gt;""),"",COUNTIFS(보유목록!$I$2:$I$3001,"*"&amp;P90&amp;"*",보유목록!$I$2:$I$3001,"*"&amp;Q90&amp;"*"))</f>
      </c>
      <c r="M90" t="str" s="23">
        <f aca="0">IF(OR(COUNTA(B90:J90)=0,R90&lt;&gt;""),"",IFERROR(LOOKUP(2,1/(ISNUMBER(SEARCH(P90,보유목록!$I$2:$I$3001))*ISNUMBER(SEARCH(Q90,보유목록!$I$2:$I$3001))*(보유목록!$H$2:$H$3001=O90)),보유목록!$B$2:$B$3001),IFERROR(LOOKUP(2,1/(ISNUMBER(SEARCH(P90,보유목록!$I$2:$I$3001))*ISNUMBER(SEARCH(Q90,보유목록!$I$2:$I$3001))),보유목록!$B$2:$B$3001),"")))</f>
      </c>
      <c r="N90" s="25"/>
      <c r="O90" t="str">
        <f>IFERROR(IF(AND(LEN(SUBSTITUTE(SUBSTITUTE(SUBSTITUTE(TRIM(C90&amp;""),CHAR(160),"")," ",""),"년",""))=4,VALUE(SUBSTITUTE(SUBSTITUTE(SUBSTITUTE(TRIM(C90&amp;""),CHAR(160),"")," ",""),"년",""))&gt;=1900,VALUE(SUBSTITUTE(SUBSTITUTE(SUBSTITUTE(TRIM(C90&amp;""),CHAR(160),"")," ",""),"년",""))&lt;=2099,TEXT(VALUE(SUBSTITUTE(SUBSTITUTE(SUBSTITUTE(TRIM(C90&amp;""),CHAR(160),"")," ",""),"년","")),"0000")=SUBSTITUTE(SUBSTITUTE(SUBSTITUTE(TRIM(C90&amp;""),CHAR(160),"")," ",""),"년","")),SUBSTITUTE(SUBSTITUTE(SUBSTITUTE(TRIM(C90&amp;""),CHAR(160),"")," ",""),"년",""),""),"")</f>
      </c>
      <c r="P90" t="str">
        <f>SUBSTITUTE(SUBSTITUTE(SUBSTITUTE(SUBSTITUTE(SUBSTITUTE(SUBSTITUTE(SUBSTITUTE(SUBSTITUTE(TRIM(D90&amp;""),CHAR(160),"")," ",""),"초등학교","초"),"중학교","중"),"고등학교","고"),"~","~~"),"*","~*"),"?","~?")</f>
      </c>
      <c r="Q90" t="str">
        <f>SUBSTITUTE(SUBSTITUTE(SUBSTITUTE(SUBSTITUTE(SUBSTITUTE(SUBSTITUTE(SUBSTITUTE(SUBSTITUTE(TRIM(E90&amp;""),CHAR(160),"")," ",""),"초등학교","초"),"중학교","중"),"고등학교","고"),"~","~~"),"*","~*"),"?","~?")</f>
      </c>
      <c r="R90" t="str">
        <f>IF(COUNTA(B90:J90)=0,"",IF(AND(O90&lt;&gt;"",P90&lt;&gt;"",Q90&lt;&gt;""),"","입력누락"))</f>
      </c>
    </row>
    <row r="91" customFormat="false" ht="15" hidden="false" customHeight="false" outlineLevel="0" collapsed="false">
      <c r="A91" t="n" s="19">
        <f aca="0">IF(COUNTA(B91:J91)=0,"",ROW()-1)</f>
      </c>
      <c r="B91" s="24"/>
      <c r="C91" s="25"/>
      <c r="D91" s="8"/>
      <c r="E91" s="8"/>
      <c r="F91" s="26"/>
      <c r="G91" s="24"/>
      <c r="H91" s="25"/>
      <c r="I91" s="25"/>
      <c r="J91" s="26"/>
      <c r="K91" t="str" s="15">
        <f aca="0">IF(COUNTA(B91:J91)=0,"",IF(R91&lt;&gt;"","확인필요(입력누락)",IF(COUNTIFS(보유목록!$I$2:$I$3001,"*"&amp;P91&amp;"*",보유목록!$I$2:$I$3001,"*"&amp;Q91&amp;"*",보유목록!$H$2:$H$3001,O91)&gt;0,"있음",IF(COUNTIFS(보유목록!$I$2:$I$3001,"*"&amp;P91&amp;"*",보유목록!$I$2:$I$3001,"*"&amp;Q91&amp;"*")&gt;0,"확인필요(연도다름)",IF(COUNTIFS(보유목록!$I$2:$I$3001,"*"&amp;P91&amp;"*",보유목록!$H$2:$H$3001,O91)&gt;0,"확인필요(같은학교·같은연도)","없음")))))</f>
      </c>
      <c r="L91" t="str" s="16">
        <f aca="0">IF(OR(COUNTA(B91:J91)=0,R91&lt;&gt;""),"",COUNTIFS(보유목록!$I$2:$I$3001,"*"&amp;P91&amp;"*",보유목록!$I$2:$I$3001,"*"&amp;Q91&amp;"*"))</f>
      </c>
      <c r="M91" t="str" s="23">
        <f aca="0">IF(OR(COUNTA(B91:J91)=0,R91&lt;&gt;""),"",IFERROR(LOOKUP(2,1/(ISNUMBER(SEARCH(P91,보유목록!$I$2:$I$3001))*ISNUMBER(SEARCH(Q91,보유목록!$I$2:$I$3001))*(보유목록!$H$2:$H$3001=O91)),보유목록!$B$2:$B$3001),IFERROR(LOOKUP(2,1/(ISNUMBER(SEARCH(P91,보유목록!$I$2:$I$3001))*ISNUMBER(SEARCH(Q91,보유목록!$I$2:$I$3001))),보유목록!$B$2:$B$3001),"")))</f>
      </c>
      <c r="N91" s="25"/>
      <c r="O91" t="str">
        <f>IFERROR(IF(AND(LEN(SUBSTITUTE(SUBSTITUTE(SUBSTITUTE(TRIM(C91&amp;""),CHAR(160),"")," ",""),"년",""))=4,VALUE(SUBSTITUTE(SUBSTITUTE(SUBSTITUTE(TRIM(C91&amp;""),CHAR(160),"")," ",""),"년",""))&gt;=1900,VALUE(SUBSTITUTE(SUBSTITUTE(SUBSTITUTE(TRIM(C91&amp;""),CHAR(160),"")," ",""),"년",""))&lt;=2099,TEXT(VALUE(SUBSTITUTE(SUBSTITUTE(SUBSTITUTE(TRIM(C91&amp;""),CHAR(160),"")," ",""),"년","")),"0000")=SUBSTITUTE(SUBSTITUTE(SUBSTITUTE(TRIM(C91&amp;""),CHAR(160),"")," ",""),"년","")),SUBSTITUTE(SUBSTITUTE(SUBSTITUTE(TRIM(C91&amp;""),CHAR(160),"")," ",""),"년",""),""),"")</f>
      </c>
      <c r="P91" t="str">
        <f>SUBSTITUTE(SUBSTITUTE(SUBSTITUTE(SUBSTITUTE(SUBSTITUTE(SUBSTITUTE(SUBSTITUTE(SUBSTITUTE(TRIM(D91&amp;""),CHAR(160),"")," ",""),"초등학교","초"),"중학교","중"),"고등학교","고"),"~","~~"),"*","~*"),"?","~?")</f>
      </c>
      <c r="Q91" t="str">
        <f>SUBSTITUTE(SUBSTITUTE(SUBSTITUTE(SUBSTITUTE(SUBSTITUTE(SUBSTITUTE(SUBSTITUTE(SUBSTITUTE(TRIM(E91&amp;""),CHAR(160),"")," ",""),"초등학교","초"),"중학교","중"),"고등학교","고"),"~","~~"),"*","~*"),"?","~?")</f>
      </c>
      <c r="R91" t="str">
        <f>IF(COUNTA(B91:J91)=0,"",IF(AND(O91&lt;&gt;"",P91&lt;&gt;"",Q91&lt;&gt;""),"","입력누락"))</f>
      </c>
    </row>
    <row r="92" customFormat="false" ht="15" hidden="false" customHeight="false" outlineLevel="0" collapsed="false">
      <c r="A92" t="n" s="19">
        <f aca="0">IF(COUNTA(B92:J92)=0,"",ROW()-1)</f>
      </c>
      <c r="B92" s="24"/>
      <c r="C92" s="25"/>
      <c r="D92" s="8"/>
      <c r="E92" s="8"/>
      <c r="F92" s="26"/>
      <c r="G92" s="24"/>
      <c r="H92" s="25"/>
      <c r="I92" s="25"/>
      <c r="J92" s="26"/>
      <c r="K92" t="str" s="15">
        <f aca="0">IF(COUNTA(B92:J92)=0,"",IF(R92&lt;&gt;"","확인필요(입력누락)",IF(COUNTIFS(보유목록!$I$2:$I$3001,"*"&amp;P92&amp;"*",보유목록!$I$2:$I$3001,"*"&amp;Q92&amp;"*",보유목록!$H$2:$H$3001,O92)&gt;0,"있음",IF(COUNTIFS(보유목록!$I$2:$I$3001,"*"&amp;P92&amp;"*",보유목록!$I$2:$I$3001,"*"&amp;Q92&amp;"*")&gt;0,"확인필요(연도다름)",IF(COUNTIFS(보유목록!$I$2:$I$3001,"*"&amp;P92&amp;"*",보유목록!$H$2:$H$3001,O92)&gt;0,"확인필요(같은학교·같은연도)","없음")))))</f>
      </c>
      <c r="L92" t="str" s="16">
        <f aca="0">IF(OR(COUNTA(B92:J92)=0,R92&lt;&gt;""),"",COUNTIFS(보유목록!$I$2:$I$3001,"*"&amp;P92&amp;"*",보유목록!$I$2:$I$3001,"*"&amp;Q92&amp;"*"))</f>
      </c>
      <c r="M92" t="str" s="23">
        <f aca="0">IF(OR(COUNTA(B92:J92)=0,R92&lt;&gt;""),"",IFERROR(LOOKUP(2,1/(ISNUMBER(SEARCH(P92,보유목록!$I$2:$I$3001))*ISNUMBER(SEARCH(Q92,보유목록!$I$2:$I$3001))*(보유목록!$H$2:$H$3001=O92)),보유목록!$B$2:$B$3001),IFERROR(LOOKUP(2,1/(ISNUMBER(SEARCH(P92,보유목록!$I$2:$I$3001))*ISNUMBER(SEARCH(Q92,보유목록!$I$2:$I$3001))),보유목록!$B$2:$B$3001),"")))</f>
      </c>
      <c r="N92" s="25"/>
      <c r="O92" t="str">
        <f>IFERROR(IF(AND(LEN(SUBSTITUTE(SUBSTITUTE(SUBSTITUTE(TRIM(C92&amp;""),CHAR(160),"")," ",""),"년",""))=4,VALUE(SUBSTITUTE(SUBSTITUTE(SUBSTITUTE(TRIM(C92&amp;""),CHAR(160),"")," ",""),"년",""))&gt;=1900,VALUE(SUBSTITUTE(SUBSTITUTE(SUBSTITUTE(TRIM(C92&amp;""),CHAR(160),"")," ",""),"년",""))&lt;=2099,TEXT(VALUE(SUBSTITUTE(SUBSTITUTE(SUBSTITUTE(TRIM(C92&amp;""),CHAR(160),"")," ",""),"년","")),"0000")=SUBSTITUTE(SUBSTITUTE(SUBSTITUTE(TRIM(C92&amp;""),CHAR(160),"")," ",""),"년","")),SUBSTITUTE(SUBSTITUTE(SUBSTITUTE(TRIM(C92&amp;""),CHAR(160),"")," ",""),"년",""),""),"")</f>
      </c>
      <c r="P92" t="str">
        <f>SUBSTITUTE(SUBSTITUTE(SUBSTITUTE(SUBSTITUTE(SUBSTITUTE(SUBSTITUTE(SUBSTITUTE(SUBSTITUTE(TRIM(D92&amp;""),CHAR(160),"")," ",""),"초등학교","초"),"중학교","중"),"고등학교","고"),"~","~~"),"*","~*"),"?","~?")</f>
      </c>
      <c r="Q92" t="str">
        <f>SUBSTITUTE(SUBSTITUTE(SUBSTITUTE(SUBSTITUTE(SUBSTITUTE(SUBSTITUTE(SUBSTITUTE(SUBSTITUTE(TRIM(E92&amp;""),CHAR(160),"")," ",""),"초등학교","초"),"중학교","중"),"고등학교","고"),"~","~~"),"*","~*"),"?","~?")</f>
      </c>
      <c r="R92" t="str">
        <f>IF(COUNTA(B92:J92)=0,"",IF(AND(O92&lt;&gt;"",P92&lt;&gt;"",Q92&lt;&gt;""),"","입력누락"))</f>
      </c>
    </row>
    <row r="93" customFormat="false" ht="15" hidden="false" customHeight="false" outlineLevel="0" collapsed="false">
      <c r="A93" t="n" s="19">
        <f aca="0">IF(COUNTA(B93:J93)=0,"",ROW()-1)</f>
      </c>
      <c r="B93" s="24"/>
      <c r="C93" s="25"/>
      <c r="D93" s="8"/>
      <c r="E93" s="8"/>
      <c r="F93" s="26"/>
      <c r="G93" s="24"/>
      <c r="H93" s="25"/>
      <c r="I93" s="25"/>
      <c r="J93" s="26"/>
      <c r="K93" t="str" s="15">
        <f aca="0">IF(COUNTA(B93:J93)=0,"",IF(R93&lt;&gt;"","확인필요(입력누락)",IF(COUNTIFS(보유목록!$I$2:$I$3001,"*"&amp;P93&amp;"*",보유목록!$I$2:$I$3001,"*"&amp;Q93&amp;"*",보유목록!$H$2:$H$3001,O93)&gt;0,"있음",IF(COUNTIFS(보유목록!$I$2:$I$3001,"*"&amp;P93&amp;"*",보유목록!$I$2:$I$3001,"*"&amp;Q93&amp;"*")&gt;0,"확인필요(연도다름)",IF(COUNTIFS(보유목록!$I$2:$I$3001,"*"&amp;P93&amp;"*",보유목록!$H$2:$H$3001,O93)&gt;0,"확인필요(같은학교·같은연도)","없음")))))</f>
      </c>
      <c r="L93" t="str" s="16">
        <f aca="0">IF(OR(COUNTA(B93:J93)=0,R93&lt;&gt;""),"",COUNTIFS(보유목록!$I$2:$I$3001,"*"&amp;P93&amp;"*",보유목록!$I$2:$I$3001,"*"&amp;Q93&amp;"*"))</f>
      </c>
      <c r="M93" t="str" s="23">
        <f aca="0">IF(OR(COUNTA(B93:J93)=0,R93&lt;&gt;""),"",IFERROR(LOOKUP(2,1/(ISNUMBER(SEARCH(P93,보유목록!$I$2:$I$3001))*ISNUMBER(SEARCH(Q93,보유목록!$I$2:$I$3001))*(보유목록!$H$2:$H$3001=O93)),보유목록!$B$2:$B$3001),IFERROR(LOOKUP(2,1/(ISNUMBER(SEARCH(P93,보유목록!$I$2:$I$3001))*ISNUMBER(SEARCH(Q93,보유목록!$I$2:$I$3001))),보유목록!$B$2:$B$3001),"")))</f>
      </c>
      <c r="N93" s="25"/>
      <c r="O93" t="str">
        <f>IFERROR(IF(AND(LEN(SUBSTITUTE(SUBSTITUTE(SUBSTITUTE(TRIM(C93&amp;""),CHAR(160),"")," ",""),"년",""))=4,VALUE(SUBSTITUTE(SUBSTITUTE(SUBSTITUTE(TRIM(C93&amp;""),CHAR(160),"")," ",""),"년",""))&gt;=1900,VALUE(SUBSTITUTE(SUBSTITUTE(SUBSTITUTE(TRIM(C93&amp;""),CHAR(160),"")," ",""),"년",""))&lt;=2099,TEXT(VALUE(SUBSTITUTE(SUBSTITUTE(SUBSTITUTE(TRIM(C93&amp;""),CHAR(160),"")," ",""),"년","")),"0000")=SUBSTITUTE(SUBSTITUTE(SUBSTITUTE(TRIM(C93&amp;""),CHAR(160),"")," ",""),"년","")),SUBSTITUTE(SUBSTITUTE(SUBSTITUTE(TRIM(C93&amp;""),CHAR(160),"")," ",""),"년",""),""),"")</f>
      </c>
      <c r="P93" t="str">
        <f>SUBSTITUTE(SUBSTITUTE(SUBSTITUTE(SUBSTITUTE(SUBSTITUTE(SUBSTITUTE(SUBSTITUTE(SUBSTITUTE(TRIM(D93&amp;""),CHAR(160),"")," ",""),"초등학교","초"),"중학교","중"),"고등학교","고"),"~","~~"),"*","~*"),"?","~?")</f>
      </c>
      <c r="Q93" t="str">
        <f>SUBSTITUTE(SUBSTITUTE(SUBSTITUTE(SUBSTITUTE(SUBSTITUTE(SUBSTITUTE(SUBSTITUTE(SUBSTITUTE(TRIM(E93&amp;""),CHAR(160),"")," ",""),"초등학교","초"),"중학교","중"),"고등학교","고"),"~","~~"),"*","~*"),"?","~?")</f>
      </c>
      <c r="R93" t="str">
        <f>IF(COUNTA(B93:J93)=0,"",IF(AND(O93&lt;&gt;"",P93&lt;&gt;"",Q93&lt;&gt;""),"","입력누락"))</f>
      </c>
    </row>
    <row r="94" customFormat="false" ht="15" hidden="false" customHeight="false" outlineLevel="0" collapsed="false">
      <c r="A94" t="n" s="19">
        <f aca="0">IF(COUNTA(B94:J94)=0,"",ROW()-1)</f>
      </c>
      <c r="B94" s="24"/>
      <c r="C94" s="25"/>
      <c r="D94" s="8"/>
      <c r="E94" s="8"/>
      <c r="F94" s="26"/>
      <c r="G94" s="24"/>
      <c r="H94" s="25"/>
      <c r="I94" s="25"/>
      <c r="J94" s="26"/>
      <c r="K94" t="str" s="15">
        <f aca="0">IF(COUNTA(B94:J94)=0,"",IF(R94&lt;&gt;"","확인필요(입력누락)",IF(COUNTIFS(보유목록!$I$2:$I$3001,"*"&amp;P94&amp;"*",보유목록!$I$2:$I$3001,"*"&amp;Q94&amp;"*",보유목록!$H$2:$H$3001,O94)&gt;0,"있음",IF(COUNTIFS(보유목록!$I$2:$I$3001,"*"&amp;P94&amp;"*",보유목록!$I$2:$I$3001,"*"&amp;Q94&amp;"*")&gt;0,"확인필요(연도다름)",IF(COUNTIFS(보유목록!$I$2:$I$3001,"*"&amp;P94&amp;"*",보유목록!$H$2:$H$3001,O94)&gt;0,"확인필요(같은학교·같은연도)","없음")))))</f>
      </c>
      <c r="L94" t="str" s="16">
        <f aca="0">IF(OR(COUNTA(B94:J94)=0,R94&lt;&gt;""),"",COUNTIFS(보유목록!$I$2:$I$3001,"*"&amp;P94&amp;"*",보유목록!$I$2:$I$3001,"*"&amp;Q94&amp;"*"))</f>
      </c>
      <c r="M94" t="str" s="23">
        <f aca="0">IF(OR(COUNTA(B94:J94)=0,R94&lt;&gt;""),"",IFERROR(LOOKUP(2,1/(ISNUMBER(SEARCH(P94,보유목록!$I$2:$I$3001))*ISNUMBER(SEARCH(Q94,보유목록!$I$2:$I$3001))*(보유목록!$H$2:$H$3001=O94)),보유목록!$B$2:$B$3001),IFERROR(LOOKUP(2,1/(ISNUMBER(SEARCH(P94,보유목록!$I$2:$I$3001))*ISNUMBER(SEARCH(Q94,보유목록!$I$2:$I$3001))),보유목록!$B$2:$B$3001),"")))</f>
      </c>
      <c r="N94" s="25"/>
      <c r="O94" t="str">
        <f>IFERROR(IF(AND(LEN(SUBSTITUTE(SUBSTITUTE(SUBSTITUTE(TRIM(C94&amp;""),CHAR(160),"")," ",""),"년",""))=4,VALUE(SUBSTITUTE(SUBSTITUTE(SUBSTITUTE(TRIM(C94&amp;""),CHAR(160),"")," ",""),"년",""))&gt;=1900,VALUE(SUBSTITUTE(SUBSTITUTE(SUBSTITUTE(TRIM(C94&amp;""),CHAR(160),"")," ",""),"년",""))&lt;=2099,TEXT(VALUE(SUBSTITUTE(SUBSTITUTE(SUBSTITUTE(TRIM(C94&amp;""),CHAR(160),"")," ",""),"년","")),"0000")=SUBSTITUTE(SUBSTITUTE(SUBSTITUTE(TRIM(C94&amp;""),CHAR(160),"")," ",""),"년","")),SUBSTITUTE(SUBSTITUTE(SUBSTITUTE(TRIM(C94&amp;""),CHAR(160),"")," ",""),"년",""),""),"")</f>
      </c>
      <c r="P94" t="str">
        <f>SUBSTITUTE(SUBSTITUTE(SUBSTITUTE(SUBSTITUTE(SUBSTITUTE(SUBSTITUTE(SUBSTITUTE(SUBSTITUTE(TRIM(D94&amp;""),CHAR(160),"")," ",""),"초등학교","초"),"중학교","중"),"고등학교","고"),"~","~~"),"*","~*"),"?","~?")</f>
      </c>
      <c r="Q94" t="str">
        <f>SUBSTITUTE(SUBSTITUTE(SUBSTITUTE(SUBSTITUTE(SUBSTITUTE(SUBSTITUTE(SUBSTITUTE(SUBSTITUTE(TRIM(E94&amp;""),CHAR(160),"")," ",""),"초등학교","초"),"중학교","중"),"고등학교","고"),"~","~~"),"*","~*"),"?","~?")</f>
      </c>
      <c r="R94" t="str">
        <f>IF(COUNTA(B94:J94)=0,"",IF(AND(O94&lt;&gt;"",P94&lt;&gt;"",Q94&lt;&gt;""),"","입력누락"))</f>
      </c>
    </row>
    <row r="95" customFormat="false" ht="15" hidden="false" customHeight="false" outlineLevel="0" collapsed="false">
      <c r="A95" t="n" s="19">
        <f aca="0">IF(COUNTA(B95:J95)=0,"",ROW()-1)</f>
      </c>
      <c r="B95" s="24"/>
      <c r="C95" s="25"/>
      <c r="D95" s="8"/>
      <c r="E95" s="8"/>
      <c r="F95" s="26"/>
      <c r="G95" s="24"/>
      <c r="H95" s="25"/>
      <c r="I95" s="25"/>
      <c r="J95" s="26"/>
      <c r="K95" t="str" s="15">
        <f aca="0">IF(COUNTA(B95:J95)=0,"",IF(R95&lt;&gt;"","확인필요(입력누락)",IF(COUNTIFS(보유목록!$I$2:$I$3001,"*"&amp;P95&amp;"*",보유목록!$I$2:$I$3001,"*"&amp;Q95&amp;"*",보유목록!$H$2:$H$3001,O95)&gt;0,"있음",IF(COUNTIFS(보유목록!$I$2:$I$3001,"*"&amp;P95&amp;"*",보유목록!$I$2:$I$3001,"*"&amp;Q95&amp;"*")&gt;0,"확인필요(연도다름)",IF(COUNTIFS(보유목록!$I$2:$I$3001,"*"&amp;P95&amp;"*",보유목록!$H$2:$H$3001,O95)&gt;0,"확인필요(같은학교·같은연도)","없음")))))</f>
      </c>
      <c r="L95" t="str" s="16">
        <f aca="0">IF(OR(COUNTA(B95:J95)=0,R95&lt;&gt;""),"",COUNTIFS(보유목록!$I$2:$I$3001,"*"&amp;P95&amp;"*",보유목록!$I$2:$I$3001,"*"&amp;Q95&amp;"*"))</f>
      </c>
      <c r="M95" t="str" s="23">
        <f aca="0">IF(OR(COUNTA(B95:J95)=0,R95&lt;&gt;""),"",IFERROR(LOOKUP(2,1/(ISNUMBER(SEARCH(P95,보유목록!$I$2:$I$3001))*ISNUMBER(SEARCH(Q95,보유목록!$I$2:$I$3001))*(보유목록!$H$2:$H$3001=O95)),보유목록!$B$2:$B$3001),IFERROR(LOOKUP(2,1/(ISNUMBER(SEARCH(P95,보유목록!$I$2:$I$3001))*ISNUMBER(SEARCH(Q95,보유목록!$I$2:$I$3001))),보유목록!$B$2:$B$3001),"")))</f>
      </c>
      <c r="N95" s="25"/>
      <c r="O95" t="str">
        <f>IFERROR(IF(AND(LEN(SUBSTITUTE(SUBSTITUTE(SUBSTITUTE(TRIM(C95&amp;""),CHAR(160),"")," ",""),"년",""))=4,VALUE(SUBSTITUTE(SUBSTITUTE(SUBSTITUTE(TRIM(C95&amp;""),CHAR(160),"")," ",""),"년",""))&gt;=1900,VALUE(SUBSTITUTE(SUBSTITUTE(SUBSTITUTE(TRIM(C95&amp;""),CHAR(160),"")," ",""),"년",""))&lt;=2099,TEXT(VALUE(SUBSTITUTE(SUBSTITUTE(SUBSTITUTE(TRIM(C95&amp;""),CHAR(160),"")," ",""),"년","")),"0000")=SUBSTITUTE(SUBSTITUTE(SUBSTITUTE(TRIM(C95&amp;""),CHAR(160),"")," ",""),"년","")),SUBSTITUTE(SUBSTITUTE(SUBSTITUTE(TRIM(C95&amp;""),CHAR(160),"")," ",""),"년",""),""),"")</f>
      </c>
      <c r="P95" t="str">
        <f>SUBSTITUTE(SUBSTITUTE(SUBSTITUTE(SUBSTITUTE(SUBSTITUTE(SUBSTITUTE(SUBSTITUTE(SUBSTITUTE(TRIM(D95&amp;""),CHAR(160),"")," ",""),"초등학교","초"),"중학교","중"),"고등학교","고"),"~","~~"),"*","~*"),"?","~?")</f>
      </c>
      <c r="Q95" t="str">
        <f>SUBSTITUTE(SUBSTITUTE(SUBSTITUTE(SUBSTITUTE(SUBSTITUTE(SUBSTITUTE(SUBSTITUTE(SUBSTITUTE(TRIM(E95&amp;""),CHAR(160),"")," ",""),"초등학교","초"),"중학교","중"),"고등학교","고"),"~","~~"),"*","~*"),"?","~?")</f>
      </c>
      <c r="R95" t="str">
        <f>IF(COUNTA(B95:J95)=0,"",IF(AND(O95&lt;&gt;"",P95&lt;&gt;"",Q95&lt;&gt;""),"","입력누락"))</f>
      </c>
    </row>
    <row r="96" customFormat="false" ht="15" hidden="false" customHeight="false" outlineLevel="0" collapsed="false">
      <c r="A96" t="n" s="19">
        <f aca="0">IF(COUNTA(B96:J96)=0,"",ROW()-1)</f>
      </c>
      <c r="B96" s="24"/>
      <c r="C96" s="25"/>
      <c r="D96" s="8"/>
      <c r="E96" s="8"/>
      <c r="F96" s="26"/>
      <c r="G96" s="24"/>
      <c r="H96" s="25"/>
      <c r="I96" s="25"/>
      <c r="J96" s="26"/>
      <c r="K96" t="str" s="15">
        <f aca="0">IF(COUNTA(B96:J96)=0,"",IF(R96&lt;&gt;"","확인필요(입력누락)",IF(COUNTIFS(보유목록!$I$2:$I$3001,"*"&amp;P96&amp;"*",보유목록!$I$2:$I$3001,"*"&amp;Q96&amp;"*",보유목록!$H$2:$H$3001,O96)&gt;0,"있음",IF(COUNTIFS(보유목록!$I$2:$I$3001,"*"&amp;P96&amp;"*",보유목록!$I$2:$I$3001,"*"&amp;Q96&amp;"*")&gt;0,"확인필요(연도다름)",IF(COUNTIFS(보유목록!$I$2:$I$3001,"*"&amp;P96&amp;"*",보유목록!$H$2:$H$3001,O96)&gt;0,"확인필요(같은학교·같은연도)","없음")))))</f>
      </c>
      <c r="L96" t="str" s="16">
        <f aca="0">IF(OR(COUNTA(B96:J96)=0,R96&lt;&gt;""),"",COUNTIFS(보유목록!$I$2:$I$3001,"*"&amp;P96&amp;"*",보유목록!$I$2:$I$3001,"*"&amp;Q96&amp;"*"))</f>
      </c>
      <c r="M96" t="str" s="23">
        <f aca="0">IF(OR(COUNTA(B96:J96)=0,R96&lt;&gt;""),"",IFERROR(LOOKUP(2,1/(ISNUMBER(SEARCH(P96,보유목록!$I$2:$I$3001))*ISNUMBER(SEARCH(Q96,보유목록!$I$2:$I$3001))*(보유목록!$H$2:$H$3001=O96)),보유목록!$B$2:$B$3001),IFERROR(LOOKUP(2,1/(ISNUMBER(SEARCH(P96,보유목록!$I$2:$I$3001))*ISNUMBER(SEARCH(Q96,보유목록!$I$2:$I$3001))),보유목록!$B$2:$B$3001),"")))</f>
      </c>
      <c r="N96" s="25"/>
      <c r="O96" t="str">
        <f>IFERROR(IF(AND(LEN(SUBSTITUTE(SUBSTITUTE(SUBSTITUTE(TRIM(C96&amp;""),CHAR(160),"")," ",""),"년",""))=4,VALUE(SUBSTITUTE(SUBSTITUTE(SUBSTITUTE(TRIM(C96&amp;""),CHAR(160),"")," ",""),"년",""))&gt;=1900,VALUE(SUBSTITUTE(SUBSTITUTE(SUBSTITUTE(TRIM(C96&amp;""),CHAR(160),"")," ",""),"년",""))&lt;=2099,TEXT(VALUE(SUBSTITUTE(SUBSTITUTE(SUBSTITUTE(TRIM(C96&amp;""),CHAR(160),"")," ",""),"년","")),"0000")=SUBSTITUTE(SUBSTITUTE(SUBSTITUTE(TRIM(C96&amp;""),CHAR(160),"")," ",""),"년","")),SUBSTITUTE(SUBSTITUTE(SUBSTITUTE(TRIM(C96&amp;""),CHAR(160),"")," ",""),"년",""),""),"")</f>
      </c>
      <c r="P96" t="str">
        <f>SUBSTITUTE(SUBSTITUTE(SUBSTITUTE(SUBSTITUTE(SUBSTITUTE(SUBSTITUTE(SUBSTITUTE(SUBSTITUTE(TRIM(D96&amp;""),CHAR(160),"")," ",""),"초등학교","초"),"중학교","중"),"고등학교","고"),"~","~~"),"*","~*"),"?","~?")</f>
      </c>
      <c r="Q96" t="str">
        <f>SUBSTITUTE(SUBSTITUTE(SUBSTITUTE(SUBSTITUTE(SUBSTITUTE(SUBSTITUTE(SUBSTITUTE(SUBSTITUTE(TRIM(E96&amp;""),CHAR(160),"")," ",""),"초등학교","초"),"중학교","중"),"고등학교","고"),"~","~~"),"*","~*"),"?","~?")</f>
      </c>
      <c r="R96" t="str">
        <f>IF(COUNTA(B96:J96)=0,"",IF(AND(O96&lt;&gt;"",P96&lt;&gt;"",Q96&lt;&gt;""),"","입력누락"))</f>
      </c>
    </row>
    <row r="97" customFormat="false" ht="15" hidden="false" customHeight="false" outlineLevel="0" collapsed="false">
      <c r="A97" t="n" s="19">
        <f aca="0">IF(COUNTA(B97:J97)=0,"",ROW()-1)</f>
      </c>
      <c r="B97" s="24"/>
      <c r="C97" s="25"/>
      <c r="D97" s="8"/>
      <c r="E97" s="8"/>
      <c r="F97" s="26"/>
      <c r="G97" s="24"/>
      <c r="H97" s="25"/>
      <c r="I97" s="25"/>
      <c r="J97" s="26"/>
      <c r="K97" t="str" s="15">
        <f aca="0">IF(COUNTA(B97:J97)=0,"",IF(R97&lt;&gt;"","확인필요(입력누락)",IF(COUNTIFS(보유목록!$I$2:$I$3001,"*"&amp;P97&amp;"*",보유목록!$I$2:$I$3001,"*"&amp;Q97&amp;"*",보유목록!$H$2:$H$3001,O97)&gt;0,"있음",IF(COUNTIFS(보유목록!$I$2:$I$3001,"*"&amp;P97&amp;"*",보유목록!$I$2:$I$3001,"*"&amp;Q97&amp;"*")&gt;0,"확인필요(연도다름)",IF(COUNTIFS(보유목록!$I$2:$I$3001,"*"&amp;P97&amp;"*",보유목록!$H$2:$H$3001,O97)&gt;0,"확인필요(같은학교·같은연도)","없음")))))</f>
      </c>
      <c r="L97" t="str" s="16">
        <f aca="0">IF(OR(COUNTA(B97:J97)=0,R97&lt;&gt;""),"",COUNTIFS(보유목록!$I$2:$I$3001,"*"&amp;P97&amp;"*",보유목록!$I$2:$I$3001,"*"&amp;Q97&amp;"*"))</f>
      </c>
      <c r="M97" t="str" s="23">
        <f aca="0">IF(OR(COUNTA(B97:J97)=0,R97&lt;&gt;""),"",IFERROR(LOOKUP(2,1/(ISNUMBER(SEARCH(P97,보유목록!$I$2:$I$3001))*ISNUMBER(SEARCH(Q97,보유목록!$I$2:$I$3001))*(보유목록!$H$2:$H$3001=O97)),보유목록!$B$2:$B$3001),IFERROR(LOOKUP(2,1/(ISNUMBER(SEARCH(P97,보유목록!$I$2:$I$3001))*ISNUMBER(SEARCH(Q97,보유목록!$I$2:$I$3001))),보유목록!$B$2:$B$3001),"")))</f>
      </c>
      <c r="N97" s="25"/>
      <c r="O97" t="str">
        <f>IFERROR(IF(AND(LEN(SUBSTITUTE(SUBSTITUTE(SUBSTITUTE(TRIM(C97&amp;""),CHAR(160),"")," ",""),"년",""))=4,VALUE(SUBSTITUTE(SUBSTITUTE(SUBSTITUTE(TRIM(C97&amp;""),CHAR(160),"")," ",""),"년",""))&gt;=1900,VALUE(SUBSTITUTE(SUBSTITUTE(SUBSTITUTE(TRIM(C97&amp;""),CHAR(160),"")," ",""),"년",""))&lt;=2099,TEXT(VALUE(SUBSTITUTE(SUBSTITUTE(SUBSTITUTE(TRIM(C97&amp;""),CHAR(160),"")," ",""),"년","")),"0000")=SUBSTITUTE(SUBSTITUTE(SUBSTITUTE(TRIM(C97&amp;""),CHAR(160),"")," ",""),"년","")),SUBSTITUTE(SUBSTITUTE(SUBSTITUTE(TRIM(C97&amp;""),CHAR(160),"")," ",""),"년",""),""),"")</f>
      </c>
      <c r="P97" t="str">
        <f>SUBSTITUTE(SUBSTITUTE(SUBSTITUTE(SUBSTITUTE(SUBSTITUTE(SUBSTITUTE(SUBSTITUTE(SUBSTITUTE(TRIM(D97&amp;""),CHAR(160),"")," ",""),"초등학교","초"),"중학교","중"),"고등학교","고"),"~","~~"),"*","~*"),"?","~?")</f>
      </c>
      <c r="Q97" t="str">
        <f>SUBSTITUTE(SUBSTITUTE(SUBSTITUTE(SUBSTITUTE(SUBSTITUTE(SUBSTITUTE(SUBSTITUTE(SUBSTITUTE(TRIM(E97&amp;""),CHAR(160),"")," ",""),"초등학교","초"),"중학교","중"),"고등학교","고"),"~","~~"),"*","~*"),"?","~?")</f>
      </c>
      <c r="R97" t="str">
        <f>IF(COUNTA(B97:J97)=0,"",IF(AND(O97&lt;&gt;"",P97&lt;&gt;"",Q97&lt;&gt;""),"","입력누락"))</f>
      </c>
    </row>
    <row r="98" customFormat="false" ht="15" hidden="false" customHeight="false" outlineLevel="0" collapsed="false">
      <c r="A98" t="n" s="19">
        <f aca="0">IF(COUNTA(B98:J98)=0,"",ROW()-1)</f>
      </c>
      <c r="B98" s="24"/>
      <c r="C98" s="25"/>
      <c r="D98" s="8"/>
      <c r="E98" s="8"/>
      <c r="F98" s="26"/>
      <c r="G98" s="24"/>
      <c r="H98" s="25"/>
      <c r="I98" s="25"/>
      <c r="J98" s="26"/>
      <c r="K98" t="str" s="15">
        <f aca="0">IF(COUNTA(B98:J98)=0,"",IF(R98&lt;&gt;"","확인필요(입력누락)",IF(COUNTIFS(보유목록!$I$2:$I$3001,"*"&amp;P98&amp;"*",보유목록!$I$2:$I$3001,"*"&amp;Q98&amp;"*",보유목록!$H$2:$H$3001,O98)&gt;0,"있음",IF(COUNTIFS(보유목록!$I$2:$I$3001,"*"&amp;P98&amp;"*",보유목록!$I$2:$I$3001,"*"&amp;Q98&amp;"*")&gt;0,"확인필요(연도다름)",IF(COUNTIFS(보유목록!$I$2:$I$3001,"*"&amp;P98&amp;"*",보유목록!$H$2:$H$3001,O98)&gt;0,"확인필요(같은학교·같은연도)","없음")))))</f>
      </c>
      <c r="L98" t="str" s="16">
        <f aca="0">IF(OR(COUNTA(B98:J98)=0,R98&lt;&gt;""),"",COUNTIFS(보유목록!$I$2:$I$3001,"*"&amp;P98&amp;"*",보유목록!$I$2:$I$3001,"*"&amp;Q98&amp;"*"))</f>
      </c>
      <c r="M98" t="str" s="23">
        <f aca="0">IF(OR(COUNTA(B98:J98)=0,R98&lt;&gt;""),"",IFERROR(LOOKUP(2,1/(ISNUMBER(SEARCH(P98,보유목록!$I$2:$I$3001))*ISNUMBER(SEARCH(Q98,보유목록!$I$2:$I$3001))*(보유목록!$H$2:$H$3001=O98)),보유목록!$B$2:$B$3001),IFERROR(LOOKUP(2,1/(ISNUMBER(SEARCH(P98,보유목록!$I$2:$I$3001))*ISNUMBER(SEARCH(Q98,보유목록!$I$2:$I$3001))),보유목록!$B$2:$B$3001),"")))</f>
      </c>
      <c r="N98" s="25"/>
      <c r="O98" t="str">
        <f>IFERROR(IF(AND(LEN(SUBSTITUTE(SUBSTITUTE(SUBSTITUTE(TRIM(C98&amp;""),CHAR(160),"")," ",""),"년",""))=4,VALUE(SUBSTITUTE(SUBSTITUTE(SUBSTITUTE(TRIM(C98&amp;""),CHAR(160),"")," ",""),"년",""))&gt;=1900,VALUE(SUBSTITUTE(SUBSTITUTE(SUBSTITUTE(TRIM(C98&amp;""),CHAR(160),"")," ",""),"년",""))&lt;=2099,TEXT(VALUE(SUBSTITUTE(SUBSTITUTE(SUBSTITUTE(TRIM(C98&amp;""),CHAR(160),"")," ",""),"년","")),"0000")=SUBSTITUTE(SUBSTITUTE(SUBSTITUTE(TRIM(C98&amp;""),CHAR(160),"")," ",""),"년","")),SUBSTITUTE(SUBSTITUTE(SUBSTITUTE(TRIM(C98&amp;""),CHAR(160),"")," ",""),"년",""),""),"")</f>
      </c>
      <c r="P98" t="str">
        <f>SUBSTITUTE(SUBSTITUTE(SUBSTITUTE(SUBSTITUTE(SUBSTITUTE(SUBSTITUTE(SUBSTITUTE(SUBSTITUTE(TRIM(D98&amp;""),CHAR(160),"")," ",""),"초등학교","초"),"중학교","중"),"고등학교","고"),"~","~~"),"*","~*"),"?","~?")</f>
      </c>
      <c r="Q98" t="str">
        <f>SUBSTITUTE(SUBSTITUTE(SUBSTITUTE(SUBSTITUTE(SUBSTITUTE(SUBSTITUTE(SUBSTITUTE(SUBSTITUTE(TRIM(E98&amp;""),CHAR(160),"")," ",""),"초등학교","초"),"중학교","중"),"고등학교","고"),"~","~~"),"*","~*"),"?","~?")</f>
      </c>
      <c r="R98" t="str">
        <f>IF(COUNTA(B98:J98)=0,"",IF(AND(O98&lt;&gt;"",P98&lt;&gt;"",Q98&lt;&gt;""),"","입력누락"))</f>
      </c>
    </row>
    <row r="99" customFormat="false" ht="15" hidden="false" customHeight="false" outlineLevel="0" collapsed="false">
      <c r="A99" t="n" s="19">
        <f aca="0">IF(COUNTA(B99:J99)=0,"",ROW()-1)</f>
      </c>
      <c r="B99" s="24"/>
      <c r="C99" s="25"/>
      <c r="D99" s="8"/>
      <c r="E99" s="8"/>
      <c r="F99" s="26"/>
      <c r="G99" s="24"/>
      <c r="H99" s="25"/>
      <c r="I99" s="25"/>
      <c r="J99" s="26"/>
      <c r="K99" t="str" s="15">
        <f aca="0">IF(COUNTA(B99:J99)=0,"",IF(R99&lt;&gt;"","확인필요(입력누락)",IF(COUNTIFS(보유목록!$I$2:$I$3001,"*"&amp;P99&amp;"*",보유목록!$I$2:$I$3001,"*"&amp;Q99&amp;"*",보유목록!$H$2:$H$3001,O99)&gt;0,"있음",IF(COUNTIFS(보유목록!$I$2:$I$3001,"*"&amp;P99&amp;"*",보유목록!$I$2:$I$3001,"*"&amp;Q99&amp;"*")&gt;0,"확인필요(연도다름)",IF(COUNTIFS(보유목록!$I$2:$I$3001,"*"&amp;P99&amp;"*",보유목록!$H$2:$H$3001,O99)&gt;0,"확인필요(같은학교·같은연도)","없음")))))</f>
      </c>
      <c r="L99" t="str" s="16">
        <f aca="0">IF(OR(COUNTA(B99:J99)=0,R99&lt;&gt;""),"",COUNTIFS(보유목록!$I$2:$I$3001,"*"&amp;P99&amp;"*",보유목록!$I$2:$I$3001,"*"&amp;Q99&amp;"*"))</f>
      </c>
      <c r="M99" t="str" s="23">
        <f aca="0">IF(OR(COUNTA(B99:J99)=0,R99&lt;&gt;""),"",IFERROR(LOOKUP(2,1/(ISNUMBER(SEARCH(P99,보유목록!$I$2:$I$3001))*ISNUMBER(SEARCH(Q99,보유목록!$I$2:$I$3001))*(보유목록!$H$2:$H$3001=O99)),보유목록!$B$2:$B$3001),IFERROR(LOOKUP(2,1/(ISNUMBER(SEARCH(P99,보유목록!$I$2:$I$3001))*ISNUMBER(SEARCH(Q99,보유목록!$I$2:$I$3001))),보유목록!$B$2:$B$3001),"")))</f>
      </c>
      <c r="N99" s="25"/>
      <c r="O99" t="str">
        <f>IFERROR(IF(AND(LEN(SUBSTITUTE(SUBSTITUTE(SUBSTITUTE(TRIM(C99&amp;""),CHAR(160),"")," ",""),"년",""))=4,VALUE(SUBSTITUTE(SUBSTITUTE(SUBSTITUTE(TRIM(C99&amp;""),CHAR(160),"")," ",""),"년",""))&gt;=1900,VALUE(SUBSTITUTE(SUBSTITUTE(SUBSTITUTE(TRIM(C99&amp;""),CHAR(160),"")," ",""),"년",""))&lt;=2099,TEXT(VALUE(SUBSTITUTE(SUBSTITUTE(SUBSTITUTE(TRIM(C99&amp;""),CHAR(160),"")," ",""),"년","")),"0000")=SUBSTITUTE(SUBSTITUTE(SUBSTITUTE(TRIM(C99&amp;""),CHAR(160),"")," ",""),"년","")),SUBSTITUTE(SUBSTITUTE(SUBSTITUTE(TRIM(C99&amp;""),CHAR(160),"")," ",""),"년",""),""),"")</f>
      </c>
      <c r="P99" t="str">
        <f>SUBSTITUTE(SUBSTITUTE(SUBSTITUTE(SUBSTITUTE(SUBSTITUTE(SUBSTITUTE(SUBSTITUTE(SUBSTITUTE(TRIM(D99&amp;""),CHAR(160),"")," ",""),"초등학교","초"),"중학교","중"),"고등학교","고"),"~","~~"),"*","~*"),"?","~?")</f>
      </c>
      <c r="Q99" t="str">
        <f>SUBSTITUTE(SUBSTITUTE(SUBSTITUTE(SUBSTITUTE(SUBSTITUTE(SUBSTITUTE(SUBSTITUTE(SUBSTITUTE(TRIM(E99&amp;""),CHAR(160),"")," ",""),"초등학교","초"),"중학교","중"),"고등학교","고"),"~","~~"),"*","~*"),"?","~?")</f>
      </c>
      <c r="R99" t="str">
        <f>IF(COUNTA(B99:J99)=0,"",IF(AND(O99&lt;&gt;"",P99&lt;&gt;"",Q99&lt;&gt;""),"","입력누락"))</f>
      </c>
    </row>
    <row r="100" customFormat="false" ht="15" hidden="false" customHeight="false" outlineLevel="0" collapsed="false">
      <c r="A100" t="n" s="19">
        <f aca="0">IF(COUNTA(B100:J100)=0,"",ROW()-1)</f>
      </c>
      <c r="B100" s="24"/>
      <c r="C100" s="25"/>
      <c r="D100" s="8"/>
      <c r="E100" s="8"/>
      <c r="F100" s="26"/>
      <c r="G100" s="24"/>
      <c r="H100" s="25"/>
      <c r="I100" s="25"/>
      <c r="J100" s="26"/>
      <c r="K100" t="str" s="15">
        <f aca="0">IF(COUNTA(B100:J100)=0,"",IF(R100&lt;&gt;"","확인필요(입력누락)",IF(COUNTIFS(보유목록!$I$2:$I$3001,"*"&amp;P100&amp;"*",보유목록!$I$2:$I$3001,"*"&amp;Q100&amp;"*",보유목록!$H$2:$H$3001,O100)&gt;0,"있음",IF(COUNTIFS(보유목록!$I$2:$I$3001,"*"&amp;P100&amp;"*",보유목록!$I$2:$I$3001,"*"&amp;Q100&amp;"*")&gt;0,"확인필요(연도다름)",IF(COUNTIFS(보유목록!$I$2:$I$3001,"*"&amp;P100&amp;"*",보유목록!$H$2:$H$3001,O100)&gt;0,"확인필요(같은학교·같은연도)","없음")))))</f>
      </c>
      <c r="L100" t="str" s="16">
        <f aca="0">IF(OR(COUNTA(B100:J100)=0,R100&lt;&gt;""),"",COUNTIFS(보유목록!$I$2:$I$3001,"*"&amp;P100&amp;"*",보유목록!$I$2:$I$3001,"*"&amp;Q100&amp;"*"))</f>
      </c>
      <c r="M100" t="str" s="23">
        <f aca="0">IF(OR(COUNTA(B100:J100)=0,R100&lt;&gt;""),"",IFERROR(LOOKUP(2,1/(ISNUMBER(SEARCH(P100,보유목록!$I$2:$I$3001))*ISNUMBER(SEARCH(Q100,보유목록!$I$2:$I$3001))*(보유목록!$H$2:$H$3001=O100)),보유목록!$B$2:$B$3001),IFERROR(LOOKUP(2,1/(ISNUMBER(SEARCH(P100,보유목록!$I$2:$I$3001))*ISNUMBER(SEARCH(Q100,보유목록!$I$2:$I$3001))),보유목록!$B$2:$B$3001),"")))</f>
      </c>
      <c r="N100" s="25"/>
      <c r="O100" t="str">
        <f>IFERROR(IF(AND(LEN(SUBSTITUTE(SUBSTITUTE(SUBSTITUTE(TRIM(C100&amp;""),CHAR(160),"")," ",""),"년",""))=4,VALUE(SUBSTITUTE(SUBSTITUTE(SUBSTITUTE(TRIM(C100&amp;""),CHAR(160),"")," ",""),"년",""))&gt;=1900,VALUE(SUBSTITUTE(SUBSTITUTE(SUBSTITUTE(TRIM(C100&amp;""),CHAR(160),"")," ",""),"년",""))&lt;=2099,TEXT(VALUE(SUBSTITUTE(SUBSTITUTE(SUBSTITUTE(TRIM(C100&amp;""),CHAR(160),"")," ",""),"년","")),"0000")=SUBSTITUTE(SUBSTITUTE(SUBSTITUTE(TRIM(C100&amp;""),CHAR(160),"")," ",""),"년","")),SUBSTITUTE(SUBSTITUTE(SUBSTITUTE(TRIM(C100&amp;""),CHAR(160),"")," ",""),"년",""),""),"")</f>
      </c>
      <c r="P100" t="str">
        <f>SUBSTITUTE(SUBSTITUTE(SUBSTITUTE(SUBSTITUTE(SUBSTITUTE(SUBSTITUTE(SUBSTITUTE(SUBSTITUTE(TRIM(D100&amp;""),CHAR(160),"")," ",""),"초등학교","초"),"중학교","중"),"고등학교","고"),"~","~~"),"*","~*"),"?","~?")</f>
      </c>
      <c r="Q100" t="str">
        <f>SUBSTITUTE(SUBSTITUTE(SUBSTITUTE(SUBSTITUTE(SUBSTITUTE(SUBSTITUTE(SUBSTITUTE(SUBSTITUTE(TRIM(E100&amp;""),CHAR(160),"")," ",""),"초등학교","초"),"중학교","중"),"고등학교","고"),"~","~~"),"*","~*"),"?","~?")</f>
      </c>
      <c r="R100" t="str">
        <f>IF(COUNTA(B100:J100)=0,"",IF(AND(O100&lt;&gt;"",P100&lt;&gt;"",Q100&lt;&gt;""),"","입력누락"))</f>
      </c>
    </row>
    <row r="101" customFormat="false" ht="15" hidden="false" customHeight="false" outlineLevel="0" collapsed="false">
      <c r="A101" t="n" s="19">
        <f aca="0">IF(COUNTA(B101:J101)=0,"",ROW()-1)</f>
      </c>
      <c r="B101" s="24"/>
      <c r="C101" s="25"/>
      <c r="D101" s="8"/>
      <c r="E101" s="8"/>
      <c r="F101" s="26"/>
      <c r="G101" s="24"/>
      <c r="H101" s="25"/>
      <c r="I101" s="25"/>
      <c r="J101" s="26"/>
      <c r="K101" t="str" s="15">
        <f aca="0">IF(COUNTA(B101:J101)=0,"",IF(R101&lt;&gt;"","확인필요(입력누락)",IF(COUNTIFS(보유목록!$I$2:$I$3001,"*"&amp;P101&amp;"*",보유목록!$I$2:$I$3001,"*"&amp;Q101&amp;"*",보유목록!$H$2:$H$3001,O101)&gt;0,"있음",IF(COUNTIFS(보유목록!$I$2:$I$3001,"*"&amp;P101&amp;"*",보유목록!$I$2:$I$3001,"*"&amp;Q101&amp;"*")&gt;0,"확인필요(연도다름)",IF(COUNTIFS(보유목록!$I$2:$I$3001,"*"&amp;P101&amp;"*",보유목록!$H$2:$H$3001,O101)&gt;0,"확인필요(같은학교·같은연도)","없음")))))</f>
      </c>
      <c r="L101" t="str" s="16">
        <f aca="0">IF(OR(COUNTA(B101:J101)=0,R101&lt;&gt;""),"",COUNTIFS(보유목록!$I$2:$I$3001,"*"&amp;P101&amp;"*",보유목록!$I$2:$I$3001,"*"&amp;Q101&amp;"*"))</f>
      </c>
      <c r="M101" t="str" s="23">
        <f aca="0">IF(OR(COUNTA(B101:J101)=0,R101&lt;&gt;""),"",IFERROR(LOOKUP(2,1/(ISNUMBER(SEARCH(P101,보유목록!$I$2:$I$3001))*ISNUMBER(SEARCH(Q101,보유목록!$I$2:$I$3001))*(보유목록!$H$2:$H$3001=O101)),보유목록!$B$2:$B$3001),IFERROR(LOOKUP(2,1/(ISNUMBER(SEARCH(P101,보유목록!$I$2:$I$3001))*ISNUMBER(SEARCH(Q101,보유목록!$I$2:$I$3001))),보유목록!$B$2:$B$3001),"")))</f>
      </c>
      <c r="N101" s="25"/>
      <c r="O101" t="str">
        <f>IFERROR(IF(AND(LEN(SUBSTITUTE(SUBSTITUTE(SUBSTITUTE(TRIM(C101&amp;""),CHAR(160),"")," ",""),"년",""))=4,VALUE(SUBSTITUTE(SUBSTITUTE(SUBSTITUTE(TRIM(C101&amp;""),CHAR(160),"")," ",""),"년",""))&gt;=1900,VALUE(SUBSTITUTE(SUBSTITUTE(SUBSTITUTE(TRIM(C101&amp;""),CHAR(160),"")," ",""),"년",""))&lt;=2099,TEXT(VALUE(SUBSTITUTE(SUBSTITUTE(SUBSTITUTE(TRIM(C101&amp;""),CHAR(160),"")," ",""),"년","")),"0000")=SUBSTITUTE(SUBSTITUTE(SUBSTITUTE(TRIM(C101&amp;""),CHAR(160),"")," ",""),"년","")),SUBSTITUTE(SUBSTITUTE(SUBSTITUTE(TRIM(C101&amp;""),CHAR(160),"")," ",""),"년",""),""),"")</f>
      </c>
      <c r="P101" t="str">
        <f>SUBSTITUTE(SUBSTITUTE(SUBSTITUTE(SUBSTITUTE(SUBSTITUTE(SUBSTITUTE(SUBSTITUTE(SUBSTITUTE(TRIM(D101&amp;""),CHAR(160),"")," ",""),"초등학교","초"),"중학교","중"),"고등학교","고"),"~","~~"),"*","~*"),"?","~?")</f>
      </c>
      <c r="Q101" t="str">
        <f>SUBSTITUTE(SUBSTITUTE(SUBSTITUTE(SUBSTITUTE(SUBSTITUTE(SUBSTITUTE(SUBSTITUTE(SUBSTITUTE(TRIM(E101&amp;""),CHAR(160),"")," ",""),"초등학교","초"),"중학교","중"),"고등학교","고"),"~","~~"),"*","~*"),"?","~?")</f>
      </c>
      <c r="R101" t="str">
        <f>IF(COUNTA(B101:J101)=0,"",IF(AND(O101&lt;&gt;"",P101&lt;&gt;"",Q101&lt;&gt;""),"","입력누락"))</f>
      </c>
    </row>
    <row r="102" customFormat="false" ht="15" hidden="false" customHeight="false" outlineLevel="0" collapsed="false">
      <c r="A102" t="n" s="19">
        <f aca="0">IF(COUNTA(B102:J102)=0,"",ROW()-1)</f>
      </c>
      <c r="B102" s="24"/>
      <c r="C102" s="25"/>
      <c r="D102" s="8"/>
      <c r="E102" s="8"/>
      <c r="F102" s="26"/>
      <c r="G102" s="24"/>
      <c r="H102" s="25"/>
      <c r="I102" s="25"/>
      <c r="J102" s="26"/>
      <c r="K102" t="str" s="15">
        <f aca="0">IF(COUNTA(B102:J102)=0,"",IF(R102&lt;&gt;"","확인필요(입력누락)",IF(COUNTIFS(보유목록!$I$2:$I$3001,"*"&amp;P102&amp;"*",보유목록!$I$2:$I$3001,"*"&amp;Q102&amp;"*",보유목록!$H$2:$H$3001,O102)&gt;0,"있음",IF(COUNTIFS(보유목록!$I$2:$I$3001,"*"&amp;P102&amp;"*",보유목록!$I$2:$I$3001,"*"&amp;Q102&amp;"*")&gt;0,"확인필요(연도다름)",IF(COUNTIFS(보유목록!$I$2:$I$3001,"*"&amp;P102&amp;"*",보유목록!$H$2:$H$3001,O102)&gt;0,"확인필요(같은학교·같은연도)","없음")))))</f>
      </c>
      <c r="L102" t="str" s="16">
        <f aca="0">IF(OR(COUNTA(B102:J102)=0,R102&lt;&gt;""),"",COUNTIFS(보유목록!$I$2:$I$3001,"*"&amp;P102&amp;"*",보유목록!$I$2:$I$3001,"*"&amp;Q102&amp;"*"))</f>
      </c>
      <c r="M102" t="str" s="23">
        <f aca="0">IF(OR(COUNTA(B102:J102)=0,R102&lt;&gt;""),"",IFERROR(LOOKUP(2,1/(ISNUMBER(SEARCH(P102,보유목록!$I$2:$I$3001))*ISNUMBER(SEARCH(Q102,보유목록!$I$2:$I$3001))*(보유목록!$H$2:$H$3001=O102)),보유목록!$B$2:$B$3001),IFERROR(LOOKUP(2,1/(ISNUMBER(SEARCH(P102,보유목록!$I$2:$I$3001))*ISNUMBER(SEARCH(Q102,보유목록!$I$2:$I$3001))),보유목록!$B$2:$B$3001),"")))</f>
      </c>
      <c r="N102" s="25"/>
      <c r="O102" t="str">
        <f>IFERROR(IF(AND(LEN(SUBSTITUTE(SUBSTITUTE(SUBSTITUTE(TRIM(C102&amp;""),CHAR(160),"")," ",""),"년",""))=4,VALUE(SUBSTITUTE(SUBSTITUTE(SUBSTITUTE(TRIM(C102&amp;""),CHAR(160),"")," ",""),"년",""))&gt;=1900,VALUE(SUBSTITUTE(SUBSTITUTE(SUBSTITUTE(TRIM(C102&amp;""),CHAR(160),"")," ",""),"년",""))&lt;=2099,TEXT(VALUE(SUBSTITUTE(SUBSTITUTE(SUBSTITUTE(TRIM(C102&amp;""),CHAR(160),"")," ",""),"년","")),"0000")=SUBSTITUTE(SUBSTITUTE(SUBSTITUTE(TRIM(C102&amp;""),CHAR(160),"")," ",""),"년","")),SUBSTITUTE(SUBSTITUTE(SUBSTITUTE(TRIM(C102&amp;""),CHAR(160),"")," ",""),"년",""),""),"")</f>
      </c>
      <c r="P102" t="str">
        <f>SUBSTITUTE(SUBSTITUTE(SUBSTITUTE(SUBSTITUTE(SUBSTITUTE(SUBSTITUTE(SUBSTITUTE(SUBSTITUTE(TRIM(D102&amp;""),CHAR(160),"")," ",""),"초등학교","초"),"중학교","중"),"고등학교","고"),"~","~~"),"*","~*"),"?","~?")</f>
      </c>
      <c r="Q102" t="str">
        <f>SUBSTITUTE(SUBSTITUTE(SUBSTITUTE(SUBSTITUTE(SUBSTITUTE(SUBSTITUTE(SUBSTITUTE(SUBSTITUTE(TRIM(E102&amp;""),CHAR(160),"")," ",""),"초등학교","초"),"중학교","중"),"고등학교","고"),"~","~~"),"*","~*"),"?","~?")</f>
      </c>
      <c r="R102" t="str">
        <f>IF(COUNTA(B102:J102)=0,"",IF(AND(O102&lt;&gt;"",P102&lt;&gt;"",Q102&lt;&gt;""),"","입력누락"))</f>
      </c>
    </row>
    <row r="103" customFormat="false" ht="15" hidden="false" customHeight="false" outlineLevel="0" collapsed="false">
      <c r="A103" t="n" s="19">
        <f aca="0">IF(COUNTA(B103:J103)=0,"",ROW()-1)</f>
      </c>
      <c r="B103" s="24"/>
      <c r="C103" s="25"/>
      <c r="D103" s="8"/>
      <c r="E103" s="8"/>
      <c r="F103" s="26"/>
      <c r="G103" s="24"/>
      <c r="H103" s="25"/>
      <c r="I103" s="25"/>
      <c r="J103" s="26"/>
      <c r="K103" t="str" s="15">
        <f aca="0">IF(COUNTA(B103:J103)=0,"",IF(R103&lt;&gt;"","확인필요(입력누락)",IF(COUNTIFS(보유목록!$I$2:$I$3001,"*"&amp;P103&amp;"*",보유목록!$I$2:$I$3001,"*"&amp;Q103&amp;"*",보유목록!$H$2:$H$3001,O103)&gt;0,"있음",IF(COUNTIFS(보유목록!$I$2:$I$3001,"*"&amp;P103&amp;"*",보유목록!$I$2:$I$3001,"*"&amp;Q103&amp;"*")&gt;0,"확인필요(연도다름)",IF(COUNTIFS(보유목록!$I$2:$I$3001,"*"&amp;P103&amp;"*",보유목록!$H$2:$H$3001,O103)&gt;0,"확인필요(같은학교·같은연도)","없음")))))</f>
      </c>
      <c r="L103" t="str" s="16">
        <f aca="0">IF(OR(COUNTA(B103:J103)=0,R103&lt;&gt;""),"",COUNTIFS(보유목록!$I$2:$I$3001,"*"&amp;P103&amp;"*",보유목록!$I$2:$I$3001,"*"&amp;Q103&amp;"*"))</f>
      </c>
      <c r="M103" t="str" s="23">
        <f aca="0">IF(OR(COUNTA(B103:J103)=0,R103&lt;&gt;""),"",IFERROR(LOOKUP(2,1/(ISNUMBER(SEARCH(P103,보유목록!$I$2:$I$3001))*ISNUMBER(SEARCH(Q103,보유목록!$I$2:$I$3001))*(보유목록!$H$2:$H$3001=O103)),보유목록!$B$2:$B$3001),IFERROR(LOOKUP(2,1/(ISNUMBER(SEARCH(P103,보유목록!$I$2:$I$3001))*ISNUMBER(SEARCH(Q103,보유목록!$I$2:$I$3001))),보유목록!$B$2:$B$3001),"")))</f>
      </c>
      <c r="N103" s="25"/>
      <c r="O103" t="str">
        <f>IFERROR(IF(AND(LEN(SUBSTITUTE(SUBSTITUTE(SUBSTITUTE(TRIM(C103&amp;""),CHAR(160),"")," ",""),"년",""))=4,VALUE(SUBSTITUTE(SUBSTITUTE(SUBSTITUTE(TRIM(C103&amp;""),CHAR(160),"")," ",""),"년",""))&gt;=1900,VALUE(SUBSTITUTE(SUBSTITUTE(SUBSTITUTE(TRIM(C103&amp;""),CHAR(160),"")," ",""),"년",""))&lt;=2099,TEXT(VALUE(SUBSTITUTE(SUBSTITUTE(SUBSTITUTE(TRIM(C103&amp;""),CHAR(160),"")," ",""),"년","")),"0000")=SUBSTITUTE(SUBSTITUTE(SUBSTITUTE(TRIM(C103&amp;""),CHAR(160),"")," ",""),"년","")),SUBSTITUTE(SUBSTITUTE(SUBSTITUTE(TRIM(C103&amp;""),CHAR(160),"")," ",""),"년",""),""),"")</f>
      </c>
      <c r="P103" t="str">
        <f>SUBSTITUTE(SUBSTITUTE(SUBSTITUTE(SUBSTITUTE(SUBSTITUTE(SUBSTITUTE(SUBSTITUTE(SUBSTITUTE(TRIM(D103&amp;""),CHAR(160),"")," ",""),"초등학교","초"),"중학교","중"),"고등학교","고"),"~","~~"),"*","~*"),"?","~?")</f>
      </c>
      <c r="Q103" t="str">
        <f>SUBSTITUTE(SUBSTITUTE(SUBSTITUTE(SUBSTITUTE(SUBSTITUTE(SUBSTITUTE(SUBSTITUTE(SUBSTITUTE(TRIM(E103&amp;""),CHAR(160),"")," ",""),"초등학교","초"),"중학교","중"),"고등학교","고"),"~","~~"),"*","~*"),"?","~?")</f>
      </c>
      <c r="R103" t="str">
        <f>IF(COUNTA(B103:J103)=0,"",IF(AND(O103&lt;&gt;"",P103&lt;&gt;"",Q103&lt;&gt;""),"","입력누락"))</f>
      </c>
    </row>
    <row r="104" customFormat="false" ht="15" hidden="false" customHeight="false" outlineLevel="0" collapsed="false">
      <c r="A104" t="n" s="19">
        <f aca="0">IF(COUNTA(B104:J104)=0,"",ROW()-1)</f>
      </c>
      <c r="B104" s="24"/>
      <c r="C104" s="25"/>
      <c r="D104" s="8"/>
      <c r="E104" s="8"/>
      <c r="F104" s="26"/>
      <c r="G104" s="24"/>
      <c r="H104" s="25"/>
      <c r="I104" s="25"/>
      <c r="J104" s="26"/>
      <c r="K104" t="str" s="15">
        <f aca="0">IF(COUNTA(B104:J104)=0,"",IF(R104&lt;&gt;"","확인필요(입력누락)",IF(COUNTIFS(보유목록!$I$2:$I$3001,"*"&amp;P104&amp;"*",보유목록!$I$2:$I$3001,"*"&amp;Q104&amp;"*",보유목록!$H$2:$H$3001,O104)&gt;0,"있음",IF(COUNTIFS(보유목록!$I$2:$I$3001,"*"&amp;P104&amp;"*",보유목록!$I$2:$I$3001,"*"&amp;Q104&amp;"*")&gt;0,"확인필요(연도다름)",IF(COUNTIFS(보유목록!$I$2:$I$3001,"*"&amp;P104&amp;"*",보유목록!$H$2:$H$3001,O104)&gt;0,"확인필요(같은학교·같은연도)","없음")))))</f>
      </c>
      <c r="L104" t="str" s="16">
        <f aca="0">IF(OR(COUNTA(B104:J104)=0,R104&lt;&gt;""),"",COUNTIFS(보유목록!$I$2:$I$3001,"*"&amp;P104&amp;"*",보유목록!$I$2:$I$3001,"*"&amp;Q104&amp;"*"))</f>
      </c>
      <c r="M104" t="str" s="23">
        <f aca="0">IF(OR(COUNTA(B104:J104)=0,R104&lt;&gt;""),"",IFERROR(LOOKUP(2,1/(ISNUMBER(SEARCH(P104,보유목록!$I$2:$I$3001))*ISNUMBER(SEARCH(Q104,보유목록!$I$2:$I$3001))*(보유목록!$H$2:$H$3001=O104)),보유목록!$B$2:$B$3001),IFERROR(LOOKUP(2,1/(ISNUMBER(SEARCH(P104,보유목록!$I$2:$I$3001))*ISNUMBER(SEARCH(Q104,보유목록!$I$2:$I$3001))),보유목록!$B$2:$B$3001),"")))</f>
      </c>
      <c r="N104" s="25"/>
      <c r="O104" t="str">
        <f>IFERROR(IF(AND(LEN(SUBSTITUTE(SUBSTITUTE(SUBSTITUTE(TRIM(C104&amp;""),CHAR(160),"")," ",""),"년",""))=4,VALUE(SUBSTITUTE(SUBSTITUTE(SUBSTITUTE(TRIM(C104&amp;""),CHAR(160),"")," ",""),"년",""))&gt;=1900,VALUE(SUBSTITUTE(SUBSTITUTE(SUBSTITUTE(TRIM(C104&amp;""),CHAR(160),"")," ",""),"년",""))&lt;=2099,TEXT(VALUE(SUBSTITUTE(SUBSTITUTE(SUBSTITUTE(TRIM(C104&amp;""),CHAR(160),"")," ",""),"년","")),"0000")=SUBSTITUTE(SUBSTITUTE(SUBSTITUTE(TRIM(C104&amp;""),CHAR(160),"")," ",""),"년","")),SUBSTITUTE(SUBSTITUTE(SUBSTITUTE(TRIM(C104&amp;""),CHAR(160),"")," ",""),"년",""),""),"")</f>
      </c>
      <c r="P104" t="str">
        <f>SUBSTITUTE(SUBSTITUTE(SUBSTITUTE(SUBSTITUTE(SUBSTITUTE(SUBSTITUTE(SUBSTITUTE(SUBSTITUTE(TRIM(D104&amp;""),CHAR(160),"")," ",""),"초등학교","초"),"중학교","중"),"고등학교","고"),"~","~~"),"*","~*"),"?","~?")</f>
      </c>
      <c r="Q104" t="str">
        <f>SUBSTITUTE(SUBSTITUTE(SUBSTITUTE(SUBSTITUTE(SUBSTITUTE(SUBSTITUTE(SUBSTITUTE(SUBSTITUTE(TRIM(E104&amp;""),CHAR(160),"")," ",""),"초등학교","초"),"중학교","중"),"고등학교","고"),"~","~~"),"*","~*"),"?","~?")</f>
      </c>
      <c r="R104" t="str">
        <f>IF(COUNTA(B104:J104)=0,"",IF(AND(O104&lt;&gt;"",P104&lt;&gt;"",Q104&lt;&gt;""),"","입력누락"))</f>
      </c>
    </row>
    <row r="105" customFormat="false" ht="15" hidden="false" customHeight="false" outlineLevel="0" collapsed="false">
      <c r="A105" t="n" s="19">
        <f aca="0">IF(COUNTA(B105:J105)=0,"",ROW()-1)</f>
      </c>
      <c r="B105" s="24"/>
      <c r="C105" s="25"/>
      <c r="D105" s="8"/>
      <c r="E105" s="8"/>
      <c r="F105" s="26"/>
      <c r="G105" s="24"/>
      <c r="H105" s="25"/>
      <c r="I105" s="25"/>
      <c r="J105" s="26"/>
      <c r="K105" t="str" s="15">
        <f aca="0">IF(COUNTA(B105:J105)=0,"",IF(R105&lt;&gt;"","확인필요(입력누락)",IF(COUNTIFS(보유목록!$I$2:$I$3001,"*"&amp;P105&amp;"*",보유목록!$I$2:$I$3001,"*"&amp;Q105&amp;"*",보유목록!$H$2:$H$3001,O105)&gt;0,"있음",IF(COUNTIFS(보유목록!$I$2:$I$3001,"*"&amp;P105&amp;"*",보유목록!$I$2:$I$3001,"*"&amp;Q105&amp;"*")&gt;0,"확인필요(연도다름)",IF(COUNTIFS(보유목록!$I$2:$I$3001,"*"&amp;P105&amp;"*",보유목록!$H$2:$H$3001,O105)&gt;0,"확인필요(같은학교·같은연도)","없음")))))</f>
      </c>
      <c r="L105" t="str" s="16">
        <f aca="0">IF(OR(COUNTA(B105:J105)=0,R105&lt;&gt;""),"",COUNTIFS(보유목록!$I$2:$I$3001,"*"&amp;P105&amp;"*",보유목록!$I$2:$I$3001,"*"&amp;Q105&amp;"*"))</f>
      </c>
      <c r="M105" t="str" s="23">
        <f aca="0">IF(OR(COUNTA(B105:J105)=0,R105&lt;&gt;""),"",IFERROR(LOOKUP(2,1/(ISNUMBER(SEARCH(P105,보유목록!$I$2:$I$3001))*ISNUMBER(SEARCH(Q105,보유목록!$I$2:$I$3001))*(보유목록!$H$2:$H$3001=O105)),보유목록!$B$2:$B$3001),IFERROR(LOOKUP(2,1/(ISNUMBER(SEARCH(P105,보유목록!$I$2:$I$3001))*ISNUMBER(SEARCH(Q105,보유목록!$I$2:$I$3001))),보유목록!$B$2:$B$3001),"")))</f>
      </c>
      <c r="N105" s="25"/>
      <c r="O105" t="str">
        <f>IFERROR(IF(AND(LEN(SUBSTITUTE(SUBSTITUTE(SUBSTITUTE(TRIM(C105&amp;""),CHAR(160),"")," ",""),"년",""))=4,VALUE(SUBSTITUTE(SUBSTITUTE(SUBSTITUTE(TRIM(C105&amp;""),CHAR(160),"")," ",""),"년",""))&gt;=1900,VALUE(SUBSTITUTE(SUBSTITUTE(SUBSTITUTE(TRIM(C105&amp;""),CHAR(160),"")," ",""),"년",""))&lt;=2099,TEXT(VALUE(SUBSTITUTE(SUBSTITUTE(SUBSTITUTE(TRIM(C105&amp;""),CHAR(160),"")," ",""),"년","")),"0000")=SUBSTITUTE(SUBSTITUTE(SUBSTITUTE(TRIM(C105&amp;""),CHAR(160),"")," ",""),"년","")),SUBSTITUTE(SUBSTITUTE(SUBSTITUTE(TRIM(C105&amp;""),CHAR(160),"")," ",""),"년",""),""),"")</f>
      </c>
      <c r="P105" t="str">
        <f>SUBSTITUTE(SUBSTITUTE(SUBSTITUTE(SUBSTITUTE(SUBSTITUTE(SUBSTITUTE(SUBSTITUTE(SUBSTITUTE(TRIM(D105&amp;""),CHAR(160),"")," ",""),"초등학교","초"),"중학교","중"),"고등학교","고"),"~","~~"),"*","~*"),"?","~?")</f>
      </c>
      <c r="Q105" t="str">
        <f>SUBSTITUTE(SUBSTITUTE(SUBSTITUTE(SUBSTITUTE(SUBSTITUTE(SUBSTITUTE(SUBSTITUTE(SUBSTITUTE(TRIM(E105&amp;""),CHAR(160),"")," ",""),"초등학교","초"),"중학교","중"),"고등학교","고"),"~","~~"),"*","~*"),"?","~?")</f>
      </c>
      <c r="R105" t="str">
        <f>IF(COUNTA(B105:J105)=0,"",IF(AND(O105&lt;&gt;"",P105&lt;&gt;"",Q105&lt;&gt;""),"","입력누락"))</f>
      </c>
    </row>
    <row r="106" customFormat="false" ht="15" hidden="false" customHeight="false" outlineLevel="0" collapsed="false">
      <c r="A106" t="n" s="19">
        <f aca="0">IF(COUNTA(B106:J106)=0,"",ROW()-1)</f>
      </c>
      <c r="B106" s="24"/>
      <c r="C106" s="25"/>
      <c r="D106" s="8"/>
      <c r="E106" s="8"/>
      <c r="F106" s="26"/>
      <c r="G106" s="24"/>
      <c r="H106" s="25"/>
      <c r="I106" s="25"/>
      <c r="J106" s="26"/>
      <c r="K106" t="str" s="15">
        <f aca="0">IF(COUNTA(B106:J106)=0,"",IF(R106&lt;&gt;"","확인필요(입력누락)",IF(COUNTIFS(보유목록!$I$2:$I$3001,"*"&amp;P106&amp;"*",보유목록!$I$2:$I$3001,"*"&amp;Q106&amp;"*",보유목록!$H$2:$H$3001,O106)&gt;0,"있음",IF(COUNTIFS(보유목록!$I$2:$I$3001,"*"&amp;P106&amp;"*",보유목록!$I$2:$I$3001,"*"&amp;Q106&amp;"*")&gt;0,"확인필요(연도다름)",IF(COUNTIFS(보유목록!$I$2:$I$3001,"*"&amp;P106&amp;"*",보유목록!$H$2:$H$3001,O106)&gt;0,"확인필요(같은학교·같은연도)","없음")))))</f>
      </c>
      <c r="L106" t="str" s="16">
        <f aca="0">IF(OR(COUNTA(B106:J106)=0,R106&lt;&gt;""),"",COUNTIFS(보유목록!$I$2:$I$3001,"*"&amp;P106&amp;"*",보유목록!$I$2:$I$3001,"*"&amp;Q106&amp;"*"))</f>
      </c>
      <c r="M106" t="str" s="23">
        <f aca="0">IF(OR(COUNTA(B106:J106)=0,R106&lt;&gt;""),"",IFERROR(LOOKUP(2,1/(ISNUMBER(SEARCH(P106,보유목록!$I$2:$I$3001))*ISNUMBER(SEARCH(Q106,보유목록!$I$2:$I$3001))*(보유목록!$H$2:$H$3001=O106)),보유목록!$B$2:$B$3001),IFERROR(LOOKUP(2,1/(ISNUMBER(SEARCH(P106,보유목록!$I$2:$I$3001))*ISNUMBER(SEARCH(Q106,보유목록!$I$2:$I$3001))),보유목록!$B$2:$B$3001),"")))</f>
      </c>
      <c r="N106" s="25"/>
      <c r="O106" t="str">
        <f>IFERROR(IF(AND(LEN(SUBSTITUTE(SUBSTITUTE(SUBSTITUTE(TRIM(C106&amp;""),CHAR(160),"")," ",""),"년",""))=4,VALUE(SUBSTITUTE(SUBSTITUTE(SUBSTITUTE(TRIM(C106&amp;""),CHAR(160),"")," ",""),"년",""))&gt;=1900,VALUE(SUBSTITUTE(SUBSTITUTE(SUBSTITUTE(TRIM(C106&amp;""),CHAR(160),"")," ",""),"년",""))&lt;=2099,TEXT(VALUE(SUBSTITUTE(SUBSTITUTE(SUBSTITUTE(TRIM(C106&amp;""),CHAR(160),"")," ",""),"년","")),"0000")=SUBSTITUTE(SUBSTITUTE(SUBSTITUTE(TRIM(C106&amp;""),CHAR(160),"")," ",""),"년","")),SUBSTITUTE(SUBSTITUTE(SUBSTITUTE(TRIM(C106&amp;""),CHAR(160),"")," ",""),"년",""),""),"")</f>
      </c>
      <c r="P106" t="str">
        <f>SUBSTITUTE(SUBSTITUTE(SUBSTITUTE(SUBSTITUTE(SUBSTITUTE(SUBSTITUTE(SUBSTITUTE(SUBSTITUTE(TRIM(D106&amp;""),CHAR(160),"")," ",""),"초등학교","초"),"중학교","중"),"고등학교","고"),"~","~~"),"*","~*"),"?","~?")</f>
      </c>
      <c r="Q106" t="str">
        <f>SUBSTITUTE(SUBSTITUTE(SUBSTITUTE(SUBSTITUTE(SUBSTITUTE(SUBSTITUTE(SUBSTITUTE(SUBSTITUTE(TRIM(E106&amp;""),CHAR(160),"")," ",""),"초등학교","초"),"중학교","중"),"고등학교","고"),"~","~~"),"*","~*"),"?","~?")</f>
      </c>
      <c r="R106" t="str">
        <f>IF(COUNTA(B106:J106)=0,"",IF(AND(O106&lt;&gt;"",P106&lt;&gt;"",Q106&lt;&gt;""),"","입력누락"))</f>
      </c>
    </row>
    <row r="107" customFormat="false" ht="15" hidden="false" customHeight="false" outlineLevel="0" collapsed="false">
      <c r="A107" t="n" s="19">
        <f aca="0">IF(COUNTA(B107:J107)=0,"",ROW()-1)</f>
      </c>
      <c r="B107" s="24"/>
      <c r="C107" s="25"/>
      <c r="D107" s="8"/>
      <c r="E107" s="8"/>
      <c r="F107" s="26"/>
      <c r="G107" s="24"/>
      <c r="H107" s="25"/>
      <c r="I107" s="25"/>
      <c r="J107" s="26"/>
      <c r="K107" t="str" s="15">
        <f aca="0">IF(COUNTA(B107:J107)=0,"",IF(R107&lt;&gt;"","확인필요(입력누락)",IF(COUNTIFS(보유목록!$I$2:$I$3001,"*"&amp;P107&amp;"*",보유목록!$I$2:$I$3001,"*"&amp;Q107&amp;"*",보유목록!$H$2:$H$3001,O107)&gt;0,"있음",IF(COUNTIFS(보유목록!$I$2:$I$3001,"*"&amp;P107&amp;"*",보유목록!$I$2:$I$3001,"*"&amp;Q107&amp;"*")&gt;0,"확인필요(연도다름)",IF(COUNTIFS(보유목록!$I$2:$I$3001,"*"&amp;P107&amp;"*",보유목록!$H$2:$H$3001,O107)&gt;0,"확인필요(같은학교·같은연도)","없음")))))</f>
      </c>
      <c r="L107" t="str" s="16">
        <f aca="0">IF(OR(COUNTA(B107:J107)=0,R107&lt;&gt;""),"",COUNTIFS(보유목록!$I$2:$I$3001,"*"&amp;P107&amp;"*",보유목록!$I$2:$I$3001,"*"&amp;Q107&amp;"*"))</f>
      </c>
      <c r="M107" t="str" s="23">
        <f aca="0">IF(OR(COUNTA(B107:J107)=0,R107&lt;&gt;""),"",IFERROR(LOOKUP(2,1/(ISNUMBER(SEARCH(P107,보유목록!$I$2:$I$3001))*ISNUMBER(SEARCH(Q107,보유목록!$I$2:$I$3001))*(보유목록!$H$2:$H$3001=O107)),보유목록!$B$2:$B$3001),IFERROR(LOOKUP(2,1/(ISNUMBER(SEARCH(P107,보유목록!$I$2:$I$3001))*ISNUMBER(SEARCH(Q107,보유목록!$I$2:$I$3001))),보유목록!$B$2:$B$3001),"")))</f>
      </c>
      <c r="N107" s="25"/>
      <c r="O107" t="str">
        <f>IFERROR(IF(AND(LEN(SUBSTITUTE(SUBSTITUTE(SUBSTITUTE(TRIM(C107&amp;""),CHAR(160),"")," ",""),"년",""))=4,VALUE(SUBSTITUTE(SUBSTITUTE(SUBSTITUTE(TRIM(C107&amp;""),CHAR(160),"")," ",""),"년",""))&gt;=1900,VALUE(SUBSTITUTE(SUBSTITUTE(SUBSTITUTE(TRIM(C107&amp;""),CHAR(160),"")," ",""),"년",""))&lt;=2099,TEXT(VALUE(SUBSTITUTE(SUBSTITUTE(SUBSTITUTE(TRIM(C107&amp;""),CHAR(160),"")," ",""),"년","")),"0000")=SUBSTITUTE(SUBSTITUTE(SUBSTITUTE(TRIM(C107&amp;""),CHAR(160),"")," ",""),"년","")),SUBSTITUTE(SUBSTITUTE(SUBSTITUTE(TRIM(C107&amp;""),CHAR(160),"")," ",""),"년",""),""),"")</f>
      </c>
      <c r="P107" t="str">
        <f>SUBSTITUTE(SUBSTITUTE(SUBSTITUTE(SUBSTITUTE(SUBSTITUTE(SUBSTITUTE(SUBSTITUTE(SUBSTITUTE(TRIM(D107&amp;""),CHAR(160),"")," ",""),"초등학교","초"),"중학교","중"),"고등학교","고"),"~","~~"),"*","~*"),"?","~?")</f>
      </c>
      <c r="Q107" t="str">
        <f>SUBSTITUTE(SUBSTITUTE(SUBSTITUTE(SUBSTITUTE(SUBSTITUTE(SUBSTITUTE(SUBSTITUTE(SUBSTITUTE(TRIM(E107&amp;""),CHAR(160),"")," ",""),"초등학교","초"),"중학교","중"),"고등학교","고"),"~","~~"),"*","~*"),"?","~?")</f>
      </c>
      <c r="R107" t="str">
        <f>IF(COUNTA(B107:J107)=0,"",IF(AND(O107&lt;&gt;"",P107&lt;&gt;"",Q107&lt;&gt;""),"","입력누락"))</f>
      </c>
    </row>
    <row r="108" customFormat="false" ht="15" hidden="false" customHeight="false" outlineLevel="0" collapsed="false">
      <c r="A108" t="n" s="19">
        <f aca="0">IF(COUNTA(B108:J108)=0,"",ROW()-1)</f>
      </c>
      <c r="B108" s="24"/>
      <c r="C108" s="25"/>
      <c r="D108" s="8"/>
      <c r="E108" s="8"/>
      <c r="F108" s="26"/>
      <c r="G108" s="24"/>
      <c r="H108" s="25"/>
      <c r="I108" s="25"/>
      <c r="J108" s="26"/>
      <c r="K108" t="str" s="15">
        <f aca="0">IF(COUNTA(B108:J108)=0,"",IF(R108&lt;&gt;"","확인필요(입력누락)",IF(COUNTIFS(보유목록!$I$2:$I$3001,"*"&amp;P108&amp;"*",보유목록!$I$2:$I$3001,"*"&amp;Q108&amp;"*",보유목록!$H$2:$H$3001,O108)&gt;0,"있음",IF(COUNTIFS(보유목록!$I$2:$I$3001,"*"&amp;P108&amp;"*",보유목록!$I$2:$I$3001,"*"&amp;Q108&amp;"*")&gt;0,"확인필요(연도다름)",IF(COUNTIFS(보유목록!$I$2:$I$3001,"*"&amp;P108&amp;"*",보유목록!$H$2:$H$3001,O108)&gt;0,"확인필요(같은학교·같은연도)","없음")))))</f>
      </c>
      <c r="L108" t="str" s="16">
        <f aca="0">IF(OR(COUNTA(B108:J108)=0,R108&lt;&gt;""),"",COUNTIFS(보유목록!$I$2:$I$3001,"*"&amp;P108&amp;"*",보유목록!$I$2:$I$3001,"*"&amp;Q108&amp;"*"))</f>
      </c>
      <c r="M108" t="str" s="23">
        <f aca="0">IF(OR(COUNTA(B108:J108)=0,R108&lt;&gt;""),"",IFERROR(LOOKUP(2,1/(ISNUMBER(SEARCH(P108,보유목록!$I$2:$I$3001))*ISNUMBER(SEARCH(Q108,보유목록!$I$2:$I$3001))*(보유목록!$H$2:$H$3001=O108)),보유목록!$B$2:$B$3001),IFERROR(LOOKUP(2,1/(ISNUMBER(SEARCH(P108,보유목록!$I$2:$I$3001))*ISNUMBER(SEARCH(Q108,보유목록!$I$2:$I$3001))),보유목록!$B$2:$B$3001),"")))</f>
      </c>
      <c r="N108" s="25"/>
      <c r="O108" t="str">
        <f>IFERROR(IF(AND(LEN(SUBSTITUTE(SUBSTITUTE(SUBSTITUTE(TRIM(C108&amp;""),CHAR(160),"")," ",""),"년",""))=4,VALUE(SUBSTITUTE(SUBSTITUTE(SUBSTITUTE(TRIM(C108&amp;""),CHAR(160),"")," ",""),"년",""))&gt;=1900,VALUE(SUBSTITUTE(SUBSTITUTE(SUBSTITUTE(TRIM(C108&amp;""),CHAR(160),"")," ",""),"년",""))&lt;=2099,TEXT(VALUE(SUBSTITUTE(SUBSTITUTE(SUBSTITUTE(TRIM(C108&amp;""),CHAR(160),"")," ",""),"년","")),"0000")=SUBSTITUTE(SUBSTITUTE(SUBSTITUTE(TRIM(C108&amp;""),CHAR(160),"")," ",""),"년","")),SUBSTITUTE(SUBSTITUTE(SUBSTITUTE(TRIM(C108&amp;""),CHAR(160),"")," ",""),"년",""),""),"")</f>
      </c>
      <c r="P108" t="str">
        <f>SUBSTITUTE(SUBSTITUTE(SUBSTITUTE(SUBSTITUTE(SUBSTITUTE(SUBSTITUTE(SUBSTITUTE(SUBSTITUTE(TRIM(D108&amp;""),CHAR(160),"")," ",""),"초등학교","초"),"중학교","중"),"고등학교","고"),"~","~~"),"*","~*"),"?","~?")</f>
      </c>
      <c r="Q108" t="str">
        <f>SUBSTITUTE(SUBSTITUTE(SUBSTITUTE(SUBSTITUTE(SUBSTITUTE(SUBSTITUTE(SUBSTITUTE(SUBSTITUTE(TRIM(E108&amp;""),CHAR(160),"")," ",""),"초등학교","초"),"중학교","중"),"고등학교","고"),"~","~~"),"*","~*"),"?","~?")</f>
      </c>
      <c r="R108" t="str">
        <f>IF(COUNTA(B108:J108)=0,"",IF(AND(O108&lt;&gt;"",P108&lt;&gt;"",Q108&lt;&gt;""),"","입력누락"))</f>
      </c>
    </row>
    <row r="109" customFormat="false" ht="15" hidden="false" customHeight="false" outlineLevel="0" collapsed="false">
      <c r="A109" t="n" s="19">
        <f aca="0">IF(COUNTA(B109:J109)=0,"",ROW()-1)</f>
      </c>
      <c r="B109" s="24"/>
      <c r="C109" s="25"/>
      <c r="D109" s="8"/>
      <c r="E109" s="8"/>
      <c r="F109" s="26"/>
      <c r="G109" s="24"/>
      <c r="H109" s="25"/>
      <c r="I109" s="25"/>
      <c r="J109" s="26"/>
      <c r="K109" t="str" s="15">
        <f aca="0">IF(COUNTA(B109:J109)=0,"",IF(R109&lt;&gt;"","확인필요(입력누락)",IF(COUNTIFS(보유목록!$I$2:$I$3001,"*"&amp;P109&amp;"*",보유목록!$I$2:$I$3001,"*"&amp;Q109&amp;"*",보유목록!$H$2:$H$3001,O109)&gt;0,"있음",IF(COUNTIFS(보유목록!$I$2:$I$3001,"*"&amp;P109&amp;"*",보유목록!$I$2:$I$3001,"*"&amp;Q109&amp;"*")&gt;0,"확인필요(연도다름)",IF(COUNTIFS(보유목록!$I$2:$I$3001,"*"&amp;P109&amp;"*",보유목록!$H$2:$H$3001,O109)&gt;0,"확인필요(같은학교·같은연도)","없음")))))</f>
      </c>
      <c r="L109" t="str" s="16">
        <f aca="0">IF(OR(COUNTA(B109:J109)=0,R109&lt;&gt;""),"",COUNTIFS(보유목록!$I$2:$I$3001,"*"&amp;P109&amp;"*",보유목록!$I$2:$I$3001,"*"&amp;Q109&amp;"*"))</f>
      </c>
      <c r="M109" t="str" s="23">
        <f aca="0">IF(OR(COUNTA(B109:J109)=0,R109&lt;&gt;""),"",IFERROR(LOOKUP(2,1/(ISNUMBER(SEARCH(P109,보유목록!$I$2:$I$3001))*ISNUMBER(SEARCH(Q109,보유목록!$I$2:$I$3001))*(보유목록!$H$2:$H$3001=O109)),보유목록!$B$2:$B$3001),IFERROR(LOOKUP(2,1/(ISNUMBER(SEARCH(P109,보유목록!$I$2:$I$3001))*ISNUMBER(SEARCH(Q109,보유목록!$I$2:$I$3001))),보유목록!$B$2:$B$3001),"")))</f>
      </c>
      <c r="N109" s="25"/>
      <c r="O109" t="str">
        <f>IFERROR(IF(AND(LEN(SUBSTITUTE(SUBSTITUTE(SUBSTITUTE(TRIM(C109&amp;""),CHAR(160),"")," ",""),"년",""))=4,VALUE(SUBSTITUTE(SUBSTITUTE(SUBSTITUTE(TRIM(C109&amp;""),CHAR(160),"")," ",""),"년",""))&gt;=1900,VALUE(SUBSTITUTE(SUBSTITUTE(SUBSTITUTE(TRIM(C109&amp;""),CHAR(160),"")," ",""),"년",""))&lt;=2099,TEXT(VALUE(SUBSTITUTE(SUBSTITUTE(SUBSTITUTE(TRIM(C109&amp;""),CHAR(160),"")," ",""),"년","")),"0000")=SUBSTITUTE(SUBSTITUTE(SUBSTITUTE(TRIM(C109&amp;""),CHAR(160),"")," ",""),"년","")),SUBSTITUTE(SUBSTITUTE(SUBSTITUTE(TRIM(C109&amp;""),CHAR(160),"")," ",""),"년",""),""),"")</f>
      </c>
      <c r="P109" t="str">
        <f>SUBSTITUTE(SUBSTITUTE(SUBSTITUTE(SUBSTITUTE(SUBSTITUTE(SUBSTITUTE(SUBSTITUTE(SUBSTITUTE(TRIM(D109&amp;""),CHAR(160),"")," ",""),"초등학교","초"),"중학교","중"),"고등학교","고"),"~","~~"),"*","~*"),"?","~?")</f>
      </c>
      <c r="Q109" t="str">
        <f>SUBSTITUTE(SUBSTITUTE(SUBSTITUTE(SUBSTITUTE(SUBSTITUTE(SUBSTITUTE(SUBSTITUTE(SUBSTITUTE(TRIM(E109&amp;""),CHAR(160),"")," ",""),"초등학교","초"),"중학교","중"),"고등학교","고"),"~","~~"),"*","~*"),"?","~?")</f>
      </c>
      <c r="R109" t="str">
        <f>IF(COUNTA(B109:J109)=0,"",IF(AND(O109&lt;&gt;"",P109&lt;&gt;"",Q109&lt;&gt;""),"","입력누락"))</f>
      </c>
    </row>
    <row r="110" customFormat="false" ht="15" hidden="false" customHeight="false" outlineLevel="0" collapsed="false">
      <c r="A110" t="n" s="19">
        <f aca="0">IF(COUNTA(B110:J110)=0,"",ROW()-1)</f>
      </c>
      <c r="B110" s="24"/>
      <c r="C110" s="25"/>
      <c r="D110" s="8"/>
      <c r="E110" s="8"/>
      <c r="F110" s="26"/>
      <c r="G110" s="24"/>
      <c r="H110" s="25"/>
      <c r="I110" s="25"/>
      <c r="J110" s="26"/>
      <c r="K110" t="str" s="15">
        <f aca="0">IF(COUNTA(B110:J110)=0,"",IF(R110&lt;&gt;"","확인필요(입력누락)",IF(COUNTIFS(보유목록!$I$2:$I$3001,"*"&amp;P110&amp;"*",보유목록!$I$2:$I$3001,"*"&amp;Q110&amp;"*",보유목록!$H$2:$H$3001,O110)&gt;0,"있음",IF(COUNTIFS(보유목록!$I$2:$I$3001,"*"&amp;P110&amp;"*",보유목록!$I$2:$I$3001,"*"&amp;Q110&amp;"*")&gt;0,"확인필요(연도다름)",IF(COUNTIFS(보유목록!$I$2:$I$3001,"*"&amp;P110&amp;"*",보유목록!$H$2:$H$3001,O110)&gt;0,"확인필요(같은학교·같은연도)","없음")))))</f>
      </c>
      <c r="L110" t="str" s="16">
        <f aca="0">IF(OR(COUNTA(B110:J110)=0,R110&lt;&gt;""),"",COUNTIFS(보유목록!$I$2:$I$3001,"*"&amp;P110&amp;"*",보유목록!$I$2:$I$3001,"*"&amp;Q110&amp;"*"))</f>
      </c>
      <c r="M110" t="str" s="23">
        <f aca="0">IF(OR(COUNTA(B110:J110)=0,R110&lt;&gt;""),"",IFERROR(LOOKUP(2,1/(ISNUMBER(SEARCH(P110,보유목록!$I$2:$I$3001))*ISNUMBER(SEARCH(Q110,보유목록!$I$2:$I$3001))*(보유목록!$H$2:$H$3001=O110)),보유목록!$B$2:$B$3001),IFERROR(LOOKUP(2,1/(ISNUMBER(SEARCH(P110,보유목록!$I$2:$I$3001))*ISNUMBER(SEARCH(Q110,보유목록!$I$2:$I$3001))),보유목록!$B$2:$B$3001),"")))</f>
      </c>
      <c r="N110" s="25"/>
      <c r="O110" t="str">
        <f>IFERROR(IF(AND(LEN(SUBSTITUTE(SUBSTITUTE(SUBSTITUTE(TRIM(C110&amp;""),CHAR(160),"")," ",""),"년",""))=4,VALUE(SUBSTITUTE(SUBSTITUTE(SUBSTITUTE(TRIM(C110&amp;""),CHAR(160),"")," ",""),"년",""))&gt;=1900,VALUE(SUBSTITUTE(SUBSTITUTE(SUBSTITUTE(TRIM(C110&amp;""),CHAR(160),"")," ",""),"년",""))&lt;=2099,TEXT(VALUE(SUBSTITUTE(SUBSTITUTE(SUBSTITUTE(TRIM(C110&amp;""),CHAR(160),"")," ",""),"년","")),"0000")=SUBSTITUTE(SUBSTITUTE(SUBSTITUTE(TRIM(C110&amp;""),CHAR(160),"")," ",""),"년","")),SUBSTITUTE(SUBSTITUTE(SUBSTITUTE(TRIM(C110&amp;""),CHAR(160),"")," ",""),"년",""),""),"")</f>
      </c>
      <c r="P110" t="str">
        <f>SUBSTITUTE(SUBSTITUTE(SUBSTITUTE(SUBSTITUTE(SUBSTITUTE(SUBSTITUTE(SUBSTITUTE(SUBSTITUTE(TRIM(D110&amp;""),CHAR(160),"")," ",""),"초등학교","초"),"중학교","중"),"고등학교","고"),"~","~~"),"*","~*"),"?","~?")</f>
      </c>
      <c r="Q110" t="str">
        <f>SUBSTITUTE(SUBSTITUTE(SUBSTITUTE(SUBSTITUTE(SUBSTITUTE(SUBSTITUTE(SUBSTITUTE(SUBSTITUTE(TRIM(E110&amp;""),CHAR(160),"")," ",""),"초등학교","초"),"중학교","중"),"고등학교","고"),"~","~~"),"*","~*"),"?","~?")</f>
      </c>
      <c r="R110" t="str">
        <f>IF(COUNTA(B110:J110)=0,"",IF(AND(O110&lt;&gt;"",P110&lt;&gt;"",Q110&lt;&gt;""),"","입력누락"))</f>
      </c>
    </row>
    <row r="111" customFormat="false" ht="15" hidden="false" customHeight="false" outlineLevel="0" collapsed="false">
      <c r="A111" t="n" s="19">
        <f aca="0">IF(COUNTA(B111:J111)=0,"",ROW()-1)</f>
      </c>
      <c r="B111" s="24"/>
      <c r="C111" s="25"/>
      <c r="D111" s="8"/>
      <c r="E111" s="8"/>
      <c r="F111" s="26"/>
      <c r="G111" s="24"/>
      <c r="H111" s="25"/>
      <c r="I111" s="25"/>
      <c r="J111" s="26"/>
      <c r="K111" t="str" s="15">
        <f aca="0">IF(COUNTA(B111:J111)=0,"",IF(R111&lt;&gt;"","확인필요(입력누락)",IF(COUNTIFS(보유목록!$I$2:$I$3001,"*"&amp;P111&amp;"*",보유목록!$I$2:$I$3001,"*"&amp;Q111&amp;"*",보유목록!$H$2:$H$3001,O111)&gt;0,"있음",IF(COUNTIFS(보유목록!$I$2:$I$3001,"*"&amp;P111&amp;"*",보유목록!$I$2:$I$3001,"*"&amp;Q111&amp;"*")&gt;0,"확인필요(연도다름)",IF(COUNTIFS(보유목록!$I$2:$I$3001,"*"&amp;P111&amp;"*",보유목록!$H$2:$H$3001,O111)&gt;0,"확인필요(같은학교·같은연도)","없음")))))</f>
      </c>
      <c r="L111" t="str" s="16">
        <f aca="0">IF(OR(COUNTA(B111:J111)=0,R111&lt;&gt;""),"",COUNTIFS(보유목록!$I$2:$I$3001,"*"&amp;P111&amp;"*",보유목록!$I$2:$I$3001,"*"&amp;Q111&amp;"*"))</f>
      </c>
      <c r="M111" t="str" s="23">
        <f aca="0">IF(OR(COUNTA(B111:J111)=0,R111&lt;&gt;""),"",IFERROR(LOOKUP(2,1/(ISNUMBER(SEARCH(P111,보유목록!$I$2:$I$3001))*ISNUMBER(SEARCH(Q111,보유목록!$I$2:$I$3001))*(보유목록!$H$2:$H$3001=O111)),보유목록!$B$2:$B$3001),IFERROR(LOOKUP(2,1/(ISNUMBER(SEARCH(P111,보유목록!$I$2:$I$3001))*ISNUMBER(SEARCH(Q111,보유목록!$I$2:$I$3001))),보유목록!$B$2:$B$3001),"")))</f>
      </c>
      <c r="N111" s="25"/>
      <c r="O111" t="str">
        <f>IFERROR(IF(AND(LEN(SUBSTITUTE(SUBSTITUTE(SUBSTITUTE(TRIM(C111&amp;""),CHAR(160),"")," ",""),"년",""))=4,VALUE(SUBSTITUTE(SUBSTITUTE(SUBSTITUTE(TRIM(C111&amp;""),CHAR(160),"")," ",""),"년",""))&gt;=1900,VALUE(SUBSTITUTE(SUBSTITUTE(SUBSTITUTE(TRIM(C111&amp;""),CHAR(160),"")," ",""),"년",""))&lt;=2099,TEXT(VALUE(SUBSTITUTE(SUBSTITUTE(SUBSTITUTE(TRIM(C111&amp;""),CHAR(160),"")," ",""),"년","")),"0000")=SUBSTITUTE(SUBSTITUTE(SUBSTITUTE(TRIM(C111&amp;""),CHAR(160),"")," ",""),"년","")),SUBSTITUTE(SUBSTITUTE(SUBSTITUTE(TRIM(C111&amp;""),CHAR(160),"")," ",""),"년",""),""),"")</f>
      </c>
      <c r="P111" t="str">
        <f>SUBSTITUTE(SUBSTITUTE(SUBSTITUTE(SUBSTITUTE(SUBSTITUTE(SUBSTITUTE(SUBSTITUTE(SUBSTITUTE(TRIM(D111&amp;""),CHAR(160),"")," ",""),"초등학교","초"),"중학교","중"),"고등학교","고"),"~","~~"),"*","~*"),"?","~?")</f>
      </c>
      <c r="Q111" t="str">
        <f>SUBSTITUTE(SUBSTITUTE(SUBSTITUTE(SUBSTITUTE(SUBSTITUTE(SUBSTITUTE(SUBSTITUTE(SUBSTITUTE(TRIM(E111&amp;""),CHAR(160),"")," ",""),"초등학교","초"),"중학교","중"),"고등학교","고"),"~","~~"),"*","~*"),"?","~?")</f>
      </c>
      <c r="R111" t="str">
        <f>IF(COUNTA(B111:J111)=0,"",IF(AND(O111&lt;&gt;"",P111&lt;&gt;"",Q111&lt;&gt;""),"","입력누락"))</f>
      </c>
    </row>
    <row r="112" customFormat="false" ht="15" hidden="false" customHeight="false" outlineLevel="0" collapsed="false">
      <c r="A112" t="n" s="19">
        <f aca="0">IF(COUNTA(B112:J112)=0,"",ROW()-1)</f>
      </c>
      <c r="B112" s="24"/>
      <c r="C112" s="25"/>
      <c r="D112" s="8"/>
      <c r="E112" s="8"/>
      <c r="F112" s="26"/>
      <c r="G112" s="24"/>
      <c r="H112" s="25"/>
      <c r="I112" s="25"/>
      <c r="J112" s="26"/>
      <c r="K112" t="str" s="15">
        <f aca="0">IF(COUNTA(B112:J112)=0,"",IF(R112&lt;&gt;"","확인필요(입력누락)",IF(COUNTIFS(보유목록!$I$2:$I$3001,"*"&amp;P112&amp;"*",보유목록!$I$2:$I$3001,"*"&amp;Q112&amp;"*",보유목록!$H$2:$H$3001,O112)&gt;0,"있음",IF(COUNTIFS(보유목록!$I$2:$I$3001,"*"&amp;P112&amp;"*",보유목록!$I$2:$I$3001,"*"&amp;Q112&amp;"*")&gt;0,"확인필요(연도다름)",IF(COUNTIFS(보유목록!$I$2:$I$3001,"*"&amp;P112&amp;"*",보유목록!$H$2:$H$3001,O112)&gt;0,"확인필요(같은학교·같은연도)","없음")))))</f>
      </c>
      <c r="L112" t="str" s="16">
        <f aca="0">IF(OR(COUNTA(B112:J112)=0,R112&lt;&gt;""),"",COUNTIFS(보유목록!$I$2:$I$3001,"*"&amp;P112&amp;"*",보유목록!$I$2:$I$3001,"*"&amp;Q112&amp;"*"))</f>
      </c>
      <c r="M112" t="str" s="23">
        <f aca="0">IF(OR(COUNTA(B112:J112)=0,R112&lt;&gt;""),"",IFERROR(LOOKUP(2,1/(ISNUMBER(SEARCH(P112,보유목록!$I$2:$I$3001))*ISNUMBER(SEARCH(Q112,보유목록!$I$2:$I$3001))*(보유목록!$H$2:$H$3001=O112)),보유목록!$B$2:$B$3001),IFERROR(LOOKUP(2,1/(ISNUMBER(SEARCH(P112,보유목록!$I$2:$I$3001))*ISNUMBER(SEARCH(Q112,보유목록!$I$2:$I$3001))),보유목록!$B$2:$B$3001),"")))</f>
      </c>
      <c r="N112" s="25"/>
      <c r="O112" t="str">
        <f>IFERROR(IF(AND(LEN(SUBSTITUTE(SUBSTITUTE(SUBSTITUTE(TRIM(C112&amp;""),CHAR(160),"")," ",""),"년",""))=4,VALUE(SUBSTITUTE(SUBSTITUTE(SUBSTITUTE(TRIM(C112&amp;""),CHAR(160),"")," ",""),"년",""))&gt;=1900,VALUE(SUBSTITUTE(SUBSTITUTE(SUBSTITUTE(TRIM(C112&amp;""),CHAR(160),"")," ",""),"년",""))&lt;=2099,TEXT(VALUE(SUBSTITUTE(SUBSTITUTE(SUBSTITUTE(TRIM(C112&amp;""),CHAR(160),"")," ",""),"년","")),"0000")=SUBSTITUTE(SUBSTITUTE(SUBSTITUTE(TRIM(C112&amp;""),CHAR(160),"")," ",""),"년","")),SUBSTITUTE(SUBSTITUTE(SUBSTITUTE(TRIM(C112&amp;""),CHAR(160),"")," ",""),"년",""),""),"")</f>
      </c>
      <c r="P112" t="str">
        <f>SUBSTITUTE(SUBSTITUTE(SUBSTITUTE(SUBSTITUTE(SUBSTITUTE(SUBSTITUTE(SUBSTITUTE(SUBSTITUTE(TRIM(D112&amp;""),CHAR(160),"")," ",""),"초등학교","초"),"중학교","중"),"고등학교","고"),"~","~~"),"*","~*"),"?","~?")</f>
      </c>
      <c r="Q112" t="str">
        <f>SUBSTITUTE(SUBSTITUTE(SUBSTITUTE(SUBSTITUTE(SUBSTITUTE(SUBSTITUTE(SUBSTITUTE(SUBSTITUTE(TRIM(E112&amp;""),CHAR(160),"")," ",""),"초등학교","초"),"중학교","중"),"고등학교","고"),"~","~~"),"*","~*"),"?","~?")</f>
      </c>
      <c r="R112" t="str">
        <f>IF(COUNTA(B112:J112)=0,"",IF(AND(O112&lt;&gt;"",P112&lt;&gt;"",Q112&lt;&gt;""),"","입력누락"))</f>
      </c>
    </row>
    <row r="113" customFormat="false" ht="15" hidden="false" customHeight="false" outlineLevel="0" collapsed="false">
      <c r="A113" t="n" s="19">
        <f aca="0">IF(COUNTA(B113:J113)=0,"",ROW()-1)</f>
      </c>
      <c r="B113" s="24"/>
      <c r="C113" s="25"/>
      <c r="D113" s="8"/>
      <c r="E113" s="8"/>
      <c r="F113" s="26"/>
      <c r="G113" s="24"/>
      <c r="H113" s="25"/>
      <c r="I113" s="25"/>
      <c r="J113" s="26"/>
      <c r="K113" t="str" s="15">
        <f aca="0">IF(COUNTA(B113:J113)=0,"",IF(R113&lt;&gt;"","확인필요(입력누락)",IF(COUNTIFS(보유목록!$I$2:$I$3001,"*"&amp;P113&amp;"*",보유목록!$I$2:$I$3001,"*"&amp;Q113&amp;"*",보유목록!$H$2:$H$3001,O113)&gt;0,"있음",IF(COUNTIFS(보유목록!$I$2:$I$3001,"*"&amp;P113&amp;"*",보유목록!$I$2:$I$3001,"*"&amp;Q113&amp;"*")&gt;0,"확인필요(연도다름)",IF(COUNTIFS(보유목록!$I$2:$I$3001,"*"&amp;P113&amp;"*",보유목록!$H$2:$H$3001,O113)&gt;0,"확인필요(같은학교·같은연도)","없음")))))</f>
      </c>
      <c r="L113" t="str" s="16">
        <f aca="0">IF(OR(COUNTA(B113:J113)=0,R113&lt;&gt;""),"",COUNTIFS(보유목록!$I$2:$I$3001,"*"&amp;P113&amp;"*",보유목록!$I$2:$I$3001,"*"&amp;Q113&amp;"*"))</f>
      </c>
      <c r="M113" t="str" s="23">
        <f aca="0">IF(OR(COUNTA(B113:J113)=0,R113&lt;&gt;""),"",IFERROR(LOOKUP(2,1/(ISNUMBER(SEARCH(P113,보유목록!$I$2:$I$3001))*ISNUMBER(SEARCH(Q113,보유목록!$I$2:$I$3001))*(보유목록!$H$2:$H$3001=O113)),보유목록!$B$2:$B$3001),IFERROR(LOOKUP(2,1/(ISNUMBER(SEARCH(P113,보유목록!$I$2:$I$3001))*ISNUMBER(SEARCH(Q113,보유목록!$I$2:$I$3001))),보유목록!$B$2:$B$3001),"")))</f>
      </c>
      <c r="N113" s="25"/>
      <c r="O113" t="str">
        <f>IFERROR(IF(AND(LEN(SUBSTITUTE(SUBSTITUTE(SUBSTITUTE(TRIM(C113&amp;""),CHAR(160),"")," ",""),"년",""))=4,VALUE(SUBSTITUTE(SUBSTITUTE(SUBSTITUTE(TRIM(C113&amp;""),CHAR(160),"")," ",""),"년",""))&gt;=1900,VALUE(SUBSTITUTE(SUBSTITUTE(SUBSTITUTE(TRIM(C113&amp;""),CHAR(160),"")," ",""),"년",""))&lt;=2099,TEXT(VALUE(SUBSTITUTE(SUBSTITUTE(SUBSTITUTE(TRIM(C113&amp;""),CHAR(160),"")," ",""),"년","")),"0000")=SUBSTITUTE(SUBSTITUTE(SUBSTITUTE(TRIM(C113&amp;""),CHAR(160),"")," ",""),"년","")),SUBSTITUTE(SUBSTITUTE(SUBSTITUTE(TRIM(C113&amp;""),CHAR(160),"")," ",""),"년",""),""),"")</f>
      </c>
      <c r="P113" t="str">
        <f>SUBSTITUTE(SUBSTITUTE(SUBSTITUTE(SUBSTITUTE(SUBSTITUTE(SUBSTITUTE(SUBSTITUTE(SUBSTITUTE(TRIM(D113&amp;""),CHAR(160),"")," ",""),"초등학교","초"),"중학교","중"),"고등학교","고"),"~","~~"),"*","~*"),"?","~?")</f>
      </c>
      <c r="Q113" t="str">
        <f>SUBSTITUTE(SUBSTITUTE(SUBSTITUTE(SUBSTITUTE(SUBSTITUTE(SUBSTITUTE(SUBSTITUTE(SUBSTITUTE(TRIM(E113&amp;""),CHAR(160),"")," ",""),"초등학교","초"),"중학교","중"),"고등학교","고"),"~","~~"),"*","~*"),"?","~?")</f>
      </c>
      <c r="R113" t="str">
        <f>IF(COUNTA(B113:J113)=0,"",IF(AND(O113&lt;&gt;"",P113&lt;&gt;"",Q113&lt;&gt;""),"","입력누락"))</f>
      </c>
    </row>
    <row r="114" customFormat="false" ht="15" hidden="false" customHeight="false" outlineLevel="0" collapsed="false">
      <c r="A114" t="n" s="19">
        <f aca="0">IF(COUNTA(B114:J114)=0,"",ROW()-1)</f>
      </c>
      <c r="B114" s="24"/>
      <c r="C114" s="25"/>
      <c r="D114" s="8"/>
      <c r="E114" s="8"/>
      <c r="F114" s="26"/>
      <c r="G114" s="24"/>
      <c r="H114" s="25"/>
      <c r="I114" s="25"/>
      <c r="J114" s="26"/>
      <c r="K114" t="str" s="15">
        <f aca="0">IF(COUNTA(B114:J114)=0,"",IF(R114&lt;&gt;"","확인필요(입력누락)",IF(COUNTIFS(보유목록!$I$2:$I$3001,"*"&amp;P114&amp;"*",보유목록!$I$2:$I$3001,"*"&amp;Q114&amp;"*",보유목록!$H$2:$H$3001,O114)&gt;0,"있음",IF(COUNTIFS(보유목록!$I$2:$I$3001,"*"&amp;P114&amp;"*",보유목록!$I$2:$I$3001,"*"&amp;Q114&amp;"*")&gt;0,"확인필요(연도다름)",IF(COUNTIFS(보유목록!$I$2:$I$3001,"*"&amp;P114&amp;"*",보유목록!$H$2:$H$3001,O114)&gt;0,"확인필요(같은학교·같은연도)","없음")))))</f>
      </c>
      <c r="L114" t="str" s="16">
        <f aca="0">IF(OR(COUNTA(B114:J114)=0,R114&lt;&gt;""),"",COUNTIFS(보유목록!$I$2:$I$3001,"*"&amp;P114&amp;"*",보유목록!$I$2:$I$3001,"*"&amp;Q114&amp;"*"))</f>
      </c>
      <c r="M114" t="str" s="23">
        <f aca="0">IF(OR(COUNTA(B114:J114)=0,R114&lt;&gt;""),"",IFERROR(LOOKUP(2,1/(ISNUMBER(SEARCH(P114,보유목록!$I$2:$I$3001))*ISNUMBER(SEARCH(Q114,보유목록!$I$2:$I$3001))*(보유목록!$H$2:$H$3001=O114)),보유목록!$B$2:$B$3001),IFERROR(LOOKUP(2,1/(ISNUMBER(SEARCH(P114,보유목록!$I$2:$I$3001))*ISNUMBER(SEARCH(Q114,보유목록!$I$2:$I$3001))),보유목록!$B$2:$B$3001),"")))</f>
      </c>
      <c r="N114" s="25"/>
      <c r="O114" t="str">
        <f>IFERROR(IF(AND(LEN(SUBSTITUTE(SUBSTITUTE(SUBSTITUTE(TRIM(C114&amp;""),CHAR(160),"")," ",""),"년",""))=4,VALUE(SUBSTITUTE(SUBSTITUTE(SUBSTITUTE(TRIM(C114&amp;""),CHAR(160),"")," ",""),"년",""))&gt;=1900,VALUE(SUBSTITUTE(SUBSTITUTE(SUBSTITUTE(TRIM(C114&amp;""),CHAR(160),"")," ",""),"년",""))&lt;=2099,TEXT(VALUE(SUBSTITUTE(SUBSTITUTE(SUBSTITUTE(TRIM(C114&amp;""),CHAR(160),"")," ",""),"년","")),"0000")=SUBSTITUTE(SUBSTITUTE(SUBSTITUTE(TRIM(C114&amp;""),CHAR(160),"")," ",""),"년","")),SUBSTITUTE(SUBSTITUTE(SUBSTITUTE(TRIM(C114&amp;""),CHAR(160),"")," ",""),"년",""),""),"")</f>
      </c>
      <c r="P114" t="str">
        <f>SUBSTITUTE(SUBSTITUTE(SUBSTITUTE(SUBSTITUTE(SUBSTITUTE(SUBSTITUTE(SUBSTITUTE(SUBSTITUTE(TRIM(D114&amp;""),CHAR(160),"")," ",""),"초등학교","초"),"중학교","중"),"고등학교","고"),"~","~~"),"*","~*"),"?","~?")</f>
      </c>
      <c r="Q114" t="str">
        <f>SUBSTITUTE(SUBSTITUTE(SUBSTITUTE(SUBSTITUTE(SUBSTITUTE(SUBSTITUTE(SUBSTITUTE(SUBSTITUTE(TRIM(E114&amp;""),CHAR(160),"")," ",""),"초등학교","초"),"중학교","중"),"고등학교","고"),"~","~~"),"*","~*"),"?","~?")</f>
      </c>
      <c r="R114" t="str">
        <f>IF(COUNTA(B114:J114)=0,"",IF(AND(O114&lt;&gt;"",P114&lt;&gt;"",Q114&lt;&gt;""),"","입력누락"))</f>
      </c>
    </row>
    <row r="115" customFormat="false" ht="15" hidden="false" customHeight="false" outlineLevel="0" collapsed="false">
      <c r="A115" t="n" s="19">
        <f aca="0">IF(COUNTA(B115:J115)=0,"",ROW()-1)</f>
      </c>
      <c r="B115" s="24"/>
      <c r="C115" s="25"/>
      <c r="D115" s="8"/>
      <c r="E115" s="8"/>
      <c r="F115" s="26"/>
      <c r="G115" s="24"/>
      <c r="H115" s="25"/>
      <c r="I115" s="25"/>
      <c r="J115" s="26"/>
      <c r="K115" t="str" s="15">
        <f aca="0">IF(COUNTA(B115:J115)=0,"",IF(R115&lt;&gt;"","확인필요(입력누락)",IF(COUNTIFS(보유목록!$I$2:$I$3001,"*"&amp;P115&amp;"*",보유목록!$I$2:$I$3001,"*"&amp;Q115&amp;"*",보유목록!$H$2:$H$3001,O115)&gt;0,"있음",IF(COUNTIFS(보유목록!$I$2:$I$3001,"*"&amp;P115&amp;"*",보유목록!$I$2:$I$3001,"*"&amp;Q115&amp;"*")&gt;0,"확인필요(연도다름)",IF(COUNTIFS(보유목록!$I$2:$I$3001,"*"&amp;P115&amp;"*",보유목록!$H$2:$H$3001,O115)&gt;0,"확인필요(같은학교·같은연도)","없음")))))</f>
      </c>
      <c r="L115" t="str" s="16">
        <f aca="0">IF(OR(COUNTA(B115:J115)=0,R115&lt;&gt;""),"",COUNTIFS(보유목록!$I$2:$I$3001,"*"&amp;P115&amp;"*",보유목록!$I$2:$I$3001,"*"&amp;Q115&amp;"*"))</f>
      </c>
      <c r="M115" t="str" s="23">
        <f aca="0">IF(OR(COUNTA(B115:J115)=0,R115&lt;&gt;""),"",IFERROR(LOOKUP(2,1/(ISNUMBER(SEARCH(P115,보유목록!$I$2:$I$3001))*ISNUMBER(SEARCH(Q115,보유목록!$I$2:$I$3001))*(보유목록!$H$2:$H$3001=O115)),보유목록!$B$2:$B$3001),IFERROR(LOOKUP(2,1/(ISNUMBER(SEARCH(P115,보유목록!$I$2:$I$3001))*ISNUMBER(SEARCH(Q115,보유목록!$I$2:$I$3001))),보유목록!$B$2:$B$3001),"")))</f>
      </c>
      <c r="N115" s="25"/>
      <c r="O115" t="str">
        <f>IFERROR(IF(AND(LEN(SUBSTITUTE(SUBSTITUTE(SUBSTITUTE(TRIM(C115&amp;""),CHAR(160),"")," ",""),"년",""))=4,VALUE(SUBSTITUTE(SUBSTITUTE(SUBSTITUTE(TRIM(C115&amp;""),CHAR(160),"")," ",""),"년",""))&gt;=1900,VALUE(SUBSTITUTE(SUBSTITUTE(SUBSTITUTE(TRIM(C115&amp;""),CHAR(160),"")," ",""),"년",""))&lt;=2099,TEXT(VALUE(SUBSTITUTE(SUBSTITUTE(SUBSTITUTE(TRIM(C115&amp;""),CHAR(160),"")," ",""),"년","")),"0000")=SUBSTITUTE(SUBSTITUTE(SUBSTITUTE(TRIM(C115&amp;""),CHAR(160),"")," ",""),"년","")),SUBSTITUTE(SUBSTITUTE(SUBSTITUTE(TRIM(C115&amp;""),CHAR(160),"")," ",""),"년",""),""),"")</f>
      </c>
      <c r="P115" t="str">
        <f>SUBSTITUTE(SUBSTITUTE(SUBSTITUTE(SUBSTITUTE(SUBSTITUTE(SUBSTITUTE(SUBSTITUTE(SUBSTITUTE(TRIM(D115&amp;""),CHAR(160),"")," ",""),"초등학교","초"),"중학교","중"),"고등학교","고"),"~","~~"),"*","~*"),"?","~?")</f>
      </c>
      <c r="Q115" t="str">
        <f>SUBSTITUTE(SUBSTITUTE(SUBSTITUTE(SUBSTITUTE(SUBSTITUTE(SUBSTITUTE(SUBSTITUTE(SUBSTITUTE(TRIM(E115&amp;""),CHAR(160),"")," ",""),"초등학교","초"),"중학교","중"),"고등학교","고"),"~","~~"),"*","~*"),"?","~?")</f>
      </c>
      <c r="R115" t="str">
        <f>IF(COUNTA(B115:J115)=0,"",IF(AND(O115&lt;&gt;"",P115&lt;&gt;"",Q115&lt;&gt;""),"","입력누락"))</f>
      </c>
    </row>
    <row r="116" customFormat="false" ht="15" hidden="false" customHeight="false" outlineLevel="0" collapsed="false">
      <c r="A116" t="n" s="19">
        <f aca="0">IF(COUNTA(B116:J116)=0,"",ROW()-1)</f>
      </c>
      <c r="B116" s="24"/>
      <c r="C116" s="25"/>
      <c r="D116" s="8"/>
      <c r="E116" s="8"/>
      <c r="F116" s="26"/>
      <c r="G116" s="24"/>
      <c r="H116" s="25"/>
      <c r="I116" s="25"/>
      <c r="J116" s="26"/>
      <c r="K116" t="str" s="15">
        <f aca="0">IF(COUNTA(B116:J116)=0,"",IF(R116&lt;&gt;"","확인필요(입력누락)",IF(COUNTIFS(보유목록!$I$2:$I$3001,"*"&amp;P116&amp;"*",보유목록!$I$2:$I$3001,"*"&amp;Q116&amp;"*",보유목록!$H$2:$H$3001,O116)&gt;0,"있음",IF(COUNTIFS(보유목록!$I$2:$I$3001,"*"&amp;P116&amp;"*",보유목록!$I$2:$I$3001,"*"&amp;Q116&amp;"*")&gt;0,"확인필요(연도다름)",IF(COUNTIFS(보유목록!$I$2:$I$3001,"*"&amp;P116&amp;"*",보유목록!$H$2:$H$3001,O116)&gt;0,"확인필요(같은학교·같은연도)","없음")))))</f>
      </c>
      <c r="L116" t="str" s="16">
        <f aca="0">IF(OR(COUNTA(B116:J116)=0,R116&lt;&gt;""),"",COUNTIFS(보유목록!$I$2:$I$3001,"*"&amp;P116&amp;"*",보유목록!$I$2:$I$3001,"*"&amp;Q116&amp;"*"))</f>
      </c>
      <c r="M116" t="str" s="23">
        <f aca="0">IF(OR(COUNTA(B116:J116)=0,R116&lt;&gt;""),"",IFERROR(LOOKUP(2,1/(ISNUMBER(SEARCH(P116,보유목록!$I$2:$I$3001))*ISNUMBER(SEARCH(Q116,보유목록!$I$2:$I$3001))*(보유목록!$H$2:$H$3001=O116)),보유목록!$B$2:$B$3001),IFERROR(LOOKUP(2,1/(ISNUMBER(SEARCH(P116,보유목록!$I$2:$I$3001))*ISNUMBER(SEARCH(Q116,보유목록!$I$2:$I$3001))),보유목록!$B$2:$B$3001),"")))</f>
      </c>
      <c r="N116" s="25"/>
      <c r="O116" t="str">
        <f>IFERROR(IF(AND(LEN(SUBSTITUTE(SUBSTITUTE(SUBSTITUTE(TRIM(C116&amp;""),CHAR(160),"")," ",""),"년",""))=4,VALUE(SUBSTITUTE(SUBSTITUTE(SUBSTITUTE(TRIM(C116&amp;""),CHAR(160),"")," ",""),"년",""))&gt;=1900,VALUE(SUBSTITUTE(SUBSTITUTE(SUBSTITUTE(TRIM(C116&amp;""),CHAR(160),"")," ",""),"년",""))&lt;=2099,TEXT(VALUE(SUBSTITUTE(SUBSTITUTE(SUBSTITUTE(TRIM(C116&amp;""),CHAR(160),"")," ",""),"년","")),"0000")=SUBSTITUTE(SUBSTITUTE(SUBSTITUTE(TRIM(C116&amp;""),CHAR(160),"")," ",""),"년","")),SUBSTITUTE(SUBSTITUTE(SUBSTITUTE(TRIM(C116&amp;""),CHAR(160),"")," ",""),"년",""),""),"")</f>
      </c>
      <c r="P116" t="str">
        <f>SUBSTITUTE(SUBSTITUTE(SUBSTITUTE(SUBSTITUTE(SUBSTITUTE(SUBSTITUTE(SUBSTITUTE(SUBSTITUTE(TRIM(D116&amp;""),CHAR(160),"")," ",""),"초등학교","초"),"중학교","중"),"고등학교","고"),"~","~~"),"*","~*"),"?","~?")</f>
      </c>
      <c r="Q116" t="str">
        <f>SUBSTITUTE(SUBSTITUTE(SUBSTITUTE(SUBSTITUTE(SUBSTITUTE(SUBSTITUTE(SUBSTITUTE(SUBSTITUTE(TRIM(E116&amp;""),CHAR(160),"")," ",""),"초등학교","초"),"중학교","중"),"고등학교","고"),"~","~~"),"*","~*"),"?","~?")</f>
      </c>
      <c r="R116" t="str">
        <f>IF(COUNTA(B116:J116)=0,"",IF(AND(O116&lt;&gt;"",P116&lt;&gt;"",Q116&lt;&gt;""),"","입력누락"))</f>
      </c>
    </row>
    <row r="117" customFormat="false" ht="15" hidden="false" customHeight="false" outlineLevel="0" collapsed="false">
      <c r="A117" t="n" s="19">
        <f aca="0">IF(COUNTA(B117:J117)=0,"",ROW()-1)</f>
      </c>
      <c r="B117" s="24"/>
      <c r="C117" s="25"/>
      <c r="D117" s="8"/>
      <c r="E117" s="8"/>
      <c r="F117" s="26"/>
      <c r="G117" s="24"/>
      <c r="H117" s="25"/>
      <c r="I117" s="25"/>
      <c r="J117" s="26"/>
      <c r="K117" t="str" s="15">
        <f aca="0">IF(COUNTA(B117:J117)=0,"",IF(R117&lt;&gt;"","확인필요(입력누락)",IF(COUNTIFS(보유목록!$I$2:$I$3001,"*"&amp;P117&amp;"*",보유목록!$I$2:$I$3001,"*"&amp;Q117&amp;"*",보유목록!$H$2:$H$3001,O117)&gt;0,"있음",IF(COUNTIFS(보유목록!$I$2:$I$3001,"*"&amp;P117&amp;"*",보유목록!$I$2:$I$3001,"*"&amp;Q117&amp;"*")&gt;0,"확인필요(연도다름)",IF(COUNTIFS(보유목록!$I$2:$I$3001,"*"&amp;P117&amp;"*",보유목록!$H$2:$H$3001,O117)&gt;0,"확인필요(같은학교·같은연도)","없음")))))</f>
      </c>
      <c r="L117" t="str" s="16">
        <f aca="0">IF(OR(COUNTA(B117:J117)=0,R117&lt;&gt;""),"",COUNTIFS(보유목록!$I$2:$I$3001,"*"&amp;P117&amp;"*",보유목록!$I$2:$I$3001,"*"&amp;Q117&amp;"*"))</f>
      </c>
      <c r="M117" t="str" s="23">
        <f aca="0">IF(OR(COUNTA(B117:J117)=0,R117&lt;&gt;""),"",IFERROR(LOOKUP(2,1/(ISNUMBER(SEARCH(P117,보유목록!$I$2:$I$3001))*ISNUMBER(SEARCH(Q117,보유목록!$I$2:$I$3001))*(보유목록!$H$2:$H$3001=O117)),보유목록!$B$2:$B$3001),IFERROR(LOOKUP(2,1/(ISNUMBER(SEARCH(P117,보유목록!$I$2:$I$3001))*ISNUMBER(SEARCH(Q117,보유목록!$I$2:$I$3001))),보유목록!$B$2:$B$3001),"")))</f>
      </c>
      <c r="N117" s="25"/>
      <c r="O117" t="str">
        <f>IFERROR(IF(AND(LEN(SUBSTITUTE(SUBSTITUTE(SUBSTITUTE(TRIM(C117&amp;""),CHAR(160),"")," ",""),"년",""))=4,VALUE(SUBSTITUTE(SUBSTITUTE(SUBSTITUTE(TRIM(C117&amp;""),CHAR(160),"")," ",""),"년",""))&gt;=1900,VALUE(SUBSTITUTE(SUBSTITUTE(SUBSTITUTE(TRIM(C117&amp;""),CHAR(160),"")," ",""),"년",""))&lt;=2099,TEXT(VALUE(SUBSTITUTE(SUBSTITUTE(SUBSTITUTE(TRIM(C117&amp;""),CHAR(160),"")," ",""),"년","")),"0000")=SUBSTITUTE(SUBSTITUTE(SUBSTITUTE(TRIM(C117&amp;""),CHAR(160),"")," ",""),"년","")),SUBSTITUTE(SUBSTITUTE(SUBSTITUTE(TRIM(C117&amp;""),CHAR(160),"")," ",""),"년",""),""),"")</f>
      </c>
      <c r="P117" t="str">
        <f>SUBSTITUTE(SUBSTITUTE(SUBSTITUTE(SUBSTITUTE(SUBSTITUTE(SUBSTITUTE(SUBSTITUTE(SUBSTITUTE(TRIM(D117&amp;""),CHAR(160),"")," ",""),"초등학교","초"),"중학교","중"),"고등학교","고"),"~","~~"),"*","~*"),"?","~?")</f>
      </c>
      <c r="Q117" t="str">
        <f>SUBSTITUTE(SUBSTITUTE(SUBSTITUTE(SUBSTITUTE(SUBSTITUTE(SUBSTITUTE(SUBSTITUTE(SUBSTITUTE(TRIM(E117&amp;""),CHAR(160),"")," ",""),"초등학교","초"),"중학교","중"),"고등학교","고"),"~","~~"),"*","~*"),"?","~?")</f>
      </c>
      <c r="R117" t="str">
        <f>IF(COUNTA(B117:J117)=0,"",IF(AND(O117&lt;&gt;"",P117&lt;&gt;"",Q117&lt;&gt;""),"","입력누락"))</f>
      </c>
    </row>
    <row r="118" customFormat="false" ht="15" hidden="false" customHeight="false" outlineLevel="0" collapsed="false">
      <c r="A118" t="n" s="19">
        <f aca="0">IF(COUNTA(B118:J118)=0,"",ROW()-1)</f>
      </c>
      <c r="B118" s="24"/>
      <c r="C118" s="25"/>
      <c r="D118" s="8"/>
      <c r="E118" s="8"/>
      <c r="F118" s="26"/>
      <c r="G118" s="24"/>
      <c r="H118" s="25"/>
      <c r="I118" s="25"/>
      <c r="J118" s="26"/>
      <c r="K118" t="str" s="15">
        <f aca="0">IF(COUNTA(B118:J118)=0,"",IF(R118&lt;&gt;"","확인필요(입력누락)",IF(COUNTIFS(보유목록!$I$2:$I$3001,"*"&amp;P118&amp;"*",보유목록!$I$2:$I$3001,"*"&amp;Q118&amp;"*",보유목록!$H$2:$H$3001,O118)&gt;0,"있음",IF(COUNTIFS(보유목록!$I$2:$I$3001,"*"&amp;P118&amp;"*",보유목록!$I$2:$I$3001,"*"&amp;Q118&amp;"*")&gt;0,"확인필요(연도다름)",IF(COUNTIFS(보유목록!$I$2:$I$3001,"*"&amp;P118&amp;"*",보유목록!$H$2:$H$3001,O118)&gt;0,"확인필요(같은학교·같은연도)","없음")))))</f>
      </c>
      <c r="L118" t="str" s="16">
        <f aca="0">IF(OR(COUNTA(B118:J118)=0,R118&lt;&gt;""),"",COUNTIFS(보유목록!$I$2:$I$3001,"*"&amp;P118&amp;"*",보유목록!$I$2:$I$3001,"*"&amp;Q118&amp;"*"))</f>
      </c>
      <c r="M118" t="str" s="23">
        <f aca="0">IF(OR(COUNTA(B118:J118)=0,R118&lt;&gt;""),"",IFERROR(LOOKUP(2,1/(ISNUMBER(SEARCH(P118,보유목록!$I$2:$I$3001))*ISNUMBER(SEARCH(Q118,보유목록!$I$2:$I$3001))*(보유목록!$H$2:$H$3001=O118)),보유목록!$B$2:$B$3001),IFERROR(LOOKUP(2,1/(ISNUMBER(SEARCH(P118,보유목록!$I$2:$I$3001))*ISNUMBER(SEARCH(Q118,보유목록!$I$2:$I$3001))),보유목록!$B$2:$B$3001),"")))</f>
      </c>
      <c r="N118" s="25"/>
      <c r="O118" t="str">
        <f>IFERROR(IF(AND(LEN(SUBSTITUTE(SUBSTITUTE(SUBSTITUTE(TRIM(C118&amp;""),CHAR(160),"")," ",""),"년",""))=4,VALUE(SUBSTITUTE(SUBSTITUTE(SUBSTITUTE(TRIM(C118&amp;""),CHAR(160),"")," ",""),"년",""))&gt;=1900,VALUE(SUBSTITUTE(SUBSTITUTE(SUBSTITUTE(TRIM(C118&amp;""),CHAR(160),"")," ",""),"년",""))&lt;=2099,TEXT(VALUE(SUBSTITUTE(SUBSTITUTE(SUBSTITUTE(TRIM(C118&amp;""),CHAR(160),"")," ",""),"년","")),"0000")=SUBSTITUTE(SUBSTITUTE(SUBSTITUTE(TRIM(C118&amp;""),CHAR(160),"")," ",""),"년","")),SUBSTITUTE(SUBSTITUTE(SUBSTITUTE(TRIM(C118&amp;""),CHAR(160),"")," ",""),"년",""),""),"")</f>
      </c>
      <c r="P118" t="str">
        <f>SUBSTITUTE(SUBSTITUTE(SUBSTITUTE(SUBSTITUTE(SUBSTITUTE(SUBSTITUTE(SUBSTITUTE(SUBSTITUTE(TRIM(D118&amp;""),CHAR(160),"")," ",""),"초등학교","초"),"중학교","중"),"고등학교","고"),"~","~~"),"*","~*"),"?","~?")</f>
      </c>
      <c r="Q118" t="str">
        <f>SUBSTITUTE(SUBSTITUTE(SUBSTITUTE(SUBSTITUTE(SUBSTITUTE(SUBSTITUTE(SUBSTITUTE(SUBSTITUTE(TRIM(E118&amp;""),CHAR(160),"")," ",""),"초등학교","초"),"중학교","중"),"고등학교","고"),"~","~~"),"*","~*"),"?","~?")</f>
      </c>
      <c r="R118" t="str">
        <f>IF(COUNTA(B118:J118)=0,"",IF(AND(O118&lt;&gt;"",P118&lt;&gt;"",Q118&lt;&gt;""),"","입력누락"))</f>
      </c>
    </row>
    <row r="119" customFormat="false" ht="15" hidden="false" customHeight="false" outlineLevel="0" collapsed="false">
      <c r="A119" t="n" s="19">
        <f aca="0">IF(COUNTA(B119:J119)=0,"",ROW()-1)</f>
      </c>
      <c r="B119" s="24"/>
      <c r="C119" s="25"/>
      <c r="D119" s="8"/>
      <c r="E119" s="8"/>
      <c r="F119" s="26"/>
      <c r="G119" s="24"/>
      <c r="H119" s="25"/>
      <c r="I119" s="25"/>
      <c r="J119" s="26"/>
      <c r="K119" t="str" s="15">
        <f aca="0">IF(COUNTA(B119:J119)=0,"",IF(R119&lt;&gt;"","확인필요(입력누락)",IF(COUNTIFS(보유목록!$I$2:$I$3001,"*"&amp;P119&amp;"*",보유목록!$I$2:$I$3001,"*"&amp;Q119&amp;"*",보유목록!$H$2:$H$3001,O119)&gt;0,"있음",IF(COUNTIFS(보유목록!$I$2:$I$3001,"*"&amp;P119&amp;"*",보유목록!$I$2:$I$3001,"*"&amp;Q119&amp;"*")&gt;0,"확인필요(연도다름)",IF(COUNTIFS(보유목록!$I$2:$I$3001,"*"&amp;P119&amp;"*",보유목록!$H$2:$H$3001,O119)&gt;0,"확인필요(같은학교·같은연도)","없음")))))</f>
      </c>
      <c r="L119" t="str" s="16">
        <f aca="0">IF(OR(COUNTA(B119:J119)=0,R119&lt;&gt;""),"",COUNTIFS(보유목록!$I$2:$I$3001,"*"&amp;P119&amp;"*",보유목록!$I$2:$I$3001,"*"&amp;Q119&amp;"*"))</f>
      </c>
      <c r="M119" t="str" s="23">
        <f aca="0">IF(OR(COUNTA(B119:J119)=0,R119&lt;&gt;""),"",IFERROR(LOOKUP(2,1/(ISNUMBER(SEARCH(P119,보유목록!$I$2:$I$3001))*ISNUMBER(SEARCH(Q119,보유목록!$I$2:$I$3001))*(보유목록!$H$2:$H$3001=O119)),보유목록!$B$2:$B$3001),IFERROR(LOOKUP(2,1/(ISNUMBER(SEARCH(P119,보유목록!$I$2:$I$3001))*ISNUMBER(SEARCH(Q119,보유목록!$I$2:$I$3001))),보유목록!$B$2:$B$3001),"")))</f>
      </c>
      <c r="N119" s="25"/>
      <c r="O119" t="str">
        <f>IFERROR(IF(AND(LEN(SUBSTITUTE(SUBSTITUTE(SUBSTITUTE(TRIM(C119&amp;""),CHAR(160),"")," ",""),"년",""))=4,VALUE(SUBSTITUTE(SUBSTITUTE(SUBSTITUTE(TRIM(C119&amp;""),CHAR(160),"")," ",""),"년",""))&gt;=1900,VALUE(SUBSTITUTE(SUBSTITUTE(SUBSTITUTE(TRIM(C119&amp;""),CHAR(160),"")," ",""),"년",""))&lt;=2099,TEXT(VALUE(SUBSTITUTE(SUBSTITUTE(SUBSTITUTE(TRIM(C119&amp;""),CHAR(160),"")," ",""),"년","")),"0000")=SUBSTITUTE(SUBSTITUTE(SUBSTITUTE(TRIM(C119&amp;""),CHAR(160),"")," ",""),"년","")),SUBSTITUTE(SUBSTITUTE(SUBSTITUTE(TRIM(C119&amp;""),CHAR(160),"")," ",""),"년",""),""),"")</f>
      </c>
      <c r="P119" t="str">
        <f>SUBSTITUTE(SUBSTITUTE(SUBSTITUTE(SUBSTITUTE(SUBSTITUTE(SUBSTITUTE(SUBSTITUTE(SUBSTITUTE(TRIM(D119&amp;""),CHAR(160),"")," ",""),"초등학교","초"),"중학교","중"),"고등학교","고"),"~","~~"),"*","~*"),"?","~?")</f>
      </c>
      <c r="Q119" t="str">
        <f>SUBSTITUTE(SUBSTITUTE(SUBSTITUTE(SUBSTITUTE(SUBSTITUTE(SUBSTITUTE(SUBSTITUTE(SUBSTITUTE(TRIM(E119&amp;""),CHAR(160),"")," ",""),"초등학교","초"),"중학교","중"),"고등학교","고"),"~","~~"),"*","~*"),"?","~?")</f>
      </c>
      <c r="R119" t="str">
        <f>IF(COUNTA(B119:J119)=0,"",IF(AND(O119&lt;&gt;"",P119&lt;&gt;"",Q119&lt;&gt;""),"","입력누락"))</f>
      </c>
    </row>
    <row r="120" customFormat="false" ht="15" hidden="false" customHeight="false" outlineLevel="0" collapsed="false">
      <c r="A120" t="n" s="19">
        <f aca="0">IF(COUNTA(B120:J120)=0,"",ROW()-1)</f>
      </c>
      <c r="B120" s="24"/>
      <c r="C120" s="25"/>
      <c r="D120" s="8"/>
      <c r="E120" s="8"/>
      <c r="F120" s="26"/>
      <c r="G120" s="24"/>
      <c r="H120" s="25"/>
      <c r="I120" s="25"/>
      <c r="J120" s="26"/>
      <c r="K120" t="str" s="15">
        <f aca="0">IF(COUNTA(B120:J120)=0,"",IF(R120&lt;&gt;"","확인필요(입력누락)",IF(COUNTIFS(보유목록!$I$2:$I$3001,"*"&amp;P120&amp;"*",보유목록!$I$2:$I$3001,"*"&amp;Q120&amp;"*",보유목록!$H$2:$H$3001,O120)&gt;0,"있음",IF(COUNTIFS(보유목록!$I$2:$I$3001,"*"&amp;P120&amp;"*",보유목록!$I$2:$I$3001,"*"&amp;Q120&amp;"*")&gt;0,"확인필요(연도다름)",IF(COUNTIFS(보유목록!$I$2:$I$3001,"*"&amp;P120&amp;"*",보유목록!$H$2:$H$3001,O120)&gt;0,"확인필요(같은학교·같은연도)","없음")))))</f>
      </c>
      <c r="L120" t="str" s="16">
        <f aca="0">IF(OR(COUNTA(B120:J120)=0,R120&lt;&gt;""),"",COUNTIFS(보유목록!$I$2:$I$3001,"*"&amp;P120&amp;"*",보유목록!$I$2:$I$3001,"*"&amp;Q120&amp;"*"))</f>
      </c>
      <c r="M120" t="str" s="23">
        <f aca="0">IF(OR(COUNTA(B120:J120)=0,R120&lt;&gt;""),"",IFERROR(LOOKUP(2,1/(ISNUMBER(SEARCH(P120,보유목록!$I$2:$I$3001))*ISNUMBER(SEARCH(Q120,보유목록!$I$2:$I$3001))*(보유목록!$H$2:$H$3001=O120)),보유목록!$B$2:$B$3001),IFERROR(LOOKUP(2,1/(ISNUMBER(SEARCH(P120,보유목록!$I$2:$I$3001))*ISNUMBER(SEARCH(Q120,보유목록!$I$2:$I$3001))),보유목록!$B$2:$B$3001),"")))</f>
      </c>
      <c r="N120" s="25"/>
      <c r="O120" t="str">
        <f>IFERROR(IF(AND(LEN(SUBSTITUTE(SUBSTITUTE(SUBSTITUTE(TRIM(C120&amp;""),CHAR(160),"")," ",""),"년",""))=4,VALUE(SUBSTITUTE(SUBSTITUTE(SUBSTITUTE(TRIM(C120&amp;""),CHAR(160),"")," ",""),"년",""))&gt;=1900,VALUE(SUBSTITUTE(SUBSTITUTE(SUBSTITUTE(TRIM(C120&amp;""),CHAR(160),"")," ",""),"년",""))&lt;=2099,TEXT(VALUE(SUBSTITUTE(SUBSTITUTE(SUBSTITUTE(TRIM(C120&amp;""),CHAR(160),"")," ",""),"년","")),"0000")=SUBSTITUTE(SUBSTITUTE(SUBSTITUTE(TRIM(C120&amp;""),CHAR(160),"")," ",""),"년","")),SUBSTITUTE(SUBSTITUTE(SUBSTITUTE(TRIM(C120&amp;""),CHAR(160),"")," ",""),"년",""),""),"")</f>
      </c>
      <c r="P120" t="str">
        <f>SUBSTITUTE(SUBSTITUTE(SUBSTITUTE(SUBSTITUTE(SUBSTITUTE(SUBSTITUTE(SUBSTITUTE(SUBSTITUTE(TRIM(D120&amp;""),CHAR(160),"")," ",""),"초등학교","초"),"중학교","중"),"고등학교","고"),"~","~~"),"*","~*"),"?","~?")</f>
      </c>
      <c r="Q120" t="str">
        <f>SUBSTITUTE(SUBSTITUTE(SUBSTITUTE(SUBSTITUTE(SUBSTITUTE(SUBSTITUTE(SUBSTITUTE(SUBSTITUTE(TRIM(E120&amp;""),CHAR(160),"")," ",""),"초등학교","초"),"중학교","중"),"고등학교","고"),"~","~~"),"*","~*"),"?","~?")</f>
      </c>
      <c r="R120" t="str">
        <f>IF(COUNTA(B120:J120)=0,"",IF(AND(O120&lt;&gt;"",P120&lt;&gt;"",Q120&lt;&gt;""),"","입력누락"))</f>
      </c>
    </row>
    <row r="121" customFormat="false" ht="15" hidden="false" customHeight="false" outlineLevel="0" collapsed="false">
      <c r="A121" t="n" s="19">
        <f aca="0">IF(COUNTA(B121:J121)=0,"",ROW()-1)</f>
      </c>
      <c r="B121" s="24"/>
      <c r="C121" s="25"/>
      <c r="D121" s="8"/>
      <c r="E121" s="8"/>
      <c r="F121" s="26"/>
      <c r="G121" s="24"/>
      <c r="H121" s="25"/>
      <c r="I121" s="25"/>
      <c r="J121" s="26"/>
      <c r="K121" t="str" s="15">
        <f aca="0">IF(COUNTA(B121:J121)=0,"",IF(R121&lt;&gt;"","확인필요(입력누락)",IF(COUNTIFS(보유목록!$I$2:$I$3001,"*"&amp;P121&amp;"*",보유목록!$I$2:$I$3001,"*"&amp;Q121&amp;"*",보유목록!$H$2:$H$3001,O121)&gt;0,"있음",IF(COUNTIFS(보유목록!$I$2:$I$3001,"*"&amp;P121&amp;"*",보유목록!$I$2:$I$3001,"*"&amp;Q121&amp;"*")&gt;0,"확인필요(연도다름)",IF(COUNTIFS(보유목록!$I$2:$I$3001,"*"&amp;P121&amp;"*",보유목록!$H$2:$H$3001,O121)&gt;0,"확인필요(같은학교·같은연도)","없음")))))</f>
      </c>
      <c r="L121" t="str" s="16">
        <f aca="0">IF(OR(COUNTA(B121:J121)=0,R121&lt;&gt;""),"",COUNTIFS(보유목록!$I$2:$I$3001,"*"&amp;P121&amp;"*",보유목록!$I$2:$I$3001,"*"&amp;Q121&amp;"*"))</f>
      </c>
      <c r="M121" t="str" s="23">
        <f aca="0">IF(OR(COUNTA(B121:J121)=0,R121&lt;&gt;""),"",IFERROR(LOOKUP(2,1/(ISNUMBER(SEARCH(P121,보유목록!$I$2:$I$3001))*ISNUMBER(SEARCH(Q121,보유목록!$I$2:$I$3001))*(보유목록!$H$2:$H$3001=O121)),보유목록!$B$2:$B$3001),IFERROR(LOOKUP(2,1/(ISNUMBER(SEARCH(P121,보유목록!$I$2:$I$3001))*ISNUMBER(SEARCH(Q121,보유목록!$I$2:$I$3001))),보유목록!$B$2:$B$3001),"")))</f>
      </c>
      <c r="N121" s="25"/>
      <c r="O121" t="str">
        <f>IFERROR(IF(AND(LEN(SUBSTITUTE(SUBSTITUTE(SUBSTITUTE(TRIM(C121&amp;""),CHAR(160),"")," ",""),"년",""))=4,VALUE(SUBSTITUTE(SUBSTITUTE(SUBSTITUTE(TRIM(C121&amp;""),CHAR(160),"")," ",""),"년",""))&gt;=1900,VALUE(SUBSTITUTE(SUBSTITUTE(SUBSTITUTE(TRIM(C121&amp;""),CHAR(160),"")," ",""),"년",""))&lt;=2099,TEXT(VALUE(SUBSTITUTE(SUBSTITUTE(SUBSTITUTE(TRIM(C121&amp;""),CHAR(160),"")," ",""),"년","")),"0000")=SUBSTITUTE(SUBSTITUTE(SUBSTITUTE(TRIM(C121&amp;""),CHAR(160),"")," ",""),"년","")),SUBSTITUTE(SUBSTITUTE(SUBSTITUTE(TRIM(C121&amp;""),CHAR(160),"")," ",""),"년",""),""),"")</f>
      </c>
      <c r="P121" t="str">
        <f>SUBSTITUTE(SUBSTITUTE(SUBSTITUTE(SUBSTITUTE(SUBSTITUTE(SUBSTITUTE(SUBSTITUTE(SUBSTITUTE(TRIM(D121&amp;""),CHAR(160),"")," ",""),"초등학교","초"),"중학교","중"),"고등학교","고"),"~","~~"),"*","~*"),"?","~?")</f>
      </c>
      <c r="Q121" t="str">
        <f>SUBSTITUTE(SUBSTITUTE(SUBSTITUTE(SUBSTITUTE(SUBSTITUTE(SUBSTITUTE(SUBSTITUTE(SUBSTITUTE(TRIM(E121&amp;""),CHAR(160),"")," ",""),"초등학교","초"),"중학교","중"),"고등학교","고"),"~","~~"),"*","~*"),"?","~?")</f>
      </c>
      <c r="R121" t="str">
        <f>IF(COUNTA(B121:J121)=0,"",IF(AND(O121&lt;&gt;"",P121&lt;&gt;"",Q121&lt;&gt;""),"","입력누락"))</f>
      </c>
    </row>
    <row r="122" customFormat="false" ht="15" hidden="false" customHeight="false" outlineLevel="0" collapsed="false">
      <c r="A122" t="n" s="19">
        <f aca="0">IF(COUNTA(B122:J122)=0,"",ROW()-1)</f>
      </c>
      <c r="B122" s="24"/>
      <c r="C122" s="25"/>
      <c r="D122" s="8"/>
      <c r="E122" s="8"/>
      <c r="F122" s="26"/>
      <c r="G122" s="24"/>
      <c r="H122" s="25"/>
      <c r="I122" s="25"/>
      <c r="J122" s="26"/>
      <c r="K122" t="str" s="15">
        <f aca="0">IF(COUNTA(B122:J122)=0,"",IF(R122&lt;&gt;"","확인필요(입력누락)",IF(COUNTIFS(보유목록!$I$2:$I$3001,"*"&amp;P122&amp;"*",보유목록!$I$2:$I$3001,"*"&amp;Q122&amp;"*",보유목록!$H$2:$H$3001,O122)&gt;0,"있음",IF(COUNTIFS(보유목록!$I$2:$I$3001,"*"&amp;P122&amp;"*",보유목록!$I$2:$I$3001,"*"&amp;Q122&amp;"*")&gt;0,"확인필요(연도다름)",IF(COUNTIFS(보유목록!$I$2:$I$3001,"*"&amp;P122&amp;"*",보유목록!$H$2:$H$3001,O122)&gt;0,"확인필요(같은학교·같은연도)","없음")))))</f>
      </c>
      <c r="L122" t="str" s="16">
        <f aca="0">IF(OR(COUNTA(B122:J122)=0,R122&lt;&gt;""),"",COUNTIFS(보유목록!$I$2:$I$3001,"*"&amp;P122&amp;"*",보유목록!$I$2:$I$3001,"*"&amp;Q122&amp;"*"))</f>
      </c>
      <c r="M122" t="str" s="23">
        <f aca="0">IF(OR(COUNTA(B122:J122)=0,R122&lt;&gt;""),"",IFERROR(LOOKUP(2,1/(ISNUMBER(SEARCH(P122,보유목록!$I$2:$I$3001))*ISNUMBER(SEARCH(Q122,보유목록!$I$2:$I$3001))*(보유목록!$H$2:$H$3001=O122)),보유목록!$B$2:$B$3001),IFERROR(LOOKUP(2,1/(ISNUMBER(SEARCH(P122,보유목록!$I$2:$I$3001))*ISNUMBER(SEARCH(Q122,보유목록!$I$2:$I$3001))),보유목록!$B$2:$B$3001),"")))</f>
      </c>
      <c r="N122" s="25"/>
      <c r="O122" t="str">
        <f>IFERROR(IF(AND(LEN(SUBSTITUTE(SUBSTITUTE(SUBSTITUTE(TRIM(C122&amp;""),CHAR(160),"")," ",""),"년",""))=4,VALUE(SUBSTITUTE(SUBSTITUTE(SUBSTITUTE(TRIM(C122&amp;""),CHAR(160),"")," ",""),"년",""))&gt;=1900,VALUE(SUBSTITUTE(SUBSTITUTE(SUBSTITUTE(TRIM(C122&amp;""),CHAR(160),"")," ",""),"년",""))&lt;=2099,TEXT(VALUE(SUBSTITUTE(SUBSTITUTE(SUBSTITUTE(TRIM(C122&amp;""),CHAR(160),"")," ",""),"년","")),"0000")=SUBSTITUTE(SUBSTITUTE(SUBSTITUTE(TRIM(C122&amp;""),CHAR(160),"")," ",""),"년","")),SUBSTITUTE(SUBSTITUTE(SUBSTITUTE(TRIM(C122&amp;""),CHAR(160),"")," ",""),"년",""),""),"")</f>
      </c>
      <c r="P122" t="str">
        <f>SUBSTITUTE(SUBSTITUTE(SUBSTITUTE(SUBSTITUTE(SUBSTITUTE(SUBSTITUTE(SUBSTITUTE(SUBSTITUTE(TRIM(D122&amp;""),CHAR(160),"")," ",""),"초등학교","초"),"중학교","중"),"고등학교","고"),"~","~~"),"*","~*"),"?","~?")</f>
      </c>
      <c r="Q122" t="str">
        <f>SUBSTITUTE(SUBSTITUTE(SUBSTITUTE(SUBSTITUTE(SUBSTITUTE(SUBSTITUTE(SUBSTITUTE(SUBSTITUTE(TRIM(E122&amp;""),CHAR(160),"")," ",""),"초등학교","초"),"중학교","중"),"고등학교","고"),"~","~~"),"*","~*"),"?","~?")</f>
      </c>
      <c r="R122" t="str">
        <f>IF(COUNTA(B122:J122)=0,"",IF(AND(O122&lt;&gt;"",P122&lt;&gt;"",Q122&lt;&gt;""),"","입력누락"))</f>
      </c>
    </row>
    <row r="123" customFormat="false" ht="15" hidden="false" customHeight="false" outlineLevel="0" collapsed="false">
      <c r="A123" t="n" s="19">
        <f aca="0">IF(COUNTA(B123:J123)=0,"",ROW()-1)</f>
      </c>
      <c r="B123" s="24"/>
      <c r="C123" s="25"/>
      <c r="D123" s="8"/>
      <c r="E123" s="8"/>
      <c r="F123" s="26"/>
      <c r="G123" s="24"/>
      <c r="H123" s="25"/>
      <c r="I123" s="25"/>
      <c r="J123" s="26"/>
      <c r="K123" t="str" s="15">
        <f aca="0">IF(COUNTA(B123:J123)=0,"",IF(R123&lt;&gt;"","확인필요(입력누락)",IF(COUNTIFS(보유목록!$I$2:$I$3001,"*"&amp;P123&amp;"*",보유목록!$I$2:$I$3001,"*"&amp;Q123&amp;"*",보유목록!$H$2:$H$3001,O123)&gt;0,"있음",IF(COUNTIFS(보유목록!$I$2:$I$3001,"*"&amp;P123&amp;"*",보유목록!$I$2:$I$3001,"*"&amp;Q123&amp;"*")&gt;0,"확인필요(연도다름)",IF(COUNTIFS(보유목록!$I$2:$I$3001,"*"&amp;P123&amp;"*",보유목록!$H$2:$H$3001,O123)&gt;0,"확인필요(같은학교·같은연도)","없음")))))</f>
      </c>
      <c r="L123" t="str" s="16">
        <f aca="0">IF(OR(COUNTA(B123:J123)=0,R123&lt;&gt;""),"",COUNTIFS(보유목록!$I$2:$I$3001,"*"&amp;P123&amp;"*",보유목록!$I$2:$I$3001,"*"&amp;Q123&amp;"*"))</f>
      </c>
      <c r="M123" t="str" s="23">
        <f aca="0">IF(OR(COUNTA(B123:J123)=0,R123&lt;&gt;""),"",IFERROR(LOOKUP(2,1/(ISNUMBER(SEARCH(P123,보유목록!$I$2:$I$3001))*ISNUMBER(SEARCH(Q123,보유목록!$I$2:$I$3001))*(보유목록!$H$2:$H$3001=O123)),보유목록!$B$2:$B$3001),IFERROR(LOOKUP(2,1/(ISNUMBER(SEARCH(P123,보유목록!$I$2:$I$3001))*ISNUMBER(SEARCH(Q123,보유목록!$I$2:$I$3001))),보유목록!$B$2:$B$3001),"")))</f>
      </c>
      <c r="N123" s="25"/>
      <c r="O123" t="str">
        <f>IFERROR(IF(AND(LEN(SUBSTITUTE(SUBSTITUTE(SUBSTITUTE(TRIM(C123&amp;""),CHAR(160),"")," ",""),"년",""))=4,VALUE(SUBSTITUTE(SUBSTITUTE(SUBSTITUTE(TRIM(C123&amp;""),CHAR(160),"")," ",""),"년",""))&gt;=1900,VALUE(SUBSTITUTE(SUBSTITUTE(SUBSTITUTE(TRIM(C123&amp;""),CHAR(160),"")," ",""),"년",""))&lt;=2099,TEXT(VALUE(SUBSTITUTE(SUBSTITUTE(SUBSTITUTE(TRIM(C123&amp;""),CHAR(160),"")," ",""),"년","")),"0000")=SUBSTITUTE(SUBSTITUTE(SUBSTITUTE(TRIM(C123&amp;""),CHAR(160),"")," ",""),"년","")),SUBSTITUTE(SUBSTITUTE(SUBSTITUTE(TRIM(C123&amp;""),CHAR(160),"")," ",""),"년",""),""),"")</f>
      </c>
      <c r="P123" t="str">
        <f>SUBSTITUTE(SUBSTITUTE(SUBSTITUTE(SUBSTITUTE(SUBSTITUTE(SUBSTITUTE(SUBSTITUTE(SUBSTITUTE(TRIM(D123&amp;""),CHAR(160),"")," ",""),"초등학교","초"),"중학교","중"),"고등학교","고"),"~","~~"),"*","~*"),"?","~?")</f>
      </c>
      <c r="Q123" t="str">
        <f>SUBSTITUTE(SUBSTITUTE(SUBSTITUTE(SUBSTITUTE(SUBSTITUTE(SUBSTITUTE(SUBSTITUTE(SUBSTITUTE(TRIM(E123&amp;""),CHAR(160),"")," ",""),"초등학교","초"),"중학교","중"),"고등학교","고"),"~","~~"),"*","~*"),"?","~?")</f>
      </c>
      <c r="R123" t="str">
        <f>IF(COUNTA(B123:J123)=0,"",IF(AND(O123&lt;&gt;"",P123&lt;&gt;"",Q123&lt;&gt;""),"","입력누락"))</f>
      </c>
    </row>
    <row r="124" customFormat="false" ht="15" hidden="false" customHeight="false" outlineLevel="0" collapsed="false">
      <c r="A124" t="n" s="19">
        <f aca="0">IF(COUNTA(B124:J124)=0,"",ROW()-1)</f>
      </c>
      <c r="B124" s="24"/>
      <c r="C124" s="25"/>
      <c r="D124" s="8"/>
      <c r="E124" s="8"/>
      <c r="F124" s="26"/>
      <c r="G124" s="24"/>
      <c r="H124" s="25"/>
      <c r="I124" s="25"/>
      <c r="J124" s="26"/>
      <c r="K124" t="str" s="15">
        <f aca="0">IF(COUNTA(B124:J124)=0,"",IF(R124&lt;&gt;"","확인필요(입력누락)",IF(COUNTIFS(보유목록!$I$2:$I$3001,"*"&amp;P124&amp;"*",보유목록!$I$2:$I$3001,"*"&amp;Q124&amp;"*",보유목록!$H$2:$H$3001,O124)&gt;0,"있음",IF(COUNTIFS(보유목록!$I$2:$I$3001,"*"&amp;P124&amp;"*",보유목록!$I$2:$I$3001,"*"&amp;Q124&amp;"*")&gt;0,"확인필요(연도다름)",IF(COUNTIFS(보유목록!$I$2:$I$3001,"*"&amp;P124&amp;"*",보유목록!$H$2:$H$3001,O124)&gt;0,"확인필요(같은학교·같은연도)","없음")))))</f>
      </c>
      <c r="L124" t="str" s="16">
        <f aca="0">IF(OR(COUNTA(B124:J124)=0,R124&lt;&gt;""),"",COUNTIFS(보유목록!$I$2:$I$3001,"*"&amp;P124&amp;"*",보유목록!$I$2:$I$3001,"*"&amp;Q124&amp;"*"))</f>
      </c>
      <c r="M124" t="str" s="23">
        <f aca="0">IF(OR(COUNTA(B124:J124)=0,R124&lt;&gt;""),"",IFERROR(LOOKUP(2,1/(ISNUMBER(SEARCH(P124,보유목록!$I$2:$I$3001))*ISNUMBER(SEARCH(Q124,보유목록!$I$2:$I$3001))*(보유목록!$H$2:$H$3001=O124)),보유목록!$B$2:$B$3001),IFERROR(LOOKUP(2,1/(ISNUMBER(SEARCH(P124,보유목록!$I$2:$I$3001))*ISNUMBER(SEARCH(Q124,보유목록!$I$2:$I$3001))),보유목록!$B$2:$B$3001),"")))</f>
      </c>
      <c r="N124" s="25"/>
      <c r="O124" t="str">
        <f>IFERROR(IF(AND(LEN(SUBSTITUTE(SUBSTITUTE(SUBSTITUTE(TRIM(C124&amp;""),CHAR(160),"")," ",""),"년",""))=4,VALUE(SUBSTITUTE(SUBSTITUTE(SUBSTITUTE(TRIM(C124&amp;""),CHAR(160),"")," ",""),"년",""))&gt;=1900,VALUE(SUBSTITUTE(SUBSTITUTE(SUBSTITUTE(TRIM(C124&amp;""),CHAR(160),"")," ",""),"년",""))&lt;=2099,TEXT(VALUE(SUBSTITUTE(SUBSTITUTE(SUBSTITUTE(TRIM(C124&amp;""),CHAR(160),"")," ",""),"년","")),"0000")=SUBSTITUTE(SUBSTITUTE(SUBSTITUTE(TRIM(C124&amp;""),CHAR(160),"")," ",""),"년","")),SUBSTITUTE(SUBSTITUTE(SUBSTITUTE(TRIM(C124&amp;""),CHAR(160),"")," ",""),"년",""),""),"")</f>
      </c>
      <c r="P124" t="str">
        <f>SUBSTITUTE(SUBSTITUTE(SUBSTITUTE(SUBSTITUTE(SUBSTITUTE(SUBSTITUTE(SUBSTITUTE(SUBSTITUTE(TRIM(D124&amp;""),CHAR(160),"")," ",""),"초등학교","초"),"중학교","중"),"고등학교","고"),"~","~~"),"*","~*"),"?","~?")</f>
      </c>
      <c r="Q124" t="str">
        <f>SUBSTITUTE(SUBSTITUTE(SUBSTITUTE(SUBSTITUTE(SUBSTITUTE(SUBSTITUTE(SUBSTITUTE(SUBSTITUTE(TRIM(E124&amp;""),CHAR(160),"")," ",""),"초등학교","초"),"중학교","중"),"고등학교","고"),"~","~~"),"*","~*"),"?","~?")</f>
      </c>
      <c r="R124" t="str">
        <f>IF(COUNTA(B124:J124)=0,"",IF(AND(O124&lt;&gt;"",P124&lt;&gt;"",Q124&lt;&gt;""),"","입력누락"))</f>
      </c>
    </row>
    <row r="125" customFormat="false" ht="15" hidden="false" customHeight="false" outlineLevel="0" collapsed="false">
      <c r="A125" t="n" s="19">
        <f aca="0">IF(COUNTA(B125:J125)=0,"",ROW()-1)</f>
      </c>
      <c r="B125" s="24"/>
      <c r="C125" s="25"/>
      <c r="D125" s="8"/>
      <c r="E125" s="8"/>
      <c r="F125" s="26"/>
      <c r="G125" s="24"/>
      <c r="H125" s="25"/>
      <c r="I125" s="25"/>
      <c r="J125" s="26"/>
      <c r="K125" t="str" s="15">
        <f aca="0">IF(COUNTA(B125:J125)=0,"",IF(R125&lt;&gt;"","확인필요(입력누락)",IF(COUNTIFS(보유목록!$I$2:$I$3001,"*"&amp;P125&amp;"*",보유목록!$I$2:$I$3001,"*"&amp;Q125&amp;"*",보유목록!$H$2:$H$3001,O125)&gt;0,"있음",IF(COUNTIFS(보유목록!$I$2:$I$3001,"*"&amp;P125&amp;"*",보유목록!$I$2:$I$3001,"*"&amp;Q125&amp;"*")&gt;0,"확인필요(연도다름)",IF(COUNTIFS(보유목록!$I$2:$I$3001,"*"&amp;P125&amp;"*",보유목록!$H$2:$H$3001,O125)&gt;0,"확인필요(같은학교·같은연도)","없음")))))</f>
      </c>
      <c r="L125" t="str" s="16">
        <f aca="0">IF(OR(COUNTA(B125:J125)=0,R125&lt;&gt;""),"",COUNTIFS(보유목록!$I$2:$I$3001,"*"&amp;P125&amp;"*",보유목록!$I$2:$I$3001,"*"&amp;Q125&amp;"*"))</f>
      </c>
      <c r="M125" t="str" s="23">
        <f aca="0">IF(OR(COUNTA(B125:J125)=0,R125&lt;&gt;""),"",IFERROR(LOOKUP(2,1/(ISNUMBER(SEARCH(P125,보유목록!$I$2:$I$3001))*ISNUMBER(SEARCH(Q125,보유목록!$I$2:$I$3001))*(보유목록!$H$2:$H$3001=O125)),보유목록!$B$2:$B$3001),IFERROR(LOOKUP(2,1/(ISNUMBER(SEARCH(P125,보유목록!$I$2:$I$3001))*ISNUMBER(SEARCH(Q125,보유목록!$I$2:$I$3001))),보유목록!$B$2:$B$3001),"")))</f>
      </c>
      <c r="N125" s="25"/>
      <c r="O125" t="str">
        <f>IFERROR(IF(AND(LEN(SUBSTITUTE(SUBSTITUTE(SUBSTITUTE(TRIM(C125&amp;""),CHAR(160),"")," ",""),"년",""))=4,VALUE(SUBSTITUTE(SUBSTITUTE(SUBSTITUTE(TRIM(C125&amp;""),CHAR(160),"")," ",""),"년",""))&gt;=1900,VALUE(SUBSTITUTE(SUBSTITUTE(SUBSTITUTE(TRIM(C125&amp;""),CHAR(160),"")," ",""),"년",""))&lt;=2099,TEXT(VALUE(SUBSTITUTE(SUBSTITUTE(SUBSTITUTE(TRIM(C125&amp;""),CHAR(160),"")," ",""),"년","")),"0000")=SUBSTITUTE(SUBSTITUTE(SUBSTITUTE(TRIM(C125&amp;""),CHAR(160),"")," ",""),"년","")),SUBSTITUTE(SUBSTITUTE(SUBSTITUTE(TRIM(C125&amp;""),CHAR(160),"")," ",""),"년",""),""),"")</f>
      </c>
      <c r="P125" t="str">
        <f>SUBSTITUTE(SUBSTITUTE(SUBSTITUTE(SUBSTITUTE(SUBSTITUTE(SUBSTITUTE(SUBSTITUTE(SUBSTITUTE(TRIM(D125&amp;""),CHAR(160),"")," ",""),"초등학교","초"),"중학교","중"),"고등학교","고"),"~","~~"),"*","~*"),"?","~?")</f>
      </c>
      <c r="Q125" t="str">
        <f>SUBSTITUTE(SUBSTITUTE(SUBSTITUTE(SUBSTITUTE(SUBSTITUTE(SUBSTITUTE(SUBSTITUTE(SUBSTITUTE(TRIM(E125&amp;""),CHAR(160),"")," ",""),"초등학교","초"),"중학교","중"),"고등학교","고"),"~","~~"),"*","~*"),"?","~?")</f>
      </c>
      <c r="R125" t="str">
        <f>IF(COUNTA(B125:J125)=0,"",IF(AND(O125&lt;&gt;"",P125&lt;&gt;"",Q125&lt;&gt;""),"","입력누락"))</f>
      </c>
    </row>
    <row r="126" customFormat="false" ht="15" hidden="false" customHeight="false" outlineLevel="0" collapsed="false">
      <c r="A126" t="n" s="19">
        <f aca="0">IF(COUNTA(B126:J126)=0,"",ROW()-1)</f>
      </c>
      <c r="B126" s="24"/>
      <c r="C126" s="25"/>
      <c r="D126" s="8"/>
      <c r="E126" s="8"/>
      <c r="F126" s="26"/>
      <c r="G126" s="24"/>
      <c r="H126" s="25"/>
      <c r="I126" s="25"/>
      <c r="J126" s="26"/>
      <c r="K126" t="str" s="15">
        <f aca="0">IF(COUNTA(B126:J126)=0,"",IF(R126&lt;&gt;"","확인필요(입력누락)",IF(COUNTIFS(보유목록!$I$2:$I$3001,"*"&amp;P126&amp;"*",보유목록!$I$2:$I$3001,"*"&amp;Q126&amp;"*",보유목록!$H$2:$H$3001,O126)&gt;0,"있음",IF(COUNTIFS(보유목록!$I$2:$I$3001,"*"&amp;P126&amp;"*",보유목록!$I$2:$I$3001,"*"&amp;Q126&amp;"*")&gt;0,"확인필요(연도다름)",IF(COUNTIFS(보유목록!$I$2:$I$3001,"*"&amp;P126&amp;"*",보유목록!$H$2:$H$3001,O126)&gt;0,"확인필요(같은학교·같은연도)","없음")))))</f>
      </c>
      <c r="L126" t="str" s="16">
        <f aca="0">IF(OR(COUNTA(B126:J126)=0,R126&lt;&gt;""),"",COUNTIFS(보유목록!$I$2:$I$3001,"*"&amp;P126&amp;"*",보유목록!$I$2:$I$3001,"*"&amp;Q126&amp;"*"))</f>
      </c>
      <c r="M126" t="str" s="23">
        <f aca="0">IF(OR(COUNTA(B126:J126)=0,R126&lt;&gt;""),"",IFERROR(LOOKUP(2,1/(ISNUMBER(SEARCH(P126,보유목록!$I$2:$I$3001))*ISNUMBER(SEARCH(Q126,보유목록!$I$2:$I$3001))*(보유목록!$H$2:$H$3001=O126)),보유목록!$B$2:$B$3001),IFERROR(LOOKUP(2,1/(ISNUMBER(SEARCH(P126,보유목록!$I$2:$I$3001))*ISNUMBER(SEARCH(Q126,보유목록!$I$2:$I$3001))),보유목록!$B$2:$B$3001),"")))</f>
      </c>
      <c r="N126" s="25"/>
      <c r="O126" t="str">
        <f>IFERROR(IF(AND(LEN(SUBSTITUTE(SUBSTITUTE(SUBSTITUTE(TRIM(C126&amp;""),CHAR(160),"")," ",""),"년",""))=4,VALUE(SUBSTITUTE(SUBSTITUTE(SUBSTITUTE(TRIM(C126&amp;""),CHAR(160),"")," ",""),"년",""))&gt;=1900,VALUE(SUBSTITUTE(SUBSTITUTE(SUBSTITUTE(TRIM(C126&amp;""),CHAR(160),"")," ",""),"년",""))&lt;=2099,TEXT(VALUE(SUBSTITUTE(SUBSTITUTE(SUBSTITUTE(TRIM(C126&amp;""),CHAR(160),"")," ",""),"년","")),"0000")=SUBSTITUTE(SUBSTITUTE(SUBSTITUTE(TRIM(C126&amp;""),CHAR(160),"")," ",""),"년","")),SUBSTITUTE(SUBSTITUTE(SUBSTITUTE(TRIM(C126&amp;""),CHAR(160),"")," ",""),"년",""),""),"")</f>
      </c>
      <c r="P126" t="str">
        <f>SUBSTITUTE(SUBSTITUTE(SUBSTITUTE(SUBSTITUTE(SUBSTITUTE(SUBSTITUTE(SUBSTITUTE(SUBSTITUTE(TRIM(D126&amp;""),CHAR(160),"")," ",""),"초등학교","초"),"중학교","중"),"고등학교","고"),"~","~~"),"*","~*"),"?","~?")</f>
      </c>
      <c r="Q126" t="str">
        <f>SUBSTITUTE(SUBSTITUTE(SUBSTITUTE(SUBSTITUTE(SUBSTITUTE(SUBSTITUTE(SUBSTITUTE(SUBSTITUTE(TRIM(E126&amp;""),CHAR(160),"")," ",""),"초등학교","초"),"중학교","중"),"고등학교","고"),"~","~~"),"*","~*"),"?","~?")</f>
      </c>
      <c r="R126" t="str">
        <f>IF(COUNTA(B126:J126)=0,"",IF(AND(O126&lt;&gt;"",P126&lt;&gt;"",Q126&lt;&gt;""),"","입력누락"))</f>
      </c>
    </row>
    <row r="127" customFormat="false" ht="15" hidden="false" customHeight="false" outlineLevel="0" collapsed="false">
      <c r="A127" t="n" s="19">
        <f aca="0">IF(COUNTA(B127:J127)=0,"",ROW()-1)</f>
      </c>
      <c r="B127" s="24"/>
      <c r="C127" s="25"/>
      <c r="D127" s="8"/>
      <c r="E127" s="8"/>
      <c r="F127" s="26"/>
      <c r="G127" s="24"/>
      <c r="H127" s="25"/>
      <c r="I127" s="25"/>
      <c r="J127" s="26"/>
      <c r="K127" t="str" s="15">
        <f aca="0">IF(COUNTA(B127:J127)=0,"",IF(R127&lt;&gt;"","확인필요(입력누락)",IF(COUNTIFS(보유목록!$I$2:$I$3001,"*"&amp;P127&amp;"*",보유목록!$I$2:$I$3001,"*"&amp;Q127&amp;"*",보유목록!$H$2:$H$3001,O127)&gt;0,"있음",IF(COUNTIFS(보유목록!$I$2:$I$3001,"*"&amp;P127&amp;"*",보유목록!$I$2:$I$3001,"*"&amp;Q127&amp;"*")&gt;0,"확인필요(연도다름)",IF(COUNTIFS(보유목록!$I$2:$I$3001,"*"&amp;P127&amp;"*",보유목록!$H$2:$H$3001,O127)&gt;0,"확인필요(같은학교·같은연도)","없음")))))</f>
      </c>
      <c r="L127" t="str" s="16">
        <f aca="0">IF(OR(COUNTA(B127:J127)=0,R127&lt;&gt;""),"",COUNTIFS(보유목록!$I$2:$I$3001,"*"&amp;P127&amp;"*",보유목록!$I$2:$I$3001,"*"&amp;Q127&amp;"*"))</f>
      </c>
      <c r="M127" t="str" s="23">
        <f aca="0">IF(OR(COUNTA(B127:J127)=0,R127&lt;&gt;""),"",IFERROR(LOOKUP(2,1/(ISNUMBER(SEARCH(P127,보유목록!$I$2:$I$3001))*ISNUMBER(SEARCH(Q127,보유목록!$I$2:$I$3001))*(보유목록!$H$2:$H$3001=O127)),보유목록!$B$2:$B$3001),IFERROR(LOOKUP(2,1/(ISNUMBER(SEARCH(P127,보유목록!$I$2:$I$3001))*ISNUMBER(SEARCH(Q127,보유목록!$I$2:$I$3001))),보유목록!$B$2:$B$3001),"")))</f>
      </c>
      <c r="N127" s="25"/>
      <c r="O127" t="str">
        <f>IFERROR(IF(AND(LEN(SUBSTITUTE(SUBSTITUTE(SUBSTITUTE(TRIM(C127&amp;""),CHAR(160),"")," ",""),"년",""))=4,VALUE(SUBSTITUTE(SUBSTITUTE(SUBSTITUTE(TRIM(C127&amp;""),CHAR(160),"")," ",""),"년",""))&gt;=1900,VALUE(SUBSTITUTE(SUBSTITUTE(SUBSTITUTE(TRIM(C127&amp;""),CHAR(160),"")," ",""),"년",""))&lt;=2099,TEXT(VALUE(SUBSTITUTE(SUBSTITUTE(SUBSTITUTE(TRIM(C127&amp;""),CHAR(160),"")," ",""),"년","")),"0000")=SUBSTITUTE(SUBSTITUTE(SUBSTITUTE(TRIM(C127&amp;""),CHAR(160),"")," ",""),"년","")),SUBSTITUTE(SUBSTITUTE(SUBSTITUTE(TRIM(C127&amp;""),CHAR(160),"")," ",""),"년",""),""),"")</f>
      </c>
      <c r="P127" t="str">
        <f>SUBSTITUTE(SUBSTITUTE(SUBSTITUTE(SUBSTITUTE(SUBSTITUTE(SUBSTITUTE(SUBSTITUTE(SUBSTITUTE(TRIM(D127&amp;""),CHAR(160),"")," ",""),"초등학교","초"),"중학교","중"),"고등학교","고"),"~","~~"),"*","~*"),"?","~?")</f>
      </c>
      <c r="Q127" t="str">
        <f>SUBSTITUTE(SUBSTITUTE(SUBSTITUTE(SUBSTITUTE(SUBSTITUTE(SUBSTITUTE(SUBSTITUTE(SUBSTITUTE(TRIM(E127&amp;""),CHAR(160),"")," ",""),"초등학교","초"),"중학교","중"),"고등학교","고"),"~","~~"),"*","~*"),"?","~?")</f>
      </c>
      <c r="R127" t="str">
        <f>IF(COUNTA(B127:J127)=0,"",IF(AND(O127&lt;&gt;"",P127&lt;&gt;"",Q127&lt;&gt;""),"","입력누락"))</f>
      </c>
    </row>
    <row r="128" customFormat="false" ht="15" hidden="false" customHeight="false" outlineLevel="0" collapsed="false">
      <c r="A128" t="n" s="19">
        <f aca="0">IF(COUNTA(B128:J128)=0,"",ROW()-1)</f>
      </c>
      <c r="B128" s="24"/>
      <c r="C128" s="25"/>
      <c r="D128" s="8"/>
      <c r="E128" s="8"/>
      <c r="F128" s="26"/>
      <c r="G128" s="24"/>
      <c r="H128" s="25"/>
      <c r="I128" s="25"/>
      <c r="J128" s="26"/>
      <c r="K128" t="str" s="15">
        <f aca="0">IF(COUNTA(B128:J128)=0,"",IF(R128&lt;&gt;"","확인필요(입력누락)",IF(COUNTIFS(보유목록!$I$2:$I$3001,"*"&amp;P128&amp;"*",보유목록!$I$2:$I$3001,"*"&amp;Q128&amp;"*",보유목록!$H$2:$H$3001,O128)&gt;0,"있음",IF(COUNTIFS(보유목록!$I$2:$I$3001,"*"&amp;P128&amp;"*",보유목록!$I$2:$I$3001,"*"&amp;Q128&amp;"*")&gt;0,"확인필요(연도다름)",IF(COUNTIFS(보유목록!$I$2:$I$3001,"*"&amp;P128&amp;"*",보유목록!$H$2:$H$3001,O128)&gt;0,"확인필요(같은학교·같은연도)","없음")))))</f>
      </c>
      <c r="L128" t="str" s="16">
        <f aca="0">IF(OR(COUNTA(B128:J128)=0,R128&lt;&gt;""),"",COUNTIFS(보유목록!$I$2:$I$3001,"*"&amp;P128&amp;"*",보유목록!$I$2:$I$3001,"*"&amp;Q128&amp;"*"))</f>
      </c>
      <c r="M128" t="str" s="23">
        <f aca="0">IF(OR(COUNTA(B128:J128)=0,R128&lt;&gt;""),"",IFERROR(LOOKUP(2,1/(ISNUMBER(SEARCH(P128,보유목록!$I$2:$I$3001))*ISNUMBER(SEARCH(Q128,보유목록!$I$2:$I$3001))*(보유목록!$H$2:$H$3001=O128)),보유목록!$B$2:$B$3001),IFERROR(LOOKUP(2,1/(ISNUMBER(SEARCH(P128,보유목록!$I$2:$I$3001))*ISNUMBER(SEARCH(Q128,보유목록!$I$2:$I$3001))),보유목록!$B$2:$B$3001),"")))</f>
      </c>
      <c r="N128" s="25"/>
      <c r="O128" t="str">
        <f>IFERROR(IF(AND(LEN(SUBSTITUTE(SUBSTITUTE(SUBSTITUTE(TRIM(C128&amp;""),CHAR(160),"")," ",""),"년",""))=4,VALUE(SUBSTITUTE(SUBSTITUTE(SUBSTITUTE(TRIM(C128&amp;""),CHAR(160),"")," ",""),"년",""))&gt;=1900,VALUE(SUBSTITUTE(SUBSTITUTE(SUBSTITUTE(TRIM(C128&amp;""),CHAR(160),"")," ",""),"년",""))&lt;=2099,TEXT(VALUE(SUBSTITUTE(SUBSTITUTE(SUBSTITUTE(TRIM(C128&amp;""),CHAR(160),"")," ",""),"년","")),"0000")=SUBSTITUTE(SUBSTITUTE(SUBSTITUTE(TRIM(C128&amp;""),CHAR(160),"")," ",""),"년","")),SUBSTITUTE(SUBSTITUTE(SUBSTITUTE(TRIM(C128&amp;""),CHAR(160),"")," ",""),"년",""),""),"")</f>
      </c>
      <c r="P128" t="str">
        <f>SUBSTITUTE(SUBSTITUTE(SUBSTITUTE(SUBSTITUTE(SUBSTITUTE(SUBSTITUTE(SUBSTITUTE(SUBSTITUTE(TRIM(D128&amp;""),CHAR(160),"")," ",""),"초등학교","초"),"중학교","중"),"고등학교","고"),"~","~~"),"*","~*"),"?","~?")</f>
      </c>
      <c r="Q128" t="str">
        <f>SUBSTITUTE(SUBSTITUTE(SUBSTITUTE(SUBSTITUTE(SUBSTITUTE(SUBSTITUTE(SUBSTITUTE(SUBSTITUTE(TRIM(E128&amp;""),CHAR(160),"")," ",""),"초등학교","초"),"중학교","중"),"고등학교","고"),"~","~~"),"*","~*"),"?","~?")</f>
      </c>
      <c r="R128" t="str">
        <f>IF(COUNTA(B128:J128)=0,"",IF(AND(O128&lt;&gt;"",P128&lt;&gt;"",Q128&lt;&gt;""),"","입력누락"))</f>
      </c>
    </row>
    <row r="129" customFormat="false" ht="15" hidden="false" customHeight="false" outlineLevel="0" collapsed="false">
      <c r="A129" t="n" s="19">
        <f aca="0">IF(COUNTA(B129:J129)=0,"",ROW()-1)</f>
      </c>
      <c r="B129" s="24"/>
      <c r="C129" s="25"/>
      <c r="D129" s="8"/>
      <c r="E129" s="8"/>
      <c r="F129" s="26"/>
      <c r="G129" s="24"/>
      <c r="H129" s="25"/>
      <c r="I129" s="25"/>
      <c r="J129" s="26"/>
      <c r="K129" t="str" s="15">
        <f aca="0">IF(COUNTA(B129:J129)=0,"",IF(R129&lt;&gt;"","확인필요(입력누락)",IF(COUNTIFS(보유목록!$I$2:$I$3001,"*"&amp;P129&amp;"*",보유목록!$I$2:$I$3001,"*"&amp;Q129&amp;"*",보유목록!$H$2:$H$3001,O129)&gt;0,"있음",IF(COUNTIFS(보유목록!$I$2:$I$3001,"*"&amp;P129&amp;"*",보유목록!$I$2:$I$3001,"*"&amp;Q129&amp;"*")&gt;0,"확인필요(연도다름)",IF(COUNTIFS(보유목록!$I$2:$I$3001,"*"&amp;P129&amp;"*",보유목록!$H$2:$H$3001,O129)&gt;0,"확인필요(같은학교·같은연도)","없음")))))</f>
      </c>
      <c r="L129" t="str" s="16">
        <f aca="0">IF(OR(COUNTA(B129:J129)=0,R129&lt;&gt;""),"",COUNTIFS(보유목록!$I$2:$I$3001,"*"&amp;P129&amp;"*",보유목록!$I$2:$I$3001,"*"&amp;Q129&amp;"*"))</f>
      </c>
      <c r="M129" t="str" s="23">
        <f aca="0">IF(OR(COUNTA(B129:J129)=0,R129&lt;&gt;""),"",IFERROR(LOOKUP(2,1/(ISNUMBER(SEARCH(P129,보유목록!$I$2:$I$3001))*ISNUMBER(SEARCH(Q129,보유목록!$I$2:$I$3001))*(보유목록!$H$2:$H$3001=O129)),보유목록!$B$2:$B$3001),IFERROR(LOOKUP(2,1/(ISNUMBER(SEARCH(P129,보유목록!$I$2:$I$3001))*ISNUMBER(SEARCH(Q129,보유목록!$I$2:$I$3001))),보유목록!$B$2:$B$3001),"")))</f>
      </c>
      <c r="N129" s="25"/>
      <c r="O129" t="str">
        <f>IFERROR(IF(AND(LEN(SUBSTITUTE(SUBSTITUTE(SUBSTITUTE(TRIM(C129&amp;""),CHAR(160),"")," ",""),"년",""))=4,VALUE(SUBSTITUTE(SUBSTITUTE(SUBSTITUTE(TRIM(C129&amp;""),CHAR(160),"")," ",""),"년",""))&gt;=1900,VALUE(SUBSTITUTE(SUBSTITUTE(SUBSTITUTE(TRIM(C129&amp;""),CHAR(160),"")," ",""),"년",""))&lt;=2099,TEXT(VALUE(SUBSTITUTE(SUBSTITUTE(SUBSTITUTE(TRIM(C129&amp;""),CHAR(160),"")," ",""),"년","")),"0000")=SUBSTITUTE(SUBSTITUTE(SUBSTITUTE(TRIM(C129&amp;""),CHAR(160),"")," ",""),"년","")),SUBSTITUTE(SUBSTITUTE(SUBSTITUTE(TRIM(C129&amp;""),CHAR(160),"")," ",""),"년",""),""),"")</f>
      </c>
      <c r="P129" t="str">
        <f>SUBSTITUTE(SUBSTITUTE(SUBSTITUTE(SUBSTITUTE(SUBSTITUTE(SUBSTITUTE(SUBSTITUTE(SUBSTITUTE(TRIM(D129&amp;""),CHAR(160),"")," ",""),"초등학교","초"),"중학교","중"),"고등학교","고"),"~","~~"),"*","~*"),"?","~?")</f>
      </c>
      <c r="Q129" t="str">
        <f>SUBSTITUTE(SUBSTITUTE(SUBSTITUTE(SUBSTITUTE(SUBSTITUTE(SUBSTITUTE(SUBSTITUTE(SUBSTITUTE(TRIM(E129&amp;""),CHAR(160),"")," ",""),"초등학교","초"),"중학교","중"),"고등학교","고"),"~","~~"),"*","~*"),"?","~?")</f>
      </c>
      <c r="R129" t="str">
        <f>IF(COUNTA(B129:J129)=0,"",IF(AND(O129&lt;&gt;"",P129&lt;&gt;"",Q129&lt;&gt;""),"","입력누락"))</f>
      </c>
    </row>
    <row r="130" customFormat="false" ht="15" hidden="false" customHeight="false" outlineLevel="0" collapsed="false">
      <c r="A130" t="n" s="19">
        <f aca="0">IF(COUNTA(B130:J130)=0,"",ROW()-1)</f>
      </c>
      <c r="B130" s="24"/>
      <c r="C130" s="25"/>
      <c r="D130" s="8"/>
      <c r="E130" s="8"/>
      <c r="F130" s="26"/>
      <c r="G130" s="24"/>
      <c r="H130" s="25"/>
      <c r="I130" s="25"/>
      <c r="J130" s="26"/>
      <c r="K130" t="str" s="15">
        <f aca="0">IF(COUNTA(B130:J130)=0,"",IF(R130&lt;&gt;"","확인필요(입력누락)",IF(COUNTIFS(보유목록!$I$2:$I$3001,"*"&amp;P130&amp;"*",보유목록!$I$2:$I$3001,"*"&amp;Q130&amp;"*",보유목록!$H$2:$H$3001,O130)&gt;0,"있음",IF(COUNTIFS(보유목록!$I$2:$I$3001,"*"&amp;P130&amp;"*",보유목록!$I$2:$I$3001,"*"&amp;Q130&amp;"*")&gt;0,"확인필요(연도다름)",IF(COUNTIFS(보유목록!$I$2:$I$3001,"*"&amp;P130&amp;"*",보유목록!$H$2:$H$3001,O130)&gt;0,"확인필요(같은학교·같은연도)","없음")))))</f>
      </c>
      <c r="L130" t="str" s="16">
        <f aca="0">IF(OR(COUNTA(B130:J130)=0,R130&lt;&gt;""),"",COUNTIFS(보유목록!$I$2:$I$3001,"*"&amp;P130&amp;"*",보유목록!$I$2:$I$3001,"*"&amp;Q130&amp;"*"))</f>
      </c>
      <c r="M130" t="str" s="23">
        <f aca="0">IF(OR(COUNTA(B130:J130)=0,R130&lt;&gt;""),"",IFERROR(LOOKUP(2,1/(ISNUMBER(SEARCH(P130,보유목록!$I$2:$I$3001))*ISNUMBER(SEARCH(Q130,보유목록!$I$2:$I$3001))*(보유목록!$H$2:$H$3001=O130)),보유목록!$B$2:$B$3001),IFERROR(LOOKUP(2,1/(ISNUMBER(SEARCH(P130,보유목록!$I$2:$I$3001))*ISNUMBER(SEARCH(Q130,보유목록!$I$2:$I$3001))),보유목록!$B$2:$B$3001),"")))</f>
      </c>
      <c r="N130" s="25"/>
      <c r="O130" t="str">
        <f>IFERROR(IF(AND(LEN(SUBSTITUTE(SUBSTITUTE(SUBSTITUTE(TRIM(C130&amp;""),CHAR(160),"")," ",""),"년",""))=4,VALUE(SUBSTITUTE(SUBSTITUTE(SUBSTITUTE(TRIM(C130&amp;""),CHAR(160),"")," ",""),"년",""))&gt;=1900,VALUE(SUBSTITUTE(SUBSTITUTE(SUBSTITUTE(TRIM(C130&amp;""),CHAR(160),"")," ",""),"년",""))&lt;=2099,TEXT(VALUE(SUBSTITUTE(SUBSTITUTE(SUBSTITUTE(TRIM(C130&amp;""),CHAR(160),"")," ",""),"년","")),"0000")=SUBSTITUTE(SUBSTITUTE(SUBSTITUTE(TRIM(C130&amp;""),CHAR(160),"")," ",""),"년","")),SUBSTITUTE(SUBSTITUTE(SUBSTITUTE(TRIM(C130&amp;""),CHAR(160),"")," ",""),"년",""),""),"")</f>
      </c>
      <c r="P130" t="str">
        <f>SUBSTITUTE(SUBSTITUTE(SUBSTITUTE(SUBSTITUTE(SUBSTITUTE(SUBSTITUTE(SUBSTITUTE(SUBSTITUTE(TRIM(D130&amp;""),CHAR(160),"")," ",""),"초등학교","초"),"중학교","중"),"고등학교","고"),"~","~~"),"*","~*"),"?","~?")</f>
      </c>
      <c r="Q130" t="str">
        <f>SUBSTITUTE(SUBSTITUTE(SUBSTITUTE(SUBSTITUTE(SUBSTITUTE(SUBSTITUTE(SUBSTITUTE(SUBSTITUTE(TRIM(E130&amp;""),CHAR(160),"")," ",""),"초등학교","초"),"중학교","중"),"고등학교","고"),"~","~~"),"*","~*"),"?","~?")</f>
      </c>
      <c r="R130" t="str">
        <f>IF(COUNTA(B130:J130)=0,"",IF(AND(O130&lt;&gt;"",P130&lt;&gt;"",Q130&lt;&gt;""),"","입력누락"))</f>
      </c>
    </row>
    <row r="131" customFormat="false" ht="15" hidden="false" customHeight="false" outlineLevel="0" collapsed="false">
      <c r="A131" t="n" s="19">
        <f aca="0">IF(COUNTA(B131:J131)=0,"",ROW()-1)</f>
      </c>
      <c r="B131" s="24"/>
      <c r="C131" s="25"/>
      <c r="D131" s="8"/>
      <c r="E131" s="8"/>
      <c r="F131" s="26"/>
      <c r="G131" s="24"/>
      <c r="H131" s="25"/>
      <c r="I131" s="25"/>
      <c r="J131" s="26"/>
      <c r="K131" t="str" s="15">
        <f aca="0">IF(COUNTA(B131:J131)=0,"",IF(R131&lt;&gt;"","확인필요(입력누락)",IF(COUNTIFS(보유목록!$I$2:$I$3001,"*"&amp;P131&amp;"*",보유목록!$I$2:$I$3001,"*"&amp;Q131&amp;"*",보유목록!$H$2:$H$3001,O131)&gt;0,"있음",IF(COUNTIFS(보유목록!$I$2:$I$3001,"*"&amp;P131&amp;"*",보유목록!$I$2:$I$3001,"*"&amp;Q131&amp;"*")&gt;0,"확인필요(연도다름)",IF(COUNTIFS(보유목록!$I$2:$I$3001,"*"&amp;P131&amp;"*",보유목록!$H$2:$H$3001,O131)&gt;0,"확인필요(같은학교·같은연도)","없음")))))</f>
      </c>
      <c r="L131" t="str" s="16">
        <f aca="0">IF(OR(COUNTA(B131:J131)=0,R131&lt;&gt;""),"",COUNTIFS(보유목록!$I$2:$I$3001,"*"&amp;P131&amp;"*",보유목록!$I$2:$I$3001,"*"&amp;Q131&amp;"*"))</f>
      </c>
      <c r="M131" t="str" s="23">
        <f aca="0">IF(OR(COUNTA(B131:J131)=0,R131&lt;&gt;""),"",IFERROR(LOOKUP(2,1/(ISNUMBER(SEARCH(P131,보유목록!$I$2:$I$3001))*ISNUMBER(SEARCH(Q131,보유목록!$I$2:$I$3001))*(보유목록!$H$2:$H$3001=O131)),보유목록!$B$2:$B$3001),IFERROR(LOOKUP(2,1/(ISNUMBER(SEARCH(P131,보유목록!$I$2:$I$3001))*ISNUMBER(SEARCH(Q131,보유목록!$I$2:$I$3001))),보유목록!$B$2:$B$3001),"")))</f>
      </c>
      <c r="N131" s="25"/>
      <c r="O131" t="str">
        <f>IFERROR(IF(AND(LEN(SUBSTITUTE(SUBSTITUTE(SUBSTITUTE(TRIM(C131&amp;""),CHAR(160),"")," ",""),"년",""))=4,VALUE(SUBSTITUTE(SUBSTITUTE(SUBSTITUTE(TRIM(C131&amp;""),CHAR(160),"")," ",""),"년",""))&gt;=1900,VALUE(SUBSTITUTE(SUBSTITUTE(SUBSTITUTE(TRIM(C131&amp;""),CHAR(160),"")," ",""),"년",""))&lt;=2099,TEXT(VALUE(SUBSTITUTE(SUBSTITUTE(SUBSTITUTE(TRIM(C131&amp;""),CHAR(160),"")," ",""),"년","")),"0000")=SUBSTITUTE(SUBSTITUTE(SUBSTITUTE(TRIM(C131&amp;""),CHAR(160),"")," ",""),"년","")),SUBSTITUTE(SUBSTITUTE(SUBSTITUTE(TRIM(C131&amp;""),CHAR(160),"")," ",""),"년",""),""),"")</f>
      </c>
      <c r="P131" t="str">
        <f>SUBSTITUTE(SUBSTITUTE(SUBSTITUTE(SUBSTITUTE(SUBSTITUTE(SUBSTITUTE(SUBSTITUTE(SUBSTITUTE(TRIM(D131&amp;""),CHAR(160),"")," ",""),"초등학교","초"),"중학교","중"),"고등학교","고"),"~","~~"),"*","~*"),"?","~?")</f>
      </c>
      <c r="Q131" t="str">
        <f>SUBSTITUTE(SUBSTITUTE(SUBSTITUTE(SUBSTITUTE(SUBSTITUTE(SUBSTITUTE(SUBSTITUTE(SUBSTITUTE(TRIM(E131&amp;""),CHAR(160),"")," ",""),"초등학교","초"),"중학교","중"),"고등학교","고"),"~","~~"),"*","~*"),"?","~?")</f>
      </c>
      <c r="R131" t="str">
        <f>IF(COUNTA(B131:J131)=0,"",IF(AND(O131&lt;&gt;"",P131&lt;&gt;"",Q131&lt;&gt;""),"","입력누락"))</f>
      </c>
    </row>
    <row r="132" customFormat="false" ht="15" hidden="false" customHeight="false" outlineLevel="0" collapsed="false">
      <c r="A132" t="n" s="19">
        <f aca="0">IF(COUNTA(B132:J132)=0,"",ROW()-1)</f>
      </c>
      <c r="B132" s="24"/>
      <c r="C132" s="25"/>
      <c r="D132" s="8"/>
      <c r="E132" s="8"/>
      <c r="F132" s="26"/>
      <c r="G132" s="24"/>
      <c r="H132" s="25"/>
      <c r="I132" s="25"/>
      <c r="J132" s="26"/>
      <c r="K132" t="str" s="15">
        <f aca="0">IF(COUNTA(B132:J132)=0,"",IF(R132&lt;&gt;"","확인필요(입력누락)",IF(COUNTIFS(보유목록!$I$2:$I$3001,"*"&amp;P132&amp;"*",보유목록!$I$2:$I$3001,"*"&amp;Q132&amp;"*",보유목록!$H$2:$H$3001,O132)&gt;0,"있음",IF(COUNTIFS(보유목록!$I$2:$I$3001,"*"&amp;P132&amp;"*",보유목록!$I$2:$I$3001,"*"&amp;Q132&amp;"*")&gt;0,"확인필요(연도다름)",IF(COUNTIFS(보유목록!$I$2:$I$3001,"*"&amp;P132&amp;"*",보유목록!$H$2:$H$3001,O132)&gt;0,"확인필요(같은학교·같은연도)","없음")))))</f>
      </c>
      <c r="L132" t="str" s="16">
        <f aca="0">IF(OR(COUNTA(B132:J132)=0,R132&lt;&gt;""),"",COUNTIFS(보유목록!$I$2:$I$3001,"*"&amp;P132&amp;"*",보유목록!$I$2:$I$3001,"*"&amp;Q132&amp;"*"))</f>
      </c>
      <c r="M132" t="str" s="23">
        <f aca="0">IF(OR(COUNTA(B132:J132)=0,R132&lt;&gt;""),"",IFERROR(LOOKUP(2,1/(ISNUMBER(SEARCH(P132,보유목록!$I$2:$I$3001))*ISNUMBER(SEARCH(Q132,보유목록!$I$2:$I$3001))*(보유목록!$H$2:$H$3001=O132)),보유목록!$B$2:$B$3001),IFERROR(LOOKUP(2,1/(ISNUMBER(SEARCH(P132,보유목록!$I$2:$I$3001))*ISNUMBER(SEARCH(Q132,보유목록!$I$2:$I$3001))),보유목록!$B$2:$B$3001),"")))</f>
      </c>
      <c r="N132" s="25"/>
      <c r="O132" t="str">
        <f>IFERROR(IF(AND(LEN(SUBSTITUTE(SUBSTITUTE(SUBSTITUTE(TRIM(C132&amp;""),CHAR(160),"")," ",""),"년",""))=4,VALUE(SUBSTITUTE(SUBSTITUTE(SUBSTITUTE(TRIM(C132&amp;""),CHAR(160),"")," ",""),"년",""))&gt;=1900,VALUE(SUBSTITUTE(SUBSTITUTE(SUBSTITUTE(TRIM(C132&amp;""),CHAR(160),"")," ",""),"년",""))&lt;=2099,TEXT(VALUE(SUBSTITUTE(SUBSTITUTE(SUBSTITUTE(TRIM(C132&amp;""),CHAR(160),"")," ",""),"년","")),"0000")=SUBSTITUTE(SUBSTITUTE(SUBSTITUTE(TRIM(C132&amp;""),CHAR(160),"")," ",""),"년","")),SUBSTITUTE(SUBSTITUTE(SUBSTITUTE(TRIM(C132&amp;""),CHAR(160),"")," ",""),"년",""),""),"")</f>
      </c>
      <c r="P132" t="str">
        <f>SUBSTITUTE(SUBSTITUTE(SUBSTITUTE(SUBSTITUTE(SUBSTITUTE(SUBSTITUTE(SUBSTITUTE(SUBSTITUTE(TRIM(D132&amp;""),CHAR(160),"")," ",""),"초등학교","초"),"중학교","중"),"고등학교","고"),"~","~~"),"*","~*"),"?","~?")</f>
      </c>
      <c r="Q132" t="str">
        <f>SUBSTITUTE(SUBSTITUTE(SUBSTITUTE(SUBSTITUTE(SUBSTITUTE(SUBSTITUTE(SUBSTITUTE(SUBSTITUTE(TRIM(E132&amp;""),CHAR(160),"")," ",""),"초등학교","초"),"중학교","중"),"고등학교","고"),"~","~~"),"*","~*"),"?","~?")</f>
      </c>
      <c r="R132" t="str">
        <f>IF(COUNTA(B132:J132)=0,"",IF(AND(O132&lt;&gt;"",P132&lt;&gt;"",Q132&lt;&gt;""),"","입력누락"))</f>
      </c>
    </row>
    <row r="133" customFormat="false" ht="15" hidden="false" customHeight="false" outlineLevel="0" collapsed="false">
      <c r="A133" t="n" s="19">
        <f aca="0">IF(COUNTA(B133:J133)=0,"",ROW()-1)</f>
      </c>
      <c r="B133" s="24"/>
      <c r="C133" s="25"/>
      <c r="D133" s="8"/>
      <c r="E133" s="8"/>
      <c r="F133" s="26"/>
      <c r="G133" s="24"/>
      <c r="H133" s="25"/>
      <c r="I133" s="25"/>
      <c r="J133" s="26"/>
      <c r="K133" t="str" s="15">
        <f aca="0">IF(COUNTA(B133:J133)=0,"",IF(R133&lt;&gt;"","확인필요(입력누락)",IF(COUNTIFS(보유목록!$I$2:$I$3001,"*"&amp;P133&amp;"*",보유목록!$I$2:$I$3001,"*"&amp;Q133&amp;"*",보유목록!$H$2:$H$3001,O133)&gt;0,"있음",IF(COUNTIFS(보유목록!$I$2:$I$3001,"*"&amp;P133&amp;"*",보유목록!$I$2:$I$3001,"*"&amp;Q133&amp;"*")&gt;0,"확인필요(연도다름)",IF(COUNTIFS(보유목록!$I$2:$I$3001,"*"&amp;P133&amp;"*",보유목록!$H$2:$H$3001,O133)&gt;0,"확인필요(같은학교·같은연도)","없음")))))</f>
      </c>
      <c r="L133" t="str" s="16">
        <f aca="0">IF(OR(COUNTA(B133:J133)=0,R133&lt;&gt;""),"",COUNTIFS(보유목록!$I$2:$I$3001,"*"&amp;P133&amp;"*",보유목록!$I$2:$I$3001,"*"&amp;Q133&amp;"*"))</f>
      </c>
      <c r="M133" t="str" s="23">
        <f aca="0">IF(OR(COUNTA(B133:J133)=0,R133&lt;&gt;""),"",IFERROR(LOOKUP(2,1/(ISNUMBER(SEARCH(P133,보유목록!$I$2:$I$3001))*ISNUMBER(SEARCH(Q133,보유목록!$I$2:$I$3001))*(보유목록!$H$2:$H$3001=O133)),보유목록!$B$2:$B$3001),IFERROR(LOOKUP(2,1/(ISNUMBER(SEARCH(P133,보유목록!$I$2:$I$3001))*ISNUMBER(SEARCH(Q133,보유목록!$I$2:$I$3001))),보유목록!$B$2:$B$3001),"")))</f>
      </c>
      <c r="N133" s="25"/>
      <c r="O133" t="str">
        <f>IFERROR(IF(AND(LEN(SUBSTITUTE(SUBSTITUTE(SUBSTITUTE(TRIM(C133&amp;""),CHAR(160),"")," ",""),"년",""))=4,VALUE(SUBSTITUTE(SUBSTITUTE(SUBSTITUTE(TRIM(C133&amp;""),CHAR(160),"")," ",""),"년",""))&gt;=1900,VALUE(SUBSTITUTE(SUBSTITUTE(SUBSTITUTE(TRIM(C133&amp;""),CHAR(160),"")," ",""),"년",""))&lt;=2099,TEXT(VALUE(SUBSTITUTE(SUBSTITUTE(SUBSTITUTE(TRIM(C133&amp;""),CHAR(160),"")," ",""),"년","")),"0000")=SUBSTITUTE(SUBSTITUTE(SUBSTITUTE(TRIM(C133&amp;""),CHAR(160),"")," ",""),"년","")),SUBSTITUTE(SUBSTITUTE(SUBSTITUTE(TRIM(C133&amp;""),CHAR(160),"")," ",""),"년",""),""),"")</f>
      </c>
      <c r="P133" t="str">
        <f>SUBSTITUTE(SUBSTITUTE(SUBSTITUTE(SUBSTITUTE(SUBSTITUTE(SUBSTITUTE(SUBSTITUTE(SUBSTITUTE(TRIM(D133&amp;""),CHAR(160),"")," ",""),"초등학교","초"),"중학교","중"),"고등학교","고"),"~","~~"),"*","~*"),"?","~?")</f>
      </c>
      <c r="Q133" t="str">
        <f>SUBSTITUTE(SUBSTITUTE(SUBSTITUTE(SUBSTITUTE(SUBSTITUTE(SUBSTITUTE(SUBSTITUTE(SUBSTITUTE(TRIM(E133&amp;""),CHAR(160),"")," ",""),"초등학교","초"),"중학교","중"),"고등학교","고"),"~","~~"),"*","~*"),"?","~?")</f>
      </c>
      <c r="R133" t="str">
        <f>IF(COUNTA(B133:J133)=0,"",IF(AND(O133&lt;&gt;"",P133&lt;&gt;"",Q133&lt;&gt;""),"","입력누락"))</f>
      </c>
    </row>
    <row r="134" customFormat="false" ht="15" hidden="false" customHeight="false" outlineLevel="0" collapsed="false">
      <c r="A134" t="n" s="19">
        <f aca="0">IF(COUNTA(B134:J134)=0,"",ROW()-1)</f>
      </c>
      <c r="B134" s="24"/>
      <c r="C134" s="25"/>
      <c r="D134" s="8"/>
      <c r="E134" s="8"/>
      <c r="F134" s="26"/>
      <c r="G134" s="24"/>
      <c r="H134" s="25"/>
      <c r="I134" s="25"/>
      <c r="J134" s="26"/>
      <c r="K134" t="str" s="15">
        <f aca="0">IF(COUNTA(B134:J134)=0,"",IF(R134&lt;&gt;"","확인필요(입력누락)",IF(COUNTIFS(보유목록!$I$2:$I$3001,"*"&amp;P134&amp;"*",보유목록!$I$2:$I$3001,"*"&amp;Q134&amp;"*",보유목록!$H$2:$H$3001,O134)&gt;0,"있음",IF(COUNTIFS(보유목록!$I$2:$I$3001,"*"&amp;P134&amp;"*",보유목록!$I$2:$I$3001,"*"&amp;Q134&amp;"*")&gt;0,"확인필요(연도다름)",IF(COUNTIFS(보유목록!$I$2:$I$3001,"*"&amp;P134&amp;"*",보유목록!$H$2:$H$3001,O134)&gt;0,"확인필요(같은학교·같은연도)","없음")))))</f>
      </c>
      <c r="L134" t="str" s="16">
        <f aca="0">IF(OR(COUNTA(B134:J134)=0,R134&lt;&gt;""),"",COUNTIFS(보유목록!$I$2:$I$3001,"*"&amp;P134&amp;"*",보유목록!$I$2:$I$3001,"*"&amp;Q134&amp;"*"))</f>
      </c>
      <c r="M134" t="str" s="23">
        <f aca="0">IF(OR(COUNTA(B134:J134)=0,R134&lt;&gt;""),"",IFERROR(LOOKUP(2,1/(ISNUMBER(SEARCH(P134,보유목록!$I$2:$I$3001))*ISNUMBER(SEARCH(Q134,보유목록!$I$2:$I$3001))*(보유목록!$H$2:$H$3001=O134)),보유목록!$B$2:$B$3001),IFERROR(LOOKUP(2,1/(ISNUMBER(SEARCH(P134,보유목록!$I$2:$I$3001))*ISNUMBER(SEARCH(Q134,보유목록!$I$2:$I$3001))),보유목록!$B$2:$B$3001),"")))</f>
      </c>
      <c r="N134" s="25"/>
      <c r="O134" t="str">
        <f>IFERROR(IF(AND(LEN(SUBSTITUTE(SUBSTITUTE(SUBSTITUTE(TRIM(C134&amp;""),CHAR(160),"")," ",""),"년",""))=4,VALUE(SUBSTITUTE(SUBSTITUTE(SUBSTITUTE(TRIM(C134&amp;""),CHAR(160),"")," ",""),"년",""))&gt;=1900,VALUE(SUBSTITUTE(SUBSTITUTE(SUBSTITUTE(TRIM(C134&amp;""),CHAR(160),"")," ",""),"년",""))&lt;=2099,TEXT(VALUE(SUBSTITUTE(SUBSTITUTE(SUBSTITUTE(TRIM(C134&amp;""),CHAR(160),"")," ",""),"년","")),"0000")=SUBSTITUTE(SUBSTITUTE(SUBSTITUTE(TRIM(C134&amp;""),CHAR(160),"")," ",""),"년","")),SUBSTITUTE(SUBSTITUTE(SUBSTITUTE(TRIM(C134&amp;""),CHAR(160),"")," ",""),"년",""),""),"")</f>
      </c>
      <c r="P134" t="str">
        <f>SUBSTITUTE(SUBSTITUTE(SUBSTITUTE(SUBSTITUTE(SUBSTITUTE(SUBSTITUTE(SUBSTITUTE(SUBSTITUTE(TRIM(D134&amp;""),CHAR(160),"")," ",""),"초등학교","초"),"중학교","중"),"고등학교","고"),"~","~~"),"*","~*"),"?","~?")</f>
      </c>
      <c r="Q134" t="str">
        <f>SUBSTITUTE(SUBSTITUTE(SUBSTITUTE(SUBSTITUTE(SUBSTITUTE(SUBSTITUTE(SUBSTITUTE(SUBSTITUTE(TRIM(E134&amp;""),CHAR(160),"")," ",""),"초등학교","초"),"중학교","중"),"고등학교","고"),"~","~~"),"*","~*"),"?","~?")</f>
      </c>
      <c r="R134" t="str">
        <f>IF(COUNTA(B134:J134)=0,"",IF(AND(O134&lt;&gt;"",P134&lt;&gt;"",Q134&lt;&gt;""),"","입력누락"))</f>
      </c>
    </row>
    <row r="135" customFormat="false" ht="15" hidden="false" customHeight="false" outlineLevel="0" collapsed="false">
      <c r="A135" t="n" s="19">
        <f aca="0">IF(COUNTA(B135:J135)=0,"",ROW()-1)</f>
      </c>
      <c r="B135" s="24"/>
      <c r="C135" s="25"/>
      <c r="D135" s="8"/>
      <c r="E135" s="8"/>
      <c r="F135" s="26"/>
      <c r="G135" s="24"/>
      <c r="H135" s="25"/>
      <c r="I135" s="25"/>
      <c r="J135" s="26"/>
      <c r="K135" t="str" s="15">
        <f aca="0">IF(COUNTA(B135:J135)=0,"",IF(R135&lt;&gt;"","확인필요(입력누락)",IF(COUNTIFS(보유목록!$I$2:$I$3001,"*"&amp;P135&amp;"*",보유목록!$I$2:$I$3001,"*"&amp;Q135&amp;"*",보유목록!$H$2:$H$3001,O135)&gt;0,"있음",IF(COUNTIFS(보유목록!$I$2:$I$3001,"*"&amp;P135&amp;"*",보유목록!$I$2:$I$3001,"*"&amp;Q135&amp;"*")&gt;0,"확인필요(연도다름)",IF(COUNTIFS(보유목록!$I$2:$I$3001,"*"&amp;P135&amp;"*",보유목록!$H$2:$H$3001,O135)&gt;0,"확인필요(같은학교·같은연도)","없음")))))</f>
      </c>
      <c r="L135" t="str" s="16">
        <f aca="0">IF(OR(COUNTA(B135:J135)=0,R135&lt;&gt;""),"",COUNTIFS(보유목록!$I$2:$I$3001,"*"&amp;P135&amp;"*",보유목록!$I$2:$I$3001,"*"&amp;Q135&amp;"*"))</f>
      </c>
      <c r="M135" t="str" s="23">
        <f aca="0">IF(OR(COUNTA(B135:J135)=0,R135&lt;&gt;""),"",IFERROR(LOOKUP(2,1/(ISNUMBER(SEARCH(P135,보유목록!$I$2:$I$3001))*ISNUMBER(SEARCH(Q135,보유목록!$I$2:$I$3001))*(보유목록!$H$2:$H$3001=O135)),보유목록!$B$2:$B$3001),IFERROR(LOOKUP(2,1/(ISNUMBER(SEARCH(P135,보유목록!$I$2:$I$3001))*ISNUMBER(SEARCH(Q135,보유목록!$I$2:$I$3001))),보유목록!$B$2:$B$3001),"")))</f>
      </c>
      <c r="N135" s="25"/>
      <c r="O135" t="str">
        <f>IFERROR(IF(AND(LEN(SUBSTITUTE(SUBSTITUTE(SUBSTITUTE(TRIM(C135&amp;""),CHAR(160),"")," ",""),"년",""))=4,VALUE(SUBSTITUTE(SUBSTITUTE(SUBSTITUTE(TRIM(C135&amp;""),CHAR(160),"")," ",""),"년",""))&gt;=1900,VALUE(SUBSTITUTE(SUBSTITUTE(SUBSTITUTE(TRIM(C135&amp;""),CHAR(160),"")," ",""),"년",""))&lt;=2099,TEXT(VALUE(SUBSTITUTE(SUBSTITUTE(SUBSTITUTE(TRIM(C135&amp;""),CHAR(160),"")," ",""),"년","")),"0000")=SUBSTITUTE(SUBSTITUTE(SUBSTITUTE(TRIM(C135&amp;""),CHAR(160),"")," ",""),"년","")),SUBSTITUTE(SUBSTITUTE(SUBSTITUTE(TRIM(C135&amp;""),CHAR(160),"")," ",""),"년",""),""),"")</f>
      </c>
      <c r="P135" t="str">
        <f>SUBSTITUTE(SUBSTITUTE(SUBSTITUTE(SUBSTITUTE(SUBSTITUTE(SUBSTITUTE(SUBSTITUTE(SUBSTITUTE(TRIM(D135&amp;""),CHAR(160),"")," ",""),"초등학교","초"),"중학교","중"),"고등학교","고"),"~","~~"),"*","~*"),"?","~?")</f>
      </c>
      <c r="Q135" t="str">
        <f>SUBSTITUTE(SUBSTITUTE(SUBSTITUTE(SUBSTITUTE(SUBSTITUTE(SUBSTITUTE(SUBSTITUTE(SUBSTITUTE(TRIM(E135&amp;""),CHAR(160),"")," ",""),"초등학교","초"),"중학교","중"),"고등학교","고"),"~","~~"),"*","~*"),"?","~?")</f>
      </c>
      <c r="R135" t="str">
        <f>IF(COUNTA(B135:J135)=0,"",IF(AND(O135&lt;&gt;"",P135&lt;&gt;"",Q135&lt;&gt;""),"","입력누락"))</f>
      </c>
    </row>
    <row r="136" customFormat="false" ht="15" hidden="false" customHeight="false" outlineLevel="0" collapsed="false">
      <c r="A136" t="n" s="19">
        <f aca="0">IF(COUNTA(B136:J136)=0,"",ROW()-1)</f>
      </c>
      <c r="B136" s="24"/>
      <c r="C136" s="25"/>
      <c r="D136" s="8"/>
      <c r="E136" s="8"/>
      <c r="F136" s="26"/>
      <c r="G136" s="24"/>
      <c r="H136" s="25"/>
      <c r="I136" s="25"/>
      <c r="J136" s="26"/>
      <c r="K136" t="str" s="15">
        <f aca="0">IF(COUNTA(B136:J136)=0,"",IF(R136&lt;&gt;"","확인필요(입력누락)",IF(COUNTIFS(보유목록!$I$2:$I$3001,"*"&amp;P136&amp;"*",보유목록!$I$2:$I$3001,"*"&amp;Q136&amp;"*",보유목록!$H$2:$H$3001,O136)&gt;0,"있음",IF(COUNTIFS(보유목록!$I$2:$I$3001,"*"&amp;P136&amp;"*",보유목록!$I$2:$I$3001,"*"&amp;Q136&amp;"*")&gt;0,"확인필요(연도다름)",IF(COUNTIFS(보유목록!$I$2:$I$3001,"*"&amp;P136&amp;"*",보유목록!$H$2:$H$3001,O136)&gt;0,"확인필요(같은학교·같은연도)","없음")))))</f>
      </c>
      <c r="L136" t="str" s="16">
        <f aca="0">IF(OR(COUNTA(B136:J136)=0,R136&lt;&gt;""),"",COUNTIFS(보유목록!$I$2:$I$3001,"*"&amp;P136&amp;"*",보유목록!$I$2:$I$3001,"*"&amp;Q136&amp;"*"))</f>
      </c>
      <c r="M136" t="str" s="23">
        <f aca="0">IF(OR(COUNTA(B136:J136)=0,R136&lt;&gt;""),"",IFERROR(LOOKUP(2,1/(ISNUMBER(SEARCH(P136,보유목록!$I$2:$I$3001))*ISNUMBER(SEARCH(Q136,보유목록!$I$2:$I$3001))*(보유목록!$H$2:$H$3001=O136)),보유목록!$B$2:$B$3001),IFERROR(LOOKUP(2,1/(ISNUMBER(SEARCH(P136,보유목록!$I$2:$I$3001))*ISNUMBER(SEARCH(Q136,보유목록!$I$2:$I$3001))),보유목록!$B$2:$B$3001),"")))</f>
      </c>
      <c r="N136" s="25"/>
      <c r="O136" t="str">
        <f>IFERROR(IF(AND(LEN(SUBSTITUTE(SUBSTITUTE(SUBSTITUTE(TRIM(C136&amp;""),CHAR(160),"")," ",""),"년",""))=4,VALUE(SUBSTITUTE(SUBSTITUTE(SUBSTITUTE(TRIM(C136&amp;""),CHAR(160),"")," ",""),"년",""))&gt;=1900,VALUE(SUBSTITUTE(SUBSTITUTE(SUBSTITUTE(TRIM(C136&amp;""),CHAR(160),"")," ",""),"년",""))&lt;=2099,TEXT(VALUE(SUBSTITUTE(SUBSTITUTE(SUBSTITUTE(TRIM(C136&amp;""),CHAR(160),"")," ",""),"년","")),"0000")=SUBSTITUTE(SUBSTITUTE(SUBSTITUTE(TRIM(C136&amp;""),CHAR(160),"")," ",""),"년","")),SUBSTITUTE(SUBSTITUTE(SUBSTITUTE(TRIM(C136&amp;""),CHAR(160),"")," ",""),"년",""),""),"")</f>
      </c>
      <c r="P136" t="str">
        <f>SUBSTITUTE(SUBSTITUTE(SUBSTITUTE(SUBSTITUTE(SUBSTITUTE(SUBSTITUTE(SUBSTITUTE(SUBSTITUTE(TRIM(D136&amp;""),CHAR(160),"")," ",""),"초등학교","초"),"중학교","중"),"고등학교","고"),"~","~~"),"*","~*"),"?","~?")</f>
      </c>
      <c r="Q136" t="str">
        <f>SUBSTITUTE(SUBSTITUTE(SUBSTITUTE(SUBSTITUTE(SUBSTITUTE(SUBSTITUTE(SUBSTITUTE(SUBSTITUTE(TRIM(E136&amp;""),CHAR(160),"")," ",""),"초등학교","초"),"중학교","중"),"고등학교","고"),"~","~~"),"*","~*"),"?","~?")</f>
      </c>
      <c r="R136" t="str">
        <f>IF(COUNTA(B136:J136)=0,"",IF(AND(O136&lt;&gt;"",P136&lt;&gt;"",Q136&lt;&gt;""),"","입력누락"))</f>
      </c>
    </row>
    <row r="137" customFormat="false" ht="15" hidden="false" customHeight="false" outlineLevel="0" collapsed="false">
      <c r="A137" t="n" s="19">
        <f aca="0">IF(COUNTA(B137:J137)=0,"",ROW()-1)</f>
      </c>
      <c r="B137" s="24"/>
      <c r="C137" s="25"/>
      <c r="D137" s="8"/>
      <c r="E137" s="8"/>
      <c r="F137" s="26"/>
      <c r="G137" s="24"/>
      <c r="H137" s="25"/>
      <c r="I137" s="25"/>
      <c r="J137" s="26"/>
      <c r="K137" t="str" s="15">
        <f aca="0">IF(COUNTA(B137:J137)=0,"",IF(R137&lt;&gt;"","확인필요(입력누락)",IF(COUNTIFS(보유목록!$I$2:$I$3001,"*"&amp;P137&amp;"*",보유목록!$I$2:$I$3001,"*"&amp;Q137&amp;"*",보유목록!$H$2:$H$3001,O137)&gt;0,"있음",IF(COUNTIFS(보유목록!$I$2:$I$3001,"*"&amp;P137&amp;"*",보유목록!$I$2:$I$3001,"*"&amp;Q137&amp;"*")&gt;0,"확인필요(연도다름)",IF(COUNTIFS(보유목록!$I$2:$I$3001,"*"&amp;P137&amp;"*",보유목록!$H$2:$H$3001,O137)&gt;0,"확인필요(같은학교·같은연도)","없음")))))</f>
      </c>
      <c r="L137" t="str" s="16">
        <f aca="0">IF(OR(COUNTA(B137:J137)=0,R137&lt;&gt;""),"",COUNTIFS(보유목록!$I$2:$I$3001,"*"&amp;P137&amp;"*",보유목록!$I$2:$I$3001,"*"&amp;Q137&amp;"*"))</f>
      </c>
      <c r="M137" t="str" s="23">
        <f aca="0">IF(OR(COUNTA(B137:J137)=0,R137&lt;&gt;""),"",IFERROR(LOOKUP(2,1/(ISNUMBER(SEARCH(P137,보유목록!$I$2:$I$3001))*ISNUMBER(SEARCH(Q137,보유목록!$I$2:$I$3001))*(보유목록!$H$2:$H$3001=O137)),보유목록!$B$2:$B$3001),IFERROR(LOOKUP(2,1/(ISNUMBER(SEARCH(P137,보유목록!$I$2:$I$3001))*ISNUMBER(SEARCH(Q137,보유목록!$I$2:$I$3001))),보유목록!$B$2:$B$3001),"")))</f>
      </c>
      <c r="N137" s="25"/>
      <c r="O137" t="str">
        <f>IFERROR(IF(AND(LEN(SUBSTITUTE(SUBSTITUTE(SUBSTITUTE(TRIM(C137&amp;""),CHAR(160),"")," ",""),"년",""))=4,VALUE(SUBSTITUTE(SUBSTITUTE(SUBSTITUTE(TRIM(C137&amp;""),CHAR(160),"")," ",""),"년",""))&gt;=1900,VALUE(SUBSTITUTE(SUBSTITUTE(SUBSTITUTE(TRIM(C137&amp;""),CHAR(160),"")," ",""),"년",""))&lt;=2099,TEXT(VALUE(SUBSTITUTE(SUBSTITUTE(SUBSTITUTE(TRIM(C137&amp;""),CHAR(160),"")," ",""),"년","")),"0000")=SUBSTITUTE(SUBSTITUTE(SUBSTITUTE(TRIM(C137&amp;""),CHAR(160),"")," ",""),"년","")),SUBSTITUTE(SUBSTITUTE(SUBSTITUTE(TRIM(C137&amp;""),CHAR(160),"")," ",""),"년",""),""),"")</f>
      </c>
      <c r="P137" t="str">
        <f>SUBSTITUTE(SUBSTITUTE(SUBSTITUTE(SUBSTITUTE(SUBSTITUTE(SUBSTITUTE(SUBSTITUTE(SUBSTITUTE(TRIM(D137&amp;""),CHAR(160),"")," ",""),"초등학교","초"),"중학교","중"),"고등학교","고"),"~","~~"),"*","~*"),"?","~?")</f>
      </c>
      <c r="Q137" t="str">
        <f>SUBSTITUTE(SUBSTITUTE(SUBSTITUTE(SUBSTITUTE(SUBSTITUTE(SUBSTITUTE(SUBSTITUTE(SUBSTITUTE(TRIM(E137&amp;""),CHAR(160),"")," ",""),"초등학교","초"),"중학교","중"),"고등학교","고"),"~","~~"),"*","~*"),"?","~?")</f>
      </c>
      <c r="R137" t="str">
        <f>IF(COUNTA(B137:J137)=0,"",IF(AND(O137&lt;&gt;"",P137&lt;&gt;"",Q137&lt;&gt;""),"","입력누락"))</f>
      </c>
    </row>
    <row r="138" customFormat="false" ht="15" hidden="false" customHeight="false" outlineLevel="0" collapsed="false">
      <c r="A138" t="n" s="19">
        <f aca="0">IF(COUNTA(B138:J138)=0,"",ROW()-1)</f>
      </c>
      <c r="B138" s="24"/>
      <c r="C138" s="25"/>
      <c r="D138" s="8"/>
      <c r="E138" s="8"/>
      <c r="F138" s="26"/>
      <c r="G138" s="24"/>
      <c r="H138" s="25"/>
      <c r="I138" s="25"/>
      <c r="J138" s="26"/>
      <c r="K138" t="str" s="15">
        <f aca="0">IF(COUNTA(B138:J138)=0,"",IF(R138&lt;&gt;"","확인필요(입력누락)",IF(COUNTIFS(보유목록!$I$2:$I$3001,"*"&amp;P138&amp;"*",보유목록!$I$2:$I$3001,"*"&amp;Q138&amp;"*",보유목록!$H$2:$H$3001,O138)&gt;0,"있음",IF(COUNTIFS(보유목록!$I$2:$I$3001,"*"&amp;P138&amp;"*",보유목록!$I$2:$I$3001,"*"&amp;Q138&amp;"*")&gt;0,"확인필요(연도다름)",IF(COUNTIFS(보유목록!$I$2:$I$3001,"*"&amp;P138&amp;"*",보유목록!$H$2:$H$3001,O138)&gt;0,"확인필요(같은학교·같은연도)","없음")))))</f>
      </c>
      <c r="L138" t="str" s="16">
        <f aca="0">IF(OR(COUNTA(B138:J138)=0,R138&lt;&gt;""),"",COUNTIFS(보유목록!$I$2:$I$3001,"*"&amp;P138&amp;"*",보유목록!$I$2:$I$3001,"*"&amp;Q138&amp;"*"))</f>
      </c>
      <c r="M138" t="str" s="23">
        <f aca="0">IF(OR(COUNTA(B138:J138)=0,R138&lt;&gt;""),"",IFERROR(LOOKUP(2,1/(ISNUMBER(SEARCH(P138,보유목록!$I$2:$I$3001))*ISNUMBER(SEARCH(Q138,보유목록!$I$2:$I$3001))*(보유목록!$H$2:$H$3001=O138)),보유목록!$B$2:$B$3001),IFERROR(LOOKUP(2,1/(ISNUMBER(SEARCH(P138,보유목록!$I$2:$I$3001))*ISNUMBER(SEARCH(Q138,보유목록!$I$2:$I$3001))),보유목록!$B$2:$B$3001),"")))</f>
      </c>
      <c r="N138" s="25"/>
      <c r="O138" t="str">
        <f>IFERROR(IF(AND(LEN(SUBSTITUTE(SUBSTITUTE(SUBSTITUTE(TRIM(C138&amp;""),CHAR(160),"")," ",""),"년",""))=4,VALUE(SUBSTITUTE(SUBSTITUTE(SUBSTITUTE(TRIM(C138&amp;""),CHAR(160),"")," ",""),"년",""))&gt;=1900,VALUE(SUBSTITUTE(SUBSTITUTE(SUBSTITUTE(TRIM(C138&amp;""),CHAR(160),"")," ",""),"년",""))&lt;=2099,TEXT(VALUE(SUBSTITUTE(SUBSTITUTE(SUBSTITUTE(TRIM(C138&amp;""),CHAR(160),"")," ",""),"년","")),"0000")=SUBSTITUTE(SUBSTITUTE(SUBSTITUTE(TRIM(C138&amp;""),CHAR(160),"")," ",""),"년","")),SUBSTITUTE(SUBSTITUTE(SUBSTITUTE(TRIM(C138&amp;""),CHAR(160),"")," ",""),"년",""),""),"")</f>
      </c>
      <c r="P138" t="str">
        <f>SUBSTITUTE(SUBSTITUTE(SUBSTITUTE(SUBSTITUTE(SUBSTITUTE(SUBSTITUTE(SUBSTITUTE(SUBSTITUTE(TRIM(D138&amp;""),CHAR(160),"")," ",""),"초등학교","초"),"중학교","중"),"고등학교","고"),"~","~~"),"*","~*"),"?","~?")</f>
      </c>
      <c r="Q138" t="str">
        <f>SUBSTITUTE(SUBSTITUTE(SUBSTITUTE(SUBSTITUTE(SUBSTITUTE(SUBSTITUTE(SUBSTITUTE(SUBSTITUTE(TRIM(E138&amp;""),CHAR(160),"")," ",""),"초등학교","초"),"중학교","중"),"고등학교","고"),"~","~~"),"*","~*"),"?","~?")</f>
      </c>
      <c r="R138" t="str">
        <f>IF(COUNTA(B138:J138)=0,"",IF(AND(O138&lt;&gt;"",P138&lt;&gt;"",Q138&lt;&gt;""),"","입력누락"))</f>
      </c>
    </row>
    <row r="139" customFormat="false" ht="15" hidden="false" customHeight="false" outlineLevel="0" collapsed="false">
      <c r="A139" t="n" s="19">
        <f aca="0">IF(COUNTA(B139:J139)=0,"",ROW()-1)</f>
      </c>
      <c r="B139" s="24"/>
      <c r="C139" s="25"/>
      <c r="D139" s="8"/>
      <c r="E139" s="8"/>
      <c r="F139" s="26"/>
      <c r="G139" s="24"/>
      <c r="H139" s="25"/>
      <c r="I139" s="25"/>
      <c r="J139" s="26"/>
      <c r="K139" t="str" s="15">
        <f aca="0">IF(COUNTA(B139:J139)=0,"",IF(R139&lt;&gt;"","확인필요(입력누락)",IF(COUNTIFS(보유목록!$I$2:$I$3001,"*"&amp;P139&amp;"*",보유목록!$I$2:$I$3001,"*"&amp;Q139&amp;"*",보유목록!$H$2:$H$3001,O139)&gt;0,"있음",IF(COUNTIFS(보유목록!$I$2:$I$3001,"*"&amp;P139&amp;"*",보유목록!$I$2:$I$3001,"*"&amp;Q139&amp;"*")&gt;0,"확인필요(연도다름)",IF(COUNTIFS(보유목록!$I$2:$I$3001,"*"&amp;P139&amp;"*",보유목록!$H$2:$H$3001,O139)&gt;0,"확인필요(같은학교·같은연도)","없음")))))</f>
      </c>
      <c r="L139" t="str" s="16">
        <f aca="0">IF(OR(COUNTA(B139:J139)=0,R139&lt;&gt;""),"",COUNTIFS(보유목록!$I$2:$I$3001,"*"&amp;P139&amp;"*",보유목록!$I$2:$I$3001,"*"&amp;Q139&amp;"*"))</f>
      </c>
      <c r="M139" t="str" s="23">
        <f aca="0">IF(OR(COUNTA(B139:J139)=0,R139&lt;&gt;""),"",IFERROR(LOOKUP(2,1/(ISNUMBER(SEARCH(P139,보유목록!$I$2:$I$3001))*ISNUMBER(SEARCH(Q139,보유목록!$I$2:$I$3001))*(보유목록!$H$2:$H$3001=O139)),보유목록!$B$2:$B$3001),IFERROR(LOOKUP(2,1/(ISNUMBER(SEARCH(P139,보유목록!$I$2:$I$3001))*ISNUMBER(SEARCH(Q139,보유목록!$I$2:$I$3001))),보유목록!$B$2:$B$3001),"")))</f>
      </c>
      <c r="N139" s="25"/>
      <c r="O139" t="str">
        <f>IFERROR(IF(AND(LEN(SUBSTITUTE(SUBSTITUTE(SUBSTITUTE(TRIM(C139&amp;""),CHAR(160),"")," ",""),"년",""))=4,VALUE(SUBSTITUTE(SUBSTITUTE(SUBSTITUTE(TRIM(C139&amp;""),CHAR(160),"")," ",""),"년",""))&gt;=1900,VALUE(SUBSTITUTE(SUBSTITUTE(SUBSTITUTE(TRIM(C139&amp;""),CHAR(160),"")," ",""),"년",""))&lt;=2099,TEXT(VALUE(SUBSTITUTE(SUBSTITUTE(SUBSTITUTE(TRIM(C139&amp;""),CHAR(160),"")," ",""),"년","")),"0000")=SUBSTITUTE(SUBSTITUTE(SUBSTITUTE(TRIM(C139&amp;""),CHAR(160),"")," ",""),"년","")),SUBSTITUTE(SUBSTITUTE(SUBSTITUTE(TRIM(C139&amp;""),CHAR(160),"")," ",""),"년",""),""),"")</f>
      </c>
      <c r="P139" t="str">
        <f>SUBSTITUTE(SUBSTITUTE(SUBSTITUTE(SUBSTITUTE(SUBSTITUTE(SUBSTITUTE(SUBSTITUTE(SUBSTITUTE(TRIM(D139&amp;""),CHAR(160),"")," ",""),"초등학교","초"),"중학교","중"),"고등학교","고"),"~","~~"),"*","~*"),"?","~?")</f>
      </c>
      <c r="Q139" t="str">
        <f>SUBSTITUTE(SUBSTITUTE(SUBSTITUTE(SUBSTITUTE(SUBSTITUTE(SUBSTITUTE(SUBSTITUTE(SUBSTITUTE(TRIM(E139&amp;""),CHAR(160),"")," ",""),"초등학교","초"),"중학교","중"),"고등학교","고"),"~","~~"),"*","~*"),"?","~?")</f>
      </c>
      <c r="R139" t="str">
        <f>IF(COUNTA(B139:J139)=0,"",IF(AND(O139&lt;&gt;"",P139&lt;&gt;"",Q139&lt;&gt;""),"","입력누락"))</f>
      </c>
    </row>
    <row r="140" customFormat="false" ht="15" hidden="false" customHeight="false" outlineLevel="0" collapsed="false">
      <c r="A140" t="n" s="19">
        <f aca="0">IF(COUNTA(B140:J140)=0,"",ROW()-1)</f>
      </c>
      <c r="B140" s="24"/>
      <c r="C140" s="25"/>
      <c r="D140" s="8"/>
      <c r="E140" s="8"/>
      <c r="F140" s="26"/>
      <c r="G140" s="24"/>
      <c r="H140" s="25"/>
      <c r="I140" s="25"/>
      <c r="J140" s="26"/>
      <c r="K140" t="str" s="15">
        <f aca="0">IF(COUNTA(B140:J140)=0,"",IF(R140&lt;&gt;"","확인필요(입력누락)",IF(COUNTIFS(보유목록!$I$2:$I$3001,"*"&amp;P140&amp;"*",보유목록!$I$2:$I$3001,"*"&amp;Q140&amp;"*",보유목록!$H$2:$H$3001,O140)&gt;0,"있음",IF(COUNTIFS(보유목록!$I$2:$I$3001,"*"&amp;P140&amp;"*",보유목록!$I$2:$I$3001,"*"&amp;Q140&amp;"*")&gt;0,"확인필요(연도다름)",IF(COUNTIFS(보유목록!$I$2:$I$3001,"*"&amp;P140&amp;"*",보유목록!$H$2:$H$3001,O140)&gt;0,"확인필요(같은학교·같은연도)","없음")))))</f>
      </c>
      <c r="L140" t="str" s="16">
        <f aca="0">IF(OR(COUNTA(B140:J140)=0,R140&lt;&gt;""),"",COUNTIFS(보유목록!$I$2:$I$3001,"*"&amp;P140&amp;"*",보유목록!$I$2:$I$3001,"*"&amp;Q140&amp;"*"))</f>
      </c>
      <c r="M140" t="str" s="23">
        <f aca="0">IF(OR(COUNTA(B140:J140)=0,R140&lt;&gt;""),"",IFERROR(LOOKUP(2,1/(ISNUMBER(SEARCH(P140,보유목록!$I$2:$I$3001))*ISNUMBER(SEARCH(Q140,보유목록!$I$2:$I$3001))*(보유목록!$H$2:$H$3001=O140)),보유목록!$B$2:$B$3001),IFERROR(LOOKUP(2,1/(ISNUMBER(SEARCH(P140,보유목록!$I$2:$I$3001))*ISNUMBER(SEARCH(Q140,보유목록!$I$2:$I$3001))),보유목록!$B$2:$B$3001),"")))</f>
      </c>
      <c r="N140" s="25"/>
      <c r="O140" t="str">
        <f>IFERROR(IF(AND(LEN(SUBSTITUTE(SUBSTITUTE(SUBSTITUTE(TRIM(C140&amp;""),CHAR(160),"")," ",""),"년",""))=4,VALUE(SUBSTITUTE(SUBSTITUTE(SUBSTITUTE(TRIM(C140&amp;""),CHAR(160),"")," ",""),"년",""))&gt;=1900,VALUE(SUBSTITUTE(SUBSTITUTE(SUBSTITUTE(TRIM(C140&amp;""),CHAR(160),"")," ",""),"년",""))&lt;=2099,TEXT(VALUE(SUBSTITUTE(SUBSTITUTE(SUBSTITUTE(TRIM(C140&amp;""),CHAR(160),"")," ",""),"년","")),"0000")=SUBSTITUTE(SUBSTITUTE(SUBSTITUTE(TRIM(C140&amp;""),CHAR(160),"")," ",""),"년","")),SUBSTITUTE(SUBSTITUTE(SUBSTITUTE(TRIM(C140&amp;""),CHAR(160),"")," ",""),"년",""),""),"")</f>
      </c>
      <c r="P140" t="str">
        <f>SUBSTITUTE(SUBSTITUTE(SUBSTITUTE(SUBSTITUTE(SUBSTITUTE(SUBSTITUTE(SUBSTITUTE(SUBSTITUTE(TRIM(D140&amp;""),CHAR(160),"")," ",""),"초등학교","초"),"중학교","중"),"고등학교","고"),"~","~~"),"*","~*"),"?","~?")</f>
      </c>
      <c r="Q140" t="str">
        <f>SUBSTITUTE(SUBSTITUTE(SUBSTITUTE(SUBSTITUTE(SUBSTITUTE(SUBSTITUTE(SUBSTITUTE(SUBSTITUTE(TRIM(E140&amp;""),CHAR(160),"")," ",""),"초등학교","초"),"중학교","중"),"고등학교","고"),"~","~~"),"*","~*"),"?","~?")</f>
      </c>
      <c r="R140" t="str">
        <f>IF(COUNTA(B140:J140)=0,"",IF(AND(O140&lt;&gt;"",P140&lt;&gt;"",Q140&lt;&gt;""),"","입력누락"))</f>
      </c>
    </row>
    <row r="141" customFormat="false" ht="15" hidden="false" customHeight="false" outlineLevel="0" collapsed="false">
      <c r="A141" t="n" s="19">
        <f aca="0">IF(COUNTA(B141:J141)=0,"",ROW()-1)</f>
      </c>
      <c r="B141" s="24"/>
      <c r="C141" s="25"/>
      <c r="D141" s="8"/>
      <c r="E141" s="8"/>
      <c r="F141" s="26"/>
      <c r="G141" s="24"/>
      <c r="H141" s="25"/>
      <c r="I141" s="25"/>
      <c r="J141" s="26"/>
      <c r="K141" t="str" s="15">
        <f aca="0">IF(COUNTA(B141:J141)=0,"",IF(R141&lt;&gt;"","확인필요(입력누락)",IF(COUNTIFS(보유목록!$I$2:$I$3001,"*"&amp;P141&amp;"*",보유목록!$I$2:$I$3001,"*"&amp;Q141&amp;"*",보유목록!$H$2:$H$3001,O141)&gt;0,"있음",IF(COUNTIFS(보유목록!$I$2:$I$3001,"*"&amp;P141&amp;"*",보유목록!$I$2:$I$3001,"*"&amp;Q141&amp;"*")&gt;0,"확인필요(연도다름)",IF(COUNTIFS(보유목록!$I$2:$I$3001,"*"&amp;P141&amp;"*",보유목록!$H$2:$H$3001,O141)&gt;0,"확인필요(같은학교·같은연도)","없음")))))</f>
      </c>
      <c r="L141" t="str" s="16">
        <f aca="0">IF(OR(COUNTA(B141:J141)=0,R141&lt;&gt;""),"",COUNTIFS(보유목록!$I$2:$I$3001,"*"&amp;P141&amp;"*",보유목록!$I$2:$I$3001,"*"&amp;Q141&amp;"*"))</f>
      </c>
      <c r="M141" t="str" s="23">
        <f aca="0">IF(OR(COUNTA(B141:J141)=0,R141&lt;&gt;""),"",IFERROR(LOOKUP(2,1/(ISNUMBER(SEARCH(P141,보유목록!$I$2:$I$3001))*ISNUMBER(SEARCH(Q141,보유목록!$I$2:$I$3001))*(보유목록!$H$2:$H$3001=O141)),보유목록!$B$2:$B$3001),IFERROR(LOOKUP(2,1/(ISNUMBER(SEARCH(P141,보유목록!$I$2:$I$3001))*ISNUMBER(SEARCH(Q141,보유목록!$I$2:$I$3001))),보유목록!$B$2:$B$3001),"")))</f>
      </c>
      <c r="N141" s="25"/>
      <c r="O141" t="str">
        <f>IFERROR(IF(AND(LEN(SUBSTITUTE(SUBSTITUTE(SUBSTITUTE(TRIM(C141&amp;""),CHAR(160),"")," ",""),"년",""))=4,VALUE(SUBSTITUTE(SUBSTITUTE(SUBSTITUTE(TRIM(C141&amp;""),CHAR(160),"")," ",""),"년",""))&gt;=1900,VALUE(SUBSTITUTE(SUBSTITUTE(SUBSTITUTE(TRIM(C141&amp;""),CHAR(160),"")," ",""),"년",""))&lt;=2099,TEXT(VALUE(SUBSTITUTE(SUBSTITUTE(SUBSTITUTE(TRIM(C141&amp;""),CHAR(160),"")," ",""),"년","")),"0000")=SUBSTITUTE(SUBSTITUTE(SUBSTITUTE(TRIM(C141&amp;""),CHAR(160),"")," ",""),"년","")),SUBSTITUTE(SUBSTITUTE(SUBSTITUTE(TRIM(C141&amp;""),CHAR(160),"")," ",""),"년",""),""),"")</f>
      </c>
      <c r="P141" t="str">
        <f>SUBSTITUTE(SUBSTITUTE(SUBSTITUTE(SUBSTITUTE(SUBSTITUTE(SUBSTITUTE(SUBSTITUTE(SUBSTITUTE(TRIM(D141&amp;""),CHAR(160),"")," ",""),"초등학교","초"),"중학교","중"),"고등학교","고"),"~","~~"),"*","~*"),"?","~?")</f>
      </c>
      <c r="Q141" t="str">
        <f>SUBSTITUTE(SUBSTITUTE(SUBSTITUTE(SUBSTITUTE(SUBSTITUTE(SUBSTITUTE(SUBSTITUTE(SUBSTITUTE(TRIM(E141&amp;""),CHAR(160),"")," ",""),"초등학교","초"),"중학교","중"),"고등학교","고"),"~","~~"),"*","~*"),"?","~?")</f>
      </c>
      <c r="R141" t="str">
        <f>IF(COUNTA(B141:J141)=0,"",IF(AND(O141&lt;&gt;"",P141&lt;&gt;"",Q141&lt;&gt;""),"","입력누락"))</f>
      </c>
    </row>
    <row r="142" customFormat="false" ht="15" hidden="false" customHeight="false" outlineLevel="0" collapsed="false">
      <c r="A142" t="n" s="19">
        <f aca="0">IF(COUNTA(B142:J142)=0,"",ROW()-1)</f>
      </c>
      <c r="B142" s="24"/>
      <c r="C142" s="25"/>
      <c r="D142" s="8"/>
      <c r="E142" s="8"/>
      <c r="F142" s="26"/>
      <c r="G142" s="24"/>
      <c r="H142" s="25"/>
      <c r="I142" s="25"/>
      <c r="J142" s="26"/>
      <c r="K142" t="str" s="15">
        <f aca="0">IF(COUNTA(B142:J142)=0,"",IF(R142&lt;&gt;"","확인필요(입력누락)",IF(COUNTIFS(보유목록!$I$2:$I$3001,"*"&amp;P142&amp;"*",보유목록!$I$2:$I$3001,"*"&amp;Q142&amp;"*",보유목록!$H$2:$H$3001,O142)&gt;0,"있음",IF(COUNTIFS(보유목록!$I$2:$I$3001,"*"&amp;P142&amp;"*",보유목록!$I$2:$I$3001,"*"&amp;Q142&amp;"*")&gt;0,"확인필요(연도다름)",IF(COUNTIFS(보유목록!$I$2:$I$3001,"*"&amp;P142&amp;"*",보유목록!$H$2:$H$3001,O142)&gt;0,"확인필요(같은학교·같은연도)","없음")))))</f>
      </c>
      <c r="L142" t="str" s="16">
        <f aca="0">IF(OR(COUNTA(B142:J142)=0,R142&lt;&gt;""),"",COUNTIFS(보유목록!$I$2:$I$3001,"*"&amp;P142&amp;"*",보유목록!$I$2:$I$3001,"*"&amp;Q142&amp;"*"))</f>
      </c>
      <c r="M142" t="str" s="23">
        <f aca="0">IF(OR(COUNTA(B142:J142)=0,R142&lt;&gt;""),"",IFERROR(LOOKUP(2,1/(ISNUMBER(SEARCH(P142,보유목록!$I$2:$I$3001))*ISNUMBER(SEARCH(Q142,보유목록!$I$2:$I$3001))*(보유목록!$H$2:$H$3001=O142)),보유목록!$B$2:$B$3001),IFERROR(LOOKUP(2,1/(ISNUMBER(SEARCH(P142,보유목록!$I$2:$I$3001))*ISNUMBER(SEARCH(Q142,보유목록!$I$2:$I$3001))),보유목록!$B$2:$B$3001),"")))</f>
      </c>
      <c r="N142" s="25"/>
      <c r="O142" t="str">
        <f>IFERROR(IF(AND(LEN(SUBSTITUTE(SUBSTITUTE(SUBSTITUTE(TRIM(C142&amp;""),CHAR(160),"")," ",""),"년",""))=4,VALUE(SUBSTITUTE(SUBSTITUTE(SUBSTITUTE(TRIM(C142&amp;""),CHAR(160),"")," ",""),"년",""))&gt;=1900,VALUE(SUBSTITUTE(SUBSTITUTE(SUBSTITUTE(TRIM(C142&amp;""),CHAR(160),"")," ",""),"년",""))&lt;=2099,TEXT(VALUE(SUBSTITUTE(SUBSTITUTE(SUBSTITUTE(TRIM(C142&amp;""),CHAR(160),"")," ",""),"년","")),"0000")=SUBSTITUTE(SUBSTITUTE(SUBSTITUTE(TRIM(C142&amp;""),CHAR(160),"")," ",""),"년","")),SUBSTITUTE(SUBSTITUTE(SUBSTITUTE(TRIM(C142&amp;""),CHAR(160),"")," ",""),"년",""),""),"")</f>
      </c>
      <c r="P142" t="str">
        <f>SUBSTITUTE(SUBSTITUTE(SUBSTITUTE(SUBSTITUTE(SUBSTITUTE(SUBSTITUTE(SUBSTITUTE(SUBSTITUTE(TRIM(D142&amp;""),CHAR(160),"")," ",""),"초등학교","초"),"중학교","중"),"고등학교","고"),"~","~~"),"*","~*"),"?","~?")</f>
      </c>
      <c r="Q142" t="str">
        <f>SUBSTITUTE(SUBSTITUTE(SUBSTITUTE(SUBSTITUTE(SUBSTITUTE(SUBSTITUTE(SUBSTITUTE(SUBSTITUTE(TRIM(E142&amp;""),CHAR(160),"")," ",""),"초등학교","초"),"중학교","중"),"고등학교","고"),"~","~~"),"*","~*"),"?","~?")</f>
      </c>
      <c r="R142" t="str">
        <f>IF(COUNTA(B142:J142)=0,"",IF(AND(O142&lt;&gt;"",P142&lt;&gt;"",Q142&lt;&gt;""),"","입력누락"))</f>
      </c>
    </row>
    <row r="143" customFormat="false" ht="15" hidden="false" customHeight="false" outlineLevel="0" collapsed="false">
      <c r="A143" t="n" s="19">
        <f aca="0">IF(COUNTA(B143:J143)=0,"",ROW()-1)</f>
      </c>
      <c r="B143" s="24"/>
      <c r="C143" s="25"/>
      <c r="D143" s="8"/>
      <c r="E143" s="8"/>
      <c r="F143" s="26"/>
      <c r="G143" s="24"/>
      <c r="H143" s="25"/>
      <c r="I143" s="25"/>
      <c r="J143" s="26"/>
      <c r="K143" t="str" s="15">
        <f aca="0">IF(COUNTA(B143:J143)=0,"",IF(R143&lt;&gt;"","확인필요(입력누락)",IF(COUNTIFS(보유목록!$I$2:$I$3001,"*"&amp;P143&amp;"*",보유목록!$I$2:$I$3001,"*"&amp;Q143&amp;"*",보유목록!$H$2:$H$3001,O143)&gt;0,"있음",IF(COUNTIFS(보유목록!$I$2:$I$3001,"*"&amp;P143&amp;"*",보유목록!$I$2:$I$3001,"*"&amp;Q143&amp;"*")&gt;0,"확인필요(연도다름)",IF(COUNTIFS(보유목록!$I$2:$I$3001,"*"&amp;P143&amp;"*",보유목록!$H$2:$H$3001,O143)&gt;0,"확인필요(같은학교·같은연도)","없음")))))</f>
      </c>
      <c r="L143" t="str" s="16">
        <f aca="0">IF(OR(COUNTA(B143:J143)=0,R143&lt;&gt;""),"",COUNTIFS(보유목록!$I$2:$I$3001,"*"&amp;P143&amp;"*",보유목록!$I$2:$I$3001,"*"&amp;Q143&amp;"*"))</f>
      </c>
      <c r="M143" t="str" s="23">
        <f aca="0">IF(OR(COUNTA(B143:J143)=0,R143&lt;&gt;""),"",IFERROR(LOOKUP(2,1/(ISNUMBER(SEARCH(P143,보유목록!$I$2:$I$3001))*ISNUMBER(SEARCH(Q143,보유목록!$I$2:$I$3001))*(보유목록!$H$2:$H$3001=O143)),보유목록!$B$2:$B$3001),IFERROR(LOOKUP(2,1/(ISNUMBER(SEARCH(P143,보유목록!$I$2:$I$3001))*ISNUMBER(SEARCH(Q143,보유목록!$I$2:$I$3001))),보유목록!$B$2:$B$3001),"")))</f>
      </c>
      <c r="N143" s="25"/>
      <c r="O143" t="str">
        <f>IFERROR(IF(AND(LEN(SUBSTITUTE(SUBSTITUTE(SUBSTITUTE(TRIM(C143&amp;""),CHAR(160),"")," ",""),"년",""))=4,VALUE(SUBSTITUTE(SUBSTITUTE(SUBSTITUTE(TRIM(C143&amp;""),CHAR(160),"")," ",""),"년",""))&gt;=1900,VALUE(SUBSTITUTE(SUBSTITUTE(SUBSTITUTE(TRIM(C143&amp;""),CHAR(160),"")," ",""),"년",""))&lt;=2099,TEXT(VALUE(SUBSTITUTE(SUBSTITUTE(SUBSTITUTE(TRIM(C143&amp;""),CHAR(160),"")," ",""),"년","")),"0000")=SUBSTITUTE(SUBSTITUTE(SUBSTITUTE(TRIM(C143&amp;""),CHAR(160),"")," ",""),"년","")),SUBSTITUTE(SUBSTITUTE(SUBSTITUTE(TRIM(C143&amp;""),CHAR(160),"")," ",""),"년",""),""),"")</f>
      </c>
      <c r="P143" t="str">
        <f>SUBSTITUTE(SUBSTITUTE(SUBSTITUTE(SUBSTITUTE(SUBSTITUTE(SUBSTITUTE(SUBSTITUTE(SUBSTITUTE(TRIM(D143&amp;""),CHAR(160),"")," ",""),"초등학교","초"),"중학교","중"),"고등학교","고"),"~","~~"),"*","~*"),"?","~?")</f>
      </c>
      <c r="Q143" t="str">
        <f>SUBSTITUTE(SUBSTITUTE(SUBSTITUTE(SUBSTITUTE(SUBSTITUTE(SUBSTITUTE(SUBSTITUTE(SUBSTITUTE(TRIM(E143&amp;""),CHAR(160),"")," ",""),"초등학교","초"),"중학교","중"),"고등학교","고"),"~","~~"),"*","~*"),"?","~?")</f>
      </c>
      <c r="R143" t="str">
        <f>IF(COUNTA(B143:J143)=0,"",IF(AND(O143&lt;&gt;"",P143&lt;&gt;"",Q143&lt;&gt;""),"","입력누락"))</f>
      </c>
    </row>
    <row r="144" customFormat="false" ht="15" hidden="false" customHeight="false" outlineLevel="0" collapsed="false">
      <c r="A144" t="n" s="19">
        <f aca="0">IF(COUNTA(B144:J144)=0,"",ROW()-1)</f>
      </c>
      <c r="B144" s="24"/>
      <c r="C144" s="25"/>
      <c r="D144" s="8"/>
      <c r="E144" s="8"/>
      <c r="F144" s="26"/>
      <c r="G144" s="24"/>
      <c r="H144" s="25"/>
      <c r="I144" s="25"/>
      <c r="J144" s="26"/>
      <c r="K144" t="str" s="15">
        <f aca="0">IF(COUNTA(B144:J144)=0,"",IF(R144&lt;&gt;"","확인필요(입력누락)",IF(COUNTIFS(보유목록!$I$2:$I$3001,"*"&amp;P144&amp;"*",보유목록!$I$2:$I$3001,"*"&amp;Q144&amp;"*",보유목록!$H$2:$H$3001,O144)&gt;0,"있음",IF(COUNTIFS(보유목록!$I$2:$I$3001,"*"&amp;P144&amp;"*",보유목록!$I$2:$I$3001,"*"&amp;Q144&amp;"*")&gt;0,"확인필요(연도다름)",IF(COUNTIFS(보유목록!$I$2:$I$3001,"*"&amp;P144&amp;"*",보유목록!$H$2:$H$3001,O144)&gt;0,"확인필요(같은학교·같은연도)","없음")))))</f>
      </c>
      <c r="L144" t="str" s="16">
        <f aca="0">IF(OR(COUNTA(B144:J144)=0,R144&lt;&gt;""),"",COUNTIFS(보유목록!$I$2:$I$3001,"*"&amp;P144&amp;"*",보유목록!$I$2:$I$3001,"*"&amp;Q144&amp;"*"))</f>
      </c>
      <c r="M144" t="str" s="23">
        <f aca="0">IF(OR(COUNTA(B144:J144)=0,R144&lt;&gt;""),"",IFERROR(LOOKUP(2,1/(ISNUMBER(SEARCH(P144,보유목록!$I$2:$I$3001))*ISNUMBER(SEARCH(Q144,보유목록!$I$2:$I$3001))*(보유목록!$H$2:$H$3001=O144)),보유목록!$B$2:$B$3001),IFERROR(LOOKUP(2,1/(ISNUMBER(SEARCH(P144,보유목록!$I$2:$I$3001))*ISNUMBER(SEARCH(Q144,보유목록!$I$2:$I$3001))),보유목록!$B$2:$B$3001),"")))</f>
      </c>
      <c r="N144" s="25"/>
      <c r="O144" t="str">
        <f>IFERROR(IF(AND(LEN(SUBSTITUTE(SUBSTITUTE(SUBSTITUTE(TRIM(C144&amp;""),CHAR(160),"")," ",""),"년",""))=4,VALUE(SUBSTITUTE(SUBSTITUTE(SUBSTITUTE(TRIM(C144&amp;""),CHAR(160),"")," ",""),"년",""))&gt;=1900,VALUE(SUBSTITUTE(SUBSTITUTE(SUBSTITUTE(TRIM(C144&amp;""),CHAR(160),"")," ",""),"년",""))&lt;=2099,TEXT(VALUE(SUBSTITUTE(SUBSTITUTE(SUBSTITUTE(TRIM(C144&amp;""),CHAR(160),"")," ",""),"년","")),"0000")=SUBSTITUTE(SUBSTITUTE(SUBSTITUTE(TRIM(C144&amp;""),CHAR(160),"")," ",""),"년","")),SUBSTITUTE(SUBSTITUTE(SUBSTITUTE(TRIM(C144&amp;""),CHAR(160),"")," ",""),"년",""),""),"")</f>
      </c>
      <c r="P144" t="str">
        <f>SUBSTITUTE(SUBSTITUTE(SUBSTITUTE(SUBSTITUTE(SUBSTITUTE(SUBSTITUTE(SUBSTITUTE(SUBSTITUTE(TRIM(D144&amp;""),CHAR(160),"")," ",""),"초등학교","초"),"중학교","중"),"고등학교","고"),"~","~~"),"*","~*"),"?","~?")</f>
      </c>
      <c r="Q144" t="str">
        <f>SUBSTITUTE(SUBSTITUTE(SUBSTITUTE(SUBSTITUTE(SUBSTITUTE(SUBSTITUTE(SUBSTITUTE(SUBSTITUTE(TRIM(E144&amp;""),CHAR(160),"")," ",""),"초등학교","초"),"중학교","중"),"고등학교","고"),"~","~~"),"*","~*"),"?","~?")</f>
      </c>
      <c r="R144" t="str">
        <f>IF(COUNTA(B144:J144)=0,"",IF(AND(O144&lt;&gt;"",P144&lt;&gt;"",Q144&lt;&gt;""),"","입력누락"))</f>
      </c>
    </row>
    <row r="145" customFormat="false" ht="15" hidden="false" customHeight="false" outlineLevel="0" collapsed="false">
      <c r="A145" t="n" s="19">
        <f aca="0">IF(COUNTA(B145:J145)=0,"",ROW()-1)</f>
      </c>
      <c r="B145" s="24"/>
      <c r="C145" s="25"/>
      <c r="D145" s="8"/>
      <c r="E145" s="8"/>
      <c r="F145" s="26"/>
      <c r="G145" s="24"/>
      <c r="H145" s="25"/>
      <c r="I145" s="25"/>
      <c r="J145" s="26"/>
      <c r="K145" t="str" s="15">
        <f aca="0">IF(COUNTA(B145:J145)=0,"",IF(R145&lt;&gt;"","확인필요(입력누락)",IF(COUNTIFS(보유목록!$I$2:$I$3001,"*"&amp;P145&amp;"*",보유목록!$I$2:$I$3001,"*"&amp;Q145&amp;"*",보유목록!$H$2:$H$3001,O145)&gt;0,"있음",IF(COUNTIFS(보유목록!$I$2:$I$3001,"*"&amp;P145&amp;"*",보유목록!$I$2:$I$3001,"*"&amp;Q145&amp;"*")&gt;0,"확인필요(연도다름)",IF(COUNTIFS(보유목록!$I$2:$I$3001,"*"&amp;P145&amp;"*",보유목록!$H$2:$H$3001,O145)&gt;0,"확인필요(같은학교·같은연도)","없음")))))</f>
      </c>
      <c r="L145" t="str" s="16">
        <f aca="0">IF(OR(COUNTA(B145:J145)=0,R145&lt;&gt;""),"",COUNTIFS(보유목록!$I$2:$I$3001,"*"&amp;P145&amp;"*",보유목록!$I$2:$I$3001,"*"&amp;Q145&amp;"*"))</f>
      </c>
      <c r="M145" t="str" s="23">
        <f aca="0">IF(OR(COUNTA(B145:J145)=0,R145&lt;&gt;""),"",IFERROR(LOOKUP(2,1/(ISNUMBER(SEARCH(P145,보유목록!$I$2:$I$3001))*ISNUMBER(SEARCH(Q145,보유목록!$I$2:$I$3001))*(보유목록!$H$2:$H$3001=O145)),보유목록!$B$2:$B$3001),IFERROR(LOOKUP(2,1/(ISNUMBER(SEARCH(P145,보유목록!$I$2:$I$3001))*ISNUMBER(SEARCH(Q145,보유목록!$I$2:$I$3001))),보유목록!$B$2:$B$3001),"")))</f>
      </c>
      <c r="N145" s="25"/>
      <c r="O145" t="str">
        <f>IFERROR(IF(AND(LEN(SUBSTITUTE(SUBSTITUTE(SUBSTITUTE(TRIM(C145&amp;""),CHAR(160),"")," ",""),"년",""))=4,VALUE(SUBSTITUTE(SUBSTITUTE(SUBSTITUTE(TRIM(C145&amp;""),CHAR(160),"")," ",""),"년",""))&gt;=1900,VALUE(SUBSTITUTE(SUBSTITUTE(SUBSTITUTE(TRIM(C145&amp;""),CHAR(160),"")," ",""),"년",""))&lt;=2099,TEXT(VALUE(SUBSTITUTE(SUBSTITUTE(SUBSTITUTE(TRIM(C145&amp;""),CHAR(160),"")," ",""),"년","")),"0000")=SUBSTITUTE(SUBSTITUTE(SUBSTITUTE(TRIM(C145&amp;""),CHAR(160),"")," ",""),"년","")),SUBSTITUTE(SUBSTITUTE(SUBSTITUTE(TRIM(C145&amp;""),CHAR(160),"")," ",""),"년",""),""),"")</f>
      </c>
      <c r="P145" t="str">
        <f>SUBSTITUTE(SUBSTITUTE(SUBSTITUTE(SUBSTITUTE(SUBSTITUTE(SUBSTITUTE(SUBSTITUTE(SUBSTITUTE(TRIM(D145&amp;""),CHAR(160),"")," ",""),"초등학교","초"),"중학교","중"),"고등학교","고"),"~","~~"),"*","~*"),"?","~?")</f>
      </c>
      <c r="Q145" t="str">
        <f>SUBSTITUTE(SUBSTITUTE(SUBSTITUTE(SUBSTITUTE(SUBSTITUTE(SUBSTITUTE(SUBSTITUTE(SUBSTITUTE(TRIM(E145&amp;""),CHAR(160),"")," ",""),"초등학교","초"),"중학교","중"),"고등학교","고"),"~","~~"),"*","~*"),"?","~?")</f>
      </c>
      <c r="R145" t="str">
        <f>IF(COUNTA(B145:J145)=0,"",IF(AND(O145&lt;&gt;"",P145&lt;&gt;"",Q145&lt;&gt;""),"","입력누락"))</f>
      </c>
    </row>
    <row r="146" customFormat="false" ht="15" hidden="false" customHeight="false" outlineLevel="0" collapsed="false">
      <c r="A146" t="n" s="19">
        <f aca="0">IF(COUNTA(B146:J146)=0,"",ROW()-1)</f>
      </c>
      <c r="B146" s="24"/>
      <c r="C146" s="25"/>
      <c r="D146" s="8"/>
      <c r="E146" s="8"/>
      <c r="F146" s="26"/>
      <c r="G146" s="24"/>
      <c r="H146" s="25"/>
      <c r="I146" s="25"/>
      <c r="J146" s="26"/>
      <c r="K146" t="str" s="15">
        <f aca="0">IF(COUNTA(B146:J146)=0,"",IF(R146&lt;&gt;"","확인필요(입력누락)",IF(COUNTIFS(보유목록!$I$2:$I$3001,"*"&amp;P146&amp;"*",보유목록!$I$2:$I$3001,"*"&amp;Q146&amp;"*",보유목록!$H$2:$H$3001,O146)&gt;0,"있음",IF(COUNTIFS(보유목록!$I$2:$I$3001,"*"&amp;P146&amp;"*",보유목록!$I$2:$I$3001,"*"&amp;Q146&amp;"*")&gt;0,"확인필요(연도다름)",IF(COUNTIFS(보유목록!$I$2:$I$3001,"*"&amp;P146&amp;"*",보유목록!$H$2:$H$3001,O146)&gt;0,"확인필요(같은학교·같은연도)","없음")))))</f>
      </c>
      <c r="L146" t="str" s="16">
        <f aca="0">IF(OR(COUNTA(B146:J146)=0,R146&lt;&gt;""),"",COUNTIFS(보유목록!$I$2:$I$3001,"*"&amp;P146&amp;"*",보유목록!$I$2:$I$3001,"*"&amp;Q146&amp;"*"))</f>
      </c>
      <c r="M146" t="str" s="23">
        <f aca="0">IF(OR(COUNTA(B146:J146)=0,R146&lt;&gt;""),"",IFERROR(LOOKUP(2,1/(ISNUMBER(SEARCH(P146,보유목록!$I$2:$I$3001))*ISNUMBER(SEARCH(Q146,보유목록!$I$2:$I$3001))*(보유목록!$H$2:$H$3001=O146)),보유목록!$B$2:$B$3001),IFERROR(LOOKUP(2,1/(ISNUMBER(SEARCH(P146,보유목록!$I$2:$I$3001))*ISNUMBER(SEARCH(Q146,보유목록!$I$2:$I$3001))),보유목록!$B$2:$B$3001),"")))</f>
      </c>
      <c r="N146" s="25"/>
      <c r="O146" t="str">
        <f>IFERROR(IF(AND(LEN(SUBSTITUTE(SUBSTITUTE(SUBSTITUTE(TRIM(C146&amp;""),CHAR(160),"")," ",""),"년",""))=4,VALUE(SUBSTITUTE(SUBSTITUTE(SUBSTITUTE(TRIM(C146&amp;""),CHAR(160),"")," ",""),"년",""))&gt;=1900,VALUE(SUBSTITUTE(SUBSTITUTE(SUBSTITUTE(TRIM(C146&amp;""),CHAR(160),"")," ",""),"년",""))&lt;=2099,TEXT(VALUE(SUBSTITUTE(SUBSTITUTE(SUBSTITUTE(TRIM(C146&amp;""),CHAR(160),"")," ",""),"년","")),"0000")=SUBSTITUTE(SUBSTITUTE(SUBSTITUTE(TRIM(C146&amp;""),CHAR(160),"")," ",""),"년","")),SUBSTITUTE(SUBSTITUTE(SUBSTITUTE(TRIM(C146&amp;""),CHAR(160),"")," ",""),"년",""),""),"")</f>
      </c>
      <c r="P146" t="str">
        <f>SUBSTITUTE(SUBSTITUTE(SUBSTITUTE(SUBSTITUTE(SUBSTITUTE(SUBSTITUTE(SUBSTITUTE(SUBSTITUTE(TRIM(D146&amp;""),CHAR(160),"")," ",""),"초등학교","초"),"중학교","중"),"고등학교","고"),"~","~~"),"*","~*"),"?","~?")</f>
      </c>
      <c r="Q146" t="str">
        <f>SUBSTITUTE(SUBSTITUTE(SUBSTITUTE(SUBSTITUTE(SUBSTITUTE(SUBSTITUTE(SUBSTITUTE(SUBSTITUTE(TRIM(E146&amp;""),CHAR(160),"")," ",""),"초등학교","초"),"중학교","중"),"고등학교","고"),"~","~~"),"*","~*"),"?","~?")</f>
      </c>
      <c r="R146" t="str">
        <f>IF(COUNTA(B146:J146)=0,"",IF(AND(O146&lt;&gt;"",P146&lt;&gt;"",Q146&lt;&gt;""),"","입력누락"))</f>
      </c>
    </row>
    <row r="147" customFormat="false" ht="15" hidden="false" customHeight="false" outlineLevel="0" collapsed="false">
      <c r="A147" t="n" s="19">
        <f aca="0">IF(COUNTA(B147:J147)=0,"",ROW()-1)</f>
      </c>
      <c r="B147" s="24"/>
      <c r="C147" s="25"/>
      <c r="D147" s="8"/>
      <c r="E147" s="8"/>
      <c r="F147" s="26"/>
      <c r="G147" s="24"/>
      <c r="H147" s="25"/>
      <c r="I147" s="25"/>
      <c r="J147" s="26"/>
      <c r="K147" t="str" s="15">
        <f aca="0">IF(COUNTA(B147:J147)=0,"",IF(R147&lt;&gt;"","확인필요(입력누락)",IF(COUNTIFS(보유목록!$I$2:$I$3001,"*"&amp;P147&amp;"*",보유목록!$I$2:$I$3001,"*"&amp;Q147&amp;"*",보유목록!$H$2:$H$3001,O147)&gt;0,"있음",IF(COUNTIFS(보유목록!$I$2:$I$3001,"*"&amp;P147&amp;"*",보유목록!$I$2:$I$3001,"*"&amp;Q147&amp;"*")&gt;0,"확인필요(연도다름)",IF(COUNTIFS(보유목록!$I$2:$I$3001,"*"&amp;P147&amp;"*",보유목록!$H$2:$H$3001,O147)&gt;0,"확인필요(같은학교·같은연도)","없음")))))</f>
      </c>
      <c r="L147" t="str" s="16">
        <f aca="0">IF(OR(COUNTA(B147:J147)=0,R147&lt;&gt;""),"",COUNTIFS(보유목록!$I$2:$I$3001,"*"&amp;P147&amp;"*",보유목록!$I$2:$I$3001,"*"&amp;Q147&amp;"*"))</f>
      </c>
      <c r="M147" t="str" s="23">
        <f aca="0">IF(OR(COUNTA(B147:J147)=0,R147&lt;&gt;""),"",IFERROR(LOOKUP(2,1/(ISNUMBER(SEARCH(P147,보유목록!$I$2:$I$3001))*ISNUMBER(SEARCH(Q147,보유목록!$I$2:$I$3001))*(보유목록!$H$2:$H$3001=O147)),보유목록!$B$2:$B$3001),IFERROR(LOOKUP(2,1/(ISNUMBER(SEARCH(P147,보유목록!$I$2:$I$3001))*ISNUMBER(SEARCH(Q147,보유목록!$I$2:$I$3001))),보유목록!$B$2:$B$3001),"")))</f>
      </c>
      <c r="N147" s="25"/>
      <c r="O147" t="str">
        <f>IFERROR(IF(AND(LEN(SUBSTITUTE(SUBSTITUTE(SUBSTITUTE(TRIM(C147&amp;""),CHAR(160),"")," ",""),"년",""))=4,VALUE(SUBSTITUTE(SUBSTITUTE(SUBSTITUTE(TRIM(C147&amp;""),CHAR(160),"")," ",""),"년",""))&gt;=1900,VALUE(SUBSTITUTE(SUBSTITUTE(SUBSTITUTE(TRIM(C147&amp;""),CHAR(160),"")," ",""),"년",""))&lt;=2099,TEXT(VALUE(SUBSTITUTE(SUBSTITUTE(SUBSTITUTE(TRIM(C147&amp;""),CHAR(160),"")," ",""),"년","")),"0000")=SUBSTITUTE(SUBSTITUTE(SUBSTITUTE(TRIM(C147&amp;""),CHAR(160),"")," ",""),"년","")),SUBSTITUTE(SUBSTITUTE(SUBSTITUTE(TRIM(C147&amp;""),CHAR(160),"")," ",""),"년",""),""),"")</f>
      </c>
      <c r="P147" t="str">
        <f>SUBSTITUTE(SUBSTITUTE(SUBSTITUTE(SUBSTITUTE(SUBSTITUTE(SUBSTITUTE(SUBSTITUTE(SUBSTITUTE(TRIM(D147&amp;""),CHAR(160),"")," ",""),"초등학교","초"),"중학교","중"),"고등학교","고"),"~","~~"),"*","~*"),"?","~?")</f>
      </c>
      <c r="Q147" t="str">
        <f>SUBSTITUTE(SUBSTITUTE(SUBSTITUTE(SUBSTITUTE(SUBSTITUTE(SUBSTITUTE(SUBSTITUTE(SUBSTITUTE(TRIM(E147&amp;""),CHAR(160),"")," ",""),"초등학교","초"),"중학교","중"),"고등학교","고"),"~","~~"),"*","~*"),"?","~?")</f>
      </c>
      <c r="R147" t="str">
        <f>IF(COUNTA(B147:J147)=0,"",IF(AND(O147&lt;&gt;"",P147&lt;&gt;"",Q147&lt;&gt;""),"","입력누락"))</f>
      </c>
    </row>
    <row r="148" customFormat="false" ht="15" hidden="false" customHeight="false" outlineLevel="0" collapsed="false">
      <c r="A148" t="n" s="19">
        <f aca="0">IF(COUNTA(B148:J148)=0,"",ROW()-1)</f>
      </c>
      <c r="B148" s="24"/>
      <c r="C148" s="25"/>
      <c r="D148" s="8"/>
      <c r="E148" s="8"/>
      <c r="F148" s="26"/>
      <c r="G148" s="24"/>
      <c r="H148" s="25"/>
      <c r="I148" s="25"/>
      <c r="J148" s="26"/>
      <c r="K148" t="str" s="15">
        <f aca="0">IF(COUNTA(B148:J148)=0,"",IF(R148&lt;&gt;"","확인필요(입력누락)",IF(COUNTIFS(보유목록!$I$2:$I$3001,"*"&amp;P148&amp;"*",보유목록!$I$2:$I$3001,"*"&amp;Q148&amp;"*",보유목록!$H$2:$H$3001,O148)&gt;0,"있음",IF(COUNTIFS(보유목록!$I$2:$I$3001,"*"&amp;P148&amp;"*",보유목록!$I$2:$I$3001,"*"&amp;Q148&amp;"*")&gt;0,"확인필요(연도다름)",IF(COUNTIFS(보유목록!$I$2:$I$3001,"*"&amp;P148&amp;"*",보유목록!$H$2:$H$3001,O148)&gt;0,"확인필요(같은학교·같은연도)","없음")))))</f>
      </c>
      <c r="L148" t="str" s="16">
        <f aca="0">IF(OR(COUNTA(B148:J148)=0,R148&lt;&gt;""),"",COUNTIFS(보유목록!$I$2:$I$3001,"*"&amp;P148&amp;"*",보유목록!$I$2:$I$3001,"*"&amp;Q148&amp;"*"))</f>
      </c>
      <c r="M148" t="str" s="23">
        <f aca="0">IF(OR(COUNTA(B148:J148)=0,R148&lt;&gt;""),"",IFERROR(LOOKUP(2,1/(ISNUMBER(SEARCH(P148,보유목록!$I$2:$I$3001))*ISNUMBER(SEARCH(Q148,보유목록!$I$2:$I$3001))*(보유목록!$H$2:$H$3001=O148)),보유목록!$B$2:$B$3001),IFERROR(LOOKUP(2,1/(ISNUMBER(SEARCH(P148,보유목록!$I$2:$I$3001))*ISNUMBER(SEARCH(Q148,보유목록!$I$2:$I$3001))),보유목록!$B$2:$B$3001),"")))</f>
      </c>
      <c r="N148" s="25"/>
      <c r="O148" t="str">
        <f>IFERROR(IF(AND(LEN(SUBSTITUTE(SUBSTITUTE(SUBSTITUTE(TRIM(C148&amp;""),CHAR(160),"")," ",""),"년",""))=4,VALUE(SUBSTITUTE(SUBSTITUTE(SUBSTITUTE(TRIM(C148&amp;""),CHAR(160),"")," ",""),"년",""))&gt;=1900,VALUE(SUBSTITUTE(SUBSTITUTE(SUBSTITUTE(TRIM(C148&amp;""),CHAR(160),"")," ",""),"년",""))&lt;=2099,TEXT(VALUE(SUBSTITUTE(SUBSTITUTE(SUBSTITUTE(TRIM(C148&amp;""),CHAR(160),"")," ",""),"년","")),"0000")=SUBSTITUTE(SUBSTITUTE(SUBSTITUTE(TRIM(C148&amp;""),CHAR(160),"")," ",""),"년","")),SUBSTITUTE(SUBSTITUTE(SUBSTITUTE(TRIM(C148&amp;""),CHAR(160),"")," ",""),"년",""),""),"")</f>
      </c>
      <c r="P148" t="str">
        <f>SUBSTITUTE(SUBSTITUTE(SUBSTITUTE(SUBSTITUTE(SUBSTITUTE(SUBSTITUTE(SUBSTITUTE(SUBSTITUTE(TRIM(D148&amp;""),CHAR(160),"")," ",""),"초등학교","초"),"중학교","중"),"고등학교","고"),"~","~~"),"*","~*"),"?","~?")</f>
      </c>
      <c r="Q148" t="str">
        <f>SUBSTITUTE(SUBSTITUTE(SUBSTITUTE(SUBSTITUTE(SUBSTITUTE(SUBSTITUTE(SUBSTITUTE(SUBSTITUTE(TRIM(E148&amp;""),CHAR(160),"")," ",""),"초등학교","초"),"중학교","중"),"고등학교","고"),"~","~~"),"*","~*"),"?","~?")</f>
      </c>
      <c r="R148" t="str">
        <f>IF(COUNTA(B148:J148)=0,"",IF(AND(O148&lt;&gt;"",P148&lt;&gt;"",Q148&lt;&gt;""),"","입력누락"))</f>
      </c>
    </row>
    <row r="149" customFormat="false" ht="15" hidden="false" customHeight="false" outlineLevel="0" collapsed="false">
      <c r="A149" t="n" s="19">
        <f aca="0">IF(COUNTA(B149:J149)=0,"",ROW()-1)</f>
      </c>
      <c r="B149" s="24"/>
      <c r="C149" s="25"/>
      <c r="D149" s="8"/>
      <c r="E149" s="8"/>
      <c r="F149" s="26"/>
      <c r="G149" s="24"/>
      <c r="H149" s="25"/>
      <c r="I149" s="25"/>
      <c r="J149" s="26"/>
      <c r="K149" t="str" s="15">
        <f aca="0">IF(COUNTA(B149:J149)=0,"",IF(R149&lt;&gt;"","확인필요(입력누락)",IF(COUNTIFS(보유목록!$I$2:$I$3001,"*"&amp;P149&amp;"*",보유목록!$I$2:$I$3001,"*"&amp;Q149&amp;"*",보유목록!$H$2:$H$3001,O149)&gt;0,"있음",IF(COUNTIFS(보유목록!$I$2:$I$3001,"*"&amp;P149&amp;"*",보유목록!$I$2:$I$3001,"*"&amp;Q149&amp;"*")&gt;0,"확인필요(연도다름)",IF(COUNTIFS(보유목록!$I$2:$I$3001,"*"&amp;P149&amp;"*",보유목록!$H$2:$H$3001,O149)&gt;0,"확인필요(같은학교·같은연도)","없음")))))</f>
      </c>
      <c r="L149" t="str" s="16">
        <f aca="0">IF(OR(COUNTA(B149:J149)=0,R149&lt;&gt;""),"",COUNTIFS(보유목록!$I$2:$I$3001,"*"&amp;P149&amp;"*",보유목록!$I$2:$I$3001,"*"&amp;Q149&amp;"*"))</f>
      </c>
      <c r="M149" t="str" s="23">
        <f aca="0">IF(OR(COUNTA(B149:J149)=0,R149&lt;&gt;""),"",IFERROR(LOOKUP(2,1/(ISNUMBER(SEARCH(P149,보유목록!$I$2:$I$3001))*ISNUMBER(SEARCH(Q149,보유목록!$I$2:$I$3001))*(보유목록!$H$2:$H$3001=O149)),보유목록!$B$2:$B$3001),IFERROR(LOOKUP(2,1/(ISNUMBER(SEARCH(P149,보유목록!$I$2:$I$3001))*ISNUMBER(SEARCH(Q149,보유목록!$I$2:$I$3001))),보유목록!$B$2:$B$3001),"")))</f>
      </c>
      <c r="N149" s="25"/>
      <c r="O149" t="str">
        <f>IFERROR(IF(AND(LEN(SUBSTITUTE(SUBSTITUTE(SUBSTITUTE(TRIM(C149&amp;""),CHAR(160),"")," ",""),"년",""))=4,VALUE(SUBSTITUTE(SUBSTITUTE(SUBSTITUTE(TRIM(C149&amp;""),CHAR(160),"")," ",""),"년",""))&gt;=1900,VALUE(SUBSTITUTE(SUBSTITUTE(SUBSTITUTE(TRIM(C149&amp;""),CHAR(160),"")," ",""),"년",""))&lt;=2099,TEXT(VALUE(SUBSTITUTE(SUBSTITUTE(SUBSTITUTE(TRIM(C149&amp;""),CHAR(160),"")," ",""),"년","")),"0000")=SUBSTITUTE(SUBSTITUTE(SUBSTITUTE(TRIM(C149&amp;""),CHAR(160),"")," ",""),"년","")),SUBSTITUTE(SUBSTITUTE(SUBSTITUTE(TRIM(C149&amp;""),CHAR(160),"")," ",""),"년",""),""),"")</f>
      </c>
      <c r="P149" t="str">
        <f>SUBSTITUTE(SUBSTITUTE(SUBSTITUTE(SUBSTITUTE(SUBSTITUTE(SUBSTITUTE(SUBSTITUTE(SUBSTITUTE(TRIM(D149&amp;""),CHAR(160),"")," ",""),"초등학교","초"),"중학교","중"),"고등학교","고"),"~","~~"),"*","~*"),"?","~?")</f>
      </c>
      <c r="Q149" t="str">
        <f>SUBSTITUTE(SUBSTITUTE(SUBSTITUTE(SUBSTITUTE(SUBSTITUTE(SUBSTITUTE(SUBSTITUTE(SUBSTITUTE(TRIM(E149&amp;""),CHAR(160),"")," ",""),"초등학교","초"),"중학교","중"),"고등학교","고"),"~","~~"),"*","~*"),"?","~?")</f>
      </c>
      <c r="R149" t="str">
        <f>IF(COUNTA(B149:J149)=0,"",IF(AND(O149&lt;&gt;"",P149&lt;&gt;"",Q149&lt;&gt;""),"","입력누락"))</f>
      </c>
    </row>
    <row r="150" customFormat="false" ht="15" hidden="false" customHeight="false" outlineLevel="0" collapsed="false">
      <c r="A150" t="n" s="19">
        <f aca="0">IF(COUNTA(B150:J150)=0,"",ROW()-1)</f>
      </c>
      <c r="B150" s="24"/>
      <c r="C150" s="25"/>
      <c r="D150" s="8"/>
      <c r="E150" s="8"/>
      <c r="F150" s="26"/>
      <c r="G150" s="24"/>
      <c r="H150" s="25"/>
      <c r="I150" s="25"/>
      <c r="J150" s="26"/>
      <c r="K150" t="str" s="15">
        <f aca="0">IF(COUNTA(B150:J150)=0,"",IF(R150&lt;&gt;"","확인필요(입력누락)",IF(COUNTIFS(보유목록!$I$2:$I$3001,"*"&amp;P150&amp;"*",보유목록!$I$2:$I$3001,"*"&amp;Q150&amp;"*",보유목록!$H$2:$H$3001,O150)&gt;0,"있음",IF(COUNTIFS(보유목록!$I$2:$I$3001,"*"&amp;P150&amp;"*",보유목록!$I$2:$I$3001,"*"&amp;Q150&amp;"*")&gt;0,"확인필요(연도다름)",IF(COUNTIFS(보유목록!$I$2:$I$3001,"*"&amp;P150&amp;"*",보유목록!$H$2:$H$3001,O150)&gt;0,"확인필요(같은학교·같은연도)","없음")))))</f>
      </c>
      <c r="L150" t="str" s="16">
        <f aca="0">IF(OR(COUNTA(B150:J150)=0,R150&lt;&gt;""),"",COUNTIFS(보유목록!$I$2:$I$3001,"*"&amp;P150&amp;"*",보유목록!$I$2:$I$3001,"*"&amp;Q150&amp;"*"))</f>
      </c>
      <c r="M150" t="str" s="23">
        <f aca="0">IF(OR(COUNTA(B150:J150)=0,R150&lt;&gt;""),"",IFERROR(LOOKUP(2,1/(ISNUMBER(SEARCH(P150,보유목록!$I$2:$I$3001))*ISNUMBER(SEARCH(Q150,보유목록!$I$2:$I$3001))*(보유목록!$H$2:$H$3001=O150)),보유목록!$B$2:$B$3001),IFERROR(LOOKUP(2,1/(ISNUMBER(SEARCH(P150,보유목록!$I$2:$I$3001))*ISNUMBER(SEARCH(Q150,보유목록!$I$2:$I$3001))),보유목록!$B$2:$B$3001),"")))</f>
      </c>
      <c r="N150" s="25"/>
      <c r="O150" t="str">
        <f>IFERROR(IF(AND(LEN(SUBSTITUTE(SUBSTITUTE(SUBSTITUTE(TRIM(C150&amp;""),CHAR(160),"")," ",""),"년",""))=4,VALUE(SUBSTITUTE(SUBSTITUTE(SUBSTITUTE(TRIM(C150&amp;""),CHAR(160),"")," ",""),"년",""))&gt;=1900,VALUE(SUBSTITUTE(SUBSTITUTE(SUBSTITUTE(TRIM(C150&amp;""),CHAR(160),"")," ",""),"년",""))&lt;=2099,TEXT(VALUE(SUBSTITUTE(SUBSTITUTE(SUBSTITUTE(TRIM(C150&amp;""),CHAR(160),"")," ",""),"년","")),"0000")=SUBSTITUTE(SUBSTITUTE(SUBSTITUTE(TRIM(C150&amp;""),CHAR(160),"")," ",""),"년","")),SUBSTITUTE(SUBSTITUTE(SUBSTITUTE(TRIM(C150&amp;""),CHAR(160),"")," ",""),"년",""),""),"")</f>
      </c>
      <c r="P150" t="str">
        <f>SUBSTITUTE(SUBSTITUTE(SUBSTITUTE(SUBSTITUTE(SUBSTITUTE(SUBSTITUTE(SUBSTITUTE(SUBSTITUTE(TRIM(D150&amp;""),CHAR(160),"")," ",""),"초등학교","초"),"중학교","중"),"고등학교","고"),"~","~~"),"*","~*"),"?","~?")</f>
      </c>
      <c r="Q150" t="str">
        <f>SUBSTITUTE(SUBSTITUTE(SUBSTITUTE(SUBSTITUTE(SUBSTITUTE(SUBSTITUTE(SUBSTITUTE(SUBSTITUTE(TRIM(E150&amp;""),CHAR(160),"")," ",""),"초등학교","초"),"중학교","중"),"고등학교","고"),"~","~~"),"*","~*"),"?","~?")</f>
      </c>
      <c r="R150" t="str">
        <f>IF(COUNTA(B150:J150)=0,"",IF(AND(O150&lt;&gt;"",P150&lt;&gt;"",Q150&lt;&gt;""),"","입력누락"))</f>
      </c>
    </row>
    <row r="151" customFormat="false" ht="15" hidden="false" customHeight="false" outlineLevel="0" collapsed="false">
      <c r="A151" t="n" s="19">
        <f aca="0">IF(COUNTA(B151:J151)=0,"",ROW()-1)</f>
      </c>
      <c r="B151" s="24"/>
      <c r="C151" s="25"/>
      <c r="D151" s="8"/>
      <c r="E151" s="8"/>
      <c r="F151" s="26"/>
      <c r="G151" s="24"/>
      <c r="H151" s="25"/>
      <c r="I151" s="25"/>
      <c r="J151" s="26"/>
      <c r="K151" t="str" s="15">
        <f aca="0">IF(COUNTA(B151:J151)=0,"",IF(R151&lt;&gt;"","확인필요(입력누락)",IF(COUNTIFS(보유목록!$I$2:$I$3001,"*"&amp;P151&amp;"*",보유목록!$I$2:$I$3001,"*"&amp;Q151&amp;"*",보유목록!$H$2:$H$3001,O151)&gt;0,"있음",IF(COUNTIFS(보유목록!$I$2:$I$3001,"*"&amp;P151&amp;"*",보유목록!$I$2:$I$3001,"*"&amp;Q151&amp;"*")&gt;0,"확인필요(연도다름)",IF(COUNTIFS(보유목록!$I$2:$I$3001,"*"&amp;P151&amp;"*",보유목록!$H$2:$H$3001,O151)&gt;0,"확인필요(같은학교·같은연도)","없음")))))</f>
      </c>
      <c r="L151" t="str" s="16">
        <f aca="0">IF(OR(COUNTA(B151:J151)=0,R151&lt;&gt;""),"",COUNTIFS(보유목록!$I$2:$I$3001,"*"&amp;P151&amp;"*",보유목록!$I$2:$I$3001,"*"&amp;Q151&amp;"*"))</f>
      </c>
      <c r="M151" t="str" s="23">
        <f aca="0">IF(OR(COUNTA(B151:J151)=0,R151&lt;&gt;""),"",IFERROR(LOOKUP(2,1/(ISNUMBER(SEARCH(P151,보유목록!$I$2:$I$3001))*ISNUMBER(SEARCH(Q151,보유목록!$I$2:$I$3001))*(보유목록!$H$2:$H$3001=O151)),보유목록!$B$2:$B$3001),IFERROR(LOOKUP(2,1/(ISNUMBER(SEARCH(P151,보유목록!$I$2:$I$3001))*ISNUMBER(SEARCH(Q151,보유목록!$I$2:$I$3001))),보유목록!$B$2:$B$3001),"")))</f>
      </c>
      <c r="N151" s="25"/>
      <c r="O151" t="str">
        <f>IFERROR(IF(AND(LEN(SUBSTITUTE(SUBSTITUTE(SUBSTITUTE(TRIM(C151&amp;""),CHAR(160),"")," ",""),"년",""))=4,VALUE(SUBSTITUTE(SUBSTITUTE(SUBSTITUTE(TRIM(C151&amp;""),CHAR(160),"")," ",""),"년",""))&gt;=1900,VALUE(SUBSTITUTE(SUBSTITUTE(SUBSTITUTE(TRIM(C151&amp;""),CHAR(160),"")," ",""),"년",""))&lt;=2099,TEXT(VALUE(SUBSTITUTE(SUBSTITUTE(SUBSTITUTE(TRIM(C151&amp;""),CHAR(160),"")," ",""),"년","")),"0000")=SUBSTITUTE(SUBSTITUTE(SUBSTITUTE(TRIM(C151&amp;""),CHAR(160),"")," ",""),"년","")),SUBSTITUTE(SUBSTITUTE(SUBSTITUTE(TRIM(C151&amp;""),CHAR(160),"")," ",""),"년",""),""),"")</f>
      </c>
      <c r="P151" t="str">
        <f>SUBSTITUTE(SUBSTITUTE(SUBSTITUTE(SUBSTITUTE(SUBSTITUTE(SUBSTITUTE(SUBSTITUTE(SUBSTITUTE(TRIM(D151&amp;""),CHAR(160),"")," ",""),"초등학교","초"),"중학교","중"),"고등학교","고"),"~","~~"),"*","~*"),"?","~?")</f>
      </c>
      <c r="Q151" t="str">
        <f>SUBSTITUTE(SUBSTITUTE(SUBSTITUTE(SUBSTITUTE(SUBSTITUTE(SUBSTITUTE(SUBSTITUTE(SUBSTITUTE(TRIM(E151&amp;""),CHAR(160),"")," ",""),"초등학교","초"),"중학교","중"),"고등학교","고"),"~","~~"),"*","~*"),"?","~?")</f>
      </c>
      <c r="R151" t="str">
        <f>IF(COUNTA(B151:J151)=0,"",IF(AND(O151&lt;&gt;"",P151&lt;&gt;"",Q151&lt;&gt;""),"","입력누락"))</f>
      </c>
    </row>
    <row r="152" customFormat="false" ht="15" hidden="false" customHeight="false" outlineLevel="0" collapsed="false">
      <c r="A152" t="n" s="19">
        <f aca="0">IF(COUNTA(B152:J152)=0,"",ROW()-1)</f>
      </c>
      <c r="B152" s="24"/>
      <c r="C152" s="25"/>
      <c r="D152" s="8"/>
      <c r="E152" s="8"/>
      <c r="F152" s="26"/>
      <c r="G152" s="24"/>
      <c r="H152" s="25"/>
      <c r="I152" s="25"/>
      <c r="J152" s="26"/>
      <c r="K152" t="str" s="15">
        <f aca="0">IF(COUNTA(B152:J152)=0,"",IF(R152&lt;&gt;"","확인필요(입력누락)",IF(COUNTIFS(보유목록!$I$2:$I$3001,"*"&amp;P152&amp;"*",보유목록!$I$2:$I$3001,"*"&amp;Q152&amp;"*",보유목록!$H$2:$H$3001,O152)&gt;0,"있음",IF(COUNTIFS(보유목록!$I$2:$I$3001,"*"&amp;P152&amp;"*",보유목록!$I$2:$I$3001,"*"&amp;Q152&amp;"*")&gt;0,"확인필요(연도다름)",IF(COUNTIFS(보유목록!$I$2:$I$3001,"*"&amp;P152&amp;"*",보유목록!$H$2:$H$3001,O152)&gt;0,"확인필요(같은학교·같은연도)","없음")))))</f>
      </c>
      <c r="L152" t="str" s="16">
        <f aca="0">IF(OR(COUNTA(B152:J152)=0,R152&lt;&gt;""),"",COUNTIFS(보유목록!$I$2:$I$3001,"*"&amp;P152&amp;"*",보유목록!$I$2:$I$3001,"*"&amp;Q152&amp;"*"))</f>
      </c>
      <c r="M152" t="str" s="23">
        <f aca="0">IF(OR(COUNTA(B152:J152)=0,R152&lt;&gt;""),"",IFERROR(LOOKUP(2,1/(ISNUMBER(SEARCH(P152,보유목록!$I$2:$I$3001))*ISNUMBER(SEARCH(Q152,보유목록!$I$2:$I$3001))*(보유목록!$H$2:$H$3001=O152)),보유목록!$B$2:$B$3001),IFERROR(LOOKUP(2,1/(ISNUMBER(SEARCH(P152,보유목록!$I$2:$I$3001))*ISNUMBER(SEARCH(Q152,보유목록!$I$2:$I$3001))),보유목록!$B$2:$B$3001),"")))</f>
      </c>
      <c r="N152" s="25"/>
      <c r="O152" t="str">
        <f>IFERROR(IF(AND(LEN(SUBSTITUTE(SUBSTITUTE(SUBSTITUTE(TRIM(C152&amp;""),CHAR(160),"")," ",""),"년",""))=4,VALUE(SUBSTITUTE(SUBSTITUTE(SUBSTITUTE(TRIM(C152&amp;""),CHAR(160),"")," ",""),"년",""))&gt;=1900,VALUE(SUBSTITUTE(SUBSTITUTE(SUBSTITUTE(TRIM(C152&amp;""),CHAR(160),"")," ",""),"년",""))&lt;=2099,TEXT(VALUE(SUBSTITUTE(SUBSTITUTE(SUBSTITUTE(TRIM(C152&amp;""),CHAR(160),"")," ",""),"년","")),"0000")=SUBSTITUTE(SUBSTITUTE(SUBSTITUTE(TRIM(C152&amp;""),CHAR(160),"")," ",""),"년","")),SUBSTITUTE(SUBSTITUTE(SUBSTITUTE(TRIM(C152&amp;""),CHAR(160),"")," ",""),"년",""),""),"")</f>
      </c>
      <c r="P152" t="str">
        <f>SUBSTITUTE(SUBSTITUTE(SUBSTITUTE(SUBSTITUTE(SUBSTITUTE(SUBSTITUTE(SUBSTITUTE(SUBSTITUTE(TRIM(D152&amp;""),CHAR(160),"")," ",""),"초등학교","초"),"중학교","중"),"고등학교","고"),"~","~~"),"*","~*"),"?","~?")</f>
      </c>
      <c r="Q152" t="str">
        <f>SUBSTITUTE(SUBSTITUTE(SUBSTITUTE(SUBSTITUTE(SUBSTITUTE(SUBSTITUTE(SUBSTITUTE(SUBSTITUTE(TRIM(E152&amp;""),CHAR(160),"")," ",""),"초등학교","초"),"중학교","중"),"고등학교","고"),"~","~~"),"*","~*"),"?","~?")</f>
      </c>
      <c r="R152" t="str">
        <f>IF(COUNTA(B152:J152)=0,"",IF(AND(O152&lt;&gt;"",P152&lt;&gt;"",Q152&lt;&gt;""),"","입력누락"))</f>
      </c>
    </row>
    <row r="153" customFormat="false" ht="15" hidden="false" customHeight="false" outlineLevel="0" collapsed="false">
      <c r="A153" t="n" s="19">
        <f aca="0">IF(COUNTA(B153:J153)=0,"",ROW()-1)</f>
      </c>
      <c r="B153" s="24"/>
      <c r="C153" s="25"/>
      <c r="D153" s="8"/>
      <c r="E153" s="8"/>
      <c r="F153" s="26"/>
      <c r="G153" s="24"/>
      <c r="H153" s="25"/>
      <c r="I153" s="25"/>
      <c r="J153" s="26"/>
      <c r="K153" t="str" s="15">
        <f aca="0">IF(COUNTA(B153:J153)=0,"",IF(R153&lt;&gt;"","확인필요(입력누락)",IF(COUNTIFS(보유목록!$I$2:$I$3001,"*"&amp;P153&amp;"*",보유목록!$I$2:$I$3001,"*"&amp;Q153&amp;"*",보유목록!$H$2:$H$3001,O153)&gt;0,"있음",IF(COUNTIFS(보유목록!$I$2:$I$3001,"*"&amp;P153&amp;"*",보유목록!$I$2:$I$3001,"*"&amp;Q153&amp;"*")&gt;0,"확인필요(연도다름)",IF(COUNTIFS(보유목록!$I$2:$I$3001,"*"&amp;P153&amp;"*",보유목록!$H$2:$H$3001,O153)&gt;0,"확인필요(같은학교·같은연도)","없음")))))</f>
      </c>
      <c r="L153" t="str" s="16">
        <f aca="0">IF(OR(COUNTA(B153:J153)=0,R153&lt;&gt;""),"",COUNTIFS(보유목록!$I$2:$I$3001,"*"&amp;P153&amp;"*",보유목록!$I$2:$I$3001,"*"&amp;Q153&amp;"*"))</f>
      </c>
      <c r="M153" t="str" s="23">
        <f aca="0">IF(OR(COUNTA(B153:J153)=0,R153&lt;&gt;""),"",IFERROR(LOOKUP(2,1/(ISNUMBER(SEARCH(P153,보유목록!$I$2:$I$3001))*ISNUMBER(SEARCH(Q153,보유목록!$I$2:$I$3001))*(보유목록!$H$2:$H$3001=O153)),보유목록!$B$2:$B$3001),IFERROR(LOOKUP(2,1/(ISNUMBER(SEARCH(P153,보유목록!$I$2:$I$3001))*ISNUMBER(SEARCH(Q153,보유목록!$I$2:$I$3001))),보유목록!$B$2:$B$3001),"")))</f>
      </c>
      <c r="N153" s="25"/>
      <c r="O153" t="str">
        <f>IFERROR(IF(AND(LEN(SUBSTITUTE(SUBSTITUTE(SUBSTITUTE(TRIM(C153&amp;""),CHAR(160),"")," ",""),"년",""))=4,VALUE(SUBSTITUTE(SUBSTITUTE(SUBSTITUTE(TRIM(C153&amp;""),CHAR(160),"")," ",""),"년",""))&gt;=1900,VALUE(SUBSTITUTE(SUBSTITUTE(SUBSTITUTE(TRIM(C153&amp;""),CHAR(160),"")," ",""),"년",""))&lt;=2099,TEXT(VALUE(SUBSTITUTE(SUBSTITUTE(SUBSTITUTE(TRIM(C153&amp;""),CHAR(160),"")," ",""),"년","")),"0000")=SUBSTITUTE(SUBSTITUTE(SUBSTITUTE(TRIM(C153&amp;""),CHAR(160),"")," ",""),"년","")),SUBSTITUTE(SUBSTITUTE(SUBSTITUTE(TRIM(C153&amp;""),CHAR(160),"")," ",""),"년",""),""),"")</f>
      </c>
      <c r="P153" t="str">
        <f>SUBSTITUTE(SUBSTITUTE(SUBSTITUTE(SUBSTITUTE(SUBSTITUTE(SUBSTITUTE(SUBSTITUTE(SUBSTITUTE(TRIM(D153&amp;""),CHAR(160),"")," ",""),"초등학교","초"),"중학교","중"),"고등학교","고"),"~","~~"),"*","~*"),"?","~?")</f>
      </c>
      <c r="Q153" t="str">
        <f>SUBSTITUTE(SUBSTITUTE(SUBSTITUTE(SUBSTITUTE(SUBSTITUTE(SUBSTITUTE(SUBSTITUTE(SUBSTITUTE(TRIM(E153&amp;""),CHAR(160),"")," ",""),"초등학교","초"),"중학교","중"),"고등학교","고"),"~","~~"),"*","~*"),"?","~?")</f>
      </c>
      <c r="R153" t="str">
        <f>IF(COUNTA(B153:J153)=0,"",IF(AND(O153&lt;&gt;"",P153&lt;&gt;"",Q153&lt;&gt;""),"","입력누락"))</f>
      </c>
    </row>
    <row r="154" customFormat="false" ht="15" hidden="false" customHeight="false" outlineLevel="0" collapsed="false">
      <c r="A154" t="n" s="19">
        <f aca="0">IF(COUNTA(B154:J154)=0,"",ROW()-1)</f>
      </c>
      <c r="B154" s="24"/>
      <c r="C154" s="25"/>
      <c r="D154" s="8"/>
      <c r="E154" s="8"/>
      <c r="F154" s="26"/>
      <c r="G154" s="24"/>
      <c r="H154" s="25"/>
      <c r="I154" s="25"/>
      <c r="J154" s="26"/>
      <c r="K154" t="str" s="15">
        <f aca="0">IF(COUNTA(B154:J154)=0,"",IF(R154&lt;&gt;"","확인필요(입력누락)",IF(COUNTIFS(보유목록!$I$2:$I$3001,"*"&amp;P154&amp;"*",보유목록!$I$2:$I$3001,"*"&amp;Q154&amp;"*",보유목록!$H$2:$H$3001,O154)&gt;0,"있음",IF(COUNTIFS(보유목록!$I$2:$I$3001,"*"&amp;P154&amp;"*",보유목록!$I$2:$I$3001,"*"&amp;Q154&amp;"*")&gt;0,"확인필요(연도다름)",IF(COUNTIFS(보유목록!$I$2:$I$3001,"*"&amp;P154&amp;"*",보유목록!$H$2:$H$3001,O154)&gt;0,"확인필요(같은학교·같은연도)","없음")))))</f>
      </c>
      <c r="L154" t="str" s="16">
        <f aca="0">IF(OR(COUNTA(B154:J154)=0,R154&lt;&gt;""),"",COUNTIFS(보유목록!$I$2:$I$3001,"*"&amp;P154&amp;"*",보유목록!$I$2:$I$3001,"*"&amp;Q154&amp;"*"))</f>
      </c>
      <c r="M154" t="str" s="23">
        <f aca="0">IF(OR(COUNTA(B154:J154)=0,R154&lt;&gt;""),"",IFERROR(LOOKUP(2,1/(ISNUMBER(SEARCH(P154,보유목록!$I$2:$I$3001))*ISNUMBER(SEARCH(Q154,보유목록!$I$2:$I$3001))*(보유목록!$H$2:$H$3001=O154)),보유목록!$B$2:$B$3001),IFERROR(LOOKUP(2,1/(ISNUMBER(SEARCH(P154,보유목록!$I$2:$I$3001))*ISNUMBER(SEARCH(Q154,보유목록!$I$2:$I$3001))),보유목록!$B$2:$B$3001),"")))</f>
      </c>
      <c r="N154" s="25"/>
      <c r="O154" t="str">
        <f>IFERROR(IF(AND(LEN(SUBSTITUTE(SUBSTITUTE(SUBSTITUTE(TRIM(C154&amp;""),CHAR(160),"")," ",""),"년",""))=4,VALUE(SUBSTITUTE(SUBSTITUTE(SUBSTITUTE(TRIM(C154&amp;""),CHAR(160),"")," ",""),"년",""))&gt;=1900,VALUE(SUBSTITUTE(SUBSTITUTE(SUBSTITUTE(TRIM(C154&amp;""),CHAR(160),"")," ",""),"년",""))&lt;=2099,TEXT(VALUE(SUBSTITUTE(SUBSTITUTE(SUBSTITUTE(TRIM(C154&amp;""),CHAR(160),"")," ",""),"년","")),"0000")=SUBSTITUTE(SUBSTITUTE(SUBSTITUTE(TRIM(C154&amp;""),CHAR(160),"")," ",""),"년","")),SUBSTITUTE(SUBSTITUTE(SUBSTITUTE(TRIM(C154&amp;""),CHAR(160),"")," ",""),"년",""),""),"")</f>
      </c>
      <c r="P154" t="str">
        <f>SUBSTITUTE(SUBSTITUTE(SUBSTITUTE(SUBSTITUTE(SUBSTITUTE(SUBSTITUTE(SUBSTITUTE(SUBSTITUTE(TRIM(D154&amp;""),CHAR(160),"")," ",""),"초등학교","초"),"중학교","중"),"고등학교","고"),"~","~~"),"*","~*"),"?","~?")</f>
      </c>
      <c r="Q154" t="str">
        <f>SUBSTITUTE(SUBSTITUTE(SUBSTITUTE(SUBSTITUTE(SUBSTITUTE(SUBSTITUTE(SUBSTITUTE(SUBSTITUTE(TRIM(E154&amp;""),CHAR(160),"")," ",""),"초등학교","초"),"중학교","중"),"고등학교","고"),"~","~~"),"*","~*"),"?","~?")</f>
      </c>
      <c r="R154" t="str">
        <f>IF(COUNTA(B154:J154)=0,"",IF(AND(O154&lt;&gt;"",P154&lt;&gt;"",Q154&lt;&gt;""),"","입력누락"))</f>
      </c>
    </row>
    <row r="155" customFormat="false" ht="15" hidden="false" customHeight="false" outlineLevel="0" collapsed="false">
      <c r="A155" t="n" s="19">
        <f aca="0">IF(COUNTA(B155:J155)=0,"",ROW()-1)</f>
      </c>
      <c r="B155" s="24"/>
      <c r="C155" s="25"/>
      <c r="D155" s="8"/>
      <c r="E155" s="8"/>
      <c r="F155" s="26"/>
      <c r="G155" s="24"/>
      <c r="H155" s="25"/>
      <c r="I155" s="25"/>
      <c r="J155" s="26"/>
      <c r="K155" t="str" s="15">
        <f aca="0">IF(COUNTA(B155:J155)=0,"",IF(R155&lt;&gt;"","확인필요(입력누락)",IF(COUNTIFS(보유목록!$I$2:$I$3001,"*"&amp;P155&amp;"*",보유목록!$I$2:$I$3001,"*"&amp;Q155&amp;"*",보유목록!$H$2:$H$3001,O155)&gt;0,"있음",IF(COUNTIFS(보유목록!$I$2:$I$3001,"*"&amp;P155&amp;"*",보유목록!$I$2:$I$3001,"*"&amp;Q155&amp;"*")&gt;0,"확인필요(연도다름)",IF(COUNTIFS(보유목록!$I$2:$I$3001,"*"&amp;P155&amp;"*",보유목록!$H$2:$H$3001,O155)&gt;0,"확인필요(같은학교·같은연도)","없음")))))</f>
      </c>
      <c r="L155" t="str" s="16">
        <f aca="0">IF(OR(COUNTA(B155:J155)=0,R155&lt;&gt;""),"",COUNTIFS(보유목록!$I$2:$I$3001,"*"&amp;P155&amp;"*",보유목록!$I$2:$I$3001,"*"&amp;Q155&amp;"*"))</f>
      </c>
      <c r="M155" t="str" s="23">
        <f aca="0">IF(OR(COUNTA(B155:J155)=0,R155&lt;&gt;""),"",IFERROR(LOOKUP(2,1/(ISNUMBER(SEARCH(P155,보유목록!$I$2:$I$3001))*ISNUMBER(SEARCH(Q155,보유목록!$I$2:$I$3001))*(보유목록!$H$2:$H$3001=O155)),보유목록!$B$2:$B$3001),IFERROR(LOOKUP(2,1/(ISNUMBER(SEARCH(P155,보유목록!$I$2:$I$3001))*ISNUMBER(SEARCH(Q155,보유목록!$I$2:$I$3001))),보유목록!$B$2:$B$3001),"")))</f>
      </c>
      <c r="N155" s="25"/>
      <c r="O155" t="str">
        <f>IFERROR(IF(AND(LEN(SUBSTITUTE(SUBSTITUTE(SUBSTITUTE(TRIM(C155&amp;""),CHAR(160),"")," ",""),"년",""))=4,VALUE(SUBSTITUTE(SUBSTITUTE(SUBSTITUTE(TRIM(C155&amp;""),CHAR(160),"")," ",""),"년",""))&gt;=1900,VALUE(SUBSTITUTE(SUBSTITUTE(SUBSTITUTE(TRIM(C155&amp;""),CHAR(160),"")," ",""),"년",""))&lt;=2099,TEXT(VALUE(SUBSTITUTE(SUBSTITUTE(SUBSTITUTE(TRIM(C155&amp;""),CHAR(160),"")," ",""),"년","")),"0000")=SUBSTITUTE(SUBSTITUTE(SUBSTITUTE(TRIM(C155&amp;""),CHAR(160),"")," ",""),"년","")),SUBSTITUTE(SUBSTITUTE(SUBSTITUTE(TRIM(C155&amp;""),CHAR(160),"")," ",""),"년",""),""),"")</f>
      </c>
      <c r="P155" t="str">
        <f>SUBSTITUTE(SUBSTITUTE(SUBSTITUTE(SUBSTITUTE(SUBSTITUTE(SUBSTITUTE(SUBSTITUTE(SUBSTITUTE(TRIM(D155&amp;""),CHAR(160),"")," ",""),"초등학교","초"),"중학교","중"),"고등학교","고"),"~","~~"),"*","~*"),"?","~?")</f>
      </c>
      <c r="Q155" t="str">
        <f>SUBSTITUTE(SUBSTITUTE(SUBSTITUTE(SUBSTITUTE(SUBSTITUTE(SUBSTITUTE(SUBSTITUTE(SUBSTITUTE(TRIM(E155&amp;""),CHAR(160),"")," ",""),"초등학교","초"),"중학교","중"),"고등학교","고"),"~","~~"),"*","~*"),"?","~?")</f>
      </c>
      <c r="R155" t="str">
        <f>IF(COUNTA(B155:J155)=0,"",IF(AND(O155&lt;&gt;"",P155&lt;&gt;"",Q155&lt;&gt;""),"","입력누락"))</f>
      </c>
    </row>
    <row r="156" customFormat="false" ht="15" hidden="false" customHeight="false" outlineLevel="0" collapsed="false">
      <c r="A156" t="n" s="19">
        <f aca="0">IF(COUNTA(B156:J156)=0,"",ROW()-1)</f>
      </c>
      <c r="B156" s="24"/>
      <c r="C156" s="25"/>
      <c r="D156" s="8"/>
      <c r="E156" s="8"/>
      <c r="F156" s="26"/>
      <c r="G156" s="24"/>
      <c r="H156" s="25"/>
      <c r="I156" s="25"/>
      <c r="J156" s="26"/>
      <c r="K156" t="str" s="15">
        <f aca="0">IF(COUNTA(B156:J156)=0,"",IF(R156&lt;&gt;"","확인필요(입력누락)",IF(COUNTIFS(보유목록!$I$2:$I$3001,"*"&amp;P156&amp;"*",보유목록!$I$2:$I$3001,"*"&amp;Q156&amp;"*",보유목록!$H$2:$H$3001,O156)&gt;0,"있음",IF(COUNTIFS(보유목록!$I$2:$I$3001,"*"&amp;P156&amp;"*",보유목록!$I$2:$I$3001,"*"&amp;Q156&amp;"*")&gt;0,"확인필요(연도다름)",IF(COUNTIFS(보유목록!$I$2:$I$3001,"*"&amp;P156&amp;"*",보유목록!$H$2:$H$3001,O156)&gt;0,"확인필요(같은학교·같은연도)","없음")))))</f>
      </c>
      <c r="L156" t="str" s="16">
        <f aca="0">IF(OR(COUNTA(B156:J156)=0,R156&lt;&gt;""),"",COUNTIFS(보유목록!$I$2:$I$3001,"*"&amp;P156&amp;"*",보유목록!$I$2:$I$3001,"*"&amp;Q156&amp;"*"))</f>
      </c>
      <c r="M156" t="str" s="23">
        <f aca="0">IF(OR(COUNTA(B156:J156)=0,R156&lt;&gt;""),"",IFERROR(LOOKUP(2,1/(ISNUMBER(SEARCH(P156,보유목록!$I$2:$I$3001))*ISNUMBER(SEARCH(Q156,보유목록!$I$2:$I$3001))*(보유목록!$H$2:$H$3001=O156)),보유목록!$B$2:$B$3001),IFERROR(LOOKUP(2,1/(ISNUMBER(SEARCH(P156,보유목록!$I$2:$I$3001))*ISNUMBER(SEARCH(Q156,보유목록!$I$2:$I$3001))),보유목록!$B$2:$B$3001),"")))</f>
      </c>
      <c r="N156" s="25"/>
      <c r="O156" t="str">
        <f>IFERROR(IF(AND(LEN(SUBSTITUTE(SUBSTITUTE(SUBSTITUTE(TRIM(C156&amp;""),CHAR(160),"")," ",""),"년",""))=4,VALUE(SUBSTITUTE(SUBSTITUTE(SUBSTITUTE(TRIM(C156&amp;""),CHAR(160),"")," ",""),"년",""))&gt;=1900,VALUE(SUBSTITUTE(SUBSTITUTE(SUBSTITUTE(TRIM(C156&amp;""),CHAR(160),"")," ",""),"년",""))&lt;=2099,TEXT(VALUE(SUBSTITUTE(SUBSTITUTE(SUBSTITUTE(TRIM(C156&amp;""),CHAR(160),"")," ",""),"년","")),"0000")=SUBSTITUTE(SUBSTITUTE(SUBSTITUTE(TRIM(C156&amp;""),CHAR(160),"")," ",""),"년","")),SUBSTITUTE(SUBSTITUTE(SUBSTITUTE(TRIM(C156&amp;""),CHAR(160),"")," ",""),"년",""),""),"")</f>
      </c>
      <c r="P156" t="str">
        <f>SUBSTITUTE(SUBSTITUTE(SUBSTITUTE(SUBSTITUTE(SUBSTITUTE(SUBSTITUTE(SUBSTITUTE(SUBSTITUTE(TRIM(D156&amp;""),CHAR(160),"")," ",""),"초등학교","초"),"중학교","중"),"고등학교","고"),"~","~~"),"*","~*"),"?","~?")</f>
      </c>
      <c r="Q156" t="str">
        <f>SUBSTITUTE(SUBSTITUTE(SUBSTITUTE(SUBSTITUTE(SUBSTITUTE(SUBSTITUTE(SUBSTITUTE(SUBSTITUTE(TRIM(E156&amp;""),CHAR(160),"")," ",""),"초등학교","초"),"중학교","중"),"고등학교","고"),"~","~~"),"*","~*"),"?","~?")</f>
      </c>
      <c r="R156" t="str">
        <f>IF(COUNTA(B156:J156)=0,"",IF(AND(O156&lt;&gt;"",P156&lt;&gt;"",Q156&lt;&gt;""),"","입력누락"))</f>
      </c>
    </row>
    <row r="157" customFormat="false" ht="15" hidden="false" customHeight="false" outlineLevel="0" collapsed="false">
      <c r="A157" t="n" s="19">
        <f aca="0">IF(COUNTA(B157:J157)=0,"",ROW()-1)</f>
      </c>
      <c r="B157" s="24"/>
      <c r="C157" s="25"/>
      <c r="D157" s="8"/>
      <c r="E157" s="8"/>
      <c r="F157" s="26"/>
      <c r="G157" s="24"/>
      <c r="H157" s="25"/>
      <c r="I157" s="25"/>
      <c r="J157" s="26"/>
      <c r="K157" t="str" s="15">
        <f aca="0">IF(COUNTA(B157:J157)=0,"",IF(R157&lt;&gt;"","확인필요(입력누락)",IF(COUNTIFS(보유목록!$I$2:$I$3001,"*"&amp;P157&amp;"*",보유목록!$I$2:$I$3001,"*"&amp;Q157&amp;"*",보유목록!$H$2:$H$3001,O157)&gt;0,"있음",IF(COUNTIFS(보유목록!$I$2:$I$3001,"*"&amp;P157&amp;"*",보유목록!$I$2:$I$3001,"*"&amp;Q157&amp;"*")&gt;0,"확인필요(연도다름)",IF(COUNTIFS(보유목록!$I$2:$I$3001,"*"&amp;P157&amp;"*",보유목록!$H$2:$H$3001,O157)&gt;0,"확인필요(같은학교·같은연도)","없음")))))</f>
      </c>
      <c r="L157" t="str" s="16">
        <f aca="0">IF(OR(COUNTA(B157:J157)=0,R157&lt;&gt;""),"",COUNTIFS(보유목록!$I$2:$I$3001,"*"&amp;P157&amp;"*",보유목록!$I$2:$I$3001,"*"&amp;Q157&amp;"*"))</f>
      </c>
      <c r="M157" t="str" s="23">
        <f aca="0">IF(OR(COUNTA(B157:J157)=0,R157&lt;&gt;""),"",IFERROR(LOOKUP(2,1/(ISNUMBER(SEARCH(P157,보유목록!$I$2:$I$3001))*ISNUMBER(SEARCH(Q157,보유목록!$I$2:$I$3001))*(보유목록!$H$2:$H$3001=O157)),보유목록!$B$2:$B$3001),IFERROR(LOOKUP(2,1/(ISNUMBER(SEARCH(P157,보유목록!$I$2:$I$3001))*ISNUMBER(SEARCH(Q157,보유목록!$I$2:$I$3001))),보유목록!$B$2:$B$3001),"")))</f>
      </c>
      <c r="N157" s="25"/>
      <c r="O157" t="str">
        <f>IFERROR(IF(AND(LEN(SUBSTITUTE(SUBSTITUTE(SUBSTITUTE(TRIM(C157&amp;""),CHAR(160),"")," ",""),"년",""))=4,VALUE(SUBSTITUTE(SUBSTITUTE(SUBSTITUTE(TRIM(C157&amp;""),CHAR(160),"")," ",""),"년",""))&gt;=1900,VALUE(SUBSTITUTE(SUBSTITUTE(SUBSTITUTE(TRIM(C157&amp;""),CHAR(160),"")," ",""),"년",""))&lt;=2099,TEXT(VALUE(SUBSTITUTE(SUBSTITUTE(SUBSTITUTE(TRIM(C157&amp;""),CHAR(160),"")," ",""),"년","")),"0000")=SUBSTITUTE(SUBSTITUTE(SUBSTITUTE(TRIM(C157&amp;""),CHAR(160),"")," ",""),"년","")),SUBSTITUTE(SUBSTITUTE(SUBSTITUTE(TRIM(C157&amp;""),CHAR(160),"")," ",""),"년",""),""),"")</f>
      </c>
      <c r="P157" t="str">
        <f>SUBSTITUTE(SUBSTITUTE(SUBSTITUTE(SUBSTITUTE(SUBSTITUTE(SUBSTITUTE(SUBSTITUTE(SUBSTITUTE(TRIM(D157&amp;""),CHAR(160),"")," ",""),"초등학교","초"),"중학교","중"),"고등학교","고"),"~","~~"),"*","~*"),"?","~?")</f>
      </c>
      <c r="Q157" t="str">
        <f>SUBSTITUTE(SUBSTITUTE(SUBSTITUTE(SUBSTITUTE(SUBSTITUTE(SUBSTITUTE(SUBSTITUTE(SUBSTITUTE(TRIM(E157&amp;""),CHAR(160),"")," ",""),"초등학교","초"),"중학교","중"),"고등학교","고"),"~","~~"),"*","~*"),"?","~?")</f>
      </c>
      <c r="R157" t="str">
        <f>IF(COUNTA(B157:J157)=0,"",IF(AND(O157&lt;&gt;"",P157&lt;&gt;"",Q157&lt;&gt;""),"","입력누락"))</f>
      </c>
    </row>
    <row r="158" customFormat="false" ht="15" hidden="false" customHeight="false" outlineLevel="0" collapsed="false">
      <c r="A158" t="n" s="19">
        <f aca="0">IF(COUNTA(B158:J158)=0,"",ROW()-1)</f>
      </c>
      <c r="B158" s="24"/>
      <c r="C158" s="25"/>
      <c r="D158" s="8"/>
      <c r="E158" s="8"/>
      <c r="F158" s="26"/>
      <c r="G158" s="24"/>
      <c r="H158" s="25"/>
      <c r="I158" s="25"/>
      <c r="J158" s="26"/>
      <c r="K158" t="str" s="15">
        <f aca="0">IF(COUNTA(B158:J158)=0,"",IF(R158&lt;&gt;"","확인필요(입력누락)",IF(COUNTIFS(보유목록!$I$2:$I$3001,"*"&amp;P158&amp;"*",보유목록!$I$2:$I$3001,"*"&amp;Q158&amp;"*",보유목록!$H$2:$H$3001,O158)&gt;0,"있음",IF(COUNTIFS(보유목록!$I$2:$I$3001,"*"&amp;P158&amp;"*",보유목록!$I$2:$I$3001,"*"&amp;Q158&amp;"*")&gt;0,"확인필요(연도다름)",IF(COUNTIFS(보유목록!$I$2:$I$3001,"*"&amp;P158&amp;"*",보유목록!$H$2:$H$3001,O158)&gt;0,"확인필요(같은학교·같은연도)","없음")))))</f>
      </c>
      <c r="L158" t="str" s="16">
        <f aca="0">IF(OR(COUNTA(B158:J158)=0,R158&lt;&gt;""),"",COUNTIFS(보유목록!$I$2:$I$3001,"*"&amp;P158&amp;"*",보유목록!$I$2:$I$3001,"*"&amp;Q158&amp;"*"))</f>
      </c>
      <c r="M158" t="str" s="23">
        <f aca="0">IF(OR(COUNTA(B158:J158)=0,R158&lt;&gt;""),"",IFERROR(LOOKUP(2,1/(ISNUMBER(SEARCH(P158,보유목록!$I$2:$I$3001))*ISNUMBER(SEARCH(Q158,보유목록!$I$2:$I$3001))*(보유목록!$H$2:$H$3001=O158)),보유목록!$B$2:$B$3001),IFERROR(LOOKUP(2,1/(ISNUMBER(SEARCH(P158,보유목록!$I$2:$I$3001))*ISNUMBER(SEARCH(Q158,보유목록!$I$2:$I$3001))),보유목록!$B$2:$B$3001),"")))</f>
      </c>
      <c r="N158" s="25"/>
      <c r="O158" t="str">
        <f>IFERROR(IF(AND(LEN(SUBSTITUTE(SUBSTITUTE(SUBSTITUTE(TRIM(C158&amp;""),CHAR(160),"")," ",""),"년",""))=4,VALUE(SUBSTITUTE(SUBSTITUTE(SUBSTITUTE(TRIM(C158&amp;""),CHAR(160),"")," ",""),"년",""))&gt;=1900,VALUE(SUBSTITUTE(SUBSTITUTE(SUBSTITUTE(TRIM(C158&amp;""),CHAR(160),"")," ",""),"년",""))&lt;=2099,TEXT(VALUE(SUBSTITUTE(SUBSTITUTE(SUBSTITUTE(TRIM(C158&amp;""),CHAR(160),"")," ",""),"년","")),"0000")=SUBSTITUTE(SUBSTITUTE(SUBSTITUTE(TRIM(C158&amp;""),CHAR(160),"")," ",""),"년","")),SUBSTITUTE(SUBSTITUTE(SUBSTITUTE(TRIM(C158&amp;""),CHAR(160),"")," ",""),"년",""),""),"")</f>
      </c>
      <c r="P158" t="str">
        <f>SUBSTITUTE(SUBSTITUTE(SUBSTITUTE(SUBSTITUTE(SUBSTITUTE(SUBSTITUTE(SUBSTITUTE(SUBSTITUTE(TRIM(D158&amp;""),CHAR(160),"")," ",""),"초등학교","초"),"중학교","중"),"고등학교","고"),"~","~~"),"*","~*"),"?","~?")</f>
      </c>
      <c r="Q158" t="str">
        <f>SUBSTITUTE(SUBSTITUTE(SUBSTITUTE(SUBSTITUTE(SUBSTITUTE(SUBSTITUTE(SUBSTITUTE(SUBSTITUTE(TRIM(E158&amp;""),CHAR(160),"")," ",""),"초등학교","초"),"중학교","중"),"고등학교","고"),"~","~~"),"*","~*"),"?","~?")</f>
      </c>
      <c r="R158" t="str">
        <f>IF(COUNTA(B158:J158)=0,"",IF(AND(O158&lt;&gt;"",P158&lt;&gt;"",Q158&lt;&gt;""),"","입력누락"))</f>
      </c>
    </row>
    <row r="159" customFormat="false" ht="15" hidden="false" customHeight="false" outlineLevel="0" collapsed="false">
      <c r="A159" t="n" s="19">
        <f aca="0">IF(COUNTA(B159:J159)=0,"",ROW()-1)</f>
      </c>
      <c r="B159" s="24"/>
      <c r="C159" s="25"/>
      <c r="D159" s="8"/>
      <c r="E159" s="8"/>
      <c r="F159" s="26"/>
      <c r="G159" s="24"/>
      <c r="H159" s="25"/>
      <c r="I159" s="25"/>
      <c r="J159" s="26"/>
      <c r="K159" t="str" s="15">
        <f aca="0">IF(COUNTA(B159:J159)=0,"",IF(R159&lt;&gt;"","확인필요(입력누락)",IF(COUNTIFS(보유목록!$I$2:$I$3001,"*"&amp;P159&amp;"*",보유목록!$I$2:$I$3001,"*"&amp;Q159&amp;"*",보유목록!$H$2:$H$3001,O159)&gt;0,"있음",IF(COUNTIFS(보유목록!$I$2:$I$3001,"*"&amp;P159&amp;"*",보유목록!$I$2:$I$3001,"*"&amp;Q159&amp;"*")&gt;0,"확인필요(연도다름)",IF(COUNTIFS(보유목록!$I$2:$I$3001,"*"&amp;P159&amp;"*",보유목록!$H$2:$H$3001,O159)&gt;0,"확인필요(같은학교·같은연도)","없음")))))</f>
      </c>
      <c r="L159" t="str" s="16">
        <f aca="0">IF(OR(COUNTA(B159:J159)=0,R159&lt;&gt;""),"",COUNTIFS(보유목록!$I$2:$I$3001,"*"&amp;P159&amp;"*",보유목록!$I$2:$I$3001,"*"&amp;Q159&amp;"*"))</f>
      </c>
      <c r="M159" t="str" s="23">
        <f aca="0">IF(OR(COUNTA(B159:J159)=0,R159&lt;&gt;""),"",IFERROR(LOOKUP(2,1/(ISNUMBER(SEARCH(P159,보유목록!$I$2:$I$3001))*ISNUMBER(SEARCH(Q159,보유목록!$I$2:$I$3001))*(보유목록!$H$2:$H$3001=O159)),보유목록!$B$2:$B$3001),IFERROR(LOOKUP(2,1/(ISNUMBER(SEARCH(P159,보유목록!$I$2:$I$3001))*ISNUMBER(SEARCH(Q159,보유목록!$I$2:$I$3001))),보유목록!$B$2:$B$3001),"")))</f>
      </c>
      <c r="N159" s="25"/>
      <c r="O159" t="str">
        <f>IFERROR(IF(AND(LEN(SUBSTITUTE(SUBSTITUTE(SUBSTITUTE(TRIM(C159&amp;""),CHAR(160),"")," ",""),"년",""))=4,VALUE(SUBSTITUTE(SUBSTITUTE(SUBSTITUTE(TRIM(C159&amp;""),CHAR(160),"")," ",""),"년",""))&gt;=1900,VALUE(SUBSTITUTE(SUBSTITUTE(SUBSTITUTE(TRIM(C159&amp;""),CHAR(160),"")," ",""),"년",""))&lt;=2099,TEXT(VALUE(SUBSTITUTE(SUBSTITUTE(SUBSTITUTE(TRIM(C159&amp;""),CHAR(160),"")," ",""),"년","")),"0000")=SUBSTITUTE(SUBSTITUTE(SUBSTITUTE(TRIM(C159&amp;""),CHAR(160),"")," ",""),"년","")),SUBSTITUTE(SUBSTITUTE(SUBSTITUTE(TRIM(C159&amp;""),CHAR(160),"")," ",""),"년",""),""),"")</f>
      </c>
      <c r="P159" t="str">
        <f>SUBSTITUTE(SUBSTITUTE(SUBSTITUTE(SUBSTITUTE(SUBSTITUTE(SUBSTITUTE(SUBSTITUTE(SUBSTITUTE(TRIM(D159&amp;""),CHAR(160),"")," ",""),"초등학교","초"),"중학교","중"),"고등학교","고"),"~","~~"),"*","~*"),"?","~?")</f>
      </c>
      <c r="Q159" t="str">
        <f>SUBSTITUTE(SUBSTITUTE(SUBSTITUTE(SUBSTITUTE(SUBSTITUTE(SUBSTITUTE(SUBSTITUTE(SUBSTITUTE(TRIM(E159&amp;""),CHAR(160),"")," ",""),"초등학교","초"),"중학교","중"),"고등학교","고"),"~","~~"),"*","~*"),"?","~?")</f>
      </c>
      <c r="R159" t="str">
        <f>IF(COUNTA(B159:J159)=0,"",IF(AND(O159&lt;&gt;"",P159&lt;&gt;"",Q159&lt;&gt;""),"","입력누락"))</f>
      </c>
    </row>
    <row r="160" customFormat="false" ht="15" hidden="false" customHeight="false" outlineLevel="0" collapsed="false">
      <c r="A160" t="n" s="19">
        <f aca="0">IF(COUNTA(B160:J160)=0,"",ROW()-1)</f>
      </c>
      <c r="B160" s="24"/>
      <c r="C160" s="25"/>
      <c r="D160" s="8"/>
      <c r="E160" s="8"/>
      <c r="F160" s="26"/>
      <c r="G160" s="24"/>
      <c r="H160" s="25"/>
      <c r="I160" s="25"/>
      <c r="J160" s="26"/>
      <c r="K160" t="str" s="15">
        <f aca="0">IF(COUNTA(B160:J160)=0,"",IF(R160&lt;&gt;"","확인필요(입력누락)",IF(COUNTIFS(보유목록!$I$2:$I$3001,"*"&amp;P160&amp;"*",보유목록!$I$2:$I$3001,"*"&amp;Q160&amp;"*",보유목록!$H$2:$H$3001,O160)&gt;0,"있음",IF(COUNTIFS(보유목록!$I$2:$I$3001,"*"&amp;P160&amp;"*",보유목록!$I$2:$I$3001,"*"&amp;Q160&amp;"*")&gt;0,"확인필요(연도다름)",IF(COUNTIFS(보유목록!$I$2:$I$3001,"*"&amp;P160&amp;"*",보유목록!$H$2:$H$3001,O160)&gt;0,"확인필요(같은학교·같은연도)","없음")))))</f>
      </c>
      <c r="L160" t="str" s="16">
        <f aca="0">IF(OR(COUNTA(B160:J160)=0,R160&lt;&gt;""),"",COUNTIFS(보유목록!$I$2:$I$3001,"*"&amp;P160&amp;"*",보유목록!$I$2:$I$3001,"*"&amp;Q160&amp;"*"))</f>
      </c>
      <c r="M160" t="str" s="23">
        <f aca="0">IF(OR(COUNTA(B160:J160)=0,R160&lt;&gt;""),"",IFERROR(LOOKUP(2,1/(ISNUMBER(SEARCH(P160,보유목록!$I$2:$I$3001))*ISNUMBER(SEARCH(Q160,보유목록!$I$2:$I$3001))*(보유목록!$H$2:$H$3001=O160)),보유목록!$B$2:$B$3001),IFERROR(LOOKUP(2,1/(ISNUMBER(SEARCH(P160,보유목록!$I$2:$I$3001))*ISNUMBER(SEARCH(Q160,보유목록!$I$2:$I$3001))),보유목록!$B$2:$B$3001),"")))</f>
      </c>
      <c r="N160" s="25"/>
      <c r="O160" t="str">
        <f>IFERROR(IF(AND(LEN(SUBSTITUTE(SUBSTITUTE(SUBSTITUTE(TRIM(C160&amp;""),CHAR(160),"")," ",""),"년",""))=4,VALUE(SUBSTITUTE(SUBSTITUTE(SUBSTITUTE(TRIM(C160&amp;""),CHAR(160),"")," ",""),"년",""))&gt;=1900,VALUE(SUBSTITUTE(SUBSTITUTE(SUBSTITUTE(TRIM(C160&amp;""),CHAR(160),"")," ",""),"년",""))&lt;=2099,TEXT(VALUE(SUBSTITUTE(SUBSTITUTE(SUBSTITUTE(TRIM(C160&amp;""),CHAR(160),"")," ",""),"년","")),"0000")=SUBSTITUTE(SUBSTITUTE(SUBSTITUTE(TRIM(C160&amp;""),CHAR(160),"")," ",""),"년","")),SUBSTITUTE(SUBSTITUTE(SUBSTITUTE(TRIM(C160&amp;""),CHAR(160),"")," ",""),"년",""),""),"")</f>
      </c>
      <c r="P160" t="str">
        <f>SUBSTITUTE(SUBSTITUTE(SUBSTITUTE(SUBSTITUTE(SUBSTITUTE(SUBSTITUTE(SUBSTITUTE(SUBSTITUTE(TRIM(D160&amp;""),CHAR(160),"")," ",""),"초등학교","초"),"중학교","중"),"고등학교","고"),"~","~~"),"*","~*"),"?","~?")</f>
      </c>
      <c r="Q160" t="str">
        <f>SUBSTITUTE(SUBSTITUTE(SUBSTITUTE(SUBSTITUTE(SUBSTITUTE(SUBSTITUTE(SUBSTITUTE(SUBSTITUTE(TRIM(E160&amp;""),CHAR(160),"")," ",""),"초등학교","초"),"중학교","중"),"고등학교","고"),"~","~~"),"*","~*"),"?","~?")</f>
      </c>
      <c r="R160" t="str">
        <f>IF(COUNTA(B160:J160)=0,"",IF(AND(O160&lt;&gt;"",P160&lt;&gt;"",Q160&lt;&gt;""),"","입력누락"))</f>
      </c>
    </row>
    <row r="161" customFormat="false" ht="15" hidden="false" customHeight="false" outlineLevel="0" collapsed="false">
      <c r="A161" t="n" s="19">
        <f aca="0">IF(COUNTA(B161:J161)=0,"",ROW()-1)</f>
      </c>
      <c r="B161" s="24"/>
      <c r="C161" s="25"/>
      <c r="D161" s="8"/>
      <c r="E161" s="8"/>
      <c r="F161" s="26"/>
      <c r="G161" s="24"/>
      <c r="H161" s="25"/>
      <c r="I161" s="25"/>
      <c r="J161" s="26"/>
      <c r="K161" t="str" s="15">
        <f aca="0">IF(COUNTA(B161:J161)=0,"",IF(R161&lt;&gt;"","확인필요(입력누락)",IF(COUNTIFS(보유목록!$I$2:$I$3001,"*"&amp;P161&amp;"*",보유목록!$I$2:$I$3001,"*"&amp;Q161&amp;"*",보유목록!$H$2:$H$3001,O161)&gt;0,"있음",IF(COUNTIFS(보유목록!$I$2:$I$3001,"*"&amp;P161&amp;"*",보유목록!$I$2:$I$3001,"*"&amp;Q161&amp;"*")&gt;0,"확인필요(연도다름)",IF(COUNTIFS(보유목록!$I$2:$I$3001,"*"&amp;P161&amp;"*",보유목록!$H$2:$H$3001,O161)&gt;0,"확인필요(같은학교·같은연도)","없음")))))</f>
      </c>
      <c r="L161" t="str" s="16">
        <f aca="0">IF(OR(COUNTA(B161:J161)=0,R161&lt;&gt;""),"",COUNTIFS(보유목록!$I$2:$I$3001,"*"&amp;P161&amp;"*",보유목록!$I$2:$I$3001,"*"&amp;Q161&amp;"*"))</f>
      </c>
      <c r="M161" t="str" s="23">
        <f aca="0">IF(OR(COUNTA(B161:J161)=0,R161&lt;&gt;""),"",IFERROR(LOOKUP(2,1/(ISNUMBER(SEARCH(P161,보유목록!$I$2:$I$3001))*ISNUMBER(SEARCH(Q161,보유목록!$I$2:$I$3001))*(보유목록!$H$2:$H$3001=O161)),보유목록!$B$2:$B$3001),IFERROR(LOOKUP(2,1/(ISNUMBER(SEARCH(P161,보유목록!$I$2:$I$3001))*ISNUMBER(SEARCH(Q161,보유목록!$I$2:$I$3001))),보유목록!$B$2:$B$3001),"")))</f>
      </c>
      <c r="N161" s="25"/>
      <c r="O161" t="str">
        <f>IFERROR(IF(AND(LEN(SUBSTITUTE(SUBSTITUTE(SUBSTITUTE(TRIM(C161&amp;""),CHAR(160),"")," ",""),"년",""))=4,VALUE(SUBSTITUTE(SUBSTITUTE(SUBSTITUTE(TRIM(C161&amp;""),CHAR(160),"")," ",""),"년",""))&gt;=1900,VALUE(SUBSTITUTE(SUBSTITUTE(SUBSTITUTE(TRIM(C161&amp;""),CHAR(160),"")," ",""),"년",""))&lt;=2099,TEXT(VALUE(SUBSTITUTE(SUBSTITUTE(SUBSTITUTE(TRIM(C161&amp;""),CHAR(160),"")," ",""),"년","")),"0000")=SUBSTITUTE(SUBSTITUTE(SUBSTITUTE(TRIM(C161&amp;""),CHAR(160),"")," ",""),"년","")),SUBSTITUTE(SUBSTITUTE(SUBSTITUTE(TRIM(C161&amp;""),CHAR(160),"")," ",""),"년",""),""),"")</f>
      </c>
      <c r="P161" t="str">
        <f>SUBSTITUTE(SUBSTITUTE(SUBSTITUTE(SUBSTITUTE(SUBSTITUTE(SUBSTITUTE(SUBSTITUTE(SUBSTITUTE(TRIM(D161&amp;""),CHAR(160),"")," ",""),"초등학교","초"),"중학교","중"),"고등학교","고"),"~","~~"),"*","~*"),"?","~?")</f>
      </c>
      <c r="Q161" t="str">
        <f>SUBSTITUTE(SUBSTITUTE(SUBSTITUTE(SUBSTITUTE(SUBSTITUTE(SUBSTITUTE(SUBSTITUTE(SUBSTITUTE(TRIM(E161&amp;""),CHAR(160),"")," ",""),"초등학교","초"),"중학교","중"),"고등학교","고"),"~","~~"),"*","~*"),"?","~?")</f>
      </c>
      <c r="R161" t="str">
        <f>IF(COUNTA(B161:J161)=0,"",IF(AND(O161&lt;&gt;"",P161&lt;&gt;"",Q161&lt;&gt;""),"","입력누락"))</f>
      </c>
    </row>
    <row r="162" customFormat="false" ht="15" hidden="false" customHeight="false" outlineLevel="0" collapsed="false">
      <c r="A162" t="n" s="19">
        <f aca="0">IF(COUNTA(B162:J162)=0,"",ROW()-1)</f>
      </c>
      <c r="B162" s="24"/>
      <c r="C162" s="25"/>
      <c r="D162" s="8"/>
      <c r="E162" s="8"/>
      <c r="F162" s="26"/>
      <c r="G162" s="24"/>
      <c r="H162" s="25"/>
      <c r="I162" s="25"/>
      <c r="J162" s="26"/>
      <c r="K162" t="str" s="15">
        <f aca="0">IF(COUNTA(B162:J162)=0,"",IF(R162&lt;&gt;"","확인필요(입력누락)",IF(COUNTIFS(보유목록!$I$2:$I$3001,"*"&amp;P162&amp;"*",보유목록!$I$2:$I$3001,"*"&amp;Q162&amp;"*",보유목록!$H$2:$H$3001,O162)&gt;0,"있음",IF(COUNTIFS(보유목록!$I$2:$I$3001,"*"&amp;P162&amp;"*",보유목록!$I$2:$I$3001,"*"&amp;Q162&amp;"*")&gt;0,"확인필요(연도다름)",IF(COUNTIFS(보유목록!$I$2:$I$3001,"*"&amp;P162&amp;"*",보유목록!$H$2:$H$3001,O162)&gt;0,"확인필요(같은학교·같은연도)","없음")))))</f>
      </c>
      <c r="L162" t="str" s="16">
        <f aca="0">IF(OR(COUNTA(B162:J162)=0,R162&lt;&gt;""),"",COUNTIFS(보유목록!$I$2:$I$3001,"*"&amp;P162&amp;"*",보유목록!$I$2:$I$3001,"*"&amp;Q162&amp;"*"))</f>
      </c>
      <c r="M162" t="str" s="23">
        <f aca="0">IF(OR(COUNTA(B162:J162)=0,R162&lt;&gt;""),"",IFERROR(LOOKUP(2,1/(ISNUMBER(SEARCH(P162,보유목록!$I$2:$I$3001))*ISNUMBER(SEARCH(Q162,보유목록!$I$2:$I$3001))*(보유목록!$H$2:$H$3001=O162)),보유목록!$B$2:$B$3001),IFERROR(LOOKUP(2,1/(ISNUMBER(SEARCH(P162,보유목록!$I$2:$I$3001))*ISNUMBER(SEARCH(Q162,보유목록!$I$2:$I$3001))),보유목록!$B$2:$B$3001),"")))</f>
      </c>
      <c r="N162" s="25"/>
      <c r="O162" t="str">
        <f>IFERROR(IF(AND(LEN(SUBSTITUTE(SUBSTITUTE(SUBSTITUTE(TRIM(C162&amp;""),CHAR(160),"")," ",""),"년",""))=4,VALUE(SUBSTITUTE(SUBSTITUTE(SUBSTITUTE(TRIM(C162&amp;""),CHAR(160),"")," ",""),"년",""))&gt;=1900,VALUE(SUBSTITUTE(SUBSTITUTE(SUBSTITUTE(TRIM(C162&amp;""),CHAR(160),"")," ",""),"년",""))&lt;=2099,TEXT(VALUE(SUBSTITUTE(SUBSTITUTE(SUBSTITUTE(TRIM(C162&amp;""),CHAR(160),"")," ",""),"년","")),"0000")=SUBSTITUTE(SUBSTITUTE(SUBSTITUTE(TRIM(C162&amp;""),CHAR(160),"")," ",""),"년","")),SUBSTITUTE(SUBSTITUTE(SUBSTITUTE(TRIM(C162&amp;""),CHAR(160),"")," ",""),"년",""),""),"")</f>
      </c>
      <c r="P162" t="str">
        <f>SUBSTITUTE(SUBSTITUTE(SUBSTITUTE(SUBSTITUTE(SUBSTITUTE(SUBSTITUTE(SUBSTITUTE(SUBSTITUTE(TRIM(D162&amp;""),CHAR(160),"")," ",""),"초등학교","초"),"중학교","중"),"고등학교","고"),"~","~~"),"*","~*"),"?","~?")</f>
      </c>
      <c r="Q162" t="str">
        <f>SUBSTITUTE(SUBSTITUTE(SUBSTITUTE(SUBSTITUTE(SUBSTITUTE(SUBSTITUTE(SUBSTITUTE(SUBSTITUTE(TRIM(E162&amp;""),CHAR(160),"")," ",""),"초등학교","초"),"중학교","중"),"고등학교","고"),"~","~~"),"*","~*"),"?","~?")</f>
      </c>
      <c r="R162" t="str">
        <f>IF(COUNTA(B162:J162)=0,"",IF(AND(O162&lt;&gt;"",P162&lt;&gt;"",Q162&lt;&gt;""),"","입력누락"))</f>
      </c>
    </row>
    <row r="163" customFormat="false" ht="15" hidden="false" customHeight="false" outlineLevel="0" collapsed="false">
      <c r="A163" t="n" s="19">
        <f aca="0">IF(COUNTA(B163:J163)=0,"",ROW()-1)</f>
      </c>
      <c r="B163" s="24"/>
      <c r="C163" s="25"/>
      <c r="D163" s="8"/>
      <c r="E163" s="8"/>
      <c r="F163" s="26"/>
      <c r="G163" s="24"/>
      <c r="H163" s="25"/>
      <c r="I163" s="25"/>
      <c r="J163" s="26"/>
      <c r="K163" t="str" s="15">
        <f aca="0">IF(COUNTA(B163:J163)=0,"",IF(R163&lt;&gt;"","확인필요(입력누락)",IF(COUNTIFS(보유목록!$I$2:$I$3001,"*"&amp;P163&amp;"*",보유목록!$I$2:$I$3001,"*"&amp;Q163&amp;"*",보유목록!$H$2:$H$3001,O163)&gt;0,"있음",IF(COUNTIFS(보유목록!$I$2:$I$3001,"*"&amp;P163&amp;"*",보유목록!$I$2:$I$3001,"*"&amp;Q163&amp;"*")&gt;0,"확인필요(연도다름)",IF(COUNTIFS(보유목록!$I$2:$I$3001,"*"&amp;P163&amp;"*",보유목록!$H$2:$H$3001,O163)&gt;0,"확인필요(같은학교·같은연도)","없음")))))</f>
      </c>
      <c r="L163" t="str" s="16">
        <f aca="0">IF(OR(COUNTA(B163:J163)=0,R163&lt;&gt;""),"",COUNTIFS(보유목록!$I$2:$I$3001,"*"&amp;P163&amp;"*",보유목록!$I$2:$I$3001,"*"&amp;Q163&amp;"*"))</f>
      </c>
      <c r="M163" t="str" s="23">
        <f aca="0">IF(OR(COUNTA(B163:J163)=0,R163&lt;&gt;""),"",IFERROR(LOOKUP(2,1/(ISNUMBER(SEARCH(P163,보유목록!$I$2:$I$3001))*ISNUMBER(SEARCH(Q163,보유목록!$I$2:$I$3001))*(보유목록!$H$2:$H$3001=O163)),보유목록!$B$2:$B$3001),IFERROR(LOOKUP(2,1/(ISNUMBER(SEARCH(P163,보유목록!$I$2:$I$3001))*ISNUMBER(SEARCH(Q163,보유목록!$I$2:$I$3001))),보유목록!$B$2:$B$3001),"")))</f>
      </c>
      <c r="N163" s="25"/>
      <c r="O163" t="str">
        <f>IFERROR(IF(AND(LEN(SUBSTITUTE(SUBSTITUTE(SUBSTITUTE(TRIM(C163&amp;""),CHAR(160),"")," ",""),"년",""))=4,VALUE(SUBSTITUTE(SUBSTITUTE(SUBSTITUTE(TRIM(C163&amp;""),CHAR(160),"")," ",""),"년",""))&gt;=1900,VALUE(SUBSTITUTE(SUBSTITUTE(SUBSTITUTE(TRIM(C163&amp;""),CHAR(160),"")," ",""),"년",""))&lt;=2099,TEXT(VALUE(SUBSTITUTE(SUBSTITUTE(SUBSTITUTE(TRIM(C163&amp;""),CHAR(160),"")," ",""),"년","")),"0000")=SUBSTITUTE(SUBSTITUTE(SUBSTITUTE(TRIM(C163&amp;""),CHAR(160),"")," ",""),"년","")),SUBSTITUTE(SUBSTITUTE(SUBSTITUTE(TRIM(C163&amp;""),CHAR(160),"")," ",""),"년",""),""),"")</f>
      </c>
      <c r="P163" t="str">
        <f>SUBSTITUTE(SUBSTITUTE(SUBSTITUTE(SUBSTITUTE(SUBSTITUTE(SUBSTITUTE(SUBSTITUTE(SUBSTITUTE(TRIM(D163&amp;""),CHAR(160),"")," ",""),"초등학교","초"),"중학교","중"),"고등학교","고"),"~","~~"),"*","~*"),"?","~?")</f>
      </c>
      <c r="Q163" t="str">
        <f>SUBSTITUTE(SUBSTITUTE(SUBSTITUTE(SUBSTITUTE(SUBSTITUTE(SUBSTITUTE(SUBSTITUTE(SUBSTITUTE(TRIM(E163&amp;""),CHAR(160),"")," ",""),"초등학교","초"),"중학교","중"),"고등학교","고"),"~","~~"),"*","~*"),"?","~?")</f>
      </c>
      <c r="R163" t="str">
        <f>IF(COUNTA(B163:J163)=0,"",IF(AND(O163&lt;&gt;"",P163&lt;&gt;"",Q163&lt;&gt;""),"","입력누락"))</f>
      </c>
    </row>
    <row r="164" customFormat="false" ht="15" hidden="false" customHeight="false" outlineLevel="0" collapsed="false">
      <c r="A164" t="n" s="19">
        <f aca="0">IF(COUNTA(B164:J164)=0,"",ROW()-1)</f>
      </c>
      <c r="B164" s="24"/>
      <c r="C164" s="25"/>
      <c r="D164" s="8"/>
      <c r="E164" s="8"/>
      <c r="F164" s="26"/>
      <c r="G164" s="24"/>
      <c r="H164" s="25"/>
      <c r="I164" s="25"/>
      <c r="J164" s="26"/>
      <c r="K164" t="str" s="15">
        <f aca="0">IF(COUNTA(B164:J164)=0,"",IF(R164&lt;&gt;"","확인필요(입력누락)",IF(COUNTIFS(보유목록!$I$2:$I$3001,"*"&amp;P164&amp;"*",보유목록!$I$2:$I$3001,"*"&amp;Q164&amp;"*",보유목록!$H$2:$H$3001,O164)&gt;0,"있음",IF(COUNTIFS(보유목록!$I$2:$I$3001,"*"&amp;P164&amp;"*",보유목록!$I$2:$I$3001,"*"&amp;Q164&amp;"*")&gt;0,"확인필요(연도다름)",IF(COUNTIFS(보유목록!$I$2:$I$3001,"*"&amp;P164&amp;"*",보유목록!$H$2:$H$3001,O164)&gt;0,"확인필요(같은학교·같은연도)","없음")))))</f>
      </c>
      <c r="L164" t="str" s="16">
        <f aca="0">IF(OR(COUNTA(B164:J164)=0,R164&lt;&gt;""),"",COUNTIFS(보유목록!$I$2:$I$3001,"*"&amp;P164&amp;"*",보유목록!$I$2:$I$3001,"*"&amp;Q164&amp;"*"))</f>
      </c>
      <c r="M164" t="str" s="23">
        <f aca="0">IF(OR(COUNTA(B164:J164)=0,R164&lt;&gt;""),"",IFERROR(LOOKUP(2,1/(ISNUMBER(SEARCH(P164,보유목록!$I$2:$I$3001))*ISNUMBER(SEARCH(Q164,보유목록!$I$2:$I$3001))*(보유목록!$H$2:$H$3001=O164)),보유목록!$B$2:$B$3001),IFERROR(LOOKUP(2,1/(ISNUMBER(SEARCH(P164,보유목록!$I$2:$I$3001))*ISNUMBER(SEARCH(Q164,보유목록!$I$2:$I$3001))),보유목록!$B$2:$B$3001),"")))</f>
      </c>
      <c r="N164" s="25"/>
      <c r="O164" t="str">
        <f>IFERROR(IF(AND(LEN(SUBSTITUTE(SUBSTITUTE(SUBSTITUTE(TRIM(C164&amp;""),CHAR(160),"")," ",""),"년",""))=4,VALUE(SUBSTITUTE(SUBSTITUTE(SUBSTITUTE(TRIM(C164&amp;""),CHAR(160),"")," ",""),"년",""))&gt;=1900,VALUE(SUBSTITUTE(SUBSTITUTE(SUBSTITUTE(TRIM(C164&amp;""),CHAR(160),"")," ",""),"년",""))&lt;=2099,TEXT(VALUE(SUBSTITUTE(SUBSTITUTE(SUBSTITUTE(TRIM(C164&amp;""),CHAR(160),"")," ",""),"년","")),"0000")=SUBSTITUTE(SUBSTITUTE(SUBSTITUTE(TRIM(C164&amp;""),CHAR(160),"")," ",""),"년","")),SUBSTITUTE(SUBSTITUTE(SUBSTITUTE(TRIM(C164&amp;""),CHAR(160),"")," ",""),"년",""),""),"")</f>
      </c>
      <c r="P164" t="str">
        <f>SUBSTITUTE(SUBSTITUTE(SUBSTITUTE(SUBSTITUTE(SUBSTITUTE(SUBSTITUTE(SUBSTITUTE(SUBSTITUTE(TRIM(D164&amp;""),CHAR(160),"")," ",""),"초등학교","초"),"중학교","중"),"고등학교","고"),"~","~~"),"*","~*"),"?","~?")</f>
      </c>
      <c r="Q164" t="str">
        <f>SUBSTITUTE(SUBSTITUTE(SUBSTITUTE(SUBSTITUTE(SUBSTITUTE(SUBSTITUTE(SUBSTITUTE(SUBSTITUTE(TRIM(E164&amp;""),CHAR(160),"")," ",""),"초등학교","초"),"중학교","중"),"고등학교","고"),"~","~~"),"*","~*"),"?","~?")</f>
      </c>
      <c r="R164" t="str">
        <f>IF(COUNTA(B164:J164)=0,"",IF(AND(O164&lt;&gt;"",P164&lt;&gt;"",Q164&lt;&gt;""),"","입력누락"))</f>
      </c>
    </row>
    <row r="165" customFormat="false" ht="15" hidden="false" customHeight="false" outlineLevel="0" collapsed="false">
      <c r="A165" t="n" s="19">
        <f aca="0">IF(COUNTA(B165:J165)=0,"",ROW()-1)</f>
      </c>
      <c r="B165" s="24"/>
      <c r="C165" s="25"/>
      <c r="D165" s="8"/>
      <c r="E165" s="8"/>
      <c r="F165" s="26"/>
      <c r="G165" s="24"/>
      <c r="H165" s="25"/>
      <c r="I165" s="25"/>
      <c r="J165" s="26"/>
      <c r="K165" t="str" s="15">
        <f aca="0">IF(COUNTA(B165:J165)=0,"",IF(R165&lt;&gt;"","확인필요(입력누락)",IF(COUNTIFS(보유목록!$I$2:$I$3001,"*"&amp;P165&amp;"*",보유목록!$I$2:$I$3001,"*"&amp;Q165&amp;"*",보유목록!$H$2:$H$3001,O165)&gt;0,"있음",IF(COUNTIFS(보유목록!$I$2:$I$3001,"*"&amp;P165&amp;"*",보유목록!$I$2:$I$3001,"*"&amp;Q165&amp;"*")&gt;0,"확인필요(연도다름)",IF(COUNTIFS(보유목록!$I$2:$I$3001,"*"&amp;P165&amp;"*",보유목록!$H$2:$H$3001,O165)&gt;0,"확인필요(같은학교·같은연도)","없음")))))</f>
      </c>
      <c r="L165" t="str" s="16">
        <f aca="0">IF(OR(COUNTA(B165:J165)=0,R165&lt;&gt;""),"",COUNTIFS(보유목록!$I$2:$I$3001,"*"&amp;P165&amp;"*",보유목록!$I$2:$I$3001,"*"&amp;Q165&amp;"*"))</f>
      </c>
      <c r="M165" t="str" s="23">
        <f aca="0">IF(OR(COUNTA(B165:J165)=0,R165&lt;&gt;""),"",IFERROR(LOOKUP(2,1/(ISNUMBER(SEARCH(P165,보유목록!$I$2:$I$3001))*ISNUMBER(SEARCH(Q165,보유목록!$I$2:$I$3001))*(보유목록!$H$2:$H$3001=O165)),보유목록!$B$2:$B$3001),IFERROR(LOOKUP(2,1/(ISNUMBER(SEARCH(P165,보유목록!$I$2:$I$3001))*ISNUMBER(SEARCH(Q165,보유목록!$I$2:$I$3001))),보유목록!$B$2:$B$3001),"")))</f>
      </c>
      <c r="N165" s="25"/>
      <c r="O165" t="str">
        <f>IFERROR(IF(AND(LEN(SUBSTITUTE(SUBSTITUTE(SUBSTITUTE(TRIM(C165&amp;""),CHAR(160),"")," ",""),"년",""))=4,VALUE(SUBSTITUTE(SUBSTITUTE(SUBSTITUTE(TRIM(C165&amp;""),CHAR(160),"")," ",""),"년",""))&gt;=1900,VALUE(SUBSTITUTE(SUBSTITUTE(SUBSTITUTE(TRIM(C165&amp;""),CHAR(160),"")," ",""),"년",""))&lt;=2099,TEXT(VALUE(SUBSTITUTE(SUBSTITUTE(SUBSTITUTE(TRIM(C165&amp;""),CHAR(160),"")," ",""),"년","")),"0000")=SUBSTITUTE(SUBSTITUTE(SUBSTITUTE(TRIM(C165&amp;""),CHAR(160),"")," ",""),"년","")),SUBSTITUTE(SUBSTITUTE(SUBSTITUTE(TRIM(C165&amp;""),CHAR(160),"")," ",""),"년",""),""),"")</f>
      </c>
      <c r="P165" t="str">
        <f>SUBSTITUTE(SUBSTITUTE(SUBSTITUTE(SUBSTITUTE(SUBSTITUTE(SUBSTITUTE(SUBSTITUTE(SUBSTITUTE(TRIM(D165&amp;""),CHAR(160),"")," ",""),"초등학교","초"),"중학교","중"),"고등학교","고"),"~","~~"),"*","~*"),"?","~?")</f>
      </c>
      <c r="Q165" t="str">
        <f>SUBSTITUTE(SUBSTITUTE(SUBSTITUTE(SUBSTITUTE(SUBSTITUTE(SUBSTITUTE(SUBSTITUTE(SUBSTITUTE(TRIM(E165&amp;""),CHAR(160),"")," ",""),"초등학교","초"),"중학교","중"),"고등학교","고"),"~","~~"),"*","~*"),"?","~?")</f>
      </c>
      <c r="R165" t="str">
        <f>IF(COUNTA(B165:J165)=0,"",IF(AND(O165&lt;&gt;"",P165&lt;&gt;"",Q165&lt;&gt;""),"","입력누락"))</f>
      </c>
    </row>
    <row r="166" customFormat="false" ht="15" hidden="false" customHeight="false" outlineLevel="0" collapsed="false">
      <c r="A166" t="n" s="19">
        <f aca="0">IF(COUNTA(B166:J166)=0,"",ROW()-1)</f>
      </c>
      <c r="B166" s="24"/>
      <c r="C166" s="25"/>
      <c r="D166" s="8"/>
      <c r="E166" s="8"/>
      <c r="F166" s="26"/>
      <c r="G166" s="24"/>
      <c r="H166" s="25"/>
      <c r="I166" s="25"/>
      <c r="J166" s="26"/>
      <c r="K166" t="str" s="15">
        <f aca="0">IF(COUNTA(B166:J166)=0,"",IF(R166&lt;&gt;"","확인필요(입력누락)",IF(COUNTIFS(보유목록!$I$2:$I$3001,"*"&amp;P166&amp;"*",보유목록!$I$2:$I$3001,"*"&amp;Q166&amp;"*",보유목록!$H$2:$H$3001,O166)&gt;0,"있음",IF(COUNTIFS(보유목록!$I$2:$I$3001,"*"&amp;P166&amp;"*",보유목록!$I$2:$I$3001,"*"&amp;Q166&amp;"*")&gt;0,"확인필요(연도다름)",IF(COUNTIFS(보유목록!$I$2:$I$3001,"*"&amp;P166&amp;"*",보유목록!$H$2:$H$3001,O166)&gt;0,"확인필요(같은학교·같은연도)","없음")))))</f>
      </c>
      <c r="L166" t="str" s="16">
        <f aca="0">IF(OR(COUNTA(B166:J166)=0,R166&lt;&gt;""),"",COUNTIFS(보유목록!$I$2:$I$3001,"*"&amp;P166&amp;"*",보유목록!$I$2:$I$3001,"*"&amp;Q166&amp;"*"))</f>
      </c>
      <c r="M166" t="str" s="23">
        <f aca="0">IF(OR(COUNTA(B166:J166)=0,R166&lt;&gt;""),"",IFERROR(LOOKUP(2,1/(ISNUMBER(SEARCH(P166,보유목록!$I$2:$I$3001))*ISNUMBER(SEARCH(Q166,보유목록!$I$2:$I$3001))*(보유목록!$H$2:$H$3001=O166)),보유목록!$B$2:$B$3001),IFERROR(LOOKUP(2,1/(ISNUMBER(SEARCH(P166,보유목록!$I$2:$I$3001))*ISNUMBER(SEARCH(Q166,보유목록!$I$2:$I$3001))),보유목록!$B$2:$B$3001),"")))</f>
      </c>
      <c r="N166" s="25"/>
      <c r="O166" t="str">
        <f>IFERROR(IF(AND(LEN(SUBSTITUTE(SUBSTITUTE(SUBSTITUTE(TRIM(C166&amp;""),CHAR(160),"")," ",""),"년",""))=4,VALUE(SUBSTITUTE(SUBSTITUTE(SUBSTITUTE(TRIM(C166&amp;""),CHAR(160),"")," ",""),"년",""))&gt;=1900,VALUE(SUBSTITUTE(SUBSTITUTE(SUBSTITUTE(TRIM(C166&amp;""),CHAR(160),"")," ",""),"년",""))&lt;=2099,TEXT(VALUE(SUBSTITUTE(SUBSTITUTE(SUBSTITUTE(TRIM(C166&amp;""),CHAR(160),"")," ",""),"년","")),"0000")=SUBSTITUTE(SUBSTITUTE(SUBSTITUTE(TRIM(C166&amp;""),CHAR(160),"")," ",""),"년","")),SUBSTITUTE(SUBSTITUTE(SUBSTITUTE(TRIM(C166&amp;""),CHAR(160),"")," ",""),"년",""),""),"")</f>
      </c>
      <c r="P166" t="str">
        <f>SUBSTITUTE(SUBSTITUTE(SUBSTITUTE(SUBSTITUTE(SUBSTITUTE(SUBSTITUTE(SUBSTITUTE(SUBSTITUTE(TRIM(D166&amp;""),CHAR(160),"")," ",""),"초등학교","초"),"중학교","중"),"고등학교","고"),"~","~~"),"*","~*"),"?","~?")</f>
      </c>
      <c r="Q166" t="str">
        <f>SUBSTITUTE(SUBSTITUTE(SUBSTITUTE(SUBSTITUTE(SUBSTITUTE(SUBSTITUTE(SUBSTITUTE(SUBSTITUTE(TRIM(E166&amp;""),CHAR(160),"")," ",""),"초등학교","초"),"중학교","중"),"고등학교","고"),"~","~~"),"*","~*"),"?","~?")</f>
      </c>
      <c r="R166" t="str">
        <f>IF(COUNTA(B166:J166)=0,"",IF(AND(O166&lt;&gt;"",P166&lt;&gt;"",Q166&lt;&gt;""),"","입력누락"))</f>
      </c>
    </row>
    <row r="167" customFormat="false" ht="15" hidden="false" customHeight="false" outlineLevel="0" collapsed="false">
      <c r="A167" t="n" s="19">
        <f aca="0">IF(COUNTA(B167:J167)=0,"",ROW()-1)</f>
      </c>
      <c r="B167" s="24"/>
      <c r="C167" s="25"/>
      <c r="D167" s="8"/>
      <c r="E167" s="8"/>
      <c r="F167" s="26"/>
      <c r="G167" s="24"/>
      <c r="H167" s="25"/>
      <c r="I167" s="25"/>
      <c r="J167" s="26"/>
      <c r="K167" t="str" s="15">
        <f aca="0">IF(COUNTA(B167:J167)=0,"",IF(R167&lt;&gt;"","확인필요(입력누락)",IF(COUNTIFS(보유목록!$I$2:$I$3001,"*"&amp;P167&amp;"*",보유목록!$I$2:$I$3001,"*"&amp;Q167&amp;"*",보유목록!$H$2:$H$3001,O167)&gt;0,"있음",IF(COUNTIFS(보유목록!$I$2:$I$3001,"*"&amp;P167&amp;"*",보유목록!$I$2:$I$3001,"*"&amp;Q167&amp;"*")&gt;0,"확인필요(연도다름)",IF(COUNTIFS(보유목록!$I$2:$I$3001,"*"&amp;P167&amp;"*",보유목록!$H$2:$H$3001,O167)&gt;0,"확인필요(같은학교·같은연도)","없음")))))</f>
      </c>
      <c r="L167" t="str" s="16">
        <f aca="0">IF(OR(COUNTA(B167:J167)=0,R167&lt;&gt;""),"",COUNTIFS(보유목록!$I$2:$I$3001,"*"&amp;P167&amp;"*",보유목록!$I$2:$I$3001,"*"&amp;Q167&amp;"*"))</f>
      </c>
      <c r="M167" t="str" s="23">
        <f aca="0">IF(OR(COUNTA(B167:J167)=0,R167&lt;&gt;""),"",IFERROR(LOOKUP(2,1/(ISNUMBER(SEARCH(P167,보유목록!$I$2:$I$3001))*ISNUMBER(SEARCH(Q167,보유목록!$I$2:$I$3001))*(보유목록!$H$2:$H$3001=O167)),보유목록!$B$2:$B$3001),IFERROR(LOOKUP(2,1/(ISNUMBER(SEARCH(P167,보유목록!$I$2:$I$3001))*ISNUMBER(SEARCH(Q167,보유목록!$I$2:$I$3001))),보유목록!$B$2:$B$3001),"")))</f>
      </c>
      <c r="N167" s="25"/>
      <c r="O167" t="str">
        <f>IFERROR(IF(AND(LEN(SUBSTITUTE(SUBSTITUTE(SUBSTITUTE(TRIM(C167&amp;""),CHAR(160),"")," ",""),"년",""))=4,VALUE(SUBSTITUTE(SUBSTITUTE(SUBSTITUTE(TRIM(C167&amp;""),CHAR(160),"")," ",""),"년",""))&gt;=1900,VALUE(SUBSTITUTE(SUBSTITUTE(SUBSTITUTE(TRIM(C167&amp;""),CHAR(160),"")," ",""),"년",""))&lt;=2099,TEXT(VALUE(SUBSTITUTE(SUBSTITUTE(SUBSTITUTE(TRIM(C167&amp;""),CHAR(160),"")," ",""),"년","")),"0000")=SUBSTITUTE(SUBSTITUTE(SUBSTITUTE(TRIM(C167&amp;""),CHAR(160),"")," ",""),"년","")),SUBSTITUTE(SUBSTITUTE(SUBSTITUTE(TRIM(C167&amp;""),CHAR(160),"")," ",""),"년",""),""),"")</f>
      </c>
      <c r="P167" t="str">
        <f>SUBSTITUTE(SUBSTITUTE(SUBSTITUTE(SUBSTITUTE(SUBSTITUTE(SUBSTITUTE(SUBSTITUTE(SUBSTITUTE(TRIM(D167&amp;""),CHAR(160),"")," ",""),"초등학교","초"),"중학교","중"),"고등학교","고"),"~","~~"),"*","~*"),"?","~?")</f>
      </c>
      <c r="Q167" t="str">
        <f>SUBSTITUTE(SUBSTITUTE(SUBSTITUTE(SUBSTITUTE(SUBSTITUTE(SUBSTITUTE(SUBSTITUTE(SUBSTITUTE(TRIM(E167&amp;""),CHAR(160),"")," ",""),"초등학교","초"),"중학교","중"),"고등학교","고"),"~","~~"),"*","~*"),"?","~?")</f>
      </c>
      <c r="R167" t="str">
        <f>IF(COUNTA(B167:J167)=0,"",IF(AND(O167&lt;&gt;"",P167&lt;&gt;"",Q167&lt;&gt;""),"","입력누락"))</f>
      </c>
    </row>
    <row r="168" customFormat="false" ht="15" hidden="false" customHeight="false" outlineLevel="0" collapsed="false">
      <c r="A168" t="n" s="19">
        <f aca="0">IF(COUNTA(B168:J168)=0,"",ROW()-1)</f>
      </c>
      <c r="B168" s="24"/>
      <c r="C168" s="25"/>
      <c r="D168" s="8"/>
      <c r="E168" s="8"/>
      <c r="F168" s="26"/>
      <c r="G168" s="24"/>
      <c r="H168" s="25"/>
      <c r="I168" s="25"/>
      <c r="J168" s="26"/>
      <c r="K168" t="str" s="15">
        <f aca="0">IF(COUNTA(B168:J168)=0,"",IF(R168&lt;&gt;"","확인필요(입력누락)",IF(COUNTIFS(보유목록!$I$2:$I$3001,"*"&amp;P168&amp;"*",보유목록!$I$2:$I$3001,"*"&amp;Q168&amp;"*",보유목록!$H$2:$H$3001,O168)&gt;0,"있음",IF(COUNTIFS(보유목록!$I$2:$I$3001,"*"&amp;P168&amp;"*",보유목록!$I$2:$I$3001,"*"&amp;Q168&amp;"*")&gt;0,"확인필요(연도다름)",IF(COUNTIFS(보유목록!$I$2:$I$3001,"*"&amp;P168&amp;"*",보유목록!$H$2:$H$3001,O168)&gt;0,"확인필요(같은학교·같은연도)","없음")))))</f>
      </c>
      <c r="L168" t="str" s="16">
        <f aca="0">IF(OR(COUNTA(B168:J168)=0,R168&lt;&gt;""),"",COUNTIFS(보유목록!$I$2:$I$3001,"*"&amp;P168&amp;"*",보유목록!$I$2:$I$3001,"*"&amp;Q168&amp;"*"))</f>
      </c>
      <c r="M168" t="str" s="23">
        <f aca="0">IF(OR(COUNTA(B168:J168)=0,R168&lt;&gt;""),"",IFERROR(LOOKUP(2,1/(ISNUMBER(SEARCH(P168,보유목록!$I$2:$I$3001))*ISNUMBER(SEARCH(Q168,보유목록!$I$2:$I$3001))*(보유목록!$H$2:$H$3001=O168)),보유목록!$B$2:$B$3001),IFERROR(LOOKUP(2,1/(ISNUMBER(SEARCH(P168,보유목록!$I$2:$I$3001))*ISNUMBER(SEARCH(Q168,보유목록!$I$2:$I$3001))),보유목록!$B$2:$B$3001),"")))</f>
      </c>
      <c r="N168" s="25"/>
      <c r="O168" t="str">
        <f>IFERROR(IF(AND(LEN(SUBSTITUTE(SUBSTITUTE(SUBSTITUTE(TRIM(C168&amp;""),CHAR(160),"")," ",""),"년",""))=4,VALUE(SUBSTITUTE(SUBSTITUTE(SUBSTITUTE(TRIM(C168&amp;""),CHAR(160),"")," ",""),"년",""))&gt;=1900,VALUE(SUBSTITUTE(SUBSTITUTE(SUBSTITUTE(TRIM(C168&amp;""),CHAR(160),"")," ",""),"년",""))&lt;=2099,TEXT(VALUE(SUBSTITUTE(SUBSTITUTE(SUBSTITUTE(TRIM(C168&amp;""),CHAR(160),"")," ",""),"년","")),"0000")=SUBSTITUTE(SUBSTITUTE(SUBSTITUTE(TRIM(C168&amp;""),CHAR(160),"")," ",""),"년","")),SUBSTITUTE(SUBSTITUTE(SUBSTITUTE(TRIM(C168&amp;""),CHAR(160),"")," ",""),"년",""),""),"")</f>
      </c>
      <c r="P168" t="str">
        <f>SUBSTITUTE(SUBSTITUTE(SUBSTITUTE(SUBSTITUTE(SUBSTITUTE(SUBSTITUTE(SUBSTITUTE(SUBSTITUTE(TRIM(D168&amp;""),CHAR(160),"")," ",""),"초등학교","초"),"중학교","중"),"고등학교","고"),"~","~~"),"*","~*"),"?","~?")</f>
      </c>
      <c r="Q168" t="str">
        <f>SUBSTITUTE(SUBSTITUTE(SUBSTITUTE(SUBSTITUTE(SUBSTITUTE(SUBSTITUTE(SUBSTITUTE(SUBSTITUTE(TRIM(E168&amp;""),CHAR(160),"")," ",""),"초등학교","초"),"중학교","중"),"고등학교","고"),"~","~~"),"*","~*"),"?","~?")</f>
      </c>
      <c r="R168" t="str">
        <f>IF(COUNTA(B168:J168)=0,"",IF(AND(O168&lt;&gt;"",P168&lt;&gt;"",Q168&lt;&gt;""),"","입력누락"))</f>
      </c>
    </row>
    <row r="169" customFormat="false" ht="15" hidden="false" customHeight="false" outlineLevel="0" collapsed="false">
      <c r="A169" t="n" s="19">
        <f aca="0">IF(COUNTA(B169:J169)=0,"",ROW()-1)</f>
      </c>
      <c r="B169" s="24"/>
      <c r="C169" s="25"/>
      <c r="D169" s="8"/>
      <c r="E169" s="8"/>
      <c r="F169" s="26"/>
      <c r="G169" s="24"/>
      <c r="H169" s="25"/>
      <c r="I169" s="25"/>
      <c r="J169" s="26"/>
      <c r="K169" t="str" s="15">
        <f aca="0">IF(COUNTA(B169:J169)=0,"",IF(R169&lt;&gt;"","확인필요(입력누락)",IF(COUNTIFS(보유목록!$I$2:$I$3001,"*"&amp;P169&amp;"*",보유목록!$I$2:$I$3001,"*"&amp;Q169&amp;"*",보유목록!$H$2:$H$3001,O169)&gt;0,"있음",IF(COUNTIFS(보유목록!$I$2:$I$3001,"*"&amp;P169&amp;"*",보유목록!$I$2:$I$3001,"*"&amp;Q169&amp;"*")&gt;0,"확인필요(연도다름)",IF(COUNTIFS(보유목록!$I$2:$I$3001,"*"&amp;P169&amp;"*",보유목록!$H$2:$H$3001,O169)&gt;0,"확인필요(같은학교·같은연도)","없음")))))</f>
      </c>
      <c r="L169" t="str" s="16">
        <f aca="0">IF(OR(COUNTA(B169:J169)=0,R169&lt;&gt;""),"",COUNTIFS(보유목록!$I$2:$I$3001,"*"&amp;P169&amp;"*",보유목록!$I$2:$I$3001,"*"&amp;Q169&amp;"*"))</f>
      </c>
      <c r="M169" t="str" s="23">
        <f aca="0">IF(OR(COUNTA(B169:J169)=0,R169&lt;&gt;""),"",IFERROR(LOOKUP(2,1/(ISNUMBER(SEARCH(P169,보유목록!$I$2:$I$3001))*ISNUMBER(SEARCH(Q169,보유목록!$I$2:$I$3001))*(보유목록!$H$2:$H$3001=O169)),보유목록!$B$2:$B$3001),IFERROR(LOOKUP(2,1/(ISNUMBER(SEARCH(P169,보유목록!$I$2:$I$3001))*ISNUMBER(SEARCH(Q169,보유목록!$I$2:$I$3001))),보유목록!$B$2:$B$3001),"")))</f>
      </c>
      <c r="N169" s="25"/>
      <c r="O169" t="str">
        <f>IFERROR(IF(AND(LEN(SUBSTITUTE(SUBSTITUTE(SUBSTITUTE(TRIM(C169&amp;""),CHAR(160),"")," ",""),"년",""))=4,VALUE(SUBSTITUTE(SUBSTITUTE(SUBSTITUTE(TRIM(C169&amp;""),CHAR(160),"")," ",""),"년",""))&gt;=1900,VALUE(SUBSTITUTE(SUBSTITUTE(SUBSTITUTE(TRIM(C169&amp;""),CHAR(160),"")," ",""),"년",""))&lt;=2099,TEXT(VALUE(SUBSTITUTE(SUBSTITUTE(SUBSTITUTE(TRIM(C169&amp;""),CHAR(160),"")," ",""),"년","")),"0000")=SUBSTITUTE(SUBSTITUTE(SUBSTITUTE(TRIM(C169&amp;""),CHAR(160),"")," ",""),"년","")),SUBSTITUTE(SUBSTITUTE(SUBSTITUTE(TRIM(C169&amp;""),CHAR(160),"")," ",""),"년",""),""),"")</f>
      </c>
      <c r="P169" t="str">
        <f>SUBSTITUTE(SUBSTITUTE(SUBSTITUTE(SUBSTITUTE(SUBSTITUTE(SUBSTITUTE(SUBSTITUTE(SUBSTITUTE(TRIM(D169&amp;""),CHAR(160),"")," ",""),"초등학교","초"),"중학교","중"),"고등학교","고"),"~","~~"),"*","~*"),"?","~?")</f>
      </c>
      <c r="Q169" t="str">
        <f>SUBSTITUTE(SUBSTITUTE(SUBSTITUTE(SUBSTITUTE(SUBSTITUTE(SUBSTITUTE(SUBSTITUTE(SUBSTITUTE(TRIM(E169&amp;""),CHAR(160),"")," ",""),"초등학교","초"),"중학교","중"),"고등학교","고"),"~","~~"),"*","~*"),"?","~?")</f>
      </c>
      <c r="R169" t="str">
        <f>IF(COUNTA(B169:J169)=0,"",IF(AND(O169&lt;&gt;"",P169&lt;&gt;"",Q169&lt;&gt;""),"","입력누락"))</f>
      </c>
    </row>
    <row r="170" customFormat="false" ht="15" hidden="false" customHeight="false" outlineLevel="0" collapsed="false">
      <c r="A170" t="n" s="19">
        <f aca="0">IF(COUNTA(B170:J170)=0,"",ROW()-1)</f>
      </c>
      <c r="B170" s="24"/>
      <c r="C170" s="25"/>
      <c r="D170" s="8"/>
      <c r="E170" s="8"/>
      <c r="F170" s="26"/>
      <c r="G170" s="24"/>
      <c r="H170" s="25"/>
      <c r="I170" s="25"/>
      <c r="J170" s="26"/>
      <c r="K170" t="str" s="15">
        <f aca="0">IF(COUNTA(B170:J170)=0,"",IF(R170&lt;&gt;"","확인필요(입력누락)",IF(COUNTIFS(보유목록!$I$2:$I$3001,"*"&amp;P170&amp;"*",보유목록!$I$2:$I$3001,"*"&amp;Q170&amp;"*",보유목록!$H$2:$H$3001,O170)&gt;0,"있음",IF(COUNTIFS(보유목록!$I$2:$I$3001,"*"&amp;P170&amp;"*",보유목록!$I$2:$I$3001,"*"&amp;Q170&amp;"*")&gt;0,"확인필요(연도다름)",IF(COUNTIFS(보유목록!$I$2:$I$3001,"*"&amp;P170&amp;"*",보유목록!$H$2:$H$3001,O170)&gt;0,"확인필요(같은학교·같은연도)","없음")))))</f>
      </c>
      <c r="L170" t="str" s="16">
        <f aca="0">IF(OR(COUNTA(B170:J170)=0,R170&lt;&gt;""),"",COUNTIFS(보유목록!$I$2:$I$3001,"*"&amp;P170&amp;"*",보유목록!$I$2:$I$3001,"*"&amp;Q170&amp;"*"))</f>
      </c>
      <c r="M170" t="str" s="23">
        <f aca="0">IF(OR(COUNTA(B170:J170)=0,R170&lt;&gt;""),"",IFERROR(LOOKUP(2,1/(ISNUMBER(SEARCH(P170,보유목록!$I$2:$I$3001))*ISNUMBER(SEARCH(Q170,보유목록!$I$2:$I$3001))*(보유목록!$H$2:$H$3001=O170)),보유목록!$B$2:$B$3001),IFERROR(LOOKUP(2,1/(ISNUMBER(SEARCH(P170,보유목록!$I$2:$I$3001))*ISNUMBER(SEARCH(Q170,보유목록!$I$2:$I$3001))),보유목록!$B$2:$B$3001),"")))</f>
      </c>
      <c r="N170" s="25"/>
      <c r="O170" t="str">
        <f>IFERROR(IF(AND(LEN(SUBSTITUTE(SUBSTITUTE(SUBSTITUTE(TRIM(C170&amp;""),CHAR(160),"")," ",""),"년",""))=4,VALUE(SUBSTITUTE(SUBSTITUTE(SUBSTITUTE(TRIM(C170&amp;""),CHAR(160),"")," ",""),"년",""))&gt;=1900,VALUE(SUBSTITUTE(SUBSTITUTE(SUBSTITUTE(TRIM(C170&amp;""),CHAR(160),"")," ",""),"년",""))&lt;=2099,TEXT(VALUE(SUBSTITUTE(SUBSTITUTE(SUBSTITUTE(TRIM(C170&amp;""),CHAR(160),"")," ",""),"년","")),"0000")=SUBSTITUTE(SUBSTITUTE(SUBSTITUTE(TRIM(C170&amp;""),CHAR(160),"")," ",""),"년","")),SUBSTITUTE(SUBSTITUTE(SUBSTITUTE(TRIM(C170&amp;""),CHAR(160),"")," ",""),"년",""),""),"")</f>
      </c>
      <c r="P170" t="str">
        <f>SUBSTITUTE(SUBSTITUTE(SUBSTITUTE(SUBSTITUTE(SUBSTITUTE(SUBSTITUTE(SUBSTITUTE(SUBSTITUTE(TRIM(D170&amp;""),CHAR(160),"")," ",""),"초등학교","초"),"중학교","중"),"고등학교","고"),"~","~~"),"*","~*"),"?","~?")</f>
      </c>
      <c r="Q170" t="str">
        <f>SUBSTITUTE(SUBSTITUTE(SUBSTITUTE(SUBSTITUTE(SUBSTITUTE(SUBSTITUTE(SUBSTITUTE(SUBSTITUTE(TRIM(E170&amp;""),CHAR(160),"")," ",""),"초등학교","초"),"중학교","중"),"고등학교","고"),"~","~~"),"*","~*"),"?","~?")</f>
      </c>
      <c r="R170" t="str">
        <f>IF(COUNTA(B170:J170)=0,"",IF(AND(O170&lt;&gt;"",P170&lt;&gt;"",Q170&lt;&gt;""),"","입력누락"))</f>
      </c>
    </row>
    <row r="171" customFormat="false" ht="15" hidden="false" customHeight="false" outlineLevel="0" collapsed="false">
      <c r="A171" t="n" s="19">
        <f aca="0">IF(COUNTA(B171:J171)=0,"",ROW()-1)</f>
      </c>
      <c r="B171" s="24"/>
      <c r="C171" s="25"/>
      <c r="D171" s="8"/>
      <c r="E171" s="8"/>
      <c r="F171" s="26"/>
      <c r="G171" s="24"/>
      <c r="H171" s="25"/>
      <c r="I171" s="25"/>
      <c r="J171" s="26"/>
      <c r="K171" t="str" s="15">
        <f aca="0">IF(COUNTA(B171:J171)=0,"",IF(R171&lt;&gt;"","확인필요(입력누락)",IF(COUNTIFS(보유목록!$I$2:$I$3001,"*"&amp;P171&amp;"*",보유목록!$I$2:$I$3001,"*"&amp;Q171&amp;"*",보유목록!$H$2:$H$3001,O171)&gt;0,"있음",IF(COUNTIFS(보유목록!$I$2:$I$3001,"*"&amp;P171&amp;"*",보유목록!$I$2:$I$3001,"*"&amp;Q171&amp;"*")&gt;0,"확인필요(연도다름)",IF(COUNTIFS(보유목록!$I$2:$I$3001,"*"&amp;P171&amp;"*",보유목록!$H$2:$H$3001,O171)&gt;0,"확인필요(같은학교·같은연도)","없음")))))</f>
      </c>
      <c r="L171" t="str" s="16">
        <f aca="0">IF(OR(COUNTA(B171:J171)=0,R171&lt;&gt;""),"",COUNTIFS(보유목록!$I$2:$I$3001,"*"&amp;P171&amp;"*",보유목록!$I$2:$I$3001,"*"&amp;Q171&amp;"*"))</f>
      </c>
      <c r="M171" t="str" s="23">
        <f aca="0">IF(OR(COUNTA(B171:J171)=0,R171&lt;&gt;""),"",IFERROR(LOOKUP(2,1/(ISNUMBER(SEARCH(P171,보유목록!$I$2:$I$3001))*ISNUMBER(SEARCH(Q171,보유목록!$I$2:$I$3001))*(보유목록!$H$2:$H$3001=O171)),보유목록!$B$2:$B$3001),IFERROR(LOOKUP(2,1/(ISNUMBER(SEARCH(P171,보유목록!$I$2:$I$3001))*ISNUMBER(SEARCH(Q171,보유목록!$I$2:$I$3001))),보유목록!$B$2:$B$3001),"")))</f>
      </c>
      <c r="N171" s="25"/>
      <c r="O171" t="str">
        <f>IFERROR(IF(AND(LEN(SUBSTITUTE(SUBSTITUTE(SUBSTITUTE(TRIM(C171&amp;""),CHAR(160),"")," ",""),"년",""))=4,VALUE(SUBSTITUTE(SUBSTITUTE(SUBSTITUTE(TRIM(C171&amp;""),CHAR(160),"")," ",""),"년",""))&gt;=1900,VALUE(SUBSTITUTE(SUBSTITUTE(SUBSTITUTE(TRIM(C171&amp;""),CHAR(160),"")," ",""),"년",""))&lt;=2099,TEXT(VALUE(SUBSTITUTE(SUBSTITUTE(SUBSTITUTE(TRIM(C171&amp;""),CHAR(160),"")," ",""),"년","")),"0000")=SUBSTITUTE(SUBSTITUTE(SUBSTITUTE(TRIM(C171&amp;""),CHAR(160),"")," ",""),"년","")),SUBSTITUTE(SUBSTITUTE(SUBSTITUTE(TRIM(C171&amp;""),CHAR(160),"")," ",""),"년",""),""),"")</f>
      </c>
      <c r="P171" t="str">
        <f>SUBSTITUTE(SUBSTITUTE(SUBSTITUTE(SUBSTITUTE(SUBSTITUTE(SUBSTITUTE(SUBSTITUTE(SUBSTITUTE(TRIM(D171&amp;""),CHAR(160),"")," ",""),"초등학교","초"),"중학교","중"),"고등학교","고"),"~","~~"),"*","~*"),"?","~?")</f>
      </c>
      <c r="Q171" t="str">
        <f>SUBSTITUTE(SUBSTITUTE(SUBSTITUTE(SUBSTITUTE(SUBSTITUTE(SUBSTITUTE(SUBSTITUTE(SUBSTITUTE(TRIM(E171&amp;""),CHAR(160),"")," ",""),"초등학교","초"),"중학교","중"),"고등학교","고"),"~","~~"),"*","~*"),"?","~?")</f>
      </c>
      <c r="R171" t="str">
        <f>IF(COUNTA(B171:J171)=0,"",IF(AND(O171&lt;&gt;"",P171&lt;&gt;"",Q171&lt;&gt;""),"","입력누락"))</f>
      </c>
    </row>
    <row r="172" customFormat="false" ht="15" hidden="false" customHeight="false" outlineLevel="0" collapsed="false">
      <c r="A172" t="n" s="19">
        <f aca="0">IF(COUNTA(B172:J172)=0,"",ROW()-1)</f>
      </c>
      <c r="B172" s="24"/>
      <c r="C172" s="25"/>
      <c r="D172" s="8"/>
      <c r="E172" s="8"/>
      <c r="F172" s="26"/>
      <c r="G172" s="24"/>
      <c r="H172" s="25"/>
      <c r="I172" s="25"/>
      <c r="J172" s="26"/>
      <c r="K172" t="str" s="15">
        <f aca="0">IF(COUNTA(B172:J172)=0,"",IF(R172&lt;&gt;"","확인필요(입력누락)",IF(COUNTIFS(보유목록!$I$2:$I$3001,"*"&amp;P172&amp;"*",보유목록!$I$2:$I$3001,"*"&amp;Q172&amp;"*",보유목록!$H$2:$H$3001,O172)&gt;0,"있음",IF(COUNTIFS(보유목록!$I$2:$I$3001,"*"&amp;P172&amp;"*",보유목록!$I$2:$I$3001,"*"&amp;Q172&amp;"*")&gt;0,"확인필요(연도다름)",IF(COUNTIFS(보유목록!$I$2:$I$3001,"*"&amp;P172&amp;"*",보유목록!$H$2:$H$3001,O172)&gt;0,"확인필요(같은학교·같은연도)","없음")))))</f>
      </c>
      <c r="L172" t="str" s="16">
        <f aca="0">IF(OR(COUNTA(B172:J172)=0,R172&lt;&gt;""),"",COUNTIFS(보유목록!$I$2:$I$3001,"*"&amp;P172&amp;"*",보유목록!$I$2:$I$3001,"*"&amp;Q172&amp;"*"))</f>
      </c>
      <c r="M172" t="str" s="23">
        <f aca="0">IF(OR(COUNTA(B172:J172)=0,R172&lt;&gt;""),"",IFERROR(LOOKUP(2,1/(ISNUMBER(SEARCH(P172,보유목록!$I$2:$I$3001))*ISNUMBER(SEARCH(Q172,보유목록!$I$2:$I$3001))*(보유목록!$H$2:$H$3001=O172)),보유목록!$B$2:$B$3001),IFERROR(LOOKUP(2,1/(ISNUMBER(SEARCH(P172,보유목록!$I$2:$I$3001))*ISNUMBER(SEARCH(Q172,보유목록!$I$2:$I$3001))),보유목록!$B$2:$B$3001),"")))</f>
      </c>
      <c r="N172" s="25"/>
      <c r="O172" t="str">
        <f>IFERROR(IF(AND(LEN(SUBSTITUTE(SUBSTITUTE(SUBSTITUTE(TRIM(C172&amp;""),CHAR(160),"")," ",""),"년",""))=4,VALUE(SUBSTITUTE(SUBSTITUTE(SUBSTITUTE(TRIM(C172&amp;""),CHAR(160),"")," ",""),"년",""))&gt;=1900,VALUE(SUBSTITUTE(SUBSTITUTE(SUBSTITUTE(TRIM(C172&amp;""),CHAR(160),"")," ",""),"년",""))&lt;=2099,TEXT(VALUE(SUBSTITUTE(SUBSTITUTE(SUBSTITUTE(TRIM(C172&amp;""),CHAR(160),"")," ",""),"년","")),"0000")=SUBSTITUTE(SUBSTITUTE(SUBSTITUTE(TRIM(C172&amp;""),CHAR(160),"")," ",""),"년","")),SUBSTITUTE(SUBSTITUTE(SUBSTITUTE(TRIM(C172&amp;""),CHAR(160),"")," ",""),"년",""),""),"")</f>
      </c>
      <c r="P172" t="str">
        <f>SUBSTITUTE(SUBSTITUTE(SUBSTITUTE(SUBSTITUTE(SUBSTITUTE(SUBSTITUTE(SUBSTITUTE(SUBSTITUTE(TRIM(D172&amp;""),CHAR(160),"")," ",""),"초등학교","초"),"중학교","중"),"고등학교","고"),"~","~~"),"*","~*"),"?","~?")</f>
      </c>
      <c r="Q172" t="str">
        <f>SUBSTITUTE(SUBSTITUTE(SUBSTITUTE(SUBSTITUTE(SUBSTITUTE(SUBSTITUTE(SUBSTITUTE(SUBSTITUTE(TRIM(E172&amp;""),CHAR(160),"")," ",""),"초등학교","초"),"중학교","중"),"고등학교","고"),"~","~~"),"*","~*"),"?","~?")</f>
      </c>
      <c r="R172" t="str">
        <f>IF(COUNTA(B172:J172)=0,"",IF(AND(O172&lt;&gt;"",P172&lt;&gt;"",Q172&lt;&gt;""),"","입력누락"))</f>
      </c>
    </row>
    <row r="173" customFormat="false" ht="15" hidden="false" customHeight="false" outlineLevel="0" collapsed="false">
      <c r="A173" t="n" s="19">
        <f aca="0">IF(COUNTA(B173:J173)=0,"",ROW()-1)</f>
      </c>
      <c r="B173" s="24"/>
      <c r="C173" s="25"/>
      <c r="D173" s="8"/>
      <c r="E173" s="8"/>
      <c r="F173" s="26"/>
      <c r="G173" s="24"/>
      <c r="H173" s="25"/>
      <c r="I173" s="25"/>
      <c r="J173" s="26"/>
      <c r="K173" t="str" s="15">
        <f aca="0">IF(COUNTA(B173:J173)=0,"",IF(R173&lt;&gt;"","확인필요(입력누락)",IF(COUNTIFS(보유목록!$I$2:$I$3001,"*"&amp;P173&amp;"*",보유목록!$I$2:$I$3001,"*"&amp;Q173&amp;"*",보유목록!$H$2:$H$3001,O173)&gt;0,"있음",IF(COUNTIFS(보유목록!$I$2:$I$3001,"*"&amp;P173&amp;"*",보유목록!$I$2:$I$3001,"*"&amp;Q173&amp;"*")&gt;0,"확인필요(연도다름)",IF(COUNTIFS(보유목록!$I$2:$I$3001,"*"&amp;P173&amp;"*",보유목록!$H$2:$H$3001,O173)&gt;0,"확인필요(같은학교·같은연도)","없음")))))</f>
      </c>
      <c r="L173" t="str" s="16">
        <f aca="0">IF(OR(COUNTA(B173:J173)=0,R173&lt;&gt;""),"",COUNTIFS(보유목록!$I$2:$I$3001,"*"&amp;P173&amp;"*",보유목록!$I$2:$I$3001,"*"&amp;Q173&amp;"*"))</f>
      </c>
      <c r="M173" t="str" s="23">
        <f aca="0">IF(OR(COUNTA(B173:J173)=0,R173&lt;&gt;""),"",IFERROR(LOOKUP(2,1/(ISNUMBER(SEARCH(P173,보유목록!$I$2:$I$3001))*ISNUMBER(SEARCH(Q173,보유목록!$I$2:$I$3001))*(보유목록!$H$2:$H$3001=O173)),보유목록!$B$2:$B$3001),IFERROR(LOOKUP(2,1/(ISNUMBER(SEARCH(P173,보유목록!$I$2:$I$3001))*ISNUMBER(SEARCH(Q173,보유목록!$I$2:$I$3001))),보유목록!$B$2:$B$3001),"")))</f>
      </c>
      <c r="N173" s="25"/>
      <c r="O173" t="str">
        <f>IFERROR(IF(AND(LEN(SUBSTITUTE(SUBSTITUTE(SUBSTITUTE(TRIM(C173&amp;""),CHAR(160),"")," ",""),"년",""))=4,VALUE(SUBSTITUTE(SUBSTITUTE(SUBSTITUTE(TRIM(C173&amp;""),CHAR(160),"")," ",""),"년",""))&gt;=1900,VALUE(SUBSTITUTE(SUBSTITUTE(SUBSTITUTE(TRIM(C173&amp;""),CHAR(160),"")," ",""),"년",""))&lt;=2099,TEXT(VALUE(SUBSTITUTE(SUBSTITUTE(SUBSTITUTE(TRIM(C173&amp;""),CHAR(160),"")," ",""),"년","")),"0000")=SUBSTITUTE(SUBSTITUTE(SUBSTITUTE(TRIM(C173&amp;""),CHAR(160),"")," ",""),"년","")),SUBSTITUTE(SUBSTITUTE(SUBSTITUTE(TRIM(C173&amp;""),CHAR(160),"")," ",""),"년",""),""),"")</f>
      </c>
      <c r="P173" t="str">
        <f>SUBSTITUTE(SUBSTITUTE(SUBSTITUTE(SUBSTITUTE(SUBSTITUTE(SUBSTITUTE(SUBSTITUTE(SUBSTITUTE(TRIM(D173&amp;""),CHAR(160),"")," ",""),"초등학교","초"),"중학교","중"),"고등학교","고"),"~","~~"),"*","~*"),"?","~?")</f>
      </c>
      <c r="Q173" t="str">
        <f>SUBSTITUTE(SUBSTITUTE(SUBSTITUTE(SUBSTITUTE(SUBSTITUTE(SUBSTITUTE(SUBSTITUTE(SUBSTITUTE(TRIM(E173&amp;""),CHAR(160),"")," ",""),"초등학교","초"),"중학교","중"),"고등학교","고"),"~","~~"),"*","~*"),"?","~?")</f>
      </c>
      <c r="R173" t="str">
        <f>IF(COUNTA(B173:J173)=0,"",IF(AND(O173&lt;&gt;"",P173&lt;&gt;"",Q173&lt;&gt;""),"","입력누락"))</f>
      </c>
    </row>
    <row r="174" customFormat="false" ht="15" hidden="false" customHeight="false" outlineLevel="0" collapsed="false">
      <c r="A174" t="n" s="19">
        <f aca="0">IF(COUNTA(B174:J174)=0,"",ROW()-1)</f>
      </c>
      <c r="B174" s="24"/>
      <c r="C174" s="25"/>
      <c r="D174" s="8"/>
      <c r="E174" s="8"/>
      <c r="F174" s="26"/>
      <c r="G174" s="24"/>
      <c r="H174" s="25"/>
      <c r="I174" s="25"/>
      <c r="J174" s="26"/>
      <c r="K174" t="str" s="15">
        <f aca="0">IF(COUNTA(B174:J174)=0,"",IF(R174&lt;&gt;"","확인필요(입력누락)",IF(COUNTIFS(보유목록!$I$2:$I$3001,"*"&amp;P174&amp;"*",보유목록!$I$2:$I$3001,"*"&amp;Q174&amp;"*",보유목록!$H$2:$H$3001,O174)&gt;0,"있음",IF(COUNTIFS(보유목록!$I$2:$I$3001,"*"&amp;P174&amp;"*",보유목록!$I$2:$I$3001,"*"&amp;Q174&amp;"*")&gt;0,"확인필요(연도다름)",IF(COUNTIFS(보유목록!$I$2:$I$3001,"*"&amp;P174&amp;"*",보유목록!$H$2:$H$3001,O174)&gt;0,"확인필요(같은학교·같은연도)","없음")))))</f>
      </c>
      <c r="L174" t="str" s="16">
        <f aca="0">IF(OR(COUNTA(B174:J174)=0,R174&lt;&gt;""),"",COUNTIFS(보유목록!$I$2:$I$3001,"*"&amp;P174&amp;"*",보유목록!$I$2:$I$3001,"*"&amp;Q174&amp;"*"))</f>
      </c>
      <c r="M174" t="str" s="23">
        <f aca="0">IF(OR(COUNTA(B174:J174)=0,R174&lt;&gt;""),"",IFERROR(LOOKUP(2,1/(ISNUMBER(SEARCH(P174,보유목록!$I$2:$I$3001))*ISNUMBER(SEARCH(Q174,보유목록!$I$2:$I$3001))*(보유목록!$H$2:$H$3001=O174)),보유목록!$B$2:$B$3001),IFERROR(LOOKUP(2,1/(ISNUMBER(SEARCH(P174,보유목록!$I$2:$I$3001))*ISNUMBER(SEARCH(Q174,보유목록!$I$2:$I$3001))),보유목록!$B$2:$B$3001),"")))</f>
      </c>
      <c r="N174" s="25"/>
      <c r="O174" t="str">
        <f>IFERROR(IF(AND(LEN(SUBSTITUTE(SUBSTITUTE(SUBSTITUTE(TRIM(C174&amp;""),CHAR(160),"")," ",""),"년",""))=4,VALUE(SUBSTITUTE(SUBSTITUTE(SUBSTITUTE(TRIM(C174&amp;""),CHAR(160),"")," ",""),"년",""))&gt;=1900,VALUE(SUBSTITUTE(SUBSTITUTE(SUBSTITUTE(TRIM(C174&amp;""),CHAR(160),"")," ",""),"년",""))&lt;=2099,TEXT(VALUE(SUBSTITUTE(SUBSTITUTE(SUBSTITUTE(TRIM(C174&amp;""),CHAR(160),"")," ",""),"년","")),"0000")=SUBSTITUTE(SUBSTITUTE(SUBSTITUTE(TRIM(C174&amp;""),CHAR(160),"")," ",""),"년","")),SUBSTITUTE(SUBSTITUTE(SUBSTITUTE(TRIM(C174&amp;""),CHAR(160),"")," ",""),"년",""),""),"")</f>
      </c>
      <c r="P174" t="str">
        <f>SUBSTITUTE(SUBSTITUTE(SUBSTITUTE(SUBSTITUTE(SUBSTITUTE(SUBSTITUTE(SUBSTITUTE(SUBSTITUTE(TRIM(D174&amp;""),CHAR(160),"")," ",""),"초등학교","초"),"중학교","중"),"고등학교","고"),"~","~~"),"*","~*"),"?","~?")</f>
      </c>
      <c r="Q174" t="str">
        <f>SUBSTITUTE(SUBSTITUTE(SUBSTITUTE(SUBSTITUTE(SUBSTITUTE(SUBSTITUTE(SUBSTITUTE(SUBSTITUTE(TRIM(E174&amp;""),CHAR(160),"")," ",""),"초등학교","초"),"중학교","중"),"고등학교","고"),"~","~~"),"*","~*"),"?","~?")</f>
      </c>
      <c r="R174" t="str">
        <f>IF(COUNTA(B174:J174)=0,"",IF(AND(O174&lt;&gt;"",P174&lt;&gt;"",Q174&lt;&gt;""),"","입력누락"))</f>
      </c>
    </row>
    <row r="175" customFormat="false" ht="15" hidden="false" customHeight="false" outlineLevel="0" collapsed="false">
      <c r="A175" t="n" s="19">
        <f aca="0">IF(COUNTA(B175:J175)=0,"",ROW()-1)</f>
      </c>
      <c r="B175" s="24"/>
      <c r="C175" s="25"/>
      <c r="D175" s="8"/>
      <c r="E175" s="8"/>
      <c r="F175" s="26"/>
      <c r="G175" s="24"/>
      <c r="H175" s="25"/>
      <c r="I175" s="25"/>
      <c r="J175" s="26"/>
      <c r="K175" t="str" s="15">
        <f aca="0">IF(COUNTA(B175:J175)=0,"",IF(R175&lt;&gt;"","확인필요(입력누락)",IF(COUNTIFS(보유목록!$I$2:$I$3001,"*"&amp;P175&amp;"*",보유목록!$I$2:$I$3001,"*"&amp;Q175&amp;"*",보유목록!$H$2:$H$3001,O175)&gt;0,"있음",IF(COUNTIFS(보유목록!$I$2:$I$3001,"*"&amp;P175&amp;"*",보유목록!$I$2:$I$3001,"*"&amp;Q175&amp;"*")&gt;0,"확인필요(연도다름)",IF(COUNTIFS(보유목록!$I$2:$I$3001,"*"&amp;P175&amp;"*",보유목록!$H$2:$H$3001,O175)&gt;0,"확인필요(같은학교·같은연도)","없음")))))</f>
      </c>
      <c r="L175" t="str" s="16">
        <f aca="0">IF(OR(COUNTA(B175:J175)=0,R175&lt;&gt;""),"",COUNTIFS(보유목록!$I$2:$I$3001,"*"&amp;P175&amp;"*",보유목록!$I$2:$I$3001,"*"&amp;Q175&amp;"*"))</f>
      </c>
      <c r="M175" t="str" s="23">
        <f aca="0">IF(OR(COUNTA(B175:J175)=0,R175&lt;&gt;""),"",IFERROR(LOOKUP(2,1/(ISNUMBER(SEARCH(P175,보유목록!$I$2:$I$3001))*ISNUMBER(SEARCH(Q175,보유목록!$I$2:$I$3001))*(보유목록!$H$2:$H$3001=O175)),보유목록!$B$2:$B$3001),IFERROR(LOOKUP(2,1/(ISNUMBER(SEARCH(P175,보유목록!$I$2:$I$3001))*ISNUMBER(SEARCH(Q175,보유목록!$I$2:$I$3001))),보유목록!$B$2:$B$3001),"")))</f>
      </c>
      <c r="N175" s="25"/>
      <c r="O175" t="str">
        <f>IFERROR(IF(AND(LEN(SUBSTITUTE(SUBSTITUTE(SUBSTITUTE(TRIM(C175&amp;""),CHAR(160),"")," ",""),"년",""))=4,VALUE(SUBSTITUTE(SUBSTITUTE(SUBSTITUTE(TRIM(C175&amp;""),CHAR(160),"")," ",""),"년",""))&gt;=1900,VALUE(SUBSTITUTE(SUBSTITUTE(SUBSTITUTE(TRIM(C175&amp;""),CHAR(160),"")," ",""),"년",""))&lt;=2099,TEXT(VALUE(SUBSTITUTE(SUBSTITUTE(SUBSTITUTE(TRIM(C175&amp;""),CHAR(160),"")," ",""),"년","")),"0000")=SUBSTITUTE(SUBSTITUTE(SUBSTITUTE(TRIM(C175&amp;""),CHAR(160),"")," ",""),"년","")),SUBSTITUTE(SUBSTITUTE(SUBSTITUTE(TRIM(C175&amp;""),CHAR(160),"")," ",""),"년",""),""),"")</f>
      </c>
      <c r="P175" t="str">
        <f>SUBSTITUTE(SUBSTITUTE(SUBSTITUTE(SUBSTITUTE(SUBSTITUTE(SUBSTITUTE(SUBSTITUTE(SUBSTITUTE(TRIM(D175&amp;""),CHAR(160),"")," ",""),"초등학교","초"),"중학교","중"),"고등학교","고"),"~","~~"),"*","~*"),"?","~?")</f>
      </c>
      <c r="Q175" t="str">
        <f>SUBSTITUTE(SUBSTITUTE(SUBSTITUTE(SUBSTITUTE(SUBSTITUTE(SUBSTITUTE(SUBSTITUTE(SUBSTITUTE(TRIM(E175&amp;""),CHAR(160),"")," ",""),"초등학교","초"),"중학교","중"),"고등학교","고"),"~","~~"),"*","~*"),"?","~?")</f>
      </c>
      <c r="R175" t="str">
        <f>IF(COUNTA(B175:J175)=0,"",IF(AND(O175&lt;&gt;"",P175&lt;&gt;"",Q175&lt;&gt;""),"","입력누락"))</f>
      </c>
    </row>
    <row r="176" customFormat="false" ht="15" hidden="false" customHeight="false" outlineLevel="0" collapsed="false">
      <c r="A176" t="n" s="19">
        <f aca="0">IF(COUNTA(B176:J176)=0,"",ROW()-1)</f>
      </c>
      <c r="B176" s="24"/>
      <c r="C176" s="25"/>
      <c r="D176" s="8"/>
      <c r="E176" s="8"/>
      <c r="F176" s="26"/>
      <c r="G176" s="24"/>
      <c r="H176" s="25"/>
      <c r="I176" s="25"/>
      <c r="J176" s="26"/>
      <c r="K176" t="str" s="15">
        <f aca="0">IF(COUNTA(B176:J176)=0,"",IF(R176&lt;&gt;"","확인필요(입력누락)",IF(COUNTIFS(보유목록!$I$2:$I$3001,"*"&amp;P176&amp;"*",보유목록!$I$2:$I$3001,"*"&amp;Q176&amp;"*",보유목록!$H$2:$H$3001,O176)&gt;0,"있음",IF(COUNTIFS(보유목록!$I$2:$I$3001,"*"&amp;P176&amp;"*",보유목록!$I$2:$I$3001,"*"&amp;Q176&amp;"*")&gt;0,"확인필요(연도다름)",IF(COUNTIFS(보유목록!$I$2:$I$3001,"*"&amp;P176&amp;"*",보유목록!$H$2:$H$3001,O176)&gt;0,"확인필요(같은학교·같은연도)","없음")))))</f>
      </c>
      <c r="L176" t="str" s="16">
        <f aca="0">IF(OR(COUNTA(B176:J176)=0,R176&lt;&gt;""),"",COUNTIFS(보유목록!$I$2:$I$3001,"*"&amp;P176&amp;"*",보유목록!$I$2:$I$3001,"*"&amp;Q176&amp;"*"))</f>
      </c>
      <c r="M176" t="str" s="23">
        <f aca="0">IF(OR(COUNTA(B176:J176)=0,R176&lt;&gt;""),"",IFERROR(LOOKUP(2,1/(ISNUMBER(SEARCH(P176,보유목록!$I$2:$I$3001))*ISNUMBER(SEARCH(Q176,보유목록!$I$2:$I$3001))*(보유목록!$H$2:$H$3001=O176)),보유목록!$B$2:$B$3001),IFERROR(LOOKUP(2,1/(ISNUMBER(SEARCH(P176,보유목록!$I$2:$I$3001))*ISNUMBER(SEARCH(Q176,보유목록!$I$2:$I$3001))),보유목록!$B$2:$B$3001),"")))</f>
      </c>
      <c r="N176" s="25"/>
      <c r="O176" t="str">
        <f>IFERROR(IF(AND(LEN(SUBSTITUTE(SUBSTITUTE(SUBSTITUTE(TRIM(C176&amp;""),CHAR(160),"")," ",""),"년",""))=4,VALUE(SUBSTITUTE(SUBSTITUTE(SUBSTITUTE(TRIM(C176&amp;""),CHAR(160),"")," ",""),"년",""))&gt;=1900,VALUE(SUBSTITUTE(SUBSTITUTE(SUBSTITUTE(TRIM(C176&amp;""),CHAR(160),"")," ",""),"년",""))&lt;=2099,TEXT(VALUE(SUBSTITUTE(SUBSTITUTE(SUBSTITUTE(TRIM(C176&amp;""),CHAR(160),"")," ",""),"년","")),"0000")=SUBSTITUTE(SUBSTITUTE(SUBSTITUTE(TRIM(C176&amp;""),CHAR(160),"")," ",""),"년","")),SUBSTITUTE(SUBSTITUTE(SUBSTITUTE(TRIM(C176&amp;""),CHAR(160),"")," ",""),"년",""),""),"")</f>
      </c>
      <c r="P176" t="str">
        <f>SUBSTITUTE(SUBSTITUTE(SUBSTITUTE(SUBSTITUTE(SUBSTITUTE(SUBSTITUTE(SUBSTITUTE(SUBSTITUTE(TRIM(D176&amp;""),CHAR(160),"")," ",""),"초등학교","초"),"중학교","중"),"고등학교","고"),"~","~~"),"*","~*"),"?","~?")</f>
      </c>
      <c r="Q176" t="str">
        <f>SUBSTITUTE(SUBSTITUTE(SUBSTITUTE(SUBSTITUTE(SUBSTITUTE(SUBSTITUTE(SUBSTITUTE(SUBSTITUTE(TRIM(E176&amp;""),CHAR(160),"")," ",""),"초등학교","초"),"중학교","중"),"고등학교","고"),"~","~~"),"*","~*"),"?","~?")</f>
      </c>
      <c r="R176" t="str">
        <f>IF(COUNTA(B176:J176)=0,"",IF(AND(O176&lt;&gt;"",P176&lt;&gt;"",Q176&lt;&gt;""),"","입력누락"))</f>
      </c>
    </row>
    <row r="177" customFormat="false" ht="15" hidden="false" customHeight="false" outlineLevel="0" collapsed="false">
      <c r="A177" t="n" s="19">
        <f aca="0">IF(COUNTA(B177:J177)=0,"",ROW()-1)</f>
      </c>
      <c r="B177" s="24"/>
      <c r="C177" s="25"/>
      <c r="D177" s="8"/>
      <c r="E177" s="8"/>
      <c r="F177" s="26"/>
      <c r="G177" s="24"/>
      <c r="H177" s="25"/>
      <c r="I177" s="25"/>
      <c r="J177" s="26"/>
      <c r="K177" t="str" s="15">
        <f aca="0">IF(COUNTA(B177:J177)=0,"",IF(R177&lt;&gt;"","확인필요(입력누락)",IF(COUNTIFS(보유목록!$I$2:$I$3001,"*"&amp;P177&amp;"*",보유목록!$I$2:$I$3001,"*"&amp;Q177&amp;"*",보유목록!$H$2:$H$3001,O177)&gt;0,"있음",IF(COUNTIFS(보유목록!$I$2:$I$3001,"*"&amp;P177&amp;"*",보유목록!$I$2:$I$3001,"*"&amp;Q177&amp;"*")&gt;0,"확인필요(연도다름)",IF(COUNTIFS(보유목록!$I$2:$I$3001,"*"&amp;P177&amp;"*",보유목록!$H$2:$H$3001,O177)&gt;0,"확인필요(같은학교·같은연도)","없음")))))</f>
      </c>
      <c r="L177" t="str" s="16">
        <f aca="0">IF(OR(COUNTA(B177:J177)=0,R177&lt;&gt;""),"",COUNTIFS(보유목록!$I$2:$I$3001,"*"&amp;P177&amp;"*",보유목록!$I$2:$I$3001,"*"&amp;Q177&amp;"*"))</f>
      </c>
      <c r="M177" t="str" s="23">
        <f aca="0">IF(OR(COUNTA(B177:J177)=0,R177&lt;&gt;""),"",IFERROR(LOOKUP(2,1/(ISNUMBER(SEARCH(P177,보유목록!$I$2:$I$3001))*ISNUMBER(SEARCH(Q177,보유목록!$I$2:$I$3001))*(보유목록!$H$2:$H$3001=O177)),보유목록!$B$2:$B$3001),IFERROR(LOOKUP(2,1/(ISNUMBER(SEARCH(P177,보유목록!$I$2:$I$3001))*ISNUMBER(SEARCH(Q177,보유목록!$I$2:$I$3001))),보유목록!$B$2:$B$3001),"")))</f>
      </c>
      <c r="N177" s="25"/>
      <c r="O177" t="str">
        <f>IFERROR(IF(AND(LEN(SUBSTITUTE(SUBSTITUTE(SUBSTITUTE(TRIM(C177&amp;""),CHAR(160),"")," ",""),"년",""))=4,VALUE(SUBSTITUTE(SUBSTITUTE(SUBSTITUTE(TRIM(C177&amp;""),CHAR(160),"")," ",""),"년",""))&gt;=1900,VALUE(SUBSTITUTE(SUBSTITUTE(SUBSTITUTE(TRIM(C177&amp;""),CHAR(160),"")," ",""),"년",""))&lt;=2099,TEXT(VALUE(SUBSTITUTE(SUBSTITUTE(SUBSTITUTE(TRIM(C177&amp;""),CHAR(160),"")," ",""),"년","")),"0000")=SUBSTITUTE(SUBSTITUTE(SUBSTITUTE(TRIM(C177&amp;""),CHAR(160),"")," ",""),"년","")),SUBSTITUTE(SUBSTITUTE(SUBSTITUTE(TRIM(C177&amp;""),CHAR(160),"")," ",""),"년",""),""),"")</f>
      </c>
      <c r="P177" t="str">
        <f>SUBSTITUTE(SUBSTITUTE(SUBSTITUTE(SUBSTITUTE(SUBSTITUTE(SUBSTITUTE(SUBSTITUTE(SUBSTITUTE(TRIM(D177&amp;""),CHAR(160),"")," ",""),"초등학교","초"),"중학교","중"),"고등학교","고"),"~","~~"),"*","~*"),"?","~?")</f>
      </c>
      <c r="Q177" t="str">
        <f>SUBSTITUTE(SUBSTITUTE(SUBSTITUTE(SUBSTITUTE(SUBSTITUTE(SUBSTITUTE(SUBSTITUTE(SUBSTITUTE(TRIM(E177&amp;""),CHAR(160),"")," ",""),"초등학교","초"),"중학교","중"),"고등학교","고"),"~","~~"),"*","~*"),"?","~?")</f>
      </c>
      <c r="R177" t="str">
        <f>IF(COUNTA(B177:J177)=0,"",IF(AND(O177&lt;&gt;"",P177&lt;&gt;"",Q177&lt;&gt;""),"","입력누락"))</f>
      </c>
    </row>
    <row r="178" customFormat="false" ht="15" hidden="false" customHeight="false" outlineLevel="0" collapsed="false">
      <c r="A178" t="n" s="19">
        <f aca="0">IF(COUNTA(B178:J178)=0,"",ROW()-1)</f>
      </c>
      <c r="B178" s="24"/>
      <c r="C178" s="25"/>
      <c r="D178" s="8"/>
      <c r="E178" s="8"/>
      <c r="F178" s="26"/>
      <c r="G178" s="24"/>
      <c r="H178" s="25"/>
      <c r="I178" s="25"/>
      <c r="J178" s="26"/>
      <c r="K178" t="str" s="15">
        <f aca="0">IF(COUNTA(B178:J178)=0,"",IF(R178&lt;&gt;"","확인필요(입력누락)",IF(COUNTIFS(보유목록!$I$2:$I$3001,"*"&amp;P178&amp;"*",보유목록!$I$2:$I$3001,"*"&amp;Q178&amp;"*",보유목록!$H$2:$H$3001,O178)&gt;0,"있음",IF(COUNTIFS(보유목록!$I$2:$I$3001,"*"&amp;P178&amp;"*",보유목록!$I$2:$I$3001,"*"&amp;Q178&amp;"*")&gt;0,"확인필요(연도다름)",IF(COUNTIFS(보유목록!$I$2:$I$3001,"*"&amp;P178&amp;"*",보유목록!$H$2:$H$3001,O178)&gt;0,"확인필요(같은학교·같은연도)","없음")))))</f>
      </c>
      <c r="L178" t="str" s="16">
        <f aca="0">IF(OR(COUNTA(B178:J178)=0,R178&lt;&gt;""),"",COUNTIFS(보유목록!$I$2:$I$3001,"*"&amp;P178&amp;"*",보유목록!$I$2:$I$3001,"*"&amp;Q178&amp;"*"))</f>
      </c>
      <c r="M178" t="str" s="23">
        <f aca="0">IF(OR(COUNTA(B178:J178)=0,R178&lt;&gt;""),"",IFERROR(LOOKUP(2,1/(ISNUMBER(SEARCH(P178,보유목록!$I$2:$I$3001))*ISNUMBER(SEARCH(Q178,보유목록!$I$2:$I$3001))*(보유목록!$H$2:$H$3001=O178)),보유목록!$B$2:$B$3001),IFERROR(LOOKUP(2,1/(ISNUMBER(SEARCH(P178,보유목록!$I$2:$I$3001))*ISNUMBER(SEARCH(Q178,보유목록!$I$2:$I$3001))),보유목록!$B$2:$B$3001),"")))</f>
      </c>
      <c r="N178" s="25"/>
      <c r="O178" t="str">
        <f>IFERROR(IF(AND(LEN(SUBSTITUTE(SUBSTITUTE(SUBSTITUTE(TRIM(C178&amp;""),CHAR(160),"")," ",""),"년",""))=4,VALUE(SUBSTITUTE(SUBSTITUTE(SUBSTITUTE(TRIM(C178&amp;""),CHAR(160),"")," ",""),"년",""))&gt;=1900,VALUE(SUBSTITUTE(SUBSTITUTE(SUBSTITUTE(TRIM(C178&amp;""),CHAR(160),"")," ",""),"년",""))&lt;=2099,TEXT(VALUE(SUBSTITUTE(SUBSTITUTE(SUBSTITUTE(TRIM(C178&amp;""),CHAR(160),"")," ",""),"년","")),"0000")=SUBSTITUTE(SUBSTITUTE(SUBSTITUTE(TRIM(C178&amp;""),CHAR(160),"")," ",""),"년","")),SUBSTITUTE(SUBSTITUTE(SUBSTITUTE(TRIM(C178&amp;""),CHAR(160),"")," ",""),"년",""),""),"")</f>
      </c>
      <c r="P178" t="str">
        <f>SUBSTITUTE(SUBSTITUTE(SUBSTITUTE(SUBSTITUTE(SUBSTITUTE(SUBSTITUTE(SUBSTITUTE(SUBSTITUTE(TRIM(D178&amp;""),CHAR(160),"")," ",""),"초등학교","초"),"중학교","중"),"고등학교","고"),"~","~~"),"*","~*"),"?","~?")</f>
      </c>
      <c r="Q178" t="str">
        <f>SUBSTITUTE(SUBSTITUTE(SUBSTITUTE(SUBSTITUTE(SUBSTITUTE(SUBSTITUTE(SUBSTITUTE(SUBSTITUTE(TRIM(E178&amp;""),CHAR(160),"")," ",""),"초등학교","초"),"중학교","중"),"고등학교","고"),"~","~~"),"*","~*"),"?","~?")</f>
      </c>
      <c r="R178" t="str">
        <f>IF(COUNTA(B178:J178)=0,"",IF(AND(O178&lt;&gt;"",P178&lt;&gt;"",Q178&lt;&gt;""),"","입력누락"))</f>
      </c>
    </row>
    <row r="179" customFormat="false" ht="15" hidden="false" customHeight="false" outlineLevel="0" collapsed="false">
      <c r="A179" t="n" s="19">
        <f aca="0">IF(COUNTA(B179:J179)=0,"",ROW()-1)</f>
      </c>
      <c r="B179" s="24"/>
      <c r="C179" s="25"/>
      <c r="D179" s="8"/>
      <c r="E179" s="8"/>
      <c r="F179" s="26"/>
      <c r="G179" s="24"/>
      <c r="H179" s="25"/>
      <c r="I179" s="25"/>
      <c r="J179" s="26"/>
      <c r="K179" t="str" s="15">
        <f aca="0">IF(COUNTA(B179:J179)=0,"",IF(R179&lt;&gt;"","확인필요(입력누락)",IF(COUNTIFS(보유목록!$I$2:$I$3001,"*"&amp;P179&amp;"*",보유목록!$I$2:$I$3001,"*"&amp;Q179&amp;"*",보유목록!$H$2:$H$3001,O179)&gt;0,"있음",IF(COUNTIFS(보유목록!$I$2:$I$3001,"*"&amp;P179&amp;"*",보유목록!$I$2:$I$3001,"*"&amp;Q179&amp;"*")&gt;0,"확인필요(연도다름)",IF(COUNTIFS(보유목록!$I$2:$I$3001,"*"&amp;P179&amp;"*",보유목록!$H$2:$H$3001,O179)&gt;0,"확인필요(같은학교·같은연도)","없음")))))</f>
      </c>
      <c r="L179" t="str" s="16">
        <f aca="0">IF(OR(COUNTA(B179:J179)=0,R179&lt;&gt;""),"",COUNTIFS(보유목록!$I$2:$I$3001,"*"&amp;P179&amp;"*",보유목록!$I$2:$I$3001,"*"&amp;Q179&amp;"*"))</f>
      </c>
      <c r="M179" t="str" s="23">
        <f aca="0">IF(OR(COUNTA(B179:J179)=0,R179&lt;&gt;""),"",IFERROR(LOOKUP(2,1/(ISNUMBER(SEARCH(P179,보유목록!$I$2:$I$3001))*ISNUMBER(SEARCH(Q179,보유목록!$I$2:$I$3001))*(보유목록!$H$2:$H$3001=O179)),보유목록!$B$2:$B$3001),IFERROR(LOOKUP(2,1/(ISNUMBER(SEARCH(P179,보유목록!$I$2:$I$3001))*ISNUMBER(SEARCH(Q179,보유목록!$I$2:$I$3001))),보유목록!$B$2:$B$3001),"")))</f>
      </c>
      <c r="N179" s="25"/>
      <c r="O179" t="str">
        <f>IFERROR(IF(AND(LEN(SUBSTITUTE(SUBSTITUTE(SUBSTITUTE(TRIM(C179&amp;""),CHAR(160),"")," ",""),"년",""))=4,VALUE(SUBSTITUTE(SUBSTITUTE(SUBSTITUTE(TRIM(C179&amp;""),CHAR(160),"")," ",""),"년",""))&gt;=1900,VALUE(SUBSTITUTE(SUBSTITUTE(SUBSTITUTE(TRIM(C179&amp;""),CHAR(160),"")," ",""),"년",""))&lt;=2099,TEXT(VALUE(SUBSTITUTE(SUBSTITUTE(SUBSTITUTE(TRIM(C179&amp;""),CHAR(160),"")," ",""),"년","")),"0000")=SUBSTITUTE(SUBSTITUTE(SUBSTITUTE(TRIM(C179&amp;""),CHAR(160),"")," ",""),"년","")),SUBSTITUTE(SUBSTITUTE(SUBSTITUTE(TRIM(C179&amp;""),CHAR(160),"")," ",""),"년",""),""),"")</f>
      </c>
      <c r="P179" t="str">
        <f>SUBSTITUTE(SUBSTITUTE(SUBSTITUTE(SUBSTITUTE(SUBSTITUTE(SUBSTITUTE(SUBSTITUTE(SUBSTITUTE(TRIM(D179&amp;""),CHAR(160),"")," ",""),"초등학교","초"),"중학교","중"),"고등학교","고"),"~","~~"),"*","~*"),"?","~?")</f>
      </c>
      <c r="Q179" t="str">
        <f>SUBSTITUTE(SUBSTITUTE(SUBSTITUTE(SUBSTITUTE(SUBSTITUTE(SUBSTITUTE(SUBSTITUTE(SUBSTITUTE(TRIM(E179&amp;""),CHAR(160),"")," ",""),"초등학교","초"),"중학교","중"),"고등학교","고"),"~","~~"),"*","~*"),"?","~?")</f>
      </c>
      <c r="R179" t="str">
        <f>IF(COUNTA(B179:J179)=0,"",IF(AND(O179&lt;&gt;"",P179&lt;&gt;"",Q179&lt;&gt;""),"","입력누락"))</f>
      </c>
    </row>
    <row r="180" customFormat="false" ht="15" hidden="false" customHeight="false" outlineLevel="0" collapsed="false">
      <c r="A180" t="n" s="19">
        <f aca="0">IF(COUNTA(B180:J180)=0,"",ROW()-1)</f>
      </c>
      <c r="B180" s="24"/>
      <c r="C180" s="25"/>
      <c r="D180" s="8"/>
      <c r="E180" s="8"/>
      <c r="F180" s="26"/>
      <c r="G180" s="24"/>
      <c r="H180" s="25"/>
      <c r="I180" s="25"/>
      <c r="J180" s="26"/>
      <c r="K180" t="str" s="15">
        <f aca="0">IF(COUNTA(B180:J180)=0,"",IF(R180&lt;&gt;"","확인필요(입력누락)",IF(COUNTIFS(보유목록!$I$2:$I$3001,"*"&amp;P180&amp;"*",보유목록!$I$2:$I$3001,"*"&amp;Q180&amp;"*",보유목록!$H$2:$H$3001,O180)&gt;0,"있음",IF(COUNTIFS(보유목록!$I$2:$I$3001,"*"&amp;P180&amp;"*",보유목록!$I$2:$I$3001,"*"&amp;Q180&amp;"*")&gt;0,"확인필요(연도다름)",IF(COUNTIFS(보유목록!$I$2:$I$3001,"*"&amp;P180&amp;"*",보유목록!$H$2:$H$3001,O180)&gt;0,"확인필요(같은학교·같은연도)","없음")))))</f>
      </c>
      <c r="L180" t="str" s="16">
        <f aca="0">IF(OR(COUNTA(B180:J180)=0,R180&lt;&gt;""),"",COUNTIFS(보유목록!$I$2:$I$3001,"*"&amp;P180&amp;"*",보유목록!$I$2:$I$3001,"*"&amp;Q180&amp;"*"))</f>
      </c>
      <c r="M180" t="str" s="23">
        <f aca="0">IF(OR(COUNTA(B180:J180)=0,R180&lt;&gt;""),"",IFERROR(LOOKUP(2,1/(ISNUMBER(SEARCH(P180,보유목록!$I$2:$I$3001))*ISNUMBER(SEARCH(Q180,보유목록!$I$2:$I$3001))*(보유목록!$H$2:$H$3001=O180)),보유목록!$B$2:$B$3001),IFERROR(LOOKUP(2,1/(ISNUMBER(SEARCH(P180,보유목록!$I$2:$I$3001))*ISNUMBER(SEARCH(Q180,보유목록!$I$2:$I$3001))),보유목록!$B$2:$B$3001),"")))</f>
      </c>
      <c r="N180" s="25"/>
      <c r="O180" t="str">
        <f>IFERROR(IF(AND(LEN(SUBSTITUTE(SUBSTITUTE(SUBSTITUTE(TRIM(C180&amp;""),CHAR(160),"")," ",""),"년",""))=4,VALUE(SUBSTITUTE(SUBSTITUTE(SUBSTITUTE(TRIM(C180&amp;""),CHAR(160),"")," ",""),"년",""))&gt;=1900,VALUE(SUBSTITUTE(SUBSTITUTE(SUBSTITUTE(TRIM(C180&amp;""),CHAR(160),"")," ",""),"년",""))&lt;=2099,TEXT(VALUE(SUBSTITUTE(SUBSTITUTE(SUBSTITUTE(TRIM(C180&amp;""),CHAR(160),"")," ",""),"년","")),"0000")=SUBSTITUTE(SUBSTITUTE(SUBSTITUTE(TRIM(C180&amp;""),CHAR(160),"")," ",""),"년","")),SUBSTITUTE(SUBSTITUTE(SUBSTITUTE(TRIM(C180&amp;""),CHAR(160),"")," ",""),"년",""),""),"")</f>
      </c>
      <c r="P180" t="str">
        <f>SUBSTITUTE(SUBSTITUTE(SUBSTITUTE(SUBSTITUTE(SUBSTITUTE(SUBSTITUTE(SUBSTITUTE(SUBSTITUTE(TRIM(D180&amp;""),CHAR(160),"")," ",""),"초등학교","초"),"중학교","중"),"고등학교","고"),"~","~~"),"*","~*"),"?","~?")</f>
      </c>
      <c r="Q180" t="str">
        <f>SUBSTITUTE(SUBSTITUTE(SUBSTITUTE(SUBSTITUTE(SUBSTITUTE(SUBSTITUTE(SUBSTITUTE(SUBSTITUTE(TRIM(E180&amp;""),CHAR(160),"")," ",""),"초등학교","초"),"중학교","중"),"고등학교","고"),"~","~~"),"*","~*"),"?","~?")</f>
      </c>
      <c r="R180" t="str">
        <f>IF(COUNTA(B180:J180)=0,"",IF(AND(O180&lt;&gt;"",P180&lt;&gt;"",Q180&lt;&gt;""),"","입력누락"))</f>
      </c>
    </row>
    <row r="181" customFormat="false" ht="15" hidden="false" customHeight="false" outlineLevel="0" collapsed="false">
      <c r="A181" t="n" s="19">
        <f aca="0">IF(COUNTA(B181:J181)=0,"",ROW()-1)</f>
      </c>
      <c r="B181" s="24"/>
      <c r="C181" s="25"/>
      <c r="D181" s="8"/>
      <c r="E181" s="8"/>
      <c r="F181" s="26"/>
      <c r="G181" s="24"/>
      <c r="H181" s="25"/>
      <c r="I181" s="25"/>
      <c r="J181" s="26"/>
      <c r="K181" t="str" s="15">
        <f aca="0">IF(COUNTA(B181:J181)=0,"",IF(R181&lt;&gt;"","확인필요(입력누락)",IF(COUNTIFS(보유목록!$I$2:$I$3001,"*"&amp;P181&amp;"*",보유목록!$I$2:$I$3001,"*"&amp;Q181&amp;"*",보유목록!$H$2:$H$3001,O181)&gt;0,"있음",IF(COUNTIFS(보유목록!$I$2:$I$3001,"*"&amp;P181&amp;"*",보유목록!$I$2:$I$3001,"*"&amp;Q181&amp;"*")&gt;0,"확인필요(연도다름)",IF(COUNTIFS(보유목록!$I$2:$I$3001,"*"&amp;P181&amp;"*",보유목록!$H$2:$H$3001,O181)&gt;0,"확인필요(같은학교·같은연도)","없음")))))</f>
      </c>
      <c r="L181" t="str" s="16">
        <f aca="0">IF(OR(COUNTA(B181:J181)=0,R181&lt;&gt;""),"",COUNTIFS(보유목록!$I$2:$I$3001,"*"&amp;P181&amp;"*",보유목록!$I$2:$I$3001,"*"&amp;Q181&amp;"*"))</f>
      </c>
      <c r="M181" t="str" s="23">
        <f aca="0">IF(OR(COUNTA(B181:J181)=0,R181&lt;&gt;""),"",IFERROR(LOOKUP(2,1/(ISNUMBER(SEARCH(P181,보유목록!$I$2:$I$3001))*ISNUMBER(SEARCH(Q181,보유목록!$I$2:$I$3001))*(보유목록!$H$2:$H$3001=O181)),보유목록!$B$2:$B$3001),IFERROR(LOOKUP(2,1/(ISNUMBER(SEARCH(P181,보유목록!$I$2:$I$3001))*ISNUMBER(SEARCH(Q181,보유목록!$I$2:$I$3001))),보유목록!$B$2:$B$3001),"")))</f>
      </c>
      <c r="N181" s="25"/>
      <c r="O181" t="str">
        <f>IFERROR(IF(AND(LEN(SUBSTITUTE(SUBSTITUTE(SUBSTITUTE(TRIM(C181&amp;""),CHAR(160),"")," ",""),"년",""))=4,VALUE(SUBSTITUTE(SUBSTITUTE(SUBSTITUTE(TRIM(C181&amp;""),CHAR(160),"")," ",""),"년",""))&gt;=1900,VALUE(SUBSTITUTE(SUBSTITUTE(SUBSTITUTE(TRIM(C181&amp;""),CHAR(160),"")," ",""),"년",""))&lt;=2099,TEXT(VALUE(SUBSTITUTE(SUBSTITUTE(SUBSTITUTE(TRIM(C181&amp;""),CHAR(160),"")," ",""),"년","")),"0000")=SUBSTITUTE(SUBSTITUTE(SUBSTITUTE(TRIM(C181&amp;""),CHAR(160),"")," ",""),"년","")),SUBSTITUTE(SUBSTITUTE(SUBSTITUTE(TRIM(C181&amp;""),CHAR(160),"")," ",""),"년",""),""),"")</f>
      </c>
      <c r="P181" t="str">
        <f>SUBSTITUTE(SUBSTITUTE(SUBSTITUTE(SUBSTITUTE(SUBSTITUTE(SUBSTITUTE(SUBSTITUTE(SUBSTITUTE(TRIM(D181&amp;""),CHAR(160),"")," ",""),"초등학교","초"),"중학교","중"),"고등학교","고"),"~","~~"),"*","~*"),"?","~?")</f>
      </c>
      <c r="Q181" t="str">
        <f>SUBSTITUTE(SUBSTITUTE(SUBSTITUTE(SUBSTITUTE(SUBSTITUTE(SUBSTITUTE(SUBSTITUTE(SUBSTITUTE(TRIM(E181&amp;""),CHAR(160),"")," ",""),"초등학교","초"),"중학교","중"),"고등학교","고"),"~","~~"),"*","~*"),"?","~?")</f>
      </c>
      <c r="R181" t="str">
        <f>IF(COUNTA(B181:J181)=0,"",IF(AND(O181&lt;&gt;"",P181&lt;&gt;"",Q181&lt;&gt;""),"","입력누락"))</f>
      </c>
    </row>
    <row r="182" customFormat="false" ht="15" hidden="false" customHeight="false" outlineLevel="0" collapsed="false">
      <c r="A182" t="n" s="19">
        <f aca="0">IF(COUNTA(B182:J182)=0,"",ROW()-1)</f>
      </c>
      <c r="B182" s="24"/>
      <c r="C182" s="25"/>
      <c r="D182" s="8"/>
      <c r="E182" s="8"/>
      <c r="F182" s="26"/>
      <c r="G182" s="24"/>
      <c r="H182" s="25"/>
      <c r="I182" s="25"/>
      <c r="J182" s="26"/>
      <c r="K182" t="str" s="15">
        <f aca="0">IF(COUNTA(B182:J182)=0,"",IF(R182&lt;&gt;"","확인필요(입력누락)",IF(COUNTIFS(보유목록!$I$2:$I$3001,"*"&amp;P182&amp;"*",보유목록!$I$2:$I$3001,"*"&amp;Q182&amp;"*",보유목록!$H$2:$H$3001,O182)&gt;0,"있음",IF(COUNTIFS(보유목록!$I$2:$I$3001,"*"&amp;P182&amp;"*",보유목록!$I$2:$I$3001,"*"&amp;Q182&amp;"*")&gt;0,"확인필요(연도다름)",IF(COUNTIFS(보유목록!$I$2:$I$3001,"*"&amp;P182&amp;"*",보유목록!$H$2:$H$3001,O182)&gt;0,"확인필요(같은학교·같은연도)","없음")))))</f>
      </c>
      <c r="L182" t="str" s="16">
        <f aca="0">IF(OR(COUNTA(B182:J182)=0,R182&lt;&gt;""),"",COUNTIFS(보유목록!$I$2:$I$3001,"*"&amp;P182&amp;"*",보유목록!$I$2:$I$3001,"*"&amp;Q182&amp;"*"))</f>
      </c>
      <c r="M182" t="str" s="23">
        <f aca="0">IF(OR(COUNTA(B182:J182)=0,R182&lt;&gt;""),"",IFERROR(LOOKUP(2,1/(ISNUMBER(SEARCH(P182,보유목록!$I$2:$I$3001))*ISNUMBER(SEARCH(Q182,보유목록!$I$2:$I$3001))*(보유목록!$H$2:$H$3001=O182)),보유목록!$B$2:$B$3001),IFERROR(LOOKUP(2,1/(ISNUMBER(SEARCH(P182,보유목록!$I$2:$I$3001))*ISNUMBER(SEARCH(Q182,보유목록!$I$2:$I$3001))),보유목록!$B$2:$B$3001),"")))</f>
      </c>
      <c r="N182" s="25"/>
      <c r="O182" t="str">
        <f>IFERROR(IF(AND(LEN(SUBSTITUTE(SUBSTITUTE(SUBSTITUTE(TRIM(C182&amp;""),CHAR(160),"")," ",""),"년",""))=4,VALUE(SUBSTITUTE(SUBSTITUTE(SUBSTITUTE(TRIM(C182&amp;""),CHAR(160),"")," ",""),"년",""))&gt;=1900,VALUE(SUBSTITUTE(SUBSTITUTE(SUBSTITUTE(TRIM(C182&amp;""),CHAR(160),"")," ",""),"년",""))&lt;=2099,TEXT(VALUE(SUBSTITUTE(SUBSTITUTE(SUBSTITUTE(TRIM(C182&amp;""),CHAR(160),"")," ",""),"년","")),"0000")=SUBSTITUTE(SUBSTITUTE(SUBSTITUTE(TRIM(C182&amp;""),CHAR(160),"")," ",""),"년","")),SUBSTITUTE(SUBSTITUTE(SUBSTITUTE(TRIM(C182&amp;""),CHAR(160),"")," ",""),"년",""),""),"")</f>
      </c>
      <c r="P182" t="str">
        <f>SUBSTITUTE(SUBSTITUTE(SUBSTITUTE(SUBSTITUTE(SUBSTITUTE(SUBSTITUTE(SUBSTITUTE(SUBSTITUTE(TRIM(D182&amp;""),CHAR(160),"")," ",""),"초등학교","초"),"중학교","중"),"고등학교","고"),"~","~~"),"*","~*"),"?","~?")</f>
      </c>
      <c r="Q182" t="str">
        <f>SUBSTITUTE(SUBSTITUTE(SUBSTITUTE(SUBSTITUTE(SUBSTITUTE(SUBSTITUTE(SUBSTITUTE(SUBSTITUTE(TRIM(E182&amp;""),CHAR(160),"")," ",""),"초등학교","초"),"중학교","중"),"고등학교","고"),"~","~~"),"*","~*"),"?","~?")</f>
      </c>
      <c r="R182" t="str">
        <f>IF(COUNTA(B182:J182)=0,"",IF(AND(O182&lt;&gt;"",P182&lt;&gt;"",Q182&lt;&gt;""),"","입력누락"))</f>
      </c>
    </row>
    <row r="183" customFormat="false" ht="15" hidden="false" customHeight="false" outlineLevel="0" collapsed="false">
      <c r="A183" t="n" s="19">
        <f aca="0">IF(COUNTA(B183:J183)=0,"",ROW()-1)</f>
      </c>
      <c r="B183" s="24"/>
      <c r="C183" s="25"/>
      <c r="D183" s="8"/>
      <c r="E183" s="8"/>
      <c r="F183" s="26"/>
      <c r="G183" s="24"/>
      <c r="H183" s="25"/>
      <c r="I183" s="25"/>
      <c r="J183" s="26"/>
      <c r="K183" t="str" s="15">
        <f aca="0">IF(COUNTA(B183:J183)=0,"",IF(R183&lt;&gt;"","확인필요(입력누락)",IF(COUNTIFS(보유목록!$I$2:$I$3001,"*"&amp;P183&amp;"*",보유목록!$I$2:$I$3001,"*"&amp;Q183&amp;"*",보유목록!$H$2:$H$3001,O183)&gt;0,"있음",IF(COUNTIFS(보유목록!$I$2:$I$3001,"*"&amp;P183&amp;"*",보유목록!$I$2:$I$3001,"*"&amp;Q183&amp;"*")&gt;0,"확인필요(연도다름)",IF(COUNTIFS(보유목록!$I$2:$I$3001,"*"&amp;P183&amp;"*",보유목록!$H$2:$H$3001,O183)&gt;0,"확인필요(같은학교·같은연도)","없음")))))</f>
      </c>
      <c r="L183" t="str" s="16">
        <f aca="0">IF(OR(COUNTA(B183:J183)=0,R183&lt;&gt;""),"",COUNTIFS(보유목록!$I$2:$I$3001,"*"&amp;P183&amp;"*",보유목록!$I$2:$I$3001,"*"&amp;Q183&amp;"*"))</f>
      </c>
      <c r="M183" t="str" s="23">
        <f aca="0">IF(OR(COUNTA(B183:J183)=0,R183&lt;&gt;""),"",IFERROR(LOOKUP(2,1/(ISNUMBER(SEARCH(P183,보유목록!$I$2:$I$3001))*ISNUMBER(SEARCH(Q183,보유목록!$I$2:$I$3001))*(보유목록!$H$2:$H$3001=O183)),보유목록!$B$2:$B$3001),IFERROR(LOOKUP(2,1/(ISNUMBER(SEARCH(P183,보유목록!$I$2:$I$3001))*ISNUMBER(SEARCH(Q183,보유목록!$I$2:$I$3001))),보유목록!$B$2:$B$3001),"")))</f>
      </c>
      <c r="N183" s="25"/>
      <c r="O183" t="str">
        <f>IFERROR(IF(AND(LEN(SUBSTITUTE(SUBSTITUTE(SUBSTITUTE(TRIM(C183&amp;""),CHAR(160),"")," ",""),"년",""))=4,VALUE(SUBSTITUTE(SUBSTITUTE(SUBSTITUTE(TRIM(C183&amp;""),CHAR(160),"")," ",""),"년",""))&gt;=1900,VALUE(SUBSTITUTE(SUBSTITUTE(SUBSTITUTE(TRIM(C183&amp;""),CHAR(160),"")," ",""),"년",""))&lt;=2099,TEXT(VALUE(SUBSTITUTE(SUBSTITUTE(SUBSTITUTE(TRIM(C183&amp;""),CHAR(160),"")," ",""),"년","")),"0000")=SUBSTITUTE(SUBSTITUTE(SUBSTITUTE(TRIM(C183&amp;""),CHAR(160),"")," ",""),"년","")),SUBSTITUTE(SUBSTITUTE(SUBSTITUTE(TRIM(C183&amp;""),CHAR(160),"")," ",""),"년",""),""),"")</f>
      </c>
      <c r="P183" t="str">
        <f>SUBSTITUTE(SUBSTITUTE(SUBSTITUTE(SUBSTITUTE(SUBSTITUTE(SUBSTITUTE(SUBSTITUTE(SUBSTITUTE(TRIM(D183&amp;""),CHAR(160),"")," ",""),"초등학교","초"),"중학교","중"),"고등학교","고"),"~","~~"),"*","~*"),"?","~?")</f>
      </c>
      <c r="Q183" t="str">
        <f>SUBSTITUTE(SUBSTITUTE(SUBSTITUTE(SUBSTITUTE(SUBSTITUTE(SUBSTITUTE(SUBSTITUTE(SUBSTITUTE(TRIM(E183&amp;""),CHAR(160),"")," ",""),"초등학교","초"),"중학교","중"),"고등학교","고"),"~","~~"),"*","~*"),"?","~?")</f>
      </c>
      <c r="R183" t="str">
        <f>IF(COUNTA(B183:J183)=0,"",IF(AND(O183&lt;&gt;"",P183&lt;&gt;"",Q183&lt;&gt;""),"","입력누락"))</f>
      </c>
    </row>
    <row r="184" customFormat="false" ht="15" hidden="false" customHeight="false" outlineLevel="0" collapsed="false">
      <c r="A184" t="n" s="19">
        <f aca="0">IF(COUNTA(B184:J184)=0,"",ROW()-1)</f>
      </c>
      <c r="B184" s="24"/>
      <c r="C184" s="25"/>
      <c r="D184" s="8"/>
      <c r="E184" s="8"/>
      <c r="F184" s="26"/>
      <c r="G184" s="24"/>
      <c r="H184" s="25"/>
      <c r="I184" s="25"/>
      <c r="J184" s="26"/>
      <c r="K184" t="str" s="15">
        <f aca="0">IF(COUNTA(B184:J184)=0,"",IF(R184&lt;&gt;"","확인필요(입력누락)",IF(COUNTIFS(보유목록!$I$2:$I$3001,"*"&amp;P184&amp;"*",보유목록!$I$2:$I$3001,"*"&amp;Q184&amp;"*",보유목록!$H$2:$H$3001,O184)&gt;0,"있음",IF(COUNTIFS(보유목록!$I$2:$I$3001,"*"&amp;P184&amp;"*",보유목록!$I$2:$I$3001,"*"&amp;Q184&amp;"*")&gt;0,"확인필요(연도다름)",IF(COUNTIFS(보유목록!$I$2:$I$3001,"*"&amp;P184&amp;"*",보유목록!$H$2:$H$3001,O184)&gt;0,"확인필요(같은학교·같은연도)","없음")))))</f>
      </c>
      <c r="L184" t="str" s="16">
        <f aca="0">IF(OR(COUNTA(B184:J184)=0,R184&lt;&gt;""),"",COUNTIFS(보유목록!$I$2:$I$3001,"*"&amp;P184&amp;"*",보유목록!$I$2:$I$3001,"*"&amp;Q184&amp;"*"))</f>
      </c>
      <c r="M184" t="str" s="23">
        <f aca="0">IF(OR(COUNTA(B184:J184)=0,R184&lt;&gt;""),"",IFERROR(LOOKUP(2,1/(ISNUMBER(SEARCH(P184,보유목록!$I$2:$I$3001))*ISNUMBER(SEARCH(Q184,보유목록!$I$2:$I$3001))*(보유목록!$H$2:$H$3001=O184)),보유목록!$B$2:$B$3001),IFERROR(LOOKUP(2,1/(ISNUMBER(SEARCH(P184,보유목록!$I$2:$I$3001))*ISNUMBER(SEARCH(Q184,보유목록!$I$2:$I$3001))),보유목록!$B$2:$B$3001),"")))</f>
      </c>
      <c r="N184" s="25"/>
      <c r="O184" t="str">
        <f>IFERROR(IF(AND(LEN(SUBSTITUTE(SUBSTITUTE(SUBSTITUTE(TRIM(C184&amp;""),CHAR(160),"")," ",""),"년",""))=4,VALUE(SUBSTITUTE(SUBSTITUTE(SUBSTITUTE(TRIM(C184&amp;""),CHAR(160),"")," ",""),"년",""))&gt;=1900,VALUE(SUBSTITUTE(SUBSTITUTE(SUBSTITUTE(TRIM(C184&amp;""),CHAR(160),"")," ",""),"년",""))&lt;=2099,TEXT(VALUE(SUBSTITUTE(SUBSTITUTE(SUBSTITUTE(TRIM(C184&amp;""),CHAR(160),"")," ",""),"년","")),"0000")=SUBSTITUTE(SUBSTITUTE(SUBSTITUTE(TRIM(C184&amp;""),CHAR(160),"")," ",""),"년","")),SUBSTITUTE(SUBSTITUTE(SUBSTITUTE(TRIM(C184&amp;""),CHAR(160),"")," ",""),"년",""),""),"")</f>
      </c>
      <c r="P184" t="str">
        <f>SUBSTITUTE(SUBSTITUTE(SUBSTITUTE(SUBSTITUTE(SUBSTITUTE(SUBSTITUTE(SUBSTITUTE(SUBSTITUTE(TRIM(D184&amp;""),CHAR(160),"")," ",""),"초등학교","초"),"중학교","중"),"고등학교","고"),"~","~~"),"*","~*"),"?","~?")</f>
      </c>
      <c r="Q184" t="str">
        <f>SUBSTITUTE(SUBSTITUTE(SUBSTITUTE(SUBSTITUTE(SUBSTITUTE(SUBSTITUTE(SUBSTITUTE(SUBSTITUTE(TRIM(E184&amp;""),CHAR(160),"")," ",""),"초등학교","초"),"중학교","중"),"고등학교","고"),"~","~~"),"*","~*"),"?","~?")</f>
      </c>
      <c r="R184" t="str">
        <f>IF(COUNTA(B184:J184)=0,"",IF(AND(O184&lt;&gt;"",P184&lt;&gt;"",Q184&lt;&gt;""),"","입력누락"))</f>
      </c>
    </row>
    <row r="185" customFormat="false" ht="15" hidden="false" customHeight="false" outlineLevel="0" collapsed="false">
      <c r="A185" t="n" s="19">
        <f aca="0">IF(COUNTA(B185:J185)=0,"",ROW()-1)</f>
      </c>
      <c r="B185" s="24"/>
      <c r="C185" s="25"/>
      <c r="D185" s="8"/>
      <c r="E185" s="8"/>
      <c r="F185" s="26"/>
      <c r="G185" s="24"/>
      <c r="H185" s="25"/>
      <c r="I185" s="25"/>
      <c r="J185" s="26"/>
      <c r="K185" t="str" s="15">
        <f aca="0">IF(COUNTA(B185:J185)=0,"",IF(R185&lt;&gt;"","확인필요(입력누락)",IF(COUNTIFS(보유목록!$I$2:$I$3001,"*"&amp;P185&amp;"*",보유목록!$I$2:$I$3001,"*"&amp;Q185&amp;"*",보유목록!$H$2:$H$3001,O185)&gt;0,"있음",IF(COUNTIFS(보유목록!$I$2:$I$3001,"*"&amp;P185&amp;"*",보유목록!$I$2:$I$3001,"*"&amp;Q185&amp;"*")&gt;0,"확인필요(연도다름)",IF(COUNTIFS(보유목록!$I$2:$I$3001,"*"&amp;P185&amp;"*",보유목록!$H$2:$H$3001,O185)&gt;0,"확인필요(같은학교·같은연도)","없음")))))</f>
      </c>
      <c r="L185" t="str" s="16">
        <f aca="0">IF(OR(COUNTA(B185:J185)=0,R185&lt;&gt;""),"",COUNTIFS(보유목록!$I$2:$I$3001,"*"&amp;P185&amp;"*",보유목록!$I$2:$I$3001,"*"&amp;Q185&amp;"*"))</f>
      </c>
      <c r="M185" t="str" s="23">
        <f aca="0">IF(OR(COUNTA(B185:J185)=0,R185&lt;&gt;""),"",IFERROR(LOOKUP(2,1/(ISNUMBER(SEARCH(P185,보유목록!$I$2:$I$3001))*ISNUMBER(SEARCH(Q185,보유목록!$I$2:$I$3001))*(보유목록!$H$2:$H$3001=O185)),보유목록!$B$2:$B$3001),IFERROR(LOOKUP(2,1/(ISNUMBER(SEARCH(P185,보유목록!$I$2:$I$3001))*ISNUMBER(SEARCH(Q185,보유목록!$I$2:$I$3001))),보유목록!$B$2:$B$3001),"")))</f>
      </c>
      <c r="N185" s="25"/>
      <c r="O185" t="str">
        <f>IFERROR(IF(AND(LEN(SUBSTITUTE(SUBSTITUTE(SUBSTITUTE(TRIM(C185&amp;""),CHAR(160),"")," ",""),"년",""))=4,VALUE(SUBSTITUTE(SUBSTITUTE(SUBSTITUTE(TRIM(C185&amp;""),CHAR(160),"")," ",""),"년",""))&gt;=1900,VALUE(SUBSTITUTE(SUBSTITUTE(SUBSTITUTE(TRIM(C185&amp;""),CHAR(160),"")," ",""),"년",""))&lt;=2099,TEXT(VALUE(SUBSTITUTE(SUBSTITUTE(SUBSTITUTE(TRIM(C185&amp;""),CHAR(160),"")," ",""),"년","")),"0000")=SUBSTITUTE(SUBSTITUTE(SUBSTITUTE(TRIM(C185&amp;""),CHAR(160),"")," ",""),"년","")),SUBSTITUTE(SUBSTITUTE(SUBSTITUTE(TRIM(C185&amp;""),CHAR(160),"")," ",""),"년",""),""),"")</f>
      </c>
      <c r="P185" t="str">
        <f>SUBSTITUTE(SUBSTITUTE(SUBSTITUTE(SUBSTITUTE(SUBSTITUTE(SUBSTITUTE(SUBSTITUTE(SUBSTITUTE(TRIM(D185&amp;""),CHAR(160),"")," ",""),"초등학교","초"),"중학교","중"),"고등학교","고"),"~","~~"),"*","~*"),"?","~?")</f>
      </c>
      <c r="Q185" t="str">
        <f>SUBSTITUTE(SUBSTITUTE(SUBSTITUTE(SUBSTITUTE(SUBSTITUTE(SUBSTITUTE(SUBSTITUTE(SUBSTITUTE(TRIM(E185&amp;""),CHAR(160),"")," ",""),"초등학교","초"),"중학교","중"),"고등학교","고"),"~","~~"),"*","~*"),"?","~?")</f>
      </c>
      <c r="R185" t="str">
        <f>IF(COUNTA(B185:J185)=0,"",IF(AND(O185&lt;&gt;"",P185&lt;&gt;"",Q185&lt;&gt;""),"","입력누락"))</f>
      </c>
    </row>
    <row r="186" customFormat="false" ht="15" hidden="false" customHeight="false" outlineLevel="0" collapsed="false">
      <c r="A186" t="n" s="19">
        <f aca="0">IF(COUNTA(B186:J186)=0,"",ROW()-1)</f>
      </c>
      <c r="B186" s="24"/>
      <c r="C186" s="25"/>
      <c r="D186" s="8"/>
      <c r="E186" s="8"/>
      <c r="F186" s="26"/>
      <c r="G186" s="24"/>
      <c r="H186" s="25"/>
      <c r="I186" s="25"/>
      <c r="J186" s="26"/>
      <c r="K186" t="str" s="15">
        <f aca="0">IF(COUNTA(B186:J186)=0,"",IF(R186&lt;&gt;"","확인필요(입력누락)",IF(COUNTIFS(보유목록!$I$2:$I$3001,"*"&amp;P186&amp;"*",보유목록!$I$2:$I$3001,"*"&amp;Q186&amp;"*",보유목록!$H$2:$H$3001,O186)&gt;0,"있음",IF(COUNTIFS(보유목록!$I$2:$I$3001,"*"&amp;P186&amp;"*",보유목록!$I$2:$I$3001,"*"&amp;Q186&amp;"*")&gt;0,"확인필요(연도다름)",IF(COUNTIFS(보유목록!$I$2:$I$3001,"*"&amp;P186&amp;"*",보유목록!$H$2:$H$3001,O186)&gt;0,"확인필요(같은학교·같은연도)","없음")))))</f>
      </c>
      <c r="L186" t="str" s="16">
        <f aca="0">IF(OR(COUNTA(B186:J186)=0,R186&lt;&gt;""),"",COUNTIFS(보유목록!$I$2:$I$3001,"*"&amp;P186&amp;"*",보유목록!$I$2:$I$3001,"*"&amp;Q186&amp;"*"))</f>
      </c>
      <c r="M186" t="str" s="23">
        <f aca="0">IF(OR(COUNTA(B186:J186)=0,R186&lt;&gt;""),"",IFERROR(LOOKUP(2,1/(ISNUMBER(SEARCH(P186,보유목록!$I$2:$I$3001))*ISNUMBER(SEARCH(Q186,보유목록!$I$2:$I$3001))*(보유목록!$H$2:$H$3001=O186)),보유목록!$B$2:$B$3001),IFERROR(LOOKUP(2,1/(ISNUMBER(SEARCH(P186,보유목록!$I$2:$I$3001))*ISNUMBER(SEARCH(Q186,보유목록!$I$2:$I$3001))),보유목록!$B$2:$B$3001),"")))</f>
      </c>
      <c r="N186" s="25"/>
      <c r="O186" t="str">
        <f>IFERROR(IF(AND(LEN(SUBSTITUTE(SUBSTITUTE(SUBSTITUTE(TRIM(C186&amp;""),CHAR(160),"")," ",""),"년",""))=4,VALUE(SUBSTITUTE(SUBSTITUTE(SUBSTITUTE(TRIM(C186&amp;""),CHAR(160),"")," ",""),"년",""))&gt;=1900,VALUE(SUBSTITUTE(SUBSTITUTE(SUBSTITUTE(TRIM(C186&amp;""),CHAR(160),"")," ",""),"년",""))&lt;=2099,TEXT(VALUE(SUBSTITUTE(SUBSTITUTE(SUBSTITUTE(TRIM(C186&amp;""),CHAR(160),"")," ",""),"년","")),"0000")=SUBSTITUTE(SUBSTITUTE(SUBSTITUTE(TRIM(C186&amp;""),CHAR(160),"")," ",""),"년","")),SUBSTITUTE(SUBSTITUTE(SUBSTITUTE(TRIM(C186&amp;""),CHAR(160),"")," ",""),"년",""),""),"")</f>
      </c>
      <c r="P186" t="str">
        <f>SUBSTITUTE(SUBSTITUTE(SUBSTITUTE(SUBSTITUTE(SUBSTITUTE(SUBSTITUTE(SUBSTITUTE(SUBSTITUTE(TRIM(D186&amp;""),CHAR(160),"")," ",""),"초등학교","초"),"중학교","중"),"고등학교","고"),"~","~~"),"*","~*"),"?","~?")</f>
      </c>
      <c r="Q186" t="str">
        <f>SUBSTITUTE(SUBSTITUTE(SUBSTITUTE(SUBSTITUTE(SUBSTITUTE(SUBSTITUTE(SUBSTITUTE(SUBSTITUTE(TRIM(E186&amp;""),CHAR(160),"")," ",""),"초등학교","초"),"중학교","중"),"고등학교","고"),"~","~~"),"*","~*"),"?","~?")</f>
      </c>
      <c r="R186" t="str">
        <f>IF(COUNTA(B186:J186)=0,"",IF(AND(O186&lt;&gt;"",P186&lt;&gt;"",Q186&lt;&gt;""),"","입력누락"))</f>
      </c>
    </row>
    <row r="187" customFormat="false" ht="15" hidden="false" customHeight="false" outlineLevel="0" collapsed="false">
      <c r="A187" t="n" s="19">
        <f aca="0">IF(COUNTA(B187:J187)=0,"",ROW()-1)</f>
      </c>
      <c r="B187" s="24"/>
      <c r="C187" s="25"/>
      <c r="D187" s="8"/>
      <c r="E187" s="8"/>
      <c r="F187" s="26"/>
      <c r="G187" s="24"/>
      <c r="H187" s="25"/>
      <c r="I187" s="25"/>
      <c r="J187" s="26"/>
      <c r="K187" t="str" s="15">
        <f aca="0">IF(COUNTA(B187:J187)=0,"",IF(R187&lt;&gt;"","확인필요(입력누락)",IF(COUNTIFS(보유목록!$I$2:$I$3001,"*"&amp;P187&amp;"*",보유목록!$I$2:$I$3001,"*"&amp;Q187&amp;"*",보유목록!$H$2:$H$3001,O187)&gt;0,"있음",IF(COUNTIFS(보유목록!$I$2:$I$3001,"*"&amp;P187&amp;"*",보유목록!$I$2:$I$3001,"*"&amp;Q187&amp;"*")&gt;0,"확인필요(연도다름)",IF(COUNTIFS(보유목록!$I$2:$I$3001,"*"&amp;P187&amp;"*",보유목록!$H$2:$H$3001,O187)&gt;0,"확인필요(같은학교·같은연도)","없음")))))</f>
      </c>
      <c r="L187" t="str" s="16">
        <f aca="0">IF(OR(COUNTA(B187:J187)=0,R187&lt;&gt;""),"",COUNTIFS(보유목록!$I$2:$I$3001,"*"&amp;P187&amp;"*",보유목록!$I$2:$I$3001,"*"&amp;Q187&amp;"*"))</f>
      </c>
      <c r="M187" t="str" s="23">
        <f aca="0">IF(OR(COUNTA(B187:J187)=0,R187&lt;&gt;""),"",IFERROR(LOOKUP(2,1/(ISNUMBER(SEARCH(P187,보유목록!$I$2:$I$3001))*ISNUMBER(SEARCH(Q187,보유목록!$I$2:$I$3001))*(보유목록!$H$2:$H$3001=O187)),보유목록!$B$2:$B$3001),IFERROR(LOOKUP(2,1/(ISNUMBER(SEARCH(P187,보유목록!$I$2:$I$3001))*ISNUMBER(SEARCH(Q187,보유목록!$I$2:$I$3001))),보유목록!$B$2:$B$3001),"")))</f>
      </c>
      <c r="N187" s="25"/>
      <c r="O187" t="str">
        <f>IFERROR(IF(AND(LEN(SUBSTITUTE(SUBSTITUTE(SUBSTITUTE(TRIM(C187&amp;""),CHAR(160),"")," ",""),"년",""))=4,VALUE(SUBSTITUTE(SUBSTITUTE(SUBSTITUTE(TRIM(C187&amp;""),CHAR(160),"")," ",""),"년",""))&gt;=1900,VALUE(SUBSTITUTE(SUBSTITUTE(SUBSTITUTE(TRIM(C187&amp;""),CHAR(160),"")," ",""),"년",""))&lt;=2099,TEXT(VALUE(SUBSTITUTE(SUBSTITUTE(SUBSTITUTE(TRIM(C187&amp;""),CHAR(160),"")," ",""),"년","")),"0000")=SUBSTITUTE(SUBSTITUTE(SUBSTITUTE(TRIM(C187&amp;""),CHAR(160),"")," ",""),"년","")),SUBSTITUTE(SUBSTITUTE(SUBSTITUTE(TRIM(C187&amp;""),CHAR(160),"")," ",""),"년",""),""),"")</f>
      </c>
      <c r="P187" t="str">
        <f>SUBSTITUTE(SUBSTITUTE(SUBSTITUTE(SUBSTITUTE(SUBSTITUTE(SUBSTITUTE(SUBSTITUTE(SUBSTITUTE(TRIM(D187&amp;""),CHAR(160),"")," ",""),"초등학교","초"),"중학교","중"),"고등학교","고"),"~","~~"),"*","~*"),"?","~?")</f>
      </c>
      <c r="Q187" t="str">
        <f>SUBSTITUTE(SUBSTITUTE(SUBSTITUTE(SUBSTITUTE(SUBSTITUTE(SUBSTITUTE(SUBSTITUTE(SUBSTITUTE(TRIM(E187&amp;""),CHAR(160),"")," ",""),"초등학교","초"),"중학교","중"),"고등학교","고"),"~","~~"),"*","~*"),"?","~?")</f>
      </c>
      <c r="R187" t="str">
        <f>IF(COUNTA(B187:J187)=0,"",IF(AND(O187&lt;&gt;"",P187&lt;&gt;"",Q187&lt;&gt;""),"","입력누락"))</f>
      </c>
    </row>
    <row r="188" customFormat="false" ht="15" hidden="false" customHeight="false" outlineLevel="0" collapsed="false">
      <c r="A188" t="n" s="19">
        <f aca="0">IF(COUNTA(B188:J188)=0,"",ROW()-1)</f>
      </c>
      <c r="B188" s="24"/>
      <c r="C188" s="25"/>
      <c r="D188" s="8"/>
      <c r="E188" s="8"/>
      <c r="F188" s="26"/>
      <c r="G188" s="24"/>
      <c r="H188" s="25"/>
      <c r="I188" s="25"/>
      <c r="J188" s="26"/>
      <c r="K188" t="str" s="15">
        <f aca="0">IF(COUNTA(B188:J188)=0,"",IF(R188&lt;&gt;"","확인필요(입력누락)",IF(COUNTIFS(보유목록!$I$2:$I$3001,"*"&amp;P188&amp;"*",보유목록!$I$2:$I$3001,"*"&amp;Q188&amp;"*",보유목록!$H$2:$H$3001,O188)&gt;0,"있음",IF(COUNTIFS(보유목록!$I$2:$I$3001,"*"&amp;P188&amp;"*",보유목록!$I$2:$I$3001,"*"&amp;Q188&amp;"*")&gt;0,"확인필요(연도다름)",IF(COUNTIFS(보유목록!$I$2:$I$3001,"*"&amp;P188&amp;"*",보유목록!$H$2:$H$3001,O188)&gt;0,"확인필요(같은학교·같은연도)","없음")))))</f>
      </c>
      <c r="L188" t="str" s="16">
        <f aca="0">IF(OR(COUNTA(B188:J188)=0,R188&lt;&gt;""),"",COUNTIFS(보유목록!$I$2:$I$3001,"*"&amp;P188&amp;"*",보유목록!$I$2:$I$3001,"*"&amp;Q188&amp;"*"))</f>
      </c>
      <c r="M188" t="str" s="23">
        <f aca="0">IF(OR(COUNTA(B188:J188)=0,R188&lt;&gt;""),"",IFERROR(LOOKUP(2,1/(ISNUMBER(SEARCH(P188,보유목록!$I$2:$I$3001))*ISNUMBER(SEARCH(Q188,보유목록!$I$2:$I$3001))*(보유목록!$H$2:$H$3001=O188)),보유목록!$B$2:$B$3001),IFERROR(LOOKUP(2,1/(ISNUMBER(SEARCH(P188,보유목록!$I$2:$I$3001))*ISNUMBER(SEARCH(Q188,보유목록!$I$2:$I$3001))),보유목록!$B$2:$B$3001),"")))</f>
      </c>
      <c r="N188" s="25"/>
      <c r="O188" t="str">
        <f>IFERROR(IF(AND(LEN(SUBSTITUTE(SUBSTITUTE(SUBSTITUTE(TRIM(C188&amp;""),CHAR(160),"")," ",""),"년",""))=4,VALUE(SUBSTITUTE(SUBSTITUTE(SUBSTITUTE(TRIM(C188&amp;""),CHAR(160),"")," ",""),"년",""))&gt;=1900,VALUE(SUBSTITUTE(SUBSTITUTE(SUBSTITUTE(TRIM(C188&amp;""),CHAR(160),"")," ",""),"년",""))&lt;=2099,TEXT(VALUE(SUBSTITUTE(SUBSTITUTE(SUBSTITUTE(TRIM(C188&amp;""),CHAR(160),"")," ",""),"년","")),"0000")=SUBSTITUTE(SUBSTITUTE(SUBSTITUTE(TRIM(C188&amp;""),CHAR(160),"")," ",""),"년","")),SUBSTITUTE(SUBSTITUTE(SUBSTITUTE(TRIM(C188&amp;""),CHAR(160),"")," ",""),"년",""),""),"")</f>
      </c>
      <c r="P188" t="str">
        <f>SUBSTITUTE(SUBSTITUTE(SUBSTITUTE(SUBSTITUTE(SUBSTITUTE(SUBSTITUTE(SUBSTITUTE(SUBSTITUTE(TRIM(D188&amp;""),CHAR(160),"")," ",""),"초등학교","초"),"중학교","중"),"고등학교","고"),"~","~~"),"*","~*"),"?","~?")</f>
      </c>
      <c r="Q188" t="str">
        <f>SUBSTITUTE(SUBSTITUTE(SUBSTITUTE(SUBSTITUTE(SUBSTITUTE(SUBSTITUTE(SUBSTITUTE(SUBSTITUTE(TRIM(E188&amp;""),CHAR(160),"")," ",""),"초등학교","초"),"중학교","중"),"고등학교","고"),"~","~~"),"*","~*"),"?","~?")</f>
      </c>
      <c r="R188" t="str">
        <f>IF(COUNTA(B188:J188)=0,"",IF(AND(O188&lt;&gt;"",P188&lt;&gt;"",Q188&lt;&gt;""),"","입력누락"))</f>
      </c>
    </row>
    <row r="189" customFormat="false" ht="15" hidden="false" customHeight="false" outlineLevel="0" collapsed="false">
      <c r="A189" t="n" s="19">
        <f aca="0">IF(COUNTA(B189:J189)=0,"",ROW()-1)</f>
      </c>
      <c r="B189" s="24"/>
      <c r="C189" s="25"/>
      <c r="D189" s="8"/>
      <c r="E189" s="8"/>
      <c r="F189" s="26"/>
      <c r="G189" s="24"/>
      <c r="H189" s="25"/>
      <c r="I189" s="25"/>
      <c r="J189" s="26"/>
      <c r="K189" t="str" s="15">
        <f aca="0">IF(COUNTA(B189:J189)=0,"",IF(R189&lt;&gt;"","확인필요(입력누락)",IF(COUNTIFS(보유목록!$I$2:$I$3001,"*"&amp;P189&amp;"*",보유목록!$I$2:$I$3001,"*"&amp;Q189&amp;"*",보유목록!$H$2:$H$3001,O189)&gt;0,"있음",IF(COUNTIFS(보유목록!$I$2:$I$3001,"*"&amp;P189&amp;"*",보유목록!$I$2:$I$3001,"*"&amp;Q189&amp;"*")&gt;0,"확인필요(연도다름)",IF(COUNTIFS(보유목록!$I$2:$I$3001,"*"&amp;P189&amp;"*",보유목록!$H$2:$H$3001,O189)&gt;0,"확인필요(같은학교·같은연도)","없음")))))</f>
      </c>
      <c r="L189" t="str" s="16">
        <f aca="0">IF(OR(COUNTA(B189:J189)=0,R189&lt;&gt;""),"",COUNTIFS(보유목록!$I$2:$I$3001,"*"&amp;P189&amp;"*",보유목록!$I$2:$I$3001,"*"&amp;Q189&amp;"*"))</f>
      </c>
      <c r="M189" t="str" s="23">
        <f aca="0">IF(OR(COUNTA(B189:J189)=0,R189&lt;&gt;""),"",IFERROR(LOOKUP(2,1/(ISNUMBER(SEARCH(P189,보유목록!$I$2:$I$3001))*ISNUMBER(SEARCH(Q189,보유목록!$I$2:$I$3001))*(보유목록!$H$2:$H$3001=O189)),보유목록!$B$2:$B$3001),IFERROR(LOOKUP(2,1/(ISNUMBER(SEARCH(P189,보유목록!$I$2:$I$3001))*ISNUMBER(SEARCH(Q189,보유목록!$I$2:$I$3001))),보유목록!$B$2:$B$3001),"")))</f>
      </c>
      <c r="N189" s="25"/>
      <c r="O189" t="str">
        <f>IFERROR(IF(AND(LEN(SUBSTITUTE(SUBSTITUTE(SUBSTITUTE(TRIM(C189&amp;""),CHAR(160),"")," ",""),"년",""))=4,VALUE(SUBSTITUTE(SUBSTITUTE(SUBSTITUTE(TRIM(C189&amp;""),CHAR(160),"")," ",""),"년",""))&gt;=1900,VALUE(SUBSTITUTE(SUBSTITUTE(SUBSTITUTE(TRIM(C189&amp;""),CHAR(160),"")," ",""),"년",""))&lt;=2099,TEXT(VALUE(SUBSTITUTE(SUBSTITUTE(SUBSTITUTE(TRIM(C189&amp;""),CHAR(160),"")," ",""),"년","")),"0000")=SUBSTITUTE(SUBSTITUTE(SUBSTITUTE(TRIM(C189&amp;""),CHAR(160),"")," ",""),"년","")),SUBSTITUTE(SUBSTITUTE(SUBSTITUTE(TRIM(C189&amp;""),CHAR(160),"")," ",""),"년",""),""),"")</f>
      </c>
      <c r="P189" t="str">
        <f>SUBSTITUTE(SUBSTITUTE(SUBSTITUTE(SUBSTITUTE(SUBSTITUTE(SUBSTITUTE(SUBSTITUTE(SUBSTITUTE(TRIM(D189&amp;""),CHAR(160),"")," ",""),"초등학교","초"),"중학교","중"),"고등학교","고"),"~","~~"),"*","~*"),"?","~?")</f>
      </c>
      <c r="Q189" t="str">
        <f>SUBSTITUTE(SUBSTITUTE(SUBSTITUTE(SUBSTITUTE(SUBSTITUTE(SUBSTITUTE(SUBSTITUTE(SUBSTITUTE(TRIM(E189&amp;""),CHAR(160),"")," ",""),"초등학교","초"),"중학교","중"),"고등학교","고"),"~","~~"),"*","~*"),"?","~?")</f>
      </c>
      <c r="R189" t="str">
        <f>IF(COUNTA(B189:J189)=0,"",IF(AND(O189&lt;&gt;"",P189&lt;&gt;"",Q189&lt;&gt;""),"","입력누락"))</f>
      </c>
    </row>
    <row r="190" customFormat="false" ht="15" hidden="false" customHeight="false" outlineLevel="0" collapsed="false">
      <c r="A190" t="n" s="19">
        <f aca="0">IF(COUNTA(B190:J190)=0,"",ROW()-1)</f>
      </c>
      <c r="B190" s="24"/>
      <c r="C190" s="25"/>
      <c r="D190" s="8"/>
      <c r="E190" s="8"/>
      <c r="F190" s="26"/>
      <c r="G190" s="24"/>
      <c r="H190" s="25"/>
      <c r="I190" s="25"/>
      <c r="J190" s="26"/>
      <c r="K190" t="str" s="15">
        <f aca="0">IF(COUNTA(B190:J190)=0,"",IF(R190&lt;&gt;"","확인필요(입력누락)",IF(COUNTIFS(보유목록!$I$2:$I$3001,"*"&amp;P190&amp;"*",보유목록!$I$2:$I$3001,"*"&amp;Q190&amp;"*",보유목록!$H$2:$H$3001,O190)&gt;0,"있음",IF(COUNTIFS(보유목록!$I$2:$I$3001,"*"&amp;P190&amp;"*",보유목록!$I$2:$I$3001,"*"&amp;Q190&amp;"*")&gt;0,"확인필요(연도다름)",IF(COUNTIFS(보유목록!$I$2:$I$3001,"*"&amp;P190&amp;"*",보유목록!$H$2:$H$3001,O190)&gt;0,"확인필요(같은학교·같은연도)","없음")))))</f>
      </c>
      <c r="L190" t="str" s="16">
        <f aca="0">IF(OR(COUNTA(B190:J190)=0,R190&lt;&gt;""),"",COUNTIFS(보유목록!$I$2:$I$3001,"*"&amp;P190&amp;"*",보유목록!$I$2:$I$3001,"*"&amp;Q190&amp;"*"))</f>
      </c>
      <c r="M190" t="str" s="23">
        <f aca="0">IF(OR(COUNTA(B190:J190)=0,R190&lt;&gt;""),"",IFERROR(LOOKUP(2,1/(ISNUMBER(SEARCH(P190,보유목록!$I$2:$I$3001))*ISNUMBER(SEARCH(Q190,보유목록!$I$2:$I$3001))*(보유목록!$H$2:$H$3001=O190)),보유목록!$B$2:$B$3001),IFERROR(LOOKUP(2,1/(ISNUMBER(SEARCH(P190,보유목록!$I$2:$I$3001))*ISNUMBER(SEARCH(Q190,보유목록!$I$2:$I$3001))),보유목록!$B$2:$B$3001),"")))</f>
      </c>
      <c r="N190" s="25"/>
      <c r="O190" t="str">
        <f>IFERROR(IF(AND(LEN(SUBSTITUTE(SUBSTITUTE(SUBSTITUTE(TRIM(C190&amp;""),CHAR(160),"")," ",""),"년",""))=4,VALUE(SUBSTITUTE(SUBSTITUTE(SUBSTITUTE(TRIM(C190&amp;""),CHAR(160),"")," ",""),"년",""))&gt;=1900,VALUE(SUBSTITUTE(SUBSTITUTE(SUBSTITUTE(TRIM(C190&amp;""),CHAR(160),"")," ",""),"년",""))&lt;=2099,TEXT(VALUE(SUBSTITUTE(SUBSTITUTE(SUBSTITUTE(TRIM(C190&amp;""),CHAR(160),"")," ",""),"년","")),"0000")=SUBSTITUTE(SUBSTITUTE(SUBSTITUTE(TRIM(C190&amp;""),CHAR(160),"")," ",""),"년","")),SUBSTITUTE(SUBSTITUTE(SUBSTITUTE(TRIM(C190&amp;""),CHAR(160),"")," ",""),"년",""),""),"")</f>
      </c>
      <c r="P190" t="str">
        <f>SUBSTITUTE(SUBSTITUTE(SUBSTITUTE(SUBSTITUTE(SUBSTITUTE(SUBSTITUTE(SUBSTITUTE(SUBSTITUTE(TRIM(D190&amp;""),CHAR(160),"")," ",""),"초등학교","초"),"중학교","중"),"고등학교","고"),"~","~~"),"*","~*"),"?","~?")</f>
      </c>
      <c r="Q190" t="str">
        <f>SUBSTITUTE(SUBSTITUTE(SUBSTITUTE(SUBSTITUTE(SUBSTITUTE(SUBSTITUTE(SUBSTITUTE(SUBSTITUTE(TRIM(E190&amp;""),CHAR(160),"")," ",""),"초등학교","초"),"중학교","중"),"고등학교","고"),"~","~~"),"*","~*"),"?","~?")</f>
      </c>
      <c r="R190" t="str">
        <f>IF(COUNTA(B190:J190)=0,"",IF(AND(O190&lt;&gt;"",P190&lt;&gt;"",Q190&lt;&gt;""),"","입력누락"))</f>
      </c>
    </row>
    <row r="191" customFormat="false" ht="15" hidden="false" customHeight="false" outlineLevel="0" collapsed="false">
      <c r="A191" t="n" s="19">
        <f aca="0">IF(COUNTA(B191:J191)=0,"",ROW()-1)</f>
      </c>
      <c r="B191" s="24"/>
      <c r="C191" s="25"/>
      <c r="D191" s="8"/>
      <c r="E191" s="8"/>
      <c r="F191" s="26"/>
      <c r="G191" s="24"/>
      <c r="H191" s="25"/>
      <c r="I191" s="25"/>
      <c r="J191" s="26"/>
      <c r="K191" t="str" s="15">
        <f aca="0">IF(COUNTA(B191:J191)=0,"",IF(R191&lt;&gt;"","확인필요(입력누락)",IF(COUNTIFS(보유목록!$I$2:$I$3001,"*"&amp;P191&amp;"*",보유목록!$I$2:$I$3001,"*"&amp;Q191&amp;"*",보유목록!$H$2:$H$3001,O191)&gt;0,"있음",IF(COUNTIFS(보유목록!$I$2:$I$3001,"*"&amp;P191&amp;"*",보유목록!$I$2:$I$3001,"*"&amp;Q191&amp;"*")&gt;0,"확인필요(연도다름)",IF(COUNTIFS(보유목록!$I$2:$I$3001,"*"&amp;P191&amp;"*",보유목록!$H$2:$H$3001,O191)&gt;0,"확인필요(같은학교·같은연도)","없음")))))</f>
      </c>
      <c r="L191" t="str" s="16">
        <f aca="0">IF(OR(COUNTA(B191:J191)=0,R191&lt;&gt;""),"",COUNTIFS(보유목록!$I$2:$I$3001,"*"&amp;P191&amp;"*",보유목록!$I$2:$I$3001,"*"&amp;Q191&amp;"*"))</f>
      </c>
      <c r="M191" t="str" s="23">
        <f aca="0">IF(OR(COUNTA(B191:J191)=0,R191&lt;&gt;""),"",IFERROR(LOOKUP(2,1/(ISNUMBER(SEARCH(P191,보유목록!$I$2:$I$3001))*ISNUMBER(SEARCH(Q191,보유목록!$I$2:$I$3001))*(보유목록!$H$2:$H$3001=O191)),보유목록!$B$2:$B$3001),IFERROR(LOOKUP(2,1/(ISNUMBER(SEARCH(P191,보유목록!$I$2:$I$3001))*ISNUMBER(SEARCH(Q191,보유목록!$I$2:$I$3001))),보유목록!$B$2:$B$3001),"")))</f>
      </c>
      <c r="N191" s="25"/>
      <c r="O191" t="str">
        <f>IFERROR(IF(AND(LEN(SUBSTITUTE(SUBSTITUTE(SUBSTITUTE(TRIM(C191&amp;""),CHAR(160),"")," ",""),"년",""))=4,VALUE(SUBSTITUTE(SUBSTITUTE(SUBSTITUTE(TRIM(C191&amp;""),CHAR(160),"")," ",""),"년",""))&gt;=1900,VALUE(SUBSTITUTE(SUBSTITUTE(SUBSTITUTE(TRIM(C191&amp;""),CHAR(160),"")," ",""),"년",""))&lt;=2099,TEXT(VALUE(SUBSTITUTE(SUBSTITUTE(SUBSTITUTE(TRIM(C191&amp;""),CHAR(160),"")," ",""),"년","")),"0000")=SUBSTITUTE(SUBSTITUTE(SUBSTITUTE(TRIM(C191&amp;""),CHAR(160),"")," ",""),"년","")),SUBSTITUTE(SUBSTITUTE(SUBSTITUTE(TRIM(C191&amp;""),CHAR(160),"")," ",""),"년",""),""),"")</f>
      </c>
      <c r="P191" t="str">
        <f>SUBSTITUTE(SUBSTITUTE(SUBSTITUTE(SUBSTITUTE(SUBSTITUTE(SUBSTITUTE(SUBSTITUTE(SUBSTITUTE(TRIM(D191&amp;""),CHAR(160),"")," ",""),"초등학교","초"),"중학교","중"),"고등학교","고"),"~","~~"),"*","~*"),"?","~?")</f>
      </c>
      <c r="Q191" t="str">
        <f>SUBSTITUTE(SUBSTITUTE(SUBSTITUTE(SUBSTITUTE(SUBSTITUTE(SUBSTITUTE(SUBSTITUTE(SUBSTITUTE(TRIM(E191&amp;""),CHAR(160),"")," ",""),"초등학교","초"),"중학교","중"),"고등학교","고"),"~","~~"),"*","~*"),"?","~?")</f>
      </c>
      <c r="R191" t="str">
        <f>IF(COUNTA(B191:J191)=0,"",IF(AND(O191&lt;&gt;"",P191&lt;&gt;"",Q191&lt;&gt;""),"","입력누락"))</f>
      </c>
    </row>
    <row r="192" customFormat="false" ht="15" hidden="false" customHeight="false" outlineLevel="0" collapsed="false">
      <c r="A192" t="n" s="19">
        <f aca="0">IF(COUNTA(B192:J192)=0,"",ROW()-1)</f>
      </c>
      <c r="B192" s="24"/>
      <c r="C192" s="25"/>
      <c r="D192" s="8"/>
      <c r="E192" s="8"/>
      <c r="F192" s="26"/>
      <c r="G192" s="24"/>
      <c r="H192" s="25"/>
      <c r="I192" s="25"/>
      <c r="J192" s="26"/>
      <c r="K192" t="str" s="15">
        <f aca="0">IF(COUNTA(B192:J192)=0,"",IF(R192&lt;&gt;"","확인필요(입력누락)",IF(COUNTIFS(보유목록!$I$2:$I$3001,"*"&amp;P192&amp;"*",보유목록!$I$2:$I$3001,"*"&amp;Q192&amp;"*",보유목록!$H$2:$H$3001,O192)&gt;0,"있음",IF(COUNTIFS(보유목록!$I$2:$I$3001,"*"&amp;P192&amp;"*",보유목록!$I$2:$I$3001,"*"&amp;Q192&amp;"*")&gt;0,"확인필요(연도다름)",IF(COUNTIFS(보유목록!$I$2:$I$3001,"*"&amp;P192&amp;"*",보유목록!$H$2:$H$3001,O192)&gt;0,"확인필요(같은학교·같은연도)","없음")))))</f>
      </c>
      <c r="L192" t="str" s="16">
        <f aca="0">IF(OR(COUNTA(B192:J192)=0,R192&lt;&gt;""),"",COUNTIFS(보유목록!$I$2:$I$3001,"*"&amp;P192&amp;"*",보유목록!$I$2:$I$3001,"*"&amp;Q192&amp;"*"))</f>
      </c>
      <c r="M192" t="str" s="23">
        <f aca="0">IF(OR(COUNTA(B192:J192)=0,R192&lt;&gt;""),"",IFERROR(LOOKUP(2,1/(ISNUMBER(SEARCH(P192,보유목록!$I$2:$I$3001))*ISNUMBER(SEARCH(Q192,보유목록!$I$2:$I$3001))*(보유목록!$H$2:$H$3001=O192)),보유목록!$B$2:$B$3001),IFERROR(LOOKUP(2,1/(ISNUMBER(SEARCH(P192,보유목록!$I$2:$I$3001))*ISNUMBER(SEARCH(Q192,보유목록!$I$2:$I$3001))),보유목록!$B$2:$B$3001),"")))</f>
      </c>
      <c r="N192" s="25"/>
      <c r="O192" t="str">
        <f>IFERROR(IF(AND(LEN(SUBSTITUTE(SUBSTITUTE(SUBSTITUTE(TRIM(C192&amp;""),CHAR(160),"")," ",""),"년",""))=4,VALUE(SUBSTITUTE(SUBSTITUTE(SUBSTITUTE(TRIM(C192&amp;""),CHAR(160),"")," ",""),"년",""))&gt;=1900,VALUE(SUBSTITUTE(SUBSTITUTE(SUBSTITUTE(TRIM(C192&amp;""),CHAR(160),"")," ",""),"년",""))&lt;=2099,TEXT(VALUE(SUBSTITUTE(SUBSTITUTE(SUBSTITUTE(TRIM(C192&amp;""),CHAR(160),"")," ",""),"년","")),"0000")=SUBSTITUTE(SUBSTITUTE(SUBSTITUTE(TRIM(C192&amp;""),CHAR(160),"")," ",""),"년","")),SUBSTITUTE(SUBSTITUTE(SUBSTITUTE(TRIM(C192&amp;""),CHAR(160),"")," ",""),"년",""),""),"")</f>
      </c>
      <c r="P192" t="str">
        <f>SUBSTITUTE(SUBSTITUTE(SUBSTITUTE(SUBSTITUTE(SUBSTITUTE(SUBSTITUTE(SUBSTITUTE(SUBSTITUTE(TRIM(D192&amp;""),CHAR(160),"")," ",""),"초등학교","초"),"중학교","중"),"고등학교","고"),"~","~~"),"*","~*"),"?","~?")</f>
      </c>
      <c r="Q192" t="str">
        <f>SUBSTITUTE(SUBSTITUTE(SUBSTITUTE(SUBSTITUTE(SUBSTITUTE(SUBSTITUTE(SUBSTITUTE(SUBSTITUTE(TRIM(E192&amp;""),CHAR(160),"")," ",""),"초등학교","초"),"중학교","중"),"고등학교","고"),"~","~~"),"*","~*"),"?","~?")</f>
      </c>
      <c r="R192" t="str">
        <f>IF(COUNTA(B192:J192)=0,"",IF(AND(O192&lt;&gt;"",P192&lt;&gt;"",Q192&lt;&gt;""),"","입력누락"))</f>
      </c>
    </row>
    <row r="193" customFormat="false" ht="15" hidden="false" customHeight="false" outlineLevel="0" collapsed="false">
      <c r="A193" t="n" s="19">
        <f aca="0">IF(COUNTA(B193:J193)=0,"",ROW()-1)</f>
      </c>
      <c r="B193" s="24"/>
      <c r="C193" s="25"/>
      <c r="D193" s="8"/>
      <c r="E193" s="8"/>
      <c r="F193" s="26"/>
      <c r="G193" s="24"/>
      <c r="H193" s="25"/>
      <c r="I193" s="25"/>
      <c r="J193" s="26"/>
      <c r="K193" t="str" s="15">
        <f aca="0">IF(COUNTA(B193:J193)=0,"",IF(R193&lt;&gt;"","확인필요(입력누락)",IF(COUNTIFS(보유목록!$I$2:$I$3001,"*"&amp;P193&amp;"*",보유목록!$I$2:$I$3001,"*"&amp;Q193&amp;"*",보유목록!$H$2:$H$3001,O193)&gt;0,"있음",IF(COUNTIFS(보유목록!$I$2:$I$3001,"*"&amp;P193&amp;"*",보유목록!$I$2:$I$3001,"*"&amp;Q193&amp;"*")&gt;0,"확인필요(연도다름)",IF(COUNTIFS(보유목록!$I$2:$I$3001,"*"&amp;P193&amp;"*",보유목록!$H$2:$H$3001,O193)&gt;0,"확인필요(같은학교·같은연도)","없음")))))</f>
      </c>
      <c r="L193" t="str" s="16">
        <f aca="0">IF(OR(COUNTA(B193:J193)=0,R193&lt;&gt;""),"",COUNTIFS(보유목록!$I$2:$I$3001,"*"&amp;P193&amp;"*",보유목록!$I$2:$I$3001,"*"&amp;Q193&amp;"*"))</f>
      </c>
      <c r="M193" t="str" s="23">
        <f aca="0">IF(OR(COUNTA(B193:J193)=0,R193&lt;&gt;""),"",IFERROR(LOOKUP(2,1/(ISNUMBER(SEARCH(P193,보유목록!$I$2:$I$3001))*ISNUMBER(SEARCH(Q193,보유목록!$I$2:$I$3001))*(보유목록!$H$2:$H$3001=O193)),보유목록!$B$2:$B$3001),IFERROR(LOOKUP(2,1/(ISNUMBER(SEARCH(P193,보유목록!$I$2:$I$3001))*ISNUMBER(SEARCH(Q193,보유목록!$I$2:$I$3001))),보유목록!$B$2:$B$3001),"")))</f>
      </c>
      <c r="N193" s="25"/>
      <c r="O193" t="str">
        <f>IFERROR(IF(AND(LEN(SUBSTITUTE(SUBSTITUTE(SUBSTITUTE(TRIM(C193&amp;""),CHAR(160),"")," ",""),"년",""))=4,VALUE(SUBSTITUTE(SUBSTITUTE(SUBSTITUTE(TRIM(C193&amp;""),CHAR(160),"")," ",""),"년",""))&gt;=1900,VALUE(SUBSTITUTE(SUBSTITUTE(SUBSTITUTE(TRIM(C193&amp;""),CHAR(160),"")," ",""),"년",""))&lt;=2099,TEXT(VALUE(SUBSTITUTE(SUBSTITUTE(SUBSTITUTE(TRIM(C193&amp;""),CHAR(160),"")," ",""),"년","")),"0000")=SUBSTITUTE(SUBSTITUTE(SUBSTITUTE(TRIM(C193&amp;""),CHAR(160),"")," ",""),"년","")),SUBSTITUTE(SUBSTITUTE(SUBSTITUTE(TRIM(C193&amp;""),CHAR(160),"")," ",""),"년",""),""),"")</f>
      </c>
      <c r="P193" t="str">
        <f>SUBSTITUTE(SUBSTITUTE(SUBSTITUTE(SUBSTITUTE(SUBSTITUTE(SUBSTITUTE(SUBSTITUTE(SUBSTITUTE(TRIM(D193&amp;""),CHAR(160),"")," ",""),"초등학교","초"),"중학교","중"),"고등학교","고"),"~","~~"),"*","~*"),"?","~?")</f>
      </c>
      <c r="Q193" t="str">
        <f>SUBSTITUTE(SUBSTITUTE(SUBSTITUTE(SUBSTITUTE(SUBSTITUTE(SUBSTITUTE(SUBSTITUTE(SUBSTITUTE(TRIM(E193&amp;""),CHAR(160),"")," ",""),"초등학교","초"),"중학교","중"),"고등학교","고"),"~","~~"),"*","~*"),"?","~?")</f>
      </c>
      <c r="R193" t="str">
        <f>IF(COUNTA(B193:J193)=0,"",IF(AND(O193&lt;&gt;"",P193&lt;&gt;"",Q193&lt;&gt;""),"","입력누락"))</f>
      </c>
    </row>
    <row r="194" customFormat="false" ht="15" hidden="false" customHeight="false" outlineLevel="0" collapsed="false">
      <c r="A194" t="n" s="19">
        <f aca="0">IF(COUNTA(B194:J194)=0,"",ROW()-1)</f>
      </c>
      <c r="B194" s="24"/>
      <c r="C194" s="25"/>
      <c r="D194" s="8"/>
      <c r="E194" s="8"/>
      <c r="F194" s="26"/>
      <c r="G194" s="24"/>
      <c r="H194" s="25"/>
      <c r="I194" s="25"/>
      <c r="J194" s="26"/>
      <c r="K194" t="str" s="15">
        <f aca="0">IF(COUNTA(B194:J194)=0,"",IF(R194&lt;&gt;"","확인필요(입력누락)",IF(COUNTIFS(보유목록!$I$2:$I$3001,"*"&amp;P194&amp;"*",보유목록!$I$2:$I$3001,"*"&amp;Q194&amp;"*",보유목록!$H$2:$H$3001,O194)&gt;0,"있음",IF(COUNTIFS(보유목록!$I$2:$I$3001,"*"&amp;P194&amp;"*",보유목록!$I$2:$I$3001,"*"&amp;Q194&amp;"*")&gt;0,"확인필요(연도다름)",IF(COUNTIFS(보유목록!$I$2:$I$3001,"*"&amp;P194&amp;"*",보유목록!$H$2:$H$3001,O194)&gt;0,"확인필요(같은학교·같은연도)","없음")))))</f>
      </c>
      <c r="L194" t="str" s="16">
        <f aca="0">IF(OR(COUNTA(B194:J194)=0,R194&lt;&gt;""),"",COUNTIFS(보유목록!$I$2:$I$3001,"*"&amp;P194&amp;"*",보유목록!$I$2:$I$3001,"*"&amp;Q194&amp;"*"))</f>
      </c>
      <c r="M194" t="str" s="23">
        <f aca="0">IF(OR(COUNTA(B194:J194)=0,R194&lt;&gt;""),"",IFERROR(LOOKUP(2,1/(ISNUMBER(SEARCH(P194,보유목록!$I$2:$I$3001))*ISNUMBER(SEARCH(Q194,보유목록!$I$2:$I$3001))*(보유목록!$H$2:$H$3001=O194)),보유목록!$B$2:$B$3001),IFERROR(LOOKUP(2,1/(ISNUMBER(SEARCH(P194,보유목록!$I$2:$I$3001))*ISNUMBER(SEARCH(Q194,보유목록!$I$2:$I$3001))),보유목록!$B$2:$B$3001),"")))</f>
      </c>
      <c r="N194" s="25"/>
      <c r="O194" t="str">
        <f>IFERROR(IF(AND(LEN(SUBSTITUTE(SUBSTITUTE(SUBSTITUTE(TRIM(C194&amp;""),CHAR(160),"")," ",""),"년",""))=4,VALUE(SUBSTITUTE(SUBSTITUTE(SUBSTITUTE(TRIM(C194&amp;""),CHAR(160),"")," ",""),"년",""))&gt;=1900,VALUE(SUBSTITUTE(SUBSTITUTE(SUBSTITUTE(TRIM(C194&amp;""),CHAR(160),"")," ",""),"년",""))&lt;=2099,TEXT(VALUE(SUBSTITUTE(SUBSTITUTE(SUBSTITUTE(TRIM(C194&amp;""),CHAR(160),"")," ",""),"년","")),"0000")=SUBSTITUTE(SUBSTITUTE(SUBSTITUTE(TRIM(C194&amp;""),CHAR(160),"")," ",""),"년","")),SUBSTITUTE(SUBSTITUTE(SUBSTITUTE(TRIM(C194&amp;""),CHAR(160),"")," ",""),"년",""),""),"")</f>
      </c>
      <c r="P194" t="str">
        <f>SUBSTITUTE(SUBSTITUTE(SUBSTITUTE(SUBSTITUTE(SUBSTITUTE(SUBSTITUTE(SUBSTITUTE(SUBSTITUTE(TRIM(D194&amp;""),CHAR(160),"")," ",""),"초등학교","초"),"중학교","중"),"고등학교","고"),"~","~~"),"*","~*"),"?","~?")</f>
      </c>
      <c r="Q194" t="str">
        <f>SUBSTITUTE(SUBSTITUTE(SUBSTITUTE(SUBSTITUTE(SUBSTITUTE(SUBSTITUTE(SUBSTITUTE(SUBSTITUTE(TRIM(E194&amp;""),CHAR(160),"")," ",""),"초등학교","초"),"중학교","중"),"고등학교","고"),"~","~~"),"*","~*"),"?","~?")</f>
      </c>
      <c r="R194" t="str">
        <f>IF(COUNTA(B194:J194)=0,"",IF(AND(O194&lt;&gt;"",P194&lt;&gt;"",Q194&lt;&gt;""),"","입력누락"))</f>
      </c>
    </row>
    <row r="195" customFormat="false" ht="15" hidden="false" customHeight="false" outlineLevel="0" collapsed="false">
      <c r="A195" t="n" s="19">
        <f aca="0">IF(COUNTA(B195:J195)=0,"",ROW()-1)</f>
      </c>
      <c r="B195" s="24"/>
      <c r="C195" s="25"/>
      <c r="D195" s="8"/>
      <c r="E195" s="8"/>
      <c r="F195" s="26"/>
      <c r="G195" s="24"/>
      <c r="H195" s="25"/>
      <c r="I195" s="25"/>
      <c r="J195" s="26"/>
      <c r="K195" t="str" s="15">
        <f aca="0">IF(COUNTA(B195:J195)=0,"",IF(R195&lt;&gt;"","확인필요(입력누락)",IF(COUNTIFS(보유목록!$I$2:$I$3001,"*"&amp;P195&amp;"*",보유목록!$I$2:$I$3001,"*"&amp;Q195&amp;"*",보유목록!$H$2:$H$3001,O195)&gt;0,"있음",IF(COUNTIFS(보유목록!$I$2:$I$3001,"*"&amp;P195&amp;"*",보유목록!$I$2:$I$3001,"*"&amp;Q195&amp;"*")&gt;0,"확인필요(연도다름)",IF(COUNTIFS(보유목록!$I$2:$I$3001,"*"&amp;P195&amp;"*",보유목록!$H$2:$H$3001,O195)&gt;0,"확인필요(같은학교·같은연도)","없음")))))</f>
      </c>
      <c r="L195" t="str" s="16">
        <f aca="0">IF(OR(COUNTA(B195:J195)=0,R195&lt;&gt;""),"",COUNTIFS(보유목록!$I$2:$I$3001,"*"&amp;P195&amp;"*",보유목록!$I$2:$I$3001,"*"&amp;Q195&amp;"*"))</f>
      </c>
      <c r="M195" t="str" s="23">
        <f aca="0">IF(OR(COUNTA(B195:J195)=0,R195&lt;&gt;""),"",IFERROR(LOOKUP(2,1/(ISNUMBER(SEARCH(P195,보유목록!$I$2:$I$3001))*ISNUMBER(SEARCH(Q195,보유목록!$I$2:$I$3001))*(보유목록!$H$2:$H$3001=O195)),보유목록!$B$2:$B$3001),IFERROR(LOOKUP(2,1/(ISNUMBER(SEARCH(P195,보유목록!$I$2:$I$3001))*ISNUMBER(SEARCH(Q195,보유목록!$I$2:$I$3001))),보유목록!$B$2:$B$3001),"")))</f>
      </c>
      <c r="N195" s="25"/>
      <c r="O195" t="str">
        <f>IFERROR(IF(AND(LEN(SUBSTITUTE(SUBSTITUTE(SUBSTITUTE(TRIM(C195&amp;""),CHAR(160),"")," ",""),"년",""))=4,VALUE(SUBSTITUTE(SUBSTITUTE(SUBSTITUTE(TRIM(C195&amp;""),CHAR(160),"")," ",""),"년",""))&gt;=1900,VALUE(SUBSTITUTE(SUBSTITUTE(SUBSTITUTE(TRIM(C195&amp;""),CHAR(160),"")," ",""),"년",""))&lt;=2099,TEXT(VALUE(SUBSTITUTE(SUBSTITUTE(SUBSTITUTE(TRIM(C195&amp;""),CHAR(160),"")," ",""),"년","")),"0000")=SUBSTITUTE(SUBSTITUTE(SUBSTITUTE(TRIM(C195&amp;""),CHAR(160),"")," ",""),"년","")),SUBSTITUTE(SUBSTITUTE(SUBSTITUTE(TRIM(C195&amp;""),CHAR(160),"")," ",""),"년",""),""),"")</f>
      </c>
      <c r="P195" t="str">
        <f>SUBSTITUTE(SUBSTITUTE(SUBSTITUTE(SUBSTITUTE(SUBSTITUTE(SUBSTITUTE(SUBSTITUTE(SUBSTITUTE(TRIM(D195&amp;""),CHAR(160),"")," ",""),"초등학교","초"),"중학교","중"),"고등학교","고"),"~","~~"),"*","~*"),"?","~?")</f>
      </c>
      <c r="Q195" t="str">
        <f>SUBSTITUTE(SUBSTITUTE(SUBSTITUTE(SUBSTITUTE(SUBSTITUTE(SUBSTITUTE(SUBSTITUTE(SUBSTITUTE(TRIM(E195&amp;""),CHAR(160),"")," ",""),"초등학교","초"),"중학교","중"),"고등학교","고"),"~","~~"),"*","~*"),"?","~?")</f>
      </c>
      <c r="R195" t="str">
        <f>IF(COUNTA(B195:J195)=0,"",IF(AND(O195&lt;&gt;"",P195&lt;&gt;"",Q195&lt;&gt;""),"","입력누락"))</f>
      </c>
    </row>
    <row r="196" customFormat="false" ht="15" hidden="false" customHeight="false" outlineLevel="0" collapsed="false">
      <c r="A196" t="n" s="19">
        <f aca="0">IF(COUNTA(B196:J196)=0,"",ROW()-1)</f>
      </c>
      <c r="B196" s="24"/>
      <c r="C196" s="25"/>
      <c r="D196" s="8"/>
      <c r="E196" s="8"/>
      <c r="F196" s="26"/>
      <c r="G196" s="24"/>
      <c r="H196" s="25"/>
      <c r="I196" s="25"/>
      <c r="J196" s="26"/>
      <c r="K196" t="str" s="15">
        <f aca="0">IF(COUNTA(B196:J196)=0,"",IF(R196&lt;&gt;"","확인필요(입력누락)",IF(COUNTIFS(보유목록!$I$2:$I$3001,"*"&amp;P196&amp;"*",보유목록!$I$2:$I$3001,"*"&amp;Q196&amp;"*",보유목록!$H$2:$H$3001,O196)&gt;0,"있음",IF(COUNTIFS(보유목록!$I$2:$I$3001,"*"&amp;P196&amp;"*",보유목록!$I$2:$I$3001,"*"&amp;Q196&amp;"*")&gt;0,"확인필요(연도다름)",IF(COUNTIFS(보유목록!$I$2:$I$3001,"*"&amp;P196&amp;"*",보유목록!$H$2:$H$3001,O196)&gt;0,"확인필요(같은학교·같은연도)","없음")))))</f>
      </c>
      <c r="L196" t="str" s="16">
        <f aca="0">IF(OR(COUNTA(B196:J196)=0,R196&lt;&gt;""),"",COUNTIFS(보유목록!$I$2:$I$3001,"*"&amp;P196&amp;"*",보유목록!$I$2:$I$3001,"*"&amp;Q196&amp;"*"))</f>
      </c>
      <c r="M196" t="str" s="23">
        <f aca="0">IF(OR(COUNTA(B196:J196)=0,R196&lt;&gt;""),"",IFERROR(LOOKUP(2,1/(ISNUMBER(SEARCH(P196,보유목록!$I$2:$I$3001))*ISNUMBER(SEARCH(Q196,보유목록!$I$2:$I$3001))*(보유목록!$H$2:$H$3001=O196)),보유목록!$B$2:$B$3001),IFERROR(LOOKUP(2,1/(ISNUMBER(SEARCH(P196,보유목록!$I$2:$I$3001))*ISNUMBER(SEARCH(Q196,보유목록!$I$2:$I$3001))),보유목록!$B$2:$B$3001),"")))</f>
      </c>
      <c r="N196" s="25"/>
      <c r="O196" t="str">
        <f>IFERROR(IF(AND(LEN(SUBSTITUTE(SUBSTITUTE(SUBSTITUTE(TRIM(C196&amp;""),CHAR(160),"")," ",""),"년",""))=4,VALUE(SUBSTITUTE(SUBSTITUTE(SUBSTITUTE(TRIM(C196&amp;""),CHAR(160),"")," ",""),"년",""))&gt;=1900,VALUE(SUBSTITUTE(SUBSTITUTE(SUBSTITUTE(TRIM(C196&amp;""),CHAR(160),"")," ",""),"년",""))&lt;=2099,TEXT(VALUE(SUBSTITUTE(SUBSTITUTE(SUBSTITUTE(TRIM(C196&amp;""),CHAR(160),"")," ",""),"년","")),"0000")=SUBSTITUTE(SUBSTITUTE(SUBSTITUTE(TRIM(C196&amp;""),CHAR(160),"")," ",""),"년","")),SUBSTITUTE(SUBSTITUTE(SUBSTITUTE(TRIM(C196&amp;""),CHAR(160),"")," ",""),"년",""),""),"")</f>
      </c>
      <c r="P196" t="str">
        <f>SUBSTITUTE(SUBSTITUTE(SUBSTITUTE(SUBSTITUTE(SUBSTITUTE(SUBSTITUTE(SUBSTITUTE(SUBSTITUTE(TRIM(D196&amp;""),CHAR(160),"")," ",""),"초등학교","초"),"중학교","중"),"고등학교","고"),"~","~~"),"*","~*"),"?","~?")</f>
      </c>
      <c r="Q196" t="str">
        <f>SUBSTITUTE(SUBSTITUTE(SUBSTITUTE(SUBSTITUTE(SUBSTITUTE(SUBSTITUTE(SUBSTITUTE(SUBSTITUTE(TRIM(E196&amp;""),CHAR(160),"")," ",""),"초등학교","초"),"중학교","중"),"고등학교","고"),"~","~~"),"*","~*"),"?","~?")</f>
      </c>
      <c r="R196" t="str">
        <f>IF(COUNTA(B196:J196)=0,"",IF(AND(O196&lt;&gt;"",P196&lt;&gt;"",Q196&lt;&gt;""),"","입력누락"))</f>
      </c>
    </row>
    <row r="197" customFormat="false" ht="15" hidden="false" customHeight="false" outlineLevel="0" collapsed="false">
      <c r="A197" t="n" s="19">
        <f aca="0">IF(COUNTA(B197:J197)=0,"",ROW()-1)</f>
      </c>
      <c r="B197" s="24"/>
      <c r="C197" s="25"/>
      <c r="D197" s="8"/>
      <c r="E197" s="8"/>
      <c r="F197" s="26"/>
      <c r="G197" s="24"/>
      <c r="H197" s="25"/>
      <c r="I197" s="25"/>
      <c r="J197" s="26"/>
      <c r="K197" t="str" s="15">
        <f aca="0">IF(COUNTA(B197:J197)=0,"",IF(R197&lt;&gt;"","확인필요(입력누락)",IF(COUNTIFS(보유목록!$I$2:$I$3001,"*"&amp;P197&amp;"*",보유목록!$I$2:$I$3001,"*"&amp;Q197&amp;"*",보유목록!$H$2:$H$3001,O197)&gt;0,"있음",IF(COUNTIFS(보유목록!$I$2:$I$3001,"*"&amp;P197&amp;"*",보유목록!$I$2:$I$3001,"*"&amp;Q197&amp;"*")&gt;0,"확인필요(연도다름)",IF(COUNTIFS(보유목록!$I$2:$I$3001,"*"&amp;P197&amp;"*",보유목록!$H$2:$H$3001,O197)&gt;0,"확인필요(같은학교·같은연도)","없음")))))</f>
      </c>
      <c r="L197" t="str" s="16">
        <f aca="0">IF(OR(COUNTA(B197:J197)=0,R197&lt;&gt;""),"",COUNTIFS(보유목록!$I$2:$I$3001,"*"&amp;P197&amp;"*",보유목록!$I$2:$I$3001,"*"&amp;Q197&amp;"*"))</f>
      </c>
      <c r="M197" t="str" s="23">
        <f aca="0">IF(OR(COUNTA(B197:J197)=0,R197&lt;&gt;""),"",IFERROR(LOOKUP(2,1/(ISNUMBER(SEARCH(P197,보유목록!$I$2:$I$3001))*ISNUMBER(SEARCH(Q197,보유목록!$I$2:$I$3001))*(보유목록!$H$2:$H$3001=O197)),보유목록!$B$2:$B$3001),IFERROR(LOOKUP(2,1/(ISNUMBER(SEARCH(P197,보유목록!$I$2:$I$3001))*ISNUMBER(SEARCH(Q197,보유목록!$I$2:$I$3001))),보유목록!$B$2:$B$3001),"")))</f>
      </c>
      <c r="N197" s="25"/>
      <c r="O197" t="str">
        <f>IFERROR(IF(AND(LEN(SUBSTITUTE(SUBSTITUTE(SUBSTITUTE(TRIM(C197&amp;""),CHAR(160),"")," ",""),"년",""))=4,VALUE(SUBSTITUTE(SUBSTITUTE(SUBSTITUTE(TRIM(C197&amp;""),CHAR(160),"")," ",""),"년",""))&gt;=1900,VALUE(SUBSTITUTE(SUBSTITUTE(SUBSTITUTE(TRIM(C197&amp;""),CHAR(160),"")," ",""),"년",""))&lt;=2099,TEXT(VALUE(SUBSTITUTE(SUBSTITUTE(SUBSTITUTE(TRIM(C197&amp;""),CHAR(160),"")," ",""),"년","")),"0000")=SUBSTITUTE(SUBSTITUTE(SUBSTITUTE(TRIM(C197&amp;""),CHAR(160),"")," ",""),"년","")),SUBSTITUTE(SUBSTITUTE(SUBSTITUTE(TRIM(C197&amp;""),CHAR(160),"")," ",""),"년",""),""),"")</f>
      </c>
      <c r="P197" t="str">
        <f>SUBSTITUTE(SUBSTITUTE(SUBSTITUTE(SUBSTITUTE(SUBSTITUTE(SUBSTITUTE(SUBSTITUTE(SUBSTITUTE(TRIM(D197&amp;""),CHAR(160),"")," ",""),"초등학교","초"),"중학교","중"),"고등학교","고"),"~","~~"),"*","~*"),"?","~?")</f>
      </c>
      <c r="Q197" t="str">
        <f>SUBSTITUTE(SUBSTITUTE(SUBSTITUTE(SUBSTITUTE(SUBSTITUTE(SUBSTITUTE(SUBSTITUTE(SUBSTITUTE(TRIM(E197&amp;""),CHAR(160),"")," ",""),"초등학교","초"),"중학교","중"),"고등학교","고"),"~","~~"),"*","~*"),"?","~?")</f>
      </c>
      <c r="R197" t="str">
        <f>IF(COUNTA(B197:J197)=0,"",IF(AND(O197&lt;&gt;"",P197&lt;&gt;"",Q197&lt;&gt;""),"","입력누락"))</f>
      </c>
    </row>
    <row r="198" customFormat="false" ht="15" hidden="false" customHeight="false" outlineLevel="0" collapsed="false">
      <c r="A198" t="n" s="19">
        <f aca="0">IF(COUNTA(B198:J198)=0,"",ROW()-1)</f>
      </c>
      <c r="B198" s="24"/>
      <c r="C198" s="25"/>
      <c r="D198" s="8"/>
      <c r="E198" s="8"/>
      <c r="F198" s="26"/>
      <c r="G198" s="24"/>
      <c r="H198" s="25"/>
      <c r="I198" s="25"/>
      <c r="J198" s="26"/>
      <c r="K198" t="str" s="15">
        <f aca="0">IF(COUNTA(B198:J198)=0,"",IF(R198&lt;&gt;"","확인필요(입력누락)",IF(COUNTIFS(보유목록!$I$2:$I$3001,"*"&amp;P198&amp;"*",보유목록!$I$2:$I$3001,"*"&amp;Q198&amp;"*",보유목록!$H$2:$H$3001,O198)&gt;0,"있음",IF(COUNTIFS(보유목록!$I$2:$I$3001,"*"&amp;P198&amp;"*",보유목록!$I$2:$I$3001,"*"&amp;Q198&amp;"*")&gt;0,"확인필요(연도다름)",IF(COUNTIFS(보유목록!$I$2:$I$3001,"*"&amp;P198&amp;"*",보유목록!$H$2:$H$3001,O198)&gt;0,"확인필요(같은학교·같은연도)","없음")))))</f>
      </c>
      <c r="L198" t="str" s="16">
        <f aca="0">IF(OR(COUNTA(B198:J198)=0,R198&lt;&gt;""),"",COUNTIFS(보유목록!$I$2:$I$3001,"*"&amp;P198&amp;"*",보유목록!$I$2:$I$3001,"*"&amp;Q198&amp;"*"))</f>
      </c>
      <c r="M198" t="str" s="23">
        <f aca="0">IF(OR(COUNTA(B198:J198)=0,R198&lt;&gt;""),"",IFERROR(LOOKUP(2,1/(ISNUMBER(SEARCH(P198,보유목록!$I$2:$I$3001))*ISNUMBER(SEARCH(Q198,보유목록!$I$2:$I$3001))*(보유목록!$H$2:$H$3001=O198)),보유목록!$B$2:$B$3001),IFERROR(LOOKUP(2,1/(ISNUMBER(SEARCH(P198,보유목록!$I$2:$I$3001))*ISNUMBER(SEARCH(Q198,보유목록!$I$2:$I$3001))),보유목록!$B$2:$B$3001),"")))</f>
      </c>
      <c r="N198" s="25"/>
      <c r="O198" t="str">
        <f>IFERROR(IF(AND(LEN(SUBSTITUTE(SUBSTITUTE(SUBSTITUTE(TRIM(C198&amp;""),CHAR(160),"")," ",""),"년",""))=4,VALUE(SUBSTITUTE(SUBSTITUTE(SUBSTITUTE(TRIM(C198&amp;""),CHAR(160),"")," ",""),"년",""))&gt;=1900,VALUE(SUBSTITUTE(SUBSTITUTE(SUBSTITUTE(TRIM(C198&amp;""),CHAR(160),"")," ",""),"년",""))&lt;=2099,TEXT(VALUE(SUBSTITUTE(SUBSTITUTE(SUBSTITUTE(TRIM(C198&amp;""),CHAR(160),"")," ",""),"년","")),"0000")=SUBSTITUTE(SUBSTITUTE(SUBSTITUTE(TRIM(C198&amp;""),CHAR(160),"")," ",""),"년","")),SUBSTITUTE(SUBSTITUTE(SUBSTITUTE(TRIM(C198&amp;""),CHAR(160),"")," ",""),"년",""),""),"")</f>
      </c>
      <c r="P198" t="str">
        <f>SUBSTITUTE(SUBSTITUTE(SUBSTITUTE(SUBSTITUTE(SUBSTITUTE(SUBSTITUTE(SUBSTITUTE(SUBSTITUTE(TRIM(D198&amp;""),CHAR(160),"")," ",""),"초등학교","초"),"중학교","중"),"고등학교","고"),"~","~~"),"*","~*"),"?","~?")</f>
      </c>
      <c r="Q198" t="str">
        <f>SUBSTITUTE(SUBSTITUTE(SUBSTITUTE(SUBSTITUTE(SUBSTITUTE(SUBSTITUTE(SUBSTITUTE(SUBSTITUTE(TRIM(E198&amp;""),CHAR(160),"")," ",""),"초등학교","초"),"중학교","중"),"고등학교","고"),"~","~~"),"*","~*"),"?","~?")</f>
      </c>
      <c r="R198" t="str">
        <f>IF(COUNTA(B198:J198)=0,"",IF(AND(O198&lt;&gt;"",P198&lt;&gt;"",Q198&lt;&gt;""),"","입력누락"))</f>
      </c>
    </row>
    <row r="199" customFormat="false" ht="15" hidden="false" customHeight="false" outlineLevel="0" collapsed="false">
      <c r="A199" t="n" s="19">
        <f aca="0">IF(COUNTA(B199:J199)=0,"",ROW()-1)</f>
      </c>
      <c r="B199" s="24"/>
      <c r="C199" s="25"/>
      <c r="D199" s="8"/>
      <c r="E199" s="8"/>
      <c r="F199" s="26"/>
      <c r="G199" s="24"/>
      <c r="H199" s="25"/>
      <c r="I199" s="25"/>
      <c r="J199" s="26"/>
      <c r="K199" t="str" s="15">
        <f aca="0">IF(COUNTA(B199:J199)=0,"",IF(R199&lt;&gt;"","확인필요(입력누락)",IF(COUNTIFS(보유목록!$I$2:$I$3001,"*"&amp;P199&amp;"*",보유목록!$I$2:$I$3001,"*"&amp;Q199&amp;"*",보유목록!$H$2:$H$3001,O199)&gt;0,"있음",IF(COUNTIFS(보유목록!$I$2:$I$3001,"*"&amp;P199&amp;"*",보유목록!$I$2:$I$3001,"*"&amp;Q199&amp;"*")&gt;0,"확인필요(연도다름)",IF(COUNTIFS(보유목록!$I$2:$I$3001,"*"&amp;P199&amp;"*",보유목록!$H$2:$H$3001,O199)&gt;0,"확인필요(같은학교·같은연도)","없음")))))</f>
      </c>
      <c r="L199" t="str" s="16">
        <f aca="0">IF(OR(COUNTA(B199:J199)=0,R199&lt;&gt;""),"",COUNTIFS(보유목록!$I$2:$I$3001,"*"&amp;P199&amp;"*",보유목록!$I$2:$I$3001,"*"&amp;Q199&amp;"*"))</f>
      </c>
      <c r="M199" t="str" s="23">
        <f aca="0">IF(OR(COUNTA(B199:J199)=0,R199&lt;&gt;""),"",IFERROR(LOOKUP(2,1/(ISNUMBER(SEARCH(P199,보유목록!$I$2:$I$3001))*ISNUMBER(SEARCH(Q199,보유목록!$I$2:$I$3001))*(보유목록!$H$2:$H$3001=O199)),보유목록!$B$2:$B$3001),IFERROR(LOOKUP(2,1/(ISNUMBER(SEARCH(P199,보유목록!$I$2:$I$3001))*ISNUMBER(SEARCH(Q199,보유목록!$I$2:$I$3001))),보유목록!$B$2:$B$3001),"")))</f>
      </c>
      <c r="N199" s="25"/>
      <c r="O199" t="str">
        <f>IFERROR(IF(AND(LEN(SUBSTITUTE(SUBSTITUTE(SUBSTITUTE(TRIM(C199&amp;""),CHAR(160),"")," ",""),"년",""))=4,VALUE(SUBSTITUTE(SUBSTITUTE(SUBSTITUTE(TRIM(C199&amp;""),CHAR(160),"")," ",""),"년",""))&gt;=1900,VALUE(SUBSTITUTE(SUBSTITUTE(SUBSTITUTE(TRIM(C199&amp;""),CHAR(160),"")," ",""),"년",""))&lt;=2099,TEXT(VALUE(SUBSTITUTE(SUBSTITUTE(SUBSTITUTE(TRIM(C199&amp;""),CHAR(160),"")," ",""),"년","")),"0000")=SUBSTITUTE(SUBSTITUTE(SUBSTITUTE(TRIM(C199&amp;""),CHAR(160),"")," ",""),"년","")),SUBSTITUTE(SUBSTITUTE(SUBSTITUTE(TRIM(C199&amp;""),CHAR(160),"")," ",""),"년",""),""),"")</f>
      </c>
      <c r="P199" t="str">
        <f>SUBSTITUTE(SUBSTITUTE(SUBSTITUTE(SUBSTITUTE(SUBSTITUTE(SUBSTITUTE(SUBSTITUTE(SUBSTITUTE(TRIM(D199&amp;""),CHAR(160),"")," ",""),"초등학교","초"),"중학교","중"),"고등학교","고"),"~","~~"),"*","~*"),"?","~?")</f>
      </c>
      <c r="Q199" t="str">
        <f>SUBSTITUTE(SUBSTITUTE(SUBSTITUTE(SUBSTITUTE(SUBSTITUTE(SUBSTITUTE(SUBSTITUTE(SUBSTITUTE(TRIM(E199&amp;""),CHAR(160),"")," ",""),"초등학교","초"),"중학교","중"),"고등학교","고"),"~","~~"),"*","~*"),"?","~?")</f>
      </c>
      <c r="R199" t="str">
        <f>IF(COUNTA(B199:J199)=0,"",IF(AND(O199&lt;&gt;"",P199&lt;&gt;"",Q199&lt;&gt;""),"","입력누락"))</f>
      </c>
    </row>
    <row r="200" customFormat="false" ht="15" hidden="false" customHeight="false" outlineLevel="0" collapsed="false">
      <c r="A200" t="n" s="19">
        <f aca="0">IF(COUNTA(B200:J200)=0,"",ROW()-1)</f>
      </c>
      <c r="B200" s="24"/>
      <c r="C200" s="25"/>
      <c r="D200" s="8"/>
      <c r="E200" s="8"/>
      <c r="F200" s="26"/>
      <c r="G200" s="24"/>
      <c r="H200" s="25"/>
      <c r="I200" s="25"/>
      <c r="J200" s="26"/>
      <c r="K200" t="str" s="15">
        <f aca="0">IF(COUNTA(B200:J200)=0,"",IF(R200&lt;&gt;"","확인필요(입력누락)",IF(COUNTIFS(보유목록!$I$2:$I$3001,"*"&amp;P200&amp;"*",보유목록!$I$2:$I$3001,"*"&amp;Q200&amp;"*",보유목록!$H$2:$H$3001,O200)&gt;0,"있음",IF(COUNTIFS(보유목록!$I$2:$I$3001,"*"&amp;P200&amp;"*",보유목록!$I$2:$I$3001,"*"&amp;Q200&amp;"*")&gt;0,"확인필요(연도다름)",IF(COUNTIFS(보유목록!$I$2:$I$3001,"*"&amp;P200&amp;"*",보유목록!$H$2:$H$3001,O200)&gt;0,"확인필요(같은학교·같은연도)","없음")))))</f>
      </c>
      <c r="L200" t="str" s="16">
        <f aca="0">IF(OR(COUNTA(B200:J200)=0,R200&lt;&gt;""),"",COUNTIFS(보유목록!$I$2:$I$3001,"*"&amp;P200&amp;"*",보유목록!$I$2:$I$3001,"*"&amp;Q200&amp;"*"))</f>
      </c>
      <c r="M200" t="str" s="23">
        <f aca="0">IF(OR(COUNTA(B200:J200)=0,R200&lt;&gt;""),"",IFERROR(LOOKUP(2,1/(ISNUMBER(SEARCH(P200,보유목록!$I$2:$I$3001))*ISNUMBER(SEARCH(Q200,보유목록!$I$2:$I$3001))*(보유목록!$H$2:$H$3001=O200)),보유목록!$B$2:$B$3001),IFERROR(LOOKUP(2,1/(ISNUMBER(SEARCH(P200,보유목록!$I$2:$I$3001))*ISNUMBER(SEARCH(Q200,보유목록!$I$2:$I$3001))),보유목록!$B$2:$B$3001),"")))</f>
      </c>
      <c r="N200" s="25"/>
      <c r="O200" t="str">
        <f>IFERROR(IF(AND(LEN(SUBSTITUTE(SUBSTITUTE(SUBSTITUTE(TRIM(C200&amp;""),CHAR(160),"")," ",""),"년",""))=4,VALUE(SUBSTITUTE(SUBSTITUTE(SUBSTITUTE(TRIM(C200&amp;""),CHAR(160),"")," ",""),"년",""))&gt;=1900,VALUE(SUBSTITUTE(SUBSTITUTE(SUBSTITUTE(TRIM(C200&amp;""),CHAR(160),"")," ",""),"년",""))&lt;=2099,TEXT(VALUE(SUBSTITUTE(SUBSTITUTE(SUBSTITUTE(TRIM(C200&amp;""),CHAR(160),"")," ",""),"년","")),"0000")=SUBSTITUTE(SUBSTITUTE(SUBSTITUTE(TRIM(C200&amp;""),CHAR(160),"")," ",""),"년","")),SUBSTITUTE(SUBSTITUTE(SUBSTITUTE(TRIM(C200&amp;""),CHAR(160),"")," ",""),"년",""),""),"")</f>
      </c>
      <c r="P200" t="str">
        <f>SUBSTITUTE(SUBSTITUTE(SUBSTITUTE(SUBSTITUTE(SUBSTITUTE(SUBSTITUTE(SUBSTITUTE(SUBSTITUTE(TRIM(D200&amp;""),CHAR(160),"")," ",""),"초등학교","초"),"중학교","중"),"고등학교","고"),"~","~~"),"*","~*"),"?","~?")</f>
      </c>
      <c r="Q200" t="str">
        <f>SUBSTITUTE(SUBSTITUTE(SUBSTITUTE(SUBSTITUTE(SUBSTITUTE(SUBSTITUTE(SUBSTITUTE(SUBSTITUTE(TRIM(E200&amp;""),CHAR(160),"")," ",""),"초등학교","초"),"중학교","중"),"고등학교","고"),"~","~~"),"*","~*"),"?","~?")</f>
      </c>
      <c r="R200" t="str">
        <f>IF(COUNTA(B200:J200)=0,"",IF(AND(O200&lt;&gt;"",P200&lt;&gt;"",Q200&lt;&gt;""),"","입력누락"))</f>
      </c>
    </row>
    <row r="201" customFormat="false" ht="15" hidden="false" customHeight="false" outlineLevel="0" collapsed="false">
      <c r="A201" t="n" s="19">
        <f aca="0">IF(COUNTA(B201:J201)=0,"",ROW()-1)</f>
      </c>
      <c r="B201" s="24"/>
      <c r="C201" s="25"/>
      <c r="D201" s="8"/>
      <c r="E201" s="8"/>
      <c r="F201" s="26"/>
      <c r="G201" s="24"/>
      <c r="H201" s="25"/>
      <c r="I201" s="25"/>
      <c r="J201" s="26"/>
      <c r="K201" t="str" s="15">
        <f aca="0">IF(COUNTA(B201:J201)=0,"",IF(R201&lt;&gt;"","확인필요(입력누락)",IF(COUNTIFS(보유목록!$I$2:$I$3001,"*"&amp;P201&amp;"*",보유목록!$I$2:$I$3001,"*"&amp;Q201&amp;"*",보유목록!$H$2:$H$3001,O201)&gt;0,"있음",IF(COUNTIFS(보유목록!$I$2:$I$3001,"*"&amp;P201&amp;"*",보유목록!$I$2:$I$3001,"*"&amp;Q201&amp;"*")&gt;0,"확인필요(연도다름)",IF(COUNTIFS(보유목록!$I$2:$I$3001,"*"&amp;P201&amp;"*",보유목록!$H$2:$H$3001,O201)&gt;0,"확인필요(같은학교·같은연도)","없음")))))</f>
      </c>
      <c r="L201" t="str" s="16">
        <f aca="0">IF(OR(COUNTA(B201:J201)=0,R201&lt;&gt;""),"",COUNTIFS(보유목록!$I$2:$I$3001,"*"&amp;P201&amp;"*",보유목록!$I$2:$I$3001,"*"&amp;Q201&amp;"*"))</f>
      </c>
      <c r="M201" t="str" s="23">
        <f aca="0">IF(OR(COUNTA(B201:J201)=0,R201&lt;&gt;""),"",IFERROR(LOOKUP(2,1/(ISNUMBER(SEARCH(P201,보유목록!$I$2:$I$3001))*ISNUMBER(SEARCH(Q201,보유목록!$I$2:$I$3001))*(보유목록!$H$2:$H$3001=O201)),보유목록!$B$2:$B$3001),IFERROR(LOOKUP(2,1/(ISNUMBER(SEARCH(P201,보유목록!$I$2:$I$3001))*ISNUMBER(SEARCH(Q201,보유목록!$I$2:$I$3001))),보유목록!$B$2:$B$3001),"")))</f>
      </c>
      <c r="N201" s="25"/>
      <c r="O201" t="str">
        <f>IFERROR(IF(AND(LEN(SUBSTITUTE(SUBSTITUTE(SUBSTITUTE(TRIM(C201&amp;""),CHAR(160),"")," ",""),"년",""))=4,VALUE(SUBSTITUTE(SUBSTITUTE(SUBSTITUTE(TRIM(C201&amp;""),CHAR(160),"")," ",""),"년",""))&gt;=1900,VALUE(SUBSTITUTE(SUBSTITUTE(SUBSTITUTE(TRIM(C201&amp;""),CHAR(160),"")," ",""),"년",""))&lt;=2099,TEXT(VALUE(SUBSTITUTE(SUBSTITUTE(SUBSTITUTE(TRIM(C201&amp;""),CHAR(160),"")," ",""),"년","")),"0000")=SUBSTITUTE(SUBSTITUTE(SUBSTITUTE(TRIM(C201&amp;""),CHAR(160),"")," ",""),"년","")),SUBSTITUTE(SUBSTITUTE(SUBSTITUTE(TRIM(C201&amp;""),CHAR(160),"")," ",""),"년",""),""),"")</f>
      </c>
      <c r="P201" t="str">
        <f>SUBSTITUTE(SUBSTITUTE(SUBSTITUTE(SUBSTITUTE(SUBSTITUTE(SUBSTITUTE(SUBSTITUTE(SUBSTITUTE(TRIM(D201&amp;""),CHAR(160),"")," ",""),"초등학교","초"),"중학교","중"),"고등학교","고"),"~","~~"),"*","~*"),"?","~?")</f>
      </c>
      <c r="Q201" t="str">
        <f>SUBSTITUTE(SUBSTITUTE(SUBSTITUTE(SUBSTITUTE(SUBSTITUTE(SUBSTITUTE(SUBSTITUTE(SUBSTITUTE(TRIM(E201&amp;""),CHAR(160),"")," ",""),"초등학교","초"),"중학교","중"),"고등학교","고"),"~","~~"),"*","~*"),"?","~?")</f>
      </c>
      <c r="R201" t="str">
        <f>IF(COUNTA(B201:J201)=0,"",IF(AND(O201&lt;&gt;"",P201&lt;&gt;"",Q201&lt;&gt;""),"","입력누락"))</f>
      </c>
    </row>
    <row r="202" customFormat="false" ht="15" hidden="false" customHeight="false" outlineLevel="0" collapsed="false">
      <c r="A202" t="n" s="19">
        <f aca="0">IF(COUNTA(B202:J202)=0,"",ROW()-1)</f>
      </c>
      <c r="B202" s="24"/>
      <c r="C202" s="25"/>
      <c r="D202" s="8"/>
      <c r="E202" s="8"/>
      <c r="F202" s="26"/>
      <c r="G202" s="24"/>
      <c r="H202" s="25"/>
      <c r="I202" s="25"/>
      <c r="J202" s="26"/>
      <c r="K202" t="str" s="15">
        <f aca="0">IF(COUNTA(B202:J202)=0,"",IF(R202&lt;&gt;"","확인필요(입력누락)",IF(COUNTIFS(보유목록!$I$2:$I$3001,"*"&amp;P202&amp;"*",보유목록!$I$2:$I$3001,"*"&amp;Q202&amp;"*",보유목록!$H$2:$H$3001,O202)&gt;0,"있음",IF(COUNTIFS(보유목록!$I$2:$I$3001,"*"&amp;P202&amp;"*",보유목록!$I$2:$I$3001,"*"&amp;Q202&amp;"*")&gt;0,"확인필요(연도다름)",IF(COUNTIFS(보유목록!$I$2:$I$3001,"*"&amp;P202&amp;"*",보유목록!$H$2:$H$3001,O202)&gt;0,"확인필요(같은학교·같은연도)","없음")))))</f>
      </c>
      <c r="L202" t="str" s="16">
        <f aca="0">IF(OR(COUNTA(B202:J202)=0,R202&lt;&gt;""),"",COUNTIFS(보유목록!$I$2:$I$3001,"*"&amp;P202&amp;"*",보유목록!$I$2:$I$3001,"*"&amp;Q202&amp;"*"))</f>
      </c>
      <c r="M202" t="str" s="23">
        <f aca="0">IF(OR(COUNTA(B202:J202)=0,R202&lt;&gt;""),"",IFERROR(LOOKUP(2,1/(ISNUMBER(SEARCH(P202,보유목록!$I$2:$I$3001))*ISNUMBER(SEARCH(Q202,보유목록!$I$2:$I$3001))*(보유목록!$H$2:$H$3001=O202)),보유목록!$B$2:$B$3001),IFERROR(LOOKUP(2,1/(ISNUMBER(SEARCH(P202,보유목록!$I$2:$I$3001))*ISNUMBER(SEARCH(Q202,보유목록!$I$2:$I$3001))),보유목록!$B$2:$B$3001),"")))</f>
      </c>
      <c r="N202" s="25"/>
      <c r="O202" t="str">
        <f>IFERROR(IF(AND(LEN(SUBSTITUTE(SUBSTITUTE(SUBSTITUTE(TRIM(C202&amp;""),CHAR(160),"")," ",""),"년",""))=4,VALUE(SUBSTITUTE(SUBSTITUTE(SUBSTITUTE(TRIM(C202&amp;""),CHAR(160),"")," ",""),"년",""))&gt;=1900,VALUE(SUBSTITUTE(SUBSTITUTE(SUBSTITUTE(TRIM(C202&amp;""),CHAR(160),"")," ",""),"년",""))&lt;=2099,TEXT(VALUE(SUBSTITUTE(SUBSTITUTE(SUBSTITUTE(TRIM(C202&amp;""),CHAR(160),"")," ",""),"년","")),"0000")=SUBSTITUTE(SUBSTITUTE(SUBSTITUTE(TRIM(C202&amp;""),CHAR(160),"")," ",""),"년","")),SUBSTITUTE(SUBSTITUTE(SUBSTITUTE(TRIM(C202&amp;""),CHAR(160),"")," ",""),"년",""),""),"")</f>
      </c>
      <c r="P202" t="str">
        <f>SUBSTITUTE(SUBSTITUTE(SUBSTITUTE(SUBSTITUTE(SUBSTITUTE(SUBSTITUTE(SUBSTITUTE(SUBSTITUTE(TRIM(D202&amp;""),CHAR(160),"")," ",""),"초등학교","초"),"중학교","중"),"고등학교","고"),"~","~~"),"*","~*"),"?","~?")</f>
      </c>
      <c r="Q202" t="str">
        <f>SUBSTITUTE(SUBSTITUTE(SUBSTITUTE(SUBSTITUTE(SUBSTITUTE(SUBSTITUTE(SUBSTITUTE(SUBSTITUTE(TRIM(E202&amp;""),CHAR(160),"")," ",""),"초등학교","초"),"중학교","중"),"고등학교","고"),"~","~~"),"*","~*"),"?","~?")</f>
      </c>
      <c r="R202" t="str">
        <f>IF(COUNTA(B202:J202)=0,"",IF(AND(O202&lt;&gt;"",P202&lt;&gt;"",Q202&lt;&gt;""),"","입력누락"))</f>
      </c>
    </row>
    <row r="203" customFormat="false" ht="15" hidden="false" customHeight="false" outlineLevel="0" collapsed="false">
      <c r="A203" t="n" s="19">
        <f aca="0">IF(COUNTA(B203:J203)=0,"",ROW()-1)</f>
      </c>
      <c r="B203" s="24"/>
      <c r="C203" s="25"/>
      <c r="D203" s="8"/>
      <c r="E203" s="8"/>
      <c r="F203" s="26"/>
      <c r="G203" s="24"/>
      <c r="H203" s="25"/>
      <c r="I203" s="25"/>
      <c r="J203" s="26"/>
      <c r="K203" t="str" s="15">
        <f aca="0">IF(COUNTA(B203:J203)=0,"",IF(R203&lt;&gt;"","확인필요(입력누락)",IF(COUNTIFS(보유목록!$I$2:$I$3001,"*"&amp;P203&amp;"*",보유목록!$I$2:$I$3001,"*"&amp;Q203&amp;"*",보유목록!$H$2:$H$3001,O203)&gt;0,"있음",IF(COUNTIFS(보유목록!$I$2:$I$3001,"*"&amp;P203&amp;"*",보유목록!$I$2:$I$3001,"*"&amp;Q203&amp;"*")&gt;0,"확인필요(연도다름)",IF(COUNTIFS(보유목록!$I$2:$I$3001,"*"&amp;P203&amp;"*",보유목록!$H$2:$H$3001,O203)&gt;0,"확인필요(같은학교·같은연도)","없음")))))</f>
      </c>
      <c r="L203" t="str" s="16">
        <f aca="0">IF(OR(COUNTA(B203:J203)=0,R203&lt;&gt;""),"",COUNTIFS(보유목록!$I$2:$I$3001,"*"&amp;P203&amp;"*",보유목록!$I$2:$I$3001,"*"&amp;Q203&amp;"*"))</f>
      </c>
      <c r="M203" t="str" s="23">
        <f aca="0">IF(OR(COUNTA(B203:J203)=0,R203&lt;&gt;""),"",IFERROR(LOOKUP(2,1/(ISNUMBER(SEARCH(P203,보유목록!$I$2:$I$3001))*ISNUMBER(SEARCH(Q203,보유목록!$I$2:$I$3001))*(보유목록!$H$2:$H$3001=O203)),보유목록!$B$2:$B$3001),IFERROR(LOOKUP(2,1/(ISNUMBER(SEARCH(P203,보유목록!$I$2:$I$3001))*ISNUMBER(SEARCH(Q203,보유목록!$I$2:$I$3001))),보유목록!$B$2:$B$3001),"")))</f>
      </c>
      <c r="N203" s="25"/>
      <c r="O203" t="str">
        <f>IFERROR(IF(AND(LEN(SUBSTITUTE(SUBSTITUTE(SUBSTITUTE(TRIM(C203&amp;""),CHAR(160),"")," ",""),"년",""))=4,VALUE(SUBSTITUTE(SUBSTITUTE(SUBSTITUTE(TRIM(C203&amp;""),CHAR(160),"")," ",""),"년",""))&gt;=1900,VALUE(SUBSTITUTE(SUBSTITUTE(SUBSTITUTE(TRIM(C203&amp;""),CHAR(160),"")," ",""),"년",""))&lt;=2099,TEXT(VALUE(SUBSTITUTE(SUBSTITUTE(SUBSTITUTE(TRIM(C203&amp;""),CHAR(160),"")," ",""),"년","")),"0000")=SUBSTITUTE(SUBSTITUTE(SUBSTITUTE(TRIM(C203&amp;""),CHAR(160),"")," ",""),"년","")),SUBSTITUTE(SUBSTITUTE(SUBSTITUTE(TRIM(C203&amp;""),CHAR(160),"")," ",""),"년",""),""),"")</f>
      </c>
      <c r="P203" t="str">
        <f>SUBSTITUTE(SUBSTITUTE(SUBSTITUTE(SUBSTITUTE(SUBSTITUTE(SUBSTITUTE(SUBSTITUTE(SUBSTITUTE(TRIM(D203&amp;""),CHAR(160),"")," ",""),"초등학교","초"),"중학교","중"),"고등학교","고"),"~","~~"),"*","~*"),"?","~?")</f>
      </c>
      <c r="Q203" t="str">
        <f>SUBSTITUTE(SUBSTITUTE(SUBSTITUTE(SUBSTITUTE(SUBSTITUTE(SUBSTITUTE(SUBSTITUTE(SUBSTITUTE(TRIM(E203&amp;""),CHAR(160),"")," ",""),"초등학교","초"),"중학교","중"),"고등학교","고"),"~","~~"),"*","~*"),"?","~?")</f>
      </c>
      <c r="R203" t="str">
        <f>IF(COUNTA(B203:J203)=0,"",IF(AND(O203&lt;&gt;"",P203&lt;&gt;"",Q203&lt;&gt;""),"","입력누락"))</f>
      </c>
    </row>
    <row r="204" customFormat="false" ht="15" hidden="false" customHeight="false" outlineLevel="0" collapsed="false">
      <c r="A204" t="n" s="19">
        <f aca="0">IF(COUNTA(B204:J204)=0,"",ROW()-1)</f>
      </c>
      <c r="B204" s="24"/>
      <c r="C204" s="25"/>
      <c r="D204" s="8"/>
      <c r="E204" s="8"/>
      <c r="F204" s="26"/>
      <c r="G204" s="24"/>
      <c r="H204" s="25"/>
      <c r="I204" s="25"/>
      <c r="J204" s="26"/>
      <c r="K204" t="str" s="15">
        <f aca="0">IF(COUNTA(B204:J204)=0,"",IF(R204&lt;&gt;"","확인필요(입력누락)",IF(COUNTIFS(보유목록!$I$2:$I$3001,"*"&amp;P204&amp;"*",보유목록!$I$2:$I$3001,"*"&amp;Q204&amp;"*",보유목록!$H$2:$H$3001,O204)&gt;0,"있음",IF(COUNTIFS(보유목록!$I$2:$I$3001,"*"&amp;P204&amp;"*",보유목록!$I$2:$I$3001,"*"&amp;Q204&amp;"*")&gt;0,"확인필요(연도다름)",IF(COUNTIFS(보유목록!$I$2:$I$3001,"*"&amp;P204&amp;"*",보유목록!$H$2:$H$3001,O204)&gt;0,"확인필요(같은학교·같은연도)","없음")))))</f>
      </c>
      <c r="L204" t="str" s="16">
        <f aca="0">IF(OR(COUNTA(B204:J204)=0,R204&lt;&gt;""),"",COUNTIFS(보유목록!$I$2:$I$3001,"*"&amp;P204&amp;"*",보유목록!$I$2:$I$3001,"*"&amp;Q204&amp;"*"))</f>
      </c>
      <c r="M204" t="str" s="23">
        <f aca="0">IF(OR(COUNTA(B204:J204)=0,R204&lt;&gt;""),"",IFERROR(LOOKUP(2,1/(ISNUMBER(SEARCH(P204,보유목록!$I$2:$I$3001))*ISNUMBER(SEARCH(Q204,보유목록!$I$2:$I$3001))*(보유목록!$H$2:$H$3001=O204)),보유목록!$B$2:$B$3001),IFERROR(LOOKUP(2,1/(ISNUMBER(SEARCH(P204,보유목록!$I$2:$I$3001))*ISNUMBER(SEARCH(Q204,보유목록!$I$2:$I$3001))),보유목록!$B$2:$B$3001),"")))</f>
      </c>
      <c r="N204" s="25"/>
      <c r="O204" t="str">
        <f>IFERROR(IF(AND(LEN(SUBSTITUTE(SUBSTITUTE(SUBSTITUTE(TRIM(C204&amp;""),CHAR(160),"")," ",""),"년",""))=4,VALUE(SUBSTITUTE(SUBSTITUTE(SUBSTITUTE(TRIM(C204&amp;""),CHAR(160),"")," ",""),"년",""))&gt;=1900,VALUE(SUBSTITUTE(SUBSTITUTE(SUBSTITUTE(TRIM(C204&amp;""),CHAR(160),"")," ",""),"년",""))&lt;=2099,TEXT(VALUE(SUBSTITUTE(SUBSTITUTE(SUBSTITUTE(TRIM(C204&amp;""),CHAR(160),"")," ",""),"년","")),"0000")=SUBSTITUTE(SUBSTITUTE(SUBSTITUTE(TRIM(C204&amp;""),CHAR(160),"")," ",""),"년","")),SUBSTITUTE(SUBSTITUTE(SUBSTITUTE(TRIM(C204&amp;""),CHAR(160),"")," ",""),"년",""),""),"")</f>
      </c>
      <c r="P204" t="str">
        <f>SUBSTITUTE(SUBSTITUTE(SUBSTITUTE(SUBSTITUTE(SUBSTITUTE(SUBSTITUTE(SUBSTITUTE(SUBSTITUTE(TRIM(D204&amp;""),CHAR(160),"")," ",""),"초등학교","초"),"중학교","중"),"고등학교","고"),"~","~~"),"*","~*"),"?","~?")</f>
      </c>
      <c r="Q204" t="str">
        <f>SUBSTITUTE(SUBSTITUTE(SUBSTITUTE(SUBSTITUTE(SUBSTITUTE(SUBSTITUTE(SUBSTITUTE(SUBSTITUTE(TRIM(E204&amp;""),CHAR(160),"")," ",""),"초등학교","초"),"중학교","중"),"고등학교","고"),"~","~~"),"*","~*"),"?","~?")</f>
      </c>
      <c r="R204" t="str">
        <f>IF(COUNTA(B204:J204)=0,"",IF(AND(O204&lt;&gt;"",P204&lt;&gt;"",Q204&lt;&gt;""),"","입력누락"))</f>
      </c>
    </row>
    <row r="205" customFormat="false" ht="15" hidden="false" customHeight="false" outlineLevel="0" collapsed="false">
      <c r="A205" t="n" s="19">
        <f aca="0">IF(COUNTA(B205:J205)=0,"",ROW()-1)</f>
      </c>
      <c r="B205" s="24"/>
      <c r="C205" s="25"/>
      <c r="D205" s="8"/>
      <c r="E205" s="8"/>
      <c r="F205" s="26"/>
      <c r="G205" s="24"/>
      <c r="H205" s="25"/>
      <c r="I205" s="25"/>
      <c r="J205" s="26"/>
      <c r="K205" t="str" s="15">
        <f aca="0">IF(COUNTA(B205:J205)=0,"",IF(R205&lt;&gt;"","확인필요(입력누락)",IF(COUNTIFS(보유목록!$I$2:$I$3001,"*"&amp;P205&amp;"*",보유목록!$I$2:$I$3001,"*"&amp;Q205&amp;"*",보유목록!$H$2:$H$3001,O205)&gt;0,"있음",IF(COUNTIFS(보유목록!$I$2:$I$3001,"*"&amp;P205&amp;"*",보유목록!$I$2:$I$3001,"*"&amp;Q205&amp;"*")&gt;0,"확인필요(연도다름)",IF(COUNTIFS(보유목록!$I$2:$I$3001,"*"&amp;P205&amp;"*",보유목록!$H$2:$H$3001,O205)&gt;0,"확인필요(같은학교·같은연도)","없음")))))</f>
      </c>
      <c r="L205" t="str" s="16">
        <f aca="0">IF(OR(COUNTA(B205:J205)=0,R205&lt;&gt;""),"",COUNTIFS(보유목록!$I$2:$I$3001,"*"&amp;P205&amp;"*",보유목록!$I$2:$I$3001,"*"&amp;Q205&amp;"*"))</f>
      </c>
      <c r="M205" t="str" s="23">
        <f aca="0">IF(OR(COUNTA(B205:J205)=0,R205&lt;&gt;""),"",IFERROR(LOOKUP(2,1/(ISNUMBER(SEARCH(P205,보유목록!$I$2:$I$3001))*ISNUMBER(SEARCH(Q205,보유목록!$I$2:$I$3001))*(보유목록!$H$2:$H$3001=O205)),보유목록!$B$2:$B$3001),IFERROR(LOOKUP(2,1/(ISNUMBER(SEARCH(P205,보유목록!$I$2:$I$3001))*ISNUMBER(SEARCH(Q205,보유목록!$I$2:$I$3001))),보유목록!$B$2:$B$3001),"")))</f>
      </c>
      <c r="N205" s="25"/>
      <c r="O205" t="str">
        <f>IFERROR(IF(AND(LEN(SUBSTITUTE(SUBSTITUTE(SUBSTITUTE(TRIM(C205&amp;""),CHAR(160),"")," ",""),"년",""))=4,VALUE(SUBSTITUTE(SUBSTITUTE(SUBSTITUTE(TRIM(C205&amp;""),CHAR(160),"")," ",""),"년",""))&gt;=1900,VALUE(SUBSTITUTE(SUBSTITUTE(SUBSTITUTE(TRIM(C205&amp;""),CHAR(160),"")," ",""),"년",""))&lt;=2099,TEXT(VALUE(SUBSTITUTE(SUBSTITUTE(SUBSTITUTE(TRIM(C205&amp;""),CHAR(160),"")," ",""),"년","")),"0000")=SUBSTITUTE(SUBSTITUTE(SUBSTITUTE(TRIM(C205&amp;""),CHAR(160),"")," ",""),"년","")),SUBSTITUTE(SUBSTITUTE(SUBSTITUTE(TRIM(C205&amp;""),CHAR(160),"")," ",""),"년",""),""),"")</f>
      </c>
      <c r="P205" t="str">
        <f>SUBSTITUTE(SUBSTITUTE(SUBSTITUTE(SUBSTITUTE(SUBSTITUTE(SUBSTITUTE(SUBSTITUTE(SUBSTITUTE(TRIM(D205&amp;""),CHAR(160),"")," ",""),"초등학교","초"),"중학교","중"),"고등학교","고"),"~","~~"),"*","~*"),"?","~?")</f>
      </c>
      <c r="Q205" t="str">
        <f>SUBSTITUTE(SUBSTITUTE(SUBSTITUTE(SUBSTITUTE(SUBSTITUTE(SUBSTITUTE(SUBSTITUTE(SUBSTITUTE(TRIM(E205&amp;""),CHAR(160),"")," ",""),"초등학교","초"),"중학교","중"),"고등학교","고"),"~","~~"),"*","~*"),"?","~?")</f>
      </c>
      <c r="R205" t="str">
        <f>IF(COUNTA(B205:J205)=0,"",IF(AND(O205&lt;&gt;"",P205&lt;&gt;"",Q205&lt;&gt;""),"","입력누락"))</f>
      </c>
    </row>
    <row r="206" customFormat="false" ht="15" hidden="false" customHeight="false" outlineLevel="0" collapsed="false">
      <c r="A206" t="n" s="19">
        <f aca="0">IF(COUNTA(B206:J206)=0,"",ROW()-1)</f>
      </c>
      <c r="B206" s="24"/>
      <c r="C206" s="25"/>
      <c r="D206" s="8"/>
      <c r="E206" s="8"/>
      <c r="F206" s="26"/>
      <c r="G206" s="24"/>
      <c r="H206" s="25"/>
      <c r="I206" s="25"/>
      <c r="J206" s="26"/>
      <c r="K206" t="str" s="15">
        <f aca="0">IF(COUNTA(B206:J206)=0,"",IF(R206&lt;&gt;"","확인필요(입력누락)",IF(COUNTIFS(보유목록!$I$2:$I$3001,"*"&amp;P206&amp;"*",보유목록!$I$2:$I$3001,"*"&amp;Q206&amp;"*",보유목록!$H$2:$H$3001,O206)&gt;0,"있음",IF(COUNTIFS(보유목록!$I$2:$I$3001,"*"&amp;P206&amp;"*",보유목록!$I$2:$I$3001,"*"&amp;Q206&amp;"*")&gt;0,"확인필요(연도다름)",IF(COUNTIFS(보유목록!$I$2:$I$3001,"*"&amp;P206&amp;"*",보유목록!$H$2:$H$3001,O206)&gt;0,"확인필요(같은학교·같은연도)","없음")))))</f>
      </c>
      <c r="L206" t="str" s="16">
        <f aca="0">IF(OR(COUNTA(B206:J206)=0,R206&lt;&gt;""),"",COUNTIFS(보유목록!$I$2:$I$3001,"*"&amp;P206&amp;"*",보유목록!$I$2:$I$3001,"*"&amp;Q206&amp;"*"))</f>
      </c>
      <c r="M206" t="str" s="23">
        <f aca="0">IF(OR(COUNTA(B206:J206)=0,R206&lt;&gt;""),"",IFERROR(LOOKUP(2,1/(ISNUMBER(SEARCH(P206,보유목록!$I$2:$I$3001))*ISNUMBER(SEARCH(Q206,보유목록!$I$2:$I$3001))*(보유목록!$H$2:$H$3001=O206)),보유목록!$B$2:$B$3001),IFERROR(LOOKUP(2,1/(ISNUMBER(SEARCH(P206,보유목록!$I$2:$I$3001))*ISNUMBER(SEARCH(Q206,보유목록!$I$2:$I$3001))),보유목록!$B$2:$B$3001),"")))</f>
      </c>
      <c r="N206" s="25"/>
      <c r="O206" t="str">
        <f>IFERROR(IF(AND(LEN(SUBSTITUTE(SUBSTITUTE(SUBSTITUTE(TRIM(C206&amp;""),CHAR(160),"")," ",""),"년",""))=4,VALUE(SUBSTITUTE(SUBSTITUTE(SUBSTITUTE(TRIM(C206&amp;""),CHAR(160),"")," ",""),"년",""))&gt;=1900,VALUE(SUBSTITUTE(SUBSTITUTE(SUBSTITUTE(TRIM(C206&amp;""),CHAR(160),"")," ",""),"년",""))&lt;=2099,TEXT(VALUE(SUBSTITUTE(SUBSTITUTE(SUBSTITUTE(TRIM(C206&amp;""),CHAR(160),"")," ",""),"년","")),"0000")=SUBSTITUTE(SUBSTITUTE(SUBSTITUTE(TRIM(C206&amp;""),CHAR(160),"")," ",""),"년","")),SUBSTITUTE(SUBSTITUTE(SUBSTITUTE(TRIM(C206&amp;""),CHAR(160),"")," ",""),"년",""),""),"")</f>
      </c>
      <c r="P206" t="str">
        <f>SUBSTITUTE(SUBSTITUTE(SUBSTITUTE(SUBSTITUTE(SUBSTITUTE(SUBSTITUTE(SUBSTITUTE(SUBSTITUTE(TRIM(D206&amp;""),CHAR(160),"")," ",""),"초등학교","초"),"중학교","중"),"고등학교","고"),"~","~~"),"*","~*"),"?","~?")</f>
      </c>
      <c r="Q206" t="str">
        <f>SUBSTITUTE(SUBSTITUTE(SUBSTITUTE(SUBSTITUTE(SUBSTITUTE(SUBSTITUTE(SUBSTITUTE(SUBSTITUTE(TRIM(E206&amp;""),CHAR(160),"")," ",""),"초등학교","초"),"중학교","중"),"고등학교","고"),"~","~~"),"*","~*"),"?","~?")</f>
      </c>
      <c r="R206" t="str">
        <f>IF(COUNTA(B206:J206)=0,"",IF(AND(O206&lt;&gt;"",P206&lt;&gt;"",Q206&lt;&gt;""),"","입력누락"))</f>
      </c>
    </row>
    <row r="207" customFormat="false" ht="15" hidden="false" customHeight="false" outlineLevel="0" collapsed="false">
      <c r="A207" t="n" s="19">
        <f aca="0">IF(COUNTA(B207:J207)=0,"",ROW()-1)</f>
      </c>
      <c r="B207" s="24"/>
      <c r="C207" s="25"/>
      <c r="D207" s="8"/>
      <c r="E207" s="8"/>
      <c r="F207" s="26"/>
      <c r="G207" s="24"/>
      <c r="H207" s="25"/>
      <c r="I207" s="25"/>
      <c r="J207" s="26"/>
      <c r="K207" t="str" s="15">
        <f aca="0">IF(COUNTA(B207:J207)=0,"",IF(R207&lt;&gt;"","확인필요(입력누락)",IF(COUNTIFS(보유목록!$I$2:$I$3001,"*"&amp;P207&amp;"*",보유목록!$I$2:$I$3001,"*"&amp;Q207&amp;"*",보유목록!$H$2:$H$3001,O207)&gt;0,"있음",IF(COUNTIFS(보유목록!$I$2:$I$3001,"*"&amp;P207&amp;"*",보유목록!$I$2:$I$3001,"*"&amp;Q207&amp;"*")&gt;0,"확인필요(연도다름)",IF(COUNTIFS(보유목록!$I$2:$I$3001,"*"&amp;P207&amp;"*",보유목록!$H$2:$H$3001,O207)&gt;0,"확인필요(같은학교·같은연도)","없음")))))</f>
      </c>
      <c r="L207" t="str" s="16">
        <f aca="0">IF(OR(COUNTA(B207:J207)=0,R207&lt;&gt;""),"",COUNTIFS(보유목록!$I$2:$I$3001,"*"&amp;P207&amp;"*",보유목록!$I$2:$I$3001,"*"&amp;Q207&amp;"*"))</f>
      </c>
      <c r="M207" t="str" s="23">
        <f aca="0">IF(OR(COUNTA(B207:J207)=0,R207&lt;&gt;""),"",IFERROR(LOOKUP(2,1/(ISNUMBER(SEARCH(P207,보유목록!$I$2:$I$3001))*ISNUMBER(SEARCH(Q207,보유목록!$I$2:$I$3001))*(보유목록!$H$2:$H$3001=O207)),보유목록!$B$2:$B$3001),IFERROR(LOOKUP(2,1/(ISNUMBER(SEARCH(P207,보유목록!$I$2:$I$3001))*ISNUMBER(SEARCH(Q207,보유목록!$I$2:$I$3001))),보유목록!$B$2:$B$3001),"")))</f>
      </c>
      <c r="N207" s="25"/>
      <c r="O207" t="str">
        <f>IFERROR(IF(AND(LEN(SUBSTITUTE(SUBSTITUTE(SUBSTITUTE(TRIM(C207&amp;""),CHAR(160),"")," ",""),"년",""))=4,VALUE(SUBSTITUTE(SUBSTITUTE(SUBSTITUTE(TRIM(C207&amp;""),CHAR(160),"")," ",""),"년",""))&gt;=1900,VALUE(SUBSTITUTE(SUBSTITUTE(SUBSTITUTE(TRIM(C207&amp;""),CHAR(160),"")," ",""),"년",""))&lt;=2099,TEXT(VALUE(SUBSTITUTE(SUBSTITUTE(SUBSTITUTE(TRIM(C207&amp;""),CHAR(160),"")," ",""),"년","")),"0000")=SUBSTITUTE(SUBSTITUTE(SUBSTITUTE(TRIM(C207&amp;""),CHAR(160),"")," ",""),"년","")),SUBSTITUTE(SUBSTITUTE(SUBSTITUTE(TRIM(C207&amp;""),CHAR(160),"")," ",""),"년",""),""),"")</f>
      </c>
      <c r="P207" t="str">
        <f>SUBSTITUTE(SUBSTITUTE(SUBSTITUTE(SUBSTITUTE(SUBSTITUTE(SUBSTITUTE(SUBSTITUTE(SUBSTITUTE(TRIM(D207&amp;""),CHAR(160),"")," ",""),"초등학교","초"),"중학교","중"),"고등학교","고"),"~","~~"),"*","~*"),"?","~?")</f>
      </c>
      <c r="Q207" t="str">
        <f>SUBSTITUTE(SUBSTITUTE(SUBSTITUTE(SUBSTITUTE(SUBSTITUTE(SUBSTITUTE(SUBSTITUTE(SUBSTITUTE(TRIM(E207&amp;""),CHAR(160),"")," ",""),"초등학교","초"),"중학교","중"),"고등학교","고"),"~","~~"),"*","~*"),"?","~?")</f>
      </c>
      <c r="R207" t="str">
        <f>IF(COUNTA(B207:J207)=0,"",IF(AND(O207&lt;&gt;"",P207&lt;&gt;"",Q207&lt;&gt;""),"","입력누락"))</f>
      </c>
    </row>
    <row r="208" customFormat="false" ht="15" hidden="false" customHeight="false" outlineLevel="0" collapsed="false">
      <c r="A208" t="n" s="19">
        <f aca="0">IF(COUNTA(B208:J208)=0,"",ROW()-1)</f>
      </c>
      <c r="B208" s="24"/>
      <c r="C208" s="25"/>
      <c r="D208" s="8"/>
      <c r="E208" s="8"/>
      <c r="F208" s="26"/>
      <c r="G208" s="24"/>
      <c r="H208" s="25"/>
      <c r="I208" s="25"/>
      <c r="J208" s="26"/>
      <c r="K208" t="str" s="15">
        <f aca="0">IF(COUNTA(B208:J208)=0,"",IF(R208&lt;&gt;"","확인필요(입력누락)",IF(COUNTIFS(보유목록!$I$2:$I$3001,"*"&amp;P208&amp;"*",보유목록!$I$2:$I$3001,"*"&amp;Q208&amp;"*",보유목록!$H$2:$H$3001,O208)&gt;0,"있음",IF(COUNTIFS(보유목록!$I$2:$I$3001,"*"&amp;P208&amp;"*",보유목록!$I$2:$I$3001,"*"&amp;Q208&amp;"*")&gt;0,"확인필요(연도다름)",IF(COUNTIFS(보유목록!$I$2:$I$3001,"*"&amp;P208&amp;"*",보유목록!$H$2:$H$3001,O208)&gt;0,"확인필요(같은학교·같은연도)","없음")))))</f>
      </c>
      <c r="L208" t="str" s="16">
        <f aca="0">IF(OR(COUNTA(B208:J208)=0,R208&lt;&gt;""),"",COUNTIFS(보유목록!$I$2:$I$3001,"*"&amp;P208&amp;"*",보유목록!$I$2:$I$3001,"*"&amp;Q208&amp;"*"))</f>
      </c>
      <c r="M208" t="str" s="23">
        <f aca="0">IF(OR(COUNTA(B208:J208)=0,R208&lt;&gt;""),"",IFERROR(LOOKUP(2,1/(ISNUMBER(SEARCH(P208,보유목록!$I$2:$I$3001))*ISNUMBER(SEARCH(Q208,보유목록!$I$2:$I$3001))*(보유목록!$H$2:$H$3001=O208)),보유목록!$B$2:$B$3001),IFERROR(LOOKUP(2,1/(ISNUMBER(SEARCH(P208,보유목록!$I$2:$I$3001))*ISNUMBER(SEARCH(Q208,보유목록!$I$2:$I$3001))),보유목록!$B$2:$B$3001),"")))</f>
      </c>
      <c r="N208" s="25"/>
      <c r="O208" t="str">
        <f>IFERROR(IF(AND(LEN(SUBSTITUTE(SUBSTITUTE(SUBSTITUTE(TRIM(C208&amp;""),CHAR(160),"")," ",""),"년",""))=4,VALUE(SUBSTITUTE(SUBSTITUTE(SUBSTITUTE(TRIM(C208&amp;""),CHAR(160),"")," ",""),"년",""))&gt;=1900,VALUE(SUBSTITUTE(SUBSTITUTE(SUBSTITUTE(TRIM(C208&amp;""),CHAR(160),"")," ",""),"년",""))&lt;=2099,TEXT(VALUE(SUBSTITUTE(SUBSTITUTE(SUBSTITUTE(TRIM(C208&amp;""),CHAR(160),"")," ",""),"년","")),"0000")=SUBSTITUTE(SUBSTITUTE(SUBSTITUTE(TRIM(C208&amp;""),CHAR(160),"")," ",""),"년","")),SUBSTITUTE(SUBSTITUTE(SUBSTITUTE(TRIM(C208&amp;""),CHAR(160),"")," ",""),"년",""),""),"")</f>
      </c>
      <c r="P208" t="str">
        <f>SUBSTITUTE(SUBSTITUTE(SUBSTITUTE(SUBSTITUTE(SUBSTITUTE(SUBSTITUTE(SUBSTITUTE(SUBSTITUTE(TRIM(D208&amp;""),CHAR(160),"")," ",""),"초등학교","초"),"중학교","중"),"고등학교","고"),"~","~~"),"*","~*"),"?","~?")</f>
      </c>
      <c r="Q208" t="str">
        <f>SUBSTITUTE(SUBSTITUTE(SUBSTITUTE(SUBSTITUTE(SUBSTITUTE(SUBSTITUTE(SUBSTITUTE(SUBSTITUTE(TRIM(E208&amp;""),CHAR(160),"")," ",""),"초등학교","초"),"중학교","중"),"고등학교","고"),"~","~~"),"*","~*"),"?","~?")</f>
      </c>
      <c r="R208" t="str">
        <f>IF(COUNTA(B208:J208)=0,"",IF(AND(O208&lt;&gt;"",P208&lt;&gt;"",Q208&lt;&gt;""),"","입력누락"))</f>
      </c>
    </row>
    <row r="209" customFormat="false" ht="15" hidden="false" customHeight="false" outlineLevel="0" collapsed="false">
      <c r="A209" t="n" s="19">
        <f aca="0">IF(COUNTA(B209:J209)=0,"",ROW()-1)</f>
      </c>
      <c r="B209" s="24"/>
      <c r="C209" s="25"/>
      <c r="D209" s="8"/>
      <c r="E209" s="8"/>
      <c r="F209" s="26"/>
      <c r="G209" s="24"/>
      <c r="H209" s="25"/>
      <c r="I209" s="25"/>
      <c r="J209" s="26"/>
      <c r="K209" t="str" s="15">
        <f aca="0">IF(COUNTA(B209:J209)=0,"",IF(R209&lt;&gt;"","확인필요(입력누락)",IF(COUNTIFS(보유목록!$I$2:$I$3001,"*"&amp;P209&amp;"*",보유목록!$I$2:$I$3001,"*"&amp;Q209&amp;"*",보유목록!$H$2:$H$3001,O209)&gt;0,"있음",IF(COUNTIFS(보유목록!$I$2:$I$3001,"*"&amp;P209&amp;"*",보유목록!$I$2:$I$3001,"*"&amp;Q209&amp;"*")&gt;0,"확인필요(연도다름)",IF(COUNTIFS(보유목록!$I$2:$I$3001,"*"&amp;P209&amp;"*",보유목록!$H$2:$H$3001,O209)&gt;0,"확인필요(같은학교·같은연도)","없음")))))</f>
      </c>
      <c r="L209" t="str" s="16">
        <f aca="0">IF(OR(COUNTA(B209:J209)=0,R209&lt;&gt;""),"",COUNTIFS(보유목록!$I$2:$I$3001,"*"&amp;P209&amp;"*",보유목록!$I$2:$I$3001,"*"&amp;Q209&amp;"*"))</f>
      </c>
      <c r="M209" t="str" s="23">
        <f aca="0">IF(OR(COUNTA(B209:J209)=0,R209&lt;&gt;""),"",IFERROR(LOOKUP(2,1/(ISNUMBER(SEARCH(P209,보유목록!$I$2:$I$3001))*ISNUMBER(SEARCH(Q209,보유목록!$I$2:$I$3001))*(보유목록!$H$2:$H$3001=O209)),보유목록!$B$2:$B$3001),IFERROR(LOOKUP(2,1/(ISNUMBER(SEARCH(P209,보유목록!$I$2:$I$3001))*ISNUMBER(SEARCH(Q209,보유목록!$I$2:$I$3001))),보유목록!$B$2:$B$3001),"")))</f>
      </c>
      <c r="N209" s="25"/>
      <c r="O209" t="str">
        <f>IFERROR(IF(AND(LEN(SUBSTITUTE(SUBSTITUTE(SUBSTITUTE(TRIM(C209&amp;""),CHAR(160),"")," ",""),"년",""))=4,VALUE(SUBSTITUTE(SUBSTITUTE(SUBSTITUTE(TRIM(C209&amp;""),CHAR(160),"")," ",""),"년",""))&gt;=1900,VALUE(SUBSTITUTE(SUBSTITUTE(SUBSTITUTE(TRIM(C209&amp;""),CHAR(160),"")," ",""),"년",""))&lt;=2099,TEXT(VALUE(SUBSTITUTE(SUBSTITUTE(SUBSTITUTE(TRIM(C209&amp;""),CHAR(160),"")," ",""),"년","")),"0000")=SUBSTITUTE(SUBSTITUTE(SUBSTITUTE(TRIM(C209&amp;""),CHAR(160),"")," ",""),"년","")),SUBSTITUTE(SUBSTITUTE(SUBSTITUTE(TRIM(C209&amp;""),CHAR(160),"")," ",""),"년",""),""),"")</f>
      </c>
      <c r="P209" t="str">
        <f>SUBSTITUTE(SUBSTITUTE(SUBSTITUTE(SUBSTITUTE(SUBSTITUTE(SUBSTITUTE(SUBSTITUTE(SUBSTITUTE(TRIM(D209&amp;""),CHAR(160),"")," ",""),"초등학교","초"),"중학교","중"),"고등학교","고"),"~","~~"),"*","~*"),"?","~?")</f>
      </c>
      <c r="Q209" t="str">
        <f>SUBSTITUTE(SUBSTITUTE(SUBSTITUTE(SUBSTITUTE(SUBSTITUTE(SUBSTITUTE(SUBSTITUTE(SUBSTITUTE(TRIM(E209&amp;""),CHAR(160),"")," ",""),"초등학교","초"),"중학교","중"),"고등학교","고"),"~","~~"),"*","~*"),"?","~?")</f>
      </c>
      <c r="R209" t="str">
        <f>IF(COUNTA(B209:J209)=0,"",IF(AND(O209&lt;&gt;"",P209&lt;&gt;"",Q209&lt;&gt;""),"","입력누락"))</f>
      </c>
    </row>
    <row r="210" customFormat="false" ht="15" hidden="false" customHeight="false" outlineLevel="0" collapsed="false">
      <c r="A210" t="n" s="19">
        <f aca="0">IF(COUNTA(B210:J210)=0,"",ROW()-1)</f>
      </c>
      <c r="B210" s="24"/>
      <c r="C210" s="25"/>
      <c r="D210" s="8"/>
      <c r="E210" s="8"/>
      <c r="F210" s="26"/>
      <c r="G210" s="24"/>
      <c r="H210" s="25"/>
      <c r="I210" s="25"/>
      <c r="J210" s="26"/>
      <c r="K210" t="str" s="15">
        <f aca="0">IF(COUNTA(B210:J210)=0,"",IF(R210&lt;&gt;"","확인필요(입력누락)",IF(COUNTIFS(보유목록!$I$2:$I$3001,"*"&amp;P210&amp;"*",보유목록!$I$2:$I$3001,"*"&amp;Q210&amp;"*",보유목록!$H$2:$H$3001,O210)&gt;0,"있음",IF(COUNTIFS(보유목록!$I$2:$I$3001,"*"&amp;P210&amp;"*",보유목록!$I$2:$I$3001,"*"&amp;Q210&amp;"*")&gt;0,"확인필요(연도다름)",IF(COUNTIFS(보유목록!$I$2:$I$3001,"*"&amp;P210&amp;"*",보유목록!$H$2:$H$3001,O210)&gt;0,"확인필요(같은학교·같은연도)","없음")))))</f>
      </c>
      <c r="L210" t="str" s="16">
        <f aca="0">IF(OR(COUNTA(B210:J210)=0,R210&lt;&gt;""),"",COUNTIFS(보유목록!$I$2:$I$3001,"*"&amp;P210&amp;"*",보유목록!$I$2:$I$3001,"*"&amp;Q210&amp;"*"))</f>
      </c>
      <c r="M210" t="str" s="23">
        <f aca="0">IF(OR(COUNTA(B210:J210)=0,R210&lt;&gt;""),"",IFERROR(LOOKUP(2,1/(ISNUMBER(SEARCH(P210,보유목록!$I$2:$I$3001))*ISNUMBER(SEARCH(Q210,보유목록!$I$2:$I$3001))*(보유목록!$H$2:$H$3001=O210)),보유목록!$B$2:$B$3001),IFERROR(LOOKUP(2,1/(ISNUMBER(SEARCH(P210,보유목록!$I$2:$I$3001))*ISNUMBER(SEARCH(Q210,보유목록!$I$2:$I$3001))),보유목록!$B$2:$B$3001),"")))</f>
      </c>
      <c r="N210" s="25"/>
      <c r="O210" t="str">
        <f>IFERROR(IF(AND(LEN(SUBSTITUTE(SUBSTITUTE(SUBSTITUTE(TRIM(C210&amp;""),CHAR(160),"")," ",""),"년",""))=4,VALUE(SUBSTITUTE(SUBSTITUTE(SUBSTITUTE(TRIM(C210&amp;""),CHAR(160),"")," ",""),"년",""))&gt;=1900,VALUE(SUBSTITUTE(SUBSTITUTE(SUBSTITUTE(TRIM(C210&amp;""),CHAR(160),"")," ",""),"년",""))&lt;=2099,TEXT(VALUE(SUBSTITUTE(SUBSTITUTE(SUBSTITUTE(TRIM(C210&amp;""),CHAR(160),"")," ",""),"년","")),"0000")=SUBSTITUTE(SUBSTITUTE(SUBSTITUTE(TRIM(C210&amp;""),CHAR(160),"")," ",""),"년","")),SUBSTITUTE(SUBSTITUTE(SUBSTITUTE(TRIM(C210&amp;""),CHAR(160),"")," ",""),"년",""),""),"")</f>
      </c>
      <c r="P210" t="str">
        <f>SUBSTITUTE(SUBSTITUTE(SUBSTITUTE(SUBSTITUTE(SUBSTITUTE(SUBSTITUTE(SUBSTITUTE(SUBSTITUTE(TRIM(D210&amp;""),CHAR(160),"")," ",""),"초등학교","초"),"중학교","중"),"고등학교","고"),"~","~~"),"*","~*"),"?","~?")</f>
      </c>
      <c r="Q210" t="str">
        <f>SUBSTITUTE(SUBSTITUTE(SUBSTITUTE(SUBSTITUTE(SUBSTITUTE(SUBSTITUTE(SUBSTITUTE(SUBSTITUTE(TRIM(E210&amp;""),CHAR(160),"")," ",""),"초등학교","초"),"중학교","중"),"고등학교","고"),"~","~~"),"*","~*"),"?","~?")</f>
      </c>
      <c r="R210" t="str">
        <f>IF(COUNTA(B210:J210)=0,"",IF(AND(O210&lt;&gt;"",P210&lt;&gt;"",Q210&lt;&gt;""),"","입력누락"))</f>
      </c>
    </row>
    <row r="211" customFormat="false" ht="15" hidden="false" customHeight="false" outlineLevel="0" collapsed="false">
      <c r="A211" t="n" s="19">
        <f aca="0">IF(COUNTA(B211:J211)=0,"",ROW()-1)</f>
      </c>
      <c r="B211" s="24"/>
      <c r="C211" s="25"/>
      <c r="D211" s="8"/>
      <c r="E211" s="8"/>
      <c r="F211" s="26"/>
      <c r="G211" s="24"/>
      <c r="H211" s="25"/>
      <c r="I211" s="25"/>
      <c r="J211" s="26"/>
      <c r="K211" t="str" s="15">
        <f aca="0">IF(COUNTA(B211:J211)=0,"",IF(R211&lt;&gt;"","확인필요(입력누락)",IF(COUNTIFS(보유목록!$I$2:$I$3001,"*"&amp;P211&amp;"*",보유목록!$I$2:$I$3001,"*"&amp;Q211&amp;"*",보유목록!$H$2:$H$3001,O211)&gt;0,"있음",IF(COUNTIFS(보유목록!$I$2:$I$3001,"*"&amp;P211&amp;"*",보유목록!$I$2:$I$3001,"*"&amp;Q211&amp;"*")&gt;0,"확인필요(연도다름)",IF(COUNTIFS(보유목록!$I$2:$I$3001,"*"&amp;P211&amp;"*",보유목록!$H$2:$H$3001,O211)&gt;0,"확인필요(같은학교·같은연도)","없음")))))</f>
      </c>
      <c r="L211" t="str" s="16">
        <f aca="0">IF(OR(COUNTA(B211:J211)=0,R211&lt;&gt;""),"",COUNTIFS(보유목록!$I$2:$I$3001,"*"&amp;P211&amp;"*",보유목록!$I$2:$I$3001,"*"&amp;Q211&amp;"*"))</f>
      </c>
      <c r="M211" t="str" s="23">
        <f aca="0">IF(OR(COUNTA(B211:J211)=0,R211&lt;&gt;""),"",IFERROR(LOOKUP(2,1/(ISNUMBER(SEARCH(P211,보유목록!$I$2:$I$3001))*ISNUMBER(SEARCH(Q211,보유목록!$I$2:$I$3001))*(보유목록!$H$2:$H$3001=O211)),보유목록!$B$2:$B$3001),IFERROR(LOOKUP(2,1/(ISNUMBER(SEARCH(P211,보유목록!$I$2:$I$3001))*ISNUMBER(SEARCH(Q211,보유목록!$I$2:$I$3001))),보유목록!$B$2:$B$3001),"")))</f>
      </c>
      <c r="N211" s="25"/>
      <c r="O211" t="str">
        <f>IFERROR(IF(AND(LEN(SUBSTITUTE(SUBSTITUTE(SUBSTITUTE(TRIM(C211&amp;""),CHAR(160),"")," ",""),"년",""))=4,VALUE(SUBSTITUTE(SUBSTITUTE(SUBSTITUTE(TRIM(C211&amp;""),CHAR(160),"")," ",""),"년",""))&gt;=1900,VALUE(SUBSTITUTE(SUBSTITUTE(SUBSTITUTE(TRIM(C211&amp;""),CHAR(160),"")," ",""),"년",""))&lt;=2099,TEXT(VALUE(SUBSTITUTE(SUBSTITUTE(SUBSTITUTE(TRIM(C211&amp;""),CHAR(160),"")," ",""),"년","")),"0000")=SUBSTITUTE(SUBSTITUTE(SUBSTITUTE(TRIM(C211&amp;""),CHAR(160),"")," ",""),"년","")),SUBSTITUTE(SUBSTITUTE(SUBSTITUTE(TRIM(C211&amp;""),CHAR(160),"")," ",""),"년",""),""),"")</f>
      </c>
      <c r="P211" t="str">
        <f>SUBSTITUTE(SUBSTITUTE(SUBSTITUTE(SUBSTITUTE(SUBSTITUTE(SUBSTITUTE(SUBSTITUTE(SUBSTITUTE(TRIM(D211&amp;""),CHAR(160),"")," ",""),"초등학교","초"),"중학교","중"),"고등학교","고"),"~","~~"),"*","~*"),"?","~?")</f>
      </c>
      <c r="Q211" t="str">
        <f>SUBSTITUTE(SUBSTITUTE(SUBSTITUTE(SUBSTITUTE(SUBSTITUTE(SUBSTITUTE(SUBSTITUTE(SUBSTITUTE(TRIM(E211&amp;""),CHAR(160),"")," ",""),"초등학교","초"),"중학교","중"),"고등학교","고"),"~","~~"),"*","~*"),"?","~?")</f>
      </c>
      <c r="R211" t="str">
        <f>IF(COUNTA(B211:J211)=0,"",IF(AND(O211&lt;&gt;"",P211&lt;&gt;"",Q211&lt;&gt;""),"","입력누락"))</f>
      </c>
    </row>
    <row r="212" customFormat="false" ht="15" hidden="false" customHeight="false" outlineLevel="0" collapsed="false">
      <c r="A212" t="n" s="19">
        <f aca="0">IF(COUNTA(B212:J212)=0,"",ROW()-1)</f>
      </c>
      <c r="B212" s="24"/>
      <c r="C212" s="25"/>
      <c r="D212" s="8"/>
      <c r="E212" s="8"/>
      <c r="F212" s="26"/>
      <c r="G212" s="24"/>
      <c r="H212" s="25"/>
      <c r="I212" s="25"/>
      <c r="J212" s="26"/>
      <c r="K212" t="str" s="15">
        <f aca="0">IF(COUNTA(B212:J212)=0,"",IF(R212&lt;&gt;"","확인필요(입력누락)",IF(COUNTIFS(보유목록!$I$2:$I$3001,"*"&amp;P212&amp;"*",보유목록!$I$2:$I$3001,"*"&amp;Q212&amp;"*",보유목록!$H$2:$H$3001,O212)&gt;0,"있음",IF(COUNTIFS(보유목록!$I$2:$I$3001,"*"&amp;P212&amp;"*",보유목록!$I$2:$I$3001,"*"&amp;Q212&amp;"*")&gt;0,"확인필요(연도다름)",IF(COUNTIFS(보유목록!$I$2:$I$3001,"*"&amp;P212&amp;"*",보유목록!$H$2:$H$3001,O212)&gt;0,"확인필요(같은학교·같은연도)","없음")))))</f>
      </c>
      <c r="L212" t="str" s="16">
        <f aca="0">IF(OR(COUNTA(B212:J212)=0,R212&lt;&gt;""),"",COUNTIFS(보유목록!$I$2:$I$3001,"*"&amp;P212&amp;"*",보유목록!$I$2:$I$3001,"*"&amp;Q212&amp;"*"))</f>
      </c>
      <c r="M212" t="str" s="23">
        <f aca="0">IF(OR(COUNTA(B212:J212)=0,R212&lt;&gt;""),"",IFERROR(LOOKUP(2,1/(ISNUMBER(SEARCH(P212,보유목록!$I$2:$I$3001))*ISNUMBER(SEARCH(Q212,보유목록!$I$2:$I$3001))*(보유목록!$H$2:$H$3001=O212)),보유목록!$B$2:$B$3001),IFERROR(LOOKUP(2,1/(ISNUMBER(SEARCH(P212,보유목록!$I$2:$I$3001))*ISNUMBER(SEARCH(Q212,보유목록!$I$2:$I$3001))),보유목록!$B$2:$B$3001),"")))</f>
      </c>
      <c r="N212" s="25"/>
      <c r="O212" t="str">
        <f>IFERROR(IF(AND(LEN(SUBSTITUTE(SUBSTITUTE(SUBSTITUTE(TRIM(C212&amp;""),CHAR(160),"")," ",""),"년",""))=4,VALUE(SUBSTITUTE(SUBSTITUTE(SUBSTITUTE(TRIM(C212&amp;""),CHAR(160),"")," ",""),"년",""))&gt;=1900,VALUE(SUBSTITUTE(SUBSTITUTE(SUBSTITUTE(TRIM(C212&amp;""),CHAR(160),"")," ",""),"년",""))&lt;=2099,TEXT(VALUE(SUBSTITUTE(SUBSTITUTE(SUBSTITUTE(TRIM(C212&amp;""),CHAR(160),"")," ",""),"년","")),"0000")=SUBSTITUTE(SUBSTITUTE(SUBSTITUTE(TRIM(C212&amp;""),CHAR(160),"")," ",""),"년","")),SUBSTITUTE(SUBSTITUTE(SUBSTITUTE(TRIM(C212&amp;""),CHAR(160),"")," ",""),"년",""),""),"")</f>
      </c>
      <c r="P212" t="str">
        <f>SUBSTITUTE(SUBSTITUTE(SUBSTITUTE(SUBSTITUTE(SUBSTITUTE(SUBSTITUTE(SUBSTITUTE(SUBSTITUTE(TRIM(D212&amp;""),CHAR(160),"")," ",""),"초등학교","초"),"중학교","중"),"고등학교","고"),"~","~~"),"*","~*"),"?","~?")</f>
      </c>
      <c r="Q212" t="str">
        <f>SUBSTITUTE(SUBSTITUTE(SUBSTITUTE(SUBSTITUTE(SUBSTITUTE(SUBSTITUTE(SUBSTITUTE(SUBSTITUTE(TRIM(E212&amp;""),CHAR(160),"")," ",""),"초등학교","초"),"중학교","중"),"고등학교","고"),"~","~~"),"*","~*"),"?","~?")</f>
      </c>
      <c r="R212" t="str">
        <f>IF(COUNTA(B212:J212)=0,"",IF(AND(O212&lt;&gt;"",P212&lt;&gt;"",Q212&lt;&gt;""),"","입력누락"))</f>
      </c>
    </row>
    <row r="213" customFormat="false" ht="15" hidden="false" customHeight="false" outlineLevel="0" collapsed="false">
      <c r="A213" t="n" s="19">
        <f aca="0">IF(COUNTA(B213:J213)=0,"",ROW()-1)</f>
      </c>
      <c r="B213" s="24"/>
      <c r="C213" s="25"/>
      <c r="D213" s="8"/>
      <c r="E213" s="8"/>
      <c r="F213" s="26"/>
      <c r="G213" s="24"/>
      <c r="H213" s="25"/>
      <c r="I213" s="25"/>
      <c r="J213" s="26"/>
      <c r="K213" t="str" s="15">
        <f aca="0">IF(COUNTA(B213:J213)=0,"",IF(R213&lt;&gt;"","확인필요(입력누락)",IF(COUNTIFS(보유목록!$I$2:$I$3001,"*"&amp;P213&amp;"*",보유목록!$I$2:$I$3001,"*"&amp;Q213&amp;"*",보유목록!$H$2:$H$3001,O213)&gt;0,"있음",IF(COUNTIFS(보유목록!$I$2:$I$3001,"*"&amp;P213&amp;"*",보유목록!$I$2:$I$3001,"*"&amp;Q213&amp;"*")&gt;0,"확인필요(연도다름)",IF(COUNTIFS(보유목록!$I$2:$I$3001,"*"&amp;P213&amp;"*",보유목록!$H$2:$H$3001,O213)&gt;0,"확인필요(같은학교·같은연도)","없음")))))</f>
      </c>
      <c r="L213" t="str" s="16">
        <f aca="0">IF(OR(COUNTA(B213:J213)=0,R213&lt;&gt;""),"",COUNTIFS(보유목록!$I$2:$I$3001,"*"&amp;P213&amp;"*",보유목록!$I$2:$I$3001,"*"&amp;Q213&amp;"*"))</f>
      </c>
      <c r="M213" t="str" s="23">
        <f aca="0">IF(OR(COUNTA(B213:J213)=0,R213&lt;&gt;""),"",IFERROR(LOOKUP(2,1/(ISNUMBER(SEARCH(P213,보유목록!$I$2:$I$3001))*ISNUMBER(SEARCH(Q213,보유목록!$I$2:$I$3001))*(보유목록!$H$2:$H$3001=O213)),보유목록!$B$2:$B$3001),IFERROR(LOOKUP(2,1/(ISNUMBER(SEARCH(P213,보유목록!$I$2:$I$3001))*ISNUMBER(SEARCH(Q213,보유목록!$I$2:$I$3001))),보유목록!$B$2:$B$3001),"")))</f>
      </c>
      <c r="N213" s="25"/>
      <c r="O213" t="str">
        <f>IFERROR(IF(AND(LEN(SUBSTITUTE(SUBSTITUTE(SUBSTITUTE(TRIM(C213&amp;""),CHAR(160),"")," ",""),"년",""))=4,VALUE(SUBSTITUTE(SUBSTITUTE(SUBSTITUTE(TRIM(C213&amp;""),CHAR(160),"")," ",""),"년",""))&gt;=1900,VALUE(SUBSTITUTE(SUBSTITUTE(SUBSTITUTE(TRIM(C213&amp;""),CHAR(160),"")," ",""),"년",""))&lt;=2099,TEXT(VALUE(SUBSTITUTE(SUBSTITUTE(SUBSTITUTE(TRIM(C213&amp;""),CHAR(160),"")," ",""),"년","")),"0000")=SUBSTITUTE(SUBSTITUTE(SUBSTITUTE(TRIM(C213&amp;""),CHAR(160),"")," ",""),"년","")),SUBSTITUTE(SUBSTITUTE(SUBSTITUTE(TRIM(C213&amp;""),CHAR(160),"")," ",""),"년",""),""),"")</f>
      </c>
      <c r="P213" t="str">
        <f>SUBSTITUTE(SUBSTITUTE(SUBSTITUTE(SUBSTITUTE(SUBSTITUTE(SUBSTITUTE(SUBSTITUTE(SUBSTITUTE(TRIM(D213&amp;""),CHAR(160),"")," ",""),"초등학교","초"),"중학교","중"),"고등학교","고"),"~","~~"),"*","~*"),"?","~?")</f>
      </c>
      <c r="Q213" t="str">
        <f>SUBSTITUTE(SUBSTITUTE(SUBSTITUTE(SUBSTITUTE(SUBSTITUTE(SUBSTITUTE(SUBSTITUTE(SUBSTITUTE(TRIM(E213&amp;""),CHAR(160),"")," ",""),"초등학교","초"),"중학교","중"),"고등학교","고"),"~","~~"),"*","~*"),"?","~?")</f>
      </c>
      <c r="R213" t="str">
        <f>IF(COUNTA(B213:J213)=0,"",IF(AND(O213&lt;&gt;"",P213&lt;&gt;"",Q213&lt;&gt;""),"","입력누락"))</f>
      </c>
    </row>
    <row r="214" customFormat="false" ht="15" hidden="false" customHeight="false" outlineLevel="0" collapsed="false">
      <c r="A214" t="n" s="19">
        <f aca="0">IF(COUNTA(B214:J214)=0,"",ROW()-1)</f>
      </c>
      <c r="B214" s="24"/>
      <c r="C214" s="25"/>
      <c r="D214" s="8"/>
      <c r="E214" s="8"/>
      <c r="F214" s="26"/>
      <c r="G214" s="24"/>
      <c r="H214" s="25"/>
      <c r="I214" s="25"/>
      <c r="J214" s="26"/>
      <c r="K214" t="str" s="15">
        <f aca="0">IF(COUNTA(B214:J214)=0,"",IF(R214&lt;&gt;"","확인필요(입력누락)",IF(COUNTIFS(보유목록!$I$2:$I$3001,"*"&amp;P214&amp;"*",보유목록!$I$2:$I$3001,"*"&amp;Q214&amp;"*",보유목록!$H$2:$H$3001,O214)&gt;0,"있음",IF(COUNTIFS(보유목록!$I$2:$I$3001,"*"&amp;P214&amp;"*",보유목록!$I$2:$I$3001,"*"&amp;Q214&amp;"*")&gt;0,"확인필요(연도다름)",IF(COUNTIFS(보유목록!$I$2:$I$3001,"*"&amp;P214&amp;"*",보유목록!$H$2:$H$3001,O214)&gt;0,"확인필요(같은학교·같은연도)","없음")))))</f>
      </c>
      <c r="L214" t="str" s="16">
        <f aca="0">IF(OR(COUNTA(B214:J214)=0,R214&lt;&gt;""),"",COUNTIFS(보유목록!$I$2:$I$3001,"*"&amp;P214&amp;"*",보유목록!$I$2:$I$3001,"*"&amp;Q214&amp;"*"))</f>
      </c>
      <c r="M214" t="str" s="23">
        <f aca="0">IF(OR(COUNTA(B214:J214)=0,R214&lt;&gt;""),"",IFERROR(LOOKUP(2,1/(ISNUMBER(SEARCH(P214,보유목록!$I$2:$I$3001))*ISNUMBER(SEARCH(Q214,보유목록!$I$2:$I$3001))*(보유목록!$H$2:$H$3001=O214)),보유목록!$B$2:$B$3001),IFERROR(LOOKUP(2,1/(ISNUMBER(SEARCH(P214,보유목록!$I$2:$I$3001))*ISNUMBER(SEARCH(Q214,보유목록!$I$2:$I$3001))),보유목록!$B$2:$B$3001),"")))</f>
      </c>
      <c r="N214" s="25"/>
      <c r="O214" t="str">
        <f>IFERROR(IF(AND(LEN(SUBSTITUTE(SUBSTITUTE(SUBSTITUTE(TRIM(C214&amp;""),CHAR(160),"")," ",""),"년",""))=4,VALUE(SUBSTITUTE(SUBSTITUTE(SUBSTITUTE(TRIM(C214&amp;""),CHAR(160),"")," ",""),"년",""))&gt;=1900,VALUE(SUBSTITUTE(SUBSTITUTE(SUBSTITUTE(TRIM(C214&amp;""),CHAR(160),"")," ",""),"년",""))&lt;=2099,TEXT(VALUE(SUBSTITUTE(SUBSTITUTE(SUBSTITUTE(TRIM(C214&amp;""),CHAR(160),"")," ",""),"년","")),"0000")=SUBSTITUTE(SUBSTITUTE(SUBSTITUTE(TRIM(C214&amp;""),CHAR(160),"")," ",""),"년","")),SUBSTITUTE(SUBSTITUTE(SUBSTITUTE(TRIM(C214&amp;""),CHAR(160),"")," ",""),"년",""),""),"")</f>
      </c>
      <c r="P214" t="str">
        <f>SUBSTITUTE(SUBSTITUTE(SUBSTITUTE(SUBSTITUTE(SUBSTITUTE(SUBSTITUTE(SUBSTITUTE(SUBSTITUTE(TRIM(D214&amp;""),CHAR(160),"")," ",""),"초등학교","초"),"중학교","중"),"고등학교","고"),"~","~~"),"*","~*"),"?","~?")</f>
      </c>
      <c r="Q214" t="str">
        <f>SUBSTITUTE(SUBSTITUTE(SUBSTITUTE(SUBSTITUTE(SUBSTITUTE(SUBSTITUTE(SUBSTITUTE(SUBSTITUTE(TRIM(E214&amp;""),CHAR(160),"")," ",""),"초등학교","초"),"중학교","중"),"고등학교","고"),"~","~~"),"*","~*"),"?","~?")</f>
      </c>
      <c r="R214" t="str">
        <f>IF(COUNTA(B214:J214)=0,"",IF(AND(O214&lt;&gt;"",P214&lt;&gt;"",Q214&lt;&gt;""),"","입력누락"))</f>
      </c>
    </row>
    <row r="215" customFormat="false" ht="15" hidden="false" customHeight="false" outlineLevel="0" collapsed="false">
      <c r="A215" t="n" s="19">
        <f aca="0">IF(COUNTA(B215:J215)=0,"",ROW()-1)</f>
      </c>
      <c r="B215" s="24"/>
      <c r="C215" s="25"/>
      <c r="D215" s="8"/>
      <c r="E215" s="8"/>
      <c r="F215" s="26"/>
      <c r="G215" s="24"/>
      <c r="H215" s="25"/>
      <c r="I215" s="25"/>
      <c r="J215" s="26"/>
      <c r="K215" t="str" s="15">
        <f aca="0">IF(COUNTA(B215:J215)=0,"",IF(R215&lt;&gt;"","확인필요(입력누락)",IF(COUNTIFS(보유목록!$I$2:$I$3001,"*"&amp;P215&amp;"*",보유목록!$I$2:$I$3001,"*"&amp;Q215&amp;"*",보유목록!$H$2:$H$3001,O215)&gt;0,"있음",IF(COUNTIFS(보유목록!$I$2:$I$3001,"*"&amp;P215&amp;"*",보유목록!$I$2:$I$3001,"*"&amp;Q215&amp;"*")&gt;0,"확인필요(연도다름)",IF(COUNTIFS(보유목록!$I$2:$I$3001,"*"&amp;P215&amp;"*",보유목록!$H$2:$H$3001,O215)&gt;0,"확인필요(같은학교·같은연도)","없음")))))</f>
      </c>
      <c r="L215" t="str" s="16">
        <f aca="0">IF(OR(COUNTA(B215:J215)=0,R215&lt;&gt;""),"",COUNTIFS(보유목록!$I$2:$I$3001,"*"&amp;P215&amp;"*",보유목록!$I$2:$I$3001,"*"&amp;Q215&amp;"*"))</f>
      </c>
      <c r="M215" t="str" s="23">
        <f aca="0">IF(OR(COUNTA(B215:J215)=0,R215&lt;&gt;""),"",IFERROR(LOOKUP(2,1/(ISNUMBER(SEARCH(P215,보유목록!$I$2:$I$3001))*ISNUMBER(SEARCH(Q215,보유목록!$I$2:$I$3001))*(보유목록!$H$2:$H$3001=O215)),보유목록!$B$2:$B$3001),IFERROR(LOOKUP(2,1/(ISNUMBER(SEARCH(P215,보유목록!$I$2:$I$3001))*ISNUMBER(SEARCH(Q215,보유목록!$I$2:$I$3001))),보유목록!$B$2:$B$3001),"")))</f>
      </c>
      <c r="N215" s="25"/>
      <c r="O215" t="str">
        <f>IFERROR(IF(AND(LEN(SUBSTITUTE(SUBSTITUTE(SUBSTITUTE(TRIM(C215&amp;""),CHAR(160),"")," ",""),"년",""))=4,VALUE(SUBSTITUTE(SUBSTITUTE(SUBSTITUTE(TRIM(C215&amp;""),CHAR(160),"")," ",""),"년",""))&gt;=1900,VALUE(SUBSTITUTE(SUBSTITUTE(SUBSTITUTE(TRIM(C215&amp;""),CHAR(160),"")," ",""),"년",""))&lt;=2099,TEXT(VALUE(SUBSTITUTE(SUBSTITUTE(SUBSTITUTE(TRIM(C215&amp;""),CHAR(160),"")," ",""),"년","")),"0000")=SUBSTITUTE(SUBSTITUTE(SUBSTITUTE(TRIM(C215&amp;""),CHAR(160),"")," ",""),"년","")),SUBSTITUTE(SUBSTITUTE(SUBSTITUTE(TRIM(C215&amp;""),CHAR(160),"")," ",""),"년",""),""),"")</f>
      </c>
      <c r="P215" t="str">
        <f>SUBSTITUTE(SUBSTITUTE(SUBSTITUTE(SUBSTITUTE(SUBSTITUTE(SUBSTITUTE(SUBSTITUTE(SUBSTITUTE(TRIM(D215&amp;""),CHAR(160),"")," ",""),"초등학교","초"),"중학교","중"),"고등학교","고"),"~","~~"),"*","~*"),"?","~?")</f>
      </c>
      <c r="Q215" t="str">
        <f>SUBSTITUTE(SUBSTITUTE(SUBSTITUTE(SUBSTITUTE(SUBSTITUTE(SUBSTITUTE(SUBSTITUTE(SUBSTITUTE(TRIM(E215&amp;""),CHAR(160),"")," ",""),"초등학교","초"),"중학교","중"),"고등학교","고"),"~","~~"),"*","~*"),"?","~?")</f>
      </c>
      <c r="R215" t="str">
        <f>IF(COUNTA(B215:J215)=0,"",IF(AND(O215&lt;&gt;"",P215&lt;&gt;"",Q215&lt;&gt;""),"","입력누락"))</f>
      </c>
    </row>
    <row r="216" customFormat="false" ht="15" hidden="false" customHeight="false" outlineLevel="0" collapsed="false">
      <c r="A216" t="n" s="19">
        <f aca="0">IF(COUNTA(B216:J216)=0,"",ROW()-1)</f>
      </c>
      <c r="B216" s="24"/>
      <c r="C216" s="25"/>
      <c r="D216" s="8"/>
      <c r="E216" s="8"/>
      <c r="F216" s="26"/>
      <c r="G216" s="24"/>
      <c r="H216" s="25"/>
      <c r="I216" s="25"/>
      <c r="J216" s="26"/>
      <c r="K216" t="str" s="15">
        <f aca="0">IF(COUNTA(B216:J216)=0,"",IF(R216&lt;&gt;"","확인필요(입력누락)",IF(COUNTIFS(보유목록!$I$2:$I$3001,"*"&amp;P216&amp;"*",보유목록!$I$2:$I$3001,"*"&amp;Q216&amp;"*",보유목록!$H$2:$H$3001,O216)&gt;0,"있음",IF(COUNTIFS(보유목록!$I$2:$I$3001,"*"&amp;P216&amp;"*",보유목록!$I$2:$I$3001,"*"&amp;Q216&amp;"*")&gt;0,"확인필요(연도다름)",IF(COUNTIFS(보유목록!$I$2:$I$3001,"*"&amp;P216&amp;"*",보유목록!$H$2:$H$3001,O216)&gt;0,"확인필요(같은학교·같은연도)","없음")))))</f>
      </c>
      <c r="L216" t="str" s="16">
        <f aca="0">IF(OR(COUNTA(B216:J216)=0,R216&lt;&gt;""),"",COUNTIFS(보유목록!$I$2:$I$3001,"*"&amp;P216&amp;"*",보유목록!$I$2:$I$3001,"*"&amp;Q216&amp;"*"))</f>
      </c>
      <c r="M216" t="str" s="23">
        <f aca="0">IF(OR(COUNTA(B216:J216)=0,R216&lt;&gt;""),"",IFERROR(LOOKUP(2,1/(ISNUMBER(SEARCH(P216,보유목록!$I$2:$I$3001))*ISNUMBER(SEARCH(Q216,보유목록!$I$2:$I$3001))*(보유목록!$H$2:$H$3001=O216)),보유목록!$B$2:$B$3001),IFERROR(LOOKUP(2,1/(ISNUMBER(SEARCH(P216,보유목록!$I$2:$I$3001))*ISNUMBER(SEARCH(Q216,보유목록!$I$2:$I$3001))),보유목록!$B$2:$B$3001),"")))</f>
      </c>
      <c r="N216" s="25"/>
      <c r="O216" t="str">
        <f>IFERROR(IF(AND(LEN(SUBSTITUTE(SUBSTITUTE(SUBSTITUTE(TRIM(C216&amp;""),CHAR(160),"")," ",""),"년",""))=4,VALUE(SUBSTITUTE(SUBSTITUTE(SUBSTITUTE(TRIM(C216&amp;""),CHAR(160),"")," ",""),"년",""))&gt;=1900,VALUE(SUBSTITUTE(SUBSTITUTE(SUBSTITUTE(TRIM(C216&amp;""),CHAR(160),"")," ",""),"년",""))&lt;=2099,TEXT(VALUE(SUBSTITUTE(SUBSTITUTE(SUBSTITUTE(TRIM(C216&amp;""),CHAR(160),"")," ",""),"년","")),"0000")=SUBSTITUTE(SUBSTITUTE(SUBSTITUTE(TRIM(C216&amp;""),CHAR(160),"")," ",""),"년","")),SUBSTITUTE(SUBSTITUTE(SUBSTITUTE(TRIM(C216&amp;""),CHAR(160),"")," ",""),"년",""),""),"")</f>
      </c>
      <c r="P216" t="str">
        <f>SUBSTITUTE(SUBSTITUTE(SUBSTITUTE(SUBSTITUTE(SUBSTITUTE(SUBSTITUTE(SUBSTITUTE(SUBSTITUTE(TRIM(D216&amp;""),CHAR(160),"")," ",""),"초등학교","초"),"중학교","중"),"고등학교","고"),"~","~~"),"*","~*"),"?","~?")</f>
      </c>
      <c r="Q216" t="str">
        <f>SUBSTITUTE(SUBSTITUTE(SUBSTITUTE(SUBSTITUTE(SUBSTITUTE(SUBSTITUTE(SUBSTITUTE(SUBSTITUTE(TRIM(E216&amp;""),CHAR(160),"")," ",""),"초등학교","초"),"중학교","중"),"고등학교","고"),"~","~~"),"*","~*"),"?","~?")</f>
      </c>
      <c r="R216" t="str">
        <f>IF(COUNTA(B216:J216)=0,"",IF(AND(O216&lt;&gt;"",P216&lt;&gt;"",Q216&lt;&gt;""),"","입력누락"))</f>
      </c>
    </row>
    <row r="217" customFormat="false" ht="15" hidden="false" customHeight="false" outlineLevel="0" collapsed="false">
      <c r="A217" t="n" s="19">
        <f aca="0">IF(COUNTA(B217:J217)=0,"",ROW()-1)</f>
      </c>
      <c r="B217" s="24"/>
      <c r="C217" s="25"/>
      <c r="D217" s="8"/>
      <c r="E217" s="8"/>
      <c r="F217" s="26"/>
      <c r="G217" s="24"/>
      <c r="H217" s="25"/>
      <c r="I217" s="25"/>
      <c r="J217" s="26"/>
      <c r="K217" t="str" s="15">
        <f aca="0">IF(COUNTA(B217:J217)=0,"",IF(R217&lt;&gt;"","확인필요(입력누락)",IF(COUNTIFS(보유목록!$I$2:$I$3001,"*"&amp;P217&amp;"*",보유목록!$I$2:$I$3001,"*"&amp;Q217&amp;"*",보유목록!$H$2:$H$3001,O217)&gt;0,"있음",IF(COUNTIFS(보유목록!$I$2:$I$3001,"*"&amp;P217&amp;"*",보유목록!$I$2:$I$3001,"*"&amp;Q217&amp;"*")&gt;0,"확인필요(연도다름)",IF(COUNTIFS(보유목록!$I$2:$I$3001,"*"&amp;P217&amp;"*",보유목록!$H$2:$H$3001,O217)&gt;0,"확인필요(같은학교·같은연도)","없음")))))</f>
      </c>
      <c r="L217" t="str" s="16">
        <f aca="0">IF(OR(COUNTA(B217:J217)=0,R217&lt;&gt;""),"",COUNTIFS(보유목록!$I$2:$I$3001,"*"&amp;P217&amp;"*",보유목록!$I$2:$I$3001,"*"&amp;Q217&amp;"*"))</f>
      </c>
      <c r="M217" t="str" s="23">
        <f aca="0">IF(OR(COUNTA(B217:J217)=0,R217&lt;&gt;""),"",IFERROR(LOOKUP(2,1/(ISNUMBER(SEARCH(P217,보유목록!$I$2:$I$3001))*ISNUMBER(SEARCH(Q217,보유목록!$I$2:$I$3001))*(보유목록!$H$2:$H$3001=O217)),보유목록!$B$2:$B$3001),IFERROR(LOOKUP(2,1/(ISNUMBER(SEARCH(P217,보유목록!$I$2:$I$3001))*ISNUMBER(SEARCH(Q217,보유목록!$I$2:$I$3001))),보유목록!$B$2:$B$3001),"")))</f>
      </c>
      <c r="N217" s="25"/>
      <c r="O217" t="str">
        <f>IFERROR(IF(AND(LEN(SUBSTITUTE(SUBSTITUTE(SUBSTITUTE(TRIM(C217&amp;""),CHAR(160),"")," ",""),"년",""))=4,VALUE(SUBSTITUTE(SUBSTITUTE(SUBSTITUTE(TRIM(C217&amp;""),CHAR(160),"")," ",""),"년",""))&gt;=1900,VALUE(SUBSTITUTE(SUBSTITUTE(SUBSTITUTE(TRIM(C217&amp;""),CHAR(160),"")," ",""),"년",""))&lt;=2099,TEXT(VALUE(SUBSTITUTE(SUBSTITUTE(SUBSTITUTE(TRIM(C217&amp;""),CHAR(160),"")," ",""),"년","")),"0000")=SUBSTITUTE(SUBSTITUTE(SUBSTITUTE(TRIM(C217&amp;""),CHAR(160),"")," ",""),"년","")),SUBSTITUTE(SUBSTITUTE(SUBSTITUTE(TRIM(C217&amp;""),CHAR(160),"")," ",""),"년",""),""),"")</f>
      </c>
      <c r="P217" t="str">
        <f>SUBSTITUTE(SUBSTITUTE(SUBSTITUTE(SUBSTITUTE(SUBSTITUTE(SUBSTITUTE(SUBSTITUTE(SUBSTITUTE(TRIM(D217&amp;""),CHAR(160),"")," ",""),"초등학교","초"),"중학교","중"),"고등학교","고"),"~","~~"),"*","~*"),"?","~?")</f>
      </c>
      <c r="Q217" t="str">
        <f>SUBSTITUTE(SUBSTITUTE(SUBSTITUTE(SUBSTITUTE(SUBSTITUTE(SUBSTITUTE(SUBSTITUTE(SUBSTITUTE(TRIM(E217&amp;""),CHAR(160),"")," ",""),"초등학교","초"),"중학교","중"),"고등학교","고"),"~","~~"),"*","~*"),"?","~?")</f>
      </c>
      <c r="R217" t="str">
        <f>IF(COUNTA(B217:J217)=0,"",IF(AND(O217&lt;&gt;"",P217&lt;&gt;"",Q217&lt;&gt;""),"","입력누락"))</f>
      </c>
    </row>
    <row r="218" customFormat="false" ht="15" hidden="false" customHeight="false" outlineLevel="0" collapsed="false">
      <c r="A218" t="n" s="19">
        <f aca="0">IF(COUNTA(B218:J218)=0,"",ROW()-1)</f>
      </c>
      <c r="B218" s="24"/>
      <c r="C218" s="25"/>
      <c r="D218" s="8"/>
      <c r="E218" s="8"/>
      <c r="F218" s="26"/>
      <c r="G218" s="24"/>
      <c r="H218" s="25"/>
      <c r="I218" s="25"/>
      <c r="J218" s="26"/>
      <c r="K218" t="str" s="15">
        <f aca="0">IF(COUNTA(B218:J218)=0,"",IF(R218&lt;&gt;"","확인필요(입력누락)",IF(COUNTIFS(보유목록!$I$2:$I$3001,"*"&amp;P218&amp;"*",보유목록!$I$2:$I$3001,"*"&amp;Q218&amp;"*",보유목록!$H$2:$H$3001,O218)&gt;0,"있음",IF(COUNTIFS(보유목록!$I$2:$I$3001,"*"&amp;P218&amp;"*",보유목록!$I$2:$I$3001,"*"&amp;Q218&amp;"*")&gt;0,"확인필요(연도다름)",IF(COUNTIFS(보유목록!$I$2:$I$3001,"*"&amp;P218&amp;"*",보유목록!$H$2:$H$3001,O218)&gt;0,"확인필요(같은학교·같은연도)","없음")))))</f>
      </c>
      <c r="L218" t="str" s="16">
        <f aca="0">IF(OR(COUNTA(B218:J218)=0,R218&lt;&gt;""),"",COUNTIFS(보유목록!$I$2:$I$3001,"*"&amp;P218&amp;"*",보유목록!$I$2:$I$3001,"*"&amp;Q218&amp;"*"))</f>
      </c>
      <c r="M218" t="str" s="23">
        <f aca="0">IF(OR(COUNTA(B218:J218)=0,R218&lt;&gt;""),"",IFERROR(LOOKUP(2,1/(ISNUMBER(SEARCH(P218,보유목록!$I$2:$I$3001))*ISNUMBER(SEARCH(Q218,보유목록!$I$2:$I$3001))*(보유목록!$H$2:$H$3001=O218)),보유목록!$B$2:$B$3001),IFERROR(LOOKUP(2,1/(ISNUMBER(SEARCH(P218,보유목록!$I$2:$I$3001))*ISNUMBER(SEARCH(Q218,보유목록!$I$2:$I$3001))),보유목록!$B$2:$B$3001),"")))</f>
      </c>
      <c r="N218" s="25"/>
      <c r="O218" t="str">
        <f>IFERROR(IF(AND(LEN(SUBSTITUTE(SUBSTITUTE(SUBSTITUTE(TRIM(C218&amp;""),CHAR(160),"")," ",""),"년",""))=4,VALUE(SUBSTITUTE(SUBSTITUTE(SUBSTITUTE(TRIM(C218&amp;""),CHAR(160),"")," ",""),"년",""))&gt;=1900,VALUE(SUBSTITUTE(SUBSTITUTE(SUBSTITUTE(TRIM(C218&amp;""),CHAR(160),"")," ",""),"년",""))&lt;=2099,TEXT(VALUE(SUBSTITUTE(SUBSTITUTE(SUBSTITUTE(TRIM(C218&amp;""),CHAR(160),"")," ",""),"년","")),"0000")=SUBSTITUTE(SUBSTITUTE(SUBSTITUTE(TRIM(C218&amp;""),CHAR(160),"")," ",""),"년","")),SUBSTITUTE(SUBSTITUTE(SUBSTITUTE(TRIM(C218&amp;""),CHAR(160),"")," ",""),"년",""),""),"")</f>
      </c>
      <c r="P218" t="str">
        <f>SUBSTITUTE(SUBSTITUTE(SUBSTITUTE(SUBSTITUTE(SUBSTITUTE(SUBSTITUTE(SUBSTITUTE(SUBSTITUTE(TRIM(D218&amp;""),CHAR(160),"")," ",""),"초등학교","초"),"중학교","중"),"고등학교","고"),"~","~~"),"*","~*"),"?","~?")</f>
      </c>
      <c r="Q218" t="str">
        <f>SUBSTITUTE(SUBSTITUTE(SUBSTITUTE(SUBSTITUTE(SUBSTITUTE(SUBSTITUTE(SUBSTITUTE(SUBSTITUTE(TRIM(E218&amp;""),CHAR(160),"")," ",""),"초등학교","초"),"중학교","중"),"고등학교","고"),"~","~~"),"*","~*"),"?","~?")</f>
      </c>
      <c r="R218" t="str">
        <f>IF(COUNTA(B218:J218)=0,"",IF(AND(O218&lt;&gt;"",P218&lt;&gt;"",Q218&lt;&gt;""),"","입력누락"))</f>
      </c>
    </row>
    <row r="219" customFormat="false" ht="15" hidden="false" customHeight="false" outlineLevel="0" collapsed="false">
      <c r="A219" t="n" s="19">
        <f aca="0">IF(COUNTA(B219:J219)=0,"",ROW()-1)</f>
      </c>
      <c r="B219" s="24"/>
      <c r="C219" s="25"/>
      <c r="D219" s="8"/>
      <c r="E219" s="8"/>
      <c r="F219" s="26"/>
      <c r="G219" s="24"/>
      <c r="H219" s="25"/>
      <c r="I219" s="25"/>
      <c r="J219" s="26"/>
      <c r="K219" t="str" s="15">
        <f aca="0">IF(COUNTA(B219:J219)=0,"",IF(R219&lt;&gt;"","확인필요(입력누락)",IF(COUNTIFS(보유목록!$I$2:$I$3001,"*"&amp;P219&amp;"*",보유목록!$I$2:$I$3001,"*"&amp;Q219&amp;"*",보유목록!$H$2:$H$3001,O219)&gt;0,"있음",IF(COUNTIFS(보유목록!$I$2:$I$3001,"*"&amp;P219&amp;"*",보유목록!$I$2:$I$3001,"*"&amp;Q219&amp;"*")&gt;0,"확인필요(연도다름)",IF(COUNTIFS(보유목록!$I$2:$I$3001,"*"&amp;P219&amp;"*",보유목록!$H$2:$H$3001,O219)&gt;0,"확인필요(같은학교·같은연도)","없음")))))</f>
      </c>
      <c r="L219" t="str" s="16">
        <f aca="0">IF(OR(COUNTA(B219:J219)=0,R219&lt;&gt;""),"",COUNTIFS(보유목록!$I$2:$I$3001,"*"&amp;P219&amp;"*",보유목록!$I$2:$I$3001,"*"&amp;Q219&amp;"*"))</f>
      </c>
      <c r="M219" t="str" s="23">
        <f aca="0">IF(OR(COUNTA(B219:J219)=0,R219&lt;&gt;""),"",IFERROR(LOOKUP(2,1/(ISNUMBER(SEARCH(P219,보유목록!$I$2:$I$3001))*ISNUMBER(SEARCH(Q219,보유목록!$I$2:$I$3001))*(보유목록!$H$2:$H$3001=O219)),보유목록!$B$2:$B$3001),IFERROR(LOOKUP(2,1/(ISNUMBER(SEARCH(P219,보유목록!$I$2:$I$3001))*ISNUMBER(SEARCH(Q219,보유목록!$I$2:$I$3001))),보유목록!$B$2:$B$3001),"")))</f>
      </c>
      <c r="N219" s="25"/>
      <c r="O219" t="str">
        <f>IFERROR(IF(AND(LEN(SUBSTITUTE(SUBSTITUTE(SUBSTITUTE(TRIM(C219&amp;""),CHAR(160),"")," ",""),"년",""))=4,VALUE(SUBSTITUTE(SUBSTITUTE(SUBSTITUTE(TRIM(C219&amp;""),CHAR(160),"")," ",""),"년",""))&gt;=1900,VALUE(SUBSTITUTE(SUBSTITUTE(SUBSTITUTE(TRIM(C219&amp;""),CHAR(160),"")," ",""),"년",""))&lt;=2099,TEXT(VALUE(SUBSTITUTE(SUBSTITUTE(SUBSTITUTE(TRIM(C219&amp;""),CHAR(160),"")," ",""),"년","")),"0000")=SUBSTITUTE(SUBSTITUTE(SUBSTITUTE(TRIM(C219&amp;""),CHAR(160),"")," ",""),"년","")),SUBSTITUTE(SUBSTITUTE(SUBSTITUTE(TRIM(C219&amp;""),CHAR(160),"")," ",""),"년",""),""),"")</f>
      </c>
      <c r="P219" t="str">
        <f>SUBSTITUTE(SUBSTITUTE(SUBSTITUTE(SUBSTITUTE(SUBSTITUTE(SUBSTITUTE(SUBSTITUTE(SUBSTITUTE(TRIM(D219&amp;""),CHAR(160),"")," ",""),"초등학교","초"),"중학교","중"),"고등학교","고"),"~","~~"),"*","~*"),"?","~?")</f>
      </c>
      <c r="Q219" t="str">
        <f>SUBSTITUTE(SUBSTITUTE(SUBSTITUTE(SUBSTITUTE(SUBSTITUTE(SUBSTITUTE(SUBSTITUTE(SUBSTITUTE(TRIM(E219&amp;""),CHAR(160),"")," ",""),"초등학교","초"),"중학교","중"),"고등학교","고"),"~","~~"),"*","~*"),"?","~?")</f>
      </c>
      <c r="R219" t="str">
        <f>IF(COUNTA(B219:J219)=0,"",IF(AND(O219&lt;&gt;"",P219&lt;&gt;"",Q219&lt;&gt;""),"","입력누락"))</f>
      </c>
    </row>
    <row r="220" customFormat="false" ht="15" hidden="false" customHeight="false" outlineLevel="0" collapsed="false">
      <c r="A220" t="n" s="19">
        <f aca="0">IF(COUNTA(B220:J220)=0,"",ROW()-1)</f>
      </c>
      <c r="B220" s="24"/>
      <c r="C220" s="25"/>
      <c r="D220" s="8"/>
      <c r="E220" s="8"/>
      <c r="F220" s="26"/>
      <c r="G220" s="24"/>
      <c r="H220" s="25"/>
      <c r="I220" s="25"/>
      <c r="J220" s="26"/>
      <c r="K220" t="str" s="15">
        <f aca="0">IF(COUNTA(B220:J220)=0,"",IF(R220&lt;&gt;"","확인필요(입력누락)",IF(COUNTIFS(보유목록!$I$2:$I$3001,"*"&amp;P220&amp;"*",보유목록!$I$2:$I$3001,"*"&amp;Q220&amp;"*",보유목록!$H$2:$H$3001,O220)&gt;0,"있음",IF(COUNTIFS(보유목록!$I$2:$I$3001,"*"&amp;P220&amp;"*",보유목록!$I$2:$I$3001,"*"&amp;Q220&amp;"*")&gt;0,"확인필요(연도다름)",IF(COUNTIFS(보유목록!$I$2:$I$3001,"*"&amp;P220&amp;"*",보유목록!$H$2:$H$3001,O220)&gt;0,"확인필요(같은학교·같은연도)","없음")))))</f>
      </c>
      <c r="L220" t="str" s="16">
        <f aca="0">IF(OR(COUNTA(B220:J220)=0,R220&lt;&gt;""),"",COUNTIFS(보유목록!$I$2:$I$3001,"*"&amp;P220&amp;"*",보유목록!$I$2:$I$3001,"*"&amp;Q220&amp;"*"))</f>
      </c>
      <c r="M220" t="str" s="23">
        <f aca="0">IF(OR(COUNTA(B220:J220)=0,R220&lt;&gt;""),"",IFERROR(LOOKUP(2,1/(ISNUMBER(SEARCH(P220,보유목록!$I$2:$I$3001))*ISNUMBER(SEARCH(Q220,보유목록!$I$2:$I$3001))*(보유목록!$H$2:$H$3001=O220)),보유목록!$B$2:$B$3001),IFERROR(LOOKUP(2,1/(ISNUMBER(SEARCH(P220,보유목록!$I$2:$I$3001))*ISNUMBER(SEARCH(Q220,보유목록!$I$2:$I$3001))),보유목록!$B$2:$B$3001),"")))</f>
      </c>
      <c r="N220" s="25"/>
      <c r="O220" t="str">
        <f>IFERROR(IF(AND(LEN(SUBSTITUTE(SUBSTITUTE(SUBSTITUTE(TRIM(C220&amp;""),CHAR(160),"")," ",""),"년",""))=4,VALUE(SUBSTITUTE(SUBSTITUTE(SUBSTITUTE(TRIM(C220&amp;""),CHAR(160),"")," ",""),"년",""))&gt;=1900,VALUE(SUBSTITUTE(SUBSTITUTE(SUBSTITUTE(TRIM(C220&amp;""),CHAR(160),"")," ",""),"년",""))&lt;=2099,TEXT(VALUE(SUBSTITUTE(SUBSTITUTE(SUBSTITUTE(TRIM(C220&amp;""),CHAR(160),"")," ",""),"년","")),"0000")=SUBSTITUTE(SUBSTITUTE(SUBSTITUTE(TRIM(C220&amp;""),CHAR(160),"")," ",""),"년","")),SUBSTITUTE(SUBSTITUTE(SUBSTITUTE(TRIM(C220&amp;""),CHAR(160),"")," ",""),"년",""),""),"")</f>
      </c>
      <c r="P220" t="str">
        <f>SUBSTITUTE(SUBSTITUTE(SUBSTITUTE(SUBSTITUTE(SUBSTITUTE(SUBSTITUTE(SUBSTITUTE(SUBSTITUTE(TRIM(D220&amp;""),CHAR(160),"")," ",""),"초등학교","초"),"중학교","중"),"고등학교","고"),"~","~~"),"*","~*"),"?","~?")</f>
      </c>
      <c r="Q220" t="str">
        <f>SUBSTITUTE(SUBSTITUTE(SUBSTITUTE(SUBSTITUTE(SUBSTITUTE(SUBSTITUTE(SUBSTITUTE(SUBSTITUTE(TRIM(E220&amp;""),CHAR(160),"")," ",""),"초등학교","초"),"중학교","중"),"고등학교","고"),"~","~~"),"*","~*"),"?","~?")</f>
      </c>
      <c r="R220" t="str">
        <f>IF(COUNTA(B220:J220)=0,"",IF(AND(O220&lt;&gt;"",P220&lt;&gt;"",Q220&lt;&gt;""),"","입력누락"))</f>
      </c>
    </row>
    <row r="221" customFormat="false" ht="15" hidden="false" customHeight="false" outlineLevel="0" collapsed="false">
      <c r="A221" t="n" s="19">
        <f aca="0">IF(COUNTA(B221:J221)=0,"",ROW()-1)</f>
      </c>
      <c r="B221" s="24"/>
      <c r="C221" s="25"/>
      <c r="D221" s="8"/>
      <c r="E221" s="8"/>
      <c r="F221" s="26"/>
      <c r="G221" s="24"/>
      <c r="H221" s="25"/>
      <c r="I221" s="25"/>
      <c r="J221" s="26"/>
      <c r="K221" t="str" s="15">
        <f aca="0">IF(COUNTA(B221:J221)=0,"",IF(R221&lt;&gt;"","확인필요(입력누락)",IF(COUNTIFS(보유목록!$I$2:$I$3001,"*"&amp;P221&amp;"*",보유목록!$I$2:$I$3001,"*"&amp;Q221&amp;"*",보유목록!$H$2:$H$3001,O221)&gt;0,"있음",IF(COUNTIFS(보유목록!$I$2:$I$3001,"*"&amp;P221&amp;"*",보유목록!$I$2:$I$3001,"*"&amp;Q221&amp;"*")&gt;0,"확인필요(연도다름)",IF(COUNTIFS(보유목록!$I$2:$I$3001,"*"&amp;P221&amp;"*",보유목록!$H$2:$H$3001,O221)&gt;0,"확인필요(같은학교·같은연도)","없음")))))</f>
      </c>
      <c r="L221" t="str" s="16">
        <f aca="0">IF(OR(COUNTA(B221:J221)=0,R221&lt;&gt;""),"",COUNTIFS(보유목록!$I$2:$I$3001,"*"&amp;P221&amp;"*",보유목록!$I$2:$I$3001,"*"&amp;Q221&amp;"*"))</f>
      </c>
      <c r="M221" t="str" s="23">
        <f aca="0">IF(OR(COUNTA(B221:J221)=0,R221&lt;&gt;""),"",IFERROR(LOOKUP(2,1/(ISNUMBER(SEARCH(P221,보유목록!$I$2:$I$3001))*ISNUMBER(SEARCH(Q221,보유목록!$I$2:$I$3001))*(보유목록!$H$2:$H$3001=O221)),보유목록!$B$2:$B$3001),IFERROR(LOOKUP(2,1/(ISNUMBER(SEARCH(P221,보유목록!$I$2:$I$3001))*ISNUMBER(SEARCH(Q221,보유목록!$I$2:$I$3001))),보유목록!$B$2:$B$3001),"")))</f>
      </c>
      <c r="N221" s="25"/>
      <c r="O221" t="str">
        <f>IFERROR(IF(AND(LEN(SUBSTITUTE(SUBSTITUTE(SUBSTITUTE(TRIM(C221&amp;""),CHAR(160),"")," ",""),"년",""))=4,VALUE(SUBSTITUTE(SUBSTITUTE(SUBSTITUTE(TRIM(C221&amp;""),CHAR(160),"")," ",""),"년",""))&gt;=1900,VALUE(SUBSTITUTE(SUBSTITUTE(SUBSTITUTE(TRIM(C221&amp;""),CHAR(160),"")," ",""),"년",""))&lt;=2099,TEXT(VALUE(SUBSTITUTE(SUBSTITUTE(SUBSTITUTE(TRIM(C221&amp;""),CHAR(160),"")," ",""),"년","")),"0000")=SUBSTITUTE(SUBSTITUTE(SUBSTITUTE(TRIM(C221&amp;""),CHAR(160),"")," ",""),"년","")),SUBSTITUTE(SUBSTITUTE(SUBSTITUTE(TRIM(C221&amp;""),CHAR(160),"")," ",""),"년",""),""),"")</f>
      </c>
      <c r="P221" t="str">
        <f>SUBSTITUTE(SUBSTITUTE(SUBSTITUTE(SUBSTITUTE(SUBSTITUTE(SUBSTITUTE(SUBSTITUTE(SUBSTITUTE(TRIM(D221&amp;""),CHAR(160),"")," ",""),"초등학교","초"),"중학교","중"),"고등학교","고"),"~","~~"),"*","~*"),"?","~?")</f>
      </c>
      <c r="Q221" t="str">
        <f>SUBSTITUTE(SUBSTITUTE(SUBSTITUTE(SUBSTITUTE(SUBSTITUTE(SUBSTITUTE(SUBSTITUTE(SUBSTITUTE(TRIM(E221&amp;""),CHAR(160),"")," ",""),"초등학교","초"),"중학교","중"),"고등학교","고"),"~","~~"),"*","~*"),"?","~?")</f>
      </c>
      <c r="R221" t="str">
        <f>IF(COUNTA(B221:J221)=0,"",IF(AND(O221&lt;&gt;"",P221&lt;&gt;"",Q221&lt;&gt;""),"","입력누락"))</f>
      </c>
    </row>
    <row r="222" customFormat="false" ht="15" hidden="false" customHeight="false" outlineLevel="0" collapsed="false">
      <c r="A222" t="n" s="19">
        <f aca="0">IF(COUNTA(B222:J222)=0,"",ROW()-1)</f>
      </c>
      <c r="B222" s="24"/>
      <c r="C222" s="25"/>
      <c r="D222" s="8"/>
      <c r="E222" s="8"/>
      <c r="F222" s="26"/>
      <c r="G222" s="24"/>
      <c r="H222" s="25"/>
      <c r="I222" s="25"/>
      <c r="J222" s="26"/>
      <c r="K222" t="str" s="15">
        <f aca="0">IF(COUNTA(B222:J222)=0,"",IF(R222&lt;&gt;"","확인필요(입력누락)",IF(COUNTIFS(보유목록!$I$2:$I$3001,"*"&amp;P222&amp;"*",보유목록!$I$2:$I$3001,"*"&amp;Q222&amp;"*",보유목록!$H$2:$H$3001,O222)&gt;0,"있음",IF(COUNTIFS(보유목록!$I$2:$I$3001,"*"&amp;P222&amp;"*",보유목록!$I$2:$I$3001,"*"&amp;Q222&amp;"*")&gt;0,"확인필요(연도다름)",IF(COUNTIFS(보유목록!$I$2:$I$3001,"*"&amp;P222&amp;"*",보유목록!$H$2:$H$3001,O222)&gt;0,"확인필요(같은학교·같은연도)","없음")))))</f>
      </c>
      <c r="L222" t="str" s="16">
        <f aca="0">IF(OR(COUNTA(B222:J222)=0,R222&lt;&gt;""),"",COUNTIFS(보유목록!$I$2:$I$3001,"*"&amp;P222&amp;"*",보유목록!$I$2:$I$3001,"*"&amp;Q222&amp;"*"))</f>
      </c>
      <c r="M222" t="str" s="23">
        <f aca="0">IF(OR(COUNTA(B222:J222)=0,R222&lt;&gt;""),"",IFERROR(LOOKUP(2,1/(ISNUMBER(SEARCH(P222,보유목록!$I$2:$I$3001))*ISNUMBER(SEARCH(Q222,보유목록!$I$2:$I$3001))*(보유목록!$H$2:$H$3001=O222)),보유목록!$B$2:$B$3001),IFERROR(LOOKUP(2,1/(ISNUMBER(SEARCH(P222,보유목록!$I$2:$I$3001))*ISNUMBER(SEARCH(Q222,보유목록!$I$2:$I$3001))),보유목록!$B$2:$B$3001),"")))</f>
      </c>
      <c r="N222" s="25"/>
      <c r="O222" t="str">
        <f>IFERROR(IF(AND(LEN(SUBSTITUTE(SUBSTITUTE(SUBSTITUTE(TRIM(C222&amp;""),CHAR(160),"")," ",""),"년",""))=4,VALUE(SUBSTITUTE(SUBSTITUTE(SUBSTITUTE(TRIM(C222&amp;""),CHAR(160),"")," ",""),"년",""))&gt;=1900,VALUE(SUBSTITUTE(SUBSTITUTE(SUBSTITUTE(TRIM(C222&amp;""),CHAR(160),"")," ",""),"년",""))&lt;=2099,TEXT(VALUE(SUBSTITUTE(SUBSTITUTE(SUBSTITUTE(TRIM(C222&amp;""),CHAR(160),"")," ",""),"년","")),"0000")=SUBSTITUTE(SUBSTITUTE(SUBSTITUTE(TRIM(C222&amp;""),CHAR(160),"")," ",""),"년","")),SUBSTITUTE(SUBSTITUTE(SUBSTITUTE(TRIM(C222&amp;""),CHAR(160),"")," ",""),"년",""),""),"")</f>
      </c>
      <c r="P222" t="str">
        <f>SUBSTITUTE(SUBSTITUTE(SUBSTITUTE(SUBSTITUTE(SUBSTITUTE(SUBSTITUTE(SUBSTITUTE(SUBSTITUTE(TRIM(D222&amp;""),CHAR(160),"")," ",""),"초등학교","초"),"중학교","중"),"고등학교","고"),"~","~~"),"*","~*"),"?","~?")</f>
      </c>
      <c r="Q222" t="str">
        <f>SUBSTITUTE(SUBSTITUTE(SUBSTITUTE(SUBSTITUTE(SUBSTITUTE(SUBSTITUTE(SUBSTITUTE(SUBSTITUTE(TRIM(E222&amp;""),CHAR(160),"")," ",""),"초등학교","초"),"중학교","중"),"고등학교","고"),"~","~~"),"*","~*"),"?","~?")</f>
      </c>
      <c r="R222" t="str">
        <f>IF(COUNTA(B222:J222)=0,"",IF(AND(O222&lt;&gt;"",P222&lt;&gt;"",Q222&lt;&gt;""),"","입력누락"))</f>
      </c>
    </row>
    <row r="223" customFormat="false" ht="15" hidden="false" customHeight="false" outlineLevel="0" collapsed="false">
      <c r="A223" t="n" s="19">
        <f aca="0">IF(COUNTA(B223:J223)=0,"",ROW()-1)</f>
      </c>
      <c r="B223" s="24"/>
      <c r="C223" s="25"/>
      <c r="D223" s="8"/>
      <c r="E223" s="8"/>
      <c r="F223" s="26"/>
      <c r="G223" s="24"/>
      <c r="H223" s="25"/>
      <c r="I223" s="25"/>
      <c r="J223" s="26"/>
      <c r="K223" t="str" s="15">
        <f aca="0">IF(COUNTA(B223:J223)=0,"",IF(R223&lt;&gt;"","확인필요(입력누락)",IF(COUNTIFS(보유목록!$I$2:$I$3001,"*"&amp;P223&amp;"*",보유목록!$I$2:$I$3001,"*"&amp;Q223&amp;"*",보유목록!$H$2:$H$3001,O223)&gt;0,"있음",IF(COUNTIFS(보유목록!$I$2:$I$3001,"*"&amp;P223&amp;"*",보유목록!$I$2:$I$3001,"*"&amp;Q223&amp;"*")&gt;0,"확인필요(연도다름)",IF(COUNTIFS(보유목록!$I$2:$I$3001,"*"&amp;P223&amp;"*",보유목록!$H$2:$H$3001,O223)&gt;0,"확인필요(같은학교·같은연도)","없음")))))</f>
      </c>
      <c r="L223" t="str" s="16">
        <f aca="0">IF(OR(COUNTA(B223:J223)=0,R223&lt;&gt;""),"",COUNTIFS(보유목록!$I$2:$I$3001,"*"&amp;P223&amp;"*",보유목록!$I$2:$I$3001,"*"&amp;Q223&amp;"*"))</f>
      </c>
      <c r="M223" t="str" s="23">
        <f aca="0">IF(OR(COUNTA(B223:J223)=0,R223&lt;&gt;""),"",IFERROR(LOOKUP(2,1/(ISNUMBER(SEARCH(P223,보유목록!$I$2:$I$3001))*ISNUMBER(SEARCH(Q223,보유목록!$I$2:$I$3001))*(보유목록!$H$2:$H$3001=O223)),보유목록!$B$2:$B$3001),IFERROR(LOOKUP(2,1/(ISNUMBER(SEARCH(P223,보유목록!$I$2:$I$3001))*ISNUMBER(SEARCH(Q223,보유목록!$I$2:$I$3001))),보유목록!$B$2:$B$3001),"")))</f>
      </c>
      <c r="N223" s="25"/>
      <c r="O223" t="str">
        <f>IFERROR(IF(AND(LEN(SUBSTITUTE(SUBSTITUTE(SUBSTITUTE(TRIM(C223&amp;""),CHAR(160),"")," ",""),"년",""))=4,VALUE(SUBSTITUTE(SUBSTITUTE(SUBSTITUTE(TRIM(C223&amp;""),CHAR(160),"")," ",""),"년",""))&gt;=1900,VALUE(SUBSTITUTE(SUBSTITUTE(SUBSTITUTE(TRIM(C223&amp;""),CHAR(160),"")," ",""),"년",""))&lt;=2099,TEXT(VALUE(SUBSTITUTE(SUBSTITUTE(SUBSTITUTE(TRIM(C223&amp;""),CHAR(160),"")," ",""),"년","")),"0000")=SUBSTITUTE(SUBSTITUTE(SUBSTITUTE(TRIM(C223&amp;""),CHAR(160),"")," ",""),"년","")),SUBSTITUTE(SUBSTITUTE(SUBSTITUTE(TRIM(C223&amp;""),CHAR(160),"")," ",""),"년",""),""),"")</f>
      </c>
      <c r="P223" t="str">
        <f>SUBSTITUTE(SUBSTITUTE(SUBSTITUTE(SUBSTITUTE(SUBSTITUTE(SUBSTITUTE(SUBSTITUTE(SUBSTITUTE(TRIM(D223&amp;""),CHAR(160),"")," ",""),"초등학교","초"),"중학교","중"),"고등학교","고"),"~","~~"),"*","~*"),"?","~?")</f>
      </c>
      <c r="Q223" t="str">
        <f>SUBSTITUTE(SUBSTITUTE(SUBSTITUTE(SUBSTITUTE(SUBSTITUTE(SUBSTITUTE(SUBSTITUTE(SUBSTITUTE(TRIM(E223&amp;""),CHAR(160),"")," ",""),"초등학교","초"),"중학교","중"),"고등학교","고"),"~","~~"),"*","~*"),"?","~?")</f>
      </c>
      <c r="R223" t="str">
        <f>IF(COUNTA(B223:J223)=0,"",IF(AND(O223&lt;&gt;"",P223&lt;&gt;"",Q223&lt;&gt;""),"","입력누락"))</f>
      </c>
    </row>
    <row r="224" customFormat="false" ht="15" hidden="false" customHeight="false" outlineLevel="0" collapsed="false">
      <c r="A224" t="n" s="19">
        <f aca="0">IF(COUNTA(B224:J224)=0,"",ROW()-1)</f>
      </c>
      <c r="B224" s="24"/>
      <c r="C224" s="25"/>
      <c r="D224" s="8"/>
      <c r="E224" s="8"/>
      <c r="F224" s="26"/>
      <c r="G224" s="24"/>
      <c r="H224" s="25"/>
      <c r="I224" s="25"/>
      <c r="J224" s="26"/>
      <c r="K224" t="str" s="15">
        <f aca="0">IF(COUNTA(B224:J224)=0,"",IF(R224&lt;&gt;"","확인필요(입력누락)",IF(COUNTIFS(보유목록!$I$2:$I$3001,"*"&amp;P224&amp;"*",보유목록!$I$2:$I$3001,"*"&amp;Q224&amp;"*",보유목록!$H$2:$H$3001,O224)&gt;0,"있음",IF(COUNTIFS(보유목록!$I$2:$I$3001,"*"&amp;P224&amp;"*",보유목록!$I$2:$I$3001,"*"&amp;Q224&amp;"*")&gt;0,"확인필요(연도다름)",IF(COUNTIFS(보유목록!$I$2:$I$3001,"*"&amp;P224&amp;"*",보유목록!$H$2:$H$3001,O224)&gt;0,"확인필요(같은학교·같은연도)","없음")))))</f>
      </c>
      <c r="L224" t="str" s="16">
        <f aca="0">IF(OR(COUNTA(B224:J224)=0,R224&lt;&gt;""),"",COUNTIFS(보유목록!$I$2:$I$3001,"*"&amp;P224&amp;"*",보유목록!$I$2:$I$3001,"*"&amp;Q224&amp;"*"))</f>
      </c>
      <c r="M224" t="str" s="23">
        <f aca="0">IF(OR(COUNTA(B224:J224)=0,R224&lt;&gt;""),"",IFERROR(LOOKUP(2,1/(ISNUMBER(SEARCH(P224,보유목록!$I$2:$I$3001))*ISNUMBER(SEARCH(Q224,보유목록!$I$2:$I$3001))*(보유목록!$H$2:$H$3001=O224)),보유목록!$B$2:$B$3001),IFERROR(LOOKUP(2,1/(ISNUMBER(SEARCH(P224,보유목록!$I$2:$I$3001))*ISNUMBER(SEARCH(Q224,보유목록!$I$2:$I$3001))),보유목록!$B$2:$B$3001),"")))</f>
      </c>
      <c r="N224" s="25"/>
      <c r="O224" t="str">
        <f>IFERROR(IF(AND(LEN(SUBSTITUTE(SUBSTITUTE(SUBSTITUTE(TRIM(C224&amp;""),CHAR(160),"")," ",""),"년",""))=4,VALUE(SUBSTITUTE(SUBSTITUTE(SUBSTITUTE(TRIM(C224&amp;""),CHAR(160),"")," ",""),"년",""))&gt;=1900,VALUE(SUBSTITUTE(SUBSTITUTE(SUBSTITUTE(TRIM(C224&amp;""),CHAR(160),"")," ",""),"년",""))&lt;=2099,TEXT(VALUE(SUBSTITUTE(SUBSTITUTE(SUBSTITUTE(TRIM(C224&amp;""),CHAR(160),"")," ",""),"년","")),"0000")=SUBSTITUTE(SUBSTITUTE(SUBSTITUTE(TRIM(C224&amp;""),CHAR(160),"")," ",""),"년","")),SUBSTITUTE(SUBSTITUTE(SUBSTITUTE(TRIM(C224&amp;""),CHAR(160),"")," ",""),"년",""),""),"")</f>
      </c>
      <c r="P224" t="str">
        <f>SUBSTITUTE(SUBSTITUTE(SUBSTITUTE(SUBSTITUTE(SUBSTITUTE(SUBSTITUTE(SUBSTITUTE(SUBSTITUTE(TRIM(D224&amp;""),CHAR(160),"")," ",""),"초등학교","초"),"중학교","중"),"고등학교","고"),"~","~~"),"*","~*"),"?","~?")</f>
      </c>
      <c r="Q224" t="str">
        <f>SUBSTITUTE(SUBSTITUTE(SUBSTITUTE(SUBSTITUTE(SUBSTITUTE(SUBSTITUTE(SUBSTITUTE(SUBSTITUTE(TRIM(E224&amp;""),CHAR(160),"")," ",""),"초등학교","초"),"중학교","중"),"고등학교","고"),"~","~~"),"*","~*"),"?","~?")</f>
      </c>
      <c r="R224" t="str">
        <f>IF(COUNTA(B224:J224)=0,"",IF(AND(O224&lt;&gt;"",P224&lt;&gt;"",Q224&lt;&gt;""),"","입력누락"))</f>
      </c>
    </row>
    <row r="225" customFormat="false" ht="15" hidden="false" customHeight="false" outlineLevel="0" collapsed="false">
      <c r="A225" t="n" s="19">
        <f aca="0">IF(COUNTA(B225:J225)=0,"",ROW()-1)</f>
      </c>
      <c r="B225" s="24"/>
      <c r="C225" s="25"/>
      <c r="D225" s="8"/>
      <c r="E225" s="8"/>
      <c r="F225" s="26"/>
      <c r="G225" s="24"/>
      <c r="H225" s="25"/>
      <c r="I225" s="25"/>
      <c r="J225" s="26"/>
      <c r="K225" t="str" s="15">
        <f aca="0">IF(COUNTA(B225:J225)=0,"",IF(R225&lt;&gt;"","확인필요(입력누락)",IF(COUNTIFS(보유목록!$I$2:$I$3001,"*"&amp;P225&amp;"*",보유목록!$I$2:$I$3001,"*"&amp;Q225&amp;"*",보유목록!$H$2:$H$3001,O225)&gt;0,"있음",IF(COUNTIFS(보유목록!$I$2:$I$3001,"*"&amp;P225&amp;"*",보유목록!$I$2:$I$3001,"*"&amp;Q225&amp;"*")&gt;0,"확인필요(연도다름)",IF(COUNTIFS(보유목록!$I$2:$I$3001,"*"&amp;P225&amp;"*",보유목록!$H$2:$H$3001,O225)&gt;0,"확인필요(같은학교·같은연도)","없음")))))</f>
      </c>
      <c r="L225" t="str" s="16">
        <f aca="0">IF(OR(COUNTA(B225:J225)=0,R225&lt;&gt;""),"",COUNTIFS(보유목록!$I$2:$I$3001,"*"&amp;P225&amp;"*",보유목록!$I$2:$I$3001,"*"&amp;Q225&amp;"*"))</f>
      </c>
      <c r="M225" t="str" s="23">
        <f aca="0">IF(OR(COUNTA(B225:J225)=0,R225&lt;&gt;""),"",IFERROR(LOOKUP(2,1/(ISNUMBER(SEARCH(P225,보유목록!$I$2:$I$3001))*ISNUMBER(SEARCH(Q225,보유목록!$I$2:$I$3001))*(보유목록!$H$2:$H$3001=O225)),보유목록!$B$2:$B$3001),IFERROR(LOOKUP(2,1/(ISNUMBER(SEARCH(P225,보유목록!$I$2:$I$3001))*ISNUMBER(SEARCH(Q225,보유목록!$I$2:$I$3001))),보유목록!$B$2:$B$3001),"")))</f>
      </c>
      <c r="N225" s="25"/>
      <c r="O225" t="str">
        <f>IFERROR(IF(AND(LEN(SUBSTITUTE(SUBSTITUTE(SUBSTITUTE(TRIM(C225&amp;""),CHAR(160),"")," ",""),"년",""))=4,VALUE(SUBSTITUTE(SUBSTITUTE(SUBSTITUTE(TRIM(C225&amp;""),CHAR(160),"")," ",""),"년",""))&gt;=1900,VALUE(SUBSTITUTE(SUBSTITUTE(SUBSTITUTE(TRIM(C225&amp;""),CHAR(160),"")," ",""),"년",""))&lt;=2099,TEXT(VALUE(SUBSTITUTE(SUBSTITUTE(SUBSTITUTE(TRIM(C225&amp;""),CHAR(160),"")," ",""),"년","")),"0000")=SUBSTITUTE(SUBSTITUTE(SUBSTITUTE(TRIM(C225&amp;""),CHAR(160),"")," ",""),"년","")),SUBSTITUTE(SUBSTITUTE(SUBSTITUTE(TRIM(C225&amp;""),CHAR(160),"")," ",""),"년",""),""),"")</f>
      </c>
      <c r="P225" t="str">
        <f>SUBSTITUTE(SUBSTITUTE(SUBSTITUTE(SUBSTITUTE(SUBSTITUTE(SUBSTITUTE(SUBSTITUTE(SUBSTITUTE(TRIM(D225&amp;""),CHAR(160),"")," ",""),"초등학교","초"),"중학교","중"),"고등학교","고"),"~","~~"),"*","~*"),"?","~?")</f>
      </c>
      <c r="Q225" t="str">
        <f>SUBSTITUTE(SUBSTITUTE(SUBSTITUTE(SUBSTITUTE(SUBSTITUTE(SUBSTITUTE(SUBSTITUTE(SUBSTITUTE(TRIM(E225&amp;""),CHAR(160),"")," ",""),"초등학교","초"),"중학교","중"),"고등학교","고"),"~","~~"),"*","~*"),"?","~?")</f>
      </c>
      <c r="R225" t="str">
        <f>IF(COUNTA(B225:J225)=0,"",IF(AND(O225&lt;&gt;"",P225&lt;&gt;"",Q225&lt;&gt;""),"","입력누락"))</f>
      </c>
    </row>
    <row r="226" customFormat="false" ht="15" hidden="false" customHeight="false" outlineLevel="0" collapsed="false">
      <c r="A226" t="n" s="19">
        <f aca="0">IF(COUNTA(B226:J226)=0,"",ROW()-1)</f>
      </c>
      <c r="B226" s="24"/>
      <c r="C226" s="25"/>
      <c r="D226" s="8"/>
      <c r="E226" s="8"/>
      <c r="F226" s="26"/>
      <c r="G226" s="24"/>
      <c r="H226" s="25"/>
      <c r="I226" s="25"/>
      <c r="J226" s="26"/>
      <c r="K226" t="str" s="15">
        <f aca="0">IF(COUNTA(B226:J226)=0,"",IF(R226&lt;&gt;"","확인필요(입력누락)",IF(COUNTIFS(보유목록!$I$2:$I$3001,"*"&amp;P226&amp;"*",보유목록!$I$2:$I$3001,"*"&amp;Q226&amp;"*",보유목록!$H$2:$H$3001,O226)&gt;0,"있음",IF(COUNTIFS(보유목록!$I$2:$I$3001,"*"&amp;P226&amp;"*",보유목록!$I$2:$I$3001,"*"&amp;Q226&amp;"*")&gt;0,"확인필요(연도다름)",IF(COUNTIFS(보유목록!$I$2:$I$3001,"*"&amp;P226&amp;"*",보유목록!$H$2:$H$3001,O226)&gt;0,"확인필요(같은학교·같은연도)","없음")))))</f>
      </c>
      <c r="L226" t="str" s="16">
        <f aca="0">IF(OR(COUNTA(B226:J226)=0,R226&lt;&gt;""),"",COUNTIFS(보유목록!$I$2:$I$3001,"*"&amp;P226&amp;"*",보유목록!$I$2:$I$3001,"*"&amp;Q226&amp;"*"))</f>
      </c>
      <c r="M226" t="str" s="23">
        <f aca="0">IF(OR(COUNTA(B226:J226)=0,R226&lt;&gt;""),"",IFERROR(LOOKUP(2,1/(ISNUMBER(SEARCH(P226,보유목록!$I$2:$I$3001))*ISNUMBER(SEARCH(Q226,보유목록!$I$2:$I$3001))*(보유목록!$H$2:$H$3001=O226)),보유목록!$B$2:$B$3001),IFERROR(LOOKUP(2,1/(ISNUMBER(SEARCH(P226,보유목록!$I$2:$I$3001))*ISNUMBER(SEARCH(Q226,보유목록!$I$2:$I$3001))),보유목록!$B$2:$B$3001),"")))</f>
      </c>
      <c r="N226" s="25"/>
      <c r="O226" t="str">
        <f>IFERROR(IF(AND(LEN(SUBSTITUTE(SUBSTITUTE(SUBSTITUTE(TRIM(C226&amp;""),CHAR(160),"")," ",""),"년",""))=4,VALUE(SUBSTITUTE(SUBSTITUTE(SUBSTITUTE(TRIM(C226&amp;""),CHAR(160),"")," ",""),"년",""))&gt;=1900,VALUE(SUBSTITUTE(SUBSTITUTE(SUBSTITUTE(TRIM(C226&amp;""),CHAR(160),"")," ",""),"년",""))&lt;=2099,TEXT(VALUE(SUBSTITUTE(SUBSTITUTE(SUBSTITUTE(TRIM(C226&amp;""),CHAR(160),"")," ",""),"년","")),"0000")=SUBSTITUTE(SUBSTITUTE(SUBSTITUTE(TRIM(C226&amp;""),CHAR(160),"")," ",""),"년","")),SUBSTITUTE(SUBSTITUTE(SUBSTITUTE(TRIM(C226&amp;""),CHAR(160),"")," ",""),"년",""),""),"")</f>
      </c>
      <c r="P226" t="str">
        <f>SUBSTITUTE(SUBSTITUTE(SUBSTITUTE(SUBSTITUTE(SUBSTITUTE(SUBSTITUTE(SUBSTITUTE(SUBSTITUTE(TRIM(D226&amp;""),CHAR(160),"")," ",""),"초등학교","초"),"중학교","중"),"고등학교","고"),"~","~~"),"*","~*"),"?","~?")</f>
      </c>
      <c r="Q226" t="str">
        <f>SUBSTITUTE(SUBSTITUTE(SUBSTITUTE(SUBSTITUTE(SUBSTITUTE(SUBSTITUTE(SUBSTITUTE(SUBSTITUTE(TRIM(E226&amp;""),CHAR(160),"")," ",""),"초등학교","초"),"중학교","중"),"고등학교","고"),"~","~~"),"*","~*"),"?","~?")</f>
      </c>
      <c r="R226" t="str">
        <f>IF(COUNTA(B226:J226)=0,"",IF(AND(O226&lt;&gt;"",P226&lt;&gt;"",Q226&lt;&gt;""),"","입력누락"))</f>
      </c>
    </row>
    <row r="227" customFormat="false" ht="15" hidden="false" customHeight="false" outlineLevel="0" collapsed="false">
      <c r="A227" t="n" s="19">
        <f aca="0">IF(COUNTA(B227:J227)=0,"",ROW()-1)</f>
      </c>
      <c r="B227" s="24"/>
      <c r="C227" s="25"/>
      <c r="D227" s="8"/>
      <c r="E227" s="8"/>
      <c r="F227" s="26"/>
      <c r="G227" s="24"/>
      <c r="H227" s="25"/>
      <c r="I227" s="25"/>
      <c r="J227" s="26"/>
      <c r="K227" t="str" s="15">
        <f aca="0">IF(COUNTA(B227:J227)=0,"",IF(R227&lt;&gt;"","확인필요(입력누락)",IF(COUNTIFS(보유목록!$I$2:$I$3001,"*"&amp;P227&amp;"*",보유목록!$I$2:$I$3001,"*"&amp;Q227&amp;"*",보유목록!$H$2:$H$3001,O227)&gt;0,"있음",IF(COUNTIFS(보유목록!$I$2:$I$3001,"*"&amp;P227&amp;"*",보유목록!$I$2:$I$3001,"*"&amp;Q227&amp;"*")&gt;0,"확인필요(연도다름)",IF(COUNTIFS(보유목록!$I$2:$I$3001,"*"&amp;P227&amp;"*",보유목록!$H$2:$H$3001,O227)&gt;0,"확인필요(같은학교·같은연도)","없음")))))</f>
      </c>
      <c r="L227" t="str" s="16">
        <f aca="0">IF(OR(COUNTA(B227:J227)=0,R227&lt;&gt;""),"",COUNTIFS(보유목록!$I$2:$I$3001,"*"&amp;P227&amp;"*",보유목록!$I$2:$I$3001,"*"&amp;Q227&amp;"*"))</f>
      </c>
      <c r="M227" t="str" s="23">
        <f aca="0">IF(OR(COUNTA(B227:J227)=0,R227&lt;&gt;""),"",IFERROR(LOOKUP(2,1/(ISNUMBER(SEARCH(P227,보유목록!$I$2:$I$3001))*ISNUMBER(SEARCH(Q227,보유목록!$I$2:$I$3001))*(보유목록!$H$2:$H$3001=O227)),보유목록!$B$2:$B$3001),IFERROR(LOOKUP(2,1/(ISNUMBER(SEARCH(P227,보유목록!$I$2:$I$3001))*ISNUMBER(SEARCH(Q227,보유목록!$I$2:$I$3001))),보유목록!$B$2:$B$3001),"")))</f>
      </c>
      <c r="N227" s="25"/>
      <c r="O227" t="str">
        <f>IFERROR(IF(AND(LEN(SUBSTITUTE(SUBSTITUTE(SUBSTITUTE(TRIM(C227&amp;""),CHAR(160),"")," ",""),"년",""))=4,VALUE(SUBSTITUTE(SUBSTITUTE(SUBSTITUTE(TRIM(C227&amp;""),CHAR(160),"")," ",""),"년",""))&gt;=1900,VALUE(SUBSTITUTE(SUBSTITUTE(SUBSTITUTE(TRIM(C227&amp;""),CHAR(160),"")," ",""),"년",""))&lt;=2099,TEXT(VALUE(SUBSTITUTE(SUBSTITUTE(SUBSTITUTE(TRIM(C227&amp;""),CHAR(160),"")," ",""),"년","")),"0000")=SUBSTITUTE(SUBSTITUTE(SUBSTITUTE(TRIM(C227&amp;""),CHAR(160),"")," ",""),"년","")),SUBSTITUTE(SUBSTITUTE(SUBSTITUTE(TRIM(C227&amp;""),CHAR(160),"")," ",""),"년",""),""),"")</f>
      </c>
      <c r="P227" t="str">
        <f>SUBSTITUTE(SUBSTITUTE(SUBSTITUTE(SUBSTITUTE(SUBSTITUTE(SUBSTITUTE(SUBSTITUTE(SUBSTITUTE(TRIM(D227&amp;""),CHAR(160),"")," ",""),"초등학교","초"),"중학교","중"),"고등학교","고"),"~","~~"),"*","~*"),"?","~?")</f>
      </c>
      <c r="Q227" t="str">
        <f>SUBSTITUTE(SUBSTITUTE(SUBSTITUTE(SUBSTITUTE(SUBSTITUTE(SUBSTITUTE(SUBSTITUTE(SUBSTITUTE(TRIM(E227&amp;""),CHAR(160),"")," ",""),"초등학교","초"),"중학교","중"),"고등학교","고"),"~","~~"),"*","~*"),"?","~?")</f>
      </c>
      <c r="R227" t="str">
        <f>IF(COUNTA(B227:J227)=0,"",IF(AND(O227&lt;&gt;"",P227&lt;&gt;"",Q227&lt;&gt;""),"","입력누락"))</f>
      </c>
    </row>
    <row r="228" customFormat="false" ht="15" hidden="false" customHeight="false" outlineLevel="0" collapsed="false">
      <c r="A228" t="n" s="19">
        <f aca="0">IF(COUNTA(B228:J228)=0,"",ROW()-1)</f>
      </c>
      <c r="B228" s="24"/>
      <c r="C228" s="25"/>
      <c r="D228" s="8"/>
      <c r="E228" s="8"/>
      <c r="F228" s="26"/>
      <c r="G228" s="24"/>
      <c r="H228" s="25"/>
      <c r="I228" s="25"/>
      <c r="J228" s="26"/>
      <c r="K228" t="str" s="15">
        <f aca="0">IF(COUNTA(B228:J228)=0,"",IF(R228&lt;&gt;"","확인필요(입력누락)",IF(COUNTIFS(보유목록!$I$2:$I$3001,"*"&amp;P228&amp;"*",보유목록!$I$2:$I$3001,"*"&amp;Q228&amp;"*",보유목록!$H$2:$H$3001,O228)&gt;0,"있음",IF(COUNTIFS(보유목록!$I$2:$I$3001,"*"&amp;P228&amp;"*",보유목록!$I$2:$I$3001,"*"&amp;Q228&amp;"*")&gt;0,"확인필요(연도다름)",IF(COUNTIFS(보유목록!$I$2:$I$3001,"*"&amp;P228&amp;"*",보유목록!$H$2:$H$3001,O228)&gt;0,"확인필요(같은학교·같은연도)","없음")))))</f>
      </c>
      <c r="L228" t="str" s="16">
        <f aca="0">IF(OR(COUNTA(B228:J228)=0,R228&lt;&gt;""),"",COUNTIFS(보유목록!$I$2:$I$3001,"*"&amp;P228&amp;"*",보유목록!$I$2:$I$3001,"*"&amp;Q228&amp;"*"))</f>
      </c>
      <c r="M228" t="str" s="23">
        <f aca="0">IF(OR(COUNTA(B228:J228)=0,R228&lt;&gt;""),"",IFERROR(LOOKUP(2,1/(ISNUMBER(SEARCH(P228,보유목록!$I$2:$I$3001))*ISNUMBER(SEARCH(Q228,보유목록!$I$2:$I$3001))*(보유목록!$H$2:$H$3001=O228)),보유목록!$B$2:$B$3001),IFERROR(LOOKUP(2,1/(ISNUMBER(SEARCH(P228,보유목록!$I$2:$I$3001))*ISNUMBER(SEARCH(Q228,보유목록!$I$2:$I$3001))),보유목록!$B$2:$B$3001),"")))</f>
      </c>
      <c r="N228" s="25"/>
      <c r="O228" t="str">
        <f>IFERROR(IF(AND(LEN(SUBSTITUTE(SUBSTITUTE(SUBSTITUTE(TRIM(C228&amp;""),CHAR(160),"")," ",""),"년",""))=4,VALUE(SUBSTITUTE(SUBSTITUTE(SUBSTITUTE(TRIM(C228&amp;""),CHAR(160),"")," ",""),"년",""))&gt;=1900,VALUE(SUBSTITUTE(SUBSTITUTE(SUBSTITUTE(TRIM(C228&amp;""),CHAR(160),"")," ",""),"년",""))&lt;=2099,TEXT(VALUE(SUBSTITUTE(SUBSTITUTE(SUBSTITUTE(TRIM(C228&amp;""),CHAR(160),"")," ",""),"년","")),"0000")=SUBSTITUTE(SUBSTITUTE(SUBSTITUTE(TRIM(C228&amp;""),CHAR(160),"")," ",""),"년","")),SUBSTITUTE(SUBSTITUTE(SUBSTITUTE(TRIM(C228&amp;""),CHAR(160),"")," ",""),"년",""),""),"")</f>
      </c>
      <c r="P228" t="str">
        <f>SUBSTITUTE(SUBSTITUTE(SUBSTITUTE(SUBSTITUTE(SUBSTITUTE(SUBSTITUTE(SUBSTITUTE(SUBSTITUTE(TRIM(D228&amp;""),CHAR(160),"")," ",""),"초등학교","초"),"중학교","중"),"고등학교","고"),"~","~~"),"*","~*"),"?","~?")</f>
      </c>
      <c r="Q228" t="str">
        <f>SUBSTITUTE(SUBSTITUTE(SUBSTITUTE(SUBSTITUTE(SUBSTITUTE(SUBSTITUTE(SUBSTITUTE(SUBSTITUTE(TRIM(E228&amp;""),CHAR(160),"")," ",""),"초등학교","초"),"중학교","중"),"고등학교","고"),"~","~~"),"*","~*"),"?","~?")</f>
      </c>
      <c r="R228" t="str">
        <f>IF(COUNTA(B228:J228)=0,"",IF(AND(O228&lt;&gt;"",P228&lt;&gt;"",Q228&lt;&gt;""),"","입력누락"))</f>
      </c>
    </row>
    <row r="229" customFormat="false" ht="15" hidden="false" customHeight="false" outlineLevel="0" collapsed="false">
      <c r="A229" t="n" s="19">
        <f aca="0">IF(COUNTA(B229:J229)=0,"",ROW()-1)</f>
      </c>
      <c r="B229" s="24"/>
      <c r="C229" s="25"/>
      <c r="D229" s="8"/>
      <c r="E229" s="8"/>
      <c r="F229" s="26"/>
      <c r="G229" s="24"/>
      <c r="H229" s="25"/>
      <c r="I229" s="25"/>
      <c r="J229" s="26"/>
      <c r="K229" t="str" s="15">
        <f aca="0">IF(COUNTA(B229:J229)=0,"",IF(R229&lt;&gt;"","확인필요(입력누락)",IF(COUNTIFS(보유목록!$I$2:$I$3001,"*"&amp;P229&amp;"*",보유목록!$I$2:$I$3001,"*"&amp;Q229&amp;"*",보유목록!$H$2:$H$3001,O229)&gt;0,"있음",IF(COUNTIFS(보유목록!$I$2:$I$3001,"*"&amp;P229&amp;"*",보유목록!$I$2:$I$3001,"*"&amp;Q229&amp;"*")&gt;0,"확인필요(연도다름)",IF(COUNTIFS(보유목록!$I$2:$I$3001,"*"&amp;P229&amp;"*",보유목록!$H$2:$H$3001,O229)&gt;0,"확인필요(같은학교·같은연도)","없음")))))</f>
      </c>
      <c r="L229" t="str" s="16">
        <f aca="0">IF(OR(COUNTA(B229:J229)=0,R229&lt;&gt;""),"",COUNTIFS(보유목록!$I$2:$I$3001,"*"&amp;P229&amp;"*",보유목록!$I$2:$I$3001,"*"&amp;Q229&amp;"*"))</f>
      </c>
      <c r="M229" t="str" s="23">
        <f aca="0">IF(OR(COUNTA(B229:J229)=0,R229&lt;&gt;""),"",IFERROR(LOOKUP(2,1/(ISNUMBER(SEARCH(P229,보유목록!$I$2:$I$3001))*ISNUMBER(SEARCH(Q229,보유목록!$I$2:$I$3001))*(보유목록!$H$2:$H$3001=O229)),보유목록!$B$2:$B$3001),IFERROR(LOOKUP(2,1/(ISNUMBER(SEARCH(P229,보유목록!$I$2:$I$3001))*ISNUMBER(SEARCH(Q229,보유목록!$I$2:$I$3001))),보유목록!$B$2:$B$3001),"")))</f>
      </c>
      <c r="N229" s="25"/>
      <c r="O229" t="str">
        <f>IFERROR(IF(AND(LEN(SUBSTITUTE(SUBSTITUTE(SUBSTITUTE(TRIM(C229&amp;""),CHAR(160),"")," ",""),"년",""))=4,VALUE(SUBSTITUTE(SUBSTITUTE(SUBSTITUTE(TRIM(C229&amp;""),CHAR(160),"")," ",""),"년",""))&gt;=1900,VALUE(SUBSTITUTE(SUBSTITUTE(SUBSTITUTE(TRIM(C229&amp;""),CHAR(160),"")," ",""),"년",""))&lt;=2099,TEXT(VALUE(SUBSTITUTE(SUBSTITUTE(SUBSTITUTE(TRIM(C229&amp;""),CHAR(160),"")," ",""),"년","")),"0000")=SUBSTITUTE(SUBSTITUTE(SUBSTITUTE(TRIM(C229&amp;""),CHAR(160),"")," ",""),"년","")),SUBSTITUTE(SUBSTITUTE(SUBSTITUTE(TRIM(C229&amp;""),CHAR(160),"")," ",""),"년",""),""),"")</f>
      </c>
      <c r="P229" t="str">
        <f>SUBSTITUTE(SUBSTITUTE(SUBSTITUTE(SUBSTITUTE(SUBSTITUTE(SUBSTITUTE(SUBSTITUTE(SUBSTITUTE(TRIM(D229&amp;""),CHAR(160),"")," ",""),"초등학교","초"),"중학교","중"),"고등학교","고"),"~","~~"),"*","~*"),"?","~?")</f>
      </c>
      <c r="Q229" t="str">
        <f>SUBSTITUTE(SUBSTITUTE(SUBSTITUTE(SUBSTITUTE(SUBSTITUTE(SUBSTITUTE(SUBSTITUTE(SUBSTITUTE(TRIM(E229&amp;""),CHAR(160),"")," ",""),"초등학교","초"),"중학교","중"),"고등학교","고"),"~","~~"),"*","~*"),"?","~?")</f>
      </c>
      <c r="R229" t="str">
        <f>IF(COUNTA(B229:J229)=0,"",IF(AND(O229&lt;&gt;"",P229&lt;&gt;"",Q229&lt;&gt;""),"","입력누락"))</f>
      </c>
    </row>
    <row r="230" customFormat="false" ht="15" hidden="false" customHeight="false" outlineLevel="0" collapsed="false">
      <c r="A230" t="n" s="19">
        <f aca="0">IF(COUNTA(B230:J230)=0,"",ROW()-1)</f>
      </c>
      <c r="B230" s="24"/>
      <c r="C230" s="25"/>
      <c r="D230" s="8"/>
      <c r="E230" s="8"/>
      <c r="F230" s="26"/>
      <c r="G230" s="24"/>
      <c r="H230" s="25"/>
      <c r="I230" s="25"/>
      <c r="J230" s="26"/>
      <c r="K230" t="str" s="15">
        <f aca="0">IF(COUNTA(B230:J230)=0,"",IF(R230&lt;&gt;"","확인필요(입력누락)",IF(COUNTIFS(보유목록!$I$2:$I$3001,"*"&amp;P230&amp;"*",보유목록!$I$2:$I$3001,"*"&amp;Q230&amp;"*",보유목록!$H$2:$H$3001,O230)&gt;0,"있음",IF(COUNTIFS(보유목록!$I$2:$I$3001,"*"&amp;P230&amp;"*",보유목록!$I$2:$I$3001,"*"&amp;Q230&amp;"*")&gt;0,"확인필요(연도다름)",IF(COUNTIFS(보유목록!$I$2:$I$3001,"*"&amp;P230&amp;"*",보유목록!$H$2:$H$3001,O230)&gt;0,"확인필요(같은학교·같은연도)","없음")))))</f>
      </c>
      <c r="L230" t="str" s="16">
        <f aca="0">IF(OR(COUNTA(B230:J230)=0,R230&lt;&gt;""),"",COUNTIFS(보유목록!$I$2:$I$3001,"*"&amp;P230&amp;"*",보유목록!$I$2:$I$3001,"*"&amp;Q230&amp;"*"))</f>
      </c>
      <c r="M230" t="str" s="23">
        <f aca="0">IF(OR(COUNTA(B230:J230)=0,R230&lt;&gt;""),"",IFERROR(LOOKUP(2,1/(ISNUMBER(SEARCH(P230,보유목록!$I$2:$I$3001))*ISNUMBER(SEARCH(Q230,보유목록!$I$2:$I$3001))*(보유목록!$H$2:$H$3001=O230)),보유목록!$B$2:$B$3001),IFERROR(LOOKUP(2,1/(ISNUMBER(SEARCH(P230,보유목록!$I$2:$I$3001))*ISNUMBER(SEARCH(Q230,보유목록!$I$2:$I$3001))),보유목록!$B$2:$B$3001),"")))</f>
      </c>
      <c r="N230" s="25"/>
      <c r="O230" t="str">
        <f>IFERROR(IF(AND(LEN(SUBSTITUTE(SUBSTITUTE(SUBSTITUTE(TRIM(C230&amp;""),CHAR(160),"")," ",""),"년",""))=4,VALUE(SUBSTITUTE(SUBSTITUTE(SUBSTITUTE(TRIM(C230&amp;""),CHAR(160),"")," ",""),"년",""))&gt;=1900,VALUE(SUBSTITUTE(SUBSTITUTE(SUBSTITUTE(TRIM(C230&amp;""),CHAR(160),"")," ",""),"년",""))&lt;=2099,TEXT(VALUE(SUBSTITUTE(SUBSTITUTE(SUBSTITUTE(TRIM(C230&amp;""),CHAR(160),"")," ",""),"년","")),"0000")=SUBSTITUTE(SUBSTITUTE(SUBSTITUTE(TRIM(C230&amp;""),CHAR(160),"")," ",""),"년","")),SUBSTITUTE(SUBSTITUTE(SUBSTITUTE(TRIM(C230&amp;""),CHAR(160),"")," ",""),"년",""),""),"")</f>
      </c>
      <c r="P230" t="str">
        <f>SUBSTITUTE(SUBSTITUTE(SUBSTITUTE(SUBSTITUTE(SUBSTITUTE(SUBSTITUTE(SUBSTITUTE(SUBSTITUTE(TRIM(D230&amp;""),CHAR(160),"")," ",""),"초등학교","초"),"중학교","중"),"고등학교","고"),"~","~~"),"*","~*"),"?","~?")</f>
      </c>
      <c r="Q230" t="str">
        <f>SUBSTITUTE(SUBSTITUTE(SUBSTITUTE(SUBSTITUTE(SUBSTITUTE(SUBSTITUTE(SUBSTITUTE(SUBSTITUTE(TRIM(E230&amp;""),CHAR(160),"")," ",""),"초등학교","초"),"중학교","중"),"고등학교","고"),"~","~~"),"*","~*"),"?","~?")</f>
      </c>
      <c r="R230" t="str">
        <f>IF(COUNTA(B230:J230)=0,"",IF(AND(O230&lt;&gt;"",P230&lt;&gt;"",Q230&lt;&gt;""),"","입력누락"))</f>
      </c>
    </row>
    <row r="231" customFormat="false" ht="15" hidden="false" customHeight="false" outlineLevel="0" collapsed="false">
      <c r="A231" t="n" s="19">
        <f aca="0">IF(COUNTA(B231:J231)=0,"",ROW()-1)</f>
      </c>
      <c r="B231" s="24"/>
      <c r="C231" s="25"/>
      <c r="D231" s="8"/>
      <c r="E231" s="8"/>
      <c r="F231" s="26"/>
      <c r="G231" s="24"/>
      <c r="H231" s="25"/>
      <c r="I231" s="25"/>
      <c r="J231" s="26"/>
      <c r="K231" t="str" s="15">
        <f aca="0">IF(COUNTA(B231:J231)=0,"",IF(R231&lt;&gt;"","확인필요(입력누락)",IF(COUNTIFS(보유목록!$I$2:$I$3001,"*"&amp;P231&amp;"*",보유목록!$I$2:$I$3001,"*"&amp;Q231&amp;"*",보유목록!$H$2:$H$3001,O231)&gt;0,"있음",IF(COUNTIFS(보유목록!$I$2:$I$3001,"*"&amp;P231&amp;"*",보유목록!$I$2:$I$3001,"*"&amp;Q231&amp;"*")&gt;0,"확인필요(연도다름)",IF(COUNTIFS(보유목록!$I$2:$I$3001,"*"&amp;P231&amp;"*",보유목록!$H$2:$H$3001,O231)&gt;0,"확인필요(같은학교·같은연도)","없음")))))</f>
      </c>
      <c r="L231" t="str" s="16">
        <f aca="0">IF(OR(COUNTA(B231:J231)=0,R231&lt;&gt;""),"",COUNTIFS(보유목록!$I$2:$I$3001,"*"&amp;P231&amp;"*",보유목록!$I$2:$I$3001,"*"&amp;Q231&amp;"*"))</f>
      </c>
      <c r="M231" t="str" s="23">
        <f aca="0">IF(OR(COUNTA(B231:J231)=0,R231&lt;&gt;""),"",IFERROR(LOOKUP(2,1/(ISNUMBER(SEARCH(P231,보유목록!$I$2:$I$3001))*ISNUMBER(SEARCH(Q231,보유목록!$I$2:$I$3001))*(보유목록!$H$2:$H$3001=O231)),보유목록!$B$2:$B$3001),IFERROR(LOOKUP(2,1/(ISNUMBER(SEARCH(P231,보유목록!$I$2:$I$3001))*ISNUMBER(SEARCH(Q231,보유목록!$I$2:$I$3001))),보유목록!$B$2:$B$3001),"")))</f>
      </c>
      <c r="N231" s="25"/>
      <c r="O231" t="str">
        <f>IFERROR(IF(AND(LEN(SUBSTITUTE(SUBSTITUTE(SUBSTITUTE(TRIM(C231&amp;""),CHAR(160),"")," ",""),"년",""))=4,VALUE(SUBSTITUTE(SUBSTITUTE(SUBSTITUTE(TRIM(C231&amp;""),CHAR(160),"")," ",""),"년",""))&gt;=1900,VALUE(SUBSTITUTE(SUBSTITUTE(SUBSTITUTE(TRIM(C231&amp;""),CHAR(160),"")," ",""),"년",""))&lt;=2099,TEXT(VALUE(SUBSTITUTE(SUBSTITUTE(SUBSTITUTE(TRIM(C231&amp;""),CHAR(160),"")," ",""),"년","")),"0000")=SUBSTITUTE(SUBSTITUTE(SUBSTITUTE(TRIM(C231&amp;""),CHAR(160),"")," ",""),"년","")),SUBSTITUTE(SUBSTITUTE(SUBSTITUTE(TRIM(C231&amp;""),CHAR(160),"")," ",""),"년",""),""),"")</f>
      </c>
      <c r="P231" t="str">
        <f>SUBSTITUTE(SUBSTITUTE(SUBSTITUTE(SUBSTITUTE(SUBSTITUTE(SUBSTITUTE(SUBSTITUTE(SUBSTITUTE(TRIM(D231&amp;""),CHAR(160),"")," ",""),"초등학교","초"),"중학교","중"),"고등학교","고"),"~","~~"),"*","~*"),"?","~?")</f>
      </c>
      <c r="Q231" t="str">
        <f>SUBSTITUTE(SUBSTITUTE(SUBSTITUTE(SUBSTITUTE(SUBSTITUTE(SUBSTITUTE(SUBSTITUTE(SUBSTITUTE(TRIM(E231&amp;""),CHAR(160),"")," ",""),"초등학교","초"),"중학교","중"),"고등학교","고"),"~","~~"),"*","~*"),"?","~?")</f>
      </c>
      <c r="R231" t="str">
        <f>IF(COUNTA(B231:J231)=0,"",IF(AND(O231&lt;&gt;"",P231&lt;&gt;"",Q231&lt;&gt;""),"","입력누락"))</f>
      </c>
    </row>
    <row r="232" customFormat="false" ht="15" hidden="false" customHeight="false" outlineLevel="0" collapsed="false">
      <c r="A232" t="n" s="19">
        <f aca="0">IF(COUNTA(B232:J232)=0,"",ROW()-1)</f>
      </c>
      <c r="B232" s="24"/>
      <c r="C232" s="25"/>
      <c r="D232" s="8"/>
      <c r="E232" s="8"/>
      <c r="F232" s="26"/>
      <c r="G232" s="24"/>
      <c r="H232" s="25"/>
      <c r="I232" s="25"/>
      <c r="J232" s="26"/>
      <c r="K232" t="str" s="15">
        <f aca="0">IF(COUNTA(B232:J232)=0,"",IF(R232&lt;&gt;"","확인필요(입력누락)",IF(COUNTIFS(보유목록!$I$2:$I$3001,"*"&amp;P232&amp;"*",보유목록!$I$2:$I$3001,"*"&amp;Q232&amp;"*",보유목록!$H$2:$H$3001,O232)&gt;0,"있음",IF(COUNTIFS(보유목록!$I$2:$I$3001,"*"&amp;P232&amp;"*",보유목록!$I$2:$I$3001,"*"&amp;Q232&amp;"*")&gt;0,"확인필요(연도다름)",IF(COUNTIFS(보유목록!$I$2:$I$3001,"*"&amp;P232&amp;"*",보유목록!$H$2:$H$3001,O232)&gt;0,"확인필요(같은학교·같은연도)","없음")))))</f>
      </c>
      <c r="L232" t="str" s="16">
        <f aca="0">IF(OR(COUNTA(B232:J232)=0,R232&lt;&gt;""),"",COUNTIFS(보유목록!$I$2:$I$3001,"*"&amp;P232&amp;"*",보유목록!$I$2:$I$3001,"*"&amp;Q232&amp;"*"))</f>
      </c>
      <c r="M232" t="str" s="23">
        <f aca="0">IF(OR(COUNTA(B232:J232)=0,R232&lt;&gt;""),"",IFERROR(LOOKUP(2,1/(ISNUMBER(SEARCH(P232,보유목록!$I$2:$I$3001))*ISNUMBER(SEARCH(Q232,보유목록!$I$2:$I$3001))*(보유목록!$H$2:$H$3001=O232)),보유목록!$B$2:$B$3001),IFERROR(LOOKUP(2,1/(ISNUMBER(SEARCH(P232,보유목록!$I$2:$I$3001))*ISNUMBER(SEARCH(Q232,보유목록!$I$2:$I$3001))),보유목록!$B$2:$B$3001),"")))</f>
      </c>
      <c r="N232" s="25"/>
      <c r="O232" t="str">
        <f>IFERROR(IF(AND(LEN(SUBSTITUTE(SUBSTITUTE(SUBSTITUTE(TRIM(C232&amp;""),CHAR(160),"")," ",""),"년",""))=4,VALUE(SUBSTITUTE(SUBSTITUTE(SUBSTITUTE(TRIM(C232&amp;""),CHAR(160),"")," ",""),"년",""))&gt;=1900,VALUE(SUBSTITUTE(SUBSTITUTE(SUBSTITUTE(TRIM(C232&amp;""),CHAR(160),"")," ",""),"년",""))&lt;=2099,TEXT(VALUE(SUBSTITUTE(SUBSTITUTE(SUBSTITUTE(TRIM(C232&amp;""),CHAR(160),"")," ",""),"년","")),"0000")=SUBSTITUTE(SUBSTITUTE(SUBSTITUTE(TRIM(C232&amp;""),CHAR(160),"")," ",""),"년","")),SUBSTITUTE(SUBSTITUTE(SUBSTITUTE(TRIM(C232&amp;""),CHAR(160),"")," ",""),"년",""),""),"")</f>
      </c>
      <c r="P232" t="str">
        <f>SUBSTITUTE(SUBSTITUTE(SUBSTITUTE(SUBSTITUTE(SUBSTITUTE(SUBSTITUTE(SUBSTITUTE(SUBSTITUTE(TRIM(D232&amp;""),CHAR(160),"")," ",""),"초등학교","초"),"중학교","중"),"고등학교","고"),"~","~~"),"*","~*"),"?","~?")</f>
      </c>
      <c r="Q232" t="str">
        <f>SUBSTITUTE(SUBSTITUTE(SUBSTITUTE(SUBSTITUTE(SUBSTITUTE(SUBSTITUTE(SUBSTITUTE(SUBSTITUTE(TRIM(E232&amp;""),CHAR(160),"")," ",""),"초등학교","초"),"중학교","중"),"고등학교","고"),"~","~~"),"*","~*"),"?","~?")</f>
      </c>
      <c r="R232" t="str">
        <f>IF(COUNTA(B232:J232)=0,"",IF(AND(O232&lt;&gt;"",P232&lt;&gt;"",Q232&lt;&gt;""),"","입력누락"))</f>
      </c>
    </row>
    <row r="233" customFormat="false" ht="15" hidden="false" customHeight="false" outlineLevel="0" collapsed="false">
      <c r="A233" t="n" s="19">
        <f aca="0">IF(COUNTA(B233:J233)=0,"",ROW()-1)</f>
      </c>
      <c r="B233" s="24"/>
      <c r="C233" s="25"/>
      <c r="D233" s="8"/>
      <c r="E233" s="8"/>
      <c r="F233" s="26"/>
      <c r="G233" s="24"/>
      <c r="H233" s="25"/>
      <c r="I233" s="25"/>
      <c r="J233" s="26"/>
      <c r="K233" t="str" s="15">
        <f aca="0">IF(COUNTA(B233:J233)=0,"",IF(R233&lt;&gt;"","확인필요(입력누락)",IF(COUNTIFS(보유목록!$I$2:$I$3001,"*"&amp;P233&amp;"*",보유목록!$I$2:$I$3001,"*"&amp;Q233&amp;"*",보유목록!$H$2:$H$3001,O233)&gt;0,"있음",IF(COUNTIFS(보유목록!$I$2:$I$3001,"*"&amp;P233&amp;"*",보유목록!$I$2:$I$3001,"*"&amp;Q233&amp;"*")&gt;0,"확인필요(연도다름)",IF(COUNTIFS(보유목록!$I$2:$I$3001,"*"&amp;P233&amp;"*",보유목록!$H$2:$H$3001,O233)&gt;0,"확인필요(같은학교·같은연도)","없음")))))</f>
      </c>
      <c r="L233" t="str" s="16">
        <f aca="0">IF(OR(COUNTA(B233:J233)=0,R233&lt;&gt;""),"",COUNTIFS(보유목록!$I$2:$I$3001,"*"&amp;P233&amp;"*",보유목록!$I$2:$I$3001,"*"&amp;Q233&amp;"*"))</f>
      </c>
      <c r="M233" t="str" s="23">
        <f aca="0">IF(OR(COUNTA(B233:J233)=0,R233&lt;&gt;""),"",IFERROR(LOOKUP(2,1/(ISNUMBER(SEARCH(P233,보유목록!$I$2:$I$3001))*ISNUMBER(SEARCH(Q233,보유목록!$I$2:$I$3001))*(보유목록!$H$2:$H$3001=O233)),보유목록!$B$2:$B$3001),IFERROR(LOOKUP(2,1/(ISNUMBER(SEARCH(P233,보유목록!$I$2:$I$3001))*ISNUMBER(SEARCH(Q233,보유목록!$I$2:$I$3001))),보유목록!$B$2:$B$3001),"")))</f>
      </c>
      <c r="N233" s="25"/>
      <c r="O233" t="str">
        <f>IFERROR(IF(AND(LEN(SUBSTITUTE(SUBSTITUTE(SUBSTITUTE(TRIM(C233&amp;""),CHAR(160),"")," ",""),"년",""))=4,VALUE(SUBSTITUTE(SUBSTITUTE(SUBSTITUTE(TRIM(C233&amp;""),CHAR(160),"")," ",""),"년",""))&gt;=1900,VALUE(SUBSTITUTE(SUBSTITUTE(SUBSTITUTE(TRIM(C233&amp;""),CHAR(160),"")," ",""),"년",""))&lt;=2099,TEXT(VALUE(SUBSTITUTE(SUBSTITUTE(SUBSTITUTE(TRIM(C233&amp;""),CHAR(160),"")," ",""),"년","")),"0000")=SUBSTITUTE(SUBSTITUTE(SUBSTITUTE(TRIM(C233&amp;""),CHAR(160),"")," ",""),"년","")),SUBSTITUTE(SUBSTITUTE(SUBSTITUTE(TRIM(C233&amp;""),CHAR(160),"")," ",""),"년",""),""),"")</f>
      </c>
      <c r="P233" t="str">
        <f>SUBSTITUTE(SUBSTITUTE(SUBSTITUTE(SUBSTITUTE(SUBSTITUTE(SUBSTITUTE(SUBSTITUTE(SUBSTITUTE(TRIM(D233&amp;""),CHAR(160),"")," ",""),"초등학교","초"),"중학교","중"),"고등학교","고"),"~","~~"),"*","~*"),"?","~?")</f>
      </c>
      <c r="Q233" t="str">
        <f>SUBSTITUTE(SUBSTITUTE(SUBSTITUTE(SUBSTITUTE(SUBSTITUTE(SUBSTITUTE(SUBSTITUTE(SUBSTITUTE(TRIM(E233&amp;""),CHAR(160),"")," ",""),"초등학교","초"),"중학교","중"),"고등학교","고"),"~","~~"),"*","~*"),"?","~?")</f>
      </c>
      <c r="R233" t="str">
        <f>IF(COUNTA(B233:J233)=0,"",IF(AND(O233&lt;&gt;"",P233&lt;&gt;"",Q233&lt;&gt;""),"","입력누락"))</f>
      </c>
    </row>
    <row r="234" customFormat="false" ht="15" hidden="false" customHeight="false" outlineLevel="0" collapsed="false">
      <c r="A234" t="n" s="19">
        <f aca="0">IF(COUNTA(B234:J234)=0,"",ROW()-1)</f>
      </c>
      <c r="B234" s="24"/>
      <c r="C234" s="25"/>
      <c r="D234" s="8"/>
      <c r="E234" s="8"/>
      <c r="F234" s="26"/>
      <c r="G234" s="24"/>
      <c r="H234" s="25"/>
      <c r="I234" s="25"/>
      <c r="J234" s="26"/>
      <c r="K234" t="str" s="15">
        <f aca="0">IF(COUNTA(B234:J234)=0,"",IF(R234&lt;&gt;"","확인필요(입력누락)",IF(COUNTIFS(보유목록!$I$2:$I$3001,"*"&amp;P234&amp;"*",보유목록!$I$2:$I$3001,"*"&amp;Q234&amp;"*",보유목록!$H$2:$H$3001,O234)&gt;0,"있음",IF(COUNTIFS(보유목록!$I$2:$I$3001,"*"&amp;P234&amp;"*",보유목록!$I$2:$I$3001,"*"&amp;Q234&amp;"*")&gt;0,"확인필요(연도다름)",IF(COUNTIFS(보유목록!$I$2:$I$3001,"*"&amp;P234&amp;"*",보유목록!$H$2:$H$3001,O234)&gt;0,"확인필요(같은학교·같은연도)","없음")))))</f>
      </c>
      <c r="L234" t="str" s="16">
        <f aca="0">IF(OR(COUNTA(B234:J234)=0,R234&lt;&gt;""),"",COUNTIFS(보유목록!$I$2:$I$3001,"*"&amp;P234&amp;"*",보유목록!$I$2:$I$3001,"*"&amp;Q234&amp;"*"))</f>
      </c>
      <c r="M234" t="str" s="23">
        <f aca="0">IF(OR(COUNTA(B234:J234)=0,R234&lt;&gt;""),"",IFERROR(LOOKUP(2,1/(ISNUMBER(SEARCH(P234,보유목록!$I$2:$I$3001))*ISNUMBER(SEARCH(Q234,보유목록!$I$2:$I$3001))*(보유목록!$H$2:$H$3001=O234)),보유목록!$B$2:$B$3001),IFERROR(LOOKUP(2,1/(ISNUMBER(SEARCH(P234,보유목록!$I$2:$I$3001))*ISNUMBER(SEARCH(Q234,보유목록!$I$2:$I$3001))),보유목록!$B$2:$B$3001),"")))</f>
      </c>
      <c r="N234" s="25"/>
      <c r="O234" t="str">
        <f>IFERROR(IF(AND(LEN(SUBSTITUTE(SUBSTITUTE(SUBSTITUTE(TRIM(C234&amp;""),CHAR(160),"")," ",""),"년",""))=4,VALUE(SUBSTITUTE(SUBSTITUTE(SUBSTITUTE(TRIM(C234&amp;""),CHAR(160),"")," ",""),"년",""))&gt;=1900,VALUE(SUBSTITUTE(SUBSTITUTE(SUBSTITUTE(TRIM(C234&amp;""),CHAR(160),"")," ",""),"년",""))&lt;=2099,TEXT(VALUE(SUBSTITUTE(SUBSTITUTE(SUBSTITUTE(TRIM(C234&amp;""),CHAR(160),"")," ",""),"년","")),"0000")=SUBSTITUTE(SUBSTITUTE(SUBSTITUTE(TRIM(C234&amp;""),CHAR(160),"")," ",""),"년","")),SUBSTITUTE(SUBSTITUTE(SUBSTITUTE(TRIM(C234&amp;""),CHAR(160),"")," ",""),"년",""),""),"")</f>
      </c>
      <c r="P234" t="str">
        <f>SUBSTITUTE(SUBSTITUTE(SUBSTITUTE(SUBSTITUTE(SUBSTITUTE(SUBSTITUTE(SUBSTITUTE(SUBSTITUTE(TRIM(D234&amp;""),CHAR(160),"")," ",""),"초등학교","초"),"중학교","중"),"고등학교","고"),"~","~~"),"*","~*"),"?","~?")</f>
      </c>
      <c r="Q234" t="str">
        <f>SUBSTITUTE(SUBSTITUTE(SUBSTITUTE(SUBSTITUTE(SUBSTITUTE(SUBSTITUTE(SUBSTITUTE(SUBSTITUTE(TRIM(E234&amp;""),CHAR(160),"")," ",""),"초등학교","초"),"중학교","중"),"고등학교","고"),"~","~~"),"*","~*"),"?","~?")</f>
      </c>
      <c r="R234" t="str">
        <f>IF(COUNTA(B234:J234)=0,"",IF(AND(O234&lt;&gt;"",P234&lt;&gt;"",Q234&lt;&gt;""),"","입력누락"))</f>
      </c>
    </row>
    <row r="235" customFormat="false" ht="15" hidden="false" customHeight="false" outlineLevel="0" collapsed="false">
      <c r="A235" t="n" s="19">
        <f aca="0">IF(COUNTA(B235:J235)=0,"",ROW()-1)</f>
      </c>
      <c r="B235" s="24"/>
      <c r="C235" s="25"/>
      <c r="D235" s="8"/>
      <c r="E235" s="8"/>
      <c r="F235" s="26"/>
      <c r="G235" s="24"/>
      <c r="H235" s="25"/>
      <c r="I235" s="25"/>
      <c r="J235" s="26"/>
      <c r="K235" t="str" s="15">
        <f aca="0">IF(COUNTA(B235:J235)=0,"",IF(R235&lt;&gt;"","확인필요(입력누락)",IF(COUNTIFS(보유목록!$I$2:$I$3001,"*"&amp;P235&amp;"*",보유목록!$I$2:$I$3001,"*"&amp;Q235&amp;"*",보유목록!$H$2:$H$3001,O235)&gt;0,"있음",IF(COUNTIFS(보유목록!$I$2:$I$3001,"*"&amp;P235&amp;"*",보유목록!$I$2:$I$3001,"*"&amp;Q235&amp;"*")&gt;0,"확인필요(연도다름)",IF(COUNTIFS(보유목록!$I$2:$I$3001,"*"&amp;P235&amp;"*",보유목록!$H$2:$H$3001,O235)&gt;0,"확인필요(같은학교·같은연도)","없음")))))</f>
      </c>
      <c r="L235" t="str" s="16">
        <f aca="0">IF(OR(COUNTA(B235:J235)=0,R235&lt;&gt;""),"",COUNTIFS(보유목록!$I$2:$I$3001,"*"&amp;P235&amp;"*",보유목록!$I$2:$I$3001,"*"&amp;Q235&amp;"*"))</f>
      </c>
      <c r="M235" t="str" s="23">
        <f aca="0">IF(OR(COUNTA(B235:J235)=0,R235&lt;&gt;""),"",IFERROR(LOOKUP(2,1/(ISNUMBER(SEARCH(P235,보유목록!$I$2:$I$3001))*ISNUMBER(SEARCH(Q235,보유목록!$I$2:$I$3001))*(보유목록!$H$2:$H$3001=O235)),보유목록!$B$2:$B$3001),IFERROR(LOOKUP(2,1/(ISNUMBER(SEARCH(P235,보유목록!$I$2:$I$3001))*ISNUMBER(SEARCH(Q235,보유목록!$I$2:$I$3001))),보유목록!$B$2:$B$3001),"")))</f>
      </c>
      <c r="N235" s="25"/>
      <c r="O235" t="str">
        <f>IFERROR(IF(AND(LEN(SUBSTITUTE(SUBSTITUTE(SUBSTITUTE(TRIM(C235&amp;""),CHAR(160),"")," ",""),"년",""))=4,VALUE(SUBSTITUTE(SUBSTITUTE(SUBSTITUTE(TRIM(C235&amp;""),CHAR(160),"")," ",""),"년",""))&gt;=1900,VALUE(SUBSTITUTE(SUBSTITUTE(SUBSTITUTE(TRIM(C235&amp;""),CHAR(160),"")," ",""),"년",""))&lt;=2099,TEXT(VALUE(SUBSTITUTE(SUBSTITUTE(SUBSTITUTE(TRIM(C235&amp;""),CHAR(160),"")," ",""),"년","")),"0000")=SUBSTITUTE(SUBSTITUTE(SUBSTITUTE(TRIM(C235&amp;""),CHAR(160),"")," ",""),"년","")),SUBSTITUTE(SUBSTITUTE(SUBSTITUTE(TRIM(C235&amp;""),CHAR(160),"")," ",""),"년",""),""),"")</f>
      </c>
      <c r="P235" t="str">
        <f>SUBSTITUTE(SUBSTITUTE(SUBSTITUTE(SUBSTITUTE(SUBSTITUTE(SUBSTITUTE(SUBSTITUTE(SUBSTITUTE(TRIM(D235&amp;""),CHAR(160),"")," ",""),"초등학교","초"),"중학교","중"),"고등학교","고"),"~","~~"),"*","~*"),"?","~?")</f>
      </c>
      <c r="Q235" t="str">
        <f>SUBSTITUTE(SUBSTITUTE(SUBSTITUTE(SUBSTITUTE(SUBSTITUTE(SUBSTITUTE(SUBSTITUTE(SUBSTITUTE(TRIM(E235&amp;""),CHAR(160),"")," ",""),"초등학교","초"),"중학교","중"),"고등학교","고"),"~","~~"),"*","~*"),"?","~?")</f>
      </c>
      <c r="R235" t="str">
        <f>IF(COUNTA(B235:J235)=0,"",IF(AND(O235&lt;&gt;"",P235&lt;&gt;"",Q235&lt;&gt;""),"","입력누락"))</f>
      </c>
    </row>
    <row r="236" customFormat="false" ht="15" hidden="false" customHeight="false" outlineLevel="0" collapsed="false">
      <c r="A236" t="n" s="19">
        <f aca="0">IF(COUNTA(B236:J236)=0,"",ROW()-1)</f>
      </c>
      <c r="B236" s="24"/>
      <c r="C236" s="25"/>
      <c r="D236" s="8"/>
      <c r="E236" s="8"/>
      <c r="F236" s="26"/>
      <c r="G236" s="24"/>
      <c r="H236" s="25"/>
      <c r="I236" s="25"/>
      <c r="J236" s="26"/>
      <c r="K236" t="str" s="15">
        <f aca="0">IF(COUNTA(B236:J236)=0,"",IF(R236&lt;&gt;"","확인필요(입력누락)",IF(COUNTIFS(보유목록!$I$2:$I$3001,"*"&amp;P236&amp;"*",보유목록!$I$2:$I$3001,"*"&amp;Q236&amp;"*",보유목록!$H$2:$H$3001,O236)&gt;0,"있음",IF(COUNTIFS(보유목록!$I$2:$I$3001,"*"&amp;P236&amp;"*",보유목록!$I$2:$I$3001,"*"&amp;Q236&amp;"*")&gt;0,"확인필요(연도다름)",IF(COUNTIFS(보유목록!$I$2:$I$3001,"*"&amp;P236&amp;"*",보유목록!$H$2:$H$3001,O236)&gt;0,"확인필요(같은학교·같은연도)","없음")))))</f>
      </c>
      <c r="L236" t="str" s="16">
        <f aca="0">IF(OR(COUNTA(B236:J236)=0,R236&lt;&gt;""),"",COUNTIFS(보유목록!$I$2:$I$3001,"*"&amp;P236&amp;"*",보유목록!$I$2:$I$3001,"*"&amp;Q236&amp;"*"))</f>
      </c>
      <c r="M236" t="str" s="23">
        <f aca="0">IF(OR(COUNTA(B236:J236)=0,R236&lt;&gt;""),"",IFERROR(LOOKUP(2,1/(ISNUMBER(SEARCH(P236,보유목록!$I$2:$I$3001))*ISNUMBER(SEARCH(Q236,보유목록!$I$2:$I$3001))*(보유목록!$H$2:$H$3001=O236)),보유목록!$B$2:$B$3001),IFERROR(LOOKUP(2,1/(ISNUMBER(SEARCH(P236,보유목록!$I$2:$I$3001))*ISNUMBER(SEARCH(Q236,보유목록!$I$2:$I$3001))),보유목록!$B$2:$B$3001),"")))</f>
      </c>
      <c r="N236" s="25"/>
      <c r="O236" t="str">
        <f>IFERROR(IF(AND(LEN(SUBSTITUTE(SUBSTITUTE(SUBSTITUTE(TRIM(C236&amp;""),CHAR(160),"")," ",""),"년",""))=4,VALUE(SUBSTITUTE(SUBSTITUTE(SUBSTITUTE(TRIM(C236&amp;""),CHAR(160),"")," ",""),"년",""))&gt;=1900,VALUE(SUBSTITUTE(SUBSTITUTE(SUBSTITUTE(TRIM(C236&amp;""),CHAR(160),"")," ",""),"년",""))&lt;=2099,TEXT(VALUE(SUBSTITUTE(SUBSTITUTE(SUBSTITUTE(TRIM(C236&amp;""),CHAR(160),"")," ",""),"년","")),"0000")=SUBSTITUTE(SUBSTITUTE(SUBSTITUTE(TRIM(C236&amp;""),CHAR(160),"")," ",""),"년","")),SUBSTITUTE(SUBSTITUTE(SUBSTITUTE(TRIM(C236&amp;""),CHAR(160),"")," ",""),"년",""),""),"")</f>
      </c>
      <c r="P236" t="str">
        <f>SUBSTITUTE(SUBSTITUTE(SUBSTITUTE(SUBSTITUTE(SUBSTITUTE(SUBSTITUTE(SUBSTITUTE(SUBSTITUTE(TRIM(D236&amp;""),CHAR(160),"")," ",""),"초등학교","초"),"중학교","중"),"고등학교","고"),"~","~~"),"*","~*"),"?","~?")</f>
      </c>
      <c r="Q236" t="str">
        <f>SUBSTITUTE(SUBSTITUTE(SUBSTITUTE(SUBSTITUTE(SUBSTITUTE(SUBSTITUTE(SUBSTITUTE(SUBSTITUTE(TRIM(E236&amp;""),CHAR(160),"")," ",""),"초등학교","초"),"중학교","중"),"고등학교","고"),"~","~~"),"*","~*"),"?","~?")</f>
      </c>
      <c r="R236" t="str">
        <f>IF(COUNTA(B236:J236)=0,"",IF(AND(O236&lt;&gt;"",P236&lt;&gt;"",Q236&lt;&gt;""),"","입력누락"))</f>
      </c>
    </row>
    <row r="237" customFormat="false" ht="15" hidden="false" customHeight="false" outlineLevel="0" collapsed="false">
      <c r="A237" t="n" s="19">
        <f aca="0">IF(COUNTA(B237:J237)=0,"",ROW()-1)</f>
      </c>
      <c r="B237" s="24"/>
      <c r="C237" s="25"/>
      <c r="D237" s="8"/>
      <c r="E237" s="8"/>
      <c r="F237" s="26"/>
      <c r="G237" s="24"/>
      <c r="H237" s="25"/>
      <c r="I237" s="25"/>
      <c r="J237" s="26"/>
      <c r="K237" t="str" s="15">
        <f aca="0">IF(COUNTA(B237:J237)=0,"",IF(R237&lt;&gt;"","확인필요(입력누락)",IF(COUNTIFS(보유목록!$I$2:$I$3001,"*"&amp;P237&amp;"*",보유목록!$I$2:$I$3001,"*"&amp;Q237&amp;"*",보유목록!$H$2:$H$3001,O237)&gt;0,"있음",IF(COUNTIFS(보유목록!$I$2:$I$3001,"*"&amp;P237&amp;"*",보유목록!$I$2:$I$3001,"*"&amp;Q237&amp;"*")&gt;0,"확인필요(연도다름)",IF(COUNTIFS(보유목록!$I$2:$I$3001,"*"&amp;P237&amp;"*",보유목록!$H$2:$H$3001,O237)&gt;0,"확인필요(같은학교·같은연도)","없음")))))</f>
      </c>
      <c r="L237" t="str" s="16">
        <f aca="0">IF(OR(COUNTA(B237:J237)=0,R237&lt;&gt;""),"",COUNTIFS(보유목록!$I$2:$I$3001,"*"&amp;P237&amp;"*",보유목록!$I$2:$I$3001,"*"&amp;Q237&amp;"*"))</f>
      </c>
      <c r="M237" t="str" s="23">
        <f aca="0">IF(OR(COUNTA(B237:J237)=0,R237&lt;&gt;""),"",IFERROR(LOOKUP(2,1/(ISNUMBER(SEARCH(P237,보유목록!$I$2:$I$3001))*ISNUMBER(SEARCH(Q237,보유목록!$I$2:$I$3001))*(보유목록!$H$2:$H$3001=O237)),보유목록!$B$2:$B$3001),IFERROR(LOOKUP(2,1/(ISNUMBER(SEARCH(P237,보유목록!$I$2:$I$3001))*ISNUMBER(SEARCH(Q237,보유목록!$I$2:$I$3001))),보유목록!$B$2:$B$3001),"")))</f>
      </c>
      <c r="N237" s="25"/>
      <c r="O237" t="str">
        <f>IFERROR(IF(AND(LEN(SUBSTITUTE(SUBSTITUTE(SUBSTITUTE(TRIM(C237&amp;""),CHAR(160),"")," ",""),"년",""))=4,VALUE(SUBSTITUTE(SUBSTITUTE(SUBSTITUTE(TRIM(C237&amp;""),CHAR(160),"")," ",""),"년",""))&gt;=1900,VALUE(SUBSTITUTE(SUBSTITUTE(SUBSTITUTE(TRIM(C237&amp;""),CHAR(160),"")," ",""),"년",""))&lt;=2099,TEXT(VALUE(SUBSTITUTE(SUBSTITUTE(SUBSTITUTE(TRIM(C237&amp;""),CHAR(160),"")," ",""),"년","")),"0000")=SUBSTITUTE(SUBSTITUTE(SUBSTITUTE(TRIM(C237&amp;""),CHAR(160),"")," ",""),"년","")),SUBSTITUTE(SUBSTITUTE(SUBSTITUTE(TRIM(C237&amp;""),CHAR(160),"")," ",""),"년",""),""),"")</f>
      </c>
      <c r="P237" t="str">
        <f>SUBSTITUTE(SUBSTITUTE(SUBSTITUTE(SUBSTITUTE(SUBSTITUTE(SUBSTITUTE(SUBSTITUTE(SUBSTITUTE(TRIM(D237&amp;""),CHAR(160),"")," ",""),"초등학교","초"),"중학교","중"),"고등학교","고"),"~","~~"),"*","~*"),"?","~?")</f>
      </c>
      <c r="Q237" t="str">
        <f>SUBSTITUTE(SUBSTITUTE(SUBSTITUTE(SUBSTITUTE(SUBSTITUTE(SUBSTITUTE(SUBSTITUTE(SUBSTITUTE(TRIM(E237&amp;""),CHAR(160),"")," ",""),"초등학교","초"),"중학교","중"),"고등학교","고"),"~","~~"),"*","~*"),"?","~?")</f>
      </c>
      <c r="R237" t="str">
        <f>IF(COUNTA(B237:J237)=0,"",IF(AND(O237&lt;&gt;"",P237&lt;&gt;"",Q237&lt;&gt;""),"","입력누락"))</f>
      </c>
    </row>
    <row r="238" customFormat="false" ht="15" hidden="false" customHeight="false" outlineLevel="0" collapsed="false">
      <c r="A238" t="n" s="19">
        <f aca="0">IF(COUNTA(B238:J238)=0,"",ROW()-1)</f>
      </c>
      <c r="B238" s="24"/>
      <c r="C238" s="25"/>
      <c r="D238" s="8"/>
      <c r="E238" s="8"/>
      <c r="F238" s="26"/>
      <c r="G238" s="24"/>
      <c r="H238" s="25"/>
      <c r="I238" s="25"/>
      <c r="J238" s="26"/>
      <c r="K238" t="str" s="15">
        <f aca="0">IF(COUNTA(B238:J238)=0,"",IF(R238&lt;&gt;"","확인필요(입력누락)",IF(COUNTIFS(보유목록!$I$2:$I$3001,"*"&amp;P238&amp;"*",보유목록!$I$2:$I$3001,"*"&amp;Q238&amp;"*",보유목록!$H$2:$H$3001,O238)&gt;0,"있음",IF(COUNTIFS(보유목록!$I$2:$I$3001,"*"&amp;P238&amp;"*",보유목록!$I$2:$I$3001,"*"&amp;Q238&amp;"*")&gt;0,"확인필요(연도다름)",IF(COUNTIFS(보유목록!$I$2:$I$3001,"*"&amp;P238&amp;"*",보유목록!$H$2:$H$3001,O238)&gt;0,"확인필요(같은학교·같은연도)","없음")))))</f>
      </c>
      <c r="L238" t="str" s="16">
        <f aca="0">IF(OR(COUNTA(B238:J238)=0,R238&lt;&gt;""),"",COUNTIFS(보유목록!$I$2:$I$3001,"*"&amp;P238&amp;"*",보유목록!$I$2:$I$3001,"*"&amp;Q238&amp;"*"))</f>
      </c>
      <c r="M238" t="str" s="23">
        <f aca="0">IF(OR(COUNTA(B238:J238)=0,R238&lt;&gt;""),"",IFERROR(LOOKUP(2,1/(ISNUMBER(SEARCH(P238,보유목록!$I$2:$I$3001))*ISNUMBER(SEARCH(Q238,보유목록!$I$2:$I$3001))*(보유목록!$H$2:$H$3001=O238)),보유목록!$B$2:$B$3001),IFERROR(LOOKUP(2,1/(ISNUMBER(SEARCH(P238,보유목록!$I$2:$I$3001))*ISNUMBER(SEARCH(Q238,보유목록!$I$2:$I$3001))),보유목록!$B$2:$B$3001),"")))</f>
      </c>
      <c r="N238" s="25"/>
      <c r="O238" t="str">
        <f>IFERROR(IF(AND(LEN(SUBSTITUTE(SUBSTITUTE(SUBSTITUTE(TRIM(C238&amp;""),CHAR(160),"")," ",""),"년",""))=4,VALUE(SUBSTITUTE(SUBSTITUTE(SUBSTITUTE(TRIM(C238&amp;""),CHAR(160),"")," ",""),"년",""))&gt;=1900,VALUE(SUBSTITUTE(SUBSTITUTE(SUBSTITUTE(TRIM(C238&amp;""),CHAR(160),"")," ",""),"년",""))&lt;=2099,TEXT(VALUE(SUBSTITUTE(SUBSTITUTE(SUBSTITUTE(TRIM(C238&amp;""),CHAR(160),"")," ",""),"년","")),"0000")=SUBSTITUTE(SUBSTITUTE(SUBSTITUTE(TRIM(C238&amp;""),CHAR(160),"")," ",""),"년","")),SUBSTITUTE(SUBSTITUTE(SUBSTITUTE(TRIM(C238&amp;""),CHAR(160),"")," ",""),"년",""),""),"")</f>
      </c>
      <c r="P238" t="str">
        <f>SUBSTITUTE(SUBSTITUTE(SUBSTITUTE(SUBSTITUTE(SUBSTITUTE(SUBSTITUTE(SUBSTITUTE(SUBSTITUTE(TRIM(D238&amp;""),CHAR(160),"")," ",""),"초등학교","초"),"중학교","중"),"고등학교","고"),"~","~~"),"*","~*"),"?","~?")</f>
      </c>
      <c r="Q238" t="str">
        <f>SUBSTITUTE(SUBSTITUTE(SUBSTITUTE(SUBSTITUTE(SUBSTITUTE(SUBSTITUTE(SUBSTITUTE(SUBSTITUTE(TRIM(E238&amp;""),CHAR(160),"")," ",""),"초등학교","초"),"중학교","중"),"고등학교","고"),"~","~~"),"*","~*"),"?","~?")</f>
      </c>
      <c r="R238" t="str">
        <f>IF(COUNTA(B238:J238)=0,"",IF(AND(O238&lt;&gt;"",P238&lt;&gt;"",Q238&lt;&gt;""),"","입력누락"))</f>
      </c>
    </row>
    <row r="239" customFormat="false" ht="15" hidden="false" customHeight="false" outlineLevel="0" collapsed="false">
      <c r="A239" t="n" s="19">
        <f aca="0">IF(COUNTA(B239:J239)=0,"",ROW()-1)</f>
      </c>
      <c r="B239" s="24"/>
      <c r="C239" s="25"/>
      <c r="D239" s="8"/>
      <c r="E239" s="8"/>
      <c r="F239" s="26"/>
      <c r="G239" s="24"/>
      <c r="H239" s="25"/>
      <c r="I239" s="25"/>
      <c r="J239" s="26"/>
      <c r="K239" t="str" s="15">
        <f aca="0">IF(COUNTA(B239:J239)=0,"",IF(R239&lt;&gt;"","확인필요(입력누락)",IF(COUNTIFS(보유목록!$I$2:$I$3001,"*"&amp;P239&amp;"*",보유목록!$I$2:$I$3001,"*"&amp;Q239&amp;"*",보유목록!$H$2:$H$3001,O239)&gt;0,"있음",IF(COUNTIFS(보유목록!$I$2:$I$3001,"*"&amp;P239&amp;"*",보유목록!$I$2:$I$3001,"*"&amp;Q239&amp;"*")&gt;0,"확인필요(연도다름)",IF(COUNTIFS(보유목록!$I$2:$I$3001,"*"&amp;P239&amp;"*",보유목록!$H$2:$H$3001,O239)&gt;0,"확인필요(같은학교·같은연도)","없음")))))</f>
      </c>
      <c r="L239" t="str" s="16">
        <f aca="0">IF(OR(COUNTA(B239:J239)=0,R239&lt;&gt;""),"",COUNTIFS(보유목록!$I$2:$I$3001,"*"&amp;P239&amp;"*",보유목록!$I$2:$I$3001,"*"&amp;Q239&amp;"*"))</f>
      </c>
      <c r="M239" t="str" s="23">
        <f aca="0">IF(OR(COUNTA(B239:J239)=0,R239&lt;&gt;""),"",IFERROR(LOOKUP(2,1/(ISNUMBER(SEARCH(P239,보유목록!$I$2:$I$3001))*ISNUMBER(SEARCH(Q239,보유목록!$I$2:$I$3001))*(보유목록!$H$2:$H$3001=O239)),보유목록!$B$2:$B$3001),IFERROR(LOOKUP(2,1/(ISNUMBER(SEARCH(P239,보유목록!$I$2:$I$3001))*ISNUMBER(SEARCH(Q239,보유목록!$I$2:$I$3001))),보유목록!$B$2:$B$3001),"")))</f>
      </c>
      <c r="N239" s="25"/>
      <c r="O239" t="str">
        <f>IFERROR(IF(AND(LEN(SUBSTITUTE(SUBSTITUTE(SUBSTITUTE(TRIM(C239&amp;""),CHAR(160),"")," ",""),"년",""))=4,VALUE(SUBSTITUTE(SUBSTITUTE(SUBSTITUTE(TRIM(C239&amp;""),CHAR(160),"")," ",""),"년",""))&gt;=1900,VALUE(SUBSTITUTE(SUBSTITUTE(SUBSTITUTE(TRIM(C239&amp;""),CHAR(160),"")," ",""),"년",""))&lt;=2099,TEXT(VALUE(SUBSTITUTE(SUBSTITUTE(SUBSTITUTE(TRIM(C239&amp;""),CHAR(160),"")," ",""),"년","")),"0000")=SUBSTITUTE(SUBSTITUTE(SUBSTITUTE(TRIM(C239&amp;""),CHAR(160),"")," ",""),"년","")),SUBSTITUTE(SUBSTITUTE(SUBSTITUTE(TRIM(C239&amp;""),CHAR(160),"")," ",""),"년",""),""),"")</f>
      </c>
      <c r="P239" t="str">
        <f>SUBSTITUTE(SUBSTITUTE(SUBSTITUTE(SUBSTITUTE(SUBSTITUTE(SUBSTITUTE(SUBSTITUTE(SUBSTITUTE(TRIM(D239&amp;""),CHAR(160),"")," ",""),"초등학교","초"),"중학교","중"),"고등학교","고"),"~","~~"),"*","~*"),"?","~?")</f>
      </c>
      <c r="Q239" t="str">
        <f>SUBSTITUTE(SUBSTITUTE(SUBSTITUTE(SUBSTITUTE(SUBSTITUTE(SUBSTITUTE(SUBSTITUTE(SUBSTITUTE(TRIM(E239&amp;""),CHAR(160),"")," ",""),"초등학교","초"),"중학교","중"),"고등학교","고"),"~","~~"),"*","~*"),"?","~?")</f>
      </c>
      <c r="R239" t="str">
        <f>IF(COUNTA(B239:J239)=0,"",IF(AND(O239&lt;&gt;"",P239&lt;&gt;"",Q239&lt;&gt;""),"","입력누락"))</f>
      </c>
    </row>
    <row r="240" customFormat="false" ht="15" hidden="false" customHeight="false" outlineLevel="0" collapsed="false">
      <c r="A240" t="n" s="19">
        <f aca="0">IF(COUNTA(B240:J240)=0,"",ROW()-1)</f>
      </c>
      <c r="B240" s="24"/>
      <c r="C240" s="25"/>
      <c r="D240" s="8"/>
      <c r="E240" s="8"/>
      <c r="F240" s="26"/>
      <c r="G240" s="24"/>
      <c r="H240" s="25"/>
      <c r="I240" s="25"/>
      <c r="J240" s="26"/>
      <c r="K240" t="str" s="15">
        <f aca="0">IF(COUNTA(B240:J240)=0,"",IF(R240&lt;&gt;"","확인필요(입력누락)",IF(COUNTIFS(보유목록!$I$2:$I$3001,"*"&amp;P240&amp;"*",보유목록!$I$2:$I$3001,"*"&amp;Q240&amp;"*",보유목록!$H$2:$H$3001,O240)&gt;0,"있음",IF(COUNTIFS(보유목록!$I$2:$I$3001,"*"&amp;P240&amp;"*",보유목록!$I$2:$I$3001,"*"&amp;Q240&amp;"*")&gt;0,"확인필요(연도다름)",IF(COUNTIFS(보유목록!$I$2:$I$3001,"*"&amp;P240&amp;"*",보유목록!$H$2:$H$3001,O240)&gt;0,"확인필요(같은학교·같은연도)","없음")))))</f>
      </c>
      <c r="L240" t="str" s="16">
        <f aca="0">IF(OR(COUNTA(B240:J240)=0,R240&lt;&gt;""),"",COUNTIFS(보유목록!$I$2:$I$3001,"*"&amp;P240&amp;"*",보유목록!$I$2:$I$3001,"*"&amp;Q240&amp;"*"))</f>
      </c>
      <c r="M240" t="str" s="23">
        <f aca="0">IF(OR(COUNTA(B240:J240)=0,R240&lt;&gt;""),"",IFERROR(LOOKUP(2,1/(ISNUMBER(SEARCH(P240,보유목록!$I$2:$I$3001))*ISNUMBER(SEARCH(Q240,보유목록!$I$2:$I$3001))*(보유목록!$H$2:$H$3001=O240)),보유목록!$B$2:$B$3001),IFERROR(LOOKUP(2,1/(ISNUMBER(SEARCH(P240,보유목록!$I$2:$I$3001))*ISNUMBER(SEARCH(Q240,보유목록!$I$2:$I$3001))),보유목록!$B$2:$B$3001),"")))</f>
      </c>
      <c r="N240" s="25"/>
      <c r="O240" t="str">
        <f>IFERROR(IF(AND(LEN(SUBSTITUTE(SUBSTITUTE(SUBSTITUTE(TRIM(C240&amp;""),CHAR(160),"")," ",""),"년",""))=4,VALUE(SUBSTITUTE(SUBSTITUTE(SUBSTITUTE(TRIM(C240&amp;""),CHAR(160),"")," ",""),"년",""))&gt;=1900,VALUE(SUBSTITUTE(SUBSTITUTE(SUBSTITUTE(TRIM(C240&amp;""),CHAR(160),"")," ",""),"년",""))&lt;=2099,TEXT(VALUE(SUBSTITUTE(SUBSTITUTE(SUBSTITUTE(TRIM(C240&amp;""),CHAR(160),"")," ",""),"년","")),"0000")=SUBSTITUTE(SUBSTITUTE(SUBSTITUTE(TRIM(C240&amp;""),CHAR(160),"")," ",""),"년","")),SUBSTITUTE(SUBSTITUTE(SUBSTITUTE(TRIM(C240&amp;""),CHAR(160),"")," ",""),"년",""),""),"")</f>
      </c>
      <c r="P240" t="str">
        <f>SUBSTITUTE(SUBSTITUTE(SUBSTITUTE(SUBSTITUTE(SUBSTITUTE(SUBSTITUTE(SUBSTITUTE(SUBSTITUTE(TRIM(D240&amp;""),CHAR(160),"")," ",""),"초등학교","초"),"중학교","중"),"고등학교","고"),"~","~~"),"*","~*"),"?","~?")</f>
      </c>
      <c r="Q240" t="str">
        <f>SUBSTITUTE(SUBSTITUTE(SUBSTITUTE(SUBSTITUTE(SUBSTITUTE(SUBSTITUTE(SUBSTITUTE(SUBSTITUTE(TRIM(E240&amp;""),CHAR(160),"")," ",""),"초등학교","초"),"중학교","중"),"고등학교","고"),"~","~~"),"*","~*"),"?","~?")</f>
      </c>
      <c r="R240" t="str">
        <f>IF(COUNTA(B240:J240)=0,"",IF(AND(O240&lt;&gt;"",P240&lt;&gt;"",Q240&lt;&gt;""),"","입력누락"))</f>
      </c>
    </row>
    <row r="241" customFormat="false" ht="15" hidden="false" customHeight="false" outlineLevel="0" collapsed="false">
      <c r="A241" t="n" s="19">
        <f aca="0">IF(COUNTA(B241:J241)=0,"",ROW()-1)</f>
      </c>
      <c r="B241" s="24"/>
      <c r="C241" s="25"/>
      <c r="D241" s="8"/>
      <c r="E241" s="8"/>
      <c r="F241" s="26"/>
      <c r="G241" s="24"/>
      <c r="H241" s="25"/>
      <c r="I241" s="25"/>
      <c r="J241" s="26"/>
      <c r="K241" t="str" s="15">
        <f aca="0">IF(COUNTA(B241:J241)=0,"",IF(R241&lt;&gt;"","확인필요(입력누락)",IF(COUNTIFS(보유목록!$I$2:$I$3001,"*"&amp;P241&amp;"*",보유목록!$I$2:$I$3001,"*"&amp;Q241&amp;"*",보유목록!$H$2:$H$3001,O241)&gt;0,"있음",IF(COUNTIFS(보유목록!$I$2:$I$3001,"*"&amp;P241&amp;"*",보유목록!$I$2:$I$3001,"*"&amp;Q241&amp;"*")&gt;0,"확인필요(연도다름)",IF(COUNTIFS(보유목록!$I$2:$I$3001,"*"&amp;P241&amp;"*",보유목록!$H$2:$H$3001,O241)&gt;0,"확인필요(같은학교·같은연도)","없음")))))</f>
      </c>
      <c r="L241" t="str" s="16">
        <f aca="0">IF(OR(COUNTA(B241:J241)=0,R241&lt;&gt;""),"",COUNTIFS(보유목록!$I$2:$I$3001,"*"&amp;P241&amp;"*",보유목록!$I$2:$I$3001,"*"&amp;Q241&amp;"*"))</f>
      </c>
      <c r="M241" t="str" s="23">
        <f aca="0">IF(OR(COUNTA(B241:J241)=0,R241&lt;&gt;""),"",IFERROR(LOOKUP(2,1/(ISNUMBER(SEARCH(P241,보유목록!$I$2:$I$3001))*ISNUMBER(SEARCH(Q241,보유목록!$I$2:$I$3001))*(보유목록!$H$2:$H$3001=O241)),보유목록!$B$2:$B$3001),IFERROR(LOOKUP(2,1/(ISNUMBER(SEARCH(P241,보유목록!$I$2:$I$3001))*ISNUMBER(SEARCH(Q241,보유목록!$I$2:$I$3001))),보유목록!$B$2:$B$3001),"")))</f>
      </c>
      <c r="N241" s="25"/>
      <c r="O241" t="str">
        <f>IFERROR(IF(AND(LEN(SUBSTITUTE(SUBSTITUTE(SUBSTITUTE(TRIM(C241&amp;""),CHAR(160),"")," ",""),"년",""))=4,VALUE(SUBSTITUTE(SUBSTITUTE(SUBSTITUTE(TRIM(C241&amp;""),CHAR(160),"")," ",""),"년",""))&gt;=1900,VALUE(SUBSTITUTE(SUBSTITUTE(SUBSTITUTE(TRIM(C241&amp;""),CHAR(160),"")," ",""),"년",""))&lt;=2099,TEXT(VALUE(SUBSTITUTE(SUBSTITUTE(SUBSTITUTE(TRIM(C241&amp;""),CHAR(160),"")," ",""),"년","")),"0000")=SUBSTITUTE(SUBSTITUTE(SUBSTITUTE(TRIM(C241&amp;""),CHAR(160),"")," ",""),"년","")),SUBSTITUTE(SUBSTITUTE(SUBSTITUTE(TRIM(C241&amp;""),CHAR(160),"")," ",""),"년",""),""),"")</f>
      </c>
      <c r="P241" t="str">
        <f>SUBSTITUTE(SUBSTITUTE(SUBSTITUTE(SUBSTITUTE(SUBSTITUTE(SUBSTITUTE(SUBSTITUTE(SUBSTITUTE(TRIM(D241&amp;""),CHAR(160),"")," ",""),"초등학교","초"),"중학교","중"),"고등학교","고"),"~","~~"),"*","~*"),"?","~?")</f>
      </c>
      <c r="Q241" t="str">
        <f>SUBSTITUTE(SUBSTITUTE(SUBSTITUTE(SUBSTITUTE(SUBSTITUTE(SUBSTITUTE(SUBSTITUTE(SUBSTITUTE(TRIM(E241&amp;""),CHAR(160),"")," ",""),"초등학교","초"),"중학교","중"),"고등학교","고"),"~","~~"),"*","~*"),"?","~?")</f>
      </c>
      <c r="R241" t="str">
        <f>IF(COUNTA(B241:J241)=0,"",IF(AND(O241&lt;&gt;"",P241&lt;&gt;"",Q241&lt;&gt;""),"","입력누락"))</f>
      </c>
    </row>
    <row r="242" customFormat="false" ht="15" hidden="false" customHeight="false" outlineLevel="0" collapsed="false">
      <c r="A242" t="n" s="19">
        <f aca="0">IF(COUNTA(B242:J242)=0,"",ROW()-1)</f>
      </c>
      <c r="B242" s="24"/>
      <c r="C242" s="25"/>
      <c r="D242" s="8"/>
      <c r="E242" s="8"/>
      <c r="F242" s="26"/>
      <c r="G242" s="24"/>
      <c r="H242" s="25"/>
      <c r="I242" s="25"/>
      <c r="J242" s="26"/>
      <c r="K242" t="str" s="15">
        <f aca="0">IF(COUNTA(B242:J242)=0,"",IF(R242&lt;&gt;"","확인필요(입력누락)",IF(COUNTIFS(보유목록!$I$2:$I$3001,"*"&amp;P242&amp;"*",보유목록!$I$2:$I$3001,"*"&amp;Q242&amp;"*",보유목록!$H$2:$H$3001,O242)&gt;0,"있음",IF(COUNTIFS(보유목록!$I$2:$I$3001,"*"&amp;P242&amp;"*",보유목록!$I$2:$I$3001,"*"&amp;Q242&amp;"*")&gt;0,"확인필요(연도다름)",IF(COUNTIFS(보유목록!$I$2:$I$3001,"*"&amp;P242&amp;"*",보유목록!$H$2:$H$3001,O242)&gt;0,"확인필요(같은학교·같은연도)","없음")))))</f>
      </c>
      <c r="L242" t="str" s="16">
        <f aca="0">IF(OR(COUNTA(B242:J242)=0,R242&lt;&gt;""),"",COUNTIFS(보유목록!$I$2:$I$3001,"*"&amp;P242&amp;"*",보유목록!$I$2:$I$3001,"*"&amp;Q242&amp;"*"))</f>
      </c>
      <c r="M242" t="str" s="23">
        <f aca="0">IF(OR(COUNTA(B242:J242)=0,R242&lt;&gt;""),"",IFERROR(LOOKUP(2,1/(ISNUMBER(SEARCH(P242,보유목록!$I$2:$I$3001))*ISNUMBER(SEARCH(Q242,보유목록!$I$2:$I$3001))*(보유목록!$H$2:$H$3001=O242)),보유목록!$B$2:$B$3001),IFERROR(LOOKUP(2,1/(ISNUMBER(SEARCH(P242,보유목록!$I$2:$I$3001))*ISNUMBER(SEARCH(Q242,보유목록!$I$2:$I$3001))),보유목록!$B$2:$B$3001),"")))</f>
      </c>
      <c r="N242" s="25"/>
      <c r="O242" t="str">
        <f>IFERROR(IF(AND(LEN(SUBSTITUTE(SUBSTITUTE(SUBSTITUTE(TRIM(C242&amp;""),CHAR(160),"")," ",""),"년",""))=4,VALUE(SUBSTITUTE(SUBSTITUTE(SUBSTITUTE(TRIM(C242&amp;""),CHAR(160),"")," ",""),"년",""))&gt;=1900,VALUE(SUBSTITUTE(SUBSTITUTE(SUBSTITUTE(TRIM(C242&amp;""),CHAR(160),"")," ",""),"년",""))&lt;=2099,TEXT(VALUE(SUBSTITUTE(SUBSTITUTE(SUBSTITUTE(TRIM(C242&amp;""),CHAR(160),"")," ",""),"년","")),"0000")=SUBSTITUTE(SUBSTITUTE(SUBSTITUTE(TRIM(C242&amp;""),CHAR(160),"")," ",""),"년","")),SUBSTITUTE(SUBSTITUTE(SUBSTITUTE(TRIM(C242&amp;""),CHAR(160),"")," ",""),"년",""),""),"")</f>
      </c>
      <c r="P242" t="str">
        <f>SUBSTITUTE(SUBSTITUTE(SUBSTITUTE(SUBSTITUTE(SUBSTITUTE(SUBSTITUTE(SUBSTITUTE(SUBSTITUTE(TRIM(D242&amp;""),CHAR(160),"")," ",""),"초등학교","초"),"중학교","중"),"고등학교","고"),"~","~~"),"*","~*"),"?","~?")</f>
      </c>
      <c r="Q242" t="str">
        <f>SUBSTITUTE(SUBSTITUTE(SUBSTITUTE(SUBSTITUTE(SUBSTITUTE(SUBSTITUTE(SUBSTITUTE(SUBSTITUTE(TRIM(E242&amp;""),CHAR(160),"")," ",""),"초등학교","초"),"중학교","중"),"고등학교","고"),"~","~~"),"*","~*"),"?","~?")</f>
      </c>
      <c r="R242" t="str">
        <f>IF(COUNTA(B242:J242)=0,"",IF(AND(O242&lt;&gt;"",P242&lt;&gt;"",Q242&lt;&gt;""),"","입력누락"))</f>
      </c>
    </row>
    <row r="243" customFormat="false" ht="15" hidden="false" customHeight="false" outlineLevel="0" collapsed="false">
      <c r="A243" t="n" s="19">
        <f aca="0">IF(COUNTA(B243:J243)=0,"",ROW()-1)</f>
      </c>
      <c r="B243" s="24"/>
      <c r="C243" s="25"/>
      <c r="D243" s="8"/>
      <c r="E243" s="8"/>
      <c r="F243" s="26"/>
      <c r="G243" s="24"/>
      <c r="H243" s="25"/>
      <c r="I243" s="25"/>
      <c r="J243" s="26"/>
      <c r="K243" t="str" s="15">
        <f aca="0">IF(COUNTA(B243:J243)=0,"",IF(R243&lt;&gt;"","확인필요(입력누락)",IF(COUNTIFS(보유목록!$I$2:$I$3001,"*"&amp;P243&amp;"*",보유목록!$I$2:$I$3001,"*"&amp;Q243&amp;"*",보유목록!$H$2:$H$3001,O243)&gt;0,"있음",IF(COUNTIFS(보유목록!$I$2:$I$3001,"*"&amp;P243&amp;"*",보유목록!$I$2:$I$3001,"*"&amp;Q243&amp;"*")&gt;0,"확인필요(연도다름)",IF(COUNTIFS(보유목록!$I$2:$I$3001,"*"&amp;P243&amp;"*",보유목록!$H$2:$H$3001,O243)&gt;0,"확인필요(같은학교·같은연도)","없음")))))</f>
      </c>
      <c r="L243" t="str" s="16">
        <f aca="0">IF(OR(COUNTA(B243:J243)=0,R243&lt;&gt;""),"",COUNTIFS(보유목록!$I$2:$I$3001,"*"&amp;P243&amp;"*",보유목록!$I$2:$I$3001,"*"&amp;Q243&amp;"*"))</f>
      </c>
      <c r="M243" t="str" s="23">
        <f aca="0">IF(OR(COUNTA(B243:J243)=0,R243&lt;&gt;""),"",IFERROR(LOOKUP(2,1/(ISNUMBER(SEARCH(P243,보유목록!$I$2:$I$3001))*ISNUMBER(SEARCH(Q243,보유목록!$I$2:$I$3001))*(보유목록!$H$2:$H$3001=O243)),보유목록!$B$2:$B$3001),IFERROR(LOOKUP(2,1/(ISNUMBER(SEARCH(P243,보유목록!$I$2:$I$3001))*ISNUMBER(SEARCH(Q243,보유목록!$I$2:$I$3001))),보유목록!$B$2:$B$3001),"")))</f>
      </c>
      <c r="N243" s="25"/>
      <c r="O243" t="str">
        <f>IFERROR(IF(AND(LEN(SUBSTITUTE(SUBSTITUTE(SUBSTITUTE(TRIM(C243&amp;""),CHAR(160),"")," ",""),"년",""))=4,VALUE(SUBSTITUTE(SUBSTITUTE(SUBSTITUTE(TRIM(C243&amp;""),CHAR(160),"")," ",""),"년",""))&gt;=1900,VALUE(SUBSTITUTE(SUBSTITUTE(SUBSTITUTE(TRIM(C243&amp;""),CHAR(160),"")," ",""),"년",""))&lt;=2099,TEXT(VALUE(SUBSTITUTE(SUBSTITUTE(SUBSTITUTE(TRIM(C243&amp;""),CHAR(160),"")," ",""),"년","")),"0000")=SUBSTITUTE(SUBSTITUTE(SUBSTITUTE(TRIM(C243&amp;""),CHAR(160),"")," ",""),"년","")),SUBSTITUTE(SUBSTITUTE(SUBSTITUTE(TRIM(C243&amp;""),CHAR(160),"")," ",""),"년",""),""),"")</f>
      </c>
      <c r="P243" t="str">
        <f>SUBSTITUTE(SUBSTITUTE(SUBSTITUTE(SUBSTITUTE(SUBSTITUTE(SUBSTITUTE(SUBSTITUTE(SUBSTITUTE(TRIM(D243&amp;""),CHAR(160),"")," ",""),"초등학교","초"),"중학교","중"),"고등학교","고"),"~","~~"),"*","~*"),"?","~?")</f>
      </c>
      <c r="Q243" t="str">
        <f>SUBSTITUTE(SUBSTITUTE(SUBSTITUTE(SUBSTITUTE(SUBSTITUTE(SUBSTITUTE(SUBSTITUTE(SUBSTITUTE(TRIM(E243&amp;""),CHAR(160),"")," ",""),"초등학교","초"),"중학교","중"),"고등학교","고"),"~","~~"),"*","~*"),"?","~?")</f>
      </c>
      <c r="R243" t="str">
        <f>IF(COUNTA(B243:J243)=0,"",IF(AND(O243&lt;&gt;"",P243&lt;&gt;"",Q243&lt;&gt;""),"","입력누락"))</f>
      </c>
    </row>
    <row r="244" customFormat="false" ht="15" hidden="false" customHeight="false" outlineLevel="0" collapsed="false">
      <c r="A244" t="n" s="19">
        <f aca="0">IF(COUNTA(B244:J244)=0,"",ROW()-1)</f>
      </c>
      <c r="B244" s="24"/>
      <c r="C244" s="25"/>
      <c r="D244" s="8"/>
      <c r="E244" s="8"/>
      <c r="F244" s="26"/>
      <c r="G244" s="24"/>
      <c r="H244" s="25"/>
      <c r="I244" s="25"/>
      <c r="J244" s="26"/>
      <c r="K244" t="str" s="15">
        <f aca="0">IF(COUNTA(B244:J244)=0,"",IF(R244&lt;&gt;"","확인필요(입력누락)",IF(COUNTIFS(보유목록!$I$2:$I$3001,"*"&amp;P244&amp;"*",보유목록!$I$2:$I$3001,"*"&amp;Q244&amp;"*",보유목록!$H$2:$H$3001,O244)&gt;0,"있음",IF(COUNTIFS(보유목록!$I$2:$I$3001,"*"&amp;P244&amp;"*",보유목록!$I$2:$I$3001,"*"&amp;Q244&amp;"*")&gt;0,"확인필요(연도다름)",IF(COUNTIFS(보유목록!$I$2:$I$3001,"*"&amp;P244&amp;"*",보유목록!$H$2:$H$3001,O244)&gt;0,"확인필요(같은학교·같은연도)","없음")))))</f>
      </c>
      <c r="L244" t="str" s="16">
        <f aca="0">IF(OR(COUNTA(B244:J244)=0,R244&lt;&gt;""),"",COUNTIFS(보유목록!$I$2:$I$3001,"*"&amp;P244&amp;"*",보유목록!$I$2:$I$3001,"*"&amp;Q244&amp;"*"))</f>
      </c>
      <c r="M244" t="str" s="23">
        <f aca="0">IF(OR(COUNTA(B244:J244)=0,R244&lt;&gt;""),"",IFERROR(LOOKUP(2,1/(ISNUMBER(SEARCH(P244,보유목록!$I$2:$I$3001))*ISNUMBER(SEARCH(Q244,보유목록!$I$2:$I$3001))*(보유목록!$H$2:$H$3001=O244)),보유목록!$B$2:$B$3001),IFERROR(LOOKUP(2,1/(ISNUMBER(SEARCH(P244,보유목록!$I$2:$I$3001))*ISNUMBER(SEARCH(Q244,보유목록!$I$2:$I$3001))),보유목록!$B$2:$B$3001),"")))</f>
      </c>
      <c r="N244" s="25"/>
      <c r="O244" t="str">
        <f>IFERROR(IF(AND(LEN(SUBSTITUTE(SUBSTITUTE(SUBSTITUTE(TRIM(C244&amp;""),CHAR(160),"")," ",""),"년",""))=4,VALUE(SUBSTITUTE(SUBSTITUTE(SUBSTITUTE(TRIM(C244&amp;""),CHAR(160),"")," ",""),"년",""))&gt;=1900,VALUE(SUBSTITUTE(SUBSTITUTE(SUBSTITUTE(TRIM(C244&amp;""),CHAR(160),"")," ",""),"년",""))&lt;=2099,TEXT(VALUE(SUBSTITUTE(SUBSTITUTE(SUBSTITUTE(TRIM(C244&amp;""),CHAR(160),"")," ",""),"년","")),"0000")=SUBSTITUTE(SUBSTITUTE(SUBSTITUTE(TRIM(C244&amp;""),CHAR(160),"")," ",""),"년","")),SUBSTITUTE(SUBSTITUTE(SUBSTITUTE(TRIM(C244&amp;""),CHAR(160),"")," ",""),"년",""),""),"")</f>
      </c>
      <c r="P244" t="str">
        <f>SUBSTITUTE(SUBSTITUTE(SUBSTITUTE(SUBSTITUTE(SUBSTITUTE(SUBSTITUTE(SUBSTITUTE(SUBSTITUTE(TRIM(D244&amp;""),CHAR(160),"")," ",""),"초등학교","초"),"중학교","중"),"고등학교","고"),"~","~~"),"*","~*"),"?","~?")</f>
      </c>
      <c r="Q244" t="str">
        <f>SUBSTITUTE(SUBSTITUTE(SUBSTITUTE(SUBSTITUTE(SUBSTITUTE(SUBSTITUTE(SUBSTITUTE(SUBSTITUTE(TRIM(E244&amp;""),CHAR(160),"")," ",""),"초등학교","초"),"중학교","중"),"고등학교","고"),"~","~~"),"*","~*"),"?","~?")</f>
      </c>
      <c r="R244" t="str">
        <f>IF(COUNTA(B244:J244)=0,"",IF(AND(O244&lt;&gt;"",P244&lt;&gt;"",Q244&lt;&gt;""),"","입력누락"))</f>
      </c>
    </row>
    <row r="245" customFormat="false" ht="15" hidden="false" customHeight="false" outlineLevel="0" collapsed="false">
      <c r="A245" t="n" s="19">
        <f aca="0">IF(COUNTA(B245:J245)=0,"",ROW()-1)</f>
      </c>
      <c r="B245" s="24"/>
      <c r="C245" s="25"/>
      <c r="D245" s="8"/>
      <c r="E245" s="8"/>
      <c r="F245" s="26"/>
      <c r="G245" s="24"/>
      <c r="H245" s="25"/>
      <c r="I245" s="25"/>
      <c r="J245" s="26"/>
      <c r="K245" t="str" s="15">
        <f aca="0">IF(COUNTA(B245:J245)=0,"",IF(R245&lt;&gt;"","확인필요(입력누락)",IF(COUNTIFS(보유목록!$I$2:$I$3001,"*"&amp;P245&amp;"*",보유목록!$I$2:$I$3001,"*"&amp;Q245&amp;"*",보유목록!$H$2:$H$3001,O245)&gt;0,"있음",IF(COUNTIFS(보유목록!$I$2:$I$3001,"*"&amp;P245&amp;"*",보유목록!$I$2:$I$3001,"*"&amp;Q245&amp;"*")&gt;0,"확인필요(연도다름)",IF(COUNTIFS(보유목록!$I$2:$I$3001,"*"&amp;P245&amp;"*",보유목록!$H$2:$H$3001,O245)&gt;0,"확인필요(같은학교·같은연도)","없음")))))</f>
      </c>
      <c r="L245" t="str" s="16">
        <f aca="0">IF(OR(COUNTA(B245:J245)=0,R245&lt;&gt;""),"",COUNTIFS(보유목록!$I$2:$I$3001,"*"&amp;P245&amp;"*",보유목록!$I$2:$I$3001,"*"&amp;Q245&amp;"*"))</f>
      </c>
      <c r="M245" t="str" s="23">
        <f aca="0">IF(OR(COUNTA(B245:J245)=0,R245&lt;&gt;""),"",IFERROR(LOOKUP(2,1/(ISNUMBER(SEARCH(P245,보유목록!$I$2:$I$3001))*ISNUMBER(SEARCH(Q245,보유목록!$I$2:$I$3001))*(보유목록!$H$2:$H$3001=O245)),보유목록!$B$2:$B$3001),IFERROR(LOOKUP(2,1/(ISNUMBER(SEARCH(P245,보유목록!$I$2:$I$3001))*ISNUMBER(SEARCH(Q245,보유목록!$I$2:$I$3001))),보유목록!$B$2:$B$3001),"")))</f>
      </c>
      <c r="N245" s="25"/>
      <c r="O245" t="str">
        <f>IFERROR(IF(AND(LEN(SUBSTITUTE(SUBSTITUTE(SUBSTITUTE(TRIM(C245&amp;""),CHAR(160),"")," ",""),"년",""))=4,VALUE(SUBSTITUTE(SUBSTITUTE(SUBSTITUTE(TRIM(C245&amp;""),CHAR(160),"")," ",""),"년",""))&gt;=1900,VALUE(SUBSTITUTE(SUBSTITUTE(SUBSTITUTE(TRIM(C245&amp;""),CHAR(160),"")," ",""),"년",""))&lt;=2099,TEXT(VALUE(SUBSTITUTE(SUBSTITUTE(SUBSTITUTE(TRIM(C245&amp;""),CHAR(160),"")," ",""),"년","")),"0000")=SUBSTITUTE(SUBSTITUTE(SUBSTITUTE(TRIM(C245&amp;""),CHAR(160),"")," ",""),"년","")),SUBSTITUTE(SUBSTITUTE(SUBSTITUTE(TRIM(C245&amp;""),CHAR(160),"")," ",""),"년",""),""),"")</f>
      </c>
      <c r="P245" t="str">
        <f>SUBSTITUTE(SUBSTITUTE(SUBSTITUTE(SUBSTITUTE(SUBSTITUTE(SUBSTITUTE(SUBSTITUTE(SUBSTITUTE(TRIM(D245&amp;""),CHAR(160),"")," ",""),"초등학교","초"),"중학교","중"),"고등학교","고"),"~","~~"),"*","~*"),"?","~?")</f>
      </c>
      <c r="Q245" t="str">
        <f>SUBSTITUTE(SUBSTITUTE(SUBSTITUTE(SUBSTITUTE(SUBSTITUTE(SUBSTITUTE(SUBSTITUTE(SUBSTITUTE(TRIM(E245&amp;""),CHAR(160),"")," ",""),"초등학교","초"),"중학교","중"),"고등학교","고"),"~","~~"),"*","~*"),"?","~?")</f>
      </c>
      <c r="R245" t="str">
        <f>IF(COUNTA(B245:J245)=0,"",IF(AND(O245&lt;&gt;"",P245&lt;&gt;"",Q245&lt;&gt;""),"","입력누락"))</f>
      </c>
    </row>
    <row r="246" customFormat="false" ht="15" hidden="false" customHeight="false" outlineLevel="0" collapsed="false">
      <c r="A246" t="n" s="19">
        <f aca="0">IF(COUNTA(B246:J246)=0,"",ROW()-1)</f>
      </c>
      <c r="B246" s="24"/>
      <c r="C246" s="25"/>
      <c r="D246" s="8"/>
      <c r="E246" s="8"/>
      <c r="F246" s="26"/>
      <c r="G246" s="24"/>
      <c r="H246" s="25"/>
      <c r="I246" s="25"/>
      <c r="J246" s="26"/>
      <c r="K246" t="str" s="15">
        <f aca="0">IF(COUNTA(B246:J246)=0,"",IF(R246&lt;&gt;"","확인필요(입력누락)",IF(COUNTIFS(보유목록!$I$2:$I$3001,"*"&amp;P246&amp;"*",보유목록!$I$2:$I$3001,"*"&amp;Q246&amp;"*",보유목록!$H$2:$H$3001,O246)&gt;0,"있음",IF(COUNTIFS(보유목록!$I$2:$I$3001,"*"&amp;P246&amp;"*",보유목록!$I$2:$I$3001,"*"&amp;Q246&amp;"*")&gt;0,"확인필요(연도다름)",IF(COUNTIFS(보유목록!$I$2:$I$3001,"*"&amp;P246&amp;"*",보유목록!$H$2:$H$3001,O246)&gt;0,"확인필요(같은학교·같은연도)","없음")))))</f>
      </c>
      <c r="L246" t="str" s="16">
        <f aca="0">IF(OR(COUNTA(B246:J246)=0,R246&lt;&gt;""),"",COUNTIFS(보유목록!$I$2:$I$3001,"*"&amp;P246&amp;"*",보유목록!$I$2:$I$3001,"*"&amp;Q246&amp;"*"))</f>
      </c>
      <c r="M246" t="str" s="23">
        <f aca="0">IF(OR(COUNTA(B246:J246)=0,R246&lt;&gt;""),"",IFERROR(LOOKUP(2,1/(ISNUMBER(SEARCH(P246,보유목록!$I$2:$I$3001))*ISNUMBER(SEARCH(Q246,보유목록!$I$2:$I$3001))*(보유목록!$H$2:$H$3001=O246)),보유목록!$B$2:$B$3001),IFERROR(LOOKUP(2,1/(ISNUMBER(SEARCH(P246,보유목록!$I$2:$I$3001))*ISNUMBER(SEARCH(Q246,보유목록!$I$2:$I$3001))),보유목록!$B$2:$B$3001),"")))</f>
      </c>
      <c r="N246" s="25"/>
      <c r="O246" t="str">
        <f>IFERROR(IF(AND(LEN(SUBSTITUTE(SUBSTITUTE(SUBSTITUTE(TRIM(C246&amp;""),CHAR(160),"")," ",""),"년",""))=4,VALUE(SUBSTITUTE(SUBSTITUTE(SUBSTITUTE(TRIM(C246&amp;""),CHAR(160),"")," ",""),"년",""))&gt;=1900,VALUE(SUBSTITUTE(SUBSTITUTE(SUBSTITUTE(TRIM(C246&amp;""),CHAR(160),"")," ",""),"년",""))&lt;=2099,TEXT(VALUE(SUBSTITUTE(SUBSTITUTE(SUBSTITUTE(TRIM(C246&amp;""),CHAR(160),"")," ",""),"년","")),"0000")=SUBSTITUTE(SUBSTITUTE(SUBSTITUTE(TRIM(C246&amp;""),CHAR(160),"")," ",""),"년","")),SUBSTITUTE(SUBSTITUTE(SUBSTITUTE(TRIM(C246&amp;""),CHAR(160),"")," ",""),"년",""),""),"")</f>
      </c>
      <c r="P246" t="str">
        <f>SUBSTITUTE(SUBSTITUTE(SUBSTITUTE(SUBSTITUTE(SUBSTITUTE(SUBSTITUTE(SUBSTITUTE(SUBSTITUTE(TRIM(D246&amp;""),CHAR(160),"")," ",""),"초등학교","초"),"중학교","중"),"고등학교","고"),"~","~~"),"*","~*"),"?","~?")</f>
      </c>
      <c r="Q246" t="str">
        <f>SUBSTITUTE(SUBSTITUTE(SUBSTITUTE(SUBSTITUTE(SUBSTITUTE(SUBSTITUTE(SUBSTITUTE(SUBSTITUTE(TRIM(E246&amp;""),CHAR(160),"")," ",""),"초등학교","초"),"중학교","중"),"고등학교","고"),"~","~~"),"*","~*"),"?","~?")</f>
      </c>
      <c r="R246" t="str">
        <f>IF(COUNTA(B246:J246)=0,"",IF(AND(O246&lt;&gt;"",P246&lt;&gt;"",Q246&lt;&gt;""),"","입력누락"))</f>
      </c>
    </row>
    <row r="247" customFormat="false" ht="15" hidden="false" customHeight="false" outlineLevel="0" collapsed="false">
      <c r="A247" t="n" s="19">
        <f aca="0">IF(COUNTA(B247:J247)=0,"",ROW()-1)</f>
      </c>
      <c r="B247" s="24"/>
      <c r="C247" s="25"/>
      <c r="D247" s="8"/>
      <c r="E247" s="8"/>
      <c r="F247" s="26"/>
      <c r="G247" s="24"/>
      <c r="H247" s="25"/>
      <c r="I247" s="25"/>
      <c r="J247" s="26"/>
      <c r="K247" t="str" s="15">
        <f aca="0">IF(COUNTA(B247:J247)=0,"",IF(R247&lt;&gt;"","확인필요(입력누락)",IF(COUNTIFS(보유목록!$I$2:$I$3001,"*"&amp;P247&amp;"*",보유목록!$I$2:$I$3001,"*"&amp;Q247&amp;"*",보유목록!$H$2:$H$3001,O247)&gt;0,"있음",IF(COUNTIFS(보유목록!$I$2:$I$3001,"*"&amp;P247&amp;"*",보유목록!$I$2:$I$3001,"*"&amp;Q247&amp;"*")&gt;0,"확인필요(연도다름)",IF(COUNTIFS(보유목록!$I$2:$I$3001,"*"&amp;P247&amp;"*",보유목록!$H$2:$H$3001,O247)&gt;0,"확인필요(같은학교·같은연도)","없음")))))</f>
      </c>
      <c r="L247" t="str" s="16">
        <f aca="0">IF(OR(COUNTA(B247:J247)=0,R247&lt;&gt;""),"",COUNTIFS(보유목록!$I$2:$I$3001,"*"&amp;P247&amp;"*",보유목록!$I$2:$I$3001,"*"&amp;Q247&amp;"*"))</f>
      </c>
      <c r="M247" t="str" s="23">
        <f aca="0">IF(OR(COUNTA(B247:J247)=0,R247&lt;&gt;""),"",IFERROR(LOOKUP(2,1/(ISNUMBER(SEARCH(P247,보유목록!$I$2:$I$3001))*ISNUMBER(SEARCH(Q247,보유목록!$I$2:$I$3001))*(보유목록!$H$2:$H$3001=O247)),보유목록!$B$2:$B$3001),IFERROR(LOOKUP(2,1/(ISNUMBER(SEARCH(P247,보유목록!$I$2:$I$3001))*ISNUMBER(SEARCH(Q247,보유목록!$I$2:$I$3001))),보유목록!$B$2:$B$3001),"")))</f>
      </c>
      <c r="N247" s="25"/>
      <c r="O247" t="str">
        <f>IFERROR(IF(AND(LEN(SUBSTITUTE(SUBSTITUTE(SUBSTITUTE(TRIM(C247&amp;""),CHAR(160),"")," ",""),"년",""))=4,VALUE(SUBSTITUTE(SUBSTITUTE(SUBSTITUTE(TRIM(C247&amp;""),CHAR(160),"")," ",""),"년",""))&gt;=1900,VALUE(SUBSTITUTE(SUBSTITUTE(SUBSTITUTE(TRIM(C247&amp;""),CHAR(160),"")," ",""),"년",""))&lt;=2099,TEXT(VALUE(SUBSTITUTE(SUBSTITUTE(SUBSTITUTE(TRIM(C247&amp;""),CHAR(160),"")," ",""),"년","")),"0000")=SUBSTITUTE(SUBSTITUTE(SUBSTITUTE(TRIM(C247&amp;""),CHAR(160),"")," ",""),"년","")),SUBSTITUTE(SUBSTITUTE(SUBSTITUTE(TRIM(C247&amp;""),CHAR(160),"")," ",""),"년",""),""),"")</f>
      </c>
      <c r="P247" t="str">
        <f>SUBSTITUTE(SUBSTITUTE(SUBSTITUTE(SUBSTITUTE(SUBSTITUTE(SUBSTITUTE(SUBSTITUTE(SUBSTITUTE(TRIM(D247&amp;""),CHAR(160),"")," ",""),"초등학교","초"),"중학교","중"),"고등학교","고"),"~","~~"),"*","~*"),"?","~?")</f>
      </c>
      <c r="Q247" t="str">
        <f>SUBSTITUTE(SUBSTITUTE(SUBSTITUTE(SUBSTITUTE(SUBSTITUTE(SUBSTITUTE(SUBSTITUTE(SUBSTITUTE(TRIM(E247&amp;""),CHAR(160),"")," ",""),"초등학교","초"),"중학교","중"),"고등학교","고"),"~","~~"),"*","~*"),"?","~?")</f>
      </c>
      <c r="R247" t="str">
        <f>IF(COUNTA(B247:J247)=0,"",IF(AND(O247&lt;&gt;"",P247&lt;&gt;"",Q247&lt;&gt;""),"","입력누락"))</f>
      </c>
    </row>
    <row r="248" customFormat="false" ht="15" hidden="false" customHeight="false" outlineLevel="0" collapsed="false">
      <c r="A248" t="n" s="19">
        <f aca="0">IF(COUNTA(B248:J248)=0,"",ROW()-1)</f>
      </c>
      <c r="B248" s="24"/>
      <c r="C248" s="25"/>
      <c r="D248" s="8"/>
      <c r="E248" s="8"/>
      <c r="F248" s="26"/>
      <c r="G248" s="24"/>
      <c r="H248" s="25"/>
      <c r="I248" s="25"/>
      <c r="J248" s="26"/>
      <c r="K248" t="str" s="15">
        <f aca="0">IF(COUNTA(B248:J248)=0,"",IF(R248&lt;&gt;"","확인필요(입력누락)",IF(COUNTIFS(보유목록!$I$2:$I$3001,"*"&amp;P248&amp;"*",보유목록!$I$2:$I$3001,"*"&amp;Q248&amp;"*",보유목록!$H$2:$H$3001,O248)&gt;0,"있음",IF(COUNTIFS(보유목록!$I$2:$I$3001,"*"&amp;P248&amp;"*",보유목록!$I$2:$I$3001,"*"&amp;Q248&amp;"*")&gt;0,"확인필요(연도다름)",IF(COUNTIFS(보유목록!$I$2:$I$3001,"*"&amp;P248&amp;"*",보유목록!$H$2:$H$3001,O248)&gt;0,"확인필요(같은학교·같은연도)","없음")))))</f>
      </c>
      <c r="L248" t="str" s="16">
        <f aca="0">IF(OR(COUNTA(B248:J248)=0,R248&lt;&gt;""),"",COUNTIFS(보유목록!$I$2:$I$3001,"*"&amp;P248&amp;"*",보유목록!$I$2:$I$3001,"*"&amp;Q248&amp;"*"))</f>
      </c>
      <c r="M248" t="str" s="23">
        <f aca="0">IF(OR(COUNTA(B248:J248)=0,R248&lt;&gt;""),"",IFERROR(LOOKUP(2,1/(ISNUMBER(SEARCH(P248,보유목록!$I$2:$I$3001))*ISNUMBER(SEARCH(Q248,보유목록!$I$2:$I$3001))*(보유목록!$H$2:$H$3001=O248)),보유목록!$B$2:$B$3001),IFERROR(LOOKUP(2,1/(ISNUMBER(SEARCH(P248,보유목록!$I$2:$I$3001))*ISNUMBER(SEARCH(Q248,보유목록!$I$2:$I$3001))),보유목록!$B$2:$B$3001),"")))</f>
      </c>
      <c r="N248" s="25"/>
      <c r="O248" t="str">
        <f>IFERROR(IF(AND(LEN(SUBSTITUTE(SUBSTITUTE(SUBSTITUTE(TRIM(C248&amp;""),CHAR(160),"")," ",""),"년",""))=4,VALUE(SUBSTITUTE(SUBSTITUTE(SUBSTITUTE(TRIM(C248&amp;""),CHAR(160),"")," ",""),"년",""))&gt;=1900,VALUE(SUBSTITUTE(SUBSTITUTE(SUBSTITUTE(TRIM(C248&amp;""),CHAR(160),"")," ",""),"년",""))&lt;=2099,TEXT(VALUE(SUBSTITUTE(SUBSTITUTE(SUBSTITUTE(TRIM(C248&amp;""),CHAR(160),"")," ",""),"년","")),"0000")=SUBSTITUTE(SUBSTITUTE(SUBSTITUTE(TRIM(C248&amp;""),CHAR(160),"")," ",""),"년","")),SUBSTITUTE(SUBSTITUTE(SUBSTITUTE(TRIM(C248&amp;""),CHAR(160),"")," ",""),"년",""),""),"")</f>
      </c>
      <c r="P248" t="str">
        <f>SUBSTITUTE(SUBSTITUTE(SUBSTITUTE(SUBSTITUTE(SUBSTITUTE(SUBSTITUTE(SUBSTITUTE(SUBSTITUTE(TRIM(D248&amp;""),CHAR(160),"")," ",""),"초등학교","초"),"중학교","중"),"고등학교","고"),"~","~~"),"*","~*"),"?","~?")</f>
      </c>
      <c r="Q248" t="str">
        <f>SUBSTITUTE(SUBSTITUTE(SUBSTITUTE(SUBSTITUTE(SUBSTITUTE(SUBSTITUTE(SUBSTITUTE(SUBSTITUTE(TRIM(E248&amp;""),CHAR(160),"")," ",""),"초등학교","초"),"중학교","중"),"고등학교","고"),"~","~~"),"*","~*"),"?","~?")</f>
      </c>
      <c r="R248" t="str">
        <f>IF(COUNTA(B248:J248)=0,"",IF(AND(O248&lt;&gt;"",P248&lt;&gt;"",Q248&lt;&gt;""),"","입력누락"))</f>
      </c>
    </row>
    <row r="249" customFormat="false" ht="15" hidden="false" customHeight="false" outlineLevel="0" collapsed="false">
      <c r="A249" t="n" s="19">
        <f aca="0">IF(COUNTA(B249:J249)=0,"",ROW()-1)</f>
      </c>
      <c r="B249" s="24"/>
      <c r="C249" s="25"/>
      <c r="D249" s="8"/>
      <c r="E249" s="8"/>
      <c r="F249" s="26"/>
      <c r="G249" s="24"/>
      <c r="H249" s="25"/>
      <c r="I249" s="25"/>
      <c r="J249" s="26"/>
      <c r="K249" t="str" s="15">
        <f aca="0">IF(COUNTA(B249:J249)=0,"",IF(R249&lt;&gt;"","확인필요(입력누락)",IF(COUNTIFS(보유목록!$I$2:$I$3001,"*"&amp;P249&amp;"*",보유목록!$I$2:$I$3001,"*"&amp;Q249&amp;"*",보유목록!$H$2:$H$3001,O249)&gt;0,"있음",IF(COUNTIFS(보유목록!$I$2:$I$3001,"*"&amp;P249&amp;"*",보유목록!$I$2:$I$3001,"*"&amp;Q249&amp;"*")&gt;0,"확인필요(연도다름)",IF(COUNTIFS(보유목록!$I$2:$I$3001,"*"&amp;P249&amp;"*",보유목록!$H$2:$H$3001,O249)&gt;0,"확인필요(같은학교·같은연도)","없음")))))</f>
      </c>
      <c r="L249" t="str" s="16">
        <f aca="0">IF(OR(COUNTA(B249:J249)=0,R249&lt;&gt;""),"",COUNTIFS(보유목록!$I$2:$I$3001,"*"&amp;P249&amp;"*",보유목록!$I$2:$I$3001,"*"&amp;Q249&amp;"*"))</f>
      </c>
      <c r="M249" t="str" s="23">
        <f aca="0">IF(OR(COUNTA(B249:J249)=0,R249&lt;&gt;""),"",IFERROR(LOOKUP(2,1/(ISNUMBER(SEARCH(P249,보유목록!$I$2:$I$3001))*ISNUMBER(SEARCH(Q249,보유목록!$I$2:$I$3001))*(보유목록!$H$2:$H$3001=O249)),보유목록!$B$2:$B$3001),IFERROR(LOOKUP(2,1/(ISNUMBER(SEARCH(P249,보유목록!$I$2:$I$3001))*ISNUMBER(SEARCH(Q249,보유목록!$I$2:$I$3001))),보유목록!$B$2:$B$3001),"")))</f>
      </c>
      <c r="N249" s="25"/>
      <c r="O249" t="str">
        <f>IFERROR(IF(AND(LEN(SUBSTITUTE(SUBSTITUTE(SUBSTITUTE(TRIM(C249&amp;""),CHAR(160),"")," ",""),"년",""))=4,VALUE(SUBSTITUTE(SUBSTITUTE(SUBSTITUTE(TRIM(C249&amp;""),CHAR(160),"")," ",""),"년",""))&gt;=1900,VALUE(SUBSTITUTE(SUBSTITUTE(SUBSTITUTE(TRIM(C249&amp;""),CHAR(160),"")," ",""),"년",""))&lt;=2099,TEXT(VALUE(SUBSTITUTE(SUBSTITUTE(SUBSTITUTE(TRIM(C249&amp;""),CHAR(160),"")," ",""),"년","")),"0000")=SUBSTITUTE(SUBSTITUTE(SUBSTITUTE(TRIM(C249&amp;""),CHAR(160),"")," ",""),"년","")),SUBSTITUTE(SUBSTITUTE(SUBSTITUTE(TRIM(C249&amp;""),CHAR(160),"")," ",""),"년",""),""),"")</f>
      </c>
      <c r="P249" t="str">
        <f>SUBSTITUTE(SUBSTITUTE(SUBSTITUTE(SUBSTITUTE(SUBSTITUTE(SUBSTITUTE(SUBSTITUTE(SUBSTITUTE(TRIM(D249&amp;""),CHAR(160),"")," ",""),"초등학교","초"),"중학교","중"),"고등학교","고"),"~","~~"),"*","~*"),"?","~?")</f>
      </c>
      <c r="Q249" t="str">
        <f>SUBSTITUTE(SUBSTITUTE(SUBSTITUTE(SUBSTITUTE(SUBSTITUTE(SUBSTITUTE(SUBSTITUTE(SUBSTITUTE(TRIM(E249&amp;""),CHAR(160),"")," ",""),"초등학교","초"),"중학교","중"),"고등학교","고"),"~","~~"),"*","~*"),"?","~?")</f>
      </c>
      <c r="R249" t="str">
        <f>IF(COUNTA(B249:J249)=0,"",IF(AND(O249&lt;&gt;"",P249&lt;&gt;"",Q249&lt;&gt;""),"","입력누락"))</f>
      </c>
    </row>
    <row r="250" customFormat="false" ht="15" hidden="false" customHeight="false" outlineLevel="0" collapsed="false">
      <c r="A250" t="n" s="19">
        <f aca="0">IF(COUNTA(B250:J250)=0,"",ROW()-1)</f>
      </c>
      <c r="B250" s="24"/>
      <c r="C250" s="25"/>
      <c r="D250" s="8"/>
      <c r="E250" s="8"/>
      <c r="F250" s="26"/>
      <c r="G250" s="24"/>
      <c r="H250" s="25"/>
      <c r="I250" s="25"/>
      <c r="J250" s="26"/>
      <c r="K250" t="str" s="15">
        <f aca="0">IF(COUNTA(B250:J250)=0,"",IF(R250&lt;&gt;"","확인필요(입력누락)",IF(COUNTIFS(보유목록!$I$2:$I$3001,"*"&amp;P250&amp;"*",보유목록!$I$2:$I$3001,"*"&amp;Q250&amp;"*",보유목록!$H$2:$H$3001,O250)&gt;0,"있음",IF(COUNTIFS(보유목록!$I$2:$I$3001,"*"&amp;P250&amp;"*",보유목록!$I$2:$I$3001,"*"&amp;Q250&amp;"*")&gt;0,"확인필요(연도다름)",IF(COUNTIFS(보유목록!$I$2:$I$3001,"*"&amp;P250&amp;"*",보유목록!$H$2:$H$3001,O250)&gt;0,"확인필요(같은학교·같은연도)","없음")))))</f>
      </c>
      <c r="L250" t="str" s="16">
        <f aca="0">IF(OR(COUNTA(B250:J250)=0,R250&lt;&gt;""),"",COUNTIFS(보유목록!$I$2:$I$3001,"*"&amp;P250&amp;"*",보유목록!$I$2:$I$3001,"*"&amp;Q250&amp;"*"))</f>
      </c>
      <c r="M250" t="str" s="23">
        <f aca="0">IF(OR(COUNTA(B250:J250)=0,R250&lt;&gt;""),"",IFERROR(LOOKUP(2,1/(ISNUMBER(SEARCH(P250,보유목록!$I$2:$I$3001))*ISNUMBER(SEARCH(Q250,보유목록!$I$2:$I$3001))*(보유목록!$H$2:$H$3001=O250)),보유목록!$B$2:$B$3001),IFERROR(LOOKUP(2,1/(ISNUMBER(SEARCH(P250,보유목록!$I$2:$I$3001))*ISNUMBER(SEARCH(Q250,보유목록!$I$2:$I$3001))),보유목록!$B$2:$B$3001),"")))</f>
      </c>
      <c r="N250" s="25"/>
      <c r="O250" t="str">
        <f>IFERROR(IF(AND(LEN(SUBSTITUTE(SUBSTITUTE(SUBSTITUTE(TRIM(C250&amp;""),CHAR(160),"")," ",""),"년",""))=4,VALUE(SUBSTITUTE(SUBSTITUTE(SUBSTITUTE(TRIM(C250&amp;""),CHAR(160),"")," ",""),"년",""))&gt;=1900,VALUE(SUBSTITUTE(SUBSTITUTE(SUBSTITUTE(TRIM(C250&amp;""),CHAR(160),"")," ",""),"년",""))&lt;=2099,TEXT(VALUE(SUBSTITUTE(SUBSTITUTE(SUBSTITUTE(TRIM(C250&amp;""),CHAR(160),"")," ",""),"년","")),"0000")=SUBSTITUTE(SUBSTITUTE(SUBSTITUTE(TRIM(C250&amp;""),CHAR(160),"")," ",""),"년","")),SUBSTITUTE(SUBSTITUTE(SUBSTITUTE(TRIM(C250&amp;""),CHAR(160),"")," ",""),"년",""),""),"")</f>
      </c>
      <c r="P250" t="str">
        <f>SUBSTITUTE(SUBSTITUTE(SUBSTITUTE(SUBSTITUTE(SUBSTITUTE(SUBSTITUTE(SUBSTITUTE(SUBSTITUTE(TRIM(D250&amp;""),CHAR(160),"")," ",""),"초등학교","초"),"중학교","중"),"고등학교","고"),"~","~~"),"*","~*"),"?","~?")</f>
      </c>
      <c r="Q250" t="str">
        <f>SUBSTITUTE(SUBSTITUTE(SUBSTITUTE(SUBSTITUTE(SUBSTITUTE(SUBSTITUTE(SUBSTITUTE(SUBSTITUTE(TRIM(E250&amp;""),CHAR(160),"")," ",""),"초등학교","초"),"중학교","중"),"고등학교","고"),"~","~~"),"*","~*"),"?","~?")</f>
      </c>
      <c r="R250" t="str">
        <f>IF(COUNTA(B250:J250)=0,"",IF(AND(O250&lt;&gt;"",P250&lt;&gt;"",Q250&lt;&gt;""),"","입력누락"))</f>
      </c>
    </row>
    <row r="251" customFormat="false" ht="15" hidden="false" customHeight="false" outlineLevel="0" collapsed="false">
      <c r="A251" t="n" s="19">
        <f aca="0">IF(COUNTA(B251:J251)=0,"",ROW()-1)</f>
      </c>
      <c r="B251" s="24"/>
      <c r="C251" s="25"/>
      <c r="D251" s="8"/>
      <c r="E251" s="8"/>
      <c r="F251" s="26"/>
      <c r="G251" s="24"/>
      <c r="H251" s="25"/>
      <c r="I251" s="25"/>
      <c r="J251" s="26"/>
      <c r="K251" t="str" s="15">
        <f aca="0">IF(COUNTA(B251:J251)=0,"",IF(R251&lt;&gt;"","확인필요(입력누락)",IF(COUNTIFS(보유목록!$I$2:$I$3001,"*"&amp;P251&amp;"*",보유목록!$I$2:$I$3001,"*"&amp;Q251&amp;"*",보유목록!$H$2:$H$3001,O251)&gt;0,"있음",IF(COUNTIFS(보유목록!$I$2:$I$3001,"*"&amp;P251&amp;"*",보유목록!$I$2:$I$3001,"*"&amp;Q251&amp;"*")&gt;0,"확인필요(연도다름)",IF(COUNTIFS(보유목록!$I$2:$I$3001,"*"&amp;P251&amp;"*",보유목록!$H$2:$H$3001,O251)&gt;0,"확인필요(같은학교·같은연도)","없음")))))</f>
      </c>
      <c r="L251" t="str" s="16">
        <f aca="0">IF(OR(COUNTA(B251:J251)=0,R251&lt;&gt;""),"",COUNTIFS(보유목록!$I$2:$I$3001,"*"&amp;P251&amp;"*",보유목록!$I$2:$I$3001,"*"&amp;Q251&amp;"*"))</f>
      </c>
      <c r="M251" t="str" s="23">
        <f aca="0">IF(OR(COUNTA(B251:J251)=0,R251&lt;&gt;""),"",IFERROR(LOOKUP(2,1/(ISNUMBER(SEARCH(P251,보유목록!$I$2:$I$3001))*ISNUMBER(SEARCH(Q251,보유목록!$I$2:$I$3001))*(보유목록!$H$2:$H$3001=O251)),보유목록!$B$2:$B$3001),IFERROR(LOOKUP(2,1/(ISNUMBER(SEARCH(P251,보유목록!$I$2:$I$3001))*ISNUMBER(SEARCH(Q251,보유목록!$I$2:$I$3001))),보유목록!$B$2:$B$3001),"")))</f>
      </c>
      <c r="N251" s="25"/>
      <c r="O251" t="str">
        <f>IFERROR(IF(AND(LEN(SUBSTITUTE(SUBSTITUTE(SUBSTITUTE(TRIM(C251&amp;""),CHAR(160),"")," ",""),"년",""))=4,VALUE(SUBSTITUTE(SUBSTITUTE(SUBSTITUTE(TRIM(C251&amp;""),CHAR(160),"")," ",""),"년",""))&gt;=1900,VALUE(SUBSTITUTE(SUBSTITUTE(SUBSTITUTE(TRIM(C251&amp;""),CHAR(160),"")," ",""),"년",""))&lt;=2099,TEXT(VALUE(SUBSTITUTE(SUBSTITUTE(SUBSTITUTE(TRIM(C251&amp;""),CHAR(160),"")," ",""),"년","")),"0000")=SUBSTITUTE(SUBSTITUTE(SUBSTITUTE(TRIM(C251&amp;""),CHAR(160),"")," ",""),"년","")),SUBSTITUTE(SUBSTITUTE(SUBSTITUTE(TRIM(C251&amp;""),CHAR(160),"")," ",""),"년",""),""),"")</f>
      </c>
      <c r="P251" t="str">
        <f>SUBSTITUTE(SUBSTITUTE(SUBSTITUTE(SUBSTITUTE(SUBSTITUTE(SUBSTITUTE(SUBSTITUTE(SUBSTITUTE(TRIM(D251&amp;""),CHAR(160),"")," ",""),"초등학교","초"),"중학교","중"),"고등학교","고"),"~","~~"),"*","~*"),"?","~?")</f>
      </c>
      <c r="Q251" t="str">
        <f>SUBSTITUTE(SUBSTITUTE(SUBSTITUTE(SUBSTITUTE(SUBSTITUTE(SUBSTITUTE(SUBSTITUTE(SUBSTITUTE(TRIM(E251&amp;""),CHAR(160),"")," ",""),"초등학교","초"),"중학교","중"),"고등학교","고"),"~","~~"),"*","~*"),"?","~?")</f>
      </c>
      <c r="R251" t="str">
        <f>IF(COUNTA(B251:J251)=0,"",IF(AND(O251&lt;&gt;"",P251&lt;&gt;"",Q251&lt;&gt;""),"","입력누락"))</f>
      </c>
    </row>
    <row r="252" customFormat="false" ht="15" hidden="false" customHeight="false" outlineLevel="0" collapsed="false">
      <c r="A252" t="n" s="19">
        <f aca="0">IF(COUNTA(B252:J252)=0,"",ROW()-1)</f>
      </c>
      <c r="B252" s="24"/>
      <c r="C252" s="25"/>
      <c r="D252" s="8"/>
      <c r="E252" s="8"/>
      <c r="F252" s="26"/>
      <c r="G252" s="24"/>
      <c r="H252" s="25"/>
      <c r="I252" s="25"/>
      <c r="J252" s="26"/>
      <c r="K252" t="str" s="15">
        <f aca="0">IF(COUNTA(B252:J252)=0,"",IF(R252&lt;&gt;"","확인필요(입력누락)",IF(COUNTIFS(보유목록!$I$2:$I$3001,"*"&amp;P252&amp;"*",보유목록!$I$2:$I$3001,"*"&amp;Q252&amp;"*",보유목록!$H$2:$H$3001,O252)&gt;0,"있음",IF(COUNTIFS(보유목록!$I$2:$I$3001,"*"&amp;P252&amp;"*",보유목록!$I$2:$I$3001,"*"&amp;Q252&amp;"*")&gt;0,"확인필요(연도다름)",IF(COUNTIFS(보유목록!$I$2:$I$3001,"*"&amp;P252&amp;"*",보유목록!$H$2:$H$3001,O252)&gt;0,"확인필요(같은학교·같은연도)","없음")))))</f>
      </c>
      <c r="L252" t="str" s="16">
        <f aca="0">IF(OR(COUNTA(B252:J252)=0,R252&lt;&gt;""),"",COUNTIFS(보유목록!$I$2:$I$3001,"*"&amp;P252&amp;"*",보유목록!$I$2:$I$3001,"*"&amp;Q252&amp;"*"))</f>
      </c>
      <c r="M252" t="str" s="23">
        <f aca="0">IF(OR(COUNTA(B252:J252)=0,R252&lt;&gt;""),"",IFERROR(LOOKUP(2,1/(ISNUMBER(SEARCH(P252,보유목록!$I$2:$I$3001))*ISNUMBER(SEARCH(Q252,보유목록!$I$2:$I$3001))*(보유목록!$H$2:$H$3001=O252)),보유목록!$B$2:$B$3001),IFERROR(LOOKUP(2,1/(ISNUMBER(SEARCH(P252,보유목록!$I$2:$I$3001))*ISNUMBER(SEARCH(Q252,보유목록!$I$2:$I$3001))),보유목록!$B$2:$B$3001),"")))</f>
      </c>
      <c r="N252" s="25"/>
      <c r="O252" t="str">
        <f>IFERROR(IF(AND(LEN(SUBSTITUTE(SUBSTITUTE(SUBSTITUTE(TRIM(C252&amp;""),CHAR(160),"")," ",""),"년",""))=4,VALUE(SUBSTITUTE(SUBSTITUTE(SUBSTITUTE(TRIM(C252&amp;""),CHAR(160),"")," ",""),"년",""))&gt;=1900,VALUE(SUBSTITUTE(SUBSTITUTE(SUBSTITUTE(TRIM(C252&amp;""),CHAR(160),"")," ",""),"년",""))&lt;=2099,TEXT(VALUE(SUBSTITUTE(SUBSTITUTE(SUBSTITUTE(TRIM(C252&amp;""),CHAR(160),"")," ",""),"년","")),"0000")=SUBSTITUTE(SUBSTITUTE(SUBSTITUTE(TRIM(C252&amp;""),CHAR(160),"")," ",""),"년","")),SUBSTITUTE(SUBSTITUTE(SUBSTITUTE(TRIM(C252&amp;""),CHAR(160),"")," ",""),"년",""),""),"")</f>
      </c>
      <c r="P252" t="str">
        <f>SUBSTITUTE(SUBSTITUTE(SUBSTITUTE(SUBSTITUTE(SUBSTITUTE(SUBSTITUTE(SUBSTITUTE(SUBSTITUTE(TRIM(D252&amp;""),CHAR(160),"")," ",""),"초등학교","초"),"중학교","중"),"고등학교","고"),"~","~~"),"*","~*"),"?","~?")</f>
      </c>
      <c r="Q252" t="str">
        <f>SUBSTITUTE(SUBSTITUTE(SUBSTITUTE(SUBSTITUTE(SUBSTITUTE(SUBSTITUTE(SUBSTITUTE(SUBSTITUTE(TRIM(E252&amp;""),CHAR(160),"")," ",""),"초등학교","초"),"중학교","중"),"고등학교","고"),"~","~~"),"*","~*"),"?","~?")</f>
      </c>
      <c r="R252" t="str">
        <f>IF(COUNTA(B252:J252)=0,"",IF(AND(O252&lt;&gt;"",P252&lt;&gt;"",Q252&lt;&gt;""),"","입력누락"))</f>
      </c>
    </row>
    <row r="253" customFormat="false" ht="15" hidden="false" customHeight="false" outlineLevel="0" collapsed="false">
      <c r="A253" t="n" s="19">
        <f aca="0">IF(COUNTA(B253:J253)=0,"",ROW()-1)</f>
      </c>
      <c r="B253" s="24"/>
      <c r="C253" s="25"/>
      <c r="D253" s="8"/>
      <c r="E253" s="8"/>
      <c r="F253" s="26"/>
      <c r="G253" s="24"/>
      <c r="H253" s="25"/>
      <c r="I253" s="25"/>
      <c r="J253" s="26"/>
      <c r="K253" t="str" s="15">
        <f aca="0">IF(COUNTA(B253:J253)=0,"",IF(R253&lt;&gt;"","확인필요(입력누락)",IF(COUNTIFS(보유목록!$I$2:$I$3001,"*"&amp;P253&amp;"*",보유목록!$I$2:$I$3001,"*"&amp;Q253&amp;"*",보유목록!$H$2:$H$3001,O253)&gt;0,"있음",IF(COUNTIFS(보유목록!$I$2:$I$3001,"*"&amp;P253&amp;"*",보유목록!$I$2:$I$3001,"*"&amp;Q253&amp;"*")&gt;0,"확인필요(연도다름)",IF(COUNTIFS(보유목록!$I$2:$I$3001,"*"&amp;P253&amp;"*",보유목록!$H$2:$H$3001,O253)&gt;0,"확인필요(같은학교·같은연도)","없음")))))</f>
      </c>
      <c r="L253" t="str" s="16">
        <f aca="0">IF(OR(COUNTA(B253:J253)=0,R253&lt;&gt;""),"",COUNTIFS(보유목록!$I$2:$I$3001,"*"&amp;P253&amp;"*",보유목록!$I$2:$I$3001,"*"&amp;Q253&amp;"*"))</f>
      </c>
      <c r="M253" t="str" s="23">
        <f aca="0">IF(OR(COUNTA(B253:J253)=0,R253&lt;&gt;""),"",IFERROR(LOOKUP(2,1/(ISNUMBER(SEARCH(P253,보유목록!$I$2:$I$3001))*ISNUMBER(SEARCH(Q253,보유목록!$I$2:$I$3001))*(보유목록!$H$2:$H$3001=O253)),보유목록!$B$2:$B$3001),IFERROR(LOOKUP(2,1/(ISNUMBER(SEARCH(P253,보유목록!$I$2:$I$3001))*ISNUMBER(SEARCH(Q253,보유목록!$I$2:$I$3001))),보유목록!$B$2:$B$3001),"")))</f>
      </c>
      <c r="N253" s="25"/>
      <c r="O253" t="str">
        <f>IFERROR(IF(AND(LEN(SUBSTITUTE(SUBSTITUTE(SUBSTITUTE(TRIM(C253&amp;""),CHAR(160),"")," ",""),"년",""))=4,VALUE(SUBSTITUTE(SUBSTITUTE(SUBSTITUTE(TRIM(C253&amp;""),CHAR(160),"")," ",""),"년",""))&gt;=1900,VALUE(SUBSTITUTE(SUBSTITUTE(SUBSTITUTE(TRIM(C253&amp;""),CHAR(160),"")," ",""),"년",""))&lt;=2099,TEXT(VALUE(SUBSTITUTE(SUBSTITUTE(SUBSTITUTE(TRIM(C253&amp;""),CHAR(160),"")," ",""),"년","")),"0000")=SUBSTITUTE(SUBSTITUTE(SUBSTITUTE(TRIM(C253&amp;""),CHAR(160),"")," ",""),"년","")),SUBSTITUTE(SUBSTITUTE(SUBSTITUTE(TRIM(C253&amp;""),CHAR(160),"")," ",""),"년",""),""),"")</f>
      </c>
      <c r="P253" t="str">
        <f>SUBSTITUTE(SUBSTITUTE(SUBSTITUTE(SUBSTITUTE(SUBSTITUTE(SUBSTITUTE(SUBSTITUTE(SUBSTITUTE(TRIM(D253&amp;""),CHAR(160),"")," ",""),"초등학교","초"),"중학교","중"),"고등학교","고"),"~","~~"),"*","~*"),"?","~?")</f>
      </c>
      <c r="Q253" t="str">
        <f>SUBSTITUTE(SUBSTITUTE(SUBSTITUTE(SUBSTITUTE(SUBSTITUTE(SUBSTITUTE(SUBSTITUTE(SUBSTITUTE(TRIM(E253&amp;""),CHAR(160),"")," ",""),"초등학교","초"),"중학교","중"),"고등학교","고"),"~","~~"),"*","~*"),"?","~?")</f>
      </c>
      <c r="R253" t="str">
        <f>IF(COUNTA(B253:J253)=0,"",IF(AND(O253&lt;&gt;"",P253&lt;&gt;"",Q253&lt;&gt;""),"","입력누락"))</f>
      </c>
    </row>
    <row r="254" customFormat="false" ht="15" hidden="false" customHeight="false" outlineLevel="0" collapsed="false">
      <c r="A254" t="n" s="19">
        <f aca="0">IF(COUNTA(B254:J254)=0,"",ROW()-1)</f>
      </c>
      <c r="B254" s="24"/>
      <c r="C254" s="25"/>
      <c r="D254" s="8"/>
      <c r="E254" s="8"/>
      <c r="F254" s="26"/>
      <c r="G254" s="24"/>
      <c r="H254" s="25"/>
      <c r="I254" s="25"/>
      <c r="J254" s="26"/>
      <c r="K254" t="str" s="15">
        <f aca="0">IF(COUNTA(B254:J254)=0,"",IF(R254&lt;&gt;"","확인필요(입력누락)",IF(COUNTIFS(보유목록!$I$2:$I$3001,"*"&amp;P254&amp;"*",보유목록!$I$2:$I$3001,"*"&amp;Q254&amp;"*",보유목록!$H$2:$H$3001,O254)&gt;0,"있음",IF(COUNTIFS(보유목록!$I$2:$I$3001,"*"&amp;P254&amp;"*",보유목록!$I$2:$I$3001,"*"&amp;Q254&amp;"*")&gt;0,"확인필요(연도다름)",IF(COUNTIFS(보유목록!$I$2:$I$3001,"*"&amp;P254&amp;"*",보유목록!$H$2:$H$3001,O254)&gt;0,"확인필요(같은학교·같은연도)","없음")))))</f>
      </c>
      <c r="L254" t="str" s="16">
        <f aca="0">IF(OR(COUNTA(B254:J254)=0,R254&lt;&gt;""),"",COUNTIFS(보유목록!$I$2:$I$3001,"*"&amp;P254&amp;"*",보유목록!$I$2:$I$3001,"*"&amp;Q254&amp;"*"))</f>
      </c>
      <c r="M254" t="str" s="23">
        <f aca="0">IF(OR(COUNTA(B254:J254)=0,R254&lt;&gt;""),"",IFERROR(LOOKUP(2,1/(ISNUMBER(SEARCH(P254,보유목록!$I$2:$I$3001))*ISNUMBER(SEARCH(Q254,보유목록!$I$2:$I$3001))*(보유목록!$H$2:$H$3001=O254)),보유목록!$B$2:$B$3001),IFERROR(LOOKUP(2,1/(ISNUMBER(SEARCH(P254,보유목록!$I$2:$I$3001))*ISNUMBER(SEARCH(Q254,보유목록!$I$2:$I$3001))),보유목록!$B$2:$B$3001),"")))</f>
      </c>
      <c r="N254" s="25"/>
      <c r="O254" t="str">
        <f>IFERROR(IF(AND(LEN(SUBSTITUTE(SUBSTITUTE(SUBSTITUTE(TRIM(C254&amp;""),CHAR(160),"")," ",""),"년",""))=4,VALUE(SUBSTITUTE(SUBSTITUTE(SUBSTITUTE(TRIM(C254&amp;""),CHAR(160),"")," ",""),"년",""))&gt;=1900,VALUE(SUBSTITUTE(SUBSTITUTE(SUBSTITUTE(TRIM(C254&amp;""),CHAR(160),"")," ",""),"년",""))&lt;=2099,TEXT(VALUE(SUBSTITUTE(SUBSTITUTE(SUBSTITUTE(TRIM(C254&amp;""),CHAR(160),"")," ",""),"년","")),"0000")=SUBSTITUTE(SUBSTITUTE(SUBSTITUTE(TRIM(C254&amp;""),CHAR(160),"")," ",""),"년","")),SUBSTITUTE(SUBSTITUTE(SUBSTITUTE(TRIM(C254&amp;""),CHAR(160),"")," ",""),"년",""),""),"")</f>
      </c>
      <c r="P254" t="str">
        <f>SUBSTITUTE(SUBSTITUTE(SUBSTITUTE(SUBSTITUTE(SUBSTITUTE(SUBSTITUTE(SUBSTITUTE(SUBSTITUTE(TRIM(D254&amp;""),CHAR(160),"")," ",""),"초등학교","초"),"중학교","중"),"고등학교","고"),"~","~~"),"*","~*"),"?","~?")</f>
      </c>
      <c r="Q254" t="str">
        <f>SUBSTITUTE(SUBSTITUTE(SUBSTITUTE(SUBSTITUTE(SUBSTITUTE(SUBSTITUTE(SUBSTITUTE(SUBSTITUTE(TRIM(E254&amp;""),CHAR(160),"")," ",""),"초등학교","초"),"중학교","중"),"고등학교","고"),"~","~~"),"*","~*"),"?","~?")</f>
      </c>
      <c r="R254" t="str">
        <f>IF(COUNTA(B254:J254)=0,"",IF(AND(O254&lt;&gt;"",P254&lt;&gt;"",Q254&lt;&gt;""),"","입력누락"))</f>
      </c>
    </row>
    <row r="255" customFormat="false" ht="15" hidden="false" customHeight="false" outlineLevel="0" collapsed="false">
      <c r="A255" t="n" s="19">
        <f aca="0">IF(COUNTA(B255:J255)=0,"",ROW()-1)</f>
      </c>
      <c r="B255" s="24"/>
      <c r="C255" s="25"/>
      <c r="D255" s="8"/>
      <c r="E255" s="8"/>
      <c r="F255" s="26"/>
      <c r="G255" s="24"/>
      <c r="H255" s="25"/>
      <c r="I255" s="25"/>
      <c r="J255" s="26"/>
      <c r="K255" t="str" s="15">
        <f aca="0">IF(COUNTA(B255:J255)=0,"",IF(R255&lt;&gt;"","확인필요(입력누락)",IF(COUNTIFS(보유목록!$I$2:$I$3001,"*"&amp;P255&amp;"*",보유목록!$I$2:$I$3001,"*"&amp;Q255&amp;"*",보유목록!$H$2:$H$3001,O255)&gt;0,"있음",IF(COUNTIFS(보유목록!$I$2:$I$3001,"*"&amp;P255&amp;"*",보유목록!$I$2:$I$3001,"*"&amp;Q255&amp;"*")&gt;0,"확인필요(연도다름)",IF(COUNTIFS(보유목록!$I$2:$I$3001,"*"&amp;P255&amp;"*",보유목록!$H$2:$H$3001,O255)&gt;0,"확인필요(같은학교·같은연도)","없음")))))</f>
      </c>
      <c r="L255" t="str" s="16">
        <f aca="0">IF(OR(COUNTA(B255:J255)=0,R255&lt;&gt;""),"",COUNTIFS(보유목록!$I$2:$I$3001,"*"&amp;P255&amp;"*",보유목록!$I$2:$I$3001,"*"&amp;Q255&amp;"*"))</f>
      </c>
      <c r="M255" t="str" s="23">
        <f aca="0">IF(OR(COUNTA(B255:J255)=0,R255&lt;&gt;""),"",IFERROR(LOOKUP(2,1/(ISNUMBER(SEARCH(P255,보유목록!$I$2:$I$3001))*ISNUMBER(SEARCH(Q255,보유목록!$I$2:$I$3001))*(보유목록!$H$2:$H$3001=O255)),보유목록!$B$2:$B$3001),IFERROR(LOOKUP(2,1/(ISNUMBER(SEARCH(P255,보유목록!$I$2:$I$3001))*ISNUMBER(SEARCH(Q255,보유목록!$I$2:$I$3001))),보유목록!$B$2:$B$3001),"")))</f>
      </c>
      <c r="N255" s="25"/>
      <c r="O255" t="str">
        <f>IFERROR(IF(AND(LEN(SUBSTITUTE(SUBSTITUTE(SUBSTITUTE(TRIM(C255&amp;""),CHAR(160),"")," ",""),"년",""))=4,VALUE(SUBSTITUTE(SUBSTITUTE(SUBSTITUTE(TRIM(C255&amp;""),CHAR(160),"")," ",""),"년",""))&gt;=1900,VALUE(SUBSTITUTE(SUBSTITUTE(SUBSTITUTE(TRIM(C255&amp;""),CHAR(160),"")," ",""),"년",""))&lt;=2099,TEXT(VALUE(SUBSTITUTE(SUBSTITUTE(SUBSTITUTE(TRIM(C255&amp;""),CHAR(160),"")," ",""),"년","")),"0000")=SUBSTITUTE(SUBSTITUTE(SUBSTITUTE(TRIM(C255&amp;""),CHAR(160),"")," ",""),"년","")),SUBSTITUTE(SUBSTITUTE(SUBSTITUTE(TRIM(C255&amp;""),CHAR(160),"")," ",""),"년",""),""),"")</f>
      </c>
      <c r="P255" t="str">
        <f>SUBSTITUTE(SUBSTITUTE(SUBSTITUTE(SUBSTITUTE(SUBSTITUTE(SUBSTITUTE(SUBSTITUTE(SUBSTITUTE(TRIM(D255&amp;""),CHAR(160),"")," ",""),"초등학교","초"),"중학교","중"),"고등학교","고"),"~","~~"),"*","~*"),"?","~?")</f>
      </c>
      <c r="Q255" t="str">
        <f>SUBSTITUTE(SUBSTITUTE(SUBSTITUTE(SUBSTITUTE(SUBSTITUTE(SUBSTITUTE(SUBSTITUTE(SUBSTITUTE(TRIM(E255&amp;""),CHAR(160),"")," ",""),"초등학교","초"),"중학교","중"),"고등학교","고"),"~","~~"),"*","~*"),"?","~?")</f>
      </c>
      <c r="R255" t="str">
        <f>IF(COUNTA(B255:J255)=0,"",IF(AND(O255&lt;&gt;"",P255&lt;&gt;"",Q255&lt;&gt;""),"","입력누락"))</f>
      </c>
    </row>
    <row r="256" customFormat="false" ht="15" hidden="false" customHeight="false" outlineLevel="0" collapsed="false">
      <c r="A256" t="n" s="19">
        <f aca="0">IF(COUNTA(B256:J256)=0,"",ROW()-1)</f>
      </c>
      <c r="B256" s="24"/>
      <c r="C256" s="25"/>
      <c r="D256" s="8"/>
      <c r="E256" s="8"/>
      <c r="F256" s="26"/>
      <c r="G256" s="24"/>
      <c r="H256" s="25"/>
      <c r="I256" s="25"/>
      <c r="J256" s="26"/>
      <c r="K256" t="str" s="15">
        <f aca="0">IF(COUNTA(B256:J256)=0,"",IF(R256&lt;&gt;"","확인필요(입력누락)",IF(COUNTIFS(보유목록!$I$2:$I$3001,"*"&amp;P256&amp;"*",보유목록!$I$2:$I$3001,"*"&amp;Q256&amp;"*",보유목록!$H$2:$H$3001,O256)&gt;0,"있음",IF(COUNTIFS(보유목록!$I$2:$I$3001,"*"&amp;P256&amp;"*",보유목록!$I$2:$I$3001,"*"&amp;Q256&amp;"*")&gt;0,"확인필요(연도다름)",IF(COUNTIFS(보유목록!$I$2:$I$3001,"*"&amp;P256&amp;"*",보유목록!$H$2:$H$3001,O256)&gt;0,"확인필요(같은학교·같은연도)","없음")))))</f>
      </c>
      <c r="L256" t="str" s="16">
        <f aca="0">IF(OR(COUNTA(B256:J256)=0,R256&lt;&gt;""),"",COUNTIFS(보유목록!$I$2:$I$3001,"*"&amp;P256&amp;"*",보유목록!$I$2:$I$3001,"*"&amp;Q256&amp;"*"))</f>
      </c>
      <c r="M256" t="str" s="23">
        <f aca="0">IF(OR(COUNTA(B256:J256)=0,R256&lt;&gt;""),"",IFERROR(LOOKUP(2,1/(ISNUMBER(SEARCH(P256,보유목록!$I$2:$I$3001))*ISNUMBER(SEARCH(Q256,보유목록!$I$2:$I$3001))*(보유목록!$H$2:$H$3001=O256)),보유목록!$B$2:$B$3001),IFERROR(LOOKUP(2,1/(ISNUMBER(SEARCH(P256,보유목록!$I$2:$I$3001))*ISNUMBER(SEARCH(Q256,보유목록!$I$2:$I$3001))),보유목록!$B$2:$B$3001),"")))</f>
      </c>
      <c r="N256" s="25"/>
      <c r="O256" t="str">
        <f>IFERROR(IF(AND(LEN(SUBSTITUTE(SUBSTITUTE(SUBSTITUTE(TRIM(C256&amp;""),CHAR(160),"")," ",""),"년",""))=4,VALUE(SUBSTITUTE(SUBSTITUTE(SUBSTITUTE(TRIM(C256&amp;""),CHAR(160),"")," ",""),"년",""))&gt;=1900,VALUE(SUBSTITUTE(SUBSTITUTE(SUBSTITUTE(TRIM(C256&amp;""),CHAR(160),"")," ",""),"년",""))&lt;=2099,TEXT(VALUE(SUBSTITUTE(SUBSTITUTE(SUBSTITUTE(TRIM(C256&amp;""),CHAR(160),"")," ",""),"년","")),"0000")=SUBSTITUTE(SUBSTITUTE(SUBSTITUTE(TRIM(C256&amp;""),CHAR(160),"")," ",""),"년","")),SUBSTITUTE(SUBSTITUTE(SUBSTITUTE(TRIM(C256&amp;""),CHAR(160),"")," ",""),"년",""),""),"")</f>
      </c>
      <c r="P256" t="str">
        <f>SUBSTITUTE(SUBSTITUTE(SUBSTITUTE(SUBSTITUTE(SUBSTITUTE(SUBSTITUTE(SUBSTITUTE(SUBSTITUTE(TRIM(D256&amp;""),CHAR(160),"")," ",""),"초등학교","초"),"중학교","중"),"고등학교","고"),"~","~~"),"*","~*"),"?","~?")</f>
      </c>
      <c r="Q256" t="str">
        <f>SUBSTITUTE(SUBSTITUTE(SUBSTITUTE(SUBSTITUTE(SUBSTITUTE(SUBSTITUTE(SUBSTITUTE(SUBSTITUTE(TRIM(E256&amp;""),CHAR(160),"")," ",""),"초등학교","초"),"중학교","중"),"고등학교","고"),"~","~~"),"*","~*"),"?","~?")</f>
      </c>
      <c r="R256" t="str">
        <f>IF(COUNTA(B256:J256)=0,"",IF(AND(O256&lt;&gt;"",P256&lt;&gt;"",Q256&lt;&gt;""),"","입력누락"))</f>
      </c>
    </row>
    <row r="257" customFormat="false" ht="15" hidden="false" customHeight="false" outlineLevel="0" collapsed="false">
      <c r="A257" t="n" s="19">
        <f aca="0">IF(COUNTA(B257:J257)=0,"",ROW()-1)</f>
      </c>
      <c r="B257" s="24"/>
      <c r="C257" s="25"/>
      <c r="D257" s="8"/>
      <c r="E257" s="8"/>
      <c r="F257" s="26"/>
      <c r="G257" s="24"/>
      <c r="H257" s="25"/>
      <c r="I257" s="25"/>
      <c r="J257" s="26"/>
      <c r="K257" t="str" s="15">
        <f aca="0">IF(COUNTA(B257:J257)=0,"",IF(R257&lt;&gt;"","확인필요(입력누락)",IF(COUNTIFS(보유목록!$I$2:$I$3001,"*"&amp;P257&amp;"*",보유목록!$I$2:$I$3001,"*"&amp;Q257&amp;"*",보유목록!$H$2:$H$3001,O257)&gt;0,"있음",IF(COUNTIFS(보유목록!$I$2:$I$3001,"*"&amp;P257&amp;"*",보유목록!$I$2:$I$3001,"*"&amp;Q257&amp;"*")&gt;0,"확인필요(연도다름)",IF(COUNTIFS(보유목록!$I$2:$I$3001,"*"&amp;P257&amp;"*",보유목록!$H$2:$H$3001,O257)&gt;0,"확인필요(같은학교·같은연도)","없음")))))</f>
      </c>
      <c r="L257" t="str" s="16">
        <f aca="0">IF(OR(COUNTA(B257:J257)=0,R257&lt;&gt;""),"",COUNTIFS(보유목록!$I$2:$I$3001,"*"&amp;P257&amp;"*",보유목록!$I$2:$I$3001,"*"&amp;Q257&amp;"*"))</f>
      </c>
      <c r="M257" t="str" s="23">
        <f aca="0">IF(OR(COUNTA(B257:J257)=0,R257&lt;&gt;""),"",IFERROR(LOOKUP(2,1/(ISNUMBER(SEARCH(P257,보유목록!$I$2:$I$3001))*ISNUMBER(SEARCH(Q257,보유목록!$I$2:$I$3001))*(보유목록!$H$2:$H$3001=O257)),보유목록!$B$2:$B$3001),IFERROR(LOOKUP(2,1/(ISNUMBER(SEARCH(P257,보유목록!$I$2:$I$3001))*ISNUMBER(SEARCH(Q257,보유목록!$I$2:$I$3001))),보유목록!$B$2:$B$3001),"")))</f>
      </c>
      <c r="N257" s="25"/>
      <c r="O257" t="str">
        <f>IFERROR(IF(AND(LEN(SUBSTITUTE(SUBSTITUTE(SUBSTITUTE(TRIM(C257&amp;""),CHAR(160),"")," ",""),"년",""))=4,VALUE(SUBSTITUTE(SUBSTITUTE(SUBSTITUTE(TRIM(C257&amp;""),CHAR(160),"")," ",""),"년",""))&gt;=1900,VALUE(SUBSTITUTE(SUBSTITUTE(SUBSTITUTE(TRIM(C257&amp;""),CHAR(160),"")," ",""),"년",""))&lt;=2099,TEXT(VALUE(SUBSTITUTE(SUBSTITUTE(SUBSTITUTE(TRIM(C257&amp;""),CHAR(160),"")," ",""),"년","")),"0000")=SUBSTITUTE(SUBSTITUTE(SUBSTITUTE(TRIM(C257&amp;""),CHAR(160),"")," ",""),"년","")),SUBSTITUTE(SUBSTITUTE(SUBSTITUTE(TRIM(C257&amp;""),CHAR(160),"")," ",""),"년",""),""),"")</f>
      </c>
      <c r="P257" t="str">
        <f>SUBSTITUTE(SUBSTITUTE(SUBSTITUTE(SUBSTITUTE(SUBSTITUTE(SUBSTITUTE(SUBSTITUTE(SUBSTITUTE(TRIM(D257&amp;""),CHAR(160),"")," ",""),"초등학교","초"),"중학교","중"),"고등학교","고"),"~","~~"),"*","~*"),"?","~?")</f>
      </c>
      <c r="Q257" t="str">
        <f>SUBSTITUTE(SUBSTITUTE(SUBSTITUTE(SUBSTITUTE(SUBSTITUTE(SUBSTITUTE(SUBSTITUTE(SUBSTITUTE(TRIM(E257&amp;""),CHAR(160),"")," ",""),"초등학교","초"),"중학교","중"),"고등학교","고"),"~","~~"),"*","~*"),"?","~?")</f>
      </c>
      <c r="R257" t="str">
        <f>IF(COUNTA(B257:J257)=0,"",IF(AND(O257&lt;&gt;"",P257&lt;&gt;"",Q257&lt;&gt;""),"","입력누락"))</f>
      </c>
    </row>
    <row r="258" customFormat="false" ht="15" hidden="false" customHeight="false" outlineLevel="0" collapsed="false">
      <c r="A258" t="n" s="19">
        <f aca="0">IF(COUNTA(B258:J258)=0,"",ROW()-1)</f>
      </c>
      <c r="B258" s="24"/>
      <c r="C258" s="25"/>
      <c r="D258" s="8"/>
      <c r="E258" s="8"/>
      <c r="F258" s="26"/>
      <c r="G258" s="24"/>
      <c r="H258" s="25"/>
      <c r="I258" s="25"/>
      <c r="J258" s="26"/>
      <c r="K258" t="str" s="15">
        <f aca="0">IF(COUNTA(B258:J258)=0,"",IF(R258&lt;&gt;"","확인필요(입력누락)",IF(COUNTIFS(보유목록!$I$2:$I$3001,"*"&amp;P258&amp;"*",보유목록!$I$2:$I$3001,"*"&amp;Q258&amp;"*",보유목록!$H$2:$H$3001,O258)&gt;0,"있음",IF(COUNTIFS(보유목록!$I$2:$I$3001,"*"&amp;P258&amp;"*",보유목록!$I$2:$I$3001,"*"&amp;Q258&amp;"*")&gt;0,"확인필요(연도다름)",IF(COUNTIFS(보유목록!$I$2:$I$3001,"*"&amp;P258&amp;"*",보유목록!$H$2:$H$3001,O258)&gt;0,"확인필요(같은학교·같은연도)","없음")))))</f>
      </c>
      <c r="L258" t="str" s="16">
        <f aca="0">IF(OR(COUNTA(B258:J258)=0,R258&lt;&gt;""),"",COUNTIFS(보유목록!$I$2:$I$3001,"*"&amp;P258&amp;"*",보유목록!$I$2:$I$3001,"*"&amp;Q258&amp;"*"))</f>
      </c>
      <c r="M258" t="str" s="23">
        <f aca="0">IF(OR(COUNTA(B258:J258)=0,R258&lt;&gt;""),"",IFERROR(LOOKUP(2,1/(ISNUMBER(SEARCH(P258,보유목록!$I$2:$I$3001))*ISNUMBER(SEARCH(Q258,보유목록!$I$2:$I$3001))*(보유목록!$H$2:$H$3001=O258)),보유목록!$B$2:$B$3001),IFERROR(LOOKUP(2,1/(ISNUMBER(SEARCH(P258,보유목록!$I$2:$I$3001))*ISNUMBER(SEARCH(Q258,보유목록!$I$2:$I$3001))),보유목록!$B$2:$B$3001),"")))</f>
      </c>
      <c r="N258" s="25"/>
      <c r="O258" t="str">
        <f>IFERROR(IF(AND(LEN(SUBSTITUTE(SUBSTITUTE(SUBSTITUTE(TRIM(C258&amp;""),CHAR(160),"")," ",""),"년",""))=4,VALUE(SUBSTITUTE(SUBSTITUTE(SUBSTITUTE(TRIM(C258&amp;""),CHAR(160),"")," ",""),"년",""))&gt;=1900,VALUE(SUBSTITUTE(SUBSTITUTE(SUBSTITUTE(TRIM(C258&amp;""),CHAR(160),"")," ",""),"년",""))&lt;=2099,TEXT(VALUE(SUBSTITUTE(SUBSTITUTE(SUBSTITUTE(TRIM(C258&amp;""),CHAR(160),"")," ",""),"년","")),"0000")=SUBSTITUTE(SUBSTITUTE(SUBSTITUTE(TRIM(C258&amp;""),CHAR(160),"")," ",""),"년","")),SUBSTITUTE(SUBSTITUTE(SUBSTITUTE(TRIM(C258&amp;""),CHAR(160),"")," ",""),"년",""),""),"")</f>
      </c>
      <c r="P258" t="str">
        <f>SUBSTITUTE(SUBSTITUTE(SUBSTITUTE(SUBSTITUTE(SUBSTITUTE(SUBSTITUTE(SUBSTITUTE(SUBSTITUTE(TRIM(D258&amp;""),CHAR(160),"")," ",""),"초등학교","초"),"중학교","중"),"고등학교","고"),"~","~~"),"*","~*"),"?","~?")</f>
      </c>
      <c r="Q258" t="str">
        <f>SUBSTITUTE(SUBSTITUTE(SUBSTITUTE(SUBSTITUTE(SUBSTITUTE(SUBSTITUTE(SUBSTITUTE(SUBSTITUTE(TRIM(E258&amp;""),CHAR(160),"")," ",""),"초등학교","초"),"중학교","중"),"고등학교","고"),"~","~~"),"*","~*"),"?","~?")</f>
      </c>
      <c r="R258" t="str">
        <f>IF(COUNTA(B258:J258)=0,"",IF(AND(O258&lt;&gt;"",P258&lt;&gt;"",Q258&lt;&gt;""),"","입력누락"))</f>
      </c>
    </row>
    <row r="259" customFormat="false" ht="15" hidden="false" customHeight="false" outlineLevel="0" collapsed="false">
      <c r="A259" t="n" s="19">
        <f aca="0">IF(COUNTA(B259:J259)=0,"",ROW()-1)</f>
      </c>
      <c r="B259" s="24"/>
      <c r="C259" s="25"/>
      <c r="D259" s="8"/>
      <c r="E259" s="8"/>
      <c r="F259" s="26"/>
      <c r="G259" s="24"/>
      <c r="H259" s="25"/>
      <c r="I259" s="25"/>
      <c r="J259" s="26"/>
      <c r="K259" t="str" s="15">
        <f aca="0">IF(COUNTA(B259:J259)=0,"",IF(R259&lt;&gt;"","확인필요(입력누락)",IF(COUNTIFS(보유목록!$I$2:$I$3001,"*"&amp;P259&amp;"*",보유목록!$I$2:$I$3001,"*"&amp;Q259&amp;"*",보유목록!$H$2:$H$3001,O259)&gt;0,"있음",IF(COUNTIFS(보유목록!$I$2:$I$3001,"*"&amp;P259&amp;"*",보유목록!$I$2:$I$3001,"*"&amp;Q259&amp;"*")&gt;0,"확인필요(연도다름)",IF(COUNTIFS(보유목록!$I$2:$I$3001,"*"&amp;P259&amp;"*",보유목록!$H$2:$H$3001,O259)&gt;0,"확인필요(같은학교·같은연도)","없음")))))</f>
      </c>
      <c r="L259" t="str" s="16">
        <f aca="0">IF(OR(COUNTA(B259:J259)=0,R259&lt;&gt;""),"",COUNTIFS(보유목록!$I$2:$I$3001,"*"&amp;P259&amp;"*",보유목록!$I$2:$I$3001,"*"&amp;Q259&amp;"*"))</f>
      </c>
      <c r="M259" t="str" s="23">
        <f aca="0">IF(OR(COUNTA(B259:J259)=0,R259&lt;&gt;""),"",IFERROR(LOOKUP(2,1/(ISNUMBER(SEARCH(P259,보유목록!$I$2:$I$3001))*ISNUMBER(SEARCH(Q259,보유목록!$I$2:$I$3001))*(보유목록!$H$2:$H$3001=O259)),보유목록!$B$2:$B$3001),IFERROR(LOOKUP(2,1/(ISNUMBER(SEARCH(P259,보유목록!$I$2:$I$3001))*ISNUMBER(SEARCH(Q259,보유목록!$I$2:$I$3001))),보유목록!$B$2:$B$3001),"")))</f>
      </c>
      <c r="N259" s="25"/>
      <c r="O259" t="str">
        <f>IFERROR(IF(AND(LEN(SUBSTITUTE(SUBSTITUTE(SUBSTITUTE(TRIM(C259&amp;""),CHAR(160),"")," ",""),"년",""))=4,VALUE(SUBSTITUTE(SUBSTITUTE(SUBSTITUTE(TRIM(C259&amp;""),CHAR(160),"")," ",""),"년",""))&gt;=1900,VALUE(SUBSTITUTE(SUBSTITUTE(SUBSTITUTE(TRIM(C259&amp;""),CHAR(160),"")," ",""),"년",""))&lt;=2099,TEXT(VALUE(SUBSTITUTE(SUBSTITUTE(SUBSTITUTE(TRIM(C259&amp;""),CHAR(160),"")," ",""),"년","")),"0000")=SUBSTITUTE(SUBSTITUTE(SUBSTITUTE(TRIM(C259&amp;""),CHAR(160),"")," ",""),"년","")),SUBSTITUTE(SUBSTITUTE(SUBSTITUTE(TRIM(C259&amp;""),CHAR(160),"")," ",""),"년",""),""),"")</f>
      </c>
      <c r="P259" t="str">
        <f>SUBSTITUTE(SUBSTITUTE(SUBSTITUTE(SUBSTITUTE(SUBSTITUTE(SUBSTITUTE(SUBSTITUTE(SUBSTITUTE(TRIM(D259&amp;""),CHAR(160),"")," ",""),"초등학교","초"),"중학교","중"),"고등학교","고"),"~","~~"),"*","~*"),"?","~?")</f>
      </c>
      <c r="Q259" t="str">
        <f>SUBSTITUTE(SUBSTITUTE(SUBSTITUTE(SUBSTITUTE(SUBSTITUTE(SUBSTITUTE(SUBSTITUTE(SUBSTITUTE(TRIM(E259&amp;""),CHAR(160),"")," ",""),"초등학교","초"),"중학교","중"),"고등학교","고"),"~","~~"),"*","~*"),"?","~?")</f>
      </c>
      <c r="R259" t="str">
        <f>IF(COUNTA(B259:J259)=0,"",IF(AND(O259&lt;&gt;"",P259&lt;&gt;"",Q259&lt;&gt;""),"","입력누락"))</f>
      </c>
    </row>
    <row r="260" customFormat="false" ht="15" hidden="false" customHeight="false" outlineLevel="0" collapsed="false">
      <c r="A260" t="n" s="19">
        <f aca="0">IF(COUNTA(B260:J260)=0,"",ROW()-1)</f>
      </c>
      <c r="B260" s="24"/>
      <c r="C260" s="25"/>
      <c r="D260" s="8"/>
      <c r="E260" s="8"/>
      <c r="F260" s="26"/>
      <c r="G260" s="24"/>
      <c r="H260" s="25"/>
      <c r="I260" s="25"/>
      <c r="J260" s="26"/>
      <c r="K260" t="str" s="15">
        <f aca="0">IF(COUNTA(B260:J260)=0,"",IF(R260&lt;&gt;"","확인필요(입력누락)",IF(COUNTIFS(보유목록!$I$2:$I$3001,"*"&amp;P260&amp;"*",보유목록!$I$2:$I$3001,"*"&amp;Q260&amp;"*",보유목록!$H$2:$H$3001,O260)&gt;0,"있음",IF(COUNTIFS(보유목록!$I$2:$I$3001,"*"&amp;P260&amp;"*",보유목록!$I$2:$I$3001,"*"&amp;Q260&amp;"*")&gt;0,"확인필요(연도다름)",IF(COUNTIFS(보유목록!$I$2:$I$3001,"*"&amp;P260&amp;"*",보유목록!$H$2:$H$3001,O260)&gt;0,"확인필요(같은학교·같은연도)","없음")))))</f>
      </c>
      <c r="L260" t="str" s="16">
        <f aca="0">IF(OR(COUNTA(B260:J260)=0,R260&lt;&gt;""),"",COUNTIFS(보유목록!$I$2:$I$3001,"*"&amp;P260&amp;"*",보유목록!$I$2:$I$3001,"*"&amp;Q260&amp;"*"))</f>
      </c>
      <c r="M260" t="str" s="23">
        <f aca="0">IF(OR(COUNTA(B260:J260)=0,R260&lt;&gt;""),"",IFERROR(LOOKUP(2,1/(ISNUMBER(SEARCH(P260,보유목록!$I$2:$I$3001))*ISNUMBER(SEARCH(Q260,보유목록!$I$2:$I$3001))*(보유목록!$H$2:$H$3001=O260)),보유목록!$B$2:$B$3001),IFERROR(LOOKUP(2,1/(ISNUMBER(SEARCH(P260,보유목록!$I$2:$I$3001))*ISNUMBER(SEARCH(Q260,보유목록!$I$2:$I$3001))),보유목록!$B$2:$B$3001),"")))</f>
      </c>
      <c r="N260" s="25"/>
      <c r="O260" t="str">
        <f>IFERROR(IF(AND(LEN(SUBSTITUTE(SUBSTITUTE(SUBSTITUTE(TRIM(C260&amp;""),CHAR(160),"")," ",""),"년",""))=4,VALUE(SUBSTITUTE(SUBSTITUTE(SUBSTITUTE(TRIM(C260&amp;""),CHAR(160),"")," ",""),"년",""))&gt;=1900,VALUE(SUBSTITUTE(SUBSTITUTE(SUBSTITUTE(TRIM(C260&amp;""),CHAR(160),"")," ",""),"년",""))&lt;=2099,TEXT(VALUE(SUBSTITUTE(SUBSTITUTE(SUBSTITUTE(TRIM(C260&amp;""),CHAR(160),"")," ",""),"년","")),"0000")=SUBSTITUTE(SUBSTITUTE(SUBSTITUTE(TRIM(C260&amp;""),CHAR(160),"")," ",""),"년","")),SUBSTITUTE(SUBSTITUTE(SUBSTITUTE(TRIM(C260&amp;""),CHAR(160),"")," ",""),"년",""),""),"")</f>
      </c>
      <c r="P260" t="str">
        <f>SUBSTITUTE(SUBSTITUTE(SUBSTITUTE(SUBSTITUTE(SUBSTITUTE(SUBSTITUTE(SUBSTITUTE(SUBSTITUTE(TRIM(D260&amp;""),CHAR(160),"")," ",""),"초등학교","초"),"중학교","중"),"고등학교","고"),"~","~~"),"*","~*"),"?","~?")</f>
      </c>
      <c r="Q260" t="str">
        <f>SUBSTITUTE(SUBSTITUTE(SUBSTITUTE(SUBSTITUTE(SUBSTITUTE(SUBSTITUTE(SUBSTITUTE(SUBSTITUTE(TRIM(E260&amp;""),CHAR(160),"")," ",""),"초등학교","초"),"중학교","중"),"고등학교","고"),"~","~~"),"*","~*"),"?","~?")</f>
      </c>
      <c r="R260" t="str">
        <f>IF(COUNTA(B260:J260)=0,"",IF(AND(O260&lt;&gt;"",P260&lt;&gt;"",Q260&lt;&gt;""),"","입력누락"))</f>
      </c>
    </row>
    <row r="261" customFormat="false" ht="15" hidden="false" customHeight="false" outlineLevel="0" collapsed="false">
      <c r="A261" t="n" s="19">
        <f aca="0">IF(COUNTA(B261:J261)=0,"",ROW()-1)</f>
      </c>
      <c r="B261" s="24"/>
      <c r="C261" s="25"/>
      <c r="D261" s="8"/>
      <c r="E261" s="8"/>
      <c r="F261" s="26"/>
      <c r="G261" s="24"/>
      <c r="H261" s="25"/>
      <c r="I261" s="25"/>
      <c r="J261" s="26"/>
      <c r="K261" t="str" s="15">
        <f aca="0">IF(COUNTA(B261:J261)=0,"",IF(R261&lt;&gt;"","확인필요(입력누락)",IF(COUNTIFS(보유목록!$I$2:$I$3001,"*"&amp;P261&amp;"*",보유목록!$I$2:$I$3001,"*"&amp;Q261&amp;"*",보유목록!$H$2:$H$3001,O261)&gt;0,"있음",IF(COUNTIFS(보유목록!$I$2:$I$3001,"*"&amp;P261&amp;"*",보유목록!$I$2:$I$3001,"*"&amp;Q261&amp;"*")&gt;0,"확인필요(연도다름)",IF(COUNTIFS(보유목록!$I$2:$I$3001,"*"&amp;P261&amp;"*",보유목록!$H$2:$H$3001,O261)&gt;0,"확인필요(같은학교·같은연도)","없음")))))</f>
      </c>
      <c r="L261" t="str" s="16">
        <f aca="0">IF(OR(COUNTA(B261:J261)=0,R261&lt;&gt;""),"",COUNTIFS(보유목록!$I$2:$I$3001,"*"&amp;P261&amp;"*",보유목록!$I$2:$I$3001,"*"&amp;Q261&amp;"*"))</f>
      </c>
      <c r="M261" t="str" s="23">
        <f aca="0">IF(OR(COUNTA(B261:J261)=0,R261&lt;&gt;""),"",IFERROR(LOOKUP(2,1/(ISNUMBER(SEARCH(P261,보유목록!$I$2:$I$3001))*ISNUMBER(SEARCH(Q261,보유목록!$I$2:$I$3001))*(보유목록!$H$2:$H$3001=O261)),보유목록!$B$2:$B$3001),IFERROR(LOOKUP(2,1/(ISNUMBER(SEARCH(P261,보유목록!$I$2:$I$3001))*ISNUMBER(SEARCH(Q261,보유목록!$I$2:$I$3001))),보유목록!$B$2:$B$3001),"")))</f>
      </c>
      <c r="N261" s="25"/>
      <c r="O261" t="str">
        <f>IFERROR(IF(AND(LEN(SUBSTITUTE(SUBSTITUTE(SUBSTITUTE(TRIM(C261&amp;""),CHAR(160),"")," ",""),"년",""))=4,VALUE(SUBSTITUTE(SUBSTITUTE(SUBSTITUTE(TRIM(C261&amp;""),CHAR(160),"")," ",""),"년",""))&gt;=1900,VALUE(SUBSTITUTE(SUBSTITUTE(SUBSTITUTE(TRIM(C261&amp;""),CHAR(160),"")," ",""),"년",""))&lt;=2099,TEXT(VALUE(SUBSTITUTE(SUBSTITUTE(SUBSTITUTE(TRIM(C261&amp;""),CHAR(160),"")," ",""),"년","")),"0000")=SUBSTITUTE(SUBSTITUTE(SUBSTITUTE(TRIM(C261&amp;""),CHAR(160),"")," ",""),"년","")),SUBSTITUTE(SUBSTITUTE(SUBSTITUTE(TRIM(C261&amp;""),CHAR(160),"")," ",""),"년",""),""),"")</f>
      </c>
      <c r="P261" t="str">
        <f>SUBSTITUTE(SUBSTITUTE(SUBSTITUTE(SUBSTITUTE(SUBSTITUTE(SUBSTITUTE(SUBSTITUTE(SUBSTITUTE(TRIM(D261&amp;""),CHAR(160),"")," ",""),"초등학교","초"),"중학교","중"),"고등학교","고"),"~","~~"),"*","~*"),"?","~?")</f>
      </c>
      <c r="Q261" t="str">
        <f>SUBSTITUTE(SUBSTITUTE(SUBSTITUTE(SUBSTITUTE(SUBSTITUTE(SUBSTITUTE(SUBSTITUTE(SUBSTITUTE(TRIM(E261&amp;""),CHAR(160),"")," ",""),"초등학교","초"),"중학교","중"),"고등학교","고"),"~","~~"),"*","~*"),"?","~?")</f>
      </c>
      <c r="R261" t="str">
        <f>IF(COUNTA(B261:J261)=0,"",IF(AND(O261&lt;&gt;"",P261&lt;&gt;"",Q261&lt;&gt;""),"","입력누락"))</f>
      </c>
    </row>
    <row r="262" customFormat="false" ht="15" hidden="false" customHeight="false" outlineLevel="0" collapsed="false">
      <c r="A262" t="n" s="19">
        <f aca="0">IF(COUNTA(B262:J262)=0,"",ROW()-1)</f>
      </c>
      <c r="B262" s="24"/>
      <c r="C262" s="25"/>
      <c r="D262" s="8"/>
      <c r="E262" s="8"/>
      <c r="F262" s="26"/>
      <c r="G262" s="24"/>
      <c r="H262" s="25"/>
      <c r="I262" s="25"/>
      <c r="J262" s="26"/>
      <c r="K262" t="str" s="15">
        <f aca="0">IF(COUNTA(B262:J262)=0,"",IF(R262&lt;&gt;"","확인필요(입력누락)",IF(COUNTIFS(보유목록!$I$2:$I$3001,"*"&amp;P262&amp;"*",보유목록!$I$2:$I$3001,"*"&amp;Q262&amp;"*",보유목록!$H$2:$H$3001,O262)&gt;0,"있음",IF(COUNTIFS(보유목록!$I$2:$I$3001,"*"&amp;P262&amp;"*",보유목록!$I$2:$I$3001,"*"&amp;Q262&amp;"*")&gt;0,"확인필요(연도다름)",IF(COUNTIFS(보유목록!$I$2:$I$3001,"*"&amp;P262&amp;"*",보유목록!$H$2:$H$3001,O262)&gt;0,"확인필요(같은학교·같은연도)","없음")))))</f>
      </c>
      <c r="L262" t="str" s="16">
        <f aca="0">IF(OR(COUNTA(B262:J262)=0,R262&lt;&gt;""),"",COUNTIFS(보유목록!$I$2:$I$3001,"*"&amp;P262&amp;"*",보유목록!$I$2:$I$3001,"*"&amp;Q262&amp;"*"))</f>
      </c>
      <c r="M262" t="str" s="23">
        <f aca="0">IF(OR(COUNTA(B262:J262)=0,R262&lt;&gt;""),"",IFERROR(LOOKUP(2,1/(ISNUMBER(SEARCH(P262,보유목록!$I$2:$I$3001))*ISNUMBER(SEARCH(Q262,보유목록!$I$2:$I$3001))*(보유목록!$H$2:$H$3001=O262)),보유목록!$B$2:$B$3001),IFERROR(LOOKUP(2,1/(ISNUMBER(SEARCH(P262,보유목록!$I$2:$I$3001))*ISNUMBER(SEARCH(Q262,보유목록!$I$2:$I$3001))),보유목록!$B$2:$B$3001),"")))</f>
      </c>
      <c r="N262" s="25"/>
      <c r="O262" t="str">
        <f>IFERROR(IF(AND(LEN(SUBSTITUTE(SUBSTITUTE(SUBSTITUTE(TRIM(C262&amp;""),CHAR(160),"")," ",""),"년",""))=4,VALUE(SUBSTITUTE(SUBSTITUTE(SUBSTITUTE(TRIM(C262&amp;""),CHAR(160),"")," ",""),"년",""))&gt;=1900,VALUE(SUBSTITUTE(SUBSTITUTE(SUBSTITUTE(TRIM(C262&amp;""),CHAR(160),"")," ",""),"년",""))&lt;=2099,TEXT(VALUE(SUBSTITUTE(SUBSTITUTE(SUBSTITUTE(TRIM(C262&amp;""),CHAR(160),"")," ",""),"년","")),"0000")=SUBSTITUTE(SUBSTITUTE(SUBSTITUTE(TRIM(C262&amp;""),CHAR(160),"")," ",""),"년","")),SUBSTITUTE(SUBSTITUTE(SUBSTITUTE(TRIM(C262&amp;""),CHAR(160),"")," ",""),"년",""),""),"")</f>
      </c>
      <c r="P262" t="str">
        <f>SUBSTITUTE(SUBSTITUTE(SUBSTITUTE(SUBSTITUTE(SUBSTITUTE(SUBSTITUTE(SUBSTITUTE(SUBSTITUTE(TRIM(D262&amp;""),CHAR(160),"")," ",""),"초등학교","초"),"중학교","중"),"고등학교","고"),"~","~~"),"*","~*"),"?","~?")</f>
      </c>
      <c r="Q262" t="str">
        <f>SUBSTITUTE(SUBSTITUTE(SUBSTITUTE(SUBSTITUTE(SUBSTITUTE(SUBSTITUTE(SUBSTITUTE(SUBSTITUTE(TRIM(E262&amp;""),CHAR(160),"")," ",""),"초등학교","초"),"중학교","중"),"고등학교","고"),"~","~~"),"*","~*"),"?","~?")</f>
      </c>
      <c r="R262" t="str">
        <f>IF(COUNTA(B262:J262)=0,"",IF(AND(O262&lt;&gt;"",P262&lt;&gt;"",Q262&lt;&gt;""),"","입력누락"))</f>
      </c>
    </row>
    <row r="263" customFormat="false" ht="15" hidden="false" customHeight="false" outlineLevel="0" collapsed="false">
      <c r="A263" t="n" s="19">
        <f aca="0">IF(COUNTA(B263:J263)=0,"",ROW()-1)</f>
      </c>
      <c r="B263" s="24"/>
      <c r="C263" s="25"/>
      <c r="D263" s="8"/>
      <c r="E263" s="8"/>
      <c r="F263" s="26"/>
      <c r="G263" s="24"/>
      <c r="H263" s="25"/>
      <c r="I263" s="25"/>
      <c r="J263" s="26"/>
      <c r="K263" t="str" s="15">
        <f aca="0">IF(COUNTA(B263:J263)=0,"",IF(R263&lt;&gt;"","확인필요(입력누락)",IF(COUNTIFS(보유목록!$I$2:$I$3001,"*"&amp;P263&amp;"*",보유목록!$I$2:$I$3001,"*"&amp;Q263&amp;"*",보유목록!$H$2:$H$3001,O263)&gt;0,"있음",IF(COUNTIFS(보유목록!$I$2:$I$3001,"*"&amp;P263&amp;"*",보유목록!$I$2:$I$3001,"*"&amp;Q263&amp;"*")&gt;0,"확인필요(연도다름)",IF(COUNTIFS(보유목록!$I$2:$I$3001,"*"&amp;P263&amp;"*",보유목록!$H$2:$H$3001,O263)&gt;0,"확인필요(같은학교·같은연도)","없음")))))</f>
      </c>
      <c r="L263" t="str" s="16">
        <f aca="0">IF(OR(COUNTA(B263:J263)=0,R263&lt;&gt;""),"",COUNTIFS(보유목록!$I$2:$I$3001,"*"&amp;P263&amp;"*",보유목록!$I$2:$I$3001,"*"&amp;Q263&amp;"*"))</f>
      </c>
      <c r="M263" t="str" s="23">
        <f aca="0">IF(OR(COUNTA(B263:J263)=0,R263&lt;&gt;""),"",IFERROR(LOOKUP(2,1/(ISNUMBER(SEARCH(P263,보유목록!$I$2:$I$3001))*ISNUMBER(SEARCH(Q263,보유목록!$I$2:$I$3001))*(보유목록!$H$2:$H$3001=O263)),보유목록!$B$2:$B$3001),IFERROR(LOOKUP(2,1/(ISNUMBER(SEARCH(P263,보유목록!$I$2:$I$3001))*ISNUMBER(SEARCH(Q263,보유목록!$I$2:$I$3001))),보유목록!$B$2:$B$3001),"")))</f>
      </c>
      <c r="N263" s="25"/>
      <c r="O263" t="str">
        <f>IFERROR(IF(AND(LEN(SUBSTITUTE(SUBSTITUTE(SUBSTITUTE(TRIM(C263&amp;""),CHAR(160),"")," ",""),"년",""))=4,VALUE(SUBSTITUTE(SUBSTITUTE(SUBSTITUTE(TRIM(C263&amp;""),CHAR(160),"")," ",""),"년",""))&gt;=1900,VALUE(SUBSTITUTE(SUBSTITUTE(SUBSTITUTE(TRIM(C263&amp;""),CHAR(160),"")," ",""),"년",""))&lt;=2099,TEXT(VALUE(SUBSTITUTE(SUBSTITUTE(SUBSTITUTE(TRIM(C263&amp;""),CHAR(160),"")," ",""),"년","")),"0000")=SUBSTITUTE(SUBSTITUTE(SUBSTITUTE(TRIM(C263&amp;""),CHAR(160),"")," ",""),"년","")),SUBSTITUTE(SUBSTITUTE(SUBSTITUTE(TRIM(C263&amp;""),CHAR(160),"")," ",""),"년",""),""),"")</f>
      </c>
      <c r="P263" t="str">
        <f>SUBSTITUTE(SUBSTITUTE(SUBSTITUTE(SUBSTITUTE(SUBSTITUTE(SUBSTITUTE(SUBSTITUTE(SUBSTITUTE(TRIM(D263&amp;""),CHAR(160),"")," ",""),"초등학교","초"),"중학교","중"),"고등학교","고"),"~","~~"),"*","~*"),"?","~?")</f>
      </c>
      <c r="Q263" t="str">
        <f>SUBSTITUTE(SUBSTITUTE(SUBSTITUTE(SUBSTITUTE(SUBSTITUTE(SUBSTITUTE(SUBSTITUTE(SUBSTITUTE(TRIM(E263&amp;""),CHAR(160),"")," ",""),"초등학교","초"),"중학교","중"),"고등학교","고"),"~","~~"),"*","~*"),"?","~?")</f>
      </c>
      <c r="R263" t="str">
        <f>IF(COUNTA(B263:J263)=0,"",IF(AND(O263&lt;&gt;"",P263&lt;&gt;"",Q263&lt;&gt;""),"","입력누락"))</f>
      </c>
    </row>
    <row r="264" customFormat="false" ht="15" hidden="false" customHeight="false" outlineLevel="0" collapsed="false">
      <c r="A264" t="n" s="19">
        <f aca="0">IF(COUNTA(B264:J264)=0,"",ROW()-1)</f>
      </c>
      <c r="B264" s="24"/>
      <c r="C264" s="25"/>
      <c r="D264" s="8"/>
      <c r="E264" s="8"/>
      <c r="F264" s="26"/>
      <c r="G264" s="24"/>
      <c r="H264" s="25"/>
      <c r="I264" s="25"/>
      <c r="J264" s="26"/>
      <c r="K264" t="str" s="15">
        <f aca="0">IF(COUNTA(B264:J264)=0,"",IF(R264&lt;&gt;"","확인필요(입력누락)",IF(COUNTIFS(보유목록!$I$2:$I$3001,"*"&amp;P264&amp;"*",보유목록!$I$2:$I$3001,"*"&amp;Q264&amp;"*",보유목록!$H$2:$H$3001,O264)&gt;0,"있음",IF(COUNTIFS(보유목록!$I$2:$I$3001,"*"&amp;P264&amp;"*",보유목록!$I$2:$I$3001,"*"&amp;Q264&amp;"*")&gt;0,"확인필요(연도다름)",IF(COUNTIFS(보유목록!$I$2:$I$3001,"*"&amp;P264&amp;"*",보유목록!$H$2:$H$3001,O264)&gt;0,"확인필요(같은학교·같은연도)","없음")))))</f>
      </c>
      <c r="L264" t="str" s="16">
        <f aca="0">IF(OR(COUNTA(B264:J264)=0,R264&lt;&gt;""),"",COUNTIFS(보유목록!$I$2:$I$3001,"*"&amp;P264&amp;"*",보유목록!$I$2:$I$3001,"*"&amp;Q264&amp;"*"))</f>
      </c>
      <c r="M264" t="str" s="23">
        <f aca="0">IF(OR(COUNTA(B264:J264)=0,R264&lt;&gt;""),"",IFERROR(LOOKUP(2,1/(ISNUMBER(SEARCH(P264,보유목록!$I$2:$I$3001))*ISNUMBER(SEARCH(Q264,보유목록!$I$2:$I$3001))*(보유목록!$H$2:$H$3001=O264)),보유목록!$B$2:$B$3001),IFERROR(LOOKUP(2,1/(ISNUMBER(SEARCH(P264,보유목록!$I$2:$I$3001))*ISNUMBER(SEARCH(Q264,보유목록!$I$2:$I$3001))),보유목록!$B$2:$B$3001),"")))</f>
      </c>
      <c r="N264" s="25"/>
      <c r="O264" t="str">
        <f>IFERROR(IF(AND(LEN(SUBSTITUTE(SUBSTITUTE(SUBSTITUTE(TRIM(C264&amp;""),CHAR(160),"")," ",""),"년",""))=4,VALUE(SUBSTITUTE(SUBSTITUTE(SUBSTITUTE(TRIM(C264&amp;""),CHAR(160),"")," ",""),"년",""))&gt;=1900,VALUE(SUBSTITUTE(SUBSTITUTE(SUBSTITUTE(TRIM(C264&amp;""),CHAR(160),"")," ",""),"년",""))&lt;=2099,TEXT(VALUE(SUBSTITUTE(SUBSTITUTE(SUBSTITUTE(TRIM(C264&amp;""),CHAR(160),"")," ",""),"년","")),"0000")=SUBSTITUTE(SUBSTITUTE(SUBSTITUTE(TRIM(C264&amp;""),CHAR(160),"")," ",""),"년","")),SUBSTITUTE(SUBSTITUTE(SUBSTITUTE(TRIM(C264&amp;""),CHAR(160),"")," ",""),"년",""),""),"")</f>
      </c>
      <c r="P264" t="str">
        <f>SUBSTITUTE(SUBSTITUTE(SUBSTITUTE(SUBSTITUTE(SUBSTITUTE(SUBSTITUTE(SUBSTITUTE(SUBSTITUTE(TRIM(D264&amp;""),CHAR(160),"")," ",""),"초등학교","초"),"중학교","중"),"고등학교","고"),"~","~~"),"*","~*"),"?","~?")</f>
      </c>
      <c r="Q264" t="str">
        <f>SUBSTITUTE(SUBSTITUTE(SUBSTITUTE(SUBSTITUTE(SUBSTITUTE(SUBSTITUTE(SUBSTITUTE(SUBSTITUTE(TRIM(E264&amp;""),CHAR(160),"")," ",""),"초등학교","초"),"중학교","중"),"고등학교","고"),"~","~~"),"*","~*"),"?","~?")</f>
      </c>
      <c r="R264" t="str">
        <f>IF(COUNTA(B264:J264)=0,"",IF(AND(O264&lt;&gt;"",P264&lt;&gt;"",Q264&lt;&gt;""),"","입력누락"))</f>
      </c>
    </row>
    <row r="265" customFormat="false" ht="15" hidden="false" customHeight="false" outlineLevel="0" collapsed="false">
      <c r="A265" t="n" s="19">
        <f aca="0">IF(COUNTA(B265:J265)=0,"",ROW()-1)</f>
      </c>
      <c r="B265" s="24"/>
      <c r="C265" s="25"/>
      <c r="D265" s="8"/>
      <c r="E265" s="8"/>
      <c r="F265" s="26"/>
      <c r="G265" s="24"/>
      <c r="H265" s="25"/>
      <c r="I265" s="25"/>
      <c r="J265" s="26"/>
      <c r="K265" t="str" s="15">
        <f aca="0">IF(COUNTA(B265:J265)=0,"",IF(R265&lt;&gt;"","확인필요(입력누락)",IF(COUNTIFS(보유목록!$I$2:$I$3001,"*"&amp;P265&amp;"*",보유목록!$I$2:$I$3001,"*"&amp;Q265&amp;"*",보유목록!$H$2:$H$3001,O265)&gt;0,"있음",IF(COUNTIFS(보유목록!$I$2:$I$3001,"*"&amp;P265&amp;"*",보유목록!$I$2:$I$3001,"*"&amp;Q265&amp;"*")&gt;0,"확인필요(연도다름)",IF(COUNTIFS(보유목록!$I$2:$I$3001,"*"&amp;P265&amp;"*",보유목록!$H$2:$H$3001,O265)&gt;0,"확인필요(같은학교·같은연도)","없음")))))</f>
      </c>
      <c r="L265" t="str" s="16">
        <f aca="0">IF(OR(COUNTA(B265:J265)=0,R265&lt;&gt;""),"",COUNTIFS(보유목록!$I$2:$I$3001,"*"&amp;P265&amp;"*",보유목록!$I$2:$I$3001,"*"&amp;Q265&amp;"*"))</f>
      </c>
      <c r="M265" t="str" s="23">
        <f aca="0">IF(OR(COUNTA(B265:J265)=0,R265&lt;&gt;""),"",IFERROR(LOOKUP(2,1/(ISNUMBER(SEARCH(P265,보유목록!$I$2:$I$3001))*ISNUMBER(SEARCH(Q265,보유목록!$I$2:$I$3001))*(보유목록!$H$2:$H$3001=O265)),보유목록!$B$2:$B$3001),IFERROR(LOOKUP(2,1/(ISNUMBER(SEARCH(P265,보유목록!$I$2:$I$3001))*ISNUMBER(SEARCH(Q265,보유목록!$I$2:$I$3001))),보유목록!$B$2:$B$3001),"")))</f>
      </c>
      <c r="N265" s="25"/>
      <c r="O265" t="str">
        <f>IFERROR(IF(AND(LEN(SUBSTITUTE(SUBSTITUTE(SUBSTITUTE(TRIM(C265&amp;""),CHAR(160),"")," ",""),"년",""))=4,VALUE(SUBSTITUTE(SUBSTITUTE(SUBSTITUTE(TRIM(C265&amp;""),CHAR(160),"")," ",""),"년",""))&gt;=1900,VALUE(SUBSTITUTE(SUBSTITUTE(SUBSTITUTE(TRIM(C265&amp;""),CHAR(160),"")," ",""),"년",""))&lt;=2099,TEXT(VALUE(SUBSTITUTE(SUBSTITUTE(SUBSTITUTE(TRIM(C265&amp;""),CHAR(160),"")," ",""),"년","")),"0000")=SUBSTITUTE(SUBSTITUTE(SUBSTITUTE(TRIM(C265&amp;""),CHAR(160),"")," ",""),"년","")),SUBSTITUTE(SUBSTITUTE(SUBSTITUTE(TRIM(C265&amp;""),CHAR(160),"")," ",""),"년",""),""),"")</f>
      </c>
      <c r="P265" t="str">
        <f>SUBSTITUTE(SUBSTITUTE(SUBSTITUTE(SUBSTITUTE(SUBSTITUTE(SUBSTITUTE(SUBSTITUTE(SUBSTITUTE(TRIM(D265&amp;""),CHAR(160),"")," ",""),"초등학교","초"),"중학교","중"),"고등학교","고"),"~","~~"),"*","~*"),"?","~?")</f>
      </c>
      <c r="Q265" t="str">
        <f>SUBSTITUTE(SUBSTITUTE(SUBSTITUTE(SUBSTITUTE(SUBSTITUTE(SUBSTITUTE(SUBSTITUTE(SUBSTITUTE(TRIM(E265&amp;""),CHAR(160),"")," ",""),"초등학교","초"),"중학교","중"),"고등학교","고"),"~","~~"),"*","~*"),"?","~?")</f>
      </c>
      <c r="R265" t="str">
        <f>IF(COUNTA(B265:J265)=0,"",IF(AND(O265&lt;&gt;"",P265&lt;&gt;"",Q265&lt;&gt;""),"","입력누락"))</f>
      </c>
    </row>
    <row r="266" customFormat="false" ht="15" hidden="false" customHeight="false" outlineLevel="0" collapsed="false">
      <c r="A266" t="n" s="19">
        <f aca="0">IF(COUNTA(B266:J266)=0,"",ROW()-1)</f>
      </c>
      <c r="B266" s="24"/>
      <c r="C266" s="25"/>
      <c r="D266" s="8"/>
      <c r="E266" s="8"/>
      <c r="F266" s="26"/>
      <c r="G266" s="24"/>
      <c r="H266" s="25"/>
      <c r="I266" s="25"/>
      <c r="J266" s="26"/>
      <c r="K266" t="str" s="15">
        <f aca="0">IF(COUNTA(B266:J266)=0,"",IF(R266&lt;&gt;"","확인필요(입력누락)",IF(COUNTIFS(보유목록!$I$2:$I$3001,"*"&amp;P266&amp;"*",보유목록!$I$2:$I$3001,"*"&amp;Q266&amp;"*",보유목록!$H$2:$H$3001,O266)&gt;0,"있음",IF(COUNTIFS(보유목록!$I$2:$I$3001,"*"&amp;P266&amp;"*",보유목록!$I$2:$I$3001,"*"&amp;Q266&amp;"*")&gt;0,"확인필요(연도다름)",IF(COUNTIFS(보유목록!$I$2:$I$3001,"*"&amp;P266&amp;"*",보유목록!$H$2:$H$3001,O266)&gt;0,"확인필요(같은학교·같은연도)","없음")))))</f>
      </c>
      <c r="L266" t="str" s="16">
        <f aca="0">IF(OR(COUNTA(B266:J266)=0,R266&lt;&gt;""),"",COUNTIFS(보유목록!$I$2:$I$3001,"*"&amp;P266&amp;"*",보유목록!$I$2:$I$3001,"*"&amp;Q266&amp;"*"))</f>
      </c>
      <c r="M266" t="str" s="23">
        <f aca="0">IF(OR(COUNTA(B266:J266)=0,R266&lt;&gt;""),"",IFERROR(LOOKUP(2,1/(ISNUMBER(SEARCH(P266,보유목록!$I$2:$I$3001))*ISNUMBER(SEARCH(Q266,보유목록!$I$2:$I$3001))*(보유목록!$H$2:$H$3001=O266)),보유목록!$B$2:$B$3001),IFERROR(LOOKUP(2,1/(ISNUMBER(SEARCH(P266,보유목록!$I$2:$I$3001))*ISNUMBER(SEARCH(Q266,보유목록!$I$2:$I$3001))),보유목록!$B$2:$B$3001),"")))</f>
      </c>
      <c r="N266" s="25"/>
      <c r="O266" t="str">
        <f>IFERROR(IF(AND(LEN(SUBSTITUTE(SUBSTITUTE(SUBSTITUTE(TRIM(C266&amp;""),CHAR(160),"")," ",""),"년",""))=4,VALUE(SUBSTITUTE(SUBSTITUTE(SUBSTITUTE(TRIM(C266&amp;""),CHAR(160),"")," ",""),"년",""))&gt;=1900,VALUE(SUBSTITUTE(SUBSTITUTE(SUBSTITUTE(TRIM(C266&amp;""),CHAR(160),"")," ",""),"년",""))&lt;=2099,TEXT(VALUE(SUBSTITUTE(SUBSTITUTE(SUBSTITUTE(TRIM(C266&amp;""),CHAR(160),"")," ",""),"년","")),"0000")=SUBSTITUTE(SUBSTITUTE(SUBSTITUTE(TRIM(C266&amp;""),CHAR(160),"")," ",""),"년","")),SUBSTITUTE(SUBSTITUTE(SUBSTITUTE(TRIM(C266&amp;""),CHAR(160),"")," ",""),"년",""),""),"")</f>
      </c>
      <c r="P266" t="str">
        <f>SUBSTITUTE(SUBSTITUTE(SUBSTITUTE(SUBSTITUTE(SUBSTITUTE(SUBSTITUTE(SUBSTITUTE(SUBSTITUTE(TRIM(D266&amp;""),CHAR(160),"")," ",""),"초등학교","초"),"중학교","중"),"고등학교","고"),"~","~~"),"*","~*"),"?","~?")</f>
      </c>
      <c r="Q266" t="str">
        <f>SUBSTITUTE(SUBSTITUTE(SUBSTITUTE(SUBSTITUTE(SUBSTITUTE(SUBSTITUTE(SUBSTITUTE(SUBSTITUTE(TRIM(E266&amp;""),CHAR(160),"")," ",""),"초등학교","초"),"중학교","중"),"고등학교","고"),"~","~~"),"*","~*"),"?","~?")</f>
      </c>
      <c r="R266" t="str">
        <f>IF(COUNTA(B266:J266)=0,"",IF(AND(O266&lt;&gt;"",P266&lt;&gt;"",Q266&lt;&gt;""),"","입력누락"))</f>
      </c>
    </row>
    <row r="267" customFormat="false" ht="15" hidden="false" customHeight="false" outlineLevel="0" collapsed="false">
      <c r="A267" t="n" s="19">
        <f aca="0">IF(COUNTA(B267:J267)=0,"",ROW()-1)</f>
      </c>
      <c r="B267" s="24"/>
      <c r="C267" s="25"/>
      <c r="D267" s="8"/>
      <c r="E267" s="8"/>
      <c r="F267" s="26"/>
      <c r="G267" s="24"/>
      <c r="H267" s="25"/>
      <c r="I267" s="25"/>
      <c r="J267" s="26"/>
      <c r="K267" t="str" s="15">
        <f aca="0">IF(COUNTA(B267:J267)=0,"",IF(R267&lt;&gt;"","확인필요(입력누락)",IF(COUNTIFS(보유목록!$I$2:$I$3001,"*"&amp;P267&amp;"*",보유목록!$I$2:$I$3001,"*"&amp;Q267&amp;"*",보유목록!$H$2:$H$3001,O267)&gt;0,"있음",IF(COUNTIFS(보유목록!$I$2:$I$3001,"*"&amp;P267&amp;"*",보유목록!$I$2:$I$3001,"*"&amp;Q267&amp;"*")&gt;0,"확인필요(연도다름)",IF(COUNTIFS(보유목록!$I$2:$I$3001,"*"&amp;P267&amp;"*",보유목록!$H$2:$H$3001,O267)&gt;0,"확인필요(같은학교·같은연도)","없음")))))</f>
      </c>
      <c r="L267" t="str" s="16">
        <f aca="0">IF(OR(COUNTA(B267:J267)=0,R267&lt;&gt;""),"",COUNTIFS(보유목록!$I$2:$I$3001,"*"&amp;P267&amp;"*",보유목록!$I$2:$I$3001,"*"&amp;Q267&amp;"*"))</f>
      </c>
      <c r="M267" t="str" s="23">
        <f aca="0">IF(OR(COUNTA(B267:J267)=0,R267&lt;&gt;""),"",IFERROR(LOOKUP(2,1/(ISNUMBER(SEARCH(P267,보유목록!$I$2:$I$3001))*ISNUMBER(SEARCH(Q267,보유목록!$I$2:$I$3001))*(보유목록!$H$2:$H$3001=O267)),보유목록!$B$2:$B$3001),IFERROR(LOOKUP(2,1/(ISNUMBER(SEARCH(P267,보유목록!$I$2:$I$3001))*ISNUMBER(SEARCH(Q267,보유목록!$I$2:$I$3001))),보유목록!$B$2:$B$3001),"")))</f>
      </c>
      <c r="N267" s="25"/>
      <c r="O267" t="str">
        <f>IFERROR(IF(AND(LEN(SUBSTITUTE(SUBSTITUTE(SUBSTITUTE(TRIM(C267&amp;""),CHAR(160),"")," ",""),"년",""))=4,VALUE(SUBSTITUTE(SUBSTITUTE(SUBSTITUTE(TRIM(C267&amp;""),CHAR(160),"")," ",""),"년",""))&gt;=1900,VALUE(SUBSTITUTE(SUBSTITUTE(SUBSTITUTE(TRIM(C267&amp;""),CHAR(160),"")," ",""),"년",""))&lt;=2099,TEXT(VALUE(SUBSTITUTE(SUBSTITUTE(SUBSTITUTE(TRIM(C267&amp;""),CHAR(160),"")," ",""),"년","")),"0000")=SUBSTITUTE(SUBSTITUTE(SUBSTITUTE(TRIM(C267&amp;""),CHAR(160),"")," ",""),"년","")),SUBSTITUTE(SUBSTITUTE(SUBSTITUTE(TRIM(C267&amp;""),CHAR(160),"")," ",""),"년",""),""),"")</f>
      </c>
      <c r="P267" t="str">
        <f>SUBSTITUTE(SUBSTITUTE(SUBSTITUTE(SUBSTITUTE(SUBSTITUTE(SUBSTITUTE(SUBSTITUTE(SUBSTITUTE(TRIM(D267&amp;""),CHAR(160),"")," ",""),"초등학교","초"),"중학교","중"),"고등학교","고"),"~","~~"),"*","~*"),"?","~?")</f>
      </c>
      <c r="Q267" t="str">
        <f>SUBSTITUTE(SUBSTITUTE(SUBSTITUTE(SUBSTITUTE(SUBSTITUTE(SUBSTITUTE(SUBSTITUTE(SUBSTITUTE(TRIM(E267&amp;""),CHAR(160),"")," ",""),"초등학교","초"),"중학교","중"),"고등학교","고"),"~","~~"),"*","~*"),"?","~?")</f>
      </c>
      <c r="R267" t="str">
        <f>IF(COUNTA(B267:J267)=0,"",IF(AND(O267&lt;&gt;"",P267&lt;&gt;"",Q267&lt;&gt;""),"","입력누락"))</f>
      </c>
    </row>
    <row r="268" customFormat="false" ht="15" hidden="false" customHeight="false" outlineLevel="0" collapsed="false">
      <c r="A268" t="n" s="19">
        <f aca="0">IF(COUNTA(B268:J268)=0,"",ROW()-1)</f>
      </c>
      <c r="B268" s="24"/>
      <c r="C268" s="25"/>
      <c r="D268" s="8"/>
      <c r="E268" s="8"/>
      <c r="F268" s="26"/>
      <c r="G268" s="24"/>
      <c r="H268" s="25"/>
      <c r="I268" s="25"/>
      <c r="J268" s="26"/>
      <c r="K268" t="str" s="15">
        <f aca="0">IF(COUNTA(B268:J268)=0,"",IF(R268&lt;&gt;"","확인필요(입력누락)",IF(COUNTIFS(보유목록!$I$2:$I$3001,"*"&amp;P268&amp;"*",보유목록!$I$2:$I$3001,"*"&amp;Q268&amp;"*",보유목록!$H$2:$H$3001,O268)&gt;0,"있음",IF(COUNTIFS(보유목록!$I$2:$I$3001,"*"&amp;P268&amp;"*",보유목록!$I$2:$I$3001,"*"&amp;Q268&amp;"*")&gt;0,"확인필요(연도다름)",IF(COUNTIFS(보유목록!$I$2:$I$3001,"*"&amp;P268&amp;"*",보유목록!$H$2:$H$3001,O268)&gt;0,"확인필요(같은학교·같은연도)","없음")))))</f>
      </c>
      <c r="L268" t="str" s="16">
        <f aca="0">IF(OR(COUNTA(B268:J268)=0,R268&lt;&gt;""),"",COUNTIFS(보유목록!$I$2:$I$3001,"*"&amp;P268&amp;"*",보유목록!$I$2:$I$3001,"*"&amp;Q268&amp;"*"))</f>
      </c>
      <c r="M268" t="str" s="23">
        <f aca="0">IF(OR(COUNTA(B268:J268)=0,R268&lt;&gt;""),"",IFERROR(LOOKUP(2,1/(ISNUMBER(SEARCH(P268,보유목록!$I$2:$I$3001))*ISNUMBER(SEARCH(Q268,보유목록!$I$2:$I$3001))*(보유목록!$H$2:$H$3001=O268)),보유목록!$B$2:$B$3001),IFERROR(LOOKUP(2,1/(ISNUMBER(SEARCH(P268,보유목록!$I$2:$I$3001))*ISNUMBER(SEARCH(Q268,보유목록!$I$2:$I$3001))),보유목록!$B$2:$B$3001),"")))</f>
      </c>
      <c r="N268" s="25"/>
      <c r="O268" t="str">
        <f>IFERROR(IF(AND(LEN(SUBSTITUTE(SUBSTITUTE(SUBSTITUTE(TRIM(C268&amp;""),CHAR(160),"")," ",""),"년",""))=4,VALUE(SUBSTITUTE(SUBSTITUTE(SUBSTITUTE(TRIM(C268&amp;""),CHAR(160),"")," ",""),"년",""))&gt;=1900,VALUE(SUBSTITUTE(SUBSTITUTE(SUBSTITUTE(TRIM(C268&amp;""),CHAR(160),"")," ",""),"년",""))&lt;=2099,TEXT(VALUE(SUBSTITUTE(SUBSTITUTE(SUBSTITUTE(TRIM(C268&amp;""),CHAR(160),"")," ",""),"년","")),"0000")=SUBSTITUTE(SUBSTITUTE(SUBSTITUTE(TRIM(C268&amp;""),CHAR(160),"")," ",""),"년","")),SUBSTITUTE(SUBSTITUTE(SUBSTITUTE(TRIM(C268&amp;""),CHAR(160),"")," ",""),"년",""),""),"")</f>
      </c>
      <c r="P268" t="str">
        <f>SUBSTITUTE(SUBSTITUTE(SUBSTITUTE(SUBSTITUTE(SUBSTITUTE(SUBSTITUTE(SUBSTITUTE(SUBSTITUTE(TRIM(D268&amp;""),CHAR(160),"")," ",""),"초등학교","초"),"중학교","중"),"고등학교","고"),"~","~~"),"*","~*"),"?","~?")</f>
      </c>
      <c r="Q268" t="str">
        <f>SUBSTITUTE(SUBSTITUTE(SUBSTITUTE(SUBSTITUTE(SUBSTITUTE(SUBSTITUTE(SUBSTITUTE(SUBSTITUTE(TRIM(E268&amp;""),CHAR(160),"")," ",""),"초등학교","초"),"중학교","중"),"고등학교","고"),"~","~~"),"*","~*"),"?","~?")</f>
      </c>
      <c r="R268" t="str">
        <f>IF(COUNTA(B268:J268)=0,"",IF(AND(O268&lt;&gt;"",P268&lt;&gt;"",Q268&lt;&gt;""),"","입력누락"))</f>
      </c>
    </row>
    <row r="269" customFormat="false" ht="15" hidden="false" customHeight="false" outlineLevel="0" collapsed="false">
      <c r="A269" t="n" s="19">
        <f aca="0">IF(COUNTA(B269:J269)=0,"",ROW()-1)</f>
      </c>
      <c r="B269" s="24"/>
      <c r="C269" s="25"/>
      <c r="D269" s="8"/>
      <c r="E269" s="8"/>
      <c r="F269" s="26"/>
      <c r="G269" s="24"/>
      <c r="H269" s="25"/>
      <c r="I269" s="25"/>
      <c r="J269" s="26"/>
      <c r="K269" t="str" s="15">
        <f aca="0">IF(COUNTA(B269:J269)=0,"",IF(R269&lt;&gt;"","확인필요(입력누락)",IF(COUNTIFS(보유목록!$I$2:$I$3001,"*"&amp;P269&amp;"*",보유목록!$I$2:$I$3001,"*"&amp;Q269&amp;"*",보유목록!$H$2:$H$3001,O269)&gt;0,"있음",IF(COUNTIFS(보유목록!$I$2:$I$3001,"*"&amp;P269&amp;"*",보유목록!$I$2:$I$3001,"*"&amp;Q269&amp;"*")&gt;0,"확인필요(연도다름)",IF(COUNTIFS(보유목록!$I$2:$I$3001,"*"&amp;P269&amp;"*",보유목록!$H$2:$H$3001,O269)&gt;0,"확인필요(같은학교·같은연도)","없음")))))</f>
      </c>
      <c r="L269" t="str" s="16">
        <f aca="0">IF(OR(COUNTA(B269:J269)=0,R269&lt;&gt;""),"",COUNTIFS(보유목록!$I$2:$I$3001,"*"&amp;P269&amp;"*",보유목록!$I$2:$I$3001,"*"&amp;Q269&amp;"*"))</f>
      </c>
      <c r="M269" t="str" s="23">
        <f aca="0">IF(OR(COUNTA(B269:J269)=0,R269&lt;&gt;""),"",IFERROR(LOOKUP(2,1/(ISNUMBER(SEARCH(P269,보유목록!$I$2:$I$3001))*ISNUMBER(SEARCH(Q269,보유목록!$I$2:$I$3001))*(보유목록!$H$2:$H$3001=O269)),보유목록!$B$2:$B$3001),IFERROR(LOOKUP(2,1/(ISNUMBER(SEARCH(P269,보유목록!$I$2:$I$3001))*ISNUMBER(SEARCH(Q269,보유목록!$I$2:$I$3001))),보유목록!$B$2:$B$3001),"")))</f>
      </c>
      <c r="N269" s="25"/>
      <c r="O269" t="str">
        <f>IFERROR(IF(AND(LEN(SUBSTITUTE(SUBSTITUTE(SUBSTITUTE(TRIM(C269&amp;""),CHAR(160),"")," ",""),"년",""))=4,VALUE(SUBSTITUTE(SUBSTITUTE(SUBSTITUTE(TRIM(C269&amp;""),CHAR(160),"")," ",""),"년",""))&gt;=1900,VALUE(SUBSTITUTE(SUBSTITUTE(SUBSTITUTE(TRIM(C269&amp;""),CHAR(160),"")," ",""),"년",""))&lt;=2099,TEXT(VALUE(SUBSTITUTE(SUBSTITUTE(SUBSTITUTE(TRIM(C269&amp;""),CHAR(160),"")," ",""),"년","")),"0000")=SUBSTITUTE(SUBSTITUTE(SUBSTITUTE(TRIM(C269&amp;""),CHAR(160),"")," ",""),"년","")),SUBSTITUTE(SUBSTITUTE(SUBSTITUTE(TRIM(C269&amp;""),CHAR(160),"")," ",""),"년",""),""),"")</f>
      </c>
      <c r="P269" t="str">
        <f>SUBSTITUTE(SUBSTITUTE(SUBSTITUTE(SUBSTITUTE(SUBSTITUTE(SUBSTITUTE(SUBSTITUTE(SUBSTITUTE(TRIM(D269&amp;""),CHAR(160),"")," ",""),"초등학교","초"),"중학교","중"),"고등학교","고"),"~","~~"),"*","~*"),"?","~?")</f>
      </c>
      <c r="Q269" t="str">
        <f>SUBSTITUTE(SUBSTITUTE(SUBSTITUTE(SUBSTITUTE(SUBSTITUTE(SUBSTITUTE(SUBSTITUTE(SUBSTITUTE(TRIM(E269&amp;""),CHAR(160),"")," ",""),"초등학교","초"),"중학교","중"),"고등학교","고"),"~","~~"),"*","~*"),"?","~?")</f>
      </c>
      <c r="R269" t="str">
        <f>IF(COUNTA(B269:J269)=0,"",IF(AND(O269&lt;&gt;"",P269&lt;&gt;"",Q269&lt;&gt;""),"","입력누락"))</f>
      </c>
    </row>
    <row r="270" customFormat="false" ht="15" hidden="false" customHeight="false" outlineLevel="0" collapsed="false">
      <c r="A270" t="n" s="19">
        <f aca="0">IF(COUNTA(B270:J270)=0,"",ROW()-1)</f>
      </c>
      <c r="B270" s="24"/>
      <c r="C270" s="25"/>
      <c r="D270" s="8"/>
      <c r="E270" s="8"/>
      <c r="F270" s="26"/>
      <c r="G270" s="24"/>
      <c r="H270" s="25"/>
      <c r="I270" s="25"/>
      <c r="J270" s="26"/>
      <c r="K270" t="str" s="15">
        <f aca="0">IF(COUNTA(B270:J270)=0,"",IF(R270&lt;&gt;"","확인필요(입력누락)",IF(COUNTIFS(보유목록!$I$2:$I$3001,"*"&amp;P270&amp;"*",보유목록!$I$2:$I$3001,"*"&amp;Q270&amp;"*",보유목록!$H$2:$H$3001,O270)&gt;0,"있음",IF(COUNTIFS(보유목록!$I$2:$I$3001,"*"&amp;P270&amp;"*",보유목록!$I$2:$I$3001,"*"&amp;Q270&amp;"*")&gt;0,"확인필요(연도다름)",IF(COUNTIFS(보유목록!$I$2:$I$3001,"*"&amp;P270&amp;"*",보유목록!$H$2:$H$3001,O270)&gt;0,"확인필요(같은학교·같은연도)","없음")))))</f>
      </c>
      <c r="L270" t="str" s="16">
        <f aca="0">IF(OR(COUNTA(B270:J270)=0,R270&lt;&gt;""),"",COUNTIFS(보유목록!$I$2:$I$3001,"*"&amp;P270&amp;"*",보유목록!$I$2:$I$3001,"*"&amp;Q270&amp;"*"))</f>
      </c>
      <c r="M270" t="str" s="23">
        <f aca="0">IF(OR(COUNTA(B270:J270)=0,R270&lt;&gt;""),"",IFERROR(LOOKUP(2,1/(ISNUMBER(SEARCH(P270,보유목록!$I$2:$I$3001))*ISNUMBER(SEARCH(Q270,보유목록!$I$2:$I$3001))*(보유목록!$H$2:$H$3001=O270)),보유목록!$B$2:$B$3001),IFERROR(LOOKUP(2,1/(ISNUMBER(SEARCH(P270,보유목록!$I$2:$I$3001))*ISNUMBER(SEARCH(Q270,보유목록!$I$2:$I$3001))),보유목록!$B$2:$B$3001),"")))</f>
      </c>
      <c r="N270" s="25"/>
      <c r="O270" t="str">
        <f>IFERROR(IF(AND(LEN(SUBSTITUTE(SUBSTITUTE(SUBSTITUTE(TRIM(C270&amp;""),CHAR(160),"")," ",""),"년",""))=4,VALUE(SUBSTITUTE(SUBSTITUTE(SUBSTITUTE(TRIM(C270&amp;""),CHAR(160),"")," ",""),"년",""))&gt;=1900,VALUE(SUBSTITUTE(SUBSTITUTE(SUBSTITUTE(TRIM(C270&amp;""),CHAR(160),"")," ",""),"년",""))&lt;=2099,TEXT(VALUE(SUBSTITUTE(SUBSTITUTE(SUBSTITUTE(TRIM(C270&amp;""),CHAR(160),"")," ",""),"년","")),"0000")=SUBSTITUTE(SUBSTITUTE(SUBSTITUTE(TRIM(C270&amp;""),CHAR(160),"")," ",""),"년","")),SUBSTITUTE(SUBSTITUTE(SUBSTITUTE(TRIM(C270&amp;""),CHAR(160),"")," ",""),"년",""),""),"")</f>
      </c>
      <c r="P270" t="str">
        <f>SUBSTITUTE(SUBSTITUTE(SUBSTITUTE(SUBSTITUTE(SUBSTITUTE(SUBSTITUTE(SUBSTITUTE(SUBSTITUTE(TRIM(D270&amp;""),CHAR(160),"")," ",""),"초등학교","초"),"중학교","중"),"고등학교","고"),"~","~~"),"*","~*"),"?","~?")</f>
      </c>
      <c r="Q270" t="str">
        <f>SUBSTITUTE(SUBSTITUTE(SUBSTITUTE(SUBSTITUTE(SUBSTITUTE(SUBSTITUTE(SUBSTITUTE(SUBSTITUTE(TRIM(E270&amp;""),CHAR(160),"")," ",""),"초등학교","초"),"중학교","중"),"고등학교","고"),"~","~~"),"*","~*"),"?","~?")</f>
      </c>
      <c r="R270" t="str">
        <f>IF(COUNTA(B270:J270)=0,"",IF(AND(O270&lt;&gt;"",P270&lt;&gt;"",Q270&lt;&gt;""),"","입력누락"))</f>
      </c>
    </row>
    <row r="271" customFormat="false" ht="15" hidden="false" customHeight="false" outlineLevel="0" collapsed="false">
      <c r="A271" t="n" s="19">
        <f aca="0">IF(COUNTA(B271:J271)=0,"",ROW()-1)</f>
      </c>
      <c r="B271" s="24"/>
      <c r="C271" s="25"/>
      <c r="D271" s="8"/>
      <c r="E271" s="8"/>
      <c r="F271" s="26"/>
      <c r="G271" s="24"/>
      <c r="H271" s="25"/>
      <c r="I271" s="25"/>
      <c r="J271" s="26"/>
      <c r="K271" t="str" s="15">
        <f aca="0">IF(COUNTA(B271:J271)=0,"",IF(R271&lt;&gt;"","확인필요(입력누락)",IF(COUNTIFS(보유목록!$I$2:$I$3001,"*"&amp;P271&amp;"*",보유목록!$I$2:$I$3001,"*"&amp;Q271&amp;"*",보유목록!$H$2:$H$3001,O271)&gt;0,"있음",IF(COUNTIFS(보유목록!$I$2:$I$3001,"*"&amp;P271&amp;"*",보유목록!$I$2:$I$3001,"*"&amp;Q271&amp;"*")&gt;0,"확인필요(연도다름)",IF(COUNTIFS(보유목록!$I$2:$I$3001,"*"&amp;P271&amp;"*",보유목록!$H$2:$H$3001,O271)&gt;0,"확인필요(같은학교·같은연도)","없음")))))</f>
      </c>
      <c r="L271" t="str" s="16">
        <f aca="0">IF(OR(COUNTA(B271:J271)=0,R271&lt;&gt;""),"",COUNTIFS(보유목록!$I$2:$I$3001,"*"&amp;P271&amp;"*",보유목록!$I$2:$I$3001,"*"&amp;Q271&amp;"*"))</f>
      </c>
      <c r="M271" t="str" s="23">
        <f aca="0">IF(OR(COUNTA(B271:J271)=0,R271&lt;&gt;""),"",IFERROR(LOOKUP(2,1/(ISNUMBER(SEARCH(P271,보유목록!$I$2:$I$3001))*ISNUMBER(SEARCH(Q271,보유목록!$I$2:$I$3001))*(보유목록!$H$2:$H$3001=O271)),보유목록!$B$2:$B$3001),IFERROR(LOOKUP(2,1/(ISNUMBER(SEARCH(P271,보유목록!$I$2:$I$3001))*ISNUMBER(SEARCH(Q271,보유목록!$I$2:$I$3001))),보유목록!$B$2:$B$3001),"")))</f>
      </c>
      <c r="N271" s="25"/>
      <c r="O271" t="str">
        <f>IFERROR(IF(AND(LEN(SUBSTITUTE(SUBSTITUTE(SUBSTITUTE(TRIM(C271&amp;""),CHAR(160),"")," ",""),"년",""))=4,VALUE(SUBSTITUTE(SUBSTITUTE(SUBSTITUTE(TRIM(C271&amp;""),CHAR(160),"")," ",""),"년",""))&gt;=1900,VALUE(SUBSTITUTE(SUBSTITUTE(SUBSTITUTE(TRIM(C271&amp;""),CHAR(160),"")," ",""),"년",""))&lt;=2099,TEXT(VALUE(SUBSTITUTE(SUBSTITUTE(SUBSTITUTE(TRIM(C271&amp;""),CHAR(160),"")," ",""),"년","")),"0000")=SUBSTITUTE(SUBSTITUTE(SUBSTITUTE(TRIM(C271&amp;""),CHAR(160),"")," ",""),"년","")),SUBSTITUTE(SUBSTITUTE(SUBSTITUTE(TRIM(C271&amp;""),CHAR(160),"")," ",""),"년",""),""),"")</f>
      </c>
      <c r="P271" t="str">
        <f>SUBSTITUTE(SUBSTITUTE(SUBSTITUTE(SUBSTITUTE(SUBSTITUTE(SUBSTITUTE(SUBSTITUTE(SUBSTITUTE(TRIM(D271&amp;""),CHAR(160),"")," ",""),"초등학교","초"),"중학교","중"),"고등학교","고"),"~","~~"),"*","~*"),"?","~?")</f>
      </c>
      <c r="Q271" t="str">
        <f>SUBSTITUTE(SUBSTITUTE(SUBSTITUTE(SUBSTITUTE(SUBSTITUTE(SUBSTITUTE(SUBSTITUTE(SUBSTITUTE(TRIM(E271&amp;""),CHAR(160),"")," ",""),"초등학교","초"),"중학교","중"),"고등학교","고"),"~","~~"),"*","~*"),"?","~?")</f>
      </c>
      <c r="R271" t="str">
        <f>IF(COUNTA(B271:J271)=0,"",IF(AND(O271&lt;&gt;"",P271&lt;&gt;"",Q271&lt;&gt;""),"","입력누락"))</f>
      </c>
    </row>
    <row r="272" customFormat="false" ht="15" hidden="false" customHeight="false" outlineLevel="0" collapsed="false">
      <c r="A272" t="n" s="19">
        <f aca="0">IF(COUNTA(B272:J272)=0,"",ROW()-1)</f>
      </c>
      <c r="B272" s="24"/>
      <c r="C272" s="25"/>
      <c r="D272" s="8"/>
      <c r="E272" s="8"/>
      <c r="F272" s="26"/>
      <c r="G272" s="24"/>
      <c r="H272" s="25"/>
      <c r="I272" s="25"/>
      <c r="J272" s="26"/>
      <c r="K272" t="str" s="15">
        <f aca="0">IF(COUNTA(B272:J272)=0,"",IF(R272&lt;&gt;"","확인필요(입력누락)",IF(COUNTIFS(보유목록!$I$2:$I$3001,"*"&amp;P272&amp;"*",보유목록!$I$2:$I$3001,"*"&amp;Q272&amp;"*",보유목록!$H$2:$H$3001,O272)&gt;0,"있음",IF(COUNTIFS(보유목록!$I$2:$I$3001,"*"&amp;P272&amp;"*",보유목록!$I$2:$I$3001,"*"&amp;Q272&amp;"*")&gt;0,"확인필요(연도다름)",IF(COUNTIFS(보유목록!$I$2:$I$3001,"*"&amp;P272&amp;"*",보유목록!$H$2:$H$3001,O272)&gt;0,"확인필요(같은학교·같은연도)","없음")))))</f>
      </c>
      <c r="L272" t="str" s="16">
        <f aca="0">IF(OR(COUNTA(B272:J272)=0,R272&lt;&gt;""),"",COUNTIFS(보유목록!$I$2:$I$3001,"*"&amp;P272&amp;"*",보유목록!$I$2:$I$3001,"*"&amp;Q272&amp;"*"))</f>
      </c>
      <c r="M272" t="str" s="23">
        <f aca="0">IF(OR(COUNTA(B272:J272)=0,R272&lt;&gt;""),"",IFERROR(LOOKUP(2,1/(ISNUMBER(SEARCH(P272,보유목록!$I$2:$I$3001))*ISNUMBER(SEARCH(Q272,보유목록!$I$2:$I$3001))*(보유목록!$H$2:$H$3001=O272)),보유목록!$B$2:$B$3001),IFERROR(LOOKUP(2,1/(ISNUMBER(SEARCH(P272,보유목록!$I$2:$I$3001))*ISNUMBER(SEARCH(Q272,보유목록!$I$2:$I$3001))),보유목록!$B$2:$B$3001),"")))</f>
      </c>
      <c r="N272" s="25"/>
      <c r="O272" t="str">
        <f>IFERROR(IF(AND(LEN(SUBSTITUTE(SUBSTITUTE(SUBSTITUTE(TRIM(C272&amp;""),CHAR(160),"")," ",""),"년",""))=4,VALUE(SUBSTITUTE(SUBSTITUTE(SUBSTITUTE(TRIM(C272&amp;""),CHAR(160),"")," ",""),"년",""))&gt;=1900,VALUE(SUBSTITUTE(SUBSTITUTE(SUBSTITUTE(TRIM(C272&amp;""),CHAR(160),"")," ",""),"년",""))&lt;=2099,TEXT(VALUE(SUBSTITUTE(SUBSTITUTE(SUBSTITUTE(TRIM(C272&amp;""),CHAR(160),"")," ",""),"년","")),"0000")=SUBSTITUTE(SUBSTITUTE(SUBSTITUTE(TRIM(C272&amp;""),CHAR(160),"")," ",""),"년","")),SUBSTITUTE(SUBSTITUTE(SUBSTITUTE(TRIM(C272&amp;""),CHAR(160),"")," ",""),"년",""),""),"")</f>
      </c>
      <c r="P272" t="str">
        <f>SUBSTITUTE(SUBSTITUTE(SUBSTITUTE(SUBSTITUTE(SUBSTITUTE(SUBSTITUTE(SUBSTITUTE(SUBSTITUTE(TRIM(D272&amp;""),CHAR(160),"")," ",""),"초등학교","초"),"중학교","중"),"고등학교","고"),"~","~~"),"*","~*"),"?","~?")</f>
      </c>
      <c r="Q272" t="str">
        <f>SUBSTITUTE(SUBSTITUTE(SUBSTITUTE(SUBSTITUTE(SUBSTITUTE(SUBSTITUTE(SUBSTITUTE(SUBSTITUTE(TRIM(E272&amp;""),CHAR(160),"")," ",""),"초등학교","초"),"중학교","중"),"고등학교","고"),"~","~~"),"*","~*"),"?","~?")</f>
      </c>
      <c r="R272" t="str">
        <f>IF(COUNTA(B272:J272)=0,"",IF(AND(O272&lt;&gt;"",P272&lt;&gt;"",Q272&lt;&gt;""),"","입력누락"))</f>
      </c>
    </row>
    <row r="273" customFormat="false" ht="15" hidden="false" customHeight="false" outlineLevel="0" collapsed="false">
      <c r="A273" t="n" s="19">
        <f aca="0">IF(COUNTA(B273:J273)=0,"",ROW()-1)</f>
      </c>
      <c r="B273" s="24"/>
      <c r="C273" s="25"/>
      <c r="D273" s="8"/>
      <c r="E273" s="8"/>
      <c r="F273" s="26"/>
      <c r="G273" s="24"/>
      <c r="H273" s="25"/>
      <c r="I273" s="25"/>
      <c r="J273" s="26"/>
      <c r="K273" t="str" s="15">
        <f aca="0">IF(COUNTA(B273:J273)=0,"",IF(R273&lt;&gt;"","확인필요(입력누락)",IF(COUNTIFS(보유목록!$I$2:$I$3001,"*"&amp;P273&amp;"*",보유목록!$I$2:$I$3001,"*"&amp;Q273&amp;"*",보유목록!$H$2:$H$3001,O273)&gt;0,"있음",IF(COUNTIFS(보유목록!$I$2:$I$3001,"*"&amp;P273&amp;"*",보유목록!$I$2:$I$3001,"*"&amp;Q273&amp;"*")&gt;0,"확인필요(연도다름)",IF(COUNTIFS(보유목록!$I$2:$I$3001,"*"&amp;P273&amp;"*",보유목록!$H$2:$H$3001,O273)&gt;0,"확인필요(같은학교·같은연도)","없음")))))</f>
      </c>
      <c r="L273" t="str" s="16">
        <f aca="0">IF(OR(COUNTA(B273:J273)=0,R273&lt;&gt;""),"",COUNTIFS(보유목록!$I$2:$I$3001,"*"&amp;P273&amp;"*",보유목록!$I$2:$I$3001,"*"&amp;Q273&amp;"*"))</f>
      </c>
      <c r="M273" t="str" s="23">
        <f aca="0">IF(OR(COUNTA(B273:J273)=0,R273&lt;&gt;""),"",IFERROR(LOOKUP(2,1/(ISNUMBER(SEARCH(P273,보유목록!$I$2:$I$3001))*ISNUMBER(SEARCH(Q273,보유목록!$I$2:$I$3001))*(보유목록!$H$2:$H$3001=O273)),보유목록!$B$2:$B$3001),IFERROR(LOOKUP(2,1/(ISNUMBER(SEARCH(P273,보유목록!$I$2:$I$3001))*ISNUMBER(SEARCH(Q273,보유목록!$I$2:$I$3001))),보유목록!$B$2:$B$3001),"")))</f>
      </c>
      <c r="N273" s="25"/>
      <c r="O273" t="str">
        <f>IFERROR(IF(AND(LEN(SUBSTITUTE(SUBSTITUTE(SUBSTITUTE(TRIM(C273&amp;""),CHAR(160),"")," ",""),"년",""))=4,VALUE(SUBSTITUTE(SUBSTITUTE(SUBSTITUTE(TRIM(C273&amp;""),CHAR(160),"")," ",""),"년",""))&gt;=1900,VALUE(SUBSTITUTE(SUBSTITUTE(SUBSTITUTE(TRIM(C273&amp;""),CHAR(160),"")," ",""),"년",""))&lt;=2099,TEXT(VALUE(SUBSTITUTE(SUBSTITUTE(SUBSTITUTE(TRIM(C273&amp;""),CHAR(160),"")," ",""),"년","")),"0000")=SUBSTITUTE(SUBSTITUTE(SUBSTITUTE(TRIM(C273&amp;""),CHAR(160),"")," ",""),"년","")),SUBSTITUTE(SUBSTITUTE(SUBSTITUTE(TRIM(C273&amp;""),CHAR(160),"")," ",""),"년",""),""),"")</f>
      </c>
      <c r="P273" t="str">
        <f>SUBSTITUTE(SUBSTITUTE(SUBSTITUTE(SUBSTITUTE(SUBSTITUTE(SUBSTITUTE(SUBSTITUTE(SUBSTITUTE(TRIM(D273&amp;""),CHAR(160),"")," ",""),"초등학교","초"),"중학교","중"),"고등학교","고"),"~","~~"),"*","~*"),"?","~?")</f>
      </c>
      <c r="Q273" t="str">
        <f>SUBSTITUTE(SUBSTITUTE(SUBSTITUTE(SUBSTITUTE(SUBSTITUTE(SUBSTITUTE(SUBSTITUTE(SUBSTITUTE(TRIM(E273&amp;""),CHAR(160),"")," ",""),"초등학교","초"),"중학교","중"),"고등학교","고"),"~","~~"),"*","~*"),"?","~?")</f>
      </c>
      <c r="R273" t="str">
        <f>IF(COUNTA(B273:J273)=0,"",IF(AND(O273&lt;&gt;"",P273&lt;&gt;"",Q273&lt;&gt;""),"","입력누락"))</f>
      </c>
    </row>
    <row r="274" customFormat="false" ht="15" hidden="false" customHeight="false" outlineLevel="0" collapsed="false">
      <c r="A274" t="n" s="19">
        <f aca="0">IF(COUNTA(B274:J274)=0,"",ROW()-1)</f>
      </c>
      <c r="B274" s="24"/>
      <c r="C274" s="25"/>
      <c r="D274" s="8"/>
      <c r="E274" s="8"/>
      <c r="F274" s="26"/>
      <c r="G274" s="24"/>
      <c r="H274" s="25"/>
      <c r="I274" s="25"/>
      <c r="J274" s="26"/>
      <c r="K274" t="str" s="15">
        <f aca="0">IF(COUNTA(B274:J274)=0,"",IF(R274&lt;&gt;"","확인필요(입력누락)",IF(COUNTIFS(보유목록!$I$2:$I$3001,"*"&amp;P274&amp;"*",보유목록!$I$2:$I$3001,"*"&amp;Q274&amp;"*",보유목록!$H$2:$H$3001,O274)&gt;0,"있음",IF(COUNTIFS(보유목록!$I$2:$I$3001,"*"&amp;P274&amp;"*",보유목록!$I$2:$I$3001,"*"&amp;Q274&amp;"*")&gt;0,"확인필요(연도다름)",IF(COUNTIFS(보유목록!$I$2:$I$3001,"*"&amp;P274&amp;"*",보유목록!$H$2:$H$3001,O274)&gt;0,"확인필요(같은학교·같은연도)","없음")))))</f>
      </c>
      <c r="L274" t="str" s="16">
        <f aca="0">IF(OR(COUNTA(B274:J274)=0,R274&lt;&gt;""),"",COUNTIFS(보유목록!$I$2:$I$3001,"*"&amp;P274&amp;"*",보유목록!$I$2:$I$3001,"*"&amp;Q274&amp;"*"))</f>
      </c>
      <c r="M274" t="str" s="23">
        <f aca="0">IF(OR(COUNTA(B274:J274)=0,R274&lt;&gt;""),"",IFERROR(LOOKUP(2,1/(ISNUMBER(SEARCH(P274,보유목록!$I$2:$I$3001))*ISNUMBER(SEARCH(Q274,보유목록!$I$2:$I$3001))*(보유목록!$H$2:$H$3001=O274)),보유목록!$B$2:$B$3001),IFERROR(LOOKUP(2,1/(ISNUMBER(SEARCH(P274,보유목록!$I$2:$I$3001))*ISNUMBER(SEARCH(Q274,보유목록!$I$2:$I$3001))),보유목록!$B$2:$B$3001),"")))</f>
      </c>
      <c r="N274" s="25"/>
      <c r="O274" t="str">
        <f>IFERROR(IF(AND(LEN(SUBSTITUTE(SUBSTITUTE(SUBSTITUTE(TRIM(C274&amp;""),CHAR(160),"")," ",""),"년",""))=4,VALUE(SUBSTITUTE(SUBSTITUTE(SUBSTITUTE(TRIM(C274&amp;""),CHAR(160),"")," ",""),"년",""))&gt;=1900,VALUE(SUBSTITUTE(SUBSTITUTE(SUBSTITUTE(TRIM(C274&amp;""),CHAR(160),"")," ",""),"년",""))&lt;=2099,TEXT(VALUE(SUBSTITUTE(SUBSTITUTE(SUBSTITUTE(TRIM(C274&amp;""),CHAR(160),"")," ",""),"년","")),"0000")=SUBSTITUTE(SUBSTITUTE(SUBSTITUTE(TRIM(C274&amp;""),CHAR(160),"")," ",""),"년","")),SUBSTITUTE(SUBSTITUTE(SUBSTITUTE(TRIM(C274&amp;""),CHAR(160),"")," ",""),"년",""),""),"")</f>
      </c>
      <c r="P274" t="str">
        <f>SUBSTITUTE(SUBSTITUTE(SUBSTITUTE(SUBSTITUTE(SUBSTITUTE(SUBSTITUTE(SUBSTITUTE(SUBSTITUTE(TRIM(D274&amp;""),CHAR(160),"")," ",""),"초등학교","초"),"중학교","중"),"고등학교","고"),"~","~~"),"*","~*"),"?","~?")</f>
      </c>
      <c r="Q274" t="str">
        <f>SUBSTITUTE(SUBSTITUTE(SUBSTITUTE(SUBSTITUTE(SUBSTITUTE(SUBSTITUTE(SUBSTITUTE(SUBSTITUTE(TRIM(E274&amp;""),CHAR(160),"")," ",""),"초등학교","초"),"중학교","중"),"고등학교","고"),"~","~~"),"*","~*"),"?","~?")</f>
      </c>
      <c r="R274" t="str">
        <f>IF(COUNTA(B274:J274)=0,"",IF(AND(O274&lt;&gt;"",P274&lt;&gt;"",Q274&lt;&gt;""),"","입력누락"))</f>
      </c>
    </row>
    <row r="275" customFormat="false" ht="15" hidden="false" customHeight="false" outlineLevel="0" collapsed="false">
      <c r="A275" t="n" s="19">
        <f aca="0">IF(COUNTA(B275:J275)=0,"",ROW()-1)</f>
      </c>
      <c r="B275" s="24"/>
      <c r="C275" s="25"/>
      <c r="D275" s="8"/>
      <c r="E275" s="8"/>
      <c r="F275" s="26"/>
      <c r="G275" s="24"/>
      <c r="H275" s="25"/>
      <c r="I275" s="25"/>
      <c r="J275" s="26"/>
      <c r="K275" t="str" s="15">
        <f aca="0">IF(COUNTA(B275:J275)=0,"",IF(R275&lt;&gt;"","확인필요(입력누락)",IF(COUNTIFS(보유목록!$I$2:$I$3001,"*"&amp;P275&amp;"*",보유목록!$I$2:$I$3001,"*"&amp;Q275&amp;"*",보유목록!$H$2:$H$3001,O275)&gt;0,"있음",IF(COUNTIFS(보유목록!$I$2:$I$3001,"*"&amp;P275&amp;"*",보유목록!$I$2:$I$3001,"*"&amp;Q275&amp;"*")&gt;0,"확인필요(연도다름)",IF(COUNTIFS(보유목록!$I$2:$I$3001,"*"&amp;P275&amp;"*",보유목록!$H$2:$H$3001,O275)&gt;0,"확인필요(같은학교·같은연도)","없음")))))</f>
      </c>
      <c r="L275" t="str" s="16">
        <f aca="0">IF(OR(COUNTA(B275:J275)=0,R275&lt;&gt;""),"",COUNTIFS(보유목록!$I$2:$I$3001,"*"&amp;P275&amp;"*",보유목록!$I$2:$I$3001,"*"&amp;Q275&amp;"*"))</f>
      </c>
      <c r="M275" t="str" s="23">
        <f aca="0">IF(OR(COUNTA(B275:J275)=0,R275&lt;&gt;""),"",IFERROR(LOOKUP(2,1/(ISNUMBER(SEARCH(P275,보유목록!$I$2:$I$3001))*ISNUMBER(SEARCH(Q275,보유목록!$I$2:$I$3001))*(보유목록!$H$2:$H$3001=O275)),보유목록!$B$2:$B$3001),IFERROR(LOOKUP(2,1/(ISNUMBER(SEARCH(P275,보유목록!$I$2:$I$3001))*ISNUMBER(SEARCH(Q275,보유목록!$I$2:$I$3001))),보유목록!$B$2:$B$3001),"")))</f>
      </c>
      <c r="N275" s="25"/>
      <c r="O275" t="str">
        <f>IFERROR(IF(AND(LEN(SUBSTITUTE(SUBSTITUTE(SUBSTITUTE(TRIM(C275&amp;""),CHAR(160),"")," ",""),"년",""))=4,VALUE(SUBSTITUTE(SUBSTITUTE(SUBSTITUTE(TRIM(C275&amp;""),CHAR(160),"")," ",""),"년",""))&gt;=1900,VALUE(SUBSTITUTE(SUBSTITUTE(SUBSTITUTE(TRIM(C275&amp;""),CHAR(160),"")," ",""),"년",""))&lt;=2099,TEXT(VALUE(SUBSTITUTE(SUBSTITUTE(SUBSTITUTE(TRIM(C275&amp;""),CHAR(160),"")," ",""),"년","")),"0000")=SUBSTITUTE(SUBSTITUTE(SUBSTITUTE(TRIM(C275&amp;""),CHAR(160),"")," ",""),"년","")),SUBSTITUTE(SUBSTITUTE(SUBSTITUTE(TRIM(C275&amp;""),CHAR(160),"")," ",""),"년",""),""),"")</f>
      </c>
      <c r="P275" t="str">
        <f>SUBSTITUTE(SUBSTITUTE(SUBSTITUTE(SUBSTITUTE(SUBSTITUTE(SUBSTITUTE(SUBSTITUTE(SUBSTITUTE(TRIM(D275&amp;""),CHAR(160),"")," ",""),"초등학교","초"),"중학교","중"),"고등학교","고"),"~","~~"),"*","~*"),"?","~?")</f>
      </c>
      <c r="Q275" t="str">
        <f>SUBSTITUTE(SUBSTITUTE(SUBSTITUTE(SUBSTITUTE(SUBSTITUTE(SUBSTITUTE(SUBSTITUTE(SUBSTITUTE(TRIM(E275&amp;""),CHAR(160),"")," ",""),"초등학교","초"),"중학교","중"),"고등학교","고"),"~","~~"),"*","~*"),"?","~?")</f>
      </c>
      <c r="R275" t="str">
        <f>IF(COUNTA(B275:J275)=0,"",IF(AND(O275&lt;&gt;"",P275&lt;&gt;"",Q275&lt;&gt;""),"","입력누락"))</f>
      </c>
    </row>
    <row r="276" customFormat="false" ht="15" hidden="false" customHeight="false" outlineLevel="0" collapsed="false">
      <c r="A276" t="n" s="19">
        <f aca="0">IF(COUNTA(B276:J276)=0,"",ROW()-1)</f>
      </c>
      <c r="B276" s="24"/>
      <c r="C276" s="25"/>
      <c r="D276" s="8"/>
      <c r="E276" s="8"/>
      <c r="F276" s="26"/>
      <c r="G276" s="24"/>
      <c r="H276" s="25"/>
      <c r="I276" s="25"/>
      <c r="J276" s="26"/>
      <c r="K276" t="str" s="15">
        <f aca="0">IF(COUNTA(B276:J276)=0,"",IF(R276&lt;&gt;"","확인필요(입력누락)",IF(COUNTIFS(보유목록!$I$2:$I$3001,"*"&amp;P276&amp;"*",보유목록!$I$2:$I$3001,"*"&amp;Q276&amp;"*",보유목록!$H$2:$H$3001,O276)&gt;0,"있음",IF(COUNTIFS(보유목록!$I$2:$I$3001,"*"&amp;P276&amp;"*",보유목록!$I$2:$I$3001,"*"&amp;Q276&amp;"*")&gt;0,"확인필요(연도다름)",IF(COUNTIFS(보유목록!$I$2:$I$3001,"*"&amp;P276&amp;"*",보유목록!$H$2:$H$3001,O276)&gt;0,"확인필요(같은학교·같은연도)","없음")))))</f>
      </c>
      <c r="L276" t="str" s="16">
        <f aca="0">IF(OR(COUNTA(B276:J276)=0,R276&lt;&gt;""),"",COUNTIFS(보유목록!$I$2:$I$3001,"*"&amp;P276&amp;"*",보유목록!$I$2:$I$3001,"*"&amp;Q276&amp;"*"))</f>
      </c>
      <c r="M276" t="str" s="23">
        <f aca="0">IF(OR(COUNTA(B276:J276)=0,R276&lt;&gt;""),"",IFERROR(LOOKUP(2,1/(ISNUMBER(SEARCH(P276,보유목록!$I$2:$I$3001))*ISNUMBER(SEARCH(Q276,보유목록!$I$2:$I$3001))*(보유목록!$H$2:$H$3001=O276)),보유목록!$B$2:$B$3001),IFERROR(LOOKUP(2,1/(ISNUMBER(SEARCH(P276,보유목록!$I$2:$I$3001))*ISNUMBER(SEARCH(Q276,보유목록!$I$2:$I$3001))),보유목록!$B$2:$B$3001),"")))</f>
      </c>
      <c r="N276" s="25"/>
      <c r="O276" t="str">
        <f>IFERROR(IF(AND(LEN(SUBSTITUTE(SUBSTITUTE(SUBSTITUTE(TRIM(C276&amp;""),CHAR(160),"")," ",""),"년",""))=4,VALUE(SUBSTITUTE(SUBSTITUTE(SUBSTITUTE(TRIM(C276&amp;""),CHAR(160),"")," ",""),"년",""))&gt;=1900,VALUE(SUBSTITUTE(SUBSTITUTE(SUBSTITUTE(TRIM(C276&amp;""),CHAR(160),"")," ",""),"년",""))&lt;=2099,TEXT(VALUE(SUBSTITUTE(SUBSTITUTE(SUBSTITUTE(TRIM(C276&amp;""),CHAR(160),"")," ",""),"년","")),"0000")=SUBSTITUTE(SUBSTITUTE(SUBSTITUTE(TRIM(C276&amp;""),CHAR(160),"")," ",""),"년","")),SUBSTITUTE(SUBSTITUTE(SUBSTITUTE(TRIM(C276&amp;""),CHAR(160),"")," ",""),"년",""),""),"")</f>
      </c>
      <c r="P276" t="str">
        <f>SUBSTITUTE(SUBSTITUTE(SUBSTITUTE(SUBSTITUTE(SUBSTITUTE(SUBSTITUTE(SUBSTITUTE(SUBSTITUTE(TRIM(D276&amp;""),CHAR(160),"")," ",""),"초등학교","초"),"중학교","중"),"고등학교","고"),"~","~~"),"*","~*"),"?","~?")</f>
      </c>
      <c r="Q276" t="str">
        <f>SUBSTITUTE(SUBSTITUTE(SUBSTITUTE(SUBSTITUTE(SUBSTITUTE(SUBSTITUTE(SUBSTITUTE(SUBSTITUTE(TRIM(E276&amp;""),CHAR(160),"")," ",""),"초등학교","초"),"중학교","중"),"고등학교","고"),"~","~~"),"*","~*"),"?","~?")</f>
      </c>
      <c r="R276" t="str">
        <f>IF(COUNTA(B276:J276)=0,"",IF(AND(O276&lt;&gt;"",P276&lt;&gt;"",Q276&lt;&gt;""),"","입력누락"))</f>
      </c>
    </row>
    <row r="277" customFormat="false" ht="15" hidden="false" customHeight="false" outlineLevel="0" collapsed="false">
      <c r="A277" t="n" s="19">
        <f aca="0">IF(COUNTA(B277:J277)=0,"",ROW()-1)</f>
      </c>
      <c r="B277" s="24"/>
      <c r="C277" s="25"/>
      <c r="D277" s="8"/>
      <c r="E277" s="8"/>
      <c r="F277" s="26"/>
      <c r="G277" s="24"/>
      <c r="H277" s="25"/>
      <c r="I277" s="25"/>
      <c r="J277" s="26"/>
      <c r="K277" t="str" s="15">
        <f aca="0">IF(COUNTA(B277:J277)=0,"",IF(R277&lt;&gt;"","확인필요(입력누락)",IF(COUNTIFS(보유목록!$I$2:$I$3001,"*"&amp;P277&amp;"*",보유목록!$I$2:$I$3001,"*"&amp;Q277&amp;"*",보유목록!$H$2:$H$3001,O277)&gt;0,"있음",IF(COUNTIFS(보유목록!$I$2:$I$3001,"*"&amp;P277&amp;"*",보유목록!$I$2:$I$3001,"*"&amp;Q277&amp;"*")&gt;0,"확인필요(연도다름)",IF(COUNTIFS(보유목록!$I$2:$I$3001,"*"&amp;P277&amp;"*",보유목록!$H$2:$H$3001,O277)&gt;0,"확인필요(같은학교·같은연도)","없음")))))</f>
      </c>
      <c r="L277" t="str" s="16">
        <f aca="0">IF(OR(COUNTA(B277:J277)=0,R277&lt;&gt;""),"",COUNTIFS(보유목록!$I$2:$I$3001,"*"&amp;P277&amp;"*",보유목록!$I$2:$I$3001,"*"&amp;Q277&amp;"*"))</f>
      </c>
      <c r="M277" t="str" s="23">
        <f aca="0">IF(OR(COUNTA(B277:J277)=0,R277&lt;&gt;""),"",IFERROR(LOOKUP(2,1/(ISNUMBER(SEARCH(P277,보유목록!$I$2:$I$3001))*ISNUMBER(SEARCH(Q277,보유목록!$I$2:$I$3001))*(보유목록!$H$2:$H$3001=O277)),보유목록!$B$2:$B$3001),IFERROR(LOOKUP(2,1/(ISNUMBER(SEARCH(P277,보유목록!$I$2:$I$3001))*ISNUMBER(SEARCH(Q277,보유목록!$I$2:$I$3001))),보유목록!$B$2:$B$3001),"")))</f>
      </c>
      <c r="N277" s="25"/>
      <c r="O277" t="str">
        <f>IFERROR(IF(AND(LEN(SUBSTITUTE(SUBSTITUTE(SUBSTITUTE(TRIM(C277&amp;""),CHAR(160),"")," ",""),"년",""))=4,VALUE(SUBSTITUTE(SUBSTITUTE(SUBSTITUTE(TRIM(C277&amp;""),CHAR(160),"")," ",""),"년",""))&gt;=1900,VALUE(SUBSTITUTE(SUBSTITUTE(SUBSTITUTE(TRIM(C277&amp;""),CHAR(160),"")," ",""),"년",""))&lt;=2099,TEXT(VALUE(SUBSTITUTE(SUBSTITUTE(SUBSTITUTE(TRIM(C277&amp;""),CHAR(160),"")," ",""),"년","")),"0000")=SUBSTITUTE(SUBSTITUTE(SUBSTITUTE(TRIM(C277&amp;""),CHAR(160),"")," ",""),"년","")),SUBSTITUTE(SUBSTITUTE(SUBSTITUTE(TRIM(C277&amp;""),CHAR(160),"")," ",""),"년",""),""),"")</f>
      </c>
      <c r="P277" t="str">
        <f>SUBSTITUTE(SUBSTITUTE(SUBSTITUTE(SUBSTITUTE(SUBSTITUTE(SUBSTITUTE(SUBSTITUTE(SUBSTITUTE(TRIM(D277&amp;""),CHAR(160),"")," ",""),"초등학교","초"),"중학교","중"),"고등학교","고"),"~","~~"),"*","~*"),"?","~?")</f>
      </c>
      <c r="Q277" t="str">
        <f>SUBSTITUTE(SUBSTITUTE(SUBSTITUTE(SUBSTITUTE(SUBSTITUTE(SUBSTITUTE(SUBSTITUTE(SUBSTITUTE(TRIM(E277&amp;""),CHAR(160),"")," ",""),"초등학교","초"),"중학교","중"),"고등학교","고"),"~","~~"),"*","~*"),"?","~?")</f>
      </c>
      <c r="R277" t="str">
        <f>IF(COUNTA(B277:J277)=0,"",IF(AND(O277&lt;&gt;"",P277&lt;&gt;"",Q277&lt;&gt;""),"","입력누락"))</f>
      </c>
    </row>
    <row r="278" customFormat="false" ht="15" hidden="false" customHeight="false" outlineLevel="0" collapsed="false">
      <c r="A278" t="n" s="19">
        <f aca="0">IF(COUNTA(B278:J278)=0,"",ROW()-1)</f>
      </c>
      <c r="B278" s="24"/>
      <c r="C278" s="25"/>
      <c r="D278" s="8"/>
      <c r="E278" s="8"/>
      <c r="F278" s="26"/>
      <c r="G278" s="24"/>
      <c r="H278" s="25"/>
      <c r="I278" s="25"/>
      <c r="J278" s="26"/>
      <c r="K278" t="str" s="15">
        <f aca="0">IF(COUNTA(B278:J278)=0,"",IF(R278&lt;&gt;"","확인필요(입력누락)",IF(COUNTIFS(보유목록!$I$2:$I$3001,"*"&amp;P278&amp;"*",보유목록!$I$2:$I$3001,"*"&amp;Q278&amp;"*",보유목록!$H$2:$H$3001,O278)&gt;0,"있음",IF(COUNTIFS(보유목록!$I$2:$I$3001,"*"&amp;P278&amp;"*",보유목록!$I$2:$I$3001,"*"&amp;Q278&amp;"*")&gt;0,"확인필요(연도다름)",IF(COUNTIFS(보유목록!$I$2:$I$3001,"*"&amp;P278&amp;"*",보유목록!$H$2:$H$3001,O278)&gt;0,"확인필요(같은학교·같은연도)","없음")))))</f>
      </c>
      <c r="L278" t="str" s="16">
        <f aca="0">IF(OR(COUNTA(B278:J278)=0,R278&lt;&gt;""),"",COUNTIFS(보유목록!$I$2:$I$3001,"*"&amp;P278&amp;"*",보유목록!$I$2:$I$3001,"*"&amp;Q278&amp;"*"))</f>
      </c>
      <c r="M278" t="str" s="23">
        <f aca="0">IF(OR(COUNTA(B278:J278)=0,R278&lt;&gt;""),"",IFERROR(LOOKUP(2,1/(ISNUMBER(SEARCH(P278,보유목록!$I$2:$I$3001))*ISNUMBER(SEARCH(Q278,보유목록!$I$2:$I$3001))*(보유목록!$H$2:$H$3001=O278)),보유목록!$B$2:$B$3001),IFERROR(LOOKUP(2,1/(ISNUMBER(SEARCH(P278,보유목록!$I$2:$I$3001))*ISNUMBER(SEARCH(Q278,보유목록!$I$2:$I$3001))),보유목록!$B$2:$B$3001),"")))</f>
      </c>
      <c r="N278" s="25"/>
      <c r="O278" t="str">
        <f>IFERROR(IF(AND(LEN(SUBSTITUTE(SUBSTITUTE(SUBSTITUTE(TRIM(C278&amp;""),CHAR(160),"")," ",""),"년",""))=4,VALUE(SUBSTITUTE(SUBSTITUTE(SUBSTITUTE(TRIM(C278&amp;""),CHAR(160),"")," ",""),"년",""))&gt;=1900,VALUE(SUBSTITUTE(SUBSTITUTE(SUBSTITUTE(TRIM(C278&amp;""),CHAR(160),"")," ",""),"년",""))&lt;=2099,TEXT(VALUE(SUBSTITUTE(SUBSTITUTE(SUBSTITUTE(TRIM(C278&amp;""),CHAR(160),"")," ",""),"년","")),"0000")=SUBSTITUTE(SUBSTITUTE(SUBSTITUTE(TRIM(C278&amp;""),CHAR(160),"")," ",""),"년","")),SUBSTITUTE(SUBSTITUTE(SUBSTITUTE(TRIM(C278&amp;""),CHAR(160),"")," ",""),"년",""),""),"")</f>
      </c>
      <c r="P278" t="str">
        <f>SUBSTITUTE(SUBSTITUTE(SUBSTITUTE(SUBSTITUTE(SUBSTITUTE(SUBSTITUTE(SUBSTITUTE(SUBSTITUTE(TRIM(D278&amp;""),CHAR(160),"")," ",""),"초등학교","초"),"중학교","중"),"고등학교","고"),"~","~~"),"*","~*"),"?","~?")</f>
      </c>
      <c r="Q278" t="str">
        <f>SUBSTITUTE(SUBSTITUTE(SUBSTITUTE(SUBSTITUTE(SUBSTITUTE(SUBSTITUTE(SUBSTITUTE(SUBSTITUTE(TRIM(E278&amp;""),CHAR(160),"")," ",""),"초등학교","초"),"중학교","중"),"고등학교","고"),"~","~~"),"*","~*"),"?","~?")</f>
      </c>
      <c r="R278" t="str">
        <f>IF(COUNTA(B278:J278)=0,"",IF(AND(O278&lt;&gt;"",P278&lt;&gt;"",Q278&lt;&gt;""),"","입력누락"))</f>
      </c>
    </row>
    <row r="279" customFormat="false" ht="15" hidden="false" customHeight="false" outlineLevel="0" collapsed="false">
      <c r="A279" t="n" s="19">
        <f aca="0">IF(COUNTA(B279:J279)=0,"",ROW()-1)</f>
      </c>
      <c r="B279" s="24"/>
      <c r="C279" s="25"/>
      <c r="D279" s="8"/>
      <c r="E279" s="8"/>
      <c r="F279" s="26"/>
      <c r="G279" s="24"/>
      <c r="H279" s="25"/>
      <c r="I279" s="25"/>
      <c r="J279" s="26"/>
      <c r="K279" t="str" s="15">
        <f aca="0">IF(COUNTA(B279:J279)=0,"",IF(R279&lt;&gt;"","확인필요(입력누락)",IF(COUNTIFS(보유목록!$I$2:$I$3001,"*"&amp;P279&amp;"*",보유목록!$I$2:$I$3001,"*"&amp;Q279&amp;"*",보유목록!$H$2:$H$3001,O279)&gt;0,"있음",IF(COUNTIFS(보유목록!$I$2:$I$3001,"*"&amp;P279&amp;"*",보유목록!$I$2:$I$3001,"*"&amp;Q279&amp;"*")&gt;0,"확인필요(연도다름)",IF(COUNTIFS(보유목록!$I$2:$I$3001,"*"&amp;P279&amp;"*",보유목록!$H$2:$H$3001,O279)&gt;0,"확인필요(같은학교·같은연도)","없음")))))</f>
      </c>
      <c r="L279" t="str" s="16">
        <f aca="0">IF(OR(COUNTA(B279:J279)=0,R279&lt;&gt;""),"",COUNTIFS(보유목록!$I$2:$I$3001,"*"&amp;P279&amp;"*",보유목록!$I$2:$I$3001,"*"&amp;Q279&amp;"*"))</f>
      </c>
      <c r="M279" t="str" s="23">
        <f aca="0">IF(OR(COUNTA(B279:J279)=0,R279&lt;&gt;""),"",IFERROR(LOOKUP(2,1/(ISNUMBER(SEARCH(P279,보유목록!$I$2:$I$3001))*ISNUMBER(SEARCH(Q279,보유목록!$I$2:$I$3001))*(보유목록!$H$2:$H$3001=O279)),보유목록!$B$2:$B$3001),IFERROR(LOOKUP(2,1/(ISNUMBER(SEARCH(P279,보유목록!$I$2:$I$3001))*ISNUMBER(SEARCH(Q279,보유목록!$I$2:$I$3001))),보유목록!$B$2:$B$3001),"")))</f>
      </c>
      <c r="N279" s="25"/>
      <c r="O279" t="str">
        <f>IFERROR(IF(AND(LEN(SUBSTITUTE(SUBSTITUTE(SUBSTITUTE(TRIM(C279&amp;""),CHAR(160),"")," ",""),"년",""))=4,VALUE(SUBSTITUTE(SUBSTITUTE(SUBSTITUTE(TRIM(C279&amp;""),CHAR(160),"")," ",""),"년",""))&gt;=1900,VALUE(SUBSTITUTE(SUBSTITUTE(SUBSTITUTE(TRIM(C279&amp;""),CHAR(160),"")," ",""),"년",""))&lt;=2099,TEXT(VALUE(SUBSTITUTE(SUBSTITUTE(SUBSTITUTE(TRIM(C279&amp;""),CHAR(160),"")," ",""),"년","")),"0000")=SUBSTITUTE(SUBSTITUTE(SUBSTITUTE(TRIM(C279&amp;""),CHAR(160),"")," ",""),"년","")),SUBSTITUTE(SUBSTITUTE(SUBSTITUTE(TRIM(C279&amp;""),CHAR(160),"")," ",""),"년",""),""),"")</f>
      </c>
      <c r="P279" t="str">
        <f>SUBSTITUTE(SUBSTITUTE(SUBSTITUTE(SUBSTITUTE(SUBSTITUTE(SUBSTITUTE(SUBSTITUTE(SUBSTITUTE(TRIM(D279&amp;""),CHAR(160),"")," ",""),"초등학교","초"),"중학교","중"),"고등학교","고"),"~","~~"),"*","~*"),"?","~?")</f>
      </c>
      <c r="Q279" t="str">
        <f>SUBSTITUTE(SUBSTITUTE(SUBSTITUTE(SUBSTITUTE(SUBSTITUTE(SUBSTITUTE(SUBSTITUTE(SUBSTITUTE(TRIM(E279&amp;""),CHAR(160),"")," ",""),"초등학교","초"),"중학교","중"),"고등학교","고"),"~","~~"),"*","~*"),"?","~?")</f>
      </c>
      <c r="R279" t="str">
        <f>IF(COUNTA(B279:J279)=0,"",IF(AND(O279&lt;&gt;"",P279&lt;&gt;"",Q279&lt;&gt;""),"","입력누락"))</f>
      </c>
    </row>
    <row r="280" customFormat="false" ht="15" hidden="false" customHeight="false" outlineLevel="0" collapsed="false">
      <c r="A280" t="n" s="19">
        <f aca="0">IF(COUNTA(B280:J280)=0,"",ROW()-1)</f>
      </c>
      <c r="B280" s="24"/>
      <c r="C280" s="25"/>
      <c r="D280" s="8"/>
      <c r="E280" s="8"/>
      <c r="F280" s="26"/>
      <c r="G280" s="24"/>
      <c r="H280" s="25"/>
      <c r="I280" s="25"/>
      <c r="J280" s="26"/>
      <c r="K280" t="str" s="15">
        <f aca="0">IF(COUNTA(B280:J280)=0,"",IF(R280&lt;&gt;"","확인필요(입력누락)",IF(COUNTIFS(보유목록!$I$2:$I$3001,"*"&amp;P280&amp;"*",보유목록!$I$2:$I$3001,"*"&amp;Q280&amp;"*",보유목록!$H$2:$H$3001,O280)&gt;0,"있음",IF(COUNTIFS(보유목록!$I$2:$I$3001,"*"&amp;P280&amp;"*",보유목록!$I$2:$I$3001,"*"&amp;Q280&amp;"*")&gt;0,"확인필요(연도다름)",IF(COUNTIFS(보유목록!$I$2:$I$3001,"*"&amp;P280&amp;"*",보유목록!$H$2:$H$3001,O280)&gt;0,"확인필요(같은학교·같은연도)","없음")))))</f>
      </c>
      <c r="L280" t="str" s="16">
        <f aca="0">IF(OR(COUNTA(B280:J280)=0,R280&lt;&gt;""),"",COUNTIFS(보유목록!$I$2:$I$3001,"*"&amp;P280&amp;"*",보유목록!$I$2:$I$3001,"*"&amp;Q280&amp;"*"))</f>
      </c>
      <c r="M280" t="str" s="23">
        <f aca="0">IF(OR(COUNTA(B280:J280)=0,R280&lt;&gt;""),"",IFERROR(LOOKUP(2,1/(ISNUMBER(SEARCH(P280,보유목록!$I$2:$I$3001))*ISNUMBER(SEARCH(Q280,보유목록!$I$2:$I$3001))*(보유목록!$H$2:$H$3001=O280)),보유목록!$B$2:$B$3001),IFERROR(LOOKUP(2,1/(ISNUMBER(SEARCH(P280,보유목록!$I$2:$I$3001))*ISNUMBER(SEARCH(Q280,보유목록!$I$2:$I$3001))),보유목록!$B$2:$B$3001),"")))</f>
      </c>
      <c r="N280" s="25"/>
      <c r="O280" t="str">
        <f>IFERROR(IF(AND(LEN(SUBSTITUTE(SUBSTITUTE(SUBSTITUTE(TRIM(C280&amp;""),CHAR(160),"")," ",""),"년",""))=4,VALUE(SUBSTITUTE(SUBSTITUTE(SUBSTITUTE(TRIM(C280&amp;""),CHAR(160),"")," ",""),"년",""))&gt;=1900,VALUE(SUBSTITUTE(SUBSTITUTE(SUBSTITUTE(TRIM(C280&amp;""),CHAR(160),"")," ",""),"년",""))&lt;=2099,TEXT(VALUE(SUBSTITUTE(SUBSTITUTE(SUBSTITUTE(TRIM(C280&amp;""),CHAR(160),"")," ",""),"년","")),"0000")=SUBSTITUTE(SUBSTITUTE(SUBSTITUTE(TRIM(C280&amp;""),CHAR(160),"")," ",""),"년","")),SUBSTITUTE(SUBSTITUTE(SUBSTITUTE(TRIM(C280&amp;""),CHAR(160),"")," ",""),"년",""),""),"")</f>
      </c>
      <c r="P280" t="str">
        <f>SUBSTITUTE(SUBSTITUTE(SUBSTITUTE(SUBSTITUTE(SUBSTITUTE(SUBSTITUTE(SUBSTITUTE(SUBSTITUTE(TRIM(D280&amp;""),CHAR(160),"")," ",""),"초등학교","초"),"중학교","중"),"고등학교","고"),"~","~~"),"*","~*"),"?","~?")</f>
      </c>
      <c r="Q280" t="str">
        <f>SUBSTITUTE(SUBSTITUTE(SUBSTITUTE(SUBSTITUTE(SUBSTITUTE(SUBSTITUTE(SUBSTITUTE(SUBSTITUTE(TRIM(E280&amp;""),CHAR(160),"")," ",""),"초등학교","초"),"중학교","중"),"고등학교","고"),"~","~~"),"*","~*"),"?","~?")</f>
      </c>
      <c r="R280" t="str">
        <f>IF(COUNTA(B280:J280)=0,"",IF(AND(O280&lt;&gt;"",P280&lt;&gt;"",Q280&lt;&gt;""),"","입력누락"))</f>
      </c>
    </row>
    <row r="281" customFormat="false" ht="15" hidden="false" customHeight="false" outlineLevel="0" collapsed="false">
      <c r="A281" t="n" s="19">
        <f aca="0">IF(COUNTA(B281:J281)=0,"",ROW()-1)</f>
      </c>
      <c r="B281" s="24"/>
      <c r="C281" s="25"/>
      <c r="D281" s="8"/>
      <c r="E281" s="8"/>
      <c r="F281" s="26"/>
      <c r="G281" s="24"/>
      <c r="H281" s="25"/>
      <c r="I281" s="25"/>
      <c r="J281" s="26"/>
      <c r="K281" t="str" s="15">
        <f aca="0">IF(COUNTA(B281:J281)=0,"",IF(R281&lt;&gt;"","확인필요(입력누락)",IF(COUNTIFS(보유목록!$I$2:$I$3001,"*"&amp;P281&amp;"*",보유목록!$I$2:$I$3001,"*"&amp;Q281&amp;"*",보유목록!$H$2:$H$3001,O281)&gt;0,"있음",IF(COUNTIFS(보유목록!$I$2:$I$3001,"*"&amp;P281&amp;"*",보유목록!$I$2:$I$3001,"*"&amp;Q281&amp;"*")&gt;0,"확인필요(연도다름)",IF(COUNTIFS(보유목록!$I$2:$I$3001,"*"&amp;P281&amp;"*",보유목록!$H$2:$H$3001,O281)&gt;0,"확인필요(같은학교·같은연도)","없음")))))</f>
      </c>
      <c r="L281" t="str" s="16">
        <f aca="0">IF(OR(COUNTA(B281:J281)=0,R281&lt;&gt;""),"",COUNTIFS(보유목록!$I$2:$I$3001,"*"&amp;P281&amp;"*",보유목록!$I$2:$I$3001,"*"&amp;Q281&amp;"*"))</f>
      </c>
      <c r="M281" t="str" s="23">
        <f aca="0">IF(OR(COUNTA(B281:J281)=0,R281&lt;&gt;""),"",IFERROR(LOOKUP(2,1/(ISNUMBER(SEARCH(P281,보유목록!$I$2:$I$3001))*ISNUMBER(SEARCH(Q281,보유목록!$I$2:$I$3001))*(보유목록!$H$2:$H$3001=O281)),보유목록!$B$2:$B$3001),IFERROR(LOOKUP(2,1/(ISNUMBER(SEARCH(P281,보유목록!$I$2:$I$3001))*ISNUMBER(SEARCH(Q281,보유목록!$I$2:$I$3001))),보유목록!$B$2:$B$3001),"")))</f>
      </c>
      <c r="N281" s="25"/>
      <c r="O281" t="str">
        <f>IFERROR(IF(AND(LEN(SUBSTITUTE(SUBSTITUTE(SUBSTITUTE(TRIM(C281&amp;""),CHAR(160),"")," ",""),"년",""))=4,VALUE(SUBSTITUTE(SUBSTITUTE(SUBSTITUTE(TRIM(C281&amp;""),CHAR(160),"")," ",""),"년",""))&gt;=1900,VALUE(SUBSTITUTE(SUBSTITUTE(SUBSTITUTE(TRIM(C281&amp;""),CHAR(160),"")," ",""),"년",""))&lt;=2099,TEXT(VALUE(SUBSTITUTE(SUBSTITUTE(SUBSTITUTE(TRIM(C281&amp;""),CHAR(160),"")," ",""),"년","")),"0000")=SUBSTITUTE(SUBSTITUTE(SUBSTITUTE(TRIM(C281&amp;""),CHAR(160),"")," ",""),"년","")),SUBSTITUTE(SUBSTITUTE(SUBSTITUTE(TRIM(C281&amp;""),CHAR(160),"")," ",""),"년",""),""),"")</f>
      </c>
      <c r="P281" t="str">
        <f>SUBSTITUTE(SUBSTITUTE(SUBSTITUTE(SUBSTITUTE(SUBSTITUTE(SUBSTITUTE(SUBSTITUTE(SUBSTITUTE(TRIM(D281&amp;""),CHAR(160),"")," ",""),"초등학교","초"),"중학교","중"),"고등학교","고"),"~","~~"),"*","~*"),"?","~?")</f>
      </c>
      <c r="Q281" t="str">
        <f>SUBSTITUTE(SUBSTITUTE(SUBSTITUTE(SUBSTITUTE(SUBSTITUTE(SUBSTITUTE(SUBSTITUTE(SUBSTITUTE(TRIM(E281&amp;""),CHAR(160),"")," ",""),"초등학교","초"),"중학교","중"),"고등학교","고"),"~","~~"),"*","~*"),"?","~?")</f>
      </c>
      <c r="R281" t="str">
        <f>IF(COUNTA(B281:J281)=0,"",IF(AND(O281&lt;&gt;"",P281&lt;&gt;"",Q281&lt;&gt;""),"","입력누락"))</f>
      </c>
    </row>
    <row r="282" customFormat="false" ht="15" hidden="false" customHeight="false" outlineLevel="0" collapsed="false">
      <c r="A282" t="n" s="19">
        <f aca="0">IF(COUNTA(B282:J282)=0,"",ROW()-1)</f>
      </c>
      <c r="B282" s="24"/>
      <c r="C282" s="25"/>
      <c r="D282" s="8"/>
      <c r="E282" s="8"/>
      <c r="F282" s="26"/>
      <c r="G282" s="24"/>
      <c r="H282" s="25"/>
      <c r="I282" s="25"/>
      <c r="J282" s="26"/>
      <c r="K282" t="str" s="15">
        <f aca="0">IF(COUNTA(B282:J282)=0,"",IF(R282&lt;&gt;"","확인필요(입력누락)",IF(COUNTIFS(보유목록!$I$2:$I$3001,"*"&amp;P282&amp;"*",보유목록!$I$2:$I$3001,"*"&amp;Q282&amp;"*",보유목록!$H$2:$H$3001,O282)&gt;0,"있음",IF(COUNTIFS(보유목록!$I$2:$I$3001,"*"&amp;P282&amp;"*",보유목록!$I$2:$I$3001,"*"&amp;Q282&amp;"*")&gt;0,"확인필요(연도다름)",IF(COUNTIFS(보유목록!$I$2:$I$3001,"*"&amp;P282&amp;"*",보유목록!$H$2:$H$3001,O282)&gt;0,"확인필요(같은학교·같은연도)","없음")))))</f>
      </c>
      <c r="L282" t="str" s="16">
        <f aca="0">IF(OR(COUNTA(B282:J282)=0,R282&lt;&gt;""),"",COUNTIFS(보유목록!$I$2:$I$3001,"*"&amp;P282&amp;"*",보유목록!$I$2:$I$3001,"*"&amp;Q282&amp;"*"))</f>
      </c>
      <c r="M282" t="str" s="23">
        <f aca="0">IF(OR(COUNTA(B282:J282)=0,R282&lt;&gt;""),"",IFERROR(LOOKUP(2,1/(ISNUMBER(SEARCH(P282,보유목록!$I$2:$I$3001))*ISNUMBER(SEARCH(Q282,보유목록!$I$2:$I$3001))*(보유목록!$H$2:$H$3001=O282)),보유목록!$B$2:$B$3001),IFERROR(LOOKUP(2,1/(ISNUMBER(SEARCH(P282,보유목록!$I$2:$I$3001))*ISNUMBER(SEARCH(Q282,보유목록!$I$2:$I$3001))),보유목록!$B$2:$B$3001),"")))</f>
      </c>
      <c r="N282" s="25"/>
      <c r="O282" t="str">
        <f>IFERROR(IF(AND(LEN(SUBSTITUTE(SUBSTITUTE(SUBSTITUTE(TRIM(C282&amp;""),CHAR(160),"")," ",""),"년",""))=4,VALUE(SUBSTITUTE(SUBSTITUTE(SUBSTITUTE(TRIM(C282&amp;""),CHAR(160),"")," ",""),"년",""))&gt;=1900,VALUE(SUBSTITUTE(SUBSTITUTE(SUBSTITUTE(TRIM(C282&amp;""),CHAR(160),"")," ",""),"년",""))&lt;=2099,TEXT(VALUE(SUBSTITUTE(SUBSTITUTE(SUBSTITUTE(TRIM(C282&amp;""),CHAR(160),"")," ",""),"년","")),"0000")=SUBSTITUTE(SUBSTITUTE(SUBSTITUTE(TRIM(C282&amp;""),CHAR(160),"")," ",""),"년","")),SUBSTITUTE(SUBSTITUTE(SUBSTITUTE(TRIM(C282&amp;""),CHAR(160),"")," ",""),"년",""),""),"")</f>
      </c>
      <c r="P282" t="str">
        <f>SUBSTITUTE(SUBSTITUTE(SUBSTITUTE(SUBSTITUTE(SUBSTITUTE(SUBSTITUTE(SUBSTITUTE(SUBSTITUTE(TRIM(D282&amp;""),CHAR(160),"")," ",""),"초등학교","초"),"중학교","중"),"고등학교","고"),"~","~~"),"*","~*"),"?","~?")</f>
      </c>
      <c r="Q282" t="str">
        <f>SUBSTITUTE(SUBSTITUTE(SUBSTITUTE(SUBSTITUTE(SUBSTITUTE(SUBSTITUTE(SUBSTITUTE(SUBSTITUTE(TRIM(E282&amp;""),CHAR(160),"")," ",""),"초등학교","초"),"중학교","중"),"고등학교","고"),"~","~~"),"*","~*"),"?","~?")</f>
      </c>
      <c r="R282" t="str">
        <f>IF(COUNTA(B282:J282)=0,"",IF(AND(O282&lt;&gt;"",P282&lt;&gt;"",Q282&lt;&gt;""),"","입력누락"))</f>
      </c>
    </row>
    <row r="283" customFormat="false" ht="15" hidden="false" customHeight="false" outlineLevel="0" collapsed="false">
      <c r="A283" t="n" s="19">
        <f aca="0">IF(COUNTA(B283:J283)=0,"",ROW()-1)</f>
      </c>
      <c r="B283" s="24"/>
      <c r="C283" s="25"/>
      <c r="D283" s="8"/>
      <c r="E283" s="8"/>
      <c r="F283" s="26"/>
      <c r="G283" s="24"/>
      <c r="H283" s="25"/>
      <c r="I283" s="25"/>
      <c r="J283" s="26"/>
      <c r="K283" t="str" s="15">
        <f aca="0">IF(COUNTA(B283:J283)=0,"",IF(R283&lt;&gt;"","확인필요(입력누락)",IF(COUNTIFS(보유목록!$I$2:$I$3001,"*"&amp;P283&amp;"*",보유목록!$I$2:$I$3001,"*"&amp;Q283&amp;"*",보유목록!$H$2:$H$3001,O283)&gt;0,"있음",IF(COUNTIFS(보유목록!$I$2:$I$3001,"*"&amp;P283&amp;"*",보유목록!$I$2:$I$3001,"*"&amp;Q283&amp;"*")&gt;0,"확인필요(연도다름)",IF(COUNTIFS(보유목록!$I$2:$I$3001,"*"&amp;P283&amp;"*",보유목록!$H$2:$H$3001,O283)&gt;0,"확인필요(같은학교·같은연도)","없음")))))</f>
      </c>
      <c r="L283" t="str" s="16">
        <f aca="0">IF(OR(COUNTA(B283:J283)=0,R283&lt;&gt;""),"",COUNTIFS(보유목록!$I$2:$I$3001,"*"&amp;P283&amp;"*",보유목록!$I$2:$I$3001,"*"&amp;Q283&amp;"*"))</f>
      </c>
      <c r="M283" t="str" s="23">
        <f aca="0">IF(OR(COUNTA(B283:J283)=0,R283&lt;&gt;""),"",IFERROR(LOOKUP(2,1/(ISNUMBER(SEARCH(P283,보유목록!$I$2:$I$3001))*ISNUMBER(SEARCH(Q283,보유목록!$I$2:$I$3001))*(보유목록!$H$2:$H$3001=O283)),보유목록!$B$2:$B$3001),IFERROR(LOOKUP(2,1/(ISNUMBER(SEARCH(P283,보유목록!$I$2:$I$3001))*ISNUMBER(SEARCH(Q283,보유목록!$I$2:$I$3001))),보유목록!$B$2:$B$3001),"")))</f>
      </c>
      <c r="N283" s="25"/>
      <c r="O283" t="str">
        <f>IFERROR(IF(AND(LEN(SUBSTITUTE(SUBSTITUTE(SUBSTITUTE(TRIM(C283&amp;""),CHAR(160),"")," ",""),"년",""))=4,VALUE(SUBSTITUTE(SUBSTITUTE(SUBSTITUTE(TRIM(C283&amp;""),CHAR(160),"")," ",""),"년",""))&gt;=1900,VALUE(SUBSTITUTE(SUBSTITUTE(SUBSTITUTE(TRIM(C283&amp;""),CHAR(160),"")," ",""),"년",""))&lt;=2099,TEXT(VALUE(SUBSTITUTE(SUBSTITUTE(SUBSTITUTE(TRIM(C283&amp;""),CHAR(160),"")," ",""),"년","")),"0000")=SUBSTITUTE(SUBSTITUTE(SUBSTITUTE(TRIM(C283&amp;""),CHAR(160),"")," ",""),"년","")),SUBSTITUTE(SUBSTITUTE(SUBSTITUTE(TRIM(C283&amp;""),CHAR(160),"")," ",""),"년",""),""),"")</f>
      </c>
      <c r="P283" t="str">
        <f>SUBSTITUTE(SUBSTITUTE(SUBSTITUTE(SUBSTITUTE(SUBSTITUTE(SUBSTITUTE(SUBSTITUTE(SUBSTITUTE(TRIM(D283&amp;""),CHAR(160),"")," ",""),"초등학교","초"),"중학교","중"),"고등학교","고"),"~","~~"),"*","~*"),"?","~?")</f>
      </c>
      <c r="Q283" t="str">
        <f>SUBSTITUTE(SUBSTITUTE(SUBSTITUTE(SUBSTITUTE(SUBSTITUTE(SUBSTITUTE(SUBSTITUTE(SUBSTITUTE(TRIM(E283&amp;""),CHAR(160),"")," ",""),"초등학교","초"),"중학교","중"),"고등학교","고"),"~","~~"),"*","~*"),"?","~?")</f>
      </c>
      <c r="R283" t="str">
        <f>IF(COUNTA(B283:J283)=0,"",IF(AND(O283&lt;&gt;"",P283&lt;&gt;"",Q283&lt;&gt;""),"","입력누락"))</f>
      </c>
    </row>
    <row r="284" customFormat="false" ht="15" hidden="false" customHeight="false" outlineLevel="0" collapsed="false">
      <c r="A284" t="n" s="19">
        <f aca="0">IF(COUNTA(B284:J284)=0,"",ROW()-1)</f>
      </c>
      <c r="B284" s="24"/>
      <c r="C284" s="25"/>
      <c r="D284" s="8"/>
      <c r="E284" s="8"/>
      <c r="F284" s="26"/>
      <c r="G284" s="24"/>
      <c r="H284" s="25"/>
      <c r="I284" s="25"/>
      <c r="J284" s="26"/>
      <c r="K284" t="str" s="15">
        <f aca="0">IF(COUNTA(B284:J284)=0,"",IF(R284&lt;&gt;"","확인필요(입력누락)",IF(COUNTIFS(보유목록!$I$2:$I$3001,"*"&amp;P284&amp;"*",보유목록!$I$2:$I$3001,"*"&amp;Q284&amp;"*",보유목록!$H$2:$H$3001,O284)&gt;0,"있음",IF(COUNTIFS(보유목록!$I$2:$I$3001,"*"&amp;P284&amp;"*",보유목록!$I$2:$I$3001,"*"&amp;Q284&amp;"*")&gt;0,"확인필요(연도다름)",IF(COUNTIFS(보유목록!$I$2:$I$3001,"*"&amp;P284&amp;"*",보유목록!$H$2:$H$3001,O284)&gt;0,"확인필요(같은학교·같은연도)","없음")))))</f>
      </c>
      <c r="L284" t="str" s="16">
        <f aca="0">IF(OR(COUNTA(B284:J284)=0,R284&lt;&gt;""),"",COUNTIFS(보유목록!$I$2:$I$3001,"*"&amp;P284&amp;"*",보유목록!$I$2:$I$3001,"*"&amp;Q284&amp;"*"))</f>
      </c>
      <c r="M284" t="str" s="23">
        <f aca="0">IF(OR(COUNTA(B284:J284)=0,R284&lt;&gt;""),"",IFERROR(LOOKUP(2,1/(ISNUMBER(SEARCH(P284,보유목록!$I$2:$I$3001))*ISNUMBER(SEARCH(Q284,보유목록!$I$2:$I$3001))*(보유목록!$H$2:$H$3001=O284)),보유목록!$B$2:$B$3001),IFERROR(LOOKUP(2,1/(ISNUMBER(SEARCH(P284,보유목록!$I$2:$I$3001))*ISNUMBER(SEARCH(Q284,보유목록!$I$2:$I$3001))),보유목록!$B$2:$B$3001),"")))</f>
      </c>
      <c r="N284" s="25"/>
      <c r="O284" t="str">
        <f>IFERROR(IF(AND(LEN(SUBSTITUTE(SUBSTITUTE(SUBSTITUTE(TRIM(C284&amp;""),CHAR(160),"")," ",""),"년",""))=4,VALUE(SUBSTITUTE(SUBSTITUTE(SUBSTITUTE(TRIM(C284&amp;""),CHAR(160),"")," ",""),"년",""))&gt;=1900,VALUE(SUBSTITUTE(SUBSTITUTE(SUBSTITUTE(TRIM(C284&amp;""),CHAR(160),"")," ",""),"년",""))&lt;=2099,TEXT(VALUE(SUBSTITUTE(SUBSTITUTE(SUBSTITUTE(TRIM(C284&amp;""),CHAR(160),"")," ",""),"년","")),"0000")=SUBSTITUTE(SUBSTITUTE(SUBSTITUTE(TRIM(C284&amp;""),CHAR(160),"")," ",""),"년","")),SUBSTITUTE(SUBSTITUTE(SUBSTITUTE(TRIM(C284&amp;""),CHAR(160),"")," ",""),"년",""),""),"")</f>
      </c>
      <c r="P284" t="str">
        <f>SUBSTITUTE(SUBSTITUTE(SUBSTITUTE(SUBSTITUTE(SUBSTITUTE(SUBSTITUTE(SUBSTITUTE(SUBSTITUTE(TRIM(D284&amp;""),CHAR(160),"")," ",""),"초등학교","초"),"중학교","중"),"고등학교","고"),"~","~~"),"*","~*"),"?","~?")</f>
      </c>
      <c r="Q284" t="str">
        <f>SUBSTITUTE(SUBSTITUTE(SUBSTITUTE(SUBSTITUTE(SUBSTITUTE(SUBSTITUTE(SUBSTITUTE(SUBSTITUTE(TRIM(E284&amp;""),CHAR(160),"")," ",""),"초등학교","초"),"중학교","중"),"고등학교","고"),"~","~~"),"*","~*"),"?","~?")</f>
      </c>
      <c r="R284" t="str">
        <f>IF(COUNTA(B284:J284)=0,"",IF(AND(O284&lt;&gt;"",P284&lt;&gt;"",Q284&lt;&gt;""),"","입력누락"))</f>
      </c>
    </row>
    <row r="285" customFormat="false" ht="15" hidden="false" customHeight="false" outlineLevel="0" collapsed="false">
      <c r="A285" t="n" s="19">
        <f aca="0">IF(COUNTA(B285:J285)=0,"",ROW()-1)</f>
      </c>
      <c r="B285" s="24"/>
      <c r="C285" s="25"/>
      <c r="D285" s="8"/>
      <c r="E285" s="8"/>
      <c r="F285" s="26"/>
      <c r="G285" s="24"/>
      <c r="H285" s="25"/>
      <c r="I285" s="25"/>
      <c r="J285" s="26"/>
      <c r="K285" t="str" s="15">
        <f aca="0">IF(COUNTA(B285:J285)=0,"",IF(R285&lt;&gt;"","확인필요(입력누락)",IF(COUNTIFS(보유목록!$I$2:$I$3001,"*"&amp;P285&amp;"*",보유목록!$I$2:$I$3001,"*"&amp;Q285&amp;"*",보유목록!$H$2:$H$3001,O285)&gt;0,"있음",IF(COUNTIFS(보유목록!$I$2:$I$3001,"*"&amp;P285&amp;"*",보유목록!$I$2:$I$3001,"*"&amp;Q285&amp;"*")&gt;0,"확인필요(연도다름)",IF(COUNTIFS(보유목록!$I$2:$I$3001,"*"&amp;P285&amp;"*",보유목록!$H$2:$H$3001,O285)&gt;0,"확인필요(같은학교·같은연도)","없음")))))</f>
      </c>
      <c r="L285" t="str" s="16">
        <f aca="0">IF(OR(COUNTA(B285:J285)=0,R285&lt;&gt;""),"",COUNTIFS(보유목록!$I$2:$I$3001,"*"&amp;P285&amp;"*",보유목록!$I$2:$I$3001,"*"&amp;Q285&amp;"*"))</f>
      </c>
      <c r="M285" t="str" s="23">
        <f aca="0">IF(OR(COUNTA(B285:J285)=0,R285&lt;&gt;""),"",IFERROR(LOOKUP(2,1/(ISNUMBER(SEARCH(P285,보유목록!$I$2:$I$3001))*ISNUMBER(SEARCH(Q285,보유목록!$I$2:$I$3001))*(보유목록!$H$2:$H$3001=O285)),보유목록!$B$2:$B$3001),IFERROR(LOOKUP(2,1/(ISNUMBER(SEARCH(P285,보유목록!$I$2:$I$3001))*ISNUMBER(SEARCH(Q285,보유목록!$I$2:$I$3001))),보유목록!$B$2:$B$3001),"")))</f>
      </c>
      <c r="N285" s="25"/>
      <c r="O285" t="str">
        <f>IFERROR(IF(AND(LEN(SUBSTITUTE(SUBSTITUTE(SUBSTITUTE(TRIM(C285&amp;""),CHAR(160),"")," ",""),"년",""))=4,VALUE(SUBSTITUTE(SUBSTITUTE(SUBSTITUTE(TRIM(C285&amp;""),CHAR(160),"")," ",""),"년",""))&gt;=1900,VALUE(SUBSTITUTE(SUBSTITUTE(SUBSTITUTE(TRIM(C285&amp;""),CHAR(160),"")," ",""),"년",""))&lt;=2099,TEXT(VALUE(SUBSTITUTE(SUBSTITUTE(SUBSTITUTE(TRIM(C285&amp;""),CHAR(160),"")," ",""),"년","")),"0000")=SUBSTITUTE(SUBSTITUTE(SUBSTITUTE(TRIM(C285&amp;""),CHAR(160),"")," ",""),"년","")),SUBSTITUTE(SUBSTITUTE(SUBSTITUTE(TRIM(C285&amp;""),CHAR(160),"")," ",""),"년",""),""),"")</f>
      </c>
      <c r="P285" t="str">
        <f>SUBSTITUTE(SUBSTITUTE(SUBSTITUTE(SUBSTITUTE(SUBSTITUTE(SUBSTITUTE(SUBSTITUTE(SUBSTITUTE(TRIM(D285&amp;""),CHAR(160),"")," ",""),"초등학교","초"),"중학교","중"),"고등학교","고"),"~","~~"),"*","~*"),"?","~?")</f>
      </c>
      <c r="Q285" t="str">
        <f>SUBSTITUTE(SUBSTITUTE(SUBSTITUTE(SUBSTITUTE(SUBSTITUTE(SUBSTITUTE(SUBSTITUTE(SUBSTITUTE(TRIM(E285&amp;""),CHAR(160),"")," ",""),"초등학교","초"),"중학교","중"),"고등학교","고"),"~","~~"),"*","~*"),"?","~?")</f>
      </c>
      <c r="R285" t="str">
        <f>IF(COUNTA(B285:J285)=0,"",IF(AND(O285&lt;&gt;"",P285&lt;&gt;"",Q285&lt;&gt;""),"","입력누락"))</f>
      </c>
    </row>
    <row r="286" customFormat="false" ht="15" hidden="false" customHeight="false" outlineLevel="0" collapsed="false">
      <c r="A286" t="n" s="19">
        <f aca="0">IF(COUNTA(B286:J286)=0,"",ROW()-1)</f>
      </c>
      <c r="B286" s="24"/>
      <c r="C286" s="25"/>
      <c r="D286" s="8"/>
      <c r="E286" s="8"/>
      <c r="F286" s="26"/>
      <c r="G286" s="24"/>
      <c r="H286" s="25"/>
      <c r="I286" s="25"/>
      <c r="J286" s="26"/>
      <c r="K286" t="str" s="15">
        <f aca="0">IF(COUNTA(B286:J286)=0,"",IF(R286&lt;&gt;"","확인필요(입력누락)",IF(COUNTIFS(보유목록!$I$2:$I$3001,"*"&amp;P286&amp;"*",보유목록!$I$2:$I$3001,"*"&amp;Q286&amp;"*",보유목록!$H$2:$H$3001,O286)&gt;0,"있음",IF(COUNTIFS(보유목록!$I$2:$I$3001,"*"&amp;P286&amp;"*",보유목록!$I$2:$I$3001,"*"&amp;Q286&amp;"*")&gt;0,"확인필요(연도다름)",IF(COUNTIFS(보유목록!$I$2:$I$3001,"*"&amp;P286&amp;"*",보유목록!$H$2:$H$3001,O286)&gt;0,"확인필요(같은학교·같은연도)","없음")))))</f>
      </c>
      <c r="L286" t="str" s="16">
        <f aca="0">IF(OR(COUNTA(B286:J286)=0,R286&lt;&gt;""),"",COUNTIFS(보유목록!$I$2:$I$3001,"*"&amp;P286&amp;"*",보유목록!$I$2:$I$3001,"*"&amp;Q286&amp;"*"))</f>
      </c>
      <c r="M286" t="str" s="23">
        <f aca="0">IF(OR(COUNTA(B286:J286)=0,R286&lt;&gt;""),"",IFERROR(LOOKUP(2,1/(ISNUMBER(SEARCH(P286,보유목록!$I$2:$I$3001))*ISNUMBER(SEARCH(Q286,보유목록!$I$2:$I$3001))*(보유목록!$H$2:$H$3001=O286)),보유목록!$B$2:$B$3001),IFERROR(LOOKUP(2,1/(ISNUMBER(SEARCH(P286,보유목록!$I$2:$I$3001))*ISNUMBER(SEARCH(Q286,보유목록!$I$2:$I$3001))),보유목록!$B$2:$B$3001),"")))</f>
      </c>
      <c r="N286" s="25"/>
      <c r="O286" t="str">
        <f>IFERROR(IF(AND(LEN(SUBSTITUTE(SUBSTITUTE(SUBSTITUTE(TRIM(C286&amp;""),CHAR(160),"")," ",""),"년",""))=4,VALUE(SUBSTITUTE(SUBSTITUTE(SUBSTITUTE(TRIM(C286&amp;""),CHAR(160),"")," ",""),"년",""))&gt;=1900,VALUE(SUBSTITUTE(SUBSTITUTE(SUBSTITUTE(TRIM(C286&amp;""),CHAR(160),"")," ",""),"년",""))&lt;=2099,TEXT(VALUE(SUBSTITUTE(SUBSTITUTE(SUBSTITUTE(TRIM(C286&amp;""),CHAR(160),"")," ",""),"년","")),"0000")=SUBSTITUTE(SUBSTITUTE(SUBSTITUTE(TRIM(C286&amp;""),CHAR(160),"")," ",""),"년","")),SUBSTITUTE(SUBSTITUTE(SUBSTITUTE(TRIM(C286&amp;""),CHAR(160),"")," ",""),"년",""),""),"")</f>
      </c>
      <c r="P286" t="str">
        <f>SUBSTITUTE(SUBSTITUTE(SUBSTITUTE(SUBSTITUTE(SUBSTITUTE(SUBSTITUTE(SUBSTITUTE(SUBSTITUTE(TRIM(D286&amp;""),CHAR(160),"")," ",""),"초등학교","초"),"중학교","중"),"고등학교","고"),"~","~~"),"*","~*"),"?","~?")</f>
      </c>
      <c r="Q286" t="str">
        <f>SUBSTITUTE(SUBSTITUTE(SUBSTITUTE(SUBSTITUTE(SUBSTITUTE(SUBSTITUTE(SUBSTITUTE(SUBSTITUTE(TRIM(E286&amp;""),CHAR(160),"")," ",""),"초등학교","초"),"중학교","중"),"고등학교","고"),"~","~~"),"*","~*"),"?","~?")</f>
      </c>
      <c r="R286" t="str">
        <f>IF(COUNTA(B286:J286)=0,"",IF(AND(O286&lt;&gt;"",P286&lt;&gt;"",Q286&lt;&gt;""),"","입력누락"))</f>
      </c>
    </row>
    <row r="287" customFormat="false" ht="15" hidden="false" customHeight="false" outlineLevel="0" collapsed="false">
      <c r="A287" t="n" s="19">
        <f aca="0">IF(COUNTA(B287:J287)=0,"",ROW()-1)</f>
      </c>
      <c r="B287" s="24"/>
      <c r="C287" s="25"/>
      <c r="D287" s="8"/>
      <c r="E287" s="8"/>
      <c r="F287" s="26"/>
      <c r="G287" s="24"/>
      <c r="H287" s="25"/>
      <c r="I287" s="25"/>
      <c r="J287" s="26"/>
      <c r="K287" t="str" s="15">
        <f aca="0">IF(COUNTA(B287:J287)=0,"",IF(R287&lt;&gt;"","확인필요(입력누락)",IF(COUNTIFS(보유목록!$I$2:$I$3001,"*"&amp;P287&amp;"*",보유목록!$I$2:$I$3001,"*"&amp;Q287&amp;"*",보유목록!$H$2:$H$3001,O287)&gt;0,"있음",IF(COUNTIFS(보유목록!$I$2:$I$3001,"*"&amp;P287&amp;"*",보유목록!$I$2:$I$3001,"*"&amp;Q287&amp;"*")&gt;0,"확인필요(연도다름)",IF(COUNTIFS(보유목록!$I$2:$I$3001,"*"&amp;P287&amp;"*",보유목록!$H$2:$H$3001,O287)&gt;0,"확인필요(같은학교·같은연도)","없음")))))</f>
      </c>
      <c r="L287" t="str" s="16">
        <f aca="0">IF(OR(COUNTA(B287:J287)=0,R287&lt;&gt;""),"",COUNTIFS(보유목록!$I$2:$I$3001,"*"&amp;P287&amp;"*",보유목록!$I$2:$I$3001,"*"&amp;Q287&amp;"*"))</f>
      </c>
      <c r="M287" t="str" s="23">
        <f aca="0">IF(OR(COUNTA(B287:J287)=0,R287&lt;&gt;""),"",IFERROR(LOOKUP(2,1/(ISNUMBER(SEARCH(P287,보유목록!$I$2:$I$3001))*ISNUMBER(SEARCH(Q287,보유목록!$I$2:$I$3001))*(보유목록!$H$2:$H$3001=O287)),보유목록!$B$2:$B$3001),IFERROR(LOOKUP(2,1/(ISNUMBER(SEARCH(P287,보유목록!$I$2:$I$3001))*ISNUMBER(SEARCH(Q287,보유목록!$I$2:$I$3001))),보유목록!$B$2:$B$3001),"")))</f>
      </c>
      <c r="N287" s="25"/>
      <c r="O287" t="str">
        <f>IFERROR(IF(AND(LEN(SUBSTITUTE(SUBSTITUTE(SUBSTITUTE(TRIM(C287&amp;""),CHAR(160),"")," ",""),"년",""))=4,VALUE(SUBSTITUTE(SUBSTITUTE(SUBSTITUTE(TRIM(C287&amp;""),CHAR(160),"")," ",""),"년",""))&gt;=1900,VALUE(SUBSTITUTE(SUBSTITUTE(SUBSTITUTE(TRIM(C287&amp;""),CHAR(160),"")," ",""),"년",""))&lt;=2099,TEXT(VALUE(SUBSTITUTE(SUBSTITUTE(SUBSTITUTE(TRIM(C287&amp;""),CHAR(160),"")," ",""),"년","")),"0000")=SUBSTITUTE(SUBSTITUTE(SUBSTITUTE(TRIM(C287&amp;""),CHAR(160),"")," ",""),"년","")),SUBSTITUTE(SUBSTITUTE(SUBSTITUTE(TRIM(C287&amp;""),CHAR(160),"")," ",""),"년",""),""),"")</f>
      </c>
      <c r="P287" t="str">
        <f>SUBSTITUTE(SUBSTITUTE(SUBSTITUTE(SUBSTITUTE(SUBSTITUTE(SUBSTITUTE(SUBSTITUTE(SUBSTITUTE(TRIM(D287&amp;""),CHAR(160),"")," ",""),"초등학교","초"),"중학교","중"),"고등학교","고"),"~","~~"),"*","~*"),"?","~?")</f>
      </c>
      <c r="Q287" t="str">
        <f>SUBSTITUTE(SUBSTITUTE(SUBSTITUTE(SUBSTITUTE(SUBSTITUTE(SUBSTITUTE(SUBSTITUTE(SUBSTITUTE(TRIM(E287&amp;""),CHAR(160),"")," ",""),"초등학교","초"),"중학교","중"),"고등학교","고"),"~","~~"),"*","~*"),"?","~?")</f>
      </c>
      <c r="R287" t="str">
        <f>IF(COUNTA(B287:J287)=0,"",IF(AND(O287&lt;&gt;"",P287&lt;&gt;"",Q287&lt;&gt;""),"","입력누락"))</f>
      </c>
    </row>
    <row r="288" customFormat="false" ht="15" hidden="false" customHeight="false" outlineLevel="0" collapsed="false">
      <c r="A288" t="n" s="19">
        <f aca="0">IF(COUNTA(B288:J288)=0,"",ROW()-1)</f>
      </c>
      <c r="B288" s="24"/>
      <c r="C288" s="25"/>
      <c r="D288" s="8"/>
      <c r="E288" s="8"/>
      <c r="F288" s="26"/>
      <c r="G288" s="24"/>
      <c r="H288" s="25"/>
      <c r="I288" s="25"/>
      <c r="J288" s="26"/>
      <c r="K288" t="str" s="15">
        <f aca="0">IF(COUNTA(B288:J288)=0,"",IF(R288&lt;&gt;"","확인필요(입력누락)",IF(COUNTIFS(보유목록!$I$2:$I$3001,"*"&amp;P288&amp;"*",보유목록!$I$2:$I$3001,"*"&amp;Q288&amp;"*",보유목록!$H$2:$H$3001,O288)&gt;0,"있음",IF(COUNTIFS(보유목록!$I$2:$I$3001,"*"&amp;P288&amp;"*",보유목록!$I$2:$I$3001,"*"&amp;Q288&amp;"*")&gt;0,"확인필요(연도다름)",IF(COUNTIFS(보유목록!$I$2:$I$3001,"*"&amp;P288&amp;"*",보유목록!$H$2:$H$3001,O288)&gt;0,"확인필요(같은학교·같은연도)","없음")))))</f>
      </c>
      <c r="L288" t="str" s="16">
        <f aca="0">IF(OR(COUNTA(B288:J288)=0,R288&lt;&gt;""),"",COUNTIFS(보유목록!$I$2:$I$3001,"*"&amp;P288&amp;"*",보유목록!$I$2:$I$3001,"*"&amp;Q288&amp;"*"))</f>
      </c>
      <c r="M288" t="str" s="23">
        <f aca="0">IF(OR(COUNTA(B288:J288)=0,R288&lt;&gt;""),"",IFERROR(LOOKUP(2,1/(ISNUMBER(SEARCH(P288,보유목록!$I$2:$I$3001))*ISNUMBER(SEARCH(Q288,보유목록!$I$2:$I$3001))*(보유목록!$H$2:$H$3001=O288)),보유목록!$B$2:$B$3001),IFERROR(LOOKUP(2,1/(ISNUMBER(SEARCH(P288,보유목록!$I$2:$I$3001))*ISNUMBER(SEARCH(Q288,보유목록!$I$2:$I$3001))),보유목록!$B$2:$B$3001),"")))</f>
      </c>
      <c r="N288" s="25"/>
      <c r="O288" t="str">
        <f>IFERROR(IF(AND(LEN(SUBSTITUTE(SUBSTITUTE(SUBSTITUTE(TRIM(C288&amp;""),CHAR(160),"")," ",""),"년",""))=4,VALUE(SUBSTITUTE(SUBSTITUTE(SUBSTITUTE(TRIM(C288&amp;""),CHAR(160),"")," ",""),"년",""))&gt;=1900,VALUE(SUBSTITUTE(SUBSTITUTE(SUBSTITUTE(TRIM(C288&amp;""),CHAR(160),"")," ",""),"년",""))&lt;=2099,TEXT(VALUE(SUBSTITUTE(SUBSTITUTE(SUBSTITUTE(TRIM(C288&amp;""),CHAR(160),"")," ",""),"년","")),"0000")=SUBSTITUTE(SUBSTITUTE(SUBSTITUTE(TRIM(C288&amp;""),CHAR(160),"")," ",""),"년","")),SUBSTITUTE(SUBSTITUTE(SUBSTITUTE(TRIM(C288&amp;""),CHAR(160),"")," ",""),"년",""),""),"")</f>
      </c>
      <c r="P288" t="str">
        <f>SUBSTITUTE(SUBSTITUTE(SUBSTITUTE(SUBSTITUTE(SUBSTITUTE(SUBSTITUTE(SUBSTITUTE(SUBSTITUTE(TRIM(D288&amp;""),CHAR(160),"")," ",""),"초등학교","초"),"중학교","중"),"고등학교","고"),"~","~~"),"*","~*"),"?","~?")</f>
      </c>
      <c r="Q288" t="str">
        <f>SUBSTITUTE(SUBSTITUTE(SUBSTITUTE(SUBSTITUTE(SUBSTITUTE(SUBSTITUTE(SUBSTITUTE(SUBSTITUTE(TRIM(E288&amp;""),CHAR(160),"")," ",""),"초등학교","초"),"중학교","중"),"고등학교","고"),"~","~~"),"*","~*"),"?","~?")</f>
      </c>
      <c r="R288" t="str">
        <f>IF(COUNTA(B288:J288)=0,"",IF(AND(O288&lt;&gt;"",P288&lt;&gt;"",Q288&lt;&gt;""),"","입력누락"))</f>
      </c>
    </row>
    <row r="289" customFormat="false" ht="15" hidden="false" customHeight="false" outlineLevel="0" collapsed="false">
      <c r="A289" t="n" s="19">
        <f aca="0">IF(COUNTA(B289:J289)=0,"",ROW()-1)</f>
      </c>
      <c r="B289" s="24"/>
      <c r="C289" s="25"/>
      <c r="D289" s="8"/>
      <c r="E289" s="8"/>
      <c r="F289" s="26"/>
      <c r="G289" s="24"/>
      <c r="H289" s="25"/>
      <c r="I289" s="25"/>
      <c r="J289" s="26"/>
      <c r="K289" t="str" s="15">
        <f aca="0">IF(COUNTA(B289:J289)=0,"",IF(R289&lt;&gt;"","확인필요(입력누락)",IF(COUNTIFS(보유목록!$I$2:$I$3001,"*"&amp;P289&amp;"*",보유목록!$I$2:$I$3001,"*"&amp;Q289&amp;"*",보유목록!$H$2:$H$3001,O289)&gt;0,"있음",IF(COUNTIFS(보유목록!$I$2:$I$3001,"*"&amp;P289&amp;"*",보유목록!$I$2:$I$3001,"*"&amp;Q289&amp;"*")&gt;0,"확인필요(연도다름)",IF(COUNTIFS(보유목록!$I$2:$I$3001,"*"&amp;P289&amp;"*",보유목록!$H$2:$H$3001,O289)&gt;0,"확인필요(같은학교·같은연도)","없음")))))</f>
      </c>
      <c r="L289" t="str" s="16">
        <f aca="0">IF(OR(COUNTA(B289:J289)=0,R289&lt;&gt;""),"",COUNTIFS(보유목록!$I$2:$I$3001,"*"&amp;P289&amp;"*",보유목록!$I$2:$I$3001,"*"&amp;Q289&amp;"*"))</f>
      </c>
      <c r="M289" t="str" s="23">
        <f aca="0">IF(OR(COUNTA(B289:J289)=0,R289&lt;&gt;""),"",IFERROR(LOOKUP(2,1/(ISNUMBER(SEARCH(P289,보유목록!$I$2:$I$3001))*ISNUMBER(SEARCH(Q289,보유목록!$I$2:$I$3001))*(보유목록!$H$2:$H$3001=O289)),보유목록!$B$2:$B$3001),IFERROR(LOOKUP(2,1/(ISNUMBER(SEARCH(P289,보유목록!$I$2:$I$3001))*ISNUMBER(SEARCH(Q289,보유목록!$I$2:$I$3001))),보유목록!$B$2:$B$3001),"")))</f>
      </c>
      <c r="N289" s="25"/>
      <c r="O289" t="str">
        <f>IFERROR(IF(AND(LEN(SUBSTITUTE(SUBSTITUTE(SUBSTITUTE(TRIM(C289&amp;""),CHAR(160),"")," ",""),"년",""))=4,VALUE(SUBSTITUTE(SUBSTITUTE(SUBSTITUTE(TRIM(C289&amp;""),CHAR(160),"")," ",""),"년",""))&gt;=1900,VALUE(SUBSTITUTE(SUBSTITUTE(SUBSTITUTE(TRIM(C289&amp;""),CHAR(160),"")," ",""),"년",""))&lt;=2099,TEXT(VALUE(SUBSTITUTE(SUBSTITUTE(SUBSTITUTE(TRIM(C289&amp;""),CHAR(160),"")," ",""),"년","")),"0000")=SUBSTITUTE(SUBSTITUTE(SUBSTITUTE(TRIM(C289&amp;""),CHAR(160),"")," ",""),"년","")),SUBSTITUTE(SUBSTITUTE(SUBSTITUTE(TRIM(C289&amp;""),CHAR(160),"")," ",""),"년",""),""),"")</f>
      </c>
      <c r="P289" t="str">
        <f>SUBSTITUTE(SUBSTITUTE(SUBSTITUTE(SUBSTITUTE(SUBSTITUTE(SUBSTITUTE(SUBSTITUTE(SUBSTITUTE(TRIM(D289&amp;""),CHAR(160),"")," ",""),"초등학교","초"),"중학교","중"),"고등학교","고"),"~","~~"),"*","~*"),"?","~?")</f>
      </c>
      <c r="Q289" t="str">
        <f>SUBSTITUTE(SUBSTITUTE(SUBSTITUTE(SUBSTITUTE(SUBSTITUTE(SUBSTITUTE(SUBSTITUTE(SUBSTITUTE(TRIM(E289&amp;""),CHAR(160),"")," ",""),"초등학교","초"),"중학교","중"),"고등학교","고"),"~","~~"),"*","~*"),"?","~?")</f>
      </c>
      <c r="R289" t="str">
        <f>IF(COUNTA(B289:J289)=0,"",IF(AND(O289&lt;&gt;"",P289&lt;&gt;"",Q289&lt;&gt;""),"","입력누락"))</f>
      </c>
    </row>
    <row r="290" customFormat="false" ht="15" hidden="false" customHeight="false" outlineLevel="0" collapsed="false">
      <c r="A290" t="n" s="19">
        <f aca="0">IF(COUNTA(B290:J290)=0,"",ROW()-1)</f>
      </c>
      <c r="B290" s="24"/>
      <c r="C290" s="25"/>
      <c r="D290" s="8"/>
      <c r="E290" s="8"/>
      <c r="F290" s="26"/>
      <c r="G290" s="24"/>
      <c r="H290" s="25"/>
      <c r="I290" s="25"/>
      <c r="J290" s="26"/>
      <c r="K290" t="str" s="15">
        <f aca="0">IF(COUNTA(B290:J290)=0,"",IF(R290&lt;&gt;"","확인필요(입력누락)",IF(COUNTIFS(보유목록!$I$2:$I$3001,"*"&amp;P290&amp;"*",보유목록!$I$2:$I$3001,"*"&amp;Q290&amp;"*",보유목록!$H$2:$H$3001,O290)&gt;0,"있음",IF(COUNTIFS(보유목록!$I$2:$I$3001,"*"&amp;P290&amp;"*",보유목록!$I$2:$I$3001,"*"&amp;Q290&amp;"*")&gt;0,"확인필요(연도다름)",IF(COUNTIFS(보유목록!$I$2:$I$3001,"*"&amp;P290&amp;"*",보유목록!$H$2:$H$3001,O290)&gt;0,"확인필요(같은학교·같은연도)","없음")))))</f>
      </c>
      <c r="L290" t="str" s="16">
        <f aca="0">IF(OR(COUNTA(B290:J290)=0,R290&lt;&gt;""),"",COUNTIFS(보유목록!$I$2:$I$3001,"*"&amp;P290&amp;"*",보유목록!$I$2:$I$3001,"*"&amp;Q290&amp;"*"))</f>
      </c>
      <c r="M290" t="str" s="23">
        <f aca="0">IF(OR(COUNTA(B290:J290)=0,R290&lt;&gt;""),"",IFERROR(LOOKUP(2,1/(ISNUMBER(SEARCH(P290,보유목록!$I$2:$I$3001))*ISNUMBER(SEARCH(Q290,보유목록!$I$2:$I$3001))*(보유목록!$H$2:$H$3001=O290)),보유목록!$B$2:$B$3001),IFERROR(LOOKUP(2,1/(ISNUMBER(SEARCH(P290,보유목록!$I$2:$I$3001))*ISNUMBER(SEARCH(Q290,보유목록!$I$2:$I$3001))),보유목록!$B$2:$B$3001),"")))</f>
      </c>
      <c r="N290" s="25"/>
      <c r="O290" t="str">
        <f>IFERROR(IF(AND(LEN(SUBSTITUTE(SUBSTITUTE(SUBSTITUTE(TRIM(C290&amp;""),CHAR(160),"")," ",""),"년",""))=4,VALUE(SUBSTITUTE(SUBSTITUTE(SUBSTITUTE(TRIM(C290&amp;""),CHAR(160),"")," ",""),"년",""))&gt;=1900,VALUE(SUBSTITUTE(SUBSTITUTE(SUBSTITUTE(TRIM(C290&amp;""),CHAR(160),"")," ",""),"년",""))&lt;=2099,TEXT(VALUE(SUBSTITUTE(SUBSTITUTE(SUBSTITUTE(TRIM(C290&amp;""),CHAR(160),"")," ",""),"년","")),"0000")=SUBSTITUTE(SUBSTITUTE(SUBSTITUTE(TRIM(C290&amp;""),CHAR(160),"")," ",""),"년","")),SUBSTITUTE(SUBSTITUTE(SUBSTITUTE(TRIM(C290&amp;""),CHAR(160),"")," ",""),"년",""),""),"")</f>
      </c>
      <c r="P290" t="str">
        <f>SUBSTITUTE(SUBSTITUTE(SUBSTITUTE(SUBSTITUTE(SUBSTITUTE(SUBSTITUTE(SUBSTITUTE(SUBSTITUTE(TRIM(D290&amp;""),CHAR(160),"")," ",""),"초등학교","초"),"중학교","중"),"고등학교","고"),"~","~~"),"*","~*"),"?","~?")</f>
      </c>
      <c r="Q290" t="str">
        <f>SUBSTITUTE(SUBSTITUTE(SUBSTITUTE(SUBSTITUTE(SUBSTITUTE(SUBSTITUTE(SUBSTITUTE(SUBSTITUTE(TRIM(E290&amp;""),CHAR(160),"")," ",""),"초등학교","초"),"중학교","중"),"고등학교","고"),"~","~~"),"*","~*"),"?","~?")</f>
      </c>
      <c r="R290" t="str">
        <f>IF(COUNTA(B290:J290)=0,"",IF(AND(O290&lt;&gt;"",P290&lt;&gt;"",Q290&lt;&gt;""),"","입력누락"))</f>
      </c>
    </row>
    <row r="291" customFormat="false" ht="15" hidden="false" customHeight="false" outlineLevel="0" collapsed="false">
      <c r="A291" t="n" s="19">
        <f aca="0">IF(COUNTA(B291:J291)=0,"",ROW()-1)</f>
      </c>
      <c r="B291" s="24"/>
      <c r="C291" s="25"/>
      <c r="D291" s="8"/>
      <c r="E291" s="8"/>
      <c r="F291" s="26"/>
      <c r="G291" s="24"/>
      <c r="H291" s="25"/>
      <c r="I291" s="25"/>
      <c r="J291" s="26"/>
      <c r="K291" t="str" s="15">
        <f aca="0">IF(COUNTA(B291:J291)=0,"",IF(R291&lt;&gt;"","확인필요(입력누락)",IF(COUNTIFS(보유목록!$I$2:$I$3001,"*"&amp;P291&amp;"*",보유목록!$I$2:$I$3001,"*"&amp;Q291&amp;"*",보유목록!$H$2:$H$3001,O291)&gt;0,"있음",IF(COUNTIFS(보유목록!$I$2:$I$3001,"*"&amp;P291&amp;"*",보유목록!$I$2:$I$3001,"*"&amp;Q291&amp;"*")&gt;0,"확인필요(연도다름)",IF(COUNTIFS(보유목록!$I$2:$I$3001,"*"&amp;P291&amp;"*",보유목록!$H$2:$H$3001,O291)&gt;0,"확인필요(같은학교·같은연도)","없음")))))</f>
      </c>
      <c r="L291" t="str" s="16">
        <f aca="0">IF(OR(COUNTA(B291:J291)=0,R291&lt;&gt;""),"",COUNTIFS(보유목록!$I$2:$I$3001,"*"&amp;P291&amp;"*",보유목록!$I$2:$I$3001,"*"&amp;Q291&amp;"*"))</f>
      </c>
      <c r="M291" t="str" s="23">
        <f aca="0">IF(OR(COUNTA(B291:J291)=0,R291&lt;&gt;""),"",IFERROR(LOOKUP(2,1/(ISNUMBER(SEARCH(P291,보유목록!$I$2:$I$3001))*ISNUMBER(SEARCH(Q291,보유목록!$I$2:$I$3001))*(보유목록!$H$2:$H$3001=O291)),보유목록!$B$2:$B$3001),IFERROR(LOOKUP(2,1/(ISNUMBER(SEARCH(P291,보유목록!$I$2:$I$3001))*ISNUMBER(SEARCH(Q291,보유목록!$I$2:$I$3001))),보유목록!$B$2:$B$3001),"")))</f>
      </c>
      <c r="N291" s="25"/>
      <c r="O291" t="str">
        <f>IFERROR(IF(AND(LEN(SUBSTITUTE(SUBSTITUTE(SUBSTITUTE(TRIM(C291&amp;""),CHAR(160),"")," ",""),"년",""))=4,VALUE(SUBSTITUTE(SUBSTITUTE(SUBSTITUTE(TRIM(C291&amp;""),CHAR(160),"")," ",""),"년",""))&gt;=1900,VALUE(SUBSTITUTE(SUBSTITUTE(SUBSTITUTE(TRIM(C291&amp;""),CHAR(160),"")," ",""),"년",""))&lt;=2099,TEXT(VALUE(SUBSTITUTE(SUBSTITUTE(SUBSTITUTE(TRIM(C291&amp;""),CHAR(160),"")," ",""),"년","")),"0000")=SUBSTITUTE(SUBSTITUTE(SUBSTITUTE(TRIM(C291&amp;""),CHAR(160),"")," ",""),"년","")),SUBSTITUTE(SUBSTITUTE(SUBSTITUTE(TRIM(C291&amp;""),CHAR(160),"")," ",""),"년",""),""),"")</f>
      </c>
      <c r="P291" t="str">
        <f>SUBSTITUTE(SUBSTITUTE(SUBSTITUTE(SUBSTITUTE(SUBSTITUTE(SUBSTITUTE(SUBSTITUTE(SUBSTITUTE(TRIM(D291&amp;""),CHAR(160),"")," ",""),"초등학교","초"),"중학교","중"),"고등학교","고"),"~","~~"),"*","~*"),"?","~?")</f>
      </c>
      <c r="Q291" t="str">
        <f>SUBSTITUTE(SUBSTITUTE(SUBSTITUTE(SUBSTITUTE(SUBSTITUTE(SUBSTITUTE(SUBSTITUTE(SUBSTITUTE(TRIM(E291&amp;""),CHAR(160),"")," ",""),"초등학교","초"),"중학교","중"),"고등학교","고"),"~","~~"),"*","~*"),"?","~?")</f>
      </c>
      <c r="R291" t="str">
        <f>IF(COUNTA(B291:J291)=0,"",IF(AND(O291&lt;&gt;"",P291&lt;&gt;"",Q291&lt;&gt;""),"","입력누락"))</f>
      </c>
    </row>
    <row r="292" customFormat="false" ht="15" hidden="false" customHeight="false" outlineLevel="0" collapsed="false">
      <c r="A292" t="n" s="19">
        <f aca="0">IF(COUNTA(B292:J292)=0,"",ROW()-1)</f>
      </c>
      <c r="B292" s="24"/>
      <c r="C292" s="25"/>
      <c r="D292" s="8"/>
      <c r="E292" s="8"/>
      <c r="F292" s="26"/>
      <c r="G292" s="24"/>
      <c r="H292" s="25"/>
      <c r="I292" s="25"/>
      <c r="J292" s="26"/>
      <c r="K292" t="str" s="15">
        <f aca="0">IF(COUNTA(B292:J292)=0,"",IF(R292&lt;&gt;"","확인필요(입력누락)",IF(COUNTIFS(보유목록!$I$2:$I$3001,"*"&amp;P292&amp;"*",보유목록!$I$2:$I$3001,"*"&amp;Q292&amp;"*",보유목록!$H$2:$H$3001,O292)&gt;0,"있음",IF(COUNTIFS(보유목록!$I$2:$I$3001,"*"&amp;P292&amp;"*",보유목록!$I$2:$I$3001,"*"&amp;Q292&amp;"*")&gt;0,"확인필요(연도다름)",IF(COUNTIFS(보유목록!$I$2:$I$3001,"*"&amp;P292&amp;"*",보유목록!$H$2:$H$3001,O292)&gt;0,"확인필요(같은학교·같은연도)","없음")))))</f>
      </c>
      <c r="L292" t="str" s="16">
        <f aca="0">IF(OR(COUNTA(B292:J292)=0,R292&lt;&gt;""),"",COUNTIFS(보유목록!$I$2:$I$3001,"*"&amp;P292&amp;"*",보유목록!$I$2:$I$3001,"*"&amp;Q292&amp;"*"))</f>
      </c>
      <c r="M292" t="str" s="23">
        <f aca="0">IF(OR(COUNTA(B292:J292)=0,R292&lt;&gt;""),"",IFERROR(LOOKUP(2,1/(ISNUMBER(SEARCH(P292,보유목록!$I$2:$I$3001))*ISNUMBER(SEARCH(Q292,보유목록!$I$2:$I$3001))*(보유목록!$H$2:$H$3001=O292)),보유목록!$B$2:$B$3001),IFERROR(LOOKUP(2,1/(ISNUMBER(SEARCH(P292,보유목록!$I$2:$I$3001))*ISNUMBER(SEARCH(Q292,보유목록!$I$2:$I$3001))),보유목록!$B$2:$B$3001),"")))</f>
      </c>
      <c r="N292" s="25"/>
      <c r="O292" t="str">
        <f>IFERROR(IF(AND(LEN(SUBSTITUTE(SUBSTITUTE(SUBSTITUTE(TRIM(C292&amp;""),CHAR(160),"")," ",""),"년",""))=4,VALUE(SUBSTITUTE(SUBSTITUTE(SUBSTITUTE(TRIM(C292&amp;""),CHAR(160),"")," ",""),"년",""))&gt;=1900,VALUE(SUBSTITUTE(SUBSTITUTE(SUBSTITUTE(TRIM(C292&amp;""),CHAR(160),"")," ",""),"년",""))&lt;=2099,TEXT(VALUE(SUBSTITUTE(SUBSTITUTE(SUBSTITUTE(TRIM(C292&amp;""),CHAR(160),"")," ",""),"년","")),"0000")=SUBSTITUTE(SUBSTITUTE(SUBSTITUTE(TRIM(C292&amp;""),CHAR(160),"")," ",""),"년","")),SUBSTITUTE(SUBSTITUTE(SUBSTITUTE(TRIM(C292&amp;""),CHAR(160),"")," ",""),"년",""),""),"")</f>
      </c>
      <c r="P292" t="str">
        <f>SUBSTITUTE(SUBSTITUTE(SUBSTITUTE(SUBSTITUTE(SUBSTITUTE(SUBSTITUTE(SUBSTITUTE(SUBSTITUTE(TRIM(D292&amp;""),CHAR(160),"")," ",""),"초등학교","초"),"중학교","중"),"고등학교","고"),"~","~~"),"*","~*"),"?","~?")</f>
      </c>
      <c r="Q292" t="str">
        <f>SUBSTITUTE(SUBSTITUTE(SUBSTITUTE(SUBSTITUTE(SUBSTITUTE(SUBSTITUTE(SUBSTITUTE(SUBSTITUTE(TRIM(E292&amp;""),CHAR(160),"")," ",""),"초등학교","초"),"중학교","중"),"고등학교","고"),"~","~~"),"*","~*"),"?","~?")</f>
      </c>
      <c r="R292" t="str">
        <f>IF(COUNTA(B292:J292)=0,"",IF(AND(O292&lt;&gt;"",P292&lt;&gt;"",Q292&lt;&gt;""),"","입력누락"))</f>
      </c>
    </row>
    <row r="293" customFormat="false" ht="15" hidden="false" customHeight="false" outlineLevel="0" collapsed="false">
      <c r="A293" t="n" s="19">
        <f aca="0">IF(COUNTA(B293:J293)=0,"",ROW()-1)</f>
      </c>
      <c r="B293" s="24"/>
      <c r="C293" s="25"/>
      <c r="D293" s="8"/>
      <c r="E293" s="8"/>
      <c r="F293" s="26"/>
      <c r="G293" s="24"/>
      <c r="H293" s="25"/>
      <c r="I293" s="25"/>
      <c r="J293" s="26"/>
      <c r="K293" t="str" s="15">
        <f aca="0">IF(COUNTA(B293:J293)=0,"",IF(R293&lt;&gt;"","확인필요(입력누락)",IF(COUNTIFS(보유목록!$I$2:$I$3001,"*"&amp;P293&amp;"*",보유목록!$I$2:$I$3001,"*"&amp;Q293&amp;"*",보유목록!$H$2:$H$3001,O293)&gt;0,"있음",IF(COUNTIFS(보유목록!$I$2:$I$3001,"*"&amp;P293&amp;"*",보유목록!$I$2:$I$3001,"*"&amp;Q293&amp;"*")&gt;0,"확인필요(연도다름)",IF(COUNTIFS(보유목록!$I$2:$I$3001,"*"&amp;P293&amp;"*",보유목록!$H$2:$H$3001,O293)&gt;0,"확인필요(같은학교·같은연도)","없음")))))</f>
      </c>
      <c r="L293" t="str" s="16">
        <f aca="0">IF(OR(COUNTA(B293:J293)=0,R293&lt;&gt;""),"",COUNTIFS(보유목록!$I$2:$I$3001,"*"&amp;P293&amp;"*",보유목록!$I$2:$I$3001,"*"&amp;Q293&amp;"*"))</f>
      </c>
      <c r="M293" t="str" s="23">
        <f aca="0">IF(OR(COUNTA(B293:J293)=0,R293&lt;&gt;""),"",IFERROR(LOOKUP(2,1/(ISNUMBER(SEARCH(P293,보유목록!$I$2:$I$3001))*ISNUMBER(SEARCH(Q293,보유목록!$I$2:$I$3001))*(보유목록!$H$2:$H$3001=O293)),보유목록!$B$2:$B$3001),IFERROR(LOOKUP(2,1/(ISNUMBER(SEARCH(P293,보유목록!$I$2:$I$3001))*ISNUMBER(SEARCH(Q293,보유목록!$I$2:$I$3001))),보유목록!$B$2:$B$3001),"")))</f>
      </c>
      <c r="N293" s="25"/>
      <c r="O293" t="str">
        <f>IFERROR(IF(AND(LEN(SUBSTITUTE(SUBSTITUTE(SUBSTITUTE(TRIM(C293&amp;""),CHAR(160),"")," ",""),"년",""))=4,VALUE(SUBSTITUTE(SUBSTITUTE(SUBSTITUTE(TRIM(C293&amp;""),CHAR(160),"")," ",""),"년",""))&gt;=1900,VALUE(SUBSTITUTE(SUBSTITUTE(SUBSTITUTE(TRIM(C293&amp;""),CHAR(160),"")," ",""),"년",""))&lt;=2099,TEXT(VALUE(SUBSTITUTE(SUBSTITUTE(SUBSTITUTE(TRIM(C293&amp;""),CHAR(160),"")," ",""),"년","")),"0000")=SUBSTITUTE(SUBSTITUTE(SUBSTITUTE(TRIM(C293&amp;""),CHAR(160),"")," ",""),"년","")),SUBSTITUTE(SUBSTITUTE(SUBSTITUTE(TRIM(C293&amp;""),CHAR(160),"")," ",""),"년",""),""),"")</f>
      </c>
      <c r="P293" t="str">
        <f>SUBSTITUTE(SUBSTITUTE(SUBSTITUTE(SUBSTITUTE(SUBSTITUTE(SUBSTITUTE(SUBSTITUTE(SUBSTITUTE(TRIM(D293&amp;""),CHAR(160),"")," ",""),"초등학교","초"),"중학교","중"),"고등학교","고"),"~","~~"),"*","~*"),"?","~?")</f>
      </c>
      <c r="Q293" t="str">
        <f>SUBSTITUTE(SUBSTITUTE(SUBSTITUTE(SUBSTITUTE(SUBSTITUTE(SUBSTITUTE(SUBSTITUTE(SUBSTITUTE(TRIM(E293&amp;""),CHAR(160),"")," ",""),"초등학교","초"),"중학교","중"),"고등학교","고"),"~","~~"),"*","~*"),"?","~?")</f>
      </c>
      <c r="R293" t="str">
        <f>IF(COUNTA(B293:J293)=0,"",IF(AND(O293&lt;&gt;"",P293&lt;&gt;"",Q293&lt;&gt;""),"","입력누락"))</f>
      </c>
    </row>
    <row r="294" customFormat="false" ht="15" hidden="false" customHeight="false" outlineLevel="0" collapsed="false">
      <c r="A294" t="n" s="19">
        <f aca="0">IF(COUNTA(B294:J294)=0,"",ROW()-1)</f>
      </c>
      <c r="B294" s="24"/>
      <c r="C294" s="25"/>
      <c r="D294" s="8"/>
      <c r="E294" s="8"/>
      <c r="F294" s="26"/>
      <c r="G294" s="24"/>
      <c r="H294" s="25"/>
      <c r="I294" s="25"/>
      <c r="J294" s="26"/>
      <c r="K294" t="str" s="15">
        <f aca="0">IF(COUNTA(B294:J294)=0,"",IF(R294&lt;&gt;"","확인필요(입력누락)",IF(COUNTIFS(보유목록!$I$2:$I$3001,"*"&amp;P294&amp;"*",보유목록!$I$2:$I$3001,"*"&amp;Q294&amp;"*",보유목록!$H$2:$H$3001,O294)&gt;0,"있음",IF(COUNTIFS(보유목록!$I$2:$I$3001,"*"&amp;P294&amp;"*",보유목록!$I$2:$I$3001,"*"&amp;Q294&amp;"*")&gt;0,"확인필요(연도다름)",IF(COUNTIFS(보유목록!$I$2:$I$3001,"*"&amp;P294&amp;"*",보유목록!$H$2:$H$3001,O294)&gt;0,"확인필요(같은학교·같은연도)","없음")))))</f>
      </c>
      <c r="L294" t="str" s="16">
        <f aca="0">IF(OR(COUNTA(B294:J294)=0,R294&lt;&gt;""),"",COUNTIFS(보유목록!$I$2:$I$3001,"*"&amp;P294&amp;"*",보유목록!$I$2:$I$3001,"*"&amp;Q294&amp;"*"))</f>
      </c>
      <c r="M294" t="str" s="23">
        <f aca="0">IF(OR(COUNTA(B294:J294)=0,R294&lt;&gt;""),"",IFERROR(LOOKUP(2,1/(ISNUMBER(SEARCH(P294,보유목록!$I$2:$I$3001))*ISNUMBER(SEARCH(Q294,보유목록!$I$2:$I$3001))*(보유목록!$H$2:$H$3001=O294)),보유목록!$B$2:$B$3001),IFERROR(LOOKUP(2,1/(ISNUMBER(SEARCH(P294,보유목록!$I$2:$I$3001))*ISNUMBER(SEARCH(Q294,보유목록!$I$2:$I$3001))),보유목록!$B$2:$B$3001),"")))</f>
      </c>
      <c r="N294" s="25"/>
      <c r="O294" t="str">
        <f>IFERROR(IF(AND(LEN(SUBSTITUTE(SUBSTITUTE(SUBSTITUTE(TRIM(C294&amp;""),CHAR(160),"")," ",""),"년",""))=4,VALUE(SUBSTITUTE(SUBSTITUTE(SUBSTITUTE(TRIM(C294&amp;""),CHAR(160),"")," ",""),"년",""))&gt;=1900,VALUE(SUBSTITUTE(SUBSTITUTE(SUBSTITUTE(TRIM(C294&amp;""),CHAR(160),"")," ",""),"년",""))&lt;=2099,TEXT(VALUE(SUBSTITUTE(SUBSTITUTE(SUBSTITUTE(TRIM(C294&amp;""),CHAR(160),"")," ",""),"년","")),"0000")=SUBSTITUTE(SUBSTITUTE(SUBSTITUTE(TRIM(C294&amp;""),CHAR(160),"")," ",""),"년","")),SUBSTITUTE(SUBSTITUTE(SUBSTITUTE(TRIM(C294&amp;""),CHAR(160),"")," ",""),"년",""),""),"")</f>
      </c>
      <c r="P294" t="str">
        <f>SUBSTITUTE(SUBSTITUTE(SUBSTITUTE(SUBSTITUTE(SUBSTITUTE(SUBSTITUTE(SUBSTITUTE(SUBSTITUTE(TRIM(D294&amp;""),CHAR(160),"")," ",""),"초등학교","초"),"중학교","중"),"고등학교","고"),"~","~~"),"*","~*"),"?","~?")</f>
      </c>
      <c r="Q294" t="str">
        <f>SUBSTITUTE(SUBSTITUTE(SUBSTITUTE(SUBSTITUTE(SUBSTITUTE(SUBSTITUTE(SUBSTITUTE(SUBSTITUTE(TRIM(E294&amp;""),CHAR(160),"")," ",""),"초등학교","초"),"중학교","중"),"고등학교","고"),"~","~~"),"*","~*"),"?","~?")</f>
      </c>
      <c r="R294" t="str">
        <f>IF(COUNTA(B294:J294)=0,"",IF(AND(O294&lt;&gt;"",P294&lt;&gt;"",Q294&lt;&gt;""),"","입력누락"))</f>
      </c>
    </row>
    <row r="295" customFormat="false" ht="15" hidden="false" customHeight="false" outlineLevel="0" collapsed="false">
      <c r="A295" t="n" s="19">
        <f aca="0">IF(COUNTA(B295:J295)=0,"",ROW()-1)</f>
      </c>
      <c r="B295" s="24"/>
      <c r="C295" s="25"/>
      <c r="D295" s="8"/>
      <c r="E295" s="8"/>
      <c r="F295" s="26"/>
      <c r="G295" s="24"/>
      <c r="H295" s="25"/>
      <c r="I295" s="25"/>
      <c r="J295" s="26"/>
      <c r="K295" t="str" s="15">
        <f aca="0">IF(COUNTA(B295:J295)=0,"",IF(R295&lt;&gt;"","확인필요(입력누락)",IF(COUNTIFS(보유목록!$I$2:$I$3001,"*"&amp;P295&amp;"*",보유목록!$I$2:$I$3001,"*"&amp;Q295&amp;"*",보유목록!$H$2:$H$3001,O295)&gt;0,"있음",IF(COUNTIFS(보유목록!$I$2:$I$3001,"*"&amp;P295&amp;"*",보유목록!$I$2:$I$3001,"*"&amp;Q295&amp;"*")&gt;0,"확인필요(연도다름)",IF(COUNTIFS(보유목록!$I$2:$I$3001,"*"&amp;P295&amp;"*",보유목록!$H$2:$H$3001,O295)&gt;0,"확인필요(같은학교·같은연도)","없음")))))</f>
      </c>
      <c r="L295" t="str" s="16">
        <f aca="0">IF(OR(COUNTA(B295:J295)=0,R295&lt;&gt;""),"",COUNTIFS(보유목록!$I$2:$I$3001,"*"&amp;P295&amp;"*",보유목록!$I$2:$I$3001,"*"&amp;Q295&amp;"*"))</f>
      </c>
      <c r="M295" t="str" s="23">
        <f aca="0">IF(OR(COUNTA(B295:J295)=0,R295&lt;&gt;""),"",IFERROR(LOOKUP(2,1/(ISNUMBER(SEARCH(P295,보유목록!$I$2:$I$3001))*ISNUMBER(SEARCH(Q295,보유목록!$I$2:$I$3001))*(보유목록!$H$2:$H$3001=O295)),보유목록!$B$2:$B$3001),IFERROR(LOOKUP(2,1/(ISNUMBER(SEARCH(P295,보유목록!$I$2:$I$3001))*ISNUMBER(SEARCH(Q295,보유목록!$I$2:$I$3001))),보유목록!$B$2:$B$3001),"")))</f>
      </c>
      <c r="N295" s="25"/>
      <c r="O295" t="str">
        <f>IFERROR(IF(AND(LEN(SUBSTITUTE(SUBSTITUTE(SUBSTITUTE(TRIM(C295&amp;""),CHAR(160),"")," ",""),"년",""))=4,VALUE(SUBSTITUTE(SUBSTITUTE(SUBSTITUTE(TRIM(C295&amp;""),CHAR(160),"")," ",""),"년",""))&gt;=1900,VALUE(SUBSTITUTE(SUBSTITUTE(SUBSTITUTE(TRIM(C295&amp;""),CHAR(160),"")," ",""),"년",""))&lt;=2099,TEXT(VALUE(SUBSTITUTE(SUBSTITUTE(SUBSTITUTE(TRIM(C295&amp;""),CHAR(160),"")," ",""),"년","")),"0000")=SUBSTITUTE(SUBSTITUTE(SUBSTITUTE(TRIM(C295&amp;""),CHAR(160),"")," ",""),"년","")),SUBSTITUTE(SUBSTITUTE(SUBSTITUTE(TRIM(C295&amp;""),CHAR(160),"")," ",""),"년",""),""),"")</f>
      </c>
      <c r="P295" t="str">
        <f>SUBSTITUTE(SUBSTITUTE(SUBSTITUTE(SUBSTITUTE(SUBSTITUTE(SUBSTITUTE(SUBSTITUTE(SUBSTITUTE(TRIM(D295&amp;""),CHAR(160),"")," ",""),"초등학교","초"),"중학교","중"),"고등학교","고"),"~","~~"),"*","~*"),"?","~?")</f>
      </c>
      <c r="Q295" t="str">
        <f>SUBSTITUTE(SUBSTITUTE(SUBSTITUTE(SUBSTITUTE(SUBSTITUTE(SUBSTITUTE(SUBSTITUTE(SUBSTITUTE(TRIM(E295&amp;""),CHAR(160),"")," ",""),"초등학교","초"),"중학교","중"),"고등학교","고"),"~","~~"),"*","~*"),"?","~?")</f>
      </c>
      <c r="R295" t="str">
        <f>IF(COUNTA(B295:J295)=0,"",IF(AND(O295&lt;&gt;"",P295&lt;&gt;"",Q295&lt;&gt;""),"","입력누락"))</f>
      </c>
    </row>
    <row r="296" customFormat="false" ht="15" hidden="false" customHeight="false" outlineLevel="0" collapsed="false">
      <c r="A296" t="n" s="19">
        <f aca="0">IF(COUNTA(B296:J296)=0,"",ROW()-1)</f>
      </c>
      <c r="B296" s="24"/>
      <c r="C296" s="25"/>
      <c r="D296" s="8"/>
      <c r="E296" s="8"/>
      <c r="F296" s="26"/>
      <c r="G296" s="24"/>
      <c r="H296" s="25"/>
      <c r="I296" s="25"/>
      <c r="J296" s="26"/>
      <c r="K296" t="str" s="15">
        <f aca="0">IF(COUNTA(B296:J296)=0,"",IF(R296&lt;&gt;"","확인필요(입력누락)",IF(COUNTIFS(보유목록!$I$2:$I$3001,"*"&amp;P296&amp;"*",보유목록!$I$2:$I$3001,"*"&amp;Q296&amp;"*",보유목록!$H$2:$H$3001,O296)&gt;0,"있음",IF(COUNTIFS(보유목록!$I$2:$I$3001,"*"&amp;P296&amp;"*",보유목록!$I$2:$I$3001,"*"&amp;Q296&amp;"*")&gt;0,"확인필요(연도다름)",IF(COUNTIFS(보유목록!$I$2:$I$3001,"*"&amp;P296&amp;"*",보유목록!$H$2:$H$3001,O296)&gt;0,"확인필요(같은학교·같은연도)","없음")))))</f>
      </c>
      <c r="L296" t="str" s="16">
        <f aca="0">IF(OR(COUNTA(B296:J296)=0,R296&lt;&gt;""),"",COUNTIFS(보유목록!$I$2:$I$3001,"*"&amp;P296&amp;"*",보유목록!$I$2:$I$3001,"*"&amp;Q296&amp;"*"))</f>
      </c>
      <c r="M296" t="str" s="23">
        <f aca="0">IF(OR(COUNTA(B296:J296)=0,R296&lt;&gt;""),"",IFERROR(LOOKUP(2,1/(ISNUMBER(SEARCH(P296,보유목록!$I$2:$I$3001))*ISNUMBER(SEARCH(Q296,보유목록!$I$2:$I$3001))*(보유목록!$H$2:$H$3001=O296)),보유목록!$B$2:$B$3001),IFERROR(LOOKUP(2,1/(ISNUMBER(SEARCH(P296,보유목록!$I$2:$I$3001))*ISNUMBER(SEARCH(Q296,보유목록!$I$2:$I$3001))),보유목록!$B$2:$B$3001),"")))</f>
      </c>
      <c r="N296" s="25"/>
      <c r="O296" t="str">
        <f>IFERROR(IF(AND(LEN(SUBSTITUTE(SUBSTITUTE(SUBSTITUTE(TRIM(C296&amp;""),CHAR(160),"")," ",""),"년",""))=4,VALUE(SUBSTITUTE(SUBSTITUTE(SUBSTITUTE(TRIM(C296&amp;""),CHAR(160),"")," ",""),"년",""))&gt;=1900,VALUE(SUBSTITUTE(SUBSTITUTE(SUBSTITUTE(TRIM(C296&amp;""),CHAR(160),"")," ",""),"년",""))&lt;=2099,TEXT(VALUE(SUBSTITUTE(SUBSTITUTE(SUBSTITUTE(TRIM(C296&amp;""),CHAR(160),"")," ",""),"년","")),"0000")=SUBSTITUTE(SUBSTITUTE(SUBSTITUTE(TRIM(C296&amp;""),CHAR(160),"")," ",""),"년","")),SUBSTITUTE(SUBSTITUTE(SUBSTITUTE(TRIM(C296&amp;""),CHAR(160),"")," ",""),"년",""),""),"")</f>
      </c>
      <c r="P296" t="str">
        <f>SUBSTITUTE(SUBSTITUTE(SUBSTITUTE(SUBSTITUTE(SUBSTITUTE(SUBSTITUTE(SUBSTITUTE(SUBSTITUTE(TRIM(D296&amp;""),CHAR(160),"")," ",""),"초등학교","초"),"중학교","중"),"고등학교","고"),"~","~~"),"*","~*"),"?","~?")</f>
      </c>
      <c r="Q296" t="str">
        <f>SUBSTITUTE(SUBSTITUTE(SUBSTITUTE(SUBSTITUTE(SUBSTITUTE(SUBSTITUTE(SUBSTITUTE(SUBSTITUTE(TRIM(E296&amp;""),CHAR(160),"")," ",""),"초등학교","초"),"중학교","중"),"고등학교","고"),"~","~~"),"*","~*"),"?","~?")</f>
      </c>
      <c r="R296" t="str">
        <f>IF(COUNTA(B296:J296)=0,"",IF(AND(O296&lt;&gt;"",P296&lt;&gt;"",Q296&lt;&gt;""),"","입력누락"))</f>
      </c>
    </row>
    <row r="297" customFormat="false" ht="15" hidden="false" customHeight="false" outlineLevel="0" collapsed="false">
      <c r="A297" t="n" s="19">
        <f aca="0">IF(COUNTA(B297:J297)=0,"",ROW()-1)</f>
      </c>
      <c r="B297" s="24"/>
      <c r="C297" s="25"/>
      <c r="D297" s="8"/>
      <c r="E297" s="8"/>
      <c r="F297" s="26"/>
      <c r="G297" s="24"/>
      <c r="H297" s="25"/>
      <c r="I297" s="25"/>
      <c r="J297" s="26"/>
      <c r="K297" t="str" s="15">
        <f aca="0">IF(COUNTA(B297:J297)=0,"",IF(R297&lt;&gt;"","확인필요(입력누락)",IF(COUNTIFS(보유목록!$I$2:$I$3001,"*"&amp;P297&amp;"*",보유목록!$I$2:$I$3001,"*"&amp;Q297&amp;"*",보유목록!$H$2:$H$3001,O297)&gt;0,"있음",IF(COUNTIFS(보유목록!$I$2:$I$3001,"*"&amp;P297&amp;"*",보유목록!$I$2:$I$3001,"*"&amp;Q297&amp;"*")&gt;0,"확인필요(연도다름)",IF(COUNTIFS(보유목록!$I$2:$I$3001,"*"&amp;P297&amp;"*",보유목록!$H$2:$H$3001,O297)&gt;0,"확인필요(같은학교·같은연도)","없음")))))</f>
      </c>
      <c r="L297" t="str" s="16">
        <f aca="0">IF(OR(COUNTA(B297:J297)=0,R297&lt;&gt;""),"",COUNTIFS(보유목록!$I$2:$I$3001,"*"&amp;P297&amp;"*",보유목록!$I$2:$I$3001,"*"&amp;Q297&amp;"*"))</f>
      </c>
      <c r="M297" t="str" s="23">
        <f aca="0">IF(OR(COUNTA(B297:J297)=0,R297&lt;&gt;""),"",IFERROR(LOOKUP(2,1/(ISNUMBER(SEARCH(P297,보유목록!$I$2:$I$3001))*ISNUMBER(SEARCH(Q297,보유목록!$I$2:$I$3001))*(보유목록!$H$2:$H$3001=O297)),보유목록!$B$2:$B$3001),IFERROR(LOOKUP(2,1/(ISNUMBER(SEARCH(P297,보유목록!$I$2:$I$3001))*ISNUMBER(SEARCH(Q297,보유목록!$I$2:$I$3001))),보유목록!$B$2:$B$3001),"")))</f>
      </c>
      <c r="N297" s="25"/>
      <c r="O297" t="str">
        <f>IFERROR(IF(AND(LEN(SUBSTITUTE(SUBSTITUTE(SUBSTITUTE(TRIM(C297&amp;""),CHAR(160),"")," ",""),"년",""))=4,VALUE(SUBSTITUTE(SUBSTITUTE(SUBSTITUTE(TRIM(C297&amp;""),CHAR(160),"")," ",""),"년",""))&gt;=1900,VALUE(SUBSTITUTE(SUBSTITUTE(SUBSTITUTE(TRIM(C297&amp;""),CHAR(160),"")," ",""),"년",""))&lt;=2099,TEXT(VALUE(SUBSTITUTE(SUBSTITUTE(SUBSTITUTE(TRIM(C297&amp;""),CHAR(160),"")," ",""),"년","")),"0000")=SUBSTITUTE(SUBSTITUTE(SUBSTITUTE(TRIM(C297&amp;""),CHAR(160),"")," ",""),"년","")),SUBSTITUTE(SUBSTITUTE(SUBSTITUTE(TRIM(C297&amp;""),CHAR(160),"")," ",""),"년",""),""),"")</f>
      </c>
      <c r="P297" t="str">
        <f>SUBSTITUTE(SUBSTITUTE(SUBSTITUTE(SUBSTITUTE(SUBSTITUTE(SUBSTITUTE(SUBSTITUTE(SUBSTITUTE(TRIM(D297&amp;""),CHAR(160),"")," ",""),"초등학교","초"),"중학교","중"),"고등학교","고"),"~","~~"),"*","~*"),"?","~?")</f>
      </c>
      <c r="Q297" t="str">
        <f>SUBSTITUTE(SUBSTITUTE(SUBSTITUTE(SUBSTITUTE(SUBSTITUTE(SUBSTITUTE(SUBSTITUTE(SUBSTITUTE(TRIM(E297&amp;""),CHAR(160),"")," ",""),"초등학교","초"),"중학교","중"),"고등학교","고"),"~","~~"),"*","~*"),"?","~?")</f>
      </c>
      <c r="R297" t="str">
        <f>IF(COUNTA(B297:J297)=0,"",IF(AND(O297&lt;&gt;"",P297&lt;&gt;"",Q297&lt;&gt;""),"","입력누락"))</f>
      </c>
    </row>
    <row r="298" customFormat="false" ht="15" hidden="false" customHeight="false" outlineLevel="0" collapsed="false">
      <c r="A298" t="n" s="19">
        <f aca="0">IF(COUNTA(B298:J298)=0,"",ROW()-1)</f>
      </c>
      <c r="B298" s="24"/>
      <c r="C298" s="25"/>
      <c r="D298" s="8"/>
      <c r="E298" s="8"/>
      <c r="F298" s="26"/>
      <c r="G298" s="24"/>
      <c r="H298" s="25"/>
      <c r="I298" s="25"/>
      <c r="J298" s="26"/>
      <c r="K298" t="str" s="15">
        <f aca="0">IF(COUNTA(B298:J298)=0,"",IF(R298&lt;&gt;"","확인필요(입력누락)",IF(COUNTIFS(보유목록!$I$2:$I$3001,"*"&amp;P298&amp;"*",보유목록!$I$2:$I$3001,"*"&amp;Q298&amp;"*",보유목록!$H$2:$H$3001,O298)&gt;0,"있음",IF(COUNTIFS(보유목록!$I$2:$I$3001,"*"&amp;P298&amp;"*",보유목록!$I$2:$I$3001,"*"&amp;Q298&amp;"*")&gt;0,"확인필요(연도다름)",IF(COUNTIFS(보유목록!$I$2:$I$3001,"*"&amp;P298&amp;"*",보유목록!$H$2:$H$3001,O298)&gt;0,"확인필요(같은학교·같은연도)","없음")))))</f>
      </c>
      <c r="L298" t="str" s="16">
        <f aca="0">IF(OR(COUNTA(B298:J298)=0,R298&lt;&gt;""),"",COUNTIFS(보유목록!$I$2:$I$3001,"*"&amp;P298&amp;"*",보유목록!$I$2:$I$3001,"*"&amp;Q298&amp;"*"))</f>
      </c>
      <c r="M298" t="str" s="23">
        <f aca="0">IF(OR(COUNTA(B298:J298)=0,R298&lt;&gt;""),"",IFERROR(LOOKUP(2,1/(ISNUMBER(SEARCH(P298,보유목록!$I$2:$I$3001))*ISNUMBER(SEARCH(Q298,보유목록!$I$2:$I$3001))*(보유목록!$H$2:$H$3001=O298)),보유목록!$B$2:$B$3001),IFERROR(LOOKUP(2,1/(ISNUMBER(SEARCH(P298,보유목록!$I$2:$I$3001))*ISNUMBER(SEARCH(Q298,보유목록!$I$2:$I$3001))),보유목록!$B$2:$B$3001),"")))</f>
      </c>
      <c r="N298" s="25"/>
      <c r="O298" t="str">
        <f>IFERROR(IF(AND(LEN(SUBSTITUTE(SUBSTITUTE(SUBSTITUTE(TRIM(C298&amp;""),CHAR(160),"")," ",""),"년",""))=4,VALUE(SUBSTITUTE(SUBSTITUTE(SUBSTITUTE(TRIM(C298&amp;""),CHAR(160),"")," ",""),"년",""))&gt;=1900,VALUE(SUBSTITUTE(SUBSTITUTE(SUBSTITUTE(TRIM(C298&amp;""),CHAR(160),"")," ",""),"년",""))&lt;=2099,TEXT(VALUE(SUBSTITUTE(SUBSTITUTE(SUBSTITUTE(TRIM(C298&amp;""),CHAR(160),"")," ",""),"년","")),"0000")=SUBSTITUTE(SUBSTITUTE(SUBSTITUTE(TRIM(C298&amp;""),CHAR(160),"")," ",""),"년","")),SUBSTITUTE(SUBSTITUTE(SUBSTITUTE(TRIM(C298&amp;""),CHAR(160),"")," ",""),"년",""),""),"")</f>
      </c>
      <c r="P298" t="str">
        <f>SUBSTITUTE(SUBSTITUTE(SUBSTITUTE(SUBSTITUTE(SUBSTITUTE(SUBSTITUTE(SUBSTITUTE(SUBSTITUTE(TRIM(D298&amp;""),CHAR(160),"")," ",""),"초등학교","초"),"중학교","중"),"고등학교","고"),"~","~~"),"*","~*"),"?","~?")</f>
      </c>
      <c r="Q298" t="str">
        <f>SUBSTITUTE(SUBSTITUTE(SUBSTITUTE(SUBSTITUTE(SUBSTITUTE(SUBSTITUTE(SUBSTITUTE(SUBSTITUTE(TRIM(E298&amp;""),CHAR(160),"")," ",""),"초등학교","초"),"중학교","중"),"고등학교","고"),"~","~~"),"*","~*"),"?","~?")</f>
      </c>
      <c r="R298" t="str">
        <f>IF(COUNTA(B298:J298)=0,"",IF(AND(O298&lt;&gt;"",P298&lt;&gt;"",Q298&lt;&gt;""),"","입력누락"))</f>
      </c>
    </row>
    <row r="299" customFormat="false" ht="15" hidden="false" customHeight="false" outlineLevel="0" collapsed="false">
      <c r="A299" t="n" s="19">
        <f aca="0">IF(COUNTA(B299:J299)=0,"",ROW()-1)</f>
      </c>
      <c r="B299" s="24"/>
      <c r="C299" s="25"/>
      <c r="D299" s="8"/>
      <c r="E299" s="8"/>
      <c r="F299" s="26"/>
      <c r="G299" s="24"/>
      <c r="H299" s="25"/>
      <c r="I299" s="25"/>
      <c r="J299" s="26"/>
      <c r="K299" t="str" s="15">
        <f aca="0">IF(COUNTA(B299:J299)=0,"",IF(R299&lt;&gt;"","확인필요(입력누락)",IF(COUNTIFS(보유목록!$I$2:$I$3001,"*"&amp;P299&amp;"*",보유목록!$I$2:$I$3001,"*"&amp;Q299&amp;"*",보유목록!$H$2:$H$3001,O299)&gt;0,"있음",IF(COUNTIFS(보유목록!$I$2:$I$3001,"*"&amp;P299&amp;"*",보유목록!$I$2:$I$3001,"*"&amp;Q299&amp;"*")&gt;0,"확인필요(연도다름)",IF(COUNTIFS(보유목록!$I$2:$I$3001,"*"&amp;P299&amp;"*",보유목록!$H$2:$H$3001,O299)&gt;0,"확인필요(같은학교·같은연도)","없음")))))</f>
      </c>
      <c r="L299" t="str" s="16">
        <f aca="0">IF(OR(COUNTA(B299:J299)=0,R299&lt;&gt;""),"",COUNTIFS(보유목록!$I$2:$I$3001,"*"&amp;P299&amp;"*",보유목록!$I$2:$I$3001,"*"&amp;Q299&amp;"*"))</f>
      </c>
      <c r="M299" t="str" s="23">
        <f aca="0">IF(OR(COUNTA(B299:J299)=0,R299&lt;&gt;""),"",IFERROR(LOOKUP(2,1/(ISNUMBER(SEARCH(P299,보유목록!$I$2:$I$3001))*ISNUMBER(SEARCH(Q299,보유목록!$I$2:$I$3001))*(보유목록!$H$2:$H$3001=O299)),보유목록!$B$2:$B$3001),IFERROR(LOOKUP(2,1/(ISNUMBER(SEARCH(P299,보유목록!$I$2:$I$3001))*ISNUMBER(SEARCH(Q299,보유목록!$I$2:$I$3001))),보유목록!$B$2:$B$3001),"")))</f>
      </c>
      <c r="N299" s="25"/>
      <c r="O299" t="str">
        <f>IFERROR(IF(AND(LEN(SUBSTITUTE(SUBSTITUTE(SUBSTITUTE(TRIM(C299&amp;""),CHAR(160),"")," ",""),"년",""))=4,VALUE(SUBSTITUTE(SUBSTITUTE(SUBSTITUTE(TRIM(C299&amp;""),CHAR(160),"")," ",""),"년",""))&gt;=1900,VALUE(SUBSTITUTE(SUBSTITUTE(SUBSTITUTE(TRIM(C299&amp;""),CHAR(160),"")," ",""),"년",""))&lt;=2099,TEXT(VALUE(SUBSTITUTE(SUBSTITUTE(SUBSTITUTE(TRIM(C299&amp;""),CHAR(160),"")," ",""),"년","")),"0000")=SUBSTITUTE(SUBSTITUTE(SUBSTITUTE(TRIM(C299&amp;""),CHAR(160),"")," ",""),"년","")),SUBSTITUTE(SUBSTITUTE(SUBSTITUTE(TRIM(C299&amp;""),CHAR(160),"")," ",""),"년",""),""),"")</f>
      </c>
      <c r="P299" t="str">
        <f>SUBSTITUTE(SUBSTITUTE(SUBSTITUTE(SUBSTITUTE(SUBSTITUTE(SUBSTITUTE(SUBSTITUTE(SUBSTITUTE(TRIM(D299&amp;""),CHAR(160),"")," ",""),"초등학교","초"),"중학교","중"),"고등학교","고"),"~","~~"),"*","~*"),"?","~?")</f>
      </c>
      <c r="Q299" t="str">
        <f>SUBSTITUTE(SUBSTITUTE(SUBSTITUTE(SUBSTITUTE(SUBSTITUTE(SUBSTITUTE(SUBSTITUTE(SUBSTITUTE(TRIM(E299&amp;""),CHAR(160),"")," ",""),"초등학교","초"),"중학교","중"),"고등학교","고"),"~","~~"),"*","~*"),"?","~?")</f>
      </c>
      <c r="R299" t="str">
        <f>IF(COUNTA(B299:J299)=0,"",IF(AND(O299&lt;&gt;"",P299&lt;&gt;"",Q299&lt;&gt;""),"","입력누락"))</f>
      </c>
    </row>
    <row r="300" customFormat="false" ht="15" hidden="false" customHeight="false" outlineLevel="0" collapsed="false">
      <c r="A300" t="n" s="19">
        <f aca="0">IF(COUNTA(B300:J300)=0,"",ROW()-1)</f>
      </c>
      <c r="B300" s="24"/>
      <c r="C300" s="25"/>
      <c r="D300" s="8"/>
      <c r="E300" s="8"/>
      <c r="F300" s="26"/>
      <c r="G300" s="24"/>
      <c r="H300" s="25"/>
      <c r="I300" s="25"/>
      <c r="J300" s="26"/>
      <c r="K300" t="str" s="15">
        <f aca="0">IF(COUNTA(B300:J300)=0,"",IF(R300&lt;&gt;"","확인필요(입력누락)",IF(COUNTIFS(보유목록!$I$2:$I$3001,"*"&amp;P300&amp;"*",보유목록!$I$2:$I$3001,"*"&amp;Q300&amp;"*",보유목록!$H$2:$H$3001,O300)&gt;0,"있음",IF(COUNTIFS(보유목록!$I$2:$I$3001,"*"&amp;P300&amp;"*",보유목록!$I$2:$I$3001,"*"&amp;Q300&amp;"*")&gt;0,"확인필요(연도다름)",IF(COUNTIFS(보유목록!$I$2:$I$3001,"*"&amp;P300&amp;"*",보유목록!$H$2:$H$3001,O300)&gt;0,"확인필요(같은학교·같은연도)","없음")))))</f>
      </c>
      <c r="L300" t="str" s="16">
        <f aca="0">IF(OR(COUNTA(B300:J300)=0,R300&lt;&gt;""),"",COUNTIFS(보유목록!$I$2:$I$3001,"*"&amp;P300&amp;"*",보유목록!$I$2:$I$3001,"*"&amp;Q300&amp;"*"))</f>
      </c>
      <c r="M300" t="str" s="23">
        <f aca="0">IF(OR(COUNTA(B300:J300)=0,R300&lt;&gt;""),"",IFERROR(LOOKUP(2,1/(ISNUMBER(SEARCH(P300,보유목록!$I$2:$I$3001))*ISNUMBER(SEARCH(Q300,보유목록!$I$2:$I$3001))*(보유목록!$H$2:$H$3001=O300)),보유목록!$B$2:$B$3001),IFERROR(LOOKUP(2,1/(ISNUMBER(SEARCH(P300,보유목록!$I$2:$I$3001))*ISNUMBER(SEARCH(Q300,보유목록!$I$2:$I$3001))),보유목록!$B$2:$B$3001),"")))</f>
      </c>
      <c r="N300" s="25"/>
      <c r="O300" t="str">
        <f>IFERROR(IF(AND(LEN(SUBSTITUTE(SUBSTITUTE(SUBSTITUTE(TRIM(C300&amp;""),CHAR(160),"")," ",""),"년",""))=4,VALUE(SUBSTITUTE(SUBSTITUTE(SUBSTITUTE(TRIM(C300&amp;""),CHAR(160),"")," ",""),"년",""))&gt;=1900,VALUE(SUBSTITUTE(SUBSTITUTE(SUBSTITUTE(TRIM(C300&amp;""),CHAR(160),"")," ",""),"년",""))&lt;=2099,TEXT(VALUE(SUBSTITUTE(SUBSTITUTE(SUBSTITUTE(TRIM(C300&amp;""),CHAR(160),"")," ",""),"년","")),"0000")=SUBSTITUTE(SUBSTITUTE(SUBSTITUTE(TRIM(C300&amp;""),CHAR(160),"")," ",""),"년","")),SUBSTITUTE(SUBSTITUTE(SUBSTITUTE(TRIM(C300&amp;""),CHAR(160),"")," ",""),"년",""),""),"")</f>
      </c>
      <c r="P300" t="str">
        <f>SUBSTITUTE(SUBSTITUTE(SUBSTITUTE(SUBSTITUTE(SUBSTITUTE(SUBSTITUTE(SUBSTITUTE(SUBSTITUTE(TRIM(D300&amp;""),CHAR(160),"")," ",""),"초등학교","초"),"중학교","중"),"고등학교","고"),"~","~~"),"*","~*"),"?","~?")</f>
      </c>
      <c r="Q300" t="str">
        <f>SUBSTITUTE(SUBSTITUTE(SUBSTITUTE(SUBSTITUTE(SUBSTITUTE(SUBSTITUTE(SUBSTITUTE(SUBSTITUTE(TRIM(E300&amp;""),CHAR(160),"")," ",""),"초등학교","초"),"중학교","중"),"고등학교","고"),"~","~~"),"*","~*"),"?","~?")</f>
      </c>
      <c r="R300" t="str">
        <f>IF(COUNTA(B300:J300)=0,"",IF(AND(O300&lt;&gt;"",P300&lt;&gt;"",Q300&lt;&gt;""),"","입력누락"))</f>
      </c>
    </row>
    <row r="301" customFormat="false" ht="15" hidden="false" customHeight="false" outlineLevel="0" collapsed="false">
      <c r="A301" t="n" s="19">
        <f aca="0">IF(COUNTA(B301:J301)=0,"",ROW()-1)</f>
      </c>
      <c r="B301" s="24"/>
      <c r="C301" s="25"/>
      <c r="D301" s="8"/>
      <c r="E301" s="8"/>
      <c r="F301" s="26"/>
      <c r="G301" s="24"/>
      <c r="H301" s="25"/>
      <c r="I301" s="25"/>
      <c r="J301" s="26"/>
      <c r="K301" t="str" s="15">
        <f aca="0">IF(COUNTA(B301:J301)=0,"",IF(R301&lt;&gt;"","확인필요(입력누락)",IF(COUNTIFS(보유목록!$I$2:$I$3001,"*"&amp;P301&amp;"*",보유목록!$I$2:$I$3001,"*"&amp;Q301&amp;"*",보유목록!$H$2:$H$3001,O301)&gt;0,"있음",IF(COUNTIFS(보유목록!$I$2:$I$3001,"*"&amp;P301&amp;"*",보유목록!$I$2:$I$3001,"*"&amp;Q301&amp;"*")&gt;0,"확인필요(연도다름)",IF(COUNTIFS(보유목록!$I$2:$I$3001,"*"&amp;P301&amp;"*",보유목록!$H$2:$H$3001,O301)&gt;0,"확인필요(같은학교·같은연도)","없음")))))</f>
      </c>
      <c r="L301" t="str" s="16">
        <f aca="0">IF(OR(COUNTA(B301:J301)=0,R301&lt;&gt;""),"",COUNTIFS(보유목록!$I$2:$I$3001,"*"&amp;P301&amp;"*",보유목록!$I$2:$I$3001,"*"&amp;Q301&amp;"*"))</f>
      </c>
      <c r="M301" t="str" s="23">
        <f aca="0">IF(OR(COUNTA(B301:J301)=0,R301&lt;&gt;""),"",IFERROR(LOOKUP(2,1/(ISNUMBER(SEARCH(P301,보유목록!$I$2:$I$3001))*ISNUMBER(SEARCH(Q301,보유목록!$I$2:$I$3001))*(보유목록!$H$2:$H$3001=O301)),보유목록!$B$2:$B$3001),IFERROR(LOOKUP(2,1/(ISNUMBER(SEARCH(P301,보유목록!$I$2:$I$3001))*ISNUMBER(SEARCH(Q301,보유목록!$I$2:$I$3001))),보유목록!$B$2:$B$3001),"")))</f>
      </c>
      <c r="N301" s="25"/>
      <c r="O301" t="str">
        <f>IFERROR(IF(AND(LEN(SUBSTITUTE(SUBSTITUTE(SUBSTITUTE(TRIM(C301&amp;""),CHAR(160),"")," ",""),"년",""))=4,VALUE(SUBSTITUTE(SUBSTITUTE(SUBSTITUTE(TRIM(C301&amp;""),CHAR(160),"")," ",""),"년",""))&gt;=1900,VALUE(SUBSTITUTE(SUBSTITUTE(SUBSTITUTE(TRIM(C301&amp;""),CHAR(160),"")," ",""),"년",""))&lt;=2099,TEXT(VALUE(SUBSTITUTE(SUBSTITUTE(SUBSTITUTE(TRIM(C301&amp;""),CHAR(160),"")," ",""),"년","")),"0000")=SUBSTITUTE(SUBSTITUTE(SUBSTITUTE(TRIM(C301&amp;""),CHAR(160),"")," ",""),"년","")),SUBSTITUTE(SUBSTITUTE(SUBSTITUTE(TRIM(C301&amp;""),CHAR(160),"")," ",""),"년",""),""),"")</f>
      </c>
      <c r="P301" t="str">
        <f>SUBSTITUTE(SUBSTITUTE(SUBSTITUTE(SUBSTITUTE(SUBSTITUTE(SUBSTITUTE(SUBSTITUTE(SUBSTITUTE(TRIM(D301&amp;""),CHAR(160),"")," ",""),"초등학교","초"),"중학교","중"),"고등학교","고"),"~","~~"),"*","~*"),"?","~?")</f>
      </c>
      <c r="Q301" t="str">
        <f>SUBSTITUTE(SUBSTITUTE(SUBSTITUTE(SUBSTITUTE(SUBSTITUTE(SUBSTITUTE(SUBSTITUTE(SUBSTITUTE(TRIM(E301&amp;""),CHAR(160),"")," ",""),"초등학교","초"),"중학교","중"),"고등학교","고"),"~","~~"),"*","~*"),"?","~?")</f>
      </c>
      <c r="R301" t="str">
        <f>IF(COUNTA(B301:J301)=0,"",IF(AND(O301&lt;&gt;"",P301&lt;&gt;"",Q301&lt;&gt;""),"","입력누락"))</f>
      </c>
    </row>
    <row r="302" customFormat="false" ht="15" hidden="false" customHeight="false" outlineLevel="0" collapsed="false">
      <c r="A302" t="n" s="19">
        <f aca="0">IF(COUNTA(B302:J302)=0,"",ROW()-1)</f>
      </c>
      <c r="B302" s="24"/>
      <c r="C302" s="25"/>
      <c r="D302" s="8"/>
      <c r="E302" s="8"/>
      <c r="F302" s="26"/>
      <c r="G302" s="24"/>
      <c r="H302" s="25"/>
      <c r="I302" s="25"/>
      <c r="J302" s="26"/>
      <c r="K302" t="str" s="15">
        <f aca="0">IF(COUNTA(B302:J302)=0,"",IF(R302&lt;&gt;"","확인필요(입력누락)",IF(COUNTIFS(보유목록!$I$2:$I$3001,"*"&amp;P302&amp;"*",보유목록!$I$2:$I$3001,"*"&amp;Q302&amp;"*",보유목록!$H$2:$H$3001,O302)&gt;0,"있음",IF(COUNTIFS(보유목록!$I$2:$I$3001,"*"&amp;P302&amp;"*",보유목록!$I$2:$I$3001,"*"&amp;Q302&amp;"*")&gt;0,"확인필요(연도다름)",IF(COUNTIFS(보유목록!$I$2:$I$3001,"*"&amp;P302&amp;"*",보유목록!$H$2:$H$3001,O302)&gt;0,"확인필요(같은학교·같은연도)","없음")))))</f>
      </c>
      <c r="L302" t="str" s="16">
        <f aca="0">IF(OR(COUNTA(B302:J302)=0,R302&lt;&gt;""),"",COUNTIFS(보유목록!$I$2:$I$3001,"*"&amp;P302&amp;"*",보유목록!$I$2:$I$3001,"*"&amp;Q302&amp;"*"))</f>
      </c>
      <c r="M302" t="str" s="23">
        <f aca="0">IF(OR(COUNTA(B302:J302)=0,R302&lt;&gt;""),"",IFERROR(LOOKUP(2,1/(ISNUMBER(SEARCH(P302,보유목록!$I$2:$I$3001))*ISNUMBER(SEARCH(Q302,보유목록!$I$2:$I$3001))*(보유목록!$H$2:$H$3001=O302)),보유목록!$B$2:$B$3001),IFERROR(LOOKUP(2,1/(ISNUMBER(SEARCH(P302,보유목록!$I$2:$I$3001))*ISNUMBER(SEARCH(Q302,보유목록!$I$2:$I$3001))),보유목록!$B$2:$B$3001),"")))</f>
      </c>
      <c r="N302" s="25"/>
      <c r="O302" t="str">
        <f>IFERROR(IF(AND(LEN(SUBSTITUTE(SUBSTITUTE(SUBSTITUTE(TRIM(C302&amp;""),CHAR(160),"")," ",""),"년",""))=4,VALUE(SUBSTITUTE(SUBSTITUTE(SUBSTITUTE(TRIM(C302&amp;""),CHAR(160),"")," ",""),"년",""))&gt;=1900,VALUE(SUBSTITUTE(SUBSTITUTE(SUBSTITUTE(TRIM(C302&amp;""),CHAR(160),"")," ",""),"년",""))&lt;=2099,TEXT(VALUE(SUBSTITUTE(SUBSTITUTE(SUBSTITUTE(TRIM(C302&amp;""),CHAR(160),"")," ",""),"년","")),"0000")=SUBSTITUTE(SUBSTITUTE(SUBSTITUTE(TRIM(C302&amp;""),CHAR(160),"")," ",""),"년","")),SUBSTITUTE(SUBSTITUTE(SUBSTITUTE(TRIM(C302&amp;""),CHAR(160),"")," ",""),"년",""),""),"")</f>
      </c>
      <c r="P302" t="str">
        <f>SUBSTITUTE(SUBSTITUTE(SUBSTITUTE(SUBSTITUTE(SUBSTITUTE(SUBSTITUTE(SUBSTITUTE(SUBSTITUTE(TRIM(D302&amp;""),CHAR(160),"")," ",""),"초등학교","초"),"중학교","중"),"고등학교","고"),"~","~~"),"*","~*"),"?","~?")</f>
      </c>
      <c r="Q302" t="str">
        <f>SUBSTITUTE(SUBSTITUTE(SUBSTITUTE(SUBSTITUTE(SUBSTITUTE(SUBSTITUTE(SUBSTITUTE(SUBSTITUTE(TRIM(E302&amp;""),CHAR(160),"")," ",""),"초등학교","초"),"중학교","중"),"고등학교","고"),"~","~~"),"*","~*"),"?","~?")</f>
      </c>
      <c r="R302" t="str">
        <f>IF(COUNTA(B302:J302)=0,"",IF(AND(O302&lt;&gt;"",P302&lt;&gt;"",Q302&lt;&gt;""),"","입력누락"))</f>
      </c>
    </row>
    <row r="303" customFormat="false" ht="15" hidden="false" customHeight="false" outlineLevel="0" collapsed="false">
      <c r="A303" t="n" s="19">
        <f aca="0">IF(COUNTA(B303:J303)=0,"",ROW()-1)</f>
      </c>
      <c r="B303" s="24"/>
      <c r="C303" s="25"/>
      <c r="D303" s="8"/>
      <c r="E303" s="8"/>
      <c r="F303" s="26"/>
      <c r="G303" s="24"/>
      <c r="H303" s="25"/>
      <c r="I303" s="25"/>
      <c r="J303" s="26"/>
      <c r="K303" t="str" s="15">
        <f aca="0">IF(COUNTA(B303:J303)=0,"",IF(R303&lt;&gt;"","확인필요(입력누락)",IF(COUNTIFS(보유목록!$I$2:$I$3001,"*"&amp;P303&amp;"*",보유목록!$I$2:$I$3001,"*"&amp;Q303&amp;"*",보유목록!$H$2:$H$3001,O303)&gt;0,"있음",IF(COUNTIFS(보유목록!$I$2:$I$3001,"*"&amp;P303&amp;"*",보유목록!$I$2:$I$3001,"*"&amp;Q303&amp;"*")&gt;0,"확인필요(연도다름)",IF(COUNTIFS(보유목록!$I$2:$I$3001,"*"&amp;P303&amp;"*",보유목록!$H$2:$H$3001,O303)&gt;0,"확인필요(같은학교·같은연도)","없음")))))</f>
      </c>
      <c r="L303" t="str" s="16">
        <f aca="0">IF(OR(COUNTA(B303:J303)=0,R303&lt;&gt;""),"",COUNTIFS(보유목록!$I$2:$I$3001,"*"&amp;P303&amp;"*",보유목록!$I$2:$I$3001,"*"&amp;Q303&amp;"*"))</f>
      </c>
      <c r="M303" t="str" s="23">
        <f aca="0">IF(OR(COUNTA(B303:J303)=0,R303&lt;&gt;""),"",IFERROR(LOOKUP(2,1/(ISNUMBER(SEARCH(P303,보유목록!$I$2:$I$3001))*ISNUMBER(SEARCH(Q303,보유목록!$I$2:$I$3001))*(보유목록!$H$2:$H$3001=O303)),보유목록!$B$2:$B$3001),IFERROR(LOOKUP(2,1/(ISNUMBER(SEARCH(P303,보유목록!$I$2:$I$3001))*ISNUMBER(SEARCH(Q303,보유목록!$I$2:$I$3001))),보유목록!$B$2:$B$3001),"")))</f>
      </c>
      <c r="N303" s="25"/>
      <c r="O303" t="str">
        <f>IFERROR(IF(AND(LEN(SUBSTITUTE(SUBSTITUTE(SUBSTITUTE(TRIM(C303&amp;""),CHAR(160),"")," ",""),"년",""))=4,VALUE(SUBSTITUTE(SUBSTITUTE(SUBSTITUTE(TRIM(C303&amp;""),CHAR(160),"")," ",""),"년",""))&gt;=1900,VALUE(SUBSTITUTE(SUBSTITUTE(SUBSTITUTE(TRIM(C303&amp;""),CHAR(160),"")," ",""),"년",""))&lt;=2099,TEXT(VALUE(SUBSTITUTE(SUBSTITUTE(SUBSTITUTE(TRIM(C303&amp;""),CHAR(160),"")," ",""),"년","")),"0000")=SUBSTITUTE(SUBSTITUTE(SUBSTITUTE(TRIM(C303&amp;""),CHAR(160),"")," ",""),"년","")),SUBSTITUTE(SUBSTITUTE(SUBSTITUTE(TRIM(C303&amp;""),CHAR(160),"")," ",""),"년",""),""),"")</f>
      </c>
      <c r="P303" t="str">
        <f>SUBSTITUTE(SUBSTITUTE(SUBSTITUTE(SUBSTITUTE(SUBSTITUTE(SUBSTITUTE(SUBSTITUTE(SUBSTITUTE(TRIM(D303&amp;""),CHAR(160),"")," ",""),"초등학교","초"),"중학교","중"),"고등학교","고"),"~","~~"),"*","~*"),"?","~?")</f>
      </c>
      <c r="Q303" t="str">
        <f>SUBSTITUTE(SUBSTITUTE(SUBSTITUTE(SUBSTITUTE(SUBSTITUTE(SUBSTITUTE(SUBSTITUTE(SUBSTITUTE(TRIM(E303&amp;""),CHAR(160),"")," ",""),"초등학교","초"),"중학교","중"),"고등학교","고"),"~","~~"),"*","~*"),"?","~?")</f>
      </c>
      <c r="R303" t="str">
        <f>IF(COUNTA(B303:J303)=0,"",IF(AND(O303&lt;&gt;"",P303&lt;&gt;"",Q303&lt;&gt;""),"","입력누락"))</f>
      </c>
    </row>
    <row r="304" customFormat="false" ht="15" hidden="false" customHeight="false" outlineLevel="0" collapsed="false">
      <c r="A304" t="n" s="19">
        <f aca="0">IF(COUNTA(B304:J304)=0,"",ROW()-1)</f>
      </c>
      <c r="B304" s="24"/>
      <c r="C304" s="25"/>
      <c r="D304" s="8"/>
      <c r="E304" s="8"/>
      <c r="F304" s="26"/>
      <c r="G304" s="24"/>
      <c r="H304" s="25"/>
      <c r="I304" s="25"/>
      <c r="J304" s="26"/>
      <c r="K304" t="str" s="15">
        <f aca="0">IF(COUNTA(B304:J304)=0,"",IF(R304&lt;&gt;"","확인필요(입력누락)",IF(COUNTIFS(보유목록!$I$2:$I$3001,"*"&amp;P304&amp;"*",보유목록!$I$2:$I$3001,"*"&amp;Q304&amp;"*",보유목록!$H$2:$H$3001,O304)&gt;0,"있음",IF(COUNTIFS(보유목록!$I$2:$I$3001,"*"&amp;P304&amp;"*",보유목록!$I$2:$I$3001,"*"&amp;Q304&amp;"*")&gt;0,"확인필요(연도다름)",IF(COUNTIFS(보유목록!$I$2:$I$3001,"*"&amp;P304&amp;"*",보유목록!$H$2:$H$3001,O304)&gt;0,"확인필요(같은학교·같은연도)","없음")))))</f>
      </c>
      <c r="L304" t="str" s="16">
        <f aca="0">IF(OR(COUNTA(B304:J304)=0,R304&lt;&gt;""),"",COUNTIFS(보유목록!$I$2:$I$3001,"*"&amp;P304&amp;"*",보유목록!$I$2:$I$3001,"*"&amp;Q304&amp;"*"))</f>
      </c>
      <c r="M304" t="str" s="23">
        <f aca="0">IF(OR(COUNTA(B304:J304)=0,R304&lt;&gt;""),"",IFERROR(LOOKUP(2,1/(ISNUMBER(SEARCH(P304,보유목록!$I$2:$I$3001))*ISNUMBER(SEARCH(Q304,보유목록!$I$2:$I$3001))*(보유목록!$H$2:$H$3001=O304)),보유목록!$B$2:$B$3001),IFERROR(LOOKUP(2,1/(ISNUMBER(SEARCH(P304,보유목록!$I$2:$I$3001))*ISNUMBER(SEARCH(Q304,보유목록!$I$2:$I$3001))),보유목록!$B$2:$B$3001),"")))</f>
      </c>
      <c r="N304" s="25"/>
      <c r="O304" t="str">
        <f>IFERROR(IF(AND(LEN(SUBSTITUTE(SUBSTITUTE(SUBSTITUTE(TRIM(C304&amp;""),CHAR(160),"")," ",""),"년",""))=4,VALUE(SUBSTITUTE(SUBSTITUTE(SUBSTITUTE(TRIM(C304&amp;""),CHAR(160),"")," ",""),"년",""))&gt;=1900,VALUE(SUBSTITUTE(SUBSTITUTE(SUBSTITUTE(TRIM(C304&amp;""),CHAR(160),"")," ",""),"년",""))&lt;=2099,TEXT(VALUE(SUBSTITUTE(SUBSTITUTE(SUBSTITUTE(TRIM(C304&amp;""),CHAR(160),"")," ",""),"년","")),"0000")=SUBSTITUTE(SUBSTITUTE(SUBSTITUTE(TRIM(C304&amp;""),CHAR(160),"")," ",""),"년","")),SUBSTITUTE(SUBSTITUTE(SUBSTITUTE(TRIM(C304&amp;""),CHAR(160),"")," ",""),"년",""),""),"")</f>
      </c>
      <c r="P304" t="str">
        <f>SUBSTITUTE(SUBSTITUTE(SUBSTITUTE(SUBSTITUTE(SUBSTITUTE(SUBSTITUTE(SUBSTITUTE(SUBSTITUTE(TRIM(D304&amp;""),CHAR(160),"")," ",""),"초등학교","초"),"중학교","중"),"고등학교","고"),"~","~~"),"*","~*"),"?","~?")</f>
      </c>
      <c r="Q304" t="str">
        <f>SUBSTITUTE(SUBSTITUTE(SUBSTITUTE(SUBSTITUTE(SUBSTITUTE(SUBSTITUTE(SUBSTITUTE(SUBSTITUTE(TRIM(E304&amp;""),CHAR(160),"")," ",""),"초등학교","초"),"중학교","중"),"고등학교","고"),"~","~~"),"*","~*"),"?","~?")</f>
      </c>
      <c r="R304" t="str">
        <f>IF(COUNTA(B304:J304)=0,"",IF(AND(O304&lt;&gt;"",P304&lt;&gt;"",Q304&lt;&gt;""),"","입력누락"))</f>
      </c>
    </row>
    <row r="305" customFormat="false" ht="15" hidden="false" customHeight="false" outlineLevel="0" collapsed="false">
      <c r="A305" t="n" s="19">
        <f aca="0">IF(COUNTA(B305:J305)=0,"",ROW()-1)</f>
      </c>
      <c r="B305" s="24"/>
      <c r="C305" s="25"/>
      <c r="D305" s="8"/>
      <c r="E305" s="8"/>
      <c r="F305" s="26"/>
      <c r="G305" s="24"/>
      <c r="H305" s="25"/>
      <c r="I305" s="25"/>
      <c r="J305" s="26"/>
      <c r="K305" t="str" s="15">
        <f aca="0">IF(COUNTA(B305:J305)=0,"",IF(R305&lt;&gt;"","확인필요(입력누락)",IF(COUNTIFS(보유목록!$I$2:$I$3001,"*"&amp;P305&amp;"*",보유목록!$I$2:$I$3001,"*"&amp;Q305&amp;"*",보유목록!$H$2:$H$3001,O305)&gt;0,"있음",IF(COUNTIFS(보유목록!$I$2:$I$3001,"*"&amp;P305&amp;"*",보유목록!$I$2:$I$3001,"*"&amp;Q305&amp;"*")&gt;0,"확인필요(연도다름)",IF(COUNTIFS(보유목록!$I$2:$I$3001,"*"&amp;P305&amp;"*",보유목록!$H$2:$H$3001,O305)&gt;0,"확인필요(같은학교·같은연도)","없음")))))</f>
      </c>
      <c r="L305" t="str" s="16">
        <f aca="0">IF(OR(COUNTA(B305:J305)=0,R305&lt;&gt;""),"",COUNTIFS(보유목록!$I$2:$I$3001,"*"&amp;P305&amp;"*",보유목록!$I$2:$I$3001,"*"&amp;Q305&amp;"*"))</f>
      </c>
      <c r="M305" t="str" s="23">
        <f aca="0">IF(OR(COUNTA(B305:J305)=0,R305&lt;&gt;""),"",IFERROR(LOOKUP(2,1/(ISNUMBER(SEARCH(P305,보유목록!$I$2:$I$3001))*ISNUMBER(SEARCH(Q305,보유목록!$I$2:$I$3001))*(보유목록!$H$2:$H$3001=O305)),보유목록!$B$2:$B$3001),IFERROR(LOOKUP(2,1/(ISNUMBER(SEARCH(P305,보유목록!$I$2:$I$3001))*ISNUMBER(SEARCH(Q305,보유목록!$I$2:$I$3001))),보유목록!$B$2:$B$3001),"")))</f>
      </c>
      <c r="N305" s="25"/>
      <c r="O305" t="str">
        <f>IFERROR(IF(AND(LEN(SUBSTITUTE(SUBSTITUTE(SUBSTITUTE(TRIM(C305&amp;""),CHAR(160),"")," ",""),"년",""))=4,VALUE(SUBSTITUTE(SUBSTITUTE(SUBSTITUTE(TRIM(C305&amp;""),CHAR(160),"")," ",""),"년",""))&gt;=1900,VALUE(SUBSTITUTE(SUBSTITUTE(SUBSTITUTE(TRIM(C305&amp;""),CHAR(160),"")," ",""),"년",""))&lt;=2099,TEXT(VALUE(SUBSTITUTE(SUBSTITUTE(SUBSTITUTE(TRIM(C305&amp;""),CHAR(160),"")," ",""),"년","")),"0000")=SUBSTITUTE(SUBSTITUTE(SUBSTITUTE(TRIM(C305&amp;""),CHAR(160),"")," ",""),"년","")),SUBSTITUTE(SUBSTITUTE(SUBSTITUTE(TRIM(C305&amp;""),CHAR(160),"")," ",""),"년",""),""),"")</f>
      </c>
      <c r="P305" t="str">
        <f>SUBSTITUTE(SUBSTITUTE(SUBSTITUTE(SUBSTITUTE(SUBSTITUTE(SUBSTITUTE(SUBSTITUTE(SUBSTITUTE(TRIM(D305&amp;""),CHAR(160),"")," ",""),"초등학교","초"),"중학교","중"),"고등학교","고"),"~","~~"),"*","~*"),"?","~?")</f>
      </c>
      <c r="Q305" t="str">
        <f>SUBSTITUTE(SUBSTITUTE(SUBSTITUTE(SUBSTITUTE(SUBSTITUTE(SUBSTITUTE(SUBSTITUTE(SUBSTITUTE(TRIM(E305&amp;""),CHAR(160),"")," ",""),"초등학교","초"),"중학교","중"),"고등학교","고"),"~","~~"),"*","~*"),"?","~?")</f>
      </c>
      <c r="R305" t="str">
        <f>IF(COUNTA(B305:J305)=0,"",IF(AND(O305&lt;&gt;"",P305&lt;&gt;"",Q305&lt;&gt;""),"","입력누락"))</f>
      </c>
    </row>
    <row r="306" customFormat="false" ht="15" hidden="false" customHeight="false" outlineLevel="0" collapsed="false">
      <c r="A306" t="n" s="19">
        <f aca="0">IF(COUNTA(B306:J306)=0,"",ROW()-1)</f>
      </c>
      <c r="B306" s="24"/>
      <c r="C306" s="25"/>
      <c r="D306" s="8"/>
      <c r="E306" s="8"/>
      <c r="F306" s="26"/>
      <c r="G306" s="24"/>
      <c r="H306" s="25"/>
      <c r="I306" s="25"/>
      <c r="J306" s="26"/>
      <c r="K306" t="str" s="15">
        <f aca="0">IF(COUNTA(B306:J306)=0,"",IF(R306&lt;&gt;"","확인필요(입력누락)",IF(COUNTIFS(보유목록!$I$2:$I$3001,"*"&amp;P306&amp;"*",보유목록!$I$2:$I$3001,"*"&amp;Q306&amp;"*",보유목록!$H$2:$H$3001,O306)&gt;0,"있음",IF(COUNTIFS(보유목록!$I$2:$I$3001,"*"&amp;P306&amp;"*",보유목록!$I$2:$I$3001,"*"&amp;Q306&amp;"*")&gt;0,"확인필요(연도다름)",IF(COUNTIFS(보유목록!$I$2:$I$3001,"*"&amp;P306&amp;"*",보유목록!$H$2:$H$3001,O306)&gt;0,"확인필요(같은학교·같은연도)","없음")))))</f>
      </c>
      <c r="L306" t="str" s="16">
        <f aca="0">IF(OR(COUNTA(B306:J306)=0,R306&lt;&gt;""),"",COUNTIFS(보유목록!$I$2:$I$3001,"*"&amp;P306&amp;"*",보유목록!$I$2:$I$3001,"*"&amp;Q306&amp;"*"))</f>
      </c>
      <c r="M306" t="str" s="23">
        <f aca="0">IF(OR(COUNTA(B306:J306)=0,R306&lt;&gt;""),"",IFERROR(LOOKUP(2,1/(ISNUMBER(SEARCH(P306,보유목록!$I$2:$I$3001))*ISNUMBER(SEARCH(Q306,보유목록!$I$2:$I$3001))*(보유목록!$H$2:$H$3001=O306)),보유목록!$B$2:$B$3001),IFERROR(LOOKUP(2,1/(ISNUMBER(SEARCH(P306,보유목록!$I$2:$I$3001))*ISNUMBER(SEARCH(Q306,보유목록!$I$2:$I$3001))),보유목록!$B$2:$B$3001),"")))</f>
      </c>
      <c r="N306" s="25"/>
      <c r="O306" t="str">
        <f>IFERROR(IF(AND(LEN(SUBSTITUTE(SUBSTITUTE(SUBSTITUTE(TRIM(C306&amp;""),CHAR(160),"")," ",""),"년",""))=4,VALUE(SUBSTITUTE(SUBSTITUTE(SUBSTITUTE(TRIM(C306&amp;""),CHAR(160),"")," ",""),"년",""))&gt;=1900,VALUE(SUBSTITUTE(SUBSTITUTE(SUBSTITUTE(TRIM(C306&amp;""),CHAR(160),"")," ",""),"년",""))&lt;=2099,TEXT(VALUE(SUBSTITUTE(SUBSTITUTE(SUBSTITUTE(TRIM(C306&amp;""),CHAR(160),"")," ",""),"년","")),"0000")=SUBSTITUTE(SUBSTITUTE(SUBSTITUTE(TRIM(C306&amp;""),CHAR(160),"")," ",""),"년","")),SUBSTITUTE(SUBSTITUTE(SUBSTITUTE(TRIM(C306&amp;""),CHAR(160),"")," ",""),"년",""),""),"")</f>
      </c>
      <c r="P306" t="str">
        <f>SUBSTITUTE(SUBSTITUTE(SUBSTITUTE(SUBSTITUTE(SUBSTITUTE(SUBSTITUTE(SUBSTITUTE(SUBSTITUTE(TRIM(D306&amp;""),CHAR(160),"")," ",""),"초등학교","초"),"중학교","중"),"고등학교","고"),"~","~~"),"*","~*"),"?","~?")</f>
      </c>
      <c r="Q306" t="str">
        <f>SUBSTITUTE(SUBSTITUTE(SUBSTITUTE(SUBSTITUTE(SUBSTITUTE(SUBSTITUTE(SUBSTITUTE(SUBSTITUTE(TRIM(E306&amp;""),CHAR(160),"")," ",""),"초등학교","초"),"중학교","중"),"고등학교","고"),"~","~~"),"*","~*"),"?","~?")</f>
      </c>
      <c r="R306" t="str">
        <f>IF(COUNTA(B306:J306)=0,"",IF(AND(O306&lt;&gt;"",P306&lt;&gt;"",Q306&lt;&gt;""),"","입력누락"))</f>
      </c>
    </row>
    <row r="307" customFormat="false" ht="15" hidden="false" customHeight="false" outlineLevel="0" collapsed="false">
      <c r="A307" t="n" s="19">
        <f aca="0">IF(COUNTA(B307:J307)=0,"",ROW()-1)</f>
      </c>
      <c r="B307" s="24"/>
      <c r="C307" s="25"/>
      <c r="D307" s="8"/>
      <c r="E307" s="8"/>
      <c r="F307" s="26"/>
      <c r="G307" s="24"/>
      <c r="H307" s="25"/>
      <c r="I307" s="25"/>
      <c r="J307" s="26"/>
      <c r="K307" t="str" s="15">
        <f aca="0">IF(COUNTA(B307:J307)=0,"",IF(R307&lt;&gt;"","확인필요(입력누락)",IF(COUNTIFS(보유목록!$I$2:$I$3001,"*"&amp;P307&amp;"*",보유목록!$I$2:$I$3001,"*"&amp;Q307&amp;"*",보유목록!$H$2:$H$3001,O307)&gt;0,"있음",IF(COUNTIFS(보유목록!$I$2:$I$3001,"*"&amp;P307&amp;"*",보유목록!$I$2:$I$3001,"*"&amp;Q307&amp;"*")&gt;0,"확인필요(연도다름)",IF(COUNTIFS(보유목록!$I$2:$I$3001,"*"&amp;P307&amp;"*",보유목록!$H$2:$H$3001,O307)&gt;0,"확인필요(같은학교·같은연도)","없음")))))</f>
      </c>
      <c r="L307" t="str" s="16">
        <f aca="0">IF(OR(COUNTA(B307:J307)=0,R307&lt;&gt;""),"",COUNTIFS(보유목록!$I$2:$I$3001,"*"&amp;P307&amp;"*",보유목록!$I$2:$I$3001,"*"&amp;Q307&amp;"*"))</f>
      </c>
      <c r="M307" t="str" s="23">
        <f aca="0">IF(OR(COUNTA(B307:J307)=0,R307&lt;&gt;""),"",IFERROR(LOOKUP(2,1/(ISNUMBER(SEARCH(P307,보유목록!$I$2:$I$3001))*ISNUMBER(SEARCH(Q307,보유목록!$I$2:$I$3001))*(보유목록!$H$2:$H$3001=O307)),보유목록!$B$2:$B$3001),IFERROR(LOOKUP(2,1/(ISNUMBER(SEARCH(P307,보유목록!$I$2:$I$3001))*ISNUMBER(SEARCH(Q307,보유목록!$I$2:$I$3001))),보유목록!$B$2:$B$3001),"")))</f>
      </c>
      <c r="N307" s="25"/>
      <c r="O307" t="str">
        <f>IFERROR(IF(AND(LEN(SUBSTITUTE(SUBSTITUTE(SUBSTITUTE(TRIM(C307&amp;""),CHAR(160),"")," ",""),"년",""))=4,VALUE(SUBSTITUTE(SUBSTITUTE(SUBSTITUTE(TRIM(C307&amp;""),CHAR(160),"")," ",""),"년",""))&gt;=1900,VALUE(SUBSTITUTE(SUBSTITUTE(SUBSTITUTE(TRIM(C307&amp;""),CHAR(160),"")," ",""),"년",""))&lt;=2099,TEXT(VALUE(SUBSTITUTE(SUBSTITUTE(SUBSTITUTE(TRIM(C307&amp;""),CHAR(160),"")," ",""),"년","")),"0000")=SUBSTITUTE(SUBSTITUTE(SUBSTITUTE(TRIM(C307&amp;""),CHAR(160),"")," ",""),"년","")),SUBSTITUTE(SUBSTITUTE(SUBSTITUTE(TRIM(C307&amp;""),CHAR(160),"")," ",""),"년",""),""),"")</f>
      </c>
      <c r="P307" t="str">
        <f>SUBSTITUTE(SUBSTITUTE(SUBSTITUTE(SUBSTITUTE(SUBSTITUTE(SUBSTITUTE(SUBSTITUTE(SUBSTITUTE(TRIM(D307&amp;""),CHAR(160),"")," ",""),"초등학교","초"),"중학교","중"),"고등학교","고"),"~","~~"),"*","~*"),"?","~?")</f>
      </c>
      <c r="Q307" t="str">
        <f>SUBSTITUTE(SUBSTITUTE(SUBSTITUTE(SUBSTITUTE(SUBSTITUTE(SUBSTITUTE(SUBSTITUTE(SUBSTITUTE(TRIM(E307&amp;""),CHAR(160),"")," ",""),"초등학교","초"),"중학교","중"),"고등학교","고"),"~","~~"),"*","~*"),"?","~?")</f>
      </c>
      <c r="R307" t="str">
        <f>IF(COUNTA(B307:J307)=0,"",IF(AND(O307&lt;&gt;"",P307&lt;&gt;"",Q307&lt;&gt;""),"","입력누락"))</f>
      </c>
    </row>
    <row r="308" customFormat="false" ht="15" hidden="false" customHeight="false" outlineLevel="0" collapsed="false">
      <c r="A308" t="n" s="19">
        <f aca="0">IF(COUNTA(B308:J308)=0,"",ROW()-1)</f>
      </c>
      <c r="B308" s="24"/>
      <c r="C308" s="25"/>
      <c r="D308" s="8"/>
      <c r="E308" s="8"/>
      <c r="F308" s="26"/>
      <c r="G308" s="24"/>
      <c r="H308" s="25"/>
      <c r="I308" s="25"/>
      <c r="J308" s="26"/>
      <c r="K308" t="str" s="15">
        <f aca="0">IF(COUNTA(B308:J308)=0,"",IF(R308&lt;&gt;"","확인필요(입력누락)",IF(COUNTIFS(보유목록!$I$2:$I$3001,"*"&amp;P308&amp;"*",보유목록!$I$2:$I$3001,"*"&amp;Q308&amp;"*",보유목록!$H$2:$H$3001,O308)&gt;0,"있음",IF(COUNTIFS(보유목록!$I$2:$I$3001,"*"&amp;P308&amp;"*",보유목록!$I$2:$I$3001,"*"&amp;Q308&amp;"*")&gt;0,"확인필요(연도다름)",IF(COUNTIFS(보유목록!$I$2:$I$3001,"*"&amp;P308&amp;"*",보유목록!$H$2:$H$3001,O308)&gt;0,"확인필요(같은학교·같은연도)","없음")))))</f>
      </c>
      <c r="L308" t="str" s="16">
        <f aca="0">IF(OR(COUNTA(B308:J308)=0,R308&lt;&gt;""),"",COUNTIFS(보유목록!$I$2:$I$3001,"*"&amp;P308&amp;"*",보유목록!$I$2:$I$3001,"*"&amp;Q308&amp;"*"))</f>
      </c>
      <c r="M308" t="str" s="23">
        <f aca="0">IF(OR(COUNTA(B308:J308)=0,R308&lt;&gt;""),"",IFERROR(LOOKUP(2,1/(ISNUMBER(SEARCH(P308,보유목록!$I$2:$I$3001))*ISNUMBER(SEARCH(Q308,보유목록!$I$2:$I$3001))*(보유목록!$H$2:$H$3001=O308)),보유목록!$B$2:$B$3001),IFERROR(LOOKUP(2,1/(ISNUMBER(SEARCH(P308,보유목록!$I$2:$I$3001))*ISNUMBER(SEARCH(Q308,보유목록!$I$2:$I$3001))),보유목록!$B$2:$B$3001),"")))</f>
      </c>
      <c r="N308" s="25"/>
      <c r="O308" t="str">
        <f>IFERROR(IF(AND(LEN(SUBSTITUTE(SUBSTITUTE(SUBSTITUTE(TRIM(C308&amp;""),CHAR(160),"")," ",""),"년",""))=4,VALUE(SUBSTITUTE(SUBSTITUTE(SUBSTITUTE(TRIM(C308&amp;""),CHAR(160),"")," ",""),"년",""))&gt;=1900,VALUE(SUBSTITUTE(SUBSTITUTE(SUBSTITUTE(TRIM(C308&amp;""),CHAR(160),"")," ",""),"년",""))&lt;=2099,TEXT(VALUE(SUBSTITUTE(SUBSTITUTE(SUBSTITUTE(TRIM(C308&amp;""),CHAR(160),"")," ",""),"년","")),"0000")=SUBSTITUTE(SUBSTITUTE(SUBSTITUTE(TRIM(C308&amp;""),CHAR(160),"")," ",""),"년","")),SUBSTITUTE(SUBSTITUTE(SUBSTITUTE(TRIM(C308&amp;""),CHAR(160),"")," ",""),"년",""),""),"")</f>
      </c>
      <c r="P308" t="str">
        <f>SUBSTITUTE(SUBSTITUTE(SUBSTITUTE(SUBSTITUTE(SUBSTITUTE(SUBSTITUTE(SUBSTITUTE(SUBSTITUTE(TRIM(D308&amp;""),CHAR(160),"")," ",""),"초등학교","초"),"중학교","중"),"고등학교","고"),"~","~~"),"*","~*"),"?","~?")</f>
      </c>
      <c r="Q308" t="str">
        <f>SUBSTITUTE(SUBSTITUTE(SUBSTITUTE(SUBSTITUTE(SUBSTITUTE(SUBSTITUTE(SUBSTITUTE(SUBSTITUTE(TRIM(E308&amp;""),CHAR(160),"")," ",""),"초등학교","초"),"중학교","중"),"고등학교","고"),"~","~~"),"*","~*"),"?","~?")</f>
      </c>
      <c r="R308" t="str">
        <f>IF(COUNTA(B308:J308)=0,"",IF(AND(O308&lt;&gt;"",P308&lt;&gt;"",Q308&lt;&gt;""),"","입력누락"))</f>
      </c>
    </row>
    <row r="309" customFormat="false" ht="15" hidden="false" customHeight="false" outlineLevel="0" collapsed="false">
      <c r="A309" t="n" s="19">
        <f aca="0">IF(COUNTA(B309:J309)=0,"",ROW()-1)</f>
      </c>
      <c r="B309" s="24"/>
      <c r="C309" s="25"/>
      <c r="D309" s="8"/>
      <c r="E309" s="8"/>
      <c r="F309" s="26"/>
      <c r="G309" s="24"/>
      <c r="H309" s="25"/>
      <c r="I309" s="25"/>
      <c r="J309" s="26"/>
      <c r="K309" t="str" s="15">
        <f aca="0">IF(COUNTA(B309:J309)=0,"",IF(R309&lt;&gt;"","확인필요(입력누락)",IF(COUNTIFS(보유목록!$I$2:$I$3001,"*"&amp;P309&amp;"*",보유목록!$I$2:$I$3001,"*"&amp;Q309&amp;"*",보유목록!$H$2:$H$3001,O309)&gt;0,"있음",IF(COUNTIFS(보유목록!$I$2:$I$3001,"*"&amp;P309&amp;"*",보유목록!$I$2:$I$3001,"*"&amp;Q309&amp;"*")&gt;0,"확인필요(연도다름)",IF(COUNTIFS(보유목록!$I$2:$I$3001,"*"&amp;P309&amp;"*",보유목록!$H$2:$H$3001,O309)&gt;0,"확인필요(같은학교·같은연도)","없음")))))</f>
      </c>
      <c r="L309" t="str" s="16">
        <f aca="0">IF(OR(COUNTA(B309:J309)=0,R309&lt;&gt;""),"",COUNTIFS(보유목록!$I$2:$I$3001,"*"&amp;P309&amp;"*",보유목록!$I$2:$I$3001,"*"&amp;Q309&amp;"*"))</f>
      </c>
      <c r="M309" t="str" s="23">
        <f aca="0">IF(OR(COUNTA(B309:J309)=0,R309&lt;&gt;""),"",IFERROR(LOOKUP(2,1/(ISNUMBER(SEARCH(P309,보유목록!$I$2:$I$3001))*ISNUMBER(SEARCH(Q309,보유목록!$I$2:$I$3001))*(보유목록!$H$2:$H$3001=O309)),보유목록!$B$2:$B$3001),IFERROR(LOOKUP(2,1/(ISNUMBER(SEARCH(P309,보유목록!$I$2:$I$3001))*ISNUMBER(SEARCH(Q309,보유목록!$I$2:$I$3001))),보유목록!$B$2:$B$3001),"")))</f>
      </c>
      <c r="N309" s="25"/>
      <c r="O309" t="str">
        <f>IFERROR(IF(AND(LEN(SUBSTITUTE(SUBSTITUTE(SUBSTITUTE(TRIM(C309&amp;""),CHAR(160),"")," ",""),"년",""))=4,VALUE(SUBSTITUTE(SUBSTITUTE(SUBSTITUTE(TRIM(C309&amp;""),CHAR(160),"")," ",""),"년",""))&gt;=1900,VALUE(SUBSTITUTE(SUBSTITUTE(SUBSTITUTE(TRIM(C309&amp;""),CHAR(160),"")," ",""),"년",""))&lt;=2099,TEXT(VALUE(SUBSTITUTE(SUBSTITUTE(SUBSTITUTE(TRIM(C309&amp;""),CHAR(160),"")," ",""),"년","")),"0000")=SUBSTITUTE(SUBSTITUTE(SUBSTITUTE(TRIM(C309&amp;""),CHAR(160),"")," ",""),"년","")),SUBSTITUTE(SUBSTITUTE(SUBSTITUTE(TRIM(C309&amp;""),CHAR(160),"")," ",""),"년",""),""),"")</f>
      </c>
      <c r="P309" t="str">
        <f>SUBSTITUTE(SUBSTITUTE(SUBSTITUTE(SUBSTITUTE(SUBSTITUTE(SUBSTITUTE(SUBSTITUTE(SUBSTITUTE(TRIM(D309&amp;""),CHAR(160),"")," ",""),"초등학교","초"),"중학교","중"),"고등학교","고"),"~","~~"),"*","~*"),"?","~?")</f>
      </c>
      <c r="Q309" t="str">
        <f>SUBSTITUTE(SUBSTITUTE(SUBSTITUTE(SUBSTITUTE(SUBSTITUTE(SUBSTITUTE(SUBSTITUTE(SUBSTITUTE(TRIM(E309&amp;""),CHAR(160),"")," ",""),"초등학교","초"),"중학교","중"),"고등학교","고"),"~","~~"),"*","~*"),"?","~?")</f>
      </c>
      <c r="R309" t="str">
        <f>IF(COUNTA(B309:J309)=0,"",IF(AND(O309&lt;&gt;"",P309&lt;&gt;"",Q309&lt;&gt;""),"","입력누락"))</f>
      </c>
    </row>
    <row r="310" customFormat="false" ht="15" hidden="false" customHeight="false" outlineLevel="0" collapsed="false">
      <c r="A310" t="n" s="19">
        <f aca="0">IF(COUNTA(B310:J310)=0,"",ROW()-1)</f>
      </c>
      <c r="B310" s="24"/>
      <c r="C310" s="25"/>
      <c r="D310" s="8"/>
      <c r="E310" s="8"/>
      <c r="F310" s="26"/>
      <c r="G310" s="24"/>
      <c r="H310" s="25"/>
      <c r="I310" s="25"/>
      <c r="J310" s="26"/>
      <c r="K310" t="str" s="15">
        <f aca="0">IF(COUNTA(B310:J310)=0,"",IF(R310&lt;&gt;"","확인필요(입력누락)",IF(COUNTIFS(보유목록!$I$2:$I$3001,"*"&amp;P310&amp;"*",보유목록!$I$2:$I$3001,"*"&amp;Q310&amp;"*",보유목록!$H$2:$H$3001,O310)&gt;0,"있음",IF(COUNTIFS(보유목록!$I$2:$I$3001,"*"&amp;P310&amp;"*",보유목록!$I$2:$I$3001,"*"&amp;Q310&amp;"*")&gt;0,"확인필요(연도다름)",IF(COUNTIFS(보유목록!$I$2:$I$3001,"*"&amp;P310&amp;"*",보유목록!$H$2:$H$3001,O310)&gt;0,"확인필요(같은학교·같은연도)","없음")))))</f>
      </c>
      <c r="L310" t="str" s="16">
        <f aca="0">IF(OR(COUNTA(B310:J310)=0,R310&lt;&gt;""),"",COUNTIFS(보유목록!$I$2:$I$3001,"*"&amp;P310&amp;"*",보유목록!$I$2:$I$3001,"*"&amp;Q310&amp;"*"))</f>
      </c>
      <c r="M310" t="str" s="23">
        <f aca="0">IF(OR(COUNTA(B310:J310)=0,R310&lt;&gt;""),"",IFERROR(LOOKUP(2,1/(ISNUMBER(SEARCH(P310,보유목록!$I$2:$I$3001))*ISNUMBER(SEARCH(Q310,보유목록!$I$2:$I$3001))*(보유목록!$H$2:$H$3001=O310)),보유목록!$B$2:$B$3001),IFERROR(LOOKUP(2,1/(ISNUMBER(SEARCH(P310,보유목록!$I$2:$I$3001))*ISNUMBER(SEARCH(Q310,보유목록!$I$2:$I$3001))),보유목록!$B$2:$B$3001),"")))</f>
      </c>
      <c r="N310" s="25"/>
      <c r="O310" t="str">
        <f>IFERROR(IF(AND(LEN(SUBSTITUTE(SUBSTITUTE(SUBSTITUTE(TRIM(C310&amp;""),CHAR(160),"")," ",""),"년",""))=4,VALUE(SUBSTITUTE(SUBSTITUTE(SUBSTITUTE(TRIM(C310&amp;""),CHAR(160),"")," ",""),"년",""))&gt;=1900,VALUE(SUBSTITUTE(SUBSTITUTE(SUBSTITUTE(TRIM(C310&amp;""),CHAR(160),"")," ",""),"년",""))&lt;=2099,TEXT(VALUE(SUBSTITUTE(SUBSTITUTE(SUBSTITUTE(TRIM(C310&amp;""),CHAR(160),"")," ",""),"년","")),"0000")=SUBSTITUTE(SUBSTITUTE(SUBSTITUTE(TRIM(C310&amp;""),CHAR(160),"")," ",""),"년","")),SUBSTITUTE(SUBSTITUTE(SUBSTITUTE(TRIM(C310&amp;""),CHAR(160),"")," ",""),"년",""),""),"")</f>
      </c>
      <c r="P310" t="str">
        <f>SUBSTITUTE(SUBSTITUTE(SUBSTITUTE(SUBSTITUTE(SUBSTITUTE(SUBSTITUTE(SUBSTITUTE(SUBSTITUTE(TRIM(D310&amp;""),CHAR(160),"")," ",""),"초등학교","초"),"중학교","중"),"고등학교","고"),"~","~~"),"*","~*"),"?","~?")</f>
      </c>
      <c r="Q310" t="str">
        <f>SUBSTITUTE(SUBSTITUTE(SUBSTITUTE(SUBSTITUTE(SUBSTITUTE(SUBSTITUTE(SUBSTITUTE(SUBSTITUTE(TRIM(E310&amp;""),CHAR(160),"")," ",""),"초등학교","초"),"중학교","중"),"고등학교","고"),"~","~~"),"*","~*"),"?","~?")</f>
      </c>
      <c r="R310" t="str">
        <f>IF(COUNTA(B310:J310)=0,"",IF(AND(O310&lt;&gt;"",P310&lt;&gt;"",Q310&lt;&gt;""),"","입력누락"))</f>
      </c>
    </row>
    <row r="311" customFormat="false" ht="15" hidden="false" customHeight="false" outlineLevel="0" collapsed="false">
      <c r="A311" t="n" s="19">
        <f aca="0">IF(COUNTA(B311:J311)=0,"",ROW()-1)</f>
      </c>
      <c r="B311" s="24"/>
      <c r="C311" s="25"/>
      <c r="D311" s="8"/>
      <c r="E311" s="8"/>
      <c r="F311" s="26"/>
      <c r="G311" s="24"/>
      <c r="H311" s="25"/>
      <c r="I311" s="25"/>
      <c r="J311" s="26"/>
      <c r="K311" t="str" s="15">
        <f aca="0">IF(COUNTA(B311:J311)=0,"",IF(R311&lt;&gt;"","확인필요(입력누락)",IF(COUNTIFS(보유목록!$I$2:$I$3001,"*"&amp;P311&amp;"*",보유목록!$I$2:$I$3001,"*"&amp;Q311&amp;"*",보유목록!$H$2:$H$3001,O311)&gt;0,"있음",IF(COUNTIFS(보유목록!$I$2:$I$3001,"*"&amp;P311&amp;"*",보유목록!$I$2:$I$3001,"*"&amp;Q311&amp;"*")&gt;0,"확인필요(연도다름)",IF(COUNTIFS(보유목록!$I$2:$I$3001,"*"&amp;P311&amp;"*",보유목록!$H$2:$H$3001,O311)&gt;0,"확인필요(같은학교·같은연도)","없음")))))</f>
      </c>
      <c r="L311" t="str" s="16">
        <f aca="0">IF(OR(COUNTA(B311:J311)=0,R311&lt;&gt;""),"",COUNTIFS(보유목록!$I$2:$I$3001,"*"&amp;P311&amp;"*",보유목록!$I$2:$I$3001,"*"&amp;Q311&amp;"*"))</f>
      </c>
      <c r="M311" t="str" s="23">
        <f aca="0">IF(OR(COUNTA(B311:J311)=0,R311&lt;&gt;""),"",IFERROR(LOOKUP(2,1/(ISNUMBER(SEARCH(P311,보유목록!$I$2:$I$3001))*ISNUMBER(SEARCH(Q311,보유목록!$I$2:$I$3001))*(보유목록!$H$2:$H$3001=O311)),보유목록!$B$2:$B$3001),IFERROR(LOOKUP(2,1/(ISNUMBER(SEARCH(P311,보유목록!$I$2:$I$3001))*ISNUMBER(SEARCH(Q311,보유목록!$I$2:$I$3001))),보유목록!$B$2:$B$3001),"")))</f>
      </c>
      <c r="N311" s="25"/>
      <c r="O311" t="str">
        <f>IFERROR(IF(AND(LEN(SUBSTITUTE(SUBSTITUTE(SUBSTITUTE(TRIM(C311&amp;""),CHAR(160),"")," ",""),"년",""))=4,VALUE(SUBSTITUTE(SUBSTITUTE(SUBSTITUTE(TRIM(C311&amp;""),CHAR(160),"")," ",""),"년",""))&gt;=1900,VALUE(SUBSTITUTE(SUBSTITUTE(SUBSTITUTE(TRIM(C311&amp;""),CHAR(160),"")," ",""),"년",""))&lt;=2099,TEXT(VALUE(SUBSTITUTE(SUBSTITUTE(SUBSTITUTE(TRIM(C311&amp;""),CHAR(160),"")," ",""),"년","")),"0000")=SUBSTITUTE(SUBSTITUTE(SUBSTITUTE(TRIM(C311&amp;""),CHAR(160),"")," ",""),"년","")),SUBSTITUTE(SUBSTITUTE(SUBSTITUTE(TRIM(C311&amp;""),CHAR(160),"")," ",""),"년",""),""),"")</f>
      </c>
      <c r="P311" t="str">
        <f>SUBSTITUTE(SUBSTITUTE(SUBSTITUTE(SUBSTITUTE(SUBSTITUTE(SUBSTITUTE(SUBSTITUTE(SUBSTITUTE(TRIM(D311&amp;""),CHAR(160),"")," ",""),"초등학교","초"),"중학교","중"),"고등학교","고"),"~","~~"),"*","~*"),"?","~?")</f>
      </c>
      <c r="Q311" t="str">
        <f>SUBSTITUTE(SUBSTITUTE(SUBSTITUTE(SUBSTITUTE(SUBSTITUTE(SUBSTITUTE(SUBSTITUTE(SUBSTITUTE(TRIM(E311&amp;""),CHAR(160),"")," ",""),"초등학교","초"),"중학교","중"),"고등학교","고"),"~","~~"),"*","~*"),"?","~?")</f>
      </c>
      <c r="R311" t="str">
        <f>IF(COUNTA(B311:J311)=0,"",IF(AND(O311&lt;&gt;"",P311&lt;&gt;"",Q311&lt;&gt;""),"","입력누락"))</f>
      </c>
    </row>
    <row r="312" customFormat="false" ht="15" hidden="false" customHeight="false" outlineLevel="0" collapsed="false">
      <c r="A312" t="n" s="19">
        <f aca="0">IF(COUNTA(B312:J312)=0,"",ROW()-1)</f>
      </c>
      <c r="B312" s="24"/>
      <c r="C312" s="25"/>
      <c r="D312" s="8"/>
      <c r="E312" s="8"/>
      <c r="F312" s="26"/>
      <c r="G312" s="24"/>
      <c r="H312" s="25"/>
      <c r="I312" s="25"/>
      <c r="J312" s="26"/>
      <c r="K312" t="str" s="15">
        <f aca="0">IF(COUNTA(B312:J312)=0,"",IF(R312&lt;&gt;"","확인필요(입력누락)",IF(COUNTIFS(보유목록!$I$2:$I$3001,"*"&amp;P312&amp;"*",보유목록!$I$2:$I$3001,"*"&amp;Q312&amp;"*",보유목록!$H$2:$H$3001,O312)&gt;0,"있음",IF(COUNTIFS(보유목록!$I$2:$I$3001,"*"&amp;P312&amp;"*",보유목록!$I$2:$I$3001,"*"&amp;Q312&amp;"*")&gt;0,"확인필요(연도다름)",IF(COUNTIFS(보유목록!$I$2:$I$3001,"*"&amp;P312&amp;"*",보유목록!$H$2:$H$3001,O312)&gt;0,"확인필요(같은학교·같은연도)","없음")))))</f>
      </c>
      <c r="L312" t="str" s="16">
        <f aca="0">IF(OR(COUNTA(B312:J312)=0,R312&lt;&gt;""),"",COUNTIFS(보유목록!$I$2:$I$3001,"*"&amp;P312&amp;"*",보유목록!$I$2:$I$3001,"*"&amp;Q312&amp;"*"))</f>
      </c>
      <c r="M312" t="str" s="23">
        <f aca="0">IF(OR(COUNTA(B312:J312)=0,R312&lt;&gt;""),"",IFERROR(LOOKUP(2,1/(ISNUMBER(SEARCH(P312,보유목록!$I$2:$I$3001))*ISNUMBER(SEARCH(Q312,보유목록!$I$2:$I$3001))*(보유목록!$H$2:$H$3001=O312)),보유목록!$B$2:$B$3001),IFERROR(LOOKUP(2,1/(ISNUMBER(SEARCH(P312,보유목록!$I$2:$I$3001))*ISNUMBER(SEARCH(Q312,보유목록!$I$2:$I$3001))),보유목록!$B$2:$B$3001),"")))</f>
      </c>
      <c r="N312" s="25"/>
      <c r="O312" t="str">
        <f>IFERROR(IF(AND(LEN(SUBSTITUTE(SUBSTITUTE(SUBSTITUTE(TRIM(C312&amp;""),CHAR(160),"")," ",""),"년",""))=4,VALUE(SUBSTITUTE(SUBSTITUTE(SUBSTITUTE(TRIM(C312&amp;""),CHAR(160),"")," ",""),"년",""))&gt;=1900,VALUE(SUBSTITUTE(SUBSTITUTE(SUBSTITUTE(TRIM(C312&amp;""),CHAR(160),"")," ",""),"년",""))&lt;=2099,TEXT(VALUE(SUBSTITUTE(SUBSTITUTE(SUBSTITUTE(TRIM(C312&amp;""),CHAR(160),"")," ",""),"년","")),"0000")=SUBSTITUTE(SUBSTITUTE(SUBSTITUTE(TRIM(C312&amp;""),CHAR(160),"")," ",""),"년","")),SUBSTITUTE(SUBSTITUTE(SUBSTITUTE(TRIM(C312&amp;""),CHAR(160),"")," ",""),"년",""),""),"")</f>
      </c>
      <c r="P312" t="str">
        <f>SUBSTITUTE(SUBSTITUTE(SUBSTITUTE(SUBSTITUTE(SUBSTITUTE(SUBSTITUTE(SUBSTITUTE(SUBSTITUTE(TRIM(D312&amp;""),CHAR(160),"")," ",""),"초등학교","초"),"중학교","중"),"고등학교","고"),"~","~~"),"*","~*"),"?","~?")</f>
      </c>
      <c r="Q312" t="str">
        <f>SUBSTITUTE(SUBSTITUTE(SUBSTITUTE(SUBSTITUTE(SUBSTITUTE(SUBSTITUTE(SUBSTITUTE(SUBSTITUTE(TRIM(E312&amp;""),CHAR(160),"")," ",""),"초등학교","초"),"중학교","중"),"고등학교","고"),"~","~~"),"*","~*"),"?","~?")</f>
      </c>
      <c r="R312" t="str">
        <f>IF(COUNTA(B312:J312)=0,"",IF(AND(O312&lt;&gt;"",P312&lt;&gt;"",Q312&lt;&gt;""),"","입력누락"))</f>
      </c>
    </row>
    <row r="313" customFormat="false" ht="15" hidden="false" customHeight="false" outlineLevel="0" collapsed="false">
      <c r="A313" t="n" s="19">
        <f aca="0">IF(COUNTA(B313:J313)=0,"",ROW()-1)</f>
      </c>
      <c r="B313" s="24"/>
      <c r="C313" s="25"/>
      <c r="D313" s="8"/>
      <c r="E313" s="8"/>
      <c r="F313" s="26"/>
      <c r="G313" s="24"/>
      <c r="H313" s="25"/>
      <c r="I313" s="25"/>
      <c r="J313" s="26"/>
      <c r="K313" t="str" s="15">
        <f aca="0">IF(COUNTA(B313:J313)=0,"",IF(R313&lt;&gt;"","확인필요(입력누락)",IF(COUNTIFS(보유목록!$I$2:$I$3001,"*"&amp;P313&amp;"*",보유목록!$I$2:$I$3001,"*"&amp;Q313&amp;"*",보유목록!$H$2:$H$3001,O313)&gt;0,"있음",IF(COUNTIFS(보유목록!$I$2:$I$3001,"*"&amp;P313&amp;"*",보유목록!$I$2:$I$3001,"*"&amp;Q313&amp;"*")&gt;0,"확인필요(연도다름)",IF(COUNTIFS(보유목록!$I$2:$I$3001,"*"&amp;P313&amp;"*",보유목록!$H$2:$H$3001,O313)&gt;0,"확인필요(같은학교·같은연도)","없음")))))</f>
      </c>
      <c r="L313" t="str" s="16">
        <f aca="0">IF(OR(COUNTA(B313:J313)=0,R313&lt;&gt;""),"",COUNTIFS(보유목록!$I$2:$I$3001,"*"&amp;P313&amp;"*",보유목록!$I$2:$I$3001,"*"&amp;Q313&amp;"*"))</f>
      </c>
      <c r="M313" t="str" s="23">
        <f aca="0">IF(OR(COUNTA(B313:J313)=0,R313&lt;&gt;""),"",IFERROR(LOOKUP(2,1/(ISNUMBER(SEARCH(P313,보유목록!$I$2:$I$3001))*ISNUMBER(SEARCH(Q313,보유목록!$I$2:$I$3001))*(보유목록!$H$2:$H$3001=O313)),보유목록!$B$2:$B$3001),IFERROR(LOOKUP(2,1/(ISNUMBER(SEARCH(P313,보유목록!$I$2:$I$3001))*ISNUMBER(SEARCH(Q313,보유목록!$I$2:$I$3001))),보유목록!$B$2:$B$3001),"")))</f>
      </c>
      <c r="N313" s="25"/>
      <c r="O313" t="str">
        <f>IFERROR(IF(AND(LEN(SUBSTITUTE(SUBSTITUTE(SUBSTITUTE(TRIM(C313&amp;""),CHAR(160),"")," ",""),"년",""))=4,VALUE(SUBSTITUTE(SUBSTITUTE(SUBSTITUTE(TRIM(C313&amp;""),CHAR(160),"")," ",""),"년",""))&gt;=1900,VALUE(SUBSTITUTE(SUBSTITUTE(SUBSTITUTE(TRIM(C313&amp;""),CHAR(160),"")," ",""),"년",""))&lt;=2099,TEXT(VALUE(SUBSTITUTE(SUBSTITUTE(SUBSTITUTE(TRIM(C313&amp;""),CHAR(160),"")," ",""),"년","")),"0000")=SUBSTITUTE(SUBSTITUTE(SUBSTITUTE(TRIM(C313&amp;""),CHAR(160),"")," ",""),"년","")),SUBSTITUTE(SUBSTITUTE(SUBSTITUTE(TRIM(C313&amp;""),CHAR(160),"")," ",""),"년",""),""),"")</f>
      </c>
      <c r="P313" t="str">
        <f>SUBSTITUTE(SUBSTITUTE(SUBSTITUTE(SUBSTITUTE(SUBSTITUTE(SUBSTITUTE(SUBSTITUTE(SUBSTITUTE(TRIM(D313&amp;""),CHAR(160),"")," ",""),"초등학교","초"),"중학교","중"),"고등학교","고"),"~","~~"),"*","~*"),"?","~?")</f>
      </c>
      <c r="Q313" t="str">
        <f>SUBSTITUTE(SUBSTITUTE(SUBSTITUTE(SUBSTITUTE(SUBSTITUTE(SUBSTITUTE(SUBSTITUTE(SUBSTITUTE(TRIM(E313&amp;""),CHAR(160),"")," ",""),"초등학교","초"),"중학교","중"),"고등학교","고"),"~","~~"),"*","~*"),"?","~?")</f>
      </c>
      <c r="R313" t="str">
        <f>IF(COUNTA(B313:J313)=0,"",IF(AND(O313&lt;&gt;"",P313&lt;&gt;"",Q313&lt;&gt;""),"","입력누락"))</f>
      </c>
    </row>
    <row r="314" customFormat="false" ht="15" hidden="false" customHeight="false" outlineLevel="0" collapsed="false">
      <c r="A314" t="n" s="19">
        <f aca="0">IF(COUNTA(B314:J314)=0,"",ROW()-1)</f>
      </c>
      <c r="B314" s="24"/>
      <c r="C314" s="25"/>
      <c r="D314" s="8"/>
      <c r="E314" s="8"/>
      <c r="F314" s="26"/>
      <c r="G314" s="24"/>
      <c r="H314" s="25"/>
      <c r="I314" s="25"/>
      <c r="J314" s="26"/>
      <c r="K314" t="str" s="15">
        <f aca="0">IF(COUNTA(B314:J314)=0,"",IF(R314&lt;&gt;"","확인필요(입력누락)",IF(COUNTIFS(보유목록!$I$2:$I$3001,"*"&amp;P314&amp;"*",보유목록!$I$2:$I$3001,"*"&amp;Q314&amp;"*",보유목록!$H$2:$H$3001,O314)&gt;0,"있음",IF(COUNTIFS(보유목록!$I$2:$I$3001,"*"&amp;P314&amp;"*",보유목록!$I$2:$I$3001,"*"&amp;Q314&amp;"*")&gt;0,"확인필요(연도다름)",IF(COUNTIFS(보유목록!$I$2:$I$3001,"*"&amp;P314&amp;"*",보유목록!$H$2:$H$3001,O314)&gt;0,"확인필요(같은학교·같은연도)","없음")))))</f>
      </c>
      <c r="L314" t="str" s="16">
        <f aca="0">IF(OR(COUNTA(B314:J314)=0,R314&lt;&gt;""),"",COUNTIFS(보유목록!$I$2:$I$3001,"*"&amp;P314&amp;"*",보유목록!$I$2:$I$3001,"*"&amp;Q314&amp;"*"))</f>
      </c>
      <c r="M314" t="str" s="23">
        <f aca="0">IF(OR(COUNTA(B314:J314)=0,R314&lt;&gt;""),"",IFERROR(LOOKUP(2,1/(ISNUMBER(SEARCH(P314,보유목록!$I$2:$I$3001))*ISNUMBER(SEARCH(Q314,보유목록!$I$2:$I$3001))*(보유목록!$H$2:$H$3001=O314)),보유목록!$B$2:$B$3001),IFERROR(LOOKUP(2,1/(ISNUMBER(SEARCH(P314,보유목록!$I$2:$I$3001))*ISNUMBER(SEARCH(Q314,보유목록!$I$2:$I$3001))),보유목록!$B$2:$B$3001),"")))</f>
      </c>
      <c r="N314" s="25"/>
      <c r="O314" t="str">
        <f>IFERROR(IF(AND(LEN(SUBSTITUTE(SUBSTITUTE(SUBSTITUTE(TRIM(C314&amp;""),CHAR(160),"")," ",""),"년",""))=4,VALUE(SUBSTITUTE(SUBSTITUTE(SUBSTITUTE(TRIM(C314&amp;""),CHAR(160),"")," ",""),"년",""))&gt;=1900,VALUE(SUBSTITUTE(SUBSTITUTE(SUBSTITUTE(TRIM(C314&amp;""),CHAR(160),"")," ",""),"년",""))&lt;=2099,TEXT(VALUE(SUBSTITUTE(SUBSTITUTE(SUBSTITUTE(TRIM(C314&amp;""),CHAR(160),"")," ",""),"년","")),"0000")=SUBSTITUTE(SUBSTITUTE(SUBSTITUTE(TRIM(C314&amp;""),CHAR(160),"")," ",""),"년","")),SUBSTITUTE(SUBSTITUTE(SUBSTITUTE(TRIM(C314&amp;""),CHAR(160),"")," ",""),"년",""),""),"")</f>
      </c>
      <c r="P314" t="str">
        <f>SUBSTITUTE(SUBSTITUTE(SUBSTITUTE(SUBSTITUTE(SUBSTITUTE(SUBSTITUTE(SUBSTITUTE(SUBSTITUTE(TRIM(D314&amp;""),CHAR(160),"")," ",""),"초등학교","초"),"중학교","중"),"고등학교","고"),"~","~~"),"*","~*"),"?","~?")</f>
      </c>
      <c r="Q314" t="str">
        <f>SUBSTITUTE(SUBSTITUTE(SUBSTITUTE(SUBSTITUTE(SUBSTITUTE(SUBSTITUTE(SUBSTITUTE(SUBSTITUTE(TRIM(E314&amp;""),CHAR(160),"")," ",""),"초등학교","초"),"중학교","중"),"고등학교","고"),"~","~~"),"*","~*"),"?","~?")</f>
      </c>
      <c r="R314" t="str">
        <f>IF(COUNTA(B314:J314)=0,"",IF(AND(O314&lt;&gt;"",P314&lt;&gt;"",Q314&lt;&gt;""),"","입력누락"))</f>
      </c>
    </row>
    <row r="315" customFormat="false" ht="15" hidden="false" customHeight="false" outlineLevel="0" collapsed="false">
      <c r="A315" t="n" s="19">
        <f aca="0">IF(COUNTA(B315:J315)=0,"",ROW()-1)</f>
      </c>
      <c r="B315" s="24"/>
      <c r="C315" s="25"/>
      <c r="D315" s="8"/>
      <c r="E315" s="8"/>
      <c r="F315" s="26"/>
      <c r="G315" s="24"/>
      <c r="H315" s="25"/>
      <c r="I315" s="25"/>
      <c r="J315" s="26"/>
      <c r="K315" t="str" s="15">
        <f aca="0">IF(COUNTA(B315:J315)=0,"",IF(R315&lt;&gt;"","확인필요(입력누락)",IF(COUNTIFS(보유목록!$I$2:$I$3001,"*"&amp;P315&amp;"*",보유목록!$I$2:$I$3001,"*"&amp;Q315&amp;"*",보유목록!$H$2:$H$3001,O315)&gt;0,"있음",IF(COUNTIFS(보유목록!$I$2:$I$3001,"*"&amp;P315&amp;"*",보유목록!$I$2:$I$3001,"*"&amp;Q315&amp;"*")&gt;0,"확인필요(연도다름)",IF(COUNTIFS(보유목록!$I$2:$I$3001,"*"&amp;P315&amp;"*",보유목록!$H$2:$H$3001,O315)&gt;0,"확인필요(같은학교·같은연도)","없음")))))</f>
      </c>
      <c r="L315" t="str" s="16">
        <f aca="0">IF(OR(COUNTA(B315:J315)=0,R315&lt;&gt;""),"",COUNTIFS(보유목록!$I$2:$I$3001,"*"&amp;P315&amp;"*",보유목록!$I$2:$I$3001,"*"&amp;Q315&amp;"*"))</f>
      </c>
      <c r="M315" t="str" s="23">
        <f aca="0">IF(OR(COUNTA(B315:J315)=0,R315&lt;&gt;""),"",IFERROR(LOOKUP(2,1/(ISNUMBER(SEARCH(P315,보유목록!$I$2:$I$3001))*ISNUMBER(SEARCH(Q315,보유목록!$I$2:$I$3001))*(보유목록!$H$2:$H$3001=O315)),보유목록!$B$2:$B$3001),IFERROR(LOOKUP(2,1/(ISNUMBER(SEARCH(P315,보유목록!$I$2:$I$3001))*ISNUMBER(SEARCH(Q315,보유목록!$I$2:$I$3001))),보유목록!$B$2:$B$3001),"")))</f>
      </c>
      <c r="N315" s="25"/>
      <c r="O315" t="str">
        <f>IFERROR(IF(AND(LEN(SUBSTITUTE(SUBSTITUTE(SUBSTITUTE(TRIM(C315&amp;""),CHAR(160),"")," ",""),"년",""))=4,VALUE(SUBSTITUTE(SUBSTITUTE(SUBSTITUTE(TRIM(C315&amp;""),CHAR(160),"")," ",""),"년",""))&gt;=1900,VALUE(SUBSTITUTE(SUBSTITUTE(SUBSTITUTE(TRIM(C315&amp;""),CHAR(160),"")," ",""),"년",""))&lt;=2099,TEXT(VALUE(SUBSTITUTE(SUBSTITUTE(SUBSTITUTE(TRIM(C315&amp;""),CHAR(160),"")," ",""),"년","")),"0000")=SUBSTITUTE(SUBSTITUTE(SUBSTITUTE(TRIM(C315&amp;""),CHAR(160),"")," ",""),"년","")),SUBSTITUTE(SUBSTITUTE(SUBSTITUTE(TRIM(C315&amp;""),CHAR(160),"")," ",""),"년",""),""),"")</f>
      </c>
      <c r="P315" t="str">
        <f>SUBSTITUTE(SUBSTITUTE(SUBSTITUTE(SUBSTITUTE(SUBSTITUTE(SUBSTITUTE(SUBSTITUTE(SUBSTITUTE(TRIM(D315&amp;""),CHAR(160),"")," ",""),"초등학교","초"),"중학교","중"),"고등학교","고"),"~","~~"),"*","~*"),"?","~?")</f>
      </c>
      <c r="Q315" t="str">
        <f>SUBSTITUTE(SUBSTITUTE(SUBSTITUTE(SUBSTITUTE(SUBSTITUTE(SUBSTITUTE(SUBSTITUTE(SUBSTITUTE(TRIM(E315&amp;""),CHAR(160),"")," ",""),"초등학교","초"),"중학교","중"),"고등학교","고"),"~","~~"),"*","~*"),"?","~?")</f>
      </c>
      <c r="R315" t="str">
        <f>IF(COUNTA(B315:J315)=0,"",IF(AND(O315&lt;&gt;"",P315&lt;&gt;"",Q315&lt;&gt;""),"","입력누락"))</f>
      </c>
    </row>
    <row r="316" customFormat="false" ht="15" hidden="false" customHeight="false" outlineLevel="0" collapsed="false">
      <c r="A316" t="n" s="19">
        <f aca="0">IF(COUNTA(B316:J316)=0,"",ROW()-1)</f>
      </c>
      <c r="B316" s="24"/>
      <c r="C316" s="25"/>
      <c r="D316" s="8"/>
      <c r="E316" s="8"/>
      <c r="F316" s="26"/>
      <c r="G316" s="24"/>
      <c r="H316" s="25"/>
      <c r="I316" s="25"/>
      <c r="J316" s="26"/>
      <c r="K316" t="str" s="15">
        <f aca="0">IF(COUNTA(B316:J316)=0,"",IF(R316&lt;&gt;"","확인필요(입력누락)",IF(COUNTIFS(보유목록!$I$2:$I$3001,"*"&amp;P316&amp;"*",보유목록!$I$2:$I$3001,"*"&amp;Q316&amp;"*",보유목록!$H$2:$H$3001,O316)&gt;0,"있음",IF(COUNTIFS(보유목록!$I$2:$I$3001,"*"&amp;P316&amp;"*",보유목록!$I$2:$I$3001,"*"&amp;Q316&amp;"*")&gt;0,"확인필요(연도다름)",IF(COUNTIFS(보유목록!$I$2:$I$3001,"*"&amp;P316&amp;"*",보유목록!$H$2:$H$3001,O316)&gt;0,"확인필요(같은학교·같은연도)","없음")))))</f>
      </c>
      <c r="L316" t="str" s="16">
        <f aca="0">IF(OR(COUNTA(B316:J316)=0,R316&lt;&gt;""),"",COUNTIFS(보유목록!$I$2:$I$3001,"*"&amp;P316&amp;"*",보유목록!$I$2:$I$3001,"*"&amp;Q316&amp;"*"))</f>
      </c>
      <c r="M316" t="str" s="23">
        <f aca="0">IF(OR(COUNTA(B316:J316)=0,R316&lt;&gt;""),"",IFERROR(LOOKUP(2,1/(ISNUMBER(SEARCH(P316,보유목록!$I$2:$I$3001))*ISNUMBER(SEARCH(Q316,보유목록!$I$2:$I$3001))*(보유목록!$H$2:$H$3001=O316)),보유목록!$B$2:$B$3001),IFERROR(LOOKUP(2,1/(ISNUMBER(SEARCH(P316,보유목록!$I$2:$I$3001))*ISNUMBER(SEARCH(Q316,보유목록!$I$2:$I$3001))),보유목록!$B$2:$B$3001),"")))</f>
      </c>
      <c r="N316" s="25"/>
      <c r="O316" t="str">
        <f>IFERROR(IF(AND(LEN(SUBSTITUTE(SUBSTITUTE(SUBSTITUTE(TRIM(C316&amp;""),CHAR(160),"")," ",""),"년",""))=4,VALUE(SUBSTITUTE(SUBSTITUTE(SUBSTITUTE(TRIM(C316&amp;""),CHAR(160),"")," ",""),"년",""))&gt;=1900,VALUE(SUBSTITUTE(SUBSTITUTE(SUBSTITUTE(TRIM(C316&amp;""),CHAR(160),"")," ",""),"년",""))&lt;=2099,TEXT(VALUE(SUBSTITUTE(SUBSTITUTE(SUBSTITUTE(TRIM(C316&amp;""),CHAR(160),"")," ",""),"년","")),"0000")=SUBSTITUTE(SUBSTITUTE(SUBSTITUTE(TRIM(C316&amp;""),CHAR(160),"")," ",""),"년","")),SUBSTITUTE(SUBSTITUTE(SUBSTITUTE(TRIM(C316&amp;""),CHAR(160),"")," ",""),"년",""),""),"")</f>
      </c>
      <c r="P316" t="str">
        <f>SUBSTITUTE(SUBSTITUTE(SUBSTITUTE(SUBSTITUTE(SUBSTITUTE(SUBSTITUTE(SUBSTITUTE(SUBSTITUTE(TRIM(D316&amp;""),CHAR(160),"")," ",""),"초등학교","초"),"중학교","중"),"고등학교","고"),"~","~~"),"*","~*"),"?","~?")</f>
      </c>
      <c r="Q316" t="str">
        <f>SUBSTITUTE(SUBSTITUTE(SUBSTITUTE(SUBSTITUTE(SUBSTITUTE(SUBSTITUTE(SUBSTITUTE(SUBSTITUTE(TRIM(E316&amp;""),CHAR(160),"")," ",""),"초등학교","초"),"중학교","중"),"고등학교","고"),"~","~~"),"*","~*"),"?","~?")</f>
      </c>
      <c r="R316" t="str">
        <f>IF(COUNTA(B316:J316)=0,"",IF(AND(O316&lt;&gt;"",P316&lt;&gt;"",Q316&lt;&gt;""),"","입력누락"))</f>
      </c>
    </row>
    <row r="317" customFormat="false" ht="15" hidden="false" customHeight="false" outlineLevel="0" collapsed="false">
      <c r="A317" t="n" s="19">
        <f aca="0">IF(COUNTA(B317:J317)=0,"",ROW()-1)</f>
      </c>
      <c r="B317" s="24"/>
      <c r="C317" s="25"/>
      <c r="D317" s="8"/>
      <c r="E317" s="8"/>
      <c r="F317" s="26"/>
      <c r="G317" s="24"/>
      <c r="H317" s="25"/>
      <c r="I317" s="25"/>
      <c r="J317" s="26"/>
      <c r="K317" t="str" s="15">
        <f aca="0">IF(COUNTA(B317:J317)=0,"",IF(R317&lt;&gt;"","확인필요(입력누락)",IF(COUNTIFS(보유목록!$I$2:$I$3001,"*"&amp;P317&amp;"*",보유목록!$I$2:$I$3001,"*"&amp;Q317&amp;"*",보유목록!$H$2:$H$3001,O317)&gt;0,"있음",IF(COUNTIFS(보유목록!$I$2:$I$3001,"*"&amp;P317&amp;"*",보유목록!$I$2:$I$3001,"*"&amp;Q317&amp;"*")&gt;0,"확인필요(연도다름)",IF(COUNTIFS(보유목록!$I$2:$I$3001,"*"&amp;P317&amp;"*",보유목록!$H$2:$H$3001,O317)&gt;0,"확인필요(같은학교·같은연도)","없음")))))</f>
      </c>
      <c r="L317" t="str" s="16">
        <f aca="0">IF(OR(COUNTA(B317:J317)=0,R317&lt;&gt;""),"",COUNTIFS(보유목록!$I$2:$I$3001,"*"&amp;P317&amp;"*",보유목록!$I$2:$I$3001,"*"&amp;Q317&amp;"*"))</f>
      </c>
      <c r="M317" t="str" s="23">
        <f aca="0">IF(OR(COUNTA(B317:J317)=0,R317&lt;&gt;""),"",IFERROR(LOOKUP(2,1/(ISNUMBER(SEARCH(P317,보유목록!$I$2:$I$3001))*ISNUMBER(SEARCH(Q317,보유목록!$I$2:$I$3001))*(보유목록!$H$2:$H$3001=O317)),보유목록!$B$2:$B$3001),IFERROR(LOOKUP(2,1/(ISNUMBER(SEARCH(P317,보유목록!$I$2:$I$3001))*ISNUMBER(SEARCH(Q317,보유목록!$I$2:$I$3001))),보유목록!$B$2:$B$3001),"")))</f>
      </c>
      <c r="N317" s="25"/>
      <c r="O317" t="str">
        <f>IFERROR(IF(AND(LEN(SUBSTITUTE(SUBSTITUTE(SUBSTITUTE(TRIM(C317&amp;""),CHAR(160),"")," ",""),"년",""))=4,VALUE(SUBSTITUTE(SUBSTITUTE(SUBSTITUTE(TRIM(C317&amp;""),CHAR(160),"")," ",""),"년",""))&gt;=1900,VALUE(SUBSTITUTE(SUBSTITUTE(SUBSTITUTE(TRIM(C317&amp;""),CHAR(160),"")," ",""),"년",""))&lt;=2099,TEXT(VALUE(SUBSTITUTE(SUBSTITUTE(SUBSTITUTE(TRIM(C317&amp;""),CHAR(160),"")," ",""),"년","")),"0000")=SUBSTITUTE(SUBSTITUTE(SUBSTITUTE(TRIM(C317&amp;""),CHAR(160),"")," ",""),"년","")),SUBSTITUTE(SUBSTITUTE(SUBSTITUTE(TRIM(C317&amp;""),CHAR(160),"")," ",""),"년",""),""),"")</f>
      </c>
      <c r="P317" t="str">
        <f>SUBSTITUTE(SUBSTITUTE(SUBSTITUTE(SUBSTITUTE(SUBSTITUTE(SUBSTITUTE(SUBSTITUTE(SUBSTITUTE(TRIM(D317&amp;""),CHAR(160),"")," ",""),"초등학교","초"),"중학교","중"),"고등학교","고"),"~","~~"),"*","~*"),"?","~?")</f>
      </c>
      <c r="Q317" t="str">
        <f>SUBSTITUTE(SUBSTITUTE(SUBSTITUTE(SUBSTITUTE(SUBSTITUTE(SUBSTITUTE(SUBSTITUTE(SUBSTITUTE(TRIM(E317&amp;""),CHAR(160),"")," ",""),"초등학교","초"),"중학교","중"),"고등학교","고"),"~","~~"),"*","~*"),"?","~?")</f>
      </c>
      <c r="R317" t="str">
        <f>IF(COUNTA(B317:J317)=0,"",IF(AND(O317&lt;&gt;"",P317&lt;&gt;"",Q317&lt;&gt;""),"","입력누락"))</f>
      </c>
    </row>
    <row r="318" customFormat="false" ht="15" hidden="false" customHeight="false" outlineLevel="0" collapsed="false">
      <c r="A318" t="n" s="19">
        <f aca="0">IF(COUNTA(B318:J318)=0,"",ROW()-1)</f>
      </c>
      <c r="B318" s="24"/>
      <c r="C318" s="25"/>
      <c r="D318" s="8"/>
      <c r="E318" s="8"/>
      <c r="F318" s="26"/>
      <c r="G318" s="24"/>
      <c r="H318" s="25"/>
      <c r="I318" s="25"/>
      <c r="J318" s="26"/>
      <c r="K318" t="str" s="15">
        <f aca="0">IF(COUNTA(B318:J318)=0,"",IF(R318&lt;&gt;"","확인필요(입력누락)",IF(COUNTIFS(보유목록!$I$2:$I$3001,"*"&amp;P318&amp;"*",보유목록!$I$2:$I$3001,"*"&amp;Q318&amp;"*",보유목록!$H$2:$H$3001,O318)&gt;0,"있음",IF(COUNTIFS(보유목록!$I$2:$I$3001,"*"&amp;P318&amp;"*",보유목록!$I$2:$I$3001,"*"&amp;Q318&amp;"*")&gt;0,"확인필요(연도다름)",IF(COUNTIFS(보유목록!$I$2:$I$3001,"*"&amp;P318&amp;"*",보유목록!$H$2:$H$3001,O318)&gt;0,"확인필요(같은학교·같은연도)","없음")))))</f>
      </c>
      <c r="L318" t="str" s="16">
        <f aca="0">IF(OR(COUNTA(B318:J318)=0,R318&lt;&gt;""),"",COUNTIFS(보유목록!$I$2:$I$3001,"*"&amp;P318&amp;"*",보유목록!$I$2:$I$3001,"*"&amp;Q318&amp;"*"))</f>
      </c>
      <c r="M318" t="str" s="23">
        <f aca="0">IF(OR(COUNTA(B318:J318)=0,R318&lt;&gt;""),"",IFERROR(LOOKUP(2,1/(ISNUMBER(SEARCH(P318,보유목록!$I$2:$I$3001))*ISNUMBER(SEARCH(Q318,보유목록!$I$2:$I$3001))*(보유목록!$H$2:$H$3001=O318)),보유목록!$B$2:$B$3001),IFERROR(LOOKUP(2,1/(ISNUMBER(SEARCH(P318,보유목록!$I$2:$I$3001))*ISNUMBER(SEARCH(Q318,보유목록!$I$2:$I$3001))),보유목록!$B$2:$B$3001),"")))</f>
      </c>
      <c r="N318" s="25"/>
      <c r="O318" t="str">
        <f>IFERROR(IF(AND(LEN(SUBSTITUTE(SUBSTITUTE(SUBSTITUTE(TRIM(C318&amp;""),CHAR(160),"")," ",""),"년",""))=4,VALUE(SUBSTITUTE(SUBSTITUTE(SUBSTITUTE(TRIM(C318&amp;""),CHAR(160),"")," ",""),"년",""))&gt;=1900,VALUE(SUBSTITUTE(SUBSTITUTE(SUBSTITUTE(TRIM(C318&amp;""),CHAR(160),"")," ",""),"년",""))&lt;=2099,TEXT(VALUE(SUBSTITUTE(SUBSTITUTE(SUBSTITUTE(TRIM(C318&amp;""),CHAR(160),"")," ",""),"년","")),"0000")=SUBSTITUTE(SUBSTITUTE(SUBSTITUTE(TRIM(C318&amp;""),CHAR(160),"")," ",""),"년","")),SUBSTITUTE(SUBSTITUTE(SUBSTITUTE(TRIM(C318&amp;""),CHAR(160),"")," ",""),"년",""),""),"")</f>
      </c>
      <c r="P318" t="str">
        <f>SUBSTITUTE(SUBSTITUTE(SUBSTITUTE(SUBSTITUTE(SUBSTITUTE(SUBSTITUTE(SUBSTITUTE(SUBSTITUTE(TRIM(D318&amp;""),CHAR(160),"")," ",""),"초등학교","초"),"중학교","중"),"고등학교","고"),"~","~~"),"*","~*"),"?","~?")</f>
      </c>
      <c r="Q318" t="str">
        <f>SUBSTITUTE(SUBSTITUTE(SUBSTITUTE(SUBSTITUTE(SUBSTITUTE(SUBSTITUTE(SUBSTITUTE(SUBSTITUTE(TRIM(E318&amp;""),CHAR(160),"")," ",""),"초등학교","초"),"중학교","중"),"고등학교","고"),"~","~~"),"*","~*"),"?","~?")</f>
      </c>
      <c r="R318" t="str">
        <f>IF(COUNTA(B318:J318)=0,"",IF(AND(O318&lt;&gt;"",P318&lt;&gt;"",Q318&lt;&gt;""),"","입력누락"))</f>
      </c>
    </row>
    <row r="319" customFormat="false" ht="15" hidden="false" customHeight="false" outlineLevel="0" collapsed="false">
      <c r="A319" t="n" s="19">
        <f aca="0">IF(COUNTA(B319:J319)=0,"",ROW()-1)</f>
      </c>
      <c r="B319" s="24"/>
      <c r="C319" s="25"/>
      <c r="D319" s="8"/>
      <c r="E319" s="8"/>
      <c r="F319" s="26"/>
      <c r="G319" s="24"/>
      <c r="H319" s="25"/>
      <c r="I319" s="25"/>
      <c r="J319" s="26"/>
      <c r="K319" t="str" s="15">
        <f aca="0">IF(COUNTA(B319:J319)=0,"",IF(R319&lt;&gt;"","확인필요(입력누락)",IF(COUNTIFS(보유목록!$I$2:$I$3001,"*"&amp;P319&amp;"*",보유목록!$I$2:$I$3001,"*"&amp;Q319&amp;"*",보유목록!$H$2:$H$3001,O319)&gt;0,"있음",IF(COUNTIFS(보유목록!$I$2:$I$3001,"*"&amp;P319&amp;"*",보유목록!$I$2:$I$3001,"*"&amp;Q319&amp;"*")&gt;0,"확인필요(연도다름)",IF(COUNTIFS(보유목록!$I$2:$I$3001,"*"&amp;P319&amp;"*",보유목록!$H$2:$H$3001,O319)&gt;0,"확인필요(같은학교·같은연도)","없음")))))</f>
      </c>
      <c r="L319" t="str" s="16">
        <f aca="0">IF(OR(COUNTA(B319:J319)=0,R319&lt;&gt;""),"",COUNTIFS(보유목록!$I$2:$I$3001,"*"&amp;P319&amp;"*",보유목록!$I$2:$I$3001,"*"&amp;Q319&amp;"*"))</f>
      </c>
      <c r="M319" t="str" s="23">
        <f aca="0">IF(OR(COUNTA(B319:J319)=0,R319&lt;&gt;""),"",IFERROR(LOOKUP(2,1/(ISNUMBER(SEARCH(P319,보유목록!$I$2:$I$3001))*ISNUMBER(SEARCH(Q319,보유목록!$I$2:$I$3001))*(보유목록!$H$2:$H$3001=O319)),보유목록!$B$2:$B$3001),IFERROR(LOOKUP(2,1/(ISNUMBER(SEARCH(P319,보유목록!$I$2:$I$3001))*ISNUMBER(SEARCH(Q319,보유목록!$I$2:$I$3001))),보유목록!$B$2:$B$3001),"")))</f>
      </c>
      <c r="N319" s="25"/>
      <c r="O319" t="str">
        <f>IFERROR(IF(AND(LEN(SUBSTITUTE(SUBSTITUTE(SUBSTITUTE(TRIM(C319&amp;""),CHAR(160),"")," ",""),"년",""))=4,VALUE(SUBSTITUTE(SUBSTITUTE(SUBSTITUTE(TRIM(C319&amp;""),CHAR(160),"")," ",""),"년",""))&gt;=1900,VALUE(SUBSTITUTE(SUBSTITUTE(SUBSTITUTE(TRIM(C319&amp;""),CHAR(160),"")," ",""),"년",""))&lt;=2099,TEXT(VALUE(SUBSTITUTE(SUBSTITUTE(SUBSTITUTE(TRIM(C319&amp;""),CHAR(160),"")," ",""),"년","")),"0000")=SUBSTITUTE(SUBSTITUTE(SUBSTITUTE(TRIM(C319&amp;""),CHAR(160),"")," ",""),"년","")),SUBSTITUTE(SUBSTITUTE(SUBSTITUTE(TRIM(C319&amp;""),CHAR(160),"")," ",""),"년",""),""),"")</f>
      </c>
      <c r="P319" t="str">
        <f>SUBSTITUTE(SUBSTITUTE(SUBSTITUTE(SUBSTITUTE(SUBSTITUTE(SUBSTITUTE(SUBSTITUTE(SUBSTITUTE(TRIM(D319&amp;""),CHAR(160),"")," ",""),"초등학교","초"),"중학교","중"),"고등학교","고"),"~","~~"),"*","~*"),"?","~?")</f>
      </c>
      <c r="Q319" t="str">
        <f>SUBSTITUTE(SUBSTITUTE(SUBSTITUTE(SUBSTITUTE(SUBSTITUTE(SUBSTITUTE(SUBSTITUTE(SUBSTITUTE(TRIM(E319&amp;""),CHAR(160),"")," ",""),"초등학교","초"),"중학교","중"),"고등학교","고"),"~","~~"),"*","~*"),"?","~?")</f>
      </c>
      <c r="R319" t="str">
        <f>IF(COUNTA(B319:J319)=0,"",IF(AND(O319&lt;&gt;"",P319&lt;&gt;"",Q319&lt;&gt;""),"","입력누락"))</f>
      </c>
    </row>
    <row r="320" customFormat="false" ht="15" hidden="false" customHeight="false" outlineLevel="0" collapsed="false">
      <c r="A320" t="n" s="19">
        <f aca="0">IF(COUNTA(B320:J320)=0,"",ROW()-1)</f>
      </c>
      <c r="B320" s="24"/>
      <c r="C320" s="25"/>
      <c r="D320" s="8"/>
      <c r="E320" s="8"/>
      <c r="F320" s="26"/>
      <c r="G320" s="24"/>
      <c r="H320" s="25"/>
      <c r="I320" s="25"/>
      <c r="J320" s="26"/>
      <c r="K320" t="str" s="15">
        <f aca="0">IF(COUNTA(B320:J320)=0,"",IF(R320&lt;&gt;"","확인필요(입력누락)",IF(COUNTIFS(보유목록!$I$2:$I$3001,"*"&amp;P320&amp;"*",보유목록!$I$2:$I$3001,"*"&amp;Q320&amp;"*",보유목록!$H$2:$H$3001,O320)&gt;0,"있음",IF(COUNTIFS(보유목록!$I$2:$I$3001,"*"&amp;P320&amp;"*",보유목록!$I$2:$I$3001,"*"&amp;Q320&amp;"*")&gt;0,"확인필요(연도다름)",IF(COUNTIFS(보유목록!$I$2:$I$3001,"*"&amp;P320&amp;"*",보유목록!$H$2:$H$3001,O320)&gt;0,"확인필요(같은학교·같은연도)","없음")))))</f>
      </c>
      <c r="L320" t="str" s="16">
        <f aca="0">IF(OR(COUNTA(B320:J320)=0,R320&lt;&gt;""),"",COUNTIFS(보유목록!$I$2:$I$3001,"*"&amp;P320&amp;"*",보유목록!$I$2:$I$3001,"*"&amp;Q320&amp;"*"))</f>
      </c>
      <c r="M320" t="str" s="23">
        <f aca="0">IF(OR(COUNTA(B320:J320)=0,R320&lt;&gt;""),"",IFERROR(LOOKUP(2,1/(ISNUMBER(SEARCH(P320,보유목록!$I$2:$I$3001))*ISNUMBER(SEARCH(Q320,보유목록!$I$2:$I$3001))*(보유목록!$H$2:$H$3001=O320)),보유목록!$B$2:$B$3001),IFERROR(LOOKUP(2,1/(ISNUMBER(SEARCH(P320,보유목록!$I$2:$I$3001))*ISNUMBER(SEARCH(Q320,보유목록!$I$2:$I$3001))),보유목록!$B$2:$B$3001),"")))</f>
      </c>
      <c r="N320" s="25"/>
      <c r="O320" t="str">
        <f>IFERROR(IF(AND(LEN(SUBSTITUTE(SUBSTITUTE(SUBSTITUTE(TRIM(C320&amp;""),CHAR(160),"")," ",""),"년",""))=4,VALUE(SUBSTITUTE(SUBSTITUTE(SUBSTITUTE(TRIM(C320&amp;""),CHAR(160),"")," ",""),"년",""))&gt;=1900,VALUE(SUBSTITUTE(SUBSTITUTE(SUBSTITUTE(TRIM(C320&amp;""),CHAR(160),"")," ",""),"년",""))&lt;=2099,TEXT(VALUE(SUBSTITUTE(SUBSTITUTE(SUBSTITUTE(TRIM(C320&amp;""),CHAR(160),"")," ",""),"년","")),"0000")=SUBSTITUTE(SUBSTITUTE(SUBSTITUTE(TRIM(C320&amp;""),CHAR(160),"")," ",""),"년","")),SUBSTITUTE(SUBSTITUTE(SUBSTITUTE(TRIM(C320&amp;""),CHAR(160),"")," ",""),"년",""),""),"")</f>
      </c>
      <c r="P320" t="str">
        <f>SUBSTITUTE(SUBSTITUTE(SUBSTITUTE(SUBSTITUTE(SUBSTITUTE(SUBSTITUTE(SUBSTITUTE(SUBSTITUTE(TRIM(D320&amp;""),CHAR(160),"")," ",""),"초등학교","초"),"중학교","중"),"고등학교","고"),"~","~~"),"*","~*"),"?","~?")</f>
      </c>
      <c r="Q320" t="str">
        <f>SUBSTITUTE(SUBSTITUTE(SUBSTITUTE(SUBSTITUTE(SUBSTITUTE(SUBSTITUTE(SUBSTITUTE(SUBSTITUTE(TRIM(E320&amp;""),CHAR(160),"")," ",""),"초등학교","초"),"중학교","중"),"고등학교","고"),"~","~~"),"*","~*"),"?","~?")</f>
      </c>
      <c r="R320" t="str">
        <f>IF(COUNTA(B320:J320)=0,"",IF(AND(O320&lt;&gt;"",P320&lt;&gt;"",Q320&lt;&gt;""),"","입력누락"))</f>
      </c>
    </row>
    <row r="321" customFormat="false" ht="15" hidden="false" customHeight="false" outlineLevel="0" collapsed="false">
      <c r="A321" t="n" s="19">
        <f aca="0">IF(COUNTA(B321:J321)=0,"",ROW()-1)</f>
      </c>
      <c r="B321" s="24"/>
      <c r="C321" s="25"/>
      <c r="D321" s="8"/>
      <c r="E321" s="8"/>
      <c r="F321" s="26"/>
      <c r="G321" s="24"/>
      <c r="H321" s="25"/>
      <c r="I321" s="25"/>
      <c r="J321" s="26"/>
      <c r="K321" t="str" s="15">
        <f aca="0">IF(COUNTA(B321:J321)=0,"",IF(R321&lt;&gt;"","확인필요(입력누락)",IF(COUNTIFS(보유목록!$I$2:$I$3001,"*"&amp;P321&amp;"*",보유목록!$I$2:$I$3001,"*"&amp;Q321&amp;"*",보유목록!$H$2:$H$3001,O321)&gt;0,"있음",IF(COUNTIFS(보유목록!$I$2:$I$3001,"*"&amp;P321&amp;"*",보유목록!$I$2:$I$3001,"*"&amp;Q321&amp;"*")&gt;0,"확인필요(연도다름)",IF(COUNTIFS(보유목록!$I$2:$I$3001,"*"&amp;P321&amp;"*",보유목록!$H$2:$H$3001,O321)&gt;0,"확인필요(같은학교·같은연도)","없음")))))</f>
      </c>
      <c r="L321" t="str" s="16">
        <f aca="0">IF(OR(COUNTA(B321:J321)=0,R321&lt;&gt;""),"",COUNTIFS(보유목록!$I$2:$I$3001,"*"&amp;P321&amp;"*",보유목록!$I$2:$I$3001,"*"&amp;Q321&amp;"*"))</f>
      </c>
      <c r="M321" t="str" s="23">
        <f aca="0">IF(OR(COUNTA(B321:J321)=0,R321&lt;&gt;""),"",IFERROR(LOOKUP(2,1/(ISNUMBER(SEARCH(P321,보유목록!$I$2:$I$3001))*ISNUMBER(SEARCH(Q321,보유목록!$I$2:$I$3001))*(보유목록!$H$2:$H$3001=O321)),보유목록!$B$2:$B$3001),IFERROR(LOOKUP(2,1/(ISNUMBER(SEARCH(P321,보유목록!$I$2:$I$3001))*ISNUMBER(SEARCH(Q321,보유목록!$I$2:$I$3001))),보유목록!$B$2:$B$3001),"")))</f>
      </c>
      <c r="N321" s="25"/>
      <c r="O321" t="str">
        <f>IFERROR(IF(AND(LEN(SUBSTITUTE(SUBSTITUTE(SUBSTITUTE(TRIM(C321&amp;""),CHAR(160),"")," ",""),"년",""))=4,VALUE(SUBSTITUTE(SUBSTITUTE(SUBSTITUTE(TRIM(C321&amp;""),CHAR(160),"")," ",""),"년",""))&gt;=1900,VALUE(SUBSTITUTE(SUBSTITUTE(SUBSTITUTE(TRIM(C321&amp;""),CHAR(160),"")," ",""),"년",""))&lt;=2099,TEXT(VALUE(SUBSTITUTE(SUBSTITUTE(SUBSTITUTE(TRIM(C321&amp;""),CHAR(160),"")," ",""),"년","")),"0000")=SUBSTITUTE(SUBSTITUTE(SUBSTITUTE(TRIM(C321&amp;""),CHAR(160),"")," ",""),"년","")),SUBSTITUTE(SUBSTITUTE(SUBSTITUTE(TRIM(C321&amp;""),CHAR(160),"")," ",""),"년",""),""),"")</f>
      </c>
      <c r="P321" t="str">
        <f>SUBSTITUTE(SUBSTITUTE(SUBSTITUTE(SUBSTITUTE(SUBSTITUTE(SUBSTITUTE(SUBSTITUTE(SUBSTITUTE(TRIM(D321&amp;""),CHAR(160),"")," ",""),"초등학교","초"),"중학교","중"),"고등학교","고"),"~","~~"),"*","~*"),"?","~?")</f>
      </c>
      <c r="Q321" t="str">
        <f>SUBSTITUTE(SUBSTITUTE(SUBSTITUTE(SUBSTITUTE(SUBSTITUTE(SUBSTITUTE(SUBSTITUTE(SUBSTITUTE(TRIM(E321&amp;""),CHAR(160),"")," ",""),"초등학교","초"),"중학교","중"),"고등학교","고"),"~","~~"),"*","~*"),"?","~?")</f>
      </c>
      <c r="R321" t="str">
        <f>IF(COUNTA(B321:J321)=0,"",IF(AND(O321&lt;&gt;"",P321&lt;&gt;"",Q321&lt;&gt;""),"","입력누락"))</f>
      </c>
    </row>
    <row r="322" customFormat="false" ht="15" hidden="false" customHeight="false" outlineLevel="0" collapsed="false">
      <c r="A322" t="n" s="19">
        <f aca="0">IF(COUNTA(B322:J322)=0,"",ROW()-1)</f>
      </c>
      <c r="B322" s="24"/>
      <c r="C322" s="25"/>
      <c r="D322" s="8"/>
      <c r="E322" s="8"/>
      <c r="F322" s="26"/>
      <c r="G322" s="24"/>
      <c r="H322" s="25"/>
      <c r="I322" s="25"/>
      <c r="J322" s="26"/>
      <c r="K322" t="str" s="15">
        <f aca="0">IF(COUNTA(B322:J322)=0,"",IF(R322&lt;&gt;"","확인필요(입력누락)",IF(COUNTIFS(보유목록!$I$2:$I$3001,"*"&amp;P322&amp;"*",보유목록!$I$2:$I$3001,"*"&amp;Q322&amp;"*",보유목록!$H$2:$H$3001,O322)&gt;0,"있음",IF(COUNTIFS(보유목록!$I$2:$I$3001,"*"&amp;P322&amp;"*",보유목록!$I$2:$I$3001,"*"&amp;Q322&amp;"*")&gt;0,"확인필요(연도다름)",IF(COUNTIFS(보유목록!$I$2:$I$3001,"*"&amp;P322&amp;"*",보유목록!$H$2:$H$3001,O322)&gt;0,"확인필요(같은학교·같은연도)","없음")))))</f>
      </c>
      <c r="L322" t="str" s="16">
        <f aca="0">IF(OR(COUNTA(B322:J322)=0,R322&lt;&gt;""),"",COUNTIFS(보유목록!$I$2:$I$3001,"*"&amp;P322&amp;"*",보유목록!$I$2:$I$3001,"*"&amp;Q322&amp;"*"))</f>
      </c>
      <c r="M322" t="str" s="23">
        <f aca="0">IF(OR(COUNTA(B322:J322)=0,R322&lt;&gt;""),"",IFERROR(LOOKUP(2,1/(ISNUMBER(SEARCH(P322,보유목록!$I$2:$I$3001))*ISNUMBER(SEARCH(Q322,보유목록!$I$2:$I$3001))*(보유목록!$H$2:$H$3001=O322)),보유목록!$B$2:$B$3001),IFERROR(LOOKUP(2,1/(ISNUMBER(SEARCH(P322,보유목록!$I$2:$I$3001))*ISNUMBER(SEARCH(Q322,보유목록!$I$2:$I$3001))),보유목록!$B$2:$B$3001),"")))</f>
      </c>
      <c r="N322" s="25"/>
      <c r="O322" t="str">
        <f>IFERROR(IF(AND(LEN(SUBSTITUTE(SUBSTITUTE(SUBSTITUTE(TRIM(C322&amp;""),CHAR(160),"")," ",""),"년",""))=4,VALUE(SUBSTITUTE(SUBSTITUTE(SUBSTITUTE(TRIM(C322&amp;""),CHAR(160),"")," ",""),"년",""))&gt;=1900,VALUE(SUBSTITUTE(SUBSTITUTE(SUBSTITUTE(TRIM(C322&amp;""),CHAR(160),"")," ",""),"년",""))&lt;=2099,TEXT(VALUE(SUBSTITUTE(SUBSTITUTE(SUBSTITUTE(TRIM(C322&amp;""),CHAR(160),"")," ",""),"년","")),"0000")=SUBSTITUTE(SUBSTITUTE(SUBSTITUTE(TRIM(C322&amp;""),CHAR(160),"")," ",""),"년","")),SUBSTITUTE(SUBSTITUTE(SUBSTITUTE(TRIM(C322&amp;""),CHAR(160),"")," ",""),"년",""),""),"")</f>
      </c>
      <c r="P322" t="str">
        <f>SUBSTITUTE(SUBSTITUTE(SUBSTITUTE(SUBSTITUTE(SUBSTITUTE(SUBSTITUTE(SUBSTITUTE(SUBSTITUTE(TRIM(D322&amp;""),CHAR(160),"")," ",""),"초등학교","초"),"중학교","중"),"고등학교","고"),"~","~~"),"*","~*"),"?","~?")</f>
      </c>
      <c r="Q322" t="str">
        <f>SUBSTITUTE(SUBSTITUTE(SUBSTITUTE(SUBSTITUTE(SUBSTITUTE(SUBSTITUTE(SUBSTITUTE(SUBSTITUTE(TRIM(E322&amp;""),CHAR(160),"")," ",""),"초등학교","초"),"중학교","중"),"고등학교","고"),"~","~~"),"*","~*"),"?","~?")</f>
      </c>
      <c r="R322" t="str">
        <f>IF(COUNTA(B322:J322)=0,"",IF(AND(O322&lt;&gt;"",P322&lt;&gt;"",Q322&lt;&gt;""),"","입력누락"))</f>
      </c>
    </row>
    <row r="323" customFormat="false" ht="15" hidden="false" customHeight="false" outlineLevel="0" collapsed="false">
      <c r="A323" t="n" s="19">
        <f aca="0">IF(COUNTA(B323:J323)=0,"",ROW()-1)</f>
      </c>
      <c r="B323" s="24"/>
      <c r="C323" s="25"/>
      <c r="D323" s="8"/>
      <c r="E323" s="8"/>
      <c r="F323" s="26"/>
      <c r="G323" s="24"/>
      <c r="H323" s="25"/>
      <c r="I323" s="25"/>
      <c r="J323" s="26"/>
      <c r="K323" t="str" s="15">
        <f aca="0">IF(COUNTA(B323:J323)=0,"",IF(R323&lt;&gt;"","확인필요(입력누락)",IF(COUNTIFS(보유목록!$I$2:$I$3001,"*"&amp;P323&amp;"*",보유목록!$I$2:$I$3001,"*"&amp;Q323&amp;"*",보유목록!$H$2:$H$3001,O323)&gt;0,"있음",IF(COUNTIFS(보유목록!$I$2:$I$3001,"*"&amp;P323&amp;"*",보유목록!$I$2:$I$3001,"*"&amp;Q323&amp;"*")&gt;0,"확인필요(연도다름)",IF(COUNTIFS(보유목록!$I$2:$I$3001,"*"&amp;P323&amp;"*",보유목록!$H$2:$H$3001,O323)&gt;0,"확인필요(같은학교·같은연도)","없음")))))</f>
      </c>
      <c r="L323" t="str" s="16">
        <f aca="0">IF(OR(COUNTA(B323:J323)=0,R323&lt;&gt;""),"",COUNTIFS(보유목록!$I$2:$I$3001,"*"&amp;P323&amp;"*",보유목록!$I$2:$I$3001,"*"&amp;Q323&amp;"*"))</f>
      </c>
      <c r="M323" t="str" s="23">
        <f aca="0">IF(OR(COUNTA(B323:J323)=0,R323&lt;&gt;""),"",IFERROR(LOOKUP(2,1/(ISNUMBER(SEARCH(P323,보유목록!$I$2:$I$3001))*ISNUMBER(SEARCH(Q323,보유목록!$I$2:$I$3001))*(보유목록!$H$2:$H$3001=O323)),보유목록!$B$2:$B$3001),IFERROR(LOOKUP(2,1/(ISNUMBER(SEARCH(P323,보유목록!$I$2:$I$3001))*ISNUMBER(SEARCH(Q323,보유목록!$I$2:$I$3001))),보유목록!$B$2:$B$3001),"")))</f>
      </c>
      <c r="N323" s="25"/>
      <c r="O323" t="str">
        <f>IFERROR(IF(AND(LEN(SUBSTITUTE(SUBSTITUTE(SUBSTITUTE(TRIM(C323&amp;""),CHAR(160),"")," ",""),"년",""))=4,VALUE(SUBSTITUTE(SUBSTITUTE(SUBSTITUTE(TRIM(C323&amp;""),CHAR(160),"")," ",""),"년",""))&gt;=1900,VALUE(SUBSTITUTE(SUBSTITUTE(SUBSTITUTE(TRIM(C323&amp;""),CHAR(160),"")," ",""),"년",""))&lt;=2099,TEXT(VALUE(SUBSTITUTE(SUBSTITUTE(SUBSTITUTE(TRIM(C323&amp;""),CHAR(160),"")," ",""),"년","")),"0000")=SUBSTITUTE(SUBSTITUTE(SUBSTITUTE(TRIM(C323&amp;""),CHAR(160),"")," ",""),"년","")),SUBSTITUTE(SUBSTITUTE(SUBSTITUTE(TRIM(C323&amp;""),CHAR(160),"")," ",""),"년",""),""),"")</f>
      </c>
      <c r="P323" t="str">
        <f>SUBSTITUTE(SUBSTITUTE(SUBSTITUTE(SUBSTITUTE(SUBSTITUTE(SUBSTITUTE(SUBSTITUTE(SUBSTITUTE(TRIM(D323&amp;""),CHAR(160),"")," ",""),"초등학교","초"),"중학교","중"),"고등학교","고"),"~","~~"),"*","~*"),"?","~?")</f>
      </c>
      <c r="Q323" t="str">
        <f>SUBSTITUTE(SUBSTITUTE(SUBSTITUTE(SUBSTITUTE(SUBSTITUTE(SUBSTITUTE(SUBSTITUTE(SUBSTITUTE(TRIM(E323&amp;""),CHAR(160),"")," ",""),"초등학교","초"),"중학교","중"),"고등학교","고"),"~","~~"),"*","~*"),"?","~?")</f>
      </c>
      <c r="R323" t="str">
        <f>IF(COUNTA(B323:J323)=0,"",IF(AND(O323&lt;&gt;"",P323&lt;&gt;"",Q323&lt;&gt;""),"","입력누락"))</f>
      </c>
    </row>
    <row r="324" customFormat="false" ht="15" hidden="false" customHeight="false" outlineLevel="0" collapsed="false">
      <c r="A324" t="n" s="19">
        <f aca="0">IF(COUNTA(B324:J324)=0,"",ROW()-1)</f>
      </c>
      <c r="B324" s="24"/>
      <c r="C324" s="25"/>
      <c r="D324" s="8"/>
      <c r="E324" s="8"/>
      <c r="F324" s="26"/>
      <c r="G324" s="24"/>
      <c r="H324" s="25"/>
      <c r="I324" s="25"/>
      <c r="J324" s="26"/>
      <c r="K324" t="str" s="15">
        <f aca="0">IF(COUNTA(B324:J324)=0,"",IF(R324&lt;&gt;"","확인필요(입력누락)",IF(COUNTIFS(보유목록!$I$2:$I$3001,"*"&amp;P324&amp;"*",보유목록!$I$2:$I$3001,"*"&amp;Q324&amp;"*",보유목록!$H$2:$H$3001,O324)&gt;0,"있음",IF(COUNTIFS(보유목록!$I$2:$I$3001,"*"&amp;P324&amp;"*",보유목록!$I$2:$I$3001,"*"&amp;Q324&amp;"*")&gt;0,"확인필요(연도다름)",IF(COUNTIFS(보유목록!$I$2:$I$3001,"*"&amp;P324&amp;"*",보유목록!$H$2:$H$3001,O324)&gt;0,"확인필요(같은학교·같은연도)","없음")))))</f>
      </c>
      <c r="L324" t="str" s="16">
        <f aca="0">IF(OR(COUNTA(B324:J324)=0,R324&lt;&gt;""),"",COUNTIFS(보유목록!$I$2:$I$3001,"*"&amp;P324&amp;"*",보유목록!$I$2:$I$3001,"*"&amp;Q324&amp;"*"))</f>
      </c>
      <c r="M324" t="str" s="23">
        <f aca="0">IF(OR(COUNTA(B324:J324)=0,R324&lt;&gt;""),"",IFERROR(LOOKUP(2,1/(ISNUMBER(SEARCH(P324,보유목록!$I$2:$I$3001))*ISNUMBER(SEARCH(Q324,보유목록!$I$2:$I$3001))*(보유목록!$H$2:$H$3001=O324)),보유목록!$B$2:$B$3001),IFERROR(LOOKUP(2,1/(ISNUMBER(SEARCH(P324,보유목록!$I$2:$I$3001))*ISNUMBER(SEARCH(Q324,보유목록!$I$2:$I$3001))),보유목록!$B$2:$B$3001),"")))</f>
      </c>
      <c r="N324" s="25"/>
      <c r="O324" t="str">
        <f>IFERROR(IF(AND(LEN(SUBSTITUTE(SUBSTITUTE(SUBSTITUTE(TRIM(C324&amp;""),CHAR(160),"")," ",""),"년",""))=4,VALUE(SUBSTITUTE(SUBSTITUTE(SUBSTITUTE(TRIM(C324&amp;""),CHAR(160),"")," ",""),"년",""))&gt;=1900,VALUE(SUBSTITUTE(SUBSTITUTE(SUBSTITUTE(TRIM(C324&amp;""),CHAR(160),"")," ",""),"년",""))&lt;=2099,TEXT(VALUE(SUBSTITUTE(SUBSTITUTE(SUBSTITUTE(TRIM(C324&amp;""),CHAR(160),"")," ",""),"년","")),"0000")=SUBSTITUTE(SUBSTITUTE(SUBSTITUTE(TRIM(C324&amp;""),CHAR(160),"")," ",""),"년","")),SUBSTITUTE(SUBSTITUTE(SUBSTITUTE(TRIM(C324&amp;""),CHAR(160),"")," ",""),"년",""),""),"")</f>
      </c>
      <c r="P324" t="str">
        <f>SUBSTITUTE(SUBSTITUTE(SUBSTITUTE(SUBSTITUTE(SUBSTITUTE(SUBSTITUTE(SUBSTITUTE(SUBSTITUTE(TRIM(D324&amp;""),CHAR(160),"")," ",""),"초등학교","초"),"중학교","중"),"고등학교","고"),"~","~~"),"*","~*"),"?","~?")</f>
      </c>
      <c r="Q324" t="str">
        <f>SUBSTITUTE(SUBSTITUTE(SUBSTITUTE(SUBSTITUTE(SUBSTITUTE(SUBSTITUTE(SUBSTITUTE(SUBSTITUTE(TRIM(E324&amp;""),CHAR(160),"")," ",""),"초등학교","초"),"중학교","중"),"고등학교","고"),"~","~~"),"*","~*"),"?","~?")</f>
      </c>
      <c r="R324" t="str">
        <f>IF(COUNTA(B324:J324)=0,"",IF(AND(O324&lt;&gt;"",P324&lt;&gt;"",Q324&lt;&gt;""),"","입력누락"))</f>
      </c>
    </row>
    <row r="325" customFormat="false" ht="15" hidden="false" customHeight="false" outlineLevel="0" collapsed="false">
      <c r="A325" t="n" s="19">
        <f aca="0">IF(COUNTA(B325:J325)=0,"",ROW()-1)</f>
      </c>
      <c r="B325" s="24"/>
      <c r="C325" s="25"/>
      <c r="D325" s="8"/>
      <c r="E325" s="8"/>
      <c r="F325" s="26"/>
      <c r="G325" s="24"/>
      <c r="H325" s="25"/>
      <c r="I325" s="25"/>
      <c r="J325" s="26"/>
      <c r="K325" t="str" s="15">
        <f aca="0">IF(COUNTA(B325:J325)=0,"",IF(R325&lt;&gt;"","확인필요(입력누락)",IF(COUNTIFS(보유목록!$I$2:$I$3001,"*"&amp;P325&amp;"*",보유목록!$I$2:$I$3001,"*"&amp;Q325&amp;"*",보유목록!$H$2:$H$3001,O325)&gt;0,"있음",IF(COUNTIFS(보유목록!$I$2:$I$3001,"*"&amp;P325&amp;"*",보유목록!$I$2:$I$3001,"*"&amp;Q325&amp;"*")&gt;0,"확인필요(연도다름)",IF(COUNTIFS(보유목록!$I$2:$I$3001,"*"&amp;P325&amp;"*",보유목록!$H$2:$H$3001,O325)&gt;0,"확인필요(같은학교·같은연도)","없음")))))</f>
      </c>
      <c r="L325" t="str" s="16">
        <f aca="0">IF(OR(COUNTA(B325:J325)=0,R325&lt;&gt;""),"",COUNTIFS(보유목록!$I$2:$I$3001,"*"&amp;P325&amp;"*",보유목록!$I$2:$I$3001,"*"&amp;Q325&amp;"*"))</f>
      </c>
      <c r="M325" t="str" s="23">
        <f aca="0">IF(OR(COUNTA(B325:J325)=0,R325&lt;&gt;""),"",IFERROR(LOOKUP(2,1/(ISNUMBER(SEARCH(P325,보유목록!$I$2:$I$3001))*ISNUMBER(SEARCH(Q325,보유목록!$I$2:$I$3001))*(보유목록!$H$2:$H$3001=O325)),보유목록!$B$2:$B$3001),IFERROR(LOOKUP(2,1/(ISNUMBER(SEARCH(P325,보유목록!$I$2:$I$3001))*ISNUMBER(SEARCH(Q325,보유목록!$I$2:$I$3001))),보유목록!$B$2:$B$3001),"")))</f>
      </c>
      <c r="N325" s="25"/>
      <c r="O325" t="str">
        <f>IFERROR(IF(AND(LEN(SUBSTITUTE(SUBSTITUTE(SUBSTITUTE(TRIM(C325&amp;""),CHAR(160),"")," ",""),"년",""))=4,VALUE(SUBSTITUTE(SUBSTITUTE(SUBSTITUTE(TRIM(C325&amp;""),CHAR(160),"")," ",""),"년",""))&gt;=1900,VALUE(SUBSTITUTE(SUBSTITUTE(SUBSTITUTE(TRIM(C325&amp;""),CHAR(160),"")," ",""),"년",""))&lt;=2099,TEXT(VALUE(SUBSTITUTE(SUBSTITUTE(SUBSTITUTE(TRIM(C325&amp;""),CHAR(160),"")," ",""),"년","")),"0000")=SUBSTITUTE(SUBSTITUTE(SUBSTITUTE(TRIM(C325&amp;""),CHAR(160),"")," ",""),"년","")),SUBSTITUTE(SUBSTITUTE(SUBSTITUTE(TRIM(C325&amp;""),CHAR(160),"")," ",""),"년",""),""),"")</f>
      </c>
      <c r="P325" t="str">
        <f>SUBSTITUTE(SUBSTITUTE(SUBSTITUTE(SUBSTITUTE(SUBSTITUTE(SUBSTITUTE(SUBSTITUTE(SUBSTITUTE(TRIM(D325&amp;""),CHAR(160),"")," ",""),"초등학교","초"),"중학교","중"),"고등학교","고"),"~","~~"),"*","~*"),"?","~?")</f>
      </c>
      <c r="Q325" t="str">
        <f>SUBSTITUTE(SUBSTITUTE(SUBSTITUTE(SUBSTITUTE(SUBSTITUTE(SUBSTITUTE(SUBSTITUTE(SUBSTITUTE(TRIM(E325&amp;""),CHAR(160),"")," ",""),"초등학교","초"),"중학교","중"),"고등학교","고"),"~","~~"),"*","~*"),"?","~?")</f>
      </c>
      <c r="R325" t="str">
        <f>IF(COUNTA(B325:J325)=0,"",IF(AND(O325&lt;&gt;"",P325&lt;&gt;"",Q325&lt;&gt;""),"","입력누락"))</f>
      </c>
    </row>
    <row r="326" customFormat="false" ht="15" hidden="false" customHeight="false" outlineLevel="0" collapsed="false">
      <c r="A326" t="n" s="19">
        <f aca="0">IF(COUNTA(B326:J326)=0,"",ROW()-1)</f>
      </c>
      <c r="B326" s="24"/>
      <c r="C326" s="25"/>
      <c r="D326" s="8"/>
      <c r="E326" s="8"/>
      <c r="F326" s="26"/>
      <c r="G326" s="24"/>
      <c r="H326" s="25"/>
      <c r="I326" s="25"/>
      <c r="J326" s="26"/>
      <c r="K326" t="str" s="15">
        <f aca="0">IF(COUNTA(B326:J326)=0,"",IF(R326&lt;&gt;"","확인필요(입력누락)",IF(COUNTIFS(보유목록!$I$2:$I$3001,"*"&amp;P326&amp;"*",보유목록!$I$2:$I$3001,"*"&amp;Q326&amp;"*",보유목록!$H$2:$H$3001,O326)&gt;0,"있음",IF(COUNTIFS(보유목록!$I$2:$I$3001,"*"&amp;P326&amp;"*",보유목록!$I$2:$I$3001,"*"&amp;Q326&amp;"*")&gt;0,"확인필요(연도다름)",IF(COUNTIFS(보유목록!$I$2:$I$3001,"*"&amp;P326&amp;"*",보유목록!$H$2:$H$3001,O326)&gt;0,"확인필요(같은학교·같은연도)","없음")))))</f>
      </c>
      <c r="L326" t="str" s="16">
        <f aca="0">IF(OR(COUNTA(B326:J326)=0,R326&lt;&gt;""),"",COUNTIFS(보유목록!$I$2:$I$3001,"*"&amp;P326&amp;"*",보유목록!$I$2:$I$3001,"*"&amp;Q326&amp;"*"))</f>
      </c>
      <c r="M326" t="str" s="23">
        <f aca="0">IF(OR(COUNTA(B326:J326)=0,R326&lt;&gt;""),"",IFERROR(LOOKUP(2,1/(ISNUMBER(SEARCH(P326,보유목록!$I$2:$I$3001))*ISNUMBER(SEARCH(Q326,보유목록!$I$2:$I$3001))*(보유목록!$H$2:$H$3001=O326)),보유목록!$B$2:$B$3001),IFERROR(LOOKUP(2,1/(ISNUMBER(SEARCH(P326,보유목록!$I$2:$I$3001))*ISNUMBER(SEARCH(Q326,보유목록!$I$2:$I$3001))),보유목록!$B$2:$B$3001),"")))</f>
      </c>
      <c r="N326" s="25"/>
      <c r="O326" t="str">
        <f>IFERROR(IF(AND(LEN(SUBSTITUTE(SUBSTITUTE(SUBSTITUTE(TRIM(C326&amp;""),CHAR(160),"")," ",""),"년",""))=4,VALUE(SUBSTITUTE(SUBSTITUTE(SUBSTITUTE(TRIM(C326&amp;""),CHAR(160),"")," ",""),"년",""))&gt;=1900,VALUE(SUBSTITUTE(SUBSTITUTE(SUBSTITUTE(TRIM(C326&amp;""),CHAR(160),"")," ",""),"년",""))&lt;=2099,TEXT(VALUE(SUBSTITUTE(SUBSTITUTE(SUBSTITUTE(TRIM(C326&amp;""),CHAR(160),"")," ",""),"년","")),"0000")=SUBSTITUTE(SUBSTITUTE(SUBSTITUTE(TRIM(C326&amp;""),CHAR(160),"")," ",""),"년","")),SUBSTITUTE(SUBSTITUTE(SUBSTITUTE(TRIM(C326&amp;""),CHAR(160),"")," ",""),"년",""),""),"")</f>
      </c>
      <c r="P326" t="str">
        <f>SUBSTITUTE(SUBSTITUTE(SUBSTITUTE(SUBSTITUTE(SUBSTITUTE(SUBSTITUTE(SUBSTITUTE(SUBSTITUTE(TRIM(D326&amp;""),CHAR(160),"")," ",""),"초등학교","초"),"중학교","중"),"고등학교","고"),"~","~~"),"*","~*"),"?","~?")</f>
      </c>
      <c r="Q326" t="str">
        <f>SUBSTITUTE(SUBSTITUTE(SUBSTITUTE(SUBSTITUTE(SUBSTITUTE(SUBSTITUTE(SUBSTITUTE(SUBSTITUTE(TRIM(E326&amp;""),CHAR(160),"")," ",""),"초등학교","초"),"중학교","중"),"고등학교","고"),"~","~~"),"*","~*"),"?","~?")</f>
      </c>
      <c r="R326" t="str">
        <f>IF(COUNTA(B326:J326)=0,"",IF(AND(O326&lt;&gt;"",P326&lt;&gt;"",Q326&lt;&gt;""),"","입력누락"))</f>
      </c>
    </row>
    <row r="327" customFormat="false" ht="15" hidden="false" customHeight="false" outlineLevel="0" collapsed="false">
      <c r="A327" t="n" s="19">
        <f aca="0">IF(COUNTA(B327:J327)=0,"",ROW()-1)</f>
      </c>
      <c r="B327" s="24"/>
      <c r="C327" s="25"/>
      <c r="D327" s="8"/>
      <c r="E327" s="8"/>
      <c r="F327" s="26"/>
      <c r="G327" s="24"/>
      <c r="H327" s="25"/>
      <c r="I327" s="25"/>
      <c r="J327" s="26"/>
      <c r="K327" t="str" s="15">
        <f aca="0">IF(COUNTA(B327:J327)=0,"",IF(R327&lt;&gt;"","확인필요(입력누락)",IF(COUNTIFS(보유목록!$I$2:$I$3001,"*"&amp;P327&amp;"*",보유목록!$I$2:$I$3001,"*"&amp;Q327&amp;"*",보유목록!$H$2:$H$3001,O327)&gt;0,"있음",IF(COUNTIFS(보유목록!$I$2:$I$3001,"*"&amp;P327&amp;"*",보유목록!$I$2:$I$3001,"*"&amp;Q327&amp;"*")&gt;0,"확인필요(연도다름)",IF(COUNTIFS(보유목록!$I$2:$I$3001,"*"&amp;P327&amp;"*",보유목록!$H$2:$H$3001,O327)&gt;0,"확인필요(같은학교·같은연도)","없음")))))</f>
      </c>
      <c r="L327" t="str" s="16">
        <f aca="0">IF(OR(COUNTA(B327:J327)=0,R327&lt;&gt;""),"",COUNTIFS(보유목록!$I$2:$I$3001,"*"&amp;P327&amp;"*",보유목록!$I$2:$I$3001,"*"&amp;Q327&amp;"*"))</f>
      </c>
      <c r="M327" t="str" s="23">
        <f aca="0">IF(OR(COUNTA(B327:J327)=0,R327&lt;&gt;""),"",IFERROR(LOOKUP(2,1/(ISNUMBER(SEARCH(P327,보유목록!$I$2:$I$3001))*ISNUMBER(SEARCH(Q327,보유목록!$I$2:$I$3001))*(보유목록!$H$2:$H$3001=O327)),보유목록!$B$2:$B$3001),IFERROR(LOOKUP(2,1/(ISNUMBER(SEARCH(P327,보유목록!$I$2:$I$3001))*ISNUMBER(SEARCH(Q327,보유목록!$I$2:$I$3001))),보유목록!$B$2:$B$3001),"")))</f>
      </c>
      <c r="N327" s="25"/>
      <c r="O327" t="str">
        <f>IFERROR(IF(AND(LEN(SUBSTITUTE(SUBSTITUTE(SUBSTITUTE(TRIM(C327&amp;""),CHAR(160),"")," ",""),"년",""))=4,VALUE(SUBSTITUTE(SUBSTITUTE(SUBSTITUTE(TRIM(C327&amp;""),CHAR(160),"")," ",""),"년",""))&gt;=1900,VALUE(SUBSTITUTE(SUBSTITUTE(SUBSTITUTE(TRIM(C327&amp;""),CHAR(160),"")," ",""),"년",""))&lt;=2099,TEXT(VALUE(SUBSTITUTE(SUBSTITUTE(SUBSTITUTE(TRIM(C327&amp;""),CHAR(160),"")," ",""),"년","")),"0000")=SUBSTITUTE(SUBSTITUTE(SUBSTITUTE(TRIM(C327&amp;""),CHAR(160),"")," ",""),"년","")),SUBSTITUTE(SUBSTITUTE(SUBSTITUTE(TRIM(C327&amp;""),CHAR(160),"")," ",""),"년",""),""),"")</f>
      </c>
      <c r="P327" t="str">
        <f>SUBSTITUTE(SUBSTITUTE(SUBSTITUTE(SUBSTITUTE(SUBSTITUTE(SUBSTITUTE(SUBSTITUTE(SUBSTITUTE(TRIM(D327&amp;""),CHAR(160),"")," ",""),"초등학교","초"),"중학교","중"),"고등학교","고"),"~","~~"),"*","~*"),"?","~?")</f>
      </c>
      <c r="Q327" t="str">
        <f>SUBSTITUTE(SUBSTITUTE(SUBSTITUTE(SUBSTITUTE(SUBSTITUTE(SUBSTITUTE(SUBSTITUTE(SUBSTITUTE(TRIM(E327&amp;""),CHAR(160),"")," ",""),"초등학교","초"),"중학교","중"),"고등학교","고"),"~","~~"),"*","~*"),"?","~?")</f>
      </c>
      <c r="R327" t="str">
        <f>IF(COUNTA(B327:J327)=0,"",IF(AND(O327&lt;&gt;"",P327&lt;&gt;"",Q327&lt;&gt;""),"","입력누락"))</f>
      </c>
    </row>
    <row r="328" customFormat="false" ht="15" hidden="false" customHeight="false" outlineLevel="0" collapsed="false">
      <c r="A328" t="n" s="19">
        <f aca="0">IF(COUNTA(B328:J328)=0,"",ROW()-1)</f>
      </c>
      <c r="B328" s="24"/>
      <c r="C328" s="25"/>
      <c r="D328" s="8"/>
      <c r="E328" s="8"/>
      <c r="F328" s="26"/>
      <c r="G328" s="24"/>
      <c r="H328" s="25"/>
      <c r="I328" s="25"/>
      <c r="J328" s="26"/>
      <c r="K328" t="str" s="15">
        <f aca="0">IF(COUNTA(B328:J328)=0,"",IF(R328&lt;&gt;"","확인필요(입력누락)",IF(COUNTIFS(보유목록!$I$2:$I$3001,"*"&amp;P328&amp;"*",보유목록!$I$2:$I$3001,"*"&amp;Q328&amp;"*",보유목록!$H$2:$H$3001,O328)&gt;0,"있음",IF(COUNTIFS(보유목록!$I$2:$I$3001,"*"&amp;P328&amp;"*",보유목록!$I$2:$I$3001,"*"&amp;Q328&amp;"*")&gt;0,"확인필요(연도다름)",IF(COUNTIFS(보유목록!$I$2:$I$3001,"*"&amp;P328&amp;"*",보유목록!$H$2:$H$3001,O328)&gt;0,"확인필요(같은학교·같은연도)","없음")))))</f>
      </c>
      <c r="L328" t="str" s="16">
        <f aca="0">IF(OR(COUNTA(B328:J328)=0,R328&lt;&gt;""),"",COUNTIFS(보유목록!$I$2:$I$3001,"*"&amp;P328&amp;"*",보유목록!$I$2:$I$3001,"*"&amp;Q328&amp;"*"))</f>
      </c>
      <c r="M328" t="str" s="23">
        <f aca="0">IF(OR(COUNTA(B328:J328)=0,R328&lt;&gt;""),"",IFERROR(LOOKUP(2,1/(ISNUMBER(SEARCH(P328,보유목록!$I$2:$I$3001))*ISNUMBER(SEARCH(Q328,보유목록!$I$2:$I$3001))*(보유목록!$H$2:$H$3001=O328)),보유목록!$B$2:$B$3001),IFERROR(LOOKUP(2,1/(ISNUMBER(SEARCH(P328,보유목록!$I$2:$I$3001))*ISNUMBER(SEARCH(Q328,보유목록!$I$2:$I$3001))),보유목록!$B$2:$B$3001),"")))</f>
      </c>
      <c r="N328" s="25"/>
      <c r="O328" t="str">
        <f>IFERROR(IF(AND(LEN(SUBSTITUTE(SUBSTITUTE(SUBSTITUTE(TRIM(C328&amp;""),CHAR(160),"")," ",""),"년",""))=4,VALUE(SUBSTITUTE(SUBSTITUTE(SUBSTITUTE(TRIM(C328&amp;""),CHAR(160),"")," ",""),"년",""))&gt;=1900,VALUE(SUBSTITUTE(SUBSTITUTE(SUBSTITUTE(TRIM(C328&amp;""),CHAR(160),"")," ",""),"년",""))&lt;=2099,TEXT(VALUE(SUBSTITUTE(SUBSTITUTE(SUBSTITUTE(TRIM(C328&amp;""),CHAR(160),"")," ",""),"년","")),"0000")=SUBSTITUTE(SUBSTITUTE(SUBSTITUTE(TRIM(C328&amp;""),CHAR(160),"")," ",""),"년","")),SUBSTITUTE(SUBSTITUTE(SUBSTITUTE(TRIM(C328&amp;""),CHAR(160),"")," ",""),"년",""),""),"")</f>
      </c>
      <c r="P328" t="str">
        <f>SUBSTITUTE(SUBSTITUTE(SUBSTITUTE(SUBSTITUTE(SUBSTITUTE(SUBSTITUTE(SUBSTITUTE(SUBSTITUTE(TRIM(D328&amp;""),CHAR(160),"")," ",""),"초등학교","초"),"중학교","중"),"고등학교","고"),"~","~~"),"*","~*"),"?","~?")</f>
      </c>
      <c r="Q328" t="str">
        <f>SUBSTITUTE(SUBSTITUTE(SUBSTITUTE(SUBSTITUTE(SUBSTITUTE(SUBSTITUTE(SUBSTITUTE(SUBSTITUTE(TRIM(E328&amp;""),CHAR(160),"")," ",""),"초등학교","초"),"중학교","중"),"고등학교","고"),"~","~~"),"*","~*"),"?","~?")</f>
      </c>
      <c r="R328" t="str">
        <f>IF(COUNTA(B328:J328)=0,"",IF(AND(O328&lt;&gt;"",P328&lt;&gt;"",Q328&lt;&gt;""),"","입력누락"))</f>
      </c>
    </row>
    <row r="329" customFormat="false" ht="15" hidden="false" customHeight="false" outlineLevel="0" collapsed="false">
      <c r="A329" t="n" s="19">
        <f aca="0">IF(COUNTA(B329:J329)=0,"",ROW()-1)</f>
      </c>
      <c r="B329" s="24"/>
      <c r="C329" s="25"/>
      <c r="D329" s="8"/>
      <c r="E329" s="8"/>
      <c r="F329" s="26"/>
      <c r="G329" s="24"/>
      <c r="H329" s="25"/>
      <c r="I329" s="25"/>
      <c r="J329" s="26"/>
      <c r="K329" t="str" s="15">
        <f aca="0">IF(COUNTA(B329:J329)=0,"",IF(R329&lt;&gt;"","확인필요(입력누락)",IF(COUNTIFS(보유목록!$I$2:$I$3001,"*"&amp;P329&amp;"*",보유목록!$I$2:$I$3001,"*"&amp;Q329&amp;"*",보유목록!$H$2:$H$3001,O329)&gt;0,"있음",IF(COUNTIFS(보유목록!$I$2:$I$3001,"*"&amp;P329&amp;"*",보유목록!$I$2:$I$3001,"*"&amp;Q329&amp;"*")&gt;0,"확인필요(연도다름)",IF(COUNTIFS(보유목록!$I$2:$I$3001,"*"&amp;P329&amp;"*",보유목록!$H$2:$H$3001,O329)&gt;0,"확인필요(같은학교·같은연도)","없음")))))</f>
      </c>
      <c r="L329" t="str" s="16">
        <f aca="0">IF(OR(COUNTA(B329:J329)=0,R329&lt;&gt;""),"",COUNTIFS(보유목록!$I$2:$I$3001,"*"&amp;P329&amp;"*",보유목록!$I$2:$I$3001,"*"&amp;Q329&amp;"*"))</f>
      </c>
      <c r="M329" t="str" s="23">
        <f aca="0">IF(OR(COUNTA(B329:J329)=0,R329&lt;&gt;""),"",IFERROR(LOOKUP(2,1/(ISNUMBER(SEARCH(P329,보유목록!$I$2:$I$3001))*ISNUMBER(SEARCH(Q329,보유목록!$I$2:$I$3001))*(보유목록!$H$2:$H$3001=O329)),보유목록!$B$2:$B$3001),IFERROR(LOOKUP(2,1/(ISNUMBER(SEARCH(P329,보유목록!$I$2:$I$3001))*ISNUMBER(SEARCH(Q329,보유목록!$I$2:$I$3001))),보유목록!$B$2:$B$3001),"")))</f>
      </c>
      <c r="N329" s="25"/>
      <c r="O329" t="str">
        <f>IFERROR(IF(AND(LEN(SUBSTITUTE(SUBSTITUTE(SUBSTITUTE(TRIM(C329&amp;""),CHAR(160),"")," ",""),"년",""))=4,VALUE(SUBSTITUTE(SUBSTITUTE(SUBSTITUTE(TRIM(C329&amp;""),CHAR(160),"")," ",""),"년",""))&gt;=1900,VALUE(SUBSTITUTE(SUBSTITUTE(SUBSTITUTE(TRIM(C329&amp;""),CHAR(160),"")," ",""),"년",""))&lt;=2099,TEXT(VALUE(SUBSTITUTE(SUBSTITUTE(SUBSTITUTE(TRIM(C329&amp;""),CHAR(160),"")," ",""),"년","")),"0000")=SUBSTITUTE(SUBSTITUTE(SUBSTITUTE(TRIM(C329&amp;""),CHAR(160),"")," ",""),"년","")),SUBSTITUTE(SUBSTITUTE(SUBSTITUTE(TRIM(C329&amp;""),CHAR(160),"")," ",""),"년",""),""),"")</f>
      </c>
      <c r="P329" t="str">
        <f>SUBSTITUTE(SUBSTITUTE(SUBSTITUTE(SUBSTITUTE(SUBSTITUTE(SUBSTITUTE(SUBSTITUTE(SUBSTITUTE(TRIM(D329&amp;""),CHAR(160),"")," ",""),"초등학교","초"),"중학교","중"),"고등학교","고"),"~","~~"),"*","~*"),"?","~?")</f>
      </c>
      <c r="Q329" t="str">
        <f>SUBSTITUTE(SUBSTITUTE(SUBSTITUTE(SUBSTITUTE(SUBSTITUTE(SUBSTITUTE(SUBSTITUTE(SUBSTITUTE(TRIM(E329&amp;""),CHAR(160),"")," ",""),"초등학교","초"),"중학교","중"),"고등학교","고"),"~","~~"),"*","~*"),"?","~?")</f>
      </c>
      <c r="R329" t="str">
        <f>IF(COUNTA(B329:J329)=0,"",IF(AND(O329&lt;&gt;"",P329&lt;&gt;"",Q329&lt;&gt;""),"","입력누락"))</f>
      </c>
    </row>
    <row r="330" customFormat="false" ht="15" hidden="false" customHeight="false" outlineLevel="0" collapsed="false">
      <c r="A330" t="n" s="19">
        <f aca="0">IF(COUNTA(B330:J330)=0,"",ROW()-1)</f>
      </c>
      <c r="B330" s="24"/>
      <c r="C330" s="25"/>
      <c r="D330" s="8"/>
      <c r="E330" s="8"/>
      <c r="F330" s="26"/>
      <c r="G330" s="24"/>
      <c r="H330" s="25"/>
      <c r="I330" s="25"/>
      <c r="J330" s="26"/>
      <c r="K330" t="str" s="15">
        <f aca="0">IF(COUNTA(B330:J330)=0,"",IF(R330&lt;&gt;"","확인필요(입력누락)",IF(COUNTIFS(보유목록!$I$2:$I$3001,"*"&amp;P330&amp;"*",보유목록!$I$2:$I$3001,"*"&amp;Q330&amp;"*",보유목록!$H$2:$H$3001,O330)&gt;0,"있음",IF(COUNTIFS(보유목록!$I$2:$I$3001,"*"&amp;P330&amp;"*",보유목록!$I$2:$I$3001,"*"&amp;Q330&amp;"*")&gt;0,"확인필요(연도다름)",IF(COUNTIFS(보유목록!$I$2:$I$3001,"*"&amp;P330&amp;"*",보유목록!$H$2:$H$3001,O330)&gt;0,"확인필요(같은학교·같은연도)","없음")))))</f>
      </c>
      <c r="L330" t="str" s="16">
        <f aca="0">IF(OR(COUNTA(B330:J330)=0,R330&lt;&gt;""),"",COUNTIFS(보유목록!$I$2:$I$3001,"*"&amp;P330&amp;"*",보유목록!$I$2:$I$3001,"*"&amp;Q330&amp;"*"))</f>
      </c>
      <c r="M330" t="str" s="23">
        <f aca="0">IF(OR(COUNTA(B330:J330)=0,R330&lt;&gt;""),"",IFERROR(LOOKUP(2,1/(ISNUMBER(SEARCH(P330,보유목록!$I$2:$I$3001))*ISNUMBER(SEARCH(Q330,보유목록!$I$2:$I$3001))*(보유목록!$H$2:$H$3001=O330)),보유목록!$B$2:$B$3001),IFERROR(LOOKUP(2,1/(ISNUMBER(SEARCH(P330,보유목록!$I$2:$I$3001))*ISNUMBER(SEARCH(Q330,보유목록!$I$2:$I$3001))),보유목록!$B$2:$B$3001),"")))</f>
      </c>
      <c r="N330" s="25"/>
      <c r="O330" t="str">
        <f>IFERROR(IF(AND(LEN(SUBSTITUTE(SUBSTITUTE(SUBSTITUTE(TRIM(C330&amp;""),CHAR(160),"")," ",""),"년",""))=4,VALUE(SUBSTITUTE(SUBSTITUTE(SUBSTITUTE(TRIM(C330&amp;""),CHAR(160),"")," ",""),"년",""))&gt;=1900,VALUE(SUBSTITUTE(SUBSTITUTE(SUBSTITUTE(TRIM(C330&amp;""),CHAR(160),"")," ",""),"년",""))&lt;=2099,TEXT(VALUE(SUBSTITUTE(SUBSTITUTE(SUBSTITUTE(TRIM(C330&amp;""),CHAR(160),"")," ",""),"년","")),"0000")=SUBSTITUTE(SUBSTITUTE(SUBSTITUTE(TRIM(C330&amp;""),CHAR(160),"")," ",""),"년","")),SUBSTITUTE(SUBSTITUTE(SUBSTITUTE(TRIM(C330&amp;""),CHAR(160),"")," ",""),"년",""),""),"")</f>
      </c>
      <c r="P330" t="str">
        <f>SUBSTITUTE(SUBSTITUTE(SUBSTITUTE(SUBSTITUTE(SUBSTITUTE(SUBSTITUTE(SUBSTITUTE(SUBSTITUTE(TRIM(D330&amp;""),CHAR(160),"")," ",""),"초등학교","초"),"중학교","중"),"고등학교","고"),"~","~~"),"*","~*"),"?","~?")</f>
      </c>
      <c r="Q330" t="str">
        <f>SUBSTITUTE(SUBSTITUTE(SUBSTITUTE(SUBSTITUTE(SUBSTITUTE(SUBSTITUTE(SUBSTITUTE(SUBSTITUTE(TRIM(E330&amp;""),CHAR(160),"")," ",""),"초등학교","초"),"중학교","중"),"고등학교","고"),"~","~~"),"*","~*"),"?","~?")</f>
      </c>
      <c r="R330" t="str">
        <f>IF(COUNTA(B330:J330)=0,"",IF(AND(O330&lt;&gt;"",P330&lt;&gt;"",Q330&lt;&gt;""),"","입력누락"))</f>
      </c>
    </row>
    <row r="331" customFormat="false" ht="15" hidden="false" customHeight="false" outlineLevel="0" collapsed="false">
      <c r="A331" t="n" s="19">
        <f aca="0">IF(COUNTA(B331:J331)=0,"",ROW()-1)</f>
      </c>
      <c r="B331" s="24"/>
      <c r="C331" s="25"/>
      <c r="D331" s="8"/>
      <c r="E331" s="8"/>
      <c r="F331" s="26"/>
      <c r="G331" s="24"/>
      <c r="H331" s="25"/>
      <c r="I331" s="25"/>
      <c r="J331" s="26"/>
      <c r="K331" t="str" s="15">
        <f aca="0">IF(COUNTA(B331:J331)=0,"",IF(R331&lt;&gt;"","확인필요(입력누락)",IF(COUNTIFS(보유목록!$I$2:$I$3001,"*"&amp;P331&amp;"*",보유목록!$I$2:$I$3001,"*"&amp;Q331&amp;"*",보유목록!$H$2:$H$3001,O331)&gt;0,"있음",IF(COUNTIFS(보유목록!$I$2:$I$3001,"*"&amp;P331&amp;"*",보유목록!$I$2:$I$3001,"*"&amp;Q331&amp;"*")&gt;0,"확인필요(연도다름)",IF(COUNTIFS(보유목록!$I$2:$I$3001,"*"&amp;P331&amp;"*",보유목록!$H$2:$H$3001,O331)&gt;0,"확인필요(같은학교·같은연도)","없음")))))</f>
      </c>
      <c r="L331" t="str" s="16">
        <f aca="0">IF(OR(COUNTA(B331:J331)=0,R331&lt;&gt;""),"",COUNTIFS(보유목록!$I$2:$I$3001,"*"&amp;P331&amp;"*",보유목록!$I$2:$I$3001,"*"&amp;Q331&amp;"*"))</f>
      </c>
      <c r="M331" t="str" s="23">
        <f aca="0">IF(OR(COUNTA(B331:J331)=0,R331&lt;&gt;""),"",IFERROR(LOOKUP(2,1/(ISNUMBER(SEARCH(P331,보유목록!$I$2:$I$3001))*ISNUMBER(SEARCH(Q331,보유목록!$I$2:$I$3001))*(보유목록!$H$2:$H$3001=O331)),보유목록!$B$2:$B$3001),IFERROR(LOOKUP(2,1/(ISNUMBER(SEARCH(P331,보유목록!$I$2:$I$3001))*ISNUMBER(SEARCH(Q331,보유목록!$I$2:$I$3001))),보유목록!$B$2:$B$3001),"")))</f>
      </c>
      <c r="N331" s="25"/>
      <c r="O331" t="str">
        <f>IFERROR(IF(AND(LEN(SUBSTITUTE(SUBSTITUTE(SUBSTITUTE(TRIM(C331&amp;""),CHAR(160),"")," ",""),"년",""))=4,VALUE(SUBSTITUTE(SUBSTITUTE(SUBSTITUTE(TRIM(C331&amp;""),CHAR(160),"")," ",""),"년",""))&gt;=1900,VALUE(SUBSTITUTE(SUBSTITUTE(SUBSTITUTE(TRIM(C331&amp;""),CHAR(160),"")," ",""),"년",""))&lt;=2099,TEXT(VALUE(SUBSTITUTE(SUBSTITUTE(SUBSTITUTE(TRIM(C331&amp;""),CHAR(160),"")," ",""),"년","")),"0000")=SUBSTITUTE(SUBSTITUTE(SUBSTITUTE(TRIM(C331&amp;""),CHAR(160),"")," ",""),"년","")),SUBSTITUTE(SUBSTITUTE(SUBSTITUTE(TRIM(C331&amp;""),CHAR(160),"")," ",""),"년",""),""),"")</f>
      </c>
      <c r="P331" t="str">
        <f>SUBSTITUTE(SUBSTITUTE(SUBSTITUTE(SUBSTITUTE(SUBSTITUTE(SUBSTITUTE(SUBSTITUTE(SUBSTITUTE(TRIM(D331&amp;""),CHAR(160),"")," ",""),"초등학교","초"),"중학교","중"),"고등학교","고"),"~","~~"),"*","~*"),"?","~?")</f>
      </c>
      <c r="Q331" t="str">
        <f>SUBSTITUTE(SUBSTITUTE(SUBSTITUTE(SUBSTITUTE(SUBSTITUTE(SUBSTITUTE(SUBSTITUTE(SUBSTITUTE(TRIM(E331&amp;""),CHAR(160),"")," ",""),"초등학교","초"),"중학교","중"),"고등학교","고"),"~","~~"),"*","~*"),"?","~?")</f>
      </c>
      <c r="R331" t="str">
        <f>IF(COUNTA(B331:J331)=0,"",IF(AND(O331&lt;&gt;"",P331&lt;&gt;"",Q331&lt;&gt;""),"","입력누락"))</f>
      </c>
    </row>
    <row r="332" customFormat="false" ht="15" hidden="false" customHeight="false" outlineLevel="0" collapsed="false">
      <c r="A332" t="n" s="19">
        <f aca="0">IF(COUNTA(B332:J332)=0,"",ROW()-1)</f>
      </c>
      <c r="B332" s="24"/>
      <c r="C332" s="25"/>
      <c r="D332" s="8"/>
      <c r="E332" s="8"/>
      <c r="F332" s="26"/>
      <c r="G332" s="24"/>
      <c r="H332" s="25"/>
      <c r="I332" s="25"/>
      <c r="J332" s="26"/>
      <c r="K332" t="str" s="15">
        <f aca="0">IF(COUNTA(B332:J332)=0,"",IF(R332&lt;&gt;"","확인필요(입력누락)",IF(COUNTIFS(보유목록!$I$2:$I$3001,"*"&amp;P332&amp;"*",보유목록!$I$2:$I$3001,"*"&amp;Q332&amp;"*",보유목록!$H$2:$H$3001,O332)&gt;0,"있음",IF(COUNTIFS(보유목록!$I$2:$I$3001,"*"&amp;P332&amp;"*",보유목록!$I$2:$I$3001,"*"&amp;Q332&amp;"*")&gt;0,"확인필요(연도다름)",IF(COUNTIFS(보유목록!$I$2:$I$3001,"*"&amp;P332&amp;"*",보유목록!$H$2:$H$3001,O332)&gt;0,"확인필요(같은학교·같은연도)","없음")))))</f>
      </c>
      <c r="L332" t="str" s="16">
        <f aca="0">IF(OR(COUNTA(B332:J332)=0,R332&lt;&gt;""),"",COUNTIFS(보유목록!$I$2:$I$3001,"*"&amp;P332&amp;"*",보유목록!$I$2:$I$3001,"*"&amp;Q332&amp;"*"))</f>
      </c>
      <c r="M332" t="str" s="23">
        <f aca="0">IF(OR(COUNTA(B332:J332)=0,R332&lt;&gt;""),"",IFERROR(LOOKUP(2,1/(ISNUMBER(SEARCH(P332,보유목록!$I$2:$I$3001))*ISNUMBER(SEARCH(Q332,보유목록!$I$2:$I$3001))*(보유목록!$H$2:$H$3001=O332)),보유목록!$B$2:$B$3001),IFERROR(LOOKUP(2,1/(ISNUMBER(SEARCH(P332,보유목록!$I$2:$I$3001))*ISNUMBER(SEARCH(Q332,보유목록!$I$2:$I$3001))),보유목록!$B$2:$B$3001),"")))</f>
      </c>
      <c r="N332" s="25"/>
      <c r="O332" t="str">
        <f>IFERROR(IF(AND(LEN(SUBSTITUTE(SUBSTITUTE(SUBSTITUTE(TRIM(C332&amp;""),CHAR(160),"")," ",""),"년",""))=4,VALUE(SUBSTITUTE(SUBSTITUTE(SUBSTITUTE(TRIM(C332&amp;""),CHAR(160),"")," ",""),"년",""))&gt;=1900,VALUE(SUBSTITUTE(SUBSTITUTE(SUBSTITUTE(TRIM(C332&amp;""),CHAR(160),"")," ",""),"년",""))&lt;=2099,TEXT(VALUE(SUBSTITUTE(SUBSTITUTE(SUBSTITUTE(TRIM(C332&amp;""),CHAR(160),"")," ",""),"년","")),"0000")=SUBSTITUTE(SUBSTITUTE(SUBSTITUTE(TRIM(C332&amp;""),CHAR(160),"")," ",""),"년","")),SUBSTITUTE(SUBSTITUTE(SUBSTITUTE(TRIM(C332&amp;""),CHAR(160),"")," ",""),"년",""),""),"")</f>
      </c>
      <c r="P332" t="str">
        <f>SUBSTITUTE(SUBSTITUTE(SUBSTITUTE(SUBSTITUTE(SUBSTITUTE(SUBSTITUTE(SUBSTITUTE(SUBSTITUTE(TRIM(D332&amp;""),CHAR(160),"")," ",""),"초등학교","초"),"중학교","중"),"고등학교","고"),"~","~~"),"*","~*"),"?","~?")</f>
      </c>
      <c r="Q332" t="str">
        <f>SUBSTITUTE(SUBSTITUTE(SUBSTITUTE(SUBSTITUTE(SUBSTITUTE(SUBSTITUTE(SUBSTITUTE(SUBSTITUTE(TRIM(E332&amp;""),CHAR(160),"")," ",""),"초등학교","초"),"중학교","중"),"고등학교","고"),"~","~~"),"*","~*"),"?","~?")</f>
      </c>
      <c r="R332" t="str">
        <f>IF(COUNTA(B332:J332)=0,"",IF(AND(O332&lt;&gt;"",P332&lt;&gt;"",Q332&lt;&gt;""),"","입력누락"))</f>
      </c>
    </row>
    <row r="333" customFormat="false" ht="15" hidden="false" customHeight="false" outlineLevel="0" collapsed="false">
      <c r="A333" t="n" s="19">
        <f aca="0">IF(COUNTA(B333:J333)=0,"",ROW()-1)</f>
      </c>
      <c r="B333" s="24"/>
      <c r="C333" s="25"/>
      <c r="D333" s="8"/>
      <c r="E333" s="8"/>
      <c r="F333" s="26"/>
      <c r="G333" s="24"/>
      <c r="H333" s="25"/>
      <c r="I333" s="25"/>
      <c r="J333" s="26"/>
      <c r="K333" t="str" s="15">
        <f aca="0">IF(COUNTA(B333:J333)=0,"",IF(R333&lt;&gt;"","확인필요(입력누락)",IF(COUNTIFS(보유목록!$I$2:$I$3001,"*"&amp;P333&amp;"*",보유목록!$I$2:$I$3001,"*"&amp;Q333&amp;"*",보유목록!$H$2:$H$3001,O333)&gt;0,"있음",IF(COUNTIFS(보유목록!$I$2:$I$3001,"*"&amp;P333&amp;"*",보유목록!$I$2:$I$3001,"*"&amp;Q333&amp;"*")&gt;0,"확인필요(연도다름)",IF(COUNTIFS(보유목록!$I$2:$I$3001,"*"&amp;P333&amp;"*",보유목록!$H$2:$H$3001,O333)&gt;0,"확인필요(같은학교·같은연도)","없음")))))</f>
      </c>
      <c r="L333" t="str" s="16">
        <f aca="0">IF(OR(COUNTA(B333:J333)=0,R333&lt;&gt;""),"",COUNTIFS(보유목록!$I$2:$I$3001,"*"&amp;P333&amp;"*",보유목록!$I$2:$I$3001,"*"&amp;Q333&amp;"*"))</f>
      </c>
      <c r="M333" t="str" s="23">
        <f aca="0">IF(OR(COUNTA(B333:J333)=0,R333&lt;&gt;""),"",IFERROR(LOOKUP(2,1/(ISNUMBER(SEARCH(P333,보유목록!$I$2:$I$3001))*ISNUMBER(SEARCH(Q333,보유목록!$I$2:$I$3001))*(보유목록!$H$2:$H$3001=O333)),보유목록!$B$2:$B$3001),IFERROR(LOOKUP(2,1/(ISNUMBER(SEARCH(P333,보유목록!$I$2:$I$3001))*ISNUMBER(SEARCH(Q333,보유목록!$I$2:$I$3001))),보유목록!$B$2:$B$3001),"")))</f>
      </c>
      <c r="N333" s="25"/>
      <c r="O333" t="str">
        <f>IFERROR(IF(AND(LEN(SUBSTITUTE(SUBSTITUTE(SUBSTITUTE(TRIM(C333&amp;""),CHAR(160),"")," ",""),"년",""))=4,VALUE(SUBSTITUTE(SUBSTITUTE(SUBSTITUTE(TRIM(C333&amp;""),CHAR(160),"")," ",""),"년",""))&gt;=1900,VALUE(SUBSTITUTE(SUBSTITUTE(SUBSTITUTE(TRIM(C333&amp;""),CHAR(160),"")," ",""),"년",""))&lt;=2099,TEXT(VALUE(SUBSTITUTE(SUBSTITUTE(SUBSTITUTE(TRIM(C333&amp;""),CHAR(160),"")," ",""),"년","")),"0000")=SUBSTITUTE(SUBSTITUTE(SUBSTITUTE(TRIM(C333&amp;""),CHAR(160),"")," ",""),"년","")),SUBSTITUTE(SUBSTITUTE(SUBSTITUTE(TRIM(C333&amp;""),CHAR(160),"")," ",""),"년",""),""),"")</f>
      </c>
      <c r="P333" t="str">
        <f>SUBSTITUTE(SUBSTITUTE(SUBSTITUTE(SUBSTITUTE(SUBSTITUTE(SUBSTITUTE(SUBSTITUTE(SUBSTITUTE(TRIM(D333&amp;""),CHAR(160),"")," ",""),"초등학교","초"),"중학교","중"),"고등학교","고"),"~","~~"),"*","~*"),"?","~?")</f>
      </c>
      <c r="Q333" t="str">
        <f>SUBSTITUTE(SUBSTITUTE(SUBSTITUTE(SUBSTITUTE(SUBSTITUTE(SUBSTITUTE(SUBSTITUTE(SUBSTITUTE(TRIM(E333&amp;""),CHAR(160),"")," ",""),"초등학교","초"),"중학교","중"),"고등학교","고"),"~","~~"),"*","~*"),"?","~?")</f>
      </c>
      <c r="R333" t="str">
        <f>IF(COUNTA(B333:J333)=0,"",IF(AND(O333&lt;&gt;"",P333&lt;&gt;"",Q333&lt;&gt;""),"","입력누락"))</f>
      </c>
    </row>
    <row r="334" customFormat="false" ht="15" hidden="false" customHeight="false" outlineLevel="0" collapsed="false">
      <c r="A334" t="n" s="19">
        <f aca="0">IF(COUNTA(B334:J334)=0,"",ROW()-1)</f>
      </c>
      <c r="B334" s="24"/>
      <c r="C334" s="25"/>
      <c r="D334" s="8"/>
      <c r="E334" s="8"/>
      <c r="F334" s="26"/>
      <c r="G334" s="24"/>
      <c r="H334" s="25"/>
      <c r="I334" s="25"/>
      <c r="J334" s="26"/>
      <c r="K334" t="str" s="15">
        <f aca="0">IF(COUNTA(B334:J334)=0,"",IF(R334&lt;&gt;"","확인필요(입력누락)",IF(COUNTIFS(보유목록!$I$2:$I$3001,"*"&amp;P334&amp;"*",보유목록!$I$2:$I$3001,"*"&amp;Q334&amp;"*",보유목록!$H$2:$H$3001,O334)&gt;0,"있음",IF(COUNTIFS(보유목록!$I$2:$I$3001,"*"&amp;P334&amp;"*",보유목록!$I$2:$I$3001,"*"&amp;Q334&amp;"*")&gt;0,"확인필요(연도다름)",IF(COUNTIFS(보유목록!$I$2:$I$3001,"*"&amp;P334&amp;"*",보유목록!$H$2:$H$3001,O334)&gt;0,"확인필요(같은학교·같은연도)","없음")))))</f>
      </c>
      <c r="L334" t="str" s="16">
        <f aca="0">IF(OR(COUNTA(B334:J334)=0,R334&lt;&gt;""),"",COUNTIFS(보유목록!$I$2:$I$3001,"*"&amp;P334&amp;"*",보유목록!$I$2:$I$3001,"*"&amp;Q334&amp;"*"))</f>
      </c>
      <c r="M334" t="str" s="23">
        <f aca="0">IF(OR(COUNTA(B334:J334)=0,R334&lt;&gt;""),"",IFERROR(LOOKUP(2,1/(ISNUMBER(SEARCH(P334,보유목록!$I$2:$I$3001))*ISNUMBER(SEARCH(Q334,보유목록!$I$2:$I$3001))*(보유목록!$H$2:$H$3001=O334)),보유목록!$B$2:$B$3001),IFERROR(LOOKUP(2,1/(ISNUMBER(SEARCH(P334,보유목록!$I$2:$I$3001))*ISNUMBER(SEARCH(Q334,보유목록!$I$2:$I$3001))),보유목록!$B$2:$B$3001),"")))</f>
      </c>
      <c r="N334" s="25"/>
      <c r="O334" t="str">
        <f>IFERROR(IF(AND(LEN(SUBSTITUTE(SUBSTITUTE(SUBSTITUTE(TRIM(C334&amp;""),CHAR(160),"")," ",""),"년",""))=4,VALUE(SUBSTITUTE(SUBSTITUTE(SUBSTITUTE(TRIM(C334&amp;""),CHAR(160),"")," ",""),"년",""))&gt;=1900,VALUE(SUBSTITUTE(SUBSTITUTE(SUBSTITUTE(TRIM(C334&amp;""),CHAR(160),"")," ",""),"년",""))&lt;=2099,TEXT(VALUE(SUBSTITUTE(SUBSTITUTE(SUBSTITUTE(TRIM(C334&amp;""),CHAR(160),"")," ",""),"년","")),"0000")=SUBSTITUTE(SUBSTITUTE(SUBSTITUTE(TRIM(C334&amp;""),CHAR(160),"")," ",""),"년","")),SUBSTITUTE(SUBSTITUTE(SUBSTITUTE(TRIM(C334&amp;""),CHAR(160),"")," ",""),"년",""),""),"")</f>
      </c>
      <c r="P334" t="str">
        <f>SUBSTITUTE(SUBSTITUTE(SUBSTITUTE(SUBSTITUTE(SUBSTITUTE(SUBSTITUTE(SUBSTITUTE(SUBSTITUTE(TRIM(D334&amp;""),CHAR(160),"")," ",""),"초등학교","초"),"중학교","중"),"고등학교","고"),"~","~~"),"*","~*"),"?","~?")</f>
      </c>
      <c r="Q334" t="str">
        <f>SUBSTITUTE(SUBSTITUTE(SUBSTITUTE(SUBSTITUTE(SUBSTITUTE(SUBSTITUTE(SUBSTITUTE(SUBSTITUTE(TRIM(E334&amp;""),CHAR(160),"")," ",""),"초등학교","초"),"중학교","중"),"고등학교","고"),"~","~~"),"*","~*"),"?","~?")</f>
      </c>
      <c r="R334" t="str">
        <f>IF(COUNTA(B334:J334)=0,"",IF(AND(O334&lt;&gt;"",P334&lt;&gt;"",Q334&lt;&gt;""),"","입력누락"))</f>
      </c>
    </row>
    <row r="335" customFormat="false" ht="15" hidden="false" customHeight="false" outlineLevel="0" collapsed="false">
      <c r="A335" t="n" s="19">
        <f aca="0">IF(COUNTA(B335:J335)=0,"",ROW()-1)</f>
      </c>
      <c r="B335" s="24"/>
      <c r="C335" s="25"/>
      <c r="D335" s="8"/>
      <c r="E335" s="8"/>
      <c r="F335" s="26"/>
      <c r="G335" s="24"/>
      <c r="H335" s="25"/>
      <c r="I335" s="25"/>
      <c r="J335" s="26"/>
      <c r="K335" t="str" s="15">
        <f aca="0">IF(COUNTA(B335:J335)=0,"",IF(R335&lt;&gt;"","확인필요(입력누락)",IF(COUNTIFS(보유목록!$I$2:$I$3001,"*"&amp;P335&amp;"*",보유목록!$I$2:$I$3001,"*"&amp;Q335&amp;"*",보유목록!$H$2:$H$3001,O335)&gt;0,"있음",IF(COUNTIFS(보유목록!$I$2:$I$3001,"*"&amp;P335&amp;"*",보유목록!$I$2:$I$3001,"*"&amp;Q335&amp;"*")&gt;0,"확인필요(연도다름)",IF(COUNTIFS(보유목록!$I$2:$I$3001,"*"&amp;P335&amp;"*",보유목록!$H$2:$H$3001,O335)&gt;0,"확인필요(같은학교·같은연도)","없음")))))</f>
      </c>
      <c r="L335" t="str" s="16">
        <f aca="0">IF(OR(COUNTA(B335:J335)=0,R335&lt;&gt;""),"",COUNTIFS(보유목록!$I$2:$I$3001,"*"&amp;P335&amp;"*",보유목록!$I$2:$I$3001,"*"&amp;Q335&amp;"*"))</f>
      </c>
      <c r="M335" t="str" s="23">
        <f aca="0">IF(OR(COUNTA(B335:J335)=0,R335&lt;&gt;""),"",IFERROR(LOOKUP(2,1/(ISNUMBER(SEARCH(P335,보유목록!$I$2:$I$3001))*ISNUMBER(SEARCH(Q335,보유목록!$I$2:$I$3001))*(보유목록!$H$2:$H$3001=O335)),보유목록!$B$2:$B$3001),IFERROR(LOOKUP(2,1/(ISNUMBER(SEARCH(P335,보유목록!$I$2:$I$3001))*ISNUMBER(SEARCH(Q335,보유목록!$I$2:$I$3001))),보유목록!$B$2:$B$3001),"")))</f>
      </c>
      <c r="N335" s="25"/>
      <c r="O335" t="str">
        <f>IFERROR(IF(AND(LEN(SUBSTITUTE(SUBSTITUTE(SUBSTITUTE(TRIM(C335&amp;""),CHAR(160),"")," ",""),"년",""))=4,VALUE(SUBSTITUTE(SUBSTITUTE(SUBSTITUTE(TRIM(C335&amp;""),CHAR(160),"")," ",""),"년",""))&gt;=1900,VALUE(SUBSTITUTE(SUBSTITUTE(SUBSTITUTE(TRIM(C335&amp;""),CHAR(160),"")," ",""),"년",""))&lt;=2099,TEXT(VALUE(SUBSTITUTE(SUBSTITUTE(SUBSTITUTE(TRIM(C335&amp;""),CHAR(160),"")," ",""),"년","")),"0000")=SUBSTITUTE(SUBSTITUTE(SUBSTITUTE(TRIM(C335&amp;""),CHAR(160),"")," ",""),"년","")),SUBSTITUTE(SUBSTITUTE(SUBSTITUTE(TRIM(C335&amp;""),CHAR(160),"")," ",""),"년",""),""),"")</f>
      </c>
      <c r="P335" t="str">
        <f>SUBSTITUTE(SUBSTITUTE(SUBSTITUTE(SUBSTITUTE(SUBSTITUTE(SUBSTITUTE(SUBSTITUTE(SUBSTITUTE(TRIM(D335&amp;""),CHAR(160),"")," ",""),"초등학교","초"),"중학교","중"),"고등학교","고"),"~","~~"),"*","~*"),"?","~?")</f>
      </c>
      <c r="Q335" t="str">
        <f>SUBSTITUTE(SUBSTITUTE(SUBSTITUTE(SUBSTITUTE(SUBSTITUTE(SUBSTITUTE(SUBSTITUTE(SUBSTITUTE(TRIM(E335&amp;""),CHAR(160),"")," ",""),"초등학교","초"),"중학교","중"),"고등학교","고"),"~","~~"),"*","~*"),"?","~?")</f>
      </c>
      <c r="R335" t="str">
        <f>IF(COUNTA(B335:J335)=0,"",IF(AND(O335&lt;&gt;"",P335&lt;&gt;"",Q335&lt;&gt;""),"","입력누락"))</f>
      </c>
    </row>
    <row r="336" customFormat="false" ht="15" hidden="false" customHeight="false" outlineLevel="0" collapsed="false">
      <c r="A336" t="n" s="19">
        <f aca="0">IF(COUNTA(B336:J336)=0,"",ROW()-1)</f>
      </c>
      <c r="B336" s="24"/>
      <c r="C336" s="25"/>
      <c r="D336" s="8"/>
      <c r="E336" s="8"/>
      <c r="F336" s="26"/>
      <c r="G336" s="24"/>
      <c r="H336" s="25"/>
      <c r="I336" s="25"/>
      <c r="J336" s="26"/>
      <c r="K336" t="str" s="15">
        <f aca="0">IF(COUNTA(B336:J336)=0,"",IF(R336&lt;&gt;"","확인필요(입력누락)",IF(COUNTIFS(보유목록!$I$2:$I$3001,"*"&amp;P336&amp;"*",보유목록!$I$2:$I$3001,"*"&amp;Q336&amp;"*",보유목록!$H$2:$H$3001,O336)&gt;0,"있음",IF(COUNTIFS(보유목록!$I$2:$I$3001,"*"&amp;P336&amp;"*",보유목록!$I$2:$I$3001,"*"&amp;Q336&amp;"*")&gt;0,"확인필요(연도다름)",IF(COUNTIFS(보유목록!$I$2:$I$3001,"*"&amp;P336&amp;"*",보유목록!$H$2:$H$3001,O336)&gt;0,"확인필요(같은학교·같은연도)","없음")))))</f>
      </c>
      <c r="L336" t="str" s="16">
        <f aca="0">IF(OR(COUNTA(B336:J336)=0,R336&lt;&gt;""),"",COUNTIFS(보유목록!$I$2:$I$3001,"*"&amp;P336&amp;"*",보유목록!$I$2:$I$3001,"*"&amp;Q336&amp;"*"))</f>
      </c>
      <c r="M336" t="str" s="23">
        <f aca="0">IF(OR(COUNTA(B336:J336)=0,R336&lt;&gt;""),"",IFERROR(LOOKUP(2,1/(ISNUMBER(SEARCH(P336,보유목록!$I$2:$I$3001))*ISNUMBER(SEARCH(Q336,보유목록!$I$2:$I$3001))*(보유목록!$H$2:$H$3001=O336)),보유목록!$B$2:$B$3001),IFERROR(LOOKUP(2,1/(ISNUMBER(SEARCH(P336,보유목록!$I$2:$I$3001))*ISNUMBER(SEARCH(Q336,보유목록!$I$2:$I$3001))),보유목록!$B$2:$B$3001),"")))</f>
      </c>
      <c r="N336" s="25"/>
      <c r="O336" t="str">
        <f>IFERROR(IF(AND(LEN(SUBSTITUTE(SUBSTITUTE(SUBSTITUTE(TRIM(C336&amp;""),CHAR(160),"")," ",""),"년",""))=4,VALUE(SUBSTITUTE(SUBSTITUTE(SUBSTITUTE(TRIM(C336&amp;""),CHAR(160),"")," ",""),"년",""))&gt;=1900,VALUE(SUBSTITUTE(SUBSTITUTE(SUBSTITUTE(TRIM(C336&amp;""),CHAR(160),"")," ",""),"년",""))&lt;=2099,TEXT(VALUE(SUBSTITUTE(SUBSTITUTE(SUBSTITUTE(TRIM(C336&amp;""),CHAR(160),"")," ",""),"년","")),"0000")=SUBSTITUTE(SUBSTITUTE(SUBSTITUTE(TRIM(C336&amp;""),CHAR(160),"")," ",""),"년","")),SUBSTITUTE(SUBSTITUTE(SUBSTITUTE(TRIM(C336&amp;""),CHAR(160),"")," ",""),"년",""),""),"")</f>
      </c>
      <c r="P336" t="str">
        <f>SUBSTITUTE(SUBSTITUTE(SUBSTITUTE(SUBSTITUTE(SUBSTITUTE(SUBSTITUTE(SUBSTITUTE(SUBSTITUTE(TRIM(D336&amp;""),CHAR(160),"")," ",""),"초등학교","초"),"중학교","중"),"고등학교","고"),"~","~~"),"*","~*"),"?","~?")</f>
      </c>
      <c r="Q336" t="str">
        <f>SUBSTITUTE(SUBSTITUTE(SUBSTITUTE(SUBSTITUTE(SUBSTITUTE(SUBSTITUTE(SUBSTITUTE(SUBSTITUTE(TRIM(E336&amp;""),CHAR(160),"")," ",""),"초등학교","초"),"중학교","중"),"고등학교","고"),"~","~~"),"*","~*"),"?","~?")</f>
      </c>
      <c r="R336" t="str">
        <f>IF(COUNTA(B336:J336)=0,"",IF(AND(O336&lt;&gt;"",P336&lt;&gt;"",Q336&lt;&gt;""),"","입력누락"))</f>
      </c>
    </row>
    <row r="337" customFormat="false" ht="15" hidden="false" customHeight="false" outlineLevel="0" collapsed="false">
      <c r="A337" t="n" s="19">
        <f aca="0">IF(COUNTA(B337:J337)=0,"",ROW()-1)</f>
      </c>
      <c r="B337" s="24"/>
      <c r="C337" s="25"/>
      <c r="D337" s="8"/>
      <c r="E337" s="8"/>
      <c r="F337" s="26"/>
      <c r="G337" s="24"/>
      <c r="H337" s="25"/>
      <c r="I337" s="25"/>
      <c r="J337" s="26"/>
      <c r="K337" t="str" s="15">
        <f aca="0">IF(COUNTA(B337:J337)=0,"",IF(R337&lt;&gt;"","확인필요(입력누락)",IF(COUNTIFS(보유목록!$I$2:$I$3001,"*"&amp;P337&amp;"*",보유목록!$I$2:$I$3001,"*"&amp;Q337&amp;"*",보유목록!$H$2:$H$3001,O337)&gt;0,"있음",IF(COUNTIFS(보유목록!$I$2:$I$3001,"*"&amp;P337&amp;"*",보유목록!$I$2:$I$3001,"*"&amp;Q337&amp;"*")&gt;0,"확인필요(연도다름)",IF(COUNTIFS(보유목록!$I$2:$I$3001,"*"&amp;P337&amp;"*",보유목록!$H$2:$H$3001,O337)&gt;0,"확인필요(같은학교·같은연도)","없음")))))</f>
      </c>
      <c r="L337" t="str" s="16">
        <f aca="0">IF(OR(COUNTA(B337:J337)=0,R337&lt;&gt;""),"",COUNTIFS(보유목록!$I$2:$I$3001,"*"&amp;P337&amp;"*",보유목록!$I$2:$I$3001,"*"&amp;Q337&amp;"*"))</f>
      </c>
      <c r="M337" t="str" s="23">
        <f aca="0">IF(OR(COUNTA(B337:J337)=0,R337&lt;&gt;""),"",IFERROR(LOOKUP(2,1/(ISNUMBER(SEARCH(P337,보유목록!$I$2:$I$3001))*ISNUMBER(SEARCH(Q337,보유목록!$I$2:$I$3001))*(보유목록!$H$2:$H$3001=O337)),보유목록!$B$2:$B$3001),IFERROR(LOOKUP(2,1/(ISNUMBER(SEARCH(P337,보유목록!$I$2:$I$3001))*ISNUMBER(SEARCH(Q337,보유목록!$I$2:$I$3001))),보유목록!$B$2:$B$3001),"")))</f>
      </c>
      <c r="N337" s="25"/>
      <c r="O337" t="str">
        <f>IFERROR(IF(AND(LEN(SUBSTITUTE(SUBSTITUTE(SUBSTITUTE(TRIM(C337&amp;""),CHAR(160),"")," ",""),"년",""))=4,VALUE(SUBSTITUTE(SUBSTITUTE(SUBSTITUTE(TRIM(C337&amp;""),CHAR(160),"")," ",""),"년",""))&gt;=1900,VALUE(SUBSTITUTE(SUBSTITUTE(SUBSTITUTE(TRIM(C337&amp;""),CHAR(160),"")," ",""),"년",""))&lt;=2099,TEXT(VALUE(SUBSTITUTE(SUBSTITUTE(SUBSTITUTE(TRIM(C337&amp;""),CHAR(160),"")," ",""),"년","")),"0000")=SUBSTITUTE(SUBSTITUTE(SUBSTITUTE(TRIM(C337&amp;""),CHAR(160),"")," ",""),"년","")),SUBSTITUTE(SUBSTITUTE(SUBSTITUTE(TRIM(C337&amp;""),CHAR(160),"")," ",""),"년",""),""),"")</f>
      </c>
      <c r="P337" t="str">
        <f>SUBSTITUTE(SUBSTITUTE(SUBSTITUTE(SUBSTITUTE(SUBSTITUTE(SUBSTITUTE(SUBSTITUTE(SUBSTITUTE(TRIM(D337&amp;""),CHAR(160),"")," ",""),"초등학교","초"),"중학교","중"),"고등학교","고"),"~","~~"),"*","~*"),"?","~?")</f>
      </c>
      <c r="Q337" t="str">
        <f>SUBSTITUTE(SUBSTITUTE(SUBSTITUTE(SUBSTITUTE(SUBSTITUTE(SUBSTITUTE(SUBSTITUTE(SUBSTITUTE(TRIM(E337&amp;""),CHAR(160),"")," ",""),"초등학교","초"),"중학교","중"),"고등학교","고"),"~","~~"),"*","~*"),"?","~?")</f>
      </c>
      <c r="R337" t="str">
        <f>IF(COUNTA(B337:J337)=0,"",IF(AND(O337&lt;&gt;"",P337&lt;&gt;"",Q337&lt;&gt;""),"","입력누락"))</f>
      </c>
    </row>
    <row r="338" customFormat="false" ht="15" hidden="false" customHeight="false" outlineLevel="0" collapsed="false">
      <c r="A338" t="n" s="19">
        <f aca="0">IF(COUNTA(B338:J338)=0,"",ROW()-1)</f>
      </c>
      <c r="B338" s="24"/>
      <c r="C338" s="25"/>
      <c r="D338" s="8"/>
      <c r="E338" s="8"/>
      <c r="F338" s="26"/>
      <c r="G338" s="24"/>
      <c r="H338" s="25"/>
      <c r="I338" s="25"/>
      <c r="J338" s="26"/>
      <c r="K338" t="str" s="15">
        <f aca="0">IF(COUNTA(B338:J338)=0,"",IF(R338&lt;&gt;"","확인필요(입력누락)",IF(COUNTIFS(보유목록!$I$2:$I$3001,"*"&amp;P338&amp;"*",보유목록!$I$2:$I$3001,"*"&amp;Q338&amp;"*",보유목록!$H$2:$H$3001,O338)&gt;0,"있음",IF(COUNTIFS(보유목록!$I$2:$I$3001,"*"&amp;P338&amp;"*",보유목록!$I$2:$I$3001,"*"&amp;Q338&amp;"*")&gt;0,"확인필요(연도다름)",IF(COUNTIFS(보유목록!$I$2:$I$3001,"*"&amp;P338&amp;"*",보유목록!$H$2:$H$3001,O338)&gt;0,"확인필요(같은학교·같은연도)","없음")))))</f>
      </c>
      <c r="L338" t="str" s="16">
        <f aca="0">IF(OR(COUNTA(B338:J338)=0,R338&lt;&gt;""),"",COUNTIFS(보유목록!$I$2:$I$3001,"*"&amp;P338&amp;"*",보유목록!$I$2:$I$3001,"*"&amp;Q338&amp;"*"))</f>
      </c>
      <c r="M338" t="str" s="23">
        <f aca="0">IF(OR(COUNTA(B338:J338)=0,R338&lt;&gt;""),"",IFERROR(LOOKUP(2,1/(ISNUMBER(SEARCH(P338,보유목록!$I$2:$I$3001))*ISNUMBER(SEARCH(Q338,보유목록!$I$2:$I$3001))*(보유목록!$H$2:$H$3001=O338)),보유목록!$B$2:$B$3001),IFERROR(LOOKUP(2,1/(ISNUMBER(SEARCH(P338,보유목록!$I$2:$I$3001))*ISNUMBER(SEARCH(Q338,보유목록!$I$2:$I$3001))),보유목록!$B$2:$B$3001),"")))</f>
      </c>
      <c r="N338" s="25"/>
      <c r="O338" t="str">
        <f>IFERROR(IF(AND(LEN(SUBSTITUTE(SUBSTITUTE(SUBSTITUTE(TRIM(C338&amp;""),CHAR(160),"")," ",""),"년",""))=4,VALUE(SUBSTITUTE(SUBSTITUTE(SUBSTITUTE(TRIM(C338&amp;""),CHAR(160),"")," ",""),"년",""))&gt;=1900,VALUE(SUBSTITUTE(SUBSTITUTE(SUBSTITUTE(TRIM(C338&amp;""),CHAR(160),"")," ",""),"년",""))&lt;=2099,TEXT(VALUE(SUBSTITUTE(SUBSTITUTE(SUBSTITUTE(TRIM(C338&amp;""),CHAR(160),"")," ",""),"년","")),"0000")=SUBSTITUTE(SUBSTITUTE(SUBSTITUTE(TRIM(C338&amp;""),CHAR(160),"")," ",""),"년","")),SUBSTITUTE(SUBSTITUTE(SUBSTITUTE(TRIM(C338&amp;""),CHAR(160),"")," ",""),"년",""),""),"")</f>
      </c>
      <c r="P338" t="str">
        <f>SUBSTITUTE(SUBSTITUTE(SUBSTITUTE(SUBSTITUTE(SUBSTITUTE(SUBSTITUTE(SUBSTITUTE(SUBSTITUTE(TRIM(D338&amp;""),CHAR(160),"")," ",""),"초등학교","초"),"중학교","중"),"고등학교","고"),"~","~~"),"*","~*"),"?","~?")</f>
      </c>
      <c r="Q338" t="str">
        <f>SUBSTITUTE(SUBSTITUTE(SUBSTITUTE(SUBSTITUTE(SUBSTITUTE(SUBSTITUTE(SUBSTITUTE(SUBSTITUTE(TRIM(E338&amp;""),CHAR(160),"")," ",""),"초등학교","초"),"중학교","중"),"고등학교","고"),"~","~~"),"*","~*"),"?","~?")</f>
      </c>
      <c r="R338" t="str">
        <f>IF(COUNTA(B338:J338)=0,"",IF(AND(O338&lt;&gt;"",P338&lt;&gt;"",Q338&lt;&gt;""),"","입력누락"))</f>
      </c>
    </row>
    <row r="339" customFormat="false" ht="15" hidden="false" customHeight="false" outlineLevel="0" collapsed="false">
      <c r="A339" t="n" s="19">
        <f aca="0">IF(COUNTA(B339:J339)=0,"",ROW()-1)</f>
      </c>
      <c r="B339" s="24"/>
      <c r="C339" s="25"/>
      <c r="D339" s="8"/>
      <c r="E339" s="8"/>
      <c r="F339" s="26"/>
      <c r="G339" s="24"/>
      <c r="H339" s="25"/>
      <c r="I339" s="25"/>
      <c r="J339" s="26"/>
      <c r="K339" t="str" s="15">
        <f aca="0">IF(COUNTA(B339:J339)=0,"",IF(R339&lt;&gt;"","확인필요(입력누락)",IF(COUNTIFS(보유목록!$I$2:$I$3001,"*"&amp;P339&amp;"*",보유목록!$I$2:$I$3001,"*"&amp;Q339&amp;"*",보유목록!$H$2:$H$3001,O339)&gt;0,"있음",IF(COUNTIFS(보유목록!$I$2:$I$3001,"*"&amp;P339&amp;"*",보유목록!$I$2:$I$3001,"*"&amp;Q339&amp;"*")&gt;0,"확인필요(연도다름)",IF(COUNTIFS(보유목록!$I$2:$I$3001,"*"&amp;P339&amp;"*",보유목록!$H$2:$H$3001,O339)&gt;0,"확인필요(같은학교·같은연도)","없음")))))</f>
      </c>
      <c r="L339" t="str" s="16">
        <f aca="0">IF(OR(COUNTA(B339:J339)=0,R339&lt;&gt;""),"",COUNTIFS(보유목록!$I$2:$I$3001,"*"&amp;P339&amp;"*",보유목록!$I$2:$I$3001,"*"&amp;Q339&amp;"*"))</f>
      </c>
      <c r="M339" t="str" s="23">
        <f aca="0">IF(OR(COUNTA(B339:J339)=0,R339&lt;&gt;""),"",IFERROR(LOOKUP(2,1/(ISNUMBER(SEARCH(P339,보유목록!$I$2:$I$3001))*ISNUMBER(SEARCH(Q339,보유목록!$I$2:$I$3001))*(보유목록!$H$2:$H$3001=O339)),보유목록!$B$2:$B$3001),IFERROR(LOOKUP(2,1/(ISNUMBER(SEARCH(P339,보유목록!$I$2:$I$3001))*ISNUMBER(SEARCH(Q339,보유목록!$I$2:$I$3001))),보유목록!$B$2:$B$3001),"")))</f>
      </c>
      <c r="N339" s="25"/>
      <c r="O339" t="str">
        <f>IFERROR(IF(AND(LEN(SUBSTITUTE(SUBSTITUTE(SUBSTITUTE(TRIM(C339&amp;""),CHAR(160),"")," ",""),"년",""))=4,VALUE(SUBSTITUTE(SUBSTITUTE(SUBSTITUTE(TRIM(C339&amp;""),CHAR(160),"")," ",""),"년",""))&gt;=1900,VALUE(SUBSTITUTE(SUBSTITUTE(SUBSTITUTE(TRIM(C339&amp;""),CHAR(160),"")," ",""),"년",""))&lt;=2099,TEXT(VALUE(SUBSTITUTE(SUBSTITUTE(SUBSTITUTE(TRIM(C339&amp;""),CHAR(160),"")," ",""),"년","")),"0000")=SUBSTITUTE(SUBSTITUTE(SUBSTITUTE(TRIM(C339&amp;""),CHAR(160),"")," ",""),"년","")),SUBSTITUTE(SUBSTITUTE(SUBSTITUTE(TRIM(C339&amp;""),CHAR(160),"")," ",""),"년",""),""),"")</f>
      </c>
      <c r="P339" t="str">
        <f>SUBSTITUTE(SUBSTITUTE(SUBSTITUTE(SUBSTITUTE(SUBSTITUTE(SUBSTITUTE(SUBSTITUTE(SUBSTITUTE(TRIM(D339&amp;""),CHAR(160),"")," ",""),"초등학교","초"),"중학교","중"),"고등학교","고"),"~","~~"),"*","~*"),"?","~?")</f>
      </c>
      <c r="Q339" t="str">
        <f>SUBSTITUTE(SUBSTITUTE(SUBSTITUTE(SUBSTITUTE(SUBSTITUTE(SUBSTITUTE(SUBSTITUTE(SUBSTITUTE(TRIM(E339&amp;""),CHAR(160),"")," ",""),"초등학교","초"),"중학교","중"),"고등학교","고"),"~","~~"),"*","~*"),"?","~?")</f>
      </c>
      <c r="R339" t="str">
        <f>IF(COUNTA(B339:J339)=0,"",IF(AND(O339&lt;&gt;"",P339&lt;&gt;"",Q339&lt;&gt;""),"","입력누락"))</f>
      </c>
    </row>
    <row r="340" customFormat="false" ht="15" hidden="false" customHeight="false" outlineLevel="0" collapsed="false">
      <c r="A340" t="n" s="19">
        <f aca="0">IF(COUNTA(B340:J340)=0,"",ROW()-1)</f>
      </c>
      <c r="B340" s="24"/>
      <c r="C340" s="25"/>
      <c r="D340" s="8"/>
      <c r="E340" s="8"/>
      <c r="F340" s="26"/>
      <c r="G340" s="24"/>
      <c r="H340" s="25"/>
      <c r="I340" s="25"/>
      <c r="J340" s="26"/>
      <c r="K340" t="str" s="15">
        <f aca="0">IF(COUNTA(B340:J340)=0,"",IF(R340&lt;&gt;"","확인필요(입력누락)",IF(COUNTIFS(보유목록!$I$2:$I$3001,"*"&amp;P340&amp;"*",보유목록!$I$2:$I$3001,"*"&amp;Q340&amp;"*",보유목록!$H$2:$H$3001,O340)&gt;0,"있음",IF(COUNTIFS(보유목록!$I$2:$I$3001,"*"&amp;P340&amp;"*",보유목록!$I$2:$I$3001,"*"&amp;Q340&amp;"*")&gt;0,"확인필요(연도다름)",IF(COUNTIFS(보유목록!$I$2:$I$3001,"*"&amp;P340&amp;"*",보유목록!$H$2:$H$3001,O340)&gt;0,"확인필요(같은학교·같은연도)","없음")))))</f>
      </c>
      <c r="L340" t="str" s="16">
        <f aca="0">IF(OR(COUNTA(B340:J340)=0,R340&lt;&gt;""),"",COUNTIFS(보유목록!$I$2:$I$3001,"*"&amp;P340&amp;"*",보유목록!$I$2:$I$3001,"*"&amp;Q340&amp;"*"))</f>
      </c>
      <c r="M340" t="str" s="23">
        <f aca="0">IF(OR(COUNTA(B340:J340)=0,R340&lt;&gt;""),"",IFERROR(LOOKUP(2,1/(ISNUMBER(SEARCH(P340,보유목록!$I$2:$I$3001))*ISNUMBER(SEARCH(Q340,보유목록!$I$2:$I$3001))*(보유목록!$H$2:$H$3001=O340)),보유목록!$B$2:$B$3001),IFERROR(LOOKUP(2,1/(ISNUMBER(SEARCH(P340,보유목록!$I$2:$I$3001))*ISNUMBER(SEARCH(Q340,보유목록!$I$2:$I$3001))),보유목록!$B$2:$B$3001),"")))</f>
      </c>
      <c r="N340" s="25"/>
      <c r="O340" t="str">
        <f>IFERROR(IF(AND(LEN(SUBSTITUTE(SUBSTITUTE(SUBSTITUTE(TRIM(C340&amp;""),CHAR(160),"")," ",""),"년",""))=4,VALUE(SUBSTITUTE(SUBSTITUTE(SUBSTITUTE(TRIM(C340&amp;""),CHAR(160),"")," ",""),"년",""))&gt;=1900,VALUE(SUBSTITUTE(SUBSTITUTE(SUBSTITUTE(TRIM(C340&amp;""),CHAR(160),"")," ",""),"년",""))&lt;=2099,TEXT(VALUE(SUBSTITUTE(SUBSTITUTE(SUBSTITUTE(TRIM(C340&amp;""),CHAR(160),"")," ",""),"년","")),"0000")=SUBSTITUTE(SUBSTITUTE(SUBSTITUTE(TRIM(C340&amp;""),CHAR(160),"")," ",""),"년","")),SUBSTITUTE(SUBSTITUTE(SUBSTITUTE(TRIM(C340&amp;""),CHAR(160),"")," ",""),"년",""),""),"")</f>
      </c>
      <c r="P340" t="str">
        <f>SUBSTITUTE(SUBSTITUTE(SUBSTITUTE(SUBSTITUTE(SUBSTITUTE(SUBSTITUTE(SUBSTITUTE(SUBSTITUTE(TRIM(D340&amp;""),CHAR(160),"")," ",""),"초등학교","초"),"중학교","중"),"고등학교","고"),"~","~~"),"*","~*"),"?","~?")</f>
      </c>
      <c r="Q340" t="str">
        <f>SUBSTITUTE(SUBSTITUTE(SUBSTITUTE(SUBSTITUTE(SUBSTITUTE(SUBSTITUTE(SUBSTITUTE(SUBSTITUTE(TRIM(E340&amp;""),CHAR(160),"")," ",""),"초등학교","초"),"중학교","중"),"고등학교","고"),"~","~~"),"*","~*"),"?","~?")</f>
      </c>
      <c r="R340" t="str">
        <f>IF(COUNTA(B340:J340)=0,"",IF(AND(O340&lt;&gt;"",P340&lt;&gt;"",Q340&lt;&gt;""),"","입력누락"))</f>
      </c>
    </row>
    <row r="341" customFormat="false" ht="15" hidden="false" customHeight="false" outlineLevel="0" collapsed="false">
      <c r="A341" t="n" s="19">
        <f aca="0">IF(COUNTA(B341:J341)=0,"",ROW()-1)</f>
      </c>
      <c r="B341" s="24"/>
      <c r="C341" s="25"/>
      <c r="D341" s="8"/>
      <c r="E341" s="8"/>
      <c r="F341" s="26"/>
      <c r="G341" s="24"/>
      <c r="H341" s="25"/>
      <c r="I341" s="25"/>
      <c r="J341" s="26"/>
      <c r="K341" t="str" s="15">
        <f aca="0">IF(COUNTA(B341:J341)=0,"",IF(R341&lt;&gt;"","확인필요(입력누락)",IF(COUNTIFS(보유목록!$I$2:$I$3001,"*"&amp;P341&amp;"*",보유목록!$I$2:$I$3001,"*"&amp;Q341&amp;"*",보유목록!$H$2:$H$3001,O341)&gt;0,"있음",IF(COUNTIFS(보유목록!$I$2:$I$3001,"*"&amp;P341&amp;"*",보유목록!$I$2:$I$3001,"*"&amp;Q341&amp;"*")&gt;0,"확인필요(연도다름)",IF(COUNTIFS(보유목록!$I$2:$I$3001,"*"&amp;P341&amp;"*",보유목록!$H$2:$H$3001,O341)&gt;0,"확인필요(같은학교·같은연도)","없음")))))</f>
      </c>
      <c r="L341" t="str" s="16">
        <f aca="0">IF(OR(COUNTA(B341:J341)=0,R341&lt;&gt;""),"",COUNTIFS(보유목록!$I$2:$I$3001,"*"&amp;P341&amp;"*",보유목록!$I$2:$I$3001,"*"&amp;Q341&amp;"*"))</f>
      </c>
      <c r="M341" t="str" s="23">
        <f aca="0">IF(OR(COUNTA(B341:J341)=0,R341&lt;&gt;""),"",IFERROR(LOOKUP(2,1/(ISNUMBER(SEARCH(P341,보유목록!$I$2:$I$3001))*ISNUMBER(SEARCH(Q341,보유목록!$I$2:$I$3001))*(보유목록!$H$2:$H$3001=O341)),보유목록!$B$2:$B$3001),IFERROR(LOOKUP(2,1/(ISNUMBER(SEARCH(P341,보유목록!$I$2:$I$3001))*ISNUMBER(SEARCH(Q341,보유목록!$I$2:$I$3001))),보유목록!$B$2:$B$3001),"")))</f>
      </c>
      <c r="N341" s="25"/>
      <c r="O341" t="str">
        <f>IFERROR(IF(AND(LEN(SUBSTITUTE(SUBSTITUTE(SUBSTITUTE(TRIM(C341&amp;""),CHAR(160),"")," ",""),"년",""))=4,VALUE(SUBSTITUTE(SUBSTITUTE(SUBSTITUTE(TRIM(C341&amp;""),CHAR(160),"")," ",""),"년",""))&gt;=1900,VALUE(SUBSTITUTE(SUBSTITUTE(SUBSTITUTE(TRIM(C341&amp;""),CHAR(160),"")," ",""),"년",""))&lt;=2099,TEXT(VALUE(SUBSTITUTE(SUBSTITUTE(SUBSTITUTE(TRIM(C341&amp;""),CHAR(160),"")," ",""),"년","")),"0000")=SUBSTITUTE(SUBSTITUTE(SUBSTITUTE(TRIM(C341&amp;""),CHAR(160),"")," ",""),"년","")),SUBSTITUTE(SUBSTITUTE(SUBSTITUTE(TRIM(C341&amp;""),CHAR(160),"")," ",""),"년",""),""),"")</f>
      </c>
      <c r="P341" t="str">
        <f>SUBSTITUTE(SUBSTITUTE(SUBSTITUTE(SUBSTITUTE(SUBSTITUTE(SUBSTITUTE(SUBSTITUTE(SUBSTITUTE(TRIM(D341&amp;""),CHAR(160),"")," ",""),"초등학교","초"),"중학교","중"),"고등학교","고"),"~","~~"),"*","~*"),"?","~?")</f>
      </c>
      <c r="Q341" t="str">
        <f>SUBSTITUTE(SUBSTITUTE(SUBSTITUTE(SUBSTITUTE(SUBSTITUTE(SUBSTITUTE(SUBSTITUTE(SUBSTITUTE(TRIM(E341&amp;""),CHAR(160),"")," ",""),"초등학교","초"),"중학교","중"),"고등학교","고"),"~","~~"),"*","~*"),"?","~?")</f>
      </c>
      <c r="R341" t="str">
        <f>IF(COUNTA(B341:J341)=0,"",IF(AND(O341&lt;&gt;"",P341&lt;&gt;"",Q341&lt;&gt;""),"","입력누락"))</f>
      </c>
    </row>
    <row r="342" customFormat="false" ht="15" hidden="false" customHeight="false" outlineLevel="0" collapsed="false">
      <c r="A342" t="n" s="19">
        <f aca="0">IF(COUNTA(B342:J342)=0,"",ROW()-1)</f>
      </c>
      <c r="B342" s="24"/>
      <c r="C342" s="25"/>
      <c r="D342" s="8"/>
      <c r="E342" s="8"/>
      <c r="F342" s="26"/>
      <c r="G342" s="24"/>
      <c r="H342" s="25"/>
      <c r="I342" s="25"/>
      <c r="J342" s="26"/>
      <c r="K342" t="str" s="15">
        <f aca="0">IF(COUNTA(B342:J342)=0,"",IF(R342&lt;&gt;"","확인필요(입력누락)",IF(COUNTIFS(보유목록!$I$2:$I$3001,"*"&amp;P342&amp;"*",보유목록!$I$2:$I$3001,"*"&amp;Q342&amp;"*",보유목록!$H$2:$H$3001,O342)&gt;0,"있음",IF(COUNTIFS(보유목록!$I$2:$I$3001,"*"&amp;P342&amp;"*",보유목록!$I$2:$I$3001,"*"&amp;Q342&amp;"*")&gt;0,"확인필요(연도다름)",IF(COUNTIFS(보유목록!$I$2:$I$3001,"*"&amp;P342&amp;"*",보유목록!$H$2:$H$3001,O342)&gt;0,"확인필요(같은학교·같은연도)","없음")))))</f>
      </c>
      <c r="L342" t="str" s="16">
        <f aca="0">IF(OR(COUNTA(B342:J342)=0,R342&lt;&gt;""),"",COUNTIFS(보유목록!$I$2:$I$3001,"*"&amp;P342&amp;"*",보유목록!$I$2:$I$3001,"*"&amp;Q342&amp;"*"))</f>
      </c>
      <c r="M342" t="str" s="23">
        <f aca="0">IF(OR(COUNTA(B342:J342)=0,R342&lt;&gt;""),"",IFERROR(LOOKUP(2,1/(ISNUMBER(SEARCH(P342,보유목록!$I$2:$I$3001))*ISNUMBER(SEARCH(Q342,보유목록!$I$2:$I$3001))*(보유목록!$H$2:$H$3001=O342)),보유목록!$B$2:$B$3001),IFERROR(LOOKUP(2,1/(ISNUMBER(SEARCH(P342,보유목록!$I$2:$I$3001))*ISNUMBER(SEARCH(Q342,보유목록!$I$2:$I$3001))),보유목록!$B$2:$B$3001),"")))</f>
      </c>
      <c r="N342" s="25"/>
      <c r="O342" t="str">
        <f>IFERROR(IF(AND(LEN(SUBSTITUTE(SUBSTITUTE(SUBSTITUTE(TRIM(C342&amp;""),CHAR(160),"")," ",""),"년",""))=4,VALUE(SUBSTITUTE(SUBSTITUTE(SUBSTITUTE(TRIM(C342&amp;""),CHAR(160),"")," ",""),"년",""))&gt;=1900,VALUE(SUBSTITUTE(SUBSTITUTE(SUBSTITUTE(TRIM(C342&amp;""),CHAR(160),"")," ",""),"년",""))&lt;=2099,TEXT(VALUE(SUBSTITUTE(SUBSTITUTE(SUBSTITUTE(TRIM(C342&amp;""),CHAR(160),"")," ",""),"년","")),"0000")=SUBSTITUTE(SUBSTITUTE(SUBSTITUTE(TRIM(C342&amp;""),CHAR(160),"")," ",""),"년","")),SUBSTITUTE(SUBSTITUTE(SUBSTITUTE(TRIM(C342&amp;""),CHAR(160),"")," ",""),"년",""),""),"")</f>
      </c>
      <c r="P342" t="str">
        <f>SUBSTITUTE(SUBSTITUTE(SUBSTITUTE(SUBSTITUTE(SUBSTITUTE(SUBSTITUTE(SUBSTITUTE(SUBSTITUTE(TRIM(D342&amp;""),CHAR(160),"")," ",""),"초등학교","초"),"중학교","중"),"고등학교","고"),"~","~~"),"*","~*"),"?","~?")</f>
      </c>
      <c r="Q342" t="str">
        <f>SUBSTITUTE(SUBSTITUTE(SUBSTITUTE(SUBSTITUTE(SUBSTITUTE(SUBSTITUTE(SUBSTITUTE(SUBSTITUTE(TRIM(E342&amp;""),CHAR(160),"")," ",""),"초등학교","초"),"중학교","중"),"고등학교","고"),"~","~~"),"*","~*"),"?","~?")</f>
      </c>
      <c r="R342" t="str">
        <f>IF(COUNTA(B342:J342)=0,"",IF(AND(O342&lt;&gt;"",P342&lt;&gt;"",Q342&lt;&gt;""),"","입력누락"))</f>
      </c>
    </row>
    <row r="343" customFormat="false" ht="15" hidden="false" customHeight="false" outlineLevel="0" collapsed="false">
      <c r="A343" t="n" s="19">
        <f aca="0">IF(COUNTA(B343:J343)=0,"",ROW()-1)</f>
      </c>
      <c r="B343" s="24"/>
      <c r="C343" s="25"/>
      <c r="D343" s="8"/>
      <c r="E343" s="8"/>
      <c r="F343" s="26"/>
      <c r="G343" s="24"/>
      <c r="H343" s="25"/>
      <c r="I343" s="25"/>
      <c r="J343" s="26"/>
      <c r="K343" t="str" s="15">
        <f aca="0">IF(COUNTA(B343:J343)=0,"",IF(R343&lt;&gt;"","확인필요(입력누락)",IF(COUNTIFS(보유목록!$I$2:$I$3001,"*"&amp;P343&amp;"*",보유목록!$I$2:$I$3001,"*"&amp;Q343&amp;"*",보유목록!$H$2:$H$3001,O343)&gt;0,"있음",IF(COUNTIFS(보유목록!$I$2:$I$3001,"*"&amp;P343&amp;"*",보유목록!$I$2:$I$3001,"*"&amp;Q343&amp;"*")&gt;0,"확인필요(연도다름)",IF(COUNTIFS(보유목록!$I$2:$I$3001,"*"&amp;P343&amp;"*",보유목록!$H$2:$H$3001,O343)&gt;0,"확인필요(같은학교·같은연도)","없음")))))</f>
      </c>
      <c r="L343" t="str" s="16">
        <f aca="0">IF(OR(COUNTA(B343:J343)=0,R343&lt;&gt;""),"",COUNTIFS(보유목록!$I$2:$I$3001,"*"&amp;P343&amp;"*",보유목록!$I$2:$I$3001,"*"&amp;Q343&amp;"*"))</f>
      </c>
      <c r="M343" t="str" s="23">
        <f aca="0">IF(OR(COUNTA(B343:J343)=0,R343&lt;&gt;""),"",IFERROR(LOOKUP(2,1/(ISNUMBER(SEARCH(P343,보유목록!$I$2:$I$3001))*ISNUMBER(SEARCH(Q343,보유목록!$I$2:$I$3001))*(보유목록!$H$2:$H$3001=O343)),보유목록!$B$2:$B$3001),IFERROR(LOOKUP(2,1/(ISNUMBER(SEARCH(P343,보유목록!$I$2:$I$3001))*ISNUMBER(SEARCH(Q343,보유목록!$I$2:$I$3001))),보유목록!$B$2:$B$3001),"")))</f>
      </c>
      <c r="N343" s="25"/>
      <c r="O343" t="str">
        <f>IFERROR(IF(AND(LEN(SUBSTITUTE(SUBSTITUTE(SUBSTITUTE(TRIM(C343&amp;""),CHAR(160),"")," ",""),"년",""))=4,VALUE(SUBSTITUTE(SUBSTITUTE(SUBSTITUTE(TRIM(C343&amp;""),CHAR(160),"")," ",""),"년",""))&gt;=1900,VALUE(SUBSTITUTE(SUBSTITUTE(SUBSTITUTE(TRIM(C343&amp;""),CHAR(160),"")," ",""),"년",""))&lt;=2099,TEXT(VALUE(SUBSTITUTE(SUBSTITUTE(SUBSTITUTE(TRIM(C343&amp;""),CHAR(160),"")," ",""),"년","")),"0000")=SUBSTITUTE(SUBSTITUTE(SUBSTITUTE(TRIM(C343&amp;""),CHAR(160),"")," ",""),"년","")),SUBSTITUTE(SUBSTITUTE(SUBSTITUTE(TRIM(C343&amp;""),CHAR(160),"")," ",""),"년",""),""),"")</f>
      </c>
      <c r="P343" t="str">
        <f>SUBSTITUTE(SUBSTITUTE(SUBSTITUTE(SUBSTITUTE(SUBSTITUTE(SUBSTITUTE(SUBSTITUTE(SUBSTITUTE(TRIM(D343&amp;""),CHAR(160),"")," ",""),"초등학교","초"),"중학교","중"),"고등학교","고"),"~","~~"),"*","~*"),"?","~?")</f>
      </c>
      <c r="Q343" t="str">
        <f>SUBSTITUTE(SUBSTITUTE(SUBSTITUTE(SUBSTITUTE(SUBSTITUTE(SUBSTITUTE(SUBSTITUTE(SUBSTITUTE(TRIM(E343&amp;""),CHAR(160),"")," ",""),"초등학교","초"),"중학교","중"),"고등학교","고"),"~","~~"),"*","~*"),"?","~?")</f>
      </c>
      <c r="R343" t="str">
        <f>IF(COUNTA(B343:J343)=0,"",IF(AND(O343&lt;&gt;"",P343&lt;&gt;"",Q343&lt;&gt;""),"","입력누락"))</f>
      </c>
    </row>
    <row r="344" customFormat="false" ht="15" hidden="false" customHeight="false" outlineLevel="0" collapsed="false">
      <c r="A344" t="n" s="19">
        <f aca="0">IF(COUNTA(B344:J344)=0,"",ROW()-1)</f>
      </c>
      <c r="B344" s="24"/>
      <c r="C344" s="25"/>
      <c r="D344" s="8"/>
      <c r="E344" s="8"/>
      <c r="F344" s="26"/>
      <c r="G344" s="24"/>
      <c r="H344" s="25"/>
      <c r="I344" s="25"/>
      <c r="J344" s="26"/>
      <c r="K344" t="str" s="15">
        <f aca="0">IF(COUNTA(B344:J344)=0,"",IF(R344&lt;&gt;"","확인필요(입력누락)",IF(COUNTIFS(보유목록!$I$2:$I$3001,"*"&amp;P344&amp;"*",보유목록!$I$2:$I$3001,"*"&amp;Q344&amp;"*",보유목록!$H$2:$H$3001,O344)&gt;0,"있음",IF(COUNTIFS(보유목록!$I$2:$I$3001,"*"&amp;P344&amp;"*",보유목록!$I$2:$I$3001,"*"&amp;Q344&amp;"*")&gt;0,"확인필요(연도다름)",IF(COUNTIFS(보유목록!$I$2:$I$3001,"*"&amp;P344&amp;"*",보유목록!$H$2:$H$3001,O344)&gt;0,"확인필요(같은학교·같은연도)","없음")))))</f>
      </c>
      <c r="L344" t="str" s="16">
        <f aca="0">IF(OR(COUNTA(B344:J344)=0,R344&lt;&gt;""),"",COUNTIFS(보유목록!$I$2:$I$3001,"*"&amp;P344&amp;"*",보유목록!$I$2:$I$3001,"*"&amp;Q344&amp;"*"))</f>
      </c>
      <c r="M344" t="str" s="23">
        <f aca="0">IF(OR(COUNTA(B344:J344)=0,R344&lt;&gt;""),"",IFERROR(LOOKUP(2,1/(ISNUMBER(SEARCH(P344,보유목록!$I$2:$I$3001))*ISNUMBER(SEARCH(Q344,보유목록!$I$2:$I$3001))*(보유목록!$H$2:$H$3001=O344)),보유목록!$B$2:$B$3001),IFERROR(LOOKUP(2,1/(ISNUMBER(SEARCH(P344,보유목록!$I$2:$I$3001))*ISNUMBER(SEARCH(Q344,보유목록!$I$2:$I$3001))),보유목록!$B$2:$B$3001),"")))</f>
      </c>
      <c r="N344" s="25"/>
      <c r="O344" t="str">
        <f>IFERROR(IF(AND(LEN(SUBSTITUTE(SUBSTITUTE(SUBSTITUTE(TRIM(C344&amp;""),CHAR(160),"")," ",""),"년",""))=4,VALUE(SUBSTITUTE(SUBSTITUTE(SUBSTITUTE(TRIM(C344&amp;""),CHAR(160),"")," ",""),"년",""))&gt;=1900,VALUE(SUBSTITUTE(SUBSTITUTE(SUBSTITUTE(TRIM(C344&amp;""),CHAR(160),"")," ",""),"년",""))&lt;=2099,TEXT(VALUE(SUBSTITUTE(SUBSTITUTE(SUBSTITUTE(TRIM(C344&amp;""),CHAR(160),"")," ",""),"년","")),"0000")=SUBSTITUTE(SUBSTITUTE(SUBSTITUTE(TRIM(C344&amp;""),CHAR(160),"")," ",""),"년","")),SUBSTITUTE(SUBSTITUTE(SUBSTITUTE(TRIM(C344&amp;""),CHAR(160),"")," ",""),"년",""),""),"")</f>
      </c>
      <c r="P344" t="str">
        <f>SUBSTITUTE(SUBSTITUTE(SUBSTITUTE(SUBSTITUTE(SUBSTITUTE(SUBSTITUTE(SUBSTITUTE(SUBSTITUTE(TRIM(D344&amp;""),CHAR(160),"")," ",""),"초등학교","초"),"중학교","중"),"고등학교","고"),"~","~~"),"*","~*"),"?","~?")</f>
      </c>
      <c r="Q344" t="str">
        <f>SUBSTITUTE(SUBSTITUTE(SUBSTITUTE(SUBSTITUTE(SUBSTITUTE(SUBSTITUTE(SUBSTITUTE(SUBSTITUTE(TRIM(E344&amp;""),CHAR(160),"")," ",""),"초등학교","초"),"중학교","중"),"고등학교","고"),"~","~~"),"*","~*"),"?","~?")</f>
      </c>
      <c r="R344" t="str">
        <f>IF(COUNTA(B344:J344)=0,"",IF(AND(O344&lt;&gt;"",P344&lt;&gt;"",Q344&lt;&gt;""),"","입력누락"))</f>
      </c>
    </row>
    <row r="345" customFormat="false" ht="15" hidden="false" customHeight="false" outlineLevel="0" collapsed="false">
      <c r="A345" t="n" s="19">
        <f aca="0">IF(COUNTA(B345:J345)=0,"",ROW()-1)</f>
      </c>
      <c r="B345" s="24"/>
      <c r="C345" s="25"/>
      <c r="D345" s="8"/>
      <c r="E345" s="8"/>
      <c r="F345" s="26"/>
      <c r="G345" s="24"/>
      <c r="H345" s="25"/>
      <c r="I345" s="25"/>
      <c r="J345" s="26"/>
      <c r="K345" t="str" s="15">
        <f aca="0">IF(COUNTA(B345:J345)=0,"",IF(R345&lt;&gt;"","확인필요(입력누락)",IF(COUNTIFS(보유목록!$I$2:$I$3001,"*"&amp;P345&amp;"*",보유목록!$I$2:$I$3001,"*"&amp;Q345&amp;"*",보유목록!$H$2:$H$3001,O345)&gt;0,"있음",IF(COUNTIFS(보유목록!$I$2:$I$3001,"*"&amp;P345&amp;"*",보유목록!$I$2:$I$3001,"*"&amp;Q345&amp;"*")&gt;0,"확인필요(연도다름)",IF(COUNTIFS(보유목록!$I$2:$I$3001,"*"&amp;P345&amp;"*",보유목록!$H$2:$H$3001,O345)&gt;0,"확인필요(같은학교·같은연도)","없음")))))</f>
      </c>
      <c r="L345" t="str" s="16">
        <f aca="0">IF(OR(COUNTA(B345:J345)=0,R345&lt;&gt;""),"",COUNTIFS(보유목록!$I$2:$I$3001,"*"&amp;P345&amp;"*",보유목록!$I$2:$I$3001,"*"&amp;Q345&amp;"*"))</f>
      </c>
      <c r="M345" t="str" s="23">
        <f aca="0">IF(OR(COUNTA(B345:J345)=0,R345&lt;&gt;""),"",IFERROR(LOOKUP(2,1/(ISNUMBER(SEARCH(P345,보유목록!$I$2:$I$3001))*ISNUMBER(SEARCH(Q345,보유목록!$I$2:$I$3001))*(보유목록!$H$2:$H$3001=O345)),보유목록!$B$2:$B$3001),IFERROR(LOOKUP(2,1/(ISNUMBER(SEARCH(P345,보유목록!$I$2:$I$3001))*ISNUMBER(SEARCH(Q345,보유목록!$I$2:$I$3001))),보유목록!$B$2:$B$3001),"")))</f>
      </c>
      <c r="N345" s="25"/>
      <c r="O345" t="str">
        <f>IFERROR(IF(AND(LEN(SUBSTITUTE(SUBSTITUTE(SUBSTITUTE(TRIM(C345&amp;""),CHAR(160),"")," ",""),"년",""))=4,VALUE(SUBSTITUTE(SUBSTITUTE(SUBSTITUTE(TRIM(C345&amp;""),CHAR(160),"")," ",""),"년",""))&gt;=1900,VALUE(SUBSTITUTE(SUBSTITUTE(SUBSTITUTE(TRIM(C345&amp;""),CHAR(160),"")," ",""),"년",""))&lt;=2099,TEXT(VALUE(SUBSTITUTE(SUBSTITUTE(SUBSTITUTE(TRIM(C345&amp;""),CHAR(160),"")," ",""),"년","")),"0000")=SUBSTITUTE(SUBSTITUTE(SUBSTITUTE(TRIM(C345&amp;""),CHAR(160),"")," ",""),"년","")),SUBSTITUTE(SUBSTITUTE(SUBSTITUTE(TRIM(C345&amp;""),CHAR(160),"")," ",""),"년",""),""),"")</f>
      </c>
      <c r="P345" t="str">
        <f>SUBSTITUTE(SUBSTITUTE(SUBSTITUTE(SUBSTITUTE(SUBSTITUTE(SUBSTITUTE(SUBSTITUTE(SUBSTITUTE(TRIM(D345&amp;""),CHAR(160),"")," ",""),"초등학교","초"),"중학교","중"),"고등학교","고"),"~","~~"),"*","~*"),"?","~?")</f>
      </c>
      <c r="Q345" t="str">
        <f>SUBSTITUTE(SUBSTITUTE(SUBSTITUTE(SUBSTITUTE(SUBSTITUTE(SUBSTITUTE(SUBSTITUTE(SUBSTITUTE(TRIM(E345&amp;""),CHAR(160),"")," ",""),"초등학교","초"),"중학교","중"),"고등학교","고"),"~","~~"),"*","~*"),"?","~?")</f>
      </c>
      <c r="R345" t="str">
        <f>IF(COUNTA(B345:J345)=0,"",IF(AND(O345&lt;&gt;"",P345&lt;&gt;"",Q345&lt;&gt;""),"","입력누락"))</f>
      </c>
    </row>
    <row r="346" customFormat="false" ht="15" hidden="false" customHeight="false" outlineLevel="0" collapsed="false">
      <c r="A346" t="n" s="19">
        <f aca="0">IF(COUNTA(B346:J346)=0,"",ROW()-1)</f>
      </c>
      <c r="B346" s="24"/>
      <c r="C346" s="25"/>
      <c r="D346" s="8"/>
      <c r="E346" s="8"/>
      <c r="F346" s="26"/>
      <c r="G346" s="24"/>
      <c r="H346" s="25"/>
      <c r="I346" s="25"/>
      <c r="J346" s="26"/>
      <c r="K346" t="str" s="15">
        <f aca="0">IF(COUNTA(B346:J346)=0,"",IF(R346&lt;&gt;"","확인필요(입력누락)",IF(COUNTIFS(보유목록!$I$2:$I$3001,"*"&amp;P346&amp;"*",보유목록!$I$2:$I$3001,"*"&amp;Q346&amp;"*",보유목록!$H$2:$H$3001,O346)&gt;0,"있음",IF(COUNTIFS(보유목록!$I$2:$I$3001,"*"&amp;P346&amp;"*",보유목록!$I$2:$I$3001,"*"&amp;Q346&amp;"*")&gt;0,"확인필요(연도다름)",IF(COUNTIFS(보유목록!$I$2:$I$3001,"*"&amp;P346&amp;"*",보유목록!$H$2:$H$3001,O346)&gt;0,"확인필요(같은학교·같은연도)","없음")))))</f>
      </c>
      <c r="L346" t="str" s="16">
        <f aca="0">IF(OR(COUNTA(B346:J346)=0,R346&lt;&gt;""),"",COUNTIFS(보유목록!$I$2:$I$3001,"*"&amp;P346&amp;"*",보유목록!$I$2:$I$3001,"*"&amp;Q346&amp;"*"))</f>
      </c>
      <c r="M346" t="str" s="23">
        <f aca="0">IF(OR(COUNTA(B346:J346)=0,R346&lt;&gt;""),"",IFERROR(LOOKUP(2,1/(ISNUMBER(SEARCH(P346,보유목록!$I$2:$I$3001))*ISNUMBER(SEARCH(Q346,보유목록!$I$2:$I$3001))*(보유목록!$H$2:$H$3001=O346)),보유목록!$B$2:$B$3001),IFERROR(LOOKUP(2,1/(ISNUMBER(SEARCH(P346,보유목록!$I$2:$I$3001))*ISNUMBER(SEARCH(Q346,보유목록!$I$2:$I$3001))),보유목록!$B$2:$B$3001),"")))</f>
      </c>
      <c r="N346" s="25"/>
      <c r="O346" t="str">
        <f>IFERROR(IF(AND(LEN(SUBSTITUTE(SUBSTITUTE(SUBSTITUTE(TRIM(C346&amp;""),CHAR(160),"")," ",""),"년",""))=4,VALUE(SUBSTITUTE(SUBSTITUTE(SUBSTITUTE(TRIM(C346&amp;""),CHAR(160),"")," ",""),"년",""))&gt;=1900,VALUE(SUBSTITUTE(SUBSTITUTE(SUBSTITUTE(TRIM(C346&amp;""),CHAR(160),"")," ",""),"년",""))&lt;=2099,TEXT(VALUE(SUBSTITUTE(SUBSTITUTE(SUBSTITUTE(TRIM(C346&amp;""),CHAR(160),"")," ",""),"년","")),"0000")=SUBSTITUTE(SUBSTITUTE(SUBSTITUTE(TRIM(C346&amp;""),CHAR(160),"")," ",""),"년","")),SUBSTITUTE(SUBSTITUTE(SUBSTITUTE(TRIM(C346&amp;""),CHAR(160),"")," ",""),"년",""),""),"")</f>
      </c>
      <c r="P346" t="str">
        <f>SUBSTITUTE(SUBSTITUTE(SUBSTITUTE(SUBSTITUTE(SUBSTITUTE(SUBSTITUTE(SUBSTITUTE(SUBSTITUTE(TRIM(D346&amp;""),CHAR(160),"")," ",""),"초등학교","초"),"중학교","중"),"고등학교","고"),"~","~~"),"*","~*"),"?","~?")</f>
      </c>
      <c r="Q346" t="str">
        <f>SUBSTITUTE(SUBSTITUTE(SUBSTITUTE(SUBSTITUTE(SUBSTITUTE(SUBSTITUTE(SUBSTITUTE(SUBSTITUTE(TRIM(E346&amp;""),CHAR(160),"")," ",""),"초등학교","초"),"중학교","중"),"고등학교","고"),"~","~~"),"*","~*"),"?","~?")</f>
      </c>
      <c r="R346" t="str">
        <f>IF(COUNTA(B346:J346)=0,"",IF(AND(O346&lt;&gt;"",P346&lt;&gt;"",Q346&lt;&gt;""),"","입력누락"))</f>
      </c>
    </row>
    <row r="347" customFormat="false" ht="15" hidden="false" customHeight="false" outlineLevel="0" collapsed="false">
      <c r="A347" t="n" s="19">
        <f aca="0">IF(COUNTA(B347:J347)=0,"",ROW()-1)</f>
      </c>
      <c r="B347" s="24"/>
      <c r="C347" s="25"/>
      <c r="D347" s="8"/>
      <c r="E347" s="8"/>
      <c r="F347" s="26"/>
      <c r="G347" s="24"/>
      <c r="H347" s="25"/>
      <c r="I347" s="25"/>
      <c r="J347" s="26"/>
      <c r="K347" t="str" s="15">
        <f aca="0">IF(COUNTA(B347:J347)=0,"",IF(R347&lt;&gt;"","확인필요(입력누락)",IF(COUNTIFS(보유목록!$I$2:$I$3001,"*"&amp;P347&amp;"*",보유목록!$I$2:$I$3001,"*"&amp;Q347&amp;"*",보유목록!$H$2:$H$3001,O347)&gt;0,"있음",IF(COUNTIFS(보유목록!$I$2:$I$3001,"*"&amp;P347&amp;"*",보유목록!$I$2:$I$3001,"*"&amp;Q347&amp;"*")&gt;0,"확인필요(연도다름)",IF(COUNTIFS(보유목록!$I$2:$I$3001,"*"&amp;P347&amp;"*",보유목록!$H$2:$H$3001,O347)&gt;0,"확인필요(같은학교·같은연도)","없음")))))</f>
      </c>
      <c r="L347" t="str" s="16">
        <f aca="0">IF(OR(COUNTA(B347:J347)=0,R347&lt;&gt;""),"",COUNTIFS(보유목록!$I$2:$I$3001,"*"&amp;P347&amp;"*",보유목록!$I$2:$I$3001,"*"&amp;Q347&amp;"*"))</f>
      </c>
      <c r="M347" t="str" s="23">
        <f aca="0">IF(OR(COUNTA(B347:J347)=0,R347&lt;&gt;""),"",IFERROR(LOOKUP(2,1/(ISNUMBER(SEARCH(P347,보유목록!$I$2:$I$3001))*ISNUMBER(SEARCH(Q347,보유목록!$I$2:$I$3001))*(보유목록!$H$2:$H$3001=O347)),보유목록!$B$2:$B$3001),IFERROR(LOOKUP(2,1/(ISNUMBER(SEARCH(P347,보유목록!$I$2:$I$3001))*ISNUMBER(SEARCH(Q347,보유목록!$I$2:$I$3001))),보유목록!$B$2:$B$3001),"")))</f>
      </c>
      <c r="N347" s="25"/>
      <c r="O347" t="str">
        <f>IFERROR(IF(AND(LEN(SUBSTITUTE(SUBSTITUTE(SUBSTITUTE(TRIM(C347&amp;""),CHAR(160),"")," ",""),"년",""))=4,VALUE(SUBSTITUTE(SUBSTITUTE(SUBSTITUTE(TRIM(C347&amp;""),CHAR(160),"")," ",""),"년",""))&gt;=1900,VALUE(SUBSTITUTE(SUBSTITUTE(SUBSTITUTE(TRIM(C347&amp;""),CHAR(160),"")," ",""),"년",""))&lt;=2099,TEXT(VALUE(SUBSTITUTE(SUBSTITUTE(SUBSTITUTE(TRIM(C347&amp;""),CHAR(160),"")," ",""),"년","")),"0000")=SUBSTITUTE(SUBSTITUTE(SUBSTITUTE(TRIM(C347&amp;""),CHAR(160),"")," ",""),"년","")),SUBSTITUTE(SUBSTITUTE(SUBSTITUTE(TRIM(C347&amp;""),CHAR(160),"")," ",""),"년",""),""),"")</f>
      </c>
      <c r="P347" t="str">
        <f>SUBSTITUTE(SUBSTITUTE(SUBSTITUTE(SUBSTITUTE(SUBSTITUTE(SUBSTITUTE(SUBSTITUTE(SUBSTITUTE(TRIM(D347&amp;""),CHAR(160),"")," ",""),"초등학교","초"),"중학교","중"),"고등학교","고"),"~","~~"),"*","~*"),"?","~?")</f>
      </c>
      <c r="Q347" t="str">
        <f>SUBSTITUTE(SUBSTITUTE(SUBSTITUTE(SUBSTITUTE(SUBSTITUTE(SUBSTITUTE(SUBSTITUTE(SUBSTITUTE(TRIM(E347&amp;""),CHAR(160),"")," ",""),"초등학교","초"),"중학교","중"),"고등학교","고"),"~","~~"),"*","~*"),"?","~?")</f>
      </c>
      <c r="R347" t="str">
        <f>IF(COUNTA(B347:J347)=0,"",IF(AND(O347&lt;&gt;"",P347&lt;&gt;"",Q347&lt;&gt;""),"","입력누락"))</f>
      </c>
    </row>
    <row r="348" customFormat="false" ht="15" hidden="false" customHeight="false" outlineLevel="0" collapsed="false">
      <c r="A348" t="n" s="19">
        <f aca="0">IF(COUNTA(B348:J348)=0,"",ROW()-1)</f>
      </c>
      <c r="B348" s="24"/>
      <c r="C348" s="25"/>
      <c r="D348" s="8"/>
      <c r="E348" s="8"/>
      <c r="F348" s="26"/>
      <c r="G348" s="24"/>
      <c r="H348" s="25"/>
      <c r="I348" s="25"/>
      <c r="J348" s="26"/>
      <c r="K348" t="str" s="15">
        <f aca="0">IF(COUNTA(B348:J348)=0,"",IF(R348&lt;&gt;"","확인필요(입력누락)",IF(COUNTIFS(보유목록!$I$2:$I$3001,"*"&amp;P348&amp;"*",보유목록!$I$2:$I$3001,"*"&amp;Q348&amp;"*",보유목록!$H$2:$H$3001,O348)&gt;0,"있음",IF(COUNTIFS(보유목록!$I$2:$I$3001,"*"&amp;P348&amp;"*",보유목록!$I$2:$I$3001,"*"&amp;Q348&amp;"*")&gt;0,"확인필요(연도다름)",IF(COUNTIFS(보유목록!$I$2:$I$3001,"*"&amp;P348&amp;"*",보유목록!$H$2:$H$3001,O348)&gt;0,"확인필요(같은학교·같은연도)","없음")))))</f>
      </c>
      <c r="L348" t="str" s="16">
        <f aca="0">IF(OR(COUNTA(B348:J348)=0,R348&lt;&gt;""),"",COUNTIFS(보유목록!$I$2:$I$3001,"*"&amp;P348&amp;"*",보유목록!$I$2:$I$3001,"*"&amp;Q348&amp;"*"))</f>
      </c>
      <c r="M348" t="str" s="23">
        <f aca="0">IF(OR(COUNTA(B348:J348)=0,R348&lt;&gt;""),"",IFERROR(LOOKUP(2,1/(ISNUMBER(SEARCH(P348,보유목록!$I$2:$I$3001))*ISNUMBER(SEARCH(Q348,보유목록!$I$2:$I$3001))*(보유목록!$H$2:$H$3001=O348)),보유목록!$B$2:$B$3001),IFERROR(LOOKUP(2,1/(ISNUMBER(SEARCH(P348,보유목록!$I$2:$I$3001))*ISNUMBER(SEARCH(Q348,보유목록!$I$2:$I$3001))),보유목록!$B$2:$B$3001),"")))</f>
      </c>
      <c r="N348" s="25"/>
      <c r="O348" t="str">
        <f>IFERROR(IF(AND(LEN(SUBSTITUTE(SUBSTITUTE(SUBSTITUTE(TRIM(C348&amp;""),CHAR(160),"")," ",""),"년",""))=4,VALUE(SUBSTITUTE(SUBSTITUTE(SUBSTITUTE(TRIM(C348&amp;""),CHAR(160),"")," ",""),"년",""))&gt;=1900,VALUE(SUBSTITUTE(SUBSTITUTE(SUBSTITUTE(TRIM(C348&amp;""),CHAR(160),"")," ",""),"년",""))&lt;=2099,TEXT(VALUE(SUBSTITUTE(SUBSTITUTE(SUBSTITUTE(TRIM(C348&amp;""),CHAR(160),"")," ",""),"년","")),"0000")=SUBSTITUTE(SUBSTITUTE(SUBSTITUTE(TRIM(C348&amp;""),CHAR(160),"")," ",""),"년","")),SUBSTITUTE(SUBSTITUTE(SUBSTITUTE(TRIM(C348&amp;""),CHAR(160),"")," ",""),"년",""),""),"")</f>
      </c>
      <c r="P348" t="str">
        <f>SUBSTITUTE(SUBSTITUTE(SUBSTITUTE(SUBSTITUTE(SUBSTITUTE(SUBSTITUTE(SUBSTITUTE(SUBSTITUTE(TRIM(D348&amp;""),CHAR(160),"")," ",""),"초등학교","초"),"중학교","중"),"고등학교","고"),"~","~~"),"*","~*"),"?","~?")</f>
      </c>
      <c r="Q348" t="str">
        <f>SUBSTITUTE(SUBSTITUTE(SUBSTITUTE(SUBSTITUTE(SUBSTITUTE(SUBSTITUTE(SUBSTITUTE(SUBSTITUTE(TRIM(E348&amp;""),CHAR(160),"")," ",""),"초등학교","초"),"중학교","중"),"고등학교","고"),"~","~~"),"*","~*"),"?","~?")</f>
      </c>
      <c r="R348" t="str">
        <f>IF(COUNTA(B348:J348)=0,"",IF(AND(O348&lt;&gt;"",P348&lt;&gt;"",Q348&lt;&gt;""),"","입력누락"))</f>
      </c>
    </row>
    <row r="349" customFormat="false" ht="15" hidden="false" customHeight="false" outlineLevel="0" collapsed="false">
      <c r="A349" t="n" s="19">
        <f aca="0">IF(COUNTA(B349:J349)=0,"",ROW()-1)</f>
      </c>
      <c r="B349" s="24"/>
      <c r="C349" s="25"/>
      <c r="D349" s="8"/>
      <c r="E349" s="8"/>
      <c r="F349" s="26"/>
      <c r="G349" s="24"/>
      <c r="H349" s="25"/>
      <c r="I349" s="25"/>
      <c r="J349" s="26"/>
      <c r="K349" t="str" s="15">
        <f aca="0">IF(COUNTA(B349:J349)=0,"",IF(R349&lt;&gt;"","확인필요(입력누락)",IF(COUNTIFS(보유목록!$I$2:$I$3001,"*"&amp;P349&amp;"*",보유목록!$I$2:$I$3001,"*"&amp;Q349&amp;"*",보유목록!$H$2:$H$3001,O349)&gt;0,"있음",IF(COUNTIFS(보유목록!$I$2:$I$3001,"*"&amp;P349&amp;"*",보유목록!$I$2:$I$3001,"*"&amp;Q349&amp;"*")&gt;0,"확인필요(연도다름)",IF(COUNTIFS(보유목록!$I$2:$I$3001,"*"&amp;P349&amp;"*",보유목록!$H$2:$H$3001,O349)&gt;0,"확인필요(같은학교·같은연도)","없음")))))</f>
      </c>
      <c r="L349" t="str" s="16">
        <f aca="0">IF(OR(COUNTA(B349:J349)=0,R349&lt;&gt;""),"",COUNTIFS(보유목록!$I$2:$I$3001,"*"&amp;P349&amp;"*",보유목록!$I$2:$I$3001,"*"&amp;Q349&amp;"*"))</f>
      </c>
      <c r="M349" t="str" s="23">
        <f aca="0">IF(OR(COUNTA(B349:J349)=0,R349&lt;&gt;""),"",IFERROR(LOOKUP(2,1/(ISNUMBER(SEARCH(P349,보유목록!$I$2:$I$3001))*ISNUMBER(SEARCH(Q349,보유목록!$I$2:$I$3001))*(보유목록!$H$2:$H$3001=O349)),보유목록!$B$2:$B$3001),IFERROR(LOOKUP(2,1/(ISNUMBER(SEARCH(P349,보유목록!$I$2:$I$3001))*ISNUMBER(SEARCH(Q349,보유목록!$I$2:$I$3001))),보유목록!$B$2:$B$3001),"")))</f>
      </c>
      <c r="N349" s="25"/>
      <c r="O349" t="str">
        <f>IFERROR(IF(AND(LEN(SUBSTITUTE(SUBSTITUTE(SUBSTITUTE(TRIM(C349&amp;""),CHAR(160),"")," ",""),"년",""))=4,VALUE(SUBSTITUTE(SUBSTITUTE(SUBSTITUTE(TRIM(C349&amp;""),CHAR(160),"")," ",""),"년",""))&gt;=1900,VALUE(SUBSTITUTE(SUBSTITUTE(SUBSTITUTE(TRIM(C349&amp;""),CHAR(160),"")," ",""),"년",""))&lt;=2099,TEXT(VALUE(SUBSTITUTE(SUBSTITUTE(SUBSTITUTE(TRIM(C349&amp;""),CHAR(160),"")," ",""),"년","")),"0000")=SUBSTITUTE(SUBSTITUTE(SUBSTITUTE(TRIM(C349&amp;""),CHAR(160),"")," ",""),"년","")),SUBSTITUTE(SUBSTITUTE(SUBSTITUTE(TRIM(C349&amp;""),CHAR(160),"")," ",""),"년",""),""),"")</f>
      </c>
      <c r="P349" t="str">
        <f>SUBSTITUTE(SUBSTITUTE(SUBSTITUTE(SUBSTITUTE(SUBSTITUTE(SUBSTITUTE(SUBSTITUTE(SUBSTITUTE(TRIM(D349&amp;""),CHAR(160),"")," ",""),"초등학교","초"),"중학교","중"),"고등학교","고"),"~","~~"),"*","~*"),"?","~?")</f>
      </c>
      <c r="Q349" t="str">
        <f>SUBSTITUTE(SUBSTITUTE(SUBSTITUTE(SUBSTITUTE(SUBSTITUTE(SUBSTITUTE(SUBSTITUTE(SUBSTITUTE(TRIM(E349&amp;""),CHAR(160),"")," ",""),"초등학교","초"),"중학교","중"),"고등학교","고"),"~","~~"),"*","~*"),"?","~?")</f>
      </c>
      <c r="R349" t="str">
        <f>IF(COUNTA(B349:J349)=0,"",IF(AND(O349&lt;&gt;"",P349&lt;&gt;"",Q349&lt;&gt;""),"","입력누락"))</f>
      </c>
    </row>
    <row r="350" customFormat="false" ht="15" hidden="false" customHeight="false" outlineLevel="0" collapsed="false">
      <c r="A350" t="n" s="19">
        <f aca="0">IF(COUNTA(B350:J350)=0,"",ROW()-1)</f>
      </c>
      <c r="B350" s="24"/>
      <c r="C350" s="25"/>
      <c r="D350" s="8"/>
      <c r="E350" s="8"/>
      <c r="F350" s="26"/>
      <c r="G350" s="24"/>
      <c r="H350" s="25"/>
      <c r="I350" s="25"/>
      <c r="J350" s="26"/>
      <c r="K350" t="str" s="15">
        <f aca="0">IF(COUNTA(B350:J350)=0,"",IF(R350&lt;&gt;"","확인필요(입력누락)",IF(COUNTIFS(보유목록!$I$2:$I$3001,"*"&amp;P350&amp;"*",보유목록!$I$2:$I$3001,"*"&amp;Q350&amp;"*",보유목록!$H$2:$H$3001,O350)&gt;0,"있음",IF(COUNTIFS(보유목록!$I$2:$I$3001,"*"&amp;P350&amp;"*",보유목록!$I$2:$I$3001,"*"&amp;Q350&amp;"*")&gt;0,"확인필요(연도다름)",IF(COUNTIFS(보유목록!$I$2:$I$3001,"*"&amp;P350&amp;"*",보유목록!$H$2:$H$3001,O350)&gt;0,"확인필요(같은학교·같은연도)","없음")))))</f>
      </c>
      <c r="L350" t="str" s="16">
        <f aca="0">IF(OR(COUNTA(B350:J350)=0,R350&lt;&gt;""),"",COUNTIFS(보유목록!$I$2:$I$3001,"*"&amp;P350&amp;"*",보유목록!$I$2:$I$3001,"*"&amp;Q350&amp;"*"))</f>
      </c>
      <c r="M350" t="str" s="23">
        <f aca="0">IF(OR(COUNTA(B350:J350)=0,R350&lt;&gt;""),"",IFERROR(LOOKUP(2,1/(ISNUMBER(SEARCH(P350,보유목록!$I$2:$I$3001))*ISNUMBER(SEARCH(Q350,보유목록!$I$2:$I$3001))*(보유목록!$H$2:$H$3001=O350)),보유목록!$B$2:$B$3001),IFERROR(LOOKUP(2,1/(ISNUMBER(SEARCH(P350,보유목록!$I$2:$I$3001))*ISNUMBER(SEARCH(Q350,보유목록!$I$2:$I$3001))),보유목록!$B$2:$B$3001),"")))</f>
      </c>
      <c r="N350" s="25"/>
      <c r="O350" t="str">
        <f>IFERROR(IF(AND(LEN(SUBSTITUTE(SUBSTITUTE(SUBSTITUTE(TRIM(C350&amp;""),CHAR(160),"")," ",""),"년",""))=4,VALUE(SUBSTITUTE(SUBSTITUTE(SUBSTITUTE(TRIM(C350&amp;""),CHAR(160),"")," ",""),"년",""))&gt;=1900,VALUE(SUBSTITUTE(SUBSTITUTE(SUBSTITUTE(TRIM(C350&amp;""),CHAR(160),"")," ",""),"년",""))&lt;=2099,TEXT(VALUE(SUBSTITUTE(SUBSTITUTE(SUBSTITUTE(TRIM(C350&amp;""),CHAR(160),"")," ",""),"년","")),"0000")=SUBSTITUTE(SUBSTITUTE(SUBSTITUTE(TRIM(C350&amp;""),CHAR(160),"")," ",""),"년","")),SUBSTITUTE(SUBSTITUTE(SUBSTITUTE(TRIM(C350&amp;""),CHAR(160),"")," ",""),"년",""),""),"")</f>
      </c>
      <c r="P350" t="str">
        <f>SUBSTITUTE(SUBSTITUTE(SUBSTITUTE(SUBSTITUTE(SUBSTITUTE(SUBSTITUTE(SUBSTITUTE(SUBSTITUTE(TRIM(D350&amp;""),CHAR(160),"")," ",""),"초등학교","초"),"중학교","중"),"고등학교","고"),"~","~~"),"*","~*"),"?","~?")</f>
      </c>
      <c r="Q350" t="str">
        <f>SUBSTITUTE(SUBSTITUTE(SUBSTITUTE(SUBSTITUTE(SUBSTITUTE(SUBSTITUTE(SUBSTITUTE(SUBSTITUTE(TRIM(E350&amp;""),CHAR(160),"")," ",""),"초등학교","초"),"중학교","중"),"고등학교","고"),"~","~~"),"*","~*"),"?","~?")</f>
      </c>
      <c r="R350" t="str">
        <f>IF(COUNTA(B350:J350)=0,"",IF(AND(O350&lt;&gt;"",P350&lt;&gt;"",Q350&lt;&gt;""),"","입력누락"))</f>
      </c>
    </row>
    <row r="351" customFormat="false" ht="15" hidden="false" customHeight="false" outlineLevel="0" collapsed="false">
      <c r="A351" t="n" s="19">
        <f aca="0">IF(COUNTA(B351:J351)=0,"",ROW()-1)</f>
      </c>
      <c r="B351" s="24"/>
      <c r="C351" s="25"/>
      <c r="D351" s="8"/>
      <c r="E351" s="8"/>
      <c r="F351" s="26"/>
      <c r="G351" s="24"/>
      <c r="H351" s="25"/>
      <c r="I351" s="25"/>
      <c r="J351" s="26"/>
      <c r="K351" t="str" s="15">
        <f aca="0">IF(COUNTA(B351:J351)=0,"",IF(R351&lt;&gt;"","확인필요(입력누락)",IF(COUNTIFS(보유목록!$I$2:$I$3001,"*"&amp;P351&amp;"*",보유목록!$I$2:$I$3001,"*"&amp;Q351&amp;"*",보유목록!$H$2:$H$3001,O351)&gt;0,"있음",IF(COUNTIFS(보유목록!$I$2:$I$3001,"*"&amp;P351&amp;"*",보유목록!$I$2:$I$3001,"*"&amp;Q351&amp;"*")&gt;0,"확인필요(연도다름)",IF(COUNTIFS(보유목록!$I$2:$I$3001,"*"&amp;P351&amp;"*",보유목록!$H$2:$H$3001,O351)&gt;0,"확인필요(같은학교·같은연도)","없음")))))</f>
      </c>
      <c r="L351" t="str" s="16">
        <f aca="0">IF(OR(COUNTA(B351:J351)=0,R351&lt;&gt;""),"",COUNTIFS(보유목록!$I$2:$I$3001,"*"&amp;P351&amp;"*",보유목록!$I$2:$I$3001,"*"&amp;Q351&amp;"*"))</f>
      </c>
      <c r="M351" t="str" s="23">
        <f aca="0">IF(OR(COUNTA(B351:J351)=0,R351&lt;&gt;""),"",IFERROR(LOOKUP(2,1/(ISNUMBER(SEARCH(P351,보유목록!$I$2:$I$3001))*ISNUMBER(SEARCH(Q351,보유목록!$I$2:$I$3001))*(보유목록!$H$2:$H$3001=O351)),보유목록!$B$2:$B$3001),IFERROR(LOOKUP(2,1/(ISNUMBER(SEARCH(P351,보유목록!$I$2:$I$3001))*ISNUMBER(SEARCH(Q351,보유목록!$I$2:$I$3001))),보유목록!$B$2:$B$3001),"")))</f>
      </c>
      <c r="N351" s="25"/>
      <c r="O351" t="str">
        <f>IFERROR(IF(AND(LEN(SUBSTITUTE(SUBSTITUTE(SUBSTITUTE(TRIM(C351&amp;""),CHAR(160),"")," ",""),"년",""))=4,VALUE(SUBSTITUTE(SUBSTITUTE(SUBSTITUTE(TRIM(C351&amp;""),CHAR(160),"")," ",""),"년",""))&gt;=1900,VALUE(SUBSTITUTE(SUBSTITUTE(SUBSTITUTE(TRIM(C351&amp;""),CHAR(160),"")," ",""),"년",""))&lt;=2099,TEXT(VALUE(SUBSTITUTE(SUBSTITUTE(SUBSTITUTE(TRIM(C351&amp;""),CHAR(160),"")," ",""),"년","")),"0000")=SUBSTITUTE(SUBSTITUTE(SUBSTITUTE(TRIM(C351&amp;""),CHAR(160),"")," ",""),"년","")),SUBSTITUTE(SUBSTITUTE(SUBSTITUTE(TRIM(C351&amp;""),CHAR(160),"")," ",""),"년",""),""),"")</f>
      </c>
      <c r="P351" t="str">
        <f>SUBSTITUTE(SUBSTITUTE(SUBSTITUTE(SUBSTITUTE(SUBSTITUTE(SUBSTITUTE(SUBSTITUTE(SUBSTITUTE(TRIM(D351&amp;""),CHAR(160),"")," ",""),"초등학교","초"),"중학교","중"),"고등학교","고"),"~","~~"),"*","~*"),"?","~?")</f>
      </c>
      <c r="Q351" t="str">
        <f>SUBSTITUTE(SUBSTITUTE(SUBSTITUTE(SUBSTITUTE(SUBSTITUTE(SUBSTITUTE(SUBSTITUTE(SUBSTITUTE(TRIM(E351&amp;""),CHAR(160),"")," ",""),"초등학교","초"),"중학교","중"),"고등학교","고"),"~","~~"),"*","~*"),"?","~?")</f>
      </c>
      <c r="R351" t="str">
        <f>IF(COUNTA(B351:J351)=0,"",IF(AND(O351&lt;&gt;"",P351&lt;&gt;"",Q351&lt;&gt;""),"","입력누락"))</f>
      </c>
    </row>
    <row r="352" customFormat="false" ht="15" hidden="false" customHeight="false" outlineLevel="0" collapsed="false">
      <c r="A352" t="n" s="19">
        <f aca="0">IF(COUNTA(B352:J352)=0,"",ROW()-1)</f>
      </c>
      <c r="B352" s="24"/>
      <c r="C352" s="25"/>
      <c r="D352" s="8"/>
      <c r="E352" s="8"/>
      <c r="F352" s="26"/>
      <c r="G352" s="24"/>
      <c r="H352" s="25"/>
      <c r="I352" s="25"/>
      <c r="J352" s="26"/>
      <c r="K352" t="str" s="15">
        <f aca="0">IF(COUNTA(B352:J352)=0,"",IF(R352&lt;&gt;"","확인필요(입력누락)",IF(COUNTIFS(보유목록!$I$2:$I$3001,"*"&amp;P352&amp;"*",보유목록!$I$2:$I$3001,"*"&amp;Q352&amp;"*",보유목록!$H$2:$H$3001,O352)&gt;0,"있음",IF(COUNTIFS(보유목록!$I$2:$I$3001,"*"&amp;P352&amp;"*",보유목록!$I$2:$I$3001,"*"&amp;Q352&amp;"*")&gt;0,"확인필요(연도다름)",IF(COUNTIFS(보유목록!$I$2:$I$3001,"*"&amp;P352&amp;"*",보유목록!$H$2:$H$3001,O352)&gt;0,"확인필요(같은학교·같은연도)","없음")))))</f>
      </c>
      <c r="L352" t="str" s="16">
        <f aca="0">IF(OR(COUNTA(B352:J352)=0,R352&lt;&gt;""),"",COUNTIFS(보유목록!$I$2:$I$3001,"*"&amp;P352&amp;"*",보유목록!$I$2:$I$3001,"*"&amp;Q352&amp;"*"))</f>
      </c>
      <c r="M352" t="str" s="23">
        <f aca="0">IF(OR(COUNTA(B352:J352)=0,R352&lt;&gt;""),"",IFERROR(LOOKUP(2,1/(ISNUMBER(SEARCH(P352,보유목록!$I$2:$I$3001))*ISNUMBER(SEARCH(Q352,보유목록!$I$2:$I$3001))*(보유목록!$H$2:$H$3001=O352)),보유목록!$B$2:$B$3001),IFERROR(LOOKUP(2,1/(ISNUMBER(SEARCH(P352,보유목록!$I$2:$I$3001))*ISNUMBER(SEARCH(Q352,보유목록!$I$2:$I$3001))),보유목록!$B$2:$B$3001),"")))</f>
      </c>
      <c r="N352" s="25"/>
      <c r="O352" t="str">
        <f>IFERROR(IF(AND(LEN(SUBSTITUTE(SUBSTITUTE(SUBSTITUTE(TRIM(C352&amp;""),CHAR(160),"")," ",""),"년",""))=4,VALUE(SUBSTITUTE(SUBSTITUTE(SUBSTITUTE(TRIM(C352&amp;""),CHAR(160),"")," ",""),"년",""))&gt;=1900,VALUE(SUBSTITUTE(SUBSTITUTE(SUBSTITUTE(TRIM(C352&amp;""),CHAR(160),"")," ",""),"년",""))&lt;=2099,TEXT(VALUE(SUBSTITUTE(SUBSTITUTE(SUBSTITUTE(TRIM(C352&amp;""),CHAR(160),"")," ",""),"년","")),"0000")=SUBSTITUTE(SUBSTITUTE(SUBSTITUTE(TRIM(C352&amp;""),CHAR(160),"")," ",""),"년","")),SUBSTITUTE(SUBSTITUTE(SUBSTITUTE(TRIM(C352&amp;""),CHAR(160),"")," ",""),"년",""),""),"")</f>
      </c>
      <c r="P352" t="str">
        <f>SUBSTITUTE(SUBSTITUTE(SUBSTITUTE(SUBSTITUTE(SUBSTITUTE(SUBSTITUTE(SUBSTITUTE(SUBSTITUTE(TRIM(D352&amp;""),CHAR(160),"")," ",""),"초등학교","초"),"중학교","중"),"고등학교","고"),"~","~~"),"*","~*"),"?","~?")</f>
      </c>
      <c r="Q352" t="str">
        <f>SUBSTITUTE(SUBSTITUTE(SUBSTITUTE(SUBSTITUTE(SUBSTITUTE(SUBSTITUTE(SUBSTITUTE(SUBSTITUTE(TRIM(E352&amp;""),CHAR(160),"")," ",""),"초등학교","초"),"중학교","중"),"고등학교","고"),"~","~~"),"*","~*"),"?","~?")</f>
      </c>
      <c r="R352" t="str">
        <f>IF(COUNTA(B352:J352)=0,"",IF(AND(O352&lt;&gt;"",P352&lt;&gt;"",Q352&lt;&gt;""),"","입력누락"))</f>
      </c>
    </row>
    <row r="353" customFormat="false" ht="15" hidden="false" customHeight="false" outlineLevel="0" collapsed="false">
      <c r="A353" t="n" s="19">
        <f aca="0">IF(COUNTA(B353:J353)=0,"",ROW()-1)</f>
      </c>
      <c r="B353" s="24"/>
      <c r="C353" s="25"/>
      <c r="D353" s="8"/>
      <c r="E353" s="8"/>
      <c r="F353" s="26"/>
      <c r="G353" s="24"/>
      <c r="H353" s="25"/>
      <c r="I353" s="25"/>
      <c r="J353" s="26"/>
      <c r="K353" t="str" s="15">
        <f aca="0">IF(COUNTA(B353:J353)=0,"",IF(R353&lt;&gt;"","확인필요(입력누락)",IF(COUNTIFS(보유목록!$I$2:$I$3001,"*"&amp;P353&amp;"*",보유목록!$I$2:$I$3001,"*"&amp;Q353&amp;"*",보유목록!$H$2:$H$3001,O353)&gt;0,"있음",IF(COUNTIFS(보유목록!$I$2:$I$3001,"*"&amp;P353&amp;"*",보유목록!$I$2:$I$3001,"*"&amp;Q353&amp;"*")&gt;0,"확인필요(연도다름)",IF(COUNTIFS(보유목록!$I$2:$I$3001,"*"&amp;P353&amp;"*",보유목록!$H$2:$H$3001,O353)&gt;0,"확인필요(같은학교·같은연도)","없음")))))</f>
      </c>
      <c r="L353" t="str" s="16">
        <f aca="0">IF(OR(COUNTA(B353:J353)=0,R353&lt;&gt;""),"",COUNTIFS(보유목록!$I$2:$I$3001,"*"&amp;P353&amp;"*",보유목록!$I$2:$I$3001,"*"&amp;Q353&amp;"*"))</f>
      </c>
      <c r="M353" t="str" s="23">
        <f aca="0">IF(OR(COUNTA(B353:J353)=0,R353&lt;&gt;""),"",IFERROR(LOOKUP(2,1/(ISNUMBER(SEARCH(P353,보유목록!$I$2:$I$3001))*ISNUMBER(SEARCH(Q353,보유목록!$I$2:$I$3001))*(보유목록!$H$2:$H$3001=O353)),보유목록!$B$2:$B$3001),IFERROR(LOOKUP(2,1/(ISNUMBER(SEARCH(P353,보유목록!$I$2:$I$3001))*ISNUMBER(SEARCH(Q353,보유목록!$I$2:$I$3001))),보유목록!$B$2:$B$3001),"")))</f>
      </c>
      <c r="N353" s="25"/>
      <c r="O353" t="str">
        <f>IFERROR(IF(AND(LEN(SUBSTITUTE(SUBSTITUTE(SUBSTITUTE(TRIM(C353&amp;""),CHAR(160),"")," ",""),"년",""))=4,VALUE(SUBSTITUTE(SUBSTITUTE(SUBSTITUTE(TRIM(C353&amp;""),CHAR(160),"")," ",""),"년",""))&gt;=1900,VALUE(SUBSTITUTE(SUBSTITUTE(SUBSTITUTE(TRIM(C353&amp;""),CHAR(160),"")," ",""),"년",""))&lt;=2099,TEXT(VALUE(SUBSTITUTE(SUBSTITUTE(SUBSTITUTE(TRIM(C353&amp;""),CHAR(160),"")," ",""),"년","")),"0000")=SUBSTITUTE(SUBSTITUTE(SUBSTITUTE(TRIM(C353&amp;""),CHAR(160),"")," ",""),"년","")),SUBSTITUTE(SUBSTITUTE(SUBSTITUTE(TRIM(C353&amp;""),CHAR(160),"")," ",""),"년",""),""),"")</f>
      </c>
      <c r="P353" t="str">
        <f>SUBSTITUTE(SUBSTITUTE(SUBSTITUTE(SUBSTITUTE(SUBSTITUTE(SUBSTITUTE(SUBSTITUTE(SUBSTITUTE(TRIM(D353&amp;""),CHAR(160),"")," ",""),"초등학교","초"),"중학교","중"),"고등학교","고"),"~","~~"),"*","~*"),"?","~?")</f>
      </c>
      <c r="Q353" t="str">
        <f>SUBSTITUTE(SUBSTITUTE(SUBSTITUTE(SUBSTITUTE(SUBSTITUTE(SUBSTITUTE(SUBSTITUTE(SUBSTITUTE(TRIM(E353&amp;""),CHAR(160),"")," ",""),"초등학교","초"),"중학교","중"),"고등학교","고"),"~","~~"),"*","~*"),"?","~?")</f>
      </c>
      <c r="R353" t="str">
        <f>IF(COUNTA(B353:J353)=0,"",IF(AND(O353&lt;&gt;"",P353&lt;&gt;"",Q353&lt;&gt;""),"","입력누락"))</f>
      </c>
    </row>
    <row r="354" customFormat="false" ht="15" hidden="false" customHeight="false" outlineLevel="0" collapsed="false">
      <c r="A354" t="n" s="19">
        <f aca="0">IF(COUNTA(B354:J354)=0,"",ROW()-1)</f>
      </c>
      <c r="B354" s="24"/>
      <c r="C354" s="25"/>
      <c r="D354" s="8"/>
      <c r="E354" s="8"/>
      <c r="F354" s="26"/>
      <c r="G354" s="24"/>
      <c r="H354" s="25"/>
      <c r="I354" s="25"/>
      <c r="J354" s="26"/>
      <c r="K354" t="str" s="15">
        <f aca="0">IF(COUNTA(B354:J354)=0,"",IF(R354&lt;&gt;"","확인필요(입력누락)",IF(COUNTIFS(보유목록!$I$2:$I$3001,"*"&amp;P354&amp;"*",보유목록!$I$2:$I$3001,"*"&amp;Q354&amp;"*",보유목록!$H$2:$H$3001,O354)&gt;0,"있음",IF(COUNTIFS(보유목록!$I$2:$I$3001,"*"&amp;P354&amp;"*",보유목록!$I$2:$I$3001,"*"&amp;Q354&amp;"*")&gt;0,"확인필요(연도다름)",IF(COUNTIFS(보유목록!$I$2:$I$3001,"*"&amp;P354&amp;"*",보유목록!$H$2:$H$3001,O354)&gt;0,"확인필요(같은학교·같은연도)","없음")))))</f>
      </c>
      <c r="L354" t="str" s="16">
        <f aca="0">IF(OR(COUNTA(B354:J354)=0,R354&lt;&gt;""),"",COUNTIFS(보유목록!$I$2:$I$3001,"*"&amp;P354&amp;"*",보유목록!$I$2:$I$3001,"*"&amp;Q354&amp;"*"))</f>
      </c>
      <c r="M354" t="str" s="23">
        <f aca="0">IF(OR(COUNTA(B354:J354)=0,R354&lt;&gt;""),"",IFERROR(LOOKUP(2,1/(ISNUMBER(SEARCH(P354,보유목록!$I$2:$I$3001))*ISNUMBER(SEARCH(Q354,보유목록!$I$2:$I$3001))*(보유목록!$H$2:$H$3001=O354)),보유목록!$B$2:$B$3001),IFERROR(LOOKUP(2,1/(ISNUMBER(SEARCH(P354,보유목록!$I$2:$I$3001))*ISNUMBER(SEARCH(Q354,보유목록!$I$2:$I$3001))),보유목록!$B$2:$B$3001),"")))</f>
      </c>
      <c r="N354" s="25"/>
      <c r="O354" t="str">
        <f>IFERROR(IF(AND(LEN(SUBSTITUTE(SUBSTITUTE(SUBSTITUTE(TRIM(C354&amp;""),CHAR(160),"")," ",""),"년",""))=4,VALUE(SUBSTITUTE(SUBSTITUTE(SUBSTITUTE(TRIM(C354&amp;""),CHAR(160),"")," ",""),"년",""))&gt;=1900,VALUE(SUBSTITUTE(SUBSTITUTE(SUBSTITUTE(TRIM(C354&amp;""),CHAR(160),"")," ",""),"년",""))&lt;=2099,TEXT(VALUE(SUBSTITUTE(SUBSTITUTE(SUBSTITUTE(TRIM(C354&amp;""),CHAR(160),"")," ",""),"년","")),"0000")=SUBSTITUTE(SUBSTITUTE(SUBSTITUTE(TRIM(C354&amp;""),CHAR(160),"")," ",""),"년","")),SUBSTITUTE(SUBSTITUTE(SUBSTITUTE(TRIM(C354&amp;""),CHAR(160),"")," ",""),"년",""),""),"")</f>
      </c>
      <c r="P354" t="str">
        <f>SUBSTITUTE(SUBSTITUTE(SUBSTITUTE(SUBSTITUTE(SUBSTITUTE(SUBSTITUTE(SUBSTITUTE(SUBSTITUTE(TRIM(D354&amp;""),CHAR(160),"")," ",""),"초등학교","초"),"중학교","중"),"고등학교","고"),"~","~~"),"*","~*"),"?","~?")</f>
      </c>
      <c r="Q354" t="str">
        <f>SUBSTITUTE(SUBSTITUTE(SUBSTITUTE(SUBSTITUTE(SUBSTITUTE(SUBSTITUTE(SUBSTITUTE(SUBSTITUTE(TRIM(E354&amp;""),CHAR(160),"")," ",""),"초등학교","초"),"중학교","중"),"고등학교","고"),"~","~~"),"*","~*"),"?","~?")</f>
      </c>
      <c r="R354" t="str">
        <f>IF(COUNTA(B354:J354)=0,"",IF(AND(O354&lt;&gt;"",P354&lt;&gt;"",Q354&lt;&gt;""),"","입력누락"))</f>
      </c>
    </row>
    <row r="355" customFormat="false" ht="15" hidden="false" customHeight="false" outlineLevel="0" collapsed="false">
      <c r="A355" t="n" s="19">
        <f aca="0">IF(COUNTA(B355:J355)=0,"",ROW()-1)</f>
      </c>
      <c r="B355" s="24"/>
      <c r="C355" s="25"/>
      <c r="D355" s="8"/>
      <c r="E355" s="8"/>
      <c r="F355" s="26"/>
      <c r="G355" s="24"/>
      <c r="H355" s="25"/>
      <c r="I355" s="25"/>
      <c r="J355" s="26"/>
      <c r="K355" t="str" s="15">
        <f aca="0">IF(COUNTA(B355:J355)=0,"",IF(R355&lt;&gt;"","확인필요(입력누락)",IF(COUNTIFS(보유목록!$I$2:$I$3001,"*"&amp;P355&amp;"*",보유목록!$I$2:$I$3001,"*"&amp;Q355&amp;"*",보유목록!$H$2:$H$3001,O355)&gt;0,"있음",IF(COUNTIFS(보유목록!$I$2:$I$3001,"*"&amp;P355&amp;"*",보유목록!$I$2:$I$3001,"*"&amp;Q355&amp;"*")&gt;0,"확인필요(연도다름)",IF(COUNTIFS(보유목록!$I$2:$I$3001,"*"&amp;P355&amp;"*",보유목록!$H$2:$H$3001,O355)&gt;0,"확인필요(같은학교·같은연도)","없음")))))</f>
      </c>
      <c r="L355" t="str" s="16">
        <f aca="0">IF(OR(COUNTA(B355:J355)=0,R355&lt;&gt;""),"",COUNTIFS(보유목록!$I$2:$I$3001,"*"&amp;P355&amp;"*",보유목록!$I$2:$I$3001,"*"&amp;Q355&amp;"*"))</f>
      </c>
      <c r="M355" t="str" s="23">
        <f aca="0">IF(OR(COUNTA(B355:J355)=0,R355&lt;&gt;""),"",IFERROR(LOOKUP(2,1/(ISNUMBER(SEARCH(P355,보유목록!$I$2:$I$3001))*ISNUMBER(SEARCH(Q355,보유목록!$I$2:$I$3001))*(보유목록!$H$2:$H$3001=O355)),보유목록!$B$2:$B$3001),IFERROR(LOOKUP(2,1/(ISNUMBER(SEARCH(P355,보유목록!$I$2:$I$3001))*ISNUMBER(SEARCH(Q355,보유목록!$I$2:$I$3001))),보유목록!$B$2:$B$3001),"")))</f>
      </c>
      <c r="N355" s="25"/>
      <c r="O355" t="str">
        <f>IFERROR(IF(AND(LEN(SUBSTITUTE(SUBSTITUTE(SUBSTITUTE(TRIM(C355&amp;""),CHAR(160),"")," ",""),"년",""))=4,VALUE(SUBSTITUTE(SUBSTITUTE(SUBSTITUTE(TRIM(C355&amp;""),CHAR(160),"")," ",""),"년",""))&gt;=1900,VALUE(SUBSTITUTE(SUBSTITUTE(SUBSTITUTE(TRIM(C355&amp;""),CHAR(160),"")," ",""),"년",""))&lt;=2099,TEXT(VALUE(SUBSTITUTE(SUBSTITUTE(SUBSTITUTE(TRIM(C355&amp;""),CHAR(160),"")," ",""),"년","")),"0000")=SUBSTITUTE(SUBSTITUTE(SUBSTITUTE(TRIM(C355&amp;""),CHAR(160),"")," ",""),"년","")),SUBSTITUTE(SUBSTITUTE(SUBSTITUTE(TRIM(C355&amp;""),CHAR(160),"")," ",""),"년",""),""),"")</f>
      </c>
      <c r="P355" t="str">
        <f>SUBSTITUTE(SUBSTITUTE(SUBSTITUTE(SUBSTITUTE(SUBSTITUTE(SUBSTITUTE(SUBSTITUTE(SUBSTITUTE(TRIM(D355&amp;""),CHAR(160),"")," ",""),"초등학교","초"),"중학교","중"),"고등학교","고"),"~","~~"),"*","~*"),"?","~?")</f>
      </c>
      <c r="Q355" t="str">
        <f>SUBSTITUTE(SUBSTITUTE(SUBSTITUTE(SUBSTITUTE(SUBSTITUTE(SUBSTITUTE(SUBSTITUTE(SUBSTITUTE(TRIM(E355&amp;""),CHAR(160),"")," ",""),"초등학교","초"),"중학교","중"),"고등학교","고"),"~","~~"),"*","~*"),"?","~?")</f>
      </c>
      <c r="R355" t="str">
        <f>IF(COUNTA(B355:J355)=0,"",IF(AND(O355&lt;&gt;"",P355&lt;&gt;"",Q355&lt;&gt;""),"","입력누락"))</f>
      </c>
    </row>
    <row r="356" customFormat="false" ht="15" hidden="false" customHeight="false" outlineLevel="0" collapsed="false">
      <c r="A356" t="n" s="19">
        <f aca="0">IF(COUNTA(B356:J356)=0,"",ROW()-1)</f>
      </c>
      <c r="B356" s="24"/>
      <c r="C356" s="25"/>
      <c r="D356" s="8"/>
      <c r="E356" s="8"/>
      <c r="F356" s="26"/>
      <c r="G356" s="24"/>
      <c r="H356" s="25"/>
      <c r="I356" s="25"/>
      <c r="J356" s="26"/>
      <c r="K356" t="str" s="15">
        <f aca="0">IF(COUNTA(B356:J356)=0,"",IF(R356&lt;&gt;"","확인필요(입력누락)",IF(COUNTIFS(보유목록!$I$2:$I$3001,"*"&amp;P356&amp;"*",보유목록!$I$2:$I$3001,"*"&amp;Q356&amp;"*",보유목록!$H$2:$H$3001,O356)&gt;0,"있음",IF(COUNTIFS(보유목록!$I$2:$I$3001,"*"&amp;P356&amp;"*",보유목록!$I$2:$I$3001,"*"&amp;Q356&amp;"*")&gt;0,"확인필요(연도다름)",IF(COUNTIFS(보유목록!$I$2:$I$3001,"*"&amp;P356&amp;"*",보유목록!$H$2:$H$3001,O356)&gt;0,"확인필요(같은학교·같은연도)","없음")))))</f>
      </c>
      <c r="L356" t="str" s="16">
        <f aca="0">IF(OR(COUNTA(B356:J356)=0,R356&lt;&gt;""),"",COUNTIFS(보유목록!$I$2:$I$3001,"*"&amp;P356&amp;"*",보유목록!$I$2:$I$3001,"*"&amp;Q356&amp;"*"))</f>
      </c>
      <c r="M356" t="str" s="23">
        <f aca="0">IF(OR(COUNTA(B356:J356)=0,R356&lt;&gt;""),"",IFERROR(LOOKUP(2,1/(ISNUMBER(SEARCH(P356,보유목록!$I$2:$I$3001))*ISNUMBER(SEARCH(Q356,보유목록!$I$2:$I$3001))*(보유목록!$H$2:$H$3001=O356)),보유목록!$B$2:$B$3001),IFERROR(LOOKUP(2,1/(ISNUMBER(SEARCH(P356,보유목록!$I$2:$I$3001))*ISNUMBER(SEARCH(Q356,보유목록!$I$2:$I$3001))),보유목록!$B$2:$B$3001),"")))</f>
      </c>
      <c r="N356" s="25"/>
      <c r="O356" t="str">
        <f>IFERROR(IF(AND(LEN(SUBSTITUTE(SUBSTITUTE(SUBSTITUTE(TRIM(C356&amp;""),CHAR(160),"")," ",""),"년",""))=4,VALUE(SUBSTITUTE(SUBSTITUTE(SUBSTITUTE(TRIM(C356&amp;""),CHAR(160),"")," ",""),"년",""))&gt;=1900,VALUE(SUBSTITUTE(SUBSTITUTE(SUBSTITUTE(TRIM(C356&amp;""),CHAR(160),"")," ",""),"년",""))&lt;=2099,TEXT(VALUE(SUBSTITUTE(SUBSTITUTE(SUBSTITUTE(TRIM(C356&amp;""),CHAR(160),"")," ",""),"년","")),"0000")=SUBSTITUTE(SUBSTITUTE(SUBSTITUTE(TRIM(C356&amp;""),CHAR(160),"")," ",""),"년","")),SUBSTITUTE(SUBSTITUTE(SUBSTITUTE(TRIM(C356&amp;""),CHAR(160),"")," ",""),"년",""),""),"")</f>
      </c>
      <c r="P356" t="str">
        <f>SUBSTITUTE(SUBSTITUTE(SUBSTITUTE(SUBSTITUTE(SUBSTITUTE(SUBSTITUTE(SUBSTITUTE(SUBSTITUTE(TRIM(D356&amp;""),CHAR(160),"")," ",""),"초등학교","초"),"중학교","중"),"고등학교","고"),"~","~~"),"*","~*"),"?","~?")</f>
      </c>
      <c r="Q356" t="str">
        <f>SUBSTITUTE(SUBSTITUTE(SUBSTITUTE(SUBSTITUTE(SUBSTITUTE(SUBSTITUTE(SUBSTITUTE(SUBSTITUTE(TRIM(E356&amp;""),CHAR(160),"")," ",""),"초등학교","초"),"중학교","중"),"고등학교","고"),"~","~~"),"*","~*"),"?","~?")</f>
      </c>
      <c r="R356" t="str">
        <f>IF(COUNTA(B356:J356)=0,"",IF(AND(O356&lt;&gt;"",P356&lt;&gt;"",Q356&lt;&gt;""),"","입력누락"))</f>
      </c>
    </row>
    <row r="357" customFormat="false" ht="15" hidden="false" customHeight="false" outlineLevel="0" collapsed="false">
      <c r="A357" t="n" s="19">
        <f aca="0">IF(COUNTA(B357:J357)=0,"",ROW()-1)</f>
      </c>
      <c r="B357" s="24"/>
      <c r="C357" s="25"/>
      <c r="D357" s="8"/>
      <c r="E357" s="8"/>
      <c r="F357" s="26"/>
      <c r="G357" s="24"/>
      <c r="H357" s="25"/>
      <c r="I357" s="25"/>
      <c r="J357" s="26"/>
      <c r="K357" t="str" s="15">
        <f aca="0">IF(COUNTA(B357:J357)=0,"",IF(R357&lt;&gt;"","확인필요(입력누락)",IF(COUNTIFS(보유목록!$I$2:$I$3001,"*"&amp;P357&amp;"*",보유목록!$I$2:$I$3001,"*"&amp;Q357&amp;"*",보유목록!$H$2:$H$3001,O357)&gt;0,"있음",IF(COUNTIFS(보유목록!$I$2:$I$3001,"*"&amp;P357&amp;"*",보유목록!$I$2:$I$3001,"*"&amp;Q357&amp;"*")&gt;0,"확인필요(연도다름)",IF(COUNTIFS(보유목록!$I$2:$I$3001,"*"&amp;P357&amp;"*",보유목록!$H$2:$H$3001,O357)&gt;0,"확인필요(같은학교·같은연도)","없음")))))</f>
      </c>
      <c r="L357" t="str" s="16">
        <f aca="0">IF(OR(COUNTA(B357:J357)=0,R357&lt;&gt;""),"",COUNTIFS(보유목록!$I$2:$I$3001,"*"&amp;P357&amp;"*",보유목록!$I$2:$I$3001,"*"&amp;Q357&amp;"*"))</f>
      </c>
      <c r="M357" t="str" s="23">
        <f aca="0">IF(OR(COUNTA(B357:J357)=0,R357&lt;&gt;""),"",IFERROR(LOOKUP(2,1/(ISNUMBER(SEARCH(P357,보유목록!$I$2:$I$3001))*ISNUMBER(SEARCH(Q357,보유목록!$I$2:$I$3001))*(보유목록!$H$2:$H$3001=O357)),보유목록!$B$2:$B$3001),IFERROR(LOOKUP(2,1/(ISNUMBER(SEARCH(P357,보유목록!$I$2:$I$3001))*ISNUMBER(SEARCH(Q357,보유목록!$I$2:$I$3001))),보유목록!$B$2:$B$3001),"")))</f>
      </c>
      <c r="N357" s="25"/>
      <c r="O357" t="str">
        <f>IFERROR(IF(AND(LEN(SUBSTITUTE(SUBSTITUTE(SUBSTITUTE(TRIM(C357&amp;""),CHAR(160),"")," ",""),"년",""))=4,VALUE(SUBSTITUTE(SUBSTITUTE(SUBSTITUTE(TRIM(C357&amp;""),CHAR(160),"")," ",""),"년",""))&gt;=1900,VALUE(SUBSTITUTE(SUBSTITUTE(SUBSTITUTE(TRIM(C357&amp;""),CHAR(160),"")," ",""),"년",""))&lt;=2099,TEXT(VALUE(SUBSTITUTE(SUBSTITUTE(SUBSTITUTE(TRIM(C357&amp;""),CHAR(160),"")," ",""),"년","")),"0000")=SUBSTITUTE(SUBSTITUTE(SUBSTITUTE(TRIM(C357&amp;""),CHAR(160),"")," ",""),"년","")),SUBSTITUTE(SUBSTITUTE(SUBSTITUTE(TRIM(C357&amp;""),CHAR(160),"")," ",""),"년",""),""),"")</f>
      </c>
      <c r="P357" t="str">
        <f>SUBSTITUTE(SUBSTITUTE(SUBSTITUTE(SUBSTITUTE(SUBSTITUTE(SUBSTITUTE(SUBSTITUTE(SUBSTITUTE(TRIM(D357&amp;""),CHAR(160),"")," ",""),"초등학교","초"),"중학교","중"),"고등학교","고"),"~","~~"),"*","~*"),"?","~?")</f>
      </c>
      <c r="Q357" t="str">
        <f>SUBSTITUTE(SUBSTITUTE(SUBSTITUTE(SUBSTITUTE(SUBSTITUTE(SUBSTITUTE(SUBSTITUTE(SUBSTITUTE(TRIM(E357&amp;""),CHAR(160),"")," ",""),"초등학교","초"),"중학교","중"),"고등학교","고"),"~","~~"),"*","~*"),"?","~?")</f>
      </c>
      <c r="R357" t="str">
        <f>IF(COUNTA(B357:J357)=0,"",IF(AND(O357&lt;&gt;"",P357&lt;&gt;"",Q357&lt;&gt;""),"","입력누락"))</f>
      </c>
    </row>
    <row r="358" customFormat="false" ht="15" hidden="false" customHeight="false" outlineLevel="0" collapsed="false">
      <c r="A358" t="n" s="19">
        <f aca="0">IF(COUNTA(B358:J358)=0,"",ROW()-1)</f>
      </c>
      <c r="B358" s="24"/>
      <c r="C358" s="25"/>
      <c r="D358" s="8"/>
      <c r="E358" s="8"/>
      <c r="F358" s="26"/>
      <c r="G358" s="24"/>
      <c r="H358" s="25"/>
      <c r="I358" s="25"/>
      <c r="J358" s="26"/>
      <c r="K358" t="str" s="15">
        <f aca="0">IF(COUNTA(B358:J358)=0,"",IF(R358&lt;&gt;"","확인필요(입력누락)",IF(COUNTIFS(보유목록!$I$2:$I$3001,"*"&amp;P358&amp;"*",보유목록!$I$2:$I$3001,"*"&amp;Q358&amp;"*",보유목록!$H$2:$H$3001,O358)&gt;0,"있음",IF(COUNTIFS(보유목록!$I$2:$I$3001,"*"&amp;P358&amp;"*",보유목록!$I$2:$I$3001,"*"&amp;Q358&amp;"*")&gt;0,"확인필요(연도다름)",IF(COUNTIFS(보유목록!$I$2:$I$3001,"*"&amp;P358&amp;"*",보유목록!$H$2:$H$3001,O358)&gt;0,"확인필요(같은학교·같은연도)","없음")))))</f>
      </c>
      <c r="L358" t="str" s="16">
        <f aca="0">IF(OR(COUNTA(B358:J358)=0,R358&lt;&gt;""),"",COUNTIFS(보유목록!$I$2:$I$3001,"*"&amp;P358&amp;"*",보유목록!$I$2:$I$3001,"*"&amp;Q358&amp;"*"))</f>
      </c>
      <c r="M358" t="str" s="23">
        <f aca="0">IF(OR(COUNTA(B358:J358)=0,R358&lt;&gt;""),"",IFERROR(LOOKUP(2,1/(ISNUMBER(SEARCH(P358,보유목록!$I$2:$I$3001))*ISNUMBER(SEARCH(Q358,보유목록!$I$2:$I$3001))*(보유목록!$H$2:$H$3001=O358)),보유목록!$B$2:$B$3001),IFERROR(LOOKUP(2,1/(ISNUMBER(SEARCH(P358,보유목록!$I$2:$I$3001))*ISNUMBER(SEARCH(Q358,보유목록!$I$2:$I$3001))),보유목록!$B$2:$B$3001),"")))</f>
      </c>
      <c r="N358" s="25"/>
      <c r="O358" t="str">
        <f>IFERROR(IF(AND(LEN(SUBSTITUTE(SUBSTITUTE(SUBSTITUTE(TRIM(C358&amp;""),CHAR(160),"")," ",""),"년",""))=4,VALUE(SUBSTITUTE(SUBSTITUTE(SUBSTITUTE(TRIM(C358&amp;""),CHAR(160),"")," ",""),"년",""))&gt;=1900,VALUE(SUBSTITUTE(SUBSTITUTE(SUBSTITUTE(TRIM(C358&amp;""),CHAR(160),"")," ",""),"년",""))&lt;=2099,TEXT(VALUE(SUBSTITUTE(SUBSTITUTE(SUBSTITUTE(TRIM(C358&amp;""),CHAR(160),"")," ",""),"년","")),"0000")=SUBSTITUTE(SUBSTITUTE(SUBSTITUTE(TRIM(C358&amp;""),CHAR(160),"")," ",""),"년","")),SUBSTITUTE(SUBSTITUTE(SUBSTITUTE(TRIM(C358&amp;""),CHAR(160),"")," ",""),"년",""),""),"")</f>
      </c>
      <c r="P358" t="str">
        <f>SUBSTITUTE(SUBSTITUTE(SUBSTITUTE(SUBSTITUTE(SUBSTITUTE(SUBSTITUTE(SUBSTITUTE(SUBSTITUTE(TRIM(D358&amp;""),CHAR(160),"")," ",""),"초등학교","초"),"중학교","중"),"고등학교","고"),"~","~~"),"*","~*"),"?","~?")</f>
      </c>
      <c r="Q358" t="str">
        <f>SUBSTITUTE(SUBSTITUTE(SUBSTITUTE(SUBSTITUTE(SUBSTITUTE(SUBSTITUTE(SUBSTITUTE(SUBSTITUTE(TRIM(E358&amp;""),CHAR(160),"")," ",""),"초등학교","초"),"중학교","중"),"고등학교","고"),"~","~~"),"*","~*"),"?","~?")</f>
      </c>
      <c r="R358" t="str">
        <f>IF(COUNTA(B358:J358)=0,"",IF(AND(O358&lt;&gt;"",P358&lt;&gt;"",Q358&lt;&gt;""),"","입력누락"))</f>
      </c>
    </row>
    <row r="359" customFormat="false" ht="15" hidden="false" customHeight="false" outlineLevel="0" collapsed="false">
      <c r="A359" t="n" s="19">
        <f aca="0">IF(COUNTA(B359:J359)=0,"",ROW()-1)</f>
      </c>
      <c r="B359" s="24"/>
      <c r="C359" s="25"/>
      <c r="D359" s="8"/>
      <c r="E359" s="8"/>
      <c r="F359" s="26"/>
      <c r="G359" s="24"/>
      <c r="H359" s="25"/>
      <c r="I359" s="25"/>
      <c r="J359" s="26"/>
      <c r="K359" t="str" s="15">
        <f aca="0">IF(COUNTA(B359:J359)=0,"",IF(R359&lt;&gt;"","확인필요(입력누락)",IF(COUNTIFS(보유목록!$I$2:$I$3001,"*"&amp;P359&amp;"*",보유목록!$I$2:$I$3001,"*"&amp;Q359&amp;"*",보유목록!$H$2:$H$3001,O359)&gt;0,"있음",IF(COUNTIFS(보유목록!$I$2:$I$3001,"*"&amp;P359&amp;"*",보유목록!$I$2:$I$3001,"*"&amp;Q359&amp;"*")&gt;0,"확인필요(연도다름)",IF(COUNTIFS(보유목록!$I$2:$I$3001,"*"&amp;P359&amp;"*",보유목록!$H$2:$H$3001,O359)&gt;0,"확인필요(같은학교·같은연도)","없음")))))</f>
      </c>
      <c r="L359" t="str" s="16">
        <f aca="0">IF(OR(COUNTA(B359:J359)=0,R359&lt;&gt;""),"",COUNTIFS(보유목록!$I$2:$I$3001,"*"&amp;P359&amp;"*",보유목록!$I$2:$I$3001,"*"&amp;Q359&amp;"*"))</f>
      </c>
      <c r="M359" t="str" s="23">
        <f aca="0">IF(OR(COUNTA(B359:J359)=0,R359&lt;&gt;""),"",IFERROR(LOOKUP(2,1/(ISNUMBER(SEARCH(P359,보유목록!$I$2:$I$3001))*ISNUMBER(SEARCH(Q359,보유목록!$I$2:$I$3001))*(보유목록!$H$2:$H$3001=O359)),보유목록!$B$2:$B$3001),IFERROR(LOOKUP(2,1/(ISNUMBER(SEARCH(P359,보유목록!$I$2:$I$3001))*ISNUMBER(SEARCH(Q359,보유목록!$I$2:$I$3001))),보유목록!$B$2:$B$3001),"")))</f>
      </c>
      <c r="N359" s="25"/>
      <c r="O359" t="str">
        <f>IFERROR(IF(AND(LEN(SUBSTITUTE(SUBSTITUTE(SUBSTITUTE(TRIM(C359&amp;""),CHAR(160),"")," ",""),"년",""))=4,VALUE(SUBSTITUTE(SUBSTITUTE(SUBSTITUTE(TRIM(C359&amp;""),CHAR(160),"")," ",""),"년",""))&gt;=1900,VALUE(SUBSTITUTE(SUBSTITUTE(SUBSTITUTE(TRIM(C359&amp;""),CHAR(160),"")," ",""),"년",""))&lt;=2099,TEXT(VALUE(SUBSTITUTE(SUBSTITUTE(SUBSTITUTE(TRIM(C359&amp;""),CHAR(160),"")," ",""),"년","")),"0000")=SUBSTITUTE(SUBSTITUTE(SUBSTITUTE(TRIM(C359&amp;""),CHAR(160),"")," ",""),"년","")),SUBSTITUTE(SUBSTITUTE(SUBSTITUTE(TRIM(C359&amp;""),CHAR(160),"")," ",""),"년",""),""),"")</f>
      </c>
      <c r="P359" t="str">
        <f>SUBSTITUTE(SUBSTITUTE(SUBSTITUTE(SUBSTITUTE(SUBSTITUTE(SUBSTITUTE(SUBSTITUTE(SUBSTITUTE(TRIM(D359&amp;""),CHAR(160),"")," ",""),"초등학교","초"),"중학교","중"),"고등학교","고"),"~","~~"),"*","~*"),"?","~?")</f>
      </c>
      <c r="Q359" t="str">
        <f>SUBSTITUTE(SUBSTITUTE(SUBSTITUTE(SUBSTITUTE(SUBSTITUTE(SUBSTITUTE(SUBSTITUTE(SUBSTITUTE(TRIM(E359&amp;""),CHAR(160),"")," ",""),"초등학교","초"),"중학교","중"),"고등학교","고"),"~","~~"),"*","~*"),"?","~?")</f>
      </c>
      <c r="R359" t="str">
        <f>IF(COUNTA(B359:J359)=0,"",IF(AND(O359&lt;&gt;"",P359&lt;&gt;"",Q359&lt;&gt;""),"","입력누락"))</f>
      </c>
    </row>
    <row r="360" customFormat="false" ht="15" hidden="false" customHeight="false" outlineLevel="0" collapsed="false">
      <c r="A360" t="n" s="19">
        <f aca="0">IF(COUNTA(B360:J360)=0,"",ROW()-1)</f>
      </c>
      <c r="B360" s="24"/>
      <c r="C360" s="25"/>
      <c r="D360" s="8"/>
      <c r="E360" s="8"/>
      <c r="F360" s="26"/>
      <c r="G360" s="24"/>
      <c r="H360" s="25"/>
      <c r="I360" s="25"/>
      <c r="J360" s="26"/>
      <c r="K360" t="str" s="15">
        <f aca="0">IF(COUNTA(B360:J360)=0,"",IF(R360&lt;&gt;"","확인필요(입력누락)",IF(COUNTIFS(보유목록!$I$2:$I$3001,"*"&amp;P360&amp;"*",보유목록!$I$2:$I$3001,"*"&amp;Q360&amp;"*",보유목록!$H$2:$H$3001,O360)&gt;0,"있음",IF(COUNTIFS(보유목록!$I$2:$I$3001,"*"&amp;P360&amp;"*",보유목록!$I$2:$I$3001,"*"&amp;Q360&amp;"*")&gt;0,"확인필요(연도다름)",IF(COUNTIFS(보유목록!$I$2:$I$3001,"*"&amp;P360&amp;"*",보유목록!$H$2:$H$3001,O360)&gt;0,"확인필요(같은학교·같은연도)","없음")))))</f>
      </c>
      <c r="L360" t="str" s="16">
        <f aca="0">IF(OR(COUNTA(B360:J360)=0,R360&lt;&gt;""),"",COUNTIFS(보유목록!$I$2:$I$3001,"*"&amp;P360&amp;"*",보유목록!$I$2:$I$3001,"*"&amp;Q360&amp;"*"))</f>
      </c>
      <c r="M360" t="str" s="23">
        <f aca="0">IF(OR(COUNTA(B360:J360)=0,R360&lt;&gt;""),"",IFERROR(LOOKUP(2,1/(ISNUMBER(SEARCH(P360,보유목록!$I$2:$I$3001))*ISNUMBER(SEARCH(Q360,보유목록!$I$2:$I$3001))*(보유목록!$H$2:$H$3001=O360)),보유목록!$B$2:$B$3001),IFERROR(LOOKUP(2,1/(ISNUMBER(SEARCH(P360,보유목록!$I$2:$I$3001))*ISNUMBER(SEARCH(Q360,보유목록!$I$2:$I$3001))),보유목록!$B$2:$B$3001),"")))</f>
      </c>
      <c r="N360" s="25"/>
      <c r="O360" t="str">
        <f>IFERROR(IF(AND(LEN(SUBSTITUTE(SUBSTITUTE(SUBSTITUTE(TRIM(C360&amp;""),CHAR(160),"")," ",""),"년",""))=4,VALUE(SUBSTITUTE(SUBSTITUTE(SUBSTITUTE(TRIM(C360&amp;""),CHAR(160),"")," ",""),"년",""))&gt;=1900,VALUE(SUBSTITUTE(SUBSTITUTE(SUBSTITUTE(TRIM(C360&amp;""),CHAR(160),"")," ",""),"년",""))&lt;=2099,TEXT(VALUE(SUBSTITUTE(SUBSTITUTE(SUBSTITUTE(TRIM(C360&amp;""),CHAR(160),"")," ",""),"년","")),"0000")=SUBSTITUTE(SUBSTITUTE(SUBSTITUTE(TRIM(C360&amp;""),CHAR(160),"")," ",""),"년","")),SUBSTITUTE(SUBSTITUTE(SUBSTITUTE(TRIM(C360&amp;""),CHAR(160),"")," ",""),"년",""),""),"")</f>
      </c>
      <c r="P360" t="str">
        <f>SUBSTITUTE(SUBSTITUTE(SUBSTITUTE(SUBSTITUTE(SUBSTITUTE(SUBSTITUTE(SUBSTITUTE(SUBSTITUTE(TRIM(D360&amp;""),CHAR(160),"")," ",""),"초등학교","초"),"중학교","중"),"고등학교","고"),"~","~~"),"*","~*"),"?","~?")</f>
      </c>
      <c r="Q360" t="str">
        <f>SUBSTITUTE(SUBSTITUTE(SUBSTITUTE(SUBSTITUTE(SUBSTITUTE(SUBSTITUTE(SUBSTITUTE(SUBSTITUTE(TRIM(E360&amp;""),CHAR(160),"")," ",""),"초등학교","초"),"중학교","중"),"고등학교","고"),"~","~~"),"*","~*"),"?","~?")</f>
      </c>
      <c r="R360" t="str">
        <f>IF(COUNTA(B360:J360)=0,"",IF(AND(O360&lt;&gt;"",P360&lt;&gt;"",Q360&lt;&gt;""),"","입력누락"))</f>
      </c>
    </row>
    <row r="361" customFormat="false" ht="15" hidden="false" customHeight="false" outlineLevel="0" collapsed="false">
      <c r="A361" t="n" s="19">
        <f aca="0">IF(COUNTA(B361:J361)=0,"",ROW()-1)</f>
      </c>
      <c r="B361" s="24"/>
      <c r="C361" s="25"/>
      <c r="D361" s="8"/>
      <c r="E361" s="8"/>
      <c r="F361" s="26"/>
      <c r="G361" s="24"/>
      <c r="H361" s="25"/>
      <c r="I361" s="25"/>
      <c r="J361" s="26"/>
      <c r="K361" t="str" s="15">
        <f aca="0">IF(COUNTA(B361:J361)=0,"",IF(R361&lt;&gt;"","확인필요(입력누락)",IF(COUNTIFS(보유목록!$I$2:$I$3001,"*"&amp;P361&amp;"*",보유목록!$I$2:$I$3001,"*"&amp;Q361&amp;"*",보유목록!$H$2:$H$3001,O361)&gt;0,"있음",IF(COUNTIFS(보유목록!$I$2:$I$3001,"*"&amp;P361&amp;"*",보유목록!$I$2:$I$3001,"*"&amp;Q361&amp;"*")&gt;0,"확인필요(연도다름)",IF(COUNTIFS(보유목록!$I$2:$I$3001,"*"&amp;P361&amp;"*",보유목록!$H$2:$H$3001,O361)&gt;0,"확인필요(같은학교·같은연도)","없음")))))</f>
      </c>
      <c r="L361" t="str" s="16">
        <f aca="0">IF(OR(COUNTA(B361:J361)=0,R361&lt;&gt;""),"",COUNTIFS(보유목록!$I$2:$I$3001,"*"&amp;P361&amp;"*",보유목록!$I$2:$I$3001,"*"&amp;Q361&amp;"*"))</f>
      </c>
      <c r="M361" t="str" s="23">
        <f aca="0">IF(OR(COUNTA(B361:J361)=0,R361&lt;&gt;""),"",IFERROR(LOOKUP(2,1/(ISNUMBER(SEARCH(P361,보유목록!$I$2:$I$3001))*ISNUMBER(SEARCH(Q361,보유목록!$I$2:$I$3001))*(보유목록!$H$2:$H$3001=O361)),보유목록!$B$2:$B$3001),IFERROR(LOOKUP(2,1/(ISNUMBER(SEARCH(P361,보유목록!$I$2:$I$3001))*ISNUMBER(SEARCH(Q361,보유목록!$I$2:$I$3001))),보유목록!$B$2:$B$3001),"")))</f>
      </c>
      <c r="N361" s="25"/>
      <c r="O361" t="str">
        <f>IFERROR(IF(AND(LEN(SUBSTITUTE(SUBSTITUTE(SUBSTITUTE(TRIM(C361&amp;""),CHAR(160),"")," ",""),"년",""))=4,VALUE(SUBSTITUTE(SUBSTITUTE(SUBSTITUTE(TRIM(C361&amp;""),CHAR(160),"")," ",""),"년",""))&gt;=1900,VALUE(SUBSTITUTE(SUBSTITUTE(SUBSTITUTE(TRIM(C361&amp;""),CHAR(160),"")," ",""),"년",""))&lt;=2099,TEXT(VALUE(SUBSTITUTE(SUBSTITUTE(SUBSTITUTE(TRIM(C361&amp;""),CHAR(160),"")," ",""),"년","")),"0000")=SUBSTITUTE(SUBSTITUTE(SUBSTITUTE(TRIM(C361&amp;""),CHAR(160),"")," ",""),"년","")),SUBSTITUTE(SUBSTITUTE(SUBSTITUTE(TRIM(C361&amp;""),CHAR(160),"")," ",""),"년",""),""),"")</f>
      </c>
      <c r="P361" t="str">
        <f>SUBSTITUTE(SUBSTITUTE(SUBSTITUTE(SUBSTITUTE(SUBSTITUTE(SUBSTITUTE(SUBSTITUTE(SUBSTITUTE(TRIM(D361&amp;""),CHAR(160),"")," ",""),"초등학교","초"),"중학교","중"),"고등학교","고"),"~","~~"),"*","~*"),"?","~?")</f>
      </c>
      <c r="Q361" t="str">
        <f>SUBSTITUTE(SUBSTITUTE(SUBSTITUTE(SUBSTITUTE(SUBSTITUTE(SUBSTITUTE(SUBSTITUTE(SUBSTITUTE(TRIM(E361&amp;""),CHAR(160),"")," ",""),"초등학교","초"),"중학교","중"),"고등학교","고"),"~","~~"),"*","~*"),"?","~?")</f>
      </c>
      <c r="R361" t="str">
        <f>IF(COUNTA(B361:J361)=0,"",IF(AND(O361&lt;&gt;"",P361&lt;&gt;"",Q361&lt;&gt;""),"","입력누락"))</f>
      </c>
    </row>
    <row r="362" customFormat="false" ht="15" hidden="false" customHeight="false" outlineLevel="0" collapsed="false">
      <c r="A362" t="n" s="19">
        <f aca="0">IF(COUNTA(B362:J362)=0,"",ROW()-1)</f>
      </c>
      <c r="B362" s="24"/>
      <c r="C362" s="25"/>
      <c r="D362" s="8"/>
      <c r="E362" s="8"/>
      <c r="F362" s="26"/>
      <c r="G362" s="24"/>
      <c r="H362" s="25"/>
      <c r="I362" s="25"/>
      <c r="J362" s="26"/>
      <c r="K362" t="str" s="15">
        <f aca="0">IF(COUNTA(B362:J362)=0,"",IF(R362&lt;&gt;"","확인필요(입력누락)",IF(COUNTIFS(보유목록!$I$2:$I$3001,"*"&amp;P362&amp;"*",보유목록!$I$2:$I$3001,"*"&amp;Q362&amp;"*",보유목록!$H$2:$H$3001,O362)&gt;0,"있음",IF(COUNTIFS(보유목록!$I$2:$I$3001,"*"&amp;P362&amp;"*",보유목록!$I$2:$I$3001,"*"&amp;Q362&amp;"*")&gt;0,"확인필요(연도다름)",IF(COUNTIFS(보유목록!$I$2:$I$3001,"*"&amp;P362&amp;"*",보유목록!$H$2:$H$3001,O362)&gt;0,"확인필요(같은학교·같은연도)","없음")))))</f>
      </c>
      <c r="L362" t="str" s="16">
        <f aca="0">IF(OR(COUNTA(B362:J362)=0,R362&lt;&gt;""),"",COUNTIFS(보유목록!$I$2:$I$3001,"*"&amp;P362&amp;"*",보유목록!$I$2:$I$3001,"*"&amp;Q362&amp;"*"))</f>
      </c>
      <c r="M362" t="str" s="23">
        <f aca="0">IF(OR(COUNTA(B362:J362)=0,R362&lt;&gt;""),"",IFERROR(LOOKUP(2,1/(ISNUMBER(SEARCH(P362,보유목록!$I$2:$I$3001))*ISNUMBER(SEARCH(Q362,보유목록!$I$2:$I$3001))*(보유목록!$H$2:$H$3001=O362)),보유목록!$B$2:$B$3001),IFERROR(LOOKUP(2,1/(ISNUMBER(SEARCH(P362,보유목록!$I$2:$I$3001))*ISNUMBER(SEARCH(Q362,보유목록!$I$2:$I$3001))),보유목록!$B$2:$B$3001),"")))</f>
      </c>
      <c r="N362" s="25"/>
      <c r="O362" t="str">
        <f>IFERROR(IF(AND(LEN(SUBSTITUTE(SUBSTITUTE(SUBSTITUTE(TRIM(C362&amp;""),CHAR(160),"")," ",""),"년",""))=4,VALUE(SUBSTITUTE(SUBSTITUTE(SUBSTITUTE(TRIM(C362&amp;""),CHAR(160),"")," ",""),"년",""))&gt;=1900,VALUE(SUBSTITUTE(SUBSTITUTE(SUBSTITUTE(TRIM(C362&amp;""),CHAR(160),"")," ",""),"년",""))&lt;=2099,TEXT(VALUE(SUBSTITUTE(SUBSTITUTE(SUBSTITUTE(TRIM(C362&amp;""),CHAR(160),"")," ",""),"년","")),"0000")=SUBSTITUTE(SUBSTITUTE(SUBSTITUTE(TRIM(C362&amp;""),CHAR(160),"")," ",""),"년","")),SUBSTITUTE(SUBSTITUTE(SUBSTITUTE(TRIM(C362&amp;""),CHAR(160),"")," ",""),"년",""),""),"")</f>
      </c>
      <c r="P362" t="str">
        <f>SUBSTITUTE(SUBSTITUTE(SUBSTITUTE(SUBSTITUTE(SUBSTITUTE(SUBSTITUTE(SUBSTITUTE(SUBSTITUTE(TRIM(D362&amp;""),CHAR(160),"")," ",""),"초등학교","초"),"중학교","중"),"고등학교","고"),"~","~~"),"*","~*"),"?","~?")</f>
      </c>
      <c r="Q362" t="str">
        <f>SUBSTITUTE(SUBSTITUTE(SUBSTITUTE(SUBSTITUTE(SUBSTITUTE(SUBSTITUTE(SUBSTITUTE(SUBSTITUTE(TRIM(E362&amp;""),CHAR(160),"")," ",""),"초등학교","초"),"중학교","중"),"고등학교","고"),"~","~~"),"*","~*"),"?","~?")</f>
      </c>
      <c r="R362" t="str">
        <f>IF(COUNTA(B362:J362)=0,"",IF(AND(O362&lt;&gt;"",P362&lt;&gt;"",Q362&lt;&gt;""),"","입력누락"))</f>
      </c>
    </row>
    <row r="363" customFormat="false" ht="15" hidden="false" customHeight="false" outlineLevel="0" collapsed="false">
      <c r="A363" t="n" s="19">
        <f aca="0">IF(COUNTA(B363:J363)=0,"",ROW()-1)</f>
      </c>
      <c r="B363" s="24"/>
      <c r="C363" s="25"/>
      <c r="D363" s="8"/>
      <c r="E363" s="8"/>
      <c r="F363" s="26"/>
      <c r="G363" s="24"/>
      <c r="H363" s="25"/>
      <c r="I363" s="25"/>
      <c r="J363" s="26"/>
      <c r="K363" t="str" s="15">
        <f aca="0">IF(COUNTA(B363:J363)=0,"",IF(R363&lt;&gt;"","확인필요(입력누락)",IF(COUNTIFS(보유목록!$I$2:$I$3001,"*"&amp;P363&amp;"*",보유목록!$I$2:$I$3001,"*"&amp;Q363&amp;"*",보유목록!$H$2:$H$3001,O363)&gt;0,"있음",IF(COUNTIFS(보유목록!$I$2:$I$3001,"*"&amp;P363&amp;"*",보유목록!$I$2:$I$3001,"*"&amp;Q363&amp;"*")&gt;0,"확인필요(연도다름)",IF(COUNTIFS(보유목록!$I$2:$I$3001,"*"&amp;P363&amp;"*",보유목록!$H$2:$H$3001,O363)&gt;0,"확인필요(같은학교·같은연도)","없음")))))</f>
      </c>
      <c r="L363" t="str" s="16">
        <f aca="0">IF(OR(COUNTA(B363:J363)=0,R363&lt;&gt;""),"",COUNTIFS(보유목록!$I$2:$I$3001,"*"&amp;P363&amp;"*",보유목록!$I$2:$I$3001,"*"&amp;Q363&amp;"*"))</f>
      </c>
      <c r="M363" t="str" s="23">
        <f aca="0">IF(OR(COUNTA(B363:J363)=0,R363&lt;&gt;""),"",IFERROR(LOOKUP(2,1/(ISNUMBER(SEARCH(P363,보유목록!$I$2:$I$3001))*ISNUMBER(SEARCH(Q363,보유목록!$I$2:$I$3001))*(보유목록!$H$2:$H$3001=O363)),보유목록!$B$2:$B$3001),IFERROR(LOOKUP(2,1/(ISNUMBER(SEARCH(P363,보유목록!$I$2:$I$3001))*ISNUMBER(SEARCH(Q363,보유목록!$I$2:$I$3001))),보유목록!$B$2:$B$3001),"")))</f>
      </c>
      <c r="N363" s="25"/>
      <c r="O363" t="str">
        <f>IFERROR(IF(AND(LEN(SUBSTITUTE(SUBSTITUTE(SUBSTITUTE(TRIM(C363&amp;""),CHAR(160),"")," ",""),"년",""))=4,VALUE(SUBSTITUTE(SUBSTITUTE(SUBSTITUTE(TRIM(C363&amp;""),CHAR(160),"")," ",""),"년",""))&gt;=1900,VALUE(SUBSTITUTE(SUBSTITUTE(SUBSTITUTE(TRIM(C363&amp;""),CHAR(160),"")," ",""),"년",""))&lt;=2099,TEXT(VALUE(SUBSTITUTE(SUBSTITUTE(SUBSTITUTE(TRIM(C363&amp;""),CHAR(160),"")," ",""),"년","")),"0000")=SUBSTITUTE(SUBSTITUTE(SUBSTITUTE(TRIM(C363&amp;""),CHAR(160),"")," ",""),"년","")),SUBSTITUTE(SUBSTITUTE(SUBSTITUTE(TRIM(C363&amp;""),CHAR(160),"")," ",""),"년",""),""),"")</f>
      </c>
      <c r="P363" t="str">
        <f>SUBSTITUTE(SUBSTITUTE(SUBSTITUTE(SUBSTITUTE(SUBSTITUTE(SUBSTITUTE(SUBSTITUTE(SUBSTITUTE(TRIM(D363&amp;""),CHAR(160),"")," ",""),"초등학교","초"),"중학교","중"),"고등학교","고"),"~","~~"),"*","~*"),"?","~?")</f>
      </c>
      <c r="Q363" t="str">
        <f>SUBSTITUTE(SUBSTITUTE(SUBSTITUTE(SUBSTITUTE(SUBSTITUTE(SUBSTITUTE(SUBSTITUTE(SUBSTITUTE(TRIM(E363&amp;""),CHAR(160),"")," ",""),"초등학교","초"),"중학교","중"),"고등학교","고"),"~","~~"),"*","~*"),"?","~?")</f>
      </c>
      <c r="R363" t="str">
        <f>IF(COUNTA(B363:J363)=0,"",IF(AND(O363&lt;&gt;"",P363&lt;&gt;"",Q363&lt;&gt;""),"","입력누락"))</f>
      </c>
    </row>
    <row r="364" customFormat="false" ht="15" hidden="false" customHeight="false" outlineLevel="0" collapsed="false">
      <c r="A364" t="n" s="19">
        <f aca="0">IF(COUNTA(B364:J364)=0,"",ROW()-1)</f>
      </c>
      <c r="B364" s="24"/>
      <c r="C364" s="25"/>
      <c r="D364" s="8"/>
      <c r="E364" s="8"/>
      <c r="F364" s="26"/>
      <c r="G364" s="24"/>
      <c r="H364" s="25"/>
      <c r="I364" s="25"/>
      <c r="J364" s="26"/>
      <c r="K364" t="str" s="15">
        <f aca="0">IF(COUNTA(B364:J364)=0,"",IF(R364&lt;&gt;"","확인필요(입력누락)",IF(COUNTIFS(보유목록!$I$2:$I$3001,"*"&amp;P364&amp;"*",보유목록!$I$2:$I$3001,"*"&amp;Q364&amp;"*",보유목록!$H$2:$H$3001,O364)&gt;0,"있음",IF(COUNTIFS(보유목록!$I$2:$I$3001,"*"&amp;P364&amp;"*",보유목록!$I$2:$I$3001,"*"&amp;Q364&amp;"*")&gt;0,"확인필요(연도다름)",IF(COUNTIFS(보유목록!$I$2:$I$3001,"*"&amp;P364&amp;"*",보유목록!$H$2:$H$3001,O364)&gt;0,"확인필요(같은학교·같은연도)","없음")))))</f>
      </c>
      <c r="L364" t="str" s="16">
        <f aca="0">IF(OR(COUNTA(B364:J364)=0,R364&lt;&gt;""),"",COUNTIFS(보유목록!$I$2:$I$3001,"*"&amp;P364&amp;"*",보유목록!$I$2:$I$3001,"*"&amp;Q364&amp;"*"))</f>
      </c>
      <c r="M364" t="str" s="23">
        <f aca="0">IF(OR(COUNTA(B364:J364)=0,R364&lt;&gt;""),"",IFERROR(LOOKUP(2,1/(ISNUMBER(SEARCH(P364,보유목록!$I$2:$I$3001))*ISNUMBER(SEARCH(Q364,보유목록!$I$2:$I$3001))*(보유목록!$H$2:$H$3001=O364)),보유목록!$B$2:$B$3001),IFERROR(LOOKUP(2,1/(ISNUMBER(SEARCH(P364,보유목록!$I$2:$I$3001))*ISNUMBER(SEARCH(Q364,보유목록!$I$2:$I$3001))),보유목록!$B$2:$B$3001),"")))</f>
      </c>
      <c r="N364" s="25"/>
      <c r="O364" t="str">
        <f>IFERROR(IF(AND(LEN(SUBSTITUTE(SUBSTITUTE(SUBSTITUTE(TRIM(C364&amp;""),CHAR(160),"")," ",""),"년",""))=4,VALUE(SUBSTITUTE(SUBSTITUTE(SUBSTITUTE(TRIM(C364&amp;""),CHAR(160),"")," ",""),"년",""))&gt;=1900,VALUE(SUBSTITUTE(SUBSTITUTE(SUBSTITUTE(TRIM(C364&amp;""),CHAR(160),"")," ",""),"년",""))&lt;=2099,TEXT(VALUE(SUBSTITUTE(SUBSTITUTE(SUBSTITUTE(TRIM(C364&amp;""),CHAR(160),"")," ",""),"년","")),"0000")=SUBSTITUTE(SUBSTITUTE(SUBSTITUTE(TRIM(C364&amp;""),CHAR(160),"")," ",""),"년","")),SUBSTITUTE(SUBSTITUTE(SUBSTITUTE(TRIM(C364&amp;""),CHAR(160),"")," ",""),"년",""),""),"")</f>
      </c>
      <c r="P364" t="str">
        <f>SUBSTITUTE(SUBSTITUTE(SUBSTITUTE(SUBSTITUTE(SUBSTITUTE(SUBSTITUTE(SUBSTITUTE(SUBSTITUTE(TRIM(D364&amp;""),CHAR(160),"")," ",""),"초등학교","초"),"중학교","중"),"고등학교","고"),"~","~~"),"*","~*"),"?","~?")</f>
      </c>
      <c r="Q364" t="str">
        <f>SUBSTITUTE(SUBSTITUTE(SUBSTITUTE(SUBSTITUTE(SUBSTITUTE(SUBSTITUTE(SUBSTITUTE(SUBSTITUTE(TRIM(E364&amp;""),CHAR(160),"")," ",""),"초등학교","초"),"중학교","중"),"고등학교","고"),"~","~~"),"*","~*"),"?","~?")</f>
      </c>
      <c r="R364" t="str">
        <f>IF(COUNTA(B364:J364)=0,"",IF(AND(O364&lt;&gt;"",P364&lt;&gt;"",Q364&lt;&gt;""),"","입력누락"))</f>
      </c>
    </row>
    <row r="365" customFormat="false" ht="15" hidden="false" customHeight="false" outlineLevel="0" collapsed="false">
      <c r="A365" t="n" s="19">
        <f aca="0">IF(COUNTA(B365:J365)=0,"",ROW()-1)</f>
      </c>
      <c r="B365" s="24"/>
      <c r="C365" s="25"/>
      <c r="D365" s="8"/>
      <c r="E365" s="8"/>
      <c r="F365" s="26"/>
      <c r="G365" s="24"/>
      <c r="H365" s="25"/>
      <c r="I365" s="25"/>
      <c r="J365" s="26"/>
      <c r="K365" t="str" s="15">
        <f aca="0">IF(COUNTA(B365:J365)=0,"",IF(R365&lt;&gt;"","확인필요(입력누락)",IF(COUNTIFS(보유목록!$I$2:$I$3001,"*"&amp;P365&amp;"*",보유목록!$I$2:$I$3001,"*"&amp;Q365&amp;"*",보유목록!$H$2:$H$3001,O365)&gt;0,"있음",IF(COUNTIFS(보유목록!$I$2:$I$3001,"*"&amp;P365&amp;"*",보유목록!$I$2:$I$3001,"*"&amp;Q365&amp;"*")&gt;0,"확인필요(연도다름)",IF(COUNTIFS(보유목록!$I$2:$I$3001,"*"&amp;P365&amp;"*",보유목록!$H$2:$H$3001,O365)&gt;0,"확인필요(같은학교·같은연도)","없음")))))</f>
      </c>
      <c r="L365" t="str" s="16">
        <f aca="0">IF(OR(COUNTA(B365:J365)=0,R365&lt;&gt;""),"",COUNTIFS(보유목록!$I$2:$I$3001,"*"&amp;P365&amp;"*",보유목록!$I$2:$I$3001,"*"&amp;Q365&amp;"*"))</f>
      </c>
      <c r="M365" t="str" s="23">
        <f aca="0">IF(OR(COUNTA(B365:J365)=0,R365&lt;&gt;""),"",IFERROR(LOOKUP(2,1/(ISNUMBER(SEARCH(P365,보유목록!$I$2:$I$3001))*ISNUMBER(SEARCH(Q365,보유목록!$I$2:$I$3001))*(보유목록!$H$2:$H$3001=O365)),보유목록!$B$2:$B$3001),IFERROR(LOOKUP(2,1/(ISNUMBER(SEARCH(P365,보유목록!$I$2:$I$3001))*ISNUMBER(SEARCH(Q365,보유목록!$I$2:$I$3001))),보유목록!$B$2:$B$3001),"")))</f>
      </c>
      <c r="N365" s="25"/>
      <c r="O365" t="str">
        <f>IFERROR(IF(AND(LEN(SUBSTITUTE(SUBSTITUTE(SUBSTITUTE(TRIM(C365&amp;""),CHAR(160),"")," ",""),"년",""))=4,VALUE(SUBSTITUTE(SUBSTITUTE(SUBSTITUTE(TRIM(C365&amp;""),CHAR(160),"")," ",""),"년",""))&gt;=1900,VALUE(SUBSTITUTE(SUBSTITUTE(SUBSTITUTE(TRIM(C365&amp;""),CHAR(160),"")," ",""),"년",""))&lt;=2099,TEXT(VALUE(SUBSTITUTE(SUBSTITUTE(SUBSTITUTE(TRIM(C365&amp;""),CHAR(160),"")," ",""),"년","")),"0000")=SUBSTITUTE(SUBSTITUTE(SUBSTITUTE(TRIM(C365&amp;""),CHAR(160),"")," ",""),"년","")),SUBSTITUTE(SUBSTITUTE(SUBSTITUTE(TRIM(C365&amp;""),CHAR(160),"")," ",""),"년",""),""),"")</f>
      </c>
      <c r="P365" t="str">
        <f>SUBSTITUTE(SUBSTITUTE(SUBSTITUTE(SUBSTITUTE(SUBSTITUTE(SUBSTITUTE(SUBSTITUTE(SUBSTITUTE(TRIM(D365&amp;""),CHAR(160),"")," ",""),"초등학교","초"),"중학교","중"),"고등학교","고"),"~","~~"),"*","~*"),"?","~?")</f>
      </c>
      <c r="Q365" t="str">
        <f>SUBSTITUTE(SUBSTITUTE(SUBSTITUTE(SUBSTITUTE(SUBSTITUTE(SUBSTITUTE(SUBSTITUTE(SUBSTITUTE(TRIM(E365&amp;""),CHAR(160),"")," ",""),"초등학교","초"),"중학교","중"),"고등학교","고"),"~","~~"),"*","~*"),"?","~?")</f>
      </c>
      <c r="R365" t="str">
        <f>IF(COUNTA(B365:J365)=0,"",IF(AND(O365&lt;&gt;"",P365&lt;&gt;"",Q365&lt;&gt;""),"","입력누락"))</f>
      </c>
    </row>
    <row r="366" customFormat="false" ht="15" hidden="false" customHeight="false" outlineLevel="0" collapsed="false">
      <c r="A366" t="n" s="19">
        <f aca="0">IF(COUNTA(B366:J366)=0,"",ROW()-1)</f>
      </c>
      <c r="B366" s="24"/>
      <c r="C366" s="25"/>
      <c r="D366" s="8"/>
      <c r="E366" s="8"/>
      <c r="F366" s="26"/>
      <c r="G366" s="24"/>
      <c r="H366" s="25"/>
      <c r="I366" s="25"/>
      <c r="J366" s="26"/>
      <c r="K366" t="str" s="15">
        <f aca="0">IF(COUNTA(B366:J366)=0,"",IF(R366&lt;&gt;"","확인필요(입력누락)",IF(COUNTIFS(보유목록!$I$2:$I$3001,"*"&amp;P366&amp;"*",보유목록!$I$2:$I$3001,"*"&amp;Q366&amp;"*",보유목록!$H$2:$H$3001,O366)&gt;0,"있음",IF(COUNTIFS(보유목록!$I$2:$I$3001,"*"&amp;P366&amp;"*",보유목록!$I$2:$I$3001,"*"&amp;Q366&amp;"*")&gt;0,"확인필요(연도다름)",IF(COUNTIFS(보유목록!$I$2:$I$3001,"*"&amp;P366&amp;"*",보유목록!$H$2:$H$3001,O366)&gt;0,"확인필요(같은학교·같은연도)","없음")))))</f>
      </c>
      <c r="L366" t="str" s="16">
        <f aca="0">IF(OR(COUNTA(B366:J366)=0,R366&lt;&gt;""),"",COUNTIFS(보유목록!$I$2:$I$3001,"*"&amp;P366&amp;"*",보유목록!$I$2:$I$3001,"*"&amp;Q366&amp;"*"))</f>
      </c>
      <c r="M366" t="str" s="23">
        <f aca="0">IF(OR(COUNTA(B366:J366)=0,R366&lt;&gt;""),"",IFERROR(LOOKUP(2,1/(ISNUMBER(SEARCH(P366,보유목록!$I$2:$I$3001))*ISNUMBER(SEARCH(Q366,보유목록!$I$2:$I$3001))*(보유목록!$H$2:$H$3001=O366)),보유목록!$B$2:$B$3001),IFERROR(LOOKUP(2,1/(ISNUMBER(SEARCH(P366,보유목록!$I$2:$I$3001))*ISNUMBER(SEARCH(Q366,보유목록!$I$2:$I$3001))),보유목록!$B$2:$B$3001),"")))</f>
      </c>
      <c r="N366" s="25"/>
      <c r="O366" t="str">
        <f>IFERROR(IF(AND(LEN(SUBSTITUTE(SUBSTITUTE(SUBSTITUTE(TRIM(C366&amp;""),CHAR(160),"")," ",""),"년",""))=4,VALUE(SUBSTITUTE(SUBSTITUTE(SUBSTITUTE(TRIM(C366&amp;""),CHAR(160),"")," ",""),"년",""))&gt;=1900,VALUE(SUBSTITUTE(SUBSTITUTE(SUBSTITUTE(TRIM(C366&amp;""),CHAR(160),"")," ",""),"년",""))&lt;=2099,TEXT(VALUE(SUBSTITUTE(SUBSTITUTE(SUBSTITUTE(TRIM(C366&amp;""),CHAR(160),"")," ",""),"년","")),"0000")=SUBSTITUTE(SUBSTITUTE(SUBSTITUTE(TRIM(C366&amp;""),CHAR(160),"")," ",""),"년","")),SUBSTITUTE(SUBSTITUTE(SUBSTITUTE(TRIM(C366&amp;""),CHAR(160),"")," ",""),"년",""),""),"")</f>
      </c>
      <c r="P366" t="str">
        <f>SUBSTITUTE(SUBSTITUTE(SUBSTITUTE(SUBSTITUTE(SUBSTITUTE(SUBSTITUTE(SUBSTITUTE(SUBSTITUTE(TRIM(D366&amp;""),CHAR(160),"")," ",""),"초등학교","초"),"중학교","중"),"고등학교","고"),"~","~~"),"*","~*"),"?","~?")</f>
      </c>
      <c r="Q366" t="str">
        <f>SUBSTITUTE(SUBSTITUTE(SUBSTITUTE(SUBSTITUTE(SUBSTITUTE(SUBSTITUTE(SUBSTITUTE(SUBSTITUTE(TRIM(E366&amp;""),CHAR(160),"")," ",""),"초등학교","초"),"중학교","중"),"고등학교","고"),"~","~~"),"*","~*"),"?","~?")</f>
      </c>
      <c r="R366" t="str">
        <f>IF(COUNTA(B366:J366)=0,"",IF(AND(O366&lt;&gt;"",P366&lt;&gt;"",Q366&lt;&gt;""),"","입력누락"))</f>
      </c>
    </row>
    <row r="367" customFormat="false" ht="15" hidden="false" customHeight="false" outlineLevel="0" collapsed="false">
      <c r="A367" t="n" s="19">
        <f aca="0">IF(COUNTA(B367:J367)=0,"",ROW()-1)</f>
      </c>
      <c r="B367" s="24"/>
      <c r="C367" s="25"/>
      <c r="D367" s="8"/>
      <c r="E367" s="8"/>
      <c r="F367" s="26"/>
      <c r="G367" s="24"/>
      <c r="H367" s="25"/>
      <c r="I367" s="25"/>
      <c r="J367" s="26"/>
      <c r="K367" t="str" s="15">
        <f aca="0">IF(COUNTA(B367:J367)=0,"",IF(R367&lt;&gt;"","확인필요(입력누락)",IF(COUNTIFS(보유목록!$I$2:$I$3001,"*"&amp;P367&amp;"*",보유목록!$I$2:$I$3001,"*"&amp;Q367&amp;"*",보유목록!$H$2:$H$3001,O367)&gt;0,"있음",IF(COUNTIFS(보유목록!$I$2:$I$3001,"*"&amp;P367&amp;"*",보유목록!$I$2:$I$3001,"*"&amp;Q367&amp;"*")&gt;0,"확인필요(연도다름)",IF(COUNTIFS(보유목록!$I$2:$I$3001,"*"&amp;P367&amp;"*",보유목록!$H$2:$H$3001,O367)&gt;0,"확인필요(같은학교·같은연도)","없음")))))</f>
      </c>
      <c r="L367" t="str" s="16">
        <f aca="0">IF(OR(COUNTA(B367:J367)=0,R367&lt;&gt;""),"",COUNTIFS(보유목록!$I$2:$I$3001,"*"&amp;P367&amp;"*",보유목록!$I$2:$I$3001,"*"&amp;Q367&amp;"*"))</f>
      </c>
      <c r="M367" t="str" s="23">
        <f aca="0">IF(OR(COUNTA(B367:J367)=0,R367&lt;&gt;""),"",IFERROR(LOOKUP(2,1/(ISNUMBER(SEARCH(P367,보유목록!$I$2:$I$3001))*ISNUMBER(SEARCH(Q367,보유목록!$I$2:$I$3001))*(보유목록!$H$2:$H$3001=O367)),보유목록!$B$2:$B$3001),IFERROR(LOOKUP(2,1/(ISNUMBER(SEARCH(P367,보유목록!$I$2:$I$3001))*ISNUMBER(SEARCH(Q367,보유목록!$I$2:$I$3001))),보유목록!$B$2:$B$3001),"")))</f>
      </c>
      <c r="N367" s="25"/>
      <c r="O367" t="str">
        <f>IFERROR(IF(AND(LEN(SUBSTITUTE(SUBSTITUTE(SUBSTITUTE(TRIM(C367&amp;""),CHAR(160),"")," ",""),"년",""))=4,VALUE(SUBSTITUTE(SUBSTITUTE(SUBSTITUTE(TRIM(C367&amp;""),CHAR(160),"")," ",""),"년",""))&gt;=1900,VALUE(SUBSTITUTE(SUBSTITUTE(SUBSTITUTE(TRIM(C367&amp;""),CHAR(160),"")," ",""),"년",""))&lt;=2099,TEXT(VALUE(SUBSTITUTE(SUBSTITUTE(SUBSTITUTE(TRIM(C367&amp;""),CHAR(160),"")," ",""),"년","")),"0000")=SUBSTITUTE(SUBSTITUTE(SUBSTITUTE(TRIM(C367&amp;""),CHAR(160),"")," ",""),"년","")),SUBSTITUTE(SUBSTITUTE(SUBSTITUTE(TRIM(C367&amp;""),CHAR(160),"")," ",""),"년",""),""),"")</f>
      </c>
      <c r="P367" t="str">
        <f>SUBSTITUTE(SUBSTITUTE(SUBSTITUTE(SUBSTITUTE(SUBSTITUTE(SUBSTITUTE(SUBSTITUTE(SUBSTITUTE(TRIM(D367&amp;""),CHAR(160),"")," ",""),"초등학교","초"),"중학교","중"),"고등학교","고"),"~","~~"),"*","~*"),"?","~?")</f>
      </c>
      <c r="Q367" t="str">
        <f>SUBSTITUTE(SUBSTITUTE(SUBSTITUTE(SUBSTITUTE(SUBSTITUTE(SUBSTITUTE(SUBSTITUTE(SUBSTITUTE(TRIM(E367&amp;""),CHAR(160),"")," ",""),"초등학교","초"),"중학교","중"),"고등학교","고"),"~","~~"),"*","~*"),"?","~?")</f>
      </c>
      <c r="R367" t="str">
        <f>IF(COUNTA(B367:J367)=0,"",IF(AND(O367&lt;&gt;"",P367&lt;&gt;"",Q367&lt;&gt;""),"","입력누락"))</f>
      </c>
    </row>
    <row r="368" customFormat="false" ht="15" hidden="false" customHeight="false" outlineLevel="0" collapsed="false">
      <c r="A368" t="n" s="19">
        <f aca="0">IF(COUNTA(B368:J368)=0,"",ROW()-1)</f>
      </c>
      <c r="B368" s="24"/>
      <c r="C368" s="25"/>
      <c r="D368" s="8"/>
      <c r="E368" s="8"/>
      <c r="F368" s="26"/>
      <c r="G368" s="24"/>
      <c r="H368" s="25"/>
      <c r="I368" s="25"/>
      <c r="J368" s="26"/>
      <c r="K368" t="str" s="15">
        <f aca="0">IF(COUNTA(B368:J368)=0,"",IF(R368&lt;&gt;"","확인필요(입력누락)",IF(COUNTIFS(보유목록!$I$2:$I$3001,"*"&amp;P368&amp;"*",보유목록!$I$2:$I$3001,"*"&amp;Q368&amp;"*",보유목록!$H$2:$H$3001,O368)&gt;0,"있음",IF(COUNTIFS(보유목록!$I$2:$I$3001,"*"&amp;P368&amp;"*",보유목록!$I$2:$I$3001,"*"&amp;Q368&amp;"*")&gt;0,"확인필요(연도다름)",IF(COUNTIFS(보유목록!$I$2:$I$3001,"*"&amp;P368&amp;"*",보유목록!$H$2:$H$3001,O368)&gt;0,"확인필요(같은학교·같은연도)","없음")))))</f>
      </c>
      <c r="L368" t="str" s="16">
        <f aca="0">IF(OR(COUNTA(B368:J368)=0,R368&lt;&gt;""),"",COUNTIFS(보유목록!$I$2:$I$3001,"*"&amp;P368&amp;"*",보유목록!$I$2:$I$3001,"*"&amp;Q368&amp;"*"))</f>
      </c>
      <c r="M368" t="str" s="23">
        <f aca="0">IF(OR(COUNTA(B368:J368)=0,R368&lt;&gt;""),"",IFERROR(LOOKUP(2,1/(ISNUMBER(SEARCH(P368,보유목록!$I$2:$I$3001))*ISNUMBER(SEARCH(Q368,보유목록!$I$2:$I$3001))*(보유목록!$H$2:$H$3001=O368)),보유목록!$B$2:$B$3001),IFERROR(LOOKUP(2,1/(ISNUMBER(SEARCH(P368,보유목록!$I$2:$I$3001))*ISNUMBER(SEARCH(Q368,보유목록!$I$2:$I$3001))),보유목록!$B$2:$B$3001),"")))</f>
      </c>
      <c r="N368" s="25"/>
      <c r="O368" t="str">
        <f>IFERROR(IF(AND(LEN(SUBSTITUTE(SUBSTITUTE(SUBSTITUTE(TRIM(C368&amp;""),CHAR(160),"")," ",""),"년",""))=4,VALUE(SUBSTITUTE(SUBSTITUTE(SUBSTITUTE(TRIM(C368&amp;""),CHAR(160),"")," ",""),"년",""))&gt;=1900,VALUE(SUBSTITUTE(SUBSTITUTE(SUBSTITUTE(TRIM(C368&amp;""),CHAR(160),"")," ",""),"년",""))&lt;=2099,TEXT(VALUE(SUBSTITUTE(SUBSTITUTE(SUBSTITUTE(TRIM(C368&amp;""),CHAR(160),"")," ",""),"년","")),"0000")=SUBSTITUTE(SUBSTITUTE(SUBSTITUTE(TRIM(C368&amp;""),CHAR(160),"")," ",""),"년","")),SUBSTITUTE(SUBSTITUTE(SUBSTITUTE(TRIM(C368&amp;""),CHAR(160),"")," ",""),"년",""),""),"")</f>
      </c>
      <c r="P368" t="str">
        <f>SUBSTITUTE(SUBSTITUTE(SUBSTITUTE(SUBSTITUTE(SUBSTITUTE(SUBSTITUTE(SUBSTITUTE(SUBSTITUTE(TRIM(D368&amp;""),CHAR(160),"")," ",""),"초등학교","초"),"중학교","중"),"고등학교","고"),"~","~~"),"*","~*"),"?","~?")</f>
      </c>
      <c r="Q368" t="str">
        <f>SUBSTITUTE(SUBSTITUTE(SUBSTITUTE(SUBSTITUTE(SUBSTITUTE(SUBSTITUTE(SUBSTITUTE(SUBSTITUTE(TRIM(E368&amp;""),CHAR(160),"")," ",""),"초등학교","초"),"중학교","중"),"고등학교","고"),"~","~~"),"*","~*"),"?","~?")</f>
      </c>
      <c r="R368" t="str">
        <f>IF(COUNTA(B368:J368)=0,"",IF(AND(O368&lt;&gt;"",P368&lt;&gt;"",Q368&lt;&gt;""),"","입력누락"))</f>
      </c>
    </row>
    <row r="369" customFormat="false" ht="15" hidden="false" customHeight="false" outlineLevel="0" collapsed="false">
      <c r="A369" t="n" s="19">
        <f aca="0">IF(COUNTA(B369:J369)=0,"",ROW()-1)</f>
      </c>
      <c r="B369" s="24"/>
      <c r="C369" s="25"/>
      <c r="D369" s="8"/>
      <c r="E369" s="8"/>
      <c r="F369" s="26"/>
      <c r="G369" s="24"/>
      <c r="H369" s="25"/>
      <c r="I369" s="25"/>
      <c r="J369" s="26"/>
      <c r="K369" t="str" s="15">
        <f aca="0">IF(COUNTA(B369:J369)=0,"",IF(R369&lt;&gt;"","확인필요(입력누락)",IF(COUNTIFS(보유목록!$I$2:$I$3001,"*"&amp;P369&amp;"*",보유목록!$I$2:$I$3001,"*"&amp;Q369&amp;"*",보유목록!$H$2:$H$3001,O369)&gt;0,"있음",IF(COUNTIFS(보유목록!$I$2:$I$3001,"*"&amp;P369&amp;"*",보유목록!$I$2:$I$3001,"*"&amp;Q369&amp;"*")&gt;0,"확인필요(연도다름)",IF(COUNTIFS(보유목록!$I$2:$I$3001,"*"&amp;P369&amp;"*",보유목록!$H$2:$H$3001,O369)&gt;0,"확인필요(같은학교·같은연도)","없음")))))</f>
      </c>
      <c r="L369" t="str" s="16">
        <f aca="0">IF(OR(COUNTA(B369:J369)=0,R369&lt;&gt;""),"",COUNTIFS(보유목록!$I$2:$I$3001,"*"&amp;P369&amp;"*",보유목록!$I$2:$I$3001,"*"&amp;Q369&amp;"*"))</f>
      </c>
      <c r="M369" t="str" s="23">
        <f aca="0">IF(OR(COUNTA(B369:J369)=0,R369&lt;&gt;""),"",IFERROR(LOOKUP(2,1/(ISNUMBER(SEARCH(P369,보유목록!$I$2:$I$3001))*ISNUMBER(SEARCH(Q369,보유목록!$I$2:$I$3001))*(보유목록!$H$2:$H$3001=O369)),보유목록!$B$2:$B$3001),IFERROR(LOOKUP(2,1/(ISNUMBER(SEARCH(P369,보유목록!$I$2:$I$3001))*ISNUMBER(SEARCH(Q369,보유목록!$I$2:$I$3001))),보유목록!$B$2:$B$3001),"")))</f>
      </c>
      <c r="N369" s="25"/>
      <c r="O369" t="str">
        <f>IFERROR(IF(AND(LEN(SUBSTITUTE(SUBSTITUTE(SUBSTITUTE(TRIM(C369&amp;""),CHAR(160),"")," ",""),"년",""))=4,VALUE(SUBSTITUTE(SUBSTITUTE(SUBSTITUTE(TRIM(C369&amp;""),CHAR(160),"")," ",""),"년",""))&gt;=1900,VALUE(SUBSTITUTE(SUBSTITUTE(SUBSTITUTE(TRIM(C369&amp;""),CHAR(160),"")," ",""),"년",""))&lt;=2099,TEXT(VALUE(SUBSTITUTE(SUBSTITUTE(SUBSTITUTE(TRIM(C369&amp;""),CHAR(160),"")," ",""),"년","")),"0000")=SUBSTITUTE(SUBSTITUTE(SUBSTITUTE(TRIM(C369&amp;""),CHAR(160),"")," ",""),"년","")),SUBSTITUTE(SUBSTITUTE(SUBSTITUTE(TRIM(C369&amp;""),CHAR(160),"")," ",""),"년",""),""),"")</f>
      </c>
      <c r="P369" t="str">
        <f>SUBSTITUTE(SUBSTITUTE(SUBSTITUTE(SUBSTITUTE(SUBSTITUTE(SUBSTITUTE(SUBSTITUTE(SUBSTITUTE(TRIM(D369&amp;""),CHAR(160),"")," ",""),"초등학교","초"),"중학교","중"),"고등학교","고"),"~","~~"),"*","~*"),"?","~?")</f>
      </c>
      <c r="Q369" t="str">
        <f>SUBSTITUTE(SUBSTITUTE(SUBSTITUTE(SUBSTITUTE(SUBSTITUTE(SUBSTITUTE(SUBSTITUTE(SUBSTITUTE(TRIM(E369&amp;""),CHAR(160),"")," ",""),"초등학교","초"),"중학교","중"),"고등학교","고"),"~","~~"),"*","~*"),"?","~?")</f>
      </c>
      <c r="R369" t="str">
        <f>IF(COUNTA(B369:J369)=0,"",IF(AND(O369&lt;&gt;"",P369&lt;&gt;"",Q369&lt;&gt;""),"","입력누락"))</f>
      </c>
    </row>
    <row r="370" customFormat="false" ht="15" hidden="false" customHeight="false" outlineLevel="0" collapsed="false">
      <c r="A370" t="n" s="19">
        <f aca="0">IF(COUNTA(B370:J370)=0,"",ROW()-1)</f>
      </c>
      <c r="B370" s="24"/>
      <c r="C370" s="25"/>
      <c r="D370" s="8"/>
      <c r="E370" s="8"/>
      <c r="F370" s="26"/>
      <c r="G370" s="24"/>
      <c r="H370" s="25"/>
      <c r="I370" s="25"/>
      <c r="J370" s="26"/>
      <c r="K370" t="str" s="15">
        <f aca="0">IF(COUNTA(B370:J370)=0,"",IF(R370&lt;&gt;"","확인필요(입력누락)",IF(COUNTIFS(보유목록!$I$2:$I$3001,"*"&amp;P370&amp;"*",보유목록!$I$2:$I$3001,"*"&amp;Q370&amp;"*",보유목록!$H$2:$H$3001,O370)&gt;0,"있음",IF(COUNTIFS(보유목록!$I$2:$I$3001,"*"&amp;P370&amp;"*",보유목록!$I$2:$I$3001,"*"&amp;Q370&amp;"*")&gt;0,"확인필요(연도다름)",IF(COUNTIFS(보유목록!$I$2:$I$3001,"*"&amp;P370&amp;"*",보유목록!$H$2:$H$3001,O370)&gt;0,"확인필요(같은학교·같은연도)","없음")))))</f>
      </c>
      <c r="L370" t="str" s="16">
        <f aca="0">IF(OR(COUNTA(B370:J370)=0,R370&lt;&gt;""),"",COUNTIFS(보유목록!$I$2:$I$3001,"*"&amp;P370&amp;"*",보유목록!$I$2:$I$3001,"*"&amp;Q370&amp;"*"))</f>
      </c>
      <c r="M370" t="str" s="23">
        <f aca="0">IF(OR(COUNTA(B370:J370)=0,R370&lt;&gt;""),"",IFERROR(LOOKUP(2,1/(ISNUMBER(SEARCH(P370,보유목록!$I$2:$I$3001))*ISNUMBER(SEARCH(Q370,보유목록!$I$2:$I$3001))*(보유목록!$H$2:$H$3001=O370)),보유목록!$B$2:$B$3001),IFERROR(LOOKUP(2,1/(ISNUMBER(SEARCH(P370,보유목록!$I$2:$I$3001))*ISNUMBER(SEARCH(Q370,보유목록!$I$2:$I$3001))),보유목록!$B$2:$B$3001),"")))</f>
      </c>
      <c r="N370" s="25"/>
      <c r="O370" t="str">
        <f>IFERROR(IF(AND(LEN(SUBSTITUTE(SUBSTITUTE(SUBSTITUTE(TRIM(C370&amp;""),CHAR(160),"")," ",""),"년",""))=4,VALUE(SUBSTITUTE(SUBSTITUTE(SUBSTITUTE(TRIM(C370&amp;""),CHAR(160),"")," ",""),"년",""))&gt;=1900,VALUE(SUBSTITUTE(SUBSTITUTE(SUBSTITUTE(TRIM(C370&amp;""),CHAR(160),"")," ",""),"년",""))&lt;=2099,TEXT(VALUE(SUBSTITUTE(SUBSTITUTE(SUBSTITUTE(TRIM(C370&amp;""),CHAR(160),"")," ",""),"년","")),"0000")=SUBSTITUTE(SUBSTITUTE(SUBSTITUTE(TRIM(C370&amp;""),CHAR(160),"")," ",""),"년","")),SUBSTITUTE(SUBSTITUTE(SUBSTITUTE(TRIM(C370&amp;""),CHAR(160),"")," ",""),"년",""),""),"")</f>
      </c>
      <c r="P370" t="str">
        <f>SUBSTITUTE(SUBSTITUTE(SUBSTITUTE(SUBSTITUTE(SUBSTITUTE(SUBSTITUTE(SUBSTITUTE(SUBSTITUTE(TRIM(D370&amp;""),CHAR(160),"")," ",""),"초등학교","초"),"중학교","중"),"고등학교","고"),"~","~~"),"*","~*"),"?","~?")</f>
      </c>
      <c r="Q370" t="str">
        <f>SUBSTITUTE(SUBSTITUTE(SUBSTITUTE(SUBSTITUTE(SUBSTITUTE(SUBSTITUTE(SUBSTITUTE(SUBSTITUTE(TRIM(E370&amp;""),CHAR(160),"")," ",""),"초등학교","초"),"중학교","중"),"고등학교","고"),"~","~~"),"*","~*"),"?","~?")</f>
      </c>
      <c r="R370" t="str">
        <f>IF(COUNTA(B370:J370)=0,"",IF(AND(O370&lt;&gt;"",P370&lt;&gt;"",Q370&lt;&gt;""),"","입력누락"))</f>
      </c>
    </row>
    <row r="371" customFormat="false" ht="15" hidden="false" customHeight="false" outlineLevel="0" collapsed="false">
      <c r="A371" t="n" s="19">
        <f aca="0">IF(COUNTA(B371:J371)=0,"",ROW()-1)</f>
      </c>
      <c r="B371" s="24"/>
      <c r="C371" s="25"/>
      <c r="D371" s="8"/>
      <c r="E371" s="8"/>
      <c r="F371" s="26"/>
      <c r="G371" s="24"/>
      <c r="H371" s="25"/>
      <c r="I371" s="25"/>
      <c r="J371" s="26"/>
      <c r="K371" t="str" s="15">
        <f aca="0">IF(COUNTA(B371:J371)=0,"",IF(R371&lt;&gt;"","확인필요(입력누락)",IF(COUNTIFS(보유목록!$I$2:$I$3001,"*"&amp;P371&amp;"*",보유목록!$I$2:$I$3001,"*"&amp;Q371&amp;"*",보유목록!$H$2:$H$3001,O371)&gt;0,"있음",IF(COUNTIFS(보유목록!$I$2:$I$3001,"*"&amp;P371&amp;"*",보유목록!$I$2:$I$3001,"*"&amp;Q371&amp;"*")&gt;0,"확인필요(연도다름)",IF(COUNTIFS(보유목록!$I$2:$I$3001,"*"&amp;P371&amp;"*",보유목록!$H$2:$H$3001,O371)&gt;0,"확인필요(같은학교·같은연도)","없음")))))</f>
      </c>
      <c r="L371" t="str" s="16">
        <f aca="0">IF(OR(COUNTA(B371:J371)=0,R371&lt;&gt;""),"",COUNTIFS(보유목록!$I$2:$I$3001,"*"&amp;P371&amp;"*",보유목록!$I$2:$I$3001,"*"&amp;Q371&amp;"*"))</f>
      </c>
      <c r="M371" t="str" s="23">
        <f aca="0">IF(OR(COUNTA(B371:J371)=0,R371&lt;&gt;""),"",IFERROR(LOOKUP(2,1/(ISNUMBER(SEARCH(P371,보유목록!$I$2:$I$3001))*ISNUMBER(SEARCH(Q371,보유목록!$I$2:$I$3001))*(보유목록!$H$2:$H$3001=O371)),보유목록!$B$2:$B$3001),IFERROR(LOOKUP(2,1/(ISNUMBER(SEARCH(P371,보유목록!$I$2:$I$3001))*ISNUMBER(SEARCH(Q371,보유목록!$I$2:$I$3001))),보유목록!$B$2:$B$3001),"")))</f>
      </c>
      <c r="N371" s="25"/>
      <c r="O371" t="str">
        <f>IFERROR(IF(AND(LEN(SUBSTITUTE(SUBSTITUTE(SUBSTITUTE(TRIM(C371&amp;""),CHAR(160),"")," ",""),"년",""))=4,VALUE(SUBSTITUTE(SUBSTITUTE(SUBSTITUTE(TRIM(C371&amp;""),CHAR(160),"")," ",""),"년",""))&gt;=1900,VALUE(SUBSTITUTE(SUBSTITUTE(SUBSTITUTE(TRIM(C371&amp;""),CHAR(160),"")," ",""),"년",""))&lt;=2099,TEXT(VALUE(SUBSTITUTE(SUBSTITUTE(SUBSTITUTE(TRIM(C371&amp;""),CHAR(160),"")," ",""),"년","")),"0000")=SUBSTITUTE(SUBSTITUTE(SUBSTITUTE(TRIM(C371&amp;""),CHAR(160),"")," ",""),"년","")),SUBSTITUTE(SUBSTITUTE(SUBSTITUTE(TRIM(C371&amp;""),CHAR(160),"")," ",""),"년",""),""),"")</f>
      </c>
      <c r="P371" t="str">
        <f>SUBSTITUTE(SUBSTITUTE(SUBSTITUTE(SUBSTITUTE(SUBSTITUTE(SUBSTITUTE(SUBSTITUTE(SUBSTITUTE(TRIM(D371&amp;""),CHAR(160),"")," ",""),"초등학교","초"),"중학교","중"),"고등학교","고"),"~","~~"),"*","~*"),"?","~?")</f>
      </c>
      <c r="Q371" t="str">
        <f>SUBSTITUTE(SUBSTITUTE(SUBSTITUTE(SUBSTITUTE(SUBSTITUTE(SUBSTITUTE(SUBSTITUTE(SUBSTITUTE(TRIM(E371&amp;""),CHAR(160),"")," ",""),"초등학교","초"),"중학교","중"),"고등학교","고"),"~","~~"),"*","~*"),"?","~?")</f>
      </c>
      <c r="R371" t="str">
        <f>IF(COUNTA(B371:J371)=0,"",IF(AND(O371&lt;&gt;"",P371&lt;&gt;"",Q371&lt;&gt;""),"","입력누락"))</f>
      </c>
    </row>
    <row r="372" customFormat="false" ht="15" hidden="false" customHeight="false" outlineLevel="0" collapsed="false">
      <c r="A372" t="n" s="19">
        <f aca="0">IF(COUNTA(B372:J372)=0,"",ROW()-1)</f>
      </c>
      <c r="B372" s="24"/>
      <c r="C372" s="25"/>
      <c r="D372" s="8"/>
      <c r="E372" s="8"/>
      <c r="F372" s="26"/>
      <c r="G372" s="24"/>
      <c r="H372" s="25"/>
      <c r="I372" s="25"/>
      <c r="J372" s="26"/>
      <c r="K372" t="str" s="15">
        <f aca="0">IF(COUNTA(B372:J372)=0,"",IF(R372&lt;&gt;"","확인필요(입력누락)",IF(COUNTIFS(보유목록!$I$2:$I$3001,"*"&amp;P372&amp;"*",보유목록!$I$2:$I$3001,"*"&amp;Q372&amp;"*",보유목록!$H$2:$H$3001,O372)&gt;0,"있음",IF(COUNTIFS(보유목록!$I$2:$I$3001,"*"&amp;P372&amp;"*",보유목록!$I$2:$I$3001,"*"&amp;Q372&amp;"*")&gt;0,"확인필요(연도다름)",IF(COUNTIFS(보유목록!$I$2:$I$3001,"*"&amp;P372&amp;"*",보유목록!$H$2:$H$3001,O372)&gt;0,"확인필요(같은학교·같은연도)","없음")))))</f>
      </c>
      <c r="L372" t="str" s="16">
        <f aca="0">IF(OR(COUNTA(B372:J372)=0,R372&lt;&gt;""),"",COUNTIFS(보유목록!$I$2:$I$3001,"*"&amp;P372&amp;"*",보유목록!$I$2:$I$3001,"*"&amp;Q372&amp;"*"))</f>
      </c>
      <c r="M372" t="str" s="23">
        <f aca="0">IF(OR(COUNTA(B372:J372)=0,R372&lt;&gt;""),"",IFERROR(LOOKUP(2,1/(ISNUMBER(SEARCH(P372,보유목록!$I$2:$I$3001))*ISNUMBER(SEARCH(Q372,보유목록!$I$2:$I$3001))*(보유목록!$H$2:$H$3001=O372)),보유목록!$B$2:$B$3001),IFERROR(LOOKUP(2,1/(ISNUMBER(SEARCH(P372,보유목록!$I$2:$I$3001))*ISNUMBER(SEARCH(Q372,보유목록!$I$2:$I$3001))),보유목록!$B$2:$B$3001),"")))</f>
      </c>
      <c r="N372" s="25"/>
      <c r="O372" t="str">
        <f>IFERROR(IF(AND(LEN(SUBSTITUTE(SUBSTITUTE(SUBSTITUTE(TRIM(C372&amp;""),CHAR(160),"")," ",""),"년",""))=4,VALUE(SUBSTITUTE(SUBSTITUTE(SUBSTITUTE(TRIM(C372&amp;""),CHAR(160),"")," ",""),"년",""))&gt;=1900,VALUE(SUBSTITUTE(SUBSTITUTE(SUBSTITUTE(TRIM(C372&amp;""),CHAR(160),"")," ",""),"년",""))&lt;=2099,TEXT(VALUE(SUBSTITUTE(SUBSTITUTE(SUBSTITUTE(TRIM(C372&amp;""),CHAR(160),"")," ",""),"년","")),"0000")=SUBSTITUTE(SUBSTITUTE(SUBSTITUTE(TRIM(C372&amp;""),CHAR(160),"")," ",""),"년","")),SUBSTITUTE(SUBSTITUTE(SUBSTITUTE(TRIM(C372&amp;""),CHAR(160),"")," ",""),"년",""),""),"")</f>
      </c>
      <c r="P372" t="str">
        <f>SUBSTITUTE(SUBSTITUTE(SUBSTITUTE(SUBSTITUTE(SUBSTITUTE(SUBSTITUTE(SUBSTITUTE(SUBSTITUTE(TRIM(D372&amp;""),CHAR(160),"")," ",""),"초등학교","초"),"중학교","중"),"고등학교","고"),"~","~~"),"*","~*"),"?","~?")</f>
      </c>
      <c r="Q372" t="str">
        <f>SUBSTITUTE(SUBSTITUTE(SUBSTITUTE(SUBSTITUTE(SUBSTITUTE(SUBSTITUTE(SUBSTITUTE(SUBSTITUTE(TRIM(E372&amp;""),CHAR(160),"")," ",""),"초등학교","초"),"중학교","중"),"고등학교","고"),"~","~~"),"*","~*"),"?","~?")</f>
      </c>
      <c r="R372" t="str">
        <f>IF(COUNTA(B372:J372)=0,"",IF(AND(O372&lt;&gt;"",P372&lt;&gt;"",Q372&lt;&gt;""),"","입력누락"))</f>
      </c>
    </row>
    <row r="373" customFormat="false" ht="15" hidden="false" customHeight="false" outlineLevel="0" collapsed="false">
      <c r="A373" t="n" s="19">
        <f aca="0">IF(COUNTA(B373:J373)=0,"",ROW()-1)</f>
      </c>
      <c r="B373" s="24"/>
      <c r="C373" s="25"/>
      <c r="D373" s="8"/>
      <c r="E373" s="8"/>
      <c r="F373" s="26"/>
      <c r="G373" s="24"/>
      <c r="H373" s="25"/>
      <c r="I373" s="25"/>
      <c r="J373" s="26"/>
      <c r="K373" t="str" s="15">
        <f aca="0">IF(COUNTA(B373:J373)=0,"",IF(R373&lt;&gt;"","확인필요(입력누락)",IF(COUNTIFS(보유목록!$I$2:$I$3001,"*"&amp;P373&amp;"*",보유목록!$I$2:$I$3001,"*"&amp;Q373&amp;"*",보유목록!$H$2:$H$3001,O373)&gt;0,"있음",IF(COUNTIFS(보유목록!$I$2:$I$3001,"*"&amp;P373&amp;"*",보유목록!$I$2:$I$3001,"*"&amp;Q373&amp;"*")&gt;0,"확인필요(연도다름)",IF(COUNTIFS(보유목록!$I$2:$I$3001,"*"&amp;P373&amp;"*",보유목록!$H$2:$H$3001,O373)&gt;0,"확인필요(같은학교·같은연도)","없음")))))</f>
      </c>
      <c r="L373" t="str" s="16">
        <f aca="0">IF(OR(COUNTA(B373:J373)=0,R373&lt;&gt;""),"",COUNTIFS(보유목록!$I$2:$I$3001,"*"&amp;P373&amp;"*",보유목록!$I$2:$I$3001,"*"&amp;Q373&amp;"*"))</f>
      </c>
      <c r="M373" t="str" s="23">
        <f aca="0">IF(OR(COUNTA(B373:J373)=0,R373&lt;&gt;""),"",IFERROR(LOOKUP(2,1/(ISNUMBER(SEARCH(P373,보유목록!$I$2:$I$3001))*ISNUMBER(SEARCH(Q373,보유목록!$I$2:$I$3001))*(보유목록!$H$2:$H$3001=O373)),보유목록!$B$2:$B$3001),IFERROR(LOOKUP(2,1/(ISNUMBER(SEARCH(P373,보유목록!$I$2:$I$3001))*ISNUMBER(SEARCH(Q373,보유목록!$I$2:$I$3001))),보유목록!$B$2:$B$3001),"")))</f>
      </c>
      <c r="N373" s="25"/>
      <c r="O373" t="str">
        <f>IFERROR(IF(AND(LEN(SUBSTITUTE(SUBSTITUTE(SUBSTITUTE(TRIM(C373&amp;""),CHAR(160),"")," ",""),"년",""))=4,VALUE(SUBSTITUTE(SUBSTITUTE(SUBSTITUTE(TRIM(C373&amp;""),CHAR(160),"")," ",""),"년",""))&gt;=1900,VALUE(SUBSTITUTE(SUBSTITUTE(SUBSTITUTE(TRIM(C373&amp;""),CHAR(160),"")," ",""),"년",""))&lt;=2099,TEXT(VALUE(SUBSTITUTE(SUBSTITUTE(SUBSTITUTE(TRIM(C373&amp;""),CHAR(160),"")," ",""),"년","")),"0000")=SUBSTITUTE(SUBSTITUTE(SUBSTITUTE(TRIM(C373&amp;""),CHAR(160),"")," ",""),"년","")),SUBSTITUTE(SUBSTITUTE(SUBSTITUTE(TRIM(C373&amp;""),CHAR(160),"")," ",""),"년",""),""),"")</f>
      </c>
      <c r="P373" t="str">
        <f>SUBSTITUTE(SUBSTITUTE(SUBSTITUTE(SUBSTITUTE(SUBSTITUTE(SUBSTITUTE(SUBSTITUTE(SUBSTITUTE(TRIM(D373&amp;""),CHAR(160),"")," ",""),"초등학교","초"),"중학교","중"),"고등학교","고"),"~","~~"),"*","~*"),"?","~?")</f>
      </c>
      <c r="Q373" t="str">
        <f>SUBSTITUTE(SUBSTITUTE(SUBSTITUTE(SUBSTITUTE(SUBSTITUTE(SUBSTITUTE(SUBSTITUTE(SUBSTITUTE(TRIM(E373&amp;""),CHAR(160),"")," ",""),"초등학교","초"),"중학교","중"),"고등학교","고"),"~","~~"),"*","~*"),"?","~?")</f>
      </c>
      <c r="R373" t="str">
        <f>IF(COUNTA(B373:J373)=0,"",IF(AND(O373&lt;&gt;"",P373&lt;&gt;"",Q373&lt;&gt;""),"","입력누락"))</f>
      </c>
    </row>
    <row r="374" customFormat="false" ht="15" hidden="false" customHeight="false" outlineLevel="0" collapsed="false">
      <c r="A374" t="n" s="19">
        <f aca="0">IF(COUNTA(B374:J374)=0,"",ROW()-1)</f>
      </c>
      <c r="B374" s="24"/>
      <c r="C374" s="25"/>
      <c r="D374" s="8"/>
      <c r="E374" s="8"/>
      <c r="F374" s="26"/>
      <c r="G374" s="24"/>
      <c r="H374" s="25"/>
      <c r="I374" s="25"/>
      <c r="J374" s="26"/>
      <c r="K374" t="str" s="15">
        <f aca="0">IF(COUNTA(B374:J374)=0,"",IF(R374&lt;&gt;"","확인필요(입력누락)",IF(COUNTIFS(보유목록!$I$2:$I$3001,"*"&amp;P374&amp;"*",보유목록!$I$2:$I$3001,"*"&amp;Q374&amp;"*",보유목록!$H$2:$H$3001,O374)&gt;0,"있음",IF(COUNTIFS(보유목록!$I$2:$I$3001,"*"&amp;P374&amp;"*",보유목록!$I$2:$I$3001,"*"&amp;Q374&amp;"*")&gt;0,"확인필요(연도다름)",IF(COUNTIFS(보유목록!$I$2:$I$3001,"*"&amp;P374&amp;"*",보유목록!$H$2:$H$3001,O374)&gt;0,"확인필요(같은학교·같은연도)","없음")))))</f>
      </c>
      <c r="L374" t="str" s="16">
        <f aca="0">IF(OR(COUNTA(B374:J374)=0,R374&lt;&gt;""),"",COUNTIFS(보유목록!$I$2:$I$3001,"*"&amp;P374&amp;"*",보유목록!$I$2:$I$3001,"*"&amp;Q374&amp;"*"))</f>
      </c>
      <c r="M374" t="str" s="23">
        <f aca="0">IF(OR(COUNTA(B374:J374)=0,R374&lt;&gt;""),"",IFERROR(LOOKUP(2,1/(ISNUMBER(SEARCH(P374,보유목록!$I$2:$I$3001))*ISNUMBER(SEARCH(Q374,보유목록!$I$2:$I$3001))*(보유목록!$H$2:$H$3001=O374)),보유목록!$B$2:$B$3001),IFERROR(LOOKUP(2,1/(ISNUMBER(SEARCH(P374,보유목록!$I$2:$I$3001))*ISNUMBER(SEARCH(Q374,보유목록!$I$2:$I$3001))),보유목록!$B$2:$B$3001),"")))</f>
      </c>
      <c r="N374" s="25"/>
      <c r="O374" t="str">
        <f>IFERROR(IF(AND(LEN(SUBSTITUTE(SUBSTITUTE(SUBSTITUTE(TRIM(C374&amp;""),CHAR(160),"")," ",""),"년",""))=4,VALUE(SUBSTITUTE(SUBSTITUTE(SUBSTITUTE(TRIM(C374&amp;""),CHAR(160),"")," ",""),"년",""))&gt;=1900,VALUE(SUBSTITUTE(SUBSTITUTE(SUBSTITUTE(TRIM(C374&amp;""),CHAR(160),"")," ",""),"년",""))&lt;=2099,TEXT(VALUE(SUBSTITUTE(SUBSTITUTE(SUBSTITUTE(TRIM(C374&amp;""),CHAR(160),"")," ",""),"년","")),"0000")=SUBSTITUTE(SUBSTITUTE(SUBSTITUTE(TRIM(C374&amp;""),CHAR(160),"")," ",""),"년","")),SUBSTITUTE(SUBSTITUTE(SUBSTITUTE(TRIM(C374&amp;""),CHAR(160),"")," ",""),"년",""),""),"")</f>
      </c>
      <c r="P374" t="str">
        <f>SUBSTITUTE(SUBSTITUTE(SUBSTITUTE(SUBSTITUTE(SUBSTITUTE(SUBSTITUTE(SUBSTITUTE(SUBSTITUTE(TRIM(D374&amp;""),CHAR(160),"")," ",""),"초등학교","초"),"중학교","중"),"고등학교","고"),"~","~~"),"*","~*"),"?","~?")</f>
      </c>
      <c r="Q374" t="str">
        <f>SUBSTITUTE(SUBSTITUTE(SUBSTITUTE(SUBSTITUTE(SUBSTITUTE(SUBSTITUTE(SUBSTITUTE(SUBSTITUTE(TRIM(E374&amp;""),CHAR(160),"")," ",""),"초등학교","초"),"중학교","중"),"고등학교","고"),"~","~~"),"*","~*"),"?","~?")</f>
      </c>
      <c r="R374" t="str">
        <f>IF(COUNTA(B374:J374)=0,"",IF(AND(O374&lt;&gt;"",P374&lt;&gt;"",Q374&lt;&gt;""),"","입력누락"))</f>
      </c>
    </row>
    <row r="375" customFormat="false" ht="15" hidden="false" customHeight="false" outlineLevel="0" collapsed="false">
      <c r="A375" t="n" s="19">
        <f aca="0">IF(COUNTA(B375:J375)=0,"",ROW()-1)</f>
      </c>
      <c r="B375" s="24"/>
      <c r="C375" s="25"/>
      <c r="D375" s="8"/>
      <c r="E375" s="8"/>
      <c r="F375" s="26"/>
      <c r="G375" s="24"/>
      <c r="H375" s="25"/>
      <c r="I375" s="25"/>
      <c r="J375" s="26"/>
      <c r="K375" t="str" s="15">
        <f aca="0">IF(COUNTA(B375:J375)=0,"",IF(R375&lt;&gt;"","확인필요(입력누락)",IF(COUNTIFS(보유목록!$I$2:$I$3001,"*"&amp;P375&amp;"*",보유목록!$I$2:$I$3001,"*"&amp;Q375&amp;"*",보유목록!$H$2:$H$3001,O375)&gt;0,"있음",IF(COUNTIFS(보유목록!$I$2:$I$3001,"*"&amp;P375&amp;"*",보유목록!$I$2:$I$3001,"*"&amp;Q375&amp;"*")&gt;0,"확인필요(연도다름)",IF(COUNTIFS(보유목록!$I$2:$I$3001,"*"&amp;P375&amp;"*",보유목록!$H$2:$H$3001,O375)&gt;0,"확인필요(같은학교·같은연도)","없음")))))</f>
      </c>
      <c r="L375" t="str" s="16">
        <f aca="0">IF(OR(COUNTA(B375:J375)=0,R375&lt;&gt;""),"",COUNTIFS(보유목록!$I$2:$I$3001,"*"&amp;P375&amp;"*",보유목록!$I$2:$I$3001,"*"&amp;Q375&amp;"*"))</f>
      </c>
      <c r="M375" t="str" s="23">
        <f aca="0">IF(OR(COUNTA(B375:J375)=0,R375&lt;&gt;""),"",IFERROR(LOOKUP(2,1/(ISNUMBER(SEARCH(P375,보유목록!$I$2:$I$3001))*ISNUMBER(SEARCH(Q375,보유목록!$I$2:$I$3001))*(보유목록!$H$2:$H$3001=O375)),보유목록!$B$2:$B$3001),IFERROR(LOOKUP(2,1/(ISNUMBER(SEARCH(P375,보유목록!$I$2:$I$3001))*ISNUMBER(SEARCH(Q375,보유목록!$I$2:$I$3001))),보유목록!$B$2:$B$3001),"")))</f>
      </c>
      <c r="N375" s="25"/>
      <c r="O375" t="str">
        <f>IFERROR(IF(AND(LEN(SUBSTITUTE(SUBSTITUTE(SUBSTITUTE(TRIM(C375&amp;""),CHAR(160),"")," ",""),"년",""))=4,VALUE(SUBSTITUTE(SUBSTITUTE(SUBSTITUTE(TRIM(C375&amp;""),CHAR(160),"")," ",""),"년",""))&gt;=1900,VALUE(SUBSTITUTE(SUBSTITUTE(SUBSTITUTE(TRIM(C375&amp;""),CHAR(160),"")," ",""),"년",""))&lt;=2099,TEXT(VALUE(SUBSTITUTE(SUBSTITUTE(SUBSTITUTE(TRIM(C375&amp;""),CHAR(160),"")," ",""),"년","")),"0000")=SUBSTITUTE(SUBSTITUTE(SUBSTITUTE(TRIM(C375&amp;""),CHAR(160),"")," ",""),"년","")),SUBSTITUTE(SUBSTITUTE(SUBSTITUTE(TRIM(C375&amp;""),CHAR(160),"")," ",""),"년",""),""),"")</f>
      </c>
      <c r="P375" t="str">
        <f>SUBSTITUTE(SUBSTITUTE(SUBSTITUTE(SUBSTITUTE(SUBSTITUTE(SUBSTITUTE(SUBSTITUTE(SUBSTITUTE(TRIM(D375&amp;""),CHAR(160),"")," ",""),"초등학교","초"),"중학교","중"),"고등학교","고"),"~","~~"),"*","~*"),"?","~?")</f>
      </c>
      <c r="Q375" t="str">
        <f>SUBSTITUTE(SUBSTITUTE(SUBSTITUTE(SUBSTITUTE(SUBSTITUTE(SUBSTITUTE(SUBSTITUTE(SUBSTITUTE(TRIM(E375&amp;""),CHAR(160),"")," ",""),"초등학교","초"),"중학교","중"),"고등학교","고"),"~","~~"),"*","~*"),"?","~?")</f>
      </c>
      <c r="R375" t="str">
        <f>IF(COUNTA(B375:J375)=0,"",IF(AND(O375&lt;&gt;"",P375&lt;&gt;"",Q375&lt;&gt;""),"","입력누락"))</f>
      </c>
    </row>
    <row r="376" customFormat="false" ht="15" hidden="false" customHeight="false" outlineLevel="0" collapsed="false">
      <c r="A376" t="n" s="19">
        <f aca="0">IF(COUNTA(B376:J376)=0,"",ROW()-1)</f>
      </c>
      <c r="B376" s="24"/>
      <c r="C376" s="25"/>
      <c r="D376" s="8"/>
      <c r="E376" s="8"/>
      <c r="F376" s="26"/>
      <c r="G376" s="24"/>
      <c r="H376" s="25"/>
      <c r="I376" s="25"/>
      <c r="J376" s="26"/>
      <c r="K376" t="str" s="15">
        <f aca="0">IF(COUNTA(B376:J376)=0,"",IF(R376&lt;&gt;"","확인필요(입력누락)",IF(COUNTIFS(보유목록!$I$2:$I$3001,"*"&amp;P376&amp;"*",보유목록!$I$2:$I$3001,"*"&amp;Q376&amp;"*",보유목록!$H$2:$H$3001,O376)&gt;0,"있음",IF(COUNTIFS(보유목록!$I$2:$I$3001,"*"&amp;P376&amp;"*",보유목록!$I$2:$I$3001,"*"&amp;Q376&amp;"*")&gt;0,"확인필요(연도다름)",IF(COUNTIFS(보유목록!$I$2:$I$3001,"*"&amp;P376&amp;"*",보유목록!$H$2:$H$3001,O376)&gt;0,"확인필요(같은학교·같은연도)","없음")))))</f>
      </c>
      <c r="L376" t="str" s="16">
        <f aca="0">IF(OR(COUNTA(B376:J376)=0,R376&lt;&gt;""),"",COUNTIFS(보유목록!$I$2:$I$3001,"*"&amp;P376&amp;"*",보유목록!$I$2:$I$3001,"*"&amp;Q376&amp;"*"))</f>
      </c>
      <c r="M376" t="str" s="23">
        <f aca="0">IF(OR(COUNTA(B376:J376)=0,R376&lt;&gt;""),"",IFERROR(LOOKUP(2,1/(ISNUMBER(SEARCH(P376,보유목록!$I$2:$I$3001))*ISNUMBER(SEARCH(Q376,보유목록!$I$2:$I$3001))*(보유목록!$H$2:$H$3001=O376)),보유목록!$B$2:$B$3001),IFERROR(LOOKUP(2,1/(ISNUMBER(SEARCH(P376,보유목록!$I$2:$I$3001))*ISNUMBER(SEARCH(Q376,보유목록!$I$2:$I$3001))),보유목록!$B$2:$B$3001),"")))</f>
      </c>
      <c r="N376" s="25"/>
      <c r="O376" t="str">
        <f>IFERROR(IF(AND(LEN(SUBSTITUTE(SUBSTITUTE(SUBSTITUTE(TRIM(C376&amp;""),CHAR(160),"")," ",""),"년",""))=4,VALUE(SUBSTITUTE(SUBSTITUTE(SUBSTITUTE(TRIM(C376&amp;""),CHAR(160),"")," ",""),"년",""))&gt;=1900,VALUE(SUBSTITUTE(SUBSTITUTE(SUBSTITUTE(TRIM(C376&amp;""),CHAR(160),"")," ",""),"년",""))&lt;=2099,TEXT(VALUE(SUBSTITUTE(SUBSTITUTE(SUBSTITUTE(TRIM(C376&amp;""),CHAR(160),"")," ",""),"년","")),"0000")=SUBSTITUTE(SUBSTITUTE(SUBSTITUTE(TRIM(C376&amp;""),CHAR(160),"")," ",""),"년","")),SUBSTITUTE(SUBSTITUTE(SUBSTITUTE(TRIM(C376&amp;""),CHAR(160),"")," ",""),"년",""),""),"")</f>
      </c>
      <c r="P376" t="str">
        <f>SUBSTITUTE(SUBSTITUTE(SUBSTITUTE(SUBSTITUTE(SUBSTITUTE(SUBSTITUTE(SUBSTITUTE(SUBSTITUTE(TRIM(D376&amp;""),CHAR(160),"")," ",""),"초등학교","초"),"중학교","중"),"고등학교","고"),"~","~~"),"*","~*"),"?","~?")</f>
      </c>
      <c r="Q376" t="str">
        <f>SUBSTITUTE(SUBSTITUTE(SUBSTITUTE(SUBSTITUTE(SUBSTITUTE(SUBSTITUTE(SUBSTITUTE(SUBSTITUTE(TRIM(E376&amp;""),CHAR(160),"")," ",""),"초등학교","초"),"중학교","중"),"고등학교","고"),"~","~~"),"*","~*"),"?","~?")</f>
      </c>
      <c r="R376" t="str">
        <f>IF(COUNTA(B376:J376)=0,"",IF(AND(O376&lt;&gt;"",P376&lt;&gt;"",Q376&lt;&gt;""),"","입력누락"))</f>
      </c>
    </row>
    <row r="377" customFormat="false" ht="15" hidden="false" customHeight="false" outlineLevel="0" collapsed="false">
      <c r="A377" t="n" s="19">
        <f aca="0">IF(COUNTA(B377:J377)=0,"",ROW()-1)</f>
      </c>
      <c r="B377" s="24"/>
      <c r="C377" s="25"/>
      <c r="D377" s="8"/>
      <c r="E377" s="8"/>
      <c r="F377" s="26"/>
      <c r="G377" s="24"/>
      <c r="H377" s="25"/>
      <c r="I377" s="25"/>
      <c r="J377" s="26"/>
      <c r="K377" t="str" s="15">
        <f aca="0">IF(COUNTA(B377:J377)=0,"",IF(R377&lt;&gt;"","확인필요(입력누락)",IF(COUNTIFS(보유목록!$I$2:$I$3001,"*"&amp;P377&amp;"*",보유목록!$I$2:$I$3001,"*"&amp;Q377&amp;"*",보유목록!$H$2:$H$3001,O377)&gt;0,"있음",IF(COUNTIFS(보유목록!$I$2:$I$3001,"*"&amp;P377&amp;"*",보유목록!$I$2:$I$3001,"*"&amp;Q377&amp;"*")&gt;0,"확인필요(연도다름)",IF(COUNTIFS(보유목록!$I$2:$I$3001,"*"&amp;P377&amp;"*",보유목록!$H$2:$H$3001,O377)&gt;0,"확인필요(같은학교·같은연도)","없음")))))</f>
      </c>
      <c r="L377" t="str" s="16">
        <f aca="0">IF(OR(COUNTA(B377:J377)=0,R377&lt;&gt;""),"",COUNTIFS(보유목록!$I$2:$I$3001,"*"&amp;P377&amp;"*",보유목록!$I$2:$I$3001,"*"&amp;Q377&amp;"*"))</f>
      </c>
      <c r="M377" t="str" s="23">
        <f aca="0">IF(OR(COUNTA(B377:J377)=0,R377&lt;&gt;""),"",IFERROR(LOOKUP(2,1/(ISNUMBER(SEARCH(P377,보유목록!$I$2:$I$3001))*ISNUMBER(SEARCH(Q377,보유목록!$I$2:$I$3001))*(보유목록!$H$2:$H$3001=O377)),보유목록!$B$2:$B$3001),IFERROR(LOOKUP(2,1/(ISNUMBER(SEARCH(P377,보유목록!$I$2:$I$3001))*ISNUMBER(SEARCH(Q377,보유목록!$I$2:$I$3001))),보유목록!$B$2:$B$3001),"")))</f>
      </c>
      <c r="N377" s="25"/>
      <c r="O377" t="str">
        <f>IFERROR(IF(AND(LEN(SUBSTITUTE(SUBSTITUTE(SUBSTITUTE(TRIM(C377&amp;""),CHAR(160),"")," ",""),"년",""))=4,VALUE(SUBSTITUTE(SUBSTITUTE(SUBSTITUTE(TRIM(C377&amp;""),CHAR(160),"")," ",""),"년",""))&gt;=1900,VALUE(SUBSTITUTE(SUBSTITUTE(SUBSTITUTE(TRIM(C377&amp;""),CHAR(160),"")," ",""),"년",""))&lt;=2099,TEXT(VALUE(SUBSTITUTE(SUBSTITUTE(SUBSTITUTE(TRIM(C377&amp;""),CHAR(160),"")," ",""),"년","")),"0000")=SUBSTITUTE(SUBSTITUTE(SUBSTITUTE(TRIM(C377&amp;""),CHAR(160),"")," ",""),"년","")),SUBSTITUTE(SUBSTITUTE(SUBSTITUTE(TRIM(C377&amp;""),CHAR(160),"")," ",""),"년",""),""),"")</f>
      </c>
      <c r="P377" t="str">
        <f>SUBSTITUTE(SUBSTITUTE(SUBSTITUTE(SUBSTITUTE(SUBSTITUTE(SUBSTITUTE(SUBSTITUTE(SUBSTITUTE(TRIM(D377&amp;""),CHAR(160),"")," ",""),"초등학교","초"),"중학교","중"),"고등학교","고"),"~","~~"),"*","~*"),"?","~?")</f>
      </c>
      <c r="Q377" t="str">
        <f>SUBSTITUTE(SUBSTITUTE(SUBSTITUTE(SUBSTITUTE(SUBSTITUTE(SUBSTITUTE(SUBSTITUTE(SUBSTITUTE(TRIM(E377&amp;""),CHAR(160),"")," ",""),"초등학교","초"),"중학교","중"),"고등학교","고"),"~","~~"),"*","~*"),"?","~?")</f>
      </c>
      <c r="R377" t="str">
        <f>IF(COUNTA(B377:J377)=0,"",IF(AND(O377&lt;&gt;"",P377&lt;&gt;"",Q377&lt;&gt;""),"","입력누락"))</f>
      </c>
    </row>
    <row r="378" customFormat="false" ht="15" hidden="false" customHeight="false" outlineLevel="0" collapsed="false">
      <c r="A378" t="n" s="19">
        <f aca="0">IF(COUNTA(B378:J378)=0,"",ROW()-1)</f>
      </c>
      <c r="B378" s="24"/>
      <c r="C378" s="25"/>
      <c r="D378" s="8"/>
      <c r="E378" s="8"/>
      <c r="F378" s="26"/>
      <c r="G378" s="24"/>
      <c r="H378" s="25"/>
      <c r="I378" s="25"/>
      <c r="J378" s="26"/>
      <c r="K378" t="str" s="15">
        <f aca="0">IF(COUNTA(B378:J378)=0,"",IF(R378&lt;&gt;"","확인필요(입력누락)",IF(COUNTIFS(보유목록!$I$2:$I$3001,"*"&amp;P378&amp;"*",보유목록!$I$2:$I$3001,"*"&amp;Q378&amp;"*",보유목록!$H$2:$H$3001,O378)&gt;0,"있음",IF(COUNTIFS(보유목록!$I$2:$I$3001,"*"&amp;P378&amp;"*",보유목록!$I$2:$I$3001,"*"&amp;Q378&amp;"*")&gt;0,"확인필요(연도다름)",IF(COUNTIFS(보유목록!$I$2:$I$3001,"*"&amp;P378&amp;"*",보유목록!$H$2:$H$3001,O378)&gt;0,"확인필요(같은학교·같은연도)","없음")))))</f>
      </c>
      <c r="L378" t="str" s="16">
        <f aca="0">IF(OR(COUNTA(B378:J378)=0,R378&lt;&gt;""),"",COUNTIFS(보유목록!$I$2:$I$3001,"*"&amp;P378&amp;"*",보유목록!$I$2:$I$3001,"*"&amp;Q378&amp;"*"))</f>
      </c>
      <c r="M378" t="str" s="23">
        <f aca="0">IF(OR(COUNTA(B378:J378)=0,R378&lt;&gt;""),"",IFERROR(LOOKUP(2,1/(ISNUMBER(SEARCH(P378,보유목록!$I$2:$I$3001))*ISNUMBER(SEARCH(Q378,보유목록!$I$2:$I$3001))*(보유목록!$H$2:$H$3001=O378)),보유목록!$B$2:$B$3001),IFERROR(LOOKUP(2,1/(ISNUMBER(SEARCH(P378,보유목록!$I$2:$I$3001))*ISNUMBER(SEARCH(Q378,보유목록!$I$2:$I$3001))),보유목록!$B$2:$B$3001),"")))</f>
      </c>
      <c r="N378" s="25"/>
      <c r="O378" t="str">
        <f>IFERROR(IF(AND(LEN(SUBSTITUTE(SUBSTITUTE(SUBSTITUTE(TRIM(C378&amp;""),CHAR(160),"")," ",""),"년",""))=4,VALUE(SUBSTITUTE(SUBSTITUTE(SUBSTITUTE(TRIM(C378&amp;""),CHAR(160),"")," ",""),"년",""))&gt;=1900,VALUE(SUBSTITUTE(SUBSTITUTE(SUBSTITUTE(TRIM(C378&amp;""),CHAR(160),"")," ",""),"년",""))&lt;=2099,TEXT(VALUE(SUBSTITUTE(SUBSTITUTE(SUBSTITUTE(TRIM(C378&amp;""),CHAR(160),"")," ",""),"년","")),"0000")=SUBSTITUTE(SUBSTITUTE(SUBSTITUTE(TRIM(C378&amp;""),CHAR(160),"")," ",""),"년","")),SUBSTITUTE(SUBSTITUTE(SUBSTITUTE(TRIM(C378&amp;""),CHAR(160),"")," ",""),"년",""),""),"")</f>
      </c>
      <c r="P378" t="str">
        <f>SUBSTITUTE(SUBSTITUTE(SUBSTITUTE(SUBSTITUTE(SUBSTITUTE(SUBSTITUTE(SUBSTITUTE(SUBSTITUTE(TRIM(D378&amp;""),CHAR(160),"")," ",""),"초등학교","초"),"중학교","중"),"고등학교","고"),"~","~~"),"*","~*"),"?","~?")</f>
      </c>
      <c r="Q378" t="str">
        <f>SUBSTITUTE(SUBSTITUTE(SUBSTITUTE(SUBSTITUTE(SUBSTITUTE(SUBSTITUTE(SUBSTITUTE(SUBSTITUTE(TRIM(E378&amp;""),CHAR(160),"")," ",""),"초등학교","초"),"중학교","중"),"고등학교","고"),"~","~~"),"*","~*"),"?","~?")</f>
      </c>
      <c r="R378" t="str">
        <f>IF(COUNTA(B378:J378)=0,"",IF(AND(O378&lt;&gt;"",P378&lt;&gt;"",Q378&lt;&gt;""),"","입력누락"))</f>
      </c>
    </row>
    <row r="379" customFormat="false" ht="15" hidden="false" customHeight="false" outlineLevel="0" collapsed="false">
      <c r="A379" t="n" s="19">
        <f aca="0">IF(COUNTA(B379:J379)=0,"",ROW()-1)</f>
      </c>
      <c r="B379" s="24"/>
      <c r="C379" s="25"/>
      <c r="D379" s="8"/>
      <c r="E379" s="8"/>
      <c r="F379" s="26"/>
      <c r="G379" s="24"/>
      <c r="H379" s="25"/>
      <c r="I379" s="25"/>
      <c r="J379" s="26"/>
      <c r="K379" t="str" s="15">
        <f aca="0">IF(COUNTA(B379:J379)=0,"",IF(R379&lt;&gt;"","확인필요(입력누락)",IF(COUNTIFS(보유목록!$I$2:$I$3001,"*"&amp;P379&amp;"*",보유목록!$I$2:$I$3001,"*"&amp;Q379&amp;"*",보유목록!$H$2:$H$3001,O379)&gt;0,"있음",IF(COUNTIFS(보유목록!$I$2:$I$3001,"*"&amp;P379&amp;"*",보유목록!$I$2:$I$3001,"*"&amp;Q379&amp;"*")&gt;0,"확인필요(연도다름)",IF(COUNTIFS(보유목록!$I$2:$I$3001,"*"&amp;P379&amp;"*",보유목록!$H$2:$H$3001,O379)&gt;0,"확인필요(같은학교·같은연도)","없음")))))</f>
      </c>
      <c r="L379" t="str" s="16">
        <f aca="0">IF(OR(COUNTA(B379:J379)=0,R379&lt;&gt;""),"",COUNTIFS(보유목록!$I$2:$I$3001,"*"&amp;P379&amp;"*",보유목록!$I$2:$I$3001,"*"&amp;Q379&amp;"*"))</f>
      </c>
      <c r="M379" t="str" s="23">
        <f aca="0">IF(OR(COUNTA(B379:J379)=0,R379&lt;&gt;""),"",IFERROR(LOOKUP(2,1/(ISNUMBER(SEARCH(P379,보유목록!$I$2:$I$3001))*ISNUMBER(SEARCH(Q379,보유목록!$I$2:$I$3001))*(보유목록!$H$2:$H$3001=O379)),보유목록!$B$2:$B$3001),IFERROR(LOOKUP(2,1/(ISNUMBER(SEARCH(P379,보유목록!$I$2:$I$3001))*ISNUMBER(SEARCH(Q379,보유목록!$I$2:$I$3001))),보유목록!$B$2:$B$3001),"")))</f>
      </c>
      <c r="N379" s="25"/>
      <c r="O379" t="str">
        <f>IFERROR(IF(AND(LEN(SUBSTITUTE(SUBSTITUTE(SUBSTITUTE(TRIM(C379&amp;""),CHAR(160),"")," ",""),"년",""))=4,VALUE(SUBSTITUTE(SUBSTITUTE(SUBSTITUTE(TRIM(C379&amp;""),CHAR(160),"")," ",""),"년",""))&gt;=1900,VALUE(SUBSTITUTE(SUBSTITUTE(SUBSTITUTE(TRIM(C379&amp;""),CHAR(160),"")," ",""),"년",""))&lt;=2099,TEXT(VALUE(SUBSTITUTE(SUBSTITUTE(SUBSTITUTE(TRIM(C379&amp;""),CHAR(160),"")," ",""),"년","")),"0000")=SUBSTITUTE(SUBSTITUTE(SUBSTITUTE(TRIM(C379&amp;""),CHAR(160),"")," ",""),"년","")),SUBSTITUTE(SUBSTITUTE(SUBSTITUTE(TRIM(C379&amp;""),CHAR(160),"")," ",""),"년",""),""),"")</f>
      </c>
      <c r="P379" t="str">
        <f>SUBSTITUTE(SUBSTITUTE(SUBSTITUTE(SUBSTITUTE(SUBSTITUTE(SUBSTITUTE(SUBSTITUTE(SUBSTITUTE(TRIM(D379&amp;""),CHAR(160),"")," ",""),"초등학교","초"),"중학교","중"),"고등학교","고"),"~","~~"),"*","~*"),"?","~?")</f>
      </c>
      <c r="Q379" t="str">
        <f>SUBSTITUTE(SUBSTITUTE(SUBSTITUTE(SUBSTITUTE(SUBSTITUTE(SUBSTITUTE(SUBSTITUTE(SUBSTITUTE(TRIM(E379&amp;""),CHAR(160),"")," ",""),"초등학교","초"),"중학교","중"),"고등학교","고"),"~","~~"),"*","~*"),"?","~?")</f>
      </c>
      <c r="R379" t="str">
        <f>IF(COUNTA(B379:J379)=0,"",IF(AND(O379&lt;&gt;"",P379&lt;&gt;"",Q379&lt;&gt;""),"","입력누락"))</f>
      </c>
    </row>
    <row r="380" customFormat="false" ht="15" hidden="false" customHeight="false" outlineLevel="0" collapsed="false">
      <c r="A380" t="n" s="19">
        <f aca="0">IF(COUNTA(B380:J380)=0,"",ROW()-1)</f>
      </c>
      <c r="B380" s="24"/>
      <c r="C380" s="25"/>
      <c r="D380" s="8"/>
      <c r="E380" s="8"/>
      <c r="F380" s="26"/>
      <c r="G380" s="24"/>
      <c r="H380" s="25"/>
      <c r="I380" s="25"/>
      <c r="J380" s="26"/>
      <c r="K380" t="str" s="15">
        <f aca="0">IF(COUNTA(B380:J380)=0,"",IF(R380&lt;&gt;"","확인필요(입력누락)",IF(COUNTIFS(보유목록!$I$2:$I$3001,"*"&amp;P380&amp;"*",보유목록!$I$2:$I$3001,"*"&amp;Q380&amp;"*",보유목록!$H$2:$H$3001,O380)&gt;0,"있음",IF(COUNTIFS(보유목록!$I$2:$I$3001,"*"&amp;P380&amp;"*",보유목록!$I$2:$I$3001,"*"&amp;Q380&amp;"*")&gt;0,"확인필요(연도다름)",IF(COUNTIFS(보유목록!$I$2:$I$3001,"*"&amp;P380&amp;"*",보유목록!$H$2:$H$3001,O380)&gt;0,"확인필요(같은학교·같은연도)","없음")))))</f>
      </c>
      <c r="L380" t="str" s="16">
        <f aca="0">IF(OR(COUNTA(B380:J380)=0,R380&lt;&gt;""),"",COUNTIFS(보유목록!$I$2:$I$3001,"*"&amp;P380&amp;"*",보유목록!$I$2:$I$3001,"*"&amp;Q380&amp;"*"))</f>
      </c>
      <c r="M380" t="str" s="23">
        <f aca="0">IF(OR(COUNTA(B380:J380)=0,R380&lt;&gt;""),"",IFERROR(LOOKUP(2,1/(ISNUMBER(SEARCH(P380,보유목록!$I$2:$I$3001))*ISNUMBER(SEARCH(Q380,보유목록!$I$2:$I$3001))*(보유목록!$H$2:$H$3001=O380)),보유목록!$B$2:$B$3001),IFERROR(LOOKUP(2,1/(ISNUMBER(SEARCH(P380,보유목록!$I$2:$I$3001))*ISNUMBER(SEARCH(Q380,보유목록!$I$2:$I$3001))),보유목록!$B$2:$B$3001),"")))</f>
      </c>
      <c r="N380" s="25"/>
      <c r="O380" t="str">
        <f>IFERROR(IF(AND(LEN(SUBSTITUTE(SUBSTITUTE(SUBSTITUTE(TRIM(C380&amp;""),CHAR(160),"")," ",""),"년",""))=4,VALUE(SUBSTITUTE(SUBSTITUTE(SUBSTITUTE(TRIM(C380&amp;""),CHAR(160),"")," ",""),"년",""))&gt;=1900,VALUE(SUBSTITUTE(SUBSTITUTE(SUBSTITUTE(TRIM(C380&amp;""),CHAR(160),"")," ",""),"년",""))&lt;=2099,TEXT(VALUE(SUBSTITUTE(SUBSTITUTE(SUBSTITUTE(TRIM(C380&amp;""),CHAR(160),"")," ",""),"년","")),"0000")=SUBSTITUTE(SUBSTITUTE(SUBSTITUTE(TRIM(C380&amp;""),CHAR(160),"")," ",""),"년","")),SUBSTITUTE(SUBSTITUTE(SUBSTITUTE(TRIM(C380&amp;""),CHAR(160),"")," ",""),"년",""),""),"")</f>
      </c>
      <c r="P380" t="str">
        <f>SUBSTITUTE(SUBSTITUTE(SUBSTITUTE(SUBSTITUTE(SUBSTITUTE(SUBSTITUTE(SUBSTITUTE(SUBSTITUTE(TRIM(D380&amp;""),CHAR(160),"")," ",""),"초등학교","초"),"중학교","중"),"고등학교","고"),"~","~~"),"*","~*"),"?","~?")</f>
      </c>
      <c r="Q380" t="str">
        <f>SUBSTITUTE(SUBSTITUTE(SUBSTITUTE(SUBSTITUTE(SUBSTITUTE(SUBSTITUTE(SUBSTITUTE(SUBSTITUTE(TRIM(E380&amp;""),CHAR(160),"")," ",""),"초등학교","초"),"중학교","중"),"고등학교","고"),"~","~~"),"*","~*"),"?","~?")</f>
      </c>
      <c r="R380" t="str">
        <f>IF(COUNTA(B380:J380)=0,"",IF(AND(O380&lt;&gt;"",P380&lt;&gt;"",Q380&lt;&gt;""),"","입력누락"))</f>
      </c>
    </row>
    <row r="381" customFormat="false" ht="15" hidden="false" customHeight="false" outlineLevel="0" collapsed="false">
      <c r="A381" t="n" s="19">
        <f aca="0">IF(COUNTA(B381:J381)=0,"",ROW()-1)</f>
      </c>
      <c r="B381" s="24"/>
      <c r="C381" s="25"/>
      <c r="D381" s="8"/>
      <c r="E381" s="8"/>
      <c r="F381" s="26"/>
      <c r="G381" s="24"/>
      <c r="H381" s="25"/>
      <c r="I381" s="25"/>
      <c r="J381" s="26"/>
      <c r="K381" t="str" s="15">
        <f aca="0">IF(COUNTA(B381:J381)=0,"",IF(R381&lt;&gt;"","확인필요(입력누락)",IF(COUNTIFS(보유목록!$I$2:$I$3001,"*"&amp;P381&amp;"*",보유목록!$I$2:$I$3001,"*"&amp;Q381&amp;"*",보유목록!$H$2:$H$3001,O381)&gt;0,"있음",IF(COUNTIFS(보유목록!$I$2:$I$3001,"*"&amp;P381&amp;"*",보유목록!$I$2:$I$3001,"*"&amp;Q381&amp;"*")&gt;0,"확인필요(연도다름)",IF(COUNTIFS(보유목록!$I$2:$I$3001,"*"&amp;P381&amp;"*",보유목록!$H$2:$H$3001,O381)&gt;0,"확인필요(같은학교·같은연도)","없음")))))</f>
      </c>
      <c r="L381" t="str" s="16">
        <f aca="0">IF(OR(COUNTA(B381:J381)=0,R381&lt;&gt;""),"",COUNTIFS(보유목록!$I$2:$I$3001,"*"&amp;P381&amp;"*",보유목록!$I$2:$I$3001,"*"&amp;Q381&amp;"*"))</f>
      </c>
      <c r="M381" t="str" s="23">
        <f aca="0">IF(OR(COUNTA(B381:J381)=0,R381&lt;&gt;""),"",IFERROR(LOOKUP(2,1/(ISNUMBER(SEARCH(P381,보유목록!$I$2:$I$3001))*ISNUMBER(SEARCH(Q381,보유목록!$I$2:$I$3001))*(보유목록!$H$2:$H$3001=O381)),보유목록!$B$2:$B$3001),IFERROR(LOOKUP(2,1/(ISNUMBER(SEARCH(P381,보유목록!$I$2:$I$3001))*ISNUMBER(SEARCH(Q381,보유목록!$I$2:$I$3001))),보유목록!$B$2:$B$3001),"")))</f>
      </c>
      <c r="N381" s="25"/>
      <c r="O381" t="str">
        <f>IFERROR(IF(AND(LEN(SUBSTITUTE(SUBSTITUTE(SUBSTITUTE(TRIM(C381&amp;""),CHAR(160),"")," ",""),"년",""))=4,VALUE(SUBSTITUTE(SUBSTITUTE(SUBSTITUTE(TRIM(C381&amp;""),CHAR(160),"")," ",""),"년",""))&gt;=1900,VALUE(SUBSTITUTE(SUBSTITUTE(SUBSTITUTE(TRIM(C381&amp;""),CHAR(160),"")," ",""),"년",""))&lt;=2099,TEXT(VALUE(SUBSTITUTE(SUBSTITUTE(SUBSTITUTE(TRIM(C381&amp;""),CHAR(160),"")," ",""),"년","")),"0000")=SUBSTITUTE(SUBSTITUTE(SUBSTITUTE(TRIM(C381&amp;""),CHAR(160),"")," ",""),"년","")),SUBSTITUTE(SUBSTITUTE(SUBSTITUTE(TRIM(C381&amp;""),CHAR(160),"")," ",""),"년",""),""),"")</f>
      </c>
      <c r="P381" t="str">
        <f>SUBSTITUTE(SUBSTITUTE(SUBSTITUTE(SUBSTITUTE(SUBSTITUTE(SUBSTITUTE(SUBSTITUTE(SUBSTITUTE(TRIM(D381&amp;""),CHAR(160),"")," ",""),"초등학교","초"),"중학교","중"),"고등학교","고"),"~","~~"),"*","~*"),"?","~?")</f>
      </c>
      <c r="Q381" t="str">
        <f>SUBSTITUTE(SUBSTITUTE(SUBSTITUTE(SUBSTITUTE(SUBSTITUTE(SUBSTITUTE(SUBSTITUTE(SUBSTITUTE(TRIM(E381&amp;""),CHAR(160),"")," ",""),"초등학교","초"),"중학교","중"),"고등학교","고"),"~","~~"),"*","~*"),"?","~?")</f>
      </c>
      <c r="R381" t="str">
        <f>IF(COUNTA(B381:J381)=0,"",IF(AND(O381&lt;&gt;"",P381&lt;&gt;"",Q381&lt;&gt;""),"","입력누락"))</f>
      </c>
    </row>
    <row r="382" customFormat="false" ht="15" hidden="false" customHeight="false" outlineLevel="0" collapsed="false">
      <c r="A382" t="n" s="19">
        <f aca="0">IF(COUNTA(B382:J382)=0,"",ROW()-1)</f>
      </c>
      <c r="B382" s="24"/>
      <c r="C382" s="25"/>
      <c r="D382" s="8"/>
      <c r="E382" s="8"/>
      <c r="F382" s="26"/>
      <c r="G382" s="24"/>
      <c r="H382" s="25"/>
      <c r="I382" s="25"/>
      <c r="J382" s="26"/>
      <c r="K382" t="str" s="15">
        <f aca="0">IF(COUNTA(B382:J382)=0,"",IF(R382&lt;&gt;"","확인필요(입력누락)",IF(COUNTIFS(보유목록!$I$2:$I$3001,"*"&amp;P382&amp;"*",보유목록!$I$2:$I$3001,"*"&amp;Q382&amp;"*",보유목록!$H$2:$H$3001,O382)&gt;0,"있음",IF(COUNTIFS(보유목록!$I$2:$I$3001,"*"&amp;P382&amp;"*",보유목록!$I$2:$I$3001,"*"&amp;Q382&amp;"*")&gt;0,"확인필요(연도다름)",IF(COUNTIFS(보유목록!$I$2:$I$3001,"*"&amp;P382&amp;"*",보유목록!$H$2:$H$3001,O382)&gt;0,"확인필요(같은학교·같은연도)","없음")))))</f>
      </c>
      <c r="L382" t="str" s="16">
        <f aca="0">IF(OR(COUNTA(B382:J382)=0,R382&lt;&gt;""),"",COUNTIFS(보유목록!$I$2:$I$3001,"*"&amp;P382&amp;"*",보유목록!$I$2:$I$3001,"*"&amp;Q382&amp;"*"))</f>
      </c>
      <c r="M382" t="str" s="23">
        <f aca="0">IF(OR(COUNTA(B382:J382)=0,R382&lt;&gt;""),"",IFERROR(LOOKUP(2,1/(ISNUMBER(SEARCH(P382,보유목록!$I$2:$I$3001))*ISNUMBER(SEARCH(Q382,보유목록!$I$2:$I$3001))*(보유목록!$H$2:$H$3001=O382)),보유목록!$B$2:$B$3001),IFERROR(LOOKUP(2,1/(ISNUMBER(SEARCH(P382,보유목록!$I$2:$I$3001))*ISNUMBER(SEARCH(Q382,보유목록!$I$2:$I$3001))),보유목록!$B$2:$B$3001),"")))</f>
      </c>
      <c r="N382" s="25"/>
      <c r="O382" t="str">
        <f>IFERROR(IF(AND(LEN(SUBSTITUTE(SUBSTITUTE(SUBSTITUTE(TRIM(C382&amp;""),CHAR(160),"")," ",""),"년",""))=4,VALUE(SUBSTITUTE(SUBSTITUTE(SUBSTITUTE(TRIM(C382&amp;""),CHAR(160),"")," ",""),"년",""))&gt;=1900,VALUE(SUBSTITUTE(SUBSTITUTE(SUBSTITUTE(TRIM(C382&amp;""),CHAR(160),"")," ",""),"년",""))&lt;=2099,TEXT(VALUE(SUBSTITUTE(SUBSTITUTE(SUBSTITUTE(TRIM(C382&amp;""),CHAR(160),"")," ",""),"년","")),"0000")=SUBSTITUTE(SUBSTITUTE(SUBSTITUTE(TRIM(C382&amp;""),CHAR(160),"")," ",""),"년","")),SUBSTITUTE(SUBSTITUTE(SUBSTITUTE(TRIM(C382&amp;""),CHAR(160),"")," ",""),"년",""),""),"")</f>
      </c>
      <c r="P382" t="str">
        <f>SUBSTITUTE(SUBSTITUTE(SUBSTITUTE(SUBSTITUTE(SUBSTITUTE(SUBSTITUTE(SUBSTITUTE(SUBSTITUTE(TRIM(D382&amp;""),CHAR(160),"")," ",""),"초등학교","초"),"중학교","중"),"고등학교","고"),"~","~~"),"*","~*"),"?","~?")</f>
      </c>
      <c r="Q382" t="str">
        <f>SUBSTITUTE(SUBSTITUTE(SUBSTITUTE(SUBSTITUTE(SUBSTITUTE(SUBSTITUTE(SUBSTITUTE(SUBSTITUTE(TRIM(E382&amp;""),CHAR(160),"")," ",""),"초등학교","초"),"중학교","중"),"고등학교","고"),"~","~~"),"*","~*"),"?","~?")</f>
      </c>
      <c r="R382" t="str">
        <f>IF(COUNTA(B382:J382)=0,"",IF(AND(O382&lt;&gt;"",P382&lt;&gt;"",Q382&lt;&gt;""),"","입력누락"))</f>
      </c>
    </row>
    <row r="383" customFormat="false" ht="15" hidden="false" customHeight="false" outlineLevel="0" collapsed="false">
      <c r="A383" t="n" s="19">
        <f aca="0">IF(COUNTA(B383:J383)=0,"",ROW()-1)</f>
      </c>
      <c r="B383" s="24"/>
      <c r="C383" s="25"/>
      <c r="D383" s="8"/>
      <c r="E383" s="8"/>
      <c r="F383" s="26"/>
      <c r="G383" s="24"/>
      <c r="H383" s="25"/>
      <c r="I383" s="25"/>
      <c r="J383" s="26"/>
      <c r="K383" t="str" s="15">
        <f aca="0">IF(COUNTA(B383:J383)=0,"",IF(R383&lt;&gt;"","확인필요(입력누락)",IF(COUNTIFS(보유목록!$I$2:$I$3001,"*"&amp;P383&amp;"*",보유목록!$I$2:$I$3001,"*"&amp;Q383&amp;"*",보유목록!$H$2:$H$3001,O383)&gt;0,"있음",IF(COUNTIFS(보유목록!$I$2:$I$3001,"*"&amp;P383&amp;"*",보유목록!$I$2:$I$3001,"*"&amp;Q383&amp;"*")&gt;0,"확인필요(연도다름)",IF(COUNTIFS(보유목록!$I$2:$I$3001,"*"&amp;P383&amp;"*",보유목록!$H$2:$H$3001,O383)&gt;0,"확인필요(같은학교·같은연도)","없음")))))</f>
      </c>
      <c r="L383" t="str" s="16">
        <f aca="0">IF(OR(COUNTA(B383:J383)=0,R383&lt;&gt;""),"",COUNTIFS(보유목록!$I$2:$I$3001,"*"&amp;P383&amp;"*",보유목록!$I$2:$I$3001,"*"&amp;Q383&amp;"*"))</f>
      </c>
      <c r="M383" t="str" s="23">
        <f aca="0">IF(OR(COUNTA(B383:J383)=0,R383&lt;&gt;""),"",IFERROR(LOOKUP(2,1/(ISNUMBER(SEARCH(P383,보유목록!$I$2:$I$3001))*ISNUMBER(SEARCH(Q383,보유목록!$I$2:$I$3001))*(보유목록!$H$2:$H$3001=O383)),보유목록!$B$2:$B$3001),IFERROR(LOOKUP(2,1/(ISNUMBER(SEARCH(P383,보유목록!$I$2:$I$3001))*ISNUMBER(SEARCH(Q383,보유목록!$I$2:$I$3001))),보유목록!$B$2:$B$3001),"")))</f>
      </c>
      <c r="N383" s="25"/>
      <c r="O383" t="str">
        <f>IFERROR(IF(AND(LEN(SUBSTITUTE(SUBSTITUTE(SUBSTITUTE(TRIM(C383&amp;""),CHAR(160),"")," ",""),"년",""))=4,VALUE(SUBSTITUTE(SUBSTITUTE(SUBSTITUTE(TRIM(C383&amp;""),CHAR(160),"")," ",""),"년",""))&gt;=1900,VALUE(SUBSTITUTE(SUBSTITUTE(SUBSTITUTE(TRIM(C383&amp;""),CHAR(160),"")," ",""),"년",""))&lt;=2099,TEXT(VALUE(SUBSTITUTE(SUBSTITUTE(SUBSTITUTE(TRIM(C383&amp;""),CHAR(160),"")," ",""),"년","")),"0000")=SUBSTITUTE(SUBSTITUTE(SUBSTITUTE(TRIM(C383&amp;""),CHAR(160),"")," ",""),"년","")),SUBSTITUTE(SUBSTITUTE(SUBSTITUTE(TRIM(C383&amp;""),CHAR(160),"")," ",""),"년",""),""),"")</f>
      </c>
      <c r="P383" t="str">
        <f>SUBSTITUTE(SUBSTITUTE(SUBSTITUTE(SUBSTITUTE(SUBSTITUTE(SUBSTITUTE(SUBSTITUTE(SUBSTITUTE(TRIM(D383&amp;""),CHAR(160),"")," ",""),"초등학교","초"),"중학교","중"),"고등학교","고"),"~","~~"),"*","~*"),"?","~?")</f>
      </c>
      <c r="Q383" t="str">
        <f>SUBSTITUTE(SUBSTITUTE(SUBSTITUTE(SUBSTITUTE(SUBSTITUTE(SUBSTITUTE(SUBSTITUTE(SUBSTITUTE(TRIM(E383&amp;""),CHAR(160),"")," ",""),"초등학교","초"),"중학교","중"),"고등학교","고"),"~","~~"),"*","~*"),"?","~?")</f>
      </c>
      <c r="R383" t="str">
        <f>IF(COUNTA(B383:J383)=0,"",IF(AND(O383&lt;&gt;"",P383&lt;&gt;"",Q383&lt;&gt;""),"","입력누락"))</f>
      </c>
    </row>
    <row r="384" customFormat="false" ht="15" hidden="false" customHeight="false" outlineLevel="0" collapsed="false">
      <c r="A384" t="n" s="19">
        <f aca="0">IF(COUNTA(B384:J384)=0,"",ROW()-1)</f>
      </c>
      <c r="B384" s="24"/>
      <c r="C384" s="25"/>
      <c r="D384" s="8"/>
      <c r="E384" s="8"/>
      <c r="F384" s="26"/>
      <c r="G384" s="24"/>
      <c r="H384" s="25"/>
      <c r="I384" s="25"/>
      <c r="J384" s="26"/>
      <c r="K384" t="str" s="15">
        <f aca="0">IF(COUNTA(B384:J384)=0,"",IF(R384&lt;&gt;"","확인필요(입력누락)",IF(COUNTIFS(보유목록!$I$2:$I$3001,"*"&amp;P384&amp;"*",보유목록!$I$2:$I$3001,"*"&amp;Q384&amp;"*",보유목록!$H$2:$H$3001,O384)&gt;0,"있음",IF(COUNTIFS(보유목록!$I$2:$I$3001,"*"&amp;P384&amp;"*",보유목록!$I$2:$I$3001,"*"&amp;Q384&amp;"*")&gt;0,"확인필요(연도다름)",IF(COUNTIFS(보유목록!$I$2:$I$3001,"*"&amp;P384&amp;"*",보유목록!$H$2:$H$3001,O384)&gt;0,"확인필요(같은학교·같은연도)","없음")))))</f>
      </c>
      <c r="L384" t="str" s="16">
        <f aca="0">IF(OR(COUNTA(B384:J384)=0,R384&lt;&gt;""),"",COUNTIFS(보유목록!$I$2:$I$3001,"*"&amp;P384&amp;"*",보유목록!$I$2:$I$3001,"*"&amp;Q384&amp;"*"))</f>
      </c>
      <c r="M384" t="str" s="23">
        <f aca="0">IF(OR(COUNTA(B384:J384)=0,R384&lt;&gt;""),"",IFERROR(LOOKUP(2,1/(ISNUMBER(SEARCH(P384,보유목록!$I$2:$I$3001))*ISNUMBER(SEARCH(Q384,보유목록!$I$2:$I$3001))*(보유목록!$H$2:$H$3001=O384)),보유목록!$B$2:$B$3001),IFERROR(LOOKUP(2,1/(ISNUMBER(SEARCH(P384,보유목록!$I$2:$I$3001))*ISNUMBER(SEARCH(Q384,보유목록!$I$2:$I$3001))),보유목록!$B$2:$B$3001),"")))</f>
      </c>
      <c r="N384" s="25"/>
      <c r="O384" t="str">
        <f>IFERROR(IF(AND(LEN(SUBSTITUTE(SUBSTITUTE(SUBSTITUTE(TRIM(C384&amp;""),CHAR(160),"")," ",""),"년",""))=4,VALUE(SUBSTITUTE(SUBSTITUTE(SUBSTITUTE(TRIM(C384&amp;""),CHAR(160),"")," ",""),"년",""))&gt;=1900,VALUE(SUBSTITUTE(SUBSTITUTE(SUBSTITUTE(TRIM(C384&amp;""),CHAR(160),"")," ",""),"년",""))&lt;=2099,TEXT(VALUE(SUBSTITUTE(SUBSTITUTE(SUBSTITUTE(TRIM(C384&amp;""),CHAR(160),"")," ",""),"년","")),"0000")=SUBSTITUTE(SUBSTITUTE(SUBSTITUTE(TRIM(C384&amp;""),CHAR(160),"")," ",""),"년","")),SUBSTITUTE(SUBSTITUTE(SUBSTITUTE(TRIM(C384&amp;""),CHAR(160),"")," ",""),"년",""),""),"")</f>
      </c>
      <c r="P384" t="str">
        <f>SUBSTITUTE(SUBSTITUTE(SUBSTITUTE(SUBSTITUTE(SUBSTITUTE(SUBSTITUTE(SUBSTITUTE(SUBSTITUTE(TRIM(D384&amp;""),CHAR(160),"")," ",""),"초등학교","초"),"중학교","중"),"고등학교","고"),"~","~~"),"*","~*"),"?","~?")</f>
      </c>
      <c r="Q384" t="str">
        <f>SUBSTITUTE(SUBSTITUTE(SUBSTITUTE(SUBSTITUTE(SUBSTITUTE(SUBSTITUTE(SUBSTITUTE(SUBSTITUTE(TRIM(E384&amp;""),CHAR(160),"")," ",""),"초등학교","초"),"중학교","중"),"고등학교","고"),"~","~~"),"*","~*"),"?","~?")</f>
      </c>
      <c r="R384" t="str">
        <f>IF(COUNTA(B384:J384)=0,"",IF(AND(O384&lt;&gt;"",P384&lt;&gt;"",Q384&lt;&gt;""),"","입력누락"))</f>
      </c>
    </row>
    <row r="385" customFormat="false" ht="15" hidden="false" customHeight="false" outlineLevel="0" collapsed="false">
      <c r="A385" t="n" s="19">
        <f aca="0">IF(COUNTA(B385:J385)=0,"",ROW()-1)</f>
      </c>
      <c r="B385" s="24"/>
      <c r="C385" s="25"/>
      <c r="D385" s="8"/>
      <c r="E385" s="8"/>
      <c r="F385" s="26"/>
      <c r="G385" s="24"/>
      <c r="H385" s="25"/>
      <c r="I385" s="25"/>
      <c r="J385" s="26"/>
      <c r="K385" t="str" s="15">
        <f aca="0">IF(COUNTA(B385:J385)=0,"",IF(R385&lt;&gt;"","확인필요(입력누락)",IF(COUNTIFS(보유목록!$I$2:$I$3001,"*"&amp;P385&amp;"*",보유목록!$I$2:$I$3001,"*"&amp;Q385&amp;"*",보유목록!$H$2:$H$3001,O385)&gt;0,"있음",IF(COUNTIFS(보유목록!$I$2:$I$3001,"*"&amp;P385&amp;"*",보유목록!$I$2:$I$3001,"*"&amp;Q385&amp;"*")&gt;0,"확인필요(연도다름)",IF(COUNTIFS(보유목록!$I$2:$I$3001,"*"&amp;P385&amp;"*",보유목록!$H$2:$H$3001,O385)&gt;0,"확인필요(같은학교·같은연도)","없음")))))</f>
      </c>
      <c r="L385" t="str" s="16">
        <f aca="0">IF(OR(COUNTA(B385:J385)=0,R385&lt;&gt;""),"",COUNTIFS(보유목록!$I$2:$I$3001,"*"&amp;P385&amp;"*",보유목록!$I$2:$I$3001,"*"&amp;Q385&amp;"*"))</f>
      </c>
      <c r="M385" t="str" s="23">
        <f aca="0">IF(OR(COUNTA(B385:J385)=0,R385&lt;&gt;""),"",IFERROR(LOOKUP(2,1/(ISNUMBER(SEARCH(P385,보유목록!$I$2:$I$3001))*ISNUMBER(SEARCH(Q385,보유목록!$I$2:$I$3001))*(보유목록!$H$2:$H$3001=O385)),보유목록!$B$2:$B$3001),IFERROR(LOOKUP(2,1/(ISNUMBER(SEARCH(P385,보유목록!$I$2:$I$3001))*ISNUMBER(SEARCH(Q385,보유목록!$I$2:$I$3001))),보유목록!$B$2:$B$3001),"")))</f>
      </c>
      <c r="N385" s="25"/>
      <c r="O385" t="str">
        <f>IFERROR(IF(AND(LEN(SUBSTITUTE(SUBSTITUTE(SUBSTITUTE(TRIM(C385&amp;""),CHAR(160),"")," ",""),"년",""))=4,VALUE(SUBSTITUTE(SUBSTITUTE(SUBSTITUTE(TRIM(C385&amp;""),CHAR(160),"")," ",""),"년",""))&gt;=1900,VALUE(SUBSTITUTE(SUBSTITUTE(SUBSTITUTE(TRIM(C385&amp;""),CHAR(160),"")," ",""),"년",""))&lt;=2099,TEXT(VALUE(SUBSTITUTE(SUBSTITUTE(SUBSTITUTE(TRIM(C385&amp;""),CHAR(160),"")," ",""),"년","")),"0000")=SUBSTITUTE(SUBSTITUTE(SUBSTITUTE(TRIM(C385&amp;""),CHAR(160),"")," ",""),"년","")),SUBSTITUTE(SUBSTITUTE(SUBSTITUTE(TRIM(C385&amp;""),CHAR(160),"")," ",""),"년",""),""),"")</f>
      </c>
      <c r="P385" t="str">
        <f>SUBSTITUTE(SUBSTITUTE(SUBSTITUTE(SUBSTITUTE(SUBSTITUTE(SUBSTITUTE(SUBSTITUTE(SUBSTITUTE(TRIM(D385&amp;""),CHAR(160),"")," ",""),"초등학교","초"),"중학교","중"),"고등학교","고"),"~","~~"),"*","~*"),"?","~?")</f>
      </c>
      <c r="Q385" t="str">
        <f>SUBSTITUTE(SUBSTITUTE(SUBSTITUTE(SUBSTITUTE(SUBSTITUTE(SUBSTITUTE(SUBSTITUTE(SUBSTITUTE(TRIM(E385&amp;""),CHAR(160),"")," ",""),"초등학교","초"),"중학교","중"),"고등학교","고"),"~","~~"),"*","~*"),"?","~?")</f>
      </c>
      <c r="R385" t="str">
        <f>IF(COUNTA(B385:J385)=0,"",IF(AND(O385&lt;&gt;"",P385&lt;&gt;"",Q385&lt;&gt;""),"","입력누락"))</f>
      </c>
    </row>
    <row r="386" customFormat="false" ht="15" hidden="false" customHeight="false" outlineLevel="0" collapsed="false">
      <c r="A386" t="n" s="19">
        <f aca="0">IF(COUNTA(B386:J386)=0,"",ROW()-1)</f>
      </c>
      <c r="B386" s="24"/>
      <c r="C386" s="25"/>
      <c r="D386" s="8"/>
      <c r="E386" s="8"/>
      <c r="F386" s="26"/>
      <c r="G386" s="24"/>
      <c r="H386" s="25"/>
      <c r="I386" s="25"/>
      <c r="J386" s="26"/>
      <c r="K386" t="str" s="15">
        <f aca="0">IF(COUNTA(B386:J386)=0,"",IF(R386&lt;&gt;"","확인필요(입력누락)",IF(COUNTIFS(보유목록!$I$2:$I$3001,"*"&amp;P386&amp;"*",보유목록!$I$2:$I$3001,"*"&amp;Q386&amp;"*",보유목록!$H$2:$H$3001,O386)&gt;0,"있음",IF(COUNTIFS(보유목록!$I$2:$I$3001,"*"&amp;P386&amp;"*",보유목록!$I$2:$I$3001,"*"&amp;Q386&amp;"*")&gt;0,"확인필요(연도다름)",IF(COUNTIFS(보유목록!$I$2:$I$3001,"*"&amp;P386&amp;"*",보유목록!$H$2:$H$3001,O386)&gt;0,"확인필요(같은학교·같은연도)","없음")))))</f>
      </c>
      <c r="L386" t="str" s="16">
        <f aca="0">IF(OR(COUNTA(B386:J386)=0,R386&lt;&gt;""),"",COUNTIFS(보유목록!$I$2:$I$3001,"*"&amp;P386&amp;"*",보유목록!$I$2:$I$3001,"*"&amp;Q386&amp;"*"))</f>
      </c>
      <c r="M386" t="str" s="23">
        <f aca="0">IF(OR(COUNTA(B386:J386)=0,R386&lt;&gt;""),"",IFERROR(LOOKUP(2,1/(ISNUMBER(SEARCH(P386,보유목록!$I$2:$I$3001))*ISNUMBER(SEARCH(Q386,보유목록!$I$2:$I$3001))*(보유목록!$H$2:$H$3001=O386)),보유목록!$B$2:$B$3001),IFERROR(LOOKUP(2,1/(ISNUMBER(SEARCH(P386,보유목록!$I$2:$I$3001))*ISNUMBER(SEARCH(Q386,보유목록!$I$2:$I$3001))),보유목록!$B$2:$B$3001),"")))</f>
      </c>
      <c r="N386" s="25"/>
      <c r="O386" t="str">
        <f>IFERROR(IF(AND(LEN(SUBSTITUTE(SUBSTITUTE(SUBSTITUTE(TRIM(C386&amp;""),CHAR(160),"")," ",""),"년",""))=4,VALUE(SUBSTITUTE(SUBSTITUTE(SUBSTITUTE(TRIM(C386&amp;""),CHAR(160),"")," ",""),"년",""))&gt;=1900,VALUE(SUBSTITUTE(SUBSTITUTE(SUBSTITUTE(TRIM(C386&amp;""),CHAR(160),"")," ",""),"년",""))&lt;=2099,TEXT(VALUE(SUBSTITUTE(SUBSTITUTE(SUBSTITUTE(TRIM(C386&amp;""),CHAR(160),"")," ",""),"년","")),"0000")=SUBSTITUTE(SUBSTITUTE(SUBSTITUTE(TRIM(C386&amp;""),CHAR(160),"")," ",""),"년","")),SUBSTITUTE(SUBSTITUTE(SUBSTITUTE(TRIM(C386&amp;""),CHAR(160),"")," ",""),"년",""),""),"")</f>
      </c>
      <c r="P386" t="str">
        <f>SUBSTITUTE(SUBSTITUTE(SUBSTITUTE(SUBSTITUTE(SUBSTITUTE(SUBSTITUTE(SUBSTITUTE(SUBSTITUTE(TRIM(D386&amp;""),CHAR(160),"")," ",""),"초등학교","초"),"중학교","중"),"고등학교","고"),"~","~~"),"*","~*"),"?","~?")</f>
      </c>
      <c r="Q386" t="str">
        <f>SUBSTITUTE(SUBSTITUTE(SUBSTITUTE(SUBSTITUTE(SUBSTITUTE(SUBSTITUTE(SUBSTITUTE(SUBSTITUTE(TRIM(E386&amp;""),CHAR(160),"")," ",""),"초등학교","초"),"중학교","중"),"고등학교","고"),"~","~~"),"*","~*"),"?","~?")</f>
      </c>
      <c r="R386" t="str">
        <f>IF(COUNTA(B386:J386)=0,"",IF(AND(O386&lt;&gt;"",P386&lt;&gt;"",Q386&lt;&gt;""),"","입력누락"))</f>
      </c>
    </row>
    <row r="387" customFormat="false" ht="15" hidden="false" customHeight="false" outlineLevel="0" collapsed="false">
      <c r="A387" t="n" s="19">
        <f aca="0">IF(COUNTA(B387:J387)=0,"",ROW()-1)</f>
      </c>
      <c r="B387" s="24"/>
      <c r="C387" s="25"/>
      <c r="D387" s="8"/>
      <c r="E387" s="8"/>
      <c r="F387" s="26"/>
      <c r="G387" s="24"/>
      <c r="H387" s="25"/>
      <c r="I387" s="25"/>
      <c r="J387" s="26"/>
      <c r="K387" t="str" s="15">
        <f aca="0">IF(COUNTA(B387:J387)=0,"",IF(R387&lt;&gt;"","확인필요(입력누락)",IF(COUNTIFS(보유목록!$I$2:$I$3001,"*"&amp;P387&amp;"*",보유목록!$I$2:$I$3001,"*"&amp;Q387&amp;"*",보유목록!$H$2:$H$3001,O387)&gt;0,"있음",IF(COUNTIFS(보유목록!$I$2:$I$3001,"*"&amp;P387&amp;"*",보유목록!$I$2:$I$3001,"*"&amp;Q387&amp;"*")&gt;0,"확인필요(연도다름)",IF(COUNTIFS(보유목록!$I$2:$I$3001,"*"&amp;P387&amp;"*",보유목록!$H$2:$H$3001,O387)&gt;0,"확인필요(같은학교·같은연도)","없음")))))</f>
      </c>
      <c r="L387" t="str" s="16">
        <f aca="0">IF(OR(COUNTA(B387:J387)=0,R387&lt;&gt;""),"",COUNTIFS(보유목록!$I$2:$I$3001,"*"&amp;P387&amp;"*",보유목록!$I$2:$I$3001,"*"&amp;Q387&amp;"*"))</f>
      </c>
      <c r="M387" t="str" s="23">
        <f aca="0">IF(OR(COUNTA(B387:J387)=0,R387&lt;&gt;""),"",IFERROR(LOOKUP(2,1/(ISNUMBER(SEARCH(P387,보유목록!$I$2:$I$3001))*ISNUMBER(SEARCH(Q387,보유목록!$I$2:$I$3001))*(보유목록!$H$2:$H$3001=O387)),보유목록!$B$2:$B$3001),IFERROR(LOOKUP(2,1/(ISNUMBER(SEARCH(P387,보유목록!$I$2:$I$3001))*ISNUMBER(SEARCH(Q387,보유목록!$I$2:$I$3001))),보유목록!$B$2:$B$3001),"")))</f>
      </c>
      <c r="N387" s="25"/>
      <c r="O387" t="str">
        <f>IFERROR(IF(AND(LEN(SUBSTITUTE(SUBSTITUTE(SUBSTITUTE(TRIM(C387&amp;""),CHAR(160),"")," ",""),"년",""))=4,VALUE(SUBSTITUTE(SUBSTITUTE(SUBSTITUTE(TRIM(C387&amp;""),CHAR(160),"")," ",""),"년",""))&gt;=1900,VALUE(SUBSTITUTE(SUBSTITUTE(SUBSTITUTE(TRIM(C387&amp;""),CHAR(160),"")," ",""),"년",""))&lt;=2099,TEXT(VALUE(SUBSTITUTE(SUBSTITUTE(SUBSTITUTE(TRIM(C387&amp;""),CHAR(160),"")," ",""),"년","")),"0000")=SUBSTITUTE(SUBSTITUTE(SUBSTITUTE(TRIM(C387&amp;""),CHAR(160),"")," ",""),"년","")),SUBSTITUTE(SUBSTITUTE(SUBSTITUTE(TRIM(C387&amp;""),CHAR(160),"")," ",""),"년",""),""),"")</f>
      </c>
      <c r="P387" t="str">
        <f>SUBSTITUTE(SUBSTITUTE(SUBSTITUTE(SUBSTITUTE(SUBSTITUTE(SUBSTITUTE(SUBSTITUTE(SUBSTITUTE(TRIM(D387&amp;""),CHAR(160),"")," ",""),"초등학교","초"),"중학교","중"),"고등학교","고"),"~","~~"),"*","~*"),"?","~?")</f>
      </c>
      <c r="Q387" t="str">
        <f>SUBSTITUTE(SUBSTITUTE(SUBSTITUTE(SUBSTITUTE(SUBSTITUTE(SUBSTITUTE(SUBSTITUTE(SUBSTITUTE(TRIM(E387&amp;""),CHAR(160),"")," ",""),"초등학교","초"),"중학교","중"),"고등학교","고"),"~","~~"),"*","~*"),"?","~?")</f>
      </c>
      <c r="R387" t="str">
        <f>IF(COUNTA(B387:J387)=0,"",IF(AND(O387&lt;&gt;"",P387&lt;&gt;"",Q387&lt;&gt;""),"","입력누락"))</f>
      </c>
    </row>
    <row r="388" customFormat="false" ht="15" hidden="false" customHeight="false" outlineLevel="0" collapsed="false">
      <c r="A388" t="n" s="19">
        <f aca="0">IF(COUNTA(B388:J388)=0,"",ROW()-1)</f>
      </c>
      <c r="B388" s="24"/>
      <c r="C388" s="25"/>
      <c r="D388" s="8"/>
      <c r="E388" s="8"/>
      <c r="F388" s="26"/>
      <c r="G388" s="24"/>
      <c r="H388" s="25"/>
      <c r="I388" s="25"/>
      <c r="J388" s="26"/>
      <c r="K388" t="str" s="15">
        <f aca="0">IF(COUNTA(B388:J388)=0,"",IF(R388&lt;&gt;"","확인필요(입력누락)",IF(COUNTIFS(보유목록!$I$2:$I$3001,"*"&amp;P388&amp;"*",보유목록!$I$2:$I$3001,"*"&amp;Q388&amp;"*",보유목록!$H$2:$H$3001,O388)&gt;0,"있음",IF(COUNTIFS(보유목록!$I$2:$I$3001,"*"&amp;P388&amp;"*",보유목록!$I$2:$I$3001,"*"&amp;Q388&amp;"*")&gt;0,"확인필요(연도다름)",IF(COUNTIFS(보유목록!$I$2:$I$3001,"*"&amp;P388&amp;"*",보유목록!$H$2:$H$3001,O388)&gt;0,"확인필요(같은학교·같은연도)","없음")))))</f>
      </c>
      <c r="L388" t="str" s="16">
        <f aca="0">IF(OR(COUNTA(B388:J388)=0,R388&lt;&gt;""),"",COUNTIFS(보유목록!$I$2:$I$3001,"*"&amp;P388&amp;"*",보유목록!$I$2:$I$3001,"*"&amp;Q388&amp;"*"))</f>
      </c>
      <c r="M388" t="str" s="23">
        <f aca="0">IF(OR(COUNTA(B388:J388)=0,R388&lt;&gt;""),"",IFERROR(LOOKUP(2,1/(ISNUMBER(SEARCH(P388,보유목록!$I$2:$I$3001))*ISNUMBER(SEARCH(Q388,보유목록!$I$2:$I$3001))*(보유목록!$H$2:$H$3001=O388)),보유목록!$B$2:$B$3001),IFERROR(LOOKUP(2,1/(ISNUMBER(SEARCH(P388,보유목록!$I$2:$I$3001))*ISNUMBER(SEARCH(Q388,보유목록!$I$2:$I$3001))),보유목록!$B$2:$B$3001),"")))</f>
      </c>
      <c r="N388" s="25"/>
      <c r="O388" t="str">
        <f>IFERROR(IF(AND(LEN(SUBSTITUTE(SUBSTITUTE(SUBSTITUTE(TRIM(C388&amp;""),CHAR(160),"")," ",""),"년",""))=4,VALUE(SUBSTITUTE(SUBSTITUTE(SUBSTITUTE(TRIM(C388&amp;""),CHAR(160),"")," ",""),"년",""))&gt;=1900,VALUE(SUBSTITUTE(SUBSTITUTE(SUBSTITUTE(TRIM(C388&amp;""),CHAR(160),"")," ",""),"년",""))&lt;=2099,TEXT(VALUE(SUBSTITUTE(SUBSTITUTE(SUBSTITUTE(TRIM(C388&amp;""),CHAR(160),"")," ",""),"년","")),"0000")=SUBSTITUTE(SUBSTITUTE(SUBSTITUTE(TRIM(C388&amp;""),CHAR(160),"")," ",""),"년","")),SUBSTITUTE(SUBSTITUTE(SUBSTITUTE(TRIM(C388&amp;""),CHAR(160),"")," ",""),"년",""),""),"")</f>
      </c>
      <c r="P388" t="str">
        <f>SUBSTITUTE(SUBSTITUTE(SUBSTITUTE(SUBSTITUTE(SUBSTITUTE(SUBSTITUTE(SUBSTITUTE(SUBSTITUTE(TRIM(D388&amp;""),CHAR(160),"")," ",""),"초등학교","초"),"중학교","중"),"고등학교","고"),"~","~~"),"*","~*"),"?","~?")</f>
      </c>
      <c r="Q388" t="str">
        <f>SUBSTITUTE(SUBSTITUTE(SUBSTITUTE(SUBSTITUTE(SUBSTITUTE(SUBSTITUTE(SUBSTITUTE(SUBSTITUTE(TRIM(E388&amp;""),CHAR(160),"")," ",""),"초등학교","초"),"중학교","중"),"고등학교","고"),"~","~~"),"*","~*"),"?","~?")</f>
      </c>
      <c r="R388" t="str">
        <f>IF(COUNTA(B388:J388)=0,"",IF(AND(O388&lt;&gt;"",P388&lt;&gt;"",Q388&lt;&gt;""),"","입력누락"))</f>
      </c>
    </row>
    <row r="389" customFormat="false" ht="15" hidden="false" customHeight="false" outlineLevel="0" collapsed="false">
      <c r="A389" t="n" s="19">
        <f aca="0">IF(COUNTA(B389:J389)=0,"",ROW()-1)</f>
      </c>
      <c r="B389" s="24"/>
      <c r="C389" s="25"/>
      <c r="D389" s="8"/>
      <c r="E389" s="8"/>
      <c r="F389" s="26"/>
      <c r="G389" s="24"/>
      <c r="H389" s="25"/>
      <c r="I389" s="25"/>
      <c r="J389" s="26"/>
      <c r="K389" t="str" s="15">
        <f aca="0">IF(COUNTA(B389:J389)=0,"",IF(R389&lt;&gt;"","확인필요(입력누락)",IF(COUNTIFS(보유목록!$I$2:$I$3001,"*"&amp;P389&amp;"*",보유목록!$I$2:$I$3001,"*"&amp;Q389&amp;"*",보유목록!$H$2:$H$3001,O389)&gt;0,"있음",IF(COUNTIFS(보유목록!$I$2:$I$3001,"*"&amp;P389&amp;"*",보유목록!$I$2:$I$3001,"*"&amp;Q389&amp;"*")&gt;0,"확인필요(연도다름)",IF(COUNTIFS(보유목록!$I$2:$I$3001,"*"&amp;P389&amp;"*",보유목록!$H$2:$H$3001,O389)&gt;0,"확인필요(같은학교·같은연도)","없음")))))</f>
      </c>
      <c r="L389" t="str" s="16">
        <f aca="0">IF(OR(COUNTA(B389:J389)=0,R389&lt;&gt;""),"",COUNTIFS(보유목록!$I$2:$I$3001,"*"&amp;P389&amp;"*",보유목록!$I$2:$I$3001,"*"&amp;Q389&amp;"*"))</f>
      </c>
      <c r="M389" t="str" s="23">
        <f aca="0">IF(OR(COUNTA(B389:J389)=0,R389&lt;&gt;""),"",IFERROR(LOOKUP(2,1/(ISNUMBER(SEARCH(P389,보유목록!$I$2:$I$3001))*ISNUMBER(SEARCH(Q389,보유목록!$I$2:$I$3001))*(보유목록!$H$2:$H$3001=O389)),보유목록!$B$2:$B$3001),IFERROR(LOOKUP(2,1/(ISNUMBER(SEARCH(P389,보유목록!$I$2:$I$3001))*ISNUMBER(SEARCH(Q389,보유목록!$I$2:$I$3001))),보유목록!$B$2:$B$3001),"")))</f>
      </c>
      <c r="N389" s="25"/>
      <c r="O389" t="str">
        <f>IFERROR(IF(AND(LEN(SUBSTITUTE(SUBSTITUTE(SUBSTITUTE(TRIM(C389&amp;""),CHAR(160),"")," ",""),"년",""))=4,VALUE(SUBSTITUTE(SUBSTITUTE(SUBSTITUTE(TRIM(C389&amp;""),CHAR(160),"")," ",""),"년",""))&gt;=1900,VALUE(SUBSTITUTE(SUBSTITUTE(SUBSTITUTE(TRIM(C389&amp;""),CHAR(160),"")," ",""),"년",""))&lt;=2099,TEXT(VALUE(SUBSTITUTE(SUBSTITUTE(SUBSTITUTE(TRIM(C389&amp;""),CHAR(160),"")," ",""),"년","")),"0000")=SUBSTITUTE(SUBSTITUTE(SUBSTITUTE(TRIM(C389&amp;""),CHAR(160),"")," ",""),"년","")),SUBSTITUTE(SUBSTITUTE(SUBSTITUTE(TRIM(C389&amp;""),CHAR(160),"")," ",""),"년",""),""),"")</f>
      </c>
      <c r="P389" t="str">
        <f>SUBSTITUTE(SUBSTITUTE(SUBSTITUTE(SUBSTITUTE(SUBSTITUTE(SUBSTITUTE(SUBSTITUTE(SUBSTITUTE(TRIM(D389&amp;""),CHAR(160),"")," ",""),"초등학교","초"),"중학교","중"),"고등학교","고"),"~","~~"),"*","~*"),"?","~?")</f>
      </c>
      <c r="Q389" t="str">
        <f>SUBSTITUTE(SUBSTITUTE(SUBSTITUTE(SUBSTITUTE(SUBSTITUTE(SUBSTITUTE(SUBSTITUTE(SUBSTITUTE(TRIM(E389&amp;""),CHAR(160),"")," ",""),"초등학교","초"),"중학교","중"),"고등학교","고"),"~","~~"),"*","~*"),"?","~?")</f>
      </c>
      <c r="R389" t="str">
        <f>IF(COUNTA(B389:J389)=0,"",IF(AND(O389&lt;&gt;"",P389&lt;&gt;"",Q389&lt;&gt;""),"","입력누락"))</f>
      </c>
    </row>
    <row r="390" customFormat="false" ht="15" hidden="false" customHeight="false" outlineLevel="0" collapsed="false">
      <c r="A390" t="n" s="19">
        <f aca="0">IF(COUNTA(B390:J390)=0,"",ROW()-1)</f>
      </c>
      <c r="B390" s="24"/>
      <c r="C390" s="25"/>
      <c r="D390" s="8"/>
      <c r="E390" s="8"/>
      <c r="F390" s="26"/>
      <c r="G390" s="24"/>
      <c r="H390" s="25"/>
      <c r="I390" s="25"/>
      <c r="J390" s="26"/>
      <c r="K390" t="str" s="15">
        <f aca="0">IF(COUNTA(B390:J390)=0,"",IF(R390&lt;&gt;"","확인필요(입력누락)",IF(COUNTIFS(보유목록!$I$2:$I$3001,"*"&amp;P390&amp;"*",보유목록!$I$2:$I$3001,"*"&amp;Q390&amp;"*",보유목록!$H$2:$H$3001,O390)&gt;0,"있음",IF(COUNTIFS(보유목록!$I$2:$I$3001,"*"&amp;P390&amp;"*",보유목록!$I$2:$I$3001,"*"&amp;Q390&amp;"*")&gt;0,"확인필요(연도다름)",IF(COUNTIFS(보유목록!$I$2:$I$3001,"*"&amp;P390&amp;"*",보유목록!$H$2:$H$3001,O390)&gt;0,"확인필요(같은학교·같은연도)","없음")))))</f>
      </c>
      <c r="L390" t="str" s="16">
        <f aca="0">IF(OR(COUNTA(B390:J390)=0,R390&lt;&gt;""),"",COUNTIFS(보유목록!$I$2:$I$3001,"*"&amp;P390&amp;"*",보유목록!$I$2:$I$3001,"*"&amp;Q390&amp;"*"))</f>
      </c>
      <c r="M390" t="str" s="23">
        <f aca="0">IF(OR(COUNTA(B390:J390)=0,R390&lt;&gt;""),"",IFERROR(LOOKUP(2,1/(ISNUMBER(SEARCH(P390,보유목록!$I$2:$I$3001))*ISNUMBER(SEARCH(Q390,보유목록!$I$2:$I$3001))*(보유목록!$H$2:$H$3001=O390)),보유목록!$B$2:$B$3001),IFERROR(LOOKUP(2,1/(ISNUMBER(SEARCH(P390,보유목록!$I$2:$I$3001))*ISNUMBER(SEARCH(Q390,보유목록!$I$2:$I$3001))),보유목록!$B$2:$B$3001),"")))</f>
      </c>
      <c r="N390" s="25"/>
      <c r="O390" t="str">
        <f>IFERROR(IF(AND(LEN(SUBSTITUTE(SUBSTITUTE(SUBSTITUTE(TRIM(C390&amp;""),CHAR(160),"")," ",""),"년",""))=4,VALUE(SUBSTITUTE(SUBSTITUTE(SUBSTITUTE(TRIM(C390&amp;""),CHAR(160),"")," ",""),"년",""))&gt;=1900,VALUE(SUBSTITUTE(SUBSTITUTE(SUBSTITUTE(TRIM(C390&amp;""),CHAR(160),"")," ",""),"년",""))&lt;=2099,TEXT(VALUE(SUBSTITUTE(SUBSTITUTE(SUBSTITUTE(TRIM(C390&amp;""),CHAR(160),"")," ",""),"년","")),"0000")=SUBSTITUTE(SUBSTITUTE(SUBSTITUTE(TRIM(C390&amp;""),CHAR(160),"")," ",""),"년","")),SUBSTITUTE(SUBSTITUTE(SUBSTITUTE(TRIM(C390&amp;""),CHAR(160),"")," ",""),"년",""),""),"")</f>
      </c>
      <c r="P390" t="str">
        <f>SUBSTITUTE(SUBSTITUTE(SUBSTITUTE(SUBSTITUTE(SUBSTITUTE(SUBSTITUTE(SUBSTITUTE(SUBSTITUTE(TRIM(D390&amp;""),CHAR(160),"")," ",""),"초등학교","초"),"중학교","중"),"고등학교","고"),"~","~~"),"*","~*"),"?","~?")</f>
      </c>
      <c r="Q390" t="str">
        <f>SUBSTITUTE(SUBSTITUTE(SUBSTITUTE(SUBSTITUTE(SUBSTITUTE(SUBSTITUTE(SUBSTITUTE(SUBSTITUTE(TRIM(E390&amp;""),CHAR(160),"")," ",""),"초등학교","초"),"중학교","중"),"고등학교","고"),"~","~~"),"*","~*"),"?","~?")</f>
      </c>
      <c r="R390" t="str">
        <f>IF(COUNTA(B390:J390)=0,"",IF(AND(O390&lt;&gt;"",P390&lt;&gt;"",Q390&lt;&gt;""),"","입력누락"))</f>
      </c>
    </row>
    <row r="391" customFormat="false" ht="15" hidden="false" customHeight="false" outlineLevel="0" collapsed="false">
      <c r="A391" t="n" s="19">
        <f aca="0">IF(COUNTA(B391:J391)=0,"",ROW()-1)</f>
      </c>
      <c r="B391" s="24"/>
      <c r="C391" s="25"/>
      <c r="D391" s="8"/>
      <c r="E391" s="8"/>
      <c r="F391" s="26"/>
      <c r="G391" s="24"/>
      <c r="H391" s="25"/>
      <c r="I391" s="25"/>
      <c r="J391" s="26"/>
      <c r="K391" t="str" s="15">
        <f aca="0">IF(COUNTA(B391:J391)=0,"",IF(R391&lt;&gt;"","확인필요(입력누락)",IF(COUNTIFS(보유목록!$I$2:$I$3001,"*"&amp;P391&amp;"*",보유목록!$I$2:$I$3001,"*"&amp;Q391&amp;"*",보유목록!$H$2:$H$3001,O391)&gt;0,"있음",IF(COUNTIFS(보유목록!$I$2:$I$3001,"*"&amp;P391&amp;"*",보유목록!$I$2:$I$3001,"*"&amp;Q391&amp;"*")&gt;0,"확인필요(연도다름)",IF(COUNTIFS(보유목록!$I$2:$I$3001,"*"&amp;P391&amp;"*",보유목록!$H$2:$H$3001,O391)&gt;0,"확인필요(같은학교·같은연도)","없음")))))</f>
      </c>
      <c r="L391" t="str" s="16">
        <f aca="0">IF(OR(COUNTA(B391:J391)=0,R391&lt;&gt;""),"",COUNTIFS(보유목록!$I$2:$I$3001,"*"&amp;P391&amp;"*",보유목록!$I$2:$I$3001,"*"&amp;Q391&amp;"*"))</f>
      </c>
      <c r="M391" t="str" s="23">
        <f aca="0">IF(OR(COUNTA(B391:J391)=0,R391&lt;&gt;""),"",IFERROR(LOOKUP(2,1/(ISNUMBER(SEARCH(P391,보유목록!$I$2:$I$3001))*ISNUMBER(SEARCH(Q391,보유목록!$I$2:$I$3001))*(보유목록!$H$2:$H$3001=O391)),보유목록!$B$2:$B$3001),IFERROR(LOOKUP(2,1/(ISNUMBER(SEARCH(P391,보유목록!$I$2:$I$3001))*ISNUMBER(SEARCH(Q391,보유목록!$I$2:$I$3001))),보유목록!$B$2:$B$3001),"")))</f>
      </c>
      <c r="N391" s="25"/>
      <c r="O391" t="str">
        <f>IFERROR(IF(AND(LEN(SUBSTITUTE(SUBSTITUTE(SUBSTITUTE(TRIM(C391&amp;""),CHAR(160),"")," ",""),"년",""))=4,VALUE(SUBSTITUTE(SUBSTITUTE(SUBSTITUTE(TRIM(C391&amp;""),CHAR(160),"")," ",""),"년",""))&gt;=1900,VALUE(SUBSTITUTE(SUBSTITUTE(SUBSTITUTE(TRIM(C391&amp;""),CHAR(160),"")," ",""),"년",""))&lt;=2099,TEXT(VALUE(SUBSTITUTE(SUBSTITUTE(SUBSTITUTE(TRIM(C391&amp;""),CHAR(160),"")," ",""),"년","")),"0000")=SUBSTITUTE(SUBSTITUTE(SUBSTITUTE(TRIM(C391&amp;""),CHAR(160),"")," ",""),"년","")),SUBSTITUTE(SUBSTITUTE(SUBSTITUTE(TRIM(C391&amp;""),CHAR(160),"")," ",""),"년",""),""),"")</f>
      </c>
      <c r="P391" t="str">
        <f>SUBSTITUTE(SUBSTITUTE(SUBSTITUTE(SUBSTITUTE(SUBSTITUTE(SUBSTITUTE(SUBSTITUTE(SUBSTITUTE(TRIM(D391&amp;""),CHAR(160),"")," ",""),"초등학교","초"),"중학교","중"),"고등학교","고"),"~","~~"),"*","~*"),"?","~?")</f>
      </c>
      <c r="Q391" t="str">
        <f>SUBSTITUTE(SUBSTITUTE(SUBSTITUTE(SUBSTITUTE(SUBSTITUTE(SUBSTITUTE(SUBSTITUTE(SUBSTITUTE(TRIM(E391&amp;""),CHAR(160),"")," ",""),"초등학교","초"),"중학교","중"),"고등학교","고"),"~","~~"),"*","~*"),"?","~?")</f>
      </c>
      <c r="R391" t="str">
        <f>IF(COUNTA(B391:J391)=0,"",IF(AND(O391&lt;&gt;"",P391&lt;&gt;"",Q391&lt;&gt;""),"","입력누락"))</f>
      </c>
    </row>
    <row r="392" customFormat="false" ht="15" hidden="false" customHeight="false" outlineLevel="0" collapsed="false">
      <c r="A392" t="n" s="19">
        <f aca="0">IF(COUNTA(B392:J392)=0,"",ROW()-1)</f>
      </c>
      <c r="B392" s="24"/>
      <c r="C392" s="25"/>
      <c r="D392" s="8"/>
      <c r="E392" s="8"/>
      <c r="F392" s="26"/>
      <c r="G392" s="24"/>
      <c r="H392" s="25"/>
      <c r="I392" s="25"/>
      <c r="J392" s="26"/>
      <c r="K392" t="str" s="15">
        <f aca="0">IF(COUNTA(B392:J392)=0,"",IF(R392&lt;&gt;"","확인필요(입력누락)",IF(COUNTIFS(보유목록!$I$2:$I$3001,"*"&amp;P392&amp;"*",보유목록!$I$2:$I$3001,"*"&amp;Q392&amp;"*",보유목록!$H$2:$H$3001,O392)&gt;0,"있음",IF(COUNTIFS(보유목록!$I$2:$I$3001,"*"&amp;P392&amp;"*",보유목록!$I$2:$I$3001,"*"&amp;Q392&amp;"*")&gt;0,"확인필요(연도다름)",IF(COUNTIFS(보유목록!$I$2:$I$3001,"*"&amp;P392&amp;"*",보유목록!$H$2:$H$3001,O392)&gt;0,"확인필요(같은학교·같은연도)","없음")))))</f>
      </c>
      <c r="L392" t="str" s="16">
        <f aca="0">IF(OR(COUNTA(B392:J392)=0,R392&lt;&gt;""),"",COUNTIFS(보유목록!$I$2:$I$3001,"*"&amp;P392&amp;"*",보유목록!$I$2:$I$3001,"*"&amp;Q392&amp;"*"))</f>
      </c>
      <c r="M392" t="str" s="23">
        <f aca="0">IF(OR(COUNTA(B392:J392)=0,R392&lt;&gt;""),"",IFERROR(LOOKUP(2,1/(ISNUMBER(SEARCH(P392,보유목록!$I$2:$I$3001))*ISNUMBER(SEARCH(Q392,보유목록!$I$2:$I$3001))*(보유목록!$H$2:$H$3001=O392)),보유목록!$B$2:$B$3001),IFERROR(LOOKUP(2,1/(ISNUMBER(SEARCH(P392,보유목록!$I$2:$I$3001))*ISNUMBER(SEARCH(Q392,보유목록!$I$2:$I$3001))),보유목록!$B$2:$B$3001),"")))</f>
      </c>
      <c r="N392" s="25"/>
      <c r="O392" t="str">
        <f>IFERROR(IF(AND(LEN(SUBSTITUTE(SUBSTITUTE(SUBSTITUTE(TRIM(C392&amp;""),CHAR(160),"")," ",""),"년",""))=4,VALUE(SUBSTITUTE(SUBSTITUTE(SUBSTITUTE(TRIM(C392&amp;""),CHAR(160),"")," ",""),"년",""))&gt;=1900,VALUE(SUBSTITUTE(SUBSTITUTE(SUBSTITUTE(TRIM(C392&amp;""),CHAR(160),"")," ",""),"년",""))&lt;=2099,TEXT(VALUE(SUBSTITUTE(SUBSTITUTE(SUBSTITUTE(TRIM(C392&amp;""),CHAR(160),"")," ",""),"년","")),"0000")=SUBSTITUTE(SUBSTITUTE(SUBSTITUTE(TRIM(C392&amp;""),CHAR(160),"")," ",""),"년","")),SUBSTITUTE(SUBSTITUTE(SUBSTITUTE(TRIM(C392&amp;""),CHAR(160),"")," ",""),"년",""),""),"")</f>
      </c>
      <c r="P392" t="str">
        <f>SUBSTITUTE(SUBSTITUTE(SUBSTITUTE(SUBSTITUTE(SUBSTITUTE(SUBSTITUTE(SUBSTITUTE(SUBSTITUTE(TRIM(D392&amp;""),CHAR(160),"")," ",""),"초등학교","초"),"중학교","중"),"고등학교","고"),"~","~~"),"*","~*"),"?","~?")</f>
      </c>
      <c r="Q392" t="str">
        <f>SUBSTITUTE(SUBSTITUTE(SUBSTITUTE(SUBSTITUTE(SUBSTITUTE(SUBSTITUTE(SUBSTITUTE(SUBSTITUTE(TRIM(E392&amp;""),CHAR(160),"")," ",""),"초등학교","초"),"중학교","중"),"고등학교","고"),"~","~~"),"*","~*"),"?","~?")</f>
      </c>
      <c r="R392" t="str">
        <f>IF(COUNTA(B392:J392)=0,"",IF(AND(O392&lt;&gt;"",P392&lt;&gt;"",Q392&lt;&gt;""),"","입력누락"))</f>
      </c>
    </row>
    <row r="393" customFormat="false" ht="15" hidden="false" customHeight="false" outlineLevel="0" collapsed="false">
      <c r="A393" t="n" s="19">
        <f aca="0">IF(COUNTA(B393:J393)=0,"",ROW()-1)</f>
      </c>
      <c r="B393" s="24"/>
      <c r="C393" s="25"/>
      <c r="D393" s="8"/>
      <c r="E393" s="8"/>
      <c r="F393" s="26"/>
      <c r="G393" s="24"/>
      <c r="H393" s="25"/>
      <c r="I393" s="25"/>
      <c r="J393" s="26"/>
      <c r="K393" t="str" s="15">
        <f aca="0">IF(COUNTA(B393:J393)=0,"",IF(R393&lt;&gt;"","확인필요(입력누락)",IF(COUNTIFS(보유목록!$I$2:$I$3001,"*"&amp;P393&amp;"*",보유목록!$I$2:$I$3001,"*"&amp;Q393&amp;"*",보유목록!$H$2:$H$3001,O393)&gt;0,"있음",IF(COUNTIFS(보유목록!$I$2:$I$3001,"*"&amp;P393&amp;"*",보유목록!$I$2:$I$3001,"*"&amp;Q393&amp;"*")&gt;0,"확인필요(연도다름)",IF(COUNTIFS(보유목록!$I$2:$I$3001,"*"&amp;P393&amp;"*",보유목록!$H$2:$H$3001,O393)&gt;0,"확인필요(같은학교·같은연도)","없음")))))</f>
      </c>
      <c r="L393" t="str" s="16">
        <f aca="0">IF(OR(COUNTA(B393:J393)=0,R393&lt;&gt;""),"",COUNTIFS(보유목록!$I$2:$I$3001,"*"&amp;P393&amp;"*",보유목록!$I$2:$I$3001,"*"&amp;Q393&amp;"*"))</f>
      </c>
      <c r="M393" t="str" s="23">
        <f aca="0">IF(OR(COUNTA(B393:J393)=0,R393&lt;&gt;""),"",IFERROR(LOOKUP(2,1/(ISNUMBER(SEARCH(P393,보유목록!$I$2:$I$3001))*ISNUMBER(SEARCH(Q393,보유목록!$I$2:$I$3001))*(보유목록!$H$2:$H$3001=O393)),보유목록!$B$2:$B$3001),IFERROR(LOOKUP(2,1/(ISNUMBER(SEARCH(P393,보유목록!$I$2:$I$3001))*ISNUMBER(SEARCH(Q393,보유목록!$I$2:$I$3001))),보유목록!$B$2:$B$3001),"")))</f>
      </c>
      <c r="N393" s="25"/>
      <c r="O393" t="str">
        <f>IFERROR(IF(AND(LEN(SUBSTITUTE(SUBSTITUTE(SUBSTITUTE(TRIM(C393&amp;""),CHAR(160),"")," ",""),"년",""))=4,VALUE(SUBSTITUTE(SUBSTITUTE(SUBSTITUTE(TRIM(C393&amp;""),CHAR(160),"")," ",""),"년",""))&gt;=1900,VALUE(SUBSTITUTE(SUBSTITUTE(SUBSTITUTE(TRIM(C393&amp;""),CHAR(160),"")," ",""),"년",""))&lt;=2099,TEXT(VALUE(SUBSTITUTE(SUBSTITUTE(SUBSTITUTE(TRIM(C393&amp;""),CHAR(160),"")," ",""),"년","")),"0000")=SUBSTITUTE(SUBSTITUTE(SUBSTITUTE(TRIM(C393&amp;""),CHAR(160),"")," ",""),"년","")),SUBSTITUTE(SUBSTITUTE(SUBSTITUTE(TRIM(C393&amp;""),CHAR(160),"")," ",""),"년",""),""),"")</f>
      </c>
      <c r="P393" t="str">
        <f>SUBSTITUTE(SUBSTITUTE(SUBSTITUTE(SUBSTITUTE(SUBSTITUTE(SUBSTITUTE(SUBSTITUTE(SUBSTITUTE(TRIM(D393&amp;""),CHAR(160),"")," ",""),"초등학교","초"),"중학교","중"),"고등학교","고"),"~","~~"),"*","~*"),"?","~?")</f>
      </c>
      <c r="Q393" t="str">
        <f>SUBSTITUTE(SUBSTITUTE(SUBSTITUTE(SUBSTITUTE(SUBSTITUTE(SUBSTITUTE(SUBSTITUTE(SUBSTITUTE(TRIM(E393&amp;""),CHAR(160),"")," ",""),"초등학교","초"),"중학교","중"),"고등학교","고"),"~","~~"),"*","~*"),"?","~?")</f>
      </c>
      <c r="R393" t="str">
        <f>IF(COUNTA(B393:J393)=0,"",IF(AND(O393&lt;&gt;"",P393&lt;&gt;"",Q393&lt;&gt;""),"","입력누락"))</f>
      </c>
    </row>
    <row r="394" customFormat="false" ht="15" hidden="false" customHeight="false" outlineLevel="0" collapsed="false">
      <c r="A394" t="n" s="19">
        <f aca="0">IF(COUNTA(B394:J394)=0,"",ROW()-1)</f>
      </c>
      <c r="B394" s="24"/>
      <c r="C394" s="25"/>
      <c r="D394" s="8"/>
      <c r="E394" s="8"/>
      <c r="F394" s="26"/>
      <c r="G394" s="24"/>
      <c r="H394" s="25"/>
      <c r="I394" s="25"/>
      <c r="J394" s="26"/>
      <c r="K394" t="str" s="15">
        <f aca="0">IF(COUNTA(B394:J394)=0,"",IF(R394&lt;&gt;"","확인필요(입력누락)",IF(COUNTIFS(보유목록!$I$2:$I$3001,"*"&amp;P394&amp;"*",보유목록!$I$2:$I$3001,"*"&amp;Q394&amp;"*",보유목록!$H$2:$H$3001,O394)&gt;0,"있음",IF(COUNTIFS(보유목록!$I$2:$I$3001,"*"&amp;P394&amp;"*",보유목록!$I$2:$I$3001,"*"&amp;Q394&amp;"*")&gt;0,"확인필요(연도다름)",IF(COUNTIFS(보유목록!$I$2:$I$3001,"*"&amp;P394&amp;"*",보유목록!$H$2:$H$3001,O394)&gt;0,"확인필요(같은학교·같은연도)","없음")))))</f>
      </c>
      <c r="L394" t="str" s="16">
        <f aca="0">IF(OR(COUNTA(B394:J394)=0,R394&lt;&gt;""),"",COUNTIFS(보유목록!$I$2:$I$3001,"*"&amp;P394&amp;"*",보유목록!$I$2:$I$3001,"*"&amp;Q394&amp;"*"))</f>
      </c>
      <c r="M394" t="str" s="23">
        <f aca="0">IF(OR(COUNTA(B394:J394)=0,R394&lt;&gt;""),"",IFERROR(LOOKUP(2,1/(ISNUMBER(SEARCH(P394,보유목록!$I$2:$I$3001))*ISNUMBER(SEARCH(Q394,보유목록!$I$2:$I$3001))*(보유목록!$H$2:$H$3001=O394)),보유목록!$B$2:$B$3001),IFERROR(LOOKUP(2,1/(ISNUMBER(SEARCH(P394,보유목록!$I$2:$I$3001))*ISNUMBER(SEARCH(Q394,보유목록!$I$2:$I$3001))),보유목록!$B$2:$B$3001),"")))</f>
      </c>
      <c r="N394" s="25"/>
      <c r="O394" t="str">
        <f>IFERROR(IF(AND(LEN(SUBSTITUTE(SUBSTITUTE(SUBSTITUTE(TRIM(C394&amp;""),CHAR(160),"")," ",""),"년",""))=4,VALUE(SUBSTITUTE(SUBSTITUTE(SUBSTITUTE(TRIM(C394&amp;""),CHAR(160),"")," ",""),"년",""))&gt;=1900,VALUE(SUBSTITUTE(SUBSTITUTE(SUBSTITUTE(TRIM(C394&amp;""),CHAR(160),"")," ",""),"년",""))&lt;=2099,TEXT(VALUE(SUBSTITUTE(SUBSTITUTE(SUBSTITUTE(TRIM(C394&amp;""),CHAR(160),"")," ",""),"년","")),"0000")=SUBSTITUTE(SUBSTITUTE(SUBSTITUTE(TRIM(C394&amp;""),CHAR(160),"")," ",""),"년","")),SUBSTITUTE(SUBSTITUTE(SUBSTITUTE(TRIM(C394&amp;""),CHAR(160),"")," ",""),"년",""),""),"")</f>
      </c>
      <c r="P394" t="str">
        <f>SUBSTITUTE(SUBSTITUTE(SUBSTITUTE(SUBSTITUTE(SUBSTITUTE(SUBSTITUTE(SUBSTITUTE(SUBSTITUTE(TRIM(D394&amp;""),CHAR(160),"")," ",""),"초등학교","초"),"중학교","중"),"고등학교","고"),"~","~~"),"*","~*"),"?","~?")</f>
      </c>
      <c r="Q394" t="str">
        <f>SUBSTITUTE(SUBSTITUTE(SUBSTITUTE(SUBSTITUTE(SUBSTITUTE(SUBSTITUTE(SUBSTITUTE(SUBSTITUTE(TRIM(E394&amp;""),CHAR(160),"")," ",""),"초등학교","초"),"중학교","중"),"고등학교","고"),"~","~~"),"*","~*"),"?","~?")</f>
      </c>
      <c r="R394" t="str">
        <f>IF(COUNTA(B394:J394)=0,"",IF(AND(O394&lt;&gt;"",P394&lt;&gt;"",Q394&lt;&gt;""),"","입력누락"))</f>
      </c>
    </row>
    <row r="395" customFormat="false" ht="15" hidden="false" customHeight="false" outlineLevel="0" collapsed="false">
      <c r="A395" t="n" s="19">
        <f aca="0">IF(COUNTA(B395:J395)=0,"",ROW()-1)</f>
      </c>
      <c r="B395" s="24"/>
      <c r="C395" s="25"/>
      <c r="D395" s="8"/>
      <c r="E395" s="8"/>
      <c r="F395" s="26"/>
      <c r="G395" s="24"/>
      <c r="H395" s="25"/>
      <c r="I395" s="25"/>
      <c r="J395" s="26"/>
      <c r="K395" t="str" s="15">
        <f aca="0">IF(COUNTA(B395:J395)=0,"",IF(R395&lt;&gt;"","확인필요(입력누락)",IF(COUNTIFS(보유목록!$I$2:$I$3001,"*"&amp;P395&amp;"*",보유목록!$I$2:$I$3001,"*"&amp;Q395&amp;"*",보유목록!$H$2:$H$3001,O395)&gt;0,"있음",IF(COUNTIFS(보유목록!$I$2:$I$3001,"*"&amp;P395&amp;"*",보유목록!$I$2:$I$3001,"*"&amp;Q395&amp;"*")&gt;0,"확인필요(연도다름)",IF(COUNTIFS(보유목록!$I$2:$I$3001,"*"&amp;P395&amp;"*",보유목록!$H$2:$H$3001,O395)&gt;0,"확인필요(같은학교·같은연도)","없음")))))</f>
      </c>
      <c r="L395" t="str" s="16">
        <f aca="0">IF(OR(COUNTA(B395:J395)=0,R395&lt;&gt;""),"",COUNTIFS(보유목록!$I$2:$I$3001,"*"&amp;P395&amp;"*",보유목록!$I$2:$I$3001,"*"&amp;Q395&amp;"*"))</f>
      </c>
      <c r="M395" t="str" s="23">
        <f aca="0">IF(OR(COUNTA(B395:J395)=0,R395&lt;&gt;""),"",IFERROR(LOOKUP(2,1/(ISNUMBER(SEARCH(P395,보유목록!$I$2:$I$3001))*ISNUMBER(SEARCH(Q395,보유목록!$I$2:$I$3001))*(보유목록!$H$2:$H$3001=O395)),보유목록!$B$2:$B$3001),IFERROR(LOOKUP(2,1/(ISNUMBER(SEARCH(P395,보유목록!$I$2:$I$3001))*ISNUMBER(SEARCH(Q395,보유목록!$I$2:$I$3001))),보유목록!$B$2:$B$3001),"")))</f>
      </c>
      <c r="N395" s="25"/>
      <c r="O395" t="str">
        <f>IFERROR(IF(AND(LEN(SUBSTITUTE(SUBSTITUTE(SUBSTITUTE(TRIM(C395&amp;""),CHAR(160),"")," ",""),"년",""))=4,VALUE(SUBSTITUTE(SUBSTITUTE(SUBSTITUTE(TRIM(C395&amp;""),CHAR(160),"")," ",""),"년",""))&gt;=1900,VALUE(SUBSTITUTE(SUBSTITUTE(SUBSTITUTE(TRIM(C395&amp;""),CHAR(160),"")," ",""),"년",""))&lt;=2099,TEXT(VALUE(SUBSTITUTE(SUBSTITUTE(SUBSTITUTE(TRIM(C395&amp;""),CHAR(160),"")," ",""),"년","")),"0000")=SUBSTITUTE(SUBSTITUTE(SUBSTITUTE(TRIM(C395&amp;""),CHAR(160),"")," ",""),"년","")),SUBSTITUTE(SUBSTITUTE(SUBSTITUTE(TRIM(C395&amp;""),CHAR(160),"")," ",""),"년",""),""),"")</f>
      </c>
      <c r="P395" t="str">
        <f>SUBSTITUTE(SUBSTITUTE(SUBSTITUTE(SUBSTITUTE(SUBSTITUTE(SUBSTITUTE(SUBSTITUTE(SUBSTITUTE(TRIM(D395&amp;""),CHAR(160),"")," ",""),"초등학교","초"),"중학교","중"),"고등학교","고"),"~","~~"),"*","~*"),"?","~?")</f>
      </c>
      <c r="Q395" t="str">
        <f>SUBSTITUTE(SUBSTITUTE(SUBSTITUTE(SUBSTITUTE(SUBSTITUTE(SUBSTITUTE(SUBSTITUTE(SUBSTITUTE(TRIM(E395&amp;""),CHAR(160),"")," ",""),"초등학교","초"),"중학교","중"),"고등학교","고"),"~","~~"),"*","~*"),"?","~?")</f>
      </c>
      <c r="R395" t="str">
        <f>IF(COUNTA(B395:J395)=0,"",IF(AND(O395&lt;&gt;"",P395&lt;&gt;"",Q395&lt;&gt;""),"","입력누락"))</f>
      </c>
    </row>
    <row r="396" customFormat="false" ht="15" hidden="false" customHeight="false" outlineLevel="0" collapsed="false">
      <c r="A396" t="n" s="19">
        <f aca="0">IF(COUNTA(B396:J396)=0,"",ROW()-1)</f>
      </c>
      <c r="B396" s="24"/>
      <c r="C396" s="25"/>
      <c r="D396" s="8"/>
      <c r="E396" s="8"/>
      <c r="F396" s="26"/>
      <c r="G396" s="24"/>
      <c r="H396" s="25"/>
      <c r="I396" s="25"/>
      <c r="J396" s="26"/>
      <c r="K396" t="str" s="15">
        <f aca="0">IF(COUNTA(B396:J396)=0,"",IF(R396&lt;&gt;"","확인필요(입력누락)",IF(COUNTIFS(보유목록!$I$2:$I$3001,"*"&amp;P396&amp;"*",보유목록!$I$2:$I$3001,"*"&amp;Q396&amp;"*",보유목록!$H$2:$H$3001,O396)&gt;0,"있음",IF(COUNTIFS(보유목록!$I$2:$I$3001,"*"&amp;P396&amp;"*",보유목록!$I$2:$I$3001,"*"&amp;Q396&amp;"*")&gt;0,"확인필요(연도다름)",IF(COUNTIFS(보유목록!$I$2:$I$3001,"*"&amp;P396&amp;"*",보유목록!$H$2:$H$3001,O396)&gt;0,"확인필요(같은학교·같은연도)","없음")))))</f>
      </c>
      <c r="L396" t="str" s="16">
        <f aca="0">IF(OR(COUNTA(B396:J396)=0,R396&lt;&gt;""),"",COUNTIFS(보유목록!$I$2:$I$3001,"*"&amp;P396&amp;"*",보유목록!$I$2:$I$3001,"*"&amp;Q396&amp;"*"))</f>
      </c>
      <c r="M396" t="str" s="23">
        <f aca="0">IF(OR(COUNTA(B396:J396)=0,R396&lt;&gt;""),"",IFERROR(LOOKUP(2,1/(ISNUMBER(SEARCH(P396,보유목록!$I$2:$I$3001))*ISNUMBER(SEARCH(Q396,보유목록!$I$2:$I$3001))*(보유목록!$H$2:$H$3001=O396)),보유목록!$B$2:$B$3001),IFERROR(LOOKUP(2,1/(ISNUMBER(SEARCH(P396,보유목록!$I$2:$I$3001))*ISNUMBER(SEARCH(Q396,보유목록!$I$2:$I$3001))),보유목록!$B$2:$B$3001),"")))</f>
      </c>
      <c r="N396" s="25"/>
      <c r="O396" t="str">
        <f>IFERROR(IF(AND(LEN(SUBSTITUTE(SUBSTITUTE(SUBSTITUTE(TRIM(C396&amp;""),CHAR(160),"")," ",""),"년",""))=4,VALUE(SUBSTITUTE(SUBSTITUTE(SUBSTITUTE(TRIM(C396&amp;""),CHAR(160),"")," ",""),"년",""))&gt;=1900,VALUE(SUBSTITUTE(SUBSTITUTE(SUBSTITUTE(TRIM(C396&amp;""),CHAR(160),"")," ",""),"년",""))&lt;=2099,TEXT(VALUE(SUBSTITUTE(SUBSTITUTE(SUBSTITUTE(TRIM(C396&amp;""),CHAR(160),"")," ",""),"년","")),"0000")=SUBSTITUTE(SUBSTITUTE(SUBSTITUTE(TRIM(C396&amp;""),CHAR(160),"")," ",""),"년","")),SUBSTITUTE(SUBSTITUTE(SUBSTITUTE(TRIM(C396&amp;""),CHAR(160),"")," ",""),"년",""),""),"")</f>
      </c>
      <c r="P396" t="str">
        <f>SUBSTITUTE(SUBSTITUTE(SUBSTITUTE(SUBSTITUTE(SUBSTITUTE(SUBSTITUTE(SUBSTITUTE(SUBSTITUTE(TRIM(D396&amp;""),CHAR(160),"")," ",""),"초등학교","초"),"중학교","중"),"고등학교","고"),"~","~~"),"*","~*"),"?","~?")</f>
      </c>
      <c r="Q396" t="str">
        <f>SUBSTITUTE(SUBSTITUTE(SUBSTITUTE(SUBSTITUTE(SUBSTITUTE(SUBSTITUTE(SUBSTITUTE(SUBSTITUTE(TRIM(E396&amp;""),CHAR(160),"")," ",""),"초등학교","초"),"중학교","중"),"고등학교","고"),"~","~~"),"*","~*"),"?","~?")</f>
      </c>
      <c r="R396" t="str">
        <f>IF(COUNTA(B396:J396)=0,"",IF(AND(O396&lt;&gt;"",P396&lt;&gt;"",Q396&lt;&gt;""),"","입력누락"))</f>
      </c>
    </row>
    <row r="397" customFormat="false" ht="15" hidden="false" customHeight="false" outlineLevel="0" collapsed="false">
      <c r="A397" t="n" s="19">
        <f aca="0">IF(COUNTA(B397:J397)=0,"",ROW()-1)</f>
      </c>
      <c r="B397" s="24"/>
      <c r="C397" s="25"/>
      <c r="D397" s="8"/>
      <c r="E397" s="8"/>
      <c r="F397" s="26"/>
      <c r="G397" s="24"/>
      <c r="H397" s="25"/>
      <c r="I397" s="25"/>
      <c r="J397" s="26"/>
      <c r="K397" t="str" s="15">
        <f aca="0">IF(COUNTA(B397:J397)=0,"",IF(R397&lt;&gt;"","확인필요(입력누락)",IF(COUNTIFS(보유목록!$I$2:$I$3001,"*"&amp;P397&amp;"*",보유목록!$I$2:$I$3001,"*"&amp;Q397&amp;"*",보유목록!$H$2:$H$3001,O397)&gt;0,"있음",IF(COUNTIFS(보유목록!$I$2:$I$3001,"*"&amp;P397&amp;"*",보유목록!$I$2:$I$3001,"*"&amp;Q397&amp;"*")&gt;0,"확인필요(연도다름)",IF(COUNTIFS(보유목록!$I$2:$I$3001,"*"&amp;P397&amp;"*",보유목록!$H$2:$H$3001,O397)&gt;0,"확인필요(같은학교·같은연도)","없음")))))</f>
      </c>
      <c r="L397" t="str" s="16">
        <f aca="0">IF(OR(COUNTA(B397:J397)=0,R397&lt;&gt;""),"",COUNTIFS(보유목록!$I$2:$I$3001,"*"&amp;P397&amp;"*",보유목록!$I$2:$I$3001,"*"&amp;Q397&amp;"*"))</f>
      </c>
      <c r="M397" t="str" s="23">
        <f aca="0">IF(OR(COUNTA(B397:J397)=0,R397&lt;&gt;""),"",IFERROR(LOOKUP(2,1/(ISNUMBER(SEARCH(P397,보유목록!$I$2:$I$3001))*ISNUMBER(SEARCH(Q397,보유목록!$I$2:$I$3001))*(보유목록!$H$2:$H$3001=O397)),보유목록!$B$2:$B$3001),IFERROR(LOOKUP(2,1/(ISNUMBER(SEARCH(P397,보유목록!$I$2:$I$3001))*ISNUMBER(SEARCH(Q397,보유목록!$I$2:$I$3001))),보유목록!$B$2:$B$3001),"")))</f>
      </c>
      <c r="N397" s="25"/>
      <c r="O397" t="str">
        <f>IFERROR(IF(AND(LEN(SUBSTITUTE(SUBSTITUTE(SUBSTITUTE(TRIM(C397&amp;""),CHAR(160),"")," ",""),"년",""))=4,VALUE(SUBSTITUTE(SUBSTITUTE(SUBSTITUTE(TRIM(C397&amp;""),CHAR(160),"")," ",""),"년",""))&gt;=1900,VALUE(SUBSTITUTE(SUBSTITUTE(SUBSTITUTE(TRIM(C397&amp;""),CHAR(160),"")," ",""),"년",""))&lt;=2099,TEXT(VALUE(SUBSTITUTE(SUBSTITUTE(SUBSTITUTE(TRIM(C397&amp;""),CHAR(160),"")," ",""),"년","")),"0000")=SUBSTITUTE(SUBSTITUTE(SUBSTITUTE(TRIM(C397&amp;""),CHAR(160),"")," ",""),"년","")),SUBSTITUTE(SUBSTITUTE(SUBSTITUTE(TRIM(C397&amp;""),CHAR(160),"")," ",""),"년",""),""),"")</f>
      </c>
      <c r="P397" t="str">
        <f>SUBSTITUTE(SUBSTITUTE(SUBSTITUTE(SUBSTITUTE(SUBSTITUTE(SUBSTITUTE(SUBSTITUTE(SUBSTITUTE(TRIM(D397&amp;""),CHAR(160),"")," ",""),"초등학교","초"),"중학교","중"),"고등학교","고"),"~","~~"),"*","~*"),"?","~?")</f>
      </c>
      <c r="Q397" t="str">
        <f>SUBSTITUTE(SUBSTITUTE(SUBSTITUTE(SUBSTITUTE(SUBSTITUTE(SUBSTITUTE(SUBSTITUTE(SUBSTITUTE(TRIM(E397&amp;""),CHAR(160),"")," ",""),"초등학교","초"),"중학교","중"),"고등학교","고"),"~","~~"),"*","~*"),"?","~?")</f>
      </c>
      <c r="R397" t="str">
        <f>IF(COUNTA(B397:J397)=0,"",IF(AND(O397&lt;&gt;"",P397&lt;&gt;"",Q397&lt;&gt;""),"","입력누락"))</f>
      </c>
    </row>
    <row r="398" customFormat="false" ht="15" hidden="false" customHeight="false" outlineLevel="0" collapsed="false">
      <c r="A398" t="n" s="19">
        <f aca="0">IF(COUNTA(B398:J398)=0,"",ROW()-1)</f>
      </c>
      <c r="B398" s="24"/>
      <c r="C398" s="25"/>
      <c r="D398" s="8"/>
      <c r="E398" s="8"/>
      <c r="F398" s="26"/>
      <c r="G398" s="24"/>
      <c r="H398" s="25"/>
      <c r="I398" s="25"/>
      <c r="J398" s="26"/>
      <c r="K398" t="str" s="15">
        <f aca="0">IF(COUNTA(B398:J398)=0,"",IF(R398&lt;&gt;"","확인필요(입력누락)",IF(COUNTIFS(보유목록!$I$2:$I$3001,"*"&amp;P398&amp;"*",보유목록!$I$2:$I$3001,"*"&amp;Q398&amp;"*",보유목록!$H$2:$H$3001,O398)&gt;0,"있음",IF(COUNTIFS(보유목록!$I$2:$I$3001,"*"&amp;P398&amp;"*",보유목록!$I$2:$I$3001,"*"&amp;Q398&amp;"*")&gt;0,"확인필요(연도다름)",IF(COUNTIFS(보유목록!$I$2:$I$3001,"*"&amp;P398&amp;"*",보유목록!$H$2:$H$3001,O398)&gt;0,"확인필요(같은학교·같은연도)","없음")))))</f>
      </c>
      <c r="L398" t="str" s="16">
        <f aca="0">IF(OR(COUNTA(B398:J398)=0,R398&lt;&gt;""),"",COUNTIFS(보유목록!$I$2:$I$3001,"*"&amp;P398&amp;"*",보유목록!$I$2:$I$3001,"*"&amp;Q398&amp;"*"))</f>
      </c>
      <c r="M398" t="str" s="23">
        <f aca="0">IF(OR(COUNTA(B398:J398)=0,R398&lt;&gt;""),"",IFERROR(LOOKUP(2,1/(ISNUMBER(SEARCH(P398,보유목록!$I$2:$I$3001))*ISNUMBER(SEARCH(Q398,보유목록!$I$2:$I$3001))*(보유목록!$H$2:$H$3001=O398)),보유목록!$B$2:$B$3001),IFERROR(LOOKUP(2,1/(ISNUMBER(SEARCH(P398,보유목록!$I$2:$I$3001))*ISNUMBER(SEARCH(Q398,보유목록!$I$2:$I$3001))),보유목록!$B$2:$B$3001),"")))</f>
      </c>
      <c r="N398" s="25"/>
      <c r="O398" t="str">
        <f>IFERROR(IF(AND(LEN(SUBSTITUTE(SUBSTITUTE(SUBSTITUTE(TRIM(C398&amp;""),CHAR(160),"")," ",""),"년",""))=4,VALUE(SUBSTITUTE(SUBSTITUTE(SUBSTITUTE(TRIM(C398&amp;""),CHAR(160),"")," ",""),"년",""))&gt;=1900,VALUE(SUBSTITUTE(SUBSTITUTE(SUBSTITUTE(TRIM(C398&amp;""),CHAR(160),"")," ",""),"년",""))&lt;=2099,TEXT(VALUE(SUBSTITUTE(SUBSTITUTE(SUBSTITUTE(TRIM(C398&amp;""),CHAR(160),"")," ",""),"년","")),"0000")=SUBSTITUTE(SUBSTITUTE(SUBSTITUTE(TRIM(C398&amp;""),CHAR(160),"")," ",""),"년","")),SUBSTITUTE(SUBSTITUTE(SUBSTITUTE(TRIM(C398&amp;""),CHAR(160),"")," ",""),"년",""),""),"")</f>
      </c>
      <c r="P398" t="str">
        <f>SUBSTITUTE(SUBSTITUTE(SUBSTITUTE(SUBSTITUTE(SUBSTITUTE(SUBSTITUTE(SUBSTITUTE(SUBSTITUTE(TRIM(D398&amp;""),CHAR(160),"")," ",""),"초등학교","초"),"중학교","중"),"고등학교","고"),"~","~~"),"*","~*"),"?","~?")</f>
      </c>
      <c r="Q398" t="str">
        <f>SUBSTITUTE(SUBSTITUTE(SUBSTITUTE(SUBSTITUTE(SUBSTITUTE(SUBSTITUTE(SUBSTITUTE(SUBSTITUTE(TRIM(E398&amp;""),CHAR(160),"")," ",""),"초등학교","초"),"중학교","중"),"고등학교","고"),"~","~~"),"*","~*"),"?","~?")</f>
      </c>
      <c r="R398" t="str">
        <f>IF(COUNTA(B398:J398)=0,"",IF(AND(O398&lt;&gt;"",P398&lt;&gt;"",Q398&lt;&gt;""),"","입력누락"))</f>
      </c>
    </row>
    <row r="399" customFormat="false" ht="15" hidden="false" customHeight="false" outlineLevel="0" collapsed="false">
      <c r="A399" t="n" s="19">
        <f aca="0">IF(COUNTA(B399:J399)=0,"",ROW()-1)</f>
      </c>
      <c r="B399" s="24"/>
      <c r="C399" s="25"/>
      <c r="D399" s="8"/>
      <c r="E399" s="8"/>
      <c r="F399" s="26"/>
      <c r="G399" s="24"/>
      <c r="H399" s="25"/>
      <c r="I399" s="25"/>
      <c r="J399" s="26"/>
      <c r="K399" t="str" s="15">
        <f aca="0">IF(COUNTA(B399:J399)=0,"",IF(R399&lt;&gt;"","확인필요(입력누락)",IF(COUNTIFS(보유목록!$I$2:$I$3001,"*"&amp;P399&amp;"*",보유목록!$I$2:$I$3001,"*"&amp;Q399&amp;"*",보유목록!$H$2:$H$3001,O399)&gt;0,"있음",IF(COUNTIFS(보유목록!$I$2:$I$3001,"*"&amp;P399&amp;"*",보유목록!$I$2:$I$3001,"*"&amp;Q399&amp;"*")&gt;0,"확인필요(연도다름)",IF(COUNTIFS(보유목록!$I$2:$I$3001,"*"&amp;P399&amp;"*",보유목록!$H$2:$H$3001,O399)&gt;0,"확인필요(같은학교·같은연도)","없음")))))</f>
      </c>
      <c r="L399" t="str" s="16">
        <f aca="0">IF(OR(COUNTA(B399:J399)=0,R399&lt;&gt;""),"",COUNTIFS(보유목록!$I$2:$I$3001,"*"&amp;P399&amp;"*",보유목록!$I$2:$I$3001,"*"&amp;Q399&amp;"*"))</f>
      </c>
      <c r="M399" t="str" s="23">
        <f aca="0">IF(OR(COUNTA(B399:J399)=0,R399&lt;&gt;""),"",IFERROR(LOOKUP(2,1/(ISNUMBER(SEARCH(P399,보유목록!$I$2:$I$3001))*ISNUMBER(SEARCH(Q399,보유목록!$I$2:$I$3001))*(보유목록!$H$2:$H$3001=O399)),보유목록!$B$2:$B$3001),IFERROR(LOOKUP(2,1/(ISNUMBER(SEARCH(P399,보유목록!$I$2:$I$3001))*ISNUMBER(SEARCH(Q399,보유목록!$I$2:$I$3001))),보유목록!$B$2:$B$3001),"")))</f>
      </c>
      <c r="N399" s="25"/>
      <c r="O399" t="str">
        <f>IFERROR(IF(AND(LEN(SUBSTITUTE(SUBSTITUTE(SUBSTITUTE(TRIM(C399&amp;""),CHAR(160),"")," ",""),"년",""))=4,VALUE(SUBSTITUTE(SUBSTITUTE(SUBSTITUTE(TRIM(C399&amp;""),CHAR(160),"")," ",""),"년",""))&gt;=1900,VALUE(SUBSTITUTE(SUBSTITUTE(SUBSTITUTE(TRIM(C399&amp;""),CHAR(160),"")," ",""),"년",""))&lt;=2099,TEXT(VALUE(SUBSTITUTE(SUBSTITUTE(SUBSTITUTE(TRIM(C399&amp;""),CHAR(160),"")," ",""),"년","")),"0000")=SUBSTITUTE(SUBSTITUTE(SUBSTITUTE(TRIM(C399&amp;""),CHAR(160),"")," ",""),"년","")),SUBSTITUTE(SUBSTITUTE(SUBSTITUTE(TRIM(C399&amp;""),CHAR(160),"")," ",""),"년",""),""),"")</f>
      </c>
      <c r="P399" t="str">
        <f>SUBSTITUTE(SUBSTITUTE(SUBSTITUTE(SUBSTITUTE(SUBSTITUTE(SUBSTITUTE(SUBSTITUTE(SUBSTITUTE(TRIM(D399&amp;""),CHAR(160),"")," ",""),"초등학교","초"),"중학교","중"),"고등학교","고"),"~","~~"),"*","~*"),"?","~?")</f>
      </c>
      <c r="Q399" t="str">
        <f>SUBSTITUTE(SUBSTITUTE(SUBSTITUTE(SUBSTITUTE(SUBSTITUTE(SUBSTITUTE(SUBSTITUTE(SUBSTITUTE(TRIM(E399&amp;""),CHAR(160),"")," ",""),"초등학교","초"),"중학교","중"),"고등학교","고"),"~","~~"),"*","~*"),"?","~?")</f>
      </c>
      <c r="R399" t="str">
        <f>IF(COUNTA(B399:J399)=0,"",IF(AND(O399&lt;&gt;"",P399&lt;&gt;"",Q399&lt;&gt;""),"","입력누락"))</f>
      </c>
    </row>
    <row r="400" customFormat="false" ht="15" hidden="false" customHeight="false" outlineLevel="0" collapsed="false">
      <c r="A400" t="n" s="19">
        <f aca="0">IF(COUNTA(B400:J400)=0,"",ROW()-1)</f>
      </c>
      <c r="B400" s="24"/>
      <c r="C400" s="25"/>
      <c r="D400" s="8"/>
      <c r="E400" s="8"/>
      <c r="F400" s="26"/>
      <c r="G400" s="24"/>
      <c r="H400" s="25"/>
      <c r="I400" s="25"/>
      <c r="J400" s="26"/>
      <c r="K400" t="str" s="15">
        <f aca="0">IF(COUNTA(B400:J400)=0,"",IF(R400&lt;&gt;"","확인필요(입력누락)",IF(COUNTIFS(보유목록!$I$2:$I$3001,"*"&amp;P400&amp;"*",보유목록!$I$2:$I$3001,"*"&amp;Q400&amp;"*",보유목록!$H$2:$H$3001,O400)&gt;0,"있음",IF(COUNTIFS(보유목록!$I$2:$I$3001,"*"&amp;P400&amp;"*",보유목록!$I$2:$I$3001,"*"&amp;Q400&amp;"*")&gt;0,"확인필요(연도다름)",IF(COUNTIFS(보유목록!$I$2:$I$3001,"*"&amp;P400&amp;"*",보유목록!$H$2:$H$3001,O400)&gt;0,"확인필요(같은학교·같은연도)","없음")))))</f>
      </c>
      <c r="L400" t="str" s="16">
        <f aca="0">IF(OR(COUNTA(B400:J400)=0,R400&lt;&gt;""),"",COUNTIFS(보유목록!$I$2:$I$3001,"*"&amp;P400&amp;"*",보유목록!$I$2:$I$3001,"*"&amp;Q400&amp;"*"))</f>
      </c>
      <c r="M400" t="str" s="23">
        <f aca="0">IF(OR(COUNTA(B400:J400)=0,R400&lt;&gt;""),"",IFERROR(LOOKUP(2,1/(ISNUMBER(SEARCH(P400,보유목록!$I$2:$I$3001))*ISNUMBER(SEARCH(Q400,보유목록!$I$2:$I$3001))*(보유목록!$H$2:$H$3001=O400)),보유목록!$B$2:$B$3001),IFERROR(LOOKUP(2,1/(ISNUMBER(SEARCH(P400,보유목록!$I$2:$I$3001))*ISNUMBER(SEARCH(Q400,보유목록!$I$2:$I$3001))),보유목록!$B$2:$B$3001),"")))</f>
      </c>
      <c r="N400" s="25"/>
      <c r="O400" t="str">
        <f>IFERROR(IF(AND(LEN(SUBSTITUTE(SUBSTITUTE(SUBSTITUTE(TRIM(C400&amp;""),CHAR(160),"")," ",""),"년",""))=4,VALUE(SUBSTITUTE(SUBSTITUTE(SUBSTITUTE(TRIM(C400&amp;""),CHAR(160),"")," ",""),"년",""))&gt;=1900,VALUE(SUBSTITUTE(SUBSTITUTE(SUBSTITUTE(TRIM(C400&amp;""),CHAR(160),"")," ",""),"년",""))&lt;=2099,TEXT(VALUE(SUBSTITUTE(SUBSTITUTE(SUBSTITUTE(TRIM(C400&amp;""),CHAR(160),"")," ",""),"년","")),"0000")=SUBSTITUTE(SUBSTITUTE(SUBSTITUTE(TRIM(C400&amp;""),CHAR(160),"")," ",""),"년","")),SUBSTITUTE(SUBSTITUTE(SUBSTITUTE(TRIM(C400&amp;""),CHAR(160),"")," ",""),"년",""),""),"")</f>
      </c>
      <c r="P400" t="str">
        <f>SUBSTITUTE(SUBSTITUTE(SUBSTITUTE(SUBSTITUTE(SUBSTITUTE(SUBSTITUTE(SUBSTITUTE(SUBSTITUTE(TRIM(D400&amp;""),CHAR(160),"")," ",""),"초등학교","초"),"중학교","중"),"고등학교","고"),"~","~~"),"*","~*"),"?","~?")</f>
      </c>
      <c r="Q400" t="str">
        <f>SUBSTITUTE(SUBSTITUTE(SUBSTITUTE(SUBSTITUTE(SUBSTITUTE(SUBSTITUTE(SUBSTITUTE(SUBSTITUTE(TRIM(E400&amp;""),CHAR(160),"")," ",""),"초등학교","초"),"중학교","중"),"고등학교","고"),"~","~~"),"*","~*"),"?","~?")</f>
      </c>
      <c r="R400" t="str">
        <f>IF(COUNTA(B400:J400)=0,"",IF(AND(O400&lt;&gt;"",P400&lt;&gt;"",Q400&lt;&gt;""),"","입력누락"))</f>
      </c>
    </row>
    <row r="401" customFormat="false" ht="15" hidden="false" customHeight="false" outlineLevel="0" collapsed="false">
      <c r="A401" t="n" s="19">
        <f aca="0">IF(COUNTA(B401:J401)=0,"",ROW()-1)</f>
      </c>
      <c r="B401" s="24"/>
      <c r="C401" s="25"/>
      <c r="D401" s="8"/>
      <c r="E401" s="8"/>
      <c r="F401" s="26"/>
      <c r="G401" s="24"/>
      <c r="H401" s="25"/>
      <c r="I401" s="25"/>
      <c r="J401" s="26"/>
      <c r="K401" t="str" s="15">
        <f aca="0">IF(COUNTA(B401:J401)=0,"",IF(R401&lt;&gt;"","확인필요(입력누락)",IF(COUNTIFS(보유목록!$I$2:$I$3001,"*"&amp;P401&amp;"*",보유목록!$I$2:$I$3001,"*"&amp;Q401&amp;"*",보유목록!$H$2:$H$3001,O401)&gt;0,"있음",IF(COUNTIFS(보유목록!$I$2:$I$3001,"*"&amp;P401&amp;"*",보유목록!$I$2:$I$3001,"*"&amp;Q401&amp;"*")&gt;0,"확인필요(연도다름)",IF(COUNTIFS(보유목록!$I$2:$I$3001,"*"&amp;P401&amp;"*",보유목록!$H$2:$H$3001,O401)&gt;0,"확인필요(같은학교·같은연도)","없음")))))</f>
      </c>
      <c r="L401" t="str" s="16">
        <f aca="0">IF(OR(COUNTA(B401:J401)=0,R401&lt;&gt;""),"",COUNTIFS(보유목록!$I$2:$I$3001,"*"&amp;P401&amp;"*",보유목록!$I$2:$I$3001,"*"&amp;Q401&amp;"*"))</f>
      </c>
      <c r="M401" t="str" s="23">
        <f aca="0">IF(OR(COUNTA(B401:J401)=0,R401&lt;&gt;""),"",IFERROR(LOOKUP(2,1/(ISNUMBER(SEARCH(P401,보유목록!$I$2:$I$3001))*ISNUMBER(SEARCH(Q401,보유목록!$I$2:$I$3001))*(보유목록!$H$2:$H$3001=O401)),보유목록!$B$2:$B$3001),IFERROR(LOOKUP(2,1/(ISNUMBER(SEARCH(P401,보유목록!$I$2:$I$3001))*ISNUMBER(SEARCH(Q401,보유목록!$I$2:$I$3001))),보유목록!$B$2:$B$3001),"")))</f>
      </c>
      <c r="N401" s="25"/>
      <c r="O401" t="str">
        <f>IFERROR(IF(AND(LEN(SUBSTITUTE(SUBSTITUTE(SUBSTITUTE(TRIM(C401&amp;""),CHAR(160),"")," ",""),"년",""))=4,VALUE(SUBSTITUTE(SUBSTITUTE(SUBSTITUTE(TRIM(C401&amp;""),CHAR(160),"")," ",""),"년",""))&gt;=1900,VALUE(SUBSTITUTE(SUBSTITUTE(SUBSTITUTE(TRIM(C401&amp;""),CHAR(160),"")," ",""),"년",""))&lt;=2099,TEXT(VALUE(SUBSTITUTE(SUBSTITUTE(SUBSTITUTE(TRIM(C401&amp;""),CHAR(160),"")," ",""),"년","")),"0000")=SUBSTITUTE(SUBSTITUTE(SUBSTITUTE(TRIM(C401&amp;""),CHAR(160),"")," ",""),"년","")),SUBSTITUTE(SUBSTITUTE(SUBSTITUTE(TRIM(C401&amp;""),CHAR(160),"")," ",""),"년",""),""),"")</f>
      </c>
      <c r="P401" t="str">
        <f>SUBSTITUTE(SUBSTITUTE(SUBSTITUTE(SUBSTITUTE(SUBSTITUTE(SUBSTITUTE(SUBSTITUTE(SUBSTITUTE(TRIM(D401&amp;""),CHAR(160),"")," ",""),"초등학교","초"),"중학교","중"),"고등학교","고"),"~","~~"),"*","~*"),"?","~?")</f>
      </c>
      <c r="Q401" t="str">
        <f>SUBSTITUTE(SUBSTITUTE(SUBSTITUTE(SUBSTITUTE(SUBSTITUTE(SUBSTITUTE(SUBSTITUTE(SUBSTITUTE(TRIM(E401&amp;""),CHAR(160),"")," ",""),"초등학교","초"),"중학교","중"),"고등학교","고"),"~","~~"),"*","~*"),"?","~?")</f>
      </c>
      <c r="R401" t="str">
        <f>IF(COUNTA(B401:J401)=0,"",IF(AND(O401&lt;&gt;"",P401&lt;&gt;"",Q401&lt;&gt;""),"","입력누락"))</f>
      </c>
    </row>
    <row r="402" customFormat="false" ht="15" hidden="false" customHeight="false" outlineLevel="0" collapsed="false">
      <c r="A402" t="n" s="19">
        <f aca="0">IF(COUNTA(B402:J402)=0,"",ROW()-1)</f>
      </c>
      <c r="B402" s="24"/>
      <c r="C402" s="25"/>
      <c r="D402" s="8"/>
      <c r="E402" s="8"/>
      <c r="F402" s="26"/>
      <c r="G402" s="24"/>
      <c r="H402" s="25"/>
      <c r="I402" s="25"/>
      <c r="J402" s="26"/>
      <c r="K402" t="str" s="15">
        <f aca="0">IF(COUNTA(B402:J402)=0,"",IF(R402&lt;&gt;"","확인필요(입력누락)",IF(COUNTIFS(보유목록!$I$2:$I$3001,"*"&amp;P402&amp;"*",보유목록!$I$2:$I$3001,"*"&amp;Q402&amp;"*",보유목록!$H$2:$H$3001,O402)&gt;0,"있음",IF(COUNTIFS(보유목록!$I$2:$I$3001,"*"&amp;P402&amp;"*",보유목록!$I$2:$I$3001,"*"&amp;Q402&amp;"*")&gt;0,"확인필요(연도다름)",IF(COUNTIFS(보유목록!$I$2:$I$3001,"*"&amp;P402&amp;"*",보유목록!$H$2:$H$3001,O402)&gt;0,"확인필요(같은학교·같은연도)","없음")))))</f>
      </c>
      <c r="L402" t="str" s="16">
        <f aca="0">IF(OR(COUNTA(B402:J402)=0,R402&lt;&gt;""),"",COUNTIFS(보유목록!$I$2:$I$3001,"*"&amp;P402&amp;"*",보유목록!$I$2:$I$3001,"*"&amp;Q402&amp;"*"))</f>
      </c>
      <c r="M402" t="str" s="23">
        <f aca="0">IF(OR(COUNTA(B402:J402)=0,R402&lt;&gt;""),"",IFERROR(LOOKUP(2,1/(ISNUMBER(SEARCH(P402,보유목록!$I$2:$I$3001))*ISNUMBER(SEARCH(Q402,보유목록!$I$2:$I$3001))*(보유목록!$H$2:$H$3001=O402)),보유목록!$B$2:$B$3001),IFERROR(LOOKUP(2,1/(ISNUMBER(SEARCH(P402,보유목록!$I$2:$I$3001))*ISNUMBER(SEARCH(Q402,보유목록!$I$2:$I$3001))),보유목록!$B$2:$B$3001),"")))</f>
      </c>
      <c r="N402" s="25"/>
      <c r="O402" t="str">
        <f>IFERROR(IF(AND(LEN(SUBSTITUTE(SUBSTITUTE(SUBSTITUTE(TRIM(C402&amp;""),CHAR(160),"")," ",""),"년",""))=4,VALUE(SUBSTITUTE(SUBSTITUTE(SUBSTITUTE(TRIM(C402&amp;""),CHAR(160),"")," ",""),"년",""))&gt;=1900,VALUE(SUBSTITUTE(SUBSTITUTE(SUBSTITUTE(TRIM(C402&amp;""),CHAR(160),"")," ",""),"년",""))&lt;=2099,TEXT(VALUE(SUBSTITUTE(SUBSTITUTE(SUBSTITUTE(TRIM(C402&amp;""),CHAR(160),"")," ",""),"년","")),"0000")=SUBSTITUTE(SUBSTITUTE(SUBSTITUTE(TRIM(C402&amp;""),CHAR(160),"")," ",""),"년","")),SUBSTITUTE(SUBSTITUTE(SUBSTITUTE(TRIM(C402&amp;""),CHAR(160),"")," ",""),"년",""),""),"")</f>
      </c>
      <c r="P402" t="str">
        <f>SUBSTITUTE(SUBSTITUTE(SUBSTITUTE(SUBSTITUTE(SUBSTITUTE(SUBSTITUTE(SUBSTITUTE(SUBSTITUTE(TRIM(D402&amp;""),CHAR(160),"")," ",""),"초등학교","초"),"중학교","중"),"고등학교","고"),"~","~~"),"*","~*"),"?","~?")</f>
      </c>
      <c r="Q402" t="str">
        <f>SUBSTITUTE(SUBSTITUTE(SUBSTITUTE(SUBSTITUTE(SUBSTITUTE(SUBSTITUTE(SUBSTITUTE(SUBSTITUTE(TRIM(E402&amp;""),CHAR(160),"")," ",""),"초등학교","초"),"중학교","중"),"고등학교","고"),"~","~~"),"*","~*"),"?","~?")</f>
      </c>
      <c r="R402" t="str">
        <f>IF(COUNTA(B402:J402)=0,"",IF(AND(O402&lt;&gt;"",P402&lt;&gt;"",Q402&lt;&gt;""),"","입력누락"))</f>
      </c>
    </row>
    <row r="403" customFormat="false" ht="15" hidden="false" customHeight="false" outlineLevel="0" collapsed="false">
      <c r="A403" t="n" s="19">
        <f aca="0">IF(COUNTA(B403:J403)=0,"",ROW()-1)</f>
      </c>
      <c r="B403" s="24"/>
      <c r="C403" s="25"/>
      <c r="D403" s="8"/>
      <c r="E403" s="8"/>
      <c r="F403" s="26"/>
      <c r="G403" s="24"/>
      <c r="H403" s="25"/>
      <c r="I403" s="25"/>
      <c r="J403" s="26"/>
      <c r="K403" t="str" s="15">
        <f aca="0">IF(COUNTA(B403:J403)=0,"",IF(R403&lt;&gt;"","확인필요(입력누락)",IF(COUNTIFS(보유목록!$I$2:$I$3001,"*"&amp;P403&amp;"*",보유목록!$I$2:$I$3001,"*"&amp;Q403&amp;"*",보유목록!$H$2:$H$3001,O403)&gt;0,"있음",IF(COUNTIFS(보유목록!$I$2:$I$3001,"*"&amp;P403&amp;"*",보유목록!$I$2:$I$3001,"*"&amp;Q403&amp;"*")&gt;0,"확인필요(연도다름)",IF(COUNTIFS(보유목록!$I$2:$I$3001,"*"&amp;P403&amp;"*",보유목록!$H$2:$H$3001,O403)&gt;0,"확인필요(같은학교·같은연도)","없음")))))</f>
      </c>
      <c r="L403" t="str" s="16">
        <f aca="0">IF(OR(COUNTA(B403:J403)=0,R403&lt;&gt;""),"",COUNTIFS(보유목록!$I$2:$I$3001,"*"&amp;P403&amp;"*",보유목록!$I$2:$I$3001,"*"&amp;Q403&amp;"*"))</f>
      </c>
      <c r="M403" t="str" s="23">
        <f aca="0">IF(OR(COUNTA(B403:J403)=0,R403&lt;&gt;""),"",IFERROR(LOOKUP(2,1/(ISNUMBER(SEARCH(P403,보유목록!$I$2:$I$3001))*ISNUMBER(SEARCH(Q403,보유목록!$I$2:$I$3001))*(보유목록!$H$2:$H$3001=O403)),보유목록!$B$2:$B$3001),IFERROR(LOOKUP(2,1/(ISNUMBER(SEARCH(P403,보유목록!$I$2:$I$3001))*ISNUMBER(SEARCH(Q403,보유목록!$I$2:$I$3001))),보유목록!$B$2:$B$3001),"")))</f>
      </c>
      <c r="N403" s="25"/>
      <c r="O403" t="str">
        <f>IFERROR(IF(AND(LEN(SUBSTITUTE(SUBSTITUTE(SUBSTITUTE(TRIM(C403&amp;""),CHAR(160),"")," ",""),"년",""))=4,VALUE(SUBSTITUTE(SUBSTITUTE(SUBSTITUTE(TRIM(C403&amp;""),CHAR(160),"")," ",""),"년",""))&gt;=1900,VALUE(SUBSTITUTE(SUBSTITUTE(SUBSTITUTE(TRIM(C403&amp;""),CHAR(160),"")," ",""),"년",""))&lt;=2099,TEXT(VALUE(SUBSTITUTE(SUBSTITUTE(SUBSTITUTE(TRIM(C403&amp;""),CHAR(160),"")," ",""),"년","")),"0000")=SUBSTITUTE(SUBSTITUTE(SUBSTITUTE(TRIM(C403&amp;""),CHAR(160),"")," ",""),"년","")),SUBSTITUTE(SUBSTITUTE(SUBSTITUTE(TRIM(C403&amp;""),CHAR(160),"")," ",""),"년",""),""),"")</f>
      </c>
      <c r="P403" t="str">
        <f>SUBSTITUTE(SUBSTITUTE(SUBSTITUTE(SUBSTITUTE(SUBSTITUTE(SUBSTITUTE(SUBSTITUTE(SUBSTITUTE(TRIM(D403&amp;""),CHAR(160),"")," ",""),"초등학교","초"),"중학교","중"),"고등학교","고"),"~","~~"),"*","~*"),"?","~?")</f>
      </c>
      <c r="Q403" t="str">
        <f>SUBSTITUTE(SUBSTITUTE(SUBSTITUTE(SUBSTITUTE(SUBSTITUTE(SUBSTITUTE(SUBSTITUTE(SUBSTITUTE(TRIM(E403&amp;""),CHAR(160),"")," ",""),"초등학교","초"),"중학교","중"),"고등학교","고"),"~","~~"),"*","~*"),"?","~?")</f>
      </c>
      <c r="R403" t="str">
        <f>IF(COUNTA(B403:J403)=0,"",IF(AND(O403&lt;&gt;"",P403&lt;&gt;"",Q403&lt;&gt;""),"","입력누락"))</f>
      </c>
    </row>
    <row r="404" customFormat="false" ht="15" hidden="false" customHeight="false" outlineLevel="0" collapsed="false">
      <c r="A404" t="n" s="19">
        <f aca="0">IF(COUNTA(B404:J404)=0,"",ROW()-1)</f>
      </c>
      <c r="B404" s="24"/>
      <c r="C404" s="25"/>
      <c r="D404" s="8"/>
      <c r="E404" s="8"/>
      <c r="F404" s="26"/>
      <c r="G404" s="24"/>
      <c r="H404" s="25"/>
      <c r="I404" s="25"/>
      <c r="J404" s="26"/>
      <c r="K404" t="str" s="15">
        <f aca="0">IF(COUNTA(B404:J404)=0,"",IF(R404&lt;&gt;"","확인필요(입력누락)",IF(COUNTIFS(보유목록!$I$2:$I$3001,"*"&amp;P404&amp;"*",보유목록!$I$2:$I$3001,"*"&amp;Q404&amp;"*",보유목록!$H$2:$H$3001,O404)&gt;0,"있음",IF(COUNTIFS(보유목록!$I$2:$I$3001,"*"&amp;P404&amp;"*",보유목록!$I$2:$I$3001,"*"&amp;Q404&amp;"*")&gt;0,"확인필요(연도다름)",IF(COUNTIFS(보유목록!$I$2:$I$3001,"*"&amp;P404&amp;"*",보유목록!$H$2:$H$3001,O404)&gt;0,"확인필요(같은학교·같은연도)","없음")))))</f>
      </c>
      <c r="L404" t="str" s="16">
        <f aca="0">IF(OR(COUNTA(B404:J404)=0,R404&lt;&gt;""),"",COUNTIFS(보유목록!$I$2:$I$3001,"*"&amp;P404&amp;"*",보유목록!$I$2:$I$3001,"*"&amp;Q404&amp;"*"))</f>
      </c>
      <c r="M404" t="str" s="23">
        <f aca="0">IF(OR(COUNTA(B404:J404)=0,R404&lt;&gt;""),"",IFERROR(LOOKUP(2,1/(ISNUMBER(SEARCH(P404,보유목록!$I$2:$I$3001))*ISNUMBER(SEARCH(Q404,보유목록!$I$2:$I$3001))*(보유목록!$H$2:$H$3001=O404)),보유목록!$B$2:$B$3001),IFERROR(LOOKUP(2,1/(ISNUMBER(SEARCH(P404,보유목록!$I$2:$I$3001))*ISNUMBER(SEARCH(Q404,보유목록!$I$2:$I$3001))),보유목록!$B$2:$B$3001),"")))</f>
      </c>
      <c r="N404" s="25"/>
      <c r="O404" t="str">
        <f>IFERROR(IF(AND(LEN(SUBSTITUTE(SUBSTITUTE(SUBSTITUTE(TRIM(C404&amp;""),CHAR(160),"")," ",""),"년",""))=4,VALUE(SUBSTITUTE(SUBSTITUTE(SUBSTITUTE(TRIM(C404&amp;""),CHAR(160),"")," ",""),"년",""))&gt;=1900,VALUE(SUBSTITUTE(SUBSTITUTE(SUBSTITUTE(TRIM(C404&amp;""),CHAR(160),"")," ",""),"년",""))&lt;=2099,TEXT(VALUE(SUBSTITUTE(SUBSTITUTE(SUBSTITUTE(TRIM(C404&amp;""),CHAR(160),"")," ",""),"년","")),"0000")=SUBSTITUTE(SUBSTITUTE(SUBSTITUTE(TRIM(C404&amp;""),CHAR(160),"")," ",""),"년","")),SUBSTITUTE(SUBSTITUTE(SUBSTITUTE(TRIM(C404&amp;""),CHAR(160),"")," ",""),"년",""),""),"")</f>
      </c>
      <c r="P404" t="str">
        <f>SUBSTITUTE(SUBSTITUTE(SUBSTITUTE(SUBSTITUTE(SUBSTITUTE(SUBSTITUTE(SUBSTITUTE(SUBSTITUTE(TRIM(D404&amp;""),CHAR(160),"")," ",""),"초등학교","초"),"중학교","중"),"고등학교","고"),"~","~~"),"*","~*"),"?","~?")</f>
      </c>
      <c r="Q404" t="str">
        <f>SUBSTITUTE(SUBSTITUTE(SUBSTITUTE(SUBSTITUTE(SUBSTITUTE(SUBSTITUTE(SUBSTITUTE(SUBSTITUTE(TRIM(E404&amp;""),CHAR(160),"")," ",""),"초등학교","초"),"중학교","중"),"고등학교","고"),"~","~~"),"*","~*"),"?","~?")</f>
      </c>
      <c r="R404" t="str">
        <f>IF(COUNTA(B404:J404)=0,"",IF(AND(O404&lt;&gt;"",P404&lt;&gt;"",Q404&lt;&gt;""),"","입력누락"))</f>
      </c>
    </row>
    <row r="405" customFormat="false" ht="15" hidden="false" customHeight="false" outlineLevel="0" collapsed="false">
      <c r="A405" t="n" s="19">
        <f aca="0">IF(COUNTA(B405:J405)=0,"",ROW()-1)</f>
      </c>
      <c r="B405" s="24"/>
      <c r="C405" s="25"/>
      <c r="D405" s="8"/>
      <c r="E405" s="8"/>
      <c r="F405" s="26"/>
      <c r="G405" s="24"/>
      <c r="H405" s="25"/>
      <c r="I405" s="25"/>
      <c r="J405" s="26"/>
      <c r="K405" t="str" s="15">
        <f aca="0">IF(COUNTA(B405:J405)=0,"",IF(R405&lt;&gt;"","확인필요(입력누락)",IF(COUNTIFS(보유목록!$I$2:$I$3001,"*"&amp;P405&amp;"*",보유목록!$I$2:$I$3001,"*"&amp;Q405&amp;"*",보유목록!$H$2:$H$3001,O405)&gt;0,"있음",IF(COUNTIFS(보유목록!$I$2:$I$3001,"*"&amp;P405&amp;"*",보유목록!$I$2:$I$3001,"*"&amp;Q405&amp;"*")&gt;0,"확인필요(연도다름)",IF(COUNTIFS(보유목록!$I$2:$I$3001,"*"&amp;P405&amp;"*",보유목록!$H$2:$H$3001,O405)&gt;0,"확인필요(같은학교·같은연도)","없음")))))</f>
      </c>
      <c r="L405" t="str" s="16">
        <f aca="0">IF(OR(COUNTA(B405:J405)=0,R405&lt;&gt;""),"",COUNTIFS(보유목록!$I$2:$I$3001,"*"&amp;P405&amp;"*",보유목록!$I$2:$I$3001,"*"&amp;Q405&amp;"*"))</f>
      </c>
      <c r="M405" t="str" s="23">
        <f aca="0">IF(OR(COUNTA(B405:J405)=0,R405&lt;&gt;""),"",IFERROR(LOOKUP(2,1/(ISNUMBER(SEARCH(P405,보유목록!$I$2:$I$3001))*ISNUMBER(SEARCH(Q405,보유목록!$I$2:$I$3001))*(보유목록!$H$2:$H$3001=O405)),보유목록!$B$2:$B$3001),IFERROR(LOOKUP(2,1/(ISNUMBER(SEARCH(P405,보유목록!$I$2:$I$3001))*ISNUMBER(SEARCH(Q405,보유목록!$I$2:$I$3001))),보유목록!$B$2:$B$3001),"")))</f>
      </c>
      <c r="N405" s="25"/>
      <c r="O405" t="str">
        <f>IFERROR(IF(AND(LEN(SUBSTITUTE(SUBSTITUTE(SUBSTITUTE(TRIM(C405&amp;""),CHAR(160),"")," ",""),"년",""))=4,VALUE(SUBSTITUTE(SUBSTITUTE(SUBSTITUTE(TRIM(C405&amp;""),CHAR(160),"")," ",""),"년",""))&gt;=1900,VALUE(SUBSTITUTE(SUBSTITUTE(SUBSTITUTE(TRIM(C405&amp;""),CHAR(160),"")," ",""),"년",""))&lt;=2099,TEXT(VALUE(SUBSTITUTE(SUBSTITUTE(SUBSTITUTE(TRIM(C405&amp;""),CHAR(160),"")," ",""),"년","")),"0000")=SUBSTITUTE(SUBSTITUTE(SUBSTITUTE(TRIM(C405&amp;""),CHAR(160),"")," ",""),"년","")),SUBSTITUTE(SUBSTITUTE(SUBSTITUTE(TRIM(C405&amp;""),CHAR(160),"")," ",""),"년",""),""),"")</f>
      </c>
      <c r="P405" t="str">
        <f>SUBSTITUTE(SUBSTITUTE(SUBSTITUTE(SUBSTITUTE(SUBSTITUTE(SUBSTITUTE(SUBSTITUTE(SUBSTITUTE(TRIM(D405&amp;""),CHAR(160),"")," ",""),"초등학교","초"),"중학교","중"),"고등학교","고"),"~","~~"),"*","~*"),"?","~?")</f>
      </c>
      <c r="Q405" t="str">
        <f>SUBSTITUTE(SUBSTITUTE(SUBSTITUTE(SUBSTITUTE(SUBSTITUTE(SUBSTITUTE(SUBSTITUTE(SUBSTITUTE(TRIM(E405&amp;""),CHAR(160),"")," ",""),"초등학교","초"),"중학교","중"),"고등학교","고"),"~","~~"),"*","~*"),"?","~?")</f>
      </c>
      <c r="R405" t="str">
        <f>IF(COUNTA(B405:J405)=0,"",IF(AND(O405&lt;&gt;"",P405&lt;&gt;"",Q405&lt;&gt;""),"","입력누락"))</f>
      </c>
    </row>
    <row r="406" customFormat="false" ht="15" hidden="false" customHeight="false" outlineLevel="0" collapsed="false">
      <c r="A406" t="n" s="19">
        <f aca="0">IF(COUNTA(B406:J406)=0,"",ROW()-1)</f>
      </c>
      <c r="B406" s="24"/>
      <c r="C406" s="25"/>
      <c r="D406" s="8"/>
      <c r="E406" s="8"/>
      <c r="F406" s="26"/>
      <c r="G406" s="24"/>
      <c r="H406" s="25"/>
      <c r="I406" s="25"/>
      <c r="J406" s="26"/>
      <c r="K406" t="str" s="15">
        <f aca="0">IF(COUNTA(B406:J406)=0,"",IF(R406&lt;&gt;"","확인필요(입력누락)",IF(COUNTIFS(보유목록!$I$2:$I$3001,"*"&amp;P406&amp;"*",보유목록!$I$2:$I$3001,"*"&amp;Q406&amp;"*",보유목록!$H$2:$H$3001,O406)&gt;0,"있음",IF(COUNTIFS(보유목록!$I$2:$I$3001,"*"&amp;P406&amp;"*",보유목록!$I$2:$I$3001,"*"&amp;Q406&amp;"*")&gt;0,"확인필요(연도다름)",IF(COUNTIFS(보유목록!$I$2:$I$3001,"*"&amp;P406&amp;"*",보유목록!$H$2:$H$3001,O406)&gt;0,"확인필요(같은학교·같은연도)","없음")))))</f>
      </c>
      <c r="L406" t="str" s="16">
        <f aca="0">IF(OR(COUNTA(B406:J406)=0,R406&lt;&gt;""),"",COUNTIFS(보유목록!$I$2:$I$3001,"*"&amp;P406&amp;"*",보유목록!$I$2:$I$3001,"*"&amp;Q406&amp;"*"))</f>
      </c>
      <c r="M406" t="str" s="23">
        <f aca="0">IF(OR(COUNTA(B406:J406)=0,R406&lt;&gt;""),"",IFERROR(LOOKUP(2,1/(ISNUMBER(SEARCH(P406,보유목록!$I$2:$I$3001))*ISNUMBER(SEARCH(Q406,보유목록!$I$2:$I$3001))*(보유목록!$H$2:$H$3001=O406)),보유목록!$B$2:$B$3001),IFERROR(LOOKUP(2,1/(ISNUMBER(SEARCH(P406,보유목록!$I$2:$I$3001))*ISNUMBER(SEARCH(Q406,보유목록!$I$2:$I$3001))),보유목록!$B$2:$B$3001),"")))</f>
      </c>
      <c r="N406" s="25"/>
      <c r="O406" t="str">
        <f>IFERROR(IF(AND(LEN(SUBSTITUTE(SUBSTITUTE(SUBSTITUTE(TRIM(C406&amp;""),CHAR(160),"")," ",""),"년",""))=4,VALUE(SUBSTITUTE(SUBSTITUTE(SUBSTITUTE(TRIM(C406&amp;""),CHAR(160),"")," ",""),"년",""))&gt;=1900,VALUE(SUBSTITUTE(SUBSTITUTE(SUBSTITUTE(TRIM(C406&amp;""),CHAR(160),"")," ",""),"년",""))&lt;=2099,TEXT(VALUE(SUBSTITUTE(SUBSTITUTE(SUBSTITUTE(TRIM(C406&amp;""),CHAR(160),"")," ",""),"년","")),"0000")=SUBSTITUTE(SUBSTITUTE(SUBSTITUTE(TRIM(C406&amp;""),CHAR(160),"")," ",""),"년","")),SUBSTITUTE(SUBSTITUTE(SUBSTITUTE(TRIM(C406&amp;""),CHAR(160),"")," ",""),"년",""),""),"")</f>
      </c>
      <c r="P406" t="str">
        <f>SUBSTITUTE(SUBSTITUTE(SUBSTITUTE(SUBSTITUTE(SUBSTITUTE(SUBSTITUTE(SUBSTITUTE(SUBSTITUTE(TRIM(D406&amp;""),CHAR(160),"")," ",""),"초등학교","초"),"중학교","중"),"고등학교","고"),"~","~~"),"*","~*"),"?","~?")</f>
      </c>
      <c r="Q406" t="str">
        <f>SUBSTITUTE(SUBSTITUTE(SUBSTITUTE(SUBSTITUTE(SUBSTITUTE(SUBSTITUTE(SUBSTITUTE(SUBSTITUTE(TRIM(E406&amp;""),CHAR(160),"")," ",""),"초등학교","초"),"중학교","중"),"고등학교","고"),"~","~~"),"*","~*"),"?","~?")</f>
      </c>
      <c r="R406" t="str">
        <f>IF(COUNTA(B406:J406)=0,"",IF(AND(O406&lt;&gt;"",P406&lt;&gt;"",Q406&lt;&gt;""),"","입력누락"))</f>
      </c>
    </row>
    <row r="407" customFormat="false" ht="15" hidden="false" customHeight="false" outlineLevel="0" collapsed="false">
      <c r="A407" t="n" s="19">
        <f aca="0">IF(COUNTA(B407:J407)=0,"",ROW()-1)</f>
      </c>
      <c r="B407" s="24"/>
      <c r="C407" s="25"/>
      <c r="D407" s="8"/>
      <c r="E407" s="8"/>
      <c r="F407" s="26"/>
      <c r="G407" s="24"/>
      <c r="H407" s="25"/>
      <c r="I407" s="25"/>
      <c r="J407" s="26"/>
      <c r="K407" t="str" s="15">
        <f aca="0">IF(COUNTA(B407:J407)=0,"",IF(R407&lt;&gt;"","확인필요(입력누락)",IF(COUNTIFS(보유목록!$I$2:$I$3001,"*"&amp;P407&amp;"*",보유목록!$I$2:$I$3001,"*"&amp;Q407&amp;"*",보유목록!$H$2:$H$3001,O407)&gt;0,"있음",IF(COUNTIFS(보유목록!$I$2:$I$3001,"*"&amp;P407&amp;"*",보유목록!$I$2:$I$3001,"*"&amp;Q407&amp;"*")&gt;0,"확인필요(연도다름)",IF(COUNTIFS(보유목록!$I$2:$I$3001,"*"&amp;P407&amp;"*",보유목록!$H$2:$H$3001,O407)&gt;0,"확인필요(같은학교·같은연도)","없음")))))</f>
      </c>
      <c r="L407" t="str" s="16">
        <f aca="0">IF(OR(COUNTA(B407:J407)=0,R407&lt;&gt;""),"",COUNTIFS(보유목록!$I$2:$I$3001,"*"&amp;P407&amp;"*",보유목록!$I$2:$I$3001,"*"&amp;Q407&amp;"*"))</f>
      </c>
      <c r="M407" t="str" s="23">
        <f aca="0">IF(OR(COUNTA(B407:J407)=0,R407&lt;&gt;""),"",IFERROR(LOOKUP(2,1/(ISNUMBER(SEARCH(P407,보유목록!$I$2:$I$3001))*ISNUMBER(SEARCH(Q407,보유목록!$I$2:$I$3001))*(보유목록!$H$2:$H$3001=O407)),보유목록!$B$2:$B$3001),IFERROR(LOOKUP(2,1/(ISNUMBER(SEARCH(P407,보유목록!$I$2:$I$3001))*ISNUMBER(SEARCH(Q407,보유목록!$I$2:$I$3001))),보유목록!$B$2:$B$3001),"")))</f>
      </c>
      <c r="N407" s="25"/>
      <c r="O407" t="str">
        <f>IFERROR(IF(AND(LEN(SUBSTITUTE(SUBSTITUTE(SUBSTITUTE(TRIM(C407&amp;""),CHAR(160),"")," ",""),"년",""))=4,VALUE(SUBSTITUTE(SUBSTITUTE(SUBSTITUTE(TRIM(C407&amp;""),CHAR(160),"")," ",""),"년",""))&gt;=1900,VALUE(SUBSTITUTE(SUBSTITUTE(SUBSTITUTE(TRIM(C407&amp;""),CHAR(160),"")," ",""),"년",""))&lt;=2099,TEXT(VALUE(SUBSTITUTE(SUBSTITUTE(SUBSTITUTE(TRIM(C407&amp;""),CHAR(160),"")," ",""),"년","")),"0000")=SUBSTITUTE(SUBSTITUTE(SUBSTITUTE(TRIM(C407&amp;""),CHAR(160),"")," ",""),"년","")),SUBSTITUTE(SUBSTITUTE(SUBSTITUTE(TRIM(C407&amp;""),CHAR(160),"")," ",""),"년",""),""),"")</f>
      </c>
      <c r="P407" t="str">
        <f>SUBSTITUTE(SUBSTITUTE(SUBSTITUTE(SUBSTITUTE(SUBSTITUTE(SUBSTITUTE(SUBSTITUTE(SUBSTITUTE(TRIM(D407&amp;""),CHAR(160),"")," ",""),"초등학교","초"),"중학교","중"),"고등학교","고"),"~","~~"),"*","~*"),"?","~?")</f>
      </c>
      <c r="Q407" t="str">
        <f>SUBSTITUTE(SUBSTITUTE(SUBSTITUTE(SUBSTITUTE(SUBSTITUTE(SUBSTITUTE(SUBSTITUTE(SUBSTITUTE(TRIM(E407&amp;""),CHAR(160),"")," ",""),"초등학교","초"),"중학교","중"),"고등학교","고"),"~","~~"),"*","~*"),"?","~?")</f>
      </c>
      <c r="R407" t="str">
        <f>IF(COUNTA(B407:J407)=0,"",IF(AND(O407&lt;&gt;"",P407&lt;&gt;"",Q407&lt;&gt;""),"","입력누락"))</f>
      </c>
    </row>
    <row r="408" customFormat="false" ht="15" hidden="false" customHeight="false" outlineLevel="0" collapsed="false">
      <c r="A408" t="n" s="19">
        <f aca="0">IF(COUNTA(B408:J408)=0,"",ROW()-1)</f>
      </c>
      <c r="B408" s="24"/>
      <c r="C408" s="25"/>
      <c r="D408" s="8"/>
      <c r="E408" s="8"/>
      <c r="F408" s="26"/>
      <c r="G408" s="24"/>
      <c r="H408" s="25"/>
      <c r="I408" s="25"/>
      <c r="J408" s="26"/>
      <c r="K408" t="str" s="15">
        <f aca="0">IF(COUNTA(B408:J408)=0,"",IF(R408&lt;&gt;"","확인필요(입력누락)",IF(COUNTIFS(보유목록!$I$2:$I$3001,"*"&amp;P408&amp;"*",보유목록!$I$2:$I$3001,"*"&amp;Q408&amp;"*",보유목록!$H$2:$H$3001,O408)&gt;0,"있음",IF(COUNTIFS(보유목록!$I$2:$I$3001,"*"&amp;P408&amp;"*",보유목록!$I$2:$I$3001,"*"&amp;Q408&amp;"*")&gt;0,"확인필요(연도다름)",IF(COUNTIFS(보유목록!$I$2:$I$3001,"*"&amp;P408&amp;"*",보유목록!$H$2:$H$3001,O408)&gt;0,"확인필요(같은학교·같은연도)","없음")))))</f>
      </c>
      <c r="L408" t="str" s="16">
        <f aca="0">IF(OR(COUNTA(B408:J408)=0,R408&lt;&gt;""),"",COUNTIFS(보유목록!$I$2:$I$3001,"*"&amp;P408&amp;"*",보유목록!$I$2:$I$3001,"*"&amp;Q408&amp;"*"))</f>
      </c>
      <c r="M408" t="str" s="23">
        <f aca="0">IF(OR(COUNTA(B408:J408)=0,R408&lt;&gt;""),"",IFERROR(LOOKUP(2,1/(ISNUMBER(SEARCH(P408,보유목록!$I$2:$I$3001))*ISNUMBER(SEARCH(Q408,보유목록!$I$2:$I$3001))*(보유목록!$H$2:$H$3001=O408)),보유목록!$B$2:$B$3001),IFERROR(LOOKUP(2,1/(ISNUMBER(SEARCH(P408,보유목록!$I$2:$I$3001))*ISNUMBER(SEARCH(Q408,보유목록!$I$2:$I$3001))),보유목록!$B$2:$B$3001),"")))</f>
      </c>
      <c r="N408" s="25"/>
      <c r="O408" t="str">
        <f>IFERROR(IF(AND(LEN(SUBSTITUTE(SUBSTITUTE(SUBSTITUTE(TRIM(C408&amp;""),CHAR(160),"")," ",""),"년",""))=4,VALUE(SUBSTITUTE(SUBSTITUTE(SUBSTITUTE(TRIM(C408&amp;""),CHAR(160),"")," ",""),"년",""))&gt;=1900,VALUE(SUBSTITUTE(SUBSTITUTE(SUBSTITUTE(TRIM(C408&amp;""),CHAR(160),"")," ",""),"년",""))&lt;=2099,TEXT(VALUE(SUBSTITUTE(SUBSTITUTE(SUBSTITUTE(TRIM(C408&amp;""),CHAR(160),"")," ",""),"년","")),"0000")=SUBSTITUTE(SUBSTITUTE(SUBSTITUTE(TRIM(C408&amp;""),CHAR(160),"")," ",""),"년","")),SUBSTITUTE(SUBSTITUTE(SUBSTITUTE(TRIM(C408&amp;""),CHAR(160),"")," ",""),"년",""),""),"")</f>
      </c>
      <c r="P408" t="str">
        <f>SUBSTITUTE(SUBSTITUTE(SUBSTITUTE(SUBSTITUTE(SUBSTITUTE(SUBSTITUTE(SUBSTITUTE(SUBSTITUTE(TRIM(D408&amp;""),CHAR(160),"")," ",""),"초등학교","초"),"중학교","중"),"고등학교","고"),"~","~~"),"*","~*"),"?","~?")</f>
      </c>
      <c r="Q408" t="str">
        <f>SUBSTITUTE(SUBSTITUTE(SUBSTITUTE(SUBSTITUTE(SUBSTITUTE(SUBSTITUTE(SUBSTITUTE(SUBSTITUTE(TRIM(E408&amp;""),CHAR(160),"")," ",""),"초등학교","초"),"중학교","중"),"고등학교","고"),"~","~~"),"*","~*"),"?","~?")</f>
      </c>
      <c r="R408" t="str">
        <f>IF(COUNTA(B408:J408)=0,"",IF(AND(O408&lt;&gt;"",P408&lt;&gt;"",Q408&lt;&gt;""),"","입력누락"))</f>
      </c>
    </row>
    <row r="409" customFormat="false" ht="15" hidden="false" customHeight="false" outlineLevel="0" collapsed="false">
      <c r="A409" t="n" s="19">
        <f aca="0">IF(COUNTA(B409:J409)=0,"",ROW()-1)</f>
      </c>
      <c r="B409" s="24"/>
      <c r="C409" s="25"/>
      <c r="D409" s="8"/>
      <c r="E409" s="8"/>
      <c r="F409" s="26"/>
      <c r="G409" s="24"/>
      <c r="H409" s="25"/>
      <c r="I409" s="25"/>
      <c r="J409" s="26"/>
      <c r="K409" t="str" s="15">
        <f aca="0">IF(COUNTA(B409:J409)=0,"",IF(R409&lt;&gt;"","확인필요(입력누락)",IF(COUNTIFS(보유목록!$I$2:$I$3001,"*"&amp;P409&amp;"*",보유목록!$I$2:$I$3001,"*"&amp;Q409&amp;"*",보유목록!$H$2:$H$3001,O409)&gt;0,"있음",IF(COUNTIFS(보유목록!$I$2:$I$3001,"*"&amp;P409&amp;"*",보유목록!$I$2:$I$3001,"*"&amp;Q409&amp;"*")&gt;0,"확인필요(연도다름)",IF(COUNTIFS(보유목록!$I$2:$I$3001,"*"&amp;P409&amp;"*",보유목록!$H$2:$H$3001,O409)&gt;0,"확인필요(같은학교·같은연도)","없음")))))</f>
      </c>
      <c r="L409" t="str" s="16">
        <f aca="0">IF(OR(COUNTA(B409:J409)=0,R409&lt;&gt;""),"",COUNTIFS(보유목록!$I$2:$I$3001,"*"&amp;P409&amp;"*",보유목록!$I$2:$I$3001,"*"&amp;Q409&amp;"*"))</f>
      </c>
      <c r="M409" t="str" s="23">
        <f aca="0">IF(OR(COUNTA(B409:J409)=0,R409&lt;&gt;""),"",IFERROR(LOOKUP(2,1/(ISNUMBER(SEARCH(P409,보유목록!$I$2:$I$3001))*ISNUMBER(SEARCH(Q409,보유목록!$I$2:$I$3001))*(보유목록!$H$2:$H$3001=O409)),보유목록!$B$2:$B$3001),IFERROR(LOOKUP(2,1/(ISNUMBER(SEARCH(P409,보유목록!$I$2:$I$3001))*ISNUMBER(SEARCH(Q409,보유목록!$I$2:$I$3001))),보유목록!$B$2:$B$3001),"")))</f>
      </c>
      <c r="N409" s="25"/>
      <c r="O409" t="str">
        <f>IFERROR(IF(AND(LEN(SUBSTITUTE(SUBSTITUTE(SUBSTITUTE(TRIM(C409&amp;""),CHAR(160),"")," ",""),"년",""))=4,VALUE(SUBSTITUTE(SUBSTITUTE(SUBSTITUTE(TRIM(C409&amp;""),CHAR(160),"")," ",""),"년",""))&gt;=1900,VALUE(SUBSTITUTE(SUBSTITUTE(SUBSTITUTE(TRIM(C409&amp;""),CHAR(160),"")," ",""),"년",""))&lt;=2099,TEXT(VALUE(SUBSTITUTE(SUBSTITUTE(SUBSTITUTE(TRIM(C409&amp;""),CHAR(160),"")," ",""),"년","")),"0000")=SUBSTITUTE(SUBSTITUTE(SUBSTITUTE(TRIM(C409&amp;""),CHAR(160),"")," ",""),"년","")),SUBSTITUTE(SUBSTITUTE(SUBSTITUTE(TRIM(C409&amp;""),CHAR(160),"")," ",""),"년",""),""),"")</f>
      </c>
      <c r="P409" t="str">
        <f>SUBSTITUTE(SUBSTITUTE(SUBSTITUTE(SUBSTITUTE(SUBSTITUTE(SUBSTITUTE(SUBSTITUTE(SUBSTITUTE(TRIM(D409&amp;""),CHAR(160),"")," ",""),"초등학교","초"),"중학교","중"),"고등학교","고"),"~","~~"),"*","~*"),"?","~?")</f>
      </c>
      <c r="Q409" t="str">
        <f>SUBSTITUTE(SUBSTITUTE(SUBSTITUTE(SUBSTITUTE(SUBSTITUTE(SUBSTITUTE(SUBSTITUTE(SUBSTITUTE(TRIM(E409&amp;""),CHAR(160),"")," ",""),"초등학교","초"),"중학교","중"),"고등학교","고"),"~","~~"),"*","~*"),"?","~?")</f>
      </c>
      <c r="R409" t="str">
        <f>IF(COUNTA(B409:J409)=0,"",IF(AND(O409&lt;&gt;"",P409&lt;&gt;"",Q409&lt;&gt;""),"","입력누락"))</f>
      </c>
    </row>
    <row r="410" customFormat="false" ht="15" hidden="false" customHeight="false" outlineLevel="0" collapsed="false">
      <c r="A410" t="n" s="19">
        <f aca="0">IF(COUNTA(B410:J410)=0,"",ROW()-1)</f>
      </c>
      <c r="B410" s="24"/>
      <c r="C410" s="25"/>
      <c r="D410" s="8"/>
      <c r="E410" s="8"/>
      <c r="F410" s="26"/>
      <c r="G410" s="24"/>
      <c r="H410" s="25"/>
      <c r="I410" s="25"/>
      <c r="J410" s="26"/>
      <c r="K410" t="str" s="15">
        <f aca="0">IF(COUNTA(B410:J410)=0,"",IF(R410&lt;&gt;"","확인필요(입력누락)",IF(COUNTIFS(보유목록!$I$2:$I$3001,"*"&amp;P410&amp;"*",보유목록!$I$2:$I$3001,"*"&amp;Q410&amp;"*",보유목록!$H$2:$H$3001,O410)&gt;0,"있음",IF(COUNTIFS(보유목록!$I$2:$I$3001,"*"&amp;P410&amp;"*",보유목록!$I$2:$I$3001,"*"&amp;Q410&amp;"*")&gt;0,"확인필요(연도다름)",IF(COUNTIFS(보유목록!$I$2:$I$3001,"*"&amp;P410&amp;"*",보유목록!$H$2:$H$3001,O410)&gt;0,"확인필요(같은학교·같은연도)","없음")))))</f>
      </c>
      <c r="L410" t="str" s="16">
        <f aca="0">IF(OR(COUNTA(B410:J410)=0,R410&lt;&gt;""),"",COUNTIFS(보유목록!$I$2:$I$3001,"*"&amp;P410&amp;"*",보유목록!$I$2:$I$3001,"*"&amp;Q410&amp;"*"))</f>
      </c>
      <c r="M410" t="str" s="23">
        <f aca="0">IF(OR(COUNTA(B410:J410)=0,R410&lt;&gt;""),"",IFERROR(LOOKUP(2,1/(ISNUMBER(SEARCH(P410,보유목록!$I$2:$I$3001))*ISNUMBER(SEARCH(Q410,보유목록!$I$2:$I$3001))*(보유목록!$H$2:$H$3001=O410)),보유목록!$B$2:$B$3001),IFERROR(LOOKUP(2,1/(ISNUMBER(SEARCH(P410,보유목록!$I$2:$I$3001))*ISNUMBER(SEARCH(Q410,보유목록!$I$2:$I$3001))),보유목록!$B$2:$B$3001),"")))</f>
      </c>
      <c r="N410" s="25"/>
      <c r="O410" t="str">
        <f>IFERROR(IF(AND(LEN(SUBSTITUTE(SUBSTITUTE(SUBSTITUTE(TRIM(C410&amp;""),CHAR(160),"")," ",""),"년",""))=4,VALUE(SUBSTITUTE(SUBSTITUTE(SUBSTITUTE(TRIM(C410&amp;""),CHAR(160),"")," ",""),"년",""))&gt;=1900,VALUE(SUBSTITUTE(SUBSTITUTE(SUBSTITUTE(TRIM(C410&amp;""),CHAR(160),"")," ",""),"년",""))&lt;=2099,TEXT(VALUE(SUBSTITUTE(SUBSTITUTE(SUBSTITUTE(TRIM(C410&amp;""),CHAR(160),"")," ",""),"년","")),"0000")=SUBSTITUTE(SUBSTITUTE(SUBSTITUTE(TRIM(C410&amp;""),CHAR(160),"")," ",""),"년","")),SUBSTITUTE(SUBSTITUTE(SUBSTITUTE(TRIM(C410&amp;""),CHAR(160),"")," ",""),"년",""),""),"")</f>
      </c>
      <c r="P410" t="str">
        <f>SUBSTITUTE(SUBSTITUTE(SUBSTITUTE(SUBSTITUTE(SUBSTITUTE(SUBSTITUTE(SUBSTITUTE(SUBSTITUTE(TRIM(D410&amp;""),CHAR(160),"")," ",""),"초등학교","초"),"중학교","중"),"고등학교","고"),"~","~~"),"*","~*"),"?","~?")</f>
      </c>
      <c r="Q410" t="str">
        <f>SUBSTITUTE(SUBSTITUTE(SUBSTITUTE(SUBSTITUTE(SUBSTITUTE(SUBSTITUTE(SUBSTITUTE(SUBSTITUTE(TRIM(E410&amp;""),CHAR(160),"")," ",""),"초등학교","초"),"중학교","중"),"고등학교","고"),"~","~~"),"*","~*"),"?","~?")</f>
      </c>
      <c r="R410" t="str">
        <f>IF(COUNTA(B410:J410)=0,"",IF(AND(O410&lt;&gt;"",P410&lt;&gt;"",Q410&lt;&gt;""),"","입력누락"))</f>
      </c>
    </row>
    <row r="411" customFormat="false" ht="15" hidden="false" customHeight="false" outlineLevel="0" collapsed="false">
      <c r="A411" t="n" s="19">
        <f aca="0">IF(COUNTA(B411:J411)=0,"",ROW()-1)</f>
      </c>
      <c r="B411" s="24"/>
      <c r="C411" s="25"/>
      <c r="D411" s="8"/>
      <c r="E411" s="8"/>
      <c r="F411" s="26"/>
      <c r="G411" s="24"/>
      <c r="H411" s="25"/>
      <c r="I411" s="25"/>
      <c r="J411" s="26"/>
      <c r="K411" t="str" s="15">
        <f aca="0">IF(COUNTA(B411:J411)=0,"",IF(R411&lt;&gt;"","확인필요(입력누락)",IF(COUNTIFS(보유목록!$I$2:$I$3001,"*"&amp;P411&amp;"*",보유목록!$I$2:$I$3001,"*"&amp;Q411&amp;"*",보유목록!$H$2:$H$3001,O411)&gt;0,"있음",IF(COUNTIFS(보유목록!$I$2:$I$3001,"*"&amp;P411&amp;"*",보유목록!$I$2:$I$3001,"*"&amp;Q411&amp;"*")&gt;0,"확인필요(연도다름)",IF(COUNTIFS(보유목록!$I$2:$I$3001,"*"&amp;P411&amp;"*",보유목록!$H$2:$H$3001,O411)&gt;0,"확인필요(같은학교·같은연도)","없음")))))</f>
      </c>
      <c r="L411" t="str" s="16">
        <f aca="0">IF(OR(COUNTA(B411:J411)=0,R411&lt;&gt;""),"",COUNTIFS(보유목록!$I$2:$I$3001,"*"&amp;P411&amp;"*",보유목록!$I$2:$I$3001,"*"&amp;Q411&amp;"*"))</f>
      </c>
      <c r="M411" t="str" s="23">
        <f aca="0">IF(OR(COUNTA(B411:J411)=0,R411&lt;&gt;""),"",IFERROR(LOOKUP(2,1/(ISNUMBER(SEARCH(P411,보유목록!$I$2:$I$3001))*ISNUMBER(SEARCH(Q411,보유목록!$I$2:$I$3001))*(보유목록!$H$2:$H$3001=O411)),보유목록!$B$2:$B$3001),IFERROR(LOOKUP(2,1/(ISNUMBER(SEARCH(P411,보유목록!$I$2:$I$3001))*ISNUMBER(SEARCH(Q411,보유목록!$I$2:$I$3001))),보유목록!$B$2:$B$3001),"")))</f>
      </c>
      <c r="N411" s="25"/>
      <c r="O411" t="str">
        <f>IFERROR(IF(AND(LEN(SUBSTITUTE(SUBSTITUTE(SUBSTITUTE(TRIM(C411&amp;""),CHAR(160),"")," ",""),"년",""))=4,VALUE(SUBSTITUTE(SUBSTITUTE(SUBSTITUTE(TRIM(C411&amp;""),CHAR(160),"")," ",""),"년",""))&gt;=1900,VALUE(SUBSTITUTE(SUBSTITUTE(SUBSTITUTE(TRIM(C411&amp;""),CHAR(160),"")," ",""),"년",""))&lt;=2099,TEXT(VALUE(SUBSTITUTE(SUBSTITUTE(SUBSTITUTE(TRIM(C411&amp;""),CHAR(160),"")," ",""),"년","")),"0000")=SUBSTITUTE(SUBSTITUTE(SUBSTITUTE(TRIM(C411&amp;""),CHAR(160),"")," ",""),"년","")),SUBSTITUTE(SUBSTITUTE(SUBSTITUTE(TRIM(C411&amp;""),CHAR(160),"")," ",""),"년",""),""),"")</f>
      </c>
      <c r="P411" t="str">
        <f>SUBSTITUTE(SUBSTITUTE(SUBSTITUTE(SUBSTITUTE(SUBSTITUTE(SUBSTITUTE(SUBSTITUTE(SUBSTITUTE(TRIM(D411&amp;""),CHAR(160),"")," ",""),"초등학교","초"),"중학교","중"),"고등학교","고"),"~","~~"),"*","~*"),"?","~?")</f>
      </c>
      <c r="Q411" t="str">
        <f>SUBSTITUTE(SUBSTITUTE(SUBSTITUTE(SUBSTITUTE(SUBSTITUTE(SUBSTITUTE(SUBSTITUTE(SUBSTITUTE(TRIM(E411&amp;""),CHAR(160),"")," ",""),"초등학교","초"),"중학교","중"),"고등학교","고"),"~","~~"),"*","~*"),"?","~?")</f>
      </c>
      <c r="R411" t="str">
        <f>IF(COUNTA(B411:J411)=0,"",IF(AND(O411&lt;&gt;"",P411&lt;&gt;"",Q411&lt;&gt;""),"","입력누락"))</f>
      </c>
    </row>
    <row r="412" customFormat="false" ht="15" hidden="false" customHeight="false" outlineLevel="0" collapsed="false">
      <c r="A412" t="n" s="19">
        <f aca="0">IF(COUNTA(B412:J412)=0,"",ROW()-1)</f>
      </c>
      <c r="B412" s="24"/>
      <c r="C412" s="25"/>
      <c r="D412" s="8"/>
      <c r="E412" s="8"/>
      <c r="F412" s="26"/>
      <c r="G412" s="24"/>
      <c r="H412" s="25"/>
      <c r="I412" s="25"/>
      <c r="J412" s="26"/>
      <c r="K412" t="str" s="15">
        <f aca="0">IF(COUNTA(B412:J412)=0,"",IF(R412&lt;&gt;"","확인필요(입력누락)",IF(COUNTIFS(보유목록!$I$2:$I$3001,"*"&amp;P412&amp;"*",보유목록!$I$2:$I$3001,"*"&amp;Q412&amp;"*",보유목록!$H$2:$H$3001,O412)&gt;0,"있음",IF(COUNTIFS(보유목록!$I$2:$I$3001,"*"&amp;P412&amp;"*",보유목록!$I$2:$I$3001,"*"&amp;Q412&amp;"*")&gt;0,"확인필요(연도다름)",IF(COUNTIFS(보유목록!$I$2:$I$3001,"*"&amp;P412&amp;"*",보유목록!$H$2:$H$3001,O412)&gt;0,"확인필요(같은학교·같은연도)","없음")))))</f>
      </c>
      <c r="L412" t="str" s="16">
        <f aca="0">IF(OR(COUNTA(B412:J412)=0,R412&lt;&gt;""),"",COUNTIFS(보유목록!$I$2:$I$3001,"*"&amp;P412&amp;"*",보유목록!$I$2:$I$3001,"*"&amp;Q412&amp;"*"))</f>
      </c>
      <c r="M412" t="str" s="23">
        <f aca="0">IF(OR(COUNTA(B412:J412)=0,R412&lt;&gt;""),"",IFERROR(LOOKUP(2,1/(ISNUMBER(SEARCH(P412,보유목록!$I$2:$I$3001))*ISNUMBER(SEARCH(Q412,보유목록!$I$2:$I$3001))*(보유목록!$H$2:$H$3001=O412)),보유목록!$B$2:$B$3001),IFERROR(LOOKUP(2,1/(ISNUMBER(SEARCH(P412,보유목록!$I$2:$I$3001))*ISNUMBER(SEARCH(Q412,보유목록!$I$2:$I$3001))),보유목록!$B$2:$B$3001),"")))</f>
      </c>
      <c r="N412" s="25"/>
      <c r="O412" t="str">
        <f>IFERROR(IF(AND(LEN(SUBSTITUTE(SUBSTITUTE(SUBSTITUTE(TRIM(C412&amp;""),CHAR(160),"")," ",""),"년",""))=4,VALUE(SUBSTITUTE(SUBSTITUTE(SUBSTITUTE(TRIM(C412&amp;""),CHAR(160),"")," ",""),"년",""))&gt;=1900,VALUE(SUBSTITUTE(SUBSTITUTE(SUBSTITUTE(TRIM(C412&amp;""),CHAR(160),"")," ",""),"년",""))&lt;=2099,TEXT(VALUE(SUBSTITUTE(SUBSTITUTE(SUBSTITUTE(TRIM(C412&amp;""),CHAR(160),"")," ",""),"년","")),"0000")=SUBSTITUTE(SUBSTITUTE(SUBSTITUTE(TRIM(C412&amp;""),CHAR(160),"")," ",""),"년","")),SUBSTITUTE(SUBSTITUTE(SUBSTITUTE(TRIM(C412&amp;""),CHAR(160),"")," ",""),"년",""),""),"")</f>
      </c>
      <c r="P412" t="str">
        <f>SUBSTITUTE(SUBSTITUTE(SUBSTITUTE(SUBSTITUTE(SUBSTITUTE(SUBSTITUTE(SUBSTITUTE(SUBSTITUTE(TRIM(D412&amp;""),CHAR(160),"")," ",""),"초등학교","초"),"중학교","중"),"고등학교","고"),"~","~~"),"*","~*"),"?","~?")</f>
      </c>
      <c r="Q412" t="str">
        <f>SUBSTITUTE(SUBSTITUTE(SUBSTITUTE(SUBSTITUTE(SUBSTITUTE(SUBSTITUTE(SUBSTITUTE(SUBSTITUTE(TRIM(E412&amp;""),CHAR(160),"")," ",""),"초등학교","초"),"중학교","중"),"고등학교","고"),"~","~~"),"*","~*"),"?","~?")</f>
      </c>
      <c r="R412" t="str">
        <f>IF(COUNTA(B412:J412)=0,"",IF(AND(O412&lt;&gt;"",P412&lt;&gt;"",Q412&lt;&gt;""),"","입력누락"))</f>
      </c>
    </row>
    <row r="413" customFormat="false" ht="15" hidden="false" customHeight="false" outlineLevel="0" collapsed="false">
      <c r="A413" t="n" s="19">
        <f aca="0">IF(COUNTA(B413:J413)=0,"",ROW()-1)</f>
      </c>
      <c r="B413" s="24"/>
      <c r="C413" s="25"/>
      <c r="D413" s="8"/>
      <c r="E413" s="8"/>
      <c r="F413" s="26"/>
      <c r="G413" s="24"/>
      <c r="H413" s="25"/>
      <c r="I413" s="25"/>
      <c r="J413" s="26"/>
      <c r="K413" t="str" s="15">
        <f aca="0">IF(COUNTA(B413:J413)=0,"",IF(R413&lt;&gt;"","확인필요(입력누락)",IF(COUNTIFS(보유목록!$I$2:$I$3001,"*"&amp;P413&amp;"*",보유목록!$I$2:$I$3001,"*"&amp;Q413&amp;"*",보유목록!$H$2:$H$3001,O413)&gt;0,"있음",IF(COUNTIFS(보유목록!$I$2:$I$3001,"*"&amp;P413&amp;"*",보유목록!$I$2:$I$3001,"*"&amp;Q413&amp;"*")&gt;0,"확인필요(연도다름)",IF(COUNTIFS(보유목록!$I$2:$I$3001,"*"&amp;P413&amp;"*",보유목록!$H$2:$H$3001,O413)&gt;0,"확인필요(같은학교·같은연도)","없음")))))</f>
      </c>
      <c r="L413" t="str" s="16">
        <f aca="0">IF(OR(COUNTA(B413:J413)=0,R413&lt;&gt;""),"",COUNTIFS(보유목록!$I$2:$I$3001,"*"&amp;P413&amp;"*",보유목록!$I$2:$I$3001,"*"&amp;Q413&amp;"*"))</f>
      </c>
      <c r="M413" t="str" s="23">
        <f aca="0">IF(OR(COUNTA(B413:J413)=0,R413&lt;&gt;""),"",IFERROR(LOOKUP(2,1/(ISNUMBER(SEARCH(P413,보유목록!$I$2:$I$3001))*ISNUMBER(SEARCH(Q413,보유목록!$I$2:$I$3001))*(보유목록!$H$2:$H$3001=O413)),보유목록!$B$2:$B$3001),IFERROR(LOOKUP(2,1/(ISNUMBER(SEARCH(P413,보유목록!$I$2:$I$3001))*ISNUMBER(SEARCH(Q413,보유목록!$I$2:$I$3001))),보유목록!$B$2:$B$3001),"")))</f>
      </c>
      <c r="N413" s="25"/>
      <c r="O413" t="str">
        <f>IFERROR(IF(AND(LEN(SUBSTITUTE(SUBSTITUTE(SUBSTITUTE(TRIM(C413&amp;""),CHAR(160),"")," ",""),"년",""))=4,VALUE(SUBSTITUTE(SUBSTITUTE(SUBSTITUTE(TRIM(C413&amp;""),CHAR(160),"")," ",""),"년",""))&gt;=1900,VALUE(SUBSTITUTE(SUBSTITUTE(SUBSTITUTE(TRIM(C413&amp;""),CHAR(160),"")," ",""),"년",""))&lt;=2099,TEXT(VALUE(SUBSTITUTE(SUBSTITUTE(SUBSTITUTE(TRIM(C413&amp;""),CHAR(160),"")," ",""),"년","")),"0000")=SUBSTITUTE(SUBSTITUTE(SUBSTITUTE(TRIM(C413&amp;""),CHAR(160),"")," ",""),"년","")),SUBSTITUTE(SUBSTITUTE(SUBSTITUTE(TRIM(C413&amp;""),CHAR(160),"")," ",""),"년",""),""),"")</f>
      </c>
      <c r="P413" t="str">
        <f>SUBSTITUTE(SUBSTITUTE(SUBSTITUTE(SUBSTITUTE(SUBSTITUTE(SUBSTITUTE(SUBSTITUTE(SUBSTITUTE(TRIM(D413&amp;""),CHAR(160),"")," ",""),"초등학교","초"),"중학교","중"),"고등학교","고"),"~","~~"),"*","~*"),"?","~?")</f>
      </c>
      <c r="Q413" t="str">
        <f>SUBSTITUTE(SUBSTITUTE(SUBSTITUTE(SUBSTITUTE(SUBSTITUTE(SUBSTITUTE(SUBSTITUTE(SUBSTITUTE(TRIM(E413&amp;""),CHAR(160),"")," ",""),"초등학교","초"),"중학교","중"),"고등학교","고"),"~","~~"),"*","~*"),"?","~?")</f>
      </c>
      <c r="R413" t="str">
        <f>IF(COUNTA(B413:J413)=0,"",IF(AND(O413&lt;&gt;"",P413&lt;&gt;"",Q413&lt;&gt;""),"","입력누락"))</f>
      </c>
    </row>
    <row r="414" customFormat="false" ht="15" hidden="false" customHeight="false" outlineLevel="0" collapsed="false">
      <c r="A414" t="n" s="19">
        <f aca="0">IF(COUNTA(B414:J414)=0,"",ROW()-1)</f>
      </c>
      <c r="B414" s="24"/>
      <c r="C414" s="25"/>
      <c r="D414" s="8"/>
      <c r="E414" s="8"/>
      <c r="F414" s="26"/>
      <c r="G414" s="24"/>
      <c r="H414" s="25"/>
      <c r="I414" s="25"/>
      <c r="J414" s="26"/>
      <c r="K414" t="str" s="15">
        <f aca="0">IF(COUNTA(B414:J414)=0,"",IF(R414&lt;&gt;"","확인필요(입력누락)",IF(COUNTIFS(보유목록!$I$2:$I$3001,"*"&amp;P414&amp;"*",보유목록!$I$2:$I$3001,"*"&amp;Q414&amp;"*",보유목록!$H$2:$H$3001,O414)&gt;0,"있음",IF(COUNTIFS(보유목록!$I$2:$I$3001,"*"&amp;P414&amp;"*",보유목록!$I$2:$I$3001,"*"&amp;Q414&amp;"*")&gt;0,"확인필요(연도다름)",IF(COUNTIFS(보유목록!$I$2:$I$3001,"*"&amp;P414&amp;"*",보유목록!$H$2:$H$3001,O414)&gt;0,"확인필요(같은학교·같은연도)","없음")))))</f>
      </c>
      <c r="L414" t="str" s="16">
        <f aca="0">IF(OR(COUNTA(B414:J414)=0,R414&lt;&gt;""),"",COUNTIFS(보유목록!$I$2:$I$3001,"*"&amp;P414&amp;"*",보유목록!$I$2:$I$3001,"*"&amp;Q414&amp;"*"))</f>
      </c>
      <c r="M414" t="str" s="23">
        <f aca="0">IF(OR(COUNTA(B414:J414)=0,R414&lt;&gt;""),"",IFERROR(LOOKUP(2,1/(ISNUMBER(SEARCH(P414,보유목록!$I$2:$I$3001))*ISNUMBER(SEARCH(Q414,보유목록!$I$2:$I$3001))*(보유목록!$H$2:$H$3001=O414)),보유목록!$B$2:$B$3001),IFERROR(LOOKUP(2,1/(ISNUMBER(SEARCH(P414,보유목록!$I$2:$I$3001))*ISNUMBER(SEARCH(Q414,보유목록!$I$2:$I$3001))),보유목록!$B$2:$B$3001),"")))</f>
      </c>
      <c r="N414" s="25"/>
      <c r="O414" t="str">
        <f>IFERROR(IF(AND(LEN(SUBSTITUTE(SUBSTITUTE(SUBSTITUTE(TRIM(C414&amp;""),CHAR(160),"")," ",""),"년",""))=4,VALUE(SUBSTITUTE(SUBSTITUTE(SUBSTITUTE(TRIM(C414&amp;""),CHAR(160),"")," ",""),"년",""))&gt;=1900,VALUE(SUBSTITUTE(SUBSTITUTE(SUBSTITUTE(TRIM(C414&amp;""),CHAR(160),"")," ",""),"년",""))&lt;=2099,TEXT(VALUE(SUBSTITUTE(SUBSTITUTE(SUBSTITUTE(TRIM(C414&amp;""),CHAR(160),"")," ",""),"년","")),"0000")=SUBSTITUTE(SUBSTITUTE(SUBSTITUTE(TRIM(C414&amp;""),CHAR(160),"")," ",""),"년","")),SUBSTITUTE(SUBSTITUTE(SUBSTITUTE(TRIM(C414&amp;""),CHAR(160),"")," ",""),"년",""),""),"")</f>
      </c>
      <c r="P414" t="str">
        <f>SUBSTITUTE(SUBSTITUTE(SUBSTITUTE(SUBSTITUTE(SUBSTITUTE(SUBSTITUTE(SUBSTITUTE(SUBSTITUTE(TRIM(D414&amp;""),CHAR(160),"")," ",""),"초등학교","초"),"중학교","중"),"고등학교","고"),"~","~~"),"*","~*"),"?","~?")</f>
      </c>
      <c r="Q414" t="str">
        <f>SUBSTITUTE(SUBSTITUTE(SUBSTITUTE(SUBSTITUTE(SUBSTITUTE(SUBSTITUTE(SUBSTITUTE(SUBSTITUTE(TRIM(E414&amp;""),CHAR(160),"")," ",""),"초등학교","초"),"중학교","중"),"고등학교","고"),"~","~~"),"*","~*"),"?","~?")</f>
      </c>
      <c r="R414" t="str">
        <f>IF(COUNTA(B414:J414)=0,"",IF(AND(O414&lt;&gt;"",P414&lt;&gt;"",Q414&lt;&gt;""),"","입력누락"))</f>
      </c>
    </row>
    <row r="415" customFormat="false" ht="15" hidden="false" customHeight="false" outlineLevel="0" collapsed="false">
      <c r="A415" t="n" s="19">
        <f aca="0">IF(COUNTA(B415:J415)=0,"",ROW()-1)</f>
      </c>
      <c r="B415" s="24"/>
      <c r="C415" s="25"/>
      <c r="D415" s="8"/>
      <c r="E415" s="8"/>
      <c r="F415" s="26"/>
      <c r="G415" s="24"/>
      <c r="H415" s="25"/>
      <c r="I415" s="25"/>
      <c r="J415" s="26"/>
      <c r="K415" t="str" s="15">
        <f aca="0">IF(COUNTA(B415:J415)=0,"",IF(R415&lt;&gt;"","확인필요(입력누락)",IF(COUNTIFS(보유목록!$I$2:$I$3001,"*"&amp;P415&amp;"*",보유목록!$I$2:$I$3001,"*"&amp;Q415&amp;"*",보유목록!$H$2:$H$3001,O415)&gt;0,"있음",IF(COUNTIFS(보유목록!$I$2:$I$3001,"*"&amp;P415&amp;"*",보유목록!$I$2:$I$3001,"*"&amp;Q415&amp;"*")&gt;0,"확인필요(연도다름)",IF(COUNTIFS(보유목록!$I$2:$I$3001,"*"&amp;P415&amp;"*",보유목록!$H$2:$H$3001,O415)&gt;0,"확인필요(같은학교·같은연도)","없음")))))</f>
      </c>
      <c r="L415" t="str" s="16">
        <f aca="0">IF(OR(COUNTA(B415:J415)=0,R415&lt;&gt;""),"",COUNTIFS(보유목록!$I$2:$I$3001,"*"&amp;P415&amp;"*",보유목록!$I$2:$I$3001,"*"&amp;Q415&amp;"*"))</f>
      </c>
      <c r="M415" t="str" s="23">
        <f aca="0">IF(OR(COUNTA(B415:J415)=0,R415&lt;&gt;""),"",IFERROR(LOOKUP(2,1/(ISNUMBER(SEARCH(P415,보유목록!$I$2:$I$3001))*ISNUMBER(SEARCH(Q415,보유목록!$I$2:$I$3001))*(보유목록!$H$2:$H$3001=O415)),보유목록!$B$2:$B$3001),IFERROR(LOOKUP(2,1/(ISNUMBER(SEARCH(P415,보유목록!$I$2:$I$3001))*ISNUMBER(SEARCH(Q415,보유목록!$I$2:$I$3001))),보유목록!$B$2:$B$3001),"")))</f>
      </c>
      <c r="N415" s="25"/>
      <c r="O415" t="str">
        <f>IFERROR(IF(AND(LEN(SUBSTITUTE(SUBSTITUTE(SUBSTITUTE(TRIM(C415&amp;""),CHAR(160),"")," ",""),"년",""))=4,VALUE(SUBSTITUTE(SUBSTITUTE(SUBSTITUTE(TRIM(C415&amp;""),CHAR(160),"")," ",""),"년",""))&gt;=1900,VALUE(SUBSTITUTE(SUBSTITUTE(SUBSTITUTE(TRIM(C415&amp;""),CHAR(160),"")," ",""),"년",""))&lt;=2099,TEXT(VALUE(SUBSTITUTE(SUBSTITUTE(SUBSTITUTE(TRIM(C415&amp;""),CHAR(160),"")," ",""),"년","")),"0000")=SUBSTITUTE(SUBSTITUTE(SUBSTITUTE(TRIM(C415&amp;""),CHAR(160),"")," ",""),"년","")),SUBSTITUTE(SUBSTITUTE(SUBSTITUTE(TRIM(C415&amp;""),CHAR(160),"")," ",""),"년",""),""),"")</f>
      </c>
      <c r="P415" t="str">
        <f>SUBSTITUTE(SUBSTITUTE(SUBSTITUTE(SUBSTITUTE(SUBSTITUTE(SUBSTITUTE(SUBSTITUTE(SUBSTITUTE(TRIM(D415&amp;""),CHAR(160),"")," ",""),"초등학교","초"),"중학교","중"),"고등학교","고"),"~","~~"),"*","~*"),"?","~?")</f>
      </c>
      <c r="Q415" t="str">
        <f>SUBSTITUTE(SUBSTITUTE(SUBSTITUTE(SUBSTITUTE(SUBSTITUTE(SUBSTITUTE(SUBSTITUTE(SUBSTITUTE(TRIM(E415&amp;""),CHAR(160),"")," ",""),"초등학교","초"),"중학교","중"),"고등학교","고"),"~","~~"),"*","~*"),"?","~?")</f>
      </c>
      <c r="R415" t="str">
        <f>IF(COUNTA(B415:J415)=0,"",IF(AND(O415&lt;&gt;"",P415&lt;&gt;"",Q415&lt;&gt;""),"","입력누락"))</f>
      </c>
    </row>
    <row r="416" customFormat="false" ht="15" hidden="false" customHeight="false" outlineLevel="0" collapsed="false">
      <c r="A416" t="n" s="19">
        <f aca="0">IF(COUNTA(B416:J416)=0,"",ROW()-1)</f>
      </c>
      <c r="B416" s="24"/>
      <c r="C416" s="25"/>
      <c r="D416" s="8"/>
      <c r="E416" s="8"/>
      <c r="F416" s="26"/>
      <c r="G416" s="24"/>
      <c r="H416" s="25"/>
      <c r="I416" s="25"/>
      <c r="J416" s="26"/>
      <c r="K416" t="str" s="15">
        <f aca="0">IF(COUNTA(B416:J416)=0,"",IF(R416&lt;&gt;"","확인필요(입력누락)",IF(COUNTIFS(보유목록!$I$2:$I$3001,"*"&amp;P416&amp;"*",보유목록!$I$2:$I$3001,"*"&amp;Q416&amp;"*",보유목록!$H$2:$H$3001,O416)&gt;0,"있음",IF(COUNTIFS(보유목록!$I$2:$I$3001,"*"&amp;P416&amp;"*",보유목록!$I$2:$I$3001,"*"&amp;Q416&amp;"*")&gt;0,"확인필요(연도다름)",IF(COUNTIFS(보유목록!$I$2:$I$3001,"*"&amp;P416&amp;"*",보유목록!$H$2:$H$3001,O416)&gt;0,"확인필요(같은학교·같은연도)","없음")))))</f>
      </c>
      <c r="L416" t="str" s="16">
        <f aca="0">IF(OR(COUNTA(B416:J416)=0,R416&lt;&gt;""),"",COUNTIFS(보유목록!$I$2:$I$3001,"*"&amp;P416&amp;"*",보유목록!$I$2:$I$3001,"*"&amp;Q416&amp;"*"))</f>
      </c>
      <c r="M416" t="str" s="23">
        <f aca="0">IF(OR(COUNTA(B416:J416)=0,R416&lt;&gt;""),"",IFERROR(LOOKUP(2,1/(ISNUMBER(SEARCH(P416,보유목록!$I$2:$I$3001))*ISNUMBER(SEARCH(Q416,보유목록!$I$2:$I$3001))*(보유목록!$H$2:$H$3001=O416)),보유목록!$B$2:$B$3001),IFERROR(LOOKUP(2,1/(ISNUMBER(SEARCH(P416,보유목록!$I$2:$I$3001))*ISNUMBER(SEARCH(Q416,보유목록!$I$2:$I$3001))),보유목록!$B$2:$B$3001),"")))</f>
      </c>
      <c r="N416" s="25"/>
      <c r="O416" t="str">
        <f>IFERROR(IF(AND(LEN(SUBSTITUTE(SUBSTITUTE(SUBSTITUTE(TRIM(C416&amp;""),CHAR(160),"")," ",""),"년",""))=4,VALUE(SUBSTITUTE(SUBSTITUTE(SUBSTITUTE(TRIM(C416&amp;""),CHAR(160),"")," ",""),"년",""))&gt;=1900,VALUE(SUBSTITUTE(SUBSTITUTE(SUBSTITUTE(TRIM(C416&amp;""),CHAR(160),"")," ",""),"년",""))&lt;=2099,TEXT(VALUE(SUBSTITUTE(SUBSTITUTE(SUBSTITUTE(TRIM(C416&amp;""),CHAR(160),"")," ",""),"년","")),"0000")=SUBSTITUTE(SUBSTITUTE(SUBSTITUTE(TRIM(C416&amp;""),CHAR(160),"")," ",""),"년","")),SUBSTITUTE(SUBSTITUTE(SUBSTITUTE(TRIM(C416&amp;""),CHAR(160),"")," ",""),"년",""),""),"")</f>
      </c>
      <c r="P416" t="str">
        <f>SUBSTITUTE(SUBSTITUTE(SUBSTITUTE(SUBSTITUTE(SUBSTITUTE(SUBSTITUTE(SUBSTITUTE(SUBSTITUTE(TRIM(D416&amp;""),CHAR(160),"")," ",""),"초등학교","초"),"중학교","중"),"고등학교","고"),"~","~~"),"*","~*"),"?","~?")</f>
      </c>
      <c r="Q416" t="str">
        <f>SUBSTITUTE(SUBSTITUTE(SUBSTITUTE(SUBSTITUTE(SUBSTITUTE(SUBSTITUTE(SUBSTITUTE(SUBSTITUTE(TRIM(E416&amp;""),CHAR(160),"")," ",""),"초등학교","초"),"중학교","중"),"고등학교","고"),"~","~~"),"*","~*"),"?","~?")</f>
      </c>
      <c r="R416" t="str">
        <f>IF(COUNTA(B416:J416)=0,"",IF(AND(O416&lt;&gt;"",P416&lt;&gt;"",Q416&lt;&gt;""),"","입력누락"))</f>
      </c>
    </row>
    <row r="417" customFormat="false" ht="15" hidden="false" customHeight="false" outlineLevel="0" collapsed="false">
      <c r="A417" t="n" s="19">
        <f aca="0">IF(COUNTA(B417:J417)=0,"",ROW()-1)</f>
      </c>
      <c r="B417" s="24"/>
      <c r="C417" s="25"/>
      <c r="D417" s="8"/>
      <c r="E417" s="8"/>
      <c r="F417" s="26"/>
      <c r="G417" s="24"/>
      <c r="H417" s="25"/>
      <c r="I417" s="25"/>
      <c r="J417" s="26"/>
      <c r="K417" t="str" s="15">
        <f aca="0">IF(COUNTA(B417:J417)=0,"",IF(R417&lt;&gt;"","확인필요(입력누락)",IF(COUNTIFS(보유목록!$I$2:$I$3001,"*"&amp;P417&amp;"*",보유목록!$I$2:$I$3001,"*"&amp;Q417&amp;"*",보유목록!$H$2:$H$3001,O417)&gt;0,"있음",IF(COUNTIFS(보유목록!$I$2:$I$3001,"*"&amp;P417&amp;"*",보유목록!$I$2:$I$3001,"*"&amp;Q417&amp;"*")&gt;0,"확인필요(연도다름)",IF(COUNTIFS(보유목록!$I$2:$I$3001,"*"&amp;P417&amp;"*",보유목록!$H$2:$H$3001,O417)&gt;0,"확인필요(같은학교·같은연도)","없음")))))</f>
      </c>
      <c r="L417" t="str" s="16">
        <f aca="0">IF(OR(COUNTA(B417:J417)=0,R417&lt;&gt;""),"",COUNTIFS(보유목록!$I$2:$I$3001,"*"&amp;P417&amp;"*",보유목록!$I$2:$I$3001,"*"&amp;Q417&amp;"*"))</f>
      </c>
      <c r="M417" t="str" s="23">
        <f aca="0">IF(OR(COUNTA(B417:J417)=0,R417&lt;&gt;""),"",IFERROR(LOOKUP(2,1/(ISNUMBER(SEARCH(P417,보유목록!$I$2:$I$3001))*ISNUMBER(SEARCH(Q417,보유목록!$I$2:$I$3001))*(보유목록!$H$2:$H$3001=O417)),보유목록!$B$2:$B$3001),IFERROR(LOOKUP(2,1/(ISNUMBER(SEARCH(P417,보유목록!$I$2:$I$3001))*ISNUMBER(SEARCH(Q417,보유목록!$I$2:$I$3001))),보유목록!$B$2:$B$3001),"")))</f>
      </c>
      <c r="N417" s="25"/>
      <c r="O417" t="str">
        <f>IFERROR(IF(AND(LEN(SUBSTITUTE(SUBSTITUTE(SUBSTITUTE(TRIM(C417&amp;""),CHAR(160),"")," ",""),"년",""))=4,VALUE(SUBSTITUTE(SUBSTITUTE(SUBSTITUTE(TRIM(C417&amp;""),CHAR(160),"")," ",""),"년",""))&gt;=1900,VALUE(SUBSTITUTE(SUBSTITUTE(SUBSTITUTE(TRIM(C417&amp;""),CHAR(160),"")," ",""),"년",""))&lt;=2099,TEXT(VALUE(SUBSTITUTE(SUBSTITUTE(SUBSTITUTE(TRIM(C417&amp;""),CHAR(160),"")," ",""),"년","")),"0000")=SUBSTITUTE(SUBSTITUTE(SUBSTITUTE(TRIM(C417&amp;""),CHAR(160),"")," ",""),"년","")),SUBSTITUTE(SUBSTITUTE(SUBSTITUTE(TRIM(C417&amp;""),CHAR(160),"")," ",""),"년",""),""),"")</f>
      </c>
      <c r="P417" t="str">
        <f>SUBSTITUTE(SUBSTITUTE(SUBSTITUTE(SUBSTITUTE(SUBSTITUTE(SUBSTITUTE(SUBSTITUTE(SUBSTITUTE(TRIM(D417&amp;""),CHAR(160),"")," ",""),"초등학교","초"),"중학교","중"),"고등학교","고"),"~","~~"),"*","~*"),"?","~?")</f>
      </c>
      <c r="Q417" t="str">
        <f>SUBSTITUTE(SUBSTITUTE(SUBSTITUTE(SUBSTITUTE(SUBSTITUTE(SUBSTITUTE(SUBSTITUTE(SUBSTITUTE(TRIM(E417&amp;""),CHAR(160),"")," ",""),"초등학교","초"),"중학교","중"),"고등학교","고"),"~","~~"),"*","~*"),"?","~?")</f>
      </c>
      <c r="R417" t="str">
        <f>IF(COUNTA(B417:J417)=0,"",IF(AND(O417&lt;&gt;"",P417&lt;&gt;"",Q417&lt;&gt;""),"","입력누락"))</f>
      </c>
    </row>
    <row r="418" customFormat="false" ht="15" hidden="false" customHeight="false" outlineLevel="0" collapsed="false">
      <c r="A418" t="n" s="19">
        <f aca="0">IF(COUNTA(B418:J418)=0,"",ROW()-1)</f>
      </c>
      <c r="B418" s="24"/>
      <c r="C418" s="25"/>
      <c r="D418" s="8"/>
      <c r="E418" s="8"/>
      <c r="F418" s="26"/>
      <c r="G418" s="24"/>
      <c r="H418" s="25"/>
      <c r="I418" s="25"/>
      <c r="J418" s="26"/>
      <c r="K418" t="str" s="15">
        <f aca="0">IF(COUNTA(B418:J418)=0,"",IF(R418&lt;&gt;"","확인필요(입력누락)",IF(COUNTIFS(보유목록!$I$2:$I$3001,"*"&amp;P418&amp;"*",보유목록!$I$2:$I$3001,"*"&amp;Q418&amp;"*",보유목록!$H$2:$H$3001,O418)&gt;0,"있음",IF(COUNTIFS(보유목록!$I$2:$I$3001,"*"&amp;P418&amp;"*",보유목록!$I$2:$I$3001,"*"&amp;Q418&amp;"*")&gt;0,"확인필요(연도다름)",IF(COUNTIFS(보유목록!$I$2:$I$3001,"*"&amp;P418&amp;"*",보유목록!$H$2:$H$3001,O418)&gt;0,"확인필요(같은학교·같은연도)","없음")))))</f>
      </c>
      <c r="L418" t="str" s="16">
        <f aca="0">IF(OR(COUNTA(B418:J418)=0,R418&lt;&gt;""),"",COUNTIFS(보유목록!$I$2:$I$3001,"*"&amp;P418&amp;"*",보유목록!$I$2:$I$3001,"*"&amp;Q418&amp;"*"))</f>
      </c>
      <c r="M418" t="str" s="23">
        <f aca="0">IF(OR(COUNTA(B418:J418)=0,R418&lt;&gt;""),"",IFERROR(LOOKUP(2,1/(ISNUMBER(SEARCH(P418,보유목록!$I$2:$I$3001))*ISNUMBER(SEARCH(Q418,보유목록!$I$2:$I$3001))*(보유목록!$H$2:$H$3001=O418)),보유목록!$B$2:$B$3001),IFERROR(LOOKUP(2,1/(ISNUMBER(SEARCH(P418,보유목록!$I$2:$I$3001))*ISNUMBER(SEARCH(Q418,보유목록!$I$2:$I$3001))),보유목록!$B$2:$B$3001),"")))</f>
      </c>
      <c r="N418" s="25"/>
      <c r="O418" t="str">
        <f>IFERROR(IF(AND(LEN(SUBSTITUTE(SUBSTITUTE(SUBSTITUTE(TRIM(C418&amp;""),CHAR(160),"")," ",""),"년",""))=4,VALUE(SUBSTITUTE(SUBSTITUTE(SUBSTITUTE(TRIM(C418&amp;""),CHAR(160),"")," ",""),"년",""))&gt;=1900,VALUE(SUBSTITUTE(SUBSTITUTE(SUBSTITUTE(TRIM(C418&amp;""),CHAR(160),"")," ",""),"년",""))&lt;=2099,TEXT(VALUE(SUBSTITUTE(SUBSTITUTE(SUBSTITUTE(TRIM(C418&amp;""),CHAR(160),"")," ",""),"년","")),"0000")=SUBSTITUTE(SUBSTITUTE(SUBSTITUTE(TRIM(C418&amp;""),CHAR(160),"")," ",""),"년","")),SUBSTITUTE(SUBSTITUTE(SUBSTITUTE(TRIM(C418&amp;""),CHAR(160),"")," ",""),"년",""),""),"")</f>
      </c>
      <c r="P418" t="str">
        <f>SUBSTITUTE(SUBSTITUTE(SUBSTITUTE(SUBSTITUTE(SUBSTITUTE(SUBSTITUTE(SUBSTITUTE(SUBSTITUTE(TRIM(D418&amp;""),CHAR(160),"")," ",""),"초등학교","초"),"중학교","중"),"고등학교","고"),"~","~~"),"*","~*"),"?","~?")</f>
      </c>
      <c r="Q418" t="str">
        <f>SUBSTITUTE(SUBSTITUTE(SUBSTITUTE(SUBSTITUTE(SUBSTITUTE(SUBSTITUTE(SUBSTITUTE(SUBSTITUTE(TRIM(E418&amp;""),CHAR(160),"")," ",""),"초등학교","초"),"중학교","중"),"고등학교","고"),"~","~~"),"*","~*"),"?","~?")</f>
      </c>
      <c r="R418" t="str">
        <f>IF(COUNTA(B418:J418)=0,"",IF(AND(O418&lt;&gt;"",P418&lt;&gt;"",Q418&lt;&gt;""),"","입력누락"))</f>
      </c>
    </row>
    <row r="419" customFormat="false" ht="15" hidden="false" customHeight="false" outlineLevel="0" collapsed="false">
      <c r="A419" t="n" s="19">
        <f aca="0">IF(COUNTA(B419:J419)=0,"",ROW()-1)</f>
      </c>
      <c r="B419" s="24"/>
      <c r="C419" s="25"/>
      <c r="D419" s="8"/>
      <c r="E419" s="8"/>
      <c r="F419" s="26"/>
      <c r="G419" s="24"/>
      <c r="H419" s="25"/>
      <c r="I419" s="25"/>
      <c r="J419" s="26"/>
      <c r="K419" t="str" s="15">
        <f aca="0">IF(COUNTA(B419:J419)=0,"",IF(R419&lt;&gt;"","확인필요(입력누락)",IF(COUNTIFS(보유목록!$I$2:$I$3001,"*"&amp;P419&amp;"*",보유목록!$I$2:$I$3001,"*"&amp;Q419&amp;"*",보유목록!$H$2:$H$3001,O419)&gt;0,"있음",IF(COUNTIFS(보유목록!$I$2:$I$3001,"*"&amp;P419&amp;"*",보유목록!$I$2:$I$3001,"*"&amp;Q419&amp;"*")&gt;0,"확인필요(연도다름)",IF(COUNTIFS(보유목록!$I$2:$I$3001,"*"&amp;P419&amp;"*",보유목록!$H$2:$H$3001,O419)&gt;0,"확인필요(같은학교·같은연도)","없음")))))</f>
      </c>
      <c r="L419" t="str" s="16">
        <f aca="0">IF(OR(COUNTA(B419:J419)=0,R419&lt;&gt;""),"",COUNTIFS(보유목록!$I$2:$I$3001,"*"&amp;P419&amp;"*",보유목록!$I$2:$I$3001,"*"&amp;Q419&amp;"*"))</f>
      </c>
      <c r="M419" t="str" s="23">
        <f aca="0">IF(OR(COUNTA(B419:J419)=0,R419&lt;&gt;""),"",IFERROR(LOOKUP(2,1/(ISNUMBER(SEARCH(P419,보유목록!$I$2:$I$3001))*ISNUMBER(SEARCH(Q419,보유목록!$I$2:$I$3001))*(보유목록!$H$2:$H$3001=O419)),보유목록!$B$2:$B$3001),IFERROR(LOOKUP(2,1/(ISNUMBER(SEARCH(P419,보유목록!$I$2:$I$3001))*ISNUMBER(SEARCH(Q419,보유목록!$I$2:$I$3001))),보유목록!$B$2:$B$3001),"")))</f>
      </c>
      <c r="N419" s="25"/>
      <c r="O419" t="str">
        <f>IFERROR(IF(AND(LEN(SUBSTITUTE(SUBSTITUTE(SUBSTITUTE(TRIM(C419&amp;""),CHAR(160),"")," ",""),"년",""))=4,VALUE(SUBSTITUTE(SUBSTITUTE(SUBSTITUTE(TRIM(C419&amp;""),CHAR(160),"")," ",""),"년",""))&gt;=1900,VALUE(SUBSTITUTE(SUBSTITUTE(SUBSTITUTE(TRIM(C419&amp;""),CHAR(160),"")," ",""),"년",""))&lt;=2099,TEXT(VALUE(SUBSTITUTE(SUBSTITUTE(SUBSTITUTE(TRIM(C419&amp;""),CHAR(160),"")," ",""),"년","")),"0000")=SUBSTITUTE(SUBSTITUTE(SUBSTITUTE(TRIM(C419&amp;""),CHAR(160),"")," ",""),"년","")),SUBSTITUTE(SUBSTITUTE(SUBSTITUTE(TRIM(C419&amp;""),CHAR(160),"")," ",""),"년",""),""),"")</f>
      </c>
      <c r="P419" t="str">
        <f>SUBSTITUTE(SUBSTITUTE(SUBSTITUTE(SUBSTITUTE(SUBSTITUTE(SUBSTITUTE(SUBSTITUTE(SUBSTITUTE(TRIM(D419&amp;""),CHAR(160),"")," ",""),"초등학교","초"),"중학교","중"),"고등학교","고"),"~","~~"),"*","~*"),"?","~?")</f>
      </c>
      <c r="Q419" t="str">
        <f>SUBSTITUTE(SUBSTITUTE(SUBSTITUTE(SUBSTITUTE(SUBSTITUTE(SUBSTITUTE(SUBSTITUTE(SUBSTITUTE(TRIM(E419&amp;""),CHAR(160),"")," ",""),"초등학교","초"),"중학교","중"),"고등학교","고"),"~","~~"),"*","~*"),"?","~?")</f>
      </c>
      <c r="R419" t="str">
        <f>IF(COUNTA(B419:J419)=0,"",IF(AND(O419&lt;&gt;"",P419&lt;&gt;"",Q419&lt;&gt;""),"","입력누락"))</f>
      </c>
    </row>
    <row r="420" customFormat="false" ht="15" hidden="false" customHeight="false" outlineLevel="0" collapsed="false">
      <c r="A420" t="n" s="19">
        <f aca="0">IF(COUNTA(B420:J420)=0,"",ROW()-1)</f>
      </c>
      <c r="B420" s="24"/>
      <c r="C420" s="25"/>
      <c r="D420" s="8"/>
      <c r="E420" s="8"/>
      <c r="F420" s="26"/>
      <c r="G420" s="24"/>
      <c r="H420" s="25"/>
      <c r="I420" s="25"/>
      <c r="J420" s="26"/>
      <c r="K420" t="str" s="15">
        <f aca="0">IF(COUNTA(B420:J420)=0,"",IF(R420&lt;&gt;"","확인필요(입력누락)",IF(COUNTIFS(보유목록!$I$2:$I$3001,"*"&amp;P420&amp;"*",보유목록!$I$2:$I$3001,"*"&amp;Q420&amp;"*",보유목록!$H$2:$H$3001,O420)&gt;0,"있음",IF(COUNTIFS(보유목록!$I$2:$I$3001,"*"&amp;P420&amp;"*",보유목록!$I$2:$I$3001,"*"&amp;Q420&amp;"*")&gt;0,"확인필요(연도다름)",IF(COUNTIFS(보유목록!$I$2:$I$3001,"*"&amp;P420&amp;"*",보유목록!$H$2:$H$3001,O420)&gt;0,"확인필요(같은학교·같은연도)","없음")))))</f>
      </c>
      <c r="L420" t="str" s="16">
        <f aca="0">IF(OR(COUNTA(B420:J420)=0,R420&lt;&gt;""),"",COUNTIFS(보유목록!$I$2:$I$3001,"*"&amp;P420&amp;"*",보유목록!$I$2:$I$3001,"*"&amp;Q420&amp;"*"))</f>
      </c>
      <c r="M420" t="str" s="23">
        <f aca="0">IF(OR(COUNTA(B420:J420)=0,R420&lt;&gt;""),"",IFERROR(LOOKUP(2,1/(ISNUMBER(SEARCH(P420,보유목록!$I$2:$I$3001))*ISNUMBER(SEARCH(Q420,보유목록!$I$2:$I$3001))*(보유목록!$H$2:$H$3001=O420)),보유목록!$B$2:$B$3001),IFERROR(LOOKUP(2,1/(ISNUMBER(SEARCH(P420,보유목록!$I$2:$I$3001))*ISNUMBER(SEARCH(Q420,보유목록!$I$2:$I$3001))),보유목록!$B$2:$B$3001),"")))</f>
      </c>
      <c r="N420" s="25"/>
      <c r="O420" t="str">
        <f>IFERROR(IF(AND(LEN(SUBSTITUTE(SUBSTITUTE(SUBSTITUTE(TRIM(C420&amp;""),CHAR(160),"")," ",""),"년",""))=4,VALUE(SUBSTITUTE(SUBSTITUTE(SUBSTITUTE(TRIM(C420&amp;""),CHAR(160),"")," ",""),"년",""))&gt;=1900,VALUE(SUBSTITUTE(SUBSTITUTE(SUBSTITUTE(TRIM(C420&amp;""),CHAR(160),"")," ",""),"년",""))&lt;=2099,TEXT(VALUE(SUBSTITUTE(SUBSTITUTE(SUBSTITUTE(TRIM(C420&amp;""),CHAR(160),"")," ",""),"년","")),"0000")=SUBSTITUTE(SUBSTITUTE(SUBSTITUTE(TRIM(C420&amp;""),CHAR(160),"")," ",""),"년","")),SUBSTITUTE(SUBSTITUTE(SUBSTITUTE(TRIM(C420&amp;""),CHAR(160),"")," ",""),"년",""),""),"")</f>
      </c>
      <c r="P420" t="str">
        <f>SUBSTITUTE(SUBSTITUTE(SUBSTITUTE(SUBSTITUTE(SUBSTITUTE(SUBSTITUTE(SUBSTITUTE(SUBSTITUTE(TRIM(D420&amp;""),CHAR(160),"")," ",""),"초등학교","초"),"중학교","중"),"고등학교","고"),"~","~~"),"*","~*"),"?","~?")</f>
      </c>
      <c r="Q420" t="str">
        <f>SUBSTITUTE(SUBSTITUTE(SUBSTITUTE(SUBSTITUTE(SUBSTITUTE(SUBSTITUTE(SUBSTITUTE(SUBSTITUTE(TRIM(E420&amp;""),CHAR(160),"")," ",""),"초등학교","초"),"중학교","중"),"고등학교","고"),"~","~~"),"*","~*"),"?","~?")</f>
      </c>
      <c r="R420" t="str">
        <f>IF(COUNTA(B420:J420)=0,"",IF(AND(O420&lt;&gt;"",P420&lt;&gt;"",Q420&lt;&gt;""),"","입력누락"))</f>
      </c>
    </row>
    <row r="421" customFormat="false" ht="15" hidden="false" customHeight="false" outlineLevel="0" collapsed="false">
      <c r="A421" t="n" s="19">
        <f aca="0">IF(COUNTA(B421:J421)=0,"",ROW()-1)</f>
      </c>
      <c r="B421" s="24"/>
      <c r="C421" s="25"/>
      <c r="D421" s="8"/>
      <c r="E421" s="8"/>
      <c r="F421" s="26"/>
      <c r="G421" s="24"/>
      <c r="H421" s="25"/>
      <c r="I421" s="25"/>
      <c r="J421" s="26"/>
      <c r="K421" t="str" s="15">
        <f aca="0">IF(COUNTA(B421:J421)=0,"",IF(R421&lt;&gt;"","확인필요(입력누락)",IF(COUNTIFS(보유목록!$I$2:$I$3001,"*"&amp;P421&amp;"*",보유목록!$I$2:$I$3001,"*"&amp;Q421&amp;"*",보유목록!$H$2:$H$3001,O421)&gt;0,"있음",IF(COUNTIFS(보유목록!$I$2:$I$3001,"*"&amp;P421&amp;"*",보유목록!$I$2:$I$3001,"*"&amp;Q421&amp;"*")&gt;0,"확인필요(연도다름)",IF(COUNTIFS(보유목록!$I$2:$I$3001,"*"&amp;P421&amp;"*",보유목록!$H$2:$H$3001,O421)&gt;0,"확인필요(같은학교·같은연도)","없음")))))</f>
      </c>
      <c r="L421" t="str" s="16">
        <f aca="0">IF(OR(COUNTA(B421:J421)=0,R421&lt;&gt;""),"",COUNTIFS(보유목록!$I$2:$I$3001,"*"&amp;P421&amp;"*",보유목록!$I$2:$I$3001,"*"&amp;Q421&amp;"*"))</f>
      </c>
      <c r="M421" t="str" s="23">
        <f aca="0">IF(OR(COUNTA(B421:J421)=0,R421&lt;&gt;""),"",IFERROR(LOOKUP(2,1/(ISNUMBER(SEARCH(P421,보유목록!$I$2:$I$3001))*ISNUMBER(SEARCH(Q421,보유목록!$I$2:$I$3001))*(보유목록!$H$2:$H$3001=O421)),보유목록!$B$2:$B$3001),IFERROR(LOOKUP(2,1/(ISNUMBER(SEARCH(P421,보유목록!$I$2:$I$3001))*ISNUMBER(SEARCH(Q421,보유목록!$I$2:$I$3001))),보유목록!$B$2:$B$3001),"")))</f>
      </c>
      <c r="N421" s="25"/>
      <c r="O421" t="str">
        <f>IFERROR(IF(AND(LEN(SUBSTITUTE(SUBSTITUTE(SUBSTITUTE(TRIM(C421&amp;""),CHAR(160),"")," ",""),"년",""))=4,VALUE(SUBSTITUTE(SUBSTITUTE(SUBSTITUTE(TRIM(C421&amp;""),CHAR(160),"")," ",""),"년",""))&gt;=1900,VALUE(SUBSTITUTE(SUBSTITUTE(SUBSTITUTE(TRIM(C421&amp;""),CHAR(160),"")," ",""),"년",""))&lt;=2099,TEXT(VALUE(SUBSTITUTE(SUBSTITUTE(SUBSTITUTE(TRIM(C421&amp;""),CHAR(160),"")," ",""),"년","")),"0000")=SUBSTITUTE(SUBSTITUTE(SUBSTITUTE(TRIM(C421&amp;""),CHAR(160),"")," ",""),"년","")),SUBSTITUTE(SUBSTITUTE(SUBSTITUTE(TRIM(C421&amp;""),CHAR(160),"")," ",""),"년",""),""),"")</f>
      </c>
      <c r="P421" t="str">
        <f>SUBSTITUTE(SUBSTITUTE(SUBSTITUTE(SUBSTITUTE(SUBSTITUTE(SUBSTITUTE(SUBSTITUTE(SUBSTITUTE(TRIM(D421&amp;""),CHAR(160),"")," ",""),"초등학교","초"),"중학교","중"),"고등학교","고"),"~","~~"),"*","~*"),"?","~?")</f>
      </c>
      <c r="Q421" t="str">
        <f>SUBSTITUTE(SUBSTITUTE(SUBSTITUTE(SUBSTITUTE(SUBSTITUTE(SUBSTITUTE(SUBSTITUTE(SUBSTITUTE(TRIM(E421&amp;""),CHAR(160),"")," ",""),"초등학교","초"),"중학교","중"),"고등학교","고"),"~","~~"),"*","~*"),"?","~?")</f>
      </c>
      <c r="R421" t="str">
        <f>IF(COUNTA(B421:J421)=0,"",IF(AND(O421&lt;&gt;"",P421&lt;&gt;"",Q421&lt;&gt;""),"","입력누락"))</f>
      </c>
    </row>
    <row r="422" customFormat="false" ht="15" hidden="false" customHeight="false" outlineLevel="0" collapsed="false">
      <c r="A422" t="n" s="19">
        <f aca="0">IF(COUNTA(B422:J422)=0,"",ROW()-1)</f>
      </c>
      <c r="B422" s="24"/>
      <c r="C422" s="25"/>
      <c r="D422" s="8"/>
      <c r="E422" s="8"/>
      <c r="F422" s="26"/>
      <c r="G422" s="24"/>
      <c r="H422" s="25"/>
      <c r="I422" s="25"/>
      <c r="J422" s="26"/>
      <c r="K422" t="str" s="15">
        <f aca="0">IF(COUNTA(B422:J422)=0,"",IF(R422&lt;&gt;"","확인필요(입력누락)",IF(COUNTIFS(보유목록!$I$2:$I$3001,"*"&amp;P422&amp;"*",보유목록!$I$2:$I$3001,"*"&amp;Q422&amp;"*",보유목록!$H$2:$H$3001,O422)&gt;0,"있음",IF(COUNTIFS(보유목록!$I$2:$I$3001,"*"&amp;P422&amp;"*",보유목록!$I$2:$I$3001,"*"&amp;Q422&amp;"*")&gt;0,"확인필요(연도다름)",IF(COUNTIFS(보유목록!$I$2:$I$3001,"*"&amp;P422&amp;"*",보유목록!$H$2:$H$3001,O422)&gt;0,"확인필요(같은학교·같은연도)","없음")))))</f>
      </c>
      <c r="L422" t="str" s="16">
        <f aca="0">IF(OR(COUNTA(B422:J422)=0,R422&lt;&gt;""),"",COUNTIFS(보유목록!$I$2:$I$3001,"*"&amp;P422&amp;"*",보유목록!$I$2:$I$3001,"*"&amp;Q422&amp;"*"))</f>
      </c>
      <c r="M422" t="str" s="23">
        <f aca="0">IF(OR(COUNTA(B422:J422)=0,R422&lt;&gt;""),"",IFERROR(LOOKUP(2,1/(ISNUMBER(SEARCH(P422,보유목록!$I$2:$I$3001))*ISNUMBER(SEARCH(Q422,보유목록!$I$2:$I$3001))*(보유목록!$H$2:$H$3001=O422)),보유목록!$B$2:$B$3001),IFERROR(LOOKUP(2,1/(ISNUMBER(SEARCH(P422,보유목록!$I$2:$I$3001))*ISNUMBER(SEARCH(Q422,보유목록!$I$2:$I$3001))),보유목록!$B$2:$B$3001),"")))</f>
      </c>
      <c r="N422" s="25"/>
      <c r="O422" t="str">
        <f>IFERROR(IF(AND(LEN(SUBSTITUTE(SUBSTITUTE(SUBSTITUTE(TRIM(C422&amp;""),CHAR(160),"")," ",""),"년",""))=4,VALUE(SUBSTITUTE(SUBSTITUTE(SUBSTITUTE(TRIM(C422&amp;""),CHAR(160),"")," ",""),"년",""))&gt;=1900,VALUE(SUBSTITUTE(SUBSTITUTE(SUBSTITUTE(TRIM(C422&amp;""),CHAR(160),"")," ",""),"년",""))&lt;=2099,TEXT(VALUE(SUBSTITUTE(SUBSTITUTE(SUBSTITUTE(TRIM(C422&amp;""),CHAR(160),"")," ",""),"년","")),"0000")=SUBSTITUTE(SUBSTITUTE(SUBSTITUTE(TRIM(C422&amp;""),CHAR(160),"")," ",""),"년","")),SUBSTITUTE(SUBSTITUTE(SUBSTITUTE(TRIM(C422&amp;""),CHAR(160),"")," ",""),"년",""),""),"")</f>
      </c>
      <c r="P422" t="str">
        <f>SUBSTITUTE(SUBSTITUTE(SUBSTITUTE(SUBSTITUTE(SUBSTITUTE(SUBSTITUTE(SUBSTITUTE(SUBSTITUTE(TRIM(D422&amp;""),CHAR(160),"")," ",""),"초등학교","초"),"중학교","중"),"고등학교","고"),"~","~~"),"*","~*"),"?","~?")</f>
      </c>
      <c r="Q422" t="str">
        <f>SUBSTITUTE(SUBSTITUTE(SUBSTITUTE(SUBSTITUTE(SUBSTITUTE(SUBSTITUTE(SUBSTITUTE(SUBSTITUTE(TRIM(E422&amp;""),CHAR(160),"")," ",""),"초등학교","초"),"중학교","중"),"고등학교","고"),"~","~~"),"*","~*"),"?","~?")</f>
      </c>
      <c r="R422" t="str">
        <f>IF(COUNTA(B422:J422)=0,"",IF(AND(O422&lt;&gt;"",P422&lt;&gt;"",Q422&lt;&gt;""),"","입력누락"))</f>
      </c>
    </row>
    <row r="423" customFormat="false" ht="15" hidden="false" customHeight="false" outlineLevel="0" collapsed="false">
      <c r="A423" t="n" s="19">
        <f aca="0">IF(COUNTA(B423:J423)=0,"",ROW()-1)</f>
      </c>
      <c r="B423" s="24"/>
      <c r="C423" s="25"/>
      <c r="D423" s="8"/>
      <c r="E423" s="8"/>
      <c r="F423" s="26"/>
      <c r="G423" s="24"/>
      <c r="H423" s="25"/>
      <c r="I423" s="25"/>
      <c r="J423" s="26"/>
      <c r="K423" t="str" s="15">
        <f aca="0">IF(COUNTA(B423:J423)=0,"",IF(R423&lt;&gt;"","확인필요(입력누락)",IF(COUNTIFS(보유목록!$I$2:$I$3001,"*"&amp;P423&amp;"*",보유목록!$I$2:$I$3001,"*"&amp;Q423&amp;"*",보유목록!$H$2:$H$3001,O423)&gt;0,"있음",IF(COUNTIFS(보유목록!$I$2:$I$3001,"*"&amp;P423&amp;"*",보유목록!$I$2:$I$3001,"*"&amp;Q423&amp;"*")&gt;0,"확인필요(연도다름)",IF(COUNTIFS(보유목록!$I$2:$I$3001,"*"&amp;P423&amp;"*",보유목록!$H$2:$H$3001,O423)&gt;0,"확인필요(같은학교·같은연도)","없음")))))</f>
      </c>
      <c r="L423" t="str" s="16">
        <f aca="0">IF(OR(COUNTA(B423:J423)=0,R423&lt;&gt;""),"",COUNTIFS(보유목록!$I$2:$I$3001,"*"&amp;P423&amp;"*",보유목록!$I$2:$I$3001,"*"&amp;Q423&amp;"*"))</f>
      </c>
      <c r="M423" t="str" s="23">
        <f aca="0">IF(OR(COUNTA(B423:J423)=0,R423&lt;&gt;""),"",IFERROR(LOOKUP(2,1/(ISNUMBER(SEARCH(P423,보유목록!$I$2:$I$3001))*ISNUMBER(SEARCH(Q423,보유목록!$I$2:$I$3001))*(보유목록!$H$2:$H$3001=O423)),보유목록!$B$2:$B$3001),IFERROR(LOOKUP(2,1/(ISNUMBER(SEARCH(P423,보유목록!$I$2:$I$3001))*ISNUMBER(SEARCH(Q423,보유목록!$I$2:$I$3001))),보유목록!$B$2:$B$3001),"")))</f>
      </c>
      <c r="N423" s="25"/>
      <c r="O423" t="str">
        <f>IFERROR(IF(AND(LEN(SUBSTITUTE(SUBSTITUTE(SUBSTITUTE(TRIM(C423&amp;""),CHAR(160),"")," ",""),"년",""))=4,VALUE(SUBSTITUTE(SUBSTITUTE(SUBSTITUTE(TRIM(C423&amp;""),CHAR(160),"")," ",""),"년",""))&gt;=1900,VALUE(SUBSTITUTE(SUBSTITUTE(SUBSTITUTE(TRIM(C423&amp;""),CHAR(160),"")," ",""),"년",""))&lt;=2099,TEXT(VALUE(SUBSTITUTE(SUBSTITUTE(SUBSTITUTE(TRIM(C423&amp;""),CHAR(160),"")," ",""),"년","")),"0000")=SUBSTITUTE(SUBSTITUTE(SUBSTITUTE(TRIM(C423&amp;""),CHAR(160),"")," ",""),"년","")),SUBSTITUTE(SUBSTITUTE(SUBSTITUTE(TRIM(C423&amp;""),CHAR(160),"")," ",""),"년",""),""),"")</f>
      </c>
      <c r="P423" t="str">
        <f>SUBSTITUTE(SUBSTITUTE(SUBSTITUTE(SUBSTITUTE(SUBSTITUTE(SUBSTITUTE(SUBSTITUTE(SUBSTITUTE(TRIM(D423&amp;""),CHAR(160),"")," ",""),"초등학교","초"),"중학교","중"),"고등학교","고"),"~","~~"),"*","~*"),"?","~?")</f>
      </c>
      <c r="Q423" t="str">
        <f>SUBSTITUTE(SUBSTITUTE(SUBSTITUTE(SUBSTITUTE(SUBSTITUTE(SUBSTITUTE(SUBSTITUTE(SUBSTITUTE(TRIM(E423&amp;""),CHAR(160),"")," ",""),"초등학교","초"),"중학교","중"),"고등학교","고"),"~","~~"),"*","~*"),"?","~?")</f>
      </c>
      <c r="R423" t="str">
        <f>IF(COUNTA(B423:J423)=0,"",IF(AND(O423&lt;&gt;"",P423&lt;&gt;"",Q423&lt;&gt;""),"","입력누락"))</f>
      </c>
    </row>
    <row r="424" customFormat="false" ht="15" hidden="false" customHeight="false" outlineLevel="0" collapsed="false">
      <c r="A424" t="n" s="19">
        <f aca="0">IF(COUNTA(B424:J424)=0,"",ROW()-1)</f>
      </c>
      <c r="B424" s="24"/>
      <c r="C424" s="25"/>
      <c r="D424" s="8"/>
      <c r="E424" s="8"/>
      <c r="F424" s="26"/>
      <c r="G424" s="24"/>
      <c r="H424" s="25"/>
      <c r="I424" s="25"/>
      <c r="J424" s="26"/>
      <c r="K424" t="str" s="15">
        <f aca="0">IF(COUNTA(B424:J424)=0,"",IF(R424&lt;&gt;"","확인필요(입력누락)",IF(COUNTIFS(보유목록!$I$2:$I$3001,"*"&amp;P424&amp;"*",보유목록!$I$2:$I$3001,"*"&amp;Q424&amp;"*",보유목록!$H$2:$H$3001,O424)&gt;0,"있음",IF(COUNTIFS(보유목록!$I$2:$I$3001,"*"&amp;P424&amp;"*",보유목록!$I$2:$I$3001,"*"&amp;Q424&amp;"*")&gt;0,"확인필요(연도다름)",IF(COUNTIFS(보유목록!$I$2:$I$3001,"*"&amp;P424&amp;"*",보유목록!$H$2:$H$3001,O424)&gt;0,"확인필요(같은학교·같은연도)","없음")))))</f>
      </c>
      <c r="L424" t="str" s="16">
        <f aca="0">IF(OR(COUNTA(B424:J424)=0,R424&lt;&gt;""),"",COUNTIFS(보유목록!$I$2:$I$3001,"*"&amp;P424&amp;"*",보유목록!$I$2:$I$3001,"*"&amp;Q424&amp;"*"))</f>
      </c>
      <c r="M424" t="str" s="23">
        <f aca="0">IF(OR(COUNTA(B424:J424)=0,R424&lt;&gt;""),"",IFERROR(LOOKUP(2,1/(ISNUMBER(SEARCH(P424,보유목록!$I$2:$I$3001))*ISNUMBER(SEARCH(Q424,보유목록!$I$2:$I$3001))*(보유목록!$H$2:$H$3001=O424)),보유목록!$B$2:$B$3001),IFERROR(LOOKUP(2,1/(ISNUMBER(SEARCH(P424,보유목록!$I$2:$I$3001))*ISNUMBER(SEARCH(Q424,보유목록!$I$2:$I$3001))),보유목록!$B$2:$B$3001),"")))</f>
      </c>
      <c r="N424" s="25"/>
      <c r="O424" t="str">
        <f>IFERROR(IF(AND(LEN(SUBSTITUTE(SUBSTITUTE(SUBSTITUTE(TRIM(C424&amp;""),CHAR(160),"")," ",""),"년",""))=4,VALUE(SUBSTITUTE(SUBSTITUTE(SUBSTITUTE(TRIM(C424&amp;""),CHAR(160),"")," ",""),"년",""))&gt;=1900,VALUE(SUBSTITUTE(SUBSTITUTE(SUBSTITUTE(TRIM(C424&amp;""),CHAR(160),"")," ",""),"년",""))&lt;=2099,TEXT(VALUE(SUBSTITUTE(SUBSTITUTE(SUBSTITUTE(TRIM(C424&amp;""),CHAR(160),"")," ",""),"년","")),"0000")=SUBSTITUTE(SUBSTITUTE(SUBSTITUTE(TRIM(C424&amp;""),CHAR(160),"")," ",""),"년","")),SUBSTITUTE(SUBSTITUTE(SUBSTITUTE(TRIM(C424&amp;""),CHAR(160),"")," ",""),"년",""),""),"")</f>
      </c>
      <c r="P424" t="str">
        <f>SUBSTITUTE(SUBSTITUTE(SUBSTITUTE(SUBSTITUTE(SUBSTITUTE(SUBSTITUTE(SUBSTITUTE(SUBSTITUTE(TRIM(D424&amp;""),CHAR(160),"")," ",""),"초등학교","초"),"중학교","중"),"고등학교","고"),"~","~~"),"*","~*"),"?","~?")</f>
      </c>
      <c r="Q424" t="str">
        <f>SUBSTITUTE(SUBSTITUTE(SUBSTITUTE(SUBSTITUTE(SUBSTITUTE(SUBSTITUTE(SUBSTITUTE(SUBSTITUTE(TRIM(E424&amp;""),CHAR(160),"")," ",""),"초등학교","초"),"중학교","중"),"고등학교","고"),"~","~~"),"*","~*"),"?","~?")</f>
      </c>
      <c r="R424" t="str">
        <f>IF(COUNTA(B424:J424)=0,"",IF(AND(O424&lt;&gt;"",P424&lt;&gt;"",Q424&lt;&gt;""),"","입력누락"))</f>
      </c>
    </row>
    <row r="425" customFormat="false" ht="15" hidden="false" customHeight="false" outlineLevel="0" collapsed="false">
      <c r="A425" t="n" s="19">
        <f aca="0">IF(COUNTA(B425:J425)=0,"",ROW()-1)</f>
      </c>
      <c r="B425" s="24"/>
      <c r="C425" s="25"/>
      <c r="D425" s="8"/>
      <c r="E425" s="8"/>
      <c r="F425" s="26"/>
      <c r="G425" s="24"/>
      <c r="H425" s="25"/>
      <c r="I425" s="25"/>
      <c r="J425" s="26"/>
      <c r="K425" t="str" s="15">
        <f aca="0">IF(COUNTA(B425:J425)=0,"",IF(R425&lt;&gt;"","확인필요(입력누락)",IF(COUNTIFS(보유목록!$I$2:$I$3001,"*"&amp;P425&amp;"*",보유목록!$I$2:$I$3001,"*"&amp;Q425&amp;"*",보유목록!$H$2:$H$3001,O425)&gt;0,"있음",IF(COUNTIFS(보유목록!$I$2:$I$3001,"*"&amp;P425&amp;"*",보유목록!$I$2:$I$3001,"*"&amp;Q425&amp;"*")&gt;0,"확인필요(연도다름)",IF(COUNTIFS(보유목록!$I$2:$I$3001,"*"&amp;P425&amp;"*",보유목록!$H$2:$H$3001,O425)&gt;0,"확인필요(같은학교·같은연도)","없음")))))</f>
      </c>
      <c r="L425" t="str" s="16">
        <f aca="0">IF(OR(COUNTA(B425:J425)=0,R425&lt;&gt;""),"",COUNTIFS(보유목록!$I$2:$I$3001,"*"&amp;P425&amp;"*",보유목록!$I$2:$I$3001,"*"&amp;Q425&amp;"*"))</f>
      </c>
      <c r="M425" t="str" s="23">
        <f aca="0">IF(OR(COUNTA(B425:J425)=0,R425&lt;&gt;""),"",IFERROR(LOOKUP(2,1/(ISNUMBER(SEARCH(P425,보유목록!$I$2:$I$3001))*ISNUMBER(SEARCH(Q425,보유목록!$I$2:$I$3001))*(보유목록!$H$2:$H$3001=O425)),보유목록!$B$2:$B$3001),IFERROR(LOOKUP(2,1/(ISNUMBER(SEARCH(P425,보유목록!$I$2:$I$3001))*ISNUMBER(SEARCH(Q425,보유목록!$I$2:$I$3001))),보유목록!$B$2:$B$3001),"")))</f>
      </c>
      <c r="N425" s="25"/>
      <c r="O425" t="str">
        <f>IFERROR(IF(AND(LEN(SUBSTITUTE(SUBSTITUTE(SUBSTITUTE(TRIM(C425&amp;""),CHAR(160),"")," ",""),"년",""))=4,VALUE(SUBSTITUTE(SUBSTITUTE(SUBSTITUTE(TRIM(C425&amp;""),CHAR(160),"")," ",""),"년",""))&gt;=1900,VALUE(SUBSTITUTE(SUBSTITUTE(SUBSTITUTE(TRIM(C425&amp;""),CHAR(160),"")," ",""),"년",""))&lt;=2099,TEXT(VALUE(SUBSTITUTE(SUBSTITUTE(SUBSTITUTE(TRIM(C425&amp;""),CHAR(160),"")," ",""),"년","")),"0000")=SUBSTITUTE(SUBSTITUTE(SUBSTITUTE(TRIM(C425&amp;""),CHAR(160),"")," ",""),"년","")),SUBSTITUTE(SUBSTITUTE(SUBSTITUTE(TRIM(C425&amp;""),CHAR(160),"")," ",""),"년",""),""),"")</f>
      </c>
      <c r="P425" t="str">
        <f>SUBSTITUTE(SUBSTITUTE(SUBSTITUTE(SUBSTITUTE(SUBSTITUTE(SUBSTITUTE(SUBSTITUTE(SUBSTITUTE(TRIM(D425&amp;""),CHAR(160),"")," ",""),"초등학교","초"),"중학교","중"),"고등학교","고"),"~","~~"),"*","~*"),"?","~?")</f>
      </c>
      <c r="Q425" t="str">
        <f>SUBSTITUTE(SUBSTITUTE(SUBSTITUTE(SUBSTITUTE(SUBSTITUTE(SUBSTITUTE(SUBSTITUTE(SUBSTITUTE(TRIM(E425&amp;""),CHAR(160),"")," ",""),"초등학교","초"),"중학교","중"),"고등학교","고"),"~","~~"),"*","~*"),"?","~?")</f>
      </c>
      <c r="R425" t="str">
        <f>IF(COUNTA(B425:J425)=0,"",IF(AND(O425&lt;&gt;"",P425&lt;&gt;"",Q425&lt;&gt;""),"","입력누락"))</f>
      </c>
    </row>
    <row r="426" customFormat="false" ht="15" hidden="false" customHeight="false" outlineLevel="0" collapsed="false">
      <c r="A426" t="n" s="19">
        <f aca="0">IF(COUNTA(B426:J426)=0,"",ROW()-1)</f>
      </c>
      <c r="B426" s="24"/>
      <c r="C426" s="25"/>
      <c r="D426" s="8"/>
      <c r="E426" s="8"/>
      <c r="F426" s="26"/>
      <c r="G426" s="24"/>
      <c r="H426" s="25"/>
      <c r="I426" s="25"/>
      <c r="J426" s="26"/>
      <c r="K426" t="str" s="15">
        <f aca="0">IF(COUNTA(B426:J426)=0,"",IF(R426&lt;&gt;"","확인필요(입력누락)",IF(COUNTIFS(보유목록!$I$2:$I$3001,"*"&amp;P426&amp;"*",보유목록!$I$2:$I$3001,"*"&amp;Q426&amp;"*",보유목록!$H$2:$H$3001,O426)&gt;0,"있음",IF(COUNTIFS(보유목록!$I$2:$I$3001,"*"&amp;P426&amp;"*",보유목록!$I$2:$I$3001,"*"&amp;Q426&amp;"*")&gt;0,"확인필요(연도다름)",IF(COUNTIFS(보유목록!$I$2:$I$3001,"*"&amp;P426&amp;"*",보유목록!$H$2:$H$3001,O426)&gt;0,"확인필요(같은학교·같은연도)","없음")))))</f>
      </c>
      <c r="L426" t="str" s="16">
        <f aca="0">IF(OR(COUNTA(B426:J426)=0,R426&lt;&gt;""),"",COUNTIFS(보유목록!$I$2:$I$3001,"*"&amp;P426&amp;"*",보유목록!$I$2:$I$3001,"*"&amp;Q426&amp;"*"))</f>
      </c>
      <c r="M426" t="str" s="23">
        <f aca="0">IF(OR(COUNTA(B426:J426)=0,R426&lt;&gt;""),"",IFERROR(LOOKUP(2,1/(ISNUMBER(SEARCH(P426,보유목록!$I$2:$I$3001))*ISNUMBER(SEARCH(Q426,보유목록!$I$2:$I$3001))*(보유목록!$H$2:$H$3001=O426)),보유목록!$B$2:$B$3001),IFERROR(LOOKUP(2,1/(ISNUMBER(SEARCH(P426,보유목록!$I$2:$I$3001))*ISNUMBER(SEARCH(Q426,보유목록!$I$2:$I$3001))),보유목록!$B$2:$B$3001),"")))</f>
      </c>
      <c r="N426" s="25"/>
      <c r="O426" t="str">
        <f>IFERROR(IF(AND(LEN(SUBSTITUTE(SUBSTITUTE(SUBSTITUTE(TRIM(C426&amp;""),CHAR(160),"")," ",""),"년",""))=4,VALUE(SUBSTITUTE(SUBSTITUTE(SUBSTITUTE(TRIM(C426&amp;""),CHAR(160),"")," ",""),"년",""))&gt;=1900,VALUE(SUBSTITUTE(SUBSTITUTE(SUBSTITUTE(TRIM(C426&amp;""),CHAR(160),"")," ",""),"년",""))&lt;=2099,TEXT(VALUE(SUBSTITUTE(SUBSTITUTE(SUBSTITUTE(TRIM(C426&amp;""),CHAR(160),"")," ",""),"년","")),"0000")=SUBSTITUTE(SUBSTITUTE(SUBSTITUTE(TRIM(C426&amp;""),CHAR(160),"")," ",""),"년","")),SUBSTITUTE(SUBSTITUTE(SUBSTITUTE(TRIM(C426&amp;""),CHAR(160),"")," ",""),"년",""),""),"")</f>
      </c>
      <c r="P426" t="str">
        <f>SUBSTITUTE(SUBSTITUTE(SUBSTITUTE(SUBSTITUTE(SUBSTITUTE(SUBSTITUTE(SUBSTITUTE(SUBSTITUTE(TRIM(D426&amp;""),CHAR(160),"")," ",""),"초등학교","초"),"중학교","중"),"고등학교","고"),"~","~~"),"*","~*"),"?","~?")</f>
      </c>
      <c r="Q426" t="str">
        <f>SUBSTITUTE(SUBSTITUTE(SUBSTITUTE(SUBSTITUTE(SUBSTITUTE(SUBSTITUTE(SUBSTITUTE(SUBSTITUTE(TRIM(E426&amp;""),CHAR(160),"")," ",""),"초등학교","초"),"중학교","중"),"고등학교","고"),"~","~~"),"*","~*"),"?","~?")</f>
      </c>
      <c r="R426" t="str">
        <f>IF(COUNTA(B426:J426)=0,"",IF(AND(O426&lt;&gt;"",P426&lt;&gt;"",Q426&lt;&gt;""),"","입력누락"))</f>
      </c>
    </row>
    <row r="427" customFormat="false" ht="15" hidden="false" customHeight="false" outlineLevel="0" collapsed="false">
      <c r="A427" t="n" s="19">
        <f aca="0">IF(COUNTA(B427:J427)=0,"",ROW()-1)</f>
      </c>
      <c r="B427" s="24"/>
      <c r="C427" s="25"/>
      <c r="D427" s="8"/>
      <c r="E427" s="8"/>
      <c r="F427" s="26"/>
      <c r="G427" s="24"/>
      <c r="H427" s="25"/>
      <c r="I427" s="25"/>
      <c r="J427" s="26"/>
      <c r="K427" t="str" s="15">
        <f aca="0">IF(COUNTA(B427:J427)=0,"",IF(R427&lt;&gt;"","확인필요(입력누락)",IF(COUNTIFS(보유목록!$I$2:$I$3001,"*"&amp;P427&amp;"*",보유목록!$I$2:$I$3001,"*"&amp;Q427&amp;"*",보유목록!$H$2:$H$3001,O427)&gt;0,"있음",IF(COUNTIFS(보유목록!$I$2:$I$3001,"*"&amp;P427&amp;"*",보유목록!$I$2:$I$3001,"*"&amp;Q427&amp;"*")&gt;0,"확인필요(연도다름)",IF(COUNTIFS(보유목록!$I$2:$I$3001,"*"&amp;P427&amp;"*",보유목록!$H$2:$H$3001,O427)&gt;0,"확인필요(같은학교·같은연도)","없음")))))</f>
      </c>
      <c r="L427" t="str" s="16">
        <f aca="0">IF(OR(COUNTA(B427:J427)=0,R427&lt;&gt;""),"",COUNTIFS(보유목록!$I$2:$I$3001,"*"&amp;P427&amp;"*",보유목록!$I$2:$I$3001,"*"&amp;Q427&amp;"*"))</f>
      </c>
      <c r="M427" t="str" s="23">
        <f aca="0">IF(OR(COUNTA(B427:J427)=0,R427&lt;&gt;""),"",IFERROR(LOOKUP(2,1/(ISNUMBER(SEARCH(P427,보유목록!$I$2:$I$3001))*ISNUMBER(SEARCH(Q427,보유목록!$I$2:$I$3001))*(보유목록!$H$2:$H$3001=O427)),보유목록!$B$2:$B$3001),IFERROR(LOOKUP(2,1/(ISNUMBER(SEARCH(P427,보유목록!$I$2:$I$3001))*ISNUMBER(SEARCH(Q427,보유목록!$I$2:$I$3001))),보유목록!$B$2:$B$3001),"")))</f>
      </c>
      <c r="N427" s="25"/>
      <c r="O427" t="str">
        <f>IFERROR(IF(AND(LEN(SUBSTITUTE(SUBSTITUTE(SUBSTITUTE(TRIM(C427&amp;""),CHAR(160),"")," ",""),"년",""))=4,VALUE(SUBSTITUTE(SUBSTITUTE(SUBSTITUTE(TRIM(C427&amp;""),CHAR(160),"")," ",""),"년",""))&gt;=1900,VALUE(SUBSTITUTE(SUBSTITUTE(SUBSTITUTE(TRIM(C427&amp;""),CHAR(160),"")," ",""),"년",""))&lt;=2099,TEXT(VALUE(SUBSTITUTE(SUBSTITUTE(SUBSTITUTE(TRIM(C427&amp;""),CHAR(160),"")," ",""),"년","")),"0000")=SUBSTITUTE(SUBSTITUTE(SUBSTITUTE(TRIM(C427&amp;""),CHAR(160),"")," ",""),"년","")),SUBSTITUTE(SUBSTITUTE(SUBSTITUTE(TRIM(C427&amp;""),CHAR(160),"")," ",""),"년",""),""),"")</f>
      </c>
      <c r="P427" t="str">
        <f>SUBSTITUTE(SUBSTITUTE(SUBSTITUTE(SUBSTITUTE(SUBSTITUTE(SUBSTITUTE(SUBSTITUTE(SUBSTITUTE(TRIM(D427&amp;""),CHAR(160),"")," ",""),"초등학교","초"),"중학교","중"),"고등학교","고"),"~","~~"),"*","~*"),"?","~?")</f>
      </c>
      <c r="Q427" t="str">
        <f>SUBSTITUTE(SUBSTITUTE(SUBSTITUTE(SUBSTITUTE(SUBSTITUTE(SUBSTITUTE(SUBSTITUTE(SUBSTITUTE(TRIM(E427&amp;""),CHAR(160),"")," ",""),"초등학교","초"),"중학교","중"),"고등학교","고"),"~","~~"),"*","~*"),"?","~?")</f>
      </c>
      <c r="R427" t="str">
        <f>IF(COUNTA(B427:J427)=0,"",IF(AND(O427&lt;&gt;"",P427&lt;&gt;"",Q427&lt;&gt;""),"","입력누락"))</f>
      </c>
    </row>
    <row r="428" customFormat="false" ht="15" hidden="false" customHeight="false" outlineLevel="0" collapsed="false">
      <c r="A428" t="n" s="19">
        <f aca="0">IF(COUNTA(B428:J428)=0,"",ROW()-1)</f>
      </c>
      <c r="B428" s="24"/>
      <c r="C428" s="25"/>
      <c r="D428" s="8"/>
      <c r="E428" s="8"/>
      <c r="F428" s="26"/>
      <c r="G428" s="24"/>
      <c r="H428" s="25"/>
      <c r="I428" s="25"/>
      <c r="J428" s="26"/>
      <c r="K428" t="str" s="15">
        <f aca="0">IF(COUNTA(B428:J428)=0,"",IF(R428&lt;&gt;"","확인필요(입력누락)",IF(COUNTIFS(보유목록!$I$2:$I$3001,"*"&amp;P428&amp;"*",보유목록!$I$2:$I$3001,"*"&amp;Q428&amp;"*",보유목록!$H$2:$H$3001,O428)&gt;0,"있음",IF(COUNTIFS(보유목록!$I$2:$I$3001,"*"&amp;P428&amp;"*",보유목록!$I$2:$I$3001,"*"&amp;Q428&amp;"*")&gt;0,"확인필요(연도다름)",IF(COUNTIFS(보유목록!$I$2:$I$3001,"*"&amp;P428&amp;"*",보유목록!$H$2:$H$3001,O428)&gt;0,"확인필요(같은학교·같은연도)","없음")))))</f>
      </c>
      <c r="L428" t="str" s="16">
        <f aca="0">IF(OR(COUNTA(B428:J428)=0,R428&lt;&gt;""),"",COUNTIFS(보유목록!$I$2:$I$3001,"*"&amp;P428&amp;"*",보유목록!$I$2:$I$3001,"*"&amp;Q428&amp;"*"))</f>
      </c>
      <c r="M428" t="str" s="23">
        <f aca="0">IF(OR(COUNTA(B428:J428)=0,R428&lt;&gt;""),"",IFERROR(LOOKUP(2,1/(ISNUMBER(SEARCH(P428,보유목록!$I$2:$I$3001))*ISNUMBER(SEARCH(Q428,보유목록!$I$2:$I$3001))*(보유목록!$H$2:$H$3001=O428)),보유목록!$B$2:$B$3001),IFERROR(LOOKUP(2,1/(ISNUMBER(SEARCH(P428,보유목록!$I$2:$I$3001))*ISNUMBER(SEARCH(Q428,보유목록!$I$2:$I$3001))),보유목록!$B$2:$B$3001),"")))</f>
      </c>
      <c r="N428" s="25"/>
      <c r="O428" t="str">
        <f>IFERROR(IF(AND(LEN(SUBSTITUTE(SUBSTITUTE(SUBSTITUTE(TRIM(C428&amp;""),CHAR(160),"")," ",""),"년",""))=4,VALUE(SUBSTITUTE(SUBSTITUTE(SUBSTITUTE(TRIM(C428&amp;""),CHAR(160),"")," ",""),"년",""))&gt;=1900,VALUE(SUBSTITUTE(SUBSTITUTE(SUBSTITUTE(TRIM(C428&amp;""),CHAR(160),"")," ",""),"년",""))&lt;=2099,TEXT(VALUE(SUBSTITUTE(SUBSTITUTE(SUBSTITUTE(TRIM(C428&amp;""),CHAR(160),"")," ",""),"년","")),"0000")=SUBSTITUTE(SUBSTITUTE(SUBSTITUTE(TRIM(C428&amp;""),CHAR(160),"")," ",""),"년","")),SUBSTITUTE(SUBSTITUTE(SUBSTITUTE(TRIM(C428&amp;""),CHAR(160),"")," ",""),"년",""),""),"")</f>
      </c>
      <c r="P428" t="str">
        <f>SUBSTITUTE(SUBSTITUTE(SUBSTITUTE(SUBSTITUTE(SUBSTITUTE(SUBSTITUTE(SUBSTITUTE(SUBSTITUTE(TRIM(D428&amp;""),CHAR(160),"")," ",""),"초등학교","초"),"중학교","중"),"고등학교","고"),"~","~~"),"*","~*"),"?","~?")</f>
      </c>
      <c r="Q428" t="str">
        <f>SUBSTITUTE(SUBSTITUTE(SUBSTITUTE(SUBSTITUTE(SUBSTITUTE(SUBSTITUTE(SUBSTITUTE(SUBSTITUTE(TRIM(E428&amp;""),CHAR(160),"")," ",""),"초등학교","초"),"중학교","중"),"고등학교","고"),"~","~~"),"*","~*"),"?","~?")</f>
      </c>
      <c r="R428" t="str">
        <f>IF(COUNTA(B428:J428)=0,"",IF(AND(O428&lt;&gt;"",P428&lt;&gt;"",Q428&lt;&gt;""),"","입력누락"))</f>
      </c>
    </row>
    <row r="429" customFormat="false" ht="15" hidden="false" customHeight="false" outlineLevel="0" collapsed="false">
      <c r="A429" t="n" s="19">
        <f aca="0">IF(COUNTA(B429:J429)=0,"",ROW()-1)</f>
      </c>
      <c r="B429" s="24"/>
      <c r="C429" s="25"/>
      <c r="D429" s="8"/>
      <c r="E429" s="8"/>
      <c r="F429" s="26"/>
      <c r="G429" s="24"/>
      <c r="H429" s="25"/>
      <c r="I429" s="25"/>
      <c r="J429" s="26"/>
      <c r="K429" t="str" s="15">
        <f aca="0">IF(COUNTA(B429:J429)=0,"",IF(R429&lt;&gt;"","확인필요(입력누락)",IF(COUNTIFS(보유목록!$I$2:$I$3001,"*"&amp;P429&amp;"*",보유목록!$I$2:$I$3001,"*"&amp;Q429&amp;"*",보유목록!$H$2:$H$3001,O429)&gt;0,"있음",IF(COUNTIFS(보유목록!$I$2:$I$3001,"*"&amp;P429&amp;"*",보유목록!$I$2:$I$3001,"*"&amp;Q429&amp;"*")&gt;0,"확인필요(연도다름)",IF(COUNTIFS(보유목록!$I$2:$I$3001,"*"&amp;P429&amp;"*",보유목록!$H$2:$H$3001,O429)&gt;0,"확인필요(같은학교·같은연도)","없음")))))</f>
      </c>
      <c r="L429" t="str" s="16">
        <f aca="0">IF(OR(COUNTA(B429:J429)=0,R429&lt;&gt;""),"",COUNTIFS(보유목록!$I$2:$I$3001,"*"&amp;P429&amp;"*",보유목록!$I$2:$I$3001,"*"&amp;Q429&amp;"*"))</f>
      </c>
      <c r="M429" t="str" s="23">
        <f aca="0">IF(OR(COUNTA(B429:J429)=0,R429&lt;&gt;""),"",IFERROR(LOOKUP(2,1/(ISNUMBER(SEARCH(P429,보유목록!$I$2:$I$3001))*ISNUMBER(SEARCH(Q429,보유목록!$I$2:$I$3001))*(보유목록!$H$2:$H$3001=O429)),보유목록!$B$2:$B$3001),IFERROR(LOOKUP(2,1/(ISNUMBER(SEARCH(P429,보유목록!$I$2:$I$3001))*ISNUMBER(SEARCH(Q429,보유목록!$I$2:$I$3001))),보유목록!$B$2:$B$3001),"")))</f>
      </c>
      <c r="N429" s="25"/>
      <c r="O429" t="str">
        <f>IFERROR(IF(AND(LEN(SUBSTITUTE(SUBSTITUTE(SUBSTITUTE(TRIM(C429&amp;""),CHAR(160),"")," ",""),"년",""))=4,VALUE(SUBSTITUTE(SUBSTITUTE(SUBSTITUTE(TRIM(C429&amp;""),CHAR(160),"")," ",""),"년",""))&gt;=1900,VALUE(SUBSTITUTE(SUBSTITUTE(SUBSTITUTE(TRIM(C429&amp;""),CHAR(160),"")," ",""),"년",""))&lt;=2099,TEXT(VALUE(SUBSTITUTE(SUBSTITUTE(SUBSTITUTE(TRIM(C429&amp;""),CHAR(160),"")," ",""),"년","")),"0000")=SUBSTITUTE(SUBSTITUTE(SUBSTITUTE(TRIM(C429&amp;""),CHAR(160),"")," ",""),"년","")),SUBSTITUTE(SUBSTITUTE(SUBSTITUTE(TRIM(C429&amp;""),CHAR(160),"")," ",""),"년",""),""),"")</f>
      </c>
      <c r="P429" t="str">
        <f>SUBSTITUTE(SUBSTITUTE(SUBSTITUTE(SUBSTITUTE(SUBSTITUTE(SUBSTITUTE(SUBSTITUTE(SUBSTITUTE(TRIM(D429&amp;""),CHAR(160),"")," ",""),"초등학교","초"),"중학교","중"),"고등학교","고"),"~","~~"),"*","~*"),"?","~?")</f>
      </c>
      <c r="Q429" t="str">
        <f>SUBSTITUTE(SUBSTITUTE(SUBSTITUTE(SUBSTITUTE(SUBSTITUTE(SUBSTITUTE(SUBSTITUTE(SUBSTITUTE(TRIM(E429&amp;""),CHAR(160),"")," ",""),"초등학교","초"),"중학교","중"),"고등학교","고"),"~","~~"),"*","~*"),"?","~?")</f>
      </c>
      <c r="R429" t="str">
        <f>IF(COUNTA(B429:J429)=0,"",IF(AND(O429&lt;&gt;"",P429&lt;&gt;"",Q429&lt;&gt;""),"","입력누락"))</f>
      </c>
    </row>
    <row r="430" customFormat="false" ht="15" hidden="false" customHeight="false" outlineLevel="0" collapsed="false">
      <c r="A430" t="n" s="19">
        <f aca="0">IF(COUNTA(B430:J430)=0,"",ROW()-1)</f>
      </c>
      <c r="B430" s="24"/>
      <c r="C430" s="25"/>
      <c r="D430" s="8"/>
      <c r="E430" s="8"/>
      <c r="F430" s="26"/>
      <c r="G430" s="24"/>
      <c r="H430" s="25"/>
      <c r="I430" s="25"/>
      <c r="J430" s="26"/>
      <c r="K430" t="str" s="15">
        <f aca="0">IF(COUNTA(B430:J430)=0,"",IF(R430&lt;&gt;"","확인필요(입력누락)",IF(COUNTIFS(보유목록!$I$2:$I$3001,"*"&amp;P430&amp;"*",보유목록!$I$2:$I$3001,"*"&amp;Q430&amp;"*",보유목록!$H$2:$H$3001,O430)&gt;0,"있음",IF(COUNTIFS(보유목록!$I$2:$I$3001,"*"&amp;P430&amp;"*",보유목록!$I$2:$I$3001,"*"&amp;Q430&amp;"*")&gt;0,"확인필요(연도다름)",IF(COUNTIFS(보유목록!$I$2:$I$3001,"*"&amp;P430&amp;"*",보유목록!$H$2:$H$3001,O430)&gt;0,"확인필요(같은학교·같은연도)","없음")))))</f>
      </c>
      <c r="L430" t="str" s="16">
        <f aca="0">IF(OR(COUNTA(B430:J430)=0,R430&lt;&gt;""),"",COUNTIFS(보유목록!$I$2:$I$3001,"*"&amp;P430&amp;"*",보유목록!$I$2:$I$3001,"*"&amp;Q430&amp;"*"))</f>
      </c>
      <c r="M430" t="str" s="23">
        <f aca="0">IF(OR(COUNTA(B430:J430)=0,R430&lt;&gt;""),"",IFERROR(LOOKUP(2,1/(ISNUMBER(SEARCH(P430,보유목록!$I$2:$I$3001))*ISNUMBER(SEARCH(Q430,보유목록!$I$2:$I$3001))*(보유목록!$H$2:$H$3001=O430)),보유목록!$B$2:$B$3001),IFERROR(LOOKUP(2,1/(ISNUMBER(SEARCH(P430,보유목록!$I$2:$I$3001))*ISNUMBER(SEARCH(Q430,보유목록!$I$2:$I$3001))),보유목록!$B$2:$B$3001),"")))</f>
      </c>
      <c r="N430" s="25"/>
      <c r="O430" t="str">
        <f>IFERROR(IF(AND(LEN(SUBSTITUTE(SUBSTITUTE(SUBSTITUTE(TRIM(C430&amp;""),CHAR(160),"")," ",""),"년",""))=4,VALUE(SUBSTITUTE(SUBSTITUTE(SUBSTITUTE(TRIM(C430&amp;""),CHAR(160),"")," ",""),"년",""))&gt;=1900,VALUE(SUBSTITUTE(SUBSTITUTE(SUBSTITUTE(TRIM(C430&amp;""),CHAR(160),"")," ",""),"년",""))&lt;=2099,TEXT(VALUE(SUBSTITUTE(SUBSTITUTE(SUBSTITUTE(TRIM(C430&amp;""),CHAR(160),"")," ",""),"년","")),"0000")=SUBSTITUTE(SUBSTITUTE(SUBSTITUTE(TRIM(C430&amp;""),CHAR(160),"")," ",""),"년","")),SUBSTITUTE(SUBSTITUTE(SUBSTITUTE(TRIM(C430&amp;""),CHAR(160),"")," ",""),"년",""),""),"")</f>
      </c>
      <c r="P430" t="str">
        <f>SUBSTITUTE(SUBSTITUTE(SUBSTITUTE(SUBSTITUTE(SUBSTITUTE(SUBSTITUTE(SUBSTITUTE(SUBSTITUTE(TRIM(D430&amp;""),CHAR(160),"")," ",""),"초등학교","초"),"중학교","중"),"고등학교","고"),"~","~~"),"*","~*"),"?","~?")</f>
      </c>
      <c r="Q430" t="str">
        <f>SUBSTITUTE(SUBSTITUTE(SUBSTITUTE(SUBSTITUTE(SUBSTITUTE(SUBSTITUTE(SUBSTITUTE(SUBSTITUTE(TRIM(E430&amp;""),CHAR(160),"")," ",""),"초등학교","초"),"중학교","중"),"고등학교","고"),"~","~~"),"*","~*"),"?","~?")</f>
      </c>
      <c r="R430" t="str">
        <f>IF(COUNTA(B430:J430)=0,"",IF(AND(O430&lt;&gt;"",P430&lt;&gt;"",Q430&lt;&gt;""),"","입력누락"))</f>
      </c>
    </row>
    <row r="431" customFormat="false" ht="15" hidden="false" customHeight="false" outlineLevel="0" collapsed="false">
      <c r="A431" t="n" s="19">
        <f aca="0">IF(COUNTA(B431:J431)=0,"",ROW()-1)</f>
      </c>
      <c r="B431" s="24"/>
      <c r="C431" s="25"/>
      <c r="D431" s="8"/>
      <c r="E431" s="8"/>
      <c r="F431" s="26"/>
      <c r="G431" s="24"/>
      <c r="H431" s="25"/>
      <c r="I431" s="25"/>
      <c r="J431" s="26"/>
      <c r="K431" t="str" s="15">
        <f aca="0">IF(COUNTA(B431:J431)=0,"",IF(R431&lt;&gt;"","확인필요(입력누락)",IF(COUNTIFS(보유목록!$I$2:$I$3001,"*"&amp;P431&amp;"*",보유목록!$I$2:$I$3001,"*"&amp;Q431&amp;"*",보유목록!$H$2:$H$3001,O431)&gt;0,"있음",IF(COUNTIFS(보유목록!$I$2:$I$3001,"*"&amp;P431&amp;"*",보유목록!$I$2:$I$3001,"*"&amp;Q431&amp;"*")&gt;0,"확인필요(연도다름)",IF(COUNTIFS(보유목록!$I$2:$I$3001,"*"&amp;P431&amp;"*",보유목록!$H$2:$H$3001,O431)&gt;0,"확인필요(같은학교·같은연도)","없음")))))</f>
      </c>
      <c r="L431" t="str" s="16">
        <f aca="0">IF(OR(COUNTA(B431:J431)=0,R431&lt;&gt;""),"",COUNTIFS(보유목록!$I$2:$I$3001,"*"&amp;P431&amp;"*",보유목록!$I$2:$I$3001,"*"&amp;Q431&amp;"*"))</f>
      </c>
      <c r="M431" t="str" s="23">
        <f aca="0">IF(OR(COUNTA(B431:J431)=0,R431&lt;&gt;""),"",IFERROR(LOOKUP(2,1/(ISNUMBER(SEARCH(P431,보유목록!$I$2:$I$3001))*ISNUMBER(SEARCH(Q431,보유목록!$I$2:$I$3001))*(보유목록!$H$2:$H$3001=O431)),보유목록!$B$2:$B$3001),IFERROR(LOOKUP(2,1/(ISNUMBER(SEARCH(P431,보유목록!$I$2:$I$3001))*ISNUMBER(SEARCH(Q431,보유목록!$I$2:$I$3001))),보유목록!$B$2:$B$3001),"")))</f>
      </c>
      <c r="N431" s="25"/>
      <c r="O431" t="str">
        <f>IFERROR(IF(AND(LEN(SUBSTITUTE(SUBSTITUTE(SUBSTITUTE(TRIM(C431&amp;""),CHAR(160),"")," ",""),"년",""))=4,VALUE(SUBSTITUTE(SUBSTITUTE(SUBSTITUTE(TRIM(C431&amp;""),CHAR(160),"")," ",""),"년",""))&gt;=1900,VALUE(SUBSTITUTE(SUBSTITUTE(SUBSTITUTE(TRIM(C431&amp;""),CHAR(160),"")," ",""),"년",""))&lt;=2099,TEXT(VALUE(SUBSTITUTE(SUBSTITUTE(SUBSTITUTE(TRIM(C431&amp;""),CHAR(160),"")," ",""),"년","")),"0000")=SUBSTITUTE(SUBSTITUTE(SUBSTITUTE(TRIM(C431&amp;""),CHAR(160),"")," ",""),"년","")),SUBSTITUTE(SUBSTITUTE(SUBSTITUTE(TRIM(C431&amp;""),CHAR(160),"")," ",""),"년",""),""),"")</f>
      </c>
      <c r="P431" t="str">
        <f>SUBSTITUTE(SUBSTITUTE(SUBSTITUTE(SUBSTITUTE(SUBSTITUTE(SUBSTITUTE(SUBSTITUTE(SUBSTITUTE(TRIM(D431&amp;""),CHAR(160),"")," ",""),"초등학교","초"),"중학교","중"),"고등학교","고"),"~","~~"),"*","~*"),"?","~?")</f>
      </c>
      <c r="Q431" t="str">
        <f>SUBSTITUTE(SUBSTITUTE(SUBSTITUTE(SUBSTITUTE(SUBSTITUTE(SUBSTITUTE(SUBSTITUTE(SUBSTITUTE(TRIM(E431&amp;""),CHAR(160),"")," ",""),"초등학교","초"),"중학교","중"),"고등학교","고"),"~","~~"),"*","~*"),"?","~?")</f>
      </c>
      <c r="R431" t="str">
        <f>IF(COUNTA(B431:J431)=0,"",IF(AND(O431&lt;&gt;"",P431&lt;&gt;"",Q431&lt;&gt;""),"","입력누락"))</f>
      </c>
    </row>
    <row r="432" customFormat="false" ht="15" hidden="false" customHeight="false" outlineLevel="0" collapsed="false">
      <c r="A432" t="n" s="19">
        <f aca="0">IF(COUNTA(B432:J432)=0,"",ROW()-1)</f>
      </c>
      <c r="B432" s="24"/>
      <c r="C432" s="25"/>
      <c r="D432" s="8"/>
      <c r="E432" s="8"/>
      <c r="F432" s="26"/>
      <c r="G432" s="24"/>
      <c r="H432" s="25"/>
      <c r="I432" s="25"/>
      <c r="J432" s="26"/>
      <c r="K432" t="str" s="15">
        <f aca="0">IF(COUNTA(B432:J432)=0,"",IF(R432&lt;&gt;"","확인필요(입력누락)",IF(COUNTIFS(보유목록!$I$2:$I$3001,"*"&amp;P432&amp;"*",보유목록!$I$2:$I$3001,"*"&amp;Q432&amp;"*",보유목록!$H$2:$H$3001,O432)&gt;0,"있음",IF(COUNTIFS(보유목록!$I$2:$I$3001,"*"&amp;P432&amp;"*",보유목록!$I$2:$I$3001,"*"&amp;Q432&amp;"*")&gt;0,"확인필요(연도다름)",IF(COUNTIFS(보유목록!$I$2:$I$3001,"*"&amp;P432&amp;"*",보유목록!$H$2:$H$3001,O432)&gt;0,"확인필요(같은학교·같은연도)","없음")))))</f>
      </c>
      <c r="L432" t="str" s="16">
        <f aca="0">IF(OR(COUNTA(B432:J432)=0,R432&lt;&gt;""),"",COUNTIFS(보유목록!$I$2:$I$3001,"*"&amp;P432&amp;"*",보유목록!$I$2:$I$3001,"*"&amp;Q432&amp;"*"))</f>
      </c>
      <c r="M432" t="str" s="23">
        <f aca="0">IF(OR(COUNTA(B432:J432)=0,R432&lt;&gt;""),"",IFERROR(LOOKUP(2,1/(ISNUMBER(SEARCH(P432,보유목록!$I$2:$I$3001))*ISNUMBER(SEARCH(Q432,보유목록!$I$2:$I$3001))*(보유목록!$H$2:$H$3001=O432)),보유목록!$B$2:$B$3001),IFERROR(LOOKUP(2,1/(ISNUMBER(SEARCH(P432,보유목록!$I$2:$I$3001))*ISNUMBER(SEARCH(Q432,보유목록!$I$2:$I$3001))),보유목록!$B$2:$B$3001),"")))</f>
      </c>
      <c r="N432" s="25"/>
      <c r="O432" t="str">
        <f>IFERROR(IF(AND(LEN(SUBSTITUTE(SUBSTITUTE(SUBSTITUTE(TRIM(C432&amp;""),CHAR(160),"")," ",""),"년",""))=4,VALUE(SUBSTITUTE(SUBSTITUTE(SUBSTITUTE(TRIM(C432&amp;""),CHAR(160),"")," ",""),"년",""))&gt;=1900,VALUE(SUBSTITUTE(SUBSTITUTE(SUBSTITUTE(TRIM(C432&amp;""),CHAR(160),"")," ",""),"년",""))&lt;=2099,TEXT(VALUE(SUBSTITUTE(SUBSTITUTE(SUBSTITUTE(TRIM(C432&amp;""),CHAR(160),"")," ",""),"년","")),"0000")=SUBSTITUTE(SUBSTITUTE(SUBSTITUTE(TRIM(C432&amp;""),CHAR(160),"")," ",""),"년","")),SUBSTITUTE(SUBSTITUTE(SUBSTITUTE(TRIM(C432&amp;""),CHAR(160),"")," ",""),"년",""),""),"")</f>
      </c>
      <c r="P432" t="str">
        <f>SUBSTITUTE(SUBSTITUTE(SUBSTITUTE(SUBSTITUTE(SUBSTITUTE(SUBSTITUTE(SUBSTITUTE(SUBSTITUTE(TRIM(D432&amp;""),CHAR(160),"")," ",""),"초등학교","초"),"중학교","중"),"고등학교","고"),"~","~~"),"*","~*"),"?","~?")</f>
      </c>
      <c r="Q432" t="str">
        <f>SUBSTITUTE(SUBSTITUTE(SUBSTITUTE(SUBSTITUTE(SUBSTITUTE(SUBSTITUTE(SUBSTITUTE(SUBSTITUTE(TRIM(E432&amp;""),CHAR(160),"")," ",""),"초등학교","초"),"중학교","중"),"고등학교","고"),"~","~~"),"*","~*"),"?","~?")</f>
      </c>
      <c r="R432" t="str">
        <f>IF(COUNTA(B432:J432)=0,"",IF(AND(O432&lt;&gt;"",P432&lt;&gt;"",Q432&lt;&gt;""),"","입력누락"))</f>
      </c>
    </row>
    <row r="433" customFormat="false" ht="15" hidden="false" customHeight="false" outlineLevel="0" collapsed="false">
      <c r="A433" t="n" s="19">
        <f aca="0">IF(COUNTA(B433:J433)=0,"",ROW()-1)</f>
      </c>
      <c r="B433" s="24"/>
      <c r="C433" s="25"/>
      <c r="D433" s="8"/>
      <c r="E433" s="8"/>
      <c r="F433" s="26"/>
      <c r="G433" s="24"/>
      <c r="H433" s="25"/>
      <c r="I433" s="25"/>
      <c r="J433" s="26"/>
      <c r="K433" t="str" s="15">
        <f aca="0">IF(COUNTA(B433:J433)=0,"",IF(R433&lt;&gt;"","확인필요(입력누락)",IF(COUNTIFS(보유목록!$I$2:$I$3001,"*"&amp;P433&amp;"*",보유목록!$I$2:$I$3001,"*"&amp;Q433&amp;"*",보유목록!$H$2:$H$3001,O433)&gt;0,"있음",IF(COUNTIFS(보유목록!$I$2:$I$3001,"*"&amp;P433&amp;"*",보유목록!$I$2:$I$3001,"*"&amp;Q433&amp;"*")&gt;0,"확인필요(연도다름)",IF(COUNTIFS(보유목록!$I$2:$I$3001,"*"&amp;P433&amp;"*",보유목록!$H$2:$H$3001,O433)&gt;0,"확인필요(같은학교·같은연도)","없음")))))</f>
      </c>
      <c r="L433" t="str" s="16">
        <f aca="0">IF(OR(COUNTA(B433:J433)=0,R433&lt;&gt;""),"",COUNTIFS(보유목록!$I$2:$I$3001,"*"&amp;P433&amp;"*",보유목록!$I$2:$I$3001,"*"&amp;Q433&amp;"*"))</f>
      </c>
      <c r="M433" t="str" s="23">
        <f aca="0">IF(OR(COUNTA(B433:J433)=0,R433&lt;&gt;""),"",IFERROR(LOOKUP(2,1/(ISNUMBER(SEARCH(P433,보유목록!$I$2:$I$3001))*ISNUMBER(SEARCH(Q433,보유목록!$I$2:$I$3001))*(보유목록!$H$2:$H$3001=O433)),보유목록!$B$2:$B$3001),IFERROR(LOOKUP(2,1/(ISNUMBER(SEARCH(P433,보유목록!$I$2:$I$3001))*ISNUMBER(SEARCH(Q433,보유목록!$I$2:$I$3001))),보유목록!$B$2:$B$3001),"")))</f>
      </c>
      <c r="N433" s="25"/>
      <c r="O433" t="str">
        <f>IFERROR(IF(AND(LEN(SUBSTITUTE(SUBSTITUTE(SUBSTITUTE(TRIM(C433&amp;""),CHAR(160),"")," ",""),"년",""))=4,VALUE(SUBSTITUTE(SUBSTITUTE(SUBSTITUTE(TRIM(C433&amp;""),CHAR(160),"")," ",""),"년",""))&gt;=1900,VALUE(SUBSTITUTE(SUBSTITUTE(SUBSTITUTE(TRIM(C433&amp;""),CHAR(160),"")," ",""),"년",""))&lt;=2099,TEXT(VALUE(SUBSTITUTE(SUBSTITUTE(SUBSTITUTE(TRIM(C433&amp;""),CHAR(160),"")," ",""),"년","")),"0000")=SUBSTITUTE(SUBSTITUTE(SUBSTITUTE(TRIM(C433&amp;""),CHAR(160),"")," ",""),"년","")),SUBSTITUTE(SUBSTITUTE(SUBSTITUTE(TRIM(C433&amp;""),CHAR(160),"")," ",""),"년",""),""),"")</f>
      </c>
      <c r="P433" t="str">
        <f>SUBSTITUTE(SUBSTITUTE(SUBSTITUTE(SUBSTITUTE(SUBSTITUTE(SUBSTITUTE(SUBSTITUTE(SUBSTITUTE(TRIM(D433&amp;""),CHAR(160),"")," ",""),"초등학교","초"),"중학교","중"),"고등학교","고"),"~","~~"),"*","~*"),"?","~?")</f>
      </c>
      <c r="Q433" t="str">
        <f>SUBSTITUTE(SUBSTITUTE(SUBSTITUTE(SUBSTITUTE(SUBSTITUTE(SUBSTITUTE(SUBSTITUTE(SUBSTITUTE(TRIM(E433&amp;""),CHAR(160),"")," ",""),"초등학교","초"),"중학교","중"),"고등학교","고"),"~","~~"),"*","~*"),"?","~?")</f>
      </c>
      <c r="R433" t="str">
        <f>IF(COUNTA(B433:J433)=0,"",IF(AND(O433&lt;&gt;"",P433&lt;&gt;"",Q433&lt;&gt;""),"","입력누락"))</f>
      </c>
    </row>
    <row r="434" customFormat="false" ht="15" hidden="false" customHeight="false" outlineLevel="0" collapsed="false">
      <c r="A434" t="n" s="19">
        <f aca="0">IF(COUNTA(B434:J434)=0,"",ROW()-1)</f>
      </c>
      <c r="B434" s="24"/>
      <c r="C434" s="25"/>
      <c r="D434" s="8"/>
      <c r="E434" s="8"/>
      <c r="F434" s="26"/>
      <c r="G434" s="24"/>
      <c r="H434" s="25"/>
      <c r="I434" s="25"/>
      <c r="J434" s="26"/>
      <c r="K434" t="str" s="15">
        <f aca="0">IF(COUNTA(B434:J434)=0,"",IF(R434&lt;&gt;"","확인필요(입력누락)",IF(COUNTIFS(보유목록!$I$2:$I$3001,"*"&amp;P434&amp;"*",보유목록!$I$2:$I$3001,"*"&amp;Q434&amp;"*",보유목록!$H$2:$H$3001,O434)&gt;0,"있음",IF(COUNTIFS(보유목록!$I$2:$I$3001,"*"&amp;P434&amp;"*",보유목록!$I$2:$I$3001,"*"&amp;Q434&amp;"*")&gt;0,"확인필요(연도다름)",IF(COUNTIFS(보유목록!$I$2:$I$3001,"*"&amp;P434&amp;"*",보유목록!$H$2:$H$3001,O434)&gt;0,"확인필요(같은학교·같은연도)","없음")))))</f>
      </c>
      <c r="L434" t="str" s="16">
        <f aca="0">IF(OR(COUNTA(B434:J434)=0,R434&lt;&gt;""),"",COUNTIFS(보유목록!$I$2:$I$3001,"*"&amp;P434&amp;"*",보유목록!$I$2:$I$3001,"*"&amp;Q434&amp;"*"))</f>
      </c>
      <c r="M434" t="str" s="23">
        <f aca="0">IF(OR(COUNTA(B434:J434)=0,R434&lt;&gt;""),"",IFERROR(LOOKUP(2,1/(ISNUMBER(SEARCH(P434,보유목록!$I$2:$I$3001))*ISNUMBER(SEARCH(Q434,보유목록!$I$2:$I$3001))*(보유목록!$H$2:$H$3001=O434)),보유목록!$B$2:$B$3001),IFERROR(LOOKUP(2,1/(ISNUMBER(SEARCH(P434,보유목록!$I$2:$I$3001))*ISNUMBER(SEARCH(Q434,보유목록!$I$2:$I$3001))),보유목록!$B$2:$B$3001),"")))</f>
      </c>
      <c r="N434" s="25"/>
      <c r="O434" t="str">
        <f>IFERROR(IF(AND(LEN(SUBSTITUTE(SUBSTITUTE(SUBSTITUTE(TRIM(C434&amp;""),CHAR(160),"")," ",""),"년",""))=4,VALUE(SUBSTITUTE(SUBSTITUTE(SUBSTITUTE(TRIM(C434&amp;""),CHAR(160),"")," ",""),"년",""))&gt;=1900,VALUE(SUBSTITUTE(SUBSTITUTE(SUBSTITUTE(TRIM(C434&amp;""),CHAR(160),"")," ",""),"년",""))&lt;=2099,TEXT(VALUE(SUBSTITUTE(SUBSTITUTE(SUBSTITUTE(TRIM(C434&amp;""),CHAR(160),"")," ",""),"년","")),"0000")=SUBSTITUTE(SUBSTITUTE(SUBSTITUTE(TRIM(C434&amp;""),CHAR(160),"")," ",""),"년","")),SUBSTITUTE(SUBSTITUTE(SUBSTITUTE(TRIM(C434&amp;""),CHAR(160),"")," ",""),"년",""),""),"")</f>
      </c>
      <c r="P434" t="str">
        <f>SUBSTITUTE(SUBSTITUTE(SUBSTITUTE(SUBSTITUTE(SUBSTITUTE(SUBSTITUTE(SUBSTITUTE(SUBSTITUTE(TRIM(D434&amp;""),CHAR(160),"")," ",""),"초등학교","초"),"중학교","중"),"고등학교","고"),"~","~~"),"*","~*"),"?","~?")</f>
      </c>
      <c r="Q434" t="str">
        <f>SUBSTITUTE(SUBSTITUTE(SUBSTITUTE(SUBSTITUTE(SUBSTITUTE(SUBSTITUTE(SUBSTITUTE(SUBSTITUTE(TRIM(E434&amp;""),CHAR(160),"")," ",""),"초등학교","초"),"중학교","중"),"고등학교","고"),"~","~~"),"*","~*"),"?","~?")</f>
      </c>
      <c r="R434" t="str">
        <f>IF(COUNTA(B434:J434)=0,"",IF(AND(O434&lt;&gt;"",P434&lt;&gt;"",Q434&lt;&gt;""),"","입력누락"))</f>
      </c>
    </row>
    <row r="435" customFormat="false" ht="15" hidden="false" customHeight="false" outlineLevel="0" collapsed="false">
      <c r="A435" t="n" s="19">
        <f aca="0">IF(COUNTA(B435:J435)=0,"",ROW()-1)</f>
      </c>
      <c r="B435" s="24"/>
      <c r="C435" s="25"/>
      <c r="D435" s="8"/>
      <c r="E435" s="8"/>
      <c r="F435" s="26"/>
      <c r="G435" s="24"/>
      <c r="H435" s="25"/>
      <c r="I435" s="25"/>
      <c r="J435" s="26"/>
      <c r="K435" t="str" s="15">
        <f aca="0">IF(COUNTA(B435:J435)=0,"",IF(R435&lt;&gt;"","확인필요(입력누락)",IF(COUNTIFS(보유목록!$I$2:$I$3001,"*"&amp;P435&amp;"*",보유목록!$I$2:$I$3001,"*"&amp;Q435&amp;"*",보유목록!$H$2:$H$3001,O435)&gt;0,"있음",IF(COUNTIFS(보유목록!$I$2:$I$3001,"*"&amp;P435&amp;"*",보유목록!$I$2:$I$3001,"*"&amp;Q435&amp;"*")&gt;0,"확인필요(연도다름)",IF(COUNTIFS(보유목록!$I$2:$I$3001,"*"&amp;P435&amp;"*",보유목록!$H$2:$H$3001,O435)&gt;0,"확인필요(같은학교·같은연도)","없음")))))</f>
      </c>
      <c r="L435" t="str" s="16">
        <f aca="0">IF(OR(COUNTA(B435:J435)=0,R435&lt;&gt;""),"",COUNTIFS(보유목록!$I$2:$I$3001,"*"&amp;P435&amp;"*",보유목록!$I$2:$I$3001,"*"&amp;Q435&amp;"*"))</f>
      </c>
      <c r="M435" t="str" s="23">
        <f aca="0">IF(OR(COUNTA(B435:J435)=0,R435&lt;&gt;""),"",IFERROR(LOOKUP(2,1/(ISNUMBER(SEARCH(P435,보유목록!$I$2:$I$3001))*ISNUMBER(SEARCH(Q435,보유목록!$I$2:$I$3001))*(보유목록!$H$2:$H$3001=O435)),보유목록!$B$2:$B$3001),IFERROR(LOOKUP(2,1/(ISNUMBER(SEARCH(P435,보유목록!$I$2:$I$3001))*ISNUMBER(SEARCH(Q435,보유목록!$I$2:$I$3001))),보유목록!$B$2:$B$3001),"")))</f>
      </c>
      <c r="N435" s="25"/>
      <c r="O435" t="str">
        <f>IFERROR(IF(AND(LEN(SUBSTITUTE(SUBSTITUTE(SUBSTITUTE(TRIM(C435&amp;""),CHAR(160),"")," ",""),"년",""))=4,VALUE(SUBSTITUTE(SUBSTITUTE(SUBSTITUTE(TRIM(C435&amp;""),CHAR(160),"")," ",""),"년",""))&gt;=1900,VALUE(SUBSTITUTE(SUBSTITUTE(SUBSTITUTE(TRIM(C435&amp;""),CHAR(160),"")," ",""),"년",""))&lt;=2099,TEXT(VALUE(SUBSTITUTE(SUBSTITUTE(SUBSTITUTE(TRIM(C435&amp;""),CHAR(160),"")," ",""),"년","")),"0000")=SUBSTITUTE(SUBSTITUTE(SUBSTITUTE(TRIM(C435&amp;""),CHAR(160),"")," ",""),"년","")),SUBSTITUTE(SUBSTITUTE(SUBSTITUTE(TRIM(C435&amp;""),CHAR(160),"")," ",""),"년",""),""),"")</f>
      </c>
      <c r="P435" t="str">
        <f>SUBSTITUTE(SUBSTITUTE(SUBSTITUTE(SUBSTITUTE(SUBSTITUTE(SUBSTITUTE(SUBSTITUTE(SUBSTITUTE(TRIM(D435&amp;""),CHAR(160),"")," ",""),"초등학교","초"),"중학교","중"),"고등학교","고"),"~","~~"),"*","~*"),"?","~?")</f>
      </c>
      <c r="Q435" t="str">
        <f>SUBSTITUTE(SUBSTITUTE(SUBSTITUTE(SUBSTITUTE(SUBSTITUTE(SUBSTITUTE(SUBSTITUTE(SUBSTITUTE(TRIM(E435&amp;""),CHAR(160),"")," ",""),"초등학교","초"),"중학교","중"),"고등학교","고"),"~","~~"),"*","~*"),"?","~?")</f>
      </c>
      <c r="R435" t="str">
        <f>IF(COUNTA(B435:J435)=0,"",IF(AND(O435&lt;&gt;"",P435&lt;&gt;"",Q435&lt;&gt;""),"","입력누락"))</f>
      </c>
    </row>
    <row r="436" customFormat="false" ht="15" hidden="false" customHeight="false" outlineLevel="0" collapsed="false">
      <c r="A436" t="n" s="19">
        <f aca="0">IF(COUNTA(B436:J436)=0,"",ROW()-1)</f>
      </c>
      <c r="B436" s="24"/>
      <c r="C436" s="25"/>
      <c r="D436" s="8"/>
      <c r="E436" s="8"/>
      <c r="F436" s="26"/>
      <c r="G436" s="24"/>
      <c r="H436" s="25"/>
      <c r="I436" s="25"/>
      <c r="J436" s="26"/>
      <c r="K436" t="str" s="15">
        <f aca="0">IF(COUNTA(B436:J436)=0,"",IF(R436&lt;&gt;"","확인필요(입력누락)",IF(COUNTIFS(보유목록!$I$2:$I$3001,"*"&amp;P436&amp;"*",보유목록!$I$2:$I$3001,"*"&amp;Q436&amp;"*",보유목록!$H$2:$H$3001,O436)&gt;0,"있음",IF(COUNTIFS(보유목록!$I$2:$I$3001,"*"&amp;P436&amp;"*",보유목록!$I$2:$I$3001,"*"&amp;Q436&amp;"*")&gt;0,"확인필요(연도다름)",IF(COUNTIFS(보유목록!$I$2:$I$3001,"*"&amp;P436&amp;"*",보유목록!$H$2:$H$3001,O436)&gt;0,"확인필요(같은학교·같은연도)","없음")))))</f>
      </c>
      <c r="L436" t="str" s="16">
        <f aca="0">IF(OR(COUNTA(B436:J436)=0,R436&lt;&gt;""),"",COUNTIFS(보유목록!$I$2:$I$3001,"*"&amp;P436&amp;"*",보유목록!$I$2:$I$3001,"*"&amp;Q436&amp;"*"))</f>
      </c>
      <c r="M436" t="str" s="23">
        <f aca="0">IF(OR(COUNTA(B436:J436)=0,R436&lt;&gt;""),"",IFERROR(LOOKUP(2,1/(ISNUMBER(SEARCH(P436,보유목록!$I$2:$I$3001))*ISNUMBER(SEARCH(Q436,보유목록!$I$2:$I$3001))*(보유목록!$H$2:$H$3001=O436)),보유목록!$B$2:$B$3001),IFERROR(LOOKUP(2,1/(ISNUMBER(SEARCH(P436,보유목록!$I$2:$I$3001))*ISNUMBER(SEARCH(Q436,보유목록!$I$2:$I$3001))),보유목록!$B$2:$B$3001),"")))</f>
      </c>
      <c r="N436" s="25"/>
      <c r="O436" t="str">
        <f>IFERROR(IF(AND(LEN(SUBSTITUTE(SUBSTITUTE(SUBSTITUTE(TRIM(C436&amp;""),CHAR(160),"")," ",""),"년",""))=4,VALUE(SUBSTITUTE(SUBSTITUTE(SUBSTITUTE(TRIM(C436&amp;""),CHAR(160),"")," ",""),"년",""))&gt;=1900,VALUE(SUBSTITUTE(SUBSTITUTE(SUBSTITUTE(TRIM(C436&amp;""),CHAR(160),"")," ",""),"년",""))&lt;=2099,TEXT(VALUE(SUBSTITUTE(SUBSTITUTE(SUBSTITUTE(TRIM(C436&amp;""),CHAR(160),"")," ",""),"년","")),"0000")=SUBSTITUTE(SUBSTITUTE(SUBSTITUTE(TRIM(C436&amp;""),CHAR(160),"")," ",""),"년","")),SUBSTITUTE(SUBSTITUTE(SUBSTITUTE(TRIM(C436&amp;""),CHAR(160),"")," ",""),"년",""),""),"")</f>
      </c>
      <c r="P436" t="str">
        <f>SUBSTITUTE(SUBSTITUTE(SUBSTITUTE(SUBSTITUTE(SUBSTITUTE(SUBSTITUTE(SUBSTITUTE(SUBSTITUTE(TRIM(D436&amp;""),CHAR(160),"")," ",""),"초등학교","초"),"중학교","중"),"고등학교","고"),"~","~~"),"*","~*"),"?","~?")</f>
      </c>
      <c r="Q436" t="str">
        <f>SUBSTITUTE(SUBSTITUTE(SUBSTITUTE(SUBSTITUTE(SUBSTITUTE(SUBSTITUTE(SUBSTITUTE(SUBSTITUTE(TRIM(E436&amp;""),CHAR(160),"")," ",""),"초등학교","초"),"중학교","중"),"고등학교","고"),"~","~~"),"*","~*"),"?","~?")</f>
      </c>
      <c r="R436" t="str">
        <f>IF(COUNTA(B436:J436)=0,"",IF(AND(O436&lt;&gt;"",P436&lt;&gt;"",Q436&lt;&gt;""),"","입력누락"))</f>
      </c>
    </row>
    <row r="437" customFormat="false" ht="15" hidden="false" customHeight="false" outlineLevel="0" collapsed="false">
      <c r="A437" t="n" s="19">
        <f aca="0">IF(COUNTA(B437:J437)=0,"",ROW()-1)</f>
      </c>
      <c r="B437" s="24"/>
      <c r="C437" s="25"/>
      <c r="D437" s="8"/>
      <c r="E437" s="8"/>
      <c r="F437" s="26"/>
      <c r="G437" s="24"/>
      <c r="H437" s="25"/>
      <c r="I437" s="25"/>
      <c r="J437" s="26"/>
      <c r="K437" t="str" s="15">
        <f aca="0">IF(COUNTA(B437:J437)=0,"",IF(R437&lt;&gt;"","확인필요(입력누락)",IF(COUNTIFS(보유목록!$I$2:$I$3001,"*"&amp;P437&amp;"*",보유목록!$I$2:$I$3001,"*"&amp;Q437&amp;"*",보유목록!$H$2:$H$3001,O437)&gt;0,"있음",IF(COUNTIFS(보유목록!$I$2:$I$3001,"*"&amp;P437&amp;"*",보유목록!$I$2:$I$3001,"*"&amp;Q437&amp;"*")&gt;0,"확인필요(연도다름)",IF(COUNTIFS(보유목록!$I$2:$I$3001,"*"&amp;P437&amp;"*",보유목록!$H$2:$H$3001,O437)&gt;0,"확인필요(같은학교·같은연도)","없음")))))</f>
      </c>
      <c r="L437" t="str" s="16">
        <f aca="0">IF(OR(COUNTA(B437:J437)=0,R437&lt;&gt;""),"",COUNTIFS(보유목록!$I$2:$I$3001,"*"&amp;P437&amp;"*",보유목록!$I$2:$I$3001,"*"&amp;Q437&amp;"*"))</f>
      </c>
      <c r="M437" t="str" s="23">
        <f aca="0">IF(OR(COUNTA(B437:J437)=0,R437&lt;&gt;""),"",IFERROR(LOOKUP(2,1/(ISNUMBER(SEARCH(P437,보유목록!$I$2:$I$3001))*ISNUMBER(SEARCH(Q437,보유목록!$I$2:$I$3001))*(보유목록!$H$2:$H$3001=O437)),보유목록!$B$2:$B$3001),IFERROR(LOOKUP(2,1/(ISNUMBER(SEARCH(P437,보유목록!$I$2:$I$3001))*ISNUMBER(SEARCH(Q437,보유목록!$I$2:$I$3001))),보유목록!$B$2:$B$3001),"")))</f>
      </c>
      <c r="N437" s="25"/>
      <c r="O437" t="str">
        <f>IFERROR(IF(AND(LEN(SUBSTITUTE(SUBSTITUTE(SUBSTITUTE(TRIM(C437&amp;""),CHAR(160),"")," ",""),"년",""))=4,VALUE(SUBSTITUTE(SUBSTITUTE(SUBSTITUTE(TRIM(C437&amp;""),CHAR(160),"")," ",""),"년",""))&gt;=1900,VALUE(SUBSTITUTE(SUBSTITUTE(SUBSTITUTE(TRIM(C437&amp;""),CHAR(160),"")," ",""),"년",""))&lt;=2099,TEXT(VALUE(SUBSTITUTE(SUBSTITUTE(SUBSTITUTE(TRIM(C437&amp;""),CHAR(160),"")," ",""),"년","")),"0000")=SUBSTITUTE(SUBSTITUTE(SUBSTITUTE(TRIM(C437&amp;""),CHAR(160),"")," ",""),"년","")),SUBSTITUTE(SUBSTITUTE(SUBSTITUTE(TRIM(C437&amp;""),CHAR(160),"")," ",""),"년",""),""),"")</f>
      </c>
      <c r="P437" t="str">
        <f>SUBSTITUTE(SUBSTITUTE(SUBSTITUTE(SUBSTITUTE(SUBSTITUTE(SUBSTITUTE(SUBSTITUTE(SUBSTITUTE(TRIM(D437&amp;""),CHAR(160),"")," ",""),"초등학교","초"),"중학교","중"),"고등학교","고"),"~","~~"),"*","~*"),"?","~?")</f>
      </c>
      <c r="Q437" t="str">
        <f>SUBSTITUTE(SUBSTITUTE(SUBSTITUTE(SUBSTITUTE(SUBSTITUTE(SUBSTITUTE(SUBSTITUTE(SUBSTITUTE(TRIM(E437&amp;""),CHAR(160),"")," ",""),"초등학교","초"),"중학교","중"),"고등학교","고"),"~","~~"),"*","~*"),"?","~?")</f>
      </c>
      <c r="R437" t="str">
        <f>IF(COUNTA(B437:J437)=0,"",IF(AND(O437&lt;&gt;"",P437&lt;&gt;"",Q437&lt;&gt;""),"","입력누락"))</f>
      </c>
    </row>
    <row r="438" customFormat="false" ht="15" hidden="false" customHeight="false" outlineLevel="0" collapsed="false">
      <c r="A438" t="n" s="19">
        <f aca="0">IF(COUNTA(B438:J438)=0,"",ROW()-1)</f>
      </c>
      <c r="B438" s="24"/>
      <c r="C438" s="25"/>
      <c r="D438" s="8"/>
      <c r="E438" s="8"/>
      <c r="F438" s="26"/>
      <c r="G438" s="24"/>
      <c r="H438" s="25"/>
      <c r="I438" s="25"/>
      <c r="J438" s="26"/>
      <c r="K438" t="str" s="15">
        <f aca="0">IF(COUNTA(B438:J438)=0,"",IF(R438&lt;&gt;"","확인필요(입력누락)",IF(COUNTIFS(보유목록!$I$2:$I$3001,"*"&amp;P438&amp;"*",보유목록!$I$2:$I$3001,"*"&amp;Q438&amp;"*",보유목록!$H$2:$H$3001,O438)&gt;0,"있음",IF(COUNTIFS(보유목록!$I$2:$I$3001,"*"&amp;P438&amp;"*",보유목록!$I$2:$I$3001,"*"&amp;Q438&amp;"*")&gt;0,"확인필요(연도다름)",IF(COUNTIFS(보유목록!$I$2:$I$3001,"*"&amp;P438&amp;"*",보유목록!$H$2:$H$3001,O438)&gt;0,"확인필요(같은학교·같은연도)","없음")))))</f>
      </c>
      <c r="L438" t="str" s="16">
        <f aca="0">IF(OR(COUNTA(B438:J438)=0,R438&lt;&gt;""),"",COUNTIFS(보유목록!$I$2:$I$3001,"*"&amp;P438&amp;"*",보유목록!$I$2:$I$3001,"*"&amp;Q438&amp;"*"))</f>
      </c>
      <c r="M438" t="str" s="23">
        <f aca="0">IF(OR(COUNTA(B438:J438)=0,R438&lt;&gt;""),"",IFERROR(LOOKUP(2,1/(ISNUMBER(SEARCH(P438,보유목록!$I$2:$I$3001))*ISNUMBER(SEARCH(Q438,보유목록!$I$2:$I$3001))*(보유목록!$H$2:$H$3001=O438)),보유목록!$B$2:$B$3001),IFERROR(LOOKUP(2,1/(ISNUMBER(SEARCH(P438,보유목록!$I$2:$I$3001))*ISNUMBER(SEARCH(Q438,보유목록!$I$2:$I$3001))),보유목록!$B$2:$B$3001),"")))</f>
      </c>
      <c r="N438" s="25"/>
      <c r="O438" t="str">
        <f>IFERROR(IF(AND(LEN(SUBSTITUTE(SUBSTITUTE(SUBSTITUTE(TRIM(C438&amp;""),CHAR(160),"")," ",""),"년",""))=4,VALUE(SUBSTITUTE(SUBSTITUTE(SUBSTITUTE(TRIM(C438&amp;""),CHAR(160),"")," ",""),"년",""))&gt;=1900,VALUE(SUBSTITUTE(SUBSTITUTE(SUBSTITUTE(TRIM(C438&amp;""),CHAR(160),"")," ",""),"년",""))&lt;=2099,TEXT(VALUE(SUBSTITUTE(SUBSTITUTE(SUBSTITUTE(TRIM(C438&amp;""),CHAR(160),"")," ",""),"년","")),"0000")=SUBSTITUTE(SUBSTITUTE(SUBSTITUTE(TRIM(C438&amp;""),CHAR(160),"")," ",""),"년","")),SUBSTITUTE(SUBSTITUTE(SUBSTITUTE(TRIM(C438&amp;""),CHAR(160),"")," ",""),"년",""),""),"")</f>
      </c>
      <c r="P438" t="str">
        <f>SUBSTITUTE(SUBSTITUTE(SUBSTITUTE(SUBSTITUTE(SUBSTITUTE(SUBSTITUTE(SUBSTITUTE(SUBSTITUTE(TRIM(D438&amp;""),CHAR(160),"")," ",""),"초등학교","초"),"중학교","중"),"고등학교","고"),"~","~~"),"*","~*"),"?","~?")</f>
      </c>
      <c r="Q438" t="str">
        <f>SUBSTITUTE(SUBSTITUTE(SUBSTITUTE(SUBSTITUTE(SUBSTITUTE(SUBSTITUTE(SUBSTITUTE(SUBSTITUTE(TRIM(E438&amp;""),CHAR(160),"")," ",""),"초등학교","초"),"중학교","중"),"고등학교","고"),"~","~~"),"*","~*"),"?","~?")</f>
      </c>
      <c r="R438" t="str">
        <f>IF(COUNTA(B438:J438)=0,"",IF(AND(O438&lt;&gt;"",P438&lt;&gt;"",Q438&lt;&gt;""),"","입력누락"))</f>
      </c>
    </row>
    <row r="439" customFormat="false" ht="15" hidden="false" customHeight="false" outlineLevel="0" collapsed="false">
      <c r="A439" t="n" s="19">
        <f aca="0">IF(COUNTA(B439:J439)=0,"",ROW()-1)</f>
      </c>
      <c r="B439" s="24"/>
      <c r="C439" s="25"/>
      <c r="D439" s="8"/>
      <c r="E439" s="8"/>
      <c r="F439" s="26"/>
      <c r="G439" s="24"/>
      <c r="H439" s="25"/>
      <c r="I439" s="25"/>
      <c r="J439" s="26"/>
      <c r="K439" t="str" s="15">
        <f aca="0">IF(COUNTA(B439:J439)=0,"",IF(R439&lt;&gt;"","확인필요(입력누락)",IF(COUNTIFS(보유목록!$I$2:$I$3001,"*"&amp;P439&amp;"*",보유목록!$I$2:$I$3001,"*"&amp;Q439&amp;"*",보유목록!$H$2:$H$3001,O439)&gt;0,"있음",IF(COUNTIFS(보유목록!$I$2:$I$3001,"*"&amp;P439&amp;"*",보유목록!$I$2:$I$3001,"*"&amp;Q439&amp;"*")&gt;0,"확인필요(연도다름)",IF(COUNTIFS(보유목록!$I$2:$I$3001,"*"&amp;P439&amp;"*",보유목록!$H$2:$H$3001,O439)&gt;0,"확인필요(같은학교·같은연도)","없음")))))</f>
      </c>
      <c r="L439" t="str" s="16">
        <f aca="0">IF(OR(COUNTA(B439:J439)=0,R439&lt;&gt;""),"",COUNTIFS(보유목록!$I$2:$I$3001,"*"&amp;P439&amp;"*",보유목록!$I$2:$I$3001,"*"&amp;Q439&amp;"*"))</f>
      </c>
      <c r="M439" t="str" s="23">
        <f aca="0">IF(OR(COUNTA(B439:J439)=0,R439&lt;&gt;""),"",IFERROR(LOOKUP(2,1/(ISNUMBER(SEARCH(P439,보유목록!$I$2:$I$3001))*ISNUMBER(SEARCH(Q439,보유목록!$I$2:$I$3001))*(보유목록!$H$2:$H$3001=O439)),보유목록!$B$2:$B$3001),IFERROR(LOOKUP(2,1/(ISNUMBER(SEARCH(P439,보유목록!$I$2:$I$3001))*ISNUMBER(SEARCH(Q439,보유목록!$I$2:$I$3001))),보유목록!$B$2:$B$3001),"")))</f>
      </c>
      <c r="N439" s="25"/>
      <c r="O439" t="str">
        <f>IFERROR(IF(AND(LEN(SUBSTITUTE(SUBSTITUTE(SUBSTITUTE(TRIM(C439&amp;""),CHAR(160),"")," ",""),"년",""))=4,VALUE(SUBSTITUTE(SUBSTITUTE(SUBSTITUTE(TRIM(C439&amp;""),CHAR(160),"")," ",""),"년",""))&gt;=1900,VALUE(SUBSTITUTE(SUBSTITUTE(SUBSTITUTE(TRIM(C439&amp;""),CHAR(160),"")," ",""),"년",""))&lt;=2099,TEXT(VALUE(SUBSTITUTE(SUBSTITUTE(SUBSTITUTE(TRIM(C439&amp;""),CHAR(160),"")," ",""),"년","")),"0000")=SUBSTITUTE(SUBSTITUTE(SUBSTITUTE(TRIM(C439&amp;""),CHAR(160),"")," ",""),"년","")),SUBSTITUTE(SUBSTITUTE(SUBSTITUTE(TRIM(C439&amp;""),CHAR(160),"")," ",""),"년",""),""),"")</f>
      </c>
      <c r="P439" t="str">
        <f>SUBSTITUTE(SUBSTITUTE(SUBSTITUTE(SUBSTITUTE(SUBSTITUTE(SUBSTITUTE(SUBSTITUTE(SUBSTITUTE(TRIM(D439&amp;""),CHAR(160),"")," ",""),"초등학교","초"),"중학교","중"),"고등학교","고"),"~","~~"),"*","~*"),"?","~?")</f>
      </c>
      <c r="Q439" t="str">
        <f>SUBSTITUTE(SUBSTITUTE(SUBSTITUTE(SUBSTITUTE(SUBSTITUTE(SUBSTITUTE(SUBSTITUTE(SUBSTITUTE(TRIM(E439&amp;""),CHAR(160),"")," ",""),"초등학교","초"),"중학교","중"),"고등학교","고"),"~","~~"),"*","~*"),"?","~?")</f>
      </c>
      <c r="R439" t="str">
        <f>IF(COUNTA(B439:J439)=0,"",IF(AND(O439&lt;&gt;"",P439&lt;&gt;"",Q439&lt;&gt;""),"","입력누락"))</f>
      </c>
    </row>
    <row r="440" customFormat="false" ht="15" hidden="false" customHeight="false" outlineLevel="0" collapsed="false">
      <c r="A440" t="n" s="19">
        <f aca="0">IF(COUNTA(B440:J440)=0,"",ROW()-1)</f>
      </c>
      <c r="B440" s="24"/>
      <c r="C440" s="25"/>
      <c r="D440" s="8"/>
      <c r="E440" s="8"/>
      <c r="F440" s="26"/>
      <c r="G440" s="24"/>
      <c r="H440" s="25"/>
      <c r="I440" s="25"/>
      <c r="J440" s="26"/>
      <c r="K440" t="str" s="15">
        <f aca="0">IF(COUNTA(B440:J440)=0,"",IF(R440&lt;&gt;"","확인필요(입력누락)",IF(COUNTIFS(보유목록!$I$2:$I$3001,"*"&amp;P440&amp;"*",보유목록!$I$2:$I$3001,"*"&amp;Q440&amp;"*",보유목록!$H$2:$H$3001,O440)&gt;0,"있음",IF(COUNTIFS(보유목록!$I$2:$I$3001,"*"&amp;P440&amp;"*",보유목록!$I$2:$I$3001,"*"&amp;Q440&amp;"*")&gt;0,"확인필요(연도다름)",IF(COUNTIFS(보유목록!$I$2:$I$3001,"*"&amp;P440&amp;"*",보유목록!$H$2:$H$3001,O440)&gt;0,"확인필요(같은학교·같은연도)","없음")))))</f>
      </c>
      <c r="L440" t="str" s="16">
        <f aca="0">IF(OR(COUNTA(B440:J440)=0,R440&lt;&gt;""),"",COUNTIFS(보유목록!$I$2:$I$3001,"*"&amp;P440&amp;"*",보유목록!$I$2:$I$3001,"*"&amp;Q440&amp;"*"))</f>
      </c>
      <c r="M440" t="str" s="23">
        <f aca="0">IF(OR(COUNTA(B440:J440)=0,R440&lt;&gt;""),"",IFERROR(LOOKUP(2,1/(ISNUMBER(SEARCH(P440,보유목록!$I$2:$I$3001))*ISNUMBER(SEARCH(Q440,보유목록!$I$2:$I$3001))*(보유목록!$H$2:$H$3001=O440)),보유목록!$B$2:$B$3001),IFERROR(LOOKUP(2,1/(ISNUMBER(SEARCH(P440,보유목록!$I$2:$I$3001))*ISNUMBER(SEARCH(Q440,보유목록!$I$2:$I$3001))),보유목록!$B$2:$B$3001),"")))</f>
      </c>
      <c r="N440" s="25"/>
      <c r="O440" t="str">
        <f>IFERROR(IF(AND(LEN(SUBSTITUTE(SUBSTITUTE(SUBSTITUTE(TRIM(C440&amp;""),CHAR(160),"")," ",""),"년",""))=4,VALUE(SUBSTITUTE(SUBSTITUTE(SUBSTITUTE(TRIM(C440&amp;""),CHAR(160),"")," ",""),"년",""))&gt;=1900,VALUE(SUBSTITUTE(SUBSTITUTE(SUBSTITUTE(TRIM(C440&amp;""),CHAR(160),"")," ",""),"년",""))&lt;=2099,TEXT(VALUE(SUBSTITUTE(SUBSTITUTE(SUBSTITUTE(TRIM(C440&amp;""),CHAR(160),"")," ",""),"년","")),"0000")=SUBSTITUTE(SUBSTITUTE(SUBSTITUTE(TRIM(C440&amp;""),CHAR(160),"")," ",""),"년","")),SUBSTITUTE(SUBSTITUTE(SUBSTITUTE(TRIM(C440&amp;""),CHAR(160),"")," ",""),"년",""),""),"")</f>
      </c>
      <c r="P440" t="str">
        <f>SUBSTITUTE(SUBSTITUTE(SUBSTITUTE(SUBSTITUTE(SUBSTITUTE(SUBSTITUTE(SUBSTITUTE(SUBSTITUTE(TRIM(D440&amp;""),CHAR(160),"")," ",""),"초등학교","초"),"중학교","중"),"고등학교","고"),"~","~~"),"*","~*"),"?","~?")</f>
      </c>
      <c r="Q440" t="str">
        <f>SUBSTITUTE(SUBSTITUTE(SUBSTITUTE(SUBSTITUTE(SUBSTITUTE(SUBSTITUTE(SUBSTITUTE(SUBSTITUTE(TRIM(E440&amp;""),CHAR(160),"")," ",""),"초등학교","초"),"중학교","중"),"고등학교","고"),"~","~~"),"*","~*"),"?","~?")</f>
      </c>
      <c r="R440" t="str">
        <f>IF(COUNTA(B440:J440)=0,"",IF(AND(O440&lt;&gt;"",P440&lt;&gt;"",Q440&lt;&gt;""),"","입력누락"))</f>
      </c>
    </row>
    <row r="441" customFormat="false" ht="15" hidden="false" customHeight="false" outlineLevel="0" collapsed="false">
      <c r="A441" t="n" s="19">
        <f aca="0">IF(COUNTA(B441:J441)=0,"",ROW()-1)</f>
      </c>
      <c r="B441" s="24"/>
      <c r="C441" s="25"/>
      <c r="D441" s="8"/>
      <c r="E441" s="8"/>
      <c r="F441" s="26"/>
      <c r="G441" s="24"/>
      <c r="H441" s="25"/>
      <c r="I441" s="25"/>
      <c r="J441" s="26"/>
      <c r="K441" t="str" s="15">
        <f aca="0">IF(COUNTA(B441:J441)=0,"",IF(R441&lt;&gt;"","확인필요(입력누락)",IF(COUNTIFS(보유목록!$I$2:$I$3001,"*"&amp;P441&amp;"*",보유목록!$I$2:$I$3001,"*"&amp;Q441&amp;"*",보유목록!$H$2:$H$3001,O441)&gt;0,"있음",IF(COUNTIFS(보유목록!$I$2:$I$3001,"*"&amp;P441&amp;"*",보유목록!$I$2:$I$3001,"*"&amp;Q441&amp;"*")&gt;0,"확인필요(연도다름)",IF(COUNTIFS(보유목록!$I$2:$I$3001,"*"&amp;P441&amp;"*",보유목록!$H$2:$H$3001,O441)&gt;0,"확인필요(같은학교·같은연도)","없음")))))</f>
      </c>
      <c r="L441" t="str" s="16">
        <f aca="0">IF(OR(COUNTA(B441:J441)=0,R441&lt;&gt;""),"",COUNTIFS(보유목록!$I$2:$I$3001,"*"&amp;P441&amp;"*",보유목록!$I$2:$I$3001,"*"&amp;Q441&amp;"*"))</f>
      </c>
      <c r="M441" t="str" s="23">
        <f aca="0">IF(OR(COUNTA(B441:J441)=0,R441&lt;&gt;""),"",IFERROR(LOOKUP(2,1/(ISNUMBER(SEARCH(P441,보유목록!$I$2:$I$3001))*ISNUMBER(SEARCH(Q441,보유목록!$I$2:$I$3001))*(보유목록!$H$2:$H$3001=O441)),보유목록!$B$2:$B$3001),IFERROR(LOOKUP(2,1/(ISNUMBER(SEARCH(P441,보유목록!$I$2:$I$3001))*ISNUMBER(SEARCH(Q441,보유목록!$I$2:$I$3001))),보유목록!$B$2:$B$3001),"")))</f>
      </c>
      <c r="N441" s="25"/>
      <c r="O441" t="str">
        <f>IFERROR(IF(AND(LEN(SUBSTITUTE(SUBSTITUTE(SUBSTITUTE(TRIM(C441&amp;""),CHAR(160),"")," ",""),"년",""))=4,VALUE(SUBSTITUTE(SUBSTITUTE(SUBSTITUTE(TRIM(C441&amp;""),CHAR(160),"")," ",""),"년",""))&gt;=1900,VALUE(SUBSTITUTE(SUBSTITUTE(SUBSTITUTE(TRIM(C441&amp;""),CHAR(160),"")," ",""),"년",""))&lt;=2099,TEXT(VALUE(SUBSTITUTE(SUBSTITUTE(SUBSTITUTE(TRIM(C441&amp;""),CHAR(160),"")," ",""),"년","")),"0000")=SUBSTITUTE(SUBSTITUTE(SUBSTITUTE(TRIM(C441&amp;""),CHAR(160),"")," ",""),"년","")),SUBSTITUTE(SUBSTITUTE(SUBSTITUTE(TRIM(C441&amp;""),CHAR(160),"")," ",""),"년",""),""),"")</f>
      </c>
      <c r="P441" t="str">
        <f>SUBSTITUTE(SUBSTITUTE(SUBSTITUTE(SUBSTITUTE(SUBSTITUTE(SUBSTITUTE(SUBSTITUTE(SUBSTITUTE(TRIM(D441&amp;""),CHAR(160),"")," ",""),"초등학교","초"),"중학교","중"),"고등학교","고"),"~","~~"),"*","~*"),"?","~?")</f>
      </c>
      <c r="Q441" t="str">
        <f>SUBSTITUTE(SUBSTITUTE(SUBSTITUTE(SUBSTITUTE(SUBSTITUTE(SUBSTITUTE(SUBSTITUTE(SUBSTITUTE(TRIM(E441&amp;""),CHAR(160),"")," ",""),"초등학교","초"),"중학교","중"),"고등학교","고"),"~","~~"),"*","~*"),"?","~?")</f>
      </c>
      <c r="R441" t="str">
        <f>IF(COUNTA(B441:J441)=0,"",IF(AND(O441&lt;&gt;"",P441&lt;&gt;"",Q441&lt;&gt;""),"","입력누락"))</f>
      </c>
    </row>
    <row r="442" customFormat="false" ht="15" hidden="false" customHeight="false" outlineLevel="0" collapsed="false">
      <c r="A442" t="n" s="19">
        <f aca="0">IF(COUNTA(B442:J442)=0,"",ROW()-1)</f>
      </c>
      <c r="B442" s="24"/>
      <c r="C442" s="25"/>
      <c r="D442" s="8"/>
      <c r="E442" s="8"/>
      <c r="F442" s="26"/>
      <c r="G442" s="24"/>
      <c r="H442" s="25"/>
      <c r="I442" s="25"/>
      <c r="J442" s="26"/>
      <c r="K442" t="str" s="15">
        <f aca="0">IF(COUNTA(B442:J442)=0,"",IF(R442&lt;&gt;"","확인필요(입력누락)",IF(COUNTIFS(보유목록!$I$2:$I$3001,"*"&amp;P442&amp;"*",보유목록!$I$2:$I$3001,"*"&amp;Q442&amp;"*",보유목록!$H$2:$H$3001,O442)&gt;0,"있음",IF(COUNTIFS(보유목록!$I$2:$I$3001,"*"&amp;P442&amp;"*",보유목록!$I$2:$I$3001,"*"&amp;Q442&amp;"*")&gt;0,"확인필요(연도다름)",IF(COUNTIFS(보유목록!$I$2:$I$3001,"*"&amp;P442&amp;"*",보유목록!$H$2:$H$3001,O442)&gt;0,"확인필요(같은학교·같은연도)","없음")))))</f>
      </c>
      <c r="L442" t="str" s="16">
        <f aca="0">IF(OR(COUNTA(B442:J442)=0,R442&lt;&gt;""),"",COUNTIFS(보유목록!$I$2:$I$3001,"*"&amp;P442&amp;"*",보유목록!$I$2:$I$3001,"*"&amp;Q442&amp;"*"))</f>
      </c>
      <c r="M442" t="str" s="23">
        <f aca="0">IF(OR(COUNTA(B442:J442)=0,R442&lt;&gt;""),"",IFERROR(LOOKUP(2,1/(ISNUMBER(SEARCH(P442,보유목록!$I$2:$I$3001))*ISNUMBER(SEARCH(Q442,보유목록!$I$2:$I$3001))*(보유목록!$H$2:$H$3001=O442)),보유목록!$B$2:$B$3001),IFERROR(LOOKUP(2,1/(ISNUMBER(SEARCH(P442,보유목록!$I$2:$I$3001))*ISNUMBER(SEARCH(Q442,보유목록!$I$2:$I$3001))),보유목록!$B$2:$B$3001),"")))</f>
      </c>
      <c r="N442" s="25"/>
      <c r="O442" t="str">
        <f>IFERROR(IF(AND(LEN(SUBSTITUTE(SUBSTITUTE(SUBSTITUTE(TRIM(C442&amp;""),CHAR(160),"")," ",""),"년",""))=4,VALUE(SUBSTITUTE(SUBSTITUTE(SUBSTITUTE(TRIM(C442&amp;""),CHAR(160),"")," ",""),"년",""))&gt;=1900,VALUE(SUBSTITUTE(SUBSTITUTE(SUBSTITUTE(TRIM(C442&amp;""),CHAR(160),"")," ",""),"년",""))&lt;=2099,TEXT(VALUE(SUBSTITUTE(SUBSTITUTE(SUBSTITUTE(TRIM(C442&amp;""),CHAR(160),"")," ",""),"년","")),"0000")=SUBSTITUTE(SUBSTITUTE(SUBSTITUTE(TRIM(C442&amp;""),CHAR(160),"")," ",""),"년","")),SUBSTITUTE(SUBSTITUTE(SUBSTITUTE(TRIM(C442&amp;""),CHAR(160),"")," ",""),"년",""),""),"")</f>
      </c>
      <c r="P442" t="str">
        <f>SUBSTITUTE(SUBSTITUTE(SUBSTITUTE(SUBSTITUTE(SUBSTITUTE(SUBSTITUTE(SUBSTITUTE(SUBSTITUTE(TRIM(D442&amp;""),CHAR(160),"")," ",""),"초등학교","초"),"중학교","중"),"고등학교","고"),"~","~~"),"*","~*"),"?","~?")</f>
      </c>
      <c r="Q442" t="str">
        <f>SUBSTITUTE(SUBSTITUTE(SUBSTITUTE(SUBSTITUTE(SUBSTITUTE(SUBSTITUTE(SUBSTITUTE(SUBSTITUTE(TRIM(E442&amp;""),CHAR(160),"")," ",""),"초등학교","초"),"중학교","중"),"고등학교","고"),"~","~~"),"*","~*"),"?","~?")</f>
      </c>
      <c r="R442" t="str">
        <f>IF(COUNTA(B442:J442)=0,"",IF(AND(O442&lt;&gt;"",P442&lt;&gt;"",Q442&lt;&gt;""),"","입력누락"))</f>
      </c>
    </row>
    <row r="443" customFormat="false" ht="15" hidden="false" customHeight="false" outlineLevel="0" collapsed="false">
      <c r="A443" t="n" s="19">
        <f aca="0">IF(COUNTA(B443:J443)=0,"",ROW()-1)</f>
      </c>
      <c r="B443" s="24"/>
      <c r="C443" s="25"/>
      <c r="D443" s="8"/>
      <c r="E443" s="8"/>
      <c r="F443" s="26"/>
      <c r="G443" s="24"/>
      <c r="H443" s="25"/>
      <c r="I443" s="25"/>
      <c r="J443" s="26"/>
      <c r="K443" t="str" s="15">
        <f aca="0">IF(COUNTA(B443:J443)=0,"",IF(R443&lt;&gt;"","확인필요(입력누락)",IF(COUNTIFS(보유목록!$I$2:$I$3001,"*"&amp;P443&amp;"*",보유목록!$I$2:$I$3001,"*"&amp;Q443&amp;"*",보유목록!$H$2:$H$3001,O443)&gt;0,"있음",IF(COUNTIFS(보유목록!$I$2:$I$3001,"*"&amp;P443&amp;"*",보유목록!$I$2:$I$3001,"*"&amp;Q443&amp;"*")&gt;0,"확인필요(연도다름)",IF(COUNTIFS(보유목록!$I$2:$I$3001,"*"&amp;P443&amp;"*",보유목록!$H$2:$H$3001,O443)&gt;0,"확인필요(같은학교·같은연도)","없음")))))</f>
      </c>
      <c r="L443" t="str" s="16">
        <f aca="0">IF(OR(COUNTA(B443:J443)=0,R443&lt;&gt;""),"",COUNTIFS(보유목록!$I$2:$I$3001,"*"&amp;P443&amp;"*",보유목록!$I$2:$I$3001,"*"&amp;Q443&amp;"*"))</f>
      </c>
      <c r="M443" t="str" s="23">
        <f aca="0">IF(OR(COUNTA(B443:J443)=0,R443&lt;&gt;""),"",IFERROR(LOOKUP(2,1/(ISNUMBER(SEARCH(P443,보유목록!$I$2:$I$3001))*ISNUMBER(SEARCH(Q443,보유목록!$I$2:$I$3001))*(보유목록!$H$2:$H$3001=O443)),보유목록!$B$2:$B$3001),IFERROR(LOOKUP(2,1/(ISNUMBER(SEARCH(P443,보유목록!$I$2:$I$3001))*ISNUMBER(SEARCH(Q443,보유목록!$I$2:$I$3001))),보유목록!$B$2:$B$3001),"")))</f>
      </c>
      <c r="N443" s="25"/>
      <c r="O443" t="str">
        <f>IFERROR(IF(AND(LEN(SUBSTITUTE(SUBSTITUTE(SUBSTITUTE(TRIM(C443&amp;""),CHAR(160),"")," ",""),"년",""))=4,VALUE(SUBSTITUTE(SUBSTITUTE(SUBSTITUTE(TRIM(C443&amp;""),CHAR(160),"")," ",""),"년",""))&gt;=1900,VALUE(SUBSTITUTE(SUBSTITUTE(SUBSTITUTE(TRIM(C443&amp;""),CHAR(160),"")," ",""),"년",""))&lt;=2099,TEXT(VALUE(SUBSTITUTE(SUBSTITUTE(SUBSTITUTE(TRIM(C443&amp;""),CHAR(160),"")," ",""),"년","")),"0000")=SUBSTITUTE(SUBSTITUTE(SUBSTITUTE(TRIM(C443&amp;""),CHAR(160),"")," ",""),"년","")),SUBSTITUTE(SUBSTITUTE(SUBSTITUTE(TRIM(C443&amp;""),CHAR(160),"")," ",""),"년",""),""),"")</f>
      </c>
      <c r="P443" t="str">
        <f>SUBSTITUTE(SUBSTITUTE(SUBSTITUTE(SUBSTITUTE(SUBSTITUTE(SUBSTITUTE(SUBSTITUTE(SUBSTITUTE(TRIM(D443&amp;""),CHAR(160),"")," ",""),"초등학교","초"),"중학교","중"),"고등학교","고"),"~","~~"),"*","~*"),"?","~?")</f>
      </c>
      <c r="Q443" t="str">
        <f>SUBSTITUTE(SUBSTITUTE(SUBSTITUTE(SUBSTITUTE(SUBSTITUTE(SUBSTITUTE(SUBSTITUTE(SUBSTITUTE(TRIM(E443&amp;""),CHAR(160),"")," ",""),"초등학교","초"),"중학교","중"),"고등학교","고"),"~","~~"),"*","~*"),"?","~?")</f>
      </c>
      <c r="R443" t="str">
        <f>IF(COUNTA(B443:J443)=0,"",IF(AND(O443&lt;&gt;"",P443&lt;&gt;"",Q443&lt;&gt;""),"","입력누락"))</f>
      </c>
    </row>
    <row r="444" customFormat="false" ht="15" hidden="false" customHeight="false" outlineLevel="0" collapsed="false">
      <c r="A444" t="n" s="19">
        <f aca="0">IF(COUNTA(B444:J444)=0,"",ROW()-1)</f>
      </c>
      <c r="B444" s="24"/>
      <c r="C444" s="25"/>
      <c r="D444" s="8"/>
      <c r="E444" s="8"/>
      <c r="F444" s="26"/>
      <c r="G444" s="24"/>
      <c r="H444" s="25"/>
      <c r="I444" s="25"/>
      <c r="J444" s="26"/>
      <c r="K444" t="str" s="15">
        <f aca="0">IF(COUNTA(B444:J444)=0,"",IF(R444&lt;&gt;"","확인필요(입력누락)",IF(COUNTIFS(보유목록!$I$2:$I$3001,"*"&amp;P444&amp;"*",보유목록!$I$2:$I$3001,"*"&amp;Q444&amp;"*",보유목록!$H$2:$H$3001,O444)&gt;0,"있음",IF(COUNTIFS(보유목록!$I$2:$I$3001,"*"&amp;P444&amp;"*",보유목록!$I$2:$I$3001,"*"&amp;Q444&amp;"*")&gt;0,"확인필요(연도다름)",IF(COUNTIFS(보유목록!$I$2:$I$3001,"*"&amp;P444&amp;"*",보유목록!$H$2:$H$3001,O444)&gt;0,"확인필요(같은학교·같은연도)","없음")))))</f>
      </c>
      <c r="L444" t="str" s="16">
        <f aca="0">IF(OR(COUNTA(B444:J444)=0,R444&lt;&gt;""),"",COUNTIFS(보유목록!$I$2:$I$3001,"*"&amp;P444&amp;"*",보유목록!$I$2:$I$3001,"*"&amp;Q444&amp;"*"))</f>
      </c>
      <c r="M444" t="str" s="23">
        <f aca="0">IF(OR(COUNTA(B444:J444)=0,R444&lt;&gt;""),"",IFERROR(LOOKUP(2,1/(ISNUMBER(SEARCH(P444,보유목록!$I$2:$I$3001))*ISNUMBER(SEARCH(Q444,보유목록!$I$2:$I$3001))*(보유목록!$H$2:$H$3001=O444)),보유목록!$B$2:$B$3001),IFERROR(LOOKUP(2,1/(ISNUMBER(SEARCH(P444,보유목록!$I$2:$I$3001))*ISNUMBER(SEARCH(Q444,보유목록!$I$2:$I$3001))),보유목록!$B$2:$B$3001),"")))</f>
      </c>
      <c r="N444" s="25"/>
      <c r="O444" t="str">
        <f>IFERROR(IF(AND(LEN(SUBSTITUTE(SUBSTITUTE(SUBSTITUTE(TRIM(C444&amp;""),CHAR(160),"")," ",""),"년",""))=4,VALUE(SUBSTITUTE(SUBSTITUTE(SUBSTITUTE(TRIM(C444&amp;""),CHAR(160),"")," ",""),"년",""))&gt;=1900,VALUE(SUBSTITUTE(SUBSTITUTE(SUBSTITUTE(TRIM(C444&amp;""),CHAR(160),"")," ",""),"년",""))&lt;=2099,TEXT(VALUE(SUBSTITUTE(SUBSTITUTE(SUBSTITUTE(TRIM(C444&amp;""),CHAR(160),"")," ",""),"년","")),"0000")=SUBSTITUTE(SUBSTITUTE(SUBSTITUTE(TRIM(C444&amp;""),CHAR(160),"")," ",""),"년","")),SUBSTITUTE(SUBSTITUTE(SUBSTITUTE(TRIM(C444&amp;""),CHAR(160),"")," ",""),"년",""),""),"")</f>
      </c>
      <c r="P444" t="str">
        <f>SUBSTITUTE(SUBSTITUTE(SUBSTITUTE(SUBSTITUTE(SUBSTITUTE(SUBSTITUTE(SUBSTITUTE(SUBSTITUTE(TRIM(D444&amp;""),CHAR(160),"")," ",""),"초등학교","초"),"중학교","중"),"고등학교","고"),"~","~~"),"*","~*"),"?","~?")</f>
      </c>
      <c r="Q444" t="str">
        <f>SUBSTITUTE(SUBSTITUTE(SUBSTITUTE(SUBSTITUTE(SUBSTITUTE(SUBSTITUTE(SUBSTITUTE(SUBSTITUTE(TRIM(E444&amp;""),CHAR(160),"")," ",""),"초등학교","초"),"중학교","중"),"고등학교","고"),"~","~~"),"*","~*"),"?","~?")</f>
      </c>
      <c r="R444" t="str">
        <f>IF(COUNTA(B444:J444)=0,"",IF(AND(O444&lt;&gt;"",P444&lt;&gt;"",Q444&lt;&gt;""),"","입력누락"))</f>
      </c>
    </row>
    <row r="445" customFormat="false" ht="15" hidden="false" customHeight="false" outlineLevel="0" collapsed="false">
      <c r="A445" t="n" s="19">
        <f aca="0">IF(COUNTA(B445:J445)=0,"",ROW()-1)</f>
      </c>
      <c r="B445" s="24"/>
      <c r="C445" s="25"/>
      <c r="D445" s="8"/>
      <c r="E445" s="8"/>
      <c r="F445" s="26"/>
      <c r="G445" s="24"/>
      <c r="H445" s="25"/>
      <c r="I445" s="25"/>
      <c r="J445" s="26"/>
      <c r="K445" t="str" s="15">
        <f aca="0">IF(COUNTA(B445:J445)=0,"",IF(R445&lt;&gt;"","확인필요(입력누락)",IF(COUNTIFS(보유목록!$I$2:$I$3001,"*"&amp;P445&amp;"*",보유목록!$I$2:$I$3001,"*"&amp;Q445&amp;"*",보유목록!$H$2:$H$3001,O445)&gt;0,"있음",IF(COUNTIFS(보유목록!$I$2:$I$3001,"*"&amp;P445&amp;"*",보유목록!$I$2:$I$3001,"*"&amp;Q445&amp;"*")&gt;0,"확인필요(연도다름)",IF(COUNTIFS(보유목록!$I$2:$I$3001,"*"&amp;P445&amp;"*",보유목록!$H$2:$H$3001,O445)&gt;0,"확인필요(같은학교·같은연도)","없음")))))</f>
      </c>
      <c r="L445" t="str" s="16">
        <f aca="0">IF(OR(COUNTA(B445:J445)=0,R445&lt;&gt;""),"",COUNTIFS(보유목록!$I$2:$I$3001,"*"&amp;P445&amp;"*",보유목록!$I$2:$I$3001,"*"&amp;Q445&amp;"*"))</f>
      </c>
      <c r="M445" t="str" s="23">
        <f aca="0">IF(OR(COUNTA(B445:J445)=0,R445&lt;&gt;""),"",IFERROR(LOOKUP(2,1/(ISNUMBER(SEARCH(P445,보유목록!$I$2:$I$3001))*ISNUMBER(SEARCH(Q445,보유목록!$I$2:$I$3001))*(보유목록!$H$2:$H$3001=O445)),보유목록!$B$2:$B$3001),IFERROR(LOOKUP(2,1/(ISNUMBER(SEARCH(P445,보유목록!$I$2:$I$3001))*ISNUMBER(SEARCH(Q445,보유목록!$I$2:$I$3001))),보유목록!$B$2:$B$3001),"")))</f>
      </c>
      <c r="N445" s="25"/>
      <c r="O445" t="str">
        <f>IFERROR(IF(AND(LEN(SUBSTITUTE(SUBSTITUTE(SUBSTITUTE(TRIM(C445&amp;""),CHAR(160),"")," ",""),"년",""))=4,VALUE(SUBSTITUTE(SUBSTITUTE(SUBSTITUTE(TRIM(C445&amp;""),CHAR(160),"")," ",""),"년",""))&gt;=1900,VALUE(SUBSTITUTE(SUBSTITUTE(SUBSTITUTE(TRIM(C445&amp;""),CHAR(160),"")," ",""),"년",""))&lt;=2099,TEXT(VALUE(SUBSTITUTE(SUBSTITUTE(SUBSTITUTE(TRIM(C445&amp;""),CHAR(160),"")," ",""),"년","")),"0000")=SUBSTITUTE(SUBSTITUTE(SUBSTITUTE(TRIM(C445&amp;""),CHAR(160),"")," ",""),"년","")),SUBSTITUTE(SUBSTITUTE(SUBSTITUTE(TRIM(C445&amp;""),CHAR(160),"")," ",""),"년",""),""),"")</f>
      </c>
      <c r="P445" t="str">
        <f>SUBSTITUTE(SUBSTITUTE(SUBSTITUTE(SUBSTITUTE(SUBSTITUTE(SUBSTITUTE(SUBSTITUTE(SUBSTITUTE(TRIM(D445&amp;""),CHAR(160),"")," ",""),"초등학교","초"),"중학교","중"),"고등학교","고"),"~","~~"),"*","~*"),"?","~?")</f>
      </c>
      <c r="Q445" t="str">
        <f>SUBSTITUTE(SUBSTITUTE(SUBSTITUTE(SUBSTITUTE(SUBSTITUTE(SUBSTITUTE(SUBSTITUTE(SUBSTITUTE(TRIM(E445&amp;""),CHAR(160),"")," ",""),"초등학교","초"),"중학교","중"),"고등학교","고"),"~","~~"),"*","~*"),"?","~?")</f>
      </c>
      <c r="R445" t="str">
        <f>IF(COUNTA(B445:J445)=0,"",IF(AND(O445&lt;&gt;"",P445&lt;&gt;"",Q445&lt;&gt;""),"","입력누락"))</f>
      </c>
    </row>
    <row r="446" customFormat="false" ht="15" hidden="false" customHeight="false" outlineLevel="0" collapsed="false">
      <c r="A446" t="n" s="19">
        <f aca="0">IF(COUNTA(B446:J446)=0,"",ROW()-1)</f>
      </c>
      <c r="B446" s="24"/>
      <c r="C446" s="25"/>
      <c r="D446" s="8"/>
      <c r="E446" s="8"/>
      <c r="F446" s="26"/>
      <c r="G446" s="24"/>
      <c r="H446" s="25"/>
      <c r="I446" s="25"/>
      <c r="J446" s="26"/>
      <c r="K446" t="str" s="15">
        <f aca="0">IF(COUNTA(B446:J446)=0,"",IF(R446&lt;&gt;"","확인필요(입력누락)",IF(COUNTIFS(보유목록!$I$2:$I$3001,"*"&amp;P446&amp;"*",보유목록!$I$2:$I$3001,"*"&amp;Q446&amp;"*",보유목록!$H$2:$H$3001,O446)&gt;0,"있음",IF(COUNTIFS(보유목록!$I$2:$I$3001,"*"&amp;P446&amp;"*",보유목록!$I$2:$I$3001,"*"&amp;Q446&amp;"*")&gt;0,"확인필요(연도다름)",IF(COUNTIFS(보유목록!$I$2:$I$3001,"*"&amp;P446&amp;"*",보유목록!$H$2:$H$3001,O446)&gt;0,"확인필요(같은학교·같은연도)","없음")))))</f>
      </c>
      <c r="L446" t="str" s="16">
        <f aca="0">IF(OR(COUNTA(B446:J446)=0,R446&lt;&gt;""),"",COUNTIFS(보유목록!$I$2:$I$3001,"*"&amp;P446&amp;"*",보유목록!$I$2:$I$3001,"*"&amp;Q446&amp;"*"))</f>
      </c>
      <c r="M446" t="str" s="23">
        <f aca="0">IF(OR(COUNTA(B446:J446)=0,R446&lt;&gt;""),"",IFERROR(LOOKUP(2,1/(ISNUMBER(SEARCH(P446,보유목록!$I$2:$I$3001))*ISNUMBER(SEARCH(Q446,보유목록!$I$2:$I$3001))*(보유목록!$H$2:$H$3001=O446)),보유목록!$B$2:$B$3001),IFERROR(LOOKUP(2,1/(ISNUMBER(SEARCH(P446,보유목록!$I$2:$I$3001))*ISNUMBER(SEARCH(Q446,보유목록!$I$2:$I$3001))),보유목록!$B$2:$B$3001),"")))</f>
      </c>
      <c r="N446" s="25"/>
      <c r="O446" t="str">
        <f>IFERROR(IF(AND(LEN(SUBSTITUTE(SUBSTITUTE(SUBSTITUTE(TRIM(C446&amp;""),CHAR(160),"")," ",""),"년",""))=4,VALUE(SUBSTITUTE(SUBSTITUTE(SUBSTITUTE(TRIM(C446&amp;""),CHAR(160),"")," ",""),"년",""))&gt;=1900,VALUE(SUBSTITUTE(SUBSTITUTE(SUBSTITUTE(TRIM(C446&amp;""),CHAR(160),"")," ",""),"년",""))&lt;=2099,TEXT(VALUE(SUBSTITUTE(SUBSTITUTE(SUBSTITUTE(TRIM(C446&amp;""),CHAR(160),"")," ",""),"년","")),"0000")=SUBSTITUTE(SUBSTITUTE(SUBSTITUTE(TRIM(C446&amp;""),CHAR(160),"")," ",""),"년","")),SUBSTITUTE(SUBSTITUTE(SUBSTITUTE(TRIM(C446&amp;""),CHAR(160),"")," ",""),"년",""),""),"")</f>
      </c>
      <c r="P446" t="str">
        <f>SUBSTITUTE(SUBSTITUTE(SUBSTITUTE(SUBSTITUTE(SUBSTITUTE(SUBSTITUTE(SUBSTITUTE(SUBSTITUTE(TRIM(D446&amp;""),CHAR(160),"")," ",""),"초등학교","초"),"중학교","중"),"고등학교","고"),"~","~~"),"*","~*"),"?","~?")</f>
      </c>
      <c r="Q446" t="str">
        <f>SUBSTITUTE(SUBSTITUTE(SUBSTITUTE(SUBSTITUTE(SUBSTITUTE(SUBSTITUTE(SUBSTITUTE(SUBSTITUTE(TRIM(E446&amp;""),CHAR(160),"")," ",""),"초등학교","초"),"중학교","중"),"고등학교","고"),"~","~~"),"*","~*"),"?","~?")</f>
      </c>
      <c r="R446" t="str">
        <f>IF(COUNTA(B446:J446)=0,"",IF(AND(O446&lt;&gt;"",P446&lt;&gt;"",Q446&lt;&gt;""),"","입력누락"))</f>
      </c>
    </row>
    <row r="447" customFormat="false" ht="15" hidden="false" customHeight="false" outlineLevel="0" collapsed="false">
      <c r="A447" t="n" s="19">
        <f aca="0">IF(COUNTA(B447:J447)=0,"",ROW()-1)</f>
      </c>
      <c r="B447" s="24"/>
      <c r="C447" s="25"/>
      <c r="D447" s="8"/>
      <c r="E447" s="8"/>
      <c r="F447" s="26"/>
      <c r="G447" s="24"/>
      <c r="H447" s="25"/>
      <c r="I447" s="25"/>
      <c r="J447" s="26"/>
      <c r="K447" t="str" s="15">
        <f aca="0">IF(COUNTA(B447:J447)=0,"",IF(R447&lt;&gt;"","확인필요(입력누락)",IF(COUNTIFS(보유목록!$I$2:$I$3001,"*"&amp;P447&amp;"*",보유목록!$I$2:$I$3001,"*"&amp;Q447&amp;"*",보유목록!$H$2:$H$3001,O447)&gt;0,"있음",IF(COUNTIFS(보유목록!$I$2:$I$3001,"*"&amp;P447&amp;"*",보유목록!$I$2:$I$3001,"*"&amp;Q447&amp;"*")&gt;0,"확인필요(연도다름)",IF(COUNTIFS(보유목록!$I$2:$I$3001,"*"&amp;P447&amp;"*",보유목록!$H$2:$H$3001,O447)&gt;0,"확인필요(같은학교·같은연도)","없음")))))</f>
      </c>
      <c r="L447" t="str" s="16">
        <f aca="0">IF(OR(COUNTA(B447:J447)=0,R447&lt;&gt;""),"",COUNTIFS(보유목록!$I$2:$I$3001,"*"&amp;P447&amp;"*",보유목록!$I$2:$I$3001,"*"&amp;Q447&amp;"*"))</f>
      </c>
      <c r="M447" t="str" s="23">
        <f aca="0">IF(OR(COUNTA(B447:J447)=0,R447&lt;&gt;""),"",IFERROR(LOOKUP(2,1/(ISNUMBER(SEARCH(P447,보유목록!$I$2:$I$3001))*ISNUMBER(SEARCH(Q447,보유목록!$I$2:$I$3001))*(보유목록!$H$2:$H$3001=O447)),보유목록!$B$2:$B$3001),IFERROR(LOOKUP(2,1/(ISNUMBER(SEARCH(P447,보유목록!$I$2:$I$3001))*ISNUMBER(SEARCH(Q447,보유목록!$I$2:$I$3001))),보유목록!$B$2:$B$3001),"")))</f>
      </c>
      <c r="N447" s="25"/>
      <c r="O447" t="str">
        <f>IFERROR(IF(AND(LEN(SUBSTITUTE(SUBSTITUTE(SUBSTITUTE(TRIM(C447&amp;""),CHAR(160),"")," ",""),"년",""))=4,VALUE(SUBSTITUTE(SUBSTITUTE(SUBSTITUTE(TRIM(C447&amp;""),CHAR(160),"")," ",""),"년",""))&gt;=1900,VALUE(SUBSTITUTE(SUBSTITUTE(SUBSTITUTE(TRIM(C447&amp;""),CHAR(160),"")," ",""),"년",""))&lt;=2099,TEXT(VALUE(SUBSTITUTE(SUBSTITUTE(SUBSTITUTE(TRIM(C447&amp;""),CHAR(160),"")," ",""),"년","")),"0000")=SUBSTITUTE(SUBSTITUTE(SUBSTITUTE(TRIM(C447&amp;""),CHAR(160),"")," ",""),"년","")),SUBSTITUTE(SUBSTITUTE(SUBSTITUTE(TRIM(C447&amp;""),CHAR(160),"")," ",""),"년",""),""),"")</f>
      </c>
      <c r="P447" t="str">
        <f>SUBSTITUTE(SUBSTITUTE(SUBSTITUTE(SUBSTITUTE(SUBSTITUTE(SUBSTITUTE(SUBSTITUTE(SUBSTITUTE(TRIM(D447&amp;""),CHAR(160),"")," ",""),"초등학교","초"),"중학교","중"),"고등학교","고"),"~","~~"),"*","~*"),"?","~?")</f>
      </c>
      <c r="Q447" t="str">
        <f>SUBSTITUTE(SUBSTITUTE(SUBSTITUTE(SUBSTITUTE(SUBSTITUTE(SUBSTITUTE(SUBSTITUTE(SUBSTITUTE(TRIM(E447&amp;""),CHAR(160),"")," ",""),"초등학교","초"),"중학교","중"),"고등학교","고"),"~","~~"),"*","~*"),"?","~?")</f>
      </c>
      <c r="R447" t="str">
        <f>IF(COUNTA(B447:J447)=0,"",IF(AND(O447&lt;&gt;"",P447&lt;&gt;"",Q447&lt;&gt;""),"","입력누락"))</f>
      </c>
    </row>
    <row r="448" customFormat="false" ht="15" hidden="false" customHeight="false" outlineLevel="0" collapsed="false">
      <c r="A448" t="n" s="19">
        <f aca="0">IF(COUNTA(B448:J448)=0,"",ROW()-1)</f>
      </c>
      <c r="B448" s="24"/>
      <c r="C448" s="25"/>
      <c r="D448" s="8"/>
      <c r="E448" s="8"/>
      <c r="F448" s="26"/>
      <c r="G448" s="24"/>
      <c r="H448" s="25"/>
      <c r="I448" s="25"/>
      <c r="J448" s="26"/>
      <c r="K448" t="str" s="15">
        <f aca="0">IF(COUNTA(B448:J448)=0,"",IF(R448&lt;&gt;"","확인필요(입력누락)",IF(COUNTIFS(보유목록!$I$2:$I$3001,"*"&amp;P448&amp;"*",보유목록!$I$2:$I$3001,"*"&amp;Q448&amp;"*",보유목록!$H$2:$H$3001,O448)&gt;0,"있음",IF(COUNTIFS(보유목록!$I$2:$I$3001,"*"&amp;P448&amp;"*",보유목록!$I$2:$I$3001,"*"&amp;Q448&amp;"*")&gt;0,"확인필요(연도다름)",IF(COUNTIFS(보유목록!$I$2:$I$3001,"*"&amp;P448&amp;"*",보유목록!$H$2:$H$3001,O448)&gt;0,"확인필요(같은학교·같은연도)","없음")))))</f>
      </c>
      <c r="L448" t="str" s="16">
        <f aca="0">IF(OR(COUNTA(B448:J448)=0,R448&lt;&gt;""),"",COUNTIFS(보유목록!$I$2:$I$3001,"*"&amp;P448&amp;"*",보유목록!$I$2:$I$3001,"*"&amp;Q448&amp;"*"))</f>
      </c>
      <c r="M448" t="str" s="23">
        <f aca="0">IF(OR(COUNTA(B448:J448)=0,R448&lt;&gt;""),"",IFERROR(LOOKUP(2,1/(ISNUMBER(SEARCH(P448,보유목록!$I$2:$I$3001))*ISNUMBER(SEARCH(Q448,보유목록!$I$2:$I$3001))*(보유목록!$H$2:$H$3001=O448)),보유목록!$B$2:$B$3001),IFERROR(LOOKUP(2,1/(ISNUMBER(SEARCH(P448,보유목록!$I$2:$I$3001))*ISNUMBER(SEARCH(Q448,보유목록!$I$2:$I$3001))),보유목록!$B$2:$B$3001),"")))</f>
      </c>
      <c r="N448" s="25"/>
      <c r="O448" t="str">
        <f>IFERROR(IF(AND(LEN(SUBSTITUTE(SUBSTITUTE(SUBSTITUTE(TRIM(C448&amp;""),CHAR(160),"")," ",""),"년",""))=4,VALUE(SUBSTITUTE(SUBSTITUTE(SUBSTITUTE(TRIM(C448&amp;""),CHAR(160),"")," ",""),"년",""))&gt;=1900,VALUE(SUBSTITUTE(SUBSTITUTE(SUBSTITUTE(TRIM(C448&amp;""),CHAR(160),"")," ",""),"년",""))&lt;=2099,TEXT(VALUE(SUBSTITUTE(SUBSTITUTE(SUBSTITUTE(TRIM(C448&amp;""),CHAR(160),"")," ",""),"년","")),"0000")=SUBSTITUTE(SUBSTITUTE(SUBSTITUTE(TRIM(C448&amp;""),CHAR(160),"")," ",""),"년","")),SUBSTITUTE(SUBSTITUTE(SUBSTITUTE(TRIM(C448&amp;""),CHAR(160),"")," ",""),"년",""),""),"")</f>
      </c>
      <c r="P448" t="str">
        <f>SUBSTITUTE(SUBSTITUTE(SUBSTITUTE(SUBSTITUTE(SUBSTITUTE(SUBSTITUTE(SUBSTITUTE(SUBSTITUTE(TRIM(D448&amp;""),CHAR(160),"")," ",""),"초등학교","초"),"중학교","중"),"고등학교","고"),"~","~~"),"*","~*"),"?","~?")</f>
      </c>
      <c r="Q448" t="str">
        <f>SUBSTITUTE(SUBSTITUTE(SUBSTITUTE(SUBSTITUTE(SUBSTITUTE(SUBSTITUTE(SUBSTITUTE(SUBSTITUTE(TRIM(E448&amp;""),CHAR(160),"")," ",""),"초등학교","초"),"중학교","중"),"고등학교","고"),"~","~~"),"*","~*"),"?","~?")</f>
      </c>
      <c r="R448" t="str">
        <f>IF(COUNTA(B448:J448)=0,"",IF(AND(O448&lt;&gt;"",P448&lt;&gt;"",Q448&lt;&gt;""),"","입력누락"))</f>
      </c>
    </row>
    <row r="449" customFormat="false" ht="15" hidden="false" customHeight="false" outlineLevel="0" collapsed="false">
      <c r="A449" t="n" s="19">
        <f aca="0">IF(COUNTA(B449:J449)=0,"",ROW()-1)</f>
      </c>
      <c r="B449" s="24"/>
      <c r="C449" s="25"/>
      <c r="D449" s="8"/>
      <c r="E449" s="8"/>
      <c r="F449" s="26"/>
      <c r="G449" s="24"/>
      <c r="H449" s="25"/>
      <c r="I449" s="25"/>
      <c r="J449" s="26"/>
      <c r="K449" t="str" s="15">
        <f aca="0">IF(COUNTA(B449:J449)=0,"",IF(R449&lt;&gt;"","확인필요(입력누락)",IF(COUNTIFS(보유목록!$I$2:$I$3001,"*"&amp;P449&amp;"*",보유목록!$I$2:$I$3001,"*"&amp;Q449&amp;"*",보유목록!$H$2:$H$3001,O449)&gt;0,"있음",IF(COUNTIFS(보유목록!$I$2:$I$3001,"*"&amp;P449&amp;"*",보유목록!$I$2:$I$3001,"*"&amp;Q449&amp;"*")&gt;0,"확인필요(연도다름)",IF(COUNTIFS(보유목록!$I$2:$I$3001,"*"&amp;P449&amp;"*",보유목록!$H$2:$H$3001,O449)&gt;0,"확인필요(같은학교·같은연도)","없음")))))</f>
      </c>
      <c r="L449" t="str" s="16">
        <f aca="0">IF(OR(COUNTA(B449:J449)=0,R449&lt;&gt;""),"",COUNTIFS(보유목록!$I$2:$I$3001,"*"&amp;P449&amp;"*",보유목록!$I$2:$I$3001,"*"&amp;Q449&amp;"*"))</f>
      </c>
      <c r="M449" t="str" s="23">
        <f aca="0">IF(OR(COUNTA(B449:J449)=0,R449&lt;&gt;""),"",IFERROR(LOOKUP(2,1/(ISNUMBER(SEARCH(P449,보유목록!$I$2:$I$3001))*ISNUMBER(SEARCH(Q449,보유목록!$I$2:$I$3001))*(보유목록!$H$2:$H$3001=O449)),보유목록!$B$2:$B$3001),IFERROR(LOOKUP(2,1/(ISNUMBER(SEARCH(P449,보유목록!$I$2:$I$3001))*ISNUMBER(SEARCH(Q449,보유목록!$I$2:$I$3001))),보유목록!$B$2:$B$3001),"")))</f>
      </c>
      <c r="N449" s="25"/>
      <c r="O449" t="str">
        <f>IFERROR(IF(AND(LEN(SUBSTITUTE(SUBSTITUTE(SUBSTITUTE(TRIM(C449&amp;""),CHAR(160),"")," ",""),"년",""))=4,VALUE(SUBSTITUTE(SUBSTITUTE(SUBSTITUTE(TRIM(C449&amp;""),CHAR(160),"")," ",""),"년",""))&gt;=1900,VALUE(SUBSTITUTE(SUBSTITUTE(SUBSTITUTE(TRIM(C449&amp;""),CHAR(160),"")," ",""),"년",""))&lt;=2099,TEXT(VALUE(SUBSTITUTE(SUBSTITUTE(SUBSTITUTE(TRIM(C449&amp;""),CHAR(160),"")," ",""),"년","")),"0000")=SUBSTITUTE(SUBSTITUTE(SUBSTITUTE(TRIM(C449&amp;""),CHAR(160),"")," ",""),"년","")),SUBSTITUTE(SUBSTITUTE(SUBSTITUTE(TRIM(C449&amp;""),CHAR(160),"")," ",""),"년",""),""),"")</f>
      </c>
      <c r="P449" t="str">
        <f>SUBSTITUTE(SUBSTITUTE(SUBSTITUTE(SUBSTITUTE(SUBSTITUTE(SUBSTITUTE(SUBSTITUTE(SUBSTITUTE(TRIM(D449&amp;""),CHAR(160),"")," ",""),"초등학교","초"),"중학교","중"),"고등학교","고"),"~","~~"),"*","~*"),"?","~?")</f>
      </c>
      <c r="Q449" t="str">
        <f>SUBSTITUTE(SUBSTITUTE(SUBSTITUTE(SUBSTITUTE(SUBSTITUTE(SUBSTITUTE(SUBSTITUTE(SUBSTITUTE(TRIM(E449&amp;""),CHAR(160),"")," ",""),"초등학교","초"),"중학교","중"),"고등학교","고"),"~","~~"),"*","~*"),"?","~?")</f>
      </c>
      <c r="R449" t="str">
        <f>IF(COUNTA(B449:J449)=0,"",IF(AND(O449&lt;&gt;"",P449&lt;&gt;"",Q449&lt;&gt;""),"","입력누락"))</f>
      </c>
    </row>
    <row r="450" customFormat="false" ht="15" hidden="false" customHeight="false" outlineLevel="0" collapsed="false">
      <c r="A450" t="n" s="19">
        <f aca="0">IF(COUNTA(B450:J450)=0,"",ROW()-1)</f>
      </c>
      <c r="B450" s="24"/>
      <c r="C450" s="25"/>
      <c r="D450" s="8"/>
      <c r="E450" s="8"/>
      <c r="F450" s="26"/>
      <c r="G450" s="24"/>
      <c r="H450" s="25"/>
      <c r="I450" s="25"/>
      <c r="J450" s="26"/>
      <c r="K450" t="str" s="15">
        <f aca="0">IF(COUNTA(B450:J450)=0,"",IF(R450&lt;&gt;"","확인필요(입력누락)",IF(COUNTIFS(보유목록!$I$2:$I$3001,"*"&amp;P450&amp;"*",보유목록!$I$2:$I$3001,"*"&amp;Q450&amp;"*",보유목록!$H$2:$H$3001,O450)&gt;0,"있음",IF(COUNTIFS(보유목록!$I$2:$I$3001,"*"&amp;P450&amp;"*",보유목록!$I$2:$I$3001,"*"&amp;Q450&amp;"*")&gt;0,"확인필요(연도다름)",IF(COUNTIFS(보유목록!$I$2:$I$3001,"*"&amp;P450&amp;"*",보유목록!$H$2:$H$3001,O450)&gt;0,"확인필요(같은학교·같은연도)","없음")))))</f>
      </c>
      <c r="L450" t="str" s="16">
        <f aca="0">IF(OR(COUNTA(B450:J450)=0,R450&lt;&gt;""),"",COUNTIFS(보유목록!$I$2:$I$3001,"*"&amp;P450&amp;"*",보유목록!$I$2:$I$3001,"*"&amp;Q450&amp;"*"))</f>
      </c>
      <c r="M450" t="str" s="23">
        <f aca="0">IF(OR(COUNTA(B450:J450)=0,R450&lt;&gt;""),"",IFERROR(LOOKUP(2,1/(ISNUMBER(SEARCH(P450,보유목록!$I$2:$I$3001))*ISNUMBER(SEARCH(Q450,보유목록!$I$2:$I$3001))*(보유목록!$H$2:$H$3001=O450)),보유목록!$B$2:$B$3001),IFERROR(LOOKUP(2,1/(ISNUMBER(SEARCH(P450,보유목록!$I$2:$I$3001))*ISNUMBER(SEARCH(Q450,보유목록!$I$2:$I$3001))),보유목록!$B$2:$B$3001),"")))</f>
      </c>
      <c r="N450" s="25"/>
      <c r="O450" t="str">
        <f>IFERROR(IF(AND(LEN(SUBSTITUTE(SUBSTITUTE(SUBSTITUTE(TRIM(C450&amp;""),CHAR(160),"")," ",""),"년",""))=4,VALUE(SUBSTITUTE(SUBSTITUTE(SUBSTITUTE(TRIM(C450&amp;""),CHAR(160),"")," ",""),"년",""))&gt;=1900,VALUE(SUBSTITUTE(SUBSTITUTE(SUBSTITUTE(TRIM(C450&amp;""),CHAR(160),"")," ",""),"년",""))&lt;=2099,TEXT(VALUE(SUBSTITUTE(SUBSTITUTE(SUBSTITUTE(TRIM(C450&amp;""),CHAR(160),"")," ",""),"년","")),"0000")=SUBSTITUTE(SUBSTITUTE(SUBSTITUTE(TRIM(C450&amp;""),CHAR(160),"")," ",""),"년","")),SUBSTITUTE(SUBSTITUTE(SUBSTITUTE(TRIM(C450&amp;""),CHAR(160),"")," ",""),"년",""),""),"")</f>
      </c>
      <c r="P450" t="str">
        <f>SUBSTITUTE(SUBSTITUTE(SUBSTITUTE(SUBSTITUTE(SUBSTITUTE(SUBSTITUTE(SUBSTITUTE(SUBSTITUTE(TRIM(D450&amp;""),CHAR(160),"")," ",""),"초등학교","초"),"중학교","중"),"고등학교","고"),"~","~~"),"*","~*"),"?","~?")</f>
      </c>
      <c r="Q450" t="str">
        <f>SUBSTITUTE(SUBSTITUTE(SUBSTITUTE(SUBSTITUTE(SUBSTITUTE(SUBSTITUTE(SUBSTITUTE(SUBSTITUTE(TRIM(E450&amp;""),CHAR(160),"")," ",""),"초등학교","초"),"중학교","중"),"고등학교","고"),"~","~~"),"*","~*"),"?","~?")</f>
      </c>
      <c r="R450" t="str">
        <f>IF(COUNTA(B450:J450)=0,"",IF(AND(O450&lt;&gt;"",P450&lt;&gt;"",Q450&lt;&gt;""),"","입력누락"))</f>
      </c>
    </row>
    <row r="451" customFormat="false" ht="15" hidden="false" customHeight="false" outlineLevel="0" collapsed="false">
      <c r="A451" t="n" s="19">
        <f aca="0">IF(COUNTA(B451:J451)=0,"",ROW()-1)</f>
      </c>
      <c r="B451" s="24"/>
      <c r="C451" s="25"/>
      <c r="D451" s="8"/>
      <c r="E451" s="8"/>
      <c r="F451" s="26"/>
      <c r="G451" s="24"/>
      <c r="H451" s="25"/>
      <c r="I451" s="25"/>
      <c r="J451" s="26"/>
      <c r="K451" t="str" s="15">
        <f aca="0">IF(COUNTA(B451:J451)=0,"",IF(R451&lt;&gt;"","확인필요(입력누락)",IF(COUNTIFS(보유목록!$I$2:$I$3001,"*"&amp;P451&amp;"*",보유목록!$I$2:$I$3001,"*"&amp;Q451&amp;"*",보유목록!$H$2:$H$3001,O451)&gt;0,"있음",IF(COUNTIFS(보유목록!$I$2:$I$3001,"*"&amp;P451&amp;"*",보유목록!$I$2:$I$3001,"*"&amp;Q451&amp;"*")&gt;0,"확인필요(연도다름)",IF(COUNTIFS(보유목록!$I$2:$I$3001,"*"&amp;P451&amp;"*",보유목록!$H$2:$H$3001,O451)&gt;0,"확인필요(같은학교·같은연도)","없음")))))</f>
      </c>
      <c r="L451" t="str" s="16">
        <f aca="0">IF(OR(COUNTA(B451:J451)=0,R451&lt;&gt;""),"",COUNTIFS(보유목록!$I$2:$I$3001,"*"&amp;P451&amp;"*",보유목록!$I$2:$I$3001,"*"&amp;Q451&amp;"*"))</f>
      </c>
      <c r="M451" t="str" s="23">
        <f aca="0">IF(OR(COUNTA(B451:J451)=0,R451&lt;&gt;""),"",IFERROR(LOOKUP(2,1/(ISNUMBER(SEARCH(P451,보유목록!$I$2:$I$3001))*ISNUMBER(SEARCH(Q451,보유목록!$I$2:$I$3001))*(보유목록!$H$2:$H$3001=O451)),보유목록!$B$2:$B$3001),IFERROR(LOOKUP(2,1/(ISNUMBER(SEARCH(P451,보유목록!$I$2:$I$3001))*ISNUMBER(SEARCH(Q451,보유목록!$I$2:$I$3001))),보유목록!$B$2:$B$3001),"")))</f>
      </c>
      <c r="N451" s="25"/>
      <c r="O451" t="str">
        <f>IFERROR(IF(AND(LEN(SUBSTITUTE(SUBSTITUTE(SUBSTITUTE(TRIM(C451&amp;""),CHAR(160),"")," ",""),"년",""))=4,VALUE(SUBSTITUTE(SUBSTITUTE(SUBSTITUTE(TRIM(C451&amp;""),CHAR(160),"")," ",""),"년",""))&gt;=1900,VALUE(SUBSTITUTE(SUBSTITUTE(SUBSTITUTE(TRIM(C451&amp;""),CHAR(160),"")," ",""),"년",""))&lt;=2099,TEXT(VALUE(SUBSTITUTE(SUBSTITUTE(SUBSTITUTE(TRIM(C451&amp;""),CHAR(160),"")," ",""),"년","")),"0000")=SUBSTITUTE(SUBSTITUTE(SUBSTITUTE(TRIM(C451&amp;""),CHAR(160),"")," ",""),"년","")),SUBSTITUTE(SUBSTITUTE(SUBSTITUTE(TRIM(C451&amp;""),CHAR(160),"")," ",""),"년",""),""),"")</f>
      </c>
      <c r="P451" t="str">
        <f>SUBSTITUTE(SUBSTITUTE(SUBSTITUTE(SUBSTITUTE(SUBSTITUTE(SUBSTITUTE(SUBSTITUTE(SUBSTITUTE(TRIM(D451&amp;""),CHAR(160),"")," ",""),"초등학교","초"),"중학교","중"),"고등학교","고"),"~","~~"),"*","~*"),"?","~?")</f>
      </c>
      <c r="Q451" t="str">
        <f>SUBSTITUTE(SUBSTITUTE(SUBSTITUTE(SUBSTITUTE(SUBSTITUTE(SUBSTITUTE(SUBSTITUTE(SUBSTITUTE(TRIM(E451&amp;""),CHAR(160),"")," ",""),"초등학교","초"),"중학교","중"),"고등학교","고"),"~","~~"),"*","~*"),"?","~?")</f>
      </c>
      <c r="R451" t="str">
        <f>IF(COUNTA(B451:J451)=0,"",IF(AND(O451&lt;&gt;"",P451&lt;&gt;"",Q451&lt;&gt;""),"","입력누락"))</f>
      </c>
    </row>
    <row r="452" customFormat="false" ht="15" hidden="false" customHeight="false" outlineLevel="0" collapsed="false">
      <c r="A452" t="n" s="19">
        <f aca="0">IF(COUNTA(B452:J452)=0,"",ROW()-1)</f>
      </c>
      <c r="B452" s="24"/>
      <c r="C452" s="25"/>
      <c r="D452" s="8"/>
      <c r="E452" s="8"/>
      <c r="F452" s="26"/>
      <c r="G452" s="24"/>
      <c r="H452" s="25"/>
      <c r="I452" s="25"/>
      <c r="J452" s="26"/>
      <c r="K452" t="str" s="15">
        <f aca="0">IF(COUNTA(B452:J452)=0,"",IF(R452&lt;&gt;"","확인필요(입력누락)",IF(COUNTIFS(보유목록!$I$2:$I$3001,"*"&amp;P452&amp;"*",보유목록!$I$2:$I$3001,"*"&amp;Q452&amp;"*",보유목록!$H$2:$H$3001,O452)&gt;0,"있음",IF(COUNTIFS(보유목록!$I$2:$I$3001,"*"&amp;P452&amp;"*",보유목록!$I$2:$I$3001,"*"&amp;Q452&amp;"*")&gt;0,"확인필요(연도다름)",IF(COUNTIFS(보유목록!$I$2:$I$3001,"*"&amp;P452&amp;"*",보유목록!$H$2:$H$3001,O452)&gt;0,"확인필요(같은학교·같은연도)","없음")))))</f>
      </c>
      <c r="L452" t="str" s="16">
        <f aca="0">IF(OR(COUNTA(B452:J452)=0,R452&lt;&gt;""),"",COUNTIFS(보유목록!$I$2:$I$3001,"*"&amp;P452&amp;"*",보유목록!$I$2:$I$3001,"*"&amp;Q452&amp;"*"))</f>
      </c>
      <c r="M452" t="str" s="23">
        <f aca="0">IF(OR(COUNTA(B452:J452)=0,R452&lt;&gt;""),"",IFERROR(LOOKUP(2,1/(ISNUMBER(SEARCH(P452,보유목록!$I$2:$I$3001))*ISNUMBER(SEARCH(Q452,보유목록!$I$2:$I$3001))*(보유목록!$H$2:$H$3001=O452)),보유목록!$B$2:$B$3001),IFERROR(LOOKUP(2,1/(ISNUMBER(SEARCH(P452,보유목록!$I$2:$I$3001))*ISNUMBER(SEARCH(Q452,보유목록!$I$2:$I$3001))),보유목록!$B$2:$B$3001),"")))</f>
      </c>
      <c r="N452" s="25"/>
      <c r="O452" t="str">
        <f>IFERROR(IF(AND(LEN(SUBSTITUTE(SUBSTITUTE(SUBSTITUTE(TRIM(C452&amp;""),CHAR(160),"")," ",""),"년",""))=4,VALUE(SUBSTITUTE(SUBSTITUTE(SUBSTITUTE(TRIM(C452&amp;""),CHAR(160),"")," ",""),"년",""))&gt;=1900,VALUE(SUBSTITUTE(SUBSTITUTE(SUBSTITUTE(TRIM(C452&amp;""),CHAR(160),"")," ",""),"년",""))&lt;=2099,TEXT(VALUE(SUBSTITUTE(SUBSTITUTE(SUBSTITUTE(TRIM(C452&amp;""),CHAR(160),"")," ",""),"년","")),"0000")=SUBSTITUTE(SUBSTITUTE(SUBSTITUTE(TRIM(C452&amp;""),CHAR(160),"")," ",""),"년","")),SUBSTITUTE(SUBSTITUTE(SUBSTITUTE(TRIM(C452&amp;""),CHAR(160),"")," ",""),"년",""),""),"")</f>
      </c>
      <c r="P452" t="str">
        <f>SUBSTITUTE(SUBSTITUTE(SUBSTITUTE(SUBSTITUTE(SUBSTITUTE(SUBSTITUTE(SUBSTITUTE(SUBSTITUTE(TRIM(D452&amp;""),CHAR(160),"")," ",""),"초등학교","초"),"중학교","중"),"고등학교","고"),"~","~~"),"*","~*"),"?","~?")</f>
      </c>
      <c r="Q452" t="str">
        <f>SUBSTITUTE(SUBSTITUTE(SUBSTITUTE(SUBSTITUTE(SUBSTITUTE(SUBSTITUTE(SUBSTITUTE(SUBSTITUTE(TRIM(E452&amp;""),CHAR(160),"")," ",""),"초등학교","초"),"중학교","중"),"고등학교","고"),"~","~~"),"*","~*"),"?","~?")</f>
      </c>
      <c r="R452" t="str">
        <f>IF(COUNTA(B452:J452)=0,"",IF(AND(O452&lt;&gt;"",P452&lt;&gt;"",Q452&lt;&gt;""),"","입력누락"))</f>
      </c>
    </row>
    <row r="453" customFormat="false" ht="15" hidden="false" customHeight="false" outlineLevel="0" collapsed="false">
      <c r="A453" t="n" s="19">
        <f aca="0">IF(COUNTA(B453:J453)=0,"",ROW()-1)</f>
      </c>
      <c r="B453" s="24"/>
      <c r="C453" s="25"/>
      <c r="D453" s="8"/>
      <c r="E453" s="8"/>
      <c r="F453" s="26"/>
      <c r="G453" s="24"/>
      <c r="H453" s="25"/>
      <c r="I453" s="25"/>
      <c r="J453" s="26"/>
      <c r="K453" t="str" s="15">
        <f aca="0">IF(COUNTA(B453:J453)=0,"",IF(R453&lt;&gt;"","확인필요(입력누락)",IF(COUNTIFS(보유목록!$I$2:$I$3001,"*"&amp;P453&amp;"*",보유목록!$I$2:$I$3001,"*"&amp;Q453&amp;"*",보유목록!$H$2:$H$3001,O453)&gt;0,"있음",IF(COUNTIFS(보유목록!$I$2:$I$3001,"*"&amp;P453&amp;"*",보유목록!$I$2:$I$3001,"*"&amp;Q453&amp;"*")&gt;0,"확인필요(연도다름)",IF(COUNTIFS(보유목록!$I$2:$I$3001,"*"&amp;P453&amp;"*",보유목록!$H$2:$H$3001,O453)&gt;0,"확인필요(같은학교·같은연도)","없음")))))</f>
      </c>
      <c r="L453" t="str" s="16">
        <f aca="0">IF(OR(COUNTA(B453:J453)=0,R453&lt;&gt;""),"",COUNTIFS(보유목록!$I$2:$I$3001,"*"&amp;P453&amp;"*",보유목록!$I$2:$I$3001,"*"&amp;Q453&amp;"*"))</f>
      </c>
      <c r="M453" t="str" s="23">
        <f aca="0">IF(OR(COUNTA(B453:J453)=0,R453&lt;&gt;""),"",IFERROR(LOOKUP(2,1/(ISNUMBER(SEARCH(P453,보유목록!$I$2:$I$3001))*ISNUMBER(SEARCH(Q453,보유목록!$I$2:$I$3001))*(보유목록!$H$2:$H$3001=O453)),보유목록!$B$2:$B$3001),IFERROR(LOOKUP(2,1/(ISNUMBER(SEARCH(P453,보유목록!$I$2:$I$3001))*ISNUMBER(SEARCH(Q453,보유목록!$I$2:$I$3001))),보유목록!$B$2:$B$3001),"")))</f>
      </c>
      <c r="N453" s="25"/>
      <c r="O453" t="str">
        <f>IFERROR(IF(AND(LEN(SUBSTITUTE(SUBSTITUTE(SUBSTITUTE(TRIM(C453&amp;""),CHAR(160),"")," ",""),"년",""))=4,VALUE(SUBSTITUTE(SUBSTITUTE(SUBSTITUTE(TRIM(C453&amp;""),CHAR(160),"")," ",""),"년",""))&gt;=1900,VALUE(SUBSTITUTE(SUBSTITUTE(SUBSTITUTE(TRIM(C453&amp;""),CHAR(160),"")," ",""),"년",""))&lt;=2099,TEXT(VALUE(SUBSTITUTE(SUBSTITUTE(SUBSTITUTE(TRIM(C453&amp;""),CHAR(160),"")," ",""),"년","")),"0000")=SUBSTITUTE(SUBSTITUTE(SUBSTITUTE(TRIM(C453&amp;""),CHAR(160),"")," ",""),"년","")),SUBSTITUTE(SUBSTITUTE(SUBSTITUTE(TRIM(C453&amp;""),CHAR(160),"")," ",""),"년",""),""),"")</f>
      </c>
      <c r="P453" t="str">
        <f>SUBSTITUTE(SUBSTITUTE(SUBSTITUTE(SUBSTITUTE(SUBSTITUTE(SUBSTITUTE(SUBSTITUTE(SUBSTITUTE(TRIM(D453&amp;""),CHAR(160),"")," ",""),"초등학교","초"),"중학교","중"),"고등학교","고"),"~","~~"),"*","~*"),"?","~?")</f>
      </c>
      <c r="Q453" t="str">
        <f>SUBSTITUTE(SUBSTITUTE(SUBSTITUTE(SUBSTITUTE(SUBSTITUTE(SUBSTITUTE(SUBSTITUTE(SUBSTITUTE(TRIM(E453&amp;""),CHAR(160),"")," ",""),"초등학교","초"),"중학교","중"),"고등학교","고"),"~","~~"),"*","~*"),"?","~?")</f>
      </c>
      <c r="R453" t="str">
        <f>IF(COUNTA(B453:J453)=0,"",IF(AND(O453&lt;&gt;"",P453&lt;&gt;"",Q453&lt;&gt;""),"","입력누락"))</f>
      </c>
    </row>
    <row r="454" customFormat="false" ht="15" hidden="false" customHeight="false" outlineLevel="0" collapsed="false">
      <c r="A454" t="n" s="19">
        <f aca="0">IF(COUNTA(B454:J454)=0,"",ROW()-1)</f>
      </c>
      <c r="B454" s="24"/>
      <c r="C454" s="25"/>
      <c r="D454" s="8"/>
      <c r="E454" s="8"/>
      <c r="F454" s="26"/>
      <c r="G454" s="24"/>
      <c r="H454" s="25"/>
      <c r="I454" s="25"/>
      <c r="J454" s="26"/>
      <c r="K454" t="str" s="15">
        <f aca="0">IF(COUNTA(B454:J454)=0,"",IF(R454&lt;&gt;"","확인필요(입력누락)",IF(COUNTIFS(보유목록!$I$2:$I$3001,"*"&amp;P454&amp;"*",보유목록!$I$2:$I$3001,"*"&amp;Q454&amp;"*",보유목록!$H$2:$H$3001,O454)&gt;0,"있음",IF(COUNTIFS(보유목록!$I$2:$I$3001,"*"&amp;P454&amp;"*",보유목록!$I$2:$I$3001,"*"&amp;Q454&amp;"*")&gt;0,"확인필요(연도다름)",IF(COUNTIFS(보유목록!$I$2:$I$3001,"*"&amp;P454&amp;"*",보유목록!$H$2:$H$3001,O454)&gt;0,"확인필요(같은학교·같은연도)","없음")))))</f>
      </c>
      <c r="L454" t="str" s="16">
        <f aca="0">IF(OR(COUNTA(B454:J454)=0,R454&lt;&gt;""),"",COUNTIFS(보유목록!$I$2:$I$3001,"*"&amp;P454&amp;"*",보유목록!$I$2:$I$3001,"*"&amp;Q454&amp;"*"))</f>
      </c>
      <c r="M454" t="str" s="23">
        <f aca="0">IF(OR(COUNTA(B454:J454)=0,R454&lt;&gt;""),"",IFERROR(LOOKUP(2,1/(ISNUMBER(SEARCH(P454,보유목록!$I$2:$I$3001))*ISNUMBER(SEARCH(Q454,보유목록!$I$2:$I$3001))*(보유목록!$H$2:$H$3001=O454)),보유목록!$B$2:$B$3001),IFERROR(LOOKUP(2,1/(ISNUMBER(SEARCH(P454,보유목록!$I$2:$I$3001))*ISNUMBER(SEARCH(Q454,보유목록!$I$2:$I$3001))),보유목록!$B$2:$B$3001),"")))</f>
      </c>
      <c r="N454" s="25"/>
      <c r="O454" t="str">
        <f>IFERROR(IF(AND(LEN(SUBSTITUTE(SUBSTITUTE(SUBSTITUTE(TRIM(C454&amp;""),CHAR(160),"")," ",""),"년",""))=4,VALUE(SUBSTITUTE(SUBSTITUTE(SUBSTITUTE(TRIM(C454&amp;""),CHAR(160),"")," ",""),"년",""))&gt;=1900,VALUE(SUBSTITUTE(SUBSTITUTE(SUBSTITUTE(TRIM(C454&amp;""),CHAR(160),"")," ",""),"년",""))&lt;=2099,TEXT(VALUE(SUBSTITUTE(SUBSTITUTE(SUBSTITUTE(TRIM(C454&amp;""),CHAR(160),"")," ",""),"년","")),"0000")=SUBSTITUTE(SUBSTITUTE(SUBSTITUTE(TRIM(C454&amp;""),CHAR(160),"")," ",""),"년","")),SUBSTITUTE(SUBSTITUTE(SUBSTITUTE(TRIM(C454&amp;""),CHAR(160),"")," ",""),"년",""),""),"")</f>
      </c>
      <c r="P454" t="str">
        <f>SUBSTITUTE(SUBSTITUTE(SUBSTITUTE(SUBSTITUTE(SUBSTITUTE(SUBSTITUTE(SUBSTITUTE(SUBSTITUTE(TRIM(D454&amp;""),CHAR(160),"")," ",""),"초등학교","초"),"중학교","중"),"고등학교","고"),"~","~~"),"*","~*"),"?","~?")</f>
      </c>
      <c r="Q454" t="str">
        <f>SUBSTITUTE(SUBSTITUTE(SUBSTITUTE(SUBSTITUTE(SUBSTITUTE(SUBSTITUTE(SUBSTITUTE(SUBSTITUTE(TRIM(E454&amp;""),CHAR(160),"")," ",""),"초등학교","초"),"중학교","중"),"고등학교","고"),"~","~~"),"*","~*"),"?","~?")</f>
      </c>
      <c r="R454" t="str">
        <f>IF(COUNTA(B454:J454)=0,"",IF(AND(O454&lt;&gt;"",P454&lt;&gt;"",Q454&lt;&gt;""),"","입력누락"))</f>
      </c>
    </row>
    <row r="455" customFormat="false" ht="15" hidden="false" customHeight="false" outlineLevel="0" collapsed="false">
      <c r="A455" t="n" s="19">
        <f aca="0">IF(COUNTA(B455:J455)=0,"",ROW()-1)</f>
      </c>
      <c r="B455" s="24"/>
      <c r="C455" s="25"/>
      <c r="D455" s="8"/>
      <c r="E455" s="8"/>
      <c r="F455" s="26"/>
      <c r="G455" s="24"/>
      <c r="H455" s="25"/>
      <c r="I455" s="25"/>
      <c r="J455" s="26"/>
      <c r="K455" t="str" s="15">
        <f aca="0">IF(COUNTA(B455:J455)=0,"",IF(R455&lt;&gt;"","확인필요(입력누락)",IF(COUNTIFS(보유목록!$I$2:$I$3001,"*"&amp;P455&amp;"*",보유목록!$I$2:$I$3001,"*"&amp;Q455&amp;"*",보유목록!$H$2:$H$3001,O455)&gt;0,"있음",IF(COUNTIFS(보유목록!$I$2:$I$3001,"*"&amp;P455&amp;"*",보유목록!$I$2:$I$3001,"*"&amp;Q455&amp;"*")&gt;0,"확인필요(연도다름)",IF(COUNTIFS(보유목록!$I$2:$I$3001,"*"&amp;P455&amp;"*",보유목록!$H$2:$H$3001,O455)&gt;0,"확인필요(같은학교·같은연도)","없음")))))</f>
      </c>
      <c r="L455" t="str" s="16">
        <f aca="0">IF(OR(COUNTA(B455:J455)=0,R455&lt;&gt;""),"",COUNTIFS(보유목록!$I$2:$I$3001,"*"&amp;P455&amp;"*",보유목록!$I$2:$I$3001,"*"&amp;Q455&amp;"*"))</f>
      </c>
      <c r="M455" t="str" s="23">
        <f aca="0">IF(OR(COUNTA(B455:J455)=0,R455&lt;&gt;""),"",IFERROR(LOOKUP(2,1/(ISNUMBER(SEARCH(P455,보유목록!$I$2:$I$3001))*ISNUMBER(SEARCH(Q455,보유목록!$I$2:$I$3001))*(보유목록!$H$2:$H$3001=O455)),보유목록!$B$2:$B$3001),IFERROR(LOOKUP(2,1/(ISNUMBER(SEARCH(P455,보유목록!$I$2:$I$3001))*ISNUMBER(SEARCH(Q455,보유목록!$I$2:$I$3001))),보유목록!$B$2:$B$3001),"")))</f>
      </c>
      <c r="N455" s="25"/>
      <c r="O455" t="str">
        <f>IFERROR(IF(AND(LEN(SUBSTITUTE(SUBSTITUTE(SUBSTITUTE(TRIM(C455&amp;""),CHAR(160),"")," ",""),"년",""))=4,VALUE(SUBSTITUTE(SUBSTITUTE(SUBSTITUTE(TRIM(C455&amp;""),CHAR(160),"")," ",""),"년",""))&gt;=1900,VALUE(SUBSTITUTE(SUBSTITUTE(SUBSTITUTE(TRIM(C455&amp;""),CHAR(160),"")," ",""),"년",""))&lt;=2099,TEXT(VALUE(SUBSTITUTE(SUBSTITUTE(SUBSTITUTE(TRIM(C455&amp;""),CHAR(160),"")," ",""),"년","")),"0000")=SUBSTITUTE(SUBSTITUTE(SUBSTITUTE(TRIM(C455&amp;""),CHAR(160),"")," ",""),"년","")),SUBSTITUTE(SUBSTITUTE(SUBSTITUTE(TRIM(C455&amp;""),CHAR(160),"")," ",""),"년",""),""),"")</f>
      </c>
      <c r="P455" t="str">
        <f>SUBSTITUTE(SUBSTITUTE(SUBSTITUTE(SUBSTITUTE(SUBSTITUTE(SUBSTITUTE(SUBSTITUTE(SUBSTITUTE(TRIM(D455&amp;""),CHAR(160),"")," ",""),"초등학교","초"),"중학교","중"),"고등학교","고"),"~","~~"),"*","~*"),"?","~?")</f>
      </c>
      <c r="Q455" t="str">
        <f>SUBSTITUTE(SUBSTITUTE(SUBSTITUTE(SUBSTITUTE(SUBSTITUTE(SUBSTITUTE(SUBSTITUTE(SUBSTITUTE(TRIM(E455&amp;""),CHAR(160),"")," ",""),"초등학교","초"),"중학교","중"),"고등학교","고"),"~","~~"),"*","~*"),"?","~?")</f>
      </c>
      <c r="R455" t="str">
        <f>IF(COUNTA(B455:J455)=0,"",IF(AND(O455&lt;&gt;"",P455&lt;&gt;"",Q455&lt;&gt;""),"","입력누락"))</f>
      </c>
    </row>
    <row r="456" customFormat="false" ht="15" hidden="false" customHeight="false" outlineLevel="0" collapsed="false">
      <c r="A456" t="n" s="19">
        <f aca="0">IF(COUNTA(B456:J456)=0,"",ROW()-1)</f>
      </c>
      <c r="B456" s="24"/>
      <c r="C456" s="25"/>
      <c r="D456" s="8"/>
      <c r="E456" s="8"/>
      <c r="F456" s="26"/>
      <c r="G456" s="24"/>
      <c r="H456" s="25"/>
      <c r="I456" s="25"/>
      <c r="J456" s="26"/>
      <c r="K456" t="str" s="15">
        <f aca="0">IF(COUNTA(B456:J456)=0,"",IF(R456&lt;&gt;"","확인필요(입력누락)",IF(COUNTIFS(보유목록!$I$2:$I$3001,"*"&amp;P456&amp;"*",보유목록!$I$2:$I$3001,"*"&amp;Q456&amp;"*",보유목록!$H$2:$H$3001,O456)&gt;0,"있음",IF(COUNTIFS(보유목록!$I$2:$I$3001,"*"&amp;P456&amp;"*",보유목록!$I$2:$I$3001,"*"&amp;Q456&amp;"*")&gt;0,"확인필요(연도다름)",IF(COUNTIFS(보유목록!$I$2:$I$3001,"*"&amp;P456&amp;"*",보유목록!$H$2:$H$3001,O456)&gt;0,"확인필요(같은학교·같은연도)","없음")))))</f>
      </c>
      <c r="L456" t="str" s="16">
        <f aca="0">IF(OR(COUNTA(B456:J456)=0,R456&lt;&gt;""),"",COUNTIFS(보유목록!$I$2:$I$3001,"*"&amp;P456&amp;"*",보유목록!$I$2:$I$3001,"*"&amp;Q456&amp;"*"))</f>
      </c>
      <c r="M456" t="str" s="23">
        <f aca="0">IF(OR(COUNTA(B456:J456)=0,R456&lt;&gt;""),"",IFERROR(LOOKUP(2,1/(ISNUMBER(SEARCH(P456,보유목록!$I$2:$I$3001))*ISNUMBER(SEARCH(Q456,보유목록!$I$2:$I$3001))*(보유목록!$H$2:$H$3001=O456)),보유목록!$B$2:$B$3001),IFERROR(LOOKUP(2,1/(ISNUMBER(SEARCH(P456,보유목록!$I$2:$I$3001))*ISNUMBER(SEARCH(Q456,보유목록!$I$2:$I$3001))),보유목록!$B$2:$B$3001),"")))</f>
      </c>
      <c r="N456" s="25"/>
      <c r="O456" t="str">
        <f>IFERROR(IF(AND(LEN(SUBSTITUTE(SUBSTITUTE(SUBSTITUTE(TRIM(C456&amp;""),CHAR(160),"")," ",""),"년",""))=4,VALUE(SUBSTITUTE(SUBSTITUTE(SUBSTITUTE(TRIM(C456&amp;""),CHAR(160),"")," ",""),"년",""))&gt;=1900,VALUE(SUBSTITUTE(SUBSTITUTE(SUBSTITUTE(TRIM(C456&amp;""),CHAR(160),"")," ",""),"년",""))&lt;=2099,TEXT(VALUE(SUBSTITUTE(SUBSTITUTE(SUBSTITUTE(TRIM(C456&amp;""),CHAR(160),"")," ",""),"년","")),"0000")=SUBSTITUTE(SUBSTITUTE(SUBSTITUTE(TRIM(C456&amp;""),CHAR(160),"")," ",""),"년","")),SUBSTITUTE(SUBSTITUTE(SUBSTITUTE(TRIM(C456&amp;""),CHAR(160),"")," ",""),"년",""),""),"")</f>
      </c>
      <c r="P456" t="str">
        <f>SUBSTITUTE(SUBSTITUTE(SUBSTITUTE(SUBSTITUTE(SUBSTITUTE(SUBSTITUTE(SUBSTITUTE(SUBSTITUTE(TRIM(D456&amp;""),CHAR(160),"")," ",""),"초등학교","초"),"중학교","중"),"고등학교","고"),"~","~~"),"*","~*"),"?","~?")</f>
      </c>
      <c r="Q456" t="str">
        <f>SUBSTITUTE(SUBSTITUTE(SUBSTITUTE(SUBSTITUTE(SUBSTITUTE(SUBSTITUTE(SUBSTITUTE(SUBSTITUTE(TRIM(E456&amp;""),CHAR(160),"")," ",""),"초등학교","초"),"중학교","중"),"고등학교","고"),"~","~~"),"*","~*"),"?","~?")</f>
      </c>
      <c r="R456" t="str">
        <f>IF(COUNTA(B456:J456)=0,"",IF(AND(O456&lt;&gt;"",P456&lt;&gt;"",Q456&lt;&gt;""),"","입력누락"))</f>
      </c>
    </row>
    <row r="457" customFormat="false" ht="15" hidden="false" customHeight="false" outlineLevel="0" collapsed="false">
      <c r="A457" t="n" s="19">
        <f aca="0">IF(COUNTA(B457:J457)=0,"",ROW()-1)</f>
      </c>
      <c r="B457" s="24"/>
      <c r="C457" s="25"/>
      <c r="D457" s="8"/>
      <c r="E457" s="8"/>
      <c r="F457" s="26"/>
      <c r="G457" s="24"/>
      <c r="H457" s="25"/>
      <c r="I457" s="25"/>
      <c r="J457" s="26"/>
      <c r="K457" t="str" s="15">
        <f aca="0">IF(COUNTA(B457:J457)=0,"",IF(R457&lt;&gt;"","확인필요(입력누락)",IF(COUNTIFS(보유목록!$I$2:$I$3001,"*"&amp;P457&amp;"*",보유목록!$I$2:$I$3001,"*"&amp;Q457&amp;"*",보유목록!$H$2:$H$3001,O457)&gt;0,"있음",IF(COUNTIFS(보유목록!$I$2:$I$3001,"*"&amp;P457&amp;"*",보유목록!$I$2:$I$3001,"*"&amp;Q457&amp;"*")&gt;0,"확인필요(연도다름)",IF(COUNTIFS(보유목록!$I$2:$I$3001,"*"&amp;P457&amp;"*",보유목록!$H$2:$H$3001,O457)&gt;0,"확인필요(같은학교·같은연도)","없음")))))</f>
      </c>
      <c r="L457" t="str" s="16">
        <f aca="0">IF(OR(COUNTA(B457:J457)=0,R457&lt;&gt;""),"",COUNTIFS(보유목록!$I$2:$I$3001,"*"&amp;P457&amp;"*",보유목록!$I$2:$I$3001,"*"&amp;Q457&amp;"*"))</f>
      </c>
      <c r="M457" t="str" s="23">
        <f aca="0">IF(OR(COUNTA(B457:J457)=0,R457&lt;&gt;""),"",IFERROR(LOOKUP(2,1/(ISNUMBER(SEARCH(P457,보유목록!$I$2:$I$3001))*ISNUMBER(SEARCH(Q457,보유목록!$I$2:$I$3001))*(보유목록!$H$2:$H$3001=O457)),보유목록!$B$2:$B$3001),IFERROR(LOOKUP(2,1/(ISNUMBER(SEARCH(P457,보유목록!$I$2:$I$3001))*ISNUMBER(SEARCH(Q457,보유목록!$I$2:$I$3001))),보유목록!$B$2:$B$3001),"")))</f>
      </c>
      <c r="N457" s="25"/>
      <c r="O457" t="str">
        <f>IFERROR(IF(AND(LEN(SUBSTITUTE(SUBSTITUTE(SUBSTITUTE(TRIM(C457&amp;""),CHAR(160),"")," ",""),"년",""))=4,VALUE(SUBSTITUTE(SUBSTITUTE(SUBSTITUTE(TRIM(C457&amp;""),CHAR(160),"")," ",""),"년",""))&gt;=1900,VALUE(SUBSTITUTE(SUBSTITUTE(SUBSTITUTE(TRIM(C457&amp;""),CHAR(160),"")," ",""),"년",""))&lt;=2099,TEXT(VALUE(SUBSTITUTE(SUBSTITUTE(SUBSTITUTE(TRIM(C457&amp;""),CHAR(160),"")," ",""),"년","")),"0000")=SUBSTITUTE(SUBSTITUTE(SUBSTITUTE(TRIM(C457&amp;""),CHAR(160),"")," ",""),"년","")),SUBSTITUTE(SUBSTITUTE(SUBSTITUTE(TRIM(C457&amp;""),CHAR(160),"")," ",""),"년",""),""),"")</f>
      </c>
      <c r="P457" t="str">
        <f>SUBSTITUTE(SUBSTITUTE(SUBSTITUTE(SUBSTITUTE(SUBSTITUTE(SUBSTITUTE(SUBSTITUTE(SUBSTITUTE(TRIM(D457&amp;""),CHAR(160),"")," ",""),"초등학교","초"),"중학교","중"),"고등학교","고"),"~","~~"),"*","~*"),"?","~?")</f>
      </c>
      <c r="Q457" t="str">
        <f>SUBSTITUTE(SUBSTITUTE(SUBSTITUTE(SUBSTITUTE(SUBSTITUTE(SUBSTITUTE(SUBSTITUTE(SUBSTITUTE(TRIM(E457&amp;""),CHAR(160),"")," ",""),"초등학교","초"),"중학교","중"),"고등학교","고"),"~","~~"),"*","~*"),"?","~?")</f>
      </c>
      <c r="R457" t="str">
        <f>IF(COUNTA(B457:J457)=0,"",IF(AND(O457&lt;&gt;"",P457&lt;&gt;"",Q457&lt;&gt;""),"","입력누락"))</f>
      </c>
    </row>
    <row r="458" customFormat="false" ht="15" hidden="false" customHeight="false" outlineLevel="0" collapsed="false">
      <c r="A458" t="n" s="19">
        <f aca="0">IF(COUNTA(B458:J458)=0,"",ROW()-1)</f>
      </c>
      <c r="B458" s="24"/>
      <c r="C458" s="25"/>
      <c r="D458" s="8"/>
      <c r="E458" s="8"/>
      <c r="F458" s="26"/>
      <c r="G458" s="24"/>
      <c r="H458" s="25"/>
      <c r="I458" s="25"/>
      <c r="J458" s="26"/>
      <c r="K458" t="str" s="15">
        <f aca="0">IF(COUNTA(B458:J458)=0,"",IF(R458&lt;&gt;"","확인필요(입력누락)",IF(COUNTIFS(보유목록!$I$2:$I$3001,"*"&amp;P458&amp;"*",보유목록!$I$2:$I$3001,"*"&amp;Q458&amp;"*",보유목록!$H$2:$H$3001,O458)&gt;0,"있음",IF(COUNTIFS(보유목록!$I$2:$I$3001,"*"&amp;P458&amp;"*",보유목록!$I$2:$I$3001,"*"&amp;Q458&amp;"*")&gt;0,"확인필요(연도다름)",IF(COUNTIFS(보유목록!$I$2:$I$3001,"*"&amp;P458&amp;"*",보유목록!$H$2:$H$3001,O458)&gt;0,"확인필요(같은학교·같은연도)","없음")))))</f>
      </c>
      <c r="L458" t="str" s="16">
        <f aca="0">IF(OR(COUNTA(B458:J458)=0,R458&lt;&gt;""),"",COUNTIFS(보유목록!$I$2:$I$3001,"*"&amp;P458&amp;"*",보유목록!$I$2:$I$3001,"*"&amp;Q458&amp;"*"))</f>
      </c>
      <c r="M458" t="str" s="23">
        <f aca="0">IF(OR(COUNTA(B458:J458)=0,R458&lt;&gt;""),"",IFERROR(LOOKUP(2,1/(ISNUMBER(SEARCH(P458,보유목록!$I$2:$I$3001))*ISNUMBER(SEARCH(Q458,보유목록!$I$2:$I$3001))*(보유목록!$H$2:$H$3001=O458)),보유목록!$B$2:$B$3001),IFERROR(LOOKUP(2,1/(ISNUMBER(SEARCH(P458,보유목록!$I$2:$I$3001))*ISNUMBER(SEARCH(Q458,보유목록!$I$2:$I$3001))),보유목록!$B$2:$B$3001),"")))</f>
      </c>
      <c r="N458" s="25"/>
      <c r="O458" t="str">
        <f>IFERROR(IF(AND(LEN(SUBSTITUTE(SUBSTITUTE(SUBSTITUTE(TRIM(C458&amp;""),CHAR(160),"")," ",""),"년",""))=4,VALUE(SUBSTITUTE(SUBSTITUTE(SUBSTITUTE(TRIM(C458&amp;""),CHAR(160),"")," ",""),"년",""))&gt;=1900,VALUE(SUBSTITUTE(SUBSTITUTE(SUBSTITUTE(TRIM(C458&amp;""),CHAR(160),"")," ",""),"년",""))&lt;=2099,TEXT(VALUE(SUBSTITUTE(SUBSTITUTE(SUBSTITUTE(TRIM(C458&amp;""),CHAR(160),"")," ",""),"년","")),"0000")=SUBSTITUTE(SUBSTITUTE(SUBSTITUTE(TRIM(C458&amp;""),CHAR(160),"")," ",""),"년","")),SUBSTITUTE(SUBSTITUTE(SUBSTITUTE(TRIM(C458&amp;""),CHAR(160),"")," ",""),"년",""),""),"")</f>
      </c>
      <c r="P458" t="str">
        <f>SUBSTITUTE(SUBSTITUTE(SUBSTITUTE(SUBSTITUTE(SUBSTITUTE(SUBSTITUTE(SUBSTITUTE(SUBSTITUTE(TRIM(D458&amp;""),CHAR(160),"")," ",""),"초등학교","초"),"중학교","중"),"고등학교","고"),"~","~~"),"*","~*"),"?","~?")</f>
      </c>
      <c r="Q458" t="str">
        <f>SUBSTITUTE(SUBSTITUTE(SUBSTITUTE(SUBSTITUTE(SUBSTITUTE(SUBSTITUTE(SUBSTITUTE(SUBSTITUTE(TRIM(E458&amp;""),CHAR(160),"")," ",""),"초등학교","초"),"중학교","중"),"고등학교","고"),"~","~~"),"*","~*"),"?","~?")</f>
      </c>
      <c r="R458" t="str">
        <f>IF(COUNTA(B458:J458)=0,"",IF(AND(O458&lt;&gt;"",P458&lt;&gt;"",Q458&lt;&gt;""),"","입력누락"))</f>
      </c>
    </row>
    <row r="459" customFormat="false" ht="15" hidden="false" customHeight="false" outlineLevel="0" collapsed="false">
      <c r="A459" t="n" s="19">
        <f aca="0">IF(COUNTA(B459:J459)=0,"",ROW()-1)</f>
      </c>
      <c r="B459" s="24"/>
      <c r="C459" s="25"/>
      <c r="D459" s="8"/>
      <c r="E459" s="8"/>
      <c r="F459" s="26"/>
      <c r="G459" s="24"/>
      <c r="H459" s="25"/>
      <c r="I459" s="25"/>
      <c r="J459" s="26"/>
      <c r="K459" t="str" s="15">
        <f aca="0">IF(COUNTA(B459:J459)=0,"",IF(R459&lt;&gt;"","확인필요(입력누락)",IF(COUNTIFS(보유목록!$I$2:$I$3001,"*"&amp;P459&amp;"*",보유목록!$I$2:$I$3001,"*"&amp;Q459&amp;"*",보유목록!$H$2:$H$3001,O459)&gt;0,"있음",IF(COUNTIFS(보유목록!$I$2:$I$3001,"*"&amp;P459&amp;"*",보유목록!$I$2:$I$3001,"*"&amp;Q459&amp;"*")&gt;0,"확인필요(연도다름)",IF(COUNTIFS(보유목록!$I$2:$I$3001,"*"&amp;P459&amp;"*",보유목록!$H$2:$H$3001,O459)&gt;0,"확인필요(같은학교·같은연도)","없음")))))</f>
      </c>
      <c r="L459" t="str" s="16">
        <f aca="0">IF(OR(COUNTA(B459:J459)=0,R459&lt;&gt;""),"",COUNTIFS(보유목록!$I$2:$I$3001,"*"&amp;P459&amp;"*",보유목록!$I$2:$I$3001,"*"&amp;Q459&amp;"*"))</f>
      </c>
      <c r="M459" t="str" s="23">
        <f aca="0">IF(OR(COUNTA(B459:J459)=0,R459&lt;&gt;""),"",IFERROR(LOOKUP(2,1/(ISNUMBER(SEARCH(P459,보유목록!$I$2:$I$3001))*ISNUMBER(SEARCH(Q459,보유목록!$I$2:$I$3001))*(보유목록!$H$2:$H$3001=O459)),보유목록!$B$2:$B$3001),IFERROR(LOOKUP(2,1/(ISNUMBER(SEARCH(P459,보유목록!$I$2:$I$3001))*ISNUMBER(SEARCH(Q459,보유목록!$I$2:$I$3001))),보유목록!$B$2:$B$3001),"")))</f>
      </c>
      <c r="N459" s="25"/>
      <c r="O459" t="str">
        <f>IFERROR(IF(AND(LEN(SUBSTITUTE(SUBSTITUTE(SUBSTITUTE(TRIM(C459&amp;""),CHAR(160),"")," ",""),"년",""))=4,VALUE(SUBSTITUTE(SUBSTITUTE(SUBSTITUTE(TRIM(C459&amp;""),CHAR(160),"")," ",""),"년",""))&gt;=1900,VALUE(SUBSTITUTE(SUBSTITUTE(SUBSTITUTE(TRIM(C459&amp;""),CHAR(160),"")," ",""),"년",""))&lt;=2099,TEXT(VALUE(SUBSTITUTE(SUBSTITUTE(SUBSTITUTE(TRIM(C459&amp;""),CHAR(160),"")," ",""),"년","")),"0000")=SUBSTITUTE(SUBSTITUTE(SUBSTITUTE(TRIM(C459&amp;""),CHAR(160),"")," ",""),"년","")),SUBSTITUTE(SUBSTITUTE(SUBSTITUTE(TRIM(C459&amp;""),CHAR(160),"")," ",""),"년",""),""),"")</f>
      </c>
      <c r="P459" t="str">
        <f>SUBSTITUTE(SUBSTITUTE(SUBSTITUTE(SUBSTITUTE(SUBSTITUTE(SUBSTITUTE(SUBSTITUTE(SUBSTITUTE(TRIM(D459&amp;""),CHAR(160),"")," ",""),"초등학교","초"),"중학교","중"),"고등학교","고"),"~","~~"),"*","~*"),"?","~?")</f>
      </c>
      <c r="Q459" t="str">
        <f>SUBSTITUTE(SUBSTITUTE(SUBSTITUTE(SUBSTITUTE(SUBSTITUTE(SUBSTITUTE(SUBSTITUTE(SUBSTITUTE(TRIM(E459&amp;""),CHAR(160),"")," ",""),"초등학교","초"),"중학교","중"),"고등학교","고"),"~","~~"),"*","~*"),"?","~?")</f>
      </c>
      <c r="R459" t="str">
        <f>IF(COUNTA(B459:J459)=0,"",IF(AND(O459&lt;&gt;"",P459&lt;&gt;"",Q459&lt;&gt;""),"","입력누락"))</f>
      </c>
    </row>
    <row r="460" customFormat="false" ht="15" hidden="false" customHeight="false" outlineLevel="0" collapsed="false">
      <c r="A460" t="n" s="19">
        <f aca="0">IF(COUNTA(B460:J460)=0,"",ROW()-1)</f>
      </c>
      <c r="B460" s="24"/>
      <c r="C460" s="25"/>
      <c r="D460" s="8"/>
      <c r="E460" s="8"/>
      <c r="F460" s="26"/>
      <c r="G460" s="24"/>
      <c r="H460" s="25"/>
      <c r="I460" s="25"/>
      <c r="J460" s="26"/>
      <c r="K460" t="str" s="15">
        <f aca="0">IF(COUNTA(B460:J460)=0,"",IF(R460&lt;&gt;"","확인필요(입력누락)",IF(COUNTIFS(보유목록!$I$2:$I$3001,"*"&amp;P460&amp;"*",보유목록!$I$2:$I$3001,"*"&amp;Q460&amp;"*",보유목록!$H$2:$H$3001,O460)&gt;0,"있음",IF(COUNTIFS(보유목록!$I$2:$I$3001,"*"&amp;P460&amp;"*",보유목록!$I$2:$I$3001,"*"&amp;Q460&amp;"*")&gt;0,"확인필요(연도다름)",IF(COUNTIFS(보유목록!$I$2:$I$3001,"*"&amp;P460&amp;"*",보유목록!$H$2:$H$3001,O460)&gt;0,"확인필요(같은학교·같은연도)","없음")))))</f>
      </c>
      <c r="L460" t="str" s="16">
        <f aca="0">IF(OR(COUNTA(B460:J460)=0,R460&lt;&gt;""),"",COUNTIFS(보유목록!$I$2:$I$3001,"*"&amp;P460&amp;"*",보유목록!$I$2:$I$3001,"*"&amp;Q460&amp;"*"))</f>
      </c>
      <c r="M460" t="str" s="23">
        <f aca="0">IF(OR(COUNTA(B460:J460)=0,R460&lt;&gt;""),"",IFERROR(LOOKUP(2,1/(ISNUMBER(SEARCH(P460,보유목록!$I$2:$I$3001))*ISNUMBER(SEARCH(Q460,보유목록!$I$2:$I$3001))*(보유목록!$H$2:$H$3001=O460)),보유목록!$B$2:$B$3001),IFERROR(LOOKUP(2,1/(ISNUMBER(SEARCH(P460,보유목록!$I$2:$I$3001))*ISNUMBER(SEARCH(Q460,보유목록!$I$2:$I$3001))),보유목록!$B$2:$B$3001),"")))</f>
      </c>
      <c r="N460" s="25"/>
      <c r="O460" t="str">
        <f>IFERROR(IF(AND(LEN(SUBSTITUTE(SUBSTITUTE(SUBSTITUTE(TRIM(C460&amp;""),CHAR(160),"")," ",""),"년",""))=4,VALUE(SUBSTITUTE(SUBSTITUTE(SUBSTITUTE(TRIM(C460&amp;""),CHAR(160),"")," ",""),"년",""))&gt;=1900,VALUE(SUBSTITUTE(SUBSTITUTE(SUBSTITUTE(TRIM(C460&amp;""),CHAR(160),"")," ",""),"년",""))&lt;=2099,TEXT(VALUE(SUBSTITUTE(SUBSTITUTE(SUBSTITUTE(TRIM(C460&amp;""),CHAR(160),"")," ",""),"년","")),"0000")=SUBSTITUTE(SUBSTITUTE(SUBSTITUTE(TRIM(C460&amp;""),CHAR(160),"")," ",""),"년","")),SUBSTITUTE(SUBSTITUTE(SUBSTITUTE(TRIM(C460&amp;""),CHAR(160),"")," ",""),"년",""),""),"")</f>
      </c>
      <c r="P460" t="str">
        <f>SUBSTITUTE(SUBSTITUTE(SUBSTITUTE(SUBSTITUTE(SUBSTITUTE(SUBSTITUTE(SUBSTITUTE(SUBSTITUTE(TRIM(D460&amp;""),CHAR(160),"")," ",""),"초등학교","초"),"중학교","중"),"고등학교","고"),"~","~~"),"*","~*"),"?","~?")</f>
      </c>
      <c r="Q460" t="str">
        <f>SUBSTITUTE(SUBSTITUTE(SUBSTITUTE(SUBSTITUTE(SUBSTITUTE(SUBSTITUTE(SUBSTITUTE(SUBSTITUTE(TRIM(E460&amp;""),CHAR(160),"")," ",""),"초등학교","초"),"중학교","중"),"고등학교","고"),"~","~~"),"*","~*"),"?","~?")</f>
      </c>
      <c r="R460" t="str">
        <f>IF(COUNTA(B460:J460)=0,"",IF(AND(O460&lt;&gt;"",P460&lt;&gt;"",Q460&lt;&gt;""),"","입력누락"))</f>
      </c>
    </row>
    <row r="461" customFormat="false" ht="15" hidden="false" customHeight="false" outlineLevel="0" collapsed="false">
      <c r="A461" t="n" s="19">
        <f aca="0">IF(COUNTA(B461:J461)=0,"",ROW()-1)</f>
      </c>
      <c r="B461" s="24"/>
      <c r="C461" s="25"/>
      <c r="D461" s="8"/>
      <c r="E461" s="8"/>
      <c r="F461" s="26"/>
      <c r="G461" s="24"/>
      <c r="H461" s="25"/>
      <c r="I461" s="25"/>
      <c r="J461" s="26"/>
      <c r="K461" t="str" s="15">
        <f aca="0">IF(COUNTA(B461:J461)=0,"",IF(R461&lt;&gt;"","확인필요(입력누락)",IF(COUNTIFS(보유목록!$I$2:$I$3001,"*"&amp;P461&amp;"*",보유목록!$I$2:$I$3001,"*"&amp;Q461&amp;"*",보유목록!$H$2:$H$3001,O461)&gt;0,"있음",IF(COUNTIFS(보유목록!$I$2:$I$3001,"*"&amp;P461&amp;"*",보유목록!$I$2:$I$3001,"*"&amp;Q461&amp;"*")&gt;0,"확인필요(연도다름)",IF(COUNTIFS(보유목록!$I$2:$I$3001,"*"&amp;P461&amp;"*",보유목록!$H$2:$H$3001,O461)&gt;0,"확인필요(같은학교·같은연도)","없음")))))</f>
      </c>
      <c r="L461" t="str" s="16">
        <f aca="0">IF(OR(COUNTA(B461:J461)=0,R461&lt;&gt;""),"",COUNTIFS(보유목록!$I$2:$I$3001,"*"&amp;P461&amp;"*",보유목록!$I$2:$I$3001,"*"&amp;Q461&amp;"*"))</f>
      </c>
      <c r="M461" t="str" s="23">
        <f aca="0">IF(OR(COUNTA(B461:J461)=0,R461&lt;&gt;""),"",IFERROR(LOOKUP(2,1/(ISNUMBER(SEARCH(P461,보유목록!$I$2:$I$3001))*ISNUMBER(SEARCH(Q461,보유목록!$I$2:$I$3001))*(보유목록!$H$2:$H$3001=O461)),보유목록!$B$2:$B$3001),IFERROR(LOOKUP(2,1/(ISNUMBER(SEARCH(P461,보유목록!$I$2:$I$3001))*ISNUMBER(SEARCH(Q461,보유목록!$I$2:$I$3001))),보유목록!$B$2:$B$3001),"")))</f>
      </c>
      <c r="N461" s="25"/>
      <c r="O461" t="str">
        <f>IFERROR(IF(AND(LEN(SUBSTITUTE(SUBSTITUTE(SUBSTITUTE(TRIM(C461&amp;""),CHAR(160),"")," ",""),"년",""))=4,VALUE(SUBSTITUTE(SUBSTITUTE(SUBSTITUTE(TRIM(C461&amp;""),CHAR(160),"")," ",""),"년",""))&gt;=1900,VALUE(SUBSTITUTE(SUBSTITUTE(SUBSTITUTE(TRIM(C461&amp;""),CHAR(160),"")," ",""),"년",""))&lt;=2099,TEXT(VALUE(SUBSTITUTE(SUBSTITUTE(SUBSTITUTE(TRIM(C461&amp;""),CHAR(160),"")," ",""),"년","")),"0000")=SUBSTITUTE(SUBSTITUTE(SUBSTITUTE(TRIM(C461&amp;""),CHAR(160),"")," ",""),"년","")),SUBSTITUTE(SUBSTITUTE(SUBSTITUTE(TRIM(C461&amp;""),CHAR(160),"")," ",""),"년",""),""),"")</f>
      </c>
      <c r="P461" t="str">
        <f>SUBSTITUTE(SUBSTITUTE(SUBSTITUTE(SUBSTITUTE(SUBSTITUTE(SUBSTITUTE(SUBSTITUTE(SUBSTITUTE(TRIM(D461&amp;""),CHAR(160),"")," ",""),"초등학교","초"),"중학교","중"),"고등학교","고"),"~","~~"),"*","~*"),"?","~?")</f>
      </c>
      <c r="Q461" t="str">
        <f>SUBSTITUTE(SUBSTITUTE(SUBSTITUTE(SUBSTITUTE(SUBSTITUTE(SUBSTITUTE(SUBSTITUTE(SUBSTITUTE(TRIM(E461&amp;""),CHAR(160),"")," ",""),"초등학교","초"),"중학교","중"),"고등학교","고"),"~","~~"),"*","~*"),"?","~?")</f>
      </c>
      <c r="R461" t="str">
        <f>IF(COUNTA(B461:J461)=0,"",IF(AND(O461&lt;&gt;"",P461&lt;&gt;"",Q461&lt;&gt;""),"","입력누락"))</f>
      </c>
    </row>
    <row r="462" customFormat="false" ht="15" hidden="false" customHeight="false" outlineLevel="0" collapsed="false">
      <c r="A462" t="n" s="19">
        <f aca="0">IF(COUNTA(B462:J462)=0,"",ROW()-1)</f>
      </c>
      <c r="B462" s="24"/>
      <c r="C462" s="25"/>
      <c r="D462" s="8"/>
      <c r="E462" s="8"/>
      <c r="F462" s="26"/>
      <c r="G462" s="24"/>
      <c r="H462" s="25"/>
      <c r="I462" s="25"/>
      <c r="J462" s="26"/>
      <c r="K462" t="str" s="15">
        <f aca="0">IF(COUNTA(B462:J462)=0,"",IF(R462&lt;&gt;"","확인필요(입력누락)",IF(COUNTIFS(보유목록!$I$2:$I$3001,"*"&amp;P462&amp;"*",보유목록!$I$2:$I$3001,"*"&amp;Q462&amp;"*",보유목록!$H$2:$H$3001,O462)&gt;0,"있음",IF(COUNTIFS(보유목록!$I$2:$I$3001,"*"&amp;P462&amp;"*",보유목록!$I$2:$I$3001,"*"&amp;Q462&amp;"*")&gt;0,"확인필요(연도다름)",IF(COUNTIFS(보유목록!$I$2:$I$3001,"*"&amp;P462&amp;"*",보유목록!$H$2:$H$3001,O462)&gt;0,"확인필요(같은학교·같은연도)","없음")))))</f>
      </c>
      <c r="L462" t="str" s="16">
        <f aca="0">IF(OR(COUNTA(B462:J462)=0,R462&lt;&gt;""),"",COUNTIFS(보유목록!$I$2:$I$3001,"*"&amp;P462&amp;"*",보유목록!$I$2:$I$3001,"*"&amp;Q462&amp;"*"))</f>
      </c>
      <c r="M462" t="str" s="23">
        <f aca="0">IF(OR(COUNTA(B462:J462)=0,R462&lt;&gt;""),"",IFERROR(LOOKUP(2,1/(ISNUMBER(SEARCH(P462,보유목록!$I$2:$I$3001))*ISNUMBER(SEARCH(Q462,보유목록!$I$2:$I$3001))*(보유목록!$H$2:$H$3001=O462)),보유목록!$B$2:$B$3001),IFERROR(LOOKUP(2,1/(ISNUMBER(SEARCH(P462,보유목록!$I$2:$I$3001))*ISNUMBER(SEARCH(Q462,보유목록!$I$2:$I$3001))),보유목록!$B$2:$B$3001),"")))</f>
      </c>
      <c r="N462" s="25"/>
      <c r="O462" t="str">
        <f>IFERROR(IF(AND(LEN(SUBSTITUTE(SUBSTITUTE(SUBSTITUTE(TRIM(C462&amp;""),CHAR(160),"")," ",""),"년",""))=4,VALUE(SUBSTITUTE(SUBSTITUTE(SUBSTITUTE(TRIM(C462&amp;""),CHAR(160),"")," ",""),"년",""))&gt;=1900,VALUE(SUBSTITUTE(SUBSTITUTE(SUBSTITUTE(TRIM(C462&amp;""),CHAR(160),"")," ",""),"년",""))&lt;=2099,TEXT(VALUE(SUBSTITUTE(SUBSTITUTE(SUBSTITUTE(TRIM(C462&amp;""),CHAR(160),"")," ",""),"년","")),"0000")=SUBSTITUTE(SUBSTITUTE(SUBSTITUTE(TRIM(C462&amp;""),CHAR(160),"")," ",""),"년","")),SUBSTITUTE(SUBSTITUTE(SUBSTITUTE(TRIM(C462&amp;""),CHAR(160),"")," ",""),"년",""),""),"")</f>
      </c>
      <c r="P462" t="str">
        <f>SUBSTITUTE(SUBSTITUTE(SUBSTITUTE(SUBSTITUTE(SUBSTITUTE(SUBSTITUTE(SUBSTITUTE(SUBSTITUTE(TRIM(D462&amp;""),CHAR(160),"")," ",""),"초등학교","초"),"중학교","중"),"고등학교","고"),"~","~~"),"*","~*"),"?","~?")</f>
      </c>
      <c r="Q462" t="str">
        <f>SUBSTITUTE(SUBSTITUTE(SUBSTITUTE(SUBSTITUTE(SUBSTITUTE(SUBSTITUTE(SUBSTITUTE(SUBSTITUTE(TRIM(E462&amp;""),CHAR(160),"")," ",""),"초등학교","초"),"중학교","중"),"고등학교","고"),"~","~~"),"*","~*"),"?","~?")</f>
      </c>
      <c r="R462" t="str">
        <f>IF(COUNTA(B462:J462)=0,"",IF(AND(O462&lt;&gt;"",P462&lt;&gt;"",Q462&lt;&gt;""),"","입력누락"))</f>
      </c>
    </row>
    <row r="463" customFormat="false" ht="15" hidden="false" customHeight="false" outlineLevel="0" collapsed="false">
      <c r="A463" t="n" s="19">
        <f aca="0">IF(COUNTA(B463:J463)=0,"",ROW()-1)</f>
      </c>
      <c r="B463" s="24"/>
      <c r="C463" s="25"/>
      <c r="D463" s="8"/>
      <c r="E463" s="8"/>
      <c r="F463" s="26"/>
      <c r="G463" s="24"/>
      <c r="H463" s="25"/>
      <c r="I463" s="25"/>
      <c r="J463" s="26"/>
      <c r="K463" t="str" s="15">
        <f aca="0">IF(COUNTA(B463:J463)=0,"",IF(R463&lt;&gt;"","확인필요(입력누락)",IF(COUNTIFS(보유목록!$I$2:$I$3001,"*"&amp;P463&amp;"*",보유목록!$I$2:$I$3001,"*"&amp;Q463&amp;"*",보유목록!$H$2:$H$3001,O463)&gt;0,"있음",IF(COUNTIFS(보유목록!$I$2:$I$3001,"*"&amp;P463&amp;"*",보유목록!$I$2:$I$3001,"*"&amp;Q463&amp;"*")&gt;0,"확인필요(연도다름)",IF(COUNTIFS(보유목록!$I$2:$I$3001,"*"&amp;P463&amp;"*",보유목록!$H$2:$H$3001,O463)&gt;0,"확인필요(같은학교·같은연도)","없음")))))</f>
      </c>
      <c r="L463" t="str" s="16">
        <f aca="0">IF(OR(COUNTA(B463:J463)=0,R463&lt;&gt;""),"",COUNTIFS(보유목록!$I$2:$I$3001,"*"&amp;P463&amp;"*",보유목록!$I$2:$I$3001,"*"&amp;Q463&amp;"*"))</f>
      </c>
      <c r="M463" t="str" s="23">
        <f aca="0">IF(OR(COUNTA(B463:J463)=0,R463&lt;&gt;""),"",IFERROR(LOOKUP(2,1/(ISNUMBER(SEARCH(P463,보유목록!$I$2:$I$3001))*ISNUMBER(SEARCH(Q463,보유목록!$I$2:$I$3001))*(보유목록!$H$2:$H$3001=O463)),보유목록!$B$2:$B$3001),IFERROR(LOOKUP(2,1/(ISNUMBER(SEARCH(P463,보유목록!$I$2:$I$3001))*ISNUMBER(SEARCH(Q463,보유목록!$I$2:$I$3001))),보유목록!$B$2:$B$3001),"")))</f>
      </c>
      <c r="N463" s="25"/>
      <c r="O463" t="str">
        <f>IFERROR(IF(AND(LEN(SUBSTITUTE(SUBSTITUTE(SUBSTITUTE(TRIM(C463&amp;""),CHAR(160),"")," ",""),"년",""))=4,VALUE(SUBSTITUTE(SUBSTITUTE(SUBSTITUTE(TRIM(C463&amp;""),CHAR(160),"")," ",""),"년",""))&gt;=1900,VALUE(SUBSTITUTE(SUBSTITUTE(SUBSTITUTE(TRIM(C463&amp;""),CHAR(160),"")," ",""),"년",""))&lt;=2099,TEXT(VALUE(SUBSTITUTE(SUBSTITUTE(SUBSTITUTE(TRIM(C463&amp;""),CHAR(160),"")," ",""),"년","")),"0000")=SUBSTITUTE(SUBSTITUTE(SUBSTITUTE(TRIM(C463&amp;""),CHAR(160),"")," ",""),"년","")),SUBSTITUTE(SUBSTITUTE(SUBSTITUTE(TRIM(C463&amp;""),CHAR(160),"")," ",""),"년",""),""),"")</f>
      </c>
      <c r="P463" t="str">
        <f>SUBSTITUTE(SUBSTITUTE(SUBSTITUTE(SUBSTITUTE(SUBSTITUTE(SUBSTITUTE(SUBSTITUTE(SUBSTITUTE(TRIM(D463&amp;""),CHAR(160),"")," ",""),"초등학교","초"),"중학교","중"),"고등학교","고"),"~","~~"),"*","~*"),"?","~?")</f>
      </c>
      <c r="Q463" t="str">
        <f>SUBSTITUTE(SUBSTITUTE(SUBSTITUTE(SUBSTITUTE(SUBSTITUTE(SUBSTITUTE(SUBSTITUTE(SUBSTITUTE(TRIM(E463&amp;""),CHAR(160),"")," ",""),"초등학교","초"),"중학교","중"),"고등학교","고"),"~","~~"),"*","~*"),"?","~?")</f>
      </c>
      <c r="R463" t="str">
        <f>IF(COUNTA(B463:J463)=0,"",IF(AND(O463&lt;&gt;"",P463&lt;&gt;"",Q463&lt;&gt;""),"","입력누락"))</f>
      </c>
    </row>
    <row r="464" customFormat="false" ht="15" hidden="false" customHeight="false" outlineLevel="0" collapsed="false">
      <c r="A464" t="n" s="19">
        <f aca="0">IF(COUNTA(B464:J464)=0,"",ROW()-1)</f>
      </c>
      <c r="B464" s="24"/>
      <c r="C464" s="25"/>
      <c r="D464" s="8"/>
      <c r="E464" s="8"/>
      <c r="F464" s="26"/>
      <c r="G464" s="24"/>
      <c r="H464" s="25"/>
      <c r="I464" s="25"/>
      <c r="J464" s="26"/>
      <c r="K464" t="str" s="15">
        <f aca="0">IF(COUNTA(B464:J464)=0,"",IF(R464&lt;&gt;"","확인필요(입력누락)",IF(COUNTIFS(보유목록!$I$2:$I$3001,"*"&amp;P464&amp;"*",보유목록!$I$2:$I$3001,"*"&amp;Q464&amp;"*",보유목록!$H$2:$H$3001,O464)&gt;0,"있음",IF(COUNTIFS(보유목록!$I$2:$I$3001,"*"&amp;P464&amp;"*",보유목록!$I$2:$I$3001,"*"&amp;Q464&amp;"*")&gt;0,"확인필요(연도다름)",IF(COUNTIFS(보유목록!$I$2:$I$3001,"*"&amp;P464&amp;"*",보유목록!$H$2:$H$3001,O464)&gt;0,"확인필요(같은학교·같은연도)","없음")))))</f>
      </c>
      <c r="L464" t="str" s="16">
        <f aca="0">IF(OR(COUNTA(B464:J464)=0,R464&lt;&gt;""),"",COUNTIFS(보유목록!$I$2:$I$3001,"*"&amp;P464&amp;"*",보유목록!$I$2:$I$3001,"*"&amp;Q464&amp;"*"))</f>
      </c>
      <c r="M464" t="str" s="23">
        <f aca="0">IF(OR(COUNTA(B464:J464)=0,R464&lt;&gt;""),"",IFERROR(LOOKUP(2,1/(ISNUMBER(SEARCH(P464,보유목록!$I$2:$I$3001))*ISNUMBER(SEARCH(Q464,보유목록!$I$2:$I$3001))*(보유목록!$H$2:$H$3001=O464)),보유목록!$B$2:$B$3001),IFERROR(LOOKUP(2,1/(ISNUMBER(SEARCH(P464,보유목록!$I$2:$I$3001))*ISNUMBER(SEARCH(Q464,보유목록!$I$2:$I$3001))),보유목록!$B$2:$B$3001),"")))</f>
      </c>
      <c r="N464" s="25"/>
      <c r="O464" t="str">
        <f>IFERROR(IF(AND(LEN(SUBSTITUTE(SUBSTITUTE(SUBSTITUTE(TRIM(C464&amp;""),CHAR(160),"")," ",""),"년",""))=4,VALUE(SUBSTITUTE(SUBSTITUTE(SUBSTITUTE(TRIM(C464&amp;""),CHAR(160),"")," ",""),"년",""))&gt;=1900,VALUE(SUBSTITUTE(SUBSTITUTE(SUBSTITUTE(TRIM(C464&amp;""),CHAR(160),"")," ",""),"년",""))&lt;=2099,TEXT(VALUE(SUBSTITUTE(SUBSTITUTE(SUBSTITUTE(TRIM(C464&amp;""),CHAR(160),"")," ",""),"년","")),"0000")=SUBSTITUTE(SUBSTITUTE(SUBSTITUTE(TRIM(C464&amp;""),CHAR(160),"")," ",""),"년","")),SUBSTITUTE(SUBSTITUTE(SUBSTITUTE(TRIM(C464&amp;""),CHAR(160),"")," ",""),"년",""),""),"")</f>
      </c>
      <c r="P464" t="str">
        <f>SUBSTITUTE(SUBSTITUTE(SUBSTITUTE(SUBSTITUTE(SUBSTITUTE(SUBSTITUTE(SUBSTITUTE(SUBSTITUTE(TRIM(D464&amp;""),CHAR(160),"")," ",""),"초등학교","초"),"중학교","중"),"고등학교","고"),"~","~~"),"*","~*"),"?","~?")</f>
      </c>
      <c r="Q464" t="str">
        <f>SUBSTITUTE(SUBSTITUTE(SUBSTITUTE(SUBSTITUTE(SUBSTITUTE(SUBSTITUTE(SUBSTITUTE(SUBSTITUTE(TRIM(E464&amp;""),CHAR(160),"")," ",""),"초등학교","초"),"중학교","중"),"고등학교","고"),"~","~~"),"*","~*"),"?","~?")</f>
      </c>
      <c r="R464" t="str">
        <f>IF(COUNTA(B464:J464)=0,"",IF(AND(O464&lt;&gt;"",P464&lt;&gt;"",Q464&lt;&gt;""),"","입력누락"))</f>
      </c>
    </row>
    <row r="465" customFormat="false" ht="15" hidden="false" customHeight="false" outlineLevel="0" collapsed="false">
      <c r="A465" t="n" s="19">
        <f aca="0">IF(COUNTA(B465:J465)=0,"",ROW()-1)</f>
      </c>
      <c r="B465" s="24"/>
      <c r="C465" s="25"/>
      <c r="D465" s="8"/>
      <c r="E465" s="8"/>
      <c r="F465" s="26"/>
      <c r="G465" s="24"/>
      <c r="H465" s="25"/>
      <c r="I465" s="25"/>
      <c r="J465" s="26"/>
      <c r="K465" t="str" s="15">
        <f aca="0">IF(COUNTA(B465:J465)=0,"",IF(R465&lt;&gt;"","확인필요(입력누락)",IF(COUNTIFS(보유목록!$I$2:$I$3001,"*"&amp;P465&amp;"*",보유목록!$I$2:$I$3001,"*"&amp;Q465&amp;"*",보유목록!$H$2:$H$3001,O465)&gt;0,"있음",IF(COUNTIFS(보유목록!$I$2:$I$3001,"*"&amp;P465&amp;"*",보유목록!$I$2:$I$3001,"*"&amp;Q465&amp;"*")&gt;0,"확인필요(연도다름)",IF(COUNTIFS(보유목록!$I$2:$I$3001,"*"&amp;P465&amp;"*",보유목록!$H$2:$H$3001,O465)&gt;0,"확인필요(같은학교·같은연도)","없음")))))</f>
      </c>
      <c r="L465" t="str" s="16">
        <f aca="0">IF(OR(COUNTA(B465:J465)=0,R465&lt;&gt;""),"",COUNTIFS(보유목록!$I$2:$I$3001,"*"&amp;P465&amp;"*",보유목록!$I$2:$I$3001,"*"&amp;Q465&amp;"*"))</f>
      </c>
      <c r="M465" t="str" s="23">
        <f aca="0">IF(OR(COUNTA(B465:J465)=0,R465&lt;&gt;""),"",IFERROR(LOOKUP(2,1/(ISNUMBER(SEARCH(P465,보유목록!$I$2:$I$3001))*ISNUMBER(SEARCH(Q465,보유목록!$I$2:$I$3001))*(보유목록!$H$2:$H$3001=O465)),보유목록!$B$2:$B$3001),IFERROR(LOOKUP(2,1/(ISNUMBER(SEARCH(P465,보유목록!$I$2:$I$3001))*ISNUMBER(SEARCH(Q465,보유목록!$I$2:$I$3001))),보유목록!$B$2:$B$3001),"")))</f>
      </c>
      <c r="N465" s="25"/>
      <c r="O465" t="str">
        <f>IFERROR(IF(AND(LEN(SUBSTITUTE(SUBSTITUTE(SUBSTITUTE(TRIM(C465&amp;""),CHAR(160),"")," ",""),"년",""))=4,VALUE(SUBSTITUTE(SUBSTITUTE(SUBSTITUTE(TRIM(C465&amp;""),CHAR(160),"")," ",""),"년",""))&gt;=1900,VALUE(SUBSTITUTE(SUBSTITUTE(SUBSTITUTE(TRIM(C465&amp;""),CHAR(160),"")," ",""),"년",""))&lt;=2099,TEXT(VALUE(SUBSTITUTE(SUBSTITUTE(SUBSTITUTE(TRIM(C465&amp;""),CHAR(160),"")," ",""),"년","")),"0000")=SUBSTITUTE(SUBSTITUTE(SUBSTITUTE(TRIM(C465&amp;""),CHAR(160),"")," ",""),"년","")),SUBSTITUTE(SUBSTITUTE(SUBSTITUTE(TRIM(C465&amp;""),CHAR(160),"")," ",""),"년",""),""),"")</f>
      </c>
      <c r="P465" t="str">
        <f>SUBSTITUTE(SUBSTITUTE(SUBSTITUTE(SUBSTITUTE(SUBSTITUTE(SUBSTITUTE(SUBSTITUTE(SUBSTITUTE(TRIM(D465&amp;""),CHAR(160),"")," ",""),"초등학교","초"),"중학교","중"),"고등학교","고"),"~","~~"),"*","~*"),"?","~?")</f>
      </c>
      <c r="Q465" t="str">
        <f>SUBSTITUTE(SUBSTITUTE(SUBSTITUTE(SUBSTITUTE(SUBSTITUTE(SUBSTITUTE(SUBSTITUTE(SUBSTITUTE(TRIM(E465&amp;""),CHAR(160),"")," ",""),"초등학교","초"),"중학교","중"),"고등학교","고"),"~","~~"),"*","~*"),"?","~?")</f>
      </c>
      <c r="R465" t="str">
        <f>IF(COUNTA(B465:J465)=0,"",IF(AND(O465&lt;&gt;"",P465&lt;&gt;"",Q465&lt;&gt;""),"","입력누락"))</f>
      </c>
    </row>
    <row r="466" customFormat="false" ht="15" hidden="false" customHeight="false" outlineLevel="0" collapsed="false">
      <c r="A466" t="n" s="19">
        <f aca="0">IF(COUNTA(B466:J466)=0,"",ROW()-1)</f>
      </c>
      <c r="B466" s="24"/>
      <c r="C466" s="25"/>
      <c r="D466" s="8"/>
      <c r="E466" s="8"/>
      <c r="F466" s="26"/>
      <c r="G466" s="24"/>
      <c r="H466" s="25"/>
      <c r="I466" s="25"/>
      <c r="J466" s="26"/>
      <c r="K466" t="str" s="15">
        <f aca="0">IF(COUNTA(B466:J466)=0,"",IF(R466&lt;&gt;"","확인필요(입력누락)",IF(COUNTIFS(보유목록!$I$2:$I$3001,"*"&amp;P466&amp;"*",보유목록!$I$2:$I$3001,"*"&amp;Q466&amp;"*",보유목록!$H$2:$H$3001,O466)&gt;0,"있음",IF(COUNTIFS(보유목록!$I$2:$I$3001,"*"&amp;P466&amp;"*",보유목록!$I$2:$I$3001,"*"&amp;Q466&amp;"*")&gt;0,"확인필요(연도다름)",IF(COUNTIFS(보유목록!$I$2:$I$3001,"*"&amp;P466&amp;"*",보유목록!$H$2:$H$3001,O466)&gt;0,"확인필요(같은학교·같은연도)","없음")))))</f>
      </c>
      <c r="L466" t="str" s="16">
        <f aca="0">IF(OR(COUNTA(B466:J466)=0,R466&lt;&gt;""),"",COUNTIFS(보유목록!$I$2:$I$3001,"*"&amp;P466&amp;"*",보유목록!$I$2:$I$3001,"*"&amp;Q466&amp;"*"))</f>
      </c>
      <c r="M466" t="str" s="23">
        <f aca="0">IF(OR(COUNTA(B466:J466)=0,R466&lt;&gt;""),"",IFERROR(LOOKUP(2,1/(ISNUMBER(SEARCH(P466,보유목록!$I$2:$I$3001))*ISNUMBER(SEARCH(Q466,보유목록!$I$2:$I$3001))*(보유목록!$H$2:$H$3001=O466)),보유목록!$B$2:$B$3001),IFERROR(LOOKUP(2,1/(ISNUMBER(SEARCH(P466,보유목록!$I$2:$I$3001))*ISNUMBER(SEARCH(Q466,보유목록!$I$2:$I$3001))),보유목록!$B$2:$B$3001),"")))</f>
      </c>
      <c r="N466" s="25"/>
      <c r="O466" t="str">
        <f>IFERROR(IF(AND(LEN(SUBSTITUTE(SUBSTITUTE(SUBSTITUTE(TRIM(C466&amp;""),CHAR(160),"")," ",""),"년",""))=4,VALUE(SUBSTITUTE(SUBSTITUTE(SUBSTITUTE(TRIM(C466&amp;""),CHAR(160),"")," ",""),"년",""))&gt;=1900,VALUE(SUBSTITUTE(SUBSTITUTE(SUBSTITUTE(TRIM(C466&amp;""),CHAR(160),"")," ",""),"년",""))&lt;=2099,TEXT(VALUE(SUBSTITUTE(SUBSTITUTE(SUBSTITUTE(TRIM(C466&amp;""),CHAR(160),"")," ",""),"년","")),"0000")=SUBSTITUTE(SUBSTITUTE(SUBSTITUTE(TRIM(C466&amp;""),CHAR(160),"")," ",""),"년","")),SUBSTITUTE(SUBSTITUTE(SUBSTITUTE(TRIM(C466&amp;""),CHAR(160),"")," ",""),"년",""),""),"")</f>
      </c>
      <c r="P466" t="str">
        <f>SUBSTITUTE(SUBSTITUTE(SUBSTITUTE(SUBSTITUTE(SUBSTITUTE(SUBSTITUTE(SUBSTITUTE(SUBSTITUTE(TRIM(D466&amp;""),CHAR(160),"")," ",""),"초등학교","초"),"중학교","중"),"고등학교","고"),"~","~~"),"*","~*"),"?","~?")</f>
      </c>
      <c r="Q466" t="str">
        <f>SUBSTITUTE(SUBSTITUTE(SUBSTITUTE(SUBSTITUTE(SUBSTITUTE(SUBSTITUTE(SUBSTITUTE(SUBSTITUTE(TRIM(E466&amp;""),CHAR(160),"")," ",""),"초등학교","초"),"중학교","중"),"고등학교","고"),"~","~~"),"*","~*"),"?","~?")</f>
      </c>
      <c r="R466" t="str">
        <f>IF(COUNTA(B466:J466)=0,"",IF(AND(O466&lt;&gt;"",P466&lt;&gt;"",Q466&lt;&gt;""),"","입력누락"))</f>
      </c>
    </row>
    <row r="467" customFormat="false" ht="15" hidden="false" customHeight="false" outlineLevel="0" collapsed="false">
      <c r="A467" t="n" s="19">
        <f aca="0">IF(COUNTA(B467:J467)=0,"",ROW()-1)</f>
      </c>
      <c r="B467" s="24"/>
      <c r="C467" s="25"/>
      <c r="D467" s="8"/>
      <c r="E467" s="8"/>
      <c r="F467" s="26"/>
      <c r="G467" s="24"/>
      <c r="H467" s="25"/>
      <c r="I467" s="25"/>
      <c r="J467" s="26"/>
      <c r="K467" t="str" s="15">
        <f aca="0">IF(COUNTA(B467:J467)=0,"",IF(R467&lt;&gt;"","확인필요(입력누락)",IF(COUNTIFS(보유목록!$I$2:$I$3001,"*"&amp;P467&amp;"*",보유목록!$I$2:$I$3001,"*"&amp;Q467&amp;"*",보유목록!$H$2:$H$3001,O467)&gt;0,"있음",IF(COUNTIFS(보유목록!$I$2:$I$3001,"*"&amp;P467&amp;"*",보유목록!$I$2:$I$3001,"*"&amp;Q467&amp;"*")&gt;0,"확인필요(연도다름)",IF(COUNTIFS(보유목록!$I$2:$I$3001,"*"&amp;P467&amp;"*",보유목록!$H$2:$H$3001,O467)&gt;0,"확인필요(같은학교·같은연도)","없음")))))</f>
      </c>
      <c r="L467" t="str" s="16">
        <f aca="0">IF(OR(COUNTA(B467:J467)=0,R467&lt;&gt;""),"",COUNTIFS(보유목록!$I$2:$I$3001,"*"&amp;P467&amp;"*",보유목록!$I$2:$I$3001,"*"&amp;Q467&amp;"*"))</f>
      </c>
      <c r="M467" t="str" s="23">
        <f aca="0">IF(OR(COUNTA(B467:J467)=0,R467&lt;&gt;""),"",IFERROR(LOOKUP(2,1/(ISNUMBER(SEARCH(P467,보유목록!$I$2:$I$3001))*ISNUMBER(SEARCH(Q467,보유목록!$I$2:$I$3001))*(보유목록!$H$2:$H$3001=O467)),보유목록!$B$2:$B$3001),IFERROR(LOOKUP(2,1/(ISNUMBER(SEARCH(P467,보유목록!$I$2:$I$3001))*ISNUMBER(SEARCH(Q467,보유목록!$I$2:$I$3001))),보유목록!$B$2:$B$3001),"")))</f>
      </c>
      <c r="N467" s="25"/>
      <c r="O467" t="str">
        <f>IFERROR(IF(AND(LEN(SUBSTITUTE(SUBSTITUTE(SUBSTITUTE(TRIM(C467&amp;""),CHAR(160),"")," ",""),"년",""))=4,VALUE(SUBSTITUTE(SUBSTITUTE(SUBSTITUTE(TRIM(C467&amp;""),CHAR(160),"")," ",""),"년",""))&gt;=1900,VALUE(SUBSTITUTE(SUBSTITUTE(SUBSTITUTE(TRIM(C467&amp;""),CHAR(160),"")," ",""),"년",""))&lt;=2099,TEXT(VALUE(SUBSTITUTE(SUBSTITUTE(SUBSTITUTE(TRIM(C467&amp;""),CHAR(160),"")," ",""),"년","")),"0000")=SUBSTITUTE(SUBSTITUTE(SUBSTITUTE(TRIM(C467&amp;""),CHAR(160),"")," ",""),"년","")),SUBSTITUTE(SUBSTITUTE(SUBSTITUTE(TRIM(C467&amp;""),CHAR(160),"")," ",""),"년",""),""),"")</f>
      </c>
      <c r="P467" t="str">
        <f>SUBSTITUTE(SUBSTITUTE(SUBSTITUTE(SUBSTITUTE(SUBSTITUTE(SUBSTITUTE(SUBSTITUTE(SUBSTITUTE(TRIM(D467&amp;""),CHAR(160),"")," ",""),"초등학교","초"),"중학교","중"),"고등학교","고"),"~","~~"),"*","~*"),"?","~?")</f>
      </c>
      <c r="Q467" t="str">
        <f>SUBSTITUTE(SUBSTITUTE(SUBSTITUTE(SUBSTITUTE(SUBSTITUTE(SUBSTITUTE(SUBSTITUTE(SUBSTITUTE(TRIM(E467&amp;""),CHAR(160),"")," ",""),"초등학교","초"),"중학교","중"),"고등학교","고"),"~","~~"),"*","~*"),"?","~?")</f>
      </c>
      <c r="R467" t="str">
        <f>IF(COUNTA(B467:J467)=0,"",IF(AND(O467&lt;&gt;"",P467&lt;&gt;"",Q467&lt;&gt;""),"","입력누락"))</f>
      </c>
    </row>
    <row r="468" customFormat="false" ht="15" hidden="false" customHeight="false" outlineLevel="0" collapsed="false">
      <c r="A468" t="n" s="19">
        <f aca="0">IF(COUNTA(B468:J468)=0,"",ROW()-1)</f>
      </c>
      <c r="B468" s="24"/>
      <c r="C468" s="25"/>
      <c r="D468" s="8"/>
      <c r="E468" s="8"/>
      <c r="F468" s="26"/>
      <c r="G468" s="24"/>
      <c r="H468" s="25"/>
      <c r="I468" s="25"/>
      <c r="J468" s="26"/>
      <c r="K468" t="str" s="15">
        <f aca="0">IF(COUNTA(B468:J468)=0,"",IF(R468&lt;&gt;"","확인필요(입력누락)",IF(COUNTIFS(보유목록!$I$2:$I$3001,"*"&amp;P468&amp;"*",보유목록!$I$2:$I$3001,"*"&amp;Q468&amp;"*",보유목록!$H$2:$H$3001,O468)&gt;0,"있음",IF(COUNTIFS(보유목록!$I$2:$I$3001,"*"&amp;P468&amp;"*",보유목록!$I$2:$I$3001,"*"&amp;Q468&amp;"*")&gt;0,"확인필요(연도다름)",IF(COUNTIFS(보유목록!$I$2:$I$3001,"*"&amp;P468&amp;"*",보유목록!$H$2:$H$3001,O468)&gt;0,"확인필요(같은학교·같은연도)","없음")))))</f>
      </c>
      <c r="L468" t="str" s="16">
        <f aca="0">IF(OR(COUNTA(B468:J468)=0,R468&lt;&gt;""),"",COUNTIFS(보유목록!$I$2:$I$3001,"*"&amp;P468&amp;"*",보유목록!$I$2:$I$3001,"*"&amp;Q468&amp;"*"))</f>
      </c>
      <c r="M468" t="str" s="23">
        <f aca="0">IF(OR(COUNTA(B468:J468)=0,R468&lt;&gt;""),"",IFERROR(LOOKUP(2,1/(ISNUMBER(SEARCH(P468,보유목록!$I$2:$I$3001))*ISNUMBER(SEARCH(Q468,보유목록!$I$2:$I$3001))*(보유목록!$H$2:$H$3001=O468)),보유목록!$B$2:$B$3001),IFERROR(LOOKUP(2,1/(ISNUMBER(SEARCH(P468,보유목록!$I$2:$I$3001))*ISNUMBER(SEARCH(Q468,보유목록!$I$2:$I$3001))),보유목록!$B$2:$B$3001),"")))</f>
      </c>
      <c r="N468" s="25"/>
      <c r="O468" t="str">
        <f>IFERROR(IF(AND(LEN(SUBSTITUTE(SUBSTITUTE(SUBSTITUTE(TRIM(C468&amp;""),CHAR(160),"")," ",""),"년",""))=4,VALUE(SUBSTITUTE(SUBSTITUTE(SUBSTITUTE(TRIM(C468&amp;""),CHAR(160),"")," ",""),"년",""))&gt;=1900,VALUE(SUBSTITUTE(SUBSTITUTE(SUBSTITUTE(TRIM(C468&amp;""),CHAR(160),"")," ",""),"년",""))&lt;=2099,TEXT(VALUE(SUBSTITUTE(SUBSTITUTE(SUBSTITUTE(TRIM(C468&amp;""),CHAR(160),"")," ",""),"년","")),"0000")=SUBSTITUTE(SUBSTITUTE(SUBSTITUTE(TRIM(C468&amp;""),CHAR(160),"")," ",""),"년","")),SUBSTITUTE(SUBSTITUTE(SUBSTITUTE(TRIM(C468&amp;""),CHAR(160),"")," ",""),"년",""),""),"")</f>
      </c>
      <c r="P468" t="str">
        <f>SUBSTITUTE(SUBSTITUTE(SUBSTITUTE(SUBSTITUTE(SUBSTITUTE(SUBSTITUTE(SUBSTITUTE(SUBSTITUTE(TRIM(D468&amp;""),CHAR(160),"")," ",""),"초등학교","초"),"중학교","중"),"고등학교","고"),"~","~~"),"*","~*"),"?","~?")</f>
      </c>
      <c r="Q468" t="str">
        <f>SUBSTITUTE(SUBSTITUTE(SUBSTITUTE(SUBSTITUTE(SUBSTITUTE(SUBSTITUTE(SUBSTITUTE(SUBSTITUTE(TRIM(E468&amp;""),CHAR(160),"")," ",""),"초등학교","초"),"중학교","중"),"고등학교","고"),"~","~~"),"*","~*"),"?","~?")</f>
      </c>
      <c r="R468" t="str">
        <f>IF(COUNTA(B468:J468)=0,"",IF(AND(O468&lt;&gt;"",P468&lt;&gt;"",Q468&lt;&gt;""),"","입력누락"))</f>
      </c>
    </row>
    <row r="469" customFormat="false" ht="15" hidden="false" customHeight="false" outlineLevel="0" collapsed="false">
      <c r="A469" t="n" s="19">
        <f aca="0">IF(COUNTA(B469:J469)=0,"",ROW()-1)</f>
      </c>
      <c r="B469" s="24"/>
      <c r="C469" s="25"/>
      <c r="D469" s="8"/>
      <c r="E469" s="8"/>
      <c r="F469" s="26"/>
      <c r="G469" s="24"/>
      <c r="H469" s="25"/>
      <c r="I469" s="25"/>
      <c r="J469" s="26"/>
      <c r="K469" t="str" s="15">
        <f aca="0">IF(COUNTA(B469:J469)=0,"",IF(R469&lt;&gt;"","확인필요(입력누락)",IF(COUNTIFS(보유목록!$I$2:$I$3001,"*"&amp;P469&amp;"*",보유목록!$I$2:$I$3001,"*"&amp;Q469&amp;"*",보유목록!$H$2:$H$3001,O469)&gt;0,"있음",IF(COUNTIFS(보유목록!$I$2:$I$3001,"*"&amp;P469&amp;"*",보유목록!$I$2:$I$3001,"*"&amp;Q469&amp;"*")&gt;0,"확인필요(연도다름)",IF(COUNTIFS(보유목록!$I$2:$I$3001,"*"&amp;P469&amp;"*",보유목록!$H$2:$H$3001,O469)&gt;0,"확인필요(같은학교·같은연도)","없음")))))</f>
      </c>
      <c r="L469" t="str" s="16">
        <f aca="0">IF(OR(COUNTA(B469:J469)=0,R469&lt;&gt;""),"",COUNTIFS(보유목록!$I$2:$I$3001,"*"&amp;P469&amp;"*",보유목록!$I$2:$I$3001,"*"&amp;Q469&amp;"*"))</f>
      </c>
      <c r="M469" t="str" s="23">
        <f aca="0">IF(OR(COUNTA(B469:J469)=0,R469&lt;&gt;""),"",IFERROR(LOOKUP(2,1/(ISNUMBER(SEARCH(P469,보유목록!$I$2:$I$3001))*ISNUMBER(SEARCH(Q469,보유목록!$I$2:$I$3001))*(보유목록!$H$2:$H$3001=O469)),보유목록!$B$2:$B$3001),IFERROR(LOOKUP(2,1/(ISNUMBER(SEARCH(P469,보유목록!$I$2:$I$3001))*ISNUMBER(SEARCH(Q469,보유목록!$I$2:$I$3001))),보유목록!$B$2:$B$3001),"")))</f>
      </c>
      <c r="N469" s="25"/>
      <c r="O469" t="str">
        <f>IFERROR(IF(AND(LEN(SUBSTITUTE(SUBSTITUTE(SUBSTITUTE(TRIM(C469&amp;""),CHAR(160),"")," ",""),"년",""))=4,VALUE(SUBSTITUTE(SUBSTITUTE(SUBSTITUTE(TRIM(C469&amp;""),CHAR(160),"")," ",""),"년",""))&gt;=1900,VALUE(SUBSTITUTE(SUBSTITUTE(SUBSTITUTE(TRIM(C469&amp;""),CHAR(160),"")," ",""),"년",""))&lt;=2099,TEXT(VALUE(SUBSTITUTE(SUBSTITUTE(SUBSTITUTE(TRIM(C469&amp;""),CHAR(160),"")," ",""),"년","")),"0000")=SUBSTITUTE(SUBSTITUTE(SUBSTITUTE(TRIM(C469&amp;""),CHAR(160),"")," ",""),"년","")),SUBSTITUTE(SUBSTITUTE(SUBSTITUTE(TRIM(C469&amp;""),CHAR(160),"")," ",""),"년",""),""),"")</f>
      </c>
      <c r="P469" t="str">
        <f>SUBSTITUTE(SUBSTITUTE(SUBSTITUTE(SUBSTITUTE(SUBSTITUTE(SUBSTITUTE(SUBSTITUTE(SUBSTITUTE(TRIM(D469&amp;""),CHAR(160),"")," ",""),"초등학교","초"),"중학교","중"),"고등학교","고"),"~","~~"),"*","~*"),"?","~?")</f>
      </c>
      <c r="Q469" t="str">
        <f>SUBSTITUTE(SUBSTITUTE(SUBSTITUTE(SUBSTITUTE(SUBSTITUTE(SUBSTITUTE(SUBSTITUTE(SUBSTITUTE(TRIM(E469&amp;""),CHAR(160),"")," ",""),"초등학교","초"),"중학교","중"),"고등학교","고"),"~","~~"),"*","~*"),"?","~?")</f>
      </c>
      <c r="R469" t="str">
        <f>IF(COUNTA(B469:J469)=0,"",IF(AND(O469&lt;&gt;"",P469&lt;&gt;"",Q469&lt;&gt;""),"","입력누락"))</f>
      </c>
    </row>
    <row r="470" customFormat="false" ht="15" hidden="false" customHeight="false" outlineLevel="0" collapsed="false">
      <c r="A470" t="n" s="19">
        <f aca="0">IF(COUNTA(B470:J470)=0,"",ROW()-1)</f>
      </c>
      <c r="B470" s="24"/>
      <c r="C470" s="25"/>
      <c r="D470" s="8"/>
      <c r="E470" s="8"/>
      <c r="F470" s="26"/>
      <c r="G470" s="24"/>
      <c r="H470" s="25"/>
      <c r="I470" s="25"/>
      <c r="J470" s="26"/>
      <c r="K470" t="str" s="15">
        <f aca="0">IF(COUNTA(B470:J470)=0,"",IF(R470&lt;&gt;"","확인필요(입력누락)",IF(COUNTIFS(보유목록!$I$2:$I$3001,"*"&amp;P470&amp;"*",보유목록!$I$2:$I$3001,"*"&amp;Q470&amp;"*",보유목록!$H$2:$H$3001,O470)&gt;0,"있음",IF(COUNTIFS(보유목록!$I$2:$I$3001,"*"&amp;P470&amp;"*",보유목록!$I$2:$I$3001,"*"&amp;Q470&amp;"*")&gt;0,"확인필요(연도다름)",IF(COUNTIFS(보유목록!$I$2:$I$3001,"*"&amp;P470&amp;"*",보유목록!$H$2:$H$3001,O470)&gt;0,"확인필요(같은학교·같은연도)","없음")))))</f>
      </c>
      <c r="L470" t="str" s="16">
        <f aca="0">IF(OR(COUNTA(B470:J470)=0,R470&lt;&gt;""),"",COUNTIFS(보유목록!$I$2:$I$3001,"*"&amp;P470&amp;"*",보유목록!$I$2:$I$3001,"*"&amp;Q470&amp;"*"))</f>
      </c>
      <c r="M470" t="str" s="23">
        <f aca="0">IF(OR(COUNTA(B470:J470)=0,R470&lt;&gt;""),"",IFERROR(LOOKUP(2,1/(ISNUMBER(SEARCH(P470,보유목록!$I$2:$I$3001))*ISNUMBER(SEARCH(Q470,보유목록!$I$2:$I$3001))*(보유목록!$H$2:$H$3001=O470)),보유목록!$B$2:$B$3001),IFERROR(LOOKUP(2,1/(ISNUMBER(SEARCH(P470,보유목록!$I$2:$I$3001))*ISNUMBER(SEARCH(Q470,보유목록!$I$2:$I$3001))),보유목록!$B$2:$B$3001),"")))</f>
      </c>
      <c r="N470" s="25"/>
      <c r="O470" t="str">
        <f>IFERROR(IF(AND(LEN(SUBSTITUTE(SUBSTITUTE(SUBSTITUTE(TRIM(C470&amp;""),CHAR(160),"")," ",""),"년",""))=4,VALUE(SUBSTITUTE(SUBSTITUTE(SUBSTITUTE(TRIM(C470&amp;""),CHAR(160),"")," ",""),"년",""))&gt;=1900,VALUE(SUBSTITUTE(SUBSTITUTE(SUBSTITUTE(TRIM(C470&amp;""),CHAR(160),"")," ",""),"년",""))&lt;=2099,TEXT(VALUE(SUBSTITUTE(SUBSTITUTE(SUBSTITUTE(TRIM(C470&amp;""),CHAR(160),"")," ",""),"년","")),"0000")=SUBSTITUTE(SUBSTITUTE(SUBSTITUTE(TRIM(C470&amp;""),CHAR(160),"")," ",""),"년","")),SUBSTITUTE(SUBSTITUTE(SUBSTITUTE(TRIM(C470&amp;""),CHAR(160),"")," ",""),"년",""),""),"")</f>
      </c>
      <c r="P470" t="str">
        <f>SUBSTITUTE(SUBSTITUTE(SUBSTITUTE(SUBSTITUTE(SUBSTITUTE(SUBSTITUTE(SUBSTITUTE(SUBSTITUTE(TRIM(D470&amp;""),CHAR(160),"")," ",""),"초등학교","초"),"중학교","중"),"고등학교","고"),"~","~~"),"*","~*"),"?","~?")</f>
      </c>
      <c r="Q470" t="str">
        <f>SUBSTITUTE(SUBSTITUTE(SUBSTITUTE(SUBSTITUTE(SUBSTITUTE(SUBSTITUTE(SUBSTITUTE(SUBSTITUTE(TRIM(E470&amp;""),CHAR(160),"")," ",""),"초등학교","초"),"중학교","중"),"고등학교","고"),"~","~~"),"*","~*"),"?","~?")</f>
      </c>
      <c r="R470" t="str">
        <f>IF(COUNTA(B470:J470)=0,"",IF(AND(O470&lt;&gt;"",P470&lt;&gt;"",Q470&lt;&gt;""),"","입력누락"))</f>
      </c>
    </row>
    <row r="471" customFormat="false" ht="15" hidden="false" customHeight="false" outlineLevel="0" collapsed="false">
      <c r="A471" t="n" s="19">
        <f aca="0">IF(COUNTA(B471:J471)=0,"",ROW()-1)</f>
      </c>
      <c r="B471" s="24"/>
      <c r="C471" s="25"/>
      <c r="D471" s="8"/>
      <c r="E471" s="8"/>
      <c r="F471" s="26"/>
      <c r="G471" s="24"/>
      <c r="H471" s="25"/>
      <c r="I471" s="25"/>
      <c r="J471" s="26"/>
      <c r="K471" t="str" s="15">
        <f aca="0">IF(COUNTA(B471:J471)=0,"",IF(R471&lt;&gt;"","확인필요(입력누락)",IF(COUNTIFS(보유목록!$I$2:$I$3001,"*"&amp;P471&amp;"*",보유목록!$I$2:$I$3001,"*"&amp;Q471&amp;"*",보유목록!$H$2:$H$3001,O471)&gt;0,"있음",IF(COUNTIFS(보유목록!$I$2:$I$3001,"*"&amp;P471&amp;"*",보유목록!$I$2:$I$3001,"*"&amp;Q471&amp;"*")&gt;0,"확인필요(연도다름)",IF(COUNTIFS(보유목록!$I$2:$I$3001,"*"&amp;P471&amp;"*",보유목록!$H$2:$H$3001,O471)&gt;0,"확인필요(같은학교·같은연도)","없음")))))</f>
      </c>
      <c r="L471" t="str" s="16">
        <f aca="0">IF(OR(COUNTA(B471:J471)=0,R471&lt;&gt;""),"",COUNTIFS(보유목록!$I$2:$I$3001,"*"&amp;P471&amp;"*",보유목록!$I$2:$I$3001,"*"&amp;Q471&amp;"*"))</f>
      </c>
      <c r="M471" t="str" s="23">
        <f aca="0">IF(OR(COUNTA(B471:J471)=0,R471&lt;&gt;""),"",IFERROR(LOOKUP(2,1/(ISNUMBER(SEARCH(P471,보유목록!$I$2:$I$3001))*ISNUMBER(SEARCH(Q471,보유목록!$I$2:$I$3001))*(보유목록!$H$2:$H$3001=O471)),보유목록!$B$2:$B$3001),IFERROR(LOOKUP(2,1/(ISNUMBER(SEARCH(P471,보유목록!$I$2:$I$3001))*ISNUMBER(SEARCH(Q471,보유목록!$I$2:$I$3001))),보유목록!$B$2:$B$3001),"")))</f>
      </c>
      <c r="N471" s="25"/>
      <c r="O471" t="str">
        <f>IFERROR(IF(AND(LEN(SUBSTITUTE(SUBSTITUTE(SUBSTITUTE(TRIM(C471&amp;""),CHAR(160),"")," ",""),"년",""))=4,VALUE(SUBSTITUTE(SUBSTITUTE(SUBSTITUTE(TRIM(C471&amp;""),CHAR(160),"")," ",""),"년",""))&gt;=1900,VALUE(SUBSTITUTE(SUBSTITUTE(SUBSTITUTE(TRIM(C471&amp;""),CHAR(160),"")," ",""),"년",""))&lt;=2099,TEXT(VALUE(SUBSTITUTE(SUBSTITUTE(SUBSTITUTE(TRIM(C471&amp;""),CHAR(160),"")," ",""),"년","")),"0000")=SUBSTITUTE(SUBSTITUTE(SUBSTITUTE(TRIM(C471&amp;""),CHAR(160),"")," ",""),"년","")),SUBSTITUTE(SUBSTITUTE(SUBSTITUTE(TRIM(C471&amp;""),CHAR(160),"")," ",""),"년",""),""),"")</f>
      </c>
      <c r="P471" t="str">
        <f>SUBSTITUTE(SUBSTITUTE(SUBSTITUTE(SUBSTITUTE(SUBSTITUTE(SUBSTITUTE(SUBSTITUTE(SUBSTITUTE(TRIM(D471&amp;""),CHAR(160),"")," ",""),"초등학교","초"),"중학교","중"),"고등학교","고"),"~","~~"),"*","~*"),"?","~?")</f>
      </c>
      <c r="Q471" t="str">
        <f>SUBSTITUTE(SUBSTITUTE(SUBSTITUTE(SUBSTITUTE(SUBSTITUTE(SUBSTITUTE(SUBSTITUTE(SUBSTITUTE(TRIM(E471&amp;""),CHAR(160),"")," ",""),"초등학교","초"),"중학교","중"),"고등학교","고"),"~","~~"),"*","~*"),"?","~?")</f>
      </c>
      <c r="R471" t="str">
        <f>IF(COUNTA(B471:J471)=0,"",IF(AND(O471&lt;&gt;"",P471&lt;&gt;"",Q471&lt;&gt;""),"","입력누락"))</f>
      </c>
    </row>
    <row r="472" customFormat="false" ht="15" hidden="false" customHeight="false" outlineLevel="0" collapsed="false">
      <c r="A472" t="n" s="19">
        <f aca="0">IF(COUNTA(B472:J472)=0,"",ROW()-1)</f>
      </c>
      <c r="B472" s="24"/>
      <c r="C472" s="25"/>
      <c r="D472" s="8"/>
      <c r="E472" s="8"/>
      <c r="F472" s="26"/>
      <c r="G472" s="24"/>
      <c r="H472" s="25"/>
      <c r="I472" s="25"/>
      <c r="J472" s="26"/>
      <c r="K472" t="str" s="15">
        <f aca="0">IF(COUNTA(B472:J472)=0,"",IF(R472&lt;&gt;"","확인필요(입력누락)",IF(COUNTIFS(보유목록!$I$2:$I$3001,"*"&amp;P472&amp;"*",보유목록!$I$2:$I$3001,"*"&amp;Q472&amp;"*",보유목록!$H$2:$H$3001,O472)&gt;0,"있음",IF(COUNTIFS(보유목록!$I$2:$I$3001,"*"&amp;P472&amp;"*",보유목록!$I$2:$I$3001,"*"&amp;Q472&amp;"*")&gt;0,"확인필요(연도다름)",IF(COUNTIFS(보유목록!$I$2:$I$3001,"*"&amp;P472&amp;"*",보유목록!$H$2:$H$3001,O472)&gt;0,"확인필요(같은학교·같은연도)","없음")))))</f>
      </c>
      <c r="L472" t="str" s="16">
        <f aca="0">IF(OR(COUNTA(B472:J472)=0,R472&lt;&gt;""),"",COUNTIFS(보유목록!$I$2:$I$3001,"*"&amp;P472&amp;"*",보유목록!$I$2:$I$3001,"*"&amp;Q472&amp;"*"))</f>
      </c>
      <c r="M472" t="str" s="23">
        <f aca="0">IF(OR(COUNTA(B472:J472)=0,R472&lt;&gt;""),"",IFERROR(LOOKUP(2,1/(ISNUMBER(SEARCH(P472,보유목록!$I$2:$I$3001))*ISNUMBER(SEARCH(Q472,보유목록!$I$2:$I$3001))*(보유목록!$H$2:$H$3001=O472)),보유목록!$B$2:$B$3001),IFERROR(LOOKUP(2,1/(ISNUMBER(SEARCH(P472,보유목록!$I$2:$I$3001))*ISNUMBER(SEARCH(Q472,보유목록!$I$2:$I$3001))),보유목록!$B$2:$B$3001),"")))</f>
      </c>
      <c r="N472" s="25"/>
      <c r="O472" t="str">
        <f>IFERROR(IF(AND(LEN(SUBSTITUTE(SUBSTITUTE(SUBSTITUTE(TRIM(C472&amp;""),CHAR(160),"")," ",""),"년",""))=4,VALUE(SUBSTITUTE(SUBSTITUTE(SUBSTITUTE(TRIM(C472&amp;""),CHAR(160),"")," ",""),"년",""))&gt;=1900,VALUE(SUBSTITUTE(SUBSTITUTE(SUBSTITUTE(TRIM(C472&amp;""),CHAR(160),"")," ",""),"년",""))&lt;=2099,TEXT(VALUE(SUBSTITUTE(SUBSTITUTE(SUBSTITUTE(TRIM(C472&amp;""),CHAR(160),"")," ",""),"년","")),"0000")=SUBSTITUTE(SUBSTITUTE(SUBSTITUTE(TRIM(C472&amp;""),CHAR(160),"")," ",""),"년","")),SUBSTITUTE(SUBSTITUTE(SUBSTITUTE(TRIM(C472&amp;""),CHAR(160),"")," ",""),"년",""),""),"")</f>
      </c>
      <c r="P472" t="str">
        <f>SUBSTITUTE(SUBSTITUTE(SUBSTITUTE(SUBSTITUTE(SUBSTITUTE(SUBSTITUTE(SUBSTITUTE(SUBSTITUTE(TRIM(D472&amp;""),CHAR(160),"")," ",""),"초등학교","초"),"중학교","중"),"고등학교","고"),"~","~~"),"*","~*"),"?","~?")</f>
      </c>
      <c r="Q472" t="str">
        <f>SUBSTITUTE(SUBSTITUTE(SUBSTITUTE(SUBSTITUTE(SUBSTITUTE(SUBSTITUTE(SUBSTITUTE(SUBSTITUTE(TRIM(E472&amp;""),CHAR(160),"")," ",""),"초등학교","초"),"중학교","중"),"고등학교","고"),"~","~~"),"*","~*"),"?","~?")</f>
      </c>
      <c r="R472" t="str">
        <f>IF(COUNTA(B472:J472)=0,"",IF(AND(O472&lt;&gt;"",P472&lt;&gt;"",Q472&lt;&gt;""),"","입력누락"))</f>
      </c>
    </row>
    <row r="473" customFormat="false" ht="15" hidden="false" customHeight="false" outlineLevel="0" collapsed="false">
      <c r="A473" t="n" s="19">
        <f aca="0">IF(COUNTA(B473:J473)=0,"",ROW()-1)</f>
      </c>
      <c r="B473" s="24"/>
      <c r="C473" s="25"/>
      <c r="D473" s="8"/>
      <c r="E473" s="8"/>
      <c r="F473" s="26"/>
      <c r="G473" s="24"/>
      <c r="H473" s="25"/>
      <c r="I473" s="25"/>
      <c r="J473" s="26"/>
      <c r="K473" t="str" s="15">
        <f aca="0">IF(COUNTA(B473:J473)=0,"",IF(R473&lt;&gt;"","확인필요(입력누락)",IF(COUNTIFS(보유목록!$I$2:$I$3001,"*"&amp;P473&amp;"*",보유목록!$I$2:$I$3001,"*"&amp;Q473&amp;"*",보유목록!$H$2:$H$3001,O473)&gt;0,"있음",IF(COUNTIFS(보유목록!$I$2:$I$3001,"*"&amp;P473&amp;"*",보유목록!$I$2:$I$3001,"*"&amp;Q473&amp;"*")&gt;0,"확인필요(연도다름)",IF(COUNTIFS(보유목록!$I$2:$I$3001,"*"&amp;P473&amp;"*",보유목록!$H$2:$H$3001,O473)&gt;0,"확인필요(같은학교·같은연도)","없음")))))</f>
      </c>
      <c r="L473" t="str" s="16">
        <f aca="0">IF(OR(COUNTA(B473:J473)=0,R473&lt;&gt;""),"",COUNTIFS(보유목록!$I$2:$I$3001,"*"&amp;P473&amp;"*",보유목록!$I$2:$I$3001,"*"&amp;Q473&amp;"*"))</f>
      </c>
      <c r="M473" t="str" s="23">
        <f aca="0">IF(OR(COUNTA(B473:J473)=0,R473&lt;&gt;""),"",IFERROR(LOOKUP(2,1/(ISNUMBER(SEARCH(P473,보유목록!$I$2:$I$3001))*ISNUMBER(SEARCH(Q473,보유목록!$I$2:$I$3001))*(보유목록!$H$2:$H$3001=O473)),보유목록!$B$2:$B$3001),IFERROR(LOOKUP(2,1/(ISNUMBER(SEARCH(P473,보유목록!$I$2:$I$3001))*ISNUMBER(SEARCH(Q473,보유목록!$I$2:$I$3001))),보유목록!$B$2:$B$3001),"")))</f>
      </c>
      <c r="N473" s="25"/>
      <c r="O473" t="str">
        <f>IFERROR(IF(AND(LEN(SUBSTITUTE(SUBSTITUTE(SUBSTITUTE(TRIM(C473&amp;""),CHAR(160),"")," ",""),"년",""))=4,VALUE(SUBSTITUTE(SUBSTITUTE(SUBSTITUTE(TRIM(C473&amp;""),CHAR(160),"")," ",""),"년",""))&gt;=1900,VALUE(SUBSTITUTE(SUBSTITUTE(SUBSTITUTE(TRIM(C473&amp;""),CHAR(160),"")," ",""),"년",""))&lt;=2099,TEXT(VALUE(SUBSTITUTE(SUBSTITUTE(SUBSTITUTE(TRIM(C473&amp;""),CHAR(160),"")," ",""),"년","")),"0000")=SUBSTITUTE(SUBSTITUTE(SUBSTITUTE(TRIM(C473&amp;""),CHAR(160),"")," ",""),"년","")),SUBSTITUTE(SUBSTITUTE(SUBSTITUTE(TRIM(C473&amp;""),CHAR(160),"")," ",""),"년",""),""),"")</f>
      </c>
      <c r="P473" t="str">
        <f>SUBSTITUTE(SUBSTITUTE(SUBSTITUTE(SUBSTITUTE(SUBSTITUTE(SUBSTITUTE(SUBSTITUTE(SUBSTITUTE(TRIM(D473&amp;""),CHAR(160),"")," ",""),"초등학교","초"),"중학교","중"),"고등학교","고"),"~","~~"),"*","~*"),"?","~?")</f>
      </c>
      <c r="Q473" t="str">
        <f>SUBSTITUTE(SUBSTITUTE(SUBSTITUTE(SUBSTITUTE(SUBSTITUTE(SUBSTITUTE(SUBSTITUTE(SUBSTITUTE(TRIM(E473&amp;""),CHAR(160),"")," ",""),"초등학교","초"),"중학교","중"),"고등학교","고"),"~","~~"),"*","~*"),"?","~?")</f>
      </c>
      <c r="R473" t="str">
        <f>IF(COUNTA(B473:J473)=0,"",IF(AND(O473&lt;&gt;"",P473&lt;&gt;"",Q473&lt;&gt;""),"","입력누락"))</f>
      </c>
    </row>
    <row r="474" customFormat="false" ht="15" hidden="false" customHeight="false" outlineLevel="0" collapsed="false">
      <c r="A474" t="n" s="19">
        <f aca="0">IF(COUNTA(B474:J474)=0,"",ROW()-1)</f>
      </c>
      <c r="B474" s="24"/>
      <c r="C474" s="25"/>
      <c r="D474" s="8"/>
      <c r="E474" s="8"/>
      <c r="F474" s="26"/>
      <c r="G474" s="24"/>
      <c r="H474" s="25"/>
      <c r="I474" s="25"/>
      <c r="J474" s="26"/>
      <c r="K474" t="str" s="15">
        <f aca="0">IF(COUNTA(B474:J474)=0,"",IF(R474&lt;&gt;"","확인필요(입력누락)",IF(COUNTIFS(보유목록!$I$2:$I$3001,"*"&amp;P474&amp;"*",보유목록!$I$2:$I$3001,"*"&amp;Q474&amp;"*",보유목록!$H$2:$H$3001,O474)&gt;0,"있음",IF(COUNTIFS(보유목록!$I$2:$I$3001,"*"&amp;P474&amp;"*",보유목록!$I$2:$I$3001,"*"&amp;Q474&amp;"*")&gt;0,"확인필요(연도다름)",IF(COUNTIFS(보유목록!$I$2:$I$3001,"*"&amp;P474&amp;"*",보유목록!$H$2:$H$3001,O474)&gt;0,"확인필요(같은학교·같은연도)","없음")))))</f>
      </c>
      <c r="L474" t="str" s="16">
        <f aca="0">IF(OR(COUNTA(B474:J474)=0,R474&lt;&gt;""),"",COUNTIFS(보유목록!$I$2:$I$3001,"*"&amp;P474&amp;"*",보유목록!$I$2:$I$3001,"*"&amp;Q474&amp;"*"))</f>
      </c>
      <c r="M474" t="str" s="23">
        <f aca="0">IF(OR(COUNTA(B474:J474)=0,R474&lt;&gt;""),"",IFERROR(LOOKUP(2,1/(ISNUMBER(SEARCH(P474,보유목록!$I$2:$I$3001))*ISNUMBER(SEARCH(Q474,보유목록!$I$2:$I$3001))*(보유목록!$H$2:$H$3001=O474)),보유목록!$B$2:$B$3001),IFERROR(LOOKUP(2,1/(ISNUMBER(SEARCH(P474,보유목록!$I$2:$I$3001))*ISNUMBER(SEARCH(Q474,보유목록!$I$2:$I$3001))),보유목록!$B$2:$B$3001),"")))</f>
      </c>
      <c r="N474" s="25"/>
      <c r="O474" t="str">
        <f>IFERROR(IF(AND(LEN(SUBSTITUTE(SUBSTITUTE(SUBSTITUTE(TRIM(C474&amp;""),CHAR(160),"")," ",""),"년",""))=4,VALUE(SUBSTITUTE(SUBSTITUTE(SUBSTITUTE(TRIM(C474&amp;""),CHAR(160),"")," ",""),"년",""))&gt;=1900,VALUE(SUBSTITUTE(SUBSTITUTE(SUBSTITUTE(TRIM(C474&amp;""),CHAR(160),"")," ",""),"년",""))&lt;=2099,TEXT(VALUE(SUBSTITUTE(SUBSTITUTE(SUBSTITUTE(TRIM(C474&amp;""),CHAR(160),"")," ",""),"년","")),"0000")=SUBSTITUTE(SUBSTITUTE(SUBSTITUTE(TRIM(C474&amp;""),CHAR(160),"")," ",""),"년","")),SUBSTITUTE(SUBSTITUTE(SUBSTITUTE(TRIM(C474&amp;""),CHAR(160),"")," ",""),"년",""),""),"")</f>
      </c>
      <c r="P474" t="str">
        <f>SUBSTITUTE(SUBSTITUTE(SUBSTITUTE(SUBSTITUTE(SUBSTITUTE(SUBSTITUTE(SUBSTITUTE(SUBSTITUTE(TRIM(D474&amp;""),CHAR(160),"")," ",""),"초등학교","초"),"중학교","중"),"고등학교","고"),"~","~~"),"*","~*"),"?","~?")</f>
      </c>
      <c r="Q474" t="str">
        <f>SUBSTITUTE(SUBSTITUTE(SUBSTITUTE(SUBSTITUTE(SUBSTITUTE(SUBSTITUTE(SUBSTITUTE(SUBSTITUTE(TRIM(E474&amp;""),CHAR(160),"")," ",""),"초등학교","초"),"중학교","중"),"고등학교","고"),"~","~~"),"*","~*"),"?","~?")</f>
      </c>
      <c r="R474" t="str">
        <f>IF(COUNTA(B474:J474)=0,"",IF(AND(O474&lt;&gt;"",P474&lt;&gt;"",Q474&lt;&gt;""),"","입력누락"))</f>
      </c>
    </row>
    <row r="475" customFormat="false" ht="15" hidden="false" customHeight="false" outlineLevel="0" collapsed="false">
      <c r="A475" t="n" s="19">
        <f aca="0">IF(COUNTA(B475:J475)=0,"",ROW()-1)</f>
      </c>
      <c r="B475" s="24"/>
      <c r="C475" s="25"/>
      <c r="D475" s="8"/>
      <c r="E475" s="8"/>
      <c r="F475" s="26"/>
      <c r="G475" s="24"/>
      <c r="H475" s="25"/>
      <c r="I475" s="25"/>
      <c r="J475" s="26"/>
      <c r="K475" t="str" s="15">
        <f aca="0">IF(COUNTA(B475:J475)=0,"",IF(R475&lt;&gt;"","확인필요(입력누락)",IF(COUNTIFS(보유목록!$I$2:$I$3001,"*"&amp;P475&amp;"*",보유목록!$I$2:$I$3001,"*"&amp;Q475&amp;"*",보유목록!$H$2:$H$3001,O475)&gt;0,"있음",IF(COUNTIFS(보유목록!$I$2:$I$3001,"*"&amp;P475&amp;"*",보유목록!$I$2:$I$3001,"*"&amp;Q475&amp;"*")&gt;0,"확인필요(연도다름)",IF(COUNTIFS(보유목록!$I$2:$I$3001,"*"&amp;P475&amp;"*",보유목록!$H$2:$H$3001,O475)&gt;0,"확인필요(같은학교·같은연도)","없음")))))</f>
      </c>
      <c r="L475" t="str" s="16">
        <f aca="0">IF(OR(COUNTA(B475:J475)=0,R475&lt;&gt;""),"",COUNTIFS(보유목록!$I$2:$I$3001,"*"&amp;P475&amp;"*",보유목록!$I$2:$I$3001,"*"&amp;Q475&amp;"*"))</f>
      </c>
      <c r="M475" t="str" s="23">
        <f aca="0">IF(OR(COUNTA(B475:J475)=0,R475&lt;&gt;""),"",IFERROR(LOOKUP(2,1/(ISNUMBER(SEARCH(P475,보유목록!$I$2:$I$3001))*ISNUMBER(SEARCH(Q475,보유목록!$I$2:$I$3001))*(보유목록!$H$2:$H$3001=O475)),보유목록!$B$2:$B$3001),IFERROR(LOOKUP(2,1/(ISNUMBER(SEARCH(P475,보유목록!$I$2:$I$3001))*ISNUMBER(SEARCH(Q475,보유목록!$I$2:$I$3001))),보유목록!$B$2:$B$3001),"")))</f>
      </c>
      <c r="N475" s="25"/>
      <c r="O475" t="str">
        <f>IFERROR(IF(AND(LEN(SUBSTITUTE(SUBSTITUTE(SUBSTITUTE(TRIM(C475&amp;""),CHAR(160),"")," ",""),"년",""))=4,VALUE(SUBSTITUTE(SUBSTITUTE(SUBSTITUTE(TRIM(C475&amp;""),CHAR(160),"")," ",""),"년",""))&gt;=1900,VALUE(SUBSTITUTE(SUBSTITUTE(SUBSTITUTE(TRIM(C475&amp;""),CHAR(160),"")," ",""),"년",""))&lt;=2099,TEXT(VALUE(SUBSTITUTE(SUBSTITUTE(SUBSTITUTE(TRIM(C475&amp;""),CHAR(160),"")," ",""),"년","")),"0000")=SUBSTITUTE(SUBSTITUTE(SUBSTITUTE(TRIM(C475&amp;""),CHAR(160),"")," ",""),"년","")),SUBSTITUTE(SUBSTITUTE(SUBSTITUTE(TRIM(C475&amp;""),CHAR(160),"")," ",""),"년",""),""),"")</f>
      </c>
      <c r="P475" t="str">
        <f>SUBSTITUTE(SUBSTITUTE(SUBSTITUTE(SUBSTITUTE(SUBSTITUTE(SUBSTITUTE(SUBSTITUTE(SUBSTITUTE(TRIM(D475&amp;""),CHAR(160),"")," ",""),"초등학교","초"),"중학교","중"),"고등학교","고"),"~","~~"),"*","~*"),"?","~?")</f>
      </c>
      <c r="Q475" t="str">
        <f>SUBSTITUTE(SUBSTITUTE(SUBSTITUTE(SUBSTITUTE(SUBSTITUTE(SUBSTITUTE(SUBSTITUTE(SUBSTITUTE(TRIM(E475&amp;""),CHAR(160),"")," ",""),"초등학교","초"),"중학교","중"),"고등학교","고"),"~","~~"),"*","~*"),"?","~?")</f>
      </c>
      <c r="R475" t="str">
        <f>IF(COUNTA(B475:J475)=0,"",IF(AND(O475&lt;&gt;"",P475&lt;&gt;"",Q475&lt;&gt;""),"","입력누락"))</f>
      </c>
    </row>
    <row r="476" customFormat="false" ht="15" hidden="false" customHeight="false" outlineLevel="0" collapsed="false">
      <c r="A476" t="n" s="19">
        <f aca="0">IF(COUNTA(B476:J476)=0,"",ROW()-1)</f>
      </c>
      <c r="B476" s="24"/>
      <c r="C476" s="25"/>
      <c r="D476" s="8"/>
      <c r="E476" s="8"/>
      <c r="F476" s="26"/>
      <c r="G476" s="24"/>
      <c r="H476" s="25"/>
      <c r="I476" s="25"/>
      <c r="J476" s="26"/>
      <c r="K476" t="str" s="15">
        <f aca="0">IF(COUNTA(B476:J476)=0,"",IF(R476&lt;&gt;"","확인필요(입력누락)",IF(COUNTIFS(보유목록!$I$2:$I$3001,"*"&amp;P476&amp;"*",보유목록!$I$2:$I$3001,"*"&amp;Q476&amp;"*",보유목록!$H$2:$H$3001,O476)&gt;0,"있음",IF(COUNTIFS(보유목록!$I$2:$I$3001,"*"&amp;P476&amp;"*",보유목록!$I$2:$I$3001,"*"&amp;Q476&amp;"*")&gt;0,"확인필요(연도다름)",IF(COUNTIFS(보유목록!$I$2:$I$3001,"*"&amp;P476&amp;"*",보유목록!$H$2:$H$3001,O476)&gt;0,"확인필요(같은학교·같은연도)","없음")))))</f>
      </c>
      <c r="L476" t="str" s="16">
        <f aca="0">IF(OR(COUNTA(B476:J476)=0,R476&lt;&gt;""),"",COUNTIFS(보유목록!$I$2:$I$3001,"*"&amp;P476&amp;"*",보유목록!$I$2:$I$3001,"*"&amp;Q476&amp;"*"))</f>
      </c>
      <c r="M476" t="str" s="23">
        <f aca="0">IF(OR(COUNTA(B476:J476)=0,R476&lt;&gt;""),"",IFERROR(LOOKUP(2,1/(ISNUMBER(SEARCH(P476,보유목록!$I$2:$I$3001))*ISNUMBER(SEARCH(Q476,보유목록!$I$2:$I$3001))*(보유목록!$H$2:$H$3001=O476)),보유목록!$B$2:$B$3001),IFERROR(LOOKUP(2,1/(ISNUMBER(SEARCH(P476,보유목록!$I$2:$I$3001))*ISNUMBER(SEARCH(Q476,보유목록!$I$2:$I$3001))),보유목록!$B$2:$B$3001),"")))</f>
      </c>
      <c r="N476" s="25"/>
      <c r="O476" t="str">
        <f>IFERROR(IF(AND(LEN(SUBSTITUTE(SUBSTITUTE(SUBSTITUTE(TRIM(C476&amp;""),CHAR(160),"")," ",""),"년",""))=4,VALUE(SUBSTITUTE(SUBSTITUTE(SUBSTITUTE(TRIM(C476&amp;""),CHAR(160),"")," ",""),"년",""))&gt;=1900,VALUE(SUBSTITUTE(SUBSTITUTE(SUBSTITUTE(TRIM(C476&amp;""),CHAR(160),"")," ",""),"년",""))&lt;=2099,TEXT(VALUE(SUBSTITUTE(SUBSTITUTE(SUBSTITUTE(TRIM(C476&amp;""),CHAR(160),"")," ",""),"년","")),"0000")=SUBSTITUTE(SUBSTITUTE(SUBSTITUTE(TRIM(C476&amp;""),CHAR(160),"")," ",""),"년","")),SUBSTITUTE(SUBSTITUTE(SUBSTITUTE(TRIM(C476&amp;""),CHAR(160),"")," ",""),"년",""),""),"")</f>
      </c>
      <c r="P476" t="str">
        <f>SUBSTITUTE(SUBSTITUTE(SUBSTITUTE(SUBSTITUTE(SUBSTITUTE(SUBSTITUTE(SUBSTITUTE(SUBSTITUTE(TRIM(D476&amp;""),CHAR(160),"")," ",""),"초등학교","초"),"중학교","중"),"고등학교","고"),"~","~~"),"*","~*"),"?","~?")</f>
      </c>
      <c r="Q476" t="str">
        <f>SUBSTITUTE(SUBSTITUTE(SUBSTITUTE(SUBSTITUTE(SUBSTITUTE(SUBSTITUTE(SUBSTITUTE(SUBSTITUTE(TRIM(E476&amp;""),CHAR(160),"")," ",""),"초등학교","초"),"중학교","중"),"고등학교","고"),"~","~~"),"*","~*"),"?","~?")</f>
      </c>
      <c r="R476" t="str">
        <f>IF(COUNTA(B476:J476)=0,"",IF(AND(O476&lt;&gt;"",P476&lt;&gt;"",Q476&lt;&gt;""),"","입력누락"))</f>
      </c>
    </row>
    <row r="477" customFormat="false" ht="15" hidden="false" customHeight="false" outlineLevel="0" collapsed="false">
      <c r="A477" t="n" s="19">
        <f aca="0">IF(COUNTA(B477:J477)=0,"",ROW()-1)</f>
      </c>
      <c r="B477" s="24"/>
      <c r="C477" s="25"/>
      <c r="D477" s="8"/>
      <c r="E477" s="8"/>
      <c r="F477" s="26"/>
      <c r="G477" s="24"/>
      <c r="H477" s="25"/>
      <c r="I477" s="25"/>
      <c r="J477" s="26"/>
      <c r="K477" t="str" s="15">
        <f aca="0">IF(COUNTA(B477:J477)=0,"",IF(R477&lt;&gt;"","확인필요(입력누락)",IF(COUNTIFS(보유목록!$I$2:$I$3001,"*"&amp;P477&amp;"*",보유목록!$I$2:$I$3001,"*"&amp;Q477&amp;"*",보유목록!$H$2:$H$3001,O477)&gt;0,"있음",IF(COUNTIFS(보유목록!$I$2:$I$3001,"*"&amp;P477&amp;"*",보유목록!$I$2:$I$3001,"*"&amp;Q477&amp;"*")&gt;0,"확인필요(연도다름)",IF(COUNTIFS(보유목록!$I$2:$I$3001,"*"&amp;P477&amp;"*",보유목록!$H$2:$H$3001,O477)&gt;0,"확인필요(같은학교·같은연도)","없음")))))</f>
      </c>
      <c r="L477" t="str" s="16">
        <f aca="0">IF(OR(COUNTA(B477:J477)=0,R477&lt;&gt;""),"",COUNTIFS(보유목록!$I$2:$I$3001,"*"&amp;P477&amp;"*",보유목록!$I$2:$I$3001,"*"&amp;Q477&amp;"*"))</f>
      </c>
      <c r="M477" t="str" s="23">
        <f aca="0">IF(OR(COUNTA(B477:J477)=0,R477&lt;&gt;""),"",IFERROR(LOOKUP(2,1/(ISNUMBER(SEARCH(P477,보유목록!$I$2:$I$3001))*ISNUMBER(SEARCH(Q477,보유목록!$I$2:$I$3001))*(보유목록!$H$2:$H$3001=O477)),보유목록!$B$2:$B$3001),IFERROR(LOOKUP(2,1/(ISNUMBER(SEARCH(P477,보유목록!$I$2:$I$3001))*ISNUMBER(SEARCH(Q477,보유목록!$I$2:$I$3001))),보유목록!$B$2:$B$3001),"")))</f>
      </c>
      <c r="N477" s="25"/>
      <c r="O477" t="str">
        <f>IFERROR(IF(AND(LEN(SUBSTITUTE(SUBSTITUTE(SUBSTITUTE(TRIM(C477&amp;""),CHAR(160),"")," ",""),"년",""))=4,VALUE(SUBSTITUTE(SUBSTITUTE(SUBSTITUTE(TRIM(C477&amp;""),CHAR(160),"")," ",""),"년",""))&gt;=1900,VALUE(SUBSTITUTE(SUBSTITUTE(SUBSTITUTE(TRIM(C477&amp;""),CHAR(160),"")," ",""),"년",""))&lt;=2099,TEXT(VALUE(SUBSTITUTE(SUBSTITUTE(SUBSTITUTE(TRIM(C477&amp;""),CHAR(160),"")," ",""),"년","")),"0000")=SUBSTITUTE(SUBSTITUTE(SUBSTITUTE(TRIM(C477&amp;""),CHAR(160),"")," ",""),"년","")),SUBSTITUTE(SUBSTITUTE(SUBSTITUTE(TRIM(C477&amp;""),CHAR(160),"")," ",""),"년",""),""),"")</f>
      </c>
      <c r="P477" t="str">
        <f>SUBSTITUTE(SUBSTITUTE(SUBSTITUTE(SUBSTITUTE(SUBSTITUTE(SUBSTITUTE(SUBSTITUTE(SUBSTITUTE(TRIM(D477&amp;""),CHAR(160),"")," ",""),"초등학교","초"),"중학교","중"),"고등학교","고"),"~","~~"),"*","~*"),"?","~?")</f>
      </c>
      <c r="Q477" t="str">
        <f>SUBSTITUTE(SUBSTITUTE(SUBSTITUTE(SUBSTITUTE(SUBSTITUTE(SUBSTITUTE(SUBSTITUTE(SUBSTITUTE(TRIM(E477&amp;""),CHAR(160),"")," ",""),"초등학교","초"),"중학교","중"),"고등학교","고"),"~","~~"),"*","~*"),"?","~?")</f>
      </c>
      <c r="R477" t="str">
        <f>IF(COUNTA(B477:J477)=0,"",IF(AND(O477&lt;&gt;"",P477&lt;&gt;"",Q477&lt;&gt;""),"","입력누락"))</f>
      </c>
    </row>
    <row r="478" customFormat="false" ht="15" hidden="false" customHeight="false" outlineLevel="0" collapsed="false">
      <c r="A478" t="n" s="19">
        <f aca="0">IF(COUNTA(B478:J478)=0,"",ROW()-1)</f>
      </c>
      <c r="B478" s="24"/>
      <c r="C478" s="25"/>
      <c r="D478" s="8"/>
      <c r="E478" s="8"/>
      <c r="F478" s="26"/>
      <c r="G478" s="24"/>
      <c r="H478" s="25"/>
      <c r="I478" s="25"/>
      <c r="J478" s="26"/>
      <c r="K478" t="str" s="15">
        <f aca="0">IF(COUNTA(B478:J478)=0,"",IF(R478&lt;&gt;"","확인필요(입력누락)",IF(COUNTIFS(보유목록!$I$2:$I$3001,"*"&amp;P478&amp;"*",보유목록!$I$2:$I$3001,"*"&amp;Q478&amp;"*",보유목록!$H$2:$H$3001,O478)&gt;0,"있음",IF(COUNTIFS(보유목록!$I$2:$I$3001,"*"&amp;P478&amp;"*",보유목록!$I$2:$I$3001,"*"&amp;Q478&amp;"*")&gt;0,"확인필요(연도다름)",IF(COUNTIFS(보유목록!$I$2:$I$3001,"*"&amp;P478&amp;"*",보유목록!$H$2:$H$3001,O478)&gt;0,"확인필요(같은학교·같은연도)","없음")))))</f>
      </c>
      <c r="L478" t="str" s="16">
        <f aca="0">IF(OR(COUNTA(B478:J478)=0,R478&lt;&gt;""),"",COUNTIFS(보유목록!$I$2:$I$3001,"*"&amp;P478&amp;"*",보유목록!$I$2:$I$3001,"*"&amp;Q478&amp;"*"))</f>
      </c>
      <c r="M478" t="str" s="23">
        <f aca="0">IF(OR(COUNTA(B478:J478)=0,R478&lt;&gt;""),"",IFERROR(LOOKUP(2,1/(ISNUMBER(SEARCH(P478,보유목록!$I$2:$I$3001))*ISNUMBER(SEARCH(Q478,보유목록!$I$2:$I$3001))*(보유목록!$H$2:$H$3001=O478)),보유목록!$B$2:$B$3001),IFERROR(LOOKUP(2,1/(ISNUMBER(SEARCH(P478,보유목록!$I$2:$I$3001))*ISNUMBER(SEARCH(Q478,보유목록!$I$2:$I$3001))),보유목록!$B$2:$B$3001),"")))</f>
      </c>
      <c r="N478" s="25"/>
      <c r="O478" t="str">
        <f>IFERROR(IF(AND(LEN(SUBSTITUTE(SUBSTITUTE(SUBSTITUTE(TRIM(C478&amp;""),CHAR(160),"")," ",""),"년",""))=4,VALUE(SUBSTITUTE(SUBSTITUTE(SUBSTITUTE(TRIM(C478&amp;""),CHAR(160),"")," ",""),"년",""))&gt;=1900,VALUE(SUBSTITUTE(SUBSTITUTE(SUBSTITUTE(TRIM(C478&amp;""),CHAR(160),"")," ",""),"년",""))&lt;=2099,TEXT(VALUE(SUBSTITUTE(SUBSTITUTE(SUBSTITUTE(TRIM(C478&amp;""),CHAR(160),"")," ",""),"년","")),"0000")=SUBSTITUTE(SUBSTITUTE(SUBSTITUTE(TRIM(C478&amp;""),CHAR(160),"")," ",""),"년","")),SUBSTITUTE(SUBSTITUTE(SUBSTITUTE(TRIM(C478&amp;""),CHAR(160),"")," ",""),"년",""),""),"")</f>
      </c>
      <c r="P478" t="str">
        <f>SUBSTITUTE(SUBSTITUTE(SUBSTITUTE(SUBSTITUTE(SUBSTITUTE(SUBSTITUTE(SUBSTITUTE(SUBSTITUTE(TRIM(D478&amp;""),CHAR(160),"")," ",""),"초등학교","초"),"중학교","중"),"고등학교","고"),"~","~~"),"*","~*"),"?","~?")</f>
      </c>
      <c r="Q478" t="str">
        <f>SUBSTITUTE(SUBSTITUTE(SUBSTITUTE(SUBSTITUTE(SUBSTITUTE(SUBSTITUTE(SUBSTITUTE(SUBSTITUTE(TRIM(E478&amp;""),CHAR(160),"")," ",""),"초등학교","초"),"중학교","중"),"고등학교","고"),"~","~~"),"*","~*"),"?","~?")</f>
      </c>
      <c r="R478" t="str">
        <f>IF(COUNTA(B478:J478)=0,"",IF(AND(O478&lt;&gt;"",P478&lt;&gt;"",Q478&lt;&gt;""),"","입력누락"))</f>
      </c>
    </row>
    <row r="479" customFormat="false" ht="15" hidden="false" customHeight="false" outlineLevel="0" collapsed="false">
      <c r="A479" t="n" s="19">
        <f aca="0">IF(COUNTA(B479:J479)=0,"",ROW()-1)</f>
      </c>
      <c r="B479" s="24"/>
      <c r="C479" s="25"/>
      <c r="D479" s="8"/>
      <c r="E479" s="8"/>
      <c r="F479" s="26"/>
      <c r="G479" s="24"/>
      <c r="H479" s="25"/>
      <c r="I479" s="25"/>
      <c r="J479" s="26"/>
      <c r="K479" t="str" s="15">
        <f aca="0">IF(COUNTA(B479:J479)=0,"",IF(R479&lt;&gt;"","확인필요(입력누락)",IF(COUNTIFS(보유목록!$I$2:$I$3001,"*"&amp;P479&amp;"*",보유목록!$I$2:$I$3001,"*"&amp;Q479&amp;"*",보유목록!$H$2:$H$3001,O479)&gt;0,"있음",IF(COUNTIFS(보유목록!$I$2:$I$3001,"*"&amp;P479&amp;"*",보유목록!$I$2:$I$3001,"*"&amp;Q479&amp;"*")&gt;0,"확인필요(연도다름)",IF(COUNTIFS(보유목록!$I$2:$I$3001,"*"&amp;P479&amp;"*",보유목록!$H$2:$H$3001,O479)&gt;0,"확인필요(같은학교·같은연도)","없음")))))</f>
      </c>
      <c r="L479" t="str" s="16">
        <f aca="0">IF(OR(COUNTA(B479:J479)=0,R479&lt;&gt;""),"",COUNTIFS(보유목록!$I$2:$I$3001,"*"&amp;P479&amp;"*",보유목록!$I$2:$I$3001,"*"&amp;Q479&amp;"*"))</f>
      </c>
      <c r="M479" t="str" s="23">
        <f aca="0">IF(OR(COUNTA(B479:J479)=0,R479&lt;&gt;""),"",IFERROR(LOOKUP(2,1/(ISNUMBER(SEARCH(P479,보유목록!$I$2:$I$3001))*ISNUMBER(SEARCH(Q479,보유목록!$I$2:$I$3001))*(보유목록!$H$2:$H$3001=O479)),보유목록!$B$2:$B$3001),IFERROR(LOOKUP(2,1/(ISNUMBER(SEARCH(P479,보유목록!$I$2:$I$3001))*ISNUMBER(SEARCH(Q479,보유목록!$I$2:$I$3001))),보유목록!$B$2:$B$3001),"")))</f>
      </c>
      <c r="N479" s="25"/>
      <c r="O479" t="str">
        <f>IFERROR(IF(AND(LEN(SUBSTITUTE(SUBSTITUTE(SUBSTITUTE(TRIM(C479&amp;""),CHAR(160),"")," ",""),"년",""))=4,VALUE(SUBSTITUTE(SUBSTITUTE(SUBSTITUTE(TRIM(C479&amp;""),CHAR(160),"")," ",""),"년",""))&gt;=1900,VALUE(SUBSTITUTE(SUBSTITUTE(SUBSTITUTE(TRIM(C479&amp;""),CHAR(160),"")," ",""),"년",""))&lt;=2099,TEXT(VALUE(SUBSTITUTE(SUBSTITUTE(SUBSTITUTE(TRIM(C479&amp;""),CHAR(160),"")," ",""),"년","")),"0000")=SUBSTITUTE(SUBSTITUTE(SUBSTITUTE(TRIM(C479&amp;""),CHAR(160),"")," ",""),"년","")),SUBSTITUTE(SUBSTITUTE(SUBSTITUTE(TRIM(C479&amp;""),CHAR(160),"")," ",""),"년",""),""),"")</f>
      </c>
      <c r="P479" t="str">
        <f>SUBSTITUTE(SUBSTITUTE(SUBSTITUTE(SUBSTITUTE(SUBSTITUTE(SUBSTITUTE(SUBSTITUTE(SUBSTITUTE(TRIM(D479&amp;""),CHAR(160),"")," ",""),"초등학교","초"),"중학교","중"),"고등학교","고"),"~","~~"),"*","~*"),"?","~?")</f>
      </c>
      <c r="Q479" t="str">
        <f>SUBSTITUTE(SUBSTITUTE(SUBSTITUTE(SUBSTITUTE(SUBSTITUTE(SUBSTITUTE(SUBSTITUTE(SUBSTITUTE(TRIM(E479&amp;""),CHAR(160),"")," ",""),"초등학교","초"),"중학교","중"),"고등학교","고"),"~","~~"),"*","~*"),"?","~?")</f>
      </c>
      <c r="R479" t="str">
        <f>IF(COUNTA(B479:J479)=0,"",IF(AND(O479&lt;&gt;"",P479&lt;&gt;"",Q479&lt;&gt;""),"","입력누락"))</f>
      </c>
    </row>
    <row r="480" customFormat="false" ht="15" hidden="false" customHeight="false" outlineLevel="0" collapsed="false">
      <c r="A480" t="n" s="19">
        <f aca="0">IF(COUNTA(B480:J480)=0,"",ROW()-1)</f>
      </c>
      <c r="B480" s="24"/>
      <c r="C480" s="25"/>
      <c r="D480" s="8"/>
      <c r="E480" s="8"/>
      <c r="F480" s="26"/>
      <c r="G480" s="24"/>
      <c r="H480" s="25"/>
      <c r="I480" s="25"/>
      <c r="J480" s="26"/>
      <c r="K480" t="str" s="15">
        <f aca="0">IF(COUNTA(B480:J480)=0,"",IF(R480&lt;&gt;"","확인필요(입력누락)",IF(COUNTIFS(보유목록!$I$2:$I$3001,"*"&amp;P480&amp;"*",보유목록!$I$2:$I$3001,"*"&amp;Q480&amp;"*",보유목록!$H$2:$H$3001,O480)&gt;0,"있음",IF(COUNTIFS(보유목록!$I$2:$I$3001,"*"&amp;P480&amp;"*",보유목록!$I$2:$I$3001,"*"&amp;Q480&amp;"*")&gt;0,"확인필요(연도다름)",IF(COUNTIFS(보유목록!$I$2:$I$3001,"*"&amp;P480&amp;"*",보유목록!$H$2:$H$3001,O480)&gt;0,"확인필요(같은학교·같은연도)","없음")))))</f>
      </c>
      <c r="L480" t="str" s="16">
        <f aca="0">IF(OR(COUNTA(B480:J480)=0,R480&lt;&gt;""),"",COUNTIFS(보유목록!$I$2:$I$3001,"*"&amp;P480&amp;"*",보유목록!$I$2:$I$3001,"*"&amp;Q480&amp;"*"))</f>
      </c>
      <c r="M480" t="str" s="23">
        <f aca="0">IF(OR(COUNTA(B480:J480)=0,R480&lt;&gt;""),"",IFERROR(LOOKUP(2,1/(ISNUMBER(SEARCH(P480,보유목록!$I$2:$I$3001))*ISNUMBER(SEARCH(Q480,보유목록!$I$2:$I$3001))*(보유목록!$H$2:$H$3001=O480)),보유목록!$B$2:$B$3001),IFERROR(LOOKUP(2,1/(ISNUMBER(SEARCH(P480,보유목록!$I$2:$I$3001))*ISNUMBER(SEARCH(Q480,보유목록!$I$2:$I$3001))),보유목록!$B$2:$B$3001),"")))</f>
      </c>
      <c r="N480" s="25"/>
      <c r="O480" t="str">
        <f>IFERROR(IF(AND(LEN(SUBSTITUTE(SUBSTITUTE(SUBSTITUTE(TRIM(C480&amp;""),CHAR(160),"")," ",""),"년",""))=4,VALUE(SUBSTITUTE(SUBSTITUTE(SUBSTITUTE(TRIM(C480&amp;""),CHAR(160),"")," ",""),"년",""))&gt;=1900,VALUE(SUBSTITUTE(SUBSTITUTE(SUBSTITUTE(TRIM(C480&amp;""),CHAR(160),"")," ",""),"년",""))&lt;=2099,TEXT(VALUE(SUBSTITUTE(SUBSTITUTE(SUBSTITUTE(TRIM(C480&amp;""),CHAR(160),"")," ",""),"년","")),"0000")=SUBSTITUTE(SUBSTITUTE(SUBSTITUTE(TRIM(C480&amp;""),CHAR(160),"")," ",""),"년","")),SUBSTITUTE(SUBSTITUTE(SUBSTITUTE(TRIM(C480&amp;""),CHAR(160),"")," ",""),"년",""),""),"")</f>
      </c>
      <c r="P480" t="str">
        <f>SUBSTITUTE(SUBSTITUTE(SUBSTITUTE(SUBSTITUTE(SUBSTITUTE(SUBSTITUTE(SUBSTITUTE(SUBSTITUTE(TRIM(D480&amp;""),CHAR(160),"")," ",""),"초등학교","초"),"중학교","중"),"고등학교","고"),"~","~~"),"*","~*"),"?","~?")</f>
      </c>
      <c r="Q480" t="str">
        <f>SUBSTITUTE(SUBSTITUTE(SUBSTITUTE(SUBSTITUTE(SUBSTITUTE(SUBSTITUTE(SUBSTITUTE(SUBSTITUTE(TRIM(E480&amp;""),CHAR(160),"")," ",""),"초등학교","초"),"중학교","중"),"고등학교","고"),"~","~~"),"*","~*"),"?","~?")</f>
      </c>
      <c r="R480" t="str">
        <f>IF(COUNTA(B480:J480)=0,"",IF(AND(O480&lt;&gt;"",P480&lt;&gt;"",Q480&lt;&gt;""),"","입력누락"))</f>
      </c>
    </row>
    <row r="481" customFormat="false" ht="15" hidden="false" customHeight="false" outlineLevel="0" collapsed="false">
      <c r="A481" t="n" s="19">
        <f aca="0">IF(COUNTA(B481:J481)=0,"",ROW()-1)</f>
      </c>
      <c r="B481" s="24"/>
      <c r="C481" s="25"/>
      <c r="D481" s="8"/>
      <c r="E481" s="8"/>
      <c r="F481" s="26"/>
      <c r="G481" s="24"/>
      <c r="H481" s="25"/>
      <c r="I481" s="25"/>
      <c r="J481" s="26"/>
      <c r="K481" t="str" s="15">
        <f aca="0">IF(COUNTA(B481:J481)=0,"",IF(R481&lt;&gt;"","확인필요(입력누락)",IF(COUNTIFS(보유목록!$I$2:$I$3001,"*"&amp;P481&amp;"*",보유목록!$I$2:$I$3001,"*"&amp;Q481&amp;"*",보유목록!$H$2:$H$3001,O481)&gt;0,"있음",IF(COUNTIFS(보유목록!$I$2:$I$3001,"*"&amp;P481&amp;"*",보유목록!$I$2:$I$3001,"*"&amp;Q481&amp;"*")&gt;0,"확인필요(연도다름)",IF(COUNTIFS(보유목록!$I$2:$I$3001,"*"&amp;P481&amp;"*",보유목록!$H$2:$H$3001,O481)&gt;0,"확인필요(같은학교·같은연도)","없음")))))</f>
      </c>
      <c r="L481" t="str" s="16">
        <f aca="0">IF(OR(COUNTA(B481:J481)=0,R481&lt;&gt;""),"",COUNTIFS(보유목록!$I$2:$I$3001,"*"&amp;P481&amp;"*",보유목록!$I$2:$I$3001,"*"&amp;Q481&amp;"*"))</f>
      </c>
      <c r="M481" t="str" s="23">
        <f aca="0">IF(OR(COUNTA(B481:J481)=0,R481&lt;&gt;""),"",IFERROR(LOOKUP(2,1/(ISNUMBER(SEARCH(P481,보유목록!$I$2:$I$3001))*ISNUMBER(SEARCH(Q481,보유목록!$I$2:$I$3001))*(보유목록!$H$2:$H$3001=O481)),보유목록!$B$2:$B$3001),IFERROR(LOOKUP(2,1/(ISNUMBER(SEARCH(P481,보유목록!$I$2:$I$3001))*ISNUMBER(SEARCH(Q481,보유목록!$I$2:$I$3001))),보유목록!$B$2:$B$3001),"")))</f>
      </c>
      <c r="N481" s="25"/>
      <c r="O481" t="str">
        <f>IFERROR(IF(AND(LEN(SUBSTITUTE(SUBSTITUTE(SUBSTITUTE(TRIM(C481&amp;""),CHAR(160),"")," ",""),"년",""))=4,VALUE(SUBSTITUTE(SUBSTITUTE(SUBSTITUTE(TRIM(C481&amp;""),CHAR(160),"")," ",""),"년",""))&gt;=1900,VALUE(SUBSTITUTE(SUBSTITUTE(SUBSTITUTE(TRIM(C481&amp;""),CHAR(160),"")," ",""),"년",""))&lt;=2099,TEXT(VALUE(SUBSTITUTE(SUBSTITUTE(SUBSTITUTE(TRIM(C481&amp;""),CHAR(160),"")," ",""),"년","")),"0000")=SUBSTITUTE(SUBSTITUTE(SUBSTITUTE(TRIM(C481&amp;""),CHAR(160),"")," ",""),"년","")),SUBSTITUTE(SUBSTITUTE(SUBSTITUTE(TRIM(C481&amp;""),CHAR(160),"")," ",""),"년",""),""),"")</f>
      </c>
      <c r="P481" t="str">
        <f>SUBSTITUTE(SUBSTITUTE(SUBSTITUTE(SUBSTITUTE(SUBSTITUTE(SUBSTITUTE(SUBSTITUTE(SUBSTITUTE(TRIM(D481&amp;""),CHAR(160),"")," ",""),"초등학교","초"),"중학교","중"),"고등학교","고"),"~","~~"),"*","~*"),"?","~?")</f>
      </c>
      <c r="Q481" t="str">
        <f>SUBSTITUTE(SUBSTITUTE(SUBSTITUTE(SUBSTITUTE(SUBSTITUTE(SUBSTITUTE(SUBSTITUTE(SUBSTITUTE(TRIM(E481&amp;""),CHAR(160),"")," ",""),"초등학교","초"),"중학교","중"),"고등학교","고"),"~","~~"),"*","~*"),"?","~?")</f>
      </c>
      <c r="R481" t="str">
        <f>IF(COUNTA(B481:J481)=0,"",IF(AND(O481&lt;&gt;"",P481&lt;&gt;"",Q481&lt;&gt;""),"","입력누락"))</f>
      </c>
    </row>
    <row r="482" customFormat="false" ht="15" hidden="false" customHeight="false" outlineLevel="0" collapsed="false">
      <c r="A482" t="n" s="19">
        <f aca="0">IF(COUNTA(B482:J482)=0,"",ROW()-1)</f>
      </c>
      <c r="B482" s="24"/>
      <c r="C482" s="25"/>
      <c r="D482" s="8"/>
      <c r="E482" s="8"/>
      <c r="F482" s="26"/>
      <c r="G482" s="24"/>
      <c r="H482" s="25"/>
      <c r="I482" s="25"/>
      <c r="J482" s="26"/>
      <c r="K482" t="str" s="15">
        <f aca="0">IF(COUNTA(B482:J482)=0,"",IF(R482&lt;&gt;"","확인필요(입력누락)",IF(COUNTIFS(보유목록!$I$2:$I$3001,"*"&amp;P482&amp;"*",보유목록!$I$2:$I$3001,"*"&amp;Q482&amp;"*",보유목록!$H$2:$H$3001,O482)&gt;0,"있음",IF(COUNTIFS(보유목록!$I$2:$I$3001,"*"&amp;P482&amp;"*",보유목록!$I$2:$I$3001,"*"&amp;Q482&amp;"*")&gt;0,"확인필요(연도다름)",IF(COUNTIFS(보유목록!$I$2:$I$3001,"*"&amp;P482&amp;"*",보유목록!$H$2:$H$3001,O482)&gt;0,"확인필요(같은학교·같은연도)","없음")))))</f>
      </c>
      <c r="L482" t="str" s="16">
        <f aca="0">IF(OR(COUNTA(B482:J482)=0,R482&lt;&gt;""),"",COUNTIFS(보유목록!$I$2:$I$3001,"*"&amp;P482&amp;"*",보유목록!$I$2:$I$3001,"*"&amp;Q482&amp;"*"))</f>
      </c>
      <c r="M482" t="str" s="23">
        <f aca="0">IF(OR(COUNTA(B482:J482)=0,R482&lt;&gt;""),"",IFERROR(LOOKUP(2,1/(ISNUMBER(SEARCH(P482,보유목록!$I$2:$I$3001))*ISNUMBER(SEARCH(Q482,보유목록!$I$2:$I$3001))*(보유목록!$H$2:$H$3001=O482)),보유목록!$B$2:$B$3001),IFERROR(LOOKUP(2,1/(ISNUMBER(SEARCH(P482,보유목록!$I$2:$I$3001))*ISNUMBER(SEARCH(Q482,보유목록!$I$2:$I$3001))),보유목록!$B$2:$B$3001),"")))</f>
      </c>
      <c r="N482" s="25"/>
      <c r="O482" t="str">
        <f>IFERROR(IF(AND(LEN(SUBSTITUTE(SUBSTITUTE(SUBSTITUTE(TRIM(C482&amp;""),CHAR(160),"")," ",""),"년",""))=4,VALUE(SUBSTITUTE(SUBSTITUTE(SUBSTITUTE(TRIM(C482&amp;""),CHAR(160),"")," ",""),"년",""))&gt;=1900,VALUE(SUBSTITUTE(SUBSTITUTE(SUBSTITUTE(TRIM(C482&amp;""),CHAR(160),"")," ",""),"년",""))&lt;=2099,TEXT(VALUE(SUBSTITUTE(SUBSTITUTE(SUBSTITUTE(TRIM(C482&amp;""),CHAR(160),"")," ",""),"년","")),"0000")=SUBSTITUTE(SUBSTITUTE(SUBSTITUTE(TRIM(C482&amp;""),CHAR(160),"")," ",""),"년","")),SUBSTITUTE(SUBSTITUTE(SUBSTITUTE(TRIM(C482&amp;""),CHAR(160),"")," ",""),"년",""),""),"")</f>
      </c>
      <c r="P482" t="str">
        <f>SUBSTITUTE(SUBSTITUTE(SUBSTITUTE(SUBSTITUTE(SUBSTITUTE(SUBSTITUTE(SUBSTITUTE(SUBSTITUTE(TRIM(D482&amp;""),CHAR(160),"")," ",""),"초등학교","초"),"중학교","중"),"고등학교","고"),"~","~~"),"*","~*"),"?","~?")</f>
      </c>
      <c r="Q482" t="str">
        <f>SUBSTITUTE(SUBSTITUTE(SUBSTITUTE(SUBSTITUTE(SUBSTITUTE(SUBSTITUTE(SUBSTITUTE(SUBSTITUTE(TRIM(E482&amp;""),CHAR(160),"")," ",""),"초등학교","초"),"중학교","중"),"고등학교","고"),"~","~~"),"*","~*"),"?","~?")</f>
      </c>
      <c r="R482" t="str">
        <f>IF(COUNTA(B482:J482)=0,"",IF(AND(O482&lt;&gt;"",P482&lt;&gt;"",Q482&lt;&gt;""),"","입력누락"))</f>
      </c>
    </row>
    <row r="483" customFormat="false" ht="15" hidden="false" customHeight="false" outlineLevel="0" collapsed="false">
      <c r="A483" t="n" s="19">
        <f aca="0">IF(COUNTA(B483:J483)=0,"",ROW()-1)</f>
      </c>
      <c r="B483" s="24"/>
      <c r="C483" s="25"/>
      <c r="D483" s="8"/>
      <c r="E483" s="8"/>
      <c r="F483" s="26"/>
      <c r="G483" s="24"/>
      <c r="H483" s="25"/>
      <c r="I483" s="25"/>
      <c r="J483" s="26"/>
      <c r="K483" t="str" s="15">
        <f aca="0">IF(COUNTA(B483:J483)=0,"",IF(R483&lt;&gt;"","확인필요(입력누락)",IF(COUNTIFS(보유목록!$I$2:$I$3001,"*"&amp;P483&amp;"*",보유목록!$I$2:$I$3001,"*"&amp;Q483&amp;"*",보유목록!$H$2:$H$3001,O483)&gt;0,"있음",IF(COUNTIFS(보유목록!$I$2:$I$3001,"*"&amp;P483&amp;"*",보유목록!$I$2:$I$3001,"*"&amp;Q483&amp;"*")&gt;0,"확인필요(연도다름)",IF(COUNTIFS(보유목록!$I$2:$I$3001,"*"&amp;P483&amp;"*",보유목록!$H$2:$H$3001,O483)&gt;0,"확인필요(같은학교·같은연도)","없음")))))</f>
      </c>
      <c r="L483" t="str" s="16">
        <f aca="0">IF(OR(COUNTA(B483:J483)=0,R483&lt;&gt;""),"",COUNTIFS(보유목록!$I$2:$I$3001,"*"&amp;P483&amp;"*",보유목록!$I$2:$I$3001,"*"&amp;Q483&amp;"*"))</f>
      </c>
      <c r="M483" t="str" s="23">
        <f aca="0">IF(OR(COUNTA(B483:J483)=0,R483&lt;&gt;""),"",IFERROR(LOOKUP(2,1/(ISNUMBER(SEARCH(P483,보유목록!$I$2:$I$3001))*ISNUMBER(SEARCH(Q483,보유목록!$I$2:$I$3001))*(보유목록!$H$2:$H$3001=O483)),보유목록!$B$2:$B$3001),IFERROR(LOOKUP(2,1/(ISNUMBER(SEARCH(P483,보유목록!$I$2:$I$3001))*ISNUMBER(SEARCH(Q483,보유목록!$I$2:$I$3001))),보유목록!$B$2:$B$3001),"")))</f>
      </c>
      <c r="N483" s="25"/>
      <c r="O483" t="str">
        <f>IFERROR(IF(AND(LEN(SUBSTITUTE(SUBSTITUTE(SUBSTITUTE(TRIM(C483&amp;""),CHAR(160),"")," ",""),"년",""))=4,VALUE(SUBSTITUTE(SUBSTITUTE(SUBSTITUTE(TRIM(C483&amp;""),CHAR(160),"")," ",""),"년",""))&gt;=1900,VALUE(SUBSTITUTE(SUBSTITUTE(SUBSTITUTE(TRIM(C483&amp;""),CHAR(160),"")," ",""),"년",""))&lt;=2099,TEXT(VALUE(SUBSTITUTE(SUBSTITUTE(SUBSTITUTE(TRIM(C483&amp;""),CHAR(160),"")," ",""),"년","")),"0000")=SUBSTITUTE(SUBSTITUTE(SUBSTITUTE(TRIM(C483&amp;""),CHAR(160),"")," ",""),"년","")),SUBSTITUTE(SUBSTITUTE(SUBSTITUTE(TRIM(C483&amp;""),CHAR(160),"")," ",""),"년",""),""),"")</f>
      </c>
      <c r="P483" t="str">
        <f>SUBSTITUTE(SUBSTITUTE(SUBSTITUTE(SUBSTITUTE(SUBSTITUTE(SUBSTITUTE(SUBSTITUTE(SUBSTITUTE(TRIM(D483&amp;""),CHAR(160),"")," ",""),"초등학교","초"),"중학교","중"),"고등학교","고"),"~","~~"),"*","~*"),"?","~?")</f>
      </c>
      <c r="Q483" t="str">
        <f>SUBSTITUTE(SUBSTITUTE(SUBSTITUTE(SUBSTITUTE(SUBSTITUTE(SUBSTITUTE(SUBSTITUTE(SUBSTITUTE(TRIM(E483&amp;""),CHAR(160),"")," ",""),"초등학교","초"),"중학교","중"),"고등학교","고"),"~","~~"),"*","~*"),"?","~?")</f>
      </c>
      <c r="R483" t="str">
        <f>IF(COUNTA(B483:J483)=0,"",IF(AND(O483&lt;&gt;"",P483&lt;&gt;"",Q483&lt;&gt;""),"","입력누락"))</f>
      </c>
    </row>
    <row r="484" customFormat="false" ht="15" hidden="false" customHeight="false" outlineLevel="0" collapsed="false">
      <c r="A484" t="n" s="19">
        <f aca="0">IF(COUNTA(B484:J484)=0,"",ROW()-1)</f>
      </c>
      <c r="B484" s="24"/>
      <c r="C484" s="25"/>
      <c r="D484" s="8"/>
      <c r="E484" s="8"/>
      <c r="F484" s="26"/>
      <c r="G484" s="24"/>
      <c r="H484" s="25"/>
      <c r="I484" s="25"/>
      <c r="J484" s="26"/>
      <c r="K484" t="str" s="15">
        <f aca="0">IF(COUNTA(B484:J484)=0,"",IF(R484&lt;&gt;"","확인필요(입력누락)",IF(COUNTIFS(보유목록!$I$2:$I$3001,"*"&amp;P484&amp;"*",보유목록!$I$2:$I$3001,"*"&amp;Q484&amp;"*",보유목록!$H$2:$H$3001,O484)&gt;0,"있음",IF(COUNTIFS(보유목록!$I$2:$I$3001,"*"&amp;P484&amp;"*",보유목록!$I$2:$I$3001,"*"&amp;Q484&amp;"*")&gt;0,"확인필요(연도다름)",IF(COUNTIFS(보유목록!$I$2:$I$3001,"*"&amp;P484&amp;"*",보유목록!$H$2:$H$3001,O484)&gt;0,"확인필요(같은학교·같은연도)","없음")))))</f>
      </c>
      <c r="L484" t="str" s="16">
        <f aca="0">IF(OR(COUNTA(B484:J484)=0,R484&lt;&gt;""),"",COUNTIFS(보유목록!$I$2:$I$3001,"*"&amp;P484&amp;"*",보유목록!$I$2:$I$3001,"*"&amp;Q484&amp;"*"))</f>
      </c>
      <c r="M484" t="str" s="23">
        <f aca="0">IF(OR(COUNTA(B484:J484)=0,R484&lt;&gt;""),"",IFERROR(LOOKUP(2,1/(ISNUMBER(SEARCH(P484,보유목록!$I$2:$I$3001))*ISNUMBER(SEARCH(Q484,보유목록!$I$2:$I$3001))*(보유목록!$H$2:$H$3001=O484)),보유목록!$B$2:$B$3001),IFERROR(LOOKUP(2,1/(ISNUMBER(SEARCH(P484,보유목록!$I$2:$I$3001))*ISNUMBER(SEARCH(Q484,보유목록!$I$2:$I$3001))),보유목록!$B$2:$B$3001),"")))</f>
      </c>
      <c r="N484" s="25"/>
      <c r="O484" t="str">
        <f>IFERROR(IF(AND(LEN(SUBSTITUTE(SUBSTITUTE(SUBSTITUTE(TRIM(C484&amp;""),CHAR(160),"")," ",""),"년",""))=4,VALUE(SUBSTITUTE(SUBSTITUTE(SUBSTITUTE(TRIM(C484&amp;""),CHAR(160),"")," ",""),"년",""))&gt;=1900,VALUE(SUBSTITUTE(SUBSTITUTE(SUBSTITUTE(TRIM(C484&amp;""),CHAR(160),"")," ",""),"년",""))&lt;=2099,TEXT(VALUE(SUBSTITUTE(SUBSTITUTE(SUBSTITUTE(TRIM(C484&amp;""),CHAR(160),"")," ",""),"년","")),"0000")=SUBSTITUTE(SUBSTITUTE(SUBSTITUTE(TRIM(C484&amp;""),CHAR(160),"")," ",""),"년","")),SUBSTITUTE(SUBSTITUTE(SUBSTITUTE(TRIM(C484&amp;""),CHAR(160),"")," ",""),"년",""),""),"")</f>
      </c>
      <c r="P484" t="str">
        <f>SUBSTITUTE(SUBSTITUTE(SUBSTITUTE(SUBSTITUTE(SUBSTITUTE(SUBSTITUTE(SUBSTITUTE(SUBSTITUTE(TRIM(D484&amp;""),CHAR(160),"")," ",""),"초등학교","초"),"중학교","중"),"고등학교","고"),"~","~~"),"*","~*"),"?","~?")</f>
      </c>
      <c r="Q484" t="str">
        <f>SUBSTITUTE(SUBSTITUTE(SUBSTITUTE(SUBSTITUTE(SUBSTITUTE(SUBSTITUTE(SUBSTITUTE(SUBSTITUTE(TRIM(E484&amp;""),CHAR(160),"")," ",""),"초등학교","초"),"중학교","중"),"고등학교","고"),"~","~~"),"*","~*"),"?","~?")</f>
      </c>
      <c r="R484" t="str">
        <f>IF(COUNTA(B484:J484)=0,"",IF(AND(O484&lt;&gt;"",P484&lt;&gt;"",Q484&lt;&gt;""),"","입력누락"))</f>
      </c>
    </row>
    <row r="485" customFormat="false" ht="15" hidden="false" customHeight="false" outlineLevel="0" collapsed="false">
      <c r="A485" t="n" s="19">
        <f aca="0">IF(COUNTA(B485:J485)=0,"",ROW()-1)</f>
      </c>
      <c r="B485" s="24"/>
      <c r="C485" s="25"/>
      <c r="D485" s="8"/>
      <c r="E485" s="8"/>
      <c r="F485" s="26"/>
      <c r="G485" s="24"/>
      <c r="H485" s="25"/>
      <c r="I485" s="25"/>
      <c r="J485" s="26"/>
      <c r="K485" t="str" s="15">
        <f aca="0">IF(COUNTA(B485:J485)=0,"",IF(R485&lt;&gt;"","확인필요(입력누락)",IF(COUNTIFS(보유목록!$I$2:$I$3001,"*"&amp;P485&amp;"*",보유목록!$I$2:$I$3001,"*"&amp;Q485&amp;"*",보유목록!$H$2:$H$3001,O485)&gt;0,"있음",IF(COUNTIFS(보유목록!$I$2:$I$3001,"*"&amp;P485&amp;"*",보유목록!$I$2:$I$3001,"*"&amp;Q485&amp;"*")&gt;0,"확인필요(연도다름)",IF(COUNTIFS(보유목록!$I$2:$I$3001,"*"&amp;P485&amp;"*",보유목록!$H$2:$H$3001,O485)&gt;0,"확인필요(같은학교·같은연도)","없음")))))</f>
      </c>
      <c r="L485" t="str" s="16">
        <f aca="0">IF(OR(COUNTA(B485:J485)=0,R485&lt;&gt;""),"",COUNTIFS(보유목록!$I$2:$I$3001,"*"&amp;P485&amp;"*",보유목록!$I$2:$I$3001,"*"&amp;Q485&amp;"*"))</f>
      </c>
      <c r="M485" t="str" s="23">
        <f aca="0">IF(OR(COUNTA(B485:J485)=0,R485&lt;&gt;""),"",IFERROR(LOOKUP(2,1/(ISNUMBER(SEARCH(P485,보유목록!$I$2:$I$3001))*ISNUMBER(SEARCH(Q485,보유목록!$I$2:$I$3001))*(보유목록!$H$2:$H$3001=O485)),보유목록!$B$2:$B$3001),IFERROR(LOOKUP(2,1/(ISNUMBER(SEARCH(P485,보유목록!$I$2:$I$3001))*ISNUMBER(SEARCH(Q485,보유목록!$I$2:$I$3001))),보유목록!$B$2:$B$3001),"")))</f>
      </c>
      <c r="N485" s="25"/>
      <c r="O485" t="str">
        <f>IFERROR(IF(AND(LEN(SUBSTITUTE(SUBSTITUTE(SUBSTITUTE(TRIM(C485&amp;""),CHAR(160),"")," ",""),"년",""))=4,VALUE(SUBSTITUTE(SUBSTITUTE(SUBSTITUTE(TRIM(C485&amp;""),CHAR(160),"")," ",""),"년",""))&gt;=1900,VALUE(SUBSTITUTE(SUBSTITUTE(SUBSTITUTE(TRIM(C485&amp;""),CHAR(160),"")," ",""),"년",""))&lt;=2099,TEXT(VALUE(SUBSTITUTE(SUBSTITUTE(SUBSTITUTE(TRIM(C485&amp;""),CHAR(160),"")," ",""),"년","")),"0000")=SUBSTITUTE(SUBSTITUTE(SUBSTITUTE(TRIM(C485&amp;""),CHAR(160),"")," ",""),"년","")),SUBSTITUTE(SUBSTITUTE(SUBSTITUTE(TRIM(C485&amp;""),CHAR(160),"")," ",""),"년",""),""),"")</f>
      </c>
      <c r="P485" t="str">
        <f>SUBSTITUTE(SUBSTITUTE(SUBSTITUTE(SUBSTITUTE(SUBSTITUTE(SUBSTITUTE(SUBSTITUTE(SUBSTITUTE(TRIM(D485&amp;""),CHAR(160),"")," ",""),"초등학교","초"),"중학교","중"),"고등학교","고"),"~","~~"),"*","~*"),"?","~?")</f>
      </c>
      <c r="Q485" t="str">
        <f>SUBSTITUTE(SUBSTITUTE(SUBSTITUTE(SUBSTITUTE(SUBSTITUTE(SUBSTITUTE(SUBSTITUTE(SUBSTITUTE(TRIM(E485&amp;""),CHAR(160),"")," ",""),"초등학교","초"),"중학교","중"),"고등학교","고"),"~","~~"),"*","~*"),"?","~?")</f>
      </c>
      <c r="R485" t="str">
        <f>IF(COUNTA(B485:J485)=0,"",IF(AND(O485&lt;&gt;"",P485&lt;&gt;"",Q485&lt;&gt;""),"","입력누락"))</f>
      </c>
    </row>
    <row r="486" customFormat="false" ht="15" hidden="false" customHeight="false" outlineLevel="0" collapsed="false">
      <c r="A486" t="n" s="19">
        <f aca="0">IF(COUNTA(B486:J486)=0,"",ROW()-1)</f>
      </c>
      <c r="B486" s="24"/>
      <c r="C486" s="25"/>
      <c r="D486" s="8"/>
      <c r="E486" s="8"/>
      <c r="F486" s="26"/>
      <c r="G486" s="24"/>
      <c r="H486" s="25"/>
      <c r="I486" s="25"/>
      <c r="J486" s="26"/>
      <c r="K486" t="str" s="15">
        <f aca="0">IF(COUNTA(B486:J486)=0,"",IF(R486&lt;&gt;"","확인필요(입력누락)",IF(COUNTIFS(보유목록!$I$2:$I$3001,"*"&amp;P486&amp;"*",보유목록!$I$2:$I$3001,"*"&amp;Q486&amp;"*",보유목록!$H$2:$H$3001,O486)&gt;0,"있음",IF(COUNTIFS(보유목록!$I$2:$I$3001,"*"&amp;P486&amp;"*",보유목록!$I$2:$I$3001,"*"&amp;Q486&amp;"*")&gt;0,"확인필요(연도다름)",IF(COUNTIFS(보유목록!$I$2:$I$3001,"*"&amp;P486&amp;"*",보유목록!$H$2:$H$3001,O486)&gt;0,"확인필요(같은학교·같은연도)","없음")))))</f>
      </c>
      <c r="L486" t="str" s="16">
        <f aca="0">IF(OR(COUNTA(B486:J486)=0,R486&lt;&gt;""),"",COUNTIFS(보유목록!$I$2:$I$3001,"*"&amp;P486&amp;"*",보유목록!$I$2:$I$3001,"*"&amp;Q486&amp;"*"))</f>
      </c>
      <c r="M486" t="str" s="23">
        <f aca="0">IF(OR(COUNTA(B486:J486)=0,R486&lt;&gt;""),"",IFERROR(LOOKUP(2,1/(ISNUMBER(SEARCH(P486,보유목록!$I$2:$I$3001))*ISNUMBER(SEARCH(Q486,보유목록!$I$2:$I$3001))*(보유목록!$H$2:$H$3001=O486)),보유목록!$B$2:$B$3001),IFERROR(LOOKUP(2,1/(ISNUMBER(SEARCH(P486,보유목록!$I$2:$I$3001))*ISNUMBER(SEARCH(Q486,보유목록!$I$2:$I$3001))),보유목록!$B$2:$B$3001),"")))</f>
      </c>
      <c r="N486" s="25"/>
      <c r="O486" t="str">
        <f>IFERROR(IF(AND(LEN(SUBSTITUTE(SUBSTITUTE(SUBSTITUTE(TRIM(C486&amp;""),CHAR(160),"")," ",""),"년",""))=4,VALUE(SUBSTITUTE(SUBSTITUTE(SUBSTITUTE(TRIM(C486&amp;""),CHAR(160),"")," ",""),"년",""))&gt;=1900,VALUE(SUBSTITUTE(SUBSTITUTE(SUBSTITUTE(TRIM(C486&amp;""),CHAR(160),"")," ",""),"년",""))&lt;=2099,TEXT(VALUE(SUBSTITUTE(SUBSTITUTE(SUBSTITUTE(TRIM(C486&amp;""),CHAR(160),"")," ",""),"년","")),"0000")=SUBSTITUTE(SUBSTITUTE(SUBSTITUTE(TRIM(C486&amp;""),CHAR(160),"")," ",""),"년","")),SUBSTITUTE(SUBSTITUTE(SUBSTITUTE(TRIM(C486&amp;""),CHAR(160),"")," ",""),"년",""),""),"")</f>
      </c>
      <c r="P486" t="str">
        <f>SUBSTITUTE(SUBSTITUTE(SUBSTITUTE(SUBSTITUTE(SUBSTITUTE(SUBSTITUTE(SUBSTITUTE(SUBSTITUTE(TRIM(D486&amp;""),CHAR(160),"")," ",""),"초등학교","초"),"중학교","중"),"고등학교","고"),"~","~~"),"*","~*"),"?","~?")</f>
      </c>
      <c r="Q486" t="str">
        <f>SUBSTITUTE(SUBSTITUTE(SUBSTITUTE(SUBSTITUTE(SUBSTITUTE(SUBSTITUTE(SUBSTITUTE(SUBSTITUTE(TRIM(E486&amp;""),CHAR(160),"")," ",""),"초등학교","초"),"중학교","중"),"고등학교","고"),"~","~~"),"*","~*"),"?","~?")</f>
      </c>
      <c r="R486" t="str">
        <f>IF(COUNTA(B486:J486)=0,"",IF(AND(O486&lt;&gt;"",P486&lt;&gt;"",Q486&lt;&gt;""),"","입력누락"))</f>
      </c>
    </row>
    <row r="487" customFormat="false" ht="15" hidden="false" customHeight="false" outlineLevel="0" collapsed="false">
      <c r="A487" t="n" s="19">
        <f aca="0">IF(COUNTA(B487:J487)=0,"",ROW()-1)</f>
      </c>
      <c r="B487" s="24"/>
      <c r="C487" s="25"/>
      <c r="D487" s="8"/>
      <c r="E487" s="8"/>
      <c r="F487" s="26"/>
      <c r="G487" s="24"/>
      <c r="H487" s="25"/>
      <c r="I487" s="25"/>
      <c r="J487" s="26"/>
      <c r="K487" t="str" s="15">
        <f aca="0">IF(COUNTA(B487:J487)=0,"",IF(R487&lt;&gt;"","확인필요(입력누락)",IF(COUNTIFS(보유목록!$I$2:$I$3001,"*"&amp;P487&amp;"*",보유목록!$I$2:$I$3001,"*"&amp;Q487&amp;"*",보유목록!$H$2:$H$3001,O487)&gt;0,"있음",IF(COUNTIFS(보유목록!$I$2:$I$3001,"*"&amp;P487&amp;"*",보유목록!$I$2:$I$3001,"*"&amp;Q487&amp;"*")&gt;0,"확인필요(연도다름)",IF(COUNTIFS(보유목록!$I$2:$I$3001,"*"&amp;P487&amp;"*",보유목록!$H$2:$H$3001,O487)&gt;0,"확인필요(같은학교·같은연도)","없음")))))</f>
      </c>
      <c r="L487" t="str" s="16">
        <f aca="0">IF(OR(COUNTA(B487:J487)=0,R487&lt;&gt;""),"",COUNTIFS(보유목록!$I$2:$I$3001,"*"&amp;P487&amp;"*",보유목록!$I$2:$I$3001,"*"&amp;Q487&amp;"*"))</f>
      </c>
      <c r="M487" t="str" s="23">
        <f aca="0">IF(OR(COUNTA(B487:J487)=0,R487&lt;&gt;""),"",IFERROR(LOOKUP(2,1/(ISNUMBER(SEARCH(P487,보유목록!$I$2:$I$3001))*ISNUMBER(SEARCH(Q487,보유목록!$I$2:$I$3001))*(보유목록!$H$2:$H$3001=O487)),보유목록!$B$2:$B$3001),IFERROR(LOOKUP(2,1/(ISNUMBER(SEARCH(P487,보유목록!$I$2:$I$3001))*ISNUMBER(SEARCH(Q487,보유목록!$I$2:$I$3001))),보유목록!$B$2:$B$3001),"")))</f>
      </c>
      <c r="N487" s="25"/>
      <c r="O487" t="str">
        <f>IFERROR(IF(AND(LEN(SUBSTITUTE(SUBSTITUTE(SUBSTITUTE(TRIM(C487&amp;""),CHAR(160),"")," ",""),"년",""))=4,VALUE(SUBSTITUTE(SUBSTITUTE(SUBSTITUTE(TRIM(C487&amp;""),CHAR(160),"")," ",""),"년",""))&gt;=1900,VALUE(SUBSTITUTE(SUBSTITUTE(SUBSTITUTE(TRIM(C487&amp;""),CHAR(160),"")," ",""),"년",""))&lt;=2099,TEXT(VALUE(SUBSTITUTE(SUBSTITUTE(SUBSTITUTE(TRIM(C487&amp;""),CHAR(160),"")," ",""),"년","")),"0000")=SUBSTITUTE(SUBSTITUTE(SUBSTITUTE(TRIM(C487&amp;""),CHAR(160),"")," ",""),"년","")),SUBSTITUTE(SUBSTITUTE(SUBSTITUTE(TRIM(C487&amp;""),CHAR(160),"")," ",""),"년",""),""),"")</f>
      </c>
      <c r="P487" t="str">
        <f>SUBSTITUTE(SUBSTITUTE(SUBSTITUTE(SUBSTITUTE(SUBSTITUTE(SUBSTITUTE(SUBSTITUTE(SUBSTITUTE(TRIM(D487&amp;""),CHAR(160),"")," ",""),"초등학교","초"),"중학교","중"),"고등학교","고"),"~","~~"),"*","~*"),"?","~?")</f>
      </c>
      <c r="Q487" t="str">
        <f>SUBSTITUTE(SUBSTITUTE(SUBSTITUTE(SUBSTITUTE(SUBSTITUTE(SUBSTITUTE(SUBSTITUTE(SUBSTITUTE(TRIM(E487&amp;""),CHAR(160),"")," ",""),"초등학교","초"),"중학교","중"),"고등학교","고"),"~","~~"),"*","~*"),"?","~?")</f>
      </c>
      <c r="R487" t="str">
        <f>IF(COUNTA(B487:J487)=0,"",IF(AND(O487&lt;&gt;"",P487&lt;&gt;"",Q487&lt;&gt;""),"","입력누락"))</f>
      </c>
    </row>
    <row r="488" customFormat="false" ht="15" hidden="false" customHeight="false" outlineLevel="0" collapsed="false">
      <c r="A488" t="n" s="19">
        <f aca="0">IF(COUNTA(B488:J488)=0,"",ROW()-1)</f>
      </c>
      <c r="B488" s="24"/>
      <c r="C488" s="25"/>
      <c r="D488" s="8"/>
      <c r="E488" s="8"/>
      <c r="F488" s="26"/>
      <c r="G488" s="24"/>
      <c r="H488" s="25"/>
      <c r="I488" s="25"/>
      <c r="J488" s="26"/>
      <c r="K488" t="str" s="15">
        <f aca="0">IF(COUNTA(B488:J488)=0,"",IF(R488&lt;&gt;"","확인필요(입력누락)",IF(COUNTIFS(보유목록!$I$2:$I$3001,"*"&amp;P488&amp;"*",보유목록!$I$2:$I$3001,"*"&amp;Q488&amp;"*",보유목록!$H$2:$H$3001,O488)&gt;0,"있음",IF(COUNTIFS(보유목록!$I$2:$I$3001,"*"&amp;P488&amp;"*",보유목록!$I$2:$I$3001,"*"&amp;Q488&amp;"*")&gt;0,"확인필요(연도다름)",IF(COUNTIFS(보유목록!$I$2:$I$3001,"*"&amp;P488&amp;"*",보유목록!$H$2:$H$3001,O488)&gt;0,"확인필요(같은학교·같은연도)","없음")))))</f>
      </c>
      <c r="L488" t="str" s="16">
        <f aca="0">IF(OR(COUNTA(B488:J488)=0,R488&lt;&gt;""),"",COUNTIFS(보유목록!$I$2:$I$3001,"*"&amp;P488&amp;"*",보유목록!$I$2:$I$3001,"*"&amp;Q488&amp;"*"))</f>
      </c>
      <c r="M488" t="str" s="23">
        <f aca="0">IF(OR(COUNTA(B488:J488)=0,R488&lt;&gt;""),"",IFERROR(LOOKUP(2,1/(ISNUMBER(SEARCH(P488,보유목록!$I$2:$I$3001))*ISNUMBER(SEARCH(Q488,보유목록!$I$2:$I$3001))*(보유목록!$H$2:$H$3001=O488)),보유목록!$B$2:$B$3001),IFERROR(LOOKUP(2,1/(ISNUMBER(SEARCH(P488,보유목록!$I$2:$I$3001))*ISNUMBER(SEARCH(Q488,보유목록!$I$2:$I$3001))),보유목록!$B$2:$B$3001),"")))</f>
      </c>
      <c r="N488" s="25"/>
      <c r="O488" t="str">
        <f>IFERROR(IF(AND(LEN(SUBSTITUTE(SUBSTITUTE(SUBSTITUTE(TRIM(C488&amp;""),CHAR(160),"")," ",""),"년",""))=4,VALUE(SUBSTITUTE(SUBSTITUTE(SUBSTITUTE(TRIM(C488&amp;""),CHAR(160),"")," ",""),"년",""))&gt;=1900,VALUE(SUBSTITUTE(SUBSTITUTE(SUBSTITUTE(TRIM(C488&amp;""),CHAR(160),"")," ",""),"년",""))&lt;=2099,TEXT(VALUE(SUBSTITUTE(SUBSTITUTE(SUBSTITUTE(TRIM(C488&amp;""),CHAR(160),"")," ",""),"년","")),"0000")=SUBSTITUTE(SUBSTITUTE(SUBSTITUTE(TRIM(C488&amp;""),CHAR(160),"")," ",""),"년","")),SUBSTITUTE(SUBSTITUTE(SUBSTITUTE(TRIM(C488&amp;""),CHAR(160),"")," ",""),"년",""),""),"")</f>
      </c>
      <c r="P488" t="str">
        <f>SUBSTITUTE(SUBSTITUTE(SUBSTITUTE(SUBSTITUTE(SUBSTITUTE(SUBSTITUTE(SUBSTITUTE(SUBSTITUTE(TRIM(D488&amp;""),CHAR(160),"")," ",""),"초등학교","초"),"중학교","중"),"고등학교","고"),"~","~~"),"*","~*"),"?","~?")</f>
      </c>
      <c r="Q488" t="str">
        <f>SUBSTITUTE(SUBSTITUTE(SUBSTITUTE(SUBSTITUTE(SUBSTITUTE(SUBSTITUTE(SUBSTITUTE(SUBSTITUTE(TRIM(E488&amp;""),CHAR(160),"")," ",""),"초등학교","초"),"중학교","중"),"고등학교","고"),"~","~~"),"*","~*"),"?","~?")</f>
      </c>
      <c r="R488" t="str">
        <f>IF(COUNTA(B488:J488)=0,"",IF(AND(O488&lt;&gt;"",P488&lt;&gt;"",Q488&lt;&gt;""),"","입력누락"))</f>
      </c>
    </row>
    <row r="489" customFormat="false" ht="15" hidden="false" customHeight="false" outlineLevel="0" collapsed="false">
      <c r="A489" t="n" s="19">
        <f aca="0">IF(COUNTA(B489:J489)=0,"",ROW()-1)</f>
      </c>
      <c r="B489" s="24"/>
      <c r="C489" s="25"/>
      <c r="D489" s="8"/>
      <c r="E489" s="8"/>
      <c r="F489" s="26"/>
      <c r="G489" s="24"/>
      <c r="H489" s="25"/>
      <c r="I489" s="25"/>
      <c r="J489" s="26"/>
      <c r="K489" t="str" s="15">
        <f aca="0">IF(COUNTA(B489:J489)=0,"",IF(R489&lt;&gt;"","확인필요(입력누락)",IF(COUNTIFS(보유목록!$I$2:$I$3001,"*"&amp;P489&amp;"*",보유목록!$I$2:$I$3001,"*"&amp;Q489&amp;"*",보유목록!$H$2:$H$3001,O489)&gt;0,"있음",IF(COUNTIFS(보유목록!$I$2:$I$3001,"*"&amp;P489&amp;"*",보유목록!$I$2:$I$3001,"*"&amp;Q489&amp;"*")&gt;0,"확인필요(연도다름)",IF(COUNTIFS(보유목록!$I$2:$I$3001,"*"&amp;P489&amp;"*",보유목록!$H$2:$H$3001,O489)&gt;0,"확인필요(같은학교·같은연도)","없음")))))</f>
      </c>
      <c r="L489" t="str" s="16">
        <f aca="0">IF(OR(COUNTA(B489:J489)=0,R489&lt;&gt;""),"",COUNTIFS(보유목록!$I$2:$I$3001,"*"&amp;P489&amp;"*",보유목록!$I$2:$I$3001,"*"&amp;Q489&amp;"*"))</f>
      </c>
      <c r="M489" t="str" s="23">
        <f aca="0">IF(OR(COUNTA(B489:J489)=0,R489&lt;&gt;""),"",IFERROR(LOOKUP(2,1/(ISNUMBER(SEARCH(P489,보유목록!$I$2:$I$3001))*ISNUMBER(SEARCH(Q489,보유목록!$I$2:$I$3001))*(보유목록!$H$2:$H$3001=O489)),보유목록!$B$2:$B$3001),IFERROR(LOOKUP(2,1/(ISNUMBER(SEARCH(P489,보유목록!$I$2:$I$3001))*ISNUMBER(SEARCH(Q489,보유목록!$I$2:$I$3001))),보유목록!$B$2:$B$3001),"")))</f>
      </c>
      <c r="N489" s="25"/>
      <c r="O489" t="str">
        <f>IFERROR(IF(AND(LEN(SUBSTITUTE(SUBSTITUTE(SUBSTITUTE(TRIM(C489&amp;""),CHAR(160),"")," ",""),"년",""))=4,VALUE(SUBSTITUTE(SUBSTITUTE(SUBSTITUTE(TRIM(C489&amp;""),CHAR(160),"")," ",""),"년",""))&gt;=1900,VALUE(SUBSTITUTE(SUBSTITUTE(SUBSTITUTE(TRIM(C489&amp;""),CHAR(160),"")," ",""),"년",""))&lt;=2099,TEXT(VALUE(SUBSTITUTE(SUBSTITUTE(SUBSTITUTE(TRIM(C489&amp;""),CHAR(160),"")," ",""),"년","")),"0000")=SUBSTITUTE(SUBSTITUTE(SUBSTITUTE(TRIM(C489&amp;""),CHAR(160),"")," ",""),"년","")),SUBSTITUTE(SUBSTITUTE(SUBSTITUTE(TRIM(C489&amp;""),CHAR(160),"")," ",""),"년",""),""),"")</f>
      </c>
      <c r="P489" t="str">
        <f>SUBSTITUTE(SUBSTITUTE(SUBSTITUTE(SUBSTITUTE(SUBSTITUTE(SUBSTITUTE(SUBSTITUTE(SUBSTITUTE(TRIM(D489&amp;""),CHAR(160),"")," ",""),"초등학교","초"),"중학교","중"),"고등학교","고"),"~","~~"),"*","~*"),"?","~?")</f>
      </c>
      <c r="Q489" t="str">
        <f>SUBSTITUTE(SUBSTITUTE(SUBSTITUTE(SUBSTITUTE(SUBSTITUTE(SUBSTITUTE(SUBSTITUTE(SUBSTITUTE(TRIM(E489&amp;""),CHAR(160),"")," ",""),"초등학교","초"),"중학교","중"),"고등학교","고"),"~","~~"),"*","~*"),"?","~?")</f>
      </c>
      <c r="R489" t="str">
        <f>IF(COUNTA(B489:J489)=0,"",IF(AND(O489&lt;&gt;"",P489&lt;&gt;"",Q489&lt;&gt;""),"","입력누락"))</f>
      </c>
    </row>
    <row r="490" customFormat="false" ht="15" hidden="false" customHeight="false" outlineLevel="0" collapsed="false">
      <c r="A490" t="n" s="19">
        <f aca="0">IF(COUNTA(B490:J490)=0,"",ROW()-1)</f>
      </c>
      <c r="B490" s="24"/>
      <c r="C490" s="25"/>
      <c r="D490" s="8"/>
      <c r="E490" s="8"/>
      <c r="F490" s="26"/>
      <c r="G490" s="24"/>
      <c r="H490" s="25"/>
      <c r="I490" s="25"/>
      <c r="J490" s="26"/>
      <c r="K490" t="str" s="15">
        <f aca="0">IF(COUNTA(B490:J490)=0,"",IF(R490&lt;&gt;"","확인필요(입력누락)",IF(COUNTIFS(보유목록!$I$2:$I$3001,"*"&amp;P490&amp;"*",보유목록!$I$2:$I$3001,"*"&amp;Q490&amp;"*",보유목록!$H$2:$H$3001,O490)&gt;0,"있음",IF(COUNTIFS(보유목록!$I$2:$I$3001,"*"&amp;P490&amp;"*",보유목록!$I$2:$I$3001,"*"&amp;Q490&amp;"*")&gt;0,"확인필요(연도다름)",IF(COUNTIFS(보유목록!$I$2:$I$3001,"*"&amp;P490&amp;"*",보유목록!$H$2:$H$3001,O490)&gt;0,"확인필요(같은학교·같은연도)","없음")))))</f>
      </c>
      <c r="L490" t="str" s="16">
        <f aca="0">IF(OR(COUNTA(B490:J490)=0,R490&lt;&gt;""),"",COUNTIFS(보유목록!$I$2:$I$3001,"*"&amp;P490&amp;"*",보유목록!$I$2:$I$3001,"*"&amp;Q490&amp;"*"))</f>
      </c>
      <c r="M490" t="str" s="23">
        <f aca="0">IF(OR(COUNTA(B490:J490)=0,R490&lt;&gt;""),"",IFERROR(LOOKUP(2,1/(ISNUMBER(SEARCH(P490,보유목록!$I$2:$I$3001))*ISNUMBER(SEARCH(Q490,보유목록!$I$2:$I$3001))*(보유목록!$H$2:$H$3001=O490)),보유목록!$B$2:$B$3001),IFERROR(LOOKUP(2,1/(ISNUMBER(SEARCH(P490,보유목록!$I$2:$I$3001))*ISNUMBER(SEARCH(Q490,보유목록!$I$2:$I$3001))),보유목록!$B$2:$B$3001),"")))</f>
      </c>
      <c r="N490" s="25"/>
      <c r="O490" t="str">
        <f>IFERROR(IF(AND(LEN(SUBSTITUTE(SUBSTITUTE(SUBSTITUTE(TRIM(C490&amp;""),CHAR(160),"")," ",""),"년",""))=4,VALUE(SUBSTITUTE(SUBSTITUTE(SUBSTITUTE(TRIM(C490&amp;""),CHAR(160),"")," ",""),"년",""))&gt;=1900,VALUE(SUBSTITUTE(SUBSTITUTE(SUBSTITUTE(TRIM(C490&amp;""),CHAR(160),"")," ",""),"년",""))&lt;=2099,TEXT(VALUE(SUBSTITUTE(SUBSTITUTE(SUBSTITUTE(TRIM(C490&amp;""),CHAR(160),"")," ",""),"년","")),"0000")=SUBSTITUTE(SUBSTITUTE(SUBSTITUTE(TRIM(C490&amp;""),CHAR(160),"")," ",""),"년","")),SUBSTITUTE(SUBSTITUTE(SUBSTITUTE(TRIM(C490&amp;""),CHAR(160),"")," ",""),"년",""),""),"")</f>
      </c>
      <c r="P490" t="str">
        <f>SUBSTITUTE(SUBSTITUTE(SUBSTITUTE(SUBSTITUTE(SUBSTITUTE(SUBSTITUTE(SUBSTITUTE(SUBSTITUTE(TRIM(D490&amp;""),CHAR(160),"")," ",""),"초등학교","초"),"중학교","중"),"고등학교","고"),"~","~~"),"*","~*"),"?","~?")</f>
      </c>
      <c r="Q490" t="str">
        <f>SUBSTITUTE(SUBSTITUTE(SUBSTITUTE(SUBSTITUTE(SUBSTITUTE(SUBSTITUTE(SUBSTITUTE(SUBSTITUTE(TRIM(E490&amp;""),CHAR(160),"")," ",""),"초등학교","초"),"중학교","중"),"고등학교","고"),"~","~~"),"*","~*"),"?","~?")</f>
      </c>
      <c r="R490" t="str">
        <f>IF(COUNTA(B490:J490)=0,"",IF(AND(O490&lt;&gt;"",P490&lt;&gt;"",Q490&lt;&gt;""),"","입력누락"))</f>
      </c>
    </row>
    <row r="491" customFormat="false" ht="15" hidden="false" customHeight="false" outlineLevel="0" collapsed="false">
      <c r="A491" t="n" s="19">
        <f aca="0">IF(COUNTA(B491:J491)=0,"",ROW()-1)</f>
      </c>
      <c r="B491" s="24"/>
      <c r="C491" s="25"/>
      <c r="D491" s="8"/>
      <c r="E491" s="8"/>
      <c r="F491" s="26"/>
      <c r="G491" s="24"/>
      <c r="H491" s="25"/>
      <c r="I491" s="25"/>
      <c r="J491" s="26"/>
      <c r="K491" t="str" s="15">
        <f aca="0">IF(COUNTA(B491:J491)=0,"",IF(R491&lt;&gt;"","확인필요(입력누락)",IF(COUNTIFS(보유목록!$I$2:$I$3001,"*"&amp;P491&amp;"*",보유목록!$I$2:$I$3001,"*"&amp;Q491&amp;"*",보유목록!$H$2:$H$3001,O491)&gt;0,"있음",IF(COUNTIFS(보유목록!$I$2:$I$3001,"*"&amp;P491&amp;"*",보유목록!$I$2:$I$3001,"*"&amp;Q491&amp;"*")&gt;0,"확인필요(연도다름)",IF(COUNTIFS(보유목록!$I$2:$I$3001,"*"&amp;P491&amp;"*",보유목록!$H$2:$H$3001,O491)&gt;0,"확인필요(같은학교·같은연도)","없음")))))</f>
      </c>
      <c r="L491" t="str" s="16">
        <f aca="0">IF(OR(COUNTA(B491:J491)=0,R491&lt;&gt;""),"",COUNTIFS(보유목록!$I$2:$I$3001,"*"&amp;P491&amp;"*",보유목록!$I$2:$I$3001,"*"&amp;Q491&amp;"*"))</f>
      </c>
      <c r="M491" t="str" s="23">
        <f aca="0">IF(OR(COUNTA(B491:J491)=0,R491&lt;&gt;""),"",IFERROR(LOOKUP(2,1/(ISNUMBER(SEARCH(P491,보유목록!$I$2:$I$3001))*ISNUMBER(SEARCH(Q491,보유목록!$I$2:$I$3001))*(보유목록!$H$2:$H$3001=O491)),보유목록!$B$2:$B$3001),IFERROR(LOOKUP(2,1/(ISNUMBER(SEARCH(P491,보유목록!$I$2:$I$3001))*ISNUMBER(SEARCH(Q491,보유목록!$I$2:$I$3001))),보유목록!$B$2:$B$3001),"")))</f>
      </c>
      <c r="N491" s="25"/>
      <c r="O491" t="str">
        <f>IFERROR(IF(AND(LEN(SUBSTITUTE(SUBSTITUTE(SUBSTITUTE(TRIM(C491&amp;""),CHAR(160),"")," ",""),"년",""))=4,VALUE(SUBSTITUTE(SUBSTITUTE(SUBSTITUTE(TRIM(C491&amp;""),CHAR(160),"")," ",""),"년",""))&gt;=1900,VALUE(SUBSTITUTE(SUBSTITUTE(SUBSTITUTE(TRIM(C491&amp;""),CHAR(160),"")," ",""),"년",""))&lt;=2099,TEXT(VALUE(SUBSTITUTE(SUBSTITUTE(SUBSTITUTE(TRIM(C491&amp;""),CHAR(160),"")," ",""),"년","")),"0000")=SUBSTITUTE(SUBSTITUTE(SUBSTITUTE(TRIM(C491&amp;""),CHAR(160),"")," ",""),"년","")),SUBSTITUTE(SUBSTITUTE(SUBSTITUTE(TRIM(C491&amp;""),CHAR(160),"")," ",""),"년",""),""),"")</f>
      </c>
      <c r="P491" t="str">
        <f>SUBSTITUTE(SUBSTITUTE(SUBSTITUTE(SUBSTITUTE(SUBSTITUTE(SUBSTITUTE(SUBSTITUTE(SUBSTITUTE(TRIM(D491&amp;""),CHAR(160),"")," ",""),"초등학교","초"),"중학교","중"),"고등학교","고"),"~","~~"),"*","~*"),"?","~?")</f>
      </c>
      <c r="Q491" t="str">
        <f>SUBSTITUTE(SUBSTITUTE(SUBSTITUTE(SUBSTITUTE(SUBSTITUTE(SUBSTITUTE(SUBSTITUTE(SUBSTITUTE(TRIM(E491&amp;""),CHAR(160),"")," ",""),"초등학교","초"),"중학교","중"),"고등학교","고"),"~","~~"),"*","~*"),"?","~?")</f>
      </c>
      <c r="R491" t="str">
        <f>IF(COUNTA(B491:J491)=0,"",IF(AND(O491&lt;&gt;"",P491&lt;&gt;"",Q491&lt;&gt;""),"","입력누락"))</f>
      </c>
    </row>
    <row r="492" customFormat="false" ht="15" hidden="false" customHeight="false" outlineLevel="0" collapsed="false">
      <c r="A492" t="n" s="19">
        <f aca="0">IF(COUNTA(B492:J492)=0,"",ROW()-1)</f>
      </c>
      <c r="B492" s="24"/>
      <c r="C492" s="25"/>
      <c r="D492" s="8"/>
      <c r="E492" s="8"/>
      <c r="F492" s="26"/>
      <c r="G492" s="24"/>
      <c r="H492" s="25"/>
      <c r="I492" s="25"/>
      <c r="J492" s="26"/>
      <c r="K492" t="str" s="15">
        <f aca="0">IF(COUNTA(B492:J492)=0,"",IF(R492&lt;&gt;"","확인필요(입력누락)",IF(COUNTIFS(보유목록!$I$2:$I$3001,"*"&amp;P492&amp;"*",보유목록!$I$2:$I$3001,"*"&amp;Q492&amp;"*",보유목록!$H$2:$H$3001,O492)&gt;0,"있음",IF(COUNTIFS(보유목록!$I$2:$I$3001,"*"&amp;P492&amp;"*",보유목록!$I$2:$I$3001,"*"&amp;Q492&amp;"*")&gt;0,"확인필요(연도다름)",IF(COUNTIFS(보유목록!$I$2:$I$3001,"*"&amp;P492&amp;"*",보유목록!$H$2:$H$3001,O492)&gt;0,"확인필요(같은학교·같은연도)","없음")))))</f>
      </c>
      <c r="L492" t="str" s="16">
        <f aca="0">IF(OR(COUNTA(B492:J492)=0,R492&lt;&gt;""),"",COUNTIFS(보유목록!$I$2:$I$3001,"*"&amp;P492&amp;"*",보유목록!$I$2:$I$3001,"*"&amp;Q492&amp;"*"))</f>
      </c>
      <c r="M492" t="str" s="23">
        <f aca="0">IF(OR(COUNTA(B492:J492)=0,R492&lt;&gt;""),"",IFERROR(LOOKUP(2,1/(ISNUMBER(SEARCH(P492,보유목록!$I$2:$I$3001))*ISNUMBER(SEARCH(Q492,보유목록!$I$2:$I$3001))*(보유목록!$H$2:$H$3001=O492)),보유목록!$B$2:$B$3001),IFERROR(LOOKUP(2,1/(ISNUMBER(SEARCH(P492,보유목록!$I$2:$I$3001))*ISNUMBER(SEARCH(Q492,보유목록!$I$2:$I$3001))),보유목록!$B$2:$B$3001),"")))</f>
      </c>
      <c r="N492" s="25"/>
      <c r="O492" t="str">
        <f>IFERROR(IF(AND(LEN(SUBSTITUTE(SUBSTITUTE(SUBSTITUTE(TRIM(C492&amp;""),CHAR(160),"")," ",""),"년",""))=4,VALUE(SUBSTITUTE(SUBSTITUTE(SUBSTITUTE(TRIM(C492&amp;""),CHAR(160),"")," ",""),"년",""))&gt;=1900,VALUE(SUBSTITUTE(SUBSTITUTE(SUBSTITUTE(TRIM(C492&amp;""),CHAR(160),"")," ",""),"년",""))&lt;=2099,TEXT(VALUE(SUBSTITUTE(SUBSTITUTE(SUBSTITUTE(TRIM(C492&amp;""),CHAR(160),"")," ",""),"년","")),"0000")=SUBSTITUTE(SUBSTITUTE(SUBSTITUTE(TRIM(C492&amp;""),CHAR(160),"")," ",""),"년","")),SUBSTITUTE(SUBSTITUTE(SUBSTITUTE(TRIM(C492&amp;""),CHAR(160),"")," ",""),"년",""),""),"")</f>
      </c>
      <c r="P492" t="str">
        <f>SUBSTITUTE(SUBSTITUTE(SUBSTITUTE(SUBSTITUTE(SUBSTITUTE(SUBSTITUTE(SUBSTITUTE(SUBSTITUTE(TRIM(D492&amp;""),CHAR(160),"")," ",""),"초등학교","초"),"중학교","중"),"고등학교","고"),"~","~~"),"*","~*"),"?","~?")</f>
      </c>
      <c r="Q492" t="str">
        <f>SUBSTITUTE(SUBSTITUTE(SUBSTITUTE(SUBSTITUTE(SUBSTITUTE(SUBSTITUTE(SUBSTITUTE(SUBSTITUTE(TRIM(E492&amp;""),CHAR(160),"")," ",""),"초등학교","초"),"중학교","중"),"고등학교","고"),"~","~~"),"*","~*"),"?","~?")</f>
      </c>
      <c r="R492" t="str">
        <f>IF(COUNTA(B492:J492)=0,"",IF(AND(O492&lt;&gt;"",P492&lt;&gt;"",Q492&lt;&gt;""),"","입력누락"))</f>
      </c>
    </row>
    <row r="493" customFormat="false" ht="15" hidden="false" customHeight="false" outlineLevel="0" collapsed="false">
      <c r="A493" t="n" s="19">
        <f aca="0">IF(COUNTA(B493:J493)=0,"",ROW()-1)</f>
      </c>
      <c r="B493" s="24"/>
      <c r="C493" s="25"/>
      <c r="D493" s="8"/>
      <c r="E493" s="8"/>
      <c r="F493" s="26"/>
      <c r="G493" s="24"/>
      <c r="H493" s="25"/>
      <c r="I493" s="25"/>
      <c r="J493" s="26"/>
      <c r="K493" t="str" s="15">
        <f aca="0">IF(COUNTA(B493:J493)=0,"",IF(R493&lt;&gt;"","확인필요(입력누락)",IF(COUNTIFS(보유목록!$I$2:$I$3001,"*"&amp;P493&amp;"*",보유목록!$I$2:$I$3001,"*"&amp;Q493&amp;"*",보유목록!$H$2:$H$3001,O493)&gt;0,"있음",IF(COUNTIFS(보유목록!$I$2:$I$3001,"*"&amp;P493&amp;"*",보유목록!$I$2:$I$3001,"*"&amp;Q493&amp;"*")&gt;0,"확인필요(연도다름)",IF(COUNTIFS(보유목록!$I$2:$I$3001,"*"&amp;P493&amp;"*",보유목록!$H$2:$H$3001,O493)&gt;0,"확인필요(같은학교·같은연도)","없음")))))</f>
      </c>
      <c r="L493" t="str" s="16">
        <f aca="0">IF(OR(COUNTA(B493:J493)=0,R493&lt;&gt;""),"",COUNTIFS(보유목록!$I$2:$I$3001,"*"&amp;P493&amp;"*",보유목록!$I$2:$I$3001,"*"&amp;Q493&amp;"*"))</f>
      </c>
      <c r="M493" t="str" s="23">
        <f aca="0">IF(OR(COUNTA(B493:J493)=0,R493&lt;&gt;""),"",IFERROR(LOOKUP(2,1/(ISNUMBER(SEARCH(P493,보유목록!$I$2:$I$3001))*ISNUMBER(SEARCH(Q493,보유목록!$I$2:$I$3001))*(보유목록!$H$2:$H$3001=O493)),보유목록!$B$2:$B$3001),IFERROR(LOOKUP(2,1/(ISNUMBER(SEARCH(P493,보유목록!$I$2:$I$3001))*ISNUMBER(SEARCH(Q493,보유목록!$I$2:$I$3001))),보유목록!$B$2:$B$3001),"")))</f>
      </c>
      <c r="N493" s="25"/>
      <c r="O493" t="str">
        <f>IFERROR(IF(AND(LEN(SUBSTITUTE(SUBSTITUTE(SUBSTITUTE(TRIM(C493&amp;""),CHAR(160),"")," ",""),"년",""))=4,VALUE(SUBSTITUTE(SUBSTITUTE(SUBSTITUTE(TRIM(C493&amp;""),CHAR(160),"")," ",""),"년",""))&gt;=1900,VALUE(SUBSTITUTE(SUBSTITUTE(SUBSTITUTE(TRIM(C493&amp;""),CHAR(160),"")," ",""),"년",""))&lt;=2099,TEXT(VALUE(SUBSTITUTE(SUBSTITUTE(SUBSTITUTE(TRIM(C493&amp;""),CHAR(160),"")," ",""),"년","")),"0000")=SUBSTITUTE(SUBSTITUTE(SUBSTITUTE(TRIM(C493&amp;""),CHAR(160),"")," ",""),"년","")),SUBSTITUTE(SUBSTITUTE(SUBSTITUTE(TRIM(C493&amp;""),CHAR(160),"")," ",""),"년",""),""),"")</f>
      </c>
      <c r="P493" t="str">
        <f>SUBSTITUTE(SUBSTITUTE(SUBSTITUTE(SUBSTITUTE(SUBSTITUTE(SUBSTITUTE(SUBSTITUTE(SUBSTITUTE(TRIM(D493&amp;""),CHAR(160),"")," ",""),"초등학교","초"),"중학교","중"),"고등학교","고"),"~","~~"),"*","~*"),"?","~?")</f>
      </c>
      <c r="Q493" t="str">
        <f>SUBSTITUTE(SUBSTITUTE(SUBSTITUTE(SUBSTITUTE(SUBSTITUTE(SUBSTITUTE(SUBSTITUTE(SUBSTITUTE(TRIM(E493&amp;""),CHAR(160),"")," ",""),"초등학교","초"),"중학교","중"),"고등학교","고"),"~","~~"),"*","~*"),"?","~?")</f>
      </c>
      <c r="R493" t="str">
        <f>IF(COUNTA(B493:J493)=0,"",IF(AND(O493&lt;&gt;"",P493&lt;&gt;"",Q493&lt;&gt;""),"","입력누락"))</f>
      </c>
    </row>
    <row r="494" customFormat="false" ht="15" hidden="false" customHeight="false" outlineLevel="0" collapsed="false">
      <c r="A494" t="n" s="19">
        <f aca="0">IF(COUNTA(B494:J494)=0,"",ROW()-1)</f>
      </c>
      <c r="B494" s="24"/>
      <c r="C494" s="25"/>
      <c r="D494" s="8"/>
      <c r="E494" s="8"/>
      <c r="F494" s="26"/>
      <c r="G494" s="24"/>
      <c r="H494" s="25"/>
      <c r="I494" s="25"/>
      <c r="J494" s="26"/>
      <c r="K494" t="str" s="15">
        <f aca="0">IF(COUNTA(B494:J494)=0,"",IF(R494&lt;&gt;"","확인필요(입력누락)",IF(COUNTIFS(보유목록!$I$2:$I$3001,"*"&amp;P494&amp;"*",보유목록!$I$2:$I$3001,"*"&amp;Q494&amp;"*",보유목록!$H$2:$H$3001,O494)&gt;0,"있음",IF(COUNTIFS(보유목록!$I$2:$I$3001,"*"&amp;P494&amp;"*",보유목록!$I$2:$I$3001,"*"&amp;Q494&amp;"*")&gt;0,"확인필요(연도다름)",IF(COUNTIFS(보유목록!$I$2:$I$3001,"*"&amp;P494&amp;"*",보유목록!$H$2:$H$3001,O494)&gt;0,"확인필요(같은학교·같은연도)","없음")))))</f>
      </c>
      <c r="L494" t="str" s="16">
        <f aca="0">IF(OR(COUNTA(B494:J494)=0,R494&lt;&gt;""),"",COUNTIFS(보유목록!$I$2:$I$3001,"*"&amp;P494&amp;"*",보유목록!$I$2:$I$3001,"*"&amp;Q494&amp;"*"))</f>
      </c>
      <c r="M494" t="str" s="23">
        <f aca="0">IF(OR(COUNTA(B494:J494)=0,R494&lt;&gt;""),"",IFERROR(LOOKUP(2,1/(ISNUMBER(SEARCH(P494,보유목록!$I$2:$I$3001))*ISNUMBER(SEARCH(Q494,보유목록!$I$2:$I$3001))*(보유목록!$H$2:$H$3001=O494)),보유목록!$B$2:$B$3001),IFERROR(LOOKUP(2,1/(ISNUMBER(SEARCH(P494,보유목록!$I$2:$I$3001))*ISNUMBER(SEARCH(Q494,보유목록!$I$2:$I$3001))),보유목록!$B$2:$B$3001),"")))</f>
      </c>
      <c r="N494" s="25"/>
      <c r="O494" t="str">
        <f>IFERROR(IF(AND(LEN(SUBSTITUTE(SUBSTITUTE(SUBSTITUTE(TRIM(C494&amp;""),CHAR(160),"")," ",""),"년",""))=4,VALUE(SUBSTITUTE(SUBSTITUTE(SUBSTITUTE(TRIM(C494&amp;""),CHAR(160),"")," ",""),"년",""))&gt;=1900,VALUE(SUBSTITUTE(SUBSTITUTE(SUBSTITUTE(TRIM(C494&amp;""),CHAR(160),"")," ",""),"년",""))&lt;=2099,TEXT(VALUE(SUBSTITUTE(SUBSTITUTE(SUBSTITUTE(TRIM(C494&amp;""),CHAR(160),"")," ",""),"년","")),"0000")=SUBSTITUTE(SUBSTITUTE(SUBSTITUTE(TRIM(C494&amp;""),CHAR(160),"")," ",""),"년","")),SUBSTITUTE(SUBSTITUTE(SUBSTITUTE(TRIM(C494&amp;""),CHAR(160),"")," ",""),"년",""),""),"")</f>
      </c>
      <c r="P494" t="str">
        <f>SUBSTITUTE(SUBSTITUTE(SUBSTITUTE(SUBSTITUTE(SUBSTITUTE(SUBSTITUTE(SUBSTITUTE(SUBSTITUTE(TRIM(D494&amp;""),CHAR(160),"")," ",""),"초등학교","초"),"중학교","중"),"고등학교","고"),"~","~~"),"*","~*"),"?","~?")</f>
      </c>
      <c r="Q494" t="str">
        <f>SUBSTITUTE(SUBSTITUTE(SUBSTITUTE(SUBSTITUTE(SUBSTITUTE(SUBSTITUTE(SUBSTITUTE(SUBSTITUTE(TRIM(E494&amp;""),CHAR(160),"")," ",""),"초등학교","초"),"중학교","중"),"고등학교","고"),"~","~~"),"*","~*"),"?","~?")</f>
      </c>
      <c r="R494" t="str">
        <f>IF(COUNTA(B494:J494)=0,"",IF(AND(O494&lt;&gt;"",P494&lt;&gt;"",Q494&lt;&gt;""),"","입력누락"))</f>
      </c>
    </row>
    <row r="495" customFormat="false" ht="15" hidden="false" customHeight="false" outlineLevel="0" collapsed="false">
      <c r="A495" t="n" s="19">
        <f aca="0">IF(COUNTA(B495:J495)=0,"",ROW()-1)</f>
      </c>
      <c r="B495" s="24"/>
      <c r="C495" s="25"/>
      <c r="D495" s="8"/>
      <c r="E495" s="8"/>
      <c r="F495" s="26"/>
      <c r="G495" s="24"/>
      <c r="H495" s="25"/>
      <c r="I495" s="25"/>
      <c r="J495" s="26"/>
      <c r="K495" t="str" s="15">
        <f aca="0">IF(COUNTA(B495:J495)=0,"",IF(R495&lt;&gt;"","확인필요(입력누락)",IF(COUNTIFS(보유목록!$I$2:$I$3001,"*"&amp;P495&amp;"*",보유목록!$I$2:$I$3001,"*"&amp;Q495&amp;"*",보유목록!$H$2:$H$3001,O495)&gt;0,"있음",IF(COUNTIFS(보유목록!$I$2:$I$3001,"*"&amp;P495&amp;"*",보유목록!$I$2:$I$3001,"*"&amp;Q495&amp;"*")&gt;0,"확인필요(연도다름)",IF(COUNTIFS(보유목록!$I$2:$I$3001,"*"&amp;P495&amp;"*",보유목록!$H$2:$H$3001,O495)&gt;0,"확인필요(같은학교·같은연도)","없음")))))</f>
      </c>
      <c r="L495" t="str" s="16">
        <f aca="0">IF(OR(COUNTA(B495:J495)=0,R495&lt;&gt;""),"",COUNTIFS(보유목록!$I$2:$I$3001,"*"&amp;P495&amp;"*",보유목록!$I$2:$I$3001,"*"&amp;Q495&amp;"*"))</f>
      </c>
      <c r="M495" t="str" s="23">
        <f aca="0">IF(OR(COUNTA(B495:J495)=0,R495&lt;&gt;""),"",IFERROR(LOOKUP(2,1/(ISNUMBER(SEARCH(P495,보유목록!$I$2:$I$3001))*ISNUMBER(SEARCH(Q495,보유목록!$I$2:$I$3001))*(보유목록!$H$2:$H$3001=O495)),보유목록!$B$2:$B$3001),IFERROR(LOOKUP(2,1/(ISNUMBER(SEARCH(P495,보유목록!$I$2:$I$3001))*ISNUMBER(SEARCH(Q495,보유목록!$I$2:$I$3001))),보유목록!$B$2:$B$3001),"")))</f>
      </c>
      <c r="N495" s="25"/>
      <c r="O495" t="str">
        <f>IFERROR(IF(AND(LEN(SUBSTITUTE(SUBSTITUTE(SUBSTITUTE(TRIM(C495&amp;""),CHAR(160),"")," ",""),"년",""))=4,VALUE(SUBSTITUTE(SUBSTITUTE(SUBSTITUTE(TRIM(C495&amp;""),CHAR(160),"")," ",""),"년",""))&gt;=1900,VALUE(SUBSTITUTE(SUBSTITUTE(SUBSTITUTE(TRIM(C495&amp;""),CHAR(160),"")," ",""),"년",""))&lt;=2099,TEXT(VALUE(SUBSTITUTE(SUBSTITUTE(SUBSTITUTE(TRIM(C495&amp;""),CHAR(160),"")," ",""),"년","")),"0000")=SUBSTITUTE(SUBSTITUTE(SUBSTITUTE(TRIM(C495&amp;""),CHAR(160),"")," ",""),"년","")),SUBSTITUTE(SUBSTITUTE(SUBSTITUTE(TRIM(C495&amp;""),CHAR(160),"")," ",""),"년",""),""),"")</f>
      </c>
      <c r="P495" t="str">
        <f>SUBSTITUTE(SUBSTITUTE(SUBSTITUTE(SUBSTITUTE(SUBSTITUTE(SUBSTITUTE(SUBSTITUTE(SUBSTITUTE(TRIM(D495&amp;""),CHAR(160),"")," ",""),"초등학교","초"),"중학교","중"),"고등학교","고"),"~","~~"),"*","~*"),"?","~?")</f>
      </c>
      <c r="Q495" t="str">
        <f>SUBSTITUTE(SUBSTITUTE(SUBSTITUTE(SUBSTITUTE(SUBSTITUTE(SUBSTITUTE(SUBSTITUTE(SUBSTITUTE(TRIM(E495&amp;""),CHAR(160),"")," ",""),"초등학교","초"),"중학교","중"),"고등학교","고"),"~","~~"),"*","~*"),"?","~?")</f>
      </c>
      <c r="R495" t="str">
        <f>IF(COUNTA(B495:J495)=0,"",IF(AND(O495&lt;&gt;"",P495&lt;&gt;"",Q495&lt;&gt;""),"","입력누락"))</f>
      </c>
    </row>
    <row r="496" customFormat="false" ht="15" hidden="false" customHeight="false" outlineLevel="0" collapsed="false">
      <c r="A496" t="n" s="19">
        <f aca="0">IF(COUNTA(B496:J496)=0,"",ROW()-1)</f>
      </c>
      <c r="B496" s="24"/>
      <c r="C496" s="25"/>
      <c r="D496" s="8"/>
      <c r="E496" s="8"/>
      <c r="F496" s="26"/>
      <c r="G496" s="24"/>
      <c r="H496" s="25"/>
      <c r="I496" s="25"/>
      <c r="J496" s="26"/>
      <c r="K496" t="str" s="15">
        <f aca="0">IF(COUNTA(B496:J496)=0,"",IF(R496&lt;&gt;"","확인필요(입력누락)",IF(COUNTIFS(보유목록!$I$2:$I$3001,"*"&amp;P496&amp;"*",보유목록!$I$2:$I$3001,"*"&amp;Q496&amp;"*",보유목록!$H$2:$H$3001,O496)&gt;0,"있음",IF(COUNTIFS(보유목록!$I$2:$I$3001,"*"&amp;P496&amp;"*",보유목록!$I$2:$I$3001,"*"&amp;Q496&amp;"*")&gt;0,"확인필요(연도다름)",IF(COUNTIFS(보유목록!$I$2:$I$3001,"*"&amp;P496&amp;"*",보유목록!$H$2:$H$3001,O496)&gt;0,"확인필요(같은학교·같은연도)","없음")))))</f>
      </c>
      <c r="L496" t="str" s="16">
        <f aca="0">IF(OR(COUNTA(B496:J496)=0,R496&lt;&gt;""),"",COUNTIFS(보유목록!$I$2:$I$3001,"*"&amp;P496&amp;"*",보유목록!$I$2:$I$3001,"*"&amp;Q496&amp;"*"))</f>
      </c>
      <c r="M496" t="str" s="23">
        <f aca="0">IF(OR(COUNTA(B496:J496)=0,R496&lt;&gt;""),"",IFERROR(LOOKUP(2,1/(ISNUMBER(SEARCH(P496,보유목록!$I$2:$I$3001))*ISNUMBER(SEARCH(Q496,보유목록!$I$2:$I$3001))*(보유목록!$H$2:$H$3001=O496)),보유목록!$B$2:$B$3001),IFERROR(LOOKUP(2,1/(ISNUMBER(SEARCH(P496,보유목록!$I$2:$I$3001))*ISNUMBER(SEARCH(Q496,보유목록!$I$2:$I$3001))),보유목록!$B$2:$B$3001),"")))</f>
      </c>
      <c r="N496" s="25"/>
      <c r="O496" t="str">
        <f>IFERROR(IF(AND(LEN(SUBSTITUTE(SUBSTITUTE(SUBSTITUTE(TRIM(C496&amp;""),CHAR(160),"")," ",""),"년",""))=4,VALUE(SUBSTITUTE(SUBSTITUTE(SUBSTITUTE(TRIM(C496&amp;""),CHAR(160),"")," ",""),"년",""))&gt;=1900,VALUE(SUBSTITUTE(SUBSTITUTE(SUBSTITUTE(TRIM(C496&amp;""),CHAR(160),"")," ",""),"년",""))&lt;=2099,TEXT(VALUE(SUBSTITUTE(SUBSTITUTE(SUBSTITUTE(TRIM(C496&amp;""),CHAR(160),"")," ",""),"년","")),"0000")=SUBSTITUTE(SUBSTITUTE(SUBSTITUTE(TRIM(C496&amp;""),CHAR(160),"")," ",""),"년","")),SUBSTITUTE(SUBSTITUTE(SUBSTITUTE(TRIM(C496&amp;""),CHAR(160),"")," ",""),"년",""),""),"")</f>
      </c>
      <c r="P496" t="str">
        <f>SUBSTITUTE(SUBSTITUTE(SUBSTITUTE(SUBSTITUTE(SUBSTITUTE(SUBSTITUTE(SUBSTITUTE(SUBSTITUTE(TRIM(D496&amp;""),CHAR(160),"")," ",""),"초등학교","초"),"중학교","중"),"고등학교","고"),"~","~~"),"*","~*"),"?","~?")</f>
      </c>
      <c r="Q496" t="str">
        <f>SUBSTITUTE(SUBSTITUTE(SUBSTITUTE(SUBSTITUTE(SUBSTITUTE(SUBSTITUTE(SUBSTITUTE(SUBSTITUTE(TRIM(E496&amp;""),CHAR(160),"")," ",""),"초등학교","초"),"중학교","중"),"고등학교","고"),"~","~~"),"*","~*"),"?","~?")</f>
      </c>
      <c r="R496" t="str">
        <f>IF(COUNTA(B496:J496)=0,"",IF(AND(O496&lt;&gt;"",P496&lt;&gt;"",Q496&lt;&gt;""),"","입력누락"))</f>
      </c>
    </row>
    <row r="497" customFormat="false" ht="15" hidden="false" customHeight="false" outlineLevel="0" collapsed="false">
      <c r="A497" t="n" s="19">
        <f aca="0">IF(COUNTA(B497:J497)=0,"",ROW()-1)</f>
      </c>
      <c r="B497" s="24"/>
      <c r="C497" s="25"/>
      <c r="D497" s="8"/>
      <c r="E497" s="8"/>
      <c r="F497" s="26"/>
      <c r="G497" s="24"/>
      <c r="H497" s="25"/>
      <c r="I497" s="25"/>
      <c r="J497" s="26"/>
      <c r="K497" t="str" s="15">
        <f aca="0">IF(COUNTA(B497:J497)=0,"",IF(R497&lt;&gt;"","확인필요(입력누락)",IF(COUNTIFS(보유목록!$I$2:$I$3001,"*"&amp;P497&amp;"*",보유목록!$I$2:$I$3001,"*"&amp;Q497&amp;"*",보유목록!$H$2:$H$3001,O497)&gt;0,"있음",IF(COUNTIFS(보유목록!$I$2:$I$3001,"*"&amp;P497&amp;"*",보유목록!$I$2:$I$3001,"*"&amp;Q497&amp;"*")&gt;0,"확인필요(연도다름)",IF(COUNTIFS(보유목록!$I$2:$I$3001,"*"&amp;P497&amp;"*",보유목록!$H$2:$H$3001,O497)&gt;0,"확인필요(같은학교·같은연도)","없음")))))</f>
      </c>
      <c r="L497" t="str" s="16">
        <f aca="0">IF(OR(COUNTA(B497:J497)=0,R497&lt;&gt;""),"",COUNTIFS(보유목록!$I$2:$I$3001,"*"&amp;P497&amp;"*",보유목록!$I$2:$I$3001,"*"&amp;Q497&amp;"*"))</f>
      </c>
      <c r="M497" t="str" s="23">
        <f aca="0">IF(OR(COUNTA(B497:J497)=0,R497&lt;&gt;""),"",IFERROR(LOOKUP(2,1/(ISNUMBER(SEARCH(P497,보유목록!$I$2:$I$3001))*ISNUMBER(SEARCH(Q497,보유목록!$I$2:$I$3001))*(보유목록!$H$2:$H$3001=O497)),보유목록!$B$2:$B$3001),IFERROR(LOOKUP(2,1/(ISNUMBER(SEARCH(P497,보유목록!$I$2:$I$3001))*ISNUMBER(SEARCH(Q497,보유목록!$I$2:$I$3001))),보유목록!$B$2:$B$3001),"")))</f>
      </c>
      <c r="N497" s="25"/>
      <c r="O497" t="str">
        <f>IFERROR(IF(AND(LEN(SUBSTITUTE(SUBSTITUTE(SUBSTITUTE(TRIM(C497&amp;""),CHAR(160),"")," ",""),"년",""))=4,VALUE(SUBSTITUTE(SUBSTITUTE(SUBSTITUTE(TRIM(C497&amp;""),CHAR(160),"")," ",""),"년",""))&gt;=1900,VALUE(SUBSTITUTE(SUBSTITUTE(SUBSTITUTE(TRIM(C497&amp;""),CHAR(160),"")," ",""),"년",""))&lt;=2099,TEXT(VALUE(SUBSTITUTE(SUBSTITUTE(SUBSTITUTE(TRIM(C497&amp;""),CHAR(160),"")," ",""),"년","")),"0000")=SUBSTITUTE(SUBSTITUTE(SUBSTITUTE(TRIM(C497&amp;""),CHAR(160),"")," ",""),"년","")),SUBSTITUTE(SUBSTITUTE(SUBSTITUTE(TRIM(C497&amp;""),CHAR(160),"")," ",""),"년",""),""),"")</f>
      </c>
      <c r="P497" t="str">
        <f>SUBSTITUTE(SUBSTITUTE(SUBSTITUTE(SUBSTITUTE(SUBSTITUTE(SUBSTITUTE(SUBSTITUTE(SUBSTITUTE(TRIM(D497&amp;""),CHAR(160),"")," ",""),"초등학교","초"),"중학교","중"),"고등학교","고"),"~","~~"),"*","~*"),"?","~?")</f>
      </c>
      <c r="Q497" t="str">
        <f>SUBSTITUTE(SUBSTITUTE(SUBSTITUTE(SUBSTITUTE(SUBSTITUTE(SUBSTITUTE(SUBSTITUTE(SUBSTITUTE(TRIM(E497&amp;""),CHAR(160),"")," ",""),"초등학교","초"),"중학교","중"),"고등학교","고"),"~","~~"),"*","~*"),"?","~?")</f>
      </c>
      <c r="R497" t="str">
        <f>IF(COUNTA(B497:J497)=0,"",IF(AND(O497&lt;&gt;"",P497&lt;&gt;"",Q497&lt;&gt;""),"","입력누락"))</f>
      </c>
    </row>
    <row r="498" customFormat="false" ht="15" hidden="false" customHeight="false" outlineLevel="0" collapsed="false">
      <c r="A498" t="n" s="19">
        <f aca="0">IF(COUNTA(B498:J498)=0,"",ROW()-1)</f>
      </c>
      <c r="B498" s="24"/>
      <c r="C498" s="25"/>
      <c r="D498" s="8"/>
      <c r="E498" s="8"/>
      <c r="F498" s="26"/>
      <c r="G498" s="24"/>
      <c r="H498" s="25"/>
      <c r="I498" s="25"/>
      <c r="J498" s="26"/>
      <c r="K498" t="str" s="15">
        <f aca="0">IF(COUNTA(B498:J498)=0,"",IF(R498&lt;&gt;"","확인필요(입력누락)",IF(COUNTIFS(보유목록!$I$2:$I$3001,"*"&amp;P498&amp;"*",보유목록!$I$2:$I$3001,"*"&amp;Q498&amp;"*",보유목록!$H$2:$H$3001,O498)&gt;0,"있음",IF(COUNTIFS(보유목록!$I$2:$I$3001,"*"&amp;P498&amp;"*",보유목록!$I$2:$I$3001,"*"&amp;Q498&amp;"*")&gt;0,"확인필요(연도다름)",IF(COUNTIFS(보유목록!$I$2:$I$3001,"*"&amp;P498&amp;"*",보유목록!$H$2:$H$3001,O498)&gt;0,"확인필요(같은학교·같은연도)","없음")))))</f>
      </c>
      <c r="L498" t="str" s="16">
        <f aca="0">IF(OR(COUNTA(B498:J498)=0,R498&lt;&gt;""),"",COUNTIFS(보유목록!$I$2:$I$3001,"*"&amp;P498&amp;"*",보유목록!$I$2:$I$3001,"*"&amp;Q498&amp;"*"))</f>
      </c>
      <c r="M498" t="str" s="23">
        <f aca="0">IF(OR(COUNTA(B498:J498)=0,R498&lt;&gt;""),"",IFERROR(LOOKUP(2,1/(ISNUMBER(SEARCH(P498,보유목록!$I$2:$I$3001))*ISNUMBER(SEARCH(Q498,보유목록!$I$2:$I$3001))*(보유목록!$H$2:$H$3001=O498)),보유목록!$B$2:$B$3001),IFERROR(LOOKUP(2,1/(ISNUMBER(SEARCH(P498,보유목록!$I$2:$I$3001))*ISNUMBER(SEARCH(Q498,보유목록!$I$2:$I$3001))),보유목록!$B$2:$B$3001),"")))</f>
      </c>
      <c r="N498" s="25"/>
      <c r="O498" t="str">
        <f>IFERROR(IF(AND(LEN(SUBSTITUTE(SUBSTITUTE(SUBSTITUTE(TRIM(C498&amp;""),CHAR(160),"")," ",""),"년",""))=4,VALUE(SUBSTITUTE(SUBSTITUTE(SUBSTITUTE(TRIM(C498&amp;""),CHAR(160),"")," ",""),"년",""))&gt;=1900,VALUE(SUBSTITUTE(SUBSTITUTE(SUBSTITUTE(TRIM(C498&amp;""),CHAR(160),"")," ",""),"년",""))&lt;=2099,TEXT(VALUE(SUBSTITUTE(SUBSTITUTE(SUBSTITUTE(TRIM(C498&amp;""),CHAR(160),"")," ",""),"년","")),"0000")=SUBSTITUTE(SUBSTITUTE(SUBSTITUTE(TRIM(C498&amp;""),CHAR(160),"")," ",""),"년","")),SUBSTITUTE(SUBSTITUTE(SUBSTITUTE(TRIM(C498&amp;""),CHAR(160),"")," ",""),"년",""),""),"")</f>
      </c>
      <c r="P498" t="str">
        <f>SUBSTITUTE(SUBSTITUTE(SUBSTITUTE(SUBSTITUTE(SUBSTITUTE(SUBSTITUTE(SUBSTITUTE(SUBSTITUTE(TRIM(D498&amp;""),CHAR(160),"")," ",""),"초등학교","초"),"중학교","중"),"고등학교","고"),"~","~~"),"*","~*"),"?","~?")</f>
      </c>
      <c r="Q498" t="str">
        <f>SUBSTITUTE(SUBSTITUTE(SUBSTITUTE(SUBSTITUTE(SUBSTITUTE(SUBSTITUTE(SUBSTITUTE(SUBSTITUTE(TRIM(E498&amp;""),CHAR(160),"")," ",""),"초등학교","초"),"중학교","중"),"고등학교","고"),"~","~~"),"*","~*"),"?","~?")</f>
      </c>
      <c r="R498" t="str">
        <f>IF(COUNTA(B498:J498)=0,"",IF(AND(O498&lt;&gt;"",P498&lt;&gt;"",Q498&lt;&gt;""),"","입력누락"))</f>
      </c>
    </row>
    <row r="499" customFormat="false" ht="15" hidden="false" customHeight="false" outlineLevel="0" collapsed="false">
      <c r="A499" t="n" s="19">
        <f aca="0">IF(COUNTA(B499:J499)=0,"",ROW()-1)</f>
      </c>
      <c r="B499" s="24"/>
      <c r="C499" s="25"/>
      <c r="D499" s="8"/>
      <c r="E499" s="8"/>
      <c r="F499" s="26"/>
      <c r="G499" s="24"/>
      <c r="H499" s="25"/>
      <c r="I499" s="25"/>
      <c r="J499" s="26"/>
      <c r="K499" t="str" s="15">
        <f aca="0">IF(COUNTA(B499:J499)=0,"",IF(R499&lt;&gt;"","확인필요(입력누락)",IF(COUNTIFS(보유목록!$I$2:$I$3001,"*"&amp;P499&amp;"*",보유목록!$I$2:$I$3001,"*"&amp;Q499&amp;"*",보유목록!$H$2:$H$3001,O499)&gt;0,"있음",IF(COUNTIFS(보유목록!$I$2:$I$3001,"*"&amp;P499&amp;"*",보유목록!$I$2:$I$3001,"*"&amp;Q499&amp;"*")&gt;0,"확인필요(연도다름)",IF(COUNTIFS(보유목록!$I$2:$I$3001,"*"&amp;P499&amp;"*",보유목록!$H$2:$H$3001,O499)&gt;0,"확인필요(같은학교·같은연도)","없음")))))</f>
      </c>
      <c r="L499" t="str" s="16">
        <f aca="0">IF(OR(COUNTA(B499:J499)=0,R499&lt;&gt;""),"",COUNTIFS(보유목록!$I$2:$I$3001,"*"&amp;P499&amp;"*",보유목록!$I$2:$I$3001,"*"&amp;Q499&amp;"*"))</f>
      </c>
      <c r="M499" t="str" s="23">
        <f aca="0">IF(OR(COUNTA(B499:J499)=0,R499&lt;&gt;""),"",IFERROR(LOOKUP(2,1/(ISNUMBER(SEARCH(P499,보유목록!$I$2:$I$3001))*ISNUMBER(SEARCH(Q499,보유목록!$I$2:$I$3001))*(보유목록!$H$2:$H$3001=O499)),보유목록!$B$2:$B$3001),IFERROR(LOOKUP(2,1/(ISNUMBER(SEARCH(P499,보유목록!$I$2:$I$3001))*ISNUMBER(SEARCH(Q499,보유목록!$I$2:$I$3001))),보유목록!$B$2:$B$3001),"")))</f>
      </c>
      <c r="N499" s="25"/>
      <c r="O499" t="str">
        <f>IFERROR(IF(AND(LEN(SUBSTITUTE(SUBSTITUTE(SUBSTITUTE(TRIM(C499&amp;""),CHAR(160),"")," ",""),"년",""))=4,VALUE(SUBSTITUTE(SUBSTITUTE(SUBSTITUTE(TRIM(C499&amp;""),CHAR(160),"")," ",""),"년",""))&gt;=1900,VALUE(SUBSTITUTE(SUBSTITUTE(SUBSTITUTE(TRIM(C499&amp;""),CHAR(160),"")," ",""),"년",""))&lt;=2099,TEXT(VALUE(SUBSTITUTE(SUBSTITUTE(SUBSTITUTE(TRIM(C499&amp;""),CHAR(160),"")," ",""),"년","")),"0000")=SUBSTITUTE(SUBSTITUTE(SUBSTITUTE(TRIM(C499&amp;""),CHAR(160),"")," ",""),"년","")),SUBSTITUTE(SUBSTITUTE(SUBSTITUTE(TRIM(C499&amp;""),CHAR(160),"")," ",""),"년",""),""),"")</f>
      </c>
      <c r="P499" t="str">
        <f>SUBSTITUTE(SUBSTITUTE(SUBSTITUTE(SUBSTITUTE(SUBSTITUTE(SUBSTITUTE(SUBSTITUTE(SUBSTITUTE(TRIM(D499&amp;""),CHAR(160),"")," ",""),"초등학교","초"),"중학교","중"),"고등학교","고"),"~","~~"),"*","~*"),"?","~?")</f>
      </c>
      <c r="Q499" t="str">
        <f>SUBSTITUTE(SUBSTITUTE(SUBSTITUTE(SUBSTITUTE(SUBSTITUTE(SUBSTITUTE(SUBSTITUTE(SUBSTITUTE(TRIM(E499&amp;""),CHAR(160),"")," ",""),"초등학교","초"),"중학교","중"),"고등학교","고"),"~","~~"),"*","~*"),"?","~?")</f>
      </c>
      <c r="R499" t="str">
        <f>IF(COUNTA(B499:J499)=0,"",IF(AND(O499&lt;&gt;"",P499&lt;&gt;"",Q499&lt;&gt;""),"","입력누락"))</f>
      </c>
    </row>
    <row r="500" customFormat="false" ht="15" hidden="false" customHeight="false" outlineLevel="0" collapsed="false">
      <c r="A500" t="n" s="19">
        <f aca="0">IF(COUNTA(B500:J500)=0,"",ROW()-1)</f>
      </c>
      <c r="B500" s="24"/>
      <c r="C500" s="25"/>
      <c r="D500" s="8"/>
      <c r="E500" s="8"/>
      <c r="F500" s="26"/>
      <c r="G500" s="24"/>
      <c r="H500" s="25"/>
      <c r="I500" s="25"/>
      <c r="J500" s="26"/>
      <c r="K500" t="str" s="15">
        <f aca="0">IF(COUNTA(B500:J500)=0,"",IF(R500&lt;&gt;"","확인필요(입력누락)",IF(COUNTIFS(보유목록!$I$2:$I$3001,"*"&amp;P500&amp;"*",보유목록!$I$2:$I$3001,"*"&amp;Q500&amp;"*",보유목록!$H$2:$H$3001,O500)&gt;0,"있음",IF(COUNTIFS(보유목록!$I$2:$I$3001,"*"&amp;P500&amp;"*",보유목록!$I$2:$I$3001,"*"&amp;Q500&amp;"*")&gt;0,"확인필요(연도다름)",IF(COUNTIFS(보유목록!$I$2:$I$3001,"*"&amp;P500&amp;"*",보유목록!$H$2:$H$3001,O500)&gt;0,"확인필요(같은학교·같은연도)","없음")))))</f>
      </c>
      <c r="L500" t="str" s="16">
        <f aca="0">IF(OR(COUNTA(B500:J500)=0,R500&lt;&gt;""),"",COUNTIFS(보유목록!$I$2:$I$3001,"*"&amp;P500&amp;"*",보유목록!$I$2:$I$3001,"*"&amp;Q500&amp;"*"))</f>
      </c>
      <c r="M500" t="str" s="23">
        <f aca="0">IF(OR(COUNTA(B500:J500)=0,R500&lt;&gt;""),"",IFERROR(LOOKUP(2,1/(ISNUMBER(SEARCH(P500,보유목록!$I$2:$I$3001))*ISNUMBER(SEARCH(Q500,보유목록!$I$2:$I$3001))*(보유목록!$H$2:$H$3001=O500)),보유목록!$B$2:$B$3001),IFERROR(LOOKUP(2,1/(ISNUMBER(SEARCH(P500,보유목록!$I$2:$I$3001))*ISNUMBER(SEARCH(Q500,보유목록!$I$2:$I$3001))),보유목록!$B$2:$B$3001),"")))</f>
      </c>
      <c r="N500" s="25"/>
      <c r="O500" t="str">
        <f>IFERROR(IF(AND(LEN(SUBSTITUTE(SUBSTITUTE(SUBSTITUTE(TRIM(C500&amp;""),CHAR(160),"")," ",""),"년",""))=4,VALUE(SUBSTITUTE(SUBSTITUTE(SUBSTITUTE(TRIM(C500&amp;""),CHAR(160),"")," ",""),"년",""))&gt;=1900,VALUE(SUBSTITUTE(SUBSTITUTE(SUBSTITUTE(TRIM(C500&amp;""),CHAR(160),"")," ",""),"년",""))&lt;=2099,TEXT(VALUE(SUBSTITUTE(SUBSTITUTE(SUBSTITUTE(TRIM(C500&amp;""),CHAR(160),"")," ",""),"년","")),"0000")=SUBSTITUTE(SUBSTITUTE(SUBSTITUTE(TRIM(C500&amp;""),CHAR(160),"")," ",""),"년","")),SUBSTITUTE(SUBSTITUTE(SUBSTITUTE(TRIM(C500&amp;""),CHAR(160),"")," ",""),"년",""),""),"")</f>
      </c>
      <c r="P500" t="str">
        <f>SUBSTITUTE(SUBSTITUTE(SUBSTITUTE(SUBSTITUTE(SUBSTITUTE(SUBSTITUTE(SUBSTITUTE(SUBSTITUTE(TRIM(D500&amp;""),CHAR(160),"")," ",""),"초등학교","초"),"중학교","중"),"고등학교","고"),"~","~~"),"*","~*"),"?","~?")</f>
      </c>
      <c r="Q500" t="str">
        <f>SUBSTITUTE(SUBSTITUTE(SUBSTITUTE(SUBSTITUTE(SUBSTITUTE(SUBSTITUTE(SUBSTITUTE(SUBSTITUTE(TRIM(E500&amp;""),CHAR(160),"")," ",""),"초등학교","초"),"중학교","중"),"고등학교","고"),"~","~~"),"*","~*"),"?","~?")</f>
      </c>
      <c r="R500" t="str">
        <f>IF(COUNTA(B500:J500)=0,"",IF(AND(O500&lt;&gt;"",P500&lt;&gt;"",Q500&lt;&gt;""),"","입력누락"))</f>
      </c>
    </row>
    <row r="501" customFormat="false" ht="15" hidden="false" customHeight="false" outlineLevel="0" collapsed="false">
      <c r="A501" t="n" s="19">
        <f aca="0">IF(COUNTA(B501:J501)=0,"",ROW()-1)</f>
      </c>
      <c r="B501" s="24"/>
      <c r="C501" s="25"/>
      <c r="D501" s="8"/>
      <c r="E501" s="8"/>
      <c r="F501" s="26"/>
      <c r="G501" s="24"/>
      <c r="H501" s="25"/>
      <c r="I501" s="25"/>
      <c r="J501" s="26"/>
      <c r="K501" t="str" s="15">
        <f aca="0">IF(COUNTA(B501:J501)=0,"",IF(R501&lt;&gt;"","확인필요(입력누락)",IF(COUNTIFS(보유목록!$I$2:$I$3001,"*"&amp;P501&amp;"*",보유목록!$I$2:$I$3001,"*"&amp;Q501&amp;"*",보유목록!$H$2:$H$3001,O501)&gt;0,"있음",IF(COUNTIFS(보유목록!$I$2:$I$3001,"*"&amp;P501&amp;"*",보유목록!$I$2:$I$3001,"*"&amp;Q501&amp;"*")&gt;0,"확인필요(연도다름)",IF(COUNTIFS(보유목록!$I$2:$I$3001,"*"&amp;P501&amp;"*",보유목록!$H$2:$H$3001,O501)&gt;0,"확인필요(같은학교·같은연도)","없음")))))</f>
      </c>
      <c r="L501" t="str" s="16">
        <f aca="0">IF(OR(COUNTA(B501:J501)=0,R501&lt;&gt;""),"",COUNTIFS(보유목록!$I$2:$I$3001,"*"&amp;P501&amp;"*",보유목록!$I$2:$I$3001,"*"&amp;Q501&amp;"*"))</f>
      </c>
      <c r="M501" t="str" s="23">
        <f aca="0">IF(OR(COUNTA(B501:J501)=0,R501&lt;&gt;""),"",IFERROR(LOOKUP(2,1/(ISNUMBER(SEARCH(P501,보유목록!$I$2:$I$3001))*ISNUMBER(SEARCH(Q501,보유목록!$I$2:$I$3001))*(보유목록!$H$2:$H$3001=O501)),보유목록!$B$2:$B$3001),IFERROR(LOOKUP(2,1/(ISNUMBER(SEARCH(P501,보유목록!$I$2:$I$3001))*ISNUMBER(SEARCH(Q501,보유목록!$I$2:$I$3001))),보유목록!$B$2:$B$3001),"")))</f>
      </c>
      <c r="N501" s="25"/>
      <c r="O501" t="str">
        <f>IFERROR(IF(AND(LEN(SUBSTITUTE(SUBSTITUTE(SUBSTITUTE(TRIM(C501&amp;""),CHAR(160),"")," ",""),"년",""))=4,VALUE(SUBSTITUTE(SUBSTITUTE(SUBSTITUTE(TRIM(C501&amp;""),CHAR(160),"")," ",""),"년",""))&gt;=1900,VALUE(SUBSTITUTE(SUBSTITUTE(SUBSTITUTE(TRIM(C501&amp;""),CHAR(160),"")," ",""),"년",""))&lt;=2099,TEXT(VALUE(SUBSTITUTE(SUBSTITUTE(SUBSTITUTE(TRIM(C501&amp;""),CHAR(160),"")," ",""),"년","")),"0000")=SUBSTITUTE(SUBSTITUTE(SUBSTITUTE(TRIM(C501&amp;""),CHAR(160),"")," ",""),"년","")),SUBSTITUTE(SUBSTITUTE(SUBSTITUTE(TRIM(C501&amp;""),CHAR(160),"")," ",""),"년",""),""),"")</f>
      </c>
      <c r="P501" t="str">
        <f>SUBSTITUTE(SUBSTITUTE(SUBSTITUTE(SUBSTITUTE(SUBSTITUTE(SUBSTITUTE(SUBSTITUTE(SUBSTITUTE(TRIM(D501&amp;""),CHAR(160),"")," ",""),"초등학교","초"),"중학교","중"),"고등학교","고"),"~","~~"),"*","~*"),"?","~?")</f>
      </c>
      <c r="Q501" t="str">
        <f>SUBSTITUTE(SUBSTITUTE(SUBSTITUTE(SUBSTITUTE(SUBSTITUTE(SUBSTITUTE(SUBSTITUTE(SUBSTITUTE(TRIM(E501&amp;""),CHAR(160),"")," ",""),"초등학교","초"),"중학교","중"),"고등학교","고"),"~","~~"),"*","~*"),"?","~?")</f>
      </c>
      <c r="R501" t="str">
        <f>IF(COUNTA(B501:J501)=0,"",IF(AND(O501&lt;&gt;"",P501&lt;&gt;"",Q501&lt;&gt;""),"","입력누락"))</f>
      </c>
    </row>
    <row r="502" customFormat="false" ht="15" hidden="false" customHeight="false" outlineLevel="0" collapsed="false">
      <c r="A502" t="n" s="19">
        <f aca="0">IF(COUNTA(B502:J502)=0,"",ROW()-1)</f>
      </c>
      <c r="B502" s="24"/>
      <c r="C502" s="25"/>
      <c r="D502" s="8"/>
      <c r="E502" s="8"/>
      <c r="F502" s="26"/>
      <c r="G502" s="24"/>
      <c r="H502" s="25"/>
      <c r="I502" s="25"/>
      <c r="J502" s="26"/>
      <c r="K502" t="str" s="15">
        <f aca="0">IF(COUNTA(B502:J502)=0,"",IF(R502&lt;&gt;"","확인필요(입력누락)",IF(COUNTIFS(보유목록!$I$2:$I$3001,"*"&amp;P502&amp;"*",보유목록!$I$2:$I$3001,"*"&amp;Q502&amp;"*",보유목록!$H$2:$H$3001,O502)&gt;0,"있음",IF(COUNTIFS(보유목록!$I$2:$I$3001,"*"&amp;P502&amp;"*",보유목록!$I$2:$I$3001,"*"&amp;Q502&amp;"*")&gt;0,"확인필요(연도다름)",IF(COUNTIFS(보유목록!$I$2:$I$3001,"*"&amp;P502&amp;"*",보유목록!$H$2:$H$3001,O502)&gt;0,"확인필요(같은학교·같은연도)","없음")))))</f>
      </c>
      <c r="L502" t="str" s="16">
        <f aca="0">IF(OR(COUNTA(B502:J502)=0,R502&lt;&gt;""),"",COUNTIFS(보유목록!$I$2:$I$3001,"*"&amp;P502&amp;"*",보유목록!$I$2:$I$3001,"*"&amp;Q502&amp;"*"))</f>
      </c>
      <c r="M502" t="str" s="23">
        <f aca="0">IF(OR(COUNTA(B502:J502)=0,R502&lt;&gt;""),"",IFERROR(LOOKUP(2,1/(ISNUMBER(SEARCH(P502,보유목록!$I$2:$I$3001))*ISNUMBER(SEARCH(Q502,보유목록!$I$2:$I$3001))*(보유목록!$H$2:$H$3001=O502)),보유목록!$B$2:$B$3001),IFERROR(LOOKUP(2,1/(ISNUMBER(SEARCH(P502,보유목록!$I$2:$I$3001))*ISNUMBER(SEARCH(Q502,보유목록!$I$2:$I$3001))),보유목록!$B$2:$B$3001),"")))</f>
      </c>
      <c r="N502" s="25"/>
      <c r="O502" t="str">
        <f>IFERROR(IF(AND(LEN(SUBSTITUTE(SUBSTITUTE(SUBSTITUTE(TRIM(C502&amp;""),CHAR(160),"")," ",""),"년",""))=4,VALUE(SUBSTITUTE(SUBSTITUTE(SUBSTITUTE(TRIM(C502&amp;""),CHAR(160),"")," ",""),"년",""))&gt;=1900,VALUE(SUBSTITUTE(SUBSTITUTE(SUBSTITUTE(TRIM(C502&amp;""),CHAR(160),"")," ",""),"년",""))&lt;=2099,TEXT(VALUE(SUBSTITUTE(SUBSTITUTE(SUBSTITUTE(TRIM(C502&amp;""),CHAR(160),"")," ",""),"년","")),"0000")=SUBSTITUTE(SUBSTITUTE(SUBSTITUTE(TRIM(C502&amp;""),CHAR(160),"")," ",""),"년","")),SUBSTITUTE(SUBSTITUTE(SUBSTITUTE(TRIM(C502&amp;""),CHAR(160),"")," ",""),"년",""),""),"")</f>
      </c>
      <c r="P502" t="str">
        <f>SUBSTITUTE(SUBSTITUTE(SUBSTITUTE(SUBSTITUTE(SUBSTITUTE(SUBSTITUTE(SUBSTITUTE(SUBSTITUTE(TRIM(D502&amp;""),CHAR(160),"")," ",""),"초등학교","초"),"중학교","중"),"고등학교","고"),"~","~~"),"*","~*"),"?","~?")</f>
      </c>
      <c r="Q502" t="str">
        <f>SUBSTITUTE(SUBSTITUTE(SUBSTITUTE(SUBSTITUTE(SUBSTITUTE(SUBSTITUTE(SUBSTITUTE(SUBSTITUTE(TRIM(E502&amp;""),CHAR(160),"")," ",""),"초등학교","초"),"중학교","중"),"고등학교","고"),"~","~~"),"*","~*"),"?","~?")</f>
      </c>
      <c r="R502" t="str">
        <f>IF(COUNTA(B502:J502)=0,"",IF(AND(O502&lt;&gt;"",P502&lt;&gt;"",Q502&lt;&gt;""),"","입력누락"))</f>
      </c>
    </row>
    <row r="503" customFormat="false" ht="15" hidden="false" customHeight="false" outlineLevel="0" collapsed="false">
      <c r="A503" t="n" s="19">
        <f aca="0">IF(COUNTA(B503:J503)=0,"",ROW()-1)</f>
      </c>
      <c r="B503" s="24"/>
      <c r="C503" s="25"/>
      <c r="D503" s="8"/>
      <c r="E503" s="8"/>
      <c r="F503" s="26"/>
      <c r="G503" s="24"/>
      <c r="H503" s="25"/>
      <c r="I503" s="25"/>
      <c r="J503" s="26"/>
      <c r="K503" t="str" s="15">
        <f aca="0">IF(COUNTA(B503:J503)=0,"",IF(R503&lt;&gt;"","확인필요(입력누락)",IF(COUNTIFS(보유목록!$I$2:$I$3001,"*"&amp;P503&amp;"*",보유목록!$I$2:$I$3001,"*"&amp;Q503&amp;"*",보유목록!$H$2:$H$3001,O503)&gt;0,"있음",IF(COUNTIFS(보유목록!$I$2:$I$3001,"*"&amp;P503&amp;"*",보유목록!$I$2:$I$3001,"*"&amp;Q503&amp;"*")&gt;0,"확인필요(연도다름)",IF(COUNTIFS(보유목록!$I$2:$I$3001,"*"&amp;P503&amp;"*",보유목록!$H$2:$H$3001,O503)&gt;0,"확인필요(같은학교·같은연도)","없음")))))</f>
      </c>
      <c r="L503" t="str" s="16">
        <f aca="0">IF(OR(COUNTA(B503:J503)=0,R503&lt;&gt;""),"",COUNTIFS(보유목록!$I$2:$I$3001,"*"&amp;P503&amp;"*",보유목록!$I$2:$I$3001,"*"&amp;Q503&amp;"*"))</f>
      </c>
      <c r="M503" t="str" s="23">
        <f aca="0">IF(OR(COUNTA(B503:J503)=0,R503&lt;&gt;""),"",IFERROR(LOOKUP(2,1/(ISNUMBER(SEARCH(P503,보유목록!$I$2:$I$3001))*ISNUMBER(SEARCH(Q503,보유목록!$I$2:$I$3001))*(보유목록!$H$2:$H$3001=O503)),보유목록!$B$2:$B$3001),IFERROR(LOOKUP(2,1/(ISNUMBER(SEARCH(P503,보유목록!$I$2:$I$3001))*ISNUMBER(SEARCH(Q503,보유목록!$I$2:$I$3001))),보유목록!$B$2:$B$3001),"")))</f>
      </c>
      <c r="N503" s="25"/>
      <c r="O503" t="str">
        <f>IFERROR(IF(AND(LEN(SUBSTITUTE(SUBSTITUTE(SUBSTITUTE(TRIM(C503&amp;""),CHAR(160),"")," ",""),"년",""))=4,VALUE(SUBSTITUTE(SUBSTITUTE(SUBSTITUTE(TRIM(C503&amp;""),CHAR(160),"")," ",""),"년",""))&gt;=1900,VALUE(SUBSTITUTE(SUBSTITUTE(SUBSTITUTE(TRIM(C503&amp;""),CHAR(160),"")," ",""),"년",""))&lt;=2099,TEXT(VALUE(SUBSTITUTE(SUBSTITUTE(SUBSTITUTE(TRIM(C503&amp;""),CHAR(160),"")," ",""),"년","")),"0000")=SUBSTITUTE(SUBSTITUTE(SUBSTITUTE(TRIM(C503&amp;""),CHAR(160),"")," ",""),"년","")),SUBSTITUTE(SUBSTITUTE(SUBSTITUTE(TRIM(C503&amp;""),CHAR(160),"")," ",""),"년",""),""),"")</f>
      </c>
      <c r="P503" t="str">
        <f>SUBSTITUTE(SUBSTITUTE(SUBSTITUTE(SUBSTITUTE(SUBSTITUTE(SUBSTITUTE(SUBSTITUTE(SUBSTITUTE(TRIM(D503&amp;""),CHAR(160),"")," ",""),"초등학교","초"),"중학교","중"),"고등학교","고"),"~","~~"),"*","~*"),"?","~?")</f>
      </c>
      <c r="Q503" t="str">
        <f>SUBSTITUTE(SUBSTITUTE(SUBSTITUTE(SUBSTITUTE(SUBSTITUTE(SUBSTITUTE(SUBSTITUTE(SUBSTITUTE(TRIM(E503&amp;""),CHAR(160),"")," ",""),"초등학교","초"),"중학교","중"),"고등학교","고"),"~","~~"),"*","~*"),"?","~?")</f>
      </c>
      <c r="R503" t="str">
        <f>IF(COUNTA(B503:J503)=0,"",IF(AND(O503&lt;&gt;"",P503&lt;&gt;"",Q503&lt;&gt;""),"","입력누락"))</f>
      </c>
    </row>
    <row r="504" customFormat="false" ht="15" hidden="false" customHeight="false" outlineLevel="0" collapsed="false">
      <c r="A504" t="n" s="19">
        <f aca="0">IF(COUNTA(B504:J504)=0,"",ROW()-1)</f>
      </c>
      <c r="B504" s="24"/>
      <c r="C504" s="25"/>
      <c r="D504" s="8"/>
      <c r="E504" s="8"/>
      <c r="F504" s="26"/>
      <c r="G504" s="24"/>
      <c r="H504" s="25"/>
      <c r="I504" s="25"/>
      <c r="J504" s="26"/>
      <c r="K504" t="str" s="15">
        <f aca="0">IF(COUNTA(B504:J504)=0,"",IF(R504&lt;&gt;"","확인필요(입력누락)",IF(COUNTIFS(보유목록!$I$2:$I$3001,"*"&amp;P504&amp;"*",보유목록!$I$2:$I$3001,"*"&amp;Q504&amp;"*",보유목록!$H$2:$H$3001,O504)&gt;0,"있음",IF(COUNTIFS(보유목록!$I$2:$I$3001,"*"&amp;P504&amp;"*",보유목록!$I$2:$I$3001,"*"&amp;Q504&amp;"*")&gt;0,"확인필요(연도다름)",IF(COUNTIFS(보유목록!$I$2:$I$3001,"*"&amp;P504&amp;"*",보유목록!$H$2:$H$3001,O504)&gt;0,"확인필요(같은학교·같은연도)","없음")))))</f>
      </c>
      <c r="L504" t="str" s="16">
        <f aca="0">IF(OR(COUNTA(B504:J504)=0,R504&lt;&gt;""),"",COUNTIFS(보유목록!$I$2:$I$3001,"*"&amp;P504&amp;"*",보유목록!$I$2:$I$3001,"*"&amp;Q504&amp;"*"))</f>
      </c>
      <c r="M504" t="str" s="23">
        <f aca="0">IF(OR(COUNTA(B504:J504)=0,R504&lt;&gt;""),"",IFERROR(LOOKUP(2,1/(ISNUMBER(SEARCH(P504,보유목록!$I$2:$I$3001))*ISNUMBER(SEARCH(Q504,보유목록!$I$2:$I$3001))*(보유목록!$H$2:$H$3001=O504)),보유목록!$B$2:$B$3001),IFERROR(LOOKUP(2,1/(ISNUMBER(SEARCH(P504,보유목록!$I$2:$I$3001))*ISNUMBER(SEARCH(Q504,보유목록!$I$2:$I$3001))),보유목록!$B$2:$B$3001),"")))</f>
      </c>
      <c r="N504" s="25"/>
      <c r="O504" t="str">
        <f>IFERROR(IF(AND(LEN(SUBSTITUTE(SUBSTITUTE(SUBSTITUTE(TRIM(C504&amp;""),CHAR(160),"")," ",""),"년",""))=4,VALUE(SUBSTITUTE(SUBSTITUTE(SUBSTITUTE(TRIM(C504&amp;""),CHAR(160),"")," ",""),"년",""))&gt;=1900,VALUE(SUBSTITUTE(SUBSTITUTE(SUBSTITUTE(TRIM(C504&amp;""),CHAR(160),"")," ",""),"년",""))&lt;=2099,TEXT(VALUE(SUBSTITUTE(SUBSTITUTE(SUBSTITUTE(TRIM(C504&amp;""),CHAR(160),"")," ",""),"년","")),"0000")=SUBSTITUTE(SUBSTITUTE(SUBSTITUTE(TRIM(C504&amp;""),CHAR(160),"")," ",""),"년","")),SUBSTITUTE(SUBSTITUTE(SUBSTITUTE(TRIM(C504&amp;""),CHAR(160),"")," ",""),"년",""),""),"")</f>
      </c>
      <c r="P504" t="str">
        <f>SUBSTITUTE(SUBSTITUTE(SUBSTITUTE(SUBSTITUTE(SUBSTITUTE(SUBSTITUTE(SUBSTITUTE(SUBSTITUTE(TRIM(D504&amp;""),CHAR(160),"")," ",""),"초등학교","초"),"중학교","중"),"고등학교","고"),"~","~~"),"*","~*"),"?","~?")</f>
      </c>
      <c r="Q504" t="str">
        <f>SUBSTITUTE(SUBSTITUTE(SUBSTITUTE(SUBSTITUTE(SUBSTITUTE(SUBSTITUTE(SUBSTITUTE(SUBSTITUTE(TRIM(E504&amp;""),CHAR(160),"")," ",""),"초등학교","초"),"중학교","중"),"고등학교","고"),"~","~~"),"*","~*"),"?","~?")</f>
      </c>
      <c r="R504" t="str">
        <f>IF(COUNTA(B504:J504)=0,"",IF(AND(O504&lt;&gt;"",P504&lt;&gt;"",Q504&lt;&gt;""),"","입력누락"))</f>
      </c>
    </row>
    <row r="505" customFormat="false" ht="15" hidden="false" customHeight="false" outlineLevel="0" collapsed="false">
      <c r="A505" t="n" s="19">
        <f aca="0">IF(COUNTA(B505:J505)=0,"",ROW()-1)</f>
      </c>
      <c r="B505" s="24"/>
      <c r="C505" s="25"/>
      <c r="D505" s="8"/>
      <c r="E505" s="8"/>
      <c r="F505" s="26"/>
      <c r="G505" s="24"/>
      <c r="H505" s="25"/>
      <c r="I505" s="25"/>
      <c r="J505" s="26"/>
      <c r="K505" t="str" s="15">
        <f aca="0">IF(COUNTA(B505:J505)=0,"",IF(R505&lt;&gt;"","확인필요(입력누락)",IF(COUNTIFS(보유목록!$I$2:$I$3001,"*"&amp;P505&amp;"*",보유목록!$I$2:$I$3001,"*"&amp;Q505&amp;"*",보유목록!$H$2:$H$3001,O505)&gt;0,"있음",IF(COUNTIFS(보유목록!$I$2:$I$3001,"*"&amp;P505&amp;"*",보유목록!$I$2:$I$3001,"*"&amp;Q505&amp;"*")&gt;0,"확인필요(연도다름)",IF(COUNTIFS(보유목록!$I$2:$I$3001,"*"&amp;P505&amp;"*",보유목록!$H$2:$H$3001,O505)&gt;0,"확인필요(같은학교·같은연도)","없음")))))</f>
      </c>
      <c r="L505" t="str" s="16">
        <f aca="0">IF(OR(COUNTA(B505:J505)=0,R505&lt;&gt;""),"",COUNTIFS(보유목록!$I$2:$I$3001,"*"&amp;P505&amp;"*",보유목록!$I$2:$I$3001,"*"&amp;Q505&amp;"*"))</f>
      </c>
      <c r="M505" t="str" s="23">
        <f aca="0">IF(OR(COUNTA(B505:J505)=0,R505&lt;&gt;""),"",IFERROR(LOOKUP(2,1/(ISNUMBER(SEARCH(P505,보유목록!$I$2:$I$3001))*ISNUMBER(SEARCH(Q505,보유목록!$I$2:$I$3001))*(보유목록!$H$2:$H$3001=O505)),보유목록!$B$2:$B$3001),IFERROR(LOOKUP(2,1/(ISNUMBER(SEARCH(P505,보유목록!$I$2:$I$3001))*ISNUMBER(SEARCH(Q505,보유목록!$I$2:$I$3001))),보유목록!$B$2:$B$3001),"")))</f>
      </c>
      <c r="N505" s="25"/>
      <c r="O505" t="str">
        <f>IFERROR(IF(AND(LEN(SUBSTITUTE(SUBSTITUTE(SUBSTITUTE(TRIM(C505&amp;""),CHAR(160),"")," ",""),"년",""))=4,VALUE(SUBSTITUTE(SUBSTITUTE(SUBSTITUTE(TRIM(C505&amp;""),CHAR(160),"")," ",""),"년",""))&gt;=1900,VALUE(SUBSTITUTE(SUBSTITUTE(SUBSTITUTE(TRIM(C505&amp;""),CHAR(160),"")," ",""),"년",""))&lt;=2099,TEXT(VALUE(SUBSTITUTE(SUBSTITUTE(SUBSTITUTE(TRIM(C505&amp;""),CHAR(160),"")," ",""),"년","")),"0000")=SUBSTITUTE(SUBSTITUTE(SUBSTITUTE(TRIM(C505&amp;""),CHAR(160),"")," ",""),"년","")),SUBSTITUTE(SUBSTITUTE(SUBSTITUTE(TRIM(C505&amp;""),CHAR(160),"")," ",""),"년",""),""),"")</f>
      </c>
      <c r="P505" t="str">
        <f>SUBSTITUTE(SUBSTITUTE(SUBSTITUTE(SUBSTITUTE(SUBSTITUTE(SUBSTITUTE(SUBSTITUTE(SUBSTITUTE(TRIM(D505&amp;""),CHAR(160),"")," ",""),"초등학교","초"),"중학교","중"),"고등학교","고"),"~","~~"),"*","~*"),"?","~?")</f>
      </c>
      <c r="Q505" t="str">
        <f>SUBSTITUTE(SUBSTITUTE(SUBSTITUTE(SUBSTITUTE(SUBSTITUTE(SUBSTITUTE(SUBSTITUTE(SUBSTITUTE(TRIM(E505&amp;""),CHAR(160),"")," ",""),"초등학교","초"),"중학교","중"),"고등학교","고"),"~","~~"),"*","~*"),"?","~?")</f>
      </c>
      <c r="R505" t="str">
        <f>IF(COUNTA(B505:J505)=0,"",IF(AND(O505&lt;&gt;"",P505&lt;&gt;"",Q505&lt;&gt;""),"","입력누락"))</f>
      </c>
    </row>
    <row r="506" customFormat="false" ht="15" hidden="false" customHeight="false" outlineLevel="0" collapsed="false">
      <c r="A506" t="n" s="19">
        <f aca="0">IF(COUNTA(B506:J506)=0,"",ROW()-1)</f>
      </c>
      <c r="B506" s="24"/>
      <c r="C506" s="25"/>
      <c r="D506" s="8"/>
      <c r="E506" s="8"/>
      <c r="F506" s="26"/>
      <c r="G506" s="24"/>
      <c r="H506" s="25"/>
      <c r="I506" s="25"/>
      <c r="J506" s="26"/>
      <c r="K506" t="str" s="15">
        <f aca="0">IF(COUNTA(B506:J506)=0,"",IF(R506&lt;&gt;"","확인필요(입력누락)",IF(COUNTIFS(보유목록!$I$2:$I$3001,"*"&amp;P506&amp;"*",보유목록!$I$2:$I$3001,"*"&amp;Q506&amp;"*",보유목록!$H$2:$H$3001,O506)&gt;0,"있음",IF(COUNTIFS(보유목록!$I$2:$I$3001,"*"&amp;P506&amp;"*",보유목록!$I$2:$I$3001,"*"&amp;Q506&amp;"*")&gt;0,"확인필요(연도다름)",IF(COUNTIFS(보유목록!$I$2:$I$3001,"*"&amp;P506&amp;"*",보유목록!$H$2:$H$3001,O506)&gt;0,"확인필요(같은학교·같은연도)","없음")))))</f>
      </c>
      <c r="L506" t="str" s="16">
        <f aca="0">IF(OR(COUNTA(B506:J506)=0,R506&lt;&gt;""),"",COUNTIFS(보유목록!$I$2:$I$3001,"*"&amp;P506&amp;"*",보유목록!$I$2:$I$3001,"*"&amp;Q506&amp;"*"))</f>
      </c>
      <c r="M506" t="str" s="23">
        <f aca="0">IF(OR(COUNTA(B506:J506)=0,R506&lt;&gt;""),"",IFERROR(LOOKUP(2,1/(ISNUMBER(SEARCH(P506,보유목록!$I$2:$I$3001))*ISNUMBER(SEARCH(Q506,보유목록!$I$2:$I$3001))*(보유목록!$H$2:$H$3001=O506)),보유목록!$B$2:$B$3001),IFERROR(LOOKUP(2,1/(ISNUMBER(SEARCH(P506,보유목록!$I$2:$I$3001))*ISNUMBER(SEARCH(Q506,보유목록!$I$2:$I$3001))),보유목록!$B$2:$B$3001),"")))</f>
      </c>
      <c r="N506" s="25"/>
      <c r="O506" t="str">
        <f>IFERROR(IF(AND(LEN(SUBSTITUTE(SUBSTITUTE(SUBSTITUTE(TRIM(C506&amp;""),CHAR(160),"")," ",""),"년",""))=4,VALUE(SUBSTITUTE(SUBSTITUTE(SUBSTITUTE(TRIM(C506&amp;""),CHAR(160),"")," ",""),"년",""))&gt;=1900,VALUE(SUBSTITUTE(SUBSTITUTE(SUBSTITUTE(TRIM(C506&amp;""),CHAR(160),"")," ",""),"년",""))&lt;=2099,TEXT(VALUE(SUBSTITUTE(SUBSTITUTE(SUBSTITUTE(TRIM(C506&amp;""),CHAR(160),"")," ",""),"년","")),"0000")=SUBSTITUTE(SUBSTITUTE(SUBSTITUTE(TRIM(C506&amp;""),CHAR(160),"")," ",""),"년","")),SUBSTITUTE(SUBSTITUTE(SUBSTITUTE(TRIM(C506&amp;""),CHAR(160),"")," ",""),"년",""),""),"")</f>
      </c>
      <c r="P506" t="str">
        <f>SUBSTITUTE(SUBSTITUTE(SUBSTITUTE(SUBSTITUTE(SUBSTITUTE(SUBSTITUTE(SUBSTITUTE(SUBSTITUTE(TRIM(D506&amp;""),CHAR(160),"")," ",""),"초등학교","초"),"중학교","중"),"고등학교","고"),"~","~~"),"*","~*"),"?","~?")</f>
      </c>
      <c r="Q506" t="str">
        <f>SUBSTITUTE(SUBSTITUTE(SUBSTITUTE(SUBSTITUTE(SUBSTITUTE(SUBSTITUTE(SUBSTITUTE(SUBSTITUTE(TRIM(E506&amp;""),CHAR(160),"")," ",""),"초등학교","초"),"중학교","중"),"고등학교","고"),"~","~~"),"*","~*"),"?","~?")</f>
      </c>
      <c r="R506" t="str">
        <f>IF(COUNTA(B506:J506)=0,"",IF(AND(O506&lt;&gt;"",P506&lt;&gt;"",Q506&lt;&gt;""),"","입력누락"))</f>
      </c>
    </row>
    <row r="507" customFormat="false" ht="15" hidden="false" customHeight="false" outlineLevel="0" collapsed="false">
      <c r="A507" t="n" s="19">
        <f aca="0">IF(COUNTA(B507:J507)=0,"",ROW()-1)</f>
      </c>
      <c r="B507" s="24"/>
      <c r="C507" s="25"/>
      <c r="D507" s="8"/>
      <c r="E507" s="8"/>
      <c r="F507" s="26"/>
      <c r="G507" s="24"/>
      <c r="H507" s="25"/>
      <c r="I507" s="25"/>
      <c r="J507" s="26"/>
      <c r="K507" t="str" s="15">
        <f aca="0">IF(COUNTA(B507:J507)=0,"",IF(R507&lt;&gt;"","확인필요(입력누락)",IF(COUNTIFS(보유목록!$I$2:$I$3001,"*"&amp;P507&amp;"*",보유목록!$I$2:$I$3001,"*"&amp;Q507&amp;"*",보유목록!$H$2:$H$3001,O507)&gt;0,"있음",IF(COUNTIFS(보유목록!$I$2:$I$3001,"*"&amp;P507&amp;"*",보유목록!$I$2:$I$3001,"*"&amp;Q507&amp;"*")&gt;0,"확인필요(연도다름)",IF(COUNTIFS(보유목록!$I$2:$I$3001,"*"&amp;P507&amp;"*",보유목록!$H$2:$H$3001,O507)&gt;0,"확인필요(같은학교·같은연도)","없음")))))</f>
      </c>
      <c r="L507" t="str" s="16">
        <f aca="0">IF(OR(COUNTA(B507:J507)=0,R507&lt;&gt;""),"",COUNTIFS(보유목록!$I$2:$I$3001,"*"&amp;P507&amp;"*",보유목록!$I$2:$I$3001,"*"&amp;Q507&amp;"*"))</f>
      </c>
      <c r="M507" t="str" s="23">
        <f aca="0">IF(OR(COUNTA(B507:J507)=0,R507&lt;&gt;""),"",IFERROR(LOOKUP(2,1/(ISNUMBER(SEARCH(P507,보유목록!$I$2:$I$3001))*ISNUMBER(SEARCH(Q507,보유목록!$I$2:$I$3001))*(보유목록!$H$2:$H$3001=O507)),보유목록!$B$2:$B$3001),IFERROR(LOOKUP(2,1/(ISNUMBER(SEARCH(P507,보유목록!$I$2:$I$3001))*ISNUMBER(SEARCH(Q507,보유목록!$I$2:$I$3001))),보유목록!$B$2:$B$3001),"")))</f>
      </c>
      <c r="N507" s="25"/>
      <c r="O507" t="str">
        <f>IFERROR(IF(AND(LEN(SUBSTITUTE(SUBSTITUTE(SUBSTITUTE(TRIM(C507&amp;""),CHAR(160),"")," ",""),"년",""))=4,VALUE(SUBSTITUTE(SUBSTITUTE(SUBSTITUTE(TRIM(C507&amp;""),CHAR(160),"")," ",""),"년",""))&gt;=1900,VALUE(SUBSTITUTE(SUBSTITUTE(SUBSTITUTE(TRIM(C507&amp;""),CHAR(160),"")," ",""),"년",""))&lt;=2099,TEXT(VALUE(SUBSTITUTE(SUBSTITUTE(SUBSTITUTE(TRIM(C507&amp;""),CHAR(160),"")," ",""),"년","")),"0000")=SUBSTITUTE(SUBSTITUTE(SUBSTITUTE(TRIM(C507&amp;""),CHAR(160),"")," ",""),"년","")),SUBSTITUTE(SUBSTITUTE(SUBSTITUTE(TRIM(C507&amp;""),CHAR(160),"")," ",""),"년",""),""),"")</f>
      </c>
      <c r="P507" t="str">
        <f>SUBSTITUTE(SUBSTITUTE(SUBSTITUTE(SUBSTITUTE(SUBSTITUTE(SUBSTITUTE(SUBSTITUTE(SUBSTITUTE(TRIM(D507&amp;""),CHAR(160),"")," ",""),"초등학교","초"),"중학교","중"),"고등학교","고"),"~","~~"),"*","~*"),"?","~?")</f>
      </c>
      <c r="Q507" t="str">
        <f>SUBSTITUTE(SUBSTITUTE(SUBSTITUTE(SUBSTITUTE(SUBSTITUTE(SUBSTITUTE(SUBSTITUTE(SUBSTITUTE(TRIM(E507&amp;""),CHAR(160),"")," ",""),"초등학교","초"),"중학교","중"),"고등학교","고"),"~","~~"),"*","~*"),"?","~?")</f>
      </c>
      <c r="R507" t="str">
        <f>IF(COUNTA(B507:J507)=0,"",IF(AND(O507&lt;&gt;"",P507&lt;&gt;"",Q507&lt;&gt;""),"","입력누락"))</f>
      </c>
    </row>
    <row r="508" customFormat="false" ht="15" hidden="false" customHeight="false" outlineLevel="0" collapsed="false">
      <c r="A508" t="n" s="19">
        <f aca="0">IF(COUNTA(B508:J508)=0,"",ROW()-1)</f>
      </c>
      <c r="B508" s="24"/>
      <c r="C508" s="25"/>
      <c r="D508" s="8"/>
      <c r="E508" s="8"/>
      <c r="F508" s="26"/>
      <c r="G508" s="24"/>
      <c r="H508" s="25"/>
      <c r="I508" s="25"/>
      <c r="J508" s="26"/>
      <c r="K508" t="str" s="15">
        <f aca="0">IF(COUNTA(B508:J508)=0,"",IF(R508&lt;&gt;"","확인필요(입력누락)",IF(COUNTIFS(보유목록!$I$2:$I$3001,"*"&amp;P508&amp;"*",보유목록!$I$2:$I$3001,"*"&amp;Q508&amp;"*",보유목록!$H$2:$H$3001,O508)&gt;0,"있음",IF(COUNTIFS(보유목록!$I$2:$I$3001,"*"&amp;P508&amp;"*",보유목록!$I$2:$I$3001,"*"&amp;Q508&amp;"*")&gt;0,"확인필요(연도다름)",IF(COUNTIFS(보유목록!$I$2:$I$3001,"*"&amp;P508&amp;"*",보유목록!$H$2:$H$3001,O508)&gt;0,"확인필요(같은학교·같은연도)","없음")))))</f>
      </c>
      <c r="L508" t="str" s="16">
        <f aca="0">IF(OR(COUNTA(B508:J508)=0,R508&lt;&gt;""),"",COUNTIFS(보유목록!$I$2:$I$3001,"*"&amp;P508&amp;"*",보유목록!$I$2:$I$3001,"*"&amp;Q508&amp;"*"))</f>
      </c>
      <c r="M508" t="str" s="23">
        <f aca="0">IF(OR(COUNTA(B508:J508)=0,R508&lt;&gt;""),"",IFERROR(LOOKUP(2,1/(ISNUMBER(SEARCH(P508,보유목록!$I$2:$I$3001))*ISNUMBER(SEARCH(Q508,보유목록!$I$2:$I$3001))*(보유목록!$H$2:$H$3001=O508)),보유목록!$B$2:$B$3001),IFERROR(LOOKUP(2,1/(ISNUMBER(SEARCH(P508,보유목록!$I$2:$I$3001))*ISNUMBER(SEARCH(Q508,보유목록!$I$2:$I$3001))),보유목록!$B$2:$B$3001),"")))</f>
      </c>
      <c r="N508" s="25"/>
      <c r="O508" t="str">
        <f>IFERROR(IF(AND(LEN(SUBSTITUTE(SUBSTITUTE(SUBSTITUTE(TRIM(C508&amp;""),CHAR(160),"")," ",""),"년",""))=4,VALUE(SUBSTITUTE(SUBSTITUTE(SUBSTITUTE(TRIM(C508&amp;""),CHAR(160),"")," ",""),"년",""))&gt;=1900,VALUE(SUBSTITUTE(SUBSTITUTE(SUBSTITUTE(TRIM(C508&amp;""),CHAR(160),"")," ",""),"년",""))&lt;=2099,TEXT(VALUE(SUBSTITUTE(SUBSTITUTE(SUBSTITUTE(TRIM(C508&amp;""),CHAR(160),"")," ",""),"년","")),"0000")=SUBSTITUTE(SUBSTITUTE(SUBSTITUTE(TRIM(C508&amp;""),CHAR(160),"")," ",""),"년","")),SUBSTITUTE(SUBSTITUTE(SUBSTITUTE(TRIM(C508&amp;""),CHAR(160),"")," ",""),"년",""),""),"")</f>
      </c>
      <c r="P508" t="str">
        <f>SUBSTITUTE(SUBSTITUTE(SUBSTITUTE(SUBSTITUTE(SUBSTITUTE(SUBSTITUTE(SUBSTITUTE(SUBSTITUTE(TRIM(D508&amp;""),CHAR(160),"")," ",""),"초등학교","초"),"중학교","중"),"고등학교","고"),"~","~~"),"*","~*"),"?","~?")</f>
      </c>
      <c r="Q508" t="str">
        <f>SUBSTITUTE(SUBSTITUTE(SUBSTITUTE(SUBSTITUTE(SUBSTITUTE(SUBSTITUTE(SUBSTITUTE(SUBSTITUTE(TRIM(E508&amp;""),CHAR(160),"")," ",""),"초등학교","초"),"중학교","중"),"고등학교","고"),"~","~~"),"*","~*"),"?","~?")</f>
      </c>
      <c r="R508" t="str">
        <f>IF(COUNTA(B508:J508)=0,"",IF(AND(O508&lt;&gt;"",P508&lt;&gt;"",Q508&lt;&gt;""),"","입력누락"))</f>
      </c>
    </row>
    <row r="509" customFormat="false" ht="15" hidden="false" customHeight="false" outlineLevel="0" collapsed="false">
      <c r="A509" t="n" s="19">
        <f aca="0">IF(COUNTA(B509:J509)=0,"",ROW()-1)</f>
      </c>
      <c r="B509" s="24"/>
      <c r="C509" s="25"/>
      <c r="D509" s="8"/>
      <c r="E509" s="8"/>
      <c r="F509" s="26"/>
      <c r="G509" s="24"/>
      <c r="H509" s="25"/>
      <c r="I509" s="25"/>
      <c r="J509" s="26"/>
      <c r="K509" t="str" s="15">
        <f aca="0">IF(COUNTA(B509:J509)=0,"",IF(R509&lt;&gt;"","확인필요(입력누락)",IF(COUNTIFS(보유목록!$I$2:$I$3001,"*"&amp;P509&amp;"*",보유목록!$I$2:$I$3001,"*"&amp;Q509&amp;"*",보유목록!$H$2:$H$3001,O509)&gt;0,"있음",IF(COUNTIFS(보유목록!$I$2:$I$3001,"*"&amp;P509&amp;"*",보유목록!$I$2:$I$3001,"*"&amp;Q509&amp;"*")&gt;0,"확인필요(연도다름)",IF(COUNTIFS(보유목록!$I$2:$I$3001,"*"&amp;P509&amp;"*",보유목록!$H$2:$H$3001,O509)&gt;0,"확인필요(같은학교·같은연도)","없음")))))</f>
      </c>
      <c r="L509" t="str" s="16">
        <f aca="0">IF(OR(COUNTA(B509:J509)=0,R509&lt;&gt;""),"",COUNTIFS(보유목록!$I$2:$I$3001,"*"&amp;P509&amp;"*",보유목록!$I$2:$I$3001,"*"&amp;Q509&amp;"*"))</f>
      </c>
      <c r="M509" t="str" s="23">
        <f aca="0">IF(OR(COUNTA(B509:J509)=0,R509&lt;&gt;""),"",IFERROR(LOOKUP(2,1/(ISNUMBER(SEARCH(P509,보유목록!$I$2:$I$3001))*ISNUMBER(SEARCH(Q509,보유목록!$I$2:$I$3001))*(보유목록!$H$2:$H$3001=O509)),보유목록!$B$2:$B$3001),IFERROR(LOOKUP(2,1/(ISNUMBER(SEARCH(P509,보유목록!$I$2:$I$3001))*ISNUMBER(SEARCH(Q509,보유목록!$I$2:$I$3001))),보유목록!$B$2:$B$3001),"")))</f>
      </c>
      <c r="N509" s="25"/>
      <c r="O509" t="str">
        <f>IFERROR(IF(AND(LEN(SUBSTITUTE(SUBSTITUTE(SUBSTITUTE(TRIM(C509&amp;""),CHAR(160),"")," ",""),"년",""))=4,VALUE(SUBSTITUTE(SUBSTITUTE(SUBSTITUTE(TRIM(C509&amp;""),CHAR(160),"")," ",""),"년",""))&gt;=1900,VALUE(SUBSTITUTE(SUBSTITUTE(SUBSTITUTE(TRIM(C509&amp;""),CHAR(160),"")," ",""),"년",""))&lt;=2099,TEXT(VALUE(SUBSTITUTE(SUBSTITUTE(SUBSTITUTE(TRIM(C509&amp;""),CHAR(160),"")," ",""),"년","")),"0000")=SUBSTITUTE(SUBSTITUTE(SUBSTITUTE(TRIM(C509&amp;""),CHAR(160),"")," ",""),"년","")),SUBSTITUTE(SUBSTITUTE(SUBSTITUTE(TRIM(C509&amp;""),CHAR(160),"")," ",""),"년",""),""),"")</f>
      </c>
      <c r="P509" t="str">
        <f>SUBSTITUTE(SUBSTITUTE(SUBSTITUTE(SUBSTITUTE(SUBSTITUTE(SUBSTITUTE(SUBSTITUTE(SUBSTITUTE(TRIM(D509&amp;""),CHAR(160),"")," ",""),"초등학교","초"),"중학교","중"),"고등학교","고"),"~","~~"),"*","~*"),"?","~?")</f>
      </c>
      <c r="Q509" t="str">
        <f>SUBSTITUTE(SUBSTITUTE(SUBSTITUTE(SUBSTITUTE(SUBSTITUTE(SUBSTITUTE(SUBSTITUTE(SUBSTITUTE(TRIM(E509&amp;""),CHAR(160),"")," ",""),"초등학교","초"),"중학교","중"),"고등학교","고"),"~","~~"),"*","~*"),"?","~?")</f>
      </c>
      <c r="R509" t="str">
        <f>IF(COUNTA(B509:J509)=0,"",IF(AND(O509&lt;&gt;"",P509&lt;&gt;"",Q509&lt;&gt;""),"","입력누락"))</f>
      </c>
    </row>
    <row r="510" customFormat="false" ht="15" hidden="false" customHeight="false" outlineLevel="0" collapsed="false">
      <c r="A510" t="n" s="19">
        <f aca="0">IF(COUNTA(B510:J510)=0,"",ROW()-1)</f>
      </c>
      <c r="B510" s="24"/>
      <c r="C510" s="25"/>
      <c r="D510" s="8"/>
      <c r="E510" s="8"/>
      <c r="F510" s="26"/>
      <c r="G510" s="24"/>
      <c r="H510" s="25"/>
      <c r="I510" s="25"/>
      <c r="J510" s="26"/>
      <c r="K510" t="str" s="15">
        <f aca="0">IF(COUNTA(B510:J510)=0,"",IF(R510&lt;&gt;"","확인필요(입력누락)",IF(COUNTIFS(보유목록!$I$2:$I$3001,"*"&amp;P510&amp;"*",보유목록!$I$2:$I$3001,"*"&amp;Q510&amp;"*",보유목록!$H$2:$H$3001,O510)&gt;0,"있음",IF(COUNTIFS(보유목록!$I$2:$I$3001,"*"&amp;P510&amp;"*",보유목록!$I$2:$I$3001,"*"&amp;Q510&amp;"*")&gt;0,"확인필요(연도다름)",IF(COUNTIFS(보유목록!$I$2:$I$3001,"*"&amp;P510&amp;"*",보유목록!$H$2:$H$3001,O510)&gt;0,"확인필요(같은학교·같은연도)","없음")))))</f>
      </c>
      <c r="L510" t="str" s="16">
        <f aca="0">IF(OR(COUNTA(B510:J510)=0,R510&lt;&gt;""),"",COUNTIFS(보유목록!$I$2:$I$3001,"*"&amp;P510&amp;"*",보유목록!$I$2:$I$3001,"*"&amp;Q510&amp;"*"))</f>
      </c>
      <c r="M510" t="str" s="23">
        <f aca="0">IF(OR(COUNTA(B510:J510)=0,R510&lt;&gt;""),"",IFERROR(LOOKUP(2,1/(ISNUMBER(SEARCH(P510,보유목록!$I$2:$I$3001))*ISNUMBER(SEARCH(Q510,보유목록!$I$2:$I$3001))*(보유목록!$H$2:$H$3001=O510)),보유목록!$B$2:$B$3001),IFERROR(LOOKUP(2,1/(ISNUMBER(SEARCH(P510,보유목록!$I$2:$I$3001))*ISNUMBER(SEARCH(Q510,보유목록!$I$2:$I$3001))),보유목록!$B$2:$B$3001),"")))</f>
      </c>
      <c r="N510" s="25"/>
      <c r="O510" t="str">
        <f>IFERROR(IF(AND(LEN(SUBSTITUTE(SUBSTITUTE(SUBSTITUTE(TRIM(C510&amp;""),CHAR(160),"")," ",""),"년",""))=4,VALUE(SUBSTITUTE(SUBSTITUTE(SUBSTITUTE(TRIM(C510&amp;""),CHAR(160),"")," ",""),"년",""))&gt;=1900,VALUE(SUBSTITUTE(SUBSTITUTE(SUBSTITUTE(TRIM(C510&amp;""),CHAR(160),"")," ",""),"년",""))&lt;=2099,TEXT(VALUE(SUBSTITUTE(SUBSTITUTE(SUBSTITUTE(TRIM(C510&amp;""),CHAR(160),"")," ",""),"년","")),"0000")=SUBSTITUTE(SUBSTITUTE(SUBSTITUTE(TRIM(C510&amp;""),CHAR(160),"")," ",""),"년","")),SUBSTITUTE(SUBSTITUTE(SUBSTITUTE(TRIM(C510&amp;""),CHAR(160),"")," ",""),"년",""),""),"")</f>
      </c>
      <c r="P510" t="str">
        <f>SUBSTITUTE(SUBSTITUTE(SUBSTITUTE(SUBSTITUTE(SUBSTITUTE(SUBSTITUTE(SUBSTITUTE(SUBSTITUTE(TRIM(D510&amp;""),CHAR(160),"")," ",""),"초등학교","초"),"중학교","중"),"고등학교","고"),"~","~~"),"*","~*"),"?","~?")</f>
      </c>
      <c r="Q510" t="str">
        <f>SUBSTITUTE(SUBSTITUTE(SUBSTITUTE(SUBSTITUTE(SUBSTITUTE(SUBSTITUTE(SUBSTITUTE(SUBSTITUTE(TRIM(E510&amp;""),CHAR(160),"")," ",""),"초등학교","초"),"중학교","중"),"고등학교","고"),"~","~~"),"*","~*"),"?","~?")</f>
      </c>
      <c r="R510" t="str">
        <f>IF(COUNTA(B510:J510)=0,"",IF(AND(O510&lt;&gt;"",P510&lt;&gt;"",Q510&lt;&gt;""),"","입력누락"))</f>
      </c>
    </row>
    <row r="511" customFormat="false" ht="15" hidden="false" customHeight="false" outlineLevel="0" collapsed="false">
      <c r="A511" t="n" s="19">
        <f aca="0">IF(COUNTA(B511:J511)=0,"",ROW()-1)</f>
      </c>
      <c r="B511" s="24"/>
      <c r="C511" s="25"/>
      <c r="D511" s="8"/>
      <c r="E511" s="8"/>
      <c r="F511" s="26"/>
      <c r="G511" s="24"/>
      <c r="H511" s="25"/>
      <c r="I511" s="25"/>
      <c r="J511" s="26"/>
      <c r="K511" t="str" s="15">
        <f aca="0">IF(COUNTA(B511:J511)=0,"",IF(R511&lt;&gt;"","확인필요(입력누락)",IF(COUNTIFS(보유목록!$I$2:$I$3001,"*"&amp;P511&amp;"*",보유목록!$I$2:$I$3001,"*"&amp;Q511&amp;"*",보유목록!$H$2:$H$3001,O511)&gt;0,"있음",IF(COUNTIFS(보유목록!$I$2:$I$3001,"*"&amp;P511&amp;"*",보유목록!$I$2:$I$3001,"*"&amp;Q511&amp;"*")&gt;0,"확인필요(연도다름)",IF(COUNTIFS(보유목록!$I$2:$I$3001,"*"&amp;P511&amp;"*",보유목록!$H$2:$H$3001,O511)&gt;0,"확인필요(같은학교·같은연도)","없음")))))</f>
      </c>
      <c r="L511" t="str" s="16">
        <f aca="0">IF(OR(COUNTA(B511:J511)=0,R511&lt;&gt;""),"",COUNTIFS(보유목록!$I$2:$I$3001,"*"&amp;P511&amp;"*",보유목록!$I$2:$I$3001,"*"&amp;Q511&amp;"*"))</f>
      </c>
      <c r="M511" t="str" s="23">
        <f aca="0">IF(OR(COUNTA(B511:J511)=0,R511&lt;&gt;""),"",IFERROR(LOOKUP(2,1/(ISNUMBER(SEARCH(P511,보유목록!$I$2:$I$3001))*ISNUMBER(SEARCH(Q511,보유목록!$I$2:$I$3001))*(보유목록!$H$2:$H$3001=O511)),보유목록!$B$2:$B$3001),IFERROR(LOOKUP(2,1/(ISNUMBER(SEARCH(P511,보유목록!$I$2:$I$3001))*ISNUMBER(SEARCH(Q511,보유목록!$I$2:$I$3001))),보유목록!$B$2:$B$3001),"")))</f>
      </c>
      <c r="N511" s="25"/>
      <c r="O511" t="str">
        <f>IFERROR(IF(AND(LEN(SUBSTITUTE(SUBSTITUTE(SUBSTITUTE(TRIM(C511&amp;""),CHAR(160),"")," ",""),"년",""))=4,VALUE(SUBSTITUTE(SUBSTITUTE(SUBSTITUTE(TRIM(C511&amp;""),CHAR(160),"")," ",""),"년",""))&gt;=1900,VALUE(SUBSTITUTE(SUBSTITUTE(SUBSTITUTE(TRIM(C511&amp;""),CHAR(160),"")," ",""),"년",""))&lt;=2099,TEXT(VALUE(SUBSTITUTE(SUBSTITUTE(SUBSTITUTE(TRIM(C511&amp;""),CHAR(160),"")," ",""),"년","")),"0000")=SUBSTITUTE(SUBSTITUTE(SUBSTITUTE(TRIM(C511&amp;""),CHAR(160),"")," ",""),"년","")),SUBSTITUTE(SUBSTITUTE(SUBSTITUTE(TRIM(C511&amp;""),CHAR(160),"")," ",""),"년",""),""),"")</f>
      </c>
      <c r="P511" t="str">
        <f>SUBSTITUTE(SUBSTITUTE(SUBSTITUTE(SUBSTITUTE(SUBSTITUTE(SUBSTITUTE(SUBSTITUTE(SUBSTITUTE(TRIM(D511&amp;""),CHAR(160),"")," ",""),"초등학교","초"),"중학교","중"),"고등학교","고"),"~","~~"),"*","~*"),"?","~?")</f>
      </c>
      <c r="Q511" t="str">
        <f>SUBSTITUTE(SUBSTITUTE(SUBSTITUTE(SUBSTITUTE(SUBSTITUTE(SUBSTITUTE(SUBSTITUTE(SUBSTITUTE(TRIM(E511&amp;""),CHAR(160),"")," ",""),"초등학교","초"),"중학교","중"),"고등학교","고"),"~","~~"),"*","~*"),"?","~?")</f>
      </c>
      <c r="R511" t="str">
        <f>IF(COUNTA(B511:J511)=0,"",IF(AND(O511&lt;&gt;"",P511&lt;&gt;"",Q511&lt;&gt;""),"","입력누락"))</f>
      </c>
    </row>
    <row r="512" customFormat="false" ht="15" hidden="false" customHeight="false" outlineLevel="0" collapsed="false">
      <c r="A512" t="n" s="19">
        <f aca="0">IF(COUNTA(B512:J512)=0,"",ROW()-1)</f>
      </c>
      <c r="B512" s="24"/>
      <c r="C512" s="25"/>
      <c r="D512" s="8"/>
      <c r="E512" s="8"/>
      <c r="F512" s="26"/>
      <c r="G512" s="24"/>
      <c r="H512" s="25"/>
      <c r="I512" s="25"/>
      <c r="J512" s="26"/>
      <c r="K512" t="str" s="15">
        <f aca="0">IF(COUNTA(B512:J512)=0,"",IF(R512&lt;&gt;"","확인필요(입력누락)",IF(COUNTIFS(보유목록!$I$2:$I$3001,"*"&amp;P512&amp;"*",보유목록!$I$2:$I$3001,"*"&amp;Q512&amp;"*",보유목록!$H$2:$H$3001,O512)&gt;0,"있음",IF(COUNTIFS(보유목록!$I$2:$I$3001,"*"&amp;P512&amp;"*",보유목록!$I$2:$I$3001,"*"&amp;Q512&amp;"*")&gt;0,"확인필요(연도다름)",IF(COUNTIFS(보유목록!$I$2:$I$3001,"*"&amp;P512&amp;"*",보유목록!$H$2:$H$3001,O512)&gt;0,"확인필요(같은학교·같은연도)","없음")))))</f>
      </c>
      <c r="L512" t="str" s="16">
        <f aca="0">IF(OR(COUNTA(B512:J512)=0,R512&lt;&gt;""),"",COUNTIFS(보유목록!$I$2:$I$3001,"*"&amp;P512&amp;"*",보유목록!$I$2:$I$3001,"*"&amp;Q512&amp;"*"))</f>
      </c>
      <c r="M512" t="str" s="23">
        <f aca="0">IF(OR(COUNTA(B512:J512)=0,R512&lt;&gt;""),"",IFERROR(LOOKUP(2,1/(ISNUMBER(SEARCH(P512,보유목록!$I$2:$I$3001))*ISNUMBER(SEARCH(Q512,보유목록!$I$2:$I$3001))*(보유목록!$H$2:$H$3001=O512)),보유목록!$B$2:$B$3001),IFERROR(LOOKUP(2,1/(ISNUMBER(SEARCH(P512,보유목록!$I$2:$I$3001))*ISNUMBER(SEARCH(Q512,보유목록!$I$2:$I$3001))),보유목록!$B$2:$B$3001),"")))</f>
      </c>
      <c r="N512" s="25"/>
      <c r="O512" t="str">
        <f>IFERROR(IF(AND(LEN(SUBSTITUTE(SUBSTITUTE(SUBSTITUTE(TRIM(C512&amp;""),CHAR(160),"")," ",""),"년",""))=4,VALUE(SUBSTITUTE(SUBSTITUTE(SUBSTITUTE(TRIM(C512&amp;""),CHAR(160),"")," ",""),"년",""))&gt;=1900,VALUE(SUBSTITUTE(SUBSTITUTE(SUBSTITUTE(TRIM(C512&amp;""),CHAR(160),"")," ",""),"년",""))&lt;=2099,TEXT(VALUE(SUBSTITUTE(SUBSTITUTE(SUBSTITUTE(TRIM(C512&amp;""),CHAR(160),"")," ",""),"년","")),"0000")=SUBSTITUTE(SUBSTITUTE(SUBSTITUTE(TRIM(C512&amp;""),CHAR(160),"")," ",""),"년","")),SUBSTITUTE(SUBSTITUTE(SUBSTITUTE(TRIM(C512&amp;""),CHAR(160),"")," ",""),"년",""),""),"")</f>
      </c>
      <c r="P512" t="str">
        <f>SUBSTITUTE(SUBSTITUTE(SUBSTITUTE(SUBSTITUTE(SUBSTITUTE(SUBSTITUTE(SUBSTITUTE(SUBSTITUTE(TRIM(D512&amp;""),CHAR(160),"")," ",""),"초등학교","초"),"중학교","중"),"고등학교","고"),"~","~~"),"*","~*"),"?","~?")</f>
      </c>
      <c r="Q512" t="str">
        <f>SUBSTITUTE(SUBSTITUTE(SUBSTITUTE(SUBSTITUTE(SUBSTITUTE(SUBSTITUTE(SUBSTITUTE(SUBSTITUTE(TRIM(E512&amp;""),CHAR(160),"")," ",""),"초등학교","초"),"중학교","중"),"고등학교","고"),"~","~~"),"*","~*"),"?","~?")</f>
      </c>
      <c r="R512" t="str">
        <f>IF(COUNTA(B512:J512)=0,"",IF(AND(O512&lt;&gt;"",P512&lt;&gt;"",Q512&lt;&gt;""),"","입력누락"))</f>
      </c>
    </row>
    <row r="513" customFormat="false" ht="15" hidden="false" customHeight="false" outlineLevel="0" collapsed="false">
      <c r="A513" t="n" s="19">
        <f aca="0">IF(COUNTA(B513:J513)=0,"",ROW()-1)</f>
      </c>
      <c r="B513" s="24"/>
      <c r="C513" s="25"/>
      <c r="D513" s="8"/>
      <c r="E513" s="8"/>
      <c r="F513" s="26"/>
      <c r="G513" s="24"/>
      <c r="H513" s="25"/>
      <c r="I513" s="25"/>
      <c r="J513" s="26"/>
      <c r="K513" t="str" s="15">
        <f aca="0">IF(COUNTA(B513:J513)=0,"",IF(R513&lt;&gt;"","확인필요(입력누락)",IF(COUNTIFS(보유목록!$I$2:$I$3001,"*"&amp;P513&amp;"*",보유목록!$I$2:$I$3001,"*"&amp;Q513&amp;"*",보유목록!$H$2:$H$3001,O513)&gt;0,"있음",IF(COUNTIFS(보유목록!$I$2:$I$3001,"*"&amp;P513&amp;"*",보유목록!$I$2:$I$3001,"*"&amp;Q513&amp;"*")&gt;0,"확인필요(연도다름)",IF(COUNTIFS(보유목록!$I$2:$I$3001,"*"&amp;P513&amp;"*",보유목록!$H$2:$H$3001,O513)&gt;0,"확인필요(같은학교·같은연도)","없음")))))</f>
      </c>
      <c r="L513" t="str" s="16">
        <f aca="0">IF(OR(COUNTA(B513:J513)=0,R513&lt;&gt;""),"",COUNTIFS(보유목록!$I$2:$I$3001,"*"&amp;P513&amp;"*",보유목록!$I$2:$I$3001,"*"&amp;Q513&amp;"*"))</f>
      </c>
      <c r="M513" t="str" s="23">
        <f aca="0">IF(OR(COUNTA(B513:J513)=0,R513&lt;&gt;""),"",IFERROR(LOOKUP(2,1/(ISNUMBER(SEARCH(P513,보유목록!$I$2:$I$3001))*ISNUMBER(SEARCH(Q513,보유목록!$I$2:$I$3001))*(보유목록!$H$2:$H$3001=O513)),보유목록!$B$2:$B$3001),IFERROR(LOOKUP(2,1/(ISNUMBER(SEARCH(P513,보유목록!$I$2:$I$3001))*ISNUMBER(SEARCH(Q513,보유목록!$I$2:$I$3001))),보유목록!$B$2:$B$3001),"")))</f>
      </c>
      <c r="N513" s="25"/>
      <c r="O513" t="str">
        <f>IFERROR(IF(AND(LEN(SUBSTITUTE(SUBSTITUTE(SUBSTITUTE(TRIM(C513&amp;""),CHAR(160),"")," ",""),"년",""))=4,VALUE(SUBSTITUTE(SUBSTITUTE(SUBSTITUTE(TRIM(C513&amp;""),CHAR(160),"")," ",""),"년",""))&gt;=1900,VALUE(SUBSTITUTE(SUBSTITUTE(SUBSTITUTE(TRIM(C513&amp;""),CHAR(160),"")," ",""),"년",""))&lt;=2099,TEXT(VALUE(SUBSTITUTE(SUBSTITUTE(SUBSTITUTE(TRIM(C513&amp;""),CHAR(160),"")," ",""),"년","")),"0000")=SUBSTITUTE(SUBSTITUTE(SUBSTITUTE(TRIM(C513&amp;""),CHAR(160),"")," ",""),"년","")),SUBSTITUTE(SUBSTITUTE(SUBSTITUTE(TRIM(C513&amp;""),CHAR(160),"")," ",""),"년",""),""),"")</f>
      </c>
      <c r="P513" t="str">
        <f>SUBSTITUTE(SUBSTITUTE(SUBSTITUTE(SUBSTITUTE(SUBSTITUTE(SUBSTITUTE(SUBSTITUTE(SUBSTITUTE(TRIM(D513&amp;""),CHAR(160),"")," ",""),"초등학교","초"),"중학교","중"),"고등학교","고"),"~","~~"),"*","~*"),"?","~?")</f>
      </c>
      <c r="Q513" t="str">
        <f>SUBSTITUTE(SUBSTITUTE(SUBSTITUTE(SUBSTITUTE(SUBSTITUTE(SUBSTITUTE(SUBSTITUTE(SUBSTITUTE(TRIM(E513&amp;""),CHAR(160),"")," ",""),"초등학교","초"),"중학교","중"),"고등학교","고"),"~","~~"),"*","~*"),"?","~?")</f>
      </c>
      <c r="R513" t="str">
        <f>IF(COUNTA(B513:J513)=0,"",IF(AND(O513&lt;&gt;"",P513&lt;&gt;"",Q513&lt;&gt;""),"","입력누락"))</f>
      </c>
    </row>
    <row r="514" customFormat="false" ht="15" hidden="false" customHeight="false" outlineLevel="0" collapsed="false">
      <c r="A514" t="n" s="19">
        <f aca="0">IF(COUNTA(B514:J514)=0,"",ROW()-1)</f>
      </c>
      <c r="B514" s="24"/>
      <c r="C514" s="25"/>
      <c r="D514" s="8"/>
      <c r="E514" s="8"/>
      <c r="F514" s="26"/>
      <c r="G514" s="24"/>
      <c r="H514" s="25"/>
      <c r="I514" s="25"/>
      <c r="J514" s="26"/>
      <c r="K514" t="str" s="15">
        <f aca="0">IF(COUNTA(B514:J514)=0,"",IF(R514&lt;&gt;"","확인필요(입력누락)",IF(COUNTIFS(보유목록!$I$2:$I$3001,"*"&amp;P514&amp;"*",보유목록!$I$2:$I$3001,"*"&amp;Q514&amp;"*",보유목록!$H$2:$H$3001,O514)&gt;0,"있음",IF(COUNTIFS(보유목록!$I$2:$I$3001,"*"&amp;P514&amp;"*",보유목록!$I$2:$I$3001,"*"&amp;Q514&amp;"*")&gt;0,"확인필요(연도다름)",IF(COUNTIFS(보유목록!$I$2:$I$3001,"*"&amp;P514&amp;"*",보유목록!$H$2:$H$3001,O514)&gt;0,"확인필요(같은학교·같은연도)","없음")))))</f>
      </c>
      <c r="L514" t="str" s="16">
        <f aca="0">IF(OR(COUNTA(B514:J514)=0,R514&lt;&gt;""),"",COUNTIFS(보유목록!$I$2:$I$3001,"*"&amp;P514&amp;"*",보유목록!$I$2:$I$3001,"*"&amp;Q514&amp;"*"))</f>
      </c>
      <c r="M514" t="str" s="23">
        <f aca="0">IF(OR(COUNTA(B514:J514)=0,R514&lt;&gt;""),"",IFERROR(LOOKUP(2,1/(ISNUMBER(SEARCH(P514,보유목록!$I$2:$I$3001))*ISNUMBER(SEARCH(Q514,보유목록!$I$2:$I$3001))*(보유목록!$H$2:$H$3001=O514)),보유목록!$B$2:$B$3001),IFERROR(LOOKUP(2,1/(ISNUMBER(SEARCH(P514,보유목록!$I$2:$I$3001))*ISNUMBER(SEARCH(Q514,보유목록!$I$2:$I$3001))),보유목록!$B$2:$B$3001),"")))</f>
      </c>
      <c r="N514" s="25"/>
      <c r="O514" t="str">
        <f>IFERROR(IF(AND(LEN(SUBSTITUTE(SUBSTITUTE(SUBSTITUTE(TRIM(C514&amp;""),CHAR(160),"")," ",""),"년",""))=4,VALUE(SUBSTITUTE(SUBSTITUTE(SUBSTITUTE(TRIM(C514&amp;""),CHAR(160),"")," ",""),"년",""))&gt;=1900,VALUE(SUBSTITUTE(SUBSTITUTE(SUBSTITUTE(TRIM(C514&amp;""),CHAR(160),"")," ",""),"년",""))&lt;=2099,TEXT(VALUE(SUBSTITUTE(SUBSTITUTE(SUBSTITUTE(TRIM(C514&amp;""),CHAR(160),"")," ",""),"년","")),"0000")=SUBSTITUTE(SUBSTITUTE(SUBSTITUTE(TRIM(C514&amp;""),CHAR(160),"")," ",""),"년","")),SUBSTITUTE(SUBSTITUTE(SUBSTITUTE(TRIM(C514&amp;""),CHAR(160),"")," ",""),"년",""),""),"")</f>
      </c>
      <c r="P514" t="str">
        <f>SUBSTITUTE(SUBSTITUTE(SUBSTITUTE(SUBSTITUTE(SUBSTITUTE(SUBSTITUTE(SUBSTITUTE(SUBSTITUTE(TRIM(D514&amp;""),CHAR(160),"")," ",""),"초등학교","초"),"중학교","중"),"고등학교","고"),"~","~~"),"*","~*"),"?","~?")</f>
      </c>
      <c r="Q514" t="str">
        <f>SUBSTITUTE(SUBSTITUTE(SUBSTITUTE(SUBSTITUTE(SUBSTITUTE(SUBSTITUTE(SUBSTITUTE(SUBSTITUTE(TRIM(E514&amp;""),CHAR(160),"")," ",""),"초등학교","초"),"중학교","중"),"고등학교","고"),"~","~~"),"*","~*"),"?","~?")</f>
      </c>
      <c r="R514" t="str">
        <f>IF(COUNTA(B514:J514)=0,"",IF(AND(O514&lt;&gt;"",P514&lt;&gt;"",Q514&lt;&gt;""),"","입력누락"))</f>
      </c>
    </row>
    <row r="515" customFormat="false" ht="15" hidden="false" customHeight="false" outlineLevel="0" collapsed="false">
      <c r="A515" t="n" s="19">
        <f aca="0">IF(COUNTA(B515:J515)=0,"",ROW()-1)</f>
      </c>
      <c r="B515" s="24"/>
      <c r="C515" s="25"/>
      <c r="D515" s="8"/>
      <c r="E515" s="8"/>
      <c r="F515" s="26"/>
      <c r="G515" s="24"/>
      <c r="H515" s="25"/>
      <c r="I515" s="25"/>
      <c r="J515" s="26"/>
      <c r="K515" t="str" s="15">
        <f aca="0">IF(COUNTA(B515:J515)=0,"",IF(R515&lt;&gt;"","확인필요(입력누락)",IF(COUNTIFS(보유목록!$I$2:$I$3001,"*"&amp;P515&amp;"*",보유목록!$I$2:$I$3001,"*"&amp;Q515&amp;"*",보유목록!$H$2:$H$3001,O515)&gt;0,"있음",IF(COUNTIFS(보유목록!$I$2:$I$3001,"*"&amp;P515&amp;"*",보유목록!$I$2:$I$3001,"*"&amp;Q515&amp;"*")&gt;0,"확인필요(연도다름)",IF(COUNTIFS(보유목록!$I$2:$I$3001,"*"&amp;P515&amp;"*",보유목록!$H$2:$H$3001,O515)&gt;0,"확인필요(같은학교·같은연도)","없음")))))</f>
      </c>
      <c r="L515" t="str" s="16">
        <f aca="0">IF(OR(COUNTA(B515:J515)=0,R515&lt;&gt;""),"",COUNTIFS(보유목록!$I$2:$I$3001,"*"&amp;P515&amp;"*",보유목록!$I$2:$I$3001,"*"&amp;Q515&amp;"*"))</f>
      </c>
      <c r="M515" t="str" s="23">
        <f aca="0">IF(OR(COUNTA(B515:J515)=0,R515&lt;&gt;""),"",IFERROR(LOOKUP(2,1/(ISNUMBER(SEARCH(P515,보유목록!$I$2:$I$3001))*ISNUMBER(SEARCH(Q515,보유목록!$I$2:$I$3001))*(보유목록!$H$2:$H$3001=O515)),보유목록!$B$2:$B$3001),IFERROR(LOOKUP(2,1/(ISNUMBER(SEARCH(P515,보유목록!$I$2:$I$3001))*ISNUMBER(SEARCH(Q515,보유목록!$I$2:$I$3001))),보유목록!$B$2:$B$3001),"")))</f>
      </c>
      <c r="N515" s="25"/>
      <c r="O515" t="str">
        <f>IFERROR(IF(AND(LEN(SUBSTITUTE(SUBSTITUTE(SUBSTITUTE(TRIM(C515&amp;""),CHAR(160),"")," ",""),"년",""))=4,VALUE(SUBSTITUTE(SUBSTITUTE(SUBSTITUTE(TRIM(C515&amp;""),CHAR(160),"")," ",""),"년",""))&gt;=1900,VALUE(SUBSTITUTE(SUBSTITUTE(SUBSTITUTE(TRIM(C515&amp;""),CHAR(160),"")," ",""),"년",""))&lt;=2099,TEXT(VALUE(SUBSTITUTE(SUBSTITUTE(SUBSTITUTE(TRIM(C515&amp;""),CHAR(160),"")," ",""),"년","")),"0000")=SUBSTITUTE(SUBSTITUTE(SUBSTITUTE(TRIM(C515&amp;""),CHAR(160),"")," ",""),"년","")),SUBSTITUTE(SUBSTITUTE(SUBSTITUTE(TRIM(C515&amp;""),CHAR(160),"")," ",""),"년",""),""),"")</f>
      </c>
      <c r="P515" t="str">
        <f>SUBSTITUTE(SUBSTITUTE(SUBSTITUTE(SUBSTITUTE(SUBSTITUTE(SUBSTITUTE(SUBSTITUTE(SUBSTITUTE(TRIM(D515&amp;""),CHAR(160),"")," ",""),"초등학교","초"),"중학교","중"),"고등학교","고"),"~","~~"),"*","~*"),"?","~?")</f>
      </c>
      <c r="Q515" t="str">
        <f>SUBSTITUTE(SUBSTITUTE(SUBSTITUTE(SUBSTITUTE(SUBSTITUTE(SUBSTITUTE(SUBSTITUTE(SUBSTITUTE(TRIM(E515&amp;""),CHAR(160),"")," ",""),"초등학교","초"),"중학교","중"),"고등학교","고"),"~","~~"),"*","~*"),"?","~?")</f>
      </c>
      <c r="R515" t="str">
        <f>IF(COUNTA(B515:J515)=0,"",IF(AND(O515&lt;&gt;"",P515&lt;&gt;"",Q515&lt;&gt;""),"","입력누락"))</f>
      </c>
    </row>
    <row r="516" customFormat="false" ht="15" hidden="false" customHeight="false" outlineLevel="0" collapsed="false">
      <c r="A516" t="n" s="19">
        <f aca="0">IF(COUNTA(B516:J516)=0,"",ROW()-1)</f>
      </c>
      <c r="B516" s="24"/>
      <c r="C516" s="25"/>
      <c r="D516" s="8"/>
      <c r="E516" s="8"/>
      <c r="F516" s="26"/>
      <c r="G516" s="24"/>
      <c r="H516" s="25"/>
      <c r="I516" s="25"/>
      <c r="J516" s="26"/>
      <c r="K516" t="str" s="15">
        <f aca="0">IF(COUNTA(B516:J516)=0,"",IF(R516&lt;&gt;"","확인필요(입력누락)",IF(COUNTIFS(보유목록!$I$2:$I$3001,"*"&amp;P516&amp;"*",보유목록!$I$2:$I$3001,"*"&amp;Q516&amp;"*",보유목록!$H$2:$H$3001,O516)&gt;0,"있음",IF(COUNTIFS(보유목록!$I$2:$I$3001,"*"&amp;P516&amp;"*",보유목록!$I$2:$I$3001,"*"&amp;Q516&amp;"*")&gt;0,"확인필요(연도다름)",IF(COUNTIFS(보유목록!$I$2:$I$3001,"*"&amp;P516&amp;"*",보유목록!$H$2:$H$3001,O516)&gt;0,"확인필요(같은학교·같은연도)","없음")))))</f>
      </c>
      <c r="L516" t="str" s="16">
        <f aca="0">IF(OR(COUNTA(B516:J516)=0,R516&lt;&gt;""),"",COUNTIFS(보유목록!$I$2:$I$3001,"*"&amp;P516&amp;"*",보유목록!$I$2:$I$3001,"*"&amp;Q516&amp;"*"))</f>
      </c>
      <c r="M516" t="str" s="23">
        <f aca="0">IF(OR(COUNTA(B516:J516)=0,R516&lt;&gt;""),"",IFERROR(LOOKUP(2,1/(ISNUMBER(SEARCH(P516,보유목록!$I$2:$I$3001))*ISNUMBER(SEARCH(Q516,보유목록!$I$2:$I$3001))*(보유목록!$H$2:$H$3001=O516)),보유목록!$B$2:$B$3001),IFERROR(LOOKUP(2,1/(ISNUMBER(SEARCH(P516,보유목록!$I$2:$I$3001))*ISNUMBER(SEARCH(Q516,보유목록!$I$2:$I$3001))),보유목록!$B$2:$B$3001),"")))</f>
      </c>
      <c r="N516" s="25"/>
      <c r="O516" t="str">
        <f>IFERROR(IF(AND(LEN(SUBSTITUTE(SUBSTITUTE(SUBSTITUTE(TRIM(C516&amp;""),CHAR(160),"")," ",""),"년",""))=4,VALUE(SUBSTITUTE(SUBSTITUTE(SUBSTITUTE(TRIM(C516&amp;""),CHAR(160),"")," ",""),"년",""))&gt;=1900,VALUE(SUBSTITUTE(SUBSTITUTE(SUBSTITUTE(TRIM(C516&amp;""),CHAR(160),"")," ",""),"년",""))&lt;=2099,TEXT(VALUE(SUBSTITUTE(SUBSTITUTE(SUBSTITUTE(TRIM(C516&amp;""),CHAR(160),"")," ",""),"년","")),"0000")=SUBSTITUTE(SUBSTITUTE(SUBSTITUTE(TRIM(C516&amp;""),CHAR(160),"")," ",""),"년","")),SUBSTITUTE(SUBSTITUTE(SUBSTITUTE(TRIM(C516&amp;""),CHAR(160),"")," ",""),"년",""),""),"")</f>
      </c>
      <c r="P516" t="str">
        <f>SUBSTITUTE(SUBSTITUTE(SUBSTITUTE(SUBSTITUTE(SUBSTITUTE(SUBSTITUTE(SUBSTITUTE(SUBSTITUTE(TRIM(D516&amp;""),CHAR(160),"")," ",""),"초등학교","초"),"중학교","중"),"고등학교","고"),"~","~~"),"*","~*"),"?","~?")</f>
      </c>
      <c r="Q516" t="str">
        <f>SUBSTITUTE(SUBSTITUTE(SUBSTITUTE(SUBSTITUTE(SUBSTITUTE(SUBSTITUTE(SUBSTITUTE(SUBSTITUTE(TRIM(E516&amp;""),CHAR(160),"")," ",""),"초등학교","초"),"중학교","중"),"고등학교","고"),"~","~~"),"*","~*"),"?","~?")</f>
      </c>
      <c r="R516" t="str">
        <f>IF(COUNTA(B516:J516)=0,"",IF(AND(O516&lt;&gt;"",P516&lt;&gt;"",Q516&lt;&gt;""),"","입력누락"))</f>
      </c>
    </row>
    <row r="517" customFormat="false" ht="15" hidden="false" customHeight="false" outlineLevel="0" collapsed="false">
      <c r="A517" t="n" s="19">
        <f aca="0">IF(COUNTA(B517:J517)=0,"",ROW()-1)</f>
      </c>
      <c r="B517" s="24"/>
      <c r="C517" s="25"/>
      <c r="D517" s="8"/>
      <c r="E517" s="8"/>
      <c r="F517" s="26"/>
      <c r="G517" s="24"/>
      <c r="H517" s="25"/>
      <c r="I517" s="25"/>
      <c r="J517" s="26"/>
      <c r="K517" t="str" s="15">
        <f aca="0">IF(COUNTA(B517:J517)=0,"",IF(R517&lt;&gt;"","확인필요(입력누락)",IF(COUNTIFS(보유목록!$I$2:$I$3001,"*"&amp;P517&amp;"*",보유목록!$I$2:$I$3001,"*"&amp;Q517&amp;"*",보유목록!$H$2:$H$3001,O517)&gt;0,"있음",IF(COUNTIFS(보유목록!$I$2:$I$3001,"*"&amp;P517&amp;"*",보유목록!$I$2:$I$3001,"*"&amp;Q517&amp;"*")&gt;0,"확인필요(연도다름)",IF(COUNTIFS(보유목록!$I$2:$I$3001,"*"&amp;P517&amp;"*",보유목록!$H$2:$H$3001,O517)&gt;0,"확인필요(같은학교·같은연도)","없음")))))</f>
      </c>
      <c r="L517" t="str" s="16">
        <f aca="0">IF(OR(COUNTA(B517:J517)=0,R517&lt;&gt;""),"",COUNTIFS(보유목록!$I$2:$I$3001,"*"&amp;P517&amp;"*",보유목록!$I$2:$I$3001,"*"&amp;Q517&amp;"*"))</f>
      </c>
      <c r="M517" t="str" s="23">
        <f aca="0">IF(OR(COUNTA(B517:J517)=0,R517&lt;&gt;""),"",IFERROR(LOOKUP(2,1/(ISNUMBER(SEARCH(P517,보유목록!$I$2:$I$3001))*ISNUMBER(SEARCH(Q517,보유목록!$I$2:$I$3001))*(보유목록!$H$2:$H$3001=O517)),보유목록!$B$2:$B$3001),IFERROR(LOOKUP(2,1/(ISNUMBER(SEARCH(P517,보유목록!$I$2:$I$3001))*ISNUMBER(SEARCH(Q517,보유목록!$I$2:$I$3001))),보유목록!$B$2:$B$3001),"")))</f>
      </c>
      <c r="N517" s="25"/>
      <c r="O517" t="str">
        <f>IFERROR(IF(AND(LEN(SUBSTITUTE(SUBSTITUTE(SUBSTITUTE(TRIM(C517&amp;""),CHAR(160),"")," ",""),"년",""))=4,VALUE(SUBSTITUTE(SUBSTITUTE(SUBSTITUTE(TRIM(C517&amp;""),CHAR(160),"")," ",""),"년",""))&gt;=1900,VALUE(SUBSTITUTE(SUBSTITUTE(SUBSTITUTE(TRIM(C517&amp;""),CHAR(160),"")," ",""),"년",""))&lt;=2099,TEXT(VALUE(SUBSTITUTE(SUBSTITUTE(SUBSTITUTE(TRIM(C517&amp;""),CHAR(160),"")," ",""),"년","")),"0000")=SUBSTITUTE(SUBSTITUTE(SUBSTITUTE(TRIM(C517&amp;""),CHAR(160),"")," ",""),"년","")),SUBSTITUTE(SUBSTITUTE(SUBSTITUTE(TRIM(C517&amp;""),CHAR(160),"")," ",""),"년",""),""),"")</f>
      </c>
      <c r="P517" t="str">
        <f>SUBSTITUTE(SUBSTITUTE(SUBSTITUTE(SUBSTITUTE(SUBSTITUTE(SUBSTITUTE(SUBSTITUTE(SUBSTITUTE(TRIM(D517&amp;""),CHAR(160),"")," ",""),"초등학교","초"),"중학교","중"),"고등학교","고"),"~","~~"),"*","~*"),"?","~?")</f>
      </c>
      <c r="Q517" t="str">
        <f>SUBSTITUTE(SUBSTITUTE(SUBSTITUTE(SUBSTITUTE(SUBSTITUTE(SUBSTITUTE(SUBSTITUTE(SUBSTITUTE(TRIM(E517&amp;""),CHAR(160),"")," ",""),"초등학교","초"),"중학교","중"),"고등학교","고"),"~","~~"),"*","~*"),"?","~?")</f>
      </c>
      <c r="R517" t="str">
        <f>IF(COUNTA(B517:J517)=0,"",IF(AND(O517&lt;&gt;"",P517&lt;&gt;"",Q517&lt;&gt;""),"","입력누락"))</f>
      </c>
    </row>
    <row r="518" customFormat="false" ht="15" hidden="false" customHeight="false" outlineLevel="0" collapsed="false">
      <c r="A518" t="n" s="19">
        <f aca="0">IF(COUNTA(B518:J518)=0,"",ROW()-1)</f>
      </c>
      <c r="B518" s="24"/>
      <c r="C518" s="25"/>
      <c r="D518" s="8"/>
      <c r="E518" s="8"/>
      <c r="F518" s="26"/>
      <c r="G518" s="24"/>
      <c r="H518" s="25"/>
      <c r="I518" s="25"/>
      <c r="J518" s="26"/>
      <c r="K518" t="str" s="15">
        <f aca="0">IF(COUNTA(B518:J518)=0,"",IF(R518&lt;&gt;"","확인필요(입력누락)",IF(COUNTIFS(보유목록!$I$2:$I$3001,"*"&amp;P518&amp;"*",보유목록!$I$2:$I$3001,"*"&amp;Q518&amp;"*",보유목록!$H$2:$H$3001,O518)&gt;0,"있음",IF(COUNTIFS(보유목록!$I$2:$I$3001,"*"&amp;P518&amp;"*",보유목록!$I$2:$I$3001,"*"&amp;Q518&amp;"*")&gt;0,"확인필요(연도다름)",IF(COUNTIFS(보유목록!$I$2:$I$3001,"*"&amp;P518&amp;"*",보유목록!$H$2:$H$3001,O518)&gt;0,"확인필요(같은학교·같은연도)","없음")))))</f>
      </c>
      <c r="L518" t="str" s="16">
        <f aca="0">IF(OR(COUNTA(B518:J518)=0,R518&lt;&gt;""),"",COUNTIFS(보유목록!$I$2:$I$3001,"*"&amp;P518&amp;"*",보유목록!$I$2:$I$3001,"*"&amp;Q518&amp;"*"))</f>
      </c>
      <c r="M518" t="str" s="23">
        <f aca="0">IF(OR(COUNTA(B518:J518)=0,R518&lt;&gt;""),"",IFERROR(LOOKUP(2,1/(ISNUMBER(SEARCH(P518,보유목록!$I$2:$I$3001))*ISNUMBER(SEARCH(Q518,보유목록!$I$2:$I$3001))*(보유목록!$H$2:$H$3001=O518)),보유목록!$B$2:$B$3001),IFERROR(LOOKUP(2,1/(ISNUMBER(SEARCH(P518,보유목록!$I$2:$I$3001))*ISNUMBER(SEARCH(Q518,보유목록!$I$2:$I$3001))),보유목록!$B$2:$B$3001),"")))</f>
      </c>
      <c r="N518" s="25"/>
      <c r="O518" t="str">
        <f>IFERROR(IF(AND(LEN(SUBSTITUTE(SUBSTITUTE(SUBSTITUTE(TRIM(C518&amp;""),CHAR(160),"")," ",""),"년",""))=4,VALUE(SUBSTITUTE(SUBSTITUTE(SUBSTITUTE(TRIM(C518&amp;""),CHAR(160),"")," ",""),"년",""))&gt;=1900,VALUE(SUBSTITUTE(SUBSTITUTE(SUBSTITUTE(TRIM(C518&amp;""),CHAR(160),"")," ",""),"년",""))&lt;=2099,TEXT(VALUE(SUBSTITUTE(SUBSTITUTE(SUBSTITUTE(TRIM(C518&amp;""),CHAR(160),"")," ",""),"년","")),"0000")=SUBSTITUTE(SUBSTITUTE(SUBSTITUTE(TRIM(C518&amp;""),CHAR(160),"")," ",""),"년","")),SUBSTITUTE(SUBSTITUTE(SUBSTITUTE(TRIM(C518&amp;""),CHAR(160),"")," ",""),"년",""),""),"")</f>
      </c>
      <c r="P518" t="str">
        <f>SUBSTITUTE(SUBSTITUTE(SUBSTITUTE(SUBSTITUTE(SUBSTITUTE(SUBSTITUTE(SUBSTITUTE(SUBSTITUTE(TRIM(D518&amp;""),CHAR(160),"")," ",""),"초등학교","초"),"중학교","중"),"고등학교","고"),"~","~~"),"*","~*"),"?","~?")</f>
      </c>
      <c r="Q518" t="str">
        <f>SUBSTITUTE(SUBSTITUTE(SUBSTITUTE(SUBSTITUTE(SUBSTITUTE(SUBSTITUTE(SUBSTITUTE(SUBSTITUTE(TRIM(E518&amp;""),CHAR(160),"")," ",""),"초등학교","초"),"중학교","중"),"고등학교","고"),"~","~~"),"*","~*"),"?","~?")</f>
      </c>
      <c r="R518" t="str">
        <f>IF(COUNTA(B518:J518)=0,"",IF(AND(O518&lt;&gt;"",P518&lt;&gt;"",Q518&lt;&gt;""),"","입력누락"))</f>
      </c>
    </row>
    <row r="519" customFormat="false" ht="15" hidden="false" customHeight="false" outlineLevel="0" collapsed="false">
      <c r="A519" t="n" s="19">
        <f aca="0">IF(COUNTA(B519:J519)=0,"",ROW()-1)</f>
      </c>
      <c r="B519" s="24"/>
      <c r="C519" s="25"/>
      <c r="D519" s="8"/>
      <c r="E519" s="8"/>
      <c r="F519" s="26"/>
      <c r="G519" s="24"/>
      <c r="H519" s="25"/>
      <c r="I519" s="25"/>
      <c r="J519" s="26"/>
      <c r="K519" t="str" s="15">
        <f aca="0">IF(COUNTA(B519:J519)=0,"",IF(R519&lt;&gt;"","확인필요(입력누락)",IF(COUNTIFS(보유목록!$I$2:$I$3001,"*"&amp;P519&amp;"*",보유목록!$I$2:$I$3001,"*"&amp;Q519&amp;"*",보유목록!$H$2:$H$3001,O519)&gt;0,"있음",IF(COUNTIFS(보유목록!$I$2:$I$3001,"*"&amp;P519&amp;"*",보유목록!$I$2:$I$3001,"*"&amp;Q519&amp;"*")&gt;0,"확인필요(연도다름)",IF(COUNTIFS(보유목록!$I$2:$I$3001,"*"&amp;P519&amp;"*",보유목록!$H$2:$H$3001,O519)&gt;0,"확인필요(같은학교·같은연도)","없음")))))</f>
      </c>
      <c r="L519" t="str" s="16">
        <f aca="0">IF(OR(COUNTA(B519:J519)=0,R519&lt;&gt;""),"",COUNTIFS(보유목록!$I$2:$I$3001,"*"&amp;P519&amp;"*",보유목록!$I$2:$I$3001,"*"&amp;Q519&amp;"*"))</f>
      </c>
      <c r="M519" t="str" s="23">
        <f aca="0">IF(OR(COUNTA(B519:J519)=0,R519&lt;&gt;""),"",IFERROR(LOOKUP(2,1/(ISNUMBER(SEARCH(P519,보유목록!$I$2:$I$3001))*ISNUMBER(SEARCH(Q519,보유목록!$I$2:$I$3001))*(보유목록!$H$2:$H$3001=O519)),보유목록!$B$2:$B$3001),IFERROR(LOOKUP(2,1/(ISNUMBER(SEARCH(P519,보유목록!$I$2:$I$3001))*ISNUMBER(SEARCH(Q519,보유목록!$I$2:$I$3001))),보유목록!$B$2:$B$3001),"")))</f>
      </c>
      <c r="N519" s="25"/>
      <c r="O519" t="str">
        <f>IFERROR(IF(AND(LEN(SUBSTITUTE(SUBSTITUTE(SUBSTITUTE(TRIM(C519&amp;""),CHAR(160),"")," ",""),"년",""))=4,VALUE(SUBSTITUTE(SUBSTITUTE(SUBSTITUTE(TRIM(C519&amp;""),CHAR(160),"")," ",""),"년",""))&gt;=1900,VALUE(SUBSTITUTE(SUBSTITUTE(SUBSTITUTE(TRIM(C519&amp;""),CHAR(160),"")," ",""),"년",""))&lt;=2099,TEXT(VALUE(SUBSTITUTE(SUBSTITUTE(SUBSTITUTE(TRIM(C519&amp;""),CHAR(160),"")," ",""),"년","")),"0000")=SUBSTITUTE(SUBSTITUTE(SUBSTITUTE(TRIM(C519&amp;""),CHAR(160),"")," ",""),"년","")),SUBSTITUTE(SUBSTITUTE(SUBSTITUTE(TRIM(C519&amp;""),CHAR(160),"")," ",""),"년",""),""),"")</f>
      </c>
      <c r="P519" t="str">
        <f>SUBSTITUTE(SUBSTITUTE(SUBSTITUTE(SUBSTITUTE(SUBSTITUTE(SUBSTITUTE(SUBSTITUTE(SUBSTITUTE(TRIM(D519&amp;""),CHAR(160),"")," ",""),"초등학교","초"),"중학교","중"),"고등학교","고"),"~","~~"),"*","~*"),"?","~?")</f>
      </c>
      <c r="Q519" t="str">
        <f>SUBSTITUTE(SUBSTITUTE(SUBSTITUTE(SUBSTITUTE(SUBSTITUTE(SUBSTITUTE(SUBSTITUTE(SUBSTITUTE(TRIM(E519&amp;""),CHAR(160),"")," ",""),"초등학교","초"),"중학교","중"),"고등학교","고"),"~","~~"),"*","~*"),"?","~?")</f>
      </c>
      <c r="R519" t="str">
        <f>IF(COUNTA(B519:J519)=0,"",IF(AND(O519&lt;&gt;"",P519&lt;&gt;"",Q519&lt;&gt;""),"","입력누락"))</f>
      </c>
    </row>
    <row r="520" customFormat="false" ht="15" hidden="false" customHeight="false" outlineLevel="0" collapsed="false">
      <c r="A520" t="n" s="19">
        <f aca="0">IF(COUNTA(B520:J520)=0,"",ROW()-1)</f>
      </c>
      <c r="B520" s="24"/>
      <c r="C520" s="25"/>
      <c r="D520" s="8"/>
      <c r="E520" s="8"/>
      <c r="F520" s="26"/>
      <c r="G520" s="24"/>
      <c r="H520" s="25"/>
      <c r="I520" s="25"/>
      <c r="J520" s="26"/>
      <c r="K520" t="str" s="15">
        <f aca="0">IF(COUNTA(B520:J520)=0,"",IF(R520&lt;&gt;"","확인필요(입력누락)",IF(COUNTIFS(보유목록!$I$2:$I$3001,"*"&amp;P520&amp;"*",보유목록!$I$2:$I$3001,"*"&amp;Q520&amp;"*",보유목록!$H$2:$H$3001,O520)&gt;0,"있음",IF(COUNTIFS(보유목록!$I$2:$I$3001,"*"&amp;P520&amp;"*",보유목록!$I$2:$I$3001,"*"&amp;Q520&amp;"*")&gt;0,"확인필요(연도다름)",IF(COUNTIFS(보유목록!$I$2:$I$3001,"*"&amp;P520&amp;"*",보유목록!$H$2:$H$3001,O520)&gt;0,"확인필요(같은학교·같은연도)","없음")))))</f>
      </c>
      <c r="L520" t="str" s="16">
        <f aca="0">IF(OR(COUNTA(B520:J520)=0,R520&lt;&gt;""),"",COUNTIFS(보유목록!$I$2:$I$3001,"*"&amp;P520&amp;"*",보유목록!$I$2:$I$3001,"*"&amp;Q520&amp;"*"))</f>
      </c>
      <c r="M520" t="str" s="23">
        <f aca="0">IF(OR(COUNTA(B520:J520)=0,R520&lt;&gt;""),"",IFERROR(LOOKUP(2,1/(ISNUMBER(SEARCH(P520,보유목록!$I$2:$I$3001))*ISNUMBER(SEARCH(Q520,보유목록!$I$2:$I$3001))*(보유목록!$H$2:$H$3001=O520)),보유목록!$B$2:$B$3001),IFERROR(LOOKUP(2,1/(ISNUMBER(SEARCH(P520,보유목록!$I$2:$I$3001))*ISNUMBER(SEARCH(Q520,보유목록!$I$2:$I$3001))),보유목록!$B$2:$B$3001),"")))</f>
      </c>
      <c r="N520" s="25"/>
      <c r="O520" t="str">
        <f>IFERROR(IF(AND(LEN(SUBSTITUTE(SUBSTITUTE(SUBSTITUTE(TRIM(C520&amp;""),CHAR(160),"")," ",""),"년",""))=4,VALUE(SUBSTITUTE(SUBSTITUTE(SUBSTITUTE(TRIM(C520&amp;""),CHAR(160),"")," ",""),"년",""))&gt;=1900,VALUE(SUBSTITUTE(SUBSTITUTE(SUBSTITUTE(TRIM(C520&amp;""),CHAR(160),"")," ",""),"년",""))&lt;=2099,TEXT(VALUE(SUBSTITUTE(SUBSTITUTE(SUBSTITUTE(TRIM(C520&amp;""),CHAR(160),"")," ",""),"년","")),"0000")=SUBSTITUTE(SUBSTITUTE(SUBSTITUTE(TRIM(C520&amp;""),CHAR(160),"")," ",""),"년","")),SUBSTITUTE(SUBSTITUTE(SUBSTITUTE(TRIM(C520&amp;""),CHAR(160),"")," ",""),"년",""),""),"")</f>
      </c>
      <c r="P520" t="str">
        <f>SUBSTITUTE(SUBSTITUTE(SUBSTITUTE(SUBSTITUTE(SUBSTITUTE(SUBSTITUTE(SUBSTITUTE(SUBSTITUTE(TRIM(D520&amp;""),CHAR(160),"")," ",""),"초등학교","초"),"중학교","중"),"고등학교","고"),"~","~~"),"*","~*"),"?","~?")</f>
      </c>
      <c r="Q520" t="str">
        <f>SUBSTITUTE(SUBSTITUTE(SUBSTITUTE(SUBSTITUTE(SUBSTITUTE(SUBSTITUTE(SUBSTITUTE(SUBSTITUTE(TRIM(E520&amp;""),CHAR(160),"")," ",""),"초등학교","초"),"중학교","중"),"고등학교","고"),"~","~~"),"*","~*"),"?","~?")</f>
      </c>
      <c r="R520" t="str">
        <f>IF(COUNTA(B520:J520)=0,"",IF(AND(O520&lt;&gt;"",P520&lt;&gt;"",Q520&lt;&gt;""),"","입력누락"))</f>
      </c>
    </row>
    <row r="521" customFormat="false" ht="15" hidden="false" customHeight="false" outlineLevel="0" collapsed="false">
      <c r="A521" t="n" s="19">
        <f aca="0">IF(COUNTA(B521:J521)=0,"",ROW()-1)</f>
      </c>
      <c r="B521" s="24"/>
      <c r="C521" s="25"/>
      <c r="D521" s="8"/>
      <c r="E521" s="8"/>
      <c r="F521" s="26"/>
      <c r="G521" s="24"/>
      <c r="H521" s="25"/>
      <c r="I521" s="25"/>
      <c r="J521" s="26"/>
      <c r="K521" t="str" s="15">
        <f aca="0">IF(COUNTA(B521:J521)=0,"",IF(R521&lt;&gt;"","확인필요(입력누락)",IF(COUNTIFS(보유목록!$I$2:$I$3001,"*"&amp;P521&amp;"*",보유목록!$I$2:$I$3001,"*"&amp;Q521&amp;"*",보유목록!$H$2:$H$3001,O521)&gt;0,"있음",IF(COUNTIFS(보유목록!$I$2:$I$3001,"*"&amp;P521&amp;"*",보유목록!$I$2:$I$3001,"*"&amp;Q521&amp;"*")&gt;0,"확인필요(연도다름)",IF(COUNTIFS(보유목록!$I$2:$I$3001,"*"&amp;P521&amp;"*",보유목록!$H$2:$H$3001,O521)&gt;0,"확인필요(같은학교·같은연도)","없음")))))</f>
      </c>
      <c r="L521" t="str" s="16">
        <f aca="0">IF(OR(COUNTA(B521:J521)=0,R521&lt;&gt;""),"",COUNTIFS(보유목록!$I$2:$I$3001,"*"&amp;P521&amp;"*",보유목록!$I$2:$I$3001,"*"&amp;Q521&amp;"*"))</f>
      </c>
      <c r="M521" t="str" s="23">
        <f aca="0">IF(OR(COUNTA(B521:J521)=0,R521&lt;&gt;""),"",IFERROR(LOOKUP(2,1/(ISNUMBER(SEARCH(P521,보유목록!$I$2:$I$3001))*ISNUMBER(SEARCH(Q521,보유목록!$I$2:$I$3001))*(보유목록!$H$2:$H$3001=O521)),보유목록!$B$2:$B$3001),IFERROR(LOOKUP(2,1/(ISNUMBER(SEARCH(P521,보유목록!$I$2:$I$3001))*ISNUMBER(SEARCH(Q521,보유목록!$I$2:$I$3001))),보유목록!$B$2:$B$3001),"")))</f>
      </c>
      <c r="N521" s="25"/>
      <c r="O521" t="str">
        <f>IFERROR(IF(AND(LEN(SUBSTITUTE(SUBSTITUTE(SUBSTITUTE(TRIM(C521&amp;""),CHAR(160),"")," ",""),"년",""))=4,VALUE(SUBSTITUTE(SUBSTITUTE(SUBSTITUTE(TRIM(C521&amp;""),CHAR(160),"")," ",""),"년",""))&gt;=1900,VALUE(SUBSTITUTE(SUBSTITUTE(SUBSTITUTE(TRIM(C521&amp;""),CHAR(160),"")," ",""),"년",""))&lt;=2099,TEXT(VALUE(SUBSTITUTE(SUBSTITUTE(SUBSTITUTE(TRIM(C521&amp;""),CHAR(160),"")," ",""),"년","")),"0000")=SUBSTITUTE(SUBSTITUTE(SUBSTITUTE(TRIM(C521&amp;""),CHAR(160),"")," ",""),"년","")),SUBSTITUTE(SUBSTITUTE(SUBSTITUTE(TRIM(C521&amp;""),CHAR(160),"")," ",""),"년",""),""),"")</f>
      </c>
      <c r="P521" t="str">
        <f>SUBSTITUTE(SUBSTITUTE(SUBSTITUTE(SUBSTITUTE(SUBSTITUTE(SUBSTITUTE(SUBSTITUTE(SUBSTITUTE(TRIM(D521&amp;""),CHAR(160),"")," ",""),"초등학교","초"),"중학교","중"),"고등학교","고"),"~","~~"),"*","~*"),"?","~?")</f>
      </c>
      <c r="Q521" t="str">
        <f>SUBSTITUTE(SUBSTITUTE(SUBSTITUTE(SUBSTITUTE(SUBSTITUTE(SUBSTITUTE(SUBSTITUTE(SUBSTITUTE(TRIM(E521&amp;""),CHAR(160),"")," ",""),"초등학교","초"),"중학교","중"),"고등학교","고"),"~","~~"),"*","~*"),"?","~?")</f>
      </c>
      <c r="R521" t="str">
        <f>IF(COUNTA(B521:J521)=0,"",IF(AND(O521&lt;&gt;"",P521&lt;&gt;"",Q521&lt;&gt;""),"","입력누락"))</f>
      </c>
    </row>
    <row r="522" customFormat="false" ht="15" hidden="false" customHeight="false" outlineLevel="0" collapsed="false">
      <c r="A522" t="n" s="19">
        <f aca="0">IF(COUNTA(B522:J522)=0,"",ROW()-1)</f>
      </c>
      <c r="B522" s="24"/>
      <c r="C522" s="25"/>
      <c r="D522" s="8"/>
      <c r="E522" s="8"/>
      <c r="F522" s="26"/>
      <c r="G522" s="24"/>
      <c r="H522" s="25"/>
      <c r="I522" s="25"/>
      <c r="J522" s="26"/>
      <c r="K522" t="str" s="15">
        <f aca="0">IF(COUNTA(B522:J522)=0,"",IF(R522&lt;&gt;"","확인필요(입력누락)",IF(COUNTIFS(보유목록!$I$2:$I$3001,"*"&amp;P522&amp;"*",보유목록!$I$2:$I$3001,"*"&amp;Q522&amp;"*",보유목록!$H$2:$H$3001,O522)&gt;0,"있음",IF(COUNTIFS(보유목록!$I$2:$I$3001,"*"&amp;P522&amp;"*",보유목록!$I$2:$I$3001,"*"&amp;Q522&amp;"*")&gt;0,"확인필요(연도다름)",IF(COUNTIFS(보유목록!$I$2:$I$3001,"*"&amp;P522&amp;"*",보유목록!$H$2:$H$3001,O522)&gt;0,"확인필요(같은학교·같은연도)","없음")))))</f>
      </c>
      <c r="L522" t="str" s="16">
        <f aca="0">IF(OR(COUNTA(B522:J522)=0,R522&lt;&gt;""),"",COUNTIFS(보유목록!$I$2:$I$3001,"*"&amp;P522&amp;"*",보유목록!$I$2:$I$3001,"*"&amp;Q522&amp;"*"))</f>
      </c>
      <c r="M522" t="str" s="23">
        <f aca="0">IF(OR(COUNTA(B522:J522)=0,R522&lt;&gt;""),"",IFERROR(LOOKUP(2,1/(ISNUMBER(SEARCH(P522,보유목록!$I$2:$I$3001))*ISNUMBER(SEARCH(Q522,보유목록!$I$2:$I$3001))*(보유목록!$H$2:$H$3001=O522)),보유목록!$B$2:$B$3001),IFERROR(LOOKUP(2,1/(ISNUMBER(SEARCH(P522,보유목록!$I$2:$I$3001))*ISNUMBER(SEARCH(Q522,보유목록!$I$2:$I$3001))),보유목록!$B$2:$B$3001),"")))</f>
      </c>
      <c r="N522" s="25"/>
      <c r="O522" t="str">
        <f>IFERROR(IF(AND(LEN(SUBSTITUTE(SUBSTITUTE(SUBSTITUTE(TRIM(C522&amp;""),CHAR(160),"")," ",""),"년",""))=4,VALUE(SUBSTITUTE(SUBSTITUTE(SUBSTITUTE(TRIM(C522&amp;""),CHAR(160),"")," ",""),"년",""))&gt;=1900,VALUE(SUBSTITUTE(SUBSTITUTE(SUBSTITUTE(TRIM(C522&amp;""),CHAR(160),"")," ",""),"년",""))&lt;=2099,TEXT(VALUE(SUBSTITUTE(SUBSTITUTE(SUBSTITUTE(TRIM(C522&amp;""),CHAR(160),"")," ",""),"년","")),"0000")=SUBSTITUTE(SUBSTITUTE(SUBSTITUTE(TRIM(C522&amp;""),CHAR(160),"")," ",""),"년","")),SUBSTITUTE(SUBSTITUTE(SUBSTITUTE(TRIM(C522&amp;""),CHAR(160),"")," ",""),"년",""),""),"")</f>
      </c>
      <c r="P522" t="str">
        <f>SUBSTITUTE(SUBSTITUTE(SUBSTITUTE(SUBSTITUTE(SUBSTITUTE(SUBSTITUTE(SUBSTITUTE(SUBSTITUTE(TRIM(D522&amp;""),CHAR(160),"")," ",""),"초등학교","초"),"중학교","중"),"고등학교","고"),"~","~~"),"*","~*"),"?","~?")</f>
      </c>
      <c r="Q522" t="str">
        <f>SUBSTITUTE(SUBSTITUTE(SUBSTITUTE(SUBSTITUTE(SUBSTITUTE(SUBSTITUTE(SUBSTITUTE(SUBSTITUTE(TRIM(E522&amp;""),CHAR(160),"")," ",""),"초등학교","초"),"중학교","중"),"고등학교","고"),"~","~~"),"*","~*"),"?","~?")</f>
      </c>
      <c r="R522" t="str">
        <f>IF(COUNTA(B522:J522)=0,"",IF(AND(O522&lt;&gt;"",P522&lt;&gt;"",Q522&lt;&gt;""),"","입력누락"))</f>
      </c>
    </row>
    <row r="523" customFormat="false" ht="15" hidden="false" customHeight="false" outlineLevel="0" collapsed="false">
      <c r="A523" t="n" s="19">
        <f aca="0">IF(COUNTA(B523:J523)=0,"",ROW()-1)</f>
      </c>
      <c r="B523" s="24"/>
      <c r="C523" s="25"/>
      <c r="D523" s="8"/>
      <c r="E523" s="8"/>
      <c r="F523" s="26"/>
      <c r="G523" s="24"/>
      <c r="H523" s="25"/>
      <c r="I523" s="25"/>
      <c r="J523" s="26"/>
      <c r="K523" t="str" s="15">
        <f aca="0">IF(COUNTA(B523:J523)=0,"",IF(R523&lt;&gt;"","확인필요(입력누락)",IF(COUNTIFS(보유목록!$I$2:$I$3001,"*"&amp;P523&amp;"*",보유목록!$I$2:$I$3001,"*"&amp;Q523&amp;"*",보유목록!$H$2:$H$3001,O523)&gt;0,"있음",IF(COUNTIFS(보유목록!$I$2:$I$3001,"*"&amp;P523&amp;"*",보유목록!$I$2:$I$3001,"*"&amp;Q523&amp;"*")&gt;0,"확인필요(연도다름)",IF(COUNTIFS(보유목록!$I$2:$I$3001,"*"&amp;P523&amp;"*",보유목록!$H$2:$H$3001,O523)&gt;0,"확인필요(같은학교·같은연도)","없음")))))</f>
      </c>
      <c r="L523" t="str" s="16">
        <f aca="0">IF(OR(COUNTA(B523:J523)=0,R523&lt;&gt;""),"",COUNTIFS(보유목록!$I$2:$I$3001,"*"&amp;P523&amp;"*",보유목록!$I$2:$I$3001,"*"&amp;Q523&amp;"*"))</f>
      </c>
      <c r="M523" t="str" s="23">
        <f aca="0">IF(OR(COUNTA(B523:J523)=0,R523&lt;&gt;""),"",IFERROR(LOOKUP(2,1/(ISNUMBER(SEARCH(P523,보유목록!$I$2:$I$3001))*ISNUMBER(SEARCH(Q523,보유목록!$I$2:$I$3001))*(보유목록!$H$2:$H$3001=O523)),보유목록!$B$2:$B$3001),IFERROR(LOOKUP(2,1/(ISNUMBER(SEARCH(P523,보유목록!$I$2:$I$3001))*ISNUMBER(SEARCH(Q523,보유목록!$I$2:$I$3001))),보유목록!$B$2:$B$3001),"")))</f>
      </c>
      <c r="N523" s="25"/>
      <c r="O523" t="str">
        <f>IFERROR(IF(AND(LEN(SUBSTITUTE(SUBSTITUTE(SUBSTITUTE(TRIM(C523&amp;""),CHAR(160),"")," ",""),"년",""))=4,VALUE(SUBSTITUTE(SUBSTITUTE(SUBSTITUTE(TRIM(C523&amp;""),CHAR(160),"")," ",""),"년",""))&gt;=1900,VALUE(SUBSTITUTE(SUBSTITUTE(SUBSTITUTE(TRIM(C523&amp;""),CHAR(160),"")," ",""),"년",""))&lt;=2099,TEXT(VALUE(SUBSTITUTE(SUBSTITUTE(SUBSTITUTE(TRIM(C523&amp;""),CHAR(160),"")," ",""),"년","")),"0000")=SUBSTITUTE(SUBSTITUTE(SUBSTITUTE(TRIM(C523&amp;""),CHAR(160),"")," ",""),"년","")),SUBSTITUTE(SUBSTITUTE(SUBSTITUTE(TRIM(C523&amp;""),CHAR(160),"")," ",""),"년",""),""),"")</f>
      </c>
      <c r="P523" t="str">
        <f>SUBSTITUTE(SUBSTITUTE(SUBSTITUTE(SUBSTITUTE(SUBSTITUTE(SUBSTITUTE(SUBSTITUTE(SUBSTITUTE(TRIM(D523&amp;""),CHAR(160),"")," ",""),"초등학교","초"),"중학교","중"),"고등학교","고"),"~","~~"),"*","~*"),"?","~?")</f>
      </c>
      <c r="Q523" t="str">
        <f>SUBSTITUTE(SUBSTITUTE(SUBSTITUTE(SUBSTITUTE(SUBSTITUTE(SUBSTITUTE(SUBSTITUTE(SUBSTITUTE(TRIM(E523&amp;""),CHAR(160),"")," ",""),"초등학교","초"),"중학교","중"),"고등학교","고"),"~","~~"),"*","~*"),"?","~?")</f>
      </c>
      <c r="R523" t="str">
        <f>IF(COUNTA(B523:J523)=0,"",IF(AND(O523&lt;&gt;"",P523&lt;&gt;"",Q523&lt;&gt;""),"","입력누락"))</f>
      </c>
    </row>
    <row r="524" customFormat="false" ht="15" hidden="false" customHeight="false" outlineLevel="0" collapsed="false">
      <c r="A524" t="n" s="19">
        <f aca="0">IF(COUNTA(B524:J524)=0,"",ROW()-1)</f>
      </c>
      <c r="B524" s="24"/>
      <c r="C524" s="25"/>
      <c r="D524" s="8"/>
      <c r="E524" s="8"/>
      <c r="F524" s="26"/>
      <c r="G524" s="24"/>
      <c r="H524" s="25"/>
      <c r="I524" s="25"/>
      <c r="J524" s="26"/>
      <c r="K524" t="str" s="15">
        <f aca="0">IF(COUNTA(B524:J524)=0,"",IF(R524&lt;&gt;"","확인필요(입력누락)",IF(COUNTIFS(보유목록!$I$2:$I$3001,"*"&amp;P524&amp;"*",보유목록!$I$2:$I$3001,"*"&amp;Q524&amp;"*",보유목록!$H$2:$H$3001,O524)&gt;0,"있음",IF(COUNTIFS(보유목록!$I$2:$I$3001,"*"&amp;P524&amp;"*",보유목록!$I$2:$I$3001,"*"&amp;Q524&amp;"*")&gt;0,"확인필요(연도다름)",IF(COUNTIFS(보유목록!$I$2:$I$3001,"*"&amp;P524&amp;"*",보유목록!$H$2:$H$3001,O524)&gt;0,"확인필요(같은학교·같은연도)","없음")))))</f>
      </c>
      <c r="L524" t="str" s="16">
        <f aca="0">IF(OR(COUNTA(B524:J524)=0,R524&lt;&gt;""),"",COUNTIFS(보유목록!$I$2:$I$3001,"*"&amp;P524&amp;"*",보유목록!$I$2:$I$3001,"*"&amp;Q524&amp;"*"))</f>
      </c>
      <c r="M524" t="str" s="23">
        <f aca="0">IF(OR(COUNTA(B524:J524)=0,R524&lt;&gt;""),"",IFERROR(LOOKUP(2,1/(ISNUMBER(SEARCH(P524,보유목록!$I$2:$I$3001))*ISNUMBER(SEARCH(Q524,보유목록!$I$2:$I$3001))*(보유목록!$H$2:$H$3001=O524)),보유목록!$B$2:$B$3001),IFERROR(LOOKUP(2,1/(ISNUMBER(SEARCH(P524,보유목록!$I$2:$I$3001))*ISNUMBER(SEARCH(Q524,보유목록!$I$2:$I$3001))),보유목록!$B$2:$B$3001),"")))</f>
      </c>
      <c r="N524" s="25"/>
      <c r="O524" t="str">
        <f>IFERROR(IF(AND(LEN(SUBSTITUTE(SUBSTITUTE(SUBSTITUTE(TRIM(C524&amp;""),CHAR(160),"")," ",""),"년",""))=4,VALUE(SUBSTITUTE(SUBSTITUTE(SUBSTITUTE(TRIM(C524&amp;""),CHAR(160),"")," ",""),"년",""))&gt;=1900,VALUE(SUBSTITUTE(SUBSTITUTE(SUBSTITUTE(TRIM(C524&amp;""),CHAR(160),"")," ",""),"년",""))&lt;=2099,TEXT(VALUE(SUBSTITUTE(SUBSTITUTE(SUBSTITUTE(TRIM(C524&amp;""),CHAR(160),"")," ",""),"년","")),"0000")=SUBSTITUTE(SUBSTITUTE(SUBSTITUTE(TRIM(C524&amp;""),CHAR(160),"")," ",""),"년","")),SUBSTITUTE(SUBSTITUTE(SUBSTITUTE(TRIM(C524&amp;""),CHAR(160),"")," ",""),"년",""),""),"")</f>
      </c>
      <c r="P524" t="str">
        <f>SUBSTITUTE(SUBSTITUTE(SUBSTITUTE(SUBSTITUTE(SUBSTITUTE(SUBSTITUTE(SUBSTITUTE(SUBSTITUTE(TRIM(D524&amp;""),CHAR(160),"")," ",""),"초등학교","초"),"중학교","중"),"고등학교","고"),"~","~~"),"*","~*"),"?","~?")</f>
      </c>
      <c r="Q524" t="str">
        <f>SUBSTITUTE(SUBSTITUTE(SUBSTITUTE(SUBSTITUTE(SUBSTITUTE(SUBSTITUTE(SUBSTITUTE(SUBSTITUTE(TRIM(E524&amp;""),CHAR(160),"")," ",""),"초등학교","초"),"중학교","중"),"고등학교","고"),"~","~~"),"*","~*"),"?","~?")</f>
      </c>
      <c r="R524" t="str">
        <f>IF(COUNTA(B524:J524)=0,"",IF(AND(O524&lt;&gt;"",P524&lt;&gt;"",Q524&lt;&gt;""),"","입력누락"))</f>
      </c>
    </row>
    <row r="525" customFormat="false" ht="15" hidden="false" customHeight="false" outlineLevel="0" collapsed="false">
      <c r="A525" t="n" s="19">
        <f aca="0">IF(COUNTA(B525:J525)=0,"",ROW()-1)</f>
      </c>
      <c r="B525" s="24"/>
      <c r="C525" s="25"/>
      <c r="D525" s="8"/>
      <c r="E525" s="8"/>
      <c r="F525" s="26"/>
      <c r="G525" s="24"/>
      <c r="H525" s="25"/>
      <c r="I525" s="25"/>
      <c r="J525" s="26"/>
      <c r="K525" t="str" s="15">
        <f aca="0">IF(COUNTA(B525:J525)=0,"",IF(R525&lt;&gt;"","확인필요(입력누락)",IF(COUNTIFS(보유목록!$I$2:$I$3001,"*"&amp;P525&amp;"*",보유목록!$I$2:$I$3001,"*"&amp;Q525&amp;"*",보유목록!$H$2:$H$3001,O525)&gt;0,"있음",IF(COUNTIFS(보유목록!$I$2:$I$3001,"*"&amp;P525&amp;"*",보유목록!$I$2:$I$3001,"*"&amp;Q525&amp;"*")&gt;0,"확인필요(연도다름)",IF(COUNTIFS(보유목록!$I$2:$I$3001,"*"&amp;P525&amp;"*",보유목록!$H$2:$H$3001,O525)&gt;0,"확인필요(같은학교·같은연도)","없음")))))</f>
      </c>
      <c r="L525" t="str" s="16">
        <f aca="0">IF(OR(COUNTA(B525:J525)=0,R525&lt;&gt;""),"",COUNTIFS(보유목록!$I$2:$I$3001,"*"&amp;P525&amp;"*",보유목록!$I$2:$I$3001,"*"&amp;Q525&amp;"*"))</f>
      </c>
      <c r="M525" t="str" s="23">
        <f aca="0">IF(OR(COUNTA(B525:J525)=0,R525&lt;&gt;""),"",IFERROR(LOOKUP(2,1/(ISNUMBER(SEARCH(P525,보유목록!$I$2:$I$3001))*ISNUMBER(SEARCH(Q525,보유목록!$I$2:$I$3001))*(보유목록!$H$2:$H$3001=O525)),보유목록!$B$2:$B$3001),IFERROR(LOOKUP(2,1/(ISNUMBER(SEARCH(P525,보유목록!$I$2:$I$3001))*ISNUMBER(SEARCH(Q525,보유목록!$I$2:$I$3001))),보유목록!$B$2:$B$3001),"")))</f>
      </c>
      <c r="N525" s="25"/>
      <c r="O525" t="str">
        <f>IFERROR(IF(AND(LEN(SUBSTITUTE(SUBSTITUTE(SUBSTITUTE(TRIM(C525&amp;""),CHAR(160),"")," ",""),"년",""))=4,VALUE(SUBSTITUTE(SUBSTITUTE(SUBSTITUTE(TRIM(C525&amp;""),CHAR(160),"")," ",""),"년",""))&gt;=1900,VALUE(SUBSTITUTE(SUBSTITUTE(SUBSTITUTE(TRIM(C525&amp;""),CHAR(160),"")," ",""),"년",""))&lt;=2099,TEXT(VALUE(SUBSTITUTE(SUBSTITUTE(SUBSTITUTE(TRIM(C525&amp;""),CHAR(160),"")," ",""),"년","")),"0000")=SUBSTITUTE(SUBSTITUTE(SUBSTITUTE(TRIM(C525&amp;""),CHAR(160),"")," ",""),"년","")),SUBSTITUTE(SUBSTITUTE(SUBSTITUTE(TRIM(C525&amp;""),CHAR(160),"")," ",""),"년",""),""),"")</f>
      </c>
      <c r="P525" t="str">
        <f>SUBSTITUTE(SUBSTITUTE(SUBSTITUTE(SUBSTITUTE(SUBSTITUTE(SUBSTITUTE(SUBSTITUTE(SUBSTITUTE(TRIM(D525&amp;""),CHAR(160),"")," ",""),"초등학교","초"),"중학교","중"),"고등학교","고"),"~","~~"),"*","~*"),"?","~?")</f>
      </c>
      <c r="Q525" t="str">
        <f>SUBSTITUTE(SUBSTITUTE(SUBSTITUTE(SUBSTITUTE(SUBSTITUTE(SUBSTITUTE(SUBSTITUTE(SUBSTITUTE(TRIM(E525&amp;""),CHAR(160),"")," ",""),"초등학교","초"),"중학교","중"),"고등학교","고"),"~","~~"),"*","~*"),"?","~?")</f>
      </c>
      <c r="R525" t="str">
        <f>IF(COUNTA(B525:J525)=0,"",IF(AND(O525&lt;&gt;"",P525&lt;&gt;"",Q525&lt;&gt;""),"","입력누락"))</f>
      </c>
    </row>
    <row r="526" customFormat="false" ht="15" hidden="false" customHeight="false" outlineLevel="0" collapsed="false">
      <c r="A526" t="n" s="19">
        <f aca="0">IF(COUNTA(B526:J526)=0,"",ROW()-1)</f>
      </c>
      <c r="B526" s="24"/>
      <c r="C526" s="25"/>
      <c r="D526" s="8"/>
      <c r="E526" s="8"/>
      <c r="F526" s="26"/>
      <c r="G526" s="24"/>
      <c r="H526" s="25"/>
      <c r="I526" s="25"/>
      <c r="J526" s="26"/>
      <c r="K526" t="str" s="15">
        <f aca="0">IF(COUNTA(B526:J526)=0,"",IF(R526&lt;&gt;"","확인필요(입력누락)",IF(COUNTIFS(보유목록!$I$2:$I$3001,"*"&amp;P526&amp;"*",보유목록!$I$2:$I$3001,"*"&amp;Q526&amp;"*",보유목록!$H$2:$H$3001,O526)&gt;0,"있음",IF(COUNTIFS(보유목록!$I$2:$I$3001,"*"&amp;P526&amp;"*",보유목록!$I$2:$I$3001,"*"&amp;Q526&amp;"*")&gt;0,"확인필요(연도다름)",IF(COUNTIFS(보유목록!$I$2:$I$3001,"*"&amp;P526&amp;"*",보유목록!$H$2:$H$3001,O526)&gt;0,"확인필요(같은학교·같은연도)","없음")))))</f>
      </c>
      <c r="L526" t="str" s="16">
        <f aca="0">IF(OR(COUNTA(B526:J526)=0,R526&lt;&gt;""),"",COUNTIFS(보유목록!$I$2:$I$3001,"*"&amp;P526&amp;"*",보유목록!$I$2:$I$3001,"*"&amp;Q526&amp;"*"))</f>
      </c>
      <c r="M526" t="str" s="23">
        <f aca="0">IF(OR(COUNTA(B526:J526)=0,R526&lt;&gt;""),"",IFERROR(LOOKUP(2,1/(ISNUMBER(SEARCH(P526,보유목록!$I$2:$I$3001))*ISNUMBER(SEARCH(Q526,보유목록!$I$2:$I$3001))*(보유목록!$H$2:$H$3001=O526)),보유목록!$B$2:$B$3001),IFERROR(LOOKUP(2,1/(ISNUMBER(SEARCH(P526,보유목록!$I$2:$I$3001))*ISNUMBER(SEARCH(Q526,보유목록!$I$2:$I$3001))),보유목록!$B$2:$B$3001),"")))</f>
      </c>
      <c r="N526" s="25"/>
      <c r="O526" t="str">
        <f>IFERROR(IF(AND(LEN(SUBSTITUTE(SUBSTITUTE(SUBSTITUTE(TRIM(C526&amp;""),CHAR(160),"")," ",""),"년",""))=4,VALUE(SUBSTITUTE(SUBSTITUTE(SUBSTITUTE(TRIM(C526&amp;""),CHAR(160),"")," ",""),"년",""))&gt;=1900,VALUE(SUBSTITUTE(SUBSTITUTE(SUBSTITUTE(TRIM(C526&amp;""),CHAR(160),"")," ",""),"년",""))&lt;=2099,TEXT(VALUE(SUBSTITUTE(SUBSTITUTE(SUBSTITUTE(TRIM(C526&amp;""),CHAR(160),"")," ",""),"년","")),"0000")=SUBSTITUTE(SUBSTITUTE(SUBSTITUTE(TRIM(C526&amp;""),CHAR(160),"")," ",""),"년","")),SUBSTITUTE(SUBSTITUTE(SUBSTITUTE(TRIM(C526&amp;""),CHAR(160),"")," ",""),"년",""),""),"")</f>
      </c>
      <c r="P526" t="str">
        <f>SUBSTITUTE(SUBSTITUTE(SUBSTITUTE(SUBSTITUTE(SUBSTITUTE(SUBSTITUTE(SUBSTITUTE(SUBSTITUTE(TRIM(D526&amp;""),CHAR(160),"")," ",""),"초등학교","초"),"중학교","중"),"고등학교","고"),"~","~~"),"*","~*"),"?","~?")</f>
      </c>
      <c r="Q526" t="str">
        <f>SUBSTITUTE(SUBSTITUTE(SUBSTITUTE(SUBSTITUTE(SUBSTITUTE(SUBSTITUTE(SUBSTITUTE(SUBSTITUTE(TRIM(E526&amp;""),CHAR(160),"")," ",""),"초등학교","초"),"중학교","중"),"고등학교","고"),"~","~~"),"*","~*"),"?","~?")</f>
      </c>
      <c r="R526" t="str">
        <f>IF(COUNTA(B526:J526)=0,"",IF(AND(O526&lt;&gt;"",P526&lt;&gt;"",Q526&lt;&gt;""),"","입력누락"))</f>
      </c>
    </row>
    <row r="527" customFormat="false" ht="15" hidden="false" customHeight="false" outlineLevel="0" collapsed="false">
      <c r="A527" t="n" s="19">
        <f aca="0">IF(COUNTA(B527:J527)=0,"",ROW()-1)</f>
      </c>
      <c r="B527" s="24"/>
      <c r="C527" s="25"/>
      <c r="D527" s="8"/>
      <c r="E527" s="8"/>
      <c r="F527" s="26"/>
      <c r="G527" s="24"/>
      <c r="H527" s="25"/>
      <c r="I527" s="25"/>
      <c r="J527" s="26"/>
      <c r="K527" t="str" s="15">
        <f aca="0">IF(COUNTA(B527:J527)=0,"",IF(R527&lt;&gt;"","확인필요(입력누락)",IF(COUNTIFS(보유목록!$I$2:$I$3001,"*"&amp;P527&amp;"*",보유목록!$I$2:$I$3001,"*"&amp;Q527&amp;"*",보유목록!$H$2:$H$3001,O527)&gt;0,"있음",IF(COUNTIFS(보유목록!$I$2:$I$3001,"*"&amp;P527&amp;"*",보유목록!$I$2:$I$3001,"*"&amp;Q527&amp;"*")&gt;0,"확인필요(연도다름)",IF(COUNTIFS(보유목록!$I$2:$I$3001,"*"&amp;P527&amp;"*",보유목록!$H$2:$H$3001,O527)&gt;0,"확인필요(같은학교·같은연도)","없음")))))</f>
      </c>
      <c r="L527" t="str" s="16">
        <f aca="0">IF(OR(COUNTA(B527:J527)=0,R527&lt;&gt;""),"",COUNTIFS(보유목록!$I$2:$I$3001,"*"&amp;P527&amp;"*",보유목록!$I$2:$I$3001,"*"&amp;Q527&amp;"*"))</f>
      </c>
      <c r="M527" t="str" s="23">
        <f aca="0">IF(OR(COUNTA(B527:J527)=0,R527&lt;&gt;""),"",IFERROR(LOOKUP(2,1/(ISNUMBER(SEARCH(P527,보유목록!$I$2:$I$3001))*ISNUMBER(SEARCH(Q527,보유목록!$I$2:$I$3001))*(보유목록!$H$2:$H$3001=O527)),보유목록!$B$2:$B$3001),IFERROR(LOOKUP(2,1/(ISNUMBER(SEARCH(P527,보유목록!$I$2:$I$3001))*ISNUMBER(SEARCH(Q527,보유목록!$I$2:$I$3001))),보유목록!$B$2:$B$3001),"")))</f>
      </c>
      <c r="N527" s="25"/>
      <c r="O527" t="str">
        <f>IFERROR(IF(AND(LEN(SUBSTITUTE(SUBSTITUTE(SUBSTITUTE(TRIM(C527&amp;""),CHAR(160),"")," ",""),"년",""))=4,VALUE(SUBSTITUTE(SUBSTITUTE(SUBSTITUTE(TRIM(C527&amp;""),CHAR(160),"")," ",""),"년",""))&gt;=1900,VALUE(SUBSTITUTE(SUBSTITUTE(SUBSTITUTE(TRIM(C527&amp;""),CHAR(160),"")," ",""),"년",""))&lt;=2099,TEXT(VALUE(SUBSTITUTE(SUBSTITUTE(SUBSTITUTE(TRIM(C527&amp;""),CHAR(160),"")," ",""),"년","")),"0000")=SUBSTITUTE(SUBSTITUTE(SUBSTITUTE(TRIM(C527&amp;""),CHAR(160),"")," ",""),"년","")),SUBSTITUTE(SUBSTITUTE(SUBSTITUTE(TRIM(C527&amp;""),CHAR(160),"")," ",""),"년",""),""),"")</f>
      </c>
      <c r="P527" t="str">
        <f>SUBSTITUTE(SUBSTITUTE(SUBSTITUTE(SUBSTITUTE(SUBSTITUTE(SUBSTITUTE(SUBSTITUTE(SUBSTITUTE(TRIM(D527&amp;""),CHAR(160),"")," ",""),"초등학교","초"),"중학교","중"),"고등학교","고"),"~","~~"),"*","~*"),"?","~?")</f>
      </c>
      <c r="Q527" t="str">
        <f>SUBSTITUTE(SUBSTITUTE(SUBSTITUTE(SUBSTITUTE(SUBSTITUTE(SUBSTITUTE(SUBSTITUTE(SUBSTITUTE(TRIM(E527&amp;""),CHAR(160),"")," ",""),"초등학교","초"),"중학교","중"),"고등학교","고"),"~","~~"),"*","~*"),"?","~?")</f>
      </c>
      <c r="R527" t="str">
        <f>IF(COUNTA(B527:J527)=0,"",IF(AND(O527&lt;&gt;"",P527&lt;&gt;"",Q527&lt;&gt;""),"","입력누락"))</f>
      </c>
    </row>
    <row r="528" customFormat="false" ht="15" hidden="false" customHeight="false" outlineLevel="0" collapsed="false">
      <c r="A528" t="n" s="19">
        <f aca="0">IF(COUNTA(B528:J528)=0,"",ROW()-1)</f>
      </c>
      <c r="B528" s="24"/>
      <c r="C528" s="25"/>
      <c r="D528" s="8"/>
      <c r="E528" s="8"/>
      <c r="F528" s="26"/>
      <c r="G528" s="24"/>
      <c r="H528" s="25"/>
      <c r="I528" s="25"/>
      <c r="J528" s="26"/>
      <c r="K528" t="str" s="15">
        <f aca="0">IF(COUNTA(B528:J528)=0,"",IF(R528&lt;&gt;"","확인필요(입력누락)",IF(COUNTIFS(보유목록!$I$2:$I$3001,"*"&amp;P528&amp;"*",보유목록!$I$2:$I$3001,"*"&amp;Q528&amp;"*",보유목록!$H$2:$H$3001,O528)&gt;0,"있음",IF(COUNTIFS(보유목록!$I$2:$I$3001,"*"&amp;P528&amp;"*",보유목록!$I$2:$I$3001,"*"&amp;Q528&amp;"*")&gt;0,"확인필요(연도다름)",IF(COUNTIFS(보유목록!$I$2:$I$3001,"*"&amp;P528&amp;"*",보유목록!$H$2:$H$3001,O528)&gt;0,"확인필요(같은학교·같은연도)","없음")))))</f>
      </c>
      <c r="L528" t="str" s="16">
        <f aca="0">IF(OR(COUNTA(B528:J528)=0,R528&lt;&gt;""),"",COUNTIFS(보유목록!$I$2:$I$3001,"*"&amp;P528&amp;"*",보유목록!$I$2:$I$3001,"*"&amp;Q528&amp;"*"))</f>
      </c>
      <c r="M528" t="str" s="23">
        <f aca="0">IF(OR(COUNTA(B528:J528)=0,R528&lt;&gt;""),"",IFERROR(LOOKUP(2,1/(ISNUMBER(SEARCH(P528,보유목록!$I$2:$I$3001))*ISNUMBER(SEARCH(Q528,보유목록!$I$2:$I$3001))*(보유목록!$H$2:$H$3001=O528)),보유목록!$B$2:$B$3001),IFERROR(LOOKUP(2,1/(ISNUMBER(SEARCH(P528,보유목록!$I$2:$I$3001))*ISNUMBER(SEARCH(Q528,보유목록!$I$2:$I$3001))),보유목록!$B$2:$B$3001),"")))</f>
      </c>
      <c r="N528" s="25"/>
      <c r="O528" t="str">
        <f>IFERROR(IF(AND(LEN(SUBSTITUTE(SUBSTITUTE(SUBSTITUTE(TRIM(C528&amp;""),CHAR(160),"")," ",""),"년",""))=4,VALUE(SUBSTITUTE(SUBSTITUTE(SUBSTITUTE(TRIM(C528&amp;""),CHAR(160),"")," ",""),"년",""))&gt;=1900,VALUE(SUBSTITUTE(SUBSTITUTE(SUBSTITUTE(TRIM(C528&amp;""),CHAR(160),"")," ",""),"년",""))&lt;=2099,TEXT(VALUE(SUBSTITUTE(SUBSTITUTE(SUBSTITUTE(TRIM(C528&amp;""),CHAR(160),"")," ",""),"년","")),"0000")=SUBSTITUTE(SUBSTITUTE(SUBSTITUTE(TRIM(C528&amp;""),CHAR(160),"")," ",""),"년","")),SUBSTITUTE(SUBSTITUTE(SUBSTITUTE(TRIM(C528&amp;""),CHAR(160),"")," ",""),"년",""),""),"")</f>
      </c>
      <c r="P528" t="str">
        <f>SUBSTITUTE(SUBSTITUTE(SUBSTITUTE(SUBSTITUTE(SUBSTITUTE(SUBSTITUTE(SUBSTITUTE(SUBSTITUTE(TRIM(D528&amp;""),CHAR(160),"")," ",""),"초등학교","초"),"중학교","중"),"고등학교","고"),"~","~~"),"*","~*"),"?","~?")</f>
      </c>
      <c r="Q528" t="str">
        <f>SUBSTITUTE(SUBSTITUTE(SUBSTITUTE(SUBSTITUTE(SUBSTITUTE(SUBSTITUTE(SUBSTITUTE(SUBSTITUTE(TRIM(E528&amp;""),CHAR(160),"")," ",""),"초등학교","초"),"중학교","중"),"고등학교","고"),"~","~~"),"*","~*"),"?","~?")</f>
      </c>
      <c r="R528" t="str">
        <f>IF(COUNTA(B528:J528)=0,"",IF(AND(O528&lt;&gt;"",P528&lt;&gt;"",Q528&lt;&gt;""),"","입력누락"))</f>
      </c>
    </row>
    <row r="529" customFormat="false" ht="15" hidden="false" customHeight="false" outlineLevel="0" collapsed="false">
      <c r="A529" t="n" s="19">
        <f aca="0">IF(COUNTA(B529:J529)=0,"",ROW()-1)</f>
      </c>
      <c r="B529" s="24"/>
      <c r="C529" s="25"/>
      <c r="D529" s="8"/>
      <c r="E529" s="8"/>
      <c r="F529" s="26"/>
      <c r="G529" s="24"/>
      <c r="H529" s="25"/>
      <c r="I529" s="25"/>
      <c r="J529" s="26"/>
      <c r="K529" t="str" s="15">
        <f aca="0">IF(COUNTA(B529:J529)=0,"",IF(R529&lt;&gt;"","확인필요(입력누락)",IF(COUNTIFS(보유목록!$I$2:$I$3001,"*"&amp;P529&amp;"*",보유목록!$I$2:$I$3001,"*"&amp;Q529&amp;"*",보유목록!$H$2:$H$3001,O529)&gt;0,"있음",IF(COUNTIFS(보유목록!$I$2:$I$3001,"*"&amp;P529&amp;"*",보유목록!$I$2:$I$3001,"*"&amp;Q529&amp;"*")&gt;0,"확인필요(연도다름)",IF(COUNTIFS(보유목록!$I$2:$I$3001,"*"&amp;P529&amp;"*",보유목록!$H$2:$H$3001,O529)&gt;0,"확인필요(같은학교·같은연도)","없음")))))</f>
      </c>
      <c r="L529" t="str" s="16">
        <f aca="0">IF(OR(COUNTA(B529:J529)=0,R529&lt;&gt;""),"",COUNTIFS(보유목록!$I$2:$I$3001,"*"&amp;P529&amp;"*",보유목록!$I$2:$I$3001,"*"&amp;Q529&amp;"*"))</f>
      </c>
      <c r="M529" t="str" s="23">
        <f aca="0">IF(OR(COUNTA(B529:J529)=0,R529&lt;&gt;""),"",IFERROR(LOOKUP(2,1/(ISNUMBER(SEARCH(P529,보유목록!$I$2:$I$3001))*ISNUMBER(SEARCH(Q529,보유목록!$I$2:$I$3001))*(보유목록!$H$2:$H$3001=O529)),보유목록!$B$2:$B$3001),IFERROR(LOOKUP(2,1/(ISNUMBER(SEARCH(P529,보유목록!$I$2:$I$3001))*ISNUMBER(SEARCH(Q529,보유목록!$I$2:$I$3001))),보유목록!$B$2:$B$3001),"")))</f>
      </c>
      <c r="N529" s="25"/>
      <c r="O529" t="str">
        <f>IFERROR(IF(AND(LEN(SUBSTITUTE(SUBSTITUTE(SUBSTITUTE(TRIM(C529&amp;""),CHAR(160),"")," ",""),"년",""))=4,VALUE(SUBSTITUTE(SUBSTITUTE(SUBSTITUTE(TRIM(C529&amp;""),CHAR(160),"")," ",""),"년",""))&gt;=1900,VALUE(SUBSTITUTE(SUBSTITUTE(SUBSTITUTE(TRIM(C529&amp;""),CHAR(160),"")," ",""),"년",""))&lt;=2099,TEXT(VALUE(SUBSTITUTE(SUBSTITUTE(SUBSTITUTE(TRIM(C529&amp;""),CHAR(160),"")," ",""),"년","")),"0000")=SUBSTITUTE(SUBSTITUTE(SUBSTITUTE(TRIM(C529&amp;""),CHAR(160),"")," ",""),"년","")),SUBSTITUTE(SUBSTITUTE(SUBSTITUTE(TRIM(C529&amp;""),CHAR(160),"")," ",""),"년",""),""),"")</f>
      </c>
      <c r="P529" t="str">
        <f>SUBSTITUTE(SUBSTITUTE(SUBSTITUTE(SUBSTITUTE(SUBSTITUTE(SUBSTITUTE(SUBSTITUTE(SUBSTITUTE(TRIM(D529&amp;""),CHAR(160),"")," ",""),"초등학교","초"),"중학교","중"),"고등학교","고"),"~","~~"),"*","~*"),"?","~?")</f>
      </c>
      <c r="Q529" t="str">
        <f>SUBSTITUTE(SUBSTITUTE(SUBSTITUTE(SUBSTITUTE(SUBSTITUTE(SUBSTITUTE(SUBSTITUTE(SUBSTITUTE(TRIM(E529&amp;""),CHAR(160),"")," ",""),"초등학교","초"),"중학교","중"),"고등학교","고"),"~","~~"),"*","~*"),"?","~?")</f>
      </c>
      <c r="R529" t="str">
        <f>IF(COUNTA(B529:J529)=0,"",IF(AND(O529&lt;&gt;"",P529&lt;&gt;"",Q529&lt;&gt;""),"","입력누락"))</f>
      </c>
    </row>
    <row r="530" customFormat="false" ht="15" hidden="false" customHeight="false" outlineLevel="0" collapsed="false">
      <c r="A530" t="n" s="19">
        <f aca="0">IF(COUNTA(B530:J530)=0,"",ROW()-1)</f>
      </c>
      <c r="B530" s="24"/>
      <c r="C530" s="25"/>
      <c r="D530" s="8"/>
      <c r="E530" s="8"/>
      <c r="F530" s="26"/>
      <c r="G530" s="24"/>
      <c r="H530" s="25"/>
      <c r="I530" s="25"/>
      <c r="J530" s="26"/>
      <c r="K530" t="str" s="15">
        <f aca="0">IF(COUNTA(B530:J530)=0,"",IF(R530&lt;&gt;"","확인필요(입력누락)",IF(COUNTIFS(보유목록!$I$2:$I$3001,"*"&amp;P530&amp;"*",보유목록!$I$2:$I$3001,"*"&amp;Q530&amp;"*",보유목록!$H$2:$H$3001,O530)&gt;0,"있음",IF(COUNTIFS(보유목록!$I$2:$I$3001,"*"&amp;P530&amp;"*",보유목록!$I$2:$I$3001,"*"&amp;Q530&amp;"*")&gt;0,"확인필요(연도다름)",IF(COUNTIFS(보유목록!$I$2:$I$3001,"*"&amp;P530&amp;"*",보유목록!$H$2:$H$3001,O530)&gt;0,"확인필요(같은학교·같은연도)","없음")))))</f>
      </c>
      <c r="L530" t="str" s="16">
        <f aca="0">IF(OR(COUNTA(B530:J530)=0,R530&lt;&gt;""),"",COUNTIFS(보유목록!$I$2:$I$3001,"*"&amp;P530&amp;"*",보유목록!$I$2:$I$3001,"*"&amp;Q530&amp;"*"))</f>
      </c>
      <c r="M530" t="str" s="23">
        <f aca="0">IF(OR(COUNTA(B530:J530)=0,R530&lt;&gt;""),"",IFERROR(LOOKUP(2,1/(ISNUMBER(SEARCH(P530,보유목록!$I$2:$I$3001))*ISNUMBER(SEARCH(Q530,보유목록!$I$2:$I$3001))*(보유목록!$H$2:$H$3001=O530)),보유목록!$B$2:$B$3001),IFERROR(LOOKUP(2,1/(ISNUMBER(SEARCH(P530,보유목록!$I$2:$I$3001))*ISNUMBER(SEARCH(Q530,보유목록!$I$2:$I$3001))),보유목록!$B$2:$B$3001),"")))</f>
      </c>
      <c r="N530" s="25"/>
      <c r="O530" t="str">
        <f>IFERROR(IF(AND(LEN(SUBSTITUTE(SUBSTITUTE(SUBSTITUTE(TRIM(C530&amp;""),CHAR(160),"")," ",""),"년",""))=4,VALUE(SUBSTITUTE(SUBSTITUTE(SUBSTITUTE(TRIM(C530&amp;""),CHAR(160),"")," ",""),"년",""))&gt;=1900,VALUE(SUBSTITUTE(SUBSTITUTE(SUBSTITUTE(TRIM(C530&amp;""),CHAR(160),"")," ",""),"년",""))&lt;=2099,TEXT(VALUE(SUBSTITUTE(SUBSTITUTE(SUBSTITUTE(TRIM(C530&amp;""),CHAR(160),"")," ",""),"년","")),"0000")=SUBSTITUTE(SUBSTITUTE(SUBSTITUTE(TRIM(C530&amp;""),CHAR(160),"")," ",""),"년","")),SUBSTITUTE(SUBSTITUTE(SUBSTITUTE(TRIM(C530&amp;""),CHAR(160),"")," ",""),"년",""),""),"")</f>
      </c>
      <c r="P530" t="str">
        <f>SUBSTITUTE(SUBSTITUTE(SUBSTITUTE(SUBSTITUTE(SUBSTITUTE(SUBSTITUTE(SUBSTITUTE(SUBSTITUTE(TRIM(D530&amp;""),CHAR(160),"")," ",""),"초등학교","초"),"중학교","중"),"고등학교","고"),"~","~~"),"*","~*"),"?","~?")</f>
      </c>
      <c r="Q530" t="str">
        <f>SUBSTITUTE(SUBSTITUTE(SUBSTITUTE(SUBSTITUTE(SUBSTITUTE(SUBSTITUTE(SUBSTITUTE(SUBSTITUTE(TRIM(E530&amp;""),CHAR(160),"")," ",""),"초등학교","초"),"중학교","중"),"고등학교","고"),"~","~~"),"*","~*"),"?","~?")</f>
      </c>
      <c r="R530" t="str">
        <f>IF(COUNTA(B530:J530)=0,"",IF(AND(O530&lt;&gt;"",P530&lt;&gt;"",Q530&lt;&gt;""),"","입력누락"))</f>
      </c>
    </row>
    <row r="531" customFormat="false" ht="15" hidden="false" customHeight="false" outlineLevel="0" collapsed="false">
      <c r="A531" t="n" s="19">
        <f aca="0">IF(COUNTA(B531:J531)=0,"",ROW()-1)</f>
      </c>
      <c r="B531" s="24"/>
      <c r="C531" s="25"/>
      <c r="D531" s="8"/>
      <c r="E531" s="8"/>
      <c r="F531" s="26"/>
      <c r="G531" s="24"/>
      <c r="H531" s="25"/>
      <c r="I531" s="25"/>
      <c r="J531" s="26"/>
      <c r="K531" t="str" s="15">
        <f aca="0">IF(COUNTA(B531:J531)=0,"",IF(R531&lt;&gt;"","확인필요(입력누락)",IF(COUNTIFS(보유목록!$I$2:$I$3001,"*"&amp;P531&amp;"*",보유목록!$I$2:$I$3001,"*"&amp;Q531&amp;"*",보유목록!$H$2:$H$3001,O531)&gt;0,"있음",IF(COUNTIFS(보유목록!$I$2:$I$3001,"*"&amp;P531&amp;"*",보유목록!$I$2:$I$3001,"*"&amp;Q531&amp;"*")&gt;0,"확인필요(연도다름)",IF(COUNTIFS(보유목록!$I$2:$I$3001,"*"&amp;P531&amp;"*",보유목록!$H$2:$H$3001,O531)&gt;0,"확인필요(같은학교·같은연도)","없음")))))</f>
      </c>
      <c r="L531" t="str" s="16">
        <f aca="0">IF(OR(COUNTA(B531:J531)=0,R531&lt;&gt;""),"",COUNTIFS(보유목록!$I$2:$I$3001,"*"&amp;P531&amp;"*",보유목록!$I$2:$I$3001,"*"&amp;Q531&amp;"*"))</f>
      </c>
      <c r="M531" t="str" s="23">
        <f aca="0">IF(OR(COUNTA(B531:J531)=0,R531&lt;&gt;""),"",IFERROR(LOOKUP(2,1/(ISNUMBER(SEARCH(P531,보유목록!$I$2:$I$3001))*ISNUMBER(SEARCH(Q531,보유목록!$I$2:$I$3001))*(보유목록!$H$2:$H$3001=O531)),보유목록!$B$2:$B$3001),IFERROR(LOOKUP(2,1/(ISNUMBER(SEARCH(P531,보유목록!$I$2:$I$3001))*ISNUMBER(SEARCH(Q531,보유목록!$I$2:$I$3001))),보유목록!$B$2:$B$3001),"")))</f>
      </c>
      <c r="N531" s="25"/>
      <c r="O531" t="str">
        <f>IFERROR(IF(AND(LEN(SUBSTITUTE(SUBSTITUTE(SUBSTITUTE(TRIM(C531&amp;""),CHAR(160),"")," ",""),"년",""))=4,VALUE(SUBSTITUTE(SUBSTITUTE(SUBSTITUTE(TRIM(C531&amp;""),CHAR(160),"")," ",""),"년",""))&gt;=1900,VALUE(SUBSTITUTE(SUBSTITUTE(SUBSTITUTE(TRIM(C531&amp;""),CHAR(160),"")," ",""),"년",""))&lt;=2099,TEXT(VALUE(SUBSTITUTE(SUBSTITUTE(SUBSTITUTE(TRIM(C531&amp;""),CHAR(160),"")," ",""),"년","")),"0000")=SUBSTITUTE(SUBSTITUTE(SUBSTITUTE(TRIM(C531&amp;""),CHAR(160),"")," ",""),"년","")),SUBSTITUTE(SUBSTITUTE(SUBSTITUTE(TRIM(C531&amp;""),CHAR(160),"")," ",""),"년",""),""),"")</f>
      </c>
      <c r="P531" t="str">
        <f>SUBSTITUTE(SUBSTITUTE(SUBSTITUTE(SUBSTITUTE(SUBSTITUTE(SUBSTITUTE(SUBSTITUTE(SUBSTITUTE(TRIM(D531&amp;""),CHAR(160),"")," ",""),"초등학교","초"),"중학교","중"),"고등학교","고"),"~","~~"),"*","~*"),"?","~?")</f>
      </c>
      <c r="Q531" t="str">
        <f>SUBSTITUTE(SUBSTITUTE(SUBSTITUTE(SUBSTITUTE(SUBSTITUTE(SUBSTITUTE(SUBSTITUTE(SUBSTITUTE(TRIM(E531&amp;""),CHAR(160),"")," ",""),"초등학교","초"),"중학교","중"),"고등학교","고"),"~","~~"),"*","~*"),"?","~?")</f>
      </c>
      <c r="R531" t="str">
        <f>IF(COUNTA(B531:J531)=0,"",IF(AND(O531&lt;&gt;"",P531&lt;&gt;"",Q531&lt;&gt;""),"","입력누락"))</f>
      </c>
    </row>
    <row r="532" customFormat="false" ht="15" hidden="false" customHeight="false" outlineLevel="0" collapsed="false">
      <c r="A532" t="n" s="19">
        <f aca="0">IF(COUNTA(B532:J532)=0,"",ROW()-1)</f>
      </c>
      <c r="B532" s="24"/>
      <c r="C532" s="25"/>
      <c r="D532" s="8"/>
      <c r="E532" s="8"/>
      <c r="F532" s="26"/>
      <c r="G532" s="24"/>
      <c r="H532" s="25"/>
      <c r="I532" s="25"/>
      <c r="J532" s="26"/>
      <c r="K532" t="str" s="15">
        <f aca="0">IF(COUNTA(B532:J532)=0,"",IF(R532&lt;&gt;"","확인필요(입력누락)",IF(COUNTIFS(보유목록!$I$2:$I$3001,"*"&amp;P532&amp;"*",보유목록!$I$2:$I$3001,"*"&amp;Q532&amp;"*",보유목록!$H$2:$H$3001,O532)&gt;0,"있음",IF(COUNTIFS(보유목록!$I$2:$I$3001,"*"&amp;P532&amp;"*",보유목록!$I$2:$I$3001,"*"&amp;Q532&amp;"*")&gt;0,"확인필요(연도다름)",IF(COUNTIFS(보유목록!$I$2:$I$3001,"*"&amp;P532&amp;"*",보유목록!$H$2:$H$3001,O532)&gt;0,"확인필요(같은학교·같은연도)","없음")))))</f>
      </c>
      <c r="L532" t="str" s="16">
        <f aca="0">IF(OR(COUNTA(B532:J532)=0,R532&lt;&gt;""),"",COUNTIFS(보유목록!$I$2:$I$3001,"*"&amp;P532&amp;"*",보유목록!$I$2:$I$3001,"*"&amp;Q532&amp;"*"))</f>
      </c>
      <c r="M532" t="str" s="23">
        <f aca="0">IF(OR(COUNTA(B532:J532)=0,R532&lt;&gt;""),"",IFERROR(LOOKUP(2,1/(ISNUMBER(SEARCH(P532,보유목록!$I$2:$I$3001))*ISNUMBER(SEARCH(Q532,보유목록!$I$2:$I$3001))*(보유목록!$H$2:$H$3001=O532)),보유목록!$B$2:$B$3001),IFERROR(LOOKUP(2,1/(ISNUMBER(SEARCH(P532,보유목록!$I$2:$I$3001))*ISNUMBER(SEARCH(Q532,보유목록!$I$2:$I$3001))),보유목록!$B$2:$B$3001),"")))</f>
      </c>
      <c r="N532" s="25"/>
      <c r="O532" t="str">
        <f>IFERROR(IF(AND(LEN(SUBSTITUTE(SUBSTITUTE(SUBSTITUTE(TRIM(C532&amp;""),CHAR(160),"")," ",""),"년",""))=4,VALUE(SUBSTITUTE(SUBSTITUTE(SUBSTITUTE(TRIM(C532&amp;""),CHAR(160),"")," ",""),"년",""))&gt;=1900,VALUE(SUBSTITUTE(SUBSTITUTE(SUBSTITUTE(TRIM(C532&amp;""),CHAR(160),"")," ",""),"년",""))&lt;=2099,TEXT(VALUE(SUBSTITUTE(SUBSTITUTE(SUBSTITUTE(TRIM(C532&amp;""),CHAR(160),"")," ",""),"년","")),"0000")=SUBSTITUTE(SUBSTITUTE(SUBSTITUTE(TRIM(C532&amp;""),CHAR(160),"")," ",""),"년","")),SUBSTITUTE(SUBSTITUTE(SUBSTITUTE(TRIM(C532&amp;""),CHAR(160),"")," ",""),"년",""),""),"")</f>
      </c>
      <c r="P532" t="str">
        <f>SUBSTITUTE(SUBSTITUTE(SUBSTITUTE(SUBSTITUTE(SUBSTITUTE(SUBSTITUTE(SUBSTITUTE(SUBSTITUTE(TRIM(D532&amp;""),CHAR(160),"")," ",""),"초등학교","초"),"중학교","중"),"고등학교","고"),"~","~~"),"*","~*"),"?","~?")</f>
      </c>
      <c r="Q532" t="str">
        <f>SUBSTITUTE(SUBSTITUTE(SUBSTITUTE(SUBSTITUTE(SUBSTITUTE(SUBSTITUTE(SUBSTITUTE(SUBSTITUTE(TRIM(E532&amp;""),CHAR(160),"")," ",""),"초등학교","초"),"중학교","중"),"고등학교","고"),"~","~~"),"*","~*"),"?","~?")</f>
      </c>
      <c r="R532" t="str">
        <f>IF(COUNTA(B532:J532)=0,"",IF(AND(O532&lt;&gt;"",P532&lt;&gt;"",Q532&lt;&gt;""),"","입력누락"))</f>
      </c>
    </row>
    <row r="533" customFormat="false" ht="15" hidden="false" customHeight="false" outlineLevel="0" collapsed="false">
      <c r="A533" t="n" s="19">
        <f aca="0">IF(COUNTA(B533:J533)=0,"",ROW()-1)</f>
      </c>
      <c r="B533" s="24"/>
      <c r="C533" s="25"/>
      <c r="D533" s="8"/>
      <c r="E533" s="8"/>
      <c r="F533" s="26"/>
      <c r="G533" s="24"/>
      <c r="H533" s="25"/>
      <c r="I533" s="25"/>
      <c r="J533" s="26"/>
      <c r="K533" t="str" s="15">
        <f aca="0">IF(COUNTA(B533:J533)=0,"",IF(R533&lt;&gt;"","확인필요(입력누락)",IF(COUNTIFS(보유목록!$I$2:$I$3001,"*"&amp;P533&amp;"*",보유목록!$I$2:$I$3001,"*"&amp;Q533&amp;"*",보유목록!$H$2:$H$3001,O533)&gt;0,"있음",IF(COUNTIFS(보유목록!$I$2:$I$3001,"*"&amp;P533&amp;"*",보유목록!$I$2:$I$3001,"*"&amp;Q533&amp;"*")&gt;0,"확인필요(연도다름)",IF(COUNTIFS(보유목록!$I$2:$I$3001,"*"&amp;P533&amp;"*",보유목록!$H$2:$H$3001,O533)&gt;0,"확인필요(같은학교·같은연도)","없음")))))</f>
      </c>
      <c r="L533" t="str" s="16">
        <f aca="0">IF(OR(COUNTA(B533:J533)=0,R533&lt;&gt;""),"",COUNTIFS(보유목록!$I$2:$I$3001,"*"&amp;P533&amp;"*",보유목록!$I$2:$I$3001,"*"&amp;Q533&amp;"*"))</f>
      </c>
      <c r="M533" t="str" s="23">
        <f aca="0">IF(OR(COUNTA(B533:J533)=0,R533&lt;&gt;""),"",IFERROR(LOOKUP(2,1/(ISNUMBER(SEARCH(P533,보유목록!$I$2:$I$3001))*ISNUMBER(SEARCH(Q533,보유목록!$I$2:$I$3001))*(보유목록!$H$2:$H$3001=O533)),보유목록!$B$2:$B$3001),IFERROR(LOOKUP(2,1/(ISNUMBER(SEARCH(P533,보유목록!$I$2:$I$3001))*ISNUMBER(SEARCH(Q533,보유목록!$I$2:$I$3001))),보유목록!$B$2:$B$3001),"")))</f>
      </c>
      <c r="N533" s="25"/>
      <c r="O533" t="str">
        <f>IFERROR(IF(AND(LEN(SUBSTITUTE(SUBSTITUTE(SUBSTITUTE(TRIM(C533&amp;""),CHAR(160),"")," ",""),"년",""))=4,VALUE(SUBSTITUTE(SUBSTITUTE(SUBSTITUTE(TRIM(C533&amp;""),CHAR(160),"")," ",""),"년",""))&gt;=1900,VALUE(SUBSTITUTE(SUBSTITUTE(SUBSTITUTE(TRIM(C533&amp;""),CHAR(160),"")," ",""),"년",""))&lt;=2099,TEXT(VALUE(SUBSTITUTE(SUBSTITUTE(SUBSTITUTE(TRIM(C533&amp;""),CHAR(160),"")," ",""),"년","")),"0000")=SUBSTITUTE(SUBSTITUTE(SUBSTITUTE(TRIM(C533&amp;""),CHAR(160),"")," ",""),"년","")),SUBSTITUTE(SUBSTITUTE(SUBSTITUTE(TRIM(C533&amp;""),CHAR(160),"")," ",""),"년",""),""),"")</f>
      </c>
      <c r="P533" t="str">
        <f>SUBSTITUTE(SUBSTITUTE(SUBSTITUTE(SUBSTITUTE(SUBSTITUTE(SUBSTITUTE(SUBSTITUTE(SUBSTITUTE(TRIM(D533&amp;""),CHAR(160),"")," ",""),"초등학교","초"),"중학교","중"),"고등학교","고"),"~","~~"),"*","~*"),"?","~?")</f>
      </c>
      <c r="Q533" t="str">
        <f>SUBSTITUTE(SUBSTITUTE(SUBSTITUTE(SUBSTITUTE(SUBSTITUTE(SUBSTITUTE(SUBSTITUTE(SUBSTITUTE(TRIM(E533&amp;""),CHAR(160),"")," ",""),"초등학교","초"),"중학교","중"),"고등학교","고"),"~","~~"),"*","~*"),"?","~?")</f>
      </c>
      <c r="R533" t="str">
        <f>IF(COUNTA(B533:J533)=0,"",IF(AND(O533&lt;&gt;"",P533&lt;&gt;"",Q533&lt;&gt;""),"","입력누락"))</f>
      </c>
    </row>
    <row r="534" customFormat="false" ht="15" hidden="false" customHeight="false" outlineLevel="0" collapsed="false">
      <c r="A534" t="n" s="19">
        <f aca="0">IF(COUNTA(B534:J534)=0,"",ROW()-1)</f>
      </c>
      <c r="B534" s="24"/>
      <c r="C534" s="25"/>
      <c r="D534" s="8"/>
      <c r="E534" s="8"/>
      <c r="F534" s="26"/>
      <c r="G534" s="24"/>
      <c r="H534" s="25"/>
      <c r="I534" s="25"/>
      <c r="J534" s="26"/>
      <c r="K534" t="str" s="15">
        <f aca="0">IF(COUNTA(B534:J534)=0,"",IF(R534&lt;&gt;"","확인필요(입력누락)",IF(COUNTIFS(보유목록!$I$2:$I$3001,"*"&amp;P534&amp;"*",보유목록!$I$2:$I$3001,"*"&amp;Q534&amp;"*",보유목록!$H$2:$H$3001,O534)&gt;0,"있음",IF(COUNTIFS(보유목록!$I$2:$I$3001,"*"&amp;P534&amp;"*",보유목록!$I$2:$I$3001,"*"&amp;Q534&amp;"*")&gt;0,"확인필요(연도다름)",IF(COUNTIFS(보유목록!$I$2:$I$3001,"*"&amp;P534&amp;"*",보유목록!$H$2:$H$3001,O534)&gt;0,"확인필요(같은학교·같은연도)","없음")))))</f>
      </c>
      <c r="L534" t="str" s="16">
        <f aca="0">IF(OR(COUNTA(B534:J534)=0,R534&lt;&gt;""),"",COUNTIFS(보유목록!$I$2:$I$3001,"*"&amp;P534&amp;"*",보유목록!$I$2:$I$3001,"*"&amp;Q534&amp;"*"))</f>
      </c>
      <c r="M534" t="str" s="23">
        <f aca="0">IF(OR(COUNTA(B534:J534)=0,R534&lt;&gt;""),"",IFERROR(LOOKUP(2,1/(ISNUMBER(SEARCH(P534,보유목록!$I$2:$I$3001))*ISNUMBER(SEARCH(Q534,보유목록!$I$2:$I$3001))*(보유목록!$H$2:$H$3001=O534)),보유목록!$B$2:$B$3001),IFERROR(LOOKUP(2,1/(ISNUMBER(SEARCH(P534,보유목록!$I$2:$I$3001))*ISNUMBER(SEARCH(Q534,보유목록!$I$2:$I$3001))),보유목록!$B$2:$B$3001),"")))</f>
      </c>
      <c r="N534" s="25"/>
      <c r="O534" t="str">
        <f>IFERROR(IF(AND(LEN(SUBSTITUTE(SUBSTITUTE(SUBSTITUTE(TRIM(C534&amp;""),CHAR(160),"")," ",""),"년",""))=4,VALUE(SUBSTITUTE(SUBSTITUTE(SUBSTITUTE(TRIM(C534&amp;""),CHAR(160),"")," ",""),"년",""))&gt;=1900,VALUE(SUBSTITUTE(SUBSTITUTE(SUBSTITUTE(TRIM(C534&amp;""),CHAR(160),"")," ",""),"년",""))&lt;=2099,TEXT(VALUE(SUBSTITUTE(SUBSTITUTE(SUBSTITUTE(TRIM(C534&amp;""),CHAR(160),"")," ",""),"년","")),"0000")=SUBSTITUTE(SUBSTITUTE(SUBSTITUTE(TRIM(C534&amp;""),CHAR(160),"")," ",""),"년","")),SUBSTITUTE(SUBSTITUTE(SUBSTITUTE(TRIM(C534&amp;""),CHAR(160),"")," ",""),"년",""),""),"")</f>
      </c>
      <c r="P534" t="str">
        <f>SUBSTITUTE(SUBSTITUTE(SUBSTITUTE(SUBSTITUTE(SUBSTITUTE(SUBSTITUTE(SUBSTITUTE(SUBSTITUTE(TRIM(D534&amp;""),CHAR(160),"")," ",""),"초등학교","초"),"중학교","중"),"고등학교","고"),"~","~~"),"*","~*"),"?","~?")</f>
      </c>
      <c r="Q534" t="str">
        <f>SUBSTITUTE(SUBSTITUTE(SUBSTITUTE(SUBSTITUTE(SUBSTITUTE(SUBSTITUTE(SUBSTITUTE(SUBSTITUTE(TRIM(E534&amp;""),CHAR(160),"")," ",""),"초등학교","초"),"중학교","중"),"고등학교","고"),"~","~~"),"*","~*"),"?","~?")</f>
      </c>
      <c r="R534" t="str">
        <f>IF(COUNTA(B534:J534)=0,"",IF(AND(O534&lt;&gt;"",P534&lt;&gt;"",Q534&lt;&gt;""),"","입력누락"))</f>
      </c>
    </row>
    <row r="535" customFormat="false" ht="15" hidden="false" customHeight="false" outlineLevel="0" collapsed="false">
      <c r="A535" t="n" s="19">
        <f aca="0">IF(COUNTA(B535:J535)=0,"",ROW()-1)</f>
      </c>
      <c r="B535" s="24"/>
      <c r="C535" s="25"/>
      <c r="D535" s="8"/>
      <c r="E535" s="8"/>
      <c r="F535" s="26"/>
      <c r="G535" s="24"/>
      <c r="H535" s="25"/>
      <c r="I535" s="25"/>
      <c r="J535" s="26"/>
      <c r="K535" t="str" s="15">
        <f aca="0">IF(COUNTA(B535:J535)=0,"",IF(R535&lt;&gt;"","확인필요(입력누락)",IF(COUNTIFS(보유목록!$I$2:$I$3001,"*"&amp;P535&amp;"*",보유목록!$I$2:$I$3001,"*"&amp;Q535&amp;"*",보유목록!$H$2:$H$3001,O535)&gt;0,"있음",IF(COUNTIFS(보유목록!$I$2:$I$3001,"*"&amp;P535&amp;"*",보유목록!$I$2:$I$3001,"*"&amp;Q535&amp;"*")&gt;0,"확인필요(연도다름)",IF(COUNTIFS(보유목록!$I$2:$I$3001,"*"&amp;P535&amp;"*",보유목록!$H$2:$H$3001,O535)&gt;0,"확인필요(같은학교·같은연도)","없음")))))</f>
      </c>
      <c r="L535" t="str" s="16">
        <f aca="0">IF(OR(COUNTA(B535:J535)=0,R535&lt;&gt;""),"",COUNTIFS(보유목록!$I$2:$I$3001,"*"&amp;P535&amp;"*",보유목록!$I$2:$I$3001,"*"&amp;Q535&amp;"*"))</f>
      </c>
      <c r="M535" t="str" s="23">
        <f aca="0">IF(OR(COUNTA(B535:J535)=0,R535&lt;&gt;""),"",IFERROR(LOOKUP(2,1/(ISNUMBER(SEARCH(P535,보유목록!$I$2:$I$3001))*ISNUMBER(SEARCH(Q535,보유목록!$I$2:$I$3001))*(보유목록!$H$2:$H$3001=O535)),보유목록!$B$2:$B$3001),IFERROR(LOOKUP(2,1/(ISNUMBER(SEARCH(P535,보유목록!$I$2:$I$3001))*ISNUMBER(SEARCH(Q535,보유목록!$I$2:$I$3001))),보유목록!$B$2:$B$3001),"")))</f>
      </c>
      <c r="N535" s="25"/>
      <c r="O535" t="str">
        <f>IFERROR(IF(AND(LEN(SUBSTITUTE(SUBSTITUTE(SUBSTITUTE(TRIM(C535&amp;""),CHAR(160),"")," ",""),"년",""))=4,VALUE(SUBSTITUTE(SUBSTITUTE(SUBSTITUTE(TRIM(C535&amp;""),CHAR(160),"")," ",""),"년",""))&gt;=1900,VALUE(SUBSTITUTE(SUBSTITUTE(SUBSTITUTE(TRIM(C535&amp;""),CHAR(160),"")," ",""),"년",""))&lt;=2099,TEXT(VALUE(SUBSTITUTE(SUBSTITUTE(SUBSTITUTE(TRIM(C535&amp;""),CHAR(160),"")," ",""),"년","")),"0000")=SUBSTITUTE(SUBSTITUTE(SUBSTITUTE(TRIM(C535&amp;""),CHAR(160),"")," ",""),"년","")),SUBSTITUTE(SUBSTITUTE(SUBSTITUTE(TRIM(C535&amp;""),CHAR(160),"")," ",""),"년",""),""),"")</f>
      </c>
      <c r="P535" t="str">
        <f>SUBSTITUTE(SUBSTITUTE(SUBSTITUTE(SUBSTITUTE(SUBSTITUTE(SUBSTITUTE(SUBSTITUTE(SUBSTITUTE(TRIM(D535&amp;""),CHAR(160),"")," ",""),"초등학교","초"),"중학교","중"),"고등학교","고"),"~","~~"),"*","~*"),"?","~?")</f>
      </c>
      <c r="Q535" t="str">
        <f>SUBSTITUTE(SUBSTITUTE(SUBSTITUTE(SUBSTITUTE(SUBSTITUTE(SUBSTITUTE(SUBSTITUTE(SUBSTITUTE(TRIM(E535&amp;""),CHAR(160),"")," ",""),"초등학교","초"),"중학교","중"),"고등학교","고"),"~","~~"),"*","~*"),"?","~?")</f>
      </c>
      <c r="R535" t="str">
        <f>IF(COUNTA(B535:J535)=0,"",IF(AND(O535&lt;&gt;"",P535&lt;&gt;"",Q535&lt;&gt;""),"","입력누락"))</f>
      </c>
    </row>
    <row r="536" customFormat="false" ht="15" hidden="false" customHeight="false" outlineLevel="0" collapsed="false">
      <c r="A536" t="n" s="19">
        <f aca="0">IF(COUNTA(B536:J536)=0,"",ROW()-1)</f>
      </c>
      <c r="B536" s="24"/>
      <c r="C536" s="25"/>
      <c r="D536" s="8"/>
      <c r="E536" s="8"/>
      <c r="F536" s="26"/>
      <c r="G536" s="24"/>
      <c r="H536" s="25"/>
      <c r="I536" s="25"/>
      <c r="J536" s="26"/>
      <c r="K536" t="str" s="15">
        <f aca="0">IF(COUNTA(B536:J536)=0,"",IF(R536&lt;&gt;"","확인필요(입력누락)",IF(COUNTIFS(보유목록!$I$2:$I$3001,"*"&amp;P536&amp;"*",보유목록!$I$2:$I$3001,"*"&amp;Q536&amp;"*",보유목록!$H$2:$H$3001,O536)&gt;0,"있음",IF(COUNTIFS(보유목록!$I$2:$I$3001,"*"&amp;P536&amp;"*",보유목록!$I$2:$I$3001,"*"&amp;Q536&amp;"*")&gt;0,"확인필요(연도다름)",IF(COUNTIFS(보유목록!$I$2:$I$3001,"*"&amp;P536&amp;"*",보유목록!$H$2:$H$3001,O536)&gt;0,"확인필요(같은학교·같은연도)","없음")))))</f>
      </c>
      <c r="L536" t="str" s="16">
        <f aca="0">IF(OR(COUNTA(B536:J536)=0,R536&lt;&gt;""),"",COUNTIFS(보유목록!$I$2:$I$3001,"*"&amp;P536&amp;"*",보유목록!$I$2:$I$3001,"*"&amp;Q536&amp;"*"))</f>
      </c>
      <c r="M536" t="str" s="23">
        <f aca="0">IF(OR(COUNTA(B536:J536)=0,R536&lt;&gt;""),"",IFERROR(LOOKUP(2,1/(ISNUMBER(SEARCH(P536,보유목록!$I$2:$I$3001))*ISNUMBER(SEARCH(Q536,보유목록!$I$2:$I$3001))*(보유목록!$H$2:$H$3001=O536)),보유목록!$B$2:$B$3001),IFERROR(LOOKUP(2,1/(ISNUMBER(SEARCH(P536,보유목록!$I$2:$I$3001))*ISNUMBER(SEARCH(Q536,보유목록!$I$2:$I$3001))),보유목록!$B$2:$B$3001),"")))</f>
      </c>
      <c r="N536" s="25"/>
      <c r="O536" t="str">
        <f>IFERROR(IF(AND(LEN(SUBSTITUTE(SUBSTITUTE(SUBSTITUTE(TRIM(C536&amp;""),CHAR(160),"")," ",""),"년",""))=4,VALUE(SUBSTITUTE(SUBSTITUTE(SUBSTITUTE(TRIM(C536&amp;""),CHAR(160),"")," ",""),"년",""))&gt;=1900,VALUE(SUBSTITUTE(SUBSTITUTE(SUBSTITUTE(TRIM(C536&amp;""),CHAR(160),"")," ",""),"년",""))&lt;=2099,TEXT(VALUE(SUBSTITUTE(SUBSTITUTE(SUBSTITUTE(TRIM(C536&amp;""),CHAR(160),"")," ",""),"년","")),"0000")=SUBSTITUTE(SUBSTITUTE(SUBSTITUTE(TRIM(C536&amp;""),CHAR(160),"")," ",""),"년","")),SUBSTITUTE(SUBSTITUTE(SUBSTITUTE(TRIM(C536&amp;""),CHAR(160),"")," ",""),"년",""),""),"")</f>
      </c>
      <c r="P536" t="str">
        <f>SUBSTITUTE(SUBSTITUTE(SUBSTITUTE(SUBSTITUTE(SUBSTITUTE(SUBSTITUTE(SUBSTITUTE(SUBSTITUTE(TRIM(D536&amp;""),CHAR(160),"")," ",""),"초등학교","초"),"중학교","중"),"고등학교","고"),"~","~~"),"*","~*"),"?","~?")</f>
      </c>
      <c r="Q536" t="str">
        <f>SUBSTITUTE(SUBSTITUTE(SUBSTITUTE(SUBSTITUTE(SUBSTITUTE(SUBSTITUTE(SUBSTITUTE(SUBSTITUTE(TRIM(E536&amp;""),CHAR(160),"")," ",""),"초등학교","초"),"중학교","중"),"고등학교","고"),"~","~~"),"*","~*"),"?","~?")</f>
      </c>
      <c r="R536" t="str">
        <f>IF(COUNTA(B536:J536)=0,"",IF(AND(O536&lt;&gt;"",P536&lt;&gt;"",Q536&lt;&gt;""),"","입력누락"))</f>
      </c>
    </row>
    <row r="537" customFormat="false" ht="15" hidden="false" customHeight="false" outlineLevel="0" collapsed="false">
      <c r="A537" t="n" s="19">
        <f aca="0">IF(COUNTA(B537:J537)=0,"",ROW()-1)</f>
      </c>
      <c r="B537" s="24"/>
      <c r="C537" s="25"/>
      <c r="D537" s="8"/>
      <c r="E537" s="8"/>
      <c r="F537" s="26"/>
      <c r="G537" s="24"/>
      <c r="H537" s="25"/>
      <c r="I537" s="25"/>
      <c r="J537" s="26"/>
      <c r="K537" t="str" s="15">
        <f aca="0">IF(COUNTA(B537:J537)=0,"",IF(R537&lt;&gt;"","확인필요(입력누락)",IF(COUNTIFS(보유목록!$I$2:$I$3001,"*"&amp;P537&amp;"*",보유목록!$I$2:$I$3001,"*"&amp;Q537&amp;"*",보유목록!$H$2:$H$3001,O537)&gt;0,"있음",IF(COUNTIFS(보유목록!$I$2:$I$3001,"*"&amp;P537&amp;"*",보유목록!$I$2:$I$3001,"*"&amp;Q537&amp;"*")&gt;0,"확인필요(연도다름)",IF(COUNTIFS(보유목록!$I$2:$I$3001,"*"&amp;P537&amp;"*",보유목록!$H$2:$H$3001,O537)&gt;0,"확인필요(같은학교·같은연도)","없음")))))</f>
      </c>
      <c r="L537" t="str" s="16">
        <f aca="0">IF(OR(COUNTA(B537:J537)=0,R537&lt;&gt;""),"",COUNTIFS(보유목록!$I$2:$I$3001,"*"&amp;P537&amp;"*",보유목록!$I$2:$I$3001,"*"&amp;Q537&amp;"*"))</f>
      </c>
      <c r="M537" t="str" s="23">
        <f aca="0">IF(OR(COUNTA(B537:J537)=0,R537&lt;&gt;""),"",IFERROR(LOOKUP(2,1/(ISNUMBER(SEARCH(P537,보유목록!$I$2:$I$3001))*ISNUMBER(SEARCH(Q537,보유목록!$I$2:$I$3001))*(보유목록!$H$2:$H$3001=O537)),보유목록!$B$2:$B$3001),IFERROR(LOOKUP(2,1/(ISNUMBER(SEARCH(P537,보유목록!$I$2:$I$3001))*ISNUMBER(SEARCH(Q537,보유목록!$I$2:$I$3001))),보유목록!$B$2:$B$3001),"")))</f>
      </c>
      <c r="N537" s="25"/>
      <c r="O537" t="str">
        <f>IFERROR(IF(AND(LEN(SUBSTITUTE(SUBSTITUTE(SUBSTITUTE(TRIM(C537&amp;""),CHAR(160),"")," ",""),"년",""))=4,VALUE(SUBSTITUTE(SUBSTITUTE(SUBSTITUTE(TRIM(C537&amp;""),CHAR(160),"")," ",""),"년",""))&gt;=1900,VALUE(SUBSTITUTE(SUBSTITUTE(SUBSTITUTE(TRIM(C537&amp;""),CHAR(160),"")," ",""),"년",""))&lt;=2099,TEXT(VALUE(SUBSTITUTE(SUBSTITUTE(SUBSTITUTE(TRIM(C537&amp;""),CHAR(160),"")," ",""),"년","")),"0000")=SUBSTITUTE(SUBSTITUTE(SUBSTITUTE(TRIM(C537&amp;""),CHAR(160),"")," ",""),"년","")),SUBSTITUTE(SUBSTITUTE(SUBSTITUTE(TRIM(C537&amp;""),CHAR(160),"")," ",""),"년",""),""),"")</f>
      </c>
      <c r="P537" t="str">
        <f>SUBSTITUTE(SUBSTITUTE(SUBSTITUTE(SUBSTITUTE(SUBSTITUTE(SUBSTITUTE(SUBSTITUTE(SUBSTITUTE(TRIM(D537&amp;""),CHAR(160),"")," ",""),"초등학교","초"),"중학교","중"),"고등학교","고"),"~","~~"),"*","~*"),"?","~?")</f>
      </c>
      <c r="Q537" t="str">
        <f>SUBSTITUTE(SUBSTITUTE(SUBSTITUTE(SUBSTITUTE(SUBSTITUTE(SUBSTITUTE(SUBSTITUTE(SUBSTITUTE(TRIM(E537&amp;""),CHAR(160),"")," ",""),"초등학교","초"),"중학교","중"),"고등학교","고"),"~","~~"),"*","~*"),"?","~?")</f>
      </c>
      <c r="R537" t="str">
        <f>IF(COUNTA(B537:J537)=0,"",IF(AND(O537&lt;&gt;"",P537&lt;&gt;"",Q537&lt;&gt;""),"","입력누락"))</f>
      </c>
    </row>
    <row r="538" customFormat="false" ht="15" hidden="false" customHeight="false" outlineLevel="0" collapsed="false">
      <c r="A538" t="n" s="19">
        <f aca="0">IF(COUNTA(B538:J538)=0,"",ROW()-1)</f>
      </c>
      <c r="B538" s="24"/>
      <c r="C538" s="25"/>
      <c r="D538" s="8"/>
      <c r="E538" s="8"/>
      <c r="F538" s="26"/>
      <c r="G538" s="24"/>
      <c r="H538" s="25"/>
      <c r="I538" s="25"/>
      <c r="J538" s="26"/>
      <c r="K538" t="str" s="15">
        <f aca="0">IF(COUNTA(B538:J538)=0,"",IF(R538&lt;&gt;"","확인필요(입력누락)",IF(COUNTIFS(보유목록!$I$2:$I$3001,"*"&amp;P538&amp;"*",보유목록!$I$2:$I$3001,"*"&amp;Q538&amp;"*",보유목록!$H$2:$H$3001,O538)&gt;0,"있음",IF(COUNTIFS(보유목록!$I$2:$I$3001,"*"&amp;P538&amp;"*",보유목록!$I$2:$I$3001,"*"&amp;Q538&amp;"*")&gt;0,"확인필요(연도다름)",IF(COUNTIFS(보유목록!$I$2:$I$3001,"*"&amp;P538&amp;"*",보유목록!$H$2:$H$3001,O538)&gt;0,"확인필요(같은학교·같은연도)","없음")))))</f>
      </c>
      <c r="L538" t="str" s="16">
        <f aca="0">IF(OR(COUNTA(B538:J538)=0,R538&lt;&gt;""),"",COUNTIFS(보유목록!$I$2:$I$3001,"*"&amp;P538&amp;"*",보유목록!$I$2:$I$3001,"*"&amp;Q538&amp;"*"))</f>
      </c>
      <c r="M538" t="str" s="23">
        <f aca="0">IF(OR(COUNTA(B538:J538)=0,R538&lt;&gt;""),"",IFERROR(LOOKUP(2,1/(ISNUMBER(SEARCH(P538,보유목록!$I$2:$I$3001))*ISNUMBER(SEARCH(Q538,보유목록!$I$2:$I$3001))*(보유목록!$H$2:$H$3001=O538)),보유목록!$B$2:$B$3001),IFERROR(LOOKUP(2,1/(ISNUMBER(SEARCH(P538,보유목록!$I$2:$I$3001))*ISNUMBER(SEARCH(Q538,보유목록!$I$2:$I$3001))),보유목록!$B$2:$B$3001),"")))</f>
      </c>
      <c r="N538" s="25"/>
      <c r="O538" t="str">
        <f>IFERROR(IF(AND(LEN(SUBSTITUTE(SUBSTITUTE(SUBSTITUTE(TRIM(C538&amp;""),CHAR(160),"")," ",""),"년",""))=4,VALUE(SUBSTITUTE(SUBSTITUTE(SUBSTITUTE(TRIM(C538&amp;""),CHAR(160),"")," ",""),"년",""))&gt;=1900,VALUE(SUBSTITUTE(SUBSTITUTE(SUBSTITUTE(TRIM(C538&amp;""),CHAR(160),"")," ",""),"년",""))&lt;=2099,TEXT(VALUE(SUBSTITUTE(SUBSTITUTE(SUBSTITUTE(TRIM(C538&amp;""),CHAR(160),"")," ",""),"년","")),"0000")=SUBSTITUTE(SUBSTITUTE(SUBSTITUTE(TRIM(C538&amp;""),CHAR(160),"")," ",""),"년","")),SUBSTITUTE(SUBSTITUTE(SUBSTITUTE(TRIM(C538&amp;""),CHAR(160),"")," ",""),"년",""),""),"")</f>
      </c>
      <c r="P538" t="str">
        <f>SUBSTITUTE(SUBSTITUTE(SUBSTITUTE(SUBSTITUTE(SUBSTITUTE(SUBSTITUTE(SUBSTITUTE(SUBSTITUTE(TRIM(D538&amp;""),CHAR(160),"")," ",""),"초등학교","초"),"중학교","중"),"고등학교","고"),"~","~~"),"*","~*"),"?","~?")</f>
      </c>
      <c r="Q538" t="str">
        <f>SUBSTITUTE(SUBSTITUTE(SUBSTITUTE(SUBSTITUTE(SUBSTITUTE(SUBSTITUTE(SUBSTITUTE(SUBSTITUTE(TRIM(E538&amp;""),CHAR(160),"")," ",""),"초등학교","초"),"중학교","중"),"고등학교","고"),"~","~~"),"*","~*"),"?","~?")</f>
      </c>
      <c r="R538" t="str">
        <f>IF(COUNTA(B538:J538)=0,"",IF(AND(O538&lt;&gt;"",P538&lt;&gt;"",Q538&lt;&gt;""),"","입력누락"))</f>
      </c>
    </row>
    <row r="539" customFormat="false" ht="15" hidden="false" customHeight="false" outlineLevel="0" collapsed="false">
      <c r="A539" t="n" s="19">
        <f aca="0">IF(COUNTA(B539:J539)=0,"",ROW()-1)</f>
      </c>
      <c r="B539" s="24"/>
      <c r="C539" s="25"/>
      <c r="D539" s="8"/>
      <c r="E539" s="8"/>
      <c r="F539" s="26"/>
      <c r="G539" s="24"/>
      <c r="H539" s="25"/>
      <c r="I539" s="25"/>
      <c r="J539" s="26"/>
      <c r="K539" t="str" s="15">
        <f aca="0">IF(COUNTA(B539:J539)=0,"",IF(R539&lt;&gt;"","확인필요(입력누락)",IF(COUNTIFS(보유목록!$I$2:$I$3001,"*"&amp;P539&amp;"*",보유목록!$I$2:$I$3001,"*"&amp;Q539&amp;"*",보유목록!$H$2:$H$3001,O539)&gt;0,"있음",IF(COUNTIFS(보유목록!$I$2:$I$3001,"*"&amp;P539&amp;"*",보유목록!$I$2:$I$3001,"*"&amp;Q539&amp;"*")&gt;0,"확인필요(연도다름)",IF(COUNTIFS(보유목록!$I$2:$I$3001,"*"&amp;P539&amp;"*",보유목록!$H$2:$H$3001,O539)&gt;0,"확인필요(같은학교·같은연도)","없음")))))</f>
      </c>
      <c r="L539" t="str" s="16">
        <f aca="0">IF(OR(COUNTA(B539:J539)=0,R539&lt;&gt;""),"",COUNTIFS(보유목록!$I$2:$I$3001,"*"&amp;P539&amp;"*",보유목록!$I$2:$I$3001,"*"&amp;Q539&amp;"*"))</f>
      </c>
      <c r="M539" t="str" s="23">
        <f aca="0">IF(OR(COUNTA(B539:J539)=0,R539&lt;&gt;""),"",IFERROR(LOOKUP(2,1/(ISNUMBER(SEARCH(P539,보유목록!$I$2:$I$3001))*ISNUMBER(SEARCH(Q539,보유목록!$I$2:$I$3001))*(보유목록!$H$2:$H$3001=O539)),보유목록!$B$2:$B$3001),IFERROR(LOOKUP(2,1/(ISNUMBER(SEARCH(P539,보유목록!$I$2:$I$3001))*ISNUMBER(SEARCH(Q539,보유목록!$I$2:$I$3001))),보유목록!$B$2:$B$3001),"")))</f>
      </c>
      <c r="N539" s="25"/>
      <c r="O539" t="str">
        <f>IFERROR(IF(AND(LEN(SUBSTITUTE(SUBSTITUTE(SUBSTITUTE(TRIM(C539&amp;""),CHAR(160),"")," ",""),"년",""))=4,VALUE(SUBSTITUTE(SUBSTITUTE(SUBSTITUTE(TRIM(C539&amp;""),CHAR(160),"")," ",""),"년",""))&gt;=1900,VALUE(SUBSTITUTE(SUBSTITUTE(SUBSTITUTE(TRIM(C539&amp;""),CHAR(160),"")," ",""),"년",""))&lt;=2099,TEXT(VALUE(SUBSTITUTE(SUBSTITUTE(SUBSTITUTE(TRIM(C539&amp;""),CHAR(160),"")," ",""),"년","")),"0000")=SUBSTITUTE(SUBSTITUTE(SUBSTITUTE(TRIM(C539&amp;""),CHAR(160),"")," ",""),"년","")),SUBSTITUTE(SUBSTITUTE(SUBSTITUTE(TRIM(C539&amp;""),CHAR(160),"")," ",""),"년",""),""),"")</f>
      </c>
      <c r="P539" t="str">
        <f>SUBSTITUTE(SUBSTITUTE(SUBSTITUTE(SUBSTITUTE(SUBSTITUTE(SUBSTITUTE(SUBSTITUTE(SUBSTITUTE(TRIM(D539&amp;""),CHAR(160),"")," ",""),"초등학교","초"),"중학교","중"),"고등학교","고"),"~","~~"),"*","~*"),"?","~?")</f>
      </c>
      <c r="Q539" t="str">
        <f>SUBSTITUTE(SUBSTITUTE(SUBSTITUTE(SUBSTITUTE(SUBSTITUTE(SUBSTITUTE(SUBSTITUTE(SUBSTITUTE(TRIM(E539&amp;""),CHAR(160),"")," ",""),"초등학교","초"),"중학교","중"),"고등학교","고"),"~","~~"),"*","~*"),"?","~?")</f>
      </c>
      <c r="R539" t="str">
        <f>IF(COUNTA(B539:J539)=0,"",IF(AND(O539&lt;&gt;"",P539&lt;&gt;"",Q539&lt;&gt;""),"","입력누락"))</f>
      </c>
    </row>
    <row r="540" customFormat="false" ht="15" hidden="false" customHeight="false" outlineLevel="0" collapsed="false">
      <c r="A540" t="n" s="19">
        <f aca="0">IF(COUNTA(B540:J540)=0,"",ROW()-1)</f>
      </c>
      <c r="B540" s="24"/>
      <c r="C540" s="25"/>
      <c r="D540" s="8"/>
      <c r="E540" s="8"/>
      <c r="F540" s="26"/>
      <c r="G540" s="24"/>
      <c r="H540" s="25"/>
      <c r="I540" s="25"/>
      <c r="J540" s="26"/>
      <c r="K540" t="str" s="15">
        <f aca="0">IF(COUNTA(B540:J540)=0,"",IF(R540&lt;&gt;"","확인필요(입력누락)",IF(COUNTIFS(보유목록!$I$2:$I$3001,"*"&amp;P540&amp;"*",보유목록!$I$2:$I$3001,"*"&amp;Q540&amp;"*",보유목록!$H$2:$H$3001,O540)&gt;0,"있음",IF(COUNTIFS(보유목록!$I$2:$I$3001,"*"&amp;P540&amp;"*",보유목록!$I$2:$I$3001,"*"&amp;Q540&amp;"*")&gt;0,"확인필요(연도다름)",IF(COUNTIFS(보유목록!$I$2:$I$3001,"*"&amp;P540&amp;"*",보유목록!$H$2:$H$3001,O540)&gt;0,"확인필요(같은학교·같은연도)","없음")))))</f>
      </c>
      <c r="L540" t="str" s="16">
        <f aca="0">IF(OR(COUNTA(B540:J540)=0,R540&lt;&gt;""),"",COUNTIFS(보유목록!$I$2:$I$3001,"*"&amp;P540&amp;"*",보유목록!$I$2:$I$3001,"*"&amp;Q540&amp;"*"))</f>
      </c>
      <c r="M540" t="str" s="23">
        <f aca="0">IF(OR(COUNTA(B540:J540)=0,R540&lt;&gt;""),"",IFERROR(LOOKUP(2,1/(ISNUMBER(SEARCH(P540,보유목록!$I$2:$I$3001))*ISNUMBER(SEARCH(Q540,보유목록!$I$2:$I$3001))*(보유목록!$H$2:$H$3001=O540)),보유목록!$B$2:$B$3001),IFERROR(LOOKUP(2,1/(ISNUMBER(SEARCH(P540,보유목록!$I$2:$I$3001))*ISNUMBER(SEARCH(Q540,보유목록!$I$2:$I$3001))),보유목록!$B$2:$B$3001),"")))</f>
      </c>
      <c r="N540" s="25"/>
      <c r="O540" t="str">
        <f>IFERROR(IF(AND(LEN(SUBSTITUTE(SUBSTITUTE(SUBSTITUTE(TRIM(C540&amp;""),CHAR(160),"")," ",""),"년",""))=4,VALUE(SUBSTITUTE(SUBSTITUTE(SUBSTITUTE(TRIM(C540&amp;""),CHAR(160),"")," ",""),"년",""))&gt;=1900,VALUE(SUBSTITUTE(SUBSTITUTE(SUBSTITUTE(TRIM(C540&amp;""),CHAR(160),"")," ",""),"년",""))&lt;=2099,TEXT(VALUE(SUBSTITUTE(SUBSTITUTE(SUBSTITUTE(TRIM(C540&amp;""),CHAR(160),"")," ",""),"년","")),"0000")=SUBSTITUTE(SUBSTITUTE(SUBSTITUTE(TRIM(C540&amp;""),CHAR(160),"")," ",""),"년","")),SUBSTITUTE(SUBSTITUTE(SUBSTITUTE(TRIM(C540&amp;""),CHAR(160),"")," ",""),"년",""),""),"")</f>
      </c>
      <c r="P540" t="str">
        <f>SUBSTITUTE(SUBSTITUTE(SUBSTITUTE(SUBSTITUTE(SUBSTITUTE(SUBSTITUTE(SUBSTITUTE(SUBSTITUTE(TRIM(D540&amp;""),CHAR(160),"")," ",""),"초등학교","초"),"중학교","중"),"고등학교","고"),"~","~~"),"*","~*"),"?","~?")</f>
      </c>
      <c r="Q540" t="str">
        <f>SUBSTITUTE(SUBSTITUTE(SUBSTITUTE(SUBSTITUTE(SUBSTITUTE(SUBSTITUTE(SUBSTITUTE(SUBSTITUTE(TRIM(E540&amp;""),CHAR(160),"")," ",""),"초등학교","초"),"중학교","중"),"고등학교","고"),"~","~~"),"*","~*"),"?","~?")</f>
      </c>
      <c r="R540" t="str">
        <f>IF(COUNTA(B540:J540)=0,"",IF(AND(O540&lt;&gt;"",P540&lt;&gt;"",Q540&lt;&gt;""),"","입력누락"))</f>
      </c>
    </row>
    <row r="541" customFormat="false" ht="15" hidden="false" customHeight="false" outlineLevel="0" collapsed="false">
      <c r="A541" t="n" s="19">
        <f aca="0">IF(COUNTA(B541:J541)=0,"",ROW()-1)</f>
      </c>
      <c r="B541" s="24"/>
      <c r="C541" s="25"/>
      <c r="D541" s="8"/>
      <c r="E541" s="8"/>
      <c r="F541" s="26"/>
      <c r="G541" s="24"/>
      <c r="H541" s="25"/>
      <c r="I541" s="25"/>
      <c r="J541" s="26"/>
      <c r="K541" t="str" s="15">
        <f aca="0">IF(COUNTA(B541:J541)=0,"",IF(R541&lt;&gt;"","확인필요(입력누락)",IF(COUNTIFS(보유목록!$I$2:$I$3001,"*"&amp;P541&amp;"*",보유목록!$I$2:$I$3001,"*"&amp;Q541&amp;"*",보유목록!$H$2:$H$3001,O541)&gt;0,"있음",IF(COUNTIFS(보유목록!$I$2:$I$3001,"*"&amp;P541&amp;"*",보유목록!$I$2:$I$3001,"*"&amp;Q541&amp;"*")&gt;0,"확인필요(연도다름)",IF(COUNTIFS(보유목록!$I$2:$I$3001,"*"&amp;P541&amp;"*",보유목록!$H$2:$H$3001,O541)&gt;0,"확인필요(같은학교·같은연도)","없음")))))</f>
      </c>
      <c r="L541" t="str" s="16">
        <f aca="0">IF(OR(COUNTA(B541:J541)=0,R541&lt;&gt;""),"",COUNTIFS(보유목록!$I$2:$I$3001,"*"&amp;P541&amp;"*",보유목록!$I$2:$I$3001,"*"&amp;Q541&amp;"*"))</f>
      </c>
      <c r="M541" t="str" s="23">
        <f aca="0">IF(OR(COUNTA(B541:J541)=0,R541&lt;&gt;""),"",IFERROR(LOOKUP(2,1/(ISNUMBER(SEARCH(P541,보유목록!$I$2:$I$3001))*ISNUMBER(SEARCH(Q541,보유목록!$I$2:$I$3001))*(보유목록!$H$2:$H$3001=O541)),보유목록!$B$2:$B$3001),IFERROR(LOOKUP(2,1/(ISNUMBER(SEARCH(P541,보유목록!$I$2:$I$3001))*ISNUMBER(SEARCH(Q541,보유목록!$I$2:$I$3001))),보유목록!$B$2:$B$3001),"")))</f>
      </c>
      <c r="N541" s="25"/>
      <c r="O541" t="str">
        <f>IFERROR(IF(AND(LEN(SUBSTITUTE(SUBSTITUTE(SUBSTITUTE(TRIM(C541&amp;""),CHAR(160),"")," ",""),"년",""))=4,VALUE(SUBSTITUTE(SUBSTITUTE(SUBSTITUTE(TRIM(C541&amp;""),CHAR(160),"")," ",""),"년",""))&gt;=1900,VALUE(SUBSTITUTE(SUBSTITUTE(SUBSTITUTE(TRIM(C541&amp;""),CHAR(160),"")," ",""),"년",""))&lt;=2099,TEXT(VALUE(SUBSTITUTE(SUBSTITUTE(SUBSTITUTE(TRIM(C541&amp;""),CHAR(160),"")," ",""),"년","")),"0000")=SUBSTITUTE(SUBSTITUTE(SUBSTITUTE(TRIM(C541&amp;""),CHAR(160),"")," ",""),"년","")),SUBSTITUTE(SUBSTITUTE(SUBSTITUTE(TRIM(C541&amp;""),CHAR(160),"")," ",""),"년",""),""),"")</f>
      </c>
      <c r="P541" t="str">
        <f>SUBSTITUTE(SUBSTITUTE(SUBSTITUTE(SUBSTITUTE(SUBSTITUTE(SUBSTITUTE(SUBSTITUTE(SUBSTITUTE(TRIM(D541&amp;""),CHAR(160),"")," ",""),"초등학교","초"),"중학교","중"),"고등학교","고"),"~","~~"),"*","~*"),"?","~?")</f>
      </c>
      <c r="Q541" t="str">
        <f>SUBSTITUTE(SUBSTITUTE(SUBSTITUTE(SUBSTITUTE(SUBSTITUTE(SUBSTITUTE(SUBSTITUTE(SUBSTITUTE(TRIM(E541&amp;""),CHAR(160),"")," ",""),"초등학교","초"),"중학교","중"),"고등학교","고"),"~","~~"),"*","~*"),"?","~?")</f>
      </c>
      <c r="R541" t="str">
        <f>IF(COUNTA(B541:J541)=0,"",IF(AND(O541&lt;&gt;"",P541&lt;&gt;"",Q541&lt;&gt;""),"","입력누락"))</f>
      </c>
    </row>
    <row r="542" customFormat="false" ht="15" hidden="false" customHeight="false" outlineLevel="0" collapsed="false">
      <c r="A542" t="n" s="19">
        <f aca="0">IF(COUNTA(B542:J542)=0,"",ROW()-1)</f>
      </c>
      <c r="B542" s="24"/>
      <c r="C542" s="25"/>
      <c r="D542" s="8"/>
      <c r="E542" s="8"/>
      <c r="F542" s="26"/>
      <c r="G542" s="24"/>
      <c r="H542" s="25"/>
      <c r="I542" s="25"/>
      <c r="J542" s="26"/>
      <c r="K542" t="str" s="15">
        <f aca="0">IF(COUNTA(B542:J542)=0,"",IF(R542&lt;&gt;"","확인필요(입력누락)",IF(COUNTIFS(보유목록!$I$2:$I$3001,"*"&amp;P542&amp;"*",보유목록!$I$2:$I$3001,"*"&amp;Q542&amp;"*",보유목록!$H$2:$H$3001,O542)&gt;0,"있음",IF(COUNTIFS(보유목록!$I$2:$I$3001,"*"&amp;P542&amp;"*",보유목록!$I$2:$I$3001,"*"&amp;Q542&amp;"*")&gt;0,"확인필요(연도다름)",IF(COUNTIFS(보유목록!$I$2:$I$3001,"*"&amp;P542&amp;"*",보유목록!$H$2:$H$3001,O542)&gt;0,"확인필요(같은학교·같은연도)","없음")))))</f>
      </c>
      <c r="L542" t="str" s="16">
        <f aca="0">IF(OR(COUNTA(B542:J542)=0,R542&lt;&gt;""),"",COUNTIFS(보유목록!$I$2:$I$3001,"*"&amp;P542&amp;"*",보유목록!$I$2:$I$3001,"*"&amp;Q542&amp;"*"))</f>
      </c>
      <c r="M542" t="str" s="23">
        <f aca="0">IF(OR(COUNTA(B542:J542)=0,R542&lt;&gt;""),"",IFERROR(LOOKUP(2,1/(ISNUMBER(SEARCH(P542,보유목록!$I$2:$I$3001))*ISNUMBER(SEARCH(Q542,보유목록!$I$2:$I$3001))*(보유목록!$H$2:$H$3001=O542)),보유목록!$B$2:$B$3001),IFERROR(LOOKUP(2,1/(ISNUMBER(SEARCH(P542,보유목록!$I$2:$I$3001))*ISNUMBER(SEARCH(Q542,보유목록!$I$2:$I$3001))),보유목록!$B$2:$B$3001),"")))</f>
      </c>
      <c r="N542" s="25"/>
      <c r="O542" t="str">
        <f>IFERROR(IF(AND(LEN(SUBSTITUTE(SUBSTITUTE(SUBSTITUTE(TRIM(C542&amp;""),CHAR(160),"")," ",""),"년",""))=4,VALUE(SUBSTITUTE(SUBSTITUTE(SUBSTITUTE(TRIM(C542&amp;""),CHAR(160),"")," ",""),"년",""))&gt;=1900,VALUE(SUBSTITUTE(SUBSTITUTE(SUBSTITUTE(TRIM(C542&amp;""),CHAR(160),"")," ",""),"년",""))&lt;=2099,TEXT(VALUE(SUBSTITUTE(SUBSTITUTE(SUBSTITUTE(TRIM(C542&amp;""),CHAR(160),"")," ",""),"년","")),"0000")=SUBSTITUTE(SUBSTITUTE(SUBSTITUTE(TRIM(C542&amp;""),CHAR(160),"")," ",""),"년","")),SUBSTITUTE(SUBSTITUTE(SUBSTITUTE(TRIM(C542&amp;""),CHAR(160),"")," ",""),"년",""),""),"")</f>
      </c>
      <c r="P542" t="str">
        <f>SUBSTITUTE(SUBSTITUTE(SUBSTITUTE(SUBSTITUTE(SUBSTITUTE(SUBSTITUTE(SUBSTITUTE(SUBSTITUTE(TRIM(D542&amp;""),CHAR(160),"")," ",""),"초등학교","초"),"중학교","중"),"고등학교","고"),"~","~~"),"*","~*"),"?","~?")</f>
      </c>
      <c r="Q542" t="str">
        <f>SUBSTITUTE(SUBSTITUTE(SUBSTITUTE(SUBSTITUTE(SUBSTITUTE(SUBSTITUTE(SUBSTITUTE(SUBSTITUTE(TRIM(E542&amp;""),CHAR(160),"")," ",""),"초등학교","초"),"중학교","중"),"고등학교","고"),"~","~~"),"*","~*"),"?","~?")</f>
      </c>
      <c r="R542" t="str">
        <f>IF(COUNTA(B542:J542)=0,"",IF(AND(O542&lt;&gt;"",P542&lt;&gt;"",Q542&lt;&gt;""),"","입력누락"))</f>
      </c>
    </row>
    <row r="543" customFormat="false" ht="15" hidden="false" customHeight="false" outlineLevel="0" collapsed="false">
      <c r="A543" t="n" s="19">
        <f aca="0">IF(COUNTA(B543:J543)=0,"",ROW()-1)</f>
      </c>
      <c r="B543" s="24"/>
      <c r="C543" s="25"/>
      <c r="D543" s="8"/>
      <c r="E543" s="8"/>
      <c r="F543" s="26"/>
      <c r="G543" s="24"/>
      <c r="H543" s="25"/>
      <c r="I543" s="25"/>
      <c r="J543" s="26"/>
      <c r="K543" t="str" s="15">
        <f aca="0">IF(COUNTA(B543:J543)=0,"",IF(R543&lt;&gt;"","확인필요(입력누락)",IF(COUNTIFS(보유목록!$I$2:$I$3001,"*"&amp;P543&amp;"*",보유목록!$I$2:$I$3001,"*"&amp;Q543&amp;"*",보유목록!$H$2:$H$3001,O543)&gt;0,"있음",IF(COUNTIFS(보유목록!$I$2:$I$3001,"*"&amp;P543&amp;"*",보유목록!$I$2:$I$3001,"*"&amp;Q543&amp;"*")&gt;0,"확인필요(연도다름)",IF(COUNTIFS(보유목록!$I$2:$I$3001,"*"&amp;P543&amp;"*",보유목록!$H$2:$H$3001,O543)&gt;0,"확인필요(같은학교·같은연도)","없음")))))</f>
      </c>
      <c r="L543" t="str" s="16">
        <f aca="0">IF(OR(COUNTA(B543:J543)=0,R543&lt;&gt;""),"",COUNTIFS(보유목록!$I$2:$I$3001,"*"&amp;P543&amp;"*",보유목록!$I$2:$I$3001,"*"&amp;Q543&amp;"*"))</f>
      </c>
      <c r="M543" t="str" s="23">
        <f aca="0">IF(OR(COUNTA(B543:J543)=0,R543&lt;&gt;""),"",IFERROR(LOOKUP(2,1/(ISNUMBER(SEARCH(P543,보유목록!$I$2:$I$3001))*ISNUMBER(SEARCH(Q543,보유목록!$I$2:$I$3001))*(보유목록!$H$2:$H$3001=O543)),보유목록!$B$2:$B$3001),IFERROR(LOOKUP(2,1/(ISNUMBER(SEARCH(P543,보유목록!$I$2:$I$3001))*ISNUMBER(SEARCH(Q543,보유목록!$I$2:$I$3001))),보유목록!$B$2:$B$3001),"")))</f>
      </c>
      <c r="N543" s="25"/>
      <c r="O543" t="str">
        <f>IFERROR(IF(AND(LEN(SUBSTITUTE(SUBSTITUTE(SUBSTITUTE(TRIM(C543&amp;""),CHAR(160),"")," ",""),"년",""))=4,VALUE(SUBSTITUTE(SUBSTITUTE(SUBSTITUTE(TRIM(C543&amp;""),CHAR(160),"")," ",""),"년",""))&gt;=1900,VALUE(SUBSTITUTE(SUBSTITUTE(SUBSTITUTE(TRIM(C543&amp;""),CHAR(160),"")," ",""),"년",""))&lt;=2099,TEXT(VALUE(SUBSTITUTE(SUBSTITUTE(SUBSTITUTE(TRIM(C543&amp;""),CHAR(160),"")," ",""),"년","")),"0000")=SUBSTITUTE(SUBSTITUTE(SUBSTITUTE(TRIM(C543&amp;""),CHAR(160),"")," ",""),"년","")),SUBSTITUTE(SUBSTITUTE(SUBSTITUTE(TRIM(C543&amp;""),CHAR(160),"")," ",""),"년",""),""),"")</f>
      </c>
      <c r="P543" t="str">
        <f>SUBSTITUTE(SUBSTITUTE(SUBSTITUTE(SUBSTITUTE(SUBSTITUTE(SUBSTITUTE(SUBSTITUTE(SUBSTITUTE(TRIM(D543&amp;""),CHAR(160),"")," ",""),"초등학교","초"),"중학교","중"),"고등학교","고"),"~","~~"),"*","~*"),"?","~?")</f>
      </c>
      <c r="Q543" t="str">
        <f>SUBSTITUTE(SUBSTITUTE(SUBSTITUTE(SUBSTITUTE(SUBSTITUTE(SUBSTITUTE(SUBSTITUTE(SUBSTITUTE(TRIM(E543&amp;""),CHAR(160),"")," ",""),"초등학교","초"),"중학교","중"),"고등학교","고"),"~","~~"),"*","~*"),"?","~?")</f>
      </c>
      <c r="R543" t="str">
        <f>IF(COUNTA(B543:J543)=0,"",IF(AND(O543&lt;&gt;"",P543&lt;&gt;"",Q543&lt;&gt;""),"","입력누락"))</f>
      </c>
    </row>
    <row r="544" customFormat="false" ht="15" hidden="false" customHeight="false" outlineLevel="0" collapsed="false">
      <c r="A544" t="n" s="19">
        <f aca="0">IF(COUNTA(B544:J544)=0,"",ROW()-1)</f>
      </c>
      <c r="B544" s="24"/>
      <c r="C544" s="25"/>
      <c r="D544" s="8"/>
      <c r="E544" s="8"/>
      <c r="F544" s="26"/>
      <c r="G544" s="24"/>
      <c r="H544" s="25"/>
      <c r="I544" s="25"/>
      <c r="J544" s="26"/>
      <c r="K544" t="str" s="15">
        <f aca="0">IF(COUNTA(B544:J544)=0,"",IF(R544&lt;&gt;"","확인필요(입력누락)",IF(COUNTIFS(보유목록!$I$2:$I$3001,"*"&amp;P544&amp;"*",보유목록!$I$2:$I$3001,"*"&amp;Q544&amp;"*",보유목록!$H$2:$H$3001,O544)&gt;0,"있음",IF(COUNTIFS(보유목록!$I$2:$I$3001,"*"&amp;P544&amp;"*",보유목록!$I$2:$I$3001,"*"&amp;Q544&amp;"*")&gt;0,"확인필요(연도다름)",IF(COUNTIFS(보유목록!$I$2:$I$3001,"*"&amp;P544&amp;"*",보유목록!$H$2:$H$3001,O544)&gt;0,"확인필요(같은학교·같은연도)","없음")))))</f>
      </c>
      <c r="L544" t="str" s="16">
        <f aca="0">IF(OR(COUNTA(B544:J544)=0,R544&lt;&gt;""),"",COUNTIFS(보유목록!$I$2:$I$3001,"*"&amp;P544&amp;"*",보유목록!$I$2:$I$3001,"*"&amp;Q544&amp;"*"))</f>
      </c>
      <c r="M544" t="str" s="23">
        <f aca="0">IF(OR(COUNTA(B544:J544)=0,R544&lt;&gt;""),"",IFERROR(LOOKUP(2,1/(ISNUMBER(SEARCH(P544,보유목록!$I$2:$I$3001))*ISNUMBER(SEARCH(Q544,보유목록!$I$2:$I$3001))*(보유목록!$H$2:$H$3001=O544)),보유목록!$B$2:$B$3001),IFERROR(LOOKUP(2,1/(ISNUMBER(SEARCH(P544,보유목록!$I$2:$I$3001))*ISNUMBER(SEARCH(Q544,보유목록!$I$2:$I$3001))),보유목록!$B$2:$B$3001),"")))</f>
      </c>
      <c r="N544" s="25"/>
      <c r="O544" t="str">
        <f>IFERROR(IF(AND(LEN(SUBSTITUTE(SUBSTITUTE(SUBSTITUTE(TRIM(C544&amp;""),CHAR(160),"")," ",""),"년",""))=4,VALUE(SUBSTITUTE(SUBSTITUTE(SUBSTITUTE(TRIM(C544&amp;""),CHAR(160),"")," ",""),"년",""))&gt;=1900,VALUE(SUBSTITUTE(SUBSTITUTE(SUBSTITUTE(TRIM(C544&amp;""),CHAR(160),"")," ",""),"년",""))&lt;=2099,TEXT(VALUE(SUBSTITUTE(SUBSTITUTE(SUBSTITUTE(TRIM(C544&amp;""),CHAR(160),"")," ",""),"년","")),"0000")=SUBSTITUTE(SUBSTITUTE(SUBSTITUTE(TRIM(C544&amp;""),CHAR(160),"")," ",""),"년","")),SUBSTITUTE(SUBSTITUTE(SUBSTITUTE(TRIM(C544&amp;""),CHAR(160),"")," ",""),"년",""),""),"")</f>
      </c>
      <c r="P544" t="str">
        <f>SUBSTITUTE(SUBSTITUTE(SUBSTITUTE(SUBSTITUTE(SUBSTITUTE(SUBSTITUTE(SUBSTITUTE(SUBSTITUTE(TRIM(D544&amp;""),CHAR(160),"")," ",""),"초등학교","초"),"중학교","중"),"고등학교","고"),"~","~~"),"*","~*"),"?","~?")</f>
      </c>
      <c r="Q544" t="str">
        <f>SUBSTITUTE(SUBSTITUTE(SUBSTITUTE(SUBSTITUTE(SUBSTITUTE(SUBSTITUTE(SUBSTITUTE(SUBSTITUTE(TRIM(E544&amp;""),CHAR(160),"")," ",""),"초등학교","초"),"중학교","중"),"고등학교","고"),"~","~~"),"*","~*"),"?","~?")</f>
      </c>
      <c r="R544" t="str">
        <f>IF(COUNTA(B544:J544)=0,"",IF(AND(O544&lt;&gt;"",P544&lt;&gt;"",Q544&lt;&gt;""),"","입력누락"))</f>
      </c>
    </row>
    <row r="545" customFormat="false" ht="15" hidden="false" customHeight="false" outlineLevel="0" collapsed="false">
      <c r="A545" t="n" s="19">
        <f aca="0">IF(COUNTA(B545:J545)=0,"",ROW()-1)</f>
      </c>
      <c r="B545" s="24"/>
      <c r="C545" s="25"/>
      <c r="D545" s="8"/>
      <c r="E545" s="8"/>
      <c r="F545" s="26"/>
      <c r="G545" s="24"/>
      <c r="H545" s="25"/>
      <c r="I545" s="25"/>
      <c r="J545" s="26"/>
      <c r="K545" t="str" s="15">
        <f aca="0">IF(COUNTA(B545:J545)=0,"",IF(R545&lt;&gt;"","확인필요(입력누락)",IF(COUNTIFS(보유목록!$I$2:$I$3001,"*"&amp;P545&amp;"*",보유목록!$I$2:$I$3001,"*"&amp;Q545&amp;"*",보유목록!$H$2:$H$3001,O545)&gt;0,"있음",IF(COUNTIFS(보유목록!$I$2:$I$3001,"*"&amp;P545&amp;"*",보유목록!$I$2:$I$3001,"*"&amp;Q545&amp;"*")&gt;0,"확인필요(연도다름)",IF(COUNTIFS(보유목록!$I$2:$I$3001,"*"&amp;P545&amp;"*",보유목록!$H$2:$H$3001,O545)&gt;0,"확인필요(같은학교·같은연도)","없음")))))</f>
      </c>
      <c r="L545" t="str" s="16">
        <f aca="0">IF(OR(COUNTA(B545:J545)=0,R545&lt;&gt;""),"",COUNTIFS(보유목록!$I$2:$I$3001,"*"&amp;P545&amp;"*",보유목록!$I$2:$I$3001,"*"&amp;Q545&amp;"*"))</f>
      </c>
      <c r="M545" t="str" s="23">
        <f aca="0">IF(OR(COUNTA(B545:J545)=0,R545&lt;&gt;""),"",IFERROR(LOOKUP(2,1/(ISNUMBER(SEARCH(P545,보유목록!$I$2:$I$3001))*ISNUMBER(SEARCH(Q545,보유목록!$I$2:$I$3001))*(보유목록!$H$2:$H$3001=O545)),보유목록!$B$2:$B$3001),IFERROR(LOOKUP(2,1/(ISNUMBER(SEARCH(P545,보유목록!$I$2:$I$3001))*ISNUMBER(SEARCH(Q545,보유목록!$I$2:$I$3001))),보유목록!$B$2:$B$3001),"")))</f>
      </c>
      <c r="N545" s="25"/>
      <c r="O545" t="str">
        <f>IFERROR(IF(AND(LEN(SUBSTITUTE(SUBSTITUTE(SUBSTITUTE(TRIM(C545&amp;""),CHAR(160),"")," ",""),"년",""))=4,VALUE(SUBSTITUTE(SUBSTITUTE(SUBSTITUTE(TRIM(C545&amp;""),CHAR(160),"")," ",""),"년",""))&gt;=1900,VALUE(SUBSTITUTE(SUBSTITUTE(SUBSTITUTE(TRIM(C545&amp;""),CHAR(160),"")," ",""),"년",""))&lt;=2099,TEXT(VALUE(SUBSTITUTE(SUBSTITUTE(SUBSTITUTE(TRIM(C545&amp;""),CHAR(160),"")," ",""),"년","")),"0000")=SUBSTITUTE(SUBSTITUTE(SUBSTITUTE(TRIM(C545&amp;""),CHAR(160),"")," ",""),"년","")),SUBSTITUTE(SUBSTITUTE(SUBSTITUTE(TRIM(C545&amp;""),CHAR(160),"")," ",""),"년",""),""),"")</f>
      </c>
      <c r="P545" t="str">
        <f>SUBSTITUTE(SUBSTITUTE(SUBSTITUTE(SUBSTITUTE(SUBSTITUTE(SUBSTITUTE(SUBSTITUTE(SUBSTITUTE(TRIM(D545&amp;""),CHAR(160),"")," ",""),"초등학교","초"),"중학교","중"),"고등학교","고"),"~","~~"),"*","~*"),"?","~?")</f>
      </c>
      <c r="Q545" t="str">
        <f>SUBSTITUTE(SUBSTITUTE(SUBSTITUTE(SUBSTITUTE(SUBSTITUTE(SUBSTITUTE(SUBSTITUTE(SUBSTITUTE(TRIM(E545&amp;""),CHAR(160),"")," ",""),"초등학교","초"),"중학교","중"),"고등학교","고"),"~","~~"),"*","~*"),"?","~?")</f>
      </c>
      <c r="R545" t="str">
        <f>IF(COUNTA(B545:J545)=0,"",IF(AND(O545&lt;&gt;"",P545&lt;&gt;"",Q545&lt;&gt;""),"","입력누락"))</f>
      </c>
    </row>
    <row r="546" customFormat="false" ht="15" hidden="false" customHeight="false" outlineLevel="0" collapsed="false">
      <c r="A546" t="n" s="19">
        <f aca="0">IF(COUNTA(B546:J546)=0,"",ROW()-1)</f>
      </c>
      <c r="B546" s="24"/>
      <c r="C546" s="25"/>
      <c r="D546" s="8"/>
      <c r="E546" s="8"/>
      <c r="F546" s="26"/>
      <c r="G546" s="24"/>
      <c r="H546" s="25"/>
      <c r="I546" s="25"/>
      <c r="J546" s="26"/>
      <c r="K546" t="str" s="15">
        <f aca="0">IF(COUNTA(B546:J546)=0,"",IF(R546&lt;&gt;"","확인필요(입력누락)",IF(COUNTIFS(보유목록!$I$2:$I$3001,"*"&amp;P546&amp;"*",보유목록!$I$2:$I$3001,"*"&amp;Q546&amp;"*",보유목록!$H$2:$H$3001,O546)&gt;0,"있음",IF(COUNTIFS(보유목록!$I$2:$I$3001,"*"&amp;P546&amp;"*",보유목록!$I$2:$I$3001,"*"&amp;Q546&amp;"*")&gt;0,"확인필요(연도다름)",IF(COUNTIFS(보유목록!$I$2:$I$3001,"*"&amp;P546&amp;"*",보유목록!$H$2:$H$3001,O546)&gt;0,"확인필요(같은학교·같은연도)","없음")))))</f>
      </c>
      <c r="L546" t="str" s="16">
        <f aca="0">IF(OR(COUNTA(B546:J546)=0,R546&lt;&gt;""),"",COUNTIFS(보유목록!$I$2:$I$3001,"*"&amp;P546&amp;"*",보유목록!$I$2:$I$3001,"*"&amp;Q546&amp;"*"))</f>
      </c>
      <c r="M546" t="str" s="23">
        <f aca="0">IF(OR(COUNTA(B546:J546)=0,R546&lt;&gt;""),"",IFERROR(LOOKUP(2,1/(ISNUMBER(SEARCH(P546,보유목록!$I$2:$I$3001))*ISNUMBER(SEARCH(Q546,보유목록!$I$2:$I$3001))*(보유목록!$H$2:$H$3001=O546)),보유목록!$B$2:$B$3001),IFERROR(LOOKUP(2,1/(ISNUMBER(SEARCH(P546,보유목록!$I$2:$I$3001))*ISNUMBER(SEARCH(Q546,보유목록!$I$2:$I$3001))),보유목록!$B$2:$B$3001),"")))</f>
      </c>
      <c r="N546" s="25"/>
      <c r="O546" t="str">
        <f>IFERROR(IF(AND(LEN(SUBSTITUTE(SUBSTITUTE(SUBSTITUTE(TRIM(C546&amp;""),CHAR(160),"")," ",""),"년",""))=4,VALUE(SUBSTITUTE(SUBSTITUTE(SUBSTITUTE(TRIM(C546&amp;""),CHAR(160),"")," ",""),"년",""))&gt;=1900,VALUE(SUBSTITUTE(SUBSTITUTE(SUBSTITUTE(TRIM(C546&amp;""),CHAR(160),"")," ",""),"년",""))&lt;=2099,TEXT(VALUE(SUBSTITUTE(SUBSTITUTE(SUBSTITUTE(TRIM(C546&amp;""),CHAR(160),"")," ",""),"년","")),"0000")=SUBSTITUTE(SUBSTITUTE(SUBSTITUTE(TRIM(C546&amp;""),CHAR(160),"")," ",""),"년","")),SUBSTITUTE(SUBSTITUTE(SUBSTITUTE(TRIM(C546&amp;""),CHAR(160),"")," ",""),"년",""),""),"")</f>
      </c>
      <c r="P546" t="str">
        <f>SUBSTITUTE(SUBSTITUTE(SUBSTITUTE(SUBSTITUTE(SUBSTITUTE(SUBSTITUTE(SUBSTITUTE(SUBSTITUTE(TRIM(D546&amp;""),CHAR(160),"")," ",""),"초등학교","초"),"중학교","중"),"고등학교","고"),"~","~~"),"*","~*"),"?","~?")</f>
      </c>
      <c r="Q546" t="str">
        <f>SUBSTITUTE(SUBSTITUTE(SUBSTITUTE(SUBSTITUTE(SUBSTITUTE(SUBSTITUTE(SUBSTITUTE(SUBSTITUTE(TRIM(E546&amp;""),CHAR(160),"")," ",""),"초등학교","초"),"중학교","중"),"고등학교","고"),"~","~~"),"*","~*"),"?","~?")</f>
      </c>
      <c r="R546" t="str">
        <f>IF(COUNTA(B546:J546)=0,"",IF(AND(O546&lt;&gt;"",P546&lt;&gt;"",Q546&lt;&gt;""),"","입력누락"))</f>
      </c>
    </row>
    <row r="547" customFormat="false" ht="15" hidden="false" customHeight="false" outlineLevel="0" collapsed="false">
      <c r="A547" t="n" s="19">
        <f aca="0">IF(COUNTA(B547:J547)=0,"",ROW()-1)</f>
      </c>
      <c r="B547" s="24"/>
      <c r="C547" s="25"/>
      <c r="D547" s="8"/>
      <c r="E547" s="8"/>
      <c r="F547" s="26"/>
      <c r="G547" s="24"/>
      <c r="H547" s="25"/>
      <c r="I547" s="25"/>
      <c r="J547" s="26"/>
      <c r="K547" t="str" s="15">
        <f aca="0">IF(COUNTA(B547:J547)=0,"",IF(R547&lt;&gt;"","확인필요(입력누락)",IF(COUNTIFS(보유목록!$I$2:$I$3001,"*"&amp;P547&amp;"*",보유목록!$I$2:$I$3001,"*"&amp;Q547&amp;"*",보유목록!$H$2:$H$3001,O547)&gt;0,"있음",IF(COUNTIFS(보유목록!$I$2:$I$3001,"*"&amp;P547&amp;"*",보유목록!$I$2:$I$3001,"*"&amp;Q547&amp;"*")&gt;0,"확인필요(연도다름)",IF(COUNTIFS(보유목록!$I$2:$I$3001,"*"&amp;P547&amp;"*",보유목록!$H$2:$H$3001,O547)&gt;0,"확인필요(같은학교·같은연도)","없음")))))</f>
      </c>
      <c r="L547" t="str" s="16">
        <f aca="0">IF(OR(COUNTA(B547:J547)=0,R547&lt;&gt;""),"",COUNTIFS(보유목록!$I$2:$I$3001,"*"&amp;P547&amp;"*",보유목록!$I$2:$I$3001,"*"&amp;Q547&amp;"*"))</f>
      </c>
      <c r="M547" t="str" s="23">
        <f aca="0">IF(OR(COUNTA(B547:J547)=0,R547&lt;&gt;""),"",IFERROR(LOOKUP(2,1/(ISNUMBER(SEARCH(P547,보유목록!$I$2:$I$3001))*ISNUMBER(SEARCH(Q547,보유목록!$I$2:$I$3001))*(보유목록!$H$2:$H$3001=O547)),보유목록!$B$2:$B$3001),IFERROR(LOOKUP(2,1/(ISNUMBER(SEARCH(P547,보유목록!$I$2:$I$3001))*ISNUMBER(SEARCH(Q547,보유목록!$I$2:$I$3001))),보유목록!$B$2:$B$3001),"")))</f>
      </c>
      <c r="N547" s="25"/>
      <c r="O547" t="str">
        <f>IFERROR(IF(AND(LEN(SUBSTITUTE(SUBSTITUTE(SUBSTITUTE(TRIM(C547&amp;""),CHAR(160),"")," ",""),"년",""))=4,VALUE(SUBSTITUTE(SUBSTITUTE(SUBSTITUTE(TRIM(C547&amp;""),CHAR(160),"")," ",""),"년",""))&gt;=1900,VALUE(SUBSTITUTE(SUBSTITUTE(SUBSTITUTE(TRIM(C547&amp;""),CHAR(160),"")," ",""),"년",""))&lt;=2099,TEXT(VALUE(SUBSTITUTE(SUBSTITUTE(SUBSTITUTE(TRIM(C547&amp;""),CHAR(160),"")," ",""),"년","")),"0000")=SUBSTITUTE(SUBSTITUTE(SUBSTITUTE(TRIM(C547&amp;""),CHAR(160),"")," ",""),"년","")),SUBSTITUTE(SUBSTITUTE(SUBSTITUTE(TRIM(C547&amp;""),CHAR(160),"")," ",""),"년",""),""),"")</f>
      </c>
      <c r="P547" t="str">
        <f>SUBSTITUTE(SUBSTITUTE(SUBSTITUTE(SUBSTITUTE(SUBSTITUTE(SUBSTITUTE(SUBSTITUTE(SUBSTITUTE(TRIM(D547&amp;""),CHAR(160),"")," ",""),"초등학교","초"),"중학교","중"),"고등학교","고"),"~","~~"),"*","~*"),"?","~?")</f>
      </c>
      <c r="Q547" t="str">
        <f>SUBSTITUTE(SUBSTITUTE(SUBSTITUTE(SUBSTITUTE(SUBSTITUTE(SUBSTITUTE(SUBSTITUTE(SUBSTITUTE(TRIM(E547&amp;""),CHAR(160),"")," ",""),"초등학교","초"),"중학교","중"),"고등학교","고"),"~","~~"),"*","~*"),"?","~?")</f>
      </c>
      <c r="R547" t="str">
        <f>IF(COUNTA(B547:J547)=0,"",IF(AND(O547&lt;&gt;"",P547&lt;&gt;"",Q547&lt;&gt;""),"","입력누락"))</f>
      </c>
    </row>
    <row r="548" customFormat="false" ht="15" hidden="false" customHeight="false" outlineLevel="0" collapsed="false">
      <c r="A548" t="n" s="19">
        <f aca="0">IF(COUNTA(B548:J548)=0,"",ROW()-1)</f>
      </c>
      <c r="B548" s="24"/>
      <c r="C548" s="25"/>
      <c r="D548" s="8"/>
      <c r="E548" s="8"/>
      <c r="F548" s="26"/>
      <c r="G548" s="24"/>
      <c r="H548" s="25"/>
      <c r="I548" s="25"/>
      <c r="J548" s="26"/>
      <c r="K548" t="str" s="15">
        <f aca="0">IF(COUNTA(B548:J548)=0,"",IF(R548&lt;&gt;"","확인필요(입력누락)",IF(COUNTIFS(보유목록!$I$2:$I$3001,"*"&amp;P548&amp;"*",보유목록!$I$2:$I$3001,"*"&amp;Q548&amp;"*",보유목록!$H$2:$H$3001,O548)&gt;0,"있음",IF(COUNTIFS(보유목록!$I$2:$I$3001,"*"&amp;P548&amp;"*",보유목록!$I$2:$I$3001,"*"&amp;Q548&amp;"*")&gt;0,"확인필요(연도다름)",IF(COUNTIFS(보유목록!$I$2:$I$3001,"*"&amp;P548&amp;"*",보유목록!$H$2:$H$3001,O548)&gt;0,"확인필요(같은학교·같은연도)","없음")))))</f>
      </c>
      <c r="L548" t="str" s="16">
        <f aca="0">IF(OR(COUNTA(B548:J548)=0,R548&lt;&gt;""),"",COUNTIFS(보유목록!$I$2:$I$3001,"*"&amp;P548&amp;"*",보유목록!$I$2:$I$3001,"*"&amp;Q548&amp;"*"))</f>
      </c>
      <c r="M548" t="str" s="23">
        <f aca="0">IF(OR(COUNTA(B548:J548)=0,R548&lt;&gt;""),"",IFERROR(LOOKUP(2,1/(ISNUMBER(SEARCH(P548,보유목록!$I$2:$I$3001))*ISNUMBER(SEARCH(Q548,보유목록!$I$2:$I$3001))*(보유목록!$H$2:$H$3001=O548)),보유목록!$B$2:$B$3001),IFERROR(LOOKUP(2,1/(ISNUMBER(SEARCH(P548,보유목록!$I$2:$I$3001))*ISNUMBER(SEARCH(Q548,보유목록!$I$2:$I$3001))),보유목록!$B$2:$B$3001),"")))</f>
      </c>
      <c r="N548" s="25"/>
      <c r="O548" t="str">
        <f>IFERROR(IF(AND(LEN(SUBSTITUTE(SUBSTITUTE(SUBSTITUTE(TRIM(C548&amp;""),CHAR(160),"")," ",""),"년",""))=4,VALUE(SUBSTITUTE(SUBSTITUTE(SUBSTITUTE(TRIM(C548&amp;""),CHAR(160),"")," ",""),"년",""))&gt;=1900,VALUE(SUBSTITUTE(SUBSTITUTE(SUBSTITUTE(TRIM(C548&amp;""),CHAR(160),"")," ",""),"년",""))&lt;=2099,TEXT(VALUE(SUBSTITUTE(SUBSTITUTE(SUBSTITUTE(TRIM(C548&amp;""),CHAR(160),"")," ",""),"년","")),"0000")=SUBSTITUTE(SUBSTITUTE(SUBSTITUTE(TRIM(C548&amp;""),CHAR(160),"")," ",""),"년","")),SUBSTITUTE(SUBSTITUTE(SUBSTITUTE(TRIM(C548&amp;""),CHAR(160),"")," ",""),"년",""),""),"")</f>
      </c>
      <c r="P548" t="str">
        <f>SUBSTITUTE(SUBSTITUTE(SUBSTITUTE(SUBSTITUTE(SUBSTITUTE(SUBSTITUTE(SUBSTITUTE(SUBSTITUTE(TRIM(D548&amp;""),CHAR(160),"")," ",""),"초등학교","초"),"중학교","중"),"고등학교","고"),"~","~~"),"*","~*"),"?","~?")</f>
      </c>
      <c r="Q548" t="str">
        <f>SUBSTITUTE(SUBSTITUTE(SUBSTITUTE(SUBSTITUTE(SUBSTITUTE(SUBSTITUTE(SUBSTITUTE(SUBSTITUTE(TRIM(E548&amp;""),CHAR(160),"")," ",""),"초등학교","초"),"중학교","중"),"고등학교","고"),"~","~~"),"*","~*"),"?","~?")</f>
      </c>
      <c r="R548" t="str">
        <f>IF(COUNTA(B548:J548)=0,"",IF(AND(O548&lt;&gt;"",P548&lt;&gt;"",Q548&lt;&gt;""),"","입력누락"))</f>
      </c>
    </row>
    <row r="549" customFormat="false" ht="15" hidden="false" customHeight="false" outlineLevel="0" collapsed="false">
      <c r="A549" t="n" s="19">
        <f aca="0">IF(COUNTA(B549:J549)=0,"",ROW()-1)</f>
      </c>
      <c r="B549" s="24"/>
      <c r="C549" s="25"/>
      <c r="D549" s="8"/>
      <c r="E549" s="8"/>
      <c r="F549" s="26"/>
      <c r="G549" s="24"/>
      <c r="H549" s="25"/>
      <c r="I549" s="25"/>
      <c r="J549" s="26"/>
      <c r="K549" t="str" s="15">
        <f aca="0">IF(COUNTA(B549:J549)=0,"",IF(R549&lt;&gt;"","확인필요(입력누락)",IF(COUNTIFS(보유목록!$I$2:$I$3001,"*"&amp;P549&amp;"*",보유목록!$I$2:$I$3001,"*"&amp;Q549&amp;"*",보유목록!$H$2:$H$3001,O549)&gt;0,"있음",IF(COUNTIFS(보유목록!$I$2:$I$3001,"*"&amp;P549&amp;"*",보유목록!$I$2:$I$3001,"*"&amp;Q549&amp;"*")&gt;0,"확인필요(연도다름)",IF(COUNTIFS(보유목록!$I$2:$I$3001,"*"&amp;P549&amp;"*",보유목록!$H$2:$H$3001,O549)&gt;0,"확인필요(같은학교·같은연도)","없음")))))</f>
      </c>
      <c r="L549" t="str" s="16">
        <f aca="0">IF(OR(COUNTA(B549:J549)=0,R549&lt;&gt;""),"",COUNTIFS(보유목록!$I$2:$I$3001,"*"&amp;P549&amp;"*",보유목록!$I$2:$I$3001,"*"&amp;Q549&amp;"*"))</f>
      </c>
      <c r="M549" t="str" s="23">
        <f aca="0">IF(OR(COUNTA(B549:J549)=0,R549&lt;&gt;""),"",IFERROR(LOOKUP(2,1/(ISNUMBER(SEARCH(P549,보유목록!$I$2:$I$3001))*ISNUMBER(SEARCH(Q549,보유목록!$I$2:$I$3001))*(보유목록!$H$2:$H$3001=O549)),보유목록!$B$2:$B$3001),IFERROR(LOOKUP(2,1/(ISNUMBER(SEARCH(P549,보유목록!$I$2:$I$3001))*ISNUMBER(SEARCH(Q549,보유목록!$I$2:$I$3001))),보유목록!$B$2:$B$3001),"")))</f>
      </c>
      <c r="N549" s="25"/>
      <c r="O549" t="str">
        <f>IFERROR(IF(AND(LEN(SUBSTITUTE(SUBSTITUTE(SUBSTITUTE(TRIM(C549&amp;""),CHAR(160),"")," ",""),"년",""))=4,VALUE(SUBSTITUTE(SUBSTITUTE(SUBSTITUTE(TRIM(C549&amp;""),CHAR(160),"")," ",""),"년",""))&gt;=1900,VALUE(SUBSTITUTE(SUBSTITUTE(SUBSTITUTE(TRIM(C549&amp;""),CHAR(160),"")," ",""),"년",""))&lt;=2099,TEXT(VALUE(SUBSTITUTE(SUBSTITUTE(SUBSTITUTE(TRIM(C549&amp;""),CHAR(160),"")," ",""),"년","")),"0000")=SUBSTITUTE(SUBSTITUTE(SUBSTITUTE(TRIM(C549&amp;""),CHAR(160),"")," ",""),"년","")),SUBSTITUTE(SUBSTITUTE(SUBSTITUTE(TRIM(C549&amp;""),CHAR(160),"")," ",""),"년",""),""),"")</f>
      </c>
      <c r="P549" t="str">
        <f>SUBSTITUTE(SUBSTITUTE(SUBSTITUTE(SUBSTITUTE(SUBSTITUTE(SUBSTITUTE(SUBSTITUTE(SUBSTITUTE(TRIM(D549&amp;""),CHAR(160),"")," ",""),"초등학교","초"),"중학교","중"),"고등학교","고"),"~","~~"),"*","~*"),"?","~?")</f>
      </c>
      <c r="Q549" t="str">
        <f>SUBSTITUTE(SUBSTITUTE(SUBSTITUTE(SUBSTITUTE(SUBSTITUTE(SUBSTITUTE(SUBSTITUTE(SUBSTITUTE(TRIM(E549&amp;""),CHAR(160),"")," ",""),"초등학교","초"),"중학교","중"),"고등학교","고"),"~","~~"),"*","~*"),"?","~?")</f>
      </c>
      <c r="R549" t="str">
        <f>IF(COUNTA(B549:J549)=0,"",IF(AND(O549&lt;&gt;"",P549&lt;&gt;"",Q549&lt;&gt;""),"","입력누락"))</f>
      </c>
    </row>
    <row r="550" customFormat="false" ht="15" hidden="false" customHeight="false" outlineLevel="0" collapsed="false">
      <c r="A550" t="n" s="19">
        <f aca="0">IF(COUNTA(B550:J550)=0,"",ROW()-1)</f>
      </c>
      <c r="B550" s="24"/>
      <c r="C550" s="25"/>
      <c r="D550" s="8"/>
      <c r="E550" s="8"/>
      <c r="F550" s="26"/>
      <c r="G550" s="24"/>
      <c r="H550" s="25"/>
      <c r="I550" s="25"/>
      <c r="J550" s="26"/>
      <c r="K550" t="str" s="15">
        <f aca="0">IF(COUNTA(B550:J550)=0,"",IF(R550&lt;&gt;"","확인필요(입력누락)",IF(COUNTIFS(보유목록!$I$2:$I$3001,"*"&amp;P550&amp;"*",보유목록!$I$2:$I$3001,"*"&amp;Q550&amp;"*",보유목록!$H$2:$H$3001,O550)&gt;0,"있음",IF(COUNTIFS(보유목록!$I$2:$I$3001,"*"&amp;P550&amp;"*",보유목록!$I$2:$I$3001,"*"&amp;Q550&amp;"*")&gt;0,"확인필요(연도다름)",IF(COUNTIFS(보유목록!$I$2:$I$3001,"*"&amp;P550&amp;"*",보유목록!$H$2:$H$3001,O550)&gt;0,"확인필요(같은학교·같은연도)","없음")))))</f>
      </c>
      <c r="L550" t="str" s="16">
        <f aca="0">IF(OR(COUNTA(B550:J550)=0,R550&lt;&gt;""),"",COUNTIFS(보유목록!$I$2:$I$3001,"*"&amp;P550&amp;"*",보유목록!$I$2:$I$3001,"*"&amp;Q550&amp;"*"))</f>
      </c>
      <c r="M550" t="str" s="23">
        <f aca="0">IF(OR(COUNTA(B550:J550)=0,R550&lt;&gt;""),"",IFERROR(LOOKUP(2,1/(ISNUMBER(SEARCH(P550,보유목록!$I$2:$I$3001))*ISNUMBER(SEARCH(Q550,보유목록!$I$2:$I$3001))*(보유목록!$H$2:$H$3001=O550)),보유목록!$B$2:$B$3001),IFERROR(LOOKUP(2,1/(ISNUMBER(SEARCH(P550,보유목록!$I$2:$I$3001))*ISNUMBER(SEARCH(Q550,보유목록!$I$2:$I$3001))),보유목록!$B$2:$B$3001),"")))</f>
      </c>
      <c r="N550" s="25"/>
      <c r="O550" t="str">
        <f>IFERROR(IF(AND(LEN(SUBSTITUTE(SUBSTITUTE(SUBSTITUTE(TRIM(C550&amp;""),CHAR(160),"")," ",""),"년",""))=4,VALUE(SUBSTITUTE(SUBSTITUTE(SUBSTITUTE(TRIM(C550&amp;""),CHAR(160),"")," ",""),"년",""))&gt;=1900,VALUE(SUBSTITUTE(SUBSTITUTE(SUBSTITUTE(TRIM(C550&amp;""),CHAR(160),"")," ",""),"년",""))&lt;=2099,TEXT(VALUE(SUBSTITUTE(SUBSTITUTE(SUBSTITUTE(TRIM(C550&amp;""),CHAR(160),"")," ",""),"년","")),"0000")=SUBSTITUTE(SUBSTITUTE(SUBSTITUTE(TRIM(C550&amp;""),CHAR(160),"")," ",""),"년","")),SUBSTITUTE(SUBSTITUTE(SUBSTITUTE(TRIM(C550&amp;""),CHAR(160),"")," ",""),"년",""),""),"")</f>
      </c>
      <c r="P550" t="str">
        <f>SUBSTITUTE(SUBSTITUTE(SUBSTITUTE(SUBSTITUTE(SUBSTITUTE(SUBSTITUTE(SUBSTITUTE(SUBSTITUTE(TRIM(D550&amp;""),CHAR(160),"")," ",""),"초등학교","초"),"중학교","중"),"고등학교","고"),"~","~~"),"*","~*"),"?","~?")</f>
      </c>
      <c r="Q550" t="str">
        <f>SUBSTITUTE(SUBSTITUTE(SUBSTITUTE(SUBSTITUTE(SUBSTITUTE(SUBSTITUTE(SUBSTITUTE(SUBSTITUTE(TRIM(E550&amp;""),CHAR(160),"")," ",""),"초등학교","초"),"중학교","중"),"고등학교","고"),"~","~~"),"*","~*"),"?","~?")</f>
      </c>
      <c r="R550" t="str">
        <f>IF(COUNTA(B550:J550)=0,"",IF(AND(O550&lt;&gt;"",P550&lt;&gt;"",Q550&lt;&gt;""),"","입력누락"))</f>
      </c>
    </row>
    <row r="551" customFormat="false" ht="15" hidden="false" customHeight="false" outlineLevel="0" collapsed="false">
      <c r="A551" t="n" s="19">
        <f aca="0">IF(COUNTA(B551:J551)=0,"",ROW()-1)</f>
      </c>
      <c r="B551" s="24"/>
      <c r="C551" s="25"/>
      <c r="D551" s="8"/>
      <c r="E551" s="8"/>
      <c r="F551" s="26"/>
      <c r="G551" s="24"/>
      <c r="H551" s="25"/>
      <c r="I551" s="25"/>
      <c r="J551" s="26"/>
      <c r="K551" t="str" s="15">
        <f aca="0">IF(COUNTA(B551:J551)=0,"",IF(R551&lt;&gt;"","확인필요(입력누락)",IF(COUNTIFS(보유목록!$I$2:$I$3001,"*"&amp;P551&amp;"*",보유목록!$I$2:$I$3001,"*"&amp;Q551&amp;"*",보유목록!$H$2:$H$3001,O551)&gt;0,"있음",IF(COUNTIFS(보유목록!$I$2:$I$3001,"*"&amp;P551&amp;"*",보유목록!$I$2:$I$3001,"*"&amp;Q551&amp;"*")&gt;0,"확인필요(연도다름)",IF(COUNTIFS(보유목록!$I$2:$I$3001,"*"&amp;P551&amp;"*",보유목록!$H$2:$H$3001,O551)&gt;0,"확인필요(같은학교·같은연도)","없음")))))</f>
      </c>
      <c r="L551" t="str" s="16">
        <f aca="0">IF(OR(COUNTA(B551:J551)=0,R551&lt;&gt;""),"",COUNTIFS(보유목록!$I$2:$I$3001,"*"&amp;P551&amp;"*",보유목록!$I$2:$I$3001,"*"&amp;Q551&amp;"*"))</f>
      </c>
      <c r="M551" t="str" s="23">
        <f aca="0">IF(OR(COUNTA(B551:J551)=0,R551&lt;&gt;""),"",IFERROR(LOOKUP(2,1/(ISNUMBER(SEARCH(P551,보유목록!$I$2:$I$3001))*ISNUMBER(SEARCH(Q551,보유목록!$I$2:$I$3001))*(보유목록!$H$2:$H$3001=O551)),보유목록!$B$2:$B$3001),IFERROR(LOOKUP(2,1/(ISNUMBER(SEARCH(P551,보유목록!$I$2:$I$3001))*ISNUMBER(SEARCH(Q551,보유목록!$I$2:$I$3001))),보유목록!$B$2:$B$3001),"")))</f>
      </c>
      <c r="N551" s="25"/>
      <c r="O551" t="str">
        <f>IFERROR(IF(AND(LEN(SUBSTITUTE(SUBSTITUTE(SUBSTITUTE(TRIM(C551&amp;""),CHAR(160),"")," ",""),"년",""))=4,VALUE(SUBSTITUTE(SUBSTITUTE(SUBSTITUTE(TRIM(C551&amp;""),CHAR(160),"")," ",""),"년",""))&gt;=1900,VALUE(SUBSTITUTE(SUBSTITUTE(SUBSTITUTE(TRIM(C551&amp;""),CHAR(160),"")," ",""),"년",""))&lt;=2099,TEXT(VALUE(SUBSTITUTE(SUBSTITUTE(SUBSTITUTE(TRIM(C551&amp;""),CHAR(160),"")," ",""),"년","")),"0000")=SUBSTITUTE(SUBSTITUTE(SUBSTITUTE(TRIM(C551&amp;""),CHAR(160),"")," ",""),"년","")),SUBSTITUTE(SUBSTITUTE(SUBSTITUTE(TRIM(C551&amp;""),CHAR(160),"")," ",""),"년",""),""),"")</f>
      </c>
      <c r="P551" t="str">
        <f>SUBSTITUTE(SUBSTITUTE(SUBSTITUTE(SUBSTITUTE(SUBSTITUTE(SUBSTITUTE(SUBSTITUTE(SUBSTITUTE(TRIM(D551&amp;""),CHAR(160),"")," ",""),"초등학교","초"),"중학교","중"),"고등학교","고"),"~","~~"),"*","~*"),"?","~?")</f>
      </c>
      <c r="Q551" t="str">
        <f>SUBSTITUTE(SUBSTITUTE(SUBSTITUTE(SUBSTITUTE(SUBSTITUTE(SUBSTITUTE(SUBSTITUTE(SUBSTITUTE(TRIM(E551&amp;""),CHAR(160),"")," ",""),"초등학교","초"),"중학교","중"),"고등학교","고"),"~","~~"),"*","~*"),"?","~?")</f>
      </c>
      <c r="R551" t="str">
        <f>IF(COUNTA(B551:J551)=0,"",IF(AND(O551&lt;&gt;"",P551&lt;&gt;"",Q551&lt;&gt;""),"","입력누락"))</f>
      </c>
    </row>
    <row r="552" customFormat="false" ht="15" hidden="false" customHeight="false" outlineLevel="0" collapsed="false">
      <c r="A552" t="n" s="19">
        <f aca="0">IF(COUNTA(B552:J552)=0,"",ROW()-1)</f>
      </c>
      <c r="B552" s="24"/>
      <c r="C552" s="25"/>
      <c r="D552" s="8"/>
      <c r="E552" s="8"/>
      <c r="F552" s="26"/>
      <c r="G552" s="24"/>
      <c r="H552" s="25"/>
      <c r="I552" s="25"/>
      <c r="J552" s="26"/>
      <c r="K552" t="str" s="15">
        <f aca="0">IF(COUNTA(B552:J552)=0,"",IF(R552&lt;&gt;"","확인필요(입력누락)",IF(COUNTIFS(보유목록!$I$2:$I$3001,"*"&amp;P552&amp;"*",보유목록!$I$2:$I$3001,"*"&amp;Q552&amp;"*",보유목록!$H$2:$H$3001,O552)&gt;0,"있음",IF(COUNTIFS(보유목록!$I$2:$I$3001,"*"&amp;P552&amp;"*",보유목록!$I$2:$I$3001,"*"&amp;Q552&amp;"*")&gt;0,"확인필요(연도다름)",IF(COUNTIFS(보유목록!$I$2:$I$3001,"*"&amp;P552&amp;"*",보유목록!$H$2:$H$3001,O552)&gt;0,"확인필요(같은학교·같은연도)","없음")))))</f>
      </c>
      <c r="L552" t="str" s="16">
        <f aca="0">IF(OR(COUNTA(B552:J552)=0,R552&lt;&gt;""),"",COUNTIFS(보유목록!$I$2:$I$3001,"*"&amp;P552&amp;"*",보유목록!$I$2:$I$3001,"*"&amp;Q552&amp;"*"))</f>
      </c>
      <c r="M552" t="str" s="23">
        <f aca="0">IF(OR(COUNTA(B552:J552)=0,R552&lt;&gt;""),"",IFERROR(LOOKUP(2,1/(ISNUMBER(SEARCH(P552,보유목록!$I$2:$I$3001))*ISNUMBER(SEARCH(Q552,보유목록!$I$2:$I$3001))*(보유목록!$H$2:$H$3001=O552)),보유목록!$B$2:$B$3001),IFERROR(LOOKUP(2,1/(ISNUMBER(SEARCH(P552,보유목록!$I$2:$I$3001))*ISNUMBER(SEARCH(Q552,보유목록!$I$2:$I$3001))),보유목록!$B$2:$B$3001),"")))</f>
      </c>
      <c r="N552" s="25"/>
      <c r="O552" t="str">
        <f>IFERROR(IF(AND(LEN(SUBSTITUTE(SUBSTITUTE(SUBSTITUTE(TRIM(C552&amp;""),CHAR(160),"")," ",""),"년",""))=4,VALUE(SUBSTITUTE(SUBSTITUTE(SUBSTITUTE(TRIM(C552&amp;""),CHAR(160),"")," ",""),"년",""))&gt;=1900,VALUE(SUBSTITUTE(SUBSTITUTE(SUBSTITUTE(TRIM(C552&amp;""),CHAR(160),"")," ",""),"년",""))&lt;=2099,TEXT(VALUE(SUBSTITUTE(SUBSTITUTE(SUBSTITUTE(TRIM(C552&amp;""),CHAR(160),"")," ",""),"년","")),"0000")=SUBSTITUTE(SUBSTITUTE(SUBSTITUTE(TRIM(C552&amp;""),CHAR(160),"")," ",""),"년","")),SUBSTITUTE(SUBSTITUTE(SUBSTITUTE(TRIM(C552&amp;""),CHAR(160),"")," ",""),"년",""),""),"")</f>
      </c>
      <c r="P552" t="str">
        <f>SUBSTITUTE(SUBSTITUTE(SUBSTITUTE(SUBSTITUTE(SUBSTITUTE(SUBSTITUTE(SUBSTITUTE(SUBSTITUTE(TRIM(D552&amp;""),CHAR(160),"")," ",""),"초등학교","초"),"중학교","중"),"고등학교","고"),"~","~~"),"*","~*"),"?","~?")</f>
      </c>
      <c r="Q552" t="str">
        <f>SUBSTITUTE(SUBSTITUTE(SUBSTITUTE(SUBSTITUTE(SUBSTITUTE(SUBSTITUTE(SUBSTITUTE(SUBSTITUTE(TRIM(E552&amp;""),CHAR(160),"")," ",""),"초등학교","초"),"중학교","중"),"고등학교","고"),"~","~~"),"*","~*"),"?","~?")</f>
      </c>
      <c r="R552" t="str">
        <f>IF(COUNTA(B552:J552)=0,"",IF(AND(O552&lt;&gt;"",P552&lt;&gt;"",Q552&lt;&gt;""),"","입력누락"))</f>
      </c>
    </row>
    <row r="553" customFormat="false" ht="15" hidden="false" customHeight="false" outlineLevel="0" collapsed="false">
      <c r="A553" t="n" s="19">
        <f aca="0">IF(COUNTA(B553:J553)=0,"",ROW()-1)</f>
      </c>
      <c r="B553" s="24"/>
      <c r="C553" s="25"/>
      <c r="D553" s="8"/>
      <c r="E553" s="8"/>
      <c r="F553" s="26"/>
      <c r="G553" s="24"/>
      <c r="H553" s="25"/>
      <c r="I553" s="25"/>
      <c r="J553" s="26"/>
      <c r="K553" t="str" s="15">
        <f aca="0">IF(COUNTA(B553:J553)=0,"",IF(R553&lt;&gt;"","확인필요(입력누락)",IF(COUNTIFS(보유목록!$I$2:$I$3001,"*"&amp;P553&amp;"*",보유목록!$I$2:$I$3001,"*"&amp;Q553&amp;"*",보유목록!$H$2:$H$3001,O553)&gt;0,"있음",IF(COUNTIFS(보유목록!$I$2:$I$3001,"*"&amp;P553&amp;"*",보유목록!$I$2:$I$3001,"*"&amp;Q553&amp;"*")&gt;0,"확인필요(연도다름)",IF(COUNTIFS(보유목록!$I$2:$I$3001,"*"&amp;P553&amp;"*",보유목록!$H$2:$H$3001,O553)&gt;0,"확인필요(같은학교·같은연도)","없음")))))</f>
      </c>
      <c r="L553" t="str" s="16">
        <f aca="0">IF(OR(COUNTA(B553:J553)=0,R553&lt;&gt;""),"",COUNTIFS(보유목록!$I$2:$I$3001,"*"&amp;P553&amp;"*",보유목록!$I$2:$I$3001,"*"&amp;Q553&amp;"*"))</f>
      </c>
      <c r="M553" t="str" s="23">
        <f aca="0">IF(OR(COUNTA(B553:J553)=0,R553&lt;&gt;""),"",IFERROR(LOOKUP(2,1/(ISNUMBER(SEARCH(P553,보유목록!$I$2:$I$3001))*ISNUMBER(SEARCH(Q553,보유목록!$I$2:$I$3001))*(보유목록!$H$2:$H$3001=O553)),보유목록!$B$2:$B$3001),IFERROR(LOOKUP(2,1/(ISNUMBER(SEARCH(P553,보유목록!$I$2:$I$3001))*ISNUMBER(SEARCH(Q553,보유목록!$I$2:$I$3001))),보유목록!$B$2:$B$3001),"")))</f>
      </c>
      <c r="N553" s="25"/>
      <c r="O553" t="str">
        <f>IFERROR(IF(AND(LEN(SUBSTITUTE(SUBSTITUTE(SUBSTITUTE(TRIM(C553&amp;""),CHAR(160),"")," ",""),"년",""))=4,VALUE(SUBSTITUTE(SUBSTITUTE(SUBSTITUTE(TRIM(C553&amp;""),CHAR(160),"")," ",""),"년",""))&gt;=1900,VALUE(SUBSTITUTE(SUBSTITUTE(SUBSTITUTE(TRIM(C553&amp;""),CHAR(160),"")," ",""),"년",""))&lt;=2099,TEXT(VALUE(SUBSTITUTE(SUBSTITUTE(SUBSTITUTE(TRIM(C553&amp;""),CHAR(160),"")," ",""),"년","")),"0000")=SUBSTITUTE(SUBSTITUTE(SUBSTITUTE(TRIM(C553&amp;""),CHAR(160),"")," ",""),"년","")),SUBSTITUTE(SUBSTITUTE(SUBSTITUTE(TRIM(C553&amp;""),CHAR(160),"")," ",""),"년",""),""),"")</f>
      </c>
      <c r="P553" t="str">
        <f>SUBSTITUTE(SUBSTITUTE(SUBSTITUTE(SUBSTITUTE(SUBSTITUTE(SUBSTITUTE(SUBSTITUTE(SUBSTITUTE(TRIM(D553&amp;""),CHAR(160),"")," ",""),"초등학교","초"),"중학교","중"),"고등학교","고"),"~","~~"),"*","~*"),"?","~?")</f>
      </c>
      <c r="Q553" t="str">
        <f>SUBSTITUTE(SUBSTITUTE(SUBSTITUTE(SUBSTITUTE(SUBSTITUTE(SUBSTITUTE(SUBSTITUTE(SUBSTITUTE(TRIM(E553&amp;""),CHAR(160),"")," ",""),"초등학교","초"),"중학교","중"),"고등학교","고"),"~","~~"),"*","~*"),"?","~?")</f>
      </c>
      <c r="R553" t="str">
        <f>IF(COUNTA(B553:J553)=0,"",IF(AND(O553&lt;&gt;"",P553&lt;&gt;"",Q553&lt;&gt;""),"","입력누락"))</f>
      </c>
    </row>
    <row r="554" customFormat="false" ht="15" hidden="false" customHeight="false" outlineLevel="0" collapsed="false">
      <c r="A554" t="n" s="19">
        <f aca="0">IF(COUNTA(B554:J554)=0,"",ROW()-1)</f>
      </c>
      <c r="B554" s="24"/>
      <c r="C554" s="25"/>
      <c r="D554" s="8"/>
      <c r="E554" s="8"/>
      <c r="F554" s="26"/>
      <c r="G554" s="24"/>
      <c r="H554" s="25"/>
      <c r="I554" s="25"/>
      <c r="J554" s="26"/>
      <c r="K554" t="str" s="15">
        <f aca="0">IF(COUNTA(B554:J554)=0,"",IF(R554&lt;&gt;"","확인필요(입력누락)",IF(COUNTIFS(보유목록!$I$2:$I$3001,"*"&amp;P554&amp;"*",보유목록!$I$2:$I$3001,"*"&amp;Q554&amp;"*",보유목록!$H$2:$H$3001,O554)&gt;0,"있음",IF(COUNTIFS(보유목록!$I$2:$I$3001,"*"&amp;P554&amp;"*",보유목록!$I$2:$I$3001,"*"&amp;Q554&amp;"*")&gt;0,"확인필요(연도다름)",IF(COUNTIFS(보유목록!$I$2:$I$3001,"*"&amp;P554&amp;"*",보유목록!$H$2:$H$3001,O554)&gt;0,"확인필요(같은학교·같은연도)","없음")))))</f>
      </c>
      <c r="L554" t="str" s="16">
        <f aca="0">IF(OR(COUNTA(B554:J554)=0,R554&lt;&gt;""),"",COUNTIFS(보유목록!$I$2:$I$3001,"*"&amp;P554&amp;"*",보유목록!$I$2:$I$3001,"*"&amp;Q554&amp;"*"))</f>
      </c>
      <c r="M554" t="str" s="23">
        <f aca="0">IF(OR(COUNTA(B554:J554)=0,R554&lt;&gt;""),"",IFERROR(LOOKUP(2,1/(ISNUMBER(SEARCH(P554,보유목록!$I$2:$I$3001))*ISNUMBER(SEARCH(Q554,보유목록!$I$2:$I$3001))*(보유목록!$H$2:$H$3001=O554)),보유목록!$B$2:$B$3001),IFERROR(LOOKUP(2,1/(ISNUMBER(SEARCH(P554,보유목록!$I$2:$I$3001))*ISNUMBER(SEARCH(Q554,보유목록!$I$2:$I$3001))),보유목록!$B$2:$B$3001),"")))</f>
      </c>
      <c r="N554" s="25"/>
      <c r="O554" t="str">
        <f>IFERROR(IF(AND(LEN(SUBSTITUTE(SUBSTITUTE(SUBSTITUTE(TRIM(C554&amp;""),CHAR(160),"")," ",""),"년",""))=4,VALUE(SUBSTITUTE(SUBSTITUTE(SUBSTITUTE(TRIM(C554&amp;""),CHAR(160),"")," ",""),"년",""))&gt;=1900,VALUE(SUBSTITUTE(SUBSTITUTE(SUBSTITUTE(TRIM(C554&amp;""),CHAR(160),"")," ",""),"년",""))&lt;=2099,TEXT(VALUE(SUBSTITUTE(SUBSTITUTE(SUBSTITUTE(TRIM(C554&amp;""),CHAR(160),"")," ",""),"년","")),"0000")=SUBSTITUTE(SUBSTITUTE(SUBSTITUTE(TRIM(C554&amp;""),CHAR(160),"")," ",""),"년","")),SUBSTITUTE(SUBSTITUTE(SUBSTITUTE(TRIM(C554&amp;""),CHAR(160),"")," ",""),"년",""),""),"")</f>
      </c>
      <c r="P554" t="str">
        <f>SUBSTITUTE(SUBSTITUTE(SUBSTITUTE(SUBSTITUTE(SUBSTITUTE(SUBSTITUTE(SUBSTITUTE(SUBSTITUTE(TRIM(D554&amp;""),CHAR(160),"")," ",""),"초등학교","초"),"중학교","중"),"고등학교","고"),"~","~~"),"*","~*"),"?","~?")</f>
      </c>
      <c r="Q554" t="str">
        <f>SUBSTITUTE(SUBSTITUTE(SUBSTITUTE(SUBSTITUTE(SUBSTITUTE(SUBSTITUTE(SUBSTITUTE(SUBSTITUTE(TRIM(E554&amp;""),CHAR(160),"")," ",""),"초등학교","초"),"중학교","중"),"고등학교","고"),"~","~~"),"*","~*"),"?","~?")</f>
      </c>
      <c r="R554" t="str">
        <f>IF(COUNTA(B554:J554)=0,"",IF(AND(O554&lt;&gt;"",P554&lt;&gt;"",Q554&lt;&gt;""),"","입력누락"))</f>
      </c>
    </row>
    <row r="555" customFormat="false" ht="15" hidden="false" customHeight="false" outlineLevel="0" collapsed="false">
      <c r="A555" t="n" s="19">
        <f aca="0">IF(COUNTA(B555:J555)=0,"",ROW()-1)</f>
      </c>
      <c r="B555" s="24"/>
      <c r="C555" s="25"/>
      <c r="D555" s="8"/>
      <c r="E555" s="8"/>
      <c r="F555" s="26"/>
      <c r="G555" s="24"/>
      <c r="H555" s="25"/>
      <c r="I555" s="25"/>
      <c r="J555" s="26"/>
      <c r="K555" t="str" s="15">
        <f aca="0">IF(COUNTA(B555:J555)=0,"",IF(R555&lt;&gt;"","확인필요(입력누락)",IF(COUNTIFS(보유목록!$I$2:$I$3001,"*"&amp;P555&amp;"*",보유목록!$I$2:$I$3001,"*"&amp;Q555&amp;"*",보유목록!$H$2:$H$3001,O555)&gt;0,"있음",IF(COUNTIFS(보유목록!$I$2:$I$3001,"*"&amp;P555&amp;"*",보유목록!$I$2:$I$3001,"*"&amp;Q555&amp;"*")&gt;0,"확인필요(연도다름)",IF(COUNTIFS(보유목록!$I$2:$I$3001,"*"&amp;P555&amp;"*",보유목록!$H$2:$H$3001,O555)&gt;0,"확인필요(같은학교·같은연도)","없음")))))</f>
      </c>
      <c r="L555" t="str" s="16">
        <f aca="0">IF(OR(COUNTA(B555:J555)=0,R555&lt;&gt;""),"",COUNTIFS(보유목록!$I$2:$I$3001,"*"&amp;P555&amp;"*",보유목록!$I$2:$I$3001,"*"&amp;Q555&amp;"*"))</f>
      </c>
      <c r="M555" t="str" s="23">
        <f aca="0">IF(OR(COUNTA(B555:J555)=0,R555&lt;&gt;""),"",IFERROR(LOOKUP(2,1/(ISNUMBER(SEARCH(P555,보유목록!$I$2:$I$3001))*ISNUMBER(SEARCH(Q555,보유목록!$I$2:$I$3001))*(보유목록!$H$2:$H$3001=O555)),보유목록!$B$2:$B$3001),IFERROR(LOOKUP(2,1/(ISNUMBER(SEARCH(P555,보유목록!$I$2:$I$3001))*ISNUMBER(SEARCH(Q555,보유목록!$I$2:$I$3001))),보유목록!$B$2:$B$3001),"")))</f>
      </c>
      <c r="N555" s="25"/>
      <c r="O555" t="str">
        <f>IFERROR(IF(AND(LEN(SUBSTITUTE(SUBSTITUTE(SUBSTITUTE(TRIM(C555&amp;""),CHAR(160),"")," ",""),"년",""))=4,VALUE(SUBSTITUTE(SUBSTITUTE(SUBSTITUTE(TRIM(C555&amp;""),CHAR(160),"")," ",""),"년",""))&gt;=1900,VALUE(SUBSTITUTE(SUBSTITUTE(SUBSTITUTE(TRIM(C555&amp;""),CHAR(160),"")," ",""),"년",""))&lt;=2099,TEXT(VALUE(SUBSTITUTE(SUBSTITUTE(SUBSTITUTE(TRIM(C555&amp;""),CHAR(160),"")," ",""),"년","")),"0000")=SUBSTITUTE(SUBSTITUTE(SUBSTITUTE(TRIM(C555&amp;""),CHAR(160),"")," ",""),"년","")),SUBSTITUTE(SUBSTITUTE(SUBSTITUTE(TRIM(C555&amp;""),CHAR(160),"")," ",""),"년",""),""),"")</f>
      </c>
      <c r="P555" t="str">
        <f>SUBSTITUTE(SUBSTITUTE(SUBSTITUTE(SUBSTITUTE(SUBSTITUTE(SUBSTITUTE(SUBSTITUTE(SUBSTITUTE(TRIM(D555&amp;""),CHAR(160),"")," ",""),"초등학교","초"),"중학교","중"),"고등학교","고"),"~","~~"),"*","~*"),"?","~?")</f>
      </c>
      <c r="Q555" t="str">
        <f>SUBSTITUTE(SUBSTITUTE(SUBSTITUTE(SUBSTITUTE(SUBSTITUTE(SUBSTITUTE(SUBSTITUTE(SUBSTITUTE(TRIM(E555&amp;""),CHAR(160),"")," ",""),"초등학교","초"),"중학교","중"),"고등학교","고"),"~","~~"),"*","~*"),"?","~?")</f>
      </c>
      <c r="R555" t="str">
        <f>IF(COUNTA(B555:J555)=0,"",IF(AND(O555&lt;&gt;"",P555&lt;&gt;"",Q555&lt;&gt;""),"","입력누락"))</f>
      </c>
    </row>
    <row r="556" customFormat="false" ht="15" hidden="false" customHeight="false" outlineLevel="0" collapsed="false">
      <c r="A556" t="n" s="19">
        <f aca="0">IF(COUNTA(B556:J556)=0,"",ROW()-1)</f>
      </c>
      <c r="B556" s="24"/>
      <c r="C556" s="25"/>
      <c r="D556" s="8"/>
      <c r="E556" s="8"/>
      <c r="F556" s="26"/>
      <c r="G556" s="24"/>
      <c r="H556" s="25"/>
      <c r="I556" s="25"/>
      <c r="J556" s="26"/>
      <c r="K556" t="str" s="15">
        <f aca="0">IF(COUNTA(B556:J556)=0,"",IF(R556&lt;&gt;"","확인필요(입력누락)",IF(COUNTIFS(보유목록!$I$2:$I$3001,"*"&amp;P556&amp;"*",보유목록!$I$2:$I$3001,"*"&amp;Q556&amp;"*",보유목록!$H$2:$H$3001,O556)&gt;0,"있음",IF(COUNTIFS(보유목록!$I$2:$I$3001,"*"&amp;P556&amp;"*",보유목록!$I$2:$I$3001,"*"&amp;Q556&amp;"*")&gt;0,"확인필요(연도다름)",IF(COUNTIFS(보유목록!$I$2:$I$3001,"*"&amp;P556&amp;"*",보유목록!$H$2:$H$3001,O556)&gt;0,"확인필요(같은학교·같은연도)","없음")))))</f>
      </c>
      <c r="L556" t="str" s="16">
        <f aca="0">IF(OR(COUNTA(B556:J556)=0,R556&lt;&gt;""),"",COUNTIFS(보유목록!$I$2:$I$3001,"*"&amp;P556&amp;"*",보유목록!$I$2:$I$3001,"*"&amp;Q556&amp;"*"))</f>
      </c>
      <c r="M556" t="str" s="23">
        <f aca="0">IF(OR(COUNTA(B556:J556)=0,R556&lt;&gt;""),"",IFERROR(LOOKUP(2,1/(ISNUMBER(SEARCH(P556,보유목록!$I$2:$I$3001))*ISNUMBER(SEARCH(Q556,보유목록!$I$2:$I$3001))*(보유목록!$H$2:$H$3001=O556)),보유목록!$B$2:$B$3001),IFERROR(LOOKUP(2,1/(ISNUMBER(SEARCH(P556,보유목록!$I$2:$I$3001))*ISNUMBER(SEARCH(Q556,보유목록!$I$2:$I$3001))),보유목록!$B$2:$B$3001),"")))</f>
      </c>
      <c r="N556" s="25"/>
      <c r="O556" t="str">
        <f>IFERROR(IF(AND(LEN(SUBSTITUTE(SUBSTITUTE(SUBSTITUTE(TRIM(C556&amp;""),CHAR(160),"")," ",""),"년",""))=4,VALUE(SUBSTITUTE(SUBSTITUTE(SUBSTITUTE(TRIM(C556&amp;""),CHAR(160),"")," ",""),"년",""))&gt;=1900,VALUE(SUBSTITUTE(SUBSTITUTE(SUBSTITUTE(TRIM(C556&amp;""),CHAR(160),"")," ",""),"년",""))&lt;=2099,TEXT(VALUE(SUBSTITUTE(SUBSTITUTE(SUBSTITUTE(TRIM(C556&amp;""),CHAR(160),"")," ",""),"년","")),"0000")=SUBSTITUTE(SUBSTITUTE(SUBSTITUTE(TRIM(C556&amp;""),CHAR(160),"")," ",""),"년","")),SUBSTITUTE(SUBSTITUTE(SUBSTITUTE(TRIM(C556&amp;""),CHAR(160),"")," ",""),"년",""),""),"")</f>
      </c>
      <c r="P556" t="str">
        <f>SUBSTITUTE(SUBSTITUTE(SUBSTITUTE(SUBSTITUTE(SUBSTITUTE(SUBSTITUTE(SUBSTITUTE(SUBSTITUTE(TRIM(D556&amp;""),CHAR(160),"")," ",""),"초등학교","초"),"중학교","중"),"고등학교","고"),"~","~~"),"*","~*"),"?","~?")</f>
      </c>
      <c r="Q556" t="str">
        <f>SUBSTITUTE(SUBSTITUTE(SUBSTITUTE(SUBSTITUTE(SUBSTITUTE(SUBSTITUTE(SUBSTITUTE(SUBSTITUTE(TRIM(E556&amp;""),CHAR(160),"")," ",""),"초등학교","초"),"중학교","중"),"고등학교","고"),"~","~~"),"*","~*"),"?","~?")</f>
      </c>
      <c r="R556" t="str">
        <f>IF(COUNTA(B556:J556)=0,"",IF(AND(O556&lt;&gt;"",P556&lt;&gt;"",Q556&lt;&gt;""),"","입력누락"))</f>
      </c>
    </row>
    <row r="557" customFormat="false" ht="15" hidden="false" customHeight="false" outlineLevel="0" collapsed="false">
      <c r="A557" t="n" s="19">
        <f aca="0">IF(COUNTA(B557:J557)=0,"",ROW()-1)</f>
      </c>
      <c r="B557" s="24"/>
      <c r="C557" s="25"/>
      <c r="D557" s="8"/>
      <c r="E557" s="8"/>
      <c r="F557" s="26"/>
      <c r="G557" s="24"/>
      <c r="H557" s="25"/>
      <c r="I557" s="25"/>
      <c r="J557" s="26"/>
      <c r="K557" t="str" s="15">
        <f aca="0">IF(COUNTA(B557:J557)=0,"",IF(R557&lt;&gt;"","확인필요(입력누락)",IF(COUNTIFS(보유목록!$I$2:$I$3001,"*"&amp;P557&amp;"*",보유목록!$I$2:$I$3001,"*"&amp;Q557&amp;"*",보유목록!$H$2:$H$3001,O557)&gt;0,"있음",IF(COUNTIFS(보유목록!$I$2:$I$3001,"*"&amp;P557&amp;"*",보유목록!$I$2:$I$3001,"*"&amp;Q557&amp;"*")&gt;0,"확인필요(연도다름)",IF(COUNTIFS(보유목록!$I$2:$I$3001,"*"&amp;P557&amp;"*",보유목록!$H$2:$H$3001,O557)&gt;0,"확인필요(같은학교·같은연도)","없음")))))</f>
      </c>
      <c r="L557" t="str" s="16">
        <f aca="0">IF(OR(COUNTA(B557:J557)=0,R557&lt;&gt;""),"",COUNTIFS(보유목록!$I$2:$I$3001,"*"&amp;P557&amp;"*",보유목록!$I$2:$I$3001,"*"&amp;Q557&amp;"*"))</f>
      </c>
      <c r="M557" t="str" s="23">
        <f aca="0">IF(OR(COUNTA(B557:J557)=0,R557&lt;&gt;""),"",IFERROR(LOOKUP(2,1/(ISNUMBER(SEARCH(P557,보유목록!$I$2:$I$3001))*ISNUMBER(SEARCH(Q557,보유목록!$I$2:$I$3001))*(보유목록!$H$2:$H$3001=O557)),보유목록!$B$2:$B$3001),IFERROR(LOOKUP(2,1/(ISNUMBER(SEARCH(P557,보유목록!$I$2:$I$3001))*ISNUMBER(SEARCH(Q557,보유목록!$I$2:$I$3001))),보유목록!$B$2:$B$3001),"")))</f>
      </c>
      <c r="N557" s="25"/>
      <c r="O557" t="str">
        <f>IFERROR(IF(AND(LEN(SUBSTITUTE(SUBSTITUTE(SUBSTITUTE(TRIM(C557&amp;""),CHAR(160),"")," ",""),"년",""))=4,VALUE(SUBSTITUTE(SUBSTITUTE(SUBSTITUTE(TRIM(C557&amp;""),CHAR(160),"")," ",""),"년",""))&gt;=1900,VALUE(SUBSTITUTE(SUBSTITUTE(SUBSTITUTE(TRIM(C557&amp;""),CHAR(160),"")," ",""),"년",""))&lt;=2099,TEXT(VALUE(SUBSTITUTE(SUBSTITUTE(SUBSTITUTE(TRIM(C557&amp;""),CHAR(160),"")," ",""),"년","")),"0000")=SUBSTITUTE(SUBSTITUTE(SUBSTITUTE(TRIM(C557&amp;""),CHAR(160),"")," ",""),"년","")),SUBSTITUTE(SUBSTITUTE(SUBSTITUTE(TRIM(C557&amp;""),CHAR(160),"")," ",""),"년",""),""),"")</f>
      </c>
      <c r="P557" t="str">
        <f>SUBSTITUTE(SUBSTITUTE(SUBSTITUTE(SUBSTITUTE(SUBSTITUTE(SUBSTITUTE(SUBSTITUTE(SUBSTITUTE(TRIM(D557&amp;""),CHAR(160),"")," ",""),"초등학교","초"),"중학교","중"),"고등학교","고"),"~","~~"),"*","~*"),"?","~?")</f>
      </c>
      <c r="Q557" t="str">
        <f>SUBSTITUTE(SUBSTITUTE(SUBSTITUTE(SUBSTITUTE(SUBSTITUTE(SUBSTITUTE(SUBSTITUTE(SUBSTITUTE(TRIM(E557&amp;""),CHAR(160),"")," ",""),"초등학교","초"),"중학교","중"),"고등학교","고"),"~","~~"),"*","~*"),"?","~?")</f>
      </c>
      <c r="R557" t="str">
        <f>IF(COUNTA(B557:J557)=0,"",IF(AND(O557&lt;&gt;"",P557&lt;&gt;"",Q557&lt;&gt;""),"","입력누락"))</f>
      </c>
    </row>
    <row r="558" customFormat="false" ht="15" hidden="false" customHeight="false" outlineLevel="0" collapsed="false">
      <c r="A558" t="n" s="19">
        <f aca="0">IF(COUNTA(B558:J558)=0,"",ROW()-1)</f>
      </c>
      <c r="B558" s="24"/>
      <c r="C558" s="25"/>
      <c r="D558" s="8"/>
      <c r="E558" s="8"/>
      <c r="F558" s="26"/>
      <c r="G558" s="24"/>
      <c r="H558" s="25"/>
      <c r="I558" s="25"/>
      <c r="J558" s="26"/>
      <c r="K558" t="str" s="15">
        <f aca="0">IF(COUNTA(B558:J558)=0,"",IF(R558&lt;&gt;"","확인필요(입력누락)",IF(COUNTIFS(보유목록!$I$2:$I$3001,"*"&amp;P558&amp;"*",보유목록!$I$2:$I$3001,"*"&amp;Q558&amp;"*",보유목록!$H$2:$H$3001,O558)&gt;0,"있음",IF(COUNTIFS(보유목록!$I$2:$I$3001,"*"&amp;P558&amp;"*",보유목록!$I$2:$I$3001,"*"&amp;Q558&amp;"*")&gt;0,"확인필요(연도다름)",IF(COUNTIFS(보유목록!$I$2:$I$3001,"*"&amp;P558&amp;"*",보유목록!$H$2:$H$3001,O558)&gt;0,"확인필요(같은학교·같은연도)","없음")))))</f>
      </c>
      <c r="L558" t="str" s="16">
        <f aca="0">IF(OR(COUNTA(B558:J558)=0,R558&lt;&gt;""),"",COUNTIFS(보유목록!$I$2:$I$3001,"*"&amp;P558&amp;"*",보유목록!$I$2:$I$3001,"*"&amp;Q558&amp;"*"))</f>
      </c>
      <c r="M558" t="str" s="23">
        <f aca="0">IF(OR(COUNTA(B558:J558)=0,R558&lt;&gt;""),"",IFERROR(LOOKUP(2,1/(ISNUMBER(SEARCH(P558,보유목록!$I$2:$I$3001))*ISNUMBER(SEARCH(Q558,보유목록!$I$2:$I$3001))*(보유목록!$H$2:$H$3001=O558)),보유목록!$B$2:$B$3001),IFERROR(LOOKUP(2,1/(ISNUMBER(SEARCH(P558,보유목록!$I$2:$I$3001))*ISNUMBER(SEARCH(Q558,보유목록!$I$2:$I$3001))),보유목록!$B$2:$B$3001),"")))</f>
      </c>
      <c r="N558" s="25"/>
      <c r="O558" t="str">
        <f>IFERROR(IF(AND(LEN(SUBSTITUTE(SUBSTITUTE(SUBSTITUTE(TRIM(C558&amp;""),CHAR(160),"")," ",""),"년",""))=4,VALUE(SUBSTITUTE(SUBSTITUTE(SUBSTITUTE(TRIM(C558&amp;""),CHAR(160),"")," ",""),"년",""))&gt;=1900,VALUE(SUBSTITUTE(SUBSTITUTE(SUBSTITUTE(TRIM(C558&amp;""),CHAR(160),"")," ",""),"년",""))&lt;=2099,TEXT(VALUE(SUBSTITUTE(SUBSTITUTE(SUBSTITUTE(TRIM(C558&amp;""),CHAR(160),"")," ",""),"년","")),"0000")=SUBSTITUTE(SUBSTITUTE(SUBSTITUTE(TRIM(C558&amp;""),CHAR(160),"")," ",""),"년","")),SUBSTITUTE(SUBSTITUTE(SUBSTITUTE(TRIM(C558&amp;""),CHAR(160),"")," ",""),"년",""),""),"")</f>
      </c>
      <c r="P558" t="str">
        <f>SUBSTITUTE(SUBSTITUTE(SUBSTITUTE(SUBSTITUTE(SUBSTITUTE(SUBSTITUTE(SUBSTITUTE(SUBSTITUTE(TRIM(D558&amp;""),CHAR(160),"")," ",""),"초등학교","초"),"중학교","중"),"고등학교","고"),"~","~~"),"*","~*"),"?","~?")</f>
      </c>
      <c r="Q558" t="str">
        <f>SUBSTITUTE(SUBSTITUTE(SUBSTITUTE(SUBSTITUTE(SUBSTITUTE(SUBSTITUTE(SUBSTITUTE(SUBSTITUTE(TRIM(E558&amp;""),CHAR(160),"")," ",""),"초등학교","초"),"중학교","중"),"고등학교","고"),"~","~~"),"*","~*"),"?","~?")</f>
      </c>
      <c r="R558" t="str">
        <f>IF(COUNTA(B558:J558)=0,"",IF(AND(O558&lt;&gt;"",P558&lt;&gt;"",Q558&lt;&gt;""),"","입력누락"))</f>
      </c>
    </row>
    <row r="559" customFormat="false" ht="15" hidden="false" customHeight="false" outlineLevel="0" collapsed="false">
      <c r="A559" t="n" s="19">
        <f aca="0">IF(COUNTA(B559:J559)=0,"",ROW()-1)</f>
      </c>
      <c r="B559" s="24"/>
      <c r="C559" s="25"/>
      <c r="D559" s="8"/>
      <c r="E559" s="8"/>
      <c r="F559" s="26"/>
      <c r="G559" s="24"/>
      <c r="H559" s="25"/>
      <c r="I559" s="25"/>
      <c r="J559" s="26"/>
      <c r="K559" t="str" s="15">
        <f aca="0">IF(COUNTA(B559:J559)=0,"",IF(R559&lt;&gt;"","확인필요(입력누락)",IF(COUNTIFS(보유목록!$I$2:$I$3001,"*"&amp;P559&amp;"*",보유목록!$I$2:$I$3001,"*"&amp;Q559&amp;"*",보유목록!$H$2:$H$3001,O559)&gt;0,"있음",IF(COUNTIFS(보유목록!$I$2:$I$3001,"*"&amp;P559&amp;"*",보유목록!$I$2:$I$3001,"*"&amp;Q559&amp;"*")&gt;0,"확인필요(연도다름)",IF(COUNTIFS(보유목록!$I$2:$I$3001,"*"&amp;P559&amp;"*",보유목록!$H$2:$H$3001,O559)&gt;0,"확인필요(같은학교·같은연도)","없음")))))</f>
      </c>
      <c r="L559" t="str" s="16">
        <f aca="0">IF(OR(COUNTA(B559:J559)=0,R559&lt;&gt;""),"",COUNTIFS(보유목록!$I$2:$I$3001,"*"&amp;P559&amp;"*",보유목록!$I$2:$I$3001,"*"&amp;Q559&amp;"*"))</f>
      </c>
      <c r="M559" t="str" s="23">
        <f aca="0">IF(OR(COUNTA(B559:J559)=0,R559&lt;&gt;""),"",IFERROR(LOOKUP(2,1/(ISNUMBER(SEARCH(P559,보유목록!$I$2:$I$3001))*ISNUMBER(SEARCH(Q559,보유목록!$I$2:$I$3001))*(보유목록!$H$2:$H$3001=O559)),보유목록!$B$2:$B$3001),IFERROR(LOOKUP(2,1/(ISNUMBER(SEARCH(P559,보유목록!$I$2:$I$3001))*ISNUMBER(SEARCH(Q559,보유목록!$I$2:$I$3001))),보유목록!$B$2:$B$3001),"")))</f>
      </c>
      <c r="N559" s="25"/>
      <c r="O559" t="str">
        <f>IFERROR(IF(AND(LEN(SUBSTITUTE(SUBSTITUTE(SUBSTITUTE(TRIM(C559&amp;""),CHAR(160),"")," ",""),"년",""))=4,VALUE(SUBSTITUTE(SUBSTITUTE(SUBSTITUTE(TRIM(C559&amp;""),CHAR(160),"")," ",""),"년",""))&gt;=1900,VALUE(SUBSTITUTE(SUBSTITUTE(SUBSTITUTE(TRIM(C559&amp;""),CHAR(160),"")," ",""),"년",""))&lt;=2099,TEXT(VALUE(SUBSTITUTE(SUBSTITUTE(SUBSTITUTE(TRIM(C559&amp;""),CHAR(160),"")," ",""),"년","")),"0000")=SUBSTITUTE(SUBSTITUTE(SUBSTITUTE(TRIM(C559&amp;""),CHAR(160),"")," ",""),"년","")),SUBSTITUTE(SUBSTITUTE(SUBSTITUTE(TRIM(C559&amp;""),CHAR(160),"")," ",""),"년",""),""),"")</f>
      </c>
      <c r="P559" t="str">
        <f>SUBSTITUTE(SUBSTITUTE(SUBSTITUTE(SUBSTITUTE(SUBSTITUTE(SUBSTITUTE(SUBSTITUTE(SUBSTITUTE(TRIM(D559&amp;""),CHAR(160),"")," ",""),"초등학교","초"),"중학교","중"),"고등학교","고"),"~","~~"),"*","~*"),"?","~?")</f>
      </c>
      <c r="Q559" t="str">
        <f>SUBSTITUTE(SUBSTITUTE(SUBSTITUTE(SUBSTITUTE(SUBSTITUTE(SUBSTITUTE(SUBSTITUTE(SUBSTITUTE(TRIM(E559&amp;""),CHAR(160),"")," ",""),"초등학교","초"),"중학교","중"),"고등학교","고"),"~","~~"),"*","~*"),"?","~?")</f>
      </c>
      <c r="R559" t="str">
        <f>IF(COUNTA(B559:J559)=0,"",IF(AND(O559&lt;&gt;"",P559&lt;&gt;"",Q559&lt;&gt;""),"","입력누락"))</f>
      </c>
    </row>
    <row r="560" customFormat="false" ht="15" hidden="false" customHeight="false" outlineLevel="0" collapsed="false">
      <c r="A560" t="n" s="19">
        <f aca="0">IF(COUNTA(B560:J560)=0,"",ROW()-1)</f>
      </c>
      <c r="B560" s="24"/>
      <c r="C560" s="25"/>
      <c r="D560" s="8"/>
      <c r="E560" s="8"/>
      <c r="F560" s="26"/>
      <c r="G560" s="24"/>
      <c r="H560" s="25"/>
      <c r="I560" s="25"/>
      <c r="J560" s="26"/>
      <c r="K560" t="str" s="15">
        <f aca="0">IF(COUNTA(B560:J560)=0,"",IF(R560&lt;&gt;"","확인필요(입력누락)",IF(COUNTIFS(보유목록!$I$2:$I$3001,"*"&amp;P560&amp;"*",보유목록!$I$2:$I$3001,"*"&amp;Q560&amp;"*",보유목록!$H$2:$H$3001,O560)&gt;0,"있음",IF(COUNTIFS(보유목록!$I$2:$I$3001,"*"&amp;P560&amp;"*",보유목록!$I$2:$I$3001,"*"&amp;Q560&amp;"*")&gt;0,"확인필요(연도다름)",IF(COUNTIFS(보유목록!$I$2:$I$3001,"*"&amp;P560&amp;"*",보유목록!$H$2:$H$3001,O560)&gt;0,"확인필요(같은학교·같은연도)","없음")))))</f>
      </c>
      <c r="L560" t="str" s="16">
        <f aca="0">IF(OR(COUNTA(B560:J560)=0,R560&lt;&gt;""),"",COUNTIFS(보유목록!$I$2:$I$3001,"*"&amp;P560&amp;"*",보유목록!$I$2:$I$3001,"*"&amp;Q560&amp;"*"))</f>
      </c>
      <c r="M560" t="str" s="23">
        <f aca="0">IF(OR(COUNTA(B560:J560)=0,R560&lt;&gt;""),"",IFERROR(LOOKUP(2,1/(ISNUMBER(SEARCH(P560,보유목록!$I$2:$I$3001))*ISNUMBER(SEARCH(Q560,보유목록!$I$2:$I$3001))*(보유목록!$H$2:$H$3001=O560)),보유목록!$B$2:$B$3001),IFERROR(LOOKUP(2,1/(ISNUMBER(SEARCH(P560,보유목록!$I$2:$I$3001))*ISNUMBER(SEARCH(Q560,보유목록!$I$2:$I$3001))),보유목록!$B$2:$B$3001),"")))</f>
      </c>
      <c r="N560" s="25"/>
      <c r="O560" t="str">
        <f>IFERROR(IF(AND(LEN(SUBSTITUTE(SUBSTITUTE(SUBSTITUTE(TRIM(C560&amp;""),CHAR(160),"")," ",""),"년",""))=4,VALUE(SUBSTITUTE(SUBSTITUTE(SUBSTITUTE(TRIM(C560&amp;""),CHAR(160),"")," ",""),"년",""))&gt;=1900,VALUE(SUBSTITUTE(SUBSTITUTE(SUBSTITUTE(TRIM(C560&amp;""),CHAR(160),"")," ",""),"년",""))&lt;=2099,TEXT(VALUE(SUBSTITUTE(SUBSTITUTE(SUBSTITUTE(TRIM(C560&amp;""),CHAR(160),"")," ",""),"년","")),"0000")=SUBSTITUTE(SUBSTITUTE(SUBSTITUTE(TRIM(C560&amp;""),CHAR(160),"")," ",""),"년","")),SUBSTITUTE(SUBSTITUTE(SUBSTITUTE(TRIM(C560&amp;""),CHAR(160),"")," ",""),"년",""),""),"")</f>
      </c>
      <c r="P560" t="str">
        <f>SUBSTITUTE(SUBSTITUTE(SUBSTITUTE(SUBSTITUTE(SUBSTITUTE(SUBSTITUTE(SUBSTITUTE(SUBSTITUTE(TRIM(D560&amp;""),CHAR(160),"")," ",""),"초등학교","초"),"중학교","중"),"고등학교","고"),"~","~~"),"*","~*"),"?","~?")</f>
      </c>
      <c r="Q560" t="str">
        <f>SUBSTITUTE(SUBSTITUTE(SUBSTITUTE(SUBSTITUTE(SUBSTITUTE(SUBSTITUTE(SUBSTITUTE(SUBSTITUTE(TRIM(E560&amp;""),CHAR(160),"")," ",""),"초등학교","초"),"중학교","중"),"고등학교","고"),"~","~~"),"*","~*"),"?","~?")</f>
      </c>
      <c r="R560" t="str">
        <f>IF(COUNTA(B560:J560)=0,"",IF(AND(O560&lt;&gt;"",P560&lt;&gt;"",Q560&lt;&gt;""),"","입력누락"))</f>
      </c>
    </row>
    <row r="561" customFormat="false" ht="15" hidden="false" customHeight="false" outlineLevel="0" collapsed="false">
      <c r="A561" t="n" s="19">
        <f aca="0">IF(COUNTA(B561:J561)=0,"",ROW()-1)</f>
      </c>
      <c r="B561" s="24"/>
      <c r="C561" s="25"/>
      <c r="D561" s="8"/>
      <c r="E561" s="8"/>
      <c r="F561" s="26"/>
      <c r="G561" s="24"/>
      <c r="H561" s="25"/>
      <c r="I561" s="25"/>
      <c r="J561" s="26"/>
      <c r="K561" t="str" s="15">
        <f aca="0">IF(COUNTA(B561:J561)=0,"",IF(R561&lt;&gt;"","확인필요(입력누락)",IF(COUNTIFS(보유목록!$I$2:$I$3001,"*"&amp;P561&amp;"*",보유목록!$I$2:$I$3001,"*"&amp;Q561&amp;"*",보유목록!$H$2:$H$3001,O561)&gt;0,"있음",IF(COUNTIFS(보유목록!$I$2:$I$3001,"*"&amp;P561&amp;"*",보유목록!$I$2:$I$3001,"*"&amp;Q561&amp;"*")&gt;0,"확인필요(연도다름)",IF(COUNTIFS(보유목록!$I$2:$I$3001,"*"&amp;P561&amp;"*",보유목록!$H$2:$H$3001,O561)&gt;0,"확인필요(같은학교·같은연도)","없음")))))</f>
      </c>
      <c r="L561" t="str" s="16">
        <f aca="0">IF(OR(COUNTA(B561:J561)=0,R561&lt;&gt;""),"",COUNTIFS(보유목록!$I$2:$I$3001,"*"&amp;P561&amp;"*",보유목록!$I$2:$I$3001,"*"&amp;Q561&amp;"*"))</f>
      </c>
      <c r="M561" t="str" s="23">
        <f aca="0">IF(OR(COUNTA(B561:J561)=0,R561&lt;&gt;""),"",IFERROR(LOOKUP(2,1/(ISNUMBER(SEARCH(P561,보유목록!$I$2:$I$3001))*ISNUMBER(SEARCH(Q561,보유목록!$I$2:$I$3001))*(보유목록!$H$2:$H$3001=O561)),보유목록!$B$2:$B$3001),IFERROR(LOOKUP(2,1/(ISNUMBER(SEARCH(P561,보유목록!$I$2:$I$3001))*ISNUMBER(SEARCH(Q561,보유목록!$I$2:$I$3001))),보유목록!$B$2:$B$3001),"")))</f>
      </c>
      <c r="N561" s="25"/>
      <c r="O561" t="str">
        <f>IFERROR(IF(AND(LEN(SUBSTITUTE(SUBSTITUTE(SUBSTITUTE(TRIM(C561&amp;""),CHAR(160),"")," ",""),"년",""))=4,VALUE(SUBSTITUTE(SUBSTITUTE(SUBSTITUTE(TRIM(C561&amp;""),CHAR(160),"")," ",""),"년",""))&gt;=1900,VALUE(SUBSTITUTE(SUBSTITUTE(SUBSTITUTE(TRIM(C561&amp;""),CHAR(160),"")," ",""),"년",""))&lt;=2099,TEXT(VALUE(SUBSTITUTE(SUBSTITUTE(SUBSTITUTE(TRIM(C561&amp;""),CHAR(160),"")," ",""),"년","")),"0000")=SUBSTITUTE(SUBSTITUTE(SUBSTITUTE(TRIM(C561&amp;""),CHAR(160),"")," ",""),"년","")),SUBSTITUTE(SUBSTITUTE(SUBSTITUTE(TRIM(C561&amp;""),CHAR(160),"")," ",""),"년",""),""),"")</f>
      </c>
      <c r="P561" t="str">
        <f>SUBSTITUTE(SUBSTITUTE(SUBSTITUTE(SUBSTITUTE(SUBSTITUTE(SUBSTITUTE(SUBSTITUTE(SUBSTITUTE(TRIM(D561&amp;""),CHAR(160),"")," ",""),"초등학교","초"),"중학교","중"),"고등학교","고"),"~","~~"),"*","~*"),"?","~?")</f>
      </c>
      <c r="Q561" t="str">
        <f>SUBSTITUTE(SUBSTITUTE(SUBSTITUTE(SUBSTITUTE(SUBSTITUTE(SUBSTITUTE(SUBSTITUTE(SUBSTITUTE(TRIM(E561&amp;""),CHAR(160),"")," ",""),"초등학교","초"),"중학교","중"),"고등학교","고"),"~","~~"),"*","~*"),"?","~?")</f>
      </c>
      <c r="R561" t="str">
        <f>IF(COUNTA(B561:J561)=0,"",IF(AND(O561&lt;&gt;"",P561&lt;&gt;"",Q561&lt;&gt;""),"","입력누락"))</f>
      </c>
    </row>
    <row r="562" customFormat="false" ht="15" hidden="false" customHeight="false" outlineLevel="0" collapsed="false">
      <c r="A562" t="n" s="19">
        <f aca="0">IF(COUNTA(B562:J562)=0,"",ROW()-1)</f>
      </c>
      <c r="B562" s="24"/>
      <c r="C562" s="25"/>
      <c r="D562" s="8"/>
      <c r="E562" s="8"/>
      <c r="F562" s="26"/>
      <c r="G562" s="24"/>
      <c r="H562" s="25"/>
      <c r="I562" s="25"/>
      <c r="J562" s="26"/>
      <c r="K562" t="str" s="15">
        <f aca="0">IF(COUNTA(B562:J562)=0,"",IF(R562&lt;&gt;"","확인필요(입력누락)",IF(COUNTIFS(보유목록!$I$2:$I$3001,"*"&amp;P562&amp;"*",보유목록!$I$2:$I$3001,"*"&amp;Q562&amp;"*",보유목록!$H$2:$H$3001,O562)&gt;0,"있음",IF(COUNTIFS(보유목록!$I$2:$I$3001,"*"&amp;P562&amp;"*",보유목록!$I$2:$I$3001,"*"&amp;Q562&amp;"*")&gt;0,"확인필요(연도다름)",IF(COUNTIFS(보유목록!$I$2:$I$3001,"*"&amp;P562&amp;"*",보유목록!$H$2:$H$3001,O562)&gt;0,"확인필요(같은학교·같은연도)","없음")))))</f>
      </c>
      <c r="L562" t="str" s="16">
        <f aca="0">IF(OR(COUNTA(B562:J562)=0,R562&lt;&gt;""),"",COUNTIFS(보유목록!$I$2:$I$3001,"*"&amp;P562&amp;"*",보유목록!$I$2:$I$3001,"*"&amp;Q562&amp;"*"))</f>
      </c>
      <c r="M562" t="str" s="23">
        <f aca="0">IF(OR(COUNTA(B562:J562)=0,R562&lt;&gt;""),"",IFERROR(LOOKUP(2,1/(ISNUMBER(SEARCH(P562,보유목록!$I$2:$I$3001))*ISNUMBER(SEARCH(Q562,보유목록!$I$2:$I$3001))*(보유목록!$H$2:$H$3001=O562)),보유목록!$B$2:$B$3001),IFERROR(LOOKUP(2,1/(ISNUMBER(SEARCH(P562,보유목록!$I$2:$I$3001))*ISNUMBER(SEARCH(Q562,보유목록!$I$2:$I$3001))),보유목록!$B$2:$B$3001),"")))</f>
      </c>
      <c r="N562" s="25"/>
      <c r="O562" t="str">
        <f>IFERROR(IF(AND(LEN(SUBSTITUTE(SUBSTITUTE(SUBSTITUTE(TRIM(C562&amp;""),CHAR(160),"")," ",""),"년",""))=4,VALUE(SUBSTITUTE(SUBSTITUTE(SUBSTITUTE(TRIM(C562&amp;""),CHAR(160),"")," ",""),"년",""))&gt;=1900,VALUE(SUBSTITUTE(SUBSTITUTE(SUBSTITUTE(TRIM(C562&amp;""),CHAR(160),"")," ",""),"년",""))&lt;=2099,TEXT(VALUE(SUBSTITUTE(SUBSTITUTE(SUBSTITUTE(TRIM(C562&amp;""),CHAR(160),"")," ",""),"년","")),"0000")=SUBSTITUTE(SUBSTITUTE(SUBSTITUTE(TRIM(C562&amp;""),CHAR(160),"")," ",""),"년","")),SUBSTITUTE(SUBSTITUTE(SUBSTITUTE(TRIM(C562&amp;""),CHAR(160),"")," ",""),"년",""),""),"")</f>
      </c>
      <c r="P562" t="str">
        <f>SUBSTITUTE(SUBSTITUTE(SUBSTITUTE(SUBSTITUTE(SUBSTITUTE(SUBSTITUTE(SUBSTITUTE(SUBSTITUTE(TRIM(D562&amp;""),CHAR(160),"")," ",""),"초등학교","초"),"중학교","중"),"고등학교","고"),"~","~~"),"*","~*"),"?","~?")</f>
      </c>
      <c r="Q562" t="str">
        <f>SUBSTITUTE(SUBSTITUTE(SUBSTITUTE(SUBSTITUTE(SUBSTITUTE(SUBSTITUTE(SUBSTITUTE(SUBSTITUTE(TRIM(E562&amp;""),CHAR(160),"")," ",""),"초등학교","초"),"중학교","중"),"고등학교","고"),"~","~~"),"*","~*"),"?","~?")</f>
      </c>
      <c r="R562" t="str">
        <f>IF(COUNTA(B562:J562)=0,"",IF(AND(O562&lt;&gt;"",P562&lt;&gt;"",Q562&lt;&gt;""),"","입력누락"))</f>
      </c>
    </row>
    <row r="563" customFormat="false" ht="15" hidden="false" customHeight="false" outlineLevel="0" collapsed="false">
      <c r="A563" t="n" s="19">
        <f aca="0">IF(COUNTA(B563:J563)=0,"",ROW()-1)</f>
      </c>
      <c r="B563" s="24"/>
      <c r="C563" s="25"/>
      <c r="D563" s="8"/>
      <c r="E563" s="8"/>
      <c r="F563" s="26"/>
      <c r="G563" s="24"/>
      <c r="H563" s="25"/>
      <c r="I563" s="25"/>
      <c r="J563" s="26"/>
      <c r="K563" t="str" s="15">
        <f aca="0">IF(COUNTA(B563:J563)=0,"",IF(R563&lt;&gt;"","확인필요(입력누락)",IF(COUNTIFS(보유목록!$I$2:$I$3001,"*"&amp;P563&amp;"*",보유목록!$I$2:$I$3001,"*"&amp;Q563&amp;"*",보유목록!$H$2:$H$3001,O563)&gt;0,"있음",IF(COUNTIFS(보유목록!$I$2:$I$3001,"*"&amp;P563&amp;"*",보유목록!$I$2:$I$3001,"*"&amp;Q563&amp;"*")&gt;0,"확인필요(연도다름)",IF(COUNTIFS(보유목록!$I$2:$I$3001,"*"&amp;P563&amp;"*",보유목록!$H$2:$H$3001,O563)&gt;0,"확인필요(같은학교·같은연도)","없음")))))</f>
      </c>
      <c r="L563" t="str" s="16">
        <f aca="0">IF(OR(COUNTA(B563:J563)=0,R563&lt;&gt;""),"",COUNTIFS(보유목록!$I$2:$I$3001,"*"&amp;P563&amp;"*",보유목록!$I$2:$I$3001,"*"&amp;Q563&amp;"*"))</f>
      </c>
      <c r="M563" t="str" s="23">
        <f aca="0">IF(OR(COUNTA(B563:J563)=0,R563&lt;&gt;""),"",IFERROR(LOOKUP(2,1/(ISNUMBER(SEARCH(P563,보유목록!$I$2:$I$3001))*ISNUMBER(SEARCH(Q563,보유목록!$I$2:$I$3001))*(보유목록!$H$2:$H$3001=O563)),보유목록!$B$2:$B$3001),IFERROR(LOOKUP(2,1/(ISNUMBER(SEARCH(P563,보유목록!$I$2:$I$3001))*ISNUMBER(SEARCH(Q563,보유목록!$I$2:$I$3001))),보유목록!$B$2:$B$3001),"")))</f>
      </c>
      <c r="N563" s="25"/>
      <c r="O563" t="str">
        <f>IFERROR(IF(AND(LEN(SUBSTITUTE(SUBSTITUTE(SUBSTITUTE(TRIM(C563&amp;""),CHAR(160),"")," ",""),"년",""))=4,VALUE(SUBSTITUTE(SUBSTITUTE(SUBSTITUTE(TRIM(C563&amp;""),CHAR(160),"")," ",""),"년",""))&gt;=1900,VALUE(SUBSTITUTE(SUBSTITUTE(SUBSTITUTE(TRIM(C563&amp;""),CHAR(160),"")," ",""),"년",""))&lt;=2099,TEXT(VALUE(SUBSTITUTE(SUBSTITUTE(SUBSTITUTE(TRIM(C563&amp;""),CHAR(160),"")," ",""),"년","")),"0000")=SUBSTITUTE(SUBSTITUTE(SUBSTITUTE(TRIM(C563&amp;""),CHAR(160),"")," ",""),"년","")),SUBSTITUTE(SUBSTITUTE(SUBSTITUTE(TRIM(C563&amp;""),CHAR(160),"")," ",""),"년",""),""),"")</f>
      </c>
      <c r="P563" t="str">
        <f>SUBSTITUTE(SUBSTITUTE(SUBSTITUTE(SUBSTITUTE(SUBSTITUTE(SUBSTITUTE(SUBSTITUTE(SUBSTITUTE(TRIM(D563&amp;""),CHAR(160),"")," ",""),"초등학교","초"),"중학교","중"),"고등학교","고"),"~","~~"),"*","~*"),"?","~?")</f>
      </c>
      <c r="Q563" t="str">
        <f>SUBSTITUTE(SUBSTITUTE(SUBSTITUTE(SUBSTITUTE(SUBSTITUTE(SUBSTITUTE(SUBSTITUTE(SUBSTITUTE(TRIM(E563&amp;""),CHAR(160),"")," ",""),"초등학교","초"),"중학교","중"),"고등학교","고"),"~","~~"),"*","~*"),"?","~?")</f>
      </c>
      <c r="R563" t="str">
        <f>IF(COUNTA(B563:J563)=0,"",IF(AND(O563&lt;&gt;"",P563&lt;&gt;"",Q563&lt;&gt;""),"","입력누락"))</f>
      </c>
    </row>
    <row r="564" customFormat="false" ht="15" hidden="false" customHeight="false" outlineLevel="0" collapsed="false">
      <c r="A564" t="n" s="19">
        <f aca="0">IF(COUNTA(B564:J564)=0,"",ROW()-1)</f>
      </c>
      <c r="B564" s="24"/>
      <c r="C564" s="25"/>
      <c r="D564" s="8"/>
      <c r="E564" s="8"/>
      <c r="F564" s="26"/>
      <c r="G564" s="24"/>
      <c r="H564" s="25"/>
      <c r="I564" s="25"/>
      <c r="J564" s="26"/>
      <c r="K564" t="str" s="15">
        <f aca="0">IF(COUNTA(B564:J564)=0,"",IF(R564&lt;&gt;"","확인필요(입력누락)",IF(COUNTIFS(보유목록!$I$2:$I$3001,"*"&amp;P564&amp;"*",보유목록!$I$2:$I$3001,"*"&amp;Q564&amp;"*",보유목록!$H$2:$H$3001,O564)&gt;0,"있음",IF(COUNTIFS(보유목록!$I$2:$I$3001,"*"&amp;P564&amp;"*",보유목록!$I$2:$I$3001,"*"&amp;Q564&amp;"*")&gt;0,"확인필요(연도다름)",IF(COUNTIFS(보유목록!$I$2:$I$3001,"*"&amp;P564&amp;"*",보유목록!$H$2:$H$3001,O564)&gt;0,"확인필요(같은학교·같은연도)","없음")))))</f>
      </c>
      <c r="L564" t="str" s="16">
        <f aca="0">IF(OR(COUNTA(B564:J564)=0,R564&lt;&gt;""),"",COUNTIFS(보유목록!$I$2:$I$3001,"*"&amp;P564&amp;"*",보유목록!$I$2:$I$3001,"*"&amp;Q564&amp;"*"))</f>
      </c>
      <c r="M564" t="str" s="23">
        <f aca="0">IF(OR(COUNTA(B564:J564)=0,R564&lt;&gt;""),"",IFERROR(LOOKUP(2,1/(ISNUMBER(SEARCH(P564,보유목록!$I$2:$I$3001))*ISNUMBER(SEARCH(Q564,보유목록!$I$2:$I$3001))*(보유목록!$H$2:$H$3001=O564)),보유목록!$B$2:$B$3001),IFERROR(LOOKUP(2,1/(ISNUMBER(SEARCH(P564,보유목록!$I$2:$I$3001))*ISNUMBER(SEARCH(Q564,보유목록!$I$2:$I$3001))),보유목록!$B$2:$B$3001),"")))</f>
      </c>
      <c r="N564" s="25"/>
      <c r="O564" t="str">
        <f>IFERROR(IF(AND(LEN(SUBSTITUTE(SUBSTITUTE(SUBSTITUTE(TRIM(C564&amp;""),CHAR(160),"")," ",""),"년",""))=4,VALUE(SUBSTITUTE(SUBSTITUTE(SUBSTITUTE(TRIM(C564&amp;""),CHAR(160),"")," ",""),"년",""))&gt;=1900,VALUE(SUBSTITUTE(SUBSTITUTE(SUBSTITUTE(TRIM(C564&amp;""),CHAR(160),"")," ",""),"년",""))&lt;=2099,TEXT(VALUE(SUBSTITUTE(SUBSTITUTE(SUBSTITUTE(TRIM(C564&amp;""),CHAR(160),"")," ",""),"년","")),"0000")=SUBSTITUTE(SUBSTITUTE(SUBSTITUTE(TRIM(C564&amp;""),CHAR(160),"")," ",""),"년","")),SUBSTITUTE(SUBSTITUTE(SUBSTITUTE(TRIM(C564&amp;""),CHAR(160),"")," ",""),"년",""),""),"")</f>
      </c>
      <c r="P564" t="str">
        <f>SUBSTITUTE(SUBSTITUTE(SUBSTITUTE(SUBSTITUTE(SUBSTITUTE(SUBSTITUTE(SUBSTITUTE(SUBSTITUTE(TRIM(D564&amp;""),CHAR(160),"")," ",""),"초등학교","초"),"중학교","중"),"고등학교","고"),"~","~~"),"*","~*"),"?","~?")</f>
      </c>
      <c r="Q564" t="str">
        <f>SUBSTITUTE(SUBSTITUTE(SUBSTITUTE(SUBSTITUTE(SUBSTITUTE(SUBSTITUTE(SUBSTITUTE(SUBSTITUTE(TRIM(E564&amp;""),CHAR(160),"")," ",""),"초등학교","초"),"중학교","중"),"고등학교","고"),"~","~~"),"*","~*"),"?","~?")</f>
      </c>
      <c r="R564" t="str">
        <f>IF(COUNTA(B564:J564)=0,"",IF(AND(O564&lt;&gt;"",P564&lt;&gt;"",Q564&lt;&gt;""),"","입력누락"))</f>
      </c>
    </row>
    <row r="565" customFormat="false" ht="15" hidden="false" customHeight="false" outlineLevel="0" collapsed="false">
      <c r="A565" t="n" s="19">
        <f aca="0">IF(COUNTA(B565:J565)=0,"",ROW()-1)</f>
      </c>
      <c r="B565" s="24"/>
      <c r="C565" s="25"/>
      <c r="D565" s="8"/>
      <c r="E565" s="8"/>
      <c r="F565" s="26"/>
      <c r="G565" s="24"/>
      <c r="H565" s="25"/>
      <c r="I565" s="25"/>
      <c r="J565" s="26"/>
      <c r="K565" t="str" s="15">
        <f aca="0">IF(COUNTA(B565:J565)=0,"",IF(R565&lt;&gt;"","확인필요(입력누락)",IF(COUNTIFS(보유목록!$I$2:$I$3001,"*"&amp;P565&amp;"*",보유목록!$I$2:$I$3001,"*"&amp;Q565&amp;"*",보유목록!$H$2:$H$3001,O565)&gt;0,"있음",IF(COUNTIFS(보유목록!$I$2:$I$3001,"*"&amp;P565&amp;"*",보유목록!$I$2:$I$3001,"*"&amp;Q565&amp;"*")&gt;0,"확인필요(연도다름)",IF(COUNTIFS(보유목록!$I$2:$I$3001,"*"&amp;P565&amp;"*",보유목록!$H$2:$H$3001,O565)&gt;0,"확인필요(같은학교·같은연도)","없음")))))</f>
      </c>
      <c r="L565" t="str" s="16">
        <f aca="0">IF(OR(COUNTA(B565:J565)=0,R565&lt;&gt;""),"",COUNTIFS(보유목록!$I$2:$I$3001,"*"&amp;P565&amp;"*",보유목록!$I$2:$I$3001,"*"&amp;Q565&amp;"*"))</f>
      </c>
      <c r="M565" t="str" s="23">
        <f aca="0">IF(OR(COUNTA(B565:J565)=0,R565&lt;&gt;""),"",IFERROR(LOOKUP(2,1/(ISNUMBER(SEARCH(P565,보유목록!$I$2:$I$3001))*ISNUMBER(SEARCH(Q565,보유목록!$I$2:$I$3001))*(보유목록!$H$2:$H$3001=O565)),보유목록!$B$2:$B$3001),IFERROR(LOOKUP(2,1/(ISNUMBER(SEARCH(P565,보유목록!$I$2:$I$3001))*ISNUMBER(SEARCH(Q565,보유목록!$I$2:$I$3001))),보유목록!$B$2:$B$3001),"")))</f>
      </c>
      <c r="N565" s="25"/>
      <c r="O565" t="str">
        <f>IFERROR(IF(AND(LEN(SUBSTITUTE(SUBSTITUTE(SUBSTITUTE(TRIM(C565&amp;""),CHAR(160),"")," ",""),"년",""))=4,VALUE(SUBSTITUTE(SUBSTITUTE(SUBSTITUTE(TRIM(C565&amp;""),CHAR(160),"")," ",""),"년",""))&gt;=1900,VALUE(SUBSTITUTE(SUBSTITUTE(SUBSTITUTE(TRIM(C565&amp;""),CHAR(160),"")," ",""),"년",""))&lt;=2099,TEXT(VALUE(SUBSTITUTE(SUBSTITUTE(SUBSTITUTE(TRIM(C565&amp;""),CHAR(160),"")," ",""),"년","")),"0000")=SUBSTITUTE(SUBSTITUTE(SUBSTITUTE(TRIM(C565&amp;""),CHAR(160),"")," ",""),"년","")),SUBSTITUTE(SUBSTITUTE(SUBSTITUTE(TRIM(C565&amp;""),CHAR(160),"")," ",""),"년",""),""),"")</f>
      </c>
      <c r="P565" t="str">
        <f>SUBSTITUTE(SUBSTITUTE(SUBSTITUTE(SUBSTITUTE(SUBSTITUTE(SUBSTITUTE(SUBSTITUTE(SUBSTITUTE(TRIM(D565&amp;""),CHAR(160),"")," ",""),"초등학교","초"),"중학교","중"),"고등학교","고"),"~","~~"),"*","~*"),"?","~?")</f>
      </c>
      <c r="Q565" t="str">
        <f>SUBSTITUTE(SUBSTITUTE(SUBSTITUTE(SUBSTITUTE(SUBSTITUTE(SUBSTITUTE(SUBSTITUTE(SUBSTITUTE(TRIM(E565&amp;""),CHAR(160),"")," ",""),"초등학교","초"),"중학교","중"),"고등학교","고"),"~","~~"),"*","~*"),"?","~?")</f>
      </c>
      <c r="R565" t="str">
        <f>IF(COUNTA(B565:J565)=0,"",IF(AND(O565&lt;&gt;"",P565&lt;&gt;"",Q565&lt;&gt;""),"","입력누락"))</f>
      </c>
    </row>
    <row r="566" customFormat="false" ht="15" hidden="false" customHeight="false" outlineLevel="0" collapsed="false">
      <c r="A566" t="n" s="19">
        <f aca="0">IF(COUNTA(B566:J566)=0,"",ROW()-1)</f>
      </c>
      <c r="B566" s="24"/>
      <c r="C566" s="25"/>
      <c r="D566" s="8"/>
      <c r="E566" s="8"/>
      <c r="F566" s="26"/>
      <c r="G566" s="24"/>
      <c r="H566" s="25"/>
      <c r="I566" s="25"/>
      <c r="J566" s="26"/>
      <c r="K566" t="str" s="15">
        <f aca="0">IF(COUNTA(B566:J566)=0,"",IF(R566&lt;&gt;"","확인필요(입력누락)",IF(COUNTIFS(보유목록!$I$2:$I$3001,"*"&amp;P566&amp;"*",보유목록!$I$2:$I$3001,"*"&amp;Q566&amp;"*",보유목록!$H$2:$H$3001,O566)&gt;0,"있음",IF(COUNTIFS(보유목록!$I$2:$I$3001,"*"&amp;P566&amp;"*",보유목록!$I$2:$I$3001,"*"&amp;Q566&amp;"*")&gt;0,"확인필요(연도다름)",IF(COUNTIFS(보유목록!$I$2:$I$3001,"*"&amp;P566&amp;"*",보유목록!$H$2:$H$3001,O566)&gt;0,"확인필요(같은학교·같은연도)","없음")))))</f>
      </c>
      <c r="L566" t="str" s="16">
        <f aca="0">IF(OR(COUNTA(B566:J566)=0,R566&lt;&gt;""),"",COUNTIFS(보유목록!$I$2:$I$3001,"*"&amp;P566&amp;"*",보유목록!$I$2:$I$3001,"*"&amp;Q566&amp;"*"))</f>
      </c>
      <c r="M566" t="str" s="23">
        <f aca="0">IF(OR(COUNTA(B566:J566)=0,R566&lt;&gt;""),"",IFERROR(LOOKUP(2,1/(ISNUMBER(SEARCH(P566,보유목록!$I$2:$I$3001))*ISNUMBER(SEARCH(Q566,보유목록!$I$2:$I$3001))*(보유목록!$H$2:$H$3001=O566)),보유목록!$B$2:$B$3001),IFERROR(LOOKUP(2,1/(ISNUMBER(SEARCH(P566,보유목록!$I$2:$I$3001))*ISNUMBER(SEARCH(Q566,보유목록!$I$2:$I$3001))),보유목록!$B$2:$B$3001),"")))</f>
      </c>
      <c r="N566" s="25"/>
      <c r="O566" t="str">
        <f>IFERROR(IF(AND(LEN(SUBSTITUTE(SUBSTITUTE(SUBSTITUTE(TRIM(C566&amp;""),CHAR(160),"")," ",""),"년",""))=4,VALUE(SUBSTITUTE(SUBSTITUTE(SUBSTITUTE(TRIM(C566&amp;""),CHAR(160),"")," ",""),"년",""))&gt;=1900,VALUE(SUBSTITUTE(SUBSTITUTE(SUBSTITUTE(TRIM(C566&amp;""),CHAR(160),"")," ",""),"년",""))&lt;=2099,TEXT(VALUE(SUBSTITUTE(SUBSTITUTE(SUBSTITUTE(TRIM(C566&amp;""),CHAR(160),"")," ",""),"년","")),"0000")=SUBSTITUTE(SUBSTITUTE(SUBSTITUTE(TRIM(C566&amp;""),CHAR(160),"")," ",""),"년","")),SUBSTITUTE(SUBSTITUTE(SUBSTITUTE(TRIM(C566&amp;""),CHAR(160),"")," ",""),"년",""),""),"")</f>
      </c>
      <c r="P566" t="str">
        <f>SUBSTITUTE(SUBSTITUTE(SUBSTITUTE(SUBSTITUTE(SUBSTITUTE(SUBSTITUTE(SUBSTITUTE(SUBSTITUTE(TRIM(D566&amp;""),CHAR(160),"")," ",""),"초등학교","초"),"중학교","중"),"고등학교","고"),"~","~~"),"*","~*"),"?","~?")</f>
      </c>
      <c r="Q566" t="str">
        <f>SUBSTITUTE(SUBSTITUTE(SUBSTITUTE(SUBSTITUTE(SUBSTITUTE(SUBSTITUTE(SUBSTITUTE(SUBSTITUTE(TRIM(E566&amp;""),CHAR(160),"")," ",""),"초등학교","초"),"중학교","중"),"고등학교","고"),"~","~~"),"*","~*"),"?","~?")</f>
      </c>
      <c r="R566" t="str">
        <f>IF(COUNTA(B566:J566)=0,"",IF(AND(O566&lt;&gt;"",P566&lt;&gt;"",Q566&lt;&gt;""),"","입력누락"))</f>
      </c>
    </row>
    <row r="567" customFormat="false" ht="15" hidden="false" customHeight="false" outlineLevel="0" collapsed="false">
      <c r="A567" t="n" s="19">
        <f aca="0">IF(COUNTA(B567:J567)=0,"",ROW()-1)</f>
      </c>
      <c r="B567" s="24"/>
      <c r="C567" s="25"/>
      <c r="D567" s="8"/>
      <c r="E567" s="8"/>
      <c r="F567" s="26"/>
      <c r="G567" s="24"/>
      <c r="H567" s="25"/>
      <c r="I567" s="25"/>
      <c r="J567" s="26"/>
      <c r="K567" t="str" s="15">
        <f aca="0">IF(COUNTA(B567:J567)=0,"",IF(R567&lt;&gt;"","확인필요(입력누락)",IF(COUNTIFS(보유목록!$I$2:$I$3001,"*"&amp;P567&amp;"*",보유목록!$I$2:$I$3001,"*"&amp;Q567&amp;"*",보유목록!$H$2:$H$3001,O567)&gt;0,"있음",IF(COUNTIFS(보유목록!$I$2:$I$3001,"*"&amp;P567&amp;"*",보유목록!$I$2:$I$3001,"*"&amp;Q567&amp;"*")&gt;0,"확인필요(연도다름)",IF(COUNTIFS(보유목록!$I$2:$I$3001,"*"&amp;P567&amp;"*",보유목록!$H$2:$H$3001,O567)&gt;0,"확인필요(같은학교·같은연도)","없음")))))</f>
      </c>
      <c r="L567" t="str" s="16">
        <f aca="0">IF(OR(COUNTA(B567:J567)=0,R567&lt;&gt;""),"",COUNTIFS(보유목록!$I$2:$I$3001,"*"&amp;P567&amp;"*",보유목록!$I$2:$I$3001,"*"&amp;Q567&amp;"*"))</f>
      </c>
      <c r="M567" t="str" s="23">
        <f aca="0">IF(OR(COUNTA(B567:J567)=0,R567&lt;&gt;""),"",IFERROR(LOOKUP(2,1/(ISNUMBER(SEARCH(P567,보유목록!$I$2:$I$3001))*ISNUMBER(SEARCH(Q567,보유목록!$I$2:$I$3001))*(보유목록!$H$2:$H$3001=O567)),보유목록!$B$2:$B$3001),IFERROR(LOOKUP(2,1/(ISNUMBER(SEARCH(P567,보유목록!$I$2:$I$3001))*ISNUMBER(SEARCH(Q567,보유목록!$I$2:$I$3001))),보유목록!$B$2:$B$3001),"")))</f>
      </c>
      <c r="N567" s="25"/>
      <c r="O567" t="str">
        <f>IFERROR(IF(AND(LEN(SUBSTITUTE(SUBSTITUTE(SUBSTITUTE(TRIM(C567&amp;""),CHAR(160),"")," ",""),"년",""))=4,VALUE(SUBSTITUTE(SUBSTITUTE(SUBSTITUTE(TRIM(C567&amp;""),CHAR(160),"")," ",""),"년",""))&gt;=1900,VALUE(SUBSTITUTE(SUBSTITUTE(SUBSTITUTE(TRIM(C567&amp;""),CHAR(160),"")," ",""),"년",""))&lt;=2099,TEXT(VALUE(SUBSTITUTE(SUBSTITUTE(SUBSTITUTE(TRIM(C567&amp;""),CHAR(160),"")," ",""),"년","")),"0000")=SUBSTITUTE(SUBSTITUTE(SUBSTITUTE(TRIM(C567&amp;""),CHAR(160),"")," ",""),"년","")),SUBSTITUTE(SUBSTITUTE(SUBSTITUTE(TRIM(C567&amp;""),CHAR(160),"")," ",""),"년",""),""),"")</f>
      </c>
      <c r="P567" t="str">
        <f>SUBSTITUTE(SUBSTITUTE(SUBSTITUTE(SUBSTITUTE(SUBSTITUTE(SUBSTITUTE(SUBSTITUTE(SUBSTITUTE(TRIM(D567&amp;""),CHAR(160),"")," ",""),"초등학교","초"),"중학교","중"),"고등학교","고"),"~","~~"),"*","~*"),"?","~?")</f>
      </c>
      <c r="Q567" t="str">
        <f>SUBSTITUTE(SUBSTITUTE(SUBSTITUTE(SUBSTITUTE(SUBSTITUTE(SUBSTITUTE(SUBSTITUTE(SUBSTITUTE(TRIM(E567&amp;""),CHAR(160),"")," ",""),"초등학교","초"),"중학교","중"),"고등학교","고"),"~","~~"),"*","~*"),"?","~?")</f>
      </c>
      <c r="R567" t="str">
        <f>IF(COUNTA(B567:J567)=0,"",IF(AND(O567&lt;&gt;"",P567&lt;&gt;"",Q567&lt;&gt;""),"","입력누락"))</f>
      </c>
    </row>
    <row r="568" customFormat="false" ht="15" hidden="false" customHeight="false" outlineLevel="0" collapsed="false">
      <c r="A568" t="n" s="19">
        <f aca="0">IF(COUNTA(B568:J568)=0,"",ROW()-1)</f>
      </c>
      <c r="B568" s="24"/>
      <c r="C568" s="25"/>
      <c r="D568" s="8"/>
      <c r="E568" s="8"/>
      <c r="F568" s="26"/>
      <c r="G568" s="24"/>
      <c r="H568" s="25"/>
      <c r="I568" s="25"/>
      <c r="J568" s="26"/>
      <c r="K568" t="str" s="15">
        <f aca="0">IF(COUNTA(B568:J568)=0,"",IF(R568&lt;&gt;"","확인필요(입력누락)",IF(COUNTIFS(보유목록!$I$2:$I$3001,"*"&amp;P568&amp;"*",보유목록!$I$2:$I$3001,"*"&amp;Q568&amp;"*",보유목록!$H$2:$H$3001,O568)&gt;0,"있음",IF(COUNTIFS(보유목록!$I$2:$I$3001,"*"&amp;P568&amp;"*",보유목록!$I$2:$I$3001,"*"&amp;Q568&amp;"*")&gt;0,"확인필요(연도다름)",IF(COUNTIFS(보유목록!$I$2:$I$3001,"*"&amp;P568&amp;"*",보유목록!$H$2:$H$3001,O568)&gt;0,"확인필요(같은학교·같은연도)","없음")))))</f>
      </c>
      <c r="L568" t="str" s="16">
        <f aca="0">IF(OR(COUNTA(B568:J568)=0,R568&lt;&gt;""),"",COUNTIFS(보유목록!$I$2:$I$3001,"*"&amp;P568&amp;"*",보유목록!$I$2:$I$3001,"*"&amp;Q568&amp;"*"))</f>
      </c>
      <c r="M568" t="str" s="23">
        <f aca="0">IF(OR(COUNTA(B568:J568)=0,R568&lt;&gt;""),"",IFERROR(LOOKUP(2,1/(ISNUMBER(SEARCH(P568,보유목록!$I$2:$I$3001))*ISNUMBER(SEARCH(Q568,보유목록!$I$2:$I$3001))*(보유목록!$H$2:$H$3001=O568)),보유목록!$B$2:$B$3001),IFERROR(LOOKUP(2,1/(ISNUMBER(SEARCH(P568,보유목록!$I$2:$I$3001))*ISNUMBER(SEARCH(Q568,보유목록!$I$2:$I$3001))),보유목록!$B$2:$B$3001),"")))</f>
      </c>
      <c r="N568" s="25"/>
      <c r="O568" t="str">
        <f>IFERROR(IF(AND(LEN(SUBSTITUTE(SUBSTITUTE(SUBSTITUTE(TRIM(C568&amp;""),CHAR(160),"")," ",""),"년",""))=4,VALUE(SUBSTITUTE(SUBSTITUTE(SUBSTITUTE(TRIM(C568&amp;""),CHAR(160),"")," ",""),"년",""))&gt;=1900,VALUE(SUBSTITUTE(SUBSTITUTE(SUBSTITUTE(TRIM(C568&amp;""),CHAR(160),"")," ",""),"년",""))&lt;=2099,TEXT(VALUE(SUBSTITUTE(SUBSTITUTE(SUBSTITUTE(TRIM(C568&amp;""),CHAR(160),"")," ",""),"년","")),"0000")=SUBSTITUTE(SUBSTITUTE(SUBSTITUTE(TRIM(C568&amp;""),CHAR(160),"")," ",""),"년","")),SUBSTITUTE(SUBSTITUTE(SUBSTITUTE(TRIM(C568&amp;""),CHAR(160),"")," ",""),"년",""),""),"")</f>
      </c>
      <c r="P568" t="str">
        <f>SUBSTITUTE(SUBSTITUTE(SUBSTITUTE(SUBSTITUTE(SUBSTITUTE(SUBSTITUTE(SUBSTITUTE(SUBSTITUTE(TRIM(D568&amp;""),CHAR(160),"")," ",""),"초등학교","초"),"중학교","중"),"고등학교","고"),"~","~~"),"*","~*"),"?","~?")</f>
      </c>
      <c r="Q568" t="str">
        <f>SUBSTITUTE(SUBSTITUTE(SUBSTITUTE(SUBSTITUTE(SUBSTITUTE(SUBSTITUTE(SUBSTITUTE(SUBSTITUTE(TRIM(E568&amp;""),CHAR(160),"")," ",""),"초등학교","초"),"중학교","중"),"고등학교","고"),"~","~~"),"*","~*"),"?","~?")</f>
      </c>
      <c r="R568" t="str">
        <f>IF(COUNTA(B568:J568)=0,"",IF(AND(O568&lt;&gt;"",P568&lt;&gt;"",Q568&lt;&gt;""),"","입력누락"))</f>
      </c>
    </row>
    <row r="569" customFormat="false" ht="15" hidden="false" customHeight="false" outlineLevel="0" collapsed="false">
      <c r="A569" t="n" s="19">
        <f aca="0">IF(COUNTA(B569:J569)=0,"",ROW()-1)</f>
      </c>
      <c r="B569" s="24"/>
      <c r="C569" s="25"/>
      <c r="D569" s="8"/>
      <c r="E569" s="8"/>
      <c r="F569" s="26"/>
      <c r="G569" s="24"/>
      <c r="H569" s="25"/>
      <c r="I569" s="25"/>
      <c r="J569" s="26"/>
      <c r="K569" t="str" s="15">
        <f aca="0">IF(COUNTA(B569:J569)=0,"",IF(R569&lt;&gt;"","확인필요(입력누락)",IF(COUNTIFS(보유목록!$I$2:$I$3001,"*"&amp;P569&amp;"*",보유목록!$I$2:$I$3001,"*"&amp;Q569&amp;"*",보유목록!$H$2:$H$3001,O569)&gt;0,"있음",IF(COUNTIFS(보유목록!$I$2:$I$3001,"*"&amp;P569&amp;"*",보유목록!$I$2:$I$3001,"*"&amp;Q569&amp;"*")&gt;0,"확인필요(연도다름)",IF(COUNTIFS(보유목록!$I$2:$I$3001,"*"&amp;P569&amp;"*",보유목록!$H$2:$H$3001,O569)&gt;0,"확인필요(같은학교·같은연도)","없음")))))</f>
      </c>
      <c r="L569" t="str" s="16">
        <f aca="0">IF(OR(COUNTA(B569:J569)=0,R569&lt;&gt;""),"",COUNTIFS(보유목록!$I$2:$I$3001,"*"&amp;P569&amp;"*",보유목록!$I$2:$I$3001,"*"&amp;Q569&amp;"*"))</f>
      </c>
      <c r="M569" t="str" s="23">
        <f aca="0">IF(OR(COUNTA(B569:J569)=0,R569&lt;&gt;""),"",IFERROR(LOOKUP(2,1/(ISNUMBER(SEARCH(P569,보유목록!$I$2:$I$3001))*ISNUMBER(SEARCH(Q569,보유목록!$I$2:$I$3001))*(보유목록!$H$2:$H$3001=O569)),보유목록!$B$2:$B$3001),IFERROR(LOOKUP(2,1/(ISNUMBER(SEARCH(P569,보유목록!$I$2:$I$3001))*ISNUMBER(SEARCH(Q569,보유목록!$I$2:$I$3001))),보유목록!$B$2:$B$3001),"")))</f>
      </c>
      <c r="N569" s="25"/>
      <c r="O569" t="str">
        <f>IFERROR(IF(AND(LEN(SUBSTITUTE(SUBSTITUTE(SUBSTITUTE(TRIM(C569&amp;""),CHAR(160),"")," ",""),"년",""))=4,VALUE(SUBSTITUTE(SUBSTITUTE(SUBSTITUTE(TRIM(C569&amp;""),CHAR(160),"")," ",""),"년",""))&gt;=1900,VALUE(SUBSTITUTE(SUBSTITUTE(SUBSTITUTE(TRIM(C569&amp;""),CHAR(160),"")," ",""),"년",""))&lt;=2099,TEXT(VALUE(SUBSTITUTE(SUBSTITUTE(SUBSTITUTE(TRIM(C569&amp;""),CHAR(160),"")," ",""),"년","")),"0000")=SUBSTITUTE(SUBSTITUTE(SUBSTITUTE(TRIM(C569&amp;""),CHAR(160),"")," ",""),"년","")),SUBSTITUTE(SUBSTITUTE(SUBSTITUTE(TRIM(C569&amp;""),CHAR(160),"")," ",""),"년",""),""),"")</f>
      </c>
      <c r="P569" t="str">
        <f>SUBSTITUTE(SUBSTITUTE(SUBSTITUTE(SUBSTITUTE(SUBSTITUTE(SUBSTITUTE(SUBSTITUTE(SUBSTITUTE(TRIM(D569&amp;""),CHAR(160),"")," ",""),"초등학교","초"),"중학교","중"),"고등학교","고"),"~","~~"),"*","~*"),"?","~?")</f>
      </c>
      <c r="Q569" t="str">
        <f>SUBSTITUTE(SUBSTITUTE(SUBSTITUTE(SUBSTITUTE(SUBSTITUTE(SUBSTITUTE(SUBSTITUTE(SUBSTITUTE(TRIM(E569&amp;""),CHAR(160),"")," ",""),"초등학교","초"),"중학교","중"),"고등학교","고"),"~","~~"),"*","~*"),"?","~?")</f>
      </c>
      <c r="R569" t="str">
        <f>IF(COUNTA(B569:J569)=0,"",IF(AND(O569&lt;&gt;"",P569&lt;&gt;"",Q569&lt;&gt;""),"","입력누락"))</f>
      </c>
    </row>
    <row r="570" customFormat="false" ht="15" hidden="false" customHeight="false" outlineLevel="0" collapsed="false">
      <c r="A570" t="n" s="19">
        <f aca="0">IF(COUNTA(B570:J570)=0,"",ROW()-1)</f>
      </c>
      <c r="B570" s="24"/>
      <c r="C570" s="25"/>
      <c r="D570" s="8"/>
      <c r="E570" s="8"/>
      <c r="F570" s="26"/>
      <c r="G570" s="24"/>
      <c r="H570" s="25"/>
      <c r="I570" s="25"/>
      <c r="J570" s="26"/>
      <c r="K570" t="str" s="15">
        <f aca="0">IF(COUNTA(B570:J570)=0,"",IF(R570&lt;&gt;"","확인필요(입력누락)",IF(COUNTIFS(보유목록!$I$2:$I$3001,"*"&amp;P570&amp;"*",보유목록!$I$2:$I$3001,"*"&amp;Q570&amp;"*",보유목록!$H$2:$H$3001,O570)&gt;0,"있음",IF(COUNTIFS(보유목록!$I$2:$I$3001,"*"&amp;P570&amp;"*",보유목록!$I$2:$I$3001,"*"&amp;Q570&amp;"*")&gt;0,"확인필요(연도다름)",IF(COUNTIFS(보유목록!$I$2:$I$3001,"*"&amp;P570&amp;"*",보유목록!$H$2:$H$3001,O570)&gt;0,"확인필요(같은학교·같은연도)","없음")))))</f>
      </c>
      <c r="L570" t="str" s="16">
        <f aca="0">IF(OR(COUNTA(B570:J570)=0,R570&lt;&gt;""),"",COUNTIFS(보유목록!$I$2:$I$3001,"*"&amp;P570&amp;"*",보유목록!$I$2:$I$3001,"*"&amp;Q570&amp;"*"))</f>
      </c>
      <c r="M570" t="str" s="23">
        <f aca="0">IF(OR(COUNTA(B570:J570)=0,R570&lt;&gt;""),"",IFERROR(LOOKUP(2,1/(ISNUMBER(SEARCH(P570,보유목록!$I$2:$I$3001))*ISNUMBER(SEARCH(Q570,보유목록!$I$2:$I$3001))*(보유목록!$H$2:$H$3001=O570)),보유목록!$B$2:$B$3001),IFERROR(LOOKUP(2,1/(ISNUMBER(SEARCH(P570,보유목록!$I$2:$I$3001))*ISNUMBER(SEARCH(Q570,보유목록!$I$2:$I$3001))),보유목록!$B$2:$B$3001),"")))</f>
      </c>
      <c r="N570" s="25"/>
      <c r="O570" t="str">
        <f>IFERROR(IF(AND(LEN(SUBSTITUTE(SUBSTITUTE(SUBSTITUTE(TRIM(C570&amp;""),CHAR(160),"")," ",""),"년",""))=4,VALUE(SUBSTITUTE(SUBSTITUTE(SUBSTITUTE(TRIM(C570&amp;""),CHAR(160),"")," ",""),"년",""))&gt;=1900,VALUE(SUBSTITUTE(SUBSTITUTE(SUBSTITUTE(TRIM(C570&amp;""),CHAR(160),"")," ",""),"년",""))&lt;=2099,TEXT(VALUE(SUBSTITUTE(SUBSTITUTE(SUBSTITUTE(TRIM(C570&amp;""),CHAR(160),"")," ",""),"년","")),"0000")=SUBSTITUTE(SUBSTITUTE(SUBSTITUTE(TRIM(C570&amp;""),CHAR(160),"")," ",""),"년","")),SUBSTITUTE(SUBSTITUTE(SUBSTITUTE(TRIM(C570&amp;""),CHAR(160),"")," ",""),"년",""),""),"")</f>
      </c>
      <c r="P570" t="str">
        <f>SUBSTITUTE(SUBSTITUTE(SUBSTITUTE(SUBSTITUTE(SUBSTITUTE(SUBSTITUTE(SUBSTITUTE(SUBSTITUTE(TRIM(D570&amp;""),CHAR(160),"")," ",""),"초등학교","초"),"중학교","중"),"고등학교","고"),"~","~~"),"*","~*"),"?","~?")</f>
      </c>
      <c r="Q570" t="str">
        <f>SUBSTITUTE(SUBSTITUTE(SUBSTITUTE(SUBSTITUTE(SUBSTITUTE(SUBSTITUTE(SUBSTITUTE(SUBSTITUTE(TRIM(E570&amp;""),CHAR(160),"")," ",""),"초등학교","초"),"중학교","중"),"고등학교","고"),"~","~~"),"*","~*"),"?","~?")</f>
      </c>
      <c r="R570" t="str">
        <f>IF(COUNTA(B570:J570)=0,"",IF(AND(O570&lt;&gt;"",P570&lt;&gt;"",Q570&lt;&gt;""),"","입력누락"))</f>
      </c>
    </row>
    <row r="571" customFormat="false" ht="15" hidden="false" customHeight="false" outlineLevel="0" collapsed="false">
      <c r="A571" t="n" s="19">
        <f aca="0">IF(COUNTA(B571:J571)=0,"",ROW()-1)</f>
      </c>
      <c r="B571" s="24"/>
      <c r="C571" s="25"/>
      <c r="D571" s="8"/>
      <c r="E571" s="8"/>
      <c r="F571" s="26"/>
      <c r="G571" s="24"/>
      <c r="H571" s="25"/>
      <c r="I571" s="25"/>
      <c r="J571" s="26"/>
      <c r="K571" t="str" s="15">
        <f aca="0">IF(COUNTA(B571:J571)=0,"",IF(R571&lt;&gt;"","확인필요(입력누락)",IF(COUNTIFS(보유목록!$I$2:$I$3001,"*"&amp;P571&amp;"*",보유목록!$I$2:$I$3001,"*"&amp;Q571&amp;"*",보유목록!$H$2:$H$3001,O571)&gt;0,"있음",IF(COUNTIFS(보유목록!$I$2:$I$3001,"*"&amp;P571&amp;"*",보유목록!$I$2:$I$3001,"*"&amp;Q571&amp;"*")&gt;0,"확인필요(연도다름)",IF(COUNTIFS(보유목록!$I$2:$I$3001,"*"&amp;P571&amp;"*",보유목록!$H$2:$H$3001,O571)&gt;0,"확인필요(같은학교·같은연도)","없음")))))</f>
      </c>
      <c r="L571" t="str" s="16">
        <f aca="0">IF(OR(COUNTA(B571:J571)=0,R571&lt;&gt;""),"",COUNTIFS(보유목록!$I$2:$I$3001,"*"&amp;P571&amp;"*",보유목록!$I$2:$I$3001,"*"&amp;Q571&amp;"*"))</f>
      </c>
      <c r="M571" t="str" s="23">
        <f aca="0">IF(OR(COUNTA(B571:J571)=0,R571&lt;&gt;""),"",IFERROR(LOOKUP(2,1/(ISNUMBER(SEARCH(P571,보유목록!$I$2:$I$3001))*ISNUMBER(SEARCH(Q571,보유목록!$I$2:$I$3001))*(보유목록!$H$2:$H$3001=O571)),보유목록!$B$2:$B$3001),IFERROR(LOOKUP(2,1/(ISNUMBER(SEARCH(P571,보유목록!$I$2:$I$3001))*ISNUMBER(SEARCH(Q571,보유목록!$I$2:$I$3001))),보유목록!$B$2:$B$3001),"")))</f>
      </c>
      <c r="N571" s="25"/>
      <c r="O571" t="str">
        <f>IFERROR(IF(AND(LEN(SUBSTITUTE(SUBSTITUTE(SUBSTITUTE(TRIM(C571&amp;""),CHAR(160),"")," ",""),"년",""))=4,VALUE(SUBSTITUTE(SUBSTITUTE(SUBSTITUTE(TRIM(C571&amp;""),CHAR(160),"")," ",""),"년",""))&gt;=1900,VALUE(SUBSTITUTE(SUBSTITUTE(SUBSTITUTE(TRIM(C571&amp;""),CHAR(160),"")," ",""),"년",""))&lt;=2099,TEXT(VALUE(SUBSTITUTE(SUBSTITUTE(SUBSTITUTE(TRIM(C571&amp;""),CHAR(160),"")," ",""),"년","")),"0000")=SUBSTITUTE(SUBSTITUTE(SUBSTITUTE(TRIM(C571&amp;""),CHAR(160),"")," ",""),"년","")),SUBSTITUTE(SUBSTITUTE(SUBSTITUTE(TRIM(C571&amp;""),CHAR(160),"")," ",""),"년",""),""),"")</f>
      </c>
      <c r="P571" t="str">
        <f>SUBSTITUTE(SUBSTITUTE(SUBSTITUTE(SUBSTITUTE(SUBSTITUTE(SUBSTITUTE(SUBSTITUTE(SUBSTITUTE(TRIM(D571&amp;""),CHAR(160),"")," ",""),"초등학교","초"),"중학교","중"),"고등학교","고"),"~","~~"),"*","~*"),"?","~?")</f>
      </c>
      <c r="Q571" t="str">
        <f>SUBSTITUTE(SUBSTITUTE(SUBSTITUTE(SUBSTITUTE(SUBSTITUTE(SUBSTITUTE(SUBSTITUTE(SUBSTITUTE(TRIM(E571&amp;""),CHAR(160),"")," ",""),"초등학교","초"),"중학교","중"),"고등학교","고"),"~","~~"),"*","~*"),"?","~?")</f>
      </c>
      <c r="R571" t="str">
        <f>IF(COUNTA(B571:J571)=0,"",IF(AND(O571&lt;&gt;"",P571&lt;&gt;"",Q571&lt;&gt;""),"","입력누락"))</f>
      </c>
    </row>
    <row r="572" customFormat="false" ht="15" hidden="false" customHeight="false" outlineLevel="0" collapsed="false">
      <c r="A572" t="n" s="19">
        <f aca="0">IF(COUNTA(B572:J572)=0,"",ROW()-1)</f>
      </c>
      <c r="B572" s="24"/>
      <c r="C572" s="25"/>
      <c r="D572" s="8"/>
      <c r="E572" s="8"/>
      <c r="F572" s="26"/>
      <c r="G572" s="24"/>
      <c r="H572" s="25"/>
      <c r="I572" s="25"/>
      <c r="J572" s="26"/>
      <c r="K572" t="str" s="15">
        <f aca="0">IF(COUNTA(B572:J572)=0,"",IF(R572&lt;&gt;"","확인필요(입력누락)",IF(COUNTIFS(보유목록!$I$2:$I$3001,"*"&amp;P572&amp;"*",보유목록!$I$2:$I$3001,"*"&amp;Q572&amp;"*",보유목록!$H$2:$H$3001,O572)&gt;0,"있음",IF(COUNTIFS(보유목록!$I$2:$I$3001,"*"&amp;P572&amp;"*",보유목록!$I$2:$I$3001,"*"&amp;Q572&amp;"*")&gt;0,"확인필요(연도다름)",IF(COUNTIFS(보유목록!$I$2:$I$3001,"*"&amp;P572&amp;"*",보유목록!$H$2:$H$3001,O572)&gt;0,"확인필요(같은학교·같은연도)","없음")))))</f>
      </c>
      <c r="L572" t="str" s="16">
        <f aca="0">IF(OR(COUNTA(B572:J572)=0,R572&lt;&gt;""),"",COUNTIFS(보유목록!$I$2:$I$3001,"*"&amp;P572&amp;"*",보유목록!$I$2:$I$3001,"*"&amp;Q572&amp;"*"))</f>
      </c>
      <c r="M572" t="str" s="23">
        <f aca="0">IF(OR(COUNTA(B572:J572)=0,R572&lt;&gt;""),"",IFERROR(LOOKUP(2,1/(ISNUMBER(SEARCH(P572,보유목록!$I$2:$I$3001))*ISNUMBER(SEARCH(Q572,보유목록!$I$2:$I$3001))*(보유목록!$H$2:$H$3001=O572)),보유목록!$B$2:$B$3001),IFERROR(LOOKUP(2,1/(ISNUMBER(SEARCH(P572,보유목록!$I$2:$I$3001))*ISNUMBER(SEARCH(Q572,보유목록!$I$2:$I$3001))),보유목록!$B$2:$B$3001),"")))</f>
      </c>
      <c r="N572" s="25"/>
      <c r="O572" t="str">
        <f>IFERROR(IF(AND(LEN(SUBSTITUTE(SUBSTITUTE(SUBSTITUTE(TRIM(C572&amp;""),CHAR(160),"")," ",""),"년",""))=4,VALUE(SUBSTITUTE(SUBSTITUTE(SUBSTITUTE(TRIM(C572&amp;""),CHAR(160),"")," ",""),"년",""))&gt;=1900,VALUE(SUBSTITUTE(SUBSTITUTE(SUBSTITUTE(TRIM(C572&amp;""),CHAR(160),"")," ",""),"년",""))&lt;=2099,TEXT(VALUE(SUBSTITUTE(SUBSTITUTE(SUBSTITUTE(TRIM(C572&amp;""),CHAR(160),"")," ",""),"년","")),"0000")=SUBSTITUTE(SUBSTITUTE(SUBSTITUTE(TRIM(C572&amp;""),CHAR(160),"")," ",""),"년","")),SUBSTITUTE(SUBSTITUTE(SUBSTITUTE(TRIM(C572&amp;""),CHAR(160),"")," ",""),"년",""),""),"")</f>
      </c>
      <c r="P572" t="str">
        <f>SUBSTITUTE(SUBSTITUTE(SUBSTITUTE(SUBSTITUTE(SUBSTITUTE(SUBSTITUTE(SUBSTITUTE(SUBSTITUTE(TRIM(D572&amp;""),CHAR(160),"")," ",""),"초등학교","초"),"중학교","중"),"고등학교","고"),"~","~~"),"*","~*"),"?","~?")</f>
      </c>
      <c r="Q572" t="str">
        <f>SUBSTITUTE(SUBSTITUTE(SUBSTITUTE(SUBSTITUTE(SUBSTITUTE(SUBSTITUTE(SUBSTITUTE(SUBSTITUTE(TRIM(E572&amp;""),CHAR(160),"")," ",""),"초등학교","초"),"중학교","중"),"고등학교","고"),"~","~~"),"*","~*"),"?","~?")</f>
      </c>
      <c r="R572" t="str">
        <f>IF(COUNTA(B572:J572)=0,"",IF(AND(O572&lt;&gt;"",P572&lt;&gt;"",Q572&lt;&gt;""),"","입력누락"))</f>
      </c>
    </row>
    <row r="573" customFormat="false" ht="15" hidden="false" customHeight="false" outlineLevel="0" collapsed="false">
      <c r="A573" t="n" s="19">
        <f aca="0">IF(COUNTA(B573:J573)=0,"",ROW()-1)</f>
      </c>
      <c r="B573" s="24"/>
      <c r="C573" s="25"/>
      <c r="D573" s="8"/>
      <c r="E573" s="8"/>
      <c r="F573" s="26"/>
      <c r="G573" s="24"/>
      <c r="H573" s="25"/>
      <c r="I573" s="25"/>
      <c r="J573" s="26"/>
      <c r="K573" t="str" s="15">
        <f aca="0">IF(COUNTA(B573:J573)=0,"",IF(R573&lt;&gt;"","확인필요(입력누락)",IF(COUNTIFS(보유목록!$I$2:$I$3001,"*"&amp;P573&amp;"*",보유목록!$I$2:$I$3001,"*"&amp;Q573&amp;"*",보유목록!$H$2:$H$3001,O573)&gt;0,"있음",IF(COUNTIFS(보유목록!$I$2:$I$3001,"*"&amp;P573&amp;"*",보유목록!$I$2:$I$3001,"*"&amp;Q573&amp;"*")&gt;0,"확인필요(연도다름)",IF(COUNTIFS(보유목록!$I$2:$I$3001,"*"&amp;P573&amp;"*",보유목록!$H$2:$H$3001,O573)&gt;0,"확인필요(같은학교·같은연도)","없음")))))</f>
      </c>
      <c r="L573" t="str" s="16">
        <f aca="0">IF(OR(COUNTA(B573:J573)=0,R573&lt;&gt;""),"",COUNTIFS(보유목록!$I$2:$I$3001,"*"&amp;P573&amp;"*",보유목록!$I$2:$I$3001,"*"&amp;Q573&amp;"*"))</f>
      </c>
      <c r="M573" t="str" s="23">
        <f aca="0">IF(OR(COUNTA(B573:J573)=0,R573&lt;&gt;""),"",IFERROR(LOOKUP(2,1/(ISNUMBER(SEARCH(P573,보유목록!$I$2:$I$3001))*ISNUMBER(SEARCH(Q573,보유목록!$I$2:$I$3001))*(보유목록!$H$2:$H$3001=O573)),보유목록!$B$2:$B$3001),IFERROR(LOOKUP(2,1/(ISNUMBER(SEARCH(P573,보유목록!$I$2:$I$3001))*ISNUMBER(SEARCH(Q573,보유목록!$I$2:$I$3001))),보유목록!$B$2:$B$3001),"")))</f>
      </c>
      <c r="N573" s="25"/>
      <c r="O573" t="str">
        <f>IFERROR(IF(AND(LEN(SUBSTITUTE(SUBSTITUTE(SUBSTITUTE(TRIM(C573&amp;""),CHAR(160),"")," ",""),"년",""))=4,VALUE(SUBSTITUTE(SUBSTITUTE(SUBSTITUTE(TRIM(C573&amp;""),CHAR(160),"")," ",""),"년",""))&gt;=1900,VALUE(SUBSTITUTE(SUBSTITUTE(SUBSTITUTE(TRIM(C573&amp;""),CHAR(160),"")," ",""),"년",""))&lt;=2099,TEXT(VALUE(SUBSTITUTE(SUBSTITUTE(SUBSTITUTE(TRIM(C573&amp;""),CHAR(160),"")," ",""),"년","")),"0000")=SUBSTITUTE(SUBSTITUTE(SUBSTITUTE(TRIM(C573&amp;""),CHAR(160),"")," ",""),"년","")),SUBSTITUTE(SUBSTITUTE(SUBSTITUTE(TRIM(C573&amp;""),CHAR(160),"")," ",""),"년",""),""),"")</f>
      </c>
      <c r="P573" t="str">
        <f>SUBSTITUTE(SUBSTITUTE(SUBSTITUTE(SUBSTITUTE(SUBSTITUTE(SUBSTITUTE(SUBSTITUTE(SUBSTITUTE(TRIM(D573&amp;""),CHAR(160),"")," ",""),"초등학교","초"),"중학교","중"),"고등학교","고"),"~","~~"),"*","~*"),"?","~?")</f>
      </c>
      <c r="Q573" t="str">
        <f>SUBSTITUTE(SUBSTITUTE(SUBSTITUTE(SUBSTITUTE(SUBSTITUTE(SUBSTITUTE(SUBSTITUTE(SUBSTITUTE(TRIM(E573&amp;""),CHAR(160),"")," ",""),"초등학교","초"),"중학교","중"),"고등학교","고"),"~","~~"),"*","~*"),"?","~?")</f>
      </c>
      <c r="R573" t="str">
        <f>IF(COUNTA(B573:J573)=0,"",IF(AND(O573&lt;&gt;"",P573&lt;&gt;"",Q573&lt;&gt;""),"","입력누락"))</f>
      </c>
    </row>
    <row r="574" customFormat="false" ht="15" hidden="false" customHeight="false" outlineLevel="0" collapsed="false">
      <c r="A574" t="n" s="19">
        <f aca="0">IF(COUNTA(B574:J574)=0,"",ROW()-1)</f>
      </c>
      <c r="B574" s="24"/>
      <c r="C574" s="25"/>
      <c r="D574" s="8"/>
      <c r="E574" s="8"/>
      <c r="F574" s="26"/>
      <c r="G574" s="24"/>
      <c r="H574" s="25"/>
      <c r="I574" s="25"/>
      <c r="J574" s="26"/>
      <c r="K574" t="str" s="15">
        <f aca="0">IF(COUNTA(B574:J574)=0,"",IF(R574&lt;&gt;"","확인필요(입력누락)",IF(COUNTIFS(보유목록!$I$2:$I$3001,"*"&amp;P574&amp;"*",보유목록!$I$2:$I$3001,"*"&amp;Q574&amp;"*",보유목록!$H$2:$H$3001,O574)&gt;0,"있음",IF(COUNTIFS(보유목록!$I$2:$I$3001,"*"&amp;P574&amp;"*",보유목록!$I$2:$I$3001,"*"&amp;Q574&amp;"*")&gt;0,"확인필요(연도다름)",IF(COUNTIFS(보유목록!$I$2:$I$3001,"*"&amp;P574&amp;"*",보유목록!$H$2:$H$3001,O574)&gt;0,"확인필요(같은학교·같은연도)","없음")))))</f>
      </c>
      <c r="L574" t="str" s="16">
        <f aca="0">IF(OR(COUNTA(B574:J574)=0,R574&lt;&gt;""),"",COUNTIFS(보유목록!$I$2:$I$3001,"*"&amp;P574&amp;"*",보유목록!$I$2:$I$3001,"*"&amp;Q574&amp;"*"))</f>
      </c>
      <c r="M574" t="str" s="23">
        <f aca="0">IF(OR(COUNTA(B574:J574)=0,R574&lt;&gt;""),"",IFERROR(LOOKUP(2,1/(ISNUMBER(SEARCH(P574,보유목록!$I$2:$I$3001))*ISNUMBER(SEARCH(Q574,보유목록!$I$2:$I$3001))*(보유목록!$H$2:$H$3001=O574)),보유목록!$B$2:$B$3001),IFERROR(LOOKUP(2,1/(ISNUMBER(SEARCH(P574,보유목록!$I$2:$I$3001))*ISNUMBER(SEARCH(Q574,보유목록!$I$2:$I$3001))),보유목록!$B$2:$B$3001),"")))</f>
      </c>
      <c r="N574" s="25"/>
      <c r="O574" t="str">
        <f>IFERROR(IF(AND(LEN(SUBSTITUTE(SUBSTITUTE(SUBSTITUTE(TRIM(C574&amp;""),CHAR(160),"")," ",""),"년",""))=4,VALUE(SUBSTITUTE(SUBSTITUTE(SUBSTITUTE(TRIM(C574&amp;""),CHAR(160),"")," ",""),"년",""))&gt;=1900,VALUE(SUBSTITUTE(SUBSTITUTE(SUBSTITUTE(TRIM(C574&amp;""),CHAR(160),"")," ",""),"년",""))&lt;=2099,TEXT(VALUE(SUBSTITUTE(SUBSTITUTE(SUBSTITUTE(TRIM(C574&amp;""),CHAR(160),"")," ",""),"년","")),"0000")=SUBSTITUTE(SUBSTITUTE(SUBSTITUTE(TRIM(C574&amp;""),CHAR(160),"")," ",""),"년","")),SUBSTITUTE(SUBSTITUTE(SUBSTITUTE(TRIM(C574&amp;""),CHAR(160),"")," ",""),"년",""),""),"")</f>
      </c>
      <c r="P574" t="str">
        <f>SUBSTITUTE(SUBSTITUTE(SUBSTITUTE(SUBSTITUTE(SUBSTITUTE(SUBSTITUTE(SUBSTITUTE(SUBSTITUTE(TRIM(D574&amp;""),CHAR(160),"")," ",""),"초등학교","초"),"중학교","중"),"고등학교","고"),"~","~~"),"*","~*"),"?","~?")</f>
      </c>
      <c r="Q574" t="str">
        <f>SUBSTITUTE(SUBSTITUTE(SUBSTITUTE(SUBSTITUTE(SUBSTITUTE(SUBSTITUTE(SUBSTITUTE(SUBSTITUTE(TRIM(E574&amp;""),CHAR(160),"")," ",""),"초등학교","초"),"중학교","중"),"고등학교","고"),"~","~~"),"*","~*"),"?","~?")</f>
      </c>
      <c r="R574" t="str">
        <f>IF(COUNTA(B574:J574)=0,"",IF(AND(O574&lt;&gt;"",P574&lt;&gt;"",Q574&lt;&gt;""),"","입력누락"))</f>
      </c>
    </row>
    <row r="575" customFormat="false" ht="15" hidden="false" customHeight="false" outlineLevel="0" collapsed="false">
      <c r="A575" t="n" s="19">
        <f aca="0">IF(COUNTA(B575:J575)=0,"",ROW()-1)</f>
      </c>
      <c r="B575" s="24"/>
      <c r="C575" s="25"/>
      <c r="D575" s="8"/>
      <c r="E575" s="8"/>
      <c r="F575" s="26"/>
      <c r="G575" s="24"/>
      <c r="H575" s="25"/>
      <c r="I575" s="25"/>
      <c r="J575" s="26"/>
      <c r="K575" t="str" s="15">
        <f aca="0">IF(COUNTA(B575:J575)=0,"",IF(R575&lt;&gt;"","확인필요(입력누락)",IF(COUNTIFS(보유목록!$I$2:$I$3001,"*"&amp;P575&amp;"*",보유목록!$I$2:$I$3001,"*"&amp;Q575&amp;"*",보유목록!$H$2:$H$3001,O575)&gt;0,"있음",IF(COUNTIFS(보유목록!$I$2:$I$3001,"*"&amp;P575&amp;"*",보유목록!$I$2:$I$3001,"*"&amp;Q575&amp;"*")&gt;0,"확인필요(연도다름)",IF(COUNTIFS(보유목록!$I$2:$I$3001,"*"&amp;P575&amp;"*",보유목록!$H$2:$H$3001,O575)&gt;0,"확인필요(같은학교·같은연도)","없음")))))</f>
      </c>
      <c r="L575" t="str" s="16">
        <f aca="0">IF(OR(COUNTA(B575:J575)=0,R575&lt;&gt;""),"",COUNTIFS(보유목록!$I$2:$I$3001,"*"&amp;P575&amp;"*",보유목록!$I$2:$I$3001,"*"&amp;Q575&amp;"*"))</f>
      </c>
      <c r="M575" t="str" s="23">
        <f aca="0">IF(OR(COUNTA(B575:J575)=0,R575&lt;&gt;""),"",IFERROR(LOOKUP(2,1/(ISNUMBER(SEARCH(P575,보유목록!$I$2:$I$3001))*ISNUMBER(SEARCH(Q575,보유목록!$I$2:$I$3001))*(보유목록!$H$2:$H$3001=O575)),보유목록!$B$2:$B$3001),IFERROR(LOOKUP(2,1/(ISNUMBER(SEARCH(P575,보유목록!$I$2:$I$3001))*ISNUMBER(SEARCH(Q575,보유목록!$I$2:$I$3001))),보유목록!$B$2:$B$3001),"")))</f>
      </c>
      <c r="N575" s="25"/>
      <c r="O575" t="str">
        <f>IFERROR(IF(AND(LEN(SUBSTITUTE(SUBSTITUTE(SUBSTITUTE(TRIM(C575&amp;""),CHAR(160),"")," ",""),"년",""))=4,VALUE(SUBSTITUTE(SUBSTITUTE(SUBSTITUTE(TRIM(C575&amp;""),CHAR(160),"")," ",""),"년",""))&gt;=1900,VALUE(SUBSTITUTE(SUBSTITUTE(SUBSTITUTE(TRIM(C575&amp;""),CHAR(160),"")," ",""),"년",""))&lt;=2099,TEXT(VALUE(SUBSTITUTE(SUBSTITUTE(SUBSTITUTE(TRIM(C575&amp;""),CHAR(160),"")," ",""),"년","")),"0000")=SUBSTITUTE(SUBSTITUTE(SUBSTITUTE(TRIM(C575&amp;""),CHAR(160),"")," ",""),"년","")),SUBSTITUTE(SUBSTITUTE(SUBSTITUTE(TRIM(C575&amp;""),CHAR(160),"")," ",""),"년",""),""),"")</f>
      </c>
      <c r="P575" t="str">
        <f>SUBSTITUTE(SUBSTITUTE(SUBSTITUTE(SUBSTITUTE(SUBSTITUTE(SUBSTITUTE(SUBSTITUTE(SUBSTITUTE(TRIM(D575&amp;""),CHAR(160),"")," ",""),"초등학교","초"),"중학교","중"),"고등학교","고"),"~","~~"),"*","~*"),"?","~?")</f>
      </c>
      <c r="Q575" t="str">
        <f>SUBSTITUTE(SUBSTITUTE(SUBSTITUTE(SUBSTITUTE(SUBSTITUTE(SUBSTITUTE(SUBSTITUTE(SUBSTITUTE(TRIM(E575&amp;""),CHAR(160),"")," ",""),"초등학교","초"),"중학교","중"),"고등학교","고"),"~","~~"),"*","~*"),"?","~?")</f>
      </c>
      <c r="R575" t="str">
        <f>IF(COUNTA(B575:J575)=0,"",IF(AND(O575&lt;&gt;"",P575&lt;&gt;"",Q575&lt;&gt;""),"","입력누락"))</f>
      </c>
    </row>
    <row r="576" customFormat="false" ht="15" hidden="false" customHeight="false" outlineLevel="0" collapsed="false">
      <c r="A576" t="n" s="19">
        <f aca="0">IF(COUNTA(B576:J576)=0,"",ROW()-1)</f>
      </c>
      <c r="B576" s="24"/>
      <c r="C576" s="25"/>
      <c r="D576" s="8"/>
      <c r="E576" s="8"/>
      <c r="F576" s="26"/>
      <c r="G576" s="24"/>
      <c r="H576" s="25"/>
      <c r="I576" s="25"/>
      <c r="J576" s="26"/>
      <c r="K576" t="str" s="15">
        <f aca="0">IF(COUNTA(B576:J576)=0,"",IF(R576&lt;&gt;"","확인필요(입력누락)",IF(COUNTIFS(보유목록!$I$2:$I$3001,"*"&amp;P576&amp;"*",보유목록!$I$2:$I$3001,"*"&amp;Q576&amp;"*",보유목록!$H$2:$H$3001,O576)&gt;0,"있음",IF(COUNTIFS(보유목록!$I$2:$I$3001,"*"&amp;P576&amp;"*",보유목록!$I$2:$I$3001,"*"&amp;Q576&amp;"*")&gt;0,"확인필요(연도다름)",IF(COUNTIFS(보유목록!$I$2:$I$3001,"*"&amp;P576&amp;"*",보유목록!$H$2:$H$3001,O576)&gt;0,"확인필요(같은학교·같은연도)","없음")))))</f>
      </c>
      <c r="L576" t="str" s="16">
        <f aca="0">IF(OR(COUNTA(B576:J576)=0,R576&lt;&gt;""),"",COUNTIFS(보유목록!$I$2:$I$3001,"*"&amp;P576&amp;"*",보유목록!$I$2:$I$3001,"*"&amp;Q576&amp;"*"))</f>
      </c>
      <c r="M576" t="str" s="23">
        <f aca="0">IF(OR(COUNTA(B576:J576)=0,R576&lt;&gt;""),"",IFERROR(LOOKUP(2,1/(ISNUMBER(SEARCH(P576,보유목록!$I$2:$I$3001))*ISNUMBER(SEARCH(Q576,보유목록!$I$2:$I$3001))*(보유목록!$H$2:$H$3001=O576)),보유목록!$B$2:$B$3001),IFERROR(LOOKUP(2,1/(ISNUMBER(SEARCH(P576,보유목록!$I$2:$I$3001))*ISNUMBER(SEARCH(Q576,보유목록!$I$2:$I$3001))),보유목록!$B$2:$B$3001),"")))</f>
      </c>
      <c r="N576" s="25"/>
      <c r="O576" t="str">
        <f>IFERROR(IF(AND(LEN(SUBSTITUTE(SUBSTITUTE(SUBSTITUTE(TRIM(C576&amp;""),CHAR(160),"")," ",""),"년",""))=4,VALUE(SUBSTITUTE(SUBSTITUTE(SUBSTITUTE(TRIM(C576&amp;""),CHAR(160),"")," ",""),"년",""))&gt;=1900,VALUE(SUBSTITUTE(SUBSTITUTE(SUBSTITUTE(TRIM(C576&amp;""),CHAR(160),"")," ",""),"년",""))&lt;=2099,TEXT(VALUE(SUBSTITUTE(SUBSTITUTE(SUBSTITUTE(TRIM(C576&amp;""),CHAR(160),"")," ",""),"년","")),"0000")=SUBSTITUTE(SUBSTITUTE(SUBSTITUTE(TRIM(C576&amp;""),CHAR(160),"")," ",""),"년","")),SUBSTITUTE(SUBSTITUTE(SUBSTITUTE(TRIM(C576&amp;""),CHAR(160),"")," ",""),"년",""),""),"")</f>
      </c>
      <c r="P576" t="str">
        <f>SUBSTITUTE(SUBSTITUTE(SUBSTITUTE(SUBSTITUTE(SUBSTITUTE(SUBSTITUTE(SUBSTITUTE(SUBSTITUTE(TRIM(D576&amp;""),CHAR(160),"")," ",""),"초등학교","초"),"중학교","중"),"고등학교","고"),"~","~~"),"*","~*"),"?","~?")</f>
      </c>
      <c r="Q576" t="str">
        <f>SUBSTITUTE(SUBSTITUTE(SUBSTITUTE(SUBSTITUTE(SUBSTITUTE(SUBSTITUTE(SUBSTITUTE(SUBSTITUTE(TRIM(E576&amp;""),CHAR(160),"")," ",""),"초등학교","초"),"중학교","중"),"고등학교","고"),"~","~~"),"*","~*"),"?","~?")</f>
      </c>
      <c r="R576" t="str">
        <f>IF(COUNTA(B576:J576)=0,"",IF(AND(O576&lt;&gt;"",P576&lt;&gt;"",Q576&lt;&gt;""),"","입력누락"))</f>
      </c>
    </row>
    <row r="577" customFormat="false" ht="15" hidden="false" customHeight="false" outlineLevel="0" collapsed="false">
      <c r="A577" t="n" s="19">
        <f aca="0">IF(COUNTA(B577:J577)=0,"",ROW()-1)</f>
      </c>
      <c r="B577" s="24"/>
      <c r="C577" s="25"/>
      <c r="D577" s="8"/>
      <c r="E577" s="8"/>
      <c r="F577" s="26"/>
      <c r="G577" s="24"/>
      <c r="H577" s="25"/>
      <c r="I577" s="25"/>
      <c r="J577" s="26"/>
      <c r="K577" t="str" s="15">
        <f aca="0">IF(COUNTA(B577:J577)=0,"",IF(R577&lt;&gt;"","확인필요(입력누락)",IF(COUNTIFS(보유목록!$I$2:$I$3001,"*"&amp;P577&amp;"*",보유목록!$I$2:$I$3001,"*"&amp;Q577&amp;"*",보유목록!$H$2:$H$3001,O577)&gt;0,"있음",IF(COUNTIFS(보유목록!$I$2:$I$3001,"*"&amp;P577&amp;"*",보유목록!$I$2:$I$3001,"*"&amp;Q577&amp;"*")&gt;0,"확인필요(연도다름)",IF(COUNTIFS(보유목록!$I$2:$I$3001,"*"&amp;P577&amp;"*",보유목록!$H$2:$H$3001,O577)&gt;0,"확인필요(같은학교·같은연도)","없음")))))</f>
      </c>
      <c r="L577" t="str" s="16">
        <f aca="0">IF(OR(COUNTA(B577:J577)=0,R577&lt;&gt;""),"",COUNTIFS(보유목록!$I$2:$I$3001,"*"&amp;P577&amp;"*",보유목록!$I$2:$I$3001,"*"&amp;Q577&amp;"*"))</f>
      </c>
      <c r="M577" t="str" s="23">
        <f aca="0">IF(OR(COUNTA(B577:J577)=0,R577&lt;&gt;""),"",IFERROR(LOOKUP(2,1/(ISNUMBER(SEARCH(P577,보유목록!$I$2:$I$3001))*ISNUMBER(SEARCH(Q577,보유목록!$I$2:$I$3001))*(보유목록!$H$2:$H$3001=O577)),보유목록!$B$2:$B$3001),IFERROR(LOOKUP(2,1/(ISNUMBER(SEARCH(P577,보유목록!$I$2:$I$3001))*ISNUMBER(SEARCH(Q577,보유목록!$I$2:$I$3001))),보유목록!$B$2:$B$3001),"")))</f>
      </c>
      <c r="N577" s="25"/>
      <c r="O577" t="str">
        <f>IFERROR(IF(AND(LEN(SUBSTITUTE(SUBSTITUTE(SUBSTITUTE(TRIM(C577&amp;""),CHAR(160),"")," ",""),"년",""))=4,VALUE(SUBSTITUTE(SUBSTITUTE(SUBSTITUTE(TRIM(C577&amp;""),CHAR(160),"")," ",""),"년",""))&gt;=1900,VALUE(SUBSTITUTE(SUBSTITUTE(SUBSTITUTE(TRIM(C577&amp;""),CHAR(160),"")," ",""),"년",""))&lt;=2099,TEXT(VALUE(SUBSTITUTE(SUBSTITUTE(SUBSTITUTE(TRIM(C577&amp;""),CHAR(160),"")," ",""),"년","")),"0000")=SUBSTITUTE(SUBSTITUTE(SUBSTITUTE(TRIM(C577&amp;""),CHAR(160),"")," ",""),"년","")),SUBSTITUTE(SUBSTITUTE(SUBSTITUTE(TRIM(C577&amp;""),CHAR(160),"")," ",""),"년",""),""),"")</f>
      </c>
      <c r="P577" t="str">
        <f>SUBSTITUTE(SUBSTITUTE(SUBSTITUTE(SUBSTITUTE(SUBSTITUTE(SUBSTITUTE(SUBSTITUTE(SUBSTITUTE(TRIM(D577&amp;""),CHAR(160),"")," ",""),"초등학교","초"),"중학교","중"),"고등학교","고"),"~","~~"),"*","~*"),"?","~?")</f>
      </c>
      <c r="Q577" t="str">
        <f>SUBSTITUTE(SUBSTITUTE(SUBSTITUTE(SUBSTITUTE(SUBSTITUTE(SUBSTITUTE(SUBSTITUTE(SUBSTITUTE(TRIM(E577&amp;""),CHAR(160),"")," ",""),"초등학교","초"),"중학교","중"),"고등학교","고"),"~","~~"),"*","~*"),"?","~?")</f>
      </c>
      <c r="R577" t="str">
        <f>IF(COUNTA(B577:J577)=0,"",IF(AND(O577&lt;&gt;"",P577&lt;&gt;"",Q577&lt;&gt;""),"","입력누락"))</f>
      </c>
    </row>
    <row r="578" customFormat="false" ht="15" hidden="false" customHeight="false" outlineLevel="0" collapsed="false">
      <c r="A578" t="n" s="19">
        <f aca="0">IF(COUNTA(B578:J578)=0,"",ROW()-1)</f>
      </c>
      <c r="B578" s="24"/>
      <c r="C578" s="25"/>
      <c r="D578" s="8"/>
      <c r="E578" s="8"/>
      <c r="F578" s="26"/>
      <c r="G578" s="24"/>
      <c r="H578" s="25"/>
      <c r="I578" s="25"/>
      <c r="J578" s="26"/>
      <c r="K578" t="str" s="15">
        <f aca="0">IF(COUNTA(B578:J578)=0,"",IF(R578&lt;&gt;"","확인필요(입력누락)",IF(COUNTIFS(보유목록!$I$2:$I$3001,"*"&amp;P578&amp;"*",보유목록!$I$2:$I$3001,"*"&amp;Q578&amp;"*",보유목록!$H$2:$H$3001,O578)&gt;0,"있음",IF(COUNTIFS(보유목록!$I$2:$I$3001,"*"&amp;P578&amp;"*",보유목록!$I$2:$I$3001,"*"&amp;Q578&amp;"*")&gt;0,"확인필요(연도다름)",IF(COUNTIFS(보유목록!$I$2:$I$3001,"*"&amp;P578&amp;"*",보유목록!$H$2:$H$3001,O578)&gt;0,"확인필요(같은학교·같은연도)","없음")))))</f>
      </c>
      <c r="L578" t="str" s="16">
        <f aca="0">IF(OR(COUNTA(B578:J578)=0,R578&lt;&gt;""),"",COUNTIFS(보유목록!$I$2:$I$3001,"*"&amp;P578&amp;"*",보유목록!$I$2:$I$3001,"*"&amp;Q578&amp;"*"))</f>
      </c>
      <c r="M578" t="str" s="23">
        <f aca="0">IF(OR(COUNTA(B578:J578)=0,R578&lt;&gt;""),"",IFERROR(LOOKUP(2,1/(ISNUMBER(SEARCH(P578,보유목록!$I$2:$I$3001))*ISNUMBER(SEARCH(Q578,보유목록!$I$2:$I$3001))*(보유목록!$H$2:$H$3001=O578)),보유목록!$B$2:$B$3001),IFERROR(LOOKUP(2,1/(ISNUMBER(SEARCH(P578,보유목록!$I$2:$I$3001))*ISNUMBER(SEARCH(Q578,보유목록!$I$2:$I$3001))),보유목록!$B$2:$B$3001),"")))</f>
      </c>
      <c r="N578" s="25"/>
      <c r="O578" t="str">
        <f>IFERROR(IF(AND(LEN(SUBSTITUTE(SUBSTITUTE(SUBSTITUTE(TRIM(C578&amp;""),CHAR(160),"")," ",""),"년",""))=4,VALUE(SUBSTITUTE(SUBSTITUTE(SUBSTITUTE(TRIM(C578&amp;""),CHAR(160),"")," ",""),"년",""))&gt;=1900,VALUE(SUBSTITUTE(SUBSTITUTE(SUBSTITUTE(TRIM(C578&amp;""),CHAR(160),"")," ",""),"년",""))&lt;=2099,TEXT(VALUE(SUBSTITUTE(SUBSTITUTE(SUBSTITUTE(TRIM(C578&amp;""),CHAR(160),"")," ",""),"년","")),"0000")=SUBSTITUTE(SUBSTITUTE(SUBSTITUTE(TRIM(C578&amp;""),CHAR(160),"")," ",""),"년","")),SUBSTITUTE(SUBSTITUTE(SUBSTITUTE(TRIM(C578&amp;""),CHAR(160),"")," ",""),"년",""),""),"")</f>
      </c>
      <c r="P578" t="str">
        <f>SUBSTITUTE(SUBSTITUTE(SUBSTITUTE(SUBSTITUTE(SUBSTITUTE(SUBSTITUTE(SUBSTITUTE(SUBSTITUTE(TRIM(D578&amp;""),CHAR(160),"")," ",""),"초등학교","초"),"중학교","중"),"고등학교","고"),"~","~~"),"*","~*"),"?","~?")</f>
      </c>
      <c r="Q578" t="str">
        <f>SUBSTITUTE(SUBSTITUTE(SUBSTITUTE(SUBSTITUTE(SUBSTITUTE(SUBSTITUTE(SUBSTITUTE(SUBSTITUTE(TRIM(E578&amp;""),CHAR(160),"")," ",""),"초등학교","초"),"중학교","중"),"고등학교","고"),"~","~~"),"*","~*"),"?","~?")</f>
      </c>
      <c r="R578" t="str">
        <f>IF(COUNTA(B578:J578)=0,"",IF(AND(O578&lt;&gt;"",P578&lt;&gt;"",Q578&lt;&gt;""),"","입력누락"))</f>
      </c>
    </row>
    <row r="579" customFormat="false" ht="15" hidden="false" customHeight="false" outlineLevel="0" collapsed="false">
      <c r="A579" t="n" s="19">
        <f aca="0">IF(COUNTA(B579:J579)=0,"",ROW()-1)</f>
      </c>
      <c r="B579" s="24"/>
      <c r="C579" s="25"/>
      <c r="D579" s="8"/>
      <c r="E579" s="8"/>
      <c r="F579" s="26"/>
      <c r="G579" s="24"/>
      <c r="H579" s="25"/>
      <c r="I579" s="25"/>
      <c r="J579" s="26"/>
      <c r="K579" t="str" s="15">
        <f aca="0">IF(COUNTA(B579:J579)=0,"",IF(R579&lt;&gt;"","확인필요(입력누락)",IF(COUNTIFS(보유목록!$I$2:$I$3001,"*"&amp;P579&amp;"*",보유목록!$I$2:$I$3001,"*"&amp;Q579&amp;"*",보유목록!$H$2:$H$3001,O579)&gt;0,"있음",IF(COUNTIFS(보유목록!$I$2:$I$3001,"*"&amp;P579&amp;"*",보유목록!$I$2:$I$3001,"*"&amp;Q579&amp;"*")&gt;0,"확인필요(연도다름)",IF(COUNTIFS(보유목록!$I$2:$I$3001,"*"&amp;P579&amp;"*",보유목록!$H$2:$H$3001,O579)&gt;0,"확인필요(같은학교·같은연도)","없음")))))</f>
      </c>
      <c r="L579" t="str" s="16">
        <f aca="0">IF(OR(COUNTA(B579:J579)=0,R579&lt;&gt;""),"",COUNTIFS(보유목록!$I$2:$I$3001,"*"&amp;P579&amp;"*",보유목록!$I$2:$I$3001,"*"&amp;Q579&amp;"*"))</f>
      </c>
      <c r="M579" t="str" s="23">
        <f aca="0">IF(OR(COUNTA(B579:J579)=0,R579&lt;&gt;""),"",IFERROR(LOOKUP(2,1/(ISNUMBER(SEARCH(P579,보유목록!$I$2:$I$3001))*ISNUMBER(SEARCH(Q579,보유목록!$I$2:$I$3001))*(보유목록!$H$2:$H$3001=O579)),보유목록!$B$2:$B$3001),IFERROR(LOOKUP(2,1/(ISNUMBER(SEARCH(P579,보유목록!$I$2:$I$3001))*ISNUMBER(SEARCH(Q579,보유목록!$I$2:$I$3001))),보유목록!$B$2:$B$3001),"")))</f>
      </c>
      <c r="N579" s="25"/>
      <c r="O579" t="str">
        <f>IFERROR(IF(AND(LEN(SUBSTITUTE(SUBSTITUTE(SUBSTITUTE(TRIM(C579&amp;""),CHAR(160),"")," ",""),"년",""))=4,VALUE(SUBSTITUTE(SUBSTITUTE(SUBSTITUTE(TRIM(C579&amp;""),CHAR(160),"")," ",""),"년",""))&gt;=1900,VALUE(SUBSTITUTE(SUBSTITUTE(SUBSTITUTE(TRIM(C579&amp;""),CHAR(160),"")," ",""),"년",""))&lt;=2099,TEXT(VALUE(SUBSTITUTE(SUBSTITUTE(SUBSTITUTE(TRIM(C579&amp;""),CHAR(160),"")," ",""),"년","")),"0000")=SUBSTITUTE(SUBSTITUTE(SUBSTITUTE(TRIM(C579&amp;""),CHAR(160),"")," ",""),"년","")),SUBSTITUTE(SUBSTITUTE(SUBSTITUTE(TRIM(C579&amp;""),CHAR(160),"")," ",""),"년",""),""),"")</f>
      </c>
      <c r="P579" t="str">
        <f>SUBSTITUTE(SUBSTITUTE(SUBSTITUTE(SUBSTITUTE(SUBSTITUTE(SUBSTITUTE(SUBSTITUTE(SUBSTITUTE(TRIM(D579&amp;""),CHAR(160),"")," ",""),"초등학교","초"),"중학교","중"),"고등학교","고"),"~","~~"),"*","~*"),"?","~?")</f>
      </c>
      <c r="Q579" t="str">
        <f>SUBSTITUTE(SUBSTITUTE(SUBSTITUTE(SUBSTITUTE(SUBSTITUTE(SUBSTITUTE(SUBSTITUTE(SUBSTITUTE(TRIM(E579&amp;""),CHAR(160),"")," ",""),"초등학교","초"),"중학교","중"),"고등학교","고"),"~","~~"),"*","~*"),"?","~?")</f>
      </c>
      <c r="R579" t="str">
        <f>IF(COUNTA(B579:J579)=0,"",IF(AND(O579&lt;&gt;"",P579&lt;&gt;"",Q579&lt;&gt;""),"","입력누락"))</f>
      </c>
    </row>
    <row r="580" customFormat="false" ht="15" hidden="false" customHeight="false" outlineLevel="0" collapsed="false">
      <c r="A580" t="n" s="19">
        <f aca="0">IF(COUNTA(B580:J580)=0,"",ROW()-1)</f>
      </c>
      <c r="B580" s="24"/>
      <c r="C580" s="25"/>
      <c r="D580" s="8"/>
      <c r="E580" s="8"/>
      <c r="F580" s="26"/>
      <c r="G580" s="24"/>
      <c r="H580" s="25"/>
      <c r="I580" s="25"/>
      <c r="J580" s="26"/>
      <c r="K580" t="str" s="15">
        <f aca="0">IF(COUNTA(B580:J580)=0,"",IF(R580&lt;&gt;"","확인필요(입력누락)",IF(COUNTIFS(보유목록!$I$2:$I$3001,"*"&amp;P580&amp;"*",보유목록!$I$2:$I$3001,"*"&amp;Q580&amp;"*",보유목록!$H$2:$H$3001,O580)&gt;0,"있음",IF(COUNTIFS(보유목록!$I$2:$I$3001,"*"&amp;P580&amp;"*",보유목록!$I$2:$I$3001,"*"&amp;Q580&amp;"*")&gt;0,"확인필요(연도다름)",IF(COUNTIFS(보유목록!$I$2:$I$3001,"*"&amp;P580&amp;"*",보유목록!$H$2:$H$3001,O580)&gt;0,"확인필요(같은학교·같은연도)","없음")))))</f>
      </c>
      <c r="L580" t="str" s="16">
        <f aca="0">IF(OR(COUNTA(B580:J580)=0,R580&lt;&gt;""),"",COUNTIFS(보유목록!$I$2:$I$3001,"*"&amp;P580&amp;"*",보유목록!$I$2:$I$3001,"*"&amp;Q580&amp;"*"))</f>
      </c>
      <c r="M580" t="str" s="23">
        <f aca="0">IF(OR(COUNTA(B580:J580)=0,R580&lt;&gt;""),"",IFERROR(LOOKUP(2,1/(ISNUMBER(SEARCH(P580,보유목록!$I$2:$I$3001))*ISNUMBER(SEARCH(Q580,보유목록!$I$2:$I$3001))*(보유목록!$H$2:$H$3001=O580)),보유목록!$B$2:$B$3001),IFERROR(LOOKUP(2,1/(ISNUMBER(SEARCH(P580,보유목록!$I$2:$I$3001))*ISNUMBER(SEARCH(Q580,보유목록!$I$2:$I$3001))),보유목록!$B$2:$B$3001),"")))</f>
      </c>
      <c r="N580" s="25"/>
      <c r="O580" t="str">
        <f>IFERROR(IF(AND(LEN(SUBSTITUTE(SUBSTITUTE(SUBSTITUTE(TRIM(C580&amp;""),CHAR(160),"")," ",""),"년",""))=4,VALUE(SUBSTITUTE(SUBSTITUTE(SUBSTITUTE(TRIM(C580&amp;""),CHAR(160),"")," ",""),"년",""))&gt;=1900,VALUE(SUBSTITUTE(SUBSTITUTE(SUBSTITUTE(TRIM(C580&amp;""),CHAR(160),"")," ",""),"년",""))&lt;=2099,TEXT(VALUE(SUBSTITUTE(SUBSTITUTE(SUBSTITUTE(TRIM(C580&amp;""),CHAR(160),"")," ",""),"년","")),"0000")=SUBSTITUTE(SUBSTITUTE(SUBSTITUTE(TRIM(C580&amp;""),CHAR(160),"")," ",""),"년","")),SUBSTITUTE(SUBSTITUTE(SUBSTITUTE(TRIM(C580&amp;""),CHAR(160),"")," ",""),"년",""),""),"")</f>
      </c>
      <c r="P580" t="str">
        <f>SUBSTITUTE(SUBSTITUTE(SUBSTITUTE(SUBSTITUTE(SUBSTITUTE(SUBSTITUTE(SUBSTITUTE(SUBSTITUTE(TRIM(D580&amp;""),CHAR(160),"")," ",""),"초등학교","초"),"중학교","중"),"고등학교","고"),"~","~~"),"*","~*"),"?","~?")</f>
      </c>
      <c r="Q580" t="str">
        <f>SUBSTITUTE(SUBSTITUTE(SUBSTITUTE(SUBSTITUTE(SUBSTITUTE(SUBSTITUTE(SUBSTITUTE(SUBSTITUTE(TRIM(E580&amp;""),CHAR(160),"")," ",""),"초등학교","초"),"중학교","중"),"고등학교","고"),"~","~~"),"*","~*"),"?","~?")</f>
      </c>
      <c r="R580" t="str">
        <f>IF(COUNTA(B580:J580)=0,"",IF(AND(O580&lt;&gt;"",P580&lt;&gt;"",Q580&lt;&gt;""),"","입력누락"))</f>
      </c>
    </row>
    <row r="581" customFormat="false" ht="15" hidden="false" customHeight="false" outlineLevel="0" collapsed="false">
      <c r="A581" t="n" s="19">
        <f aca="0">IF(COUNTA(B581:J581)=0,"",ROW()-1)</f>
      </c>
      <c r="B581" s="24"/>
      <c r="C581" s="25"/>
      <c r="D581" s="8"/>
      <c r="E581" s="8"/>
      <c r="F581" s="26"/>
      <c r="G581" s="24"/>
      <c r="H581" s="25"/>
      <c r="I581" s="25"/>
      <c r="J581" s="26"/>
      <c r="K581" t="str" s="15">
        <f aca="0">IF(COUNTA(B581:J581)=0,"",IF(R581&lt;&gt;"","확인필요(입력누락)",IF(COUNTIFS(보유목록!$I$2:$I$3001,"*"&amp;P581&amp;"*",보유목록!$I$2:$I$3001,"*"&amp;Q581&amp;"*",보유목록!$H$2:$H$3001,O581)&gt;0,"있음",IF(COUNTIFS(보유목록!$I$2:$I$3001,"*"&amp;P581&amp;"*",보유목록!$I$2:$I$3001,"*"&amp;Q581&amp;"*")&gt;0,"확인필요(연도다름)",IF(COUNTIFS(보유목록!$I$2:$I$3001,"*"&amp;P581&amp;"*",보유목록!$H$2:$H$3001,O581)&gt;0,"확인필요(같은학교·같은연도)","없음")))))</f>
      </c>
      <c r="L581" t="str" s="16">
        <f aca="0">IF(OR(COUNTA(B581:J581)=0,R581&lt;&gt;""),"",COUNTIFS(보유목록!$I$2:$I$3001,"*"&amp;P581&amp;"*",보유목록!$I$2:$I$3001,"*"&amp;Q581&amp;"*"))</f>
      </c>
      <c r="M581" t="str" s="23">
        <f aca="0">IF(OR(COUNTA(B581:J581)=0,R581&lt;&gt;""),"",IFERROR(LOOKUP(2,1/(ISNUMBER(SEARCH(P581,보유목록!$I$2:$I$3001))*ISNUMBER(SEARCH(Q581,보유목록!$I$2:$I$3001))*(보유목록!$H$2:$H$3001=O581)),보유목록!$B$2:$B$3001),IFERROR(LOOKUP(2,1/(ISNUMBER(SEARCH(P581,보유목록!$I$2:$I$3001))*ISNUMBER(SEARCH(Q581,보유목록!$I$2:$I$3001))),보유목록!$B$2:$B$3001),"")))</f>
      </c>
      <c r="N581" s="25"/>
      <c r="O581" t="str">
        <f>IFERROR(IF(AND(LEN(SUBSTITUTE(SUBSTITUTE(SUBSTITUTE(TRIM(C581&amp;""),CHAR(160),"")," ",""),"년",""))=4,VALUE(SUBSTITUTE(SUBSTITUTE(SUBSTITUTE(TRIM(C581&amp;""),CHAR(160),"")," ",""),"년",""))&gt;=1900,VALUE(SUBSTITUTE(SUBSTITUTE(SUBSTITUTE(TRIM(C581&amp;""),CHAR(160),"")," ",""),"년",""))&lt;=2099,TEXT(VALUE(SUBSTITUTE(SUBSTITUTE(SUBSTITUTE(TRIM(C581&amp;""),CHAR(160),"")," ",""),"년","")),"0000")=SUBSTITUTE(SUBSTITUTE(SUBSTITUTE(TRIM(C581&amp;""),CHAR(160),"")," ",""),"년","")),SUBSTITUTE(SUBSTITUTE(SUBSTITUTE(TRIM(C581&amp;""),CHAR(160),"")," ",""),"년",""),""),"")</f>
      </c>
      <c r="P581" t="str">
        <f>SUBSTITUTE(SUBSTITUTE(SUBSTITUTE(SUBSTITUTE(SUBSTITUTE(SUBSTITUTE(SUBSTITUTE(SUBSTITUTE(TRIM(D581&amp;""),CHAR(160),"")," ",""),"초등학교","초"),"중학교","중"),"고등학교","고"),"~","~~"),"*","~*"),"?","~?")</f>
      </c>
      <c r="Q581" t="str">
        <f>SUBSTITUTE(SUBSTITUTE(SUBSTITUTE(SUBSTITUTE(SUBSTITUTE(SUBSTITUTE(SUBSTITUTE(SUBSTITUTE(TRIM(E581&amp;""),CHAR(160),"")," ",""),"초등학교","초"),"중학교","중"),"고등학교","고"),"~","~~"),"*","~*"),"?","~?")</f>
      </c>
      <c r="R581" t="str">
        <f>IF(COUNTA(B581:J581)=0,"",IF(AND(O581&lt;&gt;"",P581&lt;&gt;"",Q581&lt;&gt;""),"","입력누락"))</f>
      </c>
    </row>
    <row r="582" customFormat="false" ht="15" hidden="false" customHeight="false" outlineLevel="0" collapsed="false">
      <c r="A582" t="n" s="19">
        <f aca="0">IF(COUNTA(B582:J582)=0,"",ROW()-1)</f>
      </c>
      <c r="B582" s="24"/>
      <c r="C582" s="25"/>
      <c r="D582" s="8"/>
      <c r="E582" s="8"/>
      <c r="F582" s="26"/>
      <c r="G582" s="24"/>
      <c r="H582" s="25"/>
      <c r="I582" s="25"/>
      <c r="J582" s="26"/>
      <c r="K582" t="str" s="15">
        <f aca="0">IF(COUNTA(B582:J582)=0,"",IF(R582&lt;&gt;"","확인필요(입력누락)",IF(COUNTIFS(보유목록!$I$2:$I$3001,"*"&amp;P582&amp;"*",보유목록!$I$2:$I$3001,"*"&amp;Q582&amp;"*",보유목록!$H$2:$H$3001,O582)&gt;0,"있음",IF(COUNTIFS(보유목록!$I$2:$I$3001,"*"&amp;P582&amp;"*",보유목록!$I$2:$I$3001,"*"&amp;Q582&amp;"*")&gt;0,"확인필요(연도다름)",IF(COUNTIFS(보유목록!$I$2:$I$3001,"*"&amp;P582&amp;"*",보유목록!$H$2:$H$3001,O582)&gt;0,"확인필요(같은학교·같은연도)","없음")))))</f>
      </c>
      <c r="L582" t="str" s="16">
        <f aca="0">IF(OR(COUNTA(B582:J582)=0,R582&lt;&gt;""),"",COUNTIFS(보유목록!$I$2:$I$3001,"*"&amp;P582&amp;"*",보유목록!$I$2:$I$3001,"*"&amp;Q582&amp;"*"))</f>
      </c>
      <c r="M582" t="str" s="23">
        <f aca="0">IF(OR(COUNTA(B582:J582)=0,R582&lt;&gt;""),"",IFERROR(LOOKUP(2,1/(ISNUMBER(SEARCH(P582,보유목록!$I$2:$I$3001))*ISNUMBER(SEARCH(Q582,보유목록!$I$2:$I$3001))*(보유목록!$H$2:$H$3001=O582)),보유목록!$B$2:$B$3001),IFERROR(LOOKUP(2,1/(ISNUMBER(SEARCH(P582,보유목록!$I$2:$I$3001))*ISNUMBER(SEARCH(Q582,보유목록!$I$2:$I$3001))),보유목록!$B$2:$B$3001),"")))</f>
      </c>
      <c r="N582" s="25"/>
      <c r="O582" t="str">
        <f>IFERROR(IF(AND(LEN(SUBSTITUTE(SUBSTITUTE(SUBSTITUTE(TRIM(C582&amp;""),CHAR(160),"")," ",""),"년",""))=4,VALUE(SUBSTITUTE(SUBSTITUTE(SUBSTITUTE(TRIM(C582&amp;""),CHAR(160),"")," ",""),"년",""))&gt;=1900,VALUE(SUBSTITUTE(SUBSTITUTE(SUBSTITUTE(TRIM(C582&amp;""),CHAR(160),"")," ",""),"년",""))&lt;=2099,TEXT(VALUE(SUBSTITUTE(SUBSTITUTE(SUBSTITUTE(TRIM(C582&amp;""),CHAR(160),"")," ",""),"년","")),"0000")=SUBSTITUTE(SUBSTITUTE(SUBSTITUTE(TRIM(C582&amp;""),CHAR(160),"")," ",""),"년","")),SUBSTITUTE(SUBSTITUTE(SUBSTITUTE(TRIM(C582&amp;""),CHAR(160),"")," ",""),"년",""),""),"")</f>
      </c>
      <c r="P582" t="str">
        <f>SUBSTITUTE(SUBSTITUTE(SUBSTITUTE(SUBSTITUTE(SUBSTITUTE(SUBSTITUTE(SUBSTITUTE(SUBSTITUTE(TRIM(D582&amp;""),CHAR(160),"")," ",""),"초등학교","초"),"중학교","중"),"고등학교","고"),"~","~~"),"*","~*"),"?","~?")</f>
      </c>
      <c r="Q582" t="str">
        <f>SUBSTITUTE(SUBSTITUTE(SUBSTITUTE(SUBSTITUTE(SUBSTITUTE(SUBSTITUTE(SUBSTITUTE(SUBSTITUTE(TRIM(E582&amp;""),CHAR(160),"")," ",""),"초등학교","초"),"중학교","중"),"고등학교","고"),"~","~~"),"*","~*"),"?","~?")</f>
      </c>
      <c r="R582" t="str">
        <f>IF(COUNTA(B582:J582)=0,"",IF(AND(O582&lt;&gt;"",P582&lt;&gt;"",Q582&lt;&gt;""),"","입력누락"))</f>
      </c>
    </row>
    <row r="583" customFormat="false" ht="15" hidden="false" customHeight="false" outlineLevel="0" collapsed="false">
      <c r="A583" t="n" s="19">
        <f aca="0">IF(COUNTA(B583:J583)=0,"",ROW()-1)</f>
      </c>
      <c r="B583" s="24"/>
      <c r="C583" s="25"/>
      <c r="D583" s="8"/>
      <c r="E583" s="8"/>
      <c r="F583" s="26"/>
      <c r="G583" s="24"/>
      <c r="H583" s="25"/>
      <c r="I583" s="25"/>
      <c r="J583" s="26"/>
      <c r="K583" t="str" s="15">
        <f aca="0">IF(COUNTA(B583:J583)=0,"",IF(R583&lt;&gt;"","확인필요(입력누락)",IF(COUNTIFS(보유목록!$I$2:$I$3001,"*"&amp;P583&amp;"*",보유목록!$I$2:$I$3001,"*"&amp;Q583&amp;"*",보유목록!$H$2:$H$3001,O583)&gt;0,"있음",IF(COUNTIFS(보유목록!$I$2:$I$3001,"*"&amp;P583&amp;"*",보유목록!$I$2:$I$3001,"*"&amp;Q583&amp;"*")&gt;0,"확인필요(연도다름)",IF(COUNTIFS(보유목록!$I$2:$I$3001,"*"&amp;P583&amp;"*",보유목록!$H$2:$H$3001,O583)&gt;0,"확인필요(같은학교·같은연도)","없음")))))</f>
      </c>
      <c r="L583" t="str" s="16">
        <f aca="0">IF(OR(COUNTA(B583:J583)=0,R583&lt;&gt;""),"",COUNTIFS(보유목록!$I$2:$I$3001,"*"&amp;P583&amp;"*",보유목록!$I$2:$I$3001,"*"&amp;Q583&amp;"*"))</f>
      </c>
      <c r="M583" t="str" s="23">
        <f aca="0">IF(OR(COUNTA(B583:J583)=0,R583&lt;&gt;""),"",IFERROR(LOOKUP(2,1/(ISNUMBER(SEARCH(P583,보유목록!$I$2:$I$3001))*ISNUMBER(SEARCH(Q583,보유목록!$I$2:$I$3001))*(보유목록!$H$2:$H$3001=O583)),보유목록!$B$2:$B$3001),IFERROR(LOOKUP(2,1/(ISNUMBER(SEARCH(P583,보유목록!$I$2:$I$3001))*ISNUMBER(SEARCH(Q583,보유목록!$I$2:$I$3001))),보유목록!$B$2:$B$3001),"")))</f>
      </c>
      <c r="N583" s="25"/>
      <c r="O583" t="str">
        <f>IFERROR(IF(AND(LEN(SUBSTITUTE(SUBSTITUTE(SUBSTITUTE(TRIM(C583&amp;""),CHAR(160),"")," ",""),"년",""))=4,VALUE(SUBSTITUTE(SUBSTITUTE(SUBSTITUTE(TRIM(C583&amp;""),CHAR(160),"")," ",""),"년",""))&gt;=1900,VALUE(SUBSTITUTE(SUBSTITUTE(SUBSTITUTE(TRIM(C583&amp;""),CHAR(160),"")," ",""),"년",""))&lt;=2099,TEXT(VALUE(SUBSTITUTE(SUBSTITUTE(SUBSTITUTE(TRIM(C583&amp;""),CHAR(160),"")," ",""),"년","")),"0000")=SUBSTITUTE(SUBSTITUTE(SUBSTITUTE(TRIM(C583&amp;""),CHAR(160),"")," ",""),"년","")),SUBSTITUTE(SUBSTITUTE(SUBSTITUTE(TRIM(C583&amp;""),CHAR(160),"")," ",""),"년",""),""),"")</f>
      </c>
      <c r="P583" t="str">
        <f>SUBSTITUTE(SUBSTITUTE(SUBSTITUTE(SUBSTITUTE(SUBSTITUTE(SUBSTITUTE(SUBSTITUTE(SUBSTITUTE(TRIM(D583&amp;""),CHAR(160),"")," ",""),"초등학교","초"),"중학교","중"),"고등학교","고"),"~","~~"),"*","~*"),"?","~?")</f>
      </c>
      <c r="Q583" t="str">
        <f>SUBSTITUTE(SUBSTITUTE(SUBSTITUTE(SUBSTITUTE(SUBSTITUTE(SUBSTITUTE(SUBSTITUTE(SUBSTITUTE(TRIM(E583&amp;""),CHAR(160),"")," ",""),"초등학교","초"),"중학교","중"),"고등학교","고"),"~","~~"),"*","~*"),"?","~?")</f>
      </c>
      <c r="R583" t="str">
        <f>IF(COUNTA(B583:J583)=0,"",IF(AND(O583&lt;&gt;"",P583&lt;&gt;"",Q583&lt;&gt;""),"","입력누락"))</f>
      </c>
    </row>
    <row r="584" customFormat="false" ht="15" hidden="false" customHeight="false" outlineLevel="0" collapsed="false">
      <c r="A584" t="n" s="19">
        <f aca="0">IF(COUNTA(B584:J584)=0,"",ROW()-1)</f>
      </c>
      <c r="B584" s="24"/>
      <c r="C584" s="25"/>
      <c r="D584" s="8"/>
      <c r="E584" s="8"/>
      <c r="F584" s="26"/>
      <c r="G584" s="24"/>
      <c r="H584" s="25"/>
      <c r="I584" s="25"/>
      <c r="J584" s="26"/>
      <c r="K584" t="str" s="15">
        <f aca="0">IF(COUNTA(B584:J584)=0,"",IF(R584&lt;&gt;"","확인필요(입력누락)",IF(COUNTIFS(보유목록!$I$2:$I$3001,"*"&amp;P584&amp;"*",보유목록!$I$2:$I$3001,"*"&amp;Q584&amp;"*",보유목록!$H$2:$H$3001,O584)&gt;0,"있음",IF(COUNTIFS(보유목록!$I$2:$I$3001,"*"&amp;P584&amp;"*",보유목록!$I$2:$I$3001,"*"&amp;Q584&amp;"*")&gt;0,"확인필요(연도다름)",IF(COUNTIFS(보유목록!$I$2:$I$3001,"*"&amp;P584&amp;"*",보유목록!$H$2:$H$3001,O584)&gt;0,"확인필요(같은학교·같은연도)","없음")))))</f>
      </c>
      <c r="L584" t="str" s="16">
        <f aca="0">IF(OR(COUNTA(B584:J584)=0,R584&lt;&gt;""),"",COUNTIFS(보유목록!$I$2:$I$3001,"*"&amp;P584&amp;"*",보유목록!$I$2:$I$3001,"*"&amp;Q584&amp;"*"))</f>
      </c>
      <c r="M584" t="str" s="23">
        <f aca="0">IF(OR(COUNTA(B584:J584)=0,R584&lt;&gt;""),"",IFERROR(LOOKUP(2,1/(ISNUMBER(SEARCH(P584,보유목록!$I$2:$I$3001))*ISNUMBER(SEARCH(Q584,보유목록!$I$2:$I$3001))*(보유목록!$H$2:$H$3001=O584)),보유목록!$B$2:$B$3001),IFERROR(LOOKUP(2,1/(ISNUMBER(SEARCH(P584,보유목록!$I$2:$I$3001))*ISNUMBER(SEARCH(Q584,보유목록!$I$2:$I$3001))),보유목록!$B$2:$B$3001),"")))</f>
      </c>
      <c r="N584" s="25"/>
      <c r="O584" t="str">
        <f>IFERROR(IF(AND(LEN(SUBSTITUTE(SUBSTITUTE(SUBSTITUTE(TRIM(C584&amp;""),CHAR(160),"")," ",""),"년",""))=4,VALUE(SUBSTITUTE(SUBSTITUTE(SUBSTITUTE(TRIM(C584&amp;""),CHAR(160),"")," ",""),"년",""))&gt;=1900,VALUE(SUBSTITUTE(SUBSTITUTE(SUBSTITUTE(TRIM(C584&amp;""),CHAR(160),"")," ",""),"년",""))&lt;=2099,TEXT(VALUE(SUBSTITUTE(SUBSTITUTE(SUBSTITUTE(TRIM(C584&amp;""),CHAR(160),"")," ",""),"년","")),"0000")=SUBSTITUTE(SUBSTITUTE(SUBSTITUTE(TRIM(C584&amp;""),CHAR(160),"")," ",""),"년","")),SUBSTITUTE(SUBSTITUTE(SUBSTITUTE(TRIM(C584&amp;""),CHAR(160),"")," ",""),"년",""),""),"")</f>
      </c>
      <c r="P584" t="str">
        <f>SUBSTITUTE(SUBSTITUTE(SUBSTITUTE(SUBSTITUTE(SUBSTITUTE(SUBSTITUTE(SUBSTITUTE(SUBSTITUTE(TRIM(D584&amp;""),CHAR(160),"")," ",""),"초등학교","초"),"중학교","중"),"고등학교","고"),"~","~~"),"*","~*"),"?","~?")</f>
      </c>
      <c r="Q584" t="str">
        <f>SUBSTITUTE(SUBSTITUTE(SUBSTITUTE(SUBSTITUTE(SUBSTITUTE(SUBSTITUTE(SUBSTITUTE(SUBSTITUTE(TRIM(E584&amp;""),CHAR(160),"")," ",""),"초등학교","초"),"중학교","중"),"고등학교","고"),"~","~~"),"*","~*"),"?","~?")</f>
      </c>
      <c r="R584" t="str">
        <f>IF(COUNTA(B584:J584)=0,"",IF(AND(O584&lt;&gt;"",P584&lt;&gt;"",Q584&lt;&gt;""),"","입력누락"))</f>
      </c>
    </row>
    <row r="585" customFormat="false" ht="15" hidden="false" customHeight="false" outlineLevel="0" collapsed="false">
      <c r="A585" t="n" s="19">
        <f aca="0">IF(COUNTA(B585:J585)=0,"",ROW()-1)</f>
      </c>
      <c r="B585" s="24"/>
      <c r="C585" s="25"/>
      <c r="D585" s="8"/>
      <c r="E585" s="8"/>
      <c r="F585" s="26"/>
      <c r="G585" s="24"/>
      <c r="H585" s="25"/>
      <c r="I585" s="25"/>
      <c r="J585" s="26"/>
      <c r="K585" t="str" s="15">
        <f aca="0">IF(COUNTA(B585:J585)=0,"",IF(R585&lt;&gt;"","확인필요(입력누락)",IF(COUNTIFS(보유목록!$I$2:$I$3001,"*"&amp;P585&amp;"*",보유목록!$I$2:$I$3001,"*"&amp;Q585&amp;"*",보유목록!$H$2:$H$3001,O585)&gt;0,"있음",IF(COUNTIFS(보유목록!$I$2:$I$3001,"*"&amp;P585&amp;"*",보유목록!$I$2:$I$3001,"*"&amp;Q585&amp;"*")&gt;0,"확인필요(연도다름)",IF(COUNTIFS(보유목록!$I$2:$I$3001,"*"&amp;P585&amp;"*",보유목록!$H$2:$H$3001,O585)&gt;0,"확인필요(같은학교·같은연도)","없음")))))</f>
      </c>
      <c r="L585" t="str" s="16">
        <f aca="0">IF(OR(COUNTA(B585:J585)=0,R585&lt;&gt;""),"",COUNTIFS(보유목록!$I$2:$I$3001,"*"&amp;P585&amp;"*",보유목록!$I$2:$I$3001,"*"&amp;Q585&amp;"*"))</f>
      </c>
      <c r="M585" t="str" s="23">
        <f aca="0">IF(OR(COUNTA(B585:J585)=0,R585&lt;&gt;""),"",IFERROR(LOOKUP(2,1/(ISNUMBER(SEARCH(P585,보유목록!$I$2:$I$3001))*ISNUMBER(SEARCH(Q585,보유목록!$I$2:$I$3001))*(보유목록!$H$2:$H$3001=O585)),보유목록!$B$2:$B$3001),IFERROR(LOOKUP(2,1/(ISNUMBER(SEARCH(P585,보유목록!$I$2:$I$3001))*ISNUMBER(SEARCH(Q585,보유목록!$I$2:$I$3001))),보유목록!$B$2:$B$3001),"")))</f>
      </c>
      <c r="N585" s="25"/>
      <c r="O585" t="str">
        <f>IFERROR(IF(AND(LEN(SUBSTITUTE(SUBSTITUTE(SUBSTITUTE(TRIM(C585&amp;""),CHAR(160),"")," ",""),"년",""))=4,VALUE(SUBSTITUTE(SUBSTITUTE(SUBSTITUTE(TRIM(C585&amp;""),CHAR(160),"")," ",""),"년",""))&gt;=1900,VALUE(SUBSTITUTE(SUBSTITUTE(SUBSTITUTE(TRIM(C585&amp;""),CHAR(160),"")," ",""),"년",""))&lt;=2099,TEXT(VALUE(SUBSTITUTE(SUBSTITUTE(SUBSTITUTE(TRIM(C585&amp;""),CHAR(160),"")," ",""),"년","")),"0000")=SUBSTITUTE(SUBSTITUTE(SUBSTITUTE(TRIM(C585&amp;""),CHAR(160),"")," ",""),"년","")),SUBSTITUTE(SUBSTITUTE(SUBSTITUTE(TRIM(C585&amp;""),CHAR(160),"")," ",""),"년",""),""),"")</f>
      </c>
      <c r="P585" t="str">
        <f>SUBSTITUTE(SUBSTITUTE(SUBSTITUTE(SUBSTITUTE(SUBSTITUTE(SUBSTITUTE(SUBSTITUTE(SUBSTITUTE(TRIM(D585&amp;""),CHAR(160),"")," ",""),"초등학교","초"),"중학교","중"),"고등학교","고"),"~","~~"),"*","~*"),"?","~?")</f>
      </c>
      <c r="Q585" t="str">
        <f>SUBSTITUTE(SUBSTITUTE(SUBSTITUTE(SUBSTITUTE(SUBSTITUTE(SUBSTITUTE(SUBSTITUTE(SUBSTITUTE(TRIM(E585&amp;""),CHAR(160),"")," ",""),"초등학교","초"),"중학교","중"),"고등학교","고"),"~","~~"),"*","~*"),"?","~?")</f>
      </c>
      <c r="R585" t="str">
        <f>IF(COUNTA(B585:J585)=0,"",IF(AND(O585&lt;&gt;"",P585&lt;&gt;"",Q585&lt;&gt;""),"","입력누락"))</f>
      </c>
    </row>
    <row r="586" customFormat="false" ht="15" hidden="false" customHeight="false" outlineLevel="0" collapsed="false">
      <c r="A586" t="n" s="19">
        <f aca="0">IF(COUNTA(B586:J586)=0,"",ROW()-1)</f>
      </c>
      <c r="B586" s="24"/>
      <c r="C586" s="25"/>
      <c r="D586" s="8"/>
      <c r="E586" s="8"/>
      <c r="F586" s="26"/>
      <c r="G586" s="24"/>
      <c r="H586" s="25"/>
      <c r="I586" s="25"/>
      <c r="J586" s="26"/>
      <c r="K586" t="str" s="15">
        <f aca="0">IF(COUNTA(B586:J586)=0,"",IF(R586&lt;&gt;"","확인필요(입력누락)",IF(COUNTIFS(보유목록!$I$2:$I$3001,"*"&amp;P586&amp;"*",보유목록!$I$2:$I$3001,"*"&amp;Q586&amp;"*",보유목록!$H$2:$H$3001,O586)&gt;0,"있음",IF(COUNTIFS(보유목록!$I$2:$I$3001,"*"&amp;P586&amp;"*",보유목록!$I$2:$I$3001,"*"&amp;Q586&amp;"*")&gt;0,"확인필요(연도다름)",IF(COUNTIFS(보유목록!$I$2:$I$3001,"*"&amp;P586&amp;"*",보유목록!$H$2:$H$3001,O586)&gt;0,"확인필요(같은학교·같은연도)","없음")))))</f>
      </c>
      <c r="L586" t="str" s="16">
        <f aca="0">IF(OR(COUNTA(B586:J586)=0,R586&lt;&gt;""),"",COUNTIFS(보유목록!$I$2:$I$3001,"*"&amp;P586&amp;"*",보유목록!$I$2:$I$3001,"*"&amp;Q586&amp;"*"))</f>
      </c>
      <c r="M586" t="str" s="23">
        <f aca="0">IF(OR(COUNTA(B586:J586)=0,R586&lt;&gt;""),"",IFERROR(LOOKUP(2,1/(ISNUMBER(SEARCH(P586,보유목록!$I$2:$I$3001))*ISNUMBER(SEARCH(Q586,보유목록!$I$2:$I$3001))*(보유목록!$H$2:$H$3001=O586)),보유목록!$B$2:$B$3001),IFERROR(LOOKUP(2,1/(ISNUMBER(SEARCH(P586,보유목록!$I$2:$I$3001))*ISNUMBER(SEARCH(Q586,보유목록!$I$2:$I$3001))),보유목록!$B$2:$B$3001),"")))</f>
      </c>
      <c r="N586" s="25"/>
      <c r="O586" t="str">
        <f>IFERROR(IF(AND(LEN(SUBSTITUTE(SUBSTITUTE(SUBSTITUTE(TRIM(C586&amp;""),CHAR(160),"")," ",""),"년",""))=4,VALUE(SUBSTITUTE(SUBSTITUTE(SUBSTITUTE(TRIM(C586&amp;""),CHAR(160),"")," ",""),"년",""))&gt;=1900,VALUE(SUBSTITUTE(SUBSTITUTE(SUBSTITUTE(TRIM(C586&amp;""),CHAR(160),"")," ",""),"년",""))&lt;=2099,TEXT(VALUE(SUBSTITUTE(SUBSTITUTE(SUBSTITUTE(TRIM(C586&amp;""),CHAR(160),"")," ",""),"년","")),"0000")=SUBSTITUTE(SUBSTITUTE(SUBSTITUTE(TRIM(C586&amp;""),CHAR(160),"")," ",""),"년","")),SUBSTITUTE(SUBSTITUTE(SUBSTITUTE(TRIM(C586&amp;""),CHAR(160),"")," ",""),"년",""),""),"")</f>
      </c>
      <c r="P586" t="str">
        <f>SUBSTITUTE(SUBSTITUTE(SUBSTITUTE(SUBSTITUTE(SUBSTITUTE(SUBSTITUTE(SUBSTITUTE(SUBSTITUTE(TRIM(D586&amp;""),CHAR(160),"")," ",""),"초등학교","초"),"중학교","중"),"고등학교","고"),"~","~~"),"*","~*"),"?","~?")</f>
      </c>
      <c r="Q586" t="str">
        <f>SUBSTITUTE(SUBSTITUTE(SUBSTITUTE(SUBSTITUTE(SUBSTITUTE(SUBSTITUTE(SUBSTITUTE(SUBSTITUTE(TRIM(E586&amp;""),CHAR(160),"")," ",""),"초등학교","초"),"중학교","중"),"고등학교","고"),"~","~~"),"*","~*"),"?","~?")</f>
      </c>
      <c r="R586" t="str">
        <f>IF(COUNTA(B586:J586)=0,"",IF(AND(O586&lt;&gt;"",P586&lt;&gt;"",Q586&lt;&gt;""),"","입력누락"))</f>
      </c>
    </row>
    <row r="587" customFormat="false" ht="15" hidden="false" customHeight="false" outlineLevel="0" collapsed="false">
      <c r="A587" t="n" s="19">
        <f aca="0">IF(COUNTA(B587:J587)=0,"",ROW()-1)</f>
      </c>
      <c r="B587" s="24"/>
      <c r="C587" s="25"/>
      <c r="D587" s="8"/>
      <c r="E587" s="8"/>
      <c r="F587" s="26"/>
      <c r="G587" s="24"/>
      <c r="H587" s="25"/>
      <c r="I587" s="25"/>
      <c r="J587" s="26"/>
      <c r="K587" t="str" s="15">
        <f aca="0">IF(COUNTA(B587:J587)=0,"",IF(R587&lt;&gt;"","확인필요(입력누락)",IF(COUNTIFS(보유목록!$I$2:$I$3001,"*"&amp;P587&amp;"*",보유목록!$I$2:$I$3001,"*"&amp;Q587&amp;"*",보유목록!$H$2:$H$3001,O587)&gt;0,"있음",IF(COUNTIFS(보유목록!$I$2:$I$3001,"*"&amp;P587&amp;"*",보유목록!$I$2:$I$3001,"*"&amp;Q587&amp;"*")&gt;0,"확인필요(연도다름)",IF(COUNTIFS(보유목록!$I$2:$I$3001,"*"&amp;P587&amp;"*",보유목록!$H$2:$H$3001,O587)&gt;0,"확인필요(같은학교·같은연도)","없음")))))</f>
      </c>
      <c r="L587" t="str" s="16">
        <f aca="0">IF(OR(COUNTA(B587:J587)=0,R587&lt;&gt;""),"",COUNTIFS(보유목록!$I$2:$I$3001,"*"&amp;P587&amp;"*",보유목록!$I$2:$I$3001,"*"&amp;Q587&amp;"*"))</f>
      </c>
      <c r="M587" t="str" s="23">
        <f aca="0">IF(OR(COUNTA(B587:J587)=0,R587&lt;&gt;""),"",IFERROR(LOOKUP(2,1/(ISNUMBER(SEARCH(P587,보유목록!$I$2:$I$3001))*ISNUMBER(SEARCH(Q587,보유목록!$I$2:$I$3001))*(보유목록!$H$2:$H$3001=O587)),보유목록!$B$2:$B$3001),IFERROR(LOOKUP(2,1/(ISNUMBER(SEARCH(P587,보유목록!$I$2:$I$3001))*ISNUMBER(SEARCH(Q587,보유목록!$I$2:$I$3001))),보유목록!$B$2:$B$3001),"")))</f>
      </c>
      <c r="N587" s="25"/>
      <c r="O587" t="str">
        <f>IFERROR(IF(AND(LEN(SUBSTITUTE(SUBSTITUTE(SUBSTITUTE(TRIM(C587&amp;""),CHAR(160),"")," ",""),"년",""))=4,VALUE(SUBSTITUTE(SUBSTITUTE(SUBSTITUTE(TRIM(C587&amp;""),CHAR(160),"")," ",""),"년",""))&gt;=1900,VALUE(SUBSTITUTE(SUBSTITUTE(SUBSTITUTE(TRIM(C587&amp;""),CHAR(160),"")," ",""),"년",""))&lt;=2099,TEXT(VALUE(SUBSTITUTE(SUBSTITUTE(SUBSTITUTE(TRIM(C587&amp;""),CHAR(160),"")," ",""),"년","")),"0000")=SUBSTITUTE(SUBSTITUTE(SUBSTITUTE(TRIM(C587&amp;""),CHAR(160),"")," ",""),"년","")),SUBSTITUTE(SUBSTITUTE(SUBSTITUTE(TRIM(C587&amp;""),CHAR(160),"")," ",""),"년",""),""),"")</f>
      </c>
      <c r="P587" t="str">
        <f>SUBSTITUTE(SUBSTITUTE(SUBSTITUTE(SUBSTITUTE(SUBSTITUTE(SUBSTITUTE(SUBSTITUTE(SUBSTITUTE(TRIM(D587&amp;""),CHAR(160),"")," ",""),"초등학교","초"),"중학교","중"),"고등학교","고"),"~","~~"),"*","~*"),"?","~?")</f>
      </c>
      <c r="Q587" t="str">
        <f>SUBSTITUTE(SUBSTITUTE(SUBSTITUTE(SUBSTITUTE(SUBSTITUTE(SUBSTITUTE(SUBSTITUTE(SUBSTITUTE(TRIM(E587&amp;""),CHAR(160),"")," ",""),"초등학교","초"),"중학교","중"),"고등학교","고"),"~","~~"),"*","~*"),"?","~?")</f>
      </c>
      <c r="R587" t="str">
        <f>IF(COUNTA(B587:J587)=0,"",IF(AND(O587&lt;&gt;"",P587&lt;&gt;"",Q587&lt;&gt;""),"","입력누락"))</f>
      </c>
    </row>
    <row r="588" customFormat="false" ht="15" hidden="false" customHeight="false" outlineLevel="0" collapsed="false">
      <c r="A588" t="n" s="19">
        <f aca="0">IF(COUNTA(B588:J588)=0,"",ROW()-1)</f>
      </c>
      <c r="B588" s="24"/>
      <c r="C588" s="25"/>
      <c r="D588" s="8"/>
      <c r="E588" s="8"/>
      <c r="F588" s="26"/>
      <c r="G588" s="24"/>
      <c r="H588" s="25"/>
      <c r="I588" s="25"/>
      <c r="J588" s="26"/>
      <c r="K588" t="str" s="15">
        <f aca="0">IF(COUNTA(B588:J588)=0,"",IF(R588&lt;&gt;"","확인필요(입력누락)",IF(COUNTIFS(보유목록!$I$2:$I$3001,"*"&amp;P588&amp;"*",보유목록!$I$2:$I$3001,"*"&amp;Q588&amp;"*",보유목록!$H$2:$H$3001,O588)&gt;0,"있음",IF(COUNTIFS(보유목록!$I$2:$I$3001,"*"&amp;P588&amp;"*",보유목록!$I$2:$I$3001,"*"&amp;Q588&amp;"*")&gt;0,"확인필요(연도다름)",IF(COUNTIFS(보유목록!$I$2:$I$3001,"*"&amp;P588&amp;"*",보유목록!$H$2:$H$3001,O588)&gt;0,"확인필요(같은학교·같은연도)","없음")))))</f>
      </c>
      <c r="L588" t="str" s="16">
        <f aca="0">IF(OR(COUNTA(B588:J588)=0,R588&lt;&gt;""),"",COUNTIFS(보유목록!$I$2:$I$3001,"*"&amp;P588&amp;"*",보유목록!$I$2:$I$3001,"*"&amp;Q588&amp;"*"))</f>
      </c>
      <c r="M588" t="str" s="23">
        <f aca="0">IF(OR(COUNTA(B588:J588)=0,R588&lt;&gt;""),"",IFERROR(LOOKUP(2,1/(ISNUMBER(SEARCH(P588,보유목록!$I$2:$I$3001))*ISNUMBER(SEARCH(Q588,보유목록!$I$2:$I$3001))*(보유목록!$H$2:$H$3001=O588)),보유목록!$B$2:$B$3001),IFERROR(LOOKUP(2,1/(ISNUMBER(SEARCH(P588,보유목록!$I$2:$I$3001))*ISNUMBER(SEARCH(Q588,보유목록!$I$2:$I$3001))),보유목록!$B$2:$B$3001),"")))</f>
      </c>
      <c r="N588" s="25"/>
      <c r="O588" t="str">
        <f>IFERROR(IF(AND(LEN(SUBSTITUTE(SUBSTITUTE(SUBSTITUTE(TRIM(C588&amp;""),CHAR(160),"")," ",""),"년",""))=4,VALUE(SUBSTITUTE(SUBSTITUTE(SUBSTITUTE(TRIM(C588&amp;""),CHAR(160),"")," ",""),"년",""))&gt;=1900,VALUE(SUBSTITUTE(SUBSTITUTE(SUBSTITUTE(TRIM(C588&amp;""),CHAR(160),"")," ",""),"년",""))&lt;=2099,TEXT(VALUE(SUBSTITUTE(SUBSTITUTE(SUBSTITUTE(TRIM(C588&amp;""),CHAR(160),"")," ",""),"년","")),"0000")=SUBSTITUTE(SUBSTITUTE(SUBSTITUTE(TRIM(C588&amp;""),CHAR(160),"")," ",""),"년","")),SUBSTITUTE(SUBSTITUTE(SUBSTITUTE(TRIM(C588&amp;""),CHAR(160),"")," ",""),"년",""),""),"")</f>
      </c>
      <c r="P588" t="str">
        <f>SUBSTITUTE(SUBSTITUTE(SUBSTITUTE(SUBSTITUTE(SUBSTITUTE(SUBSTITUTE(SUBSTITUTE(SUBSTITUTE(TRIM(D588&amp;""),CHAR(160),"")," ",""),"초등학교","초"),"중학교","중"),"고등학교","고"),"~","~~"),"*","~*"),"?","~?")</f>
      </c>
      <c r="Q588" t="str">
        <f>SUBSTITUTE(SUBSTITUTE(SUBSTITUTE(SUBSTITUTE(SUBSTITUTE(SUBSTITUTE(SUBSTITUTE(SUBSTITUTE(TRIM(E588&amp;""),CHAR(160),"")," ",""),"초등학교","초"),"중학교","중"),"고등학교","고"),"~","~~"),"*","~*"),"?","~?")</f>
      </c>
      <c r="R588" t="str">
        <f>IF(COUNTA(B588:J588)=0,"",IF(AND(O588&lt;&gt;"",P588&lt;&gt;"",Q588&lt;&gt;""),"","입력누락"))</f>
      </c>
    </row>
    <row r="589" customFormat="false" ht="15" hidden="false" customHeight="false" outlineLevel="0" collapsed="false">
      <c r="A589" t="n" s="19">
        <f aca="0">IF(COUNTA(B589:J589)=0,"",ROW()-1)</f>
      </c>
      <c r="B589" s="24"/>
      <c r="C589" s="25"/>
      <c r="D589" s="8"/>
      <c r="E589" s="8"/>
      <c r="F589" s="26"/>
      <c r="G589" s="24"/>
      <c r="H589" s="25"/>
      <c r="I589" s="25"/>
      <c r="J589" s="26"/>
      <c r="K589" t="str" s="15">
        <f aca="0">IF(COUNTA(B589:J589)=0,"",IF(R589&lt;&gt;"","확인필요(입력누락)",IF(COUNTIFS(보유목록!$I$2:$I$3001,"*"&amp;P589&amp;"*",보유목록!$I$2:$I$3001,"*"&amp;Q589&amp;"*",보유목록!$H$2:$H$3001,O589)&gt;0,"있음",IF(COUNTIFS(보유목록!$I$2:$I$3001,"*"&amp;P589&amp;"*",보유목록!$I$2:$I$3001,"*"&amp;Q589&amp;"*")&gt;0,"확인필요(연도다름)",IF(COUNTIFS(보유목록!$I$2:$I$3001,"*"&amp;P589&amp;"*",보유목록!$H$2:$H$3001,O589)&gt;0,"확인필요(같은학교·같은연도)","없음")))))</f>
      </c>
      <c r="L589" t="str" s="16">
        <f aca="0">IF(OR(COUNTA(B589:J589)=0,R589&lt;&gt;""),"",COUNTIFS(보유목록!$I$2:$I$3001,"*"&amp;P589&amp;"*",보유목록!$I$2:$I$3001,"*"&amp;Q589&amp;"*"))</f>
      </c>
      <c r="M589" t="str" s="23">
        <f aca="0">IF(OR(COUNTA(B589:J589)=0,R589&lt;&gt;""),"",IFERROR(LOOKUP(2,1/(ISNUMBER(SEARCH(P589,보유목록!$I$2:$I$3001))*ISNUMBER(SEARCH(Q589,보유목록!$I$2:$I$3001))*(보유목록!$H$2:$H$3001=O589)),보유목록!$B$2:$B$3001),IFERROR(LOOKUP(2,1/(ISNUMBER(SEARCH(P589,보유목록!$I$2:$I$3001))*ISNUMBER(SEARCH(Q589,보유목록!$I$2:$I$3001))),보유목록!$B$2:$B$3001),"")))</f>
      </c>
      <c r="N589" s="25"/>
      <c r="O589" t="str">
        <f>IFERROR(IF(AND(LEN(SUBSTITUTE(SUBSTITUTE(SUBSTITUTE(TRIM(C589&amp;""),CHAR(160),"")," ",""),"년",""))=4,VALUE(SUBSTITUTE(SUBSTITUTE(SUBSTITUTE(TRIM(C589&amp;""),CHAR(160),"")," ",""),"년",""))&gt;=1900,VALUE(SUBSTITUTE(SUBSTITUTE(SUBSTITUTE(TRIM(C589&amp;""),CHAR(160),"")," ",""),"년",""))&lt;=2099,TEXT(VALUE(SUBSTITUTE(SUBSTITUTE(SUBSTITUTE(TRIM(C589&amp;""),CHAR(160),"")," ",""),"년","")),"0000")=SUBSTITUTE(SUBSTITUTE(SUBSTITUTE(TRIM(C589&amp;""),CHAR(160),"")," ",""),"년","")),SUBSTITUTE(SUBSTITUTE(SUBSTITUTE(TRIM(C589&amp;""),CHAR(160),"")," ",""),"년",""),""),"")</f>
      </c>
      <c r="P589" t="str">
        <f>SUBSTITUTE(SUBSTITUTE(SUBSTITUTE(SUBSTITUTE(SUBSTITUTE(SUBSTITUTE(SUBSTITUTE(SUBSTITUTE(TRIM(D589&amp;""),CHAR(160),"")," ",""),"초등학교","초"),"중학교","중"),"고등학교","고"),"~","~~"),"*","~*"),"?","~?")</f>
      </c>
      <c r="Q589" t="str">
        <f>SUBSTITUTE(SUBSTITUTE(SUBSTITUTE(SUBSTITUTE(SUBSTITUTE(SUBSTITUTE(SUBSTITUTE(SUBSTITUTE(TRIM(E589&amp;""),CHAR(160),"")," ",""),"초등학교","초"),"중학교","중"),"고등학교","고"),"~","~~"),"*","~*"),"?","~?")</f>
      </c>
      <c r="R589" t="str">
        <f>IF(COUNTA(B589:J589)=0,"",IF(AND(O589&lt;&gt;"",P589&lt;&gt;"",Q589&lt;&gt;""),"","입력누락"))</f>
      </c>
    </row>
    <row r="590" customFormat="false" ht="15" hidden="false" customHeight="false" outlineLevel="0" collapsed="false">
      <c r="A590" t="n" s="19">
        <f aca="0">IF(COUNTA(B590:J590)=0,"",ROW()-1)</f>
      </c>
      <c r="B590" s="24"/>
      <c r="C590" s="25"/>
      <c r="D590" s="8"/>
      <c r="E590" s="8"/>
      <c r="F590" s="26"/>
      <c r="G590" s="24"/>
      <c r="H590" s="25"/>
      <c r="I590" s="25"/>
      <c r="J590" s="26"/>
      <c r="K590" t="str" s="15">
        <f aca="0">IF(COUNTA(B590:J590)=0,"",IF(R590&lt;&gt;"","확인필요(입력누락)",IF(COUNTIFS(보유목록!$I$2:$I$3001,"*"&amp;P590&amp;"*",보유목록!$I$2:$I$3001,"*"&amp;Q590&amp;"*",보유목록!$H$2:$H$3001,O590)&gt;0,"있음",IF(COUNTIFS(보유목록!$I$2:$I$3001,"*"&amp;P590&amp;"*",보유목록!$I$2:$I$3001,"*"&amp;Q590&amp;"*")&gt;0,"확인필요(연도다름)",IF(COUNTIFS(보유목록!$I$2:$I$3001,"*"&amp;P590&amp;"*",보유목록!$H$2:$H$3001,O590)&gt;0,"확인필요(같은학교·같은연도)","없음")))))</f>
      </c>
      <c r="L590" t="str" s="16">
        <f aca="0">IF(OR(COUNTA(B590:J590)=0,R590&lt;&gt;""),"",COUNTIFS(보유목록!$I$2:$I$3001,"*"&amp;P590&amp;"*",보유목록!$I$2:$I$3001,"*"&amp;Q590&amp;"*"))</f>
      </c>
      <c r="M590" t="str" s="23">
        <f aca="0">IF(OR(COUNTA(B590:J590)=0,R590&lt;&gt;""),"",IFERROR(LOOKUP(2,1/(ISNUMBER(SEARCH(P590,보유목록!$I$2:$I$3001))*ISNUMBER(SEARCH(Q590,보유목록!$I$2:$I$3001))*(보유목록!$H$2:$H$3001=O590)),보유목록!$B$2:$B$3001),IFERROR(LOOKUP(2,1/(ISNUMBER(SEARCH(P590,보유목록!$I$2:$I$3001))*ISNUMBER(SEARCH(Q590,보유목록!$I$2:$I$3001))),보유목록!$B$2:$B$3001),"")))</f>
      </c>
      <c r="N590" s="25"/>
      <c r="O590" t="str">
        <f>IFERROR(IF(AND(LEN(SUBSTITUTE(SUBSTITUTE(SUBSTITUTE(TRIM(C590&amp;""),CHAR(160),"")," ",""),"년",""))=4,VALUE(SUBSTITUTE(SUBSTITUTE(SUBSTITUTE(TRIM(C590&amp;""),CHAR(160),"")," ",""),"년",""))&gt;=1900,VALUE(SUBSTITUTE(SUBSTITUTE(SUBSTITUTE(TRIM(C590&amp;""),CHAR(160),"")," ",""),"년",""))&lt;=2099,TEXT(VALUE(SUBSTITUTE(SUBSTITUTE(SUBSTITUTE(TRIM(C590&amp;""),CHAR(160),"")," ",""),"년","")),"0000")=SUBSTITUTE(SUBSTITUTE(SUBSTITUTE(TRIM(C590&amp;""),CHAR(160),"")," ",""),"년","")),SUBSTITUTE(SUBSTITUTE(SUBSTITUTE(TRIM(C590&amp;""),CHAR(160),"")," ",""),"년",""),""),"")</f>
      </c>
      <c r="P590" t="str">
        <f>SUBSTITUTE(SUBSTITUTE(SUBSTITUTE(SUBSTITUTE(SUBSTITUTE(SUBSTITUTE(SUBSTITUTE(SUBSTITUTE(TRIM(D590&amp;""),CHAR(160),"")," ",""),"초등학교","초"),"중학교","중"),"고등학교","고"),"~","~~"),"*","~*"),"?","~?")</f>
      </c>
      <c r="Q590" t="str">
        <f>SUBSTITUTE(SUBSTITUTE(SUBSTITUTE(SUBSTITUTE(SUBSTITUTE(SUBSTITUTE(SUBSTITUTE(SUBSTITUTE(TRIM(E590&amp;""),CHAR(160),"")," ",""),"초등학교","초"),"중학교","중"),"고등학교","고"),"~","~~"),"*","~*"),"?","~?")</f>
      </c>
      <c r="R590" t="str">
        <f>IF(COUNTA(B590:J590)=0,"",IF(AND(O590&lt;&gt;"",P590&lt;&gt;"",Q590&lt;&gt;""),"","입력누락"))</f>
      </c>
    </row>
    <row r="591" customFormat="false" ht="15" hidden="false" customHeight="false" outlineLevel="0" collapsed="false">
      <c r="A591" t="n" s="19">
        <f aca="0">IF(COUNTA(B591:J591)=0,"",ROW()-1)</f>
      </c>
      <c r="B591" s="24"/>
      <c r="C591" s="25"/>
      <c r="D591" s="8"/>
      <c r="E591" s="8"/>
      <c r="F591" s="26"/>
      <c r="G591" s="24"/>
      <c r="H591" s="25"/>
      <c r="I591" s="25"/>
      <c r="J591" s="26"/>
      <c r="K591" t="str" s="15">
        <f aca="0">IF(COUNTA(B591:J591)=0,"",IF(R591&lt;&gt;"","확인필요(입력누락)",IF(COUNTIFS(보유목록!$I$2:$I$3001,"*"&amp;P591&amp;"*",보유목록!$I$2:$I$3001,"*"&amp;Q591&amp;"*",보유목록!$H$2:$H$3001,O591)&gt;0,"있음",IF(COUNTIFS(보유목록!$I$2:$I$3001,"*"&amp;P591&amp;"*",보유목록!$I$2:$I$3001,"*"&amp;Q591&amp;"*")&gt;0,"확인필요(연도다름)",IF(COUNTIFS(보유목록!$I$2:$I$3001,"*"&amp;P591&amp;"*",보유목록!$H$2:$H$3001,O591)&gt;0,"확인필요(같은학교·같은연도)","없음")))))</f>
      </c>
      <c r="L591" t="str" s="16">
        <f aca="0">IF(OR(COUNTA(B591:J591)=0,R591&lt;&gt;""),"",COUNTIFS(보유목록!$I$2:$I$3001,"*"&amp;P591&amp;"*",보유목록!$I$2:$I$3001,"*"&amp;Q591&amp;"*"))</f>
      </c>
      <c r="M591" t="str" s="23">
        <f aca="0">IF(OR(COUNTA(B591:J591)=0,R591&lt;&gt;""),"",IFERROR(LOOKUP(2,1/(ISNUMBER(SEARCH(P591,보유목록!$I$2:$I$3001))*ISNUMBER(SEARCH(Q591,보유목록!$I$2:$I$3001))*(보유목록!$H$2:$H$3001=O591)),보유목록!$B$2:$B$3001),IFERROR(LOOKUP(2,1/(ISNUMBER(SEARCH(P591,보유목록!$I$2:$I$3001))*ISNUMBER(SEARCH(Q591,보유목록!$I$2:$I$3001))),보유목록!$B$2:$B$3001),"")))</f>
      </c>
      <c r="N591" s="25"/>
      <c r="O591" t="str">
        <f>IFERROR(IF(AND(LEN(SUBSTITUTE(SUBSTITUTE(SUBSTITUTE(TRIM(C591&amp;""),CHAR(160),"")," ",""),"년",""))=4,VALUE(SUBSTITUTE(SUBSTITUTE(SUBSTITUTE(TRIM(C591&amp;""),CHAR(160),"")," ",""),"년",""))&gt;=1900,VALUE(SUBSTITUTE(SUBSTITUTE(SUBSTITUTE(TRIM(C591&amp;""),CHAR(160),"")," ",""),"년",""))&lt;=2099,TEXT(VALUE(SUBSTITUTE(SUBSTITUTE(SUBSTITUTE(TRIM(C591&amp;""),CHAR(160),"")," ",""),"년","")),"0000")=SUBSTITUTE(SUBSTITUTE(SUBSTITUTE(TRIM(C591&amp;""),CHAR(160),"")," ",""),"년","")),SUBSTITUTE(SUBSTITUTE(SUBSTITUTE(TRIM(C591&amp;""),CHAR(160),"")," ",""),"년",""),""),"")</f>
      </c>
      <c r="P591" t="str">
        <f>SUBSTITUTE(SUBSTITUTE(SUBSTITUTE(SUBSTITUTE(SUBSTITUTE(SUBSTITUTE(SUBSTITUTE(SUBSTITUTE(TRIM(D591&amp;""),CHAR(160),"")," ",""),"초등학교","초"),"중학교","중"),"고등학교","고"),"~","~~"),"*","~*"),"?","~?")</f>
      </c>
      <c r="Q591" t="str">
        <f>SUBSTITUTE(SUBSTITUTE(SUBSTITUTE(SUBSTITUTE(SUBSTITUTE(SUBSTITUTE(SUBSTITUTE(SUBSTITUTE(TRIM(E591&amp;""),CHAR(160),"")," ",""),"초등학교","초"),"중학교","중"),"고등학교","고"),"~","~~"),"*","~*"),"?","~?")</f>
      </c>
      <c r="R591" t="str">
        <f>IF(COUNTA(B591:J591)=0,"",IF(AND(O591&lt;&gt;"",P591&lt;&gt;"",Q591&lt;&gt;""),"","입력누락"))</f>
      </c>
    </row>
    <row r="592" customFormat="false" ht="15" hidden="false" customHeight="false" outlineLevel="0" collapsed="false">
      <c r="A592" t="n" s="19">
        <f aca="0">IF(COUNTA(B592:J592)=0,"",ROW()-1)</f>
      </c>
      <c r="B592" s="24"/>
      <c r="C592" s="25"/>
      <c r="D592" s="8"/>
      <c r="E592" s="8"/>
      <c r="F592" s="26"/>
      <c r="G592" s="24"/>
      <c r="H592" s="25"/>
      <c r="I592" s="25"/>
      <c r="J592" s="26"/>
      <c r="K592" t="str" s="15">
        <f aca="0">IF(COUNTA(B592:J592)=0,"",IF(R592&lt;&gt;"","확인필요(입력누락)",IF(COUNTIFS(보유목록!$I$2:$I$3001,"*"&amp;P592&amp;"*",보유목록!$I$2:$I$3001,"*"&amp;Q592&amp;"*",보유목록!$H$2:$H$3001,O592)&gt;0,"있음",IF(COUNTIFS(보유목록!$I$2:$I$3001,"*"&amp;P592&amp;"*",보유목록!$I$2:$I$3001,"*"&amp;Q592&amp;"*")&gt;0,"확인필요(연도다름)",IF(COUNTIFS(보유목록!$I$2:$I$3001,"*"&amp;P592&amp;"*",보유목록!$H$2:$H$3001,O592)&gt;0,"확인필요(같은학교·같은연도)","없음")))))</f>
      </c>
      <c r="L592" t="str" s="16">
        <f aca="0">IF(OR(COUNTA(B592:J592)=0,R592&lt;&gt;""),"",COUNTIFS(보유목록!$I$2:$I$3001,"*"&amp;P592&amp;"*",보유목록!$I$2:$I$3001,"*"&amp;Q592&amp;"*"))</f>
      </c>
      <c r="M592" t="str" s="23">
        <f aca="0">IF(OR(COUNTA(B592:J592)=0,R592&lt;&gt;""),"",IFERROR(LOOKUP(2,1/(ISNUMBER(SEARCH(P592,보유목록!$I$2:$I$3001))*ISNUMBER(SEARCH(Q592,보유목록!$I$2:$I$3001))*(보유목록!$H$2:$H$3001=O592)),보유목록!$B$2:$B$3001),IFERROR(LOOKUP(2,1/(ISNUMBER(SEARCH(P592,보유목록!$I$2:$I$3001))*ISNUMBER(SEARCH(Q592,보유목록!$I$2:$I$3001))),보유목록!$B$2:$B$3001),"")))</f>
      </c>
      <c r="N592" s="25"/>
      <c r="O592" t="str">
        <f>IFERROR(IF(AND(LEN(SUBSTITUTE(SUBSTITUTE(SUBSTITUTE(TRIM(C592&amp;""),CHAR(160),"")," ",""),"년",""))=4,VALUE(SUBSTITUTE(SUBSTITUTE(SUBSTITUTE(TRIM(C592&amp;""),CHAR(160),"")," ",""),"년",""))&gt;=1900,VALUE(SUBSTITUTE(SUBSTITUTE(SUBSTITUTE(TRIM(C592&amp;""),CHAR(160),"")," ",""),"년",""))&lt;=2099,TEXT(VALUE(SUBSTITUTE(SUBSTITUTE(SUBSTITUTE(TRIM(C592&amp;""),CHAR(160),"")," ",""),"년","")),"0000")=SUBSTITUTE(SUBSTITUTE(SUBSTITUTE(TRIM(C592&amp;""),CHAR(160),"")," ",""),"년","")),SUBSTITUTE(SUBSTITUTE(SUBSTITUTE(TRIM(C592&amp;""),CHAR(160),"")," ",""),"년",""),""),"")</f>
      </c>
      <c r="P592" t="str">
        <f>SUBSTITUTE(SUBSTITUTE(SUBSTITUTE(SUBSTITUTE(SUBSTITUTE(SUBSTITUTE(SUBSTITUTE(SUBSTITUTE(TRIM(D592&amp;""),CHAR(160),"")," ",""),"초등학교","초"),"중학교","중"),"고등학교","고"),"~","~~"),"*","~*"),"?","~?")</f>
      </c>
      <c r="Q592" t="str">
        <f>SUBSTITUTE(SUBSTITUTE(SUBSTITUTE(SUBSTITUTE(SUBSTITUTE(SUBSTITUTE(SUBSTITUTE(SUBSTITUTE(TRIM(E592&amp;""),CHAR(160),"")," ",""),"초등학교","초"),"중학교","중"),"고등학교","고"),"~","~~"),"*","~*"),"?","~?")</f>
      </c>
      <c r="R592" t="str">
        <f>IF(COUNTA(B592:J592)=0,"",IF(AND(O592&lt;&gt;"",P592&lt;&gt;"",Q592&lt;&gt;""),"","입력누락"))</f>
      </c>
    </row>
    <row r="593" customFormat="false" ht="15" hidden="false" customHeight="false" outlineLevel="0" collapsed="false">
      <c r="A593" t="n" s="19">
        <f aca="0">IF(COUNTA(B593:J593)=0,"",ROW()-1)</f>
      </c>
      <c r="B593" s="24"/>
      <c r="C593" s="25"/>
      <c r="D593" s="8"/>
      <c r="E593" s="8"/>
      <c r="F593" s="26"/>
      <c r="G593" s="24"/>
      <c r="H593" s="25"/>
      <c r="I593" s="25"/>
      <c r="J593" s="26"/>
      <c r="K593" t="str" s="15">
        <f aca="0">IF(COUNTA(B593:J593)=0,"",IF(R593&lt;&gt;"","확인필요(입력누락)",IF(COUNTIFS(보유목록!$I$2:$I$3001,"*"&amp;P593&amp;"*",보유목록!$I$2:$I$3001,"*"&amp;Q593&amp;"*",보유목록!$H$2:$H$3001,O593)&gt;0,"있음",IF(COUNTIFS(보유목록!$I$2:$I$3001,"*"&amp;P593&amp;"*",보유목록!$I$2:$I$3001,"*"&amp;Q593&amp;"*")&gt;0,"확인필요(연도다름)",IF(COUNTIFS(보유목록!$I$2:$I$3001,"*"&amp;P593&amp;"*",보유목록!$H$2:$H$3001,O593)&gt;0,"확인필요(같은학교·같은연도)","없음")))))</f>
      </c>
      <c r="L593" t="str" s="16">
        <f aca="0">IF(OR(COUNTA(B593:J593)=0,R593&lt;&gt;""),"",COUNTIFS(보유목록!$I$2:$I$3001,"*"&amp;P593&amp;"*",보유목록!$I$2:$I$3001,"*"&amp;Q593&amp;"*"))</f>
      </c>
      <c r="M593" t="str" s="23">
        <f aca="0">IF(OR(COUNTA(B593:J593)=0,R593&lt;&gt;""),"",IFERROR(LOOKUP(2,1/(ISNUMBER(SEARCH(P593,보유목록!$I$2:$I$3001))*ISNUMBER(SEARCH(Q593,보유목록!$I$2:$I$3001))*(보유목록!$H$2:$H$3001=O593)),보유목록!$B$2:$B$3001),IFERROR(LOOKUP(2,1/(ISNUMBER(SEARCH(P593,보유목록!$I$2:$I$3001))*ISNUMBER(SEARCH(Q593,보유목록!$I$2:$I$3001))),보유목록!$B$2:$B$3001),"")))</f>
      </c>
      <c r="N593" s="25"/>
      <c r="O593" t="str">
        <f>IFERROR(IF(AND(LEN(SUBSTITUTE(SUBSTITUTE(SUBSTITUTE(TRIM(C593&amp;""),CHAR(160),"")," ",""),"년",""))=4,VALUE(SUBSTITUTE(SUBSTITUTE(SUBSTITUTE(TRIM(C593&amp;""),CHAR(160),"")," ",""),"년",""))&gt;=1900,VALUE(SUBSTITUTE(SUBSTITUTE(SUBSTITUTE(TRIM(C593&amp;""),CHAR(160),"")," ",""),"년",""))&lt;=2099,TEXT(VALUE(SUBSTITUTE(SUBSTITUTE(SUBSTITUTE(TRIM(C593&amp;""),CHAR(160),"")," ",""),"년","")),"0000")=SUBSTITUTE(SUBSTITUTE(SUBSTITUTE(TRIM(C593&amp;""),CHAR(160),"")," ",""),"년","")),SUBSTITUTE(SUBSTITUTE(SUBSTITUTE(TRIM(C593&amp;""),CHAR(160),"")," ",""),"년",""),""),"")</f>
      </c>
      <c r="P593" t="str">
        <f>SUBSTITUTE(SUBSTITUTE(SUBSTITUTE(SUBSTITUTE(SUBSTITUTE(SUBSTITUTE(SUBSTITUTE(SUBSTITUTE(TRIM(D593&amp;""),CHAR(160),"")," ",""),"초등학교","초"),"중학교","중"),"고등학교","고"),"~","~~"),"*","~*"),"?","~?")</f>
      </c>
      <c r="Q593" t="str">
        <f>SUBSTITUTE(SUBSTITUTE(SUBSTITUTE(SUBSTITUTE(SUBSTITUTE(SUBSTITUTE(SUBSTITUTE(SUBSTITUTE(TRIM(E593&amp;""),CHAR(160),"")," ",""),"초등학교","초"),"중학교","중"),"고등학교","고"),"~","~~"),"*","~*"),"?","~?")</f>
      </c>
      <c r="R593" t="str">
        <f>IF(COUNTA(B593:J593)=0,"",IF(AND(O593&lt;&gt;"",P593&lt;&gt;"",Q593&lt;&gt;""),"","입력누락"))</f>
      </c>
    </row>
    <row r="594" customFormat="false" ht="15" hidden="false" customHeight="false" outlineLevel="0" collapsed="false">
      <c r="A594" t="n" s="19">
        <f aca="0">IF(COUNTA(B594:J594)=0,"",ROW()-1)</f>
      </c>
      <c r="B594" s="24"/>
      <c r="C594" s="25"/>
      <c r="D594" s="8"/>
      <c r="E594" s="8"/>
      <c r="F594" s="26"/>
      <c r="G594" s="24"/>
      <c r="H594" s="25"/>
      <c r="I594" s="25"/>
      <c r="J594" s="26"/>
      <c r="K594" t="str" s="15">
        <f aca="0">IF(COUNTA(B594:J594)=0,"",IF(R594&lt;&gt;"","확인필요(입력누락)",IF(COUNTIFS(보유목록!$I$2:$I$3001,"*"&amp;P594&amp;"*",보유목록!$I$2:$I$3001,"*"&amp;Q594&amp;"*",보유목록!$H$2:$H$3001,O594)&gt;0,"있음",IF(COUNTIFS(보유목록!$I$2:$I$3001,"*"&amp;P594&amp;"*",보유목록!$I$2:$I$3001,"*"&amp;Q594&amp;"*")&gt;0,"확인필요(연도다름)",IF(COUNTIFS(보유목록!$I$2:$I$3001,"*"&amp;P594&amp;"*",보유목록!$H$2:$H$3001,O594)&gt;0,"확인필요(같은학교·같은연도)","없음")))))</f>
      </c>
      <c r="L594" t="str" s="16">
        <f aca="0">IF(OR(COUNTA(B594:J594)=0,R594&lt;&gt;""),"",COUNTIFS(보유목록!$I$2:$I$3001,"*"&amp;P594&amp;"*",보유목록!$I$2:$I$3001,"*"&amp;Q594&amp;"*"))</f>
      </c>
      <c r="M594" t="str" s="23">
        <f aca="0">IF(OR(COUNTA(B594:J594)=0,R594&lt;&gt;""),"",IFERROR(LOOKUP(2,1/(ISNUMBER(SEARCH(P594,보유목록!$I$2:$I$3001))*ISNUMBER(SEARCH(Q594,보유목록!$I$2:$I$3001))*(보유목록!$H$2:$H$3001=O594)),보유목록!$B$2:$B$3001),IFERROR(LOOKUP(2,1/(ISNUMBER(SEARCH(P594,보유목록!$I$2:$I$3001))*ISNUMBER(SEARCH(Q594,보유목록!$I$2:$I$3001))),보유목록!$B$2:$B$3001),"")))</f>
      </c>
      <c r="N594" s="25"/>
      <c r="O594" t="str">
        <f>IFERROR(IF(AND(LEN(SUBSTITUTE(SUBSTITUTE(SUBSTITUTE(TRIM(C594&amp;""),CHAR(160),"")," ",""),"년",""))=4,VALUE(SUBSTITUTE(SUBSTITUTE(SUBSTITUTE(TRIM(C594&amp;""),CHAR(160),"")," ",""),"년",""))&gt;=1900,VALUE(SUBSTITUTE(SUBSTITUTE(SUBSTITUTE(TRIM(C594&amp;""),CHAR(160),"")," ",""),"년",""))&lt;=2099,TEXT(VALUE(SUBSTITUTE(SUBSTITUTE(SUBSTITUTE(TRIM(C594&amp;""),CHAR(160),"")," ",""),"년","")),"0000")=SUBSTITUTE(SUBSTITUTE(SUBSTITUTE(TRIM(C594&amp;""),CHAR(160),"")," ",""),"년","")),SUBSTITUTE(SUBSTITUTE(SUBSTITUTE(TRIM(C594&amp;""),CHAR(160),"")," ",""),"년",""),""),"")</f>
      </c>
      <c r="P594" t="str">
        <f>SUBSTITUTE(SUBSTITUTE(SUBSTITUTE(SUBSTITUTE(SUBSTITUTE(SUBSTITUTE(SUBSTITUTE(SUBSTITUTE(TRIM(D594&amp;""),CHAR(160),"")," ",""),"초등학교","초"),"중학교","중"),"고등학교","고"),"~","~~"),"*","~*"),"?","~?")</f>
      </c>
      <c r="Q594" t="str">
        <f>SUBSTITUTE(SUBSTITUTE(SUBSTITUTE(SUBSTITUTE(SUBSTITUTE(SUBSTITUTE(SUBSTITUTE(SUBSTITUTE(TRIM(E594&amp;""),CHAR(160),"")," ",""),"초등학교","초"),"중학교","중"),"고등학교","고"),"~","~~"),"*","~*"),"?","~?")</f>
      </c>
      <c r="R594" t="str">
        <f>IF(COUNTA(B594:J594)=0,"",IF(AND(O594&lt;&gt;"",P594&lt;&gt;"",Q594&lt;&gt;""),"","입력누락"))</f>
      </c>
    </row>
    <row r="595" customFormat="false" ht="15" hidden="false" customHeight="false" outlineLevel="0" collapsed="false">
      <c r="A595" t="n" s="19">
        <f aca="0">IF(COUNTA(B595:J595)=0,"",ROW()-1)</f>
      </c>
      <c r="B595" s="24"/>
      <c r="C595" s="25"/>
      <c r="D595" s="8"/>
      <c r="E595" s="8"/>
      <c r="F595" s="26"/>
      <c r="G595" s="24"/>
      <c r="H595" s="25"/>
      <c r="I595" s="25"/>
      <c r="J595" s="26"/>
      <c r="K595" t="str" s="15">
        <f aca="0">IF(COUNTA(B595:J595)=0,"",IF(R595&lt;&gt;"","확인필요(입력누락)",IF(COUNTIFS(보유목록!$I$2:$I$3001,"*"&amp;P595&amp;"*",보유목록!$I$2:$I$3001,"*"&amp;Q595&amp;"*",보유목록!$H$2:$H$3001,O595)&gt;0,"있음",IF(COUNTIFS(보유목록!$I$2:$I$3001,"*"&amp;P595&amp;"*",보유목록!$I$2:$I$3001,"*"&amp;Q595&amp;"*")&gt;0,"확인필요(연도다름)",IF(COUNTIFS(보유목록!$I$2:$I$3001,"*"&amp;P595&amp;"*",보유목록!$H$2:$H$3001,O595)&gt;0,"확인필요(같은학교·같은연도)","없음")))))</f>
      </c>
      <c r="L595" t="str" s="16">
        <f aca="0">IF(OR(COUNTA(B595:J595)=0,R595&lt;&gt;""),"",COUNTIFS(보유목록!$I$2:$I$3001,"*"&amp;P595&amp;"*",보유목록!$I$2:$I$3001,"*"&amp;Q595&amp;"*"))</f>
      </c>
      <c r="M595" t="str" s="23">
        <f aca="0">IF(OR(COUNTA(B595:J595)=0,R595&lt;&gt;""),"",IFERROR(LOOKUP(2,1/(ISNUMBER(SEARCH(P595,보유목록!$I$2:$I$3001))*ISNUMBER(SEARCH(Q595,보유목록!$I$2:$I$3001))*(보유목록!$H$2:$H$3001=O595)),보유목록!$B$2:$B$3001),IFERROR(LOOKUP(2,1/(ISNUMBER(SEARCH(P595,보유목록!$I$2:$I$3001))*ISNUMBER(SEARCH(Q595,보유목록!$I$2:$I$3001))),보유목록!$B$2:$B$3001),"")))</f>
      </c>
      <c r="N595" s="25"/>
      <c r="O595" t="str">
        <f>IFERROR(IF(AND(LEN(SUBSTITUTE(SUBSTITUTE(SUBSTITUTE(TRIM(C595&amp;""),CHAR(160),"")," ",""),"년",""))=4,VALUE(SUBSTITUTE(SUBSTITUTE(SUBSTITUTE(TRIM(C595&amp;""),CHAR(160),"")," ",""),"년",""))&gt;=1900,VALUE(SUBSTITUTE(SUBSTITUTE(SUBSTITUTE(TRIM(C595&amp;""),CHAR(160),"")," ",""),"년",""))&lt;=2099,TEXT(VALUE(SUBSTITUTE(SUBSTITUTE(SUBSTITUTE(TRIM(C595&amp;""),CHAR(160),"")," ",""),"년","")),"0000")=SUBSTITUTE(SUBSTITUTE(SUBSTITUTE(TRIM(C595&amp;""),CHAR(160),"")," ",""),"년","")),SUBSTITUTE(SUBSTITUTE(SUBSTITUTE(TRIM(C595&amp;""),CHAR(160),"")," ",""),"년",""),""),"")</f>
      </c>
      <c r="P595" t="str">
        <f>SUBSTITUTE(SUBSTITUTE(SUBSTITUTE(SUBSTITUTE(SUBSTITUTE(SUBSTITUTE(SUBSTITUTE(SUBSTITUTE(TRIM(D595&amp;""),CHAR(160),"")," ",""),"초등학교","초"),"중학교","중"),"고등학교","고"),"~","~~"),"*","~*"),"?","~?")</f>
      </c>
      <c r="Q595" t="str">
        <f>SUBSTITUTE(SUBSTITUTE(SUBSTITUTE(SUBSTITUTE(SUBSTITUTE(SUBSTITUTE(SUBSTITUTE(SUBSTITUTE(TRIM(E595&amp;""),CHAR(160),"")," ",""),"초등학교","초"),"중학교","중"),"고등학교","고"),"~","~~"),"*","~*"),"?","~?")</f>
      </c>
      <c r="R595" t="str">
        <f>IF(COUNTA(B595:J595)=0,"",IF(AND(O595&lt;&gt;"",P595&lt;&gt;"",Q595&lt;&gt;""),"","입력누락"))</f>
      </c>
    </row>
    <row r="596" customFormat="false" ht="15" hidden="false" customHeight="false" outlineLevel="0" collapsed="false">
      <c r="A596" t="n" s="19">
        <f aca="0">IF(COUNTA(B596:J596)=0,"",ROW()-1)</f>
      </c>
      <c r="B596" s="24"/>
      <c r="C596" s="25"/>
      <c r="D596" s="8"/>
      <c r="E596" s="8"/>
      <c r="F596" s="26"/>
      <c r="G596" s="24"/>
      <c r="H596" s="25"/>
      <c r="I596" s="25"/>
      <c r="J596" s="26"/>
      <c r="K596" t="str" s="15">
        <f aca="0">IF(COUNTA(B596:J596)=0,"",IF(R596&lt;&gt;"","확인필요(입력누락)",IF(COUNTIFS(보유목록!$I$2:$I$3001,"*"&amp;P596&amp;"*",보유목록!$I$2:$I$3001,"*"&amp;Q596&amp;"*",보유목록!$H$2:$H$3001,O596)&gt;0,"있음",IF(COUNTIFS(보유목록!$I$2:$I$3001,"*"&amp;P596&amp;"*",보유목록!$I$2:$I$3001,"*"&amp;Q596&amp;"*")&gt;0,"확인필요(연도다름)",IF(COUNTIFS(보유목록!$I$2:$I$3001,"*"&amp;P596&amp;"*",보유목록!$H$2:$H$3001,O596)&gt;0,"확인필요(같은학교·같은연도)","없음")))))</f>
      </c>
      <c r="L596" t="str" s="16">
        <f aca="0">IF(OR(COUNTA(B596:J596)=0,R596&lt;&gt;""),"",COUNTIFS(보유목록!$I$2:$I$3001,"*"&amp;P596&amp;"*",보유목록!$I$2:$I$3001,"*"&amp;Q596&amp;"*"))</f>
      </c>
      <c r="M596" t="str" s="23">
        <f aca="0">IF(OR(COUNTA(B596:J596)=0,R596&lt;&gt;""),"",IFERROR(LOOKUP(2,1/(ISNUMBER(SEARCH(P596,보유목록!$I$2:$I$3001))*ISNUMBER(SEARCH(Q596,보유목록!$I$2:$I$3001))*(보유목록!$H$2:$H$3001=O596)),보유목록!$B$2:$B$3001),IFERROR(LOOKUP(2,1/(ISNUMBER(SEARCH(P596,보유목록!$I$2:$I$3001))*ISNUMBER(SEARCH(Q596,보유목록!$I$2:$I$3001))),보유목록!$B$2:$B$3001),"")))</f>
      </c>
      <c r="N596" s="25"/>
      <c r="O596" t="str">
        <f>IFERROR(IF(AND(LEN(SUBSTITUTE(SUBSTITUTE(SUBSTITUTE(TRIM(C596&amp;""),CHAR(160),"")," ",""),"년",""))=4,VALUE(SUBSTITUTE(SUBSTITUTE(SUBSTITUTE(TRIM(C596&amp;""),CHAR(160),"")," ",""),"년",""))&gt;=1900,VALUE(SUBSTITUTE(SUBSTITUTE(SUBSTITUTE(TRIM(C596&amp;""),CHAR(160),"")," ",""),"년",""))&lt;=2099,TEXT(VALUE(SUBSTITUTE(SUBSTITUTE(SUBSTITUTE(TRIM(C596&amp;""),CHAR(160),"")," ",""),"년","")),"0000")=SUBSTITUTE(SUBSTITUTE(SUBSTITUTE(TRIM(C596&amp;""),CHAR(160),"")," ",""),"년","")),SUBSTITUTE(SUBSTITUTE(SUBSTITUTE(TRIM(C596&amp;""),CHAR(160),"")," ",""),"년",""),""),"")</f>
      </c>
      <c r="P596" t="str">
        <f>SUBSTITUTE(SUBSTITUTE(SUBSTITUTE(SUBSTITUTE(SUBSTITUTE(SUBSTITUTE(SUBSTITUTE(SUBSTITUTE(TRIM(D596&amp;""),CHAR(160),"")," ",""),"초등학교","초"),"중학교","중"),"고등학교","고"),"~","~~"),"*","~*"),"?","~?")</f>
      </c>
      <c r="Q596" t="str">
        <f>SUBSTITUTE(SUBSTITUTE(SUBSTITUTE(SUBSTITUTE(SUBSTITUTE(SUBSTITUTE(SUBSTITUTE(SUBSTITUTE(TRIM(E596&amp;""),CHAR(160),"")," ",""),"초등학교","초"),"중학교","중"),"고등학교","고"),"~","~~"),"*","~*"),"?","~?")</f>
      </c>
      <c r="R596" t="str">
        <f>IF(COUNTA(B596:J596)=0,"",IF(AND(O596&lt;&gt;"",P596&lt;&gt;"",Q596&lt;&gt;""),"","입력누락"))</f>
      </c>
    </row>
    <row r="597" customFormat="false" ht="15" hidden="false" customHeight="false" outlineLevel="0" collapsed="false">
      <c r="A597" t="n" s="19">
        <f aca="0">IF(COUNTA(B597:J597)=0,"",ROW()-1)</f>
      </c>
      <c r="B597" s="24"/>
      <c r="C597" s="25"/>
      <c r="D597" s="8"/>
      <c r="E597" s="8"/>
      <c r="F597" s="26"/>
      <c r="G597" s="24"/>
      <c r="H597" s="25"/>
      <c r="I597" s="25"/>
      <c r="J597" s="26"/>
      <c r="K597" t="str" s="15">
        <f aca="0">IF(COUNTA(B597:J597)=0,"",IF(R597&lt;&gt;"","확인필요(입력누락)",IF(COUNTIFS(보유목록!$I$2:$I$3001,"*"&amp;P597&amp;"*",보유목록!$I$2:$I$3001,"*"&amp;Q597&amp;"*",보유목록!$H$2:$H$3001,O597)&gt;0,"있음",IF(COUNTIFS(보유목록!$I$2:$I$3001,"*"&amp;P597&amp;"*",보유목록!$I$2:$I$3001,"*"&amp;Q597&amp;"*")&gt;0,"확인필요(연도다름)",IF(COUNTIFS(보유목록!$I$2:$I$3001,"*"&amp;P597&amp;"*",보유목록!$H$2:$H$3001,O597)&gt;0,"확인필요(같은학교·같은연도)","없음")))))</f>
      </c>
      <c r="L597" t="str" s="16">
        <f aca="0">IF(OR(COUNTA(B597:J597)=0,R597&lt;&gt;""),"",COUNTIFS(보유목록!$I$2:$I$3001,"*"&amp;P597&amp;"*",보유목록!$I$2:$I$3001,"*"&amp;Q597&amp;"*"))</f>
      </c>
      <c r="M597" t="str" s="23">
        <f aca="0">IF(OR(COUNTA(B597:J597)=0,R597&lt;&gt;""),"",IFERROR(LOOKUP(2,1/(ISNUMBER(SEARCH(P597,보유목록!$I$2:$I$3001))*ISNUMBER(SEARCH(Q597,보유목록!$I$2:$I$3001))*(보유목록!$H$2:$H$3001=O597)),보유목록!$B$2:$B$3001),IFERROR(LOOKUP(2,1/(ISNUMBER(SEARCH(P597,보유목록!$I$2:$I$3001))*ISNUMBER(SEARCH(Q597,보유목록!$I$2:$I$3001))),보유목록!$B$2:$B$3001),"")))</f>
      </c>
      <c r="N597" s="25"/>
      <c r="O597" t="str">
        <f>IFERROR(IF(AND(LEN(SUBSTITUTE(SUBSTITUTE(SUBSTITUTE(TRIM(C597&amp;""),CHAR(160),"")," ",""),"년",""))=4,VALUE(SUBSTITUTE(SUBSTITUTE(SUBSTITUTE(TRIM(C597&amp;""),CHAR(160),"")," ",""),"년",""))&gt;=1900,VALUE(SUBSTITUTE(SUBSTITUTE(SUBSTITUTE(TRIM(C597&amp;""),CHAR(160),"")," ",""),"년",""))&lt;=2099,TEXT(VALUE(SUBSTITUTE(SUBSTITUTE(SUBSTITUTE(TRIM(C597&amp;""),CHAR(160),"")," ",""),"년","")),"0000")=SUBSTITUTE(SUBSTITUTE(SUBSTITUTE(TRIM(C597&amp;""),CHAR(160),"")," ",""),"년","")),SUBSTITUTE(SUBSTITUTE(SUBSTITUTE(TRIM(C597&amp;""),CHAR(160),"")," ",""),"년",""),""),"")</f>
      </c>
      <c r="P597" t="str">
        <f>SUBSTITUTE(SUBSTITUTE(SUBSTITUTE(SUBSTITUTE(SUBSTITUTE(SUBSTITUTE(SUBSTITUTE(SUBSTITUTE(TRIM(D597&amp;""),CHAR(160),"")," ",""),"초등학교","초"),"중학교","중"),"고등학교","고"),"~","~~"),"*","~*"),"?","~?")</f>
      </c>
      <c r="Q597" t="str">
        <f>SUBSTITUTE(SUBSTITUTE(SUBSTITUTE(SUBSTITUTE(SUBSTITUTE(SUBSTITUTE(SUBSTITUTE(SUBSTITUTE(TRIM(E597&amp;""),CHAR(160),"")," ",""),"초등학교","초"),"중학교","중"),"고등학교","고"),"~","~~"),"*","~*"),"?","~?")</f>
      </c>
      <c r="R597" t="str">
        <f>IF(COUNTA(B597:J597)=0,"",IF(AND(O597&lt;&gt;"",P597&lt;&gt;"",Q597&lt;&gt;""),"","입력누락"))</f>
      </c>
    </row>
    <row r="598" customFormat="false" ht="15" hidden="false" customHeight="false" outlineLevel="0" collapsed="false">
      <c r="A598" t="n" s="19">
        <f aca="0">IF(COUNTA(B598:J598)=0,"",ROW()-1)</f>
      </c>
      <c r="B598" s="24"/>
      <c r="C598" s="25"/>
      <c r="D598" s="8"/>
      <c r="E598" s="8"/>
      <c r="F598" s="26"/>
      <c r="G598" s="24"/>
      <c r="H598" s="25"/>
      <c r="I598" s="25"/>
      <c r="J598" s="26"/>
      <c r="K598" t="str" s="15">
        <f aca="0">IF(COUNTA(B598:J598)=0,"",IF(R598&lt;&gt;"","확인필요(입력누락)",IF(COUNTIFS(보유목록!$I$2:$I$3001,"*"&amp;P598&amp;"*",보유목록!$I$2:$I$3001,"*"&amp;Q598&amp;"*",보유목록!$H$2:$H$3001,O598)&gt;0,"있음",IF(COUNTIFS(보유목록!$I$2:$I$3001,"*"&amp;P598&amp;"*",보유목록!$I$2:$I$3001,"*"&amp;Q598&amp;"*")&gt;0,"확인필요(연도다름)",IF(COUNTIFS(보유목록!$I$2:$I$3001,"*"&amp;P598&amp;"*",보유목록!$H$2:$H$3001,O598)&gt;0,"확인필요(같은학교·같은연도)","없음")))))</f>
      </c>
      <c r="L598" t="str" s="16">
        <f aca="0">IF(OR(COUNTA(B598:J598)=0,R598&lt;&gt;""),"",COUNTIFS(보유목록!$I$2:$I$3001,"*"&amp;P598&amp;"*",보유목록!$I$2:$I$3001,"*"&amp;Q598&amp;"*"))</f>
      </c>
      <c r="M598" t="str" s="23">
        <f aca="0">IF(OR(COUNTA(B598:J598)=0,R598&lt;&gt;""),"",IFERROR(LOOKUP(2,1/(ISNUMBER(SEARCH(P598,보유목록!$I$2:$I$3001))*ISNUMBER(SEARCH(Q598,보유목록!$I$2:$I$3001))*(보유목록!$H$2:$H$3001=O598)),보유목록!$B$2:$B$3001),IFERROR(LOOKUP(2,1/(ISNUMBER(SEARCH(P598,보유목록!$I$2:$I$3001))*ISNUMBER(SEARCH(Q598,보유목록!$I$2:$I$3001))),보유목록!$B$2:$B$3001),"")))</f>
      </c>
      <c r="N598" s="25"/>
      <c r="O598" t="str">
        <f>IFERROR(IF(AND(LEN(SUBSTITUTE(SUBSTITUTE(SUBSTITUTE(TRIM(C598&amp;""),CHAR(160),"")," ",""),"년",""))=4,VALUE(SUBSTITUTE(SUBSTITUTE(SUBSTITUTE(TRIM(C598&amp;""),CHAR(160),"")," ",""),"년",""))&gt;=1900,VALUE(SUBSTITUTE(SUBSTITUTE(SUBSTITUTE(TRIM(C598&amp;""),CHAR(160),"")," ",""),"년",""))&lt;=2099,TEXT(VALUE(SUBSTITUTE(SUBSTITUTE(SUBSTITUTE(TRIM(C598&amp;""),CHAR(160),"")," ",""),"년","")),"0000")=SUBSTITUTE(SUBSTITUTE(SUBSTITUTE(TRIM(C598&amp;""),CHAR(160),"")," ",""),"년","")),SUBSTITUTE(SUBSTITUTE(SUBSTITUTE(TRIM(C598&amp;""),CHAR(160),"")," ",""),"년",""),""),"")</f>
      </c>
      <c r="P598" t="str">
        <f>SUBSTITUTE(SUBSTITUTE(SUBSTITUTE(SUBSTITUTE(SUBSTITUTE(SUBSTITUTE(SUBSTITUTE(SUBSTITUTE(TRIM(D598&amp;""),CHAR(160),"")," ",""),"초등학교","초"),"중학교","중"),"고등학교","고"),"~","~~"),"*","~*"),"?","~?")</f>
      </c>
      <c r="Q598" t="str">
        <f>SUBSTITUTE(SUBSTITUTE(SUBSTITUTE(SUBSTITUTE(SUBSTITUTE(SUBSTITUTE(SUBSTITUTE(SUBSTITUTE(TRIM(E598&amp;""),CHAR(160),"")," ",""),"초등학교","초"),"중학교","중"),"고등학교","고"),"~","~~"),"*","~*"),"?","~?")</f>
      </c>
      <c r="R598" t="str">
        <f>IF(COUNTA(B598:J598)=0,"",IF(AND(O598&lt;&gt;"",P598&lt;&gt;"",Q598&lt;&gt;""),"","입력누락"))</f>
      </c>
    </row>
    <row r="599" customFormat="false" ht="15" hidden="false" customHeight="false" outlineLevel="0" collapsed="false">
      <c r="A599" t="n" s="19">
        <f aca="0">IF(COUNTA(B599:J599)=0,"",ROW()-1)</f>
      </c>
      <c r="B599" s="24"/>
      <c r="C599" s="25"/>
      <c r="D599" s="8"/>
      <c r="E599" s="8"/>
      <c r="F599" s="26"/>
      <c r="G599" s="24"/>
      <c r="H599" s="25"/>
      <c r="I599" s="25"/>
      <c r="J599" s="26"/>
      <c r="K599" t="str" s="15">
        <f aca="0">IF(COUNTA(B599:J599)=0,"",IF(R599&lt;&gt;"","확인필요(입력누락)",IF(COUNTIFS(보유목록!$I$2:$I$3001,"*"&amp;P599&amp;"*",보유목록!$I$2:$I$3001,"*"&amp;Q599&amp;"*",보유목록!$H$2:$H$3001,O599)&gt;0,"있음",IF(COUNTIFS(보유목록!$I$2:$I$3001,"*"&amp;P599&amp;"*",보유목록!$I$2:$I$3001,"*"&amp;Q599&amp;"*")&gt;0,"확인필요(연도다름)",IF(COUNTIFS(보유목록!$I$2:$I$3001,"*"&amp;P599&amp;"*",보유목록!$H$2:$H$3001,O599)&gt;0,"확인필요(같은학교·같은연도)","없음")))))</f>
      </c>
      <c r="L599" t="str" s="16">
        <f aca="0">IF(OR(COUNTA(B599:J599)=0,R599&lt;&gt;""),"",COUNTIFS(보유목록!$I$2:$I$3001,"*"&amp;P599&amp;"*",보유목록!$I$2:$I$3001,"*"&amp;Q599&amp;"*"))</f>
      </c>
      <c r="M599" t="str" s="23">
        <f aca="0">IF(OR(COUNTA(B599:J599)=0,R599&lt;&gt;""),"",IFERROR(LOOKUP(2,1/(ISNUMBER(SEARCH(P599,보유목록!$I$2:$I$3001))*ISNUMBER(SEARCH(Q599,보유목록!$I$2:$I$3001))*(보유목록!$H$2:$H$3001=O599)),보유목록!$B$2:$B$3001),IFERROR(LOOKUP(2,1/(ISNUMBER(SEARCH(P599,보유목록!$I$2:$I$3001))*ISNUMBER(SEARCH(Q599,보유목록!$I$2:$I$3001))),보유목록!$B$2:$B$3001),"")))</f>
      </c>
      <c r="N599" s="25"/>
      <c r="O599" t="str">
        <f>IFERROR(IF(AND(LEN(SUBSTITUTE(SUBSTITUTE(SUBSTITUTE(TRIM(C599&amp;""),CHAR(160),"")," ",""),"년",""))=4,VALUE(SUBSTITUTE(SUBSTITUTE(SUBSTITUTE(TRIM(C599&amp;""),CHAR(160),"")," ",""),"년",""))&gt;=1900,VALUE(SUBSTITUTE(SUBSTITUTE(SUBSTITUTE(TRIM(C599&amp;""),CHAR(160),"")," ",""),"년",""))&lt;=2099,TEXT(VALUE(SUBSTITUTE(SUBSTITUTE(SUBSTITUTE(TRIM(C599&amp;""),CHAR(160),"")," ",""),"년","")),"0000")=SUBSTITUTE(SUBSTITUTE(SUBSTITUTE(TRIM(C599&amp;""),CHAR(160),"")," ",""),"년","")),SUBSTITUTE(SUBSTITUTE(SUBSTITUTE(TRIM(C599&amp;""),CHAR(160),"")," ",""),"년",""),""),"")</f>
      </c>
      <c r="P599" t="str">
        <f>SUBSTITUTE(SUBSTITUTE(SUBSTITUTE(SUBSTITUTE(SUBSTITUTE(SUBSTITUTE(SUBSTITUTE(SUBSTITUTE(TRIM(D599&amp;""),CHAR(160),"")," ",""),"초등학교","초"),"중학교","중"),"고등학교","고"),"~","~~"),"*","~*"),"?","~?")</f>
      </c>
      <c r="Q599" t="str">
        <f>SUBSTITUTE(SUBSTITUTE(SUBSTITUTE(SUBSTITUTE(SUBSTITUTE(SUBSTITUTE(SUBSTITUTE(SUBSTITUTE(TRIM(E599&amp;""),CHAR(160),"")," ",""),"초등학교","초"),"중학교","중"),"고등학교","고"),"~","~~"),"*","~*"),"?","~?")</f>
      </c>
      <c r="R599" t="str">
        <f>IF(COUNTA(B599:J599)=0,"",IF(AND(O599&lt;&gt;"",P599&lt;&gt;"",Q599&lt;&gt;""),"","입력누락"))</f>
      </c>
    </row>
    <row r="600" customFormat="false" ht="15" hidden="false" customHeight="false" outlineLevel="0" collapsed="false">
      <c r="A600" t="n" s="19">
        <f aca="0">IF(COUNTA(B600:J600)=0,"",ROW()-1)</f>
      </c>
      <c r="B600" s="24"/>
      <c r="C600" s="25"/>
      <c r="D600" s="8"/>
      <c r="E600" s="8"/>
      <c r="F600" s="26"/>
      <c r="G600" s="24"/>
      <c r="H600" s="25"/>
      <c r="I600" s="25"/>
      <c r="J600" s="26"/>
      <c r="K600" t="str" s="15">
        <f aca="0">IF(COUNTA(B600:J600)=0,"",IF(R600&lt;&gt;"","확인필요(입력누락)",IF(COUNTIFS(보유목록!$I$2:$I$3001,"*"&amp;P600&amp;"*",보유목록!$I$2:$I$3001,"*"&amp;Q600&amp;"*",보유목록!$H$2:$H$3001,O600)&gt;0,"있음",IF(COUNTIFS(보유목록!$I$2:$I$3001,"*"&amp;P600&amp;"*",보유목록!$I$2:$I$3001,"*"&amp;Q600&amp;"*")&gt;0,"확인필요(연도다름)",IF(COUNTIFS(보유목록!$I$2:$I$3001,"*"&amp;P600&amp;"*",보유목록!$H$2:$H$3001,O600)&gt;0,"확인필요(같은학교·같은연도)","없음")))))</f>
      </c>
      <c r="L600" t="str" s="16">
        <f aca="0">IF(OR(COUNTA(B600:J600)=0,R600&lt;&gt;""),"",COUNTIFS(보유목록!$I$2:$I$3001,"*"&amp;P600&amp;"*",보유목록!$I$2:$I$3001,"*"&amp;Q600&amp;"*"))</f>
      </c>
      <c r="M600" t="str" s="23">
        <f aca="0">IF(OR(COUNTA(B600:J600)=0,R600&lt;&gt;""),"",IFERROR(LOOKUP(2,1/(ISNUMBER(SEARCH(P600,보유목록!$I$2:$I$3001))*ISNUMBER(SEARCH(Q600,보유목록!$I$2:$I$3001))*(보유목록!$H$2:$H$3001=O600)),보유목록!$B$2:$B$3001),IFERROR(LOOKUP(2,1/(ISNUMBER(SEARCH(P600,보유목록!$I$2:$I$3001))*ISNUMBER(SEARCH(Q600,보유목록!$I$2:$I$3001))),보유목록!$B$2:$B$3001),"")))</f>
      </c>
      <c r="N600" s="25"/>
      <c r="O600" t="str">
        <f>IFERROR(IF(AND(LEN(SUBSTITUTE(SUBSTITUTE(SUBSTITUTE(TRIM(C600&amp;""),CHAR(160),"")," ",""),"년",""))=4,VALUE(SUBSTITUTE(SUBSTITUTE(SUBSTITUTE(TRIM(C600&amp;""),CHAR(160),"")," ",""),"년",""))&gt;=1900,VALUE(SUBSTITUTE(SUBSTITUTE(SUBSTITUTE(TRIM(C600&amp;""),CHAR(160),"")," ",""),"년",""))&lt;=2099,TEXT(VALUE(SUBSTITUTE(SUBSTITUTE(SUBSTITUTE(TRIM(C600&amp;""),CHAR(160),"")," ",""),"년","")),"0000")=SUBSTITUTE(SUBSTITUTE(SUBSTITUTE(TRIM(C600&amp;""),CHAR(160),"")," ",""),"년","")),SUBSTITUTE(SUBSTITUTE(SUBSTITUTE(TRIM(C600&amp;""),CHAR(160),"")," ",""),"년",""),""),"")</f>
      </c>
      <c r="P600" t="str">
        <f>SUBSTITUTE(SUBSTITUTE(SUBSTITUTE(SUBSTITUTE(SUBSTITUTE(SUBSTITUTE(SUBSTITUTE(SUBSTITUTE(TRIM(D600&amp;""),CHAR(160),"")," ",""),"초등학교","초"),"중학교","중"),"고등학교","고"),"~","~~"),"*","~*"),"?","~?")</f>
      </c>
      <c r="Q600" t="str">
        <f>SUBSTITUTE(SUBSTITUTE(SUBSTITUTE(SUBSTITUTE(SUBSTITUTE(SUBSTITUTE(SUBSTITUTE(SUBSTITUTE(TRIM(E600&amp;""),CHAR(160),"")," ",""),"초등학교","초"),"중학교","중"),"고등학교","고"),"~","~~"),"*","~*"),"?","~?")</f>
      </c>
      <c r="R600" t="str">
        <f>IF(COUNTA(B600:J600)=0,"",IF(AND(O600&lt;&gt;"",P600&lt;&gt;"",Q600&lt;&gt;""),"","입력누락"))</f>
      </c>
    </row>
    <row r="601" customFormat="false" ht="15" hidden="false" customHeight="false" outlineLevel="0" collapsed="false">
      <c r="A601" t="n" s="19">
        <f aca="0">IF(COUNTA(B601:J601)=0,"",ROW()-1)</f>
      </c>
      <c r="B601" s="24"/>
      <c r="C601" s="25"/>
      <c r="D601" s="8"/>
      <c r="E601" s="8"/>
      <c r="F601" s="26"/>
      <c r="G601" s="24"/>
      <c r="H601" s="25"/>
      <c r="I601" s="25"/>
      <c r="J601" s="26"/>
      <c r="K601" t="str" s="15">
        <f aca="0">IF(COUNTA(B601:J601)=0,"",IF(R601&lt;&gt;"","확인필요(입력누락)",IF(COUNTIFS(보유목록!$I$2:$I$3001,"*"&amp;P601&amp;"*",보유목록!$I$2:$I$3001,"*"&amp;Q601&amp;"*",보유목록!$H$2:$H$3001,O601)&gt;0,"있음",IF(COUNTIFS(보유목록!$I$2:$I$3001,"*"&amp;P601&amp;"*",보유목록!$I$2:$I$3001,"*"&amp;Q601&amp;"*")&gt;0,"확인필요(연도다름)",IF(COUNTIFS(보유목록!$I$2:$I$3001,"*"&amp;P601&amp;"*",보유목록!$H$2:$H$3001,O601)&gt;0,"확인필요(같은학교·같은연도)","없음")))))</f>
      </c>
      <c r="L601" t="str" s="16">
        <f aca="0">IF(OR(COUNTA(B601:J601)=0,R601&lt;&gt;""),"",COUNTIFS(보유목록!$I$2:$I$3001,"*"&amp;P601&amp;"*",보유목록!$I$2:$I$3001,"*"&amp;Q601&amp;"*"))</f>
      </c>
      <c r="M601" t="str" s="23">
        <f aca="0">IF(OR(COUNTA(B601:J601)=0,R601&lt;&gt;""),"",IFERROR(LOOKUP(2,1/(ISNUMBER(SEARCH(P601,보유목록!$I$2:$I$3001))*ISNUMBER(SEARCH(Q601,보유목록!$I$2:$I$3001))*(보유목록!$H$2:$H$3001=O601)),보유목록!$B$2:$B$3001),IFERROR(LOOKUP(2,1/(ISNUMBER(SEARCH(P601,보유목록!$I$2:$I$3001))*ISNUMBER(SEARCH(Q601,보유목록!$I$2:$I$3001))),보유목록!$B$2:$B$3001),"")))</f>
      </c>
      <c r="N601" s="25"/>
      <c r="O601" t="str">
        <f>IFERROR(IF(AND(LEN(SUBSTITUTE(SUBSTITUTE(SUBSTITUTE(TRIM(C601&amp;""),CHAR(160),"")," ",""),"년",""))=4,VALUE(SUBSTITUTE(SUBSTITUTE(SUBSTITUTE(TRIM(C601&amp;""),CHAR(160),"")," ",""),"년",""))&gt;=1900,VALUE(SUBSTITUTE(SUBSTITUTE(SUBSTITUTE(TRIM(C601&amp;""),CHAR(160),"")," ",""),"년",""))&lt;=2099,TEXT(VALUE(SUBSTITUTE(SUBSTITUTE(SUBSTITUTE(TRIM(C601&amp;""),CHAR(160),"")," ",""),"년","")),"0000")=SUBSTITUTE(SUBSTITUTE(SUBSTITUTE(TRIM(C601&amp;""),CHAR(160),"")," ",""),"년","")),SUBSTITUTE(SUBSTITUTE(SUBSTITUTE(TRIM(C601&amp;""),CHAR(160),"")," ",""),"년",""),""),"")</f>
      </c>
      <c r="P601" t="str">
        <f>SUBSTITUTE(SUBSTITUTE(SUBSTITUTE(SUBSTITUTE(SUBSTITUTE(SUBSTITUTE(SUBSTITUTE(SUBSTITUTE(TRIM(D601&amp;""),CHAR(160),"")," ",""),"초등학교","초"),"중학교","중"),"고등학교","고"),"~","~~"),"*","~*"),"?","~?")</f>
      </c>
      <c r="Q601" t="str">
        <f>SUBSTITUTE(SUBSTITUTE(SUBSTITUTE(SUBSTITUTE(SUBSTITUTE(SUBSTITUTE(SUBSTITUTE(SUBSTITUTE(TRIM(E601&amp;""),CHAR(160),"")," ",""),"초등학교","초"),"중학교","중"),"고등학교","고"),"~","~~"),"*","~*"),"?","~?")</f>
      </c>
      <c r="R601" t="str">
        <f>IF(COUNTA(B601:J601)=0,"",IF(AND(O601&lt;&gt;"",P601&lt;&gt;"",Q601&lt;&gt;""),"","입력누락"))</f>
      </c>
    </row>
    <row r="602" customFormat="false" ht="15" hidden="false" customHeight="false" outlineLevel="0" collapsed="false">
      <c r="A602" t="n" s="19">
        <f aca="0">IF(COUNTA(B602:J602)=0,"",ROW()-1)</f>
      </c>
      <c r="B602" s="24"/>
      <c r="C602" s="25"/>
      <c r="D602" s="8"/>
      <c r="E602" s="8"/>
      <c r="F602" s="26"/>
      <c r="G602" s="24"/>
      <c r="H602" s="25"/>
      <c r="I602" s="25"/>
      <c r="J602" s="26"/>
      <c r="K602" t="str" s="15">
        <f aca="0">IF(COUNTA(B602:J602)=0,"",IF(R602&lt;&gt;"","확인필요(입력누락)",IF(COUNTIFS(보유목록!$I$2:$I$3001,"*"&amp;P602&amp;"*",보유목록!$I$2:$I$3001,"*"&amp;Q602&amp;"*",보유목록!$H$2:$H$3001,O602)&gt;0,"있음",IF(COUNTIFS(보유목록!$I$2:$I$3001,"*"&amp;P602&amp;"*",보유목록!$I$2:$I$3001,"*"&amp;Q602&amp;"*")&gt;0,"확인필요(연도다름)",IF(COUNTIFS(보유목록!$I$2:$I$3001,"*"&amp;P602&amp;"*",보유목록!$H$2:$H$3001,O602)&gt;0,"확인필요(같은학교·같은연도)","없음")))))</f>
      </c>
      <c r="L602" t="str" s="16">
        <f aca="0">IF(OR(COUNTA(B602:J602)=0,R602&lt;&gt;""),"",COUNTIFS(보유목록!$I$2:$I$3001,"*"&amp;P602&amp;"*",보유목록!$I$2:$I$3001,"*"&amp;Q602&amp;"*"))</f>
      </c>
      <c r="M602" t="str" s="23">
        <f aca="0">IF(OR(COUNTA(B602:J602)=0,R602&lt;&gt;""),"",IFERROR(LOOKUP(2,1/(ISNUMBER(SEARCH(P602,보유목록!$I$2:$I$3001))*ISNUMBER(SEARCH(Q602,보유목록!$I$2:$I$3001))*(보유목록!$H$2:$H$3001=O602)),보유목록!$B$2:$B$3001),IFERROR(LOOKUP(2,1/(ISNUMBER(SEARCH(P602,보유목록!$I$2:$I$3001))*ISNUMBER(SEARCH(Q602,보유목록!$I$2:$I$3001))),보유목록!$B$2:$B$3001),"")))</f>
      </c>
      <c r="N602" s="25"/>
      <c r="O602" t="str">
        <f>IFERROR(IF(AND(LEN(SUBSTITUTE(SUBSTITUTE(SUBSTITUTE(TRIM(C602&amp;""),CHAR(160),"")," ",""),"년",""))=4,VALUE(SUBSTITUTE(SUBSTITUTE(SUBSTITUTE(TRIM(C602&amp;""),CHAR(160),"")," ",""),"년",""))&gt;=1900,VALUE(SUBSTITUTE(SUBSTITUTE(SUBSTITUTE(TRIM(C602&amp;""),CHAR(160),"")," ",""),"년",""))&lt;=2099,TEXT(VALUE(SUBSTITUTE(SUBSTITUTE(SUBSTITUTE(TRIM(C602&amp;""),CHAR(160),"")," ",""),"년","")),"0000")=SUBSTITUTE(SUBSTITUTE(SUBSTITUTE(TRIM(C602&amp;""),CHAR(160),"")," ",""),"년","")),SUBSTITUTE(SUBSTITUTE(SUBSTITUTE(TRIM(C602&amp;""),CHAR(160),"")," ",""),"년",""),""),"")</f>
      </c>
      <c r="P602" t="str">
        <f>SUBSTITUTE(SUBSTITUTE(SUBSTITUTE(SUBSTITUTE(SUBSTITUTE(SUBSTITUTE(SUBSTITUTE(SUBSTITUTE(TRIM(D602&amp;""),CHAR(160),"")," ",""),"초등학교","초"),"중학교","중"),"고등학교","고"),"~","~~"),"*","~*"),"?","~?")</f>
      </c>
      <c r="Q602" t="str">
        <f>SUBSTITUTE(SUBSTITUTE(SUBSTITUTE(SUBSTITUTE(SUBSTITUTE(SUBSTITUTE(SUBSTITUTE(SUBSTITUTE(TRIM(E602&amp;""),CHAR(160),"")," ",""),"초등학교","초"),"중학교","중"),"고등학교","고"),"~","~~"),"*","~*"),"?","~?")</f>
      </c>
      <c r="R602" t="str">
        <f>IF(COUNTA(B602:J602)=0,"",IF(AND(O602&lt;&gt;"",P602&lt;&gt;"",Q602&lt;&gt;""),"","입력누락"))</f>
      </c>
    </row>
    <row r="603" customFormat="false" ht="15" hidden="false" customHeight="false" outlineLevel="0" collapsed="false">
      <c r="A603" t="n" s="19">
        <f aca="0">IF(COUNTA(B603:J603)=0,"",ROW()-1)</f>
      </c>
      <c r="B603" s="24"/>
      <c r="C603" s="25"/>
      <c r="D603" s="8"/>
      <c r="E603" s="8"/>
      <c r="F603" s="26"/>
      <c r="G603" s="24"/>
      <c r="H603" s="25"/>
      <c r="I603" s="25"/>
      <c r="J603" s="26"/>
      <c r="K603" t="str" s="15">
        <f aca="0">IF(COUNTA(B603:J603)=0,"",IF(R603&lt;&gt;"","확인필요(입력누락)",IF(COUNTIFS(보유목록!$I$2:$I$3001,"*"&amp;P603&amp;"*",보유목록!$I$2:$I$3001,"*"&amp;Q603&amp;"*",보유목록!$H$2:$H$3001,O603)&gt;0,"있음",IF(COUNTIFS(보유목록!$I$2:$I$3001,"*"&amp;P603&amp;"*",보유목록!$I$2:$I$3001,"*"&amp;Q603&amp;"*")&gt;0,"확인필요(연도다름)",IF(COUNTIFS(보유목록!$I$2:$I$3001,"*"&amp;P603&amp;"*",보유목록!$H$2:$H$3001,O603)&gt;0,"확인필요(같은학교·같은연도)","없음")))))</f>
      </c>
      <c r="L603" t="str" s="16">
        <f aca="0">IF(OR(COUNTA(B603:J603)=0,R603&lt;&gt;""),"",COUNTIFS(보유목록!$I$2:$I$3001,"*"&amp;P603&amp;"*",보유목록!$I$2:$I$3001,"*"&amp;Q603&amp;"*"))</f>
      </c>
      <c r="M603" t="str" s="23">
        <f aca="0">IF(OR(COUNTA(B603:J603)=0,R603&lt;&gt;""),"",IFERROR(LOOKUP(2,1/(ISNUMBER(SEARCH(P603,보유목록!$I$2:$I$3001))*ISNUMBER(SEARCH(Q603,보유목록!$I$2:$I$3001))*(보유목록!$H$2:$H$3001=O603)),보유목록!$B$2:$B$3001),IFERROR(LOOKUP(2,1/(ISNUMBER(SEARCH(P603,보유목록!$I$2:$I$3001))*ISNUMBER(SEARCH(Q603,보유목록!$I$2:$I$3001))),보유목록!$B$2:$B$3001),"")))</f>
      </c>
      <c r="N603" s="25"/>
      <c r="O603" t="str">
        <f>IFERROR(IF(AND(LEN(SUBSTITUTE(SUBSTITUTE(SUBSTITUTE(TRIM(C603&amp;""),CHAR(160),"")," ",""),"년",""))=4,VALUE(SUBSTITUTE(SUBSTITUTE(SUBSTITUTE(TRIM(C603&amp;""),CHAR(160),"")," ",""),"년",""))&gt;=1900,VALUE(SUBSTITUTE(SUBSTITUTE(SUBSTITUTE(TRIM(C603&amp;""),CHAR(160),"")," ",""),"년",""))&lt;=2099,TEXT(VALUE(SUBSTITUTE(SUBSTITUTE(SUBSTITUTE(TRIM(C603&amp;""),CHAR(160),"")," ",""),"년","")),"0000")=SUBSTITUTE(SUBSTITUTE(SUBSTITUTE(TRIM(C603&amp;""),CHAR(160),"")," ",""),"년","")),SUBSTITUTE(SUBSTITUTE(SUBSTITUTE(TRIM(C603&amp;""),CHAR(160),"")," ",""),"년",""),""),"")</f>
      </c>
      <c r="P603" t="str">
        <f>SUBSTITUTE(SUBSTITUTE(SUBSTITUTE(SUBSTITUTE(SUBSTITUTE(SUBSTITUTE(SUBSTITUTE(SUBSTITUTE(TRIM(D603&amp;""),CHAR(160),"")," ",""),"초등학교","초"),"중학교","중"),"고등학교","고"),"~","~~"),"*","~*"),"?","~?")</f>
      </c>
      <c r="Q603" t="str">
        <f>SUBSTITUTE(SUBSTITUTE(SUBSTITUTE(SUBSTITUTE(SUBSTITUTE(SUBSTITUTE(SUBSTITUTE(SUBSTITUTE(TRIM(E603&amp;""),CHAR(160),"")," ",""),"초등학교","초"),"중학교","중"),"고등학교","고"),"~","~~"),"*","~*"),"?","~?")</f>
      </c>
      <c r="R603" t="str">
        <f>IF(COUNTA(B603:J603)=0,"",IF(AND(O603&lt;&gt;"",P603&lt;&gt;"",Q603&lt;&gt;""),"","입력누락"))</f>
      </c>
    </row>
    <row r="604" customFormat="false" ht="15" hidden="false" customHeight="false" outlineLevel="0" collapsed="false">
      <c r="A604" t="n" s="19">
        <f aca="0">IF(COUNTA(B604:J604)=0,"",ROW()-1)</f>
      </c>
      <c r="B604" s="24"/>
      <c r="C604" s="25"/>
      <c r="D604" s="8"/>
      <c r="E604" s="8"/>
      <c r="F604" s="26"/>
      <c r="G604" s="24"/>
      <c r="H604" s="25"/>
      <c r="I604" s="25"/>
      <c r="J604" s="26"/>
      <c r="K604" t="str" s="15">
        <f aca="0">IF(COUNTA(B604:J604)=0,"",IF(R604&lt;&gt;"","확인필요(입력누락)",IF(COUNTIFS(보유목록!$I$2:$I$3001,"*"&amp;P604&amp;"*",보유목록!$I$2:$I$3001,"*"&amp;Q604&amp;"*",보유목록!$H$2:$H$3001,O604)&gt;0,"있음",IF(COUNTIFS(보유목록!$I$2:$I$3001,"*"&amp;P604&amp;"*",보유목록!$I$2:$I$3001,"*"&amp;Q604&amp;"*")&gt;0,"확인필요(연도다름)",IF(COUNTIFS(보유목록!$I$2:$I$3001,"*"&amp;P604&amp;"*",보유목록!$H$2:$H$3001,O604)&gt;0,"확인필요(같은학교·같은연도)","없음")))))</f>
      </c>
      <c r="L604" t="str" s="16">
        <f aca="0">IF(OR(COUNTA(B604:J604)=0,R604&lt;&gt;""),"",COUNTIFS(보유목록!$I$2:$I$3001,"*"&amp;P604&amp;"*",보유목록!$I$2:$I$3001,"*"&amp;Q604&amp;"*"))</f>
      </c>
      <c r="M604" t="str" s="23">
        <f aca="0">IF(OR(COUNTA(B604:J604)=0,R604&lt;&gt;""),"",IFERROR(LOOKUP(2,1/(ISNUMBER(SEARCH(P604,보유목록!$I$2:$I$3001))*ISNUMBER(SEARCH(Q604,보유목록!$I$2:$I$3001))*(보유목록!$H$2:$H$3001=O604)),보유목록!$B$2:$B$3001),IFERROR(LOOKUP(2,1/(ISNUMBER(SEARCH(P604,보유목록!$I$2:$I$3001))*ISNUMBER(SEARCH(Q604,보유목록!$I$2:$I$3001))),보유목록!$B$2:$B$3001),"")))</f>
      </c>
      <c r="N604" s="25"/>
      <c r="O604" t="str">
        <f>IFERROR(IF(AND(LEN(SUBSTITUTE(SUBSTITUTE(SUBSTITUTE(TRIM(C604&amp;""),CHAR(160),"")," ",""),"년",""))=4,VALUE(SUBSTITUTE(SUBSTITUTE(SUBSTITUTE(TRIM(C604&amp;""),CHAR(160),"")," ",""),"년",""))&gt;=1900,VALUE(SUBSTITUTE(SUBSTITUTE(SUBSTITUTE(TRIM(C604&amp;""),CHAR(160),"")," ",""),"년",""))&lt;=2099,TEXT(VALUE(SUBSTITUTE(SUBSTITUTE(SUBSTITUTE(TRIM(C604&amp;""),CHAR(160),"")," ",""),"년","")),"0000")=SUBSTITUTE(SUBSTITUTE(SUBSTITUTE(TRIM(C604&amp;""),CHAR(160),"")," ",""),"년","")),SUBSTITUTE(SUBSTITUTE(SUBSTITUTE(TRIM(C604&amp;""),CHAR(160),"")," ",""),"년",""),""),"")</f>
      </c>
      <c r="P604" t="str">
        <f>SUBSTITUTE(SUBSTITUTE(SUBSTITUTE(SUBSTITUTE(SUBSTITUTE(SUBSTITUTE(SUBSTITUTE(SUBSTITUTE(TRIM(D604&amp;""),CHAR(160),"")," ",""),"초등학교","초"),"중학교","중"),"고등학교","고"),"~","~~"),"*","~*"),"?","~?")</f>
      </c>
      <c r="Q604" t="str">
        <f>SUBSTITUTE(SUBSTITUTE(SUBSTITUTE(SUBSTITUTE(SUBSTITUTE(SUBSTITUTE(SUBSTITUTE(SUBSTITUTE(TRIM(E604&amp;""),CHAR(160),"")," ",""),"초등학교","초"),"중학교","중"),"고등학교","고"),"~","~~"),"*","~*"),"?","~?")</f>
      </c>
      <c r="R604" t="str">
        <f>IF(COUNTA(B604:J604)=0,"",IF(AND(O604&lt;&gt;"",P604&lt;&gt;"",Q604&lt;&gt;""),"","입력누락"))</f>
      </c>
    </row>
    <row r="605" customFormat="false" ht="15" hidden="false" customHeight="false" outlineLevel="0" collapsed="false">
      <c r="A605" t="n" s="19">
        <f aca="0">IF(COUNTA(B605:J605)=0,"",ROW()-1)</f>
      </c>
      <c r="B605" s="24"/>
      <c r="C605" s="25"/>
      <c r="D605" s="8"/>
      <c r="E605" s="8"/>
      <c r="F605" s="26"/>
      <c r="G605" s="24"/>
      <c r="H605" s="25"/>
      <c r="I605" s="25"/>
      <c r="J605" s="26"/>
      <c r="K605" t="str" s="15">
        <f aca="0">IF(COUNTA(B605:J605)=0,"",IF(R605&lt;&gt;"","확인필요(입력누락)",IF(COUNTIFS(보유목록!$I$2:$I$3001,"*"&amp;P605&amp;"*",보유목록!$I$2:$I$3001,"*"&amp;Q605&amp;"*",보유목록!$H$2:$H$3001,O605)&gt;0,"있음",IF(COUNTIFS(보유목록!$I$2:$I$3001,"*"&amp;P605&amp;"*",보유목록!$I$2:$I$3001,"*"&amp;Q605&amp;"*")&gt;0,"확인필요(연도다름)",IF(COUNTIFS(보유목록!$I$2:$I$3001,"*"&amp;P605&amp;"*",보유목록!$H$2:$H$3001,O605)&gt;0,"확인필요(같은학교·같은연도)","없음")))))</f>
      </c>
      <c r="L605" t="str" s="16">
        <f aca="0">IF(OR(COUNTA(B605:J605)=0,R605&lt;&gt;""),"",COUNTIFS(보유목록!$I$2:$I$3001,"*"&amp;P605&amp;"*",보유목록!$I$2:$I$3001,"*"&amp;Q605&amp;"*"))</f>
      </c>
      <c r="M605" t="str" s="23">
        <f aca="0">IF(OR(COUNTA(B605:J605)=0,R605&lt;&gt;""),"",IFERROR(LOOKUP(2,1/(ISNUMBER(SEARCH(P605,보유목록!$I$2:$I$3001))*ISNUMBER(SEARCH(Q605,보유목록!$I$2:$I$3001))*(보유목록!$H$2:$H$3001=O605)),보유목록!$B$2:$B$3001),IFERROR(LOOKUP(2,1/(ISNUMBER(SEARCH(P605,보유목록!$I$2:$I$3001))*ISNUMBER(SEARCH(Q605,보유목록!$I$2:$I$3001))),보유목록!$B$2:$B$3001),"")))</f>
      </c>
      <c r="N605" s="25"/>
      <c r="O605" t="str">
        <f>IFERROR(IF(AND(LEN(SUBSTITUTE(SUBSTITUTE(SUBSTITUTE(TRIM(C605&amp;""),CHAR(160),"")," ",""),"년",""))=4,VALUE(SUBSTITUTE(SUBSTITUTE(SUBSTITUTE(TRIM(C605&amp;""),CHAR(160),"")," ",""),"년",""))&gt;=1900,VALUE(SUBSTITUTE(SUBSTITUTE(SUBSTITUTE(TRIM(C605&amp;""),CHAR(160),"")," ",""),"년",""))&lt;=2099,TEXT(VALUE(SUBSTITUTE(SUBSTITUTE(SUBSTITUTE(TRIM(C605&amp;""),CHAR(160),"")," ",""),"년","")),"0000")=SUBSTITUTE(SUBSTITUTE(SUBSTITUTE(TRIM(C605&amp;""),CHAR(160),"")," ",""),"년","")),SUBSTITUTE(SUBSTITUTE(SUBSTITUTE(TRIM(C605&amp;""),CHAR(160),"")," ",""),"년",""),""),"")</f>
      </c>
      <c r="P605" t="str">
        <f>SUBSTITUTE(SUBSTITUTE(SUBSTITUTE(SUBSTITUTE(SUBSTITUTE(SUBSTITUTE(SUBSTITUTE(SUBSTITUTE(TRIM(D605&amp;""),CHAR(160),"")," ",""),"초등학교","초"),"중학교","중"),"고등학교","고"),"~","~~"),"*","~*"),"?","~?")</f>
      </c>
      <c r="Q605" t="str">
        <f>SUBSTITUTE(SUBSTITUTE(SUBSTITUTE(SUBSTITUTE(SUBSTITUTE(SUBSTITUTE(SUBSTITUTE(SUBSTITUTE(TRIM(E605&amp;""),CHAR(160),"")," ",""),"초등학교","초"),"중학교","중"),"고등학교","고"),"~","~~"),"*","~*"),"?","~?")</f>
      </c>
      <c r="R605" t="str">
        <f>IF(COUNTA(B605:J605)=0,"",IF(AND(O605&lt;&gt;"",P605&lt;&gt;"",Q605&lt;&gt;""),"","입력누락"))</f>
      </c>
    </row>
    <row r="606" customFormat="false" ht="15" hidden="false" customHeight="false" outlineLevel="0" collapsed="false">
      <c r="A606" t="n" s="19">
        <f aca="0">IF(COUNTA(B606:J606)=0,"",ROW()-1)</f>
      </c>
      <c r="B606" s="24"/>
      <c r="C606" s="25"/>
      <c r="D606" s="8"/>
      <c r="E606" s="8"/>
      <c r="F606" s="26"/>
      <c r="G606" s="24"/>
      <c r="H606" s="25"/>
      <c r="I606" s="25"/>
      <c r="J606" s="26"/>
      <c r="K606" t="str" s="15">
        <f aca="0">IF(COUNTA(B606:J606)=0,"",IF(R606&lt;&gt;"","확인필요(입력누락)",IF(COUNTIFS(보유목록!$I$2:$I$3001,"*"&amp;P606&amp;"*",보유목록!$I$2:$I$3001,"*"&amp;Q606&amp;"*",보유목록!$H$2:$H$3001,O606)&gt;0,"있음",IF(COUNTIFS(보유목록!$I$2:$I$3001,"*"&amp;P606&amp;"*",보유목록!$I$2:$I$3001,"*"&amp;Q606&amp;"*")&gt;0,"확인필요(연도다름)",IF(COUNTIFS(보유목록!$I$2:$I$3001,"*"&amp;P606&amp;"*",보유목록!$H$2:$H$3001,O606)&gt;0,"확인필요(같은학교·같은연도)","없음")))))</f>
      </c>
      <c r="L606" t="str" s="16">
        <f aca="0">IF(OR(COUNTA(B606:J606)=0,R606&lt;&gt;""),"",COUNTIFS(보유목록!$I$2:$I$3001,"*"&amp;P606&amp;"*",보유목록!$I$2:$I$3001,"*"&amp;Q606&amp;"*"))</f>
      </c>
      <c r="M606" t="str" s="23">
        <f aca="0">IF(OR(COUNTA(B606:J606)=0,R606&lt;&gt;""),"",IFERROR(LOOKUP(2,1/(ISNUMBER(SEARCH(P606,보유목록!$I$2:$I$3001))*ISNUMBER(SEARCH(Q606,보유목록!$I$2:$I$3001))*(보유목록!$H$2:$H$3001=O606)),보유목록!$B$2:$B$3001),IFERROR(LOOKUP(2,1/(ISNUMBER(SEARCH(P606,보유목록!$I$2:$I$3001))*ISNUMBER(SEARCH(Q606,보유목록!$I$2:$I$3001))),보유목록!$B$2:$B$3001),"")))</f>
      </c>
      <c r="N606" s="25"/>
      <c r="O606" t="str">
        <f>IFERROR(IF(AND(LEN(SUBSTITUTE(SUBSTITUTE(SUBSTITUTE(TRIM(C606&amp;""),CHAR(160),"")," ",""),"년",""))=4,VALUE(SUBSTITUTE(SUBSTITUTE(SUBSTITUTE(TRIM(C606&amp;""),CHAR(160),"")," ",""),"년",""))&gt;=1900,VALUE(SUBSTITUTE(SUBSTITUTE(SUBSTITUTE(TRIM(C606&amp;""),CHAR(160),"")," ",""),"년",""))&lt;=2099,TEXT(VALUE(SUBSTITUTE(SUBSTITUTE(SUBSTITUTE(TRIM(C606&amp;""),CHAR(160),"")," ",""),"년","")),"0000")=SUBSTITUTE(SUBSTITUTE(SUBSTITUTE(TRIM(C606&amp;""),CHAR(160),"")," ",""),"년","")),SUBSTITUTE(SUBSTITUTE(SUBSTITUTE(TRIM(C606&amp;""),CHAR(160),"")," ",""),"년",""),""),"")</f>
      </c>
      <c r="P606" t="str">
        <f>SUBSTITUTE(SUBSTITUTE(SUBSTITUTE(SUBSTITUTE(SUBSTITUTE(SUBSTITUTE(SUBSTITUTE(SUBSTITUTE(TRIM(D606&amp;""),CHAR(160),"")," ",""),"초등학교","초"),"중학교","중"),"고등학교","고"),"~","~~"),"*","~*"),"?","~?")</f>
      </c>
      <c r="Q606" t="str">
        <f>SUBSTITUTE(SUBSTITUTE(SUBSTITUTE(SUBSTITUTE(SUBSTITUTE(SUBSTITUTE(SUBSTITUTE(SUBSTITUTE(TRIM(E606&amp;""),CHAR(160),"")," ",""),"초등학교","초"),"중학교","중"),"고등학교","고"),"~","~~"),"*","~*"),"?","~?")</f>
      </c>
      <c r="R606" t="str">
        <f>IF(COUNTA(B606:J606)=0,"",IF(AND(O606&lt;&gt;"",P606&lt;&gt;"",Q606&lt;&gt;""),"","입력누락"))</f>
      </c>
    </row>
    <row r="607" customFormat="false" ht="15" hidden="false" customHeight="false" outlineLevel="0" collapsed="false">
      <c r="A607" t="n" s="19">
        <f aca="0">IF(COUNTA(B607:J607)=0,"",ROW()-1)</f>
      </c>
      <c r="B607" s="24"/>
      <c r="C607" s="25"/>
      <c r="D607" s="8"/>
      <c r="E607" s="8"/>
      <c r="F607" s="26"/>
      <c r="G607" s="24"/>
      <c r="H607" s="25"/>
      <c r="I607" s="25"/>
      <c r="J607" s="26"/>
      <c r="K607" t="str" s="15">
        <f aca="0">IF(COUNTA(B607:J607)=0,"",IF(R607&lt;&gt;"","확인필요(입력누락)",IF(COUNTIFS(보유목록!$I$2:$I$3001,"*"&amp;P607&amp;"*",보유목록!$I$2:$I$3001,"*"&amp;Q607&amp;"*",보유목록!$H$2:$H$3001,O607)&gt;0,"있음",IF(COUNTIFS(보유목록!$I$2:$I$3001,"*"&amp;P607&amp;"*",보유목록!$I$2:$I$3001,"*"&amp;Q607&amp;"*")&gt;0,"확인필요(연도다름)",IF(COUNTIFS(보유목록!$I$2:$I$3001,"*"&amp;P607&amp;"*",보유목록!$H$2:$H$3001,O607)&gt;0,"확인필요(같은학교·같은연도)","없음")))))</f>
      </c>
      <c r="L607" t="str" s="16">
        <f aca="0">IF(OR(COUNTA(B607:J607)=0,R607&lt;&gt;""),"",COUNTIFS(보유목록!$I$2:$I$3001,"*"&amp;P607&amp;"*",보유목록!$I$2:$I$3001,"*"&amp;Q607&amp;"*"))</f>
      </c>
      <c r="M607" t="str" s="23">
        <f aca="0">IF(OR(COUNTA(B607:J607)=0,R607&lt;&gt;""),"",IFERROR(LOOKUP(2,1/(ISNUMBER(SEARCH(P607,보유목록!$I$2:$I$3001))*ISNUMBER(SEARCH(Q607,보유목록!$I$2:$I$3001))*(보유목록!$H$2:$H$3001=O607)),보유목록!$B$2:$B$3001),IFERROR(LOOKUP(2,1/(ISNUMBER(SEARCH(P607,보유목록!$I$2:$I$3001))*ISNUMBER(SEARCH(Q607,보유목록!$I$2:$I$3001))),보유목록!$B$2:$B$3001),"")))</f>
      </c>
      <c r="N607" s="25"/>
      <c r="O607" t="str">
        <f>IFERROR(IF(AND(LEN(SUBSTITUTE(SUBSTITUTE(SUBSTITUTE(TRIM(C607&amp;""),CHAR(160),"")," ",""),"년",""))=4,VALUE(SUBSTITUTE(SUBSTITUTE(SUBSTITUTE(TRIM(C607&amp;""),CHAR(160),"")," ",""),"년",""))&gt;=1900,VALUE(SUBSTITUTE(SUBSTITUTE(SUBSTITUTE(TRIM(C607&amp;""),CHAR(160),"")," ",""),"년",""))&lt;=2099,TEXT(VALUE(SUBSTITUTE(SUBSTITUTE(SUBSTITUTE(TRIM(C607&amp;""),CHAR(160),"")," ",""),"년","")),"0000")=SUBSTITUTE(SUBSTITUTE(SUBSTITUTE(TRIM(C607&amp;""),CHAR(160),"")," ",""),"년","")),SUBSTITUTE(SUBSTITUTE(SUBSTITUTE(TRIM(C607&amp;""),CHAR(160),"")," ",""),"년",""),""),"")</f>
      </c>
      <c r="P607" t="str">
        <f>SUBSTITUTE(SUBSTITUTE(SUBSTITUTE(SUBSTITUTE(SUBSTITUTE(SUBSTITUTE(SUBSTITUTE(SUBSTITUTE(TRIM(D607&amp;""),CHAR(160),"")," ",""),"초등학교","초"),"중학교","중"),"고등학교","고"),"~","~~"),"*","~*"),"?","~?")</f>
      </c>
      <c r="Q607" t="str">
        <f>SUBSTITUTE(SUBSTITUTE(SUBSTITUTE(SUBSTITUTE(SUBSTITUTE(SUBSTITUTE(SUBSTITUTE(SUBSTITUTE(TRIM(E607&amp;""),CHAR(160),"")," ",""),"초등학교","초"),"중학교","중"),"고등학교","고"),"~","~~"),"*","~*"),"?","~?")</f>
      </c>
      <c r="R607" t="str">
        <f>IF(COUNTA(B607:J607)=0,"",IF(AND(O607&lt;&gt;"",P607&lt;&gt;"",Q607&lt;&gt;""),"","입력누락"))</f>
      </c>
    </row>
    <row r="608" customFormat="false" ht="15" hidden="false" customHeight="false" outlineLevel="0" collapsed="false">
      <c r="A608" t="n" s="19">
        <f aca="0">IF(COUNTA(B608:J608)=0,"",ROW()-1)</f>
      </c>
      <c r="B608" s="24"/>
      <c r="C608" s="25"/>
      <c r="D608" s="8"/>
      <c r="E608" s="8"/>
      <c r="F608" s="26"/>
      <c r="G608" s="24"/>
      <c r="H608" s="25"/>
      <c r="I608" s="25"/>
      <c r="J608" s="26"/>
      <c r="K608" t="str" s="15">
        <f aca="0">IF(COUNTA(B608:J608)=0,"",IF(R608&lt;&gt;"","확인필요(입력누락)",IF(COUNTIFS(보유목록!$I$2:$I$3001,"*"&amp;P608&amp;"*",보유목록!$I$2:$I$3001,"*"&amp;Q608&amp;"*",보유목록!$H$2:$H$3001,O608)&gt;0,"있음",IF(COUNTIFS(보유목록!$I$2:$I$3001,"*"&amp;P608&amp;"*",보유목록!$I$2:$I$3001,"*"&amp;Q608&amp;"*")&gt;0,"확인필요(연도다름)",IF(COUNTIFS(보유목록!$I$2:$I$3001,"*"&amp;P608&amp;"*",보유목록!$H$2:$H$3001,O608)&gt;0,"확인필요(같은학교·같은연도)","없음")))))</f>
      </c>
      <c r="L608" t="str" s="16">
        <f aca="0">IF(OR(COUNTA(B608:J608)=0,R608&lt;&gt;""),"",COUNTIFS(보유목록!$I$2:$I$3001,"*"&amp;P608&amp;"*",보유목록!$I$2:$I$3001,"*"&amp;Q608&amp;"*"))</f>
      </c>
      <c r="M608" t="str" s="23">
        <f aca="0">IF(OR(COUNTA(B608:J608)=0,R608&lt;&gt;""),"",IFERROR(LOOKUP(2,1/(ISNUMBER(SEARCH(P608,보유목록!$I$2:$I$3001))*ISNUMBER(SEARCH(Q608,보유목록!$I$2:$I$3001))*(보유목록!$H$2:$H$3001=O608)),보유목록!$B$2:$B$3001),IFERROR(LOOKUP(2,1/(ISNUMBER(SEARCH(P608,보유목록!$I$2:$I$3001))*ISNUMBER(SEARCH(Q608,보유목록!$I$2:$I$3001))),보유목록!$B$2:$B$3001),"")))</f>
      </c>
      <c r="N608" s="25"/>
      <c r="O608" t="str">
        <f>IFERROR(IF(AND(LEN(SUBSTITUTE(SUBSTITUTE(SUBSTITUTE(TRIM(C608&amp;""),CHAR(160),"")," ",""),"년",""))=4,VALUE(SUBSTITUTE(SUBSTITUTE(SUBSTITUTE(TRIM(C608&amp;""),CHAR(160),"")," ",""),"년",""))&gt;=1900,VALUE(SUBSTITUTE(SUBSTITUTE(SUBSTITUTE(TRIM(C608&amp;""),CHAR(160),"")," ",""),"년",""))&lt;=2099,TEXT(VALUE(SUBSTITUTE(SUBSTITUTE(SUBSTITUTE(TRIM(C608&amp;""),CHAR(160),"")," ",""),"년","")),"0000")=SUBSTITUTE(SUBSTITUTE(SUBSTITUTE(TRIM(C608&amp;""),CHAR(160),"")," ",""),"년","")),SUBSTITUTE(SUBSTITUTE(SUBSTITUTE(TRIM(C608&amp;""),CHAR(160),"")," ",""),"년",""),""),"")</f>
      </c>
      <c r="P608" t="str">
        <f>SUBSTITUTE(SUBSTITUTE(SUBSTITUTE(SUBSTITUTE(SUBSTITUTE(SUBSTITUTE(SUBSTITUTE(SUBSTITUTE(TRIM(D608&amp;""),CHAR(160),"")," ",""),"초등학교","초"),"중학교","중"),"고등학교","고"),"~","~~"),"*","~*"),"?","~?")</f>
      </c>
      <c r="Q608" t="str">
        <f>SUBSTITUTE(SUBSTITUTE(SUBSTITUTE(SUBSTITUTE(SUBSTITUTE(SUBSTITUTE(SUBSTITUTE(SUBSTITUTE(TRIM(E608&amp;""),CHAR(160),"")," ",""),"초등학교","초"),"중학교","중"),"고등학교","고"),"~","~~"),"*","~*"),"?","~?")</f>
      </c>
      <c r="R608" t="str">
        <f>IF(COUNTA(B608:J608)=0,"",IF(AND(O608&lt;&gt;"",P608&lt;&gt;"",Q608&lt;&gt;""),"","입력누락"))</f>
      </c>
    </row>
    <row r="609" customFormat="false" ht="15" hidden="false" customHeight="false" outlineLevel="0" collapsed="false">
      <c r="A609" t="n" s="19">
        <f aca="0">IF(COUNTA(B609:J609)=0,"",ROW()-1)</f>
      </c>
      <c r="B609" s="24"/>
      <c r="C609" s="25"/>
      <c r="D609" s="8"/>
      <c r="E609" s="8"/>
      <c r="F609" s="26"/>
      <c r="G609" s="24"/>
      <c r="H609" s="25"/>
      <c r="I609" s="25"/>
      <c r="J609" s="26"/>
      <c r="K609" t="str" s="15">
        <f aca="0">IF(COUNTA(B609:J609)=0,"",IF(R609&lt;&gt;"","확인필요(입력누락)",IF(COUNTIFS(보유목록!$I$2:$I$3001,"*"&amp;P609&amp;"*",보유목록!$I$2:$I$3001,"*"&amp;Q609&amp;"*",보유목록!$H$2:$H$3001,O609)&gt;0,"있음",IF(COUNTIFS(보유목록!$I$2:$I$3001,"*"&amp;P609&amp;"*",보유목록!$I$2:$I$3001,"*"&amp;Q609&amp;"*")&gt;0,"확인필요(연도다름)",IF(COUNTIFS(보유목록!$I$2:$I$3001,"*"&amp;P609&amp;"*",보유목록!$H$2:$H$3001,O609)&gt;0,"확인필요(같은학교·같은연도)","없음")))))</f>
      </c>
      <c r="L609" t="str" s="16">
        <f aca="0">IF(OR(COUNTA(B609:J609)=0,R609&lt;&gt;""),"",COUNTIFS(보유목록!$I$2:$I$3001,"*"&amp;P609&amp;"*",보유목록!$I$2:$I$3001,"*"&amp;Q609&amp;"*"))</f>
      </c>
      <c r="M609" t="str" s="23">
        <f aca="0">IF(OR(COUNTA(B609:J609)=0,R609&lt;&gt;""),"",IFERROR(LOOKUP(2,1/(ISNUMBER(SEARCH(P609,보유목록!$I$2:$I$3001))*ISNUMBER(SEARCH(Q609,보유목록!$I$2:$I$3001))*(보유목록!$H$2:$H$3001=O609)),보유목록!$B$2:$B$3001),IFERROR(LOOKUP(2,1/(ISNUMBER(SEARCH(P609,보유목록!$I$2:$I$3001))*ISNUMBER(SEARCH(Q609,보유목록!$I$2:$I$3001))),보유목록!$B$2:$B$3001),"")))</f>
      </c>
      <c r="N609" s="25"/>
      <c r="O609" t="str">
        <f>IFERROR(IF(AND(LEN(SUBSTITUTE(SUBSTITUTE(SUBSTITUTE(TRIM(C609&amp;""),CHAR(160),"")," ",""),"년",""))=4,VALUE(SUBSTITUTE(SUBSTITUTE(SUBSTITUTE(TRIM(C609&amp;""),CHAR(160),"")," ",""),"년",""))&gt;=1900,VALUE(SUBSTITUTE(SUBSTITUTE(SUBSTITUTE(TRIM(C609&amp;""),CHAR(160),"")," ",""),"년",""))&lt;=2099,TEXT(VALUE(SUBSTITUTE(SUBSTITUTE(SUBSTITUTE(TRIM(C609&amp;""),CHAR(160),"")," ",""),"년","")),"0000")=SUBSTITUTE(SUBSTITUTE(SUBSTITUTE(TRIM(C609&amp;""),CHAR(160),"")," ",""),"년","")),SUBSTITUTE(SUBSTITUTE(SUBSTITUTE(TRIM(C609&amp;""),CHAR(160),"")," ",""),"년",""),""),"")</f>
      </c>
      <c r="P609" t="str">
        <f>SUBSTITUTE(SUBSTITUTE(SUBSTITUTE(SUBSTITUTE(SUBSTITUTE(SUBSTITUTE(SUBSTITUTE(SUBSTITUTE(TRIM(D609&amp;""),CHAR(160),"")," ",""),"초등학교","초"),"중학교","중"),"고등학교","고"),"~","~~"),"*","~*"),"?","~?")</f>
      </c>
      <c r="Q609" t="str">
        <f>SUBSTITUTE(SUBSTITUTE(SUBSTITUTE(SUBSTITUTE(SUBSTITUTE(SUBSTITUTE(SUBSTITUTE(SUBSTITUTE(TRIM(E609&amp;""),CHAR(160),"")," ",""),"초등학교","초"),"중학교","중"),"고등학교","고"),"~","~~"),"*","~*"),"?","~?")</f>
      </c>
      <c r="R609" t="str">
        <f>IF(COUNTA(B609:J609)=0,"",IF(AND(O609&lt;&gt;"",P609&lt;&gt;"",Q609&lt;&gt;""),"","입력누락"))</f>
      </c>
    </row>
    <row r="610" customFormat="false" ht="15" hidden="false" customHeight="false" outlineLevel="0" collapsed="false">
      <c r="A610" t="n" s="19">
        <f aca="0">IF(COUNTA(B610:J610)=0,"",ROW()-1)</f>
      </c>
      <c r="B610" s="24"/>
      <c r="C610" s="25"/>
      <c r="D610" s="8"/>
      <c r="E610" s="8"/>
      <c r="F610" s="26"/>
      <c r="G610" s="24"/>
      <c r="H610" s="25"/>
      <c r="I610" s="25"/>
      <c r="J610" s="26"/>
      <c r="K610" t="str" s="15">
        <f aca="0">IF(COUNTA(B610:J610)=0,"",IF(R610&lt;&gt;"","확인필요(입력누락)",IF(COUNTIFS(보유목록!$I$2:$I$3001,"*"&amp;P610&amp;"*",보유목록!$I$2:$I$3001,"*"&amp;Q610&amp;"*",보유목록!$H$2:$H$3001,O610)&gt;0,"있음",IF(COUNTIFS(보유목록!$I$2:$I$3001,"*"&amp;P610&amp;"*",보유목록!$I$2:$I$3001,"*"&amp;Q610&amp;"*")&gt;0,"확인필요(연도다름)",IF(COUNTIFS(보유목록!$I$2:$I$3001,"*"&amp;P610&amp;"*",보유목록!$H$2:$H$3001,O610)&gt;0,"확인필요(같은학교·같은연도)","없음")))))</f>
      </c>
      <c r="L610" t="str" s="16">
        <f aca="0">IF(OR(COUNTA(B610:J610)=0,R610&lt;&gt;""),"",COUNTIFS(보유목록!$I$2:$I$3001,"*"&amp;P610&amp;"*",보유목록!$I$2:$I$3001,"*"&amp;Q610&amp;"*"))</f>
      </c>
      <c r="M610" t="str" s="23">
        <f aca="0">IF(OR(COUNTA(B610:J610)=0,R610&lt;&gt;""),"",IFERROR(LOOKUP(2,1/(ISNUMBER(SEARCH(P610,보유목록!$I$2:$I$3001))*ISNUMBER(SEARCH(Q610,보유목록!$I$2:$I$3001))*(보유목록!$H$2:$H$3001=O610)),보유목록!$B$2:$B$3001),IFERROR(LOOKUP(2,1/(ISNUMBER(SEARCH(P610,보유목록!$I$2:$I$3001))*ISNUMBER(SEARCH(Q610,보유목록!$I$2:$I$3001))),보유목록!$B$2:$B$3001),"")))</f>
      </c>
      <c r="N610" s="25"/>
      <c r="O610" t="str">
        <f>IFERROR(IF(AND(LEN(SUBSTITUTE(SUBSTITUTE(SUBSTITUTE(TRIM(C610&amp;""),CHAR(160),"")," ",""),"년",""))=4,VALUE(SUBSTITUTE(SUBSTITUTE(SUBSTITUTE(TRIM(C610&amp;""),CHAR(160),"")," ",""),"년",""))&gt;=1900,VALUE(SUBSTITUTE(SUBSTITUTE(SUBSTITUTE(TRIM(C610&amp;""),CHAR(160),"")," ",""),"년",""))&lt;=2099,TEXT(VALUE(SUBSTITUTE(SUBSTITUTE(SUBSTITUTE(TRIM(C610&amp;""),CHAR(160),"")," ",""),"년","")),"0000")=SUBSTITUTE(SUBSTITUTE(SUBSTITUTE(TRIM(C610&amp;""),CHAR(160),"")," ",""),"년","")),SUBSTITUTE(SUBSTITUTE(SUBSTITUTE(TRIM(C610&amp;""),CHAR(160),"")," ",""),"년",""),""),"")</f>
      </c>
      <c r="P610" t="str">
        <f>SUBSTITUTE(SUBSTITUTE(SUBSTITUTE(SUBSTITUTE(SUBSTITUTE(SUBSTITUTE(SUBSTITUTE(SUBSTITUTE(TRIM(D610&amp;""),CHAR(160),"")," ",""),"초등학교","초"),"중학교","중"),"고등학교","고"),"~","~~"),"*","~*"),"?","~?")</f>
      </c>
      <c r="Q610" t="str">
        <f>SUBSTITUTE(SUBSTITUTE(SUBSTITUTE(SUBSTITUTE(SUBSTITUTE(SUBSTITUTE(SUBSTITUTE(SUBSTITUTE(TRIM(E610&amp;""),CHAR(160),"")," ",""),"초등학교","초"),"중학교","중"),"고등학교","고"),"~","~~"),"*","~*"),"?","~?")</f>
      </c>
      <c r="R610" t="str">
        <f>IF(COUNTA(B610:J610)=0,"",IF(AND(O610&lt;&gt;"",P610&lt;&gt;"",Q610&lt;&gt;""),"","입력누락"))</f>
      </c>
    </row>
    <row r="611" customFormat="false" ht="15" hidden="false" customHeight="false" outlineLevel="0" collapsed="false">
      <c r="A611" t="n" s="19">
        <f aca="0">IF(COUNTA(B611:J611)=0,"",ROW()-1)</f>
      </c>
      <c r="B611" s="24"/>
      <c r="C611" s="25"/>
      <c r="D611" s="8"/>
      <c r="E611" s="8"/>
      <c r="F611" s="26"/>
      <c r="G611" s="24"/>
      <c r="H611" s="25"/>
      <c r="I611" s="25"/>
      <c r="J611" s="26"/>
      <c r="K611" t="str" s="15">
        <f aca="0">IF(COUNTA(B611:J611)=0,"",IF(R611&lt;&gt;"","확인필요(입력누락)",IF(COUNTIFS(보유목록!$I$2:$I$3001,"*"&amp;P611&amp;"*",보유목록!$I$2:$I$3001,"*"&amp;Q611&amp;"*",보유목록!$H$2:$H$3001,O611)&gt;0,"있음",IF(COUNTIFS(보유목록!$I$2:$I$3001,"*"&amp;P611&amp;"*",보유목록!$I$2:$I$3001,"*"&amp;Q611&amp;"*")&gt;0,"확인필요(연도다름)",IF(COUNTIFS(보유목록!$I$2:$I$3001,"*"&amp;P611&amp;"*",보유목록!$H$2:$H$3001,O611)&gt;0,"확인필요(같은학교·같은연도)","없음")))))</f>
      </c>
      <c r="L611" t="str" s="16">
        <f aca="0">IF(OR(COUNTA(B611:J611)=0,R611&lt;&gt;""),"",COUNTIFS(보유목록!$I$2:$I$3001,"*"&amp;P611&amp;"*",보유목록!$I$2:$I$3001,"*"&amp;Q611&amp;"*"))</f>
      </c>
      <c r="M611" t="str" s="23">
        <f aca="0">IF(OR(COUNTA(B611:J611)=0,R611&lt;&gt;""),"",IFERROR(LOOKUP(2,1/(ISNUMBER(SEARCH(P611,보유목록!$I$2:$I$3001))*ISNUMBER(SEARCH(Q611,보유목록!$I$2:$I$3001))*(보유목록!$H$2:$H$3001=O611)),보유목록!$B$2:$B$3001),IFERROR(LOOKUP(2,1/(ISNUMBER(SEARCH(P611,보유목록!$I$2:$I$3001))*ISNUMBER(SEARCH(Q611,보유목록!$I$2:$I$3001))),보유목록!$B$2:$B$3001),"")))</f>
      </c>
      <c r="N611" s="25"/>
      <c r="O611" t="str">
        <f>IFERROR(IF(AND(LEN(SUBSTITUTE(SUBSTITUTE(SUBSTITUTE(TRIM(C611&amp;""),CHAR(160),"")," ",""),"년",""))=4,VALUE(SUBSTITUTE(SUBSTITUTE(SUBSTITUTE(TRIM(C611&amp;""),CHAR(160),"")," ",""),"년",""))&gt;=1900,VALUE(SUBSTITUTE(SUBSTITUTE(SUBSTITUTE(TRIM(C611&amp;""),CHAR(160),"")," ",""),"년",""))&lt;=2099,TEXT(VALUE(SUBSTITUTE(SUBSTITUTE(SUBSTITUTE(TRIM(C611&amp;""),CHAR(160),"")," ",""),"년","")),"0000")=SUBSTITUTE(SUBSTITUTE(SUBSTITUTE(TRIM(C611&amp;""),CHAR(160),"")," ",""),"년","")),SUBSTITUTE(SUBSTITUTE(SUBSTITUTE(TRIM(C611&amp;""),CHAR(160),"")," ",""),"년",""),""),"")</f>
      </c>
      <c r="P611" t="str">
        <f>SUBSTITUTE(SUBSTITUTE(SUBSTITUTE(SUBSTITUTE(SUBSTITUTE(SUBSTITUTE(SUBSTITUTE(SUBSTITUTE(TRIM(D611&amp;""),CHAR(160),"")," ",""),"초등학교","초"),"중학교","중"),"고등학교","고"),"~","~~"),"*","~*"),"?","~?")</f>
      </c>
      <c r="Q611" t="str">
        <f>SUBSTITUTE(SUBSTITUTE(SUBSTITUTE(SUBSTITUTE(SUBSTITUTE(SUBSTITUTE(SUBSTITUTE(SUBSTITUTE(TRIM(E611&amp;""),CHAR(160),"")," ",""),"초등학교","초"),"중학교","중"),"고등학교","고"),"~","~~"),"*","~*"),"?","~?")</f>
      </c>
      <c r="R611" t="str">
        <f>IF(COUNTA(B611:J611)=0,"",IF(AND(O611&lt;&gt;"",P611&lt;&gt;"",Q611&lt;&gt;""),"","입력누락"))</f>
      </c>
    </row>
    <row r="612" customFormat="false" ht="15" hidden="false" customHeight="false" outlineLevel="0" collapsed="false">
      <c r="A612" t="n" s="19">
        <f aca="0">IF(COUNTA(B612:J612)=0,"",ROW()-1)</f>
      </c>
      <c r="B612" s="24"/>
      <c r="C612" s="25"/>
      <c r="D612" s="8"/>
      <c r="E612" s="8"/>
      <c r="F612" s="26"/>
      <c r="G612" s="24"/>
      <c r="H612" s="25"/>
      <c r="I612" s="25"/>
      <c r="J612" s="26"/>
      <c r="K612" t="str" s="15">
        <f aca="0">IF(COUNTA(B612:J612)=0,"",IF(R612&lt;&gt;"","확인필요(입력누락)",IF(COUNTIFS(보유목록!$I$2:$I$3001,"*"&amp;P612&amp;"*",보유목록!$I$2:$I$3001,"*"&amp;Q612&amp;"*",보유목록!$H$2:$H$3001,O612)&gt;0,"있음",IF(COUNTIFS(보유목록!$I$2:$I$3001,"*"&amp;P612&amp;"*",보유목록!$I$2:$I$3001,"*"&amp;Q612&amp;"*")&gt;0,"확인필요(연도다름)",IF(COUNTIFS(보유목록!$I$2:$I$3001,"*"&amp;P612&amp;"*",보유목록!$H$2:$H$3001,O612)&gt;0,"확인필요(같은학교·같은연도)","없음")))))</f>
      </c>
      <c r="L612" t="str" s="16">
        <f aca="0">IF(OR(COUNTA(B612:J612)=0,R612&lt;&gt;""),"",COUNTIFS(보유목록!$I$2:$I$3001,"*"&amp;P612&amp;"*",보유목록!$I$2:$I$3001,"*"&amp;Q612&amp;"*"))</f>
      </c>
      <c r="M612" t="str" s="23">
        <f aca="0">IF(OR(COUNTA(B612:J612)=0,R612&lt;&gt;""),"",IFERROR(LOOKUP(2,1/(ISNUMBER(SEARCH(P612,보유목록!$I$2:$I$3001))*ISNUMBER(SEARCH(Q612,보유목록!$I$2:$I$3001))*(보유목록!$H$2:$H$3001=O612)),보유목록!$B$2:$B$3001),IFERROR(LOOKUP(2,1/(ISNUMBER(SEARCH(P612,보유목록!$I$2:$I$3001))*ISNUMBER(SEARCH(Q612,보유목록!$I$2:$I$3001))),보유목록!$B$2:$B$3001),"")))</f>
      </c>
      <c r="N612" s="25"/>
      <c r="O612" t="str">
        <f>IFERROR(IF(AND(LEN(SUBSTITUTE(SUBSTITUTE(SUBSTITUTE(TRIM(C612&amp;""),CHAR(160),"")," ",""),"년",""))=4,VALUE(SUBSTITUTE(SUBSTITUTE(SUBSTITUTE(TRIM(C612&amp;""),CHAR(160),"")," ",""),"년",""))&gt;=1900,VALUE(SUBSTITUTE(SUBSTITUTE(SUBSTITUTE(TRIM(C612&amp;""),CHAR(160),"")," ",""),"년",""))&lt;=2099,TEXT(VALUE(SUBSTITUTE(SUBSTITUTE(SUBSTITUTE(TRIM(C612&amp;""),CHAR(160),"")," ",""),"년","")),"0000")=SUBSTITUTE(SUBSTITUTE(SUBSTITUTE(TRIM(C612&amp;""),CHAR(160),"")," ",""),"년","")),SUBSTITUTE(SUBSTITUTE(SUBSTITUTE(TRIM(C612&amp;""),CHAR(160),"")," ",""),"년",""),""),"")</f>
      </c>
      <c r="P612" t="str">
        <f>SUBSTITUTE(SUBSTITUTE(SUBSTITUTE(SUBSTITUTE(SUBSTITUTE(SUBSTITUTE(SUBSTITUTE(SUBSTITUTE(TRIM(D612&amp;""),CHAR(160),"")," ",""),"초등학교","초"),"중학교","중"),"고등학교","고"),"~","~~"),"*","~*"),"?","~?")</f>
      </c>
      <c r="Q612" t="str">
        <f>SUBSTITUTE(SUBSTITUTE(SUBSTITUTE(SUBSTITUTE(SUBSTITUTE(SUBSTITUTE(SUBSTITUTE(SUBSTITUTE(TRIM(E612&amp;""),CHAR(160),"")," ",""),"초등학교","초"),"중학교","중"),"고등학교","고"),"~","~~"),"*","~*"),"?","~?")</f>
      </c>
      <c r="R612" t="str">
        <f>IF(COUNTA(B612:J612)=0,"",IF(AND(O612&lt;&gt;"",P612&lt;&gt;"",Q612&lt;&gt;""),"","입력누락"))</f>
      </c>
    </row>
    <row r="613" customFormat="false" ht="15" hidden="false" customHeight="false" outlineLevel="0" collapsed="false">
      <c r="A613" t="n" s="19">
        <f aca="0">IF(COUNTA(B613:J613)=0,"",ROW()-1)</f>
      </c>
      <c r="B613" s="24"/>
      <c r="C613" s="25"/>
      <c r="D613" s="8"/>
      <c r="E613" s="8"/>
      <c r="F613" s="26"/>
      <c r="G613" s="24"/>
      <c r="H613" s="25"/>
      <c r="I613" s="25"/>
      <c r="J613" s="26"/>
      <c r="K613" t="str" s="15">
        <f aca="0">IF(COUNTA(B613:J613)=0,"",IF(R613&lt;&gt;"","확인필요(입력누락)",IF(COUNTIFS(보유목록!$I$2:$I$3001,"*"&amp;P613&amp;"*",보유목록!$I$2:$I$3001,"*"&amp;Q613&amp;"*",보유목록!$H$2:$H$3001,O613)&gt;0,"있음",IF(COUNTIFS(보유목록!$I$2:$I$3001,"*"&amp;P613&amp;"*",보유목록!$I$2:$I$3001,"*"&amp;Q613&amp;"*")&gt;0,"확인필요(연도다름)",IF(COUNTIFS(보유목록!$I$2:$I$3001,"*"&amp;P613&amp;"*",보유목록!$H$2:$H$3001,O613)&gt;0,"확인필요(같은학교·같은연도)","없음")))))</f>
      </c>
      <c r="L613" t="str" s="16">
        <f aca="0">IF(OR(COUNTA(B613:J613)=0,R613&lt;&gt;""),"",COUNTIFS(보유목록!$I$2:$I$3001,"*"&amp;P613&amp;"*",보유목록!$I$2:$I$3001,"*"&amp;Q613&amp;"*"))</f>
      </c>
      <c r="M613" t="str" s="23">
        <f aca="0">IF(OR(COUNTA(B613:J613)=0,R613&lt;&gt;""),"",IFERROR(LOOKUP(2,1/(ISNUMBER(SEARCH(P613,보유목록!$I$2:$I$3001))*ISNUMBER(SEARCH(Q613,보유목록!$I$2:$I$3001))*(보유목록!$H$2:$H$3001=O613)),보유목록!$B$2:$B$3001),IFERROR(LOOKUP(2,1/(ISNUMBER(SEARCH(P613,보유목록!$I$2:$I$3001))*ISNUMBER(SEARCH(Q613,보유목록!$I$2:$I$3001))),보유목록!$B$2:$B$3001),"")))</f>
      </c>
      <c r="N613" s="25"/>
      <c r="O613" t="str">
        <f>IFERROR(IF(AND(LEN(SUBSTITUTE(SUBSTITUTE(SUBSTITUTE(TRIM(C613&amp;""),CHAR(160),"")," ",""),"년",""))=4,VALUE(SUBSTITUTE(SUBSTITUTE(SUBSTITUTE(TRIM(C613&amp;""),CHAR(160),"")," ",""),"년",""))&gt;=1900,VALUE(SUBSTITUTE(SUBSTITUTE(SUBSTITUTE(TRIM(C613&amp;""),CHAR(160),"")," ",""),"년",""))&lt;=2099,TEXT(VALUE(SUBSTITUTE(SUBSTITUTE(SUBSTITUTE(TRIM(C613&amp;""),CHAR(160),"")," ",""),"년","")),"0000")=SUBSTITUTE(SUBSTITUTE(SUBSTITUTE(TRIM(C613&amp;""),CHAR(160),"")," ",""),"년","")),SUBSTITUTE(SUBSTITUTE(SUBSTITUTE(TRIM(C613&amp;""),CHAR(160),"")," ",""),"년",""),""),"")</f>
      </c>
      <c r="P613" t="str">
        <f>SUBSTITUTE(SUBSTITUTE(SUBSTITUTE(SUBSTITUTE(SUBSTITUTE(SUBSTITUTE(SUBSTITUTE(SUBSTITUTE(TRIM(D613&amp;""),CHAR(160),"")," ",""),"초등학교","초"),"중학교","중"),"고등학교","고"),"~","~~"),"*","~*"),"?","~?")</f>
      </c>
      <c r="Q613" t="str">
        <f>SUBSTITUTE(SUBSTITUTE(SUBSTITUTE(SUBSTITUTE(SUBSTITUTE(SUBSTITUTE(SUBSTITUTE(SUBSTITUTE(TRIM(E613&amp;""),CHAR(160),"")," ",""),"초등학교","초"),"중학교","중"),"고등학교","고"),"~","~~"),"*","~*"),"?","~?")</f>
      </c>
      <c r="R613" t="str">
        <f>IF(COUNTA(B613:J613)=0,"",IF(AND(O613&lt;&gt;"",P613&lt;&gt;"",Q613&lt;&gt;""),"","입력누락"))</f>
      </c>
    </row>
    <row r="614" customFormat="false" ht="15" hidden="false" customHeight="false" outlineLevel="0" collapsed="false">
      <c r="A614" t="n" s="19">
        <f aca="0">IF(COUNTA(B614:J614)=0,"",ROW()-1)</f>
      </c>
      <c r="B614" s="24"/>
      <c r="C614" s="25"/>
      <c r="D614" s="8"/>
      <c r="E614" s="8"/>
      <c r="F614" s="26"/>
      <c r="G614" s="24"/>
      <c r="H614" s="25"/>
      <c r="I614" s="25"/>
      <c r="J614" s="26"/>
      <c r="K614" t="str" s="15">
        <f aca="0">IF(COUNTA(B614:J614)=0,"",IF(R614&lt;&gt;"","확인필요(입력누락)",IF(COUNTIFS(보유목록!$I$2:$I$3001,"*"&amp;P614&amp;"*",보유목록!$I$2:$I$3001,"*"&amp;Q614&amp;"*",보유목록!$H$2:$H$3001,O614)&gt;0,"있음",IF(COUNTIFS(보유목록!$I$2:$I$3001,"*"&amp;P614&amp;"*",보유목록!$I$2:$I$3001,"*"&amp;Q614&amp;"*")&gt;0,"확인필요(연도다름)",IF(COUNTIFS(보유목록!$I$2:$I$3001,"*"&amp;P614&amp;"*",보유목록!$H$2:$H$3001,O614)&gt;0,"확인필요(같은학교·같은연도)","없음")))))</f>
      </c>
      <c r="L614" t="str" s="16">
        <f aca="0">IF(OR(COUNTA(B614:J614)=0,R614&lt;&gt;""),"",COUNTIFS(보유목록!$I$2:$I$3001,"*"&amp;P614&amp;"*",보유목록!$I$2:$I$3001,"*"&amp;Q614&amp;"*"))</f>
      </c>
      <c r="M614" t="str" s="23">
        <f aca="0">IF(OR(COUNTA(B614:J614)=0,R614&lt;&gt;""),"",IFERROR(LOOKUP(2,1/(ISNUMBER(SEARCH(P614,보유목록!$I$2:$I$3001))*ISNUMBER(SEARCH(Q614,보유목록!$I$2:$I$3001))*(보유목록!$H$2:$H$3001=O614)),보유목록!$B$2:$B$3001),IFERROR(LOOKUP(2,1/(ISNUMBER(SEARCH(P614,보유목록!$I$2:$I$3001))*ISNUMBER(SEARCH(Q614,보유목록!$I$2:$I$3001))),보유목록!$B$2:$B$3001),"")))</f>
      </c>
      <c r="N614" s="25"/>
      <c r="O614" t="str">
        <f>IFERROR(IF(AND(LEN(SUBSTITUTE(SUBSTITUTE(SUBSTITUTE(TRIM(C614&amp;""),CHAR(160),"")," ",""),"년",""))=4,VALUE(SUBSTITUTE(SUBSTITUTE(SUBSTITUTE(TRIM(C614&amp;""),CHAR(160),"")," ",""),"년",""))&gt;=1900,VALUE(SUBSTITUTE(SUBSTITUTE(SUBSTITUTE(TRIM(C614&amp;""),CHAR(160),"")," ",""),"년",""))&lt;=2099,TEXT(VALUE(SUBSTITUTE(SUBSTITUTE(SUBSTITUTE(TRIM(C614&amp;""),CHAR(160),"")," ",""),"년","")),"0000")=SUBSTITUTE(SUBSTITUTE(SUBSTITUTE(TRIM(C614&amp;""),CHAR(160),"")," ",""),"년","")),SUBSTITUTE(SUBSTITUTE(SUBSTITUTE(TRIM(C614&amp;""),CHAR(160),"")," ",""),"년",""),""),"")</f>
      </c>
      <c r="P614" t="str">
        <f>SUBSTITUTE(SUBSTITUTE(SUBSTITUTE(SUBSTITUTE(SUBSTITUTE(SUBSTITUTE(SUBSTITUTE(SUBSTITUTE(TRIM(D614&amp;""),CHAR(160),"")," ",""),"초등학교","초"),"중학교","중"),"고등학교","고"),"~","~~"),"*","~*"),"?","~?")</f>
      </c>
      <c r="Q614" t="str">
        <f>SUBSTITUTE(SUBSTITUTE(SUBSTITUTE(SUBSTITUTE(SUBSTITUTE(SUBSTITUTE(SUBSTITUTE(SUBSTITUTE(TRIM(E614&amp;""),CHAR(160),"")," ",""),"초등학교","초"),"중학교","중"),"고등학교","고"),"~","~~"),"*","~*"),"?","~?")</f>
      </c>
      <c r="R614" t="str">
        <f>IF(COUNTA(B614:J614)=0,"",IF(AND(O614&lt;&gt;"",P614&lt;&gt;"",Q614&lt;&gt;""),"","입력누락"))</f>
      </c>
    </row>
    <row r="615" customFormat="false" ht="15" hidden="false" customHeight="false" outlineLevel="0" collapsed="false">
      <c r="A615" t="n" s="19">
        <f aca="0">IF(COUNTA(B615:J615)=0,"",ROW()-1)</f>
      </c>
      <c r="B615" s="24"/>
      <c r="C615" s="25"/>
      <c r="D615" s="8"/>
      <c r="E615" s="8"/>
      <c r="F615" s="26"/>
      <c r="G615" s="24"/>
      <c r="H615" s="25"/>
      <c r="I615" s="25"/>
      <c r="J615" s="26"/>
      <c r="K615" t="str" s="15">
        <f aca="0">IF(COUNTA(B615:J615)=0,"",IF(R615&lt;&gt;"","확인필요(입력누락)",IF(COUNTIFS(보유목록!$I$2:$I$3001,"*"&amp;P615&amp;"*",보유목록!$I$2:$I$3001,"*"&amp;Q615&amp;"*",보유목록!$H$2:$H$3001,O615)&gt;0,"있음",IF(COUNTIFS(보유목록!$I$2:$I$3001,"*"&amp;P615&amp;"*",보유목록!$I$2:$I$3001,"*"&amp;Q615&amp;"*")&gt;0,"확인필요(연도다름)",IF(COUNTIFS(보유목록!$I$2:$I$3001,"*"&amp;P615&amp;"*",보유목록!$H$2:$H$3001,O615)&gt;0,"확인필요(같은학교·같은연도)","없음")))))</f>
      </c>
      <c r="L615" t="str" s="16">
        <f aca="0">IF(OR(COUNTA(B615:J615)=0,R615&lt;&gt;""),"",COUNTIFS(보유목록!$I$2:$I$3001,"*"&amp;P615&amp;"*",보유목록!$I$2:$I$3001,"*"&amp;Q615&amp;"*"))</f>
      </c>
      <c r="M615" t="str" s="23">
        <f aca="0">IF(OR(COUNTA(B615:J615)=0,R615&lt;&gt;""),"",IFERROR(LOOKUP(2,1/(ISNUMBER(SEARCH(P615,보유목록!$I$2:$I$3001))*ISNUMBER(SEARCH(Q615,보유목록!$I$2:$I$3001))*(보유목록!$H$2:$H$3001=O615)),보유목록!$B$2:$B$3001),IFERROR(LOOKUP(2,1/(ISNUMBER(SEARCH(P615,보유목록!$I$2:$I$3001))*ISNUMBER(SEARCH(Q615,보유목록!$I$2:$I$3001))),보유목록!$B$2:$B$3001),"")))</f>
      </c>
      <c r="N615" s="25"/>
      <c r="O615" t="str">
        <f>IFERROR(IF(AND(LEN(SUBSTITUTE(SUBSTITUTE(SUBSTITUTE(TRIM(C615&amp;""),CHAR(160),"")," ",""),"년",""))=4,VALUE(SUBSTITUTE(SUBSTITUTE(SUBSTITUTE(TRIM(C615&amp;""),CHAR(160),"")," ",""),"년",""))&gt;=1900,VALUE(SUBSTITUTE(SUBSTITUTE(SUBSTITUTE(TRIM(C615&amp;""),CHAR(160),"")," ",""),"년",""))&lt;=2099,TEXT(VALUE(SUBSTITUTE(SUBSTITUTE(SUBSTITUTE(TRIM(C615&amp;""),CHAR(160),"")," ",""),"년","")),"0000")=SUBSTITUTE(SUBSTITUTE(SUBSTITUTE(TRIM(C615&amp;""),CHAR(160),"")," ",""),"년","")),SUBSTITUTE(SUBSTITUTE(SUBSTITUTE(TRIM(C615&amp;""),CHAR(160),"")," ",""),"년",""),""),"")</f>
      </c>
      <c r="P615" t="str">
        <f>SUBSTITUTE(SUBSTITUTE(SUBSTITUTE(SUBSTITUTE(SUBSTITUTE(SUBSTITUTE(SUBSTITUTE(SUBSTITUTE(TRIM(D615&amp;""),CHAR(160),"")," ",""),"초등학교","초"),"중학교","중"),"고등학교","고"),"~","~~"),"*","~*"),"?","~?")</f>
      </c>
      <c r="Q615" t="str">
        <f>SUBSTITUTE(SUBSTITUTE(SUBSTITUTE(SUBSTITUTE(SUBSTITUTE(SUBSTITUTE(SUBSTITUTE(SUBSTITUTE(TRIM(E615&amp;""),CHAR(160),"")," ",""),"초등학교","초"),"중학교","중"),"고등학교","고"),"~","~~"),"*","~*"),"?","~?")</f>
      </c>
      <c r="R615" t="str">
        <f>IF(COUNTA(B615:J615)=0,"",IF(AND(O615&lt;&gt;"",P615&lt;&gt;"",Q615&lt;&gt;""),"","입력누락"))</f>
      </c>
    </row>
    <row r="616" customFormat="false" ht="15" hidden="false" customHeight="false" outlineLevel="0" collapsed="false">
      <c r="A616" t="n" s="19">
        <f aca="0">IF(COUNTA(B616:J616)=0,"",ROW()-1)</f>
      </c>
      <c r="B616" s="24"/>
      <c r="C616" s="25"/>
      <c r="D616" s="8"/>
      <c r="E616" s="8"/>
      <c r="F616" s="26"/>
      <c r="G616" s="24"/>
      <c r="H616" s="25"/>
      <c r="I616" s="25"/>
      <c r="J616" s="26"/>
      <c r="K616" t="str" s="15">
        <f aca="0">IF(COUNTA(B616:J616)=0,"",IF(R616&lt;&gt;"","확인필요(입력누락)",IF(COUNTIFS(보유목록!$I$2:$I$3001,"*"&amp;P616&amp;"*",보유목록!$I$2:$I$3001,"*"&amp;Q616&amp;"*",보유목록!$H$2:$H$3001,O616)&gt;0,"있음",IF(COUNTIFS(보유목록!$I$2:$I$3001,"*"&amp;P616&amp;"*",보유목록!$I$2:$I$3001,"*"&amp;Q616&amp;"*")&gt;0,"확인필요(연도다름)",IF(COUNTIFS(보유목록!$I$2:$I$3001,"*"&amp;P616&amp;"*",보유목록!$H$2:$H$3001,O616)&gt;0,"확인필요(같은학교·같은연도)","없음")))))</f>
      </c>
      <c r="L616" t="str" s="16">
        <f aca="0">IF(OR(COUNTA(B616:J616)=0,R616&lt;&gt;""),"",COUNTIFS(보유목록!$I$2:$I$3001,"*"&amp;P616&amp;"*",보유목록!$I$2:$I$3001,"*"&amp;Q616&amp;"*"))</f>
      </c>
      <c r="M616" t="str" s="23">
        <f aca="0">IF(OR(COUNTA(B616:J616)=0,R616&lt;&gt;""),"",IFERROR(LOOKUP(2,1/(ISNUMBER(SEARCH(P616,보유목록!$I$2:$I$3001))*ISNUMBER(SEARCH(Q616,보유목록!$I$2:$I$3001))*(보유목록!$H$2:$H$3001=O616)),보유목록!$B$2:$B$3001),IFERROR(LOOKUP(2,1/(ISNUMBER(SEARCH(P616,보유목록!$I$2:$I$3001))*ISNUMBER(SEARCH(Q616,보유목록!$I$2:$I$3001))),보유목록!$B$2:$B$3001),"")))</f>
      </c>
      <c r="N616" s="25"/>
      <c r="O616" t="str">
        <f>IFERROR(IF(AND(LEN(SUBSTITUTE(SUBSTITUTE(SUBSTITUTE(TRIM(C616&amp;""),CHAR(160),"")," ",""),"년",""))=4,VALUE(SUBSTITUTE(SUBSTITUTE(SUBSTITUTE(TRIM(C616&amp;""),CHAR(160),"")," ",""),"년",""))&gt;=1900,VALUE(SUBSTITUTE(SUBSTITUTE(SUBSTITUTE(TRIM(C616&amp;""),CHAR(160),"")," ",""),"년",""))&lt;=2099,TEXT(VALUE(SUBSTITUTE(SUBSTITUTE(SUBSTITUTE(TRIM(C616&amp;""),CHAR(160),"")," ",""),"년","")),"0000")=SUBSTITUTE(SUBSTITUTE(SUBSTITUTE(TRIM(C616&amp;""),CHAR(160),"")," ",""),"년","")),SUBSTITUTE(SUBSTITUTE(SUBSTITUTE(TRIM(C616&amp;""),CHAR(160),"")," ",""),"년",""),""),"")</f>
      </c>
      <c r="P616" t="str">
        <f>SUBSTITUTE(SUBSTITUTE(SUBSTITUTE(SUBSTITUTE(SUBSTITUTE(SUBSTITUTE(SUBSTITUTE(SUBSTITUTE(TRIM(D616&amp;""),CHAR(160),"")," ",""),"초등학교","초"),"중학교","중"),"고등학교","고"),"~","~~"),"*","~*"),"?","~?")</f>
      </c>
      <c r="Q616" t="str">
        <f>SUBSTITUTE(SUBSTITUTE(SUBSTITUTE(SUBSTITUTE(SUBSTITUTE(SUBSTITUTE(SUBSTITUTE(SUBSTITUTE(TRIM(E616&amp;""),CHAR(160),"")," ",""),"초등학교","초"),"중학교","중"),"고등학교","고"),"~","~~"),"*","~*"),"?","~?")</f>
      </c>
      <c r="R616" t="str">
        <f>IF(COUNTA(B616:J616)=0,"",IF(AND(O616&lt;&gt;"",P616&lt;&gt;"",Q616&lt;&gt;""),"","입력누락"))</f>
      </c>
    </row>
    <row r="617" customFormat="false" ht="15" hidden="false" customHeight="false" outlineLevel="0" collapsed="false">
      <c r="A617" t="n" s="19">
        <f aca="0">IF(COUNTA(B617:J617)=0,"",ROW()-1)</f>
      </c>
      <c r="B617" s="24"/>
      <c r="C617" s="25"/>
      <c r="D617" s="8"/>
      <c r="E617" s="8"/>
      <c r="F617" s="26"/>
      <c r="G617" s="24"/>
      <c r="H617" s="25"/>
      <c r="I617" s="25"/>
      <c r="J617" s="26"/>
      <c r="K617" t="str" s="15">
        <f aca="0">IF(COUNTA(B617:J617)=0,"",IF(R617&lt;&gt;"","확인필요(입력누락)",IF(COUNTIFS(보유목록!$I$2:$I$3001,"*"&amp;P617&amp;"*",보유목록!$I$2:$I$3001,"*"&amp;Q617&amp;"*",보유목록!$H$2:$H$3001,O617)&gt;0,"있음",IF(COUNTIFS(보유목록!$I$2:$I$3001,"*"&amp;P617&amp;"*",보유목록!$I$2:$I$3001,"*"&amp;Q617&amp;"*")&gt;0,"확인필요(연도다름)",IF(COUNTIFS(보유목록!$I$2:$I$3001,"*"&amp;P617&amp;"*",보유목록!$H$2:$H$3001,O617)&gt;0,"확인필요(같은학교·같은연도)","없음")))))</f>
      </c>
      <c r="L617" t="str" s="16">
        <f aca="0">IF(OR(COUNTA(B617:J617)=0,R617&lt;&gt;""),"",COUNTIFS(보유목록!$I$2:$I$3001,"*"&amp;P617&amp;"*",보유목록!$I$2:$I$3001,"*"&amp;Q617&amp;"*"))</f>
      </c>
      <c r="M617" t="str" s="23">
        <f aca="0">IF(OR(COUNTA(B617:J617)=0,R617&lt;&gt;""),"",IFERROR(LOOKUP(2,1/(ISNUMBER(SEARCH(P617,보유목록!$I$2:$I$3001))*ISNUMBER(SEARCH(Q617,보유목록!$I$2:$I$3001))*(보유목록!$H$2:$H$3001=O617)),보유목록!$B$2:$B$3001),IFERROR(LOOKUP(2,1/(ISNUMBER(SEARCH(P617,보유목록!$I$2:$I$3001))*ISNUMBER(SEARCH(Q617,보유목록!$I$2:$I$3001))),보유목록!$B$2:$B$3001),"")))</f>
      </c>
      <c r="N617" s="25"/>
      <c r="O617" t="str">
        <f>IFERROR(IF(AND(LEN(SUBSTITUTE(SUBSTITUTE(SUBSTITUTE(TRIM(C617&amp;""),CHAR(160),"")," ",""),"년",""))=4,VALUE(SUBSTITUTE(SUBSTITUTE(SUBSTITUTE(TRIM(C617&amp;""),CHAR(160),"")," ",""),"년",""))&gt;=1900,VALUE(SUBSTITUTE(SUBSTITUTE(SUBSTITUTE(TRIM(C617&amp;""),CHAR(160),"")," ",""),"년",""))&lt;=2099,TEXT(VALUE(SUBSTITUTE(SUBSTITUTE(SUBSTITUTE(TRIM(C617&amp;""),CHAR(160),"")," ",""),"년","")),"0000")=SUBSTITUTE(SUBSTITUTE(SUBSTITUTE(TRIM(C617&amp;""),CHAR(160),"")," ",""),"년","")),SUBSTITUTE(SUBSTITUTE(SUBSTITUTE(TRIM(C617&amp;""),CHAR(160),"")," ",""),"년",""),""),"")</f>
      </c>
      <c r="P617" t="str">
        <f>SUBSTITUTE(SUBSTITUTE(SUBSTITUTE(SUBSTITUTE(SUBSTITUTE(SUBSTITUTE(SUBSTITUTE(SUBSTITUTE(TRIM(D617&amp;""),CHAR(160),"")," ",""),"초등학교","초"),"중학교","중"),"고등학교","고"),"~","~~"),"*","~*"),"?","~?")</f>
      </c>
      <c r="Q617" t="str">
        <f>SUBSTITUTE(SUBSTITUTE(SUBSTITUTE(SUBSTITUTE(SUBSTITUTE(SUBSTITUTE(SUBSTITUTE(SUBSTITUTE(TRIM(E617&amp;""),CHAR(160),"")," ",""),"초등학교","초"),"중학교","중"),"고등학교","고"),"~","~~"),"*","~*"),"?","~?")</f>
      </c>
      <c r="R617" t="str">
        <f>IF(COUNTA(B617:J617)=0,"",IF(AND(O617&lt;&gt;"",P617&lt;&gt;"",Q617&lt;&gt;""),"","입력누락"))</f>
      </c>
    </row>
    <row r="618" customFormat="false" ht="15" hidden="false" customHeight="false" outlineLevel="0" collapsed="false">
      <c r="A618" t="n" s="19">
        <f aca="0">IF(COUNTA(B618:J618)=0,"",ROW()-1)</f>
      </c>
      <c r="B618" s="24"/>
      <c r="C618" s="25"/>
      <c r="D618" s="8"/>
      <c r="E618" s="8"/>
      <c r="F618" s="26"/>
      <c r="G618" s="24"/>
      <c r="H618" s="25"/>
      <c r="I618" s="25"/>
      <c r="J618" s="26"/>
      <c r="K618" t="str" s="15">
        <f aca="0">IF(COUNTA(B618:J618)=0,"",IF(R618&lt;&gt;"","확인필요(입력누락)",IF(COUNTIFS(보유목록!$I$2:$I$3001,"*"&amp;P618&amp;"*",보유목록!$I$2:$I$3001,"*"&amp;Q618&amp;"*",보유목록!$H$2:$H$3001,O618)&gt;0,"있음",IF(COUNTIFS(보유목록!$I$2:$I$3001,"*"&amp;P618&amp;"*",보유목록!$I$2:$I$3001,"*"&amp;Q618&amp;"*")&gt;0,"확인필요(연도다름)",IF(COUNTIFS(보유목록!$I$2:$I$3001,"*"&amp;P618&amp;"*",보유목록!$H$2:$H$3001,O618)&gt;0,"확인필요(같은학교·같은연도)","없음")))))</f>
      </c>
      <c r="L618" t="str" s="16">
        <f aca="0">IF(OR(COUNTA(B618:J618)=0,R618&lt;&gt;""),"",COUNTIFS(보유목록!$I$2:$I$3001,"*"&amp;P618&amp;"*",보유목록!$I$2:$I$3001,"*"&amp;Q618&amp;"*"))</f>
      </c>
      <c r="M618" t="str" s="23">
        <f aca="0">IF(OR(COUNTA(B618:J618)=0,R618&lt;&gt;""),"",IFERROR(LOOKUP(2,1/(ISNUMBER(SEARCH(P618,보유목록!$I$2:$I$3001))*ISNUMBER(SEARCH(Q618,보유목록!$I$2:$I$3001))*(보유목록!$H$2:$H$3001=O618)),보유목록!$B$2:$B$3001),IFERROR(LOOKUP(2,1/(ISNUMBER(SEARCH(P618,보유목록!$I$2:$I$3001))*ISNUMBER(SEARCH(Q618,보유목록!$I$2:$I$3001))),보유목록!$B$2:$B$3001),"")))</f>
      </c>
      <c r="N618" s="25"/>
      <c r="O618" t="str">
        <f>IFERROR(IF(AND(LEN(SUBSTITUTE(SUBSTITUTE(SUBSTITUTE(TRIM(C618&amp;""),CHAR(160),"")," ",""),"년",""))=4,VALUE(SUBSTITUTE(SUBSTITUTE(SUBSTITUTE(TRIM(C618&amp;""),CHAR(160),"")," ",""),"년",""))&gt;=1900,VALUE(SUBSTITUTE(SUBSTITUTE(SUBSTITUTE(TRIM(C618&amp;""),CHAR(160),"")," ",""),"년",""))&lt;=2099,TEXT(VALUE(SUBSTITUTE(SUBSTITUTE(SUBSTITUTE(TRIM(C618&amp;""),CHAR(160),"")," ",""),"년","")),"0000")=SUBSTITUTE(SUBSTITUTE(SUBSTITUTE(TRIM(C618&amp;""),CHAR(160),"")," ",""),"년","")),SUBSTITUTE(SUBSTITUTE(SUBSTITUTE(TRIM(C618&amp;""),CHAR(160),"")," ",""),"년",""),""),"")</f>
      </c>
      <c r="P618" t="str">
        <f>SUBSTITUTE(SUBSTITUTE(SUBSTITUTE(SUBSTITUTE(SUBSTITUTE(SUBSTITUTE(SUBSTITUTE(SUBSTITUTE(TRIM(D618&amp;""),CHAR(160),"")," ",""),"초등학교","초"),"중학교","중"),"고등학교","고"),"~","~~"),"*","~*"),"?","~?")</f>
      </c>
      <c r="Q618" t="str">
        <f>SUBSTITUTE(SUBSTITUTE(SUBSTITUTE(SUBSTITUTE(SUBSTITUTE(SUBSTITUTE(SUBSTITUTE(SUBSTITUTE(TRIM(E618&amp;""),CHAR(160),"")," ",""),"초등학교","초"),"중학교","중"),"고등학교","고"),"~","~~"),"*","~*"),"?","~?")</f>
      </c>
      <c r="R618" t="str">
        <f>IF(COUNTA(B618:J618)=0,"",IF(AND(O618&lt;&gt;"",P618&lt;&gt;"",Q618&lt;&gt;""),"","입력누락"))</f>
      </c>
    </row>
    <row r="619" customFormat="false" ht="15" hidden="false" customHeight="false" outlineLevel="0" collapsed="false">
      <c r="A619" t="n" s="19">
        <f aca="0">IF(COUNTA(B619:J619)=0,"",ROW()-1)</f>
      </c>
      <c r="B619" s="24"/>
      <c r="C619" s="25"/>
      <c r="D619" s="8"/>
      <c r="E619" s="8"/>
      <c r="F619" s="26"/>
      <c r="G619" s="24"/>
      <c r="H619" s="25"/>
      <c r="I619" s="25"/>
      <c r="J619" s="26"/>
      <c r="K619" t="str" s="15">
        <f aca="0">IF(COUNTA(B619:J619)=0,"",IF(R619&lt;&gt;"","확인필요(입력누락)",IF(COUNTIFS(보유목록!$I$2:$I$3001,"*"&amp;P619&amp;"*",보유목록!$I$2:$I$3001,"*"&amp;Q619&amp;"*",보유목록!$H$2:$H$3001,O619)&gt;0,"있음",IF(COUNTIFS(보유목록!$I$2:$I$3001,"*"&amp;P619&amp;"*",보유목록!$I$2:$I$3001,"*"&amp;Q619&amp;"*")&gt;0,"확인필요(연도다름)",IF(COUNTIFS(보유목록!$I$2:$I$3001,"*"&amp;P619&amp;"*",보유목록!$H$2:$H$3001,O619)&gt;0,"확인필요(같은학교·같은연도)","없음")))))</f>
      </c>
      <c r="L619" t="str" s="16">
        <f aca="0">IF(OR(COUNTA(B619:J619)=0,R619&lt;&gt;""),"",COUNTIFS(보유목록!$I$2:$I$3001,"*"&amp;P619&amp;"*",보유목록!$I$2:$I$3001,"*"&amp;Q619&amp;"*"))</f>
      </c>
      <c r="M619" t="str" s="23">
        <f aca="0">IF(OR(COUNTA(B619:J619)=0,R619&lt;&gt;""),"",IFERROR(LOOKUP(2,1/(ISNUMBER(SEARCH(P619,보유목록!$I$2:$I$3001))*ISNUMBER(SEARCH(Q619,보유목록!$I$2:$I$3001))*(보유목록!$H$2:$H$3001=O619)),보유목록!$B$2:$B$3001),IFERROR(LOOKUP(2,1/(ISNUMBER(SEARCH(P619,보유목록!$I$2:$I$3001))*ISNUMBER(SEARCH(Q619,보유목록!$I$2:$I$3001))),보유목록!$B$2:$B$3001),"")))</f>
      </c>
      <c r="N619" s="25"/>
      <c r="O619" t="str">
        <f>IFERROR(IF(AND(LEN(SUBSTITUTE(SUBSTITUTE(SUBSTITUTE(TRIM(C619&amp;""),CHAR(160),"")," ",""),"년",""))=4,VALUE(SUBSTITUTE(SUBSTITUTE(SUBSTITUTE(TRIM(C619&amp;""),CHAR(160),"")," ",""),"년",""))&gt;=1900,VALUE(SUBSTITUTE(SUBSTITUTE(SUBSTITUTE(TRIM(C619&amp;""),CHAR(160),"")," ",""),"년",""))&lt;=2099,TEXT(VALUE(SUBSTITUTE(SUBSTITUTE(SUBSTITUTE(TRIM(C619&amp;""),CHAR(160),"")," ",""),"년","")),"0000")=SUBSTITUTE(SUBSTITUTE(SUBSTITUTE(TRIM(C619&amp;""),CHAR(160),"")," ",""),"년","")),SUBSTITUTE(SUBSTITUTE(SUBSTITUTE(TRIM(C619&amp;""),CHAR(160),"")," ",""),"년",""),""),"")</f>
      </c>
      <c r="P619" t="str">
        <f>SUBSTITUTE(SUBSTITUTE(SUBSTITUTE(SUBSTITUTE(SUBSTITUTE(SUBSTITUTE(SUBSTITUTE(SUBSTITUTE(TRIM(D619&amp;""),CHAR(160),"")," ",""),"초등학교","초"),"중학교","중"),"고등학교","고"),"~","~~"),"*","~*"),"?","~?")</f>
      </c>
      <c r="Q619" t="str">
        <f>SUBSTITUTE(SUBSTITUTE(SUBSTITUTE(SUBSTITUTE(SUBSTITUTE(SUBSTITUTE(SUBSTITUTE(SUBSTITUTE(TRIM(E619&amp;""),CHAR(160),"")," ",""),"초등학교","초"),"중학교","중"),"고등학교","고"),"~","~~"),"*","~*"),"?","~?")</f>
      </c>
      <c r="R619" t="str">
        <f>IF(COUNTA(B619:J619)=0,"",IF(AND(O619&lt;&gt;"",P619&lt;&gt;"",Q619&lt;&gt;""),"","입력누락"))</f>
      </c>
    </row>
    <row r="620" customFormat="false" ht="15" hidden="false" customHeight="false" outlineLevel="0" collapsed="false">
      <c r="A620" t="n" s="19">
        <f aca="0">IF(COUNTA(B620:J620)=0,"",ROW()-1)</f>
      </c>
      <c r="B620" s="24"/>
      <c r="C620" s="25"/>
      <c r="D620" s="8"/>
      <c r="E620" s="8"/>
      <c r="F620" s="26"/>
      <c r="G620" s="24"/>
      <c r="H620" s="25"/>
      <c r="I620" s="25"/>
      <c r="J620" s="26"/>
      <c r="K620" t="str" s="15">
        <f aca="0">IF(COUNTA(B620:J620)=0,"",IF(R620&lt;&gt;"","확인필요(입력누락)",IF(COUNTIFS(보유목록!$I$2:$I$3001,"*"&amp;P620&amp;"*",보유목록!$I$2:$I$3001,"*"&amp;Q620&amp;"*",보유목록!$H$2:$H$3001,O620)&gt;0,"있음",IF(COUNTIFS(보유목록!$I$2:$I$3001,"*"&amp;P620&amp;"*",보유목록!$I$2:$I$3001,"*"&amp;Q620&amp;"*")&gt;0,"확인필요(연도다름)",IF(COUNTIFS(보유목록!$I$2:$I$3001,"*"&amp;P620&amp;"*",보유목록!$H$2:$H$3001,O620)&gt;0,"확인필요(같은학교·같은연도)","없음")))))</f>
      </c>
      <c r="L620" t="str" s="16">
        <f aca="0">IF(OR(COUNTA(B620:J620)=0,R620&lt;&gt;""),"",COUNTIFS(보유목록!$I$2:$I$3001,"*"&amp;P620&amp;"*",보유목록!$I$2:$I$3001,"*"&amp;Q620&amp;"*"))</f>
      </c>
      <c r="M620" t="str" s="23">
        <f aca="0">IF(OR(COUNTA(B620:J620)=0,R620&lt;&gt;""),"",IFERROR(LOOKUP(2,1/(ISNUMBER(SEARCH(P620,보유목록!$I$2:$I$3001))*ISNUMBER(SEARCH(Q620,보유목록!$I$2:$I$3001))*(보유목록!$H$2:$H$3001=O620)),보유목록!$B$2:$B$3001),IFERROR(LOOKUP(2,1/(ISNUMBER(SEARCH(P620,보유목록!$I$2:$I$3001))*ISNUMBER(SEARCH(Q620,보유목록!$I$2:$I$3001))),보유목록!$B$2:$B$3001),"")))</f>
      </c>
      <c r="N620" s="25"/>
      <c r="O620" t="str">
        <f>IFERROR(IF(AND(LEN(SUBSTITUTE(SUBSTITUTE(SUBSTITUTE(TRIM(C620&amp;""),CHAR(160),"")," ",""),"년",""))=4,VALUE(SUBSTITUTE(SUBSTITUTE(SUBSTITUTE(TRIM(C620&amp;""),CHAR(160),"")," ",""),"년",""))&gt;=1900,VALUE(SUBSTITUTE(SUBSTITUTE(SUBSTITUTE(TRIM(C620&amp;""),CHAR(160),"")," ",""),"년",""))&lt;=2099,TEXT(VALUE(SUBSTITUTE(SUBSTITUTE(SUBSTITUTE(TRIM(C620&amp;""),CHAR(160),"")," ",""),"년","")),"0000")=SUBSTITUTE(SUBSTITUTE(SUBSTITUTE(TRIM(C620&amp;""),CHAR(160),"")," ",""),"년","")),SUBSTITUTE(SUBSTITUTE(SUBSTITUTE(TRIM(C620&amp;""),CHAR(160),"")," ",""),"년",""),""),"")</f>
      </c>
      <c r="P620" t="str">
        <f>SUBSTITUTE(SUBSTITUTE(SUBSTITUTE(SUBSTITUTE(SUBSTITUTE(SUBSTITUTE(SUBSTITUTE(SUBSTITUTE(TRIM(D620&amp;""),CHAR(160),"")," ",""),"초등학교","초"),"중학교","중"),"고등학교","고"),"~","~~"),"*","~*"),"?","~?")</f>
      </c>
      <c r="Q620" t="str">
        <f>SUBSTITUTE(SUBSTITUTE(SUBSTITUTE(SUBSTITUTE(SUBSTITUTE(SUBSTITUTE(SUBSTITUTE(SUBSTITUTE(TRIM(E620&amp;""),CHAR(160),"")," ",""),"초등학교","초"),"중학교","중"),"고등학교","고"),"~","~~"),"*","~*"),"?","~?")</f>
      </c>
      <c r="R620" t="str">
        <f>IF(COUNTA(B620:J620)=0,"",IF(AND(O620&lt;&gt;"",P620&lt;&gt;"",Q620&lt;&gt;""),"","입력누락"))</f>
      </c>
    </row>
    <row r="621" customFormat="false" ht="15" hidden="false" customHeight="false" outlineLevel="0" collapsed="false">
      <c r="A621" t="n" s="19">
        <f aca="0">IF(COUNTA(B621:J621)=0,"",ROW()-1)</f>
      </c>
      <c r="B621" s="24"/>
      <c r="C621" s="25"/>
      <c r="D621" s="8"/>
      <c r="E621" s="8"/>
      <c r="F621" s="26"/>
      <c r="G621" s="24"/>
      <c r="H621" s="25"/>
      <c r="I621" s="25"/>
      <c r="J621" s="26"/>
      <c r="K621" t="str" s="15">
        <f aca="0">IF(COUNTA(B621:J621)=0,"",IF(R621&lt;&gt;"","확인필요(입력누락)",IF(COUNTIFS(보유목록!$I$2:$I$3001,"*"&amp;P621&amp;"*",보유목록!$I$2:$I$3001,"*"&amp;Q621&amp;"*",보유목록!$H$2:$H$3001,O621)&gt;0,"있음",IF(COUNTIFS(보유목록!$I$2:$I$3001,"*"&amp;P621&amp;"*",보유목록!$I$2:$I$3001,"*"&amp;Q621&amp;"*")&gt;0,"확인필요(연도다름)",IF(COUNTIFS(보유목록!$I$2:$I$3001,"*"&amp;P621&amp;"*",보유목록!$H$2:$H$3001,O621)&gt;0,"확인필요(같은학교·같은연도)","없음")))))</f>
      </c>
      <c r="L621" t="str" s="16">
        <f aca="0">IF(OR(COUNTA(B621:J621)=0,R621&lt;&gt;""),"",COUNTIFS(보유목록!$I$2:$I$3001,"*"&amp;P621&amp;"*",보유목록!$I$2:$I$3001,"*"&amp;Q621&amp;"*"))</f>
      </c>
      <c r="M621" t="str" s="23">
        <f aca="0">IF(OR(COUNTA(B621:J621)=0,R621&lt;&gt;""),"",IFERROR(LOOKUP(2,1/(ISNUMBER(SEARCH(P621,보유목록!$I$2:$I$3001))*ISNUMBER(SEARCH(Q621,보유목록!$I$2:$I$3001))*(보유목록!$H$2:$H$3001=O621)),보유목록!$B$2:$B$3001),IFERROR(LOOKUP(2,1/(ISNUMBER(SEARCH(P621,보유목록!$I$2:$I$3001))*ISNUMBER(SEARCH(Q621,보유목록!$I$2:$I$3001))),보유목록!$B$2:$B$3001),"")))</f>
      </c>
      <c r="N621" s="25"/>
      <c r="O621" t="str">
        <f>IFERROR(IF(AND(LEN(SUBSTITUTE(SUBSTITUTE(SUBSTITUTE(TRIM(C621&amp;""),CHAR(160),"")," ",""),"년",""))=4,VALUE(SUBSTITUTE(SUBSTITUTE(SUBSTITUTE(TRIM(C621&amp;""),CHAR(160),"")," ",""),"년",""))&gt;=1900,VALUE(SUBSTITUTE(SUBSTITUTE(SUBSTITUTE(TRIM(C621&amp;""),CHAR(160),"")," ",""),"년",""))&lt;=2099,TEXT(VALUE(SUBSTITUTE(SUBSTITUTE(SUBSTITUTE(TRIM(C621&amp;""),CHAR(160),"")," ",""),"년","")),"0000")=SUBSTITUTE(SUBSTITUTE(SUBSTITUTE(TRIM(C621&amp;""),CHAR(160),"")," ",""),"년","")),SUBSTITUTE(SUBSTITUTE(SUBSTITUTE(TRIM(C621&amp;""),CHAR(160),"")," ",""),"년",""),""),"")</f>
      </c>
      <c r="P621" t="str">
        <f>SUBSTITUTE(SUBSTITUTE(SUBSTITUTE(SUBSTITUTE(SUBSTITUTE(SUBSTITUTE(SUBSTITUTE(SUBSTITUTE(TRIM(D621&amp;""),CHAR(160),"")," ",""),"초등학교","초"),"중학교","중"),"고등학교","고"),"~","~~"),"*","~*"),"?","~?")</f>
      </c>
      <c r="Q621" t="str">
        <f>SUBSTITUTE(SUBSTITUTE(SUBSTITUTE(SUBSTITUTE(SUBSTITUTE(SUBSTITUTE(SUBSTITUTE(SUBSTITUTE(TRIM(E621&amp;""),CHAR(160),"")," ",""),"초등학교","초"),"중학교","중"),"고등학교","고"),"~","~~"),"*","~*"),"?","~?")</f>
      </c>
      <c r="R621" t="str">
        <f>IF(COUNTA(B621:J621)=0,"",IF(AND(O621&lt;&gt;"",P621&lt;&gt;"",Q621&lt;&gt;""),"","입력누락"))</f>
      </c>
    </row>
    <row r="622" customFormat="false" ht="15" hidden="false" customHeight="false" outlineLevel="0" collapsed="false">
      <c r="A622" t="n" s="19">
        <f aca="0">IF(COUNTA(B622:J622)=0,"",ROW()-1)</f>
      </c>
      <c r="B622" s="24"/>
      <c r="C622" s="25"/>
      <c r="D622" s="8"/>
      <c r="E622" s="8"/>
      <c r="F622" s="26"/>
      <c r="G622" s="24"/>
      <c r="H622" s="25"/>
      <c r="I622" s="25"/>
      <c r="J622" s="26"/>
      <c r="K622" t="str" s="15">
        <f aca="0">IF(COUNTA(B622:J622)=0,"",IF(R622&lt;&gt;"","확인필요(입력누락)",IF(COUNTIFS(보유목록!$I$2:$I$3001,"*"&amp;P622&amp;"*",보유목록!$I$2:$I$3001,"*"&amp;Q622&amp;"*",보유목록!$H$2:$H$3001,O622)&gt;0,"있음",IF(COUNTIFS(보유목록!$I$2:$I$3001,"*"&amp;P622&amp;"*",보유목록!$I$2:$I$3001,"*"&amp;Q622&amp;"*")&gt;0,"확인필요(연도다름)",IF(COUNTIFS(보유목록!$I$2:$I$3001,"*"&amp;P622&amp;"*",보유목록!$H$2:$H$3001,O622)&gt;0,"확인필요(같은학교·같은연도)","없음")))))</f>
      </c>
      <c r="L622" t="str" s="16">
        <f aca="0">IF(OR(COUNTA(B622:J622)=0,R622&lt;&gt;""),"",COUNTIFS(보유목록!$I$2:$I$3001,"*"&amp;P622&amp;"*",보유목록!$I$2:$I$3001,"*"&amp;Q622&amp;"*"))</f>
      </c>
      <c r="M622" t="str" s="23">
        <f aca="0">IF(OR(COUNTA(B622:J622)=0,R622&lt;&gt;""),"",IFERROR(LOOKUP(2,1/(ISNUMBER(SEARCH(P622,보유목록!$I$2:$I$3001))*ISNUMBER(SEARCH(Q622,보유목록!$I$2:$I$3001))*(보유목록!$H$2:$H$3001=O622)),보유목록!$B$2:$B$3001),IFERROR(LOOKUP(2,1/(ISNUMBER(SEARCH(P622,보유목록!$I$2:$I$3001))*ISNUMBER(SEARCH(Q622,보유목록!$I$2:$I$3001))),보유목록!$B$2:$B$3001),"")))</f>
      </c>
      <c r="N622" s="25"/>
      <c r="O622" t="str">
        <f>IFERROR(IF(AND(LEN(SUBSTITUTE(SUBSTITUTE(SUBSTITUTE(TRIM(C622&amp;""),CHAR(160),"")," ",""),"년",""))=4,VALUE(SUBSTITUTE(SUBSTITUTE(SUBSTITUTE(TRIM(C622&amp;""),CHAR(160),"")," ",""),"년",""))&gt;=1900,VALUE(SUBSTITUTE(SUBSTITUTE(SUBSTITUTE(TRIM(C622&amp;""),CHAR(160),"")," ",""),"년",""))&lt;=2099,TEXT(VALUE(SUBSTITUTE(SUBSTITUTE(SUBSTITUTE(TRIM(C622&amp;""),CHAR(160),"")," ",""),"년","")),"0000")=SUBSTITUTE(SUBSTITUTE(SUBSTITUTE(TRIM(C622&amp;""),CHAR(160),"")," ",""),"년","")),SUBSTITUTE(SUBSTITUTE(SUBSTITUTE(TRIM(C622&amp;""),CHAR(160),"")," ",""),"년",""),""),"")</f>
      </c>
      <c r="P622" t="str">
        <f>SUBSTITUTE(SUBSTITUTE(SUBSTITUTE(SUBSTITUTE(SUBSTITUTE(SUBSTITUTE(SUBSTITUTE(SUBSTITUTE(TRIM(D622&amp;""),CHAR(160),"")," ",""),"초등학교","초"),"중학교","중"),"고등학교","고"),"~","~~"),"*","~*"),"?","~?")</f>
      </c>
      <c r="Q622" t="str">
        <f>SUBSTITUTE(SUBSTITUTE(SUBSTITUTE(SUBSTITUTE(SUBSTITUTE(SUBSTITUTE(SUBSTITUTE(SUBSTITUTE(TRIM(E622&amp;""),CHAR(160),"")," ",""),"초등학교","초"),"중학교","중"),"고등학교","고"),"~","~~"),"*","~*"),"?","~?")</f>
      </c>
      <c r="R622" t="str">
        <f>IF(COUNTA(B622:J622)=0,"",IF(AND(O622&lt;&gt;"",P622&lt;&gt;"",Q622&lt;&gt;""),"","입력누락"))</f>
      </c>
    </row>
    <row r="623" customFormat="false" ht="15" hidden="false" customHeight="false" outlineLevel="0" collapsed="false">
      <c r="A623" t="n" s="19">
        <f aca="0">IF(COUNTA(B623:J623)=0,"",ROW()-1)</f>
      </c>
      <c r="B623" s="24"/>
      <c r="C623" s="25"/>
      <c r="D623" s="8"/>
      <c r="E623" s="8"/>
      <c r="F623" s="26"/>
      <c r="G623" s="24"/>
      <c r="H623" s="25"/>
      <c r="I623" s="25"/>
      <c r="J623" s="26"/>
      <c r="K623" t="str" s="15">
        <f aca="0">IF(COUNTA(B623:J623)=0,"",IF(R623&lt;&gt;"","확인필요(입력누락)",IF(COUNTIFS(보유목록!$I$2:$I$3001,"*"&amp;P623&amp;"*",보유목록!$I$2:$I$3001,"*"&amp;Q623&amp;"*",보유목록!$H$2:$H$3001,O623)&gt;0,"있음",IF(COUNTIFS(보유목록!$I$2:$I$3001,"*"&amp;P623&amp;"*",보유목록!$I$2:$I$3001,"*"&amp;Q623&amp;"*")&gt;0,"확인필요(연도다름)",IF(COUNTIFS(보유목록!$I$2:$I$3001,"*"&amp;P623&amp;"*",보유목록!$H$2:$H$3001,O623)&gt;0,"확인필요(같은학교·같은연도)","없음")))))</f>
      </c>
      <c r="L623" t="str" s="16">
        <f aca="0">IF(OR(COUNTA(B623:J623)=0,R623&lt;&gt;""),"",COUNTIFS(보유목록!$I$2:$I$3001,"*"&amp;P623&amp;"*",보유목록!$I$2:$I$3001,"*"&amp;Q623&amp;"*"))</f>
      </c>
      <c r="M623" t="str" s="23">
        <f aca="0">IF(OR(COUNTA(B623:J623)=0,R623&lt;&gt;""),"",IFERROR(LOOKUP(2,1/(ISNUMBER(SEARCH(P623,보유목록!$I$2:$I$3001))*ISNUMBER(SEARCH(Q623,보유목록!$I$2:$I$3001))*(보유목록!$H$2:$H$3001=O623)),보유목록!$B$2:$B$3001),IFERROR(LOOKUP(2,1/(ISNUMBER(SEARCH(P623,보유목록!$I$2:$I$3001))*ISNUMBER(SEARCH(Q623,보유목록!$I$2:$I$3001))),보유목록!$B$2:$B$3001),"")))</f>
      </c>
      <c r="N623" s="25"/>
      <c r="O623" t="str">
        <f>IFERROR(IF(AND(LEN(SUBSTITUTE(SUBSTITUTE(SUBSTITUTE(TRIM(C623&amp;""),CHAR(160),"")," ",""),"년",""))=4,VALUE(SUBSTITUTE(SUBSTITUTE(SUBSTITUTE(TRIM(C623&amp;""),CHAR(160),"")," ",""),"년",""))&gt;=1900,VALUE(SUBSTITUTE(SUBSTITUTE(SUBSTITUTE(TRIM(C623&amp;""),CHAR(160),"")," ",""),"년",""))&lt;=2099,TEXT(VALUE(SUBSTITUTE(SUBSTITUTE(SUBSTITUTE(TRIM(C623&amp;""),CHAR(160),"")," ",""),"년","")),"0000")=SUBSTITUTE(SUBSTITUTE(SUBSTITUTE(TRIM(C623&amp;""),CHAR(160),"")," ",""),"년","")),SUBSTITUTE(SUBSTITUTE(SUBSTITUTE(TRIM(C623&amp;""),CHAR(160),"")," ",""),"년",""),""),"")</f>
      </c>
      <c r="P623" t="str">
        <f>SUBSTITUTE(SUBSTITUTE(SUBSTITUTE(SUBSTITUTE(SUBSTITUTE(SUBSTITUTE(SUBSTITUTE(SUBSTITUTE(TRIM(D623&amp;""),CHAR(160),"")," ",""),"초등학교","초"),"중학교","중"),"고등학교","고"),"~","~~"),"*","~*"),"?","~?")</f>
      </c>
      <c r="Q623" t="str">
        <f>SUBSTITUTE(SUBSTITUTE(SUBSTITUTE(SUBSTITUTE(SUBSTITUTE(SUBSTITUTE(SUBSTITUTE(SUBSTITUTE(TRIM(E623&amp;""),CHAR(160),"")," ",""),"초등학교","초"),"중학교","중"),"고등학교","고"),"~","~~"),"*","~*"),"?","~?")</f>
      </c>
      <c r="R623" t="str">
        <f>IF(COUNTA(B623:J623)=0,"",IF(AND(O623&lt;&gt;"",P623&lt;&gt;"",Q623&lt;&gt;""),"","입력누락"))</f>
      </c>
    </row>
    <row r="624" customFormat="false" ht="15" hidden="false" customHeight="false" outlineLevel="0" collapsed="false">
      <c r="A624" t="n" s="19">
        <f aca="0">IF(COUNTA(B624:J624)=0,"",ROW()-1)</f>
      </c>
      <c r="B624" s="24"/>
      <c r="C624" s="25"/>
      <c r="D624" s="8"/>
      <c r="E624" s="8"/>
      <c r="F624" s="26"/>
      <c r="G624" s="24"/>
      <c r="H624" s="25"/>
      <c r="I624" s="25"/>
      <c r="J624" s="26"/>
      <c r="K624" t="str" s="15">
        <f aca="0">IF(COUNTA(B624:J624)=0,"",IF(R624&lt;&gt;"","확인필요(입력누락)",IF(COUNTIFS(보유목록!$I$2:$I$3001,"*"&amp;P624&amp;"*",보유목록!$I$2:$I$3001,"*"&amp;Q624&amp;"*",보유목록!$H$2:$H$3001,O624)&gt;0,"있음",IF(COUNTIFS(보유목록!$I$2:$I$3001,"*"&amp;P624&amp;"*",보유목록!$I$2:$I$3001,"*"&amp;Q624&amp;"*")&gt;0,"확인필요(연도다름)",IF(COUNTIFS(보유목록!$I$2:$I$3001,"*"&amp;P624&amp;"*",보유목록!$H$2:$H$3001,O624)&gt;0,"확인필요(같은학교·같은연도)","없음")))))</f>
      </c>
      <c r="L624" t="str" s="16">
        <f aca="0">IF(OR(COUNTA(B624:J624)=0,R624&lt;&gt;""),"",COUNTIFS(보유목록!$I$2:$I$3001,"*"&amp;P624&amp;"*",보유목록!$I$2:$I$3001,"*"&amp;Q624&amp;"*"))</f>
      </c>
      <c r="M624" t="str" s="23">
        <f aca="0">IF(OR(COUNTA(B624:J624)=0,R624&lt;&gt;""),"",IFERROR(LOOKUP(2,1/(ISNUMBER(SEARCH(P624,보유목록!$I$2:$I$3001))*ISNUMBER(SEARCH(Q624,보유목록!$I$2:$I$3001))*(보유목록!$H$2:$H$3001=O624)),보유목록!$B$2:$B$3001),IFERROR(LOOKUP(2,1/(ISNUMBER(SEARCH(P624,보유목록!$I$2:$I$3001))*ISNUMBER(SEARCH(Q624,보유목록!$I$2:$I$3001))),보유목록!$B$2:$B$3001),"")))</f>
      </c>
      <c r="N624" s="25"/>
      <c r="O624" t="str">
        <f>IFERROR(IF(AND(LEN(SUBSTITUTE(SUBSTITUTE(SUBSTITUTE(TRIM(C624&amp;""),CHAR(160),"")," ",""),"년",""))=4,VALUE(SUBSTITUTE(SUBSTITUTE(SUBSTITUTE(TRIM(C624&amp;""),CHAR(160),"")," ",""),"년",""))&gt;=1900,VALUE(SUBSTITUTE(SUBSTITUTE(SUBSTITUTE(TRIM(C624&amp;""),CHAR(160),"")," ",""),"년",""))&lt;=2099,TEXT(VALUE(SUBSTITUTE(SUBSTITUTE(SUBSTITUTE(TRIM(C624&amp;""),CHAR(160),"")," ",""),"년","")),"0000")=SUBSTITUTE(SUBSTITUTE(SUBSTITUTE(TRIM(C624&amp;""),CHAR(160),"")," ",""),"년","")),SUBSTITUTE(SUBSTITUTE(SUBSTITUTE(TRIM(C624&amp;""),CHAR(160),"")," ",""),"년",""),""),"")</f>
      </c>
      <c r="P624" t="str">
        <f>SUBSTITUTE(SUBSTITUTE(SUBSTITUTE(SUBSTITUTE(SUBSTITUTE(SUBSTITUTE(SUBSTITUTE(SUBSTITUTE(TRIM(D624&amp;""),CHAR(160),"")," ",""),"초등학교","초"),"중학교","중"),"고등학교","고"),"~","~~"),"*","~*"),"?","~?")</f>
      </c>
      <c r="Q624" t="str">
        <f>SUBSTITUTE(SUBSTITUTE(SUBSTITUTE(SUBSTITUTE(SUBSTITUTE(SUBSTITUTE(SUBSTITUTE(SUBSTITUTE(TRIM(E624&amp;""),CHAR(160),"")," ",""),"초등학교","초"),"중학교","중"),"고등학교","고"),"~","~~"),"*","~*"),"?","~?")</f>
      </c>
      <c r="R624" t="str">
        <f>IF(COUNTA(B624:J624)=0,"",IF(AND(O624&lt;&gt;"",P624&lt;&gt;"",Q624&lt;&gt;""),"","입력누락"))</f>
      </c>
    </row>
    <row r="625" customFormat="false" ht="15" hidden="false" customHeight="false" outlineLevel="0" collapsed="false">
      <c r="A625" t="n" s="19">
        <f aca="0">IF(COUNTA(B625:J625)=0,"",ROW()-1)</f>
      </c>
      <c r="B625" s="24"/>
      <c r="C625" s="25"/>
      <c r="D625" s="8"/>
      <c r="E625" s="8"/>
      <c r="F625" s="26"/>
      <c r="G625" s="24"/>
      <c r="H625" s="25"/>
      <c r="I625" s="25"/>
      <c r="J625" s="26"/>
      <c r="K625" t="str" s="15">
        <f aca="0">IF(COUNTA(B625:J625)=0,"",IF(R625&lt;&gt;"","확인필요(입력누락)",IF(COUNTIFS(보유목록!$I$2:$I$3001,"*"&amp;P625&amp;"*",보유목록!$I$2:$I$3001,"*"&amp;Q625&amp;"*",보유목록!$H$2:$H$3001,O625)&gt;0,"있음",IF(COUNTIFS(보유목록!$I$2:$I$3001,"*"&amp;P625&amp;"*",보유목록!$I$2:$I$3001,"*"&amp;Q625&amp;"*")&gt;0,"확인필요(연도다름)",IF(COUNTIFS(보유목록!$I$2:$I$3001,"*"&amp;P625&amp;"*",보유목록!$H$2:$H$3001,O625)&gt;0,"확인필요(같은학교·같은연도)","없음")))))</f>
      </c>
      <c r="L625" t="str" s="16">
        <f aca="0">IF(OR(COUNTA(B625:J625)=0,R625&lt;&gt;""),"",COUNTIFS(보유목록!$I$2:$I$3001,"*"&amp;P625&amp;"*",보유목록!$I$2:$I$3001,"*"&amp;Q625&amp;"*"))</f>
      </c>
      <c r="M625" t="str" s="23">
        <f aca="0">IF(OR(COUNTA(B625:J625)=0,R625&lt;&gt;""),"",IFERROR(LOOKUP(2,1/(ISNUMBER(SEARCH(P625,보유목록!$I$2:$I$3001))*ISNUMBER(SEARCH(Q625,보유목록!$I$2:$I$3001))*(보유목록!$H$2:$H$3001=O625)),보유목록!$B$2:$B$3001),IFERROR(LOOKUP(2,1/(ISNUMBER(SEARCH(P625,보유목록!$I$2:$I$3001))*ISNUMBER(SEARCH(Q625,보유목록!$I$2:$I$3001))),보유목록!$B$2:$B$3001),"")))</f>
      </c>
      <c r="N625" s="25"/>
      <c r="O625" t="str">
        <f>IFERROR(IF(AND(LEN(SUBSTITUTE(SUBSTITUTE(SUBSTITUTE(TRIM(C625&amp;""),CHAR(160),"")," ",""),"년",""))=4,VALUE(SUBSTITUTE(SUBSTITUTE(SUBSTITUTE(TRIM(C625&amp;""),CHAR(160),"")," ",""),"년",""))&gt;=1900,VALUE(SUBSTITUTE(SUBSTITUTE(SUBSTITUTE(TRIM(C625&amp;""),CHAR(160),"")," ",""),"년",""))&lt;=2099,TEXT(VALUE(SUBSTITUTE(SUBSTITUTE(SUBSTITUTE(TRIM(C625&amp;""),CHAR(160),"")," ",""),"년","")),"0000")=SUBSTITUTE(SUBSTITUTE(SUBSTITUTE(TRIM(C625&amp;""),CHAR(160),"")," ",""),"년","")),SUBSTITUTE(SUBSTITUTE(SUBSTITUTE(TRIM(C625&amp;""),CHAR(160),"")," ",""),"년",""),""),"")</f>
      </c>
      <c r="P625" t="str">
        <f>SUBSTITUTE(SUBSTITUTE(SUBSTITUTE(SUBSTITUTE(SUBSTITUTE(SUBSTITUTE(SUBSTITUTE(SUBSTITUTE(TRIM(D625&amp;""),CHAR(160),"")," ",""),"초등학교","초"),"중학교","중"),"고등학교","고"),"~","~~"),"*","~*"),"?","~?")</f>
      </c>
      <c r="Q625" t="str">
        <f>SUBSTITUTE(SUBSTITUTE(SUBSTITUTE(SUBSTITUTE(SUBSTITUTE(SUBSTITUTE(SUBSTITUTE(SUBSTITUTE(TRIM(E625&amp;""),CHAR(160),"")," ",""),"초등학교","초"),"중학교","중"),"고등학교","고"),"~","~~"),"*","~*"),"?","~?")</f>
      </c>
      <c r="R625" t="str">
        <f>IF(COUNTA(B625:J625)=0,"",IF(AND(O625&lt;&gt;"",P625&lt;&gt;"",Q625&lt;&gt;""),"","입력누락"))</f>
      </c>
    </row>
    <row r="626" customFormat="false" ht="15" hidden="false" customHeight="false" outlineLevel="0" collapsed="false">
      <c r="A626" t="n" s="19">
        <f aca="0">IF(COUNTA(B626:J626)=0,"",ROW()-1)</f>
      </c>
      <c r="B626" s="24"/>
      <c r="C626" s="25"/>
      <c r="D626" s="8"/>
      <c r="E626" s="8"/>
      <c r="F626" s="26"/>
      <c r="G626" s="24"/>
      <c r="H626" s="25"/>
      <c r="I626" s="25"/>
      <c r="J626" s="26"/>
      <c r="K626" t="str" s="15">
        <f aca="0">IF(COUNTA(B626:J626)=0,"",IF(R626&lt;&gt;"","확인필요(입력누락)",IF(COUNTIFS(보유목록!$I$2:$I$3001,"*"&amp;P626&amp;"*",보유목록!$I$2:$I$3001,"*"&amp;Q626&amp;"*",보유목록!$H$2:$H$3001,O626)&gt;0,"있음",IF(COUNTIFS(보유목록!$I$2:$I$3001,"*"&amp;P626&amp;"*",보유목록!$I$2:$I$3001,"*"&amp;Q626&amp;"*")&gt;0,"확인필요(연도다름)",IF(COUNTIFS(보유목록!$I$2:$I$3001,"*"&amp;P626&amp;"*",보유목록!$H$2:$H$3001,O626)&gt;0,"확인필요(같은학교·같은연도)","없음")))))</f>
      </c>
      <c r="L626" t="str" s="16">
        <f aca="0">IF(OR(COUNTA(B626:J626)=0,R626&lt;&gt;""),"",COUNTIFS(보유목록!$I$2:$I$3001,"*"&amp;P626&amp;"*",보유목록!$I$2:$I$3001,"*"&amp;Q626&amp;"*"))</f>
      </c>
      <c r="M626" t="str" s="23">
        <f aca="0">IF(OR(COUNTA(B626:J626)=0,R626&lt;&gt;""),"",IFERROR(LOOKUP(2,1/(ISNUMBER(SEARCH(P626,보유목록!$I$2:$I$3001))*ISNUMBER(SEARCH(Q626,보유목록!$I$2:$I$3001))*(보유목록!$H$2:$H$3001=O626)),보유목록!$B$2:$B$3001),IFERROR(LOOKUP(2,1/(ISNUMBER(SEARCH(P626,보유목록!$I$2:$I$3001))*ISNUMBER(SEARCH(Q626,보유목록!$I$2:$I$3001))),보유목록!$B$2:$B$3001),"")))</f>
      </c>
      <c r="N626" s="25"/>
      <c r="O626" t="str">
        <f>IFERROR(IF(AND(LEN(SUBSTITUTE(SUBSTITUTE(SUBSTITUTE(TRIM(C626&amp;""),CHAR(160),"")," ",""),"년",""))=4,VALUE(SUBSTITUTE(SUBSTITUTE(SUBSTITUTE(TRIM(C626&amp;""),CHAR(160),"")," ",""),"년",""))&gt;=1900,VALUE(SUBSTITUTE(SUBSTITUTE(SUBSTITUTE(TRIM(C626&amp;""),CHAR(160),"")," ",""),"년",""))&lt;=2099,TEXT(VALUE(SUBSTITUTE(SUBSTITUTE(SUBSTITUTE(TRIM(C626&amp;""),CHAR(160),"")," ",""),"년","")),"0000")=SUBSTITUTE(SUBSTITUTE(SUBSTITUTE(TRIM(C626&amp;""),CHAR(160),"")," ",""),"년","")),SUBSTITUTE(SUBSTITUTE(SUBSTITUTE(TRIM(C626&amp;""),CHAR(160),"")," ",""),"년",""),""),"")</f>
      </c>
      <c r="P626" t="str">
        <f>SUBSTITUTE(SUBSTITUTE(SUBSTITUTE(SUBSTITUTE(SUBSTITUTE(SUBSTITUTE(SUBSTITUTE(SUBSTITUTE(TRIM(D626&amp;""),CHAR(160),"")," ",""),"초등학교","초"),"중학교","중"),"고등학교","고"),"~","~~"),"*","~*"),"?","~?")</f>
      </c>
      <c r="Q626" t="str">
        <f>SUBSTITUTE(SUBSTITUTE(SUBSTITUTE(SUBSTITUTE(SUBSTITUTE(SUBSTITUTE(SUBSTITUTE(SUBSTITUTE(TRIM(E626&amp;""),CHAR(160),"")," ",""),"초등학교","초"),"중학교","중"),"고등학교","고"),"~","~~"),"*","~*"),"?","~?")</f>
      </c>
      <c r="R626" t="str">
        <f>IF(COUNTA(B626:J626)=0,"",IF(AND(O626&lt;&gt;"",P626&lt;&gt;"",Q626&lt;&gt;""),"","입력누락"))</f>
      </c>
    </row>
    <row r="627" customFormat="false" ht="15" hidden="false" customHeight="false" outlineLevel="0" collapsed="false">
      <c r="A627" t="n" s="19">
        <f aca="0">IF(COUNTA(B627:J627)=0,"",ROW()-1)</f>
      </c>
      <c r="B627" s="24"/>
      <c r="C627" s="25"/>
      <c r="D627" s="8"/>
      <c r="E627" s="8"/>
      <c r="F627" s="26"/>
      <c r="G627" s="24"/>
      <c r="H627" s="25"/>
      <c r="I627" s="25"/>
      <c r="J627" s="26"/>
      <c r="K627" t="str" s="15">
        <f aca="0">IF(COUNTA(B627:J627)=0,"",IF(R627&lt;&gt;"","확인필요(입력누락)",IF(COUNTIFS(보유목록!$I$2:$I$3001,"*"&amp;P627&amp;"*",보유목록!$I$2:$I$3001,"*"&amp;Q627&amp;"*",보유목록!$H$2:$H$3001,O627)&gt;0,"있음",IF(COUNTIFS(보유목록!$I$2:$I$3001,"*"&amp;P627&amp;"*",보유목록!$I$2:$I$3001,"*"&amp;Q627&amp;"*")&gt;0,"확인필요(연도다름)",IF(COUNTIFS(보유목록!$I$2:$I$3001,"*"&amp;P627&amp;"*",보유목록!$H$2:$H$3001,O627)&gt;0,"확인필요(같은학교·같은연도)","없음")))))</f>
      </c>
      <c r="L627" t="str" s="16">
        <f aca="0">IF(OR(COUNTA(B627:J627)=0,R627&lt;&gt;""),"",COUNTIFS(보유목록!$I$2:$I$3001,"*"&amp;P627&amp;"*",보유목록!$I$2:$I$3001,"*"&amp;Q627&amp;"*"))</f>
      </c>
      <c r="M627" t="str" s="23">
        <f aca="0">IF(OR(COUNTA(B627:J627)=0,R627&lt;&gt;""),"",IFERROR(LOOKUP(2,1/(ISNUMBER(SEARCH(P627,보유목록!$I$2:$I$3001))*ISNUMBER(SEARCH(Q627,보유목록!$I$2:$I$3001))*(보유목록!$H$2:$H$3001=O627)),보유목록!$B$2:$B$3001),IFERROR(LOOKUP(2,1/(ISNUMBER(SEARCH(P627,보유목록!$I$2:$I$3001))*ISNUMBER(SEARCH(Q627,보유목록!$I$2:$I$3001))),보유목록!$B$2:$B$3001),"")))</f>
      </c>
      <c r="N627" s="25"/>
      <c r="O627" t="str">
        <f>IFERROR(IF(AND(LEN(SUBSTITUTE(SUBSTITUTE(SUBSTITUTE(TRIM(C627&amp;""),CHAR(160),"")," ",""),"년",""))=4,VALUE(SUBSTITUTE(SUBSTITUTE(SUBSTITUTE(TRIM(C627&amp;""),CHAR(160),"")," ",""),"년",""))&gt;=1900,VALUE(SUBSTITUTE(SUBSTITUTE(SUBSTITUTE(TRIM(C627&amp;""),CHAR(160),"")," ",""),"년",""))&lt;=2099,TEXT(VALUE(SUBSTITUTE(SUBSTITUTE(SUBSTITUTE(TRIM(C627&amp;""),CHAR(160),"")," ",""),"년","")),"0000")=SUBSTITUTE(SUBSTITUTE(SUBSTITUTE(TRIM(C627&amp;""),CHAR(160),"")," ",""),"년","")),SUBSTITUTE(SUBSTITUTE(SUBSTITUTE(TRIM(C627&amp;""),CHAR(160),"")," ",""),"년",""),""),"")</f>
      </c>
      <c r="P627" t="str">
        <f>SUBSTITUTE(SUBSTITUTE(SUBSTITUTE(SUBSTITUTE(SUBSTITUTE(SUBSTITUTE(SUBSTITUTE(SUBSTITUTE(TRIM(D627&amp;""),CHAR(160),"")," ",""),"초등학교","초"),"중학교","중"),"고등학교","고"),"~","~~"),"*","~*"),"?","~?")</f>
      </c>
      <c r="Q627" t="str">
        <f>SUBSTITUTE(SUBSTITUTE(SUBSTITUTE(SUBSTITUTE(SUBSTITUTE(SUBSTITUTE(SUBSTITUTE(SUBSTITUTE(TRIM(E627&amp;""),CHAR(160),"")," ",""),"초등학교","초"),"중학교","중"),"고등학교","고"),"~","~~"),"*","~*"),"?","~?")</f>
      </c>
      <c r="R627" t="str">
        <f>IF(COUNTA(B627:J627)=0,"",IF(AND(O627&lt;&gt;"",P627&lt;&gt;"",Q627&lt;&gt;""),"","입력누락"))</f>
      </c>
    </row>
    <row r="628" customFormat="false" ht="15" hidden="false" customHeight="false" outlineLevel="0" collapsed="false">
      <c r="A628" t="n" s="19">
        <f aca="0">IF(COUNTA(B628:J628)=0,"",ROW()-1)</f>
      </c>
      <c r="B628" s="24"/>
      <c r="C628" s="25"/>
      <c r="D628" s="8"/>
      <c r="E628" s="8"/>
      <c r="F628" s="26"/>
      <c r="G628" s="24"/>
      <c r="H628" s="25"/>
      <c r="I628" s="25"/>
      <c r="J628" s="26"/>
      <c r="K628" t="str" s="15">
        <f aca="0">IF(COUNTA(B628:J628)=0,"",IF(R628&lt;&gt;"","확인필요(입력누락)",IF(COUNTIFS(보유목록!$I$2:$I$3001,"*"&amp;P628&amp;"*",보유목록!$I$2:$I$3001,"*"&amp;Q628&amp;"*",보유목록!$H$2:$H$3001,O628)&gt;0,"있음",IF(COUNTIFS(보유목록!$I$2:$I$3001,"*"&amp;P628&amp;"*",보유목록!$I$2:$I$3001,"*"&amp;Q628&amp;"*")&gt;0,"확인필요(연도다름)",IF(COUNTIFS(보유목록!$I$2:$I$3001,"*"&amp;P628&amp;"*",보유목록!$H$2:$H$3001,O628)&gt;0,"확인필요(같은학교·같은연도)","없음")))))</f>
      </c>
      <c r="L628" t="str" s="16">
        <f aca="0">IF(OR(COUNTA(B628:J628)=0,R628&lt;&gt;""),"",COUNTIFS(보유목록!$I$2:$I$3001,"*"&amp;P628&amp;"*",보유목록!$I$2:$I$3001,"*"&amp;Q628&amp;"*"))</f>
      </c>
      <c r="M628" t="str" s="23">
        <f aca="0">IF(OR(COUNTA(B628:J628)=0,R628&lt;&gt;""),"",IFERROR(LOOKUP(2,1/(ISNUMBER(SEARCH(P628,보유목록!$I$2:$I$3001))*ISNUMBER(SEARCH(Q628,보유목록!$I$2:$I$3001))*(보유목록!$H$2:$H$3001=O628)),보유목록!$B$2:$B$3001),IFERROR(LOOKUP(2,1/(ISNUMBER(SEARCH(P628,보유목록!$I$2:$I$3001))*ISNUMBER(SEARCH(Q628,보유목록!$I$2:$I$3001))),보유목록!$B$2:$B$3001),"")))</f>
      </c>
      <c r="N628" s="25"/>
      <c r="O628" t="str">
        <f>IFERROR(IF(AND(LEN(SUBSTITUTE(SUBSTITUTE(SUBSTITUTE(TRIM(C628&amp;""),CHAR(160),"")," ",""),"년",""))=4,VALUE(SUBSTITUTE(SUBSTITUTE(SUBSTITUTE(TRIM(C628&amp;""),CHAR(160),"")," ",""),"년",""))&gt;=1900,VALUE(SUBSTITUTE(SUBSTITUTE(SUBSTITUTE(TRIM(C628&amp;""),CHAR(160),"")," ",""),"년",""))&lt;=2099,TEXT(VALUE(SUBSTITUTE(SUBSTITUTE(SUBSTITUTE(TRIM(C628&amp;""),CHAR(160),"")," ",""),"년","")),"0000")=SUBSTITUTE(SUBSTITUTE(SUBSTITUTE(TRIM(C628&amp;""),CHAR(160),"")," ",""),"년","")),SUBSTITUTE(SUBSTITUTE(SUBSTITUTE(TRIM(C628&amp;""),CHAR(160),"")," ",""),"년",""),""),"")</f>
      </c>
      <c r="P628" t="str">
        <f>SUBSTITUTE(SUBSTITUTE(SUBSTITUTE(SUBSTITUTE(SUBSTITUTE(SUBSTITUTE(SUBSTITUTE(SUBSTITUTE(TRIM(D628&amp;""),CHAR(160),"")," ",""),"초등학교","초"),"중학교","중"),"고등학교","고"),"~","~~"),"*","~*"),"?","~?")</f>
      </c>
      <c r="Q628" t="str">
        <f>SUBSTITUTE(SUBSTITUTE(SUBSTITUTE(SUBSTITUTE(SUBSTITUTE(SUBSTITUTE(SUBSTITUTE(SUBSTITUTE(TRIM(E628&amp;""),CHAR(160),"")," ",""),"초등학교","초"),"중학교","중"),"고등학교","고"),"~","~~"),"*","~*"),"?","~?")</f>
      </c>
      <c r="R628" t="str">
        <f>IF(COUNTA(B628:J628)=0,"",IF(AND(O628&lt;&gt;"",P628&lt;&gt;"",Q628&lt;&gt;""),"","입력누락"))</f>
      </c>
    </row>
    <row r="629" customFormat="false" ht="15" hidden="false" customHeight="false" outlineLevel="0" collapsed="false">
      <c r="A629" t="n" s="19">
        <f aca="0">IF(COUNTA(B629:J629)=0,"",ROW()-1)</f>
      </c>
      <c r="B629" s="24"/>
      <c r="C629" s="25"/>
      <c r="D629" s="8"/>
      <c r="E629" s="8"/>
      <c r="F629" s="26"/>
      <c r="G629" s="24"/>
      <c r="H629" s="25"/>
      <c r="I629" s="25"/>
      <c r="J629" s="26"/>
      <c r="K629" t="str" s="15">
        <f aca="0">IF(COUNTA(B629:J629)=0,"",IF(R629&lt;&gt;"","확인필요(입력누락)",IF(COUNTIFS(보유목록!$I$2:$I$3001,"*"&amp;P629&amp;"*",보유목록!$I$2:$I$3001,"*"&amp;Q629&amp;"*",보유목록!$H$2:$H$3001,O629)&gt;0,"있음",IF(COUNTIFS(보유목록!$I$2:$I$3001,"*"&amp;P629&amp;"*",보유목록!$I$2:$I$3001,"*"&amp;Q629&amp;"*")&gt;0,"확인필요(연도다름)",IF(COUNTIFS(보유목록!$I$2:$I$3001,"*"&amp;P629&amp;"*",보유목록!$H$2:$H$3001,O629)&gt;0,"확인필요(같은학교·같은연도)","없음")))))</f>
      </c>
      <c r="L629" t="str" s="16">
        <f aca="0">IF(OR(COUNTA(B629:J629)=0,R629&lt;&gt;""),"",COUNTIFS(보유목록!$I$2:$I$3001,"*"&amp;P629&amp;"*",보유목록!$I$2:$I$3001,"*"&amp;Q629&amp;"*"))</f>
      </c>
      <c r="M629" t="str" s="23">
        <f aca="0">IF(OR(COUNTA(B629:J629)=0,R629&lt;&gt;""),"",IFERROR(LOOKUP(2,1/(ISNUMBER(SEARCH(P629,보유목록!$I$2:$I$3001))*ISNUMBER(SEARCH(Q629,보유목록!$I$2:$I$3001))*(보유목록!$H$2:$H$3001=O629)),보유목록!$B$2:$B$3001),IFERROR(LOOKUP(2,1/(ISNUMBER(SEARCH(P629,보유목록!$I$2:$I$3001))*ISNUMBER(SEARCH(Q629,보유목록!$I$2:$I$3001))),보유목록!$B$2:$B$3001),"")))</f>
      </c>
      <c r="N629" s="25"/>
      <c r="O629" t="str">
        <f>IFERROR(IF(AND(LEN(SUBSTITUTE(SUBSTITUTE(SUBSTITUTE(TRIM(C629&amp;""),CHAR(160),"")," ",""),"년",""))=4,VALUE(SUBSTITUTE(SUBSTITUTE(SUBSTITUTE(TRIM(C629&amp;""),CHAR(160),"")," ",""),"년",""))&gt;=1900,VALUE(SUBSTITUTE(SUBSTITUTE(SUBSTITUTE(TRIM(C629&amp;""),CHAR(160),"")," ",""),"년",""))&lt;=2099,TEXT(VALUE(SUBSTITUTE(SUBSTITUTE(SUBSTITUTE(TRIM(C629&amp;""),CHAR(160),"")," ",""),"년","")),"0000")=SUBSTITUTE(SUBSTITUTE(SUBSTITUTE(TRIM(C629&amp;""),CHAR(160),"")," ",""),"년","")),SUBSTITUTE(SUBSTITUTE(SUBSTITUTE(TRIM(C629&amp;""),CHAR(160),"")," ",""),"년",""),""),"")</f>
      </c>
      <c r="P629" t="str">
        <f>SUBSTITUTE(SUBSTITUTE(SUBSTITUTE(SUBSTITUTE(SUBSTITUTE(SUBSTITUTE(SUBSTITUTE(SUBSTITUTE(TRIM(D629&amp;""),CHAR(160),"")," ",""),"초등학교","초"),"중학교","중"),"고등학교","고"),"~","~~"),"*","~*"),"?","~?")</f>
      </c>
      <c r="Q629" t="str">
        <f>SUBSTITUTE(SUBSTITUTE(SUBSTITUTE(SUBSTITUTE(SUBSTITUTE(SUBSTITUTE(SUBSTITUTE(SUBSTITUTE(TRIM(E629&amp;""),CHAR(160),"")," ",""),"초등학교","초"),"중학교","중"),"고등학교","고"),"~","~~"),"*","~*"),"?","~?")</f>
      </c>
      <c r="R629" t="str">
        <f>IF(COUNTA(B629:J629)=0,"",IF(AND(O629&lt;&gt;"",P629&lt;&gt;"",Q629&lt;&gt;""),"","입력누락"))</f>
      </c>
    </row>
    <row r="630" customFormat="false" ht="15" hidden="false" customHeight="false" outlineLevel="0" collapsed="false">
      <c r="A630" t="n" s="19">
        <f aca="0">IF(COUNTA(B630:J630)=0,"",ROW()-1)</f>
      </c>
      <c r="B630" s="24"/>
      <c r="C630" s="25"/>
      <c r="D630" s="8"/>
      <c r="E630" s="8"/>
      <c r="F630" s="26"/>
      <c r="G630" s="24"/>
      <c r="H630" s="25"/>
      <c r="I630" s="25"/>
      <c r="J630" s="26"/>
      <c r="K630" t="str" s="15">
        <f aca="0">IF(COUNTA(B630:J630)=0,"",IF(R630&lt;&gt;"","확인필요(입력누락)",IF(COUNTIFS(보유목록!$I$2:$I$3001,"*"&amp;P630&amp;"*",보유목록!$I$2:$I$3001,"*"&amp;Q630&amp;"*",보유목록!$H$2:$H$3001,O630)&gt;0,"있음",IF(COUNTIFS(보유목록!$I$2:$I$3001,"*"&amp;P630&amp;"*",보유목록!$I$2:$I$3001,"*"&amp;Q630&amp;"*")&gt;0,"확인필요(연도다름)",IF(COUNTIFS(보유목록!$I$2:$I$3001,"*"&amp;P630&amp;"*",보유목록!$H$2:$H$3001,O630)&gt;0,"확인필요(같은학교·같은연도)","없음")))))</f>
      </c>
      <c r="L630" t="str" s="16">
        <f aca="0">IF(OR(COUNTA(B630:J630)=0,R630&lt;&gt;""),"",COUNTIFS(보유목록!$I$2:$I$3001,"*"&amp;P630&amp;"*",보유목록!$I$2:$I$3001,"*"&amp;Q630&amp;"*"))</f>
      </c>
      <c r="M630" t="str" s="23">
        <f aca="0">IF(OR(COUNTA(B630:J630)=0,R630&lt;&gt;""),"",IFERROR(LOOKUP(2,1/(ISNUMBER(SEARCH(P630,보유목록!$I$2:$I$3001))*ISNUMBER(SEARCH(Q630,보유목록!$I$2:$I$3001))*(보유목록!$H$2:$H$3001=O630)),보유목록!$B$2:$B$3001),IFERROR(LOOKUP(2,1/(ISNUMBER(SEARCH(P630,보유목록!$I$2:$I$3001))*ISNUMBER(SEARCH(Q630,보유목록!$I$2:$I$3001))),보유목록!$B$2:$B$3001),"")))</f>
      </c>
      <c r="N630" s="25"/>
      <c r="O630" t="str">
        <f>IFERROR(IF(AND(LEN(SUBSTITUTE(SUBSTITUTE(SUBSTITUTE(TRIM(C630&amp;""),CHAR(160),"")," ",""),"년",""))=4,VALUE(SUBSTITUTE(SUBSTITUTE(SUBSTITUTE(TRIM(C630&amp;""),CHAR(160),"")," ",""),"년",""))&gt;=1900,VALUE(SUBSTITUTE(SUBSTITUTE(SUBSTITUTE(TRIM(C630&amp;""),CHAR(160),"")," ",""),"년",""))&lt;=2099,TEXT(VALUE(SUBSTITUTE(SUBSTITUTE(SUBSTITUTE(TRIM(C630&amp;""),CHAR(160),"")," ",""),"년","")),"0000")=SUBSTITUTE(SUBSTITUTE(SUBSTITUTE(TRIM(C630&amp;""),CHAR(160),"")," ",""),"년","")),SUBSTITUTE(SUBSTITUTE(SUBSTITUTE(TRIM(C630&amp;""),CHAR(160),"")," ",""),"년",""),""),"")</f>
      </c>
      <c r="P630" t="str">
        <f>SUBSTITUTE(SUBSTITUTE(SUBSTITUTE(SUBSTITUTE(SUBSTITUTE(SUBSTITUTE(SUBSTITUTE(SUBSTITUTE(TRIM(D630&amp;""),CHAR(160),"")," ",""),"초등학교","초"),"중학교","중"),"고등학교","고"),"~","~~"),"*","~*"),"?","~?")</f>
      </c>
      <c r="Q630" t="str">
        <f>SUBSTITUTE(SUBSTITUTE(SUBSTITUTE(SUBSTITUTE(SUBSTITUTE(SUBSTITUTE(SUBSTITUTE(SUBSTITUTE(TRIM(E630&amp;""),CHAR(160),"")," ",""),"초등학교","초"),"중학교","중"),"고등학교","고"),"~","~~"),"*","~*"),"?","~?")</f>
      </c>
      <c r="R630" t="str">
        <f>IF(COUNTA(B630:J630)=0,"",IF(AND(O630&lt;&gt;"",P630&lt;&gt;"",Q630&lt;&gt;""),"","입력누락"))</f>
      </c>
    </row>
    <row r="631" customFormat="false" ht="15" hidden="false" customHeight="false" outlineLevel="0" collapsed="false">
      <c r="A631" t="n" s="19">
        <f aca="0">IF(COUNTA(B631:J631)=0,"",ROW()-1)</f>
      </c>
      <c r="B631" s="24"/>
      <c r="C631" s="25"/>
      <c r="D631" s="8"/>
      <c r="E631" s="8"/>
      <c r="F631" s="26"/>
      <c r="G631" s="24"/>
      <c r="H631" s="25"/>
      <c r="I631" s="25"/>
      <c r="J631" s="26"/>
      <c r="K631" t="str" s="15">
        <f aca="0">IF(COUNTA(B631:J631)=0,"",IF(R631&lt;&gt;"","확인필요(입력누락)",IF(COUNTIFS(보유목록!$I$2:$I$3001,"*"&amp;P631&amp;"*",보유목록!$I$2:$I$3001,"*"&amp;Q631&amp;"*",보유목록!$H$2:$H$3001,O631)&gt;0,"있음",IF(COUNTIFS(보유목록!$I$2:$I$3001,"*"&amp;P631&amp;"*",보유목록!$I$2:$I$3001,"*"&amp;Q631&amp;"*")&gt;0,"확인필요(연도다름)",IF(COUNTIFS(보유목록!$I$2:$I$3001,"*"&amp;P631&amp;"*",보유목록!$H$2:$H$3001,O631)&gt;0,"확인필요(같은학교·같은연도)","없음")))))</f>
      </c>
      <c r="L631" t="str" s="16">
        <f aca="0">IF(OR(COUNTA(B631:J631)=0,R631&lt;&gt;""),"",COUNTIFS(보유목록!$I$2:$I$3001,"*"&amp;P631&amp;"*",보유목록!$I$2:$I$3001,"*"&amp;Q631&amp;"*"))</f>
      </c>
      <c r="M631" t="str" s="23">
        <f aca="0">IF(OR(COUNTA(B631:J631)=0,R631&lt;&gt;""),"",IFERROR(LOOKUP(2,1/(ISNUMBER(SEARCH(P631,보유목록!$I$2:$I$3001))*ISNUMBER(SEARCH(Q631,보유목록!$I$2:$I$3001))*(보유목록!$H$2:$H$3001=O631)),보유목록!$B$2:$B$3001),IFERROR(LOOKUP(2,1/(ISNUMBER(SEARCH(P631,보유목록!$I$2:$I$3001))*ISNUMBER(SEARCH(Q631,보유목록!$I$2:$I$3001))),보유목록!$B$2:$B$3001),"")))</f>
      </c>
      <c r="N631" s="25"/>
      <c r="O631" t="str">
        <f>IFERROR(IF(AND(LEN(SUBSTITUTE(SUBSTITUTE(SUBSTITUTE(TRIM(C631&amp;""),CHAR(160),"")," ",""),"년",""))=4,VALUE(SUBSTITUTE(SUBSTITUTE(SUBSTITUTE(TRIM(C631&amp;""),CHAR(160),"")," ",""),"년",""))&gt;=1900,VALUE(SUBSTITUTE(SUBSTITUTE(SUBSTITUTE(TRIM(C631&amp;""),CHAR(160),"")," ",""),"년",""))&lt;=2099,TEXT(VALUE(SUBSTITUTE(SUBSTITUTE(SUBSTITUTE(TRIM(C631&amp;""),CHAR(160),"")," ",""),"년","")),"0000")=SUBSTITUTE(SUBSTITUTE(SUBSTITUTE(TRIM(C631&amp;""),CHAR(160),"")," ",""),"년","")),SUBSTITUTE(SUBSTITUTE(SUBSTITUTE(TRIM(C631&amp;""),CHAR(160),"")," ",""),"년",""),""),"")</f>
      </c>
      <c r="P631" t="str">
        <f>SUBSTITUTE(SUBSTITUTE(SUBSTITUTE(SUBSTITUTE(SUBSTITUTE(SUBSTITUTE(SUBSTITUTE(SUBSTITUTE(TRIM(D631&amp;""),CHAR(160),"")," ",""),"초등학교","초"),"중학교","중"),"고등학교","고"),"~","~~"),"*","~*"),"?","~?")</f>
      </c>
      <c r="Q631" t="str">
        <f>SUBSTITUTE(SUBSTITUTE(SUBSTITUTE(SUBSTITUTE(SUBSTITUTE(SUBSTITUTE(SUBSTITUTE(SUBSTITUTE(TRIM(E631&amp;""),CHAR(160),"")," ",""),"초등학교","초"),"중학교","중"),"고등학교","고"),"~","~~"),"*","~*"),"?","~?")</f>
      </c>
      <c r="R631" t="str">
        <f>IF(COUNTA(B631:J631)=0,"",IF(AND(O631&lt;&gt;"",P631&lt;&gt;"",Q631&lt;&gt;""),"","입력누락"))</f>
      </c>
    </row>
    <row r="632" customFormat="false" ht="15" hidden="false" customHeight="false" outlineLevel="0" collapsed="false">
      <c r="A632" t="n" s="19">
        <f aca="0">IF(COUNTA(B632:J632)=0,"",ROW()-1)</f>
      </c>
      <c r="B632" s="24"/>
      <c r="C632" s="25"/>
      <c r="D632" s="8"/>
      <c r="E632" s="8"/>
      <c r="F632" s="26"/>
      <c r="G632" s="24"/>
      <c r="H632" s="25"/>
      <c r="I632" s="25"/>
      <c r="J632" s="26"/>
      <c r="K632" t="str" s="15">
        <f aca="0">IF(COUNTA(B632:J632)=0,"",IF(R632&lt;&gt;"","확인필요(입력누락)",IF(COUNTIFS(보유목록!$I$2:$I$3001,"*"&amp;P632&amp;"*",보유목록!$I$2:$I$3001,"*"&amp;Q632&amp;"*",보유목록!$H$2:$H$3001,O632)&gt;0,"있음",IF(COUNTIFS(보유목록!$I$2:$I$3001,"*"&amp;P632&amp;"*",보유목록!$I$2:$I$3001,"*"&amp;Q632&amp;"*")&gt;0,"확인필요(연도다름)",IF(COUNTIFS(보유목록!$I$2:$I$3001,"*"&amp;P632&amp;"*",보유목록!$H$2:$H$3001,O632)&gt;0,"확인필요(같은학교·같은연도)","없음")))))</f>
      </c>
      <c r="L632" t="str" s="16">
        <f aca="0">IF(OR(COUNTA(B632:J632)=0,R632&lt;&gt;""),"",COUNTIFS(보유목록!$I$2:$I$3001,"*"&amp;P632&amp;"*",보유목록!$I$2:$I$3001,"*"&amp;Q632&amp;"*"))</f>
      </c>
      <c r="M632" t="str" s="23">
        <f aca="0">IF(OR(COUNTA(B632:J632)=0,R632&lt;&gt;""),"",IFERROR(LOOKUP(2,1/(ISNUMBER(SEARCH(P632,보유목록!$I$2:$I$3001))*ISNUMBER(SEARCH(Q632,보유목록!$I$2:$I$3001))*(보유목록!$H$2:$H$3001=O632)),보유목록!$B$2:$B$3001),IFERROR(LOOKUP(2,1/(ISNUMBER(SEARCH(P632,보유목록!$I$2:$I$3001))*ISNUMBER(SEARCH(Q632,보유목록!$I$2:$I$3001))),보유목록!$B$2:$B$3001),"")))</f>
      </c>
      <c r="N632" s="25"/>
      <c r="O632" t="str">
        <f>IFERROR(IF(AND(LEN(SUBSTITUTE(SUBSTITUTE(SUBSTITUTE(TRIM(C632&amp;""),CHAR(160),"")," ",""),"년",""))=4,VALUE(SUBSTITUTE(SUBSTITUTE(SUBSTITUTE(TRIM(C632&amp;""),CHAR(160),"")," ",""),"년",""))&gt;=1900,VALUE(SUBSTITUTE(SUBSTITUTE(SUBSTITUTE(TRIM(C632&amp;""),CHAR(160),"")," ",""),"년",""))&lt;=2099,TEXT(VALUE(SUBSTITUTE(SUBSTITUTE(SUBSTITUTE(TRIM(C632&amp;""),CHAR(160),"")," ",""),"년","")),"0000")=SUBSTITUTE(SUBSTITUTE(SUBSTITUTE(TRIM(C632&amp;""),CHAR(160),"")," ",""),"년","")),SUBSTITUTE(SUBSTITUTE(SUBSTITUTE(TRIM(C632&amp;""),CHAR(160),"")," ",""),"년",""),""),"")</f>
      </c>
      <c r="P632" t="str">
        <f>SUBSTITUTE(SUBSTITUTE(SUBSTITUTE(SUBSTITUTE(SUBSTITUTE(SUBSTITUTE(SUBSTITUTE(SUBSTITUTE(TRIM(D632&amp;""),CHAR(160),"")," ",""),"초등학교","초"),"중학교","중"),"고등학교","고"),"~","~~"),"*","~*"),"?","~?")</f>
      </c>
      <c r="Q632" t="str">
        <f>SUBSTITUTE(SUBSTITUTE(SUBSTITUTE(SUBSTITUTE(SUBSTITUTE(SUBSTITUTE(SUBSTITUTE(SUBSTITUTE(TRIM(E632&amp;""),CHAR(160),"")," ",""),"초등학교","초"),"중학교","중"),"고등학교","고"),"~","~~"),"*","~*"),"?","~?")</f>
      </c>
      <c r="R632" t="str">
        <f>IF(COUNTA(B632:J632)=0,"",IF(AND(O632&lt;&gt;"",P632&lt;&gt;"",Q632&lt;&gt;""),"","입력누락"))</f>
      </c>
    </row>
    <row r="633" customFormat="false" ht="15" hidden="false" customHeight="false" outlineLevel="0" collapsed="false">
      <c r="A633" t="n" s="19">
        <f aca="0">IF(COUNTA(B633:J633)=0,"",ROW()-1)</f>
      </c>
      <c r="B633" s="24"/>
      <c r="C633" s="25"/>
      <c r="D633" s="8"/>
      <c r="E633" s="8"/>
      <c r="F633" s="26"/>
      <c r="G633" s="24"/>
      <c r="H633" s="25"/>
      <c r="I633" s="25"/>
      <c r="J633" s="26"/>
      <c r="K633" t="str" s="15">
        <f aca="0">IF(COUNTA(B633:J633)=0,"",IF(R633&lt;&gt;"","확인필요(입력누락)",IF(COUNTIFS(보유목록!$I$2:$I$3001,"*"&amp;P633&amp;"*",보유목록!$I$2:$I$3001,"*"&amp;Q633&amp;"*",보유목록!$H$2:$H$3001,O633)&gt;0,"있음",IF(COUNTIFS(보유목록!$I$2:$I$3001,"*"&amp;P633&amp;"*",보유목록!$I$2:$I$3001,"*"&amp;Q633&amp;"*")&gt;0,"확인필요(연도다름)",IF(COUNTIFS(보유목록!$I$2:$I$3001,"*"&amp;P633&amp;"*",보유목록!$H$2:$H$3001,O633)&gt;0,"확인필요(같은학교·같은연도)","없음")))))</f>
      </c>
      <c r="L633" t="str" s="16">
        <f aca="0">IF(OR(COUNTA(B633:J633)=0,R633&lt;&gt;""),"",COUNTIFS(보유목록!$I$2:$I$3001,"*"&amp;P633&amp;"*",보유목록!$I$2:$I$3001,"*"&amp;Q633&amp;"*"))</f>
      </c>
      <c r="M633" t="str" s="23">
        <f aca="0">IF(OR(COUNTA(B633:J633)=0,R633&lt;&gt;""),"",IFERROR(LOOKUP(2,1/(ISNUMBER(SEARCH(P633,보유목록!$I$2:$I$3001))*ISNUMBER(SEARCH(Q633,보유목록!$I$2:$I$3001))*(보유목록!$H$2:$H$3001=O633)),보유목록!$B$2:$B$3001),IFERROR(LOOKUP(2,1/(ISNUMBER(SEARCH(P633,보유목록!$I$2:$I$3001))*ISNUMBER(SEARCH(Q633,보유목록!$I$2:$I$3001))),보유목록!$B$2:$B$3001),"")))</f>
      </c>
      <c r="N633" s="25"/>
      <c r="O633" t="str">
        <f>IFERROR(IF(AND(LEN(SUBSTITUTE(SUBSTITUTE(SUBSTITUTE(TRIM(C633&amp;""),CHAR(160),"")," ",""),"년",""))=4,VALUE(SUBSTITUTE(SUBSTITUTE(SUBSTITUTE(TRIM(C633&amp;""),CHAR(160),"")," ",""),"년",""))&gt;=1900,VALUE(SUBSTITUTE(SUBSTITUTE(SUBSTITUTE(TRIM(C633&amp;""),CHAR(160),"")," ",""),"년",""))&lt;=2099,TEXT(VALUE(SUBSTITUTE(SUBSTITUTE(SUBSTITUTE(TRIM(C633&amp;""),CHAR(160),"")," ",""),"년","")),"0000")=SUBSTITUTE(SUBSTITUTE(SUBSTITUTE(TRIM(C633&amp;""),CHAR(160),"")," ",""),"년","")),SUBSTITUTE(SUBSTITUTE(SUBSTITUTE(TRIM(C633&amp;""),CHAR(160),"")," ",""),"년",""),""),"")</f>
      </c>
      <c r="P633" t="str">
        <f>SUBSTITUTE(SUBSTITUTE(SUBSTITUTE(SUBSTITUTE(SUBSTITUTE(SUBSTITUTE(SUBSTITUTE(SUBSTITUTE(TRIM(D633&amp;""),CHAR(160),"")," ",""),"초등학교","초"),"중학교","중"),"고등학교","고"),"~","~~"),"*","~*"),"?","~?")</f>
      </c>
      <c r="Q633" t="str">
        <f>SUBSTITUTE(SUBSTITUTE(SUBSTITUTE(SUBSTITUTE(SUBSTITUTE(SUBSTITUTE(SUBSTITUTE(SUBSTITUTE(TRIM(E633&amp;""),CHAR(160),"")," ",""),"초등학교","초"),"중학교","중"),"고등학교","고"),"~","~~"),"*","~*"),"?","~?")</f>
      </c>
      <c r="R633" t="str">
        <f>IF(COUNTA(B633:J633)=0,"",IF(AND(O633&lt;&gt;"",P633&lt;&gt;"",Q633&lt;&gt;""),"","입력누락"))</f>
      </c>
    </row>
    <row r="634" customFormat="false" ht="15" hidden="false" customHeight="false" outlineLevel="0" collapsed="false">
      <c r="A634" t="n" s="19">
        <f aca="0">IF(COUNTA(B634:J634)=0,"",ROW()-1)</f>
      </c>
      <c r="B634" s="24"/>
      <c r="C634" s="25"/>
      <c r="D634" s="8"/>
      <c r="E634" s="8"/>
      <c r="F634" s="26"/>
      <c r="G634" s="24"/>
      <c r="H634" s="25"/>
      <c r="I634" s="25"/>
      <c r="J634" s="26"/>
      <c r="K634" t="str" s="15">
        <f aca="0">IF(COUNTA(B634:J634)=0,"",IF(R634&lt;&gt;"","확인필요(입력누락)",IF(COUNTIFS(보유목록!$I$2:$I$3001,"*"&amp;P634&amp;"*",보유목록!$I$2:$I$3001,"*"&amp;Q634&amp;"*",보유목록!$H$2:$H$3001,O634)&gt;0,"있음",IF(COUNTIFS(보유목록!$I$2:$I$3001,"*"&amp;P634&amp;"*",보유목록!$I$2:$I$3001,"*"&amp;Q634&amp;"*")&gt;0,"확인필요(연도다름)",IF(COUNTIFS(보유목록!$I$2:$I$3001,"*"&amp;P634&amp;"*",보유목록!$H$2:$H$3001,O634)&gt;0,"확인필요(같은학교·같은연도)","없음")))))</f>
      </c>
      <c r="L634" t="str" s="16">
        <f aca="0">IF(OR(COUNTA(B634:J634)=0,R634&lt;&gt;""),"",COUNTIFS(보유목록!$I$2:$I$3001,"*"&amp;P634&amp;"*",보유목록!$I$2:$I$3001,"*"&amp;Q634&amp;"*"))</f>
      </c>
      <c r="M634" t="str" s="23">
        <f aca="0">IF(OR(COUNTA(B634:J634)=0,R634&lt;&gt;""),"",IFERROR(LOOKUP(2,1/(ISNUMBER(SEARCH(P634,보유목록!$I$2:$I$3001))*ISNUMBER(SEARCH(Q634,보유목록!$I$2:$I$3001))*(보유목록!$H$2:$H$3001=O634)),보유목록!$B$2:$B$3001),IFERROR(LOOKUP(2,1/(ISNUMBER(SEARCH(P634,보유목록!$I$2:$I$3001))*ISNUMBER(SEARCH(Q634,보유목록!$I$2:$I$3001))),보유목록!$B$2:$B$3001),"")))</f>
      </c>
      <c r="N634" s="25"/>
      <c r="O634" t="str">
        <f>IFERROR(IF(AND(LEN(SUBSTITUTE(SUBSTITUTE(SUBSTITUTE(TRIM(C634&amp;""),CHAR(160),"")," ",""),"년",""))=4,VALUE(SUBSTITUTE(SUBSTITUTE(SUBSTITUTE(TRIM(C634&amp;""),CHAR(160),"")," ",""),"년",""))&gt;=1900,VALUE(SUBSTITUTE(SUBSTITUTE(SUBSTITUTE(TRIM(C634&amp;""),CHAR(160),"")," ",""),"년",""))&lt;=2099,TEXT(VALUE(SUBSTITUTE(SUBSTITUTE(SUBSTITUTE(TRIM(C634&amp;""),CHAR(160),"")," ",""),"년","")),"0000")=SUBSTITUTE(SUBSTITUTE(SUBSTITUTE(TRIM(C634&amp;""),CHAR(160),"")," ",""),"년","")),SUBSTITUTE(SUBSTITUTE(SUBSTITUTE(TRIM(C634&amp;""),CHAR(160),"")," ",""),"년",""),""),"")</f>
      </c>
      <c r="P634" t="str">
        <f>SUBSTITUTE(SUBSTITUTE(SUBSTITUTE(SUBSTITUTE(SUBSTITUTE(SUBSTITUTE(SUBSTITUTE(SUBSTITUTE(TRIM(D634&amp;""),CHAR(160),"")," ",""),"초등학교","초"),"중학교","중"),"고등학교","고"),"~","~~"),"*","~*"),"?","~?")</f>
      </c>
      <c r="Q634" t="str">
        <f>SUBSTITUTE(SUBSTITUTE(SUBSTITUTE(SUBSTITUTE(SUBSTITUTE(SUBSTITUTE(SUBSTITUTE(SUBSTITUTE(TRIM(E634&amp;""),CHAR(160),"")," ",""),"초등학교","초"),"중학교","중"),"고등학교","고"),"~","~~"),"*","~*"),"?","~?")</f>
      </c>
      <c r="R634" t="str">
        <f>IF(COUNTA(B634:J634)=0,"",IF(AND(O634&lt;&gt;"",P634&lt;&gt;"",Q634&lt;&gt;""),"","입력누락"))</f>
      </c>
    </row>
    <row r="635" customFormat="false" ht="15" hidden="false" customHeight="false" outlineLevel="0" collapsed="false">
      <c r="A635" t="n" s="19">
        <f aca="0">IF(COUNTA(B635:J635)=0,"",ROW()-1)</f>
      </c>
      <c r="B635" s="24"/>
      <c r="C635" s="25"/>
      <c r="D635" s="8"/>
      <c r="E635" s="8"/>
      <c r="F635" s="26"/>
      <c r="G635" s="24"/>
      <c r="H635" s="25"/>
      <c r="I635" s="25"/>
      <c r="J635" s="26"/>
      <c r="K635" t="str" s="15">
        <f aca="0">IF(COUNTA(B635:J635)=0,"",IF(R635&lt;&gt;"","확인필요(입력누락)",IF(COUNTIFS(보유목록!$I$2:$I$3001,"*"&amp;P635&amp;"*",보유목록!$I$2:$I$3001,"*"&amp;Q635&amp;"*",보유목록!$H$2:$H$3001,O635)&gt;0,"있음",IF(COUNTIFS(보유목록!$I$2:$I$3001,"*"&amp;P635&amp;"*",보유목록!$I$2:$I$3001,"*"&amp;Q635&amp;"*")&gt;0,"확인필요(연도다름)",IF(COUNTIFS(보유목록!$I$2:$I$3001,"*"&amp;P635&amp;"*",보유목록!$H$2:$H$3001,O635)&gt;0,"확인필요(같은학교·같은연도)","없음")))))</f>
      </c>
      <c r="L635" t="str" s="16">
        <f aca="0">IF(OR(COUNTA(B635:J635)=0,R635&lt;&gt;""),"",COUNTIFS(보유목록!$I$2:$I$3001,"*"&amp;P635&amp;"*",보유목록!$I$2:$I$3001,"*"&amp;Q635&amp;"*"))</f>
      </c>
      <c r="M635" t="str" s="23">
        <f aca="0">IF(OR(COUNTA(B635:J635)=0,R635&lt;&gt;""),"",IFERROR(LOOKUP(2,1/(ISNUMBER(SEARCH(P635,보유목록!$I$2:$I$3001))*ISNUMBER(SEARCH(Q635,보유목록!$I$2:$I$3001))*(보유목록!$H$2:$H$3001=O635)),보유목록!$B$2:$B$3001),IFERROR(LOOKUP(2,1/(ISNUMBER(SEARCH(P635,보유목록!$I$2:$I$3001))*ISNUMBER(SEARCH(Q635,보유목록!$I$2:$I$3001))),보유목록!$B$2:$B$3001),"")))</f>
      </c>
      <c r="N635" s="25"/>
      <c r="O635" t="str">
        <f>IFERROR(IF(AND(LEN(SUBSTITUTE(SUBSTITUTE(SUBSTITUTE(TRIM(C635&amp;""),CHAR(160),"")," ",""),"년",""))=4,VALUE(SUBSTITUTE(SUBSTITUTE(SUBSTITUTE(TRIM(C635&amp;""),CHAR(160),"")," ",""),"년",""))&gt;=1900,VALUE(SUBSTITUTE(SUBSTITUTE(SUBSTITUTE(TRIM(C635&amp;""),CHAR(160),"")," ",""),"년",""))&lt;=2099,TEXT(VALUE(SUBSTITUTE(SUBSTITUTE(SUBSTITUTE(TRIM(C635&amp;""),CHAR(160),"")," ",""),"년","")),"0000")=SUBSTITUTE(SUBSTITUTE(SUBSTITUTE(TRIM(C635&amp;""),CHAR(160),"")," ",""),"년","")),SUBSTITUTE(SUBSTITUTE(SUBSTITUTE(TRIM(C635&amp;""),CHAR(160),"")," ",""),"년",""),""),"")</f>
      </c>
      <c r="P635" t="str">
        <f>SUBSTITUTE(SUBSTITUTE(SUBSTITUTE(SUBSTITUTE(SUBSTITUTE(SUBSTITUTE(SUBSTITUTE(SUBSTITUTE(TRIM(D635&amp;""),CHAR(160),"")," ",""),"초등학교","초"),"중학교","중"),"고등학교","고"),"~","~~"),"*","~*"),"?","~?")</f>
      </c>
      <c r="Q635" t="str">
        <f>SUBSTITUTE(SUBSTITUTE(SUBSTITUTE(SUBSTITUTE(SUBSTITUTE(SUBSTITUTE(SUBSTITUTE(SUBSTITUTE(TRIM(E635&amp;""),CHAR(160),"")," ",""),"초등학교","초"),"중학교","중"),"고등학교","고"),"~","~~"),"*","~*"),"?","~?")</f>
      </c>
      <c r="R635" t="str">
        <f>IF(COUNTA(B635:J635)=0,"",IF(AND(O635&lt;&gt;"",P635&lt;&gt;"",Q635&lt;&gt;""),"","입력누락"))</f>
      </c>
    </row>
    <row r="636" customFormat="false" ht="15" hidden="false" customHeight="false" outlineLevel="0" collapsed="false">
      <c r="A636" t="n" s="19">
        <f aca="0">IF(COUNTA(B636:J636)=0,"",ROW()-1)</f>
      </c>
      <c r="B636" s="24"/>
      <c r="C636" s="25"/>
      <c r="D636" s="8"/>
      <c r="E636" s="8"/>
      <c r="F636" s="26"/>
      <c r="G636" s="24"/>
      <c r="H636" s="25"/>
      <c r="I636" s="25"/>
      <c r="J636" s="26"/>
      <c r="K636" t="str" s="15">
        <f aca="0">IF(COUNTA(B636:J636)=0,"",IF(R636&lt;&gt;"","확인필요(입력누락)",IF(COUNTIFS(보유목록!$I$2:$I$3001,"*"&amp;P636&amp;"*",보유목록!$I$2:$I$3001,"*"&amp;Q636&amp;"*",보유목록!$H$2:$H$3001,O636)&gt;0,"있음",IF(COUNTIFS(보유목록!$I$2:$I$3001,"*"&amp;P636&amp;"*",보유목록!$I$2:$I$3001,"*"&amp;Q636&amp;"*")&gt;0,"확인필요(연도다름)",IF(COUNTIFS(보유목록!$I$2:$I$3001,"*"&amp;P636&amp;"*",보유목록!$H$2:$H$3001,O636)&gt;0,"확인필요(같은학교·같은연도)","없음")))))</f>
      </c>
      <c r="L636" t="str" s="16">
        <f aca="0">IF(OR(COUNTA(B636:J636)=0,R636&lt;&gt;""),"",COUNTIFS(보유목록!$I$2:$I$3001,"*"&amp;P636&amp;"*",보유목록!$I$2:$I$3001,"*"&amp;Q636&amp;"*"))</f>
      </c>
      <c r="M636" t="str" s="23">
        <f aca="0">IF(OR(COUNTA(B636:J636)=0,R636&lt;&gt;""),"",IFERROR(LOOKUP(2,1/(ISNUMBER(SEARCH(P636,보유목록!$I$2:$I$3001))*ISNUMBER(SEARCH(Q636,보유목록!$I$2:$I$3001))*(보유목록!$H$2:$H$3001=O636)),보유목록!$B$2:$B$3001),IFERROR(LOOKUP(2,1/(ISNUMBER(SEARCH(P636,보유목록!$I$2:$I$3001))*ISNUMBER(SEARCH(Q636,보유목록!$I$2:$I$3001))),보유목록!$B$2:$B$3001),"")))</f>
      </c>
      <c r="N636" s="25"/>
      <c r="O636" t="str">
        <f>IFERROR(IF(AND(LEN(SUBSTITUTE(SUBSTITUTE(SUBSTITUTE(TRIM(C636&amp;""),CHAR(160),"")," ",""),"년",""))=4,VALUE(SUBSTITUTE(SUBSTITUTE(SUBSTITUTE(TRIM(C636&amp;""),CHAR(160),"")," ",""),"년",""))&gt;=1900,VALUE(SUBSTITUTE(SUBSTITUTE(SUBSTITUTE(TRIM(C636&amp;""),CHAR(160),"")," ",""),"년",""))&lt;=2099,TEXT(VALUE(SUBSTITUTE(SUBSTITUTE(SUBSTITUTE(TRIM(C636&amp;""),CHAR(160),"")," ",""),"년","")),"0000")=SUBSTITUTE(SUBSTITUTE(SUBSTITUTE(TRIM(C636&amp;""),CHAR(160),"")," ",""),"년","")),SUBSTITUTE(SUBSTITUTE(SUBSTITUTE(TRIM(C636&amp;""),CHAR(160),"")," ",""),"년",""),""),"")</f>
      </c>
      <c r="P636" t="str">
        <f>SUBSTITUTE(SUBSTITUTE(SUBSTITUTE(SUBSTITUTE(SUBSTITUTE(SUBSTITUTE(SUBSTITUTE(SUBSTITUTE(TRIM(D636&amp;""),CHAR(160),"")," ",""),"초등학교","초"),"중학교","중"),"고등학교","고"),"~","~~"),"*","~*"),"?","~?")</f>
      </c>
      <c r="Q636" t="str">
        <f>SUBSTITUTE(SUBSTITUTE(SUBSTITUTE(SUBSTITUTE(SUBSTITUTE(SUBSTITUTE(SUBSTITUTE(SUBSTITUTE(TRIM(E636&amp;""),CHAR(160),"")," ",""),"초등학교","초"),"중학교","중"),"고등학교","고"),"~","~~"),"*","~*"),"?","~?")</f>
      </c>
      <c r="R636" t="str">
        <f>IF(COUNTA(B636:J636)=0,"",IF(AND(O636&lt;&gt;"",P636&lt;&gt;"",Q636&lt;&gt;""),"","입력누락"))</f>
      </c>
    </row>
    <row r="637" customFormat="false" ht="15" hidden="false" customHeight="false" outlineLevel="0" collapsed="false">
      <c r="A637" t="n" s="19">
        <f aca="0">IF(COUNTA(B637:J637)=0,"",ROW()-1)</f>
      </c>
      <c r="B637" s="24"/>
      <c r="C637" s="25"/>
      <c r="D637" s="8"/>
      <c r="E637" s="8"/>
      <c r="F637" s="26"/>
      <c r="G637" s="24"/>
      <c r="H637" s="25"/>
      <c r="I637" s="25"/>
      <c r="J637" s="26"/>
      <c r="K637" t="str" s="15">
        <f aca="0">IF(COUNTA(B637:J637)=0,"",IF(R637&lt;&gt;"","확인필요(입력누락)",IF(COUNTIFS(보유목록!$I$2:$I$3001,"*"&amp;P637&amp;"*",보유목록!$I$2:$I$3001,"*"&amp;Q637&amp;"*",보유목록!$H$2:$H$3001,O637)&gt;0,"있음",IF(COUNTIFS(보유목록!$I$2:$I$3001,"*"&amp;P637&amp;"*",보유목록!$I$2:$I$3001,"*"&amp;Q637&amp;"*")&gt;0,"확인필요(연도다름)",IF(COUNTIFS(보유목록!$I$2:$I$3001,"*"&amp;P637&amp;"*",보유목록!$H$2:$H$3001,O637)&gt;0,"확인필요(같은학교·같은연도)","없음")))))</f>
      </c>
      <c r="L637" t="str" s="16">
        <f aca="0">IF(OR(COUNTA(B637:J637)=0,R637&lt;&gt;""),"",COUNTIFS(보유목록!$I$2:$I$3001,"*"&amp;P637&amp;"*",보유목록!$I$2:$I$3001,"*"&amp;Q637&amp;"*"))</f>
      </c>
      <c r="M637" t="str" s="23">
        <f aca="0">IF(OR(COUNTA(B637:J637)=0,R637&lt;&gt;""),"",IFERROR(LOOKUP(2,1/(ISNUMBER(SEARCH(P637,보유목록!$I$2:$I$3001))*ISNUMBER(SEARCH(Q637,보유목록!$I$2:$I$3001))*(보유목록!$H$2:$H$3001=O637)),보유목록!$B$2:$B$3001),IFERROR(LOOKUP(2,1/(ISNUMBER(SEARCH(P637,보유목록!$I$2:$I$3001))*ISNUMBER(SEARCH(Q637,보유목록!$I$2:$I$3001))),보유목록!$B$2:$B$3001),"")))</f>
      </c>
      <c r="N637" s="25"/>
      <c r="O637" t="str">
        <f>IFERROR(IF(AND(LEN(SUBSTITUTE(SUBSTITUTE(SUBSTITUTE(TRIM(C637&amp;""),CHAR(160),"")," ",""),"년",""))=4,VALUE(SUBSTITUTE(SUBSTITUTE(SUBSTITUTE(TRIM(C637&amp;""),CHAR(160),"")," ",""),"년",""))&gt;=1900,VALUE(SUBSTITUTE(SUBSTITUTE(SUBSTITUTE(TRIM(C637&amp;""),CHAR(160),"")," ",""),"년",""))&lt;=2099,TEXT(VALUE(SUBSTITUTE(SUBSTITUTE(SUBSTITUTE(TRIM(C637&amp;""),CHAR(160),"")," ",""),"년","")),"0000")=SUBSTITUTE(SUBSTITUTE(SUBSTITUTE(TRIM(C637&amp;""),CHAR(160),"")," ",""),"년","")),SUBSTITUTE(SUBSTITUTE(SUBSTITUTE(TRIM(C637&amp;""),CHAR(160),"")," ",""),"년",""),""),"")</f>
      </c>
      <c r="P637" t="str">
        <f>SUBSTITUTE(SUBSTITUTE(SUBSTITUTE(SUBSTITUTE(SUBSTITUTE(SUBSTITUTE(SUBSTITUTE(SUBSTITUTE(TRIM(D637&amp;""),CHAR(160),"")," ",""),"초등학교","초"),"중학교","중"),"고등학교","고"),"~","~~"),"*","~*"),"?","~?")</f>
      </c>
      <c r="Q637" t="str">
        <f>SUBSTITUTE(SUBSTITUTE(SUBSTITUTE(SUBSTITUTE(SUBSTITUTE(SUBSTITUTE(SUBSTITUTE(SUBSTITUTE(TRIM(E637&amp;""),CHAR(160),"")," ",""),"초등학교","초"),"중학교","중"),"고등학교","고"),"~","~~"),"*","~*"),"?","~?")</f>
      </c>
      <c r="R637" t="str">
        <f>IF(COUNTA(B637:J637)=0,"",IF(AND(O637&lt;&gt;"",P637&lt;&gt;"",Q637&lt;&gt;""),"","입력누락"))</f>
      </c>
    </row>
    <row r="638" customFormat="false" ht="15" hidden="false" customHeight="false" outlineLevel="0" collapsed="false">
      <c r="A638" t="n" s="19">
        <f aca="0">IF(COUNTA(B638:J638)=0,"",ROW()-1)</f>
      </c>
      <c r="B638" s="24"/>
      <c r="C638" s="25"/>
      <c r="D638" s="8"/>
      <c r="E638" s="8"/>
      <c r="F638" s="26"/>
      <c r="G638" s="24"/>
      <c r="H638" s="25"/>
      <c r="I638" s="25"/>
      <c r="J638" s="26"/>
      <c r="K638" t="str" s="15">
        <f aca="0">IF(COUNTA(B638:J638)=0,"",IF(R638&lt;&gt;"","확인필요(입력누락)",IF(COUNTIFS(보유목록!$I$2:$I$3001,"*"&amp;P638&amp;"*",보유목록!$I$2:$I$3001,"*"&amp;Q638&amp;"*",보유목록!$H$2:$H$3001,O638)&gt;0,"있음",IF(COUNTIFS(보유목록!$I$2:$I$3001,"*"&amp;P638&amp;"*",보유목록!$I$2:$I$3001,"*"&amp;Q638&amp;"*")&gt;0,"확인필요(연도다름)",IF(COUNTIFS(보유목록!$I$2:$I$3001,"*"&amp;P638&amp;"*",보유목록!$H$2:$H$3001,O638)&gt;0,"확인필요(같은학교·같은연도)","없음")))))</f>
      </c>
      <c r="L638" t="str" s="16">
        <f aca="0">IF(OR(COUNTA(B638:J638)=0,R638&lt;&gt;""),"",COUNTIFS(보유목록!$I$2:$I$3001,"*"&amp;P638&amp;"*",보유목록!$I$2:$I$3001,"*"&amp;Q638&amp;"*"))</f>
      </c>
      <c r="M638" t="str" s="23">
        <f aca="0">IF(OR(COUNTA(B638:J638)=0,R638&lt;&gt;""),"",IFERROR(LOOKUP(2,1/(ISNUMBER(SEARCH(P638,보유목록!$I$2:$I$3001))*ISNUMBER(SEARCH(Q638,보유목록!$I$2:$I$3001))*(보유목록!$H$2:$H$3001=O638)),보유목록!$B$2:$B$3001),IFERROR(LOOKUP(2,1/(ISNUMBER(SEARCH(P638,보유목록!$I$2:$I$3001))*ISNUMBER(SEARCH(Q638,보유목록!$I$2:$I$3001))),보유목록!$B$2:$B$3001),"")))</f>
      </c>
      <c r="N638" s="25"/>
      <c r="O638" t="str">
        <f>IFERROR(IF(AND(LEN(SUBSTITUTE(SUBSTITUTE(SUBSTITUTE(TRIM(C638&amp;""),CHAR(160),"")," ",""),"년",""))=4,VALUE(SUBSTITUTE(SUBSTITUTE(SUBSTITUTE(TRIM(C638&amp;""),CHAR(160),"")," ",""),"년",""))&gt;=1900,VALUE(SUBSTITUTE(SUBSTITUTE(SUBSTITUTE(TRIM(C638&amp;""),CHAR(160),"")," ",""),"년",""))&lt;=2099,TEXT(VALUE(SUBSTITUTE(SUBSTITUTE(SUBSTITUTE(TRIM(C638&amp;""),CHAR(160),"")," ",""),"년","")),"0000")=SUBSTITUTE(SUBSTITUTE(SUBSTITUTE(TRIM(C638&amp;""),CHAR(160),"")," ",""),"년","")),SUBSTITUTE(SUBSTITUTE(SUBSTITUTE(TRIM(C638&amp;""),CHAR(160),"")," ",""),"년",""),""),"")</f>
      </c>
      <c r="P638" t="str">
        <f>SUBSTITUTE(SUBSTITUTE(SUBSTITUTE(SUBSTITUTE(SUBSTITUTE(SUBSTITUTE(SUBSTITUTE(SUBSTITUTE(TRIM(D638&amp;""),CHAR(160),"")," ",""),"초등학교","초"),"중학교","중"),"고등학교","고"),"~","~~"),"*","~*"),"?","~?")</f>
      </c>
      <c r="Q638" t="str">
        <f>SUBSTITUTE(SUBSTITUTE(SUBSTITUTE(SUBSTITUTE(SUBSTITUTE(SUBSTITUTE(SUBSTITUTE(SUBSTITUTE(TRIM(E638&amp;""),CHAR(160),"")," ",""),"초등학교","초"),"중학교","중"),"고등학교","고"),"~","~~"),"*","~*"),"?","~?")</f>
      </c>
      <c r="R638" t="str">
        <f>IF(COUNTA(B638:J638)=0,"",IF(AND(O638&lt;&gt;"",P638&lt;&gt;"",Q638&lt;&gt;""),"","입력누락"))</f>
      </c>
    </row>
    <row r="639" customFormat="false" ht="15" hidden="false" customHeight="false" outlineLevel="0" collapsed="false">
      <c r="A639" t="n" s="19">
        <f aca="0">IF(COUNTA(B639:J639)=0,"",ROW()-1)</f>
      </c>
      <c r="B639" s="24"/>
      <c r="C639" s="25"/>
      <c r="D639" s="8"/>
      <c r="E639" s="8"/>
      <c r="F639" s="26"/>
      <c r="G639" s="24"/>
      <c r="H639" s="25"/>
      <c r="I639" s="25"/>
      <c r="J639" s="26"/>
      <c r="K639" t="str" s="15">
        <f aca="0">IF(COUNTA(B639:J639)=0,"",IF(R639&lt;&gt;"","확인필요(입력누락)",IF(COUNTIFS(보유목록!$I$2:$I$3001,"*"&amp;P639&amp;"*",보유목록!$I$2:$I$3001,"*"&amp;Q639&amp;"*",보유목록!$H$2:$H$3001,O639)&gt;0,"있음",IF(COUNTIFS(보유목록!$I$2:$I$3001,"*"&amp;P639&amp;"*",보유목록!$I$2:$I$3001,"*"&amp;Q639&amp;"*")&gt;0,"확인필요(연도다름)",IF(COUNTIFS(보유목록!$I$2:$I$3001,"*"&amp;P639&amp;"*",보유목록!$H$2:$H$3001,O639)&gt;0,"확인필요(같은학교·같은연도)","없음")))))</f>
      </c>
      <c r="L639" t="str" s="16">
        <f aca="0">IF(OR(COUNTA(B639:J639)=0,R639&lt;&gt;""),"",COUNTIFS(보유목록!$I$2:$I$3001,"*"&amp;P639&amp;"*",보유목록!$I$2:$I$3001,"*"&amp;Q639&amp;"*"))</f>
      </c>
      <c r="M639" t="str" s="23">
        <f aca="0">IF(OR(COUNTA(B639:J639)=0,R639&lt;&gt;""),"",IFERROR(LOOKUP(2,1/(ISNUMBER(SEARCH(P639,보유목록!$I$2:$I$3001))*ISNUMBER(SEARCH(Q639,보유목록!$I$2:$I$3001))*(보유목록!$H$2:$H$3001=O639)),보유목록!$B$2:$B$3001),IFERROR(LOOKUP(2,1/(ISNUMBER(SEARCH(P639,보유목록!$I$2:$I$3001))*ISNUMBER(SEARCH(Q639,보유목록!$I$2:$I$3001))),보유목록!$B$2:$B$3001),"")))</f>
      </c>
      <c r="N639" s="25"/>
      <c r="O639" t="str">
        <f>IFERROR(IF(AND(LEN(SUBSTITUTE(SUBSTITUTE(SUBSTITUTE(TRIM(C639&amp;""),CHAR(160),"")," ",""),"년",""))=4,VALUE(SUBSTITUTE(SUBSTITUTE(SUBSTITUTE(TRIM(C639&amp;""),CHAR(160),"")," ",""),"년",""))&gt;=1900,VALUE(SUBSTITUTE(SUBSTITUTE(SUBSTITUTE(TRIM(C639&amp;""),CHAR(160),"")," ",""),"년",""))&lt;=2099,TEXT(VALUE(SUBSTITUTE(SUBSTITUTE(SUBSTITUTE(TRIM(C639&amp;""),CHAR(160),"")," ",""),"년","")),"0000")=SUBSTITUTE(SUBSTITUTE(SUBSTITUTE(TRIM(C639&amp;""),CHAR(160),"")," ",""),"년","")),SUBSTITUTE(SUBSTITUTE(SUBSTITUTE(TRIM(C639&amp;""),CHAR(160),"")," ",""),"년",""),""),"")</f>
      </c>
      <c r="P639" t="str">
        <f>SUBSTITUTE(SUBSTITUTE(SUBSTITUTE(SUBSTITUTE(SUBSTITUTE(SUBSTITUTE(SUBSTITUTE(SUBSTITUTE(TRIM(D639&amp;""),CHAR(160),"")," ",""),"초등학교","초"),"중학교","중"),"고등학교","고"),"~","~~"),"*","~*"),"?","~?")</f>
      </c>
      <c r="Q639" t="str">
        <f>SUBSTITUTE(SUBSTITUTE(SUBSTITUTE(SUBSTITUTE(SUBSTITUTE(SUBSTITUTE(SUBSTITUTE(SUBSTITUTE(TRIM(E639&amp;""),CHAR(160),"")," ",""),"초등학교","초"),"중학교","중"),"고등학교","고"),"~","~~"),"*","~*"),"?","~?")</f>
      </c>
      <c r="R639" t="str">
        <f>IF(COUNTA(B639:J639)=0,"",IF(AND(O639&lt;&gt;"",P639&lt;&gt;"",Q639&lt;&gt;""),"","입력누락"))</f>
      </c>
    </row>
    <row r="640" customFormat="false" ht="15" hidden="false" customHeight="false" outlineLevel="0" collapsed="false">
      <c r="A640" t="n" s="19">
        <f aca="0">IF(COUNTA(B640:J640)=0,"",ROW()-1)</f>
      </c>
      <c r="B640" s="24"/>
      <c r="C640" s="25"/>
      <c r="D640" s="8"/>
      <c r="E640" s="8"/>
      <c r="F640" s="26"/>
      <c r="G640" s="24"/>
      <c r="H640" s="25"/>
      <c r="I640" s="25"/>
      <c r="J640" s="26"/>
      <c r="K640" t="str" s="15">
        <f aca="0">IF(COUNTA(B640:J640)=0,"",IF(R640&lt;&gt;"","확인필요(입력누락)",IF(COUNTIFS(보유목록!$I$2:$I$3001,"*"&amp;P640&amp;"*",보유목록!$I$2:$I$3001,"*"&amp;Q640&amp;"*",보유목록!$H$2:$H$3001,O640)&gt;0,"있음",IF(COUNTIFS(보유목록!$I$2:$I$3001,"*"&amp;P640&amp;"*",보유목록!$I$2:$I$3001,"*"&amp;Q640&amp;"*")&gt;0,"확인필요(연도다름)",IF(COUNTIFS(보유목록!$I$2:$I$3001,"*"&amp;P640&amp;"*",보유목록!$H$2:$H$3001,O640)&gt;0,"확인필요(같은학교·같은연도)","없음")))))</f>
      </c>
      <c r="L640" t="str" s="16">
        <f aca="0">IF(OR(COUNTA(B640:J640)=0,R640&lt;&gt;""),"",COUNTIFS(보유목록!$I$2:$I$3001,"*"&amp;P640&amp;"*",보유목록!$I$2:$I$3001,"*"&amp;Q640&amp;"*"))</f>
      </c>
      <c r="M640" t="str" s="23">
        <f aca="0">IF(OR(COUNTA(B640:J640)=0,R640&lt;&gt;""),"",IFERROR(LOOKUP(2,1/(ISNUMBER(SEARCH(P640,보유목록!$I$2:$I$3001))*ISNUMBER(SEARCH(Q640,보유목록!$I$2:$I$3001))*(보유목록!$H$2:$H$3001=O640)),보유목록!$B$2:$B$3001),IFERROR(LOOKUP(2,1/(ISNUMBER(SEARCH(P640,보유목록!$I$2:$I$3001))*ISNUMBER(SEARCH(Q640,보유목록!$I$2:$I$3001))),보유목록!$B$2:$B$3001),"")))</f>
      </c>
      <c r="N640" s="25"/>
      <c r="O640" t="str">
        <f>IFERROR(IF(AND(LEN(SUBSTITUTE(SUBSTITUTE(SUBSTITUTE(TRIM(C640&amp;""),CHAR(160),"")," ",""),"년",""))=4,VALUE(SUBSTITUTE(SUBSTITUTE(SUBSTITUTE(TRIM(C640&amp;""),CHAR(160),"")," ",""),"년",""))&gt;=1900,VALUE(SUBSTITUTE(SUBSTITUTE(SUBSTITUTE(TRIM(C640&amp;""),CHAR(160),"")," ",""),"년",""))&lt;=2099,TEXT(VALUE(SUBSTITUTE(SUBSTITUTE(SUBSTITUTE(TRIM(C640&amp;""),CHAR(160),"")," ",""),"년","")),"0000")=SUBSTITUTE(SUBSTITUTE(SUBSTITUTE(TRIM(C640&amp;""),CHAR(160),"")," ",""),"년","")),SUBSTITUTE(SUBSTITUTE(SUBSTITUTE(TRIM(C640&amp;""),CHAR(160),"")," ",""),"년",""),""),"")</f>
      </c>
      <c r="P640" t="str">
        <f>SUBSTITUTE(SUBSTITUTE(SUBSTITUTE(SUBSTITUTE(SUBSTITUTE(SUBSTITUTE(SUBSTITUTE(SUBSTITUTE(TRIM(D640&amp;""),CHAR(160),"")," ",""),"초등학교","초"),"중학교","중"),"고등학교","고"),"~","~~"),"*","~*"),"?","~?")</f>
      </c>
      <c r="Q640" t="str">
        <f>SUBSTITUTE(SUBSTITUTE(SUBSTITUTE(SUBSTITUTE(SUBSTITUTE(SUBSTITUTE(SUBSTITUTE(SUBSTITUTE(TRIM(E640&amp;""),CHAR(160),"")," ",""),"초등학교","초"),"중학교","중"),"고등학교","고"),"~","~~"),"*","~*"),"?","~?")</f>
      </c>
      <c r="R640" t="str">
        <f>IF(COUNTA(B640:J640)=0,"",IF(AND(O640&lt;&gt;"",P640&lt;&gt;"",Q640&lt;&gt;""),"","입력누락"))</f>
      </c>
    </row>
    <row r="641" customFormat="false" ht="15" hidden="false" customHeight="false" outlineLevel="0" collapsed="false">
      <c r="A641" t="n" s="19">
        <f aca="0">IF(COUNTA(B641:J641)=0,"",ROW()-1)</f>
      </c>
      <c r="B641" s="24"/>
      <c r="C641" s="25"/>
      <c r="D641" s="8"/>
      <c r="E641" s="8"/>
      <c r="F641" s="26"/>
      <c r="G641" s="24"/>
      <c r="H641" s="25"/>
      <c r="I641" s="25"/>
      <c r="J641" s="26"/>
      <c r="K641" t="str" s="15">
        <f aca="0">IF(COUNTA(B641:J641)=0,"",IF(R641&lt;&gt;"","확인필요(입력누락)",IF(COUNTIFS(보유목록!$I$2:$I$3001,"*"&amp;P641&amp;"*",보유목록!$I$2:$I$3001,"*"&amp;Q641&amp;"*",보유목록!$H$2:$H$3001,O641)&gt;0,"있음",IF(COUNTIFS(보유목록!$I$2:$I$3001,"*"&amp;P641&amp;"*",보유목록!$I$2:$I$3001,"*"&amp;Q641&amp;"*")&gt;0,"확인필요(연도다름)",IF(COUNTIFS(보유목록!$I$2:$I$3001,"*"&amp;P641&amp;"*",보유목록!$H$2:$H$3001,O641)&gt;0,"확인필요(같은학교·같은연도)","없음")))))</f>
      </c>
      <c r="L641" t="str" s="16">
        <f aca="0">IF(OR(COUNTA(B641:J641)=0,R641&lt;&gt;""),"",COUNTIFS(보유목록!$I$2:$I$3001,"*"&amp;P641&amp;"*",보유목록!$I$2:$I$3001,"*"&amp;Q641&amp;"*"))</f>
      </c>
      <c r="M641" t="str" s="23">
        <f aca="0">IF(OR(COUNTA(B641:J641)=0,R641&lt;&gt;""),"",IFERROR(LOOKUP(2,1/(ISNUMBER(SEARCH(P641,보유목록!$I$2:$I$3001))*ISNUMBER(SEARCH(Q641,보유목록!$I$2:$I$3001))*(보유목록!$H$2:$H$3001=O641)),보유목록!$B$2:$B$3001),IFERROR(LOOKUP(2,1/(ISNUMBER(SEARCH(P641,보유목록!$I$2:$I$3001))*ISNUMBER(SEARCH(Q641,보유목록!$I$2:$I$3001))),보유목록!$B$2:$B$3001),"")))</f>
      </c>
      <c r="N641" s="25"/>
      <c r="O641" t="str">
        <f>IFERROR(IF(AND(LEN(SUBSTITUTE(SUBSTITUTE(SUBSTITUTE(TRIM(C641&amp;""),CHAR(160),"")," ",""),"년",""))=4,VALUE(SUBSTITUTE(SUBSTITUTE(SUBSTITUTE(TRIM(C641&amp;""),CHAR(160),"")," ",""),"년",""))&gt;=1900,VALUE(SUBSTITUTE(SUBSTITUTE(SUBSTITUTE(TRIM(C641&amp;""),CHAR(160),"")," ",""),"년",""))&lt;=2099,TEXT(VALUE(SUBSTITUTE(SUBSTITUTE(SUBSTITUTE(TRIM(C641&amp;""),CHAR(160),"")," ",""),"년","")),"0000")=SUBSTITUTE(SUBSTITUTE(SUBSTITUTE(TRIM(C641&amp;""),CHAR(160),"")," ",""),"년","")),SUBSTITUTE(SUBSTITUTE(SUBSTITUTE(TRIM(C641&amp;""),CHAR(160),"")," ",""),"년",""),""),"")</f>
      </c>
      <c r="P641" t="str">
        <f>SUBSTITUTE(SUBSTITUTE(SUBSTITUTE(SUBSTITUTE(SUBSTITUTE(SUBSTITUTE(SUBSTITUTE(SUBSTITUTE(TRIM(D641&amp;""),CHAR(160),"")," ",""),"초등학교","초"),"중학교","중"),"고등학교","고"),"~","~~"),"*","~*"),"?","~?")</f>
      </c>
      <c r="Q641" t="str">
        <f>SUBSTITUTE(SUBSTITUTE(SUBSTITUTE(SUBSTITUTE(SUBSTITUTE(SUBSTITUTE(SUBSTITUTE(SUBSTITUTE(TRIM(E641&amp;""),CHAR(160),"")," ",""),"초등학교","초"),"중학교","중"),"고등학교","고"),"~","~~"),"*","~*"),"?","~?")</f>
      </c>
      <c r="R641" t="str">
        <f>IF(COUNTA(B641:J641)=0,"",IF(AND(O641&lt;&gt;"",P641&lt;&gt;"",Q641&lt;&gt;""),"","입력누락"))</f>
      </c>
    </row>
    <row r="642" customFormat="false" ht="15" hidden="false" customHeight="false" outlineLevel="0" collapsed="false">
      <c r="A642" t="n" s="19">
        <f aca="0">IF(COUNTA(B642:J642)=0,"",ROW()-1)</f>
      </c>
      <c r="B642" s="24"/>
      <c r="C642" s="25"/>
      <c r="D642" s="8"/>
      <c r="E642" s="8"/>
      <c r="F642" s="26"/>
      <c r="G642" s="24"/>
      <c r="H642" s="25"/>
      <c r="I642" s="25"/>
      <c r="J642" s="26"/>
      <c r="K642" t="str" s="15">
        <f aca="0">IF(COUNTA(B642:J642)=0,"",IF(R642&lt;&gt;"","확인필요(입력누락)",IF(COUNTIFS(보유목록!$I$2:$I$3001,"*"&amp;P642&amp;"*",보유목록!$I$2:$I$3001,"*"&amp;Q642&amp;"*",보유목록!$H$2:$H$3001,O642)&gt;0,"있음",IF(COUNTIFS(보유목록!$I$2:$I$3001,"*"&amp;P642&amp;"*",보유목록!$I$2:$I$3001,"*"&amp;Q642&amp;"*")&gt;0,"확인필요(연도다름)",IF(COUNTIFS(보유목록!$I$2:$I$3001,"*"&amp;P642&amp;"*",보유목록!$H$2:$H$3001,O642)&gt;0,"확인필요(같은학교·같은연도)","없음")))))</f>
      </c>
      <c r="L642" t="str" s="16">
        <f aca="0">IF(OR(COUNTA(B642:J642)=0,R642&lt;&gt;""),"",COUNTIFS(보유목록!$I$2:$I$3001,"*"&amp;P642&amp;"*",보유목록!$I$2:$I$3001,"*"&amp;Q642&amp;"*"))</f>
      </c>
      <c r="M642" t="str" s="23">
        <f aca="0">IF(OR(COUNTA(B642:J642)=0,R642&lt;&gt;""),"",IFERROR(LOOKUP(2,1/(ISNUMBER(SEARCH(P642,보유목록!$I$2:$I$3001))*ISNUMBER(SEARCH(Q642,보유목록!$I$2:$I$3001))*(보유목록!$H$2:$H$3001=O642)),보유목록!$B$2:$B$3001),IFERROR(LOOKUP(2,1/(ISNUMBER(SEARCH(P642,보유목록!$I$2:$I$3001))*ISNUMBER(SEARCH(Q642,보유목록!$I$2:$I$3001))),보유목록!$B$2:$B$3001),"")))</f>
      </c>
      <c r="N642" s="25"/>
      <c r="O642" t="str">
        <f>IFERROR(IF(AND(LEN(SUBSTITUTE(SUBSTITUTE(SUBSTITUTE(TRIM(C642&amp;""),CHAR(160),"")," ",""),"년",""))=4,VALUE(SUBSTITUTE(SUBSTITUTE(SUBSTITUTE(TRIM(C642&amp;""),CHAR(160),"")," ",""),"년",""))&gt;=1900,VALUE(SUBSTITUTE(SUBSTITUTE(SUBSTITUTE(TRIM(C642&amp;""),CHAR(160),"")," ",""),"년",""))&lt;=2099,TEXT(VALUE(SUBSTITUTE(SUBSTITUTE(SUBSTITUTE(TRIM(C642&amp;""),CHAR(160),"")," ",""),"년","")),"0000")=SUBSTITUTE(SUBSTITUTE(SUBSTITUTE(TRIM(C642&amp;""),CHAR(160),"")," ",""),"년","")),SUBSTITUTE(SUBSTITUTE(SUBSTITUTE(TRIM(C642&amp;""),CHAR(160),"")," ",""),"년",""),""),"")</f>
      </c>
      <c r="P642" t="str">
        <f>SUBSTITUTE(SUBSTITUTE(SUBSTITUTE(SUBSTITUTE(SUBSTITUTE(SUBSTITUTE(SUBSTITUTE(SUBSTITUTE(TRIM(D642&amp;""),CHAR(160),"")," ",""),"초등학교","초"),"중학교","중"),"고등학교","고"),"~","~~"),"*","~*"),"?","~?")</f>
      </c>
      <c r="Q642" t="str">
        <f>SUBSTITUTE(SUBSTITUTE(SUBSTITUTE(SUBSTITUTE(SUBSTITUTE(SUBSTITUTE(SUBSTITUTE(SUBSTITUTE(TRIM(E642&amp;""),CHAR(160),"")," ",""),"초등학교","초"),"중학교","중"),"고등학교","고"),"~","~~"),"*","~*"),"?","~?")</f>
      </c>
      <c r="R642" t="str">
        <f>IF(COUNTA(B642:J642)=0,"",IF(AND(O642&lt;&gt;"",P642&lt;&gt;"",Q642&lt;&gt;""),"","입력누락"))</f>
      </c>
    </row>
    <row r="643" customFormat="false" ht="15" hidden="false" customHeight="false" outlineLevel="0" collapsed="false">
      <c r="A643" t="n" s="19">
        <f aca="0">IF(COUNTA(B643:J643)=0,"",ROW()-1)</f>
      </c>
      <c r="B643" s="24"/>
      <c r="C643" s="25"/>
      <c r="D643" s="8"/>
      <c r="E643" s="8"/>
      <c r="F643" s="26"/>
      <c r="G643" s="24"/>
      <c r="H643" s="25"/>
      <c r="I643" s="25"/>
      <c r="J643" s="26"/>
      <c r="K643" t="str" s="15">
        <f aca="0">IF(COUNTA(B643:J643)=0,"",IF(R643&lt;&gt;"","확인필요(입력누락)",IF(COUNTIFS(보유목록!$I$2:$I$3001,"*"&amp;P643&amp;"*",보유목록!$I$2:$I$3001,"*"&amp;Q643&amp;"*",보유목록!$H$2:$H$3001,O643)&gt;0,"있음",IF(COUNTIFS(보유목록!$I$2:$I$3001,"*"&amp;P643&amp;"*",보유목록!$I$2:$I$3001,"*"&amp;Q643&amp;"*")&gt;0,"확인필요(연도다름)",IF(COUNTIFS(보유목록!$I$2:$I$3001,"*"&amp;P643&amp;"*",보유목록!$H$2:$H$3001,O643)&gt;0,"확인필요(같은학교·같은연도)","없음")))))</f>
      </c>
      <c r="L643" t="str" s="16">
        <f aca="0">IF(OR(COUNTA(B643:J643)=0,R643&lt;&gt;""),"",COUNTIFS(보유목록!$I$2:$I$3001,"*"&amp;P643&amp;"*",보유목록!$I$2:$I$3001,"*"&amp;Q643&amp;"*"))</f>
      </c>
      <c r="M643" t="str" s="23">
        <f aca="0">IF(OR(COUNTA(B643:J643)=0,R643&lt;&gt;""),"",IFERROR(LOOKUP(2,1/(ISNUMBER(SEARCH(P643,보유목록!$I$2:$I$3001))*ISNUMBER(SEARCH(Q643,보유목록!$I$2:$I$3001))*(보유목록!$H$2:$H$3001=O643)),보유목록!$B$2:$B$3001),IFERROR(LOOKUP(2,1/(ISNUMBER(SEARCH(P643,보유목록!$I$2:$I$3001))*ISNUMBER(SEARCH(Q643,보유목록!$I$2:$I$3001))),보유목록!$B$2:$B$3001),"")))</f>
      </c>
      <c r="N643" s="25"/>
      <c r="O643" t="str">
        <f>IFERROR(IF(AND(LEN(SUBSTITUTE(SUBSTITUTE(SUBSTITUTE(TRIM(C643&amp;""),CHAR(160),"")," ",""),"년",""))=4,VALUE(SUBSTITUTE(SUBSTITUTE(SUBSTITUTE(TRIM(C643&amp;""),CHAR(160),"")," ",""),"년",""))&gt;=1900,VALUE(SUBSTITUTE(SUBSTITUTE(SUBSTITUTE(TRIM(C643&amp;""),CHAR(160),"")," ",""),"년",""))&lt;=2099,TEXT(VALUE(SUBSTITUTE(SUBSTITUTE(SUBSTITUTE(TRIM(C643&amp;""),CHAR(160),"")," ",""),"년","")),"0000")=SUBSTITUTE(SUBSTITUTE(SUBSTITUTE(TRIM(C643&amp;""),CHAR(160),"")," ",""),"년","")),SUBSTITUTE(SUBSTITUTE(SUBSTITUTE(TRIM(C643&amp;""),CHAR(160),"")," ",""),"년",""),""),"")</f>
      </c>
      <c r="P643" t="str">
        <f>SUBSTITUTE(SUBSTITUTE(SUBSTITUTE(SUBSTITUTE(SUBSTITUTE(SUBSTITUTE(SUBSTITUTE(SUBSTITUTE(TRIM(D643&amp;""),CHAR(160),"")," ",""),"초등학교","초"),"중학교","중"),"고등학교","고"),"~","~~"),"*","~*"),"?","~?")</f>
      </c>
      <c r="Q643" t="str">
        <f>SUBSTITUTE(SUBSTITUTE(SUBSTITUTE(SUBSTITUTE(SUBSTITUTE(SUBSTITUTE(SUBSTITUTE(SUBSTITUTE(TRIM(E643&amp;""),CHAR(160),"")," ",""),"초등학교","초"),"중학교","중"),"고등학교","고"),"~","~~"),"*","~*"),"?","~?")</f>
      </c>
      <c r="R643" t="str">
        <f>IF(COUNTA(B643:J643)=0,"",IF(AND(O643&lt;&gt;"",P643&lt;&gt;"",Q643&lt;&gt;""),"","입력누락"))</f>
      </c>
    </row>
    <row r="644" customFormat="false" ht="15" hidden="false" customHeight="false" outlineLevel="0" collapsed="false">
      <c r="A644" t="n" s="19">
        <f aca="0">IF(COUNTA(B644:J644)=0,"",ROW()-1)</f>
      </c>
      <c r="B644" s="24"/>
      <c r="C644" s="25"/>
      <c r="D644" s="8"/>
      <c r="E644" s="8"/>
      <c r="F644" s="26"/>
      <c r="G644" s="24"/>
      <c r="H644" s="25"/>
      <c r="I644" s="25"/>
      <c r="J644" s="26"/>
      <c r="K644" t="str" s="15">
        <f aca="0">IF(COUNTA(B644:J644)=0,"",IF(R644&lt;&gt;"","확인필요(입력누락)",IF(COUNTIFS(보유목록!$I$2:$I$3001,"*"&amp;P644&amp;"*",보유목록!$I$2:$I$3001,"*"&amp;Q644&amp;"*",보유목록!$H$2:$H$3001,O644)&gt;0,"있음",IF(COUNTIFS(보유목록!$I$2:$I$3001,"*"&amp;P644&amp;"*",보유목록!$I$2:$I$3001,"*"&amp;Q644&amp;"*")&gt;0,"확인필요(연도다름)",IF(COUNTIFS(보유목록!$I$2:$I$3001,"*"&amp;P644&amp;"*",보유목록!$H$2:$H$3001,O644)&gt;0,"확인필요(같은학교·같은연도)","없음")))))</f>
      </c>
      <c r="L644" t="str" s="16">
        <f aca="0">IF(OR(COUNTA(B644:J644)=0,R644&lt;&gt;""),"",COUNTIFS(보유목록!$I$2:$I$3001,"*"&amp;P644&amp;"*",보유목록!$I$2:$I$3001,"*"&amp;Q644&amp;"*"))</f>
      </c>
      <c r="M644" t="str" s="23">
        <f aca="0">IF(OR(COUNTA(B644:J644)=0,R644&lt;&gt;""),"",IFERROR(LOOKUP(2,1/(ISNUMBER(SEARCH(P644,보유목록!$I$2:$I$3001))*ISNUMBER(SEARCH(Q644,보유목록!$I$2:$I$3001))*(보유목록!$H$2:$H$3001=O644)),보유목록!$B$2:$B$3001),IFERROR(LOOKUP(2,1/(ISNUMBER(SEARCH(P644,보유목록!$I$2:$I$3001))*ISNUMBER(SEARCH(Q644,보유목록!$I$2:$I$3001))),보유목록!$B$2:$B$3001),"")))</f>
      </c>
      <c r="N644" s="25"/>
      <c r="O644" t="str">
        <f>IFERROR(IF(AND(LEN(SUBSTITUTE(SUBSTITUTE(SUBSTITUTE(TRIM(C644&amp;""),CHAR(160),"")," ",""),"년",""))=4,VALUE(SUBSTITUTE(SUBSTITUTE(SUBSTITUTE(TRIM(C644&amp;""),CHAR(160),"")," ",""),"년",""))&gt;=1900,VALUE(SUBSTITUTE(SUBSTITUTE(SUBSTITUTE(TRIM(C644&amp;""),CHAR(160),"")," ",""),"년",""))&lt;=2099,TEXT(VALUE(SUBSTITUTE(SUBSTITUTE(SUBSTITUTE(TRIM(C644&amp;""),CHAR(160),"")," ",""),"년","")),"0000")=SUBSTITUTE(SUBSTITUTE(SUBSTITUTE(TRIM(C644&amp;""),CHAR(160),"")," ",""),"년","")),SUBSTITUTE(SUBSTITUTE(SUBSTITUTE(TRIM(C644&amp;""),CHAR(160),"")," ",""),"년",""),""),"")</f>
      </c>
      <c r="P644" t="str">
        <f>SUBSTITUTE(SUBSTITUTE(SUBSTITUTE(SUBSTITUTE(SUBSTITUTE(SUBSTITUTE(SUBSTITUTE(SUBSTITUTE(TRIM(D644&amp;""),CHAR(160),"")," ",""),"초등학교","초"),"중학교","중"),"고등학교","고"),"~","~~"),"*","~*"),"?","~?")</f>
      </c>
      <c r="Q644" t="str">
        <f>SUBSTITUTE(SUBSTITUTE(SUBSTITUTE(SUBSTITUTE(SUBSTITUTE(SUBSTITUTE(SUBSTITUTE(SUBSTITUTE(TRIM(E644&amp;""),CHAR(160),"")," ",""),"초등학교","초"),"중학교","중"),"고등학교","고"),"~","~~"),"*","~*"),"?","~?")</f>
      </c>
      <c r="R644" t="str">
        <f>IF(COUNTA(B644:J644)=0,"",IF(AND(O644&lt;&gt;"",P644&lt;&gt;"",Q644&lt;&gt;""),"","입력누락"))</f>
      </c>
    </row>
    <row r="645" customFormat="false" ht="15" hidden="false" customHeight="false" outlineLevel="0" collapsed="false">
      <c r="A645" t="n" s="19">
        <f aca="0">IF(COUNTA(B645:J645)=0,"",ROW()-1)</f>
      </c>
      <c r="B645" s="24"/>
      <c r="C645" s="25"/>
      <c r="D645" s="8"/>
      <c r="E645" s="8"/>
      <c r="F645" s="26"/>
      <c r="G645" s="24"/>
      <c r="H645" s="25"/>
      <c r="I645" s="25"/>
      <c r="J645" s="26"/>
      <c r="K645" t="str" s="15">
        <f aca="0">IF(COUNTA(B645:J645)=0,"",IF(R645&lt;&gt;"","확인필요(입력누락)",IF(COUNTIFS(보유목록!$I$2:$I$3001,"*"&amp;P645&amp;"*",보유목록!$I$2:$I$3001,"*"&amp;Q645&amp;"*",보유목록!$H$2:$H$3001,O645)&gt;0,"있음",IF(COUNTIFS(보유목록!$I$2:$I$3001,"*"&amp;P645&amp;"*",보유목록!$I$2:$I$3001,"*"&amp;Q645&amp;"*")&gt;0,"확인필요(연도다름)",IF(COUNTIFS(보유목록!$I$2:$I$3001,"*"&amp;P645&amp;"*",보유목록!$H$2:$H$3001,O645)&gt;0,"확인필요(같은학교·같은연도)","없음")))))</f>
      </c>
      <c r="L645" t="str" s="16">
        <f aca="0">IF(OR(COUNTA(B645:J645)=0,R645&lt;&gt;""),"",COUNTIFS(보유목록!$I$2:$I$3001,"*"&amp;P645&amp;"*",보유목록!$I$2:$I$3001,"*"&amp;Q645&amp;"*"))</f>
      </c>
      <c r="M645" t="str" s="23">
        <f aca="0">IF(OR(COUNTA(B645:J645)=0,R645&lt;&gt;""),"",IFERROR(LOOKUP(2,1/(ISNUMBER(SEARCH(P645,보유목록!$I$2:$I$3001))*ISNUMBER(SEARCH(Q645,보유목록!$I$2:$I$3001))*(보유목록!$H$2:$H$3001=O645)),보유목록!$B$2:$B$3001),IFERROR(LOOKUP(2,1/(ISNUMBER(SEARCH(P645,보유목록!$I$2:$I$3001))*ISNUMBER(SEARCH(Q645,보유목록!$I$2:$I$3001))),보유목록!$B$2:$B$3001),"")))</f>
      </c>
      <c r="N645" s="25"/>
      <c r="O645" t="str">
        <f>IFERROR(IF(AND(LEN(SUBSTITUTE(SUBSTITUTE(SUBSTITUTE(TRIM(C645&amp;""),CHAR(160),"")," ",""),"년",""))=4,VALUE(SUBSTITUTE(SUBSTITUTE(SUBSTITUTE(TRIM(C645&amp;""),CHAR(160),"")," ",""),"년",""))&gt;=1900,VALUE(SUBSTITUTE(SUBSTITUTE(SUBSTITUTE(TRIM(C645&amp;""),CHAR(160),"")," ",""),"년",""))&lt;=2099,TEXT(VALUE(SUBSTITUTE(SUBSTITUTE(SUBSTITUTE(TRIM(C645&amp;""),CHAR(160),"")," ",""),"년","")),"0000")=SUBSTITUTE(SUBSTITUTE(SUBSTITUTE(TRIM(C645&amp;""),CHAR(160),"")," ",""),"년","")),SUBSTITUTE(SUBSTITUTE(SUBSTITUTE(TRIM(C645&amp;""),CHAR(160),"")," ",""),"년",""),""),"")</f>
      </c>
      <c r="P645" t="str">
        <f>SUBSTITUTE(SUBSTITUTE(SUBSTITUTE(SUBSTITUTE(SUBSTITUTE(SUBSTITUTE(SUBSTITUTE(SUBSTITUTE(TRIM(D645&amp;""),CHAR(160),"")," ",""),"초등학교","초"),"중학교","중"),"고등학교","고"),"~","~~"),"*","~*"),"?","~?")</f>
      </c>
      <c r="Q645" t="str">
        <f>SUBSTITUTE(SUBSTITUTE(SUBSTITUTE(SUBSTITUTE(SUBSTITUTE(SUBSTITUTE(SUBSTITUTE(SUBSTITUTE(TRIM(E645&amp;""),CHAR(160),"")," ",""),"초등학교","초"),"중학교","중"),"고등학교","고"),"~","~~"),"*","~*"),"?","~?")</f>
      </c>
      <c r="R645" t="str">
        <f>IF(COUNTA(B645:J645)=0,"",IF(AND(O645&lt;&gt;"",P645&lt;&gt;"",Q645&lt;&gt;""),"","입력누락"))</f>
      </c>
    </row>
    <row r="646" customFormat="false" ht="15" hidden="false" customHeight="false" outlineLevel="0" collapsed="false">
      <c r="A646" t="n" s="19">
        <f aca="0">IF(COUNTA(B646:J646)=0,"",ROW()-1)</f>
      </c>
      <c r="B646" s="24"/>
      <c r="C646" s="25"/>
      <c r="D646" s="8"/>
      <c r="E646" s="8"/>
      <c r="F646" s="26"/>
      <c r="G646" s="24"/>
      <c r="H646" s="25"/>
      <c r="I646" s="25"/>
      <c r="J646" s="26"/>
      <c r="K646" t="str" s="15">
        <f aca="0">IF(COUNTA(B646:J646)=0,"",IF(R646&lt;&gt;"","확인필요(입력누락)",IF(COUNTIFS(보유목록!$I$2:$I$3001,"*"&amp;P646&amp;"*",보유목록!$I$2:$I$3001,"*"&amp;Q646&amp;"*",보유목록!$H$2:$H$3001,O646)&gt;0,"있음",IF(COUNTIFS(보유목록!$I$2:$I$3001,"*"&amp;P646&amp;"*",보유목록!$I$2:$I$3001,"*"&amp;Q646&amp;"*")&gt;0,"확인필요(연도다름)",IF(COUNTIFS(보유목록!$I$2:$I$3001,"*"&amp;P646&amp;"*",보유목록!$H$2:$H$3001,O646)&gt;0,"확인필요(같은학교·같은연도)","없음")))))</f>
      </c>
      <c r="L646" t="str" s="16">
        <f aca="0">IF(OR(COUNTA(B646:J646)=0,R646&lt;&gt;""),"",COUNTIFS(보유목록!$I$2:$I$3001,"*"&amp;P646&amp;"*",보유목록!$I$2:$I$3001,"*"&amp;Q646&amp;"*"))</f>
      </c>
      <c r="M646" t="str" s="23">
        <f aca="0">IF(OR(COUNTA(B646:J646)=0,R646&lt;&gt;""),"",IFERROR(LOOKUP(2,1/(ISNUMBER(SEARCH(P646,보유목록!$I$2:$I$3001))*ISNUMBER(SEARCH(Q646,보유목록!$I$2:$I$3001))*(보유목록!$H$2:$H$3001=O646)),보유목록!$B$2:$B$3001),IFERROR(LOOKUP(2,1/(ISNUMBER(SEARCH(P646,보유목록!$I$2:$I$3001))*ISNUMBER(SEARCH(Q646,보유목록!$I$2:$I$3001))),보유목록!$B$2:$B$3001),"")))</f>
      </c>
      <c r="N646" s="25"/>
      <c r="O646" t="str">
        <f>IFERROR(IF(AND(LEN(SUBSTITUTE(SUBSTITUTE(SUBSTITUTE(TRIM(C646&amp;""),CHAR(160),"")," ",""),"년",""))=4,VALUE(SUBSTITUTE(SUBSTITUTE(SUBSTITUTE(TRIM(C646&amp;""),CHAR(160),"")," ",""),"년",""))&gt;=1900,VALUE(SUBSTITUTE(SUBSTITUTE(SUBSTITUTE(TRIM(C646&amp;""),CHAR(160),"")," ",""),"년",""))&lt;=2099,TEXT(VALUE(SUBSTITUTE(SUBSTITUTE(SUBSTITUTE(TRIM(C646&amp;""),CHAR(160),"")," ",""),"년","")),"0000")=SUBSTITUTE(SUBSTITUTE(SUBSTITUTE(TRIM(C646&amp;""),CHAR(160),"")," ",""),"년","")),SUBSTITUTE(SUBSTITUTE(SUBSTITUTE(TRIM(C646&amp;""),CHAR(160),"")," ",""),"년",""),""),"")</f>
      </c>
      <c r="P646" t="str">
        <f>SUBSTITUTE(SUBSTITUTE(SUBSTITUTE(SUBSTITUTE(SUBSTITUTE(SUBSTITUTE(SUBSTITUTE(SUBSTITUTE(TRIM(D646&amp;""),CHAR(160),"")," ",""),"초등학교","초"),"중학교","중"),"고등학교","고"),"~","~~"),"*","~*"),"?","~?")</f>
      </c>
      <c r="Q646" t="str">
        <f>SUBSTITUTE(SUBSTITUTE(SUBSTITUTE(SUBSTITUTE(SUBSTITUTE(SUBSTITUTE(SUBSTITUTE(SUBSTITUTE(TRIM(E646&amp;""),CHAR(160),"")," ",""),"초등학교","초"),"중학교","중"),"고등학교","고"),"~","~~"),"*","~*"),"?","~?")</f>
      </c>
      <c r="R646" t="str">
        <f>IF(COUNTA(B646:J646)=0,"",IF(AND(O646&lt;&gt;"",P646&lt;&gt;"",Q646&lt;&gt;""),"","입력누락"))</f>
      </c>
    </row>
    <row r="647" customFormat="false" ht="15" hidden="false" customHeight="false" outlineLevel="0" collapsed="false">
      <c r="A647" t="n" s="19">
        <f aca="0">IF(COUNTA(B647:J647)=0,"",ROW()-1)</f>
      </c>
      <c r="B647" s="24"/>
      <c r="C647" s="25"/>
      <c r="D647" s="8"/>
      <c r="E647" s="8"/>
      <c r="F647" s="26"/>
      <c r="G647" s="24"/>
      <c r="H647" s="25"/>
      <c r="I647" s="25"/>
      <c r="J647" s="26"/>
      <c r="K647" t="str" s="15">
        <f aca="0">IF(COUNTA(B647:J647)=0,"",IF(R647&lt;&gt;"","확인필요(입력누락)",IF(COUNTIFS(보유목록!$I$2:$I$3001,"*"&amp;P647&amp;"*",보유목록!$I$2:$I$3001,"*"&amp;Q647&amp;"*",보유목록!$H$2:$H$3001,O647)&gt;0,"있음",IF(COUNTIFS(보유목록!$I$2:$I$3001,"*"&amp;P647&amp;"*",보유목록!$I$2:$I$3001,"*"&amp;Q647&amp;"*")&gt;0,"확인필요(연도다름)",IF(COUNTIFS(보유목록!$I$2:$I$3001,"*"&amp;P647&amp;"*",보유목록!$H$2:$H$3001,O647)&gt;0,"확인필요(같은학교·같은연도)","없음")))))</f>
      </c>
      <c r="L647" t="str" s="16">
        <f aca="0">IF(OR(COUNTA(B647:J647)=0,R647&lt;&gt;""),"",COUNTIFS(보유목록!$I$2:$I$3001,"*"&amp;P647&amp;"*",보유목록!$I$2:$I$3001,"*"&amp;Q647&amp;"*"))</f>
      </c>
      <c r="M647" t="str" s="23">
        <f aca="0">IF(OR(COUNTA(B647:J647)=0,R647&lt;&gt;""),"",IFERROR(LOOKUP(2,1/(ISNUMBER(SEARCH(P647,보유목록!$I$2:$I$3001))*ISNUMBER(SEARCH(Q647,보유목록!$I$2:$I$3001))*(보유목록!$H$2:$H$3001=O647)),보유목록!$B$2:$B$3001),IFERROR(LOOKUP(2,1/(ISNUMBER(SEARCH(P647,보유목록!$I$2:$I$3001))*ISNUMBER(SEARCH(Q647,보유목록!$I$2:$I$3001))),보유목록!$B$2:$B$3001),"")))</f>
      </c>
      <c r="N647" s="25"/>
      <c r="O647" t="str">
        <f>IFERROR(IF(AND(LEN(SUBSTITUTE(SUBSTITUTE(SUBSTITUTE(TRIM(C647&amp;""),CHAR(160),"")," ",""),"년",""))=4,VALUE(SUBSTITUTE(SUBSTITUTE(SUBSTITUTE(TRIM(C647&amp;""),CHAR(160),"")," ",""),"년",""))&gt;=1900,VALUE(SUBSTITUTE(SUBSTITUTE(SUBSTITUTE(TRIM(C647&amp;""),CHAR(160),"")," ",""),"년",""))&lt;=2099,TEXT(VALUE(SUBSTITUTE(SUBSTITUTE(SUBSTITUTE(TRIM(C647&amp;""),CHAR(160),"")," ",""),"년","")),"0000")=SUBSTITUTE(SUBSTITUTE(SUBSTITUTE(TRIM(C647&amp;""),CHAR(160),"")," ",""),"년","")),SUBSTITUTE(SUBSTITUTE(SUBSTITUTE(TRIM(C647&amp;""),CHAR(160),"")," ",""),"년",""),""),"")</f>
      </c>
      <c r="P647" t="str">
        <f>SUBSTITUTE(SUBSTITUTE(SUBSTITUTE(SUBSTITUTE(SUBSTITUTE(SUBSTITUTE(SUBSTITUTE(SUBSTITUTE(TRIM(D647&amp;""),CHAR(160),"")," ",""),"초등학교","초"),"중학교","중"),"고등학교","고"),"~","~~"),"*","~*"),"?","~?")</f>
      </c>
      <c r="Q647" t="str">
        <f>SUBSTITUTE(SUBSTITUTE(SUBSTITUTE(SUBSTITUTE(SUBSTITUTE(SUBSTITUTE(SUBSTITUTE(SUBSTITUTE(TRIM(E647&amp;""),CHAR(160),"")," ",""),"초등학교","초"),"중학교","중"),"고등학교","고"),"~","~~"),"*","~*"),"?","~?")</f>
      </c>
      <c r="R647" t="str">
        <f>IF(COUNTA(B647:J647)=0,"",IF(AND(O647&lt;&gt;"",P647&lt;&gt;"",Q647&lt;&gt;""),"","입력누락"))</f>
      </c>
    </row>
    <row r="648" customFormat="false" ht="15" hidden="false" customHeight="false" outlineLevel="0" collapsed="false">
      <c r="A648" t="n" s="19">
        <f aca="0">IF(COUNTA(B648:J648)=0,"",ROW()-1)</f>
      </c>
      <c r="B648" s="24"/>
      <c r="C648" s="25"/>
      <c r="D648" s="8"/>
      <c r="E648" s="8"/>
      <c r="F648" s="26"/>
      <c r="G648" s="24"/>
      <c r="H648" s="25"/>
      <c r="I648" s="25"/>
      <c r="J648" s="26"/>
      <c r="K648" t="str" s="15">
        <f aca="0">IF(COUNTA(B648:J648)=0,"",IF(R648&lt;&gt;"","확인필요(입력누락)",IF(COUNTIFS(보유목록!$I$2:$I$3001,"*"&amp;P648&amp;"*",보유목록!$I$2:$I$3001,"*"&amp;Q648&amp;"*",보유목록!$H$2:$H$3001,O648)&gt;0,"있음",IF(COUNTIFS(보유목록!$I$2:$I$3001,"*"&amp;P648&amp;"*",보유목록!$I$2:$I$3001,"*"&amp;Q648&amp;"*")&gt;0,"확인필요(연도다름)",IF(COUNTIFS(보유목록!$I$2:$I$3001,"*"&amp;P648&amp;"*",보유목록!$H$2:$H$3001,O648)&gt;0,"확인필요(같은학교·같은연도)","없음")))))</f>
      </c>
      <c r="L648" t="str" s="16">
        <f aca="0">IF(OR(COUNTA(B648:J648)=0,R648&lt;&gt;""),"",COUNTIFS(보유목록!$I$2:$I$3001,"*"&amp;P648&amp;"*",보유목록!$I$2:$I$3001,"*"&amp;Q648&amp;"*"))</f>
      </c>
      <c r="M648" t="str" s="23">
        <f aca="0">IF(OR(COUNTA(B648:J648)=0,R648&lt;&gt;""),"",IFERROR(LOOKUP(2,1/(ISNUMBER(SEARCH(P648,보유목록!$I$2:$I$3001))*ISNUMBER(SEARCH(Q648,보유목록!$I$2:$I$3001))*(보유목록!$H$2:$H$3001=O648)),보유목록!$B$2:$B$3001),IFERROR(LOOKUP(2,1/(ISNUMBER(SEARCH(P648,보유목록!$I$2:$I$3001))*ISNUMBER(SEARCH(Q648,보유목록!$I$2:$I$3001))),보유목록!$B$2:$B$3001),"")))</f>
      </c>
      <c r="N648" s="25"/>
      <c r="O648" t="str">
        <f>IFERROR(IF(AND(LEN(SUBSTITUTE(SUBSTITUTE(SUBSTITUTE(TRIM(C648&amp;""),CHAR(160),"")," ",""),"년",""))=4,VALUE(SUBSTITUTE(SUBSTITUTE(SUBSTITUTE(TRIM(C648&amp;""),CHAR(160),"")," ",""),"년",""))&gt;=1900,VALUE(SUBSTITUTE(SUBSTITUTE(SUBSTITUTE(TRIM(C648&amp;""),CHAR(160),"")," ",""),"년",""))&lt;=2099,TEXT(VALUE(SUBSTITUTE(SUBSTITUTE(SUBSTITUTE(TRIM(C648&amp;""),CHAR(160),"")," ",""),"년","")),"0000")=SUBSTITUTE(SUBSTITUTE(SUBSTITUTE(TRIM(C648&amp;""),CHAR(160),"")," ",""),"년","")),SUBSTITUTE(SUBSTITUTE(SUBSTITUTE(TRIM(C648&amp;""),CHAR(160),"")," ",""),"년",""),""),"")</f>
      </c>
      <c r="P648" t="str">
        <f>SUBSTITUTE(SUBSTITUTE(SUBSTITUTE(SUBSTITUTE(SUBSTITUTE(SUBSTITUTE(SUBSTITUTE(SUBSTITUTE(TRIM(D648&amp;""),CHAR(160),"")," ",""),"초등학교","초"),"중학교","중"),"고등학교","고"),"~","~~"),"*","~*"),"?","~?")</f>
      </c>
      <c r="Q648" t="str">
        <f>SUBSTITUTE(SUBSTITUTE(SUBSTITUTE(SUBSTITUTE(SUBSTITUTE(SUBSTITUTE(SUBSTITUTE(SUBSTITUTE(TRIM(E648&amp;""),CHAR(160),"")," ",""),"초등학교","초"),"중학교","중"),"고등학교","고"),"~","~~"),"*","~*"),"?","~?")</f>
      </c>
      <c r="R648" t="str">
        <f>IF(COUNTA(B648:J648)=0,"",IF(AND(O648&lt;&gt;"",P648&lt;&gt;"",Q648&lt;&gt;""),"","입력누락"))</f>
      </c>
    </row>
    <row r="649" customFormat="false" ht="15" hidden="false" customHeight="false" outlineLevel="0" collapsed="false">
      <c r="A649" t="n" s="19">
        <f aca="0">IF(COUNTA(B649:J649)=0,"",ROW()-1)</f>
      </c>
      <c r="B649" s="24"/>
      <c r="C649" s="25"/>
      <c r="D649" s="8"/>
      <c r="E649" s="8"/>
      <c r="F649" s="26"/>
      <c r="G649" s="24"/>
      <c r="H649" s="25"/>
      <c r="I649" s="25"/>
      <c r="J649" s="26"/>
      <c r="K649" t="str" s="15">
        <f aca="0">IF(COUNTA(B649:J649)=0,"",IF(R649&lt;&gt;"","확인필요(입력누락)",IF(COUNTIFS(보유목록!$I$2:$I$3001,"*"&amp;P649&amp;"*",보유목록!$I$2:$I$3001,"*"&amp;Q649&amp;"*",보유목록!$H$2:$H$3001,O649)&gt;0,"있음",IF(COUNTIFS(보유목록!$I$2:$I$3001,"*"&amp;P649&amp;"*",보유목록!$I$2:$I$3001,"*"&amp;Q649&amp;"*")&gt;0,"확인필요(연도다름)",IF(COUNTIFS(보유목록!$I$2:$I$3001,"*"&amp;P649&amp;"*",보유목록!$H$2:$H$3001,O649)&gt;0,"확인필요(같은학교·같은연도)","없음")))))</f>
      </c>
      <c r="L649" t="str" s="16">
        <f aca="0">IF(OR(COUNTA(B649:J649)=0,R649&lt;&gt;""),"",COUNTIFS(보유목록!$I$2:$I$3001,"*"&amp;P649&amp;"*",보유목록!$I$2:$I$3001,"*"&amp;Q649&amp;"*"))</f>
      </c>
      <c r="M649" t="str" s="23">
        <f aca="0">IF(OR(COUNTA(B649:J649)=0,R649&lt;&gt;""),"",IFERROR(LOOKUP(2,1/(ISNUMBER(SEARCH(P649,보유목록!$I$2:$I$3001))*ISNUMBER(SEARCH(Q649,보유목록!$I$2:$I$3001))*(보유목록!$H$2:$H$3001=O649)),보유목록!$B$2:$B$3001),IFERROR(LOOKUP(2,1/(ISNUMBER(SEARCH(P649,보유목록!$I$2:$I$3001))*ISNUMBER(SEARCH(Q649,보유목록!$I$2:$I$3001))),보유목록!$B$2:$B$3001),"")))</f>
      </c>
      <c r="N649" s="25"/>
      <c r="O649" t="str">
        <f>IFERROR(IF(AND(LEN(SUBSTITUTE(SUBSTITUTE(SUBSTITUTE(TRIM(C649&amp;""),CHAR(160),"")," ",""),"년",""))=4,VALUE(SUBSTITUTE(SUBSTITUTE(SUBSTITUTE(TRIM(C649&amp;""),CHAR(160),"")," ",""),"년",""))&gt;=1900,VALUE(SUBSTITUTE(SUBSTITUTE(SUBSTITUTE(TRIM(C649&amp;""),CHAR(160),"")," ",""),"년",""))&lt;=2099,TEXT(VALUE(SUBSTITUTE(SUBSTITUTE(SUBSTITUTE(TRIM(C649&amp;""),CHAR(160),"")," ",""),"년","")),"0000")=SUBSTITUTE(SUBSTITUTE(SUBSTITUTE(TRIM(C649&amp;""),CHAR(160),"")," ",""),"년","")),SUBSTITUTE(SUBSTITUTE(SUBSTITUTE(TRIM(C649&amp;""),CHAR(160),"")," ",""),"년",""),""),"")</f>
      </c>
      <c r="P649" t="str">
        <f>SUBSTITUTE(SUBSTITUTE(SUBSTITUTE(SUBSTITUTE(SUBSTITUTE(SUBSTITUTE(SUBSTITUTE(SUBSTITUTE(TRIM(D649&amp;""),CHAR(160),"")," ",""),"초등학교","초"),"중학교","중"),"고등학교","고"),"~","~~"),"*","~*"),"?","~?")</f>
      </c>
      <c r="Q649" t="str">
        <f>SUBSTITUTE(SUBSTITUTE(SUBSTITUTE(SUBSTITUTE(SUBSTITUTE(SUBSTITUTE(SUBSTITUTE(SUBSTITUTE(TRIM(E649&amp;""),CHAR(160),"")," ",""),"초등학교","초"),"중학교","중"),"고등학교","고"),"~","~~"),"*","~*"),"?","~?")</f>
      </c>
      <c r="R649" t="str">
        <f>IF(COUNTA(B649:J649)=0,"",IF(AND(O649&lt;&gt;"",P649&lt;&gt;"",Q649&lt;&gt;""),"","입력누락"))</f>
      </c>
    </row>
    <row r="650" customFormat="false" ht="15" hidden="false" customHeight="false" outlineLevel="0" collapsed="false">
      <c r="A650" t="n" s="19">
        <f aca="0">IF(COUNTA(B650:J650)=0,"",ROW()-1)</f>
      </c>
      <c r="B650" s="24"/>
      <c r="C650" s="25"/>
      <c r="D650" s="8"/>
      <c r="E650" s="8"/>
      <c r="F650" s="26"/>
      <c r="G650" s="24"/>
      <c r="H650" s="25"/>
      <c r="I650" s="25"/>
      <c r="J650" s="26"/>
      <c r="K650" t="str" s="15">
        <f aca="0">IF(COUNTA(B650:J650)=0,"",IF(R650&lt;&gt;"","확인필요(입력누락)",IF(COUNTIFS(보유목록!$I$2:$I$3001,"*"&amp;P650&amp;"*",보유목록!$I$2:$I$3001,"*"&amp;Q650&amp;"*",보유목록!$H$2:$H$3001,O650)&gt;0,"있음",IF(COUNTIFS(보유목록!$I$2:$I$3001,"*"&amp;P650&amp;"*",보유목록!$I$2:$I$3001,"*"&amp;Q650&amp;"*")&gt;0,"확인필요(연도다름)",IF(COUNTIFS(보유목록!$I$2:$I$3001,"*"&amp;P650&amp;"*",보유목록!$H$2:$H$3001,O650)&gt;0,"확인필요(같은학교·같은연도)","없음")))))</f>
      </c>
      <c r="L650" t="str" s="16">
        <f aca="0">IF(OR(COUNTA(B650:J650)=0,R650&lt;&gt;""),"",COUNTIFS(보유목록!$I$2:$I$3001,"*"&amp;P650&amp;"*",보유목록!$I$2:$I$3001,"*"&amp;Q650&amp;"*"))</f>
      </c>
      <c r="M650" t="str" s="23">
        <f aca="0">IF(OR(COUNTA(B650:J650)=0,R650&lt;&gt;""),"",IFERROR(LOOKUP(2,1/(ISNUMBER(SEARCH(P650,보유목록!$I$2:$I$3001))*ISNUMBER(SEARCH(Q650,보유목록!$I$2:$I$3001))*(보유목록!$H$2:$H$3001=O650)),보유목록!$B$2:$B$3001),IFERROR(LOOKUP(2,1/(ISNUMBER(SEARCH(P650,보유목록!$I$2:$I$3001))*ISNUMBER(SEARCH(Q650,보유목록!$I$2:$I$3001))),보유목록!$B$2:$B$3001),"")))</f>
      </c>
      <c r="N650" s="25"/>
      <c r="O650" t="str">
        <f>IFERROR(IF(AND(LEN(SUBSTITUTE(SUBSTITUTE(SUBSTITUTE(TRIM(C650&amp;""),CHAR(160),"")," ",""),"년",""))=4,VALUE(SUBSTITUTE(SUBSTITUTE(SUBSTITUTE(TRIM(C650&amp;""),CHAR(160),"")," ",""),"년",""))&gt;=1900,VALUE(SUBSTITUTE(SUBSTITUTE(SUBSTITUTE(TRIM(C650&amp;""),CHAR(160),"")," ",""),"년",""))&lt;=2099,TEXT(VALUE(SUBSTITUTE(SUBSTITUTE(SUBSTITUTE(TRIM(C650&amp;""),CHAR(160),"")," ",""),"년","")),"0000")=SUBSTITUTE(SUBSTITUTE(SUBSTITUTE(TRIM(C650&amp;""),CHAR(160),"")," ",""),"년","")),SUBSTITUTE(SUBSTITUTE(SUBSTITUTE(TRIM(C650&amp;""),CHAR(160),"")," ",""),"년",""),""),"")</f>
      </c>
      <c r="P650" t="str">
        <f>SUBSTITUTE(SUBSTITUTE(SUBSTITUTE(SUBSTITUTE(SUBSTITUTE(SUBSTITUTE(SUBSTITUTE(SUBSTITUTE(TRIM(D650&amp;""),CHAR(160),"")," ",""),"초등학교","초"),"중학교","중"),"고등학교","고"),"~","~~"),"*","~*"),"?","~?")</f>
      </c>
      <c r="Q650" t="str">
        <f>SUBSTITUTE(SUBSTITUTE(SUBSTITUTE(SUBSTITUTE(SUBSTITUTE(SUBSTITUTE(SUBSTITUTE(SUBSTITUTE(TRIM(E650&amp;""),CHAR(160),"")," ",""),"초등학교","초"),"중학교","중"),"고등학교","고"),"~","~~"),"*","~*"),"?","~?")</f>
      </c>
      <c r="R650" t="str">
        <f>IF(COUNTA(B650:J650)=0,"",IF(AND(O650&lt;&gt;"",P650&lt;&gt;"",Q650&lt;&gt;""),"","입력누락"))</f>
      </c>
    </row>
    <row r="651" customFormat="false" ht="15" hidden="false" customHeight="false" outlineLevel="0" collapsed="false">
      <c r="A651" t="n" s="19">
        <f aca="0">IF(COUNTA(B651:J651)=0,"",ROW()-1)</f>
      </c>
      <c r="B651" s="24"/>
      <c r="C651" s="25"/>
      <c r="D651" s="8"/>
      <c r="E651" s="8"/>
      <c r="F651" s="26"/>
      <c r="G651" s="24"/>
      <c r="H651" s="25"/>
      <c r="I651" s="25"/>
      <c r="J651" s="26"/>
      <c r="K651" t="str" s="15">
        <f aca="0">IF(COUNTA(B651:J651)=0,"",IF(R651&lt;&gt;"","확인필요(입력누락)",IF(COUNTIFS(보유목록!$I$2:$I$3001,"*"&amp;P651&amp;"*",보유목록!$I$2:$I$3001,"*"&amp;Q651&amp;"*",보유목록!$H$2:$H$3001,O651)&gt;0,"있음",IF(COUNTIFS(보유목록!$I$2:$I$3001,"*"&amp;P651&amp;"*",보유목록!$I$2:$I$3001,"*"&amp;Q651&amp;"*")&gt;0,"확인필요(연도다름)",IF(COUNTIFS(보유목록!$I$2:$I$3001,"*"&amp;P651&amp;"*",보유목록!$H$2:$H$3001,O651)&gt;0,"확인필요(같은학교·같은연도)","없음")))))</f>
      </c>
      <c r="L651" t="str" s="16">
        <f aca="0">IF(OR(COUNTA(B651:J651)=0,R651&lt;&gt;""),"",COUNTIFS(보유목록!$I$2:$I$3001,"*"&amp;P651&amp;"*",보유목록!$I$2:$I$3001,"*"&amp;Q651&amp;"*"))</f>
      </c>
      <c r="M651" t="str" s="23">
        <f aca="0">IF(OR(COUNTA(B651:J651)=0,R651&lt;&gt;""),"",IFERROR(LOOKUP(2,1/(ISNUMBER(SEARCH(P651,보유목록!$I$2:$I$3001))*ISNUMBER(SEARCH(Q651,보유목록!$I$2:$I$3001))*(보유목록!$H$2:$H$3001=O651)),보유목록!$B$2:$B$3001),IFERROR(LOOKUP(2,1/(ISNUMBER(SEARCH(P651,보유목록!$I$2:$I$3001))*ISNUMBER(SEARCH(Q651,보유목록!$I$2:$I$3001))),보유목록!$B$2:$B$3001),"")))</f>
      </c>
      <c r="N651" s="25"/>
      <c r="O651" t="str">
        <f>IFERROR(IF(AND(LEN(SUBSTITUTE(SUBSTITUTE(SUBSTITUTE(TRIM(C651&amp;""),CHAR(160),"")," ",""),"년",""))=4,VALUE(SUBSTITUTE(SUBSTITUTE(SUBSTITUTE(TRIM(C651&amp;""),CHAR(160),"")," ",""),"년",""))&gt;=1900,VALUE(SUBSTITUTE(SUBSTITUTE(SUBSTITUTE(TRIM(C651&amp;""),CHAR(160),"")," ",""),"년",""))&lt;=2099,TEXT(VALUE(SUBSTITUTE(SUBSTITUTE(SUBSTITUTE(TRIM(C651&amp;""),CHAR(160),"")," ",""),"년","")),"0000")=SUBSTITUTE(SUBSTITUTE(SUBSTITUTE(TRIM(C651&amp;""),CHAR(160),"")," ",""),"년","")),SUBSTITUTE(SUBSTITUTE(SUBSTITUTE(TRIM(C651&amp;""),CHAR(160),"")," ",""),"년",""),""),"")</f>
      </c>
      <c r="P651" t="str">
        <f>SUBSTITUTE(SUBSTITUTE(SUBSTITUTE(SUBSTITUTE(SUBSTITUTE(SUBSTITUTE(SUBSTITUTE(SUBSTITUTE(TRIM(D651&amp;""),CHAR(160),"")," ",""),"초등학교","초"),"중학교","중"),"고등학교","고"),"~","~~"),"*","~*"),"?","~?")</f>
      </c>
      <c r="Q651" t="str">
        <f>SUBSTITUTE(SUBSTITUTE(SUBSTITUTE(SUBSTITUTE(SUBSTITUTE(SUBSTITUTE(SUBSTITUTE(SUBSTITUTE(TRIM(E651&amp;""),CHAR(160),"")," ",""),"초등학교","초"),"중학교","중"),"고등학교","고"),"~","~~"),"*","~*"),"?","~?")</f>
      </c>
      <c r="R651" t="str">
        <f>IF(COUNTA(B651:J651)=0,"",IF(AND(O651&lt;&gt;"",P651&lt;&gt;"",Q651&lt;&gt;""),"","입력누락"))</f>
      </c>
    </row>
    <row r="652" customFormat="false" ht="15" hidden="false" customHeight="false" outlineLevel="0" collapsed="false">
      <c r="A652" t="n" s="19">
        <f aca="0">IF(COUNTA(B652:J652)=0,"",ROW()-1)</f>
      </c>
      <c r="B652" s="24"/>
      <c r="C652" s="25"/>
      <c r="D652" s="8"/>
      <c r="E652" s="8"/>
      <c r="F652" s="26"/>
      <c r="G652" s="24"/>
      <c r="H652" s="25"/>
      <c r="I652" s="25"/>
      <c r="J652" s="26"/>
      <c r="K652" t="str" s="15">
        <f aca="0">IF(COUNTA(B652:J652)=0,"",IF(R652&lt;&gt;"","확인필요(입력누락)",IF(COUNTIFS(보유목록!$I$2:$I$3001,"*"&amp;P652&amp;"*",보유목록!$I$2:$I$3001,"*"&amp;Q652&amp;"*",보유목록!$H$2:$H$3001,O652)&gt;0,"있음",IF(COUNTIFS(보유목록!$I$2:$I$3001,"*"&amp;P652&amp;"*",보유목록!$I$2:$I$3001,"*"&amp;Q652&amp;"*")&gt;0,"확인필요(연도다름)",IF(COUNTIFS(보유목록!$I$2:$I$3001,"*"&amp;P652&amp;"*",보유목록!$H$2:$H$3001,O652)&gt;0,"확인필요(같은학교·같은연도)","없음")))))</f>
      </c>
      <c r="L652" t="str" s="16">
        <f aca="0">IF(OR(COUNTA(B652:J652)=0,R652&lt;&gt;""),"",COUNTIFS(보유목록!$I$2:$I$3001,"*"&amp;P652&amp;"*",보유목록!$I$2:$I$3001,"*"&amp;Q652&amp;"*"))</f>
      </c>
      <c r="M652" t="str" s="23">
        <f aca="0">IF(OR(COUNTA(B652:J652)=0,R652&lt;&gt;""),"",IFERROR(LOOKUP(2,1/(ISNUMBER(SEARCH(P652,보유목록!$I$2:$I$3001))*ISNUMBER(SEARCH(Q652,보유목록!$I$2:$I$3001))*(보유목록!$H$2:$H$3001=O652)),보유목록!$B$2:$B$3001),IFERROR(LOOKUP(2,1/(ISNUMBER(SEARCH(P652,보유목록!$I$2:$I$3001))*ISNUMBER(SEARCH(Q652,보유목록!$I$2:$I$3001))),보유목록!$B$2:$B$3001),"")))</f>
      </c>
      <c r="N652" s="25"/>
      <c r="O652" t="str">
        <f>IFERROR(IF(AND(LEN(SUBSTITUTE(SUBSTITUTE(SUBSTITUTE(TRIM(C652&amp;""),CHAR(160),"")," ",""),"년",""))=4,VALUE(SUBSTITUTE(SUBSTITUTE(SUBSTITUTE(TRIM(C652&amp;""),CHAR(160),"")," ",""),"년",""))&gt;=1900,VALUE(SUBSTITUTE(SUBSTITUTE(SUBSTITUTE(TRIM(C652&amp;""),CHAR(160),"")," ",""),"년",""))&lt;=2099,TEXT(VALUE(SUBSTITUTE(SUBSTITUTE(SUBSTITUTE(TRIM(C652&amp;""),CHAR(160),"")," ",""),"년","")),"0000")=SUBSTITUTE(SUBSTITUTE(SUBSTITUTE(TRIM(C652&amp;""),CHAR(160),"")," ",""),"년","")),SUBSTITUTE(SUBSTITUTE(SUBSTITUTE(TRIM(C652&amp;""),CHAR(160),"")," ",""),"년",""),""),"")</f>
      </c>
      <c r="P652" t="str">
        <f>SUBSTITUTE(SUBSTITUTE(SUBSTITUTE(SUBSTITUTE(SUBSTITUTE(SUBSTITUTE(SUBSTITUTE(SUBSTITUTE(TRIM(D652&amp;""),CHAR(160),"")," ",""),"초등학교","초"),"중학교","중"),"고등학교","고"),"~","~~"),"*","~*"),"?","~?")</f>
      </c>
      <c r="Q652" t="str">
        <f>SUBSTITUTE(SUBSTITUTE(SUBSTITUTE(SUBSTITUTE(SUBSTITUTE(SUBSTITUTE(SUBSTITUTE(SUBSTITUTE(TRIM(E652&amp;""),CHAR(160),"")," ",""),"초등학교","초"),"중학교","중"),"고등학교","고"),"~","~~"),"*","~*"),"?","~?")</f>
      </c>
      <c r="R652" t="str">
        <f>IF(COUNTA(B652:J652)=0,"",IF(AND(O652&lt;&gt;"",P652&lt;&gt;"",Q652&lt;&gt;""),"","입력누락"))</f>
      </c>
    </row>
    <row r="653" customFormat="false" ht="15" hidden="false" customHeight="false" outlineLevel="0" collapsed="false">
      <c r="A653" t="n" s="19">
        <f aca="0">IF(COUNTA(B653:J653)=0,"",ROW()-1)</f>
      </c>
      <c r="B653" s="24"/>
      <c r="C653" s="25"/>
      <c r="D653" s="8"/>
      <c r="E653" s="8"/>
      <c r="F653" s="26"/>
      <c r="G653" s="24"/>
      <c r="H653" s="25"/>
      <c r="I653" s="25"/>
      <c r="J653" s="26"/>
      <c r="K653" t="str" s="15">
        <f aca="0">IF(COUNTA(B653:J653)=0,"",IF(R653&lt;&gt;"","확인필요(입력누락)",IF(COUNTIFS(보유목록!$I$2:$I$3001,"*"&amp;P653&amp;"*",보유목록!$I$2:$I$3001,"*"&amp;Q653&amp;"*",보유목록!$H$2:$H$3001,O653)&gt;0,"있음",IF(COUNTIFS(보유목록!$I$2:$I$3001,"*"&amp;P653&amp;"*",보유목록!$I$2:$I$3001,"*"&amp;Q653&amp;"*")&gt;0,"확인필요(연도다름)",IF(COUNTIFS(보유목록!$I$2:$I$3001,"*"&amp;P653&amp;"*",보유목록!$H$2:$H$3001,O653)&gt;0,"확인필요(같은학교·같은연도)","없음")))))</f>
      </c>
      <c r="L653" t="str" s="16">
        <f aca="0">IF(OR(COUNTA(B653:J653)=0,R653&lt;&gt;""),"",COUNTIFS(보유목록!$I$2:$I$3001,"*"&amp;P653&amp;"*",보유목록!$I$2:$I$3001,"*"&amp;Q653&amp;"*"))</f>
      </c>
      <c r="M653" t="str" s="23">
        <f aca="0">IF(OR(COUNTA(B653:J653)=0,R653&lt;&gt;""),"",IFERROR(LOOKUP(2,1/(ISNUMBER(SEARCH(P653,보유목록!$I$2:$I$3001))*ISNUMBER(SEARCH(Q653,보유목록!$I$2:$I$3001))*(보유목록!$H$2:$H$3001=O653)),보유목록!$B$2:$B$3001),IFERROR(LOOKUP(2,1/(ISNUMBER(SEARCH(P653,보유목록!$I$2:$I$3001))*ISNUMBER(SEARCH(Q653,보유목록!$I$2:$I$3001))),보유목록!$B$2:$B$3001),"")))</f>
      </c>
      <c r="N653" s="25"/>
      <c r="O653" t="str">
        <f>IFERROR(IF(AND(LEN(SUBSTITUTE(SUBSTITUTE(SUBSTITUTE(TRIM(C653&amp;""),CHAR(160),"")," ",""),"년",""))=4,VALUE(SUBSTITUTE(SUBSTITUTE(SUBSTITUTE(TRIM(C653&amp;""),CHAR(160),"")," ",""),"년",""))&gt;=1900,VALUE(SUBSTITUTE(SUBSTITUTE(SUBSTITUTE(TRIM(C653&amp;""),CHAR(160),"")," ",""),"년",""))&lt;=2099,TEXT(VALUE(SUBSTITUTE(SUBSTITUTE(SUBSTITUTE(TRIM(C653&amp;""),CHAR(160),"")," ",""),"년","")),"0000")=SUBSTITUTE(SUBSTITUTE(SUBSTITUTE(TRIM(C653&amp;""),CHAR(160),"")," ",""),"년","")),SUBSTITUTE(SUBSTITUTE(SUBSTITUTE(TRIM(C653&amp;""),CHAR(160),"")," ",""),"년",""),""),"")</f>
      </c>
      <c r="P653" t="str">
        <f>SUBSTITUTE(SUBSTITUTE(SUBSTITUTE(SUBSTITUTE(SUBSTITUTE(SUBSTITUTE(SUBSTITUTE(SUBSTITUTE(TRIM(D653&amp;""),CHAR(160),"")," ",""),"초등학교","초"),"중학교","중"),"고등학교","고"),"~","~~"),"*","~*"),"?","~?")</f>
      </c>
      <c r="Q653" t="str">
        <f>SUBSTITUTE(SUBSTITUTE(SUBSTITUTE(SUBSTITUTE(SUBSTITUTE(SUBSTITUTE(SUBSTITUTE(SUBSTITUTE(TRIM(E653&amp;""),CHAR(160),"")," ",""),"초등학교","초"),"중학교","중"),"고등학교","고"),"~","~~"),"*","~*"),"?","~?")</f>
      </c>
      <c r="R653" t="str">
        <f>IF(COUNTA(B653:J653)=0,"",IF(AND(O653&lt;&gt;"",P653&lt;&gt;"",Q653&lt;&gt;""),"","입력누락"))</f>
      </c>
    </row>
    <row r="654" customFormat="false" ht="15" hidden="false" customHeight="false" outlineLevel="0" collapsed="false">
      <c r="A654" t="n" s="19">
        <f aca="0">IF(COUNTA(B654:J654)=0,"",ROW()-1)</f>
      </c>
      <c r="B654" s="24"/>
      <c r="C654" s="25"/>
      <c r="D654" s="8"/>
      <c r="E654" s="8"/>
      <c r="F654" s="26"/>
      <c r="G654" s="24"/>
      <c r="H654" s="25"/>
      <c r="I654" s="25"/>
      <c r="J654" s="26"/>
      <c r="K654" t="str" s="15">
        <f aca="0">IF(COUNTA(B654:J654)=0,"",IF(R654&lt;&gt;"","확인필요(입력누락)",IF(COUNTIFS(보유목록!$I$2:$I$3001,"*"&amp;P654&amp;"*",보유목록!$I$2:$I$3001,"*"&amp;Q654&amp;"*",보유목록!$H$2:$H$3001,O654)&gt;0,"있음",IF(COUNTIFS(보유목록!$I$2:$I$3001,"*"&amp;P654&amp;"*",보유목록!$I$2:$I$3001,"*"&amp;Q654&amp;"*")&gt;0,"확인필요(연도다름)",IF(COUNTIFS(보유목록!$I$2:$I$3001,"*"&amp;P654&amp;"*",보유목록!$H$2:$H$3001,O654)&gt;0,"확인필요(같은학교·같은연도)","없음")))))</f>
      </c>
      <c r="L654" t="str" s="16">
        <f aca="0">IF(OR(COUNTA(B654:J654)=0,R654&lt;&gt;""),"",COUNTIFS(보유목록!$I$2:$I$3001,"*"&amp;P654&amp;"*",보유목록!$I$2:$I$3001,"*"&amp;Q654&amp;"*"))</f>
      </c>
      <c r="M654" t="str" s="23">
        <f aca="0">IF(OR(COUNTA(B654:J654)=0,R654&lt;&gt;""),"",IFERROR(LOOKUP(2,1/(ISNUMBER(SEARCH(P654,보유목록!$I$2:$I$3001))*ISNUMBER(SEARCH(Q654,보유목록!$I$2:$I$3001))*(보유목록!$H$2:$H$3001=O654)),보유목록!$B$2:$B$3001),IFERROR(LOOKUP(2,1/(ISNUMBER(SEARCH(P654,보유목록!$I$2:$I$3001))*ISNUMBER(SEARCH(Q654,보유목록!$I$2:$I$3001))),보유목록!$B$2:$B$3001),"")))</f>
      </c>
      <c r="N654" s="25"/>
      <c r="O654" t="str">
        <f>IFERROR(IF(AND(LEN(SUBSTITUTE(SUBSTITUTE(SUBSTITUTE(TRIM(C654&amp;""),CHAR(160),"")," ",""),"년",""))=4,VALUE(SUBSTITUTE(SUBSTITUTE(SUBSTITUTE(TRIM(C654&amp;""),CHAR(160),"")," ",""),"년",""))&gt;=1900,VALUE(SUBSTITUTE(SUBSTITUTE(SUBSTITUTE(TRIM(C654&amp;""),CHAR(160),"")," ",""),"년",""))&lt;=2099,TEXT(VALUE(SUBSTITUTE(SUBSTITUTE(SUBSTITUTE(TRIM(C654&amp;""),CHAR(160),"")," ",""),"년","")),"0000")=SUBSTITUTE(SUBSTITUTE(SUBSTITUTE(TRIM(C654&amp;""),CHAR(160),"")," ",""),"년","")),SUBSTITUTE(SUBSTITUTE(SUBSTITUTE(TRIM(C654&amp;""),CHAR(160),"")," ",""),"년",""),""),"")</f>
      </c>
      <c r="P654" t="str">
        <f>SUBSTITUTE(SUBSTITUTE(SUBSTITUTE(SUBSTITUTE(SUBSTITUTE(SUBSTITUTE(SUBSTITUTE(SUBSTITUTE(TRIM(D654&amp;""),CHAR(160),"")," ",""),"초등학교","초"),"중학교","중"),"고등학교","고"),"~","~~"),"*","~*"),"?","~?")</f>
      </c>
      <c r="Q654" t="str">
        <f>SUBSTITUTE(SUBSTITUTE(SUBSTITUTE(SUBSTITUTE(SUBSTITUTE(SUBSTITUTE(SUBSTITUTE(SUBSTITUTE(TRIM(E654&amp;""),CHAR(160),"")," ",""),"초등학교","초"),"중학교","중"),"고등학교","고"),"~","~~"),"*","~*"),"?","~?")</f>
      </c>
      <c r="R654" t="str">
        <f>IF(COUNTA(B654:J654)=0,"",IF(AND(O654&lt;&gt;"",P654&lt;&gt;"",Q654&lt;&gt;""),"","입력누락"))</f>
      </c>
    </row>
    <row r="655" customFormat="false" ht="15" hidden="false" customHeight="false" outlineLevel="0" collapsed="false">
      <c r="A655" t="n" s="19">
        <f aca="0">IF(COUNTA(B655:J655)=0,"",ROW()-1)</f>
      </c>
      <c r="B655" s="24"/>
      <c r="C655" s="25"/>
      <c r="D655" s="8"/>
      <c r="E655" s="8"/>
      <c r="F655" s="26"/>
      <c r="G655" s="24"/>
      <c r="H655" s="25"/>
      <c r="I655" s="25"/>
      <c r="J655" s="26"/>
      <c r="K655" t="str" s="15">
        <f aca="0">IF(COUNTA(B655:J655)=0,"",IF(R655&lt;&gt;"","확인필요(입력누락)",IF(COUNTIFS(보유목록!$I$2:$I$3001,"*"&amp;P655&amp;"*",보유목록!$I$2:$I$3001,"*"&amp;Q655&amp;"*",보유목록!$H$2:$H$3001,O655)&gt;0,"있음",IF(COUNTIFS(보유목록!$I$2:$I$3001,"*"&amp;P655&amp;"*",보유목록!$I$2:$I$3001,"*"&amp;Q655&amp;"*")&gt;0,"확인필요(연도다름)",IF(COUNTIFS(보유목록!$I$2:$I$3001,"*"&amp;P655&amp;"*",보유목록!$H$2:$H$3001,O655)&gt;0,"확인필요(같은학교·같은연도)","없음")))))</f>
      </c>
      <c r="L655" t="str" s="16">
        <f aca="0">IF(OR(COUNTA(B655:J655)=0,R655&lt;&gt;""),"",COUNTIFS(보유목록!$I$2:$I$3001,"*"&amp;P655&amp;"*",보유목록!$I$2:$I$3001,"*"&amp;Q655&amp;"*"))</f>
      </c>
      <c r="M655" t="str" s="23">
        <f aca="0">IF(OR(COUNTA(B655:J655)=0,R655&lt;&gt;""),"",IFERROR(LOOKUP(2,1/(ISNUMBER(SEARCH(P655,보유목록!$I$2:$I$3001))*ISNUMBER(SEARCH(Q655,보유목록!$I$2:$I$3001))*(보유목록!$H$2:$H$3001=O655)),보유목록!$B$2:$B$3001),IFERROR(LOOKUP(2,1/(ISNUMBER(SEARCH(P655,보유목록!$I$2:$I$3001))*ISNUMBER(SEARCH(Q655,보유목록!$I$2:$I$3001))),보유목록!$B$2:$B$3001),"")))</f>
      </c>
      <c r="N655" s="25"/>
      <c r="O655" t="str">
        <f>IFERROR(IF(AND(LEN(SUBSTITUTE(SUBSTITUTE(SUBSTITUTE(TRIM(C655&amp;""),CHAR(160),"")," ",""),"년",""))=4,VALUE(SUBSTITUTE(SUBSTITUTE(SUBSTITUTE(TRIM(C655&amp;""),CHAR(160),"")," ",""),"년",""))&gt;=1900,VALUE(SUBSTITUTE(SUBSTITUTE(SUBSTITUTE(TRIM(C655&amp;""),CHAR(160),"")," ",""),"년",""))&lt;=2099,TEXT(VALUE(SUBSTITUTE(SUBSTITUTE(SUBSTITUTE(TRIM(C655&amp;""),CHAR(160),"")," ",""),"년","")),"0000")=SUBSTITUTE(SUBSTITUTE(SUBSTITUTE(TRIM(C655&amp;""),CHAR(160),"")," ",""),"년","")),SUBSTITUTE(SUBSTITUTE(SUBSTITUTE(TRIM(C655&amp;""),CHAR(160),"")," ",""),"년",""),""),"")</f>
      </c>
      <c r="P655" t="str">
        <f>SUBSTITUTE(SUBSTITUTE(SUBSTITUTE(SUBSTITUTE(SUBSTITUTE(SUBSTITUTE(SUBSTITUTE(SUBSTITUTE(TRIM(D655&amp;""),CHAR(160),"")," ",""),"초등학교","초"),"중학교","중"),"고등학교","고"),"~","~~"),"*","~*"),"?","~?")</f>
      </c>
      <c r="Q655" t="str">
        <f>SUBSTITUTE(SUBSTITUTE(SUBSTITUTE(SUBSTITUTE(SUBSTITUTE(SUBSTITUTE(SUBSTITUTE(SUBSTITUTE(TRIM(E655&amp;""),CHAR(160),"")," ",""),"초등학교","초"),"중학교","중"),"고등학교","고"),"~","~~"),"*","~*"),"?","~?")</f>
      </c>
      <c r="R655" t="str">
        <f>IF(COUNTA(B655:J655)=0,"",IF(AND(O655&lt;&gt;"",P655&lt;&gt;"",Q655&lt;&gt;""),"","입력누락"))</f>
      </c>
    </row>
    <row r="656" customFormat="false" ht="15" hidden="false" customHeight="false" outlineLevel="0" collapsed="false">
      <c r="A656" t="n" s="19">
        <f aca="0">IF(COUNTA(B656:J656)=0,"",ROW()-1)</f>
      </c>
      <c r="B656" s="24"/>
      <c r="C656" s="25"/>
      <c r="D656" s="8"/>
      <c r="E656" s="8"/>
      <c r="F656" s="26"/>
      <c r="G656" s="24"/>
      <c r="H656" s="25"/>
      <c r="I656" s="25"/>
      <c r="J656" s="26"/>
      <c r="K656" t="str" s="15">
        <f aca="0">IF(COUNTA(B656:J656)=0,"",IF(R656&lt;&gt;"","확인필요(입력누락)",IF(COUNTIFS(보유목록!$I$2:$I$3001,"*"&amp;P656&amp;"*",보유목록!$I$2:$I$3001,"*"&amp;Q656&amp;"*",보유목록!$H$2:$H$3001,O656)&gt;0,"있음",IF(COUNTIFS(보유목록!$I$2:$I$3001,"*"&amp;P656&amp;"*",보유목록!$I$2:$I$3001,"*"&amp;Q656&amp;"*")&gt;0,"확인필요(연도다름)",IF(COUNTIFS(보유목록!$I$2:$I$3001,"*"&amp;P656&amp;"*",보유목록!$H$2:$H$3001,O656)&gt;0,"확인필요(같은학교·같은연도)","없음")))))</f>
      </c>
      <c r="L656" t="str" s="16">
        <f aca="0">IF(OR(COUNTA(B656:J656)=0,R656&lt;&gt;""),"",COUNTIFS(보유목록!$I$2:$I$3001,"*"&amp;P656&amp;"*",보유목록!$I$2:$I$3001,"*"&amp;Q656&amp;"*"))</f>
      </c>
      <c r="M656" t="str" s="23">
        <f aca="0">IF(OR(COUNTA(B656:J656)=0,R656&lt;&gt;""),"",IFERROR(LOOKUP(2,1/(ISNUMBER(SEARCH(P656,보유목록!$I$2:$I$3001))*ISNUMBER(SEARCH(Q656,보유목록!$I$2:$I$3001))*(보유목록!$H$2:$H$3001=O656)),보유목록!$B$2:$B$3001),IFERROR(LOOKUP(2,1/(ISNUMBER(SEARCH(P656,보유목록!$I$2:$I$3001))*ISNUMBER(SEARCH(Q656,보유목록!$I$2:$I$3001))),보유목록!$B$2:$B$3001),"")))</f>
      </c>
      <c r="N656" s="25"/>
      <c r="O656" t="str">
        <f>IFERROR(IF(AND(LEN(SUBSTITUTE(SUBSTITUTE(SUBSTITUTE(TRIM(C656&amp;""),CHAR(160),"")," ",""),"년",""))=4,VALUE(SUBSTITUTE(SUBSTITUTE(SUBSTITUTE(TRIM(C656&amp;""),CHAR(160),"")," ",""),"년",""))&gt;=1900,VALUE(SUBSTITUTE(SUBSTITUTE(SUBSTITUTE(TRIM(C656&amp;""),CHAR(160),"")," ",""),"년",""))&lt;=2099,TEXT(VALUE(SUBSTITUTE(SUBSTITUTE(SUBSTITUTE(TRIM(C656&amp;""),CHAR(160),"")," ",""),"년","")),"0000")=SUBSTITUTE(SUBSTITUTE(SUBSTITUTE(TRIM(C656&amp;""),CHAR(160),"")," ",""),"년","")),SUBSTITUTE(SUBSTITUTE(SUBSTITUTE(TRIM(C656&amp;""),CHAR(160),"")," ",""),"년",""),""),"")</f>
      </c>
      <c r="P656" t="str">
        <f>SUBSTITUTE(SUBSTITUTE(SUBSTITUTE(SUBSTITUTE(SUBSTITUTE(SUBSTITUTE(SUBSTITUTE(SUBSTITUTE(TRIM(D656&amp;""),CHAR(160),"")," ",""),"초등학교","초"),"중학교","중"),"고등학교","고"),"~","~~"),"*","~*"),"?","~?")</f>
      </c>
      <c r="Q656" t="str">
        <f>SUBSTITUTE(SUBSTITUTE(SUBSTITUTE(SUBSTITUTE(SUBSTITUTE(SUBSTITUTE(SUBSTITUTE(SUBSTITUTE(TRIM(E656&amp;""),CHAR(160),"")," ",""),"초등학교","초"),"중학교","중"),"고등학교","고"),"~","~~"),"*","~*"),"?","~?")</f>
      </c>
      <c r="R656" t="str">
        <f>IF(COUNTA(B656:J656)=0,"",IF(AND(O656&lt;&gt;"",P656&lt;&gt;"",Q656&lt;&gt;""),"","입력누락"))</f>
      </c>
    </row>
    <row r="657" customFormat="false" ht="15" hidden="false" customHeight="false" outlineLevel="0" collapsed="false">
      <c r="A657" t="n" s="19">
        <f aca="0">IF(COUNTA(B657:J657)=0,"",ROW()-1)</f>
      </c>
      <c r="B657" s="24"/>
      <c r="C657" s="25"/>
      <c r="D657" s="8"/>
      <c r="E657" s="8"/>
      <c r="F657" s="26"/>
      <c r="G657" s="24"/>
      <c r="H657" s="25"/>
      <c r="I657" s="25"/>
      <c r="J657" s="26"/>
      <c r="K657" t="str" s="15">
        <f aca="0">IF(COUNTA(B657:J657)=0,"",IF(R657&lt;&gt;"","확인필요(입력누락)",IF(COUNTIFS(보유목록!$I$2:$I$3001,"*"&amp;P657&amp;"*",보유목록!$I$2:$I$3001,"*"&amp;Q657&amp;"*",보유목록!$H$2:$H$3001,O657)&gt;0,"있음",IF(COUNTIFS(보유목록!$I$2:$I$3001,"*"&amp;P657&amp;"*",보유목록!$I$2:$I$3001,"*"&amp;Q657&amp;"*")&gt;0,"확인필요(연도다름)",IF(COUNTIFS(보유목록!$I$2:$I$3001,"*"&amp;P657&amp;"*",보유목록!$H$2:$H$3001,O657)&gt;0,"확인필요(같은학교·같은연도)","없음")))))</f>
      </c>
      <c r="L657" t="str" s="16">
        <f aca="0">IF(OR(COUNTA(B657:J657)=0,R657&lt;&gt;""),"",COUNTIFS(보유목록!$I$2:$I$3001,"*"&amp;P657&amp;"*",보유목록!$I$2:$I$3001,"*"&amp;Q657&amp;"*"))</f>
      </c>
      <c r="M657" t="str" s="23">
        <f aca="0">IF(OR(COUNTA(B657:J657)=0,R657&lt;&gt;""),"",IFERROR(LOOKUP(2,1/(ISNUMBER(SEARCH(P657,보유목록!$I$2:$I$3001))*ISNUMBER(SEARCH(Q657,보유목록!$I$2:$I$3001))*(보유목록!$H$2:$H$3001=O657)),보유목록!$B$2:$B$3001),IFERROR(LOOKUP(2,1/(ISNUMBER(SEARCH(P657,보유목록!$I$2:$I$3001))*ISNUMBER(SEARCH(Q657,보유목록!$I$2:$I$3001))),보유목록!$B$2:$B$3001),"")))</f>
      </c>
      <c r="N657" s="25"/>
      <c r="O657" t="str">
        <f>IFERROR(IF(AND(LEN(SUBSTITUTE(SUBSTITUTE(SUBSTITUTE(TRIM(C657&amp;""),CHAR(160),"")," ",""),"년",""))=4,VALUE(SUBSTITUTE(SUBSTITUTE(SUBSTITUTE(TRIM(C657&amp;""),CHAR(160),"")," ",""),"년",""))&gt;=1900,VALUE(SUBSTITUTE(SUBSTITUTE(SUBSTITUTE(TRIM(C657&amp;""),CHAR(160),"")," ",""),"년",""))&lt;=2099,TEXT(VALUE(SUBSTITUTE(SUBSTITUTE(SUBSTITUTE(TRIM(C657&amp;""),CHAR(160),"")," ",""),"년","")),"0000")=SUBSTITUTE(SUBSTITUTE(SUBSTITUTE(TRIM(C657&amp;""),CHAR(160),"")," ",""),"년","")),SUBSTITUTE(SUBSTITUTE(SUBSTITUTE(TRIM(C657&amp;""),CHAR(160),"")," ",""),"년",""),""),"")</f>
      </c>
      <c r="P657" t="str">
        <f>SUBSTITUTE(SUBSTITUTE(SUBSTITUTE(SUBSTITUTE(SUBSTITUTE(SUBSTITUTE(SUBSTITUTE(SUBSTITUTE(TRIM(D657&amp;""),CHAR(160),"")," ",""),"초등학교","초"),"중학교","중"),"고등학교","고"),"~","~~"),"*","~*"),"?","~?")</f>
      </c>
      <c r="Q657" t="str">
        <f>SUBSTITUTE(SUBSTITUTE(SUBSTITUTE(SUBSTITUTE(SUBSTITUTE(SUBSTITUTE(SUBSTITUTE(SUBSTITUTE(TRIM(E657&amp;""),CHAR(160),"")," ",""),"초등학교","초"),"중학교","중"),"고등학교","고"),"~","~~"),"*","~*"),"?","~?")</f>
      </c>
      <c r="R657" t="str">
        <f>IF(COUNTA(B657:J657)=0,"",IF(AND(O657&lt;&gt;"",P657&lt;&gt;"",Q657&lt;&gt;""),"","입력누락"))</f>
      </c>
    </row>
    <row r="658" customFormat="false" ht="15" hidden="false" customHeight="false" outlineLevel="0" collapsed="false">
      <c r="A658" t="n" s="19">
        <f aca="0">IF(COUNTA(B658:J658)=0,"",ROW()-1)</f>
      </c>
      <c r="B658" s="24"/>
      <c r="C658" s="25"/>
      <c r="D658" s="8"/>
      <c r="E658" s="8"/>
      <c r="F658" s="26"/>
      <c r="G658" s="24"/>
      <c r="H658" s="25"/>
      <c r="I658" s="25"/>
      <c r="J658" s="26"/>
      <c r="K658" t="str" s="15">
        <f aca="0">IF(COUNTA(B658:J658)=0,"",IF(R658&lt;&gt;"","확인필요(입력누락)",IF(COUNTIFS(보유목록!$I$2:$I$3001,"*"&amp;P658&amp;"*",보유목록!$I$2:$I$3001,"*"&amp;Q658&amp;"*",보유목록!$H$2:$H$3001,O658)&gt;0,"있음",IF(COUNTIFS(보유목록!$I$2:$I$3001,"*"&amp;P658&amp;"*",보유목록!$I$2:$I$3001,"*"&amp;Q658&amp;"*")&gt;0,"확인필요(연도다름)",IF(COUNTIFS(보유목록!$I$2:$I$3001,"*"&amp;P658&amp;"*",보유목록!$H$2:$H$3001,O658)&gt;0,"확인필요(같은학교·같은연도)","없음")))))</f>
      </c>
      <c r="L658" t="str" s="16">
        <f aca="0">IF(OR(COUNTA(B658:J658)=0,R658&lt;&gt;""),"",COUNTIFS(보유목록!$I$2:$I$3001,"*"&amp;P658&amp;"*",보유목록!$I$2:$I$3001,"*"&amp;Q658&amp;"*"))</f>
      </c>
      <c r="M658" t="str" s="23">
        <f aca="0">IF(OR(COUNTA(B658:J658)=0,R658&lt;&gt;""),"",IFERROR(LOOKUP(2,1/(ISNUMBER(SEARCH(P658,보유목록!$I$2:$I$3001))*ISNUMBER(SEARCH(Q658,보유목록!$I$2:$I$3001))*(보유목록!$H$2:$H$3001=O658)),보유목록!$B$2:$B$3001),IFERROR(LOOKUP(2,1/(ISNUMBER(SEARCH(P658,보유목록!$I$2:$I$3001))*ISNUMBER(SEARCH(Q658,보유목록!$I$2:$I$3001))),보유목록!$B$2:$B$3001),"")))</f>
      </c>
      <c r="N658" s="25"/>
      <c r="O658" t="str">
        <f>IFERROR(IF(AND(LEN(SUBSTITUTE(SUBSTITUTE(SUBSTITUTE(TRIM(C658&amp;""),CHAR(160),"")," ",""),"년",""))=4,VALUE(SUBSTITUTE(SUBSTITUTE(SUBSTITUTE(TRIM(C658&amp;""),CHAR(160),"")," ",""),"년",""))&gt;=1900,VALUE(SUBSTITUTE(SUBSTITUTE(SUBSTITUTE(TRIM(C658&amp;""),CHAR(160),"")," ",""),"년",""))&lt;=2099,TEXT(VALUE(SUBSTITUTE(SUBSTITUTE(SUBSTITUTE(TRIM(C658&amp;""),CHAR(160),"")," ",""),"년","")),"0000")=SUBSTITUTE(SUBSTITUTE(SUBSTITUTE(TRIM(C658&amp;""),CHAR(160),"")," ",""),"년","")),SUBSTITUTE(SUBSTITUTE(SUBSTITUTE(TRIM(C658&amp;""),CHAR(160),"")," ",""),"년",""),""),"")</f>
      </c>
      <c r="P658" t="str">
        <f>SUBSTITUTE(SUBSTITUTE(SUBSTITUTE(SUBSTITUTE(SUBSTITUTE(SUBSTITUTE(SUBSTITUTE(SUBSTITUTE(TRIM(D658&amp;""),CHAR(160),"")," ",""),"초등학교","초"),"중학교","중"),"고등학교","고"),"~","~~"),"*","~*"),"?","~?")</f>
      </c>
      <c r="Q658" t="str">
        <f>SUBSTITUTE(SUBSTITUTE(SUBSTITUTE(SUBSTITUTE(SUBSTITUTE(SUBSTITUTE(SUBSTITUTE(SUBSTITUTE(TRIM(E658&amp;""),CHAR(160),"")," ",""),"초등학교","초"),"중학교","중"),"고등학교","고"),"~","~~"),"*","~*"),"?","~?")</f>
      </c>
      <c r="R658" t="str">
        <f>IF(COUNTA(B658:J658)=0,"",IF(AND(O658&lt;&gt;"",P658&lt;&gt;"",Q658&lt;&gt;""),"","입력누락"))</f>
      </c>
    </row>
    <row r="659" customFormat="false" ht="15" hidden="false" customHeight="false" outlineLevel="0" collapsed="false">
      <c r="A659" t="n" s="19">
        <f aca="0">IF(COUNTA(B659:J659)=0,"",ROW()-1)</f>
      </c>
      <c r="B659" s="24"/>
      <c r="C659" s="25"/>
      <c r="D659" s="8"/>
      <c r="E659" s="8"/>
      <c r="F659" s="26"/>
      <c r="G659" s="24"/>
      <c r="H659" s="25"/>
      <c r="I659" s="25"/>
      <c r="J659" s="26"/>
      <c r="K659" t="str" s="15">
        <f aca="0">IF(COUNTA(B659:J659)=0,"",IF(R659&lt;&gt;"","확인필요(입력누락)",IF(COUNTIFS(보유목록!$I$2:$I$3001,"*"&amp;P659&amp;"*",보유목록!$I$2:$I$3001,"*"&amp;Q659&amp;"*",보유목록!$H$2:$H$3001,O659)&gt;0,"있음",IF(COUNTIFS(보유목록!$I$2:$I$3001,"*"&amp;P659&amp;"*",보유목록!$I$2:$I$3001,"*"&amp;Q659&amp;"*")&gt;0,"확인필요(연도다름)",IF(COUNTIFS(보유목록!$I$2:$I$3001,"*"&amp;P659&amp;"*",보유목록!$H$2:$H$3001,O659)&gt;0,"확인필요(같은학교·같은연도)","없음")))))</f>
      </c>
      <c r="L659" t="str" s="16">
        <f aca="0">IF(OR(COUNTA(B659:J659)=0,R659&lt;&gt;""),"",COUNTIFS(보유목록!$I$2:$I$3001,"*"&amp;P659&amp;"*",보유목록!$I$2:$I$3001,"*"&amp;Q659&amp;"*"))</f>
      </c>
      <c r="M659" t="str" s="23">
        <f aca="0">IF(OR(COUNTA(B659:J659)=0,R659&lt;&gt;""),"",IFERROR(LOOKUP(2,1/(ISNUMBER(SEARCH(P659,보유목록!$I$2:$I$3001))*ISNUMBER(SEARCH(Q659,보유목록!$I$2:$I$3001))*(보유목록!$H$2:$H$3001=O659)),보유목록!$B$2:$B$3001),IFERROR(LOOKUP(2,1/(ISNUMBER(SEARCH(P659,보유목록!$I$2:$I$3001))*ISNUMBER(SEARCH(Q659,보유목록!$I$2:$I$3001))),보유목록!$B$2:$B$3001),"")))</f>
      </c>
      <c r="N659" s="25"/>
      <c r="O659" t="str">
        <f>IFERROR(IF(AND(LEN(SUBSTITUTE(SUBSTITUTE(SUBSTITUTE(TRIM(C659&amp;""),CHAR(160),"")," ",""),"년",""))=4,VALUE(SUBSTITUTE(SUBSTITUTE(SUBSTITUTE(TRIM(C659&amp;""),CHAR(160),"")," ",""),"년",""))&gt;=1900,VALUE(SUBSTITUTE(SUBSTITUTE(SUBSTITUTE(TRIM(C659&amp;""),CHAR(160),"")," ",""),"년",""))&lt;=2099,TEXT(VALUE(SUBSTITUTE(SUBSTITUTE(SUBSTITUTE(TRIM(C659&amp;""),CHAR(160),"")," ",""),"년","")),"0000")=SUBSTITUTE(SUBSTITUTE(SUBSTITUTE(TRIM(C659&amp;""),CHAR(160),"")," ",""),"년","")),SUBSTITUTE(SUBSTITUTE(SUBSTITUTE(TRIM(C659&amp;""),CHAR(160),"")," ",""),"년",""),""),"")</f>
      </c>
      <c r="P659" t="str">
        <f>SUBSTITUTE(SUBSTITUTE(SUBSTITUTE(SUBSTITUTE(SUBSTITUTE(SUBSTITUTE(SUBSTITUTE(SUBSTITUTE(TRIM(D659&amp;""),CHAR(160),"")," ",""),"초등학교","초"),"중학교","중"),"고등학교","고"),"~","~~"),"*","~*"),"?","~?")</f>
      </c>
      <c r="Q659" t="str">
        <f>SUBSTITUTE(SUBSTITUTE(SUBSTITUTE(SUBSTITUTE(SUBSTITUTE(SUBSTITUTE(SUBSTITUTE(SUBSTITUTE(TRIM(E659&amp;""),CHAR(160),"")," ",""),"초등학교","초"),"중학교","중"),"고등학교","고"),"~","~~"),"*","~*"),"?","~?")</f>
      </c>
      <c r="R659" t="str">
        <f>IF(COUNTA(B659:J659)=0,"",IF(AND(O659&lt;&gt;"",P659&lt;&gt;"",Q659&lt;&gt;""),"","입력누락"))</f>
      </c>
    </row>
    <row r="660" customFormat="false" ht="15" hidden="false" customHeight="false" outlineLevel="0" collapsed="false">
      <c r="A660" t="n" s="19">
        <f aca="0">IF(COUNTA(B660:J660)=0,"",ROW()-1)</f>
      </c>
      <c r="B660" s="24"/>
      <c r="C660" s="25"/>
      <c r="D660" s="8"/>
      <c r="E660" s="8"/>
      <c r="F660" s="26"/>
      <c r="G660" s="24"/>
      <c r="H660" s="25"/>
      <c r="I660" s="25"/>
      <c r="J660" s="26"/>
      <c r="K660" t="str" s="15">
        <f aca="0">IF(COUNTA(B660:J660)=0,"",IF(R660&lt;&gt;"","확인필요(입력누락)",IF(COUNTIFS(보유목록!$I$2:$I$3001,"*"&amp;P660&amp;"*",보유목록!$I$2:$I$3001,"*"&amp;Q660&amp;"*",보유목록!$H$2:$H$3001,O660)&gt;0,"있음",IF(COUNTIFS(보유목록!$I$2:$I$3001,"*"&amp;P660&amp;"*",보유목록!$I$2:$I$3001,"*"&amp;Q660&amp;"*")&gt;0,"확인필요(연도다름)",IF(COUNTIFS(보유목록!$I$2:$I$3001,"*"&amp;P660&amp;"*",보유목록!$H$2:$H$3001,O660)&gt;0,"확인필요(같은학교·같은연도)","없음")))))</f>
      </c>
      <c r="L660" t="str" s="16">
        <f aca="0">IF(OR(COUNTA(B660:J660)=0,R660&lt;&gt;""),"",COUNTIFS(보유목록!$I$2:$I$3001,"*"&amp;P660&amp;"*",보유목록!$I$2:$I$3001,"*"&amp;Q660&amp;"*"))</f>
      </c>
      <c r="M660" t="str" s="23">
        <f aca="0">IF(OR(COUNTA(B660:J660)=0,R660&lt;&gt;""),"",IFERROR(LOOKUP(2,1/(ISNUMBER(SEARCH(P660,보유목록!$I$2:$I$3001))*ISNUMBER(SEARCH(Q660,보유목록!$I$2:$I$3001))*(보유목록!$H$2:$H$3001=O660)),보유목록!$B$2:$B$3001),IFERROR(LOOKUP(2,1/(ISNUMBER(SEARCH(P660,보유목록!$I$2:$I$3001))*ISNUMBER(SEARCH(Q660,보유목록!$I$2:$I$3001))),보유목록!$B$2:$B$3001),"")))</f>
      </c>
      <c r="N660" s="25"/>
      <c r="O660" t="str">
        <f>IFERROR(IF(AND(LEN(SUBSTITUTE(SUBSTITUTE(SUBSTITUTE(TRIM(C660&amp;""),CHAR(160),"")," ",""),"년",""))=4,VALUE(SUBSTITUTE(SUBSTITUTE(SUBSTITUTE(TRIM(C660&amp;""),CHAR(160),"")," ",""),"년",""))&gt;=1900,VALUE(SUBSTITUTE(SUBSTITUTE(SUBSTITUTE(TRIM(C660&amp;""),CHAR(160),"")," ",""),"년",""))&lt;=2099,TEXT(VALUE(SUBSTITUTE(SUBSTITUTE(SUBSTITUTE(TRIM(C660&amp;""),CHAR(160),"")," ",""),"년","")),"0000")=SUBSTITUTE(SUBSTITUTE(SUBSTITUTE(TRIM(C660&amp;""),CHAR(160),"")," ",""),"년","")),SUBSTITUTE(SUBSTITUTE(SUBSTITUTE(TRIM(C660&amp;""),CHAR(160),"")," ",""),"년",""),""),"")</f>
      </c>
      <c r="P660" t="str">
        <f>SUBSTITUTE(SUBSTITUTE(SUBSTITUTE(SUBSTITUTE(SUBSTITUTE(SUBSTITUTE(SUBSTITUTE(SUBSTITUTE(TRIM(D660&amp;""),CHAR(160),"")," ",""),"초등학교","초"),"중학교","중"),"고등학교","고"),"~","~~"),"*","~*"),"?","~?")</f>
      </c>
      <c r="Q660" t="str">
        <f>SUBSTITUTE(SUBSTITUTE(SUBSTITUTE(SUBSTITUTE(SUBSTITUTE(SUBSTITUTE(SUBSTITUTE(SUBSTITUTE(TRIM(E660&amp;""),CHAR(160),"")," ",""),"초등학교","초"),"중학교","중"),"고등학교","고"),"~","~~"),"*","~*"),"?","~?")</f>
      </c>
      <c r="R660" t="str">
        <f>IF(COUNTA(B660:J660)=0,"",IF(AND(O660&lt;&gt;"",P660&lt;&gt;"",Q660&lt;&gt;""),"","입력누락"))</f>
      </c>
    </row>
    <row r="661" customFormat="false" ht="15" hidden="false" customHeight="false" outlineLevel="0" collapsed="false">
      <c r="A661" t="n" s="19">
        <f aca="0">IF(COUNTA(B661:J661)=0,"",ROW()-1)</f>
      </c>
      <c r="B661" s="24"/>
      <c r="C661" s="25"/>
      <c r="D661" s="8"/>
      <c r="E661" s="8"/>
      <c r="F661" s="26"/>
      <c r="G661" s="24"/>
      <c r="H661" s="25"/>
      <c r="I661" s="25"/>
      <c r="J661" s="26"/>
      <c r="K661" t="str" s="15">
        <f aca="0">IF(COUNTA(B661:J661)=0,"",IF(R661&lt;&gt;"","확인필요(입력누락)",IF(COUNTIFS(보유목록!$I$2:$I$3001,"*"&amp;P661&amp;"*",보유목록!$I$2:$I$3001,"*"&amp;Q661&amp;"*",보유목록!$H$2:$H$3001,O661)&gt;0,"있음",IF(COUNTIFS(보유목록!$I$2:$I$3001,"*"&amp;P661&amp;"*",보유목록!$I$2:$I$3001,"*"&amp;Q661&amp;"*")&gt;0,"확인필요(연도다름)",IF(COUNTIFS(보유목록!$I$2:$I$3001,"*"&amp;P661&amp;"*",보유목록!$H$2:$H$3001,O661)&gt;0,"확인필요(같은학교·같은연도)","없음")))))</f>
      </c>
      <c r="L661" t="str" s="16">
        <f aca="0">IF(OR(COUNTA(B661:J661)=0,R661&lt;&gt;""),"",COUNTIFS(보유목록!$I$2:$I$3001,"*"&amp;P661&amp;"*",보유목록!$I$2:$I$3001,"*"&amp;Q661&amp;"*"))</f>
      </c>
      <c r="M661" t="str" s="23">
        <f aca="0">IF(OR(COUNTA(B661:J661)=0,R661&lt;&gt;""),"",IFERROR(LOOKUP(2,1/(ISNUMBER(SEARCH(P661,보유목록!$I$2:$I$3001))*ISNUMBER(SEARCH(Q661,보유목록!$I$2:$I$3001))*(보유목록!$H$2:$H$3001=O661)),보유목록!$B$2:$B$3001),IFERROR(LOOKUP(2,1/(ISNUMBER(SEARCH(P661,보유목록!$I$2:$I$3001))*ISNUMBER(SEARCH(Q661,보유목록!$I$2:$I$3001))),보유목록!$B$2:$B$3001),"")))</f>
      </c>
      <c r="N661" s="25"/>
      <c r="O661" t="str">
        <f>IFERROR(IF(AND(LEN(SUBSTITUTE(SUBSTITUTE(SUBSTITUTE(TRIM(C661&amp;""),CHAR(160),"")," ",""),"년",""))=4,VALUE(SUBSTITUTE(SUBSTITUTE(SUBSTITUTE(TRIM(C661&amp;""),CHAR(160),"")," ",""),"년",""))&gt;=1900,VALUE(SUBSTITUTE(SUBSTITUTE(SUBSTITUTE(TRIM(C661&amp;""),CHAR(160),"")," ",""),"년",""))&lt;=2099,TEXT(VALUE(SUBSTITUTE(SUBSTITUTE(SUBSTITUTE(TRIM(C661&amp;""),CHAR(160),"")," ",""),"년","")),"0000")=SUBSTITUTE(SUBSTITUTE(SUBSTITUTE(TRIM(C661&amp;""),CHAR(160),"")," ",""),"년","")),SUBSTITUTE(SUBSTITUTE(SUBSTITUTE(TRIM(C661&amp;""),CHAR(160),"")," ",""),"년",""),""),"")</f>
      </c>
      <c r="P661" t="str">
        <f>SUBSTITUTE(SUBSTITUTE(SUBSTITUTE(SUBSTITUTE(SUBSTITUTE(SUBSTITUTE(SUBSTITUTE(SUBSTITUTE(TRIM(D661&amp;""),CHAR(160),"")," ",""),"초등학교","초"),"중학교","중"),"고등학교","고"),"~","~~"),"*","~*"),"?","~?")</f>
      </c>
      <c r="Q661" t="str">
        <f>SUBSTITUTE(SUBSTITUTE(SUBSTITUTE(SUBSTITUTE(SUBSTITUTE(SUBSTITUTE(SUBSTITUTE(SUBSTITUTE(TRIM(E661&amp;""),CHAR(160),"")," ",""),"초등학교","초"),"중학교","중"),"고등학교","고"),"~","~~"),"*","~*"),"?","~?")</f>
      </c>
      <c r="R661" t="str">
        <f>IF(COUNTA(B661:J661)=0,"",IF(AND(O661&lt;&gt;"",P661&lt;&gt;"",Q661&lt;&gt;""),"","입력누락"))</f>
      </c>
    </row>
    <row r="662" customFormat="false" ht="15" hidden="false" customHeight="false" outlineLevel="0" collapsed="false">
      <c r="A662" t="n" s="19">
        <f aca="0">IF(COUNTA(B662:J662)=0,"",ROW()-1)</f>
      </c>
      <c r="B662" s="24"/>
      <c r="C662" s="25"/>
      <c r="D662" s="8"/>
      <c r="E662" s="8"/>
      <c r="F662" s="26"/>
      <c r="G662" s="24"/>
      <c r="H662" s="25"/>
      <c r="I662" s="25"/>
      <c r="J662" s="26"/>
      <c r="K662" t="str" s="15">
        <f aca="0">IF(COUNTA(B662:J662)=0,"",IF(R662&lt;&gt;"","확인필요(입력누락)",IF(COUNTIFS(보유목록!$I$2:$I$3001,"*"&amp;P662&amp;"*",보유목록!$I$2:$I$3001,"*"&amp;Q662&amp;"*",보유목록!$H$2:$H$3001,O662)&gt;0,"있음",IF(COUNTIFS(보유목록!$I$2:$I$3001,"*"&amp;P662&amp;"*",보유목록!$I$2:$I$3001,"*"&amp;Q662&amp;"*")&gt;0,"확인필요(연도다름)",IF(COUNTIFS(보유목록!$I$2:$I$3001,"*"&amp;P662&amp;"*",보유목록!$H$2:$H$3001,O662)&gt;0,"확인필요(같은학교·같은연도)","없음")))))</f>
      </c>
      <c r="L662" t="str" s="16">
        <f aca="0">IF(OR(COUNTA(B662:J662)=0,R662&lt;&gt;""),"",COUNTIFS(보유목록!$I$2:$I$3001,"*"&amp;P662&amp;"*",보유목록!$I$2:$I$3001,"*"&amp;Q662&amp;"*"))</f>
      </c>
      <c r="M662" t="str" s="23">
        <f aca="0">IF(OR(COUNTA(B662:J662)=0,R662&lt;&gt;""),"",IFERROR(LOOKUP(2,1/(ISNUMBER(SEARCH(P662,보유목록!$I$2:$I$3001))*ISNUMBER(SEARCH(Q662,보유목록!$I$2:$I$3001))*(보유목록!$H$2:$H$3001=O662)),보유목록!$B$2:$B$3001),IFERROR(LOOKUP(2,1/(ISNUMBER(SEARCH(P662,보유목록!$I$2:$I$3001))*ISNUMBER(SEARCH(Q662,보유목록!$I$2:$I$3001))),보유목록!$B$2:$B$3001),"")))</f>
      </c>
      <c r="N662" s="25"/>
      <c r="O662" t="str">
        <f>IFERROR(IF(AND(LEN(SUBSTITUTE(SUBSTITUTE(SUBSTITUTE(TRIM(C662&amp;""),CHAR(160),"")," ",""),"년",""))=4,VALUE(SUBSTITUTE(SUBSTITUTE(SUBSTITUTE(TRIM(C662&amp;""),CHAR(160),"")," ",""),"년",""))&gt;=1900,VALUE(SUBSTITUTE(SUBSTITUTE(SUBSTITUTE(TRIM(C662&amp;""),CHAR(160),"")," ",""),"년",""))&lt;=2099,TEXT(VALUE(SUBSTITUTE(SUBSTITUTE(SUBSTITUTE(TRIM(C662&amp;""),CHAR(160),"")," ",""),"년","")),"0000")=SUBSTITUTE(SUBSTITUTE(SUBSTITUTE(TRIM(C662&amp;""),CHAR(160),"")," ",""),"년","")),SUBSTITUTE(SUBSTITUTE(SUBSTITUTE(TRIM(C662&amp;""),CHAR(160),"")," ",""),"년",""),""),"")</f>
      </c>
      <c r="P662" t="str">
        <f>SUBSTITUTE(SUBSTITUTE(SUBSTITUTE(SUBSTITUTE(SUBSTITUTE(SUBSTITUTE(SUBSTITUTE(SUBSTITUTE(TRIM(D662&amp;""),CHAR(160),"")," ",""),"초등학교","초"),"중학교","중"),"고등학교","고"),"~","~~"),"*","~*"),"?","~?")</f>
      </c>
      <c r="Q662" t="str">
        <f>SUBSTITUTE(SUBSTITUTE(SUBSTITUTE(SUBSTITUTE(SUBSTITUTE(SUBSTITUTE(SUBSTITUTE(SUBSTITUTE(TRIM(E662&amp;""),CHAR(160),"")," ",""),"초등학교","초"),"중학교","중"),"고등학교","고"),"~","~~"),"*","~*"),"?","~?")</f>
      </c>
      <c r="R662" t="str">
        <f>IF(COUNTA(B662:J662)=0,"",IF(AND(O662&lt;&gt;"",P662&lt;&gt;"",Q662&lt;&gt;""),"","입력누락"))</f>
      </c>
    </row>
    <row r="663" customFormat="false" ht="15" hidden="false" customHeight="false" outlineLevel="0" collapsed="false">
      <c r="A663" t="n" s="19">
        <f aca="0">IF(COUNTA(B663:J663)=0,"",ROW()-1)</f>
      </c>
      <c r="B663" s="24"/>
      <c r="C663" s="25"/>
      <c r="D663" s="8"/>
      <c r="E663" s="8"/>
      <c r="F663" s="26"/>
      <c r="G663" s="24"/>
      <c r="H663" s="25"/>
      <c r="I663" s="25"/>
      <c r="J663" s="26"/>
      <c r="K663" t="str" s="15">
        <f aca="0">IF(COUNTA(B663:J663)=0,"",IF(R663&lt;&gt;"","확인필요(입력누락)",IF(COUNTIFS(보유목록!$I$2:$I$3001,"*"&amp;P663&amp;"*",보유목록!$I$2:$I$3001,"*"&amp;Q663&amp;"*",보유목록!$H$2:$H$3001,O663)&gt;0,"있음",IF(COUNTIFS(보유목록!$I$2:$I$3001,"*"&amp;P663&amp;"*",보유목록!$I$2:$I$3001,"*"&amp;Q663&amp;"*")&gt;0,"확인필요(연도다름)",IF(COUNTIFS(보유목록!$I$2:$I$3001,"*"&amp;P663&amp;"*",보유목록!$H$2:$H$3001,O663)&gt;0,"확인필요(같은학교·같은연도)","없음")))))</f>
      </c>
      <c r="L663" t="str" s="16">
        <f aca="0">IF(OR(COUNTA(B663:J663)=0,R663&lt;&gt;""),"",COUNTIFS(보유목록!$I$2:$I$3001,"*"&amp;P663&amp;"*",보유목록!$I$2:$I$3001,"*"&amp;Q663&amp;"*"))</f>
      </c>
      <c r="M663" t="str" s="23">
        <f aca="0">IF(OR(COUNTA(B663:J663)=0,R663&lt;&gt;""),"",IFERROR(LOOKUP(2,1/(ISNUMBER(SEARCH(P663,보유목록!$I$2:$I$3001))*ISNUMBER(SEARCH(Q663,보유목록!$I$2:$I$3001))*(보유목록!$H$2:$H$3001=O663)),보유목록!$B$2:$B$3001),IFERROR(LOOKUP(2,1/(ISNUMBER(SEARCH(P663,보유목록!$I$2:$I$3001))*ISNUMBER(SEARCH(Q663,보유목록!$I$2:$I$3001))),보유목록!$B$2:$B$3001),"")))</f>
      </c>
      <c r="N663" s="25"/>
      <c r="O663" t="str">
        <f>IFERROR(IF(AND(LEN(SUBSTITUTE(SUBSTITUTE(SUBSTITUTE(TRIM(C663&amp;""),CHAR(160),"")," ",""),"년",""))=4,VALUE(SUBSTITUTE(SUBSTITUTE(SUBSTITUTE(TRIM(C663&amp;""),CHAR(160),"")," ",""),"년",""))&gt;=1900,VALUE(SUBSTITUTE(SUBSTITUTE(SUBSTITUTE(TRIM(C663&amp;""),CHAR(160),"")," ",""),"년",""))&lt;=2099,TEXT(VALUE(SUBSTITUTE(SUBSTITUTE(SUBSTITUTE(TRIM(C663&amp;""),CHAR(160),"")," ",""),"년","")),"0000")=SUBSTITUTE(SUBSTITUTE(SUBSTITUTE(TRIM(C663&amp;""),CHAR(160),"")," ",""),"년","")),SUBSTITUTE(SUBSTITUTE(SUBSTITUTE(TRIM(C663&amp;""),CHAR(160),"")," ",""),"년",""),""),"")</f>
      </c>
      <c r="P663" t="str">
        <f>SUBSTITUTE(SUBSTITUTE(SUBSTITUTE(SUBSTITUTE(SUBSTITUTE(SUBSTITUTE(SUBSTITUTE(SUBSTITUTE(TRIM(D663&amp;""),CHAR(160),"")," ",""),"초등학교","초"),"중학교","중"),"고등학교","고"),"~","~~"),"*","~*"),"?","~?")</f>
      </c>
      <c r="Q663" t="str">
        <f>SUBSTITUTE(SUBSTITUTE(SUBSTITUTE(SUBSTITUTE(SUBSTITUTE(SUBSTITUTE(SUBSTITUTE(SUBSTITUTE(TRIM(E663&amp;""),CHAR(160),"")," ",""),"초등학교","초"),"중학교","중"),"고등학교","고"),"~","~~"),"*","~*"),"?","~?")</f>
      </c>
      <c r="R663" t="str">
        <f>IF(COUNTA(B663:J663)=0,"",IF(AND(O663&lt;&gt;"",P663&lt;&gt;"",Q663&lt;&gt;""),"","입력누락"))</f>
      </c>
    </row>
    <row r="664" customFormat="false" ht="15" hidden="false" customHeight="false" outlineLevel="0" collapsed="false">
      <c r="A664" t="n" s="19">
        <f aca="0">IF(COUNTA(B664:J664)=0,"",ROW()-1)</f>
      </c>
      <c r="B664" s="24"/>
      <c r="C664" s="25"/>
      <c r="D664" s="8"/>
      <c r="E664" s="8"/>
      <c r="F664" s="26"/>
      <c r="G664" s="24"/>
      <c r="H664" s="25"/>
      <c r="I664" s="25"/>
      <c r="J664" s="26"/>
      <c r="K664" t="str" s="15">
        <f aca="0">IF(COUNTA(B664:J664)=0,"",IF(R664&lt;&gt;"","확인필요(입력누락)",IF(COUNTIFS(보유목록!$I$2:$I$3001,"*"&amp;P664&amp;"*",보유목록!$I$2:$I$3001,"*"&amp;Q664&amp;"*",보유목록!$H$2:$H$3001,O664)&gt;0,"있음",IF(COUNTIFS(보유목록!$I$2:$I$3001,"*"&amp;P664&amp;"*",보유목록!$I$2:$I$3001,"*"&amp;Q664&amp;"*")&gt;0,"확인필요(연도다름)",IF(COUNTIFS(보유목록!$I$2:$I$3001,"*"&amp;P664&amp;"*",보유목록!$H$2:$H$3001,O664)&gt;0,"확인필요(같은학교·같은연도)","없음")))))</f>
      </c>
      <c r="L664" t="str" s="16">
        <f aca="0">IF(OR(COUNTA(B664:J664)=0,R664&lt;&gt;""),"",COUNTIFS(보유목록!$I$2:$I$3001,"*"&amp;P664&amp;"*",보유목록!$I$2:$I$3001,"*"&amp;Q664&amp;"*"))</f>
      </c>
      <c r="M664" t="str" s="23">
        <f aca="0">IF(OR(COUNTA(B664:J664)=0,R664&lt;&gt;""),"",IFERROR(LOOKUP(2,1/(ISNUMBER(SEARCH(P664,보유목록!$I$2:$I$3001))*ISNUMBER(SEARCH(Q664,보유목록!$I$2:$I$3001))*(보유목록!$H$2:$H$3001=O664)),보유목록!$B$2:$B$3001),IFERROR(LOOKUP(2,1/(ISNUMBER(SEARCH(P664,보유목록!$I$2:$I$3001))*ISNUMBER(SEARCH(Q664,보유목록!$I$2:$I$3001))),보유목록!$B$2:$B$3001),"")))</f>
      </c>
      <c r="N664" s="25"/>
      <c r="O664" t="str">
        <f>IFERROR(IF(AND(LEN(SUBSTITUTE(SUBSTITUTE(SUBSTITUTE(TRIM(C664&amp;""),CHAR(160),"")," ",""),"년",""))=4,VALUE(SUBSTITUTE(SUBSTITUTE(SUBSTITUTE(TRIM(C664&amp;""),CHAR(160),"")," ",""),"년",""))&gt;=1900,VALUE(SUBSTITUTE(SUBSTITUTE(SUBSTITUTE(TRIM(C664&amp;""),CHAR(160),"")," ",""),"년",""))&lt;=2099,TEXT(VALUE(SUBSTITUTE(SUBSTITUTE(SUBSTITUTE(TRIM(C664&amp;""),CHAR(160),"")," ",""),"년","")),"0000")=SUBSTITUTE(SUBSTITUTE(SUBSTITUTE(TRIM(C664&amp;""),CHAR(160),"")," ",""),"년","")),SUBSTITUTE(SUBSTITUTE(SUBSTITUTE(TRIM(C664&amp;""),CHAR(160),"")," ",""),"년",""),""),"")</f>
      </c>
      <c r="P664" t="str">
        <f>SUBSTITUTE(SUBSTITUTE(SUBSTITUTE(SUBSTITUTE(SUBSTITUTE(SUBSTITUTE(SUBSTITUTE(SUBSTITUTE(TRIM(D664&amp;""),CHAR(160),"")," ",""),"초등학교","초"),"중학교","중"),"고등학교","고"),"~","~~"),"*","~*"),"?","~?")</f>
      </c>
      <c r="Q664" t="str">
        <f>SUBSTITUTE(SUBSTITUTE(SUBSTITUTE(SUBSTITUTE(SUBSTITUTE(SUBSTITUTE(SUBSTITUTE(SUBSTITUTE(TRIM(E664&amp;""),CHAR(160),"")," ",""),"초등학교","초"),"중학교","중"),"고등학교","고"),"~","~~"),"*","~*"),"?","~?")</f>
      </c>
      <c r="R664" t="str">
        <f>IF(COUNTA(B664:J664)=0,"",IF(AND(O664&lt;&gt;"",P664&lt;&gt;"",Q664&lt;&gt;""),"","입력누락"))</f>
      </c>
    </row>
    <row r="665" customFormat="false" ht="15" hidden="false" customHeight="false" outlineLevel="0" collapsed="false">
      <c r="A665" t="n" s="19">
        <f aca="0">IF(COUNTA(B665:J665)=0,"",ROW()-1)</f>
      </c>
      <c r="B665" s="24"/>
      <c r="C665" s="25"/>
      <c r="D665" s="8"/>
      <c r="E665" s="8"/>
      <c r="F665" s="26"/>
      <c r="G665" s="24"/>
      <c r="H665" s="25"/>
      <c r="I665" s="25"/>
      <c r="J665" s="26"/>
      <c r="K665" t="str" s="15">
        <f aca="0">IF(COUNTA(B665:J665)=0,"",IF(R665&lt;&gt;"","확인필요(입력누락)",IF(COUNTIFS(보유목록!$I$2:$I$3001,"*"&amp;P665&amp;"*",보유목록!$I$2:$I$3001,"*"&amp;Q665&amp;"*",보유목록!$H$2:$H$3001,O665)&gt;0,"있음",IF(COUNTIFS(보유목록!$I$2:$I$3001,"*"&amp;P665&amp;"*",보유목록!$I$2:$I$3001,"*"&amp;Q665&amp;"*")&gt;0,"확인필요(연도다름)",IF(COUNTIFS(보유목록!$I$2:$I$3001,"*"&amp;P665&amp;"*",보유목록!$H$2:$H$3001,O665)&gt;0,"확인필요(같은학교·같은연도)","없음")))))</f>
      </c>
      <c r="L665" t="str" s="16">
        <f aca="0">IF(OR(COUNTA(B665:J665)=0,R665&lt;&gt;""),"",COUNTIFS(보유목록!$I$2:$I$3001,"*"&amp;P665&amp;"*",보유목록!$I$2:$I$3001,"*"&amp;Q665&amp;"*"))</f>
      </c>
      <c r="M665" t="str" s="23">
        <f aca="0">IF(OR(COUNTA(B665:J665)=0,R665&lt;&gt;""),"",IFERROR(LOOKUP(2,1/(ISNUMBER(SEARCH(P665,보유목록!$I$2:$I$3001))*ISNUMBER(SEARCH(Q665,보유목록!$I$2:$I$3001))*(보유목록!$H$2:$H$3001=O665)),보유목록!$B$2:$B$3001),IFERROR(LOOKUP(2,1/(ISNUMBER(SEARCH(P665,보유목록!$I$2:$I$3001))*ISNUMBER(SEARCH(Q665,보유목록!$I$2:$I$3001))),보유목록!$B$2:$B$3001),"")))</f>
      </c>
      <c r="N665" s="25"/>
      <c r="O665" t="str">
        <f>IFERROR(IF(AND(LEN(SUBSTITUTE(SUBSTITUTE(SUBSTITUTE(TRIM(C665&amp;""),CHAR(160),"")," ",""),"년",""))=4,VALUE(SUBSTITUTE(SUBSTITUTE(SUBSTITUTE(TRIM(C665&amp;""),CHAR(160),"")," ",""),"년",""))&gt;=1900,VALUE(SUBSTITUTE(SUBSTITUTE(SUBSTITUTE(TRIM(C665&amp;""),CHAR(160),"")," ",""),"년",""))&lt;=2099,TEXT(VALUE(SUBSTITUTE(SUBSTITUTE(SUBSTITUTE(TRIM(C665&amp;""),CHAR(160),"")," ",""),"년","")),"0000")=SUBSTITUTE(SUBSTITUTE(SUBSTITUTE(TRIM(C665&amp;""),CHAR(160),"")," ",""),"년","")),SUBSTITUTE(SUBSTITUTE(SUBSTITUTE(TRIM(C665&amp;""),CHAR(160),"")," ",""),"년",""),""),"")</f>
      </c>
      <c r="P665" t="str">
        <f>SUBSTITUTE(SUBSTITUTE(SUBSTITUTE(SUBSTITUTE(SUBSTITUTE(SUBSTITUTE(SUBSTITUTE(SUBSTITUTE(TRIM(D665&amp;""),CHAR(160),"")," ",""),"초등학교","초"),"중학교","중"),"고등학교","고"),"~","~~"),"*","~*"),"?","~?")</f>
      </c>
      <c r="Q665" t="str">
        <f>SUBSTITUTE(SUBSTITUTE(SUBSTITUTE(SUBSTITUTE(SUBSTITUTE(SUBSTITUTE(SUBSTITUTE(SUBSTITUTE(TRIM(E665&amp;""),CHAR(160),"")," ",""),"초등학교","초"),"중학교","중"),"고등학교","고"),"~","~~"),"*","~*"),"?","~?")</f>
      </c>
      <c r="R665" t="str">
        <f>IF(COUNTA(B665:J665)=0,"",IF(AND(O665&lt;&gt;"",P665&lt;&gt;"",Q665&lt;&gt;""),"","입력누락"))</f>
      </c>
    </row>
    <row r="666" customFormat="false" ht="15" hidden="false" customHeight="false" outlineLevel="0" collapsed="false">
      <c r="A666" t="n" s="19">
        <f aca="0">IF(COUNTA(B666:J666)=0,"",ROW()-1)</f>
      </c>
      <c r="B666" s="24"/>
      <c r="C666" s="25"/>
      <c r="D666" s="8"/>
      <c r="E666" s="8"/>
      <c r="F666" s="26"/>
      <c r="G666" s="24"/>
      <c r="H666" s="25"/>
      <c r="I666" s="25"/>
      <c r="J666" s="26"/>
      <c r="K666" t="str" s="15">
        <f aca="0">IF(COUNTA(B666:J666)=0,"",IF(R666&lt;&gt;"","확인필요(입력누락)",IF(COUNTIFS(보유목록!$I$2:$I$3001,"*"&amp;P666&amp;"*",보유목록!$I$2:$I$3001,"*"&amp;Q666&amp;"*",보유목록!$H$2:$H$3001,O666)&gt;0,"있음",IF(COUNTIFS(보유목록!$I$2:$I$3001,"*"&amp;P666&amp;"*",보유목록!$I$2:$I$3001,"*"&amp;Q666&amp;"*")&gt;0,"확인필요(연도다름)",IF(COUNTIFS(보유목록!$I$2:$I$3001,"*"&amp;P666&amp;"*",보유목록!$H$2:$H$3001,O666)&gt;0,"확인필요(같은학교·같은연도)","없음")))))</f>
      </c>
      <c r="L666" t="str" s="16">
        <f aca="0">IF(OR(COUNTA(B666:J666)=0,R666&lt;&gt;""),"",COUNTIFS(보유목록!$I$2:$I$3001,"*"&amp;P666&amp;"*",보유목록!$I$2:$I$3001,"*"&amp;Q666&amp;"*"))</f>
      </c>
      <c r="M666" t="str" s="23">
        <f aca="0">IF(OR(COUNTA(B666:J666)=0,R666&lt;&gt;""),"",IFERROR(LOOKUP(2,1/(ISNUMBER(SEARCH(P666,보유목록!$I$2:$I$3001))*ISNUMBER(SEARCH(Q666,보유목록!$I$2:$I$3001))*(보유목록!$H$2:$H$3001=O666)),보유목록!$B$2:$B$3001),IFERROR(LOOKUP(2,1/(ISNUMBER(SEARCH(P666,보유목록!$I$2:$I$3001))*ISNUMBER(SEARCH(Q666,보유목록!$I$2:$I$3001))),보유목록!$B$2:$B$3001),"")))</f>
      </c>
      <c r="N666" s="25"/>
      <c r="O666" t="str">
        <f>IFERROR(IF(AND(LEN(SUBSTITUTE(SUBSTITUTE(SUBSTITUTE(TRIM(C666&amp;""),CHAR(160),"")," ",""),"년",""))=4,VALUE(SUBSTITUTE(SUBSTITUTE(SUBSTITUTE(TRIM(C666&amp;""),CHAR(160),"")," ",""),"년",""))&gt;=1900,VALUE(SUBSTITUTE(SUBSTITUTE(SUBSTITUTE(TRIM(C666&amp;""),CHAR(160),"")," ",""),"년",""))&lt;=2099,TEXT(VALUE(SUBSTITUTE(SUBSTITUTE(SUBSTITUTE(TRIM(C666&amp;""),CHAR(160),"")," ",""),"년","")),"0000")=SUBSTITUTE(SUBSTITUTE(SUBSTITUTE(TRIM(C666&amp;""),CHAR(160),"")," ",""),"년","")),SUBSTITUTE(SUBSTITUTE(SUBSTITUTE(TRIM(C666&amp;""),CHAR(160),"")," ",""),"년",""),""),"")</f>
      </c>
      <c r="P666" t="str">
        <f>SUBSTITUTE(SUBSTITUTE(SUBSTITUTE(SUBSTITUTE(SUBSTITUTE(SUBSTITUTE(SUBSTITUTE(SUBSTITUTE(TRIM(D666&amp;""),CHAR(160),"")," ",""),"초등학교","초"),"중학교","중"),"고등학교","고"),"~","~~"),"*","~*"),"?","~?")</f>
      </c>
      <c r="Q666" t="str">
        <f>SUBSTITUTE(SUBSTITUTE(SUBSTITUTE(SUBSTITUTE(SUBSTITUTE(SUBSTITUTE(SUBSTITUTE(SUBSTITUTE(TRIM(E666&amp;""),CHAR(160),"")," ",""),"초등학교","초"),"중학교","중"),"고등학교","고"),"~","~~"),"*","~*"),"?","~?")</f>
      </c>
      <c r="R666" t="str">
        <f>IF(COUNTA(B666:J666)=0,"",IF(AND(O666&lt;&gt;"",P666&lt;&gt;"",Q666&lt;&gt;""),"","입력누락"))</f>
      </c>
    </row>
    <row r="667" customFormat="false" ht="15" hidden="false" customHeight="false" outlineLevel="0" collapsed="false">
      <c r="A667" t="n" s="19">
        <f aca="0">IF(COUNTA(B667:J667)=0,"",ROW()-1)</f>
      </c>
      <c r="B667" s="24"/>
      <c r="C667" s="25"/>
      <c r="D667" s="8"/>
      <c r="E667" s="8"/>
      <c r="F667" s="26"/>
      <c r="G667" s="24"/>
      <c r="H667" s="25"/>
      <c r="I667" s="25"/>
      <c r="J667" s="26"/>
      <c r="K667" t="str" s="15">
        <f aca="0">IF(COUNTA(B667:J667)=0,"",IF(R667&lt;&gt;"","확인필요(입력누락)",IF(COUNTIFS(보유목록!$I$2:$I$3001,"*"&amp;P667&amp;"*",보유목록!$I$2:$I$3001,"*"&amp;Q667&amp;"*",보유목록!$H$2:$H$3001,O667)&gt;0,"있음",IF(COUNTIFS(보유목록!$I$2:$I$3001,"*"&amp;P667&amp;"*",보유목록!$I$2:$I$3001,"*"&amp;Q667&amp;"*")&gt;0,"확인필요(연도다름)",IF(COUNTIFS(보유목록!$I$2:$I$3001,"*"&amp;P667&amp;"*",보유목록!$H$2:$H$3001,O667)&gt;0,"확인필요(같은학교·같은연도)","없음")))))</f>
      </c>
      <c r="L667" t="str" s="16">
        <f aca="0">IF(OR(COUNTA(B667:J667)=0,R667&lt;&gt;""),"",COUNTIFS(보유목록!$I$2:$I$3001,"*"&amp;P667&amp;"*",보유목록!$I$2:$I$3001,"*"&amp;Q667&amp;"*"))</f>
      </c>
      <c r="M667" t="str" s="23">
        <f aca="0">IF(OR(COUNTA(B667:J667)=0,R667&lt;&gt;""),"",IFERROR(LOOKUP(2,1/(ISNUMBER(SEARCH(P667,보유목록!$I$2:$I$3001))*ISNUMBER(SEARCH(Q667,보유목록!$I$2:$I$3001))*(보유목록!$H$2:$H$3001=O667)),보유목록!$B$2:$B$3001),IFERROR(LOOKUP(2,1/(ISNUMBER(SEARCH(P667,보유목록!$I$2:$I$3001))*ISNUMBER(SEARCH(Q667,보유목록!$I$2:$I$3001))),보유목록!$B$2:$B$3001),"")))</f>
      </c>
      <c r="N667" s="25"/>
      <c r="O667" t="str">
        <f>IFERROR(IF(AND(LEN(SUBSTITUTE(SUBSTITUTE(SUBSTITUTE(TRIM(C667&amp;""),CHAR(160),"")," ",""),"년",""))=4,VALUE(SUBSTITUTE(SUBSTITUTE(SUBSTITUTE(TRIM(C667&amp;""),CHAR(160),"")," ",""),"년",""))&gt;=1900,VALUE(SUBSTITUTE(SUBSTITUTE(SUBSTITUTE(TRIM(C667&amp;""),CHAR(160),"")," ",""),"년",""))&lt;=2099,TEXT(VALUE(SUBSTITUTE(SUBSTITUTE(SUBSTITUTE(TRIM(C667&amp;""),CHAR(160),"")," ",""),"년","")),"0000")=SUBSTITUTE(SUBSTITUTE(SUBSTITUTE(TRIM(C667&amp;""),CHAR(160),"")," ",""),"년","")),SUBSTITUTE(SUBSTITUTE(SUBSTITUTE(TRIM(C667&amp;""),CHAR(160),"")," ",""),"년",""),""),"")</f>
      </c>
      <c r="P667" t="str">
        <f>SUBSTITUTE(SUBSTITUTE(SUBSTITUTE(SUBSTITUTE(SUBSTITUTE(SUBSTITUTE(SUBSTITUTE(SUBSTITUTE(TRIM(D667&amp;""),CHAR(160),"")," ",""),"초등학교","초"),"중학교","중"),"고등학교","고"),"~","~~"),"*","~*"),"?","~?")</f>
      </c>
      <c r="Q667" t="str">
        <f>SUBSTITUTE(SUBSTITUTE(SUBSTITUTE(SUBSTITUTE(SUBSTITUTE(SUBSTITUTE(SUBSTITUTE(SUBSTITUTE(TRIM(E667&amp;""),CHAR(160),"")," ",""),"초등학교","초"),"중학교","중"),"고등학교","고"),"~","~~"),"*","~*"),"?","~?")</f>
      </c>
      <c r="R667" t="str">
        <f>IF(COUNTA(B667:J667)=0,"",IF(AND(O667&lt;&gt;"",P667&lt;&gt;"",Q667&lt;&gt;""),"","입력누락"))</f>
      </c>
    </row>
    <row r="668" customFormat="false" ht="15" hidden="false" customHeight="false" outlineLevel="0" collapsed="false">
      <c r="A668" t="n" s="19">
        <f aca="0">IF(COUNTA(B668:J668)=0,"",ROW()-1)</f>
      </c>
      <c r="B668" s="24"/>
      <c r="C668" s="25"/>
      <c r="D668" s="8"/>
      <c r="E668" s="8"/>
      <c r="F668" s="26"/>
      <c r="G668" s="24"/>
      <c r="H668" s="25"/>
      <c r="I668" s="25"/>
      <c r="J668" s="26"/>
      <c r="K668" t="str" s="15">
        <f aca="0">IF(COUNTA(B668:J668)=0,"",IF(R668&lt;&gt;"","확인필요(입력누락)",IF(COUNTIFS(보유목록!$I$2:$I$3001,"*"&amp;P668&amp;"*",보유목록!$I$2:$I$3001,"*"&amp;Q668&amp;"*",보유목록!$H$2:$H$3001,O668)&gt;0,"있음",IF(COUNTIFS(보유목록!$I$2:$I$3001,"*"&amp;P668&amp;"*",보유목록!$I$2:$I$3001,"*"&amp;Q668&amp;"*")&gt;0,"확인필요(연도다름)",IF(COUNTIFS(보유목록!$I$2:$I$3001,"*"&amp;P668&amp;"*",보유목록!$H$2:$H$3001,O668)&gt;0,"확인필요(같은학교·같은연도)","없음")))))</f>
      </c>
      <c r="L668" t="str" s="16">
        <f aca="0">IF(OR(COUNTA(B668:J668)=0,R668&lt;&gt;""),"",COUNTIFS(보유목록!$I$2:$I$3001,"*"&amp;P668&amp;"*",보유목록!$I$2:$I$3001,"*"&amp;Q668&amp;"*"))</f>
      </c>
      <c r="M668" t="str" s="23">
        <f aca="0">IF(OR(COUNTA(B668:J668)=0,R668&lt;&gt;""),"",IFERROR(LOOKUP(2,1/(ISNUMBER(SEARCH(P668,보유목록!$I$2:$I$3001))*ISNUMBER(SEARCH(Q668,보유목록!$I$2:$I$3001))*(보유목록!$H$2:$H$3001=O668)),보유목록!$B$2:$B$3001),IFERROR(LOOKUP(2,1/(ISNUMBER(SEARCH(P668,보유목록!$I$2:$I$3001))*ISNUMBER(SEARCH(Q668,보유목록!$I$2:$I$3001))),보유목록!$B$2:$B$3001),"")))</f>
      </c>
      <c r="N668" s="25"/>
      <c r="O668" t="str">
        <f>IFERROR(IF(AND(LEN(SUBSTITUTE(SUBSTITUTE(SUBSTITUTE(TRIM(C668&amp;""),CHAR(160),"")," ",""),"년",""))=4,VALUE(SUBSTITUTE(SUBSTITUTE(SUBSTITUTE(TRIM(C668&amp;""),CHAR(160),"")," ",""),"년",""))&gt;=1900,VALUE(SUBSTITUTE(SUBSTITUTE(SUBSTITUTE(TRIM(C668&amp;""),CHAR(160),"")," ",""),"년",""))&lt;=2099,TEXT(VALUE(SUBSTITUTE(SUBSTITUTE(SUBSTITUTE(TRIM(C668&amp;""),CHAR(160),"")," ",""),"년","")),"0000")=SUBSTITUTE(SUBSTITUTE(SUBSTITUTE(TRIM(C668&amp;""),CHAR(160),"")," ",""),"년","")),SUBSTITUTE(SUBSTITUTE(SUBSTITUTE(TRIM(C668&amp;""),CHAR(160),"")," ",""),"년",""),""),"")</f>
      </c>
      <c r="P668" t="str">
        <f>SUBSTITUTE(SUBSTITUTE(SUBSTITUTE(SUBSTITUTE(SUBSTITUTE(SUBSTITUTE(SUBSTITUTE(SUBSTITUTE(TRIM(D668&amp;""),CHAR(160),"")," ",""),"초등학교","초"),"중학교","중"),"고등학교","고"),"~","~~"),"*","~*"),"?","~?")</f>
      </c>
      <c r="Q668" t="str">
        <f>SUBSTITUTE(SUBSTITUTE(SUBSTITUTE(SUBSTITUTE(SUBSTITUTE(SUBSTITUTE(SUBSTITUTE(SUBSTITUTE(TRIM(E668&amp;""),CHAR(160),"")," ",""),"초등학교","초"),"중학교","중"),"고등학교","고"),"~","~~"),"*","~*"),"?","~?")</f>
      </c>
      <c r="R668" t="str">
        <f>IF(COUNTA(B668:J668)=0,"",IF(AND(O668&lt;&gt;"",P668&lt;&gt;"",Q668&lt;&gt;""),"","입력누락"))</f>
      </c>
    </row>
    <row r="669" customFormat="false" ht="15" hidden="false" customHeight="false" outlineLevel="0" collapsed="false">
      <c r="A669" t="n" s="19">
        <f aca="0">IF(COUNTA(B669:J669)=0,"",ROW()-1)</f>
      </c>
      <c r="B669" s="24"/>
      <c r="C669" s="25"/>
      <c r="D669" s="8"/>
      <c r="E669" s="8"/>
      <c r="F669" s="26"/>
      <c r="G669" s="24"/>
      <c r="H669" s="25"/>
      <c r="I669" s="25"/>
      <c r="J669" s="26"/>
      <c r="K669" t="str" s="15">
        <f aca="0">IF(COUNTA(B669:J669)=0,"",IF(R669&lt;&gt;"","확인필요(입력누락)",IF(COUNTIFS(보유목록!$I$2:$I$3001,"*"&amp;P669&amp;"*",보유목록!$I$2:$I$3001,"*"&amp;Q669&amp;"*",보유목록!$H$2:$H$3001,O669)&gt;0,"있음",IF(COUNTIFS(보유목록!$I$2:$I$3001,"*"&amp;P669&amp;"*",보유목록!$I$2:$I$3001,"*"&amp;Q669&amp;"*")&gt;0,"확인필요(연도다름)",IF(COUNTIFS(보유목록!$I$2:$I$3001,"*"&amp;P669&amp;"*",보유목록!$H$2:$H$3001,O669)&gt;0,"확인필요(같은학교·같은연도)","없음")))))</f>
      </c>
      <c r="L669" t="str" s="16">
        <f aca="0">IF(OR(COUNTA(B669:J669)=0,R669&lt;&gt;""),"",COUNTIFS(보유목록!$I$2:$I$3001,"*"&amp;P669&amp;"*",보유목록!$I$2:$I$3001,"*"&amp;Q669&amp;"*"))</f>
      </c>
      <c r="M669" t="str" s="23">
        <f aca="0">IF(OR(COUNTA(B669:J669)=0,R669&lt;&gt;""),"",IFERROR(LOOKUP(2,1/(ISNUMBER(SEARCH(P669,보유목록!$I$2:$I$3001))*ISNUMBER(SEARCH(Q669,보유목록!$I$2:$I$3001))*(보유목록!$H$2:$H$3001=O669)),보유목록!$B$2:$B$3001),IFERROR(LOOKUP(2,1/(ISNUMBER(SEARCH(P669,보유목록!$I$2:$I$3001))*ISNUMBER(SEARCH(Q669,보유목록!$I$2:$I$3001))),보유목록!$B$2:$B$3001),"")))</f>
      </c>
      <c r="N669" s="25"/>
      <c r="O669" t="str">
        <f>IFERROR(IF(AND(LEN(SUBSTITUTE(SUBSTITUTE(SUBSTITUTE(TRIM(C669&amp;""),CHAR(160),"")," ",""),"년",""))=4,VALUE(SUBSTITUTE(SUBSTITUTE(SUBSTITUTE(TRIM(C669&amp;""),CHAR(160),"")," ",""),"년",""))&gt;=1900,VALUE(SUBSTITUTE(SUBSTITUTE(SUBSTITUTE(TRIM(C669&amp;""),CHAR(160),"")," ",""),"년",""))&lt;=2099,TEXT(VALUE(SUBSTITUTE(SUBSTITUTE(SUBSTITUTE(TRIM(C669&amp;""),CHAR(160),"")," ",""),"년","")),"0000")=SUBSTITUTE(SUBSTITUTE(SUBSTITUTE(TRIM(C669&amp;""),CHAR(160),"")," ",""),"년","")),SUBSTITUTE(SUBSTITUTE(SUBSTITUTE(TRIM(C669&amp;""),CHAR(160),"")," ",""),"년",""),""),"")</f>
      </c>
      <c r="P669" t="str">
        <f>SUBSTITUTE(SUBSTITUTE(SUBSTITUTE(SUBSTITUTE(SUBSTITUTE(SUBSTITUTE(SUBSTITUTE(SUBSTITUTE(TRIM(D669&amp;""),CHAR(160),"")," ",""),"초등학교","초"),"중학교","중"),"고등학교","고"),"~","~~"),"*","~*"),"?","~?")</f>
      </c>
      <c r="Q669" t="str">
        <f>SUBSTITUTE(SUBSTITUTE(SUBSTITUTE(SUBSTITUTE(SUBSTITUTE(SUBSTITUTE(SUBSTITUTE(SUBSTITUTE(TRIM(E669&amp;""),CHAR(160),"")," ",""),"초등학교","초"),"중학교","중"),"고등학교","고"),"~","~~"),"*","~*"),"?","~?")</f>
      </c>
      <c r="R669" t="str">
        <f>IF(COUNTA(B669:J669)=0,"",IF(AND(O669&lt;&gt;"",P669&lt;&gt;"",Q669&lt;&gt;""),"","입력누락"))</f>
      </c>
    </row>
    <row r="670" customFormat="false" ht="15" hidden="false" customHeight="false" outlineLevel="0" collapsed="false">
      <c r="A670" t="n" s="19">
        <f aca="0">IF(COUNTA(B670:J670)=0,"",ROW()-1)</f>
      </c>
      <c r="B670" s="24"/>
      <c r="C670" s="25"/>
      <c r="D670" s="8"/>
      <c r="E670" s="8"/>
      <c r="F670" s="26"/>
      <c r="G670" s="24"/>
      <c r="H670" s="25"/>
      <c r="I670" s="25"/>
      <c r="J670" s="26"/>
      <c r="K670" t="str" s="15">
        <f aca="0">IF(COUNTA(B670:J670)=0,"",IF(R670&lt;&gt;"","확인필요(입력누락)",IF(COUNTIFS(보유목록!$I$2:$I$3001,"*"&amp;P670&amp;"*",보유목록!$I$2:$I$3001,"*"&amp;Q670&amp;"*",보유목록!$H$2:$H$3001,O670)&gt;0,"있음",IF(COUNTIFS(보유목록!$I$2:$I$3001,"*"&amp;P670&amp;"*",보유목록!$I$2:$I$3001,"*"&amp;Q670&amp;"*")&gt;0,"확인필요(연도다름)",IF(COUNTIFS(보유목록!$I$2:$I$3001,"*"&amp;P670&amp;"*",보유목록!$H$2:$H$3001,O670)&gt;0,"확인필요(같은학교·같은연도)","없음")))))</f>
      </c>
      <c r="L670" t="str" s="16">
        <f aca="0">IF(OR(COUNTA(B670:J670)=0,R670&lt;&gt;""),"",COUNTIFS(보유목록!$I$2:$I$3001,"*"&amp;P670&amp;"*",보유목록!$I$2:$I$3001,"*"&amp;Q670&amp;"*"))</f>
      </c>
      <c r="M670" t="str" s="23">
        <f aca="0">IF(OR(COUNTA(B670:J670)=0,R670&lt;&gt;""),"",IFERROR(LOOKUP(2,1/(ISNUMBER(SEARCH(P670,보유목록!$I$2:$I$3001))*ISNUMBER(SEARCH(Q670,보유목록!$I$2:$I$3001))*(보유목록!$H$2:$H$3001=O670)),보유목록!$B$2:$B$3001),IFERROR(LOOKUP(2,1/(ISNUMBER(SEARCH(P670,보유목록!$I$2:$I$3001))*ISNUMBER(SEARCH(Q670,보유목록!$I$2:$I$3001))),보유목록!$B$2:$B$3001),"")))</f>
      </c>
      <c r="N670" s="25"/>
      <c r="O670" t="str">
        <f>IFERROR(IF(AND(LEN(SUBSTITUTE(SUBSTITUTE(SUBSTITUTE(TRIM(C670&amp;""),CHAR(160),"")," ",""),"년",""))=4,VALUE(SUBSTITUTE(SUBSTITUTE(SUBSTITUTE(TRIM(C670&amp;""),CHAR(160),"")," ",""),"년",""))&gt;=1900,VALUE(SUBSTITUTE(SUBSTITUTE(SUBSTITUTE(TRIM(C670&amp;""),CHAR(160),"")," ",""),"년",""))&lt;=2099,TEXT(VALUE(SUBSTITUTE(SUBSTITUTE(SUBSTITUTE(TRIM(C670&amp;""),CHAR(160),"")," ",""),"년","")),"0000")=SUBSTITUTE(SUBSTITUTE(SUBSTITUTE(TRIM(C670&amp;""),CHAR(160),"")," ",""),"년","")),SUBSTITUTE(SUBSTITUTE(SUBSTITUTE(TRIM(C670&amp;""),CHAR(160),"")," ",""),"년",""),""),"")</f>
      </c>
      <c r="P670" t="str">
        <f>SUBSTITUTE(SUBSTITUTE(SUBSTITUTE(SUBSTITUTE(SUBSTITUTE(SUBSTITUTE(SUBSTITUTE(SUBSTITUTE(TRIM(D670&amp;""),CHAR(160),"")," ",""),"초등학교","초"),"중학교","중"),"고등학교","고"),"~","~~"),"*","~*"),"?","~?")</f>
      </c>
      <c r="Q670" t="str">
        <f>SUBSTITUTE(SUBSTITUTE(SUBSTITUTE(SUBSTITUTE(SUBSTITUTE(SUBSTITUTE(SUBSTITUTE(SUBSTITUTE(TRIM(E670&amp;""),CHAR(160),"")," ",""),"초등학교","초"),"중학교","중"),"고등학교","고"),"~","~~"),"*","~*"),"?","~?")</f>
      </c>
      <c r="R670" t="str">
        <f>IF(COUNTA(B670:J670)=0,"",IF(AND(O670&lt;&gt;"",P670&lt;&gt;"",Q670&lt;&gt;""),"","입력누락"))</f>
      </c>
    </row>
    <row r="671" customFormat="false" ht="15" hidden="false" customHeight="false" outlineLevel="0" collapsed="false">
      <c r="A671" t="n" s="19">
        <f aca="0">IF(COUNTA(B671:J671)=0,"",ROW()-1)</f>
      </c>
      <c r="B671" s="24"/>
      <c r="C671" s="25"/>
      <c r="D671" s="8"/>
      <c r="E671" s="8"/>
      <c r="F671" s="26"/>
      <c r="G671" s="24"/>
      <c r="H671" s="25"/>
      <c r="I671" s="25"/>
      <c r="J671" s="26"/>
      <c r="K671" t="str" s="15">
        <f aca="0">IF(COUNTA(B671:J671)=0,"",IF(R671&lt;&gt;"","확인필요(입력누락)",IF(COUNTIFS(보유목록!$I$2:$I$3001,"*"&amp;P671&amp;"*",보유목록!$I$2:$I$3001,"*"&amp;Q671&amp;"*",보유목록!$H$2:$H$3001,O671)&gt;0,"있음",IF(COUNTIFS(보유목록!$I$2:$I$3001,"*"&amp;P671&amp;"*",보유목록!$I$2:$I$3001,"*"&amp;Q671&amp;"*")&gt;0,"확인필요(연도다름)",IF(COUNTIFS(보유목록!$I$2:$I$3001,"*"&amp;P671&amp;"*",보유목록!$H$2:$H$3001,O671)&gt;0,"확인필요(같은학교·같은연도)","없음")))))</f>
      </c>
      <c r="L671" t="str" s="16">
        <f aca="0">IF(OR(COUNTA(B671:J671)=0,R671&lt;&gt;""),"",COUNTIFS(보유목록!$I$2:$I$3001,"*"&amp;P671&amp;"*",보유목록!$I$2:$I$3001,"*"&amp;Q671&amp;"*"))</f>
      </c>
      <c r="M671" t="str" s="23">
        <f aca="0">IF(OR(COUNTA(B671:J671)=0,R671&lt;&gt;""),"",IFERROR(LOOKUP(2,1/(ISNUMBER(SEARCH(P671,보유목록!$I$2:$I$3001))*ISNUMBER(SEARCH(Q671,보유목록!$I$2:$I$3001))*(보유목록!$H$2:$H$3001=O671)),보유목록!$B$2:$B$3001),IFERROR(LOOKUP(2,1/(ISNUMBER(SEARCH(P671,보유목록!$I$2:$I$3001))*ISNUMBER(SEARCH(Q671,보유목록!$I$2:$I$3001))),보유목록!$B$2:$B$3001),"")))</f>
      </c>
      <c r="N671" s="25"/>
      <c r="O671" t="str">
        <f>IFERROR(IF(AND(LEN(SUBSTITUTE(SUBSTITUTE(SUBSTITUTE(TRIM(C671&amp;""),CHAR(160),"")," ",""),"년",""))=4,VALUE(SUBSTITUTE(SUBSTITUTE(SUBSTITUTE(TRIM(C671&amp;""),CHAR(160),"")," ",""),"년",""))&gt;=1900,VALUE(SUBSTITUTE(SUBSTITUTE(SUBSTITUTE(TRIM(C671&amp;""),CHAR(160),"")," ",""),"년",""))&lt;=2099,TEXT(VALUE(SUBSTITUTE(SUBSTITUTE(SUBSTITUTE(TRIM(C671&amp;""),CHAR(160),"")," ",""),"년","")),"0000")=SUBSTITUTE(SUBSTITUTE(SUBSTITUTE(TRIM(C671&amp;""),CHAR(160),"")," ",""),"년","")),SUBSTITUTE(SUBSTITUTE(SUBSTITUTE(TRIM(C671&amp;""),CHAR(160),"")," ",""),"년",""),""),"")</f>
      </c>
      <c r="P671" t="str">
        <f>SUBSTITUTE(SUBSTITUTE(SUBSTITUTE(SUBSTITUTE(SUBSTITUTE(SUBSTITUTE(SUBSTITUTE(SUBSTITUTE(TRIM(D671&amp;""),CHAR(160),"")," ",""),"초등학교","초"),"중학교","중"),"고등학교","고"),"~","~~"),"*","~*"),"?","~?")</f>
      </c>
      <c r="Q671" t="str">
        <f>SUBSTITUTE(SUBSTITUTE(SUBSTITUTE(SUBSTITUTE(SUBSTITUTE(SUBSTITUTE(SUBSTITUTE(SUBSTITUTE(TRIM(E671&amp;""),CHAR(160),"")," ",""),"초등학교","초"),"중학교","중"),"고등학교","고"),"~","~~"),"*","~*"),"?","~?")</f>
      </c>
      <c r="R671" t="str">
        <f>IF(COUNTA(B671:J671)=0,"",IF(AND(O671&lt;&gt;"",P671&lt;&gt;"",Q671&lt;&gt;""),"","입력누락"))</f>
      </c>
    </row>
    <row r="672" customFormat="false" ht="15" hidden="false" customHeight="false" outlineLevel="0" collapsed="false">
      <c r="A672" t="n" s="19">
        <f aca="0">IF(COUNTA(B672:J672)=0,"",ROW()-1)</f>
      </c>
      <c r="B672" s="24"/>
      <c r="C672" s="25"/>
      <c r="D672" s="8"/>
      <c r="E672" s="8"/>
      <c r="F672" s="26"/>
      <c r="G672" s="24"/>
      <c r="H672" s="25"/>
      <c r="I672" s="25"/>
      <c r="J672" s="26"/>
      <c r="K672" t="str" s="15">
        <f aca="0">IF(COUNTA(B672:J672)=0,"",IF(R672&lt;&gt;"","확인필요(입력누락)",IF(COUNTIFS(보유목록!$I$2:$I$3001,"*"&amp;P672&amp;"*",보유목록!$I$2:$I$3001,"*"&amp;Q672&amp;"*",보유목록!$H$2:$H$3001,O672)&gt;0,"있음",IF(COUNTIFS(보유목록!$I$2:$I$3001,"*"&amp;P672&amp;"*",보유목록!$I$2:$I$3001,"*"&amp;Q672&amp;"*")&gt;0,"확인필요(연도다름)",IF(COUNTIFS(보유목록!$I$2:$I$3001,"*"&amp;P672&amp;"*",보유목록!$H$2:$H$3001,O672)&gt;0,"확인필요(같은학교·같은연도)","없음")))))</f>
      </c>
      <c r="L672" t="str" s="16">
        <f aca="0">IF(OR(COUNTA(B672:J672)=0,R672&lt;&gt;""),"",COUNTIFS(보유목록!$I$2:$I$3001,"*"&amp;P672&amp;"*",보유목록!$I$2:$I$3001,"*"&amp;Q672&amp;"*"))</f>
      </c>
      <c r="M672" t="str" s="23">
        <f aca="0">IF(OR(COUNTA(B672:J672)=0,R672&lt;&gt;""),"",IFERROR(LOOKUP(2,1/(ISNUMBER(SEARCH(P672,보유목록!$I$2:$I$3001))*ISNUMBER(SEARCH(Q672,보유목록!$I$2:$I$3001))*(보유목록!$H$2:$H$3001=O672)),보유목록!$B$2:$B$3001),IFERROR(LOOKUP(2,1/(ISNUMBER(SEARCH(P672,보유목록!$I$2:$I$3001))*ISNUMBER(SEARCH(Q672,보유목록!$I$2:$I$3001))),보유목록!$B$2:$B$3001),"")))</f>
      </c>
      <c r="N672" s="25"/>
      <c r="O672" t="str">
        <f>IFERROR(IF(AND(LEN(SUBSTITUTE(SUBSTITUTE(SUBSTITUTE(TRIM(C672&amp;""),CHAR(160),"")," ",""),"년",""))=4,VALUE(SUBSTITUTE(SUBSTITUTE(SUBSTITUTE(TRIM(C672&amp;""),CHAR(160),"")," ",""),"년",""))&gt;=1900,VALUE(SUBSTITUTE(SUBSTITUTE(SUBSTITUTE(TRIM(C672&amp;""),CHAR(160),"")," ",""),"년",""))&lt;=2099,TEXT(VALUE(SUBSTITUTE(SUBSTITUTE(SUBSTITUTE(TRIM(C672&amp;""),CHAR(160),"")," ",""),"년","")),"0000")=SUBSTITUTE(SUBSTITUTE(SUBSTITUTE(TRIM(C672&amp;""),CHAR(160),"")," ",""),"년","")),SUBSTITUTE(SUBSTITUTE(SUBSTITUTE(TRIM(C672&amp;""),CHAR(160),"")," ",""),"년",""),""),"")</f>
      </c>
      <c r="P672" t="str">
        <f>SUBSTITUTE(SUBSTITUTE(SUBSTITUTE(SUBSTITUTE(SUBSTITUTE(SUBSTITUTE(SUBSTITUTE(SUBSTITUTE(TRIM(D672&amp;""),CHAR(160),"")," ",""),"초등학교","초"),"중학교","중"),"고등학교","고"),"~","~~"),"*","~*"),"?","~?")</f>
      </c>
      <c r="Q672" t="str">
        <f>SUBSTITUTE(SUBSTITUTE(SUBSTITUTE(SUBSTITUTE(SUBSTITUTE(SUBSTITUTE(SUBSTITUTE(SUBSTITUTE(TRIM(E672&amp;""),CHAR(160),"")," ",""),"초등학교","초"),"중학교","중"),"고등학교","고"),"~","~~"),"*","~*"),"?","~?")</f>
      </c>
      <c r="R672" t="str">
        <f>IF(COUNTA(B672:J672)=0,"",IF(AND(O672&lt;&gt;"",P672&lt;&gt;"",Q672&lt;&gt;""),"","입력누락"))</f>
      </c>
    </row>
    <row r="673" customFormat="false" ht="15" hidden="false" customHeight="false" outlineLevel="0" collapsed="false">
      <c r="A673" t="n" s="19">
        <f aca="0">IF(COUNTA(B673:J673)=0,"",ROW()-1)</f>
      </c>
      <c r="B673" s="24"/>
      <c r="C673" s="25"/>
      <c r="D673" s="8"/>
      <c r="E673" s="8"/>
      <c r="F673" s="26"/>
      <c r="G673" s="24"/>
      <c r="H673" s="25"/>
      <c r="I673" s="25"/>
      <c r="J673" s="26"/>
      <c r="K673" t="str" s="15">
        <f aca="0">IF(COUNTA(B673:J673)=0,"",IF(R673&lt;&gt;"","확인필요(입력누락)",IF(COUNTIFS(보유목록!$I$2:$I$3001,"*"&amp;P673&amp;"*",보유목록!$I$2:$I$3001,"*"&amp;Q673&amp;"*",보유목록!$H$2:$H$3001,O673)&gt;0,"있음",IF(COUNTIFS(보유목록!$I$2:$I$3001,"*"&amp;P673&amp;"*",보유목록!$I$2:$I$3001,"*"&amp;Q673&amp;"*")&gt;0,"확인필요(연도다름)",IF(COUNTIFS(보유목록!$I$2:$I$3001,"*"&amp;P673&amp;"*",보유목록!$H$2:$H$3001,O673)&gt;0,"확인필요(같은학교·같은연도)","없음")))))</f>
      </c>
      <c r="L673" t="str" s="16">
        <f aca="0">IF(OR(COUNTA(B673:J673)=0,R673&lt;&gt;""),"",COUNTIFS(보유목록!$I$2:$I$3001,"*"&amp;P673&amp;"*",보유목록!$I$2:$I$3001,"*"&amp;Q673&amp;"*"))</f>
      </c>
      <c r="M673" t="str" s="23">
        <f aca="0">IF(OR(COUNTA(B673:J673)=0,R673&lt;&gt;""),"",IFERROR(LOOKUP(2,1/(ISNUMBER(SEARCH(P673,보유목록!$I$2:$I$3001))*ISNUMBER(SEARCH(Q673,보유목록!$I$2:$I$3001))*(보유목록!$H$2:$H$3001=O673)),보유목록!$B$2:$B$3001),IFERROR(LOOKUP(2,1/(ISNUMBER(SEARCH(P673,보유목록!$I$2:$I$3001))*ISNUMBER(SEARCH(Q673,보유목록!$I$2:$I$3001))),보유목록!$B$2:$B$3001),"")))</f>
      </c>
      <c r="N673" s="25"/>
      <c r="O673" t="str">
        <f>IFERROR(IF(AND(LEN(SUBSTITUTE(SUBSTITUTE(SUBSTITUTE(TRIM(C673&amp;""),CHAR(160),"")," ",""),"년",""))=4,VALUE(SUBSTITUTE(SUBSTITUTE(SUBSTITUTE(TRIM(C673&amp;""),CHAR(160),"")," ",""),"년",""))&gt;=1900,VALUE(SUBSTITUTE(SUBSTITUTE(SUBSTITUTE(TRIM(C673&amp;""),CHAR(160),"")," ",""),"년",""))&lt;=2099,TEXT(VALUE(SUBSTITUTE(SUBSTITUTE(SUBSTITUTE(TRIM(C673&amp;""),CHAR(160),"")," ",""),"년","")),"0000")=SUBSTITUTE(SUBSTITUTE(SUBSTITUTE(TRIM(C673&amp;""),CHAR(160),"")," ",""),"년","")),SUBSTITUTE(SUBSTITUTE(SUBSTITUTE(TRIM(C673&amp;""),CHAR(160),"")," ",""),"년",""),""),"")</f>
      </c>
      <c r="P673" t="str">
        <f>SUBSTITUTE(SUBSTITUTE(SUBSTITUTE(SUBSTITUTE(SUBSTITUTE(SUBSTITUTE(SUBSTITUTE(SUBSTITUTE(TRIM(D673&amp;""),CHAR(160),"")," ",""),"초등학교","초"),"중학교","중"),"고등학교","고"),"~","~~"),"*","~*"),"?","~?")</f>
      </c>
      <c r="Q673" t="str">
        <f>SUBSTITUTE(SUBSTITUTE(SUBSTITUTE(SUBSTITUTE(SUBSTITUTE(SUBSTITUTE(SUBSTITUTE(SUBSTITUTE(TRIM(E673&amp;""),CHAR(160),"")," ",""),"초등학교","초"),"중학교","중"),"고등학교","고"),"~","~~"),"*","~*"),"?","~?")</f>
      </c>
      <c r="R673" t="str">
        <f>IF(COUNTA(B673:J673)=0,"",IF(AND(O673&lt;&gt;"",P673&lt;&gt;"",Q673&lt;&gt;""),"","입력누락"))</f>
      </c>
    </row>
    <row r="674" customFormat="false" ht="15" hidden="false" customHeight="false" outlineLevel="0" collapsed="false">
      <c r="A674" t="n" s="19">
        <f aca="0">IF(COUNTA(B674:J674)=0,"",ROW()-1)</f>
      </c>
      <c r="B674" s="24"/>
      <c r="C674" s="25"/>
      <c r="D674" s="8"/>
      <c r="E674" s="8"/>
      <c r="F674" s="26"/>
      <c r="G674" s="24"/>
      <c r="H674" s="25"/>
      <c r="I674" s="25"/>
      <c r="J674" s="26"/>
      <c r="K674" t="str" s="15">
        <f aca="0">IF(COUNTA(B674:J674)=0,"",IF(R674&lt;&gt;"","확인필요(입력누락)",IF(COUNTIFS(보유목록!$I$2:$I$3001,"*"&amp;P674&amp;"*",보유목록!$I$2:$I$3001,"*"&amp;Q674&amp;"*",보유목록!$H$2:$H$3001,O674)&gt;0,"있음",IF(COUNTIFS(보유목록!$I$2:$I$3001,"*"&amp;P674&amp;"*",보유목록!$I$2:$I$3001,"*"&amp;Q674&amp;"*")&gt;0,"확인필요(연도다름)",IF(COUNTIFS(보유목록!$I$2:$I$3001,"*"&amp;P674&amp;"*",보유목록!$H$2:$H$3001,O674)&gt;0,"확인필요(같은학교·같은연도)","없음")))))</f>
      </c>
      <c r="L674" t="str" s="16">
        <f aca="0">IF(OR(COUNTA(B674:J674)=0,R674&lt;&gt;""),"",COUNTIFS(보유목록!$I$2:$I$3001,"*"&amp;P674&amp;"*",보유목록!$I$2:$I$3001,"*"&amp;Q674&amp;"*"))</f>
      </c>
      <c r="M674" t="str" s="23">
        <f aca="0">IF(OR(COUNTA(B674:J674)=0,R674&lt;&gt;""),"",IFERROR(LOOKUP(2,1/(ISNUMBER(SEARCH(P674,보유목록!$I$2:$I$3001))*ISNUMBER(SEARCH(Q674,보유목록!$I$2:$I$3001))*(보유목록!$H$2:$H$3001=O674)),보유목록!$B$2:$B$3001),IFERROR(LOOKUP(2,1/(ISNUMBER(SEARCH(P674,보유목록!$I$2:$I$3001))*ISNUMBER(SEARCH(Q674,보유목록!$I$2:$I$3001))),보유목록!$B$2:$B$3001),"")))</f>
      </c>
      <c r="N674" s="25"/>
      <c r="O674" t="str">
        <f>IFERROR(IF(AND(LEN(SUBSTITUTE(SUBSTITUTE(SUBSTITUTE(TRIM(C674&amp;""),CHAR(160),"")," ",""),"년",""))=4,VALUE(SUBSTITUTE(SUBSTITUTE(SUBSTITUTE(TRIM(C674&amp;""),CHAR(160),"")," ",""),"년",""))&gt;=1900,VALUE(SUBSTITUTE(SUBSTITUTE(SUBSTITUTE(TRIM(C674&amp;""),CHAR(160),"")," ",""),"년",""))&lt;=2099,TEXT(VALUE(SUBSTITUTE(SUBSTITUTE(SUBSTITUTE(TRIM(C674&amp;""),CHAR(160),"")," ",""),"년","")),"0000")=SUBSTITUTE(SUBSTITUTE(SUBSTITUTE(TRIM(C674&amp;""),CHAR(160),"")," ",""),"년","")),SUBSTITUTE(SUBSTITUTE(SUBSTITUTE(TRIM(C674&amp;""),CHAR(160),"")," ",""),"년",""),""),"")</f>
      </c>
      <c r="P674" t="str">
        <f>SUBSTITUTE(SUBSTITUTE(SUBSTITUTE(SUBSTITUTE(SUBSTITUTE(SUBSTITUTE(SUBSTITUTE(SUBSTITUTE(TRIM(D674&amp;""),CHAR(160),"")," ",""),"초등학교","초"),"중학교","중"),"고등학교","고"),"~","~~"),"*","~*"),"?","~?")</f>
      </c>
      <c r="Q674" t="str">
        <f>SUBSTITUTE(SUBSTITUTE(SUBSTITUTE(SUBSTITUTE(SUBSTITUTE(SUBSTITUTE(SUBSTITUTE(SUBSTITUTE(TRIM(E674&amp;""),CHAR(160),"")," ",""),"초등학교","초"),"중학교","중"),"고등학교","고"),"~","~~"),"*","~*"),"?","~?")</f>
      </c>
      <c r="R674" t="str">
        <f>IF(COUNTA(B674:J674)=0,"",IF(AND(O674&lt;&gt;"",P674&lt;&gt;"",Q674&lt;&gt;""),"","입력누락"))</f>
      </c>
    </row>
    <row r="675" customFormat="false" ht="15" hidden="false" customHeight="false" outlineLevel="0" collapsed="false">
      <c r="A675" t="n" s="19">
        <f aca="0">IF(COUNTA(B675:J675)=0,"",ROW()-1)</f>
      </c>
      <c r="B675" s="24"/>
      <c r="C675" s="25"/>
      <c r="D675" s="8"/>
      <c r="E675" s="8"/>
      <c r="F675" s="26"/>
      <c r="G675" s="24"/>
      <c r="H675" s="25"/>
      <c r="I675" s="25"/>
      <c r="J675" s="26"/>
      <c r="K675" t="str" s="15">
        <f aca="0">IF(COUNTA(B675:J675)=0,"",IF(R675&lt;&gt;"","확인필요(입력누락)",IF(COUNTIFS(보유목록!$I$2:$I$3001,"*"&amp;P675&amp;"*",보유목록!$I$2:$I$3001,"*"&amp;Q675&amp;"*",보유목록!$H$2:$H$3001,O675)&gt;0,"있음",IF(COUNTIFS(보유목록!$I$2:$I$3001,"*"&amp;P675&amp;"*",보유목록!$I$2:$I$3001,"*"&amp;Q675&amp;"*")&gt;0,"확인필요(연도다름)",IF(COUNTIFS(보유목록!$I$2:$I$3001,"*"&amp;P675&amp;"*",보유목록!$H$2:$H$3001,O675)&gt;0,"확인필요(같은학교·같은연도)","없음")))))</f>
      </c>
      <c r="L675" t="str" s="16">
        <f aca="0">IF(OR(COUNTA(B675:J675)=0,R675&lt;&gt;""),"",COUNTIFS(보유목록!$I$2:$I$3001,"*"&amp;P675&amp;"*",보유목록!$I$2:$I$3001,"*"&amp;Q675&amp;"*"))</f>
      </c>
      <c r="M675" t="str" s="23">
        <f aca="0">IF(OR(COUNTA(B675:J675)=0,R675&lt;&gt;""),"",IFERROR(LOOKUP(2,1/(ISNUMBER(SEARCH(P675,보유목록!$I$2:$I$3001))*ISNUMBER(SEARCH(Q675,보유목록!$I$2:$I$3001))*(보유목록!$H$2:$H$3001=O675)),보유목록!$B$2:$B$3001),IFERROR(LOOKUP(2,1/(ISNUMBER(SEARCH(P675,보유목록!$I$2:$I$3001))*ISNUMBER(SEARCH(Q675,보유목록!$I$2:$I$3001))),보유목록!$B$2:$B$3001),"")))</f>
      </c>
      <c r="N675" s="25"/>
      <c r="O675" t="str">
        <f>IFERROR(IF(AND(LEN(SUBSTITUTE(SUBSTITUTE(SUBSTITUTE(TRIM(C675&amp;""),CHAR(160),"")," ",""),"년",""))=4,VALUE(SUBSTITUTE(SUBSTITUTE(SUBSTITUTE(TRIM(C675&amp;""),CHAR(160),"")," ",""),"년",""))&gt;=1900,VALUE(SUBSTITUTE(SUBSTITUTE(SUBSTITUTE(TRIM(C675&amp;""),CHAR(160),"")," ",""),"년",""))&lt;=2099,TEXT(VALUE(SUBSTITUTE(SUBSTITUTE(SUBSTITUTE(TRIM(C675&amp;""),CHAR(160),"")," ",""),"년","")),"0000")=SUBSTITUTE(SUBSTITUTE(SUBSTITUTE(TRIM(C675&amp;""),CHAR(160),"")," ",""),"년","")),SUBSTITUTE(SUBSTITUTE(SUBSTITUTE(TRIM(C675&amp;""),CHAR(160),"")," ",""),"년",""),""),"")</f>
      </c>
      <c r="P675" t="str">
        <f>SUBSTITUTE(SUBSTITUTE(SUBSTITUTE(SUBSTITUTE(SUBSTITUTE(SUBSTITUTE(SUBSTITUTE(SUBSTITUTE(TRIM(D675&amp;""),CHAR(160),"")," ",""),"초등학교","초"),"중학교","중"),"고등학교","고"),"~","~~"),"*","~*"),"?","~?")</f>
      </c>
      <c r="Q675" t="str">
        <f>SUBSTITUTE(SUBSTITUTE(SUBSTITUTE(SUBSTITUTE(SUBSTITUTE(SUBSTITUTE(SUBSTITUTE(SUBSTITUTE(TRIM(E675&amp;""),CHAR(160),"")," ",""),"초등학교","초"),"중학교","중"),"고등학교","고"),"~","~~"),"*","~*"),"?","~?")</f>
      </c>
      <c r="R675" t="str">
        <f>IF(COUNTA(B675:J675)=0,"",IF(AND(O675&lt;&gt;"",P675&lt;&gt;"",Q675&lt;&gt;""),"","입력누락"))</f>
      </c>
    </row>
    <row r="676" customFormat="false" ht="15" hidden="false" customHeight="false" outlineLevel="0" collapsed="false">
      <c r="A676" t="n" s="19">
        <f aca="0">IF(COUNTA(B676:J676)=0,"",ROW()-1)</f>
      </c>
      <c r="B676" s="24"/>
      <c r="C676" s="25"/>
      <c r="D676" s="8"/>
      <c r="E676" s="8"/>
      <c r="F676" s="26"/>
      <c r="G676" s="24"/>
      <c r="H676" s="25"/>
      <c r="I676" s="25"/>
      <c r="J676" s="26"/>
      <c r="K676" t="str" s="15">
        <f aca="0">IF(COUNTA(B676:J676)=0,"",IF(R676&lt;&gt;"","확인필요(입력누락)",IF(COUNTIFS(보유목록!$I$2:$I$3001,"*"&amp;P676&amp;"*",보유목록!$I$2:$I$3001,"*"&amp;Q676&amp;"*",보유목록!$H$2:$H$3001,O676)&gt;0,"있음",IF(COUNTIFS(보유목록!$I$2:$I$3001,"*"&amp;P676&amp;"*",보유목록!$I$2:$I$3001,"*"&amp;Q676&amp;"*")&gt;0,"확인필요(연도다름)",IF(COUNTIFS(보유목록!$I$2:$I$3001,"*"&amp;P676&amp;"*",보유목록!$H$2:$H$3001,O676)&gt;0,"확인필요(같은학교·같은연도)","없음")))))</f>
      </c>
      <c r="L676" t="str" s="16">
        <f aca="0">IF(OR(COUNTA(B676:J676)=0,R676&lt;&gt;""),"",COUNTIFS(보유목록!$I$2:$I$3001,"*"&amp;P676&amp;"*",보유목록!$I$2:$I$3001,"*"&amp;Q676&amp;"*"))</f>
      </c>
      <c r="M676" t="str" s="23">
        <f aca="0">IF(OR(COUNTA(B676:J676)=0,R676&lt;&gt;""),"",IFERROR(LOOKUP(2,1/(ISNUMBER(SEARCH(P676,보유목록!$I$2:$I$3001))*ISNUMBER(SEARCH(Q676,보유목록!$I$2:$I$3001))*(보유목록!$H$2:$H$3001=O676)),보유목록!$B$2:$B$3001),IFERROR(LOOKUP(2,1/(ISNUMBER(SEARCH(P676,보유목록!$I$2:$I$3001))*ISNUMBER(SEARCH(Q676,보유목록!$I$2:$I$3001))),보유목록!$B$2:$B$3001),"")))</f>
      </c>
      <c r="N676" s="25"/>
      <c r="O676" t="str">
        <f>IFERROR(IF(AND(LEN(SUBSTITUTE(SUBSTITUTE(SUBSTITUTE(TRIM(C676&amp;""),CHAR(160),"")," ",""),"년",""))=4,VALUE(SUBSTITUTE(SUBSTITUTE(SUBSTITUTE(TRIM(C676&amp;""),CHAR(160),"")," ",""),"년",""))&gt;=1900,VALUE(SUBSTITUTE(SUBSTITUTE(SUBSTITUTE(TRIM(C676&amp;""),CHAR(160),"")," ",""),"년",""))&lt;=2099,TEXT(VALUE(SUBSTITUTE(SUBSTITUTE(SUBSTITUTE(TRIM(C676&amp;""),CHAR(160),"")," ",""),"년","")),"0000")=SUBSTITUTE(SUBSTITUTE(SUBSTITUTE(TRIM(C676&amp;""),CHAR(160),"")," ",""),"년","")),SUBSTITUTE(SUBSTITUTE(SUBSTITUTE(TRIM(C676&amp;""),CHAR(160),"")," ",""),"년",""),""),"")</f>
      </c>
      <c r="P676" t="str">
        <f>SUBSTITUTE(SUBSTITUTE(SUBSTITUTE(SUBSTITUTE(SUBSTITUTE(SUBSTITUTE(SUBSTITUTE(SUBSTITUTE(TRIM(D676&amp;""),CHAR(160),"")," ",""),"초등학교","초"),"중학교","중"),"고등학교","고"),"~","~~"),"*","~*"),"?","~?")</f>
      </c>
      <c r="Q676" t="str">
        <f>SUBSTITUTE(SUBSTITUTE(SUBSTITUTE(SUBSTITUTE(SUBSTITUTE(SUBSTITUTE(SUBSTITUTE(SUBSTITUTE(TRIM(E676&amp;""),CHAR(160),"")," ",""),"초등학교","초"),"중학교","중"),"고등학교","고"),"~","~~"),"*","~*"),"?","~?")</f>
      </c>
      <c r="R676" t="str">
        <f>IF(COUNTA(B676:J676)=0,"",IF(AND(O676&lt;&gt;"",P676&lt;&gt;"",Q676&lt;&gt;""),"","입력누락"))</f>
      </c>
    </row>
    <row r="677" customFormat="false" ht="15" hidden="false" customHeight="false" outlineLevel="0" collapsed="false">
      <c r="A677" t="n" s="19">
        <f aca="0">IF(COUNTA(B677:J677)=0,"",ROW()-1)</f>
      </c>
      <c r="B677" s="24"/>
      <c r="C677" s="25"/>
      <c r="D677" s="8"/>
      <c r="E677" s="8"/>
      <c r="F677" s="26"/>
      <c r="G677" s="24"/>
      <c r="H677" s="25"/>
      <c r="I677" s="25"/>
      <c r="J677" s="26"/>
      <c r="K677" t="str" s="15">
        <f aca="0">IF(COUNTA(B677:J677)=0,"",IF(R677&lt;&gt;"","확인필요(입력누락)",IF(COUNTIFS(보유목록!$I$2:$I$3001,"*"&amp;P677&amp;"*",보유목록!$I$2:$I$3001,"*"&amp;Q677&amp;"*",보유목록!$H$2:$H$3001,O677)&gt;0,"있음",IF(COUNTIFS(보유목록!$I$2:$I$3001,"*"&amp;P677&amp;"*",보유목록!$I$2:$I$3001,"*"&amp;Q677&amp;"*")&gt;0,"확인필요(연도다름)",IF(COUNTIFS(보유목록!$I$2:$I$3001,"*"&amp;P677&amp;"*",보유목록!$H$2:$H$3001,O677)&gt;0,"확인필요(같은학교·같은연도)","없음")))))</f>
      </c>
      <c r="L677" t="str" s="16">
        <f aca="0">IF(OR(COUNTA(B677:J677)=0,R677&lt;&gt;""),"",COUNTIFS(보유목록!$I$2:$I$3001,"*"&amp;P677&amp;"*",보유목록!$I$2:$I$3001,"*"&amp;Q677&amp;"*"))</f>
      </c>
      <c r="M677" t="str" s="23">
        <f aca="0">IF(OR(COUNTA(B677:J677)=0,R677&lt;&gt;""),"",IFERROR(LOOKUP(2,1/(ISNUMBER(SEARCH(P677,보유목록!$I$2:$I$3001))*ISNUMBER(SEARCH(Q677,보유목록!$I$2:$I$3001))*(보유목록!$H$2:$H$3001=O677)),보유목록!$B$2:$B$3001),IFERROR(LOOKUP(2,1/(ISNUMBER(SEARCH(P677,보유목록!$I$2:$I$3001))*ISNUMBER(SEARCH(Q677,보유목록!$I$2:$I$3001))),보유목록!$B$2:$B$3001),"")))</f>
      </c>
      <c r="N677" s="25"/>
      <c r="O677" t="str">
        <f>IFERROR(IF(AND(LEN(SUBSTITUTE(SUBSTITUTE(SUBSTITUTE(TRIM(C677&amp;""),CHAR(160),"")," ",""),"년",""))=4,VALUE(SUBSTITUTE(SUBSTITUTE(SUBSTITUTE(TRIM(C677&amp;""),CHAR(160),"")," ",""),"년",""))&gt;=1900,VALUE(SUBSTITUTE(SUBSTITUTE(SUBSTITUTE(TRIM(C677&amp;""),CHAR(160),"")," ",""),"년",""))&lt;=2099,TEXT(VALUE(SUBSTITUTE(SUBSTITUTE(SUBSTITUTE(TRIM(C677&amp;""),CHAR(160),"")," ",""),"년","")),"0000")=SUBSTITUTE(SUBSTITUTE(SUBSTITUTE(TRIM(C677&amp;""),CHAR(160),"")," ",""),"년","")),SUBSTITUTE(SUBSTITUTE(SUBSTITUTE(TRIM(C677&amp;""),CHAR(160),"")," ",""),"년",""),""),"")</f>
      </c>
      <c r="P677" t="str">
        <f>SUBSTITUTE(SUBSTITUTE(SUBSTITUTE(SUBSTITUTE(SUBSTITUTE(SUBSTITUTE(SUBSTITUTE(SUBSTITUTE(TRIM(D677&amp;""),CHAR(160),"")," ",""),"초등학교","초"),"중학교","중"),"고등학교","고"),"~","~~"),"*","~*"),"?","~?")</f>
      </c>
      <c r="Q677" t="str">
        <f>SUBSTITUTE(SUBSTITUTE(SUBSTITUTE(SUBSTITUTE(SUBSTITUTE(SUBSTITUTE(SUBSTITUTE(SUBSTITUTE(TRIM(E677&amp;""),CHAR(160),"")," ",""),"초등학교","초"),"중학교","중"),"고등학교","고"),"~","~~"),"*","~*"),"?","~?")</f>
      </c>
      <c r="R677" t="str">
        <f>IF(COUNTA(B677:J677)=0,"",IF(AND(O677&lt;&gt;"",P677&lt;&gt;"",Q677&lt;&gt;""),"","입력누락"))</f>
      </c>
    </row>
    <row r="678" customFormat="false" ht="15" hidden="false" customHeight="false" outlineLevel="0" collapsed="false">
      <c r="A678" t="n" s="19">
        <f aca="0">IF(COUNTA(B678:J678)=0,"",ROW()-1)</f>
      </c>
      <c r="B678" s="24"/>
      <c r="C678" s="25"/>
      <c r="D678" s="8"/>
      <c r="E678" s="8"/>
      <c r="F678" s="26"/>
      <c r="G678" s="24"/>
      <c r="H678" s="25"/>
      <c r="I678" s="25"/>
      <c r="J678" s="26"/>
      <c r="K678" t="str" s="15">
        <f aca="0">IF(COUNTA(B678:J678)=0,"",IF(R678&lt;&gt;"","확인필요(입력누락)",IF(COUNTIFS(보유목록!$I$2:$I$3001,"*"&amp;P678&amp;"*",보유목록!$I$2:$I$3001,"*"&amp;Q678&amp;"*",보유목록!$H$2:$H$3001,O678)&gt;0,"있음",IF(COUNTIFS(보유목록!$I$2:$I$3001,"*"&amp;P678&amp;"*",보유목록!$I$2:$I$3001,"*"&amp;Q678&amp;"*")&gt;0,"확인필요(연도다름)",IF(COUNTIFS(보유목록!$I$2:$I$3001,"*"&amp;P678&amp;"*",보유목록!$H$2:$H$3001,O678)&gt;0,"확인필요(같은학교·같은연도)","없음")))))</f>
      </c>
      <c r="L678" t="str" s="16">
        <f aca="0">IF(OR(COUNTA(B678:J678)=0,R678&lt;&gt;""),"",COUNTIFS(보유목록!$I$2:$I$3001,"*"&amp;P678&amp;"*",보유목록!$I$2:$I$3001,"*"&amp;Q678&amp;"*"))</f>
      </c>
      <c r="M678" t="str" s="23">
        <f aca="0">IF(OR(COUNTA(B678:J678)=0,R678&lt;&gt;""),"",IFERROR(LOOKUP(2,1/(ISNUMBER(SEARCH(P678,보유목록!$I$2:$I$3001))*ISNUMBER(SEARCH(Q678,보유목록!$I$2:$I$3001))*(보유목록!$H$2:$H$3001=O678)),보유목록!$B$2:$B$3001),IFERROR(LOOKUP(2,1/(ISNUMBER(SEARCH(P678,보유목록!$I$2:$I$3001))*ISNUMBER(SEARCH(Q678,보유목록!$I$2:$I$3001))),보유목록!$B$2:$B$3001),"")))</f>
      </c>
      <c r="N678" s="25"/>
      <c r="O678" t="str">
        <f>IFERROR(IF(AND(LEN(SUBSTITUTE(SUBSTITUTE(SUBSTITUTE(TRIM(C678&amp;""),CHAR(160),"")," ",""),"년",""))=4,VALUE(SUBSTITUTE(SUBSTITUTE(SUBSTITUTE(TRIM(C678&amp;""),CHAR(160),"")," ",""),"년",""))&gt;=1900,VALUE(SUBSTITUTE(SUBSTITUTE(SUBSTITUTE(TRIM(C678&amp;""),CHAR(160),"")," ",""),"년",""))&lt;=2099,TEXT(VALUE(SUBSTITUTE(SUBSTITUTE(SUBSTITUTE(TRIM(C678&amp;""),CHAR(160),"")," ",""),"년","")),"0000")=SUBSTITUTE(SUBSTITUTE(SUBSTITUTE(TRIM(C678&amp;""),CHAR(160),"")," ",""),"년","")),SUBSTITUTE(SUBSTITUTE(SUBSTITUTE(TRIM(C678&amp;""),CHAR(160),"")," ",""),"년",""),""),"")</f>
      </c>
      <c r="P678" t="str">
        <f>SUBSTITUTE(SUBSTITUTE(SUBSTITUTE(SUBSTITUTE(SUBSTITUTE(SUBSTITUTE(SUBSTITUTE(SUBSTITUTE(TRIM(D678&amp;""),CHAR(160),"")," ",""),"초등학교","초"),"중학교","중"),"고등학교","고"),"~","~~"),"*","~*"),"?","~?")</f>
      </c>
      <c r="Q678" t="str">
        <f>SUBSTITUTE(SUBSTITUTE(SUBSTITUTE(SUBSTITUTE(SUBSTITUTE(SUBSTITUTE(SUBSTITUTE(SUBSTITUTE(TRIM(E678&amp;""),CHAR(160),"")," ",""),"초등학교","초"),"중학교","중"),"고등학교","고"),"~","~~"),"*","~*"),"?","~?")</f>
      </c>
      <c r="R678" t="str">
        <f>IF(COUNTA(B678:J678)=0,"",IF(AND(O678&lt;&gt;"",P678&lt;&gt;"",Q678&lt;&gt;""),"","입력누락"))</f>
      </c>
    </row>
    <row r="679" customFormat="false" ht="15" hidden="false" customHeight="false" outlineLevel="0" collapsed="false">
      <c r="A679" t="n" s="19">
        <f aca="0">IF(COUNTA(B679:J679)=0,"",ROW()-1)</f>
      </c>
      <c r="B679" s="24"/>
      <c r="C679" s="25"/>
      <c r="D679" s="8"/>
      <c r="E679" s="8"/>
      <c r="F679" s="26"/>
      <c r="G679" s="24"/>
      <c r="H679" s="25"/>
      <c r="I679" s="25"/>
      <c r="J679" s="26"/>
      <c r="K679" t="str" s="15">
        <f aca="0">IF(COUNTA(B679:J679)=0,"",IF(R679&lt;&gt;"","확인필요(입력누락)",IF(COUNTIFS(보유목록!$I$2:$I$3001,"*"&amp;P679&amp;"*",보유목록!$I$2:$I$3001,"*"&amp;Q679&amp;"*",보유목록!$H$2:$H$3001,O679)&gt;0,"있음",IF(COUNTIFS(보유목록!$I$2:$I$3001,"*"&amp;P679&amp;"*",보유목록!$I$2:$I$3001,"*"&amp;Q679&amp;"*")&gt;0,"확인필요(연도다름)",IF(COUNTIFS(보유목록!$I$2:$I$3001,"*"&amp;P679&amp;"*",보유목록!$H$2:$H$3001,O679)&gt;0,"확인필요(같은학교·같은연도)","없음")))))</f>
      </c>
      <c r="L679" t="str" s="16">
        <f aca="0">IF(OR(COUNTA(B679:J679)=0,R679&lt;&gt;""),"",COUNTIFS(보유목록!$I$2:$I$3001,"*"&amp;P679&amp;"*",보유목록!$I$2:$I$3001,"*"&amp;Q679&amp;"*"))</f>
      </c>
      <c r="M679" t="str" s="23">
        <f aca="0">IF(OR(COUNTA(B679:J679)=0,R679&lt;&gt;""),"",IFERROR(LOOKUP(2,1/(ISNUMBER(SEARCH(P679,보유목록!$I$2:$I$3001))*ISNUMBER(SEARCH(Q679,보유목록!$I$2:$I$3001))*(보유목록!$H$2:$H$3001=O679)),보유목록!$B$2:$B$3001),IFERROR(LOOKUP(2,1/(ISNUMBER(SEARCH(P679,보유목록!$I$2:$I$3001))*ISNUMBER(SEARCH(Q679,보유목록!$I$2:$I$3001))),보유목록!$B$2:$B$3001),"")))</f>
      </c>
      <c r="N679" s="25"/>
      <c r="O679" t="str">
        <f>IFERROR(IF(AND(LEN(SUBSTITUTE(SUBSTITUTE(SUBSTITUTE(TRIM(C679&amp;""),CHAR(160),"")," ",""),"년",""))=4,VALUE(SUBSTITUTE(SUBSTITUTE(SUBSTITUTE(TRIM(C679&amp;""),CHAR(160),"")," ",""),"년",""))&gt;=1900,VALUE(SUBSTITUTE(SUBSTITUTE(SUBSTITUTE(TRIM(C679&amp;""),CHAR(160),"")," ",""),"년",""))&lt;=2099,TEXT(VALUE(SUBSTITUTE(SUBSTITUTE(SUBSTITUTE(TRIM(C679&amp;""),CHAR(160),"")," ",""),"년","")),"0000")=SUBSTITUTE(SUBSTITUTE(SUBSTITUTE(TRIM(C679&amp;""),CHAR(160),"")," ",""),"년","")),SUBSTITUTE(SUBSTITUTE(SUBSTITUTE(TRIM(C679&amp;""),CHAR(160),"")," ",""),"년",""),""),"")</f>
      </c>
      <c r="P679" t="str">
        <f>SUBSTITUTE(SUBSTITUTE(SUBSTITUTE(SUBSTITUTE(SUBSTITUTE(SUBSTITUTE(SUBSTITUTE(SUBSTITUTE(TRIM(D679&amp;""),CHAR(160),"")," ",""),"초등학교","초"),"중학교","중"),"고등학교","고"),"~","~~"),"*","~*"),"?","~?")</f>
      </c>
      <c r="Q679" t="str">
        <f>SUBSTITUTE(SUBSTITUTE(SUBSTITUTE(SUBSTITUTE(SUBSTITUTE(SUBSTITUTE(SUBSTITUTE(SUBSTITUTE(TRIM(E679&amp;""),CHAR(160),"")," ",""),"초등학교","초"),"중학교","중"),"고등학교","고"),"~","~~"),"*","~*"),"?","~?")</f>
      </c>
      <c r="R679" t="str">
        <f>IF(COUNTA(B679:J679)=0,"",IF(AND(O679&lt;&gt;"",P679&lt;&gt;"",Q679&lt;&gt;""),"","입력누락"))</f>
      </c>
    </row>
    <row r="680" customFormat="false" ht="15" hidden="false" customHeight="false" outlineLevel="0" collapsed="false">
      <c r="A680" t="n" s="19">
        <f aca="0">IF(COUNTA(B680:J680)=0,"",ROW()-1)</f>
      </c>
      <c r="B680" s="24"/>
      <c r="C680" s="25"/>
      <c r="D680" s="8"/>
      <c r="E680" s="8"/>
      <c r="F680" s="26"/>
      <c r="G680" s="24"/>
      <c r="H680" s="25"/>
      <c r="I680" s="25"/>
      <c r="J680" s="26"/>
      <c r="K680" t="str" s="15">
        <f aca="0">IF(COUNTA(B680:J680)=0,"",IF(R680&lt;&gt;"","확인필요(입력누락)",IF(COUNTIFS(보유목록!$I$2:$I$3001,"*"&amp;P680&amp;"*",보유목록!$I$2:$I$3001,"*"&amp;Q680&amp;"*",보유목록!$H$2:$H$3001,O680)&gt;0,"있음",IF(COUNTIFS(보유목록!$I$2:$I$3001,"*"&amp;P680&amp;"*",보유목록!$I$2:$I$3001,"*"&amp;Q680&amp;"*")&gt;0,"확인필요(연도다름)",IF(COUNTIFS(보유목록!$I$2:$I$3001,"*"&amp;P680&amp;"*",보유목록!$H$2:$H$3001,O680)&gt;0,"확인필요(같은학교·같은연도)","없음")))))</f>
      </c>
      <c r="L680" t="str" s="16">
        <f aca="0">IF(OR(COUNTA(B680:J680)=0,R680&lt;&gt;""),"",COUNTIFS(보유목록!$I$2:$I$3001,"*"&amp;P680&amp;"*",보유목록!$I$2:$I$3001,"*"&amp;Q680&amp;"*"))</f>
      </c>
      <c r="M680" t="str" s="23">
        <f aca="0">IF(OR(COUNTA(B680:J680)=0,R680&lt;&gt;""),"",IFERROR(LOOKUP(2,1/(ISNUMBER(SEARCH(P680,보유목록!$I$2:$I$3001))*ISNUMBER(SEARCH(Q680,보유목록!$I$2:$I$3001))*(보유목록!$H$2:$H$3001=O680)),보유목록!$B$2:$B$3001),IFERROR(LOOKUP(2,1/(ISNUMBER(SEARCH(P680,보유목록!$I$2:$I$3001))*ISNUMBER(SEARCH(Q680,보유목록!$I$2:$I$3001))),보유목록!$B$2:$B$3001),"")))</f>
      </c>
      <c r="N680" s="25"/>
      <c r="O680" t="str">
        <f>IFERROR(IF(AND(LEN(SUBSTITUTE(SUBSTITUTE(SUBSTITUTE(TRIM(C680&amp;""),CHAR(160),"")," ",""),"년",""))=4,VALUE(SUBSTITUTE(SUBSTITUTE(SUBSTITUTE(TRIM(C680&amp;""),CHAR(160),"")," ",""),"년",""))&gt;=1900,VALUE(SUBSTITUTE(SUBSTITUTE(SUBSTITUTE(TRIM(C680&amp;""),CHAR(160),"")," ",""),"년",""))&lt;=2099,TEXT(VALUE(SUBSTITUTE(SUBSTITUTE(SUBSTITUTE(TRIM(C680&amp;""),CHAR(160),"")," ",""),"년","")),"0000")=SUBSTITUTE(SUBSTITUTE(SUBSTITUTE(TRIM(C680&amp;""),CHAR(160),"")," ",""),"년","")),SUBSTITUTE(SUBSTITUTE(SUBSTITUTE(TRIM(C680&amp;""),CHAR(160),"")," ",""),"년",""),""),"")</f>
      </c>
      <c r="P680" t="str">
        <f>SUBSTITUTE(SUBSTITUTE(SUBSTITUTE(SUBSTITUTE(SUBSTITUTE(SUBSTITUTE(SUBSTITUTE(SUBSTITUTE(TRIM(D680&amp;""),CHAR(160),"")," ",""),"초등학교","초"),"중학교","중"),"고등학교","고"),"~","~~"),"*","~*"),"?","~?")</f>
      </c>
      <c r="Q680" t="str">
        <f>SUBSTITUTE(SUBSTITUTE(SUBSTITUTE(SUBSTITUTE(SUBSTITUTE(SUBSTITUTE(SUBSTITUTE(SUBSTITUTE(TRIM(E680&amp;""),CHAR(160),"")," ",""),"초등학교","초"),"중학교","중"),"고등학교","고"),"~","~~"),"*","~*"),"?","~?")</f>
      </c>
      <c r="R680" t="str">
        <f>IF(COUNTA(B680:J680)=0,"",IF(AND(O680&lt;&gt;"",P680&lt;&gt;"",Q680&lt;&gt;""),"","입력누락"))</f>
      </c>
    </row>
    <row r="681" customFormat="false" ht="15" hidden="false" customHeight="false" outlineLevel="0" collapsed="false">
      <c r="A681" t="n" s="19">
        <f aca="0">IF(COUNTA(B681:J681)=0,"",ROW()-1)</f>
      </c>
      <c r="B681" s="24"/>
      <c r="C681" s="25"/>
      <c r="D681" s="8"/>
      <c r="E681" s="8"/>
      <c r="F681" s="26"/>
      <c r="G681" s="24"/>
      <c r="H681" s="25"/>
      <c r="I681" s="25"/>
      <c r="J681" s="26"/>
      <c r="K681" t="str" s="15">
        <f aca="0">IF(COUNTA(B681:J681)=0,"",IF(R681&lt;&gt;"","확인필요(입력누락)",IF(COUNTIFS(보유목록!$I$2:$I$3001,"*"&amp;P681&amp;"*",보유목록!$I$2:$I$3001,"*"&amp;Q681&amp;"*",보유목록!$H$2:$H$3001,O681)&gt;0,"있음",IF(COUNTIFS(보유목록!$I$2:$I$3001,"*"&amp;P681&amp;"*",보유목록!$I$2:$I$3001,"*"&amp;Q681&amp;"*")&gt;0,"확인필요(연도다름)",IF(COUNTIFS(보유목록!$I$2:$I$3001,"*"&amp;P681&amp;"*",보유목록!$H$2:$H$3001,O681)&gt;0,"확인필요(같은학교·같은연도)","없음")))))</f>
      </c>
      <c r="L681" t="str" s="16">
        <f aca="0">IF(OR(COUNTA(B681:J681)=0,R681&lt;&gt;""),"",COUNTIFS(보유목록!$I$2:$I$3001,"*"&amp;P681&amp;"*",보유목록!$I$2:$I$3001,"*"&amp;Q681&amp;"*"))</f>
      </c>
      <c r="M681" t="str" s="23">
        <f aca="0">IF(OR(COUNTA(B681:J681)=0,R681&lt;&gt;""),"",IFERROR(LOOKUP(2,1/(ISNUMBER(SEARCH(P681,보유목록!$I$2:$I$3001))*ISNUMBER(SEARCH(Q681,보유목록!$I$2:$I$3001))*(보유목록!$H$2:$H$3001=O681)),보유목록!$B$2:$B$3001),IFERROR(LOOKUP(2,1/(ISNUMBER(SEARCH(P681,보유목록!$I$2:$I$3001))*ISNUMBER(SEARCH(Q681,보유목록!$I$2:$I$3001))),보유목록!$B$2:$B$3001),"")))</f>
      </c>
      <c r="N681" s="25"/>
      <c r="O681" t="str">
        <f>IFERROR(IF(AND(LEN(SUBSTITUTE(SUBSTITUTE(SUBSTITUTE(TRIM(C681&amp;""),CHAR(160),"")," ",""),"년",""))=4,VALUE(SUBSTITUTE(SUBSTITUTE(SUBSTITUTE(TRIM(C681&amp;""),CHAR(160),"")," ",""),"년",""))&gt;=1900,VALUE(SUBSTITUTE(SUBSTITUTE(SUBSTITUTE(TRIM(C681&amp;""),CHAR(160),"")," ",""),"년",""))&lt;=2099,TEXT(VALUE(SUBSTITUTE(SUBSTITUTE(SUBSTITUTE(TRIM(C681&amp;""),CHAR(160),"")," ",""),"년","")),"0000")=SUBSTITUTE(SUBSTITUTE(SUBSTITUTE(TRIM(C681&amp;""),CHAR(160),"")," ",""),"년","")),SUBSTITUTE(SUBSTITUTE(SUBSTITUTE(TRIM(C681&amp;""),CHAR(160),"")," ",""),"년",""),""),"")</f>
      </c>
      <c r="P681" t="str">
        <f>SUBSTITUTE(SUBSTITUTE(SUBSTITUTE(SUBSTITUTE(SUBSTITUTE(SUBSTITUTE(SUBSTITUTE(SUBSTITUTE(TRIM(D681&amp;""),CHAR(160),"")," ",""),"초등학교","초"),"중학교","중"),"고등학교","고"),"~","~~"),"*","~*"),"?","~?")</f>
      </c>
      <c r="Q681" t="str">
        <f>SUBSTITUTE(SUBSTITUTE(SUBSTITUTE(SUBSTITUTE(SUBSTITUTE(SUBSTITUTE(SUBSTITUTE(SUBSTITUTE(TRIM(E681&amp;""),CHAR(160),"")," ",""),"초등학교","초"),"중학교","중"),"고등학교","고"),"~","~~"),"*","~*"),"?","~?")</f>
      </c>
      <c r="R681" t="str">
        <f>IF(COUNTA(B681:J681)=0,"",IF(AND(O681&lt;&gt;"",P681&lt;&gt;"",Q681&lt;&gt;""),"","입력누락"))</f>
      </c>
    </row>
    <row r="682" customFormat="false" ht="15" hidden="false" customHeight="false" outlineLevel="0" collapsed="false">
      <c r="A682" t="n" s="19">
        <f aca="0">IF(COUNTA(B682:J682)=0,"",ROW()-1)</f>
      </c>
      <c r="B682" s="24"/>
      <c r="C682" s="25"/>
      <c r="D682" s="8"/>
      <c r="E682" s="8"/>
      <c r="F682" s="26"/>
      <c r="G682" s="24"/>
      <c r="H682" s="25"/>
      <c r="I682" s="25"/>
      <c r="J682" s="26"/>
      <c r="K682" t="str" s="15">
        <f aca="0">IF(COUNTA(B682:J682)=0,"",IF(R682&lt;&gt;"","확인필요(입력누락)",IF(COUNTIFS(보유목록!$I$2:$I$3001,"*"&amp;P682&amp;"*",보유목록!$I$2:$I$3001,"*"&amp;Q682&amp;"*",보유목록!$H$2:$H$3001,O682)&gt;0,"있음",IF(COUNTIFS(보유목록!$I$2:$I$3001,"*"&amp;P682&amp;"*",보유목록!$I$2:$I$3001,"*"&amp;Q682&amp;"*")&gt;0,"확인필요(연도다름)",IF(COUNTIFS(보유목록!$I$2:$I$3001,"*"&amp;P682&amp;"*",보유목록!$H$2:$H$3001,O682)&gt;0,"확인필요(같은학교·같은연도)","없음")))))</f>
      </c>
      <c r="L682" t="str" s="16">
        <f aca="0">IF(OR(COUNTA(B682:J682)=0,R682&lt;&gt;""),"",COUNTIFS(보유목록!$I$2:$I$3001,"*"&amp;P682&amp;"*",보유목록!$I$2:$I$3001,"*"&amp;Q682&amp;"*"))</f>
      </c>
      <c r="M682" t="str" s="23">
        <f aca="0">IF(OR(COUNTA(B682:J682)=0,R682&lt;&gt;""),"",IFERROR(LOOKUP(2,1/(ISNUMBER(SEARCH(P682,보유목록!$I$2:$I$3001))*ISNUMBER(SEARCH(Q682,보유목록!$I$2:$I$3001))*(보유목록!$H$2:$H$3001=O682)),보유목록!$B$2:$B$3001),IFERROR(LOOKUP(2,1/(ISNUMBER(SEARCH(P682,보유목록!$I$2:$I$3001))*ISNUMBER(SEARCH(Q682,보유목록!$I$2:$I$3001))),보유목록!$B$2:$B$3001),"")))</f>
      </c>
      <c r="N682" s="25"/>
      <c r="O682" t="str">
        <f>IFERROR(IF(AND(LEN(SUBSTITUTE(SUBSTITUTE(SUBSTITUTE(TRIM(C682&amp;""),CHAR(160),"")," ",""),"년",""))=4,VALUE(SUBSTITUTE(SUBSTITUTE(SUBSTITUTE(TRIM(C682&amp;""),CHAR(160),"")," ",""),"년",""))&gt;=1900,VALUE(SUBSTITUTE(SUBSTITUTE(SUBSTITUTE(TRIM(C682&amp;""),CHAR(160),"")," ",""),"년",""))&lt;=2099,TEXT(VALUE(SUBSTITUTE(SUBSTITUTE(SUBSTITUTE(TRIM(C682&amp;""),CHAR(160),"")," ",""),"년","")),"0000")=SUBSTITUTE(SUBSTITUTE(SUBSTITUTE(TRIM(C682&amp;""),CHAR(160),"")," ",""),"년","")),SUBSTITUTE(SUBSTITUTE(SUBSTITUTE(TRIM(C682&amp;""),CHAR(160),"")," ",""),"년",""),""),"")</f>
      </c>
      <c r="P682" t="str">
        <f>SUBSTITUTE(SUBSTITUTE(SUBSTITUTE(SUBSTITUTE(SUBSTITUTE(SUBSTITUTE(SUBSTITUTE(SUBSTITUTE(TRIM(D682&amp;""),CHAR(160),"")," ",""),"초등학교","초"),"중학교","중"),"고등학교","고"),"~","~~"),"*","~*"),"?","~?")</f>
      </c>
      <c r="Q682" t="str">
        <f>SUBSTITUTE(SUBSTITUTE(SUBSTITUTE(SUBSTITUTE(SUBSTITUTE(SUBSTITUTE(SUBSTITUTE(SUBSTITUTE(TRIM(E682&amp;""),CHAR(160),"")," ",""),"초등학교","초"),"중학교","중"),"고등학교","고"),"~","~~"),"*","~*"),"?","~?")</f>
      </c>
      <c r="R682" t="str">
        <f>IF(COUNTA(B682:J682)=0,"",IF(AND(O682&lt;&gt;"",P682&lt;&gt;"",Q682&lt;&gt;""),"","입력누락"))</f>
      </c>
    </row>
    <row r="683" customFormat="false" ht="15" hidden="false" customHeight="false" outlineLevel="0" collapsed="false">
      <c r="A683" t="n" s="19">
        <f aca="0">IF(COUNTA(B683:J683)=0,"",ROW()-1)</f>
      </c>
      <c r="B683" s="24"/>
      <c r="C683" s="25"/>
      <c r="D683" s="8"/>
      <c r="E683" s="8"/>
      <c r="F683" s="26"/>
      <c r="G683" s="24"/>
      <c r="H683" s="25"/>
      <c r="I683" s="25"/>
      <c r="J683" s="26"/>
      <c r="K683" t="str" s="15">
        <f aca="0">IF(COUNTA(B683:J683)=0,"",IF(R683&lt;&gt;"","확인필요(입력누락)",IF(COUNTIFS(보유목록!$I$2:$I$3001,"*"&amp;P683&amp;"*",보유목록!$I$2:$I$3001,"*"&amp;Q683&amp;"*",보유목록!$H$2:$H$3001,O683)&gt;0,"있음",IF(COUNTIFS(보유목록!$I$2:$I$3001,"*"&amp;P683&amp;"*",보유목록!$I$2:$I$3001,"*"&amp;Q683&amp;"*")&gt;0,"확인필요(연도다름)",IF(COUNTIFS(보유목록!$I$2:$I$3001,"*"&amp;P683&amp;"*",보유목록!$H$2:$H$3001,O683)&gt;0,"확인필요(같은학교·같은연도)","없음")))))</f>
      </c>
      <c r="L683" t="str" s="16">
        <f aca="0">IF(OR(COUNTA(B683:J683)=0,R683&lt;&gt;""),"",COUNTIFS(보유목록!$I$2:$I$3001,"*"&amp;P683&amp;"*",보유목록!$I$2:$I$3001,"*"&amp;Q683&amp;"*"))</f>
      </c>
      <c r="M683" t="str" s="23">
        <f aca="0">IF(OR(COUNTA(B683:J683)=0,R683&lt;&gt;""),"",IFERROR(LOOKUP(2,1/(ISNUMBER(SEARCH(P683,보유목록!$I$2:$I$3001))*ISNUMBER(SEARCH(Q683,보유목록!$I$2:$I$3001))*(보유목록!$H$2:$H$3001=O683)),보유목록!$B$2:$B$3001),IFERROR(LOOKUP(2,1/(ISNUMBER(SEARCH(P683,보유목록!$I$2:$I$3001))*ISNUMBER(SEARCH(Q683,보유목록!$I$2:$I$3001))),보유목록!$B$2:$B$3001),"")))</f>
      </c>
      <c r="N683" s="25"/>
      <c r="O683" t="str">
        <f>IFERROR(IF(AND(LEN(SUBSTITUTE(SUBSTITUTE(SUBSTITUTE(TRIM(C683&amp;""),CHAR(160),"")," ",""),"년",""))=4,VALUE(SUBSTITUTE(SUBSTITUTE(SUBSTITUTE(TRIM(C683&amp;""),CHAR(160),"")," ",""),"년",""))&gt;=1900,VALUE(SUBSTITUTE(SUBSTITUTE(SUBSTITUTE(TRIM(C683&amp;""),CHAR(160),"")," ",""),"년",""))&lt;=2099,TEXT(VALUE(SUBSTITUTE(SUBSTITUTE(SUBSTITUTE(TRIM(C683&amp;""),CHAR(160),"")," ",""),"년","")),"0000")=SUBSTITUTE(SUBSTITUTE(SUBSTITUTE(TRIM(C683&amp;""),CHAR(160),"")," ",""),"년","")),SUBSTITUTE(SUBSTITUTE(SUBSTITUTE(TRIM(C683&amp;""),CHAR(160),"")," ",""),"년",""),""),"")</f>
      </c>
      <c r="P683" t="str">
        <f>SUBSTITUTE(SUBSTITUTE(SUBSTITUTE(SUBSTITUTE(SUBSTITUTE(SUBSTITUTE(SUBSTITUTE(SUBSTITUTE(TRIM(D683&amp;""),CHAR(160),"")," ",""),"초등학교","초"),"중학교","중"),"고등학교","고"),"~","~~"),"*","~*"),"?","~?")</f>
      </c>
      <c r="Q683" t="str">
        <f>SUBSTITUTE(SUBSTITUTE(SUBSTITUTE(SUBSTITUTE(SUBSTITUTE(SUBSTITUTE(SUBSTITUTE(SUBSTITUTE(TRIM(E683&amp;""),CHAR(160),"")," ",""),"초등학교","초"),"중학교","중"),"고등학교","고"),"~","~~"),"*","~*"),"?","~?")</f>
      </c>
      <c r="R683" t="str">
        <f>IF(COUNTA(B683:J683)=0,"",IF(AND(O683&lt;&gt;"",P683&lt;&gt;"",Q683&lt;&gt;""),"","입력누락"))</f>
      </c>
    </row>
    <row r="684" customFormat="false" ht="15" hidden="false" customHeight="false" outlineLevel="0" collapsed="false">
      <c r="A684" t="n" s="19">
        <f aca="0">IF(COUNTA(B684:J684)=0,"",ROW()-1)</f>
      </c>
      <c r="B684" s="24"/>
      <c r="C684" s="25"/>
      <c r="D684" s="8"/>
      <c r="E684" s="8"/>
      <c r="F684" s="26"/>
      <c r="G684" s="24"/>
      <c r="H684" s="25"/>
      <c r="I684" s="25"/>
      <c r="J684" s="26"/>
      <c r="K684" t="str" s="15">
        <f aca="0">IF(COUNTA(B684:J684)=0,"",IF(R684&lt;&gt;"","확인필요(입력누락)",IF(COUNTIFS(보유목록!$I$2:$I$3001,"*"&amp;P684&amp;"*",보유목록!$I$2:$I$3001,"*"&amp;Q684&amp;"*",보유목록!$H$2:$H$3001,O684)&gt;0,"있음",IF(COUNTIFS(보유목록!$I$2:$I$3001,"*"&amp;P684&amp;"*",보유목록!$I$2:$I$3001,"*"&amp;Q684&amp;"*")&gt;0,"확인필요(연도다름)",IF(COUNTIFS(보유목록!$I$2:$I$3001,"*"&amp;P684&amp;"*",보유목록!$H$2:$H$3001,O684)&gt;0,"확인필요(같은학교·같은연도)","없음")))))</f>
      </c>
      <c r="L684" t="str" s="16">
        <f aca="0">IF(OR(COUNTA(B684:J684)=0,R684&lt;&gt;""),"",COUNTIFS(보유목록!$I$2:$I$3001,"*"&amp;P684&amp;"*",보유목록!$I$2:$I$3001,"*"&amp;Q684&amp;"*"))</f>
      </c>
      <c r="M684" t="str" s="23">
        <f aca="0">IF(OR(COUNTA(B684:J684)=0,R684&lt;&gt;""),"",IFERROR(LOOKUP(2,1/(ISNUMBER(SEARCH(P684,보유목록!$I$2:$I$3001))*ISNUMBER(SEARCH(Q684,보유목록!$I$2:$I$3001))*(보유목록!$H$2:$H$3001=O684)),보유목록!$B$2:$B$3001),IFERROR(LOOKUP(2,1/(ISNUMBER(SEARCH(P684,보유목록!$I$2:$I$3001))*ISNUMBER(SEARCH(Q684,보유목록!$I$2:$I$3001))),보유목록!$B$2:$B$3001),"")))</f>
      </c>
      <c r="N684" s="25"/>
      <c r="O684" t="str">
        <f>IFERROR(IF(AND(LEN(SUBSTITUTE(SUBSTITUTE(SUBSTITUTE(TRIM(C684&amp;""),CHAR(160),"")," ",""),"년",""))=4,VALUE(SUBSTITUTE(SUBSTITUTE(SUBSTITUTE(TRIM(C684&amp;""),CHAR(160),"")," ",""),"년",""))&gt;=1900,VALUE(SUBSTITUTE(SUBSTITUTE(SUBSTITUTE(TRIM(C684&amp;""),CHAR(160),"")," ",""),"년",""))&lt;=2099,TEXT(VALUE(SUBSTITUTE(SUBSTITUTE(SUBSTITUTE(TRIM(C684&amp;""),CHAR(160),"")," ",""),"년","")),"0000")=SUBSTITUTE(SUBSTITUTE(SUBSTITUTE(TRIM(C684&amp;""),CHAR(160),"")," ",""),"년","")),SUBSTITUTE(SUBSTITUTE(SUBSTITUTE(TRIM(C684&amp;""),CHAR(160),"")," ",""),"년",""),""),"")</f>
      </c>
      <c r="P684" t="str">
        <f>SUBSTITUTE(SUBSTITUTE(SUBSTITUTE(SUBSTITUTE(SUBSTITUTE(SUBSTITUTE(SUBSTITUTE(SUBSTITUTE(TRIM(D684&amp;""),CHAR(160),"")," ",""),"초등학교","초"),"중학교","중"),"고등학교","고"),"~","~~"),"*","~*"),"?","~?")</f>
      </c>
      <c r="Q684" t="str">
        <f>SUBSTITUTE(SUBSTITUTE(SUBSTITUTE(SUBSTITUTE(SUBSTITUTE(SUBSTITUTE(SUBSTITUTE(SUBSTITUTE(TRIM(E684&amp;""),CHAR(160),"")," ",""),"초등학교","초"),"중학교","중"),"고등학교","고"),"~","~~"),"*","~*"),"?","~?")</f>
      </c>
      <c r="R684" t="str">
        <f>IF(COUNTA(B684:J684)=0,"",IF(AND(O684&lt;&gt;"",P684&lt;&gt;"",Q684&lt;&gt;""),"","입력누락"))</f>
      </c>
    </row>
    <row r="685" customFormat="false" ht="15" hidden="false" customHeight="false" outlineLevel="0" collapsed="false">
      <c r="A685" t="n" s="19">
        <f aca="0">IF(COUNTA(B685:J685)=0,"",ROW()-1)</f>
      </c>
      <c r="B685" s="24"/>
      <c r="C685" s="25"/>
      <c r="D685" s="8"/>
      <c r="E685" s="8"/>
      <c r="F685" s="26"/>
      <c r="G685" s="24"/>
      <c r="H685" s="25"/>
      <c r="I685" s="25"/>
      <c r="J685" s="26"/>
      <c r="K685" t="str" s="15">
        <f aca="0">IF(COUNTA(B685:J685)=0,"",IF(R685&lt;&gt;"","확인필요(입력누락)",IF(COUNTIFS(보유목록!$I$2:$I$3001,"*"&amp;P685&amp;"*",보유목록!$I$2:$I$3001,"*"&amp;Q685&amp;"*",보유목록!$H$2:$H$3001,O685)&gt;0,"있음",IF(COUNTIFS(보유목록!$I$2:$I$3001,"*"&amp;P685&amp;"*",보유목록!$I$2:$I$3001,"*"&amp;Q685&amp;"*")&gt;0,"확인필요(연도다름)",IF(COUNTIFS(보유목록!$I$2:$I$3001,"*"&amp;P685&amp;"*",보유목록!$H$2:$H$3001,O685)&gt;0,"확인필요(같은학교·같은연도)","없음")))))</f>
      </c>
      <c r="L685" t="str" s="16">
        <f aca="0">IF(OR(COUNTA(B685:J685)=0,R685&lt;&gt;""),"",COUNTIFS(보유목록!$I$2:$I$3001,"*"&amp;P685&amp;"*",보유목록!$I$2:$I$3001,"*"&amp;Q685&amp;"*"))</f>
      </c>
      <c r="M685" t="str" s="23">
        <f aca="0">IF(OR(COUNTA(B685:J685)=0,R685&lt;&gt;""),"",IFERROR(LOOKUP(2,1/(ISNUMBER(SEARCH(P685,보유목록!$I$2:$I$3001))*ISNUMBER(SEARCH(Q685,보유목록!$I$2:$I$3001))*(보유목록!$H$2:$H$3001=O685)),보유목록!$B$2:$B$3001),IFERROR(LOOKUP(2,1/(ISNUMBER(SEARCH(P685,보유목록!$I$2:$I$3001))*ISNUMBER(SEARCH(Q685,보유목록!$I$2:$I$3001))),보유목록!$B$2:$B$3001),"")))</f>
      </c>
      <c r="N685" s="25"/>
      <c r="O685" t="str">
        <f>IFERROR(IF(AND(LEN(SUBSTITUTE(SUBSTITUTE(SUBSTITUTE(TRIM(C685&amp;""),CHAR(160),"")," ",""),"년",""))=4,VALUE(SUBSTITUTE(SUBSTITUTE(SUBSTITUTE(TRIM(C685&amp;""),CHAR(160),"")," ",""),"년",""))&gt;=1900,VALUE(SUBSTITUTE(SUBSTITUTE(SUBSTITUTE(TRIM(C685&amp;""),CHAR(160),"")," ",""),"년",""))&lt;=2099,TEXT(VALUE(SUBSTITUTE(SUBSTITUTE(SUBSTITUTE(TRIM(C685&amp;""),CHAR(160),"")," ",""),"년","")),"0000")=SUBSTITUTE(SUBSTITUTE(SUBSTITUTE(TRIM(C685&amp;""),CHAR(160),"")," ",""),"년","")),SUBSTITUTE(SUBSTITUTE(SUBSTITUTE(TRIM(C685&amp;""),CHAR(160),"")," ",""),"년",""),""),"")</f>
      </c>
      <c r="P685" t="str">
        <f>SUBSTITUTE(SUBSTITUTE(SUBSTITUTE(SUBSTITUTE(SUBSTITUTE(SUBSTITUTE(SUBSTITUTE(SUBSTITUTE(TRIM(D685&amp;""),CHAR(160),"")," ",""),"초등학교","초"),"중학교","중"),"고등학교","고"),"~","~~"),"*","~*"),"?","~?")</f>
      </c>
      <c r="Q685" t="str">
        <f>SUBSTITUTE(SUBSTITUTE(SUBSTITUTE(SUBSTITUTE(SUBSTITUTE(SUBSTITUTE(SUBSTITUTE(SUBSTITUTE(TRIM(E685&amp;""),CHAR(160),"")," ",""),"초등학교","초"),"중학교","중"),"고등학교","고"),"~","~~"),"*","~*"),"?","~?")</f>
      </c>
      <c r="R685" t="str">
        <f>IF(COUNTA(B685:J685)=0,"",IF(AND(O685&lt;&gt;"",P685&lt;&gt;"",Q685&lt;&gt;""),"","입력누락"))</f>
      </c>
    </row>
    <row r="686" customFormat="false" ht="15" hidden="false" customHeight="false" outlineLevel="0" collapsed="false">
      <c r="A686" t="n" s="19">
        <f aca="0">IF(COUNTA(B686:J686)=0,"",ROW()-1)</f>
      </c>
      <c r="B686" s="24"/>
      <c r="C686" s="25"/>
      <c r="D686" s="8"/>
      <c r="E686" s="8"/>
      <c r="F686" s="26"/>
      <c r="G686" s="24"/>
      <c r="H686" s="25"/>
      <c r="I686" s="25"/>
      <c r="J686" s="26"/>
      <c r="K686" t="str" s="15">
        <f aca="0">IF(COUNTA(B686:J686)=0,"",IF(R686&lt;&gt;"","확인필요(입력누락)",IF(COUNTIFS(보유목록!$I$2:$I$3001,"*"&amp;P686&amp;"*",보유목록!$I$2:$I$3001,"*"&amp;Q686&amp;"*",보유목록!$H$2:$H$3001,O686)&gt;0,"있음",IF(COUNTIFS(보유목록!$I$2:$I$3001,"*"&amp;P686&amp;"*",보유목록!$I$2:$I$3001,"*"&amp;Q686&amp;"*")&gt;0,"확인필요(연도다름)",IF(COUNTIFS(보유목록!$I$2:$I$3001,"*"&amp;P686&amp;"*",보유목록!$H$2:$H$3001,O686)&gt;0,"확인필요(같은학교·같은연도)","없음")))))</f>
      </c>
      <c r="L686" t="str" s="16">
        <f aca="0">IF(OR(COUNTA(B686:J686)=0,R686&lt;&gt;""),"",COUNTIFS(보유목록!$I$2:$I$3001,"*"&amp;P686&amp;"*",보유목록!$I$2:$I$3001,"*"&amp;Q686&amp;"*"))</f>
      </c>
      <c r="M686" t="str" s="23">
        <f aca="0">IF(OR(COUNTA(B686:J686)=0,R686&lt;&gt;""),"",IFERROR(LOOKUP(2,1/(ISNUMBER(SEARCH(P686,보유목록!$I$2:$I$3001))*ISNUMBER(SEARCH(Q686,보유목록!$I$2:$I$3001))*(보유목록!$H$2:$H$3001=O686)),보유목록!$B$2:$B$3001),IFERROR(LOOKUP(2,1/(ISNUMBER(SEARCH(P686,보유목록!$I$2:$I$3001))*ISNUMBER(SEARCH(Q686,보유목록!$I$2:$I$3001))),보유목록!$B$2:$B$3001),"")))</f>
      </c>
      <c r="N686" s="25"/>
      <c r="O686" t="str">
        <f>IFERROR(IF(AND(LEN(SUBSTITUTE(SUBSTITUTE(SUBSTITUTE(TRIM(C686&amp;""),CHAR(160),"")," ",""),"년",""))=4,VALUE(SUBSTITUTE(SUBSTITUTE(SUBSTITUTE(TRIM(C686&amp;""),CHAR(160),"")," ",""),"년",""))&gt;=1900,VALUE(SUBSTITUTE(SUBSTITUTE(SUBSTITUTE(TRIM(C686&amp;""),CHAR(160),"")," ",""),"년",""))&lt;=2099,TEXT(VALUE(SUBSTITUTE(SUBSTITUTE(SUBSTITUTE(TRIM(C686&amp;""),CHAR(160),"")," ",""),"년","")),"0000")=SUBSTITUTE(SUBSTITUTE(SUBSTITUTE(TRIM(C686&amp;""),CHAR(160),"")," ",""),"년","")),SUBSTITUTE(SUBSTITUTE(SUBSTITUTE(TRIM(C686&amp;""),CHAR(160),"")," ",""),"년",""),""),"")</f>
      </c>
      <c r="P686" t="str">
        <f>SUBSTITUTE(SUBSTITUTE(SUBSTITUTE(SUBSTITUTE(SUBSTITUTE(SUBSTITUTE(SUBSTITUTE(SUBSTITUTE(TRIM(D686&amp;""),CHAR(160),"")," ",""),"초등학교","초"),"중학교","중"),"고등학교","고"),"~","~~"),"*","~*"),"?","~?")</f>
      </c>
      <c r="Q686" t="str">
        <f>SUBSTITUTE(SUBSTITUTE(SUBSTITUTE(SUBSTITUTE(SUBSTITUTE(SUBSTITUTE(SUBSTITUTE(SUBSTITUTE(TRIM(E686&amp;""),CHAR(160),"")," ",""),"초등학교","초"),"중학교","중"),"고등학교","고"),"~","~~"),"*","~*"),"?","~?")</f>
      </c>
      <c r="R686" t="str">
        <f>IF(COUNTA(B686:J686)=0,"",IF(AND(O686&lt;&gt;"",P686&lt;&gt;"",Q686&lt;&gt;""),"","입력누락"))</f>
      </c>
    </row>
    <row r="687" customFormat="false" ht="15" hidden="false" customHeight="false" outlineLevel="0" collapsed="false">
      <c r="A687" t="n" s="19">
        <f aca="0">IF(COUNTA(B687:J687)=0,"",ROW()-1)</f>
      </c>
      <c r="B687" s="24"/>
      <c r="C687" s="25"/>
      <c r="D687" s="8"/>
      <c r="E687" s="8"/>
      <c r="F687" s="26"/>
      <c r="G687" s="24"/>
      <c r="H687" s="25"/>
      <c r="I687" s="25"/>
      <c r="J687" s="26"/>
      <c r="K687" t="str" s="15">
        <f aca="0">IF(COUNTA(B687:J687)=0,"",IF(R687&lt;&gt;"","확인필요(입력누락)",IF(COUNTIFS(보유목록!$I$2:$I$3001,"*"&amp;P687&amp;"*",보유목록!$I$2:$I$3001,"*"&amp;Q687&amp;"*",보유목록!$H$2:$H$3001,O687)&gt;0,"있음",IF(COUNTIFS(보유목록!$I$2:$I$3001,"*"&amp;P687&amp;"*",보유목록!$I$2:$I$3001,"*"&amp;Q687&amp;"*")&gt;0,"확인필요(연도다름)",IF(COUNTIFS(보유목록!$I$2:$I$3001,"*"&amp;P687&amp;"*",보유목록!$H$2:$H$3001,O687)&gt;0,"확인필요(같은학교·같은연도)","없음")))))</f>
      </c>
      <c r="L687" t="str" s="16">
        <f aca="0">IF(OR(COUNTA(B687:J687)=0,R687&lt;&gt;""),"",COUNTIFS(보유목록!$I$2:$I$3001,"*"&amp;P687&amp;"*",보유목록!$I$2:$I$3001,"*"&amp;Q687&amp;"*"))</f>
      </c>
      <c r="M687" t="str" s="23">
        <f aca="0">IF(OR(COUNTA(B687:J687)=0,R687&lt;&gt;""),"",IFERROR(LOOKUP(2,1/(ISNUMBER(SEARCH(P687,보유목록!$I$2:$I$3001))*ISNUMBER(SEARCH(Q687,보유목록!$I$2:$I$3001))*(보유목록!$H$2:$H$3001=O687)),보유목록!$B$2:$B$3001),IFERROR(LOOKUP(2,1/(ISNUMBER(SEARCH(P687,보유목록!$I$2:$I$3001))*ISNUMBER(SEARCH(Q687,보유목록!$I$2:$I$3001))),보유목록!$B$2:$B$3001),"")))</f>
      </c>
      <c r="N687" s="25"/>
      <c r="O687" t="str">
        <f>IFERROR(IF(AND(LEN(SUBSTITUTE(SUBSTITUTE(SUBSTITUTE(TRIM(C687&amp;""),CHAR(160),"")," ",""),"년",""))=4,VALUE(SUBSTITUTE(SUBSTITUTE(SUBSTITUTE(TRIM(C687&amp;""),CHAR(160),"")," ",""),"년",""))&gt;=1900,VALUE(SUBSTITUTE(SUBSTITUTE(SUBSTITUTE(TRIM(C687&amp;""),CHAR(160),"")," ",""),"년",""))&lt;=2099,TEXT(VALUE(SUBSTITUTE(SUBSTITUTE(SUBSTITUTE(TRIM(C687&amp;""),CHAR(160),"")," ",""),"년","")),"0000")=SUBSTITUTE(SUBSTITUTE(SUBSTITUTE(TRIM(C687&amp;""),CHAR(160),"")," ",""),"년","")),SUBSTITUTE(SUBSTITUTE(SUBSTITUTE(TRIM(C687&amp;""),CHAR(160),"")," ",""),"년",""),""),"")</f>
      </c>
      <c r="P687" t="str">
        <f>SUBSTITUTE(SUBSTITUTE(SUBSTITUTE(SUBSTITUTE(SUBSTITUTE(SUBSTITUTE(SUBSTITUTE(SUBSTITUTE(TRIM(D687&amp;""),CHAR(160),"")," ",""),"초등학교","초"),"중학교","중"),"고등학교","고"),"~","~~"),"*","~*"),"?","~?")</f>
      </c>
      <c r="Q687" t="str">
        <f>SUBSTITUTE(SUBSTITUTE(SUBSTITUTE(SUBSTITUTE(SUBSTITUTE(SUBSTITUTE(SUBSTITUTE(SUBSTITUTE(TRIM(E687&amp;""),CHAR(160),"")," ",""),"초등학교","초"),"중학교","중"),"고등학교","고"),"~","~~"),"*","~*"),"?","~?")</f>
      </c>
      <c r="R687" t="str">
        <f>IF(COUNTA(B687:J687)=0,"",IF(AND(O687&lt;&gt;"",P687&lt;&gt;"",Q687&lt;&gt;""),"","입력누락"))</f>
      </c>
    </row>
    <row r="688" customFormat="false" ht="15" hidden="false" customHeight="false" outlineLevel="0" collapsed="false">
      <c r="A688" t="n" s="19">
        <f aca="0">IF(COUNTA(B688:J688)=0,"",ROW()-1)</f>
      </c>
      <c r="B688" s="24"/>
      <c r="C688" s="25"/>
      <c r="D688" s="8"/>
      <c r="E688" s="8"/>
      <c r="F688" s="26"/>
      <c r="G688" s="24"/>
      <c r="H688" s="25"/>
      <c r="I688" s="25"/>
      <c r="J688" s="26"/>
      <c r="K688" t="str" s="15">
        <f aca="0">IF(COUNTA(B688:J688)=0,"",IF(R688&lt;&gt;"","확인필요(입력누락)",IF(COUNTIFS(보유목록!$I$2:$I$3001,"*"&amp;P688&amp;"*",보유목록!$I$2:$I$3001,"*"&amp;Q688&amp;"*",보유목록!$H$2:$H$3001,O688)&gt;0,"있음",IF(COUNTIFS(보유목록!$I$2:$I$3001,"*"&amp;P688&amp;"*",보유목록!$I$2:$I$3001,"*"&amp;Q688&amp;"*")&gt;0,"확인필요(연도다름)",IF(COUNTIFS(보유목록!$I$2:$I$3001,"*"&amp;P688&amp;"*",보유목록!$H$2:$H$3001,O688)&gt;0,"확인필요(같은학교·같은연도)","없음")))))</f>
      </c>
      <c r="L688" t="str" s="16">
        <f aca="0">IF(OR(COUNTA(B688:J688)=0,R688&lt;&gt;""),"",COUNTIFS(보유목록!$I$2:$I$3001,"*"&amp;P688&amp;"*",보유목록!$I$2:$I$3001,"*"&amp;Q688&amp;"*"))</f>
      </c>
      <c r="M688" t="str" s="23">
        <f aca="0">IF(OR(COUNTA(B688:J688)=0,R688&lt;&gt;""),"",IFERROR(LOOKUP(2,1/(ISNUMBER(SEARCH(P688,보유목록!$I$2:$I$3001))*ISNUMBER(SEARCH(Q688,보유목록!$I$2:$I$3001))*(보유목록!$H$2:$H$3001=O688)),보유목록!$B$2:$B$3001),IFERROR(LOOKUP(2,1/(ISNUMBER(SEARCH(P688,보유목록!$I$2:$I$3001))*ISNUMBER(SEARCH(Q688,보유목록!$I$2:$I$3001))),보유목록!$B$2:$B$3001),"")))</f>
      </c>
      <c r="N688" s="25"/>
      <c r="O688" t="str">
        <f>IFERROR(IF(AND(LEN(SUBSTITUTE(SUBSTITUTE(SUBSTITUTE(TRIM(C688&amp;""),CHAR(160),"")," ",""),"년",""))=4,VALUE(SUBSTITUTE(SUBSTITUTE(SUBSTITUTE(TRIM(C688&amp;""),CHAR(160),"")," ",""),"년",""))&gt;=1900,VALUE(SUBSTITUTE(SUBSTITUTE(SUBSTITUTE(TRIM(C688&amp;""),CHAR(160),"")," ",""),"년",""))&lt;=2099,TEXT(VALUE(SUBSTITUTE(SUBSTITUTE(SUBSTITUTE(TRIM(C688&amp;""),CHAR(160),"")," ",""),"년","")),"0000")=SUBSTITUTE(SUBSTITUTE(SUBSTITUTE(TRIM(C688&amp;""),CHAR(160),"")," ",""),"년","")),SUBSTITUTE(SUBSTITUTE(SUBSTITUTE(TRIM(C688&amp;""),CHAR(160),"")," ",""),"년",""),""),"")</f>
      </c>
      <c r="P688" t="str">
        <f>SUBSTITUTE(SUBSTITUTE(SUBSTITUTE(SUBSTITUTE(SUBSTITUTE(SUBSTITUTE(SUBSTITUTE(SUBSTITUTE(TRIM(D688&amp;""),CHAR(160),"")," ",""),"초등학교","초"),"중학교","중"),"고등학교","고"),"~","~~"),"*","~*"),"?","~?")</f>
      </c>
      <c r="Q688" t="str">
        <f>SUBSTITUTE(SUBSTITUTE(SUBSTITUTE(SUBSTITUTE(SUBSTITUTE(SUBSTITUTE(SUBSTITUTE(SUBSTITUTE(TRIM(E688&amp;""),CHAR(160),"")," ",""),"초등학교","초"),"중학교","중"),"고등학교","고"),"~","~~"),"*","~*"),"?","~?")</f>
      </c>
      <c r="R688" t="str">
        <f>IF(COUNTA(B688:J688)=0,"",IF(AND(O688&lt;&gt;"",P688&lt;&gt;"",Q688&lt;&gt;""),"","입력누락"))</f>
      </c>
    </row>
    <row r="689" customFormat="false" ht="15" hidden="false" customHeight="false" outlineLevel="0" collapsed="false">
      <c r="A689" t="n" s="19">
        <f aca="0">IF(COUNTA(B689:J689)=0,"",ROW()-1)</f>
      </c>
      <c r="B689" s="24"/>
      <c r="C689" s="25"/>
      <c r="D689" s="8"/>
      <c r="E689" s="8"/>
      <c r="F689" s="26"/>
      <c r="G689" s="24"/>
      <c r="H689" s="25"/>
      <c r="I689" s="25"/>
      <c r="J689" s="26"/>
      <c r="K689" t="str" s="15">
        <f aca="0">IF(COUNTA(B689:J689)=0,"",IF(R689&lt;&gt;"","확인필요(입력누락)",IF(COUNTIFS(보유목록!$I$2:$I$3001,"*"&amp;P689&amp;"*",보유목록!$I$2:$I$3001,"*"&amp;Q689&amp;"*",보유목록!$H$2:$H$3001,O689)&gt;0,"있음",IF(COUNTIFS(보유목록!$I$2:$I$3001,"*"&amp;P689&amp;"*",보유목록!$I$2:$I$3001,"*"&amp;Q689&amp;"*")&gt;0,"확인필요(연도다름)",IF(COUNTIFS(보유목록!$I$2:$I$3001,"*"&amp;P689&amp;"*",보유목록!$H$2:$H$3001,O689)&gt;0,"확인필요(같은학교·같은연도)","없음")))))</f>
      </c>
      <c r="L689" t="str" s="16">
        <f aca="0">IF(OR(COUNTA(B689:J689)=0,R689&lt;&gt;""),"",COUNTIFS(보유목록!$I$2:$I$3001,"*"&amp;P689&amp;"*",보유목록!$I$2:$I$3001,"*"&amp;Q689&amp;"*"))</f>
      </c>
      <c r="M689" t="str" s="23">
        <f aca="0">IF(OR(COUNTA(B689:J689)=0,R689&lt;&gt;""),"",IFERROR(LOOKUP(2,1/(ISNUMBER(SEARCH(P689,보유목록!$I$2:$I$3001))*ISNUMBER(SEARCH(Q689,보유목록!$I$2:$I$3001))*(보유목록!$H$2:$H$3001=O689)),보유목록!$B$2:$B$3001),IFERROR(LOOKUP(2,1/(ISNUMBER(SEARCH(P689,보유목록!$I$2:$I$3001))*ISNUMBER(SEARCH(Q689,보유목록!$I$2:$I$3001))),보유목록!$B$2:$B$3001),"")))</f>
      </c>
      <c r="N689" s="25"/>
      <c r="O689" t="str">
        <f>IFERROR(IF(AND(LEN(SUBSTITUTE(SUBSTITUTE(SUBSTITUTE(TRIM(C689&amp;""),CHAR(160),"")," ",""),"년",""))=4,VALUE(SUBSTITUTE(SUBSTITUTE(SUBSTITUTE(TRIM(C689&amp;""),CHAR(160),"")," ",""),"년",""))&gt;=1900,VALUE(SUBSTITUTE(SUBSTITUTE(SUBSTITUTE(TRIM(C689&amp;""),CHAR(160),"")," ",""),"년",""))&lt;=2099,TEXT(VALUE(SUBSTITUTE(SUBSTITUTE(SUBSTITUTE(TRIM(C689&amp;""),CHAR(160),"")," ",""),"년","")),"0000")=SUBSTITUTE(SUBSTITUTE(SUBSTITUTE(TRIM(C689&amp;""),CHAR(160),"")," ",""),"년","")),SUBSTITUTE(SUBSTITUTE(SUBSTITUTE(TRIM(C689&amp;""),CHAR(160),"")," ",""),"년",""),""),"")</f>
      </c>
      <c r="P689" t="str">
        <f>SUBSTITUTE(SUBSTITUTE(SUBSTITUTE(SUBSTITUTE(SUBSTITUTE(SUBSTITUTE(SUBSTITUTE(SUBSTITUTE(TRIM(D689&amp;""),CHAR(160),"")," ",""),"초등학교","초"),"중학교","중"),"고등학교","고"),"~","~~"),"*","~*"),"?","~?")</f>
      </c>
      <c r="Q689" t="str">
        <f>SUBSTITUTE(SUBSTITUTE(SUBSTITUTE(SUBSTITUTE(SUBSTITUTE(SUBSTITUTE(SUBSTITUTE(SUBSTITUTE(TRIM(E689&amp;""),CHAR(160),"")," ",""),"초등학교","초"),"중학교","중"),"고등학교","고"),"~","~~"),"*","~*"),"?","~?")</f>
      </c>
      <c r="R689" t="str">
        <f>IF(COUNTA(B689:J689)=0,"",IF(AND(O689&lt;&gt;"",P689&lt;&gt;"",Q689&lt;&gt;""),"","입력누락"))</f>
      </c>
    </row>
    <row r="690" customFormat="false" ht="15" hidden="false" customHeight="false" outlineLevel="0" collapsed="false">
      <c r="A690" t="n" s="19">
        <f aca="0">IF(COUNTA(B690:J690)=0,"",ROW()-1)</f>
      </c>
      <c r="B690" s="24"/>
      <c r="C690" s="25"/>
      <c r="D690" s="8"/>
      <c r="E690" s="8"/>
      <c r="F690" s="26"/>
      <c r="G690" s="24"/>
      <c r="H690" s="25"/>
      <c r="I690" s="25"/>
      <c r="J690" s="26"/>
      <c r="K690" t="str" s="15">
        <f aca="0">IF(COUNTA(B690:J690)=0,"",IF(R690&lt;&gt;"","확인필요(입력누락)",IF(COUNTIFS(보유목록!$I$2:$I$3001,"*"&amp;P690&amp;"*",보유목록!$I$2:$I$3001,"*"&amp;Q690&amp;"*",보유목록!$H$2:$H$3001,O690)&gt;0,"있음",IF(COUNTIFS(보유목록!$I$2:$I$3001,"*"&amp;P690&amp;"*",보유목록!$I$2:$I$3001,"*"&amp;Q690&amp;"*")&gt;0,"확인필요(연도다름)",IF(COUNTIFS(보유목록!$I$2:$I$3001,"*"&amp;P690&amp;"*",보유목록!$H$2:$H$3001,O690)&gt;0,"확인필요(같은학교·같은연도)","없음")))))</f>
      </c>
      <c r="L690" t="str" s="16">
        <f aca="0">IF(OR(COUNTA(B690:J690)=0,R690&lt;&gt;""),"",COUNTIFS(보유목록!$I$2:$I$3001,"*"&amp;P690&amp;"*",보유목록!$I$2:$I$3001,"*"&amp;Q690&amp;"*"))</f>
      </c>
      <c r="M690" t="str" s="23">
        <f aca="0">IF(OR(COUNTA(B690:J690)=0,R690&lt;&gt;""),"",IFERROR(LOOKUP(2,1/(ISNUMBER(SEARCH(P690,보유목록!$I$2:$I$3001))*ISNUMBER(SEARCH(Q690,보유목록!$I$2:$I$3001))*(보유목록!$H$2:$H$3001=O690)),보유목록!$B$2:$B$3001),IFERROR(LOOKUP(2,1/(ISNUMBER(SEARCH(P690,보유목록!$I$2:$I$3001))*ISNUMBER(SEARCH(Q690,보유목록!$I$2:$I$3001))),보유목록!$B$2:$B$3001),"")))</f>
      </c>
      <c r="N690" s="25"/>
      <c r="O690" t="str">
        <f>IFERROR(IF(AND(LEN(SUBSTITUTE(SUBSTITUTE(SUBSTITUTE(TRIM(C690&amp;""),CHAR(160),"")," ",""),"년",""))=4,VALUE(SUBSTITUTE(SUBSTITUTE(SUBSTITUTE(TRIM(C690&amp;""),CHAR(160),"")," ",""),"년",""))&gt;=1900,VALUE(SUBSTITUTE(SUBSTITUTE(SUBSTITUTE(TRIM(C690&amp;""),CHAR(160),"")," ",""),"년",""))&lt;=2099,TEXT(VALUE(SUBSTITUTE(SUBSTITUTE(SUBSTITUTE(TRIM(C690&amp;""),CHAR(160),"")," ",""),"년","")),"0000")=SUBSTITUTE(SUBSTITUTE(SUBSTITUTE(TRIM(C690&amp;""),CHAR(160),"")," ",""),"년","")),SUBSTITUTE(SUBSTITUTE(SUBSTITUTE(TRIM(C690&amp;""),CHAR(160),"")," ",""),"년",""),""),"")</f>
      </c>
      <c r="P690" t="str">
        <f>SUBSTITUTE(SUBSTITUTE(SUBSTITUTE(SUBSTITUTE(SUBSTITUTE(SUBSTITUTE(SUBSTITUTE(SUBSTITUTE(TRIM(D690&amp;""),CHAR(160),"")," ",""),"초등학교","초"),"중학교","중"),"고등학교","고"),"~","~~"),"*","~*"),"?","~?")</f>
      </c>
      <c r="Q690" t="str">
        <f>SUBSTITUTE(SUBSTITUTE(SUBSTITUTE(SUBSTITUTE(SUBSTITUTE(SUBSTITUTE(SUBSTITUTE(SUBSTITUTE(TRIM(E690&amp;""),CHAR(160),"")," ",""),"초등학교","초"),"중학교","중"),"고등학교","고"),"~","~~"),"*","~*"),"?","~?")</f>
      </c>
      <c r="R690" t="str">
        <f>IF(COUNTA(B690:J690)=0,"",IF(AND(O690&lt;&gt;"",P690&lt;&gt;"",Q690&lt;&gt;""),"","입력누락"))</f>
      </c>
    </row>
    <row r="691" customFormat="false" ht="15" hidden="false" customHeight="false" outlineLevel="0" collapsed="false">
      <c r="A691" t="n" s="19">
        <f aca="0">IF(COUNTA(B691:J691)=0,"",ROW()-1)</f>
      </c>
      <c r="B691" s="24"/>
      <c r="C691" s="25"/>
      <c r="D691" s="8"/>
      <c r="E691" s="8"/>
      <c r="F691" s="26"/>
      <c r="G691" s="24"/>
      <c r="H691" s="25"/>
      <c r="I691" s="25"/>
      <c r="J691" s="26"/>
      <c r="K691" t="str" s="15">
        <f aca="0">IF(COUNTA(B691:J691)=0,"",IF(R691&lt;&gt;"","확인필요(입력누락)",IF(COUNTIFS(보유목록!$I$2:$I$3001,"*"&amp;P691&amp;"*",보유목록!$I$2:$I$3001,"*"&amp;Q691&amp;"*",보유목록!$H$2:$H$3001,O691)&gt;0,"있음",IF(COUNTIFS(보유목록!$I$2:$I$3001,"*"&amp;P691&amp;"*",보유목록!$I$2:$I$3001,"*"&amp;Q691&amp;"*")&gt;0,"확인필요(연도다름)",IF(COUNTIFS(보유목록!$I$2:$I$3001,"*"&amp;P691&amp;"*",보유목록!$H$2:$H$3001,O691)&gt;0,"확인필요(같은학교·같은연도)","없음")))))</f>
      </c>
      <c r="L691" t="str" s="16">
        <f aca="0">IF(OR(COUNTA(B691:J691)=0,R691&lt;&gt;""),"",COUNTIFS(보유목록!$I$2:$I$3001,"*"&amp;P691&amp;"*",보유목록!$I$2:$I$3001,"*"&amp;Q691&amp;"*"))</f>
      </c>
      <c r="M691" t="str" s="23">
        <f aca="0">IF(OR(COUNTA(B691:J691)=0,R691&lt;&gt;""),"",IFERROR(LOOKUP(2,1/(ISNUMBER(SEARCH(P691,보유목록!$I$2:$I$3001))*ISNUMBER(SEARCH(Q691,보유목록!$I$2:$I$3001))*(보유목록!$H$2:$H$3001=O691)),보유목록!$B$2:$B$3001),IFERROR(LOOKUP(2,1/(ISNUMBER(SEARCH(P691,보유목록!$I$2:$I$3001))*ISNUMBER(SEARCH(Q691,보유목록!$I$2:$I$3001))),보유목록!$B$2:$B$3001),"")))</f>
      </c>
      <c r="N691" s="25"/>
      <c r="O691" t="str">
        <f>IFERROR(IF(AND(LEN(SUBSTITUTE(SUBSTITUTE(SUBSTITUTE(TRIM(C691&amp;""),CHAR(160),"")," ",""),"년",""))=4,VALUE(SUBSTITUTE(SUBSTITUTE(SUBSTITUTE(TRIM(C691&amp;""),CHAR(160),"")," ",""),"년",""))&gt;=1900,VALUE(SUBSTITUTE(SUBSTITUTE(SUBSTITUTE(TRIM(C691&amp;""),CHAR(160),"")," ",""),"년",""))&lt;=2099,TEXT(VALUE(SUBSTITUTE(SUBSTITUTE(SUBSTITUTE(TRIM(C691&amp;""),CHAR(160),"")," ",""),"년","")),"0000")=SUBSTITUTE(SUBSTITUTE(SUBSTITUTE(TRIM(C691&amp;""),CHAR(160),"")," ",""),"년","")),SUBSTITUTE(SUBSTITUTE(SUBSTITUTE(TRIM(C691&amp;""),CHAR(160),"")," ",""),"년",""),""),"")</f>
      </c>
      <c r="P691" t="str">
        <f>SUBSTITUTE(SUBSTITUTE(SUBSTITUTE(SUBSTITUTE(SUBSTITUTE(SUBSTITUTE(SUBSTITUTE(SUBSTITUTE(TRIM(D691&amp;""),CHAR(160),"")," ",""),"초등학교","초"),"중학교","중"),"고등학교","고"),"~","~~"),"*","~*"),"?","~?")</f>
      </c>
      <c r="Q691" t="str">
        <f>SUBSTITUTE(SUBSTITUTE(SUBSTITUTE(SUBSTITUTE(SUBSTITUTE(SUBSTITUTE(SUBSTITUTE(SUBSTITUTE(TRIM(E691&amp;""),CHAR(160),"")," ",""),"초등학교","초"),"중학교","중"),"고등학교","고"),"~","~~"),"*","~*"),"?","~?")</f>
      </c>
      <c r="R691" t="str">
        <f>IF(COUNTA(B691:J691)=0,"",IF(AND(O691&lt;&gt;"",P691&lt;&gt;"",Q691&lt;&gt;""),"","입력누락"))</f>
      </c>
    </row>
    <row r="692" customFormat="false" ht="15" hidden="false" customHeight="false" outlineLevel="0" collapsed="false">
      <c r="A692" t="n" s="19">
        <f aca="0">IF(COUNTA(B692:J692)=0,"",ROW()-1)</f>
      </c>
      <c r="B692" s="24"/>
      <c r="C692" s="25"/>
      <c r="D692" s="8"/>
      <c r="E692" s="8"/>
      <c r="F692" s="26"/>
      <c r="G692" s="24"/>
      <c r="H692" s="25"/>
      <c r="I692" s="25"/>
      <c r="J692" s="26"/>
      <c r="K692" t="str" s="15">
        <f aca="0">IF(COUNTA(B692:J692)=0,"",IF(R692&lt;&gt;"","확인필요(입력누락)",IF(COUNTIFS(보유목록!$I$2:$I$3001,"*"&amp;P692&amp;"*",보유목록!$I$2:$I$3001,"*"&amp;Q692&amp;"*",보유목록!$H$2:$H$3001,O692)&gt;0,"있음",IF(COUNTIFS(보유목록!$I$2:$I$3001,"*"&amp;P692&amp;"*",보유목록!$I$2:$I$3001,"*"&amp;Q692&amp;"*")&gt;0,"확인필요(연도다름)",IF(COUNTIFS(보유목록!$I$2:$I$3001,"*"&amp;P692&amp;"*",보유목록!$H$2:$H$3001,O692)&gt;0,"확인필요(같은학교·같은연도)","없음")))))</f>
      </c>
      <c r="L692" t="str" s="16">
        <f aca="0">IF(OR(COUNTA(B692:J692)=0,R692&lt;&gt;""),"",COUNTIFS(보유목록!$I$2:$I$3001,"*"&amp;P692&amp;"*",보유목록!$I$2:$I$3001,"*"&amp;Q692&amp;"*"))</f>
      </c>
      <c r="M692" t="str" s="23">
        <f aca="0">IF(OR(COUNTA(B692:J692)=0,R692&lt;&gt;""),"",IFERROR(LOOKUP(2,1/(ISNUMBER(SEARCH(P692,보유목록!$I$2:$I$3001))*ISNUMBER(SEARCH(Q692,보유목록!$I$2:$I$3001))*(보유목록!$H$2:$H$3001=O692)),보유목록!$B$2:$B$3001),IFERROR(LOOKUP(2,1/(ISNUMBER(SEARCH(P692,보유목록!$I$2:$I$3001))*ISNUMBER(SEARCH(Q692,보유목록!$I$2:$I$3001))),보유목록!$B$2:$B$3001),"")))</f>
      </c>
      <c r="N692" s="25"/>
      <c r="O692" t="str">
        <f>IFERROR(IF(AND(LEN(SUBSTITUTE(SUBSTITUTE(SUBSTITUTE(TRIM(C692&amp;""),CHAR(160),"")," ",""),"년",""))=4,VALUE(SUBSTITUTE(SUBSTITUTE(SUBSTITUTE(TRIM(C692&amp;""),CHAR(160),"")," ",""),"년",""))&gt;=1900,VALUE(SUBSTITUTE(SUBSTITUTE(SUBSTITUTE(TRIM(C692&amp;""),CHAR(160),"")," ",""),"년",""))&lt;=2099,TEXT(VALUE(SUBSTITUTE(SUBSTITUTE(SUBSTITUTE(TRIM(C692&amp;""),CHAR(160),"")," ",""),"년","")),"0000")=SUBSTITUTE(SUBSTITUTE(SUBSTITUTE(TRIM(C692&amp;""),CHAR(160),"")," ",""),"년","")),SUBSTITUTE(SUBSTITUTE(SUBSTITUTE(TRIM(C692&amp;""),CHAR(160),"")," ",""),"년",""),""),"")</f>
      </c>
      <c r="P692" t="str">
        <f>SUBSTITUTE(SUBSTITUTE(SUBSTITUTE(SUBSTITUTE(SUBSTITUTE(SUBSTITUTE(SUBSTITUTE(SUBSTITUTE(TRIM(D692&amp;""),CHAR(160),"")," ",""),"초등학교","초"),"중학교","중"),"고등학교","고"),"~","~~"),"*","~*"),"?","~?")</f>
      </c>
      <c r="Q692" t="str">
        <f>SUBSTITUTE(SUBSTITUTE(SUBSTITUTE(SUBSTITUTE(SUBSTITUTE(SUBSTITUTE(SUBSTITUTE(SUBSTITUTE(TRIM(E692&amp;""),CHAR(160),"")," ",""),"초등학교","초"),"중학교","중"),"고등학교","고"),"~","~~"),"*","~*"),"?","~?")</f>
      </c>
      <c r="R692" t="str">
        <f>IF(COUNTA(B692:J692)=0,"",IF(AND(O692&lt;&gt;"",P692&lt;&gt;"",Q692&lt;&gt;""),"","입력누락"))</f>
      </c>
    </row>
    <row r="693" customFormat="false" ht="15" hidden="false" customHeight="false" outlineLevel="0" collapsed="false">
      <c r="A693" t="n" s="19">
        <f aca="0">IF(COUNTA(B693:J693)=0,"",ROW()-1)</f>
      </c>
      <c r="B693" s="24"/>
      <c r="C693" s="25"/>
      <c r="D693" s="8"/>
      <c r="E693" s="8"/>
      <c r="F693" s="26"/>
      <c r="G693" s="24"/>
      <c r="H693" s="25"/>
      <c r="I693" s="25"/>
      <c r="J693" s="26"/>
      <c r="K693" t="str" s="15">
        <f aca="0">IF(COUNTA(B693:J693)=0,"",IF(R693&lt;&gt;"","확인필요(입력누락)",IF(COUNTIFS(보유목록!$I$2:$I$3001,"*"&amp;P693&amp;"*",보유목록!$I$2:$I$3001,"*"&amp;Q693&amp;"*",보유목록!$H$2:$H$3001,O693)&gt;0,"있음",IF(COUNTIFS(보유목록!$I$2:$I$3001,"*"&amp;P693&amp;"*",보유목록!$I$2:$I$3001,"*"&amp;Q693&amp;"*")&gt;0,"확인필요(연도다름)",IF(COUNTIFS(보유목록!$I$2:$I$3001,"*"&amp;P693&amp;"*",보유목록!$H$2:$H$3001,O693)&gt;0,"확인필요(같은학교·같은연도)","없음")))))</f>
      </c>
      <c r="L693" t="str" s="16">
        <f aca="0">IF(OR(COUNTA(B693:J693)=0,R693&lt;&gt;""),"",COUNTIFS(보유목록!$I$2:$I$3001,"*"&amp;P693&amp;"*",보유목록!$I$2:$I$3001,"*"&amp;Q693&amp;"*"))</f>
      </c>
      <c r="M693" t="str" s="23">
        <f aca="0">IF(OR(COUNTA(B693:J693)=0,R693&lt;&gt;""),"",IFERROR(LOOKUP(2,1/(ISNUMBER(SEARCH(P693,보유목록!$I$2:$I$3001))*ISNUMBER(SEARCH(Q693,보유목록!$I$2:$I$3001))*(보유목록!$H$2:$H$3001=O693)),보유목록!$B$2:$B$3001),IFERROR(LOOKUP(2,1/(ISNUMBER(SEARCH(P693,보유목록!$I$2:$I$3001))*ISNUMBER(SEARCH(Q693,보유목록!$I$2:$I$3001))),보유목록!$B$2:$B$3001),"")))</f>
      </c>
      <c r="N693" s="25"/>
      <c r="O693" t="str">
        <f>IFERROR(IF(AND(LEN(SUBSTITUTE(SUBSTITUTE(SUBSTITUTE(TRIM(C693&amp;""),CHAR(160),"")," ",""),"년",""))=4,VALUE(SUBSTITUTE(SUBSTITUTE(SUBSTITUTE(TRIM(C693&amp;""),CHAR(160),"")," ",""),"년",""))&gt;=1900,VALUE(SUBSTITUTE(SUBSTITUTE(SUBSTITUTE(TRIM(C693&amp;""),CHAR(160),"")," ",""),"년",""))&lt;=2099,TEXT(VALUE(SUBSTITUTE(SUBSTITUTE(SUBSTITUTE(TRIM(C693&amp;""),CHAR(160),"")," ",""),"년","")),"0000")=SUBSTITUTE(SUBSTITUTE(SUBSTITUTE(TRIM(C693&amp;""),CHAR(160),"")," ",""),"년","")),SUBSTITUTE(SUBSTITUTE(SUBSTITUTE(TRIM(C693&amp;""),CHAR(160),"")," ",""),"년",""),""),"")</f>
      </c>
      <c r="P693" t="str">
        <f>SUBSTITUTE(SUBSTITUTE(SUBSTITUTE(SUBSTITUTE(SUBSTITUTE(SUBSTITUTE(SUBSTITUTE(SUBSTITUTE(TRIM(D693&amp;""),CHAR(160),"")," ",""),"초등학교","초"),"중학교","중"),"고등학교","고"),"~","~~"),"*","~*"),"?","~?")</f>
      </c>
      <c r="Q693" t="str">
        <f>SUBSTITUTE(SUBSTITUTE(SUBSTITUTE(SUBSTITUTE(SUBSTITUTE(SUBSTITUTE(SUBSTITUTE(SUBSTITUTE(TRIM(E693&amp;""),CHAR(160),"")," ",""),"초등학교","초"),"중학교","중"),"고등학교","고"),"~","~~"),"*","~*"),"?","~?")</f>
      </c>
      <c r="R693" t="str">
        <f>IF(COUNTA(B693:J693)=0,"",IF(AND(O693&lt;&gt;"",P693&lt;&gt;"",Q693&lt;&gt;""),"","입력누락"))</f>
      </c>
    </row>
    <row r="694" customFormat="false" ht="15" hidden="false" customHeight="false" outlineLevel="0" collapsed="false">
      <c r="A694" t="n" s="19">
        <f aca="0">IF(COUNTA(B694:J694)=0,"",ROW()-1)</f>
      </c>
      <c r="B694" s="24"/>
      <c r="C694" s="25"/>
      <c r="D694" s="8"/>
      <c r="E694" s="8"/>
      <c r="F694" s="26"/>
      <c r="G694" s="24"/>
      <c r="H694" s="25"/>
      <c r="I694" s="25"/>
      <c r="J694" s="26"/>
      <c r="K694" t="str" s="15">
        <f aca="0">IF(COUNTA(B694:J694)=0,"",IF(R694&lt;&gt;"","확인필요(입력누락)",IF(COUNTIFS(보유목록!$I$2:$I$3001,"*"&amp;P694&amp;"*",보유목록!$I$2:$I$3001,"*"&amp;Q694&amp;"*",보유목록!$H$2:$H$3001,O694)&gt;0,"있음",IF(COUNTIFS(보유목록!$I$2:$I$3001,"*"&amp;P694&amp;"*",보유목록!$I$2:$I$3001,"*"&amp;Q694&amp;"*")&gt;0,"확인필요(연도다름)",IF(COUNTIFS(보유목록!$I$2:$I$3001,"*"&amp;P694&amp;"*",보유목록!$H$2:$H$3001,O694)&gt;0,"확인필요(같은학교·같은연도)","없음")))))</f>
      </c>
      <c r="L694" t="str" s="16">
        <f aca="0">IF(OR(COUNTA(B694:J694)=0,R694&lt;&gt;""),"",COUNTIFS(보유목록!$I$2:$I$3001,"*"&amp;P694&amp;"*",보유목록!$I$2:$I$3001,"*"&amp;Q694&amp;"*"))</f>
      </c>
      <c r="M694" t="str" s="23">
        <f aca="0">IF(OR(COUNTA(B694:J694)=0,R694&lt;&gt;""),"",IFERROR(LOOKUP(2,1/(ISNUMBER(SEARCH(P694,보유목록!$I$2:$I$3001))*ISNUMBER(SEARCH(Q694,보유목록!$I$2:$I$3001))*(보유목록!$H$2:$H$3001=O694)),보유목록!$B$2:$B$3001),IFERROR(LOOKUP(2,1/(ISNUMBER(SEARCH(P694,보유목록!$I$2:$I$3001))*ISNUMBER(SEARCH(Q694,보유목록!$I$2:$I$3001))),보유목록!$B$2:$B$3001),"")))</f>
      </c>
      <c r="N694" s="25"/>
      <c r="O694" t="str">
        <f>IFERROR(IF(AND(LEN(SUBSTITUTE(SUBSTITUTE(SUBSTITUTE(TRIM(C694&amp;""),CHAR(160),"")," ",""),"년",""))=4,VALUE(SUBSTITUTE(SUBSTITUTE(SUBSTITUTE(TRIM(C694&amp;""),CHAR(160),"")," ",""),"년",""))&gt;=1900,VALUE(SUBSTITUTE(SUBSTITUTE(SUBSTITUTE(TRIM(C694&amp;""),CHAR(160),"")," ",""),"년",""))&lt;=2099,TEXT(VALUE(SUBSTITUTE(SUBSTITUTE(SUBSTITUTE(TRIM(C694&amp;""),CHAR(160),"")," ",""),"년","")),"0000")=SUBSTITUTE(SUBSTITUTE(SUBSTITUTE(TRIM(C694&amp;""),CHAR(160),"")," ",""),"년","")),SUBSTITUTE(SUBSTITUTE(SUBSTITUTE(TRIM(C694&amp;""),CHAR(160),"")," ",""),"년",""),""),"")</f>
      </c>
      <c r="P694" t="str">
        <f>SUBSTITUTE(SUBSTITUTE(SUBSTITUTE(SUBSTITUTE(SUBSTITUTE(SUBSTITUTE(SUBSTITUTE(SUBSTITUTE(TRIM(D694&amp;""),CHAR(160),"")," ",""),"초등학교","초"),"중학교","중"),"고등학교","고"),"~","~~"),"*","~*"),"?","~?")</f>
      </c>
      <c r="Q694" t="str">
        <f>SUBSTITUTE(SUBSTITUTE(SUBSTITUTE(SUBSTITUTE(SUBSTITUTE(SUBSTITUTE(SUBSTITUTE(SUBSTITUTE(TRIM(E694&amp;""),CHAR(160),"")," ",""),"초등학교","초"),"중학교","중"),"고등학교","고"),"~","~~"),"*","~*"),"?","~?")</f>
      </c>
      <c r="R694" t="str">
        <f>IF(COUNTA(B694:J694)=0,"",IF(AND(O694&lt;&gt;"",P694&lt;&gt;"",Q694&lt;&gt;""),"","입력누락"))</f>
      </c>
    </row>
    <row r="695" customFormat="false" ht="15" hidden="false" customHeight="false" outlineLevel="0" collapsed="false">
      <c r="A695" t="n" s="19">
        <f aca="0">IF(COUNTA(B695:J695)=0,"",ROW()-1)</f>
      </c>
      <c r="B695" s="24"/>
      <c r="C695" s="25"/>
      <c r="D695" s="8"/>
      <c r="E695" s="8"/>
      <c r="F695" s="26"/>
      <c r="G695" s="24"/>
      <c r="H695" s="25"/>
      <c r="I695" s="25"/>
      <c r="J695" s="26"/>
      <c r="K695" t="str" s="15">
        <f aca="0">IF(COUNTA(B695:J695)=0,"",IF(R695&lt;&gt;"","확인필요(입력누락)",IF(COUNTIFS(보유목록!$I$2:$I$3001,"*"&amp;P695&amp;"*",보유목록!$I$2:$I$3001,"*"&amp;Q695&amp;"*",보유목록!$H$2:$H$3001,O695)&gt;0,"있음",IF(COUNTIFS(보유목록!$I$2:$I$3001,"*"&amp;P695&amp;"*",보유목록!$I$2:$I$3001,"*"&amp;Q695&amp;"*")&gt;0,"확인필요(연도다름)",IF(COUNTIFS(보유목록!$I$2:$I$3001,"*"&amp;P695&amp;"*",보유목록!$H$2:$H$3001,O695)&gt;0,"확인필요(같은학교·같은연도)","없음")))))</f>
      </c>
      <c r="L695" t="str" s="16">
        <f aca="0">IF(OR(COUNTA(B695:J695)=0,R695&lt;&gt;""),"",COUNTIFS(보유목록!$I$2:$I$3001,"*"&amp;P695&amp;"*",보유목록!$I$2:$I$3001,"*"&amp;Q695&amp;"*"))</f>
      </c>
      <c r="M695" t="str" s="23">
        <f aca="0">IF(OR(COUNTA(B695:J695)=0,R695&lt;&gt;""),"",IFERROR(LOOKUP(2,1/(ISNUMBER(SEARCH(P695,보유목록!$I$2:$I$3001))*ISNUMBER(SEARCH(Q695,보유목록!$I$2:$I$3001))*(보유목록!$H$2:$H$3001=O695)),보유목록!$B$2:$B$3001),IFERROR(LOOKUP(2,1/(ISNUMBER(SEARCH(P695,보유목록!$I$2:$I$3001))*ISNUMBER(SEARCH(Q695,보유목록!$I$2:$I$3001))),보유목록!$B$2:$B$3001),"")))</f>
      </c>
      <c r="N695" s="25"/>
      <c r="O695" t="str">
        <f>IFERROR(IF(AND(LEN(SUBSTITUTE(SUBSTITUTE(SUBSTITUTE(TRIM(C695&amp;""),CHAR(160),"")," ",""),"년",""))=4,VALUE(SUBSTITUTE(SUBSTITUTE(SUBSTITUTE(TRIM(C695&amp;""),CHAR(160),"")," ",""),"년",""))&gt;=1900,VALUE(SUBSTITUTE(SUBSTITUTE(SUBSTITUTE(TRIM(C695&amp;""),CHAR(160),"")," ",""),"년",""))&lt;=2099,TEXT(VALUE(SUBSTITUTE(SUBSTITUTE(SUBSTITUTE(TRIM(C695&amp;""),CHAR(160),"")," ",""),"년","")),"0000")=SUBSTITUTE(SUBSTITUTE(SUBSTITUTE(TRIM(C695&amp;""),CHAR(160),"")," ",""),"년","")),SUBSTITUTE(SUBSTITUTE(SUBSTITUTE(TRIM(C695&amp;""),CHAR(160),"")," ",""),"년",""),""),"")</f>
      </c>
      <c r="P695" t="str">
        <f>SUBSTITUTE(SUBSTITUTE(SUBSTITUTE(SUBSTITUTE(SUBSTITUTE(SUBSTITUTE(SUBSTITUTE(SUBSTITUTE(TRIM(D695&amp;""),CHAR(160),"")," ",""),"초등학교","초"),"중학교","중"),"고등학교","고"),"~","~~"),"*","~*"),"?","~?")</f>
      </c>
      <c r="Q695" t="str">
        <f>SUBSTITUTE(SUBSTITUTE(SUBSTITUTE(SUBSTITUTE(SUBSTITUTE(SUBSTITUTE(SUBSTITUTE(SUBSTITUTE(TRIM(E695&amp;""),CHAR(160),"")," ",""),"초등학교","초"),"중학교","중"),"고등학교","고"),"~","~~"),"*","~*"),"?","~?")</f>
      </c>
      <c r="R695" t="str">
        <f>IF(COUNTA(B695:J695)=0,"",IF(AND(O695&lt;&gt;"",P695&lt;&gt;"",Q695&lt;&gt;""),"","입력누락"))</f>
      </c>
    </row>
    <row r="696" customFormat="false" ht="15" hidden="false" customHeight="false" outlineLevel="0" collapsed="false">
      <c r="A696" t="n" s="19">
        <f aca="0">IF(COUNTA(B696:J696)=0,"",ROW()-1)</f>
      </c>
      <c r="B696" s="24"/>
      <c r="C696" s="25"/>
      <c r="D696" s="8"/>
      <c r="E696" s="8"/>
      <c r="F696" s="26"/>
      <c r="G696" s="24"/>
      <c r="H696" s="25"/>
      <c r="I696" s="25"/>
      <c r="J696" s="26"/>
      <c r="K696" t="str" s="15">
        <f aca="0">IF(COUNTA(B696:J696)=0,"",IF(R696&lt;&gt;"","확인필요(입력누락)",IF(COUNTIFS(보유목록!$I$2:$I$3001,"*"&amp;P696&amp;"*",보유목록!$I$2:$I$3001,"*"&amp;Q696&amp;"*",보유목록!$H$2:$H$3001,O696)&gt;0,"있음",IF(COUNTIFS(보유목록!$I$2:$I$3001,"*"&amp;P696&amp;"*",보유목록!$I$2:$I$3001,"*"&amp;Q696&amp;"*")&gt;0,"확인필요(연도다름)",IF(COUNTIFS(보유목록!$I$2:$I$3001,"*"&amp;P696&amp;"*",보유목록!$H$2:$H$3001,O696)&gt;0,"확인필요(같은학교·같은연도)","없음")))))</f>
      </c>
      <c r="L696" t="str" s="16">
        <f aca="0">IF(OR(COUNTA(B696:J696)=0,R696&lt;&gt;""),"",COUNTIFS(보유목록!$I$2:$I$3001,"*"&amp;P696&amp;"*",보유목록!$I$2:$I$3001,"*"&amp;Q696&amp;"*"))</f>
      </c>
      <c r="M696" t="str" s="23">
        <f aca="0">IF(OR(COUNTA(B696:J696)=0,R696&lt;&gt;""),"",IFERROR(LOOKUP(2,1/(ISNUMBER(SEARCH(P696,보유목록!$I$2:$I$3001))*ISNUMBER(SEARCH(Q696,보유목록!$I$2:$I$3001))*(보유목록!$H$2:$H$3001=O696)),보유목록!$B$2:$B$3001),IFERROR(LOOKUP(2,1/(ISNUMBER(SEARCH(P696,보유목록!$I$2:$I$3001))*ISNUMBER(SEARCH(Q696,보유목록!$I$2:$I$3001))),보유목록!$B$2:$B$3001),"")))</f>
      </c>
      <c r="N696" s="25"/>
      <c r="O696" t="str">
        <f>IFERROR(IF(AND(LEN(SUBSTITUTE(SUBSTITUTE(SUBSTITUTE(TRIM(C696&amp;""),CHAR(160),"")," ",""),"년",""))=4,VALUE(SUBSTITUTE(SUBSTITUTE(SUBSTITUTE(TRIM(C696&amp;""),CHAR(160),"")," ",""),"년",""))&gt;=1900,VALUE(SUBSTITUTE(SUBSTITUTE(SUBSTITUTE(TRIM(C696&amp;""),CHAR(160),"")," ",""),"년",""))&lt;=2099,TEXT(VALUE(SUBSTITUTE(SUBSTITUTE(SUBSTITUTE(TRIM(C696&amp;""),CHAR(160),"")," ",""),"년","")),"0000")=SUBSTITUTE(SUBSTITUTE(SUBSTITUTE(TRIM(C696&amp;""),CHAR(160),"")," ",""),"년","")),SUBSTITUTE(SUBSTITUTE(SUBSTITUTE(TRIM(C696&amp;""),CHAR(160),"")," ",""),"년",""),""),"")</f>
      </c>
      <c r="P696" t="str">
        <f>SUBSTITUTE(SUBSTITUTE(SUBSTITUTE(SUBSTITUTE(SUBSTITUTE(SUBSTITUTE(SUBSTITUTE(SUBSTITUTE(TRIM(D696&amp;""),CHAR(160),"")," ",""),"초등학교","초"),"중학교","중"),"고등학교","고"),"~","~~"),"*","~*"),"?","~?")</f>
      </c>
      <c r="Q696" t="str">
        <f>SUBSTITUTE(SUBSTITUTE(SUBSTITUTE(SUBSTITUTE(SUBSTITUTE(SUBSTITUTE(SUBSTITUTE(SUBSTITUTE(TRIM(E696&amp;""),CHAR(160),"")," ",""),"초등학교","초"),"중학교","중"),"고등학교","고"),"~","~~"),"*","~*"),"?","~?")</f>
      </c>
      <c r="R696" t="str">
        <f>IF(COUNTA(B696:J696)=0,"",IF(AND(O696&lt;&gt;"",P696&lt;&gt;"",Q696&lt;&gt;""),"","입력누락"))</f>
      </c>
    </row>
    <row r="697" customFormat="false" ht="15" hidden="false" customHeight="false" outlineLevel="0" collapsed="false">
      <c r="A697" t="n" s="19">
        <f aca="0">IF(COUNTA(B697:J697)=0,"",ROW()-1)</f>
      </c>
      <c r="B697" s="24"/>
      <c r="C697" s="25"/>
      <c r="D697" s="8"/>
      <c r="E697" s="8"/>
      <c r="F697" s="26"/>
      <c r="G697" s="24"/>
      <c r="H697" s="25"/>
      <c r="I697" s="25"/>
      <c r="J697" s="26"/>
      <c r="K697" t="str" s="15">
        <f aca="0">IF(COUNTA(B697:J697)=0,"",IF(R697&lt;&gt;"","확인필요(입력누락)",IF(COUNTIFS(보유목록!$I$2:$I$3001,"*"&amp;P697&amp;"*",보유목록!$I$2:$I$3001,"*"&amp;Q697&amp;"*",보유목록!$H$2:$H$3001,O697)&gt;0,"있음",IF(COUNTIFS(보유목록!$I$2:$I$3001,"*"&amp;P697&amp;"*",보유목록!$I$2:$I$3001,"*"&amp;Q697&amp;"*")&gt;0,"확인필요(연도다름)",IF(COUNTIFS(보유목록!$I$2:$I$3001,"*"&amp;P697&amp;"*",보유목록!$H$2:$H$3001,O697)&gt;0,"확인필요(같은학교·같은연도)","없음")))))</f>
      </c>
      <c r="L697" t="str" s="16">
        <f aca="0">IF(OR(COUNTA(B697:J697)=0,R697&lt;&gt;""),"",COUNTIFS(보유목록!$I$2:$I$3001,"*"&amp;P697&amp;"*",보유목록!$I$2:$I$3001,"*"&amp;Q697&amp;"*"))</f>
      </c>
      <c r="M697" t="str" s="23">
        <f aca="0">IF(OR(COUNTA(B697:J697)=0,R697&lt;&gt;""),"",IFERROR(LOOKUP(2,1/(ISNUMBER(SEARCH(P697,보유목록!$I$2:$I$3001))*ISNUMBER(SEARCH(Q697,보유목록!$I$2:$I$3001))*(보유목록!$H$2:$H$3001=O697)),보유목록!$B$2:$B$3001),IFERROR(LOOKUP(2,1/(ISNUMBER(SEARCH(P697,보유목록!$I$2:$I$3001))*ISNUMBER(SEARCH(Q697,보유목록!$I$2:$I$3001))),보유목록!$B$2:$B$3001),"")))</f>
      </c>
      <c r="N697" s="25"/>
      <c r="O697" t="str">
        <f>IFERROR(IF(AND(LEN(SUBSTITUTE(SUBSTITUTE(SUBSTITUTE(TRIM(C697&amp;""),CHAR(160),"")," ",""),"년",""))=4,VALUE(SUBSTITUTE(SUBSTITUTE(SUBSTITUTE(TRIM(C697&amp;""),CHAR(160),"")," ",""),"년",""))&gt;=1900,VALUE(SUBSTITUTE(SUBSTITUTE(SUBSTITUTE(TRIM(C697&amp;""),CHAR(160),"")," ",""),"년",""))&lt;=2099,TEXT(VALUE(SUBSTITUTE(SUBSTITUTE(SUBSTITUTE(TRIM(C697&amp;""),CHAR(160),"")," ",""),"년","")),"0000")=SUBSTITUTE(SUBSTITUTE(SUBSTITUTE(TRIM(C697&amp;""),CHAR(160),"")," ",""),"년","")),SUBSTITUTE(SUBSTITUTE(SUBSTITUTE(TRIM(C697&amp;""),CHAR(160),"")," ",""),"년",""),""),"")</f>
      </c>
      <c r="P697" t="str">
        <f>SUBSTITUTE(SUBSTITUTE(SUBSTITUTE(SUBSTITUTE(SUBSTITUTE(SUBSTITUTE(SUBSTITUTE(SUBSTITUTE(TRIM(D697&amp;""),CHAR(160),"")," ",""),"초등학교","초"),"중학교","중"),"고등학교","고"),"~","~~"),"*","~*"),"?","~?")</f>
      </c>
      <c r="Q697" t="str">
        <f>SUBSTITUTE(SUBSTITUTE(SUBSTITUTE(SUBSTITUTE(SUBSTITUTE(SUBSTITUTE(SUBSTITUTE(SUBSTITUTE(TRIM(E697&amp;""),CHAR(160),"")," ",""),"초등학교","초"),"중학교","중"),"고등학교","고"),"~","~~"),"*","~*"),"?","~?")</f>
      </c>
      <c r="R697" t="str">
        <f>IF(COUNTA(B697:J697)=0,"",IF(AND(O697&lt;&gt;"",P697&lt;&gt;"",Q697&lt;&gt;""),"","입력누락"))</f>
      </c>
    </row>
    <row r="698" customFormat="false" ht="15" hidden="false" customHeight="false" outlineLevel="0" collapsed="false">
      <c r="A698" t="n" s="19">
        <f aca="0">IF(COUNTA(B698:J698)=0,"",ROW()-1)</f>
      </c>
      <c r="B698" s="24"/>
      <c r="C698" s="25"/>
      <c r="D698" s="8"/>
      <c r="E698" s="8"/>
      <c r="F698" s="26"/>
      <c r="G698" s="24"/>
      <c r="H698" s="25"/>
      <c r="I698" s="25"/>
      <c r="J698" s="26"/>
      <c r="K698" t="str" s="15">
        <f aca="0">IF(COUNTA(B698:J698)=0,"",IF(R698&lt;&gt;"","확인필요(입력누락)",IF(COUNTIFS(보유목록!$I$2:$I$3001,"*"&amp;P698&amp;"*",보유목록!$I$2:$I$3001,"*"&amp;Q698&amp;"*",보유목록!$H$2:$H$3001,O698)&gt;0,"있음",IF(COUNTIFS(보유목록!$I$2:$I$3001,"*"&amp;P698&amp;"*",보유목록!$I$2:$I$3001,"*"&amp;Q698&amp;"*")&gt;0,"확인필요(연도다름)",IF(COUNTIFS(보유목록!$I$2:$I$3001,"*"&amp;P698&amp;"*",보유목록!$H$2:$H$3001,O698)&gt;0,"확인필요(같은학교·같은연도)","없음")))))</f>
      </c>
      <c r="L698" t="str" s="16">
        <f aca="0">IF(OR(COUNTA(B698:J698)=0,R698&lt;&gt;""),"",COUNTIFS(보유목록!$I$2:$I$3001,"*"&amp;P698&amp;"*",보유목록!$I$2:$I$3001,"*"&amp;Q698&amp;"*"))</f>
      </c>
      <c r="M698" t="str" s="23">
        <f aca="0">IF(OR(COUNTA(B698:J698)=0,R698&lt;&gt;""),"",IFERROR(LOOKUP(2,1/(ISNUMBER(SEARCH(P698,보유목록!$I$2:$I$3001))*ISNUMBER(SEARCH(Q698,보유목록!$I$2:$I$3001))*(보유목록!$H$2:$H$3001=O698)),보유목록!$B$2:$B$3001),IFERROR(LOOKUP(2,1/(ISNUMBER(SEARCH(P698,보유목록!$I$2:$I$3001))*ISNUMBER(SEARCH(Q698,보유목록!$I$2:$I$3001))),보유목록!$B$2:$B$3001),"")))</f>
      </c>
      <c r="N698" s="25"/>
      <c r="O698" t="str">
        <f>IFERROR(IF(AND(LEN(SUBSTITUTE(SUBSTITUTE(SUBSTITUTE(TRIM(C698&amp;""),CHAR(160),"")," ",""),"년",""))=4,VALUE(SUBSTITUTE(SUBSTITUTE(SUBSTITUTE(TRIM(C698&amp;""),CHAR(160),"")," ",""),"년",""))&gt;=1900,VALUE(SUBSTITUTE(SUBSTITUTE(SUBSTITUTE(TRIM(C698&amp;""),CHAR(160),"")," ",""),"년",""))&lt;=2099,TEXT(VALUE(SUBSTITUTE(SUBSTITUTE(SUBSTITUTE(TRIM(C698&amp;""),CHAR(160),"")," ",""),"년","")),"0000")=SUBSTITUTE(SUBSTITUTE(SUBSTITUTE(TRIM(C698&amp;""),CHAR(160),"")," ",""),"년","")),SUBSTITUTE(SUBSTITUTE(SUBSTITUTE(TRIM(C698&amp;""),CHAR(160),"")," ",""),"년",""),""),"")</f>
      </c>
      <c r="P698" t="str">
        <f>SUBSTITUTE(SUBSTITUTE(SUBSTITUTE(SUBSTITUTE(SUBSTITUTE(SUBSTITUTE(SUBSTITUTE(SUBSTITUTE(TRIM(D698&amp;""),CHAR(160),"")," ",""),"초등학교","초"),"중학교","중"),"고등학교","고"),"~","~~"),"*","~*"),"?","~?")</f>
      </c>
      <c r="Q698" t="str">
        <f>SUBSTITUTE(SUBSTITUTE(SUBSTITUTE(SUBSTITUTE(SUBSTITUTE(SUBSTITUTE(SUBSTITUTE(SUBSTITUTE(TRIM(E698&amp;""),CHAR(160),"")," ",""),"초등학교","초"),"중학교","중"),"고등학교","고"),"~","~~"),"*","~*"),"?","~?")</f>
      </c>
      <c r="R698" t="str">
        <f>IF(COUNTA(B698:J698)=0,"",IF(AND(O698&lt;&gt;"",P698&lt;&gt;"",Q698&lt;&gt;""),"","입력누락"))</f>
      </c>
    </row>
    <row r="699" customFormat="false" ht="15" hidden="false" customHeight="false" outlineLevel="0" collapsed="false">
      <c r="A699" t="n" s="19">
        <f aca="0">IF(COUNTA(B699:J699)=0,"",ROW()-1)</f>
      </c>
      <c r="B699" s="24"/>
      <c r="C699" s="25"/>
      <c r="D699" s="8"/>
      <c r="E699" s="8"/>
      <c r="F699" s="26"/>
      <c r="G699" s="24"/>
      <c r="H699" s="25"/>
      <c r="I699" s="25"/>
      <c r="J699" s="26"/>
      <c r="K699" t="str" s="15">
        <f aca="0">IF(COUNTA(B699:J699)=0,"",IF(R699&lt;&gt;"","확인필요(입력누락)",IF(COUNTIFS(보유목록!$I$2:$I$3001,"*"&amp;P699&amp;"*",보유목록!$I$2:$I$3001,"*"&amp;Q699&amp;"*",보유목록!$H$2:$H$3001,O699)&gt;0,"있음",IF(COUNTIFS(보유목록!$I$2:$I$3001,"*"&amp;P699&amp;"*",보유목록!$I$2:$I$3001,"*"&amp;Q699&amp;"*")&gt;0,"확인필요(연도다름)",IF(COUNTIFS(보유목록!$I$2:$I$3001,"*"&amp;P699&amp;"*",보유목록!$H$2:$H$3001,O699)&gt;0,"확인필요(같은학교·같은연도)","없음")))))</f>
      </c>
      <c r="L699" t="str" s="16">
        <f aca="0">IF(OR(COUNTA(B699:J699)=0,R699&lt;&gt;""),"",COUNTIFS(보유목록!$I$2:$I$3001,"*"&amp;P699&amp;"*",보유목록!$I$2:$I$3001,"*"&amp;Q699&amp;"*"))</f>
      </c>
      <c r="M699" t="str" s="23">
        <f aca="0">IF(OR(COUNTA(B699:J699)=0,R699&lt;&gt;""),"",IFERROR(LOOKUP(2,1/(ISNUMBER(SEARCH(P699,보유목록!$I$2:$I$3001))*ISNUMBER(SEARCH(Q699,보유목록!$I$2:$I$3001))*(보유목록!$H$2:$H$3001=O699)),보유목록!$B$2:$B$3001),IFERROR(LOOKUP(2,1/(ISNUMBER(SEARCH(P699,보유목록!$I$2:$I$3001))*ISNUMBER(SEARCH(Q699,보유목록!$I$2:$I$3001))),보유목록!$B$2:$B$3001),"")))</f>
      </c>
      <c r="N699" s="25"/>
      <c r="O699" t="str">
        <f>IFERROR(IF(AND(LEN(SUBSTITUTE(SUBSTITUTE(SUBSTITUTE(TRIM(C699&amp;""),CHAR(160),"")," ",""),"년",""))=4,VALUE(SUBSTITUTE(SUBSTITUTE(SUBSTITUTE(TRIM(C699&amp;""),CHAR(160),"")," ",""),"년",""))&gt;=1900,VALUE(SUBSTITUTE(SUBSTITUTE(SUBSTITUTE(TRIM(C699&amp;""),CHAR(160),"")," ",""),"년",""))&lt;=2099,TEXT(VALUE(SUBSTITUTE(SUBSTITUTE(SUBSTITUTE(TRIM(C699&amp;""),CHAR(160),"")," ",""),"년","")),"0000")=SUBSTITUTE(SUBSTITUTE(SUBSTITUTE(TRIM(C699&amp;""),CHAR(160),"")," ",""),"년","")),SUBSTITUTE(SUBSTITUTE(SUBSTITUTE(TRIM(C699&amp;""),CHAR(160),"")," ",""),"년",""),""),"")</f>
      </c>
      <c r="P699" t="str">
        <f>SUBSTITUTE(SUBSTITUTE(SUBSTITUTE(SUBSTITUTE(SUBSTITUTE(SUBSTITUTE(SUBSTITUTE(SUBSTITUTE(TRIM(D699&amp;""),CHAR(160),"")," ",""),"초등학교","초"),"중학교","중"),"고등학교","고"),"~","~~"),"*","~*"),"?","~?")</f>
      </c>
      <c r="Q699" t="str">
        <f>SUBSTITUTE(SUBSTITUTE(SUBSTITUTE(SUBSTITUTE(SUBSTITUTE(SUBSTITUTE(SUBSTITUTE(SUBSTITUTE(TRIM(E699&amp;""),CHAR(160),"")," ",""),"초등학교","초"),"중학교","중"),"고등학교","고"),"~","~~"),"*","~*"),"?","~?")</f>
      </c>
      <c r="R699" t="str">
        <f>IF(COUNTA(B699:J699)=0,"",IF(AND(O699&lt;&gt;"",P699&lt;&gt;"",Q699&lt;&gt;""),"","입력누락"))</f>
      </c>
    </row>
    <row r="700" customFormat="false" ht="15" hidden="false" customHeight="false" outlineLevel="0" collapsed="false">
      <c r="A700" t="n" s="19">
        <f aca="0">IF(COUNTA(B700:J700)=0,"",ROW()-1)</f>
      </c>
      <c r="B700" s="24"/>
      <c r="C700" s="25"/>
      <c r="D700" s="8"/>
      <c r="E700" s="8"/>
      <c r="F700" s="26"/>
      <c r="G700" s="24"/>
      <c r="H700" s="25"/>
      <c r="I700" s="25"/>
      <c r="J700" s="26"/>
      <c r="K700" t="str" s="15">
        <f aca="0">IF(COUNTA(B700:J700)=0,"",IF(R700&lt;&gt;"","확인필요(입력누락)",IF(COUNTIFS(보유목록!$I$2:$I$3001,"*"&amp;P700&amp;"*",보유목록!$I$2:$I$3001,"*"&amp;Q700&amp;"*",보유목록!$H$2:$H$3001,O700)&gt;0,"있음",IF(COUNTIFS(보유목록!$I$2:$I$3001,"*"&amp;P700&amp;"*",보유목록!$I$2:$I$3001,"*"&amp;Q700&amp;"*")&gt;0,"확인필요(연도다름)",IF(COUNTIFS(보유목록!$I$2:$I$3001,"*"&amp;P700&amp;"*",보유목록!$H$2:$H$3001,O700)&gt;0,"확인필요(같은학교·같은연도)","없음")))))</f>
      </c>
      <c r="L700" t="str" s="16">
        <f aca="0">IF(OR(COUNTA(B700:J700)=0,R700&lt;&gt;""),"",COUNTIFS(보유목록!$I$2:$I$3001,"*"&amp;P700&amp;"*",보유목록!$I$2:$I$3001,"*"&amp;Q700&amp;"*"))</f>
      </c>
      <c r="M700" t="str" s="23">
        <f aca="0">IF(OR(COUNTA(B700:J700)=0,R700&lt;&gt;""),"",IFERROR(LOOKUP(2,1/(ISNUMBER(SEARCH(P700,보유목록!$I$2:$I$3001))*ISNUMBER(SEARCH(Q700,보유목록!$I$2:$I$3001))*(보유목록!$H$2:$H$3001=O700)),보유목록!$B$2:$B$3001),IFERROR(LOOKUP(2,1/(ISNUMBER(SEARCH(P700,보유목록!$I$2:$I$3001))*ISNUMBER(SEARCH(Q700,보유목록!$I$2:$I$3001))),보유목록!$B$2:$B$3001),"")))</f>
      </c>
      <c r="N700" s="25"/>
      <c r="O700" t="str">
        <f>IFERROR(IF(AND(LEN(SUBSTITUTE(SUBSTITUTE(SUBSTITUTE(TRIM(C700&amp;""),CHAR(160),"")," ",""),"년",""))=4,VALUE(SUBSTITUTE(SUBSTITUTE(SUBSTITUTE(TRIM(C700&amp;""),CHAR(160),"")," ",""),"년",""))&gt;=1900,VALUE(SUBSTITUTE(SUBSTITUTE(SUBSTITUTE(TRIM(C700&amp;""),CHAR(160),"")," ",""),"년",""))&lt;=2099,TEXT(VALUE(SUBSTITUTE(SUBSTITUTE(SUBSTITUTE(TRIM(C700&amp;""),CHAR(160),"")," ",""),"년","")),"0000")=SUBSTITUTE(SUBSTITUTE(SUBSTITUTE(TRIM(C700&amp;""),CHAR(160),"")," ",""),"년","")),SUBSTITUTE(SUBSTITUTE(SUBSTITUTE(TRIM(C700&amp;""),CHAR(160),"")," ",""),"년",""),""),"")</f>
      </c>
      <c r="P700" t="str">
        <f>SUBSTITUTE(SUBSTITUTE(SUBSTITUTE(SUBSTITUTE(SUBSTITUTE(SUBSTITUTE(SUBSTITUTE(SUBSTITUTE(TRIM(D700&amp;""),CHAR(160),"")," ",""),"초등학교","초"),"중학교","중"),"고등학교","고"),"~","~~"),"*","~*"),"?","~?")</f>
      </c>
      <c r="Q700" t="str">
        <f>SUBSTITUTE(SUBSTITUTE(SUBSTITUTE(SUBSTITUTE(SUBSTITUTE(SUBSTITUTE(SUBSTITUTE(SUBSTITUTE(TRIM(E700&amp;""),CHAR(160),"")," ",""),"초등학교","초"),"중학교","중"),"고등학교","고"),"~","~~"),"*","~*"),"?","~?")</f>
      </c>
      <c r="R700" t="str">
        <f>IF(COUNTA(B700:J700)=0,"",IF(AND(O700&lt;&gt;"",P700&lt;&gt;"",Q700&lt;&gt;""),"","입력누락"))</f>
      </c>
    </row>
    <row r="701" customFormat="false" ht="15" hidden="false" customHeight="false" outlineLevel="0" collapsed="false">
      <c r="A701" t="n" s="19">
        <f aca="0">IF(COUNTA(B701:J701)=0,"",ROW()-1)</f>
      </c>
      <c r="B701" s="24"/>
      <c r="C701" s="25"/>
      <c r="D701" s="8"/>
      <c r="E701" s="8"/>
      <c r="F701" s="26"/>
      <c r="G701" s="24"/>
      <c r="H701" s="25"/>
      <c r="I701" s="25"/>
      <c r="J701" s="26"/>
      <c r="K701" t="str" s="15">
        <f aca="0">IF(COUNTA(B701:J701)=0,"",IF(R701&lt;&gt;"","확인필요(입력누락)",IF(COUNTIFS(보유목록!$I$2:$I$3001,"*"&amp;P701&amp;"*",보유목록!$I$2:$I$3001,"*"&amp;Q701&amp;"*",보유목록!$H$2:$H$3001,O701)&gt;0,"있음",IF(COUNTIFS(보유목록!$I$2:$I$3001,"*"&amp;P701&amp;"*",보유목록!$I$2:$I$3001,"*"&amp;Q701&amp;"*")&gt;0,"확인필요(연도다름)",IF(COUNTIFS(보유목록!$I$2:$I$3001,"*"&amp;P701&amp;"*",보유목록!$H$2:$H$3001,O701)&gt;0,"확인필요(같은학교·같은연도)","없음")))))</f>
      </c>
      <c r="L701" t="str" s="16">
        <f aca="0">IF(OR(COUNTA(B701:J701)=0,R701&lt;&gt;""),"",COUNTIFS(보유목록!$I$2:$I$3001,"*"&amp;P701&amp;"*",보유목록!$I$2:$I$3001,"*"&amp;Q701&amp;"*"))</f>
      </c>
      <c r="M701" t="str" s="23">
        <f aca="0">IF(OR(COUNTA(B701:J701)=0,R701&lt;&gt;""),"",IFERROR(LOOKUP(2,1/(ISNUMBER(SEARCH(P701,보유목록!$I$2:$I$3001))*ISNUMBER(SEARCH(Q701,보유목록!$I$2:$I$3001))*(보유목록!$H$2:$H$3001=O701)),보유목록!$B$2:$B$3001),IFERROR(LOOKUP(2,1/(ISNUMBER(SEARCH(P701,보유목록!$I$2:$I$3001))*ISNUMBER(SEARCH(Q701,보유목록!$I$2:$I$3001))),보유목록!$B$2:$B$3001),"")))</f>
      </c>
      <c r="N701" s="25"/>
      <c r="O701" t="str">
        <f>IFERROR(IF(AND(LEN(SUBSTITUTE(SUBSTITUTE(SUBSTITUTE(TRIM(C701&amp;""),CHAR(160),"")," ",""),"년",""))=4,VALUE(SUBSTITUTE(SUBSTITUTE(SUBSTITUTE(TRIM(C701&amp;""),CHAR(160),"")," ",""),"년",""))&gt;=1900,VALUE(SUBSTITUTE(SUBSTITUTE(SUBSTITUTE(TRIM(C701&amp;""),CHAR(160),"")," ",""),"년",""))&lt;=2099,TEXT(VALUE(SUBSTITUTE(SUBSTITUTE(SUBSTITUTE(TRIM(C701&amp;""),CHAR(160),"")," ",""),"년","")),"0000")=SUBSTITUTE(SUBSTITUTE(SUBSTITUTE(TRIM(C701&amp;""),CHAR(160),"")," ",""),"년","")),SUBSTITUTE(SUBSTITUTE(SUBSTITUTE(TRIM(C701&amp;""),CHAR(160),"")," ",""),"년",""),""),"")</f>
      </c>
      <c r="P701" t="str">
        <f>SUBSTITUTE(SUBSTITUTE(SUBSTITUTE(SUBSTITUTE(SUBSTITUTE(SUBSTITUTE(SUBSTITUTE(SUBSTITUTE(TRIM(D701&amp;""),CHAR(160),"")," ",""),"초등학교","초"),"중학교","중"),"고등학교","고"),"~","~~"),"*","~*"),"?","~?")</f>
      </c>
      <c r="Q701" t="str">
        <f>SUBSTITUTE(SUBSTITUTE(SUBSTITUTE(SUBSTITUTE(SUBSTITUTE(SUBSTITUTE(SUBSTITUTE(SUBSTITUTE(TRIM(E701&amp;""),CHAR(160),"")," ",""),"초등학교","초"),"중학교","중"),"고등학교","고"),"~","~~"),"*","~*"),"?","~?")</f>
      </c>
      <c r="R701" t="str">
        <f>IF(COUNTA(B701:J701)=0,"",IF(AND(O701&lt;&gt;"",P701&lt;&gt;"",Q701&lt;&gt;""),"","입력누락"))</f>
      </c>
    </row>
    <row r="702" customFormat="false" ht="15" hidden="false" customHeight="false" outlineLevel="0" collapsed="false">
      <c r="A702" t="n" s="19">
        <f aca="0">IF(COUNTA(B702:J702)=0,"",ROW()-1)</f>
      </c>
      <c r="B702" s="24"/>
      <c r="C702" s="25"/>
      <c r="D702" s="8"/>
      <c r="E702" s="8"/>
      <c r="F702" s="26"/>
      <c r="G702" s="24"/>
      <c r="H702" s="25"/>
      <c r="I702" s="25"/>
      <c r="J702" s="26"/>
      <c r="K702" t="str" s="15">
        <f aca="0">IF(COUNTA(B702:J702)=0,"",IF(R702&lt;&gt;"","확인필요(입력누락)",IF(COUNTIFS(보유목록!$I$2:$I$3001,"*"&amp;P702&amp;"*",보유목록!$I$2:$I$3001,"*"&amp;Q702&amp;"*",보유목록!$H$2:$H$3001,O702)&gt;0,"있음",IF(COUNTIFS(보유목록!$I$2:$I$3001,"*"&amp;P702&amp;"*",보유목록!$I$2:$I$3001,"*"&amp;Q702&amp;"*")&gt;0,"확인필요(연도다름)",IF(COUNTIFS(보유목록!$I$2:$I$3001,"*"&amp;P702&amp;"*",보유목록!$H$2:$H$3001,O702)&gt;0,"확인필요(같은학교·같은연도)","없음")))))</f>
      </c>
      <c r="L702" t="str" s="16">
        <f aca="0">IF(OR(COUNTA(B702:J702)=0,R702&lt;&gt;""),"",COUNTIFS(보유목록!$I$2:$I$3001,"*"&amp;P702&amp;"*",보유목록!$I$2:$I$3001,"*"&amp;Q702&amp;"*"))</f>
      </c>
      <c r="M702" t="str" s="23">
        <f aca="0">IF(OR(COUNTA(B702:J702)=0,R702&lt;&gt;""),"",IFERROR(LOOKUP(2,1/(ISNUMBER(SEARCH(P702,보유목록!$I$2:$I$3001))*ISNUMBER(SEARCH(Q702,보유목록!$I$2:$I$3001))*(보유목록!$H$2:$H$3001=O702)),보유목록!$B$2:$B$3001),IFERROR(LOOKUP(2,1/(ISNUMBER(SEARCH(P702,보유목록!$I$2:$I$3001))*ISNUMBER(SEARCH(Q702,보유목록!$I$2:$I$3001))),보유목록!$B$2:$B$3001),"")))</f>
      </c>
      <c r="N702" s="25"/>
      <c r="O702" t="str">
        <f>IFERROR(IF(AND(LEN(SUBSTITUTE(SUBSTITUTE(SUBSTITUTE(TRIM(C702&amp;""),CHAR(160),"")," ",""),"년",""))=4,VALUE(SUBSTITUTE(SUBSTITUTE(SUBSTITUTE(TRIM(C702&amp;""),CHAR(160),"")," ",""),"년",""))&gt;=1900,VALUE(SUBSTITUTE(SUBSTITUTE(SUBSTITUTE(TRIM(C702&amp;""),CHAR(160),"")," ",""),"년",""))&lt;=2099,TEXT(VALUE(SUBSTITUTE(SUBSTITUTE(SUBSTITUTE(TRIM(C702&amp;""),CHAR(160),"")," ",""),"년","")),"0000")=SUBSTITUTE(SUBSTITUTE(SUBSTITUTE(TRIM(C702&amp;""),CHAR(160),"")," ",""),"년","")),SUBSTITUTE(SUBSTITUTE(SUBSTITUTE(TRIM(C702&amp;""),CHAR(160),"")," ",""),"년",""),""),"")</f>
      </c>
      <c r="P702" t="str">
        <f>SUBSTITUTE(SUBSTITUTE(SUBSTITUTE(SUBSTITUTE(SUBSTITUTE(SUBSTITUTE(SUBSTITUTE(SUBSTITUTE(TRIM(D702&amp;""),CHAR(160),"")," ",""),"초등학교","초"),"중학교","중"),"고등학교","고"),"~","~~"),"*","~*"),"?","~?")</f>
      </c>
      <c r="Q702" t="str">
        <f>SUBSTITUTE(SUBSTITUTE(SUBSTITUTE(SUBSTITUTE(SUBSTITUTE(SUBSTITUTE(SUBSTITUTE(SUBSTITUTE(TRIM(E702&amp;""),CHAR(160),"")," ",""),"초등학교","초"),"중학교","중"),"고등학교","고"),"~","~~"),"*","~*"),"?","~?")</f>
      </c>
      <c r="R702" t="str">
        <f>IF(COUNTA(B702:J702)=0,"",IF(AND(O702&lt;&gt;"",P702&lt;&gt;"",Q702&lt;&gt;""),"","입력누락"))</f>
      </c>
    </row>
    <row r="703" customFormat="false" ht="15" hidden="false" customHeight="false" outlineLevel="0" collapsed="false">
      <c r="A703" t="n" s="19">
        <f aca="0">IF(COUNTA(B703:J703)=0,"",ROW()-1)</f>
      </c>
      <c r="B703" s="24"/>
      <c r="C703" s="25"/>
      <c r="D703" s="8"/>
      <c r="E703" s="8"/>
      <c r="F703" s="26"/>
      <c r="G703" s="24"/>
      <c r="H703" s="25"/>
      <c r="I703" s="25"/>
      <c r="J703" s="26"/>
      <c r="K703" t="str" s="15">
        <f aca="0">IF(COUNTA(B703:J703)=0,"",IF(R703&lt;&gt;"","확인필요(입력누락)",IF(COUNTIFS(보유목록!$I$2:$I$3001,"*"&amp;P703&amp;"*",보유목록!$I$2:$I$3001,"*"&amp;Q703&amp;"*",보유목록!$H$2:$H$3001,O703)&gt;0,"있음",IF(COUNTIFS(보유목록!$I$2:$I$3001,"*"&amp;P703&amp;"*",보유목록!$I$2:$I$3001,"*"&amp;Q703&amp;"*")&gt;0,"확인필요(연도다름)",IF(COUNTIFS(보유목록!$I$2:$I$3001,"*"&amp;P703&amp;"*",보유목록!$H$2:$H$3001,O703)&gt;0,"확인필요(같은학교·같은연도)","없음")))))</f>
      </c>
      <c r="L703" t="str" s="16">
        <f aca="0">IF(OR(COUNTA(B703:J703)=0,R703&lt;&gt;""),"",COUNTIFS(보유목록!$I$2:$I$3001,"*"&amp;P703&amp;"*",보유목록!$I$2:$I$3001,"*"&amp;Q703&amp;"*"))</f>
      </c>
      <c r="M703" t="str" s="23">
        <f aca="0">IF(OR(COUNTA(B703:J703)=0,R703&lt;&gt;""),"",IFERROR(LOOKUP(2,1/(ISNUMBER(SEARCH(P703,보유목록!$I$2:$I$3001))*ISNUMBER(SEARCH(Q703,보유목록!$I$2:$I$3001))*(보유목록!$H$2:$H$3001=O703)),보유목록!$B$2:$B$3001),IFERROR(LOOKUP(2,1/(ISNUMBER(SEARCH(P703,보유목록!$I$2:$I$3001))*ISNUMBER(SEARCH(Q703,보유목록!$I$2:$I$3001))),보유목록!$B$2:$B$3001),"")))</f>
      </c>
      <c r="N703" s="25"/>
      <c r="O703" t="str">
        <f>IFERROR(IF(AND(LEN(SUBSTITUTE(SUBSTITUTE(SUBSTITUTE(TRIM(C703&amp;""),CHAR(160),"")," ",""),"년",""))=4,VALUE(SUBSTITUTE(SUBSTITUTE(SUBSTITUTE(TRIM(C703&amp;""),CHAR(160),"")," ",""),"년",""))&gt;=1900,VALUE(SUBSTITUTE(SUBSTITUTE(SUBSTITUTE(TRIM(C703&amp;""),CHAR(160),"")," ",""),"년",""))&lt;=2099,TEXT(VALUE(SUBSTITUTE(SUBSTITUTE(SUBSTITUTE(TRIM(C703&amp;""),CHAR(160),"")," ",""),"년","")),"0000")=SUBSTITUTE(SUBSTITUTE(SUBSTITUTE(TRIM(C703&amp;""),CHAR(160),"")," ",""),"년","")),SUBSTITUTE(SUBSTITUTE(SUBSTITUTE(TRIM(C703&amp;""),CHAR(160),"")," ",""),"년",""),""),"")</f>
      </c>
      <c r="P703" t="str">
        <f>SUBSTITUTE(SUBSTITUTE(SUBSTITUTE(SUBSTITUTE(SUBSTITUTE(SUBSTITUTE(SUBSTITUTE(SUBSTITUTE(TRIM(D703&amp;""),CHAR(160),"")," ",""),"초등학교","초"),"중학교","중"),"고등학교","고"),"~","~~"),"*","~*"),"?","~?")</f>
      </c>
      <c r="Q703" t="str">
        <f>SUBSTITUTE(SUBSTITUTE(SUBSTITUTE(SUBSTITUTE(SUBSTITUTE(SUBSTITUTE(SUBSTITUTE(SUBSTITUTE(TRIM(E703&amp;""),CHAR(160),"")," ",""),"초등학교","초"),"중학교","중"),"고등학교","고"),"~","~~"),"*","~*"),"?","~?")</f>
      </c>
      <c r="R703" t="str">
        <f>IF(COUNTA(B703:J703)=0,"",IF(AND(O703&lt;&gt;"",P703&lt;&gt;"",Q703&lt;&gt;""),"","입력누락"))</f>
      </c>
    </row>
    <row r="704" customFormat="false" ht="15" hidden="false" customHeight="false" outlineLevel="0" collapsed="false">
      <c r="A704" t="n" s="19">
        <f aca="0">IF(COUNTA(B704:J704)=0,"",ROW()-1)</f>
      </c>
      <c r="B704" s="24"/>
      <c r="C704" s="25"/>
      <c r="D704" s="8"/>
      <c r="E704" s="8"/>
      <c r="F704" s="26"/>
      <c r="G704" s="24"/>
      <c r="H704" s="25"/>
      <c r="I704" s="25"/>
      <c r="J704" s="26"/>
      <c r="K704" t="str" s="15">
        <f aca="0">IF(COUNTA(B704:J704)=0,"",IF(R704&lt;&gt;"","확인필요(입력누락)",IF(COUNTIFS(보유목록!$I$2:$I$3001,"*"&amp;P704&amp;"*",보유목록!$I$2:$I$3001,"*"&amp;Q704&amp;"*",보유목록!$H$2:$H$3001,O704)&gt;0,"있음",IF(COUNTIFS(보유목록!$I$2:$I$3001,"*"&amp;P704&amp;"*",보유목록!$I$2:$I$3001,"*"&amp;Q704&amp;"*")&gt;0,"확인필요(연도다름)",IF(COUNTIFS(보유목록!$I$2:$I$3001,"*"&amp;P704&amp;"*",보유목록!$H$2:$H$3001,O704)&gt;0,"확인필요(같은학교·같은연도)","없음")))))</f>
      </c>
      <c r="L704" t="str" s="16">
        <f aca="0">IF(OR(COUNTA(B704:J704)=0,R704&lt;&gt;""),"",COUNTIFS(보유목록!$I$2:$I$3001,"*"&amp;P704&amp;"*",보유목록!$I$2:$I$3001,"*"&amp;Q704&amp;"*"))</f>
      </c>
      <c r="M704" t="str" s="23">
        <f aca="0">IF(OR(COUNTA(B704:J704)=0,R704&lt;&gt;""),"",IFERROR(LOOKUP(2,1/(ISNUMBER(SEARCH(P704,보유목록!$I$2:$I$3001))*ISNUMBER(SEARCH(Q704,보유목록!$I$2:$I$3001))*(보유목록!$H$2:$H$3001=O704)),보유목록!$B$2:$B$3001),IFERROR(LOOKUP(2,1/(ISNUMBER(SEARCH(P704,보유목록!$I$2:$I$3001))*ISNUMBER(SEARCH(Q704,보유목록!$I$2:$I$3001))),보유목록!$B$2:$B$3001),"")))</f>
      </c>
      <c r="N704" s="25"/>
      <c r="O704" t="str">
        <f>IFERROR(IF(AND(LEN(SUBSTITUTE(SUBSTITUTE(SUBSTITUTE(TRIM(C704&amp;""),CHAR(160),"")," ",""),"년",""))=4,VALUE(SUBSTITUTE(SUBSTITUTE(SUBSTITUTE(TRIM(C704&amp;""),CHAR(160),"")," ",""),"년",""))&gt;=1900,VALUE(SUBSTITUTE(SUBSTITUTE(SUBSTITUTE(TRIM(C704&amp;""),CHAR(160),"")," ",""),"년",""))&lt;=2099,TEXT(VALUE(SUBSTITUTE(SUBSTITUTE(SUBSTITUTE(TRIM(C704&amp;""),CHAR(160),"")," ",""),"년","")),"0000")=SUBSTITUTE(SUBSTITUTE(SUBSTITUTE(TRIM(C704&amp;""),CHAR(160),"")," ",""),"년","")),SUBSTITUTE(SUBSTITUTE(SUBSTITUTE(TRIM(C704&amp;""),CHAR(160),"")," ",""),"년",""),""),"")</f>
      </c>
      <c r="P704" t="str">
        <f>SUBSTITUTE(SUBSTITUTE(SUBSTITUTE(SUBSTITUTE(SUBSTITUTE(SUBSTITUTE(SUBSTITUTE(SUBSTITUTE(TRIM(D704&amp;""),CHAR(160),"")," ",""),"초등학교","초"),"중학교","중"),"고등학교","고"),"~","~~"),"*","~*"),"?","~?")</f>
      </c>
      <c r="Q704" t="str">
        <f>SUBSTITUTE(SUBSTITUTE(SUBSTITUTE(SUBSTITUTE(SUBSTITUTE(SUBSTITUTE(SUBSTITUTE(SUBSTITUTE(TRIM(E704&amp;""),CHAR(160),"")," ",""),"초등학교","초"),"중학교","중"),"고등학교","고"),"~","~~"),"*","~*"),"?","~?")</f>
      </c>
      <c r="R704" t="str">
        <f>IF(COUNTA(B704:J704)=0,"",IF(AND(O704&lt;&gt;"",P704&lt;&gt;"",Q704&lt;&gt;""),"","입력누락"))</f>
      </c>
    </row>
    <row r="705" customFormat="false" ht="15" hidden="false" customHeight="false" outlineLevel="0" collapsed="false">
      <c r="A705" t="n" s="19">
        <f aca="0">IF(COUNTA(B705:J705)=0,"",ROW()-1)</f>
      </c>
      <c r="B705" s="24"/>
      <c r="C705" s="25"/>
      <c r="D705" s="8"/>
      <c r="E705" s="8"/>
      <c r="F705" s="26"/>
      <c r="G705" s="24"/>
      <c r="H705" s="25"/>
      <c r="I705" s="25"/>
      <c r="J705" s="26"/>
      <c r="K705" t="str" s="15">
        <f aca="0">IF(COUNTA(B705:J705)=0,"",IF(R705&lt;&gt;"","확인필요(입력누락)",IF(COUNTIFS(보유목록!$I$2:$I$3001,"*"&amp;P705&amp;"*",보유목록!$I$2:$I$3001,"*"&amp;Q705&amp;"*",보유목록!$H$2:$H$3001,O705)&gt;0,"있음",IF(COUNTIFS(보유목록!$I$2:$I$3001,"*"&amp;P705&amp;"*",보유목록!$I$2:$I$3001,"*"&amp;Q705&amp;"*")&gt;0,"확인필요(연도다름)",IF(COUNTIFS(보유목록!$I$2:$I$3001,"*"&amp;P705&amp;"*",보유목록!$H$2:$H$3001,O705)&gt;0,"확인필요(같은학교·같은연도)","없음")))))</f>
      </c>
      <c r="L705" t="str" s="16">
        <f aca="0">IF(OR(COUNTA(B705:J705)=0,R705&lt;&gt;""),"",COUNTIFS(보유목록!$I$2:$I$3001,"*"&amp;P705&amp;"*",보유목록!$I$2:$I$3001,"*"&amp;Q705&amp;"*"))</f>
      </c>
      <c r="M705" t="str" s="23">
        <f aca="0">IF(OR(COUNTA(B705:J705)=0,R705&lt;&gt;""),"",IFERROR(LOOKUP(2,1/(ISNUMBER(SEARCH(P705,보유목록!$I$2:$I$3001))*ISNUMBER(SEARCH(Q705,보유목록!$I$2:$I$3001))*(보유목록!$H$2:$H$3001=O705)),보유목록!$B$2:$B$3001),IFERROR(LOOKUP(2,1/(ISNUMBER(SEARCH(P705,보유목록!$I$2:$I$3001))*ISNUMBER(SEARCH(Q705,보유목록!$I$2:$I$3001))),보유목록!$B$2:$B$3001),"")))</f>
      </c>
      <c r="N705" s="25"/>
      <c r="O705" t="str">
        <f>IFERROR(IF(AND(LEN(SUBSTITUTE(SUBSTITUTE(SUBSTITUTE(TRIM(C705&amp;""),CHAR(160),"")," ",""),"년",""))=4,VALUE(SUBSTITUTE(SUBSTITUTE(SUBSTITUTE(TRIM(C705&amp;""),CHAR(160),"")," ",""),"년",""))&gt;=1900,VALUE(SUBSTITUTE(SUBSTITUTE(SUBSTITUTE(TRIM(C705&amp;""),CHAR(160),"")," ",""),"년",""))&lt;=2099,TEXT(VALUE(SUBSTITUTE(SUBSTITUTE(SUBSTITUTE(TRIM(C705&amp;""),CHAR(160),"")," ",""),"년","")),"0000")=SUBSTITUTE(SUBSTITUTE(SUBSTITUTE(TRIM(C705&amp;""),CHAR(160),"")," ",""),"년","")),SUBSTITUTE(SUBSTITUTE(SUBSTITUTE(TRIM(C705&amp;""),CHAR(160),"")," ",""),"년",""),""),"")</f>
      </c>
      <c r="P705" t="str">
        <f>SUBSTITUTE(SUBSTITUTE(SUBSTITUTE(SUBSTITUTE(SUBSTITUTE(SUBSTITUTE(SUBSTITUTE(SUBSTITUTE(TRIM(D705&amp;""),CHAR(160),"")," ",""),"초등학교","초"),"중학교","중"),"고등학교","고"),"~","~~"),"*","~*"),"?","~?")</f>
      </c>
      <c r="Q705" t="str">
        <f>SUBSTITUTE(SUBSTITUTE(SUBSTITUTE(SUBSTITUTE(SUBSTITUTE(SUBSTITUTE(SUBSTITUTE(SUBSTITUTE(TRIM(E705&amp;""),CHAR(160),"")," ",""),"초등학교","초"),"중학교","중"),"고등학교","고"),"~","~~"),"*","~*"),"?","~?")</f>
      </c>
      <c r="R705" t="str">
        <f>IF(COUNTA(B705:J705)=0,"",IF(AND(O705&lt;&gt;"",P705&lt;&gt;"",Q705&lt;&gt;""),"","입력누락"))</f>
      </c>
    </row>
    <row r="706" customFormat="false" ht="15" hidden="false" customHeight="false" outlineLevel="0" collapsed="false">
      <c r="A706" t="n" s="19">
        <f aca="0">IF(COUNTA(B706:J706)=0,"",ROW()-1)</f>
      </c>
      <c r="B706" s="24"/>
      <c r="C706" s="25"/>
      <c r="D706" s="8"/>
      <c r="E706" s="8"/>
      <c r="F706" s="26"/>
      <c r="G706" s="24"/>
      <c r="H706" s="25"/>
      <c r="I706" s="25"/>
      <c r="J706" s="26"/>
      <c r="K706" t="str" s="15">
        <f aca="0">IF(COUNTA(B706:J706)=0,"",IF(R706&lt;&gt;"","확인필요(입력누락)",IF(COUNTIFS(보유목록!$I$2:$I$3001,"*"&amp;P706&amp;"*",보유목록!$I$2:$I$3001,"*"&amp;Q706&amp;"*",보유목록!$H$2:$H$3001,O706)&gt;0,"있음",IF(COUNTIFS(보유목록!$I$2:$I$3001,"*"&amp;P706&amp;"*",보유목록!$I$2:$I$3001,"*"&amp;Q706&amp;"*")&gt;0,"확인필요(연도다름)",IF(COUNTIFS(보유목록!$I$2:$I$3001,"*"&amp;P706&amp;"*",보유목록!$H$2:$H$3001,O706)&gt;0,"확인필요(같은학교·같은연도)","없음")))))</f>
      </c>
      <c r="L706" t="str" s="16">
        <f aca="0">IF(OR(COUNTA(B706:J706)=0,R706&lt;&gt;""),"",COUNTIFS(보유목록!$I$2:$I$3001,"*"&amp;P706&amp;"*",보유목록!$I$2:$I$3001,"*"&amp;Q706&amp;"*"))</f>
      </c>
      <c r="M706" t="str" s="23">
        <f aca="0">IF(OR(COUNTA(B706:J706)=0,R706&lt;&gt;""),"",IFERROR(LOOKUP(2,1/(ISNUMBER(SEARCH(P706,보유목록!$I$2:$I$3001))*ISNUMBER(SEARCH(Q706,보유목록!$I$2:$I$3001))*(보유목록!$H$2:$H$3001=O706)),보유목록!$B$2:$B$3001),IFERROR(LOOKUP(2,1/(ISNUMBER(SEARCH(P706,보유목록!$I$2:$I$3001))*ISNUMBER(SEARCH(Q706,보유목록!$I$2:$I$3001))),보유목록!$B$2:$B$3001),"")))</f>
      </c>
      <c r="N706" s="25"/>
      <c r="O706" t="str">
        <f>IFERROR(IF(AND(LEN(SUBSTITUTE(SUBSTITUTE(SUBSTITUTE(TRIM(C706&amp;""),CHAR(160),"")," ",""),"년",""))=4,VALUE(SUBSTITUTE(SUBSTITUTE(SUBSTITUTE(TRIM(C706&amp;""),CHAR(160),"")," ",""),"년",""))&gt;=1900,VALUE(SUBSTITUTE(SUBSTITUTE(SUBSTITUTE(TRIM(C706&amp;""),CHAR(160),"")," ",""),"년",""))&lt;=2099,TEXT(VALUE(SUBSTITUTE(SUBSTITUTE(SUBSTITUTE(TRIM(C706&amp;""),CHAR(160),"")," ",""),"년","")),"0000")=SUBSTITUTE(SUBSTITUTE(SUBSTITUTE(TRIM(C706&amp;""),CHAR(160),"")," ",""),"년","")),SUBSTITUTE(SUBSTITUTE(SUBSTITUTE(TRIM(C706&amp;""),CHAR(160),"")," ",""),"년",""),""),"")</f>
      </c>
      <c r="P706" t="str">
        <f>SUBSTITUTE(SUBSTITUTE(SUBSTITUTE(SUBSTITUTE(SUBSTITUTE(SUBSTITUTE(SUBSTITUTE(SUBSTITUTE(TRIM(D706&amp;""),CHAR(160),"")," ",""),"초등학교","초"),"중학교","중"),"고등학교","고"),"~","~~"),"*","~*"),"?","~?")</f>
      </c>
      <c r="Q706" t="str">
        <f>SUBSTITUTE(SUBSTITUTE(SUBSTITUTE(SUBSTITUTE(SUBSTITUTE(SUBSTITUTE(SUBSTITUTE(SUBSTITUTE(TRIM(E706&amp;""),CHAR(160),"")," ",""),"초등학교","초"),"중학교","중"),"고등학교","고"),"~","~~"),"*","~*"),"?","~?")</f>
      </c>
      <c r="R706" t="str">
        <f>IF(COUNTA(B706:J706)=0,"",IF(AND(O706&lt;&gt;"",P706&lt;&gt;"",Q706&lt;&gt;""),"","입력누락"))</f>
      </c>
    </row>
    <row r="707" customFormat="false" ht="15" hidden="false" customHeight="false" outlineLevel="0" collapsed="false">
      <c r="A707" t="n" s="19">
        <f aca="0">IF(COUNTA(B707:J707)=0,"",ROW()-1)</f>
      </c>
      <c r="B707" s="24"/>
      <c r="C707" s="25"/>
      <c r="D707" s="8"/>
      <c r="E707" s="8"/>
      <c r="F707" s="26"/>
      <c r="G707" s="24"/>
      <c r="H707" s="25"/>
      <c r="I707" s="25"/>
      <c r="J707" s="26"/>
      <c r="K707" t="str" s="15">
        <f aca="0">IF(COUNTA(B707:J707)=0,"",IF(R707&lt;&gt;"","확인필요(입력누락)",IF(COUNTIFS(보유목록!$I$2:$I$3001,"*"&amp;P707&amp;"*",보유목록!$I$2:$I$3001,"*"&amp;Q707&amp;"*",보유목록!$H$2:$H$3001,O707)&gt;0,"있음",IF(COUNTIFS(보유목록!$I$2:$I$3001,"*"&amp;P707&amp;"*",보유목록!$I$2:$I$3001,"*"&amp;Q707&amp;"*")&gt;0,"확인필요(연도다름)",IF(COUNTIFS(보유목록!$I$2:$I$3001,"*"&amp;P707&amp;"*",보유목록!$H$2:$H$3001,O707)&gt;0,"확인필요(같은학교·같은연도)","없음")))))</f>
      </c>
      <c r="L707" t="str" s="16">
        <f aca="0">IF(OR(COUNTA(B707:J707)=0,R707&lt;&gt;""),"",COUNTIFS(보유목록!$I$2:$I$3001,"*"&amp;P707&amp;"*",보유목록!$I$2:$I$3001,"*"&amp;Q707&amp;"*"))</f>
      </c>
      <c r="M707" t="str" s="23">
        <f aca="0">IF(OR(COUNTA(B707:J707)=0,R707&lt;&gt;""),"",IFERROR(LOOKUP(2,1/(ISNUMBER(SEARCH(P707,보유목록!$I$2:$I$3001))*ISNUMBER(SEARCH(Q707,보유목록!$I$2:$I$3001))*(보유목록!$H$2:$H$3001=O707)),보유목록!$B$2:$B$3001),IFERROR(LOOKUP(2,1/(ISNUMBER(SEARCH(P707,보유목록!$I$2:$I$3001))*ISNUMBER(SEARCH(Q707,보유목록!$I$2:$I$3001))),보유목록!$B$2:$B$3001),"")))</f>
      </c>
      <c r="N707" s="25"/>
      <c r="O707" t="str">
        <f>IFERROR(IF(AND(LEN(SUBSTITUTE(SUBSTITUTE(SUBSTITUTE(TRIM(C707&amp;""),CHAR(160),"")," ",""),"년",""))=4,VALUE(SUBSTITUTE(SUBSTITUTE(SUBSTITUTE(TRIM(C707&amp;""),CHAR(160),"")," ",""),"년",""))&gt;=1900,VALUE(SUBSTITUTE(SUBSTITUTE(SUBSTITUTE(TRIM(C707&amp;""),CHAR(160),"")," ",""),"년",""))&lt;=2099,TEXT(VALUE(SUBSTITUTE(SUBSTITUTE(SUBSTITUTE(TRIM(C707&amp;""),CHAR(160),"")," ",""),"년","")),"0000")=SUBSTITUTE(SUBSTITUTE(SUBSTITUTE(TRIM(C707&amp;""),CHAR(160),"")," ",""),"년","")),SUBSTITUTE(SUBSTITUTE(SUBSTITUTE(TRIM(C707&amp;""),CHAR(160),"")," ",""),"년",""),""),"")</f>
      </c>
      <c r="P707" t="str">
        <f>SUBSTITUTE(SUBSTITUTE(SUBSTITUTE(SUBSTITUTE(SUBSTITUTE(SUBSTITUTE(SUBSTITUTE(SUBSTITUTE(TRIM(D707&amp;""),CHAR(160),"")," ",""),"초등학교","초"),"중학교","중"),"고등학교","고"),"~","~~"),"*","~*"),"?","~?")</f>
      </c>
      <c r="Q707" t="str">
        <f>SUBSTITUTE(SUBSTITUTE(SUBSTITUTE(SUBSTITUTE(SUBSTITUTE(SUBSTITUTE(SUBSTITUTE(SUBSTITUTE(TRIM(E707&amp;""),CHAR(160),"")," ",""),"초등학교","초"),"중학교","중"),"고등학교","고"),"~","~~"),"*","~*"),"?","~?")</f>
      </c>
      <c r="R707" t="str">
        <f>IF(COUNTA(B707:J707)=0,"",IF(AND(O707&lt;&gt;"",P707&lt;&gt;"",Q707&lt;&gt;""),"","입력누락"))</f>
      </c>
    </row>
    <row r="708" customFormat="false" ht="15" hidden="false" customHeight="false" outlineLevel="0" collapsed="false">
      <c r="A708" t="n" s="19">
        <f aca="0">IF(COUNTA(B708:J708)=0,"",ROW()-1)</f>
      </c>
      <c r="B708" s="24"/>
      <c r="C708" s="25"/>
      <c r="D708" s="8"/>
      <c r="E708" s="8"/>
      <c r="F708" s="26"/>
      <c r="G708" s="24"/>
      <c r="H708" s="25"/>
      <c r="I708" s="25"/>
      <c r="J708" s="26"/>
      <c r="K708" t="str" s="15">
        <f aca="0">IF(COUNTA(B708:J708)=0,"",IF(R708&lt;&gt;"","확인필요(입력누락)",IF(COUNTIFS(보유목록!$I$2:$I$3001,"*"&amp;P708&amp;"*",보유목록!$I$2:$I$3001,"*"&amp;Q708&amp;"*",보유목록!$H$2:$H$3001,O708)&gt;0,"있음",IF(COUNTIFS(보유목록!$I$2:$I$3001,"*"&amp;P708&amp;"*",보유목록!$I$2:$I$3001,"*"&amp;Q708&amp;"*")&gt;0,"확인필요(연도다름)",IF(COUNTIFS(보유목록!$I$2:$I$3001,"*"&amp;P708&amp;"*",보유목록!$H$2:$H$3001,O708)&gt;0,"확인필요(같은학교·같은연도)","없음")))))</f>
      </c>
      <c r="L708" t="str" s="16">
        <f aca="0">IF(OR(COUNTA(B708:J708)=0,R708&lt;&gt;""),"",COUNTIFS(보유목록!$I$2:$I$3001,"*"&amp;P708&amp;"*",보유목록!$I$2:$I$3001,"*"&amp;Q708&amp;"*"))</f>
      </c>
      <c r="M708" t="str" s="23">
        <f aca="0">IF(OR(COUNTA(B708:J708)=0,R708&lt;&gt;""),"",IFERROR(LOOKUP(2,1/(ISNUMBER(SEARCH(P708,보유목록!$I$2:$I$3001))*ISNUMBER(SEARCH(Q708,보유목록!$I$2:$I$3001))*(보유목록!$H$2:$H$3001=O708)),보유목록!$B$2:$B$3001),IFERROR(LOOKUP(2,1/(ISNUMBER(SEARCH(P708,보유목록!$I$2:$I$3001))*ISNUMBER(SEARCH(Q708,보유목록!$I$2:$I$3001))),보유목록!$B$2:$B$3001),"")))</f>
      </c>
      <c r="N708" s="25"/>
      <c r="O708" t="str">
        <f>IFERROR(IF(AND(LEN(SUBSTITUTE(SUBSTITUTE(SUBSTITUTE(TRIM(C708&amp;""),CHAR(160),"")," ",""),"년",""))=4,VALUE(SUBSTITUTE(SUBSTITUTE(SUBSTITUTE(TRIM(C708&amp;""),CHAR(160),"")," ",""),"년",""))&gt;=1900,VALUE(SUBSTITUTE(SUBSTITUTE(SUBSTITUTE(TRIM(C708&amp;""),CHAR(160),"")," ",""),"년",""))&lt;=2099,TEXT(VALUE(SUBSTITUTE(SUBSTITUTE(SUBSTITUTE(TRIM(C708&amp;""),CHAR(160),"")," ",""),"년","")),"0000")=SUBSTITUTE(SUBSTITUTE(SUBSTITUTE(TRIM(C708&amp;""),CHAR(160),"")," ",""),"년","")),SUBSTITUTE(SUBSTITUTE(SUBSTITUTE(TRIM(C708&amp;""),CHAR(160),"")," ",""),"년",""),""),"")</f>
      </c>
      <c r="P708" t="str">
        <f>SUBSTITUTE(SUBSTITUTE(SUBSTITUTE(SUBSTITUTE(SUBSTITUTE(SUBSTITUTE(SUBSTITUTE(SUBSTITUTE(TRIM(D708&amp;""),CHAR(160),"")," ",""),"초등학교","초"),"중학교","중"),"고등학교","고"),"~","~~"),"*","~*"),"?","~?")</f>
      </c>
      <c r="Q708" t="str">
        <f>SUBSTITUTE(SUBSTITUTE(SUBSTITUTE(SUBSTITUTE(SUBSTITUTE(SUBSTITUTE(SUBSTITUTE(SUBSTITUTE(TRIM(E708&amp;""),CHAR(160),"")," ",""),"초등학교","초"),"중학교","중"),"고등학교","고"),"~","~~"),"*","~*"),"?","~?")</f>
      </c>
      <c r="R708" t="str">
        <f>IF(COUNTA(B708:J708)=0,"",IF(AND(O708&lt;&gt;"",P708&lt;&gt;"",Q708&lt;&gt;""),"","입력누락"))</f>
      </c>
    </row>
    <row r="709" customFormat="false" ht="15" hidden="false" customHeight="false" outlineLevel="0" collapsed="false">
      <c r="A709" t="n" s="19">
        <f aca="0">IF(COUNTA(B709:J709)=0,"",ROW()-1)</f>
      </c>
      <c r="B709" s="24"/>
      <c r="C709" s="25"/>
      <c r="D709" s="8"/>
      <c r="E709" s="8"/>
      <c r="F709" s="26"/>
      <c r="G709" s="24"/>
      <c r="H709" s="25"/>
      <c r="I709" s="25"/>
      <c r="J709" s="26"/>
      <c r="K709" t="str" s="15">
        <f aca="0">IF(COUNTA(B709:J709)=0,"",IF(R709&lt;&gt;"","확인필요(입력누락)",IF(COUNTIFS(보유목록!$I$2:$I$3001,"*"&amp;P709&amp;"*",보유목록!$I$2:$I$3001,"*"&amp;Q709&amp;"*",보유목록!$H$2:$H$3001,O709)&gt;0,"있음",IF(COUNTIFS(보유목록!$I$2:$I$3001,"*"&amp;P709&amp;"*",보유목록!$I$2:$I$3001,"*"&amp;Q709&amp;"*")&gt;0,"확인필요(연도다름)",IF(COUNTIFS(보유목록!$I$2:$I$3001,"*"&amp;P709&amp;"*",보유목록!$H$2:$H$3001,O709)&gt;0,"확인필요(같은학교·같은연도)","없음")))))</f>
      </c>
      <c r="L709" t="str" s="16">
        <f aca="0">IF(OR(COUNTA(B709:J709)=0,R709&lt;&gt;""),"",COUNTIFS(보유목록!$I$2:$I$3001,"*"&amp;P709&amp;"*",보유목록!$I$2:$I$3001,"*"&amp;Q709&amp;"*"))</f>
      </c>
      <c r="M709" t="str" s="23">
        <f aca="0">IF(OR(COUNTA(B709:J709)=0,R709&lt;&gt;""),"",IFERROR(LOOKUP(2,1/(ISNUMBER(SEARCH(P709,보유목록!$I$2:$I$3001))*ISNUMBER(SEARCH(Q709,보유목록!$I$2:$I$3001))*(보유목록!$H$2:$H$3001=O709)),보유목록!$B$2:$B$3001),IFERROR(LOOKUP(2,1/(ISNUMBER(SEARCH(P709,보유목록!$I$2:$I$3001))*ISNUMBER(SEARCH(Q709,보유목록!$I$2:$I$3001))),보유목록!$B$2:$B$3001),"")))</f>
      </c>
      <c r="N709" s="25"/>
      <c r="O709" t="str">
        <f>IFERROR(IF(AND(LEN(SUBSTITUTE(SUBSTITUTE(SUBSTITUTE(TRIM(C709&amp;""),CHAR(160),"")," ",""),"년",""))=4,VALUE(SUBSTITUTE(SUBSTITUTE(SUBSTITUTE(TRIM(C709&amp;""),CHAR(160),"")," ",""),"년",""))&gt;=1900,VALUE(SUBSTITUTE(SUBSTITUTE(SUBSTITUTE(TRIM(C709&amp;""),CHAR(160),"")," ",""),"년",""))&lt;=2099,TEXT(VALUE(SUBSTITUTE(SUBSTITUTE(SUBSTITUTE(TRIM(C709&amp;""),CHAR(160),"")," ",""),"년","")),"0000")=SUBSTITUTE(SUBSTITUTE(SUBSTITUTE(TRIM(C709&amp;""),CHAR(160),"")," ",""),"년","")),SUBSTITUTE(SUBSTITUTE(SUBSTITUTE(TRIM(C709&amp;""),CHAR(160),"")," ",""),"년",""),""),"")</f>
      </c>
      <c r="P709" t="str">
        <f>SUBSTITUTE(SUBSTITUTE(SUBSTITUTE(SUBSTITUTE(SUBSTITUTE(SUBSTITUTE(SUBSTITUTE(SUBSTITUTE(TRIM(D709&amp;""),CHAR(160),"")," ",""),"초등학교","초"),"중학교","중"),"고등학교","고"),"~","~~"),"*","~*"),"?","~?")</f>
      </c>
      <c r="Q709" t="str">
        <f>SUBSTITUTE(SUBSTITUTE(SUBSTITUTE(SUBSTITUTE(SUBSTITUTE(SUBSTITUTE(SUBSTITUTE(SUBSTITUTE(TRIM(E709&amp;""),CHAR(160),"")," ",""),"초등학교","초"),"중학교","중"),"고등학교","고"),"~","~~"),"*","~*"),"?","~?")</f>
      </c>
      <c r="R709" t="str">
        <f>IF(COUNTA(B709:J709)=0,"",IF(AND(O709&lt;&gt;"",P709&lt;&gt;"",Q709&lt;&gt;""),"","입력누락"))</f>
      </c>
    </row>
    <row r="710" customFormat="false" ht="15" hidden="false" customHeight="false" outlineLevel="0" collapsed="false">
      <c r="A710" t="n" s="19">
        <f aca="0">IF(COUNTA(B710:J710)=0,"",ROW()-1)</f>
      </c>
      <c r="B710" s="24"/>
      <c r="C710" s="25"/>
      <c r="D710" s="8"/>
      <c r="E710" s="8"/>
      <c r="F710" s="26"/>
      <c r="G710" s="24"/>
      <c r="H710" s="25"/>
      <c r="I710" s="25"/>
      <c r="J710" s="26"/>
      <c r="K710" t="str" s="15">
        <f aca="0">IF(COUNTA(B710:J710)=0,"",IF(R710&lt;&gt;"","확인필요(입력누락)",IF(COUNTIFS(보유목록!$I$2:$I$3001,"*"&amp;P710&amp;"*",보유목록!$I$2:$I$3001,"*"&amp;Q710&amp;"*",보유목록!$H$2:$H$3001,O710)&gt;0,"있음",IF(COUNTIFS(보유목록!$I$2:$I$3001,"*"&amp;P710&amp;"*",보유목록!$I$2:$I$3001,"*"&amp;Q710&amp;"*")&gt;0,"확인필요(연도다름)",IF(COUNTIFS(보유목록!$I$2:$I$3001,"*"&amp;P710&amp;"*",보유목록!$H$2:$H$3001,O710)&gt;0,"확인필요(같은학교·같은연도)","없음")))))</f>
      </c>
      <c r="L710" t="str" s="16">
        <f aca="0">IF(OR(COUNTA(B710:J710)=0,R710&lt;&gt;""),"",COUNTIFS(보유목록!$I$2:$I$3001,"*"&amp;P710&amp;"*",보유목록!$I$2:$I$3001,"*"&amp;Q710&amp;"*"))</f>
      </c>
      <c r="M710" t="str" s="23">
        <f aca="0">IF(OR(COUNTA(B710:J710)=0,R710&lt;&gt;""),"",IFERROR(LOOKUP(2,1/(ISNUMBER(SEARCH(P710,보유목록!$I$2:$I$3001))*ISNUMBER(SEARCH(Q710,보유목록!$I$2:$I$3001))*(보유목록!$H$2:$H$3001=O710)),보유목록!$B$2:$B$3001),IFERROR(LOOKUP(2,1/(ISNUMBER(SEARCH(P710,보유목록!$I$2:$I$3001))*ISNUMBER(SEARCH(Q710,보유목록!$I$2:$I$3001))),보유목록!$B$2:$B$3001),"")))</f>
      </c>
      <c r="N710" s="25"/>
      <c r="O710" t="str">
        <f>IFERROR(IF(AND(LEN(SUBSTITUTE(SUBSTITUTE(SUBSTITUTE(TRIM(C710&amp;""),CHAR(160),"")," ",""),"년",""))=4,VALUE(SUBSTITUTE(SUBSTITUTE(SUBSTITUTE(TRIM(C710&amp;""),CHAR(160),"")," ",""),"년",""))&gt;=1900,VALUE(SUBSTITUTE(SUBSTITUTE(SUBSTITUTE(TRIM(C710&amp;""),CHAR(160),"")," ",""),"년",""))&lt;=2099,TEXT(VALUE(SUBSTITUTE(SUBSTITUTE(SUBSTITUTE(TRIM(C710&amp;""),CHAR(160),"")," ",""),"년","")),"0000")=SUBSTITUTE(SUBSTITUTE(SUBSTITUTE(TRIM(C710&amp;""),CHAR(160),"")," ",""),"년","")),SUBSTITUTE(SUBSTITUTE(SUBSTITUTE(TRIM(C710&amp;""),CHAR(160),"")," ",""),"년",""),""),"")</f>
      </c>
      <c r="P710" t="str">
        <f>SUBSTITUTE(SUBSTITUTE(SUBSTITUTE(SUBSTITUTE(SUBSTITUTE(SUBSTITUTE(SUBSTITUTE(SUBSTITUTE(TRIM(D710&amp;""),CHAR(160),"")," ",""),"초등학교","초"),"중학교","중"),"고등학교","고"),"~","~~"),"*","~*"),"?","~?")</f>
      </c>
      <c r="Q710" t="str">
        <f>SUBSTITUTE(SUBSTITUTE(SUBSTITUTE(SUBSTITUTE(SUBSTITUTE(SUBSTITUTE(SUBSTITUTE(SUBSTITUTE(TRIM(E710&amp;""),CHAR(160),"")," ",""),"초등학교","초"),"중학교","중"),"고등학교","고"),"~","~~"),"*","~*"),"?","~?")</f>
      </c>
      <c r="R710" t="str">
        <f>IF(COUNTA(B710:J710)=0,"",IF(AND(O710&lt;&gt;"",P710&lt;&gt;"",Q710&lt;&gt;""),"","입력누락"))</f>
      </c>
    </row>
    <row r="711" customFormat="false" ht="15" hidden="false" customHeight="false" outlineLevel="0" collapsed="false">
      <c r="A711" t="n" s="19">
        <f aca="0">IF(COUNTA(B711:J711)=0,"",ROW()-1)</f>
      </c>
      <c r="B711" s="24"/>
      <c r="C711" s="25"/>
      <c r="D711" s="8"/>
      <c r="E711" s="8"/>
      <c r="F711" s="26"/>
      <c r="G711" s="24"/>
      <c r="H711" s="25"/>
      <c r="I711" s="25"/>
      <c r="J711" s="26"/>
      <c r="K711" t="str" s="15">
        <f aca="0">IF(COUNTA(B711:J711)=0,"",IF(R711&lt;&gt;"","확인필요(입력누락)",IF(COUNTIFS(보유목록!$I$2:$I$3001,"*"&amp;P711&amp;"*",보유목록!$I$2:$I$3001,"*"&amp;Q711&amp;"*",보유목록!$H$2:$H$3001,O711)&gt;0,"있음",IF(COUNTIFS(보유목록!$I$2:$I$3001,"*"&amp;P711&amp;"*",보유목록!$I$2:$I$3001,"*"&amp;Q711&amp;"*")&gt;0,"확인필요(연도다름)",IF(COUNTIFS(보유목록!$I$2:$I$3001,"*"&amp;P711&amp;"*",보유목록!$H$2:$H$3001,O711)&gt;0,"확인필요(같은학교·같은연도)","없음")))))</f>
      </c>
      <c r="L711" t="str" s="16">
        <f aca="0">IF(OR(COUNTA(B711:J711)=0,R711&lt;&gt;""),"",COUNTIFS(보유목록!$I$2:$I$3001,"*"&amp;P711&amp;"*",보유목록!$I$2:$I$3001,"*"&amp;Q711&amp;"*"))</f>
      </c>
      <c r="M711" t="str" s="23">
        <f aca="0">IF(OR(COUNTA(B711:J711)=0,R711&lt;&gt;""),"",IFERROR(LOOKUP(2,1/(ISNUMBER(SEARCH(P711,보유목록!$I$2:$I$3001))*ISNUMBER(SEARCH(Q711,보유목록!$I$2:$I$3001))*(보유목록!$H$2:$H$3001=O711)),보유목록!$B$2:$B$3001),IFERROR(LOOKUP(2,1/(ISNUMBER(SEARCH(P711,보유목록!$I$2:$I$3001))*ISNUMBER(SEARCH(Q711,보유목록!$I$2:$I$3001))),보유목록!$B$2:$B$3001),"")))</f>
      </c>
      <c r="N711" s="25"/>
      <c r="O711" t="str">
        <f>IFERROR(IF(AND(LEN(SUBSTITUTE(SUBSTITUTE(SUBSTITUTE(TRIM(C711&amp;""),CHAR(160),"")," ",""),"년",""))=4,VALUE(SUBSTITUTE(SUBSTITUTE(SUBSTITUTE(TRIM(C711&amp;""),CHAR(160),"")," ",""),"년",""))&gt;=1900,VALUE(SUBSTITUTE(SUBSTITUTE(SUBSTITUTE(TRIM(C711&amp;""),CHAR(160),"")," ",""),"년",""))&lt;=2099,TEXT(VALUE(SUBSTITUTE(SUBSTITUTE(SUBSTITUTE(TRIM(C711&amp;""),CHAR(160),"")," ",""),"년","")),"0000")=SUBSTITUTE(SUBSTITUTE(SUBSTITUTE(TRIM(C711&amp;""),CHAR(160),"")," ",""),"년","")),SUBSTITUTE(SUBSTITUTE(SUBSTITUTE(TRIM(C711&amp;""),CHAR(160),"")," ",""),"년",""),""),"")</f>
      </c>
      <c r="P711" t="str">
        <f>SUBSTITUTE(SUBSTITUTE(SUBSTITUTE(SUBSTITUTE(SUBSTITUTE(SUBSTITUTE(SUBSTITUTE(SUBSTITUTE(TRIM(D711&amp;""),CHAR(160),"")," ",""),"초등학교","초"),"중학교","중"),"고등학교","고"),"~","~~"),"*","~*"),"?","~?")</f>
      </c>
      <c r="Q711" t="str">
        <f>SUBSTITUTE(SUBSTITUTE(SUBSTITUTE(SUBSTITUTE(SUBSTITUTE(SUBSTITUTE(SUBSTITUTE(SUBSTITUTE(TRIM(E711&amp;""),CHAR(160),"")," ",""),"초등학교","초"),"중학교","중"),"고등학교","고"),"~","~~"),"*","~*"),"?","~?")</f>
      </c>
      <c r="R711" t="str">
        <f>IF(COUNTA(B711:J711)=0,"",IF(AND(O711&lt;&gt;"",P711&lt;&gt;"",Q711&lt;&gt;""),"","입력누락"))</f>
      </c>
    </row>
    <row r="712" customFormat="false" ht="15" hidden="false" customHeight="false" outlineLevel="0" collapsed="false">
      <c r="A712" t="n" s="19">
        <f aca="0">IF(COUNTA(B712:J712)=0,"",ROW()-1)</f>
      </c>
      <c r="B712" s="24"/>
      <c r="C712" s="25"/>
      <c r="D712" s="8"/>
      <c r="E712" s="8"/>
      <c r="F712" s="26"/>
      <c r="G712" s="24"/>
      <c r="H712" s="25"/>
      <c r="I712" s="25"/>
      <c r="J712" s="26"/>
      <c r="K712" t="str" s="15">
        <f aca="0">IF(COUNTA(B712:J712)=0,"",IF(R712&lt;&gt;"","확인필요(입력누락)",IF(COUNTIFS(보유목록!$I$2:$I$3001,"*"&amp;P712&amp;"*",보유목록!$I$2:$I$3001,"*"&amp;Q712&amp;"*",보유목록!$H$2:$H$3001,O712)&gt;0,"있음",IF(COUNTIFS(보유목록!$I$2:$I$3001,"*"&amp;P712&amp;"*",보유목록!$I$2:$I$3001,"*"&amp;Q712&amp;"*")&gt;0,"확인필요(연도다름)",IF(COUNTIFS(보유목록!$I$2:$I$3001,"*"&amp;P712&amp;"*",보유목록!$H$2:$H$3001,O712)&gt;0,"확인필요(같은학교·같은연도)","없음")))))</f>
      </c>
      <c r="L712" t="str" s="16">
        <f aca="0">IF(OR(COUNTA(B712:J712)=0,R712&lt;&gt;""),"",COUNTIFS(보유목록!$I$2:$I$3001,"*"&amp;P712&amp;"*",보유목록!$I$2:$I$3001,"*"&amp;Q712&amp;"*"))</f>
      </c>
      <c r="M712" t="str" s="23">
        <f aca="0">IF(OR(COUNTA(B712:J712)=0,R712&lt;&gt;""),"",IFERROR(LOOKUP(2,1/(ISNUMBER(SEARCH(P712,보유목록!$I$2:$I$3001))*ISNUMBER(SEARCH(Q712,보유목록!$I$2:$I$3001))*(보유목록!$H$2:$H$3001=O712)),보유목록!$B$2:$B$3001),IFERROR(LOOKUP(2,1/(ISNUMBER(SEARCH(P712,보유목록!$I$2:$I$3001))*ISNUMBER(SEARCH(Q712,보유목록!$I$2:$I$3001))),보유목록!$B$2:$B$3001),"")))</f>
      </c>
      <c r="N712" s="25"/>
      <c r="O712" t="str">
        <f>IFERROR(IF(AND(LEN(SUBSTITUTE(SUBSTITUTE(SUBSTITUTE(TRIM(C712&amp;""),CHAR(160),"")," ",""),"년",""))=4,VALUE(SUBSTITUTE(SUBSTITUTE(SUBSTITUTE(TRIM(C712&amp;""),CHAR(160),"")," ",""),"년",""))&gt;=1900,VALUE(SUBSTITUTE(SUBSTITUTE(SUBSTITUTE(TRIM(C712&amp;""),CHAR(160),"")," ",""),"년",""))&lt;=2099,TEXT(VALUE(SUBSTITUTE(SUBSTITUTE(SUBSTITUTE(TRIM(C712&amp;""),CHAR(160),"")," ",""),"년","")),"0000")=SUBSTITUTE(SUBSTITUTE(SUBSTITUTE(TRIM(C712&amp;""),CHAR(160),"")," ",""),"년","")),SUBSTITUTE(SUBSTITUTE(SUBSTITUTE(TRIM(C712&amp;""),CHAR(160),"")," ",""),"년",""),""),"")</f>
      </c>
      <c r="P712" t="str">
        <f>SUBSTITUTE(SUBSTITUTE(SUBSTITUTE(SUBSTITUTE(SUBSTITUTE(SUBSTITUTE(SUBSTITUTE(SUBSTITUTE(TRIM(D712&amp;""),CHAR(160),"")," ",""),"초등학교","초"),"중학교","중"),"고등학교","고"),"~","~~"),"*","~*"),"?","~?")</f>
      </c>
      <c r="Q712" t="str">
        <f>SUBSTITUTE(SUBSTITUTE(SUBSTITUTE(SUBSTITUTE(SUBSTITUTE(SUBSTITUTE(SUBSTITUTE(SUBSTITUTE(TRIM(E712&amp;""),CHAR(160),"")," ",""),"초등학교","초"),"중학교","중"),"고등학교","고"),"~","~~"),"*","~*"),"?","~?")</f>
      </c>
      <c r="R712" t="str">
        <f>IF(COUNTA(B712:J712)=0,"",IF(AND(O712&lt;&gt;"",P712&lt;&gt;"",Q712&lt;&gt;""),"","입력누락"))</f>
      </c>
    </row>
    <row r="713" customFormat="false" ht="15" hidden="false" customHeight="false" outlineLevel="0" collapsed="false">
      <c r="A713" t="n" s="19">
        <f aca="0">IF(COUNTA(B713:J713)=0,"",ROW()-1)</f>
      </c>
      <c r="B713" s="24"/>
      <c r="C713" s="25"/>
      <c r="D713" s="8"/>
      <c r="E713" s="8"/>
      <c r="F713" s="26"/>
      <c r="G713" s="24"/>
      <c r="H713" s="25"/>
      <c r="I713" s="25"/>
      <c r="J713" s="26"/>
      <c r="K713" t="str" s="15">
        <f aca="0">IF(COUNTA(B713:J713)=0,"",IF(R713&lt;&gt;"","확인필요(입력누락)",IF(COUNTIFS(보유목록!$I$2:$I$3001,"*"&amp;P713&amp;"*",보유목록!$I$2:$I$3001,"*"&amp;Q713&amp;"*",보유목록!$H$2:$H$3001,O713)&gt;0,"있음",IF(COUNTIFS(보유목록!$I$2:$I$3001,"*"&amp;P713&amp;"*",보유목록!$I$2:$I$3001,"*"&amp;Q713&amp;"*")&gt;0,"확인필요(연도다름)",IF(COUNTIFS(보유목록!$I$2:$I$3001,"*"&amp;P713&amp;"*",보유목록!$H$2:$H$3001,O713)&gt;0,"확인필요(같은학교·같은연도)","없음")))))</f>
      </c>
      <c r="L713" t="str" s="16">
        <f aca="0">IF(OR(COUNTA(B713:J713)=0,R713&lt;&gt;""),"",COUNTIFS(보유목록!$I$2:$I$3001,"*"&amp;P713&amp;"*",보유목록!$I$2:$I$3001,"*"&amp;Q713&amp;"*"))</f>
      </c>
      <c r="M713" t="str" s="23">
        <f aca="0">IF(OR(COUNTA(B713:J713)=0,R713&lt;&gt;""),"",IFERROR(LOOKUP(2,1/(ISNUMBER(SEARCH(P713,보유목록!$I$2:$I$3001))*ISNUMBER(SEARCH(Q713,보유목록!$I$2:$I$3001))*(보유목록!$H$2:$H$3001=O713)),보유목록!$B$2:$B$3001),IFERROR(LOOKUP(2,1/(ISNUMBER(SEARCH(P713,보유목록!$I$2:$I$3001))*ISNUMBER(SEARCH(Q713,보유목록!$I$2:$I$3001))),보유목록!$B$2:$B$3001),"")))</f>
      </c>
      <c r="N713" s="25"/>
      <c r="O713" t="str">
        <f>IFERROR(IF(AND(LEN(SUBSTITUTE(SUBSTITUTE(SUBSTITUTE(TRIM(C713&amp;""),CHAR(160),"")," ",""),"년",""))=4,VALUE(SUBSTITUTE(SUBSTITUTE(SUBSTITUTE(TRIM(C713&amp;""),CHAR(160),"")," ",""),"년",""))&gt;=1900,VALUE(SUBSTITUTE(SUBSTITUTE(SUBSTITUTE(TRIM(C713&amp;""),CHAR(160),"")," ",""),"년",""))&lt;=2099,TEXT(VALUE(SUBSTITUTE(SUBSTITUTE(SUBSTITUTE(TRIM(C713&amp;""),CHAR(160),"")," ",""),"년","")),"0000")=SUBSTITUTE(SUBSTITUTE(SUBSTITUTE(TRIM(C713&amp;""),CHAR(160),"")," ",""),"년","")),SUBSTITUTE(SUBSTITUTE(SUBSTITUTE(TRIM(C713&amp;""),CHAR(160),"")," ",""),"년",""),""),"")</f>
      </c>
      <c r="P713" t="str">
        <f>SUBSTITUTE(SUBSTITUTE(SUBSTITUTE(SUBSTITUTE(SUBSTITUTE(SUBSTITUTE(SUBSTITUTE(SUBSTITUTE(TRIM(D713&amp;""),CHAR(160),"")," ",""),"초등학교","초"),"중학교","중"),"고등학교","고"),"~","~~"),"*","~*"),"?","~?")</f>
      </c>
      <c r="Q713" t="str">
        <f>SUBSTITUTE(SUBSTITUTE(SUBSTITUTE(SUBSTITUTE(SUBSTITUTE(SUBSTITUTE(SUBSTITUTE(SUBSTITUTE(TRIM(E713&amp;""),CHAR(160),"")," ",""),"초등학교","초"),"중학교","중"),"고등학교","고"),"~","~~"),"*","~*"),"?","~?")</f>
      </c>
      <c r="R713" t="str">
        <f>IF(COUNTA(B713:J713)=0,"",IF(AND(O713&lt;&gt;"",P713&lt;&gt;"",Q713&lt;&gt;""),"","입력누락"))</f>
      </c>
    </row>
    <row r="714" customFormat="false" ht="15" hidden="false" customHeight="false" outlineLevel="0" collapsed="false">
      <c r="A714" t="n" s="19">
        <f aca="0">IF(COUNTA(B714:J714)=0,"",ROW()-1)</f>
      </c>
      <c r="B714" s="24"/>
      <c r="C714" s="25"/>
      <c r="D714" s="8"/>
      <c r="E714" s="8"/>
      <c r="F714" s="26"/>
      <c r="G714" s="24"/>
      <c r="H714" s="25"/>
      <c r="I714" s="25"/>
      <c r="J714" s="26"/>
      <c r="K714" t="str" s="15">
        <f aca="0">IF(COUNTA(B714:J714)=0,"",IF(R714&lt;&gt;"","확인필요(입력누락)",IF(COUNTIFS(보유목록!$I$2:$I$3001,"*"&amp;P714&amp;"*",보유목록!$I$2:$I$3001,"*"&amp;Q714&amp;"*",보유목록!$H$2:$H$3001,O714)&gt;0,"있음",IF(COUNTIFS(보유목록!$I$2:$I$3001,"*"&amp;P714&amp;"*",보유목록!$I$2:$I$3001,"*"&amp;Q714&amp;"*")&gt;0,"확인필요(연도다름)",IF(COUNTIFS(보유목록!$I$2:$I$3001,"*"&amp;P714&amp;"*",보유목록!$H$2:$H$3001,O714)&gt;0,"확인필요(같은학교·같은연도)","없음")))))</f>
      </c>
      <c r="L714" t="str" s="16">
        <f aca="0">IF(OR(COUNTA(B714:J714)=0,R714&lt;&gt;""),"",COUNTIFS(보유목록!$I$2:$I$3001,"*"&amp;P714&amp;"*",보유목록!$I$2:$I$3001,"*"&amp;Q714&amp;"*"))</f>
      </c>
      <c r="M714" t="str" s="23">
        <f aca="0">IF(OR(COUNTA(B714:J714)=0,R714&lt;&gt;""),"",IFERROR(LOOKUP(2,1/(ISNUMBER(SEARCH(P714,보유목록!$I$2:$I$3001))*ISNUMBER(SEARCH(Q714,보유목록!$I$2:$I$3001))*(보유목록!$H$2:$H$3001=O714)),보유목록!$B$2:$B$3001),IFERROR(LOOKUP(2,1/(ISNUMBER(SEARCH(P714,보유목록!$I$2:$I$3001))*ISNUMBER(SEARCH(Q714,보유목록!$I$2:$I$3001))),보유목록!$B$2:$B$3001),"")))</f>
      </c>
      <c r="N714" s="25"/>
      <c r="O714" t="str">
        <f>IFERROR(IF(AND(LEN(SUBSTITUTE(SUBSTITUTE(SUBSTITUTE(TRIM(C714&amp;""),CHAR(160),"")," ",""),"년",""))=4,VALUE(SUBSTITUTE(SUBSTITUTE(SUBSTITUTE(TRIM(C714&amp;""),CHAR(160),"")," ",""),"년",""))&gt;=1900,VALUE(SUBSTITUTE(SUBSTITUTE(SUBSTITUTE(TRIM(C714&amp;""),CHAR(160),"")," ",""),"년",""))&lt;=2099,TEXT(VALUE(SUBSTITUTE(SUBSTITUTE(SUBSTITUTE(TRIM(C714&amp;""),CHAR(160),"")," ",""),"년","")),"0000")=SUBSTITUTE(SUBSTITUTE(SUBSTITUTE(TRIM(C714&amp;""),CHAR(160),"")," ",""),"년","")),SUBSTITUTE(SUBSTITUTE(SUBSTITUTE(TRIM(C714&amp;""),CHAR(160),"")," ",""),"년",""),""),"")</f>
      </c>
      <c r="P714" t="str">
        <f>SUBSTITUTE(SUBSTITUTE(SUBSTITUTE(SUBSTITUTE(SUBSTITUTE(SUBSTITUTE(SUBSTITUTE(SUBSTITUTE(TRIM(D714&amp;""),CHAR(160),"")," ",""),"초등학교","초"),"중학교","중"),"고등학교","고"),"~","~~"),"*","~*"),"?","~?")</f>
      </c>
      <c r="Q714" t="str">
        <f>SUBSTITUTE(SUBSTITUTE(SUBSTITUTE(SUBSTITUTE(SUBSTITUTE(SUBSTITUTE(SUBSTITUTE(SUBSTITUTE(TRIM(E714&amp;""),CHAR(160),"")," ",""),"초등학교","초"),"중학교","중"),"고등학교","고"),"~","~~"),"*","~*"),"?","~?")</f>
      </c>
      <c r="R714" t="str">
        <f>IF(COUNTA(B714:J714)=0,"",IF(AND(O714&lt;&gt;"",P714&lt;&gt;"",Q714&lt;&gt;""),"","입력누락"))</f>
      </c>
    </row>
    <row r="715" customFormat="false" ht="15" hidden="false" customHeight="false" outlineLevel="0" collapsed="false">
      <c r="A715" t="n" s="19">
        <f aca="0">IF(COUNTA(B715:J715)=0,"",ROW()-1)</f>
      </c>
      <c r="B715" s="24"/>
      <c r="C715" s="25"/>
      <c r="D715" s="8"/>
      <c r="E715" s="8"/>
      <c r="F715" s="26"/>
      <c r="G715" s="24"/>
      <c r="H715" s="25"/>
      <c r="I715" s="25"/>
      <c r="J715" s="26"/>
      <c r="K715" t="str" s="15">
        <f aca="0">IF(COUNTA(B715:J715)=0,"",IF(R715&lt;&gt;"","확인필요(입력누락)",IF(COUNTIFS(보유목록!$I$2:$I$3001,"*"&amp;P715&amp;"*",보유목록!$I$2:$I$3001,"*"&amp;Q715&amp;"*",보유목록!$H$2:$H$3001,O715)&gt;0,"있음",IF(COUNTIFS(보유목록!$I$2:$I$3001,"*"&amp;P715&amp;"*",보유목록!$I$2:$I$3001,"*"&amp;Q715&amp;"*")&gt;0,"확인필요(연도다름)",IF(COUNTIFS(보유목록!$I$2:$I$3001,"*"&amp;P715&amp;"*",보유목록!$H$2:$H$3001,O715)&gt;0,"확인필요(같은학교·같은연도)","없음")))))</f>
      </c>
      <c r="L715" t="str" s="16">
        <f aca="0">IF(OR(COUNTA(B715:J715)=0,R715&lt;&gt;""),"",COUNTIFS(보유목록!$I$2:$I$3001,"*"&amp;P715&amp;"*",보유목록!$I$2:$I$3001,"*"&amp;Q715&amp;"*"))</f>
      </c>
      <c r="M715" t="str" s="23">
        <f aca="0">IF(OR(COUNTA(B715:J715)=0,R715&lt;&gt;""),"",IFERROR(LOOKUP(2,1/(ISNUMBER(SEARCH(P715,보유목록!$I$2:$I$3001))*ISNUMBER(SEARCH(Q715,보유목록!$I$2:$I$3001))*(보유목록!$H$2:$H$3001=O715)),보유목록!$B$2:$B$3001),IFERROR(LOOKUP(2,1/(ISNUMBER(SEARCH(P715,보유목록!$I$2:$I$3001))*ISNUMBER(SEARCH(Q715,보유목록!$I$2:$I$3001))),보유목록!$B$2:$B$3001),"")))</f>
      </c>
      <c r="N715" s="25"/>
      <c r="O715" t="str">
        <f>IFERROR(IF(AND(LEN(SUBSTITUTE(SUBSTITUTE(SUBSTITUTE(TRIM(C715&amp;""),CHAR(160),"")," ",""),"년",""))=4,VALUE(SUBSTITUTE(SUBSTITUTE(SUBSTITUTE(TRIM(C715&amp;""),CHAR(160),"")," ",""),"년",""))&gt;=1900,VALUE(SUBSTITUTE(SUBSTITUTE(SUBSTITUTE(TRIM(C715&amp;""),CHAR(160),"")," ",""),"년",""))&lt;=2099,TEXT(VALUE(SUBSTITUTE(SUBSTITUTE(SUBSTITUTE(TRIM(C715&amp;""),CHAR(160),"")," ",""),"년","")),"0000")=SUBSTITUTE(SUBSTITUTE(SUBSTITUTE(TRIM(C715&amp;""),CHAR(160),"")," ",""),"년","")),SUBSTITUTE(SUBSTITUTE(SUBSTITUTE(TRIM(C715&amp;""),CHAR(160),"")," ",""),"년",""),""),"")</f>
      </c>
      <c r="P715" t="str">
        <f>SUBSTITUTE(SUBSTITUTE(SUBSTITUTE(SUBSTITUTE(SUBSTITUTE(SUBSTITUTE(SUBSTITUTE(SUBSTITUTE(TRIM(D715&amp;""),CHAR(160),"")," ",""),"초등학교","초"),"중학교","중"),"고등학교","고"),"~","~~"),"*","~*"),"?","~?")</f>
      </c>
      <c r="Q715" t="str">
        <f>SUBSTITUTE(SUBSTITUTE(SUBSTITUTE(SUBSTITUTE(SUBSTITUTE(SUBSTITUTE(SUBSTITUTE(SUBSTITUTE(TRIM(E715&amp;""),CHAR(160),"")," ",""),"초등학교","초"),"중학교","중"),"고등학교","고"),"~","~~"),"*","~*"),"?","~?")</f>
      </c>
      <c r="R715" t="str">
        <f>IF(COUNTA(B715:J715)=0,"",IF(AND(O715&lt;&gt;"",P715&lt;&gt;"",Q715&lt;&gt;""),"","입력누락"))</f>
      </c>
    </row>
    <row r="716" customFormat="false" ht="15" hidden="false" customHeight="false" outlineLevel="0" collapsed="false">
      <c r="A716" t="n" s="19">
        <f aca="0">IF(COUNTA(B716:J716)=0,"",ROW()-1)</f>
      </c>
      <c r="B716" s="24"/>
      <c r="C716" s="25"/>
      <c r="D716" s="8"/>
      <c r="E716" s="8"/>
      <c r="F716" s="26"/>
      <c r="G716" s="24"/>
      <c r="H716" s="25"/>
      <c r="I716" s="25"/>
      <c r="J716" s="26"/>
      <c r="K716" t="str" s="15">
        <f aca="0">IF(COUNTA(B716:J716)=0,"",IF(R716&lt;&gt;"","확인필요(입력누락)",IF(COUNTIFS(보유목록!$I$2:$I$3001,"*"&amp;P716&amp;"*",보유목록!$I$2:$I$3001,"*"&amp;Q716&amp;"*",보유목록!$H$2:$H$3001,O716)&gt;0,"있음",IF(COUNTIFS(보유목록!$I$2:$I$3001,"*"&amp;P716&amp;"*",보유목록!$I$2:$I$3001,"*"&amp;Q716&amp;"*")&gt;0,"확인필요(연도다름)",IF(COUNTIFS(보유목록!$I$2:$I$3001,"*"&amp;P716&amp;"*",보유목록!$H$2:$H$3001,O716)&gt;0,"확인필요(같은학교·같은연도)","없음")))))</f>
      </c>
      <c r="L716" t="str" s="16">
        <f aca="0">IF(OR(COUNTA(B716:J716)=0,R716&lt;&gt;""),"",COUNTIFS(보유목록!$I$2:$I$3001,"*"&amp;P716&amp;"*",보유목록!$I$2:$I$3001,"*"&amp;Q716&amp;"*"))</f>
      </c>
      <c r="M716" t="str" s="23">
        <f aca="0">IF(OR(COUNTA(B716:J716)=0,R716&lt;&gt;""),"",IFERROR(LOOKUP(2,1/(ISNUMBER(SEARCH(P716,보유목록!$I$2:$I$3001))*ISNUMBER(SEARCH(Q716,보유목록!$I$2:$I$3001))*(보유목록!$H$2:$H$3001=O716)),보유목록!$B$2:$B$3001),IFERROR(LOOKUP(2,1/(ISNUMBER(SEARCH(P716,보유목록!$I$2:$I$3001))*ISNUMBER(SEARCH(Q716,보유목록!$I$2:$I$3001))),보유목록!$B$2:$B$3001),"")))</f>
      </c>
      <c r="N716" s="25"/>
      <c r="O716" t="str">
        <f>IFERROR(IF(AND(LEN(SUBSTITUTE(SUBSTITUTE(SUBSTITUTE(TRIM(C716&amp;""),CHAR(160),"")," ",""),"년",""))=4,VALUE(SUBSTITUTE(SUBSTITUTE(SUBSTITUTE(TRIM(C716&amp;""),CHAR(160),"")," ",""),"년",""))&gt;=1900,VALUE(SUBSTITUTE(SUBSTITUTE(SUBSTITUTE(TRIM(C716&amp;""),CHAR(160),"")," ",""),"년",""))&lt;=2099,TEXT(VALUE(SUBSTITUTE(SUBSTITUTE(SUBSTITUTE(TRIM(C716&amp;""),CHAR(160),"")," ",""),"년","")),"0000")=SUBSTITUTE(SUBSTITUTE(SUBSTITUTE(TRIM(C716&amp;""),CHAR(160),"")," ",""),"년","")),SUBSTITUTE(SUBSTITUTE(SUBSTITUTE(TRIM(C716&amp;""),CHAR(160),"")," ",""),"년",""),""),"")</f>
      </c>
      <c r="P716" t="str">
        <f>SUBSTITUTE(SUBSTITUTE(SUBSTITUTE(SUBSTITUTE(SUBSTITUTE(SUBSTITUTE(SUBSTITUTE(SUBSTITUTE(TRIM(D716&amp;""),CHAR(160),"")," ",""),"초등학교","초"),"중학교","중"),"고등학교","고"),"~","~~"),"*","~*"),"?","~?")</f>
      </c>
      <c r="Q716" t="str">
        <f>SUBSTITUTE(SUBSTITUTE(SUBSTITUTE(SUBSTITUTE(SUBSTITUTE(SUBSTITUTE(SUBSTITUTE(SUBSTITUTE(TRIM(E716&amp;""),CHAR(160),"")," ",""),"초등학교","초"),"중학교","중"),"고등학교","고"),"~","~~"),"*","~*"),"?","~?")</f>
      </c>
      <c r="R716" t="str">
        <f>IF(COUNTA(B716:J716)=0,"",IF(AND(O716&lt;&gt;"",P716&lt;&gt;"",Q716&lt;&gt;""),"","입력누락"))</f>
      </c>
    </row>
    <row r="717" customFormat="false" ht="15" hidden="false" customHeight="false" outlineLevel="0" collapsed="false">
      <c r="A717" t="n" s="19">
        <f aca="0">IF(COUNTA(B717:J717)=0,"",ROW()-1)</f>
      </c>
      <c r="B717" s="24"/>
      <c r="C717" s="25"/>
      <c r="D717" s="8"/>
      <c r="E717" s="8"/>
      <c r="F717" s="26"/>
      <c r="G717" s="24"/>
      <c r="H717" s="25"/>
      <c r="I717" s="25"/>
      <c r="J717" s="26"/>
      <c r="K717" t="str" s="15">
        <f aca="0">IF(COUNTA(B717:J717)=0,"",IF(R717&lt;&gt;"","확인필요(입력누락)",IF(COUNTIFS(보유목록!$I$2:$I$3001,"*"&amp;P717&amp;"*",보유목록!$I$2:$I$3001,"*"&amp;Q717&amp;"*",보유목록!$H$2:$H$3001,O717)&gt;0,"있음",IF(COUNTIFS(보유목록!$I$2:$I$3001,"*"&amp;P717&amp;"*",보유목록!$I$2:$I$3001,"*"&amp;Q717&amp;"*")&gt;0,"확인필요(연도다름)",IF(COUNTIFS(보유목록!$I$2:$I$3001,"*"&amp;P717&amp;"*",보유목록!$H$2:$H$3001,O717)&gt;0,"확인필요(같은학교·같은연도)","없음")))))</f>
      </c>
      <c r="L717" t="str" s="16">
        <f aca="0">IF(OR(COUNTA(B717:J717)=0,R717&lt;&gt;""),"",COUNTIFS(보유목록!$I$2:$I$3001,"*"&amp;P717&amp;"*",보유목록!$I$2:$I$3001,"*"&amp;Q717&amp;"*"))</f>
      </c>
      <c r="M717" t="str" s="23">
        <f aca="0">IF(OR(COUNTA(B717:J717)=0,R717&lt;&gt;""),"",IFERROR(LOOKUP(2,1/(ISNUMBER(SEARCH(P717,보유목록!$I$2:$I$3001))*ISNUMBER(SEARCH(Q717,보유목록!$I$2:$I$3001))*(보유목록!$H$2:$H$3001=O717)),보유목록!$B$2:$B$3001),IFERROR(LOOKUP(2,1/(ISNUMBER(SEARCH(P717,보유목록!$I$2:$I$3001))*ISNUMBER(SEARCH(Q717,보유목록!$I$2:$I$3001))),보유목록!$B$2:$B$3001),"")))</f>
      </c>
      <c r="N717" s="25"/>
      <c r="O717" t="str">
        <f>IFERROR(IF(AND(LEN(SUBSTITUTE(SUBSTITUTE(SUBSTITUTE(TRIM(C717&amp;""),CHAR(160),"")," ",""),"년",""))=4,VALUE(SUBSTITUTE(SUBSTITUTE(SUBSTITUTE(TRIM(C717&amp;""),CHAR(160),"")," ",""),"년",""))&gt;=1900,VALUE(SUBSTITUTE(SUBSTITUTE(SUBSTITUTE(TRIM(C717&amp;""),CHAR(160),"")," ",""),"년",""))&lt;=2099,TEXT(VALUE(SUBSTITUTE(SUBSTITUTE(SUBSTITUTE(TRIM(C717&amp;""),CHAR(160),"")," ",""),"년","")),"0000")=SUBSTITUTE(SUBSTITUTE(SUBSTITUTE(TRIM(C717&amp;""),CHAR(160),"")," ",""),"년","")),SUBSTITUTE(SUBSTITUTE(SUBSTITUTE(TRIM(C717&amp;""),CHAR(160),"")," ",""),"년",""),""),"")</f>
      </c>
      <c r="P717" t="str">
        <f>SUBSTITUTE(SUBSTITUTE(SUBSTITUTE(SUBSTITUTE(SUBSTITUTE(SUBSTITUTE(SUBSTITUTE(SUBSTITUTE(TRIM(D717&amp;""),CHAR(160),"")," ",""),"초등학교","초"),"중학교","중"),"고등학교","고"),"~","~~"),"*","~*"),"?","~?")</f>
      </c>
      <c r="Q717" t="str">
        <f>SUBSTITUTE(SUBSTITUTE(SUBSTITUTE(SUBSTITUTE(SUBSTITUTE(SUBSTITUTE(SUBSTITUTE(SUBSTITUTE(TRIM(E717&amp;""),CHAR(160),"")," ",""),"초등학교","초"),"중학교","중"),"고등학교","고"),"~","~~"),"*","~*"),"?","~?")</f>
      </c>
      <c r="R717" t="str">
        <f>IF(COUNTA(B717:J717)=0,"",IF(AND(O717&lt;&gt;"",P717&lt;&gt;"",Q717&lt;&gt;""),"","입력누락"))</f>
      </c>
    </row>
    <row r="718" customFormat="false" ht="15" hidden="false" customHeight="false" outlineLevel="0" collapsed="false">
      <c r="A718" t="n" s="19">
        <f aca="0">IF(COUNTA(B718:J718)=0,"",ROW()-1)</f>
      </c>
      <c r="B718" s="24"/>
      <c r="C718" s="25"/>
      <c r="D718" s="8"/>
      <c r="E718" s="8"/>
      <c r="F718" s="26"/>
      <c r="G718" s="24"/>
      <c r="H718" s="25"/>
      <c r="I718" s="25"/>
      <c r="J718" s="26"/>
      <c r="K718" t="str" s="15">
        <f aca="0">IF(COUNTA(B718:J718)=0,"",IF(R718&lt;&gt;"","확인필요(입력누락)",IF(COUNTIFS(보유목록!$I$2:$I$3001,"*"&amp;P718&amp;"*",보유목록!$I$2:$I$3001,"*"&amp;Q718&amp;"*",보유목록!$H$2:$H$3001,O718)&gt;0,"있음",IF(COUNTIFS(보유목록!$I$2:$I$3001,"*"&amp;P718&amp;"*",보유목록!$I$2:$I$3001,"*"&amp;Q718&amp;"*")&gt;0,"확인필요(연도다름)",IF(COUNTIFS(보유목록!$I$2:$I$3001,"*"&amp;P718&amp;"*",보유목록!$H$2:$H$3001,O718)&gt;0,"확인필요(같은학교·같은연도)","없음")))))</f>
      </c>
      <c r="L718" t="str" s="16">
        <f aca="0">IF(OR(COUNTA(B718:J718)=0,R718&lt;&gt;""),"",COUNTIFS(보유목록!$I$2:$I$3001,"*"&amp;P718&amp;"*",보유목록!$I$2:$I$3001,"*"&amp;Q718&amp;"*"))</f>
      </c>
      <c r="M718" t="str" s="23">
        <f aca="0">IF(OR(COUNTA(B718:J718)=0,R718&lt;&gt;""),"",IFERROR(LOOKUP(2,1/(ISNUMBER(SEARCH(P718,보유목록!$I$2:$I$3001))*ISNUMBER(SEARCH(Q718,보유목록!$I$2:$I$3001))*(보유목록!$H$2:$H$3001=O718)),보유목록!$B$2:$B$3001),IFERROR(LOOKUP(2,1/(ISNUMBER(SEARCH(P718,보유목록!$I$2:$I$3001))*ISNUMBER(SEARCH(Q718,보유목록!$I$2:$I$3001))),보유목록!$B$2:$B$3001),"")))</f>
      </c>
      <c r="N718" s="25"/>
      <c r="O718" t="str">
        <f>IFERROR(IF(AND(LEN(SUBSTITUTE(SUBSTITUTE(SUBSTITUTE(TRIM(C718&amp;""),CHAR(160),"")," ",""),"년",""))=4,VALUE(SUBSTITUTE(SUBSTITUTE(SUBSTITUTE(TRIM(C718&amp;""),CHAR(160),"")," ",""),"년",""))&gt;=1900,VALUE(SUBSTITUTE(SUBSTITUTE(SUBSTITUTE(TRIM(C718&amp;""),CHAR(160),"")," ",""),"년",""))&lt;=2099,TEXT(VALUE(SUBSTITUTE(SUBSTITUTE(SUBSTITUTE(TRIM(C718&amp;""),CHAR(160),"")," ",""),"년","")),"0000")=SUBSTITUTE(SUBSTITUTE(SUBSTITUTE(TRIM(C718&amp;""),CHAR(160),"")," ",""),"년","")),SUBSTITUTE(SUBSTITUTE(SUBSTITUTE(TRIM(C718&amp;""),CHAR(160),"")," ",""),"년",""),""),"")</f>
      </c>
      <c r="P718" t="str">
        <f>SUBSTITUTE(SUBSTITUTE(SUBSTITUTE(SUBSTITUTE(SUBSTITUTE(SUBSTITUTE(SUBSTITUTE(SUBSTITUTE(TRIM(D718&amp;""),CHAR(160),"")," ",""),"초등학교","초"),"중학교","중"),"고등학교","고"),"~","~~"),"*","~*"),"?","~?")</f>
      </c>
      <c r="Q718" t="str">
        <f>SUBSTITUTE(SUBSTITUTE(SUBSTITUTE(SUBSTITUTE(SUBSTITUTE(SUBSTITUTE(SUBSTITUTE(SUBSTITUTE(TRIM(E718&amp;""),CHAR(160),"")," ",""),"초등학교","초"),"중학교","중"),"고등학교","고"),"~","~~"),"*","~*"),"?","~?")</f>
      </c>
      <c r="R718" t="str">
        <f>IF(COUNTA(B718:J718)=0,"",IF(AND(O718&lt;&gt;"",P718&lt;&gt;"",Q718&lt;&gt;""),"","입력누락"))</f>
      </c>
    </row>
    <row r="719" customFormat="false" ht="15" hidden="false" customHeight="false" outlineLevel="0" collapsed="false">
      <c r="A719" t="n" s="19">
        <f aca="0">IF(COUNTA(B719:J719)=0,"",ROW()-1)</f>
      </c>
      <c r="B719" s="24"/>
      <c r="C719" s="25"/>
      <c r="D719" s="8"/>
      <c r="E719" s="8"/>
      <c r="F719" s="26"/>
      <c r="G719" s="24"/>
      <c r="H719" s="25"/>
      <c r="I719" s="25"/>
      <c r="J719" s="26"/>
      <c r="K719" t="str" s="15">
        <f aca="0">IF(COUNTA(B719:J719)=0,"",IF(R719&lt;&gt;"","확인필요(입력누락)",IF(COUNTIFS(보유목록!$I$2:$I$3001,"*"&amp;P719&amp;"*",보유목록!$I$2:$I$3001,"*"&amp;Q719&amp;"*",보유목록!$H$2:$H$3001,O719)&gt;0,"있음",IF(COUNTIFS(보유목록!$I$2:$I$3001,"*"&amp;P719&amp;"*",보유목록!$I$2:$I$3001,"*"&amp;Q719&amp;"*")&gt;0,"확인필요(연도다름)",IF(COUNTIFS(보유목록!$I$2:$I$3001,"*"&amp;P719&amp;"*",보유목록!$H$2:$H$3001,O719)&gt;0,"확인필요(같은학교·같은연도)","없음")))))</f>
      </c>
      <c r="L719" t="str" s="16">
        <f aca="0">IF(OR(COUNTA(B719:J719)=0,R719&lt;&gt;""),"",COUNTIFS(보유목록!$I$2:$I$3001,"*"&amp;P719&amp;"*",보유목록!$I$2:$I$3001,"*"&amp;Q719&amp;"*"))</f>
      </c>
      <c r="M719" t="str" s="23">
        <f aca="0">IF(OR(COUNTA(B719:J719)=0,R719&lt;&gt;""),"",IFERROR(LOOKUP(2,1/(ISNUMBER(SEARCH(P719,보유목록!$I$2:$I$3001))*ISNUMBER(SEARCH(Q719,보유목록!$I$2:$I$3001))*(보유목록!$H$2:$H$3001=O719)),보유목록!$B$2:$B$3001),IFERROR(LOOKUP(2,1/(ISNUMBER(SEARCH(P719,보유목록!$I$2:$I$3001))*ISNUMBER(SEARCH(Q719,보유목록!$I$2:$I$3001))),보유목록!$B$2:$B$3001),"")))</f>
      </c>
      <c r="N719" s="25"/>
      <c r="O719" t="str">
        <f>IFERROR(IF(AND(LEN(SUBSTITUTE(SUBSTITUTE(SUBSTITUTE(TRIM(C719&amp;""),CHAR(160),"")," ",""),"년",""))=4,VALUE(SUBSTITUTE(SUBSTITUTE(SUBSTITUTE(TRIM(C719&amp;""),CHAR(160),"")," ",""),"년",""))&gt;=1900,VALUE(SUBSTITUTE(SUBSTITUTE(SUBSTITUTE(TRIM(C719&amp;""),CHAR(160),"")," ",""),"년",""))&lt;=2099,TEXT(VALUE(SUBSTITUTE(SUBSTITUTE(SUBSTITUTE(TRIM(C719&amp;""),CHAR(160),"")," ",""),"년","")),"0000")=SUBSTITUTE(SUBSTITUTE(SUBSTITUTE(TRIM(C719&amp;""),CHAR(160),"")," ",""),"년","")),SUBSTITUTE(SUBSTITUTE(SUBSTITUTE(TRIM(C719&amp;""),CHAR(160),"")," ",""),"년",""),""),"")</f>
      </c>
      <c r="P719" t="str">
        <f>SUBSTITUTE(SUBSTITUTE(SUBSTITUTE(SUBSTITUTE(SUBSTITUTE(SUBSTITUTE(SUBSTITUTE(SUBSTITUTE(TRIM(D719&amp;""),CHAR(160),"")," ",""),"초등학교","초"),"중학교","중"),"고등학교","고"),"~","~~"),"*","~*"),"?","~?")</f>
      </c>
      <c r="Q719" t="str">
        <f>SUBSTITUTE(SUBSTITUTE(SUBSTITUTE(SUBSTITUTE(SUBSTITUTE(SUBSTITUTE(SUBSTITUTE(SUBSTITUTE(TRIM(E719&amp;""),CHAR(160),"")," ",""),"초등학교","초"),"중학교","중"),"고등학교","고"),"~","~~"),"*","~*"),"?","~?")</f>
      </c>
      <c r="R719" t="str">
        <f>IF(COUNTA(B719:J719)=0,"",IF(AND(O719&lt;&gt;"",P719&lt;&gt;"",Q719&lt;&gt;""),"","입력누락"))</f>
      </c>
    </row>
    <row r="720" customFormat="false" ht="15" hidden="false" customHeight="false" outlineLevel="0" collapsed="false">
      <c r="A720" t="n" s="19">
        <f aca="0">IF(COUNTA(B720:J720)=0,"",ROW()-1)</f>
      </c>
      <c r="B720" s="24"/>
      <c r="C720" s="25"/>
      <c r="D720" s="8"/>
      <c r="E720" s="8"/>
      <c r="F720" s="26"/>
      <c r="G720" s="24"/>
      <c r="H720" s="25"/>
      <c r="I720" s="25"/>
      <c r="J720" s="26"/>
      <c r="K720" t="str" s="15">
        <f aca="0">IF(COUNTA(B720:J720)=0,"",IF(R720&lt;&gt;"","확인필요(입력누락)",IF(COUNTIFS(보유목록!$I$2:$I$3001,"*"&amp;P720&amp;"*",보유목록!$I$2:$I$3001,"*"&amp;Q720&amp;"*",보유목록!$H$2:$H$3001,O720)&gt;0,"있음",IF(COUNTIFS(보유목록!$I$2:$I$3001,"*"&amp;P720&amp;"*",보유목록!$I$2:$I$3001,"*"&amp;Q720&amp;"*")&gt;0,"확인필요(연도다름)",IF(COUNTIFS(보유목록!$I$2:$I$3001,"*"&amp;P720&amp;"*",보유목록!$H$2:$H$3001,O720)&gt;0,"확인필요(같은학교·같은연도)","없음")))))</f>
      </c>
      <c r="L720" t="str" s="16">
        <f aca="0">IF(OR(COUNTA(B720:J720)=0,R720&lt;&gt;""),"",COUNTIFS(보유목록!$I$2:$I$3001,"*"&amp;P720&amp;"*",보유목록!$I$2:$I$3001,"*"&amp;Q720&amp;"*"))</f>
      </c>
      <c r="M720" t="str" s="23">
        <f aca="0">IF(OR(COUNTA(B720:J720)=0,R720&lt;&gt;""),"",IFERROR(LOOKUP(2,1/(ISNUMBER(SEARCH(P720,보유목록!$I$2:$I$3001))*ISNUMBER(SEARCH(Q720,보유목록!$I$2:$I$3001))*(보유목록!$H$2:$H$3001=O720)),보유목록!$B$2:$B$3001),IFERROR(LOOKUP(2,1/(ISNUMBER(SEARCH(P720,보유목록!$I$2:$I$3001))*ISNUMBER(SEARCH(Q720,보유목록!$I$2:$I$3001))),보유목록!$B$2:$B$3001),"")))</f>
      </c>
      <c r="N720" s="25"/>
      <c r="O720" t="str">
        <f>IFERROR(IF(AND(LEN(SUBSTITUTE(SUBSTITUTE(SUBSTITUTE(TRIM(C720&amp;""),CHAR(160),"")," ",""),"년",""))=4,VALUE(SUBSTITUTE(SUBSTITUTE(SUBSTITUTE(TRIM(C720&amp;""),CHAR(160),"")," ",""),"년",""))&gt;=1900,VALUE(SUBSTITUTE(SUBSTITUTE(SUBSTITUTE(TRIM(C720&amp;""),CHAR(160),"")," ",""),"년",""))&lt;=2099,TEXT(VALUE(SUBSTITUTE(SUBSTITUTE(SUBSTITUTE(TRIM(C720&amp;""),CHAR(160),"")," ",""),"년","")),"0000")=SUBSTITUTE(SUBSTITUTE(SUBSTITUTE(TRIM(C720&amp;""),CHAR(160),"")," ",""),"년","")),SUBSTITUTE(SUBSTITUTE(SUBSTITUTE(TRIM(C720&amp;""),CHAR(160),"")," ",""),"년",""),""),"")</f>
      </c>
      <c r="P720" t="str">
        <f>SUBSTITUTE(SUBSTITUTE(SUBSTITUTE(SUBSTITUTE(SUBSTITUTE(SUBSTITUTE(SUBSTITUTE(SUBSTITUTE(TRIM(D720&amp;""),CHAR(160),"")," ",""),"초등학교","초"),"중학교","중"),"고등학교","고"),"~","~~"),"*","~*"),"?","~?")</f>
      </c>
      <c r="Q720" t="str">
        <f>SUBSTITUTE(SUBSTITUTE(SUBSTITUTE(SUBSTITUTE(SUBSTITUTE(SUBSTITUTE(SUBSTITUTE(SUBSTITUTE(TRIM(E720&amp;""),CHAR(160),"")," ",""),"초등학교","초"),"중학교","중"),"고등학교","고"),"~","~~"),"*","~*"),"?","~?")</f>
      </c>
      <c r="R720" t="str">
        <f>IF(COUNTA(B720:J720)=0,"",IF(AND(O720&lt;&gt;"",P720&lt;&gt;"",Q720&lt;&gt;""),"","입력누락"))</f>
      </c>
    </row>
    <row r="721" customFormat="false" ht="15" hidden="false" customHeight="false" outlineLevel="0" collapsed="false">
      <c r="A721" t="n" s="19">
        <f aca="0">IF(COUNTA(B721:J721)=0,"",ROW()-1)</f>
      </c>
      <c r="B721" s="24"/>
      <c r="C721" s="25"/>
      <c r="D721" s="8"/>
      <c r="E721" s="8"/>
      <c r="F721" s="26"/>
      <c r="G721" s="24"/>
      <c r="H721" s="25"/>
      <c r="I721" s="25"/>
      <c r="J721" s="26"/>
      <c r="K721" t="str" s="15">
        <f aca="0">IF(COUNTA(B721:J721)=0,"",IF(R721&lt;&gt;"","확인필요(입력누락)",IF(COUNTIFS(보유목록!$I$2:$I$3001,"*"&amp;P721&amp;"*",보유목록!$I$2:$I$3001,"*"&amp;Q721&amp;"*",보유목록!$H$2:$H$3001,O721)&gt;0,"있음",IF(COUNTIFS(보유목록!$I$2:$I$3001,"*"&amp;P721&amp;"*",보유목록!$I$2:$I$3001,"*"&amp;Q721&amp;"*")&gt;0,"확인필요(연도다름)",IF(COUNTIFS(보유목록!$I$2:$I$3001,"*"&amp;P721&amp;"*",보유목록!$H$2:$H$3001,O721)&gt;0,"확인필요(같은학교·같은연도)","없음")))))</f>
      </c>
      <c r="L721" t="str" s="16">
        <f aca="0">IF(OR(COUNTA(B721:J721)=0,R721&lt;&gt;""),"",COUNTIFS(보유목록!$I$2:$I$3001,"*"&amp;P721&amp;"*",보유목록!$I$2:$I$3001,"*"&amp;Q721&amp;"*"))</f>
      </c>
      <c r="M721" t="str" s="23">
        <f aca="0">IF(OR(COUNTA(B721:J721)=0,R721&lt;&gt;""),"",IFERROR(LOOKUP(2,1/(ISNUMBER(SEARCH(P721,보유목록!$I$2:$I$3001))*ISNUMBER(SEARCH(Q721,보유목록!$I$2:$I$3001))*(보유목록!$H$2:$H$3001=O721)),보유목록!$B$2:$B$3001),IFERROR(LOOKUP(2,1/(ISNUMBER(SEARCH(P721,보유목록!$I$2:$I$3001))*ISNUMBER(SEARCH(Q721,보유목록!$I$2:$I$3001))),보유목록!$B$2:$B$3001),"")))</f>
      </c>
      <c r="N721" s="25"/>
      <c r="O721" t="str">
        <f>IFERROR(IF(AND(LEN(SUBSTITUTE(SUBSTITUTE(SUBSTITUTE(TRIM(C721&amp;""),CHAR(160),"")," ",""),"년",""))=4,VALUE(SUBSTITUTE(SUBSTITUTE(SUBSTITUTE(TRIM(C721&amp;""),CHAR(160),"")," ",""),"년",""))&gt;=1900,VALUE(SUBSTITUTE(SUBSTITUTE(SUBSTITUTE(TRIM(C721&amp;""),CHAR(160),"")," ",""),"년",""))&lt;=2099,TEXT(VALUE(SUBSTITUTE(SUBSTITUTE(SUBSTITUTE(TRIM(C721&amp;""),CHAR(160),"")," ",""),"년","")),"0000")=SUBSTITUTE(SUBSTITUTE(SUBSTITUTE(TRIM(C721&amp;""),CHAR(160),"")," ",""),"년","")),SUBSTITUTE(SUBSTITUTE(SUBSTITUTE(TRIM(C721&amp;""),CHAR(160),"")," ",""),"년",""),""),"")</f>
      </c>
      <c r="P721" t="str">
        <f>SUBSTITUTE(SUBSTITUTE(SUBSTITUTE(SUBSTITUTE(SUBSTITUTE(SUBSTITUTE(SUBSTITUTE(SUBSTITUTE(TRIM(D721&amp;""),CHAR(160),"")," ",""),"초등학교","초"),"중학교","중"),"고등학교","고"),"~","~~"),"*","~*"),"?","~?")</f>
      </c>
      <c r="Q721" t="str">
        <f>SUBSTITUTE(SUBSTITUTE(SUBSTITUTE(SUBSTITUTE(SUBSTITUTE(SUBSTITUTE(SUBSTITUTE(SUBSTITUTE(TRIM(E721&amp;""),CHAR(160),"")," ",""),"초등학교","초"),"중학교","중"),"고등학교","고"),"~","~~"),"*","~*"),"?","~?")</f>
      </c>
      <c r="R721" t="str">
        <f>IF(COUNTA(B721:J721)=0,"",IF(AND(O721&lt;&gt;"",P721&lt;&gt;"",Q721&lt;&gt;""),"","입력누락"))</f>
      </c>
    </row>
    <row r="722" customFormat="false" ht="15" hidden="false" customHeight="false" outlineLevel="0" collapsed="false">
      <c r="A722" t="n" s="19">
        <f aca="0">IF(COUNTA(B722:J722)=0,"",ROW()-1)</f>
      </c>
      <c r="B722" s="24"/>
      <c r="C722" s="25"/>
      <c r="D722" s="8"/>
      <c r="E722" s="8"/>
      <c r="F722" s="26"/>
      <c r="G722" s="24"/>
      <c r="H722" s="25"/>
      <c r="I722" s="25"/>
      <c r="J722" s="26"/>
      <c r="K722" t="str" s="15">
        <f aca="0">IF(COUNTA(B722:J722)=0,"",IF(R722&lt;&gt;"","확인필요(입력누락)",IF(COUNTIFS(보유목록!$I$2:$I$3001,"*"&amp;P722&amp;"*",보유목록!$I$2:$I$3001,"*"&amp;Q722&amp;"*",보유목록!$H$2:$H$3001,O722)&gt;0,"있음",IF(COUNTIFS(보유목록!$I$2:$I$3001,"*"&amp;P722&amp;"*",보유목록!$I$2:$I$3001,"*"&amp;Q722&amp;"*")&gt;0,"확인필요(연도다름)",IF(COUNTIFS(보유목록!$I$2:$I$3001,"*"&amp;P722&amp;"*",보유목록!$H$2:$H$3001,O722)&gt;0,"확인필요(같은학교·같은연도)","없음")))))</f>
      </c>
      <c r="L722" t="str" s="16">
        <f aca="0">IF(OR(COUNTA(B722:J722)=0,R722&lt;&gt;""),"",COUNTIFS(보유목록!$I$2:$I$3001,"*"&amp;P722&amp;"*",보유목록!$I$2:$I$3001,"*"&amp;Q722&amp;"*"))</f>
      </c>
      <c r="M722" t="str" s="23">
        <f aca="0">IF(OR(COUNTA(B722:J722)=0,R722&lt;&gt;""),"",IFERROR(LOOKUP(2,1/(ISNUMBER(SEARCH(P722,보유목록!$I$2:$I$3001))*ISNUMBER(SEARCH(Q722,보유목록!$I$2:$I$3001))*(보유목록!$H$2:$H$3001=O722)),보유목록!$B$2:$B$3001),IFERROR(LOOKUP(2,1/(ISNUMBER(SEARCH(P722,보유목록!$I$2:$I$3001))*ISNUMBER(SEARCH(Q722,보유목록!$I$2:$I$3001))),보유목록!$B$2:$B$3001),"")))</f>
      </c>
      <c r="N722" s="25"/>
      <c r="O722" t="str">
        <f>IFERROR(IF(AND(LEN(SUBSTITUTE(SUBSTITUTE(SUBSTITUTE(TRIM(C722&amp;""),CHAR(160),"")," ",""),"년",""))=4,VALUE(SUBSTITUTE(SUBSTITUTE(SUBSTITUTE(TRIM(C722&amp;""),CHAR(160),"")," ",""),"년",""))&gt;=1900,VALUE(SUBSTITUTE(SUBSTITUTE(SUBSTITUTE(TRIM(C722&amp;""),CHAR(160),"")," ",""),"년",""))&lt;=2099,TEXT(VALUE(SUBSTITUTE(SUBSTITUTE(SUBSTITUTE(TRIM(C722&amp;""),CHAR(160),"")," ",""),"년","")),"0000")=SUBSTITUTE(SUBSTITUTE(SUBSTITUTE(TRIM(C722&amp;""),CHAR(160),"")," ",""),"년","")),SUBSTITUTE(SUBSTITUTE(SUBSTITUTE(TRIM(C722&amp;""),CHAR(160),"")," ",""),"년",""),""),"")</f>
      </c>
      <c r="P722" t="str">
        <f>SUBSTITUTE(SUBSTITUTE(SUBSTITUTE(SUBSTITUTE(SUBSTITUTE(SUBSTITUTE(SUBSTITUTE(SUBSTITUTE(TRIM(D722&amp;""),CHAR(160),"")," ",""),"초등학교","초"),"중학교","중"),"고등학교","고"),"~","~~"),"*","~*"),"?","~?")</f>
      </c>
      <c r="Q722" t="str">
        <f>SUBSTITUTE(SUBSTITUTE(SUBSTITUTE(SUBSTITUTE(SUBSTITUTE(SUBSTITUTE(SUBSTITUTE(SUBSTITUTE(TRIM(E722&amp;""),CHAR(160),"")," ",""),"초등학교","초"),"중학교","중"),"고등학교","고"),"~","~~"),"*","~*"),"?","~?")</f>
      </c>
      <c r="R722" t="str">
        <f>IF(COUNTA(B722:J722)=0,"",IF(AND(O722&lt;&gt;"",P722&lt;&gt;"",Q722&lt;&gt;""),"","입력누락"))</f>
      </c>
    </row>
    <row r="723" customFormat="false" ht="15" hidden="false" customHeight="false" outlineLevel="0" collapsed="false">
      <c r="A723" t="n" s="19">
        <f aca="0">IF(COUNTA(B723:J723)=0,"",ROW()-1)</f>
      </c>
      <c r="B723" s="24"/>
      <c r="C723" s="25"/>
      <c r="D723" s="8"/>
      <c r="E723" s="8"/>
      <c r="F723" s="26"/>
      <c r="G723" s="24"/>
      <c r="H723" s="25"/>
      <c r="I723" s="25"/>
      <c r="J723" s="26"/>
      <c r="K723" t="str" s="15">
        <f aca="0">IF(COUNTA(B723:J723)=0,"",IF(R723&lt;&gt;"","확인필요(입력누락)",IF(COUNTIFS(보유목록!$I$2:$I$3001,"*"&amp;P723&amp;"*",보유목록!$I$2:$I$3001,"*"&amp;Q723&amp;"*",보유목록!$H$2:$H$3001,O723)&gt;0,"있음",IF(COUNTIFS(보유목록!$I$2:$I$3001,"*"&amp;P723&amp;"*",보유목록!$I$2:$I$3001,"*"&amp;Q723&amp;"*")&gt;0,"확인필요(연도다름)",IF(COUNTIFS(보유목록!$I$2:$I$3001,"*"&amp;P723&amp;"*",보유목록!$H$2:$H$3001,O723)&gt;0,"확인필요(같은학교·같은연도)","없음")))))</f>
      </c>
      <c r="L723" t="str" s="16">
        <f aca="0">IF(OR(COUNTA(B723:J723)=0,R723&lt;&gt;""),"",COUNTIFS(보유목록!$I$2:$I$3001,"*"&amp;P723&amp;"*",보유목록!$I$2:$I$3001,"*"&amp;Q723&amp;"*"))</f>
      </c>
      <c r="M723" t="str" s="23">
        <f aca="0">IF(OR(COUNTA(B723:J723)=0,R723&lt;&gt;""),"",IFERROR(LOOKUP(2,1/(ISNUMBER(SEARCH(P723,보유목록!$I$2:$I$3001))*ISNUMBER(SEARCH(Q723,보유목록!$I$2:$I$3001))*(보유목록!$H$2:$H$3001=O723)),보유목록!$B$2:$B$3001),IFERROR(LOOKUP(2,1/(ISNUMBER(SEARCH(P723,보유목록!$I$2:$I$3001))*ISNUMBER(SEARCH(Q723,보유목록!$I$2:$I$3001))),보유목록!$B$2:$B$3001),"")))</f>
      </c>
      <c r="N723" s="25"/>
      <c r="O723" t="str">
        <f>IFERROR(IF(AND(LEN(SUBSTITUTE(SUBSTITUTE(SUBSTITUTE(TRIM(C723&amp;""),CHAR(160),"")," ",""),"년",""))=4,VALUE(SUBSTITUTE(SUBSTITUTE(SUBSTITUTE(TRIM(C723&amp;""),CHAR(160),"")," ",""),"년",""))&gt;=1900,VALUE(SUBSTITUTE(SUBSTITUTE(SUBSTITUTE(TRIM(C723&amp;""),CHAR(160),"")," ",""),"년",""))&lt;=2099,TEXT(VALUE(SUBSTITUTE(SUBSTITUTE(SUBSTITUTE(TRIM(C723&amp;""),CHAR(160),"")," ",""),"년","")),"0000")=SUBSTITUTE(SUBSTITUTE(SUBSTITUTE(TRIM(C723&amp;""),CHAR(160),"")," ",""),"년","")),SUBSTITUTE(SUBSTITUTE(SUBSTITUTE(TRIM(C723&amp;""),CHAR(160),"")," ",""),"년",""),""),"")</f>
      </c>
      <c r="P723" t="str">
        <f>SUBSTITUTE(SUBSTITUTE(SUBSTITUTE(SUBSTITUTE(SUBSTITUTE(SUBSTITUTE(SUBSTITUTE(SUBSTITUTE(TRIM(D723&amp;""),CHAR(160),"")," ",""),"초등학교","초"),"중학교","중"),"고등학교","고"),"~","~~"),"*","~*"),"?","~?")</f>
      </c>
      <c r="Q723" t="str">
        <f>SUBSTITUTE(SUBSTITUTE(SUBSTITUTE(SUBSTITUTE(SUBSTITUTE(SUBSTITUTE(SUBSTITUTE(SUBSTITUTE(TRIM(E723&amp;""),CHAR(160),"")," ",""),"초등학교","초"),"중학교","중"),"고등학교","고"),"~","~~"),"*","~*"),"?","~?")</f>
      </c>
      <c r="R723" t="str">
        <f>IF(COUNTA(B723:J723)=0,"",IF(AND(O723&lt;&gt;"",P723&lt;&gt;"",Q723&lt;&gt;""),"","입력누락"))</f>
      </c>
    </row>
    <row r="724" customFormat="false" ht="15" hidden="false" customHeight="false" outlineLevel="0" collapsed="false">
      <c r="A724" t="n" s="19">
        <f aca="0">IF(COUNTA(B724:J724)=0,"",ROW()-1)</f>
      </c>
      <c r="B724" s="24"/>
      <c r="C724" s="25"/>
      <c r="D724" s="8"/>
      <c r="E724" s="8"/>
      <c r="F724" s="26"/>
      <c r="G724" s="24"/>
      <c r="H724" s="25"/>
      <c r="I724" s="25"/>
      <c r="J724" s="26"/>
      <c r="K724" t="str" s="15">
        <f aca="0">IF(COUNTA(B724:J724)=0,"",IF(R724&lt;&gt;"","확인필요(입력누락)",IF(COUNTIFS(보유목록!$I$2:$I$3001,"*"&amp;P724&amp;"*",보유목록!$I$2:$I$3001,"*"&amp;Q724&amp;"*",보유목록!$H$2:$H$3001,O724)&gt;0,"있음",IF(COUNTIFS(보유목록!$I$2:$I$3001,"*"&amp;P724&amp;"*",보유목록!$I$2:$I$3001,"*"&amp;Q724&amp;"*")&gt;0,"확인필요(연도다름)",IF(COUNTIFS(보유목록!$I$2:$I$3001,"*"&amp;P724&amp;"*",보유목록!$H$2:$H$3001,O724)&gt;0,"확인필요(같은학교·같은연도)","없음")))))</f>
      </c>
      <c r="L724" t="str" s="16">
        <f aca="0">IF(OR(COUNTA(B724:J724)=0,R724&lt;&gt;""),"",COUNTIFS(보유목록!$I$2:$I$3001,"*"&amp;P724&amp;"*",보유목록!$I$2:$I$3001,"*"&amp;Q724&amp;"*"))</f>
      </c>
      <c r="M724" t="str" s="23">
        <f aca="0">IF(OR(COUNTA(B724:J724)=0,R724&lt;&gt;""),"",IFERROR(LOOKUP(2,1/(ISNUMBER(SEARCH(P724,보유목록!$I$2:$I$3001))*ISNUMBER(SEARCH(Q724,보유목록!$I$2:$I$3001))*(보유목록!$H$2:$H$3001=O724)),보유목록!$B$2:$B$3001),IFERROR(LOOKUP(2,1/(ISNUMBER(SEARCH(P724,보유목록!$I$2:$I$3001))*ISNUMBER(SEARCH(Q724,보유목록!$I$2:$I$3001))),보유목록!$B$2:$B$3001),"")))</f>
      </c>
      <c r="N724" s="25"/>
      <c r="O724" t="str">
        <f>IFERROR(IF(AND(LEN(SUBSTITUTE(SUBSTITUTE(SUBSTITUTE(TRIM(C724&amp;""),CHAR(160),"")," ",""),"년",""))=4,VALUE(SUBSTITUTE(SUBSTITUTE(SUBSTITUTE(TRIM(C724&amp;""),CHAR(160),"")," ",""),"년",""))&gt;=1900,VALUE(SUBSTITUTE(SUBSTITUTE(SUBSTITUTE(TRIM(C724&amp;""),CHAR(160),"")," ",""),"년",""))&lt;=2099,TEXT(VALUE(SUBSTITUTE(SUBSTITUTE(SUBSTITUTE(TRIM(C724&amp;""),CHAR(160),"")," ",""),"년","")),"0000")=SUBSTITUTE(SUBSTITUTE(SUBSTITUTE(TRIM(C724&amp;""),CHAR(160),"")," ",""),"년","")),SUBSTITUTE(SUBSTITUTE(SUBSTITUTE(TRIM(C724&amp;""),CHAR(160),"")," ",""),"년",""),""),"")</f>
      </c>
      <c r="P724" t="str">
        <f>SUBSTITUTE(SUBSTITUTE(SUBSTITUTE(SUBSTITUTE(SUBSTITUTE(SUBSTITUTE(SUBSTITUTE(SUBSTITUTE(TRIM(D724&amp;""),CHAR(160),"")," ",""),"초등학교","초"),"중학교","중"),"고등학교","고"),"~","~~"),"*","~*"),"?","~?")</f>
      </c>
      <c r="Q724" t="str">
        <f>SUBSTITUTE(SUBSTITUTE(SUBSTITUTE(SUBSTITUTE(SUBSTITUTE(SUBSTITUTE(SUBSTITUTE(SUBSTITUTE(TRIM(E724&amp;""),CHAR(160),"")," ",""),"초등학교","초"),"중학교","중"),"고등학교","고"),"~","~~"),"*","~*"),"?","~?")</f>
      </c>
      <c r="R724" t="str">
        <f>IF(COUNTA(B724:J724)=0,"",IF(AND(O724&lt;&gt;"",P724&lt;&gt;"",Q724&lt;&gt;""),"","입력누락"))</f>
      </c>
    </row>
    <row r="725" customFormat="false" ht="15" hidden="false" customHeight="false" outlineLevel="0" collapsed="false">
      <c r="A725" t="n" s="19">
        <f aca="0">IF(COUNTA(B725:J725)=0,"",ROW()-1)</f>
      </c>
      <c r="B725" s="24"/>
      <c r="C725" s="25"/>
      <c r="D725" s="8"/>
      <c r="E725" s="8"/>
      <c r="F725" s="26"/>
      <c r="G725" s="24"/>
      <c r="H725" s="25"/>
      <c r="I725" s="25"/>
      <c r="J725" s="26"/>
      <c r="K725" t="str" s="15">
        <f aca="0">IF(COUNTA(B725:J725)=0,"",IF(R725&lt;&gt;"","확인필요(입력누락)",IF(COUNTIFS(보유목록!$I$2:$I$3001,"*"&amp;P725&amp;"*",보유목록!$I$2:$I$3001,"*"&amp;Q725&amp;"*",보유목록!$H$2:$H$3001,O725)&gt;0,"있음",IF(COUNTIFS(보유목록!$I$2:$I$3001,"*"&amp;P725&amp;"*",보유목록!$I$2:$I$3001,"*"&amp;Q725&amp;"*")&gt;0,"확인필요(연도다름)",IF(COUNTIFS(보유목록!$I$2:$I$3001,"*"&amp;P725&amp;"*",보유목록!$H$2:$H$3001,O725)&gt;0,"확인필요(같은학교·같은연도)","없음")))))</f>
      </c>
      <c r="L725" t="str" s="16">
        <f aca="0">IF(OR(COUNTA(B725:J725)=0,R725&lt;&gt;""),"",COUNTIFS(보유목록!$I$2:$I$3001,"*"&amp;P725&amp;"*",보유목록!$I$2:$I$3001,"*"&amp;Q725&amp;"*"))</f>
      </c>
      <c r="M725" t="str" s="23">
        <f aca="0">IF(OR(COUNTA(B725:J725)=0,R725&lt;&gt;""),"",IFERROR(LOOKUP(2,1/(ISNUMBER(SEARCH(P725,보유목록!$I$2:$I$3001))*ISNUMBER(SEARCH(Q725,보유목록!$I$2:$I$3001))*(보유목록!$H$2:$H$3001=O725)),보유목록!$B$2:$B$3001),IFERROR(LOOKUP(2,1/(ISNUMBER(SEARCH(P725,보유목록!$I$2:$I$3001))*ISNUMBER(SEARCH(Q725,보유목록!$I$2:$I$3001))),보유목록!$B$2:$B$3001),"")))</f>
      </c>
      <c r="N725" s="25"/>
      <c r="O725" t="str">
        <f>IFERROR(IF(AND(LEN(SUBSTITUTE(SUBSTITUTE(SUBSTITUTE(TRIM(C725&amp;""),CHAR(160),"")," ",""),"년",""))=4,VALUE(SUBSTITUTE(SUBSTITUTE(SUBSTITUTE(TRIM(C725&amp;""),CHAR(160),"")," ",""),"년",""))&gt;=1900,VALUE(SUBSTITUTE(SUBSTITUTE(SUBSTITUTE(TRIM(C725&amp;""),CHAR(160),"")," ",""),"년",""))&lt;=2099,TEXT(VALUE(SUBSTITUTE(SUBSTITUTE(SUBSTITUTE(TRIM(C725&amp;""),CHAR(160),"")," ",""),"년","")),"0000")=SUBSTITUTE(SUBSTITUTE(SUBSTITUTE(TRIM(C725&amp;""),CHAR(160),"")," ",""),"년","")),SUBSTITUTE(SUBSTITUTE(SUBSTITUTE(TRIM(C725&amp;""),CHAR(160),"")," ",""),"년",""),""),"")</f>
      </c>
      <c r="P725" t="str">
        <f>SUBSTITUTE(SUBSTITUTE(SUBSTITUTE(SUBSTITUTE(SUBSTITUTE(SUBSTITUTE(SUBSTITUTE(SUBSTITUTE(TRIM(D725&amp;""),CHAR(160),"")," ",""),"초등학교","초"),"중학교","중"),"고등학교","고"),"~","~~"),"*","~*"),"?","~?")</f>
      </c>
      <c r="Q725" t="str">
        <f>SUBSTITUTE(SUBSTITUTE(SUBSTITUTE(SUBSTITUTE(SUBSTITUTE(SUBSTITUTE(SUBSTITUTE(SUBSTITUTE(TRIM(E725&amp;""),CHAR(160),"")," ",""),"초등학교","초"),"중학교","중"),"고등학교","고"),"~","~~"),"*","~*"),"?","~?")</f>
      </c>
      <c r="R725" t="str">
        <f>IF(COUNTA(B725:J725)=0,"",IF(AND(O725&lt;&gt;"",P725&lt;&gt;"",Q725&lt;&gt;""),"","입력누락"))</f>
      </c>
    </row>
    <row r="726" customFormat="false" ht="15" hidden="false" customHeight="false" outlineLevel="0" collapsed="false">
      <c r="A726" t="n" s="19">
        <f aca="0">IF(COUNTA(B726:J726)=0,"",ROW()-1)</f>
      </c>
      <c r="B726" s="24"/>
      <c r="C726" s="25"/>
      <c r="D726" s="8"/>
      <c r="E726" s="8"/>
      <c r="F726" s="26"/>
      <c r="G726" s="24"/>
      <c r="H726" s="25"/>
      <c r="I726" s="25"/>
      <c r="J726" s="26"/>
      <c r="K726" t="str" s="15">
        <f aca="0">IF(COUNTA(B726:J726)=0,"",IF(R726&lt;&gt;"","확인필요(입력누락)",IF(COUNTIFS(보유목록!$I$2:$I$3001,"*"&amp;P726&amp;"*",보유목록!$I$2:$I$3001,"*"&amp;Q726&amp;"*",보유목록!$H$2:$H$3001,O726)&gt;0,"있음",IF(COUNTIFS(보유목록!$I$2:$I$3001,"*"&amp;P726&amp;"*",보유목록!$I$2:$I$3001,"*"&amp;Q726&amp;"*")&gt;0,"확인필요(연도다름)",IF(COUNTIFS(보유목록!$I$2:$I$3001,"*"&amp;P726&amp;"*",보유목록!$H$2:$H$3001,O726)&gt;0,"확인필요(같은학교·같은연도)","없음")))))</f>
      </c>
      <c r="L726" t="str" s="16">
        <f aca="0">IF(OR(COUNTA(B726:J726)=0,R726&lt;&gt;""),"",COUNTIFS(보유목록!$I$2:$I$3001,"*"&amp;P726&amp;"*",보유목록!$I$2:$I$3001,"*"&amp;Q726&amp;"*"))</f>
      </c>
      <c r="M726" t="str" s="23">
        <f aca="0">IF(OR(COUNTA(B726:J726)=0,R726&lt;&gt;""),"",IFERROR(LOOKUP(2,1/(ISNUMBER(SEARCH(P726,보유목록!$I$2:$I$3001))*ISNUMBER(SEARCH(Q726,보유목록!$I$2:$I$3001))*(보유목록!$H$2:$H$3001=O726)),보유목록!$B$2:$B$3001),IFERROR(LOOKUP(2,1/(ISNUMBER(SEARCH(P726,보유목록!$I$2:$I$3001))*ISNUMBER(SEARCH(Q726,보유목록!$I$2:$I$3001))),보유목록!$B$2:$B$3001),"")))</f>
      </c>
      <c r="N726" s="25"/>
      <c r="O726" t="str">
        <f>IFERROR(IF(AND(LEN(SUBSTITUTE(SUBSTITUTE(SUBSTITUTE(TRIM(C726&amp;""),CHAR(160),"")," ",""),"년",""))=4,VALUE(SUBSTITUTE(SUBSTITUTE(SUBSTITUTE(TRIM(C726&amp;""),CHAR(160),"")," ",""),"년",""))&gt;=1900,VALUE(SUBSTITUTE(SUBSTITUTE(SUBSTITUTE(TRIM(C726&amp;""),CHAR(160),"")," ",""),"년",""))&lt;=2099,TEXT(VALUE(SUBSTITUTE(SUBSTITUTE(SUBSTITUTE(TRIM(C726&amp;""),CHAR(160),"")," ",""),"년","")),"0000")=SUBSTITUTE(SUBSTITUTE(SUBSTITUTE(TRIM(C726&amp;""),CHAR(160),"")," ",""),"년","")),SUBSTITUTE(SUBSTITUTE(SUBSTITUTE(TRIM(C726&amp;""),CHAR(160),"")," ",""),"년",""),""),"")</f>
      </c>
      <c r="P726" t="str">
        <f>SUBSTITUTE(SUBSTITUTE(SUBSTITUTE(SUBSTITUTE(SUBSTITUTE(SUBSTITUTE(SUBSTITUTE(SUBSTITUTE(TRIM(D726&amp;""),CHAR(160),"")," ",""),"초등학교","초"),"중학교","중"),"고등학교","고"),"~","~~"),"*","~*"),"?","~?")</f>
      </c>
      <c r="Q726" t="str">
        <f>SUBSTITUTE(SUBSTITUTE(SUBSTITUTE(SUBSTITUTE(SUBSTITUTE(SUBSTITUTE(SUBSTITUTE(SUBSTITUTE(TRIM(E726&amp;""),CHAR(160),"")," ",""),"초등학교","초"),"중학교","중"),"고등학교","고"),"~","~~"),"*","~*"),"?","~?")</f>
      </c>
      <c r="R726" t="str">
        <f>IF(COUNTA(B726:J726)=0,"",IF(AND(O726&lt;&gt;"",P726&lt;&gt;"",Q726&lt;&gt;""),"","입력누락"))</f>
      </c>
    </row>
    <row r="727" customFormat="false" ht="15" hidden="false" customHeight="false" outlineLevel="0" collapsed="false">
      <c r="A727" t="n" s="19">
        <f aca="0">IF(COUNTA(B727:J727)=0,"",ROW()-1)</f>
      </c>
      <c r="B727" s="24"/>
      <c r="C727" s="25"/>
      <c r="D727" s="8"/>
      <c r="E727" s="8"/>
      <c r="F727" s="26"/>
      <c r="G727" s="24"/>
      <c r="H727" s="25"/>
      <c r="I727" s="25"/>
      <c r="J727" s="26"/>
      <c r="K727" t="str" s="15">
        <f aca="0">IF(COUNTA(B727:J727)=0,"",IF(R727&lt;&gt;"","확인필요(입력누락)",IF(COUNTIFS(보유목록!$I$2:$I$3001,"*"&amp;P727&amp;"*",보유목록!$I$2:$I$3001,"*"&amp;Q727&amp;"*",보유목록!$H$2:$H$3001,O727)&gt;0,"있음",IF(COUNTIFS(보유목록!$I$2:$I$3001,"*"&amp;P727&amp;"*",보유목록!$I$2:$I$3001,"*"&amp;Q727&amp;"*")&gt;0,"확인필요(연도다름)",IF(COUNTIFS(보유목록!$I$2:$I$3001,"*"&amp;P727&amp;"*",보유목록!$H$2:$H$3001,O727)&gt;0,"확인필요(같은학교·같은연도)","없음")))))</f>
      </c>
      <c r="L727" t="str" s="16">
        <f aca="0">IF(OR(COUNTA(B727:J727)=0,R727&lt;&gt;""),"",COUNTIFS(보유목록!$I$2:$I$3001,"*"&amp;P727&amp;"*",보유목록!$I$2:$I$3001,"*"&amp;Q727&amp;"*"))</f>
      </c>
      <c r="M727" t="str" s="23">
        <f aca="0">IF(OR(COUNTA(B727:J727)=0,R727&lt;&gt;""),"",IFERROR(LOOKUP(2,1/(ISNUMBER(SEARCH(P727,보유목록!$I$2:$I$3001))*ISNUMBER(SEARCH(Q727,보유목록!$I$2:$I$3001))*(보유목록!$H$2:$H$3001=O727)),보유목록!$B$2:$B$3001),IFERROR(LOOKUP(2,1/(ISNUMBER(SEARCH(P727,보유목록!$I$2:$I$3001))*ISNUMBER(SEARCH(Q727,보유목록!$I$2:$I$3001))),보유목록!$B$2:$B$3001),"")))</f>
      </c>
      <c r="N727" s="25"/>
      <c r="O727" t="str">
        <f>IFERROR(IF(AND(LEN(SUBSTITUTE(SUBSTITUTE(SUBSTITUTE(TRIM(C727&amp;""),CHAR(160),"")," ",""),"년",""))=4,VALUE(SUBSTITUTE(SUBSTITUTE(SUBSTITUTE(TRIM(C727&amp;""),CHAR(160),"")," ",""),"년",""))&gt;=1900,VALUE(SUBSTITUTE(SUBSTITUTE(SUBSTITUTE(TRIM(C727&amp;""),CHAR(160),"")," ",""),"년",""))&lt;=2099,TEXT(VALUE(SUBSTITUTE(SUBSTITUTE(SUBSTITUTE(TRIM(C727&amp;""),CHAR(160),"")," ",""),"년","")),"0000")=SUBSTITUTE(SUBSTITUTE(SUBSTITUTE(TRIM(C727&amp;""),CHAR(160),"")," ",""),"년","")),SUBSTITUTE(SUBSTITUTE(SUBSTITUTE(TRIM(C727&amp;""),CHAR(160),"")," ",""),"년",""),""),"")</f>
      </c>
      <c r="P727" t="str">
        <f>SUBSTITUTE(SUBSTITUTE(SUBSTITUTE(SUBSTITUTE(SUBSTITUTE(SUBSTITUTE(SUBSTITUTE(SUBSTITUTE(TRIM(D727&amp;""),CHAR(160),"")," ",""),"초등학교","초"),"중학교","중"),"고등학교","고"),"~","~~"),"*","~*"),"?","~?")</f>
      </c>
      <c r="Q727" t="str">
        <f>SUBSTITUTE(SUBSTITUTE(SUBSTITUTE(SUBSTITUTE(SUBSTITUTE(SUBSTITUTE(SUBSTITUTE(SUBSTITUTE(TRIM(E727&amp;""),CHAR(160),"")," ",""),"초등학교","초"),"중학교","중"),"고등학교","고"),"~","~~"),"*","~*"),"?","~?")</f>
      </c>
      <c r="R727" t="str">
        <f>IF(COUNTA(B727:J727)=0,"",IF(AND(O727&lt;&gt;"",P727&lt;&gt;"",Q727&lt;&gt;""),"","입력누락"))</f>
      </c>
    </row>
    <row r="728" customFormat="false" ht="15" hidden="false" customHeight="false" outlineLevel="0" collapsed="false">
      <c r="A728" t="n" s="19">
        <f aca="0">IF(COUNTA(B728:J728)=0,"",ROW()-1)</f>
      </c>
      <c r="B728" s="24"/>
      <c r="C728" s="25"/>
      <c r="D728" s="8"/>
      <c r="E728" s="8"/>
      <c r="F728" s="26"/>
      <c r="G728" s="24"/>
      <c r="H728" s="25"/>
      <c r="I728" s="25"/>
      <c r="J728" s="26"/>
      <c r="K728" t="str" s="15">
        <f aca="0">IF(COUNTA(B728:J728)=0,"",IF(R728&lt;&gt;"","확인필요(입력누락)",IF(COUNTIFS(보유목록!$I$2:$I$3001,"*"&amp;P728&amp;"*",보유목록!$I$2:$I$3001,"*"&amp;Q728&amp;"*",보유목록!$H$2:$H$3001,O728)&gt;0,"있음",IF(COUNTIFS(보유목록!$I$2:$I$3001,"*"&amp;P728&amp;"*",보유목록!$I$2:$I$3001,"*"&amp;Q728&amp;"*")&gt;0,"확인필요(연도다름)",IF(COUNTIFS(보유목록!$I$2:$I$3001,"*"&amp;P728&amp;"*",보유목록!$H$2:$H$3001,O728)&gt;0,"확인필요(같은학교·같은연도)","없음")))))</f>
      </c>
      <c r="L728" t="str" s="16">
        <f aca="0">IF(OR(COUNTA(B728:J728)=0,R728&lt;&gt;""),"",COUNTIFS(보유목록!$I$2:$I$3001,"*"&amp;P728&amp;"*",보유목록!$I$2:$I$3001,"*"&amp;Q728&amp;"*"))</f>
      </c>
      <c r="M728" t="str" s="23">
        <f aca="0">IF(OR(COUNTA(B728:J728)=0,R728&lt;&gt;""),"",IFERROR(LOOKUP(2,1/(ISNUMBER(SEARCH(P728,보유목록!$I$2:$I$3001))*ISNUMBER(SEARCH(Q728,보유목록!$I$2:$I$3001))*(보유목록!$H$2:$H$3001=O728)),보유목록!$B$2:$B$3001),IFERROR(LOOKUP(2,1/(ISNUMBER(SEARCH(P728,보유목록!$I$2:$I$3001))*ISNUMBER(SEARCH(Q728,보유목록!$I$2:$I$3001))),보유목록!$B$2:$B$3001),"")))</f>
      </c>
      <c r="N728" s="25"/>
      <c r="O728" t="str">
        <f>IFERROR(IF(AND(LEN(SUBSTITUTE(SUBSTITUTE(SUBSTITUTE(TRIM(C728&amp;""),CHAR(160),"")," ",""),"년",""))=4,VALUE(SUBSTITUTE(SUBSTITUTE(SUBSTITUTE(TRIM(C728&amp;""),CHAR(160),"")," ",""),"년",""))&gt;=1900,VALUE(SUBSTITUTE(SUBSTITUTE(SUBSTITUTE(TRIM(C728&amp;""),CHAR(160),"")," ",""),"년",""))&lt;=2099,TEXT(VALUE(SUBSTITUTE(SUBSTITUTE(SUBSTITUTE(TRIM(C728&amp;""),CHAR(160),"")," ",""),"년","")),"0000")=SUBSTITUTE(SUBSTITUTE(SUBSTITUTE(TRIM(C728&amp;""),CHAR(160),"")," ",""),"년","")),SUBSTITUTE(SUBSTITUTE(SUBSTITUTE(TRIM(C728&amp;""),CHAR(160),"")," ",""),"년",""),""),"")</f>
      </c>
      <c r="P728" t="str">
        <f>SUBSTITUTE(SUBSTITUTE(SUBSTITUTE(SUBSTITUTE(SUBSTITUTE(SUBSTITUTE(SUBSTITUTE(SUBSTITUTE(TRIM(D728&amp;""),CHAR(160),"")," ",""),"초등학교","초"),"중학교","중"),"고등학교","고"),"~","~~"),"*","~*"),"?","~?")</f>
      </c>
      <c r="Q728" t="str">
        <f>SUBSTITUTE(SUBSTITUTE(SUBSTITUTE(SUBSTITUTE(SUBSTITUTE(SUBSTITUTE(SUBSTITUTE(SUBSTITUTE(TRIM(E728&amp;""),CHAR(160),"")," ",""),"초등학교","초"),"중학교","중"),"고등학교","고"),"~","~~"),"*","~*"),"?","~?")</f>
      </c>
      <c r="R728" t="str">
        <f>IF(COUNTA(B728:J728)=0,"",IF(AND(O728&lt;&gt;"",P728&lt;&gt;"",Q728&lt;&gt;""),"","입력누락"))</f>
      </c>
    </row>
    <row r="729" customFormat="false" ht="15" hidden="false" customHeight="false" outlineLevel="0" collapsed="false">
      <c r="A729" t="n" s="19">
        <f aca="0">IF(COUNTA(B729:J729)=0,"",ROW()-1)</f>
      </c>
      <c r="B729" s="24"/>
      <c r="C729" s="25"/>
      <c r="D729" s="8"/>
      <c r="E729" s="8"/>
      <c r="F729" s="26"/>
      <c r="G729" s="24"/>
      <c r="H729" s="25"/>
      <c r="I729" s="25"/>
      <c r="J729" s="26"/>
      <c r="K729" t="str" s="15">
        <f aca="0">IF(COUNTA(B729:J729)=0,"",IF(R729&lt;&gt;"","확인필요(입력누락)",IF(COUNTIFS(보유목록!$I$2:$I$3001,"*"&amp;P729&amp;"*",보유목록!$I$2:$I$3001,"*"&amp;Q729&amp;"*",보유목록!$H$2:$H$3001,O729)&gt;0,"있음",IF(COUNTIFS(보유목록!$I$2:$I$3001,"*"&amp;P729&amp;"*",보유목록!$I$2:$I$3001,"*"&amp;Q729&amp;"*")&gt;0,"확인필요(연도다름)",IF(COUNTIFS(보유목록!$I$2:$I$3001,"*"&amp;P729&amp;"*",보유목록!$H$2:$H$3001,O729)&gt;0,"확인필요(같은학교·같은연도)","없음")))))</f>
      </c>
      <c r="L729" t="str" s="16">
        <f aca="0">IF(OR(COUNTA(B729:J729)=0,R729&lt;&gt;""),"",COUNTIFS(보유목록!$I$2:$I$3001,"*"&amp;P729&amp;"*",보유목록!$I$2:$I$3001,"*"&amp;Q729&amp;"*"))</f>
      </c>
      <c r="M729" t="str" s="23">
        <f aca="0">IF(OR(COUNTA(B729:J729)=0,R729&lt;&gt;""),"",IFERROR(LOOKUP(2,1/(ISNUMBER(SEARCH(P729,보유목록!$I$2:$I$3001))*ISNUMBER(SEARCH(Q729,보유목록!$I$2:$I$3001))*(보유목록!$H$2:$H$3001=O729)),보유목록!$B$2:$B$3001),IFERROR(LOOKUP(2,1/(ISNUMBER(SEARCH(P729,보유목록!$I$2:$I$3001))*ISNUMBER(SEARCH(Q729,보유목록!$I$2:$I$3001))),보유목록!$B$2:$B$3001),"")))</f>
      </c>
      <c r="N729" s="25"/>
      <c r="O729" t="str">
        <f>IFERROR(IF(AND(LEN(SUBSTITUTE(SUBSTITUTE(SUBSTITUTE(TRIM(C729&amp;""),CHAR(160),"")," ",""),"년",""))=4,VALUE(SUBSTITUTE(SUBSTITUTE(SUBSTITUTE(TRIM(C729&amp;""),CHAR(160),"")," ",""),"년",""))&gt;=1900,VALUE(SUBSTITUTE(SUBSTITUTE(SUBSTITUTE(TRIM(C729&amp;""),CHAR(160),"")," ",""),"년",""))&lt;=2099,TEXT(VALUE(SUBSTITUTE(SUBSTITUTE(SUBSTITUTE(TRIM(C729&amp;""),CHAR(160),"")," ",""),"년","")),"0000")=SUBSTITUTE(SUBSTITUTE(SUBSTITUTE(TRIM(C729&amp;""),CHAR(160),"")," ",""),"년","")),SUBSTITUTE(SUBSTITUTE(SUBSTITUTE(TRIM(C729&amp;""),CHAR(160),"")," ",""),"년",""),""),"")</f>
      </c>
      <c r="P729" t="str">
        <f>SUBSTITUTE(SUBSTITUTE(SUBSTITUTE(SUBSTITUTE(SUBSTITUTE(SUBSTITUTE(SUBSTITUTE(SUBSTITUTE(TRIM(D729&amp;""),CHAR(160),"")," ",""),"초등학교","초"),"중학교","중"),"고등학교","고"),"~","~~"),"*","~*"),"?","~?")</f>
      </c>
      <c r="Q729" t="str">
        <f>SUBSTITUTE(SUBSTITUTE(SUBSTITUTE(SUBSTITUTE(SUBSTITUTE(SUBSTITUTE(SUBSTITUTE(SUBSTITUTE(TRIM(E729&amp;""),CHAR(160),"")," ",""),"초등학교","초"),"중학교","중"),"고등학교","고"),"~","~~"),"*","~*"),"?","~?")</f>
      </c>
      <c r="R729" t="str">
        <f>IF(COUNTA(B729:J729)=0,"",IF(AND(O729&lt;&gt;"",P729&lt;&gt;"",Q729&lt;&gt;""),"","입력누락"))</f>
      </c>
    </row>
    <row r="730" customFormat="false" ht="15" hidden="false" customHeight="false" outlineLevel="0" collapsed="false">
      <c r="A730" t="n" s="19">
        <f aca="0">IF(COUNTA(B730:J730)=0,"",ROW()-1)</f>
      </c>
      <c r="B730" s="24"/>
      <c r="C730" s="25"/>
      <c r="D730" s="8"/>
      <c r="E730" s="8"/>
      <c r="F730" s="26"/>
      <c r="G730" s="24"/>
      <c r="H730" s="25"/>
      <c r="I730" s="25"/>
      <c r="J730" s="26"/>
      <c r="K730" t="str" s="15">
        <f aca="0">IF(COUNTA(B730:J730)=0,"",IF(R730&lt;&gt;"","확인필요(입력누락)",IF(COUNTIFS(보유목록!$I$2:$I$3001,"*"&amp;P730&amp;"*",보유목록!$I$2:$I$3001,"*"&amp;Q730&amp;"*",보유목록!$H$2:$H$3001,O730)&gt;0,"있음",IF(COUNTIFS(보유목록!$I$2:$I$3001,"*"&amp;P730&amp;"*",보유목록!$I$2:$I$3001,"*"&amp;Q730&amp;"*")&gt;0,"확인필요(연도다름)",IF(COUNTIFS(보유목록!$I$2:$I$3001,"*"&amp;P730&amp;"*",보유목록!$H$2:$H$3001,O730)&gt;0,"확인필요(같은학교·같은연도)","없음")))))</f>
      </c>
      <c r="L730" t="str" s="16">
        <f aca="0">IF(OR(COUNTA(B730:J730)=0,R730&lt;&gt;""),"",COUNTIFS(보유목록!$I$2:$I$3001,"*"&amp;P730&amp;"*",보유목록!$I$2:$I$3001,"*"&amp;Q730&amp;"*"))</f>
      </c>
      <c r="M730" t="str" s="23">
        <f aca="0">IF(OR(COUNTA(B730:J730)=0,R730&lt;&gt;""),"",IFERROR(LOOKUP(2,1/(ISNUMBER(SEARCH(P730,보유목록!$I$2:$I$3001))*ISNUMBER(SEARCH(Q730,보유목록!$I$2:$I$3001))*(보유목록!$H$2:$H$3001=O730)),보유목록!$B$2:$B$3001),IFERROR(LOOKUP(2,1/(ISNUMBER(SEARCH(P730,보유목록!$I$2:$I$3001))*ISNUMBER(SEARCH(Q730,보유목록!$I$2:$I$3001))),보유목록!$B$2:$B$3001),"")))</f>
      </c>
      <c r="N730" s="25"/>
      <c r="O730" t="str">
        <f>IFERROR(IF(AND(LEN(SUBSTITUTE(SUBSTITUTE(SUBSTITUTE(TRIM(C730&amp;""),CHAR(160),"")," ",""),"년",""))=4,VALUE(SUBSTITUTE(SUBSTITUTE(SUBSTITUTE(TRIM(C730&amp;""),CHAR(160),"")," ",""),"년",""))&gt;=1900,VALUE(SUBSTITUTE(SUBSTITUTE(SUBSTITUTE(TRIM(C730&amp;""),CHAR(160),"")," ",""),"년",""))&lt;=2099,TEXT(VALUE(SUBSTITUTE(SUBSTITUTE(SUBSTITUTE(TRIM(C730&amp;""),CHAR(160),"")," ",""),"년","")),"0000")=SUBSTITUTE(SUBSTITUTE(SUBSTITUTE(TRIM(C730&amp;""),CHAR(160),"")," ",""),"년","")),SUBSTITUTE(SUBSTITUTE(SUBSTITUTE(TRIM(C730&amp;""),CHAR(160),"")," ",""),"년",""),""),"")</f>
      </c>
      <c r="P730" t="str">
        <f>SUBSTITUTE(SUBSTITUTE(SUBSTITUTE(SUBSTITUTE(SUBSTITUTE(SUBSTITUTE(SUBSTITUTE(SUBSTITUTE(TRIM(D730&amp;""),CHAR(160),"")," ",""),"초등학교","초"),"중학교","중"),"고등학교","고"),"~","~~"),"*","~*"),"?","~?")</f>
      </c>
      <c r="Q730" t="str">
        <f>SUBSTITUTE(SUBSTITUTE(SUBSTITUTE(SUBSTITUTE(SUBSTITUTE(SUBSTITUTE(SUBSTITUTE(SUBSTITUTE(TRIM(E730&amp;""),CHAR(160),"")," ",""),"초등학교","초"),"중학교","중"),"고등학교","고"),"~","~~"),"*","~*"),"?","~?")</f>
      </c>
      <c r="R730" t="str">
        <f>IF(COUNTA(B730:J730)=0,"",IF(AND(O730&lt;&gt;"",P730&lt;&gt;"",Q730&lt;&gt;""),"","입력누락"))</f>
      </c>
    </row>
    <row r="731" customFormat="false" ht="15" hidden="false" customHeight="false" outlineLevel="0" collapsed="false">
      <c r="A731" t="n" s="19">
        <f aca="0">IF(COUNTA(B731:J731)=0,"",ROW()-1)</f>
      </c>
      <c r="B731" s="24"/>
      <c r="C731" s="25"/>
      <c r="D731" s="8"/>
      <c r="E731" s="8"/>
      <c r="F731" s="26"/>
      <c r="G731" s="24"/>
      <c r="H731" s="25"/>
      <c r="I731" s="25"/>
      <c r="J731" s="26"/>
      <c r="K731" t="str" s="15">
        <f aca="0">IF(COUNTA(B731:J731)=0,"",IF(R731&lt;&gt;"","확인필요(입력누락)",IF(COUNTIFS(보유목록!$I$2:$I$3001,"*"&amp;P731&amp;"*",보유목록!$I$2:$I$3001,"*"&amp;Q731&amp;"*",보유목록!$H$2:$H$3001,O731)&gt;0,"있음",IF(COUNTIFS(보유목록!$I$2:$I$3001,"*"&amp;P731&amp;"*",보유목록!$I$2:$I$3001,"*"&amp;Q731&amp;"*")&gt;0,"확인필요(연도다름)",IF(COUNTIFS(보유목록!$I$2:$I$3001,"*"&amp;P731&amp;"*",보유목록!$H$2:$H$3001,O731)&gt;0,"확인필요(같은학교·같은연도)","없음")))))</f>
      </c>
      <c r="L731" t="str" s="16">
        <f aca="0">IF(OR(COUNTA(B731:J731)=0,R731&lt;&gt;""),"",COUNTIFS(보유목록!$I$2:$I$3001,"*"&amp;P731&amp;"*",보유목록!$I$2:$I$3001,"*"&amp;Q731&amp;"*"))</f>
      </c>
      <c r="M731" t="str" s="23">
        <f aca="0">IF(OR(COUNTA(B731:J731)=0,R731&lt;&gt;""),"",IFERROR(LOOKUP(2,1/(ISNUMBER(SEARCH(P731,보유목록!$I$2:$I$3001))*ISNUMBER(SEARCH(Q731,보유목록!$I$2:$I$3001))*(보유목록!$H$2:$H$3001=O731)),보유목록!$B$2:$B$3001),IFERROR(LOOKUP(2,1/(ISNUMBER(SEARCH(P731,보유목록!$I$2:$I$3001))*ISNUMBER(SEARCH(Q731,보유목록!$I$2:$I$3001))),보유목록!$B$2:$B$3001),"")))</f>
      </c>
      <c r="N731" s="25"/>
      <c r="O731" t="str">
        <f>IFERROR(IF(AND(LEN(SUBSTITUTE(SUBSTITUTE(SUBSTITUTE(TRIM(C731&amp;""),CHAR(160),"")," ",""),"년",""))=4,VALUE(SUBSTITUTE(SUBSTITUTE(SUBSTITUTE(TRIM(C731&amp;""),CHAR(160),"")," ",""),"년",""))&gt;=1900,VALUE(SUBSTITUTE(SUBSTITUTE(SUBSTITUTE(TRIM(C731&amp;""),CHAR(160),"")," ",""),"년",""))&lt;=2099,TEXT(VALUE(SUBSTITUTE(SUBSTITUTE(SUBSTITUTE(TRIM(C731&amp;""),CHAR(160),"")," ",""),"년","")),"0000")=SUBSTITUTE(SUBSTITUTE(SUBSTITUTE(TRIM(C731&amp;""),CHAR(160),"")," ",""),"년","")),SUBSTITUTE(SUBSTITUTE(SUBSTITUTE(TRIM(C731&amp;""),CHAR(160),"")," ",""),"년",""),""),"")</f>
      </c>
      <c r="P731" t="str">
        <f>SUBSTITUTE(SUBSTITUTE(SUBSTITUTE(SUBSTITUTE(SUBSTITUTE(SUBSTITUTE(SUBSTITUTE(SUBSTITUTE(TRIM(D731&amp;""),CHAR(160),"")," ",""),"초등학교","초"),"중학교","중"),"고등학교","고"),"~","~~"),"*","~*"),"?","~?")</f>
      </c>
      <c r="Q731" t="str">
        <f>SUBSTITUTE(SUBSTITUTE(SUBSTITUTE(SUBSTITUTE(SUBSTITUTE(SUBSTITUTE(SUBSTITUTE(SUBSTITUTE(TRIM(E731&amp;""),CHAR(160),"")," ",""),"초등학교","초"),"중학교","중"),"고등학교","고"),"~","~~"),"*","~*"),"?","~?")</f>
      </c>
      <c r="R731" t="str">
        <f>IF(COUNTA(B731:J731)=0,"",IF(AND(O731&lt;&gt;"",P731&lt;&gt;"",Q731&lt;&gt;""),"","입력누락"))</f>
      </c>
    </row>
    <row r="732" customFormat="false" ht="15" hidden="false" customHeight="false" outlineLevel="0" collapsed="false">
      <c r="A732" t="n" s="19">
        <f aca="0">IF(COUNTA(B732:J732)=0,"",ROW()-1)</f>
      </c>
      <c r="B732" s="24"/>
      <c r="C732" s="25"/>
      <c r="D732" s="8"/>
      <c r="E732" s="8"/>
      <c r="F732" s="26"/>
      <c r="G732" s="24"/>
      <c r="H732" s="25"/>
      <c r="I732" s="25"/>
      <c r="J732" s="26"/>
      <c r="K732" t="str" s="15">
        <f aca="0">IF(COUNTA(B732:J732)=0,"",IF(R732&lt;&gt;"","확인필요(입력누락)",IF(COUNTIFS(보유목록!$I$2:$I$3001,"*"&amp;P732&amp;"*",보유목록!$I$2:$I$3001,"*"&amp;Q732&amp;"*",보유목록!$H$2:$H$3001,O732)&gt;0,"있음",IF(COUNTIFS(보유목록!$I$2:$I$3001,"*"&amp;P732&amp;"*",보유목록!$I$2:$I$3001,"*"&amp;Q732&amp;"*")&gt;0,"확인필요(연도다름)",IF(COUNTIFS(보유목록!$I$2:$I$3001,"*"&amp;P732&amp;"*",보유목록!$H$2:$H$3001,O732)&gt;0,"확인필요(같은학교·같은연도)","없음")))))</f>
      </c>
      <c r="L732" t="str" s="16">
        <f aca="0">IF(OR(COUNTA(B732:J732)=0,R732&lt;&gt;""),"",COUNTIFS(보유목록!$I$2:$I$3001,"*"&amp;P732&amp;"*",보유목록!$I$2:$I$3001,"*"&amp;Q732&amp;"*"))</f>
      </c>
      <c r="M732" t="str" s="23">
        <f aca="0">IF(OR(COUNTA(B732:J732)=0,R732&lt;&gt;""),"",IFERROR(LOOKUP(2,1/(ISNUMBER(SEARCH(P732,보유목록!$I$2:$I$3001))*ISNUMBER(SEARCH(Q732,보유목록!$I$2:$I$3001))*(보유목록!$H$2:$H$3001=O732)),보유목록!$B$2:$B$3001),IFERROR(LOOKUP(2,1/(ISNUMBER(SEARCH(P732,보유목록!$I$2:$I$3001))*ISNUMBER(SEARCH(Q732,보유목록!$I$2:$I$3001))),보유목록!$B$2:$B$3001),"")))</f>
      </c>
      <c r="N732" s="25"/>
      <c r="O732" t="str">
        <f>IFERROR(IF(AND(LEN(SUBSTITUTE(SUBSTITUTE(SUBSTITUTE(TRIM(C732&amp;""),CHAR(160),"")," ",""),"년",""))=4,VALUE(SUBSTITUTE(SUBSTITUTE(SUBSTITUTE(TRIM(C732&amp;""),CHAR(160),"")," ",""),"년",""))&gt;=1900,VALUE(SUBSTITUTE(SUBSTITUTE(SUBSTITUTE(TRIM(C732&amp;""),CHAR(160),"")," ",""),"년",""))&lt;=2099,TEXT(VALUE(SUBSTITUTE(SUBSTITUTE(SUBSTITUTE(TRIM(C732&amp;""),CHAR(160),"")," ",""),"년","")),"0000")=SUBSTITUTE(SUBSTITUTE(SUBSTITUTE(TRIM(C732&amp;""),CHAR(160),"")," ",""),"년","")),SUBSTITUTE(SUBSTITUTE(SUBSTITUTE(TRIM(C732&amp;""),CHAR(160),"")," ",""),"년",""),""),"")</f>
      </c>
      <c r="P732" t="str">
        <f>SUBSTITUTE(SUBSTITUTE(SUBSTITUTE(SUBSTITUTE(SUBSTITUTE(SUBSTITUTE(SUBSTITUTE(SUBSTITUTE(TRIM(D732&amp;""),CHAR(160),"")," ",""),"초등학교","초"),"중학교","중"),"고등학교","고"),"~","~~"),"*","~*"),"?","~?")</f>
      </c>
      <c r="Q732" t="str">
        <f>SUBSTITUTE(SUBSTITUTE(SUBSTITUTE(SUBSTITUTE(SUBSTITUTE(SUBSTITUTE(SUBSTITUTE(SUBSTITUTE(TRIM(E732&amp;""),CHAR(160),"")," ",""),"초등학교","초"),"중학교","중"),"고등학교","고"),"~","~~"),"*","~*"),"?","~?")</f>
      </c>
      <c r="R732" t="str">
        <f>IF(COUNTA(B732:J732)=0,"",IF(AND(O732&lt;&gt;"",P732&lt;&gt;"",Q732&lt;&gt;""),"","입력누락"))</f>
      </c>
    </row>
    <row r="733" customFormat="false" ht="15" hidden="false" customHeight="false" outlineLevel="0" collapsed="false">
      <c r="A733" t="n" s="19">
        <f aca="0">IF(COUNTA(B733:J733)=0,"",ROW()-1)</f>
      </c>
      <c r="B733" s="24"/>
      <c r="C733" s="25"/>
      <c r="D733" s="8"/>
      <c r="E733" s="8"/>
      <c r="F733" s="26"/>
      <c r="G733" s="24"/>
      <c r="H733" s="25"/>
      <c r="I733" s="25"/>
      <c r="J733" s="26"/>
      <c r="K733" t="str" s="15">
        <f aca="0">IF(COUNTA(B733:J733)=0,"",IF(R733&lt;&gt;"","확인필요(입력누락)",IF(COUNTIFS(보유목록!$I$2:$I$3001,"*"&amp;P733&amp;"*",보유목록!$I$2:$I$3001,"*"&amp;Q733&amp;"*",보유목록!$H$2:$H$3001,O733)&gt;0,"있음",IF(COUNTIFS(보유목록!$I$2:$I$3001,"*"&amp;P733&amp;"*",보유목록!$I$2:$I$3001,"*"&amp;Q733&amp;"*")&gt;0,"확인필요(연도다름)",IF(COUNTIFS(보유목록!$I$2:$I$3001,"*"&amp;P733&amp;"*",보유목록!$H$2:$H$3001,O733)&gt;0,"확인필요(같은학교·같은연도)","없음")))))</f>
      </c>
      <c r="L733" t="str" s="16">
        <f aca="0">IF(OR(COUNTA(B733:J733)=0,R733&lt;&gt;""),"",COUNTIFS(보유목록!$I$2:$I$3001,"*"&amp;P733&amp;"*",보유목록!$I$2:$I$3001,"*"&amp;Q733&amp;"*"))</f>
      </c>
      <c r="M733" t="str" s="23">
        <f aca="0">IF(OR(COUNTA(B733:J733)=0,R733&lt;&gt;""),"",IFERROR(LOOKUP(2,1/(ISNUMBER(SEARCH(P733,보유목록!$I$2:$I$3001))*ISNUMBER(SEARCH(Q733,보유목록!$I$2:$I$3001))*(보유목록!$H$2:$H$3001=O733)),보유목록!$B$2:$B$3001),IFERROR(LOOKUP(2,1/(ISNUMBER(SEARCH(P733,보유목록!$I$2:$I$3001))*ISNUMBER(SEARCH(Q733,보유목록!$I$2:$I$3001))),보유목록!$B$2:$B$3001),"")))</f>
      </c>
      <c r="N733" s="25"/>
      <c r="O733" t="str">
        <f>IFERROR(IF(AND(LEN(SUBSTITUTE(SUBSTITUTE(SUBSTITUTE(TRIM(C733&amp;""),CHAR(160),"")," ",""),"년",""))=4,VALUE(SUBSTITUTE(SUBSTITUTE(SUBSTITUTE(TRIM(C733&amp;""),CHAR(160),"")," ",""),"년",""))&gt;=1900,VALUE(SUBSTITUTE(SUBSTITUTE(SUBSTITUTE(TRIM(C733&amp;""),CHAR(160),"")," ",""),"년",""))&lt;=2099,TEXT(VALUE(SUBSTITUTE(SUBSTITUTE(SUBSTITUTE(TRIM(C733&amp;""),CHAR(160),"")," ",""),"년","")),"0000")=SUBSTITUTE(SUBSTITUTE(SUBSTITUTE(TRIM(C733&amp;""),CHAR(160),"")," ",""),"년","")),SUBSTITUTE(SUBSTITUTE(SUBSTITUTE(TRIM(C733&amp;""),CHAR(160),"")," ",""),"년",""),""),"")</f>
      </c>
      <c r="P733" t="str">
        <f>SUBSTITUTE(SUBSTITUTE(SUBSTITUTE(SUBSTITUTE(SUBSTITUTE(SUBSTITUTE(SUBSTITUTE(SUBSTITUTE(TRIM(D733&amp;""),CHAR(160),"")," ",""),"초등학교","초"),"중학교","중"),"고등학교","고"),"~","~~"),"*","~*"),"?","~?")</f>
      </c>
      <c r="Q733" t="str">
        <f>SUBSTITUTE(SUBSTITUTE(SUBSTITUTE(SUBSTITUTE(SUBSTITUTE(SUBSTITUTE(SUBSTITUTE(SUBSTITUTE(TRIM(E733&amp;""),CHAR(160),"")," ",""),"초등학교","초"),"중학교","중"),"고등학교","고"),"~","~~"),"*","~*"),"?","~?")</f>
      </c>
      <c r="R733" t="str">
        <f>IF(COUNTA(B733:J733)=0,"",IF(AND(O733&lt;&gt;"",P733&lt;&gt;"",Q733&lt;&gt;""),"","입력누락"))</f>
      </c>
    </row>
    <row r="734" customFormat="false" ht="15" hidden="false" customHeight="false" outlineLevel="0" collapsed="false">
      <c r="A734" t="n" s="19">
        <f aca="0">IF(COUNTA(B734:J734)=0,"",ROW()-1)</f>
      </c>
      <c r="B734" s="24"/>
      <c r="C734" s="25"/>
      <c r="D734" s="8"/>
      <c r="E734" s="8"/>
      <c r="F734" s="26"/>
      <c r="G734" s="24"/>
      <c r="H734" s="25"/>
      <c r="I734" s="25"/>
      <c r="J734" s="26"/>
      <c r="K734" t="str" s="15">
        <f aca="0">IF(COUNTA(B734:J734)=0,"",IF(R734&lt;&gt;"","확인필요(입력누락)",IF(COUNTIFS(보유목록!$I$2:$I$3001,"*"&amp;P734&amp;"*",보유목록!$I$2:$I$3001,"*"&amp;Q734&amp;"*",보유목록!$H$2:$H$3001,O734)&gt;0,"있음",IF(COUNTIFS(보유목록!$I$2:$I$3001,"*"&amp;P734&amp;"*",보유목록!$I$2:$I$3001,"*"&amp;Q734&amp;"*")&gt;0,"확인필요(연도다름)",IF(COUNTIFS(보유목록!$I$2:$I$3001,"*"&amp;P734&amp;"*",보유목록!$H$2:$H$3001,O734)&gt;0,"확인필요(같은학교·같은연도)","없음")))))</f>
      </c>
      <c r="L734" t="str" s="16">
        <f aca="0">IF(OR(COUNTA(B734:J734)=0,R734&lt;&gt;""),"",COUNTIFS(보유목록!$I$2:$I$3001,"*"&amp;P734&amp;"*",보유목록!$I$2:$I$3001,"*"&amp;Q734&amp;"*"))</f>
      </c>
      <c r="M734" t="str" s="23">
        <f aca="0">IF(OR(COUNTA(B734:J734)=0,R734&lt;&gt;""),"",IFERROR(LOOKUP(2,1/(ISNUMBER(SEARCH(P734,보유목록!$I$2:$I$3001))*ISNUMBER(SEARCH(Q734,보유목록!$I$2:$I$3001))*(보유목록!$H$2:$H$3001=O734)),보유목록!$B$2:$B$3001),IFERROR(LOOKUP(2,1/(ISNUMBER(SEARCH(P734,보유목록!$I$2:$I$3001))*ISNUMBER(SEARCH(Q734,보유목록!$I$2:$I$3001))),보유목록!$B$2:$B$3001),"")))</f>
      </c>
      <c r="N734" s="25"/>
      <c r="O734" t="str">
        <f>IFERROR(IF(AND(LEN(SUBSTITUTE(SUBSTITUTE(SUBSTITUTE(TRIM(C734&amp;""),CHAR(160),"")," ",""),"년",""))=4,VALUE(SUBSTITUTE(SUBSTITUTE(SUBSTITUTE(TRIM(C734&amp;""),CHAR(160),"")," ",""),"년",""))&gt;=1900,VALUE(SUBSTITUTE(SUBSTITUTE(SUBSTITUTE(TRIM(C734&amp;""),CHAR(160),"")," ",""),"년",""))&lt;=2099,TEXT(VALUE(SUBSTITUTE(SUBSTITUTE(SUBSTITUTE(TRIM(C734&amp;""),CHAR(160),"")," ",""),"년","")),"0000")=SUBSTITUTE(SUBSTITUTE(SUBSTITUTE(TRIM(C734&amp;""),CHAR(160),"")," ",""),"년","")),SUBSTITUTE(SUBSTITUTE(SUBSTITUTE(TRIM(C734&amp;""),CHAR(160),"")," ",""),"년",""),""),"")</f>
      </c>
      <c r="P734" t="str">
        <f>SUBSTITUTE(SUBSTITUTE(SUBSTITUTE(SUBSTITUTE(SUBSTITUTE(SUBSTITUTE(SUBSTITUTE(SUBSTITUTE(TRIM(D734&amp;""),CHAR(160),"")," ",""),"초등학교","초"),"중학교","중"),"고등학교","고"),"~","~~"),"*","~*"),"?","~?")</f>
      </c>
      <c r="Q734" t="str">
        <f>SUBSTITUTE(SUBSTITUTE(SUBSTITUTE(SUBSTITUTE(SUBSTITUTE(SUBSTITUTE(SUBSTITUTE(SUBSTITUTE(TRIM(E734&amp;""),CHAR(160),"")," ",""),"초등학교","초"),"중학교","중"),"고등학교","고"),"~","~~"),"*","~*"),"?","~?")</f>
      </c>
      <c r="R734" t="str">
        <f>IF(COUNTA(B734:J734)=0,"",IF(AND(O734&lt;&gt;"",P734&lt;&gt;"",Q734&lt;&gt;""),"","입력누락"))</f>
      </c>
    </row>
    <row r="735" customFormat="false" ht="15" hidden="false" customHeight="false" outlineLevel="0" collapsed="false">
      <c r="A735" t="n" s="19">
        <f aca="0">IF(COUNTA(B735:J735)=0,"",ROW()-1)</f>
      </c>
      <c r="B735" s="24"/>
      <c r="C735" s="25"/>
      <c r="D735" s="8"/>
      <c r="E735" s="8"/>
      <c r="F735" s="26"/>
      <c r="G735" s="24"/>
      <c r="H735" s="25"/>
      <c r="I735" s="25"/>
      <c r="J735" s="26"/>
      <c r="K735" t="str" s="15">
        <f aca="0">IF(COUNTA(B735:J735)=0,"",IF(R735&lt;&gt;"","확인필요(입력누락)",IF(COUNTIFS(보유목록!$I$2:$I$3001,"*"&amp;P735&amp;"*",보유목록!$I$2:$I$3001,"*"&amp;Q735&amp;"*",보유목록!$H$2:$H$3001,O735)&gt;0,"있음",IF(COUNTIFS(보유목록!$I$2:$I$3001,"*"&amp;P735&amp;"*",보유목록!$I$2:$I$3001,"*"&amp;Q735&amp;"*")&gt;0,"확인필요(연도다름)",IF(COUNTIFS(보유목록!$I$2:$I$3001,"*"&amp;P735&amp;"*",보유목록!$H$2:$H$3001,O735)&gt;0,"확인필요(같은학교·같은연도)","없음")))))</f>
      </c>
      <c r="L735" t="str" s="16">
        <f aca="0">IF(OR(COUNTA(B735:J735)=0,R735&lt;&gt;""),"",COUNTIFS(보유목록!$I$2:$I$3001,"*"&amp;P735&amp;"*",보유목록!$I$2:$I$3001,"*"&amp;Q735&amp;"*"))</f>
      </c>
      <c r="M735" t="str" s="23">
        <f aca="0">IF(OR(COUNTA(B735:J735)=0,R735&lt;&gt;""),"",IFERROR(LOOKUP(2,1/(ISNUMBER(SEARCH(P735,보유목록!$I$2:$I$3001))*ISNUMBER(SEARCH(Q735,보유목록!$I$2:$I$3001))*(보유목록!$H$2:$H$3001=O735)),보유목록!$B$2:$B$3001),IFERROR(LOOKUP(2,1/(ISNUMBER(SEARCH(P735,보유목록!$I$2:$I$3001))*ISNUMBER(SEARCH(Q735,보유목록!$I$2:$I$3001))),보유목록!$B$2:$B$3001),"")))</f>
      </c>
      <c r="N735" s="25"/>
      <c r="O735" t="str">
        <f>IFERROR(IF(AND(LEN(SUBSTITUTE(SUBSTITUTE(SUBSTITUTE(TRIM(C735&amp;""),CHAR(160),"")," ",""),"년",""))=4,VALUE(SUBSTITUTE(SUBSTITUTE(SUBSTITUTE(TRIM(C735&amp;""),CHAR(160),"")," ",""),"년",""))&gt;=1900,VALUE(SUBSTITUTE(SUBSTITUTE(SUBSTITUTE(TRIM(C735&amp;""),CHAR(160),"")," ",""),"년",""))&lt;=2099,TEXT(VALUE(SUBSTITUTE(SUBSTITUTE(SUBSTITUTE(TRIM(C735&amp;""),CHAR(160),"")," ",""),"년","")),"0000")=SUBSTITUTE(SUBSTITUTE(SUBSTITUTE(TRIM(C735&amp;""),CHAR(160),"")," ",""),"년","")),SUBSTITUTE(SUBSTITUTE(SUBSTITUTE(TRIM(C735&amp;""),CHAR(160),"")," ",""),"년",""),""),"")</f>
      </c>
      <c r="P735" t="str">
        <f>SUBSTITUTE(SUBSTITUTE(SUBSTITUTE(SUBSTITUTE(SUBSTITUTE(SUBSTITUTE(SUBSTITUTE(SUBSTITUTE(TRIM(D735&amp;""),CHAR(160),"")," ",""),"초등학교","초"),"중학교","중"),"고등학교","고"),"~","~~"),"*","~*"),"?","~?")</f>
      </c>
      <c r="Q735" t="str">
        <f>SUBSTITUTE(SUBSTITUTE(SUBSTITUTE(SUBSTITUTE(SUBSTITUTE(SUBSTITUTE(SUBSTITUTE(SUBSTITUTE(TRIM(E735&amp;""),CHAR(160),"")," ",""),"초등학교","초"),"중학교","중"),"고등학교","고"),"~","~~"),"*","~*"),"?","~?")</f>
      </c>
      <c r="R735" t="str">
        <f>IF(COUNTA(B735:J735)=0,"",IF(AND(O735&lt;&gt;"",P735&lt;&gt;"",Q735&lt;&gt;""),"","입력누락"))</f>
      </c>
    </row>
    <row r="736" customFormat="false" ht="15" hidden="false" customHeight="false" outlineLevel="0" collapsed="false">
      <c r="A736" t="n" s="19">
        <f aca="0">IF(COUNTA(B736:J736)=0,"",ROW()-1)</f>
      </c>
      <c r="B736" s="24"/>
      <c r="C736" s="25"/>
      <c r="D736" s="8"/>
      <c r="E736" s="8"/>
      <c r="F736" s="26"/>
      <c r="G736" s="24"/>
      <c r="H736" s="25"/>
      <c r="I736" s="25"/>
      <c r="J736" s="26"/>
      <c r="K736" t="str" s="15">
        <f aca="0">IF(COUNTA(B736:J736)=0,"",IF(R736&lt;&gt;"","확인필요(입력누락)",IF(COUNTIFS(보유목록!$I$2:$I$3001,"*"&amp;P736&amp;"*",보유목록!$I$2:$I$3001,"*"&amp;Q736&amp;"*",보유목록!$H$2:$H$3001,O736)&gt;0,"있음",IF(COUNTIFS(보유목록!$I$2:$I$3001,"*"&amp;P736&amp;"*",보유목록!$I$2:$I$3001,"*"&amp;Q736&amp;"*")&gt;0,"확인필요(연도다름)",IF(COUNTIFS(보유목록!$I$2:$I$3001,"*"&amp;P736&amp;"*",보유목록!$H$2:$H$3001,O736)&gt;0,"확인필요(같은학교·같은연도)","없음")))))</f>
      </c>
      <c r="L736" t="str" s="16">
        <f aca="0">IF(OR(COUNTA(B736:J736)=0,R736&lt;&gt;""),"",COUNTIFS(보유목록!$I$2:$I$3001,"*"&amp;P736&amp;"*",보유목록!$I$2:$I$3001,"*"&amp;Q736&amp;"*"))</f>
      </c>
      <c r="M736" t="str" s="23">
        <f aca="0">IF(OR(COUNTA(B736:J736)=0,R736&lt;&gt;""),"",IFERROR(LOOKUP(2,1/(ISNUMBER(SEARCH(P736,보유목록!$I$2:$I$3001))*ISNUMBER(SEARCH(Q736,보유목록!$I$2:$I$3001))*(보유목록!$H$2:$H$3001=O736)),보유목록!$B$2:$B$3001),IFERROR(LOOKUP(2,1/(ISNUMBER(SEARCH(P736,보유목록!$I$2:$I$3001))*ISNUMBER(SEARCH(Q736,보유목록!$I$2:$I$3001))),보유목록!$B$2:$B$3001),"")))</f>
      </c>
      <c r="N736" s="25"/>
      <c r="O736" t="str">
        <f>IFERROR(IF(AND(LEN(SUBSTITUTE(SUBSTITUTE(SUBSTITUTE(TRIM(C736&amp;""),CHAR(160),"")," ",""),"년",""))=4,VALUE(SUBSTITUTE(SUBSTITUTE(SUBSTITUTE(TRIM(C736&amp;""),CHAR(160),"")," ",""),"년",""))&gt;=1900,VALUE(SUBSTITUTE(SUBSTITUTE(SUBSTITUTE(TRIM(C736&amp;""),CHAR(160),"")," ",""),"년",""))&lt;=2099,TEXT(VALUE(SUBSTITUTE(SUBSTITUTE(SUBSTITUTE(TRIM(C736&amp;""),CHAR(160),"")," ",""),"년","")),"0000")=SUBSTITUTE(SUBSTITUTE(SUBSTITUTE(TRIM(C736&amp;""),CHAR(160),"")," ",""),"년","")),SUBSTITUTE(SUBSTITUTE(SUBSTITUTE(TRIM(C736&amp;""),CHAR(160),"")," ",""),"년",""),""),"")</f>
      </c>
      <c r="P736" t="str">
        <f>SUBSTITUTE(SUBSTITUTE(SUBSTITUTE(SUBSTITUTE(SUBSTITUTE(SUBSTITUTE(SUBSTITUTE(SUBSTITUTE(TRIM(D736&amp;""),CHAR(160),"")," ",""),"초등학교","초"),"중학교","중"),"고등학교","고"),"~","~~"),"*","~*"),"?","~?")</f>
      </c>
      <c r="Q736" t="str">
        <f>SUBSTITUTE(SUBSTITUTE(SUBSTITUTE(SUBSTITUTE(SUBSTITUTE(SUBSTITUTE(SUBSTITUTE(SUBSTITUTE(TRIM(E736&amp;""),CHAR(160),"")," ",""),"초등학교","초"),"중학교","중"),"고등학교","고"),"~","~~"),"*","~*"),"?","~?")</f>
      </c>
      <c r="R736" t="str">
        <f>IF(COUNTA(B736:J736)=0,"",IF(AND(O736&lt;&gt;"",P736&lt;&gt;"",Q736&lt;&gt;""),"","입력누락"))</f>
      </c>
    </row>
    <row r="737" customFormat="false" ht="15" hidden="false" customHeight="false" outlineLevel="0" collapsed="false">
      <c r="A737" t="n" s="19">
        <f aca="0">IF(COUNTA(B737:J737)=0,"",ROW()-1)</f>
      </c>
      <c r="B737" s="24"/>
      <c r="C737" s="25"/>
      <c r="D737" s="8"/>
      <c r="E737" s="8"/>
      <c r="F737" s="26"/>
      <c r="G737" s="24"/>
      <c r="H737" s="25"/>
      <c r="I737" s="25"/>
      <c r="J737" s="26"/>
      <c r="K737" t="str" s="15">
        <f aca="0">IF(COUNTA(B737:J737)=0,"",IF(R737&lt;&gt;"","확인필요(입력누락)",IF(COUNTIFS(보유목록!$I$2:$I$3001,"*"&amp;P737&amp;"*",보유목록!$I$2:$I$3001,"*"&amp;Q737&amp;"*",보유목록!$H$2:$H$3001,O737)&gt;0,"있음",IF(COUNTIFS(보유목록!$I$2:$I$3001,"*"&amp;P737&amp;"*",보유목록!$I$2:$I$3001,"*"&amp;Q737&amp;"*")&gt;0,"확인필요(연도다름)",IF(COUNTIFS(보유목록!$I$2:$I$3001,"*"&amp;P737&amp;"*",보유목록!$H$2:$H$3001,O737)&gt;0,"확인필요(같은학교·같은연도)","없음")))))</f>
      </c>
      <c r="L737" t="str" s="16">
        <f aca="0">IF(OR(COUNTA(B737:J737)=0,R737&lt;&gt;""),"",COUNTIFS(보유목록!$I$2:$I$3001,"*"&amp;P737&amp;"*",보유목록!$I$2:$I$3001,"*"&amp;Q737&amp;"*"))</f>
      </c>
      <c r="M737" t="str" s="23">
        <f aca="0">IF(OR(COUNTA(B737:J737)=0,R737&lt;&gt;""),"",IFERROR(LOOKUP(2,1/(ISNUMBER(SEARCH(P737,보유목록!$I$2:$I$3001))*ISNUMBER(SEARCH(Q737,보유목록!$I$2:$I$3001))*(보유목록!$H$2:$H$3001=O737)),보유목록!$B$2:$B$3001),IFERROR(LOOKUP(2,1/(ISNUMBER(SEARCH(P737,보유목록!$I$2:$I$3001))*ISNUMBER(SEARCH(Q737,보유목록!$I$2:$I$3001))),보유목록!$B$2:$B$3001),"")))</f>
      </c>
      <c r="N737" s="25"/>
      <c r="O737" t="str">
        <f>IFERROR(IF(AND(LEN(SUBSTITUTE(SUBSTITUTE(SUBSTITUTE(TRIM(C737&amp;""),CHAR(160),"")," ",""),"년",""))=4,VALUE(SUBSTITUTE(SUBSTITUTE(SUBSTITUTE(TRIM(C737&amp;""),CHAR(160),"")," ",""),"년",""))&gt;=1900,VALUE(SUBSTITUTE(SUBSTITUTE(SUBSTITUTE(TRIM(C737&amp;""),CHAR(160),"")," ",""),"년",""))&lt;=2099,TEXT(VALUE(SUBSTITUTE(SUBSTITUTE(SUBSTITUTE(TRIM(C737&amp;""),CHAR(160),"")," ",""),"년","")),"0000")=SUBSTITUTE(SUBSTITUTE(SUBSTITUTE(TRIM(C737&amp;""),CHAR(160),"")," ",""),"년","")),SUBSTITUTE(SUBSTITUTE(SUBSTITUTE(TRIM(C737&amp;""),CHAR(160),"")," ",""),"년",""),""),"")</f>
      </c>
      <c r="P737" t="str">
        <f>SUBSTITUTE(SUBSTITUTE(SUBSTITUTE(SUBSTITUTE(SUBSTITUTE(SUBSTITUTE(SUBSTITUTE(SUBSTITUTE(TRIM(D737&amp;""),CHAR(160),"")," ",""),"초등학교","초"),"중학교","중"),"고등학교","고"),"~","~~"),"*","~*"),"?","~?")</f>
      </c>
      <c r="Q737" t="str">
        <f>SUBSTITUTE(SUBSTITUTE(SUBSTITUTE(SUBSTITUTE(SUBSTITUTE(SUBSTITUTE(SUBSTITUTE(SUBSTITUTE(TRIM(E737&amp;""),CHAR(160),"")," ",""),"초등학교","초"),"중학교","중"),"고등학교","고"),"~","~~"),"*","~*"),"?","~?")</f>
      </c>
      <c r="R737" t="str">
        <f>IF(COUNTA(B737:J737)=0,"",IF(AND(O737&lt;&gt;"",P737&lt;&gt;"",Q737&lt;&gt;""),"","입력누락"))</f>
      </c>
    </row>
    <row r="738" customFormat="false" ht="15" hidden="false" customHeight="false" outlineLevel="0" collapsed="false">
      <c r="A738" t="n" s="19">
        <f aca="0">IF(COUNTA(B738:J738)=0,"",ROW()-1)</f>
      </c>
      <c r="B738" s="24"/>
      <c r="C738" s="25"/>
      <c r="D738" s="8"/>
      <c r="E738" s="8"/>
      <c r="F738" s="26"/>
      <c r="G738" s="24"/>
      <c r="H738" s="25"/>
      <c r="I738" s="25"/>
      <c r="J738" s="26"/>
      <c r="K738" t="str" s="15">
        <f aca="0">IF(COUNTA(B738:J738)=0,"",IF(R738&lt;&gt;"","확인필요(입력누락)",IF(COUNTIFS(보유목록!$I$2:$I$3001,"*"&amp;P738&amp;"*",보유목록!$I$2:$I$3001,"*"&amp;Q738&amp;"*",보유목록!$H$2:$H$3001,O738)&gt;0,"있음",IF(COUNTIFS(보유목록!$I$2:$I$3001,"*"&amp;P738&amp;"*",보유목록!$I$2:$I$3001,"*"&amp;Q738&amp;"*")&gt;0,"확인필요(연도다름)",IF(COUNTIFS(보유목록!$I$2:$I$3001,"*"&amp;P738&amp;"*",보유목록!$H$2:$H$3001,O738)&gt;0,"확인필요(같은학교·같은연도)","없음")))))</f>
      </c>
      <c r="L738" t="str" s="16">
        <f aca="0">IF(OR(COUNTA(B738:J738)=0,R738&lt;&gt;""),"",COUNTIFS(보유목록!$I$2:$I$3001,"*"&amp;P738&amp;"*",보유목록!$I$2:$I$3001,"*"&amp;Q738&amp;"*"))</f>
      </c>
      <c r="M738" t="str" s="23">
        <f aca="0">IF(OR(COUNTA(B738:J738)=0,R738&lt;&gt;""),"",IFERROR(LOOKUP(2,1/(ISNUMBER(SEARCH(P738,보유목록!$I$2:$I$3001))*ISNUMBER(SEARCH(Q738,보유목록!$I$2:$I$3001))*(보유목록!$H$2:$H$3001=O738)),보유목록!$B$2:$B$3001),IFERROR(LOOKUP(2,1/(ISNUMBER(SEARCH(P738,보유목록!$I$2:$I$3001))*ISNUMBER(SEARCH(Q738,보유목록!$I$2:$I$3001))),보유목록!$B$2:$B$3001),"")))</f>
      </c>
      <c r="N738" s="25"/>
      <c r="O738" t="str">
        <f>IFERROR(IF(AND(LEN(SUBSTITUTE(SUBSTITUTE(SUBSTITUTE(TRIM(C738&amp;""),CHAR(160),"")," ",""),"년",""))=4,VALUE(SUBSTITUTE(SUBSTITUTE(SUBSTITUTE(TRIM(C738&amp;""),CHAR(160),"")," ",""),"년",""))&gt;=1900,VALUE(SUBSTITUTE(SUBSTITUTE(SUBSTITUTE(TRIM(C738&amp;""),CHAR(160),"")," ",""),"년",""))&lt;=2099,TEXT(VALUE(SUBSTITUTE(SUBSTITUTE(SUBSTITUTE(TRIM(C738&amp;""),CHAR(160),"")," ",""),"년","")),"0000")=SUBSTITUTE(SUBSTITUTE(SUBSTITUTE(TRIM(C738&amp;""),CHAR(160),"")," ",""),"년","")),SUBSTITUTE(SUBSTITUTE(SUBSTITUTE(TRIM(C738&amp;""),CHAR(160),"")," ",""),"년",""),""),"")</f>
      </c>
      <c r="P738" t="str">
        <f>SUBSTITUTE(SUBSTITUTE(SUBSTITUTE(SUBSTITUTE(SUBSTITUTE(SUBSTITUTE(SUBSTITUTE(SUBSTITUTE(TRIM(D738&amp;""),CHAR(160),"")," ",""),"초등학교","초"),"중학교","중"),"고등학교","고"),"~","~~"),"*","~*"),"?","~?")</f>
      </c>
      <c r="Q738" t="str">
        <f>SUBSTITUTE(SUBSTITUTE(SUBSTITUTE(SUBSTITUTE(SUBSTITUTE(SUBSTITUTE(SUBSTITUTE(SUBSTITUTE(TRIM(E738&amp;""),CHAR(160),"")," ",""),"초등학교","초"),"중학교","중"),"고등학교","고"),"~","~~"),"*","~*"),"?","~?")</f>
      </c>
      <c r="R738" t="str">
        <f>IF(COUNTA(B738:J738)=0,"",IF(AND(O738&lt;&gt;"",P738&lt;&gt;"",Q738&lt;&gt;""),"","입력누락"))</f>
      </c>
    </row>
    <row r="739" customFormat="false" ht="15" hidden="false" customHeight="false" outlineLevel="0" collapsed="false">
      <c r="A739" t="n" s="19">
        <f aca="0">IF(COUNTA(B739:J739)=0,"",ROW()-1)</f>
      </c>
      <c r="B739" s="24"/>
      <c r="C739" s="25"/>
      <c r="D739" s="8"/>
      <c r="E739" s="8"/>
      <c r="F739" s="26"/>
      <c r="G739" s="24"/>
      <c r="H739" s="25"/>
      <c r="I739" s="25"/>
      <c r="J739" s="26"/>
      <c r="K739" t="str" s="15">
        <f aca="0">IF(COUNTA(B739:J739)=0,"",IF(R739&lt;&gt;"","확인필요(입력누락)",IF(COUNTIFS(보유목록!$I$2:$I$3001,"*"&amp;P739&amp;"*",보유목록!$I$2:$I$3001,"*"&amp;Q739&amp;"*",보유목록!$H$2:$H$3001,O739)&gt;0,"있음",IF(COUNTIFS(보유목록!$I$2:$I$3001,"*"&amp;P739&amp;"*",보유목록!$I$2:$I$3001,"*"&amp;Q739&amp;"*")&gt;0,"확인필요(연도다름)",IF(COUNTIFS(보유목록!$I$2:$I$3001,"*"&amp;P739&amp;"*",보유목록!$H$2:$H$3001,O739)&gt;0,"확인필요(같은학교·같은연도)","없음")))))</f>
      </c>
      <c r="L739" t="str" s="16">
        <f aca="0">IF(OR(COUNTA(B739:J739)=0,R739&lt;&gt;""),"",COUNTIFS(보유목록!$I$2:$I$3001,"*"&amp;P739&amp;"*",보유목록!$I$2:$I$3001,"*"&amp;Q739&amp;"*"))</f>
      </c>
      <c r="M739" t="str" s="23">
        <f aca="0">IF(OR(COUNTA(B739:J739)=0,R739&lt;&gt;""),"",IFERROR(LOOKUP(2,1/(ISNUMBER(SEARCH(P739,보유목록!$I$2:$I$3001))*ISNUMBER(SEARCH(Q739,보유목록!$I$2:$I$3001))*(보유목록!$H$2:$H$3001=O739)),보유목록!$B$2:$B$3001),IFERROR(LOOKUP(2,1/(ISNUMBER(SEARCH(P739,보유목록!$I$2:$I$3001))*ISNUMBER(SEARCH(Q739,보유목록!$I$2:$I$3001))),보유목록!$B$2:$B$3001),"")))</f>
      </c>
      <c r="N739" s="25"/>
      <c r="O739" t="str">
        <f>IFERROR(IF(AND(LEN(SUBSTITUTE(SUBSTITUTE(SUBSTITUTE(TRIM(C739&amp;""),CHAR(160),"")," ",""),"년",""))=4,VALUE(SUBSTITUTE(SUBSTITUTE(SUBSTITUTE(TRIM(C739&amp;""),CHAR(160),"")," ",""),"년",""))&gt;=1900,VALUE(SUBSTITUTE(SUBSTITUTE(SUBSTITUTE(TRIM(C739&amp;""),CHAR(160),"")," ",""),"년",""))&lt;=2099,TEXT(VALUE(SUBSTITUTE(SUBSTITUTE(SUBSTITUTE(TRIM(C739&amp;""),CHAR(160),"")," ",""),"년","")),"0000")=SUBSTITUTE(SUBSTITUTE(SUBSTITUTE(TRIM(C739&amp;""),CHAR(160),"")," ",""),"년","")),SUBSTITUTE(SUBSTITUTE(SUBSTITUTE(TRIM(C739&amp;""),CHAR(160),"")," ",""),"년",""),""),"")</f>
      </c>
      <c r="P739" t="str">
        <f>SUBSTITUTE(SUBSTITUTE(SUBSTITUTE(SUBSTITUTE(SUBSTITUTE(SUBSTITUTE(SUBSTITUTE(SUBSTITUTE(TRIM(D739&amp;""),CHAR(160),"")," ",""),"초등학교","초"),"중학교","중"),"고등학교","고"),"~","~~"),"*","~*"),"?","~?")</f>
      </c>
      <c r="Q739" t="str">
        <f>SUBSTITUTE(SUBSTITUTE(SUBSTITUTE(SUBSTITUTE(SUBSTITUTE(SUBSTITUTE(SUBSTITUTE(SUBSTITUTE(TRIM(E739&amp;""),CHAR(160),"")," ",""),"초등학교","초"),"중학교","중"),"고등학교","고"),"~","~~"),"*","~*"),"?","~?")</f>
      </c>
      <c r="R739" t="str">
        <f>IF(COUNTA(B739:J739)=0,"",IF(AND(O739&lt;&gt;"",P739&lt;&gt;"",Q739&lt;&gt;""),"","입력누락"))</f>
      </c>
    </row>
    <row r="740" customFormat="false" ht="15" hidden="false" customHeight="false" outlineLevel="0" collapsed="false">
      <c r="A740" t="n" s="19">
        <f aca="0">IF(COUNTA(B740:J740)=0,"",ROW()-1)</f>
      </c>
      <c r="B740" s="24"/>
      <c r="C740" s="25"/>
      <c r="D740" s="8"/>
      <c r="E740" s="8"/>
      <c r="F740" s="26"/>
      <c r="G740" s="24"/>
      <c r="H740" s="25"/>
      <c r="I740" s="25"/>
      <c r="J740" s="26"/>
      <c r="K740" t="str" s="15">
        <f aca="0">IF(COUNTA(B740:J740)=0,"",IF(R740&lt;&gt;"","확인필요(입력누락)",IF(COUNTIFS(보유목록!$I$2:$I$3001,"*"&amp;P740&amp;"*",보유목록!$I$2:$I$3001,"*"&amp;Q740&amp;"*",보유목록!$H$2:$H$3001,O740)&gt;0,"있음",IF(COUNTIFS(보유목록!$I$2:$I$3001,"*"&amp;P740&amp;"*",보유목록!$I$2:$I$3001,"*"&amp;Q740&amp;"*")&gt;0,"확인필요(연도다름)",IF(COUNTIFS(보유목록!$I$2:$I$3001,"*"&amp;P740&amp;"*",보유목록!$H$2:$H$3001,O740)&gt;0,"확인필요(같은학교·같은연도)","없음")))))</f>
      </c>
      <c r="L740" t="str" s="16">
        <f aca="0">IF(OR(COUNTA(B740:J740)=0,R740&lt;&gt;""),"",COUNTIFS(보유목록!$I$2:$I$3001,"*"&amp;P740&amp;"*",보유목록!$I$2:$I$3001,"*"&amp;Q740&amp;"*"))</f>
      </c>
      <c r="M740" t="str" s="23">
        <f aca="0">IF(OR(COUNTA(B740:J740)=0,R740&lt;&gt;""),"",IFERROR(LOOKUP(2,1/(ISNUMBER(SEARCH(P740,보유목록!$I$2:$I$3001))*ISNUMBER(SEARCH(Q740,보유목록!$I$2:$I$3001))*(보유목록!$H$2:$H$3001=O740)),보유목록!$B$2:$B$3001),IFERROR(LOOKUP(2,1/(ISNUMBER(SEARCH(P740,보유목록!$I$2:$I$3001))*ISNUMBER(SEARCH(Q740,보유목록!$I$2:$I$3001))),보유목록!$B$2:$B$3001),"")))</f>
      </c>
      <c r="N740" s="25"/>
      <c r="O740" t="str">
        <f>IFERROR(IF(AND(LEN(SUBSTITUTE(SUBSTITUTE(SUBSTITUTE(TRIM(C740&amp;""),CHAR(160),"")," ",""),"년",""))=4,VALUE(SUBSTITUTE(SUBSTITUTE(SUBSTITUTE(TRIM(C740&amp;""),CHAR(160),"")," ",""),"년",""))&gt;=1900,VALUE(SUBSTITUTE(SUBSTITUTE(SUBSTITUTE(TRIM(C740&amp;""),CHAR(160),"")," ",""),"년",""))&lt;=2099,TEXT(VALUE(SUBSTITUTE(SUBSTITUTE(SUBSTITUTE(TRIM(C740&amp;""),CHAR(160),"")," ",""),"년","")),"0000")=SUBSTITUTE(SUBSTITUTE(SUBSTITUTE(TRIM(C740&amp;""),CHAR(160),"")," ",""),"년","")),SUBSTITUTE(SUBSTITUTE(SUBSTITUTE(TRIM(C740&amp;""),CHAR(160),"")," ",""),"년",""),""),"")</f>
      </c>
      <c r="P740" t="str">
        <f>SUBSTITUTE(SUBSTITUTE(SUBSTITUTE(SUBSTITUTE(SUBSTITUTE(SUBSTITUTE(SUBSTITUTE(SUBSTITUTE(TRIM(D740&amp;""),CHAR(160),"")," ",""),"초등학교","초"),"중학교","중"),"고등학교","고"),"~","~~"),"*","~*"),"?","~?")</f>
      </c>
      <c r="Q740" t="str">
        <f>SUBSTITUTE(SUBSTITUTE(SUBSTITUTE(SUBSTITUTE(SUBSTITUTE(SUBSTITUTE(SUBSTITUTE(SUBSTITUTE(TRIM(E740&amp;""),CHAR(160),"")," ",""),"초등학교","초"),"중학교","중"),"고등학교","고"),"~","~~"),"*","~*"),"?","~?")</f>
      </c>
      <c r="R740" t="str">
        <f>IF(COUNTA(B740:J740)=0,"",IF(AND(O740&lt;&gt;"",P740&lt;&gt;"",Q740&lt;&gt;""),"","입력누락"))</f>
      </c>
    </row>
    <row r="741" customFormat="false" ht="15" hidden="false" customHeight="false" outlineLevel="0" collapsed="false">
      <c r="A741" t="n" s="19">
        <f aca="0">IF(COUNTA(B741:J741)=0,"",ROW()-1)</f>
      </c>
      <c r="B741" s="24"/>
      <c r="C741" s="25"/>
      <c r="D741" s="8"/>
      <c r="E741" s="8"/>
      <c r="F741" s="26"/>
      <c r="G741" s="24"/>
      <c r="H741" s="25"/>
      <c r="I741" s="25"/>
      <c r="J741" s="26"/>
      <c r="K741" t="str" s="15">
        <f aca="0">IF(COUNTA(B741:J741)=0,"",IF(R741&lt;&gt;"","확인필요(입력누락)",IF(COUNTIFS(보유목록!$I$2:$I$3001,"*"&amp;P741&amp;"*",보유목록!$I$2:$I$3001,"*"&amp;Q741&amp;"*",보유목록!$H$2:$H$3001,O741)&gt;0,"있음",IF(COUNTIFS(보유목록!$I$2:$I$3001,"*"&amp;P741&amp;"*",보유목록!$I$2:$I$3001,"*"&amp;Q741&amp;"*")&gt;0,"확인필요(연도다름)",IF(COUNTIFS(보유목록!$I$2:$I$3001,"*"&amp;P741&amp;"*",보유목록!$H$2:$H$3001,O741)&gt;0,"확인필요(같은학교·같은연도)","없음")))))</f>
      </c>
      <c r="L741" t="str" s="16">
        <f aca="0">IF(OR(COUNTA(B741:J741)=0,R741&lt;&gt;""),"",COUNTIFS(보유목록!$I$2:$I$3001,"*"&amp;P741&amp;"*",보유목록!$I$2:$I$3001,"*"&amp;Q741&amp;"*"))</f>
      </c>
      <c r="M741" t="str" s="23">
        <f aca="0">IF(OR(COUNTA(B741:J741)=0,R741&lt;&gt;""),"",IFERROR(LOOKUP(2,1/(ISNUMBER(SEARCH(P741,보유목록!$I$2:$I$3001))*ISNUMBER(SEARCH(Q741,보유목록!$I$2:$I$3001))*(보유목록!$H$2:$H$3001=O741)),보유목록!$B$2:$B$3001),IFERROR(LOOKUP(2,1/(ISNUMBER(SEARCH(P741,보유목록!$I$2:$I$3001))*ISNUMBER(SEARCH(Q741,보유목록!$I$2:$I$3001))),보유목록!$B$2:$B$3001),"")))</f>
      </c>
      <c r="N741" s="25"/>
      <c r="O741" t="str">
        <f>IFERROR(IF(AND(LEN(SUBSTITUTE(SUBSTITUTE(SUBSTITUTE(TRIM(C741&amp;""),CHAR(160),"")," ",""),"년",""))=4,VALUE(SUBSTITUTE(SUBSTITUTE(SUBSTITUTE(TRIM(C741&amp;""),CHAR(160),"")," ",""),"년",""))&gt;=1900,VALUE(SUBSTITUTE(SUBSTITUTE(SUBSTITUTE(TRIM(C741&amp;""),CHAR(160),"")," ",""),"년",""))&lt;=2099,TEXT(VALUE(SUBSTITUTE(SUBSTITUTE(SUBSTITUTE(TRIM(C741&amp;""),CHAR(160),"")," ",""),"년","")),"0000")=SUBSTITUTE(SUBSTITUTE(SUBSTITUTE(TRIM(C741&amp;""),CHAR(160),"")," ",""),"년","")),SUBSTITUTE(SUBSTITUTE(SUBSTITUTE(TRIM(C741&amp;""),CHAR(160),"")," ",""),"년",""),""),"")</f>
      </c>
      <c r="P741" t="str">
        <f>SUBSTITUTE(SUBSTITUTE(SUBSTITUTE(SUBSTITUTE(SUBSTITUTE(SUBSTITUTE(SUBSTITUTE(SUBSTITUTE(TRIM(D741&amp;""),CHAR(160),"")," ",""),"초등학교","초"),"중학교","중"),"고등학교","고"),"~","~~"),"*","~*"),"?","~?")</f>
      </c>
      <c r="Q741" t="str">
        <f>SUBSTITUTE(SUBSTITUTE(SUBSTITUTE(SUBSTITUTE(SUBSTITUTE(SUBSTITUTE(SUBSTITUTE(SUBSTITUTE(TRIM(E741&amp;""),CHAR(160),"")," ",""),"초등학교","초"),"중학교","중"),"고등학교","고"),"~","~~"),"*","~*"),"?","~?")</f>
      </c>
      <c r="R741" t="str">
        <f>IF(COUNTA(B741:J741)=0,"",IF(AND(O741&lt;&gt;"",P741&lt;&gt;"",Q741&lt;&gt;""),"","입력누락"))</f>
      </c>
    </row>
    <row r="742" customFormat="false" ht="15" hidden="false" customHeight="false" outlineLevel="0" collapsed="false">
      <c r="A742" t="n" s="19">
        <f aca="0">IF(COUNTA(B742:J742)=0,"",ROW()-1)</f>
      </c>
      <c r="B742" s="24"/>
      <c r="C742" s="25"/>
      <c r="D742" s="8"/>
      <c r="E742" s="8"/>
      <c r="F742" s="26"/>
      <c r="G742" s="24"/>
      <c r="H742" s="25"/>
      <c r="I742" s="25"/>
      <c r="J742" s="26"/>
      <c r="K742" t="str" s="15">
        <f aca="0">IF(COUNTA(B742:J742)=0,"",IF(R742&lt;&gt;"","확인필요(입력누락)",IF(COUNTIFS(보유목록!$I$2:$I$3001,"*"&amp;P742&amp;"*",보유목록!$I$2:$I$3001,"*"&amp;Q742&amp;"*",보유목록!$H$2:$H$3001,O742)&gt;0,"있음",IF(COUNTIFS(보유목록!$I$2:$I$3001,"*"&amp;P742&amp;"*",보유목록!$I$2:$I$3001,"*"&amp;Q742&amp;"*")&gt;0,"확인필요(연도다름)",IF(COUNTIFS(보유목록!$I$2:$I$3001,"*"&amp;P742&amp;"*",보유목록!$H$2:$H$3001,O742)&gt;0,"확인필요(같은학교·같은연도)","없음")))))</f>
      </c>
      <c r="L742" t="str" s="16">
        <f aca="0">IF(OR(COUNTA(B742:J742)=0,R742&lt;&gt;""),"",COUNTIFS(보유목록!$I$2:$I$3001,"*"&amp;P742&amp;"*",보유목록!$I$2:$I$3001,"*"&amp;Q742&amp;"*"))</f>
      </c>
      <c r="M742" t="str" s="23">
        <f aca="0">IF(OR(COUNTA(B742:J742)=0,R742&lt;&gt;""),"",IFERROR(LOOKUP(2,1/(ISNUMBER(SEARCH(P742,보유목록!$I$2:$I$3001))*ISNUMBER(SEARCH(Q742,보유목록!$I$2:$I$3001))*(보유목록!$H$2:$H$3001=O742)),보유목록!$B$2:$B$3001),IFERROR(LOOKUP(2,1/(ISNUMBER(SEARCH(P742,보유목록!$I$2:$I$3001))*ISNUMBER(SEARCH(Q742,보유목록!$I$2:$I$3001))),보유목록!$B$2:$B$3001),"")))</f>
      </c>
      <c r="N742" s="25"/>
      <c r="O742" t="str">
        <f>IFERROR(IF(AND(LEN(SUBSTITUTE(SUBSTITUTE(SUBSTITUTE(TRIM(C742&amp;""),CHAR(160),"")," ",""),"년",""))=4,VALUE(SUBSTITUTE(SUBSTITUTE(SUBSTITUTE(TRIM(C742&amp;""),CHAR(160),"")," ",""),"년",""))&gt;=1900,VALUE(SUBSTITUTE(SUBSTITUTE(SUBSTITUTE(TRIM(C742&amp;""),CHAR(160),"")," ",""),"년",""))&lt;=2099,TEXT(VALUE(SUBSTITUTE(SUBSTITUTE(SUBSTITUTE(TRIM(C742&amp;""),CHAR(160),"")," ",""),"년","")),"0000")=SUBSTITUTE(SUBSTITUTE(SUBSTITUTE(TRIM(C742&amp;""),CHAR(160),"")," ",""),"년","")),SUBSTITUTE(SUBSTITUTE(SUBSTITUTE(TRIM(C742&amp;""),CHAR(160),"")," ",""),"년",""),""),"")</f>
      </c>
      <c r="P742" t="str">
        <f>SUBSTITUTE(SUBSTITUTE(SUBSTITUTE(SUBSTITUTE(SUBSTITUTE(SUBSTITUTE(SUBSTITUTE(SUBSTITUTE(TRIM(D742&amp;""),CHAR(160),"")," ",""),"초등학교","초"),"중학교","중"),"고등학교","고"),"~","~~"),"*","~*"),"?","~?")</f>
      </c>
      <c r="Q742" t="str">
        <f>SUBSTITUTE(SUBSTITUTE(SUBSTITUTE(SUBSTITUTE(SUBSTITUTE(SUBSTITUTE(SUBSTITUTE(SUBSTITUTE(TRIM(E742&amp;""),CHAR(160),"")," ",""),"초등학교","초"),"중학교","중"),"고등학교","고"),"~","~~"),"*","~*"),"?","~?")</f>
      </c>
      <c r="R742" t="str">
        <f>IF(COUNTA(B742:J742)=0,"",IF(AND(O742&lt;&gt;"",P742&lt;&gt;"",Q742&lt;&gt;""),"","입력누락"))</f>
      </c>
    </row>
    <row r="743" customFormat="false" ht="15" hidden="false" customHeight="false" outlineLevel="0" collapsed="false">
      <c r="A743" t="n" s="19">
        <f aca="0">IF(COUNTA(B743:J743)=0,"",ROW()-1)</f>
      </c>
      <c r="B743" s="24"/>
      <c r="C743" s="25"/>
      <c r="D743" s="8"/>
      <c r="E743" s="8"/>
      <c r="F743" s="26"/>
      <c r="G743" s="24"/>
      <c r="H743" s="25"/>
      <c r="I743" s="25"/>
      <c r="J743" s="26"/>
      <c r="K743" t="str" s="15">
        <f aca="0">IF(COUNTA(B743:J743)=0,"",IF(R743&lt;&gt;"","확인필요(입력누락)",IF(COUNTIFS(보유목록!$I$2:$I$3001,"*"&amp;P743&amp;"*",보유목록!$I$2:$I$3001,"*"&amp;Q743&amp;"*",보유목록!$H$2:$H$3001,O743)&gt;0,"있음",IF(COUNTIFS(보유목록!$I$2:$I$3001,"*"&amp;P743&amp;"*",보유목록!$I$2:$I$3001,"*"&amp;Q743&amp;"*")&gt;0,"확인필요(연도다름)",IF(COUNTIFS(보유목록!$I$2:$I$3001,"*"&amp;P743&amp;"*",보유목록!$H$2:$H$3001,O743)&gt;0,"확인필요(같은학교·같은연도)","없음")))))</f>
      </c>
      <c r="L743" t="str" s="16">
        <f aca="0">IF(OR(COUNTA(B743:J743)=0,R743&lt;&gt;""),"",COUNTIFS(보유목록!$I$2:$I$3001,"*"&amp;P743&amp;"*",보유목록!$I$2:$I$3001,"*"&amp;Q743&amp;"*"))</f>
      </c>
      <c r="M743" t="str" s="23">
        <f aca="0">IF(OR(COUNTA(B743:J743)=0,R743&lt;&gt;""),"",IFERROR(LOOKUP(2,1/(ISNUMBER(SEARCH(P743,보유목록!$I$2:$I$3001))*ISNUMBER(SEARCH(Q743,보유목록!$I$2:$I$3001))*(보유목록!$H$2:$H$3001=O743)),보유목록!$B$2:$B$3001),IFERROR(LOOKUP(2,1/(ISNUMBER(SEARCH(P743,보유목록!$I$2:$I$3001))*ISNUMBER(SEARCH(Q743,보유목록!$I$2:$I$3001))),보유목록!$B$2:$B$3001),"")))</f>
      </c>
      <c r="N743" s="25"/>
      <c r="O743" t="str">
        <f>IFERROR(IF(AND(LEN(SUBSTITUTE(SUBSTITUTE(SUBSTITUTE(TRIM(C743&amp;""),CHAR(160),"")," ",""),"년",""))=4,VALUE(SUBSTITUTE(SUBSTITUTE(SUBSTITUTE(TRIM(C743&amp;""),CHAR(160),"")," ",""),"년",""))&gt;=1900,VALUE(SUBSTITUTE(SUBSTITUTE(SUBSTITUTE(TRIM(C743&amp;""),CHAR(160),"")," ",""),"년",""))&lt;=2099,TEXT(VALUE(SUBSTITUTE(SUBSTITUTE(SUBSTITUTE(TRIM(C743&amp;""),CHAR(160),"")," ",""),"년","")),"0000")=SUBSTITUTE(SUBSTITUTE(SUBSTITUTE(TRIM(C743&amp;""),CHAR(160),"")," ",""),"년","")),SUBSTITUTE(SUBSTITUTE(SUBSTITUTE(TRIM(C743&amp;""),CHAR(160),"")," ",""),"년",""),""),"")</f>
      </c>
      <c r="P743" t="str">
        <f>SUBSTITUTE(SUBSTITUTE(SUBSTITUTE(SUBSTITUTE(SUBSTITUTE(SUBSTITUTE(SUBSTITUTE(SUBSTITUTE(TRIM(D743&amp;""),CHAR(160),"")," ",""),"초등학교","초"),"중학교","중"),"고등학교","고"),"~","~~"),"*","~*"),"?","~?")</f>
      </c>
      <c r="Q743" t="str">
        <f>SUBSTITUTE(SUBSTITUTE(SUBSTITUTE(SUBSTITUTE(SUBSTITUTE(SUBSTITUTE(SUBSTITUTE(SUBSTITUTE(TRIM(E743&amp;""),CHAR(160),"")," ",""),"초등학교","초"),"중학교","중"),"고등학교","고"),"~","~~"),"*","~*"),"?","~?")</f>
      </c>
      <c r="R743" t="str">
        <f>IF(COUNTA(B743:J743)=0,"",IF(AND(O743&lt;&gt;"",P743&lt;&gt;"",Q743&lt;&gt;""),"","입력누락"))</f>
      </c>
    </row>
    <row r="744" customFormat="false" ht="15" hidden="false" customHeight="false" outlineLevel="0" collapsed="false">
      <c r="A744" t="n" s="19">
        <f aca="0">IF(COUNTA(B744:J744)=0,"",ROW()-1)</f>
      </c>
      <c r="B744" s="24"/>
      <c r="C744" s="25"/>
      <c r="D744" s="8"/>
      <c r="E744" s="8"/>
      <c r="F744" s="26"/>
      <c r="G744" s="24"/>
      <c r="H744" s="25"/>
      <c r="I744" s="25"/>
      <c r="J744" s="26"/>
      <c r="K744" t="str" s="15">
        <f aca="0">IF(COUNTA(B744:J744)=0,"",IF(R744&lt;&gt;"","확인필요(입력누락)",IF(COUNTIFS(보유목록!$I$2:$I$3001,"*"&amp;P744&amp;"*",보유목록!$I$2:$I$3001,"*"&amp;Q744&amp;"*",보유목록!$H$2:$H$3001,O744)&gt;0,"있음",IF(COUNTIFS(보유목록!$I$2:$I$3001,"*"&amp;P744&amp;"*",보유목록!$I$2:$I$3001,"*"&amp;Q744&amp;"*")&gt;0,"확인필요(연도다름)",IF(COUNTIFS(보유목록!$I$2:$I$3001,"*"&amp;P744&amp;"*",보유목록!$H$2:$H$3001,O744)&gt;0,"확인필요(같은학교·같은연도)","없음")))))</f>
      </c>
      <c r="L744" t="str" s="16">
        <f aca="0">IF(OR(COUNTA(B744:J744)=0,R744&lt;&gt;""),"",COUNTIFS(보유목록!$I$2:$I$3001,"*"&amp;P744&amp;"*",보유목록!$I$2:$I$3001,"*"&amp;Q744&amp;"*"))</f>
      </c>
      <c r="M744" t="str" s="23">
        <f aca="0">IF(OR(COUNTA(B744:J744)=0,R744&lt;&gt;""),"",IFERROR(LOOKUP(2,1/(ISNUMBER(SEARCH(P744,보유목록!$I$2:$I$3001))*ISNUMBER(SEARCH(Q744,보유목록!$I$2:$I$3001))*(보유목록!$H$2:$H$3001=O744)),보유목록!$B$2:$B$3001),IFERROR(LOOKUP(2,1/(ISNUMBER(SEARCH(P744,보유목록!$I$2:$I$3001))*ISNUMBER(SEARCH(Q744,보유목록!$I$2:$I$3001))),보유목록!$B$2:$B$3001),"")))</f>
      </c>
      <c r="N744" s="25"/>
      <c r="O744" t="str">
        <f>IFERROR(IF(AND(LEN(SUBSTITUTE(SUBSTITUTE(SUBSTITUTE(TRIM(C744&amp;""),CHAR(160),"")," ",""),"년",""))=4,VALUE(SUBSTITUTE(SUBSTITUTE(SUBSTITUTE(TRIM(C744&amp;""),CHAR(160),"")," ",""),"년",""))&gt;=1900,VALUE(SUBSTITUTE(SUBSTITUTE(SUBSTITUTE(TRIM(C744&amp;""),CHAR(160),"")," ",""),"년",""))&lt;=2099,TEXT(VALUE(SUBSTITUTE(SUBSTITUTE(SUBSTITUTE(TRIM(C744&amp;""),CHAR(160),"")," ",""),"년","")),"0000")=SUBSTITUTE(SUBSTITUTE(SUBSTITUTE(TRIM(C744&amp;""),CHAR(160),"")," ",""),"년","")),SUBSTITUTE(SUBSTITUTE(SUBSTITUTE(TRIM(C744&amp;""),CHAR(160),"")," ",""),"년",""),""),"")</f>
      </c>
      <c r="P744" t="str">
        <f>SUBSTITUTE(SUBSTITUTE(SUBSTITUTE(SUBSTITUTE(SUBSTITUTE(SUBSTITUTE(SUBSTITUTE(SUBSTITUTE(TRIM(D744&amp;""),CHAR(160),"")," ",""),"초등학교","초"),"중학교","중"),"고등학교","고"),"~","~~"),"*","~*"),"?","~?")</f>
      </c>
      <c r="Q744" t="str">
        <f>SUBSTITUTE(SUBSTITUTE(SUBSTITUTE(SUBSTITUTE(SUBSTITUTE(SUBSTITUTE(SUBSTITUTE(SUBSTITUTE(TRIM(E744&amp;""),CHAR(160),"")," ",""),"초등학교","초"),"중학교","중"),"고등학교","고"),"~","~~"),"*","~*"),"?","~?")</f>
      </c>
      <c r="R744" t="str">
        <f>IF(COUNTA(B744:J744)=0,"",IF(AND(O744&lt;&gt;"",P744&lt;&gt;"",Q744&lt;&gt;""),"","입력누락"))</f>
      </c>
    </row>
    <row r="745" customFormat="false" ht="15" hidden="false" customHeight="false" outlineLevel="0" collapsed="false">
      <c r="A745" t="n" s="19">
        <f aca="0">IF(COUNTA(B745:J745)=0,"",ROW()-1)</f>
      </c>
      <c r="B745" s="24"/>
      <c r="C745" s="25"/>
      <c r="D745" s="8"/>
      <c r="E745" s="8"/>
      <c r="F745" s="26"/>
      <c r="G745" s="24"/>
      <c r="H745" s="25"/>
      <c r="I745" s="25"/>
      <c r="J745" s="26"/>
      <c r="K745" t="str" s="15">
        <f aca="0">IF(COUNTA(B745:J745)=0,"",IF(R745&lt;&gt;"","확인필요(입력누락)",IF(COUNTIFS(보유목록!$I$2:$I$3001,"*"&amp;P745&amp;"*",보유목록!$I$2:$I$3001,"*"&amp;Q745&amp;"*",보유목록!$H$2:$H$3001,O745)&gt;0,"있음",IF(COUNTIFS(보유목록!$I$2:$I$3001,"*"&amp;P745&amp;"*",보유목록!$I$2:$I$3001,"*"&amp;Q745&amp;"*")&gt;0,"확인필요(연도다름)",IF(COUNTIFS(보유목록!$I$2:$I$3001,"*"&amp;P745&amp;"*",보유목록!$H$2:$H$3001,O745)&gt;0,"확인필요(같은학교·같은연도)","없음")))))</f>
      </c>
      <c r="L745" t="str" s="16">
        <f aca="0">IF(OR(COUNTA(B745:J745)=0,R745&lt;&gt;""),"",COUNTIFS(보유목록!$I$2:$I$3001,"*"&amp;P745&amp;"*",보유목록!$I$2:$I$3001,"*"&amp;Q745&amp;"*"))</f>
      </c>
      <c r="M745" t="str" s="23">
        <f aca="0">IF(OR(COUNTA(B745:J745)=0,R745&lt;&gt;""),"",IFERROR(LOOKUP(2,1/(ISNUMBER(SEARCH(P745,보유목록!$I$2:$I$3001))*ISNUMBER(SEARCH(Q745,보유목록!$I$2:$I$3001))*(보유목록!$H$2:$H$3001=O745)),보유목록!$B$2:$B$3001),IFERROR(LOOKUP(2,1/(ISNUMBER(SEARCH(P745,보유목록!$I$2:$I$3001))*ISNUMBER(SEARCH(Q745,보유목록!$I$2:$I$3001))),보유목록!$B$2:$B$3001),"")))</f>
      </c>
      <c r="N745" s="25"/>
      <c r="O745" t="str">
        <f>IFERROR(IF(AND(LEN(SUBSTITUTE(SUBSTITUTE(SUBSTITUTE(TRIM(C745&amp;""),CHAR(160),"")," ",""),"년",""))=4,VALUE(SUBSTITUTE(SUBSTITUTE(SUBSTITUTE(TRIM(C745&amp;""),CHAR(160),"")," ",""),"년",""))&gt;=1900,VALUE(SUBSTITUTE(SUBSTITUTE(SUBSTITUTE(TRIM(C745&amp;""),CHAR(160),"")," ",""),"년",""))&lt;=2099,TEXT(VALUE(SUBSTITUTE(SUBSTITUTE(SUBSTITUTE(TRIM(C745&amp;""),CHAR(160),"")," ",""),"년","")),"0000")=SUBSTITUTE(SUBSTITUTE(SUBSTITUTE(TRIM(C745&amp;""),CHAR(160),"")," ",""),"년","")),SUBSTITUTE(SUBSTITUTE(SUBSTITUTE(TRIM(C745&amp;""),CHAR(160),"")," ",""),"년",""),""),"")</f>
      </c>
      <c r="P745" t="str">
        <f>SUBSTITUTE(SUBSTITUTE(SUBSTITUTE(SUBSTITUTE(SUBSTITUTE(SUBSTITUTE(SUBSTITUTE(SUBSTITUTE(TRIM(D745&amp;""),CHAR(160),"")," ",""),"초등학교","초"),"중학교","중"),"고등학교","고"),"~","~~"),"*","~*"),"?","~?")</f>
      </c>
      <c r="Q745" t="str">
        <f>SUBSTITUTE(SUBSTITUTE(SUBSTITUTE(SUBSTITUTE(SUBSTITUTE(SUBSTITUTE(SUBSTITUTE(SUBSTITUTE(TRIM(E745&amp;""),CHAR(160),"")," ",""),"초등학교","초"),"중학교","중"),"고등학교","고"),"~","~~"),"*","~*"),"?","~?")</f>
      </c>
      <c r="R745" t="str">
        <f>IF(COUNTA(B745:J745)=0,"",IF(AND(O745&lt;&gt;"",P745&lt;&gt;"",Q745&lt;&gt;""),"","입력누락"))</f>
      </c>
    </row>
    <row r="746" customFormat="false" ht="15" hidden="false" customHeight="false" outlineLevel="0" collapsed="false">
      <c r="A746" t="n" s="19">
        <f aca="0">IF(COUNTA(B746:J746)=0,"",ROW()-1)</f>
      </c>
      <c r="B746" s="24"/>
      <c r="C746" s="25"/>
      <c r="D746" s="8"/>
      <c r="E746" s="8"/>
      <c r="F746" s="26"/>
      <c r="G746" s="24"/>
      <c r="H746" s="25"/>
      <c r="I746" s="25"/>
      <c r="J746" s="26"/>
      <c r="K746" t="str" s="15">
        <f aca="0">IF(COUNTA(B746:J746)=0,"",IF(R746&lt;&gt;"","확인필요(입력누락)",IF(COUNTIFS(보유목록!$I$2:$I$3001,"*"&amp;P746&amp;"*",보유목록!$I$2:$I$3001,"*"&amp;Q746&amp;"*",보유목록!$H$2:$H$3001,O746)&gt;0,"있음",IF(COUNTIFS(보유목록!$I$2:$I$3001,"*"&amp;P746&amp;"*",보유목록!$I$2:$I$3001,"*"&amp;Q746&amp;"*")&gt;0,"확인필요(연도다름)",IF(COUNTIFS(보유목록!$I$2:$I$3001,"*"&amp;P746&amp;"*",보유목록!$H$2:$H$3001,O746)&gt;0,"확인필요(같은학교·같은연도)","없음")))))</f>
      </c>
      <c r="L746" t="str" s="16">
        <f aca="0">IF(OR(COUNTA(B746:J746)=0,R746&lt;&gt;""),"",COUNTIFS(보유목록!$I$2:$I$3001,"*"&amp;P746&amp;"*",보유목록!$I$2:$I$3001,"*"&amp;Q746&amp;"*"))</f>
      </c>
      <c r="M746" t="str" s="23">
        <f aca="0">IF(OR(COUNTA(B746:J746)=0,R746&lt;&gt;""),"",IFERROR(LOOKUP(2,1/(ISNUMBER(SEARCH(P746,보유목록!$I$2:$I$3001))*ISNUMBER(SEARCH(Q746,보유목록!$I$2:$I$3001))*(보유목록!$H$2:$H$3001=O746)),보유목록!$B$2:$B$3001),IFERROR(LOOKUP(2,1/(ISNUMBER(SEARCH(P746,보유목록!$I$2:$I$3001))*ISNUMBER(SEARCH(Q746,보유목록!$I$2:$I$3001))),보유목록!$B$2:$B$3001),"")))</f>
      </c>
      <c r="N746" s="25"/>
      <c r="O746" t="str">
        <f>IFERROR(IF(AND(LEN(SUBSTITUTE(SUBSTITUTE(SUBSTITUTE(TRIM(C746&amp;""),CHAR(160),"")," ",""),"년",""))=4,VALUE(SUBSTITUTE(SUBSTITUTE(SUBSTITUTE(TRIM(C746&amp;""),CHAR(160),"")," ",""),"년",""))&gt;=1900,VALUE(SUBSTITUTE(SUBSTITUTE(SUBSTITUTE(TRIM(C746&amp;""),CHAR(160),"")," ",""),"년",""))&lt;=2099,TEXT(VALUE(SUBSTITUTE(SUBSTITUTE(SUBSTITUTE(TRIM(C746&amp;""),CHAR(160),"")," ",""),"년","")),"0000")=SUBSTITUTE(SUBSTITUTE(SUBSTITUTE(TRIM(C746&amp;""),CHAR(160),"")," ",""),"년","")),SUBSTITUTE(SUBSTITUTE(SUBSTITUTE(TRIM(C746&amp;""),CHAR(160),"")," ",""),"년",""),""),"")</f>
      </c>
      <c r="P746" t="str">
        <f>SUBSTITUTE(SUBSTITUTE(SUBSTITUTE(SUBSTITUTE(SUBSTITUTE(SUBSTITUTE(SUBSTITUTE(SUBSTITUTE(TRIM(D746&amp;""),CHAR(160),"")," ",""),"초등학교","초"),"중학교","중"),"고등학교","고"),"~","~~"),"*","~*"),"?","~?")</f>
      </c>
      <c r="Q746" t="str">
        <f>SUBSTITUTE(SUBSTITUTE(SUBSTITUTE(SUBSTITUTE(SUBSTITUTE(SUBSTITUTE(SUBSTITUTE(SUBSTITUTE(TRIM(E746&amp;""),CHAR(160),"")," ",""),"초등학교","초"),"중학교","중"),"고등학교","고"),"~","~~"),"*","~*"),"?","~?")</f>
      </c>
      <c r="R746" t="str">
        <f>IF(COUNTA(B746:J746)=0,"",IF(AND(O746&lt;&gt;"",P746&lt;&gt;"",Q746&lt;&gt;""),"","입력누락"))</f>
      </c>
    </row>
    <row r="747" customFormat="false" ht="15" hidden="false" customHeight="false" outlineLevel="0" collapsed="false">
      <c r="A747" t="n" s="19">
        <f aca="0">IF(COUNTA(B747:J747)=0,"",ROW()-1)</f>
      </c>
      <c r="B747" s="24"/>
      <c r="C747" s="25"/>
      <c r="D747" s="8"/>
      <c r="E747" s="8"/>
      <c r="F747" s="26"/>
      <c r="G747" s="24"/>
      <c r="H747" s="25"/>
      <c r="I747" s="25"/>
      <c r="J747" s="26"/>
      <c r="K747" t="str" s="15">
        <f aca="0">IF(COUNTA(B747:J747)=0,"",IF(R747&lt;&gt;"","확인필요(입력누락)",IF(COUNTIFS(보유목록!$I$2:$I$3001,"*"&amp;P747&amp;"*",보유목록!$I$2:$I$3001,"*"&amp;Q747&amp;"*",보유목록!$H$2:$H$3001,O747)&gt;0,"있음",IF(COUNTIFS(보유목록!$I$2:$I$3001,"*"&amp;P747&amp;"*",보유목록!$I$2:$I$3001,"*"&amp;Q747&amp;"*")&gt;0,"확인필요(연도다름)",IF(COUNTIFS(보유목록!$I$2:$I$3001,"*"&amp;P747&amp;"*",보유목록!$H$2:$H$3001,O747)&gt;0,"확인필요(같은학교·같은연도)","없음")))))</f>
      </c>
      <c r="L747" t="str" s="16">
        <f aca="0">IF(OR(COUNTA(B747:J747)=0,R747&lt;&gt;""),"",COUNTIFS(보유목록!$I$2:$I$3001,"*"&amp;P747&amp;"*",보유목록!$I$2:$I$3001,"*"&amp;Q747&amp;"*"))</f>
      </c>
      <c r="M747" t="str" s="23">
        <f aca="0">IF(OR(COUNTA(B747:J747)=0,R747&lt;&gt;""),"",IFERROR(LOOKUP(2,1/(ISNUMBER(SEARCH(P747,보유목록!$I$2:$I$3001))*ISNUMBER(SEARCH(Q747,보유목록!$I$2:$I$3001))*(보유목록!$H$2:$H$3001=O747)),보유목록!$B$2:$B$3001),IFERROR(LOOKUP(2,1/(ISNUMBER(SEARCH(P747,보유목록!$I$2:$I$3001))*ISNUMBER(SEARCH(Q747,보유목록!$I$2:$I$3001))),보유목록!$B$2:$B$3001),"")))</f>
      </c>
      <c r="N747" s="25"/>
      <c r="O747" t="str">
        <f>IFERROR(IF(AND(LEN(SUBSTITUTE(SUBSTITUTE(SUBSTITUTE(TRIM(C747&amp;""),CHAR(160),"")," ",""),"년",""))=4,VALUE(SUBSTITUTE(SUBSTITUTE(SUBSTITUTE(TRIM(C747&amp;""),CHAR(160),"")," ",""),"년",""))&gt;=1900,VALUE(SUBSTITUTE(SUBSTITUTE(SUBSTITUTE(TRIM(C747&amp;""),CHAR(160),"")," ",""),"년",""))&lt;=2099,TEXT(VALUE(SUBSTITUTE(SUBSTITUTE(SUBSTITUTE(TRIM(C747&amp;""),CHAR(160),"")," ",""),"년","")),"0000")=SUBSTITUTE(SUBSTITUTE(SUBSTITUTE(TRIM(C747&amp;""),CHAR(160),"")," ",""),"년","")),SUBSTITUTE(SUBSTITUTE(SUBSTITUTE(TRIM(C747&amp;""),CHAR(160),"")," ",""),"년",""),""),"")</f>
      </c>
      <c r="P747" t="str">
        <f>SUBSTITUTE(SUBSTITUTE(SUBSTITUTE(SUBSTITUTE(SUBSTITUTE(SUBSTITUTE(SUBSTITUTE(SUBSTITUTE(TRIM(D747&amp;""),CHAR(160),"")," ",""),"초등학교","초"),"중학교","중"),"고등학교","고"),"~","~~"),"*","~*"),"?","~?")</f>
      </c>
      <c r="Q747" t="str">
        <f>SUBSTITUTE(SUBSTITUTE(SUBSTITUTE(SUBSTITUTE(SUBSTITUTE(SUBSTITUTE(SUBSTITUTE(SUBSTITUTE(TRIM(E747&amp;""),CHAR(160),"")," ",""),"초등학교","초"),"중학교","중"),"고등학교","고"),"~","~~"),"*","~*"),"?","~?")</f>
      </c>
      <c r="R747" t="str">
        <f>IF(COUNTA(B747:J747)=0,"",IF(AND(O747&lt;&gt;"",P747&lt;&gt;"",Q747&lt;&gt;""),"","입력누락"))</f>
      </c>
    </row>
    <row r="748" customFormat="false" ht="15" hidden="false" customHeight="false" outlineLevel="0" collapsed="false">
      <c r="A748" t="n" s="19">
        <f aca="0">IF(COUNTA(B748:J748)=0,"",ROW()-1)</f>
      </c>
      <c r="B748" s="24"/>
      <c r="C748" s="25"/>
      <c r="D748" s="8"/>
      <c r="E748" s="8"/>
      <c r="F748" s="26"/>
      <c r="G748" s="24"/>
      <c r="H748" s="25"/>
      <c r="I748" s="25"/>
      <c r="J748" s="26"/>
      <c r="K748" t="str" s="15">
        <f aca="0">IF(COUNTA(B748:J748)=0,"",IF(R748&lt;&gt;"","확인필요(입력누락)",IF(COUNTIFS(보유목록!$I$2:$I$3001,"*"&amp;P748&amp;"*",보유목록!$I$2:$I$3001,"*"&amp;Q748&amp;"*",보유목록!$H$2:$H$3001,O748)&gt;0,"있음",IF(COUNTIFS(보유목록!$I$2:$I$3001,"*"&amp;P748&amp;"*",보유목록!$I$2:$I$3001,"*"&amp;Q748&amp;"*")&gt;0,"확인필요(연도다름)",IF(COUNTIFS(보유목록!$I$2:$I$3001,"*"&amp;P748&amp;"*",보유목록!$H$2:$H$3001,O748)&gt;0,"확인필요(같은학교·같은연도)","없음")))))</f>
      </c>
      <c r="L748" t="str" s="16">
        <f aca="0">IF(OR(COUNTA(B748:J748)=0,R748&lt;&gt;""),"",COUNTIFS(보유목록!$I$2:$I$3001,"*"&amp;P748&amp;"*",보유목록!$I$2:$I$3001,"*"&amp;Q748&amp;"*"))</f>
      </c>
      <c r="M748" t="str" s="23">
        <f aca="0">IF(OR(COUNTA(B748:J748)=0,R748&lt;&gt;""),"",IFERROR(LOOKUP(2,1/(ISNUMBER(SEARCH(P748,보유목록!$I$2:$I$3001))*ISNUMBER(SEARCH(Q748,보유목록!$I$2:$I$3001))*(보유목록!$H$2:$H$3001=O748)),보유목록!$B$2:$B$3001),IFERROR(LOOKUP(2,1/(ISNUMBER(SEARCH(P748,보유목록!$I$2:$I$3001))*ISNUMBER(SEARCH(Q748,보유목록!$I$2:$I$3001))),보유목록!$B$2:$B$3001),"")))</f>
      </c>
      <c r="N748" s="25"/>
      <c r="O748" t="str">
        <f>IFERROR(IF(AND(LEN(SUBSTITUTE(SUBSTITUTE(SUBSTITUTE(TRIM(C748&amp;""),CHAR(160),"")," ",""),"년",""))=4,VALUE(SUBSTITUTE(SUBSTITUTE(SUBSTITUTE(TRIM(C748&amp;""),CHAR(160),"")," ",""),"년",""))&gt;=1900,VALUE(SUBSTITUTE(SUBSTITUTE(SUBSTITUTE(TRIM(C748&amp;""),CHAR(160),"")," ",""),"년",""))&lt;=2099,TEXT(VALUE(SUBSTITUTE(SUBSTITUTE(SUBSTITUTE(TRIM(C748&amp;""),CHAR(160),"")," ",""),"년","")),"0000")=SUBSTITUTE(SUBSTITUTE(SUBSTITUTE(TRIM(C748&amp;""),CHAR(160),"")," ",""),"년","")),SUBSTITUTE(SUBSTITUTE(SUBSTITUTE(TRIM(C748&amp;""),CHAR(160),"")," ",""),"년",""),""),"")</f>
      </c>
      <c r="P748" t="str">
        <f>SUBSTITUTE(SUBSTITUTE(SUBSTITUTE(SUBSTITUTE(SUBSTITUTE(SUBSTITUTE(SUBSTITUTE(SUBSTITUTE(TRIM(D748&amp;""),CHAR(160),"")," ",""),"초등학교","초"),"중학교","중"),"고등학교","고"),"~","~~"),"*","~*"),"?","~?")</f>
      </c>
      <c r="Q748" t="str">
        <f>SUBSTITUTE(SUBSTITUTE(SUBSTITUTE(SUBSTITUTE(SUBSTITUTE(SUBSTITUTE(SUBSTITUTE(SUBSTITUTE(TRIM(E748&amp;""),CHAR(160),"")," ",""),"초등학교","초"),"중학교","중"),"고등학교","고"),"~","~~"),"*","~*"),"?","~?")</f>
      </c>
      <c r="R748" t="str">
        <f>IF(COUNTA(B748:J748)=0,"",IF(AND(O748&lt;&gt;"",P748&lt;&gt;"",Q748&lt;&gt;""),"","입력누락"))</f>
      </c>
    </row>
    <row r="749" customFormat="false" ht="15" hidden="false" customHeight="false" outlineLevel="0" collapsed="false">
      <c r="A749" t="n" s="19">
        <f aca="0">IF(COUNTA(B749:J749)=0,"",ROW()-1)</f>
      </c>
      <c r="B749" s="24"/>
      <c r="C749" s="25"/>
      <c r="D749" s="8"/>
      <c r="E749" s="8"/>
      <c r="F749" s="26"/>
      <c r="G749" s="24"/>
      <c r="H749" s="25"/>
      <c r="I749" s="25"/>
      <c r="J749" s="26"/>
      <c r="K749" t="str" s="15">
        <f aca="0">IF(COUNTA(B749:J749)=0,"",IF(R749&lt;&gt;"","확인필요(입력누락)",IF(COUNTIFS(보유목록!$I$2:$I$3001,"*"&amp;P749&amp;"*",보유목록!$I$2:$I$3001,"*"&amp;Q749&amp;"*",보유목록!$H$2:$H$3001,O749)&gt;0,"있음",IF(COUNTIFS(보유목록!$I$2:$I$3001,"*"&amp;P749&amp;"*",보유목록!$I$2:$I$3001,"*"&amp;Q749&amp;"*")&gt;0,"확인필요(연도다름)",IF(COUNTIFS(보유목록!$I$2:$I$3001,"*"&amp;P749&amp;"*",보유목록!$H$2:$H$3001,O749)&gt;0,"확인필요(같은학교·같은연도)","없음")))))</f>
      </c>
      <c r="L749" t="str" s="16">
        <f aca="0">IF(OR(COUNTA(B749:J749)=0,R749&lt;&gt;""),"",COUNTIFS(보유목록!$I$2:$I$3001,"*"&amp;P749&amp;"*",보유목록!$I$2:$I$3001,"*"&amp;Q749&amp;"*"))</f>
      </c>
      <c r="M749" t="str" s="23">
        <f aca="0">IF(OR(COUNTA(B749:J749)=0,R749&lt;&gt;""),"",IFERROR(LOOKUP(2,1/(ISNUMBER(SEARCH(P749,보유목록!$I$2:$I$3001))*ISNUMBER(SEARCH(Q749,보유목록!$I$2:$I$3001))*(보유목록!$H$2:$H$3001=O749)),보유목록!$B$2:$B$3001),IFERROR(LOOKUP(2,1/(ISNUMBER(SEARCH(P749,보유목록!$I$2:$I$3001))*ISNUMBER(SEARCH(Q749,보유목록!$I$2:$I$3001))),보유목록!$B$2:$B$3001),"")))</f>
      </c>
      <c r="N749" s="25"/>
      <c r="O749" t="str">
        <f>IFERROR(IF(AND(LEN(SUBSTITUTE(SUBSTITUTE(SUBSTITUTE(TRIM(C749&amp;""),CHAR(160),"")," ",""),"년",""))=4,VALUE(SUBSTITUTE(SUBSTITUTE(SUBSTITUTE(TRIM(C749&amp;""),CHAR(160),"")," ",""),"년",""))&gt;=1900,VALUE(SUBSTITUTE(SUBSTITUTE(SUBSTITUTE(TRIM(C749&amp;""),CHAR(160),"")," ",""),"년",""))&lt;=2099,TEXT(VALUE(SUBSTITUTE(SUBSTITUTE(SUBSTITUTE(TRIM(C749&amp;""),CHAR(160),"")," ",""),"년","")),"0000")=SUBSTITUTE(SUBSTITUTE(SUBSTITUTE(TRIM(C749&amp;""),CHAR(160),"")," ",""),"년","")),SUBSTITUTE(SUBSTITUTE(SUBSTITUTE(TRIM(C749&amp;""),CHAR(160),"")," ",""),"년",""),""),"")</f>
      </c>
      <c r="P749" t="str">
        <f>SUBSTITUTE(SUBSTITUTE(SUBSTITUTE(SUBSTITUTE(SUBSTITUTE(SUBSTITUTE(SUBSTITUTE(SUBSTITUTE(TRIM(D749&amp;""),CHAR(160),"")," ",""),"초등학교","초"),"중학교","중"),"고등학교","고"),"~","~~"),"*","~*"),"?","~?")</f>
      </c>
      <c r="Q749" t="str">
        <f>SUBSTITUTE(SUBSTITUTE(SUBSTITUTE(SUBSTITUTE(SUBSTITUTE(SUBSTITUTE(SUBSTITUTE(SUBSTITUTE(TRIM(E749&amp;""),CHAR(160),"")," ",""),"초등학교","초"),"중학교","중"),"고등학교","고"),"~","~~"),"*","~*"),"?","~?")</f>
      </c>
      <c r="R749" t="str">
        <f>IF(COUNTA(B749:J749)=0,"",IF(AND(O749&lt;&gt;"",P749&lt;&gt;"",Q749&lt;&gt;""),"","입력누락"))</f>
      </c>
    </row>
    <row r="750" customFormat="false" ht="15" hidden="false" customHeight="false" outlineLevel="0" collapsed="false">
      <c r="A750" t="n" s="19">
        <f aca="0">IF(COUNTA(B750:J750)=0,"",ROW()-1)</f>
      </c>
      <c r="B750" s="24"/>
      <c r="C750" s="25"/>
      <c r="D750" s="8"/>
      <c r="E750" s="8"/>
      <c r="F750" s="26"/>
      <c r="G750" s="24"/>
      <c r="H750" s="25"/>
      <c r="I750" s="25"/>
      <c r="J750" s="26"/>
      <c r="K750" t="str" s="15">
        <f aca="0">IF(COUNTA(B750:J750)=0,"",IF(R750&lt;&gt;"","확인필요(입력누락)",IF(COUNTIFS(보유목록!$I$2:$I$3001,"*"&amp;P750&amp;"*",보유목록!$I$2:$I$3001,"*"&amp;Q750&amp;"*",보유목록!$H$2:$H$3001,O750)&gt;0,"있음",IF(COUNTIFS(보유목록!$I$2:$I$3001,"*"&amp;P750&amp;"*",보유목록!$I$2:$I$3001,"*"&amp;Q750&amp;"*")&gt;0,"확인필요(연도다름)",IF(COUNTIFS(보유목록!$I$2:$I$3001,"*"&amp;P750&amp;"*",보유목록!$H$2:$H$3001,O750)&gt;0,"확인필요(같은학교·같은연도)","없음")))))</f>
      </c>
      <c r="L750" t="str" s="16">
        <f aca="0">IF(OR(COUNTA(B750:J750)=0,R750&lt;&gt;""),"",COUNTIFS(보유목록!$I$2:$I$3001,"*"&amp;P750&amp;"*",보유목록!$I$2:$I$3001,"*"&amp;Q750&amp;"*"))</f>
      </c>
      <c r="M750" t="str" s="23">
        <f aca="0">IF(OR(COUNTA(B750:J750)=0,R750&lt;&gt;""),"",IFERROR(LOOKUP(2,1/(ISNUMBER(SEARCH(P750,보유목록!$I$2:$I$3001))*ISNUMBER(SEARCH(Q750,보유목록!$I$2:$I$3001))*(보유목록!$H$2:$H$3001=O750)),보유목록!$B$2:$B$3001),IFERROR(LOOKUP(2,1/(ISNUMBER(SEARCH(P750,보유목록!$I$2:$I$3001))*ISNUMBER(SEARCH(Q750,보유목록!$I$2:$I$3001))),보유목록!$B$2:$B$3001),"")))</f>
      </c>
      <c r="N750" s="25"/>
      <c r="O750" t="str">
        <f>IFERROR(IF(AND(LEN(SUBSTITUTE(SUBSTITUTE(SUBSTITUTE(TRIM(C750&amp;""),CHAR(160),"")," ",""),"년",""))=4,VALUE(SUBSTITUTE(SUBSTITUTE(SUBSTITUTE(TRIM(C750&amp;""),CHAR(160),"")," ",""),"년",""))&gt;=1900,VALUE(SUBSTITUTE(SUBSTITUTE(SUBSTITUTE(TRIM(C750&amp;""),CHAR(160),"")," ",""),"년",""))&lt;=2099,TEXT(VALUE(SUBSTITUTE(SUBSTITUTE(SUBSTITUTE(TRIM(C750&amp;""),CHAR(160),"")," ",""),"년","")),"0000")=SUBSTITUTE(SUBSTITUTE(SUBSTITUTE(TRIM(C750&amp;""),CHAR(160),"")," ",""),"년","")),SUBSTITUTE(SUBSTITUTE(SUBSTITUTE(TRIM(C750&amp;""),CHAR(160),"")," ",""),"년",""),""),"")</f>
      </c>
      <c r="P750" t="str">
        <f>SUBSTITUTE(SUBSTITUTE(SUBSTITUTE(SUBSTITUTE(SUBSTITUTE(SUBSTITUTE(SUBSTITUTE(SUBSTITUTE(TRIM(D750&amp;""),CHAR(160),"")," ",""),"초등학교","초"),"중학교","중"),"고등학교","고"),"~","~~"),"*","~*"),"?","~?")</f>
      </c>
      <c r="Q750" t="str">
        <f>SUBSTITUTE(SUBSTITUTE(SUBSTITUTE(SUBSTITUTE(SUBSTITUTE(SUBSTITUTE(SUBSTITUTE(SUBSTITUTE(TRIM(E750&amp;""),CHAR(160),"")," ",""),"초등학교","초"),"중학교","중"),"고등학교","고"),"~","~~"),"*","~*"),"?","~?")</f>
      </c>
      <c r="R750" t="str">
        <f>IF(COUNTA(B750:J750)=0,"",IF(AND(O750&lt;&gt;"",P750&lt;&gt;"",Q750&lt;&gt;""),"","입력누락"))</f>
      </c>
    </row>
    <row r="751" customFormat="false" ht="15" hidden="false" customHeight="false" outlineLevel="0" collapsed="false">
      <c r="A751" t="n" s="19">
        <f aca="0">IF(COUNTA(B751:J751)=0,"",ROW()-1)</f>
      </c>
      <c r="B751" s="24"/>
      <c r="C751" s="25"/>
      <c r="D751" s="8"/>
      <c r="E751" s="8"/>
      <c r="F751" s="26"/>
      <c r="G751" s="24"/>
      <c r="H751" s="25"/>
      <c r="I751" s="25"/>
      <c r="J751" s="26"/>
      <c r="K751" t="str" s="15">
        <f aca="0">IF(COUNTA(B751:J751)=0,"",IF(R751&lt;&gt;"","확인필요(입력누락)",IF(COUNTIFS(보유목록!$I$2:$I$3001,"*"&amp;P751&amp;"*",보유목록!$I$2:$I$3001,"*"&amp;Q751&amp;"*",보유목록!$H$2:$H$3001,O751)&gt;0,"있음",IF(COUNTIFS(보유목록!$I$2:$I$3001,"*"&amp;P751&amp;"*",보유목록!$I$2:$I$3001,"*"&amp;Q751&amp;"*")&gt;0,"확인필요(연도다름)",IF(COUNTIFS(보유목록!$I$2:$I$3001,"*"&amp;P751&amp;"*",보유목록!$H$2:$H$3001,O751)&gt;0,"확인필요(같은학교·같은연도)","없음")))))</f>
      </c>
      <c r="L751" t="str" s="16">
        <f aca="0">IF(OR(COUNTA(B751:J751)=0,R751&lt;&gt;""),"",COUNTIFS(보유목록!$I$2:$I$3001,"*"&amp;P751&amp;"*",보유목록!$I$2:$I$3001,"*"&amp;Q751&amp;"*"))</f>
      </c>
      <c r="M751" t="str" s="23">
        <f aca="0">IF(OR(COUNTA(B751:J751)=0,R751&lt;&gt;""),"",IFERROR(LOOKUP(2,1/(ISNUMBER(SEARCH(P751,보유목록!$I$2:$I$3001))*ISNUMBER(SEARCH(Q751,보유목록!$I$2:$I$3001))*(보유목록!$H$2:$H$3001=O751)),보유목록!$B$2:$B$3001),IFERROR(LOOKUP(2,1/(ISNUMBER(SEARCH(P751,보유목록!$I$2:$I$3001))*ISNUMBER(SEARCH(Q751,보유목록!$I$2:$I$3001))),보유목록!$B$2:$B$3001),"")))</f>
      </c>
      <c r="N751" s="25"/>
      <c r="O751" t="str">
        <f>IFERROR(IF(AND(LEN(SUBSTITUTE(SUBSTITUTE(SUBSTITUTE(TRIM(C751&amp;""),CHAR(160),"")," ",""),"년",""))=4,VALUE(SUBSTITUTE(SUBSTITUTE(SUBSTITUTE(TRIM(C751&amp;""),CHAR(160),"")," ",""),"년",""))&gt;=1900,VALUE(SUBSTITUTE(SUBSTITUTE(SUBSTITUTE(TRIM(C751&amp;""),CHAR(160),"")," ",""),"년",""))&lt;=2099,TEXT(VALUE(SUBSTITUTE(SUBSTITUTE(SUBSTITUTE(TRIM(C751&amp;""),CHAR(160),"")," ",""),"년","")),"0000")=SUBSTITUTE(SUBSTITUTE(SUBSTITUTE(TRIM(C751&amp;""),CHAR(160),"")," ",""),"년","")),SUBSTITUTE(SUBSTITUTE(SUBSTITUTE(TRIM(C751&amp;""),CHAR(160),"")," ",""),"년",""),""),"")</f>
      </c>
      <c r="P751" t="str">
        <f>SUBSTITUTE(SUBSTITUTE(SUBSTITUTE(SUBSTITUTE(SUBSTITUTE(SUBSTITUTE(SUBSTITUTE(SUBSTITUTE(TRIM(D751&amp;""),CHAR(160),"")," ",""),"초등학교","초"),"중학교","중"),"고등학교","고"),"~","~~"),"*","~*"),"?","~?")</f>
      </c>
      <c r="Q751" t="str">
        <f>SUBSTITUTE(SUBSTITUTE(SUBSTITUTE(SUBSTITUTE(SUBSTITUTE(SUBSTITUTE(SUBSTITUTE(SUBSTITUTE(TRIM(E751&amp;""),CHAR(160),"")," ",""),"초등학교","초"),"중학교","중"),"고등학교","고"),"~","~~"),"*","~*"),"?","~?")</f>
      </c>
      <c r="R751" t="str">
        <f>IF(COUNTA(B751:J751)=0,"",IF(AND(O751&lt;&gt;"",P751&lt;&gt;"",Q751&lt;&gt;""),"","입력누락"))</f>
      </c>
    </row>
    <row r="752" customFormat="false" ht="15" hidden="false" customHeight="false" outlineLevel="0" collapsed="false">
      <c r="A752" t="n" s="19">
        <f aca="0">IF(COUNTA(B752:J752)=0,"",ROW()-1)</f>
      </c>
      <c r="B752" s="24"/>
      <c r="C752" s="25"/>
      <c r="D752" s="8"/>
      <c r="E752" s="8"/>
      <c r="F752" s="26"/>
      <c r="G752" s="24"/>
      <c r="H752" s="25"/>
      <c r="I752" s="25"/>
      <c r="J752" s="26"/>
      <c r="K752" t="str" s="15">
        <f aca="0">IF(COUNTA(B752:J752)=0,"",IF(R752&lt;&gt;"","확인필요(입력누락)",IF(COUNTIFS(보유목록!$I$2:$I$3001,"*"&amp;P752&amp;"*",보유목록!$I$2:$I$3001,"*"&amp;Q752&amp;"*",보유목록!$H$2:$H$3001,O752)&gt;0,"있음",IF(COUNTIFS(보유목록!$I$2:$I$3001,"*"&amp;P752&amp;"*",보유목록!$I$2:$I$3001,"*"&amp;Q752&amp;"*")&gt;0,"확인필요(연도다름)",IF(COUNTIFS(보유목록!$I$2:$I$3001,"*"&amp;P752&amp;"*",보유목록!$H$2:$H$3001,O752)&gt;0,"확인필요(같은학교·같은연도)","없음")))))</f>
      </c>
      <c r="L752" t="str" s="16">
        <f aca="0">IF(OR(COUNTA(B752:J752)=0,R752&lt;&gt;""),"",COUNTIFS(보유목록!$I$2:$I$3001,"*"&amp;P752&amp;"*",보유목록!$I$2:$I$3001,"*"&amp;Q752&amp;"*"))</f>
      </c>
      <c r="M752" t="str" s="23">
        <f aca="0">IF(OR(COUNTA(B752:J752)=0,R752&lt;&gt;""),"",IFERROR(LOOKUP(2,1/(ISNUMBER(SEARCH(P752,보유목록!$I$2:$I$3001))*ISNUMBER(SEARCH(Q752,보유목록!$I$2:$I$3001))*(보유목록!$H$2:$H$3001=O752)),보유목록!$B$2:$B$3001),IFERROR(LOOKUP(2,1/(ISNUMBER(SEARCH(P752,보유목록!$I$2:$I$3001))*ISNUMBER(SEARCH(Q752,보유목록!$I$2:$I$3001))),보유목록!$B$2:$B$3001),"")))</f>
      </c>
      <c r="N752" s="25"/>
      <c r="O752" t="str">
        <f>IFERROR(IF(AND(LEN(SUBSTITUTE(SUBSTITUTE(SUBSTITUTE(TRIM(C752&amp;""),CHAR(160),"")," ",""),"년",""))=4,VALUE(SUBSTITUTE(SUBSTITUTE(SUBSTITUTE(TRIM(C752&amp;""),CHAR(160),"")," ",""),"년",""))&gt;=1900,VALUE(SUBSTITUTE(SUBSTITUTE(SUBSTITUTE(TRIM(C752&amp;""),CHAR(160),"")," ",""),"년",""))&lt;=2099,TEXT(VALUE(SUBSTITUTE(SUBSTITUTE(SUBSTITUTE(TRIM(C752&amp;""),CHAR(160),"")," ",""),"년","")),"0000")=SUBSTITUTE(SUBSTITUTE(SUBSTITUTE(TRIM(C752&amp;""),CHAR(160),"")," ",""),"년","")),SUBSTITUTE(SUBSTITUTE(SUBSTITUTE(TRIM(C752&amp;""),CHAR(160),"")," ",""),"년",""),""),"")</f>
      </c>
      <c r="P752" t="str">
        <f>SUBSTITUTE(SUBSTITUTE(SUBSTITUTE(SUBSTITUTE(SUBSTITUTE(SUBSTITUTE(SUBSTITUTE(SUBSTITUTE(TRIM(D752&amp;""),CHAR(160),"")," ",""),"초등학교","초"),"중학교","중"),"고등학교","고"),"~","~~"),"*","~*"),"?","~?")</f>
      </c>
      <c r="Q752" t="str">
        <f>SUBSTITUTE(SUBSTITUTE(SUBSTITUTE(SUBSTITUTE(SUBSTITUTE(SUBSTITUTE(SUBSTITUTE(SUBSTITUTE(TRIM(E752&amp;""),CHAR(160),"")," ",""),"초등학교","초"),"중학교","중"),"고등학교","고"),"~","~~"),"*","~*"),"?","~?")</f>
      </c>
      <c r="R752" t="str">
        <f>IF(COUNTA(B752:J752)=0,"",IF(AND(O752&lt;&gt;"",P752&lt;&gt;"",Q752&lt;&gt;""),"","입력누락"))</f>
      </c>
    </row>
    <row r="753" customFormat="false" ht="15" hidden="false" customHeight="false" outlineLevel="0" collapsed="false">
      <c r="A753" t="n" s="19">
        <f aca="0">IF(COUNTA(B753:J753)=0,"",ROW()-1)</f>
      </c>
      <c r="B753" s="24"/>
      <c r="C753" s="25"/>
      <c r="D753" s="8"/>
      <c r="E753" s="8"/>
      <c r="F753" s="26"/>
      <c r="G753" s="24"/>
      <c r="H753" s="25"/>
      <c r="I753" s="25"/>
      <c r="J753" s="26"/>
      <c r="K753" t="str" s="15">
        <f aca="0">IF(COUNTA(B753:J753)=0,"",IF(R753&lt;&gt;"","확인필요(입력누락)",IF(COUNTIFS(보유목록!$I$2:$I$3001,"*"&amp;P753&amp;"*",보유목록!$I$2:$I$3001,"*"&amp;Q753&amp;"*",보유목록!$H$2:$H$3001,O753)&gt;0,"있음",IF(COUNTIFS(보유목록!$I$2:$I$3001,"*"&amp;P753&amp;"*",보유목록!$I$2:$I$3001,"*"&amp;Q753&amp;"*")&gt;0,"확인필요(연도다름)",IF(COUNTIFS(보유목록!$I$2:$I$3001,"*"&amp;P753&amp;"*",보유목록!$H$2:$H$3001,O753)&gt;0,"확인필요(같은학교·같은연도)","없음")))))</f>
      </c>
      <c r="L753" t="str" s="16">
        <f aca="0">IF(OR(COUNTA(B753:J753)=0,R753&lt;&gt;""),"",COUNTIFS(보유목록!$I$2:$I$3001,"*"&amp;P753&amp;"*",보유목록!$I$2:$I$3001,"*"&amp;Q753&amp;"*"))</f>
      </c>
      <c r="M753" t="str" s="23">
        <f aca="0">IF(OR(COUNTA(B753:J753)=0,R753&lt;&gt;""),"",IFERROR(LOOKUP(2,1/(ISNUMBER(SEARCH(P753,보유목록!$I$2:$I$3001))*ISNUMBER(SEARCH(Q753,보유목록!$I$2:$I$3001))*(보유목록!$H$2:$H$3001=O753)),보유목록!$B$2:$B$3001),IFERROR(LOOKUP(2,1/(ISNUMBER(SEARCH(P753,보유목록!$I$2:$I$3001))*ISNUMBER(SEARCH(Q753,보유목록!$I$2:$I$3001))),보유목록!$B$2:$B$3001),"")))</f>
      </c>
      <c r="N753" s="25"/>
      <c r="O753" t="str">
        <f>IFERROR(IF(AND(LEN(SUBSTITUTE(SUBSTITUTE(SUBSTITUTE(TRIM(C753&amp;""),CHAR(160),"")," ",""),"년",""))=4,VALUE(SUBSTITUTE(SUBSTITUTE(SUBSTITUTE(TRIM(C753&amp;""),CHAR(160),"")," ",""),"년",""))&gt;=1900,VALUE(SUBSTITUTE(SUBSTITUTE(SUBSTITUTE(TRIM(C753&amp;""),CHAR(160),"")," ",""),"년",""))&lt;=2099,TEXT(VALUE(SUBSTITUTE(SUBSTITUTE(SUBSTITUTE(TRIM(C753&amp;""),CHAR(160),"")," ",""),"년","")),"0000")=SUBSTITUTE(SUBSTITUTE(SUBSTITUTE(TRIM(C753&amp;""),CHAR(160),"")," ",""),"년","")),SUBSTITUTE(SUBSTITUTE(SUBSTITUTE(TRIM(C753&amp;""),CHAR(160),"")," ",""),"년",""),""),"")</f>
      </c>
      <c r="P753" t="str">
        <f>SUBSTITUTE(SUBSTITUTE(SUBSTITUTE(SUBSTITUTE(SUBSTITUTE(SUBSTITUTE(SUBSTITUTE(SUBSTITUTE(TRIM(D753&amp;""),CHAR(160),"")," ",""),"초등학교","초"),"중학교","중"),"고등학교","고"),"~","~~"),"*","~*"),"?","~?")</f>
      </c>
      <c r="Q753" t="str">
        <f>SUBSTITUTE(SUBSTITUTE(SUBSTITUTE(SUBSTITUTE(SUBSTITUTE(SUBSTITUTE(SUBSTITUTE(SUBSTITUTE(TRIM(E753&amp;""),CHAR(160),"")," ",""),"초등학교","초"),"중학교","중"),"고등학교","고"),"~","~~"),"*","~*"),"?","~?")</f>
      </c>
      <c r="R753" t="str">
        <f>IF(COUNTA(B753:J753)=0,"",IF(AND(O753&lt;&gt;"",P753&lt;&gt;"",Q753&lt;&gt;""),"","입력누락"))</f>
      </c>
    </row>
    <row r="754" customFormat="false" ht="15" hidden="false" customHeight="false" outlineLevel="0" collapsed="false">
      <c r="A754" t="n" s="19">
        <f aca="0">IF(COUNTA(B754:J754)=0,"",ROW()-1)</f>
      </c>
      <c r="B754" s="24"/>
      <c r="C754" s="25"/>
      <c r="D754" s="8"/>
      <c r="E754" s="8"/>
      <c r="F754" s="26"/>
      <c r="G754" s="24"/>
      <c r="H754" s="25"/>
      <c r="I754" s="25"/>
      <c r="J754" s="26"/>
      <c r="K754" t="str" s="15">
        <f aca="0">IF(COUNTA(B754:J754)=0,"",IF(R754&lt;&gt;"","확인필요(입력누락)",IF(COUNTIFS(보유목록!$I$2:$I$3001,"*"&amp;P754&amp;"*",보유목록!$I$2:$I$3001,"*"&amp;Q754&amp;"*",보유목록!$H$2:$H$3001,O754)&gt;0,"있음",IF(COUNTIFS(보유목록!$I$2:$I$3001,"*"&amp;P754&amp;"*",보유목록!$I$2:$I$3001,"*"&amp;Q754&amp;"*")&gt;0,"확인필요(연도다름)",IF(COUNTIFS(보유목록!$I$2:$I$3001,"*"&amp;P754&amp;"*",보유목록!$H$2:$H$3001,O754)&gt;0,"확인필요(같은학교·같은연도)","없음")))))</f>
      </c>
      <c r="L754" t="str" s="16">
        <f aca="0">IF(OR(COUNTA(B754:J754)=0,R754&lt;&gt;""),"",COUNTIFS(보유목록!$I$2:$I$3001,"*"&amp;P754&amp;"*",보유목록!$I$2:$I$3001,"*"&amp;Q754&amp;"*"))</f>
      </c>
      <c r="M754" t="str" s="23">
        <f aca="0">IF(OR(COUNTA(B754:J754)=0,R754&lt;&gt;""),"",IFERROR(LOOKUP(2,1/(ISNUMBER(SEARCH(P754,보유목록!$I$2:$I$3001))*ISNUMBER(SEARCH(Q754,보유목록!$I$2:$I$3001))*(보유목록!$H$2:$H$3001=O754)),보유목록!$B$2:$B$3001),IFERROR(LOOKUP(2,1/(ISNUMBER(SEARCH(P754,보유목록!$I$2:$I$3001))*ISNUMBER(SEARCH(Q754,보유목록!$I$2:$I$3001))),보유목록!$B$2:$B$3001),"")))</f>
      </c>
      <c r="N754" s="25"/>
      <c r="O754" t="str">
        <f>IFERROR(IF(AND(LEN(SUBSTITUTE(SUBSTITUTE(SUBSTITUTE(TRIM(C754&amp;""),CHAR(160),"")," ",""),"년",""))=4,VALUE(SUBSTITUTE(SUBSTITUTE(SUBSTITUTE(TRIM(C754&amp;""),CHAR(160),"")," ",""),"년",""))&gt;=1900,VALUE(SUBSTITUTE(SUBSTITUTE(SUBSTITUTE(TRIM(C754&amp;""),CHAR(160),"")," ",""),"년",""))&lt;=2099,TEXT(VALUE(SUBSTITUTE(SUBSTITUTE(SUBSTITUTE(TRIM(C754&amp;""),CHAR(160),"")," ",""),"년","")),"0000")=SUBSTITUTE(SUBSTITUTE(SUBSTITUTE(TRIM(C754&amp;""),CHAR(160),"")," ",""),"년","")),SUBSTITUTE(SUBSTITUTE(SUBSTITUTE(TRIM(C754&amp;""),CHAR(160),"")," ",""),"년",""),""),"")</f>
      </c>
      <c r="P754" t="str">
        <f>SUBSTITUTE(SUBSTITUTE(SUBSTITUTE(SUBSTITUTE(SUBSTITUTE(SUBSTITUTE(SUBSTITUTE(SUBSTITUTE(TRIM(D754&amp;""),CHAR(160),"")," ",""),"초등학교","초"),"중학교","중"),"고등학교","고"),"~","~~"),"*","~*"),"?","~?")</f>
      </c>
      <c r="Q754" t="str">
        <f>SUBSTITUTE(SUBSTITUTE(SUBSTITUTE(SUBSTITUTE(SUBSTITUTE(SUBSTITUTE(SUBSTITUTE(SUBSTITUTE(TRIM(E754&amp;""),CHAR(160),"")," ",""),"초등학교","초"),"중학교","중"),"고등학교","고"),"~","~~"),"*","~*"),"?","~?")</f>
      </c>
      <c r="R754" t="str">
        <f>IF(COUNTA(B754:J754)=0,"",IF(AND(O754&lt;&gt;"",P754&lt;&gt;"",Q754&lt;&gt;""),"","입력누락"))</f>
      </c>
    </row>
    <row r="755" customFormat="false" ht="15" hidden="false" customHeight="false" outlineLevel="0" collapsed="false">
      <c r="A755" t="n" s="19">
        <f aca="0">IF(COUNTA(B755:J755)=0,"",ROW()-1)</f>
      </c>
      <c r="B755" s="24"/>
      <c r="C755" s="25"/>
      <c r="D755" s="8"/>
      <c r="E755" s="8"/>
      <c r="F755" s="26"/>
      <c r="G755" s="24"/>
      <c r="H755" s="25"/>
      <c r="I755" s="25"/>
      <c r="J755" s="26"/>
      <c r="K755" t="str" s="15">
        <f aca="0">IF(COUNTA(B755:J755)=0,"",IF(R755&lt;&gt;"","확인필요(입력누락)",IF(COUNTIFS(보유목록!$I$2:$I$3001,"*"&amp;P755&amp;"*",보유목록!$I$2:$I$3001,"*"&amp;Q755&amp;"*",보유목록!$H$2:$H$3001,O755)&gt;0,"있음",IF(COUNTIFS(보유목록!$I$2:$I$3001,"*"&amp;P755&amp;"*",보유목록!$I$2:$I$3001,"*"&amp;Q755&amp;"*")&gt;0,"확인필요(연도다름)",IF(COUNTIFS(보유목록!$I$2:$I$3001,"*"&amp;P755&amp;"*",보유목록!$H$2:$H$3001,O755)&gt;0,"확인필요(같은학교·같은연도)","없음")))))</f>
      </c>
      <c r="L755" t="str" s="16">
        <f aca="0">IF(OR(COUNTA(B755:J755)=0,R755&lt;&gt;""),"",COUNTIFS(보유목록!$I$2:$I$3001,"*"&amp;P755&amp;"*",보유목록!$I$2:$I$3001,"*"&amp;Q755&amp;"*"))</f>
      </c>
      <c r="M755" t="str" s="23">
        <f aca="0">IF(OR(COUNTA(B755:J755)=0,R755&lt;&gt;""),"",IFERROR(LOOKUP(2,1/(ISNUMBER(SEARCH(P755,보유목록!$I$2:$I$3001))*ISNUMBER(SEARCH(Q755,보유목록!$I$2:$I$3001))*(보유목록!$H$2:$H$3001=O755)),보유목록!$B$2:$B$3001),IFERROR(LOOKUP(2,1/(ISNUMBER(SEARCH(P755,보유목록!$I$2:$I$3001))*ISNUMBER(SEARCH(Q755,보유목록!$I$2:$I$3001))),보유목록!$B$2:$B$3001),"")))</f>
      </c>
      <c r="N755" s="25"/>
      <c r="O755" t="str">
        <f>IFERROR(IF(AND(LEN(SUBSTITUTE(SUBSTITUTE(SUBSTITUTE(TRIM(C755&amp;""),CHAR(160),"")," ",""),"년",""))=4,VALUE(SUBSTITUTE(SUBSTITUTE(SUBSTITUTE(TRIM(C755&amp;""),CHAR(160),"")," ",""),"년",""))&gt;=1900,VALUE(SUBSTITUTE(SUBSTITUTE(SUBSTITUTE(TRIM(C755&amp;""),CHAR(160),"")," ",""),"년",""))&lt;=2099,TEXT(VALUE(SUBSTITUTE(SUBSTITUTE(SUBSTITUTE(TRIM(C755&amp;""),CHAR(160),"")," ",""),"년","")),"0000")=SUBSTITUTE(SUBSTITUTE(SUBSTITUTE(TRIM(C755&amp;""),CHAR(160),"")," ",""),"년","")),SUBSTITUTE(SUBSTITUTE(SUBSTITUTE(TRIM(C755&amp;""),CHAR(160),"")," ",""),"년",""),""),"")</f>
      </c>
      <c r="P755" t="str">
        <f>SUBSTITUTE(SUBSTITUTE(SUBSTITUTE(SUBSTITUTE(SUBSTITUTE(SUBSTITUTE(SUBSTITUTE(SUBSTITUTE(TRIM(D755&amp;""),CHAR(160),"")," ",""),"초등학교","초"),"중학교","중"),"고등학교","고"),"~","~~"),"*","~*"),"?","~?")</f>
      </c>
      <c r="Q755" t="str">
        <f>SUBSTITUTE(SUBSTITUTE(SUBSTITUTE(SUBSTITUTE(SUBSTITUTE(SUBSTITUTE(SUBSTITUTE(SUBSTITUTE(TRIM(E755&amp;""),CHAR(160),"")," ",""),"초등학교","초"),"중학교","중"),"고등학교","고"),"~","~~"),"*","~*"),"?","~?")</f>
      </c>
      <c r="R755" t="str">
        <f>IF(COUNTA(B755:J755)=0,"",IF(AND(O755&lt;&gt;"",P755&lt;&gt;"",Q755&lt;&gt;""),"","입력누락"))</f>
      </c>
    </row>
    <row r="756" customFormat="false" ht="15" hidden="false" customHeight="false" outlineLevel="0" collapsed="false">
      <c r="A756" t="n" s="19">
        <f aca="0">IF(COUNTA(B756:J756)=0,"",ROW()-1)</f>
      </c>
      <c r="B756" s="24"/>
      <c r="C756" s="25"/>
      <c r="D756" s="8"/>
      <c r="E756" s="8"/>
      <c r="F756" s="26"/>
      <c r="G756" s="24"/>
      <c r="H756" s="25"/>
      <c r="I756" s="25"/>
      <c r="J756" s="26"/>
      <c r="K756" t="str" s="15">
        <f aca="0">IF(COUNTA(B756:J756)=0,"",IF(R756&lt;&gt;"","확인필요(입력누락)",IF(COUNTIFS(보유목록!$I$2:$I$3001,"*"&amp;P756&amp;"*",보유목록!$I$2:$I$3001,"*"&amp;Q756&amp;"*",보유목록!$H$2:$H$3001,O756)&gt;0,"있음",IF(COUNTIFS(보유목록!$I$2:$I$3001,"*"&amp;P756&amp;"*",보유목록!$I$2:$I$3001,"*"&amp;Q756&amp;"*")&gt;0,"확인필요(연도다름)",IF(COUNTIFS(보유목록!$I$2:$I$3001,"*"&amp;P756&amp;"*",보유목록!$H$2:$H$3001,O756)&gt;0,"확인필요(같은학교·같은연도)","없음")))))</f>
      </c>
      <c r="L756" t="str" s="16">
        <f aca="0">IF(OR(COUNTA(B756:J756)=0,R756&lt;&gt;""),"",COUNTIFS(보유목록!$I$2:$I$3001,"*"&amp;P756&amp;"*",보유목록!$I$2:$I$3001,"*"&amp;Q756&amp;"*"))</f>
      </c>
      <c r="M756" t="str" s="23">
        <f aca="0">IF(OR(COUNTA(B756:J756)=0,R756&lt;&gt;""),"",IFERROR(LOOKUP(2,1/(ISNUMBER(SEARCH(P756,보유목록!$I$2:$I$3001))*ISNUMBER(SEARCH(Q756,보유목록!$I$2:$I$3001))*(보유목록!$H$2:$H$3001=O756)),보유목록!$B$2:$B$3001),IFERROR(LOOKUP(2,1/(ISNUMBER(SEARCH(P756,보유목록!$I$2:$I$3001))*ISNUMBER(SEARCH(Q756,보유목록!$I$2:$I$3001))),보유목록!$B$2:$B$3001),"")))</f>
      </c>
      <c r="N756" s="25"/>
      <c r="O756" t="str">
        <f>IFERROR(IF(AND(LEN(SUBSTITUTE(SUBSTITUTE(SUBSTITUTE(TRIM(C756&amp;""),CHAR(160),"")," ",""),"년",""))=4,VALUE(SUBSTITUTE(SUBSTITUTE(SUBSTITUTE(TRIM(C756&amp;""),CHAR(160),"")," ",""),"년",""))&gt;=1900,VALUE(SUBSTITUTE(SUBSTITUTE(SUBSTITUTE(TRIM(C756&amp;""),CHAR(160),"")," ",""),"년",""))&lt;=2099,TEXT(VALUE(SUBSTITUTE(SUBSTITUTE(SUBSTITUTE(TRIM(C756&amp;""),CHAR(160),"")," ",""),"년","")),"0000")=SUBSTITUTE(SUBSTITUTE(SUBSTITUTE(TRIM(C756&amp;""),CHAR(160),"")," ",""),"년","")),SUBSTITUTE(SUBSTITUTE(SUBSTITUTE(TRIM(C756&amp;""),CHAR(160),"")," ",""),"년",""),""),"")</f>
      </c>
      <c r="P756" t="str">
        <f>SUBSTITUTE(SUBSTITUTE(SUBSTITUTE(SUBSTITUTE(SUBSTITUTE(SUBSTITUTE(SUBSTITUTE(SUBSTITUTE(TRIM(D756&amp;""),CHAR(160),"")," ",""),"초등학교","초"),"중학교","중"),"고등학교","고"),"~","~~"),"*","~*"),"?","~?")</f>
      </c>
      <c r="Q756" t="str">
        <f>SUBSTITUTE(SUBSTITUTE(SUBSTITUTE(SUBSTITUTE(SUBSTITUTE(SUBSTITUTE(SUBSTITUTE(SUBSTITUTE(TRIM(E756&amp;""),CHAR(160),"")," ",""),"초등학교","초"),"중학교","중"),"고등학교","고"),"~","~~"),"*","~*"),"?","~?")</f>
      </c>
      <c r="R756" t="str">
        <f>IF(COUNTA(B756:J756)=0,"",IF(AND(O756&lt;&gt;"",P756&lt;&gt;"",Q756&lt;&gt;""),"","입력누락"))</f>
      </c>
    </row>
    <row r="757" customFormat="false" ht="15" hidden="false" customHeight="false" outlineLevel="0" collapsed="false">
      <c r="A757" t="n" s="19">
        <f aca="0">IF(COUNTA(B757:J757)=0,"",ROW()-1)</f>
      </c>
      <c r="B757" s="24"/>
      <c r="C757" s="25"/>
      <c r="D757" s="8"/>
      <c r="E757" s="8"/>
      <c r="F757" s="26"/>
      <c r="G757" s="24"/>
      <c r="H757" s="25"/>
      <c r="I757" s="25"/>
      <c r="J757" s="26"/>
      <c r="K757" t="str" s="15">
        <f aca="0">IF(COUNTA(B757:J757)=0,"",IF(R757&lt;&gt;"","확인필요(입력누락)",IF(COUNTIFS(보유목록!$I$2:$I$3001,"*"&amp;P757&amp;"*",보유목록!$I$2:$I$3001,"*"&amp;Q757&amp;"*",보유목록!$H$2:$H$3001,O757)&gt;0,"있음",IF(COUNTIFS(보유목록!$I$2:$I$3001,"*"&amp;P757&amp;"*",보유목록!$I$2:$I$3001,"*"&amp;Q757&amp;"*")&gt;0,"확인필요(연도다름)",IF(COUNTIFS(보유목록!$I$2:$I$3001,"*"&amp;P757&amp;"*",보유목록!$H$2:$H$3001,O757)&gt;0,"확인필요(같은학교·같은연도)","없음")))))</f>
      </c>
      <c r="L757" t="str" s="16">
        <f aca="0">IF(OR(COUNTA(B757:J757)=0,R757&lt;&gt;""),"",COUNTIFS(보유목록!$I$2:$I$3001,"*"&amp;P757&amp;"*",보유목록!$I$2:$I$3001,"*"&amp;Q757&amp;"*"))</f>
      </c>
      <c r="M757" t="str" s="23">
        <f aca="0">IF(OR(COUNTA(B757:J757)=0,R757&lt;&gt;""),"",IFERROR(LOOKUP(2,1/(ISNUMBER(SEARCH(P757,보유목록!$I$2:$I$3001))*ISNUMBER(SEARCH(Q757,보유목록!$I$2:$I$3001))*(보유목록!$H$2:$H$3001=O757)),보유목록!$B$2:$B$3001),IFERROR(LOOKUP(2,1/(ISNUMBER(SEARCH(P757,보유목록!$I$2:$I$3001))*ISNUMBER(SEARCH(Q757,보유목록!$I$2:$I$3001))),보유목록!$B$2:$B$3001),"")))</f>
      </c>
      <c r="N757" s="25"/>
      <c r="O757" t="str">
        <f>IFERROR(IF(AND(LEN(SUBSTITUTE(SUBSTITUTE(SUBSTITUTE(TRIM(C757&amp;""),CHAR(160),"")," ",""),"년",""))=4,VALUE(SUBSTITUTE(SUBSTITUTE(SUBSTITUTE(TRIM(C757&amp;""),CHAR(160),"")," ",""),"년",""))&gt;=1900,VALUE(SUBSTITUTE(SUBSTITUTE(SUBSTITUTE(TRIM(C757&amp;""),CHAR(160),"")," ",""),"년",""))&lt;=2099,TEXT(VALUE(SUBSTITUTE(SUBSTITUTE(SUBSTITUTE(TRIM(C757&amp;""),CHAR(160),"")," ",""),"년","")),"0000")=SUBSTITUTE(SUBSTITUTE(SUBSTITUTE(TRIM(C757&amp;""),CHAR(160),"")," ",""),"년","")),SUBSTITUTE(SUBSTITUTE(SUBSTITUTE(TRIM(C757&amp;""),CHAR(160),"")," ",""),"년",""),""),"")</f>
      </c>
      <c r="P757" t="str">
        <f>SUBSTITUTE(SUBSTITUTE(SUBSTITUTE(SUBSTITUTE(SUBSTITUTE(SUBSTITUTE(SUBSTITUTE(SUBSTITUTE(TRIM(D757&amp;""),CHAR(160),"")," ",""),"초등학교","초"),"중학교","중"),"고등학교","고"),"~","~~"),"*","~*"),"?","~?")</f>
      </c>
      <c r="Q757" t="str">
        <f>SUBSTITUTE(SUBSTITUTE(SUBSTITUTE(SUBSTITUTE(SUBSTITUTE(SUBSTITUTE(SUBSTITUTE(SUBSTITUTE(TRIM(E757&amp;""),CHAR(160),"")," ",""),"초등학교","초"),"중학교","중"),"고등학교","고"),"~","~~"),"*","~*"),"?","~?")</f>
      </c>
      <c r="R757" t="str">
        <f>IF(COUNTA(B757:J757)=0,"",IF(AND(O757&lt;&gt;"",P757&lt;&gt;"",Q757&lt;&gt;""),"","입력누락"))</f>
      </c>
    </row>
    <row r="758" customFormat="false" ht="15" hidden="false" customHeight="false" outlineLevel="0" collapsed="false">
      <c r="A758" t="n" s="19">
        <f aca="0">IF(COUNTA(B758:J758)=0,"",ROW()-1)</f>
      </c>
      <c r="B758" s="24"/>
      <c r="C758" s="25"/>
      <c r="D758" s="8"/>
      <c r="E758" s="8"/>
      <c r="F758" s="26"/>
      <c r="G758" s="24"/>
      <c r="H758" s="25"/>
      <c r="I758" s="25"/>
      <c r="J758" s="26"/>
      <c r="K758" t="str" s="15">
        <f aca="0">IF(COUNTA(B758:J758)=0,"",IF(R758&lt;&gt;"","확인필요(입력누락)",IF(COUNTIFS(보유목록!$I$2:$I$3001,"*"&amp;P758&amp;"*",보유목록!$I$2:$I$3001,"*"&amp;Q758&amp;"*",보유목록!$H$2:$H$3001,O758)&gt;0,"있음",IF(COUNTIFS(보유목록!$I$2:$I$3001,"*"&amp;P758&amp;"*",보유목록!$I$2:$I$3001,"*"&amp;Q758&amp;"*")&gt;0,"확인필요(연도다름)",IF(COUNTIFS(보유목록!$I$2:$I$3001,"*"&amp;P758&amp;"*",보유목록!$H$2:$H$3001,O758)&gt;0,"확인필요(같은학교·같은연도)","없음")))))</f>
      </c>
      <c r="L758" t="str" s="16">
        <f aca="0">IF(OR(COUNTA(B758:J758)=0,R758&lt;&gt;""),"",COUNTIFS(보유목록!$I$2:$I$3001,"*"&amp;P758&amp;"*",보유목록!$I$2:$I$3001,"*"&amp;Q758&amp;"*"))</f>
      </c>
      <c r="M758" t="str" s="23">
        <f aca="0">IF(OR(COUNTA(B758:J758)=0,R758&lt;&gt;""),"",IFERROR(LOOKUP(2,1/(ISNUMBER(SEARCH(P758,보유목록!$I$2:$I$3001))*ISNUMBER(SEARCH(Q758,보유목록!$I$2:$I$3001))*(보유목록!$H$2:$H$3001=O758)),보유목록!$B$2:$B$3001),IFERROR(LOOKUP(2,1/(ISNUMBER(SEARCH(P758,보유목록!$I$2:$I$3001))*ISNUMBER(SEARCH(Q758,보유목록!$I$2:$I$3001))),보유목록!$B$2:$B$3001),"")))</f>
      </c>
      <c r="N758" s="25"/>
      <c r="O758" t="str">
        <f>IFERROR(IF(AND(LEN(SUBSTITUTE(SUBSTITUTE(SUBSTITUTE(TRIM(C758&amp;""),CHAR(160),"")," ",""),"년",""))=4,VALUE(SUBSTITUTE(SUBSTITUTE(SUBSTITUTE(TRIM(C758&amp;""),CHAR(160),"")," ",""),"년",""))&gt;=1900,VALUE(SUBSTITUTE(SUBSTITUTE(SUBSTITUTE(TRIM(C758&amp;""),CHAR(160),"")," ",""),"년",""))&lt;=2099,TEXT(VALUE(SUBSTITUTE(SUBSTITUTE(SUBSTITUTE(TRIM(C758&amp;""),CHAR(160),"")," ",""),"년","")),"0000")=SUBSTITUTE(SUBSTITUTE(SUBSTITUTE(TRIM(C758&amp;""),CHAR(160),"")," ",""),"년","")),SUBSTITUTE(SUBSTITUTE(SUBSTITUTE(TRIM(C758&amp;""),CHAR(160),"")," ",""),"년",""),""),"")</f>
      </c>
      <c r="P758" t="str">
        <f>SUBSTITUTE(SUBSTITUTE(SUBSTITUTE(SUBSTITUTE(SUBSTITUTE(SUBSTITUTE(SUBSTITUTE(SUBSTITUTE(TRIM(D758&amp;""),CHAR(160),"")," ",""),"초등학교","초"),"중학교","중"),"고등학교","고"),"~","~~"),"*","~*"),"?","~?")</f>
      </c>
      <c r="Q758" t="str">
        <f>SUBSTITUTE(SUBSTITUTE(SUBSTITUTE(SUBSTITUTE(SUBSTITUTE(SUBSTITUTE(SUBSTITUTE(SUBSTITUTE(TRIM(E758&amp;""),CHAR(160),"")," ",""),"초등학교","초"),"중학교","중"),"고등학교","고"),"~","~~"),"*","~*"),"?","~?")</f>
      </c>
      <c r="R758" t="str">
        <f>IF(COUNTA(B758:J758)=0,"",IF(AND(O758&lt;&gt;"",P758&lt;&gt;"",Q758&lt;&gt;""),"","입력누락"))</f>
      </c>
    </row>
    <row r="759" customFormat="false" ht="15" hidden="false" customHeight="false" outlineLevel="0" collapsed="false">
      <c r="A759" t="n" s="19">
        <f aca="0">IF(COUNTA(B759:J759)=0,"",ROW()-1)</f>
      </c>
      <c r="B759" s="24"/>
      <c r="C759" s="25"/>
      <c r="D759" s="8"/>
      <c r="E759" s="8"/>
      <c r="F759" s="26"/>
      <c r="G759" s="24"/>
      <c r="H759" s="25"/>
      <c r="I759" s="25"/>
      <c r="J759" s="26"/>
      <c r="K759" t="str" s="15">
        <f aca="0">IF(COUNTA(B759:J759)=0,"",IF(R759&lt;&gt;"","확인필요(입력누락)",IF(COUNTIFS(보유목록!$I$2:$I$3001,"*"&amp;P759&amp;"*",보유목록!$I$2:$I$3001,"*"&amp;Q759&amp;"*",보유목록!$H$2:$H$3001,O759)&gt;0,"있음",IF(COUNTIFS(보유목록!$I$2:$I$3001,"*"&amp;P759&amp;"*",보유목록!$I$2:$I$3001,"*"&amp;Q759&amp;"*")&gt;0,"확인필요(연도다름)",IF(COUNTIFS(보유목록!$I$2:$I$3001,"*"&amp;P759&amp;"*",보유목록!$H$2:$H$3001,O759)&gt;0,"확인필요(같은학교·같은연도)","없음")))))</f>
      </c>
      <c r="L759" t="str" s="16">
        <f aca="0">IF(OR(COUNTA(B759:J759)=0,R759&lt;&gt;""),"",COUNTIFS(보유목록!$I$2:$I$3001,"*"&amp;P759&amp;"*",보유목록!$I$2:$I$3001,"*"&amp;Q759&amp;"*"))</f>
      </c>
      <c r="M759" t="str" s="23">
        <f aca="0">IF(OR(COUNTA(B759:J759)=0,R759&lt;&gt;""),"",IFERROR(LOOKUP(2,1/(ISNUMBER(SEARCH(P759,보유목록!$I$2:$I$3001))*ISNUMBER(SEARCH(Q759,보유목록!$I$2:$I$3001))*(보유목록!$H$2:$H$3001=O759)),보유목록!$B$2:$B$3001),IFERROR(LOOKUP(2,1/(ISNUMBER(SEARCH(P759,보유목록!$I$2:$I$3001))*ISNUMBER(SEARCH(Q759,보유목록!$I$2:$I$3001))),보유목록!$B$2:$B$3001),"")))</f>
      </c>
      <c r="N759" s="25"/>
      <c r="O759" t="str">
        <f>IFERROR(IF(AND(LEN(SUBSTITUTE(SUBSTITUTE(SUBSTITUTE(TRIM(C759&amp;""),CHAR(160),"")," ",""),"년",""))=4,VALUE(SUBSTITUTE(SUBSTITUTE(SUBSTITUTE(TRIM(C759&amp;""),CHAR(160),"")," ",""),"년",""))&gt;=1900,VALUE(SUBSTITUTE(SUBSTITUTE(SUBSTITUTE(TRIM(C759&amp;""),CHAR(160),"")," ",""),"년",""))&lt;=2099,TEXT(VALUE(SUBSTITUTE(SUBSTITUTE(SUBSTITUTE(TRIM(C759&amp;""),CHAR(160),"")," ",""),"년","")),"0000")=SUBSTITUTE(SUBSTITUTE(SUBSTITUTE(TRIM(C759&amp;""),CHAR(160),"")," ",""),"년","")),SUBSTITUTE(SUBSTITUTE(SUBSTITUTE(TRIM(C759&amp;""),CHAR(160),"")," ",""),"년",""),""),"")</f>
      </c>
      <c r="P759" t="str">
        <f>SUBSTITUTE(SUBSTITUTE(SUBSTITUTE(SUBSTITUTE(SUBSTITUTE(SUBSTITUTE(SUBSTITUTE(SUBSTITUTE(TRIM(D759&amp;""),CHAR(160),"")," ",""),"초등학교","초"),"중학교","중"),"고등학교","고"),"~","~~"),"*","~*"),"?","~?")</f>
      </c>
      <c r="Q759" t="str">
        <f>SUBSTITUTE(SUBSTITUTE(SUBSTITUTE(SUBSTITUTE(SUBSTITUTE(SUBSTITUTE(SUBSTITUTE(SUBSTITUTE(TRIM(E759&amp;""),CHAR(160),"")," ",""),"초등학교","초"),"중학교","중"),"고등학교","고"),"~","~~"),"*","~*"),"?","~?")</f>
      </c>
      <c r="R759" t="str">
        <f>IF(COUNTA(B759:J759)=0,"",IF(AND(O759&lt;&gt;"",P759&lt;&gt;"",Q759&lt;&gt;""),"","입력누락"))</f>
      </c>
    </row>
    <row r="760" customFormat="false" ht="15" hidden="false" customHeight="false" outlineLevel="0" collapsed="false">
      <c r="A760" t="n" s="19">
        <f aca="0">IF(COUNTA(B760:J760)=0,"",ROW()-1)</f>
      </c>
      <c r="B760" s="24"/>
      <c r="C760" s="25"/>
      <c r="D760" s="8"/>
      <c r="E760" s="8"/>
      <c r="F760" s="26"/>
      <c r="G760" s="24"/>
      <c r="H760" s="25"/>
      <c r="I760" s="25"/>
      <c r="J760" s="26"/>
      <c r="K760" t="str" s="15">
        <f aca="0">IF(COUNTA(B760:J760)=0,"",IF(R760&lt;&gt;"","확인필요(입력누락)",IF(COUNTIFS(보유목록!$I$2:$I$3001,"*"&amp;P760&amp;"*",보유목록!$I$2:$I$3001,"*"&amp;Q760&amp;"*",보유목록!$H$2:$H$3001,O760)&gt;0,"있음",IF(COUNTIFS(보유목록!$I$2:$I$3001,"*"&amp;P760&amp;"*",보유목록!$I$2:$I$3001,"*"&amp;Q760&amp;"*")&gt;0,"확인필요(연도다름)",IF(COUNTIFS(보유목록!$I$2:$I$3001,"*"&amp;P760&amp;"*",보유목록!$H$2:$H$3001,O760)&gt;0,"확인필요(같은학교·같은연도)","없음")))))</f>
      </c>
      <c r="L760" t="str" s="16">
        <f aca="0">IF(OR(COUNTA(B760:J760)=0,R760&lt;&gt;""),"",COUNTIFS(보유목록!$I$2:$I$3001,"*"&amp;P760&amp;"*",보유목록!$I$2:$I$3001,"*"&amp;Q760&amp;"*"))</f>
      </c>
      <c r="M760" t="str" s="23">
        <f aca="0">IF(OR(COUNTA(B760:J760)=0,R760&lt;&gt;""),"",IFERROR(LOOKUP(2,1/(ISNUMBER(SEARCH(P760,보유목록!$I$2:$I$3001))*ISNUMBER(SEARCH(Q760,보유목록!$I$2:$I$3001))*(보유목록!$H$2:$H$3001=O760)),보유목록!$B$2:$B$3001),IFERROR(LOOKUP(2,1/(ISNUMBER(SEARCH(P760,보유목록!$I$2:$I$3001))*ISNUMBER(SEARCH(Q760,보유목록!$I$2:$I$3001))),보유목록!$B$2:$B$3001),"")))</f>
      </c>
      <c r="N760" s="25"/>
      <c r="O760" t="str">
        <f>IFERROR(IF(AND(LEN(SUBSTITUTE(SUBSTITUTE(SUBSTITUTE(TRIM(C760&amp;""),CHAR(160),"")," ",""),"년",""))=4,VALUE(SUBSTITUTE(SUBSTITUTE(SUBSTITUTE(TRIM(C760&amp;""),CHAR(160),"")," ",""),"년",""))&gt;=1900,VALUE(SUBSTITUTE(SUBSTITUTE(SUBSTITUTE(TRIM(C760&amp;""),CHAR(160),"")," ",""),"년",""))&lt;=2099,TEXT(VALUE(SUBSTITUTE(SUBSTITUTE(SUBSTITUTE(TRIM(C760&amp;""),CHAR(160),"")," ",""),"년","")),"0000")=SUBSTITUTE(SUBSTITUTE(SUBSTITUTE(TRIM(C760&amp;""),CHAR(160),"")," ",""),"년","")),SUBSTITUTE(SUBSTITUTE(SUBSTITUTE(TRIM(C760&amp;""),CHAR(160),"")," ",""),"년",""),""),"")</f>
      </c>
      <c r="P760" t="str">
        <f>SUBSTITUTE(SUBSTITUTE(SUBSTITUTE(SUBSTITUTE(SUBSTITUTE(SUBSTITUTE(SUBSTITUTE(SUBSTITUTE(TRIM(D760&amp;""),CHAR(160),"")," ",""),"초등학교","초"),"중학교","중"),"고등학교","고"),"~","~~"),"*","~*"),"?","~?")</f>
      </c>
      <c r="Q760" t="str">
        <f>SUBSTITUTE(SUBSTITUTE(SUBSTITUTE(SUBSTITUTE(SUBSTITUTE(SUBSTITUTE(SUBSTITUTE(SUBSTITUTE(TRIM(E760&amp;""),CHAR(160),"")," ",""),"초등학교","초"),"중학교","중"),"고등학교","고"),"~","~~"),"*","~*"),"?","~?")</f>
      </c>
      <c r="R760" t="str">
        <f>IF(COUNTA(B760:J760)=0,"",IF(AND(O760&lt;&gt;"",P760&lt;&gt;"",Q760&lt;&gt;""),"","입력누락"))</f>
      </c>
    </row>
    <row r="761" customFormat="false" ht="15" hidden="false" customHeight="false" outlineLevel="0" collapsed="false">
      <c r="A761" t="n" s="19">
        <f aca="0">IF(COUNTA(B761:J761)=0,"",ROW()-1)</f>
      </c>
      <c r="B761" s="24"/>
      <c r="C761" s="25"/>
      <c r="D761" s="8"/>
      <c r="E761" s="8"/>
      <c r="F761" s="26"/>
      <c r="G761" s="24"/>
      <c r="H761" s="25"/>
      <c r="I761" s="25"/>
      <c r="J761" s="26"/>
      <c r="K761" t="str" s="15">
        <f aca="0">IF(COUNTA(B761:J761)=0,"",IF(R761&lt;&gt;"","확인필요(입력누락)",IF(COUNTIFS(보유목록!$I$2:$I$3001,"*"&amp;P761&amp;"*",보유목록!$I$2:$I$3001,"*"&amp;Q761&amp;"*",보유목록!$H$2:$H$3001,O761)&gt;0,"있음",IF(COUNTIFS(보유목록!$I$2:$I$3001,"*"&amp;P761&amp;"*",보유목록!$I$2:$I$3001,"*"&amp;Q761&amp;"*")&gt;0,"확인필요(연도다름)",IF(COUNTIFS(보유목록!$I$2:$I$3001,"*"&amp;P761&amp;"*",보유목록!$H$2:$H$3001,O761)&gt;0,"확인필요(같은학교·같은연도)","없음")))))</f>
      </c>
      <c r="L761" t="str" s="16">
        <f aca="0">IF(OR(COUNTA(B761:J761)=0,R761&lt;&gt;""),"",COUNTIFS(보유목록!$I$2:$I$3001,"*"&amp;P761&amp;"*",보유목록!$I$2:$I$3001,"*"&amp;Q761&amp;"*"))</f>
      </c>
      <c r="M761" t="str" s="23">
        <f aca="0">IF(OR(COUNTA(B761:J761)=0,R761&lt;&gt;""),"",IFERROR(LOOKUP(2,1/(ISNUMBER(SEARCH(P761,보유목록!$I$2:$I$3001))*ISNUMBER(SEARCH(Q761,보유목록!$I$2:$I$3001))*(보유목록!$H$2:$H$3001=O761)),보유목록!$B$2:$B$3001),IFERROR(LOOKUP(2,1/(ISNUMBER(SEARCH(P761,보유목록!$I$2:$I$3001))*ISNUMBER(SEARCH(Q761,보유목록!$I$2:$I$3001))),보유목록!$B$2:$B$3001),"")))</f>
      </c>
      <c r="N761" s="25"/>
      <c r="O761" t="str">
        <f>IFERROR(IF(AND(LEN(SUBSTITUTE(SUBSTITUTE(SUBSTITUTE(TRIM(C761&amp;""),CHAR(160),"")," ",""),"년",""))=4,VALUE(SUBSTITUTE(SUBSTITUTE(SUBSTITUTE(TRIM(C761&amp;""),CHAR(160),"")," ",""),"년",""))&gt;=1900,VALUE(SUBSTITUTE(SUBSTITUTE(SUBSTITUTE(TRIM(C761&amp;""),CHAR(160),"")," ",""),"년",""))&lt;=2099,TEXT(VALUE(SUBSTITUTE(SUBSTITUTE(SUBSTITUTE(TRIM(C761&amp;""),CHAR(160),"")," ",""),"년","")),"0000")=SUBSTITUTE(SUBSTITUTE(SUBSTITUTE(TRIM(C761&amp;""),CHAR(160),"")," ",""),"년","")),SUBSTITUTE(SUBSTITUTE(SUBSTITUTE(TRIM(C761&amp;""),CHAR(160),"")," ",""),"년",""),""),"")</f>
      </c>
      <c r="P761" t="str">
        <f>SUBSTITUTE(SUBSTITUTE(SUBSTITUTE(SUBSTITUTE(SUBSTITUTE(SUBSTITUTE(SUBSTITUTE(SUBSTITUTE(TRIM(D761&amp;""),CHAR(160),"")," ",""),"초등학교","초"),"중학교","중"),"고등학교","고"),"~","~~"),"*","~*"),"?","~?")</f>
      </c>
      <c r="Q761" t="str">
        <f>SUBSTITUTE(SUBSTITUTE(SUBSTITUTE(SUBSTITUTE(SUBSTITUTE(SUBSTITUTE(SUBSTITUTE(SUBSTITUTE(TRIM(E761&amp;""),CHAR(160),"")," ",""),"초등학교","초"),"중학교","중"),"고등학교","고"),"~","~~"),"*","~*"),"?","~?")</f>
      </c>
      <c r="R761" t="str">
        <f>IF(COUNTA(B761:J761)=0,"",IF(AND(O761&lt;&gt;"",P761&lt;&gt;"",Q761&lt;&gt;""),"","입력누락"))</f>
      </c>
    </row>
    <row r="762" customFormat="false" ht="15" hidden="false" customHeight="false" outlineLevel="0" collapsed="false">
      <c r="A762" t="n" s="19">
        <f aca="0">IF(COUNTA(B762:J762)=0,"",ROW()-1)</f>
      </c>
      <c r="B762" s="24"/>
      <c r="C762" s="25"/>
      <c r="D762" s="8"/>
      <c r="E762" s="8"/>
      <c r="F762" s="26"/>
      <c r="G762" s="24"/>
      <c r="H762" s="25"/>
      <c r="I762" s="25"/>
      <c r="J762" s="26"/>
      <c r="K762" t="str" s="15">
        <f aca="0">IF(COUNTA(B762:J762)=0,"",IF(R762&lt;&gt;"","확인필요(입력누락)",IF(COUNTIFS(보유목록!$I$2:$I$3001,"*"&amp;P762&amp;"*",보유목록!$I$2:$I$3001,"*"&amp;Q762&amp;"*",보유목록!$H$2:$H$3001,O762)&gt;0,"있음",IF(COUNTIFS(보유목록!$I$2:$I$3001,"*"&amp;P762&amp;"*",보유목록!$I$2:$I$3001,"*"&amp;Q762&amp;"*")&gt;0,"확인필요(연도다름)",IF(COUNTIFS(보유목록!$I$2:$I$3001,"*"&amp;P762&amp;"*",보유목록!$H$2:$H$3001,O762)&gt;0,"확인필요(같은학교·같은연도)","없음")))))</f>
      </c>
      <c r="L762" t="str" s="16">
        <f aca="0">IF(OR(COUNTA(B762:J762)=0,R762&lt;&gt;""),"",COUNTIFS(보유목록!$I$2:$I$3001,"*"&amp;P762&amp;"*",보유목록!$I$2:$I$3001,"*"&amp;Q762&amp;"*"))</f>
      </c>
      <c r="M762" t="str" s="23">
        <f aca="0">IF(OR(COUNTA(B762:J762)=0,R762&lt;&gt;""),"",IFERROR(LOOKUP(2,1/(ISNUMBER(SEARCH(P762,보유목록!$I$2:$I$3001))*ISNUMBER(SEARCH(Q762,보유목록!$I$2:$I$3001))*(보유목록!$H$2:$H$3001=O762)),보유목록!$B$2:$B$3001),IFERROR(LOOKUP(2,1/(ISNUMBER(SEARCH(P762,보유목록!$I$2:$I$3001))*ISNUMBER(SEARCH(Q762,보유목록!$I$2:$I$3001))),보유목록!$B$2:$B$3001),"")))</f>
      </c>
      <c r="N762" s="25"/>
      <c r="O762" t="str">
        <f>IFERROR(IF(AND(LEN(SUBSTITUTE(SUBSTITUTE(SUBSTITUTE(TRIM(C762&amp;""),CHAR(160),"")," ",""),"년",""))=4,VALUE(SUBSTITUTE(SUBSTITUTE(SUBSTITUTE(TRIM(C762&amp;""),CHAR(160),"")," ",""),"년",""))&gt;=1900,VALUE(SUBSTITUTE(SUBSTITUTE(SUBSTITUTE(TRIM(C762&amp;""),CHAR(160),"")," ",""),"년",""))&lt;=2099,TEXT(VALUE(SUBSTITUTE(SUBSTITUTE(SUBSTITUTE(TRIM(C762&amp;""),CHAR(160),"")," ",""),"년","")),"0000")=SUBSTITUTE(SUBSTITUTE(SUBSTITUTE(TRIM(C762&amp;""),CHAR(160),"")," ",""),"년","")),SUBSTITUTE(SUBSTITUTE(SUBSTITUTE(TRIM(C762&amp;""),CHAR(160),"")," ",""),"년",""),""),"")</f>
      </c>
      <c r="P762" t="str">
        <f>SUBSTITUTE(SUBSTITUTE(SUBSTITUTE(SUBSTITUTE(SUBSTITUTE(SUBSTITUTE(SUBSTITUTE(SUBSTITUTE(TRIM(D762&amp;""),CHAR(160),"")," ",""),"초등학교","초"),"중학교","중"),"고등학교","고"),"~","~~"),"*","~*"),"?","~?")</f>
      </c>
      <c r="Q762" t="str">
        <f>SUBSTITUTE(SUBSTITUTE(SUBSTITUTE(SUBSTITUTE(SUBSTITUTE(SUBSTITUTE(SUBSTITUTE(SUBSTITUTE(TRIM(E762&amp;""),CHAR(160),"")," ",""),"초등학교","초"),"중학교","중"),"고등학교","고"),"~","~~"),"*","~*"),"?","~?")</f>
      </c>
      <c r="R762" t="str">
        <f>IF(COUNTA(B762:J762)=0,"",IF(AND(O762&lt;&gt;"",P762&lt;&gt;"",Q762&lt;&gt;""),"","입력누락"))</f>
      </c>
    </row>
    <row r="763" customFormat="false" ht="15" hidden="false" customHeight="false" outlineLevel="0" collapsed="false">
      <c r="A763" t="n" s="19">
        <f aca="0">IF(COUNTA(B763:J763)=0,"",ROW()-1)</f>
      </c>
      <c r="B763" s="24"/>
      <c r="C763" s="25"/>
      <c r="D763" s="8"/>
      <c r="E763" s="8"/>
      <c r="F763" s="26"/>
      <c r="G763" s="24"/>
      <c r="H763" s="25"/>
      <c r="I763" s="25"/>
      <c r="J763" s="26"/>
      <c r="K763" t="str" s="15">
        <f aca="0">IF(COUNTA(B763:J763)=0,"",IF(R763&lt;&gt;"","확인필요(입력누락)",IF(COUNTIFS(보유목록!$I$2:$I$3001,"*"&amp;P763&amp;"*",보유목록!$I$2:$I$3001,"*"&amp;Q763&amp;"*",보유목록!$H$2:$H$3001,O763)&gt;0,"있음",IF(COUNTIFS(보유목록!$I$2:$I$3001,"*"&amp;P763&amp;"*",보유목록!$I$2:$I$3001,"*"&amp;Q763&amp;"*")&gt;0,"확인필요(연도다름)",IF(COUNTIFS(보유목록!$I$2:$I$3001,"*"&amp;P763&amp;"*",보유목록!$H$2:$H$3001,O763)&gt;0,"확인필요(같은학교·같은연도)","없음")))))</f>
      </c>
      <c r="L763" t="str" s="16">
        <f aca="0">IF(OR(COUNTA(B763:J763)=0,R763&lt;&gt;""),"",COUNTIFS(보유목록!$I$2:$I$3001,"*"&amp;P763&amp;"*",보유목록!$I$2:$I$3001,"*"&amp;Q763&amp;"*"))</f>
      </c>
      <c r="M763" t="str" s="23">
        <f aca="0">IF(OR(COUNTA(B763:J763)=0,R763&lt;&gt;""),"",IFERROR(LOOKUP(2,1/(ISNUMBER(SEARCH(P763,보유목록!$I$2:$I$3001))*ISNUMBER(SEARCH(Q763,보유목록!$I$2:$I$3001))*(보유목록!$H$2:$H$3001=O763)),보유목록!$B$2:$B$3001),IFERROR(LOOKUP(2,1/(ISNUMBER(SEARCH(P763,보유목록!$I$2:$I$3001))*ISNUMBER(SEARCH(Q763,보유목록!$I$2:$I$3001))),보유목록!$B$2:$B$3001),"")))</f>
      </c>
      <c r="N763" s="25"/>
      <c r="O763" t="str">
        <f>IFERROR(IF(AND(LEN(SUBSTITUTE(SUBSTITUTE(SUBSTITUTE(TRIM(C763&amp;""),CHAR(160),"")," ",""),"년",""))=4,VALUE(SUBSTITUTE(SUBSTITUTE(SUBSTITUTE(TRIM(C763&amp;""),CHAR(160),"")," ",""),"년",""))&gt;=1900,VALUE(SUBSTITUTE(SUBSTITUTE(SUBSTITUTE(TRIM(C763&amp;""),CHAR(160),"")," ",""),"년",""))&lt;=2099,TEXT(VALUE(SUBSTITUTE(SUBSTITUTE(SUBSTITUTE(TRIM(C763&amp;""),CHAR(160),"")," ",""),"년","")),"0000")=SUBSTITUTE(SUBSTITUTE(SUBSTITUTE(TRIM(C763&amp;""),CHAR(160),"")," ",""),"년","")),SUBSTITUTE(SUBSTITUTE(SUBSTITUTE(TRIM(C763&amp;""),CHAR(160),"")," ",""),"년",""),""),"")</f>
      </c>
      <c r="P763" t="str">
        <f>SUBSTITUTE(SUBSTITUTE(SUBSTITUTE(SUBSTITUTE(SUBSTITUTE(SUBSTITUTE(SUBSTITUTE(SUBSTITUTE(TRIM(D763&amp;""),CHAR(160),"")," ",""),"초등학교","초"),"중학교","중"),"고등학교","고"),"~","~~"),"*","~*"),"?","~?")</f>
      </c>
      <c r="Q763" t="str">
        <f>SUBSTITUTE(SUBSTITUTE(SUBSTITUTE(SUBSTITUTE(SUBSTITUTE(SUBSTITUTE(SUBSTITUTE(SUBSTITUTE(TRIM(E763&amp;""),CHAR(160),"")," ",""),"초등학교","초"),"중학교","중"),"고등학교","고"),"~","~~"),"*","~*"),"?","~?")</f>
      </c>
      <c r="R763" t="str">
        <f>IF(COUNTA(B763:J763)=0,"",IF(AND(O763&lt;&gt;"",P763&lt;&gt;"",Q763&lt;&gt;""),"","입력누락"))</f>
      </c>
    </row>
    <row r="764" customFormat="false" ht="15" hidden="false" customHeight="false" outlineLevel="0" collapsed="false">
      <c r="A764" t="n" s="19">
        <f aca="0">IF(COUNTA(B764:J764)=0,"",ROW()-1)</f>
      </c>
      <c r="B764" s="24"/>
      <c r="C764" s="25"/>
      <c r="D764" s="8"/>
      <c r="E764" s="8"/>
      <c r="F764" s="26"/>
      <c r="G764" s="24"/>
      <c r="H764" s="25"/>
      <c r="I764" s="25"/>
      <c r="J764" s="26"/>
      <c r="K764" t="str" s="15">
        <f aca="0">IF(COUNTA(B764:J764)=0,"",IF(R764&lt;&gt;"","확인필요(입력누락)",IF(COUNTIFS(보유목록!$I$2:$I$3001,"*"&amp;P764&amp;"*",보유목록!$I$2:$I$3001,"*"&amp;Q764&amp;"*",보유목록!$H$2:$H$3001,O764)&gt;0,"있음",IF(COUNTIFS(보유목록!$I$2:$I$3001,"*"&amp;P764&amp;"*",보유목록!$I$2:$I$3001,"*"&amp;Q764&amp;"*")&gt;0,"확인필요(연도다름)",IF(COUNTIFS(보유목록!$I$2:$I$3001,"*"&amp;P764&amp;"*",보유목록!$H$2:$H$3001,O764)&gt;0,"확인필요(같은학교·같은연도)","없음")))))</f>
      </c>
      <c r="L764" t="str" s="16">
        <f aca="0">IF(OR(COUNTA(B764:J764)=0,R764&lt;&gt;""),"",COUNTIFS(보유목록!$I$2:$I$3001,"*"&amp;P764&amp;"*",보유목록!$I$2:$I$3001,"*"&amp;Q764&amp;"*"))</f>
      </c>
      <c r="M764" t="str" s="23">
        <f aca="0">IF(OR(COUNTA(B764:J764)=0,R764&lt;&gt;""),"",IFERROR(LOOKUP(2,1/(ISNUMBER(SEARCH(P764,보유목록!$I$2:$I$3001))*ISNUMBER(SEARCH(Q764,보유목록!$I$2:$I$3001))*(보유목록!$H$2:$H$3001=O764)),보유목록!$B$2:$B$3001),IFERROR(LOOKUP(2,1/(ISNUMBER(SEARCH(P764,보유목록!$I$2:$I$3001))*ISNUMBER(SEARCH(Q764,보유목록!$I$2:$I$3001))),보유목록!$B$2:$B$3001),"")))</f>
      </c>
      <c r="N764" s="25"/>
      <c r="O764" t="str">
        <f>IFERROR(IF(AND(LEN(SUBSTITUTE(SUBSTITUTE(SUBSTITUTE(TRIM(C764&amp;""),CHAR(160),"")," ",""),"년",""))=4,VALUE(SUBSTITUTE(SUBSTITUTE(SUBSTITUTE(TRIM(C764&amp;""),CHAR(160),"")," ",""),"년",""))&gt;=1900,VALUE(SUBSTITUTE(SUBSTITUTE(SUBSTITUTE(TRIM(C764&amp;""),CHAR(160),"")," ",""),"년",""))&lt;=2099,TEXT(VALUE(SUBSTITUTE(SUBSTITUTE(SUBSTITUTE(TRIM(C764&amp;""),CHAR(160),"")," ",""),"년","")),"0000")=SUBSTITUTE(SUBSTITUTE(SUBSTITUTE(TRIM(C764&amp;""),CHAR(160),"")," ",""),"년","")),SUBSTITUTE(SUBSTITUTE(SUBSTITUTE(TRIM(C764&amp;""),CHAR(160),"")," ",""),"년",""),""),"")</f>
      </c>
      <c r="P764" t="str">
        <f>SUBSTITUTE(SUBSTITUTE(SUBSTITUTE(SUBSTITUTE(SUBSTITUTE(SUBSTITUTE(SUBSTITUTE(SUBSTITUTE(TRIM(D764&amp;""),CHAR(160),"")," ",""),"초등학교","초"),"중학교","중"),"고등학교","고"),"~","~~"),"*","~*"),"?","~?")</f>
      </c>
      <c r="Q764" t="str">
        <f>SUBSTITUTE(SUBSTITUTE(SUBSTITUTE(SUBSTITUTE(SUBSTITUTE(SUBSTITUTE(SUBSTITUTE(SUBSTITUTE(TRIM(E764&amp;""),CHAR(160),"")," ",""),"초등학교","초"),"중학교","중"),"고등학교","고"),"~","~~"),"*","~*"),"?","~?")</f>
      </c>
      <c r="R764" t="str">
        <f>IF(COUNTA(B764:J764)=0,"",IF(AND(O764&lt;&gt;"",P764&lt;&gt;"",Q764&lt;&gt;""),"","입력누락"))</f>
      </c>
    </row>
    <row r="765" customFormat="false" ht="15" hidden="false" customHeight="false" outlineLevel="0" collapsed="false">
      <c r="A765" t="n" s="19">
        <f aca="0">IF(COUNTA(B765:J765)=0,"",ROW()-1)</f>
      </c>
      <c r="B765" s="24"/>
      <c r="C765" s="25"/>
      <c r="D765" s="8"/>
      <c r="E765" s="8"/>
      <c r="F765" s="26"/>
      <c r="G765" s="24"/>
      <c r="H765" s="25"/>
      <c r="I765" s="25"/>
      <c r="J765" s="26"/>
      <c r="K765" t="str" s="15">
        <f aca="0">IF(COUNTA(B765:J765)=0,"",IF(R765&lt;&gt;"","확인필요(입력누락)",IF(COUNTIFS(보유목록!$I$2:$I$3001,"*"&amp;P765&amp;"*",보유목록!$I$2:$I$3001,"*"&amp;Q765&amp;"*",보유목록!$H$2:$H$3001,O765)&gt;0,"있음",IF(COUNTIFS(보유목록!$I$2:$I$3001,"*"&amp;P765&amp;"*",보유목록!$I$2:$I$3001,"*"&amp;Q765&amp;"*")&gt;0,"확인필요(연도다름)",IF(COUNTIFS(보유목록!$I$2:$I$3001,"*"&amp;P765&amp;"*",보유목록!$H$2:$H$3001,O765)&gt;0,"확인필요(같은학교·같은연도)","없음")))))</f>
      </c>
      <c r="L765" t="str" s="16">
        <f aca="0">IF(OR(COUNTA(B765:J765)=0,R765&lt;&gt;""),"",COUNTIFS(보유목록!$I$2:$I$3001,"*"&amp;P765&amp;"*",보유목록!$I$2:$I$3001,"*"&amp;Q765&amp;"*"))</f>
      </c>
      <c r="M765" t="str" s="23">
        <f aca="0">IF(OR(COUNTA(B765:J765)=0,R765&lt;&gt;""),"",IFERROR(LOOKUP(2,1/(ISNUMBER(SEARCH(P765,보유목록!$I$2:$I$3001))*ISNUMBER(SEARCH(Q765,보유목록!$I$2:$I$3001))*(보유목록!$H$2:$H$3001=O765)),보유목록!$B$2:$B$3001),IFERROR(LOOKUP(2,1/(ISNUMBER(SEARCH(P765,보유목록!$I$2:$I$3001))*ISNUMBER(SEARCH(Q765,보유목록!$I$2:$I$3001))),보유목록!$B$2:$B$3001),"")))</f>
      </c>
      <c r="N765" s="25"/>
      <c r="O765" t="str">
        <f>IFERROR(IF(AND(LEN(SUBSTITUTE(SUBSTITUTE(SUBSTITUTE(TRIM(C765&amp;""),CHAR(160),"")," ",""),"년",""))=4,VALUE(SUBSTITUTE(SUBSTITUTE(SUBSTITUTE(TRIM(C765&amp;""),CHAR(160),"")," ",""),"년",""))&gt;=1900,VALUE(SUBSTITUTE(SUBSTITUTE(SUBSTITUTE(TRIM(C765&amp;""),CHAR(160),"")," ",""),"년",""))&lt;=2099,TEXT(VALUE(SUBSTITUTE(SUBSTITUTE(SUBSTITUTE(TRIM(C765&amp;""),CHAR(160),"")," ",""),"년","")),"0000")=SUBSTITUTE(SUBSTITUTE(SUBSTITUTE(TRIM(C765&amp;""),CHAR(160),"")," ",""),"년","")),SUBSTITUTE(SUBSTITUTE(SUBSTITUTE(TRIM(C765&amp;""),CHAR(160),"")," ",""),"년",""),""),"")</f>
      </c>
      <c r="P765" t="str">
        <f>SUBSTITUTE(SUBSTITUTE(SUBSTITUTE(SUBSTITUTE(SUBSTITUTE(SUBSTITUTE(SUBSTITUTE(SUBSTITUTE(TRIM(D765&amp;""),CHAR(160),"")," ",""),"초등학교","초"),"중학교","중"),"고등학교","고"),"~","~~"),"*","~*"),"?","~?")</f>
      </c>
      <c r="Q765" t="str">
        <f>SUBSTITUTE(SUBSTITUTE(SUBSTITUTE(SUBSTITUTE(SUBSTITUTE(SUBSTITUTE(SUBSTITUTE(SUBSTITUTE(TRIM(E765&amp;""),CHAR(160),"")," ",""),"초등학교","초"),"중학교","중"),"고등학교","고"),"~","~~"),"*","~*"),"?","~?")</f>
      </c>
      <c r="R765" t="str">
        <f>IF(COUNTA(B765:J765)=0,"",IF(AND(O765&lt;&gt;"",P765&lt;&gt;"",Q765&lt;&gt;""),"","입력누락"))</f>
      </c>
    </row>
    <row r="766" customFormat="false" ht="15" hidden="false" customHeight="false" outlineLevel="0" collapsed="false">
      <c r="A766" t="n" s="19">
        <f aca="0">IF(COUNTA(B766:J766)=0,"",ROW()-1)</f>
      </c>
      <c r="B766" s="24"/>
      <c r="C766" s="25"/>
      <c r="D766" s="8"/>
      <c r="E766" s="8"/>
      <c r="F766" s="26"/>
      <c r="G766" s="24"/>
      <c r="H766" s="25"/>
      <c r="I766" s="25"/>
      <c r="J766" s="26"/>
      <c r="K766" t="str" s="15">
        <f aca="0">IF(COUNTA(B766:J766)=0,"",IF(R766&lt;&gt;"","확인필요(입력누락)",IF(COUNTIFS(보유목록!$I$2:$I$3001,"*"&amp;P766&amp;"*",보유목록!$I$2:$I$3001,"*"&amp;Q766&amp;"*",보유목록!$H$2:$H$3001,O766)&gt;0,"있음",IF(COUNTIFS(보유목록!$I$2:$I$3001,"*"&amp;P766&amp;"*",보유목록!$I$2:$I$3001,"*"&amp;Q766&amp;"*")&gt;0,"확인필요(연도다름)",IF(COUNTIFS(보유목록!$I$2:$I$3001,"*"&amp;P766&amp;"*",보유목록!$H$2:$H$3001,O766)&gt;0,"확인필요(같은학교·같은연도)","없음")))))</f>
      </c>
      <c r="L766" t="str" s="16">
        <f aca="0">IF(OR(COUNTA(B766:J766)=0,R766&lt;&gt;""),"",COUNTIFS(보유목록!$I$2:$I$3001,"*"&amp;P766&amp;"*",보유목록!$I$2:$I$3001,"*"&amp;Q766&amp;"*"))</f>
      </c>
      <c r="M766" t="str" s="23">
        <f aca="0">IF(OR(COUNTA(B766:J766)=0,R766&lt;&gt;""),"",IFERROR(LOOKUP(2,1/(ISNUMBER(SEARCH(P766,보유목록!$I$2:$I$3001))*ISNUMBER(SEARCH(Q766,보유목록!$I$2:$I$3001))*(보유목록!$H$2:$H$3001=O766)),보유목록!$B$2:$B$3001),IFERROR(LOOKUP(2,1/(ISNUMBER(SEARCH(P766,보유목록!$I$2:$I$3001))*ISNUMBER(SEARCH(Q766,보유목록!$I$2:$I$3001))),보유목록!$B$2:$B$3001),"")))</f>
      </c>
      <c r="N766" s="25"/>
      <c r="O766" t="str">
        <f>IFERROR(IF(AND(LEN(SUBSTITUTE(SUBSTITUTE(SUBSTITUTE(TRIM(C766&amp;""),CHAR(160),"")," ",""),"년",""))=4,VALUE(SUBSTITUTE(SUBSTITUTE(SUBSTITUTE(TRIM(C766&amp;""),CHAR(160),"")," ",""),"년",""))&gt;=1900,VALUE(SUBSTITUTE(SUBSTITUTE(SUBSTITUTE(TRIM(C766&amp;""),CHAR(160),"")," ",""),"년",""))&lt;=2099,TEXT(VALUE(SUBSTITUTE(SUBSTITUTE(SUBSTITUTE(TRIM(C766&amp;""),CHAR(160),"")," ",""),"년","")),"0000")=SUBSTITUTE(SUBSTITUTE(SUBSTITUTE(TRIM(C766&amp;""),CHAR(160),"")," ",""),"년","")),SUBSTITUTE(SUBSTITUTE(SUBSTITUTE(TRIM(C766&amp;""),CHAR(160),"")," ",""),"년",""),""),"")</f>
      </c>
      <c r="P766" t="str">
        <f>SUBSTITUTE(SUBSTITUTE(SUBSTITUTE(SUBSTITUTE(SUBSTITUTE(SUBSTITUTE(SUBSTITUTE(SUBSTITUTE(TRIM(D766&amp;""),CHAR(160),"")," ",""),"초등학교","초"),"중학교","중"),"고등학교","고"),"~","~~"),"*","~*"),"?","~?")</f>
      </c>
      <c r="Q766" t="str">
        <f>SUBSTITUTE(SUBSTITUTE(SUBSTITUTE(SUBSTITUTE(SUBSTITUTE(SUBSTITUTE(SUBSTITUTE(SUBSTITUTE(TRIM(E766&amp;""),CHAR(160),"")," ",""),"초등학교","초"),"중학교","중"),"고등학교","고"),"~","~~"),"*","~*"),"?","~?")</f>
      </c>
      <c r="R766" t="str">
        <f>IF(COUNTA(B766:J766)=0,"",IF(AND(O766&lt;&gt;"",P766&lt;&gt;"",Q766&lt;&gt;""),"","입력누락"))</f>
      </c>
    </row>
    <row r="767" customFormat="false" ht="15" hidden="false" customHeight="false" outlineLevel="0" collapsed="false">
      <c r="A767" t="n" s="19">
        <f aca="0">IF(COUNTA(B767:J767)=0,"",ROW()-1)</f>
      </c>
      <c r="B767" s="24"/>
      <c r="C767" s="25"/>
      <c r="D767" s="8"/>
      <c r="E767" s="8"/>
      <c r="F767" s="26"/>
      <c r="G767" s="24"/>
      <c r="H767" s="25"/>
      <c r="I767" s="25"/>
      <c r="J767" s="26"/>
      <c r="K767" t="str" s="15">
        <f aca="0">IF(COUNTA(B767:J767)=0,"",IF(R767&lt;&gt;"","확인필요(입력누락)",IF(COUNTIFS(보유목록!$I$2:$I$3001,"*"&amp;P767&amp;"*",보유목록!$I$2:$I$3001,"*"&amp;Q767&amp;"*",보유목록!$H$2:$H$3001,O767)&gt;0,"있음",IF(COUNTIFS(보유목록!$I$2:$I$3001,"*"&amp;P767&amp;"*",보유목록!$I$2:$I$3001,"*"&amp;Q767&amp;"*")&gt;0,"확인필요(연도다름)",IF(COUNTIFS(보유목록!$I$2:$I$3001,"*"&amp;P767&amp;"*",보유목록!$H$2:$H$3001,O767)&gt;0,"확인필요(같은학교·같은연도)","없음")))))</f>
      </c>
      <c r="L767" t="str" s="16">
        <f aca="0">IF(OR(COUNTA(B767:J767)=0,R767&lt;&gt;""),"",COUNTIFS(보유목록!$I$2:$I$3001,"*"&amp;P767&amp;"*",보유목록!$I$2:$I$3001,"*"&amp;Q767&amp;"*"))</f>
      </c>
      <c r="M767" t="str" s="23">
        <f aca="0">IF(OR(COUNTA(B767:J767)=0,R767&lt;&gt;""),"",IFERROR(LOOKUP(2,1/(ISNUMBER(SEARCH(P767,보유목록!$I$2:$I$3001))*ISNUMBER(SEARCH(Q767,보유목록!$I$2:$I$3001))*(보유목록!$H$2:$H$3001=O767)),보유목록!$B$2:$B$3001),IFERROR(LOOKUP(2,1/(ISNUMBER(SEARCH(P767,보유목록!$I$2:$I$3001))*ISNUMBER(SEARCH(Q767,보유목록!$I$2:$I$3001))),보유목록!$B$2:$B$3001),"")))</f>
      </c>
      <c r="N767" s="25"/>
      <c r="O767" t="str">
        <f>IFERROR(IF(AND(LEN(SUBSTITUTE(SUBSTITUTE(SUBSTITUTE(TRIM(C767&amp;""),CHAR(160),"")," ",""),"년",""))=4,VALUE(SUBSTITUTE(SUBSTITUTE(SUBSTITUTE(TRIM(C767&amp;""),CHAR(160),"")," ",""),"년",""))&gt;=1900,VALUE(SUBSTITUTE(SUBSTITUTE(SUBSTITUTE(TRIM(C767&amp;""),CHAR(160),"")," ",""),"년",""))&lt;=2099,TEXT(VALUE(SUBSTITUTE(SUBSTITUTE(SUBSTITUTE(TRIM(C767&amp;""),CHAR(160),"")," ",""),"년","")),"0000")=SUBSTITUTE(SUBSTITUTE(SUBSTITUTE(TRIM(C767&amp;""),CHAR(160),"")," ",""),"년","")),SUBSTITUTE(SUBSTITUTE(SUBSTITUTE(TRIM(C767&amp;""),CHAR(160),"")," ",""),"년",""),""),"")</f>
      </c>
      <c r="P767" t="str">
        <f>SUBSTITUTE(SUBSTITUTE(SUBSTITUTE(SUBSTITUTE(SUBSTITUTE(SUBSTITUTE(SUBSTITUTE(SUBSTITUTE(TRIM(D767&amp;""),CHAR(160),"")," ",""),"초등학교","초"),"중학교","중"),"고등학교","고"),"~","~~"),"*","~*"),"?","~?")</f>
      </c>
      <c r="Q767" t="str">
        <f>SUBSTITUTE(SUBSTITUTE(SUBSTITUTE(SUBSTITUTE(SUBSTITUTE(SUBSTITUTE(SUBSTITUTE(SUBSTITUTE(TRIM(E767&amp;""),CHAR(160),"")," ",""),"초등학교","초"),"중학교","중"),"고등학교","고"),"~","~~"),"*","~*"),"?","~?")</f>
      </c>
      <c r="R767" t="str">
        <f>IF(COUNTA(B767:J767)=0,"",IF(AND(O767&lt;&gt;"",P767&lt;&gt;"",Q767&lt;&gt;""),"","입력누락"))</f>
      </c>
    </row>
    <row r="768" customFormat="false" ht="15" hidden="false" customHeight="false" outlineLevel="0" collapsed="false">
      <c r="A768" t="n" s="19">
        <f aca="0">IF(COUNTA(B768:J768)=0,"",ROW()-1)</f>
      </c>
      <c r="B768" s="24"/>
      <c r="C768" s="25"/>
      <c r="D768" s="8"/>
      <c r="E768" s="8"/>
      <c r="F768" s="26"/>
      <c r="G768" s="24"/>
      <c r="H768" s="25"/>
      <c r="I768" s="25"/>
      <c r="J768" s="26"/>
      <c r="K768" t="str" s="15">
        <f aca="0">IF(COUNTA(B768:J768)=0,"",IF(R768&lt;&gt;"","확인필요(입력누락)",IF(COUNTIFS(보유목록!$I$2:$I$3001,"*"&amp;P768&amp;"*",보유목록!$I$2:$I$3001,"*"&amp;Q768&amp;"*",보유목록!$H$2:$H$3001,O768)&gt;0,"있음",IF(COUNTIFS(보유목록!$I$2:$I$3001,"*"&amp;P768&amp;"*",보유목록!$I$2:$I$3001,"*"&amp;Q768&amp;"*")&gt;0,"확인필요(연도다름)",IF(COUNTIFS(보유목록!$I$2:$I$3001,"*"&amp;P768&amp;"*",보유목록!$H$2:$H$3001,O768)&gt;0,"확인필요(같은학교·같은연도)","없음")))))</f>
      </c>
      <c r="L768" t="str" s="16">
        <f aca="0">IF(OR(COUNTA(B768:J768)=0,R768&lt;&gt;""),"",COUNTIFS(보유목록!$I$2:$I$3001,"*"&amp;P768&amp;"*",보유목록!$I$2:$I$3001,"*"&amp;Q768&amp;"*"))</f>
      </c>
      <c r="M768" t="str" s="23">
        <f aca="0">IF(OR(COUNTA(B768:J768)=0,R768&lt;&gt;""),"",IFERROR(LOOKUP(2,1/(ISNUMBER(SEARCH(P768,보유목록!$I$2:$I$3001))*ISNUMBER(SEARCH(Q768,보유목록!$I$2:$I$3001))*(보유목록!$H$2:$H$3001=O768)),보유목록!$B$2:$B$3001),IFERROR(LOOKUP(2,1/(ISNUMBER(SEARCH(P768,보유목록!$I$2:$I$3001))*ISNUMBER(SEARCH(Q768,보유목록!$I$2:$I$3001))),보유목록!$B$2:$B$3001),"")))</f>
      </c>
      <c r="N768" s="25"/>
      <c r="O768" t="str">
        <f>IFERROR(IF(AND(LEN(SUBSTITUTE(SUBSTITUTE(SUBSTITUTE(TRIM(C768&amp;""),CHAR(160),"")," ",""),"년",""))=4,VALUE(SUBSTITUTE(SUBSTITUTE(SUBSTITUTE(TRIM(C768&amp;""),CHAR(160),"")," ",""),"년",""))&gt;=1900,VALUE(SUBSTITUTE(SUBSTITUTE(SUBSTITUTE(TRIM(C768&amp;""),CHAR(160),"")," ",""),"년",""))&lt;=2099,TEXT(VALUE(SUBSTITUTE(SUBSTITUTE(SUBSTITUTE(TRIM(C768&amp;""),CHAR(160),"")," ",""),"년","")),"0000")=SUBSTITUTE(SUBSTITUTE(SUBSTITUTE(TRIM(C768&amp;""),CHAR(160),"")," ",""),"년","")),SUBSTITUTE(SUBSTITUTE(SUBSTITUTE(TRIM(C768&amp;""),CHAR(160),"")," ",""),"년",""),""),"")</f>
      </c>
      <c r="P768" t="str">
        <f>SUBSTITUTE(SUBSTITUTE(SUBSTITUTE(SUBSTITUTE(SUBSTITUTE(SUBSTITUTE(SUBSTITUTE(SUBSTITUTE(TRIM(D768&amp;""),CHAR(160),"")," ",""),"초등학교","초"),"중학교","중"),"고등학교","고"),"~","~~"),"*","~*"),"?","~?")</f>
      </c>
      <c r="Q768" t="str">
        <f>SUBSTITUTE(SUBSTITUTE(SUBSTITUTE(SUBSTITUTE(SUBSTITUTE(SUBSTITUTE(SUBSTITUTE(SUBSTITUTE(TRIM(E768&amp;""),CHAR(160),"")," ",""),"초등학교","초"),"중학교","중"),"고등학교","고"),"~","~~"),"*","~*"),"?","~?")</f>
      </c>
      <c r="R768" t="str">
        <f>IF(COUNTA(B768:J768)=0,"",IF(AND(O768&lt;&gt;"",P768&lt;&gt;"",Q768&lt;&gt;""),"","입력누락"))</f>
      </c>
    </row>
    <row r="769" customFormat="false" ht="15" hidden="false" customHeight="false" outlineLevel="0" collapsed="false">
      <c r="A769" t="n" s="19">
        <f aca="0">IF(COUNTA(B769:J769)=0,"",ROW()-1)</f>
      </c>
      <c r="B769" s="24"/>
      <c r="C769" s="25"/>
      <c r="D769" s="8"/>
      <c r="E769" s="8"/>
      <c r="F769" s="26"/>
      <c r="G769" s="24"/>
      <c r="H769" s="25"/>
      <c r="I769" s="25"/>
      <c r="J769" s="26"/>
      <c r="K769" t="str" s="15">
        <f aca="0">IF(COUNTA(B769:J769)=0,"",IF(R769&lt;&gt;"","확인필요(입력누락)",IF(COUNTIFS(보유목록!$I$2:$I$3001,"*"&amp;P769&amp;"*",보유목록!$I$2:$I$3001,"*"&amp;Q769&amp;"*",보유목록!$H$2:$H$3001,O769)&gt;0,"있음",IF(COUNTIFS(보유목록!$I$2:$I$3001,"*"&amp;P769&amp;"*",보유목록!$I$2:$I$3001,"*"&amp;Q769&amp;"*")&gt;0,"확인필요(연도다름)",IF(COUNTIFS(보유목록!$I$2:$I$3001,"*"&amp;P769&amp;"*",보유목록!$H$2:$H$3001,O769)&gt;0,"확인필요(같은학교·같은연도)","없음")))))</f>
      </c>
      <c r="L769" t="str" s="16">
        <f aca="0">IF(OR(COUNTA(B769:J769)=0,R769&lt;&gt;""),"",COUNTIFS(보유목록!$I$2:$I$3001,"*"&amp;P769&amp;"*",보유목록!$I$2:$I$3001,"*"&amp;Q769&amp;"*"))</f>
      </c>
      <c r="M769" t="str" s="23">
        <f aca="0">IF(OR(COUNTA(B769:J769)=0,R769&lt;&gt;""),"",IFERROR(LOOKUP(2,1/(ISNUMBER(SEARCH(P769,보유목록!$I$2:$I$3001))*ISNUMBER(SEARCH(Q769,보유목록!$I$2:$I$3001))*(보유목록!$H$2:$H$3001=O769)),보유목록!$B$2:$B$3001),IFERROR(LOOKUP(2,1/(ISNUMBER(SEARCH(P769,보유목록!$I$2:$I$3001))*ISNUMBER(SEARCH(Q769,보유목록!$I$2:$I$3001))),보유목록!$B$2:$B$3001),"")))</f>
      </c>
      <c r="N769" s="25"/>
      <c r="O769" t="str">
        <f>IFERROR(IF(AND(LEN(SUBSTITUTE(SUBSTITUTE(SUBSTITUTE(TRIM(C769&amp;""),CHAR(160),"")," ",""),"년",""))=4,VALUE(SUBSTITUTE(SUBSTITUTE(SUBSTITUTE(TRIM(C769&amp;""),CHAR(160),"")," ",""),"년",""))&gt;=1900,VALUE(SUBSTITUTE(SUBSTITUTE(SUBSTITUTE(TRIM(C769&amp;""),CHAR(160),"")," ",""),"년",""))&lt;=2099,TEXT(VALUE(SUBSTITUTE(SUBSTITUTE(SUBSTITUTE(TRIM(C769&amp;""),CHAR(160),"")," ",""),"년","")),"0000")=SUBSTITUTE(SUBSTITUTE(SUBSTITUTE(TRIM(C769&amp;""),CHAR(160),"")," ",""),"년","")),SUBSTITUTE(SUBSTITUTE(SUBSTITUTE(TRIM(C769&amp;""),CHAR(160),"")," ",""),"년",""),""),"")</f>
      </c>
      <c r="P769" t="str">
        <f>SUBSTITUTE(SUBSTITUTE(SUBSTITUTE(SUBSTITUTE(SUBSTITUTE(SUBSTITUTE(SUBSTITUTE(SUBSTITUTE(TRIM(D769&amp;""),CHAR(160),"")," ",""),"초등학교","초"),"중학교","중"),"고등학교","고"),"~","~~"),"*","~*"),"?","~?")</f>
      </c>
      <c r="Q769" t="str">
        <f>SUBSTITUTE(SUBSTITUTE(SUBSTITUTE(SUBSTITUTE(SUBSTITUTE(SUBSTITUTE(SUBSTITUTE(SUBSTITUTE(TRIM(E769&amp;""),CHAR(160),"")," ",""),"초등학교","초"),"중학교","중"),"고등학교","고"),"~","~~"),"*","~*"),"?","~?")</f>
      </c>
      <c r="R769" t="str">
        <f>IF(COUNTA(B769:J769)=0,"",IF(AND(O769&lt;&gt;"",P769&lt;&gt;"",Q769&lt;&gt;""),"","입력누락"))</f>
      </c>
    </row>
    <row r="770" customFormat="false" ht="15" hidden="false" customHeight="false" outlineLevel="0" collapsed="false">
      <c r="A770" t="n" s="19">
        <f aca="0">IF(COUNTA(B770:J770)=0,"",ROW()-1)</f>
      </c>
      <c r="B770" s="24"/>
      <c r="C770" s="25"/>
      <c r="D770" s="8"/>
      <c r="E770" s="8"/>
      <c r="F770" s="26"/>
      <c r="G770" s="24"/>
      <c r="H770" s="25"/>
      <c r="I770" s="25"/>
      <c r="J770" s="26"/>
      <c r="K770" t="str" s="15">
        <f aca="0">IF(COUNTA(B770:J770)=0,"",IF(R770&lt;&gt;"","확인필요(입력누락)",IF(COUNTIFS(보유목록!$I$2:$I$3001,"*"&amp;P770&amp;"*",보유목록!$I$2:$I$3001,"*"&amp;Q770&amp;"*",보유목록!$H$2:$H$3001,O770)&gt;0,"있음",IF(COUNTIFS(보유목록!$I$2:$I$3001,"*"&amp;P770&amp;"*",보유목록!$I$2:$I$3001,"*"&amp;Q770&amp;"*")&gt;0,"확인필요(연도다름)",IF(COUNTIFS(보유목록!$I$2:$I$3001,"*"&amp;P770&amp;"*",보유목록!$H$2:$H$3001,O770)&gt;0,"확인필요(같은학교·같은연도)","없음")))))</f>
      </c>
      <c r="L770" t="str" s="16">
        <f aca="0">IF(OR(COUNTA(B770:J770)=0,R770&lt;&gt;""),"",COUNTIFS(보유목록!$I$2:$I$3001,"*"&amp;P770&amp;"*",보유목록!$I$2:$I$3001,"*"&amp;Q770&amp;"*"))</f>
      </c>
      <c r="M770" t="str" s="23">
        <f aca="0">IF(OR(COUNTA(B770:J770)=0,R770&lt;&gt;""),"",IFERROR(LOOKUP(2,1/(ISNUMBER(SEARCH(P770,보유목록!$I$2:$I$3001))*ISNUMBER(SEARCH(Q770,보유목록!$I$2:$I$3001))*(보유목록!$H$2:$H$3001=O770)),보유목록!$B$2:$B$3001),IFERROR(LOOKUP(2,1/(ISNUMBER(SEARCH(P770,보유목록!$I$2:$I$3001))*ISNUMBER(SEARCH(Q770,보유목록!$I$2:$I$3001))),보유목록!$B$2:$B$3001),"")))</f>
      </c>
      <c r="N770" s="25"/>
      <c r="O770" t="str">
        <f>IFERROR(IF(AND(LEN(SUBSTITUTE(SUBSTITUTE(SUBSTITUTE(TRIM(C770&amp;""),CHAR(160),"")," ",""),"년",""))=4,VALUE(SUBSTITUTE(SUBSTITUTE(SUBSTITUTE(TRIM(C770&amp;""),CHAR(160),"")," ",""),"년",""))&gt;=1900,VALUE(SUBSTITUTE(SUBSTITUTE(SUBSTITUTE(TRIM(C770&amp;""),CHAR(160),"")," ",""),"년",""))&lt;=2099,TEXT(VALUE(SUBSTITUTE(SUBSTITUTE(SUBSTITUTE(TRIM(C770&amp;""),CHAR(160),"")," ",""),"년","")),"0000")=SUBSTITUTE(SUBSTITUTE(SUBSTITUTE(TRIM(C770&amp;""),CHAR(160),"")," ",""),"년","")),SUBSTITUTE(SUBSTITUTE(SUBSTITUTE(TRIM(C770&amp;""),CHAR(160),"")," ",""),"년",""),""),"")</f>
      </c>
      <c r="P770" t="str">
        <f>SUBSTITUTE(SUBSTITUTE(SUBSTITUTE(SUBSTITUTE(SUBSTITUTE(SUBSTITUTE(SUBSTITUTE(SUBSTITUTE(TRIM(D770&amp;""),CHAR(160),"")," ",""),"초등학교","초"),"중학교","중"),"고등학교","고"),"~","~~"),"*","~*"),"?","~?")</f>
      </c>
      <c r="Q770" t="str">
        <f>SUBSTITUTE(SUBSTITUTE(SUBSTITUTE(SUBSTITUTE(SUBSTITUTE(SUBSTITUTE(SUBSTITUTE(SUBSTITUTE(TRIM(E770&amp;""),CHAR(160),"")," ",""),"초등학교","초"),"중학교","중"),"고등학교","고"),"~","~~"),"*","~*"),"?","~?")</f>
      </c>
      <c r="R770" t="str">
        <f>IF(COUNTA(B770:J770)=0,"",IF(AND(O770&lt;&gt;"",P770&lt;&gt;"",Q770&lt;&gt;""),"","입력누락"))</f>
      </c>
    </row>
    <row r="771" customFormat="false" ht="15" hidden="false" customHeight="false" outlineLevel="0" collapsed="false">
      <c r="A771" t="n" s="19">
        <f aca="0">IF(COUNTA(B771:J771)=0,"",ROW()-1)</f>
      </c>
      <c r="B771" s="24"/>
      <c r="C771" s="25"/>
      <c r="D771" s="8"/>
      <c r="E771" s="8"/>
      <c r="F771" s="26"/>
      <c r="G771" s="24"/>
      <c r="H771" s="25"/>
      <c r="I771" s="25"/>
      <c r="J771" s="26"/>
      <c r="K771" t="str" s="15">
        <f aca="0">IF(COUNTA(B771:J771)=0,"",IF(R771&lt;&gt;"","확인필요(입력누락)",IF(COUNTIFS(보유목록!$I$2:$I$3001,"*"&amp;P771&amp;"*",보유목록!$I$2:$I$3001,"*"&amp;Q771&amp;"*",보유목록!$H$2:$H$3001,O771)&gt;0,"있음",IF(COUNTIFS(보유목록!$I$2:$I$3001,"*"&amp;P771&amp;"*",보유목록!$I$2:$I$3001,"*"&amp;Q771&amp;"*")&gt;0,"확인필요(연도다름)",IF(COUNTIFS(보유목록!$I$2:$I$3001,"*"&amp;P771&amp;"*",보유목록!$H$2:$H$3001,O771)&gt;0,"확인필요(같은학교·같은연도)","없음")))))</f>
      </c>
      <c r="L771" t="str" s="16">
        <f aca="0">IF(OR(COUNTA(B771:J771)=0,R771&lt;&gt;""),"",COUNTIFS(보유목록!$I$2:$I$3001,"*"&amp;P771&amp;"*",보유목록!$I$2:$I$3001,"*"&amp;Q771&amp;"*"))</f>
      </c>
      <c r="M771" t="str" s="23">
        <f aca="0">IF(OR(COUNTA(B771:J771)=0,R771&lt;&gt;""),"",IFERROR(LOOKUP(2,1/(ISNUMBER(SEARCH(P771,보유목록!$I$2:$I$3001))*ISNUMBER(SEARCH(Q771,보유목록!$I$2:$I$3001))*(보유목록!$H$2:$H$3001=O771)),보유목록!$B$2:$B$3001),IFERROR(LOOKUP(2,1/(ISNUMBER(SEARCH(P771,보유목록!$I$2:$I$3001))*ISNUMBER(SEARCH(Q771,보유목록!$I$2:$I$3001))),보유목록!$B$2:$B$3001),"")))</f>
      </c>
      <c r="N771" s="25"/>
      <c r="O771" t="str">
        <f>IFERROR(IF(AND(LEN(SUBSTITUTE(SUBSTITUTE(SUBSTITUTE(TRIM(C771&amp;""),CHAR(160),"")," ",""),"년",""))=4,VALUE(SUBSTITUTE(SUBSTITUTE(SUBSTITUTE(TRIM(C771&amp;""),CHAR(160),"")," ",""),"년",""))&gt;=1900,VALUE(SUBSTITUTE(SUBSTITUTE(SUBSTITUTE(TRIM(C771&amp;""),CHAR(160),"")," ",""),"년",""))&lt;=2099,TEXT(VALUE(SUBSTITUTE(SUBSTITUTE(SUBSTITUTE(TRIM(C771&amp;""),CHAR(160),"")," ",""),"년","")),"0000")=SUBSTITUTE(SUBSTITUTE(SUBSTITUTE(TRIM(C771&amp;""),CHAR(160),"")," ",""),"년","")),SUBSTITUTE(SUBSTITUTE(SUBSTITUTE(TRIM(C771&amp;""),CHAR(160),"")," ",""),"년",""),""),"")</f>
      </c>
      <c r="P771" t="str">
        <f>SUBSTITUTE(SUBSTITUTE(SUBSTITUTE(SUBSTITUTE(SUBSTITUTE(SUBSTITUTE(SUBSTITUTE(SUBSTITUTE(TRIM(D771&amp;""),CHAR(160),"")," ",""),"초등학교","초"),"중학교","중"),"고등학교","고"),"~","~~"),"*","~*"),"?","~?")</f>
      </c>
      <c r="Q771" t="str">
        <f>SUBSTITUTE(SUBSTITUTE(SUBSTITUTE(SUBSTITUTE(SUBSTITUTE(SUBSTITUTE(SUBSTITUTE(SUBSTITUTE(TRIM(E771&amp;""),CHAR(160),"")," ",""),"초등학교","초"),"중학교","중"),"고등학교","고"),"~","~~"),"*","~*"),"?","~?")</f>
      </c>
      <c r="R771" t="str">
        <f>IF(COUNTA(B771:J771)=0,"",IF(AND(O771&lt;&gt;"",P771&lt;&gt;"",Q771&lt;&gt;""),"","입력누락"))</f>
      </c>
    </row>
    <row r="772" customFormat="false" ht="15" hidden="false" customHeight="false" outlineLevel="0" collapsed="false">
      <c r="A772" t="n" s="19">
        <f aca="0">IF(COUNTA(B772:J772)=0,"",ROW()-1)</f>
      </c>
      <c r="B772" s="24"/>
      <c r="C772" s="25"/>
      <c r="D772" s="8"/>
      <c r="E772" s="8"/>
      <c r="F772" s="26"/>
      <c r="G772" s="24"/>
      <c r="H772" s="25"/>
      <c r="I772" s="25"/>
      <c r="J772" s="26"/>
      <c r="K772" t="str" s="15">
        <f aca="0">IF(COUNTA(B772:J772)=0,"",IF(R772&lt;&gt;"","확인필요(입력누락)",IF(COUNTIFS(보유목록!$I$2:$I$3001,"*"&amp;P772&amp;"*",보유목록!$I$2:$I$3001,"*"&amp;Q772&amp;"*",보유목록!$H$2:$H$3001,O772)&gt;0,"있음",IF(COUNTIFS(보유목록!$I$2:$I$3001,"*"&amp;P772&amp;"*",보유목록!$I$2:$I$3001,"*"&amp;Q772&amp;"*")&gt;0,"확인필요(연도다름)",IF(COUNTIFS(보유목록!$I$2:$I$3001,"*"&amp;P772&amp;"*",보유목록!$H$2:$H$3001,O772)&gt;0,"확인필요(같은학교·같은연도)","없음")))))</f>
      </c>
      <c r="L772" t="str" s="16">
        <f aca="0">IF(OR(COUNTA(B772:J772)=0,R772&lt;&gt;""),"",COUNTIFS(보유목록!$I$2:$I$3001,"*"&amp;P772&amp;"*",보유목록!$I$2:$I$3001,"*"&amp;Q772&amp;"*"))</f>
      </c>
      <c r="M772" t="str" s="23">
        <f aca="0">IF(OR(COUNTA(B772:J772)=0,R772&lt;&gt;""),"",IFERROR(LOOKUP(2,1/(ISNUMBER(SEARCH(P772,보유목록!$I$2:$I$3001))*ISNUMBER(SEARCH(Q772,보유목록!$I$2:$I$3001))*(보유목록!$H$2:$H$3001=O772)),보유목록!$B$2:$B$3001),IFERROR(LOOKUP(2,1/(ISNUMBER(SEARCH(P772,보유목록!$I$2:$I$3001))*ISNUMBER(SEARCH(Q772,보유목록!$I$2:$I$3001))),보유목록!$B$2:$B$3001),"")))</f>
      </c>
      <c r="N772" s="25"/>
      <c r="O772" t="str">
        <f>IFERROR(IF(AND(LEN(SUBSTITUTE(SUBSTITUTE(SUBSTITUTE(TRIM(C772&amp;""),CHAR(160),"")," ",""),"년",""))=4,VALUE(SUBSTITUTE(SUBSTITUTE(SUBSTITUTE(TRIM(C772&amp;""),CHAR(160),"")," ",""),"년",""))&gt;=1900,VALUE(SUBSTITUTE(SUBSTITUTE(SUBSTITUTE(TRIM(C772&amp;""),CHAR(160),"")," ",""),"년",""))&lt;=2099,TEXT(VALUE(SUBSTITUTE(SUBSTITUTE(SUBSTITUTE(TRIM(C772&amp;""),CHAR(160),"")," ",""),"년","")),"0000")=SUBSTITUTE(SUBSTITUTE(SUBSTITUTE(TRIM(C772&amp;""),CHAR(160),"")," ",""),"년","")),SUBSTITUTE(SUBSTITUTE(SUBSTITUTE(TRIM(C772&amp;""),CHAR(160),"")," ",""),"년",""),""),"")</f>
      </c>
      <c r="P772" t="str">
        <f>SUBSTITUTE(SUBSTITUTE(SUBSTITUTE(SUBSTITUTE(SUBSTITUTE(SUBSTITUTE(SUBSTITUTE(SUBSTITUTE(TRIM(D772&amp;""),CHAR(160),"")," ",""),"초등학교","초"),"중학교","중"),"고등학교","고"),"~","~~"),"*","~*"),"?","~?")</f>
      </c>
      <c r="Q772" t="str">
        <f>SUBSTITUTE(SUBSTITUTE(SUBSTITUTE(SUBSTITUTE(SUBSTITUTE(SUBSTITUTE(SUBSTITUTE(SUBSTITUTE(TRIM(E772&amp;""),CHAR(160),"")," ",""),"초등학교","초"),"중학교","중"),"고등학교","고"),"~","~~"),"*","~*"),"?","~?")</f>
      </c>
      <c r="R772" t="str">
        <f>IF(COUNTA(B772:J772)=0,"",IF(AND(O772&lt;&gt;"",P772&lt;&gt;"",Q772&lt;&gt;""),"","입력누락"))</f>
      </c>
    </row>
    <row r="773" customFormat="false" ht="15" hidden="false" customHeight="false" outlineLevel="0" collapsed="false">
      <c r="A773" t="n" s="19">
        <f aca="0">IF(COUNTA(B773:J773)=0,"",ROW()-1)</f>
      </c>
      <c r="B773" s="24"/>
      <c r="C773" s="25"/>
      <c r="D773" s="8"/>
      <c r="E773" s="8"/>
      <c r="F773" s="26"/>
      <c r="G773" s="24"/>
      <c r="H773" s="25"/>
      <c r="I773" s="25"/>
      <c r="J773" s="26"/>
      <c r="K773" t="str" s="15">
        <f aca="0">IF(COUNTA(B773:J773)=0,"",IF(R773&lt;&gt;"","확인필요(입력누락)",IF(COUNTIFS(보유목록!$I$2:$I$3001,"*"&amp;P773&amp;"*",보유목록!$I$2:$I$3001,"*"&amp;Q773&amp;"*",보유목록!$H$2:$H$3001,O773)&gt;0,"있음",IF(COUNTIFS(보유목록!$I$2:$I$3001,"*"&amp;P773&amp;"*",보유목록!$I$2:$I$3001,"*"&amp;Q773&amp;"*")&gt;0,"확인필요(연도다름)",IF(COUNTIFS(보유목록!$I$2:$I$3001,"*"&amp;P773&amp;"*",보유목록!$H$2:$H$3001,O773)&gt;0,"확인필요(같은학교·같은연도)","없음")))))</f>
      </c>
      <c r="L773" t="str" s="16">
        <f aca="0">IF(OR(COUNTA(B773:J773)=0,R773&lt;&gt;""),"",COUNTIFS(보유목록!$I$2:$I$3001,"*"&amp;P773&amp;"*",보유목록!$I$2:$I$3001,"*"&amp;Q773&amp;"*"))</f>
      </c>
      <c r="M773" t="str" s="23">
        <f aca="0">IF(OR(COUNTA(B773:J773)=0,R773&lt;&gt;""),"",IFERROR(LOOKUP(2,1/(ISNUMBER(SEARCH(P773,보유목록!$I$2:$I$3001))*ISNUMBER(SEARCH(Q773,보유목록!$I$2:$I$3001))*(보유목록!$H$2:$H$3001=O773)),보유목록!$B$2:$B$3001),IFERROR(LOOKUP(2,1/(ISNUMBER(SEARCH(P773,보유목록!$I$2:$I$3001))*ISNUMBER(SEARCH(Q773,보유목록!$I$2:$I$3001))),보유목록!$B$2:$B$3001),"")))</f>
      </c>
      <c r="N773" s="25"/>
      <c r="O773" t="str">
        <f>IFERROR(IF(AND(LEN(SUBSTITUTE(SUBSTITUTE(SUBSTITUTE(TRIM(C773&amp;""),CHAR(160),"")," ",""),"년",""))=4,VALUE(SUBSTITUTE(SUBSTITUTE(SUBSTITUTE(TRIM(C773&amp;""),CHAR(160),"")," ",""),"년",""))&gt;=1900,VALUE(SUBSTITUTE(SUBSTITUTE(SUBSTITUTE(TRIM(C773&amp;""),CHAR(160),"")," ",""),"년",""))&lt;=2099,TEXT(VALUE(SUBSTITUTE(SUBSTITUTE(SUBSTITUTE(TRIM(C773&amp;""),CHAR(160),"")," ",""),"년","")),"0000")=SUBSTITUTE(SUBSTITUTE(SUBSTITUTE(TRIM(C773&amp;""),CHAR(160),"")," ",""),"년","")),SUBSTITUTE(SUBSTITUTE(SUBSTITUTE(TRIM(C773&amp;""),CHAR(160),"")," ",""),"년",""),""),"")</f>
      </c>
      <c r="P773" t="str">
        <f>SUBSTITUTE(SUBSTITUTE(SUBSTITUTE(SUBSTITUTE(SUBSTITUTE(SUBSTITUTE(SUBSTITUTE(SUBSTITUTE(TRIM(D773&amp;""),CHAR(160),"")," ",""),"초등학교","초"),"중학교","중"),"고등학교","고"),"~","~~"),"*","~*"),"?","~?")</f>
      </c>
      <c r="Q773" t="str">
        <f>SUBSTITUTE(SUBSTITUTE(SUBSTITUTE(SUBSTITUTE(SUBSTITUTE(SUBSTITUTE(SUBSTITUTE(SUBSTITUTE(TRIM(E773&amp;""),CHAR(160),"")," ",""),"초등학교","초"),"중학교","중"),"고등학교","고"),"~","~~"),"*","~*"),"?","~?")</f>
      </c>
      <c r="R773" t="str">
        <f>IF(COUNTA(B773:J773)=0,"",IF(AND(O773&lt;&gt;"",P773&lt;&gt;"",Q773&lt;&gt;""),"","입력누락"))</f>
      </c>
    </row>
    <row r="774" customFormat="false" ht="15" hidden="false" customHeight="false" outlineLevel="0" collapsed="false">
      <c r="A774" t="n" s="19">
        <f aca="0">IF(COUNTA(B774:J774)=0,"",ROW()-1)</f>
      </c>
      <c r="B774" s="24"/>
      <c r="C774" s="25"/>
      <c r="D774" s="8"/>
      <c r="E774" s="8"/>
      <c r="F774" s="26"/>
      <c r="G774" s="24"/>
      <c r="H774" s="25"/>
      <c r="I774" s="25"/>
      <c r="J774" s="26"/>
      <c r="K774" t="str" s="15">
        <f aca="0">IF(COUNTA(B774:J774)=0,"",IF(R774&lt;&gt;"","확인필요(입력누락)",IF(COUNTIFS(보유목록!$I$2:$I$3001,"*"&amp;P774&amp;"*",보유목록!$I$2:$I$3001,"*"&amp;Q774&amp;"*",보유목록!$H$2:$H$3001,O774)&gt;0,"있음",IF(COUNTIFS(보유목록!$I$2:$I$3001,"*"&amp;P774&amp;"*",보유목록!$I$2:$I$3001,"*"&amp;Q774&amp;"*")&gt;0,"확인필요(연도다름)",IF(COUNTIFS(보유목록!$I$2:$I$3001,"*"&amp;P774&amp;"*",보유목록!$H$2:$H$3001,O774)&gt;0,"확인필요(같은학교·같은연도)","없음")))))</f>
      </c>
      <c r="L774" t="str" s="16">
        <f aca="0">IF(OR(COUNTA(B774:J774)=0,R774&lt;&gt;""),"",COUNTIFS(보유목록!$I$2:$I$3001,"*"&amp;P774&amp;"*",보유목록!$I$2:$I$3001,"*"&amp;Q774&amp;"*"))</f>
      </c>
      <c r="M774" t="str" s="23">
        <f aca="0">IF(OR(COUNTA(B774:J774)=0,R774&lt;&gt;""),"",IFERROR(LOOKUP(2,1/(ISNUMBER(SEARCH(P774,보유목록!$I$2:$I$3001))*ISNUMBER(SEARCH(Q774,보유목록!$I$2:$I$3001))*(보유목록!$H$2:$H$3001=O774)),보유목록!$B$2:$B$3001),IFERROR(LOOKUP(2,1/(ISNUMBER(SEARCH(P774,보유목록!$I$2:$I$3001))*ISNUMBER(SEARCH(Q774,보유목록!$I$2:$I$3001))),보유목록!$B$2:$B$3001),"")))</f>
      </c>
      <c r="N774" s="25"/>
      <c r="O774" t="str">
        <f>IFERROR(IF(AND(LEN(SUBSTITUTE(SUBSTITUTE(SUBSTITUTE(TRIM(C774&amp;""),CHAR(160),"")," ",""),"년",""))=4,VALUE(SUBSTITUTE(SUBSTITUTE(SUBSTITUTE(TRIM(C774&amp;""),CHAR(160),"")," ",""),"년",""))&gt;=1900,VALUE(SUBSTITUTE(SUBSTITUTE(SUBSTITUTE(TRIM(C774&amp;""),CHAR(160),"")," ",""),"년",""))&lt;=2099,TEXT(VALUE(SUBSTITUTE(SUBSTITUTE(SUBSTITUTE(TRIM(C774&amp;""),CHAR(160),"")," ",""),"년","")),"0000")=SUBSTITUTE(SUBSTITUTE(SUBSTITUTE(TRIM(C774&amp;""),CHAR(160),"")," ",""),"년","")),SUBSTITUTE(SUBSTITUTE(SUBSTITUTE(TRIM(C774&amp;""),CHAR(160),"")," ",""),"년",""),""),"")</f>
      </c>
      <c r="P774" t="str">
        <f>SUBSTITUTE(SUBSTITUTE(SUBSTITUTE(SUBSTITUTE(SUBSTITUTE(SUBSTITUTE(SUBSTITUTE(SUBSTITUTE(TRIM(D774&amp;""),CHAR(160),"")," ",""),"초등학교","초"),"중학교","중"),"고등학교","고"),"~","~~"),"*","~*"),"?","~?")</f>
      </c>
      <c r="Q774" t="str">
        <f>SUBSTITUTE(SUBSTITUTE(SUBSTITUTE(SUBSTITUTE(SUBSTITUTE(SUBSTITUTE(SUBSTITUTE(SUBSTITUTE(TRIM(E774&amp;""),CHAR(160),"")," ",""),"초등학교","초"),"중학교","중"),"고등학교","고"),"~","~~"),"*","~*"),"?","~?")</f>
      </c>
      <c r="R774" t="str">
        <f>IF(COUNTA(B774:J774)=0,"",IF(AND(O774&lt;&gt;"",P774&lt;&gt;"",Q774&lt;&gt;""),"","입력누락"))</f>
      </c>
    </row>
    <row r="775" customFormat="false" ht="15" hidden="false" customHeight="false" outlineLevel="0" collapsed="false">
      <c r="A775" t="n" s="19">
        <f aca="0">IF(COUNTA(B775:J775)=0,"",ROW()-1)</f>
      </c>
      <c r="B775" s="24"/>
      <c r="C775" s="25"/>
      <c r="D775" s="8"/>
      <c r="E775" s="8"/>
      <c r="F775" s="26"/>
      <c r="G775" s="24"/>
      <c r="H775" s="25"/>
      <c r="I775" s="25"/>
      <c r="J775" s="26"/>
      <c r="K775" t="str" s="15">
        <f aca="0">IF(COUNTA(B775:J775)=0,"",IF(R775&lt;&gt;"","확인필요(입력누락)",IF(COUNTIFS(보유목록!$I$2:$I$3001,"*"&amp;P775&amp;"*",보유목록!$I$2:$I$3001,"*"&amp;Q775&amp;"*",보유목록!$H$2:$H$3001,O775)&gt;0,"있음",IF(COUNTIFS(보유목록!$I$2:$I$3001,"*"&amp;P775&amp;"*",보유목록!$I$2:$I$3001,"*"&amp;Q775&amp;"*")&gt;0,"확인필요(연도다름)",IF(COUNTIFS(보유목록!$I$2:$I$3001,"*"&amp;P775&amp;"*",보유목록!$H$2:$H$3001,O775)&gt;0,"확인필요(같은학교·같은연도)","없음")))))</f>
      </c>
      <c r="L775" t="str" s="16">
        <f aca="0">IF(OR(COUNTA(B775:J775)=0,R775&lt;&gt;""),"",COUNTIFS(보유목록!$I$2:$I$3001,"*"&amp;P775&amp;"*",보유목록!$I$2:$I$3001,"*"&amp;Q775&amp;"*"))</f>
      </c>
      <c r="M775" t="str" s="23">
        <f aca="0">IF(OR(COUNTA(B775:J775)=0,R775&lt;&gt;""),"",IFERROR(LOOKUP(2,1/(ISNUMBER(SEARCH(P775,보유목록!$I$2:$I$3001))*ISNUMBER(SEARCH(Q775,보유목록!$I$2:$I$3001))*(보유목록!$H$2:$H$3001=O775)),보유목록!$B$2:$B$3001),IFERROR(LOOKUP(2,1/(ISNUMBER(SEARCH(P775,보유목록!$I$2:$I$3001))*ISNUMBER(SEARCH(Q775,보유목록!$I$2:$I$3001))),보유목록!$B$2:$B$3001),"")))</f>
      </c>
      <c r="N775" s="25"/>
      <c r="O775" t="str">
        <f>IFERROR(IF(AND(LEN(SUBSTITUTE(SUBSTITUTE(SUBSTITUTE(TRIM(C775&amp;""),CHAR(160),"")," ",""),"년",""))=4,VALUE(SUBSTITUTE(SUBSTITUTE(SUBSTITUTE(TRIM(C775&amp;""),CHAR(160),"")," ",""),"년",""))&gt;=1900,VALUE(SUBSTITUTE(SUBSTITUTE(SUBSTITUTE(TRIM(C775&amp;""),CHAR(160),"")," ",""),"년",""))&lt;=2099,TEXT(VALUE(SUBSTITUTE(SUBSTITUTE(SUBSTITUTE(TRIM(C775&amp;""),CHAR(160),"")," ",""),"년","")),"0000")=SUBSTITUTE(SUBSTITUTE(SUBSTITUTE(TRIM(C775&amp;""),CHAR(160),"")," ",""),"년","")),SUBSTITUTE(SUBSTITUTE(SUBSTITUTE(TRIM(C775&amp;""),CHAR(160),"")," ",""),"년",""),""),"")</f>
      </c>
      <c r="P775" t="str">
        <f>SUBSTITUTE(SUBSTITUTE(SUBSTITUTE(SUBSTITUTE(SUBSTITUTE(SUBSTITUTE(SUBSTITUTE(SUBSTITUTE(TRIM(D775&amp;""),CHAR(160),"")," ",""),"초등학교","초"),"중학교","중"),"고등학교","고"),"~","~~"),"*","~*"),"?","~?")</f>
      </c>
      <c r="Q775" t="str">
        <f>SUBSTITUTE(SUBSTITUTE(SUBSTITUTE(SUBSTITUTE(SUBSTITUTE(SUBSTITUTE(SUBSTITUTE(SUBSTITUTE(TRIM(E775&amp;""),CHAR(160),"")," ",""),"초등학교","초"),"중학교","중"),"고등학교","고"),"~","~~"),"*","~*"),"?","~?")</f>
      </c>
      <c r="R775" t="str">
        <f>IF(COUNTA(B775:J775)=0,"",IF(AND(O775&lt;&gt;"",P775&lt;&gt;"",Q775&lt;&gt;""),"","입력누락"))</f>
      </c>
    </row>
    <row r="776" customFormat="false" ht="15" hidden="false" customHeight="false" outlineLevel="0" collapsed="false">
      <c r="A776" t="n" s="19">
        <f aca="0">IF(COUNTA(B776:J776)=0,"",ROW()-1)</f>
      </c>
      <c r="B776" s="24"/>
      <c r="C776" s="25"/>
      <c r="D776" s="8"/>
      <c r="E776" s="8"/>
      <c r="F776" s="26"/>
      <c r="G776" s="24"/>
      <c r="H776" s="25"/>
      <c r="I776" s="25"/>
      <c r="J776" s="26"/>
      <c r="K776" t="str" s="15">
        <f aca="0">IF(COUNTA(B776:J776)=0,"",IF(R776&lt;&gt;"","확인필요(입력누락)",IF(COUNTIFS(보유목록!$I$2:$I$3001,"*"&amp;P776&amp;"*",보유목록!$I$2:$I$3001,"*"&amp;Q776&amp;"*",보유목록!$H$2:$H$3001,O776)&gt;0,"있음",IF(COUNTIFS(보유목록!$I$2:$I$3001,"*"&amp;P776&amp;"*",보유목록!$I$2:$I$3001,"*"&amp;Q776&amp;"*")&gt;0,"확인필요(연도다름)",IF(COUNTIFS(보유목록!$I$2:$I$3001,"*"&amp;P776&amp;"*",보유목록!$H$2:$H$3001,O776)&gt;0,"확인필요(같은학교·같은연도)","없음")))))</f>
      </c>
      <c r="L776" t="str" s="16">
        <f aca="0">IF(OR(COUNTA(B776:J776)=0,R776&lt;&gt;""),"",COUNTIFS(보유목록!$I$2:$I$3001,"*"&amp;P776&amp;"*",보유목록!$I$2:$I$3001,"*"&amp;Q776&amp;"*"))</f>
      </c>
      <c r="M776" t="str" s="23">
        <f aca="0">IF(OR(COUNTA(B776:J776)=0,R776&lt;&gt;""),"",IFERROR(LOOKUP(2,1/(ISNUMBER(SEARCH(P776,보유목록!$I$2:$I$3001))*ISNUMBER(SEARCH(Q776,보유목록!$I$2:$I$3001))*(보유목록!$H$2:$H$3001=O776)),보유목록!$B$2:$B$3001),IFERROR(LOOKUP(2,1/(ISNUMBER(SEARCH(P776,보유목록!$I$2:$I$3001))*ISNUMBER(SEARCH(Q776,보유목록!$I$2:$I$3001))),보유목록!$B$2:$B$3001),"")))</f>
      </c>
      <c r="N776" s="25"/>
      <c r="O776" t="str">
        <f>IFERROR(IF(AND(LEN(SUBSTITUTE(SUBSTITUTE(SUBSTITUTE(TRIM(C776&amp;""),CHAR(160),"")," ",""),"년",""))=4,VALUE(SUBSTITUTE(SUBSTITUTE(SUBSTITUTE(TRIM(C776&amp;""),CHAR(160),"")," ",""),"년",""))&gt;=1900,VALUE(SUBSTITUTE(SUBSTITUTE(SUBSTITUTE(TRIM(C776&amp;""),CHAR(160),"")," ",""),"년",""))&lt;=2099,TEXT(VALUE(SUBSTITUTE(SUBSTITUTE(SUBSTITUTE(TRIM(C776&amp;""),CHAR(160),"")," ",""),"년","")),"0000")=SUBSTITUTE(SUBSTITUTE(SUBSTITUTE(TRIM(C776&amp;""),CHAR(160),"")," ",""),"년","")),SUBSTITUTE(SUBSTITUTE(SUBSTITUTE(TRIM(C776&amp;""),CHAR(160),"")," ",""),"년",""),""),"")</f>
      </c>
      <c r="P776" t="str">
        <f>SUBSTITUTE(SUBSTITUTE(SUBSTITUTE(SUBSTITUTE(SUBSTITUTE(SUBSTITUTE(SUBSTITUTE(SUBSTITUTE(TRIM(D776&amp;""),CHAR(160),"")," ",""),"초등학교","초"),"중학교","중"),"고등학교","고"),"~","~~"),"*","~*"),"?","~?")</f>
      </c>
      <c r="Q776" t="str">
        <f>SUBSTITUTE(SUBSTITUTE(SUBSTITUTE(SUBSTITUTE(SUBSTITUTE(SUBSTITUTE(SUBSTITUTE(SUBSTITUTE(TRIM(E776&amp;""),CHAR(160),"")," ",""),"초등학교","초"),"중학교","중"),"고등학교","고"),"~","~~"),"*","~*"),"?","~?")</f>
      </c>
      <c r="R776" t="str">
        <f>IF(COUNTA(B776:J776)=0,"",IF(AND(O776&lt;&gt;"",P776&lt;&gt;"",Q776&lt;&gt;""),"","입력누락"))</f>
      </c>
    </row>
    <row r="777" customFormat="false" ht="15" hidden="false" customHeight="false" outlineLevel="0" collapsed="false">
      <c r="A777" t="n" s="19">
        <f aca="0">IF(COUNTA(B777:J777)=0,"",ROW()-1)</f>
      </c>
      <c r="B777" s="24"/>
      <c r="C777" s="25"/>
      <c r="D777" s="8"/>
      <c r="E777" s="8"/>
      <c r="F777" s="26"/>
      <c r="G777" s="24"/>
      <c r="H777" s="25"/>
      <c r="I777" s="25"/>
      <c r="J777" s="26"/>
      <c r="K777" t="str" s="15">
        <f aca="0">IF(COUNTA(B777:J777)=0,"",IF(R777&lt;&gt;"","확인필요(입력누락)",IF(COUNTIFS(보유목록!$I$2:$I$3001,"*"&amp;P777&amp;"*",보유목록!$I$2:$I$3001,"*"&amp;Q777&amp;"*",보유목록!$H$2:$H$3001,O777)&gt;0,"있음",IF(COUNTIFS(보유목록!$I$2:$I$3001,"*"&amp;P777&amp;"*",보유목록!$I$2:$I$3001,"*"&amp;Q777&amp;"*")&gt;0,"확인필요(연도다름)",IF(COUNTIFS(보유목록!$I$2:$I$3001,"*"&amp;P777&amp;"*",보유목록!$H$2:$H$3001,O777)&gt;0,"확인필요(같은학교·같은연도)","없음")))))</f>
      </c>
      <c r="L777" t="str" s="16">
        <f aca="0">IF(OR(COUNTA(B777:J777)=0,R777&lt;&gt;""),"",COUNTIFS(보유목록!$I$2:$I$3001,"*"&amp;P777&amp;"*",보유목록!$I$2:$I$3001,"*"&amp;Q777&amp;"*"))</f>
      </c>
      <c r="M777" t="str" s="23">
        <f aca="0">IF(OR(COUNTA(B777:J777)=0,R777&lt;&gt;""),"",IFERROR(LOOKUP(2,1/(ISNUMBER(SEARCH(P777,보유목록!$I$2:$I$3001))*ISNUMBER(SEARCH(Q777,보유목록!$I$2:$I$3001))*(보유목록!$H$2:$H$3001=O777)),보유목록!$B$2:$B$3001),IFERROR(LOOKUP(2,1/(ISNUMBER(SEARCH(P777,보유목록!$I$2:$I$3001))*ISNUMBER(SEARCH(Q777,보유목록!$I$2:$I$3001))),보유목록!$B$2:$B$3001),"")))</f>
      </c>
      <c r="N777" s="25"/>
      <c r="O777" t="str">
        <f>IFERROR(IF(AND(LEN(SUBSTITUTE(SUBSTITUTE(SUBSTITUTE(TRIM(C777&amp;""),CHAR(160),"")," ",""),"년",""))=4,VALUE(SUBSTITUTE(SUBSTITUTE(SUBSTITUTE(TRIM(C777&amp;""),CHAR(160),"")," ",""),"년",""))&gt;=1900,VALUE(SUBSTITUTE(SUBSTITUTE(SUBSTITUTE(TRIM(C777&amp;""),CHAR(160),"")," ",""),"년",""))&lt;=2099,TEXT(VALUE(SUBSTITUTE(SUBSTITUTE(SUBSTITUTE(TRIM(C777&amp;""),CHAR(160),"")," ",""),"년","")),"0000")=SUBSTITUTE(SUBSTITUTE(SUBSTITUTE(TRIM(C777&amp;""),CHAR(160),"")," ",""),"년","")),SUBSTITUTE(SUBSTITUTE(SUBSTITUTE(TRIM(C777&amp;""),CHAR(160),"")," ",""),"년",""),""),"")</f>
      </c>
      <c r="P777" t="str">
        <f>SUBSTITUTE(SUBSTITUTE(SUBSTITUTE(SUBSTITUTE(SUBSTITUTE(SUBSTITUTE(SUBSTITUTE(SUBSTITUTE(TRIM(D777&amp;""),CHAR(160),"")," ",""),"초등학교","초"),"중학교","중"),"고등학교","고"),"~","~~"),"*","~*"),"?","~?")</f>
      </c>
      <c r="Q777" t="str">
        <f>SUBSTITUTE(SUBSTITUTE(SUBSTITUTE(SUBSTITUTE(SUBSTITUTE(SUBSTITUTE(SUBSTITUTE(SUBSTITUTE(TRIM(E777&amp;""),CHAR(160),"")," ",""),"초등학교","초"),"중학교","중"),"고등학교","고"),"~","~~"),"*","~*"),"?","~?")</f>
      </c>
      <c r="R777" t="str">
        <f>IF(COUNTA(B777:J777)=0,"",IF(AND(O777&lt;&gt;"",P777&lt;&gt;"",Q777&lt;&gt;""),"","입력누락"))</f>
      </c>
    </row>
    <row r="778" customFormat="false" ht="15" hidden="false" customHeight="false" outlineLevel="0" collapsed="false">
      <c r="A778" t="n" s="19">
        <f aca="0">IF(COUNTA(B778:J778)=0,"",ROW()-1)</f>
      </c>
      <c r="B778" s="24"/>
      <c r="C778" s="25"/>
      <c r="D778" s="8"/>
      <c r="E778" s="8"/>
      <c r="F778" s="26"/>
      <c r="G778" s="24"/>
      <c r="H778" s="25"/>
      <c r="I778" s="25"/>
      <c r="J778" s="26"/>
      <c r="K778" t="str" s="15">
        <f aca="0">IF(COUNTA(B778:J778)=0,"",IF(R778&lt;&gt;"","확인필요(입력누락)",IF(COUNTIFS(보유목록!$I$2:$I$3001,"*"&amp;P778&amp;"*",보유목록!$I$2:$I$3001,"*"&amp;Q778&amp;"*",보유목록!$H$2:$H$3001,O778)&gt;0,"있음",IF(COUNTIFS(보유목록!$I$2:$I$3001,"*"&amp;P778&amp;"*",보유목록!$I$2:$I$3001,"*"&amp;Q778&amp;"*")&gt;0,"확인필요(연도다름)",IF(COUNTIFS(보유목록!$I$2:$I$3001,"*"&amp;P778&amp;"*",보유목록!$H$2:$H$3001,O778)&gt;0,"확인필요(같은학교·같은연도)","없음")))))</f>
      </c>
      <c r="L778" t="str" s="16">
        <f aca="0">IF(OR(COUNTA(B778:J778)=0,R778&lt;&gt;""),"",COUNTIFS(보유목록!$I$2:$I$3001,"*"&amp;P778&amp;"*",보유목록!$I$2:$I$3001,"*"&amp;Q778&amp;"*"))</f>
      </c>
      <c r="M778" t="str" s="23">
        <f aca="0">IF(OR(COUNTA(B778:J778)=0,R778&lt;&gt;""),"",IFERROR(LOOKUP(2,1/(ISNUMBER(SEARCH(P778,보유목록!$I$2:$I$3001))*ISNUMBER(SEARCH(Q778,보유목록!$I$2:$I$3001))*(보유목록!$H$2:$H$3001=O778)),보유목록!$B$2:$B$3001),IFERROR(LOOKUP(2,1/(ISNUMBER(SEARCH(P778,보유목록!$I$2:$I$3001))*ISNUMBER(SEARCH(Q778,보유목록!$I$2:$I$3001))),보유목록!$B$2:$B$3001),"")))</f>
      </c>
      <c r="N778" s="25"/>
      <c r="O778" t="str">
        <f>IFERROR(IF(AND(LEN(SUBSTITUTE(SUBSTITUTE(SUBSTITUTE(TRIM(C778&amp;""),CHAR(160),"")," ",""),"년",""))=4,VALUE(SUBSTITUTE(SUBSTITUTE(SUBSTITUTE(TRIM(C778&amp;""),CHAR(160),"")," ",""),"년",""))&gt;=1900,VALUE(SUBSTITUTE(SUBSTITUTE(SUBSTITUTE(TRIM(C778&amp;""),CHAR(160),"")," ",""),"년",""))&lt;=2099,TEXT(VALUE(SUBSTITUTE(SUBSTITUTE(SUBSTITUTE(TRIM(C778&amp;""),CHAR(160),"")," ",""),"년","")),"0000")=SUBSTITUTE(SUBSTITUTE(SUBSTITUTE(TRIM(C778&amp;""),CHAR(160),"")," ",""),"년","")),SUBSTITUTE(SUBSTITUTE(SUBSTITUTE(TRIM(C778&amp;""),CHAR(160),"")," ",""),"년",""),""),"")</f>
      </c>
      <c r="P778" t="str">
        <f>SUBSTITUTE(SUBSTITUTE(SUBSTITUTE(SUBSTITUTE(SUBSTITUTE(SUBSTITUTE(SUBSTITUTE(SUBSTITUTE(TRIM(D778&amp;""),CHAR(160),"")," ",""),"초등학교","초"),"중학교","중"),"고등학교","고"),"~","~~"),"*","~*"),"?","~?")</f>
      </c>
      <c r="Q778" t="str">
        <f>SUBSTITUTE(SUBSTITUTE(SUBSTITUTE(SUBSTITUTE(SUBSTITUTE(SUBSTITUTE(SUBSTITUTE(SUBSTITUTE(TRIM(E778&amp;""),CHAR(160),"")," ",""),"초등학교","초"),"중학교","중"),"고등학교","고"),"~","~~"),"*","~*"),"?","~?")</f>
      </c>
      <c r="R778" t="str">
        <f>IF(COUNTA(B778:J778)=0,"",IF(AND(O778&lt;&gt;"",P778&lt;&gt;"",Q778&lt;&gt;""),"","입력누락"))</f>
      </c>
    </row>
    <row r="779" customFormat="false" ht="15" hidden="false" customHeight="false" outlineLevel="0" collapsed="false">
      <c r="A779" t="n" s="19">
        <f aca="0">IF(COUNTA(B779:J779)=0,"",ROW()-1)</f>
      </c>
      <c r="B779" s="24"/>
      <c r="C779" s="25"/>
      <c r="D779" s="8"/>
      <c r="E779" s="8"/>
      <c r="F779" s="26"/>
      <c r="G779" s="24"/>
      <c r="H779" s="25"/>
      <c r="I779" s="25"/>
      <c r="J779" s="26"/>
      <c r="K779" t="str" s="15">
        <f aca="0">IF(COUNTA(B779:J779)=0,"",IF(R779&lt;&gt;"","확인필요(입력누락)",IF(COUNTIFS(보유목록!$I$2:$I$3001,"*"&amp;P779&amp;"*",보유목록!$I$2:$I$3001,"*"&amp;Q779&amp;"*",보유목록!$H$2:$H$3001,O779)&gt;0,"있음",IF(COUNTIFS(보유목록!$I$2:$I$3001,"*"&amp;P779&amp;"*",보유목록!$I$2:$I$3001,"*"&amp;Q779&amp;"*")&gt;0,"확인필요(연도다름)",IF(COUNTIFS(보유목록!$I$2:$I$3001,"*"&amp;P779&amp;"*",보유목록!$H$2:$H$3001,O779)&gt;0,"확인필요(같은학교·같은연도)","없음")))))</f>
      </c>
      <c r="L779" t="str" s="16">
        <f aca="0">IF(OR(COUNTA(B779:J779)=0,R779&lt;&gt;""),"",COUNTIFS(보유목록!$I$2:$I$3001,"*"&amp;P779&amp;"*",보유목록!$I$2:$I$3001,"*"&amp;Q779&amp;"*"))</f>
      </c>
      <c r="M779" t="str" s="23">
        <f aca="0">IF(OR(COUNTA(B779:J779)=0,R779&lt;&gt;""),"",IFERROR(LOOKUP(2,1/(ISNUMBER(SEARCH(P779,보유목록!$I$2:$I$3001))*ISNUMBER(SEARCH(Q779,보유목록!$I$2:$I$3001))*(보유목록!$H$2:$H$3001=O779)),보유목록!$B$2:$B$3001),IFERROR(LOOKUP(2,1/(ISNUMBER(SEARCH(P779,보유목록!$I$2:$I$3001))*ISNUMBER(SEARCH(Q779,보유목록!$I$2:$I$3001))),보유목록!$B$2:$B$3001),"")))</f>
      </c>
      <c r="N779" s="25"/>
      <c r="O779" t="str">
        <f>IFERROR(IF(AND(LEN(SUBSTITUTE(SUBSTITUTE(SUBSTITUTE(TRIM(C779&amp;""),CHAR(160),"")," ",""),"년",""))=4,VALUE(SUBSTITUTE(SUBSTITUTE(SUBSTITUTE(TRIM(C779&amp;""),CHAR(160),"")," ",""),"년",""))&gt;=1900,VALUE(SUBSTITUTE(SUBSTITUTE(SUBSTITUTE(TRIM(C779&amp;""),CHAR(160),"")," ",""),"년",""))&lt;=2099,TEXT(VALUE(SUBSTITUTE(SUBSTITUTE(SUBSTITUTE(TRIM(C779&amp;""),CHAR(160),"")," ",""),"년","")),"0000")=SUBSTITUTE(SUBSTITUTE(SUBSTITUTE(TRIM(C779&amp;""),CHAR(160),"")," ",""),"년","")),SUBSTITUTE(SUBSTITUTE(SUBSTITUTE(TRIM(C779&amp;""),CHAR(160),"")," ",""),"년",""),""),"")</f>
      </c>
      <c r="P779" t="str">
        <f>SUBSTITUTE(SUBSTITUTE(SUBSTITUTE(SUBSTITUTE(SUBSTITUTE(SUBSTITUTE(SUBSTITUTE(SUBSTITUTE(TRIM(D779&amp;""),CHAR(160),"")," ",""),"초등학교","초"),"중학교","중"),"고등학교","고"),"~","~~"),"*","~*"),"?","~?")</f>
      </c>
      <c r="Q779" t="str">
        <f>SUBSTITUTE(SUBSTITUTE(SUBSTITUTE(SUBSTITUTE(SUBSTITUTE(SUBSTITUTE(SUBSTITUTE(SUBSTITUTE(TRIM(E779&amp;""),CHAR(160),"")," ",""),"초등학교","초"),"중학교","중"),"고등학교","고"),"~","~~"),"*","~*"),"?","~?")</f>
      </c>
      <c r="R779" t="str">
        <f>IF(COUNTA(B779:J779)=0,"",IF(AND(O779&lt;&gt;"",P779&lt;&gt;"",Q779&lt;&gt;""),"","입력누락"))</f>
      </c>
    </row>
    <row r="780" customFormat="false" ht="15" hidden="false" customHeight="false" outlineLevel="0" collapsed="false">
      <c r="A780" t="n" s="19">
        <f aca="0">IF(COUNTA(B780:J780)=0,"",ROW()-1)</f>
      </c>
      <c r="B780" s="24"/>
      <c r="C780" s="25"/>
      <c r="D780" s="8"/>
      <c r="E780" s="8"/>
      <c r="F780" s="26"/>
      <c r="G780" s="24"/>
      <c r="H780" s="25"/>
      <c r="I780" s="25"/>
      <c r="J780" s="26"/>
      <c r="K780" t="str" s="15">
        <f aca="0">IF(COUNTA(B780:J780)=0,"",IF(R780&lt;&gt;"","확인필요(입력누락)",IF(COUNTIFS(보유목록!$I$2:$I$3001,"*"&amp;P780&amp;"*",보유목록!$I$2:$I$3001,"*"&amp;Q780&amp;"*",보유목록!$H$2:$H$3001,O780)&gt;0,"있음",IF(COUNTIFS(보유목록!$I$2:$I$3001,"*"&amp;P780&amp;"*",보유목록!$I$2:$I$3001,"*"&amp;Q780&amp;"*")&gt;0,"확인필요(연도다름)",IF(COUNTIFS(보유목록!$I$2:$I$3001,"*"&amp;P780&amp;"*",보유목록!$H$2:$H$3001,O780)&gt;0,"확인필요(같은학교·같은연도)","없음")))))</f>
      </c>
      <c r="L780" t="str" s="16">
        <f aca="0">IF(OR(COUNTA(B780:J780)=0,R780&lt;&gt;""),"",COUNTIFS(보유목록!$I$2:$I$3001,"*"&amp;P780&amp;"*",보유목록!$I$2:$I$3001,"*"&amp;Q780&amp;"*"))</f>
      </c>
      <c r="M780" t="str" s="23">
        <f aca="0">IF(OR(COUNTA(B780:J780)=0,R780&lt;&gt;""),"",IFERROR(LOOKUP(2,1/(ISNUMBER(SEARCH(P780,보유목록!$I$2:$I$3001))*ISNUMBER(SEARCH(Q780,보유목록!$I$2:$I$3001))*(보유목록!$H$2:$H$3001=O780)),보유목록!$B$2:$B$3001),IFERROR(LOOKUP(2,1/(ISNUMBER(SEARCH(P780,보유목록!$I$2:$I$3001))*ISNUMBER(SEARCH(Q780,보유목록!$I$2:$I$3001))),보유목록!$B$2:$B$3001),"")))</f>
      </c>
      <c r="N780" s="25"/>
      <c r="O780" t="str">
        <f>IFERROR(IF(AND(LEN(SUBSTITUTE(SUBSTITUTE(SUBSTITUTE(TRIM(C780&amp;""),CHAR(160),"")," ",""),"년",""))=4,VALUE(SUBSTITUTE(SUBSTITUTE(SUBSTITUTE(TRIM(C780&amp;""),CHAR(160),"")," ",""),"년",""))&gt;=1900,VALUE(SUBSTITUTE(SUBSTITUTE(SUBSTITUTE(TRIM(C780&amp;""),CHAR(160),"")," ",""),"년",""))&lt;=2099,TEXT(VALUE(SUBSTITUTE(SUBSTITUTE(SUBSTITUTE(TRIM(C780&amp;""),CHAR(160),"")," ",""),"년","")),"0000")=SUBSTITUTE(SUBSTITUTE(SUBSTITUTE(TRIM(C780&amp;""),CHAR(160),"")," ",""),"년","")),SUBSTITUTE(SUBSTITUTE(SUBSTITUTE(TRIM(C780&amp;""),CHAR(160),"")," ",""),"년",""),""),"")</f>
      </c>
      <c r="P780" t="str">
        <f>SUBSTITUTE(SUBSTITUTE(SUBSTITUTE(SUBSTITUTE(SUBSTITUTE(SUBSTITUTE(SUBSTITUTE(SUBSTITUTE(TRIM(D780&amp;""),CHAR(160),"")," ",""),"초등학교","초"),"중학교","중"),"고등학교","고"),"~","~~"),"*","~*"),"?","~?")</f>
      </c>
      <c r="Q780" t="str">
        <f>SUBSTITUTE(SUBSTITUTE(SUBSTITUTE(SUBSTITUTE(SUBSTITUTE(SUBSTITUTE(SUBSTITUTE(SUBSTITUTE(TRIM(E780&amp;""),CHAR(160),"")," ",""),"초등학교","초"),"중학교","중"),"고등학교","고"),"~","~~"),"*","~*"),"?","~?")</f>
      </c>
      <c r="R780" t="str">
        <f>IF(COUNTA(B780:J780)=0,"",IF(AND(O780&lt;&gt;"",P780&lt;&gt;"",Q780&lt;&gt;""),"","입력누락"))</f>
      </c>
    </row>
    <row r="781" customFormat="false" ht="15" hidden="false" customHeight="false" outlineLevel="0" collapsed="false">
      <c r="A781" t="n" s="19">
        <f aca="0">IF(COUNTA(B781:J781)=0,"",ROW()-1)</f>
      </c>
      <c r="B781" s="24"/>
      <c r="C781" s="25"/>
      <c r="D781" s="8"/>
      <c r="E781" s="8"/>
      <c r="F781" s="26"/>
      <c r="G781" s="24"/>
      <c r="H781" s="25"/>
      <c r="I781" s="25"/>
      <c r="J781" s="26"/>
      <c r="K781" t="str" s="15">
        <f aca="0">IF(COUNTA(B781:J781)=0,"",IF(R781&lt;&gt;"","확인필요(입력누락)",IF(COUNTIFS(보유목록!$I$2:$I$3001,"*"&amp;P781&amp;"*",보유목록!$I$2:$I$3001,"*"&amp;Q781&amp;"*",보유목록!$H$2:$H$3001,O781)&gt;0,"있음",IF(COUNTIFS(보유목록!$I$2:$I$3001,"*"&amp;P781&amp;"*",보유목록!$I$2:$I$3001,"*"&amp;Q781&amp;"*")&gt;0,"확인필요(연도다름)",IF(COUNTIFS(보유목록!$I$2:$I$3001,"*"&amp;P781&amp;"*",보유목록!$H$2:$H$3001,O781)&gt;0,"확인필요(같은학교·같은연도)","없음")))))</f>
      </c>
      <c r="L781" t="str" s="16">
        <f aca="0">IF(OR(COUNTA(B781:J781)=0,R781&lt;&gt;""),"",COUNTIFS(보유목록!$I$2:$I$3001,"*"&amp;P781&amp;"*",보유목록!$I$2:$I$3001,"*"&amp;Q781&amp;"*"))</f>
      </c>
      <c r="M781" t="str" s="23">
        <f aca="0">IF(OR(COUNTA(B781:J781)=0,R781&lt;&gt;""),"",IFERROR(LOOKUP(2,1/(ISNUMBER(SEARCH(P781,보유목록!$I$2:$I$3001))*ISNUMBER(SEARCH(Q781,보유목록!$I$2:$I$3001))*(보유목록!$H$2:$H$3001=O781)),보유목록!$B$2:$B$3001),IFERROR(LOOKUP(2,1/(ISNUMBER(SEARCH(P781,보유목록!$I$2:$I$3001))*ISNUMBER(SEARCH(Q781,보유목록!$I$2:$I$3001))),보유목록!$B$2:$B$3001),"")))</f>
      </c>
      <c r="N781" s="25"/>
      <c r="O781" t="str">
        <f>IFERROR(IF(AND(LEN(SUBSTITUTE(SUBSTITUTE(SUBSTITUTE(TRIM(C781&amp;""),CHAR(160),"")," ",""),"년",""))=4,VALUE(SUBSTITUTE(SUBSTITUTE(SUBSTITUTE(TRIM(C781&amp;""),CHAR(160),"")," ",""),"년",""))&gt;=1900,VALUE(SUBSTITUTE(SUBSTITUTE(SUBSTITUTE(TRIM(C781&amp;""),CHAR(160),"")," ",""),"년",""))&lt;=2099,TEXT(VALUE(SUBSTITUTE(SUBSTITUTE(SUBSTITUTE(TRIM(C781&amp;""),CHAR(160),"")," ",""),"년","")),"0000")=SUBSTITUTE(SUBSTITUTE(SUBSTITUTE(TRIM(C781&amp;""),CHAR(160),"")," ",""),"년","")),SUBSTITUTE(SUBSTITUTE(SUBSTITUTE(TRIM(C781&amp;""),CHAR(160),"")," ",""),"년",""),""),"")</f>
      </c>
      <c r="P781" t="str">
        <f>SUBSTITUTE(SUBSTITUTE(SUBSTITUTE(SUBSTITUTE(SUBSTITUTE(SUBSTITUTE(SUBSTITUTE(SUBSTITUTE(TRIM(D781&amp;""),CHAR(160),"")," ",""),"초등학교","초"),"중학교","중"),"고등학교","고"),"~","~~"),"*","~*"),"?","~?")</f>
      </c>
      <c r="Q781" t="str">
        <f>SUBSTITUTE(SUBSTITUTE(SUBSTITUTE(SUBSTITUTE(SUBSTITUTE(SUBSTITUTE(SUBSTITUTE(SUBSTITUTE(TRIM(E781&amp;""),CHAR(160),"")," ",""),"초등학교","초"),"중학교","중"),"고등학교","고"),"~","~~"),"*","~*"),"?","~?")</f>
      </c>
      <c r="R781" t="str">
        <f>IF(COUNTA(B781:J781)=0,"",IF(AND(O781&lt;&gt;"",P781&lt;&gt;"",Q781&lt;&gt;""),"","입력누락"))</f>
      </c>
    </row>
    <row r="782" customFormat="false" ht="15" hidden="false" customHeight="false" outlineLevel="0" collapsed="false">
      <c r="A782" t="n" s="19">
        <f aca="0">IF(COUNTA(B782:J782)=0,"",ROW()-1)</f>
      </c>
      <c r="B782" s="24"/>
      <c r="C782" s="25"/>
      <c r="D782" s="8"/>
      <c r="E782" s="8"/>
      <c r="F782" s="26"/>
      <c r="G782" s="24"/>
      <c r="H782" s="25"/>
      <c r="I782" s="25"/>
      <c r="J782" s="26"/>
      <c r="K782" t="str" s="15">
        <f aca="0">IF(COUNTA(B782:J782)=0,"",IF(R782&lt;&gt;"","확인필요(입력누락)",IF(COUNTIFS(보유목록!$I$2:$I$3001,"*"&amp;P782&amp;"*",보유목록!$I$2:$I$3001,"*"&amp;Q782&amp;"*",보유목록!$H$2:$H$3001,O782)&gt;0,"있음",IF(COUNTIFS(보유목록!$I$2:$I$3001,"*"&amp;P782&amp;"*",보유목록!$I$2:$I$3001,"*"&amp;Q782&amp;"*")&gt;0,"확인필요(연도다름)",IF(COUNTIFS(보유목록!$I$2:$I$3001,"*"&amp;P782&amp;"*",보유목록!$H$2:$H$3001,O782)&gt;0,"확인필요(같은학교·같은연도)","없음")))))</f>
      </c>
      <c r="L782" t="str" s="16">
        <f aca="0">IF(OR(COUNTA(B782:J782)=0,R782&lt;&gt;""),"",COUNTIFS(보유목록!$I$2:$I$3001,"*"&amp;P782&amp;"*",보유목록!$I$2:$I$3001,"*"&amp;Q782&amp;"*"))</f>
      </c>
      <c r="M782" t="str" s="23">
        <f aca="0">IF(OR(COUNTA(B782:J782)=0,R782&lt;&gt;""),"",IFERROR(LOOKUP(2,1/(ISNUMBER(SEARCH(P782,보유목록!$I$2:$I$3001))*ISNUMBER(SEARCH(Q782,보유목록!$I$2:$I$3001))*(보유목록!$H$2:$H$3001=O782)),보유목록!$B$2:$B$3001),IFERROR(LOOKUP(2,1/(ISNUMBER(SEARCH(P782,보유목록!$I$2:$I$3001))*ISNUMBER(SEARCH(Q782,보유목록!$I$2:$I$3001))),보유목록!$B$2:$B$3001),"")))</f>
      </c>
      <c r="N782" s="25"/>
      <c r="O782" t="str">
        <f>IFERROR(IF(AND(LEN(SUBSTITUTE(SUBSTITUTE(SUBSTITUTE(TRIM(C782&amp;""),CHAR(160),"")," ",""),"년",""))=4,VALUE(SUBSTITUTE(SUBSTITUTE(SUBSTITUTE(TRIM(C782&amp;""),CHAR(160),"")," ",""),"년",""))&gt;=1900,VALUE(SUBSTITUTE(SUBSTITUTE(SUBSTITUTE(TRIM(C782&amp;""),CHAR(160),"")," ",""),"년",""))&lt;=2099,TEXT(VALUE(SUBSTITUTE(SUBSTITUTE(SUBSTITUTE(TRIM(C782&amp;""),CHAR(160),"")," ",""),"년","")),"0000")=SUBSTITUTE(SUBSTITUTE(SUBSTITUTE(TRIM(C782&amp;""),CHAR(160),"")," ",""),"년","")),SUBSTITUTE(SUBSTITUTE(SUBSTITUTE(TRIM(C782&amp;""),CHAR(160),"")," ",""),"년",""),""),"")</f>
      </c>
      <c r="P782" t="str">
        <f>SUBSTITUTE(SUBSTITUTE(SUBSTITUTE(SUBSTITUTE(SUBSTITUTE(SUBSTITUTE(SUBSTITUTE(SUBSTITUTE(TRIM(D782&amp;""),CHAR(160),"")," ",""),"초등학교","초"),"중학교","중"),"고등학교","고"),"~","~~"),"*","~*"),"?","~?")</f>
      </c>
      <c r="Q782" t="str">
        <f>SUBSTITUTE(SUBSTITUTE(SUBSTITUTE(SUBSTITUTE(SUBSTITUTE(SUBSTITUTE(SUBSTITUTE(SUBSTITUTE(TRIM(E782&amp;""),CHAR(160),"")," ",""),"초등학교","초"),"중학교","중"),"고등학교","고"),"~","~~"),"*","~*"),"?","~?")</f>
      </c>
      <c r="R782" t="str">
        <f>IF(COUNTA(B782:J782)=0,"",IF(AND(O782&lt;&gt;"",P782&lt;&gt;"",Q782&lt;&gt;""),"","입력누락"))</f>
      </c>
    </row>
    <row r="783" customFormat="false" ht="15" hidden="false" customHeight="false" outlineLevel="0" collapsed="false">
      <c r="A783" t="n" s="19">
        <f aca="0">IF(COUNTA(B783:J783)=0,"",ROW()-1)</f>
      </c>
      <c r="B783" s="24"/>
      <c r="C783" s="25"/>
      <c r="D783" s="8"/>
      <c r="E783" s="8"/>
      <c r="F783" s="26"/>
      <c r="G783" s="24"/>
      <c r="H783" s="25"/>
      <c r="I783" s="25"/>
      <c r="J783" s="26"/>
      <c r="K783" t="str" s="15">
        <f aca="0">IF(COUNTA(B783:J783)=0,"",IF(R783&lt;&gt;"","확인필요(입력누락)",IF(COUNTIFS(보유목록!$I$2:$I$3001,"*"&amp;P783&amp;"*",보유목록!$I$2:$I$3001,"*"&amp;Q783&amp;"*",보유목록!$H$2:$H$3001,O783)&gt;0,"있음",IF(COUNTIFS(보유목록!$I$2:$I$3001,"*"&amp;P783&amp;"*",보유목록!$I$2:$I$3001,"*"&amp;Q783&amp;"*")&gt;0,"확인필요(연도다름)",IF(COUNTIFS(보유목록!$I$2:$I$3001,"*"&amp;P783&amp;"*",보유목록!$H$2:$H$3001,O783)&gt;0,"확인필요(같은학교·같은연도)","없음")))))</f>
      </c>
      <c r="L783" t="str" s="16">
        <f aca="0">IF(OR(COUNTA(B783:J783)=0,R783&lt;&gt;""),"",COUNTIFS(보유목록!$I$2:$I$3001,"*"&amp;P783&amp;"*",보유목록!$I$2:$I$3001,"*"&amp;Q783&amp;"*"))</f>
      </c>
      <c r="M783" t="str" s="23">
        <f aca="0">IF(OR(COUNTA(B783:J783)=0,R783&lt;&gt;""),"",IFERROR(LOOKUP(2,1/(ISNUMBER(SEARCH(P783,보유목록!$I$2:$I$3001))*ISNUMBER(SEARCH(Q783,보유목록!$I$2:$I$3001))*(보유목록!$H$2:$H$3001=O783)),보유목록!$B$2:$B$3001),IFERROR(LOOKUP(2,1/(ISNUMBER(SEARCH(P783,보유목록!$I$2:$I$3001))*ISNUMBER(SEARCH(Q783,보유목록!$I$2:$I$3001))),보유목록!$B$2:$B$3001),"")))</f>
      </c>
      <c r="N783" s="25"/>
      <c r="O783" t="str">
        <f>IFERROR(IF(AND(LEN(SUBSTITUTE(SUBSTITUTE(SUBSTITUTE(TRIM(C783&amp;""),CHAR(160),"")," ",""),"년",""))=4,VALUE(SUBSTITUTE(SUBSTITUTE(SUBSTITUTE(TRIM(C783&amp;""),CHAR(160),"")," ",""),"년",""))&gt;=1900,VALUE(SUBSTITUTE(SUBSTITUTE(SUBSTITUTE(TRIM(C783&amp;""),CHAR(160),"")," ",""),"년",""))&lt;=2099,TEXT(VALUE(SUBSTITUTE(SUBSTITUTE(SUBSTITUTE(TRIM(C783&amp;""),CHAR(160),"")," ",""),"년","")),"0000")=SUBSTITUTE(SUBSTITUTE(SUBSTITUTE(TRIM(C783&amp;""),CHAR(160),"")," ",""),"년","")),SUBSTITUTE(SUBSTITUTE(SUBSTITUTE(TRIM(C783&amp;""),CHAR(160),"")," ",""),"년",""),""),"")</f>
      </c>
      <c r="P783" t="str">
        <f>SUBSTITUTE(SUBSTITUTE(SUBSTITUTE(SUBSTITUTE(SUBSTITUTE(SUBSTITUTE(SUBSTITUTE(SUBSTITUTE(TRIM(D783&amp;""),CHAR(160),"")," ",""),"초등학교","초"),"중학교","중"),"고등학교","고"),"~","~~"),"*","~*"),"?","~?")</f>
      </c>
      <c r="Q783" t="str">
        <f>SUBSTITUTE(SUBSTITUTE(SUBSTITUTE(SUBSTITUTE(SUBSTITUTE(SUBSTITUTE(SUBSTITUTE(SUBSTITUTE(TRIM(E783&amp;""),CHAR(160),"")," ",""),"초등학교","초"),"중학교","중"),"고등학교","고"),"~","~~"),"*","~*"),"?","~?")</f>
      </c>
      <c r="R783" t="str">
        <f>IF(COUNTA(B783:J783)=0,"",IF(AND(O783&lt;&gt;"",P783&lt;&gt;"",Q783&lt;&gt;""),"","입력누락"))</f>
      </c>
    </row>
    <row r="784" customFormat="false" ht="15" hidden="false" customHeight="false" outlineLevel="0" collapsed="false">
      <c r="A784" t="n" s="19">
        <f aca="0">IF(COUNTA(B784:J784)=0,"",ROW()-1)</f>
      </c>
      <c r="B784" s="24"/>
      <c r="C784" s="25"/>
      <c r="D784" s="8"/>
      <c r="E784" s="8"/>
      <c r="F784" s="26"/>
      <c r="G784" s="24"/>
      <c r="H784" s="25"/>
      <c r="I784" s="25"/>
      <c r="J784" s="26"/>
      <c r="K784" t="str" s="15">
        <f aca="0">IF(COUNTA(B784:J784)=0,"",IF(R784&lt;&gt;"","확인필요(입력누락)",IF(COUNTIFS(보유목록!$I$2:$I$3001,"*"&amp;P784&amp;"*",보유목록!$I$2:$I$3001,"*"&amp;Q784&amp;"*",보유목록!$H$2:$H$3001,O784)&gt;0,"있음",IF(COUNTIFS(보유목록!$I$2:$I$3001,"*"&amp;P784&amp;"*",보유목록!$I$2:$I$3001,"*"&amp;Q784&amp;"*")&gt;0,"확인필요(연도다름)",IF(COUNTIFS(보유목록!$I$2:$I$3001,"*"&amp;P784&amp;"*",보유목록!$H$2:$H$3001,O784)&gt;0,"확인필요(같은학교·같은연도)","없음")))))</f>
      </c>
      <c r="L784" t="str" s="16">
        <f aca="0">IF(OR(COUNTA(B784:J784)=0,R784&lt;&gt;""),"",COUNTIFS(보유목록!$I$2:$I$3001,"*"&amp;P784&amp;"*",보유목록!$I$2:$I$3001,"*"&amp;Q784&amp;"*"))</f>
      </c>
      <c r="M784" t="str" s="23">
        <f aca="0">IF(OR(COUNTA(B784:J784)=0,R784&lt;&gt;""),"",IFERROR(LOOKUP(2,1/(ISNUMBER(SEARCH(P784,보유목록!$I$2:$I$3001))*ISNUMBER(SEARCH(Q784,보유목록!$I$2:$I$3001))*(보유목록!$H$2:$H$3001=O784)),보유목록!$B$2:$B$3001),IFERROR(LOOKUP(2,1/(ISNUMBER(SEARCH(P784,보유목록!$I$2:$I$3001))*ISNUMBER(SEARCH(Q784,보유목록!$I$2:$I$3001))),보유목록!$B$2:$B$3001),"")))</f>
      </c>
      <c r="N784" s="25"/>
      <c r="O784" t="str">
        <f>IFERROR(IF(AND(LEN(SUBSTITUTE(SUBSTITUTE(SUBSTITUTE(TRIM(C784&amp;""),CHAR(160),"")," ",""),"년",""))=4,VALUE(SUBSTITUTE(SUBSTITUTE(SUBSTITUTE(TRIM(C784&amp;""),CHAR(160),"")," ",""),"년",""))&gt;=1900,VALUE(SUBSTITUTE(SUBSTITUTE(SUBSTITUTE(TRIM(C784&amp;""),CHAR(160),"")," ",""),"년",""))&lt;=2099,TEXT(VALUE(SUBSTITUTE(SUBSTITUTE(SUBSTITUTE(TRIM(C784&amp;""),CHAR(160),"")," ",""),"년","")),"0000")=SUBSTITUTE(SUBSTITUTE(SUBSTITUTE(TRIM(C784&amp;""),CHAR(160),"")," ",""),"년","")),SUBSTITUTE(SUBSTITUTE(SUBSTITUTE(TRIM(C784&amp;""),CHAR(160),"")," ",""),"년",""),""),"")</f>
      </c>
      <c r="P784" t="str">
        <f>SUBSTITUTE(SUBSTITUTE(SUBSTITUTE(SUBSTITUTE(SUBSTITUTE(SUBSTITUTE(SUBSTITUTE(SUBSTITUTE(TRIM(D784&amp;""),CHAR(160),"")," ",""),"초등학교","초"),"중학교","중"),"고등학교","고"),"~","~~"),"*","~*"),"?","~?")</f>
      </c>
      <c r="Q784" t="str">
        <f>SUBSTITUTE(SUBSTITUTE(SUBSTITUTE(SUBSTITUTE(SUBSTITUTE(SUBSTITUTE(SUBSTITUTE(SUBSTITUTE(TRIM(E784&amp;""),CHAR(160),"")," ",""),"초등학교","초"),"중학교","중"),"고등학교","고"),"~","~~"),"*","~*"),"?","~?")</f>
      </c>
      <c r="R784" t="str">
        <f>IF(COUNTA(B784:J784)=0,"",IF(AND(O784&lt;&gt;"",P784&lt;&gt;"",Q784&lt;&gt;""),"","입력누락"))</f>
      </c>
    </row>
    <row r="785" customFormat="false" ht="15" hidden="false" customHeight="false" outlineLevel="0" collapsed="false">
      <c r="A785" t="n" s="19">
        <f aca="0">IF(COUNTA(B785:J785)=0,"",ROW()-1)</f>
      </c>
      <c r="B785" s="24"/>
      <c r="C785" s="25"/>
      <c r="D785" s="8"/>
      <c r="E785" s="8"/>
      <c r="F785" s="26"/>
      <c r="G785" s="24"/>
      <c r="H785" s="25"/>
      <c r="I785" s="25"/>
      <c r="J785" s="26"/>
      <c r="K785" t="str" s="15">
        <f aca="0">IF(COUNTA(B785:J785)=0,"",IF(R785&lt;&gt;"","확인필요(입력누락)",IF(COUNTIFS(보유목록!$I$2:$I$3001,"*"&amp;P785&amp;"*",보유목록!$I$2:$I$3001,"*"&amp;Q785&amp;"*",보유목록!$H$2:$H$3001,O785)&gt;0,"있음",IF(COUNTIFS(보유목록!$I$2:$I$3001,"*"&amp;P785&amp;"*",보유목록!$I$2:$I$3001,"*"&amp;Q785&amp;"*")&gt;0,"확인필요(연도다름)",IF(COUNTIFS(보유목록!$I$2:$I$3001,"*"&amp;P785&amp;"*",보유목록!$H$2:$H$3001,O785)&gt;0,"확인필요(같은학교·같은연도)","없음")))))</f>
      </c>
      <c r="L785" t="str" s="16">
        <f aca="0">IF(OR(COUNTA(B785:J785)=0,R785&lt;&gt;""),"",COUNTIFS(보유목록!$I$2:$I$3001,"*"&amp;P785&amp;"*",보유목록!$I$2:$I$3001,"*"&amp;Q785&amp;"*"))</f>
      </c>
      <c r="M785" t="str" s="23">
        <f aca="0">IF(OR(COUNTA(B785:J785)=0,R785&lt;&gt;""),"",IFERROR(LOOKUP(2,1/(ISNUMBER(SEARCH(P785,보유목록!$I$2:$I$3001))*ISNUMBER(SEARCH(Q785,보유목록!$I$2:$I$3001))*(보유목록!$H$2:$H$3001=O785)),보유목록!$B$2:$B$3001),IFERROR(LOOKUP(2,1/(ISNUMBER(SEARCH(P785,보유목록!$I$2:$I$3001))*ISNUMBER(SEARCH(Q785,보유목록!$I$2:$I$3001))),보유목록!$B$2:$B$3001),"")))</f>
      </c>
      <c r="N785" s="25"/>
      <c r="O785" t="str">
        <f>IFERROR(IF(AND(LEN(SUBSTITUTE(SUBSTITUTE(SUBSTITUTE(TRIM(C785&amp;""),CHAR(160),"")," ",""),"년",""))=4,VALUE(SUBSTITUTE(SUBSTITUTE(SUBSTITUTE(TRIM(C785&amp;""),CHAR(160),"")," ",""),"년",""))&gt;=1900,VALUE(SUBSTITUTE(SUBSTITUTE(SUBSTITUTE(TRIM(C785&amp;""),CHAR(160),"")," ",""),"년",""))&lt;=2099,TEXT(VALUE(SUBSTITUTE(SUBSTITUTE(SUBSTITUTE(TRIM(C785&amp;""),CHAR(160),"")," ",""),"년","")),"0000")=SUBSTITUTE(SUBSTITUTE(SUBSTITUTE(TRIM(C785&amp;""),CHAR(160),"")," ",""),"년","")),SUBSTITUTE(SUBSTITUTE(SUBSTITUTE(TRIM(C785&amp;""),CHAR(160),"")," ",""),"년",""),""),"")</f>
      </c>
      <c r="P785" t="str">
        <f>SUBSTITUTE(SUBSTITUTE(SUBSTITUTE(SUBSTITUTE(SUBSTITUTE(SUBSTITUTE(SUBSTITUTE(SUBSTITUTE(TRIM(D785&amp;""),CHAR(160),"")," ",""),"초등학교","초"),"중학교","중"),"고등학교","고"),"~","~~"),"*","~*"),"?","~?")</f>
      </c>
      <c r="Q785" t="str">
        <f>SUBSTITUTE(SUBSTITUTE(SUBSTITUTE(SUBSTITUTE(SUBSTITUTE(SUBSTITUTE(SUBSTITUTE(SUBSTITUTE(TRIM(E785&amp;""),CHAR(160),"")," ",""),"초등학교","초"),"중학교","중"),"고등학교","고"),"~","~~"),"*","~*"),"?","~?")</f>
      </c>
      <c r="R785" t="str">
        <f>IF(COUNTA(B785:J785)=0,"",IF(AND(O785&lt;&gt;"",P785&lt;&gt;"",Q785&lt;&gt;""),"","입력누락"))</f>
      </c>
    </row>
    <row r="786" customFormat="false" ht="15" hidden="false" customHeight="false" outlineLevel="0" collapsed="false">
      <c r="A786" t="n" s="19">
        <f aca="0">IF(COUNTA(B786:J786)=0,"",ROW()-1)</f>
      </c>
      <c r="B786" s="24"/>
      <c r="C786" s="25"/>
      <c r="D786" s="8"/>
      <c r="E786" s="8"/>
      <c r="F786" s="26"/>
      <c r="G786" s="24"/>
      <c r="H786" s="25"/>
      <c r="I786" s="25"/>
      <c r="J786" s="26"/>
      <c r="K786" t="str" s="15">
        <f aca="0">IF(COUNTA(B786:J786)=0,"",IF(R786&lt;&gt;"","확인필요(입력누락)",IF(COUNTIFS(보유목록!$I$2:$I$3001,"*"&amp;P786&amp;"*",보유목록!$I$2:$I$3001,"*"&amp;Q786&amp;"*",보유목록!$H$2:$H$3001,O786)&gt;0,"있음",IF(COUNTIFS(보유목록!$I$2:$I$3001,"*"&amp;P786&amp;"*",보유목록!$I$2:$I$3001,"*"&amp;Q786&amp;"*")&gt;0,"확인필요(연도다름)",IF(COUNTIFS(보유목록!$I$2:$I$3001,"*"&amp;P786&amp;"*",보유목록!$H$2:$H$3001,O786)&gt;0,"확인필요(같은학교·같은연도)","없음")))))</f>
      </c>
      <c r="L786" t="str" s="16">
        <f aca="0">IF(OR(COUNTA(B786:J786)=0,R786&lt;&gt;""),"",COUNTIFS(보유목록!$I$2:$I$3001,"*"&amp;P786&amp;"*",보유목록!$I$2:$I$3001,"*"&amp;Q786&amp;"*"))</f>
      </c>
      <c r="M786" t="str" s="23">
        <f aca="0">IF(OR(COUNTA(B786:J786)=0,R786&lt;&gt;""),"",IFERROR(LOOKUP(2,1/(ISNUMBER(SEARCH(P786,보유목록!$I$2:$I$3001))*ISNUMBER(SEARCH(Q786,보유목록!$I$2:$I$3001))*(보유목록!$H$2:$H$3001=O786)),보유목록!$B$2:$B$3001),IFERROR(LOOKUP(2,1/(ISNUMBER(SEARCH(P786,보유목록!$I$2:$I$3001))*ISNUMBER(SEARCH(Q786,보유목록!$I$2:$I$3001))),보유목록!$B$2:$B$3001),"")))</f>
      </c>
      <c r="N786" s="25"/>
      <c r="O786" t="str">
        <f>IFERROR(IF(AND(LEN(SUBSTITUTE(SUBSTITUTE(SUBSTITUTE(TRIM(C786&amp;""),CHAR(160),"")," ",""),"년",""))=4,VALUE(SUBSTITUTE(SUBSTITUTE(SUBSTITUTE(TRIM(C786&amp;""),CHAR(160),"")," ",""),"년",""))&gt;=1900,VALUE(SUBSTITUTE(SUBSTITUTE(SUBSTITUTE(TRIM(C786&amp;""),CHAR(160),"")," ",""),"년",""))&lt;=2099,TEXT(VALUE(SUBSTITUTE(SUBSTITUTE(SUBSTITUTE(TRIM(C786&amp;""),CHAR(160),"")," ",""),"년","")),"0000")=SUBSTITUTE(SUBSTITUTE(SUBSTITUTE(TRIM(C786&amp;""),CHAR(160),"")," ",""),"년","")),SUBSTITUTE(SUBSTITUTE(SUBSTITUTE(TRIM(C786&amp;""),CHAR(160),"")," ",""),"년",""),""),"")</f>
      </c>
      <c r="P786" t="str">
        <f>SUBSTITUTE(SUBSTITUTE(SUBSTITUTE(SUBSTITUTE(SUBSTITUTE(SUBSTITUTE(SUBSTITUTE(SUBSTITUTE(TRIM(D786&amp;""),CHAR(160),"")," ",""),"초등학교","초"),"중학교","중"),"고등학교","고"),"~","~~"),"*","~*"),"?","~?")</f>
      </c>
      <c r="Q786" t="str">
        <f>SUBSTITUTE(SUBSTITUTE(SUBSTITUTE(SUBSTITUTE(SUBSTITUTE(SUBSTITUTE(SUBSTITUTE(SUBSTITUTE(TRIM(E786&amp;""),CHAR(160),"")," ",""),"초등학교","초"),"중학교","중"),"고등학교","고"),"~","~~"),"*","~*"),"?","~?")</f>
      </c>
      <c r="R786" t="str">
        <f>IF(COUNTA(B786:J786)=0,"",IF(AND(O786&lt;&gt;"",P786&lt;&gt;"",Q786&lt;&gt;""),"","입력누락"))</f>
      </c>
    </row>
    <row r="787" customFormat="false" ht="15" hidden="false" customHeight="false" outlineLevel="0" collapsed="false">
      <c r="A787" t="n" s="19">
        <f aca="0">IF(COUNTA(B787:J787)=0,"",ROW()-1)</f>
      </c>
      <c r="B787" s="24"/>
      <c r="C787" s="25"/>
      <c r="D787" s="8"/>
      <c r="E787" s="8"/>
      <c r="F787" s="26"/>
      <c r="G787" s="24"/>
      <c r="H787" s="25"/>
      <c r="I787" s="25"/>
      <c r="J787" s="26"/>
      <c r="K787" t="str" s="15">
        <f aca="0">IF(COUNTA(B787:J787)=0,"",IF(R787&lt;&gt;"","확인필요(입력누락)",IF(COUNTIFS(보유목록!$I$2:$I$3001,"*"&amp;P787&amp;"*",보유목록!$I$2:$I$3001,"*"&amp;Q787&amp;"*",보유목록!$H$2:$H$3001,O787)&gt;0,"있음",IF(COUNTIFS(보유목록!$I$2:$I$3001,"*"&amp;P787&amp;"*",보유목록!$I$2:$I$3001,"*"&amp;Q787&amp;"*")&gt;0,"확인필요(연도다름)",IF(COUNTIFS(보유목록!$I$2:$I$3001,"*"&amp;P787&amp;"*",보유목록!$H$2:$H$3001,O787)&gt;0,"확인필요(같은학교·같은연도)","없음")))))</f>
      </c>
      <c r="L787" t="str" s="16">
        <f aca="0">IF(OR(COUNTA(B787:J787)=0,R787&lt;&gt;""),"",COUNTIFS(보유목록!$I$2:$I$3001,"*"&amp;P787&amp;"*",보유목록!$I$2:$I$3001,"*"&amp;Q787&amp;"*"))</f>
      </c>
      <c r="M787" t="str" s="23">
        <f aca="0">IF(OR(COUNTA(B787:J787)=0,R787&lt;&gt;""),"",IFERROR(LOOKUP(2,1/(ISNUMBER(SEARCH(P787,보유목록!$I$2:$I$3001))*ISNUMBER(SEARCH(Q787,보유목록!$I$2:$I$3001))*(보유목록!$H$2:$H$3001=O787)),보유목록!$B$2:$B$3001),IFERROR(LOOKUP(2,1/(ISNUMBER(SEARCH(P787,보유목록!$I$2:$I$3001))*ISNUMBER(SEARCH(Q787,보유목록!$I$2:$I$3001))),보유목록!$B$2:$B$3001),"")))</f>
      </c>
      <c r="N787" s="25"/>
      <c r="O787" t="str">
        <f>IFERROR(IF(AND(LEN(SUBSTITUTE(SUBSTITUTE(SUBSTITUTE(TRIM(C787&amp;""),CHAR(160),"")," ",""),"년",""))=4,VALUE(SUBSTITUTE(SUBSTITUTE(SUBSTITUTE(TRIM(C787&amp;""),CHAR(160),"")," ",""),"년",""))&gt;=1900,VALUE(SUBSTITUTE(SUBSTITUTE(SUBSTITUTE(TRIM(C787&amp;""),CHAR(160),"")," ",""),"년",""))&lt;=2099,TEXT(VALUE(SUBSTITUTE(SUBSTITUTE(SUBSTITUTE(TRIM(C787&amp;""),CHAR(160),"")," ",""),"년","")),"0000")=SUBSTITUTE(SUBSTITUTE(SUBSTITUTE(TRIM(C787&amp;""),CHAR(160),"")," ",""),"년","")),SUBSTITUTE(SUBSTITUTE(SUBSTITUTE(TRIM(C787&amp;""),CHAR(160),"")," ",""),"년",""),""),"")</f>
      </c>
      <c r="P787" t="str">
        <f>SUBSTITUTE(SUBSTITUTE(SUBSTITUTE(SUBSTITUTE(SUBSTITUTE(SUBSTITUTE(SUBSTITUTE(SUBSTITUTE(TRIM(D787&amp;""),CHAR(160),"")," ",""),"초등학교","초"),"중학교","중"),"고등학교","고"),"~","~~"),"*","~*"),"?","~?")</f>
      </c>
      <c r="Q787" t="str">
        <f>SUBSTITUTE(SUBSTITUTE(SUBSTITUTE(SUBSTITUTE(SUBSTITUTE(SUBSTITUTE(SUBSTITUTE(SUBSTITUTE(TRIM(E787&amp;""),CHAR(160),"")," ",""),"초등학교","초"),"중학교","중"),"고등학교","고"),"~","~~"),"*","~*"),"?","~?")</f>
      </c>
      <c r="R787" t="str">
        <f>IF(COUNTA(B787:J787)=0,"",IF(AND(O787&lt;&gt;"",P787&lt;&gt;"",Q787&lt;&gt;""),"","입력누락"))</f>
      </c>
    </row>
    <row r="788" customFormat="false" ht="15" hidden="false" customHeight="false" outlineLevel="0" collapsed="false">
      <c r="A788" t="n" s="19">
        <f aca="0">IF(COUNTA(B788:J788)=0,"",ROW()-1)</f>
      </c>
      <c r="B788" s="24"/>
      <c r="C788" s="25"/>
      <c r="D788" s="8"/>
      <c r="E788" s="8"/>
      <c r="F788" s="26"/>
      <c r="G788" s="24"/>
      <c r="H788" s="25"/>
      <c r="I788" s="25"/>
      <c r="J788" s="26"/>
      <c r="K788" t="str" s="15">
        <f aca="0">IF(COUNTA(B788:J788)=0,"",IF(R788&lt;&gt;"","확인필요(입력누락)",IF(COUNTIFS(보유목록!$I$2:$I$3001,"*"&amp;P788&amp;"*",보유목록!$I$2:$I$3001,"*"&amp;Q788&amp;"*",보유목록!$H$2:$H$3001,O788)&gt;0,"있음",IF(COUNTIFS(보유목록!$I$2:$I$3001,"*"&amp;P788&amp;"*",보유목록!$I$2:$I$3001,"*"&amp;Q788&amp;"*")&gt;0,"확인필요(연도다름)",IF(COUNTIFS(보유목록!$I$2:$I$3001,"*"&amp;P788&amp;"*",보유목록!$H$2:$H$3001,O788)&gt;0,"확인필요(같은학교·같은연도)","없음")))))</f>
      </c>
      <c r="L788" t="str" s="16">
        <f aca="0">IF(OR(COUNTA(B788:J788)=0,R788&lt;&gt;""),"",COUNTIFS(보유목록!$I$2:$I$3001,"*"&amp;P788&amp;"*",보유목록!$I$2:$I$3001,"*"&amp;Q788&amp;"*"))</f>
      </c>
      <c r="M788" t="str" s="23">
        <f aca="0">IF(OR(COUNTA(B788:J788)=0,R788&lt;&gt;""),"",IFERROR(LOOKUP(2,1/(ISNUMBER(SEARCH(P788,보유목록!$I$2:$I$3001))*ISNUMBER(SEARCH(Q788,보유목록!$I$2:$I$3001))*(보유목록!$H$2:$H$3001=O788)),보유목록!$B$2:$B$3001),IFERROR(LOOKUP(2,1/(ISNUMBER(SEARCH(P788,보유목록!$I$2:$I$3001))*ISNUMBER(SEARCH(Q788,보유목록!$I$2:$I$3001))),보유목록!$B$2:$B$3001),"")))</f>
      </c>
      <c r="N788" s="25"/>
      <c r="O788" t="str">
        <f>IFERROR(IF(AND(LEN(SUBSTITUTE(SUBSTITUTE(SUBSTITUTE(TRIM(C788&amp;""),CHAR(160),"")," ",""),"년",""))=4,VALUE(SUBSTITUTE(SUBSTITUTE(SUBSTITUTE(TRIM(C788&amp;""),CHAR(160),"")," ",""),"년",""))&gt;=1900,VALUE(SUBSTITUTE(SUBSTITUTE(SUBSTITUTE(TRIM(C788&amp;""),CHAR(160),"")," ",""),"년",""))&lt;=2099,TEXT(VALUE(SUBSTITUTE(SUBSTITUTE(SUBSTITUTE(TRIM(C788&amp;""),CHAR(160),"")," ",""),"년","")),"0000")=SUBSTITUTE(SUBSTITUTE(SUBSTITUTE(TRIM(C788&amp;""),CHAR(160),"")," ",""),"년","")),SUBSTITUTE(SUBSTITUTE(SUBSTITUTE(TRIM(C788&amp;""),CHAR(160),"")," ",""),"년",""),""),"")</f>
      </c>
      <c r="P788" t="str">
        <f>SUBSTITUTE(SUBSTITUTE(SUBSTITUTE(SUBSTITUTE(SUBSTITUTE(SUBSTITUTE(SUBSTITUTE(SUBSTITUTE(TRIM(D788&amp;""),CHAR(160),"")," ",""),"초등학교","초"),"중학교","중"),"고등학교","고"),"~","~~"),"*","~*"),"?","~?")</f>
      </c>
      <c r="Q788" t="str">
        <f>SUBSTITUTE(SUBSTITUTE(SUBSTITUTE(SUBSTITUTE(SUBSTITUTE(SUBSTITUTE(SUBSTITUTE(SUBSTITUTE(TRIM(E788&amp;""),CHAR(160),"")," ",""),"초등학교","초"),"중학교","중"),"고등학교","고"),"~","~~"),"*","~*"),"?","~?")</f>
      </c>
      <c r="R788" t="str">
        <f>IF(COUNTA(B788:J788)=0,"",IF(AND(O788&lt;&gt;"",P788&lt;&gt;"",Q788&lt;&gt;""),"","입력누락"))</f>
      </c>
    </row>
    <row r="789" customFormat="false" ht="15" hidden="false" customHeight="false" outlineLevel="0" collapsed="false">
      <c r="A789" t="n" s="19">
        <f aca="0">IF(COUNTA(B789:J789)=0,"",ROW()-1)</f>
      </c>
      <c r="B789" s="24"/>
      <c r="C789" s="25"/>
      <c r="D789" s="8"/>
      <c r="E789" s="8"/>
      <c r="F789" s="26"/>
      <c r="G789" s="24"/>
      <c r="H789" s="25"/>
      <c r="I789" s="25"/>
      <c r="J789" s="26"/>
      <c r="K789" t="str" s="15">
        <f aca="0">IF(COUNTA(B789:J789)=0,"",IF(R789&lt;&gt;"","확인필요(입력누락)",IF(COUNTIFS(보유목록!$I$2:$I$3001,"*"&amp;P789&amp;"*",보유목록!$I$2:$I$3001,"*"&amp;Q789&amp;"*",보유목록!$H$2:$H$3001,O789)&gt;0,"있음",IF(COUNTIFS(보유목록!$I$2:$I$3001,"*"&amp;P789&amp;"*",보유목록!$I$2:$I$3001,"*"&amp;Q789&amp;"*")&gt;0,"확인필요(연도다름)",IF(COUNTIFS(보유목록!$I$2:$I$3001,"*"&amp;P789&amp;"*",보유목록!$H$2:$H$3001,O789)&gt;0,"확인필요(같은학교·같은연도)","없음")))))</f>
      </c>
      <c r="L789" t="str" s="16">
        <f aca="0">IF(OR(COUNTA(B789:J789)=0,R789&lt;&gt;""),"",COUNTIFS(보유목록!$I$2:$I$3001,"*"&amp;P789&amp;"*",보유목록!$I$2:$I$3001,"*"&amp;Q789&amp;"*"))</f>
      </c>
      <c r="M789" t="str" s="23">
        <f aca="0">IF(OR(COUNTA(B789:J789)=0,R789&lt;&gt;""),"",IFERROR(LOOKUP(2,1/(ISNUMBER(SEARCH(P789,보유목록!$I$2:$I$3001))*ISNUMBER(SEARCH(Q789,보유목록!$I$2:$I$3001))*(보유목록!$H$2:$H$3001=O789)),보유목록!$B$2:$B$3001),IFERROR(LOOKUP(2,1/(ISNUMBER(SEARCH(P789,보유목록!$I$2:$I$3001))*ISNUMBER(SEARCH(Q789,보유목록!$I$2:$I$3001))),보유목록!$B$2:$B$3001),"")))</f>
      </c>
      <c r="N789" s="25"/>
      <c r="O789" t="str">
        <f>IFERROR(IF(AND(LEN(SUBSTITUTE(SUBSTITUTE(SUBSTITUTE(TRIM(C789&amp;""),CHAR(160),"")," ",""),"년",""))=4,VALUE(SUBSTITUTE(SUBSTITUTE(SUBSTITUTE(TRIM(C789&amp;""),CHAR(160),"")," ",""),"년",""))&gt;=1900,VALUE(SUBSTITUTE(SUBSTITUTE(SUBSTITUTE(TRIM(C789&amp;""),CHAR(160),"")," ",""),"년",""))&lt;=2099,TEXT(VALUE(SUBSTITUTE(SUBSTITUTE(SUBSTITUTE(TRIM(C789&amp;""),CHAR(160),"")," ",""),"년","")),"0000")=SUBSTITUTE(SUBSTITUTE(SUBSTITUTE(TRIM(C789&amp;""),CHAR(160),"")," ",""),"년","")),SUBSTITUTE(SUBSTITUTE(SUBSTITUTE(TRIM(C789&amp;""),CHAR(160),"")," ",""),"년",""),""),"")</f>
      </c>
      <c r="P789" t="str">
        <f>SUBSTITUTE(SUBSTITUTE(SUBSTITUTE(SUBSTITUTE(SUBSTITUTE(SUBSTITUTE(SUBSTITUTE(SUBSTITUTE(TRIM(D789&amp;""),CHAR(160),"")," ",""),"초등학교","초"),"중학교","중"),"고등학교","고"),"~","~~"),"*","~*"),"?","~?")</f>
      </c>
      <c r="Q789" t="str">
        <f>SUBSTITUTE(SUBSTITUTE(SUBSTITUTE(SUBSTITUTE(SUBSTITUTE(SUBSTITUTE(SUBSTITUTE(SUBSTITUTE(TRIM(E789&amp;""),CHAR(160),"")," ",""),"초등학교","초"),"중학교","중"),"고등학교","고"),"~","~~"),"*","~*"),"?","~?")</f>
      </c>
      <c r="R789" t="str">
        <f>IF(COUNTA(B789:J789)=0,"",IF(AND(O789&lt;&gt;"",P789&lt;&gt;"",Q789&lt;&gt;""),"","입력누락"))</f>
      </c>
    </row>
    <row r="790" customFormat="false" ht="15" hidden="false" customHeight="false" outlineLevel="0" collapsed="false">
      <c r="A790" t="n" s="19">
        <f aca="0">IF(COUNTA(B790:J790)=0,"",ROW()-1)</f>
      </c>
      <c r="B790" s="24"/>
      <c r="C790" s="25"/>
      <c r="D790" s="8"/>
      <c r="E790" s="8"/>
      <c r="F790" s="26"/>
      <c r="G790" s="24"/>
      <c r="H790" s="25"/>
      <c r="I790" s="25"/>
      <c r="J790" s="26"/>
      <c r="K790" t="str" s="15">
        <f aca="0">IF(COUNTA(B790:J790)=0,"",IF(R790&lt;&gt;"","확인필요(입력누락)",IF(COUNTIFS(보유목록!$I$2:$I$3001,"*"&amp;P790&amp;"*",보유목록!$I$2:$I$3001,"*"&amp;Q790&amp;"*",보유목록!$H$2:$H$3001,O790)&gt;0,"있음",IF(COUNTIFS(보유목록!$I$2:$I$3001,"*"&amp;P790&amp;"*",보유목록!$I$2:$I$3001,"*"&amp;Q790&amp;"*")&gt;0,"확인필요(연도다름)",IF(COUNTIFS(보유목록!$I$2:$I$3001,"*"&amp;P790&amp;"*",보유목록!$H$2:$H$3001,O790)&gt;0,"확인필요(같은학교·같은연도)","없음")))))</f>
      </c>
      <c r="L790" t="str" s="16">
        <f aca="0">IF(OR(COUNTA(B790:J790)=0,R790&lt;&gt;""),"",COUNTIFS(보유목록!$I$2:$I$3001,"*"&amp;P790&amp;"*",보유목록!$I$2:$I$3001,"*"&amp;Q790&amp;"*"))</f>
      </c>
      <c r="M790" t="str" s="23">
        <f aca="0">IF(OR(COUNTA(B790:J790)=0,R790&lt;&gt;""),"",IFERROR(LOOKUP(2,1/(ISNUMBER(SEARCH(P790,보유목록!$I$2:$I$3001))*ISNUMBER(SEARCH(Q790,보유목록!$I$2:$I$3001))*(보유목록!$H$2:$H$3001=O790)),보유목록!$B$2:$B$3001),IFERROR(LOOKUP(2,1/(ISNUMBER(SEARCH(P790,보유목록!$I$2:$I$3001))*ISNUMBER(SEARCH(Q790,보유목록!$I$2:$I$3001))),보유목록!$B$2:$B$3001),"")))</f>
      </c>
      <c r="N790" s="25"/>
      <c r="O790" t="str">
        <f>IFERROR(IF(AND(LEN(SUBSTITUTE(SUBSTITUTE(SUBSTITUTE(TRIM(C790&amp;""),CHAR(160),"")," ",""),"년",""))=4,VALUE(SUBSTITUTE(SUBSTITUTE(SUBSTITUTE(TRIM(C790&amp;""),CHAR(160),"")," ",""),"년",""))&gt;=1900,VALUE(SUBSTITUTE(SUBSTITUTE(SUBSTITUTE(TRIM(C790&amp;""),CHAR(160),"")," ",""),"년",""))&lt;=2099,TEXT(VALUE(SUBSTITUTE(SUBSTITUTE(SUBSTITUTE(TRIM(C790&amp;""),CHAR(160),"")," ",""),"년","")),"0000")=SUBSTITUTE(SUBSTITUTE(SUBSTITUTE(TRIM(C790&amp;""),CHAR(160),"")," ",""),"년","")),SUBSTITUTE(SUBSTITUTE(SUBSTITUTE(TRIM(C790&amp;""),CHAR(160),"")," ",""),"년",""),""),"")</f>
      </c>
      <c r="P790" t="str">
        <f>SUBSTITUTE(SUBSTITUTE(SUBSTITUTE(SUBSTITUTE(SUBSTITUTE(SUBSTITUTE(SUBSTITUTE(SUBSTITUTE(TRIM(D790&amp;""),CHAR(160),"")," ",""),"초등학교","초"),"중학교","중"),"고등학교","고"),"~","~~"),"*","~*"),"?","~?")</f>
      </c>
      <c r="Q790" t="str">
        <f>SUBSTITUTE(SUBSTITUTE(SUBSTITUTE(SUBSTITUTE(SUBSTITUTE(SUBSTITUTE(SUBSTITUTE(SUBSTITUTE(TRIM(E790&amp;""),CHAR(160),"")," ",""),"초등학교","초"),"중학교","중"),"고등학교","고"),"~","~~"),"*","~*"),"?","~?")</f>
      </c>
      <c r="R790" t="str">
        <f>IF(COUNTA(B790:J790)=0,"",IF(AND(O790&lt;&gt;"",P790&lt;&gt;"",Q790&lt;&gt;""),"","입력누락"))</f>
      </c>
    </row>
    <row r="791" customFormat="false" ht="15" hidden="false" customHeight="false" outlineLevel="0" collapsed="false">
      <c r="A791" t="n" s="19">
        <f aca="0">IF(COUNTA(B791:J791)=0,"",ROW()-1)</f>
      </c>
      <c r="B791" s="24"/>
      <c r="C791" s="25"/>
      <c r="D791" s="8"/>
      <c r="E791" s="8"/>
      <c r="F791" s="26"/>
      <c r="G791" s="24"/>
      <c r="H791" s="25"/>
      <c r="I791" s="25"/>
      <c r="J791" s="26"/>
      <c r="K791" t="str" s="15">
        <f aca="0">IF(COUNTA(B791:J791)=0,"",IF(R791&lt;&gt;"","확인필요(입력누락)",IF(COUNTIFS(보유목록!$I$2:$I$3001,"*"&amp;P791&amp;"*",보유목록!$I$2:$I$3001,"*"&amp;Q791&amp;"*",보유목록!$H$2:$H$3001,O791)&gt;0,"있음",IF(COUNTIFS(보유목록!$I$2:$I$3001,"*"&amp;P791&amp;"*",보유목록!$I$2:$I$3001,"*"&amp;Q791&amp;"*")&gt;0,"확인필요(연도다름)",IF(COUNTIFS(보유목록!$I$2:$I$3001,"*"&amp;P791&amp;"*",보유목록!$H$2:$H$3001,O791)&gt;0,"확인필요(같은학교·같은연도)","없음")))))</f>
      </c>
      <c r="L791" t="str" s="16">
        <f aca="0">IF(OR(COUNTA(B791:J791)=0,R791&lt;&gt;""),"",COUNTIFS(보유목록!$I$2:$I$3001,"*"&amp;P791&amp;"*",보유목록!$I$2:$I$3001,"*"&amp;Q791&amp;"*"))</f>
      </c>
      <c r="M791" t="str" s="23">
        <f aca="0">IF(OR(COUNTA(B791:J791)=0,R791&lt;&gt;""),"",IFERROR(LOOKUP(2,1/(ISNUMBER(SEARCH(P791,보유목록!$I$2:$I$3001))*ISNUMBER(SEARCH(Q791,보유목록!$I$2:$I$3001))*(보유목록!$H$2:$H$3001=O791)),보유목록!$B$2:$B$3001),IFERROR(LOOKUP(2,1/(ISNUMBER(SEARCH(P791,보유목록!$I$2:$I$3001))*ISNUMBER(SEARCH(Q791,보유목록!$I$2:$I$3001))),보유목록!$B$2:$B$3001),"")))</f>
      </c>
      <c r="N791" s="25"/>
      <c r="O791" t="str">
        <f>IFERROR(IF(AND(LEN(SUBSTITUTE(SUBSTITUTE(SUBSTITUTE(TRIM(C791&amp;""),CHAR(160),"")," ",""),"년",""))=4,VALUE(SUBSTITUTE(SUBSTITUTE(SUBSTITUTE(TRIM(C791&amp;""),CHAR(160),"")," ",""),"년",""))&gt;=1900,VALUE(SUBSTITUTE(SUBSTITUTE(SUBSTITUTE(TRIM(C791&amp;""),CHAR(160),"")," ",""),"년",""))&lt;=2099,TEXT(VALUE(SUBSTITUTE(SUBSTITUTE(SUBSTITUTE(TRIM(C791&amp;""),CHAR(160),"")," ",""),"년","")),"0000")=SUBSTITUTE(SUBSTITUTE(SUBSTITUTE(TRIM(C791&amp;""),CHAR(160),"")," ",""),"년","")),SUBSTITUTE(SUBSTITUTE(SUBSTITUTE(TRIM(C791&amp;""),CHAR(160),"")," ",""),"년",""),""),"")</f>
      </c>
      <c r="P791" t="str">
        <f>SUBSTITUTE(SUBSTITUTE(SUBSTITUTE(SUBSTITUTE(SUBSTITUTE(SUBSTITUTE(SUBSTITUTE(SUBSTITUTE(TRIM(D791&amp;""),CHAR(160),"")," ",""),"초등학교","초"),"중학교","중"),"고등학교","고"),"~","~~"),"*","~*"),"?","~?")</f>
      </c>
      <c r="Q791" t="str">
        <f>SUBSTITUTE(SUBSTITUTE(SUBSTITUTE(SUBSTITUTE(SUBSTITUTE(SUBSTITUTE(SUBSTITUTE(SUBSTITUTE(TRIM(E791&amp;""),CHAR(160),"")," ",""),"초등학교","초"),"중학교","중"),"고등학교","고"),"~","~~"),"*","~*"),"?","~?")</f>
      </c>
      <c r="R791" t="str">
        <f>IF(COUNTA(B791:J791)=0,"",IF(AND(O791&lt;&gt;"",P791&lt;&gt;"",Q791&lt;&gt;""),"","입력누락"))</f>
      </c>
    </row>
    <row r="792" customFormat="false" ht="15" hidden="false" customHeight="false" outlineLevel="0" collapsed="false">
      <c r="A792" t="n" s="19">
        <f aca="0">IF(COUNTA(B792:J792)=0,"",ROW()-1)</f>
      </c>
      <c r="B792" s="24"/>
      <c r="C792" s="25"/>
      <c r="D792" s="8"/>
      <c r="E792" s="8"/>
      <c r="F792" s="26"/>
      <c r="G792" s="24"/>
      <c r="H792" s="25"/>
      <c r="I792" s="25"/>
      <c r="J792" s="26"/>
      <c r="K792" t="str" s="15">
        <f aca="0">IF(COUNTA(B792:J792)=0,"",IF(R792&lt;&gt;"","확인필요(입력누락)",IF(COUNTIFS(보유목록!$I$2:$I$3001,"*"&amp;P792&amp;"*",보유목록!$I$2:$I$3001,"*"&amp;Q792&amp;"*",보유목록!$H$2:$H$3001,O792)&gt;0,"있음",IF(COUNTIFS(보유목록!$I$2:$I$3001,"*"&amp;P792&amp;"*",보유목록!$I$2:$I$3001,"*"&amp;Q792&amp;"*")&gt;0,"확인필요(연도다름)",IF(COUNTIFS(보유목록!$I$2:$I$3001,"*"&amp;P792&amp;"*",보유목록!$H$2:$H$3001,O792)&gt;0,"확인필요(같은학교·같은연도)","없음")))))</f>
      </c>
      <c r="L792" t="str" s="16">
        <f aca="0">IF(OR(COUNTA(B792:J792)=0,R792&lt;&gt;""),"",COUNTIFS(보유목록!$I$2:$I$3001,"*"&amp;P792&amp;"*",보유목록!$I$2:$I$3001,"*"&amp;Q792&amp;"*"))</f>
      </c>
      <c r="M792" t="str" s="23">
        <f aca="0">IF(OR(COUNTA(B792:J792)=0,R792&lt;&gt;""),"",IFERROR(LOOKUP(2,1/(ISNUMBER(SEARCH(P792,보유목록!$I$2:$I$3001))*ISNUMBER(SEARCH(Q792,보유목록!$I$2:$I$3001))*(보유목록!$H$2:$H$3001=O792)),보유목록!$B$2:$B$3001),IFERROR(LOOKUP(2,1/(ISNUMBER(SEARCH(P792,보유목록!$I$2:$I$3001))*ISNUMBER(SEARCH(Q792,보유목록!$I$2:$I$3001))),보유목록!$B$2:$B$3001),"")))</f>
      </c>
      <c r="N792" s="25"/>
      <c r="O792" t="str">
        <f>IFERROR(IF(AND(LEN(SUBSTITUTE(SUBSTITUTE(SUBSTITUTE(TRIM(C792&amp;""),CHAR(160),"")," ",""),"년",""))=4,VALUE(SUBSTITUTE(SUBSTITUTE(SUBSTITUTE(TRIM(C792&amp;""),CHAR(160),"")," ",""),"년",""))&gt;=1900,VALUE(SUBSTITUTE(SUBSTITUTE(SUBSTITUTE(TRIM(C792&amp;""),CHAR(160),"")," ",""),"년",""))&lt;=2099,TEXT(VALUE(SUBSTITUTE(SUBSTITUTE(SUBSTITUTE(TRIM(C792&amp;""),CHAR(160),"")," ",""),"년","")),"0000")=SUBSTITUTE(SUBSTITUTE(SUBSTITUTE(TRIM(C792&amp;""),CHAR(160),"")," ",""),"년","")),SUBSTITUTE(SUBSTITUTE(SUBSTITUTE(TRIM(C792&amp;""),CHAR(160),"")," ",""),"년",""),""),"")</f>
      </c>
      <c r="P792" t="str">
        <f>SUBSTITUTE(SUBSTITUTE(SUBSTITUTE(SUBSTITUTE(SUBSTITUTE(SUBSTITUTE(SUBSTITUTE(SUBSTITUTE(TRIM(D792&amp;""),CHAR(160),"")," ",""),"초등학교","초"),"중학교","중"),"고등학교","고"),"~","~~"),"*","~*"),"?","~?")</f>
      </c>
      <c r="Q792" t="str">
        <f>SUBSTITUTE(SUBSTITUTE(SUBSTITUTE(SUBSTITUTE(SUBSTITUTE(SUBSTITUTE(SUBSTITUTE(SUBSTITUTE(TRIM(E792&amp;""),CHAR(160),"")," ",""),"초등학교","초"),"중학교","중"),"고등학교","고"),"~","~~"),"*","~*"),"?","~?")</f>
      </c>
      <c r="R792" t="str">
        <f>IF(COUNTA(B792:J792)=0,"",IF(AND(O792&lt;&gt;"",P792&lt;&gt;"",Q792&lt;&gt;""),"","입력누락"))</f>
      </c>
    </row>
    <row r="793" customFormat="false" ht="15" hidden="false" customHeight="false" outlineLevel="0" collapsed="false">
      <c r="A793" t="n" s="19">
        <f aca="0">IF(COUNTA(B793:J793)=0,"",ROW()-1)</f>
      </c>
      <c r="B793" s="24"/>
      <c r="C793" s="25"/>
      <c r="D793" s="8"/>
      <c r="E793" s="8"/>
      <c r="F793" s="26"/>
      <c r="G793" s="24"/>
      <c r="H793" s="25"/>
      <c r="I793" s="25"/>
      <c r="J793" s="26"/>
      <c r="K793" t="str" s="15">
        <f aca="0">IF(COUNTA(B793:J793)=0,"",IF(R793&lt;&gt;"","확인필요(입력누락)",IF(COUNTIFS(보유목록!$I$2:$I$3001,"*"&amp;P793&amp;"*",보유목록!$I$2:$I$3001,"*"&amp;Q793&amp;"*",보유목록!$H$2:$H$3001,O793)&gt;0,"있음",IF(COUNTIFS(보유목록!$I$2:$I$3001,"*"&amp;P793&amp;"*",보유목록!$I$2:$I$3001,"*"&amp;Q793&amp;"*")&gt;0,"확인필요(연도다름)",IF(COUNTIFS(보유목록!$I$2:$I$3001,"*"&amp;P793&amp;"*",보유목록!$H$2:$H$3001,O793)&gt;0,"확인필요(같은학교·같은연도)","없음")))))</f>
      </c>
      <c r="L793" t="str" s="16">
        <f aca="0">IF(OR(COUNTA(B793:J793)=0,R793&lt;&gt;""),"",COUNTIFS(보유목록!$I$2:$I$3001,"*"&amp;P793&amp;"*",보유목록!$I$2:$I$3001,"*"&amp;Q793&amp;"*"))</f>
      </c>
      <c r="M793" t="str" s="23">
        <f aca="0">IF(OR(COUNTA(B793:J793)=0,R793&lt;&gt;""),"",IFERROR(LOOKUP(2,1/(ISNUMBER(SEARCH(P793,보유목록!$I$2:$I$3001))*ISNUMBER(SEARCH(Q793,보유목록!$I$2:$I$3001))*(보유목록!$H$2:$H$3001=O793)),보유목록!$B$2:$B$3001),IFERROR(LOOKUP(2,1/(ISNUMBER(SEARCH(P793,보유목록!$I$2:$I$3001))*ISNUMBER(SEARCH(Q793,보유목록!$I$2:$I$3001))),보유목록!$B$2:$B$3001),"")))</f>
      </c>
      <c r="N793" s="25"/>
      <c r="O793" t="str">
        <f>IFERROR(IF(AND(LEN(SUBSTITUTE(SUBSTITUTE(SUBSTITUTE(TRIM(C793&amp;""),CHAR(160),"")," ",""),"년",""))=4,VALUE(SUBSTITUTE(SUBSTITUTE(SUBSTITUTE(TRIM(C793&amp;""),CHAR(160),"")," ",""),"년",""))&gt;=1900,VALUE(SUBSTITUTE(SUBSTITUTE(SUBSTITUTE(TRIM(C793&amp;""),CHAR(160),"")," ",""),"년",""))&lt;=2099,TEXT(VALUE(SUBSTITUTE(SUBSTITUTE(SUBSTITUTE(TRIM(C793&amp;""),CHAR(160),"")," ",""),"년","")),"0000")=SUBSTITUTE(SUBSTITUTE(SUBSTITUTE(TRIM(C793&amp;""),CHAR(160),"")," ",""),"년","")),SUBSTITUTE(SUBSTITUTE(SUBSTITUTE(TRIM(C793&amp;""),CHAR(160),"")," ",""),"년",""),""),"")</f>
      </c>
      <c r="P793" t="str">
        <f>SUBSTITUTE(SUBSTITUTE(SUBSTITUTE(SUBSTITUTE(SUBSTITUTE(SUBSTITUTE(SUBSTITUTE(SUBSTITUTE(TRIM(D793&amp;""),CHAR(160),"")," ",""),"초등학교","초"),"중학교","중"),"고등학교","고"),"~","~~"),"*","~*"),"?","~?")</f>
      </c>
      <c r="Q793" t="str">
        <f>SUBSTITUTE(SUBSTITUTE(SUBSTITUTE(SUBSTITUTE(SUBSTITUTE(SUBSTITUTE(SUBSTITUTE(SUBSTITUTE(TRIM(E793&amp;""),CHAR(160),"")," ",""),"초등학교","초"),"중학교","중"),"고등학교","고"),"~","~~"),"*","~*"),"?","~?")</f>
      </c>
      <c r="R793" t="str">
        <f>IF(COUNTA(B793:J793)=0,"",IF(AND(O793&lt;&gt;"",P793&lt;&gt;"",Q793&lt;&gt;""),"","입력누락"))</f>
      </c>
    </row>
    <row r="794" customFormat="false" ht="15" hidden="false" customHeight="false" outlineLevel="0" collapsed="false">
      <c r="A794" t="n" s="19">
        <f aca="0">IF(COUNTA(B794:J794)=0,"",ROW()-1)</f>
      </c>
      <c r="B794" s="24"/>
      <c r="C794" s="25"/>
      <c r="D794" s="8"/>
      <c r="E794" s="8"/>
      <c r="F794" s="26"/>
      <c r="G794" s="24"/>
      <c r="H794" s="25"/>
      <c r="I794" s="25"/>
      <c r="J794" s="26"/>
      <c r="K794" t="str" s="15">
        <f aca="0">IF(COUNTA(B794:J794)=0,"",IF(R794&lt;&gt;"","확인필요(입력누락)",IF(COUNTIFS(보유목록!$I$2:$I$3001,"*"&amp;P794&amp;"*",보유목록!$I$2:$I$3001,"*"&amp;Q794&amp;"*",보유목록!$H$2:$H$3001,O794)&gt;0,"있음",IF(COUNTIFS(보유목록!$I$2:$I$3001,"*"&amp;P794&amp;"*",보유목록!$I$2:$I$3001,"*"&amp;Q794&amp;"*")&gt;0,"확인필요(연도다름)",IF(COUNTIFS(보유목록!$I$2:$I$3001,"*"&amp;P794&amp;"*",보유목록!$H$2:$H$3001,O794)&gt;0,"확인필요(같은학교·같은연도)","없음")))))</f>
      </c>
      <c r="L794" t="str" s="16">
        <f aca="0">IF(OR(COUNTA(B794:J794)=0,R794&lt;&gt;""),"",COUNTIFS(보유목록!$I$2:$I$3001,"*"&amp;P794&amp;"*",보유목록!$I$2:$I$3001,"*"&amp;Q794&amp;"*"))</f>
      </c>
      <c r="M794" t="str" s="23">
        <f aca="0">IF(OR(COUNTA(B794:J794)=0,R794&lt;&gt;""),"",IFERROR(LOOKUP(2,1/(ISNUMBER(SEARCH(P794,보유목록!$I$2:$I$3001))*ISNUMBER(SEARCH(Q794,보유목록!$I$2:$I$3001))*(보유목록!$H$2:$H$3001=O794)),보유목록!$B$2:$B$3001),IFERROR(LOOKUP(2,1/(ISNUMBER(SEARCH(P794,보유목록!$I$2:$I$3001))*ISNUMBER(SEARCH(Q794,보유목록!$I$2:$I$3001))),보유목록!$B$2:$B$3001),"")))</f>
      </c>
      <c r="N794" s="25"/>
      <c r="O794" t="str">
        <f>IFERROR(IF(AND(LEN(SUBSTITUTE(SUBSTITUTE(SUBSTITUTE(TRIM(C794&amp;""),CHAR(160),"")," ",""),"년",""))=4,VALUE(SUBSTITUTE(SUBSTITUTE(SUBSTITUTE(TRIM(C794&amp;""),CHAR(160),"")," ",""),"년",""))&gt;=1900,VALUE(SUBSTITUTE(SUBSTITUTE(SUBSTITUTE(TRIM(C794&amp;""),CHAR(160),"")," ",""),"년",""))&lt;=2099,TEXT(VALUE(SUBSTITUTE(SUBSTITUTE(SUBSTITUTE(TRIM(C794&amp;""),CHAR(160),"")," ",""),"년","")),"0000")=SUBSTITUTE(SUBSTITUTE(SUBSTITUTE(TRIM(C794&amp;""),CHAR(160),"")," ",""),"년","")),SUBSTITUTE(SUBSTITUTE(SUBSTITUTE(TRIM(C794&amp;""),CHAR(160),"")," ",""),"년",""),""),"")</f>
      </c>
      <c r="P794" t="str">
        <f>SUBSTITUTE(SUBSTITUTE(SUBSTITUTE(SUBSTITUTE(SUBSTITUTE(SUBSTITUTE(SUBSTITUTE(SUBSTITUTE(TRIM(D794&amp;""),CHAR(160),"")," ",""),"초등학교","초"),"중학교","중"),"고등학교","고"),"~","~~"),"*","~*"),"?","~?")</f>
      </c>
      <c r="Q794" t="str">
        <f>SUBSTITUTE(SUBSTITUTE(SUBSTITUTE(SUBSTITUTE(SUBSTITUTE(SUBSTITUTE(SUBSTITUTE(SUBSTITUTE(TRIM(E794&amp;""),CHAR(160),"")," ",""),"초등학교","초"),"중학교","중"),"고등학교","고"),"~","~~"),"*","~*"),"?","~?")</f>
      </c>
      <c r="R794" t="str">
        <f>IF(COUNTA(B794:J794)=0,"",IF(AND(O794&lt;&gt;"",P794&lt;&gt;"",Q794&lt;&gt;""),"","입력누락"))</f>
      </c>
    </row>
    <row r="795" customFormat="false" ht="15" hidden="false" customHeight="false" outlineLevel="0" collapsed="false">
      <c r="A795" t="n" s="19">
        <f aca="0">IF(COUNTA(B795:J795)=0,"",ROW()-1)</f>
      </c>
      <c r="B795" s="24"/>
      <c r="C795" s="25"/>
      <c r="D795" s="8"/>
      <c r="E795" s="8"/>
      <c r="F795" s="26"/>
      <c r="G795" s="24"/>
      <c r="H795" s="25"/>
      <c r="I795" s="25"/>
      <c r="J795" s="26"/>
      <c r="K795" t="str" s="15">
        <f aca="0">IF(COUNTA(B795:J795)=0,"",IF(R795&lt;&gt;"","확인필요(입력누락)",IF(COUNTIFS(보유목록!$I$2:$I$3001,"*"&amp;P795&amp;"*",보유목록!$I$2:$I$3001,"*"&amp;Q795&amp;"*",보유목록!$H$2:$H$3001,O795)&gt;0,"있음",IF(COUNTIFS(보유목록!$I$2:$I$3001,"*"&amp;P795&amp;"*",보유목록!$I$2:$I$3001,"*"&amp;Q795&amp;"*")&gt;0,"확인필요(연도다름)",IF(COUNTIFS(보유목록!$I$2:$I$3001,"*"&amp;P795&amp;"*",보유목록!$H$2:$H$3001,O795)&gt;0,"확인필요(같은학교·같은연도)","없음")))))</f>
      </c>
      <c r="L795" t="str" s="16">
        <f aca="0">IF(OR(COUNTA(B795:J795)=0,R795&lt;&gt;""),"",COUNTIFS(보유목록!$I$2:$I$3001,"*"&amp;P795&amp;"*",보유목록!$I$2:$I$3001,"*"&amp;Q795&amp;"*"))</f>
      </c>
      <c r="M795" t="str" s="23">
        <f aca="0">IF(OR(COUNTA(B795:J795)=0,R795&lt;&gt;""),"",IFERROR(LOOKUP(2,1/(ISNUMBER(SEARCH(P795,보유목록!$I$2:$I$3001))*ISNUMBER(SEARCH(Q795,보유목록!$I$2:$I$3001))*(보유목록!$H$2:$H$3001=O795)),보유목록!$B$2:$B$3001),IFERROR(LOOKUP(2,1/(ISNUMBER(SEARCH(P795,보유목록!$I$2:$I$3001))*ISNUMBER(SEARCH(Q795,보유목록!$I$2:$I$3001))),보유목록!$B$2:$B$3001),"")))</f>
      </c>
      <c r="N795" s="25"/>
      <c r="O795" t="str">
        <f>IFERROR(IF(AND(LEN(SUBSTITUTE(SUBSTITUTE(SUBSTITUTE(TRIM(C795&amp;""),CHAR(160),"")," ",""),"년",""))=4,VALUE(SUBSTITUTE(SUBSTITUTE(SUBSTITUTE(TRIM(C795&amp;""),CHAR(160),"")," ",""),"년",""))&gt;=1900,VALUE(SUBSTITUTE(SUBSTITUTE(SUBSTITUTE(TRIM(C795&amp;""),CHAR(160),"")," ",""),"년",""))&lt;=2099,TEXT(VALUE(SUBSTITUTE(SUBSTITUTE(SUBSTITUTE(TRIM(C795&amp;""),CHAR(160),"")," ",""),"년","")),"0000")=SUBSTITUTE(SUBSTITUTE(SUBSTITUTE(TRIM(C795&amp;""),CHAR(160),"")," ",""),"년","")),SUBSTITUTE(SUBSTITUTE(SUBSTITUTE(TRIM(C795&amp;""),CHAR(160),"")," ",""),"년",""),""),"")</f>
      </c>
      <c r="P795" t="str">
        <f>SUBSTITUTE(SUBSTITUTE(SUBSTITUTE(SUBSTITUTE(SUBSTITUTE(SUBSTITUTE(SUBSTITUTE(SUBSTITUTE(TRIM(D795&amp;""),CHAR(160),"")," ",""),"초등학교","초"),"중학교","중"),"고등학교","고"),"~","~~"),"*","~*"),"?","~?")</f>
      </c>
      <c r="Q795" t="str">
        <f>SUBSTITUTE(SUBSTITUTE(SUBSTITUTE(SUBSTITUTE(SUBSTITUTE(SUBSTITUTE(SUBSTITUTE(SUBSTITUTE(TRIM(E795&amp;""),CHAR(160),"")," ",""),"초등학교","초"),"중학교","중"),"고등학교","고"),"~","~~"),"*","~*"),"?","~?")</f>
      </c>
      <c r="R795" t="str">
        <f>IF(COUNTA(B795:J795)=0,"",IF(AND(O795&lt;&gt;"",P795&lt;&gt;"",Q795&lt;&gt;""),"","입력누락"))</f>
      </c>
    </row>
    <row r="796" customFormat="false" ht="15" hidden="false" customHeight="false" outlineLevel="0" collapsed="false">
      <c r="A796" t="n" s="19">
        <f aca="0">IF(COUNTA(B796:J796)=0,"",ROW()-1)</f>
      </c>
      <c r="B796" s="24"/>
      <c r="C796" s="25"/>
      <c r="D796" s="8"/>
      <c r="E796" s="8"/>
      <c r="F796" s="26"/>
      <c r="G796" s="24"/>
      <c r="H796" s="25"/>
      <c r="I796" s="25"/>
      <c r="J796" s="26"/>
      <c r="K796" t="str" s="15">
        <f aca="0">IF(COUNTA(B796:J796)=0,"",IF(R796&lt;&gt;"","확인필요(입력누락)",IF(COUNTIFS(보유목록!$I$2:$I$3001,"*"&amp;P796&amp;"*",보유목록!$I$2:$I$3001,"*"&amp;Q796&amp;"*",보유목록!$H$2:$H$3001,O796)&gt;0,"있음",IF(COUNTIFS(보유목록!$I$2:$I$3001,"*"&amp;P796&amp;"*",보유목록!$I$2:$I$3001,"*"&amp;Q796&amp;"*")&gt;0,"확인필요(연도다름)",IF(COUNTIFS(보유목록!$I$2:$I$3001,"*"&amp;P796&amp;"*",보유목록!$H$2:$H$3001,O796)&gt;0,"확인필요(같은학교·같은연도)","없음")))))</f>
      </c>
      <c r="L796" t="str" s="16">
        <f aca="0">IF(OR(COUNTA(B796:J796)=0,R796&lt;&gt;""),"",COUNTIFS(보유목록!$I$2:$I$3001,"*"&amp;P796&amp;"*",보유목록!$I$2:$I$3001,"*"&amp;Q796&amp;"*"))</f>
      </c>
      <c r="M796" t="str" s="23">
        <f aca="0">IF(OR(COUNTA(B796:J796)=0,R796&lt;&gt;""),"",IFERROR(LOOKUP(2,1/(ISNUMBER(SEARCH(P796,보유목록!$I$2:$I$3001))*ISNUMBER(SEARCH(Q796,보유목록!$I$2:$I$3001))*(보유목록!$H$2:$H$3001=O796)),보유목록!$B$2:$B$3001),IFERROR(LOOKUP(2,1/(ISNUMBER(SEARCH(P796,보유목록!$I$2:$I$3001))*ISNUMBER(SEARCH(Q796,보유목록!$I$2:$I$3001))),보유목록!$B$2:$B$3001),"")))</f>
      </c>
      <c r="N796" s="25"/>
      <c r="O796" t="str">
        <f>IFERROR(IF(AND(LEN(SUBSTITUTE(SUBSTITUTE(SUBSTITUTE(TRIM(C796&amp;""),CHAR(160),"")," ",""),"년",""))=4,VALUE(SUBSTITUTE(SUBSTITUTE(SUBSTITUTE(TRIM(C796&amp;""),CHAR(160),"")," ",""),"년",""))&gt;=1900,VALUE(SUBSTITUTE(SUBSTITUTE(SUBSTITUTE(TRIM(C796&amp;""),CHAR(160),"")," ",""),"년",""))&lt;=2099,TEXT(VALUE(SUBSTITUTE(SUBSTITUTE(SUBSTITUTE(TRIM(C796&amp;""),CHAR(160),"")," ",""),"년","")),"0000")=SUBSTITUTE(SUBSTITUTE(SUBSTITUTE(TRIM(C796&amp;""),CHAR(160),"")," ",""),"년","")),SUBSTITUTE(SUBSTITUTE(SUBSTITUTE(TRIM(C796&amp;""),CHAR(160),"")," ",""),"년",""),""),"")</f>
      </c>
      <c r="P796" t="str">
        <f>SUBSTITUTE(SUBSTITUTE(SUBSTITUTE(SUBSTITUTE(SUBSTITUTE(SUBSTITUTE(SUBSTITUTE(SUBSTITUTE(TRIM(D796&amp;""),CHAR(160),"")," ",""),"초등학교","초"),"중학교","중"),"고등학교","고"),"~","~~"),"*","~*"),"?","~?")</f>
      </c>
      <c r="Q796" t="str">
        <f>SUBSTITUTE(SUBSTITUTE(SUBSTITUTE(SUBSTITUTE(SUBSTITUTE(SUBSTITUTE(SUBSTITUTE(SUBSTITUTE(TRIM(E796&amp;""),CHAR(160),"")," ",""),"초등학교","초"),"중학교","중"),"고등학교","고"),"~","~~"),"*","~*"),"?","~?")</f>
      </c>
      <c r="R796" t="str">
        <f>IF(COUNTA(B796:J796)=0,"",IF(AND(O796&lt;&gt;"",P796&lt;&gt;"",Q796&lt;&gt;""),"","입력누락"))</f>
      </c>
    </row>
    <row r="797" customFormat="false" ht="15" hidden="false" customHeight="false" outlineLevel="0" collapsed="false">
      <c r="A797" t="n" s="19">
        <f aca="0">IF(COUNTA(B797:J797)=0,"",ROW()-1)</f>
      </c>
      <c r="B797" s="24"/>
      <c r="C797" s="25"/>
      <c r="D797" s="8"/>
      <c r="E797" s="8"/>
      <c r="F797" s="26"/>
      <c r="G797" s="24"/>
      <c r="H797" s="25"/>
      <c r="I797" s="25"/>
      <c r="J797" s="26"/>
      <c r="K797" t="str" s="15">
        <f aca="0">IF(COUNTA(B797:J797)=0,"",IF(R797&lt;&gt;"","확인필요(입력누락)",IF(COUNTIFS(보유목록!$I$2:$I$3001,"*"&amp;P797&amp;"*",보유목록!$I$2:$I$3001,"*"&amp;Q797&amp;"*",보유목록!$H$2:$H$3001,O797)&gt;0,"있음",IF(COUNTIFS(보유목록!$I$2:$I$3001,"*"&amp;P797&amp;"*",보유목록!$I$2:$I$3001,"*"&amp;Q797&amp;"*")&gt;0,"확인필요(연도다름)",IF(COUNTIFS(보유목록!$I$2:$I$3001,"*"&amp;P797&amp;"*",보유목록!$H$2:$H$3001,O797)&gt;0,"확인필요(같은학교·같은연도)","없음")))))</f>
      </c>
      <c r="L797" t="str" s="16">
        <f aca="0">IF(OR(COUNTA(B797:J797)=0,R797&lt;&gt;""),"",COUNTIFS(보유목록!$I$2:$I$3001,"*"&amp;P797&amp;"*",보유목록!$I$2:$I$3001,"*"&amp;Q797&amp;"*"))</f>
      </c>
      <c r="M797" t="str" s="23">
        <f aca="0">IF(OR(COUNTA(B797:J797)=0,R797&lt;&gt;""),"",IFERROR(LOOKUP(2,1/(ISNUMBER(SEARCH(P797,보유목록!$I$2:$I$3001))*ISNUMBER(SEARCH(Q797,보유목록!$I$2:$I$3001))*(보유목록!$H$2:$H$3001=O797)),보유목록!$B$2:$B$3001),IFERROR(LOOKUP(2,1/(ISNUMBER(SEARCH(P797,보유목록!$I$2:$I$3001))*ISNUMBER(SEARCH(Q797,보유목록!$I$2:$I$3001))),보유목록!$B$2:$B$3001),"")))</f>
      </c>
      <c r="N797" s="25"/>
      <c r="O797" t="str">
        <f>IFERROR(IF(AND(LEN(SUBSTITUTE(SUBSTITUTE(SUBSTITUTE(TRIM(C797&amp;""),CHAR(160),"")," ",""),"년",""))=4,VALUE(SUBSTITUTE(SUBSTITUTE(SUBSTITUTE(TRIM(C797&amp;""),CHAR(160),"")," ",""),"년",""))&gt;=1900,VALUE(SUBSTITUTE(SUBSTITUTE(SUBSTITUTE(TRIM(C797&amp;""),CHAR(160),"")," ",""),"년",""))&lt;=2099,TEXT(VALUE(SUBSTITUTE(SUBSTITUTE(SUBSTITUTE(TRIM(C797&amp;""),CHAR(160),"")," ",""),"년","")),"0000")=SUBSTITUTE(SUBSTITUTE(SUBSTITUTE(TRIM(C797&amp;""),CHAR(160),"")," ",""),"년","")),SUBSTITUTE(SUBSTITUTE(SUBSTITUTE(TRIM(C797&amp;""),CHAR(160),"")," ",""),"년",""),""),"")</f>
      </c>
      <c r="P797" t="str">
        <f>SUBSTITUTE(SUBSTITUTE(SUBSTITUTE(SUBSTITUTE(SUBSTITUTE(SUBSTITUTE(SUBSTITUTE(SUBSTITUTE(TRIM(D797&amp;""),CHAR(160),"")," ",""),"초등학교","초"),"중학교","중"),"고등학교","고"),"~","~~"),"*","~*"),"?","~?")</f>
      </c>
      <c r="Q797" t="str">
        <f>SUBSTITUTE(SUBSTITUTE(SUBSTITUTE(SUBSTITUTE(SUBSTITUTE(SUBSTITUTE(SUBSTITUTE(SUBSTITUTE(TRIM(E797&amp;""),CHAR(160),"")," ",""),"초등학교","초"),"중학교","중"),"고등학교","고"),"~","~~"),"*","~*"),"?","~?")</f>
      </c>
      <c r="R797" t="str">
        <f>IF(COUNTA(B797:J797)=0,"",IF(AND(O797&lt;&gt;"",P797&lt;&gt;"",Q797&lt;&gt;""),"","입력누락"))</f>
      </c>
    </row>
    <row r="798" customFormat="false" ht="15" hidden="false" customHeight="false" outlineLevel="0" collapsed="false">
      <c r="A798" t="n" s="19">
        <f aca="0">IF(COUNTA(B798:J798)=0,"",ROW()-1)</f>
      </c>
      <c r="B798" s="24"/>
      <c r="C798" s="25"/>
      <c r="D798" s="8"/>
      <c r="E798" s="8"/>
      <c r="F798" s="26"/>
      <c r="G798" s="24"/>
      <c r="H798" s="25"/>
      <c r="I798" s="25"/>
      <c r="J798" s="26"/>
      <c r="K798" t="str" s="15">
        <f aca="0">IF(COUNTA(B798:J798)=0,"",IF(R798&lt;&gt;"","확인필요(입력누락)",IF(COUNTIFS(보유목록!$I$2:$I$3001,"*"&amp;P798&amp;"*",보유목록!$I$2:$I$3001,"*"&amp;Q798&amp;"*",보유목록!$H$2:$H$3001,O798)&gt;0,"있음",IF(COUNTIFS(보유목록!$I$2:$I$3001,"*"&amp;P798&amp;"*",보유목록!$I$2:$I$3001,"*"&amp;Q798&amp;"*")&gt;0,"확인필요(연도다름)",IF(COUNTIFS(보유목록!$I$2:$I$3001,"*"&amp;P798&amp;"*",보유목록!$H$2:$H$3001,O798)&gt;0,"확인필요(같은학교·같은연도)","없음")))))</f>
      </c>
      <c r="L798" t="str" s="16">
        <f aca="0">IF(OR(COUNTA(B798:J798)=0,R798&lt;&gt;""),"",COUNTIFS(보유목록!$I$2:$I$3001,"*"&amp;P798&amp;"*",보유목록!$I$2:$I$3001,"*"&amp;Q798&amp;"*"))</f>
      </c>
      <c r="M798" t="str" s="23">
        <f aca="0">IF(OR(COUNTA(B798:J798)=0,R798&lt;&gt;""),"",IFERROR(LOOKUP(2,1/(ISNUMBER(SEARCH(P798,보유목록!$I$2:$I$3001))*ISNUMBER(SEARCH(Q798,보유목록!$I$2:$I$3001))*(보유목록!$H$2:$H$3001=O798)),보유목록!$B$2:$B$3001),IFERROR(LOOKUP(2,1/(ISNUMBER(SEARCH(P798,보유목록!$I$2:$I$3001))*ISNUMBER(SEARCH(Q798,보유목록!$I$2:$I$3001))),보유목록!$B$2:$B$3001),"")))</f>
      </c>
      <c r="N798" s="25"/>
      <c r="O798" t="str">
        <f>IFERROR(IF(AND(LEN(SUBSTITUTE(SUBSTITUTE(SUBSTITUTE(TRIM(C798&amp;""),CHAR(160),"")," ",""),"년",""))=4,VALUE(SUBSTITUTE(SUBSTITUTE(SUBSTITUTE(TRIM(C798&amp;""),CHAR(160),"")," ",""),"년",""))&gt;=1900,VALUE(SUBSTITUTE(SUBSTITUTE(SUBSTITUTE(TRIM(C798&amp;""),CHAR(160),"")," ",""),"년",""))&lt;=2099,TEXT(VALUE(SUBSTITUTE(SUBSTITUTE(SUBSTITUTE(TRIM(C798&amp;""),CHAR(160),"")," ",""),"년","")),"0000")=SUBSTITUTE(SUBSTITUTE(SUBSTITUTE(TRIM(C798&amp;""),CHAR(160),"")," ",""),"년","")),SUBSTITUTE(SUBSTITUTE(SUBSTITUTE(TRIM(C798&amp;""),CHAR(160),"")," ",""),"년",""),""),"")</f>
      </c>
      <c r="P798" t="str">
        <f>SUBSTITUTE(SUBSTITUTE(SUBSTITUTE(SUBSTITUTE(SUBSTITUTE(SUBSTITUTE(SUBSTITUTE(SUBSTITUTE(TRIM(D798&amp;""),CHAR(160),"")," ",""),"초등학교","초"),"중학교","중"),"고등학교","고"),"~","~~"),"*","~*"),"?","~?")</f>
      </c>
      <c r="Q798" t="str">
        <f>SUBSTITUTE(SUBSTITUTE(SUBSTITUTE(SUBSTITUTE(SUBSTITUTE(SUBSTITUTE(SUBSTITUTE(SUBSTITUTE(TRIM(E798&amp;""),CHAR(160),"")," ",""),"초등학교","초"),"중학교","중"),"고등학교","고"),"~","~~"),"*","~*"),"?","~?")</f>
      </c>
      <c r="R798" t="str">
        <f>IF(COUNTA(B798:J798)=0,"",IF(AND(O798&lt;&gt;"",P798&lt;&gt;"",Q798&lt;&gt;""),"","입력누락"))</f>
      </c>
    </row>
    <row r="799" customFormat="false" ht="15" hidden="false" customHeight="false" outlineLevel="0" collapsed="false">
      <c r="A799" t="n" s="19">
        <f aca="0">IF(COUNTA(B799:J799)=0,"",ROW()-1)</f>
      </c>
      <c r="B799" s="24"/>
      <c r="C799" s="25"/>
      <c r="D799" s="8"/>
      <c r="E799" s="8"/>
      <c r="F799" s="26"/>
      <c r="G799" s="24"/>
      <c r="H799" s="25"/>
      <c r="I799" s="25"/>
      <c r="J799" s="26"/>
      <c r="K799" t="str" s="15">
        <f aca="0">IF(COUNTA(B799:J799)=0,"",IF(R799&lt;&gt;"","확인필요(입력누락)",IF(COUNTIFS(보유목록!$I$2:$I$3001,"*"&amp;P799&amp;"*",보유목록!$I$2:$I$3001,"*"&amp;Q799&amp;"*",보유목록!$H$2:$H$3001,O799)&gt;0,"있음",IF(COUNTIFS(보유목록!$I$2:$I$3001,"*"&amp;P799&amp;"*",보유목록!$I$2:$I$3001,"*"&amp;Q799&amp;"*")&gt;0,"확인필요(연도다름)",IF(COUNTIFS(보유목록!$I$2:$I$3001,"*"&amp;P799&amp;"*",보유목록!$H$2:$H$3001,O799)&gt;0,"확인필요(같은학교·같은연도)","없음")))))</f>
      </c>
      <c r="L799" t="str" s="16">
        <f aca="0">IF(OR(COUNTA(B799:J799)=0,R799&lt;&gt;""),"",COUNTIFS(보유목록!$I$2:$I$3001,"*"&amp;P799&amp;"*",보유목록!$I$2:$I$3001,"*"&amp;Q799&amp;"*"))</f>
      </c>
      <c r="M799" t="str" s="23">
        <f aca="0">IF(OR(COUNTA(B799:J799)=0,R799&lt;&gt;""),"",IFERROR(LOOKUP(2,1/(ISNUMBER(SEARCH(P799,보유목록!$I$2:$I$3001))*ISNUMBER(SEARCH(Q799,보유목록!$I$2:$I$3001))*(보유목록!$H$2:$H$3001=O799)),보유목록!$B$2:$B$3001),IFERROR(LOOKUP(2,1/(ISNUMBER(SEARCH(P799,보유목록!$I$2:$I$3001))*ISNUMBER(SEARCH(Q799,보유목록!$I$2:$I$3001))),보유목록!$B$2:$B$3001),"")))</f>
      </c>
      <c r="N799" s="25"/>
      <c r="O799" t="str">
        <f>IFERROR(IF(AND(LEN(SUBSTITUTE(SUBSTITUTE(SUBSTITUTE(TRIM(C799&amp;""),CHAR(160),"")," ",""),"년",""))=4,VALUE(SUBSTITUTE(SUBSTITUTE(SUBSTITUTE(TRIM(C799&amp;""),CHAR(160),"")," ",""),"년",""))&gt;=1900,VALUE(SUBSTITUTE(SUBSTITUTE(SUBSTITUTE(TRIM(C799&amp;""),CHAR(160),"")," ",""),"년",""))&lt;=2099,TEXT(VALUE(SUBSTITUTE(SUBSTITUTE(SUBSTITUTE(TRIM(C799&amp;""),CHAR(160),"")," ",""),"년","")),"0000")=SUBSTITUTE(SUBSTITUTE(SUBSTITUTE(TRIM(C799&amp;""),CHAR(160),"")," ",""),"년","")),SUBSTITUTE(SUBSTITUTE(SUBSTITUTE(TRIM(C799&amp;""),CHAR(160),"")," ",""),"년",""),""),"")</f>
      </c>
      <c r="P799" t="str">
        <f>SUBSTITUTE(SUBSTITUTE(SUBSTITUTE(SUBSTITUTE(SUBSTITUTE(SUBSTITUTE(SUBSTITUTE(SUBSTITUTE(TRIM(D799&amp;""),CHAR(160),"")," ",""),"초등학교","초"),"중학교","중"),"고등학교","고"),"~","~~"),"*","~*"),"?","~?")</f>
      </c>
      <c r="Q799" t="str">
        <f>SUBSTITUTE(SUBSTITUTE(SUBSTITUTE(SUBSTITUTE(SUBSTITUTE(SUBSTITUTE(SUBSTITUTE(SUBSTITUTE(TRIM(E799&amp;""),CHAR(160),"")," ",""),"초등학교","초"),"중학교","중"),"고등학교","고"),"~","~~"),"*","~*"),"?","~?")</f>
      </c>
      <c r="R799" t="str">
        <f>IF(COUNTA(B799:J799)=0,"",IF(AND(O799&lt;&gt;"",P799&lt;&gt;"",Q799&lt;&gt;""),"","입력누락"))</f>
      </c>
    </row>
    <row r="800" customFormat="false" ht="15" hidden="false" customHeight="false" outlineLevel="0" collapsed="false">
      <c r="A800" t="n" s="19">
        <f aca="0">IF(COUNTA(B800:J800)=0,"",ROW()-1)</f>
      </c>
      <c r="B800" s="24"/>
      <c r="C800" s="25"/>
      <c r="D800" s="8"/>
      <c r="E800" s="8"/>
      <c r="F800" s="26"/>
      <c r="G800" s="24"/>
      <c r="H800" s="25"/>
      <c r="I800" s="25"/>
      <c r="J800" s="26"/>
      <c r="K800" t="str" s="15">
        <f aca="0">IF(COUNTA(B800:J800)=0,"",IF(R800&lt;&gt;"","확인필요(입력누락)",IF(COUNTIFS(보유목록!$I$2:$I$3001,"*"&amp;P800&amp;"*",보유목록!$I$2:$I$3001,"*"&amp;Q800&amp;"*",보유목록!$H$2:$H$3001,O800)&gt;0,"있음",IF(COUNTIFS(보유목록!$I$2:$I$3001,"*"&amp;P800&amp;"*",보유목록!$I$2:$I$3001,"*"&amp;Q800&amp;"*")&gt;0,"확인필요(연도다름)",IF(COUNTIFS(보유목록!$I$2:$I$3001,"*"&amp;P800&amp;"*",보유목록!$H$2:$H$3001,O800)&gt;0,"확인필요(같은학교·같은연도)","없음")))))</f>
      </c>
      <c r="L800" t="str" s="16">
        <f aca="0">IF(OR(COUNTA(B800:J800)=0,R800&lt;&gt;""),"",COUNTIFS(보유목록!$I$2:$I$3001,"*"&amp;P800&amp;"*",보유목록!$I$2:$I$3001,"*"&amp;Q800&amp;"*"))</f>
      </c>
      <c r="M800" t="str" s="23">
        <f aca="0">IF(OR(COUNTA(B800:J800)=0,R800&lt;&gt;""),"",IFERROR(LOOKUP(2,1/(ISNUMBER(SEARCH(P800,보유목록!$I$2:$I$3001))*ISNUMBER(SEARCH(Q800,보유목록!$I$2:$I$3001))*(보유목록!$H$2:$H$3001=O800)),보유목록!$B$2:$B$3001),IFERROR(LOOKUP(2,1/(ISNUMBER(SEARCH(P800,보유목록!$I$2:$I$3001))*ISNUMBER(SEARCH(Q800,보유목록!$I$2:$I$3001))),보유목록!$B$2:$B$3001),"")))</f>
      </c>
      <c r="N800" s="25"/>
      <c r="O800" t="str">
        <f>IFERROR(IF(AND(LEN(SUBSTITUTE(SUBSTITUTE(SUBSTITUTE(TRIM(C800&amp;""),CHAR(160),"")," ",""),"년",""))=4,VALUE(SUBSTITUTE(SUBSTITUTE(SUBSTITUTE(TRIM(C800&amp;""),CHAR(160),"")," ",""),"년",""))&gt;=1900,VALUE(SUBSTITUTE(SUBSTITUTE(SUBSTITUTE(TRIM(C800&amp;""),CHAR(160),"")," ",""),"년",""))&lt;=2099,TEXT(VALUE(SUBSTITUTE(SUBSTITUTE(SUBSTITUTE(TRIM(C800&amp;""),CHAR(160),"")," ",""),"년","")),"0000")=SUBSTITUTE(SUBSTITUTE(SUBSTITUTE(TRIM(C800&amp;""),CHAR(160),"")," ",""),"년","")),SUBSTITUTE(SUBSTITUTE(SUBSTITUTE(TRIM(C800&amp;""),CHAR(160),"")," ",""),"년",""),""),"")</f>
      </c>
      <c r="P800" t="str">
        <f>SUBSTITUTE(SUBSTITUTE(SUBSTITUTE(SUBSTITUTE(SUBSTITUTE(SUBSTITUTE(SUBSTITUTE(SUBSTITUTE(TRIM(D800&amp;""),CHAR(160),"")," ",""),"초등학교","초"),"중학교","중"),"고등학교","고"),"~","~~"),"*","~*"),"?","~?")</f>
      </c>
      <c r="Q800" t="str">
        <f>SUBSTITUTE(SUBSTITUTE(SUBSTITUTE(SUBSTITUTE(SUBSTITUTE(SUBSTITUTE(SUBSTITUTE(SUBSTITUTE(TRIM(E800&amp;""),CHAR(160),"")," ",""),"초등학교","초"),"중학교","중"),"고등학교","고"),"~","~~"),"*","~*"),"?","~?")</f>
      </c>
      <c r="R800" t="str">
        <f>IF(COUNTA(B800:J800)=0,"",IF(AND(O800&lt;&gt;"",P800&lt;&gt;"",Q800&lt;&gt;""),"","입력누락"))</f>
      </c>
    </row>
    <row r="801" customFormat="false" ht="15" hidden="false" customHeight="false" outlineLevel="0" collapsed="false">
      <c r="A801" t="n" s="19">
        <f aca="0">IF(COUNTA(B801:J801)=0,"",ROW()-1)</f>
      </c>
      <c r="B801" s="24"/>
      <c r="C801" s="25"/>
      <c r="D801" s="8"/>
      <c r="E801" s="8"/>
      <c r="F801" s="26"/>
      <c r="G801" s="24"/>
      <c r="H801" s="25"/>
      <c r="I801" s="25"/>
      <c r="J801" s="26"/>
      <c r="K801" t="str" s="15">
        <f aca="0">IF(COUNTA(B801:J801)=0,"",IF(R801&lt;&gt;"","확인필요(입력누락)",IF(COUNTIFS(보유목록!$I$2:$I$3001,"*"&amp;P801&amp;"*",보유목록!$I$2:$I$3001,"*"&amp;Q801&amp;"*",보유목록!$H$2:$H$3001,O801)&gt;0,"있음",IF(COUNTIFS(보유목록!$I$2:$I$3001,"*"&amp;P801&amp;"*",보유목록!$I$2:$I$3001,"*"&amp;Q801&amp;"*")&gt;0,"확인필요(연도다름)",IF(COUNTIFS(보유목록!$I$2:$I$3001,"*"&amp;P801&amp;"*",보유목록!$H$2:$H$3001,O801)&gt;0,"확인필요(같은학교·같은연도)","없음")))))</f>
      </c>
      <c r="L801" t="str" s="16">
        <f aca="0">IF(OR(COUNTA(B801:J801)=0,R801&lt;&gt;""),"",COUNTIFS(보유목록!$I$2:$I$3001,"*"&amp;P801&amp;"*",보유목록!$I$2:$I$3001,"*"&amp;Q801&amp;"*"))</f>
      </c>
      <c r="M801" t="str" s="23">
        <f aca="0">IF(OR(COUNTA(B801:J801)=0,R801&lt;&gt;""),"",IFERROR(LOOKUP(2,1/(ISNUMBER(SEARCH(P801,보유목록!$I$2:$I$3001))*ISNUMBER(SEARCH(Q801,보유목록!$I$2:$I$3001))*(보유목록!$H$2:$H$3001=O801)),보유목록!$B$2:$B$3001),IFERROR(LOOKUP(2,1/(ISNUMBER(SEARCH(P801,보유목록!$I$2:$I$3001))*ISNUMBER(SEARCH(Q801,보유목록!$I$2:$I$3001))),보유목록!$B$2:$B$3001),"")))</f>
      </c>
      <c r="N801" s="25"/>
      <c r="O801" t="str">
        <f>IFERROR(IF(AND(LEN(SUBSTITUTE(SUBSTITUTE(SUBSTITUTE(TRIM(C801&amp;""),CHAR(160),"")," ",""),"년",""))=4,VALUE(SUBSTITUTE(SUBSTITUTE(SUBSTITUTE(TRIM(C801&amp;""),CHAR(160),"")," ",""),"년",""))&gt;=1900,VALUE(SUBSTITUTE(SUBSTITUTE(SUBSTITUTE(TRIM(C801&amp;""),CHAR(160),"")," ",""),"년",""))&lt;=2099,TEXT(VALUE(SUBSTITUTE(SUBSTITUTE(SUBSTITUTE(TRIM(C801&amp;""),CHAR(160),"")," ",""),"년","")),"0000")=SUBSTITUTE(SUBSTITUTE(SUBSTITUTE(TRIM(C801&amp;""),CHAR(160),"")," ",""),"년","")),SUBSTITUTE(SUBSTITUTE(SUBSTITUTE(TRIM(C801&amp;""),CHAR(160),"")," ",""),"년",""),""),"")</f>
      </c>
      <c r="P801" t="str">
        <f>SUBSTITUTE(SUBSTITUTE(SUBSTITUTE(SUBSTITUTE(SUBSTITUTE(SUBSTITUTE(SUBSTITUTE(SUBSTITUTE(TRIM(D801&amp;""),CHAR(160),"")," ",""),"초등학교","초"),"중학교","중"),"고등학교","고"),"~","~~"),"*","~*"),"?","~?")</f>
      </c>
      <c r="Q801" t="str">
        <f>SUBSTITUTE(SUBSTITUTE(SUBSTITUTE(SUBSTITUTE(SUBSTITUTE(SUBSTITUTE(SUBSTITUTE(SUBSTITUTE(TRIM(E801&amp;""),CHAR(160),"")," ",""),"초등학교","초"),"중학교","중"),"고등학교","고"),"~","~~"),"*","~*"),"?","~?")</f>
      </c>
      <c r="R801" t="str">
        <f>IF(COUNTA(B801:J801)=0,"",IF(AND(O801&lt;&gt;"",P801&lt;&gt;"",Q801&lt;&gt;""),"","입력누락"))</f>
      </c>
    </row>
    <row r="802" customFormat="false" ht="15" hidden="false" customHeight="false" outlineLevel="0" collapsed="false">
      <c r="A802" t="n" s="19">
        <f aca="0">IF(COUNTA(B802:J802)=0,"",ROW()-1)</f>
      </c>
      <c r="B802" s="24"/>
      <c r="C802" s="25"/>
      <c r="D802" s="8"/>
      <c r="E802" s="8"/>
      <c r="F802" s="26"/>
      <c r="G802" s="24"/>
      <c r="H802" s="25"/>
      <c r="I802" s="25"/>
      <c r="J802" s="26"/>
      <c r="K802" t="str" s="15">
        <f aca="0">IF(COUNTA(B802:J802)=0,"",IF(R802&lt;&gt;"","확인필요(입력누락)",IF(COUNTIFS(보유목록!$I$2:$I$3001,"*"&amp;P802&amp;"*",보유목록!$I$2:$I$3001,"*"&amp;Q802&amp;"*",보유목록!$H$2:$H$3001,O802)&gt;0,"있음",IF(COUNTIFS(보유목록!$I$2:$I$3001,"*"&amp;P802&amp;"*",보유목록!$I$2:$I$3001,"*"&amp;Q802&amp;"*")&gt;0,"확인필요(연도다름)",IF(COUNTIFS(보유목록!$I$2:$I$3001,"*"&amp;P802&amp;"*",보유목록!$H$2:$H$3001,O802)&gt;0,"확인필요(같은학교·같은연도)","없음")))))</f>
      </c>
      <c r="L802" t="str" s="16">
        <f aca="0">IF(OR(COUNTA(B802:J802)=0,R802&lt;&gt;""),"",COUNTIFS(보유목록!$I$2:$I$3001,"*"&amp;P802&amp;"*",보유목록!$I$2:$I$3001,"*"&amp;Q802&amp;"*"))</f>
      </c>
      <c r="M802" t="str" s="23">
        <f aca="0">IF(OR(COUNTA(B802:J802)=0,R802&lt;&gt;""),"",IFERROR(LOOKUP(2,1/(ISNUMBER(SEARCH(P802,보유목록!$I$2:$I$3001))*ISNUMBER(SEARCH(Q802,보유목록!$I$2:$I$3001))*(보유목록!$H$2:$H$3001=O802)),보유목록!$B$2:$B$3001),IFERROR(LOOKUP(2,1/(ISNUMBER(SEARCH(P802,보유목록!$I$2:$I$3001))*ISNUMBER(SEARCH(Q802,보유목록!$I$2:$I$3001))),보유목록!$B$2:$B$3001),"")))</f>
      </c>
      <c r="N802" s="25"/>
      <c r="O802" t="str">
        <f>IFERROR(IF(AND(LEN(SUBSTITUTE(SUBSTITUTE(SUBSTITUTE(TRIM(C802&amp;""),CHAR(160),"")," ",""),"년",""))=4,VALUE(SUBSTITUTE(SUBSTITUTE(SUBSTITUTE(TRIM(C802&amp;""),CHAR(160),"")," ",""),"년",""))&gt;=1900,VALUE(SUBSTITUTE(SUBSTITUTE(SUBSTITUTE(TRIM(C802&amp;""),CHAR(160),"")," ",""),"년",""))&lt;=2099,TEXT(VALUE(SUBSTITUTE(SUBSTITUTE(SUBSTITUTE(TRIM(C802&amp;""),CHAR(160),"")," ",""),"년","")),"0000")=SUBSTITUTE(SUBSTITUTE(SUBSTITUTE(TRIM(C802&amp;""),CHAR(160),"")," ",""),"년","")),SUBSTITUTE(SUBSTITUTE(SUBSTITUTE(TRIM(C802&amp;""),CHAR(160),"")," ",""),"년",""),""),"")</f>
      </c>
      <c r="P802" t="str">
        <f>SUBSTITUTE(SUBSTITUTE(SUBSTITUTE(SUBSTITUTE(SUBSTITUTE(SUBSTITUTE(SUBSTITUTE(SUBSTITUTE(TRIM(D802&amp;""),CHAR(160),"")," ",""),"초등학교","초"),"중학교","중"),"고등학교","고"),"~","~~"),"*","~*"),"?","~?")</f>
      </c>
      <c r="Q802" t="str">
        <f>SUBSTITUTE(SUBSTITUTE(SUBSTITUTE(SUBSTITUTE(SUBSTITUTE(SUBSTITUTE(SUBSTITUTE(SUBSTITUTE(TRIM(E802&amp;""),CHAR(160),"")," ",""),"초등학교","초"),"중학교","중"),"고등학교","고"),"~","~~"),"*","~*"),"?","~?")</f>
      </c>
      <c r="R802" t="str">
        <f>IF(COUNTA(B802:J802)=0,"",IF(AND(O802&lt;&gt;"",P802&lt;&gt;"",Q802&lt;&gt;""),"","입력누락"))</f>
      </c>
    </row>
    <row r="803" customFormat="false" ht="15" hidden="false" customHeight="false" outlineLevel="0" collapsed="false">
      <c r="A803" t="n" s="19">
        <f aca="0">IF(COUNTA(B803:J803)=0,"",ROW()-1)</f>
      </c>
      <c r="B803" s="24"/>
      <c r="C803" s="25"/>
      <c r="D803" s="8"/>
      <c r="E803" s="8"/>
      <c r="F803" s="26"/>
      <c r="G803" s="24"/>
      <c r="H803" s="25"/>
      <c r="I803" s="25"/>
      <c r="J803" s="26"/>
      <c r="K803" t="str" s="15">
        <f aca="0">IF(COUNTA(B803:J803)=0,"",IF(R803&lt;&gt;"","확인필요(입력누락)",IF(COUNTIFS(보유목록!$I$2:$I$3001,"*"&amp;P803&amp;"*",보유목록!$I$2:$I$3001,"*"&amp;Q803&amp;"*",보유목록!$H$2:$H$3001,O803)&gt;0,"있음",IF(COUNTIFS(보유목록!$I$2:$I$3001,"*"&amp;P803&amp;"*",보유목록!$I$2:$I$3001,"*"&amp;Q803&amp;"*")&gt;0,"확인필요(연도다름)",IF(COUNTIFS(보유목록!$I$2:$I$3001,"*"&amp;P803&amp;"*",보유목록!$H$2:$H$3001,O803)&gt;0,"확인필요(같은학교·같은연도)","없음")))))</f>
      </c>
      <c r="L803" t="str" s="16">
        <f aca="0">IF(OR(COUNTA(B803:J803)=0,R803&lt;&gt;""),"",COUNTIFS(보유목록!$I$2:$I$3001,"*"&amp;P803&amp;"*",보유목록!$I$2:$I$3001,"*"&amp;Q803&amp;"*"))</f>
      </c>
      <c r="M803" t="str" s="23">
        <f aca="0">IF(OR(COUNTA(B803:J803)=0,R803&lt;&gt;""),"",IFERROR(LOOKUP(2,1/(ISNUMBER(SEARCH(P803,보유목록!$I$2:$I$3001))*ISNUMBER(SEARCH(Q803,보유목록!$I$2:$I$3001))*(보유목록!$H$2:$H$3001=O803)),보유목록!$B$2:$B$3001),IFERROR(LOOKUP(2,1/(ISNUMBER(SEARCH(P803,보유목록!$I$2:$I$3001))*ISNUMBER(SEARCH(Q803,보유목록!$I$2:$I$3001))),보유목록!$B$2:$B$3001),"")))</f>
      </c>
      <c r="N803" s="25"/>
      <c r="O803" t="str">
        <f>IFERROR(IF(AND(LEN(SUBSTITUTE(SUBSTITUTE(SUBSTITUTE(TRIM(C803&amp;""),CHAR(160),"")," ",""),"년",""))=4,VALUE(SUBSTITUTE(SUBSTITUTE(SUBSTITUTE(TRIM(C803&amp;""),CHAR(160),"")," ",""),"년",""))&gt;=1900,VALUE(SUBSTITUTE(SUBSTITUTE(SUBSTITUTE(TRIM(C803&amp;""),CHAR(160),"")," ",""),"년",""))&lt;=2099,TEXT(VALUE(SUBSTITUTE(SUBSTITUTE(SUBSTITUTE(TRIM(C803&amp;""),CHAR(160),"")," ",""),"년","")),"0000")=SUBSTITUTE(SUBSTITUTE(SUBSTITUTE(TRIM(C803&amp;""),CHAR(160),"")," ",""),"년","")),SUBSTITUTE(SUBSTITUTE(SUBSTITUTE(TRIM(C803&amp;""),CHAR(160),"")," ",""),"년",""),""),"")</f>
      </c>
      <c r="P803" t="str">
        <f>SUBSTITUTE(SUBSTITUTE(SUBSTITUTE(SUBSTITUTE(SUBSTITUTE(SUBSTITUTE(SUBSTITUTE(SUBSTITUTE(TRIM(D803&amp;""),CHAR(160),"")," ",""),"초등학교","초"),"중학교","중"),"고등학교","고"),"~","~~"),"*","~*"),"?","~?")</f>
      </c>
      <c r="Q803" t="str">
        <f>SUBSTITUTE(SUBSTITUTE(SUBSTITUTE(SUBSTITUTE(SUBSTITUTE(SUBSTITUTE(SUBSTITUTE(SUBSTITUTE(TRIM(E803&amp;""),CHAR(160),"")," ",""),"초등학교","초"),"중학교","중"),"고등학교","고"),"~","~~"),"*","~*"),"?","~?")</f>
      </c>
      <c r="R803" t="str">
        <f>IF(COUNTA(B803:J803)=0,"",IF(AND(O803&lt;&gt;"",P803&lt;&gt;"",Q803&lt;&gt;""),"","입력누락"))</f>
      </c>
    </row>
    <row r="804" customFormat="false" ht="15" hidden="false" customHeight="false" outlineLevel="0" collapsed="false">
      <c r="A804" t="n" s="19">
        <f aca="0">IF(COUNTA(B804:J804)=0,"",ROW()-1)</f>
      </c>
      <c r="B804" s="24"/>
      <c r="C804" s="25"/>
      <c r="D804" s="8"/>
      <c r="E804" s="8"/>
      <c r="F804" s="26"/>
      <c r="G804" s="24"/>
      <c r="H804" s="25"/>
      <c r="I804" s="25"/>
      <c r="J804" s="26"/>
      <c r="K804" t="str" s="15">
        <f aca="0">IF(COUNTA(B804:J804)=0,"",IF(R804&lt;&gt;"","확인필요(입력누락)",IF(COUNTIFS(보유목록!$I$2:$I$3001,"*"&amp;P804&amp;"*",보유목록!$I$2:$I$3001,"*"&amp;Q804&amp;"*",보유목록!$H$2:$H$3001,O804)&gt;0,"있음",IF(COUNTIFS(보유목록!$I$2:$I$3001,"*"&amp;P804&amp;"*",보유목록!$I$2:$I$3001,"*"&amp;Q804&amp;"*")&gt;0,"확인필요(연도다름)",IF(COUNTIFS(보유목록!$I$2:$I$3001,"*"&amp;P804&amp;"*",보유목록!$H$2:$H$3001,O804)&gt;0,"확인필요(같은학교·같은연도)","없음")))))</f>
      </c>
      <c r="L804" t="str" s="16">
        <f aca="0">IF(OR(COUNTA(B804:J804)=0,R804&lt;&gt;""),"",COUNTIFS(보유목록!$I$2:$I$3001,"*"&amp;P804&amp;"*",보유목록!$I$2:$I$3001,"*"&amp;Q804&amp;"*"))</f>
      </c>
      <c r="M804" t="str" s="23">
        <f aca="0">IF(OR(COUNTA(B804:J804)=0,R804&lt;&gt;""),"",IFERROR(LOOKUP(2,1/(ISNUMBER(SEARCH(P804,보유목록!$I$2:$I$3001))*ISNUMBER(SEARCH(Q804,보유목록!$I$2:$I$3001))*(보유목록!$H$2:$H$3001=O804)),보유목록!$B$2:$B$3001),IFERROR(LOOKUP(2,1/(ISNUMBER(SEARCH(P804,보유목록!$I$2:$I$3001))*ISNUMBER(SEARCH(Q804,보유목록!$I$2:$I$3001))),보유목록!$B$2:$B$3001),"")))</f>
      </c>
      <c r="N804" s="25"/>
      <c r="O804" t="str">
        <f>IFERROR(IF(AND(LEN(SUBSTITUTE(SUBSTITUTE(SUBSTITUTE(TRIM(C804&amp;""),CHAR(160),"")," ",""),"년",""))=4,VALUE(SUBSTITUTE(SUBSTITUTE(SUBSTITUTE(TRIM(C804&amp;""),CHAR(160),"")," ",""),"년",""))&gt;=1900,VALUE(SUBSTITUTE(SUBSTITUTE(SUBSTITUTE(TRIM(C804&amp;""),CHAR(160),"")," ",""),"년",""))&lt;=2099,TEXT(VALUE(SUBSTITUTE(SUBSTITUTE(SUBSTITUTE(TRIM(C804&amp;""),CHAR(160),"")," ",""),"년","")),"0000")=SUBSTITUTE(SUBSTITUTE(SUBSTITUTE(TRIM(C804&amp;""),CHAR(160),"")," ",""),"년","")),SUBSTITUTE(SUBSTITUTE(SUBSTITUTE(TRIM(C804&amp;""),CHAR(160),"")," ",""),"년",""),""),"")</f>
      </c>
      <c r="P804" t="str">
        <f>SUBSTITUTE(SUBSTITUTE(SUBSTITUTE(SUBSTITUTE(SUBSTITUTE(SUBSTITUTE(SUBSTITUTE(SUBSTITUTE(TRIM(D804&amp;""),CHAR(160),"")," ",""),"초등학교","초"),"중학교","중"),"고등학교","고"),"~","~~"),"*","~*"),"?","~?")</f>
      </c>
      <c r="Q804" t="str">
        <f>SUBSTITUTE(SUBSTITUTE(SUBSTITUTE(SUBSTITUTE(SUBSTITUTE(SUBSTITUTE(SUBSTITUTE(SUBSTITUTE(TRIM(E804&amp;""),CHAR(160),"")," ",""),"초등학교","초"),"중학교","중"),"고등학교","고"),"~","~~"),"*","~*"),"?","~?")</f>
      </c>
      <c r="R804" t="str">
        <f>IF(COUNTA(B804:J804)=0,"",IF(AND(O804&lt;&gt;"",P804&lt;&gt;"",Q804&lt;&gt;""),"","입력누락"))</f>
      </c>
    </row>
    <row r="805" customFormat="false" ht="15" hidden="false" customHeight="false" outlineLevel="0" collapsed="false">
      <c r="A805" t="n" s="19">
        <f aca="0">IF(COUNTA(B805:J805)=0,"",ROW()-1)</f>
      </c>
      <c r="B805" s="24"/>
      <c r="C805" s="25"/>
      <c r="D805" s="8"/>
      <c r="E805" s="8"/>
      <c r="F805" s="26"/>
      <c r="G805" s="24"/>
      <c r="H805" s="25"/>
      <c r="I805" s="25"/>
      <c r="J805" s="26"/>
      <c r="K805" t="str" s="15">
        <f aca="0">IF(COUNTA(B805:J805)=0,"",IF(R805&lt;&gt;"","확인필요(입력누락)",IF(COUNTIFS(보유목록!$I$2:$I$3001,"*"&amp;P805&amp;"*",보유목록!$I$2:$I$3001,"*"&amp;Q805&amp;"*",보유목록!$H$2:$H$3001,O805)&gt;0,"있음",IF(COUNTIFS(보유목록!$I$2:$I$3001,"*"&amp;P805&amp;"*",보유목록!$I$2:$I$3001,"*"&amp;Q805&amp;"*")&gt;0,"확인필요(연도다름)",IF(COUNTIFS(보유목록!$I$2:$I$3001,"*"&amp;P805&amp;"*",보유목록!$H$2:$H$3001,O805)&gt;0,"확인필요(같은학교·같은연도)","없음")))))</f>
      </c>
      <c r="L805" t="str" s="16">
        <f aca="0">IF(OR(COUNTA(B805:J805)=0,R805&lt;&gt;""),"",COUNTIFS(보유목록!$I$2:$I$3001,"*"&amp;P805&amp;"*",보유목록!$I$2:$I$3001,"*"&amp;Q805&amp;"*"))</f>
      </c>
      <c r="M805" t="str" s="23">
        <f aca="0">IF(OR(COUNTA(B805:J805)=0,R805&lt;&gt;""),"",IFERROR(LOOKUP(2,1/(ISNUMBER(SEARCH(P805,보유목록!$I$2:$I$3001))*ISNUMBER(SEARCH(Q805,보유목록!$I$2:$I$3001))*(보유목록!$H$2:$H$3001=O805)),보유목록!$B$2:$B$3001),IFERROR(LOOKUP(2,1/(ISNUMBER(SEARCH(P805,보유목록!$I$2:$I$3001))*ISNUMBER(SEARCH(Q805,보유목록!$I$2:$I$3001))),보유목록!$B$2:$B$3001),"")))</f>
      </c>
      <c r="N805" s="25"/>
      <c r="O805" t="str">
        <f>IFERROR(IF(AND(LEN(SUBSTITUTE(SUBSTITUTE(SUBSTITUTE(TRIM(C805&amp;""),CHAR(160),"")," ",""),"년",""))=4,VALUE(SUBSTITUTE(SUBSTITUTE(SUBSTITUTE(TRIM(C805&amp;""),CHAR(160),"")," ",""),"년",""))&gt;=1900,VALUE(SUBSTITUTE(SUBSTITUTE(SUBSTITUTE(TRIM(C805&amp;""),CHAR(160),"")," ",""),"년",""))&lt;=2099,TEXT(VALUE(SUBSTITUTE(SUBSTITUTE(SUBSTITUTE(TRIM(C805&amp;""),CHAR(160),"")," ",""),"년","")),"0000")=SUBSTITUTE(SUBSTITUTE(SUBSTITUTE(TRIM(C805&amp;""),CHAR(160),"")," ",""),"년","")),SUBSTITUTE(SUBSTITUTE(SUBSTITUTE(TRIM(C805&amp;""),CHAR(160),"")," ",""),"년",""),""),"")</f>
      </c>
      <c r="P805" t="str">
        <f>SUBSTITUTE(SUBSTITUTE(SUBSTITUTE(SUBSTITUTE(SUBSTITUTE(SUBSTITUTE(SUBSTITUTE(SUBSTITUTE(TRIM(D805&amp;""),CHAR(160),"")," ",""),"초등학교","초"),"중학교","중"),"고등학교","고"),"~","~~"),"*","~*"),"?","~?")</f>
      </c>
      <c r="Q805" t="str">
        <f>SUBSTITUTE(SUBSTITUTE(SUBSTITUTE(SUBSTITUTE(SUBSTITUTE(SUBSTITUTE(SUBSTITUTE(SUBSTITUTE(TRIM(E805&amp;""),CHAR(160),"")," ",""),"초등학교","초"),"중학교","중"),"고등학교","고"),"~","~~"),"*","~*"),"?","~?")</f>
      </c>
      <c r="R805" t="str">
        <f>IF(COUNTA(B805:J805)=0,"",IF(AND(O805&lt;&gt;"",P805&lt;&gt;"",Q805&lt;&gt;""),"","입력누락"))</f>
      </c>
    </row>
    <row r="806" customFormat="false" ht="15" hidden="false" customHeight="false" outlineLevel="0" collapsed="false">
      <c r="A806" t="n" s="19">
        <f aca="0">IF(COUNTA(B806:J806)=0,"",ROW()-1)</f>
      </c>
      <c r="B806" s="24"/>
      <c r="C806" s="25"/>
      <c r="D806" s="8"/>
      <c r="E806" s="8"/>
      <c r="F806" s="26"/>
      <c r="G806" s="24"/>
      <c r="H806" s="25"/>
      <c r="I806" s="25"/>
      <c r="J806" s="26"/>
      <c r="K806" t="str" s="15">
        <f aca="0">IF(COUNTA(B806:J806)=0,"",IF(R806&lt;&gt;"","확인필요(입력누락)",IF(COUNTIFS(보유목록!$I$2:$I$3001,"*"&amp;P806&amp;"*",보유목록!$I$2:$I$3001,"*"&amp;Q806&amp;"*",보유목록!$H$2:$H$3001,O806)&gt;0,"있음",IF(COUNTIFS(보유목록!$I$2:$I$3001,"*"&amp;P806&amp;"*",보유목록!$I$2:$I$3001,"*"&amp;Q806&amp;"*")&gt;0,"확인필요(연도다름)",IF(COUNTIFS(보유목록!$I$2:$I$3001,"*"&amp;P806&amp;"*",보유목록!$H$2:$H$3001,O806)&gt;0,"확인필요(같은학교·같은연도)","없음")))))</f>
      </c>
      <c r="L806" t="str" s="16">
        <f aca="0">IF(OR(COUNTA(B806:J806)=0,R806&lt;&gt;""),"",COUNTIFS(보유목록!$I$2:$I$3001,"*"&amp;P806&amp;"*",보유목록!$I$2:$I$3001,"*"&amp;Q806&amp;"*"))</f>
      </c>
      <c r="M806" t="str" s="23">
        <f aca="0">IF(OR(COUNTA(B806:J806)=0,R806&lt;&gt;""),"",IFERROR(LOOKUP(2,1/(ISNUMBER(SEARCH(P806,보유목록!$I$2:$I$3001))*ISNUMBER(SEARCH(Q806,보유목록!$I$2:$I$3001))*(보유목록!$H$2:$H$3001=O806)),보유목록!$B$2:$B$3001),IFERROR(LOOKUP(2,1/(ISNUMBER(SEARCH(P806,보유목록!$I$2:$I$3001))*ISNUMBER(SEARCH(Q806,보유목록!$I$2:$I$3001))),보유목록!$B$2:$B$3001),"")))</f>
      </c>
      <c r="N806" s="25"/>
      <c r="O806" t="str">
        <f>IFERROR(IF(AND(LEN(SUBSTITUTE(SUBSTITUTE(SUBSTITUTE(TRIM(C806&amp;""),CHAR(160),"")," ",""),"년",""))=4,VALUE(SUBSTITUTE(SUBSTITUTE(SUBSTITUTE(TRIM(C806&amp;""),CHAR(160),"")," ",""),"년",""))&gt;=1900,VALUE(SUBSTITUTE(SUBSTITUTE(SUBSTITUTE(TRIM(C806&amp;""),CHAR(160),"")," ",""),"년",""))&lt;=2099,TEXT(VALUE(SUBSTITUTE(SUBSTITUTE(SUBSTITUTE(TRIM(C806&amp;""),CHAR(160),"")," ",""),"년","")),"0000")=SUBSTITUTE(SUBSTITUTE(SUBSTITUTE(TRIM(C806&amp;""),CHAR(160),"")," ",""),"년","")),SUBSTITUTE(SUBSTITUTE(SUBSTITUTE(TRIM(C806&amp;""),CHAR(160),"")," ",""),"년",""),""),"")</f>
      </c>
      <c r="P806" t="str">
        <f>SUBSTITUTE(SUBSTITUTE(SUBSTITUTE(SUBSTITUTE(SUBSTITUTE(SUBSTITUTE(SUBSTITUTE(SUBSTITUTE(TRIM(D806&amp;""),CHAR(160),"")," ",""),"초등학교","초"),"중학교","중"),"고등학교","고"),"~","~~"),"*","~*"),"?","~?")</f>
      </c>
      <c r="Q806" t="str">
        <f>SUBSTITUTE(SUBSTITUTE(SUBSTITUTE(SUBSTITUTE(SUBSTITUTE(SUBSTITUTE(SUBSTITUTE(SUBSTITUTE(TRIM(E806&amp;""),CHAR(160),"")," ",""),"초등학교","초"),"중학교","중"),"고등학교","고"),"~","~~"),"*","~*"),"?","~?")</f>
      </c>
      <c r="R806" t="str">
        <f>IF(COUNTA(B806:J806)=0,"",IF(AND(O806&lt;&gt;"",P806&lt;&gt;"",Q806&lt;&gt;""),"","입력누락"))</f>
      </c>
    </row>
    <row r="807" customFormat="false" ht="15" hidden="false" customHeight="false" outlineLevel="0" collapsed="false">
      <c r="A807" t="n" s="19">
        <f aca="0">IF(COUNTA(B807:J807)=0,"",ROW()-1)</f>
      </c>
      <c r="B807" s="24"/>
      <c r="C807" s="25"/>
      <c r="D807" s="8"/>
      <c r="E807" s="8"/>
      <c r="F807" s="26"/>
      <c r="G807" s="24"/>
      <c r="H807" s="25"/>
      <c r="I807" s="25"/>
      <c r="J807" s="26"/>
      <c r="K807" t="str" s="15">
        <f aca="0">IF(COUNTA(B807:J807)=0,"",IF(R807&lt;&gt;"","확인필요(입력누락)",IF(COUNTIFS(보유목록!$I$2:$I$3001,"*"&amp;P807&amp;"*",보유목록!$I$2:$I$3001,"*"&amp;Q807&amp;"*",보유목록!$H$2:$H$3001,O807)&gt;0,"있음",IF(COUNTIFS(보유목록!$I$2:$I$3001,"*"&amp;P807&amp;"*",보유목록!$I$2:$I$3001,"*"&amp;Q807&amp;"*")&gt;0,"확인필요(연도다름)",IF(COUNTIFS(보유목록!$I$2:$I$3001,"*"&amp;P807&amp;"*",보유목록!$H$2:$H$3001,O807)&gt;0,"확인필요(같은학교·같은연도)","없음")))))</f>
      </c>
      <c r="L807" t="str" s="16">
        <f aca="0">IF(OR(COUNTA(B807:J807)=0,R807&lt;&gt;""),"",COUNTIFS(보유목록!$I$2:$I$3001,"*"&amp;P807&amp;"*",보유목록!$I$2:$I$3001,"*"&amp;Q807&amp;"*"))</f>
      </c>
      <c r="M807" t="str" s="23">
        <f aca="0">IF(OR(COUNTA(B807:J807)=0,R807&lt;&gt;""),"",IFERROR(LOOKUP(2,1/(ISNUMBER(SEARCH(P807,보유목록!$I$2:$I$3001))*ISNUMBER(SEARCH(Q807,보유목록!$I$2:$I$3001))*(보유목록!$H$2:$H$3001=O807)),보유목록!$B$2:$B$3001),IFERROR(LOOKUP(2,1/(ISNUMBER(SEARCH(P807,보유목록!$I$2:$I$3001))*ISNUMBER(SEARCH(Q807,보유목록!$I$2:$I$3001))),보유목록!$B$2:$B$3001),"")))</f>
      </c>
      <c r="N807" s="25"/>
      <c r="O807" t="str">
        <f>IFERROR(IF(AND(LEN(SUBSTITUTE(SUBSTITUTE(SUBSTITUTE(TRIM(C807&amp;""),CHAR(160),"")," ",""),"년",""))=4,VALUE(SUBSTITUTE(SUBSTITUTE(SUBSTITUTE(TRIM(C807&amp;""),CHAR(160),"")," ",""),"년",""))&gt;=1900,VALUE(SUBSTITUTE(SUBSTITUTE(SUBSTITUTE(TRIM(C807&amp;""),CHAR(160),"")," ",""),"년",""))&lt;=2099,TEXT(VALUE(SUBSTITUTE(SUBSTITUTE(SUBSTITUTE(TRIM(C807&amp;""),CHAR(160),"")," ",""),"년","")),"0000")=SUBSTITUTE(SUBSTITUTE(SUBSTITUTE(TRIM(C807&amp;""),CHAR(160),"")," ",""),"년","")),SUBSTITUTE(SUBSTITUTE(SUBSTITUTE(TRIM(C807&amp;""),CHAR(160),"")," ",""),"년",""),""),"")</f>
      </c>
      <c r="P807" t="str">
        <f>SUBSTITUTE(SUBSTITUTE(SUBSTITUTE(SUBSTITUTE(SUBSTITUTE(SUBSTITUTE(SUBSTITUTE(SUBSTITUTE(TRIM(D807&amp;""),CHAR(160),"")," ",""),"초등학교","초"),"중학교","중"),"고등학교","고"),"~","~~"),"*","~*"),"?","~?")</f>
      </c>
      <c r="Q807" t="str">
        <f>SUBSTITUTE(SUBSTITUTE(SUBSTITUTE(SUBSTITUTE(SUBSTITUTE(SUBSTITUTE(SUBSTITUTE(SUBSTITUTE(TRIM(E807&amp;""),CHAR(160),"")," ",""),"초등학교","초"),"중학교","중"),"고등학교","고"),"~","~~"),"*","~*"),"?","~?")</f>
      </c>
      <c r="R807" t="str">
        <f>IF(COUNTA(B807:J807)=0,"",IF(AND(O807&lt;&gt;"",P807&lt;&gt;"",Q807&lt;&gt;""),"","입력누락"))</f>
      </c>
    </row>
    <row r="808" customFormat="false" ht="15" hidden="false" customHeight="false" outlineLevel="0" collapsed="false">
      <c r="A808" t="n" s="19">
        <f aca="0">IF(COUNTA(B808:J808)=0,"",ROW()-1)</f>
      </c>
      <c r="B808" s="24"/>
      <c r="C808" s="25"/>
      <c r="D808" s="8"/>
      <c r="E808" s="8"/>
      <c r="F808" s="26"/>
      <c r="G808" s="24"/>
      <c r="H808" s="25"/>
      <c r="I808" s="25"/>
      <c r="J808" s="26"/>
      <c r="K808" t="str" s="15">
        <f aca="0">IF(COUNTA(B808:J808)=0,"",IF(R808&lt;&gt;"","확인필요(입력누락)",IF(COUNTIFS(보유목록!$I$2:$I$3001,"*"&amp;P808&amp;"*",보유목록!$I$2:$I$3001,"*"&amp;Q808&amp;"*",보유목록!$H$2:$H$3001,O808)&gt;0,"있음",IF(COUNTIFS(보유목록!$I$2:$I$3001,"*"&amp;P808&amp;"*",보유목록!$I$2:$I$3001,"*"&amp;Q808&amp;"*")&gt;0,"확인필요(연도다름)",IF(COUNTIFS(보유목록!$I$2:$I$3001,"*"&amp;P808&amp;"*",보유목록!$H$2:$H$3001,O808)&gt;0,"확인필요(같은학교·같은연도)","없음")))))</f>
      </c>
      <c r="L808" t="str" s="16">
        <f aca="0">IF(OR(COUNTA(B808:J808)=0,R808&lt;&gt;""),"",COUNTIFS(보유목록!$I$2:$I$3001,"*"&amp;P808&amp;"*",보유목록!$I$2:$I$3001,"*"&amp;Q808&amp;"*"))</f>
      </c>
      <c r="M808" t="str" s="23">
        <f aca="0">IF(OR(COUNTA(B808:J808)=0,R808&lt;&gt;""),"",IFERROR(LOOKUP(2,1/(ISNUMBER(SEARCH(P808,보유목록!$I$2:$I$3001))*ISNUMBER(SEARCH(Q808,보유목록!$I$2:$I$3001))*(보유목록!$H$2:$H$3001=O808)),보유목록!$B$2:$B$3001),IFERROR(LOOKUP(2,1/(ISNUMBER(SEARCH(P808,보유목록!$I$2:$I$3001))*ISNUMBER(SEARCH(Q808,보유목록!$I$2:$I$3001))),보유목록!$B$2:$B$3001),"")))</f>
      </c>
      <c r="N808" s="25"/>
      <c r="O808" t="str">
        <f>IFERROR(IF(AND(LEN(SUBSTITUTE(SUBSTITUTE(SUBSTITUTE(TRIM(C808&amp;""),CHAR(160),"")," ",""),"년",""))=4,VALUE(SUBSTITUTE(SUBSTITUTE(SUBSTITUTE(TRIM(C808&amp;""),CHAR(160),"")," ",""),"년",""))&gt;=1900,VALUE(SUBSTITUTE(SUBSTITUTE(SUBSTITUTE(TRIM(C808&amp;""),CHAR(160),"")," ",""),"년",""))&lt;=2099,TEXT(VALUE(SUBSTITUTE(SUBSTITUTE(SUBSTITUTE(TRIM(C808&amp;""),CHAR(160),"")," ",""),"년","")),"0000")=SUBSTITUTE(SUBSTITUTE(SUBSTITUTE(TRIM(C808&amp;""),CHAR(160),"")," ",""),"년","")),SUBSTITUTE(SUBSTITUTE(SUBSTITUTE(TRIM(C808&amp;""),CHAR(160),"")," ",""),"년",""),""),"")</f>
      </c>
      <c r="P808" t="str">
        <f>SUBSTITUTE(SUBSTITUTE(SUBSTITUTE(SUBSTITUTE(SUBSTITUTE(SUBSTITUTE(SUBSTITUTE(SUBSTITUTE(TRIM(D808&amp;""),CHAR(160),"")," ",""),"초등학교","초"),"중학교","중"),"고등학교","고"),"~","~~"),"*","~*"),"?","~?")</f>
      </c>
      <c r="Q808" t="str">
        <f>SUBSTITUTE(SUBSTITUTE(SUBSTITUTE(SUBSTITUTE(SUBSTITUTE(SUBSTITUTE(SUBSTITUTE(SUBSTITUTE(TRIM(E808&amp;""),CHAR(160),"")," ",""),"초등학교","초"),"중학교","중"),"고등학교","고"),"~","~~"),"*","~*"),"?","~?")</f>
      </c>
      <c r="R808" t="str">
        <f>IF(COUNTA(B808:J808)=0,"",IF(AND(O808&lt;&gt;"",P808&lt;&gt;"",Q808&lt;&gt;""),"","입력누락"))</f>
      </c>
    </row>
    <row r="809" customFormat="false" ht="15" hidden="false" customHeight="false" outlineLevel="0" collapsed="false">
      <c r="A809" t="n" s="19">
        <f aca="0">IF(COUNTA(B809:J809)=0,"",ROW()-1)</f>
      </c>
      <c r="B809" s="24"/>
      <c r="C809" s="25"/>
      <c r="D809" s="8"/>
      <c r="E809" s="8"/>
      <c r="F809" s="26"/>
      <c r="G809" s="24"/>
      <c r="H809" s="25"/>
      <c r="I809" s="25"/>
      <c r="J809" s="26"/>
      <c r="K809" t="str" s="15">
        <f aca="0">IF(COUNTA(B809:J809)=0,"",IF(R809&lt;&gt;"","확인필요(입력누락)",IF(COUNTIFS(보유목록!$I$2:$I$3001,"*"&amp;P809&amp;"*",보유목록!$I$2:$I$3001,"*"&amp;Q809&amp;"*",보유목록!$H$2:$H$3001,O809)&gt;0,"있음",IF(COUNTIFS(보유목록!$I$2:$I$3001,"*"&amp;P809&amp;"*",보유목록!$I$2:$I$3001,"*"&amp;Q809&amp;"*")&gt;0,"확인필요(연도다름)",IF(COUNTIFS(보유목록!$I$2:$I$3001,"*"&amp;P809&amp;"*",보유목록!$H$2:$H$3001,O809)&gt;0,"확인필요(같은학교·같은연도)","없음")))))</f>
      </c>
      <c r="L809" t="str" s="16">
        <f aca="0">IF(OR(COUNTA(B809:J809)=0,R809&lt;&gt;""),"",COUNTIFS(보유목록!$I$2:$I$3001,"*"&amp;P809&amp;"*",보유목록!$I$2:$I$3001,"*"&amp;Q809&amp;"*"))</f>
      </c>
      <c r="M809" t="str" s="23">
        <f aca="0">IF(OR(COUNTA(B809:J809)=0,R809&lt;&gt;""),"",IFERROR(LOOKUP(2,1/(ISNUMBER(SEARCH(P809,보유목록!$I$2:$I$3001))*ISNUMBER(SEARCH(Q809,보유목록!$I$2:$I$3001))*(보유목록!$H$2:$H$3001=O809)),보유목록!$B$2:$B$3001),IFERROR(LOOKUP(2,1/(ISNUMBER(SEARCH(P809,보유목록!$I$2:$I$3001))*ISNUMBER(SEARCH(Q809,보유목록!$I$2:$I$3001))),보유목록!$B$2:$B$3001),"")))</f>
      </c>
      <c r="N809" s="25"/>
      <c r="O809" t="str">
        <f>IFERROR(IF(AND(LEN(SUBSTITUTE(SUBSTITUTE(SUBSTITUTE(TRIM(C809&amp;""),CHAR(160),"")," ",""),"년",""))=4,VALUE(SUBSTITUTE(SUBSTITUTE(SUBSTITUTE(TRIM(C809&amp;""),CHAR(160),"")," ",""),"년",""))&gt;=1900,VALUE(SUBSTITUTE(SUBSTITUTE(SUBSTITUTE(TRIM(C809&amp;""),CHAR(160),"")," ",""),"년",""))&lt;=2099,TEXT(VALUE(SUBSTITUTE(SUBSTITUTE(SUBSTITUTE(TRIM(C809&amp;""),CHAR(160),"")," ",""),"년","")),"0000")=SUBSTITUTE(SUBSTITUTE(SUBSTITUTE(TRIM(C809&amp;""),CHAR(160),"")," ",""),"년","")),SUBSTITUTE(SUBSTITUTE(SUBSTITUTE(TRIM(C809&amp;""),CHAR(160),"")," ",""),"년",""),""),"")</f>
      </c>
      <c r="P809" t="str">
        <f>SUBSTITUTE(SUBSTITUTE(SUBSTITUTE(SUBSTITUTE(SUBSTITUTE(SUBSTITUTE(SUBSTITUTE(SUBSTITUTE(TRIM(D809&amp;""),CHAR(160),"")," ",""),"초등학교","초"),"중학교","중"),"고등학교","고"),"~","~~"),"*","~*"),"?","~?")</f>
      </c>
      <c r="Q809" t="str">
        <f>SUBSTITUTE(SUBSTITUTE(SUBSTITUTE(SUBSTITUTE(SUBSTITUTE(SUBSTITUTE(SUBSTITUTE(SUBSTITUTE(TRIM(E809&amp;""),CHAR(160),"")," ",""),"초등학교","초"),"중학교","중"),"고등학교","고"),"~","~~"),"*","~*"),"?","~?")</f>
      </c>
      <c r="R809" t="str">
        <f>IF(COUNTA(B809:J809)=0,"",IF(AND(O809&lt;&gt;"",P809&lt;&gt;"",Q809&lt;&gt;""),"","입력누락"))</f>
      </c>
    </row>
    <row r="810" customFormat="false" ht="15" hidden="false" customHeight="false" outlineLevel="0" collapsed="false">
      <c r="A810" t="n" s="19">
        <f aca="0">IF(COUNTA(B810:J810)=0,"",ROW()-1)</f>
      </c>
      <c r="B810" s="24"/>
      <c r="C810" s="25"/>
      <c r="D810" s="8"/>
      <c r="E810" s="8"/>
      <c r="F810" s="26"/>
      <c r="G810" s="24"/>
      <c r="H810" s="25"/>
      <c r="I810" s="25"/>
      <c r="J810" s="26"/>
      <c r="K810" t="str" s="15">
        <f aca="0">IF(COUNTA(B810:J810)=0,"",IF(R810&lt;&gt;"","확인필요(입력누락)",IF(COUNTIFS(보유목록!$I$2:$I$3001,"*"&amp;P810&amp;"*",보유목록!$I$2:$I$3001,"*"&amp;Q810&amp;"*",보유목록!$H$2:$H$3001,O810)&gt;0,"있음",IF(COUNTIFS(보유목록!$I$2:$I$3001,"*"&amp;P810&amp;"*",보유목록!$I$2:$I$3001,"*"&amp;Q810&amp;"*")&gt;0,"확인필요(연도다름)",IF(COUNTIFS(보유목록!$I$2:$I$3001,"*"&amp;P810&amp;"*",보유목록!$H$2:$H$3001,O810)&gt;0,"확인필요(같은학교·같은연도)","없음")))))</f>
      </c>
      <c r="L810" t="str" s="16">
        <f aca="0">IF(OR(COUNTA(B810:J810)=0,R810&lt;&gt;""),"",COUNTIFS(보유목록!$I$2:$I$3001,"*"&amp;P810&amp;"*",보유목록!$I$2:$I$3001,"*"&amp;Q810&amp;"*"))</f>
      </c>
      <c r="M810" t="str" s="23">
        <f aca="0">IF(OR(COUNTA(B810:J810)=0,R810&lt;&gt;""),"",IFERROR(LOOKUP(2,1/(ISNUMBER(SEARCH(P810,보유목록!$I$2:$I$3001))*ISNUMBER(SEARCH(Q810,보유목록!$I$2:$I$3001))*(보유목록!$H$2:$H$3001=O810)),보유목록!$B$2:$B$3001),IFERROR(LOOKUP(2,1/(ISNUMBER(SEARCH(P810,보유목록!$I$2:$I$3001))*ISNUMBER(SEARCH(Q810,보유목록!$I$2:$I$3001))),보유목록!$B$2:$B$3001),"")))</f>
      </c>
      <c r="N810" s="25"/>
      <c r="O810" t="str">
        <f>IFERROR(IF(AND(LEN(SUBSTITUTE(SUBSTITUTE(SUBSTITUTE(TRIM(C810&amp;""),CHAR(160),"")," ",""),"년",""))=4,VALUE(SUBSTITUTE(SUBSTITUTE(SUBSTITUTE(TRIM(C810&amp;""),CHAR(160),"")," ",""),"년",""))&gt;=1900,VALUE(SUBSTITUTE(SUBSTITUTE(SUBSTITUTE(TRIM(C810&amp;""),CHAR(160),"")," ",""),"년",""))&lt;=2099,TEXT(VALUE(SUBSTITUTE(SUBSTITUTE(SUBSTITUTE(TRIM(C810&amp;""),CHAR(160),"")," ",""),"년","")),"0000")=SUBSTITUTE(SUBSTITUTE(SUBSTITUTE(TRIM(C810&amp;""),CHAR(160),"")," ",""),"년","")),SUBSTITUTE(SUBSTITUTE(SUBSTITUTE(TRIM(C810&amp;""),CHAR(160),"")," ",""),"년",""),""),"")</f>
      </c>
      <c r="P810" t="str">
        <f>SUBSTITUTE(SUBSTITUTE(SUBSTITUTE(SUBSTITUTE(SUBSTITUTE(SUBSTITUTE(SUBSTITUTE(SUBSTITUTE(TRIM(D810&amp;""),CHAR(160),"")," ",""),"초등학교","초"),"중학교","중"),"고등학교","고"),"~","~~"),"*","~*"),"?","~?")</f>
      </c>
      <c r="Q810" t="str">
        <f>SUBSTITUTE(SUBSTITUTE(SUBSTITUTE(SUBSTITUTE(SUBSTITUTE(SUBSTITUTE(SUBSTITUTE(SUBSTITUTE(TRIM(E810&amp;""),CHAR(160),"")," ",""),"초등학교","초"),"중학교","중"),"고등학교","고"),"~","~~"),"*","~*"),"?","~?")</f>
      </c>
      <c r="R810" t="str">
        <f>IF(COUNTA(B810:J810)=0,"",IF(AND(O810&lt;&gt;"",P810&lt;&gt;"",Q810&lt;&gt;""),"","입력누락"))</f>
      </c>
    </row>
    <row r="811" customFormat="false" ht="15" hidden="false" customHeight="false" outlineLevel="0" collapsed="false">
      <c r="A811" t="n" s="19">
        <f aca="0">IF(COUNTA(B811:J811)=0,"",ROW()-1)</f>
      </c>
      <c r="B811" s="24"/>
      <c r="C811" s="25"/>
      <c r="D811" s="8"/>
      <c r="E811" s="8"/>
      <c r="F811" s="26"/>
      <c r="G811" s="24"/>
      <c r="H811" s="25"/>
      <c r="I811" s="25"/>
      <c r="J811" s="26"/>
      <c r="K811" t="str" s="15">
        <f aca="0">IF(COUNTA(B811:J811)=0,"",IF(R811&lt;&gt;"","확인필요(입력누락)",IF(COUNTIFS(보유목록!$I$2:$I$3001,"*"&amp;P811&amp;"*",보유목록!$I$2:$I$3001,"*"&amp;Q811&amp;"*",보유목록!$H$2:$H$3001,O811)&gt;0,"있음",IF(COUNTIFS(보유목록!$I$2:$I$3001,"*"&amp;P811&amp;"*",보유목록!$I$2:$I$3001,"*"&amp;Q811&amp;"*")&gt;0,"확인필요(연도다름)",IF(COUNTIFS(보유목록!$I$2:$I$3001,"*"&amp;P811&amp;"*",보유목록!$H$2:$H$3001,O811)&gt;0,"확인필요(같은학교·같은연도)","없음")))))</f>
      </c>
      <c r="L811" t="str" s="16">
        <f aca="0">IF(OR(COUNTA(B811:J811)=0,R811&lt;&gt;""),"",COUNTIFS(보유목록!$I$2:$I$3001,"*"&amp;P811&amp;"*",보유목록!$I$2:$I$3001,"*"&amp;Q811&amp;"*"))</f>
      </c>
      <c r="M811" t="str" s="23">
        <f aca="0">IF(OR(COUNTA(B811:J811)=0,R811&lt;&gt;""),"",IFERROR(LOOKUP(2,1/(ISNUMBER(SEARCH(P811,보유목록!$I$2:$I$3001))*ISNUMBER(SEARCH(Q811,보유목록!$I$2:$I$3001))*(보유목록!$H$2:$H$3001=O811)),보유목록!$B$2:$B$3001),IFERROR(LOOKUP(2,1/(ISNUMBER(SEARCH(P811,보유목록!$I$2:$I$3001))*ISNUMBER(SEARCH(Q811,보유목록!$I$2:$I$3001))),보유목록!$B$2:$B$3001),"")))</f>
      </c>
      <c r="N811" s="25"/>
      <c r="O811" t="str">
        <f>IFERROR(IF(AND(LEN(SUBSTITUTE(SUBSTITUTE(SUBSTITUTE(TRIM(C811&amp;""),CHAR(160),"")," ",""),"년",""))=4,VALUE(SUBSTITUTE(SUBSTITUTE(SUBSTITUTE(TRIM(C811&amp;""),CHAR(160),"")," ",""),"년",""))&gt;=1900,VALUE(SUBSTITUTE(SUBSTITUTE(SUBSTITUTE(TRIM(C811&amp;""),CHAR(160),"")," ",""),"년",""))&lt;=2099,TEXT(VALUE(SUBSTITUTE(SUBSTITUTE(SUBSTITUTE(TRIM(C811&amp;""),CHAR(160),"")," ",""),"년","")),"0000")=SUBSTITUTE(SUBSTITUTE(SUBSTITUTE(TRIM(C811&amp;""),CHAR(160),"")," ",""),"년","")),SUBSTITUTE(SUBSTITUTE(SUBSTITUTE(TRIM(C811&amp;""),CHAR(160),"")," ",""),"년",""),""),"")</f>
      </c>
      <c r="P811" t="str">
        <f>SUBSTITUTE(SUBSTITUTE(SUBSTITUTE(SUBSTITUTE(SUBSTITUTE(SUBSTITUTE(SUBSTITUTE(SUBSTITUTE(TRIM(D811&amp;""),CHAR(160),"")," ",""),"초등학교","초"),"중학교","중"),"고등학교","고"),"~","~~"),"*","~*"),"?","~?")</f>
      </c>
      <c r="Q811" t="str">
        <f>SUBSTITUTE(SUBSTITUTE(SUBSTITUTE(SUBSTITUTE(SUBSTITUTE(SUBSTITUTE(SUBSTITUTE(SUBSTITUTE(TRIM(E811&amp;""),CHAR(160),"")," ",""),"초등학교","초"),"중학교","중"),"고등학교","고"),"~","~~"),"*","~*"),"?","~?")</f>
      </c>
      <c r="R811" t="str">
        <f>IF(COUNTA(B811:J811)=0,"",IF(AND(O811&lt;&gt;"",P811&lt;&gt;"",Q811&lt;&gt;""),"","입력누락"))</f>
      </c>
    </row>
    <row r="812" customFormat="false" ht="15" hidden="false" customHeight="false" outlineLevel="0" collapsed="false">
      <c r="A812" t="n" s="19">
        <f aca="0">IF(COUNTA(B812:J812)=0,"",ROW()-1)</f>
      </c>
      <c r="B812" s="24"/>
      <c r="C812" s="25"/>
      <c r="D812" s="8"/>
      <c r="E812" s="8"/>
      <c r="F812" s="26"/>
      <c r="G812" s="24"/>
      <c r="H812" s="25"/>
      <c r="I812" s="25"/>
      <c r="J812" s="26"/>
      <c r="K812" t="str" s="15">
        <f aca="0">IF(COUNTA(B812:J812)=0,"",IF(R812&lt;&gt;"","확인필요(입력누락)",IF(COUNTIFS(보유목록!$I$2:$I$3001,"*"&amp;P812&amp;"*",보유목록!$I$2:$I$3001,"*"&amp;Q812&amp;"*",보유목록!$H$2:$H$3001,O812)&gt;0,"있음",IF(COUNTIFS(보유목록!$I$2:$I$3001,"*"&amp;P812&amp;"*",보유목록!$I$2:$I$3001,"*"&amp;Q812&amp;"*")&gt;0,"확인필요(연도다름)",IF(COUNTIFS(보유목록!$I$2:$I$3001,"*"&amp;P812&amp;"*",보유목록!$H$2:$H$3001,O812)&gt;0,"확인필요(같은학교·같은연도)","없음")))))</f>
      </c>
      <c r="L812" t="str" s="16">
        <f aca="0">IF(OR(COUNTA(B812:J812)=0,R812&lt;&gt;""),"",COUNTIFS(보유목록!$I$2:$I$3001,"*"&amp;P812&amp;"*",보유목록!$I$2:$I$3001,"*"&amp;Q812&amp;"*"))</f>
      </c>
      <c r="M812" t="str" s="23">
        <f aca="0">IF(OR(COUNTA(B812:J812)=0,R812&lt;&gt;""),"",IFERROR(LOOKUP(2,1/(ISNUMBER(SEARCH(P812,보유목록!$I$2:$I$3001))*ISNUMBER(SEARCH(Q812,보유목록!$I$2:$I$3001))*(보유목록!$H$2:$H$3001=O812)),보유목록!$B$2:$B$3001),IFERROR(LOOKUP(2,1/(ISNUMBER(SEARCH(P812,보유목록!$I$2:$I$3001))*ISNUMBER(SEARCH(Q812,보유목록!$I$2:$I$3001))),보유목록!$B$2:$B$3001),"")))</f>
      </c>
      <c r="N812" s="25"/>
      <c r="O812" t="str">
        <f>IFERROR(IF(AND(LEN(SUBSTITUTE(SUBSTITUTE(SUBSTITUTE(TRIM(C812&amp;""),CHAR(160),"")," ",""),"년",""))=4,VALUE(SUBSTITUTE(SUBSTITUTE(SUBSTITUTE(TRIM(C812&amp;""),CHAR(160),"")," ",""),"년",""))&gt;=1900,VALUE(SUBSTITUTE(SUBSTITUTE(SUBSTITUTE(TRIM(C812&amp;""),CHAR(160),"")," ",""),"년",""))&lt;=2099,TEXT(VALUE(SUBSTITUTE(SUBSTITUTE(SUBSTITUTE(TRIM(C812&amp;""),CHAR(160),"")," ",""),"년","")),"0000")=SUBSTITUTE(SUBSTITUTE(SUBSTITUTE(TRIM(C812&amp;""),CHAR(160),"")," ",""),"년","")),SUBSTITUTE(SUBSTITUTE(SUBSTITUTE(TRIM(C812&amp;""),CHAR(160),"")," ",""),"년",""),""),"")</f>
      </c>
      <c r="P812" t="str">
        <f>SUBSTITUTE(SUBSTITUTE(SUBSTITUTE(SUBSTITUTE(SUBSTITUTE(SUBSTITUTE(SUBSTITUTE(SUBSTITUTE(TRIM(D812&amp;""),CHAR(160),"")," ",""),"초등학교","초"),"중학교","중"),"고등학교","고"),"~","~~"),"*","~*"),"?","~?")</f>
      </c>
      <c r="Q812" t="str">
        <f>SUBSTITUTE(SUBSTITUTE(SUBSTITUTE(SUBSTITUTE(SUBSTITUTE(SUBSTITUTE(SUBSTITUTE(SUBSTITUTE(TRIM(E812&amp;""),CHAR(160),"")," ",""),"초등학교","초"),"중학교","중"),"고등학교","고"),"~","~~"),"*","~*"),"?","~?")</f>
      </c>
      <c r="R812" t="str">
        <f>IF(COUNTA(B812:J812)=0,"",IF(AND(O812&lt;&gt;"",P812&lt;&gt;"",Q812&lt;&gt;""),"","입력누락"))</f>
      </c>
    </row>
    <row r="813" customFormat="false" ht="15" hidden="false" customHeight="false" outlineLevel="0" collapsed="false">
      <c r="A813" t="n" s="19">
        <f aca="0">IF(COUNTA(B813:J813)=0,"",ROW()-1)</f>
      </c>
      <c r="B813" s="24"/>
      <c r="C813" s="25"/>
      <c r="D813" s="8"/>
      <c r="E813" s="8"/>
      <c r="F813" s="26"/>
      <c r="G813" s="24"/>
      <c r="H813" s="25"/>
      <c r="I813" s="25"/>
      <c r="J813" s="26"/>
      <c r="K813" t="str" s="15">
        <f aca="0">IF(COUNTA(B813:J813)=0,"",IF(R813&lt;&gt;"","확인필요(입력누락)",IF(COUNTIFS(보유목록!$I$2:$I$3001,"*"&amp;P813&amp;"*",보유목록!$I$2:$I$3001,"*"&amp;Q813&amp;"*",보유목록!$H$2:$H$3001,O813)&gt;0,"있음",IF(COUNTIFS(보유목록!$I$2:$I$3001,"*"&amp;P813&amp;"*",보유목록!$I$2:$I$3001,"*"&amp;Q813&amp;"*")&gt;0,"확인필요(연도다름)",IF(COUNTIFS(보유목록!$I$2:$I$3001,"*"&amp;P813&amp;"*",보유목록!$H$2:$H$3001,O813)&gt;0,"확인필요(같은학교·같은연도)","없음")))))</f>
      </c>
      <c r="L813" t="str" s="16">
        <f aca="0">IF(OR(COUNTA(B813:J813)=0,R813&lt;&gt;""),"",COUNTIFS(보유목록!$I$2:$I$3001,"*"&amp;P813&amp;"*",보유목록!$I$2:$I$3001,"*"&amp;Q813&amp;"*"))</f>
      </c>
      <c r="M813" t="str" s="23">
        <f aca="0">IF(OR(COUNTA(B813:J813)=0,R813&lt;&gt;""),"",IFERROR(LOOKUP(2,1/(ISNUMBER(SEARCH(P813,보유목록!$I$2:$I$3001))*ISNUMBER(SEARCH(Q813,보유목록!$I$2:$I$3001))*(보유목록!$H$2:$H$3001=O813)),보유목록!$B$2:$B$3001),IFERROR(LOOKUP(2,1/(ISNUMBER(SEARCH(P813,보유목록!$I$2:$I$3001))*ISNUMBER(SEARCH(Q813,보유목록!$I$2:$I$3001))),보유목록!$B$2:$B$3001),"")))</f>
      </c>
      <c r="N813" s="25"/>
      <c r="O813" t="str">
        <f>IFERROR(IF(AND(LEN(SUBSTITUTE(SUBSTITUTE(SUBSTITUTE(TRIM(C813&amp;""),CHAR(160),"")," ",""),"년",""))=4,VALUE(SUBSTITUTE(SUBSTITUTE(SUBSTITUTE(TRIM(C813&amp;""),CHAR(160),"")," ",""),"년",""))&gt;=1900,VALUE(SUBSTITUTE(SUBSTITUTE(SUBSTITUTE(TRIM(C813&amp;""),CHAR(160),"")," ",""),"년",""))&lt;=2099,TEXT(VALUE(SUBSTITUTE(SUBSTITUTE(SUBSTITUTE(TRIM(C813&amp;""),CHAR(160),"")," ",""),"년","")),"0000")=SUBSTITUTE(SUBSTITUTE(SUBSTITUTE(TRIM(C813&amp;""),CHAR(160),"")," ",""),"년","")),SUBSTITUTE(SUBSTITUTE(SUBSTITUTE(TRIM(C813&amp;""),CHAR(160),"")," ",""),"년",""),""),"")</f>
      </c>
      <c r="P813" t="str">
        <f>SUBSTITUTE(SUBSTITUTE(SUBSTITUTE(SUBSTITUTE(SUBSTITUTE(SUBSTITUTE(SUBSTITUTE(SUBSTITUTE(TRIM(D813&amp;""),CHAR(160),"")," ",""),"초등학교","초"),"중학교","중"),"고등학교","고"),"~","~~"),"*","~*"),"?","~?")</f>
      </c>
      <c r="Q813" t="str">
        <f>SUBSTITUTE(SUBSTITUTE(SUBSTITUTE(SUBSTITUTE(SUBSTITUTE(SUBSTITUTE(SUBSTITUTE(SUBSTITUTE(TRIM(E813&amp;""),CHAR(160),"")," ",""),"초등학교","초"),"중학교","중"),"고등학교","고"),"~","~~"),"*","~*"),"?","~?")</f>
      </c>
      <c r="R813" t="str">
        <f>IF(COUNTA(B813:J813)=0,"",IF(AND(O813&lt;&gt;"",P813&lt;&gt;"",Q813&lt;&gt;""),"","입력누락"))</f>
      </c>
    </row>
    <row r="814" customFormat="false" ht="15" hidden="false" customHeight="false" outlineLevel="0" collapsed="false">
      <c r="A814" t="n" s="19">
        <f aca="0">IF(COUNTA(B814:J814)=0,"",ROW()-1)</f>
      </c>
      <c r="B814" s="24"/>
      <c r="C814" s="25"/>
      <c r="D814" s="8"/>
      <c r="E814" s="8"/>
      <c r="F814" s="26"/>
      <c r="G814" s="24"/>
      <c r="H814" s="25"/>
      <c r="I814" s="25"/>
      <c r="J814" s="26"/>
      <c r="K814" t="str" s="15">
        <f aca="0">IF(COUNTA(B814:J814)=0,"",IF(R814&lt;&gt;"","확인필요(입력누락)",IF(COUNTIFS(보유목록!$I$2:$I$3001,"*"&amp;P814&amp;"*",보유목록!$I$2:$I$3001,"*"&amp;Q814&amp;"*",보유목록!$H$2:$H$3001,O814)&gt;0,"있음",IF(COUNTIFS(보유목록!$I$2:$I$3001,"*"&amp;P814&amp;"*",보유목록!$I$2:$I$3001,"*"&amp;Q814&amp;"*")&gt;0,"확인필요(연도다름)",IF(COUNTIFS(보유목록!$I$2:$I$3001,"*"&amp;P814&amp;"*",보유목록!$H$2:$H$3001,O814)&gt;0,"확인필요(같은학교·같은연도)","없음")))))</f>
      </c>
      <c r="L814" t="str" s="16">
        <f aca="0">IF(OR(COUNTA(B814:J814)=0,R814&lt;&gt;""),"",COUNTIFS(보유목록!$I$2:$I$3001,"*"&amp;P814&amp;"*",보유목록!$I$2:$I$3001,"*"&amp;Q814&amp;"*"))</f>
      </c>
      <c r="M814" t="str" s="23">
        <f aca="0">IF(OR(COUNTA(B814:J814)=0,R814&lt;&gt;""),"",IFERROR(LOOKUP(2,1/(ISNUMBER(SEARCH(P814,보유목록!$I$2:$I$3001))*ISNUMBER(SEARCH(Q814,보유목록!$I$2:$I$3001))*(보유목록!$H$2:$H$3001=O814)),보유목록!$B$2:$B$3001),IFERROR(LOOKUP(2,1/(ISNUMBER(SEARCH(P814,보유목록!$I$2:$I$3001))*ISNUMBER(SEARCH(Q814,보유목록!$I$2:$I$3001))),보유목록!$B$2:$B$3001),"")))</f>
      </c>
      <c r="N814" s="25"/>
      <c r="O814" t="str">
        <f>IFERROR(IF(AND(LEN(SUBSTITUTE(SUBSTITUTE(SUBSTITUTE(TRIM(C814&amp;""),CHAR(160),"")," ",""),"년",""))=4,VALUE(SUBSTITUTE(SUBSTITUTE(SUBSTITUTE(TRIM(C814&amp;""),CHAR(160),"")," ",""),"년",""))&gt;=1900,VALUE(SUBSTITUTE(SUBSTITUTE(SUBSTITUTE(TRIM(C814&amp;""),CHAR(160),"")," ",""),"년",""))&lt;=2099,TEXT(VALUE(SUBSTITUTE(SUBSTITUTE(SUBSTITUTE(TRIM(C814&amp;""),CHAR(160),"")," ",""),"년","")),"0000")=SUBSTITUTE(SUBSTITUTE(SUBSTITUTE(TRIM(C814&amp;""),CHAR(160),"")," ",""),"년","")),SUBSTITUTE(SUBSTITUTE(SUBSTITUTE(TRIM(C814&amp;""),CHAR(160),"")," ",""),"년",""),""),"")</f>
      </c>
      <c r="P814" t="str">
        <f>SUBSTITUTE(SUBSTITUTE(SUBSTITUTE(SUBSTITUTE(SUBSTITUTE(SUBSTITUTE(SUBSTITUTE(SUBSTITUTE(TRIM(D814&amp;""),CHAR(160),"")," ",""),"초등학교","초"),"중학교","중"),"고등학교","고"),"~","~~"),"*","~*"),"?","~?")</f>
      </c>
      <c r="Q814" t="str">
        <f>SUBSTITUTE(SUBSTITUTE(SUBSTITUTE(SUBSTITUTE(SUBSTITUTE(SUBSTITUTE(SUBSTITUTE(SUBSTITUTE(TRIM(E814&amp;""),CHAR(160),"")," ",""),"초등학교","초"),"중학교","중"),"고등학교","고"),"~","~~"),"*","~*"),"?","~?")</f>
      </c>
      <c r="R814" t="str">
        <f>IF(COUNTA(B814:J814)=0,"",IF(AND(O814&lt;&gt;"",P814&lt;&gt;"",Q814&lt;&gt;""),"","입력누락"))</f>
      </c>
    </row>
    <row r="815" customFormat="false" ht="15" hidden="false" customHeight="false" outlineLevel="0" collapsed="false">
      <c r="A815" t="n" s="19">
        <f aca="0">IF(COUNTA(B815:J815)=0,"",ROW()-1)</f>
      </c>
      <c r="B815" s="24"/>
      <c r="C815" s="25"/>
      <c r="D815" s="8"/>
      <c r="E815" s="8"/>
      <c r="F815" s="26"/>
      <c r="G815" s="24"/>
      <c r="H815" s="25"/>
      <c r="I815" s="25"/>
      <c r="J815" s="26"/>
      <c r="K815" t="str" s="15">
        <f aca="0">IF(COUNTA(B815:J815)=0,"",IF(R815&lt;&gt;"","확인필요(입력누락)",IF(COUNTIFS(보유목록!$I$2:$I$3001,"*"&amp;P815&amp;"*",보유목록!$I$2:$I$3001,"*"&amp;Q815&amp;"*",보유목록!$H$2:$H$3001,O815)&gt;0,"있음",IF(COUNTIFS(보유목록!$I$2:$I$3001,"*"&amp;P815&amp;"*",보유목록!$I$2:$I$3001,"*"&amp;Q815&amp;"*")&gt;0,"확인필요(연도다름)",IF(COUNTIFS(보유목록!$I$2:$I$3001,"*"&amp;P815&amp;"*",보유목록!$H$2:$H$3001,O815)&gt;0,"확인필요(같은학교·같은연도)","없음")))))</f>
      </c>
      <c r="L815" t="str" s="16">
        <f aca="0">IF(OR(COUNTA(B815:J815)=0,R815&lt;&gt;""),"",COUNTIFS(보유목록!$I$2:$I$3001,"*"&amp;P815&amp;"*",보유목록!$I$2:$I$3001,"*"&amp;Q815&amp;"*"))</f>
      </c>
      <c r="M815" t="str" s="23">
        <f aca="0">IF(OR(COUNTA(B815:J815)=0,R815&lt;&gt;""),"",IFERROR(LOOKUP(2,1/(ISNUMBER(SEARCH(P815,보유목록!$I$2:$I$3001))*ISNUMBER(SEARCH(Q815,보유목록!$I$2:$I$3001))*(보유목록!$H$2:$H$3001=O815)),보유목록!$B$2:$B$3001),IFERROR(LOOKUP(2,1/(ISNUMBER(SEARCH(P815,보유목록!$I$2:$I$3001))*ISNUMBER(SEARCH(Q815,보유목록!$I$2:$I$3001))),보유목록!$B$2:$B$3001),"")))</f>
      </c>
      <c r="N815" s="25"/>
      <c r="O815" t="str">
        <f>IFERROR(IF(AND(LEN(SUBSTITUTE(SUBSTITUTE(SUBSTITUTE(TRIM(C815&amp;""),CHAR(160),"")," ",""),"년",""))=4,VALUE(SUBSTITUTE(SUBSTITUTE(SUBSTITUTE(TRIM(C815&amp;""),CHAR(160),"")," ",""),"년",""))&gt;=1900,VALUE(SUBSTITUTE(SUBSTITUTE(SUBSTITUTE(TRIM(C815&amp;""),CHAR(160),"")," ",""),"년",""))&lt;=2099,TEXT(VALUE(SUBSTITUTE(SUBSTITUTE(SUBSTITUTE(TRIM(C815&amp;""),CHAR(160),"")," ",""),"년","")),"0000")=SUBSTITUTE(SUBSTITUTE(SUBSTITUTE(TRIM(C815&amp;""),CHAR(160),"")," ",""),"년","")),SUBSTITUTE(SUBSTITUTE(SUBSTITUTE(TRIM(C815&amp;""),CHAR(160),"")," ",""),"년",""),""),"")</f>
      </c>
      <c r="P815" t="str">
        <f>SUBSTITUTE(SUBSTITUTE(SUBSTITUTE(SUBSTITUTE(SUBSTITUTE(SUBSTITUTE(SUBSTITUTE(SUBSTITUTE(TRIM(D815&amp;""),CHAR(160),"")," ",""),"초등학교","초"),"중학교","중"),"고등학교","고"),"~","~~"),"*","~*"),"?","~?")</f>
      </c>
      <c r="Q815" t="str">
        <f>SUBSTITUTE(SUBSTITUTE(SUBSTITUTE(SUBSTITUTE(SUBSTITUTE(SUBSTITUTE(SUBSTITUTE(SUBSTITUTE(TRIM(E815&amp;""),CHAR(160),"")," ",""),"초등학교","초"),"중학교","중"),"고등학교","고"),"~","~~"),"*","~*"),"?","~?")</f>
      </c>
      <c r="R815" t="str">
        <f>IF(COUNTA(B815:J815)=0,"",IF(AND(O815&lt;&gt;"",P815&lt;&gt;"",Q815&lt;&gt;""),"","입력누락"))</f>
      </c>
    </row>
    <row r="816" customFormat="false" ht="15" hidden="false" customHeight="false" outlineLevel="0" collapsed="false">
      <c r="A816" t="n" s="19">
        <f aca="0">IF(COUNTA(B816:J816)=0,"",ROW()-1)</f>
      </c>
      <c r="B816" s="24"/>
      <c r="C816" s="25"/>
      <c r="D816" s="8"/>
      <c r="E816" s="8"/>
      <c r="F816" s="26"/>
      <c r="G816" s="24"/>
      <c r="H816" s="25"/>
      <c r="I816" s="25"/>
      <c r="J816" s="26"/>
      <c r="K816" t="str" s="15">
        <f aca="0">IF(COUNTA(B816:J816)=0,"",IF(R816&lt;&gt;"","확인필요(입력누락)",IF(COUNTIFS(보유목록!$I$2:$I$3001,"*"&amp;P816&amp;"*",보유목록!$I$2:$I$3001,"*"&amp;Q816&amp;"*",보유목록!$H$2:$H$3001,O816)&gt;0,"있음",IF(COUNTIFS(보유목록!$I$2:$I$3001,"*"&amp;P816&amp;"*",보유목록!$I$2:$I$3001,"*"&amp;Q816&amp;"*")&gt;0,"확인필요(연도다름)",IF(COUNTIFS(보유목록!$I$2:$I$3001,"*"&amp;P816&amp;"*",보유목록!$H$2:$H$3001,O816)&gt;0,"확인필요(같은학교·같은연도)","없음")))))</f>
      </c>
      <c r="L816" t="str" s="16">
        <f aca="0">IF(OR(COUNTA(B816:J816)=0,R816&lt;&gt;""),"",COUNTIFS(보유목록!$I$2:$I$3001,"*"&amp;P816&amp;"*",보유목록!$I$2:$I$3001,"*"&amp;Q816&amp;"*"))</f>
      </c>
      <c r="M816" t="str" s="23">
        <f aca="0">IF(OR(COUNTA(B816:J816)=0,R816&lt;&gt;""),"",IFERROR(LOOKUP(2,1/(ISNUMBER(SEARCH(P816,보유목록!$I$2:$I$3001))*ISNUMBER(SEARCH(Q816,보유목록!$I$2:$I$3001))*(보유목록!$H$2:$H$3001=O816)),보유목록!$B$2:$B$3001),IFERROR(LOOKUP(2,1/(ISNUMBER(SEARCH(P816,보유목록!$I$2:$I$3001))*ISNUMBER(SEARCH(Q816,보유목록!$I$2:$I$3001))),보유목록!$B$2:$B$3001),"")))</f>
      </c>
      <c r="N816" s="25"/>
      <c r="O816" t="str">
        <f>IFERROR(IF(AND(LEN(SUBSTITUTE(SUBSTITUTE(SUBSTITUTE(TRIM(C816&amp;""),CHAR(160),"")," ",""),"년",""))=4,VALUE(SUBSTITUTE(SUBSTITUTE(SUBSTITUTE(TRIM(C816&amp;""),CHAR(160),"")," ",""),"년",""))&gt;=1900,VALUE(SUBSTITUTE(SUBSTITUTE(SUBSTITUTE(TRIM(C816&amp;""),CHAR(160),"")," ",""),"년",""))&lt;=2099,TEXT(VALUE(SUBSTITUTE(SUBSTITUTE(SUBSTITUTE(TRIM(C816&amp;""),CHAR(160),"")," ",""),"년","")),"0000")=SUBSTITUTE(SUBSTITUTE(SUBSTITUTE(TRIM(C816&amp;""),CHAR(160),"")," ",""),"년","")),SUBSTITUTE(SUBSTITUTE(SUBSTITUTE(TRIM(C816&amp;""),CHAR(160),"")," ",""),"년",""),""),"")</f>
      </c>
      <c r="P816" t="str">
        <f>SUBSTITUTE(SUBSTITUTE(SUBSTITUTE(SUBSTITUTE(SUBSTITUTE(SUBSTITUTE(SUBSTITUTE(SUBSTITUTE(TRIM(D816&amp;""),CHAR(160),"")," ",""),"초등학교","초"),"중학교","중"),"고등학교","고"),"~","~~"),"*","~*"),"?","~?")</f>
      </c>
      <c r="Q816" t="str">
        <f>SUBSTITUTE(SUBSTITUTE(SUBSTITUTE(SUBSTITUTE(SUBSTITUTE(SUBSTITUTE(SUBSTITUTE(SUBSTITUTE(TRIM(E816&amp;""),CHAR(160),"")," ",""),"초등학교","초"),"중학교","중"),"고등학교","고"),"~","~~"),"*","~*"),"?","~?")</f>
      </c>
      <c r="R816" t="str">
        <f>IF(COUNTA(B816:J816)=0,"",IF(AND(O816&lt;&gt;"",P816&lt;&gt;"",Q816&lt;&gt;""),"","입력누락"))</f>
      </c>
    </row>
    <row r="817" customFormat="false" ht="15" hidden="false" customHeight="false" outlineLevel="0" collapsed="false">
      <c r="A817" t="n" s="19">
        <f aca="0">IF(COUNTA(B817:J817)=0,"",ROW()-1)</f>
      </c>
      <c r="B817" s="24"/>
      <c r="C817" s="25"/>
      <c r="D817" s="8"/>
      <c r="E817" s="8"/>
      <c r="F817" s="26"/>
      <c r="G817" s="24"/>
      <c r="H817" s="25"/>
      <c r="I817" s="25"/>
      <c r="J817" s="26"/>
      <c r="K817" t="str" s="15">
        <f aca="0">IF(COUNTA(B817:J817)=0,"",IF(R817&lt;&gt;"","확인필요(입력누락)",IF(COUNTIFS(보유목록!$I$2:$I$3001,"*"&amp;P817&amp;"*",보유목록!$I$2:$I$3001,"*"&amp;Q817&amp;"*",보유목록!$H$2:$H$3001,O817)&gt;0,"있음",IF(COUNTIFS(보유목록!$I$2:$I$3001,"*"&amp;P817&amp;"*",보유목록!$I$2:$I$3001,"*"&amp;Q817&amp;"*")&gt;0,"확인필요(연도다름)",IF(COUNTIFS(보유목록!$I$2:$I$3001,"*"&amp;P817&amp;"*",보유목록!$H$2:$H$3001,O817)&gt;0,"확인필요(같은학교·같은연도)","없음")))))</f>
      </c>
      <c r="L817" t="str" s="16">
        <f aca="0">IF(OR(COUNTA(B817:J817)=0,R817&lt;&gt;""),"",COUNTIFS(보유목록!$I$2:$I$3001,"*"&amp;P817&amp;"*",보유목록!$I$2:$I$3001,"*"&amp;Q817&amp;"*"))</f>
      </c>
      <c r="M817" t="str" s="23">
        <f aca="0">IF(OR(COUNTA(B817:J817)=0,R817&lt;&gt;""),"",IFERROR(LOOKUP(2,1/(ISNUMBER(SEARCH(P817,보유목록!$I$2:$I$3001))*ISNUMBER(SEARCH(Q817,보유목록!$I$2:$I$3001))*(보유목록!$H$2:$H$3001=O817)),보유목록!$B$2:$B$3001),IFERROR(LOOKUP(2,1/(ISNUMBER(SEARCH(P817,보유목록!$I$2:$I$3001))*ISNUMBER(SEARCH(Q817,보유목록!$I$2:$I$3001))),보유목록!$B$2:$B$3001),"")))</f>
      </c>
      <c r="N817" s="25"/>
      <c r="O817" t="str">
        <f>IFERROR(IF(AND(LEN(SUBSTITUTE(SUBSTITUTE(SUBSTITUTE(TRIM(C817&amp;""),CHAR(160),"")," ",""),"년",""))=4,VALUE(SUBSTITUTE(SUBSTITUTE(SUBSTITUTE(TRIM(C817&amp;""),CHAR(160),"")," ",""),"년",""))&gt;=1900,VALUE(SUBSTITUTE(SUBSTITUTE(SUBSTITUTE(TRIM(C817&amp;""),CHAR(160),"")," ",""),"년",""))&lt;=2099,TEXT(VALUE(SUBSTITUTE(SUBSTITUTE(SUBSTITUTE(TRIM(C817&amp;""),CHAR(160),"")," ",""),"년","")),"0000")=SUBSTITUTE(SUBSTITUTE(SUBSTITUTE(TRIM(C817&amp;""),CHAR(160),"")," ",""),"년","")),SUBSTITUTE(SUBSTITUTE(SUBSTITUTE(TRIM(C817&amp;""),CHAR(160),"")," ",""),"년",""),""),"")</f>
      </c>
      <c r="P817" t="str">
        <f>SUBSTITUTE(SUBSTITUTE(SUBSTITUTE(SUBSTITUTE(SUBSTITUTE(SUBSTITUTE(SUBSTITUTE(SUBSTITUTE(TRIM(D817&amp;""),CHAR(160),"")," ",""),"초등학교","초"),"중학교","중"),"고등학교","고"),"~","~~"),"*","~*"),"?","~?")</f>
      </c>
      <c r="Q817" t="str">
        <f>SUBSTITUTE(SUBSTITUTE(SUBSTITUTE(SUBSTITUTE(SUBSTITUTE(SUBSTITUTE(SUBSTITUTE(SUBSTITUTE(TRIM(E817&amp;""),CHAR(160),"")," ",""),"초등학교","초"),"중학교","중"),"고등학교","고"),"~","~~"),"*","~*"),"?","~?")</f>
      </c>
      <c r="R817" t="str">
        <f>IF(COUNTA(B817:J817)=0,"",IF(AND(O817&lt;&gt;"",P817&lt;&gt;"",Q817&lt;&gt;""),"","입력누락"))</f>
      </c>
    </row>
    <row r="818" customFormat="false" ht="15" hidden="false" customHeight="false" outlineLevel="0" collapsed="false">
      <c r="A818" t="n" s="19">
        <f aca="0">IF(COUNTA(B818:J818)=0,"",ROW()-1)</f>
      </c>
      <c r="B818" s="24"/>
      <c r="C818" s="25"/>
      <c r="D818" s="8"/>
      <c r="E818" s="8"/>
      <c r="F818" s="26"/>
      <c r="G818" s="24"/>
      <c r="H818" s="25"/>
      <c r="I818" s="25"/>
      <c r="J818" s="26"/>
      <c r="K818" t="str" s="15">
        <f aca="0">IF(COUNTA(B818:J818)=0,"",IF(R818&lt;&gt;"","확인필요(입력누락)",IF(COUNTIFS(보유목록!$I$2:$I$3001,"*"&amp;P818&amp;"*",보유목록!$I$2:$I$3001,"*"&amp;Q818&amp;"*",보유목록!$H$2:$H$3001,O818)&gt;0,"있음",IF(COUNTIFS(보유목록!$I$2:$I$3001,"*"&amp;P818&amp;"*",보유목록!$I$2:$I$3001,"*"&amp;Q818&amp;"*")&gt;0,"확인필요(연도다름)",IF(COUNTIFS(보유목록!$I$2:$I$3001,"*"&amp;P818&amp;"*",보유목록!$H$2:$H$3001,O818)&gt;0,"확인필요(같은학교·같은연도)","없음")))))</f>
      </c>
      <c r="L818" t="str" s="16">
        <f aca="0">IF(OR(COUNTA(B818:J818)=0,R818&lt;&gt;""),"",COUNTIFS(보유목록!$I$2:$I$3001,"*"&amp;P818&amp;"*",보유목록!$I$2:$I$3001,"*"&amp;Q818&amp;"*"))</f>
      </c>
      <c r="M818" t="str" s="23">
        <f aca="0">IF(OR(COUNTA(B818:J818)=0,R818&lt;&gt;""),"",IFERROR(LOOKUP(2,1/(ISNUMBER(SEARCH(P818,보유목록!$I$2:$I$3001))*ISNUMBER(SEARCH(Q818,보유목록!$I$2:$I$3001))*(보유목록!$H$2:$H$3001=O818)),보유목록!$B$2:$B$3001),IFERROR(LOOKUP(2,1/(ISNUMBER(SEARCH(P818,보유목록!$I$2:$I$3001))*ISNUMBER(SEARCH(Q818,보유목록!$I$2:$I$3001))),보유목록!$B$2:$B$3001),"")))</f>
      </c>
      <c r="N818" s="25"/>
      <c r="O818" t="str">
        <f>IFERROR(IF(AND(LEN(SUBSTITUTE(SUBSTITUTE(SUBSTITUTE(TRIM(C818&amp;""),CHAR(160),"")," ",""),"년",""))=4,VALUE(SUBSTITUTE(SUBSTITUTE(SUBSTITUTE(TRIM(C818&amp;""),CHAR(160),"")," ",""),"년",""))&gt;=1900,VALUE(SUBSTITUTE(SUBSTITUTE(SUBSTITUTE(TRIM(C818&amp;""),CHAR(160),"")," ",""),"년",""))&lt;=2099,TEXT(VALUE(SUBSTITUTE(SUBSTITUTE(SUBSTITUTE(TRIM(C818&amp;""),CHAR(160),"")," ",""),"년","")),"0000")=SUBSTITUTE(SUBSTITUTE(SUBSTITUTE(TRIM(C818&amp;""),CHAR(160),"")," ",""),"년","")),SUBSTITUTE(SUBSTITUTE(SUBSTITUTE(TRIM(C818&amp;""),CHAR(160),"")," ",""),"년",""),""),"")</f>
      </c>
      <c r="P818" t="str">
        <f>SUBSTITUTE(SUBSTITUTE(SUBSTITUTE(SUBSTITUTE(SUBSTITUTE(SUBSTITUTE(SUBSTITUTE(SUBSTITUTE(TRIM(D818&amp;""),CHAR(160),"")," ",""),"초등학교","초"),"중학교","중"),"고등학교","고"),"~","~~"),"*","~*"),"?","~?")</f>
      </c>
      <c r="Q818" t="str">
        <f>SUBSTITUTE(SUBSTITUTE(SUBSTITUTE(SUBSTITUTE(SUBSTITUTE(SUBSTITUTE(SUBSTITUTE(SUBSTITUTE(TRIM(E818&amp;""),CHAR(160),"")," ",""),"초등학교","초"),"중학교","중"),"고등학교","고"),"~","~~"),"*","~*"),"?","~?")</f>
      </c>
      <c r="R818" t="str">
        <f>IF(COUNTA(B818:J818)=0,"",IF(AND(O818&lt;&gt;"",P818&lt;&gt;"",Q818&lt;&gt;""),"","입력누락"))</f>
      </c>
    </row>
    <row r="819" customFormat="false" ht="15" hidden="false" customHeight="false" outlineLevel="0" collapsed="false">
      <c r="A819" t="n" s="19">
        <f aca="0">IF(COUNTA(B819:J819)=0,"",ROW()-1)</f>
      </c>
      <c r="B819" s="24"/>
      <c r="C819" s="25"/>
      <c r="D819" s="8"/>
      <c r="E819" s="8"/>
      <c r="F819" s="26"/>
      <c r="G819" s="24"/>
      <c r="H819" s="25"/>
      <c r="I819" s="25"/>
      <c r="J819" s="26"/>
      <c r="K819" t="str" s="15">
        <f aca="0">IF(COUNTA(B819:J819)=0,"",IF(R819&lt;&gt;"","확인필요(입력누락)",IF(COUNTIFS(보유목록!$I$2:$I$3001,"*"&amp;P819&amp;"*",보유목록!$I$2:$I$3001,"*"&amp;Q819&amp;"*",보유목록!$H$2:$H$3001,O819)&gt;0,"있음",IF(COUNTIFS(보유목록!$I$2:$I$3001,"*"&amp;P819&amp;"*",보유목록!$I$2:$I$3001,"*"&amp;Q819&amp;"*")&gt;0,"확인필요(연도다름)",IF(COUNTIFS(보유목록!$I$2:$I$3001,"*"&amp;P819&amp;"*",보유목록!$H$2:$H$3001,O819)&gt;0,"확인필요(같은학교·같은연도)","없음")))))</f>
      </c>
      <c r="L819" t="str" s="16">
        <f aca="0">IF(OR(COUNTA(B819:J819)=0,R819&lt;&gt;""),"",COUNTIFS(보유목록!$I$2:$I$3001,"*"&amp;P819&amp;"*",보유목록!$I$2:$I$3001,"*"&amp;Q819&amp;"*"))</f>
      </c>
      <c r="M819" t="str" s="23">
        <f aca="0">IF(OR(COUNTA(B819:J819)=0,R819&lt;&gt;""),"",IFERROR(LOOKUP(2,1/(ISNUMBER(SEARCH(P819,보유목록!$I$2:$I$3001))*ISNUMBER(SEARCH(Q819,보유목록!$I$2:$I$3001))*(보유목록!$H$2:$H$3001=O819)),보유목록!$B$2:$B$3001),IFERROR(LOOKUP(2,1/(ISNUMBER(SEARCH(P819,보유목록!$I$2:$I$3001))*ISNUMBER(SEARCH(Q819,보유목록!$I$2:$I$3001))),보유목록!$B$2:$B$3001),"")))</f>
      </c>
      <c r="N819" s="25"/>
      <c r="O819" t="str">
        <f>IFERROR(IF(AND(LEN(SUBSTITUTE(SUBSTITUTE(SUBSTITUTE(TRIM(C819&amp;""),CHAR(160),"")," ",""),"년",""))=4,VALUE(SUBSTITUTE(SUBSTITUTE(SUBSTITUTE(TRIM(C819&amp;""),CHAR(160),"")," ",""),"년",""))&gt;=1900,VALUE(SUBSTITUTE(SUBSTITUTE(SUBSTITUTE(TRIM(C819&amp;""),CHAR(160),"")," ",""),"년",""))&lt;=2099,TEXT(VALUE(SUBSTITUTE(SUBSTITUTE(SUBSTITUTE(TRIM(C819&amp;""),CHAR(160),"")," ",""),"년","")),"0000")=SUBSTITUTE(SUBSTITUTE(SUBSTITUTE(TRIM(C819&amp;""),CHAR(160),"")," ",""),"년","")),SUBSTITUTE(SUBSTITUTE(SUBSTITUTE(TRIM(C819&amp;""),CHAR(160),"")," ",""),"년",""),""),"")</f>
      </c>
      <c r="P819" t="str">
        <f>SUBSTITUTE(SUBSTITUTE(SUBSTITUTE(SUBSTITUTE(SUBSTITUTE(SUBSTITUTE(SUBSTITUTE(SUBSTITUTE(TRIM(D819&amp;""),CHAR(160),"")," ",""),"초등학교","초"),"중학교","중"),"고등학교","고"),"~","~~"),"*","~*"),"?","~?")</f>
      </c>
      <c r="Q819" t="str">
        <f>SUBSTITUTE(SUBSTITUTE(SUBSTITUTE(SUBSTITUTE(SUBSTITUTE(SUBSTITUTE(SUBSTITUTE(SUBSTITUTE(TRIM(E819&amp;""),CHAR(160),"")," ",""),"초등학교","초"),"중학교","중"),"고등학교","고"),"~","~~"),"*","~*"),"?","~?")</f>
      </c>
      <c r="R819" t="str">
        <f>IF(COUNTA(B819:J819)=0,"",IF(AND(O819&lt;&gt;"",P819&lt;&gt;"",Q819&lt;&gt;""),"","입력누락"))</f>
      </c>
    </row>
    <row r="820" customFormat="false" ht="15" hidden="false" customHeight="false" outlineLevel="0" collapsed="false">
      <c r="A820" t="n" s="19">
        <f aca="0">IF(COUNTA(B820:J820)=0,"",ROW()-1)</f>
      </c>
      <c r="B820" s="24"/>
      <c r="C820" s="25"/>
      <c r="D820" s="8"/>
      <c r="E820" s="8"/>
      <c r="F820" s="26"/>
      <c r="G820" s="24"/>
      <c r="H820" s="25"/>
      <c r="I820" s="25"/>
      <c r="J820" s="26"/>
      <c r="K820" t="str" s="15">
        <f aca="0">IF(COUNTA(B820:J820)=0,"",IF(R820&lt;&gt;"","확인필요(입력누락)",IF(COUNTIFS(보유목록!$I$2:$I$3001,"*"&amp;P820&amp;"*",보유목록!$I$2:$I$3001,"*"&amp;Q820&amp;"*",보유목록!$H$2:$H$3001,O820)&gt;0,"있음",IF(COUNTIFS(보유목록!$I$2:$I$3001,"*"&amp;P820&amp;"*",보유목록!$I$2:$I$3001,"*"&amp;Q820&amp;"*")&gt;0,"확인필요(연도다름)",IF(COUNTIFS(보유목록!$I$2:$I$3001,"*"&amp;P820&amp;"*",보유목록!$H$2:$H$3001,O820)&gt;0,"확인필요(같은학교·같은연도)","없음")))))</f>
      </c>
      <c r="L820" t="str" s="16">
        <f aca="0">IF(OR(COUNTA(B820:J820)=0,R820&lt;&gt;""),"",COUNTIFS(보유목록!$I$2:$I$3001,"*"&amp;P820&amp;"*",보유목록!$I$2:$I$3001,"*"&amp;Q820&amp;"*"))</f>
      </c>
      <c r="M820" t="str" s="23">
        <f aca="0">IF(OR(COUNTA(B820:J820)=0,R820&lt;&gt;""),"",IFERROR(LOOKUP(2,1/(ISNUMBER(SEARCH(P820,보유목록!$I$2:$I$3001))*ISNUMBER(SEARCH(Q820,보유목록!$I$2:$I$3001))*(보유목록!$H$2:$H$3001=O820)),보유목록!$B$2:$B$3001),IFERROR(LOOKUP(2,1/(ISNUMBER(SEARCH(P820,보유목록!$I$2:$I$3001))*ISNUMBER(SEARCH(Q820,보유목록!$I$2:$I$3001))),보유목록!$B$2:$B$3001),"")))</f>
      </c>
      <c r="N820" s="25"/>
      <c r="O820" t="str">
        <f>IFERROR(IF(AND(LEN(SUBSTITUTE(SUBSTITUTE(SUBSTITUTE(TRIM(C820&amp;""),CHAR(160),"")," ",""),"년",""))=4,VALUE(SUBSTITUTE(SUBSTITUTE(SUBSTITUTE(TRIM(C820&amp;""),CHAR(160),"")," ",""),"년",""))&gt;=1900,VALUE(SUBSTITUTE(SUBSTITUTE(SUBSTITUTE(TRIM(C820&amp;""),CHAR(160),"")," ",""),"년",""))&lt;=2099,TEXT(VALUE(SUBSTITUTE(SUBSTITUTE(SUBSTITUTE(TRIM(C820&amp;""),CHAR(160),"")," ",""),"년","")),"0000")=SUBSTITUTE(SUBSTITUTE(SUBSTITUTE(TRIM(C820&amp;""),CHAR(160),"")," ",""),"년","")),SUBSTITUTE(SUBSTITUTE(SUBSTITUTE(TRIM(C820&amp;""),CHAR(160),"")," ",""),"년",""),""),"")</f>
      </c>
      <c r="P820" t="str">
        <f>SUBSTITUTE(SUBSTITUTE(SUBSTITUTE(SUBSTITUTE(SUBSTITUTE(SUBSTITUTE(SUBSTITUTE(SUBSTITUTE(TRIM(D820&amp;""),CHAR(160),"")," ",""),"초등학교","초"),"중학교","중"),"고등학교","고"),"~","~~"),"*","~*"),"?","~?")</f>
      </c>
      <c r="Q820" t="str">
        <f>SUBSTITUTE(SUBSTITUTE(SUBSTITUTE(SUBSTITUTE(SUBSTITUTE(SUBSTITUTE(SUBSTITUTE(SUBSTITUTE(TRIM(E820&amp;""),CHAR(160),"")," ",""),"초등학교","초"),"중학교","중"),"고등학교","고"),"~","~~"),"*","~*"),"?","~?")</f>
      </c>
      <c r="R820" t="str">
        <f>IF(COUNTA(B820:J820)=0,"",IF(AND(O820&lt;&gt;"",P820&lt;&gt;"",Q820&lt;&gt;""),"","입력누락"))</f>
      </c>
    </row>
    <row r="821" customFormat="false" ht="15" hidden="false" customHeight="false" outlineLevel="0" collapsed="false">
      <c r="A821" t="n" s="19">
        <f aca="0">IF(COUNTA(B821:J821)=0,"",ROW()-1)</f>
      </c>
      <c r="B821" s="24"/>
      <c r="C821" s="25"/>
      <c r="D821" s="8"/>
      <c r="E821" s="8"/>
      <c r="F821" s="26"/>
      <c r="G821" s="24"/>
      <c r="H821" s="25"/>
      <c r="I821" s="25"/>
      <c r="J821" s="26"/>
      <c r="K821" t="str" s="15">
        <f aca="0">IF(COUNTA(B821:J821)=0,"",IF(R821&lt;&gt;"","확인필요(입력누락)",IF(COUNTIFS(보유목록!$I$2:$I$3001,"*"&amp;P821&amp;"*",보유목록!$I$2:$I$3001,"*"&amp;Q821&amp;"*",보유목록!$H$2:$H$3001,O821)&gt;0,"있음",IF(COUNTIFS(보유목록!$I$2:$I$3001,"*"&amp;P821&amp;"*",보유목록!$I$2:$I$3001,"*"&amp;Q821&amp;"*")&gt;0,"확인필요(연도다름)",IF(COUNTIFS(보유목록!$I$2:$I$3001,"*"&amp;P821&amp;"*",보유목록!$H$2:$H$3001,O821)&gt;0,"확인필요(같은학교·같은연도)","없음")))))</f>
      </c>
      <c r="L821" t="str" s="16">
        <f aca="0">IF(OR(COUNTA(B821:J821)=0,R821&lt;&gt;""),"",COUNTIFS(보유목록!$I$2:$I$3001,"*"&amp;P821&amp;"*",보유목록!$I$2:$I$3001,"*"&amp;Q821&amp;"*"))</f>
      </c>
      <c r="M821" t="str" s="23">
        <f aca="0">IF(OR(COUNTA(B821:J821)=0,R821&lt;&gt;""),"",IFERROR(LOOKUP(2,1/(ISNUMBER(SEARCH(P821,보유목록!$I$2:$I$3001))*ISNUMBER(SEARCH(Q821,보유목록!$I$2:$I$3001))*(보유목록!$H$2:$H$3001=O821)),보유목록!$B$2:$B$3001),IFERROR(LOOKUP(2,1/(ISNUMBER(SEARCH(P821,보유목록!$I$2:$I$3001))*ISNUMBER(SEARCH(Q821,보유목록!$I$2:$I$3001))),보유목록!$B$2:$B$3001),"")))</f>
      </c>
      <c r="N821" s="25"/>
      <c r="O821" t="str">
        <f>IFERROR(IF(AND(LEN(SUBSTITUTE(SUBSTITUTE(SUBSTITUTE(TRIM(C821&amp;""),CHAR(160),"")," ",""),"년",""))=4,VALUE(SUBSTITUTE(SUBSTITUTE(SUBSTITUTE(TRIM(C821&amp;""),CHAR(160),"")," ",""),"년",""))&gt;=1900,VALUE(SUBSTITUTE(SUBSTITUTE(SUBSTITUTE(TRIM(C821&amp;""),CHAR(160),"")," ",""),"년",""))&lt;=2099,TEXT(VALUE(SUBSTITUTE(SUBSTITUTE(SUBSTITUTE(TRIM(C821&amp;""),CHAR(160),"")," ",""),"년","")),"0000")=SUBSTITUTE(SUBSTITUTE(SUBSTITUTE(TRIM(C821&amp;""),CHAR(160),"")," ",""),"년","")),SUBSTITUTE(SUBSTITUTE(SUBSTITUTE(TRIM(C821&amp;""),CHAR(160),"")," ",""),"년",""),""),"")</f>
      </c>
      <c r="P821" t="str">
        <f>SUBSTITUTE(SUBSTITUTE(SUBSTITUTE(SUBSTITUTE(SUBSTITUTE(SUBSTITUTE(SUBSTITUTE(SUBSTITUTE(TRIM(D821&amp;""),CHAR(160),"")," ",""),"초등학교","초"),"중학교","중"),"고등학교","고"),"~","~~"),"*","~*"),"?","~?")</f>
      </c>
      <c r="Q821" t="str">
        <f>SUBSTITUTE(SUBSTITUTE(SUBSTITUTE(SUBSTITUTE(SUBSTITUTE(SUBSTITUTE(SUBSTITUTE(SUBSTITUTE(TRIM(E821&amp;""),CHAR(160),"")," ",""),"초등학교","초"),"중학교","중"),"고등학교","고"),"~","~~"),"*","~*"),"?","~?")</f>
      </c>
      <c r="R821" t="str">
        <f>IF(COUNTA(B821:J821)=0,"",IF(AND(O821&lt;&gt;"",P821&lt;&gt;"",Q821&lt;&gt;""),"","입력누락"))</f>
      </c>
    </row>
    <row r="822" customFormat="false" ht="15" hidden="false" customHeight="false" outlineLevel="0" collapsed="false">
      <c r="A822" t="n" s="19">
        <f aca="0">IF(COUNTA(B822:J822)=0,"",ROW()-1)</f>
      </c>
      <c r="B822" s="24"/>
      <c r="C822" s="25"/>
      <c r="D822" s="8"/>
      <c r="E822" s="8"/>
      <c r="F822" s="26"/>
      <c r="G822" s="24"/>
      <c r="H822" s="25"/>
      <c r="I822" s="25"/>
      <c r="J822" s="26"/>
      <c r="K822" t="str" s="15">
        <f aca="0">IF(COUNTA(B822:J822)=0,"",IF(R822&lt;&gt;"","확인필요(입력누락)",IF(COUNTIFS(보유목록!$I$2:$I$3001,"*"&amp;P822&amp;"*",보유목록!$I$2:$I$3001,"*"&amp;Q822&amp;"*",보유목록!$H$2:$H$3001,O822)&gt;0,"있음",IF(COUNTIFS(보유목록!$I$2:$I$3001,"*"&amp;P822&amp;"*",보유목록!$I$2:$I$3001,"*"&amp;Q822&amp;"*")&gt;0,"확인필요(연도다름)",IF(COUNTIFS(보유목록!$I$2:$I$3001,"*"&amp;P822&amp;"*",보유목록!$H$2:$H$3001,O822)&gt;0,"확인필요(같은학교·같은연도)","없음")))))</f>
      </c>
      <c r="L822" t="str" s="16">
        <f aca="0">IF(OR(COUNTA(B822:J822)=0,R822&lt;&gt;""),"",COUNTIFS(보유목록!$I$2:$I$3001,"*"&amp;P822&amp;"*",보유목록!$I$2:$I$3001,"*"&amp;Q822&amp;"*"))</f>
      </c>
      <c r="M822" t="str" s="23">
        <f aca="0">IF(OR(COUNTA(B822:J822)=0,R822&lt;&gt;""),"",IFERROR(LOOKUP(2,1/(ISNUMBER(SEARCH(P822,보유목록!$I$2:$I$3001))*ISNUMBER(SEARCH(Q822,보유목록!$I$2:$I$3001))*(보유목록!$H$2:$H$3001=O822)),보유목록!$B$2:$B$3001),IFERROR(LOOKUP(2,1/(ISNUMBER(SEARCH(P822,보유목록!$I$2:$I$3001))*ISNUMBER(SEARCH(Q822,보유목록!$I$2:$I$3001))),보유목록!$B$2:$B$3001),"")))</f>
      </c>
      <c r="N822" s="25"/>
      <c r="O822" t="str">
        <f>IFERROR(IF(AND(LEN(SUBSTITUTE(SUBSTITUTE(SUBSTITUTE(TRIM(C822&amp;""),CHAR(160),"")," ",""),"년",""))=4,VALUE(SUBSTITUTE(SUBSTITUTE(SUBSTITUTE(TRIM(C822&amp;""),CHAR(160),"")," ",""),"년",""))&gt;=1900,VALUE(SUBSTITUTE(SUBSTITUTE(SUBSTITUTE(TRIM(C822&amp;""),CHAR(160),"")," ",""),"년",""))&lt;=2099,TEXT(VALUE(SUBSTITUTE(SUBSTITUTE(SUBSTITUTE(TRIM(C822&amp;""),CHAR(160),"")," ",""),"년","")),"0000")=SUBSTITUTE(SUBSTITUTE(SUBSTITUTE(TRIM(C822&amp;""),CHAR(160),"")," ",""),"년","")),SUBSTITUTE(SUBSTITUTE(SUBSTITUTE(TRIM(C822&amp;""),CHAR(160),"")," ",""),"년",""),""),"")</f>
      </c>
      <c r="P822" t="str">
        <f>SUBSTITUTE(SUBSTITUTE(SUBSTITUTE(SUBSTITUTE(SUBSTITUTE(SUBSTITUTE(SUBSTITUTE(SUBSTITUTE(TRIM(D822&amp;""),CHAR(160),"")," ",""),"초등학교","초"),"중학교","중"),"고등학교","고"),"~","~~"),"*","~*"),"?","~?")</f>
      </c>
      <c r="Q822" t="str">
        <f>SUBSTITUTE(SUBSTITUTE(SUBSTITUTE(SUBSTITUTE(SUBSTITUTE(SUBSTITUTE(SUBSTITUTE(SUBSTITUTE(TRIM(E822&amp;""),CHAR(160),"")," ",""),"초등학교","초"),"중학교","중"),"고등학교","고"),"~","~~"),"*","~*"),"?","~?")</f>
      </c>
      <c r="R822" t="str">
        <f>IF(COUNTA(B822:J822)=0,"",IF(AND(O822&lt;&gt;"",P822&lt;&gt;"",Q822&lt;&gt;""),"","입력누락"))</f>
      </c>
    </row>
    <row r="823" customFormat="false" ht="15" hidden="false" customHeight="false" outlineLevel="0" collapsed="false">
      <c r="A823" t="n" s="19">
        <f aca="0">IF(COUNTA(B823:J823)=0,"",ROW()-1)</f>
      </c>
      <c r="B823" s="24"/>
      <c r="C823" s="25"/>
      <c r="D823" s="8"/>
      <c r="E823" s="8"/>
      <c r="F823" s="26"/>
      <c r="G823" s="24"/>
      <c r="H823" s="25"/>
      <c r="I823" s="25"/>
      <c r="J823" s="26"/>
      <c r="K823" t="str" s="15">
        <f aca="0">IF(COUNTA(B823:J823)=0,"",IF(R823&lt;&gt;"","확인필요(입력누락)",IF(COUNTIFS(보유목록!$I$2:$I$3001,"*"&amp;P823&amp;"*",보유목록!$I$2:$I$3001,"*"&amp;Q823&amp;"*",보유목록!$H$2:$H$3001,O823)&gt;0,"있음",IF(COUNTIFS(보유목록!$I$2:$I$3001,"*"&amp;P823&amp;"*",보유목록!$I$2:$I$3001,"*"&amp;Q823&amp;"*")&gt;0,"확인필요(연도다름)",IF(COUNTIFS(보유목록!$I$2:$I$3001,"*"&amp;P823&amp;"*",보유목록!$H$2:$H$3001,O823)&gt;0,"확인필요(같은학교·같은연도)","없음")))))</f>
      </c>
      <c r="L823" t="str" s="16">
        <f aca="0">IF(OR(COUNTA(B823:J823)=0,R823&lt;&gt;""),"",COUNTIFS(보유목록!$I$2:$I$3001,"*"&amp;P823&amp;"*",보유목록!$I$2:$I$3001,"*"&amp;Q823&amp;"*"))</f>
      </c>
      <c r="M823" t="str" s="23">
        <f aca="0">IF(OR(COUNTA(B823:J823)=0,R823&lt;&gt;""),"",IFERROR(LOOKUP(2,1/(ISNUMBER(SEARCH(P823,보유목록!$I$2:$I$3001))*ISNUMBER(SEARCH(Q823,보유목록!$I$2:$I$3001))*(보유목록!$H$2:$H$3001=O823)),보유목록!$B$2:$B$3001),IFERROR(LOOKUP(2,1/(ISNUMBER(SEARCH(P823,보유목록!$I$2:$I$3001))*ISNUMBER(SEARCH(Q823,보유목록!$I$2:$I$3001))),보유목록!$B$2:$B$3001),"")))</f>
      </c>
      <c r="N823" s="25"/>
      <c r="O823" t="str">
        <f>IFERROR(IF(AND(LEN(SUBSTITUTE(SUBSTITUTE(SUBSTITUTE(TRIM(C823&amp;""),CHAR(160),"")," ",""),"년",""))=4,VALUE(SUBSTITUTE(SUBSTITUTE(SUBSTITUTE(TRIM(C823&amp;""),CHAR(160),"")," ",""),"년",""))&gt;=1900,VALUE(SUBSTITUTE(SUBSTITUTE(SUBSTITUTE(TRIM(C823&amp;""),CHAR(160),"")," ",""),"년",""))&lt;=2099,TEXT(VALUE(SUBSTITUTE(SUBSTITUTE(SUBSTITUTE(TRIM(C823&amp;""),CHAR(160),"")," ",""),"년","")),"0000")=SUBSTITUTE(SUBSTITUTE(SUBSTITUTE(TRIM(C823&amp;""),CHAR(160),"")," ",""),"년","")),SUBSTITUTE(SUBSTITUTE(SUBSTITUTE(TRIM(C823&amp;""),CHAR(160),"")," ",""),"년",""),""),"")</f>
      </c>
      <c r="P823" t="str">
        <f>SUBSTITUTE(SUBSTITUTE(SUBSTITUTE(SUBSTITUTE(SUBSTITUTE(SUBSTITUTE(SUBSTITUTE(SUBSTITUTE(TRIM(D823&amp;""),CHAR(160),"")," ",""),"초등학교","초"),"중학교","중"),"고등학교","고"),"~","~~"),"*","~*"),"?","~?")</f>
      </c>
      <c r="Q823" t="str">
        <f>SUBSTITUTE(SUBSTITUTE(SUBSTITUTE(SUBSTITUTE(SUBSTITUTE(SUBSTITUTE(SUBSTITUTE(SUBSTITUTE(TRIM(E823&amp;""),CHAR(160),"")," ",""),"초등학교","초"),"중학교","중"),"고등학교","고"),"~","~~"),"*","~*"),"?","~?")</f>
      </c>
      <c r="R823" t="str">
        <f>IF(COUNTA(B823:J823)=0,"",IF(AND(O823&lt;&gt;"",P823&lt;&gt;"",Q823&lt;&gt;""),"","입력누락"))</f>
      </c>
    </row>
    <row r="824" customFormat="false" ht="15" hidden="false" customHeight="false" outlineLevel="0" collapsed="false">
      <c r="A824" t="n" s="19">
        <f aca="0">IF(COUNTA(B824:J824)=0,"",ROW()-1)</f>
      </c>
      <c r="B824" s="24"/>
      <c r="C824" s="25"/>
      <c r="D824" s="8"/>
      <c r="E824" s="8"/>
      <c r="F824" s="26"/>
      <c r="G824" s="24"/>
      <c r="H824" s="25"/>
      <c r="I824" s="25"/>
      <c r="J824" s="26"/>
      <c r="K824" t="str" s="15">
        <f aca="0">IF(COUNTA(B824:J824)=0,"",IF(R824&lt;&gt;"","확인필요(입력누락)",IF(COUNTIFS(보유목록!$I$2:$I$3001,"*"&amp;P824&amp;"*",보유목록!$I$2:$I$3001,"*"&amp;Q824&amp;"*",보유목록!$H$2:$H$3001,O824)&gt;0,"있음",IF(COUNTIFS(보유목록!$I$2:$I$3001,"*"&amp;P824&amp;"*",보유목록!$I$2:$I$3001,"*"&amp;Q824&amp;"*")&gt;0,"확인필요(연도다름)",IF(COUNTIFS(보유목록!$I$2:$I$3001,"*"&amp;P824&amp;"*",보유목록!$H$2:$H$3001,O824)&gt;0,"확인필요(같은학교·같은연도)","없음")))))</f>
      </c>
      <c r="L824" t="str" s="16">
        <f aca="0">IF(OR(COUNTA(B824:J824)=0,R824&lt;&gt;""),"",COUNTIFS(보유목록!$I$2:$I$3001,"*"&amp;P824&amp;"*",보유목록!$I$2:$I$3001,"*"&amp;Q824&amp;"*"))</f>
      </c>
      <c r="M824" t="str" s="23">
        <f aca="0">IF(OR(COUNTA(B824:J824)=0,R824&lt;&gt;""),"",IFERROR(LOOKUP(2,1/(ISNUMBER(SEARCH(P824,보유목록!$I$2:$I$3001))*ISNUMBER(SEARCH(Q824,보유목록!$I$2:$I$3001))*(보유목록!$H$2:$H$3001=O824)),보유목록!$B$2:$B$3001),IFERROR(LOOKUP(2,1/(ISNUMBER(SEARCH(P824,보유목록!$I$2:$I$3001))*ISNUMBER(SEARCH(Q824,보유목록!$I$2:$I$3001))),보유목록!$B$2:$B$3001),"")))</f>
      </c>
      <c r="N824" s="25"/>
      <c r="O824" t="str">
        <f>IFERROR(IF(AND(LEN(SUBSTITUTE(SUBSTITUTE(SUBSTITUTE(TRIM(C824&amp;""),CHAR(160),"")," ",""),"년",""))=4,VALUE(SUBSTITUTE(SUBSTITUTE(SUBSTITUTE(TRIM(C824&amp;""),CHAR(160),"")," ",""),"년",""))&gt;=1900,VALUE(SUBSTITUTE(SUBSTITUTE(SUBSTITUTE(TRIM(C824&amp;""),CHAR(160),"")," ",""),"년",""))&lt;=2099,TEXT(VALUE(SUBSTITUTE(SUBSTITUTE(SUBSTITUTE(TRIM(C824&amp;""),CHAR(160),"")," ",""),"년","")),"0000")=SUBSTITUTE(SUBSTITUTE(SUBSTITUTE(TRIM(C824&amp;""),CHAR(160),"")," ",""),"년","")),SUBSTITUTE(SUBSTITUTE(SUBSTITUTE(TRIM(C824&amp;""),CHAR(160),"")," ",""),"년",""),""),"")</f>
      </c>
      <c r="P824" t="str">
        <f>SUBSTITUTE(SUBSTITUTE(SUBSTITUTE(SUBSTITUTE(SUBSTITUTE(SUBSTITUTE(SUBSTITUTE(SUBSTITUTE(TRIM(D824&amp;""),CHAR(160),"")," ",""),"초등학교","초"),"중학교","중"),"고등학교","고"),"~","~~"),"*","~*"),"?","~?")</f>
      </c>
      <c r="Q824" t="str">
        <f>SUBSTITUTE(SUBSTITUTE(SUBSTITUTE(SUBSTITUTE(SUBSTITUTE(SUBSTITUTE(SUBSTITUTE(SUBSTITUTE(TRIM(E824&amp;""),CHAR(160),"")," ",""),"초등학교","초"),"중학교","중"),"고등학교","고"),"~","~~"),"*","~*"),"?","~?")</f>
      </c>
      <c r="R824" t="str">
        <f>IF(COUNTA(B824:J824)=0,"",IF(AND(O824&lt;&gt;"",P824&lt;&gt;"",Q824&lt;&gt;""),"","입력누락"))</f>
      </c>
    </row>
    <row r="825" customFormat="false" ht="15" hidden="false" customHeight="false" outlineLevel="0" collapsed="false">
      <c r="A825" t="n" s="19">
        <f aca="0">IF(COUNTA(B825:J825)=0,"",ROW()-1)</f>
      </c>
      <c r="B825" s="24"/>
      <c r="C825" s="25"/>
      <c r="D825" s="8"/>
      <c r="E825" s="8"/>
      <c r="F825" s="26"/>
      <c r="G825" s="24"/>
      <c r="H825" s="25"/>
      <c r="I825" s="25"/>
      <c r="J825" s="26"/>
      <c r="K825" t="str" s="15">
        <f aca="0">IF(COUNTA(B825:J825)=0,"",IF(R825&lt;&gt;"","확인필요(입력누락)",IF(COUNTIFS(보유목록!$I$2:$I$3001,"*"&amp;P825&amp;"*",보유목록!$I$2:$I$3001,"*"&amp;Q825&amp;"*",보유목록!$H$2:$H$3001,O825)&gt;0,"있음",IF(COUNTIFS(보유목록!$I$2:$I$3001,"*"&amp;P825&amp;"*",보유목록!$I$2:$I$3001,"*"&amp;Q825&amp;"*")&gt;0,"확인필요(연도다름)",IF(COUNTIFS(보유목록!$I$2:$I$3001,"*"&amp;P825&amp;"*",보유목록!$H$2:$H$3001,O825)&gt;0,"확인필요(같은학교·같은연도)","없음")))))</f>
      </c>
      <c r="L825" t="str" s="16">
        <f aca="0">IF(OR(COUNTA(B825:J825)=0,R825&lt;&gt;""),"",COUNTIFS(보유목록!$I$2:$I$3001,"*"&amp;P825&amp;"*",보유목록!$I$2:$I$3001,"*"&amp;Q825&amp;"*"))</f>
      </c>
      <c r="M825" t="str" s="23">
        <f aca="0">IF(OR(COUNTA(B825:J825)=0,R825&lt;&gt;""),"",IFERROR(LOOKUP(2,1/(ISNUMBER(SEARCH(P825,보유목록!$I$2:$I$3001))*ISNUMBER(SEARCH(Q825,보유목록!$I$2:$I$3001))*(보유목록!$H$2:$H$3001=O825)),보유목록!$B$2:$B$3001),IFERROR(LOOKUP(2,1/(ISNUMBER(SEARCH(P825,보유목록!$I$2:$I$3001))*ISNUMBER(SEARCH(Q825,보유목록!$I$2:$I$3001))),보유목록!$B$2:$B$3001),"")))</f>
      </c>
      <c r="N825" s="25"/>
      <c r="O825" t="str">
        <f>IFERROR(IF(AND(LEN(SUBSTITUTE(SUBSTITUTE(SUBSTITUTE(TRIM(C825&amp;""),CHAR(160),"")," ",""),"년",""))=4,VALUE(SUBSTITUTE(SUBSTITUTE(SUBSTITUTE(TRIM(C825&amp;""),CHAR(160),"")," ",""),"년",""))&gt;=1900,VALUE(SUBSTITUTE(SUBSTITUTE(SUBSTITUTE(TRIM(C825&amp;""),CHAR(160),"")," ",""),"년",""))&lt;=2099,TEXT(VALUE(SUBSTITUTE(SUBSTITUTE(SUBSTITUTE(TRIM(C825&amp;""),CHAR(160),"")," ",""),"년","")),"0000")=SUBSTITUTE(SUBSTITUTE(SUBSTITUTE(TRIM(C825&amp;""),CHAR(160),"")," ",""),"년","")),SUBSTITUTE(SUBSTITUTE(SUBSTITUTE(TRIM(C825&amp;""),CHAR(160),"")," ",""),"년",""),""),"")</f>
      </c>
      <c r="P825" t="str">
        <f>SUBSTITUTE(SUBSTITUTE(SUBSTITUTE(SUBSTITUTE(SUBSTITUTE(SUBSTITUTE(SUBSTITUTE(SUBSTITUTE(TRIM(D825&amp;""),CHAR(160),"")," ",""),"초등학교","초"),"중학교","중"),"고등학교","고"),"~","~~"),"*","~*"),"?","~?")</f>
      </c>
      <c r="Q825" t="str">
        <f>SUBSTITUTE(SUBSTITUTE(SUBSTITUTE(SUBSTITUTE(SUBSTITUTE(SUBSTITUTE(SUBSTITUTE(SUBSTITUTE(TRIM(E825&amp;""),CHAR(160),"")," ",""),"초등학교","초"),"중학교","중"),"고등학교","고"),"~","~~"),"*","~*"),"?","~?")</f>
      </c>
      <c r="R825" t="str">
        <f>IF(COUNTA(B825:J825)=0,"",IF(AND(O825&lt;&gt;"",P825&lt;&gt;"",Q825&lt;&gt;""),"","입력누락"))</f>
      </c>
    </row>
    <row r="826" customFormat="false" ht="15" hidden="false" customHeight="false" outlineLevel="0" collapsed="false">
      <c r="A826" t="n" s="19">
        <f aca="0">IF(COUNTA(B826:J826)=0,"",ROW()-1)</f>
      </c>
      <c r="B826" s="24"/>
      <c r="C826" s="25"/>
      <c r="D826" s="8"/>
      <c r="E826" s="8"/>
      <c r="F826" s="26"/>
      <c r="G826" s="24"/>
      <c r="H826" s="25"/>
      <c r="I826" s="25"/>
      <c r="J826" s="26"/>
      <c r="K826" t="str" s="15">
        <f aca="0">IF(COUNTA(B826:J826)=0,"",IF(R826&lt;&gt;"","확인필요(입력누락)",IF(COUNTIFS(보유목록!$I$2:$I$3001,"*"&amp;P826&amp;"*",보유목록!$I$2:$I$3001,"*"&amp;Q826&amp;"*",보유목록!$H$2:$H$3001,O826)&gt;0,"있음",IF(COUNTIFS(보유목록!$I$2:$I$3001,"*"&amp;P826&amp;"*",보유목록!$I$2:$I$3001,"*"&amp;Q826&amp;"*")&gt;0,"확인필요(연도다름)",IF(COUNTIFS(보유목록!$I$2:$I$3001,"*"&amp;P826&amp;"*",보유목록!$H$2:$H$3001,O826)&gt;0,"확인필요(같은학교·같은연도)","없음")))))</f>
      </c>
      <c r="L826" t="str" s="16">
        <f aca="0">IF(OR(COUNTA(B826:J826)=0,R826&lt;&gt;""),"",COUNTIFS(보유목록!$I$2:$I$3001,"*"&amp;P826&amp;"*",보유목록!$I$2:$I$3001,"*"&amp;Q826&amp;"*"))</f>
      </c>
      <c r="M826" t="str" s="23">
        <f aca="0">IF(OR(COUNTA(B826:J826)=0,R826&lt;&gt;""),"",IFERROR(LOOKUP(2,1/(ISNUMBER(SEARCH(P826,보유목록!$I$2:$I$3001))*ISNUMBER(SEARCH(Q826,보유목록!$I$2:$I$3001))*(보유목록!$H$2:$H$3001=O826)),보유목록!$B$2:$B$3001),IFERROR(LOOKUP(2,1/(ISNUMBER(SEARCH(P826,보유목록!$I$2:$I$3001))*ISNUMBER(SEARCH(Q826,보유목록!$I$2:$I$3001))),보유목록!$B$2:$B$3001),"")))</f>
      </c>
      <c r="N826" s="25"/>
      <c r="O826" t="str">
        <f>IFERROR(IF(AND(LEN(SUBSTITUTE(SUBSTITUTE(SUBSTITUTE(TRIM(C826&amp;""),CHAR(160),"")," ",""),"년",""))=4,VALUE(SUBSTITUTE(SUBSTITUTE(SUBSTITUTE(TRIM(C826&amp;""),CHAR(160),"")," ",""),"년",""))&gt;=1900,VALUE(SUBSTITUTE(SUBSTITUTE(SUBSTITUTE(TRIM(C826&amp;""),CHAR(160),"")," ",""),"년",""))&lt;=2099,TEXT(VALUE(SUBSTITUTE(SUBSTITUTE(SUBSTITUTE(TRIM(C826&amp;""),CHAR(160),"")," ",""),"년","")),"0000")=SUBSTITUTE(SUBSTITUTE(SUBSTITUTE(TRIM(C826&amp;""),CHAR(160),"")," ",""),"년","")),SUBSTITUTE(SUBSTITUTE(SUBSTITUTE(TRIM(C826&amp;""),CHAR(160),"")," ",""),"년",""),""),"")</f>
      </c>
      <c r="P826" t="str">
        <f>SUBSTITUTE(SUBSTITUTE(SUBSTITUTE(SUBSTITUTE(SUBSTITUTE(SUBSTITUTE(SUBSTITUTE(SUBSTITUTE(TRIM(D826&amp;""),CHAR(160),"")," ",""),"초등학교","초"),"중학교","중"),"고등학교","고"),"~","~~"),"*","~*"),"?","~?")</f>
      </c>
      <c r="Q826" t="str">
        <f>SUBSTITUTE(SUBSTITUTE(SUBSTITUTE(SUBSTITUTE(SUBSTITUTE(SUBSTITUTE(SUBSTITUTE(SUBSTITUTE(TRIM(E826&amp;""),CHAR(160),"")," ",""),"초등학교","초"),"중학교","중"),"고등학교","고"),"~","~~"),"*","~*"),"?","~?")</f>
      </c>
      <c r="R826" t="str">
        <f>IF(COUNTA(B826:J826)=0,"",IF(AND(O826&lt;&gt;"",P826&lt;&gt;"",Q826&lt;&gt;""),"","입력누락"))</f>
      </c>
    </row>
    <row r="827" customFormat="false" ht="15" hidden="false" customHeight="false" outlineLevel="0" collapsed="false">
      <c r="A827" t="n" s="19">
        <f aca="0">IF(COUNTA(B827:J827)=0,"",ROW()-1)</f>
      </c>
      <c r="B827" s="24"/>
      <c r="C827" s="25"/>
      <c r="D827" s="8"/>
      <c r="E827" s="8"/>
      <c r="F827" s="26"/>
      <c r="G827" s="24"/>
      <c r="H827" s="25"/>
      <c r="I827" s="25"/>
      <c r="J827" s="26"/>
      <c r="K827" t="str" s="15">
        <f aca="0">IF(COUNTA(B827:J827)=0,"",IF(R827&lt;&gt;"","확인필요(입력누락)",IF(COUNTIFS(보유목록!$I$2:$I$3001,"*"&amp;P827&amp;"*",보유목록!$I$2:$I$3001,"*"&amp;Q827&amp;"*",보유목록!$H$2:$H$3001,O827)&gt;0,"있음",IF(COUNTIFS(보유목록!$I$2:$I$3001,"*"&amp;P827&amp;"*",보유목록!$I$2:$I$3001,"*"&amp;Q827&amp;"*")&gt;0,"확인필요(연도다름)",IF(COUNTIFS(보유목록!$I$2:$I$3001,"*"&amp;P827&amp;"*",보유목록!$H$2:$H$3001,O827)&gt;0,"확인필요(같은학교·같은연도)","없음")))))</f>
      </c>
      <c r="L827" t="str" s="16">
        <f aca="0">IF(OR(COUNTA(B827:J827)=0,R827&lt;&gt;""),"",COUNTIFS(보유목록!$I$2:$I$3001,"*"&amp;P827&amp;"*",보유목록!$I$2:$I$3001,"*"&amp;Q827&amp;"*"))</f>
      </c>
      <c r="M827" t="str" s="23">
        <f aca="0">IF(OR(COUNTA(B827:J827)=0,R827&lt;&gt;""),"",IFERROR(LOOKUP(2,1/(ISNUMBER(SEARCH(P827,보유목록!$I$2:$I$3001))*ISNUMBER(SEARCH(Q827,보유목록!$I$2:$I$3001))*(보유목록!$H$2:$H$3001=O827)),보유목록!$B$2:$B$3001),IFERROR(LOOKUP(2,1/(ISNUMBER(SEARCH(P827,보유목록!$I$2:$I$3001))*ISNUMBER(SEARCH(Q827,보유목록!$I$2:$I$3001))),보유목록!$B$2:$B$3001),"")))</f>
      </c>
      <c r="N827" s="25"/>
      <c r="O827" t="str">
        <f>IFERROR(IF(AND(LEN(SUBSTITUTE(SUBSTITUTE(SUBSTITUTE(TRIM(C827&amp;""),CHAR(160),"")," ",""),"년",""))=4,VALUE(SUBSTITUTE(SUBSTITUTE(SUBSTITUTE(TRIM(C827&amp;""),CHAR(160),"")," ",""),"년",""))&gt;=1900,VALUE(SUBSTITUTE(SUBSTITUTE(SUBSTITUTE(TRIM(C827&amp;""),CHAR(160),"")," ",""),"년",""))&lt;=2099,TEXT(VALUE(SUBSTITUTE(SUBSTITUTE(SUBSTITUTE(TRIM(C827&amp;""),CHAR(160),"")," ",""),"년","")),"0000")=SUBSTITUTE(SUBSTITUTE(SUBSTITUTE(TRIM(C827&amp;""),CHAR(160),"")," ",""),"년","")),SUBSTITUTE(SUBSTITUTE(SUBSTITUTE(TRIM(C827&amp;""),CHAR(160),"")," ",""),"년",""),""),"")</f>
      </c>
      <c r="P827" t="str">
        <f>SUBSTITUTE(SUBSTITUTE(SUBSTITUTE(SUBSTITUTE(SUBSTITUTE(SUBSTITUTE(SUBSTITUTE(SUBSTITUTE(TRIM(D827&amp;""),CHAR(160),"")," ",""),"초등학교","초"),"중학교","중"),"고등학교","고"),"~","~~"),"*","~*"),"?","~?")</f>
      </c>
      <c r="Q827" t="str">
        <f>SUBSTITUTE(SUBSTITUTE(SUBSTITUTE(SUBSTITUTE(SUBSTITUTE(SUBSTITUTE(SUBSTITUTE(SUBSTITUTE(TRIM(E827&amp;""),CHAR(160),"")," ",""),"초등학교","초"),"중학교","중"),"고등학교","고"),"~","~~"),"*","~*"),"?","~?")</f>
      </c>
      <c r="R827" t="str">
        <f>IF(COUNTA(B827:J827)=0,"",IF(AND(O827&lt;&gt;"",P827&lt;&gt;"",Q827&lt;&gt;""),"","입력누락"))</f>
      </c>
    </row>
    <row r="828" customFormat="false" ht="15" hidden="false" customHeight="false" outlineLevel="0" collapsed="false">
      <c r="A828" t="n" s="19">
        <f aca="0">IF(COUNTA(B828:J828)=0,"",ROW()-1)</f>
      </c>
      <c r="B828" s="24"/>
      <c r="C828" s="25"/>
      <c r="D828" s="8"/>
      <c r="E828" s="8"/>
      <c r="F828" s="26"/>
      <c r="G828" s="24"/>
      <c r="H828" s="25"/>
      <c r="I828" s="25"/>
      <c r="J828" s="26"/>
      <c r="K828" t="str" s="15">
        <f aca="0">IF(COUNTA(B828:J828)=0,"",IF(R828&lt;&gt;"","확인필요(입력누락)",IF(COUNTIFS(보유목록!$I$2:$I$3001,"*"&amp;P828&amp;"*",보유목록!$I$2:$I$3001,"*"&amp;Q828&amp;"*",보유목록!$H$2:$H$3001,O828)&gt;0,"있음",IF(COUNTIFS(보유목록!$I$2:$I$3001,"*"&amp;P828&amp;"*",보유목록!$I$2:$I$3001,"*"&amp;Q828&amp;"*")&gt;0,"확인필요(연도다름)",IF(COUNTIFS(보유목록!$I$2:$I$3001,"*"&amp;P828&amp;"*",보유목록!$H$2:$H$3001,O828)&gt;0,"확인필요(같은학교·같은연도)","없음")))))</f>
      </c>
      <c r="L828" t="str" s="16">
        <f aca="0">IF(OR(COUNTA(B828:J828)=0,R828&lt;&gt;""),"",COUNTIFS(보유목록!$I$2:$I$3001,"*"&amp;P828&amp;"*",보유목록!$I$2:$I$3001,"*"&amp;Q828&amp;"*"))</f>
      </c>
      <c r="M828" t="str" s="23">
        <f aca="0">IF(OR(COUNTA(B828:J828)=0,R828&lt;&gt;""),"",IFERROR(LOOKUP(2,1/(ISNUMBER(SEARCH(P828,보유목록!$I$2:$I$3001))*ISNUMBER(SEARCH(Q828,보유목록!$I$2:$I$3001))*(보유목록!$H$2:$H$3001=O828)),보유목록!$B$2:$B$3001),IFERROR(LOOKUP(2,1/(ISNUMBER(SEARCH(P828,보유목록!$I$2:$I$3001))*ISNUMBER(SEARCH(Q828,보유목록!$I$2:$I$3001))),보유목록!$B$2:$B$3001),"")))</f>
      </c>
      <c r="N828" s="25"/>
      <c r="O828" t="str">
        <f>IFERROR(IF(AND(LEN(SUBSTITUTE(SUBSTITUTE(SUBSTITUTE(TRIM(C828&amp;""),CHAR(160),"")," ",""),"년",""))=4,VALUE(SUBSTITUTE(SUBSTITUTE(SUBSTITUTE(TRIM(C828&amp;""),CHAR(160),"")," ",""),"년",""))&gt;=1900,VALUE(SUBSTITUTE(SUBSTITUTE(SUBSTITUTE(TRIM(C828&amp;""),CHAR(160),"")," ",""),"년",""))&lt;=2099,TEXT(VALUE(SUBSTITUTE(SUBSTITUTE(SUBSTITUTE(TRIM(C828&amp;""),CHAR(160),"")," ",""),"년","")),"0000")=SUBSTITUTE(SUBSTITUTE(SUBSTITUTE(TRIM(C828&amp;""),CHAR(160),"")," ",""),"년","")),SUBSTITUTE(SUBSTITUTE(SUBSTITUTE(TRIM(C828&amp;""),CHAR(160),"")," ",""),"년",""),""),"")</f>
      </c>
      <c r="P828" t="str">
        <f>SUBSTITUTE(SUBSTITUTE(SUBSTITUTE(SUBSTITUTE(SUBSTITUTE(SUBSTITUTE(SUBSTITUTE(SUBSTITUTE(TRIM(D828&amp;""),CHAR(160),"")," ",""),"초등학교","초"),"중학교","중"),"고등학교","고"),"~","~~"),"*","~*"),"?","~?")</f>
      </c>
      <c r="Q828" t="str">
        <f>SUBSTITUTE(SUBSTITUTE(SUBSTITUTE(SUBSTITUTE(SUBSTITUTE(SUBSTITUTE(SUBSTITUTE(SUBSTITUTE(TRIM(E828&amp;""),CHAR(160),"")," ",""),"초등학교","초"),"중학교","중"),"고등학교","고"),"~","~~"),"*","~*"),"?","~?")</f>
      </c>
      <c r="R828" t="str">
        <f>IF(COUNTA(B828:J828)=0,"",IF(AND(O828&lt;&gt;"",P828&lt;&gt;"",Q828&lt;&gt;""),"","입력누락"))</f>
      </c>
    </row>
    <row r="829" customFormat="false" ht="15" hidden="false" customHeight="false" outlineLevel="0" collapsed="false">
      <c r="A829" t="n" s="19">
        <f aca="0">IF(COUNTA(B829:J829)=0,"",ROW()-1)</f>
      </c>
      <c r="B829" s="24"/>
      <c r="C829" s="25"/>
      <c r="D829" s="8"/>
      <c r="E829" s="8"/>
      <c r="F829" s="26"/>
      <c r="G829" s="24"/>
      <c r="H829" s="25"/>
      <c r="I829" s="25"/>
      <c r="J829" s="26"/>
      <c r="K829" t="str" s="15">
        <f aca="0">IF(COUNTA(B829:J829)=0,"",IF(R829&lt;&gt;"","확인필요(입력누락)",IF(COUNTIFS(보유목록!$I$2:$I$3001,"*"&amp;P829&amp;"*",보유목록!$I$2:$I$3001,"*"&amp;Q829&amp;"*",보유목록!$H$2:$H$3001,O829)&gt;0,"있음",IF(COUNTIFS(보유목록!$I$2:$I$3001,"*"&amp;P829&amp;"*",보유목록!$I$2:$I$3001,"*"&amp;Q829&amp;"*")&gt;0,"확인필요(연도다름)",IF(COUNTIFS(보유목록!$I$2:$I$3001,"*"&amp;P829&amp;"*",보유목록!$H$2:$H$3001,O829)&gt;0,"확인필요(같은학교·같은연도)","없음")))))</f>
      </c>
      <c r="L829" t="str" s="16">
        <f aca="0">IF(OR(COUNTA(B829:J829)=0,R829&lt;&gt;""),"",COUNTIFS(보유목록!$I$2:$I$3001,"*"&amp;P829&amp;"*",보유목록!$I$2:$I$3001,"*"&amp;Q829&amp;"*"))</f>
      </c>
      <c r="M829" t="str" s="23">
        <f aca="0">IF(OR(COUNTA(B829:J829)=0,R829&lt;&gt;""),"",IFERROR(LOOKUP(2,1/(ISNUMBER(SEARCH(P829,보유목록!$I$2:$I$3001))*ISNUMBER(SEARCH(Q829,보유목록!$I$2:$I$3001))*(보유목록!$H$2:$H$3001=O829)),보유목록!$B$2:$B$3001),IFERROR(LOOKUP(2,1/(ISNUMBER(SEARCH(P829,보유목록!$I$2:$I$3001))*ISNUMBER(SEARCH(Q829,보유목록!$I$2:$I$3001))),보유목록!$B$2:$B$3001),"")))</f>
      </c>
      <c r="N829" s="25"/>
      <c r="O829" t="str">
        <f>IFERROR(IF(AND(LEN(SUBSTITUTE(SUBSTITUTE(SUBSTITUTE(TRIM(C829&amp;""),CHAR(160),"")," ",""),"년",""))=4,VALUE(SUBSTITUTE(SUBSTITUTE(SUBSTITUTE(TRIM(C829&amp;""),CHAR(160),"")," ",""),"년",""))&gt;=1900,VALUE(SUBSTITUTE(SUBSTITUTE(SUBSTITUTE(TRIM(C829&amp;""),CHAR(160),"")," ",""),"년",""))&lt;=2099,TEXT(VALUE(SUBSTITUTE(SUBSTITUTE(SUBSTITUTE(TRIM(C829&amp;""),CHAR(160),"")," ",""),"년","")),"0000")=SUBSTITUTE(SUBSTITUTE(SUBSTITUTE(TRIM(C829&amp;""),CHAR(160),"")," ",""),"년","")),SUBSTITUTE(SUBSTITUTE(SUBSTITUTE(TRIM(C829&amp;""),CHAR(160),"")," ",""),"년",""),""),"")</f>
      </c>
      <c r="P829" t="str">
        <f>SUBSTITUTE(SUBSTITUTE(SUBSTITUTE(SUBSTITUTE(SUBSTITUTE(SUBSTITUTE(SUBSTITUTE(SUBSTITUTE(TRIM(D829&amp;""),CHAR(160),"")," ",""),"초등학교","초"),"중학교","중"),"고등학교","고"),"~","~~"),"*","~*"),"?","~?")</f>
      </c>
      <c r="Q829" t="str">
        <f>SUBSTITUTE(SUBSTITUTE(SUBSTITUTE(SUBSTITUTE(SUBSTITUTE(SUBSTITUTE(SUBSTITUTE(SUBSTITUTE(TRIM(E829&amp;""),CHAR(160),"")," ",""),"초등학교","초"),"중학교","중"),"고등학교","고"),"~","~~"),"*","~*"),"?","~?")</f>
      </c>
      <c r="R829" t="str">
        <f>IF(COUNTA(B829:J829)=0,"",IF(AND(O829&lt;&gt;"",P829&lt;&gt;"",Q829&lt;&gt;""),"","입력누락"))</f>
      </c>
    </row>
    <row r="830" customFormat="false" ht="15" hidden="false" customHeight="false" outlineLevel="0" collapsed="false">
      <c r="A830" t="n" s="19">
        <f aca="0">IF(COUNTA(B830:J830)=0,"",ROW()-1)</f>
      </c>
      <c r="B830" s="24"/>
      <c r="C830" s="25"/>
      <c r="D830" s="8"/>
      <c r="E830" s="8"/>
      <c r="F830" s="26"/>
      <c r="G830" s="24"/>
      <c r="H830" s="25"/>
      <c r="I830" s="25"/>
      <c r="J830" s="26"/>
      <c r="K830" t="str" s="15">
        <f aca="0">IF(COUNTA(B830:J830)=0,"",IF(R830&lt;&gt;"","확인필요(입력누락)",IF(COUNTIFS(보유목록!$I$2:$I$3001,"*"&amp;P830&amp;"*",보유목록!$I$2:$I$3001,"*"&amp;Q830&amp;"*",보유목록!$H$2:$H$3001,O830)&gt;0,"있음",IF(COUNTIFS(보유목록!$I$2:$I$3001,"*"&amp;P830&amp;"*",보유목록!$I$2:$I$3001,"*"&amp;Q830&amp;"*")&gt;0,"확인필요(연도다름)",IF(COUNTIFS(보유목록!$I$2:$I$3001,"*"&amp;P830&amp;"*",보유목록!$H$2:$H$3001,O830)&gt;0,"확인필요(같은학교·같은연도)","없음")))))</f>
      </c>
      <c r="L830" t="str" s="16">
        <f aca="0">IF(OR(COUNTA(B830:J830)=0,R830&lt;&gt;""),"",COUNTIFS(보유목록!$I$2:$I$3001,"*"&amp;P830&amp;"*",보유목록!$I$2:$I$3001,"*"&amp;Q830&amp;"*"))</f>
      </c>
      <c r="M830" t="str" s="23">
        <f aca="0">IF(OR(COUNTA(B830:J830)=0,R830&lt;&gt;""),"",IFERROR(LOOKUP(2,1/(ISNUMBER(SEARCH(P830,보유목록!$I$2:$I$3001))*ISNUMBER(SEARCH(Q830,보유목록!$I$2:$I$3001))*(보유목록!$H$2:$H$3001=O830)),보유목록!$B$2:$B$3001),IFERROR(LOOKUP(2,1/(ISNUMBER(SEARCH(P830,보유목록!$I$2:$I$3001))*ISNUMBER(SEARCH(Q830,보유목록!$I$2:$I$3001))),보유목록!$B$2:$B$3001),"")))</f>
      </c>
      <c r="N830" s="25"/>
      <c r="O830" t="str">
        <f>IFERROR(IF(AND(LEN(SUBSTITUTE(SUBSTITUTE(SUBSTITUTE(TRIM(C830&amp;""),CHAR(160),"")," ",""),"년",""))=4,VALUE(SUBSTITUTE(SUBSTITUTE(SUBSTITUTE(TRIM(C830&amp;""),CHAR(160),"")," ",""),"년",""))&gt;=1900,VALUE(SUBSTITUTE(SUBSTITUTE(SUBSTITUTE(TRIM(C830&amp;""),CHAR(160),"")," ",""),"년",""))&lt;=2099,TEXT(VALUE(SUBSTITUTE(SUBSTITUTE(SUBSTITUTE(TRIM(C830&amp;""),CHAR(160),"")," ",""),"년","")),"0000")=SUBSTITUTE(SUBSTITUTE(SUBSTITUTE(TRIM(C830&amp;""),CHAR(160),"")," ",""),"년","")),SUBSTITUTE(SUBSTITUTE(SUBSTITUTE(TRIM(C830&amp;""),CHAR(160),"")," ",""),"년",""),""),"")</f>
      </c>
      <c r="P830" t="str">
        <f>SUBSTITUTE(SUBSTITUTE(SUBSTITUTE(SUBSTITUTE(SUBSTITUTE(SUBSTITUTE(SUBSTITUTE(SUBSTITUTE(TRIM(D830&amp;""),CHAR(160),"")," ",""),"초등학교","초"),"중학교","중"),"고등학교","고"),"~","~~"),"*","~*"),"?","~?")</f>
      </c>
      <c r="Q830" t="str">
        <f>SUBSTITUTE(SUBSTITUTE(SUBSTITUTE(SUBSTITUTE(SUBSTITUTE(SUBSTITUTE(SUBSTITUTE(SUBSTITUTE(TRIM(E830&amp;""),CHAR(160),"")," ",""),"초등학교","초"),"중학교","중"),"고등학교","고"),"~","~~"),"*","~*"),"?","~?")</f>
      </c>
      <c r="R830" t="str">
        <f>IF(COUNTA(B830:J830)=0,"",IF(AND(O830&lt;&gt;"",P830&lt;&gt;"",Q830&lt;&gt;""),"","입력누락"))</f>
      </c>
    </row>
    <row r="831" customFormat="false" ht="15" hidden="false" customHeight="false" outlineLevel="0" collapsed="false">
      <c r="A831" t="n" s="19">
        <f aca="0">IF(COUNTA(B831:J831)=0,"",ROW()-1)</f>
      </c>
      <c r="B831" s="24"/>
      <c r="C831" s="25"/>
      <c r="D831" s="8"/>
      <c r="E831" s="8"/>
      <c r="F831" s="26"/>
      <c r="G831" s="24"/>
      <c r="H831" s="25"/>
      <c r="I831" s="25"/>
      <c r="J831" s="26"/>
      <c r="K831" t="str" s="15">
        <f aca="0">IF(COUNTA(B831:J831)=0,"",IF(R831&lt;&gt;"","확인필요(입력누락)",IF(COUNTIFS(보유목록!$I$2:$I$3001,"*"&amp;P831&amp;"*",보유목록!$I$2:$I$3001,"*"&amp;Q831&amp;"*",보유목록!$H$2:$H$3001,O831)&gt;0,"있음",IF(COUNTIFS(보유목록!$I$2:$I$3001,"*"&amp;P831&amp;"*",보유목록!$I$2:$I$3001,"*"&amp;Q831&amp;"*")&gt;0,"확인필요(연도다름)",IF(COUNTIFS(보유목록!$I$2:$I$3001,"*"&amp;P831&amp;"*",보유목록!$H$2:$H$3001,O831)&gt;0,"확인필요(같은학교·같은연도)","없음")))))</f>
      </c>
      <c r="L831" t="str" s="16">
        <f aca="0">IF(OR(COUNTA(B831:J831)=0,R831&lt;&gt;""),"",COUNTIFS(보유목록!$I$2:$I$3001,"*"&amp;P831&amp;"*",보유목록!$I$2:$I$3001,"*"&amp;Q831&amp;"*"))</f>
      </c>
      <c r="M831" t="str" s="23">
        <f aca="0">IF(OR(COUNTA(B831:J831)=0,R831&lt;&gt;""),"",IFERROR(LOOKUP(2,1/(ISNUMBER(SEARCH(P831,보유목록!$I$2:$I$3001))*ISNUMBER(SEARCH(Q831,보유목록!$I$2:$I$3001))*(보유목록!$H$2:$H$3001=O831)),보유목록!$B$2:$B$3001),IFERROR(LOOKUP(2,1/(ISNUMBER(SEARCH(P831,보유목록!$I$2:$I$3001))*ISNUMBER(SEARCH(Q831,보유목록!$I$2:$I$3001))),보유목록!$B$2:$B$3001),"")))</f>
      </c>
      <c r="N831" s="25"/>
      <c r="O831" t="str">
        <f>IFERROR(IF(AND(LEN(SUBSTITUTE(SUBSTITUTE(SUBSTITUTE(TRIM(C831&amp;""),CHAR(160),"")," ",""),"년",""))=4,VALUE(SUBSTITUTE(SUBSTITUTE(SUBSTITUTE(TRIM(C831&amp;""),CHAR(160),"")," ",""),"년",""))&gt;=1900,VALUE(SUBSTITUTE(SUBSTITUTE(SUBSTITUTE(TRIM(C831&amp;""),CHAR(160),"")," ",""),"년",""))&lt;=2099,TEXT(VALUE(SUBSTITUTE(SUBSTITUTE(SUBSTITUTE(TRIM(C831&amp;""),CHAR(160),"")," ",""),"년","")),"0000")=SUBSTITUTE(SUBSTITUTE(SUBSTITUTE(TRIM(C831&amp;""),CHAR(160),"")," ",""),"년","")),SUBSTITUTE(SUBSTITUTE(SUBSTITUTE(TRIM(C831&amp;""),CHAR(160),"")," ",""),"년",""),""),"")</f>
      </c>
      <c r="P831" t="str">
        <f>SUBSTITUTE(SUBSTITUTE(SUBSTITUTE(SUBSTITUTE(SUBSTITUTE(SUBSTITUTE(SUBSTITUTE(SUBSTITUTE(TRIM(D831&amp;""),CHAR(160),"")," ",""),"초등학교","초"),"중학교","중"),"고등학교","고"),"~","~~"),"*","~*"),"?","~?")</f>
      </c>
      <c r="Q831" t="str">
        <f>SUBSTITUTE(SUBSTITUTE(SUBSTITUTE(SUBSTITUTE(SUBSTITUTE(SUBSTITUTE(SUBSTITUTE(SUBSTITUTE(TRIM(E831&amp;""),CHAR(160),"")," ",""),"초등학교","초"),"중학교","중"),"고등학교","고"),"~","~~"),"*","~*"),"?","~?")</f>
      </c>
      <c r="R831" t="str">
        <f>IF(COUNTA(B831:J831)=0,"",IF(AND(O831&lt;&gt;"",P831&lt;&gt;"",Q831&lt;&gt;""),"","입력누락"))</f>
      </c>
    </row>
    <row r="832" customFormat="false" ht="15" hidden="false" customHeight="false" outlineLevel="0" collapsed="false">
      <c r="A832" t="n" s="19">
        <f aca="0">IF(COUNTA(B832:J832)=0,"",ROW()-1)</f>
      </c>
      <c r="B832" s="24"/>
      <c r="C832" s="25"/>
      <c r="D832" s="8"/>
      <c r="E832" s="8"/>
      <c r="F832" s="26"/>
      <c r="G832" s="24"/>
      <c r="H832" s="25"/>
      <c r="I832" s="25"/>
      <c r="J832" s="26"/>
      <c r="K832" t="str" s="15">
        <f aca="0">IF(COUNTA(B832:J832)=0,"",IF(R832&lt;&gt;"","확인필요(입력누락)",IF(COUNTIFS(보유목록!$I$2:$I$3001,"*"&amp;P832&amp;"*",보유목록!$I$2:$I$3001,"*"&amp;Q832&amp;"*",보유목록!$H$2:$H$3001,O832)&gt;0,"있음",IF(COUNTIFS(보유목록!$I$2:$I$3001,"*"&amp;P832&amp;"*",보유목록!$I$2:$I$3001,"*"&amp;Q832&amp;"*")&gt;0,"확인필요(연도다름)",IF(COUNTIFS(보유목록!$I$2:$I$3001,"*"&amp;P832&amp;"*",보유목록!$H$2:$H$3001,O832)&gt;0,"확인필요(같은학교·같은연도)","없음")))))</f>
      </c>
      <c r="L832" t="str" s="16">
        <f aca="0">IF(OR(COUNTA(B832:J832)=0,R832&lt;&gt;""),"",COUNTIFS(보유목록!$I$2:$I$3001,"*"&amp;P832&amp;"*",보유목록!$I$2:$I$3001,"*"&amp;Q832&amp;"*"))</f>
      </c>
      <c r="M832" t="str" s="23">
        <f aca="0">IF(OR(COUNTA(B832:J832)=0,R832&lt;&gt;""),"",IFERROR(LOOKUP(2,1/(ISNUMBER(SEARCH(P832,보유목록!$I$2:$I$3001))*ISNUMBER(SEARCH(Q832,보유목록!$I$2:$I$3001))*(보유목록!$H$2:$H$3001=O832)),보유목록!$B$2:$B$3001),IFERROR(LOOKUP(2,1/(ISNUMBER(SEARCH(P832,보유목록!$I$2:$I$3001))*ISNUMBER(SEARCH(Q832,보유목록!$I$2:$I$3001))),보유목록!$B$2:$B$3001),"")))</f>
      </c>
      <c r="N832" s="25"/>
      <c r="O832" t="str">
        <f>IFERROR(IF(AND(LEN(SUBSTITUTE(SUBSTITUTE(SUBSTITUTE(TRIM(C832&amp;""),CHAR(160),"")," ",""),"년",""))=4,VALUE(SUBSTITUTE(SUBSTITUTE(SUBSTITUTE(TRIM(C832&amp;""),CHAR(160),"")," ",""),"년",""))&gt;=1900,VALUE(SUBSTITUTE(SUBSTITUTE(SUBSTITUTE(TRIM(C832&amp;""),CHAR(160),"")," ",""),"년",""))&lt;=2099,TEXT(VALUE(SUBSTITUTE(SUBSTITUTE(SUBSTITUTE(TRIM(C832&amp;""),CHAR(160),"")," ",""),"년","")),"0000")=SUBSTITUTE(SUBSTITUTE(SUBSTITUTE(TRIM(C832&amp;""),CHAR(160),"")," ",""),"년","")),SUBSTITUTE(SUBSTITUTE(SUBSTITUTE(TRIM(C832&amp;""),CHAR(160),"")," ",""),"년",""),""),"")</f>
      </c>
      <c r="P832" t="str">
        <f>SUBSTITUTE(SUBSTITUTE(SUBSTITUTE(SUBSTITUTE(SUBSTITUTE(SUBSTITUTE(SUBSTITUTE(SUBSTITUTE(TRIM(D832&amp;""),CHAR(160),"")," ",""),"초등학교","초"),"중학교","중"),"고등학교","고"),"~","~~"),"*","~*"),"?","~?")</f>
      </c>
      <c r="Q832" t="str">
        <f>SUBSTITUTE(SUBSTITUTE(SUBSTITUTE(SUBSTITUTE(SUBSTITUTE(SUBSTITUTE(SUBSTITUTE(SUBSTITUTE(TRIM(E832&amp;""),CHAR(160),"")," ",""),"초등학교","초"),"중학교","중"),"고등학교","고"),"~","~~"),"*","~*"),"?","~?")</f>
      </c>
      <c r="R832" t="str">
        <f>IF(COUNTA(B832:J832)=0,"",IF(AND(O832&lt;&gt;"",P832&lt;&gt;"",Q832&lt;&gt;""),"","입력누락"))</f>
      </c>
    </row>
    <row r="833" customFormat="false" ht="15" hidden="false" customHeight="false" outlineLevel="0" collapsed="false">
      <c r="A833" t="n" s="19">
        <f aca="0">IF(COUNTA(B833:J833)=0,"",ROW()-1)</f>
      </c>
      <c r="B833" s="24"/>
      <c r="C833" s="25"/>
      <c r="D833" s="8"/>
      <c r="E833" s="8"/>
      <c r="F833" s="26"/>
      <c r="G833" s="24"/>
      <c r="H833" s="25"/>
      <c r="I833" s="25"/>
      <c r="J833" s="26"/>
      <c r="K833" t="str" s="15">
        <f aca="0">IF(COUNTA(B833:J833)=0,"",IF(R833&lt;&gt;"","확인필요(입력누락)",IF(COUNTIFS(보유목록!$I$2:$I$3001,"*"&amp;P833&amp;"*",보유목록!$I$2:$I$3001,"*"&amp;Q833&amp;"*",보유목록!$H$2:$H$3001,O833)&gt;0,"있음",IF(COUNTIFS(보유목록!$I$2:$I$3001,"*"&amp;P833&amp;"*",보유목록!$I$2:$I$3001,"*"&amp;Q833&amp;"*")&gt;0,"확인필요(연도다름)",IF(COUNTIFS(보유목록!$I$2:$I$3001,"*"&amp;P833&amp;"*",보유목록!$H$2:$H$3001,O833)&gt;0,"확인필요(같은학교·같은연도)","없음")))))</f>
      </c>
      <c r="L833" t="str" s="16">
        <f aca="0">IF(OR(COUNTA(B833:J833)=0,R833&lt;&gt;""),"",COUNTIFS(보유목록!$I$2:$I$3001,"*"&amp;P833&amp;"*",보유목록!$I$2:$I$3001,"*"&amp;Q833&amp;"*"))</f>
      </c>
      <c r="M833" t="str" s="23">
        <f aca="0">IF(OR(COUNTA(B833:J833)=0,R833&lt;&gt;""),"",IFERROR(LOOKUP(2,1/(ISNUMBER(SEARCH(P833,보유목록!$I$2:$I$3001))*ISNUMBER(SEARCH(Q833,보유목록!$I$2:$I$3001))*(보유목록!$H$2:$H$3001=O833)),보유목록!$B$2:$B$3001),IFERROR(LOOKUP(2,1/(ISNUMBER(SEARCH(P833,보유목록!$I$2:$I$3001))*ISNUMBER(SEARCH(Q833,보유목록!$I$2:$I$3001))),보유목록!$B$2:$B$3001),"")))</f>
      </c>
      <c r="N833" s="25"/>
      <c r="O833" t="str">
        <f>IFERROR(IF(AND(LEN(SUBSTITUTE(SUBSTITUTE(SUBSTITUTE(TRIM(C833&amp;""),CHAR(160),"")," ",""),"년",""))=4,VALUE(SUBSTITUTE(SUBSTITUTE(SUBSTITUTE(TRIM(C833&amp;""),CHAR(160),"")," ",""),"년",""))&gt;=1900,VALUE(SUBSTITUTE(SUBSTITUTE(SUBSTITUTE(TRIM(C833&amp;""),CHAR(160),"")," ",""),"년",""))&lt;=2099,TEXT(VALUE(SUBSTITUTE(SUBSTITUTE(SUBSTITUTE(TRIM(C833&amp;""),CHAR(160),"")," ",""),"년","")),"0000")=SUBSTITUTE(SUBSTITUTE(SUBSTITUTE(TRIM(C833&amp;""),CHAR(160),"")," ",""),"년","")),SUBSTITUTE(SUBSTITUTE(SUBSTITUTE(TRIM(C833&amp;""),CHAR(160),"")," ",""),"년",""),""),"")</f>
      </c>
      <c r="P833" t="str">
        <f>SUBSTITUTE(SUBSTITUTE(SUBSTITUTE(SUBSTITUTE(SUBSTITUTE(SUBSTITUTE(SUBSTITUTE(SUBSTITUTE(TRIM(D833&amp;""),CHAR(160),"")," ",""),"초등학교","초"),"중학교","중"),"고등학교","고"),"~","~~"),"*","~*"),"?","~?")</f>
      </c>
      <c r="Q833" t="str">
        <f>SUBSTITUTE(SUBSTITUTE(SUBSTITUTE(SUBSTITUTE(SUBSTITUTE(SUBSTITUTE(SUBSTITUTE(SUBSTITUTE(TRIM(E833&amp;""),CHAR(160),"")," ",""),"초등학교","초"),"중학교","중"),"고등학교","고"),"~","~~"),"*","~*"),"?","~?")</f>
      </c>
      <c r="R833" t="str">
        <f>IF(COUNTA(B833:J833)=0,"",IF(AND(O833&lt;&gt;"",P833&lt;&gt;"",Q833&lt;&gt;""),"","입력누락"))</f>
      </c>
    </row>
    <row r="834" customFormat="false" ht="15" hidden="false" customHeight="false" outlineLevel="0" collapsed="false">
      <c r="A834" t="n" s="19">
        <f aca="0">IF(COUNTA(B834:J834)=0,"",ROW()-1)</f>
      </c>
      <c r="B834" s="24"/>
      <c r="C834" s="25"/>
      <c r="D834" s="8"/>
      <c r="E834" s="8"/>
      <c r="F834" s="26"/>
      <c r="G834" s="24"/>
      <c r="H834" s="25"/>
      <c r="I834" s="25"/>
      <c r="J834" s="26"/>
      <c r="K834" t="str" s="15">
        <f aca="0">IF(COUNTA(B834:J834)=0,"",IF(R834&lt;&gt;"","확인필요(입력누락)",IF(COUNTIFS(보유목록!$I$2:$I$3001,"*"&amp;P834&amp;"*",보유목록!$I$2:$I$3001,"*"&amp;Q834&amp;"*",보유목록!$H$2:$H$3001,O834)&gt;0,"있음",IF(COUNTIFS(보유목록!$I$2:$I$3001,"*"&amp;P834&amp;"*",보유목록!$I$2:$I$3001,"*"&amp;Q834&amp;"*")&gt;0,"확인필요(연도다름)",IF(COUNTIFS(보유목록!$I$2:$I$3001,"*"&amp;P834&amp;"*",보유목록!$H$2:$H$3001,O834)&gt;0,"확인필요(같은학교·같은연도)","없음")))))</f>
      </c>
      <c r="L834" t="str" s="16">
        <f aca="0">IF(OR(COUNTA(B834:J834)=0,R834&lt;&gt;""),"",COUNTIFS(보유목록!$I$2:$I$3001,"*"&amp;P834&amp;"*",보유목록!$I$2:$I$3001,"*"&amp;Q834&amp;"*"))</f>
      </c>
      <c r="M834" t="str" s="23">
        <f aca="0">IF(OR(COUNTA(B834:J834)=0,R834&lt;&gt;""),"",IFERROR(LOOKUP(2,1/(ISNUMBER(SEARCH(P834,보유목록!$I$2:$I$3001))*ISNUMBER(SEARCH(Q834,보유목록!$I$2:$I$3001))*(보유목록!$H$2:$H$3001=O834)),보유목록!$B$2:$B$3001),IFERROR(LOOKUP(2,1/(ISNUMBER(SEARCH(P834,보유목록!$I$2:$I$3001))*ISNUMBER(SEARCH(Q834,보유목록!$I$2:$I$3001))),보유목록!$B$2:$B$3001),"")))</f>
      </c>
      <c r="N834" s="25"/>
      <c r="O834" t="str">
        <f>IFERROR(IF(AND(LEN(SUBSTITUTE(SUBSTITUTE(SUBSTITUTE(TRIM(C834&amp;""),CHAR(160),"")," ",""),"년",""))=4,VALUE(SUBSTITUTE(SUBSTITUTE(SUBSTITUTE(TRIM(C834&amp;""),CHAR(160),"")," ",""),"년",""))&gt;=1900,VALUE(SUBSTITUTE(SUBSTITUTE(SUBSTITUTE(TRIM(C834&amp;""),CHAR(160),"")," ",""),"년",""))&lt;=2099,TEXT(VALUE(SUBSTITUTE(SUBSTITUTE(SUBSTITUTE(TRIM(C834&amp;""),CHAR(160),"")," ",""),"년","")),"0000")=SUBSTITUTE(SUBSTITUTE(SUBSTITUTE(TRIM(C834&amp;""),CHAR(160),"")," ",""),"년","")),SUBSTITUTE(SUBSTITUTE(SUBSTITUTE(TRIM(C834&amp;""),CHAR(160),"")," ",""),"년",""),""),"")</f>
      </c>
      <c r="P834" t="str">
        <f>SUBSTITUTE(SUBSTITUTE(SUBSTITUTE(SUBSTITUTE(SUBSTITUTE(SUBSTITUTE(SUBSTITUTE(SUBSTITUTE(TRIM(D834&amp;""),CHAR(160),"")," ",""),"초등학교","초"),"중학교","중"),"고등학교","고"),"~","~~"),"*","~*"),"?","~?")</f>
      </c>
      <c r="Q834" t="str">
        <f>SUBSTITUTE(SUBSTITUTE(SUBSTITUTE(SUBSTITUTE(SUBSTITUTE(SUBSTITUTE(SUBSTITUTE(SUBSTITUTE(TRIM(E834&amp;""),CHAR(160),"")," ",""),"초등학교","초"),"중학교","중"),"고등학교","고"),"~","~~"),"*","~*"),"?","~?")</f>
      </c>
      <c r="R834" t="str">
        <f>IF(COUNTA(B834:J834)=0,"",IF(AND(O834&lt;&gt;"",P834&lt;&gt;"",Q834&lt;&gt;""),"","입력누락"))</f>
      </c>
    </row>
    <row r="835" customFormat="false" ht="15" hidden="false" customHeight="false" outlineLevel="0" collapsed="false">
      <c r="A835" t="n" s="19">
        <f aca="0">IF(COUNTA(B835:J835)=0,"",ROW()-1)</f>
      </c>
      <c r="B835" s="24"/>
      <c r="C835" s="25"/>
      <c r="D835" s="8"/>
      <c r="E835" s="8"/>
      <c r="F835" s="26"/>
      <c r="G835" s="24"/>
      <c r="H835" s="25"/>
      <c r="I835" s="25"/>
      <c r="J835" s="26"/>
      <c r="K835" t="str" s="15">
        <f aca="0">IF(COUNTA(B835:J835)=0,"",IF(R835&lt;&gt;"","확인필요(입력누락)",IF(COUNTIFS(보유목록!$I$2:$I$3001,"*"&amp;P835&amp;"*",보유목록!$I$2:$I$3001,"*"&amp;Q835&amp;"*",보유목록!$H$2:$H$3001,O835)&gt;0,"있음",IF(COUNTIFS(보유목록!$I$2:$I$3001,"*"&amp;P835&amp;"*",보유목록!$I$2:$I$3001,"*"&amp;Q835&amp;"*")&gt;0,"확인필요(연도다름)",IF(COUNTIFS(보유목록!$I$2:$I$3001,"*"&amp;P835&amp;"*",보유목록!$H$2:$H$3001,O835)&gt;0,"확인필요(같은학교·같은연도)","없음")))))</f>
      </c>
      <c r="L835" t="str" s="16">
        <f aca="0">IF(OR(COUNTA(B835:J835)=0,R835&lt;&gt;""),"",COUNTIFS(보유목록!$I$2:$I$3001,"*"&amp;P835&amp;"*",보유목록!$I$2:$I$3001,"*"&amp;Q835&amp;"*"))</f>
      </c>
      <c r="M835" t="str" s="23">
        <f aca="0">IF(OR(COUNTA(B835:J835)=0,R835&lt;&gt;""),"",IFERROR(LOOKUP(2,1/(ISNUMBER(SEARCH(P835,보유목록!$I$2:$I$3001))*ISNUMBER(SEARCH(Q835,보유목록!$I$2:$I$3001))*(보유목록!$H$2:$H$3001=O835)),보유목록!$B$2:$B$3001),IFERROR(LOOKUP(2,1/(ISNUMBER(SEARCH(P835,보유목록!$I$2:$I$3001))*ISNUMBER(SEARCH(Q835,보유목록!$I$2:$I$3001))),보유목록!$B$2:$B$3001),"")))</f>
      </c>
      <c r="N835" s="25"/>
      <c r="O835" t="str">
        <f>IFERROR(IF(AND(LEN(SUBSTITUTE(SUBSTITUTE(SUBSTITUTE(TRIM(C835&amp;""),CHAR(160),"")," ",""),"년",""))=4,VALUE(SUBSTITUTE(SUBSTITUTE(SUBSTITUTE(TRIM(C835&amp;""),CHAR(160),"")," ",""),"년",""))&gt;=1900,VALUE(SUBSTITUTE(SUBSTITUTE(SUBSTITUTE(TRIM(C835&amp;""),CHAR(160),"")," ",""),"년",""))&lt;=2099,TEXT(VALUE(SUBSTITUTE(SUBSTITUTE(SUBSTITUTE(TRIM(C835&amp;""),CHAR(160),"")," ",""),"년","")),"0000")=SUBSTITUTE(SUBSTITUTE(SUBSTITUTE(TRIM(C835&amp;""),CHAR(160),"")," ",""),"년","")),SUBSTITUTE(SUBSTITUTE(SUBSTITUTE(TRIM(C835&amp;""),CHAR(160),"")," ",""),"년",""),""),"")</f>
      </c>
      <c r="P835" t="str">
        <f>SUBSTITUTE(SUBSTITUTE(SUBSTITUTE(SUBSTITUTE(SUBSTITUTE(SUBSTITUTE(SUBSTITUTE(SUBSTITUTE(TRIM(D835&amp;""),CHAR(160),"")," ",""),"초등학교","초"),"중학교","중"),"고등학교","고"),"~","~~"),"*","~*"),"?","~?")</f>
      </c>
      <c r="Q835" t="str">
        <f>SUBSTITUTE(SUBSTITUTE(SUBSTITUTE(SUBSTITUTE(SUBSTITUTE(SUBSTITUTE(SUBSTITUTE(SUBSTITUTE(TRIM(E835&amp;""),CHAR(160),"")," ",""),"초등학교","초"),"중학교","중"),"고등학교","고"),"~","~~"),"*","~*"),"?","~?")</f>
      </c>
      <c r="R835" t="str">
        <f>IF(COUNTA(B835:J835)=0,"",IF(AND(O835&lt;&gt;"",P835&lt;&gt;"",Q835&lt;&gt;""),"","입력누락"))</f>
      </c>
    </row>
    <row r="836" customFormat="false" ht="15" hidden="false" customHeight="false" outlineLevel="0" collapsed="false">
      <c r="A836" t="n" s="19">
        <f aca="0">IF(COUNTA(B836:J836)=0,"",ROW()-1)</f>
      </c>
      <c r="B836" s="24"/>
      <c r="C836" s="25"/>
      <c r="D836" s="8"/>
      <c r="E836" s="8"/>
      <c r="F836" s="26"/>
      <c r="G836" s="24"/>
      <c r="H836" s="25"/>
      <c r="I836" s="25"/>
      <c r="J836" s="26"/>
      <c r="K836" t="str" s="15">
        <f aca="0">IF(COUNTA(B836:J836)=0,"",IF(R836&lt;&gt;"","확인필요(입력누락)",IF(COUNTIFS(보유목록!$I$2:$I$3001,"*"&amp;P836&amp;"*",보유목록!$I$2:$I$3001,"*"&amp;Q836&amp;"*",보유목록!$H$2:$H$3001,O836)&gt;0,"있음",IF(COUNTIFS(보유목록!$I$2:$I$3001,"*"&amp;P836&amp;"*",보유목록!$I$2:$I$3001,"*"&amp;Q836&amp;"*")&gt;0,"확인필요(연도다름)",IF(COUNTIFS(보유목록!$I$2:$I$3001,"*"&amp;P836&amp;"*",보유목록!$H$2:$H$3001,O836)&gt;0,"확인필요(같은학교·같은연도)","없음")))))</f>
      </c>
      <c r="L836" t="str" s="16">
        <f aca="0">IF(OR(COUNTA(B836:J836)=0,R836&lt;&gt;""),"",COUNTIFS(보유목록!$I$2:$I$3001,"*"&amp;P836&amp;"*",보유목록!$I$2:$I$3001,"*"&amp;Q836&amp;"*"))</f>
      </c>
      <c r="M836" t="str" s="23">
        <f aca="0">IF(OR(COUNTA(B836:J836)=0,R836&lt;&gt;""),"",IFERROR(LOOKUP(2,1/(ISNUMBER(SEARCH(P836,보유목록!$I$2:$I$3001))*ISNUMBER(SEARCH(Q836,보유목록!$I$2:$I$3001))*(보유목록!$H$2:$H$3001=O836)),보유목록!$B$2:$B$3001),IFERROR(LOOKUP(2,1/(ISNUMBER(SEARCH(P836,보유목록!$I$2:$I$3001))*ISNUMBER(SEARCH(Q836,보유목록!$I$2:$I$3001))),보유목록!$B$2:$B$3001),"")))</f>
      </c>
      <c r="N836" s="25"/>
      <c r="O836" t="str">
        <f>IFERROR(IF(AND(LEN(SUBSTITUTE(SUBSTITUTE(SUBSTITUTE(TRIM(C836&amp;""),CHAR(160),"")," ",""),"년",""))=4,VALUE(SUBSTITUTE(SUBSTITUTE(SUBSTITUTE(TRIM(C836&amp;""),CHAR(160),"")," ",""),"년",""))&gt;=1900,VALUE(SUBSTITUTE(SUBSTITUTE(SUBSTITUTE(TRIM(C836&amp;""),CHAR(160),"")," ",""),"년",""))&lt;=2099,TEXT(VALUE(SUBSTITUTE(SUBSTITUTE(SUBSTITUTE(TRIM(C836&amp;""),CHAR(160),"")," ",""),"년","")),"0000")=SUBSTITUTE(SUBSTITUTE(SUBSTITUTE(TRIM(C836&amp;""),CHAR(160),"")," ",""),"년","")),SUBSTITUTE(SUBSTITUTE(SUBSTITUTE(TRIM(C836&amp;""),CHAR(160),"")," ",""),"년",""),""),"")</f>
      </c>
      <c r="P836" t="str">
        <f>SUBSTITUTE(SUBSTITUTE(SUBSTITUTE(SUBSTITUTE(SUBSTITUTE(SUBSTITUTE(SUBSTITUTE(SUBSTITUTE(TRIM(D836&amp;""),CHAR(160),"")," ",""),"초등학교","초"),"중학교","중"),"고등학교","고"),"~","~~"),"*","~*"),"?","~?")</f>
      </c>
      <c r="Q836" t="str">
        <f>SUBSTITUTE(SUBSTITUTE(SUBSTITUTE(SUBSTITUTE(SUBSTITUTE(SUBSTITUTE(SUBSTITUTE(SUBSTITUTE(TRIM(E836&amp;""),CHAR(160),"")," ",""),"초등학교","초"),"중학교","중"),"고등학교","고"),"~","~~"),"*","~*"),"?","~?")</f>
      </c>
      <c r="R836" t="str">
        <f>IF(COUNTA(B836:J836)=0,"",IF(AND(O836&lt;&gt;"",P836&lt;&gt;"",Q836&lt;&gt;""),"","입력누락"))</f>
      </c>
    </row>
    <row r="837" customFormat="false" ht="15" hidden="false" customHeight="false" outlineLevel="0" collapsed="false">
      <c r="A837" t="n" s="19">
        <f aca="0">IF(COUNTA(B837:J837)=0,"",ROW()-1)</f>
      </c>
      <c r="B837" s="24"/>
      <c r="C837" s="25"/>
      <c r="D837" s="8"/>
      <c r="E837" s="8"/>
      <c r="F837" s="26"/>
      <c r="G837" s="24"/>
      <c r="H837" s="25"/>
      <c r="I837" s="25"/>
      <c r="J837" s="26"/>
      <c r="K837" t="str" s="15">
        <f aca="0">IF(COUNTA(B837:J837)=0,"",IF(R837&lt;&gt;"","확인필요(입력누락)",IF(COUNTIFS(보유목록!$I$2:$I$3001,"*"&amp;P837&amp;"*",보유목록!$I$2:$I$3001,"*"&amp;Q837&amp;"*",보유목록!$H$2:$H$3001,O837)&gt;0,"있음",IF(COUNTIFS(보유목록!$I$2:$I$3001,"*"&amp;P837&amp;"*",보유목록!$I$2:$I$3001,"*"&amp;Q837&amp;"*")&gt;0,"확인필요(연도다름)",IF(COUNTIFS(보유목록!$I$2:$I$3001,"*"&amp;P837&amp;"*",보유목록!$H$2:$H$3001,O837)&gt;0,"확인필요(같은학교·같은연도)","없음")))))</f>
      </c>
      <c r="L837" t="str" s="16">
        <f aca="0">IF(OR(COUNTA(B837:J837)=0,R837&lt;&gt;""),"",COUNTIFS(보유목록!$I$2:$I$3001,"*"&amp;P837&amp;"*",보유목록!$I$2:$I$3001,"*"&amp;Q837&amp;"*"))</f>
      </c>
      <c r="M837" t="str" s="23">
        <f aca="0">IF(OR(COUNTA(B837:J837)=0,R837&lt;&gt;""),"",IFERROR(LOOKUP(2,1/(ISNUMBER(SEARCH(P837,보유목록!$I$2:$I$3001))*ISNUMBER(SEARCH(Q837,보유목록!$I$2:$I$3001))*(보유목록!$H$2:$H$3001=O837)),보유목록!$B$2:$B$3001),IFERROR(LOOKUP(2,1/(ISNUMBER(SEARCH(P837,보유목록!$I$2:$I$3001))*ISNUMBER(SEARCH(Q837,보유목록!$I$2:$I$3001))),보유목록!$B$2:$B$3001),"")))</f>
      </c>
      <c r="N837" s="25"/>
      <c r="O837" t="str">
        <f>IFERROR(IF(AND(LEN(SUBSTITUTE(SUBSTITUTE(SUBSTITUTE(TRIM(C837&amp;""),CHAR(160),"")," ",""),"년",""))=4,VALUE(SUBSTITUTE(SUBSTITUTE(SUBSTITUTE(TRIM(C837&amp;""),CHAR(160),"")," ",""),"년",""))&gt;=1900,VALUE(SUBSTITUTE(SUBSTITUTE(SUBSTITUTE(TRIM(C837&amp;""),CHAR(160),"")," ",""),"년",""))&lt;=2099,TEXT(VALUE(SUBSTITUTE(SUBSTITUTE(SUBSTITUTE(TRIM(C837&amp;""),CHAR(160),"")," ",""),"년","")),"0000")=SUBSTITUTE(SUBSTITUTE(SUBSTITUTE(TRIM(C837&amp;""),CHAR(160),"")," ",""),"년","")),SUBSTITUTE(SUBSTITUTE(SUBSTITUTE(TRIM(C837&amp;""),CHAR(160),"")," ",""),"년",""),""),"")</f>
      </c>
      <c r="P837" t="str">
        <f>SUBSTITUTE(SUBSTITUTE(SUBSTITUTE(SUBSTITUTE(SUBSTITUTE(SUBSTITUTE(SUBSTITUTE(SUBSTITUTE(TRIM(D837&amp;""),CHAR(160),"")," ",""),"초등학교","초"),"중학교","중"),"고등학교","고"),"~","~~"),"*","~*"),"?","~?")</f>
      </c>
      <c r="Q837" t="str">
        <f>SUBSTITUTE(SUBSTITUTE(SUBSTITUTE(SUBSTITUTE(SUBSTITUTE(SUBSTITUTE(SUBSTITUTE(SUBSTITUTE(TRIM(E837&amp;""),CHAR(160),"")," ",""),"초등학교","초"),"중학교","중"),"고등학교","고"),"~","~~"),"*","~*"),"?","~?")</f>
      </c>
      <c r="R837" t="str">
        <f>IF(COUNTA(B837:J837)=0,"",IF(AND(O837&lt;&gt;"",P837&lt;&gt;"",Q837&lt;&gt;""),"","입력누락"))</f>
      </c>
    </row>
    <row r="838" customFormat="false" ht="15" hidden="false" customHeight="false" outlineLevel="0" collapsed="false">
      <c r="A838" t="n" s="19">
        <f aca="0">IF(COUNTA(B838:J838)=0,"",ROW()-1)</f>
      </c>
      <c r="B838" s="24"/>
      <c r="C838" s="25"/>
      <c r="D838" s="8"/>
      <c r="E838" s="8"/>
      <c r="F838" s="26"/>
      <c r="G838" s="24"/>
      <c r="H838" s="25"/>
      <c r="I838" s="25"/>
      <c r="J838" s="26"/>
      <c r="K838" t="str" s="15">
        <f aca="0">IF(COUNTA(B838:J838)=0,"",IF(R838&lt;&gt;"","확인필요(입력누락)",IF(COUNTIFS(보유목록!$I$2:$I$3001,"*"&amp;P838&amp;"*",보유목록!$I$2:$I$3001,"*"&amp;Q838&amp;"*",보유목록!$H$2:$H$3001,O838)&gt;0,"있음",IF(COUNTIFS(보유목록!$I$2:$I$3001,"*"&amp;P838&amp;"*",보유목록!$I$2:$I$3001,"*"&amp;Q838&amp;"*")&gt;0,"확인필요(연도다름)",IF(COUNTIFS(보유목록!$I$2:$I$3001,"*"&amp;P838&amp;"*",보유목록!$H$2:$H$3001,O838)&gt;0,"확인필요(같은학교·같은연도)","없음")))))</f>
      </c>
      <c r="L838" t="str" s="16">
        <f aca="0">IF(OR(COUNTA(B838:J838)=0,R838&lt;&gt;""),"",COUNTIFS(보유목록!$I$2:$I$3001,"*"&amp;P838&amp;"*",보유목록!$I$2:$I$3001,"*"&amp;Q838&amp;"*"))</f>
      </c>
      <c r="M838" t="str" s="23">
        <f aca="0">IF(OR(COUNTA(B838:J838)=0,R838&lt;&gt;""),"",IFERROR(LOOKUP(2,1/(ISNUMBER(SEARCH(P838,보유목록!$I$2:$I$3001))*ISNUMBER(SEARCH(Q838,보유목록!$I$2:$I$3001))*(보유목록!$H$2:$H$3001=O838)),보유목록!$B$2:$B$3001),IFERROR(LOOKUP(2,1/(ISNUMBER(SEARCH(P838,보유목록!$I$2:$I$3001))*ISNUMBER(SEARCH(Q838,보유목록!$I$2:$I$3001))),보유목록!$B$2:$B$3001),"")))</f>
      </c>
      <c r="N838" s="25"/>
      <c r="O838" t="str">
        <f>IFERROR(IF(AND(LEN(SUBSTITUTE(SUBSTITUTE(SUBSTITUTE(TRIM(C838&amp;""),CHAR(160),"")," ",""),"년",""))=4,VALUE(SUBSTITUTE(SUBSTITUTE(SUBSTITUTE(TRIM(C838&amp;""),CHAR(160),"")," ",""),"년",""))&gt;=1900,VALUE(SUBSTITUTE(SUBSTITUTE(SUBSTITUTE(TRIM(C838&amp;""),CHAR(160),"")," ",""),"년",""))&lt;=2099,TEXT(VALUE(SUBSTITUTE(SUBSTITUTE(SUBSTITUTE(TRIM(C838&amp;""),CHAR(160),"")," ",""),"년","")),"0000")=SUBSTITUTE(SUBSTITUTE(SUBSTITUTE(TRIM(C838&amp;""),CHAR(160),"")," ",""),"년","")),SUBSTITUTE(SUBSTITUTE(SUBSTITUTE(TRIM(C838&amp;""),CHAR(160),"")," ",""),"년",""),""),"")</f>
      </c>
      <c r="P838" t="str">
        <f>SUBSTITUTE(SUBSTITUTE(SUBSTITUTE(SUBSTITUTE(SUBSTITUTE(SUBSTITUTE(SUBSTITUTE(SUBSTITUTE(TRIM(D838&amp;""),CHAR(160),"")," ",""),"초등학교","초"),"중학교","중"),"고등학교","고"),"~","~~"),"*","~*"),"?","~?")</f>
      </c>
      <c r="Q838" t="str">
        <f>SUBSTITUTE(SUBSTITUTE(SUBSTITUTE(SUBSTITUTE(SUBSTITUTE(SUBSTITUTE(SUBSTITUTE(SUBSTITUTE(TRIM(E838&amp;""),CHAR(160),"")," ",""),"초등학교","초"),"중학교","중"),"고등학교","고"),"~","~~"),"*","~*"),"?","~?")</f>
      </c>
      <c r="R838" t="str">
        <f>IF(COUNTA(B838:J838)=0,"",IF(AND(O838&lt;&gt;"",P838&lt;&gt;"",Q838&lt;&gt;""),"","입력누락"))</f>
      </c>
    </row>
    <row r="839" customFormat="false" ht="15" hidden="false" customHeight="false" outlineLevel="0" collapsed="false">
      <c r="A839" t="n" s="19">
        <f aca="0">IF(COUNTA(B839:J839)=0,"",ROW()-1)</f>
      </c>
      <c r="B839" s="24"/>
      <c r="C839" s="25"/>
      <c r="D839" s="8"/>
      <c r="E839" s="8"/>
      <c r="F839" s="26"/>
      <c r="G839" s="24"/>
      <c r="H839" s="25"/>
      <c r="I839" s="25"/>
      <c r="J839" s="26"/>
      <c r="K839" t="str" s="15">
        <f aca="0">IF(COUNTA(B839:J839)=0,"",IF(R839&lt;&gt;"","확인필요(입력누락)",IF(COUNTIFS(보유목록!$I$2:$I$3001,"*"&amp;P839&amp;"*",보유목록!$I$2:$I$3001,"*"&amp;Q839&amp;"*",보유목록!$H$2:$H$3001,O839)&gt;0,"있음",IF(COUNTIFS(보유목록!$I$2:$I$3001,"*"&amp;P839&amp;"*",보유목록!$I$2:$I$3001,"*"&amp;Q839&amp;"*")&gt;0,"확인필요(연도다름)",IF(COUNTIFS(보유목록!$I$2:$I$3001,"*"&amp;P839&amp;"*",보유목록!$H$2:$H$3001,O839)&gt;0,"확인필요(같은학교·같은연도)","없음")))))</f>
      </c>
      <c r="L839" t="str" s="16">
        <f aca="0">IF(OR(COUNTA(B839:J839)=0,R839&lt;&gt;""),"",COUNTIFS(보유목록!$I$2:$I$3001,"*"&amp;P839&amp;"*",보유목록!$I$2:$I$3001,"*"&amp;Q839&amp;"*"))</f>
      </c>
      <c r="M839" t="str" s="23">
        <f aca="0">IF(OR(COUNTA(B839:J839)=0,R839&lt;&gt;""),"",IFERROR(LOOKUP(2,1/(ISNUMBER(SEARCH(P839,보유목록!$I$2:$I$3001))*ISNUMBER(SEARCH(Q839,보유목록!$I$2:$I$3001))*(보유목록!$H$2:$H$3001=O839)),보유목록!$B$2:$B$3001),IFERROR(LOOKUP(2,1/(ISNUMBER(SEARCH(P839,보유목록!$I$2:$I$3001))*ISNUMBER(SEARCH(Q839,보유목록!$I$2:$I$3001))),보유목록!$B$2:$B$3001),"")))</f>
      </c>
      <c r="N839" s="25"/>
      <c r="O839" t="str">
        <f>IFERROR(IF(AND(LEN(SUBSTITUTE(SUBSTITUTE(SUBSTITUTE(TRIM(C839&amp;""),CHAR(160),"")," ",""),"년",""))=4,VALUE(SUBSTITUTE(SUBSTITUTE(SUBSTITUTE(TRIM(C839&amp;""),CHAR(160),"")," ",""),"년",""))&gt;=1900,VALUE(SUBSTITUTE(SUBSTITUTE(SUBSTITUTE(TRIM(C839&amp;""),CHAR(160),"")," ",""),"년",""))&lt;=2099,TEXT(VALUE(SUBSTITUTE(SUBSTITUTE(SUBSTITUTE(TRIM(C839&amp;""),CHAR(160),"")," ",""),"년","")),"0000")=SUBSTITUTE(SUBSTITUTE(SUBSTITUTE(TRIM(C839&amp;""),CHAR(160),"")," ",""),"년","")),SUBSTITUTE(SUBSTITUTE(SUBSTITUTE(TRIM(C839&amp;""),CHAR(160),"")," ",""),"년",""),""),"")</f>
      </c>
      <c r="P839" t="str">
        <f>SUBSTITUTE(SUBSTITUTE(SUBSTITUTE(SUBSTITUTE(SUBSTITUTE(SUBSTITUTE(SUBSTITUTE(SUBSTITUTE(TRIM(D839&amp;""),CHAR(160),"")," ",""),"초등학교","초"),"중학교","중"),"고등학교","고"),"~","~~"),"*","~*"),"?","~?")</f>
      </c>
      <c r="Q839" t="str">
        <f>SUBSTITUTE(SUBSTITUTE(SUBSTITUTE(SUBSTITUTE(SUBSTITUTE(SUBSTITUTE(SUBSTITUTE(SUBSTITUTE(TRIM(E839&amp;""),CHAR(160),"")," ",""),"초등학교","초"),"중학교","중"),"고등학교","고"),"~","~~"),"*","~*"),"?","~?")</f>
      </c>
      <c r="R839" t="str">
        <f>IF(COUNTA(B839:J839)=0,"",IF(AND(O839&lt;&gt;"",P839&lt;&gt;"",Q839&lt;&gt;""),"","입력누락"))</f>
      </c>
    </row>
    <row r="840" customFormat="false" ht="15" hidden="false" customHeight="false" outlineLevel="0" collapsed="false">
      <c r="A840" t="n" s="19">
        <f aca="0">IF(COUNTA(B840:J840)=0,"",ROW()-1)</f>
      </c>
      <c r="B840" s="24"/>
      <c r="C840" s="25"/>
      <c r="D840" s="8"/>
      <c r="E840" s="8"/>
      <c r="F840" s="26"/>
      <c r="G840" s="24"/>
      <c r="H840" s="25"/>
      <c r="I840" s="25"/>
      <c r="J840" s="26"/>
      <c r="K840" t="str" s="15">
        <f aca="0">IF(COUNTA(B840:J840)=0,"",IF(R840&lt;&gt;"","확인필요(입력누락)",IF(COUNTIFS(보유목록!$I$2:$I$3001,"*"&amp;P840&amp;"*",보유목록!$I$2:$I$3001,"*"&amp;Q840&amp;"*",보유목록!$H$2:$H$3001,O840)&gt;0,"있음",IF(COUNTIFS(보유목록!$I$2:$I$3001,"*"&amp;P840&amp;"*",보유목록!$I$2:$I$3001,"*"&amp;Q840&amp;"*")&gt;0,"확인필요(연도다름)",IF(COUNTIFS(보유목록!$I$2:$I$3001,"*"&amp;P840&amp;"*",보유목록!$H$2:$H$3001,O840)&gt;0,"확인필요(같은학교·같은연도)","없음")))))</f>
      </c>
      <c r="L840" t="str" s="16">
        <f aca="0">IF(OR(COUNTA(B840:J840)=0,R840&lt;&gt;""),"",COUNTIFS(보유목록!$I$2:$I$3001,"*"&amp;P840&amp;"*",보유목록!$I$2:$I$3001,"*"&amp;Q840&amp;"*"))</f>
      </c>
      <c r="M840" t="str" s="23">
        <f aca="0">IF(OR(COUNTA(B840:J840)=0,R840&lt;&gt;""),"",IFERROR(LOOKUP(2,1/(ISNUMBER(SEARCH(P840,보유목록!$I$2:$I$3001))*ISNUMBER(SEARCH(Q840,보유목록!$I$2:$I$3001))*(보유목록!$H$2:$H$3001=O840)),보유목록!$B$2:$B$3001),IFERROR(LOOKUP(2,1/(ISNUMBER(SEARCH(P840,보유목록!$I$2:$I$3001))*ISNUMBER(SEARCH(Q840,보유목록!$I$2:$I$3001))),보유목록!$B$2:$B$3001),"")))</f>
      </c>
      <c r="N840" s="25"/>
      <c r="O840" t="str">
        <f>IFERROR(IF(AND(LEN(SUBSTITUTE(SUBSTITUTE(SUBSTITUTE(TRIM(C840&amp;""),CHAR(160),"")," ",""),"년",""))=4,VALUE(SUBSTITUTE(SUBSTITUTE(SUBSTITUTE(TRIM(C840&amp;""),CHAR(160),"")," ",""),"년",""))&gt;=1900,VALUE(SUBSTITUTE(SUBSTITUTE(SUBSTITUTE(TRIM(C840&amp;""),CHAR(160),"")," ",""),"년",""))&lt;=2099,TEXT(VALUE(SUBSTITUTE(SUBSTITUTE(SUBSTITUTE(TRIM(C840&amp;""),CHAR(160),"")," ",""),"년","")),"0000")=SUBSTITUTE(SUBSTITUTE(SUBSTITUTE(TRIM(C840&amp;""),CHAR(160),"")," ",""),"년","")),SUBSTITUTE(SUBSTITUTE(SUBSTITUTE(TRIM(C840&amp;""),CHAR(160),"")," ",""),"년",""),""),"")</f>
      </c>
      <c r="P840" t="str">
        <f>SUBSTITUTE(SUBSTITUTE(SUBSTITUTE(SUBSTITUTE(SUBSTITUTE(SUBSTITUTE(SUBSTITUTE(SUBSTITUTE(TRIM(D840&amp;""),CHAR(160),"")," ",""),"초등학교","초"),"중학교","중"),"고등학교","고"),"~","~~"),"*","~*"),"?","~?")</f>
      </c>
      <c r="Q840" t="str">
        <f>SUBSTITUTE(SUBSTITUTE(SUBSTITUTE(SUBSTITUTE(SUBSTITUTE(SUBSTITUTE(SUBSTITUTE(SUBSTITUTE(TRIM(E840&amp;""),CHAR(160),"")," ",""),"초등학교","초"),"중학교","중"),"고등학교","고"),"~","~~"),"*","~*"),"?","~?")</f>
      </c>
      <c r="R840" t="str">
        <f>IF(COUNTA(B840:J840)=0,"",IF(AND(O840&lt;&gt;"",P840&lt;&gt;"",Q840&lt;&gt;""),"","입력누락"))</f>
      </c>
    </row>
    <row r="841" customFormat="false" ht="15" hidden="false" customHeight="false" outlineLevel="0" collapsed="false">
      <c r="A841" t="n" s="19">
        <f aca="0">IF(COUNTA(B841:J841)=0,"",ROW()-1)</f>
      </c>
      <c r="B841" s="24"/>
      <c r="C841" s="25"/>
      <c r="D841" s="8"/>
      <c r="E841" s="8"/>
      <c r="F841" s="26"/>
      <c r="G841" s="24"/>
      <c r="H841" s="25"/>
      <c r="I841" s="25"/>
      <c r="J841" s="26"/>
      <c r="K841" t="str" s="15">
        <f aca="0">IF(COUNTA(B841:J841)=0,"",IF(R841&lt;&gt;"","확인필요(입력누락)",IF(COUNTIFS(보유목록!$I$2:$I$3001,"*"&amp;P841&amp;"*",보유목록!$I$2:$I$3001,"*"&amp;Q841&amp;"*",보유목록!$H$2:$H$3001,O841)&gt;0,"있음",IF(COUNTIFS(보유목록!$I$2:$I$3001,"*"&amp;P841&amp;"*",보유목록!$I$2:$I$3001,"*"&amp;Q841&amp;"*")&gt;0,"확인필요(연도다름)",IF(COUNTIFS(보유목록!$I$2:$I$3001,"*"&amp;P841&amp;"*",보유목록!$H$2:$H$3001,O841)&gt;0,"확인필요(같은학교·같은연도)","없음")))))</f>
      </c>
      <c r="L841" t="str" s="16">
        <f aca="0">IF(OR(COUNTA(B841:J841)=0,R841&lt;&gt;""),"",COUNTIFS(보유목록!$I$2:$I$3001,"*"&amp;P841&amp;"*",보유목록!$I$2:$I$3001,"*"&amp;Q841&amp;"*"))</f>
      </c>
      <c r="M841" t="str" s="23">
        <f aca="0">IF(OR(COUNTA(B841:J841)=0,R841&lt;&gt;""),"",IFERROR(LOOKUP(2,1/(ISNUMBER(SEARCH(P841,보유목록!$I$2:$I$3001))*ISNUMBER(SEARCH(Q841,보유목록!$I$2:$I$3001))*(보유목록!$H$2:$H$3001=O841)),보유목록!$B$2:$B$3001),IFERROR(LOOKUP(2,1/(ISNUMBER(SEARCH(P841,보유목록!$I$2:$I$3001))*ISNUMBER(SEARCH(Q841,보유목록!$I$2:$I$3001))),보유목록!$B$2:$B$3001),"")))</f>
      </c>
      <c r="N841" s="25"/>
      <c r="O841" t="str">
        <f>IFERROR(IF(AND(LEN(SUBSTITUTE(SUBSTITUTE(SUBSTITUTE(TRIM(C841&amp;""),CHAR(160),"")," ",""),"년",""))=4,VALUE(SUBSTITUTE(SUBSTITUTE(SUBSTITUTE(TRIM(C841&amp;""),CHAR(160),"")," ",""),"년",""))&gt;=1900,VALUE(SUBSTITUTE(SUBSTITUTE(SUBSTITUTE(TRIM(C841&amp;""),CHAR(160),"")," ",""),"년",""))&lt;=2099,TEXT(VALUE(SUBSTITUTE(SUBSTITUTE(SUBSTITUTE(TRIM(C841&amp;""),CHAR(160),"")," ",""),"년","")),"0000")=SUBSTITUTE(SUBSTITUTE(SUBSTITUTE(TRIM(C841&amp;""),CHAR(160),"")," ",""),"년","")),SUBSTITUTE(SUBSTITUTE(SUBSTITUTE(TRIM(C841&amp;""),CHAR(160),"")," ",""),"년",""),""),"")</f>
      </c>
      <c r="P841" t="str">
        <f>SUBSTITUTE(SUBSTITUTE(SUBSTITUTE(SUBSTITUTE(SUBSTITUTE(SUBSTITUTE(SUBSTITUTE(SUBSTITUTE(TRIM(D841&amp;""),CHAR(160),"")," ",""),"초등학교","초"),"중학교","중"),"고등학교","고"),"~","~~"),"*","~*"),"?","~?")</f>
      </c>
      <c r="Q841" t="str">
        <f>SUBSTITUTE(SUBSTITUTE(SUBSTITUTE(SUBSTITUTE(SUBSTITUTE(SUBSTITUTE(SUBSTITUTE(SUBSTITUTE(TRIM(E841&amp;""),CHAR(160),"")," ",""),"초등학교","초"),"중학교","중"),"고등학교","고"),"~","~~"),"*","~*"),"?","~?")</f>
      </c>
      <c r="R841" t="str">
        <f>IF(COUNTA(B841:J841)=0,"",IF(AND(O841&lt;&gt;"",P841&lt;&gt;"",Q841&lt;&gt;""),"","입력누락"))</f>
      </c>
    </row>
    <row r="842" customFormat="false" ht="15" hidden="false" customHeight="false" outlineLevel="0" collapsed="false">
      <c r="A842" t="n" s="19">
        <f aca="0">IF(COUNTA(B842:J842)=0,"",ROW()-1)</f>
      </c>
      <c r="B842" s="24"/>
      <c r="C842" s="25"/>
      <c r="D842" s="8"/>
      <c r="E842" s="8"/>
      <c r="F842" s="26"/>
      <c r="G842" s="24"/>
      <c r="H842" s="25"/>
      <c r="I842" s="25"/>
      <c r="J842" s="26"/>
      <c r="K842" t="str" s="15">
        <f aca="0">IF(COUNTA(B842:J842)=0,"",IF(R842&lt;&gt;"","확인필요(입력누락)",IF(COUNTIFS(보유목록!$I$2:$I$3001,"*"&amp;P842&amp;"*",보유목록!$I$2:$I$3001,"*"&amp;Q842&amp;"*",보유목록!$H$2:$H$3001,O842)&gt;0,"있음",IF(COUNTIFS(보유목록!$I$2:$I$3001,"*"&amp;P842&amp;"*",보유목록!$I$2:$I$3001,"*"&amp;Q842&amp;"*")&gt;0,"확인필요(연도다름)",IF(COUNTIFS(보유목록!$I$2:$I$3001,"*"&amp;P842&amp;"*",보유목록!$H$2:$H$3001,O842)&gt;0,"확인필요(같은학교·같은연도)","없음")))))</f>
      </c>
      <c r="L842" t="str" s="16">
        <f aca="0">IF(OR(COUNTA(B842:J842)=0,R842&lt;&gt;""),"",COUNTIFS(보유목록!$I$2:$I$3001,"*"&amp;P842&amp;"*",보유목록!$I$2:$I$3001,"*"&amp;Q842&amp;"*"))</f>
      </c>
      <c r="M842" t="str" s="23">
        <f aca="0">IF(OR(COUNTA(B842:J842)=0,R842&lt;&gt;""),"",IFERROR(LOOKUP(2,1/(ISNUMBER(SEARCH(P842,보유목록!$I$2:$I$3001))*ISNUMBER(SEARCH(Q842,보유목록!$I$2:$I$3001))*(보유목록!$H$2:$H$3001=O842)),보유목록!$B$2:$B$3001),IFERROR(LOOKUP(2,1/(ISNUMBER(SEARCH(P842,보유목록!$I$2:$I$3001))*ISNUMBER(SEARCH(Q842,보유목록!$I$2:$I$3001))),보유목록!$B$2:$B$3001),"")))</f>
      </c>
      <c r="N842" s="25"/>
      <c r="O842" t="str">
        <f>IFERROR(IF(AND(LEN(SUBSTITUTE(SUBSTITUTE(SUBSTITUTE(TRIM(C842&amp;""),CHAR(160),"")," ",""),"년",""))=4,VALUE(SUBSTITUTE(SUBSTITUTE(SUBSTITUTE(TRIM(C842&amp;""),CHAR(160),"")," ",""),"년",""))&gt;=1900,VALUE(SUBSTITUTE(SUBSTITUTE(SUBSTITUTE(TRIM(C842&amp;""),CHAR(160),"")," ",""),"년",""))&lt;=2099,TEXT(VALUE(SUBSTITUTE(SUBSTITUTE(SUBSTITUTE(TRIM(C842&amp;""),CHAR(160),"")," ",""),"년","")),"0000")=SUBSTITUTE(SUBSTITUTE(SUBSTITUTE(TRIM(C842&amp;""),CHAR(160),"")," ",""),"년","")),SUBSTITUTE(SUBSTITUTE(SUBSTITUTE(TRIM(C842&amp;""),CHAR(160),"")," ",""),"년",""),""),"")</f>
      </c>
      <c r="P842" t="str">
        <f>SUBSTITUTE(SUBSTITUTE(SUBSTITUTE(SUBSTITUTE(SUBSTITUTE(SUBSTITUTE(SUBSTITUTE(SUBSTITUTE(TRIM(D842&amp;""),CHAR(160),"")," ",""),"초등학교","초"),"중학교","중"),"고등학교","고"),"~","~~"),"*","~*"),"?","~?")</f>
      </c>
      <c r="Q842" t="str">
        <f>SUBSTITUTE(SUBSTITUTE(SUBSTITUTE(SUBSTITUTE(SUBSTITUTE(SUBSTITUTE(SUBSTITUTE(SUBSTITUTE(TRIM(E842&amp;""),CHAR(160),"")," ",""),"초등학교","초"),"중학교","중"),"고등학교","고"),"~","~~"),"*","~*"),"?","~?")</f>
      </c>
      <c r="R842" t="str">
        <f>IF(COUNTA(B842:J842)=0,"",IF(AND(O842&lt;&gt;"",P842&lt;&gt;"",Q842&lt;&gt;""),"","입력누락"))</f>
      </c>
    </row>
    <row r="843" customFormat="false" ht="15" hidden="false" customHeight="false" outlineLevel="0" collapsed="false">
      <c r="A843" t="n" s="19">
        <f aca="0">IF(COUNTA(B843:J843)=0,"",ROW()-1)</f>
      </c>
      <c r="B843" s="24"/>
      <c r="C843" s="25"/>
      <c r="D843" s="8"/>
      <c r="E843" s="8"/>
      <c r="F843" s="26"/>
      <c r="G843" s="24"/>
      <c r="H843" s="25"/>
      <c r="I843" s="25"/>
      <c r="J843" s="26"/>
      <c r="K843" t="str" s="15">
        <f aca="0">IF(COUNTA(B843:J843)=0,"",IF(R843&lt;&gt;"","확인필요(입력누락)",IF(COUNTIFS(보유목록!$I$2:$I$3001,"*"&amp;P843&amp;"*",보유목록!$I$2:$I$3001,"*"&amp;Q843&amp;"*",보유목록!$H$2:$H$3001,O843)&gt;0,"있음",IF(COUNTIFS(보유목록!$I$2:$I$3001,"*"&amp;P843&amp;"*",보유목록!$I$2:$I$3001,"*"&amp;Q843&amp;"*")&gt;0,"확인필요(연도다름)",IF(COUNTIFS(보유목록!$I$2:$I$3001,"*"&amp;P843&amp;"*",보유목록!$H$2:$H$3001,O843)&gt;0,"확인필요(같은학교·같은연도)","없음")))))</f>
      </c>
      <c r="L843" t="str" s="16">
        <f aca="0">IF(OR(COUNTA(B843:J843)=0,R843&lt;&gt;""),"",COUNTIFS(보유목록!$I$2:$I$3001,"*"&amp;P843&amp;"*",보유목록!$I$2:$I$3001,"*"&amp;Q843&amp;"*"))</f>
      </c>
      <c r="M843" t="str" s="23">
        <f aca="0">IF(OR(COUNTA(B843:J843)=0,R843&lt;&gt;""),"",IFERROR(LOOKUP(2,1/(ISNUMBER(SEARCH(P843,보유목록!$I$2:$I$3001))*ISNUMBER(SEARCH(Q843,보유목록!$I$2:$I$3001))*(보유목록!$H$2:$H$3001=O843)),보유목록!$B$2:$B$3001),IFERROR(LOOKUP(2,1/(ISNUMBER(SEARCH(P843,보유목록!$I$2:$I$3001))*ISNUMBER(SEARCH(Q843,보유목록!$I$2:$I$3001))),보유목록!$B$2:$B$3001),"")))</f>
      </c>
      <c r="N843" s="25"/>
      <c r="O843" t="str">
        <f>IFERROR(IF(AND(LEN(SUBSTITUTE(SUBSTITUTE(SUBSTITUTE(TRIM(C843&amp;""),CHAR(160),"")," ",""),"년",""))=4,VALUE(SUBSTITUTE(SUBSTITUTE(SUBSTITUTE(TRIM(C843&amp;""),CHAR(160),"")," ",""),"년",""))&gt;=1900,VALUE(SUBSTITUTE(SUBSTITUTE(SUBSTITUTE(TRIM(C843&amp;""),CHAR(160),"")," ",""),"년",""))&lt;=2099,TEXT(VALUE(SUBSTITUTE(SUBSTITUTE(SUBSTITUTE(TRIM(C843&amp;""),CHAR(160),"")," ",""),"년","")),"0000")=SUBSTITUTE(SUBSTITUTE(SUBSTITUTE(TRIM(C843&amp;""),CHAR(160),"")," ",""),"년","")),SUBSTITUTE(SUBSTITUTE(SUBSTITUTE(TRIM(C843&amp;""),CHAR(160),"")," ",""),"년",""),""),"")</f>
      </c>
      <c r="P843" t="str">
        <f>SUBSTITUTE(SUBSTITUTE(SUBSTITUTE(SUBSTITUTE(SUBSTITUTE(SUBSTITUTE(SUBSTITUTE(SUBSTITUTE(TRIM(D843&amp;""),CHAR(160),"")," ",""),"초등학교","초"),"중학교","중"),"고등학교","고"),"~","~~"),"*","~*"),"?","~?")</f>
      </c>
      <c r="Q843" t="str">
        <f>SUBSTITUTE(SUBSTITUTE(SUBSTITUTE(SUBSTITUTE(SUBSTITUTE(SUBSTITUTE(SUBSTITUTE(SUBSTITUTE(TRIM(E843&amp;""),CHAR(160),"")," ",""),"초등학교","초"),"중학교","중"),"고등학교","고"),"~","~~"),"*","~*"),"?","~?")</f>
      </c>
      <c r="R843" t="str">
        <f>IF(COUNTA(B843:J843)=0,"",IF(AND(O843&lt;&gt;"",P843&lt;&gt;"",Q843&lt;&gt;""),"","입력누락"))</f>
      </c>
    </row>
    <row r="844" customFormat="false" ht="15" hidden="false" customHeight="false" outlineLevel="0" collapsed="false">
      <c r="A844" t="n" s="19">
        <f aca="0">IF(COUNTA(B844:J844)=0,"",ROW()-1)</f>
      </c>
      <c r="B844" s="24"/>
      <c r="C844" s="25"/>
      <c r="D844" s="8"/>
      <c r="E844" s="8"/>
      <c r="F844" s="26"/>
      <c r="G844" s="24"/>
      <c r="H844" s="25"/>
      <c r="I844" s="25"/>
      <c r="J844" s="26"/>
      <c r="K844" t="str" s="15">
        <f aca="0">IF(COUNTA(B844:J844)=0,"",IF(R844&lt;&gt;"","확인필요(입력누락)",IF(COUNTIFS(보유목록!$I$2:$I$3001,"*"&amp;P844&amp;"*",보유목록!$I$2:$I$3001,"*"&amp;Q844&amp;"*",보유목록!$H$2:$H$3001,O844)&gt;0,"있음",IF(COUNTIFS(보유목록!$I$2:$I$3001,"*"&amp;P844&amp;"*",보유목록!$I$2:$I$3001,"*"&amp;Q844&amp;"*")&gt;0,"확인필요(연도다름)",IF(COUNTIFS(보유목록!$I$2:$I$3001,"*"&amp;P844&amp;"*",보유목록!$H$2:$H$3001,O844)&gt;0,"확인필요(같은학교·같은연도)","없음")))))</f>
      </c>
      <c r="L844" t="str" s="16">
        <f aca="0">IF(OR(COUNTA(B844:J844)=0,R844&lt;&gt;""),"",COUNTIFS(보유목록!$I$2:$I$3001,"*"&amp;P844&amp;"*",보유목록!$I$2:$I$3001,"*"&amp;Q844&amp;"*"))</f>
      </c>
      <c r="M844" t="str" s="23">
        <f aca="0">IF(OR(COUNTA(B844:J844)=0,R844&lt;&gt;""),"",IFERROR(LOOKUP(2,1/(ISNUMBER(SEARCH(P844,보유목록!$I$2:$I$3001))*ISNUMBER(SEARCH(Q844,보유목록!$I$2:$I$3001))*(보유목록!$H$2:$H$3001=O844)),보유목록!$B$2:$B$3001),IFERROR(LOOKUP(2,1/(ISNUMBER(SEARCH(P844,보유목록!$I$2:$I$3001))*ISNUMBER(SEARCH(Q844,보유목록!$I$2:$I$3001))),보유목록!$B$2:$B$3001),"")))</f>
      </c>
      <c r="N844" s="25"/>
      <c r="O844" t="str">
        <f>IFERROR(IF(AND(LEN(SUBSTITUTE(SUBSTITUTE(SUBSTITUTE(TRIM(C844&amp;""),CHAR(160),"")," ",""),"년",""))=4,VALUE(SUBSTITUTE(SUBSTITUTE(SUBSTITUTE(TRIM(C844&amp;""),CHAR(160),"")," ",""),"년",""))&gt;=1900,VALUE(SUBSTITUTE(SUBSTITUTE(SUBSTITUTE(TRIM(C844&amp;""),CHAR(160),"")," ",""),"년",""))&lt;=2099,TEXT(VALUE(SUBSTITUTE(SUBSTITUTE(SUBSTITUTE(TRIM(C844&amp;""),CHAR(160),"")," ",""),"년","")),"0000")=SUBSTITUTE(SUBSTITUTE(SUBSTITUTE(TRIM(C844&amp;""),CHAR(160),"")," ",""),"년","")),SUBSTITUTE(SUBSTITUTE(SUBSTITUTE(TRIM(C844&amp;""),CHAR(160),"")," ",""),"년",""),""),"")</f>
      </c>
      <c r="P844" t="str">
        <f>SUBSTITUTE(SUBSTITUTE(SUBSTITUTE(SUBSTITUTE(SUBSTITUTE(SUBSTITUTE(SUBSTITUTE(SUBSTITUTE(TRIM(D844&amp;""),CHAR(160),"")," ",""),"초등학교","초"),"중학교","중"),"고등학교","고"),"~","~~"),"*","~*"),"?","~?")</f>
      </c>
      <c r="Q844" t="str">
        <f>SUBSTITUTE(SUBSTITUTE(SUBSTITUTE(SUBSTITUTE(SUBSTITUTE(SUBSTITUTE(SUBSTITUTE(SUBSTITUTE(TRIM(E844&amp;""),CHAR(160),"")," ",""),"초등학교","초"),"중학교","중"),"고등학교","고"),"~","~~"),"*","~*"),"?","~?")</f>
      </c>
      <c r="R844" t="str">
        <f>IF(COUNTA(B844:J844)=0,"",IF(AND(O844&lt;&gt;"",P844&lt;&gt;"",Q844&lt;&gt;""),"","입력누락"))</f>
      </c>
    </row>
    <row r="845" customFormat="false" ht="15" hidden="false" customHeight="false" outlineLevel="0" collapsed="false">
      <c r="A845" t="n" s="19">
        <f aca="0">IF(COUNTA(B845:J845)=0,"",ROW()-1)</f>
      </c>
      <c r="B845" s="24"/>
      <c r="C845" s="25"/>
      <c r="D845" s="8"/>
      <c r="E845" s="8"/>
      <c r="F845" s="26"/>
      <c r="G845" s="24"/>
      <c r="H845" s="25"/>
      <c r="I845" s="25"/>
      <c r="J845" s="26"/>
      <c r="K845" t="str" s="15">
        <f aca="0">IF(COUNTA(B845:J845)=0,"",IF(R845&lt;&gt;"","확인필요(입력누락)",IF(COUNTIFS(보유목록!$I$2:$I$3001,"*"&amp;P845&amp;"*",보유목록!$I$2:$I$3001,"*"&amp;Q845&amp;"*",보유목록!$H$2:$H$3001,O845)&gt;0,"있음",IF(COUNTIFS(보유목록!$I$2:$I$3001,"*"&amp;P845&amp;"*",보유목록!$I$2:$I$3001,"*"&amp;Q845&amp;"*")&gt;0,"확인필요(연도다름)",IF(COUNTIFS(보유목록!$I$2:$I$3001,"*"&amp;P845&amp;"*",보유목록!$H$2:$H$3001,O845)&gt;0,"확인필요(같은학교·같은연도)","없음")))))</f>
      </c>
      <c r="L845" t="str" s="16">
        <f aca="0">IF(OR(COUNTA(B845:J845)=0,R845&lt;&gt;""),"",COUNTIFS(보유목록!$I$2:$I$3001,"*"&amp;P845&amp;"*",보유목록!$I$2:$I$3001,"*"&amp;Q845&amp;"*"))</f>
      </c>
      <c r="M845" t="str" s="23">
        <f aca="0">IF(OR(COUNTA(B845:J845)=0,R845&lt;&gt;""),"",IFERROR(LOOKUP(2,1/(ISNUMBER(SEARCH(P845,보유목록!$I$2:$I$3001))*ISNUMBER(SEARCH(Q845,보유목록!$I$2:$I$3001))*(보유목록!$H$2:$H$3001=O845)),보유목록!$B$2:$B$3001),IFERROR(LOOKUP(2,1/(ISNUMBER(SEARCH(P845,보유목록!$I$2:$I$3001))*ISNUMBER(SEARCH(Q845,보유목록!$I$2:$I$3001))),보유목록!$B$2:$B$3001),"")))</f>
      </c>
      <c r="N845" s="25"/>
      <c r="O845" t="str">
        <f>IFERROR(IF(AND(LEN(SUBSTITUTE(SUBSTITUTE(SUBSTITUTE(TRIM(C845&amp;""),CHAR(160),"")," ",""),"년",""))=4,VALUE(SUBSTITUTE(SUBSTITUTE(SUBSTITUTE(TRIM(C845&amp;""),CHAR(160),"")," ",""),"년",""))&gt;=1900,VALUE(SUBSTITUTE(SUBSTITUTE(SUBSTITUTE(TRIM(C845&amp;""),CHAR(160),"")," ",""),"년",""))&lt;=2099,TEXT(VALUE(SUBSTITUTE(SUBSTITUTE(SUBSTITUTE(TRIM(C845&amp;""),CHAR(160),"")," ",""),"년","")),"0000")=SUBSTITUTE(SUBSTITUTE(SUBSTITUTE(TRIM(C845&amp;""),CHAR(160),"")," ",""),"년","")),SUBSTITUTE(SUBSTITUTE(SUBSTITUTE(TRIM(C845&amp;""),CHAR(160),"")," ",""),"년",""),""),"")</f>
      </c>
      <c r="P845" t="str">
        <f>SUBSTITUTE(SUBSTITUTE(SUBSTITUTE(SUBSTITUTE(SUBSTITUTE(SUBSTITUTE(SUBSTITUTE(SUBSTITUTE(TRIM(D845&amp;""),CHAR(160),"")," ",""),"초등학교","초"),"중학교","중"),"고등학교","고"),"~","~~"),"*","~*"),"?","~?")</f>
      </c>
      <c r="Q845" t="str">
        <f>SUBSTITUTE(SUBSTITUTE(SUBSTITUTE(SUBSTITUTE(SUBSTITUTE(SUBSTITUTE(SUBSTITUTE(SUBSTITUTE(TRIM(E845&amp;""),CHAR(160),"")," ",""),"초등학교","초"),"중학교","중"),"고등학교","고"),"~","~~"),"*","~*"),"?","~?")</f>
      </c>
      <c r="R845" t="str">
        <f>IF(COUNTA(B845:J845)=0,"",IF(AND(O845&lt;&gt;"",P845&lt;&gt;"",Q845&lt;&gt;""),"","입력누락"))</f>
      </c>
    </row>
    <row r="846" customFormat="false" ht="15" hidden="false" customHeight="false" outlineLevel="0" collapsed="false">
      <c r="A846" t="n" s="19">
        <f aca="0">IF(COUNTA(B846:J846)=0,"",ROW()-1)</f>
      </c>
      <c r="B846" s="24"/>
      <c r="C846" s="25"/>
      <c r="D846" s="8"/>
      <c r="E846" s="8"/>
      <c r="F846" s="26"/>
      <c r="G846" s="24"/>
      <c r="H846" s="25"/>
      <c r="I846" s="25"/>
      <c r="J846" s="26"/>
      <c r="K846" t="str" s="15">
        <f aca="0">IF(COUNTA(B846:J846)=0,"",IF(R846&lt;&gt;"","확인필요(입력누락)",IF(COUNTIFS(보유목록!$I$2:$I$3001,"*"&amp;P846&amp;"*",보유목록!$I$2:$I$3001,"*"&amp;Q846&amp;"*",보유목록!$H$2:$H$3001,O846)&gt;0,"있음",IF(COUNTIFS(보유목록!$I$2:$I$3001,"*"&amp;P846&amp;"*",보유목록!$I$2:$I$3001,"*"&amp;Q846&amp;"*")&gt;0,"확인필요(연도다름)",IF(COUNTIFS(보유목록!$I$2:$I$3001,"*"&amp;P846&amp;"*",보유목록!$H$2:$H$3001,O846)&gt;0,"확인필요(같은학교·같은연도)","없음")))))</f>
      </c>
      <c r="L846" t="str" s="16">
        <f aca="0">IF(OR(COUNTA(B846:J846)=0,R846&lt;&gt;""),"",COUNTIFS(보유목록!$I$2:$I$3001,"*"&amp;P846&amp;"*",보유목록!$I$2:$I$3001,"*"&amp;Q846&amp;"*"))</f>
      </c>
      <c r="M846" t="str" s="23">
        <f aca="0">IF(OR(COUNTA(B846:J846)=0,R846&lt;&gt;""),"",IFERROR(LOOKUP(2,1/(ISNUMBER(SEARCH(P846,보유목록!$I$2:$I$3001))*ISNUMBER(SEARCH(Q846,보유목록!$I$2:$I$3001))*(보유목록!$H$2:$H$3001=O846)),보유목록!$B$2:$B$3001),IFERROR(LOOKUP(2,1/(ISNUMBER(SEARCH(P846,보유목록!$I$2:$I$3001))*ISNUMBER(SEARCH(Q846,보유목록!$I$2:$I$3001))),보유목록!$B$2:$B$3001),"")))</f>
      </c>
      <c r="N846" s="25"/>
      <c r="O846" t="str">
        <f>IFERROR(IF(AND(LEN(SUBSTITUTE(SUBSTITUTE(SUBSTITUTE(TRIM(C846&amp;""),CHAR(160),"")," ",""),"년",""))=4,VALUE(SUBSTITUTE(SUBSTITUTE(SUBSTITUTE(TRIM(C846&amp;""),CHAR(160),"")," ",""),"년",""))&gt;=1900,VALUE(SUBSTITUTE(SUBSTITUTE(SUBSTITUTE(TRIM(C846&amp;""),CHAR(160),"")," ",""),"년",""))&lt;=2099,TEXT(VALUE(SUBSTITUTE(SUBSTITUTE(SUBSTITUTE(TRIM(C846&amp;""),CHAR(160),"")," ",""),"년","")),"0000")=SUBSTITUTE(SUBSTITUTE(SUBSTITUTE(TRIM(C846&amp;""),CHAR(160),"")," ",""),"년","")),SUBSTITUTE(SUBSTITUTE(SUBSTITUTE(TRIM(C846&amp;""),CHAR(160),"")," ",""),"년",""),""),"")</f>
      </c>
      <c r="P846" t="str">
        <f>SUBSTITUTE(SUBSTITUTE(SUBSTITUTE(SUBSTITUTE(SUBSTITUTE(SUBSTITUTE(SUBSTITUTE(SUBSTITUTE(TRIM(D846&amp;""),CHAR(160),"")," ",""),"초등학교","초"),"중학교","중"),"고등학교","고"),"~","~~"),"*","~*"),"?","~?")</f>
      </c>
      <c r="Q846" t="str">
        <f>SUBSTITUTE(SUBSTITUTE(SUBSTITUTE(SUBSTITUTE(SUBSTITUTE(SUBSTITUTE(SUBSTITUTE(SUBSTITUTE(TRIM(E846&amp;""),CHAR(160),"")," ",""),"초등학교","초"),"중학교","중"),"고등학교","고"),"~","~~"),"*","~*"),"?","~?")</f>
      </c>
      <c r="R846" t="str">
        <f>IF(COUNTA(B846:J846)=0,"",IF(AND(O846&lt;&gt;"",P846&lt;&gt;"",Q846&lt;&gt;""),"","입력누락"))</f>
      </c>
    </row>
    <row r="847" customFormat="false" ht="15" hidden="false" customHeight="false" outlineLevel="0" collapsed="false">
      <c r="A847" t="n" s="19">
        <f aca="0">IF(COUNTA(B847:J847)=0,"",ROW()-1)</f>
      </c>
      <c r="B847" s="24"/>
      <c r="C847" s="25"/>
      <c r="D847" s="8"/>
      <c r="E847" s="8"/>
      <c r="F847" s="26"/>
      <c r="G847" s="24"/>
      <c r="H847" s="25"/>
      <c r="I847" s="25"/>
      <c r="J847" s="26"/>
      <c r="K847" t="str" s="15">
        <f aca="0">IF(COUNTA(B847:J847)=0,"",IF(R847&lt;&gt;"","확인필요(입력누락)",IF(COUNTIFS(보유목록!$I$2:$I$3001,"*"&amp;P847&amp;"*",보유목록!$I$2:$I$3001,"*"&amp;Q847&amp;"*",보유목록!$H$2:$H$3001,O847)&gt;0,"있음",IF(COUNTIFS(보유목록!$I$2:$I$3001,"*"&amp;P847&amp;"*",보유목록!$I$2:$I$3001,"*"&amp;Q847&amp;"*")&gt;0,"확인필요(연도다름)",IF(COUNTIFS(보유목록!$I$2:$I$3001,"*"&amp;P847&amp;"*",보유목록!$H$2:$H$3001,O847)&gt;0,"확인필요(같은학교·같은연도)","없음")))))</f>
      </c>
      <c r="L847" t="str" s="16">
        <f aca="0">IF(OR(COUNTA(B847:J847)=0,R847&lt;&gt;""),"",COUNTIFS(보유목록!$I$2:$I$3001,"*"&amp;P847&amp;"*",보유목록!$I$2:$I$3001,"*"&amp;Q847&amp;"*"))</f>
      </c>
      <c r="M847" t="str" s="23">
        <f aca="0">IF(OR(COUNTA(B847:J847)=0,R847&lt;&gt;""),"",IFERROR(LOOKUP(2,1/(ISNUMBER(SEARCH(P847,보유목록!$I$2:$I$3001))*ISNUMBER(SEARCH(Q847,보유목록!$I$2:$I$3001))*(보유목록!$H$2:$H$3001=O847)),보유목록!$B$2:$B$3001),IFERROR(LOOKUP(2,1/(ISNUMBER(SEARCH(P847,보유목록!$I$2:$I$3001))*ISNUMBER(SEARCH(Q847,보유목록!$I$2:$I$3001))),보유목록!$B$2:$B$3001),"")))</f>
      </c>
      <c r="N847" s="25"/>
      <c r="O847" t="str">
        <f>IFERROR(IF(AND(LEN(SUBSTITUTE(SUBSTITUTE(SUBSTITUTE(TRIM(C847&amp;""),CHAR(160),"")," ",""),"년",""))=4,VALUE(SUBSTITUTE(SUBSTITUTE(SUBSTITUTE(TRIM(C847&amp;""),CHAR(160),"")," ",""),"년",""))&gt;=1900,VALUE(SUBSTITUTE(SUBSTITUTE(SUBSTITUTE(TRIM(C847&amp;""),CHAR(160),"")," ",""),"년",""))&lt;=2099,TEXT(VALUE(SUBSTITUTE(SUBSTITUTE(SUBSTITUTE(TRIM(C847&amp;""),CHAR(160),"")," ",""),"년","")),"0000")=SUBSTITUTE(SUBSTITUTE(SUBSTITUTE(TRIM(C847&amp;""),CHAR(160),"")," ",""),"년","")),SUBSTITUTE(SUBSTITUTE(SUBSTITUTE(TRIM(C847&amp;""),CHAR(160),"")," ",""),"년",""),""),"")</f>
      </c>
      <c r="P847" t="str">
        <f>SUBSTITUTE(SUBSTITUTE(SUBSTITUTE(SUBSTITUTE(SUBSTITUTE(SUBSTITUTE(SUBSTITUTE(SUBSTITUTE(TRIM(D847&amp;""),CHAR(160),"")," ",""),"초등학교","초"),"중학교","중"),"고등학교","고"),"~","~~"),"*","~*"),"?","~?")</f>
      </c>
      <c r="Q847" t="str">
        <f>SUBSTITUTE(SUBSTITUTE(SUBSTITUTE(SUBSTITUTE(SUBSTITUTE(SUBSTITUTE(SUBSTITUTE(SUBSTITUTE(TRIM(E847&amp;""),CHAR(160),"")," ",""),"초등학교","초"),"중학교","중"),"고등학교","고"),"~","~~"),"*","~*"),"?","~?")</f>
      </c>
      <c r="R847" t="str">
        <f>IF(COUNTA(B847:J847)=0,"",IF(AND(O847&lt;&gt;"",P847&lt;&gt;"",Q847&lt;&gt;""),"","입력누락"))</f>
      </c>
    </row>
    <row r="848" customFormat="false" ht="15" hidden="false" customHeight="false" outlineLevel="0" collapsed="false">
      <c r="A848" t="n" s="19">
        <f aca="0">IF(COUNTA(B848:J848)=0,"",ROW()-1)</f>
      </c>
      <c r="B848" s="24"/>
      <c r="C848" s="25"/>
      <c r="D848" s="8"/>
      <c r="E848" s="8"/>
      <c r="F848" s="26"/>
      <c r="G848" s="24"/>
      <c r="H848" s="25"/>
      <c r="I848" s="25"/>
      <c r="J848" s="26"/>
      <c r="K848" t="str" s="15">
        <f aca="0">IF(COUNTA(B848:J848)=0,"",IF(R848&lt;&gt;"","확인필요(입력누락)",IF(COUNTIFS(보유목록!$I$2:$I$3001,"*"&amp;P848&amp;"*",보유목록!$I$2:$I$3001,"*"&amp;Q848&amp;"*",보유목록!$H$2:$H$3001,O848)&gt;0,"있음",IF(COUNTIFS(보유목록!$I$2:$I$3001,"*"&amp;P848&amp;"*",보유목록!$I$2:$I$3001,"*"&amp;Q848&amp;"*")&gt;0,"확인필요(연도다름)",IF(COUNTIFS(보유목록!$I$2:$I$3001,"*"&amp;P848&amp;"*",보유목록!$H$2:$H$3001,O848)&gt;0,"확인필요(같은학교·같은연도)","없음")))))</f>
      </c>
      <c r="L848" t="str" s="16">
        <f aca="0">IF(OR(COUNTA(B848:J848)=0,R848&lt;&gt;""),"",COUNTIFS(보유목록!$I$2:$I$3001,"*"&amp;P848&amp;"*",보유목록!$I$2:$I$3001,"*"&amp;Q848&amp;"*"))</f>
      </c>
      <c r="M848" t="str" s="23">
        <f aca="0">IF(OR(COUNTA(B848:J848)=0,R848&lt;&gt;""),"",IFERROR(LOOKUP(2,1/(ISNUMBER(SEARCH(P848,보유목록!$I$2:$I$3001))*ISNUMBER(SEARCH(Q848,보유목록!$I$2:$I$3001))*(보유목록!$H$2:$H$3001=O848)),보유목록!$B$2:$B$3001),IFERROR(LOOKUP(2,1/(ISNUMBER(SEARCH(P848,보유목록!$I$2:$I$3001))*ISNUMBER(SEARCH(Q848,보유목록!$I$2:$I$3001))),보유목록!$B$2:$B$3001),"")))</f>
      </c>
      <c r="N848" s="25"/>
      <c r="O848" t="str">
        <f>IFERROR(IF(AND(LEN(SUBSTITUTE(SUBSTITUTE(SUBSTITUTE(TRIM(C848&amp;""),CHAR(160),"")," ",""),"년",""))=4,VALUE(SUBSTITUTE(SUBSTITUTE(SUBSTITUTE(TRIM(C848&amp;""),CHAR(160),"")," ",""),"년",""))&gt;=1900,VALUE(SUBSTITUTE(SUBSTITUTE(SUBSTITUTE(TRIM(C848&amp;""),CHAR(160),"")," ",""),"년",""))&lt;=2099,TEXT(VALUE(SUBSTITUTE(SUBSTITUTE(SUBSTITUTE(TRIM(C848&amp;""),CHAR(160),"")," ",""),"년","")),"0000")=SUBSTITUTE(SUBSTITUTE(SUBSTITUTE(TRIM(C848&amp;""),CHAR(160),"")," ",""),"년","")),SUBSTITUTE(SUBSTITUTE(SUBSTITUTE(TRIM(C848&amp;""),CHAR(160),"")," ",""),"년",""),""),"")</f>
      </c>
      <c r="P848" t="str">
        <f>SUBSTITUTE(SUBSTITUTE(SUBSTITUTE(SUBSTITUTE(SUBSTITUTE(SUBSTITUTE(SUBSTITUTE(SUBSTITUTE(TRIM(D848&amp;""),CHAR(160),"")," ",""),"초등학교","초"),"중학교","중"),"고등학교","고"),"~","~~"),"*","~*"),"?","~?")</f>
      </c>
      <c r="Q848" t="str">
        <f>SUBSTITUTE(SUBSTITUTE(SUBSTITUTE(SUBSTITUTE(SUBSTITUTE(SUBSTITUTE(SUBSTITUTE(SUBSTITUTE(TRIM(E848&amp;""),CHAR(160),"")," ",""),"초등학교","초"),"중학교","중"),"고등학교","고"),"~","~~"),"*","~*"),"?","~?")</f>
      </c>
      <c r="R848" t="str">
        <f>IF(COUNTA(B848:J848)=0,"",IF(AND(O848&lt;&gt;"",P848&lt;&gt;"",Q848&lt;&gt;""),"","입력누락"))</f>
      </c>
    </row>
    <row r="849" customFormat="false" ht="15" hidden="false" customHeight="false" outlineLevel="0" collapsed="false">
      <c r="A849" t="n" s="19">
        <f aca="0">IF(COUNTA(B849:J849)=0,"",ROW()-1)</f>
      </c>
      <c r="B849" s="24"/>
      <c r="C849" s="25"/>
      <c r="D849" s="8"/>
      <c r="E849" s="8"/>
      <c r="F849" s="26"/>
      <c r="G849" s="24"/>
      <c r="H849" s="25"/>
      <c r="I849" s="25"/>
      <c r="J849" s="26"/>
      <c r="K849" t="str" s="15">
        <f aca="0">IF(COUNTA(B849:J849)=0,"",IF(R849&lt;&gt;"","확인필요(입력누락)",IF(COUNTIFS(보유목록!$I$2:$I$3001,"*"&amp;P849&amp;"*",보유목록!$I$2:$I$3001,"*"&amp;Q849&amp;"*",보유목록!$H$2:$H$3001,O849)&gt;0,"있음",IF(COUNTIFS(보유목록!$I$2:$I$3001,"*"&amp;P849&amp;"*",보유목록!$I$2:$I$3001,"*"&amp;Q849&amp;"*")&gt;0,"확인필요(연도다름)",IF(COUNTIFS(보유목록!$I$2:$I$3001,"*"&amp;P849&amp;"*",보유목록!$H$2:$H$3001,O849)&gt;0,"확인필요(같은학교·같은연도)","없음")))))</f>
      </c>
      <c r="L849" t="str" s="16">
        <f aca="0">IF(OR(COUNTA(B849:J849)=0,R849&lt;&gt;""),"",COUNTIFS(보유목록!$I$2:$I$3001,"*"&amp;P849&amp;"*",보유목록!$I$2:$I$3001,"*"&amp;Q849&amp;"*"))</f>
      </c>
      <c r="M849" t="str" s="23">
        <f aca="0">IF(OR(COUNTA(B849:J849)=0,R849&lt;&gt;""),"",IFERROR(LOOKUP(2,1/(ISNUMBER(SEARCH(P849,보유목록!$I$2:$I$3001))*ISNUMBER(SEARCH(Q849,보유목록!$I$2:$I$3001))*(보유목록!$H$2:$H$3001=O849)),보유목록!$B$2:$B$3001),IFERROR(LOOKUP(2,1/(ISNUMBER(SEARCH(P849,보유목록!$I$2:$I$3001))*ISNUMBER(SEARCH(Q849,보유목록!$I$2:$I$3001))),보유목록!$B$2:$B$3001),"")))</f>
      </c>
      <c r="N849" s="25"/>
      <c r="O849" t="str">
        <f>IFERROR(IF(AND(LEN(SUBSTITUTE(SUBSTITUTE(SUBSTITUTE(TRIM(C849&amp;""),CHAR(160),"")," ",""),"년",""))=4,VALUE(SUBSTITUTE(SUBSTITUTE(SUBSTITUTE(TRIM(C849&amp;""),CHAR(160),"")," ",""),"년",""))&gt;=1900,VALUE(SUBSTITUTE(SUBSTITUTE(SUBSTITUTE(TRIM(C849&amp;""),CHAR(160),"")," ",""),"년",""))&lt;=2099,TEXT(VALUE(SUBSTITUTE(SUBSTITUTE(SUBSTITUTE(TRIM(C849&amp;""),CHAR(160),"")," ",""),"년","")),"0000")=SUBSTITUTE(SUBSTITUTE(SUBSTITUTE(TRIM(C849&amp;""),CHAR(160),"")," ",""),"년","")),SUBSTITUTE(SUBSTITUTE(SUBSTITUTE(TRIM(C849&amp;""),CHAR(160),"")," ",""),"년",""),""),"")</f>
      </c>
      <c r="P849" t="str">
        <f>SUBSTITUTE(SUBSTITUTE(SUBSTITUTE(SUBSTITUTE(SUBSTITUTE(SUBSTITUTE(SUBSTITUTE(SUBSTITUTE(TRIM(D849&amp;""),CHAR(160),"")," ",""),"초등학교","초"),"중학교","중"),"고등학교","고"),"~","~~"),"*","~*"),"?","~?")</f>
      </c>
      <c r="Q849" t="str">
        <f>SUBSTITUTE(SUBSTITUTE(SUBSTITUTE(SUBSTITUTE(SUBSTITUTE(SUBSTITUTE(SUBSTITUTE(SUBSTITUTE(TRIM(E849&amp;""),CHAR(160),"")," ",""),"초등학교","초"),"중학교","중"),"고등학교","고"),"~","~~"),"*","~*"),"?","~?")</f>
      </c>
      <c r="R849" t="str">
        <f>IF(COUNTA(B849:J849)=0,"",IF(AND(O849&lt;&gt;"",P849&lt;&gt;"",Q849&lt;&gt;""),"","입력누락"))</f>
      </c>
    </row>
    <row r="850" customFormat="false" ht="15" hidden="false" customHeight="false" outlineLevel="0" collapsed="false">
      <c r="A850" t="n" s="19">
        <f aca="0">IF(COUNTA(B850:J850)=0,"",ROW()-1)</f>
      </c>
      <c r="B850" s="24"/>
      <c r="C850" s="25"/>
      <c r="D850" s="8"/>
      <c r="E850" s="8"/>
      <c r="F850" s="26"/>
      <c r="G850" s="24"/>
      <c r="H850" s="25"/>
      <c r="I850" s="25"/>
      <c r="J850" s="26"/>
      <c r="K850" t="str" s="15">
        <f aca="0">IF(COUNTA(B850:J850)=0,"",IF(R850&lt;&gt;"","확인필요(입력누락)",IF(COUNTIFS(보유목록!$I$2:$I$3001,"*"&amp;P850&amp;"*",보유목록!$I$2:$I$3001,"*"&amp;Q850&amp;"*",보유목록!$H$2:$H$3001,O850)&gt;0,"있음",IF(COUNTIFS(보유목록!$I$2:$I$3001,"*"&amp;P850&amp;"*",보유목록!$I$2:$I$3001,"*"&amp;Q850&amp;"*")&gt;0,"확인필요(연도다름)",IF(COUNTIFS(보유목록!$I$2:$I$3001,"*"&amp;P850&amp;"*",보유목록!$H$2:$H$3001,O850)&gt;0,"확인필요(같은학교·같은연도)","없음")))))</f>
      </c>
      <c r="L850" t="str" s="16">
        <f aca="0">IF(OR(COUNTA(B850:J850)=0,R850&lt;&gt;""),"",COUNTIFS(보유목록!$I$2:$I$3001,"*"&amp;P850&amp;"*",보유목록!$I$2:$I$3001,"*"&amp;Q850&amp;"*"))</f>
      </c>
      <c r="M850" t="str" s="23">
        <f aca="0">IF(OR(COUNTA(B850:J850)=0,R850&lt;&gt;""),"",IFERROR(LOOKUP(2,1/(ISNUMBER(SEARCH(P850,보유목록!$I$2:$I$3001))*ISNUMBER(SEARCH(Q850,보유목록!$I$2:$I$3001))*(보유목록!$H$2:$H$3001=O850)),보유목록!$B$2:$B$3001),IFERROR(LOOKUP(2,1/(ISNUMBER(SEARCH(P850,보유목록!$I$2:$I$3001))*ISNUMBER(SEARCH(Q850,보유목록!$I$2:$I$3001))),보유목록!$B$2:$B$3001),"")))</f>
      </c>
      <c r="N850" s="25"/>
      <c r="O850" t="str">
        <f>IFERROR(IF(AND(LEN(SUBSTITUTE(SUBSTITUTE(SUBSTITUTE(TRIM(C850&amp;""),CHAR(160),"")," ",""),"년",""))=4,VALUE(SUBSTITUTE(SUBSTITUTE(SUBSTITUTE(TRIM(C850&amp;""),CHAR(160),"")," ",""),"년",""))&gt;=1900,VALUE(SUBSTITUTE(SUBSTITUTE(SUBSTITUTE(TRIM(C850&amp;""),CHAR(160),"")," ",""),"년",""))&lt;=2099,TEXT(VALUE(SUBSTITUTE(SUBSTITUTE(SUBSTITUTE(TRIM(C850&amp;""),CHAR(160),"")," ",""),"년","")),"0000")=SUBSTITUTE(SUBSTITUTE(SUBSTITUTE(TRIM(C850&amp;""),CHAR(160),"")," ",""),"년","")),SUBSTITUTE(SUBSTITUTE(SUBSTITUTE(TRIM(C850&amp;""),CHAR(160),"")," ",""),"년",""),""),"")</f>
      </c>
      <c r="P850" t="str">
        <f>SUBSTITUTE(SUBSTITUTE(SUBSTITUTE(SUBSTITUTE(SUBSTITUTE(SUBSTITUTE(SUBSTITUTE(SUBSTITUTE(TRIM(D850&amp;""),CHAR(160),"")," ",""),"초등학교","초"),"중학교","중"),"고등학교","고"),"~","~~"),"*","~*"),"?","~?")</f>
      </c>
      <c r="Q850" t="str">
        <f>SUBSTITUTE(SUBSTITUTE(SUBSTITUTE(SUBSTITUTE(SUBSTITUTE(SUBSTITUTE(SUBSTITUTE(SUBSTITUTE(TRIM(E850&amp;""),CHAR(160),"")," ",""),"초등학교","초"),"중학교","중"),"고등학교","고"),"~","~~"),"*","~*"),"?","~?")</f>
      </c>
      <c r="R850" t="str">
        <f>IF(COUNTA(B850:J850)=0,"",IF(AND(O850&lt;&gt;"",P850&lt;&gt;"",Q850&lt;&gt;""),"","입력누락"))</f>
      </c>
    </row>
    <row r="851" customFormat="false" ht="15" hidden="false" customHeight="false" outlineLevel="0" collapsed="false">
      <c r="A851" t="n" s="19">
        <f aca="0">IF(COUNTA(B851:J851)=0,"",ROW()-1)</f>
      </c>
      <c r="B851" s="24"/>
      <c r="C851" s="25"/>
      <c r="D851" s="8"/>
      <c r="E851" s="8"/>
      <c r="F851" s="26"/>
      <c r="G851" s="24"/>
      <c r="H851" s="25"/>
      <c r="I851" s="25"/>
      <c r="J851" s="26"/>
      <c r="K851" t="str" s="15">
        <f aca="0">IF(COUNTA(B851:J851)=0,"",IF(R851&lt;&gt;"","확인필요(입력누락)",IF(COUNTIFS(보유목록!$I$2:$I$3001,"*"&amp;P851&amp;"*",보유목록!$I$2:$I$3001,"*"&amp;Q851&amp;"*",보유목록!$H$2:$H$3001,O851)&gt;0,"있음",IF(COUNTIFS(보유목록!$I$2:$I$3001,"*"&amp;P851&amp;"*",보유목록!$I$2:$I$3001,"*"&amp;Q851&amp;"*")&gt;0,"확인필요(연도다름)",IF(COUNTIFS(보유목록!$I$2:$I$3001,"*"&amp;P851&amp;"*",보유목록!$H$2:$H$3001,O851)&gt;0,"확인필요(같은학교·같은연도)","없음")))))</f>
      </c>
      <c r="L851" t="str" s="16">
        <f aca="0">IF(OR(COUNTA(B851:J851)=0,R851&lt;&gt;""),"",COUNTIFS(보유목록!$I$2:$I$3001,"*"&amp;P851&amp;"*",보유목록!$I$2:$I$3001,"*"&amp;Q851&amp;"*"))</f>
      </c>
      <c r="M851" t="str" s="23">
        <f aca="0">IF(OR(COUNTA(B851:J851)=0,R851&lt;&gt;""),"",IFERROR(LOOKUP(2,1/(ISNUMBER(SEARCH(P851,보유목록!$I$2:$I$3001))*ISNUMBER(SEARCH(Q851,보유목록!$I$2:$I$3001))*(보유목록!$H$2:$H$3001=O851)),보유목록!$B$2:$B$3001),IFERROR(LOOKUP(2,1/(ISNUMBER(SEARCH(P851,보유목록!$I$2:$I$3001))*ISNUMBER(SEARCH(Q851,보유목록!$I$2:$I$3001))),보유목록!$B$2:$B$3001),"")))</f>
      </c>
      <c r="N851" s="25"/>
      <c r="O851" t="str">
        <f>IFERROR(IF(AND(LEN(SUBSTITUTE(SUBSTITUTE(SUBSTITUTE(TRIM(C851&amp;""),CHAR(160),"")," ",""),"년",""))=4,VALUE(SUBSTITUTE(SUBSTITUTE(SUBSTITUTE(TRIM(C851&amp;""),CHAR(160),"")," ",""),"년",""))&gt;=1900,VALUE(SUBSTITUTE(SUBSTITUTE(SUBSTITUTE(TRIM(C851&amp;""),CHAR(160),"")," ",""),"년",""))&lt;=2099,TEXT(VALUE(SUBSTITUTE(SUBSTITUTE(SUBSTITUTE(TRIM(C851&amp;""),CHAR(160),"")," ",""),"년","")),"0000")=SUBSTITUTE(SUBSTITUTE(SUBSTITUTE(TRIM(C851&amp;""),CHAR(160),"")," ",""),"년","")),SUBSTITUTE(SUBSTITUTE(SUBSTITUTE(TRIM(C851&amp;""),CHAR(160),"")," ",""),"년",""),""),"")</f>
      </c>
      <c r="P851" t="str">
        <f>SUBSTITUTE(SUBSTITUTE(SUBSTITUTE(SUBSTITUTE(SUBSTITUTE(SUBSTITUTE(SUBSTITUTE(SUBSTITUTE(TRIM(D851&amp;""),CHAR(160),"")," ",""),"초등학교","초"),"중학교","중"),"고등학교","고"),"~","~~"),"*","~*"),"?","~?")</f>
      </c>
      <c r="Q851" t="str">
        <f>SUBSTITUTE(SUBSTITUTE(SUBSTITUTE(SUBSTITUTE(SUBSTITUTE(SUBSTITUTE(SUBSTITUTE(SUBSTITUTE(TRIM(E851&amp;""),CHAR(160),"")," ",""),"초등학교","초"),"중학교","중"),"고등학교","고"),"~","~~"),"*","~*"),"?","~?")</f>
      </c>
      <c r="R851" t="str">
        <f>IF(COUNTA(B851:J851)=0,"",IF(AND(O851&lt;&gt;"",P851&lt;&gt;"",Q851&lt;&gt;""),"","입력누락"))</f>
      </c>
    </row>
    <row r="852" customFormat="false" ht="15" hidden="false" customHeight="false" outlineLevel="0" collapsed="false">
      <c r="A852" t="n" s="19">
        <f aca="0">IF(COUNTA(B852:J852)=0,"",ROW()-1)</f>
      </c>
      <c r="B852" s="24"/>
      <c r="C852" s="25"/>
      <c r="D852" s="8"/>
      <c r="E852" s="8"/>
      <c r="F852" s="26"/>
      <c r="G852" s="24"/>
      <c r="H852" s="25"/>
      <c r="I852" s="25"/>
      <c r="J852" s="26"/>
      <c r="K852" t="str" s="15">
        <f aca="0">IF(COUNTA(B852:J852)=0,"",IF(R852&lt;&gt;"","확인필요(입력누락)",IF(COUNTIFS(보유목록!$I$2:$I$3001,"*"&amp;P852&amp;"*",보유목록!$I$2:$I$3001,"*"&amp;Q852&amp;"*",보유목록!$H$2:$H$3001,O852)&gt;0,"있음",IF(COUNTIFS(보유목록!$I$2:$I$3001,"*"&amp;P852&amp;"*",보유목록!$I$2:$I$3001,"*"&amp;Q852&amp;"*")&gt;0,"확인필요(연도다름)",IF(COUNTIFS(보유목록!$I$2:$I$3001,"*"&amp;P852&amp;"*",보유목록!$H$2:$H$3001,O852)&gt;0,"확인필요(같은학교·같은연도)","없음")))))</f>
      </c>
      <c r="L852" t="str" s="16">
        <f aca="0">IF(OR(COUNTA(B852:J852)=0,R852&lt;&gt;""),"",COUNTIFS(보유목록!$I$2:$I$3001,"*"&amp;P852&amp;"*",보유목록!$I$2:$I$3001,"*"&amp;Q852&amp;"*"))</f>
      </c>
      <c r="M852" t="str" s="23">
        <f aca="0">IF(OR(COUNTA(B852:J852)=0,R852&lt;&gt;""),"",IFERROR(LOOKUP(2,1/(ISNUMBER(SEARCH(P852,보유목록!$I$2:$I$3001))*ISNUMBER(SEARCH(Q852,보유목록!$I$2:$I$3001))*(보유목록!$H$2:$H$3001=O852)),보유목록!$B$2:$B$3001),IFERROR(LOOKUP(2,1/(ISNUMBER(SEARCH(P852,보유목록!$I$2:$I$3001))*ISNUMBER(SEARCH(Q852,보유목록!$I$2:$I$3001))),보유목록!$B$2:$B$3001),"")))</f>
      </c>
      <c r="N852" s="25"/>
      <c r="O852" t="str">
        <f>IFERROR(IF(AND(LEN(SUBSTITUTE(SUBSTITUTE(SUBSTITUTE(TRIM(C852&amp;""),CHAR(160),"")," ",""),"년",""))=4,VALUE(SUBSTITUTE(SUBSTITUTE(SUBSTITUTE(TRIM(C852&amp;""),CHAR(160),"")," ",""),"년",""))&gt;=1900,VALUE(SUBSTITUTE(SUBSTITUTE(SUBSTITUTE(TRIM(C852&amp;""),CHAR(160),"")," ",""),"년",""))&lt;=2099,TEXT(VALUE(SUBSTITUTE(SUBSTITUTE(SUBSTITUTE(TRIM(C852&amp;""),CHAR(160),"")," ",""),"년","")),"0000")=SUBSTITUTE(SUBSTITUTE(SUBSTITUTE(TRIM(C852&amp;""),CHAR(160),"")," ",""),"년","")),SUBSTITUTE(SUBSTITUTE(SUBSTITUTE(TRIM(C852&amp;""),CHAR(160),"")," ",""),"년",""),""),"")</f>
      </c>
      <c r="P852" t="str">
        <f>SUBSTITUTE(SUBSTITUTE(SUBSTITUTE(SUBSTITUTE(SUBSTITUTE(SUBSTITUTE(SUBSTITUTE(SUBSTITUTE(TRIM(D852&amp;""),CHAR(160),"")," ",""),"초등학교","초"),"중학교","중"),"고등학교","고"),"~","~~"),"*","~*"),"?","~?")</f>
      </c>
      <c r="Q852" t="str">
        <f>SUBSTITUTE(SUBSTITUTE(SUBSTITUTE(SUBSTITUTE(SUBSTITUTE(SUBSTITUTE(SUBSTITUTE(SUBSTITUTE(TRIM(E852&amp;""),CHAR(160),"")," ",""),"초등학교","초"),"중학교","중"),"고등학교","고"),"~","~~"),"*","~*"),"?","~?")</f>
      </c>
      <c r="R852" t="str">
        <f>IF(COUNTA(B852:J852)=0,"",IF(AND(O852&lt;&gt;"",P852&lt;&gt;"",Q852&lt;&gt;""),"","입력누락"))</f>
      </c>
    </row>
    <row r="853" customFormat="false" ht="15" hidden="false" customHeight="false" outlineLevel="0" collapsed="false">
      <c r="A853" t="n" s="19">
        <f aca="0">IF(COUNTA(B853:J853)=0,"",ROW()-1)</f>
      </c>
      <c r="B853" s="24"/>
      <c r="C853" s="25"/>
      <c r="D853" s="8"/>
      <c r="E853" s="8"/>
      <c r="F853" s="26"/>
      <c r="G853" s="24"/>
      <c r="H853" s="25"/>
      <c r="I853" s="25"/>
      <c r="J853" s="26"/>
      <c r="K853" t="str" s="15">
        <f aca="0">IF(COUNTA(B853:J853)=0,"",IF(R853&lt;&gt;"","확인필요(입력누락)",IF(COUNTIFS(보유목록!$I$2:$I$3001,"*"&amp;P853&amp;"*",보유목록!$I$2:$I$3001,"*"&amp;Q853&amp;"*",보유목록!$H$2:$H$3001,O853)&gt;0,"있음",IF(COUNTIFS(보유목록!$I$2:$I$3001,"*"&amp;P853&amp;"*",보유목록!$I$2:$I$3001,"*"&amp;Q853&amp;"*")&gt;0,"확인필요(연도다름)",IF(COUNTIFS(보유목록!$I$2:$I$3001,"*"&amp;P853&amp;"*",보유목록!$H$2:$H$3001,O853)&gt;0,"확인필요(같은학교·같은연도)","없음")))))</f>
      </c>
      <c r="L853" t="str" s="16">
        <f aca="0">IF(OR(COUNTA(B853:J853)=0,R853&lt;&gt;""),"",COUNTIFS(보유목록!$I$2:$I$3001,"*"&amp;P853&amp;"*",보유목록!$I$2:$I$3001,"*"&amp;Q853&amp;"*"))</f>
      </c>
      <c r="M853" t="str" s="23">
        <f aca="0">IF(OR(COUNTA(B853:J853)=0,R853&lt;&gt;""),"",IFERROR(LOOKUP(2,1/(ISNUMBER(SEARCH(P853,보유목록!$I$2:$I$3001))*ISNUMBER(SEARCH(Q853,보유목록!$I$2:$I$3001))*(보유목록!$H$2:$H$3001=O853)),보유목록!$B$2:$B$3001),IFERROR(LOOKUP(2,1/(ISNUMBER(SEARCH(P853,보유목록!$I$2:$I$3001))*ISNUMBER(SEARCH(Q853,보유목록!$I$2:$I$3001))),보유목록!$B$2:$B$3001),"")))</f>
      </c>
      <c r="N853" s="25"/>
      <c r="O853" t="str">
        <f>IFERROR(IF(AND(LEN(SUBSTITUTE(SUBSTITUTE(SUBSTITUTE(TRIM(C853&amp;""),CHAR(160),"")," ",""),"년",""))=4,VALUE(SUBSTITUTE(SUBSTITUTE(SUBSTITUTE(TRIM(C853&amp;""),CHAR(160),"")," ",""),"년",""))&gt;=1900,VALUE(SUBSTITUTE(SUBSTITUTE(SUBSTITUTE(TRIM(C853&amp;""),CHAR(160),"")," ",""),"년",""))&lt;=2099,TEXT(VALUE(SUBSTITUTE(SUBSTITUTE(SUBSTITUTE(TRIM(C853&amp;""),CHAR(160),"")," ",""),"년","")),"0000")=SUBSTITUTE(SUBSTITUTE(SUBSTITUTE(TRIM(C853&amp;""),CHAR(160),"")," ",""),"년","")),SUBSTITUTE(SUBSTITUTE(SUBSTITUTE(TRIM(C853&amp;""),CHAR(160),"")," ",""),"년",""),""),"")</f>
      </c>
      <c r="P853" t="str">
        <f>SUBSTITUTE(SUBSTITUTE(SUBSTITUTE(SUBSTITUTE(SUBSTITUTE(SUBSTITUTE(SUBSTITUTE(SUBSTITUTE(TRIM(D853&amp;""),CHAR(160),"")," ",""),"초등학교","초"),"중학교","중"),"고등학교","고"),"~","~~"),"*","~*"),"?","~?")</f>
      </c>
      <c r="Q853" t="str">
        <f>SUBSTITUTE(SUBSTITUTE(SUBSTITUTE(SUBSTITUTE(SUBSTITUTE(SUBSTITUTE(SUBSTITUTE(SUBSTITUTE(TRIM(E853&amp;""),CHAR(160),"")," ",""),"초등학교","초"),"중학교","중"),"고등학교","고"),"~","~~"),"*","~*"),"?","~?")</f>
      </c>
      <c r="R853" t="str">
        <f>IF(COUNTA(B853:J853)=0,"",IF(AND(O853&lt;&gt;"",P853&lt;&gt;"",Q853&lt;&gt;""),"","입력누락"))</f>
      </c>
    </row>
    <row r="854" customFormat="false" ht="15" hidden="false" customHeight="false" outlineLevel="0" collapsed="false">
      <c r="A854" t="n" s="19">
        <f aca="0">IF(COUNTA(B854:J854)=0,"",ROW()-1)</f>
      </c>
      <c r="B854" s="24"/>
      <c r="C854" s="25"/>
      <c r="D854" s="8"/>
      <c r="E854" s="8"/>
      <c r="F854" s="26"/>
      <c r="G854" s="24"/>
      <c r="H854" s="25"/>
      <c r="I854" s="25"/>
      <c r="J854" s="26"/>
      <c r="K854" t="str" s="15">
        <f aca="0">IF(COUNTA(B854:J854)=0,"",IF(R854&lt;&gt;"","확인필요(입력누락)",IF(COUNTIFS(보유목록!$I$2:$I$3001,"*"&amp;P854&amp;"*",보유목록!$I$2:$I$3001,"*"&amp;Q854&amp;"*",보유목록!$H$2:$H$3001,O854)&gt;0,"있음",IF(COUNTIFS(보유목록!$I$2:$I$3001,"*"&amp;P854&amp;"*",보유목록!$I$2:$I$3001,"*"&amp;Q854&amp;"*")&gt;0,"확인필요(연도다름)",IF(COUNTIFS(보유목록!$I$2:$I$3001,"*"&amp;P854&amp;"*",보유목록!$H$2:$H$3001,O854)&gt;0,"확인필요(같은학교·같은연도)","없음")))))</f>
      </c>
      <c r="L854" t="str" s="16">
        <f aca="0">IF(OR(COUNTA(B854:J854)=0,R854&lt;&gt;""),"",COUNTIFS(보유목록!$I$2:$I$3001,"*"&amp;P854&amp;"*",보유목록!$I$2:$I$3001,"*"&amp;Q854&amp;"*"))</f>
      </c>
      <c r="M854" t="str" s="23">
        <f aca="0">IF(OR(COUNTA(B854:J854)=0,R854&lt;&gt;""),"",IFERROR(LOOKUP(2,1/(ISNUMBER(SEARCH(P854,보유목록!$I$2:$I$3001))*ISNUMBER(SEARCH(Q854,보유목록!$I$2:$I$3001))*(보유목록!$H$2:$H$3001=O854)),보유목록!$B$2:$B$3001),IFERROR(LOOKUP(2,1/(ISNUMBER(SEARCH(P854,보유목록!$I$2:$I$3001))*ISNUMBER(SEARCH(Q854,보유목록!$I$2:$I$3001))),보유목록!$B$2:$B$3001),"")))</f>
      </c>
      <c r="N854" s="25"/>
      <c r="O854" t="str">
        <f>IFERROR(IF(AND(LEN(SUBSTITUTE(SUBSTITUTE(SUBSTITUTE(TRIM(C854&amp;""),CHAR(160),"")," ",""),"년",""))=4,VALUE(SUBSTITUTE(SUBSTITUTE(SUBSTITUTE(TRIM(C854&amp;""),CHAR(160),"")," ",""),"년",""))&gt;=1900,VALUE(SUBSTITUTE(SUBSTITUTE(SUBSTITUTE(TRIM(C854&amp;""),CHAR(160),"")," ",""),"년",""))&lt;=2099,TEXT(VALUE(SUBSTITUTE(SUBSTITUTE(SUBSTITUTE(TRIM(C854&amp;""),CHAR(160),"")," ",""),"년","")),"0000")=SUBSTITUTE(SUBSTITUTE(SUBSTITUTE(TRIM(C854&amp;""),CHAR(160),"")," ",""),"년","")),SUBSTITUTE(SUBSTITUTE(SUBSTITUTE(TRIM(C854&amp;""),CHAR(160),"")," ",""),"년",""),""),"")</f>
      </c>
      <c r="P854" t="str">
        <f>SUBSTITUTE(SUBSTITUTE(SUBSTITUTE(SUBSTITUTE(SUBSTITUTE(SUBSTITUTE(SUBSTITUTE(SUBSTITUTE(TRIM(D854&amp;""),CHAR(160),"")," ",""),"초등학교","초"),"중학교","중"),"고등학교","고"),"~","~~"),"*","~*"),"?","~?")</f>
      </c>
      <c r="Q854" t="str">
        <f>SUBSTITUTE(SUBSTITUTE(SUBSTITUTE(SUBSTITUTE(SUBSTITUTE(SUBSTITUTE(SUBSTITUTE(SUBSTITUTE(TRIM(E854&amp;""),CHAR(160),"")," ",""),"초등학교","초"),"중학교","중"),"고등학교","고"),"~","~~"),"*","~*"),"?","~?")</f>
      </c>
      <c r="R854" t="str">
        <f>IF(COUNTA(B854:J854)=0,"",IF(AND(O854&lt;&gt;"",P854&lt;&gt;"",Q854&lt;&gt;""),"","입력누락"))</f>
      </c>
    </row>
    <row r="855" customFormat="false" ht="15" hidden="false" customHeight="false" outlineLevel="0" collapsed="false">
      <c r="A855" t="n" s="19">
        <f aca="0">IF(COUNTA(B855:J855)=0,"",ROW()-1)</f>
      </c>
      <c r="B855" s="24"/>
      <c r="C855" s="25"/>
      <c r="D855" s="8"/>
      <c r="E855" s="8"/>
      <c r="F855" s="26"/>
      <c r="G855" s="24"/>
      <c r="H855" s="25"/>
      <c r="I855" s="25"/>
      <c r="J855" s="26"/>
      <c r="K855" t="str" s="15">
        <f aca="0">IF(COUNTA(B855:J855)=0,"",IF(R855&lt;&gt;"","확인필요(입력누락)",IF(COUNTIFS(보유목록!$I$2:$I$3001,"*"&amp;P855&amp;"*",보유목록!$I$2:$I$3001,"*"&amp;Q855&amp;"*",보유목록!$H$2:$H$3001,O855)&gt;0,"있음",IF(COUNTIFS(보유목록!$I$2:$I$3001,"*"&amp;P855&amp;"*",보유목록!$I$2:$I$3001,"*"&amp;Q855&amp;"*")&gt;0,"확인필요(연도다름)",IF(COUNTIFS(보유목록!$I$2:$I$3001,"*"&amp;P855&amp;"*",보유목록!$H$2:$H$3001,O855)&gt;0,"확인필요(같은학교·같은연도)","없음")))))</f>
      </c>
      <c r="L855" t="str" s="16">
        <f aca="0">IF(OR(COUNTA(B855:J855)=0,R855&lt;&gt;""),"",COUNTIFS(보유목록!$I$2:$I$3001,"*"&amp;P855&amp;"*",보유목록!$I$2:$I$3001,"*"&amp;Q855&amp;"*"))</f>
      </c>
      <c r="M855" t="str" s="23">
        <f aca="0">IF(OR(COUNTA(B855:J855)=0,R855&lt;&gt;""),"",IFERROR(LOOKUP(2,1/(ISNUMBER(SEARCH(P855,보유목록!$I$2:$I$3001))*ISNUMBER(SEARCH(Q855,보유목록!$I$2:$I$3001))*(보유목록!$H$2:$H$3001=O855)),보유목록!$B$2:$B$3001),IFERROR(LOOKUP(2,1/(ISNUMBER(SEARCH(P855,보유목록!$I$2:$I$3001))*ISNUMBER(SEARCH(Q855,보유목록!$I$2:$I$3001))),보유목록!$B$2:$B$3001),"")))</f>
      </c>
      <c r="N855" s="25"/>
      <c r="O855" t="str">
        <f>IFERROR(IF(AND(LEN(SUBSTITUTE(SUBSTITUTE(SUBSTITUTE(TRIM(C855&amp;""),CHAR(160),"")," ",""),"년",""))=4,VALUE(SUBSTITUTE(SUBSTITUTE(SUBSTITUTE(TRIM(C855&amp;""),CHAR(160),"")," ",""),"년",""))&gt;=1900,VALUE(SUBSTITUTE(SUBSTITUTE(SUBSTITUTE(TRIM(C855&amp;""),CHAR(160),"")," ",""),"년",""))&lt;=2099,TEXT(VALUE(SUBSTITUTE(SUBSTITUTE(SUBSTITUTE(TRIM(C855&amp;""),CHAR(160),"")," ",""),"년","")),"0000")=SUBSTITUTE(SUBSTITUTE(SUBSTITUTE(TRIM(C855&amp;""),CHAR(160),"")," ",""),"년","")),SUBSTITUTE(SUBSTITUTE(SUBSTITUTE(TRIM(C855&amp;""),CHAR(160),"")," ",""),"년",""),""),"")</f>
      </c>
      <c r="P855" t="str">
        <f>SUBSTITUTE(SUBSTITUTE(SUBSTITUTE(SUBSTITUTE(SUBSTITUTE(SUBSTITUTE(SUBSTITUTE(SUBSTITUTE(TRIM(D855&amp;""),CHAR(160),"")," ",""),"초등학교","초"),"중학교","중"),"고등학교","고"),"~","~~"),"*","~*"),"?","~?")</f>
      </c>
      <c r="Q855" t="str">
        <f>SUBSTITUTE(SUBSTITUTE(SUBSTITUTE(SUBSTITUTE(SUBSTITUTE(SUBSTITUTE(SUBSTITUTE(SUBSTITUTE(TRIM(E855&amp;""),CHAR(160),"")," ",""),"초등학교","초"),"중학교","중"),"고등학교","고"),"~","~~"),"*","~*"),"?","~?")</f>
      </c>
      <c r="R855" t="str">
        <f>IF(COUNTA(B855:J855)=0,"",IF(AND(O855&lt;&gt;"",P855&lt;&gt;"",Q855&lt;&gt;""),"","입력누락"))</f>
      </c>
    </row>
    <row r="856" customFormat="false" ht="15" hidden="false" customHeight="false" outlineLevel="0" collapsed="false">
      <c r="A856" t="n" s="19">
        <f aca="0">IF(COUNTA(B856:J856)=0,"",ROW()-1)</f>
      </c>
      <c r="B856" s="24"/>
      <c r="C856" s="25"/>
      <c r="D856" s="8"/>
      <c r="E856" s="8"/>
      <c r="F856" s="26"/>
      <c r="G856" s="24"/>
      <c r="H856" s="25"/>
      <c r="I856" s="25"/>
      <c r="J856" s="26"/>
      <c r="K856" t="str" s="15">
        <f aca="0">IF(COUNTA(B856:J856)=0,"",IF(R856&lt;&gt;"","확인필요(입력누락)",IF(COUNTIFS(보유목록!$I$2:$I$3001,"*"&amp;P856&amp;"*",보유목록!$I$2:$I$3001,"*"&amp;Q856&amp;"*",보유목록!$H$2:$H$3001,O856)&gt;0,"있음",IF(COUNTIFS(보유목록!$I$2:$I$3001,"*"&amp;P856&amp;"*",보유목록!$I$2:$I$3001,"*"&amp;Q856&amp;"*")&gt;0,"확인필요(연도다름)",IF(COUNTIFS(보유목록!$I$2:$I$3001,"*"&amp;P856&amp;"*",보유목록!$H$2:$H$3001,O856)&gt;0,"확인필요(같은학교·같은연도)","없음")))))</f>
      </c>
      <c r="L856" t="str" s="16">
        <f aca="0">IF(OR(COUNTA(B856:J856)=0,R856&lt;&gt;""),"",COUNTIFS(보유목록!$I$2:$I$3001,"*"&amp;P856&amp;"*",보유목록!$I$2:$I$3001,"*"&amp;Q856&amp;"*"))</f>
      </c>
      <c r="M856" t="str" s="23">
        <f aca="0">IF(OR(COUNTA(B856:J856)=0,R856&lt;&gt;""),"",IFERROR(LOOKUP(2,1/(ISNUMBER(SEARCH(P856,보유목록!$I$2:$I$3001))*ISNUMBER(SEARCH(Q856,보유목록!$I$2:$I$3001))*(보유목록!$H$2:$H$3001=O856)),보유목록!$B$2:$B$3001),IFERROR(LOOKUP(2,1/(ISNUMBER(SEARCH(P856,보유목록!$I$2:$I$3001))*ISNUMBER(SEARCH(Q856,보유목록!$I$2:$I$3001))),보유목록!$B$2:$B$3001),"")))</f>
      </c>
      <c r="N856" s="25"/>
      <c r="O856" t="str">
        <f>IFERROR(IF(AND(LEN(SUBSTITUTE(SUBSTITUTE(SUBSTITUTE(TRIM(C856&amp;""),CHAR(160),"")," ",""),"년",""))=4,VALUE(SUBSTITUTE(SUBSTITUTE(SUBSTITUTE(TRIM(C856&amp;""),CHAR(160),"")," ",""),"년",""))&gt;=1900,VALUE(SUBSTITUTE(SUBSTITUTE(SUBSTITUTE(TRIM(C856&amp;""),CHAR(160),"")," ",""),"년",""))&lt;=2099,TEXT(VALUE(SUBSTITUTE(SUBSTITUTE(SUBSTITUTE(TRIM(C856&amp;""),CHAR(160),"")," ",""),"년","")),"0000")=SUBSTITUTE(SUBSTITUTE(SUBSTITUTE(TRIM(C856&amp;""),CHAR(160),"")," ",""),"년","")),SUBSTITUTE(SUBSTITUTE(SUBSTITUTE(TRIM(C856&amp;""),CHAR(160),"")," ",""),"년",""),""),"")</f>
      </c>
      <c r="P856" t="str">
        <f>SUBSTITUTE(SUBSTITUTE(SUBSTITUTE(SUBSTITUTE(SUBSTITUTE(SUBSTITUTE(SUBSTITUTE(SUBSTITUTE(TRIM(D856&amp;""),CHAR(160),"")," ",""),"초등학교","초"),"중학교","중"),"고등학교","고"),"~","~~"),"*","~*"),"?","~?")</f>
      </c>
      <c r="Q856" t="str">
        <f>SUBSTITUTE(SUBSTITUTE(SUBSTITUTE(SUBSTITUTE(SUBSTITUTE(SUBSTITUTE(SUBSTITUTE(SUBSTITUTE(TRIM(E856&amp;""),CHAR(160),"")," ",""),"초등학교","초"),"중학교","중"),"고등학교","고"),"~","~~"),"*","~*"),"?","~?")</f>
      </c>
      <c r="R856" t="str">
        <f>IF(COUNTA(B856:J856)=0,"",IF(AND(O856&lt;&gt;"",P856&lt;&gt;"",Q856&lt;&gt;""),"","입력누락"))</f>
      </c>
    </row>
    <row r="857" customFormat="false" ht="15" hidden="false" customHeight="false" outlineLevel="0" collapsed="false">
      <c r="A857" t="n" s="19">
        <f aca="0">IF(COUNTA(B857:J857)=0,"",ROW()-1)</f>
      </c>
      <c r="B857" s="24"/>
      <c r="C857" s="25"/>
      <c r="D857" s="8"/>
      <c r="E857" s="8"/>
      <c r="F857" s="26"/>
      <c r="G857" s="24"/>
      <c r="H857" s="25"/>
      <c r="I857" s="25"/>
      <c r="J857" s="26"/>
      <c r="K857" t="str" s="15">
        <f aca="0">IF(COUNTA(B857:J857)=0,"",IF(R857&lt;&gt;"","확인필요(입력누락)",IF(COUNTIFS(보유목록!$I$2:$I$3001,"*"&amp;P857&amp;"*",보유목록!$I$2:$I$3001,"*"&amp;Q857&amp;"*",보유목록!$H$2:$H$3001,O857)&gt;0,"있음",IF(COUNTIFS(보유목록!$I$2:$I$3001,"*"&amp;P857&amp;"*",보유목록!$I$2:$I$3001,"*"&amp;Q857&amp;"*")&gt;0,"확인필요(연도다름)",IF(COUNTIFS(보유목록!$I$2:$I$3001,"*"&amp;P857&amp;"*",보유목록!$H$2:$H$3001,O857)&gt;0,"확인필요(같은학교·같은연도)","없음")))))</f>
      </c>
      <c r="L857" t="str" s="16">
        <f aca="0">IF(OR(COUNTA(B857:J857)=0,R857&lt;&gt;""),"",COUNTIFS(보유목록!$I$2:$I$3001,"*"&amp;P857&amp;"*",보유목록!$I$2:$I$3001,"*"&amp;Q857&amp;"*"))</f>
      </c>
      <c r="M857" t="str" s="23">
        <f aca="0">IF(OR(COUNTA(B857:J857)=0,R857&lt;&gt;""),"",IFERROR(LOOKUP(2,1/(ISNUMBER(SEARCH(P857,보유목록!$I$2:$I$3001))*ISNUMBER(SEARCH(Q857,보유목록!$I$2:$I$3001))*(보유목록!$H$2:$H$3001=O857)),보유목록!$B$2:$B$3001),IFERROR(LOOKUP(2,1/(ISNUMBER(SEARCH(P857,보유목록!$I$2:$I$3001))*ISNUMBER(SEARCH(Q857,보유목록!$I$2:$I$3001))),보유목록!$B$2:$B$3001),"")))</f>
      </c>
      <c r="N857" s="25"/>
      <c r="O857" t="str">
        <f>IFERROR(IF(AND(LEN(SUBSTITUTE(SUBSTITUTE(SUBSTITUTE(TRIM(C857&amp;""),CHAR(160),"")," ",""),"년",""))=4,VALUE(SUBSTITUTE(SUBSTITUTE(SUBSTITUTE(TRIM(C857&amp;""),CHAR(160),"")," ",""),"년",""))&gt;=1900,VALUE(SUBSTITUTE(SUBSTITUTE(SUBSTITUTE(TRIM(C857&amp;""),CHAR(160),"")," ",""),"년",""))&lt;=2099,TEXT(VALUE(SUBSTITUTE(SUBSTITUTE(SUBSTITUTE(TRIM(C857&amp;""),CHAR(160),"")," ",""),"년","")),"0000")=SUBSTITUTE(SUBSTITUTE(SUBSTITUTE(TRIM(C857&amp;""),CHAR(160),"")," ",""),"년","")),SUBSTITUTE(SUBSTITUTE(SUBSTITUTE(TRIM(C857&amp;""),CHAR(160),"")," ",""),"년",""),""),"")</f>
      </c>
      <c r="P857" t="str">
        <f>SUBSTITUTE(SUBSTITUTE(SUBSTITUTE(SUBSTITUTE(SUBSTITUTE(SUBSTITUTE(SUBSTITUTE(SUBSTITUTE(TRIM(D857&amp;""),CHAR(160),"")," ",""),"초등학교","초"),"중학교","중"),"고등학교","고"),"~","~~"),"*","~*"),"?","~?")</f>
      </c>
      <c r="Q857" t="str">
        <f>SUBSTITUTE(SUBSTITUTE(SUBSTITUTE(SUBSTITUTE(SUBSTITUTE(SUBSTITUTE(SUBSTITUTE(SUBSTITUTE(TRIM(E857&amp;""),CHAR(160),"")," ",""),"초등학교","초"),"중학교","중"),"고등학교","고"),"~","~~"),"*","~*"),"?","~?")</f>
      </c>
      <c r="R857" t="str">
        <f>IF(COUNTA(B857:J857)=0,"",IF(AND(O857&lt;&gt;"",P857&lt;&gt;"",Q857&lt;&gt;""),"","입력누락"))</f>
      </c>
    </row>
    <row r="858" customFormat="false" ht="15" hidden="false" customHeight="false" outlineLevel="0" collapsed="false">
      <c r="A858" t="n" s="19">
        <f aca="0">IF(COUNTA(B858:J858)=0,"",ROW()-1)</f>
      </c>
      <c r="B858" s="24"/>
      <c r="C858" s="25"/>
      <c r="D858" s="8"/>
      <c r="E858" s="8"/>
      <c r="F858" s="26"/>
      <c r="G858" s="24"/>
      <c r="H858" s="25"/>
      <c r="I858" s="25"/>
      <c r="J858" s="26"/>
      <c r="K858" t="str" s="15">
        <f aca="0">IF(COUNTA(B858:J858)=0,"",IF(R858&lt;&gt;"","확인필요(입력누락)",IF(COUNTIFS(보유목록!$I$2:$I$3001,"*"&amp;P858&amp;"*",보유목록!$I$2:$I$3001,"*"&amp;Q858&amp;"*",보유목록!$H$2:$H$3001,O858)&gt;0,"있음",IF(COUNTIFS(보유목록!$I$2:$I$3001,"*"&amp;P858&amp;"*",보유목록!$I$2:$I$3001,"*"&amp;Q858&amp;"*")&gt;0,"확인필요(연도다름)",IF(COUNTIFS(보유목록!$I$2:$I$3001,"*"&amp;P858&amp;"*",보유목록!$H$2:$H$3001,O858)&gt;0,"확인필요(같은학교·같은연도)","없음")))))</f>
      </c>
      <c r="L858" t="str" s="16">
        <f aca="0">IF(OR(COUNTA(B858:J858)=0,R858&lt;&gt;""),"",COUNTIFS(보유목록!$I$2:$I$3001,"*"&amp;P858&amp;"*",보유목록!$I$2:$I$3001,"*"&amp;Q858&amp;"*"))</f>
      </c>
      <c r="M858" t="str" s="23">
        <f aca="0">IF(OR(COUNTA(B858:J858)=0,R858&lt;&gt;""),"",IFERROR(LOOKUP(2,1/(ISNUMBER(SEARCH(P858,보유목록!$I$2:$I$3001))*ISNUMBER(SEARCH(Q858,보유목록!$I$2:$I$3001))*(보유목록!$H$2:$H$3001=O858)),보유목록!$B$2:$B$3001),IFERROR(LOOKUP(2,1/(ISNUMBER(SEARCH(P858,보유목록!$I$2:$I$3001))*ISNUMBER(SEARCH(Q858,보유목록!$I$2:$I$3001))),보유목록!$B$2:$B$3001),"")))</f>
      </c>
      <c r="N858" s="25"/>
      <c r="O858" t="str">
        <f>IFERROR(IF(AND(LEN(SUBSTITUTE(SUBSTITUTE(SUBSTITUTE(TRIM(C858&amp;""),CHAR(160),"")," ",""),"년",""))=4,VALUE(SUBSTITUTE(SUBSTITUTE(SUBSTITUTE(TRIM(C858&amp;""),CHAR(160),"")," ",""),"년",""))&gt;=1900,VALUE(SUBSTITUTE(SUBSTITUTE(SUBSTITUTE(TRIM(C858&amp;""),CHAR(160),"")," ",""),"년",""))&lt;=2099,TEXT(VALUE(SUBSTITUTE(SUBSTITUTE(SUBSTITUTE(TRIM(C858&amp;""),CHAR(160),"")," ",""),"년","")),"0000")=SUBSTITUTE(SUBSTITUTE(SUBSTITUTE(TRIM(C858&amp;""),CHAR(160),"")," ",""),"년","")),SUBSTITUTE(SUBSTITUTE(SUBSTITUTE(TRIM(C858&amp;""),CHAR(160),"")," ",""),"년",""),""),"")</f>
      </c>
      <c r="P858" t="str">
        <f>SUBSTITUTE(SUBSTITUTE(SUBSTITUTE(SUBSTITUTE(SUBSTITUTE(SUBSTITUTE(SUBSTITUTE(SUBSTITUTE(TRIM(D858&amp;""),CHAR(160),"")," ",""),"초등학교","초"),"중학교","중"),"고등학교","고"),"~","~~"),"*","~*"),"?","~?")</f>
      </c>
      <c r="Q858" t="str">
        <f>SUBSTITUTE(SUBSTITUTE(SUBSTITUTE(SUBSTITUTE(SUBSTITUTE(SUBSTITUTE(SUBSTITUTE(SUBSTITUTE(TRIM(E858&amp;""),CHAR(160),"")," ",""),"초등학교","초"),"중학교","중"),"고등학교","고"),"~","~~"),"*","~*"),"?","~?")</f>
      </c>
      <c r="R858" t="str">
        <f>IF(COUNTA(B858:J858)=0,"",IF(AND(O858&lt;&gt;"",P858&lt;&gt;"",Q858&lt;&gt;""),"","입력누락"))</f>
      </c>
    </row>
    <row r="859" customFormat="false" ht="15" hidden="false" customHeight="false" outlineLevel="0" collapsed="false">
      <c r="A859" t="n" s="19">
        <f aca="0">IF(COUNTA(B859:J859)=0,"",ROW()-1)</f>
      </c>
      <c r="B859" s="24"/>
      <c r="C859" s="25"/>
      <c r="D859" s="8"/>
      <c r="E859" s="8"/>
      <c r="F859" s="26"/>
      <c r="G859" s="24"/>
      <c r="H859" s="25"/>
      <c r="I859" s="25"/>
      <c r="J859" s="26"/>
      <c r="K859" t="str" s="15">
        <f aca="0">IF(COUNTA(B859:J859)=0,"",IF(R859&lt;&gt;"","확인필요(입력누락)",IF(COUNTIFS(보유목록!$I$2:$I$3001,"*"&amp;P859&amp;"*",보유목록!$I$2:$I$3001,"*"&amp;Q859&amp;"*",보유목록!$H$2:$H$3001,O859)&gt;0,"있음",IF(COUNTIFS(보유목록!$I$2:$I$3001,"*"&amp;P859&amp;"*",보유목록!$I$2:$I$3001,"*"&amp;Q859&amp;"*")&gt;0,"확인필요(연도다름)",IF(COUNTIFS(보유목록!$I$2:$I$3001,"*"&amp;P859&amp;"*",보유목록!$H$2:$H$3001,O859)&gt;0,"확인필요(같은학교·같은연도)","없음")))))</f>
      </c>
      <c r="L859" t="str" s="16">
        <f aca="0">IF(OR(COUNTA(B859:J859)=0,R859&lt;&gt;""),"",COUNTIFS(보유목록!$I$2:$I$3001,"*"&amp;P859&amp;"*",보유목록!$I$2:$I$3001,"*"&amp;Q859&amp;"*"))</f>
      </c>
      <c r="M859" t="str" s="23">
        <f aca="0">IF(OR(COUNTA(B859:J859)=0,R859&lt;&gt;""),"",IFERROR(LOOKUP(2,1/(ISNUMBER(SEARCH(P859,보유목록!$I$2:$I$3001))*ISNUMBER(SEARCH(Q859,보유목록!$I$2:$I$3001))*(보유목록!$H$2:$H$3001=O859)),보유목록!$B$2:$B$3001),IFERROR(LOOKUP(2,1/(ISNUMBER(SEARCH(P859,보유목록!$I$2:$I$3001))*ISNUMBER(SEARCH(Q859,보유목록!$I$2:$I$3001))),보유목록!$B$2:$B$3001),"")))</f>
      </c>
      <c r="N859" s="25"/>
      <c r="O859" t="str">
        <f>IFERROR(IF(AND(LEN(SUBSTITUTE(SUBSTITUTE(SUBSTITUTE(TRIM(C859&amp;""),CHAR(160),"")," ",""),"년",""))=4,VALUE(SUBSTITUTE(SUBSTITUTE(SUBSTITUTE(TRIM(C859&amp;""),CHAR(160),"")," ",""),"년",""))&gt;=1900,VALUE(SUBSTITUTE(SUBSTITUTE(SUBSTITUTE(TRIM(C859&amp;""),CHAR(160),"")," ",""),"년",""))&lt;=2099,TEXT(VALUE(SUBSTITUTE(SUBSTITUTE(SUBSTITUTE(TRIM(C859&amp;""),CHAR(160),"")," ",""),"년","")),"0000")=SUBSTITUTE(SUBSTITUTE(SUBSTITUTE(TRIM(C859&amp;""),CHAR(160),"")," ",""),"년","")),SUBSTITUTE(SUBSTITUTE(SUBSTITUTE(TRIM(C859&amp;""),CHAR(160),"")," ",""),"년",""),""),"")</f>
      </c>
      <c r="P859" t="str">
        <f>SUBSTITUTE(SUBSTITUTE(SUBSTITUTE(SUBSTITUTE(SUBSTITUTE(SUBSTITUTE(SUBSTITUTE(SUBSTITUTE(TRIM(D859&amp;""),CHAR(160),"")," ",""),"초등학교","초"),"중학교","중"),"고등학교","고"),"~","~~"),"*","~*"),"?","~?")</f>
      </c>
      <c r="Q859" t="str">
        <f>SUBSTITUTE(SUBSTITUTE(SUBSTITUTE(SUBSTITUTE(SUBSTITUTE(SUBSTITUTE(SUBSTITUTE(SUBSTITUTE(TRIM(E859&amp;""),CHAR(160),"")," ",""),"초등학교","초"),"중학교","중"),"고등학교","고"),"~","~~"),"*","~*"),"?","~?")</f>
      </c>
      <c r="R859" t="str">
        <f>IF(COUNTA(B859:J859)=0,"",IF(AND(O859&lt;&gt;"",P859&lt;&gt;"",Q859&lt;&gt;""),"","입력누락"))</f>
      </c>
    </row>
    <row r="860" customFormat="false" ht="15" hidden="false" customHeight="false" outlineLevel="0" collapsed="false">
      <c r="A860" t="n" s="19">
        <f aca="0">IF(COUNTA(B860:J860)=0,"",ROW()-1)</f>
      </c>
      <c r="B860" s="24"/>
      <c r="C860" s="25"/>
      <c r="D860" s="8"/>
      <c r="E860" s="8"/>
      <c r="F860" s="26"/>
      <c r="G860" s="24"/>
      <c r="H860" s="25"/>
      <c r="I860" s="25"/>
      <c r="J860" s="26"/>
      <c r="K860" t="str" s="15">
        <f aca="0">IF(COUNTA(B860:J860)=0,"",IF(R860&lt;&gt;"","확인필요(입력누락)",IF(COUNTIFS(보유목록!$I$2:$I$3001,"*"&amp;P860&amp;"*",보유목록!$I$2:$I$3001,"*"&amp;Q860&amp;"*",보유목록!$H$2:$H$3001,O860)&gt;0,"있음",IF(COUNTIFS(보유목록!$I$2:$I$3001,"*"&amp;P860&amp;"*",보유목록!$I$2:$I$3001,"*"&amp;Q860&amp;"*")&gt;0,"확인필요(연도다름)",IF(COUNTIFS(보유목록!$I$2:$I$3001,"*"&amp;P860&amp;"*",보유목록!$H$2:$H$3001,O860)&gt;0,"확인필요(같은학교·같은연도)","없음")))))</f>
      </c>
      <c r="L860" t="str" s="16">
        <f aca="0">IF(OR(COUNTA(B860:J860)=0,R860&lt;&gt;""),"",COUNTIFS(보유목록!$I$2:$I$3001,"*"&amp;P860&amp;"*",보유목록!$I$2:$I$3001,"*"&amp;Q860&amp;"*"))</f>
      </c>
      <c r="M860" t="str" s="23">
        <f aca="0">IF(OR(COUNTA(B860:J860)=0,R860&lt;&gt;""),"",IFERROR(LOOKUP(2,1/(ISNUMBER(SEARCH(P860,보유목록!$I$2:$I$3001))*ISNUMBER(SEARCH(Q860,보유목록!$I$2:$I$3001))*(보유목록!$H$2:$H$3001=O860)),보유목록!$B$2:$B$3001),IFERROR(LOOKUP(2,1/(ISNUMBER(SEARCH(P860,보유목록!$I$2:$I$3001))*ISNUMBER(SEARCH(Q860,보유목록!$I$2:$I$3001))),보유목록!$B$2:$B$3001),"")))</f>
      </c>
      <c r="N860" s="25"/>
      <c r="O860" t="str">
        <f>IFERROR(IF(AND(LEN(SUBSTITUTE(SUBSTITUTE(SUBSTITUTE(TRIM(C860&amp;""),CHAR(160),"")," ",""),"년",""))=4,VALUE(SUBSTITUTE(SUBSTITUTE(SUBSTITUTE(TRIM(C860&amp;""),CHAR(160),"")," ",""),"년",""))&gt;=1900,VALUE(SUBSTITUTE(SUBSTITUTE(SUBSTITUTE(TRIM(C860&amp;""),CHAR(160),"")," ",""),"년",""))&lt;=2099,TEXT(VALUE(SUBSTITUTE(SUBSTITUTE(SUBSTITUTE(TRIM(C860&amp;""),CHAR(160),"")," ",""),"년","")),"0000")=SUBSTITUTE(SUBSTITUTE(SUBSTITUTE(TRIM(C860&amp;""),CHAR(160),"")," ",""),"년","")),SUBSTITUTE(SUBSTITUTE(SUBSTITUTE(TRIM(C860&amp;""),CHAR(160),"")," ",""),"년",""),""),"")</f>
      </c>
      <c r="P860" t="str">
        <f>SUBSTITUTE(SUBSTITUTE(SUBSTITUTE(SUBSTITUTE(SUBSTITUTE(SUBSTITUTE(SUBSTITUTE(SUBSTITUTE(TRIM(D860&amp;""),CHAR(160),"")," ",""),"초등학교","초"),"중학교","중"),"고등학교","고"),"~","~~"),"*","~*"),"?","~?")</f>
      </c>
      <c r="Q860" t="str">
        <f>SUBSTITUTE(SUBSTITUTE(SUBSTITUTE(SUBSTITUTE(SUBSTITUTE(SUBSTITUTE(SUBSTITUTE(SUBSTITUTE(TRIM(E860&amp;""),CHAR(160),"")," ",""),"초등학교","초"),"중학교","중"),"고등학교","고"),"~","~~"),"*","~*"),"?","~?")</f>
      </c>
      <c r="R860" t="str">
        <f>IF(COUNTA(B860:J860)=0,"",IF(AND(O860&lt;&gt;"",P860&lt;&gt;"",Q860&lt;&gt;""),"","입력누락"))</f>
      </c>
    </row>
    <row r="861" customFormat="false" ht="15" hidden="false" customHeight="false" outlineLevel="0" collapsed="false">
      <c r="A861" t="n" s="19">
        <f aca="0">IF(COUNTA(B861:J861)=0,"",ROW()-1)</f>
      </c>
      <c r="B861" s="24"/>
      <c r="C861" s="25"/>
      <c r="D861" s="8"/>
      <c r="E861" s="8"/>
      <c r="F861" s="26"/>
      <c r="G861" s="24"/>
      <c r="H861" s="25"/>
      <c r="I861" s="25"/>
      <c r="J861" s="26"/>
      <c r="K861" t="str" s="15">
        <f aca="0">IF(COUNTA(B861:J861)=0,"",IF(R861&lt;&gt;"","확인필요(입력누락)",IF(COUNTIFS(보유목록!$I$2:$I$3001,"*"&amp;P861&amp;"*",보유목록!$I$2:$I$3001,"*"&amp;Q861&amp;"*",보유목록!$H$2:$H$3001,O861)&gt;0,"있음",IF(COUNTIFS(보유목록!$I$2:$I$3001,"*"&amp;P861&amp;"*",보유목록!$I$2:$I$3001,"*"&amp;Q861&amp;"*")&gt;0,"확인필요(연도다름)",IF(COUNTIFS(보유목록!$I$2:$I$3001,"*"&amp;P861&amp;"*",보유목록!$H$2:$H$3001,O861)&gt;0,"확인필요(같은학교·같은연도)","없음")))))</f>
      </c>
      <c r="L861" t="str" s="16">
        <f aca="0">IF(OR(COUNTA(B861:J861)=0,R861&lt;&gt;""),"",COUNTIFS(보유목록!$I$2:$I$3001,"*"&amp;P861&amp;"*",보유목록!$I$2:$I$3001,"*"&amp;Q861&amp;"*"))</f>
      </c>
      <c r="M861" t="str" s="23">
        <f aca="0">IF(OR(COUNTA(B861:J861)=0,R861&lt;&gt;""),"",IFERROR(LOOKUP(2,1/(ISNUMBER(SEARCH(P861,보유목록!$I$2:$I$3001))*ISNUMBER(SEARCH(Q861,보유목록!$I$2:$I$3001))*(보유목록!$H$2:$H$3001=O861)),보유목록!$B$2:$B$3001),IFERROR(LOOKUP(2,1/(ISNUMBER(SEARCH(P861,보유목록!$I$2:$I$3001))*ISNUMBER(SEARCH(Q861,보유목록!$I$2:$I$3001))),보유목록!$B$2:$B$3001),"")))</f>
      </c>
      <c r="N861" s="25"/>
      <c r="O861" t="str">
        <f>IFERROR(IF(AND(LEN(SUBSTITUTE(SUBSTITUTE(SUBSTITUTE(TRIM(C861&amp;""),CHAR(160),"")," ",""),"년",""))=4,VALUE(SUBSTITUTE(SUBSTITUTE(SUBSTITUTE(TRIM(C861&amp;""),CHAR(160),"")," ",""),"년",""))&gt;=1900,VALUE(SUBSTITUTE(SUBSTITUTE(SUBSTITUTE(TRIM(C861&amp;""),CHAR(160),"")," ",""),"년",""))&lt;=2099,TEXT(VALUE(SUBSTITUTE(SUBSTITUTE(SUBSTITUTE(TRIM(C861&amp;""),CHAR(160),"")," ",""),"년","")),"0000")=SUBSTITUTE(SUBSTITUTE(SUBSTITUTE(TRIM(C861&amp;""),CHAR(160),"")," ",""),"년","")),SUBSTITUTE(SUBSTITUTE(SUBSTITUTE(TRIM(C861&amp;""),CHAR(160),"")," ",""),"년",""),""),"")</f>
      </c>
      <c r="P861" t="str">
        <f>SUBSTITUTE(SUBSTITUTE(SUBSTITUTE(SUBSTITUTE(SUBSTITUTE(SUBSTITUTE(SUBSTITUTE(SUBSTITUTE(TRIM(D861&amp;""),CHAR(160),"")," ",""),"초등학교","초"),"중학교","중"),"고등학교","고"),"~","~~"),"*","~*"),"?","~?")</f>
      </c>
      <c r="Q861" t="str">
        <f>SUBSTITUTE(SUBSTITUTE(SUBSTITUTE(SUBSTITUTE(SUBSTITUTE(SUBSTITUTE(SUBSTITUTE(SUBSTITUTE(TRIM(E861&amp;""),CHAR(160),"")," ",""),"초등학교","초"),"중학교","중"),"고등학교","고"),"~","~~"),"*","~*"),"?","~?")</f>
      </c>
      <c r="R861" t="str">
        <f>IF(COUNTA(B861:J861)=0,"",IF(AND(O861&lt;&gt;"",P861&lt;&gt;"",Q861&lt;&gt;""),"","입력누락"))</f>
      </c>
    </row>
    <row r="862" customFormat="false" ht="15" hidden="false" customHeight="false" outlineLevel="0" collapsed="false">
      <c r="A862" t="n" s="19">
        <f aca="0">IF(COUNTA(B862:J862)=0,"",ROW()-1)</f>
      </c>
      <c r="B862" s="24"/>
      <c r="C862" s="25"/>
      <c r="D862" s="8"/>
      <c r="E862" s="8"/>
      <c r="F862" s="26"/>
      <c r="G862" s="24"/>
      <c r="H862" s="25"/>
      <c r="I862" s="25"/>
      <c r="J862" s="26"/>
      <c r="K862" t="str" s="15">
        <f aca="0">IF(COUNTA(B862:J862)=0,"",IF(R862&lt;&gt;"","확인필요(입력누락)",IF(COUNTIFS(보유목록!$I$2:$I$3001,"*"&amp;P862&amp;"*",보유목록!$I$2:$I$3001,"*"&amp;Q862&amp;"*",보유목록!$H$2:$H$3001,O862)&gt;0,"있음",IF(COUNTIFS(보유목록!$I$2:$I$3001,"*"&amp;P862&amp;"*",보유목록!$I$2:$I$3001,"*"&amp;Q862&amp;"*")&gt;0,"확인필요(연도다름)",IF(COUNTIFS(보유목록!$I$2:$I$3001,"*"&amp;P862&amp;"*",보유목록!$H$2:$H$3001,O862)&gt;0,"확인필요(같은학교·같은연도)","없음")))))</f>
      </c>
      <c r="L862" t="str" s="16">
        <f aca="0">IF(OR(COUNTA(B862:J862)=0,R862&lt;&gt;""),"",COUNTIFS(보유목록!$I$2:$I$3001,"*"&amp;P862&amp;"*",보유목록!$I$2:$I$3001,"*"&amp;Q862&amp;"*"))</f>
      </c>
      <c r="M862" t="str" s="23">
        <f aca="0">IF(OR(COUNTA(B862:J862)=0,R862&lt;&gt;""),"",IFERROR(LOOKUP(2,1/(ISNUMBER(SEARCH(P862,보유목록!$I$2:$I$3001))*ISNUMBER(SEARCH(Q862,보유목록!$I$2:$I$3001))*(보유목록!$H$2:$H$3001=O862)),보유목록!$B$2:$B$3001),IFERROR(LOOKUP(2,1/(ISNUMBER(SEARCH(P862,보유목록!$I$2:$I$3001))*ISNUMBER(SEARCH(Q862,보유목록!$I$2:$I$3001))),보유목록!$B$2:$B$3001),"")))</f>
      </c>
      <c r="N862" s="25"/>
      <c r="O862" t="str">
        <f>IFERROR(IF(AND(LEN(SUBSTITUTE(SUBSTITUTE(SUBSTITUTE(TRIM(C862&amp;""),CHAR(160),"")," ",""),"년",""))=4,VALUE(SUBSTITUTE(SUBSTITUTE(SUBSTITUTE(TRIM(C862&amp;""),CHAR(160),"")," ",""),"년",""))&gt;=1900,VALUE(SUBSTITUTE(SUBSTITUTE(SUBSTITUTE(TRIM(C862&amp;""),CHAR(160),"")," ",""),"년",""))&lt;=2099,TEXT(VALUE(SUBSTITUTE(SUBSTITUTE(SUBSTITUTE(TRIM(C862&amp;""),CHAR(160),"")," ",""),"년","")),"0000")=SUBSTITUTE(SUBSTITUTE(SUBSTITUTE(TRIM(C862&amp;""),CHAR(160),"")," ",""),"년","")),SUBSTITUTE(SUBSTITUTE(SUBSTITUTE(TRIM(C862&amp;""),CHAR(160),"")," ",""),"년",""),""),"")</f>
      </c>
      <c r="P862" t="str">
        <f>SUBSTITUTE(SUBSTITUTE(SUBSTITUTE(SUBSTITUTE(SUBSTITUTE(SUBSTITUTE(SUBSTITUTE(SUBSTITUTE(TRIM(D862&amp;""),CHAR(160),"")," ",""),"초등학교","초"),"중학교","중"),"고등학교","고"),"~","~~"),"*","~*"),"?","~?")</f>
      </c>
      <c r="Q862" t="str">
        <f>SUBSTITUTE(SUBSTITUTE(SUBSTITUTE(SUBSTITUTE(SUBSTITUTE(SUBSTITUTE(SUBSTITUTE(SUBSTITUTE(TRIM(E862&amp;""),CHAR(160),"")," ",""),"초등학교","초"),"중학교","중"),"고등학교","고"),"~","~~"),"*","~*"),"?","~?")</f>
      </c>
      <c r="R862" t="str">
        <f>IF(COUNTA(B862:J862)=0,"",IF(AND(O862&lt;&gt;"",P862&lt;&gt;"",Q862&lt;&gt;""),"","입력누락"))</f>
      </c>
    </row>
    <row r="863" customFormat="false" ht="15" hidden="false" customHeight="false" outlineLevel="0" collapsed="false">
      <c r="A863" t="n" s="19">
        <f aca="0">IF(COUNTA(B863:J863)=0,"",ROW()-1)</f>
      </c>
      <c r="B863" s="24"/>
      <c r="C863" s="25"/>
      <c r="D863" s="8"/>
      <c r="E863" s="8"/>
      <c r="F863" s="26"/>
      <c r="G863" s="24"/>
      <c r="H863" s="25"/>
      <c r="I863" s="25"/>
      <c r="J863" s="26"/>
      <c r="K863" t="str" s="15">
        <f aca="0">IF(COUNTA(B863:J863)=0,"",IF(R863&lt;&gt;"","확인필요(입력누락)",IF(COUNTIFS(보유목록!$I$2:$I$3001,"*"&amp;P863&amp;"*",보유목록!$I$2:$I$3001,"*"&amp;Q863&amp;"*",보유목록!$H$2:$H$3001,O863)&gt;0,"있음",IF(COUNTIFS(보유목록!$I$2:$I$3001,"*"&amp;P863&amp;"*",보유목록!$I$2:$I$3001,"*"&amp;Q863&amp;"*")&gt;0,"확인필요(연도다름)",IF(COUNTIFS(보유목록!$I$2:$I$3001,"*"&amp;P863&amp;"*",보유목록!$H$2:$H$3001,O863)&gt;0,"확인필요(같은학교·같은연도)","없음")))))</f>
      </c>
      <c r="L863" t="str" s="16">
        <f aca="0">IF(OR(COUNTA(B863:J863)=0,R863&lt;&gt;""),"",COUNTIFS(보유목록!$I$2:$I$3001,"*"&amp;P863&amp;"*",보유목록!$I$2:$I$3001,"*"&amp;Q863&amp;"*"))</f>
      </c>
      <c r="M863" t="str" s="23">
        <f aca="0">IF(OR(COUNTA(B863:J863)=0,R863&lt;&gt;""),"",IFERROR(LOOKUP(2,1/(ISNUMBER(SEARCH(P863,보유목록!$I$2:$I$3001))*ISNUMBER(SEARCH(Q863,보유목록!$I$2:$I$3001))*(보유목록!$H$2:$H$3001=O863)),보유목록!$B$2:$B$3001),IFERROR(LOOKUP(2,1/(ISNUMBER(SEARCH(P863,보유목록!$I$2:$I$3001))*ISNUMBER(SEARCH(Q863,보유목록!$I$2:$I$3001))),보유목록!$B$2:$B$3001),"")))</f>
      </c>
      <c r="N863" s="25"/>
      <c r="O863" t="str">
        <f>IFERROR(IF(AND(LEN(SUBSTITUTE(SUBSTITUTE(SUBSTITUTE(TRIM(C863&amp;""),CHAR(160),"")," ",""),"년",""))=4,VALUE(SUBSTITUTE(SUBSTITUTE(SUBSTITUTE(TRIM(C863&amp;""),CHAR(160),"")," ",""),"년",""))&gt;=1900,VALUE(SUBSTITUTE(SUBSTITUTE(SUBSTITUTE(TRIM(C863&amp;""),CHAR(160),"")," ",""),"년",""))&lt;=2099,TEXT(VALUE(SUBSTITUTE(SUBSTITUTE(SUBSTITUTE(TRIM(C863&amp;""),CHAR(160),"")," ",""),"년","")),"0000")=SUBSTITUTE(SUBSTITUTE(SUBSTITUTE(TRIM(C863&amp;""),CHAR(160),"")," ",""),"년","")),SUBSTITUTE(SUBSTITUTE(SUBSTITUTE(TRIM(C863&amp;""),CHAR(160),"")," ",""),"년",""),""),"")</f>
      </c>
      <c r="P863" t="str">
        <f>SUBSTITUTE(SUBSTITUTE(SUBSTITUTE(SUBSTITUTE(SUBSTITUTE(SUBSTITUTE(SUBSTITUTE(SUBSTITUTE(TRIM(D863&amp;""),CHAR(160),"")," ",""),"초등학교","초"),"중학교","중"),"고등학교","고"),"~","~~"),"*","~*"),"?","~?")</f>
      </c>
      <c r="Q863" t="str">
        <f>SUBSTITUTE(SUBSTITUTE(SUBSTITUTE(SUBSTITUTE(SUBSTITUTE(SUBSTITUTE(SUBSTITUTE(SUBSTITUTE(TRIM(E863&amp;""),CHAR(160),"")," ",""),"초등학교","초"),"중학교","중"),"고등학교","고"),"~","~~"),"*","~*"),"?","~?")</f>
      </c>
      <c r="R863" t="str">
        <f>IF(COUNTA(B863:J863)=0,"",IF(AND(O863&lt;&gt;"",P863&lt;&gt;"",Q863&lt;&gt;""),"","입력누락"))</f>
      </c>
    </row>
    <row r="864" customFormat="false" ht="15" hidden="false" customHeight="false" outlineLevel="0" collapsed="false">
      <c r="A864" t="n" s="19">
        <f aca="0">IF(COUNTA(B864:J864)=0,"",ROW()-1)</f>
      </c>
      <c r="B864" s="24"/>
      <c r="C864" s="25"/>
      <c r="D864" s="8"/>
      <c r="E864" s="8"/>
      <c r="F864" s="26"/>
      <c r="G864" s="24"/>
      <c r="H864" s="25"/>
      <c r="I864" s="25"/>
      <c r="J864" s="26"/>
      <c r="K864" t="str" s="15">
        <f aca="0">IF(COUNTA(B864:J864)=0,"",IF(R864&lt;&gt;"","확인필요(입력누락)",IF(COUNTIFS(보유목록!$I$2:$I$3001,"*"&amp;P864&amp;"*",보유목록!$I$2:$I$3001,"*"&amp;Q864&amp;"*",보유목록!$H$2:$H$3001,O864)&gt;0,"있음",IF(COUNTIFS(보유목록!$I$2:$I$3001,"*"&amp;P864&amp;"*",보유목록!$I$2:$I$3001,"*"&amp;Q864&amp;"*")&gt;0,"확인필요(연도다름)",IF(COUNTIFS(보유목록!$I$2:$I$3001,"*"&amp;P864&amp;"*",보유목록!$H$2:$H$3001,O864)&gt;0,"확인필요(같은학교·같은연도)","없음")))))</f>
      </c>
      <c r="L864" t="str" s="16">
        <f aca="0">IF(OR(COUNTA(B864:J864)=0,R864&lt;&gt;""),"",COUNTIFS(보유목록!$I$2:$I$3001,"*"&amp;P864&amp;"*",보유목록!$I$2:$I$3001,"*"&amp;Q864&amp;"*"))</f>
      </c>
      <c r="M864" t="str" s="23">
        <f aca="0">IF(OR(COUNTA(B864:J864)=0,R864&lt;&gt;""),"",IFERROR(LOOKUP(2,1/(ISNUMBER(SEARCH(P864,보유목록!$I$2:$I$3001))*ISNUMBER(SEARCH(Q864,보유목록!$I$2:$I$3001))*(보유목록!$H$2:$H$3001=O864)),보유목록!$B$2:$B$3001),IFERROR(LOOKUP(2,1/(ISNUMBER(SEARCH(P864,보유목록!$I$2:$I$3001))*ISNUMBER(SEARCH(Q864,보유목록!$I$2:$I$3001))),보유목록!$B$2:$B$3001),"")))</f>
      </c>
      <c r="N864" s="25"/>
      <c r="O864" t="str">
        <f>IFERROR(IF(AND(LEN(SUBSTITUTE(SUBSTITUTE(SUBSTITUTE(TRIM(C864&amp;""),CHAR(160),"")," ",""),"년",""))=4,VALUE(SUBSTITUTE(SUBSTITUTE(SUBSTITUTE(TRIM(C864&amp;""),CHAR(160),"")," ",""),"년",""))&gt;=1900,VALUE(SUBSTITUTE(SUBSTITUTE(SUBSTITUTE(TRIM(C864&amp;""),CHAR(160),"")," ",""),"년",""))&lt;=2099,TEXT(VALUE(SUBSTITUTE(SUBSTITUTE(SUBSTITUTE(TRIM(C864&amp;""),CHAR(160),"")," ",""),"년","")),"0000")=SUBSTITUTE(SUBSTITUTE(SUBSTITUTE(TRIM(C864&amp;""),CHAR(160),"")," ",""),"년","")),SUBSTITUTE(SUBSTITUTE(SUBSTITUTE(TRIM(C864&amp;""),CHAR(160),"")," ",""),"년",""),""),"")</f>
      </c>
      <c r="P864" t="str">
        <f>SUBSTITUTE(SUBSTITUTE(SUBSTITUTE(SUBSTITUTE(SUBSTITUTE(SUBSTITUTE(SUBSTITUTE(SUBSTITUTE(TRIM(D864&amp;""),CHAR(160),"")," ",""),"초등학교","초"),"중학교","중"),"고등학교","고"),"~","~~"),"*","~*"),"?","~?")</f>
      </c>
      <c r="Q864" t="str">
        <f>SUBSTITUTE(SUBSTITUTE(SUBSTITUTE(SUBSTITUTE(SUBSTITUTE(SUBSTITUTE(SUBSTITUTE(SUBSTITUTE(TRIM(E864&amp;""),CHAR(160),"")," ",""),"초등학교","초"),"중학교","중"),"고등학교","고"),"~","~~"),"*","~*"),"?","~?")</f>
      </c>
      <c r="R864" t="str">
        <f>IF(COUNTA(B864:J864)=0,"",IF(AND(O864&lt;&gt;"",P864&lt;&gt;"",Q864&lt;&gt;""),"","입력누락"))</f>
      </c>
    </row>
    <row r="865" customFormat="false" ht="15" hidden="false" customHeight="false" outlineLevel="0" collapsed="false">
      <c r="A865" t="n" s="19">
        <f aca="0">IF(COUNTA(B865:J865)=0,"",ROW()-1)</f>
      </c>
      <c r="B865" s="24"/>
      <c r="C865" s="25"/>
      <c r="D865" s="8"/>
      <c r="E865" s="8"/>
      <c r="F865" s="26"/>
      <c r="G865" s="24"/>
      <c r="H865" s="25"/>
      <c r="I865" s="25"/>
      <c r="J865" s="26"/>
      <c r="K865" t="str" s="15">
        <f aca="0">IF(COUNTA(B865:J865)=0,"",IF(R865&lt;&gt;"","확인필요(입력누락)",IF(COUNTIFS(보유목록!$I$2:$I$3001,"*"&amp;P865&amp;"*",보유목록!$I$2:$I$3001,"*"&amp;Q865&amp;"*",보유목록!$H$2:$H$3001,O865)&gt;0,"있음",IF(COUNTIFS(보유목록!$I$2:$I$3001,"*"&amp;P865&amp;"*",보유목록!$I$2:$I$3001,"*"&amp;Q865&amp;"*")&gt;0,"확인필요(연도다름)",IF(COUNTIFS(보유목록!$I$2:$I$3001,"*"&amp;P865&amp;"*",보유목록!$H$2:$H$3001,O865)&gt;0,"확인필요(같은학교·같은연도)","없음")))))</f>
      </c>
      <c r="L865" t="str" s="16">
        <f aca="0">IF(OR(COUNTA(B865:J865)=0,R865&lt;&gt;""),"",COUNTIFS(보유목록!$I$2:$I$3001,"*"&amp;P865&amp;"*",보유목록!$I$2:$I$3001,"*"&amp;Q865&amp;"*"))</f>
      </c>
      <c r="M865" t="str" s="23">
        <f aca="0">IF(OR(COUNTA(B865:J865)=0,R865&lt;&gt;""),"",IFERROR(LOOKUP(2,1/(ISNUMBER(SEARCH(P865,보유목록!$I$2:$I$3001))*ISNUMBER(SEARCH(Q865,보유목록!$I$2:$I$3001))*(보유목록!$H$2:$H$3001=O865)),보유목록!$B$2:$B$3001),IFERROR(LOOKUP(2,1/(ISNUMBER(SEARCH(P865,보유목록!$I$2:$I$3001))*ISNUMBER(SEARCH(Q865,보유목록!$I$2:$I$3001))),보유목록!$B$2:$B$3001),"")))</f>
      </c>
      <c r="N865" s="25"/>
      <c r="O865" t="str">
        <f>IFERROR(IF(AND(LEN(SUBSTITUTE(SUBSTITUTE(SUBSTITUTE(TRIM(C865&amp;""),CHAR(160),"")," ",""),"년",""))=4,VALUE(SUBSTITUTE(SUBSTITUTE(SUBSTITUTE(TRIM(C865&amp;""),CHAR(160),"")," ",""),"년",""))&gt;=1900,VALUE(SUBSTITUTE(SUBSTITUTE(SUBSTITUTE(TRIM(C865&amp;""),CHAR(160),"")," ",""),"년",""))&lt;=2099,TEXT(VALUE(SUBSTITUTE(SUBSTITUTE(SUBSTITUTE(TRIM(C865&amp;""),CHAR(160),"")," ",""),"년","")),"0000")=SUBSTITUTE(SUBSTITUTE(SUBSTITUTE(TRIM(C865&amp;""),CHAR(160),"")," ",""),"년","")),SUBSTITUTE(SUBSTITUTE(SUBSTITUTE(TRIM(C865&amp;""),CHAR(160),"")," ",""),"년",""),""),"")</f>
      </c>
      <c r="P865" t="str">
        <f>SUBSTITUTE(SUBSTITUTE(SUBSTITUTE(SUBSTITUTE(SUBSTITUTE(SUBSTITUTE(SUBSTITUTE(SUBSTITUTE(TRIM(D865&amp;""),CHAR(160),"")," ",""),"초등학교","초"),"중학교","중"),"고등학교","고"),"~","~~"),"*","~*"),"?","~?")</f>
      </c>
      <c r="Q865" t="str">
        <f>SUBSTITUTE(SUBSTITUTE(SUBSTITUTE(SUBSTITUTE(SUBSTITUTE(SUBSTITUTE(SUBSTITUTE(SUBSTITUTE(TRIM(E865&amp;""),CHAR(160),"")," ",""),"초등학교","초"),"중학교","중"),"고등학교","고"),"~","~~"),"*","~*"),"?","~?")</f>
      </c>
      <c r="R865" t="str">
        <f>IF(COUNTA(B865:J865)=0,"",IF(AND(O865&lt;&gt;"",P865&lt;&gt;"",Q865&lt;&gt;""),"","입력누락"))</f>
      </c>
    </row>
    <row r="866" customFormat="false" ht="15" hidden="false" customHeight="false" outlineLevel="0" collapsed="false">
      <c r="A866" t="n" s="19">
        <f aca="0">IF(COUNTA(B866:J866)=0,"",ROW()-1)</f>
      </c>
      <c r="B866" s="24"/>
      <c r="C866" s="25"/>
      <c r="D866" s="8"/>
      <c r="E866" s="8"/>
      <c r="F866" s="26"/>
      <c r="G866" s="24"/>
      <c r="H866" s="25"/>
      <c r="I866" s="25"/>
      <c r="J866" s="26"/>
      <c r="K866" t="str" s="15">
        <f aca="0">IF(COUNTA(B866:J866)=0,"",IF(R866&lt;&gt;"","확인필요(입력누락)",IF(COUNTIFS(보유목록!$I$2:$I$3001,"*"&amp;P866&amp;"*",보유목록!$I$2:$I$3001,"*"&amp;Q866&amp;"*",보유목록!$H$2:$H$3001,O866)&gt;0,"있음",IF(COUNTIFS(보유목록!$I$2:$I$3001,"*"&amp;P866&amp;"*",보유목록!$I$2:$I$3001,"*"&amp;Q866&amp;"*")&gt;0,"확인필요(연도다름)",IF(COUNTIFS(보유목록!$I$2:$I$3001,"*"&amp;P866&amp;"*",보유목록!$H$2:$H$3001,O866)&gt;0,"확인필요(같은학교·같은연도)","없음")))))</f>
      </c>
      <c r="L866" t="str" s="16">
        <f aca="0">IF(OR(COUNTA(B866:J866)=0,R866&lt;&gt;""),"",COUNTIFS(보유목록!$I$2:$I$3001,"*"&amp;P866&amp;"*",보유목록!$I$2:$I$3001,"*"&amp;Q866&amp;"*"))</f>
      </c>
      <c r="M866" t="str" s="23">
        <f aca="0">IF(OR(COUNTA(B866:J866)=0,R866&lt;&gt;""),"",IFERROR(LOOKUP(2,1/(ISNUMBER(SEARCH(P866,보유목록!$I$2:$I$3001))*ISNUMBER(SEARCH(Q866,보유목록!$I$2:$I$3001))*(보유목록!$H$2:$H$3001=O866)),보유목록!$B$2:$B$3001),IFERROR(LOOKUP(2,1/(ISNUMBER(SEARCH(P866,보유목록!$I$2:$I$3001))*ISNUMBER(SEARCH(Q866,보유목록!$I$2:$I$3001))),보유목록!$B$2:$B$3001),"")))</f>
      </c>
      <c r="N866" s="25"/>
      <c r="O866" t="str">
        <f>IFERROR(IF(AND(LEN(SUBSTITUTE(SUBSTITUTE(SUBSTITUTE(TRIM(C866&amp;""),CHAR(160),"")," ",""),"년",""))=4,VALUE(SUBSTITUTE(SUBSTITUTE(SUBSTITUTE(TRIM(C866&amp;""),CHAR(160),"")," ",""),"년",""))&gt;=1900,VALUE(SUBSTITUTE(SUBSTITUTE(SUBSTITUTE(TRIM(C866&amp;""),CHAR(160),"")," ",""),"년",""))&lt;=2099,TEXT(VALUE(SUBSTITUTE(SUBSTITUTE(SUBSTITUTE(TRIM(C866&amp;""),CHAR(160),"")," ",""),"년","")),"0000")=SUBSTITUTE(SUBSTITUTE(SUBSTITUTE(TRIM(C866&amp;""),CHAR(160),"")," ",""),"년","")),SUBSTITUTE(SUBSTITUTE(SUBSTITUTE(TRIM(C866&amp;""),CHAR(160),"")," ",""),"년",""),""),"")</f>
      </c>
      <c r="P866" t="str">
        <f>SUBSTITUTE(SUBSTITUTE(SUBSTITUTE(SUBSTITUTE(SUBSTITUTE(SUBSTITUTE(SUBSTITUTE(SUBSTITUTE(TRIM(D866&amp;""),CHAR(160),"")," ",""),"초등학교","초"),"중학교","중"),"고등학교","고"),"~","~~"),"*","~*"),"?","~?")</f>
      </c>
      <c r="Q866" t="str">
        <f>SUBSTITUTE(SUBSTITUTE(SUBSTITUTE(SUBSTITUTE(SUBSTITUTE(SUBSTITUTE(SUBSTITUTE(SUBSTITUTE(TRIM(E866&amp;""),CHAR(160),"")," ",""),"초등학교","초"),"중학교","중"),"고등학교","고"),"~","~~"),"*","~*"),"?","~?")</f>
      </c>
      <c r="R866" t="str">
        <f>IF(COUNTA(B866:J866)=0,"",IF(AND(O866&lt;&gt;"",P866&lt;&gt;"",Q866&lt;&gt;""),"","입력누락"))</f>
      </c>
    </row>
    <row r="867" customFormat="false" ht="15" hidden="false" customHeight="false" outlineLevel="0" collapsed="false">
      <c r="A867" t="n" s="19">
        <f aca="0">IF(COUNTA(B867:J867)=0,"",ROW()-1)</f>
      </c>
      <c r="B867" s="24"/>
      <c r="C867" s="25"/>
      <c r="D867" s="8"/>
      <c r="E867" s="8"/>
      <c r="F867" s="26"/>
      <c r="G867" s="24"/>
      <c r="H867" s="25"/>
      <c r="I867" s="25"/>
      <c r="J867" s="26"/>
      <c r="K867" t="str" s="15">
        <f aca="0">IF(COUNTA(B867:J867)=0,"",IF(R867&lt;&gt;"","확인필요(입력누락)",IF(COUNTIFS(보유목록!$I$2:$I$3001,"*"&amp;P867&amp;"*",보유목록!$I$2:$I$3001,"*"&amp;Q867&amp;"*",보유목록!$H$2:$H$3001,O867)&gt;0,"있음",IF(COUNTIFS(보유목록!$I$2:$I$3001,"*"&amp;P867&amp;"*",보유목록!$I$2:$I$3001,"*"&amp;Q867&amp;"*")&gt;0,"확인필요(연도다름)",IF(COUNTIFS(보유목록!$I$2:$I$3001,"*"&amp;P867&amp;"*",보유목록!$H$2:$H$3001,O867)&gt;0,"확인필요(같은학교·같은연도)","없음")))))</f>
      </c>
      <c r="L867" t="str" s="16">
        <f aca="0">IF(OR(COUNTA(B867:J867)=0,R867&lt;&gt;""),"",COUNTIFS(보유목록!$I$2:$I$3001,"*"&amp;P867&amp;"*",보유목록!$I$2:$I$3001,"*"&amp;Q867&amp;"*"))</f>
      </c>
      <c r="M867" t="str" s="23">
        <f aca="0">IF(OR(COUNTA(B867:J867)=0,R867&lt;&gt;""),"",IFERROR(LOOKUP(2,1/(ISNUMBER(SEARCH(P867,보유목록!$I$2:$I$3001))*ISNUMBER(SEARCH(Q867,보유목록!$I$2:$I$3001))*(보유목록!$H$2:$H$3001=O867)),보유목록!$B$2:$B$3001),IFERROR(LOOKUP(2,1/(ISNUMBER(SEARCH(P867,보유목록!$I$2:$I$3001))*ISNUMBER(SEARCH(Q867,보유목록!$I$2:$I$3001))),보유목록!$B$2:$B$3001),"")))</f>
      </c>
      <c r="N867" s="25"/>
      <c r="O867" t="str">
        <f>IFERROR(IF(AND(LEN(SUBSTITUTE(SUBSTITUTE(SUBSTITUTE(TRIM(C867&amp;""),CHAR(160),"")," ",""),"년",""))=4,VALUE(SUBSTITUTE(SUBSTITUTE(SUBSTITUTE(TRIM(C867&amp;""),CHAR(160),"")," ",""),"년",""))&gt;=1900,VALUE(SUBSTITUTE(SUBSTITUTE(SUBSTITUTE(TRIM(C867&amp;""),CHAR(160),"")," ",""),"년",""))&lt;=2099,TEXT(VALUE(SUBSTITUTE(SUBSTITUTE(SUBSTITUTE(TRIM(C867&amp;""),CHAR(160),"")," ",""),"년","")),"0000")=SUBSTITUTE(SUBSTITUTE(SUBSTITUTE(TRIM(C867&amp;""),CHAR(160),"")," ",""),"년","")),SUBSTITUTE(SUBSTITUTE(SUBSTITUTE(TRIM(C867&amp;""),CHAR(160),"")," ",""),"년",""),""),"")</f>
      </c>
      <c r="P867" t="str">
        <f>SUBSTITUTE(SUBSTITUTE(SUBSTITUTE(SUBSTITUTE(SUBSTITUTE(SUBSTITUTE(SUBSTITUTE(SUBSTITUTE(TRIM(D867&amp;""),CHAR(160),"")," ",""),"초등학교","초"),"중학교","중"),"고등학교","고"),"~","~~"),"*","~*"),"?","~?")</f>
      </c>
      <c r="Q867" t="str">
        <f>SUBSTITUTE(SUBSTITUTE(SUBSTITUTE(SUBSTITUTE(SUBSTITUTE(SUBSTITUTE(SUBSTITUTE(SUBSTITUTE(TRIM(E867&amp;""),CHAR(160),"")," ",""),"초등학교","초"),"중학교","중"),"고등학교","고"),"~","~~"),"*","~*"),"?","~?")</f>
      </c>
      <c r="R867" t="str">
        <f>IF(COUNTA(B867:J867)=0,"",IF(AND(O867&lt;&gt;"",P867&lt;&gt;"",Q867&lt;&gt;""),"","입력누락"))</f>
      </c>
    </row>
    <row r="868" customFormat="false" ht="15" hidden="false" customHeight="false" outlineLevel="0" collapsed="false">
      <c r="A868" t="n" s="19">
        <f aca="0">IF(COUNTA(B868:J868)=0,"",ROW()-1)</f>
      </c>
      <c r="B868" s="24"/>
      <c r="C868" s="25"/>
      <c r="D868" s="8"/>
      <c r="E868" s="8"/>
      <c r="F868" s="26"/>
      <c r="G868" s="24"/>
      <c r="H868" s="25"/>
      <c r="I868" s="25"/>
      <c r="J868" s="26"/>
      <c r="K868" t="str" s="15">
        <f aca="0">IF(COUNTA(B868:J868)=0,"",IF(R868&lt;&gt;"","확인필요(입력누락)",IF(COUNTIFS(보유목록!$I$2:$I$3001,"*"&amp;P868&amp;"*",보유목록!$I$2:$I$3001,"*"&amp;Q868&amp;"*",보유목록!$H$2:$H$3001,O868)&gt;0,"있음",IF(COUNTIFS(보유목록!$I$2:$I$3001,"*"&amp;P868&amp;"*",보유목록!$I$2:$I$3001,"*"&amp;Q868&amp;"*")&gt;0,"확인필요(연도다름)",IF(COUNTIFS(보유목록!$I$2:$I$3001,"*"&amp;P868&amp;"*",보유목록!$H$2:$H$3001,O868)&gt;0,"확인필요(같은학교·같은연도)","없음")))))</f>
      </c>
      <c r="L868" t="str" s="16">
        <f aca="0">IF(OR(COUNTA(B868:J868)=0,R868&lt;&gt;""),"",COUNTIFS(보유목록!$I$2:$I$3001,"*"&amp;P868&amp;"*",보유목록!$I$2:$I$3001,"*"&amp;Q868&amp;"*"))</f>
      </c>
      <c r="M868" t="str" s="23">
        <f aca="0">IF(OR(COUNTA(B868:J868)=0,R868&lt;&gt;""),"",IFERROR(LOOKUP(2,1/(ISNUMBER(SEARCH(P868,보유목록!$I$2:$I$3001))*ISNUMBER(SEARCH(Q868,보유목록!$I$2:$I$3001))*(보유목록!$H$2:$H$3001=O868)),보유목록!$B$2:$B$3001),IFERROR(LOOKUP(2,1/(ISNUMBER(SEARCH(P868,보유목록!$I$2:$I$3001))*ISNUMBER(SEARCH(Q868,보유목록!$I$2:$I$3001))),보유목록!$B$2:$B$3001),"")))</f>
      </c>
      <c r="N868" s="25"/>
      <c r="O868" t="str">
        <f>IFERROR(IF(AND(LEN(SUBSTITUTE(SUBSTITUTE(SUBSTITUTE(TRIM(C868&amp;""),CHAR(160),"")," ",""),"년",""))=4,VALUE(SUBSTITUTE(SUBSTITUTE(SUBSTITUTE(TRIM(C868&amp;""),CHAR(160),"")," ",""),"년",""))&gt;=1900,VALUE(SUBSTITUTE(SUBSTITUTE(SUBSTITUTE(TRIM(C868&amp;""),CHAR(160),"")," ",""),"년",""))&lt;=2099,TEXT(VALUE(SUBSTITUTE(SUBSTITUTE(SUBSTITUTE(TRIM(C868&amp;""),CHAR(160),"")," ",""),"년","")),"0000")=SUBSTITUTE(SUBSTITUTE(SUBSTITUTE(TRIM(C868&amp;""),CHAR(160),"")," ",""),"년","")),SUBSTITUTE(SUBSTITUTE(SUBSTITUTE(TRIM(C868&amp;""),CHAR(160),"")," ",""),"년",""),""),"")</f>
      </c>
      <c r="P868" t="str">
        <f>SUBSTITUTE(SUBSTITUTE(SUBSTITUTE(SUBSTITUTE(SUBSTITUTE(SUBSTITUTE(SUBSTITUTE(SUBSTITUTE(TRIM(D868&amp;""),CHAR(160),"")," ",""),"초등학교","초"),"중학교","중"),"고등학교","고"),"~","~~"),"*","~*"),"?","~?")</f>
      </c>
      <c r="Q868" t="str">
        <f>SUBSTITUTE(SUBSTITUTE(SUBSTITUTE(SUBSTITUTE(SUBSTITUTE(SUBSTITUTE(SUBSTITUTE(SUBSTITUTE(TRIM(E868&amp;""),CHAR(160),"")," ",""),"초등학교","초"),"중학교","중"),"고등학교","고"),"~","~~"),"*","~*"),"?","~?")</f>
      </c>
      <c r="R868" t="str">
        <f>IF(COUNTA(B868:J868)=0,"",IF(AND(O868&lt;&gt;"",P868&lt;&gt;"",Q868&lt;&gt;""),"","입력누락"))</f>
      </c>
    </row>
    <row r="869" customFormat="false" ht="15" hidden="false" customHeight="false" outlineLevel="0" collapsed="false">
      <c r="A869" t="n" s="19">
        <f aca="0">IF(COUNTA(B869:J869)=0,"",ROW()-1)</f>
      </c>
      <c r="B869" s="24"/>
      <c r="C869" s="25"/>
      <c r="D869" s="8"/>
      <c r="E869" s="8"/>
      <c r="F869" s="26"/>
      <c r="G869" s="24"/>
      <c r="H869" s="25"/>
      <c r="I869" s="25"/>
      <c r="J869" s="26"/>
      <c r="K869" t="str" s="15">
        <f aca="0">IF(COUNTA(B869:J869)=0,"",IF(R869&lt;&gt;"","확인필요(입력누락)",IF(COUNTIFS(보유목록!$I$2:$I$3001,"*"&amp;P869&amp;"*",보유목록!$I$2:$I$3001,"*"&amp;Q869&amp;"*",보유목록!$H$2:$H$3001,O869)&gt;0,"있음",IF(COUNTIFS(보유목록!$I$2:$I$3001,"*"&amp;P869&amp;"*",보유목록!$I$2:$I$3001,"*"&amp;Q869&amp;"*")&gt;0,"확인필요(연도다름)",IF(COUNTIFS(보유목록!$I$2:$I$3001,"*"&amp;P869&amp;"*",보유목록!$H$2:$H$3001,O869)&gt;0,"확인필요(같은학교·같은연도)","없음")))))</f>
      </c>
      <c r="L869" t="str" s="16">
        <f aca="0">IF(OR(COUNTA(B869:J869)=0,R869&lt;&gt;""),"",COUNTIFS(보유목록!$I$2:$I$3001,"*"&amp;P869&amp;"*",보유목록!$I$2:$I$3001,"*"&amp;Q869&amp;"*"))</f>
      </c>
      <c r="M869" t="str" s="23">
        <f aca="0">IF(OR(COUNTA(B869:J869)=0,R869&lt;&gt;""),"",IFERROR(LOOKUP(2,1/(ISNUMBER(SEARCH(P869,보유목록!$I$2:$I$3001))*ISNUMBER(SEARCH(Q869,보유목록!$I$2:$I$3001))*(보유목록!$H$2:$H$3001=O869)),보유목록!$B$2:$B$3001),IFERROR(LOOKUP(2,1/(ISNUMBER(SEARCH(P869,보유목록!$I$2:$I$3001))*ISNUMBER(SEARCH(Q869,보유목록!$I$2:$I$3001))),보유목록!$B$2:$B$3001),"")))</f>
      </c>
      <c r="N869" s="25"/>
      <c r="O869" t="str">
        <f>IFERROR(IF(AND(LEN(SUBSTITUTE(SUBSTITUTE(SUBSTITUTE(TRIM(C869&amp;""),CHAR(160),"")," ",""),"년",""))=4,VALUE(SUBSTITUTE(SUBSTITUTE(SUBSTITUTE(TRIM(C869&amp;""),CHAR(160),"")," ",""),"년",""))&gt;=1900,VALUE(SUBSTITUTE(SUBSTITUTE(SUBSTITUTE(TRIM(C869&amp;""),CHAR(160),"")," ",""),"년",""))&lt;=2099,TEXT(VALUE(SUBSTITUTE(SUBSTITUTE(SUBSTITUTE(TRIM(C869&amp;""),CHAR(160),"")," ",""),"년","")),"0000")=SUBSTITUTE(SUBSTITUTE(SUBSTITUTE(TRIM(C869&amp;""),CHAR(160),"")," ",""),"년","")),SUBSTITUTE(SUBSTITUTE(SUBSTITUTE(TRIM(C869&amp;""),CHAR(160),"")," ",""),"년",""),""),"")</f>
      </c>
      <c r="P869" t="str">
        <f>SUBSTITUTE(SUBSTITUTE(SUBSTITUTE(SUBSTITUTE(SUBSTITUTE(SUBSTITUTE(SUBSTITUTE(SUBSTITUTE(TRIM(D869&amp;""),CHAR(160),"")," ",""),"초등학교","초"),"중학교","중"),"고등학교","고"),"~","~~"),"*","~*"),"?","~?")</f>
      </c>
      <c r="Q869" t="str">
        <f>SUBSTITUTE(SUBSTITUTE(SUBSTITUTE(SUBSTITUTE(SUBSTITUTE(SUBSTITUTE(SUBSTITUTE(SUBSTITUTE(TRIM(E869&amp;""),CHAR(160),"")," ",""),"초등학교","초"),"중학교","중"),"고등학교","고"),"~","~~"),"*","~*"),"?","~?")</f>
      </c>
      <c r="R869" t="str">
        <f>IF(COUNTA(B869:J869)=0,"",IF(AND(O869&lt;&gt;"",P869&lt;&gt;"",Q869&lt;&gt;""),"","입력누락"))</f>
      </c>
    </row>
    <row r="870" customFormat="false" ht="15" hidden="false" customHeight="false" outlineLevel="0" collapsed="false">
      <c r="A870" t="n" s="19">
        <f aca="0">IF(COUNTA(B870:J870)=0,"",ROW()-1)</f>
      </c>
      <c r="B870" s="24"/>
      <c r="C870" s="25"/>
      <c r="D870" s="8"/>
      <c r="E870" s="8"/>
      <c r="F870" s="26"/>
      <c r="G870" s="24"/>
      <c r="H870" s="25"/>
      <c r="I870" s="25"/>
      <c r="J870" s="26"/>
      <c r="K870" t="str" s="15">
        <f aca="0">IF(COUNTA(B870:J870)=0,"",IF(R870&lt;&gt;"","확인필요(입력누락)",IF(COUNTIFS(보유목록!$I$2:$I$3001,"*"&amp;P870&amp;"*",보유목록!$I$2:$I$3001,"*"&amp;Q870&amp;"*",보유목록!$H$2:$H$3001,O870)&gt;0,"있음",IF(COUNTIFS(보유목록!$I$2:$I$3001,"*"&amp;P870&amp;"*",보유목록!$I$2:$I$3001,"*"&amp;Q870&amp;"*")&gt;0,"확인필요(연도다름)",IF(COUNTIFS(보유목록!$I$2:$I$3001,"*"&amp;P870&amp;"*",보유목록!$H$2:$H$3001,O870)&gt;0,"확인필요(같은학교·같은연도)","없음")))))</f>
      </c>
      <c r="L870" t="str" s="16">
        <f aca="0">IF(OR(COUNTA(B870:J870)=0,R870&lt;&gt;""),"",COUNTIFS(보유목록!$I$2:$I$3001,"*"&amp;P870&amp;"*",보유목록!$I$2:$I$3001,"*"&amp;Q870&amp;"*"))</f>
      </c>
      <c r="M870" t="str" s="23">
        <f aca="0">IF(OR(COUNTA(B870:J870)=0,R870&lt;&gt;""),"",IFERROR(LOOKUP(2,1/(ISNUMBER(SEARCH(P870,보유목록!$I$2:$I$3001))*ISNUMBER(SEARCH(Q870,보유목록!$I$2:$I$3001))*(보유목록!$H$2:$H$3001=O870)),보유목록!$B$2:$B$3001),IFERROR(LOOKUP(2,1/(ISNUMBER(SEARCH(P870,보유목록!$I$2:$I$3001))*ISNUMBER(SEARCH(Q870,보유목록!$I$2:$I$3001))),보유목록!$B$2:$B$3001),"")))</f>
      </c>
      <c r="N870" s="25"/>
      <c r="O870" t="str">
        <f>IFERROR(IF(AND(LEN(SUBSTITUTE(SUBSTITUTE(SUBSTITUTE(TRIM(C870&amp;""),CHAR(160),"")," ",""),"년",""))=4,VALUE(SUBSTITUTE(SUBSTITUTE(SUBSTITUTE(TRIM(C870&amp;""),CHAR(160),"")," ",""),"년",""))&gt;=1900,VALUE(SUBSTITUTE(SUBSTITUTE(SUBSTITUTE(TRIM(C870&amp;""),CHAR(160),"")," ",""),"년",""))&lt;=2099,TEXT(VALUE(SUBSTITUTE(SUBSTITUTE(SUBSTITUTE(TRIM(C870&amp;""),CHAR(160),"")," ",""),"년","")),"0000")=SUBSTITUTE(SUBSTITUTE(SUBSTITUTE(TRIM(C870&amp;""),CHAR(160),"")," ",""),"년","")),SUBSTITUTE(SUBSTITUTE(SUBSTITUTE(TRIM(C870&amp;""),CHAR(160),"")," ",""),"년",""),""),"")</f>
      </c>
      <c r="P870" t="str">
        <f>SUBSTITUTE(SUBSTITUTE(SUBSTITUTE(SUBSTITUTE(SUBSTITUTE(SUBSTITUTE(SUBSTITUTE(SUBSTITUTE(TRIM(D870&amp;""),CHAR(160),"")," ",""),"초등학교","초"),"중학교","중"),"고등학교","고"),"~","~~"),"*","~*"),"?","~?")</f>
      </c>
      <c r="Q870" t="str">
        <f>SUBSTITUTE(SUBSTITUTE(SUBSTITUTE(SUBSTITUTE(SUBSTITUTE(SUBSTITUTE(SUBSTITUTE(SUBSTITUTE(TRIM(E870&amp;""),CHAR(160),"")," ",""),"초등학교","초"),"중학교","중"),"고등학교","고"),"~","~~"),"*","~*"),"?","~?")</f>
      </c>
      <c r="R870" t="str">
        <f>IF(COUNTA(B870:J870)=0,"",IF(AND(O870&lt;&gt;"",P870&lt;&gt;"",Q870&lt;&gt;""),"","입력누락"))</f>
      </c>
    </row>
    <row r="871" customFormat="false" ht="15" hidden="false" customHeight="false" outlineLevel="0" collapsed="false">
      <c r="A871" t="n" s="19">
        <f aca="0">IF(COUNTA(B871:J871)=0,"",ROW()-1)</f>
      </c>
      <c r="B871" s="24"/>
      <c r="C871" s="25"/>
      <c r="D871" s="8"/>
      <c r="E871" s="8"/>
      <c r="F871" s="26"/>
      <c r="G871" s="24"/>
      <c r="H871" s="25"/>
      <c r="I871" s="25"/>
      <c r="J871" s="26"/>
      <c r="K871" t="str" s="15">
        <f aca="0">IF(COUNTA(B871:J871)=0,"",IF(R871&lt;&gt;"","확인필요(입력누락)",IF(COUNTIFS(보유목록!$I$2:$I$3001,"*"&amp;P871&amp;"*",보유목록!$I$2:$I$3001,"*"&amp;Q871&amp;"*",보유목록!$H$2:$H$3001,O871)&gt;0,"있음",IF(COUNTIFS(보유목록!$I$2:$I$3001,"*"&amp;P871&amp;"*",보유목록!$I$2:$I$3001,"*"&amp;Q871&amp;"*")&gt;0,"확인필요(연도다름)",IF(COUNTIFS(보유목록!$I$2:$I$3001,"*"&amp;P871&amp;"*",보유목록!$H$2:$H$3001,O871)&gt;0,"확인필요(같은학교·같은연도)","없음")))))</f>
      </c>
      <c r="L871" t="str" s="16">
        <f aca="0">IF(OR(COUNTA(B871:J871)=0,R871&lt;&gt;""),"",COUNTIFS(보유목록!$I$2:$I$3001,"*"&amp;P871&amp;"*",보유목록!$I$2:$I$3001,"*"&amp;Q871&amp;"*"))</f>
      </c>
      <c r="M871" t="str" s="23">
        <f aca="0">IF(OR(COUNTA(B871:J871)=0,R871&lt;&gt;""),"",IFERROR(LOOKUP(2,1/(ISNUMBER(SEARCH(P871,보유목록!$I$2:$I$3001))*ISNUMBER(SEARCH(Q871,보유목록!$I$2:$I$3001))*(보유목록!$H$2:$H$3001=O871)),보유목록!$B$2:$B$3001),IFERROR(LOOKUP(2,1/(ISNUMBER(SEARCH(P871,보유목록!$I$2:$I$3001))*ISNUMBER(SEARCH(Q871,보유목록!$I$2:$I$3001))),보유목록!$B$2:$B$3001),"")))</f>
      </c>
      <c r="N871" s="25"/>
      <c r="O871" t="str">
        <f>IFERROR(IF(AND(LEN(SUBSTITUTE(SUBSTITUTE(SUBSTITUTE(TRIM(C871&amp;""),CHAR(160),"")," ",""),"년",""))=4,VALUE(SUBSTITUTE(SUBSTITUTE(SUBSTITUTE(TRIM(C871&amp;""),CHAR(160),"")," ",""),"년",""))&gt;=1900,VALUE(SUBSTITUTE(SUBSTITUTE(SUBSTITUTE(TRIM(C871&amp;""),CHAR(160),"")," ",""),"년",""))&lt;=2099,TEXT(VALUE(SUBSTITUTE(SUBSTITUTE(SUBSTITUTE(TRIM(C871&amp;""),CHAR(160),"")," ",""),"년","")),"0000")=SUBSTITUTE(SUBSTITUTE(SUBSTITUTE(TRIM(C871&amp;""),CHAR(160),"")," ",""),"년","")),SUBSTITUTE(SUBSTITUTE(SUBSTITUTE(TRIM(C871&amp;""),CHAR(160),"")," ",""),"년",""),""),"")</f>
      </c>
      <c r="P871" t="str">
        <f>SUBSTITUTE(SUBSTITUTE(SUBSTITUTE(SUBSTITUTE(SUBSTITUTE(SUBSTITUTE(SUBSTITUTE(SUBSTITUTE(TRIM(D871&amp;""),CHAR(160),"")," ",""),"초등학교","초"),"중학교","중"),"고등학교","고"),"~","~~"),"*","~*"),"?","~?")</f>
      </c>
      <c r="Q871" t="str">
        <f>SUBSTITUTE(SUBSTITUTE(SUBSTITUTE(SUBSTITUTE(SUBSTITUTE(SUBSTITUTE(SUBSTITUTE(SUBSTITUTE(TRIM(E871&amp;""),CHAR(160),"")," ",""),"초등학교","초"),"중학교","중"),"고등학교","고"),"~","~~"),"*","~*"),"?","~?")</f>
      </c>
      <c r="R871" t="str">
        <f>IF(COUNTA(B871:J871)=0,"",IF(AND(O871&lt;&gt;"",P871&lt;&gt;"",Q871&lt;&gt;""),"","입력누락"))</f>
      </c>
    </row>
    <row r="872" customFormat="false" ht="15" hidden="false" customHeight="false" outlineLevel="0" collapsed="false">
      <c r="A872" t="n" s="19">
        <f aca="0">IF(COUNTA(B872:J872)=0,"",ROW()-1)</f>
      </c>
      <c r="B872" s="24"/>
      <c r="C872" s="25"/>
      <c r="D872" s="8"/>
      <c r="E872" s="8"/>
      <c r="F872" s="26"/>
      <c r="G872" s="24"/>
      <c r="H872" s="25"/>
      <c r="I872" s="25"/>
      <c r="J872" s="26"/>
      <c r="K872" t="str" s="15">
        <f aca="0">IF(COUNTA(B872:J872)=0,"",IF(R872&lt;&gt;"","확인필요(입력누락)",IF(COUNTIFS(보유목록!$I$2:$I$3001,"*"&amp;P872&amp;"*",보유목록!$I$2:$I$3001,"*"&amp;Q872&amp;"*",보유목록!$H$2:$H$3001,O872)&gt;0,"있음",IF(COUNTIFS(보유목록!$I$2:$I$3001,"*"&amp;P872&amp;"*",보유목록!$I$2:$I$3001,"*"&amp;Q872&amp;"*")&gt;0,"확인필요(연도다름)",IF(COUNTIFS(보유목록!$I$2:$I$3001,"*"&amp;P872&amp;"*",보유목록!$H$2:$H$3001,O872)&gt;0,"확인필요(같은학교·같은연도)","없음")))))</f>
      </c>
      <c r="L872" t="str" s="16">
        <f aca="0">IF(OR(COUNTA(B872:J872)=0,R872&lt;&gt;""),"",COUNTIFS(보유목록!$I$2:$I$3001,"*"&amp;P872&amp;"*",보유목록!$I$2:$I$3001,"*"&amp;Q872&amp;"*"))</f>
      </c>
      <c r="M872" t="str" s="23">
        <f aca="0">IF(OR(COUNTA(B872:J872)=0,R872&lt;&gt;""),"",IFERROR(LOOKUP(2,1/(ISNUMBER(SEARCH(P872,보유목록!$I$2:$I$3001))*ISNUMBER(SEARCH(Q872,보유목록!$I$2:$I$3001))*(보유목록!$H$2:$H$3001=O872)),보유목록!$B$2:$B$3001),IFERROR(LOOKUP(2,1/(ISNUMBER(SEARCH(P872,보유목록!$I$2:$I$3001))*ISNUMBER(SEARCH(Q872,보유목록!$I$2:$I$3001))),보유목록!$B$2:$B$3001),"")))</f>
      </c>
      <c r="N872" s="25"/>
      <c r="O872" t="str">
        <f>IFERROR(IF(AND(LEN(SUBSTITUTE(SUBSTITUTE(SUBSTITUTE(TRIM(C872&amp;""),CHAR(160),"")," ",""),"년",""))=4,VALUE(SUBSTITUTE(SUBSTITUTE(SUBSTITUTE(TRIM(C872&amp;""),CHAR(160),"")," ",""),"년",""))&gt;=1900,VALUE(SUBSTITUTE(SUBSTITUTE(SUBSTITUTE(TRIM(C872&amp;""),CHAR(160),"")," ",""),"년",""))&lt;=2099,TEXT(VALUE(SUBSTITUTE(SUBSTITUTE(SUBSTITUTE(TRIM(C872&amp;""),CHAR(160),"")," ",""),"년","")),"0000")=SUBSTITUTE(SUBSTITUTE(SUBSTITUTE(TRIM(C872&amp;""),CHAR(160),"")," ",""),"년","")),SUBSTITUTE(SUBSTITUTE(SUBSTITUTE(TRIM(C872&amp;""),CHAR(160),"")," ",""),"년",""),""),"")</f>
      </c>
      <c r="P872" t="str">
        <f>SUBSTITUTE(SUBSTITUTE(SUBSTITUTE(SUBSTITUTE(SUBSTITUTE(SUBSTITUTE(SUBSTITUTE(SUBSTITUTE(TRIM(D872&amp;""),CHAR(160),"")," ",""),"초등학교","초"),"중학교","중"),"고등학교","고"),"~","~~"),"*","~*"),"?","~?")</f>
      </c>
      <c r="Q872" t="str">
        <f>SUBSTITUTE(SUBSTITUTE(SUBSTITUTE(SUBSTITUTE(SUBSTITUTE(SUBSTITUTE(SUBSTITUTE(SUBSTITUTE(TRIM(E872&amp;""),CHAR(160),"")," ",""),"초등학교","초"),"중학교","중"),"고등학교","고"),"~","~~"),"*","~*"),"?","~?")</f>
      </c>
      <c r="R872" t="str">
        <f>IF(COUNTA(B872:J872)=0,"",IF(AND(O872&lt;&gt;"",P872&lt;&gt;"",Q872&lt;&gt;""),"","입력누락"))</f>
      </c>
    </row>
    <row r="873" customFormat="false" ht="15" hidden="false" customHeight="false" outlineLevel="0" collapsed="false">
      <c r="A873" t="n" s="19">
        <f aca="0">IF(COUNTA(B873:J873)=0,"",ROW()-1)</f>
      </c>
      <c r="B873" s="24"/>
      <c r="C873" s="25"/>
      <c r="D873" s="8"/>
      <c r="E873" s="8"/>
      <c r="F873" s="26"/>
      <c r="G873" s="24"/>
      <c r="H873" s="25"/>
      <c r="I873" s="25"/>
      <c r="J873" s="26"/>
      <c r="K873" t="str" s="15">
        <f aca="0">IF(COUNTA(B873:J873)=0,"",IF(R873&lt;&gt;"","확인필요(입력누락)",IF(COUNTIFS(보유목록!$I$2:$I$3001,"*"&amp;P873&amp;"*",보유목록!$I$2:$I$3001,"*"&amp;Q873&amp;"*",보유목록!$H$2:$H$3001,O873)&gt;0,"있음",IF(COUNTIFS(보유목록!$I$2:$I$3001,"*"&amp;P873&amp;"*",보유목록!$I$2:$I$3001,"*"&amp;Q873&amp;"*")&gt;0,"확인필요(연도다름)",IF(COUNTIFS(보유목록!$I$2:$I$3001,"*"&amp;P873&amp;"*",보유목록!$H$2:$H$3001,O873)&gt;0,"확인필요(같은학교·같은연도)","없음")))))</f>
      </c>
      <c r="L873" t="str" s="16">
        <f aca="0">IF(OR(COUNTA(B873:J873)=0,R873&lt;&gt;""),"",COUNTIFS(보유목록!$I$2:$I$3001,"*"&amp;P873&amp;"*",보유목록!$I$2:$I$3001,"*"&amp;Q873&amp;"*"))</f>
      </c>
      <c r="M873" t="str" s="23">
        <f aca="0">IF(OR(COUNTA(B873:J873)=0,R873&lt;&gt;""),"",IFERROR(LOOKUP(2,1/(ISNUMBER(SEARCH(P873,보유목록!$I$2:$I$3001))*ISNUMBER(SEARCH(Q873,보유목록!$I$2:$I$3001))*(보유목록!$H$2:$H$3001=O873)),보유목록!$B$2:$B$3001),IFERROR(LOOKUP(2,1/(ISNUMBER(SEARCH(P873,보유목록!$I$2:$I$3001))*ISNUMBER(SEARCH(Q873,보유목록!$I$2:$I$3001))),보유목록!$B$2:$B$3001),"")))</f>
      </c>
      <c r="N873" s="25"/>
      <c r="O873" t="str">
        <f>IFERROR(IF(AND(LEN(SUBSTITUTE(SUBSTITUTE(SUBSTITUTE(TRIM(C873&amp;""),CHAR(160),"")," ",""),"년",""))=4,VALUE(SUBSTITUTE(SUBSTITUTE(SUBSTITUTE(TRIM(C873&amp;""),CHAR(160),"")," ",""),"년",""))&gt;=1900,VALUE(SUBSTITUTE(SUBSTITUTE(SUBSTITUTE(TRIM(C873&amp;""),CHAR(160),"")," ",""),"년",""))&lt;=2099,TEXT(VALUE(SUBSTITUTE(SUBSTITUTE(SUBSTITUTE(TRIM(C873&amp;""),CHAR(160),"")," ",""),"년","")),"0000")=SUBSTITUTE(SUBSTITUTE(SUBSTITUTE(TRIM(C873&amp;""),CHAR(160),"")," ",""),"년","")),SUBSTITUTE(SUBSTITUTE(SUBSTITUTE(TRIM(C873&amp;""),CHAR(160),"")," ",""),"년",""),""),"")</f>
      </c>
      <c r="P873" t="str">
        <f>SUBSTITUTE(SUBSTITUTE(SUBSTITUTE(SUBSTITUTE(SUBSTITUTE(SUBSTITUTE(SUBSTITUTE(SUBSTITUTE(TRIM(D873&amp;""),CHAR(160),"")," ",""),"초등학교","초"),"중학교","중"),"고등학교","고"),"~","~~"),"*","~*"),"?","~?")</f>
      </c>
      <c r="Q873" t="str">
        <f>SUBSTITUTE(SUBSTITUTE(SUBSTITUTE(SUBSTITUTE(SUBSTITUTE(SUBSTITUTE(SUBSTITUTE(SUBSTITUTE(TRIM(E873&amp;""),CHAR(160),"")," ",""),"초등학교","초"),"중학교","중"),"고등학교","고"),"~","~~"),"*","~*"),"?","~?")</f>
      </c>
      <c r="R873" t="str">
        <f>IF(COUNTA(B873:J873)=0,"",IF(AND(O873&lt;&gt;"",P873&lt;&gt;"",Q873&lt;&gt;""),"","입력누락"))</f>
      </c>
    </row>
    <row r="874" customFormat="false" ht="15" hidden="false" customHeight="false" outlineLevel="0" collapsed="false">
      <c r="A874" t="n" s="19">
        <f aca="0">IF(COUNTA(B874:J874)=0,"",ROW()-1)</f>
      </c>
      <c r="B874" s="24"/>
      <c r="C874" s="25"/>
      <c r="D874" s="8"/>
      <c r="E874" s="8"/>
      <c r="F874" s="26"/>
      <c r="G874" s="24"/>
      <c r="H874" s="25"/>
      <c r="I874" s="25"/>
      <c r="J874" s="26"/>
      <c r="K874" t="str" s="15">
        <f aca="0">IF(COUNTA(B874:J874)=0,"",IF(R874&lt;&gt;"","확인필요(입력누락)",IF(COUNTIFS(보유목록!$I$2:$I$3001,"*"&amp;P874&amp;"*",보유목록!$I$2:$I$3001,"*"&amp;Q874&amp;"*",보유목록!$H$2:$H$3001,O874)&gt;0,"있음",IF(COUNTIFS(보유목록!$I$2:$I$3001,"*"&amp;P874&amp;"*",보유목록!$I$2:$I$3001,"*"&amp;Q874&amp;"*")&gt;0,"확인필요(연도다름)",IF(COUNTIFS(보유목록!$I$2:$I$3001,"*"&amp;P874&amp;"*",보유목록!$H$2:$H$3001,O874)&gt;0,"확인필요(같은학교·같은연도)","없음")))))</f>
      </c>
      <c r="L874" t="str" s="16">
        <f aca="0">IF(OR(COUNTA(B874:J874)=0,R874&lt;&gt;""),"",COUNTIFS(보유목록!$I$2:$I$3001,"*"&amp;P874&amp;"*",보유목록!$I$2:$I$3001,"*"&amp;Q874&amp;"*"))</f>
      </c>
      <c r="M874" t="str" s="23">
        <f aca="0">IF(OR(COUNTA(B874:J874)=0,R874&lt;&gt;""),"",IFERROR(LOOKUP(2,1/(ISNUMBER(SEARCH(P874,보유목록!$I$2:$I$3001))*ISNUMBER(SEARCH(Q874,보유목록!$I$2:$I$3001))*(보유목록!$H$2:$H$3001=O874)),보유목록!$B$2:$B$3001),IFERROR(LOOKUP(2,1/(ISNUMBER(SEARCH(P874,보유목록!$I$2:$I$3001))*ISNUMBER(SEARCH(Q874,보유목록!$I$2:$I$3001))),보유목록!$B$2:$B$3001),"")))</f>
      </c>
      <c r="N874" s="25"/>
      <c r="O874" t="str">
        <f>IFERROR(IF(AND(LEN(SUBSTITUTE(SUBSTITUTE(SUBSTITUTE(TRIM(C874&amp;""),CHAR(160),"")," ",""),"년",""))=4,VALUE(SUBSTITUTE(SUBSTITUTE(SUBSTITUTE(TRIM(C874&amp;""),CHAR(160),"")," ",""),"년",""))&gt;=1900,VALUE(SUBSTITUTE(SUBSTITUTE(SUBSTITUTE(TRIM(C874&amp;""),CHAR(160),"")," ",""),"년",""))&lt;=2099,TEXT(VALUE(SUBSTITUTE(SUBSTITUTE(SUBSTITUTE(TRIM(C874&amp;""),CHAR(160),"")," ",""),"년","")),"0000")=SUBSTITUTE(SUBSTITUTE(SUBSTITUTE(TRIM(C874&amp;""),CHAR(160),"")," ",""),"년","")),SUBSTITUTE(SUBSTITUTE(SUBSTITUTE(TRIM(C874&amp;""),CHAR(160),"")," ",""),"년",""),""),"")</f>
      </c>
      <c r="P874" t="str">
        <f>SUBSTITUTE(SUBSTITUTE(SUBSTITUTE(SUBSTITUTE(SUBSTITUTE(SUBSTITUTE(SUBSTITUTE(SUBSTITUTE(TRIM(D874&amp;""),CHAR(160),"")," ",""),"초등학교","초"),"중학교","중"),"고등학교","고"),"~","~~"),"*","~*"),"?","~?")</f>
      </c>
      <c r="Q874" t="str">
        <f>SUBSTITUTE(SUBSTITUTE(SUBSTITUTE(SUBSTITUTE(SUBSTITUTE(SUBSTITUTE(SUBSTITUTE(SUBSTITUTE(TRIM(E874&amp;""),CHAR(160),"")," ",""),"초등학교","초"),"중학교","중"),"고등학교","고"),"~","~~"),"*","~*"),"?","~?")</f>
      </c>
      <c r="R874" t="str">
        <f>IF(COUNTA(B874:J874)=0,"",IF(AND(O874&lt;&gt;"",P874&lt;&gt;"",Q874&lt;&gt;""),"","입력누락"))</f>
      </c>
    </row>
    <row r="875" customFormat="false" ht="15" hidden="false" customHeight="false" outlineLevel="0" collapsed="false">
      <c r="A875" t="n" s="19">
        <f aca="0">IF(COUNTA(B875:J875)=0,"",ROW()-1)</f>
      </c>
      <c r="B875" s="24"/>
      <c r="C875" s="25"/>
      <c r="D875" s="8"/>
      <c r="E875" s="8"/>
      <c r="F875" s="26"/>
      <c r="G875" s="24"/>
      <c r="H875" s="25"/>
      <c r="I875" s="25"/>
      <c r="J875" s="26"/>
      <c r="K875" t="str" s="15">
        <f aca="0">IF(COUNTA(B875:J875)=0,"",IF(R875&lt;&gt;"","확인필요(입력누락)",IF(COUNTIFS(보유목록!$I$2:$I$3001,"*"&amp;P875&amp;"*",보유목록!$I$2:$I$3001,"*"&amp;Q875&amp;"*",보유목록!$H$2:$H$3001,O875)&gt;0,"있음",IF(COUNTIFS(보유목록!$I$2:$I$3001,"*"&amp;P875&amp;"*",보유목록!$I$2:$I$3001,"*"&amp;Q875&amp;"*")&gt;0,"확인필요(연도다름)",IF(COUNTIFS(보유목록!$I$2:$I$3001,"*"&amp;P875&amp;"*",보유목록!$H$2:$H$3001,O875)&gt;0,"확인필요(같은학교·같은연도)","없음")))))</f>
      </c>
      <c r="L875" t="str" s="16">
        <f aca="0">IF(OR(COUNTA(B875:J875)=0,R875&lt;&gt;""),"",COUNTIFS(보유목록!$I$2:$I$3001,"*"&amp;P875&amp;"*",보유목록!$I$2:$I$3001,"*"&amp;Q875&amp;"*"))</f>
      </c>
      <c r="M875" t="str" s="23">
        <f aca="0">IF(OR(COUNTA(B875:J875)=0,R875&lt;&gt;""),"",IFERROR(LOOKUP(2,1/(ISNUMBER(SEARCH(P875,보유목록!$I$2:$I$3001))*ISNUMBER(SEARCH(Q875,보유목록!$I$2:$I$3001))*(보유목록!$H$2:$H$3001=O875)),보유목록!$B$2:$B$3001),IFERROR(LOOKUP(2,1/(ISNUMBER(SEARCH(P875,보유목록!$I$2:$I$3001))*ISNUMBER(SEARCH(Q875,보유목록!$I$2:$I$3001))),보유목록!$B$2:$B$3001),"")))</f>
      </c>
      <c r="N875" s="25"/>
      <c r="O875" t="str">
        <f>IFERROR(IF(AND(LEN(SUBSTITUTE(SUBSTITUTE(SUBSTITUTE(TRIM(C875&amp;""),CHAR(160),"")," ",""),"년",""))=4,VALUE(SUBSTITUTE(SUBSTITUTE(SUBSTITUTE(TRIM(C875&amp;""),CHAR(160),"")," ",""),"년",""))&gt;=1900,VALUE(SUBSTITUTE(SUBSTITUTE(SUBSTITUTE(TRIM(C875&amp;""),CHAR(160),"")," ",""),"년",""))&lt;=2099,TEXT(VALUE(SUBSTITUTE(SUBSTITUTE(SUBSTITUTE(TRIM(C875&amp;""),CHAR(160),"")," ",""),"년","")),"0000")=SUBSTITUTE(SUBSTITUTE(SUBSTITUTE(TRIM(C875&amp;""),CHAR(160),"")," ",""),"년","")),SUBSTITUTE(SUBSTITUTE(SUBSTITUTE(TRIM(C875&amp;""),CHAR(160),"")," ",""),"년",""),""),"")</f>
      </c>
      <c r="P875" t="str">
        <f>SUBSTITUTE(SUBSTITUTE(SUBSTITUTE(SUBSTITUTE(SUBSTITUTE(SUBSTITUTE(SUBSTITUTE(SUBSTITUTE(TRIM(D875&amp;""),CHAR(160),"")," ",""),"초등학교","초"),"중학교","중"),"고등학교","고"),"~","~~"),"*","~*"),"?","~?")</f>
      </c>
      <c r="Q875" t="str">
        <f>SUBSTITUTE(SUBSTITUTE(SUBSTITUTE(SUBSTITUTE(SUBSTITUTE(SUBSTITUTE(SUBSTITUTE(SUBSTITUTE(TRIM(E875&amp;""),CHAR(160),"")," ",""),"초등학교","초"),"중학교","중"),"고등학교","고"),"~","~~"),"*","~*"),"?","~?")</f>
      </c>
      <c r="R875" t="str">
        <f>IF(COUNTA(B875:J875)=0,"",IF(AND(O875&lt;&gt;"",P875&lt;&gt;"",Q875&lt;&gt;""),"","입력누락"))</f>
      </c>
    </row>
    <row r="876" customFormat="false" ht="15" hidden="false" customHeight="false" outlineLevel="0" collapsed="false">
      <c r="A876" t="n" s="19">
        <f aca="0">IF(COUNTA(B876:J876)=0,"",ROW()-1)</f>
      </c>
      <c r="B876" s="24"/>
      <c r="C876" s="25"/>
      <c r="D876" s="8"/>
      <c r="E876" s="8"/>
      <c r="F876" s="26"/>
      <c r="G876" s="24"/>
      <c r="H876" s="25"/>
      <c r="I876" s="25"/>
      <c r="J876" s="26"/>
      <c r="K876" t="str" s="15">
        <f aca="0">IF(COUNTA(B876:J876)=0,"",IF(R876&lt;&gt;"","확인필요(입력누락)",IF(COUNTIFS(보유목록!$I$2:$I$3001,"*"&amp;P876&amp;"*",보유목록!$I$2:$I$3001,"*"&amp;Q876&amp;"*",보유목록!$H$2:$H$3001,O876)&gt;0,"있음",IF(COUNTIFS(보유목록!$I$2:$I$3001,"*"&amp;P876&amp;"*",보유목록!$I$2:$I$3001,"*"&amp;Q876&amp;"*")&gt;0,"확인필요(연도다름)",IF(COUNTIFS(보유목록!$I$2:$I$3001,"*"&amp;P876&amp;"*",보유목록!$H$2:$H$3001,O876)&gt;0,"확인필요(같은학교·같은연도)","없음")))))</f>
      </c>
      <c r="L876" t="str" s="16">
        <f aca="0">IF(OR(COUNTA(B876:J876)=0,R876&lt;&gt;""),"",COUNTIFS(보유목록!$I$2:$I$3001,"*"&amp;P876&amp;"*",보유목록!$I$2:$I$3001,"*"&amp;Q876&amp;"*"))</f>
      </c>
      <c r="M876" t="str" s="23">
        <f aca="0">IF(OR(COUNTA(B876:J876)=0,R876&lt;&gt;""),"",IFERROR(LOOKUP(2,1/(ISNUMBER(SEARCH(P876,보유목록!$I$2:$I$3001))*ISNUMBER(SEARCH(Q876,보유목록!$I$2:$I$3001))*(보유목록!$H$2:$H$3001=O876)),보유목록!$B$2:$B$3001),IFERROR(LOOKUP(2,1/(ISNUMBER(SEARCH(P876,보유목록!$I$2:$I$3001))*ISNUMBER(SEARCH(Q876,보유목록!$I$2:$I$3001))),보유목록!$B$2:$B$3001),"")))</f>
      </c>
      <c r="N876" s="25"/>
      <c r="O876" t="str">
        <f>IFERROR(IF(AND(LEN(SUBSTITUTE(SUBSTITUTE(SUBSTITUTE(TRIM(C876&amp;""),CHAR(160),"")," ",""),"년",""))=4,VALUE(SUBSTITUTE(SUBSTITUTE(SUBSTITUTE(TRIM(C876&amp;""),CHAR(160),"")," ",""),"년",""))&gt;=1900,VALUE(SUBSTITUTE(SUBSTITUTE(SUBSTITUTE(TRIM(C876&amp;""),CHAR(160),"")," ",""),"년",""))&lt;=2099,TEXT(VALUE(SUBSTITUTE(SUBSTITUTE(SUBSTITUTE(TRIM(C876&amp;""),CHAR(160),"")," ",""),"년","")),"0000")=SUBSTITUTE(SUBSTITUTE(SUBSTITUTE(TRIM(C876&amp;""),CHAR(160),"")," ",""),"년","")),SUBSTITUTE(SUBSTITUTE(SUBSTITUTE(TRIM(C876&amp;""),CHAR(160),"")," ",""),"년",""),""),"")</f>
      </c>
      <c r="P876" t="str">
        <f>SUBSTITUTE(SUBSTITUTE(SUBSTITUTE(SUBSTITUTE(SUBSTITUTE(SUBSTITUTE(SUBSTITUTE(SUBSTITUTE(TRIM(D876&amp;""),CHAR(160),"")," ",""),"초등학교","초"),"중학교","중"),"고등학교","고"),"~","~~"),"*","~*"),"?","~?")</f>
      </c>
      <c r="Q876" t="str">
        <f>SUBSTITUTE(SUBSTITUTE(SUBSTITUTE(SUBSTITUTE(SUBSTITUTE(SUBSTITUTE(SUBSTITUTE(SUBSTITUTE(TRIM(E876&amp;""),CHAR(160),"")," ",""),"초등학교","초"),"중학교","중"),"고등학교","고"),"~","~~"),"*","~*"),"?","~?")</f>
      </c>
      <c r="R876" t="str">
        <f>IF(COUNTA(B876:J876)=0,"",IF(AND(O876&lt;&gt;"",P876&lt;&gt;"",Q876&lt;&gt;""),"","입력누락"))</f>
      </c>
    </row>
    <row r="877" customFormat="false" ht="15" hidden="false" customHeight="false" outlineLevel="0" collapsed="false">
      <c r="A877" t="n" s="19">
        <f aca="0">IF(COUNTA(B877:J877)=0,"",ROW()-1)</f>
      </c>
      <c r="B877" s="24"/>
      <c r="C877" s="25"/>
      <c r="D877" s="8"/>
      <c r="E877" s="8"/>
      <c r="F877" s="26"/>
      <c r="G877" s="24"/>
      <c r="H877" s="25"/>
      <c r="I877" s="25"/>
      <c r="J877" s="26"/>
      <c r="K877" t="str" s="15">
        <f aca="0">IF(COUNTA(B877:J877)=0,"",IF(R877&lt;&gt;"","확인필요(입력누락)",IF(COUNTIFS(보유목록!$I$2:$I$3001,"*"&amp;P877&amp;"*",보유목록!$I$2:$I$3001,"*"&amp;Q877&amp;"*",보유목록!$H$2:$H$3001,O877)&gt;0,"있음",IF(COUNTIFS(보유목록!$I$2:$I$3001,"*"&amp;P877&amp;"*",보유목록!$I$2:$I$3001,"*"&amp;Q877&amp;"*")&gt;0,"확인필요(연도다름)",IF(COUNTIFS(보유목록!$I$2:$I$3001,"*"&amp;P877&amp;"*",보유목록!$H$2:$H$3001,O877)&gt;0,"확인필요(같은학교·같은연도)","없음")))))</f>
      </c>
      <c r="L877" t="str" s="16">
        <f aca="0">IF(OR(COUNTA(B877:J877)=0,R877&lt;&gt;""),"",COUNTIFS(보유목록!$I$2:$I$3001,"*"&amp;P877&amp;"*",보유목록!$I$2:$I$3001,"*"&amp;Q877&amp;"*"))</f>
      </c>
      <c r="M877" t="str" s="23">
        <f aca="0">IF(OR(COUNTA(B877:J877)=0,R877&lt;&gt;""),"",IFERROR(LOOKUP(2,1/(ISNUMBER(SEARCH(P877,보유목록!$I$2:$I$3001))*ISNUMBER(SEARCH(Q877,보유목록!$I$2:$I$3001))*(보유목록!$H$2:$H$3001=O877)),보유목록!$B$2:$B$3001),IFERROR(LOOKUP(2,1/(ISNUMBER(SEARCH(P877,보유목록!$I$2:$I$3001))*ISNUMBER(SEARCH(Q877,보유목록!$I$2:$I$3001))),보유목록!$B$2:$B$3001),"")))</f>
      </c>
      <c r="N877" s="25"/>
      <c r="O877" t="str">
        <f>IFERROR(IF(AND(LEN(SUBSTITUTE(SUBSTITUTE(SUBSTITUTE(TRIM(C877&amp;""),CHAR(160),"")," ",""),"년",""))=4,VALUE(SUBSTITUTE(SUBSTITUTE(SUBSTITUTE(TRIM(C877&amp;""),CHAR(160),"")," ",""),"년",""))&gt;=1900,VALUE(SUBSTITUTE(SUBSTITUTE(SUBSTITUTE(TRIM(C877&amp;""),CHAR(160),"")," ",""),"년",""))&lt;=2099,TEXT(VALUE(SUBSTITUTE(SUBSTITUTE(SUBSTITUTE(TRIM(C877&amp;""),CHAR(160),"")," ",""),"년","")),"0000")=SUBSTITUTE(SUBSTITUTE(SUBSTITUTE(TRIM(C877&amp;""),CHAR(160),"")," ",""),"년","")),SUBSTITUTE(SUBSTITUTE(SUBSTITUTE(TRIM(C877&amp;""),CHAR(160),"")," ",""),"년",""),""),"")</f>
      </c>
      <c r="P877" t="str">
        <f>SUBSTITUTE(SUBSTITUTE(SUBSTITUTE(SUBSTITUTE(SUBSTITUTE(SUBSTITUTE(SUBSTITUTE(SUBSTITUTE(TRIM(D877&amp;""),CHAR(160),"")," ",""),"초등학교","초"),"중학교","중"),"고등학교","고"),"~","~~"),"*","~*"),"?","~?")</f>
      </c>
      <c r="Q877" t="str">
        <f>SUBSTITUTE(SUBSTITUTE(SUBSTITUTE(SUBSTITUTE(SUBSTITUTE(SUBSTITUTE(SUBSTITUTE(SUBSTITUTE(TRIM(E877&amp;""),CHAR(160),"")," ",""),"초등학교","초"),"중학교","중"),"고등학교","고"),"~","~~"),"*","~*"),"?","~?")</f>
      </c>
      <c r="R877" t="str">
        <f>IF(COUNTA(B877:J877)=0,"",IF(AND(O877&lt;&gt;"",P877&lt;&gt;"",Q877&lt;&gt;""),"","입력누락"))</f>
      </c>
    </row>
    <row r="878" customFormat="false" ht="15" hidden="false" customHeight="false" outlineLevel="0" collapsed="false">
      <c r="A878" t="n" s="19">
        <f aca="0">IF(COUNTA(B878:J878)=0,"",ROW()-1)</f>
      </c>
      <c r="B878" s="24"/>
      <c r="C878" s="25"/>
      <c r="D878" s="8"/>
      <c r="E878" s="8"/>
      <c r="F878" s="26"/>
      <c r="G878" s="24"/>
      <c r="H878" s="25"/>
      <c r="I878" s="25"/>
      <c r="J878" s="26"/>
      <c r="K878" t="str" s="15">
        <f aca="0">IF(COUNTA(B878:J878)=0,"",IF(R878&lt;&gt;"","확인필요(입력누락)",IF(COUNTIFS(보유목록!$I$2:$I$3001,"*"&amp;P878&amp;"*",보유목록!$I$2:$I$3001,"*"&amp;Q878&amp;"*",보유목록!$H$2:$H$3001,O878)&gt;0,"있음",IF(COUNTIFS(보유목록!$I$2:$I$3001,"*"&amp;P878&amp;"*",보유목록!$I$2:$I$3001,"*"&amp;Q878&amp;"*")&gt;0,"확인필요(연도다름)",IF(COUNTIFS(보유목록!$I$2:$I$3001,"*"&amp;P878&amp;"*",보유목록!$H$2:$H$3001,O878)&gt;0,"확인필요(같은학교·같은연도)","없음")))))</f>
      </c>
      <c r="L878" t="str" s="16">
        <f aca="0">IF(OR(COUNTA(B878:J878)=0,R878&lt;&gt;""),"",COUNTIFS(보유목록!$I$2:$I$3001,"*"&amp;P878&amp;"*",보유목록!$I$2:$I$3001,"*"&amp;Q878&amp;"*"))</f>
      </c>
      <c r="M878" t="str" s="23">
        <f aca="0">IF(OR(COUNTA(B878:J878)=0,R878&lt;&gt;""),"",IFERROR(LOOKUP(2,1/(ISNUMBER(SEARCH(P878,보유목록!$I$2:$I$3001))*ISNUMBER(SEARCH(Q878,보유목록!$I$2:$I$3001))*(보유목록!$H$2:$H$3001=O878)),보유목록!$B$2:$B$3001),IFERROR(LOOKUP(2,1/(ISNUMBER(SEARCH(P878,보유목록!$I$2:$I$3001))*ISNUMBER(SEARCH(Q878,보유목록!$I$2:$I$3001))),보유목록!$B$2:$B$3001),"")))</f>
      </c>
      <c r="N878" s="25"/>
      <c r="O878" t="str">
        <f>IFERROR(IF(AND(LEN(SUBSTITUTE(SUBSTITUTE(SUBSTITUTE(TRIM(C878&amp;""),CHAR(160),"")," ",""),"년",""))=4,VALUE(SUBSTITUTE(SUBSTITUTE(SUBSTITUTE(TRIM(C878&amp;""),CHAR(160),"")," ",""),"년",""))&gt;=1900,VALUE(SUBSTITUTE(SUBSTITUTE(SUBSTITUTE(TRIM(C878&amp;""),CHAR(160),"")," ",""),"년",""))&lt;=2099,TEXT(VALUE(SUBSTITUTE(SUBSTITUTE(SUBSTITUTE(TRIM(C878&amp;""),CHAR(160),"")," ",""),"년","")),"0000")=SUBSTITUTE(SUBSTITUTE(SUBSTITUTE(TRIM(C878&amp;""),CHAR(160),"")," ",""),"년","")),SUBSTITUTE(SUBSTITUTE(SUBSTITUTE(TRIM(C878&amp;""),CHAR(160),"")," ",""),"년",""),""),"")</f>
      </c>
      <c r="P878" t="str">
        <f>SUBSTITUTE(SUBSTITUTE(SUBSTITUTE(SUBSTITUTE(SUBSTITUTE(SUBSTITUTE(SUBSTITUTE(SUBSTITUTE(TRIM(D878&amp;""),CHAR(160),"")," ",""),"초등학교","초"),"중학교","중"),"고등학교","고"),"~","~~"),"*","~*"),"?","~?")</f>
      </c>
      <c r="Q878" t="str">
        <f>SUBSTITUTE(SUBSTITUTE(SUBSTITUTE(SUBSTITUTE(SUBSTITUTE(SUBSTITUTE(SUBSTITUTE(SUBSTITUTE(TRIM(E878&amp;""),CHAR(160),"")," ",""),"초등학교","초"),"중학교","중"),"고등학교","고"),"~","~~"),"*","~*"),"?","~?")</f>
      </c>
      <c r="R878" t="str">
        <f>IF(COUNTA(B878:J878)=0,"",IF(AND(O878&lt;&gt;"",P878&lt;&gt;"",Q878&lt;&gt;""),"","입력누락"))</f>
      </c>
    </row>
    <row r="879" customFormat="false" ht="15" hidden="false" customHeight="false" outlineLevel="0" collapsed="false">
      <c r="A879" t="n" s="19">
        <f aca="0">IF(COUNTA(B879:J879)=0,"",ROW()-1)</f>
      </c>
      <c r="B879" s="24"/>
      <c r="C879" s="25"/>
      <c r="D879" s="8"/>
      <c r="E879" s="8"/>
      <c r="F879" s="26"/>
      <c r="G879" s="24"/>
      <c r="H879" s="25"/>
      <c r="I879" s="25"/>
      <c r="J879" s="26"/>
      <c r="K879" t="str" s="15">
        <f aca="0">IF(COUNTA(B879:J879)=0,"",IF(R879&lt;&gt;"","확인필요(입력누락)",IF(COUNTIFS(보유목록!$I$2:$I$3001,"*"&amp;P879&amp;"*",보유목록!$I$2:$I$3001,"*"&amp;Q879&amp;"*",보유목록!$H$2:$H$3001,O879)&gt;0,"있음",IF(COUNTIFS(보유목록!$I$2:$I$3001,"*"&amp;P879&amp;"*",보유목록!$I$2:$I$3001,"*"&amp;Q879&amp;"*")&gt;0,"확인필요(연도다름)",IF(COUNTIFS(보유목록!$I$2:$I$3001,"*"&amp;P879&amp;"*",보유목록!$H$2:$H$3001,O879)&gt;0,"확인필요(같은학교·같은연도)","없음")))))</f>
      </c>
      <c r="L879" t="str" s="16">
        <f aca="0">IF(OR(COUNTA(B879:J879)=0,R879&lt;&gt;""),"",COUNTIFS(보유목록!$I$2:$I$3001,"*"&amp;P879&amp;"*",보유목록!$I$2:$I$3001,"*"&amp;Q879&amp;"*"))</f>
      </c>
      <c r="M879" t="str" s="23">
        <f aca="0">IF(OR(COUNTA(B879:J879)=0,R879&lt;&gt;""),"",IFERROR(LOOKUP(2,1/(ISNUMBER(SEARCH(P879,보유목록!$I$2:$I$3001))*ISNUMBER(SEARCH(Q879,보유목록!$I$2:$I$3001))*(보유목록!$H$2:$H$3001=O879)),보유목록!$B$2:$B$3001),IFERROR(LOOKUP(2,1/(ISNUMBER(SEARCH(P879,보유목록!$I$2:$I$3001))*ISNUMBER(SEARCH(Q879,보유목록!$I$2:$I$3001))),보유목록!$B$2:$B$3001),"")))</f>
      </c>
      <c r="N879" s="25"/>
      <c r="O879" t="str">
        <f>IFERROR(IF(AND(LEN(SUBSTITUTE(SUBSTITUTE(SUBSTITUTE(TRIM(C879&amp;""),CHAR(160),"")," ",""),"년",""))=4,VALUE(SUBSTITUTE(SUBSTITUTE(SUBSTITUTE(TRIM(C879&amp;""),CHAR(160),"")," ",""),"년",""))&gt;=1900,VALUE(SUBSTITUTE(SUBSTITUTE(SUBSTITUTE(TRIM(C879&amp;""),CHAR(160),"")," ",""),"년",""))&lt;=2099,TEXT(VALUE(SUBSTITUTE(SUBSTITUTE(SUBSTITUTE(TRIM(C879&amp;""),CHAR(160),"")," ",""),"년","")),"0000")=SUBSTITUTE(SUBSTITUTE(SUBSTITUTE(TRIM(C879&amp;""),CHAR(160),"")," ",""),"년","")),SUBSTITUTE(SUBSTITUTE(SUBSTITUTE(TRIM(C879&amp;""),CHAR(160),"")," ",""),"년",""),""),"")</f>
      </c>
      <c r="P879" t="str">
        <f>SUBSTITUTE(SUBSTITUTE(SUBSTITUTE(SUBSTITUTE(SUBSTITUTE(SUBSTITUTE(SUBSTITUTE(SUBSTITUTE(TRIM(D879&amp;""),CHAR(160),"")," ",""),"초등학교","초"),"중학교","중"),"고등학교","고"),"~","~~"),"*","~*"),"?","~?")</f>
      </c>
      <c r="Q879" t="str">
        <f>SUBSTITUTE(SUBSTITUTE(SUBSTITUTE(SUBSTITUTE(SUBSTITUTE(SUBSTITUTE(SUBSTITUTE(SUBSTITUTE(TRIM(E879&amp;""),CHAR(160),"")," ",""),"초등학교","초"),"중학교","중"),"고등학교","고"),"~","~~"),"*","~*"),"?","~?")</f>
      </c>
      <c r="R879" t="str">
        <f>IF(COUNTA(B879:J879)=0,"",IF(AND(O879&lt;&gt;"",P879&lt;&gt;"",Q879&lt;&gt;""),"","입력누락"))</f>
      </c>
    </row>
    <row r="880" customFormat="false" ht="15" hidden="false" customHeight="false" outlineLevel="0" collapsed="false">
      <c r="A880" t="n" s="19">
        <f aca="0">IF(COUNTA(B880:J880)=0,"",ROW()-1)</f>
      </c>
      <c r="B880" s="24"/>
      <c r="C880" s="25"/>
      <c r="D880" s="8"/>
      <c r="E880" s="8"/>
      <c r="F880" s="26"/>
      <c r="G880" s="24"/>
      <c r="H880" s="25"/>
      <c r="I880" s="25"/>
      <c r="J880" s="26"/>
      <c r="K880" t="str" s="15">
        <f aca="0">IF(COUNTA(B880:J880)=0,"",IF(R880&lt;&gt;"","확인필요(입력누락)",IF(COUNTIFS(보유목록!$I$2:$I$3001,"*"&amp;P880&amp;"*",보유목록!$I$2:$I$3001,"*"&amp;Q880&amp;"*",보유목록!$H$2:$H$3001,O880)&gt;0,"있음",IF(COUNTIFS(보유목록!$I$2:$I$3001,"*"&amp;P880&amp;"*",보유목록!$I$2:$I$3001,"*"&amp;Q880&amp;"*")&gt;0,"확인필요(연도다름)",IF(COUNTIFS(보유목록!$I$2:$I$3001,"*"&amp;P880&amp;"*",보유목록!$H$2:$H$3001,O880)&gt;0,"확인필요(같은학교·같은연도)","없음")))))</f>
      </c>
      <c r="L880" t="str" s="16">
        <f aca="0">IF(OR(COUNTA(B880:J880)=0,R880&lt;&gt;""),"",COUNTIFS(보유목록!$I$2:$I$3001,"*"&amp;P880&amp;"*",보유목록!$I$2:$I$3001,"*"&amp;Q880&amp;"*"))</f>
      </c>
      <c r="M880" t="str" s="23">
        <f aca="0">IF(OR(COUNTA(B880:J880)=0,R880&lt;&gt;""),"",IFERROR(LOOKUP(2,1/(ISNUMBER(SEARCH(P880,보유목록!$I$2:$I$3001))*ISNUMBER(SEARCH(Q880,보유목록!$I$2:$I$3001))*(보유목록!$H$2:$H$3001=O880)),보유목록!$B$2:$B$3001),IFERROR(LOOKUP(2,1/(ISNUMBER(SEARCH(P880,보유목록!$I$2:$I$3001))*ISNUMBER(SEARCH(Q880,보유목록!$I$2:$I$3001))),보유목록!$B$2:$B$3001),"")))</f>
      </c>
      <c r="N880" s="25"/>
      <c r="O880" t="str">
        <f>IFERROR(IF(AND(LEN(SUBSTITUTE(SUBSTITUTE(SUBSTITUTE(TRIM(C880&amp;""),CHAR(160),"")," ",""),"년",""))=4,VALUE(SUBSTITUTE(SUBSTITUTE(SUBSTITUTE(TRIM(C880&amp;""),CHAR(160),"")," ",""),"년",""))&gt;=1900,VALUE(SUBSTITUTE(SUBSTITUTE(SUBSTITUTE(TRIM(C880&amp;""),CHAR(160),"")," ",""),"년",""))&lt;=2099,TEXT(VALUE(SUBSTITUTE(SUBSTITUTE(SUBSTITUTE(TRIM(C880&amp;""),CHAR(160),"")," ",""),"년","")),"0000")=SUBSTITUTE(SUBSTITUTE(SUBSTITUTE(TRIM(C880&amp;""),CHAR(160),"")," ",""),"년","")),SUBSTITUTE(SUBSTITUTE(SUBSTITUTE(TRIM(C880&amp;""),CHAR(160),"")," ",""),"년",""),""),"")</f>
      </c>
      <c r="P880" t="str">
        <f>SUBSTITUTE(SUBSTITUTE(SUBSTITUTE(SUBSTITUTE(SUBSTITUTE(SUBSTITUTE(SUBSTITUTE(SUBSTITUTE(TRIM(D880&amp;""),CHAR(160),"")," ",""),"초등학교","초"),"중학교","중"),"고등학교","고"),"~","~~"),"*","~*"),"?","~?")</f>
      </c>
      <c r="Q880" t="str">
        <f>SUBSTITUTE(SUBSTITUTE(SUBSTITUTE(SUBSTITUTE(SUBSTITUTE(SUBSTITUTE(SUBSTITUTE(SUBSTITUTE(TRIM(E880&amp;""),CHAR(160),"")," ",""),"초등학교","초"),"중학교","중"),"고등학교","고"),"~","~~"),"*","~*"),"?","~?")</f>
      </c>
      <c r="R880" t="str">
        <f>IF(COUNTA(B880:J880)=0,"",IF(AND(O880&lt;&gt;"",P880&lt;&gt;"",Q880&lt;&gt;""),"","입력누락"))</f>
      </c>
    </row>
    <row r="881" customFormat="false" ht="15" hidden="false" customHeight="false" outlineLevel="0" collapsed="false">
      <c r="A881" t="n" s="19">
        <f aca="0">IF(COUNTA(B881:J881)=0,"",ROW()-1)</f>
      </c>
      <c r="B881" s="24"/>
      <c r="C881" s="25"/>
      <c r="D881" s="8"/>
      <c r="E881" s="8"/>
      <c r="F881" s="26"/>
      <c r="G881" s="24"/>
      <c r="H881" s="25"/>
      <c r="I881" s="25"/>
      <c r="J881" s="26"/>
      <c r="K881" t="str" s="15">
        <f aca="0">IF(COUNTA(B881:J881)=0,"",IF(R881&lt;&gt;"","확인필요(입력누락)",IF(COUNTIFS(보유목록!$I$2:$I$3001,"*"&amp;P881&amp;"*",보유목록!$I$2:$I$3001,"*"&amp;Q881&amp;"*",보유목록!$H$2:$H$3001,O881)&gt;0,"있음",IF(COUNTIFS(보유목록!$I$2:$I$3001,"*"&amp;P881&amp;"*",보유목록!$I$2:$I$3001,"*"&amp;Q881&amp;"*")&gt;0,"확인필요(연도다름)",IF(COUNTIFS(보유목록!$I$2:$I$3001,"*"&amp;P881&amp;"*",보유목록!$H$2:$H$3001,O881)&gt;0,"확인필요(같은학교·같은연도)","없음")))))</f>
      </c>
      <c r="L881" t="str" s="16">
        <f aca="0">IF(OR(COUNTA(B881:J881)=0,R881&lt;&gt;""),"",COUNTIFS(보유목록!$I$2:$I$3001,"*"&amp;P881&amp;"*",보유목록!$I$2:$I$3001,"*"&amp;Q881&amp;"*"))</f>
      </c>
      <c r="M881" t="str" s="23">
        <f aca="0">IF(OR(COUNTA(B881:J881)=0,R881&lt;&gt;""),"",IFERROR(LOOKUP(2,1/(ISNUMBER(SEARCH(P881,보유목록!$I$2:$I$3001))*ISNUMBER(SEARCH(Q881,보유목록!$I$2:$I$3001))*(보유목록!$H$2:$H$3001=O881)),보유목록!$B$2:$B$3001),IFERROR(LOOKUP(2,1/(ISNUMBER(SEARCH(P881,보유목록!$I$2:$I$3001))*ISNUMBER(SEARCH(Q881,보유목록!$I$2:$I$3001))),보유목록!$B$2:$B$3001),"")))</f>
      </c>
      <c r="N881" s="25"/>
      <c r="O881" t="str">
        <f>IFERROR(IF(AND(LEN(SUBSTITUTE(SUBSTITUTE(SUBSTITUTE(TRIM(C881&amp;""),CHAR(160),"")," ",""),"년",""))=4,VALUE(SUBSTITUTE(SUBSTITUTE(SUBSTITUTE(TRIM(C881&amp;""),CHAR(160),"")," ",""),"년",""))&gt;=1900,VALUE(SUBSTITUTE(SUBSTITUTE(SUBSTITUTE(TRIM(C881&amp;""),CHAR(160),"")," ",""),"년",""))&lt;=2099,TEXT(VALUE(SUBSTITUTE(SUBSTITUTE(SUBSTITUTE(TRIM(C881&amp;""),CHAR(160),"")," ",""),"년","")),"0000")=SUBSTITUTE(SUBSTITUTE(SUBSTITUTE(TRIM(C881&amp;""),CHAR(160),"")," ",""),"년","")),SUBSTITUTE(SUBSTITUTE(SUBSTITUTE(TRIM(C881&amp;""),CHAR(160),"")," ",""),"년",""),""),"")</f>
      </c>
      <c r="P881" t="str">
        <f>SUBSTITUTE(SUBSTITUTE(SUBSTITUTE(SUBSTITUTE(SUBSTITUTE(SUBSTITUTE(SUBSTITUTE(SUBSTITUTE(TRIM(D881&amp;""),CHAR(160),"")," ",""),"초등학교","초"),"중학교","중"),"고등학교","고"),"~","~~"),"*","~*"),"?","~?")</f>
      </c>
      <c r="Q881" t="str">
        <f>SUBSTITUTE(SUBSTITUTE(SUBSTITUTE(SUBSTITUTE(SUBSTITUTE(SUBSTITUTE(SUBSTITUTE(SUBSTITUTE(TRIM(E881&amp;""),CHAR(160),"")," ",""),"초등학교","초"),"중학교","중"),"고등학교","고"),"~","~~"),"*","~*"),"?","~?")</f>
      </c>
      <c r="R881" t="str">
        <f>IF(COUNTA(B881:J881)=0,"",IF(AND(O881&lt;&gt;"",P881&lt;&gt;"",Q881&lt;&gt;""),"","입력누락"))</f>
      </c>
    </row>
    <row r="882" customFormat="false" ht="15" hidden="false" customHeight="false" outlineLevel="0" collapsed="false">
      <c r="A882" t="n" s="19">
        <f aca="0">IF(COUNTA(B882:J882)=0,"",ROW()-1)</f>
      </c>
      <c r="B882" s="24"/>
      <c r="C882" s="25"/>
      <c r="D882" s="8"/>
      <c r="E882" s="8"/>
      <c r="F882" s="26"/>
      <c r="G882" s="24"/>
      <c r="H882" s="25"/>
      <c r="I882" s="25"/>
      <c r="J882" s="26"/>
      <c r="K882" t="str" s="15">
        <f aca="0">IF(COUNTA(B882:J882)=0,"",IF(R882&lt;&gt;"","확인필요(입력누락)",IF(COUNTIFS(보유목록!$I$2:$I$3001,"*"&amp;P882&amp;"*",보유목록!$I$2:$I$3001,"*"&amp;Q882&amp;"*",보유목록!$H$2:$H$3001,O882)&gt;0,"있음",IF(COUNTIFS(보유목록!$I$2:$I$3001,"*"&amp;P882&amp;"*",보유목록!$I$2:$I$3001,"*"&amp;Q882&amp;"*")&gt;0,"확인필요(연도다름)",IF(COUNTIFS(보유목록!$I$2:$I$3001,"*"&amp;P882&amp;"*",보유목록!$H$2:$H$3001,O882)&gt;0,"확인필요(같은학교·같은연도)","없음")))))</f>
      </c>
      <c r="L882" t="str" s="16">
        <f aca="0">IF(OR(COUNTA(B882:J882)=0,R882&lt;&gt;""),"",COUNTIFS(보유목록!$I$2:$I$3001,"*"&amp;P882&amp;"*",보유목록!$I$2:$I$3001,"*"&amp;Q882&amp;"*"))</f>
      </c>
      <c r="M882" t="str" s="23">
        <f aca="0">IF(OR(COUNTA(B882:J882)=0,R882&lt;&gt;""),"",IFERROR(LOOKUP(2,1/(ISNUMBER(SEARCH(P882,보유목록!$I$2:$I$3001))*ISNUMBER(SEARCH(Q882,보유목록!$I$2:$I$3001))*(보유목록!$H$2:$H$3001=O882)),보유목록!$B$2:$B$3001),IFERROR(LOOKUP(2,1/(ISNUMBER(SEARCH(P882,보유목록!$I$2:$I$3001))*ISNUMBER(SEARCH(Q882,보유목록!$I$2:$I$3001))),보유목록!$B$2:$B$3001),"")))</f>
      </c>
      <c r="N882" s="25"/>
      <c r="O882" t="str">
        <f>IFERROR(IF(AND(LEN(SUBSTITUTE(SUBSTITUTE(SUBSTITUTE(TRIM(C882&amp;""),CHAR(160),"")," ",""),"년",""))=4,VALUE(SUBSTITUTE(SUBSTITUTE(SUBSTITUTE(TRIM(C882&amp;""),CHAR(160),"")," ",""),"년",""))&gt;=1900,VALUE(SUBSTITUTE(SUBSTITUTE(SUBSTITUTE(TRIM(C882&amp;""),CHAR(160),"")," ",""),"년",""))&lt;=2099,TEXT(VALUE(SUBSTITUTE(SUBSTITUTE(SUBSTITUTE(TRIM(C882&amp;""),CHAR(160),"")," ",""),"년","")),"0000")=SUBSTITUTE(SUBSTITUTE(SUBSTITUTE(TRIM(C882&amp;""),CHAR(160),"")," ",""),"년","")),SUBSTITUTE(SUBSTITUTE(SUBSTITUTE(TRIM(C882&amp;""),CHAR(160),"")," ",""),"년",""),""),"")</f>
      </c>
      <c r="P882" t="str">
        <f>SUBSTITUTE(SUBSTITUTE(SUBSTITUTE(SUBSTITUTE(SUBSTITUTE(SUBSTITUTE(SUBSTITUTE(SUBSTITUTE(TRIM(D882&amp;""),CHAR(160),"")," ",""),"초등학교","초"),"중학교","중"),"고등학교","고"),"~","~~"),"*","~*"),"?","~?")</f>
      </c>
      <c r="Q882" t="str">
        <f>SUBSTITUTE(SUBSTITUTE(SUBSTITUTE(SUBSTITUTE(SUBSTITUTE(SUBSTITUTE(SUBSTITUTE(SUBSTITUTE(TRIM(E882&amp;""),CHAR(160),"")," ",""),"초등학교","초"),"중학교","중"),"고등학교","고"),"~","~~"),"*","~*"),"?","~?")</f>
      </c>
      <c r="R882" t="str">
        <f>IF(COUNTA(B882:J882)=0,"",IF(AND(O882&lt;&gt;"",P882&lt;&gt;"",Q882&lt;&gt;""),"","입력누락"))</f>
      </c>
    </row>
    <row r="883" customFormat="false" ht="15" hidden="false" customHeight="false" outlineLevel="0" collapsed="false">
      <c r="A883" t="n" s="19">
        <f aca="0">IF(COUNTA(B883:J883)=0,"",ROW()-1)</f>
      </c>
      <c r="B883" s="24"/>
      <c r="C883" s="25"/>
      <c r="D883" s="8"/>
      <c r="E883" s="8"/>
      <c r="F883" s="26"/>
      <c r="G883" s="24"/>
      <c r="H883" s="25"/>
      <c r="I883" s="25"/>
      <c r="J883" s="26"/>
      <c r="K883" t="str" s="15">
        <f aca="0">IF(COUNTA(B883:J883)=0,"",IF(R883&lt;&gt;"","확인필요(입력누락)",IF(COUNTIFS(보유목록!$I$2:$I$3001,"*"&amp;P883&amp;"*",보유목록!$I$2:$I$3001,"*"&amp;Q883&amp;"*",보유목록!$H$2:$H$3001,O883)&gt;0,"있음",IF(COUNTIFS(보유목록!$I$2:$I$3001,"*"&amp;P883&amp;"*",보유목록!$I$2:$I$3001,"*"&amp;Q883&amp;"*")&gt;0,"확인필요(연도다름)",IF(COUNTIFS(보유목록!$I$2:$I$3001,"*"&amp;P883&amp;"*",보유목록!$H$2:$H$3001,O883)&gt;0,"확인필요(같은학교·같은연도)","없음")))))</f>
      </c>
      <c r="L883" t="str" s="16">
        <f aca="0">IF(OR(COUNTA(B883:J883)=0,R883&lt;&gt;""),"",COUNTIFS(보유목록!$I$2:$I$3001,"*"&amp;P883&amp;"*",보유목록!$I$2:$I$3001,"*"&amp;Q883&amp;"*"))</f>
      </c>
      <c r="M883" t="str" s="23">
        <f aca="0">IF(OR(COUNTA(B883:J883)=0,R883&lt;&gt;""),"",IFERROR(LOOKUP(2,1/(ISNUMBER(SEARCH(P883,보유목록!$I$2:$I$3001))*ISNUMBER(SEARCH(Q883,보유목록!$I$2:$I$3001))*(보유목록!$H$2:$H$3001=O883)),보유목록!$B$2:$B$3001),IFERROR(LOOKUP(2,1/(ISNUMBER(SEARCH(P883,보유목록!$I$2:$I$3001))*ISNUMBER(SEARCH(Q883,보유목록!$I$2:$I$3001))),보유목록!$B$2:$B$3001),"")))</f>
      </c>
      <c r="N883" s="25"/>
      <c r="O883" t="str">
        <f>IFERROR(IF(AND(LEN(SUBSTITUTE(SUBSTITUTE(SUBSTITUTE(TRIM(C883&amp;""),CHAR(160),"")," ",""),"년",""))=4,VALUE(SUBSTITUTE(SUBSTITUTE(SUBSTITUTE(TRIM(C883&amp;""),CHAR(160),"")," ",""),"년",""))&gt;=1900,VALUE(SUBSTITUTE(SUBSTITUTE(SUBSTITUTE(TRIM(C883&amp;""),CHAR(160),"")," ",""),"년",""))&lt;=2099,TEXT(VALUE(SUBSTITUTE(SUBSTITUTE(SUBSTITUTE(TRIM(C883&amp;""),CHAR(160),"")," ",""),"년","")),"0000")=SUBSTITUTE(SUBSTITUTE(SUBSTITUTE(TRIM(C883&amp;""),CHAR(160),"")," ",""),"년","")),SUBSTITUTE(SUBSTITUTE(SUBSTITUTE(TRIM(C883&amp;""),CHAR(160),"")," ",""),"년",""),""),"")</f>
      </c>
      <c r="P883" t="str">
        <f>SUBSTITUTE(SUBSTITUTE(SUBSTITUTE(SUBSTITUTE(SUBSTITUTE(SUBSTITUTE(SUBSTITUTE(SUBSTITUTE(TRIM(D883&amp;""),CHAR(160),"")," ",""),"초등학교","초"),"중학교","중"),"고등학교","고"),"~","~~"),"*","~*"),"?","~?")</f>
      </c>
      <c r="Q883" t="str">
        <f>SUBSTITUTE(SUBSTITUTE(SUBSTITUTE(SUBSTITUTE(SUBSTITUTE(SUBSTITUTE(SUBSTITUTE(SUBSTITUTE(TRIM(E883&amp;""),CHAR(160),"")," ",""),"초등학교","초"),"중학교","중"),"고등학교","고"),"~","~~"),"*","~*"),"?","~?")</f>
      </c>
      <c r="R883" t="str">
        <f>IF(COUNTA(B883:J883)=0,"",IF(AND(O883&lt;&gt;"",P883&lt;&gt;"",Q883&lt;&gt;""),"","입력누락"))</f>
      </c>
    </row>
    <row r="884" customFormat="false" ht="15" hidden="false" customHeight="false" outlineLevel="0" collapsed="false">
      <c r="A884" t="n" s="19">
        <f aca="0">IF(COUNTA(B884:J884)=0,"",ROW()-1)</f>
      </c>
      <c r="B884" s="24"/>
      <c r="C884" s="25"/>
      <c r="D884" s="8"/>
      <c r="E884" s="8"/>
      <c r="F884" s="26"/>
      <c r="G884" s="24"/>
      <c r="H884" s="25"/>
      <c r="I884" s="25"/>
      <c r="J884" s="26"/>
      <c r="K884" t="str" s="15">
        <f aca="0">IF(COUNTA(B884:J884)=0,"",IF(R884&lt;&gt;"","확인필요(입력누락)",IF(COUNTIFS(보유목록!$I$2:$I$3001,"*"&amp;P884&amp;"*",보유목록!$I$2:$I$3001,"*"&amp;Q884&amp;"*",보유목록!$H$2:$H$3001,O884)&gt;0,"있음",IF(COUNTIFS(보유목록!$I$2:$I$3001,"*"&amp;P884&amp;"*",보유목록!$I$2:$I$3001,"*"&amp;Q884&amp;"*")&gt;0,"확인필요(연도다름)",IF(COUNTIFS(보유목록!$I$2:$I$3001,"*"&amp;P884&amp;"*",보유목록!$H$2:$H$3001,O884)&gt;0,"확인필요(같은학교·같은연도)","없음")))))</f>
      </c>
      <c r="L884" t="str" s="16">
        <f aca="0">IF(OR(COUNTA(B884:J884)=0,R884&lt;&gt;""),"",COUNTIFS(보유목록!$I$2:$I$3001,"*"&amp;P884&amp;"*",보유목록!$I$2:$I$3001,"*"&amp;Q884&amp;"*"))</f>
      </c>
      <c r="M884" t="str" s="23">
        <f aca="0">IF(OR(COUNTA(B884:J884)=0,R884&lt;&gt;""),"",IFERROR(LOOKUP(2,1/(ISNUMBER(SEARCH(P884,보유목록!$I$2:$I$3001))*ISNUMBER(SEARCH(Q884,보유목록!$I$2:$I$3001))*(보유목록!$H$2:$H$3001=O884)),보유목록!$B$2:$B$3001),IFERROR(LOOKUP(2,1/(ISNUMBER(SEARCH(P884,보유목록!$I$2:$I$3001))*ISNUMBER(SEARCH(Q884,보유목록!$I$2:$I$3001))),보유목록!$B$2:$B$3001),"")))</f>
      </c>
      <c r="N884" s="25"/>
      <c r="O884" t="str">
        <f>IFERROR(IF(AND(LEN(SUBSTITUTE(SUBSTITUTE(SUBSTITUTE(TRIM(C884&amp;""),CHAR(160),"")," ",""),"년",""))=4,VALUE(SUBSTITUTE(SUBSTITUTE(SUBSTITUTE(TRIM(C884&amp;""),CHAR(160),"")," ",""),"년",""))&gt;=1900,VALUE(SUBSTITUTE(SUBSTITUTE(SUBSTITUTE(TRIM(C884&amp;""),CHAR(160),"")," ",""),"년",""))&lt;=2099,TEXT(VALUE(SUBSTITUTE(SUBSTITUTE(SUBSTITUTE(TRIM(C884&amp;""),CHAR(160),"")," ",""),"년","")),"0000")=SUBSTITUTE(SUBSTITUTE(SUBSTITUTE(TRIM(C884&amp;""),CHAR(160),"")," ",""),"년","")),SUBSTITUTE(SUBSTITUTE(SUBSTITUTE(TRIM(C884&amp;""),CHAR(160),"")," ",""),"년",""),""),"")</f>
      </c>
      <c r="P884" t="str">
        <f>SUBSTITUTE(SUBSTITUTE(SUBSTITUTE(SUBSTITUTE(SUBSTITUTE(SUBSTITUTE(SUBSTITUTE(SUBSTITUTE(TRIM(D884&amp;""),CHAR(160),"")," ",""),"초등학교","초"),"중학교","중"),"고등학교","고"),"~","~~"),"*","~*"),"?","~?")</f>
      </c>
      <c r="Q884" t="str">
        <f>SUBSTITUTE(SUBSTITUTE(SUBSTITUTE(SUBSTITUTE(SUBSTITUTE(SUBSTITUTE(SUBSTITUTE(SUBSTITUTE(TRIM(E884&amp;""),CHAR(160),"")," ",""),"초등학교","초"),"중학교","중"),"고등학교","고"),"~","~~"),"*","~*"),"?","~?")</f>
      </c>
      <c r="R884" t="str">
        <f>IF(COUNTA(B884:J884)=0,"",IF(AND(O884&lt;&gt;"",P884&lt;&gt;"",Q884&lt;&gt;""),"","입력누락"))</f>
      </c>
    </row>
    <row r="885" customFormat="false" ht="15" hidden="false" customHeight="false" outlineLevel="0" collapsed="false">
      <c r="A885" t="n" s="19">
        <f aca="0">IF(COUNTA(B885:J885)=0,"",ROW()-1)</f>
      </c>
      <c r="B885" s="24"/>
      <c r="C885" s="25"/>
      <c r="D885" s="8"/>
      <c r="E885" s="8"/>
      <c r="F885" s="26"/>
      <c r="G885" s="24"/>
      <c r="H885" s="25"/>
      <c r="I885" s="25"/>
      <c r="J885" s="26"/>
      <c r="K885" t="str" s="15">
        <f aca="0">IF(COUNTA(B885:J885)=0,"",IF(R885&lt;&gt;"","확인필요(입력누락)",IF(COUNTIFS(보유목록!$I$2:$I$3001,"*"&amp;P885&amp;"*",보유목록!$I$2:$I$3001,"*"&amp;Q885&amp;"*",보유목록!$H$2:$H$3001,O885)&gt;0,"있음",IF(COUNTIFS(보유목록!$I$2:$I$3001,"*"&amp;P885&amp;"*",보유목록!$I$2:$I$3001,"*"&amp;Q885&amp;"*")&gt;0,"확인필요(연도다름)",IF(COUNTIFS(보유목록!$I$2:$I$3001,"*"&amp;P885&amp;"*",보유목록!$H$2:$H$3001,O885)&gt;0,"확인필요(같은학교·같은연도)","없음")))))</f>
      </c>
      <c r="L885" t="str" s="16">
        <f aca="0">IF(OR(COUNTA(B885:J885)=0,R885&lt;&gt;""),"",COUNTIFS(보유목록!$I$2:$I$3001,"*"&amp;P885&amp;"*",보유목록!$I$2:$I$3001,"*"&amp;Q885&amp;"*"))</f>
      </c>
      <c r="M885" t="str" s="23">
        <f aca="0">IF(OR(COUNTA(B885:J885)=0,R885&lt;&gt;""),"",IFERROR(LOOKUP(2,1/(ISNUMBER(SEARCH(P885,보유목록!$I$2:$I$3001))*ISNUMBER(SEARCH(Q885,보유목록!$I$2:$I$3001))*(보유목록!$H$2:$H$3001=O885)),보유목록!$B$2:$B$3001),IFERROR(LOOKUP(2,1/(ISNUMBER(SEARCH(P885,보유목록!$I$2:$I$3001))*ISNUMBER(SEARCH(Q885,보유목록!$I$2:$I$3001))),보유목록!$B$2:$B$3001),"")))</f>
      </c>
      <c r="N885" s="25"/>
      <c r="O885" t="str">
        <f>IFERROR(IF(AND(LEN(SUBSTITUTE(SUBSTITUTE(SUBSTITUTE(TRIM(C885&amp;""),CHAR(160),"")," ",""),"년",""))=4,VALUE(SUBSTITUTE(SUBSTITUTE(SUBSTITUTE(TRIM(C885&amp;""),CHAR(160),"")," ",""),"년",""))&gt;=1900,VALUE(SUBSTITUTE(SUBSTITUTE(SUBSTITUTE(TRIM(C885&amp;""),CHAR(160),"")," ",""),"년",""))&lt;=2099,TEXT(VALUE(SUBSTITUTE(SUBSTITUTE(SUBSTITUTE(TRIM(C885&amp;""),CHAR(160),"")," ",""),"년","")),"0000")=SUBSTITUTE(SUBSTITUTE(SUBSTITUTE(TRIM(C885&amp;""),CHAR(160),"")," ",""),"년","")),SUBSTITUTE(SUBSTITUTE(SUBSTITUTE(TRIM(C885&amp;""),CHAR(160),"")," ",""),"년",""),""),"")</f>
      </c>
      <c r="P885" t="str">
        <f>SUBSTITUTE(SUBSTITUTE(SUBSTITUTE(SUBSTITUTE(SUBSTITUTE(SUBSTITUTE(SUBSTITUTE(SUBSTITUTE(TRIM(D885&amp;""),CHAR(160),"")," ",""),"초등학교","초"),"중학교","중"),"고등학교","고"),"~","~~"),"*","~*"),"?","~?")</f>
      </c>
      <c r="Q885" t="str">
        <f>SUBSTITUTE(SUBSTITUTE(SUBSTITUTE(SUBSTITUTE(SUBSTITUTE(SUBSTITUTE(SUBSTITUTE(SUBSTITUTE(TRIM(E885&amp;""),CHAR(160),"")," ",""),"초등학교","초"),"중학교","중"),"고등학교","고"),"~","~~"),"*","~*"),"?","~?")</f>
      </c>
      <c r="R885" t="str">
        <f>IF(COUNTA(B885:J885)=0,"",IF(AND(O885&lt;&gt;"",P885&lt;&gt;"",Q885&lt;&gt;""),"","입력누락"))</f>
      </c>
    </row>
    <row r="886" customFormat="false" ht="15" hidden="false" customHeight="false" outlineLevel="0" collapsed="false">
      <c r="A886" t="n" s="19">
        <f aca="0">IF(COUNTA(B886:J886)=0,"",ROW()-1)</f>
      </c>
      <c r="B886" s="24"/>
      <c r="C886" s="25"/>
      <c r="D886" s="8"/>
      <c r="E886" s="8"/>
      <c r="F886" s="26"/>
      <c r="G886" s="24"/>
      <c r="H886" s="25"/>
      <c r="I886" s="25"/>
      <c r="J886" s="26"/>
      <c r="K886" t="str" s="15">
        <f aca="0">IF(COUNTA(B886:J886)=0,"",IF(R886&lt;&gt;"","확인필요(입력누락)",IF(COUNTIFS(보유목록!$I$2:$I$3001,"*"&amp;P886&amp;"*",보유목록!$I$2:$I$3001,"*"&amp;Q886&amp;"*",보유목록!$H$2:$H$3001,O886)&gt;0,"있음",IF(COUNTIFS(보유목록!$I$2:$I$3001,"*"&amp;P886&amp;"*",보유목록!$I$2:$I$3001,"*"&amp;Q886&amp;"*")&gt;0,"확인필요(연도다름)",IF(COUNTIFS(보유목록!$I$2:$I$3001,"*"&amp;P886&amp;"*",보유목록!$H$2:$H$3001,O886)&gt;0,"확인필요(같은학교·같은연도)","없음")))))</f>
      </c>
      <c r="L886" t="str" s="16">
        <f aca="0">IF(OR(COUNTA(B886:J886)=0,R886&lt;&gt;""),"",COUNTIFS(보유목록!$I$2:$I$3001,"*"&amp;P886&amp;"*",보유목록!$I$2:$I$3001,"*"&amp;Q886&amp;"*"))</f>
      </c>
      <c r="M886" t="str" s="23">
        <f aca="0">IF(OR(COUNTA(B886:J886)=0,R886&lt;&gt;""),"",IFERROR(LOOKUP(2,1/(ISNUMBER(SEARCH(P886,보유목록!$I$2:$I$3001))*ISNUMBER(SEARCH(Q886,보유목록!$I$2:$I$3001))*(보유목록!$H$2:$H$3001=O886)),보유목록!$B$2:$B$3001),IFERROR(LOOKUP(2,1/(ISNUMBER(SEARCH(P886,보유목록!$I$2:$I$3001))*ISNUMBER(SEARCH(Q886,보유목록!$I$2:$I$3001))),보유목록!$B$2:$B$3001),"")))</f>
      </c>
      <c r="N886" s="25"/>
      <c r="O886" t="str">
        <f>IFERROR(IF(AND(LEN(SUBSTITUTE(SUBSTITUTE(SUBSTITUTE(TRIM(C886&amp;""),CHAR(160),"")," ",""),"년",""))=4,VALUE(SUBSTITUTE(SUBSTITUTE(SUBSTITUTE(TRIM(C886&amp;""),CHAR(160),"")," ",""),"년",""))&gt;=1900,VALUE(SUBSTITUTE(SUBSTITUTE(SUBSTITUTE(TRIM(C886&amp;""),CHAR(160),"")," ",""),"년",""))&lt;=2099,TEXT(VALUE(SUBSTITUTE(SUBSTITUTE(SUBSTITUTE(TRIM(C886&amp;""),CHAR(160),"")," ",""),"년","")),"0000")=SUBSTITUTE(SUBSTITUTE(SUBSTITUTE(TRIM(C886&amp;""),CHAR(160),"")," ",""),"년","")),SUBSTITUTE(SUBSTITUTE(SUBSTITUTE(TRIM(C886&amp;""),CHAR(160),"")," ",""),"년",""),""),"")</f>
      </c>
      <c r="P886" t="str">
        <f>SUBSTITUTE(SUBSTITUTE(SUBSTITUTE(SUBSTITUTE(SUBSTITUTE(SUBSTITUTE(SUBSTITUTE(SUBSTITUTE(TRIM(D886&amp;""),CHAR(160),"")," ",""),"초등학교","초"),"중학교","중"),"고등학교","고"),"~","~~"),"*","~*"),"?","~?")</f>
      </c>
      <c r="Q886" t="str">
        <f>SUBSTITUTE(SUBSTITUTE(SUBSTITUTE(SUBSTITUTE(SUBSTITUTE(SUBSTITUTE(SUBSTITUTE(SUBSTITUTE(TRIM(E886&amp;""),CHAR(160),"")," ",""),"초등학교","초"),"중학교","중"),"고등학교","고"),"~","~~"),"*","~*"),"?","~?")</f>
      </c>
      <c r="R886" t="str">
        <f>IF(COUNTA(B886:J886)=0,"",IF(AND(O886&lt;&gt;"",P886&lt;&gt;"",Q886&lt;&gt;""),"","입력누락"))</f>
      </c>
    </row>
    <row r="887" customFormat="false" ht="15" hidden="false" customHeight="false" outlineLevel="0" collapsed="false">
      <c r="A887" t="n" s="19">
        <f aca="0">IF(COUNTA(B887:J887)=0,"",ROW()-1)</f>
      </c>
      <c r="B887" s="24"/>
      <c r="C887" s="25"/>
      <c r="D887" s="8"/>
      <c r="E887" s="8"/>
      <c r="F887" s="26"/>
      <c r="G887" s="24"/>
      <c r="H887" s="25"/>
      <c r="I887" s="25"/>
      <c r="J887" s="26"/>
      <c r="K887" t="str" s="15">
        <f aca="0">IF(COUNTA(B887:J887)=0,"",IF(R887&lt;&gt;"","확인필요(입력누락)",IF(COUNTIFS(보유목록!$I$2:$I$3001,"*"&amp;P887&amp;"*",보유목록!$I$2:$I$3001,"*"&amp;Q887&amp;"*",보유목록!$H$2:$H$3001,O887)&gt;0,"있음",IF(COUNTIFS(보유목록!$I$2:$I$3001,"*"&amp;P887&amp;"*",보유목록!$I$2:$I$3001,"*"&amp;Q887&amp;"*")&gt;0,"확인필요(연도다름)",IF(COUNTIFS(보유목록!$I$2:$I$3001,"*"&amp;P887&amp;"*",보유목록!$H$2:$H$3001,O887)&gt;0,"확인필요(같은학교·같은연도)","없음")))))</f>
      </c>
      <c r="L887" t="str" s="16">
        <f aca="0">IF(OR(COUNTA(B887:J887)=0,R887&lt;&gt;""),"",COUNTIFS(보유목록!$I$2:$I$3001,"*"&amp;P887&amp;"*",보유목록!$I$2:$I$3001,"*"&amp;Q887&amp;"*"))</f>
      </c>
      <c r="M887" t="str" s="23">
        <f aca="0">IF(OR(COUNTA(B887:J887)=0,R887&lt;&gt;""),"",IFERROR(LOOKUP(2,1/(ISNUMBER(SEARCH(P887,보유목록!$I$2:$I$3001))*ISNUMBER(SEARCH(Q887,보유목록!$I$2:$I$3001))*(보유목록!$H$2:$H$3001=O887)),보유목록!$B$2:$B$3001),IFERROR(LOOKUP(2,1/(ISNUMBER(SEARCH(P887,보유목록!$I$2:$I$3001))*ISNUMBER(SEARCH(Q887,보유목록!$I$2:$I$3001))),보유목록!$B$2:$B$3001),"")))</f>
      </c>
      <c r="N887" s="25"/>
      <c r="O887" t="str">
        <f>IFERROR(IF(AND(LEN(SUBSTITUTE(SUBSTITUTE(SUBSTITUTE(TRIM(C887&amp;""),CHAR(160),"")," ",""),"년",""))=4,VALUE(SUBSTITUTE(SUBSTITUTE(SUBSTITUTE(TRIM(C887&amp;""),CHAR(160),"")," ",""),"년",""))&gt;=1900,VALUE(SUBSTITUTE(SUBSTITUTE(SUBSTITUTE(TRIM(C887&amp;""),CHAR(160),"")," ",""),"년",""))&lt;=2099,TEXT(VALUE(SUBSTITUTE(SUBSTITUTE(SUBSTITUTE(TRIM(C887&amp;""),CHAR(160),"")," ",""),"년","")),"0000")=SUBSTITUTE(SUBSTITUTE(SUBSTITUTE(TRIM(C887&amp;""),CHAR(160),"")," ",""),"년","")),SUBSTITUTE(SUBSTITUTE(SUBSTITUTE(TRIM(C887&amp;""),CHAR(160),"")," ",""),"년",""),""),"")</f>
      </c>
      <c r="P887" t="str">
        <f>SUBSTITUTE(SUBSTITUTE(SUBSTITUTE(SUBSTITUTE(SUBSTITUTE(SUBSTITUTE(SUBSTITUTE(SUBSTITUTE(TRIM(D887&amp;""),CHAR(160),"")," ",""),"초등학교","초"),"중학교","중"),"고등학교","고"),"~","~~"),"*","~*"),"?","~?")</f>
      </c>
      <c r="Q887" t="str">
        <f>SUBSTITUTE(SUBSTITUTE(SUBSTITUTE(SUBSTITUTE(SUBSTITUTE(SUBSTITUTE(SUBSTITUTE(SUBSTITUTE(TRIM(E887&amp;""),CHAR(160),"")," ",""),"초등학교","초"),"중학교","중"),"고등학교","고"),"~","~~"),"*","~*"),"?","~?")</f>
      </c>
      <c r="R887" t="str">
        <f>IF(COUNTA(B887:J887)=0,"",IF(AND(O887&lt;&gt;"",P887&lt;&gt;"",Q887&lt;&gt;""),"","입력누락"))</f>
      </c>
    </row>
    <row r="888" customFormat="false" ht="15" hidden="false" customHeight="false" outlineLevel="0" collapsed="false">
      <c r="A888" t="n" s="19">
        <f aca="0">IF(COUNTA(B888:J888)=0,"",ROW()-1)</f>
      </c>
      <c r="B888" s="24"/>
      <c r="C888" s="25"/>
      <c r="D888" s="8"/>
      <c r="E888" s="8"/>
      <c r="F888" s="26"/>
      <c r="G888" s="24"/>
      <c r="H888" s="25"/>
      <c r="I888" s="25"/>
      <c r="J888" s="26"/>
      <c r="K888" t="str" s="15">
        <f aca="0">IF(COUNTA(B888:J888)=0,"",IF(R888&lt;&gt;"","확인필요(입력누락)",IF(COUNTIFS(보유목록!$I$2:$I$3001,"*"&amp;P888&amp;"*",보유목록!$I$2:$I$3001,"*"&amp;Q888&amp;"*",보유목록!$H$2:$H$3001,O888)&gt;0,"있음",IF(COUNTIFS(보유목록!$I$2:$I$3001,"*"&amp;P888&amp;"*",보유목록!$I$2:$I$3001,"*"&amp;Q888&amp;"*")&gt;0,"확인필요(연도다름)",IF(COUNTIFS(보유목록!$I$2:$I$3001,"*"&amp;P888&amp;"*",보유목록!$H$2:$H$3001,O888)&gt;0,"확인필요(같은학교·같은연도)","없음")))))</f>
      </c>
      <c r="L888" t="str" s="16">
        <f aca="0">IF(OR(COUNTA(B888:J888)=0,R888&lt;&gt;""),"",COUNTIFS(보유목록!$I$2:$I$3001,"*"&amp;P888&amp;"*",보유목록!$I$2:$I$3001,"*"&amp;Q888&amp;"*"))</f>
      </c>
      <c r="M888" t="str" s="23">
        <f aca="0">IF(OR(COUNTA(B888:J888)=0,R888&lt;&gt;""),"",IFERROR(LOOKUP(2,1/(ISNUMBER(SEARCH(P888,보유목록!$I$2:$I$3001))*ISNUMBER(SEARCH(Q888,보유목록!$I$2:$I$3001))*(보유목록!$H$2:$H$3001=O888)),보유목록!$B$2:$B$3001),IFERROR(LOOKUP(2,1/(ISNUMBER(SEARCH(P888,보유목록!$I$2:$I$3001))*ISNUMBER(SEARCH(Q888,보유목록!$I$2:$I$3001))),보유목록!$B$2:$B$3001),"")))</f>
      </c>
      <c r="N888" s="25"/>
      <c r="O888" t="str">
        <f>IFERROR(IF(AND(LEN(SUBSTITUTE(SUBSTITUTE(SUBSTITUTE(TRIM(C888&amp;""),CHAR(160),"")," ",""),"년",""))=4,VALUE(SUBSTITUTE(SUBSTITUTE(SUBSTITUTE(TRIM(C888&amp;""),CHAR(160),"")," ",""),"년",""))&gt;=1900,VALUE(SUBSTITUTE(SUBSTITUTE(SUBSTITUTE(TRIM(C888&amp;""),CHAR(160),"")," ",""),"년",""))&lt;=2099,TEXT(VALUE(SUBSTITUTE(SUBSTITUTE(SUBSTITUTE(TRIM(C888&amp;""),CHAR(160),"")," ",""),"년","")),"0000")=SUBSTITUTE(SUBSTITUTE(SUBSTITUTE(TRIM(C888&amp;""),CHAR(160),"")," ",""),"년","")),SUBSTITUTE(SUBSTITUTE(SUBSTITUTE(TRIM(C888&amp;""),CHAR(160),"")," ",""),"년",""),""),"")</f>
      </c>
      <c r="P888" t="str">
        <f>SUBSTITUTE(SUBSTITUTE(SUBSTITUTE(SUBSTITUTE(SUBSTITUTE(SUBSTITUTE(SUBSTITUTE(SUBSTITUTE(TRIM(D888&amp;""),CHAR(160),"")," ",""),"초등학교","초"),"중학교","중"),"고등학교","고"),"~","~~"),"*","~*"),"?","~?")</f>
      </c>
      <c r="Q888" t="str">
        <f>SUBSTITUTE(SUBSTITUTE(SUBSTITUTE(SUBSTITUTE(SUBSTITUTE(SUBSTITUTE(SUBSTITUTE(SUBSTITUTE(TRIM(E888&amp;""),CHAR(160),"")," ",""),"초등학교","초"),"중학교","중"),"고등학교","고"),"~","~~"),"*","~*"),"?","~?")</f>
      </c>
      <c r="R888" t="str">
        <f>IF(COUNTA(B888:J888)=0,"",IF(AND(O888&lt;&gt;"",P888&lt;&gt;"",Q888&lt;&gt;""),"","입력누락"))</f>
      </c>
    </row>
    <row r="889" customFormat="false" ht="15" hidden="false" customHeight="false" outlineLevel="0" collapsed="false">
      <c r="A889" t="n" s="19">
        <f aca="0">IF(COUNTA(B889:J889)=0,"",ROW()-1)</f>
      </c>
      <c r="B889" s="24"/>
      <c r="C889" s="25"/>
      <c r="D889" s="8"/>
      <c r="E889" s="8"/>
      <c r="F889" s="26"/>
      <c r="G889" s="24"/>
      <c r="H889" s="25"/>
      <c r="I889" s="25"/>
      <c r="J889" s="26"/>
      <c r="K889" t="str" s="15">
        <f aca="0">IF(COUNTA(B889:J889)=0,"",IF(R889&lt;&gt;"","확인필요(입력누락)",IF(COUNTIFS(보유목록!$I$2:$I$3001,"*"&amp;P889&amp;"*",보유목록!$I$2:$I$3001,"*"&amp;Q889&amp;"*",보유목록!$H$2:$H$3001,O889)&gt;0,"있음",IF(COUNTIFS(보유목록!$I$2:$I$3001,"*"&amp;P889&amp;"*",보유목록!$I$2:$I$3001,"*"&amp;Q889&amp;"*")&gt;0,"확인필요(연도다름)",IF(COUNTIFS(보유목록!$I$2:$I$3001,"*"&amp;P889&amp;"*",보유목록!$H$2:$H$3001,O889)&gt;0,"확인필요(같은학교·같은연도)","없음")))))</f>
      </c>
      <c r="L889" t="str" s="16">
        <f aca="0">IF(OR(COUNTA(B889:J889)=0,R889&lt;&gt;""),"",COUNTIFS(보유목록!$I$2:$I$3001,"*"&amp;P889&amp;"*",보유목록!$I$2:$I$3001,"*"&amp;Q889&amp;"*"))</f>
      </c>
      <c r="M889" t="str" s="23">
        <f aca="0">IF(OR(COUNTA(B889:J889)=0,R889&lt;&gt;""),"",IFERROR(LOOKUP(2,1/(ISNUMBER(SEARCH(P889,보유목록!$I$2:$I$3001))*ISNUMBER(SEARCH(Q889,보유목록!$I$2:$I$3001))*(보유목록!$H$2:$H$3001=O889)),보유목록!$B$2:$B$3001),IFERROR(LOOKUP(2,1/(ISNUMBER(SEARCH(P889,보유목록!$I$2:$I$3001))*ISNUMBER(SEARCH(Q889,보유목록!$I$2:$I$3001))),보유목록!$B$2:$B$3001),"")))</f>
      </c>
      <c r="N889" s="25"/>
      <c r="O889" t="str">
        <f>IFERROR(IF(AND(LEN(SUBSTITUTE(SUBSTITUTE(SUBSTITUTE(TRIM(C889&amp;""),CHAR(160),"")," ",""),"년",""))=4,VALUE(SUBSTITUTE(SUBSTITUTE(SUBSTITUTE(TRIM(C889&amp;""),CHAR(160),"")," ",""),"년",""))&gt;=1900,VALUE(SUBSTITUTE(SUBSTITUTE(SUBSTITUTE(TRIM(C889&amp;""),CHAR(160),"")," ",""),"년",""))&lt;=2099,TEXT(VALUE(SUBSTITUTE(SUBSTITUTE(SUBSTITUTE(TRIM(C889&amp;""),CHAR(160),"")," ",""),"년","")),"0000")=SUBSTITUTE(SUBSTITUTE(SUBSTITUTE(TRIM(C889&amp;""),CHAR(160),"")," ",""),"년","")),SUBSTITUTE(SUBSTITUTE(SUBSTITUTE(TRIM(C889&amp;""),CHAR(160),"")," ",""),"년",""),""),"")</f>
      </c>
      <c r="P889" t="str">
        <f>SUBSTITUTE(SUBSTITUTE(SUBSTITUTE(SUBSTITUTE(SUBSTITUTE(SUBSTITUTE(SUBSTITUTE(SUBSTITUTE(TRIM(D889&amp;""),CHAR(160),"")," ",""),"초등학교","초"),"중학교","중"),"고등학교","고"),"~","~~"),"*","~*"),"?","~?")</f>
      </c>
      <c r="Q889" t="str">
        <f>SUBSTITUTE(SUBSTITUTE(SUBSTITUTE(SUBSTITUTE(SUBSTITUTE(SUBSTITUTE(SUBSTITUTE(SUBSTITUTE(TRIM(E889&amp;""),CHAR(160),"")," ",""),"초등학교","초"),"중학교","중"),"고등학교","고"),"~","~~"),"*","~*"),"?","~?")</f>
      </c>
      <c r="R889" t="str">
        <f>IF(COUNTA(B889:J889)=0,"",IF(AND(O889&lt;&gt;"",P889&lt;&gt;"",Q889&lt;&gt;""),"","입력누락"))</f>
      </c>
    </row>
    <row r="890" customFormat="false" ht="15" hidden="false" customHeight="false" outlineLevel="0" collapsed="false">
      <c r="A890" t="n" s="19">
        <f aca="0">IF(COUNTA(B890:J890)=0,"",ROW()-1)</f>
      </c>
      <c r="B890" s="24"/>
      <c r="C890" s="25"/>
      <c r="D890" s="8"/>
      <c r="E890" s="8"/>
      <c r="F890" s="26"/>
      <c r="G890" s="24"/>
      <c r="H890" s="25"/>
      <c r="I890" s="25"/>
      <c r="J890" s="26"/>
      <c r="K890" t="str" s="15">
        <f aca="0">IF(COUNTA(B890:J890)=0,"",IF(R890&lt;&gt;"","확인필요(입력누락)",IF(COUNTIFS(보유목록!$I$2:$I$3001,"*"&amp;P890&amp;"*",보유목록!$I$2:$I$3001,"*"&amp;Q890&amp;"*",보유목록!$H$2:$H$3001,O890)&gt;0,"있음",IF(COUNTIFS(보유목록!$I$2:$I$3001,"*"&amp;P890&amp;"*",보유목록!$I$2:$I$3001,"*"&amp;Q890&amp;"*")&gt;0,"확인필요(연도다름)",IF(COUNTIFS(보유목록!$I$2:$I$3001,"*"&amp;P890&amp;"*",보유목록!$H$2:$H$3001,O890)&gt;0,"확인필요(같은학교·같은연도)","없음")))))</f>
      </c>
      <c r="L890" t="str" s="16">
        <f aca="0">IF(OR(COUNTA(B890:J890)=0,R890&lt;&gt;""),"",COUNTIFS(보유목록!$I$2:$I$3001,"*"&amp;P890&amp;"*",보유목록!$I$2:$I$3001,"*"&amp;Q890&amp;"*"))</f>
      </c>
      <c r="M890" t="str" s="23">
        <f aca="0">IF(OR(COUNTA(B890:J890)=0,R890&lt;&gt;""),"",IFERROR(LOOKUP(2,1/(ISNUMBER(SEARCH(P890,보유목록!$I$2:$I$3001))*ISNUMBER(SEARCH(Q890,보유목록!$I$2:$I$3001))*(보유목록!$H$2:$H$3001=O890)),보유목록!$B$2:$B$3001),IFERROR(LOOKUP(2,1/(ISNUMBER(SEARCH(P890,보유목록!$I$2:$I$3001))*ISNUMBER(SEARCH(Q890,보유목록!$I$2:$I$3001))),보유목록!$B$2:$B$3001),"")))</f>
      </c>
      <c r="N890" s="25"/>
      <c r="O890" t="str">
        <f>IFERROR(IF(AND(LEN(SUBSTITUTE(SUBSTITUTE(SUBSTITUTE(TRIM(C890&amp;""),CHAR(160),"")," ",""),"년",""))=4,VALUE(SUBSTITUTE(SUBSTITUTE(SUBSTITUTE(TRIM(C890&amp;""),CHAR(160),"")," ",""),"년",""))&gt;=1900,VALUE(SUBSTITUTE(SUBSTITUTE(SUBSTITUTE(TRIM(C890&amp;""),CHAR(160),"")," ",""),"년",""))&lt;=2099,TEXT(VALUE(SUBSTITUTE(SUBSTITUTE(SUBSTITUTE(TRIM(C890&amp;""),CHAR(160),"")," ",""),"년","")),"0000")=SUBSTITUTE(SUBSTITUTE(SUBSTITUTE(TRIM(C890&amp;""),CHAR(160),"")," ",""),"년","")),SUBSTITUTE(SUBSTITUTE(SUBSTITUTE(TRIM(C890&amp;""),CHAR(160),"")," ",""),"년",""),""),"")</f>
      </c>
      <c r="P890" t="str">
        <f>SUBSTITUTE(SUBSTITUTE(SUBSTITUTE(SUBSTITUTE(SUBSTITUTE(SUBSTITUTE(SUBSTITUTE(SUBSTITUTE(TRIM(D890&amp;""),CHAR(160),"")," ",""),"초등학교","초"),"중학교","중"),"고등학교","고"),"~","~~"),"*","~*"),"?","~?")</f>
      </c>
      <c r="Q890" t="str">
        <f>SUBSTITUTE(SUBSTITUTE(SUBSTITUTE(SUBSTITUTE(SUBSTITUTE(SUBSTITUTE(SUBSTITUTE(SUBSTITUTE(TRIM(E890&amp;""),CHAR(160),"")," ",""),"초등학교","초"),"중학교","중"),"고등학교","고"),"~","~~"),"*","~*"),"?","~?")</f>
      </c>
      <c r="R890" t="str">
        <f>IF(COUNTA(B890:J890)=0,"",IF(AND(O890&lt;&gt;"",P890&lt;&gt;"",Q890&lt;&gt;""),"","입력누락"))</f>
      </c>
    </row>
    <row r="891" customFormat="false" ht="15" hidden="false" customHeight="false" outlineLevel="0" collapsed="false">
      <c r="A891" t="n" s="19">
        <f aca="0">IF(COUNTA(B891:J891)=0,"",ROW()-1)</f>
      </c>
      <c r="B891" s="24"/>
      <c r="C891" s="25"/>
      <c r="D891" s="8"/>
      <c r="E891" s="8"/>
      <c r="F891" s="26"/>
      <c r="G891" s="24"/>
      <c r="H891" s="25"/>
      <c r="I891" s="25"/>
      <c r="J891" s="26"/>
      <c r="K891" t="str" s="15">
        <f aca="0">IF(COUNTA(B891:J891)=0,"",IF(R891&lt;&gt;"","확인필요(입력누락)",IF(COUNTIFS(보유목록!$I$2:$I$3001,"*"&amp;P891&amp;"*",보유목록!$I$2:$I$3001,"*"&amp;Q891&amp;"*",보유목록!$H$2:$H$3001,O891)&gt;0,"있음",IF(COUNTIFS(보유목록!$I$2:$I$3001,"*"&amp;P891&amp;"*",보유목록!$I$2:$I$3001,"*"&amp;Q891&amp;"*")&gt;0,"확인필요(연도다름)",IF(COUNTIFS(보유목록!$I$2:$I$3001,"*"&amp;P891&amp;"*",보유목록!$H$2:$H$3001,O891)&gt;0,"확인필요(같은학교·같은연도)","없음")))))</f>
      </c>
      <c r="L891" t="str" s="16">
        <f aca="0">IF(OR(COUNTA(B891:J891)=0,R891&lt;&gt;""),"",COUNTIFS(보유목록!$I$2:$I$3001,"*"&amp;P891&amp;"*",보유목록!$I$2:$I$3001,"*"&amp;Q891&amp;"*"))</f>
      </c>
      <c r="M891" t="str" s="23">
        <f aca="0">IF(OR(COUNTA(B891:J891)=0,R891&lt;&gt;""),"",IFERROR(LOOKUP(2,1/(ISNUMBER(SEARCH(P891,보유목록!$I$2:$I$3001))*ISNUMBER(SEARCH(Q891,보유목록!$I$2:$I$3001))*(보유목록!$H$2:$H$3001=O891)),보유목록!$B$2:$B$3001),IFERROR(LOOKUP(2,1/(ISNUMBER(SEARCH(P891,보유목록!$I$2:$I$3001))*ISNUMBER(SEARCH(Q891,보유목록!$I$2:$I$3001))),보유목록!$B$2:$B$3001),"")))</f>
      </c>
      <c r="N891" s="25"/>
      <c r="O891" t="str">
        <f>IFERROR(IF(AND(LEN(SUBSTITUTE(SUBSTITUTE(SUBSTITUTE(TRIM(C891&amp;""),CHAR(160),"")," ",""),"년",""))=4,VALUE(SUBSTITUTE(SUBSTITUTE(SUBSTITUTE(TRIM(C891&amp;""),CHAR(160),"")," ",""),"년",""))&gt;=1900,VALUE(SUBSTITUTE(SUBSTITUTE(SUBSTITUTE(TRIM(C891&amp;""),CHAR(160),"")," ",""),"년",""))&lt;=2099,TEXT(VALUE(SUBSTITUTE(SUBSTITUTE(SUBSTITUTE(TRIM(C891&amp;""),CHAR(160),"")," ",""),"년","")),"0000")=SUBSTITUTE(SUBSTITUTE(SUBSTITUTE(TRIM(C891&amp;""),CHAR(160),"")," ",""),"년","")),SUBSTITUTE(SUBSTITUTE(SUBSTITUTE(TRIM(C891&amp;""),CHAR(160),"")," ",""),"년",""),""),"")</f>
      </c>
      <c r="P891" t="str">
        <f>SUBSTITUTE(SUBSTITUTE(SUBSTITUTE(SUBSTITUTE(SUBSTITUTE(SUBSTITUTE(SUBSTITUTE(SUBSTITUTE(TRIM(D891&amp;""),CHAR(160),"")," ",""),"초등학교","초"),"중학교","중"),"고등학교","고"),"~","~~"),"*","~*"),"?","~?")</f>
      </c>
      <c r="Q891" t="str">
        <f>SUBSTITUTE(SUBSTITUTE(SUBSTITUTE(SUBSTITUTE(SUBSTITUTE(SUBSTITUTE(SUBSTITUTE(SUBSTITUTE(TRIM(E891&amp;""),CHAR(160),"")," ",""),"초등학교","초"),"중학교","중"),"고등학교","고"),"~","~~"),"*","~*"),"?","~?")</f>
      </c>
      <c r="R891" t="str">
        <f>IF(COUNTA(B891:J891)=0,"",IF(AND(O891&lt;&gt;"",P891&lt;&gt;"",Q891&lt;&gt;""),"","입력누락"))</f>
      </c>
    </row>
    <row r="892" customFormat="false" ht="15" hidden="false" customHeight="false" outlineLevel="0" collapsed="false">
      <c r="A892" t="n" s="19">
        <f aca="0">IF(COUNTA(B892:J892)=0,"",ROW()-1)</f>
      </c>
      <c r="B892" s="24"/>
      <c r="C892" s="25"/>
      <c r="D892" s="8"/>
      <c r="E892" s="8"/>
      <c r="F892" s="26"/>
      <c r="G892" s="24"/>
      <c r="H892" s="25"/>
      <c r="I892" s="25"/>
      <c r="J892" s="26"/>
      <c r="K892" t="str" s="15">
        <f aca="0">IF(COUNTA(B892:J892)=0,"",IF(R892&lt;&gt;"","확인필요(입력누락)",IF(COUNTIFS(보유목록!$I$2:$I$3001,"*"&amp;P892&amp;"*",보유목록!$I$2:$I$3001,"*"&amp;Q892&amp;"*",보유목록!$H$2:$H$3001,O892)&gt;0,"있음",IF(COUNTIFS(보유목록!$I$2:$I$3001,"*"&amp;P892&amp;"*",보유목록!$I$2:$I$3001,"*"&amp;Q892&amp;"*")&gt;0,"확인필요(연도다름)",IF(COUNTIFS(보유목록!$I$2:$I$3001,"*"&amp;P892&amp;"*",보유목록!$H$2:$H$3001,O892)&gt;0,"확인필요(같은학교·같은연도)","없음")))))</f>
      </c>
      <c r="L892" t="str" s="16">
        <f aca="0">IF(OR(COUNTA(B892:J892)=0,R892&lt;&gt;""),"",COUNTIFS(보유목록!$I$2:$I$3001,"*"&amp;P892&amp;"*",보유목록!$I$2:$I$3001,"*"&amp;Q892&amp;"*"))</f>
      </c>
      <c r="M892" t="str" s="23">
        <f aca="0">IF(OR(COUNTA(B892:J892)=0,R892&lt;&gt;""),"",IFERROR(LOOKUP(2,1/(ISNUMBER(SEARCH(P892,보유목록!$I$2:$I$3001))*ISNUMBER(SEARCH(Q892,보유목록!$I$2:$I$3001))*(보유목록!$H$2:$H$3001=O892)),보유목록!$B$2:$B$3001),IFERROR(LOOKUP(2,1/(ISNUMBER(SEARCH(P892,보유목록!$I$2:$I$3001))*ISNUMBER(SEARCH(Q892,보유목록!$I$2:$I$3001))),보유목록!$B$2:$B$3001),"")))</f>
      </c>
      <c r="N892" s="25"/>
      <c r="O892" t="str">
        <f>IFERROR(IF(AND(LEN(SUBSTITUTE(SUBSTITUTE(SUBSTITUTE(TRIM(C892&amp;""),CHAR(160),"")," ",""),"년",""))=4,VALUE(SUBSTITUTE(SUBSTITUTE(SUBSTITUTE(TRIM(C892&amp;""),CHAR(160),"")," ",""),"년",""))&gt;=1900,VALUE(SUBSTITUTE(SUBSTITUTE(SUBSTITUTE(TRIM(C892&amp;""),CHAR(160),"")," ",""),"년",""))&lt;=2099,TEXT(VALUE(SUBSTITUTE(SUBSTITUTE(SUBSTITUTE(TRIM(C892&amp;""),CHAR(160),"")," ",""),"년","")),"0000")=SUBSTITUTE(SUBSTITUTE(SUBSTITUTE(TRIM(C892&amp;""),CHAR(160),"")," ",""),"년","")),SUBSTITUTE(SUBSTITUTE(SUBSTITUTE(TRIM(C892&amp;""),CHAR(160),"")," ",""),"년",""),""),"")</f>
      </c>
      <c r="P892" t="str">
        <f>SUBSTITUTE(SUBSTITUTE(SUBSTITUTE(SUBSTITUTE(SUBSTITUTE(SUBSTITUTE(SUBSTITUTE(SUBSTITUTE(TRIM(D892&amp;""),CHAR(160),"")," ",""),"초등학교","초"),"중학교","중"),"고등학교","고"),"~","~~"),"*","~*"),"?","~?")</f>
      </c>
      <c r="Q892" t="str">
        <f>SUBSTITUTE(SUBSTITUTE(SUBSTITUTE(SUBSTITUTE(SUBSTITUTE(SUBSTITUTE(SUBSTITUTE(SUBSTITUTE(TRIM(E892&amp;""),CHAR(160),"")," ",""),"초등학교","초"),"중학교","중"),"고등학교","고"),"~","~~"),"*","~*"),"?","~?")</f>
      </c>
      <c r="R892" t="str">
        <f>IF(COUNTA(B892:J892)=0,"",IF(AND(O892&lt;&gt;"",P892&lt;&gt;"",Q892&lt;&gt;""),"","입력누락"))</f>
      </c>
    </row>
    <row r="893" customFormat="false" ht="15" hidden="false" customHeight="false" outlineLevel="0" collapsed="false">
      <c r="A893" t="n" s="19">
        <f aca="0">IF(COUNTA(B893:J893)=0,"",ROW()-1)</f>
      </c>
      <c r="B893" s="24"/>
      <c r="C893" s="25"/>
      <c r="D893" s="8"/>
      <c r="E893" s="8"/>
      <c r="F893" s="26"/>
      <c r="G893" s="24"/>
      <c r="H893" s="25"/>
      <c r="I893" s="25"/>
      <c r="J893" s="26"/>
      <c r="K893" t="str" s="15">
        <f aca="0">IF(COUNTA(B893:J893)=0,"",IF(R893&lt;&gt;"","확인필요(입력누락)",IF(COUNTIFS(보유목록!$I$2:$I$3001,"*"&amp;P893&amp;"*",보유목록!$I$2:$I$3001,"*"&amp;Q893&amp;"*",보유목록!$H$2:$H$3001,O893)&gt;0,"있음",IF(COUNTIFS(보유목록!$I$2:$I$3001,"*"&amp;P893&amp;"*",보유목록!$I$2:$I$3001,"*"&amp;Q893&amp;"*")&gt;0,"확인필요(연도다름)",IF(COUNTIFS(보유목록!$I$2:$I$3001,"*"&amp;P893&amp;"*",보유목록!$H$2:$H$3001,O893)&gt;0,"확인필요(같은학교·같은연도)","없음")))))</f>
      </c>
      <c r="L893" t="str" s="16">
        <f aca="0">IF(OR(COUNTA(B893:J893)=0,R893&lt;&gt;""),"",COUNTIFS(보유목록!$I$2:$I$3001,"*"&amp;P893&amp;"*",보유목록!$I$2:$I$3001,"*"&amp;Q893&amp;"*"))</f>
      </c>
      <c r="M893" t="str" s="23">
        <f aca="0">IF(OR(COUNTA(B893:J893)=0,R893&lt;&gt;""),"",IFERROR(LOOKUP(2,1/(ISNUMBER(SEARCH(P893,보유목록!$I$2:$I$3001))*ISNUMBER(SEARCH(Q893,보유목록!$I$2:$I$3001))*(보유목록!$H$2:$H$3001=O893)),보유목록!$B$2:$B$3001),IFERROR(LOOKUP(2,1/(ISNUMBER(SEARCH(P893,보유목록!$I$2:$I$3001))*ISNUMBER(SEARCH(Q893,보유목록!$I$2:$I$3001))),보유목록!$B$2:$B$3001),"")))</f>
      </c>
      <c r="N893" s="25"/>
      <c r="O893" t="str">
        <f>IFERROR(IF(AND(LEN(SUBSTITUTE(SUBSTITUTE(SUBSTITUTE(TRIM(C893&amp;""),CHAR(160),"")," ",""),"년",""))=4,VALUE(SUBSTITUTE(SUBSTITUTE(SUBSTITUTE(TRIM(C893&amp;""),CHAR(160),"")," ",""),"년",""))&gt;=1900,VALUE(SUBSTITUTE(SUBSTITUTE(SUBSTITUTE(TRIM(C893&amp;""),CHAR(160),"")," ",""),"년",""))&lt;=2099,TEXT(VALUE(SUBSTITUTE(SUBSTITUTE(SUBSTITUTE(TRIM(C893&amp;""),CHAR(160),"")," ",""),"년","")),"0000")=SUBSTITUTE(SUBSTITUTE(SUBSTITUTE(TRIM(C893&amp;""),CHAR(160),"")," ",""),"년","")),SUBSTITUTE(SUBSTITUTE(SUBSTITUTE(TRIM(C893&amp;""),CHAR(160),"")," ",""),"년",""),""),"")</f>
      </c>
      <c r="P893" t="str">
        <f>SUBSTITUTE(SUBSTITUTE(SUBSTITUTE(SUBSTITUTE(SUBSTITUTE(SUBSTITUTE(SUBSTITUTE(SUBSTITUTE(TRIM(D893&amp;""),CHAR(160),"")," ",""),"초등학교","초"),"중학교","중"),"고등학교","고"),"~","~~"),"*","~*"),"?","~?")</f>
      </c>
      <c r="Q893" t="str">
        <f>SUBSTITUTE(SUBSTITUTE(SUBSTITUTE(SUBSTITUTE(SUBSTITUTE(SUBSTITUTE(SUBSTITUTE(SUBSTITUTE(TRIM(E893&amp;""),CHAR(160),"")," ",""),"초등학교","초"),"중학교","중"),"고등학교","고"),"~","~~"),"*","~*"),"?","~?")</f>
      </c>
      <c r="R893" t="str">
        <f>IF(COUNTA(B893:J893)=0,"",IF(AND(O893&lt;&gt;"",P893&lt;&gt;"",Q893&lt;&gt;""),"","입력누락"))</f>
      </c>
    </row>
    <row r="894" customFormat="false" ht="15" hidden="false" customHeight="false" outlineLevel="0" collapsed="false">
      <c r="A894" t="n" s="19">
        <f aca="0">IF(COUNTA(B894:J894)=0,"",ROW()-1)</f>
      </c>
      <c r="B894" s="24"/>
      <c r="C894" s="25"/>
      <c r="D894" s="8"/>
      <c r="E894" s="8"/>
      <c r="F894" s="26"/>
      <c r="G894" s="24"/>
      <c r="H894" s="25"/>
      <c r="I894" s="25"/>
      <c r="J894" s="26"/>
      <c r="K894" t="str" s="15">
        <f aca="0">IF(COUNTA(B894:J894)=0,"",IF(R894&lt;&gt;"","확인필요(입력누락)",IF(COUNTIFS(보유목록!$I$2:$I$3001,"*"&amp;P894&amp;"*",보유목록!$I$2:$I$3001,"*"&amp;Q894&amp;"*",보유목록!$H$2:$H$3001,O894)&gt;0,"있음",IF(COUNTIFS(보유목록!$I$2:$I$3001,"*"&amp;P894&amp;"*",보유목록!$I$2:$I$3001,"*"&amp;Q894&amp;"*")&gt;0,"확인필요(연도다름)",IF(COUNTIFS(보유목록!$I$2:$I$3001,"*"&amp;P894&amp;"*",보유목록!$H$2:$H$3001,O894)&gt;0,"확인필요(같은학교·같은연도)","없음")))))</f>
      </c>
      <c r="L894" t="str" s="16">
        <f aca="0">IF(OR(COUNTA(B894:J894)=0,R894&lt;&gt;""),"",COUNTIFS(보유목록!$I$2:$I$3001,"*"&amp;P894&amp;"*",보유목록!$I$2:$I$3001,"*"&amp;Q894&amp;"*"))</f>
      </c>
      <c r="M894" t="str" s="23">
        <f aca="0">IF(OR(COUNTA(B894:J894)=0,R894&lt;&gt;""),"",IFERROR(LOOKUP(2,1/(ISNUMBER(SEARCH(P894,보유목록!$I$2:$I$3001))*ISNUMBER(SEARCH(Q894,보유목록!$I$2:$I$3001))*(보유목록!$H$2:$H$3001=O894)),보유목록!$B$2:$B$3001),IFERROR(LOOKUP(2,1/(ISNUMBER(SEARCH(P894,보유목록!$I$2:$I$3001))*ISNUMBER(SEARCH(Q894,보유목록!$I$2:$I$3001))),보유목록!$B$2:$B$3001),"")))</f>
      </c>
      <c r="N894" s="25"/>
      <c r="O894" t="str">
        <f>IFERROR(IF(AND(LEN(SUBSTITUTE(SUBSTITUTE(SUBSTITUTE(TRIM(C894&amp;""),CHAR(160),"")," ",""),"년",""))=4,VALUE(SUBSTITUTE(SUBSTITUTE(SUBSTITUTE(TRIM(C894&amp;""),CHAR(160),"")," ",""),"년",""))&gt;=1900,VALUE(SUBSTITUTE(SUBSTITUTE(SUBSTITUTE(TRIM(C894&amp;""),CHAR(160),"")," ",""),"년",""))&lt;=2099,TEXT(VALUE(SUBSTITUTE(SUBSTITUTE(SUBSTITUTE(TRIM(C894&amp;""),CHAR(160),"")," ",""),"년","")),"0000")=SUBSTITUTE(SUBSTITUTE(SUBSTITUTE(TRIM(C894&amp;""),CHAR(160),"")," ",""),"년","")),SUBSTITUTE(SUBSTITUTE(SUBSTITUTE(TRIM(C894&amp;""),CHAR(160),"")," ",""),"년",""),""),"")</f>
      </c>
      <c r="P894" t="str">
        <f>SUBSTITUTE(SUBSTITUTE(SUBSTITUTE(SUBSTITUTE(SUBSTITUTE(SUBSTITUTE(SUBSTITUTE(SUBSTITUTE(TRIM(D894&amp;""),CHAR(160),"")," ",""),"초등학교","초"),"중학교","중"),"고등학교","고"),"~","~~"),"*","~*"),"?","~?")</f>
      </c>
      <c r="Q894" t="str">
        <f>SUBSTITUTE(SUBSTITUTE(SUBSTITUTE(SUBSTITUTE(SUBSTITUTE(SUBSTITUTE(SUBSTITUTE(SUBSTITUTE(TRIM(E894&amp;""),CHAR(160),"")," ",""),"초등학교","초"),"중학교","중"),"고등학교","고"),"~","~~"),"*","~*"),"?","~?")</f>
      </c>
      <c r="R894" t="str">
        <f>IF(COUNTA(B894:J894)=0,"",IF(AND(O894&lt;&gt;"",P894&lt;&gt;"",Q894&lt;&gt;""),"","입력누락"))</f>
      </c>
    </row>
    <row r="895" customFormat="false" ht="15" hidden="false" customHeight="false" outlineLevel="0" collapsed="false">
      <c r="A895" t="n" s="19">
        <f aca="0">IF(COUNTA(B895:J895)=0,"",ROW()-1)</f>
      </c>
      <c r="B895" s="24"/>
      <c r="C895" s="25"/>
      <c r="D895" s="8"/>
      <c r="E895" s="8"/>
      <c r="F895" s="26"/>
      <c r="G895" s="24"/>
      <c r="H895" s="25"/>
      <c r="I895" s="25"/>
      <c r="J895" s="26"/>
      <c r="K895" t="str" s="15">
        <f aca="0">IF(COUNTA(B895:J895)=0,"",IF(R895&lt;&gt;"","확인필요(입력누락)",IF(COUNTIFS(보유목록!$I$2:$I$3001,"*"&amp;P895&amp;"*",보유목록!$I$2:$I$3001,"*"&amp;Q895&amp;"*",보유목록!$H$2:$H$3001,O895)&gt;0,"있음",IF(COUNTIFS(보유목록!$I$2:$I$3001,"*"&amp;P895&amp;"*",보유목록!$I$2:$I$3001,"*"&amp;Q895&amp;"*")&gt;0,"확인필요(연도다름)",IF(COUNTIFS(보유목록!$I$2:$I$3001,"*"&amp;P895&amp;"*",보유목록!$H$2:$H$3001,O895)&gt;0,"확인필요(같은학교·같은연도)","없음")))))</f>
      </c>
      <c r="L895" t="str" s="16">
        <f aca="0">IF(OR(COUNTA(B895:J895)=0,R895&lt;&gt;""),"",COUNTIFS(보유목록!$I$2:$I$3001,"*"&amp;P895&amp;"*",보유목록!$I$2:$I$3001,"*"&amp;Q895&amp;"*"))</f>
      </c>
      <c r="M895" t="str" s="23">
        <f aca="0">IF(OR(COUNTA(B895:J895)=0,R895&lt;&gt;""),"",IFERROR(LOOKUP(2,1/(ISNUMBER(SEARCH(P895,보유목록!$I$2:$I$3001))*ISNUMBER(SEARCH(Q895,보유목록!$I$2:$I$3001))*(보유목록!$H$2:$H$3001=O895)),보유목록!$B$2:$B$3001),IFERROR(LOOKUP(2,1/(ISNUMBER(SEARCH(P895,보유목록!$I$2:$I$3001))*ISNUMBER(SEARCH(Q895,보유목록!$I$2:$I$3001))),보유목록!$B$2:$B$3001),"")))</f>
      </c>
      <c r="N895" s="25"/>
      <c r="O895" t="str">
        <f>IFERROR(IF(AND(LEN(SUBSTITUTE(SUBSTITUTE(SUBSTITUTE(TRIM(C895&amp;""),CHAR(160),"")," ",""),"년",""))=4,VALUE(SUBSTITUTE(SUBSTITUTE(SUBSTITUTE(TRIM(C895&amp;""),CHAR(160),"")," ",""),"년",""))&gt;=1900,VALUE(SUBSTITUTE(SUBSTITUTE(SUBSTITUTE(TRIM(C895&amp;""),CHAR(160),"")," ",""),"년",""))&lt;=2099,TEXT(VALUE(SUBSTITUTE(SUBSTITUTE(SUBSTITUTE(TRIM(C895&amp;""),CHAR(160),"")," ",""),"년","")),"0000")=SUBSTITUTE(SUBSTITUTE(SUBSTITUTE(TRIM(C895&amp;""),CHAR(160),"")," ",""),"년","")),SUBSTITUTE(SUBSTITUTE(SUBSTITUTE(TRIM(C895&amp;""),CHAR(160),"")," ",""),"년",""),""),"")</f>
      </c>
      <c r="P895" t="str">
        <f>SUBSTITUTE(SUBSTITUTE(SUBSTITUTE(SUBSTITUTE(SUBSTITUTE(SUBSTITUTE(SUBSTITUTE(SUBSTITUTE(TRIM(D895&amp;""),CHAR(160),"")," ",""),"초등학교","초"),"중학교","중"),"고등학교","고"),"~","~~"),"*","~*"),"?","~?")</f>
      </c>
      <c r="Q895" t="str">
        <f>SUBSTITUTE(SUBSTITUTE(SUBSTITUTE(SUBSTITUTE(SUBSTITUTE(SUBSTITUTE(SUBSTITUTE(SUBSTITUTE(TRIM(E895&amp;""),CHAR(160),"")," ",""),"초등학교","초"),"중학교","중"),"고등학교","고"),"~","~~"),"*","~*"),"?","~?")</f>
      </c>
      <c r="R895" t="str">
        <f>IF(COUNTA(B895:J895)=0,"",IF(AND(O895&lt;&gt;"",P895&lt;&gt;"",Q895&lt;&gt;""),"","입력누락"))</f>
      </c>
    </row>
    <row r="896" customFormat="false" ht="15" hidden="false" customHeight="false" outlineLevel="0" collapsed="false">
      <c r="A896" t="n" s="19">
        <f aca="0">IF(COUNTA(B896:J896)=0,"",ROW()-1)</f>
      </c>
      <c r="B896" s="24"/>
      <c r="C896" s="25"/>
      <c r="D896" s="8"/>
      <c r="E896" s="8"/>
      <c r="F896" s="26"/>
      <c r="G896" s="24"/>
      <c r="H896" s="25"/>
      <c r="I896" s="25"/>
      <c r="J896" s="26"/>
      <c r="K896" t="str" s="15">
        <f aca="0">IF(COUNTA(B896:J896)=0,"",IF(R896&lt;&gt;"","확인필요(입력누락)",IF(COUNTIFS(보유목록!$I$2:$I$3001,"*"&amp;P896&amp;"*",보유목록!$I$2:$I$3001,"*"&amp;Q896&amp;"*",보유목록!$H$2:$H$3001,O896)&gt;0,"있음",IF(COUNTIFS(보유목록!$I$2:$I$3001,"*"&amp;P896&amp;"*",보유목록!$I$2:$I$3001,"*"&amp;Q896&amp;"*")&gt;0,"확인필요(연도다름)",IF(COUNTIFS(보유목록!$I$2:$I$3001,"*"&amp;P896&amp;"*",보유목록!$H$2:$H$3001,O896)&gt;0,"확인필요(같은학교·같은연도)","없음")))))</f>
      </c>
      <c r="L896" t="str" s="16">
        <f aca="0">IF(OR(COUNTA(B896:J896)=0,R896&lt;&gt;""),"",COUNTIFS(보유목록!$I$2:$I$3001,"*"&amp;P896&amp;"*",보유목록!$I$2:$I$3001,"*"&amp;Q896&amp;"*"))</f>
      </c>
      <c r="M896" t="str" s="23">
        <f aca="0">IF(OR(COUNTA(B896:J896)=0,R896&lt;&gt;""),"",IFERROR(LOOKUP(2,1/(ISNUMBER(SEARCH(P896,보유목록!$I$2:$I$3001))*ISNUMBER(SEARCH(Q896,보유목록!$I$2:$I$3001))*(보유목록!$H$2:$H$3001=O896)),보유목록!$B$2:$B$3001),IFERROR(LOOKUP(2,1/(ISNUMBER(SEARCH(P896,보유목록!$I$2:$I$3001))*ISNUMBER(SEARCH(Q896,보유목록!$I$2:$I$3001))),보유목록!$B$2:$B$3001),"")))</f>
      </c>
      <c r="N896" s="25"/>
      <c r="O896" t="str">
        <f>IFERROR(IF(AND(LEN(SUBSTITUTE(SUBSTITUTE(SUBSTITUTE(TRIM(C896&amp;""),CHAR(160),"")," ",""),"년",""))=4,VALUE(SUBSTITUTE(SUBSTITUTE(SUBSTITUTE(TRIM(C896&amp;""),CHAR(160),"")," ",""),"년",""))&gt;=1900,VALUE(SUBSTITUTE(SUBSTITUTE(SUBSTITUTE(TRIM(C896&amp;""),CHAR(160),"")," ",""),"년",""))&lt;=2099,TEXT(VALUE(SUBSTITUTE(SUBSTITUTE(SUBSTITUTE(TRIM(C896&amp;""),CHAR(160),"")," ",""),"년","")),"0000")=SUBSTITUTE(SUBSTITUTE(SUBSTITUTE(TRIM(C896&amp;""),CHAR(160),"")," ",""),"년","")),SUBSTITUTE(SUBSTITUTE(SUBSTITUTE(TRIM(C896&amp;""),CHAR(160),"")," ",""),"년",""),""),"")</f>
      </c>
      <c r="P896" t="str">
        <f>SUBSTITUTE(SUBSTITUTE(SUBSTITUTE(SUBSTITUTE(SUBSTITUTE(SUBSTITUTE(SUBSTITUTE(SUBSTITUTE(TRIM(D896&amp;""),CHAR(160),"")," ",""),"초등학교","초"),"중학교","중"),"고등학교","고"),"~","~~"),"*","~*"),"?","~?")</f>
      </c>
      <c r="Q896" t="str">
        <f>SUBSTITUTE(SUBSTITUTE(SUBSTITUTE(SUBSTITUTE(SUBSTITUTE(SUBSTITUTE(SUBSTITUTE(SUBSTITUTE(TRIM(E896&amp;""),CHAR(160),"")," ",""),"초등학교","초"),"중학교","중"),"고등학교","고"),"~","~~"),"*","~*"),"?","~?")</f>
      </c>
      <c r="R896" t="str">
        <f>IF(COUNTA(B896:J896)=0,"",IF(AND(O896&lt;&gt;"",P896&lt;&gt;"",Q896&lt;&gt;""),"","입력누락"))</f>
      </c>
    </row>
    <row r="897" customFormat="false" ht="15" hidden="false" customHeight="false" outlineLevel="0" collapsed="false">
      <c r="A897" t="n" s="19">
        <f aca="0">IF(COUNTA(B897:J897)=0,"",ROW()-1)</f>
      </c>
      <c r="B897" s="24"/>
      <c r="C897" s="25"/>
      <c r="D897" s="8"/>
      <c r="E897" s="8"/>
      <c r="F897" s="26"/>
      <c r="G897" s="24"/>
      <c r="H897" s="25"/>
      <c r="I897" s="25"/>
      <c r="J897" s="26"/>
      <c r="K897" t="str" s="15">
        <f aca="0">IF(COUNTA(B897:J897)=0,"",IF(R897&lt;&gt;"","확인필요(입력누락)",IF(COUNTIFS(보유목록!$I$2:$I$3001,"*"&amp;P897&amp;"*",보유목록!$I$2:$I$3001,"*"&amp;Q897&amp;"*",보유목록!$H$2:$H$3001,O897)&gt;0,"있음",IF(COUNTIFS(보유목록!$I$2:$I$3001,"*"&amp;P897&amp;"*",보유목록!$I$2:$I$3001,"*"&amp;Q897&amp;"*")&gt;0,"확인필요(연도다름)",IF(COUNTIFS(보유목록!$I$2:$I$3001,"*"&amp;P897&amp;"*",보유목록!$H$2:$H$3001,O897)&gt;0,"확인필요(같은학교·같은연도)","없음")))))</f>
      </c>
      <c r="L897" t="str" s="16">
        <f aca="0">IF(OR(COUNTA(B897:J897)=0,R897&lt;&gt;""),"",COUNTIFS(보유목록!$I$2:$I$3001,"*"&amp;P897&amp;"*",보유목록!$I$2:$I$3001,"*"&amp;Q897&amp;"*"))</f>
      </c>
      <c r="M897" t="str" s="23">
        <f aca="0">IF(OR(COUNTA(B897:J897)=0,R897&lt;&gt;""),"",IFERROR(LOOKUP(2,1/(ISNUMBER(SEARCH(P897,보유목록!$I$2:$I$3001))*ISNUMBER(SEARCH(Q897,보유목록!$I$2:$I$3001))*(보유목록!$H$2:$H$3001=O897)),보유목록!$B$2:$B$3001),IFERROR(LOOKUP(2,1/(ISNUMBER(SEARCH(P897,보유목록!$I$2:$I$3001))*ISNUMBER(SEARCH(Q897,보유목록!$I$2:$I$3001))),보유목록!$B$2:$B$3001),"")))</f>
      </c>
      <c r="N897" s="25"/>
      <c r="O897" t="str">
        <f>IFERROR(IF(AND(LEN(SUBSTITUTE(SUBSTITUTE(SUBSTITUTE(TRIM(C897&amp;""),CHAR(160),"")," ",""),"년",""))=4,VALUE(SUBSTITUTE(SUBSTITUTE(SUBSTITUTE(TRIM(C897&amp;""),CHAR(160),"")," ",""),"년",""))&gt;=1900,VALUE(SUBSTITUTE(SUBSTITUTE(SUBSTITUTE(TRIM(C897&amp;""),CHAR(160),"")," ",""),"년",""))&lt;=2099,TEXT(VALUE(SUBSTITUTE(SUBSTITUTE(SUBSTITUTE(TRIM(C897&amp;""),CHAR(160),"")," ",""),"년","")),"0000")=SUBSTITUTE(SUBSTITUTE(SUBSTITUTE(TRIM(C897&amp;""),CHAR(160),"")," ",""),"년","")),SUBSTITUTE(SUBSTITUTE(SUBSTITUTE(TRIM(C897&amp;""),CHAR(160),"")," ",""),"년",""),""),"")</f>
      </c>
      <c r="P897" t="str">
        <f>SUBSTITUTE(SUBSTITUTE(SUBSTITUTE(SUBSTITUTE(SUBSTITUTE(SUBSTITUTE(SUBSTITUTE(SUBSTITUTE(TRIM(D897&amp;""),CHAR(160),"")," ",""),"초등학교","초"),"중학교","중"),"고등학교","고"),"~","~~"),"*","~*"),"?","~?")</f>
      </c>
      <c r="Q897" t="str">
        <f>SUBSTITUTE(SUBSTITUTE(SUBSTITUTE(SUBSTITUTE(SUBSTITUTE(SUBSTITUTE(SUBSTITUTE(SUBSTITUTE(TRIM(E897&amp;""),CHAR(160),"")," ",""),"초등학교","초"),"중학교","중"),"고등학교","고"),"~","~~"),"*","~*"),"?","~?")</f>
      </c>
      <c r="R897" t="str">
        <f>IF(COUNTA(B897:J897)=0,"",IF(AND(O897&lt;&gt;"",P897&lt;&gt;"",Q897&lt;&gt;""),"","입력누락"))</f>
      </c>
    </row>
    <row r="898" customFormat="false" ht="15" hidden="false" customHeight="false" outlineLevel="0" collapsed="false">
      <c r="A898" t="n" s="19">
        <f aca="0">IF(COUNTA(B898:J898)=0,"",ROW()-1)</f>
      </c>
      <c r="B898" s="24"/>
      <c r="C898" s="25"/>
      <c r="D898" s="8"/>
      <c r="E898" s="8"/>
      <c r="F898" s="26"/>
      <c r="G898" s="24"/>
      <c r="H898" s="25"/>
      <c r="I898" s="25"/>
      <c r="J898" s="26"/>
      <c r="K898" t="str" s="15">
        <f aca="0">IF(COUNTA(B898:J898)=0,"",IF(R898&lt;&gt;"","확인필요(입력누락)",IF(COUNTIFS(보유목록!$I$2:$I$3001,"*"&amp;P898&amp;"*",보유목록!$I$2:$I$3001,"*"&amp;Q898&amp;"*",보유목록!$H$2:$H$3001,O898)&gt;0,"있음",IF(COUNTIFS(보유목록!$I$2:$I$3001,"*"&amp;P898&amp;"*",보유목록!$I$2:$I$3001,"*"&amp;Q898&amp;"*")&gt;0,"확인필요(연도다름)",IF(COUNTIFS(보유목록!$I$2:$I$3001,"*"&amp;P898&amp;"*",보유목록!$H$2:$H$3001,O898)&gt;0,"확인필요(같은학교·같은연도)","없음")))))</f>
      </c>
      <c r="L898" t="str" s="16">
        <f aca="0">IF(OR(COUNTA(B898:J898)=0,R898&lt;&gt;""),"",COUNTIFS(보유목록!$I$2:$I$3001,"*"&amp;P898&amp;"*",보유목록!$I$2:$I$3001,"*"&amp;Q898&amp;"*"))</f>
      </c>
      <c r="M898" t="str" s="23">
        <f aca="0">IF(OR(COUNTA(B898:J898)=0,R898&lt;&gt;""),"",IFERROR(LOOKUP(2,1/(ISNUMBER(SEARCH(P898,보유목록!$I$2:$I$3001))*ISNUMBER(SEARCH(Q898,보유목록!$I$2:$I$3001))*(보유목록!$H$2:$H$3001=O898)),보유목록!$B$2:$B$3001),IFERROR(LOOKUP(2,1/(ISNUMBER(SEARCH(P898,보유목록!$I$2:$I$3001))*ISNUMBER(SEARCH(Q898,보유목록!$I$2:$I$3001))),보유목록!$B$2:$B$3001),"")))</f>
      </c>
      <c r="N898" s="25"/>
      <c r="O898" t="str">
        <f>IFERROR(IF(AND(LEN(SUBSTITUTE(SUBSTITUTE(SUBSTITUTE(TRIM(C898&amp;""),CHAR(160),"")," ",""),"년",""))=4,VALUE(SUBSTITUTE(SUBSTITUTE(SUBSTITUTE(TRIM(C898&amp;""),CHAR(160),"")," ",""),"년",""))&gt;=1900,VALUE(SUBSTITUTE(SUBSTITUTE(SUBSTITUTE(TRIM(C898&amp;""),CHAR(160),"")," ",""),"년",""))&lt;=2099,TEXT(VALUE(SUBSTITUTE(SUBSTITUTE(SUBSTITUTE(TRIM(C898&amp;""),CHAR(160),"")," ",""),"년","")),"0000")=SUBSTITUTE(SUBSTITUTE(SUBSTITUTE(TRIM(C898&amp;""),CHAR(160),"")," ",""),"년","")),SUBSTITUTE(SUBSTITUTE(SUBSTITUTE(TRIM(C898&amp;""),CHAR(160),"")," ",""),"년",""),""),"")</f>
      </c>
      <c r="P898" t="str">
        <f>SUBSTITUTE(SUBSTITUTE(SUBSTITUTE(SUBSTITUTE(SUBSTITUTE(SUBSTITUTE(SUBSTITUTE(SUBSTITUTE(TRIM(D898&amp;""),CHAR(160),"")," ",""),"초등학교","초"),"중학교","중"),"고등학교","고"),"~","~~"),"*","~*"),"?","~?")</f>
      </c>
      <c r="Q898" t="str">
        <f>SUBSTITUTE(SUBSTITUTE(SUBSTITUTE(SUBSTITUTE(SUBSTITUTE(SUBSTITUTE(SUBSTITUTE(SUBSTITUTE(TRIM(E898&amp;""),CHAR(160),"")," ",""),"초등학교","초"),"중학교","중"),"고등학교","고"),"~","~~"),"*","~*"),"?","~?")</f>
      </c>
      <c r="R898" t="str">
        <f>IF(COUNTA(B898:J898)=0,"",IF(AND(O898&lt;&gt;"",P898&lt;&gt;"",Q898&lt;&gt;""),"","입력누락"))</f>
      </c>
    </row>
    <row r="899" customFormat="false" ht="15" hidden="false" customHeight="false" outlineLevel="0" collapsed="false">
      <c r="A899" t="n" s="19">
        <f aca="0">IF(COUNTA(B899:J899)=0,"",ROW()-1)</f>
      </c>
      <c r="B899" s="24"/>
      <c r="C899" s="25"/>
      <c r="D899" s="8"/>
      <c r="E899" s="8"/>
      <c r="F899" s="26"/>
      <c r="G899" s="24"/>
      <c r="H899" s="25"/>
      <c r="I899" s="25"/>
      <c r="J899" s="26"/>
      <c r="K899" t="str" s="15">
        <f aca="0">IF(COUNTA(B899:J899)=0,"",IF(R899&lt;&gt;"","확인필요(입력누락)",IF(COUNTIFS(보유목록!$I$2:$I$3001,"*"&amp;P899&amp;"*",보유목록!$I$2:$I$3001,"*"&amp;Q899&amp;"*",보유목록!$H$2:$H$3001,O899)&gt;0,"있음",IF(COUNTIFS(보유목록!$I$2:$I$3001,"*"&amp;P899&amp;"*",보유목록!$I$2:$I$3001,"*"&amp;Q899&amp;"*")&gt;0,"확인필요(연도다름)",IF(COUNTIFS(보유목록!$I$2:$I$3001,"*"&amp;P899&amp;"*",보유목록!$H$2:$H$3001,O899)&gt;0,"확인필요(같은학교·같은연도)","없음")))))</f>
      </c>
      <c r="L899" t="str" s="16">
        <f aca="0">IF(OR(COUNTA(B899:J899)=0,R899&lt;&gt;""),"",COUNTIFS(보유목록!$I$2:$I$3001,"*"&amp;P899&amp;"*",보유목록!$I$2:$I$3001,"*"&amp;Q899&amp;"*"))</f>
      </c>
      <c r="M899" t="str" s="23">
        <f aca="0">IF(OR(COUNTA(B899:J899)=0,R899&lt;&gt;""),"",IFERROR(LOOKUP(2,1/(ISNUMBER(SEARCH(P899,보유목록!$I$2:$I$3001))*ISNUMBER(SEARCH(Q899,보유목록!$I$2:$I$3001))*(보유목록!$H$2:$H$3001=O899)),보유목록!$B$2:$B$3001),IFERROR(LOOKUP(2,1/(ISNUMBER(SEARCH(P899,보유목록!$I$2:$I$3001))*ISNUMBER(SEARCH(Q899,보유목록!$I$2:$I$3001))),보유목록!$B$2:$B$3001),"")))</f>
      </c>
      <c r="N899" s="25"/>
      <c r="O899" t="str">
        <f>IFERROR(IF(AND(LEN(SUBSTITUTE(SUBSTITUTE(SUBSTITUTE(TRIM(C899&amp;""),CHAR(160),"")," ",""),"년",""))=4,VALUE(SUBSTITUTE(SUBSTITUTE(SUBSTITUTE(TRIM(C899&amp;""),CHAR(160),"")," ",""),"년",""))&gt;=1900,VALUE(SUBSTITUTE(SUBSTITUTE(SUBSTITUTE(TRIM(C899&amp;""),CHAR(160),"")," ",""),"년",""))&lt;=2099,TEXT(VALUE(SUBSTITUTE(SUBSTITUTE(SUBSTITUTE(TRIM(C899&amp;""),CHAR(160),"")," ",""),"년","")),"0000")=SUBSTITUTE(SUBSTITUTE(SUBSTITUTE(TRIM(C899&amp;""),CHAR(160),"")," ",""),"년","")),SUBSTITUTE(SUBSTITUTE(SUBSTITUTE(TRIM(C899&amp;""),CHAR(160),"")," ",""),"년",""),""),"")</f>
      </c>
      <c r="P899" t="str">
        <f>SUBSTITUTE(SUBSTITUTE(SUBSTITUTE(SUBSTITUTE(SUBSTITUTE(SUBSTITUTE(SUBSTITUTE(SUBSTITUTE(TRIM(D899&amp;""),CHAR(160),"")," ",""),"초등학교","초"),"중학교","중"),"고등학교","고"),"~","~~"),"*","~*"),"?","~?")</f>
      </c>
      <c r="Q899" t="str">
        <f>SUBSTITUTE(SUBSTITUTE(SUBSTITUTE(SUBSTITUTE(SUBSTITUTE(SUBSTITUTE(SUBSTITUTE(SUBSTITUTE(TRIM(E899&amp;""),CHAR(160),"")," ",""),"초등학교","초"),"중학교","중"),"고등학교","고"),"~","~~"),"*","~*"),"?","~?")</f>
      </c>
      <c r="R899" t="str">
        <f>IF(COUNTA(B899:J899)=0,"",IF(AND(O899&lt;&gt;"",P899&lt;&gt;"",Q899&lt;&gt;""),"","입력누락"))</f>
      </c>
    </row>
    <row r="900" customFormat="false" ht="15" hidden="false" customHeight="false" outlineLevel="0" collapsed="false">
      <c r="A900" t="n" s="19">
        <f aca="0">IF(COUNTA(B900:J900)=0,"",ROW()-1)</f>
      </c>
      <c r="B900" s="24"/>
      <c r="C900" s="25"/>
      <c r="D900" s="8"/>
      <c r="E900" s="8"/>
      <c r="F900" s="26"/>
      <c r="G900" s="24"/>
      <c r="H900" s="25"/>
      <c r="I900" s="25"/>
      <c r="J900" s="26"/>
      <c r="K900" t="str" s="15">
        <f aca="0">IF(COUNTA(B900:J900)=0,"",IF(R900&lt;&gt;"","확인필요(입력누락)",IF(COUNTIFS(보유목록!$I$2:$I$3001,"*"&amp;P900&amp;"*",보유목록!$I$2:$I$3001,"*"&amp;Q900&amp;"*",보유목록!$H$2:$H$3001,O900)&gt;0,"있음",IF(COUNTIFS(보유목록!$I$2:$I$3001,"*"&amp;P900&amp;"*",보유목록!$I$2:$I$3001,"*"&amp;Q900&amp;"*")&gt;0,"확인필요(연도다름)",IF(COUNTIFS(보유목록!$I$2:$I$3001,"*"&amp;P900&amp;"*",보유목록!$H$2:$H$3001,O900)&gt;0,"확인필요(같은학교·같은연도)","없음")))))</f>
      </c>
      <c r="L900" t="str" s="16">
        <f aca="0">IF(OR(COUNTA(B900:J900)=0,R900&lt;&gt;""),"",COUNTIFS(보유목록!$I$2:$I$3001,"*"&amp;P900&amp;"*",보유목록!$I$2:$I$3001,"*"&amp;Q900&amp;"*"))</f>
      </c>
      <c r="M900" t="str" s="23">
        <f aca="0">IF(OR(COUNTA(B900:J900)=0,R900&lt;&gt;""),"",IFERROR(LOOKUP(2,1/(ISNUMBER(SEARCH(P900,보유목록!$I$2:$I$3001))*ISNUMBER(SEARCH(Q900,보유목록!$I$2:$I$3001))*(보유목록!$H$2:$H$3001=O900)),보유목록!$B$2:$B$3001),IFERROR(LOOKUP(2,1/(ISNUMBER(SEARCH(P900,보유목록!$I$2:$I$3001))*ISNUMBER(SEARCH(Q900,보유목록!$I$2:$I$3001))),보유목록!$B$2:$B$3001),"")))</f>
      </c>
      <c r="N900" s="25"/>
      <c r="O900" t="str">
        <f>IFERROR(IF(AND(LEN(SUBSTITUTE(SUBSTITUTE(SUBSTITUTE(TRIM(C900&amp;""),CHAR(160),"")," ",""),"년",""))=4,VALUE(SUBSTITUTE(SUBSTITUTE(SUBSTITUTE(TRIM(C900&amp;""),CHAR(160),"")," ",""),"년",""))&gt;=1900,VALUE(SUBSTITUTE(SUBSTITUTE(SUBSTITUTE(TRIM(C900&amp;""),CHAR(160),"")," ",""),"년",""))&lt;=2099,TEXT(VALUE(SUBSTITUTE(SUBSTITUTE(SUBSTITUTE(TRIM(C900&amp;""),CHAR(160),"")," ",""),"년","")),"0000")=SUBSTITUTE(SUBSTITUTE(SUBSTITUTE(TRIM(C900&amp;""),CHAR(160),"")," ",""),"년","")),SUBSTITUTE(SUBSTITUTE(SUBSTITUTE(TRIM(C900&amp;""),CHAR(160),"")," ",""),"년",""),""),"")</f>
      </c>
      <c r="P900" t="str">
        <f>SUBSTITUTE(SUBSTITUTE(SUBSTITUTE(SUBSTITUTE(SUBSTITUTE(SUBSTITUTE(SUBSTITUTE(SUBSTITUTE(TRIM(D900&amp;""),CHAR(160),"")," ",""),"초등학교","초"),"중학교","중"),"고등학교","고"),"~","~~"),"*","~*"),"?","~?")</f>
      </c>
      <c r="Q900" t="str">
        <f>SUBSTITUTE(SUBSTITUTE(SUBSTITUTE(SUBSTITUTE(SUBSTITUTE(SUBSTITUTE(SUBSTITUTE(SUBSTITUTE(TRIM(E900&amp;""),CHAR(160),"")," ",""),"초등학교","초"),"중학교","중"),"고등학교","고"),"~","~~"),"*","~*"),"?","~?")</f>
      </c>
      <c r="R900" t="str">
        <f>IF(COUNTA(B900:J900)=0,"",IF(AND(O900&lt;&gt;"",P900&lt;&gt;"",Q900&lt;&gt;""),"","입력누락"))</f>
      </c>
    </row>
    <row r="901" customFormat="false" ht="15" hidden="false" customHeight="false" outlineLevel="0" collapsed="false">
      <c r="A901" t="n" s="19">
        <f aca="0">IF(COUNTA(B901:J901)=0,"",ROW()-1)</f>
      </c>
      <c r="B901" s="24"/>
      <c r="C901" s="25"/>
      <c r="D901" s="8"/>
      <c r="E901" s="8"/>
      <c r="F901" s="26"/>
      <c r="G901" s="24"/>
      <c r="H901" s="25"/>
      <c r="I901" s="25"/>
      <c r="J901" s="26"/>
      <c r="K901" t="str" s="15">
        <f aca="0">IF(COUNTA(B901:J901)=0,"",IF(R901&lt;&gt;"","확인필요(입력누락)",IF(COUNTIFS(보유목록!$I$2:$I$3001,"*"&amp;P901&amp;"*",보유목록!$I$2:$I$3001,"*"&amp;Q901&amp;"*",보유목록!$H$2:$H$3001,O901)&gt;0,"있음",IF(COUNTIFS(보유목록!$I$2:$I$3001,"*"&amp;P901&amp;"*",보유목록!$I$2:$I$3001,"*"&amp;Q901&amp;"*")&gt;0,"확인필요(연도다름)",IF(COUNTIFS(보유목록!$I$2:$I$3001,"*"&amp;P901&amp;"*",보유목록!$H$2:$H$3001,O901)&gt;0,"확인필요(같은학교·같은연도)","없음")))))</f>
      </c>
      <c r="L901" t="str" s="16">
        <f aca="0">IF(OR(COUNTA(B901:J901)=0,R901&lt;&gt;""),"",COUNTIFS(보유목록!$I$2:$I$3001,"*"&amp;P901&amp;"*",보유목록!$I$2:$I$3001,"*"&amp;Q901&amp;"*"))</f>
      </c>
      <c r="M901" t="str" s="23">
        <f aca="0">IF(OR(COUNTA(B901:J901)=0,R901&lt;&gt;""),"",IFERROR(LOOKUP(2,1/(ISNUMBER(SEARCH(P901,보유목록!$I$2:$I$3001))*ISNUMBER(SEARCH(Q901,보유목록!$I$2:$I$3001))*(보유목록!$H$2:$H$3001=O901)),보유목록!$B$2:$B$3001),IFERROR(LOOKUP(2,1/(ISNUMBER(SEARCH(P901,보유목록!$I$2:$I$3001))*ISNUMBER(SEARCH(Q901,보유목록!$I$2:$I$3001))),보유목록!$B$2:$B$3001),"")))</f>
      </c>
      <c r="N901" s="25"/>
      <c r="O901" t="str">
        <f>IFERROR(IF(AND(LEN(SUBSTITUTE(SUBSTITUTE(SUBSTITUTE(TRIM(C901&amp;""),CHAR(160),"")," ",""),"년",""))=4,VALUE(SUBSTITUTE(SUBSTITUTE(SUBSTITUTE(TRIM(C901&amp;""),CHAR(160),"")," ",""),"년",""))&gt;=1900,VALUE(SUBSTITUTE(SUBSTITUTE(SUBSTITUTE(TRIM(C901&amp;""),CHAR(160),"")," ",""),"년",""))&lt;=2099,TEXT(VALUE(SUBSTITUTE(SUBSTITUTE(SUBSTITUTE(TRIM(C901&amp;""),CHAR(160),"")," ",""),"년","")),"0000")=SUBSTITUTE(SUBSTITUTE(SUBSTITUTE(TRIM(C901&amp;""),CHAR(160),"")," ",""),"년","")),SUBSTITUTE(SUBSTITUTE(SUBSTITUTE(TRIM(C901&amp;""),CHAR(160),"")," ",""),"년",""),""),"")</f>
      </c>
      <c r="P901" t="str">
        <f>SUBSTITUTE(SUBSTITUTE(SUBSTITUTE(SUBSTITUTE(SUBSTITUTE(SUBSTITUTE(SUBSTITUTE(SUBSTITUTE(TRIM(D901&amp;""),CHAR(160),"")," ",""),"초등학교","초"),"중학교","중"),"고등학교","고"),"~","~~"),"*","~*"),"?","~?")</f>
      </c>
      <c r="Q901" t="str">
        <f>SUBSTITUTE(SUBSTITUTE(SUBSTITUTE(SUBSTITUTE(SUBSTITUTE(SUBSTITUTE(SUBSTITUTE(SUBSTITUTE(TRIM(E901&amp;""),CHAR(160),"")," ",""),"초등학교","초"),"중학교","중"),"고등학교","고"),"~","~~"),"*","~*"),"?","~?")</f>
      </c>
      <c r="R901" t="str">
        <f>IF(COUNTA(B901:J901)=0,"",IF(AND(O901&lt;&gt;"",P901&lt;&gt;"",Q901&lt;&gt;""),"","입력누락"))</f>
      </c>
    </row>
    <row r="902" customFormat="false" ht="15" hidden="false" customHeight="false" outlineLevel="0" collapsed="false">
      <c r="A902" t="n" s="19">
        <f aca="0">IF(COUNTA(B902:J902)=0,"",ROW()-1)</f>
      </c>
      <c r="B902" s="24"/>
      <c r="C902" s="25"/>
      <c r="D902" s="8"/>
      <c r="E902" s="8"/>
      <c r="F902" s="26"/>
      <c r="G902" s="24"/>
      <c r="H902" s="25"/>
      <c r="I902" s="25"/>
      <c r="J902" s="26"/>
      <c r="K902" t="str" s="15">
        <f aca="0">IF(COUNTA(B902:J902)=0,"",IF(R902&lt;&gt;"","확인필요(입력누락)",IF(COUNTIFS(보유목록!$I$2:$I$3001,"*"&amp;P902&amp;"*",보유목록!$I$2:$I$3001,"*"&amp;Q902&amp;"*",보유목록!$H$2:$H$3001,O902)&gt;0,"있음",IF(COUNTIFS(보유목록!$I$2:$I$3001,"*"&amp;P902&amp;"*",보유목록!$I$2:$I$3001,"*"&amp;Q902&amp;"*")&gt;0,"확인필요(연도다름)",IF(COUNTIFS(보유목록!$I$2:$I$3001,"*"&amp;P902&amp;"*",보유목록!$H$2:$H$3001,O902)&gt;0,"확인필요(같은학교·같은연도)","없음")))))</f>
      </c>
      <c r="L902" t="str" s="16">
        <f aca="0">IF(OR(COUNTA(B902:J902)=0,R902&lt;&gt;""),"",COUNTIFS(보유목록!$I$2:$I$3001,"*"&amp;P902&amp;"*",보유목록!$I$2:$I$3001,"*"&amp;Q902&amp;"*"))</f>
      </c>
      <c r="M902" t="str" s="23">
        <f aca="0">IF(OR(COUNTA(B902:J902)=0,R902&lt;&gt;""),"",IFERROR(LOOKUP(2,1/(ISNUMBER(SEARCH(P902,보유목록!$I$2:$I$3001))*ISNUMBER(SEARCH(Q902,보유목록!$I$2:$I$3001))*(보유목록!$H$2:$H$3001=O902)),보유목록!$B$2:$B$3001),IFERROR(LOOKUP(2,1/(ISNUMBER(SEARCH(P902,보유목록!$I$2:$I$3001))*ISNUMBER(SEARCH(Q902,보유목록!$I$2:$I$3001))),보유목록!$B$2:$B$3001),"")))</f>
      </c>
      <c r="N902" s="25"/>
      <c r="O902" t="str">
        <f>IFERROR(IF(AND(LEN(SUBSTITUTE(SUBSTITUTE(SUBSTITUTE(TRIM(C902&amp;""),CHAR(160),"")," ",""),"년",""))=4,VALUE(SUBSTITUTE(SUBSTITUTE(SUBSTITUTE(TRIM(C902&amp;""),CHAR(160),"")," ",""),"년",""))&gt;=1900,VALUE(SUBSTITUTE(SUBSTITUTE(SUBSTITUTE(TRIM(C902&amp;""),CHAR(160),"")," ",""),"년",""))&lt;=2099,TEXT(VALUE(SUBSTITUTE(SUBSTITUTE(SUBSTITUTE(TRIM(C902&amp;""),CHAR(160),"")," ",""),"년","")),"0000")=SUBSTITUTE(SUBSTITUTE(SUBSTITUTE(TRIM(C902&amp;""),CHAR(160),"")," ",""),"년","")),SUBSTITUTE(SUBSTITUTE(SUBSTITUTE(TRIM(C902&amp;""),CHAR(160),"")," ",""),"년",""),""),"")</f>
      </c>
      <c r="P902" t="str">
        <f>SUBSTITUTE(SUBSTITUTE(SUBSTITUTE(SUBSTITUTE(SUBSTITUTE(SUBSTITUTE(SUBSTITUTE(SUBSTITUTE(TRIM(D902&amp;""),CHAR(160),"")," ",""),"초등학교","초"),"중학교","중"),"고등학교","고"),"~","~~"),"*","~*"),"?","~?")</f>
      </c>
      <c r="Q902" t="str">
        <f>SUBSTITUTE(SUBSTITUTE(SUBSTITUTE(SUBSTITUTE(SUBSTITUTE(SUBSTITUTE(SUBSTITUTE(SUBSTITUTE(TRIM(E902&amp;""),CHAR(160),"")," ",""),"초등학교","초"),"중학교","중"),"고등학교","고"),"~","~~"),"*","~*"),"?","~?")</f>
      </c>
      <c r="R902" t="str">
        <f>IF(COUNTA(B902:J902)=0,"",IF(AND(O902&lt;&gt;"",P902&lt;&gt;"",Q902&lt;&gt;""),"","입력누락"))</f>
      </c>
    </row>
    <row r="903" customFormat="false" ht="15" hidden="false" customHeight="false" outlineLevel="0" collapsed="false">
      <c r="A903" t="n" s="19">
        <f aca="0">IF(COUNTA(B903:J903)=0,"",ROW()-1)</f>
      </c>
      <c r="B903" s="24"/>
      <c r="C903" s="25"/>
      <c r="D903" s="8"/>
      <c r="E903" s="8"/>
      <c r="F903" s="26"/>
      <c r="G903" s="24"/>
      <c r="H903" s="25"/>
      <c r="I903" s="25"/>
      <c r="J903" s="26"/>
      <c r="K903" t="str" s="15">
        <f aca="0">IF(COUNTA(B903:J903)=0,"",IF(R903&lt;&gt;"","확인필요(입력누락)",IF(COUNTIFS(보유목록!$I$2:$I$3001,"*"&amp;P903&amp;"*",보유목록!$I$2:$I$3001,"*"&amp;Q903&amp;"*",보유목록!$H$2:$H$3001,O903)&gt;0,"있음",IF(COUNTIFS(보유목록!$I$2:$I$3001,"*"&amp;P903&amp;"*",보유목록!$I$2:$I$3001,"*"&amp;Q903&amp;"*")&gt;0,"확인필요(연도다름)",IF(COUNTIFS(보유목록!$I$2:$I$3001,"*"&amp;P903&amp;"*",보유목록!$H$2:$H$3001,O903)&gt;0,"확인필요(같은학교·같은연도)","없음")))))</f>
      </c>
      <c r="L903" t="str" s="16">
        <f aca="0">IF(OR(COUNTA(B903:J903)=0,R903&lt;&gt;""),"",COUNTIFS(보유목록!$I$2:$I$3001,"*"&amp;P903&amp;"*",보유목록!$I$2:$I$3001,"*"&amp;Q903&amp;"*"))</f>
      </c>
      <c r="M903" t="str" s="23">
        <f aca="0">IF(OR(COUNTA(B903:J903)=0,R903&lt;&gt;""),"",IFERROR(LOOKUP(2,1/(ISNUMBER(SEARCH(P903,보유목록!$I$2:$I$3001))*ISNUMBER(SEARCH(Q903,보유목록!$I$2:$I$3001))*(보유목록!$H$2:$H$3001=O903)),보유목록!$B$2:$B$3001),IFERROR(LOOKUP(2,1/(ISNUMBER(SEARCH(P903,보유목록!$I$2:$I$3001))*ISNUMBER(SEARCH(Q903,보유목록!$I$2:$I$3001))),보유목록!$B$2:$B$3001),"")))</f>
      </c>
      <c r="N903" s="25"/>
      <c r="O903" t="str">
        <f>IFERROR(IF(AND(LEN(SUBSTITUTE(SUBSTITUTE(SUBSTITUTE(TRIM(C903&amp;""),CHAR(160),"")," ",""),"년",""))=4,VALUE(SUBSTITUTE(SUBSTITUTE(SUBSTITUTE(TRIM(C903&amp;""),CHAR(160),"")," ",""),"년",""))&gt;=1900,VALUE(SUBSTITUTE(SUBSTITUTE(SUBSTITUTE(TRIM(C903&amp;""),CHAR(160),"")," ",""),"년",""))&lt;=2099,TEXT(VALUE(SUBSTITUTE(SUBSTITUTE(SUBSTITUTE(TRIM(C903&amp;""),CHAR(160),"")," ",""),"년","")),"0000")=SUBSTITUTE(SUBSTITUTE(SUBSTITUTE(TRIM(C903&amp;""),CHAR(160),"")," ",""),"년","")),SUBSTITUTE(SUBSTITUTE(SUBSTITUTE(TRIM(C903&amp;""),CHAR(160),"")," ",""),"년",""),""),"")</f>
      </c>
      <c r="P903" t="str">
        <f>SUBSTITUTE(SUBSTITUTE(SUBSTITUTE(SUBSTITUTE(SUBSTITUTE(SUBSTITUTE(SUBSTITUTE(SUBSTITUTE(TRIM(D903&amp;""),CHAR(160),"")," ",""),"초등학교","초"),"중학교","중"),"고등학교","고"),"~","~~"),"*","~*"),"?","~?")</f>
      </c>
      <c r="Q903" t="str">
        <f>SUBSTITUTE(SUBSTITUTE(SUBSTITUTE(SUBSTITUTE(SUBSTITUTE(SUBSTITUTE(SUBSTITUTE(SUBSTITUTE(TRIM(E903&amp;""),CHAR(160),"")," ",""),"초등학교","초"),"중학교","중"),"고등학교","고"),"~","~~"),"*","~*"),"?","~?")</f>
      </c>
      <c r="R903" t="str">
        <f>IF(COUNTA(B903:J903)=0,"",IF(AND(O903&lt;&gt;"",P903&lt;&gt;"",Q903&lt;&gt;""),"","입력누락"))</f>
      </c>
    </row>
    <row r="904" customFormat="false" ht="15" hidden="false" customHeight="false" outlineLevel="0" collapsed="false">
      <c r="A904" t="n" s="19">
        <f aca="0">IF(COUNTA(B904:J904)=0,"",ROW()-1)</f>
      </c>
      <c r="B904" s="24"/>
      <c r="C904" s="25"/>
      <c r="D904" s="8"/>
      <c r="E904" s="8"/>
      <c r="F904" s="26"/>
      <c r="G904" s="24"/>
      <c r="H904" s="25"/>
      <c r="I904" s="25"/>
      <c r="J904" s="26"/>
      <c r="K904" t="str" s="15">
        <f aca="0">IF(COUNTA(B904:J904)=0,"",IF(R904&lt;&gt;"","확인필요(입력누락)",IF(COUNTIFS(보유목록!$I$2:$I$3001,"*"&amp;P904&amp;"*",보유목록!$I$2:$I$3001,"*"&amp;Q904&amp;"*",보유목록!$H$2:$H$3001,O904)&gt;0,"있음",IF(COUNTIFS(보유목록!$I$2:$I$3001,"*"&amp;P904&amp;"*",보유목록!$I$2:$I$3001,"*"&amp;Q904&amp;"*")&gt;0,"확인필요(연도다름)",IF(COUNTIFS(보유목록!$I$2:$I$3001,"*"&amp;P904&amp;"*",보유목록!$H$2:$H$3001,O904)&gt;0,"확인필요(같은학교·같은연도)","없음")))))</f>
      </c>
      <c r="L904" t="str" s="16">
        <f aca="0">IF(OR(COUNTA(B904:J904)=0,R904&lt;&gt;""),"",COUNTIFS(보유목록!$I$2:$I$3001,"*"&amp;P904&amp;"*",보유목록!$I$2:$I$3001,"*"&amp;Q904&amp;"*"))</f>
      </c>
      <c r="M904" t="str" s="23">
        <f aca="0">IF(OR(COUNTA(B904:J904)=0,R904&lt;&gt;""),"",IFERROR(LOOKUP(2,1/(ISNUMBER(SEARCH(P904,보유목록!$I$2:$I$3001))*ISNUMBER(SEARCH(Q904,보유목록!$I$2:$I$3001))*(보유목록!$H$2:$H$3001=O904)),보유목록!$B$2:$B$3001),IFERROR(LOOKUP(2,1/(ISNUMBER(SEARCH(P904,보유목록!$I$2:$I$3001))*ISNUMBER(SEARCH(Q904,보유목록!$I$2:$I$3001))),보유목록!$B$2:$B$3001),"")))</f>
      </c>
      <c r="N904" s="25"/>
      <c r="O904" t="str">
        <f>IFERROR(IF(AND(LEN(SUBSTITUTE(SUBSTITUTE(SUBSTITUTE(TRIM(C904&amp;""),CHAR(160),"")," ",""),"년",""))=4,VALUE(SUBSTITUTE(SUBSTITUTE(SUBSTITUTE(TRIM(C904&amp;""),CHAR(160),"")," ",""),"년",""))&gt;=1900,VALUE(SUBSTITUTE(SUBSTITUTE(SUBSTITUTE(TRIM(C904&amp;""),CHAR(160),"")," ",""),"년",""))&lt;=2099,TEXT(VALUE(SUBSTITUTE(SUBSTITUTE(SUBSTITUTE(TRIM(C904&amp;""),CHAR(160),"")," ",""),"년","")),"0000")=SUBSTITUTE(SUBSTITUTE(SUBSTITUTE(TRIM(C904&amp;""),CHAR(160),"")," ",""),"년","")),SUBSTITUTE(SUBSTITUTE(SUBSTITUTE(TRIM(C904&amp;""),CHAR(160),"")," ",""),"년",""),""),"")</f>
      </c>
      <c r="P904" t="str">
        <f>SUBSTITUTE(SUBSTITUTE(SUBSTITUTE(SUBSTITUTE(SUBSTITUTE(SUBSTITUTE(SUBSTITUTE(SUBSTITUTE(TRIM(D904&amp;""),CHAR(160),"")," ",""),"초등학교","초"),"중학교","중"),"고등학교","고"),"~","~~"),"*","~*"),"?","~?")</f>
      </c>
      <c r="Q904" t="str">
        <f>SUBSTITUTE(SUBSTITUTE(SUBSTITUTE(SUBSTITUTE(SUBSTITUTE(SUBSTITUTE(SUBSTITUTE(SUBSTITUTE(TRIM(E904&amp;""),CHAR(160),"")," ",""),"초등학교","초"),"중학교","중"),"고등학교","고"),"~","~~"),"*","~*"),"?","~?")</f>
      </c>
      <c r="R904" t="str">
        <f>IF(COUNTA(B904:J904)=0,"",IF(AND(O904&lt;&gt;"",P904&lt;&gt;"",Q904&lt;&gt;""),"","입력누락"))</f>
      </c>
    </row>
    <row r="905" customFormat="false" ht="15" hidden="false" customHeight="false" outlineLevel="0" collapsed="false">
      <c r="A905" t="n" s="19">
        <f aca="0">IF(COUNTA(B905:J905)=0,"",ROW()-1)</f>
      </c>
      <c r="B905" s="24"/>
      <c r="C905" s="25"/>
      <c r="D905" s="8"/>
      <c r="E905" s="8"/>
      <c r="F905" s="26"/>
      <c r="G905" s="24"/>
      <c r="H905" s="25"/>
      <c r="I905" s="25"/>
      <c r="J905" s="26"/>
      <c r="K905" t="str" s="15">
        <f aca="0">IF(COUNTA(B905:J905)=0,"",IF(R905&lt;&gt;"","확인필요(입력누락)",IF(COUNTIFS(보유목록!$I$2:$I$3001,"*"&amp;P905&amp;"*",보유목록!$I$2:$I$3001,"*"&amp;Q905&amp;"*",보유목록!$H$2:$H$3001,O905)&gt;0,"있음",IF(COUNTIFS(보유목록!$I$2:$I$3001,"*"&amp;P905&amp;"*",보유목록!$I$2:$I$3001,"*"&amp;Q905&amp;"*")&gt;0,"확인필요(연도다름)",IF(COUNTIFS(보유목록!$I$2:$I$3001,"*"&amp;P905&amp;"*",보유목록!$H$2:$H$3001,O905)&gt;0,"확인필요(같은학교·같은연도)","없음")))))</f>
      </c>
      <c r="L905" t="str" s="16">
        <f aca="0">IF(OR(COUNTA(B905:J905)=0,R905&lt;&gt;""),"",COUNTIFS(보유목록!$I$2:$I$3001,"*"&amp;P905&amp;"*",보유목록!$I$2:$I$3001,"*"&amp;Q905&amp;"*"))</f>
      </c>
      <c r="M905" t="str" s="23">
        <f aca="0">IF(OR(COUNTA(B905:J905)=0,R905&lt;&gt;""),"",IFERROR(LOOKUP(2,1/(ISNUMBER(SEARCH(P905,보유목록!$I$2:$I$3001))*ISNUMBER(SEARCH(Q905,보유목록!$I$2:$I$3001))*(보유목록!$H$2:$H$3001=O905)),보유목록!$B$2:$B$3001),IFERROR(LOOKUP(2,1/(ISNUMBER(SEARCH(P905,보유목록!$I$2:$I$3001))*ISNUMBER(SEARCH(Q905,보유목록!$I$2:$I$3001))),보유목록!$B$2:$B$3001),"")))</f>
      </c>
      <c r="N905" s="25"/>
      <c r="O905" t="str">
        <f>IFERROR(IF(AND(LEN(SUBSTITUTE(SUBSTITUTE(SUBSTITUTE(TRIM(C905&amp;""),CHAR(160),"")," ",""),"년",""))=4,VALUE(SUBSTITUTE(SUBSTITUTE(SUBSTITUTE(TRIM(C905&amp;""),CHAR(160),"")," ",""),"년",""))&gt;=1900,VALUE(SUBSTITUTE(SUBSTITUTE(SUBSTITUTE(TRIM(C905&amp;""),CHAR(160),"")," ",""),"년",""))&lt;=2099,TEXT(VALUE(SUBSTITUTE(SUBSTITUTE(SUBSTITUTE(TRIM(C905&amp;""),CHAR(160),"")," ",""),"년","")),"0000")=SUBSTITUTE(SUBSTITUTE(SUBSTITUTE(TRIM(C905&amp;""),CHAR(160),"")," ",""),"년","")),SUBSTITUTE(SUBSTITUTE(SUBSTITUTE(TRIM(C905&amp;""),CHAR(160),"")," ",""),"년",""),""),"")</f>
      </c>
      <c r="P905" t="str">
        <f>SUBSTITUTE(SUBSTITUTE(SUBSTITUTE(SUBSTITUTE(SUBSTITUTE(SUBSTITUTE(SUBSTITUTE(SUBSTITUTE(TRIM(D905&amp;""),CHAR(160),"")," ",""),"초등학교","초"),"중학교","중"),"고등학교","고"),"~","~~"),"*","~*"),"?","~?")</f>
      </c>
      <c r="Q905" t="str">
        <f>SUBSTITUTE(SUBSTITUTE(SUBSTITUTE(SUBSTITUTE(SUBSTITUTE(SUBSTITUTE(SUBSTITUTE(SUBSTITUTE(TRIM(E905&amp;""),CHAR(160),"")," ",""),"초등학교","초"),"중학교","중"),"고등학교","고"),"~","~~"),"*","~*"),"?","~?")</f>
      </c>
      <c r="R905" t="str">
        <f>IF(COUNTA(B905:J905)=0,"",IF(AND(O905&lt;&gt;"",P905&lt;&gt;"",Q905&lt;&gt;""),"","입력누락"))</f>
      </c>
    </row>
    <row r="906" customFormat="false" ht="15" hidden="false" customHeight="false" outlineLevel="0" collapsed="false">
      <c r="A906" t="n" s="19">
        <f aca="0">IF(COUNTA(B906:J906)=0,"",ROW()-1)</f>
      </c>
      <c r="B906" s="24"/>
      <c r="C906" s="25"/>
      <c r="D906" s="8"/>
      <c r="E906" s="8"/>
      <c r="F906" s="26"/>
      <c r="G906" s="24"/>
      <c r="H906" s="25"/>
      <c r="I906" s="25"/>
      <c r="J906" s="26"/>
      <c r="K906" t="str" s="15">
        <f aca="0">IF(COUNTA(B906:J906)=0,"",IF(R906&lt;&gt;"","확인필요(입력누락)",IF(COUNTIFS(보유목록!$I$2:$I$3001,"*"&amp;P906&amp;"*",보유목록!$I$2:$I$3001,"*"&amp;Q906&amp;"*",보유목록!$H$2:$H$3001,O906)&gt;0,"있음",IF(COUNTIFS(보유목록!$I$2:$I$3001,"*"&amp;P906&amp;"*",보유목록!$I$2:$I$3001,"*"&amp;Q906&amp;"*")&gt;0,"확인필요(연도다름)",IF(COUNTIFS(보유목록!$I$2:$I$3001,"*"&amp;P906&amp;"*",보유목록!$H$2:$H$3001,O906)&gt;0,"확인필요(같은학교·같은연도)","없음")))))</f>
      </c>
      <c r="L906" t="str" s="16">
        <f aca="0">IF(OR(COUNTA(B906:J906)=0,R906&lt;&gt;""),"",COUNTIFS(보유목록!$I$2:$I$3001,"*"&amp;P906&amp;"*",보유목록!$I$2:$I$3001,"*"&amp;Q906&amp;"*"))</f>
      </c>
      <c r="M906" t="str" s="23">
        <f aca="0">IF(OR(COUNTA(B906:J906)=0,R906&lt;&gt;""),"",IFERROR(LOOKUP(2,1/(ISNUMBER(SEARCH(P906,보유목록!$I$2:$I$3001))*ISNUMBER(SEARCH(Q906,보유목록!$I$2:$I$3001))*(보유목록!$H$2:$H$3001=O906)),보유목록!$B$2:$B$3001),IFERROR(LOOKUP(2,1/(ISNUMBER(SEARCH(P906,보유목록!$I$2:$I$3001))*ISNUMBER(SEARCH(Q906,보유목록!$I$2:$I$3001))),보유목록!$B$2:$B$3001),"")))</f>
      </c>
      <c r="N906" s="25"/>
      <c r="O906" t="str">
        <f>IFERROR(IF(AND(LEN(SUBSTITUTE(SUBSTITUTE(SUBSTITUTE(TRIM(C906&amp;""),CHAR(160),"")," ",""),"년",""))=4,VALUE(SUBSTITUTE(SUBSTITUTE(SUBSTITUTE(TRIM(C906&amp;""),CHAR(160),"")," ",""),"년",""))&gt;=1900,VALUE(SUBSTITUTE(SUBSTITUTE(SUBSTITUTE(TRIM(C906&amp;""),CHAR(160),"")," ",""),"년",""))&lt;=2099,TEXT(VALUE(SUBSTITUTE(SUBSTITUTE(SUBSTITUTE(TRIM(C906&amp;""),CHAR(160),"")," ",""),"년","")),"0000")=SUBSTITUTE(SUBSTITUTE(SUBSTITUTE(TRIM(C906&amp;""),CHAR(160),"")," ",""),"년","")),SUBSTITUTE(SUBSTITUTE(SUBSTITUTE(TRIM(C906&amp;""),CHAR(160),"")," ",""),"년",""),""),"")</f>
      </c>
      <c r="P906" t="str">
        <f>SUBSTITUTE(SUBSTITUTE(SUBSTITUTE(SUBSTITUTE(SUBSTITUTE(SUBSTITUTE(SUBSTITUTE(SUBSTITUTE(TRIM(D906&amp;""),CHAR(160),"")," ",""),"초등학교","초"),"중학교","중"),"고등학교","고"),"~","~~"),"*","~*"),"?","~?")</f>
      </c>
      <c r="Q906" t="str">
        <f>SUBSTITUTE(SUBSTITUTE(SUBSTITUTE(SUBSTITUTE(SUBSTITUTE(SUBSTITUTE(SUBSTITUTE(SUBSTITUTE(TRIM(E906&amp;""),CHAR(160),"")," ",""),"초등학교","초"),"중학교","중"),"고등학교","고"),"~","~~"),"*","~*"),"?","~?")</f>
      </c>
      <c r="R906" t="str">
        <f>IF(COUNTA(B906:J906)=0,"",IF(AND(O906&lt;&gt;"",P906&lt;&gt;"",Q906&lt;&gt;""),"","입력누락"))</f>
      </c>
    </row>
    <row r="907" customFormat="false" ht="15" hidden="false" customHeight="false" outlineLevel="0" collapsed="false">
      <c r="A907" t="n" s="19">
        <f aca="0">IF(COUNTA(B907:J907)=0,"",ROW()-1)</f>
      </c>
      <c r="B907" s="24"/>
      <c r="C907" s="25"/>
      <c r="D907" s="8"/>
      <c r="E907" s="8"/>
      <c r="F907" s="26"/>
      <c r="G907" s="24"/>
      <c r="H907" s="25"/>
      <c r="I907" s="25"/>
      <c r="J907" s="26"/>
      <c r="K907" t="str" s="15">
        <f aca="0">IF(COUNTA(B907:J907)=0,"",IF(R907&lt;&gt;"","확인필요(입력누락)",IF(COUNTIFS(보유목록!$I$2:$I$3001,"*"&amp;P907&amp;"*",보유목록!$I$2:$I$3001,"*"&amp;Q907&amp;"*",보유목록!$H$2:$H$3001,O907)&gt;0,"있음",IF(COUNTIFS(보유목록!$I$2:$I$3001,"*"&amp;P907&amp;"*",보유목록!$I$2:$I$3001,"*"&amp;Q907&amp;"*")&gt;0,"확인필요(연도다름)",IF(COUNTIFS(보유목록!$I$2:$I$3001,"*"&amp;P907&amp;"*",보유목록!$H$2:$H$3001,O907)&gt;0,"확인필요(같은학교·같은연도)","없음")))))</f>
      </c>
      <c r="L907" t="str" s="16">
        <f aca="0">IF(OR(COUNTA(B907:J907)=0,R907&lt;&gt;""),"",COUNTIFS(보유목록!$I$2:$I$3001,"*"&amp;P907&amp;"*",보유목록!$I$2:$I$3001,"*"&amp;Q907&amp;"*"))</f>
      </c>
      <c r="M907" t="str" s="23">
        <f aca="0">IF(OR(COUNTA(B907:J907)=0,R907&lt;&gt;""),"",IFERROR(LOOKUP(2,1/(ISNUMBER(SEARCH(P907,보유목록!$I$2:$I$3001))*ISNUMBER(SEARCH(Q907,보유목록!$I$2:$I$3001))*(보유목록!$H$2:$H$3001=O907)),보유목록!$B$2:$B$3001),IFERROR(LOOKUP(2,1/(ISNUMBER(SEARCH(P907,보유목록!$I$2:$I$3001))*ISNUMBER(SEARCH(Q907,보유목록!$I$2:$I$3001))),보유목록!$B$2:$B$3001),"")))</f>
      </c>
      <c r="N907" s="25"/>
      <c r="O907" t="str">
        <f>IFERROR(IF(AND(LEN(SUBSTITUTE(SUBSTITUTE(SUBSTITUTE(TRIM(C907&amp;""),CHAR(160),"")," ",""),"년",""))=4,VALUE(SUBSTITUTE(SUBSTITUTE(SUBSTITUTE(TRIM(C907&amp;""),CHAR(160),"")," ",""),"년",""))&gt;=1900,VALUE(SUBSTITUTE(SUBSTITUTE(SUBSTITUTE(TRIM(C907&amp;""),CHAR(160),"")," ",""),"년",""))&lt;=2099,TEXT(VALUE(SUBSTITUTE(SUBSTITUTE(SUBSTITUTE(TRIM(C907&amp;""),CHAR(160),"")," ",""),"년","")),"0000")=SUBSTITUTE(SUBSTITUTE(SUBSTITUTE(TRIM(C907&amp;""),CHAR(160),"")," ",""),"년","")),SUBSTITUTE(SUBSTITUTE(SUBSTITUTE(TRIM(C907&amp;""),CHAR(160),"")," ",""),"년",""),""),"")</f>
      </c>
      <c r="P907" t="str">
        <f>SUBSTITUTE(SUBSTITUTE(SUBSTITUTE(SUBSTITUTE(SUBSTITUTE(SUBSTITUTE(SUBSTITUTE(SUBSTITUTE(TRIM(D907&amp;""),CHAR(160),"")," ",""),"초등학교","초"),"중학교","중"),"고등학교","고"),"~","~~"),"*","~*"),"?","~?")</f>
      </c>
      <c r="Q907" t="str">
        <f>SUBSTITUTE(SUBSTITUTE(SUBSTITUTE(SUBSTITUTE(SUBSTITUTE(SUBSTITUTE(SUBSTITUTE(SUBSTITUTE(TRIM(E907&amp;""),CHAR(160),"")," ",""),"초등학교","초"),"중학교","중"),"고등학교","고"),"~","~~"),"*","~*"),"?","~?")</f>
      </c>
      <c r="R907" t="str">
        <f>IF(COUNTA(B907:J907)=0,"",IF(AND(O907&lt;&gt;"",P907&lt;&gt;"",Q907&lt;&gt;""),"","입력누락"))</f>
      </c>
    </row>
    <row r="908" customFormat="false" ht="15" hidden="false" customHeight="false" outlineLevel="0" collapsed="false">
      <c r="A908" t="n" s="19">
        <f aca="0">IF(COUNTA(B908:J908)=0,"",ROW()-1)</f>
      </c>
      <c r="B908" s="24"/>
      <c r="C908" s="25"/>
      <c r="D908" s="8"/>
      <c r="E908" s="8"/>
      <c r="F908" s="26"/>
      <c r="G908" s="24"/>
      <c r="H908" s="25"/>
      <c r="I908" s="25"/>
      <c r="J908" s="26"/>
      <c r="K908" t="str" s="15">
        <f aca="0">IF(COUNTA(B908:J908)=0,"",IF(R908&lt;&gt;"","확인필요(입력누락)",IF(COUNTIFS(보유목록!$I$2:$I$3001,"*"&amp;P908&amp;"*",보유목록!$I$2:$I$3001,"*"&amp;Q908&amp;"*",보유목록!$H$2:$H$3001,O908)&gt;0,"있음",IF(COUNTIFS(보유목록!$I$2:$I$3001,"*"&amp;P908&amp;"*",보유목록!$I$2:$I$3001,"*"&amp;Q908&amp;"*")&gt;0,"확인필요(연도다름)",IF(COUNTIFS(보유목록!$I$2:$I$3001,"*"&amp;P908&amp;"*",보유목록!$H$2:$H$3001,O908)&gt;0,"확인필요(같은학교·같은연도)","없음")))))</f>
      </c>
      <c r="L908" t="str" s="16">
        <f aca="0">IF(OR(COUNTA(B908:J908)=0,R908&lt;&gt;""),"",COUNTIFS(보유목록!$I$2:$I$3001,"*"&amp;P908&amp;"*",보유목록!$I$2:$I$3001,"*"&amp;Q908&amp;"*"))</f>
      </c>
      <c r="M908" t="str" s="23">
        <f aca="0">IF(OR(COUNTA(B908:J908)=0,R908&lt;&gt;""),"",IFERROR(LOOKUP(2,1/(ISNUMBER(SEARCH(P908,보유목록!$I$2:$I$3001))*ISNUMBER(SEARCH(Q908,보유목록!$I$2:$I$3001))*(보유목록!$H$2:$H$3001=O908)),보유목록!$B$2:$B$3001),IFERROR(LOOKUP(2,1/(ISNUMBER(SEARCH(P908,보유목록!$I$2:$I$3001))*ISNUMBER(SEARCH(Q908,보유목록!$I$2:$I$3001))),보유목록!$B$2:$B$3001),"")))</f>
      </c>
      <c r="N908" s="25"/>
      <c r="O908" t="str">
        <f>IFERROR(IF(AND(LEN(SUBSTITUTE(SUBSTITUTE(SUBSTITUTE(TRIM(C908&amp;""),CHAR(160),"")," ",""),"년",""))=4,VALUE(SUBSTITUTE(SUBSTITUTE(SUBSTITUTE(TRIM(C908&amp;""),CHAR(160),"")," ",""),"년",""))&gt;=1900,VALUE(SUBSTITUTE(SUBSTITUTE(SUBSTITUTE(TRIM(C908&amp;""),CHAR(160),"")," ",""),"년",""))&lt;=2099,TEXT(VALUE(SUBSTITUTE(SUBSTITUTE(SUBSTITUTE(TRIM(C908&amp;""),CHAR(160),"")," ",""),"년","")),"0000")=SUBSTITUTE(SUBSTITUTE(SUBSTITUTE(TRIM(C908&amp;""),CHAR(160),"")," ",""),"년","")),SUBSTITUTE(SUBSTITUTE(SUBSTITUTE(TRIM(C908&amp;""),CHAR(160),"")," ",""),"년",""),""),"")</f>
      </c>
      <c r="P908" t="str">
        <f>SUBSTITUTE(SUBSTITUTE(SUBSTITUTE(SUBSTITUTE(SUBSTITUTE(SUBSTITUTE(SUBSTITUTE(SUBSTITUTE(TRIM(D908&amp;""),CHAR(160),"")," ",""),"초등학교","초"),"중학교","중"),"고등학교","고"),"~","~~"),"*","~*"),"?","~?")</f>
      </c>
      <c r="Q908" t="str">
        <f>SUBSTITUTE(SUBSTITUTE(SUBSTITUTE(SUBSTITUTE(SUBSTITUTE(SUBSTITUTE(SUBSTITUTE(SUBSTITUTE(TRIM(E908&amp;""),CHAR(160),"")," ",""),"초등학교","초"),"중학교","중"),"고등학교","고"),"~","~~"),"*","~*"),"?","~?")</f>
      </c>
      <c r="R908" t="str">
        <f>IF(COUNTA(B908:J908)=0,"",IF(AND(O908&lt;&gt;"",P908&lt;&gt;"",Q908&lt;&gt;""),"","입력누락"))</f>
      </c>
    </row>
    <row r="909" customFormat="false" ht="15" hidden="false" customHeight="false" outlineLevel="0" collapsed="false">
      <c r="A909" t="n" s="19">
        <f aca="0">IF(COUNTA(B909:J909)=0,"",ROW()-1)</f>
      </c>
      <c r="B909" s="24"/>
      <c r="C909" s="25"/>
      <c r="D909" s="8"/>
      <c r="E909" s="8"/>
      <c r="F909" s="26"/>
      <c r="G909" s="24"/>
      <c r="H909" s="25"/>
      <c r="I909" s="25"/>
      <c r="J909" s="26"/>
      <c r="K909" t="str" s="15">
        <f aca="0">IF(COUNTA(B909:J909)=0,"",IF(R909&lt;&gt;"","확인필요(입력누락)",IF(COUNTIFS(보유목록!$I$2:$I$3001,"*"&amp;P909&amp;"*",보유목록!$I$2:$I$3001,"*"&amp;Q909&amp;"*",보유목록!$H$2:$H$3001,O909)&gt;0,"있음",IF(COUNTIFS(보유목록!$I$2:$I$3001,"*"&amp;P909&amp;"*",보유목록!$I$2:$I$3001,"*"&amp;Q909&amp;"*")&gt;0,"확인필요(연도다름)",IF(COUNTIFS(보유목록!$I$2:$I$3001,"*"&amp;P909&amp;"*",보유목록!$H$2:$H$3001,O909)&gt;0,"확인필요(같은학교·같은연도)","없음")))))</f>
      </c>
      <c r="L909" t="str" s="16">
        <f aca="0">IF(OR(COUNTA(B909:J909)=0,R909&lt;&gt;""),"",COUNTIFS(보유목록!$I$2:$I$3001,"*"&amp;P909&amp;"*",보유목록!$I$2:$I$3001,"*"&amp;Q909&amp;"*"))</f>
      </c>
      <c r="M909" t="str" s="23">
        <f aca="0">IF(OR(COUNTA(B909:J909)=0,R909&lt;&gt;""),"",IFERROR(LOOKUP(2,1/(ISNUMBER(SEARCH(P909,보유목록!$I$2:$I$3001))*ISNUMBER(SEARCH(Q909,보유목록!$I$2:$I$3001))*(보유목록!$H$2:$H$3001=O909)),보유목록!$B$2:$B$3001),IFERROR(LOOKUP(2,1/(ISNUMBER(SEARCH(P909,보유목록!$I$2:$I$3001))*ISNUMBER(SEARCH(Q909,보유목록!$I$2:$I$3001))),보유목록!$B$2:$B$3001),"")))</f>
      </c>
      <c r="N909" s="25"/>
      <c r="O909" t="str">
        <f>IFERROR(IF(AND(LEN(SUBSTITUTE(SUBSTITUTE(SUBSTITUTE(TRIM(C909&amp;""),CHAR(160),"")," ",""),"년",""))=4,VALUE(SUBSTITUTE(SUBSTITUTE(SUBSTITUTE(TRIM(C909&amp;""),CHAR(160),"")," ",""),"년",""))&gt;=1900,VALUE(SUBSTITUTE(SUBSTITUTE(SUBSTITUTE(TRIM(C909&amp;""),CHAR(160),"")," ",""),"년",""))&lt;=2099,TEXT(VALUE(SUBSTITUTE(SUBSTITUTE(SUBSTITUTE(TRIM(C909&amp;""),CHAR(160),"")," ",""),"년","")),"0000")=SUBSTITUTE(SUBSTITUTE(SUBSTITUTE(TRIM(C909&amp;""),CHAR(160),"")," ",""),"년","")),SUBSTITUTE(SUBSTITUTE(SUBSTITUTE(TRIM(C909&amp;""),CHAR(160),"")," ",""),"년",""),""),"")</f>
      </c>
      <c r="P909" t="str">
        <f>SUBSTITUTE(SUBSTITUTE(SUBSTITUTE(SUBSTITUTE(SUBSTITUTE(SUBSTITUTE(SUBSTITUTE(SUBSTITUTE(TRIM(D909&amp;""),CHAR(160),"")," ",""),"초등학교","초"),"중학교","중"),"고등학교","고"),"~","~~"),"*","~*"),"?","~?")</f>
      </c>
      <c r="Q909" t="str">
        <f>SUBSTITUTE(SUBSTITUTE(SUBSTITUTE(SUBSTITUTE(SUBSTITUTE(SUBSTITUTE(SUBSTITUTE(SUBSTITUTE(TRIM(E909&amp;""),CHAR(160),"")," ",""),"초등학교","초"),"중학교","중"),"고등학교","고"),"~","~~"),"*","~*"),"?","~?")</f>
      </c>
      <c r="R909" t="str">
        <f>IF(COUNTA(B909:J909)=0,"",IF(AND(O909&lt;&gt;"",P909&lt;&gt;"",Q909&lt;&gt;""),"","입력누락"))</f>
      </c>
    </row>
    <row r="910" customFormat="false" ht="15" hidden="false" customHeight="false" outlineLevel="0" collapsed="false">
      <c r="A910" t="n" s="19">
        <f aca="0">IF(COUNTA(B910:J910)=0,"",ROW()-1)</f>
      </c>
      <c r="B910" s="24"/>
      <c r="C910" s="25"/>
      <c r="D910" s="8"/>
      <c r="E910" s="8"/>
      <c r="F910" s="26"/>
      <c r="G910" s="24"/>
      <c r="H910" s="25"/>
      <c r="I910" s="25"/>
      <c r="J910" s="26"/>
      <c r="K910" t="str" s="15">
        <f aca="0">IF(COUNTA(B910:J910)=0,"",IF(R910&lt;&gt;"","확인필요(입력누락)",IF(COUNTIFS(보유목록!$I$2:$I$3001,"*"&amp;P910&amp;"*",보유목록!$I$2:$I$3001,"*"&amp;Q910&amp;"*",보유목록!$H$2:$H$3001,O910)&gt;0,"있음",IF(COUNTIFS(보유목록!$I$2:$I$3001,"*"&amp;P910&amp;"*",보유목록!$I$2:$I$3001,"*"&amp;Q910&amp;"*")&gt;0,"확인필요(연도다름)",IF(COUNTIFS(보유목록!$I$2:$I$3001,"*"&amp;P910&amp;"*",보유목록!$H$2:$H$3001,O910)&gt;0,"확인필요(같은학교·같은연도)","없음")))))</f>
      </c>
      <c r="L910" t="str" s="16">
        <f aca="0">IF(OR(COUNTA(B910:J910)=0,R910&lt;&gt;""),"",COUNTIFS(보유목록!$I$2:$I$3001,"*"&amp;P910&amp;"*",보유목록!$I$2:$I$3001,"*"&amp;Q910&amp;"*"))</f>
      </c>
      <c r="M910" t="str" s="23">
        <f aca="0">IF(OR(COUNTA(B910:J910)=0,R910&lt;&gt;""),"",IFERROR(LOOKUP(2,1/(ISNUMBER(SEARCH(P910,보유목록!$I$2:$I$3001))*ISNUMBER(SEARCH(Q910,보유목록!$I$2:$I$3001))*(보유목록!$H$2:$H$3001=O910)),보유목록!$B$2:$B$3001),IFERROR(LOOKUP(2,1/(ISNUMBER(SEARCH(P910,보유목록!$I$2:$I$3001))*ISNUMBER(SEARCH(Q910,보유목록!$I$2:$I$3001))),보유목록!$B$2:$B$3001),"")))</f>
      </c>
      <c r="N910" s="25"/>
      <c r="O910" t="str">
        <f>IFERROR(IF(AND(LEN(SUBSTITUTE(SUBSTITUTE(SUBSTITUTE(TRIM(C910&amp;""),CHAR(160),"")," ",""),"년",""))=4,VALUE(SUBSTITUTE(SUBSTITUTE(SUBSTITUTE(TRIM(C910&amp;""),CHAR(160),"")," ",""),"년",""))&gt;=1900,VALUE(SUBSTITUTE(SUBSTITUTE(SUBSTITUTE(TRIM(C910&amp;""),CHAR(160),"")," ",""),"년",""))&lt;=2099,TEXT(VALUE(SUBSTITUTE(SUBSTITUTE(SUBSTITUTE(TRIM(C910&amp;""),CHAR(160),"")," ",""),"년","")),"0000")=SUBSTITUTE(SUBSTITUTE(SUBSTITUTE(TRIM(C910&amp;""),CHAR(160),"")," ",""),"년","")),SUBSTITUTE(SUBSTITUTE(SUBSTITUTE(TRIM(C910&amp;""),CHAR(160),"")," ",""),"년",""),""),"")</f>
      </c>
      <c r="P910" t="str">
        <f>SUBSTITUTE(SUBSTITUTE(SUBSTITUTE(SUBSTITUTE(SUBSTITUTE(SUBSTITUTE(SUBSTITUTE(SUBSTITUTE(TRIM(D910&amp;""),CHAR(160),"")," ",""),"초등학교","초"),"중학교","중"),"고등학교","고"),"~","~~"),"*","~*"),"?","~?")</f>
      </c>
      <c r="Q910" t="str">
        <f>SUBSTITUTE(SUBSTITUTE(SUBSTITUTE(SUBSTITUTE(SUBSTITUTE(SUBSTITUTE(SUBSTITUTE(SUBSTITUTE(TRIM(E910&amp;""),CHAR(160),"")," ",""),"초등학교","초"),"중학교","중"),"고등학교","고"),"~","~~"),"*","~*"),"?","~?")</f>
      </c>
      <c r="R910" t="str">
        <f>IF(COUNTA(B910:J910)=0,"",IF(AND(O910&lt;&gt;"",P910&lt;&gt;"",Q910&lt;&gt;""),"","입력누락"))</f>
      </c>
    </row>
    <row r="911" customFormat="false" ht="15" hidden="false" customHeight="false" outlineLevel="0" collapsed="false">
      <c r="A911" t="n" s="19">
        <f aca="0">IF(COUNTA(B911:J911)=0,"",ROW()-1)</f>
      </c>
      <c r="B911" s="24"/>
      <c r="C911" s="25"/>
      <c r="D911" s="8"/>
      <c r="E911" s="8"/>
      <c r="F911" s="26"/>
      <c r="G911" s="24"/>
      <c r="H911" s="25"/>
      <c r="I911" s="25"/>
      <c r="J911" s="26"/>
      <c r="K911" t="str" s="15">
        <f aca="0">IF(COUNTA(B911:J911)=0,"",IF(R911&lt;&gt;"","확인필요(입력누락)",IF(COUNTIFS(보유목록!$I$2:$I$3001,"*"&amp;P911&amp;"*",보유목록!$I$2:$I$3001,"*"&amp;Q911&amp;"*",보유목록!$H$2:$H$3001,O911)&gt;0,"있음",IF(COUNTIFS(보유목록!$I$2:$I$3001,"*"&amp;P911&amp;"*",보유목록!$I$2:$I$3001,"*"&amp;Q911&amp;"*")&gt;0,"확인필요(연도다름)",IF(COUNTIFS(보유목록!$I$2:$I$3001,"*"&amp;P911&amp;"*",보유목록!$H$2:$H$3001,O911)&gt;0,"확인필요(같은학교·같은연도)","없음")))))</f>
      </c>
      <c r="L911" t="str" s="16">
        <f aca="0">IF(OR(COUNTA(B911:J911)=0,R911&lt;&gt;""),"",COUNTIFS(보유목록!$I$2:$I$3001,"*"&amp;P911&amp;"*",보유목록!$I$2:$I$3001,"*"&amp;Q911&amp;"*"))</f>
      </c>
      <c r="M911" t="str" s="23">
        <f aca="0">IF(OR(COUNTA(B911:J911)=0,R911&lt;&gt;""),"",IFERROR(LOOKUP(2,1/(ISNUMBER(SEARCH(P911,보유목록!$I$2:$I$3001))*ISNUMBER(SEARCH(Q911,보유목록!$I$2:$I$3001))*(보유목록!$H$2:$H$3001=O911)),보유목록!$B$2:$B$3001),IFERROR(LOOKUP(2,1/(ISNUMBER(SEARCH(P911,보유목록!$I$2:$I$3001))*ISNUMBER(SEARCH(Q911,보유목록!$I$2:$I$3001))),보유목록!$B$2:$B$3001),"")))</f>
      </c>
      <c r="N911" s="25"/>
      <c r="O911" t="str">
        <f>IFERROR(IF(AND(LEN(SUBSTITUTE(SUBSTITUTE(SUBSTITUTE(TRIM(C911&amp;""),CHAR(160),"")," ",""),"년",""))=4,VALUE(SUBSTITUTE(SUBSTITUTE(SUBSTITUTE(TRIM(C911&amp;""),CHAR(160),"")," ",""),"년",""))&gt;=1900,VALUE(SUBSTITUTE(SUBSTITUTE(SUBSTITUTE(TRIM(C911&amp;""),CHAR(160),"")," ",""),"년",""))&lt;=2099,TEXT(VALUE(SUBSTITUTE(SUBSTITUTE(SUBSTITUTE(TRIM(C911&amp;""),CHAR(160),"")," ",""),"년","")),"0000")=SUBSTITUTE(SUBSTITUTE(SUBSTITUTE(TRIM(C911&amp;""),CHAR(160),"")," ",""),"년","")),SUBSTITUTE(SUBSTITUTE(SUBSTITUTE(TRIM(C911&amp;""),CHAR(160),"")," ",""),"년",""),""),"")</f>
      </c>
      <c r="P911" t="str">
        <f>SUBSTITUTE(SUBSTITUTE(SUBSTITUTE(SUBSTITUTE(SUBSTITUTE(SUBSTITUTE(SUBSTITUTE(SUBSTITUTE(TRIM(D911&amp;""),CHAR(160),"")," ",""),"초등학교","초"),"중학교","중"),"고등학교","고"),"~","~~"),"*","~*"),"?","~?")</f>
      </c>
      <c r="Q911" t="str">
        <f>SUBSTITUTE(SUBSTITUTE(SUBSTITUTE(SUBSTITUTE(SUBSTITUTE(SUBSTITUTE(SUBSTITUTE(SUBSTITUTE(TRIM(E911&amp;""),CHAR(160),"")," ",""),"초등학교","초"),"중학교","중"),"고등학교","고"),"~","~~"),"*","~*"),"?","~?")</f>
      </c>
      <c r="R911" t="str">
        <f>IF(COUNTA(B911:J911)=0,"",IF(AND(O911&lt;&gt;"",P911&lt;&gt;"",Q911&lt;&gt;""),"","입력누락"))</f>
      </c>
    </row>
    <row r="912" customFormat="false" ht="15" hidden="false" customHeight="false" outlineLevel="0" collapsed="false">
      <c r="A912" t="n" s="19">
        <f aca="0">IF(COUNTA(B912:J912)=0,"",ROW()-1)</f>
      </c>
      <c r="B912" s="24"/>
      <c r="C912" s="25"/>
      <c r="D912" s="8"/>
      <c r="E912" s="8"/>
      <c r="F912" s="26"/>
      <c r="G912" s="24"/>
      <c r="H912" s="25"/>
      <c r="I912" s="25"/>
      <c r="J912" s="26"/>
      <c r="K912" t="str" s="15">
        <f aca="0">IF(COUNTA(B912:J912)=0,"",IF(R912&lt;&gt;"","확인필요(입력누락)",IF(COUNTIFS(보유목록!$I$2:$I$3001,"*"&amp;P912&amp;"*",보유목록!$I$2:$I$3001,"*"&amp;Q912&amp;"*",보유목록!$H$2:$H$3001,O912)&gt;0,"있음",IF(COUNTIFS(보유목록!$I$2:$I$3001,"*"&amp;P912&amp;"*",보유목록!$I$2:$I$3001,"*"&amp;Q912&amp;"*")&gt;0,"확인필요(연도다름)",IF(COUNTIFS(보유목록!$I$2:$I$3001,"*"&amp;P912&amp;"*",보유목록!$H$2:$H$3001,O912)&gt;0,"확인필요(같은학교·같은연도)","없음")))))</f>
      </c>
      <c r="L912" t="str" s="16">
        <f aca="0">IF(OR(COUNTA(B912:J912)=0,R912&lt;&gt;""),"",COUNTIFS(보유목록!$I$2:$I$3001,"*"&amp;P912&amp;"*",보유목록!$I$2:$I$3001,"*"&amp;Q912&amp;"*"))</f>
      </c>
      <c r="M912" t="str" s="23">
        <f aca="0">IF(OR(COUNTA(B912:J912)=0,R912&lt;&gt;""),"",IFERROR(LOOKUP(2,1/(ISNUMBER(SEARCH(P912,보유목록!$I$2:$I$3001))*ISNUMBER(SEARCH(Q912,보유목록!$I$2:$I$3001))*(보유목록!$H$2:$H$3001=O912)),보유목록!$B$2:$B$3001),IFERROR(LOOKUP(2,1/(ISNUMBER(SEARCH(P912,보유목록!$I$2:$I$3001))*ISNUMBER(SEARCH(Q912,보유목록!$I$2:$I$3001))),보유목록!$B$2:$B$3001),"")))</f>
      </c>
      <c r="N912" s="25"/>
      <c r="O912" t="str">
        <f>IFERROR(IF(AND(LEN(SUBSTITUTE(SUBSTITUTE(SUBSTITUTE(TRIM(C912&amp;""),CHAR(160),"")," ",""),"년",""))=4,VALUE(SUBSTITUTE(SUBSTITUTE(SUBSTITUTE(TRIM(C912&amp;""),CHAR(160),"")," ",""),"년",""))&gt;=1900,VALUE(SUBSTITUTE(SUBSTITUTE(SUBSTITUTE(TRIM(C912&amp;""),CHAR(160),"")," ",""),"년",""))&lt;=2099,TEXT(VALUE(SUBSTITUTE(SUBSTITUTE(SUBSTITUTE(TRIM(C912&amp;""),CHAR(160),"")," ",""),"년","")),"0000")=SUBSTITUTE(SUBSTITUTE(SUBSTITUTE(TRIM(C912&amp;""),CHAR(160),"")," ",""),"년","")),SUBSTITUTE(SUBSTITUTE(SUBSTITUTE(TRIM(C912&amp;""),CHAR(160),"")," ",""),"년",""),""),"")</f>
      </c>
      <c r="P912" t="str">
        <f>SUBSTITUTE(SUBSTITUTE(SUBSTITUTE(SUBSTITUTE(SUBSTITUTE(SUBSTITUTE(SUBSTITUTE(SUBSTITUTE(TRIM(D912&amp;""),CHAR(160),"")," ",""),"초등학교","초"),"중학교","중"),"고등학교","고"),"~","~~"),"*","~*"),"?","~?")</f>
      </c>
      <c r="Q912" t="str">
        <f>SUBSTITUTE(SUBSTITUTE(SUBSTITUTE(SUBSTITUTE(SUBSTITUTE(SUBSTITUTE(SUBSTITUTE(SUBSTITUTE(TRIM(E912&amp;""),CHAR(160),"")," ",""),"초등학교","초"),"중학교","중"),"고등학교","고"),"~","~~"),"*","~*"),"?","~?")</f>
      </c>
      <c r="R912" t="str">
        <f>IF(COUNTA(B912:J912)=0,"",IF(AND(O912&lt;&gt;"",P912&lt;&gt;"",Q912&lt;&gt;""),"","입력누락"))</f>
      </c>
    </row>
    <row r="913" customFormat="false" ht="15" hidden="false" customHeight="false" outlineLevel="0" collapsed="false">
      <c r="A913" t="n" s="19">
        <f aca="0">IF(COUNTA(B913:J913)=0,"",ROW()-1)</f>
      </c>
      <c r="B913" s="24"/>
      <c r="C913" s="25"/>
      <c r="D913" s="8"/>
      <c r="E913" s="8"/>
      <c r="F913" s="26"/>
      <c r="G913" s="24"/>
      <c r="H913" s="25"/>
      <c r="I913" s="25"/>
      <c r="J913" s="26"/>
      <c r="K913" t="str" s="15">
        <f aca="0">IF(COUNTA(B913:J913)=0,"",IF(R913&lt;&gt;"","확인필요(입력누락)",IF(COUNTIFS(보유목록!$I$2:$I$3001,"*"&amp;P913&amp;"*",보유목록!$I$2:$I$3001,"*"&amp;Q913&amp;"*",보유목록!$H$2:$H$3001,O913)&gt;0,"있음",IF(COUNTIFS(보유목록!$I$2:$I$3001,"*"&amp;P913&amp;"*",보유목록!$I$2:$I$3001,"*"&amp;Q913&amp;"*")&gt;0,"확인필요(연도다름)",IF(COUNTIFS(보유목록!$I$2:$I$3001,"*"&amp;P913&amp;"*",보유목록!$H$2:$H$3001,O913)&gt;0,"확인필요(같은학교·같은연도)","없음")))))</f>
      </c>
      <c r="L913" t="str" s="16">
        <f aca="0">IF(OR(COUNTA(B913:J913)=0,R913&lt;&gt;""),"",COUNTIFS(보유목록!$I$2:$I$3001,"*"&amp;P913&amp;"*",보유목록!$I$2:$I$3001,"*"&amp;Q913&amp;"*"))</f>
      </c>
      <c r="M913" t="str" s="23">
        <f aca="0">IF(OR(COUNTA(B913:J913)=0,R913&lt;&gt;""),"",IFERROR(LOOKUP(2,1/(ISNUMBER(SEARCH(P913,보유목록!$I$2:$I$3001))*ISNUMBER(SEARCH(Q913,보유목록!$I$2:$I$3001))*(보유목록!$H$2:$H$3001=O913)),보유목록!$B$2:$B$3001),IFERROR(LOOKUP(2,1/(ISNUMBER(SEARCH(P913,보유목록!$I$2:$I$3001))*ISNUMBER(SEARCH(Q913,보유목록!$I$2:$I$3001))),보유목록!$B$2:$B$3001),"")))</f>
      </c>
      <c r="N913" s="25"/>
      <c r="O913" t="str">
        <f>IFERROR(IF(AND(LEN(SUBSTITUTE(SUBSTITUTE(SUBSTITUTE(TRIM(C913&amp;""),CHAR(160),"")," ",""),"년",""))=4,VALUE(SUBSTITUTE(SUBSTITUTE(SUBSTITUTE(TRIM(C913&amp;""),CHAR(160),"")," ",""),"년",""))&gt;=1900,VALUE(SUBSTITUTE(SUBSTITUTE(SUBSTITUTE(TRIM(C913&amp;""),CHAR(160),"")," ",""),"년",""))&lt;=2099,TEXT(VALUE(SUBSTITUTE(SUBSTITUTE(SUBSTITUTE(TRIM(C913&amp;""),CHAR(160),"")," ",""),"년","")),"0000")=SUBSTITUTE(SUBSTITUTE(SUBSTITUTE(TRIM(C913&amp;""),CHAR(160),"")," ",""),"년","")),SUBSTITUTE(SUBSTITUTE(SUBSTITUTE(TRIM(C913&amp;""),CHAR(160),"")," ",""),"년",""),""),"")</f>
      </c>
      <c r="P913" t="str">
        <f>SUBSTITUTE(SUBSTITUTE(SUBSTITUTE(SUBSTITUTE(SUBSTITUTE(SUBSTITUTE(SUBSTITUTE(SUBSTITUTE(TRIM(D913&amp;""),CHAR(160),"")," ",""),"초등학교","초"),"중학교","중"),"고등학교","고"),"~","~~"),"*","~*"),"?","~?")</f>
      </c>
      <c r="Q913" t="str">
        <f>SUBSTITUTE(SUBSTITUTE(SUBSTITUTE(SUBSTITUTE(SUBSTITUTE(SUBSTITUTE(SUBSTITUTE(SUBSTITUTE(TRIM(E913&amp;""),CHAR(160),"")," ",""),"초등학교","초"),"중학교","중"),"고등학교","고"),"~","~~"),"*","~*"),"?","~?")</f>
      </c>
      <c r="R913" t="str">
        <f>IF(COUNTA(B913:J913)=0,"",IF(AND(O913&lt;&gt;"",P913&lt;&gt;"",Q913&lt;&gt;""),"","입력누락"))</f>
      </c>
    </row>
    <row r="914" customFormat="false" ht="15" hidden="false" customHeight="false" outlineLevel="0" collapsed="false">
      <c r="A914" t="n" s="19">
        <f aca="0">IF(COUNTA(B914:J914)=0,"",ROW()-1)</f>
      </c>
      <c r="B914" s="24"/>
      <c r="C914" s="25"/>
      <c r="D914" s="8"/>
      <c r="E914" s="8"/>
      <c r="F914" s="26"/>
      <c r="G914" s="24"/>
      <c r="H914" s="25"/>
      <c r="I914" s="25"/>
      <c r="J914" s="26"/>
      <c r="K914" t="str" s="15">
        <f aca="0">IF(COUNTA(B914:J914)=0,"",IF(R914&lt;&gt;"","확인필요(입력누락)",IF(COUNTIFS(보유목록!$I$2:$I$3001,"*"&amp;P914&amp;"*",보유목록!$I$2:$I$3001,"*"&amp;Q914&amp;"*",보유목록!$H$2:$H$3001,O914)&gt;0,"있음",IF(COUNTIFS(보유목록!$I$2:$I$3001,"*"&amp;P914&amp;"*",보유목록!$I$2:$I$3001,"*"&amp;Q914&amp;"*")&gt;0,"확인필요(연도다름)",IF(COUNTIFS(보유목록!$I$2:$I$3001,"*"&amp;P914&amp;"*",보유목록!$H$2:$H$3001,O914)&gt;0,"확인필요(같은학교·같은연도)","없음")))))</f>
      </c>
      <c r="L914" t="str" s="16">
        <f aca="0">IF(OR(COUNTA(B914:J914)=0,R914&lt;&gt;""),"",COUNTIFS(보유목록!$I$2:$I$3001,"*"&amp;P914&amp;"*",보유목록!$I$2:$I$3001,"*"&amp;Q914&amp;"*"))</f>
      </c>
      <c r="M914" t="str" s="23">
        <f aca="0">IF(OR(COUNTA(B914:J914)=0,R914&lt;&gt;""),"",IFERROR(LOOKUP(2,1/(ISNUMBER(SEARCH(P914,보유목록!$I$2:$I$3001))*ISNUMBER(SEARCH(Q914,보유목록!$I$2:$I$3001))*(보유목록!$H$2:$H$3001=O914)),보유목록!$B$2:$B$3001),IFERROR(LOOKUP(2,1/(ISNUMBER(SEARCH(P914,보유목록!$I$2:$I$3001))*ISNUMBER(SEARCH(Q914,보유목록!$I$2:$I$3001))),보유목록!$B$2:$B$3001),"")))</f>
      </c>
      <c r="N914" s="25"/>
      <c r="O914" t="str">
        <f>IFERROR(IF(AND(LEN(SUBSTITUTE(SUBSTITUTE(SUBSTITUTE(TRIM(C914&amp;""),CHAR(160),"")," ",""),"년",""))=4,VALUE(SUBSTITUTE(SUBSTITUTE(SUBSTITUTE(TRIM(C914&amp;""),CHAR(160),"")," ",""),"년",""))&gt;=1900,VALUE(SUBSTITUTE(SUBSTITUTE(SUBSTITUTE(TRIM(C914&amp;""),CHAR(160),"")," ",""),"년",""))&lt;=2099,TEXT(VALUE(SUBSTITUTE(SUBSTITUTE(SUBSTITUTE(TRIM(C914&amp;""),CHAR(160),"")," ",""),"년","")),"0000")=SUBSTITUTE(SUBSTITUTE(SUBSTITUTE(TRIM(C914&amp;""),CHAR(160),"")," ",""),"년","")),SUBSTITUTE(SUBSTITUTE(SUBSTITUTE(TRIM(C914&amp;""),CHAR(160),"")," ",""),"년",""),""),"")</f>
      </c>
      <c r="P914" t="str">
        <f>SUBSTITUTE(SUBSTITUTE(SUBSTITUTE(SUBSTITUTE(SUBSTITUTE(SUBSTITUTE(SUBSTITUTE(SUBSTITUTE(TRIM(D914&amp;""),CHAR(160),"")," ",""),"초등학교","초"),"중학교","중"),"고등학교","고"),"~","~~"),"*","~*"),"?","~?")</f>
      </c>
      <c r="Q914" t="str">
        <f>SUBSTITUTE(SUBSTITUTE(SUBSTITUTE(SUBSTITUTE(SUBSTITUTE(SUBSTITUTE(SUBSTITUTE(SUBSTITUTE(TRIM(E914&amp;""),CHAR(160),"")," ",""),"초등학교","초"),"중학교","중"),"고등학교","고"),"~","~~"),"*","~*"),"?","~?")</f>
      </c>
      <c r="R914" t="str">
        <f>IF(COUNTA(B914:J914)=0,"",IF(AND(O914&lt;&gt;"",P914&lt;&gt;"",Q914&lt;&gt;""),"","입력누락"))</f>
      </c>
    </row>
    <row r="915" customFormat="false" ht="15" hidden="false" customHeight="false" outlineLevel="0" collapsed="false">
      <c r="A915" t="n" s="19">
        <f aca="0">IF(COUNTA(B915:J915)=0,"",ROW()-1)</f>
      </c>
      <c r="B915" s="24"/>
      <c r="C915" s="25"/>
      <c r="D915" s="8"/>
      <c r="E915" s="8"/>
      <c r="F915" s="26"/>
      <c r="G915" s="24"/>
      <c r="H915" s="25"/>
      <c r="I915" s="25"/>
      <c r="J915" s="26"/>
      <c r="K915" t="str" s="15">
        <f aca="0">IF(COUNTA(B915:J915)=0,"",IF(R915&lt;&gt;"","확인필요(입력누락)",IF(COUNTIFS(보유목록!$I$2:$I$3001,"*"&amp;P915&amp;"*",보유목록!$I$2:$I$3001,"*"&amp;Q915&amp;"*",보유목록!$H$2:$H$3001,O915)&gt;0,"있음",IF(COUNTIFS(보유목록!$I$2:$I$3001,"*"&amp;P915&amp;"*",보유목록!$I$2:$I$3001,"*"&amp;Q915&amp;"*")&gt;0,"확인필요(연도다름)",IF(COUNTIFS(보유목록!$I$2:$I$3001,"*"&amp;P915&amp;"*",보유목록!$H$2:$H$3001,O915)&gt;0,"확인필요(같은학교·같은연도)","없음")))))</f>
      </c>
      <c r="L915" t="str" s="16">
        <f aca="0">IF(OR(COUNTA(B915:J915)=0,R915&lt;&gt;""),"",COUNTIFS(보유목록!$I$2:$I$3001,"*"&amp;P915&amp;"*",보유목록!$I$2:$I$3001,"*"&amp;Q915&amp;"*"))</f>
      </c>
      <c r="M915" t="str" s="23">
        <f aca="0">IF(OR(COUNTA(B915:J915)=0,R915&lt;&gt;""),"",IFERROR(LOOKUP(2,1/(ISNUMBER(SEARCH(P915,보유목록!$I$2:$I$3001))*ISNUMBER(SEARCH(Q915,보유목록!$I$2:$I$3001))*(보유목록!$H$2:$H$3001=O915)),보유목록!$B$2:$B$3001),IFERROR(LOOKUP(2,1/(ISNUMBER(SEARCH(P915,보유목록!$I$2:$I$3001))*ISNUMBER(SEARCH(Q915,보유목록!$I$2:$I$3001))),보유목록!$B$2:$B$3001),"")))</f>
      </c>
      <c r="N915" s="25"/>
      <c r="O915" t="str">
        <f>IFERROR(IF(AND(LEN(SUBSTITUTE(SUBSTITUTE(SUBSTITUTE(TRIM(C915&amp;""),CHAR(160),"")," ",""),"년",""))=4,VALUE(SUBSTITUTE(SUBSTITUTE(SUBSTITUTE(TRIM(C915&amp;""),CHAR(160),"")," ",""),"년",""))&gt;=1900,VALUE(SUBSTITUTE(SUBSTITUTE(SUBSTITUTE(TRIM(C915&amp;""),CHAR(160),"")," ",""),"년",""))&lt;=2099,TEXT(VALUE(SUBSTITUTE(SUBSTITUTE(SUBSTITUTE(TRIM(C915&amp;""),CHAR(160),"")," ",""),"년","")),"0000")=SUBSTITUTE(SUBSTITUTE(SUBSTITUTE(TRIM(C915&amp;""),CHAR(160),"")," ",""),"년","")),SUBSTITUTE(SUBSTITUTE(SUBSTITUTE(TRIM(C915&amp;""),CHAR(160),"")," ",""),"년",""),""),"")</f>
      </c>
      <c r="P915" t="str">
        <f>SUBSTITUTE(SUBSTITUTE(SUBSTITUTE(SUBSTITUTE(SUBSTITUTE(SUBSTITUTE(SUBSTITUTE(SUBSTITUTE(TRIM(D915&amp;""),CHAR(160),"")," ",""),"초등학교","초"),"중학교","중"),"고등학교","고"),"~","~~"),"*","~*"),"?","~?")</f>
      </c>
      <c r="Q915" t="str">
        <f>SUBSTITUTE(SUBSTITUTE(SUBSTITUTE(SUBSTITUTE(SUBSTITUTE(SUBSTITUTE(SUBSTITUTE(SUBSTITUTE(TRIM(E915&amp;""),CHAR(160),"")," ",""),"초등학교","초"),"중학교","중"),"고등학교","고"),"~","~~"),"*","~*"),"?","~?")</f>
      </c>
      <c r="R915" t="str">
        <f>IF(COUNTA(B915:J915)=0,"",IF(AND(O915&lt;&gt;"",P915&lt;&gt;"",Q915&lt;&gt;""),"","입력누락"))</f>
      </c>
    </row>
    <row r="916" customFormat="false" ht="15" hidden="false" customHeight="false" outlineLevel="0" collapsed="false">
      <c r="A916" t="n" s="19">
        <f aca="0">IF(COUNTA(B916:J916)=0,"",ROW()-1)</f>
      </c>
      <c r="B916" s="24"/>
      <c r="C916" s="25"/>
      <c r="D916" s="8"/>
      <c r="E916" s="8"/>
      <c r="F916" s="26"/>
      <c r="G916" s="24"/>
      <c r="H916" s="25"/>
      <c r="I916" s="25"/>
      <c r="J916" s="26"/>
      <c r="K916" t="str" s="15">
        <f aca="0">IF(COUNTA(B916:J916)=0,"",IF(R916&lt;&gt;"","확인필요(입력누락)",IF(COUNTIFS(보유목록!$I$2:$I$3001,"*"&amp;P916&amp;"*",보유목록!$I$2:$I$3001,"*"&amp;Q916&amp;"*",보유목록!$H$2:$H$3001,O916)&gt;0,"있음",IF(COUNTIFS(보유목록!$I$2:$I$3001,"*"&amp;P916&amp;"*",보유목록!$I$2:$I$3001,"*"&amp;Q916&amp;"*")&gt;0,"확인필요(연도다름)",IF(COUNTIFS(보유목록!$I$2:$I$3001,"*"&amp;P916&amp;"*",보유목록!$H$2:$H$3001,O916)&gt;0,"확인필요(같은학교·같은연도)","없음")))))</f>
      </c>
      <c r="L916" t="str" s="16">
        <f aca="0">IF(OR(COUNTA(B916:J916)=0,R916&lt;&gt;""),"",COUNTIFS(보유목록!$I$2:$I$3001,"*"&amp;P916&amp;"*",보유목록!$I$2:$I$3001,"*"&amp;Q916&amp;"*"))</f>
      </c>
      <c r="M916" t="str" s="23">
        <f aca="0">IF(OR(COUNTA(B916:J916)=0,R916&lt;&gt;""),"",IFERROR(LOOKUP(2,1/(ISNUMBER(SEARCH(P916,보유목록!$I$2:$I$3001))*ISNUMBER(SEARCH(Q916,보유목록!$I$2:$I$3001))*(보유목록!$H$2:$H$3001=O916)),보유목록!$B$2:$B$3001),IFERROR(LOOKUP(2,1/(ISNUMBER(SEARCH(P916,보유목록!$I$2:$I$3001))*ISNUMBER(SEARCH(Q916,보유목록!$I$2:$I$3001))),보유목록!$B$2:$B$3001),"")))</f>
      </c>
      <c r="N916" s="25"/>
      <c r="O916" t="str">
        <f>IFERROR(IF(AND(LEN(SUBSTITUTE(SUBSTITUTE(SUBSTITUTE(TRIM(C916&amp;""),CHAR(160),"")," ",""),"년",""))=4,VALUE(SUBSTITUTE(SUBSTITUTE(SUBSTITUTE(TRIM(C916&amp;""),CHAR(160),"")," ",""),"년",""))&gt;=1900,VALUE(SUBSTITUTE(SUBSTITUTE(SUBSTITUTE(TRIM(C916&amp;""),CHAR(160),"")," ",""),"년",""))&lt;=2099,TEXT(VALUE(SUBSTITUTE(SUBSTITUTE(SUBSTITUTE(TRIM(C916&amp;""),CHAR(160),"")," ",""),"년","")),"0000")=SUBSTITUTE(SUBSTITUTE(SUBSTITUTE(TRIM(C916&amp;""),CHAR(160),"")," ",""),"년","")),SUBSTITUTE(SUBSTITUTE(SUBSTITUTE(TRIM(C916&amp;""),CHAR(160),"")," ",""),"년",""),""),"")</f>
      </c>
      <c r="P916" t="str">
        <f>SUBSTITUTE(SUBSTITUTE(SUBSTITUTE(SUBSTITUTE(SUBSTITUTE(SUBSTITUTE(SUBSTITUTE(SUBSTITUTE(TRIM(D916&amp;""),CHAR(160),"")," ",""),"초등학교","초"),"중학교","중"),"고등학교","고"),"~","~~"),"*","~*"),"?","~?")</f>
      </c>
      <c r="Q916" t="str">
        <f>SUBSTITUTE(SUBSTITUTE(SUBSTITUTE(SUBSTITUTE(SUBSTITUTE(SUBSTITUTE(SUBSTITUTE(SUBSTITUTE(TRIM(E916&amp;""),CHAR(160),"")," ",""),"초등학교","초"),"중학교","중"),"고등학교","고"),"~","~~"),"*","~*"),"?","~?")</f>
      </c>
      <c r="R916" t="str">
        <f>IF(COUNTA(B916:J916)=0,"",IF(AND(O916&lt;&gt;"",P916&lt;&gt;"",Q916&lt;&gt;""),"","입력누락"))</f>
      </c>
    </row>
    <row r="917" customFormat="false" ht="15" hidden="false" customHeight="false" outlineLevel="0" collapsed="false">
      <c r="A917" t="n" s="19">
        <f aca="0">IF(COUNTA(B917:J917)=0,"",ROW()-1)</f>
      </c>
      <c r="B917" s="24"/>
      <c r="C917" s="25"/>
      <c r="D917" s="8"/>
      <c r="E917" s="8"/>
      <c r="F917" s="26"/>
      <c r="G917" s="24"/>
      <c r="H917" s="25"/>
      <c r="I917" s="25"/>
      <c r="J917" s="26"/>
      <c r="K917" t="str" s="15">
        <f aca="0">IF(COUNTA(B917:J917)=0,"",IF(R917&lt;&gt;"","확인필요(입력누락)",IF(COUNTIFS(보유목록!$I$2:$I$3001,"*"&amp;P917&amp;"*",보유목록!$I$2:$I$3001,"*"&amp;Q917&amp;"*",보유목록!$H$2:$H$3001,O917)&gt;0,"있음",IF(COUNTIFS(보유목록!$I$2:$I$3001,"*"&amp;P917&amp;"*",보유목록!$I$2:$I$3001,"*"&amp;Q917&amp;"*")&gt;0,"확인필요(연도다름)",IF(COUNTIFS(보유목록!$I$2:$I$3001,"*"&amp;P917&amp;"*",보유목록!$H$2:$H$3001,O917)&gt;0,"확인필요(같은학교·같은연도)","없음")))))</f>
      </c>
      <c r="L917" t="str" s="16">
        <f aca="0">IF(OR(COUNTA(B917:J917)=0,R917&lt;&gt;""),"",COUNTIFS(보유목록!$I$2:$I$3001,"*"&amp;P917&amp;"*",보유목록!$I$2:$I$3001,"*"&amp;Q917&amp;"*"))</f>
      </c>
      <c r="M917" t="str" s="23">
        <f aca="0">IF(OR(COUNTA(B917:J917)=0,R917&lt;&gt;""),"",IFERROR(LOOKUP(2,1/(ISNUMBER(SEARCH(P917,보유목록!$I$2:$I$3001))*ISNUMBER(SEARCH(Q917,보유목록!$I$2:$I$3001))*(보유목록!$H$2:$H$3001=O917)),보유목록!$B$2:$B$3001),IFERROR(LOOKUP(2,1/(ISNUMBER(SEARCH(P917,보유목록!$I$2:$I$3001))*ISNUMBER(SEARCH(Q917,보유목록!$I$2:$I$3001))),보유목록!$B$2:$B$3001),"")))</f>
      </c>
      <c r="N917" s="25"/>
      <c r="O917" t="str">
        <f>IFERROR(IF(AND(LEN(SUBSTITUTE(SUBSTITUTE(SUBSTITUTE(TRIM(C917&amp;""),CHAR(160),"")," ",""),"년",""))=4,VALUE(SUBSTITUTE(SUBSTITUTE(SUBSTITUTE(TRIM(C917&amp;""),CHAR(160),"")," ",""),"년",""))&gt;=1900,VALUE(SUBSTITUTE(SUBSTITUTE(SUBSTITUTE(TRIM(C917&amp;""),CHAR(160),"")," ",""),"년",""))&lt;=2099,TEXT(VALUE(SUBSTITUTE(SUBSTITUTE(SUBSTITUTE(TRIM(C917&amp;""),CHAR(160),"")," ",""),"년","")),"0000")=SUBSTITUTE(SUBSTITUTE(SUBSTITUTE(TRIM(C917&amp;""),CHAR(160),"")," ",""),"년","")),SUBSTITUTE(SUBSTITUTE(SUBSTITUTE(TRIM(C917&amp;""),CHAR(160),"")," ",""),"년",""),""),"")</f>
      </c>
      <c r="P917" t="str">
        <f>SUBSTITUTE(SUBSTITUTE(SUBSTITUTE(SUBSTITUTE(SUBSTITUTE(SUBSTITUTE(SUBSTITUTE(SUBSTITUTE(TRIM(D917&amp;""),CHAR(160),"")," ",""),"초등학교","초"),"중학교","중"),"고등학교","고"),"~","~~"),"*","~*"),"?","~?")</f>
      </c>
      <c r="Q917" t="str">
        <f>SUBSTITUTE(SUBSTITUTE(SUBSTITUTE(SUBSTITUTE(SUBSTITUTE(SUBSTITUTE(SUBSTITUTE(SUBSTITUTE(TRIM(E917&amp;""),CHAR(160),"")," ",""),"초등학교","초"),"중학교","중"),"고등학교","고"),"~","~~"),"*","~*"),"?","~?")</f>
      </c>
      <c r="R917" t="str">
        <f>IF(COUNTA(B917:J917)=0,"",IF(AND(O917&lt;&gt;"",P917&lt;&gt;"",Q917&lt;&gt;""),"","입력누락"))</f>
      </c>
    </row>
    <row r="918" customFormat="false" ht="15" hidden="false" customHeight="false" outlineLevel="0" collapsed="false">
      <c r="A918" t="n" s="19">
        <f aca="0">IF(COUNTA(B918:J918)=0,"",ROW()-1)</f>
      </c>
      <c r="B918" s="24"/>
      <c r="C918" s="25"/>
      <c r="D918" s="8"/>
      <c r="E918" s="8"/>
      <c r="F918" s="26"/>
      <c r="G918" s="24"/>
      <c r="H918" s="25"/>
      <c r="I918" s="25"/>
      <c r="J918" s="26"/>
      <c r="K918" t="str" s="15">
        <f aca="0">IF(COUNTA(B918:J918)=0,"",IF(R918&lt;&gt;"","확인필요(입력누락)",IF(COUNTIFS(보유목록!$I$2:$I$3001,"*"&amp;P918&amp;"*",보유목록!$I$2:$I$3001,"*"&amp;Q918&amp;"*",보유목록!$H$2:$H$3001,O918)&gt;0,"있음",IF(COUNTIFS(보유목록!$I$2:$I$3001,"*"&amp;P918&amp;"*",보유목록!$I$2:$I$3001,"*"&amp;Q918&amp;"*")&gt;0,"확인필요(연도다름)",IF(COUNTIFS(보유목록!$I$2:$I$3001,"*"&amp;P918&amp;"*",보유목록!$H$2:$H$3001,O918)&gt;0,"확인필요(같은학교·같은연도)","없음")))))</f>
      </c>
      <c r="L918" t="str" s="16">
        <f aca="0">IF(OR(COUNTA(B918:J918)=0,R918&lt;&gt;""),"",COUNTIFS(보유목록!$I$2:$I$3001,"*"&amp;P918&amp;"*",보유목록!$I$2:$I$3001,"*"&amp;Q918&amp;"*"))</f>
      </c>
      <c r="M918" t="str" s="23">
        <f aca="0">IF(OR(COUNTA(B918:J918)=0,R918&lt;&gt;""),"",IFERROR(LOOKUP(2,1/(ISNUMBER(SEARCH(P918,보유목록!$I$2:$I$3001))*ISNUMBER(SEARCH(Q918,보유목록!$I$2:$I$3001))*(보유목록!$H$2:$H$3001=O918)),보유목록!$B$2:$B$3001),IFERROR(LOOKUP(2,1/(ISNUMBER(SEARCH(P918,보유목록!$I$2:$I$3001))*ISNUMBER(SEARCH(Q918,보유목록!$I$2:$I$3001))),보유목록!$B$2:$B$3001),"")))</f>
      </c>
      <c r="N918" s="25"/>
      <c r="O918" t="str">
        <f>IFERROR(IF(AND(LEN(SUBSTITUTE(SUBSTITUTE(SUBSTITUTE(TRIM(C918&amp;""),CHAR(160),"")," ",""),"년",""))=4,VALUE(SUBSTITUTE(SUBSTITUTE(SUBSTITUTE(TRIM(C918&amp;""),CHAR(160),"")," ",""),"년",""))&gt;=1900,VALUE(SUBSTITUTE(SUBSTITUTE(SUBSTITUTE(TRIM(C918&amp;""),CHAR(160),"")," ",""),"년",""))&lt;=2099,TEXT(VALUE(SUBSTITUTE(SUBSTITUTE(SUBSTITUTE(TRIM(C918&amp;""),CHAR(160),"")," ",""),"년","")),"0000")=SUBSTITUTE(SUBSTITUTE(SUBSTITUTE(TRIM(C918&amp;""),CHAR(160),"")," ",""),"년","")),SUBSTITUTE(SUBSTITUTE(SUBSTITUTE(TRIM(C918&amp;""),CHAR(160),"")," ",""),"년",""),""),"")</f>
      </c>
      <c r="P918" t="str">
        <f>SUBSTITUTE(SUBSTITUTE(SUBSTITUTE(SUBSTITUTE(SUBSTITUTE(SUBSTITUTE(SUBSTITUTE(SUBSTITUTE(TRIM(D918&amp;""),CHAR(160),"")," ",""),"초등학교","초"),"중학교","중"),"고등학교","고"),"~","~~"),"*","~*"),"?","~?")</f>
      </c>
      <c r="Q918" t="str">
        <f>SUBSTITUTE(SUBSTITUTE(SUBSTITUTE(SUBSTITUTE(SUBSTITUTE(SUBSTITUTE(SUBSTITUTE(SUBSTITUTE(TRIM(E918&amp;""),CHAR(160),"")," ",""),"초등학교","초"),"중학교","중"),"고등학교","고"),"~","~~"),"*","~*"),"?","~?")</f>
      </c>
      <c r="R918" t="str">
        <f>IF(COUNTA(B918:J918)=0,"",IF(AND(O918&lt;&gt;"",P918&lt;&gt;"",Q918&lt;&gt;""),"","입력누락"))</f>
      </c>
    </row>
    <row r="919" customFormat="false" ht="15" hidden="false" customHeight="false" outlineLevel="0" collapsed="false">
      <c r="A919" t="n" s="19">
        <f aca="0">IF(COUNTA(B919:J919)=0,"",ROW()-1)</f>
      </c>
      <c r="B919" s="24"/>
      <c r="C919" s="25"/>
      <c r="D919" s="8"/>
      <c r="E919" s="8"/>
      <c r="F919" s="26"/>
      <c r="G919" s="24"/>
      <c r="H919" s="25"/>
      <c r="I919" s="25"/>
      <c r="J919" s="26"/>
      <c r="K919" t="str" s="15">
        <f aca="0">IF(COUNTA(B919:J919)=0,"",IF(R919&lt;&gt;"","확인필요(입력누락)",IF(COUNTIFS(보유목록!$I$2:$I$3001,"*"&amp;P919&amp;"*",보유목록!$I$2:$I$3001,"*"&amp;Q919&amp;"*",보유목록!$H$2:$H$3001,O919)&gt;0,"있음",IF(COUNTIFS(보유목록!$I$2:$I$3001,"*"&amp;P919&amp;"*",보유목록!$I$2:$I$3001,"*"&amp;Q919&amp;"*")&gt;0,"확인필요(연도다름)",IF(COUNTIFS(보유목록!$I$2:$I$3001,"*"&amp;P919&amp;"*",보유목록!$H$2:$H$3001,O919)&gt;0,"확인필요(같은학교·같은연도)","없음")))))</f>
      </c>
      <c r="L919" t="str" s="16">
        <f aca="0">IF(OR(COUNTA(B919:J919)=0,R919&lt;&gt;""),"",COUNTIFS(보유목록!$I$2:$I$3001,"*"&amp;P919&amp;"*",보유목록!$I$2:$I$3001,"*"&amp;Q919&amp;"*"))</f>
      </c>
      <c r="M919" t="str" s="23">
        <f aca="0">IF(OR(COUNTA(B919:J919)=0,R919&lt;&gt;""),"",IFERROR(LOOKUP(2,1/(ISNUMBER(SEARCH(P919,보유목록!$I$2:$I$3001))*ISNUMBER(SEARCH(Q919,보유목록!$I$2:$I$3001))*(보유목록!$H$2:$H$3001=O919)),보유목록!$B$2:$B$3001),IFERROR(LOOKUP(2,1/(ISNUMBER(SEARCH(P919,보유목록!$I$2:$I$3001))*ISNUMBER(SEARCH(Q919,보유목록!$I$2:$I$3001))),보유목록!$B$2:$B$3001),"")))</f>
      </c>
      <c r="N919" s="25"/>
      <c r="O919" t="str">
        <f>IFERROR(IF(AND(LEN(SUBSTITUTE(SUBSTITUTE(SUBSTITUTE(TRIM(C919&amp;""),CHAR(160),"")," ",""),"년",""))=4,VALUE(SUBSTITUTE(SUBSTITUTE(SUBSTITUTE(TRIM(C919&amp;""),CHAR(160),"")," ",""),"년",""))&gt;=1900,VALUE(SUBSTITUTE(SUBSTITUTE(SUBSTITUTE(TRIM(C919&amp;""),CHAR(160),"")," ",""),"년",""))&lt;=2099,TEXT(VALUE(SUBSTITUTE(SUBSTITUTE(SUBSTITUTE(TRIM(C919&amp;""),CHAR(160),"")," ",""),"년","")),"0000")=SUBSTITUTE(SUBSTITUTE(SUBSTITUTE(TRIM(C919&amp;""),CHAR(160),"")," ",""),"년","")),SUBSTITUTE(SUBSTITUTE(SUBSTITUTE(TRIM(C919&amp;""),CHAR(160),"")," ",""),"년",""),""),"")</f>
      </c>
      <c r="P919" t="str">
        <f>SUBSTITUTE(SUBSTITUTE(SUBSTITUTE(SUBSTITUTE(SUBSTITUTE(SUBSTITUTE(SUBSTITUTE(SUBSTITUTE(TRIM(D919&amp;""),CHAR(160),"")," ",""),"초등학교","초"),"중학교","중"),"고등학교","고"),"~","~~"),"*","~*"),"?","~?")</f>
      </c>
      <c r="Q919" t="str">
        <f>SUBSTITUTE(SUBSTITUTE(SUBSTITUTE(SUBSTITUTE(SUBSTITUTE(SUBSTITUTE(SUBSTITUTE(SUBSTITUTE(TRIM(E919&amp;""),CHAR(160),"")," ",""),"초등학교","초"),"중학교","중"),"고등학교","고"),"~","~~"),"*","~*"),"?","~?")</f>
      </c>
      <c r="R919" t="str">
        <f>IF(COUNTA(B919:J919)=0,"",IF(AND(O919&lt;&gt;"",P919&lt;&gt;"",Q919&lt;&gt;""),"","입력누락"))</f>
      </c>
    </row>
    <row r="920" customFormat="false" ht="15" hidden="false" customHeight="false" outlineLevel="0" collapsed="false">
      <c r="A920" t="n" s="19">
        <f aca="0">IF(COUNTA(B920:J920)=0,"",ROW()-1)</f>
      </c>
      <c r="B920" s="24"/>
      <c r="C920" s="25"/>
      <c r="D920" s="8"/>
      <c r="E920" s="8"/>
      <c r="F920" s="26"/>
      <c r="G920" s="24"/>
      <c r="H920" s="25"/>
      <c r="I920" s="25"/>
      <c r="J920" s="26"/>
      <c r="K920" t="str" s="15">
        <f aca="0">IF(COUNTA(B920:J920)=0,"",IF(R920&lt;&gt;"","확인필요(입력누락)",IF(COUNTIFS(보유목록!$I$2:$I$3001,"*"&amp;P920&amp;"*",보유목록!$I$2:$I$3001,"*"&amp;Q920&amp;"*",보유목록!$H$2:$H$3001,O920)&gt;0,"있음",IF(COUNTIFS(보유목록!$I$2:$I$3001,"*"&amp;P920&amp;"*",보유목록!$I$2:$I$3001,"*"&amp;Q920&amp;"*")&gt;0,"확인필요(연도다름)",IF(COUNTIFS(보유목록!$I$2:$I$3001,"*"&amp;P920&amp;"*",보유목록!$H$2:$H$3001,O920)&gt;0,"확인필요(같은학교·같은연도)","없음")))))</f>
      </c>
      <c r="L920" t="str" s="16">
        <f aca="0">IF(OR(COUNTA(B920:J920)=0,R920&lt;&gt;""),"",COUNTIFS(보유목록!$I$2:$I$3001,"*"&amp;P920&amp;"*",보유목록!$I$2:$I$3001,"*"&amp;Q920&amp;"*"))</f>
      </c>
      <c r="M920" t="str" s="23">
        <f aca="0">IF(OR(COUNTA(B920:J920)=0,R920&lt;&gt;""),"",IFERROR(LOOKUP(2,1/(ISNUMBER(SEARCH(P920,보유목록!$I$2:$I$3001))*ISNUMBER(SEARCH(Q920,보유목록!$I$2:$I$3001))*(보유목록!$H$2:$H$3001=O920)),보유목록!$B$2:$B$3001),IFERROR(LOOKUP(2,1/(ISNUMBER(SEARCH(P920,보유목록!$I$2:$I$3001))*ISNUMBER(SEARCH(Q920,보유목록!$I$2:$I$3001))),보유목록!$B$2:$B$3001),"")))</f>
      </c>
      <c r="N920" s="25"/>
      <c r="O920" t="str">
        <f>IFERROR(IF(AND(LEN(SUBSTITUTE(SUBSTITUTE(SUBSTITUTE(TRIM(C920&amp;""),CHAR(160),"")," ",""),"년",""))=4,VALUE(SUBSTITUTE(SUBSTITUTE(SUBSTITUTE(TRIM(C920&amp;""),CHAR(160),"")," ",""),"년",""))&gt;=1900,VALUE(SUBSTITUTE(SUBSTITUTE(SUBSTITUTE(TRIM(C920&amp;""),CHAR(160),"")," ",""),"년",""))&lt;=2099,TEXT(VALUE(SUBSTITUTE(SUBSTITUTE(SUBSTITUTE(TRIM(C920&amp;""),CHAR(160),"")," ",""),"년","")),"0000")=SUBSTITUTE(SUBSTITUTE(SUBSTITUTE(TRIM(C920&amp;""),CHAR(160),"")," ",""),"년","")),SUBSTITUTE(SUBSTITUTE(SUBSTITUTE(TRIM(C920&amp;""),CHAR(160),"")," ",""),"년",""),""),"")</f>
      </c>
      <c r="P920" t="str">
        <f>SUBSTITUTE(SUBSTITUTE(SUBSTITUTE(SUBSTITUTE(SUBSTITUTE(SUBSTITUTE(SUBSTITUTE(SUBSTITUTE(TRIM(D920&amp;""),CHAR(160),"")," ",""),"초등학교","초"),"중학교","중"),"고등학교","고"),"~","~~"),"*","~*"),"?","~?")</f>
      </c>
      <c r="Q920" t="str">
        <f>SUBSTITUTE(SUBSTITUTE(SUBSTITUTE(SUBSTITUTE(SUBSTITUTE(SUBSTITUTE(SUBSTITUTE(SUBSTITUTE(TRIM(E920&amp;""),CHAR(160),"")," ",""),"초등학교","초"),"중학교","중"),"고등학교","고"),"~","~~"),"*","~*"),"?","~?")</f>
      </c>
      <c r="R920" t="str">
        <f>IF(COUNTA(B920:J920)=0,"",IF(AND(O920&lt;&gt;"",P920&lt;&gt;"",Q920&lt;&gt;""),"","입력누락"))</f>
      </c>
    </row>
    <row r="921" customFormat="false" ht="15" hidden="false" customHeight="false" outlineLevel="0" collapsed="false">
      <c r="A921" t="n" s="19">
        <f aca="0">IF(COUNTA(B921:J921)=0,"",ROW()-1)</f>
      </c>
      <c r="B921" s="24"/>
      <c r="C921" s="25"/>
      <c r="D921" s="8"/>
      <c r="E921" s="8"/>
      <c r="F921" s="26"/>
      <c r="G921" s="24"/>
      <c r="H921" s="25"/>
      <c r="I921" s="25"/>
      <c r="J921" s="26"/>
      <c r="K921" t="str" s="15">
        <f aca="0">IF(COUNTA(B921:J921)=0,"",IF(R921&lt;&gt;"","확인필요(입력누락)",IF(COUNTIFS(보유목록!$I$2:$I$3001,"*"&amp;P921&amp;"*",보유목록!$I$2:$I$3001,"*"&amp;Q921&amp;"*",보유목록!$H$2:$H$3001,O921)&gt;0,"있음",IF(COUNTIFS(보유목록!$I$2:$I$3001,"*"&amp;P921&amp;"*",보유목록!$I$2:$I$3001,"*"&amp;Q921&amp;"*")&gt;0,"확인필요(연도다름)",IF(COUNTIFS(보유목록!$I$2:$I$3001,"*"&amp;P921&amp;"*",보유목록!$H$2:$H$3001,O921)&gt;0,"확인필요(같은학교·같은연도)","없음")))))</f>
      </c>
      <c r="L921" t="str" s="16">
        <f aca="0">IF(OR(COUNTA(B921:J921)=0,R921&lt;&gt;""),"",COUNTIFS(보유목록!$I$2:$I$3001,"*"&amp;P921&amp;"*",보유목록!$I$2:$I$3001,"*"&amp;Q921&amp;"*"))</f>
      </c>
      <c r="M921" t="str" s="23">
        <f aca="0">IF(OR(COUNTA(B921:J921)=0,R921&lt;&gt;""),"",IFERROR(LOOKUP(2,1/(ISNUMBER(SEARCH(P921,보유목록!$I$2:$I$3001))*ISNUMBER(SEARCH(Q921,보유목록!$I$2:$I$3001))*(보유목록!$H$2:$H$3001=O921)),보유목록!$B$2:$B$3001),IFERROR(LOOKUP(2,1/(ISNUMBER(SEARCH(P921,보유목록!$I$2:$I$3001))*ISNUMBER(SEARCH(Q921,보유목록!$I$2:$I$3001))),보유목록!$B$2:$B$3001),"")))</f>
      </c>
      <c r="N921" s="25"/>
      <c r="O921" t="str">
        <f>IFERROR(IF(AND(LEN(SUBSTITUTE(SUBSTITUTE(SUBSTITUTE(TRIM(C921&amp;""),CHAR(160),"")," ",""),"년",""))=4,VALUE(SUBSTITUTE(SUBSTITUTE(SUBSTITUTE(TRIM(C921&amp;""),CHAR(160),"")," ",""),"년",""))&gt;=1900,VALUE(SUBSTITUTE(SUBSTITUTE(SUBSTITUTE(TRIM(C921&amp;""),CHAR(160),"")," ",""),"년",""))&lt;=2099,TEXT(VALUE(SUBSTITUTE(SUBSTITUTE(SUBSTITUTE(TRIM(C921&amp;""),CHAR(160),"")," ",""),"년","")),"0000")=SUBSTITUTE(SUBSTITUTE(SUBSTITUTE(TRIM(C921&amp;""),CHAR(160),"")," ",""),"년","")),SUBSTITUTE(SUBSTITUTE(SUBSTITUTE(TRIM(C921&amp;""),CHAR(160),"")," ",""),"년",""),""),"")</f>
      </c>
      <c r="P921" t="str">
        <f>SUBSTITUTE(SUBSTITUTE(SUBSTITUTE(SUBSTITUTE(SUBSTITUTE(SUBSTITUTE(SUBSTITUTE(SUBSTITUTE(TRIM(D921&amp;""),CHAR(160),"")," ",""),"초등학교","초"),"중학교","중"),"고등학교","고"),"~","~~"),"*","~*"),"?","~?")</f>
      </c>
      <c r="Q921" t="str">
        <f>SUBSTITUTE(SUBSTITUTE(SUBSTITUTE(SUBSTITUTE(SUBSTITUTE(SUBSTITUTE(SUBSTITUTE(SUBSTITUTE(TRIM(E921&amp;""),CHAR(160),"")," ",""),"초등학교","초"),"중학교","중"),"고등학교","고"),"~","~~"),"*","~*"),"?","~?")</f>
      </c>
      <c r="R921" t="str">
        <f>IF(COUNTA(B921:J921)=0,"",IF(AND(O921&lt;&gt;"",P921&lt;&gt;"",Q921&lt;&gt;""),"","입력누락"))</f>
      </c>
    </row>
    <row r="922" customFormat="false" ht="15" hidden="false" customHeight="false" outlineLevel="0" collapsed="false">
      <c r="A922" t="n" s="19">
        <f aca="0">IF(COUNTA(B922:J922)=0,"",ROW()-1)</f>
      </c>
      <c r="B922" s="24"/>
      <c r="C922" s="25"/>
      <c r="D922" s="8"/>
      <c r="E922" s="8"/>
      <c r="F922" s="26"/>
      <c r="G922" s="24"/>
      <c r="H922" s="25"/>
      <c r="I922" s="25"/>
      <c r="J922" s="26"/>
      <c r="K922" t="str" s="15">
        <f aca="0">IF(COUNTA(B922:J922)=0,"",IF(R922&lt;&gt;"","확인필요(입력누락)",IF(COUNTIFS(보유목록!$I$2:$I$3001,"*"&amp;P922&amp;"*",보유목록!$I$2:$I$3001,"*"&amp;Q922&amp;"*",보유목록!$H$2:$H$3001,O922)&gt;0,"있음",IF(COUNTIFS(보유목록!$I$2:$I$3001,"*"&amp;P922&amp;"*",보유목록!$I$2:$I$3001,"*"&amp;Q922&amp;"*")&gt;0,"확인필요(연도다름)",IF(COUNTIFS(보유목록!$I$2:$I$3001,"*"&amp;P922&amp;"*",보유목록!$H$2:$H$3001,O922)&gt;0,"확인필요(같은학교·같은연도)","없음")))))</f>
      </c>
      <c r="L922" t="str" s="16">
        <f aca="0">IF(OR(COUNTA(B922:J922)=0,R922&lt;&gt;""),"",COUNTIFS(보유목록!$I$2:$I$3001,"*"&amp;P922&amp;"*",보유목록!$I$2:$I$3001,"*"&amp;Q922&amp;"*"))</f>
      </c>
      <c r="M922" t="str" s="23">
        <f aca="0">IF(OR(COUNTA(B922:J922)=0,R922&lt;&gt;""),"",IFERROR(LOOKUP(2,1/(ISNUMBER(SEARCH(P922,보유목록!$I$2:$I$3001))*ISNUMBER(SEARCH(Q922,보유목록!$I$2:$I$3001))*(보유목록!$H$2:$H$3001=O922)),보유목록!$B$2:$B$3001),IFERROR(LOOKUP(2,1/(ISNUMBER(SEARCH(P922,보유목록!$I$2:$I$3001))*ISNUMBER(SEARCH(Q922,보유목록!$I$2:$I$3001))),보유목록!$B$2:$B$3001),"")))</f>
      </c>
      <c r="N922" s="25"/>
      <c r="O922" t="str">
        <f>IFERROR(IF(AND(LEN(SUBSTITUTE(SUBSTITUTE(SUBSTITUTE(TRIM(C922&amp;""),CHAR(160),"")," ",""),"년",""))=4,VALUE(SUBSTITUTE(SUBSTITUTE(SUBSTITUTE(TRIM(C922&amp;""),CHAR(160),"")," ",""),"년",""))&gt;=1900,VALUE(SUBSTITUTE(SUBSTITUTE(SUBSTITUTE(TRIM(C922&amp;""),CHAR(160),"")," ",""),"년",""))&lt;=2099,TEXT(VALUE(SUBSTITUTE(SUBSTITUTE(SUBSTITUTE(TRIM(C922&amp;""),CHAR(160),"")," ",""),"년","")),"0000")=SUBSTITUTE(SUBSTITUTE(SUBSTITUTE(TRIM(C922&amp;""),CHAR(160),"")," ",""),"년","")),SUBSTITUTE(SUBSTITUTE(SUBSTITUTE(TRIM(C922&amp;""),CHAR(160),"")," ",""),"년",""),""),"")</f>
      </c>
      <c r="P922" t="str">
        <f>SUBSTITUTE(SUBSTITUTE(SUBSTITUTE(SUBSTITUTE(SUBSTITUTE(SUBSTITUTE(SUBSTITUTE(SUBSTITUTE(TRIM(D922&amp;""),CHAR(160),"")," ",""),"초등학교","초"),"중학교","중"),"고등학교","고"),"~","~~"),"*","~*"),"?","~?")</f>
      </c>
      <c r="Q922" t="str">
        <f>SUBSTITUTE(SUBSTITUTE(SUBSTITUTE(SUBSTITUTE(SUBSTITUTE(SUBSTITUTE(SUBSTITUTE(SUBSTITUTE(TRIM(E922&amp;""),CHAR(160),"")," ",""),"초등학교","초"),"중학교","중"),"고등학교","고"),"~","~~"),"*","~*"),"?","~?")</f>
      </c>
      <c r="R922" t="str">
        <f>IF(COUNTA(B922:J922)=0,"",IF(AND(O922&lt;&gt;"",P922&lt;&gt;"",Q922&lt;&gt;""),"","입력누락"))</f>
      </c>
    </row>
    <row r="923" customFormat="false" ht="15" hidden="false" customHeight="false" outlineLevel="0" collapsed="false">
      <c r="A923" t="n" s="19">
        <f aca="0">IF(COUNTA(B923:J923)=0,"",ROW()-1)</f>
      </c>
      <c r="B923" s="24"/>
      <c r="C923" s="25"/>
      <c r="D923" s="8"/>
      <c r="E923" s="8"/>
      <c r="F923" s="26"/>
      <c r="G923" s="24"/>
      <c r="H923" s="25"/>
      <c r="I923" s="25"/>
      <c r="J923" s="26"/>
      <c r="K923" t="str" s="15">
        <f aca="0">IF(COUNTA(B923:J923)=0,"",IF(R923&lt;&gt;"","확인필요(입력누락)",IF(COUNTIFS(보유목록!$I$2:$I$3001,"*"&amp;P923&amp;"*",보유목록!$I$2:$I$3001,"*"&amp;Q923&amp;"*",보유목록!$H$2:$H$3001,O923)&gt;0,"있음",IF(COUNTIFS(보유목록!$I$2:$I$3001,"*"&amp;P923&amp;"*",보유목록!$I$2:$I$3001,"*"&amp;Q923&amp;"*")&gt;0,"확인필요(연도다름)",IF(COUNTIFS(보유목록!$I$2:$I$3001,"*"&amp;P923&amp;"*",보유목록!$H$2:$H$3001,O923)&gt;0,"확인필요(같은학교·같은연도)","없음")))))</f>
      </c>
      <c r="L923" t="str" s="16">
        <f aca="0">IF(OR(COUNTA(B923:J923)=0,R923&lt;&gt;""),"",COUNTIFS(보유목록!$I$2:$I$3001,"*"&amp;P923&amp;"*",보유목록!$I$2:$I$3001,"*"&amp;Q923&amp;"*"))</f>
      </c>
      <c r="M923" t="str" s="23">
        <f aca="0">IF(OR(COUNTA(B923:J923)=0,R923&lt;&gt;""),"",IFERROR(LOOKUP(2,1/(ISNUMBER(SEARCH(P923,보유목록!$I$2:$I$3001))*ISNUMBER(SEARCH(Q923,보유목록!$I$2:$I$3001))*(보유목록!$H$2:$H$3001=O923)),보유목록!$B$2:$B$3001),IFERROR(LOOKUP(2,1/(ISNUMBER(SEARCH(P923,보유목록!$I$2:$I$3001))*ISNUMBER(SEARCH(Q923,보유목록!$I$2:$I$3001))),보유목록!$B$2:$B$3001),"")))</f>
      </c>
      <c r="N923" s="25"/>
      <c r="O923" t="str">
        <f>IFERROR(IF(AND(LEN(SUBSTITUTE(SUBSTITUTE(SUBSTITUTE(TRIM(C923&amp;""),CHAR(160),"")," ",""),"년",""))=4,VALUE(SUBSTITUTE(SUBSTITUTE(SUBSTITUTE(TRIM(C923&amp;""),CHAR(160),"")," ",""),"년",""))&gt;=1900,VALUE(SUBSTITUTE(SUBSTITUTE(SUBSTITUTE(TRIM(C923&amp;""),CHAR(160),"")," ",""),"년",""))&lt;=2099,TEXT(VALUE(SUBSTITUTE(SUBSTITUTE(SUBSTITUTE(TRIM(C923&amp;""),CHAR(160),"")," ",""),"년","")),"0000")=SUBSTITUTE(SUBSTITUTE(SUBSTITUTE(TRIM(C923&amp;""),CHAR(160),"")," ",""),"년","")),SUBSTITUTE(SUBSTITUTE(SUBSTITUTE(TRIM(C923&amp;""),CHAR(160),"")," ",""),"년",""),""),"")</f>
      </c>
      <c r="P923" t="str">
        <f>SUBSTITUTE(SUBSTITUTE(SUBSTITUTE(SUBSTITUTE(SUBSTITUTE(SUBSTITUTE(SUBSTITUTE(SUBSTITUTE(TRIM(D923&amp;""),CHAR(160),"")," ",""),"초등학교","초"),"중학교","중"),"고등학교","고"),"~","~~"),"*","~*"),"?","~?")</f>
      </c>
      <c r="Q923" t="str">
        <f>SUBSTITUTE(SUBSTITUTE(SUBSTITUTE(SUBSTITUTE(SUBSTITUTE(SUBSTITUTE(SUBSTITUTE(SUBSTITUTE(TRIM(E923&amp;""),CHAR(160),"")," ",""),"초등학교","초"),"중학교","중"),"고등학교","고"),"~","~~"),"*","~*"),"?","~?")</f>
      </c>
      <c r="R923" t="str">
        <f>IF(COUNTA(B923:J923)=0,"",IF(AND(O923&lt;&gt;"",P923&lt;&gt;"",Q923&lt;&gt;""),"","입력누락"))</f>
      </c>
    </row>
    <row r="924" customFormat="false" ht="15" hidden="false" customHeight="false" outlineLevel="0" collapsed="false">
      <c r="A924" t="n" s="19">
        <f aca="0">IF(COUNTA(B924:J924)=0,"",ROW()-1)</f>
      </c>
      <c r="B924" s="24"/>
      <c r="C924" s="25"/>
      <c r="D924" s="8"/>
      <c r="E924" s="8"/>
      <c r="F924" s="26"/>
      <c r="G924" s="24"/>
      <c r="H924" s="25"/>
      <c r="I924" s="25"/>
      <c r="J924" s="26"/>
      <c r="K924" t="str" s="15">
        <f aca="0">IF(COUNTA(B924:J924)=0,"",IF(R924&lt;&gt;"","확인필요(입력누락)",IF(COUNTIFS(보유목록!$I$2:$I$3001,"*"&amp;P924&amp;"*",보유목록!$I$2:$I$3001,"*"&amp;Q924&amp;"*",보유목록!$H$2:$H$3001,O924)&gt;0,"있음",IF(COUNTIFS(보유목록!$I$2:$I$3001,"*"&amp;P924&amp;"*",보유목록!$I$2:$I$3001,"*"&amp;Q924&amp;"*")&gt;0,"확인필요(연도다름)",IF(COUNTIFS(보유목록!$I$2:$I$3001,"*"&amp;P924&amp;"*",보유목록!$H$2:$H$3001,O924)&gt;0,"확인필요(같은학교·같은연도)","없음")))))</f>
      </c>
      <c r="L924" t="str" s="16">
        <f aca="0">IF(OR(COUNTA(B924:J924)=0,R924&lt;&gt;""),"",COUNTIFS(보유목록!$I$2:$I$3001,"*"&amp;P924&amp;"*",보유목록!$I$2:$I$3001,"*"&amp;Q924&amp;"*"))</f>
      </c>
      <c r="M924" t="str" s="23">
        <f aca="0">IF(OR(COUNTA(B924:J924)=0,R924&lt;&gt;""),"",IFERROR(LOOKUP(2,1/(ISNUMBER(SEARCH(P924,보유목록!$I$2:$I$3001))*ISNUMBER(SEARCH(Q924,보유목록!$I$2:$I$3001))*(보유목록!$H$2:$H$3001=O924)),보유목록!$B$2:$B$3001),IFERROR(LOOKUP(2,1/(ISNUMBER(SEARCH(P924,보유목록!$I$2:$I$3001))*ISNUMBER(SEARCH(Q924,보유목록!$I$2:$I$3001))),보유목록!$B$2:$B$3001),"")))</f>
      </c>
      <c r="N924" s="25"/>
      <c r="O924" t="str">
        <f>IFERROR(IF(AND(LEN(SUBSTITUTE(SUBSTITUTE(SUBSTITUTE(TRIM(C924&amp;""),CHAR(160),"")," ",""),"년",""))=4,VALUE(SUBSTITUTE(SUBSTITUTE(SUBSTITUTE(TRIM(C924&amp;""),CHAR(160),"")," ",""),"년",""))&gt;=1900,VALUE(SUBSTITUTE(SUBSTITUTE(SUBSTITUTE(TRIM(C924&amp;""),CHAR(160),"")," ",""),"년",""))&lt;=2099,TEXT(VALUE(SUBSTITUTE(SUBSTITUTE(SUBSTITUTE(TRIM(C924&amp;""),CHAR(160),"")," ",""),"년","")),"0000")=SUBSTITUTE(SUBSTITUTE(SUBSTITUTE(TRIM(C924&amp;""),CHAR(160),"")," ",""),"년","")),SUBSTITUTE(SUBSTITUTE(SUBSTITUTE(TRIM(C924&amp;""),CHAR(160),"")," ",""),"년",""),""),"")</f>
      </c>
      <c r="P924" t="str">
        <f>SUBSTITUTE(SUBSTITUTE(SUBSTITUTE(SUBSTITUTE(SUBSTITUTE(SUBSTITUTE(SUBSTITUTE(SUBSTITUTE(TRIM(D924&amp;""),CHAR(160),"")," ",""),"초등학교","초"),"중학교","중"),"고등학교","고"),"~","~~"),"*","~*"),"?","~?")</f>
      </c>
      <c r="Q924" t="str">
        <f>SUBSTITUTE(SUBSTITUTE(SUBSTITUTE(SUBSTITUTE(SUBSTITUTE(SUBSTITUTE(SUBSTITUTE(SUBSTITUTE(TRIM(E924&amp;""),CHAR(160),"")," ",""),"초등학교","초"),"중학교","중"),"고등학교","고"),"~","~~"),"*","~*"),"?","~?")</f>
      </c>
      <c r="R924" t="str">
        <f>IF(COUNTA(B924:J924)=0,"",IF(AND(O924&lt;&gt;"",P924&lt;&gt;"",Q924&lt;&gt;""),"","입력누락"))</f>
      </c>
    </row>
    <row r="925" customFormat="false" ht="15" hidden="false" customHeight="false" outlineLevel="0" collapsed="false">
      <c r="A925" t="n" s="19">
        <f aca="0">IF(COUNTA(B925:J925)=0,"",ROW()-1)</f>
      </c>
      <c r="B925" s="24"/>
      <c r="C925" s="25"/>
      <c r="D925" s="8"/>
      <c r="E925" s="8"/>
      <c r="F925" s="26"/>
      <c r="G925" s="24"/>
      <c r="H925" s="25"/>
      <c r="I925" s="25"/>
      <c r="J925" s="26"/>
      <c r="K925" t="str" s="15">
        <f aca="0">IF(COUNTA(B925:J925)=0,"",IF(R925&lt;&gt;"","확인필요(입력누락)",IF(COUNTIFS(보유목록!$I$2:$I$3001,"*"&amp;P925&amp;"*",보유목록!$I$2:$I$3001,"*"&amp;Q925&amp;"*",보유목록!$H$2:$H$3001,O925)&gt;0,"있음",IF(COUNTIFS(보유목록!$I$2:$I$3001,"*"&amp;P925&amp;"*",보유목록!$I$2:$I$3001,"*"&amp;Q925&amp;"*")&gt;0,"확인필요(연도다름)",IF(COUNTIFS(보유목록!$I$2:$I$3001,"*"&amp;P925&amp;"*",보유목록!$H$2:$H$3001,O925)&gt;0,"확인필요(같은학교·같은연도)","없음")))))</f>
      </c>
      <c r="L925" t="str" s="16">
        <f aca="0">IF(OR(COUNTA(B925:J925)=0,R925&lt;&gt;""),"",COUNTIFS(보유목록!$I$2:$I$3001,"*"&amp;P925&amp;"*",보유목록!$I$2:$I$3001,"*"&amp;Q925&amp;"*"))</f>
      </c>
      <c r="M925" t="str" s="23">
        <f aca="0">IF(OR(COUNTA(B925:J925)=0,R925&lt;&gt;""),"",IFERROR(LOOKUP(2,1/(ISNUMBER(SEARCH(P925,보유목록!$I$2:$I$3001))*ISNUMBER(SEARCH(Q925,보유목록!$I$2:$I$3001))*(보유목록!$H$2:$H$3001=O925)),보유목록!$B$2:$B$3001),IFERROR(LOOKUP(2,1/(ISNUMBER(SEARCH(P925,보유목록!$I$2:$I$3001))*ISNUMBER(SEARCH(Q925,보유목록!$I$2:$I$3001))),보유목록!$B$2:$B$3001),"")))</f>
      </c>
      <c r="N925" s="25"/>
      <c r="O925" t="str">
        <f>IFERROR(IF(AND(LEN(SUBSTITUTE(SUBSTITUTE(SUBSTITUTE(TRIM(C925&amp;""),CHAR(160),"")," ",""),"년",""))=4,VALUE(SUBSTITUTE(SUBSTITUTE(SUBSTITUTE(TRIM(C925&amp;""),CHAR(160),"")," ",""),"년",""))&gt;=1900,VALUE(SUBSTITUTE(SUBSTITUTE(SUBSTITUTE(TRIM(C925&amp;""),CHAR(160),"")," ",""),"년",""))&lt;=2099,TEXT(VALUE(SUBSTITUTE(SUBSTITUTE(SUBSTITUTE(TRIM(C925&amp;""),CHAR(160),"")," ",""),"년","")),"0000")=SUBSTITUTE(SUBSTITUTE(SUBSTITUTE(TRIM(C925&amp;""),CHAR(160),"")," ",""),"년","")),SUBSTITUTE(SUBSTITUTE(SUBSTITUTE(TRIM(C925&amp;""),CHAR(160),"")," ",""),"년",""),""),"")</f>
      </c>
      <c r="P925" t="str">
        <f>SUBSTITUTE(SUBSTITUTE(SUBSTITUTE(SUBSTITUTE(SUBSTITUTE(SUBSTITUTE(SUBSTITUTE(SUBSTITUTE(TRIM(D925&amp;""),CHAR(160),"")," ",""),"초등학교","초"),"중학교","중"),"고등학교","고"),"~","~~"),"*","~*"),"?","~?")</f>
      </c>
      <c r="Q925" t="str">
        <f>SUBSTITUTE(SUBSTITUTE(SUBSTITUTE(SUBSTITUTE(SUBSTITUTE(SUBSTITUTE(SUBSTITUTE(SUBSTITUTE(TRIM(E925&amp;""),CHAR(160),"")," ",""),"초등학교","초"),"중학교","중"),"고등학교","고"),"~","~~"),"*","~*"),"?","~?")</f>
      </c>
      <c r="R925" t="str">
        <f>IF(COUNTA(B925:J925)=0,"",IF(AND(O925&lt;&gt;"",P925&lt;&gt;"",Q925&lt;&gt;""),"","입력누락"))</f>
      </c>
    </row>
    <row r="926" customFormat="false" ht="15" hidden="false" customHeight="false" outlineLevel="0" collapsed="false">
      <c r="A926" t="n" s="19">
        <f aca="0">IF(COUNTA(B926:J926)=0,"",ROW()-1)</f>
      </c>
      <c r="B926" s="24"/>
      <c r="C926" s="25"/>
      <c r="D926" s="8"/>
      <c r="E926" s="8"/>
      <c r="F926" s="26"/>
      <c r="G926" s="24"/>
      <c r="H926" s="25"/>
      <c r="I926" s="25"/>
      <c r="J926" s="26"/>
      <c r="K926" t="str" s="15">
        <f aca="0">IF(COUNTA(B926:J926)=0,"",IF(R926&lt;&gt;"","확인필요(입력누락)",IF(COUNTIFS(보유목록!$I$2:$I$3001,"*"&amp;P926&amp;"*",보유목록!$I$2:$I$3001,"*"&amp;Q926&amp;"*",보유목록!$H$2:$H$3001,O926)&gt;0,"있음",IF(COUNTIFS(보유목록!$I$2:$I$3001,"*"&amp;P926&amp;"*",보유목록!$I$2:$I$3001,"*"&amp;Q926&amp;"*")&gt;0,"확인필요(연도다름)",IF(COUNTIFS(보유목록!$I$2:$I$3001,"*"&amp;P926&amp;"*",보유목록!$H$2:$H$3001,O926)&gt;0,"확인필요(같은학교·같은연도)","없음")))))</f>
      </c>
      <c r="L926" t="str" s="16">
        <f aca="0">IF(OR(COUNTA(B926:J926)=0,R926&lt;&gt;""),"",COUNTIFS(보유목록!$I$2:$I$3001,"*"&amp;P926&amp;"*",보유목록!$I$2:$I$3001,"*"&amp;Q926&amp;"*"))</f>
      </c>
      <c r="M926" t="str" s="23">
        <f aca="0">IF(OR(COUNTA(B926:J926)=0,R926&lt;&gt;""),"",IFERROR(LOOKUP(2,1/(ISNUMBER(SEARCH(P926,보유목록!$I$2:$I$3001))*ISNUMBER(SEARCH(Q926,보유목록!$I$2:$I$3001))*(보유목록!$H$2:$H$3001=O926)),보유목록!$B$2:$B$3001),IFERROR(LOOKUP(2,1/(ISNUMBER(SEARCH(P926,보유목록!$I$2:$I$3001))*ISNUMBER(SEARCH(Q926,보유목록!$I$2:$I$3001))),보유목록!$B$2:$B$3001),"")))</f>
      </c>
      <c r="N926" s="25"/>
      <c r="O926" t="str">
        <f>IFERROR(IF(AND(LEN(SUBSTITUTE(SUBSTITUTE(SUBSTITUTE(TRIM(C926&amp;""),CHAR(160),"")," ",""),"년",""))=4,VALUE(SUBSTITUTE(SUBSTITUTE(SUBSTITUTE(TRIM(C926&amp;""),CHAR(160),"")," ",""),"년",""))&gt;=1900,VALUE(SUBSTITUTE(SUBSTITUTE(SUBSTITUTE(TRIM(C926&amp;""),CHAR(160),"")," ",""),"년",""))&lt;=2099,TEXT(VALUE(SUBSTITUTE(SUBSTITUTE(SUBSTITUTE(TRIM(C926&amp;""),CHAR(160),"")," ",""),"년","")),"0000")=SUBSTITUTE(SUBSTITUTE(SUBSTITUTE(TRIM(C926&amp;""),CHAR(160),"")," ",""),"년","")),SUBSTITUTE(SUBSTITUTE(SUBSTITUTE(TRIM(C926&amp;""),CHAR(160),"")," ",""),"년",""),""),"")</f>
      </c>
      <c r="P926" t="str">
        <f>SUBSTITUTE(SUBSTITUTE(SUBSTITUTE(SUBSTITUTE(SUBSTITUTE(SUBSTITUTE(SUBSTITUTE(SUBSTITUTE(TRIM(D926&amp;""),CHAR(160),"")," ",""),"초등학교","초"),"중학교","중"),"고등학교","고"),"~","~~"),"*","~*"),"?","~?")</f>
      </c>
      <c r="Q926" t="str">
        <f>SUBSTITUTE(SUBSTITUTE(SUBSTITUTE(SUBSTITUTE(SUBSTITUTE(SUBSTITUTE(SUBSTITUTE(SUBSTITUTE(TRIM(E926&amp;""),CHAR(160),"")," ",""),"초등학교","초"),"중학교","중"),"고등학교","고"),"~","~~"),"*","~*"),"?","~?")</f>
      </c>
      <c r="R926" t="str">
        <f>IF(COUNTA(B926:J926)=0,"",IF(AND(O926&lt;&gt;"",P926&lt;&gt;"",Q926&lt;&gt;""),"","입력누락"))</f>
      </c>
    </row>
    <row r="927" customFormat="false" ht="15" hidden="false" customHeight="false" outlineLevel="0" collapsed="false">
      <c r="A927" t="n" s="19">
        <f aca="0">IF(COUNTA(B927:J927)=0,"",ROW()-1)</f>
      </c>
      <c r="B927" s="24"/>
      <c r="C927" s="25"/>
      <c r="D927" s="8"/>
      <c r="E927" s="8"/>
      <c r="F927" s="26"/>
      <c r="G927" s="24"/>
      <c r="H927" s="25"/>
      <c r="I927" s="25"/>
      <c r="J927" s="26"/>
      <c r="K927" t="str" s="15">
        <f aca="0">IF(COUNTA(B927:J927)=0,"",IF(R927&lt;&gt;"","확인필요(입력누락)",IF(COUNTIFS(보유목록!$I$2:$I$3001,"*"&amp;P927&amp;"*",보유목록!$I$2:$I$3001,"*"&amp;Q927&amp;"*",보유목록!$H$2:$H$3001,O927)&gt;0,"있음",IF(COUNTIFS(보유목록!$I$2:$I$3001,"*"&amp;P927&amp;"*",보유목록!$I$2:$I$3001,"*"&amp;Q927&amp;"*")&gt;0,"확인필요(연도다름)",IF(COUNTIFS(보유목록!$I$2:$I$3001,"*"&amp;P927&amp;"*",보유목록!$H$2:$H$3001,O927)&gt;0,"확인필요(같은학교·같은연도)","없음")))))</f>
      </c>
      <c r="L927" t="str" s="16">
        <f aca="0">IF(OR(COUNTA(B927:J927)=0,R927&lt;&gt;""),"",COUNTIFS(보유목록!$I$2:$I$3001,"*"&amp;P927&amp;"*",보유목록!$I$2:$I$3001,"*"&amp;Q927&amp;"*"))</f>
      </c>
      <c r="M927" t="str" s="23">
        <f aca="0">IF(OR(COUNTA(B927:J927)=0,R927&lt;&gt;""),"",IFERROR(LOOKUP(2,1/(ISNUMBER(SEARCH(P927,보유목록!$I$2:$I$3001))*ISNUMBER(SEARCH(Q927,보유목록!$I$2:$I$3001))*(보유목록!$H$2:$H$3001=O927)),보유목록!$B$2:$B$3001),IFERROR(LOOKUP(2,1/(ISNUMBER(SEARCH(P927,보유목록!$I$2:$I$3001))*ISNUMBER(SEARCH(Q927,보유목록!$I$2:$I$3001))),보유목록!$B$2:$B$3001),"")))</f>
      </c>
      <c r="N927" s="25"/>
      <c r="O927" t="str">
        <f>IFERROR(IF(AND(LEN(SUBSTITUTE(SUBSTITUTE(SUBSTITUTE(TRIM(C927&amp;""),CHAR(160),"")," ",""),"년",""))=4,VALUE(SUBSTITUTE(SUBSTITUTE(SUBSTITUTE(TRIM(C927&amp;""),CHAR(160),"")," ",""),"년",""))&gt;=1900,VALUE(SUBSTITUTE(SUBSTITUTE(SUBSTITUTE(TRIM(C927&amp;""),CHAR(160),"")," ",""),"년",""))&lt;=2099,TEXT(VALUE(SUBSTITUTE(SUBSTITUTE(SUBSTITUTE(TRIM(C927&amp;""),CHAR(160),"")," ",""),"년","")),"0000")=SUBSTITUTE(SUBSTITUTE(SUBSTITUTE(TRIM(C927&amp;""),CHAR(160),"")," ",""),"년","")),SUBSTITUTE(SUBSTITUTE(SUBSTITUTE(TRIM(C927&amp;""),CHAR(160),"")," ",""),"년",""),""),"")</f>
      </c>
      <c r="P927" t="str">
        <f>SUBSTITUTE(SUBSTITUTE(SUBSTITUTE(SUBSTITUTE(SUBSTITUTE(SUBSTITUTE(SUBSTITUTE(SUBSTITUTE(TRIM(D927&amp;""),CHAR(160),"")," ",""),"초등학교","초"),"중학교","중"),"고등학교","고"),"~","~~"),"*","~*"),"?","~?")</f>
      </c>
      <c r="Q927" t="str">
        <f>SUBSTITUTE(SUBSTITUTE(SUBSTITUTE(SUBSTITUTE(SUBSTITUTE(SUBSTITUTE(SUBSTITUTE(SUBSTITUTE(TRIM(E927&amp;""),CHAR(160),"")," ",""),"초등학교","초"),"중학교","중"),"고등학교","고"),"~","~~"),"*","~*"),"?","~?")</f>
      </c>
      <c r="R927" t="str">
        <f>IF(COUNTA(B927:J927)=0,"",IF(AND(O927&lt;&gt;"",P927&lt;&gt;"",Q927&lt;&gt;""),"","입력누락"))</f>
      </c>
    </row>
    <row r="928" customFormat="false" ht="15" hidden="false" customHeight="false" outlineLevel="0" collapsed="false">
      <c r="A928" t="n" s="19">
        <f aca="0">IF(COUNTA(B928:J928)=0,"",ROW()-1)</f>
      </c>
      <c r="B928" s="24"/>
      <c r="C928" s="25"/>
      <c r="D928" s="8"/>
      <c r="E928" s="8"/>
      <c r="F928" s="26"/>
      <c r="G928" s="24"/>
      <c r="H928" s="25"/>
      <c r="I928" s="25"/>
      <c r="J928" s="26"/>
      <c r="K928" t="str" s="15">
        <f aca="0">IF(COUNTA(B928:J928)=0,"",IF(R928&lt;&gt;"","확인필요(입력누락)",IF(COUNTIFS(보유목록!$I$2:$I$3001,"*"&amp;P928&amp;"*",보유목록!$I$2:$I$3001,"*"&amp;Q928&amp;"*",보유목록!$H$2:$H$3001,O928)&gt;0,"있음",IF(COUNTIFS(보유목록!$I$2:$I$3001,"*"&amp;P928&amp;"*",보유목록!$I$2:$I$3001,"*"&amp;Q928&amp;"*")&gt;0,"확인필요(연도다름)",IF(COUNTIFS(보유목록!$I$2:$I$3001,"*"&amp;P928&amp;"*",보유목록!$H$2:$H$3001,O928)&gt;0,"확인필요(같은학교·같은연도)","없음")))))</f>
      </c>
      <c r="L928" t="str" s="16">
        <f aca="0">IF(OR(COUNTA(B928:J928)=0,R928&lt;&gt;""),"",COUNTIFS(보유목록!$I$2:$I$3001,"*"&amp;P928&amp;"*",보유목록!$I$2:$I$3001,"*"&amp;Q928&amp;"*"))</f>
      </c>
      <c r="M928" t="str" s="23">
        <f aca="0">IF(OR(COUNTA(B928:J928)=0,R928&lt;&gt;""),"",IFERROR(LOOKUP(2,1/(ISNUMBER(SEARCH(P928,보유목록!$I$2:$I$3001))*ISNUMBER(SEARCH(Q928,보유목록!$I$2:$I$3001))*(보유목록!$H$2:$H$3001=O928)),보유목록!$B$2:$B$3001),IFERROR(LOOKUP(2,1/(ISNUMBER(SEARCH(P928,보유목록!$I$2:$I$3001))*ISNUMBER(SEARCH(Q928,보유목록!$I$2:$I$3001))),보유목록!$B$2:$B$3001),"")))</f>
      </c>
      <c r="N928" s="25"/>
      <c r="O928" t="str">
        <f>IFERROR(IF(AND(LEN(SUBSTITUTE(SUBSTITUTE(SUBSTITUTE(TRIM(C928&amp;""),CHAR(160),"")," ",""),"년",""))=4,VALUE(SUBSTITUTE(SUBSTITUTE(SUBSTITUTE(TRIM(C928&amp;""),CHAR(160),"")," ",""),"년",""))&gt;=1900,VALUE(SUBSTITUTE(SUBSTITUTE(SUBSTITUTE(TRIM(C928&amp;""),CHAR(160),"")," ",""),"년",""))&lt;=2099,TEXT(VALUE(SUBSTITUTE(SUBSTITUTE(SUBSTITUTE(TRIM(C928&amp;""),CHAR(160),"")," ",""),"년","")),"0000")=SUBSTITUTE(SUBSTITUTE(SUBSTITUTE(TRIM(C928&amp;""),CHAR(160),"")," ",""),"년","")),SUBSTITUTE(SUBSTITUTE(SUBSTITUTE(TRIM(C928&amp;""),CHAR(160),"")," ",""),"년",""),""),"")</f>
      </c>
      <c r="P928" t="str">
        <f>SUBSTITUTE(SUBSTITUTE(SUBSTITUTE(SUBSTITUTE(SUBSTITUTE(SUBSTITUTE(SUBSTITUTE(SUBSTITUTE(TRIM(D928&amp;""),CHAR(160),"")," ",""),"초등학교","초"),"중학교","중"),"고등학교","고"),"~","~~"),"*","~*"),"?","~?")</f>
      </c>
      <c r="Q928" t="str">
        <f>SUBSTITUTE(SUBSTITUTE(SUBSTITUTE(SUBSTITUTE(SUBSTITUTE(SUBSTITUTE(SUBSTITUTE(SUBSTITUTE(TRIM(E928&amp;""),CHAR(160),"")," ",""),"초등학교","초"),"중학교","중"),"고등학교","고"),"~","~~"),"*","~*"),"?","~?")</f>
      </c>
      <c r="R928" t="str">
        <f>IF(COUNTA(B928:J928)=0,"",IF(AND(O928&lt;&gt;"",P928&lt;&gt;"",Q928&lt;&gt;""),"","입력누락"))</f>
      </c>
    </row>
    <row r="929" customFormat="false" ht="15" hidden="false" customHeight="false" outlineLevel="0" collapsed="false">
      <c r="A929" t="n" s="19">
        <f aca="0">IF(COUNTA(B929:J929)=0,"",ROW()-1)</f>
      </c>
      <c r="B929" s="24"/>
      <c r="C929" s="25"/>
      <c r="D929" s="8"/>
      <c r="E929" s="8"/>
      <c r="F929" s="26"/>
      <c r="G929" s="24"/>
      <c r="H929" s="25"/>
      <c r="I929" s="25"/>
      <c r="J929" s="26"/>
      <c r="K929" t="str" s="15">
        <f aca="0">IF(COUNTA(B929:J929)=0,"",IF(R929&lt;&gt;"","확인필요(입력누락)",IF(COUNTIFS(보유목록!$I$2:$I$3001,"*"&amp;P929&amp;"*",보유목록!$I$2:$I$3001,"*"&amp;Q929&amp;"*",보유목록!$H$2:$H$3001,O929)&gt;0,"있음",IF(COUNTIFS(보유목록!$I$2:$I$3001,"*"&amp;P929&amp;"*",보유목록!$I$2:$I$3001,"*"&amp;Q929&amp;"*")&gt;0,"확인필요(연도다름)",IF(COUNTIFS(보유목록!$I$2:$I$3001,"*"&amp;P929&amp;"*",보유목록!$H$2:$H$3001,O929)&gt;0,"확인필요(같은학교·같은연도)","없음")))))</f>
      </c>
      <c r="L929" t="str" s="16">
        <f aca="0">IF(OR(COUNTA(B929:J929)=0,R929&lt;&gt;""),"",COUNTIFS(보유목록!$I$2:$I$3001,"*"&amp;P929&amp;"*",보유목록!$I$2:$I$3001,"*"&amp;Q929&amp;"*"))</f>
      </c>
      <c r="M929" t="str" s="23">
        <f aca="0">IF(OR(COUNTA(B929:J929)=0,R929&lt;&gt;""),"",IFERROR(LOOKUP(2,1/(ISNUMBER(SEARCH(P929,보유목록!$I$2:$I$3001))*ISNUMBER(SEARCH(Q929,보유목록!$I$2:$I$3001))*(보유목록!$H$2:$H$3001=O929)),보유목록!$B$2:$B$3001),IFERROR(LOOKUP(2,1/(ISNUMBER(SEARCH(P929,보유목록!$I$2:$I$3001))*ISNUMBER(SEARCH(Q929,보유목록!$I$2:$I$3001))),보유목록!$B$2:$B$3001),"")))</f>
      </c>
      <c r="N929" s="25"/>
      <c r="O929" t="str">
        <f>IFERROR(IF(AND(LEN(SUBSTITUTE(SUBSTITUTE(SUBSTITUTE(TRIM(C929&amp;""),CHAR(160),"")," ",""),"년",""))=4,VALUE(SUBSTITUTE(SUBSTITUTE(SUBSTITUTE(TRIM(C929&amp;""),CHAR(160),"")," ",""),"년",""))&gt;=1900,VALUE(SUBSTITUTE(SUBSTITUTE(SUBSTITUTE(TRIM(C929&amp;""),CHAR(160),"")," ",""),"년",""))&lt;=2099,TEXT(VALUE(SUBSTITUTE(SUBSTITUTE(SUBSTITUTE(TRIM(C929&amp;""),CHAR(160),"")," ",""),"년","")),"0000")=SUBSTITUTE(SUBSTITUTE(SUBSTITUTE(TRIM(C929&amp;""),CHAR(160),"")," ",""),"년","")),SUBSTITUTE(SUBSTITUTE(SUBSTITUTE(TRIM(C929&amp;""),CHAR(160),"")," ",""),"년",""),""),"")</f>
      </c>
      <c r="P929" t="str">
        <f>SUBSTITUTE(SUBSTITUTE(SUBSTITUTE(SUBSTITUTE(SUBSTITUTE(SUBSTITUTE(SUBSTITUTE(SUBSTITUTE(TRIM(D929&amp;""),CHAR(160),"")," ",""),"초등학교","초"),"중학교","중"),"고등학교","고"),"~","~~"),"*","~*"),"?","~?")</f>
      </c>
      <c r="Q929" t="str">
        <f>SUBSTITUTE(SUBSTITUTE(SUBSTITUTE(SUBSTITUTE(SUBSTITUTE(SUBSTITUTE(SUBSTITUTE(SUBSTITUTE(TRIM(E929&amp;""),CHAR(160),"")," ",""),"초등학교","초"),"중학교","중"),"고등학교","고"),"~","~~"),"*","~*"),"?","~?")</f>
      </c>
      <c r="R929" t="str">
        <f>IF(COUNTA(B929:J929)=0,"",IF(AND(O929&lt;&gt;"",P929&lt;&gt;"",Q929&lt;&gt;""),"","입력누락"))</f>
      </c>
    </row>
    <row r="930" customFormat="false" ht="15" hidden="false" customHeight="false" outlineLevel="0" collapsed="false">
      <c r="A930" t="n" s="19">
        <f aca="0">IF(COUNTA(B930:J930)=0,"",ROW()-1)</f>
      </c>
      <c r="B930" s="24"/>
      <c r="C930" s="25"/>
      <c r="D930" s="8"/>
      <c r="E930" s="8"/>
      <c r="F930" s="26"/>
      <c r="G930" s="24"/>
      <c r="H930" s="25"/>
      <c r="I930" s="25"/>
      <c r="J930" s="26"/>
      <c r="K930" t="str" s="15">
        <f aca="0">IF(COUNTA(B930:J930)=0,"",IF(R930&lt;&gt;"","확인필요(입력누락)",IF(COUNTIFS(보유목록!$I$2:$I$3001,"*"&amp;P930&amp;"*",보유목록!$I$2:$I$3001,"*"&amp;Q930&amp;"*",보유목록!$H$2:$H$3001,O930)&gt;0,"있음",IF(COUNTIFS(보유목록!$I$2:$I$3001,"*"&amp;P930&amp;"*",보유목록!$I$2:$I$3001,"*"&amp;Q930&amp;"*")&gt;0,"확인필요(연도다름)",IF(COUNTIFS(보유목록!$I$2:$I$3001,"*"&amp;P930&amp;"*",보유목록!$H$2:$H$3001,O930)&gt;0,"확인필요(같은학교·같은연도)","없음")))))</f>
      </c>
      <c r="L930" t="str" s="16">
        <f aca="0">IF(OR(COUNTA(B930:J930)=0,R930&lt;&gt;""),"",COUNTIFS(보유목록!$I$2:$I$3001,"*"&amp;P930&amp;"*",보유목록!$I$2:$I$3001,"*"&amp;Q930&amp;"*"))</f>
      </c>
      <c r="M930" t="str" s="23">
        <f aca="0">IF(OR(COUNTA(B930:J930)=0,R930&lt;&gt;""),"",IFERROR(LOOKUP(2,1/(ISNUMBER(SEARCH(P930,보유목록!$I$2:$I$3001))*ISNUMBER(SEARCH(Q930,보유목록!$I$2:$I$3001))*(보유목록!$H$2:$H$3001=O930)),보유목록!$B$2:$B$3001),IFERROR(LOOKUP(2,1/(ISNUMBER(SEARCH(P930,보유목록!$I$2:$I$3001))*ISNUMBER(SEARCH(Q930,보유목록!$I$2:$I$3001))),보유목록!$B$2:$B$3001),"")))</f>
      </c>
      <c r="N930" s="25"/>
      <c r="O930" t="str">
        <f>IFERROR(IF(AND(LEN(SUBSTITUTE(SUBSTITUTE(SUBSTITUTE(TRIM(C930&amp;""),CHAR(160),"")," ",""),"년",""))=4,VALUE(SUBSTITUTE(SUBSTITUTE(SUBSTITUTE(TRIM(C930&amp;""),CHAR(160),"")," ",""),"년",""))&gt;=1900,VALUE(SUBSTITUTE(SUBSTITUTE(SUBSTITUTE(TRIM(C930&amp;""),CHAR(160),"")," ",""),"년",""))&lt;=2099,TEXT(VALUE(SUBSTITUTE(SUBSTITUTE(SUBSTITUTE(TRIM(C930&amp;""),CHAR(160),"")," ",""),"년","")),"0000")=SUBSTITUTE(SUBSTITUTE(SUBSTITUTE(TRIM(C930&amp;""),CHAR(160),"")," ",""),"년","")),SUBSTITUTE(SUBSTITUTE(SUBSTITUTE(TRIM(C930&amp;""),CHAR(160),"")," ",""),"년",""),""),"")</f>
      </c>
      <c r="P930" t="str">
        <f>SUBSTITUTE(SUBSTITUTE(SUBSTITUTE(SUBSTITUTE(SUBSTITUTE(SUBSTITUTE(SUBSTITUTE(SUBSTITUTE(TRIM(D930&amp;""),CHAR(160),"")," ",""),"초등학교","초"),"중학교","중"),"고등학교","고"),"~","~~"),"*","~*"),"?","~?")</f>
      </c>
      <c r="Q930" t="str">
        <f>SUBSTITUTE(SUBSTITUTE(SUBSTITUTE(SUBSTITUTE(SUBSTITUTE(SUBSTITUTE(SUBSTITUTE(SUBSTITUTE(TRIM(E930&amp;""),CHAR(160),"")," ",""),"초등학교","초"),"중학교","중"),"고등학교","고"),"~","~~"),"*","~*"),"?","~?")</f>
      </c>
      <c r="R930" t="str">
        <f>IF(COUNTA(B930:J930)=0,"",IF(AND(O930&lt;&gt;"",P930&lt;&gt;"",Q930&lt;&gt;""),"","입력누락"))</f>
      </c>
    </row>
    <row r="931" customFormat="false" ht="15" hidden="false" customHeight="false" outlineLevel="0" collapsed="false">
      <c r="A931" t="n" s="19">
        <f aca="0">IF(COUNTA(B931:J931)=0,"",ROW()-1)</f>
      </c>
      <c r="B931" s="24"/>
      <c r="C931" s="25"/>
      <c r="D931" s="8"/>
      <c r="E931" s="8"/>
      <c r="F931" s="26"/>
      <c r="G931" s="24"/>
      <c r="H931" s="25"/>
      <c r="I931" s="25"/>
      <c r="J931" s="26"/>
      <c r="K931" t="str" s="15">
        <f aca="0">IF(COUNTA(B931:J931)=0,"",IF(R931&lt;&gt;"","확인필요(입력누락)",IF(COUNTIFS(보유목록!$I$2:$I$3001,"*"&amp;P931&amp;"*",보유목록!$I$2:$I$3001,"*"&amp;Q931&amp;"*",보유목록!$H$2:$H$3001,O931)&gt;0,"있음",IF(COUNTIFS(보유목록!$I$2:$I$3001,"*"&amp;P931&amp;"*",보유목록!$I$2:$I$3001,"*"&amp;Q931&amp;"*")&gt;0,"확인필요(연도다름)",IF(COUNTIFS(보유목록!$I$2:$I$3001,"*"&amp;P931&amp;"*",보유목록!$H$2:$H$3001,O931)&gt;0,"확인필요(같은학교·같은연도)","없음")))))</f>
      </c>
      <c r="L931" t="str" s="16">
        <f aca="0">IF(OR(COUNTA(B931:J931)=0,R931&lt;&gt;""),"",COUNTIFS(보유목록!$I$2:$I$3001,"*"&amp;P931&amp;"*",보유목록!$I$2:$I$3001,"*"&amp;Q931&amp;"*"))</f>
      </c>
      <c r="M931" t="str" s="23">
        <f aca="0">IF(OR(COUNTA(B931:J931)=0,R931&lt;&gt;""),"",IFERROR(LOOKUP(2,1/(ISNUMBER(SEARCH(P931,보유목록!$I$2:$I$3001))*ISNUMBER(SEARCH(Q931,보유목록!$I$2:$I$3001))*(보유목록!$H$2:$H$3001=O931)),보유목록!$B$2:$B$3001),IFERROR(LOOKUP(2,1/(ISNUMBER(SEARCH(P931,보유목록!$I$2:$I$3001))*ISNUMBER(SEARCH(Q931,보유목록!$I$2:$I$3001))),보유목록!$B$2:$B$3001),"")))</f>
      </c>
      <c r="N931" s="25"/>
      <c r="O931" t="str">
        <f>IFERROR(IF(AND(LEN(SUBSTITUTE(SUBSTITUTE(SUBSTITUTE(TRIM(C931&amp;""),CHAR(160),"")," ",""),"년",""))=4,VALUE(SUBSTITUTE(SUBSTITUTE(SUBSTITUTE(TRIM(C931&amp;""),CHAR(160),"")," ",""),"년",""))&gt;=1900,VALUE(SUBSTITUTE(SUBSTITUTE(SUBSTITUTE(TRIM(C931&amp;""),CHAR(160),"")," ",""),"년",""))&lt;=2099,TEXT(VALUE(SUBSTITUTE(SUBSTITUTE(SUBSTITUTE(TRIM(C931&amp;""),CHAR(160),"")," ",""),"년","")),"0000")=SUBSTITUTE(SUBSTITUTE(SUBSTITUTE(TRIM(C931&amp;""),CHAR(160),"")," ",""),"년","")),SUBSTITUTE(SUBSTITUTE(SUBSTITUTE(TRIM(C931&amp;""),CHAR(160),"")," ",""),"년",""),""),"")</f>
      </c>
      <c r="P931" t="str">
        <f>SUBSTITUTE(SUBSTITUTE(SUBSTITUTE(SUBSTITUTE(SUBSTITUTE(SUBSTITUTE(SUBSTITUTE(SUBSTITUTE(TRIM(D931&amp;""),CHAR(160),"")," ",""),"초등학교","초"),"중학교","중"),"고등학교","고"),"~","~~"),"*","~*"),"?","~?")</f>
      </c>
      <c r="Q931" t="str">
        <f>SUBSTITUTE(SUBSTITUTE(SUBSTITUTE(SUBSTITUTE(SUBSTITUTE(SUBSTITUTE(SUBSTITUTE(SUBSTITUTE(TRIM(E931&amp;""),CHAR(160),"")," ",""),"초등학교","초"),"중학교","중"),"고등학교","고"),"~","~~"),"*","~*"),"?","~?")</f>
      </c>
      <c r="R931" t="str">
        <f>IF(COUNTA(B931:J931)=0,"",IF(AND(O931&lt;&gt;"",P931&lt;&gt;"",Q931&lt;&gt;""),"","입력누락"))</f>
      </c>
    </row>
    <row r="932" customFormat="false" ht="15" hidden="false" customHeight="false" outlineLevel="0" collapsed="false">
      <c r="A932" t="n" s="19">
        <f aca="0">IF(COUNTA(B932:J932)=0,"",ROW()-1)</f>
      </c>
      <c r="B932" s="24"/>
      <c r="C932" s="25"/>
      <c r="D932" s="8"/>
      <c r="E932" s="8"/>
      <c r="F932" s="26"/>
      <c r="G932" s="24"/>
      <c r="H932" s="25"/>
      <c r="I932" s="25"/>
      <c r="J932" s="26"/>
      <c r="K932" t="str" s="15">
        <f aca="0">IF(COUNTA(B932:J932)=0,"",IF(R932&lt;&gt;"","확인필요(입력누락)",IF(COUNTIFS(보유목록!$I$2:$I$3001,"*"&amp;P932&amp;"*",보유목록!$I$2:$I$3001,"*"&amp;Q932&amp;"*",보유목록!$H$2:$H$3001,O932)&gt;0,"있음",IF(COUNTIFS(보유목록!$I$2:$I$3001,"*"&amp;P932&amp;"*",보유목록!$I$2:$I$3001,"*"&amp;Q932&amp;"*")&gt;0,"확인필요(연도다름)",IF(COUNTIFS(보유목록!$I$2:$I$3001,"*"&amp;P932&amp;"*",보유목록!$H$2:$H$3001,O932)&gt;0,"확인필요(같은학교·같은연도)","없음")))))</f>
      </c>
      <c r="L932" t="str" s="16">
        <f aca="0">IF(OR(COUNTA(B932:J932)=0,R932&lt;&gt;""),"",COUNTIFS(보유목록!$I$2:$I$3001,"*"&amp;P932&amp;"*",보유목록!$I$2:$I$3001,"*"&amp;Q932&amp;"*"))</f>
      </c>
      <c r="M932" t="str" s="23">
        <f aca="0">IF(OR(COUNTA(B932:J932)=0,R932&lt;&gt;""),"",IFERROR(LOOKUP(2,1/(ISNUMBER(SEARCH(P932,보유목록!$I$2:$I$3001))*ISNUMBER(SEARCH(Q932,보유목록!$I$2:$I$3001))*(보유목록!$H$2:$H$3001=O932)),보유목록!$B$2:$B$3001),IFERROR(LOOKUP(2,1/(ISNUMBER(SEARCH(P932,보유목록!$I$2:$I$3001))*ISNUMBER(SEARCH(Q932,보유목록!$I$2:$I$3001))),보유목록!$B$2:$B$3001),"")))</f>
      </c>
      <c r="N932" s="25"/>
      <c r="O932" t="str">
        <f>IFERROR(IF(AND(LEN(SUBSTITUTE(SUBSTITUTE(SUBSTITUTE(TRIM(C932&amp;""),CHAR(160),"")," ",""),"년",""))=4,VALUE(SUBSTITUTE(SUBSTITUTE(SUBSTITUTE(TRIM(C932&amp;""),CHAR(160),"")," ",""),"년",""))&gt;=1900,VALUE(SUBSTITUTE(SUBSTITUTE(SUBSTITUTE(TRIM(C932&amp;""),CHAR(160),"")," ",""),"년",""))&lt;=2099,TEXT(VALUE(SUBSTITUTE(SUBSTITUTE(SUBSTITUTE(TRIM(C932&amp;""),CHAR(160),"")," ",""),"년","")),"0000")=SUBSTITUTE(SUBSTITUTE(SUBSTITUTE(TRIM(C932&amp;""),CHAR(160),"")," ",""),"년","")),SUBSTITUTE(SUBSTITUTE(SUBSTITUTE(TRIM(C932&amp;""),CHAR(160),"")," ",""),"년",""),""),"")</f>
      </c>
      <c r="P932" t="str">
        <f>SUBSTITUTE(SUBSTITUTE(SUBSTITUTE(SUBSTITUTE(SUBSTITUTE(SUBSTITUTE(SUBSTITUTE(SUBSTITUTE(TRIM(D932&amp;""),CHAR(160),"")," ",""),"초등학교","초"),"중학교","중"),"고등학교","고"),"~","~~"),"*","~*"),"?","~?")</f>
      </c>
      <c r="Q932" t="str">
        <f>SUBSTITUTE(SUBSTITUTE(SUBSTITUTE(SUBSTITUTE(SUBSTITUTE(SUBSTITUTE(SUBSTITUTE(SUBSTITUTE(TRIM(E932&amp;""),CHAR(160),"")," ",""),"초등학교","초"),"중학교","중"),"고등학교","고"),"~","~~"),"*","~*"),"?","~?")</f>
      </c>
      <c r="R932" t="str">
        <f>IF(COUNTA(B932:J932)=0,"",IF(AND(O932&lt;&gt;"",P932&lt;&gt;"",Q932&lt;&gt;""),"","입력누락"))</f>
      </c>
    </row>
    <row r="933" customFormat="false" ht="15" hidden="false" customHeight="false" outlineLevel="0" collapsed="false">
      <c r="A933" t="n" s="19">
        <f aca="0">IF(COUNTA(B933:J933)=0,"",ROW()-1)</f>
      </c>
      <c r="B933" s="24"/>
      <c r="C933" s="25"/>
      <c r="D933" s="8"/>
      <c r="E933" s="8"/>
      <c r="F933" s="26"/>
      <c r="G933" s="24"/>
      <c r="H933" s="25"/>
      <c r="I933" s="25"/>
      <c r="J933" s="26"/>
      <c r="K933" t="str" s="15">
        <f aca="0">IF(COUNTA(B933:J933)=0,"",IF(R933&lt;&gt;"","확인필요(입력누락)",IF(COUNTIFS(보유목록!$I$2:$I$3001,"*"&amp;P933&amp;"*",보유목록!$I$2:$I$3001,"*"&amp;Q933&amp;"*",보유목록!$H$2:$H$3001,O933)&gt;0,"있음",IF(COUNTIFS(보유목록!$I$2:$I$3001,"*"&amp;P933&amp;"*",보유목록!$I$2:$I$3001,"*"&amp;Q933&amp;"*")&gt;0,"확인필요(연도다름)",IF(COUNTIFS(보유목록!$I$2:$I$3001,"*"&amp;P933&amp;"*",보유목록!$H$2:$H$3001,O933)&gt;0,"확인필요(같은학교·같은연도)","없음")))))</f>
      </c>
      <c r="L933" t="str" s="16">
        <f aca="0">IF(OR(COUNTA(B933:J933)=0,R933&lt;&gt;""),"",COUNTIFS(보유목록!$I$2:$I$3001,"*"&amp;P933&amp;"*",보유목록!$I$2:$I$3001,"*"&amp;Q933&amp;"*"))</f>
      </c>
      <c r="M933" t="str" s="23">
        <f aca="0">IF(OR(COUNTA(B933:J933)=0,R933&lt;&gt;""),"",IFERROR(LOOKUP(2,1/(ISNUMBER(SEARCH(P933,보유목록!$I$2:$I$3001))*ISNUMBER(SEARCH(Q933,보유목록!$I$2:$I$3001))*(보유목록!$H$2:$H$3001=O933)),보유목록!$B$2:$B$3001),IFERROR(LOOKUP(2,1/(ISNUMBER(SEARCH(P933,보유목록!$I$2:$I$3001))*ISNUMBER(SEARCH(Q933,보유목록!$I$2:$I$3001))),보유목록!$B$2:$B$3001),"")))</f>
      </c>
      <c r="N933" s="25"/>
      <c r="O933" t="str">
        <f>IFERROR(IF(AND(LEN(SUBSTITUTE(SUBSTITUTE(SUBSTITUTE(TRIM(C933&amp;""),CHAR(160),"")," ",""),"년",""))=4,VALUE(SUBSTITUTE(SUBSTITUTE(SUBSTITUTE(TRIM(C933&amp;""),CHAR(160),"")," ",""),"년",""))&gt;=1900,VALUE(SUBSTITUTE(SUBSTITUTE(SUBSTITUTE(TRIM(C933&amp;""),CHAR(160),"")," ",""),"년",""))&lt;=2099,TEXT(VALUE(SUBSTITUTE(SUBSTITUTE(SUBSTITUTE(TRIM(C933&amp;""),CHAR(160),"")," ",""),"년","")),"0000")=SUBSTITUTE(SUBSTITUTE(SUBSTITUTE(TRIM(C933&amp;""),CHAR(160),"")," ",""),"년","")),SUBSTITUTE(SUBSTITUTE(SUBSTITUTE(TRIM(C933&amp;""),CHAR(160),"")," ",""),"년",""),""),"")</f>
      </c>
      <c r="P933" t="str">
        <f>SUBSTITUTE(SUBSTITUTE(SUBSTITUTE(SUBSTITUTE(SUBSTITUTE(SUBSTITUTE(SUBSTITUTE(SUBSTITUTE(TRIM(D933&amp;""),CHAR(160),"")," ",""),"초등학교","초"),"중학교","중"),"고등학교","고"),"~","~~"),"*","~*"),"?","~?")</f>
      </c>
      <c r="Q933" t="str">
        <f>SUBSTITUTE(SUBSTITUTE(SUBSTITUTE(SUBSTITUTE(SUBSTITUTE(SUBSTITUTE(SUBSTITUTE(SUBSTITUTE(TRIM(E933&amp;""),CHAR(160),"")," ",""),"초등학교","초"),"중학교","중"),"고등학교","고"),"~","~~"),"*","~*"),"?","~?")</f>
      </c>
      <c r="R933" t="str">
        <f>IF(COUNTA(B933:J933)=0,"",IF(AND(O933&lt;&gt;"",P933&lt;&gt;"",Q933&lt;&gt;""),"","입력누락"))</f>
      </c>
    </row>
    <row r="934" customFormat="false" ht="15" hidden="false" customHeight="false" outlineLevel="0" collapsed="false">
      <c r="A934" t="n" s="19">
        <f aca="0">IF(COUNTA(B934:J934)=0,"",ROW()-1)</f>
      </c>
      <c r="B934" s="24"/>
      <c r="C934" s="25"/>
      <c r="D934" s="8"/>
      <c r="E934" s="8"/>
      <c r="F934" s="26"/>
      <c r="G934" s="24"/>
      <c r="H934" s="25"/>
      <c r="I934" s="25"/>
      <c r="J934" s="26"/>
      <c r="K934" t="str" s="15">
        <f aca="0">IF(COUNTA(B934:J934)=0,"",IF(R934&lt;&gt;"","확인필요(입력누락)",IF(COUNTIFS(보유목록!$I$2:$I$3001,"*"&amp;P934&amp;"*",보유목록!$I$2:$I$3001,"*"&amp;Q934&amp;"*",보유목록!$H$2:$H$3001,O934)&gt;0,"있음",IF(COUNTIFS(보유목록!$I$2:$I$3001,"*"&amp;P934&amp;"*",보유목록!$I$2:$I$3001,"*"&amp;Q934&amp;"*")&gt;0,"확인필요(연도다름)",IF(COUNTIFS(보유목록!$I$2:$I$3001,"*"&amp;P934&amp;"*",보유목록!$H$2:$H$3001,O934)&gt;0,"확인필요(같은학교·같은연도)","없음")))))</f>
      </c>
      <c r="L934" t="str" s="16">
        <f aca="0">IF(OR(COUNTA(B934:J934)=0,R934&lt;&gt;""),"",COUNTIFS(보유목록!$I$2:$I$3001,"*"&amp;P934&amp;"*",보유목록!$I$2:$I$3001,"*"&amp;Q934&amp;"*"))</f>
      </c>
      <c r="M934" t="str" s="23">
        <f aca="0">IF(OR(COUNTA(B934:J934)=0,R934&lt;&gt;""),"",IFERROR(LOOKUP(2,1/(ISNUMBER(SEARCH(P934,보유목록!$I$2:$I$3001))*ISNUMBER(SEARCH(Q934,보유목록!$I$2:$I$3001))*(보유목록!$H$2:$H$3001=O934)),보유목록!$B$2:$B$3001),IFERROR(LOOKUP(2,1/(ISNUMBER(SEARCH(P934,보유목록!$I$2:$I$3001))*ISNUMBER(SEARCH(Q934,보유목록!$I$2:$I$3001))),보유목록!$B$2:$B$3001),"")))</f>
      </c>
      <c r="N934" s="25"/>
      <c r="O934" t="str">
        <f>IFERROR(IF(AND(LEN(SUBSTITUTE(SUBSTITUTE(SUBSTITUTE(TRIM(C934&amp;""),CHAR(160),"")," ",""),"년",""))=4,VALUE(SUBSTITUTE(SUBSTITUTE(SUBSTITUTE(TRIM(C934&amp;""),CHAR(160),"")," ",""),"년",""))&gt;=1900,VALUE(SUBSTITUTE(SUBSTITUTE(SUBSTITUTE(TRIM(C934&amp;""),CHAR(160),"")," ",""),"년",""))&lt;=2099,TEXT(VALUE(SUBSTITUTE(SUBSTITUTE(SUBSTITUTE(TRIM(C934&amp;""),CHAR(160),"")," ",""),"년","")),"0000")=SUBSTITUTE(SUBSTITUTE(SUBSTITUTE(TRIM(C934&amp;""),CHAR(160),"")," ",""),"년","")),SUBSTITUTE(SUBSTITUTE(SUBSTITUTE(TRIM(C934&amp;""),CHAR(160),"")," ",""),"년",""),""),"")</f>
      </c>
      <c r="P934" t="str">
        <f>SUBSTITUTE(SUBSTITUTE(SUBSTITUTE(SUBSTITUTE(SUBSTITUTE(SUBSTITUTE(SUBSTITUTE(SUBSTITUTE(TRIM(D934&amp;""),CHAR(160),"")," ",""),"초등학교","초"),"중학교","중"),"고등학교","고"),"~","~~"),"*","~*"),"?","~?")</f>
      </c>
      <c r="Q934" t="str">
        <f>SUBSTITUTE(SUBSTITUTE(SUBSTITUTE(SUBSTITUTE(SUBSTITUTE(SUBSTITUTE(SUBSTITUTE(SUBSTITUTE(TRIM(E934&amp;""),CHAR(160),"")," ",""),"초등학교","초"),"중학교","중"),"고등학교","고"),"~","~~"),"*","~*"),"?","~?")</f>
      </c>
      <c r="R934" t="str">
        <f>IF(COUNTA(B934:J934)=0,"",IF(AND(O934&lt;&gt;"",P934&lt;&gt;"",Q934&lt;&gt;""),"","입력누락"))</f>
      </c>
    </row>
    <row r="935" customFormat="false" ht="15" hidden="false" customHeight="false" outlineLevel="0" collapsed="false">
      <c r="A935" t="n" s="19">
        <f aca="0">IF(COUNTA(B935:J935)=0,"",ROW()-1)</f>
      </c>
      <c r="B935" s="24"/>
      <c r="C935" s="25"/>
      <c r="D935" s="8"/>
      <c r="E935" s="8"/>
      <c r="F935" s="26"/>
      <c r="G935" s="24"/>
      <c r="H935" s="25"/>
      <c r="I935" s="25"/>
      <c r="J935" s="26"/>
      <c r="K935" t="str" s="15">
        <f aca="0">IF(COUNTA(B935:J935)=0,"",IF(R935&lt;&gt;"","확인필요(입력누락)",IF(COUNTIFS(보유목록!$I$2:$I$3001,"*"&amp;P935&amp;"*",보유목록!$I$2:$I$3001,"*"&amp;Q935&amp;"*",보유목록!$H$2:$H$3001,O935)&gt;0,"있음",IF(COUNTIFS(보유목록!$I$2:$I$3001,"*"&amp;P935&amp;"*",보유목록!$I$2:$I$3001,"*"&amp;Q935&amp;"*")&gt;0,"확인필요(연도다름)",IF(COUNTIFS(보유목록!$I$2:$I$3001,"*"&amp;P935&amp;"*",보유목록!$H$2:$H$3001,O935)&gt;0,"확인필요(같은학교·같은연도)","없음")))))</f>
      </c>
      <c r="L935" t="str" s="16">
        <f aca="0">IF(OR(COUNTA(B935:J935)=0,R935&lt;&gt;""),"",COUNTIFS(보유목록!$I$2:$I$3001,"*"&amp;P935&amp;"*",보유목록!$I$2:$I$3001,"*"&amp;Q935&amp;"*"))</f>
      </c>
      <c r="M935" t="str" s="23">
        <f aca="0">IF(OR(COUNTA(B935:J935)=0,R935&lt;&gt;""),"",IFERROR(LOOKUP(2,1/(ISNUMBER(SEARCH(P935,보유목록!$I$2:$I$3001))*ISNUMBER(SEARCH(Q935,보유목록!$I$2:$I$3001))*(보유목록!$H$2:$H$3001=O935)),보유목록!$B$2:$B$3001),IFERROR(LOOKUP(2,1/(ISNUMBER(SEARCH(P935,보유목록!$I$2:$I$3001))*ISNUMBER(SEARCH(Q935,보유목록!$I$2:$I$3001))),보유목록!$B$2:$B$3001),"")))</f>
      </c>
      <c r="N935" s="25"/>
      <c r="O935" t="str">
        <f>IFERROR(IF(AND(LEN(SUBSTITUTE(SUBSTITUTE(SUBSTITUTE(TRIM(C935&amp;""),CHAR(160),"")," ",""),"년",""))=4,VALUE(SUBSTITUTE(SUBSTITUTE(SUBSTITUTE(TRIM(C935&amp;""),CHAR(160),"")," ",""),"년",""))&gt;=1900,VALUE(SUBSTITUTE(SUBSTITUTE(SUBSTITUTE(TRIM(C935&amp;""),CHAR(160),"")," ",""),"년",""))&lt;=2099,TEXT(VALUE(SUBSTITUTE(SUBSTITUTE(SUBSTITUTE(TRIM(C935&amp;""),CHAR(160),"")," ",""),"년","")),"0000")=SUBSTITUTE(SUBSTITUTE(SUBSTITUTE(TRIM(C935&amp;""),CHAR(160),"")," ",""),"년","")),SUBSTITUTE(SUBSTITUTE(SUBSTITUTE(TRIM(C935&amp;""),CHAR(160),"")," ",""),"년",""),""),"")</f>
      </c>
      <c r="P935" t="str">
        <f>SUBSTITUTE(SUBSTITUTE(SUBSTITUTE(SUBSTITUTE(SUBSTITUTE(SUBSTITUTE(SUBSTITUTE(SUBSTITUTE(TRIM(D935&amp;""),CHAR(160),"")," ",""),"초등학교","초"),"중학교","중"),"고등학교","고"),"~","~~"),"*","~*"),"?","~?")</f>
      </c>
      <c r="Q935" t="str">
        <f>SUBSTITUTE(SUBSTITUTE(SUBSTITUTE(SUBSTITUTE(SUBSTITUTE(SUBSTITUTE(SUBSTITUTE(SUBSTITUTE(TRIM(E935&amp;""),CHAR(160),"")," ",""),"초등학교","초"),"중학교","중"),"고등학교","고"),"~","~~"),"*","~*"),"?","~?")</f>
      </c>
      <c r="R935" t="str">
        <f>IF(COUNTA(B935:J935)=0,"",IF(AND(O935&lt;&gt;"",P935&lt;&gt;"",Q935&lt;&gt;""),"","입력누락"))</f>
      </c>
    </row>
    <row r="936" customFormat="false" ht="15" hidden="false" customHeight="false" outlineLevel="0" collapsed="false">
      <c r="A936" t="n" s="19">
        <f aca="0">IF(COUNTA(B936:J936)=0,"",ROW()-1)</f>
      </c>
      <c r="B936" s="24"/>
      <c r="C936" s="25"/>
      <c r="D936" s="8"/>
      <c r="E936" s="8"/>
      <c r="F936" s="26"/>
      <c r="G936" s="24"/>
      <c r="H936" s="25"/>
      <c r="I936" s="25"/>
      <c r="J936" s="26"/>
      <c r="K936" t="str" s="15">
        <f aca="0">IF(COUNTA(B936:J936)=0,"",IF(R936&lt;&gt;"","확인필요(입력누락)",IF(COUNTIFS(보유목록!$I$2:$I$3001,"*"&amp;P936&amp;"*",보유목록!$I$2:$I$3001,"*"&amp;Q936&amp;"*",보유목록!$H$2:$H$3001,O936)&gt;0,"있음",IF(COUNTIFS(보유목록!$I$2:$I$3001,"*"&amp;P936&amp;"*",보유목록!$I$2:$I$3001,"*"&amp;Q936&amp;"*")&gt;0,"확인필요(연도다름)",IF(COUNTIFS(보유목록!$I$2:$I$3001,"*"&amp;P936&amp;"*",보유목록!$H$2:$H$3001,O936)&gt;0,"확인필요(같은학교·같은연도)","없음")))))</f>
      </c>
      <c r="L936" t="str" s="16">
        <f aca="0">IF(OR(COUNTA(B936:J936)=0,R936&lt;&gt;""),"",COUNTIFS(보유목록!$I$2:$I$3001,"*"&amp;P936&amp;"*",보유목록!$I$2:$I$3001,"*"&amp;Q936&amp;"*"))</f>
      </c>
      <c r="M936" t="str" s="23">
        <f aca="0">IF(OR(COUNTA(B936:J936)=0,R936&lt;&gt;""),"",IFERROR(LOOKUP(2,1/(ISNUMBER(SEARCH(P936,보유목록!$I$2:$I$3001))*ISNUMBER(SEARCH(Q936,보유목록!$I$2:$I$3001))*(보유목록!$H$2:$H$3001=O936)),보유목록!$B$2:$B$3001),IFERROR(LOOKUP(2,1/(ISNUMBER(SEARCH(P936,보유목록!$I$2:$I$3001))*ISNUMBER(SEARCH(Q936,보유목록!$I$2:$I$3001))),보유목록!$B$2:$B$3001),"")))</f>
      </c>
      <c r="N936" s="25"/>
      <c r="O936" t="str">
        <f>IFERROR(IF(AND(LEN(SUBSTITUTE(SUBSTITUTE(SUBSTITUTE(TRIM(C936&amp;""),CHAR(160),"")," ",""),"년",""))=4,VALUE(SUBSTITUTE(SUBSTITUTE(SUBSTITUTE(TRIM(C936&amp;""),CHAR(160),"")," ",""),"년",""))&gt;=1900,VALUE(SUBSTITUTE(SUBSTITUTE(SUBSTITUTE(TRIM(C936&amp;""),CHAR(160),"")," ",""),"년",""))&lt;=2099,TEXT(VALUE(SUBSTITUTE(SUBSTITUTE(SUBSTITUTE(TRIM(C936&amp;""),CHAR(160),"")," ",""),"년","")),"0000")=SUBSTITUTE(SUBSTITUTE(SUBSTITUTE(TRIM(C936&amp;""),CHAR(160),"")," ",""),"년","")),SUBSTITUTE(SUBSTITUTE(SUBSTITUTE(TRIM(C936&amp;""),CHAR(160),"")," ",""),"년",""),""),"")</f>
      </c>
      <c r="P936" t="str">
        <f>SUBSTITUTE(SUBSTITUTE(SUBSTITUTE(SUBSTITUTE(SUBSTITUTE(SUBSTITUTE(SUBSTITUTE(SUBSTITUTE(TRIM(D936&amp;""),CHAR(160),"")," ",""),"초등학교","초"),"중학교","중"),"고등학교","고"),"~","~~"),"*","~*"),"?","~?")</f>
      </c>
      <c r="Q936" t="str">
        <f>SUBSTITUTE(SUBSTITUTE(SUBSTITUTE(SUBSTITUTE(SUBSTITUTE(SUBSTITUTE(SUBSTITUTE(SUBSTITUTE(TRIM(E936&amp;""),CHAR(160),"")," ",""),"초등학교","초"),"중학교","중"),"고등학교","고"),"~","~~"),"*","~*"),"?","~?")</f>
      </c>
      <c r="R936" t="str">
        <f>IF(COUNTA(B936:J936)=0,"",IF(AND(O936&lt;&gt;"",P936&lt;&gt;"",Q936&lt;&gt;""),"","입력누락"))</f>
      </c>
    </row>
    <row r="937" customFormat="false" ht="15" hidden="false" customHeight="false" outlineLevel="0" collapsed="false">
      <c r="A937" t="n" s="19">
        <f aca="0">IF(COUNTA(B937:J937)=0,"",ROW()-1)</f>
      </c>
      <c r="B937" s="24"/>
      <c r="C937" s="25"/>
      <c r="D937" s="8"/>
      <c r="E937" s="8"/>
      <c r="F937" s="26"/>
      <c r="G937" s="24"/>
      <c r="H937" s="25"/>
      <c r="I937" s="25"/>
      <c r="J937" s="26"/>
      <c r="K937" t="str" s="15">
        <f aca="0">IF(COUNTA(B937:J937)=0,"",IF(R937&lt;&gt;"","확인필요(입력누락)",IF(COUNTIFS(보유목록!$I$2:$I$3001,"*"&amp;P937&amp;"*",보유목록!$I$2:$I$3001,"*"&amp;Q937&amp;"*",보유목록!$H$2:$H$3001,O937)&gt;0,"있음",IF(COUNTIFS(보유목록!$I$2:$I$3001,"*"&amp;P937&amp;"*",보유목록!$I$2:$I$3001,"*"&amp;Q937&amp;"*")&gt;0,"확인필요(연도다름)",IF(COUNTIFS(보유목록!$I$2:$I$3001,"*"&amp;P937&amp;"*",보유목록!$H$2:$H$3001,O937)&gt;0,"확인필요(같은학교·같은연도)","없음")))))</f>
      </c>
      <c r="L937" t="str" s="16">
        <f aca="0">IF(OR(COUNTA(B937:J937)=0,R937&lt;&gt;""),"",COUNTIFS(보유목록!$I$2:$I$3001,"*"&amp;P937&amp;"*",보유목록!$I$2:$I$3001,"*"&amp;Q937&amp;"*"))</f>
      </c>
      <c r="M937" t="str" s="23">
        <f aca="0">IF(OR(COUNTA(B937:J937)=0,R937&lt;&gt;""),"",IFERROR(LOOKUP(2,1/(ISNUMBER(SEARCH(P937,보유목록!$I$2:$I$3001))*ISNUMBER(SEARCH(Q937,보유목록!$I$2:$I$3001))*(보유목록!$H$2:$H$3001=O937)),보유목록!$B$2:$B$3001),IFERROR(LOOKUP(2,1/(ISNUMBER(SEARCH(P937,보유목록!$I$2:$I$3001))*ISNUMBER(SEARCH(Q937,보유목록!$I$2:$I$3001))),보유목록!$B$2:$B$3001),"")))</f>
      </c>
      <c r="N937" s="25"/>
      <c r="O937" t="str">
        <f>IFERROR(IF(AND(LEN(SUBSTITUTE(SUBSTITUTE(SUBSTITUTE(TRIM(C937&amp;""),CHAR(160),"")," ",""),"년",""))=4,VALUE(SUBSTITUTE(SUBSTITUTE(SUBSTITUTE(TRIM(C937&amp;""),CHAR(160),"")," ",""),"년",""))&gt;=1900,VALUE(SUBSTITUTE(SUBSTITUTE(SUBSTITUTE(TRIM(C937&amp;""),CHAR(160),"")," ",""),"년",""))&lt;=2099,TEXT(VALUE(SUBSTITUTE(SUBSTITUTE(SUBSTITUTE(TRIM(C937&amp;""),CHAR(160),"")," ",""),"년","")),"0000")=SUBSTITUTE(SUBSTITUTE(SUBSTITUTE(TRIM(C937&amp;""),CHAR(160),"")," ",""),"년","")),SUBSTITUTE(SUBSTITUTE(SUBSTITUTE(TRIM(C937&amp;""),CHAR(160),"")," ",""),"년",""),""),"")</f>
      </c>
      <c r="P937" t="str">
        <f>SUBSTITUTE(SUBSTITUTE(SUBSTITUTE(SUBSTITUTE(SUBSTITUTE(SUBSTITUTE(SUBSTITUTE(SUBSTITUTE(TRIM(D937&amp;""),CHAR(160),"")," ",""),"초등학교","초"),"중학교","중"),"고등학교","고"),"~","~~"),"*","~*"),"?","~?")</f>
      </c>
      <c r="Q937" t="str">
        <f>SUBSTITUTE(SUBSTITUTE(SUBSTITUTE(SUBSTITUTE(SUBSTITUTE(SUBSTITUTE(SUBSTITUTE(SUBSTITUTE(TRIM(E937&amp;""),CHAR(160),"")," ",""),"초등학교","초"),"중학교","중"),"고등학교","고"),"~","~~"),"*","~*"),"?","~?")</f>
      </c>
      <c r="R937" t="str">
        <f>IF(COUNTA(B937:J937)=0,"",IF(AND(O937&lt;&gt;"",P937&lt;&gt;"",Q937&lt;&gt;""),"","입력누락"))</f>
      </c>
    </row>
    <row r="938" customFormat="false" ht="15" hidden="false" customHeight="false" outlineLevel="0" collapsed="false">
      <c r="A938" t="n" s="19">
        <f aca="0">IF(COUNTA(B938:J938)=0,"",ROW()-1)</f>
      </c>
      <c r="B938" s="24"/>
      <c r="C938" s="25"/>
      <c r="D938" s="8"/>
      <c r="E938" s="8"/>
      <c r="F938" s="26"/>
      <c r="G938" s="24"/>
      <c r="H938" s="25"/>
      <c r="I938" s="25"/>
      <c r="J938" s="26"/>
      <c r="K938" t="str" s="15">
        <f aca="0">IF(COUNTA(B938:J938)=0,"",IF(R938&lt;&gt;"","확인필요(입력누락)",IF(COUNTIFS(보유목록!$I$2:$I$3001,"*"&amp;P938&amp;"*",보유목록!$I$2:$I$3001,"*"&amp;Q938&amp;"*",보유목록!$H$2:$H$3001,O938)&gt;0,"있음",IF(COUNTIFS(보유목록!$I$2:$I$3001,"*"&amp;P938&amp;"*",보유목록!$I$2:$I$3001,"*"&amp;Q938&amp;"*")&gt;0,"확인필요(연도다름)",IF(COUNTIFS(보유목록!$I$2:$I$3001,"*"&amp;P938&amp;"*",보유목록!$H$2:$H$3001,O938)&gt;0,"확인필요(같은학교·같은연도)","없음")))))</f>
      </c>
      <c r="L938" t="str" s="16">
        <f aca="0">IF(OR(COUNTA(B938:J938)=0,R938&lt;&gt;""),"",COUNTIFS(보유목록!$I$2:$I$3001,"*"&amp;P938&amp;"*",보유목록!$I$2:$I$3001,"*"&amp;Q938&amp;"*"))</f>
      </c>
      <c r="M938" t="str" s="23">
        <f aca="0">IF(OR(COUNTA(B938:J938)=0,R938&lt;&gt;""),"",IFERROR(LOOKUP(2,1/(ISNUMBER(SEARCH(P938,보유목록!$I$2:$I$3001))*ISNUMBER(SEARCH(Q938,보유목록!$I$2:$I$3001))*(보유목록!$H$2:$H$3001=O938)),보유목록!$B$2:$B$3001),IFERROR(LOOKUP(2,1/(ISNUMBER(SEARCH(P938,보유목록!$I$2:$I$3001))*ISNUMBER(SEARCH(Q938,보유목록!$I$2:$I$3001))),보유목록!$B$2:$B$3001),"")))</f>
      </c>
      <c r="N938" s="25"/>
      <c r="O938" t="str">
        <f>IFERROR(IF(AND(LEN(SUBSTITUTE(SUBSTITUTE(SUBSTITUTE(TRIM(C938&amp;""),CHAR(160),"")," ",""),"년",""))=4,VALUE(SUBSTITUTE(SUBSTITUTE(SUBSTITUTE(TRIM(C938&amp;""),CHAR(160),"")," ",""),"년",""))&gt;=1900,VALUE(SUBSTITUTE(SUBSTITUTE(SUBSTITUTE(TRIM(C938&amp;""),CHAR(160),"")," ",""),"년",""))&lt;=2099,TEXT(VALUE(SUBSTITUTE(SUBSTITUTE(SUBSTITUTE(TRIM(C938&amp;""),CHAR(160),"")," ",""),"년","")),"0000")=SUBSTITUTE(SUBSTITUTE(SUBSTITUTE(TRIM(C938&amp;""),CHAR(160),"")," ",""),"년","")),SUBSTITUTE(SUBSTITUTE(SUBSTITUTE(TRIM(C938&amp;""),CHAR(160),"")," ",""),"년",""),""),"")</f>
      </c>
      <c r="P938" t="str">
        <f>SUBSTITUTE(SUBSTITUTE(SUBSTITUTE(SUBSTITUTE(SUBSTITUTE(SUBSTITUTE(SUBSTITUTE(SUBSTITUTE(TRIM(D938&amp;""),CHAR(160),"")," ",""),"초등학교","초"),"중학교","중"),"고등학교","고"),"~","~~"),"*","~*"),"?","~?")</f>
      </c>
      <c r="Q938" t="str">
        <f>SUBSTITUTE(SUBSTITUTE(SUBSTITUTE(SUBSTITUTE(SUBSTITUTE(SUBSTITUTE(SUBSTITUTE(SUBSTITUTE(TRIM(E938&amp;""),CHAR(160),"")," ",""),"초등학교","초"),"중학교","중"),"고등학교","고"),"~","~~"),"*","~*"),"?","~?")</f>
      </c>
      <c r="R938" t="str">
        <f>IF(COUNTA(B938:J938)=0,"",IF(AND(O938&lt;&gt;"",P938&lt;&gt;"",Q938&lt;&gt;""),"","입력누락"))</f>
      </c>
    </row>
    <row r="939" customFormat="false" ht="15" hidden="false" customHeight="false" outlineLevel="0" collapsed="false">
      <c r="A939" t="n" s="19">
        <f aca="0">IF(COUNTA(B939:J939)=0,"",ROW()-1)</f>
      </c>
      <c r="B939" s="24"/>
      <c r="C939" s="25"/>
      <c r="D939" s="8"/>
      <c r="E939" s="8"/>
      <c r="F939" s="26"/>
      <c r="G939" s="24"/>
      <c r="H939" s="25"/>
      <c r="I939" s="25"/>
      <c r="J939" s="26"/>
      <c r="K939" t="str" s="15">
        <f aca="0">IF(COUNTA(B939:J939)=0,"",IF(R939&lt;&gt;"","확인필요(입력누락)",IF(COUNTIFS(보유목록!$I$2:$I$3001,"*"&amp;P939&amp;"*",보유목록!$I$2:$I$3001,"*"&amp;Q939&amp;"*",보유목록!$H$2:$H$3001,O939)&gt;0,"있음",IF(COUNTIFS(보유목록!$I$2:$I$3001,"*"&amp;P939&amp;"*",보유목록!$I$2:$I$3001,"*"&amp;Q939&amp;"*")&gt;0,"확인필요(연도다름)",IF(COUNTIFS(보유목록!$I$2:$I$3001,"*"&amp;P939&amp;"*",보유목록!$H$2:$H$3001,O939)&gt;0,"확인필요(같은학교·같은연도)","없음")))))</f>
      </c>
      <c r="L939" t="str" s="16">
        <f aca="0">IF(OR(COUNTA(B939:J939)=0,R939&lt;&gt;""),"",COUNTIFS(보유목록!$I$2:$I$3001,"*"&amp;P939&amp;"*",보유목록!$I$2:$I$3001,"*"&amp;Q939&amp;"*"))</f>
      </c>
      <c r="M939" t="str" s="23">
        <f aca="0">IF(OR(COUNTA(B939:J939)=0,R939&lt;&gt;""),"",IFERROR(LOOKUP(2,1/(ISNUMBER(SEARCH(P939,보유목록!$I$2:$I$3001))*ISNUMBER(SEARCH(Q939,보유목록!$I$2:$I$3001))*(보유목록!$H$2:$H$3001=O939)),보유목록!$B$2:$B$3001),IFERROR(LOOKUP(2,1/(ISNUMBER(SEARCH(P939,보유목록!$I$2:$I$3001))*ISNUMBER(SEARCH(Q939,보유목록!$I$2:$I$3001))),보유목록!$B$2:$B$3001),"")))</f>
      </c>
      <c r="N939" s="25"/>
      <c r="O939" t="str">
        <f>IFERROR(IF(AND(LEN(SUBSTITUTE(SUBSTITUTE(SUBSTITUTE(TRIM(C939&amp;""),CHAR(160),"")," ",""),"년",""))=4,VALUE(SUBSTITUTE(SUBSTITUTE(SUBSTITUTE(TRIM(C939&amp;""),CHAR(160),"")," ",""),"년",""))&gt;=1900,VALUE(SUBSTITUTE(SUBSTITUTE(SUBSTITUTE(TRIM(C939&amp;""),CHAR(160),"")," ",""),"년",""))&lt;=2099,TEXT(VALUE(SUBSTITUTE(SUBSTITUTE(SUBSTITUTE(TRIM(C939&amp;""),CHAR(160),"")," ",""),"년","")),"0000")=SUBSTITUTE(SUBSTITUTE(SUBSTITUTE(TRIM(C939&amp;""),CHAR(160),"")," ",""),"년","")),SUBSTITUTE(SUBSTITUTE(SUBSTITUTE(TRIM(C939&amp;""),CHAR(160),"")," ",""),"년",""),""),"")</f>
      </c>
      <c r="P939" t="str">
        <f>SUBSTITUTE(SUBSTITUTE(SUBSTITUTE(SUBSTITUTE(SUBSTITUTE(SUBSTITUTE(SUBSTITUTE(SUBSTITUTE(TRIM(D939&amp;""),CHAR(160),"")," ",""),"초등학교","초"),"중학교","중"),"고등학교","고"),"~","~~"),"*","~*"),"?","~?")</f>
      </c>
      <c r="Q939" t="str">
        <f>SUBSTITUTE(SUBSTITUTE(SUBSTITUTE(SUBSTITUTE(SUBSTITUTE(SUBSTITUTE(SUBSTITUTE(SUBSTITUTE(TRIM(E939&amp;""),CHAR(160),"")," ",""),"초등학교","초"),"중학교","중"),"고등학교","고"),"~","~~"),"*","~*"),"?","~?")</f>
      </c>
      <c r="R939" t="str">
        <f>IF(COUNTA(B939:J939)=0,"",IF(AND(O939&lt;&gt;"",P939&lt;&gt;"",Q939&lt;&gt;""),"","입력누락"))</f>
      </c>
    </row>
    <row r="940" customFormat="false" ht="15" hidden="false" customHeight="false" outlineLevel="0" collapsed="false">
      <c r="A940" t="n" s="19">
        <f aca="0">IF(COUNTA(B940:J940)=0,"",ROW()-1)</f>
      </c>
      <c r="B940" s="24"/>
      <c r="C940" s="25"/>
      <c r="D940" s="8"/>
      <c r="E940" s="8"/>
      <c r="F940" s="26"/>
      <c r="G940" s="24"/>
      <c r="H940" s="25"/>
      <c r="I940" s="25"/>
      <c r="J940" s="26"/>
      <c r="K940" t="str" s="15">
        <f aca="0">IF(COUNTA(B940:J940)=0,"",IF(R940&lt;&gt;"","확인필요(입력누락)",IF(COUNTIFS(보유목록!$I$2:$I$3001,"*"&amp;P940&amp;"*",보유목록!$I$2:$I$3001,"*"&amp;Q940&amp;"*",보유목록!$H$2:$H$3001,O940)&gt;0,"있음",IF(COUNTIFS(보유목록!$I$2:$I$3001,"*"&amp;P940&amp;"*",보유목록!$I$2:$I$3001,"*"&amp;Q940&amp;"*")&gt;0,"확인필요(연도다름)",IF(COUNTIFS(보유목록!$I$2:$I$3001,"*"&amp;P940&amp;"*",보유목록!$H$2:$H$3001,O940)&gt;0,"확인필요(같은학교·같은연도)","없음")))))</f>
      </c>
      <c r="L940" t="str" s="16">
        <f aca="0">IF(OR(COUNTA(B940:J940)=0,R940&lt;&gt;""),"",COUNTIFS(보유목록!$I$2:$I$3001,"*"&amp;P940&amp;"*",보유목록!$I$2:$I$3001,"*"&amp;Q940&amp;"*"))</f>
      </c>
      <c r="M940" t="str" s="23">
        <f aca="0">IF(OR(COUNTA(B940:J940)=0,R940&lt;&gt;""),"",IFERROR(LOOKUP(2,1/(ISNUMBER(SEARCH(P940,보유목록!$I$2:$I$3001))*ISNUMBER(SEARCH(Q940,보유목록!$I$2:$I$3001))*(보유목록!$H$2:$H$3001=O940)),보유목록!$B$2:$B$3001),IFERROR(LOOKUP(2,1/(ISNUMBER(SEARCH(P940,보유목록!$I$2:$I$3001))*ISNUMBER(SEARCH(Q940,보유목록!$I$2:$I$3001))),보유목록!$B$2:$B$3001),"")))</f>
      </c>
      <c r="N940" s="25"/>
      <c r="O940" t="str">
        <f>IFERROR(IF(AND(LEN(SUBSTITUTE(SUBSTITUTE(SUBSTITUTE(TRIM(C940&amp;""),CHAR(160),"")," ",""),"년",""))=4,VALUE(SUBSTITUTE(SUBSTITUTE(SUBSTITUTE(TRIM(C940&amp;""),CHAR(160),"")," ",""),"년",""))&gt;=1900,VALUE(SUBSTITUTE(SUBSTITUTE(SUBSTITUTE(TRIM(C940&amp;""),CHAR(160),"")," ",""),"년",""))&lt;=2099,TEXT(VALUE(SUBSTITUTE(SUBSTITUTE(SUBSTITUTE(TRIM(C940&amp;""),CHAR(160),"")," ",""),"년","")),"0000")=SUBSTITUTE(SUBSTITUTE(SUBSTITUTE(TRIM(C940&amp;""),CHAR(160),"")," ",""),"년","")),SUBSTITUTE(SUBSTITUTE(SUBSTITUTE(TRIM(C940&amp;""),CHAR(160),"")," ",""),"년",""),""),"")</f>
      </c>
      <c r="P940" t="str">
        <f>SUBSTITUTE(SUBSTITUTE(SUBSTITUTE(SUBSTITUTE(SUBSTITUTE(SUBSTITUTE(SUBSTITUTE(SUBSTITUTE(TRIM(D940&amp;""),CHAR(160),"")," ",""),"초등학교","초"),"중학교","중"),"고등학교","고"),"~","~~"),"*","~*"),"?","~?")</f>
      </c>
      <c r="Q940" t="str">
        <f>SUBSTITUTE(SUBSTITUTE(SUBSTITUTE(SUBSTITUTE(SUBSTITUTE(SUBSTITUTE(SUBSTITUTE(SUBSTITUTE(TRIM(E940&amp;""),CHAR(160),"")," ",""),"초등학교","초"),"중학교","중"),"고등학교","고"),"~","~~"),"*","~*"),"?","~?")</f>
      </c>
      <c r="R940" t="str">
        <f>IF(COUNTA(B940:J940)=0,"",IF(AND(O940&lt;&gt;"",P940&lt;&gt;"",Q940&lt;&gt;""),"","입력누락"))</f>
      </c>
    </row>
    <row r="941" customFormat="false" ht="15" hidden="false" customHeight="false" outlineLevel="0" collapsed="false">
      <c r="A941" t="n" s="19">
        <f aca="0">IF(COUNTA(B941:J941)=0,"",ROW()-1)</f>
      </c>
      <c r="B941" s="24"/>
      <c r="C941" s="25"/>
      <c r="D941" s="8"/>
      <c r="E941" s="8"/>
      <c r="F941" s="26"/>
      <c r="G941" s="24"/>
      <c r="H941" s="25"/>
      <c r="I941" s="25"/>
      <c r="J941" s="26"/>
      <c r="K941" t="str" s="15">
        <f aca="0">IF(COUNTA(B941:J941)=0,"",IF(R941&lt;&gt;"","확인필요(입력누락)",IF(COUNTIFS(보유목록!$I$2:$I$3001,"*"&amp;P941&amp;"*",보유목록!$I$2:$I$3001,"*"&amp;Q941&amp;"*",보유목록!$H$2:$H$3001,O941)&gt;0,"있음",IF(COUNTIFS(보유목록!$I$2:$I$3001,"*"&amp;P941&amp;"*",보유목록!$I$2:$I$3001,"*"&amp;Q941&amp;"*")&gt;0,"확인필요(연도다름)",IF(COUNTIFS(보유목록!$I$2:$I$3001,"*"&amp;P941&amp;"*",보유목록!$H$2:$H$3001,O941)&gt;0,"확인필요(같은학교·같은연도)","없음")))))</f>
      </c>
      <c r="L941" t="str" s="16">
        <f aca="0">IF(OR(COUNTA(B941:J941)=0,R941&lt;&gt;""),"",COUNTIFS(보유목록!$I$2:$I$3001,"*"&amp;P941&amp;"*",보유목록!$I$2:$I$3001,"*"&amp;Q941&amp;"*"))</f>
      </c>
      <c r="M941" t="str" s="23">
        <f aca="0">IF(OR(COUNTA(B941:J941)=0,R941&lt;&gt;""),"",IFERROR(LOOKUP(2,1/(ISNUMBER(SEARCH(P941,보유목록!$I$2:$I$3001))*ISNUMBER(SEARCH(Q941,보유목록!$I$2:$I$3001))*(보유목록!$H$2:$H$3001=O941)),보유목록!$B$2:$B$3001),IFERROR(LOOKUP(2,1/(ISNUMBER(SEARCH(P941,보유목록!$I$2:$I$3001))*ISNUMBER(SEARCH(Q941,보유목록!$I$2:$I$3001))),보유목록!$B$2:$B$3001),"")))</f>
      </c>
      <c r="N941" s="25"/>
      <c r="O941" t="str">
        <f>IFERROR(IF(AND(LEN(SUBSTITUTE(SUBSTITUTE(SUBSTITUTE(TRIM(C941&amp;""),CHAR(160),"")," ",""),"년",""))=4,VALUE(SUBSTITUTE(SUBSTITUTE(SUBSTITUTE(TRIM(C941&amp;""),CHAR(160),"")," ",""),"년",""))&gt;=1900,VALUE(SUBSTITUTE(SUBSTITUTE(SUBSTITUTE(TRIM(C941&amp;""),CHAR(160),"")," ",""),"년",""))&lt;=2099,TEXT(VALUE(SUBSTITUTE(SUBSTITUTE(SUBSTITUTE(TRIM(C941&amp;""),CHAR(160),"")," ",""),"년","")),"0000")=SUBSTITUTE(SUBSTITUTE(SUBSTITUTE(TRIM(C941&amp;""),CHAR(160),"")," ",""),"년","")),SUBSTITUTE(SUBSTITUTE(SUBSTITUTE(TRIM(C941&amp;""),CHAR(160),"")," ",""),"년",""),""),"")</f>
      </c>
      <c r="P941" t="str">
        <f>SUBSTITUTE(SUBSTITUTE(SUBSTITUTE(SUBSTITUTE(SUBSTITUTE(SUBSTITUTE(SUBSTITUTE(SUBSTITUTE(TRIM(D941&amp;""),CHAR(160),"")," ",""),"초등학교","초"),"중학교","중"),"고등학교","고"),"~","~~"),"*","~*"),"?","~?")</f>
      </c>
      <c r="Q941" t="str">
        <f>SUBSTITUTE(SUBSTITUTE(SUBSTITUTE(SUBSTITUTE(SUBSTITUTE(SUBSTITUTE(SUBSTITUTE(SUBSTITUTE(TRIM(E941&amp;""),CHAR(160),"")," ",""),"초등학교","초"),"중학교","중"),"고등학교","고"),"~","~~"),"*","~*"),"?","~?")</f>
      </c>
      <c r="R941" t="str">
        <f>IF(COUNTA(B941:J941)=0,"",IF(AND(O941&lt;&gt;"",P941&lt;&gt;"",Q941&lt;&gt;""),"","입력누락"))</f>
      </c>
    </row>
    <row r="942" customFormat="false" ht="15" hidden="false" customHeight="false" outlineLevel="0" collapsed="false">
      <c r="A942" t="n" s="19">
        <f aca="0">IF(COUNTA(B942:J942)=0,"",ROW()-1)</f>
      </c>
      <c r="B942" s="24"/>
      <c r="C942" s="25"/>
      <c r="D942" s="8"/>
      <c r="E942" s="8"/>
      <c r="F942" s="26"/>
      <c r="G942" s="24"/>
      <c r="H942" s="25"/>
      <c r="I942" s="25"/>
      <c r="J942" s="26"/>
      <c r="K942" t="str" s="15">
        <f aca="0">IF(COUNTA(B942:J942)=0,"",IF(R942&lt;&gt;"","확인필요(입력누락)",IF(COUNTIFS(보유목록!$I$2:$I$3001,"*"&amp;P942&amp;"*",보유목록!$I$2:$I$3001,"*"&amp;Q942&amp;"*",보유목록!$H$2:$H$3001,O942)&gt;0,"있음",IF(COUNTIFS(보유목록!$I$2:$I$3001,"*"&amp;P942&amp;"*",보유목록!$I$2:$I$3001,"*"&amp;Q942&amp;"*")&gt;0,"확인필요(연도다름)",IF(COUNTIFS(보유목록!$I$2:$I$3001,"*"&amp;P942&amp;"*",보유목록!$H$2:$H$3001,O942)&gt;0,"확인필요(같은학교·같은연도)","없음")))))</f>
      </c>
      <c r="L942" t="str" s="16">
        <f aca="0">IF(OR(COUNTA(B942:J942)=0,R942&lt;&gt;""),"",COUNTIFS(보유목록!$I$2:$I$3001,"*"&amp;P942&amp;"*",보유목록!$I$2:$I$3001,"*"&amp;Q942&amp;"*"))</f>
      </c>
      <c r="M942" t="str" s="23">
        <f aca="0">IF(OR(COUNTA(B942:J942)=0,R942&lt;&gt;""),"",IFERROR(LOOKUP(2,1/(ISNUMBER(SEARCH(P942,보유목록!$I$2:$I$3001))*ISNUMBER(SEARCH(Q942,보유목록!$I$2:$I$3001))*(보유목록!$H$2:$H$3001=O942)),보유목록!$B$2:$B$3001),IFERROR(LOOKUP(2,1/(ISNUMBER(SEARCH(P942,보유목록!$I$2:$I$3001))*ISNUMBER(SEARCH(Q942,보유목록!$I$2:$I$3001))),보유목록!$B$2:$B$3001),"")))</f>
      </c>
      <c r="N942" s="25"/>
      <c r="O942" t="str">
        <f>IFERROR(IF(AND(LEN(SUBSTITUTE(SUBSTITUTE(SUBSTITUTE(TRIM(C942&amp;""),CHAR(160),"")," ",""),"년",""))=4,VALUE(SUBSTITUTE(SUBSTITUTE(SUBSTITUTE(TRIM(C942&amp;""),CHAR(160),"")," ",""),"년",""))&gt;=1900,VALUE(SUBSTITUTE(SUBSTITUTE(SUBSTITUTE(TRIM(C942&amp;""),CHAR(160),"")," ",""),"년",""))&lt;=2099,TEXT(VALUE(SUBSTITUTE(SUBSTITUTE(SUBSTITUTE(TRIM(C942&amp;""),CHAR(160),"")," ",""),"년","")),"0000")=SUBSTITUTE(SUBSTITUTE(SUBSTITUTE(TRIM(C942&amp;""),CHAR(160),"")," ",""),"년","")),SUBSTITUTE(SUBSTITUTE(SUBSTITUTE(TRIM(C942&amp;""),CHAR(160),"")," ",""),"년",""),""),"")</f>
      </c>
      <c r="P942" t="str">
        <f>SUBSTITUTE(SUBSTITUTE(SUBSTITUTE(SUBSTITUTE(SUBSTITUTE(SUBSTITUTE(SUBSTITUTE(SUBSTITUTE(TRIM(D942&amp;""),CHAR(160),"")," ",""),"초등학교","초"),"중학교","중"),"고등학교","고"),"~","~~"),"*","~*"),"?","~?")</f>
      </c>
      <c r="Q942" t="str">
        <f>SUBSTITUTE(SUBSTITUTE(SUBSTITUTE(SUBSTITUTE(SUBSTITUTE(SUBSTITUTE(SUBSTITUTE(SUBSTITUTE(TRIM(E942&amp;""),CHAR(160),"")," ",""),"초등학교","초"),"중학교","중"),"고등학교","고"),"~","~~"),"*","~*"),"?","~?")</f>
      </c>
      <c r="R942" t="str">
        <f>IF(COUNTA(B942:J942)=0,"",IF(AND(O942&lt;&gt;"",P942&lt;&gt;"",Q942&lt;&gt;""),"","입력누락"))</f>
      </c>
    </row>
    <row r="943" customFormat="false" ht="15" hidden="false" customHeight="false" outlineLevel="0" collapsed="false">
      <c r="A943" t="n" s="19">
        <f aca="0">IF(COUNTA(B943:J943)=0,"",ROW()-1)</f>
      </c>
      <c r="B943" s="24"/>
      <c r="C943" s="25"/>
      <c r="D943" s="8"/>
      <c r="E943" s="8"/>
      <c r="F943" s="26"/>
      <c r="G943" s="24"/>
      <c r="H943" s="25"/>
      <c r="I943" s="25"/>
      <c r="J943" s="26"/>
      <c r="K943" t="str" s="15">
        <f aca="0">IF(COUNTA(B943:J943)=0,"",IF(R943&lt;&gt;"","확인필요(입력누락)",IF(COUNTIFS(보유목록!$I$2:$I$3001,"*"&amp;P943&amp;"*",보유목록!$I$2:$I$3001,"*"&amp;Q943&amp;"*",보유목록!$H$2:$H$3001,O943)&gt;0,"있음",IF(COUNTIFS(보유목록!$I$2:$I$3001,"*"&amp;P943&amp;"*",보유목록!$I$2:$I$3001,"*"&amp;Q943&amp;"*")&gt;0,"확인필요(연도다름)",IF(COUNTIFS(보유목록!$I$2:$I$3001,"*"&amp;P943&amp;"*",보유목록!$H$2:$H$3001,O943)&gt;0,"확인필요(같은학교·같은연도)","없음")))))</f>
      </c>
      <c r="L943" t="str" s="16">
        <f aca="0">IF(OR(COUNTA(B943:J943)=0,R943&lt;&gt;""),"",COUNTIFS(보유목록!$I$2:$I$3001,"*"&amp;P943&amp;"*",보유목록!$I$2:$I$3001,"*"&amp;Q943&amp;"*"))</f>
      </c>
      <c r="M943" t="str" s="23">
        <f aca="0">IF(OR(COUNTA(B943:J943)=0,R943&lt;&gt;""),"",IFERROR(LOOKUP(2,1/(ISNUMBER(SEARCH(P943,보유목록!$I$2:$I$3001))*ISNUMBER(SEARCH(Q943,보유목록!$I$2:$I$3001))*(보유목록!$H$2:$H$3001=O943)),보유목록!$B$2:$B$3001),IFERROR(LOOKUP(2,1/(ISNUMBER(SEARCH(P943,보유목록!$I$2:$I$3001))*ISNUMBER(SEARCH(Q943,보유목록!$I$2:$I$3001))),보유목록!$B$2:$B$3001),"")))</f>
      </c>
      <c r="N943" s="25"/>
      <c r="O943" t="str">
        <f>IFERROR(IF(AND(LEN(SUBSTITUTE(SUBSTITUTE(SUBSTITUTE(TRIM(C943&amp;""),CHAR(160),"")," ",""),"년",""))=4,VALUE(SUBSTITUTE(SUBSTITUTE(SUBSTITUTE(TRIM(C943&amp;""),CHAR(160),"")," ",""),"년",""))&gt;=1900,VALUE(SUBSTITUTE(SUBSTITUTE(SUBSTITUTE(TRIM(C943&amp;""),CHAR(160),"")," ",""),"년",""))&lt;=2099,TEXT(VALUE(SUBSTITUTE(SUBSTITUTE(SUBSTITUTE(TRIM(C943&amp;""),CHAR(160),"")," ",""),"년","")),"0000")=SUBSTITUTE(SUBSTITUTE(SUBSTITUTE(TRIM(C943&amp;""),CHAR(160),"")," ",""),"년","")),SUBSTITUTE(SUBSTITUTE(SUBSTITUTE(TRIM(C943&amp;""),CHAR(160),"")," ",""),"년",""),""),"")</f>
      </c>
      <c r="P943" t="str">
        <f>SUBSTITUTE(SUBSTITUTE(SUBSTITUTE(SUBSTITUTE(SUBSTITUTE(SUBSTITUTE(SUBSTITUTE(SUBSTITUTE(TRIM(D943&amp;""),CHAR(160),"")," ",""),"초등학교","초"),"중학교","중"),"고등학교","고"),"~","~~"),"*","~*"),"?","~?")</f>
      </c>
      <c r="Q943" t="str">
        <f>SUBSTITUTE(SUBSTITUTE(SUBSTITUTE(SUBSTITUTE(SUBSTITUTE(SUBSTITUTE(SUBSTITUTE(SUBSTITUTE(TRIM(E943&amp;""),CHAR(160),"")," ",""),"초등학교","초"),"중학교","중"),"고등학교","고"),"~","~~"),"*","~*"),"?","~?")</f>
      </c>
      <c r="R943" t="str">
        <f>IF(COUNTA(B943:J943)=0,"",IF(AND(O943&lt;&gt;"",P943&lt;&gt;"",Q943&lt;&gt;""),"","입력누락"))</f>
      </c>
    </row>
    <row r="944" customFormat="false" ht="15" hidden="false" customHeight="false" outlineLevel="0" collapsed="false">
      <c r="A944" t="n" s="19">
        <f aca="0">IF(COUNTA(B944:J944)=0,"",ROW()-1)</f>
      </c>
      <c r="B944" s="24"/>
      <c r="C944" s="25"/>
      <c r="D944" s="8"/>
      <c r="E944" s="8"/>
      <c r="F944" s="26"/>
      <c r="G944" s="24"/>
      <c r="H944" s="25"/>
      <c r="I944" s="25"/>
      <c r="J944" s="26"/>
      <c r="K944" t="str" s="15">
        <f aca="0">IF(COUNTA(B944:J944)=0,"",IF(R944&lt;&gt;"","확인필요(입력누락)",IF(COUNTIFS(보유목록!$I$2:$I$3001,"*"&amp;P944&amp;"*",보유목록!$I$2:$I$3001,"*"&amp;Q944&amp;"*",보유목록!$H$2:$H$3001,O944)&gt;0,"있음",IF(COUNTIFS(보유목록!$I$2:$I$3001,"*"&amp;P944&amp;"*",보유목록!$I$2:$I$3001,"*"&amp;Q944&amp;"*")&gt;0,"확인필요(연도다름)",IF(COUNTIFS(보유목록!$I$2:$I$3001,"*"&amp;P944&amp;"*",보유목록!$H$2:$H$3001,O944)&gt;0,"확인필요(같은학교·같은연도)","없음")))))</f>
      </c>
      <c r="L944" t="str" s="16">
        <f aca="0">IF(OR(COUNTA(B944:J944)=0,R944&lt;&gt;""),"",COUNTIFS(보유목록!$I$2:$I$3001,"*"&amp;P944&amp;"*",보유목록!$I$2:$I$3001,"*"&amp;Q944&amp;"*"))</f>
      </c>
      <c r="M944" t="str" s="23">
        <f aca="0">IF(OR(COUNTA(B944:J944)=0,R944&lt;&gt;""),"",IFERROR(LOOKUP(2,1/(ISNUMBER(SEARCH(P944,보유목록!$I$2:$I$3001))*ISNUMBER(SEARCH(Q944,보유목록!$I$2:$I$3001))*(보유목록!$H$2:$H$3001=O944)),보유목록!$B$2:$B$3001),IFERROR(LOOKUP(2,1/(ISNUMBER(SEARCH(P944,보유목록!$I$2:$I$3001))*ISNUMBER(SEARCH(Q944,보유목록!$I$2:$I$3001))),보유목록!$B$2:$B$3001),"")))</f>
      </c>
      <c r="N944" s="25"/>
      <c r="O944" t="str">
        <f>IFERROR(IF(AND(LEN(SUBSTITUTE(SUBSTITUTE(SUBSTITUTE(TRIM(C944&amp;""),CHAR(160),"")," ",""),"년",""))=4,VALUE(SUBSTITUTE(SUBSTITUTE(SUBSTITUTE(TRIM(C944&amp;""),CHAR(160),"")," ",""),"년",""))&gt;=1900,VALUE(SUBSTITUTE(SUBSTITUTE(SUBSTITUTE(TRIM(C944&amp;""),CHAR(160),"")," ",""),"년",""))&lt;=2099,TEXT(VALUE(SUBSTITUTE(SUBSTITUTE(SUBSTITUTE(TRIM(C944&amp;""),CHAR(160),"")," ",""),"년","")),"0000")=SUBSTITUTE(SUBSTITUTE(SUBSTITUTE(TRIM(C944&amp;""),CHAR(160),"")," ",""),"년","")),SUBSTITUTE(SUBSTITUTE(SUBSTITUTE(TRIM(C944&amp;""),CHAR(160),"")," ",""),"년",""),""),"")</f>
      </c>
      <c r="P944" t="str">
        <f>SUBSTITUTE(SUBSTITUTE(SUBSTITUTE(SUBSTITUTE(SUBSTITUTE(SUBSTITUTE(SUBSTITUTE(SUBSTITUTE(TRIM(D944&amp;""),CHAR(160),"")," ",""),"초등학교","초"),"중학교","중"),"고등학교","고"),"~","~~"),"*","~*"),"?","~?")</f>
      </c>
      <c r="Q944" t="str">
        <f>SUBSTITUTE(SUBSTITUTE(SUBSTITUTE(SUBSTITUTE(SUBSTITUTE(SUBSTITUTE(SUBSTITUTE(SUBSTITUTE(TRIM(E944&amp;""),CHAR(160),"")," ",""),"초등학교","초"),"중학교","중"),"고등학교","고"),"~","~~"),"*","~*"),"?","~?")</f>
      </c>
      <c r="R944" t="str">
        <f>IF(COUNTA(B944:J944)=0,"",IF(AND(O944&lt;&gt;"",P944&lt;&gt;"",Q944&lt;&gt;""),"","입력누락"))</f>
      </c>
    </row>
    <row r="945" customFormat="false" ht="15" hidden="false" customHeight="false" outlineLevel="0" collapsed="false">
      <c r="A945" t="n" s="19">
        <f aca="0">IF(COUNTA(B945:J945)=0,"",ROW()-1)</f>
      </c>
      <c r="B945" s="24"/>
      <c r="C945" s="25"/>
      <c r="D945" s="8"/>
      <c r="E945" s="8"/>
      <c r="F945" s="26"/>
      <c r="G945" s="24"/>
      <c r="H945" s="25"/>
      <c r="I945" s="25"/>
      <c r="J945" s="26"/>
      <c r="K945" t="str" s="15">
        <f aca="0">IF(COUNTA(B945:J945)=0,"",IF(R945&lt;&gt;"","확인필요(입력누락)",IF(COUNTIFS(보유목록!$I$2:$I$3001,"*"&amp;P945&amp;"*",보유목록!$I$2:$I$3001,"*"&amp;Q945&amp;"*",보유목록!$H$2:$H$3001,O945)&gt;0,"있음",IF(COUNTIFS(보유목록!$I$2:$I$3001,"*"&amp;P945&amp;"*",보유목록!$I$2:$I$3001,"*"&amp;Q945&amp;"*")&gt;0,"확인필요(연도다름)",IF(COUNTIFS(보유목록!$I$2:$I$3001,"*"&amp;P945&amp;"*",보유목록!$H$2:$H$3001,O945)&gt;0,"확인필요(같은학교·같은연도)","없음")))))</f>
      </c>
      <c r="L945" t="str" s="16">
        <f aca="0">IF(OR(COUNTA(B945:J945)=0,R945&lt;&gt;""),"",COUNTIFS(보유목록!$I$2:$I$3001,"*"&amp;P945&amp;"*",보유목록!$I$2:$I$3001,"*"&amp;Q945&amp;"*"))</f>
      </c>
      <c r="M945" t="str" s="23">
        <f aca="0">IF(OR(COUNTA(B945:J945)=0,R945&lt;&gt;""),"",IFERROR(LOOKUP(2,1/(ISNUMBER(SEARCH(P945,보유목록!$I$2:$I$3001))*ISNUMBER(SEARCH(Q945,보유목록!$I$2:$I$3001))*(보유목록!$H$2:$H$3001=O945)),보유목록!$B$2:$B$3001),IFERROR(LOOKUP(2,1/(ISNUMBER(SEARCH(P945,보유목록!$I$2:$I$3001))*ISNUMBER(SEARCH(Q945,보유목록!$I$2:$I$3001))),보유목록!$B$2:$B$3001),"")))</f>
      </c>
      <c r="N945" s="25"/>
      <c r="O945" t="str">
        <f>IFERROR(IF(AND(LEN(SUBSTITUTE(SUBSTITUTE(SUBSTITUTE(TRIM(C945&amp;""),CHAR(160),"")," ",""),"년",""))=4,VALUE(SUBSTITUTE(SUBSTITUTE(SUBSTITUTE(TRIM(C945&amp;""),CHAR(160),"")," ",""),"년",""))&gt;=1900,VALUE(SUBSTITUTE(SUBSTITUTE(SUBSTITUTE(TRIM(C945&amp;""),CHAR(160),"")," ",""),"년",""))&lt;=2099,TEXT(VALUE(SUBSTITUTE(SUBSTITUTE(SUBSTITUTE(TRIM(C945&amp;""),CHAR(160),"")," ",""),"년","")),"0000")=SUBSTITUTE(SUBSTITUTE(SUBSTITUTE(TRIM(C945&amp;""),CHAR(160),"")," ",""),"년","")),SUBSTITUTE(SUBSTITUTE(SUBSTITUTE(TRIM(C945&amp;""),CHAR(160),"")," ",""),"년",""),""),"")</f>
      </c>
      <c r="P945" t="str">
        <f>SUBSTITUTE(SUBSTITUTE(SUBSTITUTE(SUBSTITUTE(SUBSTITUTE(SUBSTITUTE(SUBSTITUTE(SUBSTITUTE(TRIM(D945&amp;""),CHAR(160),"")," ",""),"초등학교","초"),"중학교","중"),"고등학교","고"),"~","~~"),"*","~*"),"?","~?")</f>
      </c>
      <c r="Q945" t="str">
        <f>SUBSTITUTE(SUBSTITUTE(SUBSTITUTE(SUBSTITUTE(SUBSTITUTE(SUBSTITUTE(SUBSTITUTE(SUBSTITUTE(TRIM(E945&amp;""),CHAR(160),"")," ",""),"초등학교","초"),"중학교","중"),"고등학교","고"),"~","~~"),"*","~*"),"?","~?")</f>
      </c>
      <c r="R945" t="str">
        <f>IF(COUNTA(B945:J945)=0,"",IF(AND(O945&lt;&gt;"",P945&lt;&gt;"",Q945&lt;&gt;""),"","입력누락"))</f>
      </c>
    </row>
    <row r="946" customFormat="false" ht="15" hidden="false" customHeight="false" outlineLevel="0" collapsed="false">
      <c r="A946" t="n" s="19">
        <f aca="0">IF(COUNTA(B946:J946)=0,"",ROW()-1)</f>
      </c>
      <c r="B946" s="24"/>
      <c r="C946" s="25"/>
      <c r="D946" s="8"/>
      <c r="E946" s="8"/>
      <c r="F946" s="26"/>
      <c r="G946" s="24"/>
      <c r="H946" s="25"/>
      <c r="I946" s="25"/>
      <c r="J946" s="26"/>
      <c r="K946" t="str" s="15">
        <f aca="0">IF(COUNTA(B946:J946)=0,"",IF(R946&lt;&gt;"","확인필요(입력누락)",IF(COUNTIFS(보유목록!$I$2:$I$3001,"*"&amp;P946&amp;"*",보유목록!$I$2:$I$3001,"*"&amp;Q946&amp;"*",보유목록!$H$2:$H$3001,O946)&gt;0,"있음",IF(COUNTIFS(보유목록!$I$2:$I$3001,"*"&amp;P946&amp;"*",보유목록!$I$2:$I$3001,"*"&amp;Q946&amp;"*")&gt;0,"확인필요(연도다름)",IF(COUNTIFS(보유목록!$I$2:$I$3001,"*"&amp;P946&amp;"*",보유목록!$H$2:$H$3001,O946)&gt;0,"확인필요(같은학교·같은연도)","없음")))))</f>
      </c>
      <c r="L946" t="str" s="16">
        <f aca="0">IF(OR(COUNTA(B946:J946)=0,R946&lt;&gt;""),"",COUNTIFS(보유목록!$I$2:$I$3001,"*"&amp;P946&amp;"*",보유목록!$I$2:$I$3001,"*"&amp;Q946&amp;"*"))</f>
      </c>
      <c r="M946" t="str" s="23">
        <f aca="0">IF(OR(COUNTA(B946:J946)=0,R946&lt;&gt;""),"",IFERROR(LOOKUP(2,1/(ISNUMBER(SEARCH(P946,보유목록!$I$2:$I$3001))*ISNUMBER(SEARCH(Q946,보유목록!$I$2:$I$3001))*(보유목록!$H$2:$H$3001=O946)),보유목록!$B$2:$B$3001),IFERROR(LOOKUP(2,1/(ISNUMBER(SEARCH(P946,보유목록!$I$2:$I$3001))*ISNUMBER(SEARCH(Q946,보유목록!$I$2:$I$3001))),보유목록!$B$2:$B$3001),"")))</f>
      </c>
      <c r="N946" s="25"/>
      <c r="O946" t="str">
        <f>IFERROR(IF(AND(LEN(SUBSTITUTE(SUBSTITUTE(SUBSTITUTE(TRIM(C946&amp;""),CHAR(160),"")," ",""),"년",""))=4,VALUE(SUBSTITUTE(SUBSTITUTE(SUBSTITUTE(TRIM(C946&amp;""),CHAR(160),"")," ",""),"년",""))&gt;=1900,VALUE(SUBSTITUTE(SUBSTITUTE(SUBSTITUTE(TRIM(C946&amp;""),CHAR(160),"")," ",""),"년",""))&lt;=2099,TEXT(VALUE(SUBSTITUTE(SUBSTITUTE(SUBSTITUTE(TRIM(C946&amp;""),CHAR(160),"")," ",""),"년","")),"0000")=SUBSTITUTE(SUBSTITUTE(SUBSTITUTE(TRIM(C946&amp;""),CHAR(160),"")," ",""),"년","")),SUBSTITUTE(SUBSTITUTE(SUBSTITUTE(TRIM(C946&amp;""),CHAR(160),"")," ",""),"년",""),""),"")</f>
      </c>
      <c r="P946" t="str">
        <f>SUBSTITUTE(SUBSTITUTE(SUBSTITUTE(SUBSTITUTE(SUBSTITUTE(SUBSTITUTE(SUBSTITUTE(SUBSTITUTE(TRIM(D946&amp;""),CHAR(160),"")," ",""),"초등학교","초"),"중학교","중"),"고등학교","고"),"~","~~"),"*","~*"),"?","~?")</f>
      </c>
      <c r="Q946" t="str">
        <f>SUBSTITUTE(SUBSTITUTE(SUBSTITUTE(SUBSTITUTE(SUBSTITUTE(SUBSTITUTE(SUBSTITUTE(SUBSTITUTE(TRIM(E946&amp;""),CHAR(160),"")," ",""),"초등학교","초"),"중학교","중"),"고등학교","고"),"~","~~"),"*","~*"),"?","~?")</f>
      </c>
      <c r="R946" t="str">
        <f>IF(COUNTA(B946:J946)=0,"",IF(AND(O946&lt;&gt;"",P946&lt;&gt;"",Q946&lt;&gt;""),"","입력누락"))</f>
      </c>
    </row>
    <row r="947" customFormat="false" ht="15" hidden="false" customHeight="false" outlineLevel="0" collapsed="false">
      <c r="A947" t="n" s="19">
        <f aca="0">IF(COUNTA(B947:J947)=0,"",ROW()-1)</f>
      </c>
      <c r="B947" s="24"/>
      <c r="C947" s="25"/>
      <c r="D947" s="8"/>
      <c r="E947" s="8"/>
      <c r="F947" s="26"/>
      <c r="G947" s="24"/>
      <c r="H947" s="25"/>
      <c r="I947" s="25"/>
      <c r="J947" s="26"/>
      <c r="K947" t="str" s="15">
        <f aca="0">IF(COUNTA(B947:J947)=0,"",IF(R947&lt;&gt;"","확인필요(입력누락)",IF(COUNTIFS(보유목록!$I$2:$I$3001,"*"&amp;P947&amp;"*",보유목록!$I$2:$I$3001,"*"&amp;Q947&amp;"*",보유목록!$H$2:$H$3001,O947)&gt;0,"있음",IF(COUNTIFS(보유목록!$I$2:$I$3001,"*"&amp;P947&amp;"*",보유목록!$I$2:$I$3001,"*"&amp;Q947&amp;"*")&gt;0,"확인필요(연도다름)",IF(COUNTIFS(보유목록!$I$2:$I$3001,"*"&amp;P947&amp;"*",보유목록!$H$2:$H$3001,O947)&gt;0,"확인필요(같은학교·같은연도)","없음")))))</f>
      </c>
      <c r="L947" t="str" s="16">
        <f aca="0">IF(OR(COUNTA(B947:J947)=0,R947&lt;&gt;""),"",COUNTIFS(보유목록!$I$2:$I$3001,"*"&amp;P947&amp;"*",보유목록!$I$2:$I$3001,"*"&amp;Q947&amp;"*"))</f>
      </c>
      <c r="M947" t="str" s="23">
        <f aca="0">IF(OR(COUNTA(B947:J947)=0,R947&lt;&gt;""),"",IFERROR(LOOKUP(2,1/(ISNUMBER(SEARCH(P947,보유목록!$I$2:$I$3001))*ISNUMBER(SEARCH(Q947,보유목록!$I$2:$I$3001))*(보유목록!$H$2:$H$3001=O947)),보유목록!$B$2:$B$3001),IFERROR(LOOKUP(2,1/(ISNUMBER(SEARCH(P947,보유목록!$I$2:$I$3001))*ISNUMBER(SEARCH(Q947,보유목록!$I$2:$I$3001))),보유목록!$B$2:$B$3001),"")))</f>
      </c>
      <c r="N947" s="25"/>
      <c r="O947" t="str">
        <f>IFERROR(IF(AND(LEN(SUBSTITUTE(SUBSTITUTE(SUBSTITUTE(TRIM(C947&amp;""),CHAR(160),"")," ",""),"년",""))=4,VALUE(SUBSTITUTE(SUBSTITUTE(SUBSTITUTE(TRIM(C947&amp;""),CHAR(160),"")," ",""),"년",""))&gt;=1900,VALUE(SUBSTITUTE(SUBSTITUTE(SUBSTITUTE(TRIM(C947&amp;""),CHAR(160),"")," ",""),"년",""))&lt;=2099,TEXT(VALUE(SUBSTITUTE(SUBSTITUTE(SUBSTITUTE(TRIM(C947&amp;""),CHAR(160),"")," ",""),"년","")),"0000")=SUBSTITUTE(SUBSTITUTE(SUBSTITUTE(TRIM(C947&amp;""),CHAR(160),"")," ",""),"년","")),SUBSTITUTE(SUBSTITUTE(SUBSTITUTE(TRIM(C947&amp;""),CHAR(160),"")," ",""),"년",""),""),"")</f>
      </c>
      <c r="P947" t="str">
        <f>SUBSTITUTE(SUBSTITUTE(SUBSTITUTE(SUBSTITUTE(SUBSTITUTE(SUBSTITUTE(SUBSTITUTE(SUBSTITUTE(TRIM(D947&amp;""),CHAR(160),"")," ",""),"초등학교","초"),"중학교","중"),"고등학교","고"),"~","~~"),"*","~*"),"?","~?")</f>
      </c>
      <c r="Q947" t="str">
        <f>SUBSTITUTE(SUBSTITUTE(SUBSTITUTE(SUBSTITUTE(SUBSTITUTE(SUBSTITUTE(SUBSTITUTE(SUBSTITUTE(TRIM(E947&amp;""),CHAR(160),"")," ",""),"초등학교","초"),"중학교","중"),"고등학교","고"),"~","~~"),"*","~*"),"?","~?")</f>
      </c>
      <c r="R947" t="str">
        <f>IF(COUNTA(B947:J947)=0,"",IF(AND(O947&lt;&gt;"",P947&lt;&gt;"",Q947&lt;&gt;""),"","입력누락"))</f>
      </c>
    </row>
    <row r="948" customFormat="false" ht="15" hidden="false" customHeight="false" outlineLevel="0" collapsed="false">
      <c r="A948" t="n" s="19">
        <f aca="0">IF(COUNTA(B948:J948)=0,"",ROW()-1)</f>
      </c>
      <c r="B948" s="24"/>
      <c r="C948" s="25"/>
      <c r="D948" s="8"/>
      <c r="E948" s="8"/>
      <c r="F948" s="26"/>
      <c r="G948" s="24"/>
      <c r="H948" s="25"/>
      <c r="I948" s="25"/>
      <c r="J948" s="26"/>
      <c r="K948" t="str" s="15">
        <f aca="0">IF(COUNTA(B948:J948)=0,"",IF(R948&lt;&gt;"","확인필요(입력누락)",IF(COUNTIFS(보유목록!$I$2:$I$3001,"*"&amp;P948&amp;"*",보유목록!$I$2:$I$3001,"*"&amp;Q948&amp;"*",보유목록!$H$2:$H$3001,O948)&gt;0,"있음",IF(COUNTIFS(보유목록!$I$2:$I$3001,"*"&amp;P948&amp;"*",보유목록!$I$2:$I$3001,"*"&amp;Q948&amp;"*")&gt;0,"확인필요(연도다름)",IF(COUNTIFS(보유목록!$I$2:$I$3001,"*"&amp;P948&amp;"*",보유목록!$H$2:$H$3001,O948)&gt;0,"확인필요(같은학교·같은연도)","없음")))))</f>
      </c>
      <c r="L948" t="str" s="16">
        <f aca="0">IF(OR(COUNTA(B948:J948)=0,R948&lt;&gt;""),"",COUNTIFS(보유목록!$I$2:$I$3001,"*"&amp;P948&amp;"*",보유목록!$I$2:$I$3001,"*"&amp;Q948&amp;"*"))</f>
      </c>
      <c r="M948" t="str" s="23">
        <f aca="0">IF(OR(COUNTA(B948:J948)=0,R948&lt;&gt;""),"",IFERROR(LOOKUP(2,1/(ISNUMBER(SEARCH(P948,보유목록!$I$2:$I$3001))*ISNUMBER(SEARCH(Q948,보유목록!$I$2:$I$3001))*(보유목록!$H$2:$H$3001=O948)),보유목록!$B$2:$B$3001),IFERROR(LOOKUP(2,1/(ISNUMBER(SEARCH(P948,보유목록!$I$2:$I$3001))*ISNUMBER(SEARCH(Q948,보유목록!$I$2:$I$3001))),보유목록!$B$2:$B$3001),"")))</f>
      </c>
      <c r="N948" s="25"/>
      <c r="O948" t="str">
        <f>IFERROR(IF(AND(LEN(SUBSTITUTE(SUBSTITUTE(SUBSTITUTE(TRIM(C948&amp;""),CHAR(160),"")," ",""),"년",""))=4,VALUE(SUBSTITUTE(SUBSTITUTE(SUBSTITUTE(TRIM(C948&amp;""),CHAR(160),"")," ",""),"년",""))&gt;=1900,VALUE(SUBSTITUTE(SUBSTITUTE(SUBSTITUTE(TRIM(C948&amp;""),CHAR(160),"")," ",""),"년",""))&lt;=2099,TEXT(VALUE(SUBSTITUTE(SUBSTITUTE(SUBSTITUTE(TRIM(C948&amp;""),CHAR(160),"")," ",""),"년","")),"0000")=SUBSTITUTE(SUBSTITUTE(SUBSTITUTE(TRIM(C948&amp;""),CHAR(160),"")," ",""),"년","")),SUBSTITUTE(SUBSTITUTE(SUBSTITUTE(TRIM(C948&amp;""),CHAR(160),"")," ",""),"년",""),""),"")</f>
      </c>
      <c r="P948" t="str">
        <f>SUBSTITUTE(SUBSTITUTE(SUBSTITUTE(SUBSTITUTE(SUBSTITUTE(SUBSTITUTE(SUBSTITUTE(SUBSTITUTE(TRIM(D948&amp;""),CHAR(160),"")," ",""),"초등학교","초"),"중학교","중"),"고등학교","고"),"~","~~"),"*","~*"),"?","~?")</f>
      </c>
      <c r="Q948" t="str">
        <f>SUBSTITUTE(SUBSTITUTE(SUBSTITUTE(SUBSTITUTE(SUBSTITUTE(SUBSTITUTE(SUBSTITUTE(SUBSTITUTE(TRIM(E948&amp;""),CHAR(160),"")," ",""),"초등학교","초"),"중학교","중"),"고등학교","고"),"~","~~"),"*","~*"),"?","~?")</f>
      </c>
      <c r="R948" t="str">
        <f>IF(COUNTA(B948:J948)=0,"",IF(AND(O948&lt;&gt;"",P948&lt;&gt;"",Q948&lt;&gt;""),"","입력누락"))</f>
      </c>
    </row>
    <row r="949" customFormat="false" ht="15" hidden="false" customHeight="false" outlineLevel="0" collapsed="false">
      <c r="A949" t="n" s="19">
        <f aca="0">IF(COUNTA(B949:J949)=0,"",ROW()-1)</f>
      </c>
      <c r="B949" s="24"/>
      <c r="C949" s="25"/>
      <c r="D949" s="8"/>
      <c r="E949" s="8"/>
      <c r="F949" s="26"/>
      <c r="G949" s="24"/>
      <c r="H949" s="25"/>
      <c r="I949" s="25"/>
      <c r="J949" s="26"/>
      <c r="K949" t="str" s="15">
        <f aca="0">IF(COUNTA(B949:J949)=0,"",IF(R949&lt;&gt;"","확인필요(입력누락)",IF(COUNTIFS(보유목록!$I$2:$I$3001,"*"&amp;P949&amp;"*",보유목록!$I$2:$I$3001,"*"&amp;Q949&amp;"*",보유목록!$H$2:$H$3001,O949)&gt;0,"있음",IF(COUNTIFS(보유목록!$I$2:$I$3001,"*"&amp;P949&amp;"*",보유목록!$I$2:$I$3001,"*"&amp;Q949&amp;"*")&gt;0,"확인필요(연도다름)",IF(COUNTIFS(보유목록!$I$2:$I$3001,"*"&amp;P949&amp;"*",보유목록!$H$2:$H$3001,O949)&gt;0,"확인필요(같은학교·같은연도)","없음")))))</f>
      </c>
      <c r="L949" t="str" s="16">
        <f aca="0">IF(OR(COUNTA(B949:J949)=0,R949&lt;&gt;""),"",COUNTIFS(보유목록!$I$2:$I$3001,"*"&amp;P949&amp;"*",보유목록!$I$2:$I$3001,"*"&amp;Q949&amp;"*"))</f>
      </c>
      <c r="M949" t="str" s="23">
        <f aca="0">IF(OR(COUNTA(B949:J949)=0,R949&lt;&gt;""),"",IFERROR(LOOKUP(2,1/(ISNUMBER(SEARCH(P949,보유목록!$I$2:$I$3001))*ISNUMBER(SEARCH(Q949,보유목록!$I$2:$I$3001))*(보유목록!$H$2:$H$3001=O949)),보유목록!$B$2:$B$3001),IFERROR(LOOKUP(2,1/(ISNUMBER(SEARCH(P949,보유목록!$I$2:$I$3001))*ISNUMBER(SEARCH(Q949,보유목록!$I$2:$I$3001))),보유목록!$B$2:$B$3001),"")))</f>
      </c>
      <c r="N949" s="25"/>
      <c r="O949" t="str">
        <f>IFERROR(IF(AND(LEN(SUBSTITUTE(SUBSTITUTE(SUBSTITUTE(TRIM(C949&amp;""),CHAR(160),"")," ",""),"년",""))=4,VALUE(SUBSTITUTE(SUBSTITUTE(SUBSTITUTE(TRIM(C949&amp;""),CHAR(160),"")," ",""),"년",""))&gt;=1900,VALUE(SUBSTITUTE(SUBSTITUTE(SUBSTITUTE(TRIM(C949&amp;""),CHAR(160),"")," ",""),"년",""))&lt;=2099,TEXT(VALUE(SUBSTITUTE(SUBSTITUTE(SUBSTITUTE(TRIM(C949&amp;""),CHAR(160),"")," ",""),"년","")),"0000")=SUBSTITUTE(SUBSTITUTE(SUBSTITUTE(TRIM(C949&amp;""),CHAR(160),"")," ",""),"년","")),SUBSTITUTE(SUBSTITUTE(SUBSTITUTE(TRIM(C949&amp;""),CHAR(160),"")," ",""),"년",""),""),"")</f>
      </c>
      <c r="P949" t="str">
        <f>SUBSTITUTE(SUBSTITUTE(SUBSTITUTE(SUBSTITUTE(SUBSTITUTE(SUBSTITUTE(SUBSTITUTE(SUBSTITUTE(TRIM(D949&amp;""),CHAR(160),"")," ",""),"초등학교","초"),"중학교","중"),"고등학교","고"),"~","~~"),"*","~*"),"?","~?")</f>
      </c>
      <c r="Q949" t="str">
        <f>SUBSTITUTE(SUBSTITUTE(SUBSTITUTE(SUBSTITUTE(SUBSTITUTE(SUBSTITUTE(SUBSTITUTE(SUBSTITUTE(TRIM(E949&amp;""),CHAR(160),"")," ",""),"초등학교","초"),"중학교","중"),"고등학교","고"),"~","~~"),"*","~*"),"?","~?")</f>
      </c>
      <c r="R949" t="str">
        <f>IF(COUNTA(B949:J949)=0,"",IF(AND(O949&lt;&gt;"",P949&lt;&gt;"",Q949&lt;&gt;""),"","입력누락"))</f>
      </c>
    </row>
    <row r="950" customFormat="false" ht="15" hidden="false" customHeight="false" outlineLevel="0" collapsed="false">
      <c r="A950" t="n" s="19">
        <f aca="0">IF(COUNTA(B950:J950)=0,"",ROW()-1)</f>
      </c>
      <c r="B950" s="24"/>
      <c r="C950" s="25"/>
      <c r="D950" s="8"/>
      <c r="E950" s="8"/>
      <c r="F950" s="26"/>
      <c r="G950" s="24"/>
      <c r="H950" s="25"/>
      <c r="I950" s="25"/>
      <c r="J950" s="26"/>
      <c r="K950" t="str" s="15">
        <f aca="0">IF(COUNTA(B950:J950)=0,"",IF(R950&lt;&gt;"","확인필요(입력누락)",IF(COUNTIFS(보유목록!$I$2:$I$3001,"*"&amp;P950&amp;"*",보유목록!$I$2:$I$3001,"*"&amp;Q950&amp;"*",보유목록!$H$2:$H$3001,O950)&gt;0,"있음",IF(COUNTIFS(보유목록!$I$2:$I$3001,"*"&amp;P950&amp;"*",보유목록!$I$2:$I$3001,"*"&amp;Q950&amp;"*")&gt;0,"확인필요(연도다름)",IF(COUNTIFS(보유목록!$I$2:$I$3001,"*"&amp;P950&amp;"*",보유목록!$H$2:$H$3001,O950)&gt;0,"확인필요(같은학교·같은연도)","없음")))))</f>
      </c>
      <c r="L950" t="str" s="16">
        <f aca="0">IF(OR(COUNTA(B950:J950)=0,R950&lt;&gt;""),"",COUNTIFS(보유목록!$I$2:$I$3001,"*"&amp;P950&amp;"*",보유목록!$I$2:$I$3001,"*"&amp;Q950&amp;"*"))</f>
      </c>
      <c r="M950" t="str" s="23">
        <f aca="0">IF(OR(COUNTA(B950:J950)=0,R950&lt;&gt;""),"",IFERROR(LOOKUP(2,1/(ISNUMBER(SEARCH(P950,보유목록!$I$2:$I$3001))*ISNUMBER(SEARCH(Q950,보유목록!$I$2:$I$3001))*(보유목록!$H$2:$H$3001=O950)),보유목록!$B$2:$B$3001),IFERROR(LOOKUP(2,1/(ISNUMBER(SEARCH(P950,보유목록!$I$2:$I$3001))*ISNUMBER(SEARCH(Q950,보유목록!$I$2:$I$3001))),보유목록!$B$2:$B$3001),"")))</f>
      </c>
      <c r="N950" s="25"/>
      <c r="O950" t="str">
        <f>IFERROR(IF(AND(LEN(SUBSTITUTE(SUBSTITUTE(SUBSTITUTE(TRIM(C950&amp;""),CHAR(160),"")," ",""),"년",""))=4,VALUE(SUBSTITUTE(SUBSTITUTE(SUBSTITUTE(TRIM(C950&amp;""),CHAR(160),"")," ",""),"년",""))&gt;=1900,VALUE(SUBSTITUTE(SUBSTITUTE(SUBSTITUTE(TRIM(C950&amp;""),CHAR(160),"")," ",""),"년",""))&lt;=2099,TEXT(VALUE(SUBSTITUTE(SUBSTITUTE(SUBSTITUTE(TRIM(C950&amp;""),CHAR(160),"")," ",""),"년","")),"0000")=SUBSTITUTE(SUBSTITUTE(SUBSTITUTE(TRIM(C950&amp;""),CHAR(160),"")," ",""),"년","")),SUBSTITUTE(SUBSTITUTE(SUBSTITUTE(TRIM(C950&amp;""),CHAR(160),"")," ",""),"년",""),""),"")</f>
      </c>
      <c r="P950" t="str">
        <f>SUBSTITUTE(SUBSTITUTE(SUBSTITUTE(SUBSTITUTE(SUBSTITUTE(SUBSTITUTE(SUBSTITUTE(SUBSTITUTE(TRIM(D950&amp;""),CHAR(160),"")," ",""),"초등학교","초"),"중학교","중"),"고등학교","고"),"~","~~"),"*","~*"),"?","~?")</f>
      </c>
      <c r="Q950" t="str">
        <f>SUBSTITUTE(SUBSTITUTE(SUBSTITUTE(SUBSTITUTE(SUBSTITUTE(SUBSTITUTE(SUBSTITUTE(SUBSTITUTE(TRIM(E950&amp;""),CHAR(160),"")," ",""),"초등학교","초"),"중학교","중"),"고등학교","고"),"~","~~"),"*","~*"),"?","~?")</f>
      </c>
      <c r="R950" t="str">
        <f>IF(COUNTA(B950:J950)=0,"",IF(AND(O950&lt;&gt;"",P950&lt;&gt;"",Q950&lt;&gt;""),"","입력누락"))</f>
      </c>
    </row>
    <row r="951" customFormat="false" ht="15" hidden="false" customHeight="false" outlineLevel="0" collapsed="false">
      <c r="A951" t="n" s="19">
        <f aca="0">IF(COUNTA(B951:J951)=0,"",ROW()-1)</f>
      </c>
      <c r="B951" s="24"/>
      <c r="C951" s="25"/>
      <c r="D951" s="8"/>
      <c r="E951" s="8"/>
      <c r="F951" s="26"/>
      <c r="G951" s="24"/>
      <c r="H951" s="25"/>
      <c r="I951" s="25"/>
      <c r="J951" s="26"/>
      <c r="K951" t="str" s="15">
        <f aca="0">IF(COUNTA(B951:J951)=0,"",IF(R951&lt;&gt;"","확인필요(입력누락)",IF(COUNTIFS(보유목록!$I$2:$I$3001,"*"&amp;P951&amp;"*",보유목록!$I$2:$I$3001,"*"&amp;Q951&amp;"*",보유목록!$H$2:$H$3001,O951)&gt;0,"있음",IF(COUNTIFS(보유목록!$I$2:$I$3001,"*"&amp;P951&amp;"*",보유목록!$I$2:$I$3001,"*"&amp;Q951&amp;"*")&gt;0,"확인필요(연도다름)",IF(COUNTIFS(보유목록!$I$2:$I$3001,"*"&amp;P951&amp;"*",보유목록!$H$2:$H$3001,O951)&gt;0,"확인필요(같은학교·같은연도)","없음")))))</f>
      </c>
      <c r="L951" t="str" s="16">
        <f aca="0">IF(OR(COUNTA(B951:J951)=0,R951&lt;&gt;""),"",COUNTIFS(보유목록!$I$2:$I$3001,"*"&amp;P951&amp;"*",보유목록!$I$2:$I$3001,"*"&amp;Q951&amp;"*"))</f>
      </c>
      <c r="M951" t="str" s="23">
        <f aca="0">IF(OR(COUNTA(B951:J951)=0,R951&lt;&gt;""),"",IFERROR(LOOKUP(2,1/(ISNUMBER(SEARCH(P951,보유목록!$I$2:$I$3001))*ISNUMBER(SEARCH(Q951,보유목록!$I$2:$I$3001))*(보유목록!$H$2:$H$3001=O951)),보유목록!$B$2:$B$3001),IFERROR(LOOKUP(2,1/(ISNUMBER(SEARCH(P951,보유목록!$I$2:$I$3001))*ISNUMBER(SEARCH(Q951,보유목록!$I$2:$I$3001))),보유목록!$B$2:$B$3001),"")))</f>
      </c>
      <c r="N951" s="25"/>
      <c r="O951" t="str">
        <f>IFERROR(IF(AND(LEN(SUBSTITUTE(SUBSTITUTE(SUBSTITUTE(TRIM(C951&amp;""),CHAR(160),"")," ",""),"년",""))=4,VALUE(SUBSTITUTE(SUBSTITUTE(SUBSTITUTE(TRIM(C951&amp;""),CHAR(160),"")," ",""),"년",""))&gt;=1900,VALUE(SUBSTITUTE(SUBSTITUTE(SUBSTITUTE(TRIM(C951&amp;""),CHAR(160),"")," ",""),"년",""))&lt;=2099,TEXT(VALUE(SUBSTITUTE(SUBSTITUTE(SUBSTITUTE(TRIM(C951&amp;""),CHAR(160),"")," ",""),"년","")),"0000")=SUBSTITUTE(SUBSTITUTE(SUBSTITUTE(TRIM(C951&amp;""),CHAR(160),"")," ",""),"년","")),SUBSTITUTE(SUBSTITUTE(SUBSTITUTE(TRIM(C951&amp;""),CHAR(160),"")," ",""),"년",""),""),"")</f>
      </c>
      <c r="P951" t="str">
        <f>SUBSTITUTE(SUBSTITUTE(SUBSTITUTE(SUBSTITUTE(SUBSTITUTE(SUBSTITUTE(SUBSTITUTE(SUBSTITUTE(TRIM(D951&amp;""),CHAR(160),"")," ",""),"초등학교","초"),"중학교","중"),"고등학교","고"),"~","~~"),"*","~*"),"?","~?")</f>
      </c>
      <c r="Q951" t="str">
        <f>SUBSTITUTE(SUBSTITUTE(SUBSTITUTE(SUBSTITUTE(SUBSTITUTE(SUBSTITUTE(SUBSTITUTE(SUBSTITUTE(TRIM(E951&amp;""),CHAR(160),"")," ",""),"초등학교","초"),"중학교","중"),"고등학교","고"),"~","~~"),"*","~*"),"?","~?")</f>
      </c>
      <c r="R951" t="str">
        <f>IF(COUNTA(B951:J951)=0,"",IF(AND(O951&lt;&gt;"",P951&lt;&gt;"",Q951&lt;&gt;""),"","입력누락"))</f>
      </c>
    </row>
    <row r="952" customFormat="false" ht="15" hidden="false" customHeight="false" outlineLevel="0" collapsed="false">
      <c r="A952" t="n" s="19">
        <f aca="0">IF(COUNTA(B952:J952)=0,"",ROW()-1)</f>
      </c>
      <c r="B952" s="24"/>
      <c r="C952" s="25"/>
      <c r="D952" s="8"/>
      <c r="E952" s="8"/>
      <c r="F952" s="26"/>
      <c r="G952" s="24"/>
      <c r="H952" s="25"/>
      <c r="I952" s="25"/>
      <c r="J952" s="26"/>
      <c r="K952" t="str" s="15">
        <f aca="0">IF(COUNTA(B952:J952)=0,"",IF(R952&lt;&gt;"","확인필요(입력누락)",IF(COUNTIFS(보유목록!$I$2:$I$3001,"*"&amp;P952&amp;"*",보유목록!$I$2:$I$3001,"*"&amp;Q952&amp;"*",보유목록!$H$2:$H$3001,O952)&gt;0,"있음",IF(COUNTIFS(보유목록!$I$2:$I$3001,"*"&amp;P952&amp;"*",보유목록!$I$2:$I$3001,"*"&amp;Q952&amp;"*")&gt;0,"확인필요(연도다름)",IF(COUNTIFS(보유목록!$I$2:$I$3001,"*"&amp;P952&amp;"*",보유목록!$H$2:$H$3001,O952)&gt;0,"확인필요(같은학교·같은연도)","없음")))))</f>
      </c>
      <c r="L952" t="str" s="16">
        <f aca="0">IF(OR(COUNTA(B952:J952)=0,R952&lt;&gt;""),"",COUNTIFS(보유목록!$I$2:$I$3001,"*"&amp;P952&amp;"*",보유목록!$I$2:$I$3001,"*"&amp;Q952&amp;"*"))</f>
      </c>
      <c r="M952" t="str" s="23">
        <f aca="0">IF(OR(COUNTA(B952:J952)=0,R952&lt;&gt;""),"",IFERROR(LOOKUP(2,1/(ISNUMBER(SEARCH(P952,보유목록!$I$2:$I$3001))*ISNUMBER(SEARCH(Q952,보유목록!$I$2:$I$3001))*(보유목록!$H$2:$H$3001=O952)),보유목록!$B$2:$B$3001),IFERROR(LOOKUP(2,1/(ISNUMBER(SEARCH(P952,보유목록!$I$2:$I$3001))*ISNUMBER(SEARCH(Q952,보유목록!$I$2:$I$3001))),보유목록!$B$2:$B$3001),"")))</f>
      </c>
      <c r="N952" s="25"/>
      <c r="O952" t="str">
        <f>IFERROR(IF(AND(LEN(SUBSTITUTE(SUBSTITUTE(SUBSTITUTE(TRIM(C952&amp;""),CHAR(160),"")," ",""),"년",""))=4,VALUE(SUBSTITUTE(SUBSTITUTE(SUBSTITUTE(TRIM(C952&amp;""),CHAR(160),"")," ",""),"년",""))&gt;=1900,VALUE(SUBSTITUTE(SUBSTITUTE(SUBSTITUTE(TRIM(C952&amp;""),CHAR(160),"")," ",""),"년",""))&lt;=2099,TEXT(VALUE(SUBSTITUTE(SUBSTITUTE(SUBSTITUTE(TRIM(C952&amp;""),CHAR(160),"")," ",""),"년","")),"0000")=SUBSTITUTE(SUBSTITUTE(SUBSTITUTE(TRIM(C952&amp;""),CHAR(160),"")," ",""),"년","")),SUBSTITUTE(SUBSTITUTE(SUBSTITUTE(TRIM(C952&amp;""),CHAR(160),"")," ",""),"년",""),""),"")</f>
      </c>
      <c r="P952" t="str">
        <f>SUBSTITUTE(SUBSTITUTE(SUBSTITUTE(SUBSTITUTE(SUBSTITUTE(SUBSTITUTE(SUBSTITUTE(SUBSTITUTE(TRIM(D952&amp;""),CHAR(160),"")," ",""),"초등학교","초"),"중학교","중"),"고등학교","고"),"~","~~"),"*","~*"),"?","~?")</f>
      </c>
      <c r="Q952" t="str">
        <f>SUBSTITUTE(SUBSTITUTE(SUBSTITUTE(SUBSTITUTE(SUBSTITUTE(SUBSTITUTE(SUBSTITUTE(SUBSTITUTE(TRIM(E952&amp;""),CHAR(160),"")," ",""),"초등학교","초"),"중학교","중"),"고등학교","고"),"~","~~"),"*","~*"),"?","~?")</f>
      </c>
      <c r="R952" t="str">
        <f>IF(COUNTA(B952:J952)=0,"",IF(AND(O952&lt;&gt;"",P952&lt;&gt;"",Q952&lt;&gt;""),"","입력누락"))</f>
      </c>
    </row>
    <row r="953" customFormat="false" ht="15" hidden="false" customHeight="false" outlineLevel="0" collapsed="false">
      <c r="A953" t="n" s="19">
        <f aca="0">IF(COUNTA(B953:J953)=0,"",ROW()-1)</f>
      </c>
      <c r="B953" s="24"/>
      <c r="C953" s="25"/>
      <c r="D953" s="8"/>
      <c r="E953" s="8"/>
      <c r="F953" s="26"/>
      <c r="G953" s="24"/>
      <c r="H953" s="25"/>
      <c r="I953" s="25"/>
      <c r="J953" s="26"/>
      <c r="K953" t="str" s="15">
        <f aca="0">IF(COUNTA(B953:J953)=0,"",IF(R953&lt;&gt;"","확인필요(입력누락)",IF(COUNTIFS(보유목록!$I$2:$I$3001,"*"&amp;P953&amp;"*",보유목록!$I$2:$I$3001,"*"&amp;Q953&amp;"*",보유목록!$H$2:$H$3001,O953)&gt;0,"있음",IF(COUNTIFS(보유목록!$I$2:$I$3001,"*"&amp;P953&amp;"*",보유목록!$I$2:$I$3001,"*"&amp;Q953&amp;"*")&gt;0,"확인필요(연도다름)",IF(COUNTIFS(보유목록!$I$2:$I$3001,"*"&amp;P953&amp;"*",보유목록!$H$2:$H$3001,O953)&gt;0,"확인필요(같은학교·같은연도)","없음")))))</f>
      </c>
      <c r="L953" t="str" s="16">
        <f aca="0">IF(OR(COUNTA(B953:J953)=0,R953&lt;&gt;""),"",COUNTIFS(보유목록!$I$2:$I$3001,"*"&amp;P953&amp;"*",보유목록!$I$2:$I$3001,"*"&amp;Q953&amp;"*"))</f>
      </c>
      <c r="M953" t="str" s="23">
        <f aca="0">IF(OR(COUNTA(B953:J953)=0,R953&lt;&gt;""),"",IFERROR(LOOKUP(2,1/(ISNUMBER(SEARCH(P953,보유목록!$I$2:$I$3001))*ISNUMBER(SEARCH(Q953,보유목록!$I$2:$I$3001))*(보유목록!$H$2:$H$3001=O953)),보유목록!$B$2:$B$3001),IFERROR(LOOKUP(2,1/(ISNUMBER(SEARCH(P953,보유목록!$I$2:$I$3001))*ISNUMBER(SEARCH(Q953,보유목록!$I$2:$I$3001))),보유목록!$B$2:$B$3001),"")))</f>
      </c>
      <c r="N953" s="25"/>
      <c r="O953" t="str">
        <f>IFERROR(IF(AND(LEN(SUBSTITUTE(SUBSTITUTE(SUBSTITUTE(TRIM(C953&amp;""),CHAR(160),"")," ",""),"년",""))=4,VALUE(SUBSTITUTE(SUBSTITUTE(SUBSTITUTE(TRIM(C953&amp;""),CHAR(160),"")," ",""),"년",""))&gt;=1900,VALUE(SUBSTITUTE(SUBSTITUTE(SUBSTITUTE(TRIM(C953&amp;""),CHAR(160),"")," ",""),"년",""))&lt;=2099,TEXT(VALUE(SUBSTITUTE(SUBSTITUTE(SUBSTITUTE(TRIM(C953&amp;""),CHAR(160),"")," ",""),"년","")),"0000")=SUBSTITUTE(SUBSTITUTE(SUBSTITUTE(TRIM(C953&amp;""),CHAR(160),"")," ",""),"년","")),SUBSTITUTE(SUBSTITUTE(SUBSTITUTE(TRIM(C953&amp;""),CHAR(160),"")," ",""),"년",""),""),"")</f>
      </c>
      <c r="P953" t="str">
        <f>SUBSTITUTE(SUBSTITUTE(SUBSTITUTE(SUBSTITUTE(SUBSTITUTE(SUBSTITUTE(SUBSTITUTE(SUBSTITUTE(TRIM(D953&amp;""),CHAR(160),"")," ",""),"초등학교","초"),"중학교","중"),"고등학교","고"),"~","~~"),"*","~*"),"?","~?")</f>
      </c>
      <c r="Q953" t="str">
        <f>SUBSTITUTE(SUBSTITUTE(SUBSTITUTE(SUBSTITUTE(SUBSTITUTE(SUBSTITUTE(SUBSTITUTE(SUBSTITUTE(TRIM(E953&amp;""),CHAR(160),"")," ",""),"초등학교","초"),"중학교","중"),"고등학교","고"),"~","~~"),"*","~*"),"?","~?")</f>
      </c>
      <c r="R953" t="str">
        <f>IF(COUNTA(B953:J953)=0,"",IF(AND(O953&lt;&gt;"",P953&lt;&gt;"",Q953&lt;&gt;""),"","입력누락"))</f>
      </c>
    </row>
    <row r="954" customFormat="false" ht="15" hidden="false" customHeight="false" outlineLevel="0" collapsed="false">
      <c r="A954" t="n" s="19">
        <f aca="0">IF(COUNTA(B954:J954)=0,"",ROW()-1)</f>
      </c>
      <c r="B954" s="24"/>
      <c r="C954" s="25"/>
      <c r="D954" s="8"/>
      <c r="E954" s="8"/>
      <c r="F954" s="26"/>
      <c r="G954" s="24"/>
      <c r="H954" s="25"/>
      <c r="I954" s="25"/>
      <c r="J954" s="26"/>
      <c r="K954" t="str" s="15">
        <f aca="0">IF(COUNTA(B954:J954)=0,"",IF(R954&lt;&gt;"","확인필요(입력누락)",IF(COUNTIFS(보유목록!$I$2:$I$3001,"*"&amp;P954&amp;"*",보유목록!$I$2:$I$3001,"*"&amp;Q954&amp;"*",보유목록!$H$2:$H$3001,O954)&gt;0,"있음",IF(COUNTIFS(보유목록!$I$2:$I$3001,"*"&amp;P954&amp;"*",보유목록!$I$2:$I$3001,"*"&amp;Q954&amp;"*")&gt;0,"확인필요(연도다름)",IF(COUNTIFS(보유목록!$I$2:$I$3001,"*"&amp;P954&amp;"*",보유목록!$H$2:$H$3001,O954)&gt;0,"확인필요(같은학교·같은연도)","없음")))))</f>
      </c>
      <c r="L954" t="str" s="16">
        <f aca="0">IF(OR(COUNTA(B954:J954)=0,R954&lt;&gt;""),"",COUNTIFS(보유목록!$I$2:$I$3001,"*"&amp;P954&amp;"*",보유목록!$I$2:$I$3001,"*"&amp;Q954&amp;"*"))</f>
      </c>
      <c r="M954" t="str" s="23">
        <f aca="0">IF(OR(COUNTA(B954:J954)=0,R954&lt;&gt;""),"",IFERROR(LOOKUP(2,1/(ISNUMBER(SEARCH(P954,보유목록!$I$2:$I$3001))*ISNUMBER(SEARCH(Q954,보유목록!$I$2:$I$3001))*(보유목록!$H$2:$H$3001=O954)),보유목록!$B$2:$B$3001),IFERROR(LOOKUP(2,1/(ISNUMBER(SEARCH(P954,보유목록!$I$2:$I$3001))*ISNUMBER(SEARCH(Q954,보유목록!$I$2:$I$3001))),보유목록!$B$2:$B$3001),"")))</f>
      </c>
      <c r="N954" s="25"/>
      <c r="O954" t="str">
        <f>IFERROR(IF(AND(LEN(SUBSTITUTE(SUBSTITUTE(SUBSTITUTE(TRIM(C954&amp;""),CHAR(160),"")," ",""),"년",""))=4,VALUE(SUBSTITUTE(SUBSTITUTE(SUBSTITUTE(TRIM(C954&amp;""),CHAR(160),"")," ",""),"년",""))&gt;=1900,VALUE(SUBSTITUTE(SUBSTITUTE(SUBSTITUTE(TRIM(C954&amp;""),CHAR(160),"")," ",""),"년",""))&lt;=2099,TEXT(VALUE(SUBSTITUTE(SUBSTITUTE(SUBSTITUTE(TRIM(C954&amp;""),CHAR(160),"")," ",""),"년","")),"0000")=SUBSTITUTE(SUBSTITUTE(SUBSTITUTE(TRIM(C954&amp;""),CHAR(160),"")," ",""),"년","")),SUBSTITUTE(SUBSTITUTE(SUBSTITUTE(TRIM(C954&amp;""),CHAR(160),"")," ",""),"년",""),""),"")</f>
      </c>
      <c r="P954" t="str">
        <f>SUBSTITUTE(SUBSTITUTE(SUBSTITUTE(SUBSTITUTE(SUBSTITUTE(SUBSTITUTE(SUBSTITUTE(SUBSTITUTE(TRIM(D954&amp;""),CHAR(160),"")," ",""),"초등학교","초"),"중학교","중"),"고등학교","고"),"~","~~"),"*","~*"),"?","~?")</f>
      </c>
      <c r="Q954" t="str">
        <f>SUBSTITUTE(SUBSTITUTE(SUBSTITUTE(SUBSTITUTE(SUBSTITUTE(SUBSTITUTE(SUBSTITUTE(SUBSTITUTE(TRIM(E954&amp;""),CHAR(160),"")," ",""),"초등학교","초"),"중학교","중"),"고등학교","고"),"~","~~"),"*","~*"),"?","~?")</f>
      </c>
      <c r="R954" t="str">
        <f>IF(COUNTA(B954:J954)=0,"",IF(AND(O954&lt;&gt;"",P954&lt;&gt;"",Q954&lt;&gt;""),"","입력누락"))</f>
      </c>
    </row>
    <row r="955" customFormat="false" ht="15" hidden="false" customHeight="false" outlineLevel="0" collapsed="false">
      <c r="A955" t="n" s="19">
        <f aca="0">IF(COUNTA(B955:J955)=0,"",ROW()-1)</f>
      </c>
      <c r="B955" s="24"/>
      <c r="C955" s="25"/>
      <c r="D955" s="8"/>
      <c r="E955" s="8"/>
      <c r="F955" s="26"/>
      <c r="G955" s="24"/>
      <c r="H955" s="25"/>
      <c r="I955" s="25"/>
      <c r="J955" s="26"/>
      <c r="K955" t="str" s="15">
        <f aca="0">IF(COUNTA(B955:J955)=0,"",IF(R955&lt;&gt;"","확인필요(입력누락)",IF(COUNTIFS(보유목록!$I$2:$I$3001,"*"&amp;P955&amp;"*",보유목록!$I$2:$I$3001,"*"&amp;Q955&amp;"*",보유목록!$H$2:$H$3001,O955)&gt;0,"있음",IF(COUNTIFS(보유목록!$I$2:$I$3001,"*"&amp;P955&amp;"*",보유목록!$I$2:$I$3001,"*"&amp;Q955&amp;"*")&gt;0,"확인필요(연도다름)",IF(COUNTIFS(보유목록!$I$2:$I$3001,"*"&amp;P955&amp;"*",보유목록!$H$2:$H$3001,O955)&gt;0,"확인필요(같은학교·같은연도)","없음")))))</f>
      </c>
      <c r="L955" t="str" s="16">
        <f aca="0">IF(OR(COUNTA(B955:J955)=0,R955&lt;&gt;""),"",COUNTIFS(보유목록!$I$2:$I$3001,"*"&amp;P955&amp;"*",보유목록!$I$2:$I$3001,"*"&amp;Q955&amp;"*"))</f>
      </c>
      <c r="M955" t="str" s="23">
        <f aca="0">IF(OR(COUNTA(B955:J955)=0,R955&lt;&gt;""),"",IFERROR(LOOKUP(2,1/(ISNUMBER(SEARCH(P955,보유목록!$I$2:$I$3001))*ISNUMBER(SEARCH(Q955,보유목록!$I$2:$I$3001))*(보유목록!$H$2:$H$3001=O955)),보유목록!$B$2:$B$3001),IFERROR(LOOKUP(2,1/(ISNUMBER(SEARCH(P955,보유목록!$I$2:$I$3001))*ISNUMBER(SEARCH(Q955,보유목록!$I$2:$I$3001))),보유목록!$B$2:$B$3001),"")))</f>
      </c>
      <c r="N955" s="25"/>
      <c r="O955" t="str">
        <f>IFERROR(IF(AND(LEN(SUBSTITUTE(SUBSTITUTE(SUBSTITUTE(TRIM(C955&amp;""),CHAR(160),"")," ",""),"년",""))=4,VALUE(SUBSTITUTE(SUBSTITUTE(SUBSTITUTE(TRIM(C955&amp;""),CHAR(160),"")," ",""),"년",""))&gt;=1900,VALUE(SUBSTITUTE(SUBSTITUTE(SUBSTITUTE(TRIM(C955&amp;""),CHAR(160),"")," ",""),"년",""))&lt;=2099,TEXT(VALUE(SUBSTITUTE(SUBSTITUTE(SUBSTITUTE(TRIM(C955&amp;""),CHAR(160),"")," ",""),"년","")),"0000")=SUBSTITUTE(SUBSTITUTE(SUBSTITUTE(TRIM(C955&amp;""),CHAR(160),"")," ",""),"년","")),SUBSTITUTE(SUBSTITUTE(SUBSTITUTE(TRIM(C955&amp;""),CHAR(160),"")," ",""),"년",""),""),"")</f>
      </c>
      <c r="P955" t="str">
        <f>SUBSTITUTE(SUBSTITUTE(SUBSTITUTE(SUBSTITUTE(SUBSTITUTE(SUBSTITUTE(SUBSTITUTE(SUBSTITUTE(TRIM(D955&amp;""),CHAR(160),"")," ",""),"초등학교","초"),"중학교","중"),"고등학교","고"),"~","~~"),"*","~*"),"?","~?")</f>
      </c>
      <c r="Q955" t="str">
        <f>SUBSTITUTE(SUBSTITUTE(SUBSTITUTE(SUBSTITUTE(SUBSTITUTE(SUBSTITUTE(SUBSTITUTE(SUBSTITUTE(TRIM(E955&amp;""),CHAR(160),"")," ",""),"초등학교","초"),"중학교","중"),"고등학교","고"),"~","~~"),"*","~*"),"?","~?")</f>
      </c>
      <c r="R955" t="str">
        <f>IF(COUNTA(B955:J955)=0,"",IF(AND(O955&lt;&gt;"",P955&lt;&gt;"",Q955&lt;&gt;""),"","입력누락"))</f>
      </c>
    </row>
    <row r="956" customFormat="false" ht="15" hidden="false" customHeight="false" outlineLevel="0" collapsed="false">
      <c r="A956" t="n" s="19">
        <f aca="0">IF(COUNTA(B956:J956)=0,"",ROW()-1)</f>
      </c>
      <c r="B956" s="24"/>
      <c r="C956" s="25"/>
      <c r="D956" s="8"/>
      <c r="E956" s="8"/>
      <c r="F956" s="26"/>
      <c r="G956" s="24"/>
      <c r="H956" s="25"/>
      <c r="I956" s="25"/>
      <c r="J956" s="26"/>
      <c r="K956" t="str" s="15">
        <f aca="0">IF(COUNTA(B956:J956)=0,"",IF(R956&lt;&gt;"","확인필요(입력누락)",IF(COUNTIFS(보유목록!$I$2:$I$3001,"*"&amp;P956&amp;"*",보유목록!$I$2:$I$3001,"*"&amp;Q956&amp;"*",보유목록!$H$2:$H$3001,O956)&gt;0,"있음",IF(COUNTIFS(보유목록!$I$2:$I$3001,"*"&amp;P956&amp;"*",보유목록!$I$2:$I$3001,"*"&amp;Q956&amp;"*")&gt;0,"확인필요(연도다름)",IF(COUNTIFS(보유목록!$I$2:$I$3001,"*"&amp;P956&amp;"*",보유목록!$H$2:$H$3001,O956)&gt;0,"확인필요(같은학교·같은연도)","없음")))))</f>
      </c>
      <c r="L956" t="str" s="16">
        <f aca="0">IF(OR(COUNTA(B956:J956)=0,R956&lt;&gt;""),"",COUNTIFS(보유목록!$I$2:$I$3001,"*"&amp;P956&amp;"*",보유목록!$I$2:$I$3001,"*"&amp;Q956&amp;"*"))</f>
      </c>
      <c r="M956" t="str" s="23">
        <f aca="0">IF(OR(COUNTA(B956:J956)=0,R956&lt;&gt;""),"",IFERROR(LOOKUP(2,1/(ISNUMBER(SEARCH(P956,보유목록!$I$2:$I$3001))*ISNUMBER(SEARCH(Q956,보유목록!$I$2:$I$3001))*(보유목록!$H$2:$H$3001=O956)),보유목록!$B$2:$B$3001),IFERROR(LOOKUP(2,1/(ISNUMBER(SEARCH(P956,보유목록!$I$2:$I$3001))*ISNUMBER(SEARCH(Q956,보유목록!$I$2:$I$3001))),보유목록!$B$2:$B$3001),"")))</f>
      </c>
      <c r="N956" s="25"/>
      <c r="O956" t="str">
        <f>IFERROR(IF(AND(LEN(SUBSTITUTE(SUBSTITUTE(SUBSTITUTE(TRIM(C956&amp;""),CHAR(160),"")," ",""),"년",""))=4,VALUE(SUBSTITUTE(SUBSTITUTE(SUBSTITUTE(TRIM(C956&amp;""),CHAR(160),"")," ",""),"년",""))&gt;=1900,VALUE(SUBSTITUTE(SUBSTITUTE(SUBSTITUTE(TRIM(C956&amp;""),CHAR(160),"")," ",""),"년",""))&lt;=2099,TEXT(VALUE(SUBSTITUTE(SUBSTITUTE(SUBSTITUTE(TRIM(C956&amp;""),CHAR(160),"")," ",""),"년","")),"0000")=SUBSTITUTE(SUBSTITUTE(SUBSTITUTE(TRIM(C956&amp;""),CHAR(160),"")," ",""),"년","")),SUBSTITUTE(SUBSTITUTE(SUBSTITUTE(TRIM(C956&amp;""),CHAR(160),"")," ",""),"년",""),""),"")</f>
      </c>
      <c r="P956" t="str">
        <f>SUBSTITUTE(SUBSTITUTE(SUBSTITUTE(SUBSTITUTE(SUBSTITUTE(SUBSTITUTE(SUBSTITUTE(SUBSTITUTE(TRIM(D956&amp;""),CHAR(160),"")," ",""),"초등학교","초"),"중학교","중"),"고등학교","고"),"~","~~"),"*","~*"),"?","~?")</f>
      </c>
      <c r="Q956" t="str">
        <f>SUBSTITUTE(SUBSTITUTE(SUBSTITUTE(SUBSTITUTE(SUBSTITUTE(SUBSTITUTE(SUBSTITUTE(SUBSTITUTE(TRIM(E956&amp;""),CHAR(160),"")," ",""),"초등학교","초"),"중학교","중"),"고등학교","고"),"~","~~"),"*","~*"),"?","~?")</f>
      </c>
      <c r="R956" t="str">
        <f>IF(COUNTA(B956:J956)=0,"",IF(AND(O956&lt;&gt;"",P956&lt;&gt;"",Q956&lt;&gt;""),"","입력누락"))</f>
      </c>
    </row>
    <row r="957" customFormat="false" ht="15" hidden="false" customHeight="false" outlineLevel="0" collapsed="false">
      <c r="A957" t="n" s="19">
        <f aca="0">IF(COUNTA(B957:J957)=0,"",ROW()-1)</f>
      </c>
      <c r="B957" s="24"/>
      <c r="C957" s="25"/>
      <c r="D957" s="8"/>
      <c r="E957" s="8"/>
      <c r="F957" s="26"/>
      <c r="G957" s="24"/>
      <c r="H957" s="25"/>
      <c r="I957" s="25"/>
      <c r="J957" s="26"/>
      <c r="K957" t="str" s="15">
        <f aca="0">IF(COUNTA(B957:J957)=0,"",IF(R957&lt;&gt;"","확인필요(입력누락)",IF(COUNTIFS(보유목록!$I$2:$I$3001,"*"&amp;P957&amp;"*",보유목록!$I$2:$I$3001,"*"&amp;Q957&amp;"*",보유목록!$H$2:$H$3001,O957)&gt;0,"있음",IF(COUNTIFS(보유목록!$I$2:$I$3001,"*"&amp;P957&amp;"*",보유목록!$I$2:$I$3001,"*"&amp;Q957&amp;"*")&gt;0,"확인필요(연도다름)",IF(COUNTIFS(보유목록!$I$2:$I$3001,"*"&amp;P957&amp;"*",보유목록!$H$2:$H$3001,O957)&gt;0,"확인필요(같은학교·같은연도)","없음")))))</f>
      </c>
      <c r="L957" t="str" s="16">
        <f aca="0">IF(OR(COUNTA(B957:J957)=0,R957&lt;&gt;""),"",COUNTIFS(보유목록!$I$2:$I$3001,"*"&amp;P957&amp;"*",보유목록!$I$2:$I$3001,"*"&amp;Q957&amp;"*"))</f>
      </c>
      <c r="M957" t="str" s="23">
        <f aca="0">IF(OR(COUNTA(B957:J957)=0,R957&lt;&gt;""),"",IFERROR(LOOKUP(2,1/(ISNUMBER(SEARCH(P957,보유목록!$I$2:$I$3001))*ISNUMBER(SEARCH(Q957,보유목록!$I$2:$I$3001))*(보유목록!$H$2:$H$3001=O957)),보유목록!$B$2:$B$3001),IFERROR(LOOKUP(2,1/(ISNUMBER(SEARCH(P957,보유목록!$I$2:$I$3001))*ISNUMBER(SEARCH(Q957,보유목록!$I$2:$I$3001))),보유목록!$B$2:$B$3001),"")))</f>
      </c>
      <c r="N957" s="25"/>
      <c r="O957" t="str">
        <f>IFERROR(IF(AND(LEN(SUBSTITUTE(SUBSTITUTE(SUBSTITUTE(TRIM(C957&amp;""),CHAR(160),"")," ",""),"년",""))=4,VALUE(SUBSTITUTE(SUBSTITUTE(SUBSTITUTE(TRIM(C957&amp;""),CHAR(160),"")," ",""),"년",""))&gt;=1900,VALUE(SUBSTITUTE(SUBSTITUTE(SUBSTITUTE(TRIM(C957&amp;""),CHAR(160),"")," ",""),"년",""))&lt;=2099,TEXT(VALUE(SUBSTITUTE(SUBSTITUTE(SUBSTITUTE(TRIM(C957&amp;""),CHAR(160),"")," ",""),"년","")),"0000")=SUBSTITUTE(SUBSTITUTE(SUBSTITUTE(TRIM(C957&amp;""),CHAR(160),"")," ",""),"년","")),SUBSTITUTE(SUBSTITUTE(SUBSTITUTE(TRIM(C957&amp;""),CHAR(160),"")," ",""),"년",""),""),"")</f>
      </c>
      <c r="P957" t="str">
        <f>SUBSTITUTE(SUBSTITUTE(SUBSTITUTE(SUBSTITUTE(SUBSTITUTE(SUBSTITUTE(SUBSTITUTE(SUBSTITUTE(TRIM(D957&amp;""),CHAR(160),"")," ",""),"초등학교","초"),"중학교","중"),"고등학교","고"),"~","~~"),"*","~*"),"?","~?")</f>
      </c>
      <c r="Q957" t="str">
        <f>SUBSTITUTE(SUBSTITUTE(SUBSTITUTE(SUBSTITUTE(SUBSTITUTE(SUBSTITUTE(SUBSTITUTE(SUBSTITUTE(TRIM(E957&amp;""),CHAR(160),"")," ",""),"초등학교","초"),"중학교","중"),"고등학교","고"),"~","~~"),"*","~*"),"?","~?")</f>
      </c>
      <c r="R957" t="str">
        <f>IF(COUNTA(B957:J957)=0,"",IF(AND(O957&lt;&gt;"",P957&lt;&gt;"",Q957&lt;&gt;""),"","입력누락"))</f>
      </c>
    </row>
    <row r="958" customFormat="false" ht="15" hidden="false" customHeight="false" outlineLevel="0" collapsed="false">
      <c r="A958" t="n" s="19">
        <f aca="0">IF(COUNTA(B958:J958)=0,"",ROW()-1)</f>
      </c>
      <c r="B958" s="24"/>
      <c r="C958" s="25"/>
      <c r="D958" s="8"/>
      <c r="E958" s="8"/>
      <c r="F958" s="26"/>
      <c r="G958" s="24"/>
      <c r="H958" s="25"/>
      <c r="I958" s="25"/>
      <c r="J958" s="26"/>
      <c r="K958" t="str" s="15">
        <f aca="0">IF(COUNTA(B958:J958)=0,"",IF(R958&lt;&gt;"","확인필요(입력누락)",IF(COUNTIFS(보유목록!$I$2:$I$3001,"*"&amp;P958&amp;"*",보유목록!$I$2:$I$3001,"*"&amp;Q958&amp;"*",보유목록!$H$2:$H$3001,O958)&gt;0,"있음",IF(COUNTIFS(보유목록!$I$2:$I$3001,"*"&amp;P958&amp;"*",보유목록!$I$2:$I$3001,"*"&amp;Q958&amp;"*")&gt;0,"확인필요(연도다름)",IF(COUNTIFS(보유목록!$I$2:$I$3001,"*"&amp;P958&amp;"*",보유목록!$H$2:$H$3001,O958)&gt;0,"확인필요(같은학교·같은연도)","없음")))))</f>
      </c>
      <c r="L958" t="str" s="16">
        <f aca="0">IF(OR(COUNTA(B958:J958)=0,R958&lt;&gt;""),"",COUNTIFS(보유목록!$I$2:$I$3001,"*"&amp;P958&amp;"*",보유목록!$I$2:$I$3001,"*"&amp;Q958&amp;"*"))</f>
      </c>
      <c r="M958" t="str" s="23">
        <f aca="0">IF(OR(COUNTA(B958:J958)=0,R958&lt;&gt;""),"",IFERROR(LOOKUP(2,1/(ISNUMBER(SEARCH(P958,보유목록!$I$2:$I$3001))*ISNUMBER(SEARCH(Q958,보유목록!$I$2:$I$3001))*(보유목록!$H$2:$H$3001=O958)),보유목록!$B$2:$B$3001),IFERROR(LOOKUP(2,1/(ISNUMBER(SEARCH(P958,보유목록!$I$2:$I$3001))*ISNUMBER(SEARCH(Q958,보유목록!$I$2:$I$3001))),보유목록!$B$2:$B$3001),"")))</f>
      </c>
      <c r="N958" s="25"/>
      <c r="O958" t="str">
        <f>IFERROR(IF(AND(LEN(SUBSTITUTE(SUBSTITUTE(SUBSTITUTE(TRIM(C958&amp;""),CHAR(160),"")," ",""),"년",""))=4,VALUE(SUBSTITUTE(SUBSTITUTE(SUBSTITUTE(TRIM(C958&amp;""),CHAR(160),"")," ",""),"년",""))&gt;=1900,VALUE(SUBSTITUTE(SUBSTITUTE(SUBSTITUTE(TRIM(C958&amp;""),CHAR(160),"")," ",""),"년",""))&lt;=2099,TEXT(VALUE(SUBSTITUTE(SUBSTITUTE(SUBSTITUTE(TRIM(C958&amp;""),CHAR(160),"")," ",""),"년","")),"0000")=SUBSTITUTE(SUBSTITUTE(SUBSTITUTE(TRIM(C958&amp;""),CHAR(160),"")," ",""),"년","")),SUBSTITUTE(SUBSTITUTE(SUBSTITUTE(TRIM(C958&amp;""),CHAR(160),"")," ",""),"년",""),""),"")</f>
      </c>
      <c r="P958" t="str">
        <f>SUBSTITUTE(SUBSTITUTE(SUBSTITUTE(SUBSTITUTE(SUBSTITUTE(SUBSTITUTE(SUBSTITUTE(SUBSTITUTE(TRIM(D958&amp;""),CHAR(160),"")," ",""),"초등학교","초"),"중학교","중"),"고등학교","고"),"~","~~"),"*","~*"),"?","~?")</f>
      </c>
      <c r="Q958" t="str">
        <f>SUBSTITUTE(SUBSTITUTE(SUBSTITUTE(SUBSTITUTE(SUBSTITUTE(SUBSTITUTE(SUBSTITUTE(SUBSTITUTE(TRIM(E958&amp;""),CHAR(160),"")," ",""),"초등학교","초"),"중학교","중"),"고등학교","고"),"~","~~"),"*","~*"),"?","~?")</f>
      </c>
      <c r="R958" t="str">
        <f>IF(COUNTA(B958:J958)=0,"",IF(AND(O958&lt;&gt;"",P958&lt;&gt;"",Q958&lt;&gt;""),"","입력누락"))</f>
      </c>
    </row>
    <row r="959" customFormat="false" ht="15" hidden="false" customHeight="false" outlineLevel="0" collapsed="false">
      <c r="A959" t="n" s="19">
        <f aca="0">IF(COUNTA(B959:J959)=0,"",ROW()-1)</f>
      </c>
      <c r="B959" s="24"/>
      <c r="C959" s="25"/>
      <c r="D959" s="8"/>
      <c r="E959" s="8"/>
      <c r="F959" s="26"/>
      <c r="G959" s="24"/>
      <c r="H959" s="25"/>
      <c r="I959" s="25"/>
      <c r="J959" s="26"/>
      <c r="K959" t="str" s="15">
        <f aca="0">IF(COUNTA(B959:J959)=0,"",IF(R959&lt;&gt;"","확인필요(입력누락)",IF(COUNTIFS(보유목록!$I$2:$I$3001,"*"&amp;P959&amp;"*",보유목록!$I$2:$I$3001,"*"&amp;Q959&amp;"*",보유목록!$H$2:$H$3001,O959)&gt;0,"있음",IF(COUNTIFS(보유목록!$I$2:$I$3001,"*"&amp;P959&amp;"*",보유목록!$I$2:$I$3001,"*"&amp;Q959&amp;"*")&gt;0,"확인필요(연도다름)",IF(COUNTIFS(보유목록!$I$2:$I$3001,"*"&amp;P959&amp;"*",보유목록!$H$2:$H$3001,O959)&gt;0,"확인필요(같은학교·같은연도)","없음")))))</f>
      </c>
      <c r="L959" t="str" s="16">
        <f aca="0">IF(OR(COUNTA(B959:J959)=0,R959&lt;&gt;""),"",COUNTIFS(보유목록!$I$2:$I$3001,"*"&amp;P959&amp;"*",보유목록!$I$2:$I$3001,"*"&amp;Q959&amp;"*"))</f>
      </c>
      <c r="M959" t="str" s="23">
        <f aca="0">IF(OR(COUNTA(B959:J959)=0,R959&lt;&gt;""),"",IFERROR(LOOKUP(2,1/(ISNUMBER(SEARCH(P959,보유목록!$I$2:$I$3001))*ISNUMBER(SEARCH(Q959,보유목록!$I$2:$I$3001))*(보유목록!$H$2:$H$3001=O959)),보유목록!$B$2:$B$3001),IFERROR(LOOKUP(2,1/(ISNUMBER(SEARCH(P959,보유목록!$I$2:$I$3001))*ISNUMBER(SEARCH(Q959,보유목록!$I$2:$I$3001))),보유목록!$B$2:$B$3001),"")))</f>
      </c>
      <c r="N959" s="25"/>
      <c r="O959" t="str">
        <f>IFERROR(IF(AND(LEN(SUBSTITUTE(SUBSTITUTE(SUBSTITUTE(TRIM(C959&amp;""),CHAR(160),"")," ",""),"년",""))=4,VALUE(SUBSTITUTE(SUBSTITUTE(SUBSTITUTE(TRIM(C959&amp;""),CHAR(160),"")," ",""),"년",""))&gt;=1900,VALUE(SUBSTITUTE(SUBSTITUTE(SUBSTITUTE(TRIM(C959&amp;""),CHAR(160),"")," ",""),"년",""))&lt;=2099,TEXT(VALUE(SUBSTITUTE(SUBSTITUTE(SUBSTITUTE(TRIM(C959&amp;""),CHAR(160),"")," ",""),"년","")),"0000")=SUBSTITUTE(SUBSTITUTE(SUBSTITUTE(TRIM(C959&amp;""),CHAR(160),"")," ",""),"년","")),SUBSTITUTE(SUBSTITUTE(SUBSTITUTE(TRIM(C959&amp;""),CHAR(160),"")," ",""),"년",""),""),"")</f>
      </c>
      <c r="P959" t="str">
        <f>SUBSTITUTE(SUBSTITUTE(SUBSTITUTE(SUBSTITUTE(SUBSTITUTE(SUBSTITUTE(SUBSTITUTE(SUBSTITUTE(TRIM(D959&amp;""),CHAR(160),"")," ",""),"초등학교","초"),"중학교","중"),"고등학교","고"),"~","~~"),"*","~*"),"?","~?")</f>
      </c>
      <c r="Q959" t="str">
        <f>SUBSTITUTE(SUBSTITUTE(SUBSTITUTE(SUBSTITUTE(SUBSTITUTE(SUBSTITUTE(SUBSTITUTE(SUBSTITUTE(TRIM(E959&amp;""),CHAR(160),"")," ",""),"초등학교","초"),"중학교","중"),"고등학교","고"),"~","~~"),"*","~*"),"?","~?")</f>
      </c>
      <c r="R959" t="str">
        <f>IF(COUNTA(B959:J959)=0,"",IF(AND(O959&lt;&gt;"",P959&lt;&gt;"",Q959&lt;&gt;""),"","입력누락"))</f>
      </c>
    </row>
    <row r="960" customFormat="false" ht="15" hidden="false" customHeight="false" outlineLevel="0" collapsed="false">
      <c r="A960" t="n" s="19">
        <f aca="0">IF(COUNTA(B960:J960)=0,"",ROW()-1)</f>
      </c>
      <c r="B960" s="24"/>
      <c r="C960" s="25"/>
      <c r="D960" s="8"/>
      <c r="E960" s="8"/>
      <c r="F960" s="26"/>
      <c r="G960" s="24"/>
      <c r="H960" s="25"/>
      <c r="I960" s="25"/>
      <c r="J960" s="26"/>
      <c r="K960" t="str" s="15">
        <f aca="0">IF(COUNTA(B960:J960)=0,"",IF(R960&lt;&gt;"","확인필요(입력누락)",IF(COUNTIFS(보유목록!$I$2:$I$3001,"*"&amp;P960&amp;"*",보유목록!$I$2:$I$3001,"*"&amp;Q960&amp;"*",보유목록!$H$2:$H$3001,O960)&gt;0,"있음",IF(COUNTIFS(보유목록!$I$2:$I$3001,"*"&amp;P960&amp;"*",보유목록!$I$2:$I$3001,"*"&amp;Q960&amp;"*")&gt;0,"확인필요(연도다름)",IF(COUNTIFS(보유목록!$I$2:$I$3001,"*"&amp;P960&amp;"*",보유목록!$H$2:$H$3001,O960)&gt;0,"확인필요(같은학교·같은연도)","없음")))))</f>
      </c>
      <c r="L960" t="str" s="16">
        <f aca="0">IF(OR(COUNTA(B960:J960)=0,R960&lt;&gt;""),"",COUNTIFS(보유목록!$I$2:$I$3001,"*"&amp;P960&amp;"*",보유목록!$I$2:$I$3001,"*"&amp;Q960&amp;"*"))</f>
      </c>
      <c r="M960" t="str" s="23">
        <f aca="0">IF(OR(COUNTA(B960:J960)=0,R960&lt;&gt;""),"",IFERROR(LOOKUP(2,1/(ISNUMBER(SEARCH(P960,보유목록!$I$2:$I$3001))*ISNUMBER(SEARCH(Q960,보유목록!$I$2:$I$3001))*(보유목록!$H$2:$H$3001=O960)),보유목록!$B$2:$B$3001),IFERROR(LOOKUP(2,1/(ISNUMBER(SEARCH(P960,보유목록!$I$2:$I$3001))*ISNUMBER(SEARCH(Q960,보유목록!$I$2:$I$3001))),보유목록!$B$2:$B$3001),"")))</f>
      </c>
      <c r="N960" s="25"/>
      <c r="O960" t="str">
        <f>IFERROR(IF(AND(LEN(SUBSTITUTE(SUBSTITUTE(SUBSTITUTE(TRIM(C960&amp;""),CHAR(160),"")," ",""),"년",""))=4,VALUE(SUBSTITUTE(SUBSTITUTE(SUBSTITUTE(TRIM(C960&amp;""),CHAR(160),"")," ",""),"년",""))&gt;=1900,VALUE(SUBSTITUTE(SUBSTITUTE(SUBSTITUTE(TRIM(C960&amp;""),CHAR(160),"")," ",""),"년",""))&lt;=2099,TEXT(VALUE(SUBSTITUTE(SUBSTITUTE(SUBSTITUTE(TRIM(C960&amp;""),CHAR(160),"")," ",""),"년","")),"0000")=SUBSTITUTE(SUBSTITUTE(SUBSTITUTE(TRIM(C960&amp;""),CHAR(160),"")," ",""),"년","")),SUBSTITUTE(SUBSTITUTE(SUBSTITUTE(TRIM(C960&amp;""),CHAR(160),"")," ",""),"년",""),""),"")</f>
      </c>
      <c r="P960" t="str">
        <f>SUBSTITUTE(SUBSTITUTE(SUBSTITUTE(SUBSTITUTE(SUBSTITUTE(SUBSTITUTE(SUBSTITUTE(SUBSTITUTE(TRIM(D960&amp;""),CHAR(160),"")," ",""),"초등학교","초"),"중학교","중"),"고등학교","고"),"~","~~"),"*","~*"),"?","~?")</f>
      </c>
      <c r="Q960" t="str">
        <f>SUBSTITUTE(SUBSTITUTE(SUBSTITUTE(SUBSTITUTE(SUBSTITUTE(SUBSTITUTE(SUBSTITUTE(SUBSTITUTE(TRIM(E960&amp;""),CHAR(160),"")," ",""),"초등학교","초"),"중학교","중"),"고등학교","고"),"~","~~"),"*","~*"),"?","~?")</f>
      </c>
      <c r="R960" t="str">
        <f>IF(COUNTA(B960:J960)=0,"",IF(AND(O960&lt;&gt;"",P960&lt;&gt;"",Q960&lt;&gt;""),"","입력누락"))</f>
      </c>
    </row>
    <row r="961" customFormat="false" ht="15" hidden="false" customHeight="false" outlineLevel="0" collapsed="false">
      <c r="A961" t="n" s="19">
        <f aca="0">IF(COUNTA(B961:J961)=0,"",ROW()-1)</f>
      </c>
      <c r="B961" s="24"/>
      <c r="C961" s="25"/>
      <c r="D961" s="8"/>
      <c r="E961" s="8"/>
      <c r="F961" s="26"/>
      <c r="G961" s="24"/>
      <c r="H961" s="25"/>
      <c r="I961" s="25"/>
      <c r="J961" s="26"/>
      <c r="K961" t="str" s="15">
        <f aca="0">IF(COUNTA(B961:J961)=0,"",IF(R961&lt;&gt;"","확인필요(입력누락)",IF(COUNTIFS(보유목록!$I$2:$I$3001,"*"&amp;P961&amp;"*",보유목록!$I$2:$I$3001,"*"&amp;Q961&amp;"*",보유목록!$H$2:$H$3001,O961)&gt;0,"있음",IF(COUNTIFS(보유목록!$I$2:$I$3001,"*"&amp;P961&amp;"*",보유목록!$I$2:$I$3001,"*"&amp;Q961&amp;"*")&gt;0,"확인필요(연도다름)",IF(COUNTIFS(보유목록!$I$2:$I$3001,"*"&amp;P961&amp;"*",보유목록!$H$2:$H$3001,O961)&gt;0,"확인필요(같은학교·같은연도)","없음")))))</f>
      </c>
      <c r="L961" t="str" s="16">
        <f aca="0">IF(OR(COUNTA(B961:J961)=0,R961&lt;&gt;""),"",COUNTIFS(보유목록!$I$2:$I$3001,"*"&amp;P961&amp;"*",보유목록!$I$2:$I$3001,"*"&amp;Q961&amp;"*"))</f>
      </c>
      <c r="M961" t="str" s="23">
        <f aca="0">IF(OR(COUNTA(B961:J961)=0,R961&lt;&gt;""),"",IFERROR(LOOKUP(2,1/(ISNUMBER(SEARCH(P961,보유목록!$I$2:$I$3001))*ISNUMBER(SEARCH(Q961,보유목록!$I$2:$I$3001))*(보유목록!$H$2:$H$3001=O961)),보유목록!$B$2:$B$3001),IFERROR(LOOKUP(2,1/(ISNUMBER(SEARCH(P961,보유목록!$I$2:$I$3001))*ISNUMBER(SEARCH(Q961,보유목록!$I$2:$I$3001))),보유목록!$B$2:$B$3001),"")))</f>
      </c>
      <c r="N961" s="25"/>
      <c r="O961" t="str">
        <f>IFERROR(IF(AND(LEN(SUBSTITUTE(SUBSTITUTE(SUBSTITUTE(TRIM(C961&amp;""),CHAR(160),"")," ",""),"년",""))=4,VALUE(SUBSTITUTE(SUBSTITUTE(SUBSTITUTE(TRIM(C961&amp;""),CHAR(160),"")," ",""),"년",""))&gt;=1900,VALUE(SUBSTITUTE(SUBSTITUTE(SUBSTITUTE(TRIM(C961&amp;""),CHAR(160),"")," ",""),"년",""))&lt;=2099,TEXT(VALUE(SUBSTITUTE(SUBSTITUTE(SUBSTITUTE(TRIM(C961&amp;""),CHAR(160),"")," ",""),"년","")),"0000")=SUBSTITUTE(SUBSTITUTE(SUBSTITUTE(TRIM(C961&amp;""),CHAR(160),"")," ",""),"년","")),SUBSTITUTE(SUBSTITUTE(SUBSTITUTE(TRIM(C961&amp;""),CHAR(160),"")," ",""),"년",""),""),"")</f>
      </c>
      <c r="P961" t="str">
        <f>SUBSTITUTE(SUBSTITUTE(SUBSTITUTE(SUBSTITUTE(SUBSTITUTE(SUBSTITUTE(SUBSTITUTE(SUBSTITUTE(TRIM(D961&amp;""),CHAR(160),"")," ",""),"초등학교","초"),"중학교","중"),"고등학교","고"),"~","~~"),"*","~*"),"?","~?")</f>
      </c>
      <c r="Q961" t="str">
        <f>SUBSTITUTE(SUBSTITUTE(SUBSTITUTE(SUBSTITUTE(SUBSTITUTE(SUBSTITUTE(SUBSTITUTE(SUBSTITUTE(TRIM(E961&amp;""),CHAR(160),"")," ",""),"초등학교","초"),"중학교","중"),"고등학교","고"),"~","~~"),"*","~*"),"?","~?")</f>
      </c>
      <c r="R961" t="str">
        <f>IF(COUNTA(B961:J961)=0,"",IF(AND(O961&lt;&gt;"",P961&lt;&gt;"",Q961&lt;&gt;""),"","입력누락"))</f>
      </c>
    </row>
    <row r="962" customFormat="false" ht="15" hidden="false" customHeight="false" outlineLevel="0" collapsed="false">
      <c r="A962" t="n" s="19">
        <f aca="0">IF(COUNTA(B962:J962)=0,"",ROW()-1)</f>
      </c>
      <c r="B962" s="24"/>
      <c r="C962" s="25"/>
      <c r="D962" s="8"/>
      <c r="E962" s="8"/>
      <c r="F962" s="26"/>
      <c r="G962" s="24"/>
      <c r="H962" s="25"/>
      <c r="I962" s="25"/>
      <c r="J962" s="26"/>
      <c r="K962" t="str" s="15">
        <f aca="0">IF(COUNTA(B962:J962)=0,"",IF(R962&lt;&gt;"","확인필요(입력누락)",IF(COUNTIFS(보유목록!$I$2:$I$3001,"*"&amp;P962&amp;"*",보유목록!$I$2:$I$3001,"*"&amp;Q962&amp;"*",보유목록!$H$2:$H$3001,O962)&gt;0,"있음",IF(COUNTIFS(보유목록!$I$2:$I$3001,"*"&amp;P962&amp;"*",보유목록!$I$2:$I$3001,"*"&amp;Q962&amp;"*")&gt;0,"확인필요(연도다름)",IF(COUNTIFS(보유목록!$I$2:$I$3001,"*"&amp;P962&amp;"*",보유목록!$H$2:$H$3001,O962)&gt;0,"확인필요(같은학교·같은연도)","없음")))))</f>
      </c>
      <c r="L962" t="str" s="16">
        <f aca="0">IF(OR(COUNTA(B962:J962)=0,R962&lt;&gt;""),"",COUNTIFS(보유목록!$I$2:$I$3001,"*"&amp;P962&amp;"*",보유목록!$I$2:$I$3001,"*"&amp;Q962&amp;"*"))</f>
      </c>
      <c r="M962" t="str" s="23">
        <f aca="0">IF(OR(COUNTA(B962:J962)=0,R962&lt;&gt;""),"",IFERROR(LOOKUP(2,1/(ISNUMBER(SEARCH(P962,보유목록!$I$2:$I$3001))*ISNUMBER(SEARCH(Q962,보유목록!$I$2:$I$3001))*(보유목록!$H$2:$H$3001=O962)),보유목록!$B$2:$B$3001),IFERROR(LOOKUP(2,1/(ISNUMBER(SEARCH(P962,보유목록!$I$2:$I$3001))*ISNUMBER(SEARCH(Q962,보유목록!$I$2:$I$3001))),보유목록!$B$2:$B$3001),"")))</f>
      </c>
      <c r="N962" s="25"/>
      <c r="O962" t="str">
        <f>IFERROR(IF(AND(LEN(SUBSTITUTE(SUBSTITUTE(SUBSTITUTE(TRIM(C962&amp;""),CHAR(160),"")," ",""),"년",""))=4,VALUE(SUBSTITUTE(SUBSTITUTE(SUBSTITUTE(TRIM(C962&amp;""),CHAR(160),"")," ",""),"년",""))&gt;=1900,VALUE(SUBSTITUTE(SUBSTITUTE(SUBSTITUTE(TRIM(C962&amp;""),CHAR(160),"")," ",""),"년",""))&lt;=2099,TEXT(VALUE(SUBSTITUTE(SUBSTITUTE(SUBSTITUTE(TRIM(C962&amp;""),CHAR(160),"")," ",""),"년","")),"0000")=SUBSTITUTE(SUBSTITUTE(SUBSTITUTE(TRIM(C962&amp;""),CHAR(160),"")," ",""),"년","")),SUBSTITUTE(SUBSTITUTE(SUBSTITUTE(TRIM(C962&amp;""),CHAR(160),"")," ",""),"년",""),""),"")</f>
      </c>
      <c r="P962" t="str">
        <f>SUBSTITUTE(SUBSTITUTE(SUBSTITUTE(SUBSTITUTE(SUBSTITUTE(SUBSTITUTE(SUBSTITUTE(SUBSTITUTE(TRIM(D962&amp;""),CHAR(160),"")," ",""),"초등학교","초"),"중학교","중"),"고등학교","고"),"~","~~"),"*","~*"),"?","~?")</f>
      </c>
      <c r="Q962" t="str">
        <f>SUBSTITUTE(SUBSTITUTE(SUBSTITUTE(SUBSTITUTE(SUBSTITUTE(SUBSTITUTE(SUBSTITUTE(SUBSTITUTE(TRIM(E962&amp;""),CHAR(160),"")," ",""),"초등학교","초"),"중학교","중"),"고등학교","고"),"~","~~"),"*","~*"),"?","~?")</f>
      </c>
      <c r="R962" t="str">
        <f>IF(COUNTA(B962:J962)=0,"",IF(AND(O962&lt;&gt;"",P962&lt;&gt;"",Q962&lt;&gt;""),"","입력누락"))</f>
      </c>
    </row>
    <row r="963" customFormat="false" ht="15" hidden="false" customHeight="false" outlineLevel="0" collapsed="false">
      <c r="A963" t="n" s="19">
        <f aca="0">IF(COUNTA(B963:J963)=0,"",ROW()-1)</f>
      </c>
      <c r="B963" s="24"/>
      <c r="C963" s="25"/>
      <c r="D963" s="8"/>
      <c r="E963" s="8"/>
      <c r="F963" s="26"/>
      <c r="G963" s="24"/>
      <c r="H963" s="25"/>
      <c r="I963" s="25"/>
      <c r="J963" s="26"/>
      <c r="K963" t="str" s="15">
        <f aca="0">IF(COUNTA(B963:J963)=0,"",IF(R963&lt;&gt;"","확인필요(입력누락)",IF(COUNTIFS(보유목록!$I$2:$I$3001,"*"&amp;P963&amp;"*",보유목록!$I$2:$I$3001,"*"&amp;Q963&amp;"*",보유목록!$H$2:$H$3001,O963)&gt;0,"있음",IF(COUNTIFS(보유목록!$I$2:$I$3001,"*"&amp;P963&amp;"*",보유목록!$I$2:$I$3001,"*"&amp;Q963&amp;"*")&gt;0,"확인필요(연도다름)",IF(COUNTIFS(보유목록!$I$2:$I$3001,"*"&amp;P963&amp;"*",보유목록!$H$2:$H$3001,O963)&gt;0,"확인필요(같은학교·같은연도)","없음")))))</f>
      </c>
      <c r="L963" t="str" s="16">
        <f aca="0">IF(OR(COUNTA(B963:J963)=0,R963&lt;&gt;""),"",COUNTIFS(보유목록!$I$2:$I$3001,"*"&amp;P963&amp;"*",보유목록!$I$2:$I$3001,"*"&amp;Q963&amp;"*"))</f>
      </c>
      <c r="M963" t="str" s="23">
        <f aca="0">IF(OR(COUNTA(B963:J963)=0,R963&lt;&gt;""),"",IFERROR(LOOKUP(2,1/(ISNUMBER(SEARCH(P963,보유목록!$I$2:$I$3001))*ISNUMBER(SEARCH(Q963,보유목록!$I$2:$I$3001))*(보유목록!$H$2:$H$3001=O963)),보유목록!$B$2:$B$3001),IFERROR(LOOKUP(2,1/(ISNUMBER(SEARCH(P963,보유목록!$I$2:$I$3001))*ISNUMBER(SEARCH(Q963,보유목록!$I$2:$I$3001))),보유목록!$B$2:$B$3001),"")))</f>
      </c>
      <c r="N963" s="25"/>
      <c r="O963" t="str">
        <f>IFERROR(IF(AND(LEN(SUBSTITUTE(SUBSTITUTE(SUBSTITUTE(TRIM(C963&amp;""),CHAR(160),"")," ",""),"년",""))=4,VALUE(SUBSTITUTE(SUBSTITUTE(SUBSTITUTE(TRIM(C963&amp;""),CHAR(160),"")," ",""),"년",""))&gt;=1900,VALUE(SUBSTITUTE(SUBSTITUTE(SUBSTITUTE(TRIM(C963&amp;""),CHAR(160),"")," ",""),"년",""))&lt;=2099,TEXT(VALUE(SUBSTITUTE(SUBSTITUTE(SUBSTITUTE(TRIM(C963&amp;""),CHAR(160),"")," ",""),"년","")),"0000")=SUBSTITUTE(SUBSTITUTE(SUBSTITUTE(TRIM(C963&amp;""),CHAR(160),"")," ",""),"년","")),SUBSTITUTE(SUBSTITUTE(SUBSTITUTE(TRIM(C963&amp;""),CHAR(160),"")," ",""),"년",""),""),"")</f>
      </c>
      <c r="P963" t="str">
        <f>SUBSTITUTE(SUBSTITUTE(SUBSTITUTE(SUBSTITUTE(SUBSTITUTE(SUBSTITUTE(SUBSTITUTE(SUBSTITUTE(TRIM(D963&amp;""),CHAR(160),"")," ",""),"초등학교","초"),"중학교","중"),"고등학교","고"),"~","~~"),"*","~*"),"?","~?")</f>
      </c>
      <c r="Q963" t="str">
        <f>SUBSTITUTE(SUBSTITUTE(SUBSTITUTE(SUBSTITUTE(SUBSTITUTE(SUBSTITUTE(SUBSTITUTE(SUBSTITUTE(TRIM(E963&amp;""),CHAR(160),"")," ",""),"초등학교","초"),"중학교","중"),"고등학교","고"),"~","~~"),"*","~*"),"?","~?")</f>
      </c>
      <c r="R963" t="str">
        <f>IF(COUNTA(B963:J963)=0,"",IF(AND(O963&lt;&gt;"",P963&lt;&gt;"",Q963&lt;&gt;""),"","입력누락"))</f>
      </c>
    </row>
    <row r="964" customFormat="false" ht="15" hidden="false" customHeight="false" outlineLevel="0" collapsed="false">
      <c r="A964" t="n" s="19">
        <f aca="0">IF(COUNTA(B964:J964)=0,"",ROW()-1)</f>
      </c>
      <c r="B964" s="24"/>
      <c r="C964" s="25"/>
      <c r="D964" s="8"/>
      <c r="E964" s="8"/>
      <c r="F964" s="26"/>
      <c r="G964" s="24"/>
      <c r="H964" s="25"/>
      <c r="I964" s="25"/>
      <c r="J964" s="26"/>
      <c r="K964" t="str" s="15">
        <f aca="0">IF(COUNTA(B964:J964)=0,"",IF(R964&lt;&gt;"","확인필요(입력누락)",IF(COUNTIFS(보유목록!$I$2:$I$3001,"*"&amp;P964&amp;"*",보유목록!$I$2:$I$3001,"*"&amp;Q964&amp;"*",보유목록!$H$2:$H$3001,O964)&gt;0,"있음",IF(COUNTIFS(보유목록!$I$2:$I$3001,"*"&amp;P964&amp;"*",보유목록!$I$2:$I$3001,"*"&amp;Q964&amp;"*")&gt;0,"확인필요(연도다름)",IF(COUNTIFS(보유목록!$I$2:$I$3001,"*"&amp;P964&amp;"*",보유목록!$H$2:$H$3001,O964)&gt;0,"확인필요(같은학교·같은연도)","없음")))))</f>
      </c>
      <c r="L964" t="str" s="16">
        <f aca="0">IF(OR(COUNTA(B964:J964)=0,R964&lt;&gt;""),"",COUNTIFS(보유목록!$I$2:$I$3001,"*"&amp;P964&amp;"*",보유목록!$I$2:$I$3001,"*"&amp;Q964&amp;"*"))</f>
      </c>
      <c r="M964" t="str" s="23">
        <f aca="0">IF(OR(COUNTA(B964:J964)=0,R964&lt;&gt;""),"",IFERROR(LOOKUP(2,1/(ISNUMBER(SEARCH(P964,보유목록!$I$2:$I$3001))*ISNUMBER(SEARCH(Q964,보유목록!$I$2:$I$3001))*(보유목록!$H$2:$H$3001=O964)),보유목록!$B$2:$B$3001),IFERROR(LOOKUP(2,1/(ISNUMBER(SEARCH(P964,보유목록!$I$2:$I$3001))*ISNUMBER(SEARCH(Q964,보유목록!$I$2:$I$3001))),보유목록!$B$2:$B$3001),"")))</f>
      </c>
      <c r="N964" s="25"/>
      <c r="O964" t="str">
        <f>IFERROR(IF(AND(LEN(SUBSTITUTE(SUBSTITUTE(SUBSTITUTE(TRIM(C964&amp;""),CHAR(160),"")," ",""),"년",""))=4,VALUE(SUBSTITUTE(SUBSTITUTE(SUBSTITUTE(TRIM(C964&amp;""),CHAR(160),"")," ",""),"년",""))&gt;=1900,VALUE(SUBSTITUTE(SUBSTITUTE(SUBSTITUTE(TRIM(C964&amp;""),CHAR(160),"")," ",""),"년",""))&lt;=2099,TEXT(VALUE(SUBSTITUTE(SUBSTITUTE(SUBSTITUTE(TRIM(C964&amp;""),CHAR(160),"")," ",""),"년","")),"0000")=SUBSTITUTE(SUBSTITUTE(SUBSTITUTE(TRIM(C964&amp;""),CHAR(160),"")," ",""),"년","")),SUBSTITUTE(SUBSTITUTE(SUBSTITUTE(TRIM(C964&amp;""),CHAR(160),"")," ",""),"년",""),""),"")</f>
      </c>
      <c r="P964" t="str">
        <f>SUBSTITUTE(SUBSTITUTE(SUBSTITUTE(SUBSTITUTE(SUBSTITUTE(SUBSTITUTE(SUBSTITUTE(SUBSTITUTE(TRIM(D964&amp;""),CHAR(160),"")," ",""),"초등학교","초"),"중학교","중"),"고등학교","고"),"~","~~"),"*","~*"),"?","~?")</f>
      </c>
      <c r="Q964" t="str">
        <f>SUBSTITUTE(SUBSTITUTE(SUBSTITUTE(SUBSTITUTE(SUBSTITUTE(SUBSTITUTE(SUBSTITUTE(SUBSTITUTE(TRIM(E964&amp;""),CHAR(160),"")," ",""),"초등학교","초"),"중학교","중"),"고등학교","고"),"~","~~"),"*","~*"),"?","~?")</f>
      </c>
      <c r="R964" t="str">
        <f>IF(COUNTA(B964:J964)=0,"",IF(AND(O964&lt;&gt;"",P964&lt;&gt;"",Q964&lt;&gt;""),"","입력누락"))</f>
      </c>
    </row>
    <row r="965" customFormat="false" ht="15" hidden="false" customHeight="false" outlineLevel="0" collapsed="false">
      <c r="A965" t="n" s="19">
        <f aca="0">IF(COUNTA(B965:J965)=0,"",ROW()-1)</f>
      </c>
      <c r="B965" s="24"/>
      <c r="C965" s="25"/>
      <c r="D965" s="8"/>
      <c r="E965" s="8"/>
      <c r="F965" s="26"/>
      <c r="G965" s="24"/>
      <c r="H965" s="25"/>
      <c r="I965" s="25"/>
      <c r="J965" s="26"/>
      <c r="K965" t="str" s="15">
        <f aca="0">IF(COUNTA(B965:J965)=0,"",IF(R965&lt;&gt;"","확인필요(입력누락)",IF(COUNTIFS(보유목록!$I$2:$I$3001,"*"&amp;P965&amp;"*",보유목록!$I$2:$I$3001,"*"&amp;Q965&amp;"*",보유목록!$H$2:$H$3001,O965)&gt;0,"있음",IF(COUNTIFS(보유목록!$I$2:$I$3001,"*"&amp;P965&amp;"*",보유목록!$I$2:$I$3001,"*"&amp;Q965&amp;"*")&gt;0,"확인필요(연도다름)",IF(COUNTIFS(보유목록!$I$2:$I$3001,"*"&amp;P965&amp;"*",보유목록!$H$2:$H$3001,O965)&gt;0,"확인필요(같은학교·같은연도)","없음")))))</f>
      </c>
      <c r="L965" t="str" s="16">
        <f aca="0">IF(OR(COUNTA(B965:J965)=0,R965&lt;&gt;""),"",COUNTIFS(보유목록!$I$2:$I$3001,"*"&amp;P965&amp;"*",보유목록!$I$2:$I$3001,"*"&amp;Q965&amp;"*"))</f>
      </c>
      <c r="M965" t="str" s="23">
        <f aca="0">IF(OR(COUNTA(B965:J965)=0,R965&lt;&gt;""),"",IFERROR(LOOKUP(2,1/(ISNUMBER(SEARCH(P965,보유목록!$I$2:$I$3001))*ISNUMBER(SEARCH(Q965,보유목록!$I$2:$I$3001))*(보유목록!$H$2:$H$3001=O965)),보유목록!$B$2:$B$3001),IFERROR(LOOKUP(2,1/(ISNUMBER(SEARCH(P965,보유목록!$I$2:$I$3001))*ISNUMBER(SEARCH(Q965,보유목록!$I$2:$I$3001))),보유목록!$B$2:$B$3001),"")))</f>
      </c>
      <c r="N965" s="25"/>
      <c r="O965" t="str">
        <f>IFERROR(IF(AND(LEN(SUBSTITUTE(SUBSTITUTE(SUBSTITUTE(TRIM(C965&amp;""),CHAR(160),"")," ",""),"년",""))=4,VALUE(SUBSTITUTE(SUBSTITUTE(SUBSTITUTE(TRIM(C965&amp;""),CHAR(160),"")," ",""),"년",""))&gt;=1900,VALUE(SUBSTITUTE(SUBSTITUTE(SUBSTITUTE(TRIM(C965&amp;""),CHAR(160),"")," ",""),"년",""))&lt;=2099,TEXT(VALUE(SUBSTITUTE(SUBSTITUTE(SUBSTITUTE(TRIM(C965&amp;""),CHAR(160),"")," ",""),"년","")),"0000")=SUBSTITUTE(SUBSTITUTE(SUBSTITUTE(TRIM(C965&amp;""),CHAR(160),"")," ",""),"년","")),SUBSTITUTE(SUBSTITUTE(SUBSTITUTE(TRIM(C965&amp;""),CHAR(160),"")," ",""),"년",""),""),"")</f>
      </c>
      <c r="P965" t="str">
        <f>SUBSTITUTE(SUBSTITUTE(SUBSTITUTE(SUBSTITUTE(SUBSTITUTE(SUBSTITUTE(SUBSTITUTE(SUBSTITUTE(TRIM(D965&amp;""),CHAR(160),"")," ",""),"초등학교","초"),"중학교","중"),"고등학교","고"),"~","~~"),"*","~*"),"?","~?")</f>
      </c>
      <c r="Q965" t="str">
        <f>SUBSTITUTE(SUBSTITUTE(SUBSTITUTE(SUBSTITUTE(SUBSTITUTE(SUBSTITUTE(SUBSTITUTE(SUBSTITUTE(TRIM(E965&amp;""),CHAR(160),"")," ",""),"초등학교","초"),"중학교","중"),"고등학교","고"),"~","~~"),"*","~*"),"?","~?")</f>
      </c>
      <c r="R965" t="str">
        <f>IF(COUNTA(B965:J965)=0,"",IF(AND(O965&lt;&gt;"",P965&lt;&gt;"",Q965&lt;&gt;""),"","입력누락"))</f>
      </c>
    </row>
    <row r="966" customFormat="false" ht="15" hidden="false" customHeight="false" outlineLevel="0" collapsed="false">
      <c r="A966" t="n" s="19">
        <f aca="0">IF(COUNTA(B966:J966)=0,"",ROW()-1)</f>
      </c>
      <c r="B966" s="24"/>
      <c r="C966" s="25"/>
      <c r="D966" s="8"/>
      <c r="E966" s="8"/>
      <c r="F966" s="26"/>
      <c r="G966" s="24"/>
      <c r="H966" s="25"/>
      <c r="I966" s="25"/>
      <c r="J966" s="26"/>
      <c r="K966" t="str" s="15">
        <f aca="0">IF(COUNTA(B966:J966)=0,"",IF(R966&lt;&gt;"","확인필요(입력누락)",IF(COUNTIFS(보유목록!$I$2:$I$3001,"*"&amp;P966&amp;"*",보유목록!$I$2:$I$3001,"*"&amp;Q966&amp;"*",보유목록!$H$2:$H$3001,O966)&gt;0,"있음",IF(COUNTIFS(보유목록!$I$2:$I$3001,"*"&amp;P966&amp;"*",보유목록!$I$2:$I$3001,"*"&amp;Q966&amp;"*")&gt;0,"확인필요(연도다름)",IF(COUNTIFS(보유목록!$I$2:$I$3001,"*"&amp;P966&amp;"*",보유목록!$H$2:$H$3001,O966)&gt;0,"확인필요(같은학교·같은연도)","없음")))))</f>
      </c>
      <c r="L966" t="str" s="16">
        <f aca="0">IF(OR(COUNTA(B966:J966)=0,R966&lt;&gt;""),"",COUNTIFS(보유목록!$I$2:$I$3001,"*"&amp;P966&amp;"*",보유목록!$I$2:$I$3001,"*"&amp;Q966&amp;"*"))</f>
      </c>
      <c r="M966" t="str" s="23">
        <f aca="0">IF(OR(COUNTA(B966:J966)=0,R966&lt;&gt;""),"",IFERROR(LOOKUP(2,1/(ISNUMBER(SEARCH(P966,보유목록!$I$2:$I$3001))*ISNUMBER(SEARCH(Q966,보유목록!$I$2:$I$3001))*(보유목록!$H$2:$H$3001=O966)),보유목록!$B$2:$B$3001),IFERROR(LOOKUP(2,1/(ISNUMBER(SEARCH(P966,보유목록!$I$2:$I$3001))*ISNUMBER(SEARCH(Q966,보유목록!$I$2:$I$3001))),보유목록!$B$2:$B$3001),"")))</f>
      </c>
      <c r="N966" s="25"/>
      <c r="O966" t="str">
        <f>IFERROR(IF(AND(LEN(SUBSTITUTE(SUBSTITUTE(SUBSTITUTE(TRIM(C966&amp;""),CHAR(160),"")," ",""),"년",""))=4,VALUE(SUBSTITUTE(SUBSTITUTE(SUBSTITUTE(TRIM(C966&amp;""),CHAR(160),"")," ",""),"년",""))&gt;=1900,VALUE(SUBSTITUTE(SUBSTITUTE(SUBSTITUTE(TRIM(C966&amp;""),CHAR(160),"")," ",""),"년",""))&lt;=2099,TEXT(VALUE(SUBSTITUTE(SUBSTITUTE(SUBSTITUTE(TRIM(C966&amp;""),CHAR(160),"")," ",""),"년","")),"0000")=SUBSTITUTE(SUBSTITUTE(SUBSTITUTE(TRIM(C966&amp;""),CHAR(160),"")," ",""),"년","")),SUBSTITUTE(SUBSTITUTE(SUBSTITUTE(TRIM(C966&amp;""),CHAR(160),"")," ",""),"년",""),""),"")</f>
      </c>
      <c r="P966" t="str">
        <f>SUBSTITUTE(SUBSTITUTE(SUBSTITUTE(SUBSTITUTE(SUBSTITUTE(SUBSTITUTE(SUBSTITUTE(SUBSTITUTE(TRIM(D966&amp;""),CHAR(160),"")," ",""),"초등학교","초"),"중학교","중"),"고등학교","고"),"~","~~"),"*","~*"),"?","~?")</f>
      </c>
      <c r="Q966" t="str">
        <f>SUBSTITUTE(SUBSTITUTE(SUBSTITUTE(SUBSTITUTE(SUBSTITUTE(SUBSTITUTE(SUBSTITUTE(SUBSTITUTE(TRIM(E966&amp;""),CHAR(160),"")," ",""),"초등학교","초"),"중학교","중"),"고등학교","고"),"~","~~"),"*","~*"),"?","~?")</f>
      </c>
      <c r="R966" t="str">
        <f>IF(COUNTA(B966:J966)=0,"",IF(AND(O966&lt;&gt;"",P966&lt;&gt;"",Q966&lt;&gt;""),"","입력누락"))</f>
      </c>
    </row>
    <row r="967" customFormat="false" ht="15" hidden="false" customHeight="false" outlineLevel="0" collapsed="false">
      <c r="A967" t="n" s="19">
        <f aca="0">IF(COUNTA(B967:J967)=0,"",ROW()-1)</f>
      </c>
      <c r="B967" s="24"/>
      <c r="C967" s="25"/>
      <c r="D967" s="8"/>
      <c r="E967" s="8"/>
      <c r="F967" s="26"/>
      <c r="G967" s="24"/>
      <c r="H967" s="25"/>
      <c r="I967" s="25"/>
      <c r="J967" s="26"/>
      <c r="K967" t="str" s="15">
        <f aca="0">IF(COUNTA(B967:J967)=0,"",IF(R967&lt;&gt;"","확인필요(입력누락)",IF(COUNTIFS(보유목록!$I$2:$I$3001,"*"&amp;P967&amp;"*",보유목록!$I$2:$I$3001,"*"&amp;Q967&amp;"*",보유목록!$H$2:$H$3001,O967)&gt;0,"있음",IF(COUNTIFS(보유목록!$I$2:$I$3001,"*"&amp;P967&amp;"*",보유목록!$I$2:$I$3001,"*"&amp;Q967&amp;"*")&gt;0,"확인필요(연도다름)",IF(COUNTIFS(보유목록!$I$2:$I$3001,"*"&amp;P967&amp;"*",보유목록!$H$2:$H$3001,O967)&gt;0,"확인필요(같은학교·같은연도)","없음")))))</f>
      </c>
      <c r="L967" t="str" s="16">
        <f aca="0">IF(OR(COUNTA(B967:J967)=0,R967&lt;&gt;""),"",COUNTIFS(보유목록!$I$2:$I$3001,"*"&amp;P967&amp;"*",보유목록!$I$2:$I$3001,"*"&amp;Q967&amp;"*"))</f>
      </c>
      <c r="M967" t="str" s="23">
        <f aca="0">IF(OR(COUNTA(B967:J967)=0,R967&lt;&gt;""),"",IFERROR(LOOKUP(2,1/(ISNUMBER(SEARCH(P967,보유목록!$I$2:$I$3001))*ISNUMBER(SEARCH(Q967,보유목록!$I$2:$I$3001))*(보유목록!$H$2:$H$3001=O967)),보유목록!$B$2:$B$3001),IFERROR(LOOKUP(2,1/(ISNUMBER(SEARCH(P967,보유목록!$I$2:$I$3001))*ISNUMBER(SEARCH(Q967,보유목록!$I$2:$I$3001))),보유목록!$B$2:$B$3001),"")))</f>
      </c>
      <c r="N967" s="25"/>
      <c r="O967" t="str">
        <f>IFERROR(IF(AND(LEN(SUBSTITUTE(SUBSTITUTE(SUBSTITUTE(TRIM(C967&amp;""),CHAR(160),"")," ",""),"년",""))=4,VALUE(SUBSTITUTE(SUBSTITUTE(SUBSTITUTE(TRIM(C967&amp;""),CHAR(160),"")," ",""),"년",""))&gt;=1900,VALUE(SUBSTITUTE(SUBSTITUTE(SUBSTITUTE(TRIM(C967&amp;""),CHAR(160),"")," ",""),"년",""))&lt;=2099,TEXT(VALUE(SUBSTITUTE(SUBSTITUTE(SUBSTITUTE(TRIM(C967&amp;""),CHAR(160),"")," ",""),"년","")),"0000")=SUBSTITUTE(SUBSTITUTE(SUBSTITUTE(TRIM(C967&amp;""),CHAR(160),"")," ",""),"년","")),SUBSTITUTE(SUBSTITUTE(SUBSTITUTE(TRIM(C967&amp;""),CHAR(160),"")," ",""),"년",""),""),"")</f>
      </c>
      <c r="P967" t="str">
        <f>SUBSTITUTE(SUBSTITUTE(SUBSTITUTE(SUBSTITUTE(SUBSTITUTE(SUBSTITUTE(SUBSTITUTE(SUBSTITUTE(TRIM(D967&amp;""),CHAR(160),"")," ",""),"초등학교","초"),"중학교","중"),"고등학교","고"),"~","~~"),"*","~*"),"?","~?")</f>
      </c>
      <c r="Q967" t="str">
        <f>SUBSTITUTE(SUBSTITUTE(SUBSTITUTE(SUBSTITUTE(SUBSTITUTE(SUBSTITUTE(SUBSTITUTE(SUBSTITUTE(TRIM(E967&amp;""),CHAR(160),"")," ",""),"초등학교","초"),"중학교","중"),"고등학교","고"),"~","~~"),"*","~*"),"?","~?")</f>
      </c>
      <c r="R967" t="str">
        <f>IF(COUNTA(B967:J967)=0,"",IF(AND(O967&lt;&gt;"",P967&lt;&gt;"",Q967&lt;&gt;""),"","입력누락"))</f>
      </c>
    </row>
    <row r="968" customFormat="false" ht="15" hidden="false" customHeight="false" outlineLevel="0" collapsed="false">
      <c r="A968" t="n" s="19">
        <f aca="0">IF(COUNTA(B968:J968)=0,"",ROW()-1)</f>
      </c>
      <c r="B968" s="24"/>
      <c r="C968" s="25"/>
      <c r="D968" s="8"/>
      <c r="E968" s="8"/>
      <c r="F968" s="26"/>
      <c r="G968" s="24"/>
      <c r="H968" s="25"/>
      <c r="I968" s="25"/>
      <c r="J968" s="26"/>
      <c r="K968" t="str" s="15">
        <f aca="0">IF(COUNTA(B968:J968)=0,"",IF(R968&lt;&gt;"","확인필요(입력누락)",IF(COUNTIFS(보유목록!$I$2:$I$3001,"*"&amp;P968&amp;"*",보유목록!$I$2:$I$3001,"*"&amp;Q968&amp;"*",보유목록!$H$2:$H$3001,O968)&gt;0,"있음",IF(COUNTIFS(보유목록!$I$2:$I$3001,"*"&amp;P968&amp;"*",보유목록!$I$2:$I$3001,"*"&amp;Q968&amp;"*")&gt;0,"확인필요(연도다름)",IF(COUNTIFS(보유목록!$I$2:$I$3001,"*"&amp;P968&amp;"*",보유목록!$H$2:$H$3001,O968)&gt;0,"확인필요(같은학교·같은연도)","없음")))))</f>
      </c>
      <c r="L968" t="str" s="16">
        <f aca="0">IF(OR(COUNTA(B968:J968)=0,R968&lt;&gt;""),"",COUNTIFS(보유목록!$I$2:$I$3001,"*"&amp;P968&amp;"*",보유목록!$I$2:$I$3001,"*"&amp;Q968&amp;"*"))</f>
      </c>
      <c r="M968" t="str" s="23">
        <f aca="0">IF(OR(COUNTA(B968:J968)=0,R968&lt;&gt;""),"",IFERROR(LOOKUP(2,1/(ISNUMBER(SEARCH(P968,보유목록!$I$2:$I$3001))*ISNUMBER(SEARCH(Q968,보유목록!$I$2:$I$3001))*(보유목록!$H$2:$H$3001=O968)),보유목록!$B$2:$B$3001),IFERROR(LOOKUP(2,1/(ISNUMBER(SEARCH(P968,보유목록!$I$2:$I$3001))*ISNUMBER(SEARCH(Q968,보유목록!$I$2:$I$3001))),보유목록!$B$2:$B$3001),"")))</f>
      </c>
      <c r="N968" s="25"/>
      <c r="O968" t="str">
        <f>IFERROR(IF(AND(LEN(SUBSTITUTE(SUBSTITUTE(SUBSTITUTE(TRIM(C968&amp;""),CHAR(160),"")," ",""),"년",""))=4,VALUE(SUBSTITUTE(SUBSTITUTE(SUBSTITUTE(TRIM(C968&amp;""),CHAR(160),"")," ",""),"년",""))&gt;=1900,VALUE(SUBSTITUTE(SUBSTITUTE(SUBSTITUTE(TRIM(C968&amp;""),CHAR(160),"")," ",""),"년",""))&lt;=2099,TEXT(VALUE(SUBSTITUTE(SUBSTITUTE(SUBSTITUTE(TRIM(C968&amp;""),CHAR(160),"")," ",""),"년","")),"0000")=SUBSTITUTE(SUBSTITUTE(SUBSTITUTE(TRIM(C968&amp;""),CHAR(160),"")," ",""),"년","")),SUBSTITUTE(SUBSTITUTE(SUBSTITUTE(TRIM(C968&amp;""),CHAR(160),"")," ",""),"년",""),""),"")</f>
      </c>
      <c r="P968" t="str">
        <f>SUBSTITUTE(SUBSTITUTE(SUBSTITUTE(SUBSTITUTE(SUBSTITUTE(SUBSTITUTE(SUBSTITUTE(SUBSTITUTE(TRIM(D968&amp;""),CHAR(160),"")," ",""),"초등학교","초"),"중학교","중"),"고등학교","고"),"~","~~"),"*","~*"),"?","~?")</f>
      </c>
      <c r="Q968" t="str">
        <f>SUBSTITUTE(SUBSTITUTE(SUBSTITUTE(SUBSTITUTE(SUBSTITUTE(SUBSTITUTE(SUBSTITUTE(SUBSTITUTE(TRIM(E968&amp;""),CHAR(160),"")," ",""),"초등학교","초"),"중학교","중"),"고등학교","고"),"~","~~"),"*","~*"),"?","~?")</f>
      </c>
      <c r="R968" t="str">
        <f>IF(COUNTA(B968:J968)=0,"",IF(AND(O968&lt;&gt;"",P968&lt;&gt;"",Q968&lt;&gt;""),"","입력누락"))</f>
      </c>
    </row>
    <row r="969" customFormat="false" ht="15" hidden="false" customHeight="false" outlineLevel="0" collapsed="false">
      <c r="A969" t="n" s="19">
        <f aca="0">IF(COUNTA(B969:J969)=0,"",ROW()-1)</f>
      </c>
      <c r="B969" s="24"/>
      <c r="C969" s="25"/>
      <c r="D969" s="8"/>
      <c r="E969" s="8"/>
      <c r="F969" s="26"/>
      <c r="G969" s="24"/>
      <c r="H969" s="25"/>
      <c r="I969" s="25"/>
      <c r="J969" s="26"/>
      <c r="K969" t="str" s="15">
        <f aca="0">IF(COUNTA(B969:J969)=0,"",IF(R969&lt;&gt;"","확인필요(입력누락)",IF(COUNTIFS(보유목록!$I$2:$I$3001,"*"&amp;P969&amp;"*",보유목록!$I$2:$I$3001,"*"&amp;Q969&amp;"*",보유목록!$H$2:$H$3001,O969)&gt;0,"있음",IF(COUNTIFS(보유목록!$I$2:$I$3001,"*"&amp;P969&amp;"*",보유목록!$I$2:$I$3001,"*"&amp;Q969&amp;"*")&gt;0,"확인필요(연도다름)",IF(COUNTIFS(보유목록!$I$2:$I$3001,"*"&amp;P969&amp;"*",보유목록!$H$2:$H$3001,O969)&gt;0,"확인필요(같은학교·같은연도)","없음")))))</f>
      </c>
      <c r="L969" t="str" s="16">
        <f aca="0">IF(OR(COUNTA(B969:J969)=0,R969&lt;&gt;""),"",COUNTIFS(보유목록!$I$2:$I$3001,"*"&amp;P969&amp;"*",보유목록!$I$2:$I$3001,"*"&amp;Q969&amp;"*"))</f>
      </c>
      <c r="M969" t="str" s="23">
        <f aca="0">IF(OR(COUNTA(B969:J969)=0,R969&lt;&gt;""),"",IFERROR(LOOKUP(2,1/(ISNUMBER(SEARCH(P969,보유목록!$I$2:$I$3001))*ISNUMBER(SEARCH(Q969,보유목록!$I$2:$I$3001))*(보유목록!$H$2:$H$3001=O969)),보유목록!$B$2:$B$3001),IFERROR(LOOKUP(2,1/(ISNUMBER(SEARCH(P969,보유목록!$I$2:$I$3001))*ISNUMBER(SEARCH(Q969,보유목록!$I$2:$I$3001))),보유목록!$B$2:$B$3001),"")))</f>
      </c>
      <c r="N969" s="25"/>
      <c r="O969" t="str">
        <f>IFERROR(IF(AND(LEN(SUBSTITUTE(SUBSTITUTE(SUBSTITUTE(TRIM(C969&amp;""),CHAR(160),"")," ",""),"년",""))=4,VALUE(SUBSTITUTE(SUBSTITUTE(SUBSTITUTE(TRIM(C969&amp;""),CHAR(160),"")," ",""),"년",""))&gt;=1900,VALUE(SUBSTITUTE(SUBSTITUTE(SUBSTITUTE(TRIM(C969&amp;""),CHAR(160),"")," ",""),"년",""))&lt;=2099,TEXT(VALUE(SUBSTITUTE(SUBSTITUTE(SUBSTITUTE(TRIM(C969&amp;""),CHAR(160),"")," ",""),"년","")),"0000")=SUBSTITUTE(SUBSTITUTE(SUBSTITUTE(TRIM(C969&amp;""),CHAR(160),"")," ",""),"년","")),SUBSTITUTE(SUBSTITUTE(SUBSTITUTE(TRIM(C969&amp;""),CHAR(160),"")," ",""),"년",""),""),"")</f>
      </c>
      <c r="P969" t="str">
        <f>SUBSTITUTE(SUBSTITUTE(SUBSTITUTE(SUBSTITUTE(SUBSTITUTE(SUBSTITUTE(SUBSTITUTE(SUBSTITUTE(TRIM(D969&amp;""),CHAR(160),"")," ",""),"초등학교","초"),"중학교","중"),"고등학교","고"),"~","~~"),"*","~*"),"?","~?")</f>
      </c>
      <c r="Q969" t="str">
        <f>SUBSTITUTE(SUBSTITUTE(SUBSTITUTE(SUBSTITUTE(SUBSTITUTE(SUBSTITUTE(SUBSTITUTE(SUBSTITUTE(TRIM(E969&amp;""),CHAR(160),"")," ",""),"초등학교","초"),"중학교","중"),"고등학교","고"),"~","~~"),"*","~*"),"?","~?")</f>
      </c>
      <c r="R969" t="str">
        <f>IF(COUNTA(B969:J969)=0,"",IF(AND(O969&lt;&gt;"",P969&lt;&gt;"",Q969&lt;&gt;""),"","입력누락"))</f>
      </c>
    </row>
    <row r="970" customFormat="false" ht="15" hidden="false" customHeight="false" outlineLevel="0" collapsed="false">
      <c r="A970" t="n" s="19">
        <f aca="0">IF(COUNTA(B970:J970)=0,"",ROW()-1)</f>
      </c>
      <c r="B970" s="24"/>
      <c r="C970" s="25"/>
      <c r="D970" s="8"/>
      <c r="E970" s="8"/>
      <c r="F970" s="26"/>
      <c r="G970" s="24"/>
      <c r="H970" s="25"/>
      <c r="I970" s="25"/>
      <c r="J970" s="26"/>
      <c r="K970" t="str" s="15">
        <f aca="0">IF(COUNTA(B970:J970)=0,"",IF(R970&lt;&gt;"","확인필요(입력누락)",IF(COUNTIFS(보유목록!$I$2:$I$3001,"*"&amp;P970&amp;"*",보유목록!$I$2:$I$3001,"*"&amp;Q970&amp;"*",보유목록!$H$2:$H$3001,O970)&gt;0,"있음",IF(COUNTIFS(보유목록!$I$2:$I$3001,"*"&amp;P970&amp;"*",보유목록!$I$2:$I$3001,"*"&amp;Q970&amp;"*")&gt;0,"확인필요(연도다름)",IF(COUNTIFS(보유목록!$I$2:$I$3001,"*"&amp;P970&amp;"*",보유목록!$H$2:$H$3001,O970)&gt;0,"확인필요(같은학교·같은연도)","없음")))))</f>
      </c>
      <c r="L970" t="str" s="16">
        <f aca="0">IF(OR(COUNTA(B970:J970)=0,R970&lt;&gt;""),"",COUNTIFS(보유목록!$I$2:$I$3001,"*"&amp;P970&amp;"*",보유목록!$I$2:$I$3001,"*"&amp;Q970&amp;"*"))</f>
      </c>
      <c r="M970" t="str" s="23">
        <f aca="0">IF(OR(COUNTA(B970:J970)=0,R970&lt;&gt;""),"",IFERROR(LOOKUP(2,1/(ISNUMBER(SEARCH(P970,보유목록!$I$2:$I$3001))*ISNUMBER(SEARCH(Q970,보유목록!$I$2:$I$3001))*(보유목록!$H$2:$H$3001=O970)),보유목록!$B$2:$B$3001),IFERROR(LOOKUP(2,1/(ISNUMBER(SEARCH(P970,보유목록!$I$2:$I$3001))*ISNUMBER(SEARCH(Q970,보유목록!$I$2:$I$3001))),보유목록!$B$2:$B$3001),"")))</f>
      </c>
      <c r="N970" s="25"/>
      <c r="O970" t="str">
        <f>IFERROR(IF(AND(LEN(SUBSTITUTE(SUBSTITUTE(SUBSTITUTE(TRIM(C970&amp;""),CHAR(160),"")," ",""),"년",""))=4,VALUE(SUBSTITUTE(SUBSTITUTE(SUBSTITUTE(TRIM(C970&amp;""),CHAR(160),"")," ",""),"년",""))&gt;=1900,VALUE(SUBSTITUTE(SUBSTITUTE(SUBSTITUTE(TRIM(C970&amp;""),CHAR(160),"")," ",""),"년",""))&lt;=2099,TEXT(VALUE(SUBSTITUTE(SUBSTITUTE(SUBSTITUTE(TRIM(C970&amp;""),CHAR(160),"")," ",""),"년","")),"0000")=SUBSTITUTE(SUBSTITUTE(SUBSTITUTE(TRIM(C970&amp;""),CHAR(160),"")," ",""),"년","")),SUBSTITUTE(SUBSTITUTE(SUBSTITUTE(TRIM(C970&amp;""),CHAR(160),"")," ",""),"년",""),""),"")</f>
      </c>
      <c r="P970" t="str">
        <f>SUBSTITUTE(SUBSTITUTE(SUBSTITUTE(SUBSTITUTE(SUBSTITUTE(SUBSTITUTE(SUBSTITUTE(SUBSTITUTE(TRIM(D970&amp;""),CHAR(160),"")," ",""),"초등학교","초"),"중학교","중"),"고등학교","고"),"~","~~"),"*","~*"),"?","~?")</f>
      </c>
      <c r="Q970" t="str">
        <f>SUBSTITUTE(SUBSTITUTE(SUBSTITUTE(SUBSTITUTE(SUBSTITUTE(SUBSTITUTE(SUBSTITUTE(SUBSTITUTE(TRIM(E970&amp;""),CHAR(160),"")," ",""),"초등학교","초"),"중학교","중"),"고등학교","고"),"~","~~"),"*","~*"),"?","~?")</f>
      </c>
      <c r="R970" t="str">
        <f>IF(COUNTA(B970:J970)=0,"",IF(AND(O970&lt;&gt;"",P970&lt;&gt;"",Q970&lt;&gt;""),"","입력누락"))</f>
      </c>
    </row>
    <row r="971" customFormat="false" ht="15" hidden="false" customHeight="false" outlineLevel="0" collapsed="false">
      <c r="A971" t="n" s="19">
        <f aca="0">IF(COUNTA(B971:J971)=0,"",ROW()-1)</f>
      </c>
      <c r="B971" s="24"/>
      <c r="C971" s="25"/>
      <c r="D971" s="8"/>
      <c r="E971" s="8"/>
      <c r="F971" s="26"/>
      <c r="G971" s="24"/>
      <c r="H971" s="25"/>
      <c r="I971" s="25"/>
      <c r="J971" s="26"/>
      <c r="K971" t="str" s="15">
        <f aca="0">IF(COUNTA(B971:J971)=0,"",IF(R971&lt;&gt;"","확인필요(입력누락)",IF(COUNTIFS(보유목록!$I$2:$I$3001,"*"&amp;P971&amp;"*",보유목록!$I$2:$I$3001,"*"&amp;Q971&amp;"*",보유목록!$H$2:$H$3001,O971)&gt;0,"있음",IF(COUNTIFS(보유목록!$I$2:$I$3001,"*"&amp;P971&amp;"*",보유목록!$I$2:$I$3001,"*"&amp;Q971&amp;"*")&gt;0,"확인필요(연도다름)",IF(COUNTIFS(보유목록!$I$2:$I$3001,"*"&amp;P971&amp;"*",보유목록!$H$2:$H$3001,O971)&gt;0,"확인필요(같은학교·같은연도)","없음")))))</f>
      </c>
      <c r="L971" t="str" s="16">
        <f aca="0">IF(OR(COUNTA(B971:J971)=0,R971&lt;&gt;""),"",COUNTIFS(보유목록!$I$2:$I$3001,"*"&amp;P971&amp;"*",보유목록!$I$2:$I$3001,"*"&amp;Q971&amp;"*"))</f>
      </c>
      <c r="M971" t="str" s="23">
        <f aca="0">IF(OR(COUNTA(B971:J971)=0,R971&lt;&gt;""),"",IFERROR(LOOKUP(2,1/(ISNUMBER(SEARCH(P971,보유목록!$I$2:$I$3001))*ISNUMBER(SEARCH(Q971,보유목록!$I$2:$I$3001))*(보유목록!$H$2:$H$3001=O971)),보유목록!$B$2:$B$3001),IFERROR(LOOKUP(2,1/(ISNUMBER(SEARCH(P971,보유목록!$I$2:$I$3001))*ISNUMBER(SEARCH(Q971,보유목록!$I$2:$I$3001))),보유목록!$B$2:$B$3001),"")))</f>
      </c>
      <c r="N971" s="25"/>
      <c r="O971" t="str">
        <f>IFERROR(IF(AND(LEN(SUBSTITUTE(SUBSTITUTE(SUBSTITUTE(TRIM(C971&amp;""),CHAR(160),"")," ",""),"년",""))=4,VALUE(SUBSTITUTE(SUBSTITUTE(SUBSTITUTE(TRIM(C971&amp;""),CHAR(160),"")," ",""),"년",""))&gt;=1900,VALUE(SUBSTITUTE(SUBSTITUTE(SUBSTITUTE(TRIM(C971&amp;""),CHAR(160),"")," ",""),"년",""))&lt;=2099,TEXT(VALUE(SUBSTITUTE(SUBSTITUTE(SUBSTITUTE(TRIM(C971&amp;""),CHAR(160),"")," ",""),"년","")),"0000")=SUBSTITUTE(SUBSTITUTE(SUBSTITUTE(TRIM(C971&amp;""),CHAR(160),"")," ",""),"년","")),SUBSTITUTE(SUBSTITUTE(SUBSTITUTE(TRIM(C971&amp;""),CHAR(160),"")," ",""),"년",""),""),"")</f>
      </c>
      <c r="P971" t="str">
        <f>SUBSTITUTE(SUBSTITUTE(SUBSTITUTE(SUBSTITUTE(SUBSTITUTE(SUBSTITUTE(SUBSTITUTE(SUBSTITUTE(TRIM(D971&amp;""),CHAR(160),"")," ",""),"초등학교","초"),"중학교","중"),"고등학교","고"),"~","~~"),"*","~*"),"?","~?")</f>
      </c>
      <c r="Q971" t="str">
        <f>SUBSTITUTE(SUBSTITUTE(SUBSTITUTE(SUBSTITUTE(SUBSTITUTE(SUBSTITUTE(SUBSTITUTE(SUBSTITUTE(TRIM(E971&amp;""),CHAR(160),"")," ",""),"초등학교","초"),"중학교","중"),"고등학교","고"),"~","~~"),"*","~*"),"?","~?")</f>
      </c>
      <c r="R971" t="str">
        <f>IF(COUNTA(B971:J971)=0,"",IF(AND(O971&lt;&gt;"",P971&lt;&gt;"",Q971&lt;&gt;""),"","입력누락"))</f>
      </c>
    </row>
    <row r="972" customFormat="false" ht="15" hidden="false" customHeight="false" outlineLevel="0" collapsed="false">
      <c r="A972" t="n" s="19">
        <f aca="0">IF(COUNTA(B972:J972)=0,"",ROW()-1)</f>
      </c>
      <c r="B972" s="24"/>
      <c r="C972" s="25"/>
      <c r="D972" s="8"/>
      <c r="E972" s="8"/>
      <c r="F972" s="26"/>
      <c r="G972" s="24"/>
      <c r="H972" s="25"/>
      <c r="I972" s="25"/>
      <c r="J972" s="26"/>
      <c r="K972" t="str" s="15">
        <f aca="0">IF(COUNTA(B972:J972)=0,"",IF(R972&lt;&gt;"","확인필요(입력누락)",IF(COUNTIFS(보유목록!$I$2:$I$3001,"*"&amp;P972&amp;"*",보유목록!$I$2:$I$3001,"*"&amp;Q972&amp;"*",보유목록!$H$2:$H$3001,O972)&gt;0,"있음",IF(COUNTIFS(보유목록!$I$2:$I$3001,"*"&amp;P972&amp;"*",보유목록!$I$2:$I$3001,"*"&amp;Q972&amp;"*")&gt;0,"확인필요(연도다름)",IF(COUNTIFS(보유목록!$I$2:$I$3001,"*"&amp;P972&amp;"*",보유목록!$H$2:$H$3001,O972)&gt;0,"확인필요(같은학교·같은연도)","없음")))))</f>
      </c>
      <c r="L972" t="str" s="16">
        <f aca="0">IF(OR(COUNTA(B972:J972)=0,R972&lt;&gt;""),"",COUNTIFS(보유목록!$I$2:$I$3001,"*"&amp;P972&amp;"*",보유목록!$I$2:$I$3001,"*"&amp;Q972&amp;"*"))</f>
      </c>
      <c r="M972" t="str" s="23">
        <f aca="0">IF(OR(COUNTA(B972:J972)=0,R972&lt;&gt;""),"",IFERROR(LOOKUP(2,1/(ISNUMBER(SEARCH(P972,보유목록!$I$2:$I$3001))*ISNUMBER(SEARCH(Q972,보유목록!$I$2:$I$3001))*(보유목록!$H$2:$H$3001=O972)),보유목록!$B$2:$B$3001),IFERROR(LOOKUP(2,1/(ISNUMBER(SEARCH(P972,보유목록!$I$2:$I$3001))*ISNUMBER(SEARCH(Q972,보유목록!$I$2:$I$3001))),보유목록!$B$2:$B$3001),"")))</f>
      </c>
      <c r="N972" s="25"/>
      <c r="O972" t="str">
        <f>IFERROR(IF(AND(LEN(SUBSTITUTE(SUBSTITUTE(SUBSTITUTE(TRIM(C972&amp;""),CHAR(160),"")," ",""),"년",""))=4,VALUE(SUBSTITUTE(SUBSTITUTE(SUBSTITUTE(TRIM(C972&amp;""),CHAR(160),"")," ",""),"년",""))&gt;=1900,VALUE(SUBSTITUTE(SUBSTITUTE(SUBSTITUTE(TRIM(C972&amp;""),CHAR(160),"")," ",""),"년",""))&lt;=2099,TEXT(VALUE(SUBSTITUTE(SUBSTITUTE(SUBSTITUTE(TRIM(C972&amp;""),CHAR(160),"")," ",""),"년","")),"0000")=SUBSTITUTE(SUBSTITUTE(SUBSTITUTE(TRIM(C972&amp;""),CHAR(160),"")," ",""),"년","")),SUBSTITUTE(SUBSTITUTE(SUBSTITUTE(TRIM(C972&amp;""),CHAR(160),"")," ",""),"년",""),""),"")</f>
      </c>
      <c r="P972" t="str">
        <f>SUBSTITUTE(SUBSTITUTE(SUBSTITUTE(SUBSTITUTE(SUBSTITUTE(SUBSTITUTE(SUBSTITUTE(SUBSTITUTE(TRIM(D972&amp;""),CHAR(160),"")," ",""),"초등학교","초"),"중학교","중"),"고등학교","고"),"~","~~"),"*","~*"),"?","~?")</f>
      </c>
      <c r="Q972" t="str">
        <f>SUBSTITUTE(SUBSTITUTE(SUBSTITUTE(SUBSTITUTE(SUBSTITUTE(SUBSTITUTE(SUBSTITUTE(SUBSTITUTE(TRIM(E972&amp;""),CHAR(160),"")," ",""),"초등학교","초"),"중학교","중"),"고등학교","고"),"~","~~"),"*","~*"),"?","~?")</f>
      </c>
      <c r="R972" t="str">
        <f>IF(COUNTA(B972:J972)=0,"",IF(AND(O972&lt;&gt;"",P972&lt;&gt;"",Q972&lt;&gt;""),"","입력누락"))</f>
      </c>
    </row>
    <row r="973" customFormat="false" ht="15" hidden="false" customHeight="false" outlineLevel="0" collapsed="false">
      <c r="A973" t="n" s="19">
        <f aca="0">IF(COUNTA(B973:J973)=0,"",ROW()-1)</f>
      </c>
      <c r="B973" s="24"/>
      <c r="C973" s="25"/>
      <c r="D973" s="8"/>
      <c r="E973" s="8"/>
      <c r="F973" s="26"/>
      <c r="G973" s="24"/>
      <c r="H973" s="25"/>
      <c r="I973" s="25"/>
      <c r="J973" s="26"/>
      <c r="K973" t="str" s="15">
        <f aca="0">IF(COUNTA(B973:J973)=0,"",IF(R973&lt;&gt;"","확인필요(입력누락)",IF(COUNTIFS(보유목록!$I$2:$I$3001,"*"&amp;P973&amp;"*",보유목록!$I$2:$I$3001,"*"&amp;Q973&amp;"*",보유목록!$H$2:$H$3001,O973)&gt;0,"있음",IF(COUNTIFS(보유목록!$I$2:$I$3001,"*"&amp;P973&amp;"*",보유목록!$I$2:$I$3001,"*"&amp;Q973&amp;"*")&gt;0,"확인필요(연도다름)",IF(COUNTIFS(보유목록!$I$2:$I$3001,"*"&amp;P973&amp;"*",보유목록!$H$2:$H$3001,O973)&gt;0,"확인필요(같은학교·같은연도)","없음")))))</f>
      </c>
      <c r="L973" t="str" s="16">
        <f aca="0">IF(OR(COUNTA(B973:J973)=0,R973&lt;&gt;""),"",COUNTIFS(보유목록!$I$2:$I$3001,"*"&amp;P973&amp;"*",보유목록!$I$2:$I$3001,"*"&amp;Q973&amp;"*"))</f>
      </c>
      <c r="M973" t="str" s="23">
        <f aca="0">IF(OR(COUNTA(B973:J973)=0,R973&lt;&gt;""),"",IFERROR(LOOKUP(2,1/(ISNUMBER(SEARCH(P973,보유목록!$I$2:$I$3001))*ISNUMBER(SEARCH(Q973,보유목록!$I$2:$I$3001))*(보유목록!$H$2:$H$3001=O973)),보유목록!$B$2:$B$3001),IFERROR(LOOKUP(2,1/(ISNUMBER(SEARCH(P973,보유목록!$I$2:$I$3001))*ISNUMBER(SEARCH(Q973,보유목록!$I$2:$I$3001))),보유목록!$B$2:$B$3001),"")))</f>
      </c>
      <c r="N973" s="25"/>
      <c r="O973" t="str">
        <f>IFERROR(IF(AND(LEN(SUBSTITUTE(SUBSTITUTE(SUBSTITUTE(TRIM(C973&amp;""),CHAR(160),"")," ",""),"년",""))=4,VALUE(SUBSTITUTE(SUBSTITUTE(SUBSTITUTE(TRIM(C973&amp;""),CHAR(160),"")," ",""),"년",""))&gt;=1900,VALUE(SUBSTITUTE(SUBSTITUTE(SUBSTITUTE(TRIM(C973&amp;""),CHAR(160),"")," ",""),"년",""))&lt;=2099,TEXT(VALUE(SUBSTITUTE(SUBSTITUTE(SUBSTITUTE(TRIM(C973&amp;""),CHAR(160),"")," ",""),"년","")),"0000")=SUBSTITUTE(SUBSTITUTE(SUBSTITUTE(TRIM(C973&amp;""),CHAR(160),"")," ",""),"년","")),SUBSTITUTE(SUBSTITUTE(SUBSTITUTE(TRIM(C973&amp;""),CHAR(160),"")," ",""),"년",""),""),"")</f>
      </c>
      <c r="P973" t="str">
        <f>SUBSTITUTE(SUBSTITUTE(SUBSTITUTE(SUBSTITUTE(SUBSTITUTE(SUBSTITUTE(SUBSTITUTE(SUBSTITUTE(TRIM(D973&amp;""),CHAR(160),"")," ",""),"초등학교","초"),"중학교","중"),"고등학교","고"),"~","~~"),"*","~*"),"?","~?")</f>
      </c>
      <c r="Q973" t="str">
        <f>SUBSTITUTE(SUBSTITUTE(SUBSTITUTE(SUBSTITUTE(SUBSTITUTE(SUBSTITUTE(SUBSTITUTE(SUBSTITUTE(TRIM(E973&amp;""),CHAR(160),"")," ",""),"초등학교","초"),"중학교","중"),"고등학교","고"),"~","~~"),"*","~*"),"?","~?")</f>
      </c>
      <c r="R973" t="str">
        <f>IF(COUNTA(B973:J973)=0,"",IF(AND(O973&lt;&gt;"",P973&lt;&gt;"",Q973&lt;&gt;""),"","입력누락"))</f>
      </c>
    </row>
    <row r="974" customFormat="false" ht="15" hidden="false" customHeight="false" outlineLevel="0" collapsed="false">
      <c r="A974" t="n" s="19">
        <f aca="0">IF(COUNTA(B974:J974)=0,"",ROW()-1)</f>
      </c>
      <c r="B974" s="24"/>
      <c r="C974" s="25"/>
      <c r="D974" s="8"/>
      <c r="E974" s="8"/>
      <c r="F974" s="26"/>
      <c r="G974" s="24"/>
      <c r="H974" s="25"/>
      <c r="I974" s="25"/>
      <c r="J974" s="26"/>
      <c r="K974" t="str" s="15">
        <f aca="0">IF(COUNTA(B974:J974)=0,"",IF(R974&lt;&gt;"","확인필요(입력누락)",IF(COUNTIFS(보유목록!$I$2:$I$3001,"*"&amp;P974&amp;"*",보유목록!$I$2:$I$3001,"*"&amp;Q974&amp;"*",보유목록!$H$2:$H$3001,O974)&gt;0,"있음",IF(COUNTIFS(보유목록!$I$2:$I$3001,"*"&amp;P974&amp;"*",보유목록!$I$2:$I$3001,"*"&amp;Q974&amp;"*")&gt;0,"확인필요(연도다름)",IF(COUNTIFS(보유목록!$I$2:$I$3001,"*"&amp;P974&amp;"*",보유목록!$H$2:$H$3001,O974)&gt;0,"확인필요(같은학교·같은연도)","없음")))))</f>
      </c>
      <c r="L974" t="str" s="16">
        <f aca="0">IF(OR(COUNTA(B974:J974)=0,R974&lt;&gt;""),"",COUNTIFS(보유목록!$I$2:$I$3001,"*"&amp;P974&amp;"*",보유목록!$I$2:$I$3001,"*"&amp;Q974&amp;"*"))</f>
      </c>
      <c r="M974" t="str" s="23">
        <f aca="0">IF(OR(COUNTA(B974:J974)=0,R974&lt;&gt;""),"",IFERROR(LOOKUP(2,1/(ISNUMBER(SEARCH(P974,보유목록!$I$2:$I$3001))*ISNUMBER(SEARCH(Q974,보유목록!$I$2:$I$3001))*(보유목록!$H$2:$H$3001=O974)),보유목록!$B$2:$B$3001),IFERROR(LOOKUP(2,1/(ISNUMBER(SEARCH(P974,보유목록!$I$2:$I$3001))*ISNUMBER(SEARCH(Q974,보유목록!$I$2:$I$3001))),보유목록!$B$2:$B$3001),"")))</f>
      </c>
      <c r="N974" s="25"/>
      <c r="O974" t="str">
        <f>IFERROR(IF(AND(LEN(SUBSTITUTE(SUBSTITUTE(SUBSTITUTE(TRIM(C974&amp;""),CHAR(160),"")," ",""),"년",""))=4,VALUE(SUBSTITUTE(SUBSTITUTE(SUBSTITUTE(TRIM(C974&amp;""),CHAR(160),"")," ",""),"년",""))&gt;=1900,VALUE(SUBSTITUTE(SUBSTITUTE(SUBSTITUTE(TRIM(C974&amp;""),CHAR(160),"")," ",""),"년",""))&lt;=2099,TEXT(VALUE(SUBSTITUTE(SUBSTITUTE(SUBSTITUTE(TRIM(C974&amp;""),CHAR(160),"")," ",""),"년","")),"0000")=SUBSTITUTE(SUBSTITUTE(SUBSTITUTE(TRIM(C974&amp;""),CHAR(160),"")," ",""),"년","")),SUBSTITUTE(SUBSTITUTE(SUBSTITUTE(TRIM(C974&amp;""),CHAR(160),"")," ",""),"년",""),""),"")</f>
      </c>
      <c r="P974" t="str">
        <f>SUBSTITUTE(SUBSTITUTE(SUBSTITUTE(SUBSTITUTE(SUBSTITUTE(SUBSTITUTE(SUBSTITUTE(SUBSTITUTE(TRIM(D974&amp;""),CHAR(160),"")," ",""),"초등학교","초"),"중학교","중"),"고등학교","고"),"~","~~"),"*","~*"),"?","~?")</f>
      </c>
      <c r="Q974" t="str">
        <f>SUBSTITUTE(SUBSTITUTE(SUBSTITUTE(SUBSTITUTE(SUBSTITUTE(SUBSTITUTE(SUBSTITUTE(SUBSTITUTE(TRIM(E974&amp;""),CHAR(160),"")," ",""),"초등학교","초"),"중학교","중"),"고등학교","고"),"~","~~"),"*","~*"),"?","~?")</f>
      </c>
      <c r="R974" t="str">
        <f>IF(COUNTA(B974:J974)=0,"",IF(AND(O974&lt;&gt;"",P974&lt;&gt;"",Q974&lt;&gt;""),"","입력누락"))</f>
      </c>
    </row>
    <row r="975" customFormat="false" ht="15" hidden="false" customHeight="false" outlineLevel="0" collapsed="false">
      <c r="A975" t="n" s="19">
        <f aca="0">IF(COUNTA(B975:J975)=0,"",ROW()-1)</f>
      </c>
      <c r="B975" s="24"/>
      <c r="C975" s="25"/>
      <c r="D975" s="8"/>
      <c r="E975" s="8"/>
      <c r="F975" s="26"/>
      <c r="G975" s="24"/>
      <c r="H975" s="25"/>
      <c r="I975" s="25"/>
      <c r="J975" s="26"/>
      <c r="K975" t="str" s="15">
        <f aca="0">IF(COUNTA(B975:J975)=0,"",IF(R975&lt;&gt;"","확인필요(입력누락)",IF(COUNTIFS(보유목록!$I$2:$I$3001,"*"&amp;P975&amp;"*",보유목록!$I$2:$I$3001,"*"&amp;Q975&amp;"*",보유목록!$H$2:$H$3001,O975)&gt;0,"있음",IF(COUNTIFS(보유목록!$I$2:$I$3001,"*"&amp;P975&amp;"*",보유목록!$I$2:$I$3001,"*"&amp;Q975&amp;"*")&gt;0,"확인필요(연도다름)",IF(COUNTIFS(보유목록!$I$2:$I$3001,"*"&amp;P975&amp;"*",보유목록!$H$2:$H$3001,O975)&gt;0,"확인필요(같은학교·같은연도)","없음")))))</f>
      </c>
      <c r="L975" t="str" s="16">
        <f aca="0">IF(OR(COUNTA(B975:J975)=0,R975&lt;&gt;""),"",COUNTIFS(보유목록!$I$2:$I$3001,"*"&amp;P975&amp;"*",보유목록!$I$2:$I$3001,"*"&amp;Q975&amp;"*"))</f>
      </c>
      <c r="M975" t="str" s="23">
        <f aca="0">IF(OR(COUNTA(B975:J975)=0,R975&lt;&gt;""),"",IFERROR(LOOKUP(2,1/(ISNUMBER(SEARCH(P975,보유목록!$I$2:$I$3001))*ISNUMBER(SEARCH(Q975,보유목록!$I$2:$I$3001))*(보유목록!$H$2:$H$3001=O975)),보유목록!$B$2:$B$3001),IFERROR(LOOKUP(2,1/(ISNUMBER(SEARCH(P975,보유목록!$I$2:$I$3001))*ISNUMBER(SEARCH(Q975,보유목록!$I$2:$I$3001))),보유목록!$B$2:$B$3001),"")))</f>
      </c>
      <c r="N975" s="25"/>
      <c r="O975" t="str">
        <f>IFERROR(IF(AND(LEN(SUBSTITUTE(SUBSTITUTE(SUBSTITUTE(TRIM(C975&amp;""),CHAR(160),"")," ",""),"년",""))=4,VALUE(SUBSTITUTE(SUBSTITUTE(SUBSTITUTE(TRIM(C975&amp;""),CHAR(160),"")," ",""),"년",""))&gt;=1900,VALUE(SUBSTITUTE(SUBSTITUTE(SUBSTITUTE(TRIM(C975&amp;""),CHAR(160),"")," ",""),"년",""))&lt;=2099,TEXT(VALUE(SUBSTITUTE(SUBSTITUTE(SUBSTITUTE(TRIM(C975&amp;""),CHAR(160),"")," ",""),"년","")),"0000")=SUBSTITUTE(SUBSTITUTE(SUBSTITUTE(TRIM(C975&amp;""),CHAR(160),"")," ",""),"년","")),SUBSTITUTE(SUBSTITUTE(SUBSTITUTE(TRIM(C975&amp;""),CHAR(160),"")," ",""),"년",""),""),"")</f>
      </c>
      <c r="P975" t="str">
        <f>SUBSTITUTE(SUBSTITUTE(SUBSTITUTE(SUBSTITUTE(SUBSTITUTE(SUBSTITUTE(SUBSTITUTE(SUBSTITUTE(TRIM(D975&amp;""),CHAR(160),"")," ",""),"초등학교","초"),"중학교","중"),"고등학교","고"),"~","~~"),"*","~*"),"?","~?")</f>
      </c>
      <c r="Q975" t="str">
        <f>SUBSTITUTE(SUBSTITUTE(SUBSTITUTE(SUBSTITUTE(SUBSTITUTE(SUBSTITUTE(SUBSTITUTE(SUBSTITUTE(TRIM(E975&amp;""),CHAR(160),"")," ",""),"초등학교","초"),"중학교","중"),"고등학교","고"),"~","~~"),"*","~*"),"?","~?")</f>
      </c>
      <c r="R975" t="str">
        <f>IF(COUNTA(B975:J975)=0,"",IF(AND(O975&lt;&gt;"",P975&lt;&gt;"",Q975&lt;&gt;""),"","입력누락"))</f>
      </c>
    </row>
    <row r="976" customFormat="false" ht="15" hidden="false" customHeight="false" outlineLevel="0" collapsed="false">
      <c r="A976" t="n" s="19">
        <f aca="0">IF(COUNTA(B976:J976)=0,"",ROW()-1)</f>
      </c>
      <c r="B976" s="24"/>
      <c r="C976" s="25"/>
      <c r="D976" s="8"/>
      <c r="E976" s="8"/>
      <c r="F976" s="26"/>
      <c r="G976" s="24"/>
      <c r="H976" s="25"/>
      <c r="I976" s="25"/>
      <c r="J976" s="26"/>
      <c r="K976" t="str" s="15">
        <f aca="0">IF(COUNTA(B976:J976)=0,"",IF(R976&lt;&gt;"","확인필요(입력누락)",IF(COUNTIFS(보유목록!$I$2:$I$3001,"*"&amp;P976&amp;"*",보유목록!$I$2:$I$3001,"*"&amp;Q976&amp;"*",보유목록!$H$2:$H$3001,O976)&gt;0,"있음",IF(COUNTIFS(보유목록!$I$2:$I$3001,"*"&amp;P976&amp;"*",보유목록!$I$2:$I$3001,"*"&amp;Q976&amp;"*")&gt;0,"확인필요(연도다름)",IF(COUNTIFS(보유목록!$I$2:$I$3001,"*"&amp;P976&amp;"*",보유목록!$H$2:$H$3001,O976)&gt;0,"확인필요(같은학교·같은연도)","없음")))))</f>
      </c>
      <c r="L976" t="str" s="16">
        <f aca="0">IF(OR(COUNTA(B976:J976)=0,R976&lt;&gt;""),"",COUNTIFS(보유목록!$I$2:$I$3001,"*"&amp;P976&amp;"*",보유목록!$I$2:$I$3001,"*"&amp;Q976&amp;"*"))</f>
      </c>
      <c r="M976" t="str" s="23">
        <f aca="0">IF(OR(COUNTA(B976:J976)=0,R976&lt;&gt;""),"",IFERROR(LOOKUP(2,1/(ISNUMBER(SEARCH(P976,보유목록!$I$2:$I$3001))*ISNUMBER(SEARCH(Q976,보유목록!$I$2:$I$3001))*(보유목록!$H$2:$H$3001=O976)),보유목록!$B$2:$B$3001),IFERROR(LOOKUP(2,1/(ISNUMBER(SEARCH(P976,보유목록!$I$2:$I$3001))*ISNUMBER(SEARCH(Q976,보유목록!$I$2:$I$3001))),보유목록!$B$2:$B$3001),"")))</f>
      </c>
      <c r="N976" s="25"/>
      <c r="O976" t="str">
        <f>IFERROR(IF(AND(LEN(SUBSTITUTE(SUBSTITUTE(SUBSTITUTE(TRIM(C976&amp;""),CHAR(160),"")," ",""),"년",""))=4,VALUE(SUBSTITUTE(SUBSTITUTE(SUBSTITUTE(TRIM(C976&amp;""),CHAR(160),"")," ",""),"년",""))&gt;=1900,VALUE(SUBSTITUTE(SUBSTITUTE(SUBSTITUTE(TRIM(C976&amp;""),CHAR(160),"")," ",""),"년",""))&lt;=2099,TEXT(VALUE(SUBSTITUTE(SUBSTITUTE(SUBSTITUTE(TRIM(C976&amp;""),CHAR(160),"")," ",""),"년","")),"0000")=SUBSTITUTE(SUBSTITUTE(SUBSTITUTE(TRIM(C976&amp;""),CHAR(160),"")," ",""),"년","")),SUBSTITUTE(SUBSTITUTE(SUBSTITUTE(TRIM(C976&amp;""),CHAR(160),"")," ",""),"년",""),""),"")</f>
      </c>
      <c r="P976" t="str">
        <f>SUBSTITUTE(SUBSTITUTE(SUBSTITUTE(SUBSTITUTE(SUBSTITUTE(SUBSTITUTE(SUBSTITUTE(SUBSTITUTE(TRIM(D976&amp;""),CHAR(160),"")," ",""),"초등학교","초"),"중학교","중"),"고등학교","고"),"~","~~"),"*","~*"),"?","~?")</f>
      </c>
      <c r="Q976" t="str">
        <f>SUBSTITUTE(SUBSTITUTE(SUBSTITUTE(SUBSTITUTE(SUBSTITUTE(SUBSTITUTE(SUBSTITUTE(SUBSTITUTE(TRIM(E976&amp;""),CHAR(160),"")," ",""),"초등학교","초"),"중학교","중"),"고등학교","고"),"~","~~"),"*","~*"),"?","~?")</f>
      </c>
      <c r="R976" t="str">
        <f>IF(COUNTA(B976:J976)=0,"",IF(AND(O976&lt;&gt;"",P976&lt;&gt;"",Q976&lt;&gt;""),"","입력누락"))</f>
      </c>
    </row>
    <row r="977" customFormat="false" ht="15" hidden="false" customHeight="false" outlineLevel="0" collapsed="false">
      <c r="A977" t="n" s="19">
        <f aca="0">IF(COUNTA(B977:J977)=0,"",ROW()-1)</f>
      </c>
      <c r="B977" s="24"/>
      <c r="C977" s="25"/>
      <c r="D977" s="8"/>
      <c r="E977" s="8"/>
      <c r="F977" s="26"/>
      <c r="G977" s="24"/>
      <c r="H977" s="25"/>
      <c r="I977" s="25"/>
      <c r="J977" s="26"/>
      <c r="K977" t="str" s="15">
        <f aca="0">IF(COUNTA(B977:J977)=0,"",IF(R977&lt;&gt;"","확인필요(입력누락)",IF(COUNTIFS(보유목록!$I$2:$I$3001,"*"&amp;P977&amp;"*",보유목록!$I$2:$I$3001,"*"&amp;Q977&amp;"*",보유목록!$H$2:$H$3001,O977)&gt;0,"있음",IF(COUNTIFS(보유목록!$I$2:$I$3001,"*"&amp;P977&amp;"*",보유목록!$I$2:$I$3001,"*"&amp;Q977&amp;"*")&gt;0,"확인필요(연도다름)",IF(COUNTIFS(보유목록!$I$2:$I$3001,"*"&amp;P977&amp;"*",보유목록!$H$2:$H$3001,O977)&gt;0,"확인필요(같은학교·같은연도)","없음")))))</f>
      </c>
      <c r="L977" t="str" s="16">
        <f aca="0">IF(OR(COUNTA(B977:J977)=0,R977&lt;&gt;""),"",COUNTIFS(보유목록!$I$2:$I$3001,"*"&amp;P977&amp;"*",보유목록!$I$2:$I$3001,"*"&amp;Q977&amp;"*"))</f>
      </c>
      <c r="M977" t="str" s="23">
        <f aca="0">IF(OR(COUNTA(B977:J977)=0,R977&lt;&gt;""),"",IFERROR(LOOKUP(2,1/(ISNUMBER(SEARCH(P977,보유목록!$I$2:$I$3001))*ISNUMBER(SEARCH(Q977,보유목록!$I$2:$I$3001))*(보유목록!$H$2:$H$3001=O977)),보유목록!$B$2:$B$3001),IFERROR(LOOKUP(2,1/(ISNUMBER(SEARCH(P977,보유목록!$I$2:$I$3001))*ISNUMBER(SEARCH(Q977,보유목록!$I$2:$I$3001))),보유목록!$B$2:$B$3001),"")))</f>
      </c>
      <c r="N977" s="25"/>
      <c r="O977" t="str">
        <f>IFERROR(IF(AND(LEN(SUBSTITUTE(SUBSTITUTE(SUBSTITUTE(TRIM(C977&amp;""),CHAR(160),"")," ",""),"년",""))=4,VALUE(SUBSTITUTE(SUBSTITUTE(SUBSTITUTE(TRIM(C977&amp;""),CHAR(160),"")," ",""),"년",""))&gt;=1900,VALUE(SUBSTITUTE(SUBSTITUTE(SUBSTITUTE(TRIM(C977&amp;""),CHAR(160),"")," ",""),"년",""))&lt;=2099,TEXT(VALUE(SUBSTITUTE(SUBSTITUTE(SUBSTITUTE(TRIM(C977&amp;""),CHAR(160),"")," ",""),"년","")),"0000")=SUBSTITUTE(SUBSTITUTE(SUBSTITUTE(TRIM(C977&amp;""),CHAR(160),"")," ",""),"년","")),SUBSTITUTE(SUBSTITUTE(SUBSTITUTE(TRIM(C977&amp;""),CHAR(160),"")," ",""),"년",""),""),"")</f>
      </c>
      <c r="P977" t="str">
        <f>SUBSTITUTE(SUBSTITUTE(SUBSTITUTE(SUBSTITUTE(SUBSTITUTE(SUBSTITUTE(SUBSTITUTE(SUBSTITUTE(TRIM(D977&amp;""),CHAR(160),"")," ",""),"초등학교","초"),"중학교","중"),"고등학교","고"),"~","~~"),"*","~*"),"?","~?")</f>
      </c>
      <c r="Q977" t="str">
        <f>SUBSTITUTE(SUBSTITUTE(SUBSTITUTE(SUBSTITUTE(SUBSTITUTE(SUBSTITUTE(SUBSTITUTE(SUBSTITUTE(TRIM(E977&amp;""),CHAR(160),"")," ",""),"초등학교","초"),"중학교","중"),"고등학교","고"),"~","~~"),"*","~*"),"?","~?")</f>
      </c>
      <c r="R977" t="str">
        <f>IF(COUNTA(B977:J977)=0,"",IF(AND(O977&lt;&gt;"",P977&lt;&gt;"",Q977&lt;&gt;""),"","입력누락"))</f>
      </c>
    </row>
    <row r="978" customFormat="false" ht="15" hidden="false" customHeight="false" outlineLevel="0" collapsed="false">
      <c r="A978" t="n" s="19">
        <f aca="0">IF(COUNTA(B978:J978)=0,"",ROW()-1)</f>
      </c>
      <c r="B978" s="24"/>
      <c r="C978" s="25"/>
      <c r="D978" s="8"/>
      <c r="E978" s="8"/>
      <c r="F978" s="26"/>
      <c r="G978" s="24"/>
      <c r="H978" s="25"/>
      <c r="I978" s="25"/>
      <c r="J978" s="26"/>
      <c r="K978" t="str" s="15">
        <f aca="0">IF(COUNTA(B978:J978)=0,"",IF(R978&lt;&gt;"","확인필요(입력누락)",IF(COUNTIFS(보유목록!$I$2:$I$3001,"*"&amp;P978&amp;"*",보유목록!$I$2:$I$3001,"*"&amp;Q978&amp;"*",보유목록!$H$2:$H$3001,O978)&gt;0,"있음",IF(COUNTIFS(보유목록!$I$2:$I$3001,"*"&amp;P978&amp;"*",보유목록!$I$2:$I$3001,"*"&amp;Q978&amp;"*")&gt;0,"확인필요(연도다름)",IF(COUNTIFS(보유목록!$I$2:$I$3001,"*"&amp;P978&amp;"*",보유목록!$H$2:$H$3001,O978)&gt;0,"확인필요(같은학교·같은연도)","없음")))))</f>
      </c>
      <c r="L978" t="str" s="16">
        <f aca="0">IF(OR(COUNTA(B978:J978)=0,R978&lt;&gt;""),"",COUNTIFS(보유목록!$I$2:$I$3001,"*"&amp;P978&amp;"*",보유목록!$I$2:$I$3001,"*"&amp;Q978&amp;"*"))</f>
      </c>
      <c r="M978" t="str" s="23">
        <f aca="0">IF(OR(COUNTA(B978:J978)=0,R978&lt;&gt;""),"",IFERROR(LOOKUP(2,1/(ISNUMBER(SEARCH(P978,보유목록!$I$2:$I$3001))*ISNUMBER(SEARCH(Q978,보유목록!$I$2:$I$3001))*(보유목록!$H$2:$H$3001=O978)),보유목록!$B$2:$B$3001),IFERROR(LOOKUP(2,1/(ISNUMBER(SEARCH(P978,보유목록!$I$2:$I$3001))*ISNUMBER(SEARCH(Q978,보유목록!$I$2:$I$3001))),보유목록!$B$2:$B$3001),"")))</f>
      </c>
      <c r="N978" s="25"/>
      <c r="O978" t="str">
        <f>IFERROR(IF(AND(LEN(SUBSTITUTE(SUBSTITUTE(SUBSTITUTE(TRIM(C978&amp;""),CHAR(160),"")," ",""),"년",""))=4,VALUE(SUBSTITUTE(SUBSTITUTE(SUBSTITUTE(TRIM(C978&amp;""),CHAR(160),"")," ",""),"년",""))&gt;=1900,VALUE(SUBSTITUTE(SUBSTITUTE(SUBSTITUTE(TRIM(C978&amp;""),CHAR(160),"")," ",""),"년",""))&lt;=2099,TEXT(VALUE(SUBSTITUTE(SUBSTITUTE(SUBSTITUTE(TRIM(C978&amp;""),CHAR(160),"")," ",""),"년","")),"0000")=SUBSTITUTE(SUBSTITUTE(SUBSTITUTE(TRIM(C978&amp;""),CHAR(160),"")," ",""),"년","")),SUBSTITUTE(SUBSTITUTE(SUBSTITUTE(TRIM(C978&amp;""),CHAR(160),"")," ",""),"년",""),""),"")</f>
      </c>
      <c r="P978" t="str">
        <f>SUBSTITUTE(SUBSTITUTE(SUBSTITUTE(SUBSTITUTE(SUBSTITUTE(SUBSTITUTE(SUBSTITUTE(SUBSTITUTE(TRIM(D978&amp;""),CHAR(160),"")," ",""),"초등학교","초"),"중학교","중"),"고등학교","고"),"~","~~"),"*","~*"),"?","~?")</f>
      </c>
      <c r="Q978" t="str">
        <f>SUBSTITUTE(SUBSTITUTE(SUBSTITUTE(SUBSTITUTE(SUBSTITUTE(SUBSTITUTE(SUBSTITUTE(SUBSTITUTE(TRIM(E978&amp;""),CHAR(160),"")," ",""),"초등학교","초"),"중학교","중"),"고등학교","고"),"~","~~"),"*","~*"),"?","~?")</f>
      </c>
      <c r="R978" t="str">
        <f>IF(COUNTA(B978:J978)=0,"",IF(AND(O978&lt;&gt;"",P978&lt;&gt;"",Q978&lt;&gt;""),"","입력누락"))</f>
      </c>
    </row>
    <row r="979" customFormat="false" ht="15" hidden="false" customHeight="false" outlineLevel="0" collapsed="false">
      <c r="A979" t="n" s="19">
        <f aca="0">IF(COUNTA(B979:J979)=0,"",ROW()-1)</f>
      </c>
      <c r="B979" s="24"/>
      <c r="C979" s="25"/>
      <c r="D979" s="8"/>
      <c r="E979" s="8"/>
      <c r="F979" s="26"/>
      <c r="G979" s="24"/>
      <c r="H979" s="25"/>
      <c r="I979" s="25"/>
      <c r="J979" s="26"/>
      <c r="K979" t="str" s="15">
        <f aca="0">IF(COUNTA(B979:J979)=0,"",IF(R979&lt;&gt;"","확인필요(입력누락)",IF(COUNTIFS(보유목록!$I$2:$I$3001,"*"&amp;P979&amp;"*",보유목록!$I$2:$I$3001,"*"&amp;Q979&amp;"*",보유목록!$H$2:$H$3001,O979)&gt;0,"있음",IF(COUNTIFS(보유목록!$I$2:$I$3001,"*"&amp;P979&amp;"*",보유목록!$I$2:$I$3001,"*"&amp;Q979&amp;"*")&gt;0,"확인필요(연도다름)",IF(COUNTIFS(보유목록!$I$2:$I$3001,"*"&amp;P979&amp;"*",보유목록!$H$2:$H$3001,O979)&gt;0,"확인필요(같은학교·같은연도)","없음")))))</f>
      </c>
      <c r="L979" t="str" s="16">
        <f aca="0">IF(OR(COUNTA(B979:J979)=0,R979&lt;&gt;""),"",COUNTIFS(보유목록!$I$2:$I$3001,"*"&amp;P979&amp;"*",보유목록!$I$2:$I$3001,"*"&amp;Q979&amp;"*"))</f>
      </c>
      <c r="M979" t="str" s="23">
        <f aca="0">IF(OR(COUNTA(B979:J979)=0,R979&lt;&gt;""),"",IFERROR(LOOKUP(2,1/(ISNUMBER(SEARCH(P979,보유목록!$I$2:$I$3001))*ISNUMBER(SEARCH(Q979,보유목록!$I$2:$I$3001))*(보유목록!$H$2:$H$3001=O979)),보유목록!$B$2:$B$3001),IFERROR(LOOKUP(2,1/(ISNUMBER(SEARCH(P979,보유목록!$I$2:$I$3001))*ISNUMBER(SEARCH(Q979,보유목록!$I$2:$I$3001))),보유목록!$B$2:$B$3001),"")))</f>
      </c>
      <c r="N979" s="25"/>
      <c r="O979" t="str">
        <f>IFERROR(IF(AND(LEN(SUBSTITUTE(SUBSTITUTE(SUBSTITUTE(TRIM(C979&amp;""),CHAR(160),"")," ",""),"년",""))=4,VALUE(SUBSTITUTE(SUBSTITUTE(SUBSTITUTE(TRIM(C979&amp;""),CHAR(160),"")," ",""),"년",""))&gt;=1900,VALUE(SUBSTITUTE(SUBSTITUTE(SUBSTITUTE(TRIM(C979&amp;""),CHAR(160),"")," ",""),"년",""))&lt;=2099,TEXT(VALUE(SUBSTITUTE(SUBSTITUTE(SUBSTITUTE(TRIM(C979&amp;""),CHAR(160),"")," ",""),"년","")),"0000")=SUBSTITUTE(SUBSTITUTE(SUBSTITUTE(TRIM(C979&amp;""),CHAR(160),"")," ",""),"년","")),SUBSTITUTE(SUBSTITUTE(SUBSTITUTE(TRIM(C979&amp;""),CHAR(160),"")," ",""),"년",""),""),"")</f>
      </c>
      <c r="P979" t="str">
        <f>SUBSTITUTE(SUBSTITUTE(SUBSTITUTE(SUBSTITUTE(SUBSTITUTE(SUBSTITUTE(SUBSTITUTE(SUBSTITUTE(TRIM(D979&amp;""),CHAR(160),"")," ",""),"초등학교","초"),"중학교","중"),"고등학교","고"),"~","~~"),"*","~*"),"?","~?")</f>
      </c>
      <c r="Q979" t="str">
        <f>SUBSTITUTE(SUBSTITUTE(SUBSTITUTE(SUBSTITUTE(SUBSTITUTE(SUBSTITUTE(SUBSTITUTE(SUBSTITUTE(TRIM(E979&amp;""),CHAR(160),"")," ",""),"초등학교","초"),"중학교","중"),"고등학교","고"),"~","~~"),"*","~*"),"?","~?")</f>
      </c>
      <c r="R979" t="str">
        <f>IF(COUNTA(B979:J979)=0,"",IF(AND(O979&lt;&gt;"",P979&lt;&gt;"",Q979&lt;&gt;""),"","입력누락"))</f>
      </c>
    </row>
    <row r="980" customFormat="false" ht="15" hidden="false" customHeight="false" outlineLevel="0" collapsed="false">
      <c r="A980" t="n" s="19">
        <f aca="0">IF(COUNTA(B980:J980)=0,"",ROW()-1)</f>
      </c>
      <c r="B980" s="24"/>
      <c r="C980" s="25"/>
      <c r="D980" s="8"/>
      <c r="E980" s="8"/>
      <c r="F980" s="26"/>
      <c r="G980" s="24"/>
      <c r="H980" s="25"/>
      <c r="I980" s="25"/>
      <c r="J980" s="26"/>
      <c r="K980" t="str" s="15">
        <f aca="0">IF(COUNTA(B980:J980)=0,"",IF(R980&lt;&gt;"","확인필요(입력누락)",IF(COUNTIFS(보유목록!$I$2:$I$3001,"*"&amp;P980&amp;"*",보유목록!$I$2:$I$3001,"*"&amp;Q980&amp;"*",보유목록!$H$2:$H$3001,O980)&gt;0,"있음",IF(COUNTIFS(보유목록!$I$2:$I$3001,"*"&amp;P980&amp;"*",보유목록!$I$2:$I$3001,"*"&amp;Q980&amp;"*")&gt;0,"확인필요(연도다름)",IF(COUNTIFS(보유목록!$I$2:$I$3001,"*"&amp;P980&amp;"*",보유목록!$H$2:$H$3001,O980)&gt;0,"확인필요(같은학교·같은연도)","없음")))))</f>
      </c>
      <c r="L980" t="str" s="16">
        <f aca="0">IF(OR(COUNTA(B980:J980)=0,R980&lt;&gt;""),"",COUNTIFS(보유목록!$I$2:$I$3001,"*"&amp;P980&amp;"*",보유목록!$I$2:$I$3001,"*"&amp;Q980&amp;"*"))</f>
      </c>
      <c r="M980" t="str" s="23">
        <f aca="0">IF(OR(COUNTA(B980:J980)=0,R980&lt;&gt;""),"",IFERROR(LOOKUP(2,1/(ISNUMBER(SEARCH(P980,보유목록!$I$2:$I$3001))*ISNUMBER(SEARCH(Q980,보유목록!$I$2:$I$3001))*(보유목록!$H$2:$H$3001=O980)),보유목록!$B$2:$B$3001),IFERROR(LOOKUP(2,1/(ISNUMBER(SEARCH(P980,보유목록!$I$2:$I$3001))*ISNUMBER(SEARCH(Q980,보유목록!$I$2:$I$3001))),보유목록!$B$2:$B$3001),"")))</f>
      </c>
      <c r="N980" s="25"/>
      <c r="O980" t="str">
        <f>IFERROR(IF(AND(LEN(SUBSTITUTE(SUBSTITUTE(SUBSTITUTE(TRIM(C980&amp;""),CHAR(160),"")," ",""),"년",""))=4,VALUE(SUBSTITUTE(SUBSTITUTE(SUBSTITUTE(TRIM(C980&amp;""),CHAR(160),"")," ",""),"년",""))&gt;=1900,VALUE(SUBSTITUTE(SUBSTITUTE(SUBSTITUTE(TRIM(C980&amp;""),CHAR(160),"")," ",""),"년",""))&lt;=2099,TEXT(VALUE(SUBSTITUTE(SUBSTITUTE(SUBSTITUTE(TRIM(C980&amp;""),CHAR(160),"")," ",""),"년","")),"0000")=SUBSTITUTE(SUBSTITUTE(SUBSTITUTE(TRIM(C980&amp;""),CHAR(160),"")," ",""),"년","")),SUBSTITUTE(SUBSTITUTE(SUBSTITUTE(TRIM(C980&amp;""),CHAR(160),"")," ",""),"년",""),""),"")</f>
      </c>
      <c r="P980" t="str">
        <f>SUBSTITUTE(SUBSTITUTE(SUBSTITUTE(SUBSTITUTE(SUBSTITUTE(SUBSTITUTE(SUBSTITUTE(SUBSTITUTE(TRIM(D980&amp;""),CHAR(160),"")," ",""),"초등학교","초"),"중학교","중"),"고등학교","고"),"~","~~"),"*","~*"),"?","~?")</f>
      </c>
      <c r="Q980" t="str">
        <f>SUBSTITUTE(SUBSTITUTE(SUBSTITUTE(SUBSTITUTE(SUBSTITUTE(SUBSTITUTE(SUBSTITUTE(SUBSTITUTE(TRIM(E980&amp;""),CHAR(160),"")," ",""),"초등학교","초"),"중학교","중"),"고등학교","고"),"~","~~"),"*","~*"),"?","~?")</f>
      </c>
      <c r="R980" t="str">
        <f>IF(COUNTA(B980:J980)=0,"",IF(AND(O980&lt;&gt;"",P980&lt;&gt;"",Q980&lt;&gt;""),"","입력누락"))</f>
      </c>
    </row>
    <row r="981" customFormat="false" ht="15" hidden="false" customHeight="false" outlineLevel="0" collapsed="false">
      <c r="A981" t="n" s="19">
        <f aca="0">IF(COUNTA(B981:J981)=0,"",ROW()-1)</f>
      </c>
      <c r="B981" s="24"/>
      <c r="C981" s="25"/>
      <c r="D981" s="8"/>
      <c r="E981" s="8"/>
      <c r="F981" s="26"/>
      <c r="G981" s="24"/>
      <c r="H981" s="25"/>
      <c r="I981" s="25"/>
      <c r="J981" s="26"/>
      <c r="K981" t="str" s="15">
        <f aca="0">IF(COUNTA(B981:J981)=0,"",IF(R981&lt;&gt;"","확인필요(입력누락)",IF(COUNTIFS(보유목록!$I$2:$I$3001,"*"&amp;P981&amp;"*",보유목록!$I$2:$I$3001,"*"&amp;Q981&amp;"*",보유목록!$H$2:$H$3001,O981)&gt;0,"있음",IF(COUNTIFS(보유목록!$I$2:$I$3001,"*"&amp;P981&amp;"*",보유목록!$I$2:$I$3001,"*"&amp;Q981&amp;"*")&gt;0,"확인필요(연도다름)",IF(COUNTIFS(보유목록!$I$2:$I$3001,"*"&amp;P981&amp;"*",보유목록!$H$2:$H$3001,O981)&gt;0,"확인필요(같은학교·같은연도)","없음")))))</f>
      </c>
      <c r="L981" t="str" s="16">
        <f aca="0">IF(OR(COUNTA(B981:J981)=0,R981&lt;&gt;""),"",COUNTIFS(보유목록!$I$2:$I$3001,"*"&amp;P981&amp;"*",보유목록!$I$2:$I$3001,"*"&amp;Q981&amp;"*"))</f>
      </c>
      <c r="M981" t="str" s="23">
        <f aca="0">IF(OR(COUNTA(B981:J981)=0,R981&lt;&gt;""),"",IFERROR(LOOKUP(2,1/(ISNUMBER(SEARCH(P981,보유목록!$I$2:$I$3001))*ISNUMBER(SEARCH(Q981,보유목록!$I$2:$I$3001))*(보유목록!$H$2:$H$3001=O981)),보유목록!$B$2:$B$3001),IFERROR(LOOKUP(2,1/(ISNUMBER(SEARCH(P981,보유목록!$I$2:$I$3001))*ISNUMBER(SEARCH(Q981,보유목록!$I$2:$I$3001))),보유목록!$B$2:$B$3001),"")))</f>
      </c>
      <c r="N981" s="25"/>
      <c r="O981" t="str">
        <f>IFERROR(IF(AND(LEN(SUBSTITUTE(SUBSTITUTE(SUBSTITUTE(TRIM(C981&amp;""),CHAR(160),"")," ",""),"년",""))=4,VALUE(SUBSTITUTE(SUBSTITUTE(SUBSTITUTE(TRIM(C981&amp;""),CHAR(160),"")," ",""),"년",""))&gt;=1900,VALUE(SUBSTITUTE(SUBSTITUTE(SUBSTITUTE(TRIM(C981&amp;""),CHAR(160),"")," ",""),"년",""))&lt;=2099,TEXT(VALUE(SUBSTITUTE(SUBSTITUTE(SUBSTITUTE(TRIM(C981&amp;""),CHAR(160),"")," ",""),"년","")),"0000")=SUBSTITUTE(SUBSTITUTE(SUBSTITUTE(TRIM(C981&amp;""),CHAR(160),"")," ",""),"년","")),SUBSTITUTE(SUBSTITUTE(SUBSTITUTE(TRIM(C981&amp;""),CHAR(160),"")," ",""),"년",""),""),"")</f>
      </c>
      <c r="P981" t="str">
        <f>SUBSTITUTE(SUBSTITUTE(SUBSTITUTE(SUBSTITUTE(SUBSTITUTE(SUBSTITUTE(SUBSTITUTE(SUBSTITUTE(TRIM(D981&amp;""),CHAR(160),"")," ",""),"초등학교","초"),"중학교","중"),"고등학교","고"),"~","~~"),"*","~*"),"?","~?")</f>
      </c>
      <c r="Q981" t="str">
        <f>SUBSTITUTE(SUBSTITUTE(SUBSTITUTE(SUBSTITUTE(SUBSTITUTE(SUBSTITUTE(SUBSTITUTE(SUBSTITUTE(TRIM(E981&amp;""),CHAR(160),"")," ",""),"초등학교","초"),"중학교","중"),"고등학교","고"),"~","~~"),"*","~*"),"?","~?")</f>
      </c>
      <c r="R981" t="str">
        <f>IF(COUNTA(B981:J981)=0,"",IF(AND(O981&lt;&gt;"",P981&lt;&gt;"",Q981&lt;&gt;""),"","입력누락"))</f>
      </c>
    </row>
    <row r="982" customFormat="false" ht="15" hidden="false" customHeight="false" outlineLevel="0" collapsed="false">
      <c r="A982" t="n" s="19">
        <f aca="0">IF(COUNTA(B982:J982)=0,"",ROW()-1)</f>
      </c>
      <c r="B982" s="24"/>
      <c r="C982" s="25"/>
      <c r="D982" s="8"/>
      <c r="E982" s="8"/>
      <c r="F982" s="26"/>
      <c r="G982" s="24"/>
      <c r="H982" s="25"/>
      <c r="I982" s="25"/>
      <c r="J982" s="26"/>
      <c r="K982" t="str" s="15">
        <f aca="0">IF(COUNTA(B982:J982)=0,"",IF(R982&lt;&gt;"","확인필요(입력누락)",IF(COUNTIFS(보유목록!$I$2:$I$3001,"*"&amp;P982&amp;"*",보유목록!$I$2:$I$3001,"*"&amp;Q982&amp;"*",보유목록!$H$2:$H$3001,O982)&gt;0,"있음",IF(COUNTIFS(보유목록!$I$2:$I$3001,"*"&amp;P982&amp;"*",보유목록!$I$2:$I$3001,"*"&amp;Q982&amp;"*")&gt;0,"확인필요(연도다름)",IF(COUNTIFS(보유목록!$I$2:$I$3001,"*"&amp;P982&amp;"*",보유목록!$H$2:$H$3001,O982)&gt;0,"확인필요(같은학교·같은연도)","없음")))))</f>
      </c>
      <c r="L982" t="str" s="16">
        <f aca="0">IF(OR(COUNTA(B982:J982)=0,R982&lt;&gt;""),"",COUNTIFS(보유목록!$I$2:$I$3001,"*"&amp;P982&amp;"*",보유목록!$I$2:$I$3001,"*"&amp;Q982&amp;"*"))</f>
      </c>
      <c r="M982" t="str" s="23">
        <f aca="0">IF(OR(COUNTA(B982:J982)=0,R982&lt;&gt;""),"",IFERROR(LOOKUP(2,1/(ISNUMBER(SEARCH(P982,보유목록!$I$2:$I$3001))*ISNUMBER(SEARCH(Q982,보유목록!$I$2:$I$3001))*(보유목록!$H$2:$H$3001=O982)),보유목록!$B$2:$B$3001),IFERROR(LOOKUP(2,1/(ISNUMBER(SEARCH(P982,보유목록!$I$2:$I$3001))*ISNUMBER(SEARCH(Q982,보유목록!$I$2:$I$3001))),보유목록!$B$2:$B$3001),"")))</f>
      </c>
      <c r="N982" s="25"/>
      <c r="O982" t="str">
        <f>IFERROR(IF(AND(LEN(SUBSTITUTE(SUBSTITUTE(SUBSTITUTE(TRIM(C982&amp;""),CHAR(160),"")," ",""),"년",""))=4,VALUE(SUBSTITUTE(SUBSTITUTE(SUBSTITUTE(TRIM(C982&amp;""),CHAR(160),"")," ",""),"년",""))&gt;=1900,VALUE(SUBSTITUTE(SUBSTITUTE(SUBSTITUTE(TRIM(C982&amp;""),CHAR(160),"")," ",""),"년",""))&lt;=2099,TEXT(VALUE(SUBSTITUTE(SUBSTITUTE(SUBSTITUTE(TRIM(C982&amp;""),CHAR(160),"")," ",""),"년","")),"0000")=SUBSTITUTE(SUBSTITUTE(SUBSTITUTE(TRIM(C982&amp;""),CHAR(160),"")," ",""),"년","")),SUBSTITUTE(SUBSTITUTE(SUBSTITUTE(TRIM(C982&amp;""),CHAR(160),"")," ",""),"년",""),""),"")</f>
      </c>
      <c r="P982" t="str">
        <f>SUBSTITUTE(SUBSTITUTE(SUBSTITUTE(SUBSTITUTE(SUBSTITUTE(SUBSTITUTE(SUBSTITUTE(SUBSTITUTE(TRIM(D982&amp;""),CHAR(160),"")," ",""),"초등학교","초"),"중학교","중"),"고등학교","고"),"~","~~"),"*","~*"),"?","~?")</f>
      </c>
      <c r="Q982" t="str">
        <f>SUBSTITUTE(SUBSTITUTE(SUBSTITUTE(SUBSTITUTE(SUBSTITUTE(SUBSTITUTE(SUBSTITUTE(SUBSTITUTE(TRIM(E982&amp;""),CHAR(160),"")," ",""),"초등학교","초"),"중학교","중"),"고등학교","고"),"~","~~"),"*","~*"),"?","~?")</f>
      </c>
      <c r="R982" t="str">
        <f>IF(COUNTA(B982:J982)=0,"",IF(AND(O982&lt;&gt;"",P982&lt;&gt;"",Q982&lt;&gt;""),"","입력누락"))</f>
      </c>
    </row>
    <row r="983" customFormat="false" ht="15" hidden="false" customHeight="false" outlineLevel="0" collapsed="false">
      <c r="A983" t="n" s="19">
        <f aca="0">IF(COUNTA(B983:J983)=0,"",ROW()-1)</f>
      </c>
      <c r="B983" s="24"/>
      <c r="C983" s="25"/>
      <c r="D983" s="8"/>
      <c r="E983" s="8"/>
      <c r="F983" s="26"/>
      <c r="G983" s="24"/>
      <c r="H983" s="25"/>
      <c r="I983" s="25"/>
      <c r="J983" s="26"/>
      <c r="K983" t="str" s="15">
        <f aca="0">IF(COUNTA(B983:J983)=0,"",IF(R983&lt;&gt;"","확인필요(입력누락)",IF(COUNTIFS(보유목록!$I$2:$I$3001,"*"&amp;P983&amp;"*",보유목록!$I$2:$I$3001,"*"&amp;Q983&amp;"*",보유목록!$H$2:$H$3001,O983)&gt;0,"있음",IF(COUNTIFS(보유목록!$I$2:$I$3001,"*"&amp;P983&amp;"*",보유목록!$I$2:$I$3001,"*"&amp;Q983&amp;"*")&gt;0,"확인필요(연도다름)",IF(COUNTIFS(보유목록!$I$2:$I$3001,"*"&amp;P983&amp;"*",보유목록!$H$2:$H$3001,O983)&gt;0,"확인필요(같은학교·같은연도)","없음")))))</f>
      </c>
      <c r="L983" t="str" s="16">
        <f aca="0">IF(OR(COUNTA(B983:J983)=0,R983&lt;&gt;""),"",COUNTIFS(보유목록!$I$2:$I$3001,"*"&amp;P983&amp;"*",보유목록!$I$2:$I$3001,"*"&amp;Q983&amp;"*"))</f>
      </c>
      <c r="M983" t="str" s="23">
        <f aca="0">IF(OR(COUNTA(B983:J983)=0,R983&lt;&gt;""),"",IFERROR(LOOKUP(2,1/(ISNUMBER(SEARCH(P983,보유목록!$I$2:$I$3001))*ISNUMBER(SEARCH(Q983,보유목록!$I$2:$I$3001))*(보유목록!$H$2:$H$3001=O983)),보유목록!$B$2:$B$3001),IFERROR(LOOKUP(2,1/(ISNUMBER(SEARCH(P983,보유목록!$I$2:$I$3001))*ISNUMBER(SEARCH(Q983,보유목록!$I$2:$I$3001))),보유목록!$B$2:$B$3001),"")))</f>
      </c>
      <c r="N983" s="25"/>
      <c r="O983" t="str">
        <f>IFERROR(IF(AND(LEN(SUBSTITUTE(SUBSTITUTE(SUBSTITUTE(TRIM(C983&amp;""),CHAR(160),"")," ",""),"년",""))=4,VALUE(SUBSTITUTE(SUBSTITUTE(SUBSTITUTE(TRIM(C983&amp;""),CHAR(160),"")," ",""),"년",""))&gt;=1900,VALUE(SUBSTITUTE(SUBSTITUTE(SUBSTITUTE(TRIM(C983&amp;""),CHAR(160),"")," ",""),"년",""))&lt;=2099,TEXT(VALUE(SUBSTITUTE(SUBSTITUTE(SUBSTITUTE(TRIM(C983&amp;""),CHAR(160),"")," ",""),"년","")),"0000")=SUBSTITUTE(SUBSTITUTE(SUBSTITUTE(TRIM(C983&amp;""),CHAR(160),"")," ",""),"년","")),SUBSTITUTE(SUBSTITUTE(SUBSTITUTE(TRIM(C983&amp;""),CHAR(160),"")," ",""),"년",""),""),"")</f>
      </c>
      <c r="P983" t="str">
        <f>SUBSTITUTE(SUBSTITUTE(SUBSTITUTE(SUBSTITUTE(SUBSTITUTE(SUBSTITUTE(SUBSTITUTE(SUBSTITUTE(TRIM(D983&amp;""),CHAR(160),"")," ",""),"초등학교","초"),"중학교","중"),"고등학교","고"),"~","~~"),"*","~*"),"?","~?")</f>
      </c>
      <c r="Q983" t="str">
        <f>SUBSTITUTE(SUBSTITUTE(SUBSTITUTE(SUBSTITUTE(SUBSTITUTE(SUBSTITUTE(SUBSTITUTE(SUBSTITUTE(TRIM(E983&amp;""),CHAR(160),"")," ",""),"초등학교","초"),"중학교","중"),"고등학교","고"),"~","~~"),"*","~*"),"?","~?")</f>
      </c>
      <c r="R983" t="str">
        <f>IF(COUNTA(B983:J983)=0,"",IF(AND(O983&lt;&gt;"",P983&lt;&gt;"",Q983&lt;&gt;""),"","입력누락"))</f>
      </c>
    </row>
    <row r="984" customFormat="false" ht="15" hidden="false" customHeight="false" outlineLevel="0" collapsed="false">
      <c r="A984" t="n" s="19">
        <f aca="0">IF(COUNTA(B984:J984)=0,"",ROW()-1)</f>
      </c>
      <c r="B984" s="24"/>
      <c r="C984" s="25"/>
      <c r="D984" s="8"/>
      <c r="E984" s="8"/>
      <c r="F984" s="26"/>
      <c r="G984" s="24"/>
      <c r="H984" s="25"/>
      <c r="I984" s="25"/>
      <c r="J984" s="26"/>
      <c r="K984" t="str" s="15">
        <f aca="0">IF(COUNTA(B984:J984)=0,"",IF(R984&lt;&gt;"","확인필요(입력누락)",IF(COUNTIFS(보유목록!$I$2:$I$3001,"*"&amp;P984&amp;"*",보유목록!$I$2:$I$3001,"*"&amp;Q984&amp;"*",보유목록!$H$2:$H$3001,O984)&gt;0,"있음",IF(COUNTIFS(보유목록!$I$2:$I$3001,"*"&amp;P984&amp;"*",보유목록!$I$2:$I$3001,"*"&amp;Q984&amp;"*")&gt;0,"확인필요(연도다름)",IF(COUNTIFS(보유목록!$I$2:$I$3001,"*"&amp;P984&amp;"*",보유목록!$H$2:$H$3001,O984)&gt;0,"확인필요(같은학교·같은연도)","없음")))))</f>
      </c>
      <c r="L984" t="str" s="16">
        <f aca="0">IF(OR(COUNTA(B984:J984)=0,R984&lt;&gt;""),"",COUNTIFS(보유목록!$I$2:$I$3001,"*"&amp;P984&amp;"*",보유목록!$I$2:$I$3001,"*"&amp;Q984&amp;"*"))</f>
      </c>
      <c r="M984" t="str" s="23">
        <f aca="0">IF(OR(COUNTA(B984:J984)=0,R984&lt;&gt;""),"",IFERROR(LOOKUP(2,1/(ISNUMBER(SEARCH(P984,보유목록!$I$2:$I$3001))*ISNUMBER(SEARCH(Q984,보유목록!$I$2:$I$3001))*(보유목록!$H$2:$H$3001=O984)),보유목록!$B$2:$B$3001),IFERROR(LOOKUP(2,1/(ISNUMBER(SEARCH(P984,보유목록!$I$2:$I$3001))*ISNUMBER(SEARCH(Q984,보유목록!$I$2:$I$3001))),보유목록!$B$2:$B$3001),"")))</f>
      </c>
      <c r="N984" s="25"/>
      <c r="O984" t="str">
        <f>IFERROR(IF(AND(LEN(SUBSTITUTE(SUBSTITUTE(SUBSTITUTE(TRIM(C984&amp;""),CHAR(160),"")," ",""),"년",""))=4,VALUE(SUBSTITUTE(SUBSTITUTE(SUBSTITUTE(TRIM(C984&amp;""),CHAR(160),"")," ",""),"년",""))&gt;=1900,VALUE(SUBSTITUTE(SUBSTITUTE(SUBSTITUTE(TRIM(C984&amp;""),CHAR(160),"")," ",""),"년",""))&lt;=2099,TEXT(VALUE(SUBSTITUTE(SUBSTITUTE(SUBSTITUTE(TRIM(C984&amp;""),CHAR(160),"")," ",""),"년","")),"0000")=SUBSTITUTE(SUBSTITUTE(SUBSTITUTE(TRIM(C984&amp;""),CHAR(160),"")," ",""),"년","")),SUBSTITUTE(SUBSTITUTE(SUBSTITUTE(TRIM(C984&amp;""),CHAR(160),"")," ",""),"년",""),""),"")</f>
      </c>
      <c r="P984" t="str">
        <f>SUBSTITUTE(SUBSTITUTE(SUBSTITUTE(SUBSTITUTE(SUBSTITUTE(SUBSTITUTE(SUBSTITUTE(SUBSTITUTE(TRIM(D984&amp;""),CHAR(160),"")," ",""),"초등학교","초"),"중학교","중"),"고등학교","고"),"~","~~"),"*","~*"),"?","~?")</f>
      </c>
      <c r="Q984" t="str">
        <f>SUBSTITUTE(SUBSTITUTE(SUBSTITUTE(SUBSTITUTE(SUBSTITUTE(SUBSTITUTE(SUBSTITUTE(SUBSTITUTE(TRIM(E984&amp;""),CHAR(160),"")," ",""),"초등학교","초"),"중학교","중"),"고등학교","고"),"~","~~"),"*","~*"),"?","~?")</f>
      </c>
      <c r="R984" t="str">
        <f>IF(COUNTA(B984:J984)=0,"",IF(AND(O984&lt;&gt;"",P984&lt;&gt;"",Q984&lt;&gt;""),"","입력누락"))</f>
      </c>
    </row>
    <row r="985" customFormat="false" ht="15" hidden="false" customHeight="false" outlineLevel="0" collapsed="false">
      <c r="A985" t="n" s="19">
        <f aca="0">IF(COUNTA(B985:J985)=0,"",ROW()-1)</f>
      </c>
      <c r="B985" s="24"/>
      <c r="C985" s="25"/>
      <c r="D985" s="8"/>
      <c r="E985" s="8"/>
      <c r="F985" s="26"/>
      <c r="G985" s="24"/>
      <c r="H985" s="25"/>
      <c r="I985" s="25"/>
      <c r="J985" s="26"/>
      <c r="K985" t="str" s="15">
        <f aca="0">IF(COUNTA(B985:J985)=0,"",IF(R985&lt;&gt;"","확인필요(입력누락)",IF(COUNTIFS(보유목록!$I$2:$I$3001,"*"&amp;P985&amp;"*",보유목록!$I$2:$I$3001,"*"&amp;Q985&amp;"*",보유목록!$H$2:$H$3001,O985)&gt;0,"있음",IF(COUNTIFS(보유목록!$I$2:$I$3001,"*"&amp;P985&amp;"*",보유목록!$I$2:$I$3001,"*"&amp;Q985&amp;"*")&gt;0,"확인필요(연도다름)",IF(COUNTIFS(보유목록!$I$2:$I$3001,"*"&amp;P985&amp;"*",보유목록!$H$2:$H$3001,O985)&gt;0,"확인필요(같은학교·같은연도)","없음")))))</f>
      </c>
      <c r="L985" t="str" s="16">
        <f aca="0">IF(OR(COUNTA(B985:J985)=0,R985&lt;&gt;""),"",COUNTIFS(보유목록!$I$2:$I$3001,"*"&amp;P985&amp;"*",보유목록!$I$2:$I$3001,"*"&amp;Q985&amp;"*"))</f>
      </c>
      <c r="M985" t="str" s="23">
        <f aca="0">IF(OR(COUNTA(B985:J985)=0,R985&lt;&gt;""),"",IFERROR(LOOKUP(2,1/(ISNUMBER(SEARCH(P985,보유목록!$I$2:$I$3001))*ISNUMBER(SEARCH(Q985,보유목록!$I$2:$I$3001))*(보유목록!$H$2:$H$3001=O985)),보유목록!$B$2:$B$3001),IFERROR(LOOKUP(2,1/(ISNUMBER(SEARCH(P985,보유목록!$I$2:$I$3001))*ISNUMBER(SEARCH(Q985,보유목록!$I$2:$I$3001))),보유목록!$B$2:$B$3001),"")))</f>
      </c>
      <c r="N985" s="25"/>
      <c r="O985" t="str">
        <f>IFERROR(IF(AND(LEN(SUBSTITUTE(SUBSTITUTE(SUBSTITUTE(TRIM(C985&amp;""),CHAR(160),"")," ",""),"년",""))=4,VALUE(SUBSTITUTE(SUBSTITUTE(SUBSTITUTE(TRIM(C985&amp;""),CHAR(160),"")," ",""),"년",""))&gt;=1900,VALUE(SUBSTITUTE(SUBSTITUTE(SUBSTITUTE(TRIM(C985&amp;""),CHAR(160),"")," ",""),"년",""))&lt;=2099,TEXT(VALUE(SUBSTITUTE(SUBSTITUTE(SUBSTITUTE(TRIM(C985&amp;""),CHAR(160),"")," ",""),"년","")),"0000")=SUBSTITUTE(SUBSTITUTE(SUBSTITUTE(TRIM(C985&amp;""),CHAR(160),"")," ",""),"년","")),SUBSTITUTE(SUBSTITUTE(SUBSTITUTE(TRIM(C985&amp;""),CHAR(160),"")," ",""),"년",""),""),"")</f>
      </c>
      <c r="P985" t="str">
        <f>SUBSTITUTE(SUBSTITUTE(SUBSTITUTE(SUBSTITUTE(SUBSTITUTE(SUBSTITUTE(SUBSTITUTE(SUBSTITUTE(TRIM(D985&amp;""),CHAR(160),"")," ",""),"초등학교","초"),"중학교","중"),"고등학교","고"),"~","~~"),"*","~*"),"?","~?")</f>
      </c>
      <c r="Q985" t="str">
        <f>SUBSTITUTE(SUBSTITUTE(SUBSTITUTE(SUBSTITUTE(SUBSTITUTE(SUBSTITUTE(SUBSTITUTE(SUBSTITUTE(TRIM(E985&amp;""),CHAR(160),"")," ",""),"초등학교","초"),"중학교","중"),"고등학교","고"),"~","~~"),"*","~*"),"?","~?")</f>
      </c>
      <c r="R985" t="str">
        <f>IF(COUNTA(B985:J985)=0,"",IF(AND(O985&lt;&gt;"",P985&lt;&gt;"",Q985&lt;&gt;""),"","입력누락"))</f>
      </c>
    </row>
    <row r="986" customFormat="false" ht="15" hidden="false" customHeight="false" outlineLevel="0" collapsed="false">
      <c r="A986" t="n" s="19">
        <f aca="0">IF(COUNTA(B986:J986)=0,"",ROW()-1)</f>
      </c>
      <c r="B986" s="24"/>
      <c r="C986" s="25"/>
      <c r="D986" s="8"/>
      <c r="E986" s="8"/>
      <c r="F986" s="26"/>
      <c r="G986" s="24"/>
      <c r="H986" s="25"/>
      <c r="I986" s="25"/>
      <c r="J986" s="26"/>
      <c r="K986" t="str" s="15">
        <f aca="0">IF(COUNTA(B986:J986)=0,"",IF(R986&lt;&gt;"","확인필요(입력누락)",IF(COUNTIFS(보유목록!$I$2:$I$3001,"*"&amp;P986&amp;"*",보유목록!$I$2:$I$3001,"*"&amp;Q986&amp;"*",보유목록!$H$2:$H$3001,O986)&gt;0,"있음",IF(COUNTIFS(보유목록!$I$2:$I$3001,"*"&amp;P986&amp;"*",보유목록!$I$2:$I$3001,"*"&amp;Q986&amp;"*")&gt;0,"확인필요(연도다름)",IF(COUNTIFS(보유목록!$I$2:$I$3001,"*"&amp;P986&amp;"*",보유목록!$H$2:$H$3001,O986)&gt;0,"확인필요(같은학교·같은연도)","없음")))))</f>
      </c>
      <c r="L986" t="str" s="16">
        <f aca="0">IF(OR(COUNTA(B986:J986)=0,R986&lt;&gt;""),"",COUNTIFS(보유목록!$I$2:$I$3001,"*"&amp;P986&amp;"*",보유목록!$I$2:$I$3001,"*"&amp;Q986&amp;"*"))</f>
      </c>
      <c r="M986" t="str" s="23">
        <f aca="0">IF(OR(COUNTA(B986:J986)=0,R986&lt;&gt;""),"",IFERROR(LOOKUP(2,1/(ISNUMBER(SEARCH(P986,보유목록!$I$2:$I$3001))*ISNUMBER(SEARCH(Q986,보유목록!$I$2:$I$3001))*(보유목록!$H$2:$H$3001=O986)),보유목록!$B$2:$B$3001),IFERROR(LOOKUP(2,1/(ISNUMBER(SEARCH(P986,보유목록!$I$2:$I$3001))*ISNUMBER(SEARCH(Q986,보유목록!$I$2:$I$3001))),보유목록!$B$2:$B$3001),"")))</f>
      </c>
      <c r="N986" s="25"/>
      <c r="O986" t="str">
        <f>IFERROR(IF(AND(LEN(SUBSTITUTE(SUBSTITUTE(SUBSTITUTE(TRIM(C986&amp;""),CHAR(160),"")," ",""),"년",""))=4,VALUE(SUBSTITUTE(SUBSTITUTE(SUBSTITUTE(TRIM(C986&amp;""),CHAR(160),"")," ",""),"년",""))&gt;=1900,VALUE(SUBSTITUTE(SUBSTITUTE(SUBSTITUTE(TRIM(C986&amp;""),CHAR(160),"")," ",""),"년",""))&lt;=2099,TEXT(VALUE(SUBSTITUTE(SUBSTITUTE(SUBSTITUTE(TRIM(C986&amp;""),CHAR(160),"")," ",""),"년","")),"0000")=SUBSTITUTE(SUBSTITUTE(SUBSTITUTE(TRIM(C986&amp;""),CHAR(160),"")," ",""),"년","")),SUBSTITUTE(SUBSTITUTE(SUBSTITUTE(TRIM(C986&amp;""),CHAR(160),"")," ",""),"년",""),""),"")</f>
      </c>
      <c r="P986" t="str">
        <f>SUBSTITUTE(SUBSTITUTE(SUBSTITUTE(SUBSTITUTE(SUBSTITUTE(SUBSTITUTE(SUBSTITUTE(SUBSTITUTE(TRIM(D986&amp;""),CHAR(160),"")," ",""),"초등학교","초"),"중학교","중"),"고등학교","고"),"~","~~"),"*","~*"),"?","~?")</f>
      </c>
      <c r="Q986" t="str">
        <f>SUBSTITUTE(SUBSTITUTE(SUBSTITUTE(SUBSTITUTE(SUBSTITUTE(SUBSTITUTE(SUBSTITUTE(SUBSTITUTE(TRIM(E986&amp;""),CHAR(160),"")," ",""),"초등학교","초"),"중학교","중"),"고등학교","고"),"~","~~"),"*","~*"),"?","~?")</f>
      </c>
      <c r="R986" t="str">
        <f>IF(COUNTA(B986:J986)=0,"",IF(AND(O986&lt;&gt;"",P986&lt;&gt;"",Q986&lt;&gt;""),"","입력누락"))</f>
      </c>
    </row>
    <row r="987" customFormat="false" ht="15" hidden="false" customHeight="false" outlineLevel="0" collapsed="false">
      <c r="A987" t="n" s="19">
        <f aca="0">IF(COUNTA(B987:J987)=0,"",ROW()-1)</f>
      </c>
      <c r="B987" s="24"/>
      <c r="C987" s="25"/>
      <c r="D987" s="8"/>
      <c r="E987" s="8"/>
      <c r="F987" s="26"/>
      <c r="G987" s="24"/>
      <c r="H987" s="25"/>
      <c r="I987" s="25"/>
      <c r="J987" s="26"/>
      <c r="K987" t="str" s="15">
        <f aca="0">IF(COUNTA(B987:J987)=0,"",IF(R987&lt;&gt;"","확인필요(입력누락)",IF(COUNTIFS(보유목록!$I$2:$I$3001,"*"&amp;P987&amp;"*",보유목록!$I$2:$I$3001,"*"&amp;Q987&amp;"*",보유목록!$H$2:$H$3001,O987)&gt;0,"있음",IF(COUNTIFS(보유목록!$I$2:$I$3001,"*"&amp;P987&amp;"*",보유목록!$I$2:$I$3001,"*"&amp;Q987&amp;"*")&gt;0,"확인필요(연도다름)",IF(COUNTIFS(보유목록!$I$2:$I$3001,"*"&amp;P987&amp;"*",보유목록!$H$2:$H$3001,O987)&gt;0,"확인필요(같은학교·같은연도)","없음")))))</f>
      </c>
      <c r="L987" t="str" s="16">
        <f aca="0">IF(OR(COUNTA(B987:J987)=0,R987&lt;&gt;""),"",COUNTIFS(보유목록!$I$2:$I$3001,"*"&amp;P987&amp;"*",보유목록!$I$2:$I$3001,"*"&amp;Q987&amp;"*"))</f>
      </c>
      <c r="M987" t="str" s="23">
        <f aca="0">IF(OR(COUNTA(B987:J987)=0,R987&lt;&gt;""),"",IFERROR(LOOKUP(2,1/(ISNUMBER(SEARCH(P987,보유목록!$I$2:$I$3001))*ISNUMBER(SEARCH(Q987,보유목록!$I$2:$I$3001))*(보유목록!$H$2:$H$3001=O987)),보유목록!$B$2:$B$3001),IFERROR(LOOKUP(2,1/(ISNUMBER(SEARCH(P987,보유목록!$I$2:$I$3001))*ISNUMBER(SEARCH(Q987,보유목록!$I$2:$I$3001))),보유목록!$B$2:$B$3001),"")))</f>
      </c>
      <c r="N987" s="25"/>
      <c r="O987" t="str">
        <f>IFERROR(IF(AND(LEN(SUBSTITUTE(SUBSTITUTE(SUBSTITUTE(TRIM(C987&amp;""),CHAR(160),"")," ",""),"년",""))=4,VALUE(SUBSTITUTE(SUBSTITUTE(SUBSTITUTE(TRIM(C987&amp;""),CHAR(160),"")," ",""),"년",""))&gt;=1900,VALUE(SUBSTITUTE(SUBSTITUTE(SUBSTITUTE(TRIM(C987&amp;""),CHAR(160),"")," ",""),"년",""))&lt;=2099,TEXT(VALUE(SUBSTITUTE(SUBSTITUTE(SUBSTITUTE(TRIM(C987&amp;""),CHAR(160),"")," ",""),"년","")),"0000")=SUBSTITUTE(SUBSTITUTE(SUBSTITUTE(TRIM(C987&amp;""),CHAR(160),"")," ",""),"년","")),SUBSTITUTE(SUBSTITUTE(SUBSTITUTE(TRIM(C987&amp;""),CHAR(160),"")," ",""),"년",""),""),"")</f>
      </c>
      <c r="P987" t="str">
        <f>SUBSTITUTE(SUBSTITUTE(SUBSTITUTE(SUBSTITUTE(SUBSTITUTE(SUBSTITUTE(SUBSTITUTE(SUBSTITUTE(TRIM(D987&amp;""),CHAR(160),"")," ",""),"초등학교","초"),"중학교","중"),"고등학교","고"),"~","~~"),"*","~*"),"?","~?")</f>
      </c>
      <c r="Q987" t="str">
        <f>SUBSTITUTE(SUBSTITUTE(SUBSTITUTE(SUBSTITUTE(SUBSTITUTE(SUBSTITUTE(SUBSTITUTE(SUBSTITUTE(TRIM(E987&amp;""),CHAR(160),"")," ",""),"초등학교","초"),"중학교","중"),"고등학교","고"),"~","~~"),"*","~*"),"?","~?")</f>
      </c>
      <c r="R987" t="str">
        <f>IF(COUNTA(B987:J987)=0,"",IF(AND(O987&lt;&gt;"",P987&lt;&gt;"",Q987&lt;&gt;""),"","입력누락"))</f>
      </c>
    </row>
    <row r="988" customFormat="false" ht="15" hidden="false" customHeight="false" outlineLevel="0" collapsed="false">
      <c r="A988" t="n" s="19">
        <f aca="0">IF(COUNTA(B988:J988)=0,"",ROW()-1)</f>
      </c>
      <c r="B988" s="24"/>
      <c r="C988" s="25"/>
      <c r="D988" s="8"/>
      <c r="E988" s="8"/>
      <c r="F988" s="26"/>
      <c r="G988" s="24"/>
      <c r="H988" s="25"/>
      <c r="I988" s="25"/>
      <c r="J988" s="26"/>
      <c r="K988" t="str" s="15">
        <f aca="0">IF(COUNTA(B988:J988)=0,"",IF(R988&lt;&gt;"","확인필요(입력누락)",IF(COUNTIFS(보유목록!$I$2:$I$3001,"*"&amp;P988&amp;"*",보유목록!$I$2:$I$3001,"*"&amp;Q988&amp;"*",보유목록!$H$2:$H$3001,O988)&gt;0,"있음",IF(COUNTIFS(보유목록!$I$2:$I$3001,"*"&amp;P988&amp;"*",보유목록!$I$2:$I$3001,"*"&amp;Q988&amp;"*")&gt;0,"확인필요(연도다름)",IF(COUNTIFS(보유목록!$I$2:$I$3001,"*"&amp;P988&amp;"*",보유목록!$H$2:$H$3001,O988)&gt;0,"확인필요(같은학교·같은연도)","없음")))))</f>
      </c>
      <c r="L988" t="str" s="16">
        <f aca="0">IF(OR(COUNTA(B988:J988)=0,R988&lt;&gt;""),"",COUNTIFS(보유목록!$I$2:$I$3001,"*"&amp;P988&amp;"*",보유목록!$I$2:$I$3001,"*"&amp;Q988&amp;"*"))</f>
      </c>
      <c r="M988" t="str" s="23">
        <f aca="0">IF(OR(COUNTA(B988:J988)=0,R988&lt;&gt;""),"",IFERROR(LOOKUP(2,1/(ISNUMBER(SEARCH(P988,보유목록!$I$2:$I$3001))*ISNUMBER(SEARCH(Q988,보유목록!$I$2:$I$3001))*(보유목록!$H$2:$H$3001=O988)),보유목록!$B$2:$B$3001),IFERROR(LOOKUP(2,1/(ISNUMBER(SEARCH(P988,보유목록!$I$2:$I$3001))*ISNUMBER(SEARCH(Q988,보유목록!$I$2:$I$3001))),보유목록!$B$2:$B$3001),"")))</f>
      </c>
      <c r="N988" s="25"/>
      <c r="O988" t="str">
        <f>IFERROR(IF(AND(LEN(SUBSTITUTE(SUBSTITUTE(SUBSTITUTE(TRIM(C988&amp;""),CHAR(160),"")," ",""),"년",""))=4,VALUE(SUBSTITUTE(SUBSTITUTE(SUBSTITUTE(TRIM(C988&amp;""),CHAR(160),"")," ",""),"년",""))&gt;=1900,VALUE(SUBSTITUTE(SUBSTITUTE(SUBSTITUTE(TRIM(C988&amp;""),CHAR(160),"")," ",""),"년",""))&lt;=2099,TEXT(VALUE(SUBSTITUTE(SUBSTITUTE(SUBSTITUTE(TRIM(C988&amp;""),CHAR(160),"")," ",""),"년","")),"0000")=SUBSTITUTE(SUBSTITUTE(SUBSTITUTE(TRIM(C988&amp;""),CHAR(160),"")," ",""),"년","")),SUBSTITUTE(SUBSTITUTE(SUBSTITUTE(TRIM(C988&amp;""),CHAR(160),"")," ",""),"년",""),""),"")</f>
      </c>
      <c r="P988" t="str">
        <f>SUBSTITUTE(SUBSTITUTE(SUBSTITUTE(SUBSTITUTE(SUBSTITUTE(SUBSTITUTE(SUBSTITUTE(SUBSTITUTE(TRIM(D988&amp;""),CHAR(160),"")," ",""),"초등학교","초"),"중학교","중"),"고등학교","고"),"~","~~"),"*","~*"),"?","~?")</f>
      </c>
      <c r="Q988" t="str">
        <f>SUBSTITUTE(SUBSTITUTE(SUBSTITUTE(SUBSTITUTE(SUBSTITUTE(SUBSTITUTE(SUBSTITUTE(SUBSTITUTE(TRIM(E988&amp;""),CHAR(160),"")," ",""),"초등학교","초"),"중학교","중"),"고등학교","고"),"~","~~"),"*","~*"),"?","~?")</f>
      </c>
      <c r="R988" t="str">
        <f>IF(COUNTA(B988:J988)=0,"",IF(AND(O988&lt;&gt;"",P988&lt;&gt;"",Q988&lt;&gt;""),"","입력누락"))</f>
      </c>
    </row>
    <row r="989" customFormat="false" ht="15" hidden="false" customHeight="false" outlineLevel="0" collapsed="false">
      <c r="A989" t="n" s="19">
        <f aca="0">IF(COUNTA(B989:J989)=0,"",ROW()-1)</f>
      </c>
      <c r="B989" s="24"/>
      <c r="C989" s="25"/>
      <c r="D989" s="8"/>
      <c r="E989" s="8"/>
      <c r="F989" s="26"/>
      <c r="G989" s="24"/>
      <c r="H989" s="25"/>
      <c r="I989" s="25"/>
      <c r="J989" s="26"/>
      <c r="K989" t="str" s="15">
        <f aca="0">IF(COUNTA(B989:J989)=0,"",IF(R989&lt;&gt;"","확인필요(입력누락)",IF(COUNTIFS(보유목록!$I$2:$I$3001,"*"&amp;P989&amp;"*",보유목록!$I$2:$I$3001,"*"&amp;Q989&amp;"*",보유목록!$H$2:$H$3001,O989)&gt;0,"있음",IF(COUNTIFS(보유목록!$I$2:$I$3001,"*"&amp;P989&amp;"*",보유목록!$I$2:$I$3001,"*"&amp;Q989&amp;"*")&gt;0,"확인필요(연도다름)",IF(COUNTIFS(보유목록!$I$2:$I$3001,"*"&amp;P989&amp;"*",보유목록!$H$2:$H$3001,O989)&gt;0,"확인필요(같은학교·같은연도)","없음")))))</f>
      </c>
      <c r="L989" t="str" s="16">
        <f aca="0">IF(OR(COUNTA(B989:J989)=0,R989&lt;&gt;""),"",COUNTIFS(보유목록!$I$2:$I$3001,"*"&amp;P989&amp;"*",보유목록!$I$2:$I$3001,"*"&amp;Q989&amp;"*"))</f>
      </c>
      <c r="M989" t="str" s="23">
        <f aca="0">IF(OR(COUNTA(B989:J989)=0,R989&lt;&gt;""),"",IFERROR(LOOKUP(2,1/(ISNUMBER(SEARCH(P989,보유목록!$I$2:$I$3001))*ISNUMBER(SEARCH(Q989,보유목록!$I$2:$I$3001))*(보유목록!$H$2:$H$3001=O989)),보유목록!$B$2:$B$3001),IFERROR(LOOKUP(2,1/(ISNUMBER(SEARCH(P989,보유목록!$I$2:$I$3001))*ISNUMBER(SEARCH(Q989,보유목록!$I$2:$I$3001))),보유목록!$B$2:$B$3001),"")))</f>
      </c>
      <c r="N989" s="25"/>
      <c r="O989" t="str">
        <f>IFERROR(IF(AND(LEN(SUBSTITUTE(SUBSTITUTE(SUBSTITUTE(TRIM(C989&amp;""),CHAR(160),"")," ",""),"년",""))=4,VALUE(SUBSTITUTE(SUBSTITUTE(SUBSTITUTE(TRIM(C989&amp;""),CHAR(160),"")," ",""),"년",""))&gt;=1900,VALUE(SUBSTITUTE(SUBSTITUTE(SUBSTITUTE(TRIM(C989&amp;""),CHAR(160),"")," ",""),"년",""))&lt;=2099,TEXT(VALUE(SUBSTITUTE(SUBSTITUTE(SUBSTITUTE(TRIM(C989&amp;""),CHAR(160),"")," ",""),"년","")),"0000")=SUBSTITUTE(SUBSTITUTE(SUBSTITUTE(TRIM(C989&amp;""),CHAR(160),"")," ",""),"년","")),SUBSTITUTE(SUBSTITUTE(SUBSTITUTE(TRIM(C989&amp;""),CHAR(160),"")," ",""),"년",""),""),"")</f>
      </c>
      <c r="P989" t="str">
        <f>SUBSTITUTE(SUBSTITUTE(SUBSTITUTE(SUBSTITUTE(SUBSTITUTE(SUBSTITUTE(SUBSTITUTE(SUBSTITUTE(TRIM(D989&amp;""),CHAR(160),"")," ",""),"초등학교","초"),"중학교","중"),"고등학교","고"),"~","~~"),"*","~*"),"?","~?")</f>
      </c>
      <c r="Q989" t="str">
        <f>SUBSTITUTE(SUBSTITUTE(SUBSTITUTE(SUBSTITUTE(SUBSTITUTE(SUBSTITUTE(SUBSTITUTE(SUBSTITUTE(TRIM(E989&amp;""),CHAR(160),"")," ",""),"초등학교","초"),"중학교","중"),"고등학교","고"),"~","~~"),"*","~*"),"?","~?")</f>
      </c>
      <c r="R989" t="str">
        <f>IF(COUNTA(B989:J989)=0,"",IF(AND(O989&lt;&gt;"",P989&lt;&gt;"",Q989&lt;&gt;""),"","입력누락"))</f>
      </c>
    </row>
    <row r="990" customFormat="false" ht="15" hidden="false" customHeight="false" outlineLevel="0" collapsed="false">
      <c r="A990" t="n" s="19">
        <f aca="0">IF(COUNTA(B990:J990)=0,"",ROW()-1)</f>
      </c>
      <c r="B990" s="24"/>
      <c r="C990" s="25"/>
      <c r="D990" s="8"/>
      <c r="E990" s="8"/>
      <c r="F990" s="26"/>
      <c r="G990" s="24"/>
      <c r="H990" s="25"/>
      <c r="I990" s="25"/>
      <c r="J990" s="26"/>
      <c r="K990" t="str" s="15">
        <f aca="0">IF(COUNTA(B990:J990)=0,"",IF(R990&lt;&gt;"","확인필요(입력누락)",IF(COUNTIFS(보유목록!$I$2:$I$3001,"*"&amp;P990&amp;"*",보유목록!$I$2:$I$3001,"*"&amp;Q990&amp;"*",보유목록!$H$2:$H$3001,O990)&gt;0,"있음",IF(COUNTIFS(보유목록!$I$2:$I$3001,"*"&amp;P990&amp;"*",보유목록!$I$2:$I$3001,"*"&amp;Q990&amp;"*")&gt;0,"확인필요(연도다름)",IF(COUNTIFS(보유목록!$I$2:$I$3001,"*"&amp;P990&amp;"*",보유목록!$H$2:$H$3001,O990)&gt;0,"확인필요(같은학교·같은연도)","없음")))))</f>
      </c>
      <c r="L990" t="str" s="16">
        <f aca="0">IF(OR(COUNTA(B990:J990)=0,R990&lt;&gt;""),"",COUNTIFS(보유목록!$I$2:$I$3001,"*"&amp;P990&amp;"*",보유목록!$I$2:$I$3001,"*"&amp;Q990&amp;"*"))</f>
      </c>
      <c r="M990" t="str" s="23">
        <f aca="0">IF(OR(COUNTA(B990:J990)=0,R990&lt;&gt;""),"",IFERROR(LOOKUP(2,1/(ISNUMBER(SEARCH(P990,보유목록!$I$2:$I$3001))*ISNUMBER(SEARCH(Q990,보유목록!$I$2:$I$3001))*(보유목록!$H$2:$H$3001=O990)),보유목록!$B$2:$B$3001),IFERROR(LOOKUP(2,1/(ISNUMBER(SEARCH(P990,보유목록!$I$2:$I$3001))*ISNUMBER(SEARCH(Q990,보유목록!$I$2:$I$3001))),보유목록!$B$2:$B$3001),"")))</f>
      </c>
      <c r="N990" s="25"/>
      <c r="O990" t="str">
        <f>IFERROR(IF(AND(LEN(SUBSTITUTE(SUBSTITUTE(SUBSTITUTE(TRIM(C990&amp;""),CHAR(160),"")," ",""),"년",""))=4,VALUE(SUBSTITUTE(SUBSTITUTE(SUBSTITUTE(TRIM(C990&amp;""),CHAR(160),"")," ",""),"년",""))&gt;=1900,VALUE(SUBSTITUTE(SUBSTITUTE(SUBSTITUTE(TRIM(C990&amp;""),CHAR(160),"")," ",""),"년",""))&lt;=2099,TEXT(VALUE(SUBSTITUTE(SUBSTITUTE(SUBSTITUTE(TRIM(C990&amp;""),CHAR(160),"")," ",""),"년","")),"0000")=SUBSTITUTE(SUBSTITUTE(SUBSTITUTE(TRIM(C990&amp;""),CHAR(160),"")," ",""),"년","")),SUBSTITUTE(SUBSTITUTE(SUBSTITUTE(TRIM(C990&amp;""),CHAR(160),"")," ",""),"년",""),""),"")</f>
      </c>
      <c r="P990" t="str">
        <f>SUBSTITUTE(SUBSTITUTE(SUBSTITUTE(SUBSTITUTE(SUBSTITUTE(SUBSTITUTE(SUBSTITUTE(SUBSTITUTE(TRIM(D990&amp;""),CHAR(160),"")," ",""),"초등학교","초"),"중학교","중"),"고등학교","고"),"~","~~"),"*","~*"),"?","~?")</f>
      </c>
      <c r="Q990" t="str">
        <f>SUBSTITUTE(SUBSTITUTE(SUBSTITUTE(SUBSTITUTE(SUBSTITUTE(SUBSTITUTE(SUBSTITUTE(SUBSTITUTE(TRIM(E990&amp;""),CHAR(160),"")," ",""),"초등학교","초"),"중학교","중"),"고등학교","고"),"~","~~"),"*","~*"),"?","~?")</f>
      </c>
      <c r="R990" t="str">
        <f>IF(COUNTA(B990:J990)=0,"",IF(AND(O990&lt;&gt;"",P990&lt;&gt;"",Q990&lt;&gt;""),"","입력누락"))</f>
      </c>
    </row>
    <row r="991" customFormat="false" ht="15" hidden="false" customHeight="false" outlineLevel="0" collapsed="false">
      <c r="A991" t="n" s="19">
        <f aca="0">IF(COUNTA(B991:J991)=0,"",ROW()-1)</f>
      </c>
      <c r="B991" s="24"/>
      <c r="C991" s="25"/>
      <c r="D991" s="8"/>
      <c r="E991" s="8"/>
      <c r="F991" s="26"/>
      <c r="G991" s="24"/>
      <c r="H991" s="25"/>
      <c r="I991" s="25"/>
      <c r="J991" s="26"/>
      <c r="K991" t="str" s="15">
        <f aca="0">IF(COUNTA(B991:J991)=0,"",IF(R991&lt;&gt;"","확인필요(입력누락)",IF(COUNTIFS(보유목록!$I$2:$I$3001,"*"&amp;P991&amp;"*",보유목록!$I$2:$I$3001,"*"&amp;Q991&amp;"*",보유목록!$H$2:$H$3001,O991)&gt;0,"있음",IF(COUNTIFS(보유목록!$I$2:$I$3001,"*"&amp;P991&amp;"*",보유목록!$I$2:$I$3001,"*"&amp;Q991&amp;"*")&gt;0,"확인필요(연도다름)",IF(COUNTIFS(보유목록!$I$2:$I$3001,"*"&amp;P991&amp;"*",보유목록!$H$2:$H$3001,O991)&gt;0,"확인필요(같은학교·같은연도)","없음")))))</f>
      </c>
      <c r="L991" t="str" s="16">
        <f aca="0">IF(OR(COUNTA(B991:J991)=0,R991&lt;&gt;""),"",COUNTIFS(보유목록!$I$2:$I$3001,"*"&amp;P991&amp;"*",보유목록!$I$2:$I$3001,"*"&amp;Q991&amp;"*"))</f>
      </c>
      <c r="M991" t="str" s="23">
        <f aca="0">IF(OR(COUNTA(B991:J991)=0,R991&lt;&gt;""),"",IFERROR(LOOKUP(2,1/(ISNUMBER(SEARCH(P991,보유목록!$I$2:$I$3001))*ISNUMBER(SEARCH(Q991,보유목록!$I$2:$I$3001))*(보유목록!$H$2:$H$3001=O991)),보유목록!$B$2:$B$3001),IFERROR(LOOKUP(2,1/(ISNUMBER(SEARCH(P991,보유목록!$I$2:$I$3001))*ISNUMBER(SEARCH(Q991,보유목록!$I$2:$I$3001))),보유목록!$B$2:$B$3001),"")))</f>
      </c>
      <c r="N991" s="25"/>
      <c r="O991" t="str">
        <f>IFERROR(IF(AND(LEN(SUBSTITUTE(SUBSTITUTE(SUBSTITUTE(TRIM(C991&amp;""),CHAR(160),"")," ",""),"년",""))=4,VALUE(SUBSTITUTE(SUBSTITUTE(SUBSTITUTE(TRIM(C991&amp;""),CHAR(160),"")," ",""),"년",""))&gt;=1900,VALUE(SUBSTITUTE(SUBSTITUTE(SUBSTITUTE(TRIM(C991&amp;""),CHAR(160),"")," ",""),"년",""))&lt;=2099,TEXT(VALUE(SUBSTITUTE(SUBSTITUTE(SUBSTITUTE(TRIM(C991&amp;""),CHAR(160),"")," ",""),"년","")),"0000")=SUBSTITUTE(SUBSTITUTE(SUBSTITUTE(TRIM(C991&amp;""),CHAR(160),"")," ",""),"년","")),SUBSTITUTE(SUBSTITUTE(SUBSTITUTE(TRIM(C991&amp;""),CHAR(160),"")," ",""),"년",""),""),"")</f>
      </c>
      <c r="P991" t="str">
        <f>SUBSTITUTE(SUBSTITUTE(SUBSTITUTE(SUBSTITUTE(SUBSTITUTE(SUBSTITUTE(SUBSTITUTE(SUBSTITUTE(TRIM(D991&amp;""),CHAR(160),"")," ",""),"초등학교","초"),"중학교","중"),"고등학교","고"),"~","~~"),"*","~*"),"?","~?")</f>
      </c>
      <c r="Q991" t="str">
        <f>SUBSTITUTE(SUBSTITUTE(SUBSTITUTE(SUBSTITUTE(SUBSTITUTE(SUBSTITUTE(SUBSTITUTE(SUBSTITUTE(TRIM(E991&amp;""),CHAR(160),"")," ",""),"초등학교","초"),"중학교","중"),"고등학교","고"),"~","~~"),"*","~*"),"?","~?")</f>
      </c>
      <c r="R991" t="str">
        <f>IF(COUNTA(B991:J991)=0,"",IF(AND(O991&lt;&gt;"",P991&lt;&gt;"",Q991&lt;&gt;""),"","입력누락"))</f>
      </c>
    </row>
    <row r="992" customFormat="false" ht="15" hidden="false" customHeight="false" outlineLevel="0" collapsed="false">
      <c r="A992" t="n" s="19">
        <f aca="0">IF(COUNTA(B992:J992)=0,"",ROW()-1)</f>
      </c>
      <c r="B992" s="24"/>
      <c r="C992" s="25"/>
      <c r="D992" s="8"/>
      <c r="E992" s="8"/>
      <c r="F992" s="26"/>
      <c r="G992" s="24"/>
      <c r="H992" s="25"/>
      <c r="I992" s="25"/>
      <c r="J992" s="26"/>
      <c r="K992" t="str" s="15">
        <f aca="0">IF(COUNTA(B992:J992)=0,"",IF(R992&lt;&gt;"","확인필요(입력누락)",IF(COUNTIFS(보유목록!$I$2:$I$3001,"*"&amp;P992&amp;"*",보유목록!$I$2:$I$3001,"*"&amp;Q992&amp;"*",보유목록!$H$2:$H$3001,O992)&gt;0,"있음",IF(COUNTIFS(보유목록!$I$2:$I$3001,"*"&amp;P992&amp;"*",보유목록!$I$2:$I$3001,"*"&amp;Q992&amp;"*")&gt;0,"확인필요(연도다름)",IF(COUNTIFS(보유목록!$I$2:$I$3001,"*"&amp;P992&amp;"*",보유목록!$H$2:$H$3001,O992)&gt;0,"확인필요(같은학교·같은연도)","없음")))))</f>
      </c>
      <c r="L992" t="str" s="16">
        <f aca="0">IF(OR(COUNTA(B992:J992)=0,R992&lt;&gt;""),"",COUNTIFS(보유목록!$I$2:$I$3001,"*"&amp;P992&amp;"*",보유목록!$I$2:$I$3001,"*"&amp;Q992&amp;"*"))</f>
      </c>
      <c r="M992" t="str" s="23">
        <f aca="0">IF(OR(COUNTA(B992:J992)=0,R992&lt;&gt;""),"",IFERROR(LOOKUP(2,1/(ISNUMBER(SEARCH(P992,보유목록!$I$2:$I$3001))*ISNUMBER(SEARCH(Q992,보유목록!$I$2:$I$3001))*(보유목록!$H$2:$H$3001=O992)),보유목록!$B$2:$B$3001),IFERROR(LOOKUP(2,1/(ISNUMBER(SEARCH(P992,보유목록!$I$2:$I$3001))*ISNUMBER(SEARCH(Q992,보유목록!$I$2:$I$3001))),보유목록!$B$2:$B$3001),"")))</f>
      </c>
      <c r="N992" s="25"/>
      <c r="O992" t="str">
        <f>IFERROR(IF(AND(LEN(SUBSTITUTE(SUBSTITUTE(SUBSTITUTE(TRIM(C992&amp;""),CHAR(160),"")," ",""),"년",""))=4,VALUE(SUBSTITUTE(SUBSTITUTE(SUBSTITUTE(TRIM(C992&amp;""),CHAR(160),"")," ",""),"년",""))&gt;=1900,VALUE(SUBSTITUTE(SUBSTITUTE(SUBSTITUTE(TRIM(C992&amp;""),CHAR(160),"")," ",""),"년",""))&lt;=2099,TEXT(VALUE(SUBSTITUTE(SUBSTITUTE(SUBSTITUTE(TRIM(C992&amp;""),CHAR(160),"")," ",""),"년","")),"0000")=SUBSTITUTE(SUBSTITUTE(SUBSTITUTE(TRIM(C992&amp;""),CHAR(160),"")," ",""),"년","")),SUBSTITUTE(SUBSTITUTE(SUBSTITUTE(TRIM(C992&amp;""),CHAR(160),"")," ",""),"년",""),""),"")</f>
      </c>
      <c r="P992" t="str">
        <f>SUBSTITUTE(SUBSTITUTE(SUBSTITUTE(SUBSTITUTE(SUBSTITUTE(SUBSTITUTE(SUBSTITUTE(SUBSTITUTE(TRIM(D992&amp;""),CHAR(160),"")," ",""),"초등학교","초"),"중학교","중"),"고등학교","고"),"~","~~"),"*","~*"),"?","~?")</f>
      </c>
      <c r="Q992" t="str">
        <f>SUBSTITUTE(SUBSTITUTE(SUBSTITUTE(SUBSTITUTE(SUBSTITUTE(SUBSTITUTE(SUBSTITUTE(SUBSTITUTE(TRIM(E992&amp;""),CHAR(160),"")," ",""),"초등학교","초"),"중학교","중"),"고등학교","고"),"~","~~"),"*","~*"),"?","~?")</f>
      </c>
      <c r="R992" t="str">
        <f>IF(COUNTA(B992:J992)=0,"",IF(AND(O992&lt;&gt;"",P992&lt;&gt;"",Q992&lt;&gt;""),"","입력누락"))</f>
      </c>
    </row>
    <row r="993" customFormat="false" ht="15" hidden="false" customHeight="false" outlineLevel="0" collapsed="false">
      <c r="A993" t="n" s="19">
        <f aca="0">IF(COUNTA(B993:J993)=0,"",ROW()-1)</f>
      </c>
      <c r="B993" s="24"/>
      <c r="C993" s="25"/>
      <c r="D993" s="8"/>
      <c r="E993" s="8"/>
      <c r="F993" s="26"/>
      <c r="G993" s="24"/>
      <c r="H993" s="25"/>
      <c r="I993" s="25"/>
      <c r="J993" s="26"/>
      <c r="K993" t="str" s="15">
        <f aca="0">IF(COUNTA(B993:J993)=0,"",IF(R993&lt;&gt;"","확인필요(입력누락)",IF(COUNTIFS(보유목록!$I$2:$I$3001,"*"&amp;P993&amp;"*",보유목록!$I$2:$I$3001,"*"&amp;Q993&amp;"*",보유목록!$H$2:$H$3001,O993)&gt;0,"있음",IF(COUNTIFS(보유목록!$I$2:$I$3001,"*"&amp;P993&amp;"*",보유목록!$I$2:$I$3001,"*"&amp;Q993&amp;"*")&gt;0,"확인필요(연도다름)",IF(COUNTIFS(보유목록!$I$2:$I$3001,"*"&amp;P993&amp;"*",보유목록!$H$2:$H$3001,O993)&gt;0,"확인필요(같은학교·같은연도)","없음")))))</f>
      </c>
      <c r="L993" t="str" s="16">
        <f aca="0">IF(OR(COUNTA(B993:J993)=0,R993&lt;&gt;""),"",COUNTIFS(보유목록!$I$2:$I$3001,"*"&amp;P993&amp;"*",보유목록!$I$2:$I$3001,"*"&amp;Q993&amp;"*"))</f>
      </c>
      <c r="M993" t="str" s="23">
        <f aca="0">IF(OR(COUNTA(B993:J993)=0,R993&lt;&gt;""),"",IFERROR(LOOKUP(2,1/(ISNUMBER(SEARCH(P993,보유목록!$I$2:$I$3001))*ISNUMBER(SEARCH(Q993,보유목록!$I$2:$I$3001))*(보유목록!$H$2:$H$3001=O993)),보유목록!$B$2:$B$3001),IFERROR(LOOKUP(2,1/(ISNUMBER(SEARCH(P993,보유목록!$I$2:$I$3001))*ISNUMBER(SEARCH(Q993,보유목록!$I$2:$I$3001))),보유목록!$B$2:$B$3001),"")))</f>
      </c>
      <c r="N993" s="25"/>
      <c r="O993" t="str">
        <f>IFERROR(IF(AND(LEN(SUBSTITUTE(SUBSTITUTE(SUBSTITUTE(TRIM(C993&amp;""),CHAR(160),"")," ",""),"년",""))=4,VALUE(SUBSTITUTE(SUBSTITUTE(SUBSTITUTE(TRIM(C993&amp;""),CHAR(160),"")," ",""),"년",""))&gt;=1900,VALUE(SUBSTITUTE(SUBSTITUTE(SUBSTITUTE(TRIM(C993&amp;""),CHAR(160),"")," ",""),"년",""))&lt;=2099,TEXT(VALUE(SUBSTITUTE(SUBSTITUTE(SUBSTITUTE(TRIM(C993&amp;""),CHAR(160),"")," ",""),"년","")),"0000")=SUBSTITUTE(SUBSTITUTE(SUBSTITUTE(TRIM(C993&amp;""),CHAR(160),"")," ",""),"년","")),SUBSTITUTE(SUBSTITUTE(SUBSTITUTE(TRIM(C993&amp;""),CHAR(160),"")," ",""),"년",""),""),"")</f>
      </c>
      <c r="P993" t="str">
        <f>SUBSTITUTE(SUBSTITUTE(SUBSTITUTE(SUBSTITUTE(SUBSTITUTE(SUBSTITUTE(SUBSTITUTE(SUBSTITUTE(TRIM(D993&amp;""),CHAR(160),"")," ",""),"초등학교","초"),"중학교","중"),"고등학교","고"),"~","~~"),"*","~*"),"?","~?")</f>
      </c>
      <c r="Q993" t="str">
        <f>SUBSTITUTE(SUBSTITUTE(SUBSTITUTE(SUBSTITUTE(SUBSTITUTE(SUBSTITUTE(SUBSTITUTE(SUBSTITUTE(TRIM(E993&amp;""),CHAR(160),"")," ",""),"초등학교","초"),"중학교","중"),"고등학교","고"),"~","~~"),"*","~*"),"?","~?")</f>
      </c>
      <c r="R993" t="str">
        <f>IF(COUNTA(B993:J993)=0,"",IF(AND(O993&lt;&gt;"",P993&lt;&gt;"",Q993&lt;&gt;""),"","입력누락"))</f>
      </c>
    </row>
    <row r="994" customFormat="false" ht="15" hidden="false" customHeight="false" outlineLevel="0" collapsed="false">
      <c r="A994" t="n" s="19">
        <f aca="0">IF(COUNTA(B994:J994)=0,"",ROW()-1)</f>
      </c>
      <c r="B994" s="24"/>
      <c r="C994" s="25"/>
      <c r="D994" s="8"/>
      <c r="E994" s="8"/>
      <c r="F994" s="26"/>
      <c r="G994" s="24"/>
      <c r="H994" s="25"/>
      <c r="I994" s="25"/>
      <c r="J994" s="26"/>
      <c r="K994" t="str" s="15">
        <f aca="0">IF(COUNTA(B994:J994)=0,"",IF(R994&lt;&gt;"","확인필요(입력누락)",IF(COUNTIFS(보유목록!$I$2:$I$3001,"*"&amp;P994&amp;"*",보유목록!$I$2:$I$3001,"*"&amp;Q994&amp;"*",보유목록!$H$2:$H$3001,O994)&gt;0,"있음",IF(COUNTIFS(보유목록!$I$2:$I$3001,"*"&amp;P994&amp;"*",보유목록!$I$2:$I$3001,"*"&amp;Q994&amp;"*")&gt;0,"확인필요(연도다름)",IF(COUNTIFS(보유목록!$I$2:$I$3001,"*"&amp;P994&amp;"*",보유목록!$H$2:$H$3001,O994)&gt;0,"확인필요(같은학교·같은연도)","없음")))))</f>
      </c>
      <c r="L994" t="str" s="16">
        <f aca="0">IF(OR(COUNTA(B994:J994)=0,R994&lt;&gt;""),"",COUNTIFS(보유목록!$I$2:$I$3001,"*"&amp;P994&amp;"*",보유목록!$I$2:$I$3001,"*"&amp;Q994&amp;"*"))</f>
      </c>
      <c r="M994" t="str" s="23">
        <f aca="0">IF(OR(COUNTA(B994:J994)=0,R994&lt;&gt;""),"",IFERROR(LOOKUP(2,1/(ISNUMBER(SEARCH(P994,보유목록!$I$2:$I$3001))*ISNUMBER(SEARCH(Q994,보유목록!$I$2:$I$3001))*(보유목록!$H$2:$H$3001=O994)),보유목록!$B$2:$B$3001),IFERROR(LOOKUP(2,1/(ISNUMBER(SEARCH(P994,보유목록!$I$2:$I$3001))*ISNUMBER(SEARCH(Q994,보유목록!$I$2:$I$3001))),보유목록!$B$2:$B$3001),"")))</f>
      </c>
      <c r="N994" s="25"/>
      <c r="O994" t="str">
        <f>IFERROR(IF(AND(LEN(SUBSTITUTE(SUBSTITUTE(SUBSTITUTE(TRIM(C994&amp;""),CHAR(160),"")," ",""),"년",""))=4,VALUE(SUBSTITUTE(SUBSTITUTE(SUBSTITUTE(TRIM(C994&amp;""),CHAR(160),"")," ",""),"년",""))&gt;=1900,VALUE(SUBSTITUTE(SUBSTITUTE(SUBSTITUTE(TRIM(C994&amp;""),CHAR(160),"")," ",""),"년",""))&lt;=2099,TEXT(VALUE(SUBSTITUTE(SUBSTITUTE(SUBSTITUTE(TRIM(C994&amp;""),CHAR(160),"")," ",""),"년","")),"0000")=SUBSTITUTE(SUBSTITUTE(SUBSTITUTE(TRIM(C994&amp;""),CHAR(160),"")," ",""),"년","")),SUBSTITUTE(SUBSTITUTE(SUBSTITUTE(TRIM(C994&amp;""),CHAR(160),"")," ",""),"년",""),""),"")</f>
      </c>
      <c r="P994" t="str">
        <f>SUBSTITUTE(SUBSTITUTE(SUBSTITUTE(SUBSTITUTE(SUBSTITUTE(SUBSTITUTE(SUBSTITUTE(SUBSTITUTE(TRIM(D994&amp;""),CHAR(160),"")," ",""),"초등학교","초"),"중학교","중"),"고등학교","고"),"~","~~"),"*","~*"),"?","~?")</f>
      </c>
      <c r="Q994" t="str">
        <f>SUBSTITUTE(SUBSTITUTE(SUBSTITUTE(SUBSTITUTE(SUBSTITUTE(SUBSTITUTE(SUBSTITUTE(SUBSTITUTE(TRIM(E994&amp;""),CHAR(160),"")," ",""),"초등학교","초"),"중학교","중"),"고등학교","고"),"~","~~"),"*","~*"),"?","~?")</f>
      </c>
      <c r="R994" t="str">
        <f>IF(COUNTA(B994:J994)=0,"",IF(AND(O994&lt;&gt;"",P994&lt;&gt;"",Q994&lt;&gt;""),"","입력누락"))</f>
      </c>
    </row>
    <row r="995" customFormat="false" ht="15" hidden="false" customHeight="false" outlineLevel="0" collapsed="false">
      <c r="A995" t="n" s="19">
        <f aca="0">IF(COUNTA(B995:J995)=0,"",ROW()-1)</f>
      </c>
      <c r="B995" s="24"/>
      <c r="C995" s="25"/>
      <c r="D995" s="8"/>
      <c r="E995" s="8"/>
      <c r="F995" s="26"/>
      <c r="G995" s="24"/>
      <c r="H995" s="25"/>
      <c r="I995" s="25"/>
      <c r="J995" s="26"/>
      <c r="K995" t="str" s="15">
        <f aca="0">IF(COUNTA(B995:J995)=0,"",IF(R995&lt;&gt;"","확인필요(입력누락)",IF(COUNTIFS(보유목록!$I$2:$I$3001,"*"&amp;P995&amp;"*",보유목록!$I$2:$I$3001,"*"&amp;Q995&amp;"*",보유목록!$H$2:$H$3001,O995)&gt;0,"있음",IF(COUNTIFS(보유목록!$I$2:$I$3001,"*"&amp;P995&amp;"*",보유목록!$I$2:$I$3001,"*"&amp;Q995&amp;"*")&gt;0,"확인필요(연도다름)",IF(COUNTIFS(보유목록!$I$2:$I$3001,"*"&amp;P995&amp;"*",보유목록!$H$2:$H$3001,O995)&gt;0,"확인필요(같은학교·같은연도)","없음")))))</f>
      </c>
      <c r="L995" t="str" s="16">
        <f aca="0">IF(OR(COUNTA(B995:J995)=0,R995&lt;&gt;""),"",COUNTIFS(보유목록!$I$2:$I$3001,"*"&amp;P995&amp;"*",보유목록!$I$2:$I$3001,"*"&amp;Q995&amp;"*"))</f>
      </c>
      <c r="M995" t="str" s="23">
        <f aca="0">IF(OR(COUNTA(B995:J995)=0,R995&lt;&gt;""),"",IFERROR(LOOKUP(2,1/(ISNUMBER(SEARCH(P995,보유목록!$I$2:$I$3001))*ISNUMBER(SEARCH(Q995,보유목록!$I$2:$I$3001))*(보유목록!$H$2:$H$3001=O995)),보유목록!$B$2:$B$3001),IFERROR(LOOKUP(2,1/(ISNUMBER(SEARCH(P995,보유목록!$I$2:$I$3001))*ISNUMBER(SEARCH(Q995,보유목록!$I$2:$I$3001))),보유목록!$B$2:$B$3001),"")))</f>
      </c>
      <c r="N995" s="25"/>
      <c r="O995" t="str">
        <f>IFERROR(IF(AND(LEN(SUBSTITUTE(SUBSTITUTE(SUBSTITUTE(TRIM(C995&amp;""),CHAR(160),"")," ",""),"년",""))=4,VALUE(SUBSTITUTE(SUBSTITUTE(SUBSTITUTE(TRIM(C995&amp;""),CHAR(160),"")," ",""),"년",""))&gt;=1900,VALUE(SUBSTITUTE(SUBSTITUTE(SUBSTITUTE(TRIM(C995&amp;""),CHAR(160),"")," ",""),"년",""))&lt;=2099,TEXT(VALUE(SUBSTITUTE(SUBSTITUTE(SUBSTITUTE(TRIM(C995&amp;""),CHAR(160),"")," ",""),"년","")),"0000")=SUBSTITUTE(SUBSTITUTE(SUBSTITUTE(TRIM(C995&amp;""),CHAR(160),"")," ",""),"년","")),SUBSTITUTE(SUBSTITUTE(SUBSTITUTE(TRIM(C995&amp;""),CHAR(160),"")," ",""),"년",""),""),"")</f>
      </c>
      <c r="P995" t="str">
        <f>SUBSTITUTE(SUBSTITUTE(SUBSTITUTE(SUBSTITUTE(SUBSTITUTE(SUBSTITUTE(SUBSTITUTE(SUBSTITUTE(TRIM(D995&amp;""),CHAR(160),"")," ",""),"초등학교","초"),"중학교","중"),"고등학교","고"),"~","~~"),"*","~*"),"?","~?")</f>
      </c>
      <c r="Q995" t="str">
        <f>SUBSTITUTE(SUBSTITUTE(SUBSTITUTE(SUBSTITUTE(SUBSTITUTE(SUBSTITUTE(SUBSTITUTE(SUBSTITUTE(TRIM(E995&amp;""),CHAR(160),"")," ",""),"초등학교","초"),"중학교","중"),"고등학교","고"),"~","~~"),"*","~*"),"?","~?")</f>
      </c>
      <c r="R995" t="str">
        <f>IF(COUNTA(B995:J995)=0,"",IF(AND(O995&lt;&gt;"",P995&lt;&gt;"",Q995&lt;&gt;""),"","입력누락"))</f>
      </c>
    </row>
    <row r="996" customFormat="false" ht="15" hidden="false" customHeight="false" outlineLevel="0" collapsed="false">
      <c r="A996" t="n" s="19">
        <f aca="0">IF(COUNTA(B996:J996)=0,"",ROW()-1)</f>
      </c>
      <c r="B996" s="24"/>
      <c r="C996" s="25"/>
      <c r="D996" s="8"/>
      <c r="E996" s="8"/>
      <c r="F996" s="26"/>
      <c r="G996" s="24"/>
      <c r="H996" s="25"/>
      <c r="I996" s="25"/>
      <c r="J996" s="26"/>
      <c r="K996" t="str" s="15">
        <f aca="0">IF(COUNTA(B996:J996)=0,"",IF(R996&lt;&gt;"","확인필요(입력누락)",IF(COUNTIFS(보유목록!$I$2:$I$3001,"*"&amp;P996&amp;"*",보유목록!$I$2:$I$3001,"*"&amp;Q996&amp;"*",보유목록!$H$2:$H$3001,O996)&gt;0,"있음",IF(COUNTIFS(보유목록!$I$2:$I$3001,"*"&amp;P996&amp;"*",보유목록!$I$2:$I$3001,"*"&amp;Q996&amp;"*")&gt;0,"확인필요(연도다름)",IF(COUNTIFS(보유목록!$I$2:$I$3001,"*"&amp;P996&amp;"*",보유목록!$H$2:$H$3001,O996)&gt;0,"확인필요(같은학교·같은연도)","없음")))))</f>
      </c>
      <c r="L996" t="str" s="16">
        <f aca="0">IF(OR(COUNTA(B996:J996)=0,R996&lt;&gt;""),"",COUNTIFS(보유목록!$I$2:$I$3001,"*"&amp;P996&amp;"*",보유목록!$I$2:$I$3001,"*"&amp;Q996&amp;"*"))</f>
      </c>
      <c r="M996" t="str" s="23">
        <f aca="0">IF(OR(COUNTA(B996:J996)=0,R996&lt;&gt;""),"",IFERROR(LOOKUP(2,1/(ISNUMBER(SEARCH(P996,보유목록!$I$2:$I$3001))*ISNUMBER(SEARCH(Q996,보유목록!$I$2:$I$3001))*(보유목록!$H$2:$H$3001=O996)),보유목록!$B$2:$B$3001),IFERROR(LOOKUP(2,1/(ISNUMBER(SEARCH(P996,보유목록!$I$2:$I$3001))*ISNUMBER(SEARCH(Q996,보유목록!$I$2:$I$3001))),보유목록!$B$2:$B$3001),"")))</f>
      </c>
      <c r="N996" s="25"/>
      <c r="O996" t="str">
        <f>IFERROR(IF(AND(LEN(SUBSTITUTE(SUBSTITUTE(SUBSTITUTE(TRIM(C996&amp;""),CHAR(160),"")," ",""),"년",""))=4,VALUE(SUBSTITUTE(SUBSTITUTE(SUBSTITUTE(TRIM(C996&amp;""),CHAR(160),"")," ",""),"년",""))&gt;=1900,VALUE(SUBSTITUTE(SUBSTITUTE(SUBSTITUTE(TRIM(C996&amp;""),CHAR(160),"")," ",""),"년",""))&lt;=2099,TEXT(VALUE(SUBSTITUTE(SUBSTITUTE(SUBSTITUTE(TRIM(C996&amp;""),CHAR(160),"")," ",""),"년","")),"0000")=SUBSTITUTE(SUBSTITUTE(SUBSTITUTE(TRIM(C996&amp;""),CHAR(160),"")," ",""),"년","")),SUBSTITUTE(SUBSTITUTE(SUBSTITUTE(TRIM(C996&amp;""),CHAR(160),"")," ",""),"년",""),""),"")</f>
      </c>
      <c r="P996" t="str">
        <f>SUBSTITUTE(SUBSTITUTE(SUBSTITUTE(SUBSTITUTE(SUBSTITUTE(SUBSTITUTE(SUBSTITUTE(SUBSTITUTE(TRIM(D996&amp;""),CHAR(160),"")," ",""),"초등학교","초"),"중학교","중"),"고등학교","고"),"~","~~"),"*","~*"),"?","~?")</f>
      </c>
      <c r="Q996" t="str">
        <f>SUBSTITUTE(SUBSTITUTE(SUBSTITUTE(SUBSTITUTE(SUBSTITUTE(SUBSTITUTE(SUBSTITUTE(SUBSTITUTE(TRIM(E996&amp;""),CHAR(160),"")," ",""),"초등학교","초"),"중학교","중"),"고등학교","고"),"~","~~"),"*","~*"),"?","~?")</f>
      </c>
      <c r="R996" t="str">
        <f>IF(COUNTA(B996:J996)=0,"",IF(AND(O996&lt;&gt;"",P996&lt;&gt;"",Q996&lt;&gt;""),"","입력누락"))</f>
      </c>
    </row>
    <row r="997" customFormat="false" ht="15" hidden="false" customHeight="false" outlineLevel="0" collapsed="false">
      <c r="A997" t="n" s="19">
        <f aca="0">IF(COUNTA(B997:J997)=0,"",ROW()-1)</f>
      </c>
      <c r="B997" s="24"/>
      <c r="C997" s="25"/>
      <c r="D997" s="8"/>
      <c r="E997" s="8"/>
      <c r="F997" s="26"/>
      <c r="G997" s="24"/>
      <c r="H997" s="25"/>
      <c r="I997" s="25"/>
      <c r="J997" s="26"/>
      <c r="K997" t="str" s="15">
        <f aca="0">IF(COUNTA(B997:J997)=0,"",IF(R997&lt;&gt;"","확인필요(입력누락)",IF(COUNTIFS(보유목록!$I$2:$I$3001,"*"&amp;P997&amp;"*",보유목록!$I$2:$I$3001,"*"&amp;Q997&amp;"*",보유목록!$H$2:$H$3001,O997)&gt;0,"있음",IF(COUNTIFS(보유목록!$I$2:$I$3001,"*"&amp;P997&amp;"*",보유목록!$I$2:$I$3001,"*"&amp;Q997&amp;"*")&gt;0,"확인필요(연도다름)",IF(COUNTIFS(보유목록!$I$2:$I$3001,"*"&amp;P997&amp;"*",보유목록!$H$2:$H$3001,O997)&gt;0,"확인필요(같은학교·같은연도)","없음")))))</f>
      </c>
      <c r="L997" t="str" s="16">
        <f aca="0">IF(OR(COUNTA(B997:J997)=0,R997&lt;&gt;""),"",COUNTIFS(보유목록!$I$2:$I$3001,"*"&amp;P997&amp;"*",보유목록!$I$2:$I$3001,"*"&amp;Q997&amp;"*"))</f>
      </c>
      <c r="M997" t="str" s="23">
        <f aca="0">IF(OR(COUNTA(B997:J997)=0,R997&lt;&gt;""),"",IFERROR(LOOKUP(2,1/(ISNUMBER(SEARCH(P997,보유목록!$I$2:$I$3001))*ISNUMBER(SEARCH(Q997,보유목록!$I$2:$I$3001))*(보유목록!$H$2:$H$3001=O997)),보유목록!$B$2:$B$3001),IFERROR(LOOKUP(2,1/(ISNUMBER(SEARCH(P997,보유목록!$I$2:$I$3001))*ISNUMBER(SEARCH(Q997,보유목록!$I$2:$I$3001))),보유목록!$B$2:$B$3001),"")))</f>
      </c>
      <c r="N997" s="25"/>
      <c r="O997" t="str">
        <f>IFERROR(IF(AND(LEN(SUBSTITUTE(SUBSTITUTE(SUBSTITUTE(TRIM(C997&amp;""),CHAR(160),"")," ",""),"년",""))=4,VALUE(SUBSTITUTE(SUBSTITUTE(SUBSTITUTE(TRIM(C997&amp;""),CHAR(160),"")," ",""),"년",""))&gt;=1900,VALUE(SUBSTITUTE(SUBSTITUTE(SUBSTITUTE(TRIM(C997&amp;""),CHAR(160),"")," ",""),"년",""))&lt;=2099,TEXT(VALUE(SUBSTITUTE(SUBSTITUTE(SUBSTITUTE(TRIM(C997&amp;""),CHAR(160),"")," ",""),"년","")),"0000")=SUBSTITUTE(SUBSTITUTE(SUBSTITUTE(TRIM(C997&amp;""),CHAR(160),"")," ",""),"년","")),SUBSTITUTE(SUBSTITUTE(SUBSTITUTE(TRIM(C997&amp;""),CHAR(160),"")," ",""),"년",""),""),"")</f>
      </c>
      <c r="P997" t="str">
        <f>SUBSTITUTE(SUBSTITUTE(SUBSTITUTE(SUBSTITUTE(SUBSTITUTE(SUBSTITUTE(SUBSTITUTE(SUBSTITUTE(TRIM(D997&amp;""),CHAR(160),"")," ",""),"초등학교","초"),"중학교","중"),"고등학교","고"),"~","~~"),"*","~*"),"?","~?")</f>
      </c>
      <c r="Q997" t="str">
        <f>SUBSTITUTE(SUBSTITUTE(SUBSTITUTE(SUBSTITUTE(SUBSTITUTE(SUBSTITUTE(SUBSTITUTE(SUBSTITUTE(TRIM(E997&amp;""),CHAR(160),"")," ",""),"초등학교","초"),"중학교","중"),"고등학교","고"),"~","~~"),"*","~*"),"?","~?")</f>
      </c>
      <c r="R997" t="str">
        <f>IF(COUNTA(B997:J997)=0,"",IF(AND(O997&lt;&gt;"",P997&lt;&gt;"",Q997&lt;&gt;""),"","입력누락"))</f>
      </c>
    </row>
    <row r="998" customFormat="false" ht="15" hidden="false" customHeight="false" outlineLevel="0" collapsed="false">
      <c r="A998" t="n" s="19">
        <f aca="0">IF(COUNTA(B998:J998)=0,"",ROW()-1)</f>
      </c>
      <c r="B998" s="24"/>
      <c r="C998" s="25"/>
      <c r="D998" s="8"/>
      <c r="E998" s="8"/>
      <c r="F998" s="26"/>
      <c r="G998" s="24"/>
      <c r="H998" s="25"/>
      <c r="I998" s="25"/>
      <c r="J998" s="26"/>
      <c r="K998" t="str" s="15">
        <f aca="0">IF(COUNTA(B998:J998)=0,"",IF(R998&lt;&gt;"","확인필요(입력누락)",IF(COUNTIFS(보유목록!$I$2:$I$3001,"*"&amp;P998&amp;"*",보유목록!$I$2:$I$3001,"*"&amp;Q998&amp;"*",보유목록!$H$2:$H$3001,O998)&gt;0,"있음",IF(COUNTIFS(보유목록!$I$2:$I$3001,"*"&amp;P998&amp;"*",보유목록!$I$2:$I$3001,"*"&amp;Q998&amp;"*")&gt;0,"확인필요(연도다름)",IF(COUNTIFS(보유목록!$I$2:$I$3001,"*"&amp;P998&amp;"*",보유목록!$H$2:$H$3001,O998)&gt;0,"확인필요(같은학교·같은연도)","없음")))))</f>
      </c>
      <c r="L998" t="str" s="16">
        <f aca="0">IF(OR(COUNTA(B998:J998)=0,R998&lt;&gt;""),"",COUNTIFS(보유목록!$I$2:$I$3001,"*"&amp;P998&amp;"*",보유목록!$I$2:$I$3001,"*"&amp;Q998&amp;"*"))</f>
      </c>
      <c r="M998" t="str" s="23">
        <f aca="0">IF(OR(COUNTA(B998:J998)=0,R998&lt;&gt;""),"",IFERROR(LOOKUP(2,1/(ISNUMBER(SEARCH(P998,보유목록!$I$2:$I$3001))*ISNUMBER(SEARCH(Q998,보유목록!$I$2:$I$3001))*(보유목록!$H$2:$H$3001=O998)),보유목록!$B$2:$B$3001),IFERROR(LOOKUP(2,1/(ISNUMBER(SEARCH(P998,보유목록!$I$2:$I$3001))*ISNUMBER(SEARCH(Q998,보유목록!$I$2:$I$3001))),보유목록!$B$2:$B$3001),"")))</f>
      </c>
      <c r="N998" s="25"/>
      <c r="O998" t="str">
        <f>IFERROR(IF(AND(LEN(SUBSTITUTE(SUBSTITUTE(SUBSTITUTE(TRIM(C998&amp;""),CHAR(160),"")," ",""),"년",""))=4,VALUE(SUBSTITUTE(SUBSTITUTE(SUBSTITUTE(TRIM(C998&amp;""),CHAR(160),"")," ",""),"년",""))&gt;=1900,VALUE(SUBSTITUTE(SUBSTITUTE(SUBSTITUTE(TRIM(C998&amp;""),CHAR(160),"")," ",""),"년",""))&lt;=2099,TEXT(VALUE(SUBSTITUTE(SUBSTITUTE(SUBSTITUTE(TRIM(C998&amp;""),CHAR(160),"")," ",""),"년","")),"0000")=SUBSTITUTE(SUBSTITUTE(SUBSTITUTE(TRIM(C998&amp;""),CHAR(160),"")," ",""),"년","")),SUBSTITUTE(SUBSTITUTE(SUBSTITUTE(TRIM(C998&amp;""),CHAR(160),"")," ",""),"년",""),""),"")</f>
      </c>
      <c r="P998" t="str">
        <f>SUBSTITUTE(SUBSTITUTE(SUBSTITUTE(SUBSTITUTE(SUBSTITUTE(SUBSTITUTE(SUBSTITUTE(SUBSTITUTE(TRIM(D998&amp;""),CHAR(160),"")," ",""),"초등학교","초"),"중학교","중"),"고등학교","고"),"~","~~"),"*","~*"),"?","~?")</f>
      </c>
      <c r="Q998" t="str">
        <f>SUBSTITUTE(SUBSTITUTE(SUBSTITUTE(SUBSTITUTE(SUBSTITUTE(SUBSTITUTE(SUBSTITUTE(SUBSTITUTE(TRIM(E998&amp;""),CHAR(160),"")," ",""),"초등학교","초"),"중학교","중"),"고등학교","고"),"~","~~"),"*","~*"),"?","~?")</f>
      </c>
      <c r="R998" t="str">
        <f>IF(COUNTA(B998:J998)=0,"",IF(AND(O998&lt;&gt;"",P998&lt;&gt;"",Q998&lt;&gt;""),"","입력누락"))</f>
      </c>
    </row>
    <row r="999" customFormat="false" ht="15" hidden="false" customHeight="false" outlineLevel="0" collapsed="false">
      <c r="A999" t="n" s="19">
        <f aca="0">IF(COUNTA(B999:J999)=0,"",ROW()-1)</f>
      </c>
      <c r="B999" s="24"/>
      <c r="C999" s="25"/>
      <c r="D999" s="8"/>
      <c r="E999" s="8"/>
      <c r="F999" s="26"/>
      <c r="G999" s="24"/>
      <c r="H999" s="25"/>
      <c r="I999" s="25"/>
      <c r="J999" s="26"/>
      <c r="K999" t="str" s="15">
        <f aca="0">IF(COUNTA(B999:J999)=0,"",IF(R999&lt;&gt;"","확인필요(입력누락)",IF(COUNTIFS(보유목록!$I$2:$I$3001,"*"&amp;P999&amp;"*",보유목록!$I$2:$I$3001,"*"&amp;Q999&amp;"*",보유목록!$H$2:$H$3001,O999)&gt;0,"있음",IF(COUNTIFS(보유목록!$I$2:$I$3001,"*"&amp;P999&amp;"*",보유목록!$I$2:$I$3001,"*"&amp;Q999&amp;"*")&gt;0,"확인필요(연도다름)",IF(COUNTIFS(보유목록!$I$2:$I$3001,"*"&amp;P999&amp;"*",보유목록!$H$2:$H$3001,O999)&gt;0,"확인필요(같은학교·같은연도)","없음")))))</f>
      </c>
      <c r="L999" t="str" s="16">
        <f aca="0">IF(OR(COUNTA(B999:J999)=0,R999&lt;&gt;""),"",COUNTIFS(보유목록!$I$2:$I$3001,"*"&amp;P999&amp;"*",보유목록!$I$2:$I$3001,"*"&amp;Q999&amp;"*"))</f>
      </c>
      <c r="M999" t="str" s="23">
        <f aca="0">IF(OR(COUNTA(B999:J999)=0,R999&lt;&gt;""),"",IFERROR(LOOKUP(2,1/(ISNUMBER(SEARCH(P999,보유목록!$I$2:$I$3001))*ISNUMBER(SEARCH(Q999,보유목록!$I$2:$I$3001))*(보유목록!$H$2:$H$3001=O999)),보유목록!$B$2:$B$3001),IFERROR(LOOKUP(2,1/(ISNUMBER(SEARCH(P999,보유목록!$I$2:$I$3001))*ISNUMBER(SEARCH(Q999,보유목록!$I$2:$I$3001))),보유목록!$B$2:$B$3001),"")))</f>
      </c>
      <c r="N999" s="25"/>
      <c r="O999" t="str">
        <f>IFERROR(IF(AND(LEN(SUBSTITUTE(SUBSTITUTE(SUBSTITUTE(TRIM(C999&amp;""),CHAR(160),"")," ",""),"년",""))=4,VALUE(SUBSTITUTE(SUBSTITUTE(SUBSTITUTE(TRIM(C999&amp;""),CHAR(160),"")," ",""),"년",""))&gt;=1900,VALUE(SUBSTITUTE(SUBSTITUTE(SUBSTITUTE(TRIM(C999&amp;""),CHAR(160),"")," ",""),"년",""))&lt;=2099,TEXT(VALUE(SUBSTITUTE(SUBSTITUTE(SUBSTITUTE(TRIM(C999&amp;""),CHAR(160),"")," ",""),"년","")),"0000")=SUBSTITUTE(SUBSTITUTE(SUBSTITUTE(TRIM(C999&amp;""),CHAR(160),"")," ",""),"년","")),SUBSTITUTE(SUBSTITUTE(SUBSTITUTE(TRIM(C999&amp;""),CHAR(160),"")," ",""),"년",""),""),"")</f>
      </c>
      <c r="P999" t="str">
        <f>SUBSTITUTE(SUBSTITUTE(SUBSTITUTE(SUBSTITUTE(SUBSTITUTE(SUBSTITUTE(SUBSTITUTE(SUBSTITUTE(TRIM(D999&amp;""),CHAR(160),"")," ",""),"초등학교","초"),"중학교","중"),"고등학교","고"),"~","~~"),"*","~*"),"?","~?")</f>
      </c>
      <c r="Q999" t="str">
        <f>SUBSTITUTE(SUBSTITUTE(SUBSTITUTE(SUBSTITUTE(SUBSTITUTE(SUBSTITUTE(SUBSTITUTE(SUBSTITUTE(TRIM(E999&amp;""),CHAR(160),"")," ",""),"초등학교","초"),"중학교","중"),"고등학교","고"),"~","~~"),"*","~*"),"?","~?")</f>
      </c>
      <c r="R999" t="str">
        <f>IF(COUNTA(B999:J999)=0,"",IF(AND(O999&lt;&gt;"",P999&lt;&gt;"",Q999&lt;&gt;""),"","입력누락"))</f>
      </c>
    </row>
    <row r="1000" customFormat="false" ht="15" hidden="false" customHeight="false" outlineLevel="0" collapsed="false">
      <c r="A1000" t="n" s="19">
        <f aca="0">IF(COUNTA(B1000:J1000)=0,"",ROW()-1)</f>
      </c>
      <c r="B1000" s="24"/>
      <c r="C1000" s="25"/>
      <c r="D1000" s="8"/>
      <c r="E1000" s="8"/>
      <c r="F1000" s="26"/>
      <c r="G1000" s="24"/>
      <c r="H1000" s="25"/>
      <c r="I1000" s="25"/>
      <c r="J1000" s="26"/>
      <c r="K1000" t="str" s="15">
        <f aca="0">IF(COUNTA(B1000:J1000)=0,"",IF(R1000&lt;&gt;"","확인필요(입력누락)",IF(COUNTIFS(보유목록!$I$2:$I$3001,"*"&amp;P1000&amp;"*",보유목록!$I$2:$I$3001,"*"&amp;Q1000&amp;"*",보유목록!$H$2:$H$3001,O1000)&gt;0,"있음",IF(COUNTIFS(보유목록!$I$2:$I$3001,"*"&amp;P1000&amp;"*",보유목록!$I$2:$I$3001,"*"&amp;Q1000&amp;"*")&gt;0,"확인필요(연도다름)",IF(COUNTIFS(보유목록!$I$2:$I$3001,"*"&amp;P1000&amp;"*",보유목록!$H$2:$H$3001,O1000)&gt;0,"확인필요(같은학교·같은연도)","없음")))))</f>
      </c>
      <c r="L1000" t="str" s="16">
        <f aca="0">IF(OR(COUNTA(B1000:J1000)=0,R1000&lt;&gt;""),"",COUNTIFS(보유목록!$I$2:$I$3001,"*"&amp;P1000&amp;"*",보유목록!$I$2:$I$3001,"*"&amp;Q1000&amp;"*"))</f>
      </c>
      <c r="M1000" t="str" s="23">
        <f aca="0">IF(OR(COUNTA(B1000:J1000)=0,R1000&lt;&gt;""),"",IFERROR(LOOKUP(2,1/(ISNUMBER(SEARCH(P1000,보유목록!$I$2:$I$3001))*ISNUMBER(SEARCH(Q1000,보유목록!$I$2:$I$3001))*(보유목록!$H$2:$H$3001=O1000)),보유목록!$B$2:$B$3001),IFERROR(LOOKUP(2,1/(ISNUMBER(SEARCH(P1000,보유목록!$I$2:$I$3001))*ISNUMBER(SEARCH(Q1000,보유목록!$I$2:$I$3001))),보유목록!$B$2:$B$3001),"")))</f>
      </c>
      <c r="N1000" s="25"/>
      <c r="O1000" t="str">
        <f>IFERROR(IF(AND(LEN(SUBSTITUTE(SUBSTITUTE(SUBSTITUTE(TRIM(C1000&amp;""),CHAR(160),"")," ",""),"년",""))=4,VALUE(SUBSTITUTE(SUBSTITUTE(SUBSTITUTE(TRIM(C1000&amp;""),CHAR(160),"")," ",""),"년",""))&gt;=1900,VALUE(SUBSTITUTE(SUBSTITUTE(SUBSTITUTE(TRIM(C1000&amp;""),CHAR(160),"")," ",""),"년",""))&lt;=2099,TEXT(VALUE(SUBSTITUTE(SUBSTITUTE(SUBSTITUTE(TRIM(C1000&amp;""),CHAR(160),"")," ",""),"년","")),"0000")=SUBSTITUTE(SUBSTITUTE(SUBSTITUTE(TRIM(C1000&amp;""),CHAR(160),"")," ",""),"년","")),SUBSTITUTE(SUBSTITUTE(SUBSTITUTE(TRIM(C1000&amp;""),CHAR(160),"")," ",""),"년",""),""),"")</f>
      </c>
      <c r="P1000" t="str">
        <f>SUBSTITUTE(SUBSTITUTE(SUBSTITUTE(SUBSTITUTE(SUBSTITUTE(SUBSTITUTE(SUBSTITUTE(SUBSTITUTE(TRIM(D1000&amp;""),CHAR(160),"")," ",""),"초등학교","초"),"중학교","중"),"고등학교","고"),"~","~~"),"*","~*"),"?","~?")</f>
      </c>
      <c r="Q1000" t="str">
        <f>SUBSTITUTE(SUBSTITUTE(SUBSTITUTE(SUBSTITUTE(SUBSTITUTE(SUBSTITUTE(SUBSTITUTE(SUBSTITUTE(TRIM(E1000&amp;""),CHAR(160),"")," ",""),"초등학교","초"),"중학교","중"),"고등학교","고"),"~","~~"),"*","~*"),"?","~?")</f>
      </c>
      <c r="R1000" t="str">
        <f>IF(COUNTA(B1000:J1000)=0,"",IF(AND(O1000&lt;&gt;"",P1000&lt;&gt;"",Q1000&lt;&gt;""),"","입력누락"))</f>
      </c>
    </row>
    <row r="1001" customFormat="false" ht="15" hidden="false" customHeight="false" outlineLevel="0" collapsed="false">
      <c r="A1001" t="n" s="19">
        <f aca="0">IF(COUNTA(B1001:J1001)=0,"",ROW()-1)</f>
      </c>
      <c r="B1001" s="24"/>
      <c r="C1001" s="25"/>
      <c r="D1001" s="8"/>
      <c r="E1001" s="8"/>
      <c r="F1001" s="26"/>
      <c r="G1001" s="24"/>
      <c r="H1001" s="25"/>
      <c r="I1001" s="25"/>
      <c r="J1001" s="26"/>
      <c r="K1001" t="str" s="15">
        <f aca="0">IF(COUNTA(B1001:J1001)=0,"",IF(R1001&lt;&gt;"","확인필요(입력누락)",IF(COUNTIFS(보유목록!$I$2:$I$3001,"*"&amp;P1001&amp;"*",보유목록!$I$2:$I$3001,"*"&amp;Q1001&amp;"*",보유목록!$H$2:$H$3001,O1001)&gt;0,"있음",IF(COUNTIFS(보유목록!$I$2:$I$3001,"*"&amp;P1001&amp;"*",보유목록!$I$2:$I$3001,"*"&amp;Q1001&amp;"*")&gt;0,"확인필요(연도다름)",IF(COUNTIFS(보유목록!$I$2:$I$3001,"*"&amp;P1001&amp;"*",보유목록!$H$2:$H$3001,O1001)&gt;0,"확인필요(같은학교·같은연도)","없음")))))</f>
      </c>
      <c r="L1001" t="str" s="16">
        <f aca="0">IF(OR(COUNTA(B1001:J1001)=0,R1001&lt;&gt;""),"",COUNTIFS(보유목록!$I$2:$I$3001,"*"&amp;P1001&amp;"*",보유목록!$I$2:$I$3001,"*"&amp;Q1001&amp;"*"))</f>
      </c>
      <c r="M1001" t="str" s="23">
        <f aca="0">IF(OR(COUNTA(B1001:J1001)=0,R1001&lt;&gt;""),"",IFERROR(LOOKUP(2,1/(ISNUMBER(SEARCH(P1001,보유목록!$I$2:$I$3001))*ISNUMBER(SEARCH(Q1001,보유목록!$I$2:$I$3001))*(보유목록!$H$2:$H$3001=O1001)),보유목록!$B$2:$B$3001),IFERROR(LOOKUP(2,1/(ISNUMBER(SEARCH(P1001,보유목록!$I$2:$I$3001))*ISNUMBER(SEARCH(Q1001,보유목록!$I$2:$I$3001))),보유목록!$B$2:$B$3001),"")))</f>
      </c>
      <c r="N1001" s="25"/>
      <c r="O1001" t="str">
        <f>IFERROR(IF(AND(LEN(SUBSTITUTE(SUBSTITUTE(SUBSTITUTE(TRIM(C1001&amp;""),CHAR(160),"")," ",""),"년",""))=4,VALUE(SUBSTITUTE(SUBSTITUTE(SUBSTITUTE(TRIM(C1001&amp;""),CHAR(160),"")," ",""),"년",""))&gt;=1900,VALUE(SUBSTITUTE(SUBSTITUTE(SUBSTITUTE(TRIM(C1001&amp;""),CHAR(160),"")," ",""),"년",""))&lt;=2099,TEXT(VALUE(SUBSTITUTE(SUBSTITUTE(SUBSTITUTE(TRIM(C1001&amp;""),CHAR(160),"")," ",""),"년","")),"0000")=SUBSTITUTE(SUBSTITUTE(SUBSTITUTE(TRIM(C1001&amp;""),CHAR(160),"")," ",""),"년","")),SUBSTITUTE(SUBSTITUTE(SUBSTITUTE(TRIM(C1001&amp;""),CHAR(160),"")," ",""),"년",""),""),"")</f>
      </c>
      <c r="P1001" t="str">
        <f>SUBSTITUTE(SUBSTITUTE(SUBSTITUTE(SUBSTITUTE(SUBSTITUTE(SUBSTITUTE(SUBSTITUTE(SUBSTITUTE(TRIM(D1001&amp;""),CHAR(160),"")," ",""),"초등학교","초"),"중학교","중"),"고등학교","고"),"~","~~"),"*","~*"),"?","~?")</f>
      </c>
      <c r="Q1001" t="str">
        <f>SUBSTITUTE(SUBSTITUTE(SUBSTITUTE(SUBSTITUTE(SUBSTITUTE(SUBSTITUTE(SUBSTITUTE(SUBSTITUTE(TRIM(E1001&amp;""),CHAR(160),"")," ",""),"초등학교","초"),"중학교","중"),"고등학교","고"),"~","~~"),"*","~*"),"?","~?")</f>
      </c>
      <c r="R1001" t="str">
        <f>IF(COUNTA(B1001:J1001)=0,"",IF(AND(O1001&lt;&gt;"",P1001&lt;&gt;"",Q1001&lt;&gt;""),"","입력누락"))</f>
      </c>
    </row>
  </sheetData>
  <autoFilter ref="A1:N1001"/>
  <conditionalFormatting sqref="K2:K1001">
    <cfRule type="expression" priority="2" aboveAverage="0" equalAverage="0" bottom="0" percent="0" rank="0" text="" dxfId="9">
      <formula>$K2="있음"</formula>
    </cfRule>
    <cfRule type="expression" priority="3" aboveAverage="0" equalAverage="0" bottom="0" percent="0" rank="0" text="" dxfId="10">
      <formula>LEFT($K2,4)="확인필요"</formula>
    </cfRule>
    <cfRule type="expression" priority="4" aboveAverage="0" equalAverage="0" bottom="0" percent="0" rank="0" text="" dxfId="11">
      <formula>$K2="없음"</formula>
    </cfRule>
  </conditionalFormatting>
  <dataValidations count="4">
    <dataValidation allowBlank="true" errorStyle="stop" operator="between" showDropDown="false" showErrorMessage="false" showInputMessage="false" sqref="B2:B1001" type="list">
      <formula1>설정!$A$2:$A$31</formula1>
      <formula2>0</formula2>
    </dataValidation>
    <dataValidation allowBlank="true" errorStyle="stop" operator="between" showDropDown="false" showErrorMessage="false" showInputMessage="false" sqref="G2:G1001" type="list">
      <formula1>설정!$C$2:$C$21</formula1>
      <formula2>0</formula2>
    </dataValidation>
    <dataValidation allowBlank="true" errorStyle="stop" operator="between" showDropDown="false" showErrorMessage="false" showInputMessage="false" sqref="I2:I1001" type="list">
      <formula1>"원본,사본,모름"</formula1>
      <formula2>0</formula2>
    </dataValidation>
    <dataValidation allowBlank="true" errorStyle="stop" operator="between" showDropDown="false" showErrorMessage="false" showInputMessage="false" sqref="N2:N1001" type="list">
      <formula1>설정!$E$2:$E$5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12"/>
  </cols>
  <sheetData>
    <row r="1" customFormat="false" ht="17.15" hidden="false" customHeight="false" outlineLevel="0" collapsed="false">
      <c r="A1" s="27" t="s">
        <v>21</v>
      </c>
      <c r="B1" s="27" t="s">
        <v>67</v>
      </c>
      <c r="C1" s="27" t="s">
        <v>68</v>
      </c>
      <c r="D1" s="27" t="s">
        <v>36</v>
      </c>
      <c r="E1" s="27" t="s">
        <v>69</v>
      </c>
      <c r="F1" s="27" t="s">
        <v>70</v>
      </c>
      <c r="G1" s="27" t="s">
        <v>71</v>
      </c>
      <c r="H1" s="27" t="s">
        <v>72</v>
      </c>
      <c r="I1" s="27" t="s">
        <v>73</v>
      </c>
      <c r="J1" s="27" t="s">
        <v>74</v>
      </c>
    </row>
    <row r="2" customFormat="false" ht="17.15" hidden="false" customHeight="false" outlineLevel="0" collapsed="false">
      <c r="A2" s="9" t="str">
        <f aca="false">IF(설정!A2="","",설정!A2)</f>
        <v>사무실 캐비닛A</v>
      </c>
      <c r="B2" t="n" s="19">
        <f aca="0">IF($A2="","",SUMIFS(실물목록!$H$2:$H$1001,실물목록!$B$2:$B$1001,$A2))</f>
      </c>
      <c r="C2" s="19" t="n">
        <f aca="false">IF($A2="","",SUMIFS(실물목록!$H$2:$H$1001,실물목록!$B$2:$B$1001,$A2,실물목록!$K$2:$K$1001,"있음"))</f>
        <v>1</v>
      </c>
      <c r="D2" s="19" t="n">
        <f aca="false">IF($A2="","",SUMIFS(실물목록!$H$2:$H$1001,실물목록!$B$2:$B$1001,$A2,실물목록!$K$2:$K$1001,"확인필요*"))</f>
        <v>0</v>
      </c>
      <c r="E2" s="19" t="n">
        <f aca="false">IF($A2="","",SUMIFS(실물목록!$H$2:$H$1001,실물목록!$B$2:$B$1001,$A2,실물목록!$K$2:$K$1001,"없음"))</f>
        <v>0</v>
      </c>
      <c r="F2" s="19" t="n">
        <f aca="false">IF($A2="","",SUMIFS(실물목록!$H$2:$H$1001,실물목록!$B$2:$B$1001,$A2,실물목록!$N$2:$N$1001,"폐기후보"))</f>
        <v>1</v>
      </c>
      <c r="G2" s="19" t="n">
        <f aca="false">IF($A2="","",SUMIFS(실물목록!$H$2:$H$1001,실물목록!$B$2:$B$1001,$A2,실물목록!$N$2:$N$1001,"보관"))</f>
        <v>0</v>
      </c>
      <c r="H2" s="19" t="n">
        <f aca="false">IF($A2="","",SUMIFS(실물목록!$H$2:$H$1001,실물목록!$B$2:$B$1001,$A2,실물목록!$N$2:$N$1001,"등록요청"))</f>
        <v>0</v>
      </c>
      <c r="I2" s="19" t="n">
        <f aca="false">IF($A2="","",SUMIFS(실물목록!$H$2:$H$1001,실물목록!$B$2:$B$1001,$A2,실물목록!$N$2:$N$1001,"확인필요"))</f>
        <v>0</v>
      </c>
      <c r="J2" t="n" s="19">
        <f aca="0">IF($A2="","",SUMIFS(실물목록!$H$2:$H$1001,실물목록!$B$2:$B$1001,$A2,실물목록!$K$2:$K$1001,"&lt;&gt;",실물목록!$N$2:$N$1001,""))</f>
      </c>
    </row>
    <row r="3" customFormat="false" ht="17.15" hidden="false" customHeight="false" outlineLevel="0" collapsed="false">
      <c r="A3" s="9" t="str">
        <f aca="false">IF(설정!A3="","",설정!A3)</f>
        <v>사무실 캐비닛B</v>
      </c>
      <c r="B3" t="n" s="19">
        <f aca="0">IF($A3="","",SUMIFS(실물목록!$H$2:$H$1001,실물목록!$B$2:$B$1001,$A3))</f>
      </c>
      <c r="C3" s="19" t="n">
        <f aca="false">IF($A3="","",SUMIFS(실물목록!$H$2:$H$1001,실물목록!$B$2:$B$1001,$A3,실물목록!$K$2:$K$1001,"있음"))</f>
        <v>0</v>
      </c>
      <c r="D3" s="19" t="n">
        <f aca="false">IF($A3="","",SUMIFS(실물목록!$H$2:$H$1001,실물목록!$B$2:$B$1001,$A3,실물목록!$K$2:$K$1001,"확인필요*"))</f>
        <v>0</v>
      </c>
      <c r="E3" s="19" t="n">
        <f aca="false">IF($A3="","",SUMIFS(실물목록!$H$2:$H$1001,실물목록!$B$2:$B$1001,$A3,실물목록!$K$2:$K$1001,"없음"))</f>
        <v>0</v>
      </c>
      <c r="F3" s="19" t="n">
        <f aca="false">IF($A3="","",SUMIFS(실물목록!$H$2:$H$1001,실물목록!$B$2:$B$1001,$A3,실물목록!$N$2:$N$1001,"폐기후보"))</f>
        <v>0</v>
      </c>
      <c r="G3" s="19" t="n">
        <f aca="false">IF($A3="","",SUMIFS(실물목록!$H$2:$H$1001,실물목록!$B$2:$B$1001,$A3,실물목록!$N$2:$N$1001,"보관"))</f>
        <v>0</v>
      </c>
      <c r="H3" s="19" t="n">
        <f aca="false">IF($A3="","",SUMIFS(실물목록!$H$2:$H$1001,실물목록!$B$2:$B$1001,$A3,실물목록!$N$2:$N$1001,"등록요청"))</f>
        <v>0</v>
      </c>
      <c r="I3" s="19" t="n">
        <f aca="false">IF($A3="","",SUMIFS(실물목록!$H$2:$H$1001,실물목록!$B$2:$B$1001,$A3,실물목록!$N$2:$N$1001,"확인필요"))</f>
        <v>0</v>
      </c>
      <c r="J3" t="n" s="19">
        <f aca="0">IF($A3="","",SUMIFS(실물목록!$H$2:$H$1001,실물목록!$B$2:$B$1001,$A3,실물목록!$K$2:$K$1001,"&lt;&gt;",실물목록!$N$2:$N$1001,""))</f>
      </c>
    </row>
    <row r="4" customFormat="false" ht="17.15" hidden="false" customHeight="false" outlineLevel="0" collapsed="false">
      <c r="A4" s="9" t="str">
        <f aca="false">IF(설정!A4="","",설정!A4)</f>
        <v>서고 1번 선반</v>
      </c>
      <c r="B4" t="n" s="19">
        <f aca="0">IF($A4="","",SUMIFS(실물목록!$H$2:$H$1001,실물목록!$B$2:$B$1001,$A4))</f>
      </c>
      <c r="C4" s="19" t="n">
        <f aca="false">IF($A4="","",SUMIFS(실물목록!$H$2:$H$1001,실물목록!$B$2:$B$1001,$A4,실물목록!$K$2:$K$1001,"있음"))</f>
        <v>0</v>
      </c>
      <c r="D4" s="19" t="n">
        <f aca="false">IF($A4="","",SUMIFS(실물목록!$H$2:$H$1001,실물목록!$B$2:$B$1001,$A4,실물목록!$K$2:$K$1001,"확인필요*"))</f>
        <v>0</v>
      </c>
      <c r="E4" s="19" t="n">
        <f aca="false">IF($A4="","",SUMIFS(실물목록!$H$2:$H$1001,실물목록!$B$2:$B$1001,$A4,실물목록!$K$2:$K$1001,"없음"))</f>
        <v>0</v>
      </c>
      <c r="F4" s="19" t="n">
        <f aca="false">IF($A4="","",SUMIFS(실물목록!$H$2:$H$1001,실물목록!$B$2:$B$1001,$A4,실물목록!$N$2:$N$1001,"폐기후보"))</f>
        <v>0</v>
      </c>
      <c r="G4" s="19" t="n">
        <f aca="false">IF($A4="","",SUMIFS(실물목록!$H$2:$H$1001,실물목록!$B$2:$B$1001,$A4,실물목록!$N$2:$N$1001,"보관"))</f>
        <v>0</v>
      </c>
      <c r="H4" s="19" t="n">
        <f aca="false">IF($A4="","",SUMIFS(실물목록!$H$2:$H$1001,실물목록!$B$2:$B$1001,$A4,실물목록!$N$2:$N$1001,"등록요청"))</f>
        <v>0</v>
      </c>
      <c r="I4" s="19" t="n">
        <f aca="false">IF($A4="","",SUMIFS(실물목록!$H$2:$H$1001,실물목록!$B$2:$B$1001,$A4,실물목록!$N$2:$N$1001,"확인필요"))</f>
        <v>0</v>
      </c>
      <c r="J4" t="n" s="19">
        <f aca="0">IF($A4="","",SUMIFS(실물목록!$H$2:$H$1001,실물목록!$B$2:$B$1001,$A4,실물목록!$K$2:$K$1001,"&lt;&gt;",실물목록!$N$2:$N$1001,""))</f>
      </c>
    </row>
    <row r="5" customFormat="false" ht="17.15" hidden="false" customHeight="false" outlineLevel="0" collapsed="false">
      <c r="A5" s="9" t="str">
        <f aca="false">IF(설정!A5="","",설정!A5)</f>
        <v>서고 2번 선반</v>
      </c>
      <c r="B5" t="n" s="19">
        <f aca="0">IF($A5="","",SUMIFS(실물목록!$H$2:$H$1001,실물목록!$B$2:$B$1001,$A5))</f>
      </c>
      <c r="C5" s="19" t="n">
        <f aca="false">IF($A5="","",SUMIFS(실물목록!$H$2:$H$1001,실물목록!$B$2:$B$1001,$A5,실물목록!$K$2:$K$1001,"있음"))</f>
        <v>0</v>
      </c>
      <c r="D5" s="19" t="n">
        <f aca="false">IF($A5="","",SUMIFS(실물목록!$H$2:$H$1001,실물목록!$B$2:$B$1001,$A5,실물목록!$K$2:$K$1001,"확인필요*"))</f>
        <v>0</v>
      </c>
      <c r="E5" s="19" t="n">
        <f aca="false">IF($A5="","",SUMIFS(실물목록!$H$2:$H$1001,실물목록!$B$2:$B$1001,$A5,실물목록!$K$2:$K$1001,"없음"))</f>
        <v>0</v>
      </c>
      <c r="F5" s="19" t="n">
        <f aca="false">IF($A5="","",SUMIFS(실물목록!$H$2:$H$1001,실물목록!$B$2:$B$1001,$A5,실물목록!$N$2:$N$1001,"폐기후보"))</f>
        <v>0</v>
      </c>
      <c r="G5" s="19" t="n">
        <f aca="false">IF($A5="","",SUMIFS(실물목록!$H$2:$H$1001,실물목록!$B$2:$B$1001,$A5,실물목록!$N$2:$N$1001,"보관"))</f>
        <v>0</v>
      </c>
      <c r="H5" s="19" t="n">
        <f aca="false">IF($A5="","",SUMIFS(실물목록!$H$2:$H$1001,실물목록!$B$2:$B$1001,$A5,실물목록!$N$2:$N$1001,"등록요청"))</f>
        <v>0</v>
      </c>
      <c r="I5" s="19" t="n">
        <f aca="false">IF($A5="","",SUMIFS(실물목록!$H$2:$H$1001,실물목록!$B$2:$B$1001,$A5,실물목록!$N$2:$N$1001,"확인필요"))</f>
        <v>0</v>
      </c>
      <c r="J5" t="n" s="19">
        <f aca="0">IF($A5="","",SUMIFS(실물목록!$H$2:$H$1001,실물목록!$B$2:$B$1001,$A5,실물목록!$K$2:$K$1001,"&lt;&gt;",실물목록!$N$2:$N$1001,""))</f>
      </c>
    </row>
    <row r="6" customFormat="false" ht="15" hidden="false" customHeight="false" outlineLevel="0" collapsed="false">
      <c r="A6" s="9" t="str">
        <f aca="false">IF(설정!A6="","",설정!A6)</f>
        <v/>
      </c>
      <c r="B6" t="n" s="19">
        <f aca="0">IF($A6="","",SUMIFS(실물목록!$H$2:$H$1001,실물목록!$B$2:$B$1001,$A6))</f>
      </c>
      <c r="C6" s="19" t="str">
        <f aca="false">IF($A6="","",SUMIFS(실물목록!$H$2:$H$1001,실물목록!$B$2:$B$1001,$A6,실물목록!$K$2:$K$1001,"있음"))</f>
        <v/>
      </c>
      <c r="D6" s="19" t="str">
        <f aca="false">IF($A6="","",SUMIFS(실물목록!$H$2:$H$1001,실물목록!$B$2:$B$1001,$A6,실물목록!$K$2:$K$1001,"확인필요*"))</f>
        <v/>
      </c>
      <c r="E6" s="19" t="str">
        <f aca="false">IF($A6="","",SUMIFS(실물목록!$H$2:$H$1001,실물목록!$B$2:$B$1001,$A6,실물목록!$K$2:$K$1001,"없음"))</f>
        <v/>
      </c>
      <c r="F6" s="19" t="str">
        <f aca="false">IF($A6="","",SUMIFS(실물목록!$H$2:$H$1001,실물목록!$B$2:$B$1001,$A6,실물목록!$N$2:$N$1001,"폐기후보"))</f>
        <v/>
      </c>
      <c r="G6" s="19" t="str">
        <f aca="false">IF($A6="","",SUMIFS(실물목록!$H$2:$H$1001,실물목록!$B$2:$B$1001,$A6,실물목록!$N$2:$N$1001,"보관"))</f>
        <v/>
      </c>
      <c r="H6" s="19" t="str">
        <f aca="false">IF($A6="","",SUMIFS(실물목록!$H$2:$H$1001,실물목록!$B$2:$B$1001,$A6,실물목록!$N$2:$N$1001,"등록요청"))</f>
        <v/>
      </c>
      <c r="I6" s="19" t="str">
        <f aca="false">IF($A6="","",SUMIFS(실물목록!$H$2:$H$1001,실물목록!$B$2:$B$1001,$A6,실물목록!$N$2:$N$1001,"확인필요"))</f>
        <v/>
      </c>
      <c r="J6" t="n" s="19">
        <f aca="0">IF($A6="","",SUMIFS(실물목록!$H$2:$H$1001,실물목록!$B$2:$B$1001,$A6,실물목록!$K$2:$K$1001,"&lt;&gt;",실물목록!$N$2:$N$1001,""))</f>
      </c>
    </row>
    <row r="7" customFormat="false" ht="15" hidden="false" customHeight="false" outlineLevel="0" collapsed="false">
      <c r="A7" s="9" t="str">
        <f aca="false">IF(설정!A7="","",설정!A7)</f>
        <v/>
      </c>
      <c r="B7" t="n" s="19">
        <f aca="0">IF($A7="","",SUMIFS(실물목록!$H$2:$H$1001,실물목록!$B$2:$B$1001,$A7))</f>
      </c>
      <c r="C7" s="19" t="str">
        <f aca="false">IF($A7="","",SUMIFS(실물목록!$H$2:$H$1001,실물목록!$B$2:$B$1001,$A7,실물목록!$K$2:$K$1001,"있음"))</f>
        <v/>
      </c>
      <c r="D7" s="19" t="str">
        <f aca="false">IF($A7="","",SUMIFS(실물목록!$H$2:$H$1001,실물목록!$B$2:$B$1001,$A7,실물목록!$K$2:$K$1001,"확인필요*"))</f>
        <v/>
      </c>
      <c r="E7" s="19" t="str">
        <f aca="false">IF($A7="","",SUMIFS(실물목록!$H$2:$H$1001,실물목록!$B$2:$B$1001,$A7,실물목록!$K$2:$K$1001,"없음"))</f>
        <v/>
      </c>
      <c r="F7" s="19" t="str">
        <f aca="false">IF($A7="","",SUMIFS(실물목록!$H$2:$H$1001,실물목록!$B$2:$B$1001,$A7,실물목록!$N$2:$N$1001,"폐기후보"))</f>
        <v/>
      </c>
      <c r="G7" s="19" t="str">
        <f aca="false">IF($A7="","",SUMIFS(실물목록!$H$2:$H$1001,실물목록!$B$2:$B$1001,$A7,실물목록!$N$2:$N$1001,"보관"))</f>
        <v/>
      </c>
      <c r="H7" s="19" t="str">
        <f aca="false">IF($A7="","",SUMIFS(실물목록!$H$2:$H$1001,실물목록!$B$2:$B$1001,$A7,실물목록!$N$2:$N$1001,"등록요청"))</f>
        <v/>
      </c>
      <c r="I7" s="19" t="str">
        <f aca="false">IF($A7="","",SUMIFS(실물목록!$H$2:$H$1001,실물목록!$B$2:$B$1001,$A7,실물목록!$N$2:$N$1001,"확인필요"))</f>
        <v/>
      </c>
      <c r="J7" t="n" s="19">
        <f aca="0">IF($A7="","",SUMIFS(실물목록!$H$2:$H$1001,실물목록!$B$2:$B$1001,$A7,실물목록!$K$2:$K$1001,"&lt;&gt;",실물목록!$N$2:$N$1001,""))</f>
      </c>
    </row>
    <row r="8" customFormat="false" ht="15" hidden="false" customHeight="false" outlineLevel="0" collapsed="false">
      <c r="A8" s="9" t="str">
        <f aca="false">IF(설정!A8="","",설정!A8)</f>
        <v/>
      </c>
      <c r="B8" t="n" s="19">
        <f aca="0">IF($A8="","",SUMIFS(실물목록!$H$2:$H$1001,실물목록!$B$2:$B$1001,$A8))</f>
      </c>
      <c r="C8" s="19" t="str">
        <f aca="false">IF($A8="","",SUMIFS(실물목록!$H$2:$H$1001,실물목록!$B$2:$B$1001,$A8,실물목록!$K$2:$K$1001,"있음"))</f>
        <v/>
      </c>
      <c r="D8" s="19" t="str">
        <f aca="false">IF($A8="","",SUMIFS(실물목록!$H$2:$H$1001,실물목록!$B$2:$B$1001,$A8,실물목록!$K$2:$K$1001,"확인필요*"))</f>
        <v/>
      </c>
      <c r="E8" s="19" t="str">
        <f aca="false">IF($A8="","",SUMIFS(실물목록!$H$2:$H$1001,실물목록!$B$2:$B$1001,$A8,실물목록!$K$2:$K$1001,"없음"))</f>
        <v/>
      </c>
      <c r="F8" s="19" t="str">
        <f aca="false">IF($A8="","",SUMIFS(실물목록!$H$2:$H$1001,실물목록!$B$2:$B$1001,$A8,실물목록!$N$2:$N$1001,"폐기후보"))</f>
        <v/>
      </c>
      <c r="G8" s="19" t="str">
        <f aca="false">IF($A8="","",SUMIFS(실물목록!$H$2:$H$1001,실물목록!$B$2:$B$1001,$A8,실물목록!$N$2:$N$1001,"보관"))</f>
        <v/>
      </c>
      <c r="H8" s="19" t="str">
        <f aca="false">IF($A8="","",SUMIFS(실물목록!$H$2:$H$1001,실물목록!$B$2:$B$1001,$A8,실물목록!$N$2:$N$1001,"등록요청"))</f>
        <v/>
      </c>
      <c r="I8" s="19" t="str">
        <f aca="false">IF($A8="","",SUMIFS(실물목록!$H$2:$H$1001,실물목록!$B$2:$B$1001,$A8,실물목록!$N$2:$N$1001,"확인필요"))</f>
        <v/>
      </c>
      <c r="J8" t="n" s="19">
        <f aca="0">IF($A8="","",SUMIFS(실물목록!$H$2:$H$1001,실물목록!$B$2:$B$1001,$A8,실물목록!$K$2:$K$1001,"&lt;&gt;",실물목록!$N$2:$N$1001,""))</f>
      </c>
    </row>
    <row r="9" customFormat="false" ht="15" hidden="false" customHeight="false" outlineLevel="0" collapsed="false">
      <c r="A9" s="9" t="str">
        <f aca="false">IF(설정!A9="","",설정!A9)</f>
        <v/>
      </c>
      <c r="B9" t="n" s="19">
        <f aca="0">IF($A9="","",SUMIFS(실물목록!$H$2:$H$1001,실물목록!$B$2:$B$1001,$A9))</f>
      </c>
      <c r="C9" s="19" t="str">
        <f aca="false">IF($A9="","",SUMIFS(실물목록!$H$2:$H$1001,실물목록!$B$2:$B$1001,$A9,실물목록!$K$2:$K$1001,"있음"))</f>
        <v/>
      </c>
      <c r="D9" s="19" t="str">
        <f aca="false">IF($A9="","",SUMIFS(실물목록!$H$2:$H$1001,실물목록!$B$2:$B$1001,$A9,실물목록!$K$2:$K$1001,"확인필요*"))</f>
        <v/>
      </c>
      <c r="E9" s="19" t="str">
        <f aca="false">IF($A9="","",SUMIFS(실물목록!$H$2:$H$1001,실물목록!$B$2:$B$1001,$A9,실물목록!$K$2:$K$1001,"없음"))</f>
        <v/>
      </c>
      <c r="F9" s="19" t="str">
        <f aca="false">IF($A9="","",SUMIFS(실물목록!$H$2:$H$1001,실물목록!$B$2:$B$1001,$A9,실물목록!$N$2:$N$1001,"폐기후보"))</f>
        <v/>
      </c>
      <c r="G9" s="19" t="str">
        <f aca="false">IF($A9="","",SUMIFS(실물목록!$H$2:$H$1001,실물목록!$B$2:$B$1001,$A9,실물목록!$N$2:$N$1001,"보관"))</f>
        <v/>
      </c>
      <c r="H9" s="19" t="str">
        <f aca="false">IF($A9="","",SUMIFS(실물목록!$H$2:$H$1001,실물목록!$B$2:$B$1001,$A9,실물목록!$N$2:$N$1001,"등록요청"))</f>
        <v/>
      </c>
      <c r="I9" s="19" t="str">
        <f aca="false">IF($A9="","",SUMIFS(실물목록!$H$2:$H$1001,실물목록!$B$2:$B$1001,$A9,실물목록!$N$2:$N$1001,"확인필요"))</f>
        <v/>
      </c>
      <c r="J9" t="n" s="19">
        <f aca="0">IF($A9="","",SUMIFS(실물목록!$H$2:$H$1001,실물목록!$B$2:$B$1001,$A9,실물목록!$K$2:$K$1001,"&lt;&gt;",실물목록!$N$2:$N$1001,""))</f>
      </c>
    </row>
    <row r="10" customFormat="false" ht="15" hidden="false" customHeight="false" outlineLevel="0" collapsed="false">
      <c r="A10" s="9" t="str">
        <f aca="false">IF(설정!A10="","",설정!A10)</f>
        <v/>
      </c>
      <c r="B10" t="n" s="19">
        <f aca="0">IF($A10="","",SUMIFS(실물목록!$H$2:$H$1001,실물목록!$B$2:$B$1001,$A10))</f>
      </c>
      <c r="C10" s="19" t="str">
        <f aca="false">IF($A10="","",SUMIFS(실물목록!$H$2:$H$1001,실물목록!$B$2:$B$1001,$A10,실물목록!$K$2:$K$1001,"있음"))</f>
        <v/>
      </c>
      <c r="D10" s="19" t="str">
        <f aca="false">IF($A10="","",SUMIFS(실물목록!$H$2:$H$1001,실물목록!$B$2:$B$1001,$A10,실물목록!$K$2:$K$1001,"확인필요*"))</f>
        <v/>
      </c>
      <c r="E10" s="19" t="str">
        <f aca="false">IF($A10="","",SUMIFS(실물목록!$H$2:$H$1001,실물목록!$B$2:$B$1001,$A10,실물목록!$K$2:$K$1001,"없음"))</f>
        <v/>
      </c>
      <c r="F10" s="19" t="str">
        <f aca="false">IF($A10="","",SUMIFS(실물목록!$H$2:$H$1001,실물목록!$B$2:$B$1001,$A10,실물목록!$N$2:$N$1001,"폐기후보"))</f>
        <v/>
      </c>
      <c r="G10" s="19" t="str">
        <f aca="false">IF($A10="","",SUMIFS(실물목록!$H$2:$H$1001,실물목록!$B$2:$B$1001,$A10,실물목록!$N$2:$N$1001,"보관"))</f>
        <v/>
      </c>
      <c r="H10" s="19" t="str">
        <f aca="false">IF($A10="","",SUMIFS(실물목록!$H$2:$H$1001,실물목록!$B$2:$B$1001,$A10,실물목록!$N$2:$N$1001,"등록요청"))</f>
        <v/>
      </c>
      <c r="I10" s="19" t="str">
        <f aca="false">IF($A10="","",SUMIFS(실물목록!$H$2:$H$1001,실물목록!$B$2:$B$1001,$A10,실물목록!$N$2:$N$1001,"확인필요"))</f>
        <v/>
      </c>
      <c r="J10" t="n" s="19">
        <f aca="0">IF($A10="","",SUMIFS(실물목록!$H$2:$H$1001,실물목록!$B$2:$B$1001,$A10,실물목록!$K$2:$K$1001,"&lt;&gt;",실물목록!$N$2:$N$1001,""))</f>
      </c>
    </row>
    <row r="11" customFormat="false" ht="15" hidden="false" customHeight="false" outlineLevel="0" collapsed="false">
      <c r="A11" s="9" t="str">
        <f aca="false">IF(설정!A11="","",설정!A11)</f>
        <v/>
      </c>
      <c r="B11" t="n" s="19">
        <f aca="0">IF($A11="","",SUMIFS(실물목록!$H$2:$H$1001,실물목록!$B$2:$B$1001,$A11))</f>
      </c>
      <c r="C11" s="19" t="str">
        <f aca="false">IF($A11="","",SUMIFS(실물목록!$H$2:$H$1001,실물목록!$B$2:$B$1001,$A11,실물목록!$K$2:$K$1001,"있음"))</f>
        <v/>
      </c>
      <c r="D11" s="19" t="str">
        <f aca="false">IF($A11="","",SUMIFS(실물목록!$H$2:$H$1001,실물목록!$B$2:$B$1001,$A11,실물목록!$K$2:$K$1001,"확인필요*"))</f>
        <v/>
      </c>
      <c r="E11" s="19" t="str">
        <f aca="false">IF($A11="","",SUMIFS(실물목록!$H$2:$H$1001,실물목록!$B$2:$B$1001,$A11,실물목록!$K$2:$K$1001,"없음"))</f>
        <v/>
      </c>
      <c r="F11" s="19" t="str">
        <f aca="false">IF($A11="","",SUMIFS(실물목록!$H$2:$H$1001,실물목록!$B$2:$B$1001,$A11,실물목록!$N$2:$N$1001,"폐기후보"))</f>
        <v/>
      </c>
      <c r="G11" s="19" t="str">
        <f aca="false">IF($A11="","",SUMIFS(실물목록!$H$2:$H$1001,실물목록!$B$2:$B$1001,$A11,실물목록!$N$2:$N$1001,"보관"))</f>
        <v/>
      </c>
      <c r="H11" s="19" t="str">
        <f aca="false">IF($A11="","",SUMIFS(실물목록!$H$2:$H$1001,실물목록!$B$2:$B$1001,$A11,실물목록!$N$2:$N$1001,"등록요청"))</f>
        <v/>
      </c>
      <c r="I11" s="19" t="str">
        <f aca="false">IF($A11="","",SUMIFS(실물목록!$H$2:$H$1001,실물목록!$B$2:$B$1001,$A11,실물목록!$N$2:$N$1001,"확인필요"))</f>
        <v/>
      </c>
      <c r="J11" t="n" s="19">
        <f aca="0">IF($A11="","",SUMIFS(실물목록!$H$2:$H$1001,실물목록!$B$2:$B$1001,$A11,실물목록!$K$2:$K$1001,"&lt;&gt;",실물목록!$N$2:$N$1001,""))</f>
      </c>
    </row>
    <row r="12" customFormat="false" ht="15" hidden="false" customHeight="false" outlineLevel="0" collapsed="false">
      <c r="A12" s="9" t="str">
        <f aca="false">IF(설정!A12="","",설정!A12)</f>
        <v/>
      </c>
      <c r="B12" t="n" s="19">
        <f aca="0">IF($A12="","",SUMIFS(실물목록!$H$2:$H$1001,실물목록!$B$2:$B$1001,$A12))</f>
      </c>
      <c r="C12" s="19" t="str">
        <f aca="false">IF($A12="","",SUMIFS(실물목록!$H$2:$H$1001,실물목록!$B$2:$B$1001,$A12,실물목록!$K$2:$K$1001,"있음"))</f>
        <v/>
      </c>
      <c r="D12" s="19" t="str">
        <f aca="false">IF($A12="","",SUMIFS(실물목록!$H$2:$H$1001,실물목록!$B$2:$B$1001,$A12,실물목록!$K$2:$K$1001,"확인필요*"))</f>
        <v/>
      </c>
      <c r="E12" s="19" t="str">
        <f aca="false">IF($A12="","",SUMIFS(실물목록!$H$2:$H$1001,실물목록!$B$2:$B$1001,$A12,실물목록!$K$2:$K$1001,"없음"))</f>
        <v/>
      </c>
      <c r="F12" s="19" t="str">
        <f aca="false">IF($A12="","",SUMIFS(실물목록!$H$2:$H$1001,실물목록!$B$2:$B$1001,$A12,실물목록!$N$2:$N$1001,"폐기후보"))</f>
        <v/>
      </c>
      <c r="G12" s="19" t="str">
        <f aca="false">IF($A12="","",SUMIFS(실물목록!$H$2:$H$1001,실물목록!$B$2:$B$1001,$A12,실물목록!$N$2:$N$1001,"보관"))</f>
        <v/>
      </c>
      <c r="H12" s="19" t="str">
        <f aca="false">IF($A12="","",SUMIFS(실물목록!$H$2:$H$1001,실물목록!$B$2:$B$1001,$A12,실물목록!$N$2:$N$1001,"등록요청"))</f>
        <v/>
      </c>
      <c r="I12" s="19" t="str">
        <f aca="false">IF($A12="","",SUMIFS(실물목록!$H$2:$H$1001,실물목록!$B$2:$B$1001,$A12,실물목록!$N$2:$N$1001,"확인필요"))</f>
        <v/>
      </c>
      <c r="J12" t="n" s="19">
        <f aca="0">IF($A12="","",SUMIFS(실물목록!$H$2:$H$1001,실물목록!$B$2:$B$1001,$A12,실물목록!$K$2:$K$1001,"&lt;&gt;",실물목록!$N$2:$N$1001,""))</f>
      </c>
    </row>
    <row r="13" customFormat="false" ht="15" hidden="false" customHeight="false" outlineLevel="0" collapsed="false">
      <c r="A13" s="9" t="str">
        <f aca="false">IF(설정!A13="","",설정!A13)</f>
        <v/>
      </c>
      <c r="B13" t="n" s="19">
        <f aca="0">IF($A13="","",SUMIFS(실물목록!$H$2:$H$1001,실물목록!$B$2:$B$1001,$A13))</f>
      </c>
      <c r="C13" s="19" t="str">
        <f aca="false">IF($A13="","",SUMIFS(실물목록!$H$2:$H$1001,실물목록!$B$2:$B$1001,$A13,실물목록!$K$2:$K$1001,"있음"))</f>
        <v/>
      </c>
      <c r="D13" s="19" t="str">
        <f aca="false">IF($A13="","",SUMIFS(실물목록!$H$2:$H$1001,실물목록!$B$2:$B$1001,$A13,실물목록!$K$2:$K$1001,"확인필요*"))</f>
        <v/>
      </c>
      <c r="E13" s="19" t="str">
        <f aca="false">IF($A13="","",SUMIFS(실물목록!$H$2:$H$1001,실물목록!$B$2:$B$1001,$A13,실물목록!$K$2:$K$1001,"없음"))</f>
        <v/>
      </c>
      <c r="F13" s="19" t="str">
        <f aca="false">IF($A13="","",SUMIFS(실물목록!$H$2:$H$1001,실물목록!$B$2:$B$1001,$A13,실물목록!$N$2:$N$1001,"폐기후보"))</f>
        <v/>
      </c>
      <c r="G13" s="19" t="str">
        <f aca="false">IF($A13="","",SUMIFS(실물목록!$H$2:$H$1001,실물목록!$B$2:$B$1001,$A13,실물목록!$N$2:$N$1001,"보관"))</f>
        <v/>
      </c>
      <c r="H13" s="19" t="str">
        <f aca="false">IF($A13="","",SUMIFS(실물목록!$H$2:$H$1001,실물목록!$B$2:$B$1001,$A13,실물목록!$N$2:$N$1001,"등록요청"))</f>
        <v/>
      </c>
      <c r="I13" s="19" t="str">
        <f aca="false">IF($A13="","",SUMIFS(실물목록!$H$2:$H$1001,실물목록!$B$2:$B$1001,$A13,실물목록!$N$2:$N$1001,"확인필요"))</f>
        <v/>
      </c>
      <c r="J13" t="n" s="19">
        <f aca="0">IF($A13="","",SUMIFS(실물목록!$H$2:$H$1001,실물목록!$B$2:$B$1001,$A13,실물목록!$K$2:$K$1001,"&lt;&gt;",실물목록!$N$2:$N$1001,""))</f>
      </c>
    </row>
    <row r="14" customFormat="false" ht="15" hidden="false" customHeight="false" outlineLevel="0" collapsed="false">
      <c r="A14" s="9" t="str">
        <f aca="false">IF(설정!A14="","",설정!A14)</f>
        <v/>
      </c>
      <c r="B14" t="n" s="19">
        <f aca="0">IF($A14="","",SUMIFS(실물목록!$H$2:$H$1001,실물목록!$B$2:$B$1001,$A14))</f>
      </c>
      <c r="C14" s="19" t="str">
        <f aca="false">IF($A14="","",SUMIFS(실물목록!$H$2:$H$1001,실물목록!$B$2:$B$1001,$A14,실물목록!$K$2:$K$1001,"있음"))</f>
        <v/>
      </c>
      <c r="D14" s="19" t="str">
        <f aca="false">IF($A14="","",SUMIFS(실물목록!$H$2:$H$1001,실물목록!$B$2:$B$1001,$A14,실물목록!$K$2:$K$1001,"확인필요*"))</f>
        <v/>
      </c>
      <c r="E14" s="19" t="str">
        <f aca="false">IF($A14="","",SUMIFS(실물목록!$H$2:$H$1001,실물목록!$B$2:$B$1001,$A14,실물목록!$K$2:$K$1001,"없음"))</f>
        <v/>
      </c>
      <c r="F14" s="19" t="str">
        <f aca="false">IF($A14="","",SUMIFS(실물목록!$H$2:$H$1001,실물목록!$B$2:$B$1001,$A14,실물목록!$N$2:$N$1001,"폐기후보"))</f>
        <v/>
      </c>
      <c r="G14" s="19" t="str">
        <f aca="false">IF($A14="","",SUMIFS(실물목록!$H$2:$H$1001,실물목록!$B$2:$B$1001,$A14,실물목록!$N$2:$N$1001,"보관"))</f>
        <v/>
      </c>
      <c r="H14" s="19" t="str">
        <f aca="false">IF($A14="","",SUMIFS(실물목록!$H$2:$H$1001,실물목록!$B$2:$B$1001,$A14,실물목록!$N$2:$N$1001,"등록요청"))</f>
        <v/>
      </c>
      <c r="I14" s="19" t="str">
        <f aca="false">IF($A14="","",SUMIFS(실물목록!$H$2:$H$1001,실물목록!$B$2:$B$1001,$A14,실물목록!$N$2:$N$1001,"확인필요"))</f>
        <v/>
      </c>
      <c r="J14" t="n" s="19">
        <f aca="0">IF($A14="","",SUMIFS(실물목록!$H$2:$H$1001,실물목록!$B$2:$B$1001,$A14,실물목록!$K$2:$K$1001,"&lt;&gt;",실물목록!$N$2:$N$1001,""))</f>
      </c>
    </row>
    <row r="15" customFormat="false" ht="15" hidden="false" customHeight="false" outlineLevel="0" collapsed="false">
      <c r="A15" s="9" t="str">
        <f aca="false">IF(설정!A15="","",설정!A15)</f>
        <v/>
      </c>
      <c r="B15" t="n" s="19">
        <f aca="0">IF($A15="","",SUMIFS(실물목록!$H$2:$H$1001,실물목록!$B$2:$B$1001,$A15))</f>
      </c>
      <c r="C15" s="19" t="str">
        <f aca="false">IF($A15="","",SUMIFS(실물목록!$H$2:$H$1001,실물목록!$B$2:$B$1001,$A15,실물목록!$K$2:$K$1001,"있음"))</f>
        <v/>
      </c>
      <c r="D15" s="19" t="str">
        <f aca="false">IF($A15="","",SUMIFS(실물목록!$H$2:$H$1001,실물목록!$B$2:$B$1001,$A15,실물목록!$K$2:$K$1001,"확인필요*"))</f>
        <v/>
      </c>
      <c r="E15" s="19" t="str">
        <f aca="false">IF($A15="","",SUMIFS(실물목록!$H$2:$H$1001,실물목록!$B$2:$B$1001,$A15,실물목록!$K$2:$K$1001,"없음"))</f>
        <v/>
      </c>
      <c r="F15" s="19" t="str">
        <f aca="false">IF($A15="","",SUMIFS(실물목록!$H$2:$H$1001,실물목록!$B$2:$B$1001,$A15,실물목록!$N$2:$N$1001,"폐기후보"))</f>
        <v/>
      </c>
      <c r="G15" s="19" t="str">
        <f aca="false">IF($A15="","",SUMIFS(실물목록!$H$2:$H$1001,실물목록!$B$2:$B$1001,$A15,실물목록!$N$2:$N$1001,"보관"))</f>
        <v/>
      </c>
      <c r="H15" s="19" t="str">
        <f aca="false">IF($A15="","",SUMIFS(실물목록!$H$2:$H$1001,실물목록!$B$2:$B$1001,$A15,실물목록!$N$2:$N$1001,"등록요청"))</f>
        <v/>
      </c>
      <c r="I15" s="19" t="str">
        <f aca="false">IF($A15="","",SUMIFS(실물목록!$H$2:$H$1001,실물목록!$B$2:$B$1001,$A15,실물목록!$N$2:$N$1001,"확인필요"))</f>
        <v/>
      </c>
      <c r="J15" t="n" s="19">
        <f aca="0">IF($A15="","",SUMIFS(실물목록!$H$2:$H$1001,실물목록!$B$2:$B$1001,$A15,실물목록!$K$2:$K$1001,"&lt;&gt;",실물목록!$N$2:$N$1001,""))</f>
      </c>
    </row>
    <row r="16" customFormat="false" ht="15" hidden="false" customHeight="false" outlineLevel="0" collapsed="false">
      <c r="A16" s="9" t="str">
        <f aca="false">IF(설정!A16="","",설정!A16)</f>
        <v/>
      </c>
      <c r="B16" t="n" s="19">
        <f aca="0">IF($A16="","",SUMIFS(실물목록!$H$2:$H$1001,실물목록!$B$2:$B$1001,$A16))</f>
      </c>
      <c r="C16" s="19" t="str">
        <f aca="false">IF($A16="","",SUMIFS(실물목록!$H$2:$H$1001,실물목록!$B$2:$B$1001,$A16,실물목록!$K$2:$K$1001,"있음"))</f>
        <v/>
      </c>
      <c r="D16" s="19" t="str">
        <f aca="false">IF($A16="","",SUMIFS(실물목록!$H$2:$H$1001,실물목록!$B$2:$B$1001,$A16,실물목록!$K$2:$K$1001,"확인필요*"))</f>
        <v/>
      </c>
      <c r="E16" s="19" t="str">
        <f aca="false">IF($A16="","",SUMIFS(실물목록!$H$2:$H$1001,실물목록!$B$2:$B$1001,$A16,실물목록!$K$2:$K$1001,"없음"))</f>
        <v/>
      </c>
      <c r="F16" s="19" t="str">
        <f aca="false">IF($A16="","",SUMIFS(실물목록!$H$2:$H$1001,실물목록!$B$2:$B$1001,$A16,실물목록!$N$2:$N$1001,"폐기후보"))</f>
        <v/>
      </c>
      <c r="G16" s="19" t="str">
        <f aca="false">IF($A16="","",SUMIFS(실물목록!$H$2:$H$1001,실물목록!$B$2:$B$1001,$A16,실물목록!$N$2:$N$1001,"보관"))</f>
        <v/>
      </c>
      <c r="H16" s="19" t="str">
        <f aca="false">IF($A16="","",SUMIFS(실물목록!$H$2:$H$1001,실물목록!$B$2:$B$1001,$A16,실물목록!$N$2:$N$1001,"등록요청"))</f>
        <v/>
      </c>
      <c r="I16" s="19" t="str">
        <f aca="false">IF($A16="","",SUMIFS(실물목록!$H$2:$H$1001,실물목록!$B$2:$B$1001,$A16,실물목록!$N$2:$N$1001,"확인필요"))</f>
        <v/>
      </c>
      <c r="J16" t="n" s="19">
        <f aca="0">IF($A16="","",SUMIFS(실물목록!$H$2:$H$1001,실물목록!$B$2:$B$1001,$A16,실물목록!$K$2:$K$1001,"&lt;&gt;",실물목록!$N$2:$N$1001,""))</f>
      </c>
    </row>
    <row r="17" customFormat="false" ht="15" hidden="false" customHeight="false" outlineLevel="0" collapsed="false">
      <c r="A17" s="9" t="str">
        <f aca="false">IF(설정!A17="","",설정!A17)</f>
        <v/>
      </c>
      <c r="B17" t="n" s="19">
        <f aca="0">IF($A17="","",SUMIFS(실물목록!$H$2:$H$1001,실물목록!$B$2:$B$1001,$A17))</f>
      </c>
      <c r="C17" s="19" t="str">
        <f aca="false">IF($A17="","",SUMIFS(실물목록!$H$2:$H$1001,실물목록!$B$2:$B$1001,$A17,실물목록!$K$2:$K$1001,"있음"))</f>
        <v/>
      </c>
      <c r="D17" s="19" t="str">
        <f aca="false">IF($A17="","",SUMIFS(실물목록!$H$2:$H$1001,실물목록!$B$2:$B$1001,$A17,실물목록!$K$2:$K$1001,"확인필요*"))</f>
        <v/>
      </c>
      <c r="E17" s="19" t="str">
        <f aca="false">IF($A17="","",SUMIFS(실물목록!$H$2:$H$1001,실물목록!$B$2:$B$1001,$A17,실물목록!$K$2:$K$1001,"없음"))</f>
        <v/>
      </c>
      <c r="F17" s="19" t="str">
        <f aca="false">IF($A17="","",SUMIFS(실물목록!$H$2:$H$1001,실물목록!$B$2:$B$1001,$A17,실물목록!$N$2:$N$1001,"폐기후보"))</f>
        <v/>
      </c>
      <c r="G17" s="19" t="str">
        <f aca="false">IF($A17="","",SUMIFS(실물목록!$H$2:$H$1001,실물목록!$B$2:$B$1001,$A17,실물목록!$N$2:$N$1001,"보관"))</f>
        <v/>
      </c>
      <c r="H17" s="19" t="str">
        <f aca="false">IF($A17="","",SUMIFS(실물목록!$H$2:$H$1001,실물목록!$B$2:$B$1001,$A17,실물목록!$N$2:$N$1001,"등록요청"))</f>
        <v/>
      </c>
      <c r="I17" s="19" t="str">
        <f aca="false">IF($A17="","",SUMIFS(실물목록!$H$2:$H$1001,실물목록!$B$2:$B$1001,$A17,실물목록!$N$2:$N$1001,"확인필요"))</f>
        <v/>
      </c>
      <c r="J17" t="n" s="19">
        <f aca="0">IF($A17="","",SUMIFS(실물목록!$H$2:$H$1001,실물목록!$B$2:$B$1001,$A17,실물목록!$K$2:$K$1001,"&lt;&gt;",실물목록!$N$2:$N$1001,""))</f>
      </c>
    </row>
    <row r="18" customFormat="false" ht="15" hidden="false" customHeight="false" outlineLevel="0" collapsed="false">
      <c r="A18" s="9" t="str">
        <f aca="false">IF(설정!A18="","",설정!A18)</f>
        <v/>
      </c>
      <c r="B18" t="n" s="19">
        <f aca="0">IF($A18="","",SUMIFS(실물목록!$H$2:$H$1001,실물목록!$B$2:$B$1001,$A18))</f>
      </c>
      <c r="C18" s="19" t="str">
        <f aca="false">IF($A18="","",SUMIFS(실물목록!$H$2:$H$1001,실물목록!$B$2:$B$1001,$A18,실물목록!$K$2:$K$1001,"있음"))</f>
        <v/>
      </c>
      <c r="D18" s="19" t="str">
        <f aca="false">IF($A18="","",SUMIFS(실물목록!$H$2:$H$1001,실물목록!$B$2:$B$1001,$A18,실물목록!$K$2:$K$1001,"확인필요*"))</f>
        <v/>
      </c>
      <c r="E18" s="19" t="str">
        <f aca="false">IF($A18="","",SUMIFS(실물목록!$H$2:$H$1001,실물목록!$B$2:$B$1001,$A18,실물목록!$K$2:$K$1001,"없음"))</f>
        <v/>
      </c>
      <c r="F18" s="19" t="str">
        <f aca="false">IF($A18="","",SUMIFS(실물목록!$H$2:$H$1001,실물목록!$B$2:$B$1001,$A18,실물목록!$N$2:$N$1001,"폐기후보"))</f>
        <v/>
      </c>
      <c r="G18" s="19" t="str">
        <f aca="false">IF($A18="","",SUMIFS(실물목록!$H$2:$H$1001,실물목록!$B$2:$B$1001,$A18,실물목록!$N$2:$N$1001,"보관"))</f>
        <v/>
      </c>
      <c r="H18" s="19" t="str">
        <f aca="false">IF($A18="","",SUMIFS(실물목록!$H$2:$H$1001,실물목록!$B$2:$B$1001,$A18,실물목록!$N$2:$N$1001,"등록요청"))</f>
        <v/>
      </c>
      <c r="I18" s="19" t="str">
        <f aca="false">IF($A18="","",SUMIFS(실물목록!$H$2:$H$1001,실물목록!$B$2:$B$1001,$A18,실물목록!$N$2:$N$1001,"확인필요"))</f>
        <v/>
      </c>
      <c r="J18" t="n" s="19">
        <f aca="0">IF($A18="","",SUMIFS(실물목록!$H$2:$H$1001,실물목록!$B$2:$B$1001,$A18,실물목록!$K$2:$K$1001,"&lt;&gt;",실물목록!$N$2:$N$1001,""))</f>
      </c>
    </row>
    <row r="19" customFormat="false" ht="15" hidden="false" customHeight="false" outlineLevel="0" collapsed="false">
      <c r="A19" s="9" t="str">
        <f aca="false">IF(설정!A19="","",설정!A19)</f>
        <v/>
      </c>
      <c r="B19" t="n" s="19">
        <f aca="0">IF($A19="","",SUMIFS(실물목록!$H$2:$H$1001,실물목록!$B$2:$B$1001,$A19))</f>
      </c>
      <c r="C19" s="19" t="str">
        <f aca="false">IF($A19="","",SUMIFS(실물목록!$H$2:$H$1001,실물목록!$B$2:$B$1001,$A19,실물목록!$K$2:$K$1001,"있음"))</f>
        <v/>
      </c>
      <c r="D19" s="19" t="str">
        <f aca="false">IF($A19="","",SUMIFS(실물목록!$H$2:$H$1001,실물목록!$B$2:$B$1001,$A19,실물목록!$K$2:$K$1001,"확인필요*"))</f>
        <v/>
      </c>
      <c r="E19" s="19" t="str">
        <f aca="false">IF($A19="","",SUMIFS(실물목록!$H$2:$H$1001,실물목록!$B$2:$B$1001,$A19,실물목록!$K$2:$K$1001,"없음"))</f>
        <v/>
      </c>
      <c r="F19" s="19" t="str">
        <f aca="false">IF($A19="","",SUMIFS(실물목록!$H$2:$H$1001,실물목록!$B$2:$B$1001,$A19,실물목록!$N$2:$N$1001,"폐기후보"))</f>
        <v/>
      </c>
      <c r="G19" s="19" t="str">
        <f aca="false">IF($A19="","",SUMIFS(실물목록!$H$2:$H$1001,실물목록!$B$2:$B$1001,$A19,실물목록!$N$2:$N$1001,"보관"))</f>
        <v/>
      </c>
      <c r="H19" s="19" t="str">
        <f aca="false">IF($A19="","",SUMIFS(실물목록!$H$2:$H$1001,실물목록!$B$2:$B$1001,$A19,실물목록!$N$2:$N$1001,"등록요청"))</f>
        <v/>
      </c>
      <c r="I19" s="19" t="str">
        <f aca="false">IF($A19="","",SUMIFS(실물목록!$H$2:$H$1001,실물목록!$B$2:$B$1001,$A19,실물목록!$N$2:$N$1001,"확인필요"))</f>
        <v/>
      </c>
      <c r="J19" t="n" s="19">
        <f aca="0">IF($A19="","",SUMIFS(실물목록!$H$2:$H$1001,실물목록!$B$2:$B$1001,$A19,실물목록!$K$2:$K$1001,"&lt;&gt;",실물목록!$N$2:$N$1001,""))</f>
      </c>
    </row>
    <row r="20" customFormat="false" ht="15" hidden="false" customHeight="false" outlineLevel="0" collapsed="false">
      <c r="A20" s="9" t="str">
        <f aca="false">IF(설정!A20="","",설정!A20)</f>
        <v/>
      </c>
      <c r="B20" t="n" s="19">
        <f aca="0">IF($A20="","",SUMIFS(실물목록!$H$2:$H$1001,실물목록!$B$2:$B$1001,$A20))</f>
      </c>
      <c r="C20" s="19" t="str">
        <f aca="false">IF($A20="","",SUMIFS(실물목록!$H$2:$H$1001,실물목록!$B$2:$B$1001,$A20,실물목록!$K$2:$K$1001,"있음"))</f>
        <v/>
      </c>
      <c r="D20" s="19" t="str">
        <f aca="false">IF($A20="","",SUMIFS(실물목록!$H$2:$H$1001,실물목록!$B$2:$B$1001,$A20,실물목록!$K$2:$K$1001,"확인필요*"))</f>
        <v/>
      </c>
      <c r="E20" s="19" t="str">
        <f aca="false">IF($A20="","",SUMIFS(실물목록!$H$2:$H$1001,실물목록!$B$2:$B$1001,$A20,실물목록!$K$2:$K$1001,"없음"))</f>
        <v/>
      </c>
      <c r="F20" s="19" t="str">
        <f aca="false">IF($A20="","",SUMIFS(실물목록!$H$2:$H$1001,실물목록!$B$2:$B$1001,$A20,실물목록!$N$2:$N$1001,"폐기후보"))</f>
        <v/>
      </c>
      <c r="G20" s="19" t="str">
        <f aca="false">IF($A20="","",SUMIFS(실물목록!$H$2:$H$1001,실물목록!$B$2:$B$1001,$A20,실물목록!$N$2:$N$1001,"보관"))</f>
        <v/>
      </c>
      <c r="H20" s="19" t="str">
        <f aca="false">IF($A20="","",SUMIFS(실물목록!$H$2:$H$1001,실물목록!$B$2:$B$1001,$A20,실물목록!$N$2:$N$1001,"등록요청"))</f>
        <v/>
      </c>
      <c r="I20" s="19" t="str">
        <f aca="false">IF($A20="","",SUMIFS(실물목록!$H$2:$H$1001,실물목록!$B$2:$B$1001,$A20,실물목록!$N$2:$N$1001,"확인필요"))</f>
        <v/>
      </c>
      <c r="J20" t="n" s="19">
        <f aca="0">IF($A20="","",SUMIFS(실물목록!$H$2:$H$1001,실물목록!$B$2:$B$1001,$A20,실물목록!$K$2:$K$1001,"&lt;&gt;",실물목록!$N$2:$N$1001,""))</f>
      </c>
    </row>
    <row r="21" customFormat="false" ht="15" hidden="false" customHeight="false" outlineLevel="0" collapsed="false">
      <c r="A21" s="9" t="str">
        <f aca="false">IF(설정!A21="","",설정!A21)</f>
        <v/>
      </c>
      <c r="B21" t="n" s="19">
        <f aca="0">IF($A21="","",SUMIFS(실물목록!$H$2:$H$1001,실물목록!$B$2:$B$1001,$A21))</f>
      </c>
      <c r="C21" s="19" t="str">
        <f aca="false">IF($A21="","",SUMIFS(실물목록!$H$2:$H$1001,실물목록!$B$2:$B$1001,$A21,실물목록!$K$2:$K$1001,"있음"))</f>
        <v/>
      </c>
      <c r="D21" s="19" t="str">
        <f aca="false">IF($A21="","",SUMIFS(실물목록!$H$2:$H$1001,실물목록!$B$2:$B$1001,$A21,실물목록!$K$2:$K$1001,"확인필요*"))</f>
        <v/>
      </c>
      <c r="E21" s="19" t="str">
        <f aca="false">IF($A21="","",SUMIFS(실물목록!$H$2:$H$1001,실물목록!$B$2:$B$1001,$A21,실물목록!$K$2:$K$1001,"없음"))</f>
        <v/>
      </c>
      <c r="F21" s="19" t="str">
        <f aca="false">IF($A21="","",SUMIFS(실물목록!$H$2:$H$1001,실물목록!$B$2:$B$1001,$A21,실물목록!$N$2:$N$1001,"폐기후보"))</f>
        <v/>
      </c>
      <c r="G21" s="19" t="str">
        <f aca="false">IF($A21="","",SUMIFS(실물목록!$H$2:$H$1001,실물목록!$B$2:$B$1001,$A21,실물목록!$N$2:$N$1001,"보관"))</f>
        <v/>
      </c>
      <c r="H21" s="19" t="str">
        <f aca="false">IF($A21="","",SUMIFS(실물목록!$H$2:$H$1001,실물목록!$B$2:$B$1001,$A21,실물목록!$N$2:$N$1001,"등록요청"))</f>
        <v/>
      </c>
      <c r="I21" s="19" t="str">
        <f aca="false">IF($A21="","",SUMIFS(실물목록!$H$2:$H$1001,실물목록!$B$2:$B$1001,$A21,실물목록!$N$2:$N$1001,"확인필요"))</f>
        <v/>
      </c>
      <c r="J21" t="n" s="19">
        <f aca="0">IF($A21="","",SUMIFS(실물목록!$H$2:$H$1001,실물목록!$B$2:$B$1001,$A21,실물목록!$K$2:$K$1001,"&lt;&gt;",실물목록!$N$2:$N$1001,""))</f>
      </c>
    </row>
    <row r="22" customFormat="false" ht="15" hidden="false" customHeight="false" outlineLevel="0" collapsed="false">
      <c r="A22" s="9" t="str">
        <f aca="false">IF(설정!A22="","",설정!A22)</f>
        <v/>
      </c>
      <c r="B22" t="n" s="19">
        <f aca="0">IF($A22="","",SUMIFS(실물목록!$H$2:$H$1001,실물목록!$B$2:$B$1001,$A22))</f>
      </c>
      <c r="C22" s="19" t="str">
        <f aca="false">IF($A22="","",SUMIFS(실물목록!$H$2:$H$1001,실물목록!$B$2:$B$1001,$A22,실물목록!$K$2:$K$1001,"있음"))</f>
        <v/>
      </c>
      <c r="D22" s="19" t="str">
        <f aca="false">IF($A22="","",SUMIFS(실물목록!$H$2:$H$1001,실물목록!$B$2:$B$1001,$A22,실물목록!$K$2:$K$1001,"확인필요*"))</f>
        <v/>
      </c>
      <c r="E22" s="19" t="str">
        <f aca="false">IF($A22="","",SUMIFS(실물목록!$H$2:$H$1001,실물목록!$B$2:$B$1001,$A22,실물목록!$K$2:$K$1001,"없음"))</f>
        <v/>
      </c>
      <c r="F22" s="19" t="str">
        <f aca="false">IF($A22="","",SUMIFS(실물목록!$H$2:$H$1001,실물목록!$B$2:$B$1001,$A22,실물목록!$N$2:$N$1001,"폐기후보"))</f>
        <v/>
      </c>
      <c r="G22" s="19" t="str">
        <f aca="false">IF($A22="","",SUMIFS(실물목록!$H$2:$H$1001,실물목록!$B$2:$B$1001,$A22,실물목록!$N$2:$N$1001,"보관"))</f>
        <v/>
      </c>
      <c r="H22" s="19" t="str">
        <f aca="false">IF($A22="","",SUMIFS(실물목록!$H$2:$H$1001,실물목록!$B$2:$B$1001,$A22,실물목록!$N$2:$N$1001,"등록요청"))</f>
        <v/>
      </c>
      <c r="I22" s="19" t="str">
        <f aca="false">IF($A22="","",SUMIFS(실물목록!$H$2:$H$1001,실물목록!$B$2:$B$1001,$A22,실물목록!$N$2:$N$1001,"확인필요"))</f>
        <v/>
      </c>
      <c r="J22" t="n" s="19">
        <f aca="0">IF($A22="","",SUMIFS(실물목록!$H$2:$H$1001,실물목록!$B$2:$B$1001,$A22,실물목록!$K$2:$K$1001,"&lt;&gt;",실물목록!$N$2:$N$1001,""))</f>
      </c>
    </row>
    <row r="23" customFormat="false" ht="15" hidden="false" customHeight="false" outlineLevel="0" collapsed="false">
      <c r="A23" s="9" t="str">
        <f aca="false">IF(설정!A23="","",설정!A23)</f>
        <v/>
      </c>
      <c r="B23" t="n" s="19">
        <f aca="0">IF($A23="","",SUMIFS(실물목록!$H$2:$H$1001,실물목록!$B$2:$B$1001,$A23))</f>
      </c>
      <c r="C23" s="19" t="str">
        <f aca="false">IF($A23="","",SUMIFS(실물목록!$H$2:$H$1001,실물목록!$B$2:$B$1001,$A23,실물목록!$K$2:$K$1001,"있음"))</f>
        <v/>
      </c>
      <c r="D23" s="19" t="str">
        <f aca="false">IF($A23="","",SUMIFS(실물목록!$H$2:$H$1001,실물목록!$B$2:$B$1001,$A23,실물목록!$K$2:$K$1001,"확인필요*"))</f>
        <v/>
      </c>
      <c r="E23" s="19" t="str">
        <f aca="false">IF($A23="","",SUMIFS(실물목록!$H$2:$H$1001,실물목록!$B$2:$B$1001,$A23,실물목록!$K$2:$K$1001,"없음"))</f>
        <v/>
      </c>
      <c r="F23" s="19" t="str">
        <f aca="false">IF($A23="","",SUMIFS(실물목록!$H$2:$H$1001,실물목록!$B$2:$B$1001,$A23,실물목록!$N$2:$N$1001,"폐기후보"))</f>
        <v/>
      </c>
      <c r="G23" s="19" t="str">
        <f aca="false">IF($A23="","",SUMIFS(실물목록!$H$2:$H$1001,실물목록!$B$2:$B$1001,$A23,실물목록!$N$2:$N$1001,"보관"))</f>
        <v/>
      </c>
      <c r="H23" s="19" t="str">
        <f aca="false">IF($A23="","",SUMIFS(실물목록!$H$2:$H$1001,실물목록!$B$2:$B$1001,$A23,실물목록!$N$2:$N$1001,"등록요청"))</f>
        <v/>
      </c>
      <c r="I23" s="19" t="str">
        <f aca="false">IF($A23="","",SUMIFS(실물목록!$H$2:$H$1001,실물목록!$B$2:$B$1001,$A23,실물목록!$N$2:$N$1001,"확인필요"))</f>
        <v/>
      </c>
      <c r="J23" t="n" s="19">
        <f aca="0">IF($A23="","",SUMIFS(실물목록!$H$2:$H$1001,실물목록!$B$2:$B$1001,$A23,실물목록!$K$2:$K$1001,"&lt;&gt;",실물목록!$N$2:$N$1001,""))</f>
      </c>
    </row>
    <row r="24" customFormat="false" ht="15" hidden="false" customHeight="false" outlineLevel="0" collapsed="false">
      <c r="A24" s="9" t="str">
        <f aca="false">IF(설정!A24="","",설정!A24)</f>
        <v/>
      </c>
      <c r="B24" t="n" s="19">
        <f aca="0">IF($A24="","",SUMIFS(실물목록!$H$2:$H$1001,실물목록!$B$2:$B$1001,$A24))</f>
      </c>
      <c r="C24" s="19" t="str">
        <f aca="false">IF($A24="","",SUMIFS(실물목록!$H$2:$H$1001,실물목록!$B$2:$B$1001,$A24,실물목록!$K$2:$K$1001,"있음"))</f>
        <v/>
      </c>
      <c r="D24" s="19" t="str">
        <f aca="false">IF($A24="","",SUMIFS(실물목록!$H$2:$H$1001,실물목록!$B$2:$B$1001,$A24,실물목록!$K$2:$K$1001,"확인필요*"))</f>
        <v/>
      </c>
      <c r="E24" s="19" t="str">
        <f aca="false">IF($A24="","",SUMIFS(실물목록!$H$2:$H$1001,실물목록!$B$2:$B$1001,$A24,실물목록!$K$2:$K$1001,"없음"))</f>
        <v/>
      </c>
      <c r="F24" s="19" t="str">
        <f aca="false">IF($A24="","",SUMIFS(실물목록!$H$2:$H$1001,실물목록!$B$2:$B$1001,$A24,실물목록!$N$2:$N$1001,"폐기후보"))</f>
        <v/>
      </c>
      <c r="G24" s="19" t="str">
        <f aca="false">IF($A24="","",SUMIFS(실물목록!$H$2:$H$1001,실물목록!$B$2:$B$1001,$A24,실물목록!$N$2:$N$1001,"보관"))</f>
        <v/>
      </c>
      <c r="H24" s="19" t="str">
        <f aca="false">IF($A24="","",SUMIFS(실물목록!$H$2:$H$1001,실물목록!$B$2:$B$1001,$A24,실물목록!$N$2:$N$1001,"등록요청"))</f>
        <v/>
      </c>
      <c r="I24" s="19" t="str">
        <f aca="false">IF($A24="","",SUMIFS(실물목록!$H$2:$H$1001,실물목록!$B$2:$B$1001,$A24,실물목록!$N$2:$N$1001,"확인필요"))</f>
        <v/>
      </c>
      <c r="J24" t="n" s="19">
        <f aca="0">IF($A24="","",SUMIFS(실물목록!$H$2:$H$1001,실물목록!$B$2:$B$1001,$A24,실물목록!$K$2:$K$1001,"&lt;&gt;",실물목록!$N$2:$N$1001,""))</f>
      </c>
    </row>
    <row r="25" customFormat="false" ht="15" hidden="false" customHeight="false" outlineLevel="0" collapsed="false">
      <c r="A25" s="9" t="str">
        <f aca="false">IF(설정!A25="","",설정!A25)</f>
        <v/>
      </c>
      <c r="B25" t="n" s="19">
        <f aca="0">IF($A25="","",SUMIFS(실물목록!$H$2:$H$1001,실물목록!$B$2:$B$1001,$A25))</f>
      </c>
      <c r="C25" s="19" t="str">
        <f aca="false">IF($A25="","",SUMIFS(실물목록!$H$2:$H$1001,실물목록!$B$2:$B$1001,$A25,실물목록!$K$2:$K$1001,"있음"))</f>
        <v/>
      </c>
      <c r="D25" s="19" t="str">
        <f aca="false">IF($A25="","",SUMIFS(실물목록!$H$2:$H$1001,실물목록!$B$2:$B$1001,$A25,실물목록!$K$2:$K$1001,"확인필요*"))</f>
        <v/>
      </c>
      <c r="E25" s="19" t="str">
        <f aca="false">IF($A25="","",SUMIFS(실물목록!$H$2:$H$1001,실물목록!$B$2:$B$1001,$A25,실물목록!$K$2:$K$1001,"없음"))</f>
        <v/>
      </c>
      <c r="F25" s="19" t="str">
        <f aca="false">IF($A25="","",SUMIFS(실물목록!$H$2:$H$1001,실물목록!$B$2:$B$1001,$A25,실물목록!$N$2:$N$1001,"폐기후보"))</f>
        <v/>
      </c>
      <c r="G25" s="19" t="str">
        <f aca="false">IF($A25="","",SUMIFS(실물목록!$H$2:$H$1001,실물목록!$B$2:$B$1001,$A25,실물목록!$N$2:$N$1001,"보관"))</f>
        <v/>
      </c>
      <c r="H25" s="19" t="str">
        <f aca="false">IF($A25="","",SUMIFS(실물목록!$H$2:$H$1001,실물목록!$B$2:$B$1001,$A25,실물목록!$N$2:$N$1001,"등록요청"))</f>
        <v/>
      </c>
      <c r="I25" s="19" t="str">
        <f aca="false">IF($A25="","",SUMIFS(실물목록!$H$2:$H$1001,실물목록!$B$2:$B$1001,$A25,실물목록!$N$2:$N$1001,"확인필요"))</f>
        <v/>
      </c>
      <c r="J25" t="n" s="19">
        <f aca="0">IF($A25="","",SUMIFS(실물목록!$H$2:$H$1001,실물목록!$B$2:$B$1001,$A25,실물목록!$K$2:$K$1001,"&lt;&gt;",실물목록!$N$2:$N$1001,""))</f>
      </c>
    </row>
    <row r="26" customFormat="false" ht="15" hidden="false" customHeight="false" outlineLevel="0" collapsed="false">
      <c r="A26" s="9" t="str">
        <f aca="false">IF(설정!A26="","",설정!A26)</f>
        <v/>
      </c>
      <c r="B26" t="n" s="19">
        <f aca="0">IF($A26="","",SUMIFS(실물목록!$H$2:$H$1001,실물목록!$B$2:$B$1001,$A26))</f>
      </c>
      <c r="C26" s="19" t="str">
        <f aca="false">IF($A26="","",SUMIFS(실물목록!$H$2:$H$1001,실물목록!$B$2:$B$1001,$A26,실물목록!$K$2:$K$1001,"있음"))</f>
        <v/>
      </c>
      <c r="D26" s="19" t="str">
        <f aca="false">IF($A26="","",SUMIFS(실물목록!$H$2:$H$1001,실물목록!$B$2:$B$1001,$A26,실물목록!$K$2:$K$1001,"확인필요*"))</f>
        <v/>
      </c>
      <c r="E26" s="19" t="str">
        <f aca="false">IF($A26="","",SUMIFS(실물목록!$H$2:$H$1001,실물목록!$B$2:$B$1001,$A26,실물목록!$K$2:$K$1001,"없음"))</f>
        <v/>
      </c>
      <c r="F26" s="19" t="str">
        <f aca="false">IF($A26="","",SUMIFS(실물목록!$H$2:$H$1001,실물목록!$B$2:$B$1001,$A26,실물목록!$N$2:$N$1001,"폐기후보"))</f>
        <v/>
      </c>
      <c r="G26" s="19" t="str">
        <f aca="false">IF($A26="","",SUMIFS(실물목록!$H$2:$H$1001,실물목록!$B$2:$B$1001,$A26,실물목록!$N$2:$N$1001,"보관"))</f>
        <v/>
      </c>
      <c r="H26" s="19" t="str">
        <f aca="false">IF($A26="","",SUMIFS(실물목록!$H$2:$H$1001,실물목록!$B$2:$B$1001,$A26,실물목록!$N$2:$N$1001,"등록요청"))</f>
        <v/>
      </c>
      <c r="I26" s="19" t="str">
        <f aca="false">IF($A26="","",SUMIFS(실물목록!$H$2:$H$1001,실물목록!$B$2:$B$1001,$A26,실물목록!$N$2:$N$1001,"확인필요"))</f>
        <v/>
      </c>
      <c r="J26" t="n" s="19">
        <f aca="0">IF($A26="","",SUMIFS(실물목록!$H$2:$H$1001,실물목록!$B$2:$B$1001,$A26,실물목록!$K$2:$K$1001,"&lt;&gt;",실물목록!$N$2:$N$1001,""))</f>
      </c>
    </row>
    <row r="27" customFormat="false" ht="15" hidden="false" customHeight="false" outlineLevel="0" collapsed="false">
      <c r="A27" s="9" t="str">
        <f aca="false">IF(설정!A27="","",설정!A27)</f>
        <v/>
      </c>
      <c r="B27" t="n" s="19">
        <f aca="0">IF($A27="","",SUMIFS(실물목록!$H$2:$H$1001,실물목록!$B$2:$B$1001,$A27))</f>
      </c>
      <c r="C27" s="19" t="str">
        <f aca="false">IF($A27="","",SUMIFS(실물목록!$H$2:$H$1001,실물목록!$B$2:$B$1001,$A27,실물목록!$K$2:$K$1001,"있음"))</f>
        <v/>
      </c>
      <c r="D27" s="19" t="str">
        <f aca="false">IF($A27="","",SUMIFS(실물목록!$H$2:$H$1001,실물목록!$B$2:$B$1001,$A27,실물목록!$K$2:$K$1001,"확인필요*"))</f>
        <v/>
      </c>
      <c r="E27" s="19" t="str">
        <f aca="false">IF($A27="","",SUMIFS(실물목록!$H$2:$H$1001,실물목록!$B$2:$B$1001,$A27,실물목록!$K$2:$K$1001,"없음"))</f>
        <v/>
      </c>
      <c r="F27" s="19" t="str">
        <f aca="false">IF($A27="","",SUMIFS(실물목록!$H$2:$H$1001,실물목록!$B$2:$B$1001,$A27,실물목록!$N$2:$N$1001,"폐기후보"))</f>
        <v/>
      </c>
      <c r="G27" s="19" t="str">
        <f aca="false">IF($A27="","",SUMIFS(실물목록!$H$2:$H$1001,실물목록!$B$2:$B$1001,$A27,실물목록!$N$2:$N$1001,"보관"))</f>
        <v/>
      </c>
      <c r="H27" s="19" t="str">
        <f aca="false">IF($A27="","",SUMIFS(실물목록!$H$2:$H$1001,실물목록!$B$2:$B$1001,$A27,실물목록!$N$2:$N$1001,"등록요청"))</f>
        <v/>
      </c>
      <c r="I27" s="19" t="str">
        <f aca="false">IF($A27="","",SUMIFS(실물목록!$H$2:$H$1001,실물목록!$B$2:$B$1001,$A27,실물목록!$N$2:$N$1001,"확인필요"))</f>
        <v/>
      </c>
      <c r="J27" t="n" s="19">
        <f aca="0">IF($A27="","",SUMIFS(실물목록!$H$2:$H$1001,실물목록!$B$2:$B$1001,$A27,실물목록!$K$2:$K$1001,"&lt;&gt;",실물목록!$N$2:$N$1001,""))</f>
      </c>
    </row>
    <row r="28" customFormat="false" ht="15" hidden="false" customHeight="false" outlineLevel="0" collapsed="false">
      <c r="A28" s="9" t="str">
        <f aca="false">IF(설정!A28="","",설정!A28)</f>
        <v/>
      </c>
      <c r="B28" t="n" s="19">
        <f aca="0">IF($A28="","",SUMIFS(실물목록!$H$2:$H$1001,실물목록!$B$2:$B$1001,$A28))</f>
      </c>
      <c r="C28" s="19" t="str">
        <f aca="false">IF($A28="","",SUMIFS(실물목록!$H$2:$H$1001,실물목록!$B$2:$B$1001,$A28,실물목록!$K$2:$K$1001,"있음"))</f>
        <v/>
      </c>
      <c r="D28" s="19" t="str">
        <f aca="false">IF($A28="","",SUMIFS(실물목록!$H$2:$H$1001,실물목록!$B$2:$B$1001,$A28,실물목록!$K$2:$K$1001,"확인필요*"))</f>
        <v/>
      </c>
      <c r="E28" s="19" t="str">
        <f aca="false">IF($A28="","",SUMIFS(실물목록!$H$2:$H$1001,실물목록!$B$2:$B$1001,$A28,실물목록!$K$2:$K$1001,"없음"))</f>
        <v/>
      </c>
      <c r="F28" s="19" t="str">
        <f aca="false">IF($A28="","",SUMIFS(실물목록!$H$2:$H$1001,실물목록!$B$2:$B$1001,$A28,실물목록!$N$2:$N$1001,"폐기후보"))</f>
        <v/>
      </c>
      <c r="G28" s="19" t="str">
        <f aca="false">IF($A28="","",SUMIFS(실물목록!$H$2:$H$1001,실물목록!$B$2:$B$1001,$A28,실물목록!$N$2:$N$1001,"보관"))</f>
        <v/>
      </c>
      <c r="H28" s="19" t="str">
        <f aca="false">IF($A28="","",SUMIFS(실물목록!$H$2:$H$1001,실물목록!$B$2:$B$1001,$A28,실물목록!$N$2:$N$1001,"등록요청"))</f>
        <v/>
      </c>
      <c r="I28" s="19" t="str">
        <f aca="false">IF($A28="","",SUMIFS(실물목록!$H$2:$H$1001,실물목록!$B$2:$B$1001,$A28,실물목록!$N$2:$N$1001,"확인필요"))</f>
        <v/>
      </c>
      <c r="J28" t="n" s="19">
        <f aca="0">IF($A28="","",SUMIFS(실물목록!$H$2:$H$1001,실물목록!$B$2:$B$1001,$A28,실물목록!$K$2:$K$1001,"&lt;&gt;",실물목록!$N$2:$N$1001,""))</f>
      </c>
    </row>
    <row r="29" customFormat="false" ht="15" hidden="false" customHeight="false" outlineLevel="0" collapsed="false">
      <c r="A29" s="9" t="str">
        <f aca="false">IF(설정!A29="","",설정!A29)</f>
        <v/>
      </c>
      <c r="B29" t="n" s="19">
        <f aca="0">IF($A29="","",SUMIFS(실물목록!$H$2:$H$1001,실물목록!$B$2:$B$1001,$A29))</f>
      </c>
      <c r="C29" s="19" t="str">
        <f aca="false">IF($A29="","",SUMIFS(실물목록!$H$2:$H$1001,실물목록!$B$2:$B$1001,$A29,실물목록!$K$2:$K$1001,"있음"))</f>
        <v/>
      </c>
      <c r="D29" s="19" t="str">
        <f aca="false">IF($A29="","",SUMIFS(실물목록!$H$2:$H$1001,실물목록!$B$2:$B$1001,$A29,실물목록!$K$2:$K$1001,"확인필요*"))</f>
        <v/>
      </c>
      <c r="E29" s="19" t="str">
        <f aca="false">IF($A29="","",SUMIFS(실물목록!$H$2:$H$1001,실물목록!$B$2:$B$1001,$A29,실물목록!$K$2:$K$1001,"없음"))</f>
        <v/>
      </c>
      <c r="F29" s="19" t="str">
        <f aca="false">IF($A29="","",SUMIFS(실물목록!$H$2:$H$1001,실물목록!$B$2:$B$1001,$A29,실물목록!$N$2:$N$1001,"폐기후보"))</f>
        <v/>
      </c>
      <c r="G29" s="19" t="str">
        <f aca="false">IF($A29="","",SUMIFS(실물목록!$H$2:$H$1001,실물목록!$B$2:$B$1001,$A29,실물목록!$N$2:$N$1001,"보관"))</f>
        <v/>
      </c>
      <c r="H29" s="19" t="str">
        <f aca="false">IF($A29="","",SUMIFS(실물목록!$H$2:$H$1001,실물목록!$B$2:$B$1001,$A29,실물목록!$N$2:$N$1001,"등록요청"))</f>
        <v/>
      </c>
      <c r="I29" s="19" t="str">
        <f aca="false">IF($A29="","",SUMIFS(실물목록!$H$2:$H$1001,실물목록!$B$2:$B$1001,$A29,실물목록!$N$2:$N$1001,"확인필요"))</f>
        <v/>
      </c>
      <c r="J29" t="n" s="19">
        <f aca="0">IF($A29="","",SUMIFS(실물목록!$H$2:$H$1001,실물목록!$B$2:$B$1001,$A29,실물목록!$K$2:$K$1001,"&lt;&gt;",실물목록!$N$2:$N$1001,""))</f>
      </c>
    </row>
    <row r="30" customFormat="false" ht="15" hidden="false" customHeight="false" outlineLevel="0" collapsed="false">
      <c r="A30" s="9" t="str">
        <f aca="false">IF(설정!A30="","",설정!A30)</f>
        <v/>
      </c>
      <c r="B30" t="n" s="19">
        <f aca="0">IF($A30="","",SUMIFS(실물목록!$H$2:$H$1001,실물목록!$B$2:$B$1001,$A30))</f>
      </c>
      <c r="C30" s="19" t="str">
        <f aca="false">IF($A30="","",SUMIFS(실물목록!$H$2:$H$1001,실물목록!$B$2:$B$1001,$A30,실물목록!$K$2:$K$1001,"있음"))</f>
        <v/>
      </c>
      <c r="D30" s="19" t="str">
        <f aca="false">IF($A30="","",SUMIFS(실물목록!$H$2:$H$1001,실물목록!$B$2:$B$1001,$A30,실물목록!$K$2:$K$1001,"확인필요*"))</f>
        <v/>
      </c>
      <c r="E30" s="19" t="str">
        <f aca="false">IF($A30="","",SUMIFS(실물목록!$H$2:$H$1001,실물목록!$B$2:$B$1001,$A30,실물목록!$K$2:$K$1001,"없음"))</f>
        <v/>
      </c>
      <c r="F30" s="19" t="str">
        <f aca="false">IF($A30="","",SUMIFS(실물목록!$H$2:$H$1001,실물목록!$B$2:$B$1001,$A30,실물목록!$N$2:$N$1001,"폐기후보"))</f>
        <v/>
      </c>
      <c r="G30" s="19" t="str">
        <f aca="false">IF($A30="","",SUMIFS(실물목록!$H$2:$H$1001,실물목록!$B$2:$B$1001,$A30,실물목록!$N$2:$N$1001,"보관"))</f>
        <v/>
      </c>
      <c r="H30" s="19" t="str">
        <f aca="false">IF($A30="","",SUMIFS(실물목록!$H$2:$H$1001,실물목록!$B$2:$B$1001,$A30,실물목록!$N$2:$N$1001,"등록요청"))</f>
        <v/>
      </c>
      <c r="I30" s="19" t="str">
        <f aca="false">IF($A30="","",SUMIFS(실물목록!$H$2:$H$1001,실물목록!$B$2:$B$1001,$A30,실물목록!$N$2:$N$1001,"확인필요"))</f>
        <v/>
      </c>
      <c r="J30" t="n" s="19">
        <f aca="0">IF($A30="","",SUMIFS(실물목록!$H$2:$H$1001,실물목록!$B$2:$B$1001,$A30,실물목록!$K$2:$K$1001,"&lt;&gt;",실물목록!$N$2:$N$1001,""))</f>
      </c>
    </row>
    <row r="31" customFormat="false" ht="15" hidden="false" customHeight="false" outlineLevel="0" collapsed="false">
      <c r="A31" s="9" t="str">
        <f aca="false">IF(설정!A31="","",설정!A31)</f>
        <v/>
      </c>
      <c r="B31" t="n" s="19">
        <f aca="0">IF($A31="","",SUMIFS(실물목록!$H$2:$H$1001,실물목록!$B$2:$B$1001,$A31))</f>
      </c>
      <c r="C31" s="19" t="str">
        <f aca="false">IF($A31="","",SUMIFS(실물목록!$H$2:$H$1001,실물목록!$B$2:$B$1001,$A31,실물목록!$K$2:$K$1001,"있음"))</f>
        <v/>
      </c>
      <c r="D31" s="19" t="str">
        <f aca="false">IF($A31="","",SUMIFS(실물목록!$H$2:$H$1001,실물목록!$B$2:$B$1001,$A31,실물목록!$K$2:$K$1001,"확인필요*"))</f>
        <v/>
      </c>
      <c r="E31" s="19" t="str">
        <f aca="false">IF($A31="","",SUMIFS(실물목록!$H$2:$H$1001,실물목록!$B$2:$B$1001,$A31,실물목록!$K$2:$K$1001,"없음"))</f>
        <v/>
      </c>
      <c r="F31" s="19" t="str">
        <f aca="false">IF($A31="","",SUMIFS(실물목록!$H$2:$H$1001,실물목록!$B$2:$B$1001,$A31,실물목록!$N$2:$N$1001,"폐기후보"))</f>
        <v/>
      </c>
      <c r="G31" s="19" t="str">
        <f aca="false">IF($A31="","",SUMIFS(실물목록!$H$2:$H$1001,실물목록!$B$2:$B$1001,$A31,실물목록!$N$2:$N$1001,"보관"))</f>
        <v/>
      </c>
      <c r="H31" s="19" t="str">
        <f aca="false">IF($A31="","",SUMIFS(실물목록!$H$2:$H$1001,실물목록!$B$2:$B$1001,$A31,실물목록!$N$2:$N$1001,"등록요청"))</f>
        <v/>
      </c>
      <c r="I31" s="19" t="str">
        <f aca="false">IF($A31="","",SUMIFS(실물목록!$H$2:$H$1001,실물목록!$B$2:$B$1001,$A31,실물목록!$N$2:$N$1001,"확인필요"))</f>
        <v/>
      </c>
      <c r="J31" t="n" s="19">
        <f aca="0">IF($A31="","",SUMIFS(실물목록!$H$2:$H$1001,실물목록!$B$2:$B$1001,$A31,실물목록!$K$2:$K$1001,"&lt;&gt;",실물목록!$N$2:$N$1001,""))</f>
      </c>
    </row>
    <row r="33" customFormat="false" ht="15" hidden="false" customHeight="false" outlineLevel="0" collapsed="false">
      <c r="A33" s="5" t="s">
        <v>75</v>
      </c>
      <c r="B33" s="28" t="n">
        <f aca="false">SUM(B2:B31)</f>
        <v>1</v>
      </c>
      <c r="C33" s="28" t="n">
        <f aca="false">SUM(C2:C31)</f>
        <v>1</v>
      </c>
      <c r="D33" s="28" t="n">
        <f aca="false">SUM(D2:D31)</f>
        <v>0</v>
      </c>
      <c r="E33" s="28" t="n">
        <f aca="false">SUM(E2:E31)</f>
        <v>0</v>
      </c>
      <c r="F33" s="28" t="n">
        <f aca="false">SUM(F2:F31)</f>
        <v>1</v>
      </c>
      <c r="G33" s="28" t="n">
        <f aca="false">SUM(G2:G31)</f>
        <v>0</v>
      </c>
      <c r="H33" s="28" t="n">
        <f aca="false">SUM(H2:H31)</f>
        <v>0</v>
      </c>
      <c r="I33" s="28" t="n">
        <f aca="false">SUM(I2:I31)</f>
        <v>0</v>
      </c>
      <c r="J33" s="28" t="n">
        <f aca="false">SUM(J2:J31)</f>
        <v>0</v>
      </c>
    </row>
    <row r="34" customFormat="false" ht="15" hidden="false" customHeight="false" outlineLevel="0" collapsed="false">
      <c r="A34" t="str" s="29">
        <f>IF(SUMIFS(실물목록!$H$2:$H$1001,실물목록!$K$2:$K$1001,"&lt;&gt;",실물목록!$B$2:$B$1001,"")&gt;0,"※ 보관위치를 안 고른 행 "&amp;SUMIFS(실물목록!$H$2:$H$1001,실물목록!$K$2:$K$1001,"&lt;&gt;",실물목록!$B$2:$B$1001,"")&amp;"권은 위 표에서 빠져 있습니다","")</f>
      </c>
    </row>
    <row r="35">
      <c r="A35" t="str">
        <f>IF(COUNTIF(실물목록!$R$2:$R$1001,"입력누락")&gt;0,"※ 실물 입력누락 "&amp;COUNTIF(실물목록!$R$2:$R$1001,"입력누락")&amp;"줄: 학교명·검색키워드·연도를 확인하기 전에는 실물 없음으로 확정하지 마세요","")</f>
      </c>
    </row>
    <row r="36" customFormat="false" ht="17.15" hidden="false" customHeight="false" outlineLevel="0" collapsed="false">
      <c r="A36" s="7" t="s">
        <v>76</v>
      </c>
    </row>
    <row r="38" customFormat="false" ht="17.15" hidden="false" customHeight="false" outlineLevel="0" collapsed="false">
      <c r="A38" s="5" t="s">
        <v>77</v>
      </c>
    </row>
    <row r="39" customFormat="false" ht="15" hidden="false" customHeight="false" outlineLevel="0" collapsed="false">
      <c r="A39" s="3" t="s">
        <v>78</v>
      </c>
      <c r="B39" s="28" t="n">
        <f aca="false">COUNTIF(보유목록!$F$2:$F$3001,"실물 있음")</f>
        <v>1</v>
      </c>
    </row>
    <row r="40" customFormat="false" ht="17.15" hidden="false" customHeight="false" outlineLevel="0" collapsed="false">
      <c r="A40" t="str" s="3">
        <v>확인필요(연도·입력)</v>
      </c>
      <c r="B40" s="28" t="n">
        <f aca="false">COUNTIF(보유목록!$F$2:$F$3001,"확인필요*")</f>
        <v>0</v>
      </c>
    </row>
    <row r="41" customFormat="false" ht="15" hidden="false" customHeight="false" outlineLevel="0" collapsed="false">
      <c r="A41" s="3" t="s">
        <v>80</v>
      </c>
      <c r="B41" s="28" t="n">
        <f aca="false">COUNTIF(보유목록!$F$2:$F$3001,"실물 없음")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2026-10-23T02:15:40Z</dcterms:created>
  <dc:creator>openpyxl</dc:creator>
  <dc:description/>
  <dc:language>en-US</dc:language>
  <cp:lastModifiedBy/>
  <dcterms:modified xsi:type="dcterms:W3CDTF">2026-10-23T02:15:42Z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